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3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Denne_projektmappe"/>
  <mc:AlternateContent xmlns:mc="http://schemas.openxmlformats.org/markup-compatibility/2006">
    <mc:Choice Requires="x15">
      <x15ac:absPath xmlns:x15ac="http://schemas.microsoft.com/office/spreadsheetml/2010/11/ac" url="G:\Team Natur og Miljø (data der skal blive på g-drevet)\02_Grundvand\Jupiter_forespørgsler\"/>
    </mc:Choice>
  </mc:AlternateContent>
  <xr:revisionPtr revIDLastSave="0" documentId="13_ncr:1_{2781D81D-9FA6-4762-9F87-A7D929CF87B4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Forside" sheetId="3" r:id="rId1"/>
    <sheet name="Graf" sheetId="9" r:id="rId2"/>
    <sheet name="Analyser" sheetId="8" r:id="rId3"/>
    <sheet name="JupData" sheetId="1" r:id="rId4"/>
    <sheet name="##" sheetId="4" r:id="rId5"/>
  </sheets>
  <definedNames>
    <definedName name="_xlnm._FilterDatabase" localSheetId="2" hidden="1">Analyser!$A$2:$AJ$2</definedName>
    <definedName name="_xlnm._FilterDatabase" localSheetId="3" hidden="1">JupData!$A$1:$K$1</definedName>
    <definedName name="Add_Amm">MATCH("Amm",Analyser!$1:$1,0)</definedName>
    <definedName name="Add_As">MATCH("Arsen",Analyser!$1:$1,0)</definedName>
    <definedName name="Add_Bor">MATCH("Bor",Analyser!$1:$1,0)</definedName>
    <definedName name="Add_Ca">MATCH("Calcium",Analyser!$1:$1,0)</definedName>
    <definedName name="Add_Cl">MATCH("Chlorid",Analyser!$1:$1,0)</definedName>
    <definedName name="Add_F">MATCH("Fluorid",Analyser!$1:$1,0)</definedName>
    <definedName name="Add_Fg">MATCH("Forvitringsgrad",Analyser!$1:$1,0)</definedName>
    <definedName name="Add_Hydkarb">MATCH("Hydrogencarbonat",Analyser!$1:$1,0)</definedName>
    <definedName name="Add_Ig">MATCH("Ionbytningsgrad",Analyser!$1:$1,0)</definedName>
    <definedName name="Add_K">MATCH("Kalium",Analyser!$1:$1,0)</definedName>
    <definedName name="Add_Mg">MATCH("Magnesium",Analyser!$1:$1,0)</definedName>
    <definedName name="Add_mmolCa">MATCH("mmol Calcium",Analyser!$1:$1,0)</definedName>
    <definedName name="Add_mmolSulfat">MATCH("mmol Sulfat",Analyser!$1:$1,0)</definedName>
    <definedName name="Add_Na">MATCH("Natrium",Analyser!$1:$1,0)</definedName>
    <definedName name="Add_Ni">MATCH("Nikkel",Analyser!$1:$1,0)</definedName>
    <definedName name="Add_Nikkel">MATCH("Nikkel",Analyser!$1:$1,0)</definedName>
    <definedName name="Add_Nitrat">MATCH("Nitrat",Analyser!$1:$1,0)</definedName>
    <definedName name="Add_Nnc">MATCH("Na/Na+Ca",Analyser!$1:$1,0)</definedName>
    <definedName name="Add_Nvoc">MATCH("Carbon,org,NVOC",Analyser!$1:$1,0)</definedName>
    <definedName name="Add_Sr">MATCH("Strontium",Analyser!$1:$1,0)</definedName>
    <definedName name="Add_Sulfat">MATCH("Sulfat",Analyser!$1:$1,0)</definedName>
    <definedName name="Amm_1">IF(b_1="",0,INDEX(dd_1,,Add_Amm))</definedName>
    <definedName name="Amm_10">IF(b_10="",0,INDEX(dd_10,,Add_Amm))</definedName>
    <definedName name="Amm_11">IF(b_11="",0,INDEX(dd_11,,Add_Amm))</definedName>
    <definedName name="Amm_12">IF(b_12="",0,INDEX(dd_12,,Add_Amm))</definedName>
    <definedName name="Amm_13">IF(b_13="",0,INDEX(dd_13,,Add_Amm))</definedName>
    <definedName name="Amm_14">IF(b_14="",0,INDEX(dd_14,,Add_Amm))</definedName>
    <definedName name="Amm_15">IF(b_15="",0,INDEX(dd_15,,Add_Amm))</definedName>
    <definedName name="Amm_16">IF(b_16="",0,INDEX(dd_16,,Add_Amm))</definedName>
    <definedName name="Amm_17">IF(b_17="",0,INDEX(dd_17,,Add_Amm))</definedName>
    <definedName name="Amm_18">IF(b_18="",0,INDEX(dd_18,,Add_Amm))</definedName>
    <definedName name="Amm_19">IF(b_19="",0,INDEX(dd_19,,Add_Amm))</definedName>
    <definedName name="Amm_2">IF(b_2="",0,INDEX(dd_2,,Add_Amm))</definedName>
    <definedName name="Amm_20">IF(b_20="",0,INDEX(dd_20,,Add_Amm))</definedName>
    <definedName name="Amm_3">IF(b_3="",0,INDEX(dd_3,,Add_Amm))</definedName>
    <definedName name="Amm_4">IF(b_4="",0,INDEX(dd_4,,Add_Amm))</definedName>
    <definedName name="Amm_5">IF(b_5="",0,INDEX(dd_5,,Add_Amm))</definedName>
    <definedName name="Amm_6">IF(b_6="",0,INDEX(dd_6,,Add_Amm))</definedName>
    <definedName name="Amm_7">IF(b_7="",0,INDEX(dd_7,,Add_Amm))</definedName>
    <definedName name="Amm_8">IF(b_8="",0,INDEX(dd_8,,Add_Amm))</definedName>
    <definedName name="Amm_9">IF(b_9="",0,INDEX(dd_9,,Add_Amm))</definedName>
    <definedName name="As_1">IF(b_1="",0,INDEX(dd_1,,Add_As))</definedName>
    <definedName name="As_10">IF(b_10="",0,INDEX(dd_10,,Add_As))</definedName>
    <definedName name="As_11">IF(b_11="",0,INDEX(dd_11,,Add_As))</definedName>
    <definedName name="As_12">IF(b_12="",0,INDEX(dd_12,,Add_As))</definedName>
    <definedName name="As_13">IF(b_13="",0,INDEX(dd_13,,Add_As))</definedName>
    <definedName name="As_14">IF(b_14="",0,INDEX(dd_14,,Add_As))</definedName>
    <definedName name="As_15">IF(b_15="",0,INDEX(dd_15,,Add_As))</definedName>
    <definedName name="As_16">IF(b_16="",0,INDEX(dd_16,,Add_As))</definedName>
    <definedName name="As_17">IF(b_17="",0,INDEX(dd_17,,Add_As))</definedName>
    <definedName name="As_18">IF(b_18="",0,INDEX(dd_18,,Add_As))</definedName>
    <definedName name="As_19">IF(b_19="",0,INDEX(dd_19,,Add_As))</definedName>
    <definedName name="As_2">IF(b_2="",0,INDEX(dd_2,,Add_As))</definedName>
    <definedName name="As_20">IF(b_20="",0,INDEX(dd_20,,Add_As))</definedName>
    <definedName name="As_3">IF(b_3="",0,INDEX(dd_3,,Add_As))</definedName>
    <definedName name="As_4">IF(b_4="",0,INDEX(dd_4,,Add_As))</definedName>
    <definedName name="As_5">IF(b_5="",0,INDEX(dd_5,,Add_As))</definedName>
    <definedName name="As_6">IF(b_6="",0,INDEX(dd_6,,Add_As))</definedName>
    <definedName name="As_7">IF(b_7="",0,INDEX(dd_7,,Add_As))</definedName>
    <definedName name="As_8">IF(b_8="",0,INDEX(dd_8,,Add_As))</definedName>
    <definedName name="As_9">IF(b_9="",0,INDEX(dd_9,,Add_As))</definedName>
    <definedName name="b_1">Graf!$K$6</definedName>
    <definedName name="b_10">Graf!$K$15</definedName>
    <definedName name="b_11">Graf!$K$16</definedName>
    <definedName name="b_12">Graf!$K$17</definedName>
    <definedName name="b_13">Graf!$K$18</definedName>
    <definedName name="b_14">Graf!$K$19</definedName>
    <definedName name="b_15">Graf!$K$20</definedName>
    <definedName name="b_16">Graf!$K$21</definedName>
    <definedName name="b_17">Graf!$K$22</definedName>
    <definedName name="b_18">Graf!$K$23</definedName>
    <definedName name="b_19">Graf!$K$24</definedName>
    <definedName name="b_2">Graf!$K$7</definedName>
    <definedName name="b_20">Graf!$K$25</definedName>
    <definedName name="b_3">Graf!$K$8</definedName>
    <definedName name="b_4">Graf!$K$9</definedName>
    <definedName name="b_5">Graf!$K$10</definedName>
    <definedName name="b_6">Graf!$K$11</definedName>
    <definedName name="b_7">Graf!$K$12</definedName>
    <definedName name="b_8">Graf!$K$13</definedName>
    <definedName name="b_9">Graf!$K$14</definedName>
    <definedName name="bnr">INDEX(dd,,4)</definedName>
    <definedName name="Bor_1">IF(b_1="",0,INDEX(dd_1,,Add_Bor))</definedName>
    <definedName name="Bor_10">IF(b_10="",0,INDEX(dd_10,,Add_Bor))</definedName>
    <definedName name="Bor_11">IF(b_11="",0,INDEX(dd_11,,Add_Bor))</definedName>
    <definedName name="Bor_12">IF(b_12="",0,INDEX(dd_12,,Add_Bor))</definedName>
    <definedName name="Bor_13">IF(b_13="",0,INDEX(dd_13,,Add_Bor))</definedName>
    <definedName name="Bor_14">IF(b_14="",0,INDEX(dd_14,,Add_Bor))</definedName>
    <definedName name="Bor_15">IF(b_15="",0,INDEX(dd_15,,Add_Bor))</definedName>
    <definedName name="Bor_16">IF(b_16="",0,INDEX(dd_16,,Add_Bor))</definedName>
    <definedName name="Bor_17">IF(b_17="",0,INDEX(dd_17,,Add_Bor))</definedName>
    <definedName name="Bor_18">IF(b_18="",0,INDEX(dd_18,,Add_Bor))</definedName>
    <definedName name="Bor_19">IF(b_19="",0,INDEX(dd_19,,Add_Bor))</definedName>
    <definedName name="Bor_2">IF(b_2="",0,INDEX(dd_2,,Add_Bor))</definedName>
    <definedName name="Bor_20">IF(b_20="",0,INDEX(dd_20,,Add_Bor))</definedName>
    <definedName name="Bor_3">IF(b_3="",0,INDEX(dd_3,,Add_Bor))</definedName>
    <definedName name="Bor_4">IF(b_4="",0,INDEX(dd_4,,Add_Bor))</definedName>
    <definedName name="Bor_5">IF(b_5="",0,INDEX(dd_5,,Add_Bor))</definedName>
    <definedName name="Bor_6">IF(b_6="",0,INDEX(dd_6,,Add_Bor))</definedName>
    <definedName name="Bor_7">IF(b_7="",0,INDEX(dd_7,,Add_Bor))</definedName>
    <definedName name="Bor_8">IF(b_8="",0,INDEX(dd_8,,Add_Bor))</definedName>
    <definedName name="Bor_9">IF(b_9="",0,INDEX(dd_9,,Add_Bor))</definedName>
    <definedName name="Ca_1">IF(b_1="",0,INDEX(dd_1,,Add_Ca))</definedName>
    <definedName name="Ca_10">IF(b_10="",0,INDEX(dd_10,,Add_Ca))</definedName>
    <definedName name="Ca_11">IF(b_11="",0,INDEX(dd_11,,Add_Ca))</definedName>
    <definedName name="Ca_12">IF(b_12="",0,INDEX(dd_12,,Add_Ca))</definedName>
    <definedName name="Ca_13">IF(b_13="",0,INDEX(dd_13,,Add_Ca))</definedName>
    <definedName name="Ca_14">IF(b_14="",0,INDEX(dd_14,,Add_Ca))</definedName>
    <definedName name="Ca_15">IF(b_15="",0,INDEX(dd_15,,Add_Ca))</definedName>
    <definedName name="Ca_16">IF(b_16="",0,INDEX(dd_16,,Add_Ca))</definedName>
    <definedName name="Ca_17">IF(b_17="",0,INDEX(dd_17,,Add_Ca))</definedName>
    <definedName name="Ca_18">IF(b_18="",0,INDEX(dd_18,,Add_Ca))</definedName>
    <definedName name="Ca_19">IF(b_19="",0,INDEX(dd_19,,Add_Ca))</definedName>
    <definedName name="Ca_2">IF(b_2="",0,INDEX(dd_2,,Add_Ca))</definedName>
    <definedName name="Ca_20">IF(b_20="",0,INDEX(dd_20,,Add_Ca))</definedName>
    <definedName name="Ca_3">IF(b_3="",0,INDEX(dd_3,,Add_Ca))</definedName>
    <definedName name="Ca_4">IF(b_4="",0,INDEX(dd_4,,Add_Ca))</definedName>
    <definedName name="Ca_5">IF(b_5="",0,INDEX(dd_5,,Add_Ca))</definedName>
    <definedName name="Ca_6">IF(b_6="",0,INDEX(dd_6,,Add_Ca))</definedName>
    <definedName name="Ca_7">IF(b_7="",0,INDEX(dd_7,,Add_Ca))</definedName>
    <definedName name="Ca_8">IF(b_8="",0,INDEX(dd_8,,Add_Ca))</definedName>
    <definedName name="Ca_9">IF(b_9="",0,INDEX(dd_9,,Add_Ca))</definedName>
    <definedName name="Cl_1">IF(b_1="",0,INDEX(dd_1,,Add_Cl))</definedName>
    <definedName name="Cl_10">IF(b_10="",0,INDEX(dd_10,,Add_Cl))</definedName>
    <definedName name="Cl_11">IF(b_11="",0,INDEX(dd_11,,Add_Cl))</definedName>
    <definedName name="Cl_12">IF(b_12="",0,INDEX(dd_12,,Add_Cl))</definedName>
    <definedName name="Cl_13">IF(b_13="",0,INDEX(dd_13,,Add_Cl))</definedName>
    <definedName name="Cl_14">IF(b_14="",0,INDEX(dd_14,,Add_Cl))</definedName>
    <definedName name="Cl_15">IF(b_15="",0,INDEX(dd_15,,Add_Cl))</definedName>
    <definedName name="Cl_16">IF(b_16="",0,INDEX(dd_16,,Add_Cl))</definedName>
    <definedName name="Cl_17">IF(b_17="",0,INDEX(dd_17,,Add_Cl))</definedName>
    <definedName name="Cl_18">IF(b_18="",0,INDEX(dd_18,,Add_Cl))</definedName>
    <definedName name="Cl_19">IF(b_19="",0,INDEX(dd_19,,Add_Cl))</definedName>
    <definedName name="Cl_2">IF(b_2="",0,INDEX(dd_2,,Add_Cl))</definedName>
    <definedName name="Cl_20">IF(b_20="",0,INDEX(dd_20,,Add_Cl))</definedName>
    <definedName name="Cl_3">IF(b_3="",0,INDEX(dd_3,,Add_Cl))</definedName>
    <definedName name="Cl_4">IF(b_4="",0,INDEX(dd_4,,Add_Cl))</definedName>
    <definedName name="Cl_5">IF(b_5="",0,INDEX(dd_5,,Add_Cl))</definedName>
    <definedName name="Cl_6">IF(b_6="",0,INDEX(dd_6,,Add_Cl))</definedName>
    <definedName name="Cl_7">IF(b_7="",0,INDEX(dd_7,,Add_Cl))</definedName>
    <definedName name="Cl_8">IF(b_8="",0,INDEX(dd_8,,Add_Cl))</definedName>
    <definedName name="Cl_9">IF(b_9="",0,INDEX(dd_9,,Add_Cl))</definedName>
    <definedName name="d">JupData!$A$2:INDEX(JupData!$1:$65535,COUNTA(JupData!$A:$A),COUNTA(JupData!$1:$1))</definedName>
    <definedName name="dato_1">INDEX(dd_1,,3)</definedName>
    <definedName name="dato_10">INDEX(dd_10,,3)</definedName>
    <definedName name="dato_11">INDEX(dd_11,,3)</definedName>
    <definedName name="dato_12">INDEX(dd_12,,3)</definedName>
    <definedName name="dato_13">INDEX(dd_13,,3)</definedName>
    <definedName name="dato_14">INDEX(dd_14,,3)</definedName>
    <definedName name="dato_15">INDEX(dd_15,,3)</definedName>
    <definedName name="dato_16">INDEX(dd_16,,3)</definedName>
    <definedName name="dato_17">INDEX(dd_17,,3)</definedName>
    <definedName name="dato_18">INDEX(dd_18,,3)</definedName>
    <definedName name="dato_19">INDEX(dd_19,,3)</definedName>
    <definedName name="dato_2">INDEX(dd_2,,3)</definedName>
    <definedName name="dato_20">INDEX(dd_20,,3)</definedName>
    <definedName name="dato_3">INDEX(dd_3,,3)</definedName>
    <definedName name="dato_4">INDEX(dd_4,,3)</definedName>
    <definedName name="dato_5">INDEX(dd_5,,3)</definedName>
    <definedName name="dato_6">INDEX(dd_6,,3)</definedName>
    <definedName name="dato_7">INDEX(dd_7,,3)</definedName>
    <definedName name="dato_8">INDEX(dd_8,,3)</definedName>
    <definedName name="dato_9">INDEX(dd_9,,3)</definedName>
    <definedName name="dd">Analyser!$A$3:INDEX(Analyser!$1:$65535,COUNT(Analyser!$D:$D)+2,COUNTA(Analyser!$1:$1))</definedName>
    <definedName name="dd_1">INDEX(INDEX(dd,,1),MATCH(1,bnr,0)):INDEX(INDEX(dd,,COUNTA(Analyser!$1:$1)),COUNTIF(bnr,"&lt;= 1 "))</definedName>
    <definedName name="dd_10">INDEX(INDEX(dd,,1),MATCH(10,bnr,0)):INDEX(INDEX(dd,,COUNTA(Analyser!$1:$1)),COUNTIF(bnr,"&lt;= 10 "))</definedName>
    <definedName name="dd_11">INDEX(INDEX(dd,,1),MATCH(11,bnr,0)):INDEX(INDEX(dd,,COUNTA(Analyser!$1:$1)),COUNTIF(bnr,"&lt;= 11 "))</definedName>
    <definedName name="dd_12">INDEX(INDEX(dd,,1),MATCH(12,bnr,0)):INDEX(INDEX(dd,,COUNTA(Analyser!$1:$1)),COUNTIF(bnr,"&lt;= 12 "))</definedName>
    <definedName name="dd_13">INDEX(INDEX(dd,,1),MATCH(13,bnr,0)):INDEX(INDEX(dd,,COUNTA(Analyser!$1:$1)),COUNTIF(bnr,"&lt;= 13 "))</definedName>
    <definedName name="dd_14">INDEX(INDEX(dd,,1),MATCH(14,bnr,0)):INDEX(INDEX(dd,,COUNTA(Analyser!$1:$1)),COUNTIF(bnr,"&lt;= 14 "))</definedName>
    <definedName name="dd_15">INDEX(INDEX(dd,,1),MATCH(15,bnr,0)):INDEX(INDEX(dd,,COUNTA(Analyser!$1:$1)),COUNTIF(bnr,"&lt;= 15 "))</definedName>
    <definedName name="dd_16">INDEX(INDEX(dd,,1),MATCH(16,bnr,0)):INDEX(INDEX(dd,,COUNTA(Analyser!$1:$1)),COUNTIF(bnr,"&lt;= 16 "))</definedName>
    <definedName name="dd_17">INDEX(INDEX(dd,,1),MATCH(17,bnr,0)):INDEX(INDEX(dd,,COUNTA(Analyser!$1:$1)),COUNTIF(bnr,"&lt;= 17 "))</definedName>
    <definedName name="dd_18">INDEX(INDEX(dd,,1),MATCH(18,bnr,0)):INDEX(INDEX(dd,,COUNTA(Analyser!$1:$1)),COUNTIF(bnr,"&lt;= 18 "))</definedName>
    <definedName name="dd_19">INDEX(INDEX(dd,,1),MATCH(19,bnr,0)):INDEX(INDEX(dd,,COUNTA(Analyser!$1:$1)),COUNTIF(bnr,"&lt;= 19 "))</definedName>
    <definedName name="dd_2">INDEX(INDEX(dd,,1),MATCH(2,bnr,0)):INDEX(INDEX(dd,,COUNTA(Analyser!$1:$1)),COUNTIF(bnr,"&lt;= 2 "))</definedName>
    <definedName name="dd_20">INDEX(INDEX(dd,,1),MATCH(20,bnr,0)):INDEX(INDEX(dd,,COUNTA(Analyser!$1:$1)),COUNTIF(bnr,"&lt;= 20 "))</definedName>
    <definedName name="dd_3">INDEX(INDEX(dd,,1),MATCH(3,bnr,0)):INDEX(INDEX(dd,,COUNTA(Analyser!$1:$1)),COUNTIF(bnr,"&lt;= 3 "))</definedName>
    <definedName name="dd_4">INDEX(INDEX(dd,,1),MATCH(4,bnr,0)):INDEX(INDEX(dd,,COUNTA(Analyser!$1:$1)),COUNTIF(bnr,"&lt;= 4 "))</definedName>
    <definedName name="dd_5">INDEX(INDEX(dd,,1),MATCH(5,bnr,0)):INDEX(INDEX(dd,,COUNTA(Analyser!$1:$1)),COUNTIF(bnr,"&lt;= 5 "))</definedName>
    <definedName name="dd_6">INDEX(INDEX(dd,,1),MATCH(6,bnr,0)):INDEX(INDEX(dd,,COUNTA(Analyser!$1:$1)),COUNTIF(bnr,"&lt;= 6 "))</definedName>
    <definedName name="dd_7">INDEX(INDEX(dd,,1),MATCH(7,bnr,0)):INDEX(INDEX(dd,,COUNTA(Analyser!$1:$1)),COUNTIF(bnr,"&lt;= 7 "))</definedName>
    <definedName name="dd_8">INDEX(INDEX(dd,,1),MATCH(8,bnr,0)):INDEX(INDEX(dd,,COUNTA(Analyser!$1:$1)),COUNTIF(bnr,"&lt;= 8 "))</definedName>
    <definedName name="dd_9">INDEX(INDEX(dd,,1),MATCH(9,bnr,0)):INDEX(INDEX(dd,,COUNTA(Analyser!$1:$1)),COUNTIF(bnr,"&lt;= 9 "))</definedName>
    <definedName name="F_1">IF(b_1="",0,INDEX(dd_1,,Add_F))</definedName>
    <definedName name="F_10">IF(b_10="",0,INDEX(dd_10,,Add_F))</definedName>
    <definedName name="F_11">IF(b_11="",0,INDEX(dd_11,,Add_F))</definedName>
    <definedName name="F_12">IF(b_12="",0,INDEX(dd_12,,Add_F))</definedName>
    <definedName name="F_13">IF(b_13="",0,INDEX(dd_13,,Add_F))</definedName>
    <definedName name="F_14">IF(b_14="",0,INDEX(dd_14,,Add_F))</definedName>
    <definedName name="F_15">IF(b_15="",0,INDEX(dd_15,,Add_F))</definedName>
    <definedName name="F_16">IF(b_16="",0,INDEX(dd_16,,Add_F))</definedName>
    <definedName name="F_17">IF(b_17="",0,INDEX(dd_17,,Add_F))</definedName>
    <definedName name="F_18">IF(b_18="",0,INDEX(dd_18,,Add_F))</definedName>
    <definedName name="F_19">IF(b_19="",0,INDEX(dd_19,,Add_F))</definedName>
    <definedName name="F_2">IF(b_2="",0,INDEX(dd_2,,Add_F))</definedName>
    <definedName name="F_20">IF(b_20="",0,INDEX(dd_20,,Add_F))</definedName>
    <definedName name="F_3">IF(b_3="",0,INDEX(dd_3,,Add_F))</definedName>
    <definedName name="F_4">IF(b_4="",0,INDEX(dd_4,,Add_F))</definedName>
    <definedName name="F_5">IF(b_5="",0,INDEX(dd_5,,Add_F))</definedName>
    <definedName name="F_6">IF(b_6="",0,INDEX(dd_6,,Add_F))</definedName>
    <definedName name="F_7">IF(b_7="",0,INDEX(dd_7,,Add_F))</definedName>
    <definedName name="F_8">IF(b_8="",0,INDEX(dd_8,,Add_F))</definedName>
    <definedName name="F_9">IF(b_9="",0,INDEX(dd_9,,Add_F))</definedName>
    <definedName name="Fg_1">IF(b_1="",0,INDEX(dd_1,,Add_Fg))</definedName>
    <definedName name="Fg_10">IF(b_10="",0,INDEX(dd_10,,Add_Fg))</definedName>
    <definedName name="Fg_11">IF(b_11="",0,INDEX(dd_11,,Add_Fg))</definedName>
    <definedName name="Fg_12">IF(b_12="",0,INDEX(dd_12,,Add_Fg))</definedName>
    <definedName name="Fg_13">IF(b_13="",0,INDEX(dd_13,,Add_Fg))</definedName>
    <definedName name="Fg_14">IF(b_14="",0,INDEX(dd_14,,Add_Fg))</definedName>
    <definedName name="Fg_15">IF(b_15="",0,INDEX(dd_15,,Add_Fg))</definedName>
    <definedName name="Fg_16">IF(b_16="",0,INDEX(dd_16,,Add_Fg))</definedName>
    <definedName name="Fg_17">IF(b_17="",0,INDEX(dd_17,,Add_Fg))</definedName>
    <definedName name="Fg_18">IF(b_18="",0,INDEX(dd_18,,Add_Fg))</definedName>
    <definedName name="Fg_19">IF(b_19="",0,INDEX(dd_19,,Add_Fg))</definedName>
    <definedName name="Fg_2">IF(b_2="",0,INDEX(dd_2,,Add_Fg))</definedName>
    <definedName name="Fg_20">IF(b_20="",0,INDEX(dd_20,,Add_Fg))</definedName>
    <definedName name="Fg_3">IF(b_3="",0,INDEX(dd_3,,Add_Fg))</definedName>
    <definedName name="Fg_4">IF(b_4="",0,INDEX(dd_4,,Add_Fg))</definedName>
    <definedName name="Fg_5">IF(b_5="",0,INDEX(dd_5,,Add_Fg))</definedName>
    <definedName name="Fg_6">IF(b_6="",0,INDEX(dd_6,,Add_Fg))</definedName>
    <definedName name="Fg_7">IF(b_7="",0,INDEX(dd_7,,Add_Fg))</definedName>
    <definedName name="Fg_8">IF(b_8="",0,INDEX(dd_8,,Add_Fg))</definedName>
    <definedName name="Fg_9">IF(b_9="",0,INDEX(dd_9,,Add_Fg))</definedName>
    <definedName name="Hydkarb_1">IF(b_1="",0,INDEX(dd_1,,Add_Hydkarb))</definedName>
    <definedName name="Hydkarb_10">IF(b_10="",0,INDEX(dd_10,,Add_Hydkarb))</definedName>
    <definedName name="Hydkarb_11">IF(b_11="",0,INDEX(dd_11,,Add_Hydkarb))</definedName>
    <definedName name="Hydkarb_12">IF(b_12="",0,INDEX(dd_12,,Add_Hydkarb))</definedName>
    <definedName name="Hydkarb_13">IF(b_13="",0,INDEX(dd_13,,Add_Hydkarb))</definedName>
    <definedName name="Hydkarb_14">IF(b_14="",0,INDEX(dd_14,,Add_Hydkarb))</definedName>
    <definedName name="Hydkarb_15">IF(b_15="",0,INDEX(dd_15,,Add_Hydkarb))</definedName>
    <definedName name="Hydkarb_16">IF(b_16="",0,INDEX(dd_16,,Add_Hydkarb))</definedName>
    <definedName name="Hydkarb_17">IF(b_17="",0,INDEX(dd_17,,Add_Hydkarb))</definedName>
    <definedName name="Hydkarb_18">IF(b_18="",0,INDEX(dd_18,,Add_Hydkarb))</definedName>
    <definedName name="Hydkarb_19">IF(b_19="",0,INDEX(dd_19,,Add_Hydkarb))</definedName>
    <definedName name="Hydkarb_2">IF(b_2="",0,INDEX(dd_2,,Add_Hydkarb))</definedName>
    <definedName name="Hydkarb_20">IF(b_20="",0,INDEX(dd_20,,Add_Hydkarb))</definedName>
    <definedName name="Hydkarb_3">IF(b_3="",0,INDEX(dd_3,,Add_Hydkarb))</definedName>
    <definedName name="Hydkarb_4">IF(b_4="",0,INDEX(dd_4,,Add_Hydkarb))</definedName>
    <definedName name="Hydkarb_5">IF(b_5="",0,INDEX(dd_5,,Add_Hydkarb))</definedName>
    <definedName name="Hydkarb_6">IF(b_6="",0,INDEX(dd_6,,Add_Hydkarb))</definedName>
    <definedName name="Hydkarb_7">IF(b_7="",0,INDEX(dd_7,,Add_Hydkarb))</definedName>
    <definedName name="Hydkarb_8">IF(b_8="",0,INDEX(dd_8,,Add_Hydkarb))</definedName>
    <definedName name="Hydkarb_9">IF(b_9="",0,INDEX(dd_9,,Add_Hydkarb))</definedName>
    <definedName name="Ig_1">IF(b_1="",0,INDEX(dd_1,,Add_Ig))</definedName>
    <definedName name="Ig_10">IF(b_10="",0,INDEX(dd_10,,Add_Ig))</definedName>
    <definedName name="Ig_11">IF(b_11="",0,INDEX(dd_11,,Add_Ig))</definedName>
    <definedName name="Ig_12">IF(b_12="",0,INDEX(dd_12,,Add_Ig))</definedName>
    <definedName name="Ig_13">IF(b_13="",0,INDEX(dd_13,,Add_Ig))</definedName>
    <definedName name="Ig_14">IF(b_14="",0,INDEX(dd_14,,Add_Ig))</definedName>
    <definedName name="Ig_15">IF(b_15="",0,INDEX(dd_15,,Add_Ig))</definedName>
    <definedName name="Ig_16">IF(b_16="",0,INDEX(dd_16,,Add_Ig))</definedName>
    <definedName name="Ig_17">IF(b_17="",0,INDEX(dd_17,,Add_Ig))</definedName>
    <definedName name="Ig_18">IF(b_18="",0,INDEX(dd_18,,Add_Ig))</definedName>
    <definedName name="Ig_19">IF(b_19="",0,INDEX(dd_19,,Add_Ig))</definedName>
    <definedName name="Ig_2">IF(b_2="",0,INDEX(dd_2,,Add_Ig))</definedName>
    <definedName name="Ig_20">IF(b_20="",0,INDEX(dd_20,,Add_Ig))</definedName>
    <definedName name="Ig_3">IF(b_3="",0,INDEX(dd_3,,Add_Ig))</definedName>
    <definedName name="Ig_4">IF(b_4="",0,INDEX(dd_4,,Add_Ig))</definedName>
    <definedName name="Ig_5">IF(b_5="",0,INDEX(dd_5,,Add_Ig))</definedName>
    <definedName name="Ig_6">IF(b_6="",0,INDEX(dd_6,,Add_Ig))</definedName>
    <definedName name="Ig_7">IF(b_7="",0,INDEX(dd_7,,Add_Ig))</definedName>
    <definedName name="Ig_8">IF(b_8="",0,INDEX(dd_8,,Add_Ig))</definedName>
    <definedName name="Ig_9">IF(b_9="",0,INDEX(dd_9,,Add_Ig))</definedName>
    <definedName name="K_1">IF(b_1="",0,INDEX(dd_1,,Add_K))</definedName>
    <definedName name="K_10">IF(b_10="",0,INDEX(dd_10,,Add_K))</definedName>
    <definedName name="K_11">IF(b_11="",0,INDEX(dd_11,,Add_K))</definedName>
    <definedName name="K_12">IF(b_12="",0,INDEX(dd_12,,Add_K))</definedName>
    <definedName name="K_13">IF(b_13="",0,INDEX(dd_13,,Add_K))</definedName>
    <definedName name="K_14">IF(b_14="",0,INDEX(dd_14,,Add_K))</definedName>
    <definedName name="K_15">IF(b_15="",0,INDEX(dd_15,,Add_K))</definedName>
    <definedName name="K_16">IF(b_16="",0,INDEX(dd_16,,Add_K))</definedName>
    <definedName name="K_17">IF(b_17="",0,INDEX(dd_17,,Add_K))</definedName>
    <definedName name="K_18">IF(b_18="",0,INDEX(dd_18,,Add_K))</definedName>
    <definedName name="K_19">IF(b_19="",0,INDEX(dd_19,,Add_K))</definedName>
    <definedName name="K_2">IF(b_2="",0,INDEX(dd_2,,Add_K))</definedName>
    <definedName name="K_20">IF(b_20="",0,INDEX(dd_20,,Add_K))</definedName>
    <definedName name="K_3">IF(b_3="",0,INDEX(dd_3,,Add_K))</definedName>
    <definedName name="K_4">IF(b_4="",0,INDEX(dd_4,,Add_K))</definedName>
    <definedName name="K_5">IF(b_5="",0,INDEX(dd_5,,Add_K))</definedName>
    <definedName name="K_6">IF(b_6="",0,INDEX(dd_6,,Add_K))</definedName>
    <definedName name="K_7">IF(b_7="",0,INDEX(dd_7,,Add_K))</definedName>
    <definedName name="K_8">IF(b_8="",0,INDEX(dd_8,,Add_K))</definedName>
    <definedName name="K_9">IF(b_9="",0,INDEX(dd_9,,Add_K))</definedName>
    <definedName name="Mg_1">IF(b_1="",0,INDEX(dd_1,,Add_Mg))</definedName>
    <definedName name="Mg_10">IF(b_10="",0,INDEX(dd_10,,Add_Mg))</definedName>
    <definedName name="Mg_11">IF(b_11="",0,INDEX(dd_11,,Add_Mg))</definedName>
    <definedName name="Mg_12">IF(b_12="",0,INDEX(dd_12,,Add_Mg))</definedName>
    <definedName name="Mg_13">IF(b_13="",0,INDEX(dd_13,,Add_Mg))</definedName>
    <definedName name="Mg_14">IF(b_14="",0,INDEX(dd_14,,Add_Mg))</definedName>
    <definedName name="Mg_15">IF(b_15="",0,INDEX(dd_15,,Add_Mg))</definedName>
    <definedName name="Mg_16">IF(b_16="",0,INDEX(dd_16,,Add_Mg))</definedName>
    <definedName name="Mg_17">IF(b_17="",0,INDEX(dd_17,,Add_Mg))</definedName>
    <definedName name="Mg_18">IF(b_18="",0,INDEX(dd_18,,Add_Mg))</definedName>
    <definedName name="Mg_19">IF(b_19="",0,INDEX(dd_19,,Add_Mg))</definedName>
    <definedName name="Mg_2">IF(b_2="",0,INDEX(dd_2,,Add_Mg))</definedName>
    <definedName name="Mg_20">IF(b_20="",0,INDEX(dd_20,,Add_Mg))</definedName>
    <definedName name="Mg_3">IF(b_3="",0,INDEX(dd_3,,Add_Mg))</definedName>
    <definedName name="Mg_4">IF(b_4="",0,INDEX(dd_4,,Add_Mg))</definedName>
    <definedName name="Mg_5">IF(b_5="",0,INDEX(dd_5,,Add_Mg))</definedName>
    <definedName name="Mg_6">IF(b_6="",0,INDEX(dd_6,,Add_Mg))</definedName>
    <definedName name="Mg_7">IF(b_7="",0,INDEX(dd_7,,Add_Mg))</definedName>
    <definedName name="Mg_8">IF(b_8="",0,INDEX(dd_8,,Add_Mg))</definedName>
    <definedName name="Mg_9">IF(b_9="",0,INDEX(dd_9,,Add_Mg))</definedName>
    <definedName name="mmolCa_1">IF(b_1="",0,INDEX(dd_1,,Add_mmolCa))</definedName>
    <definedName name="mmolCa_10">IF(b_10="",0,INDEX(dd_10,,Add_mmolCa))</definedName>
    <definedName name="mmolCa_11">IF(b_11="",0,INDEX(dd_11,,Add_mmolCa))</definedName>
    <definedName name="mmolCa_12">IF(b_12="",0,INDEX(dd_12,,Add_mmolCa))</definedName>
    <definedName name="mmolCa_13">IF(b_13="",0,INDEX(dd_13,,Add_mmolCa))</definedName>
    <definedName name="mmolCa_14">IF(b_14="",0,INDEX(dd_14,,Add_mmolCa))</definedName>
    <definedName name="mmolCa_15">IF(b_15="",0,INDEX(dd_15,,Add_mmolCa))</definedName>
    <definedName name="mmolCa_16">IF(b_16="",0,INDEX(dd_16,,Add_mmolCa))</definedName>
    <definedName name="mmolCa_17">IF(b_17="",0,INDEX(dd_17,,Add_mmolCa))</definedName>
    <definedName name="mmolCa_18">IF(b_18="",0,INDEX(dd_18,,Add_mmolCa))</definedName>
    <definedName name="mmolCa_19">IF(b_19="",0,INDEX(dd_19,,Add_mmolCa))</definedName>
    <definedName name="mmolCa_2">IF(b_2="",0,INDEX(dd_2,,Add_mmolCa))</definedName>
    <definedName name="mmolCa_20">IF(b_20="",0,INDEX(dd_20,,Add_mmolCa))</definedName>
    <definedName name="mmolCa_3">IF(b_3="",0,INDEX(dd_3,,Add_mmolCa))</definedName>
    <definedName name="mmolCa_4">IF(b_4="",0,INDEX(dd_4,,Add_mmolCa))</definedName>
    <definedName name="mmolCa_5">IF(b_5="",0,INDEX(dd_5,,Add_mmolCa))</definedName>
    <definedName name="mmolCa_6">IF(b_6="",0,INDEX(dd_6,,Add_mmolCa))</definedName>
    <definedName name="mmolCa_7">IF(b_7="",0,INDEX(dd_7,,Add_mmolCa))</definedName>
    <definedName name="mmolCa_8">IF(b_8="",0,INDEX(dd_8,,Add_mmolCa))</definedName>
    <definedName name="mmolCa_9">IF(b_9="",0,INDEX(dd_9,,Add_mmolCa))</definedName>
    <definedName name="mmolSulfat_1">IF(b_1="",0,INDEX(dd_1,,Add_mmolSulfat))</definedName>
    <definedName name="mmolSulfat_10">IF(b_10="",0,INDEX(dd_10,,Add_mmolSulfat))</definedName>
    <definedName name="mmolSulfat_11">IF(b_11="",0,INDEX(dd_11,,Add_mmolSulfat))</definedName>
    <definedName name="mmolSulfat_12">IF(b_12="",0,INDEX(dd_12,,Add_mmolSulfat))</definedName>
    <definedName name="mmolSulfat_13">IF(b_13="",0,INDEX(dd_13,,Add_mmolSulfat))</definedName>
    <definedName name="mmolSulfat_14">IF(b_14="",0,INDEX(dd_14,,Add_mmolSulfat))</definedName>
    <definedName name="mmolSulfat_15">IF(b_15="",0,INDEX(dd_15,,Add_mmolSulfat))</definedName>
    <definedName name="mmolSulfat_16">IF(b_16="",0,INDEX(dd_16,,Add_mmolSulfat))</definedName>
    <definedName name="mmolSulfat_17">IF(b_17="",0,INDEX(dd_17,,Add_mmolSulfat))</definedName>
    <definedName name="mmolSulfat_18">IF(b_18="",0,INDEX(dd_18,,Add_mmolSulfat))</definedName>
    <definedName name="mmolSulfat_19">IF(b_19="",0,INDEX(dd_19,,Add_mmolSulfat))</definedName>
    <definedName name="mmolSulfat_2">IF(b_2="",0,INDEX(dd_2,,Add_mmolSulfat))</definedName>
    <definedName name="mmolSulfat_20">IF(b_20="",0,INDEX(dd_20,,Add_mmolSulfat))</definedName>
    <definedName name="mmolSulfat_3">IF(b_3="",0,INDEX(dd_3,,Add_mmolSulfat))</definedName>
    <definedName name="mmolSulfat_4">IF(b_4="",0,INDEX(dd_4,,Add_mmolSulfat))</definedName>
    <definedName name="mmolSulfat_5">IF(b_5="",0,INDEX(dd_5,,Add_mmolSulfat))</definedName>
    <definedName name="mmolSulfat_6">IF(b_6="",0,INDEX(dd_6,,Add_mmolSulfat))</definedName>
    <definedName name="mmolSulfat_7">IF(b_7="",0,INDEX(dd_7,,Add_mmolSulfat))</definedName>
    <definedName name="mmolSulfat_8">IF(b_8="",0,INDEX(dd_8,,Add_mmolSulfat))</definedName>
    <definedName name="mmolSulfat_9">IF(b_9="",0,INDEX(dd_9,,Add_mmolSulfat))</definedName>
    <definedName name="Na_1">IF(b_1="",0,INDEX(dd_1,,Add_Na))</definedName>
    <definedName name="Na_10">IF(b_10="",0,INDEX(dd_10,,Add_Na))</definedName>
    <definedName name="Na_11">IF(b_11="",0,INDEX(dd_11,,Add_Na))</definedName>
    <definedName name="Na_12">IF(b_12="",0,INDEX(dd_12,,Add_Na))</definedName>
    <definedName name="Na_13">IF(b_13="",0,INDEX(dd_13,,Add_Na))</definedName>
    <definedName name="Na_14">IF(b_14="",0,INDEX(dd_14,,Add_Na))</definedName>
    <definedName name="Na_15">IF(b_15="",0,INDEX(dd_15,,Add_Na))</definedName>
    <definedName name="Na_16">IF(b_16="",0,INDEX(dd_16,,Add_Na))</definedName>
    <definedName name="Na_17">IF(b_17="",0,INDEX(dd_17,,Add_Na))</definedName>
    <definedName name="Na_18">IF(b_18="",0,INDEX(dd_18,,Add_Na))</definedName>
    <definedName name="Na_19">IF(b_19="",0,INDEX(dd_19,,Add_Na))</definedName>
    <definedName name="Na_2">IF(b_2="",0,INDEX(dd_2,,Add_Na))</definedName>
    <definedName name="Na_20">IF(b_20="",0,INDEX(dd_20,,Add_Na))</definedName>
    <definedName name="Na_3">IF(b_3="",0,INDEX(dd_3,,Add_Na))</definedName>
    <definedName name="Na_4">IF(b_4="",0,INDEX(dd_4,,Add_Na))</definedName>
    <definedName name="Na_5">IF(b_5="",0,INDEX(dd_5,,Add_Na))</definedName>
    <definedName name="Na_6">IF(b_6="",0,INDEX(dd_6,,Add_Na))</definedName>
    <definedName name="Na_7">IF(b_7="",0,INDEX(dd_7,,Add_Na))</definedName>
    <definedName name="Na_8">IF(b_8="",0,INDEX(dd_8,,Add_Na))</definedName>
    <definedName name="Na_9">IF(b_9="",0,INDEX(dd_9,,Add_Na))</definedName>
    <definedName name="Ni_1">IF(b_1="",0,INDEX(dd_1,,Add_Ni))</definedName>
    <definedName name="Ni_10">IF(b_10="",0,INDEX(dd_10,,Add_Ni))</definedName>
    <definedName name="Ni_11">IF(b_11="",0,INDEX(dd_11,,Add_Ni))</definedName>
    <definedName name="Ni_12">IF(b_12="",0,INDEX(dd_12,,Add_Ni))</definedName>
    <definedName name="Ni_13">IF(b_13="",0,INDEX(dd_13,,Add_Ni))</definedName>
    <definedName name="Ni_14">IF(b_14="",0,INDEX(dd_14,,Add_Ni))</definedName>
    <definedName name="Ni_15">IF(b_15="",0,INDEX(dd_15,,Add_Ni))</definedName>
    <definedName name="Ni_16">IF(b_16="",0,INDEX(dd_16,,Add_Ni))</definedName>
    <definedName name="Ni_17">IF(b_17="",0,INDEX(dd_17,,Add_Ni))</definedName>
    <definedName name="Ni_18">IF(b_18="",0,INDEX(dd_18,,Add_Ni))</definedName>
    <definedName name="Ni_19">IF(b_19="",0,INDEX(dd_19,,Add_Ni))</definedName>
    <definedName name="Ni_2">IF(b_2="",0,INDEX(dd_2,,Add_Ni))</definedName>
    <definedName name="Ni_20">IF(b_20="",0,INDEX(dd_20,,Add_Ni))</definedName>
    <definedName name="Ni_3">IF(b_3="",0,INDEX(dd_3,,Add_Ni))</definedName>
    <definedName name="Ni_4">IF(b_4="",0,INDEX(dd_4,,Add_Ni))</definedName>
    <definedName name="Ni_5">IF(b_5="",0,INDEX(dd_5,,Add_Ni))</definedName>
    <definedName name="Ni_6">IF(b_6="",0,INDEX(dd_6,,Add_Ni))</definedName>
    <definedName name="Ni_7">IF(b_7="",0,INDEX(dd_7,,Add_Ni))</definedName>
    <definedName name="Ni_8">IF(b_8="",0,INDEX(dd_8,,Add_Ni))</definedName>
    <definedName name="Ni_9">IF(b_9="",0,INDEX(dd_9,,Add_Ni))</definedName>
    <definedName name="Nitrat_1">IF(b_1="",0,INDEX(dd_1,,Add_Nitrat))</definedName>
    <definedName name="Nitrat_10">IF(b_10="",0,INDEX(dd_10,,Add_Nitrat))</definedName>
    <definedName name="Nitrat_11">IF(b_11="",0,INDEX(dd_11,,Add_Nitrat))</definedName>
    <definedName name="Nitrat_12">IF(b_12="",0,INDEX(dd_12,,Add_Nitrat))</definedName>
    <definedName name="Nitrat_13">IF(b_13="",0,INDEX(dd_13,,Add_Nitrat))</definedName>
    <definedName name="Nitrat_14">IF(b_14="",0,INDEX(dd_14,,Add_Nitrat))</definedName>
    <definedName name="Nitrat_15">IF(b_15="",0,INDEX(dd_15,,Add_Nitrat))</definedName>
    <definedName name="Nitrat_16">IF(b_16="",0,INDEX(dd_16,,Add_Nitrat))</definedName>
    <definedName name="Nitrat_17">IF(b_17="",0,INDEX(dd_17,,Add_Nitrat))</definedName>
    <definedName name="Nitrat_18">IF(b_18="",0,INDEX(dd_18,,Add_Nitrat))</definedName>
    <definedName name="Nitrat_19">IF(b_19="",0,INDEX(dd_19,,Add_Nitrat))</definedName>
    <definedName name="Nitrat_2">IF(b_2="",0,INDEX(dd_2,,Add_Nitrat))</definedName>
    <definedName name="Nitrat_20">IF(b_20="",0,INDEX(dd_20,,Add_Nitrat))</definedName>
    <definedName name="Nitrat_3">IF(b_3="",0,INDEX(dd_3,,Add_Nitrat))</definedName>
    <definedName name="Nitrat_4">IF(b_4="",0,INDEX(dd_4,,Add_Nitrat))</definedName>
    <definedName name="Nitrat_5">IF(b_5="",0,INDEX(dd_5,,Add_Nitrat))</definedName>
    <definedName name="Nitrat_6">IF(b_6="",0,INDEX(dd_6,,Add_Nitrat))</definedName>
    <definedName name="Nitrat_7">IF(b_7="",0,INDEX(dd_7,,Add_Nitrat))</definedName>
    <definedName name="Nitrat_8">IF(b_8="",0,INDEX(dd_8,,Add_Nitrat))</definedName>
    <definedName name="Nitrat_9">IF(b_9="",0,INDEX(dd_9,,Add_Nitrat))</definedName>
    <definedName name="Nnc_1">IF(b_1="",0,INDEX(dd_1,,Add_Nnc))</definedName>
    <definedName name="Nnc_10">IF(b_10="",0,INDEX(dd_10,,Add_Nnc))</definedName>
    <definedName name="Nnc_11">IF(b_11="",0,INDEX(dd_11,,Add_Nnc))</definedName>
    <definedName name="Nnc_12">IF(b_12="",0,INDEX(dd_12,,Add_Nnc))</definedName>
    <definedName name="Nnc_13">IF(b_13="",0,INDEX(dd_13,,Add_Nnc))</definedName>
    <definedName name="Nnc_14">IF(b_14="",0,INDEX(dd_14,,Add_Nnc))</definedName>
    <definedName name="Nnc_15">IF(b_15="",0,INDEX(dd_15,,Add_Nnc))</definedName>
    <definedName name="Nnc_16">IF(b_16="",0,INDEX(dd_16,,Add_Nnc))</definedName>
    <definedName name="Nnc_17">IF(b_17="",0,INDEX(dd_17,,Add_Nnc))</definedName>
    <definedName name="Nnc_18">IF(b_18="",0,INDEX(dd_18,,Add_Nnc))</definedName>
    <definedName name="Nnc_19">IF(b_19="",0,INDEX(dd_19,,Add_Nnc))</definedName>
    <definedName name="Nnc_2">IF(b_2="",0,INDEX(dd_2,,Add_Nnc))</definedName>
    <definedName name="Nnc_20">IF(b_20="",0,INDEX(dd_20,,Add_Nnc))</definedName>
    <definedName name="Nnc_3">IF(b_3="",0,INDEX(dd_3,,Add_Nnc))</definedName>
    <definedName name="Nnc_4">IF(b_4="",0,INDEX(dd_4,,Add_Nnc))</definedName>
    <definedName name="Nnc_5">IF(b_5="",0,INDEX(dd_5,,Add_Nnc))</definedName>
    <definedName name="Nnc_6">IF(b_6="",0,INDEX(dd_6,,Add_Nnc))</definedName>
    <definedName name="Nnc_7">IF(b_7="",0,INDEX(dd_7,,Add_Nnc))</definedName>
    <definedName name="Nnc_8">IF(b_8="",0,INDEX(dd_8,,Add_Nnc))</definedName>
    <definedName name="Nnc_9">IF(b_9="",0,INDEX(dd_9,,Add_Nnc))</definedName>
    <definedName name="Nvoc_1">IF(b_1="",0,INDEX(dd_1,,Add_Nvoc))</definedName>
    <definedName name="Nvoc_10">IF(b_10="",0,INDEX(dd_10,,Add_Nvoc))</definedName>
    <definedName name="Nvoc_11">IF(b_11="",0,INDEX(dd_11,,Add_Nvoc))</definedName>
    <definedName name="Nvoc_12">IF(b_12="",0,INDEX(dd_12,,Add_Nvoc))</definedName>
    <definedName name="Nvoc_13">IF(b_13="",0,INDEX(dd_13,,Add_Nvoc))</definedName>
    <definedName name="Nvoc_14">IF(b_14="",0,INDEX(dd_14,,Add_Nvoc))</definedName>
    <definedName name="Nvoc_15">IF(b_15="",0,INDEX(dd_15,,Add_Nvoc))</definedName>
    <definedName name="Nvoc_16">IF(b_16="",0,INDEX(dd_16,,Add_Nvoc))</definedName>
    <definedName name="Nvoc_17">IF(b_17="",0,INDEX(dd_17,,Add_Nvoc))</definedName>
    <definedName name="Nvoc_18">IF(b_18="",0,INDEX(dd_18,,Add_Nvoc))</definedName>
    <definedName name="Nvoc_19">IF(b_19="",0,INDEX(dd_19,,Add_Nvoc))</definedName>
    <definedName name="Nvoc_2">IF(b_2="",0,INDEX(dd_2,,Add_Nvoc))</definedName>
    <definedName name="Nvoc_20">IF(b_20="",0,INDEX(dd_20,,Add_Nvoc))</definedName>
    <definedName name="Nvoc_3">IF(b_3="",0,INDEX(dd_3,,Add_Nvoc))</definedName>
    <definedName name="Nvoc_4">IF(b_4="",0,INDEX(dd_4,,Add_Nvoc))</definedName>
    <definedName name="Nvoc_5">IF(b_5="",0,INDEX(dd_5,,Add_Nvoc))</definedName>
    <definedName name="Nvoc_6">IF(b_6="",0,INDEX(dd_6,,Add_Nvoc))</definedName>
    <definedName name="Nvoc_7">IF(b_7="",0,INDEX(dd_7,,Add_Nvoc))</definedName>
    <definedName name="Nvoc_8">IF(b_8="",0,INDEX(dd_8,,Add_Nvoc))</definedName>
    <definedName name="Nvoc_9">IF(b_9="",0,INDEX(dd_9,,Add_Nvoc))</definedName>
    <definedName name="sogvv">OFFSET('##'!$I$6,0,0,COUNTA('##'!$I:$I),1)</definedName>
    <definedName name="Sr_1">IF(b_1="",0,INDEX(dd_1,,Add_Sr))</definedName>
    <definedName name="Sr_10">IF(b_10="",0,INDEX(dd_10,,Add_Sr))</definedName>
    <definedName name="Sr_11">IF(b_11="",0,INDEX(dd_11,,Add_Sr))</definedName>
    <definedName name="Sr_12">IF(b_12="",0,INDEX(dd_12,,Add_Sr))</definedName>
    <definedName name="Sr_13">IF(b_13="",0,INDEX(dd_13,,Add_Sr))</definedName>
    <definedName name="Sr_14">IF(b_14="",0,INDEX(dd_14,,Add_Sr))</definedName>
    <definedName name="Sr_15">IF(b_15="",0,INDEX(dd_15,,Add_Sr))</definedName>
    <definedName name="Sr_16">IF(b_16="",0,INDEX(dd_16,,Add_Sr))</definedName>
    <definedName name="Sr_17">IF(b_17="",0,INDEX(dd_17,,Add_Sr))</definedName>
    <definedName name="Sr_18">IF(b_18="",0,INDEX(dd_18,,Add_Sr))</definedName>
    <definedName name="Sr_19">IF(b_19="",0,INDEX(dd_19,,Add_Sr))</definedName>
    <definedName name="Sr_2">IF(b_2="",0,INDEX(dd_2,,Add_Sr))</definedName>
    <definedName name="Sr_20">IF(b_20="",0,INDEX(dd_20,,Add_Sr))</definedName>
    <definedName name="Sr_3">IF(b_3="",0,INDEX(dd_3,,Add_Sr))</definedName>
    <definedName name="Sr_4">IF(b_4="",0,INDEX(dd_4,,Add_Sr))</definedName>
    <definedName name="Sr_5">IF(b_5="",0,INDEX(dd_5,,Add_Sr))</definedName>
    <definedName name="Sr_6">IF(b_6="",0,INDEX(dd_6,,Add_Sr))</definedName>
    <definedName name="Sr_7">IF(b_7="",0,INDEX(dd_7,,Add_Sr))</definedName>
    <definedName name="Sr_8">IF(b_8="",0,INDEX(dd_8,,Add_Sr))</definedName>
    <definedName name="Sr_9">IF(b_9="",0,INDEX(dd_9,,Add_Sr))</definedName>
    <definedName name="Sulfat_1">IF(b_1="",0,INDEX(dd_1,,Add_Sulfat))</definedName>
    <definedName name="Sulfat_10">IF(b_10="",0,INDEX(dd_10,,Add_Sulfat))</definedName>
    <definedName name="Sulfat_11">IF(b_11="",0,INDEX(dd_11,,Add_Sulfat))</definedName>
    <definedName name="Sulfat_12">IF(b_12="",0,INDEX(dd_12,,Add_Sulfat))</definedName>
    <definedName name="Sulfat_13">IF(b_13="",0,INDEX(dd_13,,Add_Sulfat))</definedName>
    <definedName name="Sulfat_14">IF(b_14="",0,INDEX(dd_14,,Add_Sulfat))</definedName>
    <definedName name="Sulfat_15">IF(b_15="",0,INDEX(dd_15,,Add_Sulfat))</definedName>
    <definedName name="Sulfat_16">IF(b_16="",0,INDEX(dd_16,,Add_Sulfat))</definedName>
    <definedName name="Sulfat_17">IF(b_17="",0,INDEX(dd_17,,Add_Sulfat))</definedName>
    <definedName name="Sulfat_18">IF(b_18="",0,INDEX(dd_18,,Add_Sulfat))</definedName>
    <definedName name="Sulfat_19">IF(b_19="",0,INDEX(dd_19,,Add_Sulfat))</definedName>
    <definedName name="Sulfat_2">IF(b_2="",0,INDEX(dd_2,,Add_Sulfat))</definedName>
    <definedName name="Sulfat_20">IF(b_20="",0,INDEX(dd_20,,Add_Sulfat))</definedName>
    <definedName name="Sulfat_3">IF(b_3="",0,INDEX(dd_3,,Add_Sulfat))</definedName>
    <definedName name="Sulfat_4">IF(b_4="",0,INDEX(dd_4,,Add_Sulfat))</definedName>
    <definedName name="Sulfat_5">IF(b_5="",0,INDEX(dd_5,,Add_Sulfat))</definedName>
    <definedName name="Sulfat_6">IF(b_6="",0,INDEX(dd_6,,Add_Sulfat))</definedName>
    <definedName name="Sulfat_7">IF(b_7="",0,INDEX(dd_7,,Add_Sulfat))</definedName>
    <definedName name="Sulfat_8">IF(b_8="",0,INDEX(dd_8,,Add_Sulfat))</definedName>
    <definedName name="Sulfat_9">IF(b_9="",0,INDEX(dd_9,,Add_Sulfat))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1000" i="8" l="1" a="1"/>
  <c r="AB1000" i="8" s="1"/>
  <c r="AA1000" i="8" a="1"/>
  <c r="AA1000" i="8" s="1"/>
  <c r="Z1000" i="8" a="1"/>
  <c r="Z1000" i="8" s="1"/>
  <c r="Y1000" i="8" a="1"/>
  <c r="Y1000" i="8" s="1"/>
  <c r="X1000" i="8" a="1"/>
  <c r="X1000" i="8" s="1"/>
  <c r="W1000" i="8" a="1"/>
  <c r="W1000" i="8" s="1"/>
  <c r="V1000" i="8" a="1"/>
  <c r="V1000" i="8" s="1"/>
  <c r="U1000" i="8" a="1"/>
  <c r="U1000" i="8" s="1"/>
  <c r="T1000" i="8" a="1"/>
  <c r="T1000" i="8" s="1"/>
  <c r="S1000" i="8" a="1"/>
  <c r="S1000" i="8" s="1"/>
  <c r="R1000" i="8" a="1"/>
  <c r="R1000" i="8" s="1"/>
  <c r="Q1000" i="8" a="1"/>
  <c r="Q1000" i="8" s="1"/>
  <c r="P1000" i="8" a="1"/>
  <c r="P1000" i="8" s="1"/>
  <c r="O1000" i="8" a="1"/>
  <c r="O1000" i="8" s="1"/>
  <c r="N1000" i="8" a="1"/>
  <c r="N1000" i="8" s="1"/>
  <c r="M1000" i="8" a="1"/>
  <c r="M1000" i="8" s="1"/>
  <c r="L1000" i="8" a="1"/>
  <c r="L1000" i="8" s="1"/>
  <c r="K1000" i="8" a="1"/>
  <c r="K1000" i="8" s="1"/>
  <c r="J1000" i="8" a="1"/>
  <c r="J1000" i="8" s="1"/>
  <c r="I1000" i="8" a="1"/>
  <c r="I1000" i="8" s="1"/>
  <c r="H1000" i="8" a="1"/>
  <c r="H1000" i="8" s="1"/>
  <c r="G1000" i="8" a="1"/>
  <c r="G1000" i="8" s="1"/>
  <c r="F1000" i="8" a="1"/>
  <c r="F1000" i="8" s="1"/>
  <c r="E1000" i="8" a="1"/>
  <c r="E1000" i="8" s="1"/>
  <c r="AB999" i="8" a="1"/>
  <c r="AB999" i="8" s="1"/>
  <c r="AA999" i="8" a="1"/>
  <c r="AA999" i="8" s="1"/>
  <c r="Z999" i="8" a="1"/>
  <c r="Z999" i="8" s="1"/>
  <c r="Y999" i="8" a="1"/>
  <c r="Y999" i="8" s="1"/>
  <c r="X999" i="8" a="1"/>
  <c r="X999" i="8" s="1"/>
  <c r="W999" i="8" a="1"/>
  <c r="W999" i="8" s="1"/>
  <c r="V999" i="8" a="1"/>
  <c r="V999" i="8" s="1"/>
  <c r="U999" i="8" a="1"/>
  <c r="U999" i="8" s="1"/>
  <c r="T999" i="8" a="1"/>
  <c r="T999" i="8" s="1"/>
  <c r="S999" i="8" a="1"/>
  <c r="S999" i="8" s="1"/>
  <c r="R999" i="8" a="1"/>
  <c r="R999" i="8" s="1"/>
  <c r="Q999" i="8" a="1"/>
  <c r="Q999" i="8" s="1"/>
  <c r="P999" i="8" a="1"/>
  <c r="P999" i="8" s="1"/>
  <c r="O999" i="8" a="1"/>
  <c r="O999" i="8" s="1"/>
  <c r="N999" i="8" a="1"/>
  <c r="N999" i="8" s="1"/>
  <c r="M999" i="8" a="1"/>
  <c r="M999" i="8" s="1"/>
  <c r="L999" i="8" a="1"/>
  <c r="L999" i="8" s="1"/>
  <c r="K999" i="8" a="1"/>
  <c r="K999" i="8" s="1"/>
  <c r="J999" i="8" a="1"/>
  <c r="J999" i="8" s="1"/>
  <c r="I999" i="8" a="1"/>
  <c r="I999" i="8" s="1"/>
  <c r="H999" i="8" a="1"/>
  <c r="H999" i="8" s="1"/>
  <c r="G999" i="8" a="1"/>
  <c r="G999" i="8" s="1"/>
  <c r="F999" i="8" a="1"/>
  <c r="F999" i="8" s="1"/>
  <c r="E999" i="8" a="1"/>
  <c r="E999" i="8" s="1"/>
  <c r="AB998" i="8" a="1"/>
  <c r="AB998" i="8" s="1"/>
  <c r="AA998" i="8" a="1"/>
  <c r="AA998" i="8" s="1"/>
  <c r="Z998" i="8" a="1"/>
  <c r="Z998" i="8" s="1"/>
  <c r="Y998" i="8" a="1"/>
  <c r="Y998" i="8" s="1"/>
  <c r="X998" i="8" a="1"/>
  <c r="X998" i="8" s="1"/>
  <c r="W998" i="8" a="1"/>
  <c r="W998" i="8" s="1"/>
  <c r="V998" i="8" a="1"/>
  <c r="V998" i="8" s="1"/>
  <c r="U998" i="8" a="1"/>
  <c r="U998" i="8" s="1"/>
  <c r="T998" i="8" a="1"/>
  <c r="T998" i="8" s="1"/>
  <c r="S998" i="8" a="1"/>
  <c r="S998" i="8" s="1"/>
  <c r="R998" i="8" a="1"/>
  <c r="R998" i="8" s="1"/>
  <c r="Q998" i="8" a="1"/>
  <c r="Q998" i="8" s="1"/>
  <c r="P998" i="8" a="1"/>
  <c r="P998" i="8" s="1"/>
  <c r="O998" i="8" a="1"/>
  <c r="O998" i="8" s="1"/>
  <c r="N998" i="8" a="1"/>
  <c r="N998" i="8" s="1"/>
  <c r="M998" i="8" a="1"/>
  <c r="M998" i="8" s="1"/>
  <c r="L998" i="8" a="1"/>
  <c r="L998" i="8" s="1"/>
  <c r="K998" i="8" a="1"/>
  <c r="K998" i="8" s="1"/>
  <c r="J998" i="8" a="1"/>
  <c r="J998" i="8" s="1"/>
  <c r="I998" i="8" a="1"/>
  <c r="I998" i="8" s="1"/>
  <c r="H998" i="8" a="1"/>
  <c r="H998" i="8" s="1"/>
  <c r="G998" i="8" a="1"/>
  <c r="G998" i="8" s="1"/>
  <c r="F998" i="8" a="1"/>
  <c r="F998" i="8" s="1"/>
  <c r="E998" i="8" a="1"/>
  <c r="E998" i="8" s="1"/>
  <c r="AB997" i="8" a="1"/>
  <c r="AB997" i="8" s="1"/>
  <c r="AA997" i="8" a="1"/>
  <c r="AA997" i="8" s="1"/>
  <c r="Z997" i="8" a="1"/>
  <c r="Z997" i="8" s="1"/>
  <c r="Y997" i="8" a="1"/>
  <c r="Y997" i="8" s="1"/>
  <c r="X997" i="8" a="1"/>
  <c r="X997" i="8" s="1"/>
  <c r="W997" i="8" a="1"/>
  <c r="W997" i="8" s="1"/>
  <c r="V997" i="8" a="1"/>
  <c r="V997" i="8" s="1"/>
  <c r="U997" i="8" a="1"/>
  <c r="U997" i="8" s="1"/>
  <c r="T997" i="8" a="1"/>
  <c r="T997" i="8" s="1"/>
  <c r="S997" i="8" a="1"/>
  <c r="S997" i="8" s="1"/>
  <c r="R997" i="8" a="1"/>
  <c r="R997" i="8" s="1"/>
  <c r="Q997" i="8" a="1"/>
  <c r="Q997" i="8" s="1"/>
  <c r="P997" i="8" a="1"/>
  <c r="P997" i="8" s="1"/>
  <c r="O997" i="8" a="1"/>
  <c r="O997" i="8" s="1"/>
  <c r="N997" i="8" a="1"/>
  <c r="N997" i="8" s="1"/>
  <c r="M997" i="8" a="1"/>
  <c r="M997" i="8" s="1"/>
  <c r="L997" i="8" a="1"/>
  <c r="L997" i="8" s="1"/>
  <c r="K997" i="8" a="1"/>
  <c r="K997" i="8" s="1"/>
  <c r="J997" i="8" a="1"/>
  <c r="J997" i="8" s="1"/>
  <c r="I997" i="8" a="1"/>
  <c r="I997" i="8" s="1"/>
  <c r="H997" i="8" a="1"/>
  <c r="H997" i="8" s="1"/>
  <c r="G997" i="8" a="1"/>
  <c r="G997" i="8" s="1"/>
  <c r="F997" i="8" a="1"/>
  <c r="F997" i="8" s="1"/>
  <c r="E997" i="8" a="1"/>
  <c r="E997" i="8" s="1"/>
  <c r="AB996" i="8" a="1"/>
  <c r="AB996" i="8" s="1"/>
  <c r="AA996" i="8" a="1"/>
  <c r="AA996" i="8" s="1"/>
  <c r="Z996" i="8" a="1"/>
  <c r="Z996" i="8" s="1"/>
  <c r="Y996" i="8" a="1"/>
  <c r="Y996" i="8" s="1"/>
  <c r="X996" i="8" a="1"/>
  <c r="X996" i="8" s="1"/>
  <c r="W996" i="8" a="1"/>
  <c r="W996" i="8" s="1"/>
  <c r="V996" i="8" a="1"/>
  <c r="V996" i="8" s="1"/>
  <c r="U996" i="8" a="1"/>
  <c r="U996" i="8" s="1"/>
  <c r="T996" i="8" a="1"/>
  <c r="T996" i="8" s="1"/>
  <c r="S996" i="8" a="1"/>
  <c r="S996" i="8" s="1"/>
  <c r="R996" i="8" a="1"/>
  <c r="R996" i="8" s="1"/>
  <c r="Q996" i="8" a="1"/>
  <c r="Q996" i="8" s="1"/>
  <c r="P996" i="8" a="1"/>
  <c r="P996" i="8" s="1"/>
  <c r="O996" i="8" a="1"/>
  <c r="O996" i="8" s="1"/>
  <c r="N996" i="8" a="1"/>
  <c r="N996" i="8" s="1"/>
  <c r="M996" i="8" a="1"/>
  <c r="M996" i="8" s="1"/>
  <c r="L996" i="8" a="1"/>
  <c r="L996" i="8" s="1"/>
  <c r="K996" i="8" a="1"/>
  <c r="K996" i="8" s="1"/>
  <c r="J996" i="8" a="1"/>
  <c r="J996" i="8" s="1"/>
  <c r="I996" i="8" a="1"/>
  <c r="I996" i="8" s="1"/>
  <c r="H996" i="8" a="1"/>
  <c r="H996" i="8" s="1"/>
  <c r="G996" i="8" a="1"/>
  <c r="G996" i="8" s="1"/>
  <c r="F996" i="8" a="1"/>
  <c r="F996" i="8" s="1"/>
  <c r="E996" i="8" a="1"/>
  <c r="E996" i="8" s="1"/>
  <c r="AB995" i="8" a="1"/>
  <c r="AB995" i="8" s="1"/>
  <c r="AA995" i="8" a="1"/>
  <c r="AA995" i="8" s="1"/>
  <c r="Z995" i="8" a="1"/>
  <c r="Z995" i="8" s="1"/>
  <c r="Y995" i="8" a="1"/>
  <c r="Y995" i="8" s="1"/>
  <c r="X995" i="8" a="1"/>
  <c r="X995" i="8" s="1"/>
  <c r="W995" i="8" a="1"/>
  <c r="W995" i="8" s="1"/>
  <c r="V995" i="8" a="1"/>
  <c r="V995" i="8" s="1"/>
  <c r="U995" i="8" a="1"/>
  <c r="U995" i="8" s="1"/>
  <c r="T995" i="8" a="1"/>
  <c r="T995" i="8" s="1"/>
  <c r="S995" i="8" a="1"/>
  <c r="S995" i="8" s="1"/>
  <c r="R995" i="8" a="1"/>
  <c r="R995" i="8" s="1"/>
  <c r="Q995" i="8" a="1"/>
  <c r="Q995" i="8" s="1"/>
  <c r="P995" i="8" a="1"/>
  <c r="P995" i="8" s="1"/>
  <c r="O995" i="8" a="1"/>
  <c r="O995" i="8" s="1"/>
  <c r="N995" i="8" a="1"/>
  <c r="N995" i="8" s="1"/>
  <c r="M995" i="8" a="1"/>
  <c r="M995" i="8" s="1"/>
  <c r="L995" i="8" a="1"/>
  <c r="L995" i="8" s="1"/>
  <c r="K995" i="8" a="1"/>
  <c r="K995" i="8" s="1"/>
  <c r="J995" i="8" a="1"/>
  <c r="J995" i="8" s="1"/>
  <c r="I995" i="8" a="1"/>
  <c r="I995" i="8" s="1"/>
  <c r="H995" i="8" a="1"/>
  <c r="H995" i="8" s="1"/>
  <c r="G995" i="8" a="1"/>
  <c r="G995" i="8" s="1"/>
  <c r="F995" i="8" a="1"/>
  <c r="F995" i="8" s="1"/>
  <c r="E995" i="8" a="1"/>
  <c r="E995" i="8" s="1"/>
  <c r="AB994" i="8" a="1"/>
  <c r="AB994" i="8" s="1"/>
  <c r="AA994" i="8" a="1"/>
  <c r="AA994" i="8" s="1"/>
  <c r="Z994" i="8" a="1"/>
  <c r="Z994" i="8" s="1"/>
  <c r="Y994" i="8" a="1"/>
  <c r="Y994" i="8" s="1"/>
  <c r="X994" i="8" a="1"/>
  <c r="X994" i="8" s="1"/>
  <c r="W994" i="8" a="1"/>
  <c r="W994" i="8" s="1"/>
  <c r="V994" i="8" a="1"/>
  <c r="V994" i="8" s="1"/>
  <c r="U994" i="8" a="1"/>
  <c r="U994" i="8" s="1"/>
  <c r="T994" i="8" a="1"/>
  <c r="T994" i="8" s="1"/>
  <c r="S994" i="8" a="1"/>
  <c r="S994" i="8" s="1"/>
  <c r="R994" i="8" a="1"/>
  <c r="R994" i="8" s="1"/>
  <c r="Q994" i="8" a="1"/>
  <c r="Q994" i="8" s="1"/>
  <c r="P994" i="8" a="1"/>
  <c r="P994" i="8" s="1"/>
  <c r="O994" i="8" a="1"/>
  <c r="O994" i="8" s="1"/>
  <c r="N994" i="8" a="1"/>
  <c r="N994" i="8" s="1"/>
  <c r="M994" i="8" a="1"/>
  <c r="M994" i="8" s="1"/>
  <c r="L994" i="8" a="1"/>
  <c r="L994" i="8" s="1"/>
  <c r="K994" i="8" a="1"/>
  <c r="K994" i="8" s="1"/>
  <c r="J994" i="8" a="1"/>
  <c r="J994" i="8" s="1"/>
  <c r="I994" i="8" a="1"/>
  <c r="I994" i="8" s="1"/>
  <c r="H994" i="8" a="1"/>
  <c r="H994" i="8" s="1"/>
  <c r="G994" i="8" a="1"/>
  <c r="G994" i="8" s="1"/>
  <c r="F994" i="8" a="1"/>
  <c r="F994" i="8" s="1"/>
  <c r="E994" i="8" a="1"/>
  <c r="E994" i="8" s="1"/>
  <c r="AB993" i="8" a="1"/>
  <c r="AB993" i="8" s="1"/>
  <c r="AA993" i="8" a="1"/>
  <c r="AA993" i="8" s="1"/>
  <c r="Z993" i="8" a="1"/>
  <c r="Z993" i="8" s="1"/>
  <c r="Y993" i="8" a="1"/>
  <c r="Y993" i="8" s="1"/>
  <c r="X993" i="8" a="1"/>
  <c r="X993" i="8" s="1"/>
  <c r="W993" i="8" a="1"/>
  <c r="W993" i="8" s="1"/>
  <c r="V993" i="8" a="1"/>
  <c r="V993" i="8" s="1"/>
  <c r="U993" i="8" a="1"/>
  <c r="U993" i="8" s="1"/>
  <c r="T993" i="8" a="1"/>
  <c r="T993" i="8" s="1"/>
  <c r="S993" i="8" a="1"/>
  <c r="S993" i="8" s="1"/>
  <c r="R993" i="8" a="1"/>
  <c r="R993" i="8" s="1"/>
  <c r="Q993" i="8" a="1"/>
  <c r="Q993" i="8" s="1"/>
  <c r="P993" i="8" a="1"/>
  <c r="P993" i="8" s="1"/>
  <c r="O993" i="8" a="1"/>
  <c r="O993" i="8" s="1"/>
  <c r="N993" i="8" a="1"/>
  <c r="N993" i="8" s="1"/>
  <c r="M993" i="8" a="1"/>
  <c r="M993" i="8" s="1"/>
  <c r="L993" i="8" a="1"/>
  <c r="L993" i="8" s="1"/>
  <c r="K993" i="8" a="1"/>
  <c r="K993" i="8" s="1"/>
  <c r="J993" i="8" a="1"/>
  <c r="J993" i="8" s="1"/>
  <c r="I993" i="8" a="1"/>
  <c r="I993" i="8" s="1"/>
  <c r="H993" i="8" a="1"/>
  <c r="H993" i="8" s="1"/>
  <c r="G993" i="8" a="1"/>
  <c r="G993" i="8" s="1"/>
  <c r="F993" i="8" a="1"/>
  <c r="F993" i="8" s="1"/>
  <c r="E993" i="8" a="1"/>
  <c r="E993" i="8" s="1"/>
  <c r="AB992" i="8" a="1"/>
  <c r="AB992" i="8" s="1"/>
  <c r="AA992" i="8" a="1"/>
  <c r="AA992" i="8" s="1"/>
  <c r="Z992" i="8" a="1"/>
  <c r="Z992" i="8" s="1"/>
  <c r="Y992" i="8" a="1"/>
  <c r="Y992" i="8" s="1"/>
  <c r="X992" i="8" a="1"/>
  <c r="X992" i="8" s="1"/>
  <c r="W992" i="8" a="1"/>
  <c r="W992" i="8" s="1"/>
  <c r="V992" i="8" a="1"/>
  <c r="V992" i="8" s="1"/>
  <c r="U992" i="8" a="1"/>
  <c r="U992" i="8" s="1"/>
  <c r="T992" i="8" a="1"/>
  <c r="T992" i="8" s="1"/>
  <c r="S992" i="8" a="1"/>
  <c r="S992" i="8" s="1"/>
  <c r="R992" i="8" a="1"/>
  <c r="R992" i="8" s="1"/>
  <c r="Q992" i="8" a="1"/>
  <c r="Q992" i="8" s="1"/>
  <c r="P992" i="8" a="1"/>
  <c r="P992" i="8" s="1"/>
  <c r="O992" i="8" a="1"/>
  <c r="O992" i="8" s="1"/>
  <c r="N992" i="8" a="1"/>
  <c r="N992" i="8" s="1"/>
  <c r="M992" i="8" a="1"/>
  <c r="M992" i="8" s="1"/>
  <c r="L992" i="8" a="1"/>
  <c r="L992" i="8" s="1"/>
  <c r="K992" i="8" a="1"/>
  <c r="K992" i="8" s="1"/>
  <c r="J992" i="8" a="1"/>
  <c r="J992" i="8" s="1"/>
  <c r="I992" i="8" a="1"/>
  <c r="I992" i="8" s="1"/>
  <c r="H992" i="8" a="1"/>
  <c r="H992" i="8" s="1"/>
  <c r="G992" i="8" a="1"/>
  <c r="G992" i="8" s="1"/>
  <c r="F992" i="8" a="1"/>
  <c r="F992" i="8" s="1"/>
  <c r="E992" i="8" a="1"/>
  <c r="E992" i="8" s="1"/>
  <c r="AB991" i="8" a="1"/>
  <c r="AB991" i="8" s="1"/>
  <c r="AA991" i="8" a="1"/>
  <c r="AA991" i="8" s="1"/>
  <c r="Z991" i="8" a="1"/>
  <c r="Z991" i="8" s="1"/>
  <c r="Y991" i="8" a="1"/>
  <c r="Y991" i="8" s="1"/>
  <c r="X991" i="8" a="1"/>
  <c r="X991" i="8" s="1"/>
  <c r="W991" i="8" a="1"/>
  <c r="W991" i="8" s="1"/>
  <c r="V991" i="8" a="1"/>
  <c r="V991" i="8" s="1"/>
  <c r="U991" i="8" a="1"/>
  <c r="U991" i="8" s="1"/>
  <c r="T991" i="8" a="1"/>
  <c r="T991" i="8" s="1"/>
  <c r="S991" i="8" a="1"/>
  <c r="S991" i="8" s="1"/>
  <c r="R991" i="8" a="1"/>
  <c r="R991" i="8" s="1"/>
  <c r="Q991" i="8" a="1"/>
  <c r="Q991" i="8" s="1"/>
  <c r="P991" i="8" a="1"/>
  <c r="P991" i="8" s="1"/>
  <c r="O991" i="8" a="1"/>
  <c r="O991" i="8" s="1"/>
  <c r="N991" i="8" a="1"/>
  <c r="N991" i="8" s="1"/>
  <c r="M991" i="8" a="1"/>
  <c r="M991" i="8" s="1"/>
  <c r="L991" i="8" a="1"/>
  <c r="L991" i="8" s="1"/>
  <c r="K991" i="8" a="1"/>
  <c r="K991" i="8" s="1"/>
  <c r="J991" i="8" a="1"/>
  <c r="J991" i="8" s="1"/>
  <c r="I991" i="8" a="1"/>
  <c r="I991" i="8" s="1"/>
  <c r="H991" i="8" a="1"/>
  <c r="H991" i="8" s="1"/>
  <c r="G991" i="8" a="1"/>
  <c r="G991" i="8" s="1"/>
  <c r="F991" i="8" a="1"/>
  <c r="F991" i="8" s="1"/>
  <c r="E991" i="8" a="1"/>
  <c r="E991" i="8" s="1"/>
  <c r="AB990" i="8" a="1"/>
  <c r="AB990" i="8" s="1"/>
  <c r="AA990" i="8" a="1"/>
  <c r="AA990" i="8" s="1"/>
  <c r="Z990" i="8" a="1"/>
  <c r="Z990" i="8" s="1"/>
  <c r="Y990" i="8" a="1"/>
  <c r="Y990" i="8" s="1"/>
  <c r="X990" i="8" a="1"/>
  <c r="X990" i="8" s="1"/>
  <c r="W990" i="8" a="1"/>
  <c r="W990" i="8" s="1"/>
  <c r="V990" i="8" a="1"/>
  <c r="V990" i="8" s="1"/>
  <c r="U990" i="8" a="1"/>
  <c r="U990" i="8" s="1"/>
  <c r="T990" i="8" a="1"/>
  <c r="T990" i="8" s="1"/>
  <c r="S990" i="8" a="1"/>
  <c r="S990" i="8" s="1"/>
  <c r="R990" i="8" a="1"/>
  <c r="R990" i="8" s="1"/>
  <c r="Q990" i="8" a="1"/>
  <c r="Q990" i="8" s="1"/>
  <c r="P990" i="8" a="1"/>
  <c r="P990" i="8" s="1"/>
  <c r="O990" i="8" a="1"/>
  <c r="O990" i="8" s="1"/>
  <c r="N990" i="8" a="1"/>
  <c r="N990" i="8" s="1"/>
  <c r="M990" i="8" a="1"/>
  <c r="M990" i="8" s="1"/>
  <c r="L990" i="8" a="1"/>
  <c r="L990" i="8" s="1"/>
  <c r="K990" i="8" a="1"/>
  <c r="K990" i="8" s="1"/>
  <c r="J990" i="8" a="1"/>
  <c r="J990" i="8" s="1"/>
  <c r="I990" i="8" a="1"/>
  <c r="I990" i="8" s="1"/>
  <c r="H990" i="8" a="1"/>
  <c r="H990" i="8" s="1"/>
  <c r="G990" i="8" a="1"/>
  <c r="G990" i="8" s="1"/>
  <c r="F990" i="8" a="1"/>
  <c r="F990" i="8" s="1"/>
  <c r="E990" i="8" a="1"/>
  <c r="E990" i="8" s="1"/>
  <c r="AB989" i="8" a="1"/>
  <c r="AB989" i="8" s="1"/>
  <c r="AA989" i="8" a="1"/>
  <c r="AA989" i="8" s="1"/>
  <c r="Z989" i="8" a="1"/>
  <c r="Z989" i="8" s="1"/>
  <c r="Y989" i="8" a="1"/>
  <c r="Y989" i="8" s="1"/>
  <c r="X989" i="8" a="1"/>
  <c r="X989" i="8" s="1"/>
  <c r="W989" i="8" a="1"/>
  <c r="W989" i="8" s="1"/>
  <c r="V989" i="8" a="1"/>
  <c r="V989" i="8" s="1"/>
  <c r="U989" i="8" a="1"/>
  <c r="U989" i="8" s="1"/>
  <c r="T989" i="8" a="1"/>
  <c r="T989" i="8" s="1"/>
  <c r="S989" i="8" a="1"/>
  <c r="S989" i="8" s="1"/>
  <c r="R989" i="8" a="1"/>
  <c r="R989" i="8" s="1"/>
  <c r="Q989" i="8" a="1"/>
  <c r="Q989" i="8" s="1"/>
  <c r="P989" i="8" a="1"/>
  <c r="P989" i="8" s="1"/>
  <c r="O989" i="8" a="1"/>
  <c r="O989" i="8" s="1"/>
  <c r="N989" i="8" a="1"/>
  <c r="N989" i="8" s="1"/>
  <c r="M989" i="8" a="1"/>
  <c r="M989" i="8" s="1"/>
  <c r="L989" i="8" a="1"/>
  <c r="L989" i="8" s="1"/>
  <c r="K989" i="8" a="1"/>
  <c r="K989" i="8" s="1"/>
  <c r="J989" i="8" a="1"/>
  <c r="J989" i="8" s="1"/>
  <c r="I989" i="8" a="1"/>
  <c r="I989" i="8" s="1"/>
  <c r="H989" i="8" a="1"/>
  <c r="H989" i="8" s="1"/>
  <c r="G989" i="8" a="1"/>
  <c r="G989" i="8" s="1"/>
  <c r="F989" i="8" a="1"/>
  <c r="F989" i="8" s="1"/>
  <c r="E989" i="8" a="1"/>
  <c r="E989" i="8" s="1"/>
  <c r="AB988" i="8" a="1"/>
  <c r="AB988" i="8" s="1"/>
  <c r="AA988" i="8" a="1"/>
  <c r="AA988" i="8" s="1"/>
  <c r="Z988" i="8" a="1"/>
  <c r="Z988" i="8" s="1"/>
  <c r="Y988" i="8" a="1"/>
  <c r="Y988" i="8" s="1"/>
  <c r="X988" i="8" a="1"/>
  <c r="X988" i="8" s="1"/>
  <c r="W988" i="8" a="1"/>
  <c r="W988" i="8" s="1"/>
  <c r="V988" i="8" a="1"/>
  <c r="V988" i="8" s="1"/>
  <c r="U988" i="8" a="1"/>
  <c r="U988" i="8" s="1"/>
  <c r="T988" i="8" a="1"/>
  <c r="T988" i="8" s="1"/>
  <c r="S988" i="8" a="1"/>
  <c r="S988" i="8" s="1"/>
  <c r="R988" i="8" a="1"/>
  <c r="R988" i="8" s="1"/>
  <c r="Q988" i="8" a="1"/>
  <c r="Q988" i="8" s="1"/>
  <c r="P988" i="8" a="1"/>
  <c r="P988" i="8" s="1"/>
  <c r="O988" i="8" a="1"/>
  <c r="O988" i="8" s="1"/>
  <c r="N988" i="8" a="1"/>
  <c r="N988" i="8" s="1"/>
  <c r="M988" i="8" a="1"/>
  <c r="M988" i="8" s="1"/>
  <c r="L988" i="8" a="1"/>
  <c r="L988" i="8" s="1"/>
  <c r="K988" i="8" a="1"/>
  <c r="K988" i="8" s="1"/>
  <c r="J988" i="8" a="1"/>
  <c r="J988" i="8" s="1"/>
  <c r="I988" i="8" a="1"/>
  <c r="I988" i="8" s="1"/>
  <c r="H988" i="8" a="1"/>
  <c r="H988" i="8" s="1"/>
  <c r="G988" i="8" a="1"/>
  <c r="G988" i="8" s="1"/>
  <c r="F988" i="8" a="1"/>
  <c r="F988" i="8" s="1"/>
  <c r="E988" i="8" a="1"/>
  <c r="E988" i="8" s="1"/>
  <c r="AB987" i="8" a="1"/>
  <c r="AB987" i="8" s="1"/>
  <c r="AA987" i="8" a="1"/>
  <c r="AA987" i="8" s="1"/>
  <c r="Z987" i="8" a="1"/>
  <c r="Z987" i="8" s="1"/>
  <c r="Y987" i="8" a="1"/>
  <c r="Y987" i="8" s="1"/>
  <c r="X987" i="8" a="1"/>
  <c r="X987" i="8" s="1"/>
  <c r="W987" i="8" a="1"/>
  <c r="W987" i="8" s="1"/>
  <c r="V987" i="8" a="1"/>
  <c r="V987" i="8" s="1"/>
  <c r="U987" i="8" a="1"/>
  <c r="U987" i="8" s="1"/>
  <c r="T987" i="8" a="1"/>
  <c r="T987" i="8" s="1"/>
  <c r="S987" i="8" a="1"/>
  <c r="S987" i="8" s="1"/>
  <c r="R987" i="8" a="1"/>
  <c r="R987" i="8" s="1"/>
  <c r="Q987" i="8" a="1"/>
  <c r="Q987" i="8" s="1"/>
  <c r="P987" i="8" a="1"/>
  <c r="P987" i="8" s="1"/>
  <c r="O987" i="8" a="1"/>
  <c r="O987" i="8" s="1"/>
  <c r="N987" i="8" a="1"/>
  <c r="N987" i="8" s="1"/>
  <c r="M987" i="8" a="1"/>
  <c r="M987" i="8" s="1"/>
  <c r="L987" i="8" a="1"/>
  <c r="L987" i="8" s="1"/>
  <c r="K987" i="8" a="1"/>
  <c r="K987" i="8" s="1"/>
  <c r="J987" i="8" a="1"/>
  <c r="J987" i="8" s="1"/>
  <c r="I987" i="8" a="1"/>
  <c r="I987" i="8" s="1"/>
  <c r="H987" i="8" a="1"/>
  <c r="H987" i="8" s="1"/>
  <c r="G987" i="8" a="1"/>
  <c r="G987" i="8" s="1"/>
  <c r="F987" i="8" a="1"/>
  <c r="F987" i="8" s="1"/>
  <c r="E987" i="8" a="1"/>
  <c r="E987" i="8" s="1"/>
  <c r="AB986" i="8" a="1"/>
  <c r="AB986" i="8" s="1"/>
  <c r="AA986" i="8" a="1"/>
  <c r="AA986" i="8" s="1"/>
  <c r="Z986" i="8" a="1"/>
  <c r="Z986" i="8" s="1"/>
  <c r="Y986" i="8" a="1"/>
  <c r="Y986" i="8" s="1"/>
  <c r="X986" i="8" a="1"/>
  <c r="X986" i="8" s="1"/>
  <c r="W986" i="8" a="1"/>
  <c r="W986" i="8" s="1"/>
  <c r="V986" i="8" a="1"/>
  <c r="V986" i="8" s="1"/>
  <c r="U986" i="8" a="1"/>
  <c r="U986" i="8" s="1"/>
  <c r="T986" i="8" a="1"/>
  <c r="T986" i="8" s="1"/>
  <c r="S986" i="8" a="1"/>
  <c r="S986" i="8" s="1"/>
  <c r="R986" i="8" a="1"/>
  <c r="R986" i="8" s="1"/>
  <c r="Q986" i="8" a="1"/>
  <c r="Q986" i="8" s="1"/>
  <c r="P986" i="8" a="1"/>
  <c r="P986" i="8" s="1"/>
  <c r="O986" i="8" a="1"/>
  <c r="O986" i="8" s="1"/>
  <c r="N986" i="8" a="1"/>
  <c r="N986" i="8" s="1"/>
  <c r="M986" i="8" a="1"/>
  <c r="M986" i="8" s="1"/>
  <c r="L986" i="8" a="1"/>
  <c r="L986" i="8" s="1"/>
  <c r="K986" i="8" a="1"/>
  <c r="K986" i="8" s="1"/>
  <c r="J986" i="8" a="1"/>
  <c r="J986" i="8" s="1"/>
  <c r="I986" i="8" a="1"/>
  <c r="I986" i="8" s="1"/>
  <c r="H986" i="8" a="1"/>
  <c r="H986" i="8" s="1"/>
  <c r="G986" i="8" a="1"/>
  <c r="G986" i="8" s="1"/>
  <c r="F986" i="8" a="1"/>
  <c r="F986" i="8" s="1"/>
  <c r="E986" i="8" a="1"/>
  <c r="E986" i="8" s="1"/>
  <c r="AB985" i="8" a="1"/>
  <c r="AB985" i="8" s="1"/>
  <c r="AA985" i="8" a="1"/>
  <c r="AA985" i="8" s="1"/>
  <c r="Z985" i="8" a="1"/>
  <c r="Z985" i="8" s="1"/>
  <c r="Y985" i="8" a="1"/>
  <c r="Y985" i="8" s="1"/>
  <c r="X985" i="8" a="1"/>
  <c r="X985" i="8" s="1"/>
  <c r="W985" i="8" a="1"/>
  <c r="W985" i="8" s="1"/>
  <c r="V985" i="8" a="1"/>
  <c r="V985" i="8" s="1"/>
  <c r="U985" i="8" a="1"/>
  <c r="U985" i="8" s="1"/>
  <c r="T985" i="8" a="1"/>
  <c r="T985" i="8" s="1"/>
  <c r="S985" i="8" a="1"/>
  <c r="S985" i="8" s="1"/>
  <c r="R985" i="8" a="1"/>
  <c r="R985" i="8" s="1"/>
  <c r="Q985" i="8" a="1"/>
  <c r="Q985" i="8" s="1"/>
  <c r="P985" i="8" a="1"/>
  <c r="P985" i="8" s="1"/>
  <c r="O985" i="8" a="1"/>
  <c r="O985" i="8" s="1"/>
  <c r="N985" i="8" a="1"/>
  <c r="N985" i="8" s="1"/>
  <c r="M985" i="8" a="1"/>
  <c r="M985" i="8" s="1"/>
  <c r="L985" i="8" a="1"/>
  <c r="L985" i="8" s="1"/>
  <c r="K985" i="8" a="1"/>
  <c r="K985" i="8" s="1"/>
  <c r="J985" i="8" a="1"/>
  <c r="J985" i="8" s="1"/>
  <c r="I985" i="8" a="1"/>
  <c r="I985" i="8" s="1"/>
  <c r="H985" i="8" a="1"/>
  <c r="H985" i="8" s="1"/>
  <c r="G985" i="8" a="1"/>
  <c r="G985" i="8" s="1"/>
  <c r="F985" i="8" a="1"/>
  <c r="F985" i="8" s="1"/>
  <c r="E985" i="8" a="1"/>
  <c r="E985" i="8" s="1"/>
  <c r="AB984" i="8" a="1"/>
  <c r="AB984" i="8" s="1"/>
  <c r="AA984" i="8" a="1"/>
  <c r="AA984" i="8" s="1"/>
  <c r="Z984" i="8" a="1"/>
  <c r="Z984" i="8" s="1"/>
  <c r="Y984" i="8" a="1"/>
  <c r="Y984" i="8" s="1"/>
  <c r="X984" i="8" a="1"/>
  <c r="X984" i="8" s="1"/>
  <c r="W984" i="8" a="1"/>
  <c r="W984" i="8" s="1"/>
  <c r="V984" i="8" a="1"/>
  <c r="V984" i="8" s="1"/>
  <c r="U984" i="8" a="1"/>
  <c r="U984" i="8" s="1"/>
  <c r="T984" i="8" a="1"/>
  <c r="T984" i="8" s="1"/>
  <c r="S984" i="8" a="1"/>
  <c r="S984" i="8" s="1"/>
  <c r="R984" i="8" a="1"/>
  <c r="R984" i="8" s="1"/>
  <c r="Q984" i="8" a="1"/>
  <c r="Q984" i="8" s="1"/>
  <c r="P984" i="8" a="1"/>
  <c r="P984" i="8" s="1"/>
  <c r="O984" i="8" a="1"/>
  <c r="O984" i="8" s="1"/>
  <c r="N984" i="8" a="1"/>
  <c r="N984" i="8" s="1"/>
  <c r="M984" i="8" a="1"/>
  <c r="M984" i="8" s="1"/>
  <c r="L984" i="8" a="1"/>
  <c r="L984" i="8" s="1"/>
  <c r="K984" i="8" a="1"/>
  <c r="K984" i="8" s="1"/>
  <c r="J984" i="8" a="1"/>
  <c r="J984" i="8" s="1"/>
  <c r="I984" i="8" a="1"/>
  <c r="I984" i="8" s="1"/>
  <c r="H984" i="8" a="1"/>
  <c r="H984" i="8" s="1"/>
  <c r="G984" i="8" a="1"/>
  <c r="G984" i="8" s="1"/>
  <c r="F984" i="8" a="1"/>
  <c r="F984" i="8" s="1"/>
  <c r="E984" i="8" a="1"/>
  <c r="E984" i="8" s="1"/>
  <c r="AB983" i="8" a="1"/>
  <c r="AB983" i="8" s="1"/>
  <c r="AA983" i="8" a="1"/>
  <c r="AA983" i="8" s="1"/>
  <c r="Z983" i="8" a="1"/>
  <c r="Z983" i="8" s="1"/>
  <c r="Y983" i="8" a="1"/>
  <c r="Y983" i="8" s="1"/>
  <c r="X983" i="8" a="1"/>
  <c r="X983" i="8" s="1"/>
  <c r="W983" i="8" a="1"/>
  <c r="W983" i="8" s="1"/>
  <c r="V983" i="8" a="1"/>
  <c r="V983" i="8" s="1"/>
  <c r="U983" i="8" a="1"/>
  <c r="U983" i="8" s="1"/>
  <c r="T983" i="8" a="1"/>
  <c r="T983" i="8" s="1"/>
  <c r="S983" i="8" a="1"/>
  <c r="S983" i="8" s="1"/>
  <c r="R983" i="8" a="1"/>
  <c r="R983" i="8" s="1"/>
  <c r="Q983" i="8" a="1"/>
  <c r="Q983" i="8" s="1"/>
  <c r="P983" i="8" a="1"/>
  <c r="P983" i="8" s="1"/>
  <c r="O983" i="8" a="1"/>
  <c r="O983" i="8" s="1"/>
  <c r="N983" i="8" a="1"/>
  <c r="N983" i="8" s="1"/>
  <c r="M983" i="8" a="1"/>
  <c r="M983" i="8" s="1"/>
  <c r="L983" i="8" a="1"/>
  <c r="L983" i="8" s="1"/>
  <c r="K983" i="8" a="1"/>
  <c r="K983" i="8" s="1"/>
  <c r="J983" i="8" a="1"/>
  <c r="J983" i="8" s="1"/>
  <c r="I983" i="8" a="1"/>
  <c r="I983" i="8" s="1"/>
  <c r="H983" i="8" a="1"/>
  <c r="H983" i="8" s="1"/>
  <c r="G983" i="8" a="1"/>
  <c r="G983" i="8" s="1"/>
  <c r="F983" i="8" a="1"/>
  <c r="F983" i="8" s="1"/>
  <c r="E983" i="8" a="1"/>
  <c r="E983" i="8" s="1"/>
  <c r="AB982" i="8" a="1"/>
  <c r="AB982" i="8" s="1"/>
  <c r="AA982" i="8" a="1"/>
  <c r="AA982" i="8" s="1"/>
  <c r="Z982" i="8" a="1"/>
  <c r="Z982" i="8" s="1"/>
  <c r="Y982" i="8" a="1"/>
  <c r="Y982" i="8" s="1"/>
  <c r="X982" i="8" a="1"/>
  <c r="X982" i="8" s="1"/>
  <c r="W982" i="8" a="1"/>
  <c r="W982" i="8" s="1"/>
  <c r="V982" i="8" a="1"/>
  <c r="V982" i="8" s="1"/>
  <c r="U982" i="8" a="1"/>
  <c r="U982" i="8" s="1"/>
  <c r="T982" i="8" a="1"/>
  <c r="T982" i="8" s="1"/>
  <c r="S982" i="8" a="1"/>
  <c r="S982" i="8" s="1"/>
  <c r="R982" i="8" a="1"/>
  <c r="R982" i="8" s="1"/>
  <c r="Q982" i="8" a="1"/>
  <c r="Q982" i="8" s="1"/>
  <c r="P982" i="8" a="1"/>
  <c r="P982" i="8" s="1"/>
  <c r="O982" i="8" a="1"/>
  <c r="O982" i="8" s="1"/>
  <c r="N982" i="8" a="1"/>
  <c r="N982" i="8" s="1"/>
  <c r="M982" i="8" a="1"/>
  <c r="M982" i="8" s="1"/>
  <c r="L982" i="8" a="1"/>
  <c r="L982" i="8" s="1"/>
  <c r="K982" i="8" a="1"/>
  <c r="K982" i="8" s="1"/>
  <c r="J982" i="8" a="1"/>
  <c r="J982" i="8" s="1"/>
  <c r="I982" i="8" a="1"/>
  <c r="I982" i="8" s="1"/>
  <c r="H982" i="8" a="1"/>
  <c r="H982" i="8" s="1"/>
  <c r="G982" i="8" a="1"/>
  <c r="G982" i="8" s="1"/>
  <c r="F982" i="8" a="1"/>
  <c r="F982" i="8" s="1"/>
  <c r="E982" i="8" a="1"/>
  <c r="E982" i="8" s="1"/>
  <c r="AB981" i="8" a="1"/>
  <c r="AB981" i="8" s="1"/>
  <c r="AA981" i="8" a="1"/>
  <c r="AA981" i="8" s="1"/>
  <c r="Z981" i="8" a="1"/>
  <c r="Z981" i="8" s="1"/>
  <c r="Y981" i="8" a="1"/>
  <c r="Y981" i="8" s="1"/>
  <c r="X981" i="8" a="1"/>
  <c r="X981" i="8" s="1"/>
  <c r="W981" i="8" a="1"/>
  <c r="W981" i="8" s="1"/>
  <c r="V981" i="8" a="1"/>
  <c r="V981" i="8" s="1"/>
  <c r="U981" i="8" a="1"/>
  <c r="U981" i="8" s="1"/>
  <c r="T981" i="8" a="1"/>
  <c r="T981" i="8" s="1"/>
  <c r="S981" i="8" a="1"/>
  <c r="S981" i="8" s="1"/>
  <c r="R981" i="8" a="1"/>
  <c r="R981" i="8" s="1"/>
  <c r="Q981" i="8" a="1"/>
  <c r="Q981" i="8" s="1"/>
  <c r="P981" i="8" a="1"/>
  <c r="P981" i="8" s="1"/>
  <c r="O981" i="8" a="1"/>
  <c r="O981" i="8" s="1"/>
  <c r="N981" i="8" a="1"/>
  <c r="N981" i="8" s="1"/>
  <c r="M981" i="8" a="1"/>
  <c r="M981" i="8" s="1"/>
  <c r="L981" i="8" a="1"/>
  <c r="L981" i="8" s="1"/>
  <c r="K981" i="8" a="1"/>
  <c r="K981" i="8" s="1"/>
  <c r="J981" i="8" a="1"/>
  <c r="J981" i="8" s="1"/>
  <c r="I981" i="8" a="1"/>
  <c r="I981" i="8" s="1"/>
  <c r="H981" i="8" a="1"/>
  <c r="H981" i="8" s="1"/>
  <c r="G981" i="8" a="1"/>
  <c r="G981" i="8" s="1"/>
  <c r="F981" i="8" a="1"/>
  <c r="F981" i="8" s="1"/>
  <c r="E981" i="8" a="1"/>
  <c r="E981" i="8" s="1"/>
  <c r="AB980" i="8" a="1"/>
  <c r="AB980" i="8" s="1"/>
  <c r="AA980" i="8" a="1"/>
  <c r="AA980" i="8" s="1"/>
  <c r="Z980" i="8" a="1"/>
  <c r="Z980" i="8" s="1"/>
  <c r="Y980" i="8" a="1"/>
  <c r="Y980" i="8" s="1"/>
  <c r="X980" i="8" a="1"/>
  <c r="X980" i="8" s="1"/>
  <c r="W980" i="8" a="1"/>
  <c r="W980" i="8" s="1"/>
  <c r="V980" i="8" a="1"/>
  <c r="V980" i="8" s="1"/>
  <c r="U980" i="8" a="1"/>
  <c r="U980" i="8" s="1"/>
  <c r="T980" i="8" a="1"/>
  <c r="T980" i="8" s="1"/>
  <c r="S980" i="8" a="1"/>
  <c r="S980" i="8" s="1"/>
  <c r="R980" i="8" a="1"/>
  <c r="R980" i="8" s="1"/>
  <c r="Q980" i="8" a="1"/>
  <c r="Q980" i="8" s="1"/>
  <c r="P980" i="8" a="1"/>
  <c r="P980" i="8" s="1"/>
  <c r="O980" i="8" a="1"/>
  <c r="O980" i="8" s="1"/>
  <c r="N980" i="8" a="1"/>
  <c r="N980" i="8" s="1"/>
  <c r="M980" i="8" a="1"/>
  <c r="M980" i="8" s="1"/>
  <c r="L980" i="8" a="1"/>
  <c r="L980" i="8" s="1"/>
  <c r="K980" i="8" a="1"/>
  <c r="K980" i="8" s="1"/>
  <c r="J980" i="8" a="1"/>
  <c r="J980" i="8" s="1"/>
  <c r="I980" i="8" a="1"/>
  <c r="I980" i="8" s="1"/>
  <c r="H980" i="8" a="1"/>
  <c r="H980" i="8" s="1"/>
  <c r="G980" i="8" a="1"/>
  <c r="G980" i="8" s="1"/>
  <c r="F980" i="8" a="1"/>
  <c r="F980" i="8" s="1"/>
  <c r="E980" i="8" a="1"/>
  <c r="E980" i="8" s="1"/>
  <c r="AB979" i="8" a="1"/>
  <c r="AB979" i="8" s="1"/>
  <c r="AA979" i="8" a="1"/>
  <c r="AA979" i="8" s="1"/>
  <c r="Z979" i="8" a="1"/>
  <c r="Z979" i="8" s="1"/>
  <c r="Y979" i="8" a="1"/>
  <c r="Y979" i="8" s="1"/>
  <c r="X979" i="8" a="1"/>
  <c r="X979" i="8" s="1"/>
  <c r="W979" i="8" a="1"/>
  <c r="W979" i="8" s="1"/>
  <c r="V979" i="8" a="1"/>
  <c r="V979" i="8" s="1"/>
  <c r="U979" i="8" a="1"/>
  <c r="U979" i="8" s="1"/>
  <c r="T979" i="8" a="1"/>
  <c r="T979" i="8" s="1"/>
  <c r="S979" i="8" a="1"/>
  <c r="S979" i="8" s="1"/>
  <c r="R979" i="8" a="1"/>
  <c r="R979" i="8" s="1"/>
  <c r="Q979" i="8" a="1"/>
  <c r="Q979" i="8" s="1"/>
  <c r="P979" i="8" a="1"/>
  <c r="P979" i="8" s="1"/>
  <c r="O979" i="8" a="1"/>
  <c r="O979" i="8" s="1"/>
  <c r="N979" i="8" a="1"/>
  <c r="N979" i="8" s="1"/>
  <c r="M979" i="8" a="1"/>
  <c r="M979" i="8" s="1"/>
  <c r="L979" i="8" a="1"/>
  <c r="L979" i="8" s="1"/>
  <c r="K979" i="8" a="1"/>
  <c r="K979" i="8" s="1"/>
  <c r="J979" i="8" a="1"/>
  <c r="J979" i="8" s="1"/>
  <c r="I979" i="8" a="1"/>
  <c r="I979" i="8" s="1"/>
  <c r="H979" i="8" a="1"/>
  <c r="H979" i="8" s="1"/>
  <c r="G979" i="8" a="1"/>
  <c r="G979" i="8" s="1"/>
  <c r="F979" i="8" a="1"/>
  <c r="F979" i="8" s="1"/>
  <c r="E979" i="8" a="1"/>
  <c r="E979" i="8" s="1"/>
  <c r="AB978" i="8" a="1"/>
  <c r="AB978" i="8" s="1"/>
  <c r="AA978" i="8" a="1"/>
  <c r="AA978" i="8" s="1"/>
  <c r="Z978" i="8" a="1"/>
  <c r="Z978" i="8" s="1"/>
  <c r="Y978" i="8" a="1"/>
  <c r="Y978" i="8" s="1"/>
  <c r="X978" i="8" a="1"/>
  <c r="X978" i="8" s="1"/>
  <c r="W978" i="8" a="1"/>
  <c r="W978" i="8" s="1"/>
  <c r="V978" i="8" a="1"/>
  <c r="V978" i="8" s="1"/>
  <c r="U978" i="8" a="1"/>
  <c r="U978" i="8" s="1"/>
  <c r="T978" i="8" a="1"/>
  <c r="T978" i="8" s="1"/>
  <c r="S978" i="8" a="1"/>
  <c r="S978" i="8" s="1"/>
  <c r="R978" i="8" a="1"/>
  <c r="R978" i="8" s="1"/>
  <c r="Q978" i="8" a="1"/>
  <c r="Q978" i="8" s="1"/>
  <c r="P978" i="8" a="1"/>
  <c r="P978" i="8" s="1"/>
  <c r="O978" i="8" a="1"/>
  <c r="O978" i="8" s="1"/>
  <c r="N978" i="8" a="1"/>
  <c r="N978" i="8" s="1"/>
  <c r="M978" i="8" a="1"/>
  <c r="M978" i="8" s="1"/>
  <c r="L978" i="8" a="1"/>
  <c r="L978" i="8" s="1"/>
  <c r="K978" i="8" a="1"/>
  <c r="K978" i="8" s="1"/>
  <c r="J978" i="8" a="1"/>
  <c r="J978" i="8" s="1"/>
  <c r="I978" i="8" a="1"/>
  <c r="I978" i="8" s="1"/>
  <c r="H978" i="8" a="1"/>
  <c r="H978" i="8" s="1"/>
  <c r="G978" i="8" a="1"/>
  <c r="G978" i="8" s="1"/>
  <c r="F978" i="8" a="1"/>
  <c r="F978" i="8" s="1"/>
  <c r="E978" i="8" a="1"/>
  <c r="E978" i="8" s="1"/>
  <c r="AB977" i="8" a="1"/>
  <c r="AB977" i="8" s="1"/>
  <c r="AA977" i="8" a="1"/>
  <c r="AA977" i="8" s="1"/>
  <c r="Z977" i="8" a="1"/>
  <c r="Z977" i="8" s="1"/>
  <c r="Y977" i="8" a="1"/>
  <c r="Y977" i="8" s="1"/>
  <c r="X977" i="8" a="1"/>
  <c r="X977" i="8" s="1"/>
  <c r="W977" i="8" a="1"/>
  <c r="W977" i="8" s="1"/>
  <c r="V977" i="8" a="1"/>
  <c r="V977" i="8" s="1"/>
  <c r="U977" i="8" a="1"/>
  <c r="U977" i="8" s="1"/>
  <c r="T977" i="8" a="1"/>
  <c r="T977" i="8" s="1"/>
  <c r="S977" i="8" a="1"/>
  <c r="S977" i="8" s="1"/>
  <c r="R977" i="8" a="1"/>
  <c r="R977" i="8" s="1"/>
  <c r="Q977" i="8" a="1"/>
  <c r="Q977" i="8" s="1"/>
  <c r="P977" i="8" a="1"/>
  <c r="P977" i="8" s="1"/>
  <c r="O977" i="8" a="1"/>
  <c r="O977" i="8" s="1"/>
  <c r="N977" i="8" a="1"/>
  <c r="N977" i="8" s="1"/>
  <c r="M977" i="8" a="1"/>
  <c r="M977" i="8" s="1"/>
  <c r="L977" i="8" a="1"/>
  <c r="L977" i="8" s="1"/>
  <c r="K977" i="8" a="1"/>
  <c r="K977" i="8" s="1"/>
  <c r="J977" i="8" a="1"/>
  <c r="J977" i="8" s="1"/>
  <c r="I977" i="8" a="1"/>
  <c r="I977" i="8" s="1"/>
  <c r="H977" i="8" a="1"/>
  <c r="H977" i="8" s="1"/>
  <c r="G977" i="8" a="1"/>
  <c r="G977" i="8" s="1"/>
  <c r="F977" i="8" a="1"/>
  <c r="F977" i="8" s="1"/>
  <c r="E977" i="8" a="1"/>
  <c r="E977" i="8" s="1"/>
  <c r="AB976" i="8" a="1"/>
  <c r="AB976" i="8" s="1"/>
  <c r="AA976" i="8" a="1"/>
  <c r="AA976" i="8" s="1"/>
  <c r="Z976" i="8" a="1"/>
  <c r="Z976" i="8" s="1"/>
  <c r="Y976" i="8" a="1"/>
  <c r="Y976" i="8" s="1"/>
  <c r="X976" i="8" a="1"/>
  <c r="X976" i="8" s="1"/>
  <c r="W976" i="8" a="1"/>
  <c r="W976" i="8" s="1"/>
  <c r="V976" i="8" a="1"/>
  <c r="V976" i="8" s="1"/>
  <c r="U976" i="8" a="1"/>
  <c r="U976" i="8" s="1"/>
  <c r="T976" i="8" a="1"/>
  <c r="T976" i="8" s="1"/>
  <c r="S976" i="8" a="1"/>
  <c r="S976" i="8" s="1"/>
  <c r="R976" i="8" a="1"/>
  <c r="R976" i="8" s="1"/>
  <c r="Q976" i="8" a="1"/>
  <c r="Q976" i="8" s="1"/>
  <c r="P976" i="8" a="1"/>
  <c r="P976" i="8" s="1"/>
  <c r="O976" i="8" a="1"/>
  <c r="O976" i="8" s="1"/>
  <c r="N976" i="8" a="1"/>
  <c r="N976" i="8" s="1"/>
  <c r="M976" i="8" a="1"/>
  <c r="M976" i="8" s="1"/>
  <c r="L976" i="8" a="1"/>
  <c r="L976" i="8" s="1"/>
  <c r="K976" i="8" a="1"/>
  <c r="K976" i="8" s="1"/>
  <c r="J976" i="8" a="1"/>
  <c r="J976" i="8" s="1"/>
  <c r="I976" i="8" a="1"/>
  <c r="I976" i="8" s="1"/>
  <c r="H976" i="8" a="1"/>
  <c r="H976" i="8" s="1"/>
  <c r="G976" i="8" a="1"/>
  <c r="G976" i="8" s="1"/>
  <c r="F976" i="8" a="1"/>
  <c r="F976" i="8" s="1"/>
  <c r="E976" i="8" a="1"/>
  <c r="E976" i="8" s="1"/>
  <c r="AB975" i="8" a="1"/>
  <c r="AB975" i="8" s="1"/>
  <c r="AA975" i="8" a="1"/>
  <c r="AA975" i="8" s="1"/>
  <c r="Z975" i="8" a="1"/>
  <c r="Z975" i="8" s="1"/>
  <c r="Y975" i="8" a="1"/>
  <c r="Y975" i="8" s="1"/>
  <c r="X975" i="8" a="1"/>
  <c r="X975" i="8" s="1"/>
  <c r="W975" i="8" a="1"/>
  <c r="W975" i="8" s="1"/>
  <c r="V975" i="8" a="1"/>
  <c r="V975" i="8" s="1"/>
  <c r="U975" i="8" a="1"/>
  <c r="U975" i="8" s="1"/>
  <c r="T975" i="8" a="1"/>
  <c r="T975" i="8" s="1"/>
  <c r="S975" i="8" a="1"/>
  <c r="S975" i="8" s="1"/>
  <c r="R975" i="8" a="1"/>
  <c r="R975" i="8" s="1"/>
  <c r="Q975" i="8" a="1"/>
  <c r="Q975" i="8" s="1"/>
  <c r="P975" i="8" a="1"/>
  <c r="P975" i="8" s="1"/>
  <c r="O975" i="8" a="1"/>
  <c r="O975" i="8" s="1"/>
  <c r="N975" i="8" a="1"/>
  <c r="N975" i="8" s="1"/>
  <c r="M975" i="8" a="1"/>
  <c r="M975" i="8" s="1"/>
  <c r="L975" i="8" a="1"/>
  <c r="L975" i="8" s="1"/>
  <c r="K975" i="8" a="1"/>
  <c r="K975" i="8" s="1"/>
  <c r="J975" i="8" a="1"/>
  <c r="J975" i="8" s="1"/>
  <c r="I975" i="8" a="1"/>
  <c r="I975" i="8" s="1"/>
  <c r="H975" i="8" a="1"/>
  <c r="H975" i="8" s="1"/>
  <c r="G975" i="8" a="1"/>
  <c r="G975" i="8" s="1"/>
  <c r="F975" i="8" a="1"/>
  <c r="F975" i="8" s="1"/>
  <c r="E975" i="8" a="1"/>
  <c r="E975" i="8" s="1"/>
  <c r="AB974" i="8" a="1"/>
  <c r="AB974" i="8" s="1"/>
  <c r="AA974" i="8" a="1"/>
  <c r="AA974" i="8" s="1"/>
  <c r="Z974" i="8" a="1"/>
  <c r="Z974" i="8" s="1"/>
  <c r="Y974" i="8" a="1"/>
  <c r="Y974" i="8" s="1"/>
  <c r="X974" i="8" a="1"/>
  <c r="X974" i="8" s="1"/>
  <c r="W974" i="8" a="1"/>
  <c r="W974" i="8" s="1"/>
  <c r="V974" i="8" a="1"/>
  <c r="V974" i="8" s="1"/>
  <c r="U974" i="8" a="1"/>
  <c r="U974" i="8" s="1"/>
  <c r="T974" i="8" a="1"/>
  <c r="T974" i="8" s="1"/>
  <c r="S974" i="8" a="1"/>
  <c r="S974" i="8" s="1"/>
  <c r="R974" i="8" a="1"/>
  <c r="R974" i="8" s="1"/>
  <c r="Q974" i="8" a="1"/>
  <c r="Q974" i="8" s="1"/>
  <c r="P974" i="8" a="1"/>
  <c r="P974" i="8" s="1"/>
  <c r="O974" i="8" a="1"/>
  <c r="O974" i="8" s="1"/>
  <c r="N974" i="8" a="1"/>
  <c r="N974" i="8" s="1"/>
  <c r="M974" i="8" a="1"/>
  <c r="M974" i="8" s="1"/>
  <c r="L974" i="8" a="1"/>
  <c r="L974" i="8" s="1"/>
  <c r="K974" i="8" a="1"/>
  <c r="K974" i="8" s="1"/>
  <c r="J974" i="8" a="1"/>
  <c r="J974" i="8" s="1"/>
  <c r="I974" i="8" a="1"/>
  <c r="I974" i="8" s="1"/>
  <c r="H974" i="8" a="1"/>
  <c r="H974" i="8" s="1"/>
  <c r="G974" i="8" a="1"/>
  <c r="G974" i="8" s="1"/>
  <c r="F974" i="8" a="1"/>
  <c r="F974" i="8" s="1"/>
  <c r="E974" i="8" a="1"/>
  <c r="E974" i="8" s="1"/>
  <c r="AB973" i="8" a="1"/>
  <c r="AB973" i="8" s="1"/>
  <c r="AA973" i="8" a="1"/>
  <c r="AA973" i="8" s="1"/>
  <c r="Z973" i="8" a="1"/>
  <c r="Z973" i="8" s="1"/>
  <c r="Y973" i="8" a="1"/>
  <c r="Y973" i="8" s="1"/>
  <c r="X973" i="8" a="1"/>
  <c r="X973" i="8" s="1"/>
  <c r="W973" i="8" a="1"/>
  <c r="W973" i="8" s="1"/>
  <c r="V973" i="8" a="1"/>
  <c r="V973" i="8" s="1"/>
  <c r="U973" i="8" a="1"/>
  <c r="U973" i="8" s="1"/>
  <c r="T973" i="8" a="1"/>
  <c r="T973" i="8" s="1"/>
  <c r="S973" i="8" a="1"/>
  <c r="S973" i="8" s="1"/>
  <c r="R973" i="8" a="1"/>
  <c r="R973" i="8" s="1"/>
  <c r="Q973" i="8" a="1"/>
  <c r="Q973" i="8" s="1"/>
  <c r="P973" i="8" a="1"/>
  <c r="P973" i="8" s="1"/>
  <c r="O973" i="8" a="1"/>
  <c r="O973" i="8" s="1"/>
  <c r="N973" i="8" a="1"/>
  <c r="N973" i="8" s="1"/>
  <c r="M973" i="8" a="1"/>
  <c r="M973" i="8" s="1"/>
  <c r="L973" i="8" a="1"/>
  <c r="L973" i="8" s="1"/>
  <c r="K973" i="8" a="1"/>
  <c r="K973" i="8" s="1"/>
  <c r="J973" i="8" a="1"/>
  <c r="J973" i="8" s="1"/>
  <c r="I973" i="8" a="1"/>
  <c r="I973" i="8" s="1"/>
  <c r="H973" i="8" a="1"/>
  <c r="H973" i="8" s="1"/>
  <c r="G973" i="8" a="1"/>
  <c r="G973" i="8" s="1"/>
  <c r="F973" i="8" a="1"/>
  <c r="F973" i="8" s="1"/>
  <c r="E973" i="8" a="1"/>
  <c r="E973" i="8" s="1"/>
  <c r="AB972" i="8" a="1"/>
  <c r="AB972" i="8" s="1"/>
  <c r="AA972" i="8" a="1"/>
  <c r="AA972" i="8" s="1"/>
  <c r="Z972" i="8" a="1"/>
  <c r="Z972" i="8" s="1"/>
  <c r="Y972" i="8" a="1"/>
  <c r="Y972" i="8" s="1"/>
  <c r="X972" i="8" a="1"/>
  <c r="X972" i="8" s="1"/>
  <c r="W972" i="8" a="1"/>
  <c r="W972" i="8" s="1"/>
  <c r="V972" i="8" a="1"/>
  <c r="V972" i="8" s="1"/>
  <c r="U972" i="8" a="1"/>
  <c r="U972" i="8" s="1"/>
  <c r="T972" i="8" a="1"/>
  <c r="T972" i="8" s="1"/>
  <c r="S972" i="8" a="1"/>
  <c r="S972" i="8" s="1"/>
  <c r="R972" i="8" a="1"/>
  <c r="R972" i="8" s="1"/>
  <c r="Q972" i="8" a="1"/>
  <c r="Q972" i="8" s="1"/>
  <c r="P972" i="8" a="1"/>
  <c r="P972" i="8" s="1"/>
  <c r="O972" i="8" a="1"/>
  <c r="O972" i="8" s="1"/>
  <c r="N972" i="8" a="1"/>
  <c r="N972" i="8" s="1"/>
  <c r="M972" i="8" a="1"/>
  <c r="M972" i="8" s="1"/>
  <c r="L972" i="8" a="1"/>
  <c r="L972" i="8" s="1"/>
  <c r="K972" i="8" a="1"/>
  <c r="K972" i="8" s="1"/>
  <c r="J972" i="8" a="1"/>
  <c r="J972" i="8" s="1"/>
  <c r="I972" i="8" a="1"/>
  <c r="I972" i="8" s="1"/>
  <c r="H972" i="8" a="1"/>
  <c r="H972" i="8" s="1"/>
  <c r="G972" i="8" a="1"/>
  <c r="G972" i="8" s="1"/>
  <c r="F972" i="8" a="1"/>
  <c r="F972" i="8" s="1"/>
  <c r="E972" i="8" a="1"/>
  <c r="E972" i="8" s="1"/>
  <c r="AB971" i="8" a="1"/>
  <c r="AB971" i="8" s="1"/>
  <c r="AA971" i="8" a="1"/>
  <c r="AA971" i="8" s="1"/>
  <c r="Z971" i="8" a="1"/>
  <c r="Z971" i="8" s="1"/>
  <c r="Y971" i="8" a="1"/>
  <c r="Y971" i="8" s="1"/>
  <c r="X971" i="8" a="1"/>
  <c r="X971" i="8" s="1"/>
  <c r="W971" i="8" a="1"/>
  <c r="W971" i="8" s="1"/>
  <c r="V971" i="8" a="1"/>
  <c r="V971" i="8" s="1"/>
  <c r="U971" i="8" a="1"/>
  <c r="U971" i="8" s="1"/>
  <c r="T971" i="8" a="1"/>
  <c r="T971" i="8" s="1"/>
  <c r="S971" i="8" a="1"/>
  <c r="S971" i="8" s="1"/>
  <c r="R971" i="8" a="1"/>
  <c r="R971" i="8" s="1"/>
  <c r="Q971" i="8" a="1"/>
  <c r="Q971" i="8" s="1"/>
  <c r="P971" i="8" a="1"/>
  <c r="P971" i="8" s="1"/>
  <c r="O971" i="8" a="1"/>
  <c r="O971" i="8" s="1"/>
  <c r="N971" i="8" a="1"/>
  <c r="N971" i="8" s="1"/>
  <c r="M971" i="8" a="1"/>
  <c r="M971" i="8" s="1"/>
  <c r="L971" i="8" a="1"/>
  <c r="L971" i="8" s="1"/>
  <c r="K971" i="8" a="1"/>
  <c r="K971" i="8" s="1"/>
  <c r="J971" i="8" a="1"/>
  <c r="J971" i="8" s="1"/>
  <c r="I971" i="8" a="1"/>
  <c r="I971" i="8" s="1"/>
  <c r="H971" i="8" a="1"/>
  <c r="H971" i="8" s="1"/>
  <c r="G971" i="8" a="1"/>
  <c r="G971" i="8" s="1"/>
  <c r="F971" i="8" a="1"/>
  <c r="F971" i="8" s="1"/>
  <c r="E971" i="8" a="1"/>
  <c r="E971" i="8" s="1"/>
  <c r="AB970" i="8" a="1"/>
  <c r="AB970" i="8" s="1"/>
  <c r="AA970" i="8" a="1"/>
  <c r="AA970" i="8" s="1"/>
  <c r="Z970" i="8" a="1"/>
  <c r="Z970" i="8" s="1"/>
  <c r="Y970" i="8" a="1"/>
  <c r="Y970" i="8" s="1"/>
  <c r="X970" i="8" a="1"/>
  <c r="X970" i="8" s="1"/>
  <c r="W970" i="8" a="1"/>
  <c r="W970" i="8" s="1"/>
  <c r="V970" i="8" a="1"/>
  <c r="V970" i="8" s="1"/>
  <c r="U970" i="8" a="1"/>
  <c r="U970" i="8" s="1"/>
  <c r="T970" i="8" a="1"/>
  <c r="T970" i="8" s="1"/>
  <c r="S970" i="8" a="1"/>
  <c r="S970" i="8" s="1"/>
  <c r="R970" i="8" a="1"/>
  <c r="R970" i="8" s="1"/>
  <c r="Q970" i="8" a="1"/>
  <c r="Q970" i="8" s="1"/>
  <c r="P970" i="8" a="1"/>
  <c r="P970" i="8" s="1"/>
  <c r="O970" i="8" a="1"/>
  <c r="O970" i="8" s="1"/>
  <c r="N970" i="8" a="1"/>
  <c r="N970" i="8" s="1"/>
  <c r="M970" i="8" a="1"/>
  <c r="M970" i="8" s="1"/>
  <c r="L970" i="8" a="1"/>
  <c r="L970" i="8" s="1"/>
  <c r="K970" i="8" a="1"/>
  <c r="K970" i="8" s="1"/>
  <c r="J970" i="8" a="1"/>
  <c r="J970" i="8" s="1"/>
  <c r="I970" i="8" a="1"/>
  <c r="I970" i="8" s="1"/>
  <c r="H970" i="8" a="1"/>
  <c r="H970" i="8" s="1"/>
  <c r="G970" i="8" a="1"/>
  <c r="G970" i="8" s="1"/>
  <c r="F970" i="8" a="1"/>
  <c r="F970" i="8" s="1"/>
  <c r="E970" i="8" a="1"/>
  <c r="E970" i="8" s="1"/>
  <c r="AB969" i="8" a="1"/>
  <c r="AB969" i="8" s="1"/>
  <c r="AA969" i="8" a="1"/>
  <c r="AA969" i="8" s="1"/>
  <c r="Z969" i="8" a="1"/>
  <c r="Z969" i="8" s="1"/>
  <c r="Y969" i="8" a="1"/>
  <c r="Y969" i="8" s="1"/>
  <c r="X969" i="8" a="1"/>
  <c r="X969" i="8" s="1"/>
  <c r="W969" i="8" a="1"/>
  <c r="W969" i="8" s="1"/>
  <c r="V969" i="8" a="1"/>
  <c r="V969" i="8" s="1"/>
  <c r="U969" i="8" a="1"/>
  <c r="U969" i="8" s="1"/>
  <c r="T969" i="8" a="1"/>
  <c r="T969" i="8" s="1"/>
  <c r="S969" i="8" a="1"/>
  <c r="S969" i="8" s="1"/>
  <c r="R969" i="8" a="1"/>
  <c r="R969" i="8" s="1"/>
  <c r="Q969" i="8" a="1"/>
  <c r="Q969" i="8" s="1"/>
  <c r="P969" i="8" a="1"/>
  <c r="P969" i="8" s="1"/>
  <c r="O969" i="8" a="1"/>
  <c r="O969" i="8" s="1"/>
  <c r="N969" i="8" a="1"/>
  <c r="N969" i="8" s="1"/>
  <c r="M969" i="8" a="1"/>
  <c r="M969" i="8" s="1"/>
  <c r="L969" i="8" a="1"/>
  <c r="L969" i="8" s="1"/>
  <c r="K969" i="8" a="1"/>
  <c r="K969" i="8" s="1"/>
  <c r="J969" i="8" a="1"/>
  <c r="J969" i="8" s="1"/>
  <c r="I969" i="8" a="1"/>
  <c r="I969" i="8" s="1"/>
  <c r="H969" i="8" a="1"/>
  <c r="H969" i="8" s="1"/>
  <c r="G969" i="8" a="1"/>
  <c r="G969" i="8" s="1"/>
  <c r="F969" i="8" a="1"/>
  <c r="F969" i="8" s="1"/>
  <c r="E969" i="8" a="1"/>
  <c r="E969" i="8" s="1"/>
  <c r="AB968" i="8" a="1"/>
  <c r="AB968" i="8" s="1"/>
  <c r="AA968" i="8" a="1"/>
  <c r="AA968" i="8" s="1"/>
  <c r="Z968" i="8" a="1"/>
  <c r="Z968" i="8" s="1"/>
  <c r="Y968" i="8" a="1"/>
  <c r="Y968" i="8" s="1"/>
  <c r="X968" i="8" a="1"/>
  <c r="X968" i="8" s="1"/>
  <c r="W968" i="8" a="1"/>
  <c r="W968" i="8" s="1"/>
  <c r="V968" i="8" a="1"/>
  <c r="V968" i="8" s="1"/>
  <c r="U968" i="8" a="1"/>
  <c r="U968" i="8" s="1"/>
  <c r="T968" i="8" a="1"/>
  <c r="T968" i="8" s="1"/>
  <c r="S968" i="8" a="1"/>
  <c r="S968" i="8" s="1"/>
  <c r="R968" i="8" a="1"/>
  <c r="R968" i="8" s="1"/>
  <c r="Q968" i="8" a="1"/>
  <c r="Q968" i="8" s="1"/>
  <c r="P968" i="8" a="1"/>
  <c r="P968" i="8" s="1"/>
  <c r="O968" i="8" a="1"/>
  <c r="O968" i="8" s="1"/>
  <c r="N968" i="8" a="1"/>
  <c r="N968" i="8" s="1"/>
  <c r="M968" i="8" a="1"/>
  <c r="M968" i="8" s="1"/>
  <c r="L968" i="8" a="1"/>
  <c r="L968" i="8" s="1"/>
  <c r="K968" i="8" a="1"/>
  <c r="K968" i="8" s="1"/>
  <c r="J968" i="8" a="1"/>
  <c r="J968" i="8" s="1"/>
  <c r="I968" i="8" a="1"/>
  <c r="I968" i="8" s="1"/>
  <c r="H968" i="8" a="1"/>
  <c r="H968" i="8" s="1"/>
  <c r="G968" i="8" a="1"/>
  <c r="G968" i="8" s="1"/>
  <c r="F968" i="8" a="1"/>
  <c r="F968" i="8" s="1"/>
  <c r="E968" i="8" a="1"/>
  <c r="E968" i="8" s="1"/>
  <c r="AB967" i="8" a="1"/>
  <c r="AB967" i="8" s="1"/>
  <c r="AA967" i="8" a="1"/>
  <c r="AA967" i="8" s="1"/>
  <c r="Z967" i="8" a="1"/>
  <c r="Z967" i="8" s="1"/>
  <c r="Y967" i="8" a="1"/>
  <c r="Y967" i="8" s="1"/>
  <c r="X967" i="8" a="1"/>
  <c r="X967" i="8" s="1"/>
  <c r="W967" i="8" a="1"/>
  <c r="W967" i="8" s="1"/>
  <c r="V967" i="8" a="1"/>
  <c r="V967" i="8" s="1"/>
  <c r="U967" i="8" a="1"/>
  <c r="U967" i="8" s="1"/>
  <c r="T967" i="8" a="1"/>
  <c r="T967" i="8" s="1"/>
  <c r="S967" i="8" a="1"/>
  <c r="S967" i="8" s="1"/>
  <c r="R967" i="8" a="1"/>
  <c r="R967" i="8" s="1"/>
  <c r="Q967" i="8" a="1"/>
  <c r="Q967" i="8" s="1"/>
  <c r="P967" i="8" a="1"/>
  <c r="P967" i="8" s="1"/>
  <c r="O967" i="8" a="1"/>
  <c r="O967" i="8" s="1"/>
  <c r="N967" i="8" a="1"/>
  <c r="N967" i="8" s="1"/>
  <c r="M967" i="8" a="1"/>
  <c r="M967" i="8" s="1"/>
  <c r="L967" i="8" a="1"/>
  <c r="L967" i="8" s="1"/>
  <c r="K967" i="8" a="1"/>
  <c r="K967" i="8" s="1"/>
  <c r="J967" i="8" a="1"/>
  <c r="J967" i="8" s="1"/>
  <c r="I967" i="8" a="1"/>
  <c r="I967" i="8" s="1"/>
  <c r="H967" i="8" a="1"/>
  <c r="H967" i="8" s="1"/>
  <c r="G967" i="8" a="1"/>
  <c r="G967" i="8" s="1"/>
  <c r="F967" i="8" a="1"/>
  <c r="F967" i="8" s="1"/>
  <c r="E967" i="8" a="1"/>
  <c r="E967" i="8" s="1"/>
  <c r="AB966" i="8" a="1"/>
  <c r="AB966" i="8" s="1"/>
  <c r="AA966" i="8" a="1"/>
  <c r="AA966" i="8" s="1"/>
  <c r="Z966" i="8" a="1"/>
  <c r="Z966" i="8" s="1"/>
  <c r="Y966" i="8" a="1"/>
  <c r="Y966" i="8" s="1"/>
  <c r="X966" i="8" a="1"/>
  <c r="X966" i="8" s="1"/>
  <c r="W966" i="8" a="1"/>
  <c r="W966" i="8" s="1"/>
  <c r="V966" i="8" a="1"/>
  <c r="V966" i="8" s="1"/>
  <c r="U966" i="8" a="1"/>
  <c r="U966" i="8" s="1"/>
  <c r="T966" i="8" a="1"/>
  <c r="T966" i="8" s="1"/>
  <c r="S966" i="8" a="1"/>
  <c r="S966" i="8" s="1"/>
  <c r="R966" i="8" a="1"/>
  <c r="R966" i="8" s="1"/>
  <c r="Q966" i="8" a="1"/>
  <c r="Q966" i="8" s="1"/>
  <c r="P966" i="8" a="1"/>
  <c r="P966" i="8" s="1"/>
  <c r="O966" i="8" a="1"/>
  <c r="O966" i="8" s="1"/>
  <c r="N966" i="8" a="1"/>
  <c r="N966" i="8" s="1"/>
  <c r="M966" i="8" a="1"/>
  <c r="M966" i="8" s="1"/>
  <c r="L966" i="8" a="1"/>
  <c r="L966" i="8" s="1"/>
  <c r="K966" i="8" a="1"/>
  <c r="K966" i="8" s="1"/>
  <c r="J966" i="8" a="1"/>
  <c r="J966" i="8" s="1"/>
  <c r="I966" i="8" a="1"/>
  <c r="I966" i="8" s="1"/>
  <c r="H966" i="8" a="1"/>
  <c r="H966" i="8" s="1"/>
  <c r="G966" i="8" a="1"/>
  <c r="G966" i="8" s="1"/>
  <c r="F966" i="8" a="1"/>
  <c r="F966" i="8" s="1"/>
  <c r="E966" i="8" a="1"/>
  <c r="E966" i="8" s="1"/>
  <c r="AB965" i="8" a="1"/>
  <c r="AB965" i="8" s="1"/>
  <c r="AA965" i="8" a="1"/>
  <c r="AA965" i="8" s="1"/>
  <c r="Z965" i="8" a="1"/>
  <c r="Z965" i="8" s="1"/>
  <c r="Y965" i="8" a="1"/>
  <c r="Y965" i="8" s="1"/>
  <c r="X965" i="8" a="1"/>
  <c r="X965" i="8" s="1"/>
  <c r="W965" i="8" a="1"/>
  <c r="W965" i="8" s="1"/>
  <c r="V965" i="8" a="1"/>
  <c r="V965" i="8" s="1"/>
  <c r="U965" i="8" a="1"/>
  <c r="U965" i="8" s="1"/>
  <c r="T965" i="8" a="1"/>
  <c r="T965" i="8" s="1"/>
  <c r="S965" i="8" a="1"/>
  <c r="S965" i="8" s="1"/>
  <c r="R965" i="8" a="1"/>
  <c r="R965" i="8" s="1"/>
  <c r="Q965" i="8" a="1"/>
  <c r="Q965" i="8" s="1"/>
  <c r="P965" i="8" a="1"/>
  <c r="P965" i="8" s="1"/>
  <c r="O965" i="8" a="1"/>
  <c r="O965" i="8" s="1"/>
  <c r="N965" i="8" a="1"/>
  <c r="N965" i="8" s="1"/>
  <c r="M965" i="8" a="1"/>
  <c r="M965" i="8" s="1"/>
  <c r="L965" i="8" a="1"/>
  <c r="L965" i="8" s="1"/>
  <c r="K965" i="8" a="1"/>
  <c r="K965" i="8" s="1"/>
  <c r="J965" i="8" a="1"/>
  <c r="J965" i="8" s="1"/>
  <c r="I965" i="8" a="1"/>
  <c r="I965" i="8" s="1"/>
  <c r="H965" i="8" a="1"/>
  <c r="H965" i="8" s="1"/>
  <c r="G965" i="8" a="1"/>
  <c r="G965" i="8" s="1"/>
  <c r="F965" i="8" a="1"/>
  <c r="F965" i="8" s="1"/>
  <c r="E965" i="8" a="1"/>
  <c r="E965" i="8" s="1"/>
  <c r="AB964" i="8" a="1"/>
  <c r="AB964" i="8" s="1"/>
  <c r="AA964" i="8" a="1"/>
  <c r="AA964" i="8" s="1"/>
  <c r="Z964" i="8" a="1"/>
  <c r="Z964" i="8" s="1"/>
  <c r="Y964" i="8" a="1"/>
  <c r="Y964" i="8" s="1"/>
  <c r="X964" i="8" a="1"/>
  <c r="X964" i="8" s="1"/>
  <c r="W964" i="8" a="1"/>
  <c r="W964" i="8" s="1"/>
  <c r="V964" i="8" a="1"/>
  <c r="V964" i="8" s="1"/>
  <c r="U964" i="8" a="1"/>
  <c r="U964" i="8" s="1"/>
  <c r="T964" i="8" a="1"/>
  <c r="T964" i="8" s="1"/>
  <c r="S964" i="8" a="1"/>
  <c r="S964" i="8" s="1"/>
  <c r="R964" i="8" a="1"/>
  <c r="R964" i="8" s="1"/>
  <c r="Q964" i="8" a="1"/>
  <c r="Q964" i="8" s="1"/>
  <c r="P964" i="8" a="1"/>
  <c r="P964" i="8" s="1"/>
  <c r="O964" i="8" a="1"/>
  <c r="O964" i="8" s="1"/>
  <c r="N964" i="8" a="1"/>
  <c r="N964" i="8" s="1"/>
  <c r="M964" i="8" a="1"/>
  <c r="M964" i="8" s="1"/>
  <c r="L964" i="8" a="1"/>
  <c r="L964" i="8" s="1"/>
  <c r="K964" i="8" a="1"/>
  <c r="K964" i="8" s="1"/>
  <c r="J964" i="8" a="1"/>
  <c r="J964" i="8" s="1"/>
  <c r="I964" i="8" a="1"/>
  <c r="I964" i="8" s="1"/>
  <c r="H964" i="8" a="1"/>
  <c r="H964" i="8" s="1"/>
  <c r="G964" i="8" a="1"/>
  <c r="G964" i="8" s="1"/>
  <c r="F964" i="8" a="1"/>
  <c r="F964" i="8" s="1"/>
  <c r="E964" i="8" a="1"/>
  <c r="E964" i="8" s="1"/>
  <c r="AB963" i="8" a="1"/>
  <c r="AB963" i="8" s="1"/>
  <c r="AA963" i="8" a="1"/>
  <c r="AA963" i="8" s="1"/>
  <c r="Z963" i="8" a="1"/>
  <c r="Z963" i="8" s="1"/>
  <c r="Y963" i="8" a="1"/>
  <c r="Y963" i="8" s="1"/>
  <c r="X963" i="8" a="1"/>
  <c r="X963" i="8" s="1"/>
  <c r="W963" i="8" a="1"/>
  <c r="W963" i="8" s="1"/>
  <c r="V963" i="8" a="1"/>
  <c r="V963" i="8" s="1"/>
  <c r="U963" i="8" a="1"/>
  <c r="U963" i="8" s="1"/>
  <c r="T963" i="8" a="1"/>
  <c r="T963" i="8" s="1"/>
  <c r="S963" i="8" a="1"/>
  <c r="S963" i="8" s="1"/>
  <c r="R963" i="8" a="1"/>
  <c r="R963" i="8" s="1"/>
  <c r="Q963" i="8" a="1"/>
  <c r="Q963" i="8" s="1"/>
  <c r="P963" i="8" a="1"/>
  <c r="P963" i="8" s="1"/>
  <c r="O963" i="8" a="1"/>
  <c r="O963" i="8" s="1"/>
  <c r="N963" i="8" a="1"/>
  <c r="N963" i="8" s="1"/>
  <c r="M963" i="8" a="1"/>
  <c r="M963" i="8" s="1"/>
  <c r="L963" i="8" a="1"/>
  <c r="L963" i="8" s="1"/>
  <c r="K963" i="8" a="1"/>
  <c r="K963" i="8" s="1"/>
  <c r="J963" i="8" a="1"/>
  <c r="J963" i="8" s="1"/>
  <c r="I963" i="8" a="1"/>
  <c r="I963" i="8" s="1"/>
  <c r="H963" i="8" a="1"/>
  <c r="H963" i="8" s="1"/>
  <c r="G963" i="8" a="1"/>
  <c r="G963" i="8" s="1"/>
  <c r="F963" i="8" a="1"/>
  <c r="F963" i="8" s="1"/>
  <c r="E963" i="8" a="1"/>
  <c r="E963" i="8" s="1"/>
  <c r="AB962" i="8" a="1"/>
  <c r="AB962" i="8" s="1"/>
  <c r="AA962" i="8" a="1"/>
  <c r="AA962" i="8" s="1"/>
  <c r="Z962" i="8" a="1"/>
  <c r="Z962" i="8" s="1"/>
  <c r="Y962" i="8" a="1"/>
  <c r="Y962" i="8" s="1"/>
  <c r="X962" i="8" a="1"/>
  <c r="X962" i="8" s="1"/>
  <c r="W962" i="8" a="1"/>
  <c r="W962" i="8" s="1"/>
  <c r="V962" i="8" a="1"/>
  <c r="V962" i="8" s="1"/>
  <c r="U962" i="8" a="1"/>
  <c r="U962" i="8" s="1"/>
  <c r="T962" i="8" a="1"/>
  <c r="T962" i="8" s="1"/>
  <c r="S962" i="8" a="1"/>
  <c r="S962" i="8" s="1"/>
  <c r="R962" i="8" a="1"/>
  <c r="R962" i="8" s="1"/>
  <c r="Q962" i="8" a="1"/>
  <c r="Q962" i="8" s="1"/>
  <c r="P962" i="8" a="1"/>
  <c r="P962" i="8" s="1"/>
  <c r="O962" i="8" a="1"/>
  <c r="O962" i="8" s="1"/>
  <c r="N962" i="8" a="1"/>
  <c r="N962" i="8" s="1"/>
  <c r="M962" i="8" a="1"/>
  <c r="M962" i="8" s="1"/>
  <c r="L962" i="8" a="1"/>
  <c r="L962" i="8" s="1"/>
  <c r="K962" i="8" a="1"/>
  <c r="K962" i="8" s="1"/>
  <c r="J962" i="8" a="1"/>
  <c r="J962" i="8" s="1"/>
  <c r="I962" i="8" a="1"/>
  <c r="I962" i="8" s="1"/>
  <c r="H962" i="8" a="1"/>
  <c r="H962" i="8" s="1"/>
  <c r="G962" i="8" a="1"/>
  <c r="G962" i="8" s="1"/>
  <c r="F962" i="8" a="1"/>
  <c r="F962" i="8" s="1"/>
  <c r="E962" i="8" a="1"/>
  <c r="E962" i="8" s="1"/>
  <c r="AB961" i="8" a="1"/>
  <c r="AB961" i="8" s="1"/>
  <c r="AA961" i="8" a="1"/>
  <c r="AA961" i="8" s="1"/>
  <c r="Z961" i="8" a="1"/>
  <c r="Z961" i="8" s="1"/>
  <c r="Y961" i="8" a="1"/>
  <c r="Y961" i="8" s="1"/>
  <c r="X961" i="8" a="1"/>
  <c r="X961" i="8" s="1"/>
  <c r="W961" i="8" a="1"/>
  <c r="W961" i="8" s="1"/>
  <c r="V961" i="8" a="1"/>
  <c r="V961" i="8" s="1"/>
  <c r="U961" i="8" a="1"/>
  <c r="U961" i="8" s="1"/>
  <c r="T961" i="8" a="1"/>
  <c r="T961" i="8" s="1"/>
  <c r="S961" i="8" a="1"/>
  <c r="S961" i="8" s="1"/>
  <c r="R961" i="8" a="1"/>
  <c r="R961" i="8" s="1"/>
  <c r="Q961" i="8" a="1"/>
  <c r="Q961" i="8" s="1"/>
  <c r="P961" i="8" a="1"/>
  <c r="P961" i="8" s="1"/>
  <c r="O961" i="8" a="1"/>
  <c r="O961" i="8" s="1"/>
  <c r="N961" i="8" a="1"/>
  <c r="N961" i="8" s="1"/>
  <c r="M961" i="8" a="1"/>
  <c r="M961" i="8" s="1"/>
  <c r="L961" i="8" a="1"/>
  <c r="L961" i="8" s="1"/>
  <c r="K961" i="8" a="1"/>
  <c r="K961" i="8" s="1"/>
  <c r="J961" i="8" a="1"/>
  <c r="J961" i="8" s="1"/>
  <c r="I961" i="8" a="1"/>
  <c r="I961" i="8" s="1"/>
  <c r="H961" i="8" a="1"/>
  <c r="H961" i="8" s="1"/>
  <c r="G961" i="8" a="1"/>
  <c r="G961" i="8" s="1"/>
  <c r="F961" i="8" a="1"/>
  <c r="F961" i="8" s="1"/>
  <c r="E961" i="8" a="1"/>
  <c r="E961" i="8" s="1"/>
  <c r="AB960" i="8" a="1"/>
  <c r="AB960" i="8" s="1"/>
  <c r="AA960" i="8" a="1"/>
  <c r="AA960" i="8" s="1"/>
  <c r="Z960" i="8" a="1"/>
  <c r="Z960" i="8" s="1"/>
  <c r="Y960" i="8" a="1"/>
  <c r="Y960" i="8" s="1"/>
  <c r="X960" i="8" a="1"/>
  <c r="X960" i="8" s="1"/>
  <c r="W960" i="8" a="1"/>
  <c r="W960" i="8" s="1"/>
  <c r="V960" i="8" a="1"/>
  <c r="V960" i="8" s="1"/>
  <c r="U960" i="8" a="1"/>
  <c r="U960" i="8" s="1"/>
  <c r="T960" i="8" a="1"/>
  <c r="T960" i="8" s="1"/>
  <c r="S960" i="8" a="1"/>
  <c r="S960" i="8" s="1"/>
  <c r="R960" i="8" a="1"/>
  <c r="R960" i="8" s="1"/>
  <c r="Q960" i="8" a="1"/>
  <c r="Q960" i="8" s="1"/>
  <c r="P960" i="8" a="1"/>
  <c r="P960" i="8" s="1"/>
  <c r="O960" i="8" a="1"/>
  <c r="O960" i="8" s="1"/>
  <c r="N960" i="8" a="1"/>
  <c r="N960" i="8" s="1"/>
  <c r="M960" i="8" a="1"/>
  <c r="M960" i="8" s="1"/>
  <c r="L960" i="8" a="1"/>
  <c r="L960" i="8" s="1"/>
  <c r="K960" i="8" a="1"/>
  <c r="K960" i="8" s="1"/>
  <c r="J960" i="8" a="1"/>
  <c r="J960" i="8" s="1"/>
  <c r="I960" i="8" a="1"/>
  <c r="I960" i="8" s="1"/>
  <c r="H960" i="8" a="1"/>
  <c r="H960" i="8" s="1"/>
  <c r="G960" i="8" a="1"/>
  <c r="G960" i="8" s="1"/>
  <c r="F960" i="8" a="1"/>
  <c r="F960" i="8" s="1"/>
  <c r="E960" i="8" a="1"/>
  <c r="E960" i="8" s="1"/>
  <c r="AB959" i="8" a="1"/>
  <c r="AB959" i="8" s="1"/>
  <c r="AA959" i="8" a="1"/>
  <c r="AA959" i="8" s="1"/>
  <c r="Z959" i="8" a="1"/>
  <c r="Z959" i="8" s="1"/>
  <c r="Y959" i="8" a="1"/>
  <c r="Y959" i="8" s="1"/>
  <c r="X959" i="8" a="1"/>
  <c r="X959" i="8" s="1"/>
  <c r="W959" i="8" a="1"/>
  <c r="W959" i="8" s="1"/>
  <c r="V959" i="8" a="1"/>
  <c r="V959" i="8" s="1"/>
  <c r="U959" i="8" a="1"/>
  <c r="U959" i="8" s="1"/>
  <c r="T959" i="8" a="1"/>
  <c r="T959" i="8" s="1"/>
  <c r="S959" i="8" a="1"/>
  <c r="S959" i="8" s="1"/>
  <c r="R959" i="8" a="1"/>
  <c r="R959" i="8" s="1"/>
  <c r="Q959" i="8" a="1"/>
  <c r="Q959" i="8" s="1"/>
  <c r="P959" i="8" a="1"/>
  <c r="P959" i="8" s="1"/>
  <c r="O959" i="8" a="1"/>
  <c r="O959" i="8" s="1"/>
  <c r="N959" i="8" a="1"/>
  <c r="N959" i="8" s="1"/>
  <c r="M959" i="8" a="1"/>
  <c r="M959" i="8" s="1"/>
  <c r="L959" i="8" a="1"/>
  <c r="L959" i="8" s="1"/>
  <c r="K959" i="8" a="1"/>
  <c r="K959" i="8" s="1"/>
  <c r="J959" i="8" a="1"/>
  <c r="J959" i="8" s="1"/>
  <c r="I959" i="8" a="1"/>
  <c r="I959" i="8" s="1"/>
  <c r="H959" i="8" a="1"/>
  <c r="H959" i="8" s="1"/>
  <c r="G959" i="8" a="1"/>
  <c r="G959" i="8" s="1"/>
  <c r="F959" i="8" a="1"/>
  <c r="F959" i="8" s="1"/>
  <c r="E959" i="8" a="1"/>
  <c r="E959" i="8" s="1"/>
  <c r="AB958" i="8" a="1"/>
  <c r="AB958" i="8" s="1"/>
  <c r="AA958" i="8" a="1"/>
  <c r="AA958" i="8" s="1"/>
  <c r="Z958" i="8" a="1"/>
  <c r="Z958" i="8" s="1"/>
  <c r="Y958" i="8" a="1"/>
  <c r="Y958" i="8" s="1"/>
  <c r="X958" i="8" a="1"/>
  <c r="X958" i="8" s="1"/>
  <c r="W958" i="8" a="1"/>
  <c r="W958" i="8" s="1"/>
  <c r="V958" i="8" a="1"/>
  <c r="V958" i="8" s="1"/>
  <c r="U958" i="8" a="1"/>
  <c r="U958" i="8" s="1"/>
  <c r="T958" i="8" a="1"/>
  <c r="T958" i="8" s="1"/>
  <c r="S958" i="8" a="1"/>
  <c r="S958" i="8" s="1"/>
  <c r="R958" i="8" a="1"/>
  <c r="R958" i="8" s="1"/>
  <c r="Q958" i="8" a="1"/>
  <c r="Q958" i="8" s="1"/>
  <c r="P958" i="8" a="1"/>
  <c r="P958" i="8" s="1"/>
  <c r="O958" i="8" a="1"/>
  <c r="O958" i="8" s="1"/>
  <c r="N958" i="8" a="1"/>
  <c r="N958" i="8" s="1"/>
  <c r="M958" i="8" a="1"/>
  <c r="M958" i="8" s="1"/>
  <c r="L958" i="8" a="1"/>
  <c r="L958" i="8" s="1"/>
  <c r="K958" i="8" a="1"/>
  <c r="K958" i="8" s="1"/>
  <c r="J958" i="8" a="1"/>
  <c r="J958" i="8" s="1"/>
  <c r="I958" i="8" a="1"/>
  <c r="I958" i="8" s="1"/>
  <c r="H958" i="8" a="1"/>
  <c r="H958" i="8" s="1"/>
  <c r="G958" i="8" a="1"/>
  <c r="G958" i="8" s="1"/>
  <c r="F958" i="8" a="1"/>
  <c r="F958" i="8" s="1"/>
  <c r="E958" i="8" a="1"/>
  <c r="E958" i="8" s="1"/>
  <c r="AB957" i="8" a="1"/>
  <c r="AB957" i="8" s="1"/>
  <c r="AA957" i="8" a="1"/>
  <c r="AA957" i="8" s="1"/>
  <c r="Z957" i="8" a="1"/>
  <c r="Z957" i="8" s="1"/>
  <c r="Y957" i="8" a="1"/>
  <c r="Y957" i="8" s="1"/>
  <c r="X957" i="8" a="1"/>
  <c r="X957" i="8" s="1"/>
  <c r="W957" i="8" a="1"/>
  <c r="W957" i="8" s="1"/>
  <c r="V957" i="8" a="1"/>
  <c r="V957" i="8" s="1"/>
  <c r="U957" i="8" a="1"/>
  <c r="U957" i="8" s="1"/>
  <c r="T957" i="8" a="1"/>
  <c r="T957" i="8" s="1"/>
  <c r="S957" i="8" a="1"/>
  <c r="S957" i="8" s="1"/>
  <c r="R957" i="8" a="1"/>
  <c r="R957" i="8" s="1"/>
  <c r="Q957" i="8" a="1"/>
  <c r="Q957" i="8" s="1"/>
  <c r="P957" i="8" a="1"/>
  <c r="P957" i="8" s="1"/>
  <c r="O957" i="8" a="1"/>
  <c r="O957" i="8" s="1"/>
  <c r="N957" i="8" a="1"/>
  <c r="N957" i="8" s="1"/>
  <c r="M957" i="8" a="1"/>
  <c r="M957" i="8" s="1"/>
  <c r="L957" i="8" a="1"/>
  <c r="L957" i="8" s="1"/>
  <c r="K957" i="8" a="1"/>
  <c r="K957" i="8" s="1"/>
  <c r="J957" i="8" a="1"/>
  <c r="J957" i="8" s="1"/>
  <c r="I957" i="8" a="1"/>
  <c r="I957" i="8" s="1"/>
  <c r="H957" i="8" a="1"/>
  <c r="H957" i="8" s="1"/>
  <c r="G957" i="8" a="1"/>
  <c r="G957" i="8" s="1"/>
  <c r="F957" i="8" a="1"/>
  <c r="F957" i="8" s="1"/>
  <c r="E957" i="8" a="1"/>
  <c r="E957" i="8" s="1"/>
  <c r="AB956" i="8" a="1"/>
  <c r="AB956" i="8" s="1"/>
  <c r="AA956" i="8" a="1"/>
  <c r="AA956" i="8" s="1"/>
  <c r="Z956" i="8" a="1"/>
  <c r="Z956" i="8" s="1"/>
  <c r="Y956" i="8" a="1"/>
  <c r="Y956" i="8" s="1"/>
  <c r="X956" i="8" a="1"/>
  <c r="X956" i="8" s="1"/>
  <c r="W956" i="8" a="1"/>
  <c r="W956" i="8" s="1"/>
  <c r="V956" i="8" a="1"/>
  <c r="V956" i="8" s="1"/>
  <c r="U956" i="8" a="1"/>
  <c r="U956" i="8" s="1"/>
  <c r="T956" i="8" a="1"/>
  <c r="T956" i="8" s="1"/>
  <c r="S956" i="8" a="1"/>
  <c r="S956" i="8" s="1"/>
  <c r="R956" i="8" a="1"/>
  <c r="R956" i="8" s="1"/>
  <c r="Q956" i="8" a="1"/>
  <c r="Q956" i="8" s="1"/>
  <c r="P956" i="8" a="1"/>
  <c r="P956" i="8" s="1"/>
  <c r="O956" i="8" a="1"/>
  <c r="O956" i="8" s="1"/>
  <c r="N956" i="8" a="1"/>
  <c r="N956" i="8" s="1"/>
  <c r="M956" i="8" a="1"/>
  <c r="M956" i="8" s="1"/>
  <c r="L956" i="8" a="1"/>
  <c r="L956" i="8" s="1"/>
  <c r="K956" i="8" a="1"/>
  <c r="K956" i="8" s="1"/>
  <c r="J956" i="8" a="1"/>
  <c r="J956" i="8" s="1"/>
  <c r="I956" i="8" a="1"/>
  <c r="I956" i="8" s="1"/>
  <c r="H956" i="8" a="1"/>
  <c r="H956" i="8" s="1"/>
  <c r="G956" i="8" a="1"/>
  <c r="G956" i="8" s="1"/>
  <c r="F956" i="8" a="1"/>
  <c r="F956" i="8" s="1"/>
  <c r="E956" i="8" a="1"/>
  <c r="E956" i="8" s="1"/>
  <c r="AB955" i="8" a="1"/>
  <c r="AB955" i="8" s="1"/>
  <c r="AA955" i="8" a="1"/>
  <c r="AA955" i="8" s="1"/>
  <c r="Z955" i="8" a="1"/>
  <c r="Z955" i="8" s="1"/>
  <c r="Y955" i="8" a="1"/>
  <c r="Y955" i="8" s="1"/>
  <c r="X955" i="8" a="1"/>
  <c r="X955" i="8" s="1"/>
  <c r="W955" i="8" a="1"/>
  <c r="W955" i="8" s="1"/>
  <c r="V955" i="8" a="1"/>
  <c r="V955" i="8" s="1"/>
  <c r="U955" i="8" a="1"/>
  <c r="U955" i="8" s="1"/>
  <c r="T955" i="8" a="1"/>
  <c r="T955" i="8" s="1"/>
  <c r="S955" i="8" a="1"/>
  <c r="S955" i="8" s="1"/>
  <c r="R955" i="8" a="1"/>
  <c r="R955" i="8" s="1"/>
  <c r="Q955" i="8" a="1"/>
  <c r="Q955" i="8" s="1"/>
  <c r="P955" i="8" a="1"/>
  <c r="P955" i="8" s="1"/>
  <c r="O955" i="8" a="1"/>
  <c r="O955" i="8" s="1"/>
  <c r="N955" i="8" a="1"/>
  <c r="N955" i="8" s="1"/>
  <c r="M955" i="8" a="1"/>
  <c r="M955" i="8" s="1"/>
  <c r="L955" i="8" a="1"/>
  <c r="L955" i="8" s="1"/>
  <c r="K955" i="8" a="1"/>
  <c r="K955" i="8" s="1"/>
  <c r="J955" i="8" a="1"/>
  <c r="J955" i="8" s="1"/>
  <c r="I955" i="8" a="1"/>
  <c r="I955" i="8" s="1"/>
  <c r="H955" i="8" a="1"/>
  <c r="H955" i="8" s="1"/>
  <c r="G955" i="8" a="1"/>
  <c r="G955" i="8" s="1"/>
  <c r="F955" i="8" a="1"/>
  <c r="F955" i="8" s="1"/>
  <c r="E955" i="8" a="1"/>
  <c r="E955" i="8" s="1"/>
  <c r="AB954" i="8" a="1"/>
  <c r="AB954" i="8" s="1"/>
  <c r="AA954" i="8" a="1"/>
  <c r="AA954" i="8" s="1"/>
  <c r="Z954" i="8" a="1"/>
  <c r="Z954" i="8" s="1"/>
  <c r="Y954" i="8" a="1"/>
  <c r="Y954" i="8" s="1"/>
  <c r="X954" i="8" a="1"/>
  <c r="X954" i="8" s="1"/>
  <c r="W954" i="8" a="1"/>
  <c r="W954" i="8" s="1"/>
  <c r="V954" i="8" a="1"/>
  <c r="V954" i="8" s="1"/>
  <c r="U954" i="8" a="1"/>
  <c r="U954" i="8" s="1"/>
  <c r="T954" i="8" a="1"/>
  <c r="T954" i="8" s="1"/>
  <c r="S954" i="8" a="1"/>
  <c r="S954" i="8" s="1"/>
  <c r="R954" i="8" a="1"/>
  <c r="R954" i="8" s="1"/>
  <c r="Q954" i="8" a="1"/>
  <c r="Q954" i="8" s="1"/>
  <c r="P954" i="8" a="1"/>
  <c r="P954" i="8" s="1"/>
  <c r="O954" i="8" a="1"/>
  <c r="O954" i="8" s="1"/>
  <c r="N954" i="8" a="1"/>
  <c r="N954" i="8" s="1"/>
  <c r="M954" i="8" a="1"/>
  <c r="M954" i="8" s="1"/>
  <c r="L954" i="8" a="1"/>
  <c r="L954" i="8" s="1"/>
  <c r="K954" i="8" a="1"/>
  <c r="K954" i="8" s="1"/>
  <c r="J954" i="8" a="1"/>
  <c r="J954" i="8" s="1"/>
  <c r="I954" i="8" a="1"/>
  <c r="I954" i="8" s="1"/>
  <c r="H954" i="8" a="1"/>
  <c r="H954" i="8" s="1"/>
  <c r="G954" i="8" a="1"/>
  <c r="G954" i="8" s="1"/>
  <c r="F954" i="8" a="1"/>
  <c r="F954" i="8" s="1"/>
  <c r="E954" i="8" a="1"/>
  <c r="E954" i="8" s="1"/>
  <c r="AB953" i="8" a="1"/>
  <c r="AB953" i="8" s="1"/>
  <c r="AA953" i="8" a="1"/>
  <c r="AA953" i="8" s="1"/>
  <c r="Z953" i="8" a="1"/>
  <c r="Z953" i="8" s="1"/>
  <c r="Y953" i="8" a="1"/>
  <c r="Y953" i="8" s="1"/>
  <c r="X953" i="8" a="1"/>
  <c r="X953" i="8" s="1"/>
  <c r="W953" i="8" a="1"/>
  <c r="W953" i="8" s="1"/>
  <c r="V953" i="8" a="1"/>
  <c r="V953" i="8" s="1"/>
  <c r="U953" i="8" a="1"/>
  <c r="U953" i="8" s="1"/>
  <c r="T953" i="8" a="1"/>
  <c r="T953" i="8" s="1"/>
  <c r="S953" i="8" a="1"/>
  <c r="S953" i="8" s="1"/>
  <c r="R953" i="8" a="1"/>
  <c r="R953" i="8" s="1"/>
  <c r="Q953" i="8" a="1"/>
  <c r="Q953" i="8" s="1"/>
  <c r="P953" i="8" a="1"/>
  <c r="P953" i="8" s="1"/>
  <c r="O953" i="8" a="1"/>
  <c r="O953" i="8" s="1"/>
  <c r="N953" i="8" a="1"/>
  <c r="N953" i="8" s="1"/>
  <c r="M953" i="8" a="1"/>
  <c r="M953" i="8" s="1"/>
  <c r="L953" i="8" a="1"/>
  <c r="L953" i="8" s="1"/>
  <c r="K953" i="8" a="1"/>
  <c r="K953" i="8" s="1"/>
  <c r="J953" i="8" a="1"/>
  <c r="J953" i="8" s="1"/>
  <c r="I953" i="8" a="1"/>
  <c r="I953" i="8" s="1"/>
  <c r="H953" i="8" a="1"/>
  <c r="H953" i="8" s="1"/>
  <c r="G953" i="8" a="1"/>
  <c r="G953" i="8" s="1"/>
  <c r="F953" i="8" a="1"/>
  <c r="F953" i="8" s="1"/>
  <c r="E953" i="8" a="1"/>
  <c r="E953" i="8" s="1"/>
  <c r="AB952" i="8" a="1"/>
  <c r="AB952" i="8" s="1"/>
  <c r="AA952" i="8" a="1"/>
  <c r="AA952" i="8" s="1"/>
  <c r="Z952" i="8" a="1"/>
  <c r="Z952" i="8" s="1"/>
  <c r="Y952" i="8" a="1"/>
  <c r="Y952" i="8" s="1"/>
  <c r="X952" i="8" a="1"/>
  <c r="X952" i="8" s="1"/>
  <c r="W952" i="8" a="1"/>
  <c r="W952" i="8" s="1"/>
  <c r="V952" i="8" a="1"/>
  <c r="V952" i="8" s="1"/>
  <c r="U952" i="8" a="1"/>
  <c r="U952" i="8" s="1"/>
  <c r="T952" i="8" a="1"/>
  <c r="T952" i="8" s="1"/>
  <c r="S952" i="8" a="1"/>
  <c r="S952" i="8" s="1"/>
  <c r="R952" i="8" a="1"/>
  <c r="R952" i="8" s="1"/>
  <c r="Q952" i="8" a="1"/>
  <c r="Q952" i="8" s="1"/>
  <c r="P952" i="8" a="1"/>
  <c r="P952" i="8" s="1"/>
  <c r="O952" i="8" a="1"/>
  <c r="O952" i="8" s="1"/>
  <c r="N952" i="8" a="1"/>
  <c r="N952" i="8" s="1"/>
  <c r="M952" i="8" a="1"/>
  <c r="M952" i="8" s="1"/>
  <c r="L952" i="8" a="1"/>
  <c r="L952" i="8" s="1"/>
  <c r="K952" i="8" a="1"/>
  <c r="K952" i="8" s="1"/>
  <c r="J952" i="8" a="1"/>
  <c r="J952" i="8" s="1"/>
  <c r="I952" i="8" a="1"/>
  <c r="I952" i="8" s="1"/>
  <c r="H952" i="8" a="1"/>
  <c r="H952" i="8" s="1"/>
  <c r="G952" i="8" a="1"/>
  <c r="G952" i="8" s="1"/>
  <c r="F952" i="8" a="1"/>
  <c r="F952" i="8" s="1"/>
  <c r="E952" i="8" a="1"/>
  <c r="E952" i="8" s="1"/>
  <c r="AB951" i="8" a="1"/>
  <c r="AB951" i="8" s="1"/>
  <c r="AA951" i="8" a="1"/>
  <c r="AA951" i="8" s="1"/>
  <c r="Z951" i="8" a="1"/>
  <c r="Z951" i="8" s="1"/>
  <c r="Y951" i="8" a="1"/>
  <c r="Y951" i="8" s="1"/>
  <c r="X951" i="8" a="1"/>
  <c r="X951" i="8" s="1"/>
  <c r="W951" i="8" a="1"/>
  <c r="W951" i="8" s="1"/>
  <c r="V951" i="8" a="1"/>
  <c r="V951" i="8" s="1"/>
  <c r="U951" i="8" a="1"/>
  <c r="U951" i="8" s="1"/>
  <c r="T951" i="8" a="1"/>
  <c r="T951" i="8" s="1"/>
  <c r="S951" i="8" a="1"/>
  <c r="S951" i="8" s="1"/>
  <c r="R951" i="8" a="1"/>
  <c r="R951" i="8" s="1"/>
  <c r="Q951" i="8" a="1"/>
  <c r="Q951" i="8" s="1"/>
  <c r="P951" i="8" a="1"/>
  <c r="P951" i="8" s="1"/>
  <c r="O951" i="8" a="1"/>
  <c r="O951" i="8" s="1"/>
  <c r="N951" i="8" a="1"/>
  <c r="N951" i="8" s="1"/>
  <c r="M951" i="8" a="1"/>
  <c r="M951" i="8" s="1"/>
  <c r="L951" i="8" a="1"/>
  <c r="L951" i="8" s="1"/>
  <c r="K951" i="8" a="1"/>
  <c r="K951" i="8" s="1"/>
  <c r="J951" i="8" a="1"/>
  <c r="J951" i="8" s="1"/>
  <c r="I951" i="8" a="1"/>
  <c r="I951" i="8" s="1"/>
  <c r="H951" i="8" a="1"/>
  <c r="H951" i="8" s="1"/>
  <c r="G951" i="8" a="1"/>
  <c r="G951" i="8" s="1"/>
  <c r="F951" i="8" a="1"/>
  <c r="F951" i="8" s="1"/>
  <c r="E951" i="8" a="1"/>
  <c r="E951" i="8" s="1"/>
  <c r="AB950" i="8" a="1"/>
  <c r="AB950" i="8" s="1"/>
  <c r="AA950" i="8" a="1"/>
  <c r="AA950" i="8" s="1"/>
  <c r="Z950" i="8" a="1"/>
  <c r="Z950" i="8" s="1"/>
  <c r="Y950" i="8" a="1"/>
  <c r="Y950" i="8" s="1"/>
  <c r="X950" i="8" a="1"/>
  <c r="X950" i="8" s="1"/>
  <c r="W950" i="8" a="1"/>
  <c r="W950" i="8" s="1"/>
  <c r="V950" i="8" a="1"/>
  <c r="V950" i="8" s="1"/>
  <c r="U950" i="8" a="1"/>
  <c r="U950" i="8" s="1"/>
  <c r="T950" i="8" a="1"/>
  <c r="T950" i="8" s="1"/>
  <c r="S950" i="8" a="1"/>
  <c r="S950" i="8" s="1"/>
  <c r="R950" i="8" a="1"/>
  <c r="R950" i="8" s="1"/>
  <c r="Q950" i="8" a="1"/>
  <c r="Q950" i="8" s="1"/>
  <c r="P950" i="8" a="1"/>
  <c r="P950" i="8" s="1"/>
  <c r="O950" i="8" a="1"/>
  <c r="O950" i="8" s="1"/>
  <c r="N950" i="8" a="1"/>
  <c r="N950" i="8" s="1"/>
  <c r="M950" i="8" a="1"/>
  <c r="M950" i="8" s="1"/>
  <c r="L950" i="8" a="1"/>
  <c r="L950" i="8" s="1"/>
  <c r="K950" i="8" a="1"/>
  <c r="K950" i="8" s="1"/>
  <c r="J950" i="8" a="1"/>
  <c r="J950" i="8" s="1"/>
  <c r="I950" i="8" a="1"/>
  <c r="I950" i="8" s="1"/>
  <c r="H950" i="8" a="1"/>
  <c r="H950" i="8" s="1"/>
  <c r="G950" i="8" a="1"/>
  <c r="G950" i="8" s="1"/>
  <c r="F950" i="8" a="1"/>
  <c r="F950" i="8" s="1"/>
  <c r="E950" i="8" a="1"/>
  <c r="E950" i="8" s="1"/>
  <c r="AB949" i="8" a="1"/>
  <c r="AB949" i="8" s="1"/>
  <c r="AA949" i="8" a="1"/>
  <c r="AA949" i="8" s="1"/>
  <c r="Z949" i="8" a="1"/>
  <c r="Z949" i="8" s="1"/>
  <c r="Y949" i="8" a="1"/>
  <c r="Y949" i="8" s="1"/>
  <c r="X949" i="8" a="1"/>
  <c r="X949" i="8" s="1"/>
  <c r="W949" i="8" a="1"/>
  <c r="W949" i="8" s="1"/>
  <c r="V949" i="8" a="1"/>
  <c r="V949" i="8" s="1"/>
  <c r="U949" i="8" a="1"/>
  <c r="U949" i="8" s="1"/>
  <c r="T949" i="8" a="1"/>
  <c r="T949" i="8" s="1"/>
  <c r="S949" i="8" a="1"/>
  <c r="S949" i="8" s="1"/>
  <c r="R949" i="8" a="1"/>
  <c r="R949" i="8" s="1"/>
  <c r="Q949" i="8" a="1"/>
  <c r="Q949" i="8" s="1"/>
  <c r="P949" i="8" a="1"/>
  <c r="P949" i="8" s="1"/>
  <c r="O949" i="8" a="1"/>
  <c r="O949" i="8" s="1"/>
  <c r="N949" i="8" a="1"/>
  <c r="N949" i="8" s="1"/>
  <c r="M949" i="8" a="1"/>
  <c r="M949" i="8" s="1"/>
  <c r="L949" i="8" a="1"/>
  <c r="L949" i="8" s="1"/>
  <c r="K949" i="8" a="1"/>
  <c r="K949" i="8" s="1"/>
  <c r="J949" i="8" a="1"/>
  <c r="J949" i="8" s="1"/>
  <c r="I949" i="8" a="1"/>
  <c r="I949" i="8" s="1"/>
  <c r="H949" i="8" a="1"/>
  <c r="H949" i="8" s="1"/>
  <c r="G949" i="8" a="1"/>
  <c r="G949" i="8" s="1"/>
  <c r="F949" i="8" a="1"/>
  <c r="F949" i="8" s="1"/>
  <c r="E949" i="8" a="1"/>
  <c r="E949" i="8" s="1"/>
  <c r="AB948" i="8" a="1"/>
  <c r="AB948" i="8" s="1"/>
  <c r="AA948" i="8" a="1"/>
  <c r="AA948" i="8" s="1"/>
  <c r="Z948" i="8" a="1"/>
  <c r="Z948" i="8" s="1"/>
  <c r="Y948" i="8" a="1"/>
  <c r="Y948" i="8" s="1"/>
  <c r="X948" i="8" a="1"/>
  <c r="X948" i="8" s="1"/>
  <c r="W948" i="8" a="1"/>
  <c r="W948" i="8" s="1"/>
  <c r="V948" i="8" a="1"/>
  <c r="V948" i="8" s="1"/>
  <c r="U948" i="8" a="1"/>
  <c r="U948" i="8" s="1"/>
  <c r="T948" i="8" a="1"/>
  <c r="T948" i="8" s="1"/>
  <c r="S948" i="8" a="1"/>
  <c r="S948" i="8" s="1"/>
  <c r="R948" i="8" a="1"/>
  <c r="R948" i="8" s="1"/>
  <c r="Q948" i="8" a="1"/>
  <c r="Q948" i="8" s="1"/>
  <c r="P948" i="8" a="1"/>
  <c r="P948" i="8" s="1"/>
  <c r="O948" i="8" a="1"/>
  <c r="O948" i="8" s="1"/>
  <c r="N948" i="8" a="1"/>
  <c r="N948" i="8" s="1"/>
  <c r="M948" i="8" a="1"/>
  <c r="M948" i="8" s="1"/>
  <c r="L948" i="8" a="1"/>
  <c r="L948" i="8" s="1"/>
  <c r="K948" i="8" a="1"/>
  <c r="K948" i="8" s="1"/>
  <c r="J948" i="8" a="1"/>
  <c r="J948" i="8" s="1"/>
  <c r="I948" i="8" a="1"/>
  <c r="I948" i="8" s="1"/>
  <c r="H948" i="8" a="1"/>
  <c r="H948" i="8" s="1"/>
  <c r="G948" i="8" a="1"/>
  <c r="G948" i="8" s="1"/>
  <c r="F948" i="8" a="1"/>
  <c r="F948" i="8" s="1"/>
  <c r="E948" i="8" a="1"/>
  <c r="E948" i="8" s="1"/>
  <c r="AB947" i="8" a="1"/>
  <c r="AB947" i="8" s="1"/>
  <c r="AA947" i="8" a="1"/>
  <c r="AA947" i="8" s="1"/>
  <c r="Z947" i="8" a="1"/>
  <c r="Z947" i="8" s="1"/>
  <c r="Y947" i="8" a="1"/>
  <c r="Y947" i="8" s="1"/>
  <c r="X947" i="8" a="1"/>
  <c r="X947" i="8" s="1"/>
  <c r="W947" i="8" a="1"/>
  <c r="W947" i="8" s="1"/>
  <c r="V947" i="8" a="1"/>
  <c r="V947" i="8" s="1"/>
  <c r="U947" i="8" a="1"/>
  <c r="U947" i="8" s="1"/>
  <c r="T947" i="8" a="1"/>
  <c r="T947" i="8" s="1"/>
  <c r="S947" i="8" a="1"/>
  <c r="S947" i="8" s="1"/>
  <c r="R947" i="8" a="1"/>
  <c r="R947" i="8" s="1"/>
  <c r="Q947" i="8" a="1"/>
  <c r="Q947" i="8" s="1"/>
  <c r="P947" i="8" a="1"/>
  <c r="P947" i="8" s="1"/>
  <c r="O947" i="8" a="1"/>
  <c r="O947" i="8" s="1"/>
  <c r="N947" i="8" a="1"/>
  <c r="N947" i="8" s="1"/>
  <c r="M947" i="8" a="1"/>
  <c r="M947" i="8" s="1"/>
  <c r="L947" i="8" a="1"/>
  <c r="L947" i="8" s="1"/>
  <c r="K947" i="8" a="1"/>
  <c r="K947" i="8" s="1"/>
  <c r="J947" i="8" a="1"/>
  <c r="J947" i="8" s="1"/>
  <c r="I947" i="8" a="1"/>
  <c r="I947" i="8" s="1"/>
  <c r="H947" i="8" a="1"/>
  <c r="H947" i="8" s="1"/>
  <c r="G947" i="8" a="1"/>
  <c r="G947" i="8" s="1"/>
  <c r="F947" i="8" a="1"/>
  <c r="F947" i="8" s="1"/>
  <c r="E947" i="8" a="1"/>
  <c r="E947" i="8" s="1"/>
  <c r="AB946" i="8" a="1"/>
  <c r="AB946" i="8" s="1"/>
  <c r="AA946" i="8" a="1"/>
  <c r="AA946" i="8" s="1"/>
  <c r="Z946" i="8" a="1"/>
  <c r="Z946" i="8" s="1"/>
  <c r="Y946" i="8" a="1"/>
  <c r="Y946" i="8" s="1"/>
  <c r="X946" i="8" a="1"/>
  <c r="X946" i="8" s="1"/>
  <c r="W946" i="8" a="1"/>
  <c r="W946" i="8" s="1"/>
  <c r="V946" i="8" a="1"/>
  <c r="V946" i="8" s="1"/>
  <c r="U946" i="8" a="1"/>
  <c r="U946" i="8" s="1"/>
  <c r="T946" i="8" a="1"/>
  <c r="T946" i="8" s="1"/>
  <c r="S946" i="8" a="1"/>
  <c r="S946" i="8" s="1"/>
  <c r="R946" i="8" a="1"/>
  <c r="R946" i="8" s="1"/>
  <c r="Q946" i="8" a="1"/>
  <c r="Q946" i="8" s="1"/>
  <c r="P946" i="8" a="1"/>
  <c r="P946" i="8" s="1"/>
  <c r="O946" i="8" a="1"/>
  <c r="O946" i="8" s="1"/>
  <c r="N946" i="8" a="1"/>
  <c r="N946" i="8" s="1"/>
  <c r="M946" i="8" a="1"/>
  <c r="M946" i="8" s="1"/>
  <c r="L946" i="8" a="1"/>
  <c r="L946" i="8" s="1"/>
  <c r="K946" i="8" a="1"/>
  <c r="K946" i="8" s="1"/>
  <c r="J946" i="8" a="1"/>
  <c r="J946" i="8" s="1"/>
  <c r="I946" i="8" a="1"/>
  <c r="I946" i="8" s="1"/>
  <c r="H946" i="8" a="1"/>
  <c r="H946" i="8" s="1"/>
  <c r="G946" i="8" a="1"/>
  <c r="G946" i="8" s="1"/>
  <c r="F946" i="8" a="1"/>
  <c r="F946" i="8" s="1"/>
  <c r="E946" i="8" a="1"/>
  <c r="E946" i="8" s="1"/>
  <c r="AB945" i="8" a="1"/>
  <c r="AB945" i="8" s="1"/>
  <c r="AA945" i="8" a="1"/>
  <c r="AA945" i="8" s="1"/>
  <c r="Z945" i="8" a="1"/>
  <c r="Z945" i="8" s="1"/>
  <c r="Y945" i="8" a="1"/>
  <c r="Y945" i="8" s="1"/>
  <c r="X945" i="8" a="1"/>
  <c r="X945" i="8" s="1"/>
  <c r="W945" i="8" a="1"/>
  <c r="W945" i="8" s="1"/>
  <c r="V945" i="8" a="1"/>
  <c r="V945" i="8" s="1"/>
  <c r="U945" i="8" a="1"/>
  <c r="U945" i="8" s="1"/>
  <c r="T945" i="8" a="1"/>
  <c r="T945" i="8" s="1"/>
  <c r="S945" i="8" a="1"/>
  <c r="S945" i="8" s="1"/>
  <c r="R945" i="8" a="1"/>
  <c r="R945" i="8" s="1"/>
  <c r="Q945" i="8" a="1"/>
  <c r="Q945" i="8" s="1"/>
  <c r="P945" i="8" a="1"/>
  <c r="P945" i="8" s="1"/>
  <c r="O945" i="8" a="1"/>
  <c r="O945" i="8" s="1"/>
  <c r="N945" i="8" a="1"/>
  <c r="N945" i="8" s="1"/>
  <c r="M945" i="8" a="1"/>
  <c r="M945" i="8" s="1"/>
  <c r="L945" i="8" a="1"/>
  <c r="L945" i="8" s="1"/>
  <c r="K945" i="8" a="1"/>
  <c r="K945" i="8" s="1"/>
  <c r="J945" i="8" a="1"/>
  <c r="J945" i="8" s="1"/>
  <c r="I945" i="8" a="1"/>
  <c r="I945" i="8" s="1"/>
  <c r="H945" i="8" a="1"/>
  <c r="H945" i="8" s="1"/>
  <c r="G945" i="8" a="1"/>
  <c r="G945" i="8" s="1"/>
  <c r="F945" i="8" a="1"/>
  <c r="F945" i="8" s="1"/>
  <c r="E945" i="8" a="1"/>
  <c r="E945" i="8" s="1"/>
  <c r="AB944" i="8" a="1"/>
  <c r="AB944" i="8" s="1"/>
  <c r="AA944" i="8" a="1"/>
  <c r="AA944" i="8" s="1"/>
  <c r="Z944" i="8" a="1"/>
  <c r="Z944" i="8" s="1"/>
  <c r="Y944" i="8" a="1"/>
  <c r="Y944" i="8" s="1"/>
  <c r="X944" i="8" a="1"/>
  <c r="X944" i="8" s="1"/>
  <c r="W944" i="8" a="1"/>
  <c r="W944" i="8" s="1"/>
  <c r="V944" i="8" a="1"/>
  <c r="V944" i="8" s="1"/>
  <c r="U944" i="8" a="1"/>
  <c r="U944" i="8" s="1"/>
  <c r="T944" i="8" a="1"/>
  <c r="T944" i="8" s="1"/>
  <c r="S944" i="8" a="1"/>
  <c r="S944" i="8" s="1"/>
  <c r="R944" i="8" a="1"/>
  <c r="R944" i="8" s="1"/>
  <c r="Q944" i="8" a="1"/>
  <c r="Q944" i="8" s="1"/>
  <c r="P944" i="8" a="1"/>
  <c r="P944" i="8" s="1"/>
  <c r="O944" i="8" a="1"/>
  <c r="O944" i="8" s="1"/>
  <c r="N944" i="8" a="1"/>
  <c r="N944" i="8" s="1"/>
  <c r="M944" i="8" a="1"/>
  <c r="M944" i="8" s="1"/>
  <c r="L944" i="8" a="1"/>
  <c r="L944" i="8" s="1"/>
  <c r="K944" i="8" a="1"/>
  <c r="K944" i="8" s="1"/>
  <c r="J944" i="8" a="1"/>
  <c r="J944" i="8" s="1"/>
  <c r="I944" i="8" a="1"/>
  <c r="I944" i="8" s="1"/>
  <c r="H944" i="8" a="1"/>
  <c r="H944" i="8" s="1"/>
  <c r="G944" i="8" a="1"/>
  <c r="G944" i="8" s="1"/>
  <c r="F944" i="8" a="1"/>
  <c r="F944" i="8" s="1"/>
  <c r="E944" i="8" a="1"/>
  <c r="E944" i="8" s="1"/>
  <c r="AB943" i="8" a="1"/>
  <c r="AB943" i="8" s="1"/>
  <c r="AA943" i="8" a="1"/>
  <c r="AA943" i="8" s="1"/>
  <c r="Z943" i="8" a="1"/>
  <c r="Z943" i="8" s="1"/>
  <c r="Y943" i="8" a="1"/>
  <c r="Y943" i="8" s="1"/>
  <c r="X943" i="8" a="1"/>
  <c r="X943" i="8" s="1"/>
  <c r="W943" i="8" a="1"/>
  <c r="W943" i="8" s="1"/>
  <c r="V943" i="8" a="1"/>
  <c r="V943" i="8" s="1"/>
  <c r="U943" i="8" a="1"/>
  <c r="U943" i="8" s="1"/>
  <c r="T943" i="8" a="1"/>
  <c r="T943" i="8" s="1"/>
  <c r="S943" i="8" a="1"/>
  <c r="S943" i="8" s="1"/>
  <c r="R943" i="8" a="1"/>
  <c r="R943" i="8" s="1"/>
  <c r="Q943" i="8" a="1"/>
  <c r="Q943" i="8" s="1"/>
  <c r="P943" i="8" a="1"/>
  <c r="P943" i="8" s="1"/>
  <c r="O943" i="8" a="1"/>
  <c r="O943" i="8" s="1"/>
  <c r="N943" i="8" a="1"/>
  <c r="N943" i="8" s="1"/>
  <c r="M943" i="8" a="1"/>
  <c r="M943" i="8" s="1"/>
  <c r="L943" i="8" a="1"/>
  <c r="L943" i="8" s="1"/>
  <c r="K943" i="8" a="1"/>
  <c r="K943" i="8" s="1"/>
  <c r="J943" i="8" a="1"/>
  <c r="J943" i="8" s="1"/>
  <c r="I943" i="8" a="1"/>
  <c r="I943" i="8" s="1"/>
  <c r="H943" i="8" a="1"/>
  <c r="H943" i="8" s="1"/>
  <c r="G943" i="8" a="1"/>
  <c r="G943" i="8" s="1"/>
  <c r="F943" i="8" a="1"/>
  <c r="F943" i="8" s="1"/>
  <c r="E943" i="8" a="1"/>
  <c r="E943" i="8" s="1"/>
  <c r="AB942" i="8" a="1"/>
  <c r="AB942" i="8" s="1"/>
  <c r="AA942" i="8" a="1"/>
  <c r="AA942" i="8" s="1"/>
  <c r="Z942" i="8" a="1"/>
  <c r="Z942" i="8" s="1"/>
  <c r="Y942" i="8" a="1"/>
  <c r="Y942" i="8" s="1"/>
  <c r="X942" i="8" a="1"/>
  <c r="X942" i="8" s="1"/>
  <c r="W942" i="8" a="1"/>
  <c r="W942" i="8" s="1"/>
  <c r="V942" i="8" a="1"/>
  <c r="V942" i="8" s="1"/>
  <c r="U942" i="8" a="1"/>
  <c r="U942" i="8" s="1"/>
  <c r="T942" i="8" a="1"/>
  <c r="T942" i="8" s="1"/>
  <c r="S942" i="8" a="1"/>
  <c r="S942" i="8" s="1"/>
  <c r="R942" i="8" a="1"/>
  <c r="R942" i="8" s="1"/>
  <c r="Q942" i="8" a="1"/>
  <c r="Q942" i="8" s="1"/>
  <c r="P942" i="8" a="1"/>
  <c r="P942" i="8" s="1"/>
  <c r="O942" i="8" a="1"/>
  <c r="O942" i="8" s="1"/>
  <c r="N942" i="8" a="1"/>
  <c r="N942" i="8" s="1"/>
  <c r="M942" i="8" a="1"/>
  <c r="M942" i="8" s="1"/>
  <c r="L942" i="8" a="1"/>
  <c r="L942" i="8" s="1"/>
  <c r="K942" i="8" a="1"/>
  <c r="K942" i="8" s="1"/>
  <c r="J942" i="8" a="1"/>
  <c r="J942" i="8" s="1"/>
  <c r="I942" i="8" a="1"/>
  <c r="I942" i="8" s="1"/>
  <c r="H942" i="8" a="1"/>
  <c r="H942" i="8" s="1"/>
  <c r="G942" i="8" a="1"/>
  <c r="G942" i="8" s="1"/>
  <c r="F942" i="8" a="1"/>
  <c r="F942" i="8" s="1"/>
  <c r="E942" i="8" a="1"/>
  <c r="E942" i="8" s="1"/>
  <c r="AB941" i="8" a="1"/>
  <c r="AB941" i="8" s="1"/>
  <c r="AA941" i="8" a="1"/>
  <c r="AA941" i="8" s="1"/>
  <c r="Z941" i="8" a="1"/>
  <c r="Z941" i="8" s="1"/>
  <c r="Y941" i="8" a="1"/>
  <c r="Y941" i="8" s="1"/>
  <c r="X941" i="8" a="1"/>
  <c r="X941" i="8" s="1"/>
  <c r="W941" i="8" a="1"/>
  <c r="W941" i="8" s="1"/>
  <c r="V941" i="8" a="1"/>
  <c r="V941" i="8" s="1"/>
  <c r="U941" i="8" a="1"/>
  <c r="U941" i="8" s="1"/>
  <c r="T941" i="8" a="1"/>
  <c r="T941" i="8" s="1"/>
  <c r="S941" i="8" a="1"/>
  <c r="S941" i="8" s="1"/>
  <c r="R941" i="8" a="1"/>
  <c r="R941" i="8" s="1"/>
  <c r="Q941" i="8" a="1"/>
  <c r="Q941" i="8" s="1"/>
  <c r="P941" i="8" a="1"/>
  <c r="P941" i="8" s="1"/>
  <c r="O941" i="8" a="1"/>
  <c r="O941" i="8" s="1"/>
  <c r="N941" i="8" a="1"/>
  <c r="N941" i="8" s="1"/>
  <c r="M941" i="8" a="1"/>
  <c r="M941" i="8" s="1"/>
  <c r="L941" i="8" a="1"/>
  <c r="L941" i="8" s="1"/>
  <c r="K941" i="8" a="1"/>
  <c r="K941" i="8" s="1"/>
  <c r="J941" i="8" a="1"/>
  <c r="J941" i="8" s="1"/>
  <c r="I941" i="8" a="1"/>
  <c r="I941" i="8" s="1"/>
  <c r="H941" i="8" a="1"/>
  <c r="H941" i="8" s="1"/>
  <c r="G941" i="8" a="1"/>
  <c r="G941" i="8" s="1"/>
  <c r="F941" i="8" a="1"/>
  <c r="F941" i="8" s="1"/>
  <c r="E941" i="8" a="1"/>
  <c r="E941" i="8" s="1"/>
  <c r="AB940" i="8" a="1"/>
  <c r="AB940" i="8" s="1"/>
  <c r="AA940" i="8" a="1"/>
  <c r="AA940" i="8" s="1"/>
  <c r="Z940" i="8" a="1"/>
  <c r="Z940" i="8" s="1"/>
  <c r="Y940" i="8" a="1"/>
  <c r="Y940" i="8" s="1"/>
  <c r="X940" i="8" a="1"/>
  <c r="X940" i="8" s="1"/>
  <c r="W940" i="8" a="1"/>
  <c r="W940" i="8" s="1"/>
  <c r="V940" i="8" a="1"/>
  <c r="V940" i="8" s="1"/>
  <c r="U940" i="8" a="1"/>
  <c r="U940" i="8" s="1"/>
  <c r="T940" i="8" a="1"/>
  <c r="T940" i="8" s="1"/>
  <c r="S940" i="8" a="1"/>
  <c r="S940" i="8" s="1"/>
  <c r="R940" i="8" a="1"/>
  <c r="R940" i="8" s="1"/>
  <c r="Q940" i="8" a="1"/>
  <c r="Q940" i="8" s="1"/>
  <c r="P940" i="8" a="1"/>
  <c r="P940" i="8" s="1"/>
  <c r="O940" i="8" a="1"/>
  <c r="O940" i="8" s="1"/>
  <c r="N940" i="8" a="1"/>
  <c r="N940" i="8" s="1"/>
  <c r="M940" i="8" a="1"/>
  <c r="M940" i="8" s="1"/>
  <c r="L940" i="8" a="1"/>
  <c r="L940" i="8" s="1"/>
  <c r="K940" i="8" a="1"/>
  <c r="K940" i="8" s="1"/>
  <c r="J940" i="8" a="1"/>
  <c r="J940" i="8" s="1"/>
  <c r="I940" i="8" a="1"/>
  <c r="I940" i="8" s="1"/>
  <c r="H940" i="8" a="1"/>
  <c r="H940" i="8" s="1"/>
  <c r="G940" i="8" a="1"/>
  <c r="G940" i="8" s="1"/>
  <c r="F940" i="8" a="1"/>
  <c r="F940" i="8" s="1"/>
  <c r="E940" i="8" a="1"/>
  <c r="E940" i="8" s="1"/>
  <c r="AB939" i="8" a="1"/>
  <c r="AB939" i="8" s="1"/>
  <c r="AA939" i="8" a="1"/>
  <c r="AA939" i="8" s="1"/>
  <c r="Z939" i="8" a="1"/>
  <c r="Z939" i="8" s="1"/>
  <c r="Y939" i="8" a="1"/>
  <c r="Y939" i="8" s="1"/>
  <c r="X939" i="8" a="1"/>
  <c r="X939" i="8" s="1"/>
  <c r="W939" i="8" a="1"/>
  <c r="W939" i="8" s="1"/>
  <c r="V939" i="8" a="1"/>
  <c r="V939" i="8" s="1"/>
  <c r="U939" i="8" a="1"/>
  <c r="U939" i="8" s="1"/>
  <c r="T939" i="8" a="1"/>
  <c r="T939" i="8" s="1"/>
  <c r="S939" i="8" a="1"/>
  <c r="S939" i="8" s="1"/>
  <c r="R939" i="8" a="1"/>
  <c r="R939" i="8" s="1"/>
  <c r="Q939" i="8" a="1"/>
  <c r="Q939" i="8" s="1"/>
  <c r="P939" i="8" a="1"/>
  <c r="P939" i="8" s="1"/>
  <c r="O939" i="8" a="1"/>
  <c r="O939" i="8" s="1"/>
  <c r="N939" i="8" a="1"/>
  <c r="N939" i="8" s="1"/>
  <c r="M939" i="8" a="1"/>
  <c r="M939" i="8" s="1"/>
  <c r="L939" i="8" a="1"/>
  <c r="L939" i="8" s="1"/>
  <c r="K939" i="8" a="1"/>
  <c r="K939" i="8" s="1"/>
  <c r="J939" i="8" a="1"/>
  <c r="J939" i="8" s="1"/>
  <c r="I939" i="8" a="1"/>
  <c r="I939" i="8" s="1"/>
  <c r="H939" i="8" a="1"/>
  <c r="H939" i="8" s="1"/>
  <c r="G939" i="8" a="1"/>
  <c r="G939" i="8" s="1"/>
  <c r="F939" i="8" a="1"/>
  <c r="F939" i="8" s="1"/>
  <c r="E939" i="8" a="1"/>
  <c r="E939" i="8" s="1"/>
  <c r="AB938" i="8" a="1"/>
  <c r="AB938" i="8" s="1"/>
  <c r="AA938" i="8" a="1"/>
  <c r="AA938" i="8" s="1"/>
  <c r="Z938" i="8" a="1"/>
  <c r="Z938" i="8" s="1"/>
  <c r="Y938" i="8" a="1"/>
  <c r="Y938" i="8" s="1"/>
  <c r="X938" i="8" a="1"/>
  <c r="X938" i="8" s="1"/>
  <c r="W938" i="8" a="1"/>
  <c r="W938" i="8" s="1"/>
  <c r="V938" i="8" a="1"/>
  <c r="V938" i="8" s="1"/>
  <c r="U938" i="8" a="1"/>
  <c r="U938" i="8" s="1"/>
  <c r="T938" i="8" a="1"/>
  <c r="T938" i="8" s="1"/>
  <c r="S938" i="8" a="1"/>
  <c r="S938" i="8" s="1"/>
  <c r="R938" i="8" a="1"/>
  <c r="R938" i="8" s="1"/>
  <c r="Q938" i="8" a="1"/>
  <c r="Q938" i="8" s="1"/>
  <c r="P938" i="8" a="1"/>
  <c r="P938" i="8" s="1"/>
  <c r="O938" i="8" a="1"/>
  <c r="O938" i="8" s="1"/>
  <c r="N938" i="8" a="1"/>
  <c r="N938" i="8" s="1"/>
  <c r="M938" i="8" a="1"/>
  <c r="M938" i="8" s="1"/>
  <c r="L938" i="8" a="1"/>
  <c r="L938" i="8" s="1"/>
  <c r="K938" i="8" a="1"/>
  <c r="K938" i="8" s="1"/>
  <c r="J938" i="8" a="1"/>
  <c r="J938" i="8" s="1"/>
  <c r="I938" i="8" a="1"/>
  <c r="I938" i="8" s="1"/>
  <c r="H938" i="8" a="1"/>
  <c r="H938" i="8" s="1"/>
  <c r="G938" i="8" a="1"/>
  <c r="G938" i="8" s="1"/>
  <c r="F938" i="8" a="1"/>
  <c r="F938" i="8" s="1"/>
  <c r="E938" i="8" a="1"/>
  <c r="E938" i="8" s="1"/>
  <c r="AB937" i="8" a="1"/>
  <c r="AB937" i="8" s="1"/>
  <c r="AA937" i="8" a="1"/>
  <c r="AA937" i="8" s="1"/>
  <c r="Z937" i="8" a="1"/>
  <c r="Z937" i="8" s="1"/>
  <c r="Y937" i="8" a="1"/>
  <c r="Y937" i="8" s="1"/>
  <c r="X937" i="8" a="1"/>
  <c r="X937" i="8" s="1"/>
  <c r="W937" i="8" a="1"/>
  <c r="W937" i="8" s="1"/>
  <c r="V937" i="8" a="1"/>
  <c r="V937" i="8" s="1"/>
  <c r="U937" i="8" a="1"/>
  <c r="U937" i="8" s="1"/>
  <c r="T937" i="8" a="1"/>
  <c r="T937" i="8" s="1"/>
  <c r="S937" i="8" a="1"/>
  <c r="S937" i="8" s="1"/>
  <c r="R937" i="8" a="1"/>
  <c r="R937" i="8" s="1"/>
  <c r="Q937" i="8" a="1"/>
  <c r="Q937" i="8" s="1"/>
  <c r="P937" i="8" a="1"/>
  <c r="P937" i="8" s="1"/>
  <c r="O937" i="8" a="1"/>
  <c r="O937" i="8" s="1"/>
  <c r="N937" i="8" a="1"/>
  <c r="N937" i="8" s="1"/>
  <c r="M937" i="8" a="1"/>
  <c r="M937" i="8" s="1"/>
  <c r="L937" i="8" a="1"/>
  <c r="L937" i="8" s="1"/>
  <c r="K937" i="8" a="1"/>
  <c r="K937" i="8" s="1"/>
  <c r="J937" i="8" a="1"/>
  <c r="J937" i="8" s="1"/>
  <c r="I937" i="8" a="1"/>
  <c r="I937" i="8" s="1"/>
  <c r="H937" i="8" a="1"/>
  <c r="H937" i="8" s="1"/>
  <c r="G937" i="8" a="1"/>
  <c r="G937" i="8" s="1"/>
  <c r="F937" i="8" a="1"/>
  <c r="F937" i="8" s="1"/>
  <c r="E937" i="8" a="1"/>
  <c r="E937" i="8" s="1"/>
  <c r="AB936" i="8" a="1"/>
  <c r="AB936" i="8" s="1"/>
  <c r="AA936" i="8" a="1"/>
  <c r="AA936" i="8" s="1"/>
  <c r="Z936" i="8" a="1"/>
  <c r="Z936" i="8" s="1"/>
  <c r="Y936" i="8" a="1"/>
  <c r="Y936" i="8" s="1"/>
  <c r="X936" i="8" a="1"/>
  <c r="X936" i="8" s="1"/>
  <c r="W936" i="8" a="1"/>
  <c r="W936" i="8" s="1"/>
  <c r="V936" i="8" a="1"/>
  <c r="V936" i="8" s="1"/>
  <c r="U936" i="8" a="1"/>
  <c r="U936" i="8" s="1"/>
  <c r="T936" i="8" a="1"/>
  <c r="T936" i="8" s="1"/>
  <c r="S936" i="8" a="1"/>
  <c r="S936" i="8" s="1"/>
  <c r="R936" i="8" a="1"/>
  <c r="R936" i="8" s="1"/>
  <c r="Q936" i="8" a="1"/>
  <c r="Q936" i="8" s="1"/>
  <c r="P936" i="8" a="1"/>
  <c r="P936" i="8" s="1"/>
  <c r="O936" i="8" a="1"/>
  <c r="O936" i="8" s="1"/>
  <c r="N936" i="8" a="1"/>
  <c r="N936" i="8" s="1"/>
  <c r="M936" i="8" a="1"/>
  <c r="M936" i="8" s="1"/>
  <c r="L936" i="8" a="1"/>
  <c r="L936" i="8" s="1"/>
  <c r="K936" i="8" a="1"/>
  <c r="K936" i="8" s="1"/>
  <c r="J936" i="8" a="1"/>
  <c r="J936" i="8" s="1"/>
  <c r="I936" i="8" a="1"/>
  <c r="I936" i="8" s="1"/>
  <c r="H936" i="8" a="1"/>
  <c r="H936" i="8" s="1"/>
  <c r="G936" i="8" a="1"/>
  <c r="G936" i="8" s="1"/>
  <c r="F936" i="8" a="1"/>
  <c r="F936" i="8" s="1"/>
  <c r="E936" i="8" a="1"/>
  <c r="E936" i="8" s="1"/>
  <c r="AB935" i="8" a="1"/>
  <c r="AB935" i="8" s="1"/>
  <c r="AA935" i="8" a="1"/>
  <c r="AA935" i="8" s="1"/>
  <c r="Z935" i="8" a="1"/>
  <c r="Z935" i="8" s="1"/>
  <c r="Y935" i="8" a="1"/>
  <c r="Y935" i="8" s="1"/>
  <c r="X935" i="8" a="1"/>
  <c r="X935" i="8" s="1"/>
  <c r="W935" i="8" a="1"/>
  <c r="W935" i="8" s="1"/>
  <c r="V935" i="8" a="1"/>
  <c r="V935" i="8" s="1"/>
  <c r="U935" i="8" a="1"/>
  <c r="U935" i="8" s="1"/>
  <c r="T935" i="8" a="1"/>
  <c r="T935" i="8" s="1"/>
  <c r="S935" i="8" a="1"/>
  <c r="S935" i="8" s="1"/>
  <c r="R935" i="8" a="1"/>
  <c r="R935" i="8" s="1"/>
  <c r="Q935" i="8" a="1"/>
  <c r="Q935" i="8" s="1"/>
  <c r="P935" i="8" a="1"/>
  <c r="P935" i="8" s="1"/>
  <c r="O935" i="8" a="1"/>
  <c r="O935" i="8" s="1"/>
  <c r="N935" i="8" a="1"/>
  <c r="N935" i="8" s="1"/>
  <c r="M935" i="8" a="1"/>
  <c r="M935" i="8" s="1"/>
  <c r="L935" i="8" a="1"/>
  <c r="L935" i="8" s="1"/>
  <c r="K935" i="8" a="1"/>
  <c r="K935" i="8" s="1"/>
  <c r="J935" i="8" a="1"/>
  <c r="J935" i="8" s="1"/>
  <c r="I935" i="8" a="1"/>
  <c r="I935" i="8" s="1"/>
  <c r="H935" i="8" a="1"/>
  <c r="H935" i="8" s="1"/>
  <c r="G935" i="8" a="1"/>
  <c r="G935" i="8" s="1"/>
  <c r="F935" i="8" a="1"/>
  <c r="F935" i="8" s="1"/>
  <c r="E935" i="8" a="1"/>
  <c r="E935" i="8" s="1"/>
  <c r="AB934" i="8" a="1"/>
  <c r="AB934" i="8" s="1"/>
  <c r="AA934" i="8" a="1"/>
  <c r="AA934" i="8" s="1"/>
  <c r="Z934" i="8" a="1"/>
  <c r="Z934" i="8" s="1"/>
  <c r="Y934" i="8" a="1"/>
  <c r="Y934" i="8" s="1"/>
  <c r="X934" i="8" a="1"/>
  <c r="X934" i="8" s="1"/>
  <c r="W934" i="8" a="1"/>
  <c r="W934" i="8" s="1"/>
  <c r="V934" i="8" a="1"/>
  <c r="V934" i="8" s="1"/>
  <c r="U934" i="8" a="1"/>
  <c r="U934" i="8" s="1"/>
  <c r="T934" i="8" a="1"/>
  <c r="T934" i="8" s="1"/>
  <c r="S934" i="8" a="1"/>
  <c r="S934" i="8" s="1"/>
  <c r="R934" i="8" a="1"/>
  <c r="R934" i="8" s="1"/>
  <c r="Q934" i="8" a="1"/>
  <c r="Q934" i="8" s="1"/>
  <c r="P934" i="8" a="1"/>
  <c r="P934" i="8" s="1"/>
  <c r="O934" i="8" a="1"/>
  <c r="O934" i="8" s="1"/>
  <c r="N934" i="8" a="1"/>
  <c r="N934" i="8" s="1"/>
  <c r="M934" i="8" a="1"/>
  <c r="M934" i="8" s="1"/>
  <c r="L934" i="8" a="1"/>
  <c r="L934" i="8" s="1"/>
  <c r="K934" i="8" a="1"/>
  <c r="K934" i="8" s="1"/>
  <c r="J934" i="8" a="1"/>
  <c r="J934" i="8" s="1"/>
  <c r="I934" i="8" a="1"/>
  <c r="I934" i="8" s="1"/>
  <c r="H934" i="8" a="1"/>
  <c r="H934" i="8" s="1"/>
  <c r="G934" i="8" a="1"/>
  <c r="G934" i="8" s="1"/>
  <c r="F934" i="8" a="1"/>
  <c r="F934" i="8" s="1"/>
  <c r="E934" i="8" a="1"/>
  <c r="E934" i="8" s="1"/>
  <c r="AB933" i="8" a="1"/>
  <c r="AB933" i="8" s="1"/>
  <c r="AA933" i="8" a="1"/>
  <c r="AA933" i="8" s="1"/>
  <c r="Z933" i="8" a="1"/>
  <c r="Z933" i="8" s="1"/>
  <c r="Y933" i="8" a="1"/>
  <c r="Y933" i="8" s="1"/>
  <c r="X933" i="8" a="1"/>
  <c r="X933" i="8" s="1"/>
  <c r="W933" i="8" a="1"/>
  <c r="W933" i="8" s="1"/>
  <c r="V933" i="8" a="1"/>
  <c r="V933" i="8" s="1"/>
  <c r="U933" i="8" a="1"/>
  <c r="U933" i="8" s="1"/>
  <c r="T933" i="8" a="1"/>
  <c r="T933" i="8" s="1"/>
  <c r="S933" i="8" a="1"/>
  <c r="S933" i="8" s="1"/>
  <c r="R933" i="8" a="1"/>
  <c r="R933" i="8" s="1"/>
  <c r="Q933" i="8" a="1"/>
  <c r="Q933" i="8" s="1"/>
  <c r="P933" i="8" a="1"/>
  <c r="P933" i="8" s="1"/>
  <c r="O933" i="8" a="1"/>
  <c r="O933" i="8" s="1"/>
  <c r="N933" i="8" a="1"/>
  <c r="N933" i="8" s="1"/>
  <c r="M933" i="8" a="1"/>
  <c r="M933" i="8" s="1"/>
  <c r="L933" i="8" a="1"/>
  <c r="L933" i="8" s="1"/>
  <c r="K933" i="8" a="1"/>
  <c r="K933" i="8" s="1"/>
  <c r="J933" i="8" a="1"/>
  <c r="J933" i="8" s="1"/>
  <c r="I933" i="8" a="1"/>
  <c r="I933" i="8" s="1"/>
  <c r="H933" i="8" a="1"/>
  <c r="H933" i="8" s="1"/>
  <c r="G933" i="8" a="1"/>
  <c r="G933" i="8" s="1"/>
  <c r="F933" i="8" a="1"/>
  <c r="F933" i="8" s="1"/>
  <c r="E933" i="8" a="1"/>
  <c r="E933" i="8" s="1"/>
  <c r="AB932" i="8" a="1"/>
  <c r="AB932" i="8" s="1"/>
  <c r="AA932" i="8" a="1"/>
  <c r="AA932" i="8" s="1"/>
  <c r="Z932" i="8" a="1"/>
  <c r="Z932" i="8" s="1"/>
  <c r="Y932" i="8" a="1"/>
  <c r="Y932" i="8" s="1"/>
  <c r="X932" i="8" a="1"/>
  <c r="X932" i="8" s="1"/>
  <c r="W932" i="8" a="1"/>
  <c r="W932" i="8" s="1"/>
  <c r="V932" i="8" a="1"/>
  <c r="V932" i="8" s="1"/>
  <c r="U932" i="8" a="1"/>
  <c r="U932" i="8" s="1"/>
  <c r="T932" i="8" a="1"/>
  <c r="T932" i="8" s="1"/>
  <c r="S932" i="8" a="1"/>
  <c r="S932" i="8" s="1"/>
  <c r="R932" i="8" a="1"/>
  <c r="R932" i="8" s="1"/>
  <c r="Q932" i="8" a="1"/>
  <c r="Q932" i="8" s="1"/>
  <c r="P932" i="8" a="1"/>
  <c r="P932" i="8" s="1"/>
  <c r="O932" i="8" a="1"/>
  <c r="O932" i="8" s="1"/>
  <c r="N932" i="8" a="1"/>
  <c r="N932" i="8" s="1"/>
  <c r="M932" i="8" a="1"/>
  <c r="M932" i="8" s="1"/>
  <c r="L932" i="8" a="1"/>
  <c r="L932" i="8" s="1"/>
  <c r="K932" i="8" a="1"/>
  <c r="K932" i="8" s="1"/>
  <c r="J932" i="8" a="1"/>
  <c r="J932" i="8" s="1"/>
  <c r="I932" i="8" a="1"/>
  <c r="I932" i="8" s="1"/>
  <c r="H932" i="8" a="1"/>
  <c r="H932" i="8" s="1"/>
  <c r="G932" i="8" a="1"/>
  <c r="G932" i="8" s="1"/>
  <c r="F932" i="8" a="1"/>
  <c r="F932" i="8" s="1"/>
  <c r="E932" i="8" a="1"/>
  <c r="E932" i="8" s="1"/>
  <c r="AB931" i="8" a="1"/>
  <c r="AB931" i="8" s="1"/>
  <c r="AA931" i="8" a="1"/>
  <c r="AA931" i="8" s="1"/>
  <c r="Z931" i="8" a="1"/>
  <c r="Z931" i="8" s="1"/>
  <c r="Y931" i="8" a="1"/>
  <c r="Y931" i="8" s="1"/>
  <c r="X931" i="8" a="1"/>
  <c r="X931" i="8" s="1"/>
  <c r="W931" i="8" a="1"/>
  <c r="W931" i="8" s="1"/>
  <c r="V931" i="8" a="1"/>
  <c r="V931" i="8" s="1"/>
  <c r="U931" i="8" a="1"/>
  <c r="U931" i="8" s="1"/>
  <c r="T931" i="8" a="1"/>
  <c r="T931" i="8" s="1"/>
  <c r="S931" i="8" a="1"/>
  <c r="S931" i="8" s="1"/>
  <c r="R931" i="8" a="1"/>
  <c r="R931" i="8" s="1"/>
  <c r="Q931" i="8" a="1"/>
  <c r="Q931" i="8" s="1"/>
  <c r="P931" i="8" a="1"/>
  <c r="P931" i="8" s="1"/>
  <c r="O931" i="8" a="1"/>
  <c r="O931" i="8" s="1"/>
  <c r="N931" i="8" a="1"/>
  <c r="N931" i="8" s="1"/>
  <c r="M931" i="8" a="1"/>
  <c r="M931" i="8" s="1"/>
  <c r="L931" i="8" a="1"/>
  <c r="L931" i="8" s="1"/>
  <c r="K931" i="8" a="1"/>
  <c r="K931" i="8" s="1"/>
  <c r="J931" i="8" a="1"/>
  <c r="J931" i="8" s="1"/>
  <c r="I931" i="8" a="1"/>
  <c r="I931" i="8" s="1"/>
  <c r="H931" i="8" a="1"/>
  <c r="H931" i="8" s="1"/>
  <c r="G931" i="8" a="1"/>
  <c r="G931" i="8" s="1"/>
  <c r="F931" i="8" a="1"/>
  <c r="F931" i="8" s="1"/>
  <c r="E931" i="8" a="1"/>
  <c r="E931" i="8" s="1"/>
  <c r="AB930" i="8" a="1"/>
  <c r="AB930" i="8" s="1"/>
  <c r="AA930" i="8" a="1"/>
  <c r="AA930" i="8" s="1"/>
  <c r="Z930" i="8" a="1"/>
  <c r="Z930" i="8" s="1"/>
  <c r="Y930" i="8" a="1"/>
  <c r="Y930" i="8" s="1"/>
  <c r="X930" i="8" a="1"/>
  <c r="X930" i="8" s="1"/>
  <c r="W930" i="8" a="1"/>
  <c r="W930" i="8" s="1"/>
  <c r="V930" i="8" a="1"/>
  <c r="V930" i="8" s="1"/>
  <c r="U930" i="8" a="1"/>
  <c r="U930" i="8" s="1"/>
  <c r="T930" i="8" a="1"/>
  <c r="T930" i="8" s="1"/>
  <c r="S930" i="8" a="1"/>
  <c r="S930" i="8" s="1"/>
  <c r="R930" i="8" a="1"/>
  <c r="R930" i="8" s="1"/>
  <c r="Q930" i="8" a="1"/>
  <c r="Q930" i="8" s="1"/>
  <c r="P930" i="8" a="1"/>
  <c r="P930" i="8" s="1"/>
  <c r="O930" i="8" a="1"/>
  <c r="O930" i="8" s="1"/>
  <c r="N930" i="8" a="1"/>
  <c r="N930" i="8" s="1"/>
  <c r="M930" i="8" a="1"/>
  <c r="M930" i="8" s="1"/>
  <c r="L930" i="8" a="1"/>
  <c r="L930" i="8" s="1"/>
  <c r="K930" i="8" a="1"/>
  <c r="K930" i="8" s="1"/>
  <c r="J930" i="8" a="1"/>
  <c r="J930" i="8" s="1"/>
  <c r="I930" i="8" a="1"/>
  <c r="I930" i="8" s="1"/>
  <c r="H930" i="8" a="1"/>
  <c r="H930" i="8" s="1"/>
  <c r="G930" i="8" a="1"/>
  <c r="G930" i="8" s="1"/>
  <c r="F930" i="8" a="1"/>
  <c r="F930" i="8" s="1"/>
  <c r="E930" i="8" a="1"/>
  <c r="E930" i="8" s="1"/>
  <c r="AB929" i="8" a="1"/>
  <c r="AB929" i="8" s="1"/>
  <c r="AA929" i="8" a="1"/>
  <c r="AA929" i="8" s="1"/>
  <c r="Z929" i="8" a="1"/>
  <c r="Z929" i="8" s="1"/>
  <c r="Y929" i="8" a="1"/>
  <c r="Y929" i="8" s="1"/>
  <c r="X929" i="8" a="1"/>
  <c r="X929" i="8" s="1"/>
  <c r="W929" i="8" a="1"/>
  <c r="W929" i="8" s="1"/>
  <c r="V929" i="8" a="1"/>
  <c r="V929" i="8" s="1"/>
  <c r="U929" i="8" a="1"/>
  <c r="U929" i="8" s="1"/>
  <c r="T929" i="8" a="1"/>
  <c r="T929" i="8" s="1"/>
  <c r="S929" i="8" a="1"/>
  <c r="S929" i="8" s="1"/>
  <c r="R929" i="8" a="1"/>
  <c r="R929" i="8" s="1"/>
  <c r="Q929" i="8" a="1"/>
  <c r="Q929" i="8" s="1"/>
  <c r="P929" i="8" a="1"/>
  <c r="P929" i="8" s="1"/>
  <c r="O929" i="8" a="1"/>
  <c r="O929" i="8" s="1"/>
  <c r="N929" i="8" a="1"/>
  <c r="N929" i="8" s="1"/>
  <c r="M929" i="8" a="1"/>
  <c r="M929" i="8" s="1"/>
  <c r="L929" i="8" a="1"/>
  <c r="L929" i="8" s="1"/>
  <c r="K929" i="8" a="1"/>
  <c r="K929" i="8" s="1"/>
  <c r="J929" i="8" a="1"/>
  <c r="J929" i="8" s="1"/>
  <c r="I929" i="8" a="1"/>
  <c r="I929" i="8" s="1"/>
  <c r="H929" i="8" a="1"/>
  <c r="H929" i="8" s="1"/>
  <c r="G929" i="8" a="1"/>
  <c r="G929" i="8" s="1"/>
  <c r="F929" i="8" a="1"/>
  <c r="F929" i="8" s="1"/>
  <c r="E929" i="8" a="1"/>
  <c r="E929" i="8" s="1"/>
  <c r="AB928" i="8" a="1"/>
  <c r="AB928" i="8" s="1"/>
  <c r="AA928" i="8" a="1"/>
  <c r="AA928" i="8" s="1"/>
  <c r="Z928" i="8" a="1"/>
  <c r="Z928" i="8" s="1"/>
  <c r="Y928" i="8" a="1"/>
  <c r="Y928" i="8" s="1"/>
  <c r="X928" i="8" a="1"/>
  <c r="X928" i="8" s="1"/>
  <c r="W928" i="8" a="1"/>
  <c r="W928" i="8" s="1"/>
  <c r="V928" i="8" a="1"/>
  <c r="V928" i="8" s="1"/>
  <c r="U928" i="8" a="1"/>
  <c r="U928" i="8" s="1"/>
  <c r="T928" i="8" a="1"/>
  <c r="T928" i="8" s="1"/>
  <c r="S928" i="8" a="1"/>
  <c r="S928" i="8" s="1"/>
  <c r="R928" i="8" a="1"/>
  <c r="R928" i="8" s="1"/>
  <c r="Q928" i="8" a="1"/>
  <c r="Q928" i="8" s="1"/>
  <c r="P928" i="8" a="1"/>
  <c r="P928" i="8" s="1"/>
  <c r="O928" i="8" a="1"/>
  <c r="O928" i="8" s="1"/>
  <c r="N928" i="8" a="1"/>
  <c r="N928" i="8" s="1"/>
  <c r="M928" i="8" a="1"/>
  <c r="M928" i="8" s="1"/>
  <c r="L928" i="8" a="1"/>
  <c r="L928" i="8" s="1"/>
  <c r="K928" i="8" a="1"/>
  <c r="K928" i="8" s="1"/>
  <c r="J928" i="8" a="1"/>
  <c r="J928" i="8" s="1"/>
  <c r="I928" i="8" a="1"/>
  <c r="I928" i="8" s="1"/>
  <c r="H928" i="8" a="1"/>
  <c r="H928" i="8" s="1"/>
  <c r="G928" i="8" a="1"/>
  <c r="G928" i="8" s="1"/>
  <c r="F928" i="8" a="1"/>
  <c r="F928" i="8" s="1"/>
  <c r="E928" i="8" a="1"/>
  <c r="E928" i="8" s="1"/>
  <c r="AB927" i="8" a="1"/>
  <c r="AB927" i="8" s="1"/>
  <c r="AA927" i="8" a="1"/>
  <c r="AA927" i="8" s="1"/>
  <c r="Z927" i="8" a="1"/>
  <c r="Z927" i="8" s="1"/>
  <c r="Y927" i="8" a="1"/>
  <c r="Y927" i="8" s="1"/>
  <c r="X927" i="8" a="1"/>
  <c r="X927" i="8" s="1"/>
  <c r="W927" i="8" a="1"/>
  <c r="W927" i="8" s="1"/>
  <c r="V927" i="8" a="1"/>
  <c r="V927" i="8" s="1"/>
  <c r="U927" i="8" a="1"/>
  <c r="U927" i="8" s="1"/>
  <c r="T927" i="8" a="1"/>
  <c r="T927" i="8" s="1"/>
  <c r="S927" i="8" a="1"/>
  <c r="S927" i="8" s="1"/>
  <c r="R927" i="8" a="1"/>
  <c r="R927" i="8" s="1"/>
  <c r="Q927" i="8" a="1"/>
  <c r="Q927" i="8" s="1"/>
  <c r="P927" i="8" a="1"/>
  <c r="P927" i="8" s="1"/>
  <c r="O927" i="8" a="1"/>
  <c r="O927" i="8" s="1"/>
  <c r="N927" i="8" a="1"/>
  <c r="N927" i="8" s="1"/>
  <c r="M927" i="8" a="1"/>
  <c r="M927" i="8" s="1"/>
  <c r="L927" i="8" a="1"/>
  <c r="L927" i="8" s="1"/>
  <c r="K927" i="8" a="1"/>
  <c r="K927" i="8" s="1"/>
  <c r="J927" i="8" a="1"/>
  <c r="J927" i="8" s="1"/>
  <c r="I927" i="8" a="1"/>
  <c r="I927" i="8" s="1"/>
  <c r="H927" i="8" a="1"/>
  <c r="H927" i="8" s="1"/>
  <c r="G927" i="8" a="1"/>
  <c r="G927" i="8" s="1"/>
  <c r="F927" i="8" a="1"/>
  <c r="F927" i="8" s="1"/>
  <c r="E927" i="8" a="1"/>
  <c r="E927" i="8" s="1"/>
  <c r="AB926" i="8" a="1"/>
  <c r="AB926" i="8" s="1"/>
  <c r="AA926" i="8" a="1"/>
  <c r="AA926" i="8" s="1"/>
  <c r="Z926" i="8" a="1"/>
  <c r="Z926" i="8" s="1"/>
  <c r="Y926" i="8" a="1"/>
  <c r="Y926" i="8" s="1"/>
  <c r="X926" i="8" a="1"/>
  <c r="X926" i="8" s="1"/>
  <c r="W926" i="8" a="1"/>
  <c r="W926" i="8" s="1"/>
  <c r="V926" i="8" a="1"/>
  <c r="V926" i="8" s="1"/>
  <c r="U926" i="8" a="1"/>
  <c r="U926" i="8" s="1"/>
  <c r="T926" i="8" a="1"/>
  <c r="T926" i="8" s="1"/>
  <c r="S926" i="8" a="1"/>
  <c r="S926" i="8" s="1"/>
  <c r="R926" i="8" a="1"/>
  <c r="R926" i="8" s="1"/>
  <c r="Q926" i="8" a="1"/>
  <c r="Q926" i="8" s="1"/>
  <c r="P926" i="8" a="1"/>
  <c r="P926" i="8" s="1"/>
  <c r="O926" i="8" a="1"/>
  <c r="O926" i="8" s="1"/>
  <c r="N926" i="8" a="1"/>
  <c r="N926" i="8" s="1"/>
  <c r="M926" i="8" a="1"/>
  <c r="M926" i="8" s="1"/>
  <c r="L926" i="8" a="1"/>
  <c r="L926" i="8" s="1"/>
  <c r="K926" i="8" a="1"/>
  <c r="K926" i="8" s="1"/>
  <c r="J926" i="8" a="1"/>
  <c r="J926" i="8" s="1"/>
  <c r="I926" i="8" a="1"/>
  <c r="I926" i="8" s="1"/>
  <c r="H926" i="8" a="1"/>
  <c r="H926" i="8" s="1"/>
  <c r="G926" i="8" a="1"/>
  <c r="G926" i="8" s="1"/>
  <c r="F926" i="8" a="1"/>
  <c r="F926" i="8" s="1"/>
  <c r="E926" i="8" a="1"/>
  <c r="E926" i="8" s="1"/>
  <c r="AB925" i="8" a="1"/>
  <c r="AB925" i="8" s="1"/>
  <c r="AA925" i="8" a="1"/>
  <c r="AA925" i="8" s="1"/>
  <c r="Z925" i="8" a="1"/>
  <c r="Z925" i="8" s="1"/>
  <c r="Y925" i="8" a="1"/>
  <c r="Y925" i="8" s="1"/>
  <c r="X925" i="8" a="1"/>
  <c r="X925" i="8" s="1"/>
  <c r="W925" i="8" a="1"/>
  <c r="W925" i="8" s="1"/>
  <c r="V925" i="8" a="1"/>
  <c r="V925" i="8" s="1"/>
  <c r="U925" i="8" a="1"/>
  <c r="U925" i="8" s="1"/>
  <c r="T925" i="8" a="1"/>
  <c r="T925" i="8" s="1"/>
  <c r="S925" i="8" a="1"/>
  <c r="S925" i="8" s="1"/>
  <c r="R925" i="8" a="1"/>
  <c r="R925" i="8" s="1"/>
  <c r="Q925" i="8" a="1"/>
  <c r="Q925" i="8" s="1"/>
  <c r="P925" i="8" a="1"/>
  <c r="P925" i="8" s="1"/>
  <c r="O925" i="8" a="1"/>
  <c r="O925" i="8" s="1"/>
  <c r="N925" i="8" a="1"/>
  <c r="N925" i="8" s="1"/>
  <c r="M925" i="8" a="1"/>
  <c r="M925" i="8" s="1"/>
  <c r="L925" i="8" a="1"/>
  <c r="L925" i="8" s="1"/>
  <c r="K925" i="8" a="1"/>
  <c r="K925" i="8" s="1"/>
  <c r="J925" i="8" a="1"/>
  <c r="J925" i="8" s="1"/>
  <c r="I925" i="8" a="1"/>
  <c r="I925" i="8" s="1"/>
  <c r="H925" i="8" a="1"/>
  <c r="H925" i="8" s="1"/>
  <c r="G925" i="8" a="1"/>
  <c r="G925" i="8" s="1"/>
  <c r="F925" i="8" a="1"/>
  <c r="F925" i="8" s="1"/>
  <c r="E925" i="8" a="1"/>
  <c r="E925" i="8" s="1"/>
  <c r="AB924" i="8" a="1"/>
  <c r="AB924" i="8" s="1"/>
  <c r="AA924" i="8" a="1"/>
  <c r="AA924" i="8" s="1"/>
  <c r="Z924" i="8" a="1"/>
  <c r="Z924" i="8" s="1"/>
  <c r="Y924" i="8" a="1"/>
  <c r="Y924" i="8" s="1"/>
  <c r="X924" i="8" a="1"/>
  <c r="X924" i="8" s="1"/>
  <c r="W924" i="8" a="1"/>
  <c r="W924" i="8" s="1"/>
  <c r="V924" i="8" a="1"/>
  <c r="V924" i="8" s="1"/>
  <c r="U924" i="8" a="1"/>
  <c r="U924" i="8" s="1"/>
  <c r="T924" i="8" a="1"/>
  <c r="T924" i="8" s="1"/>
  <c r="S924" i="8" a="1"/>
  <c r="S924" i="8" s="1"/>
  <c r="R924" i="8" a="1"/>
  <c r="R924" i="8" s="1"/>
  <c r="Q924" i="8" a="1"/>
  <c r="Q924" i="8" s="1"/>
  <c r="P924" i="8" a="1"/>
  <c r="P924" i="8" s="1"/>
  <c r="O924" i="8" a="1"/>
  <c r="O924" i="8" s="1"/>
  <c r="N924" i="8" a="1"/>
  <c r="N924" i="8" s="1"/>
  <c r="M924" i="8" a="1"/>
  <c r="M924" i="8" s="1"/>
  <c r="L924" i="8" a="1"/>
  <c r="L924" i="8" s="1"/>
  <c r="K924" i="8" a="1"/>
  <c r="K924" i="8" s="1"/>
  <c r="J924" i="8" a="1"/>
  <c r="J924" i="8" s="1"/>
  <c r="I924" i="8" a="1"/>
  <c r="I924" i="8" s="1"/>
  <c r="H924" i="8" a="1"/>
  <c r="H924" i="8" s="1"/>
  <c r="G924" i="8" a="1"/>
  <c r="G924" i="8" s="1"/>
  <c r="F924" i="8" a="1"/>
  <c r="F924" i="8" s="1"/>
  <c r="E924" i="8" a="1"/>
  <c r="E924" i="8" s="1"/>
  <c r="AB923" i="8" a="1"/>
  <c r="AB923" i="8" s="1"/>
  <c r="AA923" i="8" a="1"/>
  <c r="AA923" i="8" s="1"/>
  <c r="Z923" i="8" a="1"/>
  <c r="Z923" i="8" s="1"/>
  <c r="Y923" i="8" a="1"/>
  <c r="Y923" i="8" s="1"/>
  <c r="X923" i="8" a="1"/>
  <c r="X923" i="8" s="1"/>
  <c r="W923" i="8" a="1"/>
  <c r="W923" i="8" s="1"/>
  <c r="V923" i="8" a="1"/>
  <c r="V923" i="8" s="1"/>
  <c r="U923" i="8" a="1"/>
  <c r="U923" i="8" s="1"/>
  <c r="T923" i="8" a="1"/>
  <c r="T923" i="8" s="1"/>
  <c r="S923" i="8" a="1"/>
  <c r="S923" i="8" s="1"/>
  <c r="R923" i="8" a="1"/>
  <c r="R923" i="8" s="1"/>
  <c r="Q923" i="8" a="1"/>
  <c r="Q923" i="8" s="1"/>
  <c r="P923" i="8" a="1"/>
  <c r="P923" i="8" s="1"/>
  <c r="O923" i="8" a="1"/>
  <c r="O923" i="8" s="1"/>
  <c r="N923" i="8" a="1"/>
  <c r="N923" i="8" s="1"/>
  <c r="M923" i="8" a="1"/>
  <c r="M923" i="8" s="1"/>
  <c r="L923" i="8" a="1"/>
  <c r="L923" i="8" s="1"/>
  <c r="K923" i="8" a="1"/>
  <c r="K923" i="8" s="1"/>
  <c r="J923" i="8" a="1"/>
  <c r="J923" i="8" s="1"/>
  <c r="I923" i="8" a="1"/>
  <c r="I923" i="8" s="1"/>
  <c r="H923" i="8" a="1"/>
  <c r="H923" i="8" s="1"/>
  <c r="G923" i="8" a="1"/>
  <c r="G923" i="8" s="1"/>
  <c r="F923" i="8" a="1"/>
  <c r="F923" i="8" s="1"/>
  <c r="E923" i="8" a="1"/>
  <c r="E923" i="8" s="1"/>
  <c r="AB922" i="8" a="1"/>
  <c r="AB922" i="8" s="1"/>
  <c r="AA922" i="8" a="1"/>
  <c r="AA922" i="8" s="1"/>
  <c r="Z922" i="8" a="1"/>
  <c r="Z922" i="8" s="1"/>
  <c r="Y922" i="8" a="1"/>
  <c r="Y922" i="8" s="1"/>
  <c r="X922" i="8" a="1"/>
  <c r="X922" i="8" s="1"/>
  <c r="W922" i="8" a="1"/>
  <c r="W922" i="8" s="1"/>
  <c r="V922" i="8" a="1"/>
  <c r="V922" i="8" s="1"/>
  <c r="U922" i="8" a="1"/>
  <c r="U922" i="8" s="1"/>
  <c r="T922" i="8" a="1"/>
  <c r="T922" i="8" s="1"/>
  <c r="S922" i="8" a="1"/>
  <c r="S922" i="8" s="1"/>
  <c r="R922" i="8" a="1"/>
  <c r="R922" i="8" s="1"/>
  <c r="Q922" i="8" a="1"/>
  <c r="Q922" i="8" s="1"/>
  <c r="P922" i="8" a="1"/>
  <c r="P922" i="8" s="1"/>
  <c r="O922" i="8" a="1"/>
  <c r="O922" i="8" s="1"/>
  <c r="N922" i="8" a="1"/>
  <c r="N922" i="8" s="1"/>
  <c r="M922" i="8" a="1"/>
  <c r="M922" i="8" s="1"/>
  <c r="L922" i="8" a="1"/>
  <c r="L922" i="8" s="1"/>
  <c r="K922" i="8" a="1"/>
  <c r="K922" i="8" s="1"/>
  <c r="J922" i="8" a="1"/>
  <c r="J922" i="8" s="1"/>
  <c r="I922" i="8" a="1"/>
  <c r="I922" i="8" s="1"/>
  <c r="H922" i="8" a="1"/>
  <c r="H922" i="8" s="1"/>
  <c r="G922" i="8" a="1"/>
  <c r="G922" i="8" s="1"/>
  <c r="F922" i="8" a="1"/>
  <c r="F922" i="8" s="1"/>
  <c r="E922" i="8" a="1"/>
  <c r="E922" i="8" s="1"/>
  <c r="AB921" i="8" a="1"/>
  <c r="AB921" i="8" s="1"/>
  <c r="AA921" i="8" a="1"/>
  <c r="AA921" i="8" s="1"/>
  <c r="Z921" i="8" a="1"/>
  <c r="Z921" i="8" s="1"/>
  <c r="Y921" i="8" a="1"/>
  <c r="Y921" i="8" s="1"/>
  <c r="X921" i="8" a="1"/>
  <c r="X921" i="8" s="1"/>
  <c r="W921" i="8" a="1"/>
  <c r="W921" i="8" s="1"/>
  <c r="V921" i="8" a="1"/>
  <c r="V921" i="8" s="1"/>
  <c r="U921" i="8" a="1"/>
  <c r="U921" i="8" s="1"/>
  <c r="T921" i="8" a="1"/>
  <c r="T921" i="8" s="1"/>
  <c r="S921" i="8" a="1"/>
  <c r="S921" i="8" s="1"/>
  <c r="R921" i="8" a="1"/>
  <c r="R921" i="8" s="1"/>
  <c r="Q921" i="8" a="1"/>
  <c r="Q921" i="8" s="1"/>
  <c r="P921" i="8" a="1"/>
  <c r="P921" i="8" s="1"/>
  <c r="O921" i="8" a="1"/>
  <c r="O921" i="8" s="1"/>
  <c r="N921" i="8" a="1"/>
  <c r="N921" i="8" s="1"/>
  <c r="M921" i="8" a="1"/>
  <c r="M921" i="8" s="1"/>
  <c r="L921" i="8" a="1"/>
  <c r="L921" i="8" s="1"/>
  <c r="K921" i="8" a="1"/>
  <c r="K921" i="8" s="1"/>
  <c r="J921" i="8" a="1"/>
  <c r="J921" i="8" s="1"/>
  <c r="I921" i="8" a="1"/>
  <c r="I921" i="8" s="1"/>
  <c r="H921" i="8" a="1"/>
  <c r="H921" i="8" s="1"/>
  <c r="G921" i="8" a="1"/>
  <c r="G921" i="8" s="1"/>
  <c r="F921" i="8" a="1"/>
  <c r="F921" i="8" s="1"/>
  <c r="E921" i="8" a="1"/>
  <c r="E921" i="8" s="1"/>
  <c r="AB920" i="8" a="1"/>
  <c r="AB920" i="8" s="1"/>
  <c r="AA920" i="8" a="1"/>
  <c r="AA920" i="8" s="1"/>
  <c r="Z920" i="8" a="1"/>
  <c r="Z920" i="8" s="1"/>
  <c r="Y920" i="8" a="1"/>
  <c r="Y920" i="8" s="1"/>
  <c r="X920" i="8" a="1"/>
  <c r="X920" i="8" s="1"/>
  <c r="W920" i="8" a="1"/>
  <c r="W920" i="8" s="1"/>
  <c r="V920" i="8" a="1"/>
  <c r="V920" i="8" s="1"/>
  <c r="U920" i="8" a="1"/>
  <c r="U920" i="8" s="1"/>
  <c r="T920" i="8" a="1"/>
  <c r="T920" i="8" s="1"/>
  <c r="S920" i="8" a="1"/>
  <c r="S920" i="8" s="1"/>
  <c r="R920" i="8" a="1"/>
  <c r="R920" i="8" s="1"/>
  <c r="Q920" i="8" a="1"/>
  <c r="Q920" i="8" s="1"/>
  <c r="P920" i="8" a="1"/>
  <c r="P920" i="8" s="1"/>
  <c r="O920" i="8" a="1"/>
  <c r="O920" i="8" s="1"/>
  <c r="N920" i="8" a="1"/>
  <c r="N920" i="8" s="1"/>
  <c r="M920" i="8" a="1"/>
  <c r="M920" i="8" s="1"/>
  <c r="L920" i="8" a="1"/>
  <c r="L920" i="8" s="1"/>
  <c r="K920" i="8" a="1"/>
  <c r="K920" i="8" s="1"/>
  <c r="J920" i="8" a="1"/>
  <c r="J920" i="8" s="1"/>
  <c r="I920" i="8" a="1"/>
  <c r="I920" i="8" s="1"/>
  <c r="H920" i="8" a="1"/>
  <c r="H920" i="8" s="1"/>
  <c r="G920" i="8" a="1"/>
  <c r="G920" i="8" s="1"/>
  <c r="F920" i="8" a="1"/>
  <c r="F920" i="8" s="1"/>
  <c r="E920" i="8" a="1"/>
  <c r="E920" i="8" s="1"/>
  <c r="AB919" i="8" a="1"/>
  <c r="AB919" i="8" s="1"/>
  <c r="AA919" i="8" a="1"/>
  <c r="AA919" i="8" s="1"/>
  <c r="Z919" i="8" a="1"/>
  <c r="Z919" i="8" s="1"/>
  <c r="Y919" i="8" a="1"/>
  <c r="Y919" i="8" s="1"/>
  <c r="X919" i="8" a="1"/>
  <c r="X919" i="8" s="1"/>
  <c r="W919" i="8" a="1"/>
  <c r="W919" i="8" s="1"/>
  <c r="V919" i="8" a="1"/>
  <c r="V919" i="8" s="1"/>
  <c r="U919" i="8" a="1"/>
  <c r="U919" i="8" s="1"/>
  <c r="T919" i="8" a="1"/>
  <c r="T919" i="8" s="1"/>
  <c r="S919" i="8" a="1"/>
  <c r="S919" i="8" s="1"/>
  <c r="R919" i="8" a="1"/>
  <c r="R919" i="8" s="1"/>
  <c r="Q919" i="8" a="1"/>
  <c r="Q919" i="8" s="1"/>
  <c r="P919" i="8" a="1"/>
  <c r="P919" i="8" s="1"/>
  <c r="O919" i="8" a="1"/>
  <c r="O919" i="8" s="1"/>
  <c r="N919" i="8" a="1"/>
  <c r="N919" i="8" s="1"/>
  <c r="M919" i="8" a="1"/>
  <c r="M919" i="8" s="1"/>
  <c r="L919" i="8" a="1"/>
  <c r="L919" i="8" s="1"/>
  <c r="K919" i="8" a="1"/>
  <c r="K919" i="8" s="1"/>
  <c r="J919" i="8" a="1"/>
  <c r="J919" i="8" s="1"/>
  <c r="I919" i="8" a="1"/>
  <c r="I919" i="8" s="1"/>
  <c r="H919" i="8" a="1"/>
  <c r="H919" i="8" s="1"/>
  <c r="G919" i="8" a="1"/>
  <c r="G919" i="8" s="1"/>
  <c r="F919" i="8" a="1"/>
  <c r="F919" i="8" s="1"/>
  <c r="E919" i="8" a="1"/>
  <c r="E919" i="8" s="1"/>
  <c r="AB918" i="8" a="1"/>
  <c r="AB918" i="8" s="1"/>
  <c r="AA918" i="8" a="1"/>
  <c r="AA918" i="8" s="1"/>
  <c r="Z918" i="8" a="1"/>
  <c r="Z918" i="8" s="1"/>
  <c r="Y918" i="8" a="1"/>
  <c r="Y918" i="8" s="1"/>
  <c r="X918" i="8" a="1"/>
  <c r="X918" i="8" s="1"/>
  <c r="W918" i="8" a="1"/>
  <c r="W918" i="8" s="1"/>
  <c r="V918" i="8" a="1"/>
  <c r="V918" i="8" s="1"/>
  <c r="U918" i="8" a="1"/>
  <c r="U918" i="8" s="1"/>
  <c r="T918" i="8" a="1"/>
  <c r="T918" i="8" s="1"/>
  <c r="S918" i="8" a="1"/>
  <c r="S918" i="8" s="1"/>
  <c r="R918" i="8" a="1"/>
  <c r="R918" i="8" s="1"/>
  <c r="Q918" i="8" a="1"/>
  <c r="Q918" i="8" s="1"/>
  <c r="P918" i="8" a="1"/>
  <c r="P918" i="8" s="1"/>
  <c r="O918" i="8" a="1"/>
  <c r="O918" i="8" s="1"/>
  <c r="N918" i="8" a="1"/>
  <c r="N918" i="8" s="1"/>
  <c r="M918" i="8" a="1"/>
  <c r="M918" i="8" s="1"/>
  <c r="L918" i="8" a="1"/>
  <c r="L918" i="8" s="1"/>
  <c r="K918" i="8" a="1"/>
  <c r="K918" i="8" s="1"/>
  <c r="J918" i="8" a="1"/>
  <c r="J918" i="8" s="1"/>
  <c r="I918" i="8" a="1"/>
  <c r="I918" i="8" s="1"/>
  <c r="H918" i="8" a="1"/>
  <c r="H918" i="8" s="1"/>
  <c r="G918" i="8" a="1"/>
  <c r="G918" i="8" s="1"/>
  <c r="F918" i="8" a="1"/>
  <c r="F918" i="8" s="1"/>
  <c r="E918" i="8" a="1"/>
  <c r="E918" i="8" s="1"/>
  <c r="AB917" i="8" a="1"/>
  <c r="AB917" i="8" s="1"/>
  <c r="AA917" i="8" a="1"/>
  <c r="AA917" i="8" s="1"/>
  <c r="Z917" i="8" a="1"/>
  <c r="Z917" i="8" s="1"/>
  <c r="Y917" i="8" a="1"/>
  <c r="Y917" i="8" s="1"/>
  <c r="X917" i="8" a="1"/>
  <c r="X917" i="8" s="1"/>
  <c r="W917" i="8" a="1"/>
  <c r="W917" i="8" s="1"/>
  <c r="V917" i="8" a="1"/>
  <c r="V917" i="8" s="1"/>
  <c r="U917" i="8" a="1"/>
  <c r="U917" i="8" s="1"/>
  <c r="T917" i="8" a="1"/>
  <c r="T917" i="8" s="1"/>
  <c r="S917" i="8" a="1"/>
  <c r="S917" i="8" s="1"/>
  <c r="R917" i="8" a="1"/>
  <c r="R917" i="8" s="1"/>
  <c r="Q917" i="8" a="1"/>
  <c r="Q917" i="8" s="1"/>
  <c r="P917" i="8" a="1"/>
  <c r="P917" i="8" s="1"/>
  <c r="O917" i="8" a="1"/>
  <c r="O917" i="8" s="1"/>
  <c r="N917" i="8" a="1"/>
  <c r="N917" i="8" s="1"/>
  <c r="M917" i="8" a="1"/>
  <c r="M917" i="8" s="1"/>
  <c r="L917" i="8" a="1"/>
  <c r="L917" i="8" s="1"/>
  <c r="K917" i="8" a="1"/>
  <c r="K917" i="8" s="1"/>
  <c r="J917" i="8" a="1"/>
  <c r="J917" i="8" s="1"/>
  <c r="I917" i="8" a="1"/>
  <c r="I917" i="8" s="1"/>
  <c r="H917" i="8" a="1"/>
  <c r="H917" i="8" s="1"/>
  <c r="G917" i="8" a="1"/>
  <c r="G917" i="8" s="1"/>
  <c r="F917" i="8" a="1"/>
  <c r="F917" i="8" s="1"/>
  <c r="E917" i="8" a="1"/>
  <c r="E917" i="8" s="1"/>
  <c r="AB916" i="8" a="1"/>
  <c r="AB916" i="8" s="1"/>
  <c r="AA916" i="8" a="1"/>
  <c r="AA916" i="8" s="1"/>
  <c r="Z916" i="8" a="1"/>
  <c r="Z916" i="8" s="1"/>
  <c r="Y916" i="8" a="1"/>
  <c r="Y916" i="8" s="1"/>
  <c r="X916" i="8" a="1"/>
  <c r="X916" i="8" s="1"/>
  <c r="W916" i="8" a="1"/>
  <c r="W916" i="8" s="1"/>
  <c r="V916" i="8" a="1"/>
  <c r="V916" i="8" s="1"/>
  <c r="U916" i="8" a="1"/>
  <c r="U916" i="8" s="1"/>
  <c r="T916" i="8" a="1"/>
  <c r="T916" i="8" s="1"/>
  <c r="S916" i="8" a="1"/>
  <c r="S916" i="8" s="1"/>
  <c r="R916" i="8" a="1"/>
  <c r="R916" i="8" s="1"/>
  <c r="Q916" i="8" a="1"/>
  <c r="Q916" i="8" s="1"/>
  <c r="P916" i="8" a="1"/>
  <c r="P916" i="8" s="1"/>
  <c r="O916" i="8" a="1"/>
  <c r="O916" i="8" s="1"/>
  <c r="N916" i="8" a="1"/>
  <c r="N916" i="8" s="1"/>
  <c r="M916" i="8" a="1"/>
  <c r="M916" i="8" s="1"/>
  <c r="L916" i="8" a="1"/>
  <c r="L916" i="8" s="1"/>
  <c r="K916" i="8" a="1"/>
  <c r="K916" i="8" s="1"/>
  <c r="J916" i="8" a="1"/>
  <c r="J916" i="8" s="1"/>
  <c r="I916" i="8" a="1"/>
  <c r="I916" i="8" s="1"/>
  <c r="H916" i="8" a="1"/>
  <c r="H916" i="8" s="1"/>
  <c r="G916" i="8" a="1"/>
  <c r="G916" i="8" s="1"/>
  <c r="F916" i="8" a="1"/>
  <c r="F916" i="8" s="1"/>
  <c r="E916" i="8" a="1"/>
  <c r="E916" i="8" s="1"/>
  <c r="AB915" i="8" a="1"/>
  <c r="AB915" i="8" s="1"/>
  <c r="AA915" i="8" a="1"/>
  <c r="AA915" i="8" s="1"/>
  <c r="Z915" i="8" a="1"/>
  <c r="Z915" i="8" s="1"/>
  <c r="Y915" i="8" a="1"/>
  <c r="Y915" i="8" s="1"/>
  <c r="X915" i="8" a="1"/>
  <c r="X915" i="8" s="1"/>
  <c r="W915" i="8" a="1"/>
  <c r="W915" i="8" s="1"/>
  <c r="V915" i="8" a="1"/>
  <c r="V915" i="8" s="1"/>
  <c r="U915" i="8" a="1"/>
  <c r="U915" i="8" s="1"/>
  <c r="T915" i="8" a="1"/>
  <c r="T915" i="8" s="1"/>
  <c r="S915" i="8" a="1"/>
  <c r="S915" i="8" s="1"/>
  <c r="R915" i="8" a="1"/>
  <c r="R915" i="8" s="1"/>
  <c r="Q915" i="8" a="1"/>
  <c r="Q915" i="8" s="1"/>
  <c r="P915" i="8" a="1"/>
  <c r="P915" i="8" s="1"/>
  <c r="O915" i="8" a="1"/>
  <c r="O915" i="8" s="1"/>
  <c r="N915" i="8" a="1"/>
  <c r="N915" i="8" s="1"/>
  <c r="M915" i="8" a="1"/>
  <c r="M915" i="8" s="1"/>
  <c r="L915" i="8" a="1"/>
  <c r="L915" i="8" s="1"/>
  <c r="K915" i="8" a="1"/>
  <c r="K915" i="8" s="1"/>
  <c r="J915" i="8" a="1"/>
  <c r="J915" i="8" s="1"/>
  <c r="I915" i="8" a="1"/>
  <c r="I915" i="8" s="1"/>
  <c r="H915" i="8" a="1"/>
  <c r="H915" i="8" s="1"/>
  <c r="G915" i="8" a="1"/>
  <c r="G915" i="8" s="1"/>
  <c r="F915" i="8" a="1"/>
  <c r="F915" i="8" s="1"/>
  <c r="E915" i="8" a="1"/>
  <c r="E915" i="8" s="1"/>
  <c r="AB914" i="8" a="1"/>
  <c r="AB914" i="8" s="1"/>
  <c r="AA914" i="8" a="1"/>
  <c r="AA914" i="8" s="1"/>
  <c r="Z914" i="8" a="1"/>
  <c r="Z914" i="8" s="1"/>
  <c r="Y914" i="8" a="1"/>
  <c r="Y914" i="8" s="1"/>
  <c r="X914" i="8" a="1"/>
  <c r="X914" i="8" s="1"/>
  <c r="W914" i="8" a="1"/>
  <c r="W914" i="8" s="1"/>
  <c r="V914" i="8" a="1"/>
  <c r="V914" i="8" s="1"/>
  <c r="U914" i="8" a="1"/>
  <c r="U914" i="8" s="1"/>
  <c r="T914" i="8" a="1"/>
  <c r="T914" i="8" s="1"/>
  <c r="S914" i="8" a="1"/>
  <c r="S914" i="8" s="1"/>
  <c r="R914" i="8" a="1"/>
  <c r="R914" i="8" s="1"/>
  <c r="Q914" i="8" a="1"/>
  <c r="Q914" i="8" s="1"/>
  <c r="P914" i="8" a="1"/>
  <c r="P914" i="8" s="1"/>
  <c r="O914" i="8" a="1"/>
  <c r="O914" i="8" s="1"/>
  <c r="N914" i="8" a="1"/>
  <c r="N914" i="8" s="1"/>
  <c r="M914" i="8" a="1"/>
  <c r="M914" i="8" s="1"/>
  <c r="L914" i="8" a="1"/>
  <c r="L914" i="8" s="1"/>
  <c r="K914" i="8" a="1"/>
  <c r="K914" i="8" s="1"/>
  <c r="J914" i="8" a="1"/>
  <c r="J914" i="8" s="1"/>
  <c r="I914" i="8" a="1"/>
  <c r="I914" i="8" s="1"/>
  <c r="H914" i="8" a="1"/>
  <c r="H914" i="8" s="1"/>
  <c r="G914" i="8" a="1"/>
  <c r="G914" i="8" s="1"/>
  <c r="F914" i="8" a="1"/>
  <c r="F914" i="8" s="1"/>
  <c r="E914" i="8" a="1"/>
  <c r="E914" i="8" s="1"/>
  <c r="AB913" i="8" a="1"/>
  <c r="AB913" i="8" s="1"/>
  <c r="AA913" i="8" a="1"/>
  <c r="AA913" i="8" s="1"/>
  <c r="Z913" i="8" a="1"/>
  <c r="Z913" i="8" s="1"/>
  <c r="Y913" i="8" a="1"/>
  <c r="Y913" i="8" s="1"/>
  <c r="X913" i="8" a="1"/>
  <c r="X913" i="8" s="1"/>
  <c r="W913" i="8" a="1"/>
  <c r="W913" i="8" s="1"/>
  <c r="V913" i="8" a="1"/>
  <c r="V913" i="8" s="1"/>
  <c r="U913" i="8" a="1"/>
  <c r="U913" i="8" s="1"/>
  <c r="T913" i="8" a="1"/>
  <c r="T913" i="8" s="1"/>
  <c r="S913" i="8" a="1"/>
  <c r="S913" i="8" s="1"/>
  <c r="R913" i="8" a="1"/>
  <c r="R913" i="8" s="1"/>
  <c r="Q913" i="8" a="1"/>
  <c r="Q913" i="8" s="1"/>
  <c r="P913" i="8" a="1"/>
  <c r="P913" i="8" s="1"/>
  <c r="O913" i="8" a="1"/>
  <c r="O913" i="8" s="1"/>
  <c r="N913" i="8" a="1"/>
  <c r="N913" i="8" s="1"/>
  <c r="M913" i="8" a="1"/>
  <c r="M913" i="8" s="1"/>
  <c r="L913" i="8" a="1"/>
  <c r="L913" i="8" s="1"/>
  <c r="K913" i="8" a="1"/>
  <c r="K913" i="8" s="1"/>
  <c r="J913" i="8" a="1"/>
  <c r="J913" i="8" s="1"/>
  <c r="I913" i="8" a="1"/>
  <c r="I913" i="8" s="1"/>
  <c r="H913" i="8" a="1"/>
  <c r="H913" i="8" s="1"/>
  <c r="G913" i="8" a="1"/>
  <c r="G913" i="8" s="1"/>
  <c r="F913" i="8" a="1"/>
  <c r="F913" i="8" s="1"/>
  <c r="E913" i="8" a="1"/>
  <c r="E913" i="8" s="1"/>
  <c r="AB912" i="8" a="1"/>
  <c r="AB912" i="8" s="1"/>
  <c r="AA912" i="8" a="1"/>
  <c r="AA912" i="8" s="1"/>
  <c r="Z912" i="8" a="1"/>
  <c r="Z912" i="8" s="1"/>
  <c r="Y912" i="8" a="1"/>
  <c r="Y912" i="8" s="1"/>
  <c r="X912" i="8" a="1"/>
  <c r="X912" i="8" s="1"/>
  <c r="W912" i="8" a="1"/>
  <c r="W912" i="8" s="1"/>
  <c r="V912" i="8" a="1"/>
  <c r="V912" i="8" s="1"/>
  <c r="U912" i="8" a="1"/>
  <c r="U912" i="8" s="1"/>
  <c r="T912" i="8" a="1"/>
  <c r="T912" i="8" s="1"/>
  <c r="S912" i="8" a="1"/>
  <c r="S912" i="8" s="1"/>
  <c r="R912" i="8" a="1"/>
  <c r="R912" i="8" s="1"/>
  <c r="Q912" i="8" a="1"/>
  <c r="Q912" i="8" s="1"/>
  <c r="P912" i="8" a="1"/>
  <c r="P912" i="8" s="1"/>
  <c r="O912" i="8" a="1"/>
  <c r="O912" i="8" s="1"/>
  <c r="N912" i="8" a="1"/>
  <c r="N912" i="8" s="1"/>
  <c r="M912" i="8" a="1"/>
  <c r="M912" i="8" s="1"/>
  <c r="L912" i="8" a="1"/>
  <c r="L912" i="8" s="1"/>
  <c r="K912" i="8" a="1"/>
  <c r="K912" i="8" s="1"/>
  <c r="J912" i="8" a="1"/>
  <c r="J912" i="8" s="1"/>
  <c r="I912" i="8" a="1"/>
  <c r="I912" i="8" s="1"/>
  <c r="H912" i="8" a="1"/>
  <c r="H912" i="8" s="1"/>
  <c r="G912" i="8" a="1"/>
  <c r="G912" i="8" s="1"/>
  <c r="F912" i="8" a="1"/>
  <c r="F912" i="8" s="1"/>
  <c r="E912" i="8" a="1"/>
  <c r="E912" i="8" s="1"/>
  <c r="AB911" i="8" a="1"/>
  <c r="AB911" i="8" s="1"/>
  <c r="AA911" i="8" a="1"/>
  <c r="AA911" i="8" s="1"/>
  <c r="Z911" i="8" a="1"/>
  <c r="Z911" i="8" s="1"/>
  <c r="Y911" i="8" a="1"/>
  <c r="Y911" i="8" s="1"/>
  <c r="X911" i="8" a="1"/>
  <c r="X911" i="8" s="1"/>
  <c r="W911" i="8" a="1"/>
  <c r="W911" i="8" s="1"/>
  <c r="V911" i="8" a="1"/>
  <c r="V911" i="8" s="1"/>
  <c r="U911" i="8" a="1"/>
  <c r="U911" i="8" s="1"/>
  <c r="T911" i="8" a="1"/>
  <c r="T911" i="8" s="1"/>
  <c r="S911" i="8" a="1"/>
  <c r="S911" i="8" s="1"/>
  <c r="R911" i="8" a="1"/>
  <c r="R911" i="8" s="1"/>
  <c r="Q911" i="8" a="1"/>
  <c r="Q911" i="8" s="1"/>
  <c r="P911" i="8" a="1"/>
  <c r="P911" i="8" s="1"/>
  <c r="O911" i="8" a="1"/>
  <c r="O911" i="8" s="1"/>
  <c r="N911" i="8" a="1"/>
  <c r="N911" i="8" s="1"/>
  <c r="M911" i="8" a="1"/>
  <c r="M911" i="8" s="1"/>
  <c r="L911" i="8" a="1"/>
  <c r="L911" i="8" s="1"/>
  <c r="K911" i="8" a="1"/>
  <c r="K911" i="8" s="1"/>
  <c r="J911" i="8" a="1"/>
  <c r="J911" i="8" s="1"/>
  <c r="I911" i="8" a="1"/>
  <c r="I911" i="8" s="1"/>
  <c r="H911" i="8" a="1"/>
  <c r="H911" i="8" s="1"/>
  <c r="G911" i="8" a="1"/>
  <c r="G911" i="8" s="1"/>
  <c r="F911" i="8" a="1"/>
  <c r="F911" i="8" s="1"/>
  <c r="E911" i="8" a="1"/>
  <c r="E911" i="8" s="1"/>
  <c r="AB910" i="8" a="1"/>
  <c r="AB910" i="8" s="1"/>
  <c r="AA910" i="8" a="1"/>
  <c r="AA910" i="8" s="1"/>
  <c r="Z910" i="8" a="1"/>
  <c r="Z910" i="8" s="1"/>
  <c r="Y910" i="8" a="1"/>
  <c r="Y910" i="8" s="1"/>
  <c r="X910" i="8" a="1"/>
  <c r="X910" i="8" s="1"/>
  <c r="W910" i="8" a="1"/>
  <c r="W910" i="8" s="1"/>
  <c r="V910" i="8" a="1"/>
  <c r="V910" i="8" s="1"/>
  <c r="U910" i="8" a="1"/>
  <c r="U910" i="8" s="1"/>
  <c r="T910" i="8" a="1"/>
  <c r="T910" i="8" s="1"/>
  <c r="S910" i="8" a="1"/>
  <c r="S910" i="8" s="1"/>
  <c r="R910" i="8" a="1"/>
  <c r="R910" i="8" s="1"/>
  <c r="Q910" i="8" a="1"/>
  <c r="Q910" i="8" s="1"/>
  <c r="P910" i="8" a="1"/>
  <c r="P910" i="8" s="1"/>
  <c r="O910" i="8" a="1"/>
  <c r="O910" i="8" s="1"/>
  <c r="N910" i="8" a="1"/>
  <c r="N910" i="8" s="1"/>
  <c r="M910" i="8" a="1"/>
  <c r="M910" i="8" s="1"/>
  <c r="L910" i="8" a="1"/>
  <c r="L910" i="8" s="1"/>
  <c r="K910" i="8" a="1"/>
  <c r="K910" i="8" s="1"/>
  <c r="J910" i="8" a="1"/>
  <c r="J910" i="8" s="1"/>
  <c r="I910" i="8" a="1"/>
  <c r="I910" i="8" s="1"/>
  <c r="H910" i="8" a="1"/>
  <c r="H910" i="8" s="1"/>
  <c r="G910" i="8" a="1"/>
  <c r="G910" i="8" s="1"/>
  <c r="F910" i="8" a="1"/>
  <c r="F910" i="8" s="1"/>
  <c r="E910" i="8" a="1"/>
  <c r="E910" i="8" s="1"/>
  <c r="AB909" i="8" a="1"/>
  <c r="AB909" i="8" s="1"/>
  <c r="AA909" i="8" a="1"/>
  <c r="AA909" i="8" s="1"/>
  <c r="Z909" i="8" a="1"/>
  <c r="Z909" i="8" s="1"/>
  <c r="Y909" i="8" a="1"/>
  <c r="Y909" i="8" s="1"/>
  <c r="X909" i="8" a="1"/>
  <c r="X909" i="8" s="1"/>
  <c r="W909" i="8" a="1"/>
  <c r="W909" i="8" s="1"/>
  <c r="V909" i="8" a="1"/>
  <c r="V909" i="8" s="1"/>
  <c r="U909" i="8" a="1"/>
  <c r="U909" i="8" s="1"/>
  <c r="T909" i="8" a="1"/>
  <c r="T909" i="8" s="1"/>
  <c r="S909" i="8" a="1"/>
  <c r="S909" i="8" s="1"/>
  <c r="R909" i="8" a="1"/>
  <c r="R909" i="8" s="1"/>
  <c r="Q909" i="8" a="1"/>
  <c r="Q909" i="8" s="1"/>
  <c r="P909" i="8" a="1"/>
  <c r="P909" i="8" s="1"/>
  <c r="O909" i="8" a="1"/>
  <c r="O909" i="8" s="1"/>
  <c r="N909" i="8" a="1"/>
  <c r="N909" i="8" s="1"/>
  <c r="M909" i="8" a="1"/>
  <c r="M909" i="8" s="1"/>
  <c r="L909" i="8" a="1"/>
  <c r="L909" i="8" s="1"/>
  <c r="K909" i="8" a="1"/>
  <c r="K909" i="8" s="1"/>
  <c r="J909" i="8" a="1"/>
  <c r="J909" i="8" s="1"/>
  <c r="I909" i="8" a="1"/>
  <c r="I909" i="8" s="1"/>
  <c r="H909" i="8" a="1"/>
  <c r="H909" i="8" s="1"/>
  <c r="G909" i="8" a="1"/>
  <c r="G909" i="8" s="1"/>
  <c r="F909" i="8" a="1"/>
  <c r="F909" i="8" s="1"/>
  <c r="E909" i="8" a="1"/>
  <c r="E909" i="8" s="1"/>
  <c r="AB908" i="8" a="1"/>
  <c r="AB908" i="8" s="1"/>
  <c r="AA908" i="8" a="1"/>
  <c r="AA908" i="8" s="1"/>
  <c r="Z908" i="8" a="1"/>
  <c r="Z908" i="8" s="1"/>
  <c r="Y908" i="8" a="1"/>
  <c r="Y908" i="8" s="1"/>
  <c r="X908" i="8" a="1"/>
  <c r="X908" i="8" s="1"/>
  <c r="W908" i="8" a="1"/>
  <c r="W908" i="8" s="1"/>
  <c r="V908" i="8" a="1"/>
  <c r="V908" i="8" s="1"/>
  <c r="U908" i="8" a="1"/>
  <c r="U908" i="8" s="1"/>
  <c r="T908" i="8" a="1"/>
  <c r="T908" i="8" s="1"/>
  <c r="S908" i="8" a="1"/>
  <c r="S908" i="8" s="1"/>
  <c r="R908" i="8" a="1"/>
  <c r="R908" i="8" s="1"/>
  <c r="Q908" i="8" a="1"/>
  <c r="Q908" i="8" s="1"/>
  <c r="P908" i="8" a="1"/>
  <c r="P908" i="8" s="1"/>
  <c r="O908" i="8" a="1"/>
  <c r="O908" i="8" s="1"/>
  <c r="N908" i="8" a="1"/>
  <c r="N908" i="8" s="1"/>
  <c r="M908" i="8" a="1"/>
  <c r="M908" i="8" s="1"/>
  <c r="L908" i="8" a="1"/>
  <c r="L908" i="8" s="1"/>
  <c r="K908" i="8" a="1"/>
  <c r="K908" i="8" s="1"/>
  <c r="J908" i="8" a="1"/>
  <c r="J908" i="8" s="1"/>
  <c r="I908" i="8" a="1"/>
  <c r="I908" i="8" s="1"/>
  <c r="H908" i="8" a="1"/>
  <c r="H908" i="8" s="1"/>
  <c r="G908" i="8" a="1"/>
  <c r="G908" i="8" s="1"/>
  <c r="F908" i="8" a="1"/>
  <c r="F908" i="8" s="1"/>
  <c r="E908" i="8" a="1"/>
  <c r="E908" i="8" s="1"/>
  <c r="AB907" i="8" a="1"/>
  <c r="AB907" i="8" s="1"/>
  <c r="AA907" i="8" a="1"/>
  <c r="AA907" i="8" s="1"/>
  <c r="Z907" i="8" a="1"/>
  <c r="Z907" i="8" s="1"/>
  <c r="Y907" i="8" a="1"/>
  <c r="Y907" i="8" s="1"/>
  <c r="X907" i="8" a="1"/>
  <c r="X907" i="8" s="1"/>
  <c r="W907" i="8" a="1"/>
  <c r="W907" i="8" s="1"/>
  <c r="V907" i="8" a="1"/>
  <c r="V907" i="8" s="1"/>
  <c r="U907" i="8" a="1"/>
  <c r="U907" i="8" s="1"/>
  <c r="T907" i="8" a="1"/>
  <c r="T907" i="8" s="1"/>
  <c r="S907" i="8" a="1"/>
  <c r="S907" i="8" s="1"/>
  <c r="R907" i="8" a="1"/>
  <c r="R907" i="8" s="1"/>
  <c r="Q907" i="8" a="1"/>
  <c r="Q907" i="8" s="1"/>
  <c r="P907" i="8" a="1"/>
  <c r="P907" i="8" s="1"/>
  <c r="O907" i="8" a="1"/>
  <c r="O907" i="8" s="1"/>
  <c r="N907" i="8" a="1"/>
  <c r="N907" i="8" s="1"/>
  <c r="M907" i="8" a="1"/>
  <c r="M907" i="8" s="1"/>
  <c r="L907" i="8" a="1"/>
  <c r="L907" i="8" s="1"/>
  <c r="K907" i="8" a="1"/>
  <c r="K907" i="8" s="1"/>
  <c r="J907" i="8" a="1"/>
  <c r="J907" i="8" s="1"/>
  <c r="I907" i="8" a="1"/>
  <c r="I907" i="8" s="1"/>
  <c r="H907" i="8" a="1"/>
  <c r="H907" i="8" s="1"/>
  <c r="G907" i="8" a="1"/>
  <c r="G907" i="8" s="1"/>
  <c r="F907" i="8" a="1"/>
  <c r="F907" i="8" s="1"/>
  <c r="E907" i="8" a="1"/>
  <c r="E907" i="8" s="1"/>
  <c r="AB906" i="8" a="1"/>
  <c r="AB906" i="8" s="1"/>
  <c r="AA906" i="8" a="1"/>
  <c r="AA906" i="8" s="1"/>
  <c r="Z906" i="8" a="1"/>
  <c r="Z906" i="8" s="1"/>
  <c r="Y906" i="8" a="1"/>
  <c r="Y906" i="8" s="1"/>
  <c r="X906" i="8" a="1"/>
  <c r="X906" i="8" s="1"/>
  <c r="W906" i="8" a="1"/>
  <c r="W906" i="8" s="1"/>
  <c r="V906" i="8" a="1"/>
  <c r="V906" i="8" s="1"/>
  <c r="U906" i="8" a="1"/>
  <c r="U906" i="8" s="1"/>
  <c r="T906" i="8" a="1"/>
  <c r="T906" i="8" s="1"/>
  <c r="S906" i="8" a="1"/>
  <c r="S906" i="8" s="1"/>
  <c r="R906" i="8" a="1"/>
  <c r="R906" i="8" s="1"/>
  <c r="Q906" i="8" a="1"/>
  <c r="Q906" i="8" s="1"/>
  <c r="P906" i="8" a="1"/>
  <c r="P906" i="8" s="1"/>
  <c r="O906" i="8" a="1"/>
  <c r="O906" i="8" s="1"/>
  <c r="N906" i="8" a="1"/>
  <c r="N906" i="8" s="1"/>
  <c r="M906" i="8" a="1"/>
  <c r="M906" i="8" s="1"/>
  <c r="L906" i="8" a="1"/>
  <c r="L906" i="8" s="1"/>
  <c r="K906" i="8" a="1"/>
  <c r="K906" i="8" s="1"/>
  <c r="J906" i="8" a="1"/>
  <c r="J906" i="8" s="1"/>
  <c r="I906" i="8" a="1"/>
  <c r="I906" i="8" s="1"/>
  <c r="H906" i="8" a="1"/>
  <c r="H906" i="8" s="1"/>
  <c r="G906" i="8" a="1"/>
  <c r="G906" i="8" s="1"/>
  <c r="F906" i="8" a="1"/>
  <c r="F906" i="8" s="1"/>
  <c r="E906" i="8" a="1"/>
  <c r="E906" i="8" s="1"/>
  <c r="AB905" i="8" a="1"/>
  <c r="AB905" i="8" s="1"/>
  <c r="AA905" i="8" a="1"/>
  <c r="AA905" i="8" s="1"/>
  <c r="Z905" i="8" a="1"/>
  <c r="Z905" i="8" s="1"/>
  <c r="Y905" i="8" a="1"/>
  <c r="Y905" i="8" s="1"/>
  <c r="X905" i="8" a="1"/>
  <c r="X905" i="8" s="1"/>
  <c r="W905" i="8" a="1"/>
  <c r="W905" i="8" s="1"/>
  <c r="V905" i="8" a="1"/>
  <c r="V905" i="8" s="1"/>
  <c r="U905" i="8" a="1"/>
  <c r="U905" i="8" s="1"/>
  <c r="T905" i="8" a="1"/>
  <c r="T905" i="8" s="1"/>
  <c r="S905" i="8" a="1"/>
  <c r="S905" i="8" s="1"/>
  <c r="R905" i="8" a="1"/>
  <c r="R905" i="8" s="1"/>
  <c r="Q905" i="8" a="1"/>
  <c r="Q905" i="8" s="1"/>
  <c r="P905" i="8" a="1"/>
  <c r="P905" i="8" s="1"/>
  <c r="O905" i="8" a="1"/>
  <c r="O905" i="8" s="1"/>
  <c r="N905" i="8" a="1"/>
  <c r="N905" i="8" s="1"/>
  <c r="M905" i="8" a="1"/>
  <c r="M905" i="8" s="1"/>
  <c r="L905" i="8" a="1"/>
  <c r="L905" i="8" s="1"/>
  <c r="K905" i="8" a="1"/>
  <c r="K905" i="8" s="1"/>
  <c r="J905" i="8" a="1"/>
  <c r="J905" i="8" s="1"/>
  <c r="I905" i="8" a="1"/>
  <c r="I905" i="8" s="1"/>
  <c r="H905" i="8" a="1"/>
  <c r="H905" i="8" s="1"/>
  <c r="G905" i="8" a="1"/>
  <c r="G905" i="8" s="1"/>
  <c r="F905" i="8" a="1"/>
  <c r="F905" i="8" s="1"/>
  <c r="E905" i="8" a="1"/>
  <c r="E905" i="8" s="1"/>
  <c r="AB904" i="8" a="1"/>
  <c r="AB904" i="8" s="1"/>
  <c r="AA904" i="8" a="1"/>
  <c r="AA904" i="8" s="1"/>
  <c r="Z904" i="8" a="1"/>
  <c r="Z904" i="8" s="1"/>
  <c r="Y904" i="8" a="1"/>
  <c r="Y904" i="8" s="1"/>
  <c r="X904" i="8" a="1"/>
  <c r="X904" i="8" s="1"/>
  <c r="W904" i="8" a="1"/>
  <c r="W904" i="8" s="1"/>
  <c r="V904" i="8" a="1"/>
  <c r="V904" i="8" s="1"/>
  <c r="U904" i="8" a="1"/>
  <c r="U904" i="8" s="1"/>
  <c r="T904" i="8" a="1"/>
  <c r="T904" i="8" s="1"/>
  <c r="S904" i="8" a="1"/>
  <c r="S904" i="8" s="1"/>
  <c r="R904" i="8" a="1"/>
  <c r="R904" i="8" s="1"/>
  <c r="Q904" i="8" a="1"/>
  <c r="Q904" i="8" s="1"/>
  <c r="P904" i="8" a="1"/>
  <c r="P904" i="8" s="1"/>
  <c r="O904" i="8" a="1"/>
  <c r="O904" i="8" s="1"/>
  <c r="N904" i="8" a="1"/>
  <c r="N904" i="8" s="1"/>
  <c r="M904" i="8" a="1"/>
  <c r="M904" i="8" s="1"/>
  <c r="L904" i="8" a="1"/>
  <c r="L904" i="8" s="1"/>
  <c r="K904" i="8" a="1"/>
  <c r="K904" i="8" s="1"/>
  <c r="J904" i="8" a="1"/>
  <c r="J904" i="8" s="1"/>
  <c r="I904" i="8" a="1"/>
  <c r="I904" i="8" s="1"/>
  <c r="H904" i="8" a="1"/>
  <c r="H904" i="8" s="1"/>
  <c r="G904" i="8" a="1"/>
  <c r="G904" i="8" s="1"/>
  <c r="F904" i="8" a="1"/>
  <c r="F904" i="8" s="1"/>
  <c r="E904" i="8" a="1"/>
  <c r="E904" i="8" s="1"/>
  <c r="AB903" i="8" a="1"/>
  <c r="AB903" i="8" s="1"/>
  <c r="AA903" i="8" a="1"/>
  <c r="AA903" i="8" s="1"/>
  <c r="Z903" i="8" a="1"/>
  <c r="Z903" i="8" s="1"/>
  <c r="Y903" i="8" a="1"/>
  <c r="Y903" i="8" s="1"/>
  <c r="X903" i="8" a="1"/>
  <c r="X903" i="8" s="1"/>
  <c r="W903" i="8" a="1"/>
  <c r="W903" i="8" s="1"/>
  <c r="V903" i="8" a="1"/>
  <c r="V903" i="8" s="1"/>
  <c r="U903" i="8" a="1"/>
  <c r="U903" i="8" s="1"/>
  <c r="T903" i="8" a="1"/>
  <c r="T903" i="8" s="1"/>
  <c r="S903" i="8" a="1"/>
  <c r="S903" i="8" s="1"/>
  <c r="R903" i="8" a="1"/>
  <c r="R903" i="8" s="1"/>
  <c r="Q903" i="8" a="1"/>
  <c r="Q903" i="8" s="1"/>
  <c r="P903" i="8" a="1"/>
  <c r="P903" i="8" s="1"/>
  <c r="O903" i="8" a="1"/>
  <c r="O903" i="8" s="1"/>
  <c r="N903" i="8" a="1"/>
  <c r="N903" i="8" s="1"/>
  <c r="M903" i="8" a="1"/>
  <c r="M903" i="8" s="1"/>
  <c r="L903" i="8" a="1"/>
  <c r="L903" i="8" s="1"/>
  <c r="K903" i="8" a="1"/>
  <c r="K903" i="8" s="1"/>
  <c r="J903" i="8" a="1"/>
  <c r="J903" i="8" s="1"/>
  <c r="I903" i="8" a="1"/>
  <c r="I903" i="8" s="1"/>
  <c r="H903" i="8" a="1"/>
  <c r="H903" i="8" s="1"/>
  <c r="G903" i="8" a="1"/>
  <c r="G903" i="8" s="1"/>
  <c r="F903" i="8" a="1"/>
  <c r="F903" i="8" s="1"/>
  <c r="E903" i="8" a="1"/>
  <c r="E903" i="8" s="1"/>
  <c r="AB902" i="8" a="1"/>
  <c r="AB902" i="8" s="1"/>
  <c r="AA902" i="8" a="1"/>
  <c r="AA902" i="8" s="1"/>
  <c r="Z902" i="8" a="1"/>
  <c r="Z902" i="8" s="1"/>
  <c r="Y902" i="8" a="1"/>
  <c r="Y902" i="8" s="1"/>
  <c r="X902" i="8" a="1"/>
  <c r="X902" i="8" s="1"/>
  <c r="W902" i="8" a="1"/>
  <c r="W902" i="8" s="1"/>
  <c r="V902" i="8" a="1"/>
  <c r="V902" i="8" s="1"/>
  <c r="U902" i="8" a="1"/>
  <c r="U902" i="8" s="1"/>
  <c r="T902" i="8" a="1"/>
  <c r="T902" i="8" s="1"/>
  <c r="S902" i="8" a="1"/>
  <c r="S902" i="8" s="1"/>
  <c r="R902" i="8" a="1"/>
  <c r="R902" i="8" s="1"/>
  <c r="Q902" i="8" a="1"/>
  <c r="Q902" i="8" s="1"/>
  <c r="P902" i="8" a="1"/>
  <c r="P902" i="8" s="1"/>
  <c r="O902" i="8" a="1"/>
  <c r="O902" i="8" s="1"/>
  <c r="N902" i="8" a="1"/>
  <c r="N902" i="8" s="1"/>
  <c r="M902" i="8" a="1"/>
  <c r="M902" i="8" s="1"/>
  <c r="L902" i="8" a="1"/>
  <c r="L902" i="8" s="1"/>
  <c r="K902" i="8" a="1"/>
  <c r="K902" i="8" s="1"/>
  <c r="J902" i="8" a="1"/>
  <c r="J902" i="8" s="1"/>
  <c r="I902" i="8" a="1"/>
  <c r="I902" i="8" s="1"/>
  <c r="H902" i="8" a="1"/>
  <c r="H902" i="8" s="1"/>
  <c r="G902" i="8" a="1"/>
  <c r="G902" i="8" s="1"/>
  <c r="F902" i="8" a="1"/>
  <c r="F902" i="8" s="1"/>
  <c r="E902" i="8" a="1"/>
  <c r="E902" i="8" s="1"/>
  <c r="AB901" i="8" a="1"/>
  <c r="AB901" i="8" s="1"/>
  <c r="AA901" i="8" a="1"/>
  <c r="AA901" i="8" s="1"/>
  <c r="Z901" i="8" a="1"/>
  <c r="Z901" i="8" s="1"/>
  <c r="Y901" i="8" a="1"/>
  <c r="Y901" i="8" s="1"/>
  <c r="X901" i="8" a="1"/>
  <c r="X901" i="8" s="1"/>
  <c r="W901" i="8" a="1"/>
  <c r="W901" i="8" s="1"/>
  <c r="V901" i="8" a="1"/>
  <c r="V901" i="8" s="1"/>
  <c r="U901" i="8" a="1"/>
  <c r="U901" i="8" s="1"/>
  <c r="T901" i="8" a="1"/>
  <c r="T901" i="8" s="1"/>
  <c r="S901" i="8" a="1"/>
  <c r="S901" i="8" s="1"/>
  <c r="R901" i="8" a="1"/>
  <c r="R901" i="8" s="1"/>
  <c r="Q901" i="8" a="1"/>
  <c r="Q901" i="8" s="1"/>
  <c r="P901" i="8" a="1"/>
  <c r="P901" i="8" s="1"/>
  <c r="O901" i="8" a="1"/>
  <c r="O901" i="8" s="1"/>
  <c r="N901" i="8" a="1"/>
  <c r="N901" i="8" s="1"/>
  <c r="M901" i="8" a="1"/>
  <c r="M901" i="8" s="1"/>
  <c r="L901" i="8" a="1"/>
  <c r="L901" i="8" s="1"/>
  <c r="K901" i="8" a="1"/>
  <c r="K901" i="8" s="1"/>
  <c r="J901" i="8" a="1"/>
  <c r="J901" i="8" s="1"/>
  <c r="I901" i="8" a="1"/>
  <c r="I901" i="8" s="1"/>
  <c r="H901" i="8" a="1"/>
  <c r="H901" i="8" s="1"/>
  <c r="G901" i="8" a="1"/>
  <c r="G901" i="8" s="1"/>
  <c r="F901" i="8" a="1"/>
  <c r="F901" i="8" s="1"/>
  <c r="E901" i="8" a="1"/>
  <c r="E901" i="8" s="1"/>
  <c r="AB900" i="8" a="1"/>
  <c r="AB900" i="8" s="1"/>
  <c r="AA900" i="8" a="1"/>
  <c r="AA900" i="8" s="1"/>
  <c r="Z900" i="8" a="1"/>
  <c r="Z900" i="8" s="1"/>
  <c r="Y900" i="8" a="1"/>
  <c r="Y900" i="8" s="1"/>
  <c r="X900" i="8" a="1"/>
  <c r="X900" i="8" s="1"/>
  <c r="W900" i="8" a="1"/>
  <c r="W900" i="8" s="1"/>
  <c r="V900" i="8" a="1"/>
  <c r="V900" i="8" s="1"/>
  <c r="U900" i="8" a="1"/>
  <c r="U900" i="8" s="1"/>
  <c r="T900" i="8" a="1"/>
  <c r="T900" i="8" s="1"/>
  <c r="S900" i="8" a="1"/>
  <c r="S900" i="8" s="1"/>
  <c r="R900" i="8" a="1"/>
  <c r="R900" i="8" s="1"/>
  <c r="Q900" i="8" a="1"/>
  <c r="Q900" i="8" s="1"/>
  <c r="P900" i="8" a="1"/>
  <c r="P900" i="8" s="1"/>
  <c r="O900" i="8" a="1"/>
  <c r="O900" i="8" s="1"/>
  <c r="N900" i="8" a="1"/>
  <c r="N900" i="8" s="1"/>
  <c r="M900" i="8" a="1"/>
  <c r="M900" i="8" s="1"/>
  <c r="L900" i="8" a="1"/>
  <c r="L900" i="8" s="1"/>
  <c r="K900" i="8" a="1"/>
  <c r="K900" i="8" s="1"/>
  <c r="J900" i="8" a="1"/>
  <c r="J900" i="8" s="1"/>
  <c r="I900" i="8" a="1"/>
  <c r="I900" i="8" s="1"/>
  <c r="H900" i="8" a="1"/>
  <c r="H900" i="8" s="1"/>
  <c r="G900" i="8" a="1"/>
  <c r="G900" i="8" s="1"/>
  <c r="F900" i="8" a="1"/>
  <c r="F900" i="8" s="1"/>
  <c r="E900" i="8" a="1"/>
  <c r="E900" i="8" s="1"/>
  <c r="AB899" i="8" a="1"/>
  <c r="AB899" i="8" s="1"/>
  <c r="AA899" i="8" a="1"/>
  <c r="AA899" i="8" s="1"/>
  <c r="Z899" i="8" a="1"/>
  <c r="Z899" i="8" s="1"/>
  <c r="Y899" i="8" a="1"/>
  <c r="Y899" i="8" s="1"/>
  <c r="X899" i="8" a="1"/>
  <c r="X899" i="8" s="1"/>
  <c r="W899" i="8" a="1"/>
  <c r="W899" i="8" s="1"/>
  <c r="V899" i="8" a="1"/>
  <c r="V899" i="8" s="1"/>
  <c r="U899" i="8" a="1"/>
  <c r="U899" i="8" s="1"/>
  <c r="T899" i="8" a="1"/>
  <c r="T899" i="8" s="1"/>
  <c r="S899" i="8" a="1"/>
  <c r="S899" i="8" s="1"/>
  <c r="R899" i="8" a="1"/>
  <c r="R899" i="8" s="1"/>
  <c r="Q899" i="8" a="1"/>
  <c r="Q899" i="8" s="1"/>
  <c r="P899" i="8" a="1"/>
  <c r="P899" i="8" s="1"/>
  <c r="O899" i="8" a="1"/>
  <c r="O899" i="8" s="1"/>
  <c r="N899" i="8" a="1"/>
  <c r="N899" i="8" s="1"/>
  <c r="M899" i="8" a="1"/>
  <c r="M899" i="8" s="1"/>
  <c r="L899" i="8" a="1"/>
  <c r="L899" i="8" s="1"/>
  <c r="K899" i="8" a="1"/>
  <c r="K899" i="8" s="1"/>
  <c r="J899" i="8" a="1"/>
  <c r="J899" i="8" s="1"/>
  <c r="I899" i="8" a="1"/>
  <c r="I899" i="8" s="1"/>
  <c r="H899" i="8" a="1"/>
  <c r="H899" i="8" s="1"/>
  <c r="G899" i="8" a="1"/>
  <c r="G899" i="8" s="1"/>
  <c r="F899" i="8" a="1"/>
  <c r="F899" i="8" s="1"/>
  <c r="E899" i="8" a="1"/>
  <c r="E899" i="8" s="1"/>
  <c r="AB898" i="8" a="1"/>
  <c r="AB898" i="8" s="1"/>
  <c r="AA898" i="8" a="1"/>
  <c r="AA898" i="8" s="1"/>
  <c r="Z898" i="8" a="1"/>
  <c r="Z898" i="8" s="1"/>
  <c r="Y898" i="8" a="1"/>
  <c r="Y898" i="8" s="1"/>
  <c r="X898" i="8" a="1"/>
  <c r="X898" i="8" s="1"/>
  <c r="W898" i="8" a="1"/>
  <c r="W898" i="8" s="1"/>
  <c r="V898" i="8" a="1"/>
  <c r="V898" i="8" s="1"/>
  <c r="U898" i="8" a="1"/>
  <c r="U898" i="8" s="1"/>
  <c r="T898" i="8" a="1"/>
  <c r="T898" i="8" s="1"/>
  <c r="S898" i="8" a="1"/>
  <c r="S898" i="8" s="1"/>
  <c r="R898" i="8" a="1"/>
  <c r="R898" i="8" s="1"/>
  <c r="Q898" i="8" a="1"/>
  <c r="Q898" i="8" s="1"/>
  <c r="P898" i="8" a="1"/>
  <c r="P898" i="8" s="1"/>
  <c r="O898" i="8" a="1"/>
  <c r="O898" i="8" s="1"/>
  <c r="N898" i="8" a="1"/>
  <c r="N898" i="8" s="1"/>
  <c r="M898" i="8" a="1"/>
  <c r="M898" i="8" s="1"/>
  <c r="L898" i="8" a="1"/>
  <c r="L898" i="8" s="1"/>
  <c r="K898" i="8" a="1"/>
  <c r="K898" i="8" s="1"/>
  <c r="J898" i="8" a="1"/>
  <c r="J898" i="8" s="1"/>
  <c r="I898" i="8" a="1"/>
  <c r="I898" i="8" s="1"/>
  <c r="H898" i="8" a="1"/>
  <c r="H898" i="8" s="1"/>
  <c r="G898" i="8" a="1"/>
  <c r="G898" i="8" s="1"/>
  <c r="F898" i="8" a="1"/>
  <c r="F898" i="8" s="1"/>
  <c r="E898" i="8" a="1"/>
  <c r="E898" i="8" s="1"/>
  <c r="AB897" i="8" a="1"/>
  <c r="AB897" i="8" s="1"/>
  <c r="AA897" i="8" a="1"/>
  <c r="AA897" i="8" s="1"/>
  <c r="Z897" i="8" a="1"/>
  <c r="Z897" i="8" s="1"/>
  <c r="Y897" i="8" a="1"/>
  <c r="Y897" i="8" s="1"/>
  <c r="X897" i="8" a="1"/>
  <c r="X897" i="8" s="1"/>
  <c r="W897" i="8" a="1"/>
  <c r="W897" i="8" s="1"/>
  <c r="V897" i="8" a="1"/>
  <c r="V897" i="8" s="1"/>
  <c r="U897" i="8" a="1"/>
  <c r="U897" i="8" s="1"/>
  <c r="T897" i="8" a="1"/>
  <c r="T897" i="8" s="1"/>
  <c r="S897" i="8" a="1"/>
  <c r="S897" i="8" s="1"/>
  <c r="R897" i="8" a="1"/>
  <c r="R897" i="8" s="1"/>
  <c r="Q897" i="8" a="1"/>
  <c r="Q897" i="8" s="1"/>
  <c r="P897" i="8" a="1"/>
  <c r="P897" i="8" s="1"/>
  <c r="O897" i="8" a="1"/>
  <c r="O897" i="8" s="1"/>
  <c r="N897" i="8" a="1"/>
  <c r="N897" i="8" s="1"/>
  <c r="M897" i="8" a="1"/>
  <c r="M897" i="8" s="1"/>
  <c r="L897" i="8" a="1"/>
  <c r="L897" i="8" s="1"/>
  <c r="K897" i="8" a="1"/>
  <c r="K897" i="8" s="1"/>
  <c r="J897" i="8" a="1"/>
  <c r="J897" i="8" s="1"/>
  <c r="I897" i="8" a="1"/>
  <c r="I897" i="8" s="1"/>
  <c r="H897" i="8" a="1"/>
  <c r="H897" i="8" s="1"/>
  <c r="G897" i="8" a="1"/>
  <c r="G897" i="8" s="1"/>
  <c r="F897" i="8" a="1"/>
  <c r="F897" i="8" s="1"/>
  <c r="E897" i="8" a="1"/>
  <c r="E897" i="8" s="1"/>
  <c r="AB896" i="8" a="1"/>
  <c r="AB896" i="8" s="1"/>
  <c r="AA896" i="8" a="1"/>
  <c r="AA896" i="8" s="1"/>
  <c r="Z896" i="8" a="1"/>
  <c r="Z896" i="8" s="1"/>
  <c r="Y896" i="8" a="1"/>
  <c r="Y896" i="8" s="1"/>
  <c r="X896" i="8" a="1"/>
  <c r="X896" i="8" s="1"/>
  <c r="W896" i="8" a="1"/>
  <c r="W896" i="8" s="1"/>
  <c r="V896" i="8" a="1"/>
  <c r="V896" i="8" s="1"/>
  <c r="U896" i="8" a="1"/>
  <c r="U896" i="8" s="1"/>
  <c r="T896" i="8" a="1"/>
  <c r="T896" i="8" s="1"/>
  <c r="S896" i="8" a="1"/>
  <c r="S896" i="8" s="1"/>
  <c r="R896" i="8" a="1"/>
  <c r="R896" i="8" s="1"/>
  <c r="Q896" i="8" a="1"/>
  <c r="Q896" i="8" s="1"/>
  <c r="P896" i="8" a="1"/>
  <c r="P896" i="8" s="1"/>
  <c r="O896" i="8" a="1"/>
  <c r="O896" i="8" s="1"/>
  <c r="N896" i="8" a="1"/>
  <c r="N896" i="8" s="1"/>
  <c r="M896" i="8" a="1"/>
  <c r="M896" i="8" s="1"/>
  <c r="L896" i="8" a="1"/>
  <c r="L896" i="8" s="1"/>
  <c r="K896" i="8" a="1"/>
  <c r="K896" i="8" s="1"/>
  <c r="J896" i="8" a="1"/>
  <c r="J896" i="8" s="1"/>
  <c r="I896" i="8" a="1"/>
  <c r="I896" i="8" s="1"/>
  <c r="H896" i="8" a="1"/>
  <c r="H896" i="8" s="1"/>
  <c r="G896" i="8" a="1"/>
  <c r="G896" i="8" s="1"/>
  <c r="F896" i="8" a="1"/>
  <c r="F896" i="8" s="1"/>
  <c r="E896" i="8" a="1"/>
  <c r="E896" i="8" s="1"/>
  <c r="AB895" i="8" a="1"/>
  <c r="AB895" i="8" s="1"/>
  <c r="AA895" i="8" a="1"/>
  <c r="AA895" i="8" s="1"/>
  <c r="Z895" i="8" a="1"/>
  <c r="Z895" i="8" s="1"/>
  <c r="Y895" i="8" a="1"/>
  <c r="Y895" i="8" s="1"/>
  <c r="X895" i="8" a="1"/>
  <c r="X895" i="8" s="1"/>
  <c r="W895" i="8" a="1"/>
  <c r="W895" i="8" s="1"/>
  <c r="V895" i="8" a="1"/>
  <c r="V895" i="8" s="1"/>
  <c r="U895" i="8" a="1"/>
  <c r="U895" i="8" s="1"/>
  <c r="T895" i="8" a="1"/>
  <c r="T895" i="8" s="1"/>
  <c r="S895" i="8" a="1"/>
  <c r="S895" i="8" s="1"/>
  <c r="R895" i="8" a="1"/>
  <c r="R895" i="8" s="1"/>
  <c r="Q895" i="8" a="1"/>
  <c r="Q895" i="8" s="1"/>
  <c r="P895" i="8" a="1"/>
  <c r="P895" i="8" s="1"/>
  <c r="O895" i="8" a="1"/>
  <c r="O895" i="8" s="1"/>
  <c r="N895" i="8" a="1"/>
  <c r="N895" i="8" s="1"/>
  <c r="M895" i="8" a="1"/>
  <c r="M895" i="8" s="1"/>
  <c r="L895" i="8" a="1"/>
  <c r="L895" i="8" s="1"/>
  <c r="K895" i="8" a="1"/>
  <c r="K895" i="8" s="1"/>
  <c r="J895" i="8" a="1"/>
  <c r="J895" i="8" s="1"/>
  <c r="I895" i="8" a="1"/>
  <c r="I895" i="8" s="1"/>
  <c r="H895" i="8" a="1"/>
  <c r="H895" i="8" s="1"/>
  <c r="G895" i="8" a="1"/>
  <c r="G895" i="8" s="1"/>
  <c r="F895" i="8" a="1"/>
  <c r="F895" i="8" s="1"/>
  <c r="E895" i="8" a="1"/>
  <c r="E895" i="8" s="1"/>
  <c r="AB894" i="8" a="1"/>
  <c r="AB894" i="8" s="1"/>
  <c r="AA894" i="8" a="1"/>
  <c r="AA894" i="8" s="1"/>
  <c r="Z894" i="8" a="1"/>
  <c r="Z894" i="8" s="1"/>
  <c r="Y894" i="8" a="1"/>
  <c r="Y894" i="8" s="1"/>
  <c r="X894" i="8" a="1"/>
  <c r="X894" i="8" s="1"/>
  <c r="W894" i="8" a="1"/>
  <c r="W894" i="8" s="1"/>
  <c r="V894" i="8" a="1"/>
  <c r="V894" i="8" s="1"/>
  <c r="U894" i="8" a="1"/>
  <c r="U894" i="8" s="1"/>
  <c r="T894" i="8" a="1"/>
  <c r="T894" i="8" s="1"/>
  <c r="S894" i="8" a="1"/>
  <c r="S894" i="8" s="1"/>
  <c r="R894" i="8" a="1"/>
  <c r="R894" i="8" s="1"/>
  <c r="Q894" i="8" a="1"/>
  <c r="Q894" i="8" s="1"/>
  <c r="P894" i="8" a="1"/>
  <c r="P894" i="8" s="1"/>
  <c r="O894" i="8" a="1"/>
  <c r="O894" i="8" s="1"/>
  <c r="N894" i="8" a="1"/>
  <c r="N894" i="8" s="1"/>
  <c r="M894" i="8" a="1"/>
  <c r="M894" i="8" s="1"/>
  <c r="L894" i="8" a="1"/>
  <c r="L894" i="8" s="1"/>
  <c r="K894" i="8" a="1"/>
  <c r="K894" i="8" s="1"/>
  <c r="J894" i="8" a="1"/>
  <c r="J894" i="8" s="1"/>
  <c r="I894" i="8" a="1"/>
  <c r="I894" i="8" s="1"/>
  <c r="H894" i="8" a="1"/>
  <c r="H894" i="8" s="1"/>
  <c r="G894" i="8" a="1"/>
  <c r="G894" i="8" s="1"/>
  <c r="F894" i="8" a="1"/>
  <c r="F894" i="8" s="1"/>
  <c r="E894" i="8" a="1"/>
  <c r="E894" i="8" s="1"/>
  <c r="AB893" i="8" a="1"/>
  <c r="AB893" i="8" s="1"/>
  <c r="AA893" i="8" a="1"/>
  <c r="AA893" i="8" s="1"/>
  <c r="Z893" i="8" a="1"/>
  <c r="Z893" i="8" s="1"/>
  <c r="Y893" i="8" a="1"/>
  <c r="Y893" i="8" s="1"/>
  <c r="X893" i="8" a="1"/>
  <c r="X893" i="8" s="1"/>
  <c r="W893" i="8" a="1"/>
  <c r="W893" i="8" s="1"/>
  <c r="V893" i="8" a="1"/>
  <c r="V893" i="8" s="1"/>
  <c r="U893" i="8" a="1"/>
  <c r="U893" i="8" s="1"/>
  <c r="T893" i="8" a="1"/>
  <c r="T893" i="8" s="1"/>
  <c r="S893" i="8" a="1"/>
  <c r="S893" i="8" s="1"/>
  <c r="R893" i="8" a="1"/>
  <c r="R893" i="8" s="1"/>
  <c r="Q893" i="8" a="1"/>
  <c r="Q893" i="8" s="1"/>
  <c r="P893" i="8" a="1"/>
  <c r="P893" i="8" s="1"/>
  <c r="O893" i="8" a="1"/>
  <c r="O893" i="8" s="1"/>
  <c r="N893" i="8" a="1"/>
  <c r="N893" i="8" s="1"/>
  <c r="M893" i="8" a="1"/>
  <c r="M893" i="8" s="1"/>
  <c r="L893" i="8" a="1"/>
  <c r="L893" i="8" s="1"/>
  <c r="K893" i="8" a="1"/>
  <c r="K893" i="8" s="1"/>
  <c r="J893" i="8" a="1"/>
  <c r="J893" i="8" s="1"/>
  <c r="I893" i="8" a="1"/>
  <c r="I893" i="8" s="1"/>
  <c r="H893" i="8" a="1"/>
  <c r="H893" i="8" s="1"/>
  <c r="G893" i="8" a="1"/>
  <c r="G893" i="8" s="1"/>
  <c r="F893" i="8" a="1"/>
  <c r="F893" i="8" s="1"/>
  <c r="E893" i="8" a="1"/>
  <c r="E893" i="8" s="1"/>
  <c r="AB892" i="8" a="1"/>
  <c r="AB892" i="8" s="1"/>
  <c r="AA892" i="8" a="1"/>
  <c r="AA892" i="8" s="1"/>
  <c r="Z892" i="8" a="1"/>
  <c r="Z892" i="8" s="1"/>
  <c r="Y892" i="8" a="1"/>
  <c r="Y892" i="8" s="1"/>
  <c r="X892" i="8" a="1"/>
  <c r="X892" i="8" s="1"/>
  <c r="W892" i="8" a="1"/>
  <c r="W892" i="8" s="1"/>
  <c r="V892" i="8" a="1"/>
  <c r="V892" i="8" s="1"/>
  <c r="U892" i="8" a="1"/>
  <c r="U892" i="8" s="1"/>
  <c r="T892" i="8" a="1"/>
  <c r="T892" i="8" s="1"/>
  <c r="S892" i="8" a="1"/>
  <c r="S892" i="8" s="1"/>
  <c r="R892" i="8" a="1"/>
  <c r="R892" i="8" s="1"/>
  <c r="Q892" i="8" a="1"/>
  <c r="Q892" i="8" s="1"/>
  <c r="P892" i="8" a="1"/>
  <c r="P892" i="8" s="1"/>
  <c r="O892" i="8" a="1"/>
  <c r="O892" i="8" s="1"/>
  <c r="N892" i="8" a="1"/>
  <c r="N892" i="8" s="1"/>
  <c r="M892" i="8" a="1"/>
  <c r="M892" i="8" s="1"/>
  <c r="L892" i="8" a="1"/>
  <c r="L892" i="8" s="1"/>
  <c r="K892" i="8" a="1"/>
  <c r="K892" i="8" s="1"/>
  <c r="J892" i="8" a="1"/>
  <c r="J892" i="8" s="1"/>
  <c r="I892" i="8" a="1"/>
  <c r="I892" i="8" s="1"/>
  <c r="H892" i="8" a="1"/>
  <c r="H892" i="8" s="1"/>
  <c r="G892" i="8" a="1"/>
  <c r="G892" i="8" s="1"/>
  <c r="F892" i="8" a="1"/>
  <c r="F892" i="8" s="1"/>
  <c r="E892" i="8" a="1"/>
  <c r="E892" i="8" s="1"/>
  <c r="AB891" i="8" a="1"/>
  <c r="AB891" i="8" s="1"/>
  <c r="AA891" i="8" a="1"/>
  <c r="AA891" i="8" s="1"/>
  <c r="Z891" i="8" a="1"/>
  <c r="Z891" i="8" s="1"/>
  <c r="Y891" i="8" a="1"/>
  <c r="Y891" i="8" s="1"/>
  <c r="X891" i="8" a="1"/>
  <c r="X891" i="8" s="1"/>
  <c r="W891" i="8" a="1"/>
  <c r="W891" i="8" s="1"/>
  <c r="V891" i="8" a="1"/>
  <c r="V891" i="8" s="1"/>
  <c r="U891" i="8" a="1"/>
  <c r="U891" i="8" s="1"/>
  <c r="T891" i="8" a="1"/>
  <c r="T891" i="8" s="1"/>
  <c r="S891" i="8" a="1"/>
  <c r="S891" i="8" s="1"/>
  <c r="R891" i="8" a="1"/>
  <c r="R891" i="8" s="1"/>
  <c r="Q891" i="8" a="1"/>
  <c r="Q891" i="8" s="1"/>
  <c r="P891" i="8" a="1"/>
  <c r="P891" i="8" s="1"/>
  <c r="O891" i="8" a="1"/>
  <c r="O891" i="8" s="1"/>
  <c r="N891" i="8" a="1"/>
  <c r="N891" i="8" s="1"/>
  <c r="M891" i="8" a="1"/>
  <c r="M891" i="8" s="1"/>
  <c r="L891" i="8" a="1"/>
  <c r="L891" i="8" s="1"/>
  <c r="K891" i="8" a="1"/>
  <c r="K891" i="8" s="1"/>
  <c r="J891" i="8" a="1"/>
  <c r="J891" i="8" s="1"/>
  <c r="I891" i="8" a="1"/>
  <c r="I891" i="8" s="1"/>
  <c r="H891" i="8" a="1"/>
  <c r="H891" i="8" s="1"/>
  <c r="G891" i="8" a="1"/>
  <c r="G891" i="8" s="1"/>
  <c r="F891" i="8" a="1"/>
  <c r="F891" i="8" s="1"/>
  <c r="E891" i="8" a="1"/>
  <c r="E891" i="8" s="1"/>
  <c r="AB890" i="8" a="1"/>
  <c r="AB890" i="8" s="1"/>
  <c r="AA890" i="8" a="1"/>
  <c r="AA890" i="8" s="1"/>
  <c r="Z890" i="8" a="1"/>
  <c r="Z890" i="8" s="1"/>
  <c r="Y890" i="8" a="1"/>
  <c r="Y890" i="8" s="1"/>
  <c r="X890" i="8" a="1"/>
  <c r="X890" i="8" s="1"/>
  <c r="W890" i="8" a="1"/>
  <c r="W890" i="8" s="1"/>
  <c r="V890" i="8" a="1"/>
  <c r="V890" i="8" s="1"/>
  <c r="U890" i="8" a="1"/>
  <c r="U890" i="8" s="1"/>
  <c r="T890" i="8" a="1"/>
  <c r="T890" i="8" s="1"/>
  <c r="S890" i="8" a="1"/>
  <c r="S890" i="8" s="1"/>
  <c r="R890" i="8" a="1"/>
  <c r="R890" i="8" s="1"/>
  <c r="Q890" i="8" a="1"/>
  <c r="Q890" i="8" s="1"/>
  <c r="P890" i="8" a="1"/>
  <c r="P890" i="8" s="1"/>
  <c r="O890" i="8" a="1"/>
  <c r="O890" i="8" s="1"/>
  <c r="N890" i="8" a="1"/>
  <c r="N890" i="8" s="1"/>
  <c r="M890" i="8" a="1"/>
  <c r="M890" i="8" s="1"/>
  <c r="L890" i="8" a="1"/>
  <c r="L890" i="8" s="1"/>
  <c r="K890" i="8" a="1"/>
  <c r="K890" i="8" s="1"/>
  <c r="J890" i="8" a="1"/>
  <c r="J890" i="8" s="1"/>
  <c r="I890" i="8" a="1"/>
  <c r="I890" i="8" s="1"/>
  <c r="H890" i="8" a="1"/>
  <c r="H890" i="8" s="1"/>
  <c r="G890" i="8" a="1"/>
  <c r="G890" i="8" s="1"/>
  <c r="F890" i="8" a="1"/>
  <c r="F890" i="8" s="1"/>
  <c r="E890" i="8" a="1"/>
  <c r="E890" i="8" s="1"/>
  <c r="AB889" i="8" a="1"/>
  <c r="AB889" i="8" s="1"/>
  <c r="AA889" i="8" a="1"/>
  <c r="AA889" i="8" s="1"/>
  <c r="Z889" i="8" a="1"/>
  <c r="Z889" i="8" s="1"/>
  <c r="Y889" i="8" a="1"/>
  <c r="Y889" i="8" s="1"/>
  <c r="X889" i="8" a="1"/>
  <c r="X889" i="8" s="1"/>
  <c r="W889" i="8" a="1"/>
  <c r="W889" i="8" s="1"/>
  <c r="V889" i="8" a="1"/>
  <c r="V889" i="8" s="1"/>
  <c r="U889" i="8" a="1"/>
  <c r="U889" i="8" s="1"/>
  <c r="T889" i="8" a="1"/>
  <c r="T889" i="8" s="1"/>
  <c r="S889" i="8" a="1"/>
  <c r="S889" i="8" s="1"/>
  <c r="R889" i="8" a="1"/>
  <c r="R889" i="8" s="1"/>
  <c r="Q889" i="8" a="1"/>
  <c r="Q889" i="8" s="1"/>
  <c r="P889" i="8" a="1"/>
  <c r="P889" i="8" s="1"/>
  <c r="O889" i="8" a="1"/>
  <c r="O889" i="8" s="1"/>
  <c r="N889" i="8" a="1"/>
  <c r="N889" i="8" s="1"/>
  <c r="M889" i="8" a="1"/>
  <c r="M889" i="8" s="1"/>
  <c r="L889" i="8" a="1"/>
  <c r="L889" i="8" s="1"/>
  <c r="K889" i="8" a="1"/>
  <c r="K889" i="8" s="1"/>
  <c r="J889" i="8" a="1"/>
  <c r="J889" i="8" s="1"/>
  <c r="I889" i="8" a="1"/>
  <c r="I889" i="8" s="1"/>
  <c r="H889" i="8" a="1"/>
  <c r="H889" i="8" s="1"/>
  <c r="G889" i="8" a="1"/>
  <c r="G889" i="8" s="1"/>
  <c r="F889" i="8" a="1"/>
  <c r="F889" i="8" s="1"/>
  <c r="E889" i="8" a="1"/>
  <c r="E889" i="8" s="1"/>
  <c r="AB888" i="8" a="1"/>
  <c r="AB888" i="8" s="1"/>
  <c r="AA888" i="8" a="1"/>
  <c r="AA888" i="8" s="1"/>
  <c r="Z888" i="8" a="1"/>
  <c r="Z888" i="8" s="1"/>
  <c r="Y888" i="8" a="1"/>
  <c r="Y888" i="8" s="1"/>
  <c r="X888" i="8" a="1"/>
  <c r="X888" i="8" s="1"/>
  <c r="W888" i="8" a="1"/>
  <c r="W888" i="8" s="1"/>
  <c r="V888" i="8" a="1"/>
  <c r="V888" i="8" s="1"/>
  <c r="U888" i="8" a="1"/>
  <c r="U888" i="8" s="1"/>
  <c r="T888" i="8" a="1"/>
  <c r="T888" i="8" s="1"/>
  <c r="S888" i="8" a="1"/>
  <c r="S888" i="8" s="1"/>
  <c r="R888" i="8" a="1"/>
  <c r="R888" i="8" s="1"/>
  <c r="Q888" i="8" a="1"/>
  <c r="Q888" i="8" s="1"/>
  <c r="P888" i="8" a="1"/>
  <c r="P888" i="8" s="1"/>
  <c r="O888" i="8" a="1"/>
  <c r="O888" i="8" s="1"/>
  <c r="N888" i="8" a="1"/>
  <c r="N888" i="8" s="1"/>
  <c r="M888" i="8" a="1"/>
  <c r="M888" i="8" s="1"/>
  <c r="L888" i="8" a="1"/>
  <c r="L888" i="8" s="1"/>
  <c r="K888" i="8" a="1"/>
  <c r="K888" i="8" s="1"/>
  <c r="J888" i="8" a="1"/>
  <c r="J888" i="8" s="1"/>
  <c r="I888" i="8" a="1"/>
  <c r="I888" i="8" s="1"/>
  <c r="H888" i="8" a="1"/>
  <c r="H888" i="8" s="1"/>
  <c r="G888" i="8" a="1"/>
  <c r="G888" i="8" s="1"/>
  <c r="F888" i="8" a="1"/>
  <c r="F888" i="8" s="1"/>
  <c r="E888" i="8" a="1"/>
  <c r="E888" i="8" s="1"/>
  <c r="AB887" i="8" a="1"/>
  <c r="AB887" i="8" s="1"/>
  <c r="AA887" i="8" a="1"/>
  <c r="AA887" i="8" s="1"/>
  <c r="Z887" i="8" a="1"/>
  <c r="Z887" i="8" s="1"/>
  <c r="Y887" i="8" a="1"/>
  <c r="Y887" i="8" s="1"/>
  <c r="X887" i="8" a="1"/>
  <c r="X887" i="8" s="1"/>
  <c r="W887" i="8" a="1"/>
  <c r="W887" i="8" s="1"/>
  <c r="V887" i="8" a="1"/>
  <c r="V887" i="8" s="1"/>
  <c r="U887" i="8" a="1"/>
  <c r="U887" i="8" s="1"/>
  <c r="T887" i="8" a="1"/>
  <c r="T887" i="8" s="1"/>
  <c r="S887" i="8" a="1"/>
  <c r="S887" i="8" s="1"/>
  <c r="R887" i="8" a="1"/>
  <c r="R887" i="8" s="1"/>
  <c r="Q887" i="8" a="1"/>
  <c r="Q887" i="8" s="1"/>
  <c r="P887" i="8" a="1"/>
  <c r="P887" i="8" s="1"/>
  <c r="O887" i="8" a="1"/>
  <c r="O887" i="8" s="1"/>
  <c r="N887" i="8" a="1"/>
  <c r="N887" i="8" s="1"/>
  <c r="M887" i="8" a="1"/>
  <c r="M887" i="8" s="1"/>
  <c r="L887" i="8" a="1"/>
  <c r="L887" i="8" s="1"/>
  <c r="K887" i="8" a="1"/>
  <c r="K887" i="8" s="1"/>
  <c r="J887" i="8" a="1"/>
  <c r="J887" i="8" s="1"/>
  <c r="I887" i="8" a="1"/>
  <c r="I887" i="8" s="1"/>
  <c r="H887" i="8" a="1"/>
  <c r="H887" i="8" s="1"/>
  <c r="G887" i="8" a="1"/>
  <c r="G887" i="8" s="1"/>
  <c r="F887" i="8" a="1"/>
  <c r="F887" i="8" s="1"/>
  <c r="E887" i="8" a="1"/>
  <c r="E887" i="8" s="1"/>
  <c r="AB886" i="8" a="1"/>
  <c r="AB886" i="8" s="1"/>
  <c r="AA886" i="8" a="1"/>
  <c r="AA886" i="8" s="1"/>
  <c r="Z886" i="8" a="1"/>
  <c r="Z886" i="8" s="1"/>
  <c r="Y886" i="8" a="1"/>
  <c r="Y886" i="8" s="1"/>
  <c r="X886" i="8" a="1"/>
  <c r="X886" i="8" s="1"/>
  <c r="W886" i="8" a="1"/>
  <c r="W886" i="8" s="1"/>
  <c r="V886" i="8" a="1"/>
  <c r="V886" i="8" s="1"/>
  <c r="U886" i="8" a="1"/>
  <c r="U886" i="8" s="1"/>
  <c r="T886" i="8" a="1"/>
  <c r="T886" i="8" s="1"/>
  <c r="S886" i="8" a="1"/>
  <c r="S886" i="8" s="1"/>
  <c r="R886" i="8" a="1"/>
  <c r="R886" i="8" s="1"/>
  <c r="Q886" i="8" a="1"/>
  <c r="Q886" i="8" s="1"/>
  <c r="P886" i="8" a="1"/>
  <c r="P886" i="8" s="1"/>
  <c r="O886" i="8" a="1"/>
  <c r="O886" i="8" s="1"/>
  <c r="N886" i="8" a="1"/>
  <c r="N886" i="8" s="1"/>
  <c r="M886" i="8" a="1"/>
  <c r="M886" i="8" s="1"/>
  <c r="L886" i="8" a="1"/>
  <c r="L886" i="8" s="1"/>
  <c r="K886" i="8" a="1"/>
  <c r="K886" i="8" s="1"/>
  <c r="J886" i="8" a="1"/>
  <c r="J886" i="8" s="1"/>
  <c r="I886" i="8" a="1"/>
  <c r="I886" i="8" s="1"/>
  <c r="H886" i="8" a="1"/>
  <c r="H886" i="8" s="1"/>
  <c r="G886" i="8" a="1"/>
  <c r="G886" i="8" s="1"/>
  <c r="F886" i="8" a="1"/>
  <c r="F886" i="8" s="1"/>
  <c r="E886" i="8" a="1"/>
  <c r="E886" i="8" s="1"/>
  <c r="AB885" i="8" a="1"/>
  <c r="AB885" i="8" s="1"/>
  <c r="AA885" i="8" a="1"/>
  <c r="AA885" i="8" s="1"/>
  <c r="Z885" i="8" a="1"/>
  <c r="Z885" i="8" s="1"/>
  <c r="Y885" i="8" a="1"/>
  <c r="Y885" i="8" s="1"/>
  <c r="X885" i="8" a="1"/>
  <c r="X885" i="8" s="1"/>
  <c r="W885" i="8" a="1"/>
  <c r="W885" i="8" s="1"/>
  <c r="V885" i="8" a="1"/>
  <c r="V885" i="8" s="1"/>
  <c r="U885" i="8" a="1"/>
  <c r="U885" i="8" s="1"/>
  <c r="T885" i="8" a="1"/>
  <c r="T885" i="8" s="1"/>
  <c r="S885" i="8" a="1"/>
  <c r="S885" i="8" s="1"/>
  <c r="R885" i="8" a="1"/>
  <c r="R885" i="8" s="1"/>
  <c r="Q885" i="8" a="1"/>
  <c r="Q885" i="8" s="1"/>
  <c r="P885" i="8" a="1"/>
  <c r="P885" i="8" s="1"/>
  <c r="O885" i="8" a="1"/>
  <c r="O885" i="8" s="1"/>
  <c r="N885" i="8" a="1"/>
  <c r="N885" i="8" s="1"/>
  <c r="M885" i="8" a="1"/>
  <c r="M885" i="8" s="1"/>
  <c r="L885" i="8" a="1"/>
  <c r="L885" i="8" s="1"/>
  <c r="K885" i="8" a="1"/>
  <c r="K885" i="8" s="1"/>
  <c r="J885" i="8" a="1"/>
  <c r="J885" i="8" s="1"/>
  <c r="I885" i="8" a="1"/>
  <c r="I885" i="8" s="1"/>
  <c r="H885" i="8" a="1"/>
  <c r="H885" i="8" s="1"/>
  <c r="G885" i="8" a="1"/>
  <c r="G885" i="8" s="1"/>
  <c r="F885" i="8" a="1"/>
  <c r="F885" i="8" s="1"/>
  <c r="E885" i="8" a="1"/>
  <c r="E885" i="8" s="1"/>
  <c r="AB884" i="8" a="1"/>
  <c r="AB884" i="8" s="1"/>
  <c r="AA884" i="8" a="1"/>
  <c r="AA884" i="8" s="1"/>
  <c r="Z884" i="8" a="1"/>
  <c r="Z884" i="8" s="1"/>
  <c r="Y884" i="8" a="1"/>
  <c r="Y884" i="8" s="1"/>
  <c r="X884" i="8" a="1"/>
  <c r="X884" i="8" s="1"/>
  <c r="W884" i="8" a="1"/>
  <c r="W884" i="8" s="1"/>
  <c r="V884" i="8" a="1"/>
  <c r="V884" i="8" s="1"/>
  <c r="U884" i="8" a="1"/>
  <c r="U884" i="8" s="1"/>
  <c r="T884" i="8" a="1"/>
  <c r="T884" i="8" s="1"/>
  <c r="S884" i="8" a="1"/>
  <c r="S884" i="8" s="1"/>
  <c r="R884" i="8" a="1"/>
  <c r="R884" i="8" s="1"/>
  <c r="Q884" i="8" a="1"/>
  <c r="Q884" i="8" s="1"/>
  <c r="P884" i="8" a="1"/>
  <c r="P884" i="8" s="1"/>
  <c r="O884" i="8" a="1"/>
  <c r="O884" i="8" s="1"/>
  <c r="N884" i="8" a="1"/>
  <c r="N884" i="8" s="1"/>
  <c r="M884" i="8" a="1"/>
  <c r="M884" i="8" s="1"/>
  <c r="L884" i="8" a="1"/>
  <c r="L884" i="8" s="1"/>
  <c r="K884" i="8" a="1"/>
  <c r="K884" i="8" s="1"/>
  <c r="J884" i="8" a="1"/>
  <c r="J884" i="8" s="1"/>
  <c r="I884" i="8" a="1"/>
  <c r="I884" i="8" s="1"/>
  <c r="H884" i="8" a="1"/>
  <c r="H884" i="8" s="1"/>
  <c r="G884" i="8" a="1"/>
  <c r="G884" i="8" s="1"/>
  <c r="F884" i="8" a="1"/>
  <c r="F884" i="8" s="1"/>
  <c r="E884" i="8" a="1"/>
  <c r="E884" i="8" s="1"/>
  <c r="AB883" i="8" a="1"/>
  <c r="AB883" i="8" s="1"/>
  <c r="AA883" i="8" a="1"/>
  <c r="AA883" i="8" s="1"/>
  <c r="Z883" i="8" a="1"/>
  <c r="Z883" i="8" s="1"/>
  <c r="Y883" i="8" a="1"/>
  <c r="Y883" i="8" s="1"/>
  <c r="X883" i="8" a="1"/>
  <c r="X883" i="8" s="1"/>
  <c r="W883" i="8" a="1"/>
  <c r="W883" i="8" s="1"/>
  <c r="V883" i="8" a="1"/>
  <c r="V883" i="8" s="1"/>
  <c r="U883" i="8" a="1"/>
  <c r="U883" i="8" s="1"/>
  <c r="T883" i="8" a="1"/>
  <c r="T883" i="8" s="1"/>
  <c r="S883" i="8" a="1"/>
  <c r="S883" i="8" s="1"/>
  <c r="R883" i="8" a="1"/>
  <c r="R883" i="8" s="1"/>
  <c r="Q883" i="8" a="1"/>
  <c r="Q883" i="8" s="1"/>
  <c r="P883" i="8" a="1"/>
  <c r="P883" i="8" s="1"/>
  <c r="O883" i="8" a="1"/>
  <c r="O883" i="8" s="1"/>
  <c r="N883" i="8" a="1"/>
  <c r="N883" i="8" s="1"/>
  <c r="M883" i="8" a="1"/>
  <c r="M883" i="8" s="1"/>
  <c r="L883" i="8" a="1"/>
  <c r="L883" i="8" s="1"/>
  <c r="K883" i="8" a="1"/>
  <c r="K883" i="8" s="1"/>
  <c r="J883" i="8" a="1"/>
  <c r="J883" i="8" s="1"/>
  <c r="I883" i="8" a="1"/>
  <c r="I883" i="8" s="1"/>
  <c r="H883" i="8" a="1"/>
  <c r="H883" i="8" s="1"/>
  <c r="G883" i="8" a="1"/>
  <c r="G883" i="8" s="1"/>
  <c r="F883" i="8" a="1"/>
  <c r="F883" i="8" s="1"/>
  <c r="E883" i="8" a="1"/>
  <c r="E883" i="8" s="1"/>
  <c r="AB882" i="8" a="1"/>
  <c r="AB882" i="8" s="1"/>
  <c r="AA882" i="8" a="1"/>
  <c r="AA882" i="8" s="1"/>
  <c r="Z882" i="8" a="1"/>
  <c r="Z882" i="8" s="1"/>
  <c r="Y882" i="8" a="1"/>
  <c r="Y882" i="8" s="1"/>
  <c r="X882" i="8" a="1"/>
  <c r="X882" i="8" s="1"/>
  <c r="W882" i="8" a="1"/>
  <c r="W882" i="8" s="1"/>
  <c r="V882" i="8" a="1"/>
  <c r="V882" i="8" s="1"/>
  <c r="U882" i="8" a="1"/>
  <c r="U882" i="8" s="1"/>
  <c r="T882" i="8" a="1"/>
  <c r="T882" i="8" s="1"/>
  <c r="S882" i="8" a="1"/>
  <c r="S882" i="8" s="1"/>
  <c r="R882" i="8" a="1"/>
  <c r="R882" i="8" s="1"/>
  <c r="Q882" i="8" a="1"/>
  <c r="Q882" i="8" s="1"/>
  <c r="P882" i="8" a="1"/>
  <c r="P882" i="8" s="1"/>
  <c r="O882" i="8" a="1"/>
  <c r="O882" i="8" s="1"/>
  <c r="N882" i="8" a="1"/>
  <c r="N882" i="8" s="1"/>
  <c r="M882" i="8" a="1"/>
  <c r="M882" i="8" s="1"/>
  <c r="L882" i="8" a="1"/>
  <c r="L882" i="8" s="1"/>
  <c r="K882" i="8" a="1"/>
  <c r="K882" i="8" s="1"/>
  <c r="J882" i="8" a="1"/>
  <c r="J882" i="8" s="1"/>
  <c r="I882" i="8" a="1"/>
  <c r="I882" i="8" s="1"/>
  <c r="H882" i="8" a="1"/>
  <c r="H882" i="8" s="1"/>
  <c r="G882" i="8" a="1"/>
  <c r="G882" i="8" s="1"/>
  <c r="F882" i="8" a="1"/>
  <c r="F882" i="8" s="1"/>
  <c r="E882" i="8" a="1"/>
  <c r="E882" i="8" s="1"/>
  <c r="AB881" i="8" a="1"/>
  <c r="AB881" i="8" s="1"/>
  <c r="AA881" i="8" a="1"/>
  <c r="AA881" i="8" s="1"/>
  <c r="Z881" i="8" a="1"/>
  <c r="Z881" i="8" s="1"/>
  <c r="Y881" i="8" a="1"/>
  <c r="Y881" i="8" s="1"/>
  <c r="X881" i="8" a="1"/>
  <c r="X881" i="8" s="1"/>
  <c r="W881" i="8" a="1"/>
  <c r="W881" i="8" s="1"/>
  <c r="V881" i="8" a="1"/>
  <c r="V881" i="8" s="1"/>
  <c r="U881" i="8" a="1"/>
  <c r="U881" i="8" s="1"/>
  <c r="T881" i="8" a="1"/>
  <c r="T881" i="8" s="1"/>
  <c r="S881" i="8" a="1"/>
  <c r="S881" i="8" s="1"/>
  <c r="R881" i="8" a="1"/>
  <c r="R881" i="8" s="1"/>
  <c r="Q881" i="8" a="1"/>
  <c r="Q881" i="8" s="1"/>
  <c r="P881" i="8" a="1"/>
  <c r="P881" i="8" s="1"/>
  <c r="O881" i="8" a="1"/>
  <c r="O881" i="8" s="1"/>
  <c r="N881" i="8" a="1"/>
  <c r="N881" i="8" s="1"/>
  <c r="M881" i="8" a="1"/>
  <c r="M881" i="8" s="1"/>
  <c r="L881" i="8" a="1"/>
  <c r="L881" i="8" s="1"/>
  <c r="K881" i="8" a="1"/>
  <c r="K881" i="8" s="1"/>
  <c r="J881" i="8" a="1"/>
  <c r="J881" i="8" s="1"/>
  <c r="I881" i="8" a="1"/>
  <c r="I881" i="8" s="1"/>
  <c r="H881" i="8" a="1"/>
  <c r="H881" i="8" s="1"/>
  <c r="G881" i="8" a="1"/>
  <c r="G881" i="8" s="1"/>
  <c r="F881" i="8" a="1"/>
  <c r="F881" i="8" s="1"/>
  <c r="E881" i="8" a="1"/>
  <c r="E881" i="8" s="1"/>
  <c r="AB880" i="8" a="1"/>
  <c r="AB880" i="8" s="1"/>
  <c r="AA880" i="8" a="1"/>
  <c r="AA880" i="8" s="1"/>
  <c r="Z880" i="8" a="1"/>
  <c r="Z880" i="8" s="1"/>
  <c r="Y880" i="8" a="1"/>
  <c r="Y880" i="8" s="1"/>
  <c r="X880" i="8" a="1"/>
  <c r="X880" i="8" s="1"/>
  <c r="W880" i="8" a="1"/>
  <c r="W880" i="8" s="1"/>
  <c r="V880" i="8" a="1"/>
  <c r="V880" i="8" s="1"/>
  <c r="U880" i="8" a="1"/>
  <c r="U880" i="8" s="1"/>
  <c r="T880" i="8" a="1"/>
  <c r="T880" i="8" s="1"/>
  <c r="S880" i="8" a="1"/>
  <c r="S880" i="8" s="1"/>
  <c r="R880" i="8" a="1"/>
  <c r="R880" i="8" s="1"/>
  <c r="Q880" i="8" a="1"/>
  <c r="Q880" i="8" s="1"/>
  <c r="P880" i="8" a="1"/>
  <c r="P880" i="8" s="1"/>
  <c r="O880" i="8" a="1"/>
  <c r="O880" i="8" s="1"/>
  <c r="N880" i="8" a="1"/>
  <c r="N880" i="8" s="1"/>
  <c r="M880" i="8" a="1"/>
  <c r="M880" i="8" s="1"/>
  <c r="L880" i="8" a="1"/>
  <c r="L880" i="8" s="1"/>
  <c r="K880" i="8" a="1"/>
  <c r="K880" i="8" s="1"/>
  <c r="J880" i="8" a="1"/>
  <c r="J880" i="8" s="1"/>
  <c r="I880" i="8" a="1"/>
  <c r="I880" i="8" s="1"/>
  <c r="H880" i="8" a="1"/>
  <c r="H880" i="8" s="1"/>
  <c r="G880" i="8" a="1"/>
  <c r="G880" i="8" s="1"/>
  <c r="F880" i="8" a="1"/>
  <c r="F880" i="8" s="1"/>
  <c r="E880" i="8" a="1"/>
  <c r="E880" i="8" s="1"/>
  <c r="AB879" i="8" a="1"/>
  <c r="AB879" i="8" s="1"/>
  <c r="AA879" i="8" a="1"/>
  <c r="AA879" i="8" s="1"/>
  <c r="Z879" i="8" a="1"/>
  <c r="Z879" i="8" s="1"/>
  <c r="Y879" i="8" a="1"/>
  <c r="Y879" i="8" s="1"/>
  <c r="X879" i="8" a="1"/>
  <c r="X879" i="8" s="1"/>
  <c r="W879" i="8" a="1"/>
  <c r="W879" i="8" s="1"/>
  <c r="V879" i="8" a="1"/>
  <c r="V879" i="8" s="1"/>
  <c r="U879" i="8" a="1"/>
  <c r="U879" i="8" s="1"/>
  <c r="T879" i="8" a="1"/>
  <c r="T879" i="8" s="1"/>
  <c r="S879" i="8" a="1"/>
  <c r="S879" i="8" s="1"/>
  <c r="R879" i="8" a="1"/>
  <c r="R879" i="8" s="1"/>
  <c r="Q879" i="8" a="1"/>
  <c r="Q879" i="8" s="1"/>
  <c r="P879" i="8" a="1"/>
  <c r="P879" i="8" s="1"/>
  <c r="O879" i="8" a="1"/>
  <c r="O879" i="8" s="1"/>
  <c r="N879" i="8" a="1"/>
  <c r="N879" i="8" s="1"/>
  <c r="M879" i="8" a="1"/>
  <c r="M879" i="8" s="1"/>
  <c r="L879" i="8" a="1"/>
  <c r="L879" i="8" s="1"/>
  <c r="K879" i="8" a="1"/>
  <c r="K879" i="8" s="1"/>
  <c r="J879" i="8" a="1"/>
  <c r="J879" i="8" s="1"/>
  <c r="I879" i="8" a="1"/>
  <c r="I879" i="8" s="1"/>
  <c r="H879" i="8" a="1"/>
  <c r="H879" i="8" s="1"/>
  <c r="G879" i="8" a="1"/>
  <c r="G879" i="8" s="1"/>
  <c r="F879" i="8" a="1"/>
  <c r="F879" i="8" s="1"/>
  <c r="E879" i="8" a="1"/>
  <c r="E879" i="8" s="1"/>
  <c r="AB878" i="8" a="1"/>
  <c r="AB878" i="8" s="1"/>
  <c r="AA878" i="8" a="1"/>
  <c r="AA878" i="8" s="1"/>
  <c r="Z878" i="8" a="1"/>
  <c r="Z878" i="8" s="1"/>
  <c r="Y878" i="8" a="1"/>
  <c r="Y878" i="8" s="1"/>
  <c r="X878" i="8" a="1"/>
  <c r="X878" i="8" s="1"/>
  <c r="W878" i="8" a="1"/>
  <c r="W878" i="8" s="1"/>
  <c r="V878" i="8" a="1"/>
  <c r="V878" i="8" s="1"/>
  <c r="U878" i="8" a="1"/>
  <c r="U878" i="8" s="1"/>
  <c r="T878" i="8" a="1"/>
  <c r="T878" i="8" s="1"/>
  <c r="S878" i="8" a="1"/>
  <c r="S878" i="8" s="1"/>
  <c r="R878" i="8" a="1"/>
  <c r="R878" i="8" s="1"/>
  <c r="Q878" i="8" a="1"/>
  <c r="Q878" i="8" s="1"/>
  <c r="P878" i="8" a="1"/>
  <c r="P878" i="8" s="1"/>
  <c r="O878" i="8" a="1"/>
  <c r="O878" i="8" s="1"/>
  <c r="N878" i="8" a="1"/>
  <c r="N878" i="8" s="1"/>
  <c r="M878" i="8" a="1"/>
  <c r="M878" i="8" s="1"/>
  <c r="L878" i="8" a="1"/>
  <c r="L878" i="8" s="1"/>
  <c r="K878" i="8" a="1"/>
  <c r="K878" i="8" s="1"/>
  <c r="J878" i="8" a="1"/>
  <c r="J878" i="8" s="1"/>
  <c r="I878" i="8" a="1"/>
  <c r="I878" i="8" s="1"/>
  <c r="H878" i="8" a="1"/>
  <c r="H878" i="8" s="1"/>
  <c r="G878" i="8" a="1"/>
  <c r="G878" i="8" s="1"/>
  <c r="F878" i="8" a="1"/>
  <c r="F878" i="8" s="1"/>
  <c r="E878" i="8" a="1"/>
  <c r="E878" i="8" s="1"/>
  <c r="AB877" i="8" a="1"/>
  <c r="AB877" i="8" s="1"/>
  <c r="AA877" i="8" a="1"/>
  <c r="AA877" i="8" s="1"/>
  <c r="Z877" i="8" a="1"/>
  <c r="Z877" i="8" s="1"/>
  <c r="Y877" i="8" a="1"/>
  <c r="Y877" i="8" s="1"/>
  <c r="X877" i="8" a="1"/>
  <c r="X877" i="8" s="1"/>
  <c r="W877" i="8" a="1"/>
  <c r="W877" i="8" s="1"/>
  <c r="V877" i="8" a="1"/>
  <c r="V877" i="8" s="1"/>
  <c r="U877" i="8" a="1"/>
  <c r="U877" i="8" s="1"/>
  <c r="T877" i="8" a="1"/>
  <c r="T877" i="8" s="1"/>
  <c r="S877" i="8" a="1"/>
  <c r="S877" i="8" s="1"/>
  <c r="R877" i="8" a="1"/>
  <c r="R877" i="8" s="1"/>
  <c r="Q877" i="8" a="1"/>
  <c r="Q877" i="8" s="1"/>
  <c r="P877" i="8" a="1"/>
  <c r="P877" i="8" s="1"/>
  <c r="O877" i="8" a="1"/>
  <c r="O877" i="8" s="1"/>
  <c r="N877" i="8" a="1"/>
  <c r="N877" i="8" s="1"/>
  <c r="M877" i="8" a="1"/>
  <c r="M877" i="8" s="1"/>
  <c r="L877" i="8" a="1"/>
  <c r="L877" i="8" s="1"/>
  <c r="K877" i="8" a="1"/>
  <c r="K877" i="8" s="1"/>
  <c r="J877" i="8" a="1"/>
  <c r="J877" i="8" s="1"/>
  <c r="I877" i="8" a="1"/>
  <c r="I877" i="8" s="1"/>
  <c r="H877" i="8" a="1"/>
  <c r="H877" i="8" s="1"/>
  <c r="G877" i="8" a="1"/>
  <c r="G877" i="8" s="1"/>
  <c r="F877" i="8" a="1"/>
  <c r="F877" i="8" s="1"/>
  <c r="E877" i="8" a="1"/>
  <c r="E877" i="8" s="1"/>
  <c r="AB876" i="8" a="1"/>
  <c r="AB876" i="8" s="1"/>
  <c r="AA876" i="8" a="1"/>
  <c r="AA876" i="8" s="1"/>
  <c r="Z876" i="8" a="1"/>
  <c r="Z876" i="8" s="1"/>
  <c r="Y876" i="8" a="1"/>
  <c r="Y876" i="8" s="1"/>
  <c r="X876" i="8" a="1"/>
  <c r="X876" i="8" s="1"/>
  <c r="W876" i="8" a="1"/>
  <c r="W876" i="8" s="1"/>
  <c r="V876" i="8" a="1"/>
  <c r="V876" i="8" s="1"/>
  <c r="U876" i="8" a="1"/>
  <c r="U876" i="8" s="1"/>
  <c r="T876" i="8" a="1"/>
  <c r="T876" i="8" s="1"/>
  <c r="S876" i="8" a="1"/>
  <c r="S876" i="8" s="1"/>
  <c r="R876" i="8" a="1"/>
  <c r="R876" i="8" s="1"/>
  <c r="Q876" i="8" a="1"/>
  <c r="Q876" i="8" s="1"/>
  <c r="P876" i="8" a="1"/>
  <c r="P876" i="8" s="1"/>
  <c r="O876" i="8" a="1"/>
  <c r="O876" i="8" s="1"/>
  <c r="N876" i="8" a="1"/>
  <c r="N876" i="8" s="1"/>
  <c r="M876" i="8" a="1"/>
  <c r="M876" i="8" s="1"/>
  <c r="L876" i="8" a="1"/>
  <c r="L876" i="8" s="1"/>
  <c r="K876" i="8" a="1"/>
  <c r="K876" i="8" s="1"/>
  <c r="J876" i="8" a="1"/>
  <c r="J876" i="8" s="1"/>
  <c r="I876" i="8" a="1"/>
  <c r="I876" i="8" s="1"/>
  <c r="H876" i="8" a="1"/>
  <c r="H876" i="8" s="1"/>
  <c r="G876" i="8" a="1"/>
  <c r="G876" i="8" s="1"/>
  <c r="F876" i="8" a="1"/>
  <c r="F876" i="8" s="1"/>
  <c r="E876" i="8" a="1"/>
  <c r="E876" i="8" s="1"/>
  <c r="AB875" i="8" a="1"/>
  <c r="AB875" i="8" s="1"/>
  <c r="AA875" i="8" a="1"/>
  <c r="AA875" i="8" s="1"/>
  <c r="Z875" i="8" a="1"/>
  <c r="Z875" i="8" s="1"/>
  <c r="Y875" i="8" a="1"/>
  <c r="Y875" i="8" s="1"/>
  <c r="X875" i="8" a="1"/>
  <c r="X875" i="8" s="1"/>
  <c r="W875" i="8" a="1"/>
  <c r="W875" i="8" s="1"/>
  <c r="V875" i="8" a="1"/>
  <c r="V875" i="8" s="1"/>
  <c r="U875" i="8" a="1"/>
  <c r="U875" i="8" s="1"/>
  <c r="T875" i="8" a="1"/>
  <c r="T875" i="8" s="1"/>
  <c r="S875" i="8" a="1"/>
  <c r="S875" i="8" s="1"/>
  <c r="R875" i="8" a="1"/>
  <c r="R875" i="8" s="1"/>
  <c r="Q875" i="8" a="1"/>
  <c r="Q875" i="8" s="1"/>
  <c r="P875" i="8" a="1"/>
  <c r="P875" i="8" s="1"/>
  <c r="O875" i="8" a="1"/>
  <c r="O875" i="8" s="1"/>
  <c r="N875" i="8" a="1"/>
  <c r="N875" i="8" s="1"/>
  <c r="M875" i="8" a="1"/>
  <c r="M875" i="8" s="1"/>
  <c r="L875" i="8" a="1"/>
  <c r="L875" i="8" s="1"/>
  <c r="K875" i="8" a="1"/>
  <c r="K875" i="8" s="1"/>
  <c r="J875" i="8" a="1"/>
  <c r="J875" i="8" s="1"/>
  <c r="I875" i="8" a="1"/>
  <c r="I875" i="8" s="1"/>
  <c r="H875" i="8" a="1"/>
  <c r="H875" i="8" s="1"/>
  <c r="G875" i="8" a="1"/>
  <c r="G875" i="8" s="1"/>
  <c r="F875" i="8" a="1"/>
  <c r="F875" i="8" s="1"/>
  <c r="E875" i="8" a="1"/>
  <c r="E875" i="8" s="1"/>
  <c r="AB874" i="8" a="1"/>
  <c r="AB874" i="8" s="1"/>
  <c r="AA874" i="8" a="1"/>
  <c r="AA874" i="8" s="1"/>
  <c r="Z874" i="8" a="1"/>
  <c r="Z874" i="8" s="1"/>
  <c r="Y874" i="8" a="1"/>
  <c r="Y874" i="8" s="1"/>
  <c r="X874" i="8" a="1"/>
  <c r="X874" i="8" s="1"/>
  <c r="W874" i="8" a="1"/>
  <c r="W874" i="8" s="1"/>
  <c r="V874" i="8" a="1"/>
  <c r="V874" i="8" s="1"/>
  <c r="U874" i="8" a="1"/>
  <c r="U874" i="8" s="1"/>
  <c r="T874" i="8" a="1"/>
  <c r="T874" i="8" s="1"/>
  <c r="S874" i="8" a="1"/>
  <c r="S874" i="8" s="1"/>
  <c r="R874" i="8" a="1"/>
  <c r="R874" i="8" s="1"/>
  <c r="Q874" i="8" a="1"/>
  <c r="Q874" i="8" s="1"/>
  <c r="P874" i="8" a="1"/>
  <c r="P874" i="8" s="1"/>
  <c r="O874" i="8" a="1"/>
  <c r="O874" i="8" s="1"/>
  <c r="N874" i="8" a="1"/>
  <c r="N874" i="8" s="1"/>
  <c r="M874" i="8" a="1"/>
  <c r="M874" i="8" s="1"/>
  <c r="L874" i="8" a="1"/>
  <c r="L874" i="8" s="1"/>
  <c r="K874" i="8" a="1"/>
  <c r="K874" i="8" s="1"/>
  <c r="J874" i="8" a="1"/>
  <c r="J874" i="8" s="1"/>
  <c r="I874" i="8" a="1"/>
  <c r="I874" i="8" s="1"/>
  <c r="H874" i="8" a="1"/>
  <c r="H874" i="8" s="1"/>
  <c r="G874" i="8" a="1"/>
  <c r="G874" i="8" s="1"/>
  <c r="F874" i="8" a="1"/>
  <c r="F874" i="8" s="1"/>
  <c r="E874" i="8" a="1"/>
  <c r="E874" i="8" s="1"/>
  <c r="AB873" i="8" a="1"/>
  <c r="AB873" i="8" s="1"/>
  <c r="AA873" i="8" a="1"/>
  <c r="AA873" i="8" s="1"/>
  <c r="Z873" i="8" a="1"/>
  <c r="Z873" i="8" s="1"/>
  <c r="Y873" i="8" a="1"/>
  <c r="Y873" i="8" s="1"/>
  <c r="X873" i="8" a="1"/>
  <c r="X873" i="8" s="1"/>
  <c r="W873" i="8" a="1"/>
  <c r="W873" i="8" s="1"/>
  <c r="V873" i="8" a="1"/>
  <c r="V873" i="8" s="1"/>
  <c r="U873" i="8" a="1"/>
  <c r="U873" i="8" s="1"/>
  <c r="T873" i="8" a="1"/>
  <c r="T873" i="8" s="1"/>
  <c r="S873" i="8" a="1"/>
  <c r="S873" i="8" s="1"/>
  <c r="R873" i="8" a="1"/>
  <c r="R873" i="8" s="1"/>
  <c r="Q873" i="8" a="1"/>
  <c r="Q873" i="8" s="1"/>
  <c r="P873" i="8" a="1"/>
  <c r="P873" i="8" s="1"/>
  <c r="O873" i="8" a="1"/>
  <c r="O873" i="8" s="1"/>
  <c r="N873" i="8" a="1"/>
  <c r="N873" i="8" s="1"/>
  <c r="M873" i="8" a="1"/>
  <c r="M873" i="8" s="1"/>
  <c r="L873" i="8" a="1"/>
  <c r="L873" i="8" s="1"/>
  <c r="K873" i="8" a="1"/>
  <c r="K873" i="8" s="1"/>
  <c r="J873" i="8" a="1"/>
  <c r="J873" i="8" s="1"/>
  <c r="I873" i="8" a="1"/>
  <c r="I873" i="8" s="1"/>
  <c r="H873" i="8" a="1"/>
  <c r="H873" i="8" s="1"/>
  <c r="G873" i="8" a="1"/>
  <c r="G873" i="8" s="1"/>
  <c r="F873" i="8" a="1"/>
  <c r="F873" i="8" s="1"/>
  <c r="E873" i="8" a="1"/>
  <c r="E873" i="8" s="1"/>
  <c r="AB872" i="8" a="1"/>
  <c r="AB872" i="8" s="1"/>
  <c r="AA872" i="8" a="1"/>
  <c r="AA872" i="8" s="1"/>
  <c r="Z872" i="8" a="1"/>
  <c r="Z872" i="8" s="1"/>
  <c r="Y872" i="8" a="1"/>
  <c r="Y872" i="8" s="1"/>
  <c r="X872" i="8" a="1"/>
  <c r="X872" i="8" s="1"/>
  <c r="W872" i="8" a="1"/>
  <c r="W872" i="8" s="1"/>
  <c r="V872" i="8" a="1"/>
  <c r="V872" i="8" s="1"/>
  <c r="U872" i="8" a="1"/>
  <c r="U872" i="8" s="1"/>
  <c r="T872" i="8" a="1"/>
  <c r="T872" i="8" s="1"/>
  <c r="S872" i="8" a="1"/>
  <c r="S872" i="8" s="1"/>
  <c r="R872" i="8" a="1"/>
  <c r="R872" i="8" s="1"/>
  <c r="Q872" i="8" a="1"/>
  <c r="Q872" i="8" s="1"/>
  <c r="P872" i="8" a="1"/>
  <c r="P872" i="8" s="1"/>
  <c r="O872" i="8" a="1"/>
  <c r="O872" i="8" s="1"/>
  <c r="N872" i="8" a="1"/>
  <c r="N872" i="8" s="1"/>
  <c r="M872" i="8" a="1"/>
  <c r="M872" i="8" s="1"/>
  <c r="L872" i="8" a="1"/>
  <c r="L872" i="8" s="1"/>
  <c r="K872" i="8" a="1"/>
  <c r="K872" i="8" s="1"/>
  <c r="J872" i="8" a="1"/>
  <c r="J872" i="8" s="1"/>
  <c r="I872" i="8" a="1"/>
  <c r="I872" i="8" s="1"/>
  <c r="H872" i="8" a="1"/>
  <c r="H872" i="8" s="1"/>
  <c r="G872" i="8" a="1"/>
  <c r="G872" i="8" s="1"/>
  <c r="F872" i="8" a="1"/>
  <c r="F872" i="8" s="1"/>
  <c r="E872" i="8" a="1"/>
  <c r="E872" i="8" s="1"/>
  <c r="AB871" i="8" a="1"/>
  <c r="AB871" i="8" s="1"/>
  <c r="AA871" i="8" a="1"/>
  <c r="AA871" i="8" s="1"/>
  <c r="Z871" i="8" a="1"/>
  <c r="Z871" i="8" s="1"/>
  <c r="Y871" i="8" a="1"/>
  <c r="Y871" i="8" s="1"/>
  <c r="X871" i="8" a="1"/>
  <c r="X871" i="8" s="1"/>
  <c r="W871" i="8" a="1"/>
  <c r="W871" i="8" s="1"/>
  <c r="V871" i="8" a="1"/>
  <c r="V871" i="8" s="1"/>
  <c r="U871" i="8" a="1"/>
  <c r="U871" i="8" s="1"/>
  <c r="T871" i="8" a="1"/>
  <c r="T871" i="8" s="1"/>
  <c r="S871" i="8" a="1"/>
  <c r="S871" i="8" s="1"/>
  <c r="R871" i="8" a="1"/>
  <c r="R871" i="8" s="1"/>
  <c r="Q871" i="8" a="1"/>
  <c r="Q871" i="8" s="1"/>
  <c r="P871" i="8" a="1"/>
  <c r="P871" i="8" s="1"/>
  <c r="O871" i="8" a="1"/>
  <c r="O871" i="8" s="1"/>
  <c r="N871" i="8" a="1"/>
  <c r="N871" i="8" s="1"/>
  <c r="M871" i="8" a="1"/>
  <c r="M871" i="8" s="1"/>
  <c r="L871" i="8" a="1"/>
  <c r="L871" i="8" s="1"/>
  <c r="K871" i="8" a="1"/>
  <c r="K871" i="8" s="1"/>
  <c r="J871" i="8" a="1"/>
  <c r="J871" i="8" s="1"/>
  <c r="I871" i="8" a="1"/>
  <c r="I871" i="8" s="1"/>
  <c r="H871" i="8" a="1"/>
  <c r="H871" i="8" s="1"/>
  <c r="G871" i="8" a="1"/>
  <c r="G871" i="8" s="1"/>
  <c r="F871" i="8" a="1"/>
  <c r="F871" i="8" s="1"/>
  <c r="E871" i="8" a="1"/>
  <c r="E871" i="8" s="1"/>
  <c r="AB870" i="8" a="1"/>
  <c r="AB870" i="8" s="1"/>
  <c r="AA870" i="8" a="1"/>
  <c r="AA870" i="8" s="1"/>
  <c r="Z870" i="8" a="1"/>
  <c r="Z870" i="8" s="1"/>
  <c r="Y870" i="8" a="1"/>
  <c r="Y870" i="8" s="1"/>
  <c r="X870" i="8" a="1"/>
  <c r="X870" i="8" s="1"/>
  <c r="W870" i="8" a="1"/>
  <c r="W870" i="8" s="1"/>
  <c r="V870" i="8" a="1"/>
  <c r="V870" i="8" s="1"/>
  <c r="U870" i="8" a="1"/>
  <c r="U870" i="8" s="1"/>
  <c r="T870" i="8" a="1"/>
  <c r="T870" i="8" s="1"/>
  <c r="S870" i="8" a="1"/>
  <c r="S870" i="8" s="1"/>
  <c r="R870" i="8" a="1"/>
  <c r="R870" i="8" s="1"/>
  <c r="Q870" i="8" a="1"/>
  <c r="Q870" i="8" s="1"/>
  <c r="P870" i="8" a="1"/>
  <c r="P870" i="8" s="1"/>
  <c r="O870" i="8" a="1"/>
  <c r="O870" i="8" s="1"/>
  <c r="N870" i="8" a="1"/>
  <c r="N870" i="8" s="1"/>
  <c r="M870" i="8" a="1"/>
  <c r="M870" i="8" s="1"/>
  <c r="L870" i="8" a="1"/>
  <c r="L870" i="8" s="1"/>
  <c r="K870" i="8" a="1"/>
  <c r="K870" i="8" s="1"/>
  <c r="J870" i="8" a="1"/>
  <c r="J870" i="8" s="1"/>
  <c r="I870" i="8" a="1"/>
  <c r="I870" i="8" s="1"/>
  <c r="H870" i="8" a="1"/>
  <c r="H870" i="8" s="1"/>
  <c r="G870" i="8" a="1"/>
  <c r="G870" i="8" s="1"/>
  <c r="F870" i="8" a="1"/>
  <c r="F870" i="8" s="1"/>
  <c r="E870" i="8" a="1"/>
  <c r="E870" i="8" s="1"/>
  <c r="AB869" i="8" a="1"/>
  <c r="AB869" i="8" s="1"/>
  <c r="AA869" i="8" a="1"/>
  <c r="AA869" i="8" s="1"/>
  <c r="Z869" i="8" a="1"/>
  <c r="Z869" i="8" s="1"/>
  <c r="Y869" i="8" a="1"/>
  <c r="Y869" i="8" s="1"/>
  <c r="X869" i="8" a="1"/>
  <c r="X869" i="8" s="1"/>
  <c r="W869" i="8" a="1"/>
  <c r="W869" i="8" s="1"/>
  <c r="V869" i="8" a="1"/>
  <c r="V869" i="8" s="1"/>
  <c r="U869" i="8" a="1"/>
  <c r="U869" i="8" s="1"/>
  <c r="T869" i="8" a="1"/>
  <c r="T869" i="8" s="1"/>
  <c r="S869" i="8" a="1"/>
  <c r="S869" i="8" s="1"/>
  <c r="R869" i="8" a="1"/>
  <c r="R869" i="8" s="1"/>
  <c r="Q869" i="8" a="1"/>
  <c r="Q869" i="8" s="1"/>
  <c r="P869" i="8" a="1"/>
  <c r="P869" i="8" s="1"/>
  <c r="O869" i="8" a="1"/>
  <c r="O869" i="8" s="1"/>
  <c r="N869" i="8" a="1"/>
  <c r="N869" i="8" s="1"/>
  <c r="M869" i="8" a="1"/>
  <c r="M869" i="8" s="1"/>
  <c r="L869" i="8" a="1"/>
  <c r="L869" i="8" s="1"/>
  <c r="K869" i="8" a="1"/>
  <c r="K869" i="8" s="1"/>
  <c r="J869" i="8" a="1"/>
  <c r="J869" i="8" s="1"/>
  <c r="I869" i="8" a="1"/>
  <c r="I869" i="8" s="1"/>
  <c r="H869" i="8" a="1"/>
  <c r="H869" i="8" s="1"/>
  <c r="G869" i="8" a="1"/>
  <c r="G869" i="8" s="1"/>
  <c r="F869" i="8" a="1"/>
  <c r="F869" i="8" s="1"/>
  <c r="E869" i="8" a="1"/>
  <c r="E869" i="8" s="1"/>
  <c r="AB868" i="8" a="1"/>
  <c r="AB868" i="8" s="1"/>
  <c r="AA868" i="8" a="1"/>
  <c r="AA868" i="8" s="1"/>
  <c r="Z868" i="8" a="1"/>
  <c r="Z868" i="8" s="1"/>
  <c r="Y868" i="8" a="1"/>
  <c r="Y868" i="8" s="1"/>
  <c r="X868" i="8" a="1"/>
  <c r="X868" i="8" s="1"/>
  <c r="W868" i="8" a="1"/>
  <c r="W868" i="8" s="1"/>
  <c r="V868" i="8" a="1"/>
  <c r="V868" i="8" s="1"/>
  <c r="U868" i="8" a="1"/>
  <c r="U868" i="8" s="1"/>
  <c r="T868" i="8" a="1"/>
  <c r="T868" i="8" s="1"/>
  <c r="S868" i="8" a="1"/>
  <c r="S868" i="8" s="1"/>
  <c r="R868" i="8" a="1"/>
  <c r="R868" i="8" s="1"/>
  <c r="Q868" i="8" a="1"/>
  <c r="Q868" i="8" s="1"/>
  <c r="P868" i="8" a="1"/>
  <c r="P868" i="8" s="1"/>
  <c r="O868" i="8" a="1"/>
  <c r="O868" i="8" s="1"/>
  <c r="N868" i="8" a="1"/>
  <c r="N868" i="8" s="1"/>
  <c r="M868" i="8" a="1"/>
  <c r="M868" i="8" s="1"/>
  <c r="L868" i="8" a="1"/>
  <c r="L868" i="8" s="1"/>
  <c r="K868" i="8" a="1"/>
  <c r="K868" i="8" s="1"/>
  <c r="J868" i="8" a="1"/>
  <c r="J868" i="8" s="1"/>
  <c r="I868" i="8" a="1"/>
  <c r="I868" i="8" s="1"/>
  <c r="H868" i="8" a="1"/>
  <c r="H868" i="8" s="1"/>
  <c r="G868" i="8" a="1"/>
  <c r="G868" i="8" s="1"/>
  <c r="F868" i="8" a="1"/>
  <c r="F868" i="8" s="1"/>
  <c r="E868" i="8" a="1"/>
  <c r="E868" i="8" s="1"/>
  <c r="AB867" i="8" a="1"/>
  <c r="AB867" i="8" s="1"/>
  <c r="AA867" i="8" a="1"/>
  <c r="AA867" i="8" s="1"/>
  <c r="Z867" i="8" a="1"/>
  <c r="Z867" i="8" s="1"/>
  <c r="Y867" i="8" a="1"/>
  <c r="Y867" i="8" s="1"/>
  <c r="X867" i="8" a="1"/>
  <c r="X867" i="8" s="1"/>
  <c r="W867" i="8" a="1"/>
  <c r="W867" i="8" s="1"/>
  <c r="V867" i="8" a="1"/>
  <c r="V867" i="8" s="1"/>
  <c r="U867" i="8" a="1"/>
  <c r="U867" i="8" s="1"/>
  <c r="T867" i="8" a="1"/>
  <c r="T867" i="8" s="1"/>
  <c r="S867" i="8" a="1"/>
  <c r="S867" i="8" s="1"/>
  <c r="R867" i="8" a="1"/>
  <c r="R867" i="8" s="1"/>
  <c r="Q867" i="8" a="1"/>
  <c r="Q867" i="8" s="1"/>
  <c r="P867" i="8" a="1"/>
  <c r="P867" i="8" s="1"/>
  <c r="O867" i="8" a="1"/>
  <c r="O867" i="8" s="1"/>
  <c r="N867" i="8" a="1"/>
  <c r="N867" i="8" s="1"/>
  <c r="M867" i="8" a="1"/>
  <c r="M867" i="8" s="1"/>
  <c r="L867" i="8" a="1"/>
  <c r="L867" i="8" s="1"/>
  <c r="K867" i="8" a="1"/>
  <c r="K867" i="8" s="1"/>
  <c r="J867" i="8" a="1"/>
  <c r="J867" i="8" s="1"/>
  <c r="I867" i="8" a="1"/>
  <c r="I867" i="8" s="1"/>
  <c r="H867" i="8" a="1"/>
  <c r="H867" i="8" s="1"/>
  <c r="G867" i="8" a="1"/>
  <c r="G867" i="8" s="1"/>
  <c r="F867" i="8" a="1"/>
  <c r="F867" i="8" s="1"/>
  <c r="E867" i="8" a="1"/>
  <c r="E867" i="8" s="1"/>
  <c r="AB866" i="8" a="1"/>
  <c r="AB866" i="8" s="1"/>
  <c r="AA866" i="8" a="1"/>
  <c r="AA866" i="8" s="1"/>
  <c r="Z866" i="8" a="1"/>
  <c r="Z866" i="8" s="1"/>
  <c r="Y866" i="8" a="1"/>
  <c r="Y866" i="8" s="1"/>
  <c r="X866" i="8" a="1"/>
  <c r="X866" i="8" s="1"/>
  <c r="W866" i="8" a="1"/>
  <c r="W866" i="8" s="1"/>
  <c r="V866" i="8" a="1"/>
  <c r="V866" i="8" s="1"/>
  <c r="U866" i="8" a="1"/>
  <c r="U866" i="8" s="1"/>
  <c r="T866" i="8" a="1"/>
  <c r="T866" i="8" s="1"/>
  <c r="S866" i="8" a="1"/>
  <c r="S866" i="8" s="1"/>
  <c r="R866" i="8" a="1"/>
  <c r="R866" i="8" s="1"/>
  <c r="Q866" i="8" a="1"/>
  <c r="Q866" i="8" s="1"/>
  <c r="P866" i="8" a="1"/>
  <c r="P866" i="8" s="1"/>
  <c r="O866" i="8" a="1"/>
  <c r="O866" i="8" s="1"/>
  <c r="N866" i="8" a="1"/>
  <c r="N866" i="8" s="1"/>
  <c r="M866" i="8" a="1"/>
  <c r="M866" i="8" s="1"/>
  <c r="L866" i="8" a="1"/>
  <c r="L866" i="8" s="1"/>
  <c r="K866" i="8" a="1"/>
  <c r="K866" i="8" s="1"/>
  <c r="J866" i="8" a="1"/>
  <c r="J866" i="8" s="1"/>
  <c r="I866" i="8" a="1"/>
  <c r="I866" i="8" s="1"/>
  <c r="H866" i="8" a="1"/>
  <c r="H866" i="8" s="1"/>
  <c r="G866" i="8" a="1"/>
  <c r="G866" i="8" s="1"/>
  <c r="F866" i="8" a="1"/>
  <c r="F866" i="8" s="1"/>
  <c r="E866" i="8" a="1"/>
  <c r="E866" i="8" s="1"/>
  <c r="AB865" i="8" a="1"/>
  <c r="AB865" i="8" s="1"/>
  <c r="AA865" i="8" a="1"/>
  <c r="AA865" i="8" s="1"/>
  <c r="Z865" i="8" a="1"/>
  <c r="Z865" i="8" s="1"/>
  <c r="Y865" i="8" a="1"/>
  <c r="Y865" i="8" s="1"/>
  <c r="X865" i="8" a="1"/>
  <c r="X865" i="8" s="1"/>
  <c r="W865" i="8" a="1"/>
  <c r="W865" i="8" s="1"/>
  <c r="V865" i="8" a="1"/>
  <c r="V865" i="8" s="1"/>
  <c r="U865" i="8" a="1"/>
  <c r="U865" i="8" s="1"/>
  <c r="T865" i="8" a="1"/>
  <c r="T865" i="8" s="1"/>
  <c r="S865" i="8" a="1"/>
  <c r="S865" i="8" s="1"/>
  <c r="R865" i="8" a="1"/>
  <c r="R865" i="8" s="1"/>
  <c r="Q865" i="8" a="1"/>
  <c r="Q865" i="8" s="1"/>
  <c r="P865" i="8" a="1"/>
  <c r="P865" i="8" s="1"/>
  <c r="O865" i="8" a="1"/>
  <c r="O865" i="8" s="1"/>
  <c r="N865" i="8" a="1"/>
  <c r="N865" i="8" s="1"/>
  <c r="M865" i="8" a="1"/>
  <c r="M865" i="8" s="1"/>
  <c r="L865" i="8" a="1"/>
  <c r="L865" i="8" s="1"/>
  <c r="K865" i="8" a="1"/>
  <c r="K865" i="8" s="1"/>
  <c r="J865" i="8" a="1"/>
  <c r="J865" i="8" s="1"/>
  <c r="I865" i="8" a="1"/>
  <c r="I865" i="8" s="1"/>
  <c r="H865" i="8" a="1"/>
  <c r="H865" i="8" s="1"/>
  <c r="G865" i="8" a="1"/>
  <c r="G865" i="8" s="1"/>
  <c r="F865" i="8" a="1"/>
  <c r="F865" i="8" s="1"/>
  <c r="E865" i="8" a="1"/>
  <c r="E865" i="8" s="1"/>
  <c r="AB864" i="8" a="1"/>
  <c r="AB864" i="8" s="1"/>
  <c r="AA864" i="8" a="1"/>
  <c r="AA864" i="8" s="1"/>
  <c r="Z864" i="8" a="1"/>
  <c r="Z864" i="8" s="1"/>
  <c r="Y864" i="8" a="1"/>
  <c r="Y864" i="8" s="1"/>
  <c r="X864" i="8" a="1"/>
  <c r="X864" i="8" s="1"/>
  <c r="W864" i="8" a="1"/>
  <c r="W864" i="8" s="1"/>
  <c r="V864" i="8" a="1"/>
  <c r="V864" i="8" s="1"/>
  <c r="U864" i="8" a="1"/>
  <c r="U864" i="8" s="1"/>
  <c r="T864" i="8" a="1"/>
  <c r="T864" i="8" s="1"/>
  <c r="S864" i="8" a="1"/>
  <c r="S864" i="8" s="1"/>
  <c r="R864" i="8" a="1"/>
  <c r="R864" i="8" s="1"/>
  <c r="Q864" i="8" a="1"/>
  <c r="Q864" i="8" s="1"/>
  <c r="P864" i="8" a="1"/>
  <c r="P864" i="8" s="1"/>
  <c r="O864" i="8" a="1"/>
  <c r="O864" i="8" s="1"/>
  <c r="N864" i="8" a="1"/>
  <c r="N864" i="8" s="1"/>
  <c r="M864" i="8" a="1"/>
  <c r="M864" i="8" s="1"/>
  <c r="L864" i="8" a="1"/>
  <c r="L864" i="8" s="1"/>
  <c r="K864" i="8" a="1"/>
  <c r="K864" i="8" s="1"/>
  <c r="J864" i="8" a="1"/>
  <c r="J864" i="8" s="1"/>
  <c r="I864" i="8" a="1"/>
  <c r="I864" i="8" s="1"/>
  <c r="H864" i="8" a="1"/>
  <c r="H864" i="8" s="1"/>
  <c r="G864" i="8" a="1"/>
  <c r="G864" i="8" s="1"/>
  <c r="F864" i="8" a="1"/>
  <c r="F864" i="8" s="1"/>
  <c r="E864" i="8" a="1"/>
  <c r="E864" i="8" s="1"/>
  <c r="AB863" i="8" a="1"/>
  <c r="AB863" i="8" s="1"/>
  <c r="AA863" i="8" a="1"/>
  <c r="AA863" i="8" s="1"/>
  <c r="Z863" i="8" a="1"/>
  <c r="Z863" i="8" s="1"/>
  <c r="Y863" i="8" a="1"/>
  <c r="Y863" i="8" s="1"/>
  <c r="X863" i="8" a="1"/>
  <c r="X863" i="8" s="1"/>
  <c r="W863" i="8" a="1"/>
  <c r="W863" i="8" s="1"/>
  <c r="V863" i="8" a="1"/>
  <c r="V863" i="8" s="1"/>
  <c r="U863" i="8" a="1"/>
  <c r="U863" i="8" s="1"/>
  <c r="T863" i="8" a="1"/>
  <c r="T863" i="8" s="1"/>
  <c r="S863" i="8" a="1"/>
  <c r="S863" i="8" s="1"/>
  <c r="R863" i="8" a="1"/>
  <c r="R863" i="8" s="1"/>
  <c r="Q863" i="8" a="1"/>
  <c r="Q863" i="8" s="1"/>
  <c r="P863" i="8" a="1"/>
  <c r="P863" i="8" s="1"/>
  <c r="O863" i="8" a="1"/>
  <c r="O863" i="8" s="1"/>
  <c r="N863" i="8" a="1"/>
  <c r="N863" i="8" s="1"/>
  <c r="M863" i="8" a="1"/>
  <c r="M863" i="8" s="1"/>
  <c r="L863" i="8" a="1"/>
  <c r="L863" i="8" s="1"/>
  <c r="K863" i="8" a="1"/>
  <c r="K863" i="8" s="1"/>
  <c r="J863" i="8" a="1"/>
  <c r="J863" i="8" s="1"/>
  <c r="I863" i="8" a="1"/>
  <c r="I863" i="8" s="1"/>
  <c r="H863" i="8" a="1"/>
  <c r="H863" i="8" s="1"/>
  <c r="G863" i="8" a="1"/>
  <c r="G863" i="8" s="1"/>
  <c r="F863" i="8" a="1"/>
  <c r="F863" i="8" s="1"/>
  <c r="E863" i="8" a="1"/>
  <c r="E863" i="8" s="1"/>
  <c r="AB862" i="8" a="1"/>
  <c r="AB862" i="8" s="1"/>
  <c r="AA862" i="8" a="1"/>
  <c r="AA862" i="8" s="1"/>
  <c r="Z862" i="8" a="1"/>
  <c r="Z862" i="8" s="1"/>
  <c r="Y862" i="8" a="1"/>
  <c r="Y862" i="8" s="1"/>
  <c r="X862" i="8" a="1"/>
  <c r="X862" i="8" s="1"/>
  <c r="W862" i="8" a="1"/>
  <c r="W862" i="8" s="1"/>
  <c r="V862" i="8" a="1"/>
  <c r="V862" i="8" s="1"/>
  <c r="U862" i="8" a="1"/>
  <c r="U862" i="8" s="1"/>
  <c r="T862" i="8" a="1"/>
  <c r="T862" i="8" s="1"/>
  <c r="S862" i="8" a="1"/>
  <c r="S862" i="8" s="1"/>
  <c r="R862" i="8" a="1"/>
  <c r="R862" i="8" s="1"/>
  <c r="Q862" i="8" a="1"/>
  <c r="Q862" i="8" s="1"/>
  <c r="P862" i="8" a="1"/>
  <c r="P862" i="8" s="1"/>
  <c r="O862" i="8" a="1"/>
  <c r="O862" i="8" s="1"/>
  <c r="N862" i="8" a="1"/>
  <c r="N862" i="8" s="1"/>
  <c r="M862" i="8" a="1"/>
  <c r="M862" i="8" s="1"/>
  <c r="L862" i="8" a="1"/>
  <c r="L862" i="8" s="1"/>
  <c r="K862" i="8" a="1"/>
  <c r="K862" i="8" s="1"/>
  <c r="J862" i="8" a="1"/>
  <c r="J862" i="8" s="1"/>
  <c r="I862" i="8" a="1"/>
  <c r="I862" i="8" s="1"/>
  <c r="H862" i="8" a="1"/>
  <c r="H862" i="8" s="1"/>
  <c r="G862" i="8" a="1"/>
  <c r="G862" i="8" s="1"/>
  <c r="F862" i="8" a="1"/>
  <c r="F862" i="8" s="1"/>
  <c r="E862" i="8" a="1"/>
  <c r="E862" i="8" s="1"/>
  <c r="AB861" i="8" a="1"/>
  <c r="AB861" i="8" s="1"/>
  <c r="AA861" i="8" a="1"/>
  <c r="AA861" i="8" s="1"/>
  <c r="Z861" i="8" a="1"/>
  <c r="Z861" i="8" s="1"/>
  <c r="Y861" i="8" a="1"/>
  <c r="Y861" i="8" s="1"/>
  <c r="X861" i="8" a="1"/>
  <c r="X861" i="8" s="1"/>
  <c r="W861" i="8" a="1"/>
  <c r="W861" i="8" s="1"/>
  <c r="V861" i="8" a="1"/>
  <c r="V861" i="8" s="1"/>
  <c r="U861" i="8" a="1"/>
  <c r="U861" i="8" s="1"/>
  <c r="T861" i="8" a="1"/>
  <c r="T861" i="8" s="1"/>
  <c r="S861" i="8" a="1"/>
  <c r="S861" i="8" s="1"/>
  <c r="R861" i="8" a="1"/>
  <c r="R861" i="8" s="1"/>
  <c r="Q861" i="8" a="1"/>
  <c r="Q861" i="8" s="1"/>
  <c r="P861" i="8" a="1"/>
  <c r="P861" i="8" s="1"/>
  <c r="O861" i="8" a="1"/>
  <c r="O861" i="8" s="1"/>
  <c r="N861" i="8" a="1"/>
  <c r="N861" i="8" s="1"/>
  <c r="M861" i="8" a="1"/>
  <c r="M861" i="8" s="1"/>
  <c r="L861" i="8" a="1"/>
  <c r="L861" i="8" s="1"/>
  <c r="K861" i="8" a="1"/>
  <c r="K861" i="8" s="1"/>
  <c r="J861" i="8" a="1"/>
  <c r="J861" i="8" s="1"/>
  <c r="I861" i="8" a="1"/>
  <c r="I861" i="8" s="1"/>
  <c r="H861" i="8" a="1"/>
  <c r="H861" i="8" s="1"/>
  <c r="G861" i="8" a="1"/>
  <c r="G861" i="8" s="1"/>
  <c r="F861" i="8" a="1"/>
  <c r="F861" i="8" s="1"/>
  <c r="E861" i="8" a="1"/>
  <c r="E861" i="8" s="1"/>
  <c r="AB860" i="8" a="1"/>
  <c r="AB860" i="8" s="1"/>
  <c r="AA860" i="8" a="1"/>
  <c r="AA860" i="8" s="1"/>
  <c r="Z860" i="8" a="1"/>
  <c r="Z860" i="8" s="1"/>
  <c r="Y860" i="8" a="1"/>
  <c r="Y860" i="8" s="1"/>
  <c r="X860" i="8" a="1"/>
  <c r="X860" i="8" s="1"/>
  <c r="W860" i="8" a="1"/>
  <c r="W860" i="8" s="1"/>
  <c r="V860" i="8" a="1"/>
  <c r="V860" i="8" s="1"/>
  <c r="U860" i="8" a="1"/>
  <c r="U860" i="8" s="1"/>
  <c r="T860" i="8" a="1"/>
  <c r="T860" i="8" s="1"/>
  <c r="S860" i="8" a="1"/>
  <c r="S860" i="8" s="1"/>
  <c r="R860" i="8" a="1"/>
  <c r="R860" i="8" s="1"/>
  <c r="Q860" i="8" a="1"/>
  <c r="Q860" i="8" s="1"/>
  <c r="P860" i="8" a="1"/>
  <c r="P860" i="8" s="1"/>
  <c r="O860" i="8" a="1"/>
  <c r="O860" i="8" s="1"/>
  <c r="N860" i="8" a="1"/>
  <c r="N860" i="8" s="1"/>
  <c r="M860" i="8" a="1"/>
  <c r="M860" i="8" s="1"/>
  <c r="L860" i="8" a="1"/>
  <c r="L860" i="8" s="1"/>
  <c r="K860" i="8" a="1"/>
  <c r="K860" i="8" s="1"/>
  <c r="J860" i="8" a="1"/>
  <c r="J860" i="8" s="1"/>
  <c r="I860" i="8" a="1"/>
  <c r="I860" i="8" s="1"/>
  <c r="H860" i="8" a="1"/>
  <c r="H860" i="8" s="1"/>
  <c r="G860" i="8" a="1"/>
  <c r="G860" i="8" s="1"/>
  <c r="F860" i="8" a="1"/>
  <c r="F860" i="8" s="1"/>
  <c r="E860" i="8" a="1"/>
  <c r="E860" i="8" s="1"/>
  <c r="AB859" i="8" a="1"/>
  <c r="AB859" i="8" s="1"/>
  <c r="AA859" i="8" a="1"/>
  <c r="AA859" i="8" s="1"/>
  <c r="Z859" i="8" a="1"/>
  <c r="Z859" i="8" s="1"/>
  <c r="Y859" i="8" a="1"/>
  <c r="Y859" i="8" s="1"/>
  <c r="X859" i="8" a="1"/>
  <c r="X859" i="8" s="1"/>
  <c r="W859" i="8" a="1"/>
  <c r="W859" i="8" s="1"/>
  <c r="V859" i="8" a="1"/>
  <c r="V859" i="8" s="1"/>
  <c r="U859" i="8" a="1"/>
  <c r="U859" i="8" s="1"/>
  <c r="T859" i="8" a="1"/>
  <c r="T859" i="8" s="1"/>
  <c r="S859" i="8" a="1"/>
  <c r="S859" i="8" s="1"/>
  <c r="R859" i="8" a="1"/>
  <c r="R859" i="8" s="1"/>
  <c r="Q859" i="8" a="1"/>
  <c r="Q859" i="8" s="1"/>
  <c r="P859" i="8" a="1"/>
  <c r="P859" i="8" s="1"/>
  <c r="O859" i="8" a="1"/>
  <c r="O859" i="8" s="1"/>
  <c r="N859" i="8" a="1"/>
  <c r="N859" i="8" s="1"/>
  <c r="M859" i="8" a="1"/>
  <c r="M859" i="8" s="1"/>
  <c r="L859" i="8" a="1"/>
  <c r="L859" i="8" s="1"/>
  <c r="K859" i="8" a="1"/>
  <c r="K859" i="8" s="1"/>
  <c r="J859" i="8" a="1"/>
  <c r="J859" i="8" s="1"/>
  <c r="I859" i="8" a="1"/>
  <c r="I859" i="8" s="1"/>
  <c r="H859" i="8" a="1"/>
  <c r="H859" i="8" s="1"/>
  <c r="G859" i="8" a="1"/>
  <c r="G859" i="8" s="1"/>
  <c r="F859" i="8" a="1"/>
  <c r="F859" i="8" s="1"/>
  <c r="E859" i="8" a="1"/>
  <c r="E859" i="8" s="1"/>
  <c r="AB858" i="8" a="1"/>
  <c r="AB858" i="8" s="1"/>
  <c r="AA858" i="8" a="1"/>
  <c r="AA858" i="8" s="1"/>
  <c r="Z858" i="8" a="1"/>
  <c r="Z858" i="8" s="1"/>
  <c r="Y858" i="8" a="1"/>
  <c r="Y858" i="8" s="1"/>
  <c r="X858" i="8" a="1"/>
  <c r="X858" i="8" s="1"/>
  <c r="W858" i="8" a="1"/>
  <c r="W858" i="8" s="1"/>
  <c r="V858" i="8" a="1"/>
  <c r="V858" i="8" s="1"/>
  <c r="U858" i="8" a="1"/>
  <c r="U858" i="8" s="1"/>
  <c r="T858" i="8" a="1"/>
  <c r="T858" i="8" s="1"/>
  <c r="S858" i="8" a="1"/>
  <c r="S858" i="8" s="1"/>
  <c r="R858" i="8" a="1"/>
  <c r="R858" i="8" s="1"/>
  <c r="Q858" i="8" a="1"/>
  <c r="Q858" i="8" s="1"/>
  <c r="P858" i="8" a="1"/>
  <c r="P858" i="8" s="1"/>
  <c r="O858" i="8" a="1"/>
  <c r="O858" i="8" s="1"/>
  <c r="N858" i="8" a="1"/>
  <c r="N858" i="8" s="1"/>
  <c r="M858" i="8" a="1"/>
  <c r="M858" i="8" s="1"/>
  <c r="L858" i="8" a="1"/>
  <c r="L858" i="8" s="1"/>
  <c r="K858" i="8" a="1"/>
  <c r="K858" i="8" s="1"/>
  <c r="J858" i="8" a="1"/>
  <c r="J858" i="8" s="1"/>
  <c r="I858" i="8" a="1"/>
  <c r="I858" i="8" s="1"/>
  <c r="H858" i="8" a="1"/>
  <c r="H858" i="8" s="1"/>
  <c r="G858" i="8" a="1"/>
  <c r="G858" i="8" s="1"/>
  <c r="F858" i="8" a="1"/>
  <c r="F858" i="8" s="1"/>
  <c r="E858" i="8" a="1"/>
  <c r="E858" i="8" s="1"/>
  <c r="AB857" i="8" a="1"/>
  <c r="AB857" i="8" s="1"/>
  <c r="AA857" i="8" a="1"/>
  <c r="AA857" i="8" s="1"/>
  <c r="Z857" i="8" a="1"/>
  <c r="Z857" i="8" s="1"/>
  <c r="Y857" i="8" a="1"/>
  <c r="Y857" i="8" s="1"/>
  <c r="X857" i="8" a="1"/>
  <c r="X857" i="8" s="1"/>
  <c r="W857" i="8" a="1"/>
  <c r="W857" i="8" s="1"/>
  <c r="V857" i="8" a="1"/>
  <c r="V857" i="8" s="1"/>
  <c r="U857" i="8" a="1"/>
  <c r="U857" i="8" s="1"/>
  <c r="T857" i="8" a="1"/>
  <c r="T857" i="8" s="1"/>
  <c r="S857" i="8" a="1"/>
  <c r="S857" i="8" s="1"/>
  <c r="R857" i="8" a="1"/>
  <c r="R857" i="8" s="1"/>
  <c r="Q857" i="8" a="1"/>
  <c r="Q857" i="8" s="1"/>
  <c r="P857" i="8" a="1"/>
  <c r="P857" i="8" s="1"/>
  <c r="O857" i="8" a="1"/>
  <c r="O857" i="8" s="1"/>
  <c r="N857" i="8" a="1"/>
  <c r="N857" i="8" s="1"/>
  <c r="M857" i="8" a="1"/>
  <c r="M857" i="8" s="1"/>
  <c r="L857" i="8" a="1"/>
  <c r="L857" i="8" s="1"/>
  <c r="K857" i="8" a="1"/>
  <c r="K857" i="8" s="1"/>
  <c r="J857" i="8" a="1"/>
  <c r="J857" i="8" s="1"/>
  <c r="I857" i="8" a="1"/>
  <c r="I857" i="8" s="1"/>
  <c r="H857" i="8" a="1"/>
  <c r="H857" i="8" s="1"/>
  <c r="G857" i="8" a="1"/>
  <c r="G857" i="8" s="1"/>
  <c r="F857" i="8" a="1"/>
  <c r="F857" i="8" s="1"/>
  <c r="E857" i="8" a="1"/>
  <c r="E857" i="8" s="1"/>
  <c r="AB856" i="8" a="1"/>
  <c r="AB856" i="8" s="1"/>
  <c r="AA856" i="8" a="1"/>
  <c r="AA856" i="8" s="1"/>
  <c r="Z856" i="8" a="1"/>
  <c r="Z856" i="8" s="1"/>
  <c r="Y856" i="8" a="1"/>
  <c r="Y856" i="8" s="1"/>
  <c r="X856" i="8" a="1"/>
  <c r="X856" i="8" s="1"/>
  <c r="W856" i="8" a="1"/>
  <c r="W856" i="8" s="1"/>
  <c r="V856" i="8" a="1"/>
  <c r="V856" i="8" s="1"/>
  <c r="U856" i="8" a="1"/>
  <c r="U856" i="8" s="1"/>
  <c r="T856" i="8" a="1"/>
  <c r="T856" i="8" s="1"/>
  <c r="S856" i="8" a="1"/>
  <c r="S856" i="8" s="1"/>
  <c r="R856" i="8" a="1"/>
  <c r="R856" i="8" s="1"/>
  <c r="Q856" i="8" a="1"/>
  <c r="Q856" i="8" s="1"/>
  <c r="P856" i="8" a="1"/>
  <c r="P856" i="8" s="1"/>
  <c r="O856" i="8" a="1"/>
  <c r="O856" i="8" s="1"/>
  <c r="N856" i="8" a="1"/>
  <c r="N856" i="8" s="1"/>
  <c r="M856" i="8" a="1"/>
  <c r="M856" i="8" s="1"/>
  <c r="L856" i="8" a="1"/>
  <c r="L856" i="8" s="1"/>
  <c r="K856" i="8" a="1"/>
  <c r="K856" i="8" s="1"/>
  <c r="J856" i="8" a="1"/>
  <c r="J856" i="8" s="1"/>
  <c r="I856" i="8" a="1"/>
  <c r="I856" i="8" s="1"/>
  <c r="H856" i="8" a="1"/>
  <c r="H856" i="8" s="1"/>
  <c r="G856" i="8" a="1"/>
  <c r="G856" i="8" s="1"/>
  <c r="F856" i="8" a="1"/>
  <c r="F856" i="8" s="1"/>
  <c r="E856" i="8" a="1"/>
  <c r="E856" i="8" s="1"/>
  <c r="AB855" i="8" a="1"/>
  <c r="AB855" i="8" s="1"/>
  <c r="AA855" i="8" a="1"/>
  <c r="AA855" i="8" s="1"/>
  <c r="Z855" i="8" a="1"/>
  <c r="Z855" i="8" s="1"/>
  <c r="Y855" i="8" a="1"/>
  <c r="Y855" i="8" s="1"/>
  <c r="X855" i="8" a="1"/>
  <c r="X855" i="8" s="1"/>
  <c r="W855" i="8" a="1"/>
  <c r="W855" i="8" s="1"/>
  <c r="V855" i="8" a="1"/>
  <c r="V855" i="8" s="1"/>
  <c r="U855" i="8" a="1"/>
  <c r="U855" i="8" s="1"/>
  <c r="T855" i="8" a="1"/>
  <c r="T855" i="8" s="1"/>
  <c r="S855" i="8" a="1"/>
  <c r="S855" i="8" s="1"/>
  <c r="R855" i="8" a="1"/>
  <c r="R855" i="8" s="1"/>
  <c r="Q855" i="8" a="1"/>
  <c r="Q855" i="8" s="1"/>
  <c r="P855" i="8" a="1"/>
  <c r="P855" i="8" s="1"/>
  <c r="O855" i="8" a="1"/>
  <c r="O855" i="8" s="1"/>
  <c r="N855" i="8" a="1"/>
  <c r="N855" i="8" s="1"/>
  <c r="M855" i="8" a="1"/>
  <c r="M855" i="8" s="1"/>
  <c r="L855" i="8" a="1"/>
  <c r="L855" i="8" s="1"/>
  <c r="K855" i="8" a="1"/>
  <c r="K855" i="8" s="1"/>
  <c r="J855" i="8" a="1"/>
  <c r="J855" i="8" s="1"/>
  <c r="I855" i="8" a="1"/>
  <c r="I855" i="8" s="1"/>
  <c r="H855" i="8" a="1"/>
  <c r="H855" i="8" s="1"/>
  <c r="G855" i="8" a="1"/>
  <c r="G855" i="8" s="1"/>
  <c r="F855" i="8" a="1"/>
  <c r="F855" i="8" s="1"/>
  <c r="E855" i="8" a="1"/>
  <c r="E855" i="8" s="1"/>
  <c r="AB854" i="8" a="1"/>
  <c r="AB854" i="8" s="1"/>
  <c r="AA854" i="8" a="1"/>
  <c r="AA854" i="8" s="1"/>
  <c r="Z854" i="8" a="1"/>
  <c r="Z854" i="8" s="1"/>
  <c r="Y854" i="8" a="1"/>
  <c r="Y854" i="8" s="1"/>
  <c r="X854" i="8" a="1"/>
  <c r="X854" i="8" s="1"/>
  <c r="W854" i="8" a="1"/>
  <c r="W854" i="8" s="1"/>
  <c r="V854" i="8" a="1"/>
  <c r="V854" i="8" s="1"/>
  <c r="U854" i="8" a="1"/>
  <c r="U854" i="8" s="1"/>
  <c r="T854" i="8" a="1"/>
  <c r="T854" i="8" s="1"/>
  <c r="S854" i="8" a="1"/>
  <c r="S854" i="8" s="1"/>
  <c r="R854" i="8" a="1"/>
  <c r="R854" i="8" s="1"/>
  <c r="Q854" i="8" a="1"/>
  <c r="Q854" i="8" s="1"/>
  <c r="P854" i="8" a="1"/>
  <c r="P854" i="8" s="1"/>
  <c r="O854" i="8" a="1"/>
  <c r="O854" i="8" s="1"/>
  <c r="N854" i="8" a="1"/>
  <c r="N854" i="8" s="1"/>
  <c r="M854" i="8" a="1"/>
  <c r="M854" i="8" s="1"/>
  <c r="L854" i="8" a="1"/>
  <c r="L854" i="8" s="1"/>
  <c r="K854" i="8" a="1"/>
  <c r="K854" i="8" s="1"/>
  <c r="J854" i="8" a="1"/>
  <c r="J854" i="8" s="1"/>
  <c r="I854" i="8" a="1"/>
  <c r="I854" i="8" s="1"/>
  <c r="H854" i="8" a="1"/>
  <c r="H854" i="8" s="1"/>
  <c r="G854" i="8" a="1"/>
  <c r="G854" i="8" s="1"/>
  <c r="F854" i="8" a="1"/>
  <c r="F854" i="8" s="1"/>
  <c r="E854" i="8" a="1"/>
  <c r="E854" i="8" s="1"/>
  <c r="AB853" i="8" a="1"/>
  <c r="AB853" i="8" s="1"/>
  <c r="AA853" i="8" a="1"/>
  <c r="AA853" i="8" s="1"/>
  <c r="Z853" i="8" a="1"/>
  <c r="Z853" i="8" s="1"/>
  <c r="Y853" i="8" a="1"/>
  <c r="Y853" i="8" s="1"/>
  <c r="X853" i="8" a="1"/>
  <c r="X853" i="8" s="1"/>
  <c r="W853" i="8" a="1"/>
  <c r="W853" i="8" s="1"/>
  <c r="V853" i="8" a="1"/>
  <c r="V853" i="8" s="1"/>
  <c r="U853" i="8" a="1"/>
  <c r="U853" i="8" s="1"/>
  <c r="T853" i="8" a="1"/>
  <c r="T853" i="8" s="1"/>
  <c r="S853" i="8" a="1"/>
  <c r="S853" i="8" s="1"/>
  <c r="R853" i="8" a="1"/>
  <c r="R853" i="8" s="1"/>
  <c r="Q853" i="8" a="1"/>
  <c r="Q853" i="8" s="1"/>
  <c r="P853" i="8" a="1"/>
  <c r="P853" i="8" s="1"/>
  <c r="O853" i="8" a="1"/>
  <c r="O853" i="8" s="1"/>
  <c r="N853" i="8" a="1"/>
  <c r="N853" i="8" s="1"/>
  <c r="M853" i="8" a="1"/>
  <c r="M853" i="8" s="1"/>
  <c r="L853" i="8" a="1"/>
  <c r="L853" i="8" s="1"/>
  <c r="K853" i="8" a="1"/>
  <c r="K853" i="8" s="1"/>
  <c r="J853" i="8" a="1"/>
  <c r="J853" i="8" s="1"/>
  <c r="I853" i="8" a="1"/>
  <c r="I853" i="8" s="1"/>
  <c r="H853" i="8" a="1"/>
  <c r="H853" i="8" s="1"/>
  <c r="G853" i="8" a="1"/>
  <c r="G853" i="8" s="1"/>
  <c r="F853" i="8" a="1"/>
  <c r="F853" i="8" s="1"/>
  <c r="E853" i="8" a="1"/>
  <c r="E853" i="8" s="1"/>
  <c r="AB852" i="8" a="1"/>
  <c r="AB852" i="8" s="1"/>
  <c r="AA852" i="8" a="1"/>
  <c r="AA852" i="8" s="1"/>
  <c r="Z852" i="8" a="1"/>
  <c r="Z852" i="8" s="1"/>
  <c r="Y852" i="8" a="1"/>
  <c r="Y852" i="8" s="1"/>
  <c r="X852" i="8" a="1"/>
  <c r="X852" i="8" s="1"/>
  <c r="W852" i="8" a="1"/>
  <c r="W852" i="8" s="1"/>
  <c r="V852" i="8" a="1"/>
  <c r="V852" i="8" s="1"/>
  <c r="U852" i="8" a="1"/>
  <c r="U852" i="8" s="1"/>
  <c r="T852" i="8" a="1"/>
  <c r="T852" i="8" s="1"/>
  <c r="S852" i="8" a="1"/>
  <c r="S852" i="8" s="1"/>
  <c r="R852" i="8" a="1"/>
  <c r="R852" i="8" s="1"/>
  <c r="Q852" i="8" a="1"/>
  <c r="Q852" i="8" s="1"/>
  <c r="P852" i="8" a="1"/>
  <c r="P852" i="8" s="1"/>
  <c r="O852" i="8" a="1"/>
  <c r="O852" i="8" s="1"/>
  <c r="N852" i="8" a="1"/>
  <c r="N852" i="8" s="1"/>
  <c r="M852" i="8" a="1"/>
  <c r="M852" i="8" s="1"/>
  <c r="L852" i="8" a="1"/>
  <c r="L852" i="8" s="1"/>
  <c r="K852" i="8" a="1"/>
  <c r="K852" i="8" s="1"/>
  <c r="J852" i="8" a="1"/>
  <c r="J852" i="8" s="1"/>
  <c r="I852" i="8" a="1"/>
  <c r="I852" i="8" s="1"/>
  <c r="H852" i="8" a="1"/>
  <c r="H852" i="8" s="1"/>
  <c r="G852" i="8" a="1"/>
  <c r="G852" i="8" s="1"/>
  <c r="F852" i="8" a="1"/>
  <c r="F852" i="8" s="1"/>
  <c r="E852" i="8" a="1"/>
  <c r="E852" i="8" s="1"/>
  <c r="AB851" i="8" a="1"/>
  <c r="AB851" i="8" s="1"/>
  <c r="AA851" i="8" a="1"/>
  <c r="AA851" i="8" s="1"/>
  <c r="Z851" i="8" a="1"/>
  <c r="Z851" i="8" s="1"/>
  <c r="Y851" i="8" a="1"/>
  <c r="Y851" i="8" s="1"/>
  <c r="X851" i="8" a="1"/>
  <c r="X851" i="8" s="1"/>
  <c r="W851" i="8" a="1"/>
  <c r="W851" i="8" s="1"/>
  <c r="V851" i="8" a="1"/>
  <c r="V851" i="8" s="1"/>
  <c r="U851" i="8" a="1"/>
  <c r="U851" i="8" s="1"/>
  <c r="T851" i="8" a="1"/>
  <c r="T851" i="8" s="1"/>
  <c r="S851" i="8" a="1"/>
  <c r="S851" i="8" s="1"/>
  <c r="R851" i="8" a="1"/>
  <c r="R851" i="8" s="1"/>
  <c r="Q851" i="8" a="1"/>
  <c r="Q851" i="8" s="1"/>
  <c r="P851" i="8" a="1"/>
  <c r="P851" i="8" s="1"/>
  <c r="O851" i="8" a="1"/>
  <c r="O851" i="8" s="1"/>
  <c r="N851" i="8" a="1"/>
  <c r="N851" i="8" s="1"/>
  <c r="M851" i="8" a="1"/>
  <c r="M851" i="8" s="1"/>
  <c r="L851" i="8" a="1"/>
  <c r="L851" i="8" s="1"/>
  <c r="K851" i="8" a="1"/>
  <c r="K851" i="8" s="1"/>
  <c r="J851" i="8" a="1"/>
  <c r="J851" i="8" s="1"/>
  <c r="I851" i="8" a="1"/>
  <c r="I851" i="8" s="1"/>
  <c r="H851" i="8" a="1"/>
  <c r="H851" i="8" s="1"/>
  <c r="G851" i="8" a="1"/>
  <c r="G851" i="8" s="1"/>
  <c r="F851" i="8" a="1"/>
  <c r="F851" i="8" s="1"/>
  <c r="E851" i="8" a="1"/>
  <c r="E851" i="8" s="1"/>
  <c r="AB850" i="8" a="1"/>
  <c r="AB850" i="8" s="1"/>
  <c r="AA850" i="8" a="1"/>
  <c r="AA850" i="8" s="1"/>
  <c r="Z850" i="8" a="1"/>
  <c r="Z850" i="8" s="1"/>
  <c r="Y850" i="8" a="1"/>
  <c r="Y850" i="8" s="1"/>
  <c r="X850" i="8" a="1"/>
  <c r="X850" i="8" s="1"/>
  <c r="W850" i="8" a="1"/>
  <c r="W850" i="8" s="1"/>
  <c r="V850" i="8" a="1"/>
  <c r="V850" i="8" s="1"/>
  <c r="U850" i="8" a="1"/>
  <c r="U850" i="8" s="1"/>
  <c r="T850" i="8" a="1"/>
  <c r="T850" i="8" s="1"/>
  <c r="S850" i="8" a="1"/>
  <c r="S850" i="8" s="1"/>
  <c r="R850" i="8" a="1"/>
  <c r="R850" i="8" s="1"/>
  <c r="Q850" i="8" a="1"/>
  <c r="Q850" i="8" s="1"/>
  <c r="P850" i="8" a="1"/>
  <c r="P850" i="8" s="1"/>
  <c r="O850" i="8" a="1"/>
  <c r="O850" i="8" s="1"/>
  <c r="N850" i="8" a="1"/>
  <c r="N850" i="8" s="1"/>
  <c r="M850" i="8" a="1"/>
  <c r="M850" i="8" s="1"/>
  <c r="L850" i="8" a="1"/>
  <c r="L850" i="8" s="1"/>
  <c r="K850" i="8" a="1"/>
  <c r="K850" i="8" s="1"/>
  <c r="J850" i="8" a="1"/>
  <c r="J850" i="8" s="1"/>
  <c r="I850" i="8" a="1"/>
  <c r="I850" i="8" s="1"/>
  <c r="H850" i="8" a="1"/>
  <c r="H850" i="8" s="1"/>
  <c r="G850" i="8" a="1"/>
  <c r="G850" i="8" s="1"/>
  <c r="F850" i="8" a="1"/>
  <c r="F850" i="8" s="1"/>
  <c r="E850" i="8" a="1"/>
  <c r="E850" i="8" s="1"/>
  <c r="AB849" i="8" a="1"/>
  <c r="AB849" i="8" s="1"/>
  <c r="AA849" i="8" a="1"/>
  <c r="AA849" i="8" s="1"/>
  <c r="Z849" i="8" a="1"/>
  <c r="Z849" i="8" s="1"/>
  <c r="Y849" i="8" a="1"/>
  <c r="Y849" i="8" s="1"/>
  <c r="X849" i="8" a="1"/>
  <c r="X849" i="8" s="1"/>
  <c r="W849" i="8" a="1"/>
  <c r="W849" i="8" s="1"/>
  <c r="V849" i="8" a="1"/>
  <c r="V849" i="8" s="1"/>
  <c r="U849" i="8" a="1"/>
  <c r="U849" i="8" s="1"/>
  <c r="T849" i="8" a="1"/>
  <c r="T849" i="8" s="1"/>
  <c r="S849" i="8" a="1"/>
  <c r="S849" i="8" s="1"/>
  <c r="R849" i="8" a="1"/>
  <c r="R849" i="8" s="1"/>
  <c r="Q849" i="8" a="1"/>
  <c r="Q849" i="8" s="1"/>
  <c r="P849" i="8" a="1"/>
  <c r="P849" i="8" s="1"/>
  <c r="O849" i="8" a="1"/>
  <c r="O849" i="8" s="1"/>
  <c r="N849" i="8" a="1"/>
  <c r="N849" i="8" s="1"/>
  <c r="M849" i="8" a="1"/>
  <c r="M849" i="8" s="1"/>
  <c r="L849" i="8" a="1"/>
  <c r="L849" i="8" s="1"/>
  <c r="K849" i="8" a="1"/>
  <c r="K849" i="8" s="1"/>
  <c r="J849" i="8" a="1"/>
  <c r="J849" i="8" s="1"/>
  <c r="I849" i="8" a="1"/>
  <c r="I849" i="8" s="1"/>
  <c r="H849" i="8" a="1"/>
  <c r="H849" i="8" s="1"/>
  <c r="G849" i="8" a="1"/>
  <c r="G849" i="8" s="1"/>
  <c r="F849" i="8" a="1"/>
  <c r="F849" i="8" s="1"/>
  <c r="E849" i="8" a="1"/>
  <c r="E849" i="8" s="1"/>
  <c r="AB848" i="8" a="1"/>
  <c r="AB848" i="8" s="1"/>
  <c r="AA848" i="8" a="1"/>
  <c r="AA848" i="8" s="1"/>
  <c r="Z848" i="8" a="1"/>
  <c r="Z848" i="8" s="1"/>
  <c r="Y848" i="8" a="1"/>
  <c r="Y848" i="8" s="1"/>
  <c r="X848" i="8" a="1"/>
  <c r="X848" i="8" s="1"/>
  <c r="W848" i="8" a="1"/>
  <c r="W848" i="8" s="1"/>
  <c r="V848" i="8" a="1"/>
  <c r="V848" i="8" s="1"/>
  <c r="U848" i="8" a="1"/>
  <c r="U848" i="8" s="1"/>
  <c r="T848" i="8" a="1"/>
  <c r="T848" i="8" s="1"/>
  <c r="S848" i="8" a="1"/>
  <c r="S848" i="8" s="1"/>
  <c r="R848" i="8" a="1"/>
  <c r="R848" i="8" s="1"/>
  <c r="Q848" i="8" a="1"/>
  <c r="Q848" i="8" s="1"/>
  <c r="P848" i="8" a="1"/>
  <c r="P848" i="8" s="1"/>
  <c r="O848" i="8" a="1"/>
  <c r="O848" i="8" s="1"/>
  <c r="N848" i="8" a="1"/>
  <c r="N848" i="8" s="1"/>
  <c r="M848" i="8" a="1"/>
  <c r="M848" i="8" s="1"/>
  <c r="L848" i="8" a="1"/>
  <c r="L848" i="8" s="1"/>
  <c r="K848" i="8" a="1"/>
  <c r="K848" i="8" s="1"/>
  <c r="J848" i="8" a="1"/>
  <c r="J848" i="8" s="1"/>
  <c r="I848" i="8" a="1"/>
  <c r="I848" i="8" s="1"/>
  <c r="H848" i="8" a="1"/>
  <c r="H848" i="8" s="1"/>
  <c r="G848" i="8" a="1"/>
  <c r="G848" i="8" s="1"/>
  <c r="F848" i="8" a="1"/>
  <c r="F848" i="8" s="1"/>
  <c r="E848" i="8" a="1"/>
  <c r="E848" i="8" s="1"/>
  <c r="AB847" i="8" a="1"/>
  <c r="AB847" i="8" s="1"/>
  <c r="AA847" i="8" a="1"/>
  <c r="AA847" i="8" s="1"/>
  <c r="Z847" i="8" a="1"/>
  <c r="Z847" i="8" s="1"/>
  <c r="Y847" i="8" a="1"/>
  <c r="Y847" i="8" s="1"/>
  <c r="X847" i="8" a="1"/>
  <c r="X847" i="8" s="1"/>
  <c r="W847" i="8" a="1"/>
  <c r="W847" i="8" s="1"/>
  <c r="V847" i="8" a="1"/>
  <c r="V847" i="8" s="1"/>
  <c r="U847" i="8" a="1"/>
  <c r="U847" i="8" s="1"/>
  <c r="T847" i="8" a="1"/>
  <c r="T847" i="8" s="1"/>
  <c r="S847" i="8" a="1"/>
  <c r="S847" i="8" s="1"/>
  <c r="R847" i="8" a="1"/>
  <c r="R847" i="8" s="1"/>
  <c r="Q847" i="8" a="1"/>
  <c r="Q847" i="8" s="1"/>
  <c r="P847" i="8" a="1"/>
  <c r="P847" i="8" s="1"/>
  <c r="O847" i="8" a="1"/>
  <c r="O847" i="8" s="1"/>
  <c r="N847" i="8" a="1"/>
  <c r="N847" i="8" s="1"/>
  <c r="M847" i="8" a="1"/>
  <c r="M847" i="8" s="1"/>
  <c r="L847" i="8" a="1"/>
  <c r="L847" i="8" s="1"/>
  <c r="K847" i="8" a="1"/>
  <c r="K847" i="8" s="1"/>
  <c r="J847" i="8" a="1"/>
  <c r="J847" i="8" s="1"/>
  <c r="I847" i="8" a="1"/>
  <c r="I847" i="8" s="1"/>
  <c r="H847" i="8" a="1"/>
  <c r="H847" i="8" s="1"/>
  <c r="G847" i="8" a="1"/>
  <c r="G847" i="8" s="1"/>
  <c r="F847" i="8" a="1"/>
  <c r="F847" i="8" s="1"/>
  <c r="E847" i="8" a="1"/>
  <c r="E847" i="8" s="1"/>
  <c r="AB846" i="8" a="1"/>
  <c r="AB846" i="8" s="1"/>
  <c r="AA846" i="8" a="1"/>
  <c r="AA846" i="8" s="1"/>
  <c r="Z846" i="8" a="1"/>
  <c r="Z846" i="8" s="1"/>
  <c r="Y846" i="8" a="1"/>
  <c r="Y846" i="8" s="1"/>
  <c r="X846" i="8" a="1"/>
  <c r="X846" i="8" s="1"/>
  <c r="W846" i="8" a="1"/>
  <c r="W846" i="8" s="1"/>
  <c r="V846" i="8" a="1"/>
  <c r="V846" i="8" s="1"/>
  <c r="U846" i="8" a="1"/>
  <c r="U846" i="8" s="1"/>
  <c r="T846" i="8" a="1"/>
  <c r="T846" i="8" s="1"/>
  <c r="S846" i="8" a="1"/>
  <c r="S846" i="8" s="1"/>
  <c r="R846" i="8" a="1"/>
  <c r="R846" i="8" s="1"/>
  <c r="Q846" i="8" a="1"/>
  <c r="Q846" i="8" s="1"/>
  <c r="P846" i="8" a="1"/>
  <c r="P846" i="8" s="1"/>
  <c r="O846" i="8" a="1"/>
  <c r="O846" i="8" s="1"/>
  <c r="N846" i="8" a="1"/>
  <c r="N846" i="8" s="1"/>
  <c r="M846" i="8" a="1"/>
  <c r="M846" i="8" s="1"/>
  <c r="L846" i="8" a="1"/>
  <c r="L846" i="8" s="1"/>
  <c r="K846" i="8" a="1"/>
  <c r="K846" i="8" s="1"/>
  <c r="J846" i="8" a="1"/>
  <c r="J846" i="8" s="1"/>
  <c r="I846" i="8" a="1"/>
  <c r="I846" i="8" s="1"/>
  <c r="H846" i="8" a="1"/>
  <c r="H846" i="8" s="1"/>
  <c r="G846" i="8" a="1"/>
  <c r="G846" i="8" s="1"/>
  <c r="F846" i="8" a="1"/>
  <c r="F846" i="8" s="1"/>
  <c r="E846" i="8" a="1"/>
  <c r="E846" i="8" s="1"/>
  <c r="AB845" i="8" a="1"/>
  <c r="AB845" i="8" s="1"/>
  <c r="AA845" i="8" a="1"/>
  <c r="AA845" i="8" s="1"/>
  <c r="Z845" i="8" a="1"/>
  <c r="Z845" i="8" s="1"/>
  <c r="Y845" i="8" a="1"/>
  <c r="Y845" i="8" s="1"/>
  <c r="X845" i="8" a="1"/>
  <c r="X845" i="8" s="1"/>
  <c r="W845" i="8" a="1"/>
  <c r="W845" i="8" s="1"/>
  <c r="V845" i="8" a="1"/>
  <c r="V845" i="8" s="1"/>
  <c r="U845" i="8" a="1"/>
  <c r="U845" i="8" s="1"/>
  <c r="T845" i="8" a="1"/>
  <c r="T845" i="8" s="1"/>
  <c r="S845" i="8" a="1"/>
  <c r="S845" i="8" s="1"/>
  <c r="R845" i="8" a="1"/>
  <c r="R845" i="8" s="1"/>
  <c r="Q845" i="8" a="1"/>
  <c r="Q845" i="8" s="1"/>
  <c r="P845" i="8" a="1"/>
  <c r="P845" i="8" s="1"/>
  <c r="O845" i="8" a="1"/>
  <c r="O845" i="8" s="1"/>
  <c r="N845" i="8" a="1"/>
  <c r="N845" i="8" s="1"/>
  <c r="M845" i="8" a="1"/>
  <c r="M845" i="8" s="1"/>
  <c r="L845" i="8" a="1"/>
  <c r="L845" i="8" s="1"/>
  <c r="K845" i="8" a="1"/>
  <c r="K845" i="8" s="1"/>
  <c r="J845" i="8" a="1"/>
  <c r="J845" i="8" s="1"/>
  <c r="I845" i="8" a="1"/>
  <c r="I845" i="8" s="1"/>
  <c r="H845" i="8" a="1"/>
  <c r="H845" i="8" s="1"/>
  <c r="G845" i="8" a="1"/>
  <c r="G845" i="8" s="1"/>
  <c r="F845" i="8" a="1"/>
  <c r="F845" i="8" s="1"/>
  <c r="E845" i="8" a="1"/>
  <c r="E845" i="8" s="1"/>
  <c r="AB844" i="8" a="1"/>
  <c r="AB844" i="8" s="1"/>
  <c r="AA844" i="8" a="1"/>
  <c r="AA844" i="8" s="1"/>
  <c r="Z844" i="8" a="1"/>
  <c r="Z844" i="8" s="1"/>
  <c r="Y844" i="8" a="1"/>
  <c r="Y844" i="8" s="1"/>
  <c r="X844" i="8" a="1"/>
  <c r="X844" i="8" s="1"/>
  <c r="W844" i="8" a="1"/>
  <c r="W844" i="8" s="1"/>
  <c r="V844" i="8" a="1"/>
  <c r="V844" i="8" s="1"/>
  <c r="U844" i="8" a="1"/>
  <c r="U844" i="8" s="1"/>
  <c r="T844" i="8" a="1"/>
  <c r="T844" i="8" s="1"/>
  <c r="S844" i="8" a="1"/>
  <c r="S844" i="8" s="1"/>
  <c r="R844" i="8" a="1"/>
  <c r="R844" i="8" s="1"/>
  <c r="Q844" i="8" a="1"/>
  <c r="Q844" i="8" s="1"/>
  <c r="P844" i="8" a="1"/>
  <c r="P844" i="8" s="1"/>
  <c r="O844" i="8" a="1"/>
  <c r="O844" i="8" s="1"/>
  <c r="N844" i="8" a="1"/>
  <c r="N844" i="8" s="1"/>
  <c r="M844" i="8" a="1"/>
  <c r="M844" i="8" s="1"/>
  <c r="L844" i="8" a="1"/>
  <c r="L844" i="8" s="1"/>
  <c r="K844" i="8" a="1"/>
  <c r="K844" i="8" s="1"/>
  <c r="J844" i="8" a="1"/>
  <c r="J844" i="8" s="1"/>
  <c r="I844" i="8" a="1"/>
  <c r="I844" i="8" s="1"/>
  <c r="H844" i="8" a="1"/>
  <c r="H844" i="8" s="1"/>
  <c r="G844" i="8" a="1"/>
  <c r="G844" i="8" s="1"/>
  <c r="F844" i="8" a="1"/>
  <c r="F844" i="8" s="1"/>
  <c r="E844" i="8" a="1"/>
  <c r="E844" i="8" s="1"/>
  <c r="AB843" i="8" a="1"/>
  <c r="AB843" i="8" s="1"/>
  <c r="AA843" i="8" a="1"/>
  <c r="AA843" i="8" s="1"/>
  <c r="Z843" i="8" a="1"/>
  <c r="Z843" i="8" s="1"/>
  <c r="Y843" i="8" a="1"/>
  <c r="Y843" i="8" s="1"/>
  <c r="X843" i="8" a="1"/>
  <c r="X843" i="8" s="1"/>
  <c r="W843" i="8" a="1"/>
  <c r="W843" i="8" s="1"/>
  <c r="V843" i="8" a="1"/>
  <c r="V843" i="8" s="1"/>
  <c r="U843" i="8" a="1"/>
  <c r="U843" i="8" s="1"/>
  <c r="T843" i="8" a="1"/>
  <c r="T843" i="8" s="1"/>
  <c r="S843" i="8" a="1"/>
  <c r="S843" i="8" s="1"/>
  <c r="R843" i="8" a="1"/>
  <c r="R843" i="8" s="1"/>
  <c r="Q843" i="8" a="1"/>
  <c r="Q843" i="8" s="1"/>
  <c r="P843" i="8" a="1"/>
  <c r="P843" i="8" s="1"/>
  <c r="O843" i="8" a="1"/>
  <c r="O843" i="8" s="1"/>
  <c r="N843" i="8" a="1"/>
  <c r="N843" i="8" s="1"/>
  <c r="M843" i="8" a="1"/>
  <c r="M843" i="8" s="1"/>
  <c r="L843" i="8" a="1"/>
  <c r="L843" i="8" s="1"/>
  <c r="K843" i="8" a="1"/>
  <c r="K843" i="8" s="1"/>
  <c r="J843" i="8" a="1"/>
  <c r="J843" i="8" s="1"/>
  <c r="I843" i="8" a="1"/>
  <c r="I843" i="8" s="1"/>
  <c r="H843" i="8" a="1"/>
  <c r="H843" i="8" s="1"/>
  <c r="G843" i="8" a="1"/>
  <c r="G843" i="8" s="1"/>
  <c r="F843" i="8" a="1"/>
  <c r="F843" i="8" s="1"/>
  <c r="E843" i="8" a="1"/>
  <c r="E843" i="8" s="1"/>
  <c r="AB842" i="8" a="1"/>
  <c r="AB842" i="8" s="1"/>
  <c r="AA842" i="8" a="1"/>
  <c r="AA842" i="8" s="1"/>
  <c r="Z842" i="8" a="1"/>
  <c r="Z842" i="8" s="1"/>
  <c r="Y842" i="8" a="1"/>
  <c r="Y842" i="8" s="1"/>
  <c r="X842" i="8" a="1"/>
  <c r="X842" i="8" s="1"/>
  <c r="W842" i="8" a="1"/>
  <c r="W842" i="8" s="1"/>
  <c r="V842" i="8" a="1"/>
  <c r="V842" i="8" s="1"/>
  <c r="U842" i="8" a="1"/>
  <c r="U842" i="8" s="1"/>
  <c r="T842" i="8" a="1"/>
  <c r="T842" i="8" s="1"/>
  <c r="S842" i="8" a="1"/>
  <c r="S842" i="8" s="1"/>
  <c r="R842" i="8" a="1"/>
  <c r="R842" i="8" s="1"/>
  <c r="Q842" i="8" a="1"/>
  <c r="Q842" i="8" s="1"/>
  <c r="P842" i="8" a="1"/>
  <c r="P842" i="8" s="1"/>
  <c r="O842" i="8" a="1"/>
  <c r="O842" i="8" s="1"/>
  <c r="N842" i="8" a="1"/>
  <c r="N842" i="8" s="1"/>
  <c r="M842" i="8" a="1"/>
  <c r="M842" i="8" s="1"/>
  <c r="L842" i="8" a="1"/>
  <c r="L842" i="8" s="1"/>
  <c r="K842" i="8" a="1"/>
  <c r="K842" i="8" s="1"/>
  <c r="J842" i="8" a="1"/>
  <c r="J842" i="8" s="1"/>
  <c r="I842" i="8" a="1"/>
  <c r="I842" i="8" s="1"/>
  <c r="H842" i="8" a="1"/>
  <c r="H842" i="8" s="1"/>
  <c r="G842" i="8" a="1"/>
  <c r="G842" i="8" s="1"/>
  <c r="F842" i="8" a="1"/>
  <c r="F842" i="8" s="1"/>
  <c r="E842" i="8" a="1"/>
  <c r="E842" i="8" s="1"/>
  <c r="AB841" i="8" a="1"/>
  <c r="AB841" i="8" s="1"/>
  <c r="AA841" i="8" a="1"/>
  <c r="AA841" i="8" s="1"/>
  <c r="Z841" i="8" a="1"/>
  <c r="Z841" i="8" s="1"/>
  <c r="Y841" i="8" a="1"/>
  <c r="Y841" i="8" s="1"/>
  <c r="X841" i="8" a="1"/>
  <c r="X841" i="8" s="1"/>
  <c r="W841" i="8" a="1"/>
  <c r="W841" i="8" s="1"/>
  <c r="V841" i="8" a="1"/>
  <c r="V841" i="8" s="1"/>
  <c r="U841" i="8" a="1"/>
  <c r="U841" i="8" s="1"/>
  <c r="T841" i="8" a="1"/>
  <c r="T841" i="8" s="1"/>
  <c r="S841" i="8" a="1"/>
  <c r="S841" i="8" s="1"/>
  <c r="R841" i="8" a="1"/>
  <c r="R841" i="8" s="1"/>
  <c r="Q841" i="8" a="1"/>
  <c r="Q841" i="8" s="1"/>
  <c r="P841" i="8" a="1"/>
  <c r="P841" i="8" s="1"/>
  <c r="O841" i="8" a="1"/>
  <c r="O841" i="8" s="1"/>
  <c r="N841" i="8" a="1"/>
  <c r="N841" i="8" s="1"/>
  <c r="M841" i="8" a="1"/>
  <c r="M841" i="8" s="1"/>
  <c r="L841" i="8" a="1"/>
  <c r="L841" i="8" s="1"/>
  <c r="K841" i="8" a="1"/>
  <c r="K841" i="8" s="1"/>
  <c r="J841" i="8" a="1"/>
  <c r="J841" i="8" s="1"/>
  <c r="I841" i="8" a="1"/>
  <c r="I841" i="8" s="1"/>
  <c r="H841" i="8" a="1"/>
  <c r="H841" i="8" s="1"/>
  <c r="G841" i="8" a="1"/>
  <c r="G841" i="8" s="1"/>
  <c r="F841" i="8" a="1"/>
  <c r="F841" i="8" s="1"/>
  <c r="E841" i="8" a="1"/>
  <c r="E841" i="8" s="1"/>
  <c r="AB840" i="8" a="1"/>
  <c r="AB840" i="8" s="1"/>
  <c r="AA840" i="8" a="1"/>
  <c r="AA840" i="8" s="1"/>
  <c r="Z840" i="8" a="1"/>
  <c r="Z840" i="8" s="1"/>
  <c r="Y840" i="8" a="1"/>
  <c r="Y840" i="8" s="1"/>
  <c r="X840" i="8" a="1"/>
  <c r="X840" i="8" s="1"/>
  <c r="W840" i="8" a="1"/>
  <c r="W840" i="8" s="1"/>
  <c r="V840" i="8" a="1"/>
  <c r="V840" i="8" s="1"/>
  <c r="U840" i="8" a="1"/>
  <c r="U840" i="8" s="1"/>
  <c r="T840" i="8" a="1"/>
  <c r="T840" i="8" s="1"/>
  <c r="S840" i="8" a="1"/>
  <c r="S840" i="8" s="1"/>
  <c r="R840" i="8" a="1"/>
  <c r="R840" i="8" s="1"/>
  <c r="Q840" i="8" a="1"/>
  <c r="Q840" i="8" s="1"/>
  <c r="P840" i="8" a="1"/>
  <c r="P840" i="8" s="1"/>
  <c r="O840" i="8" a="1"/>
  <c r="O840" i="8" s="1"/>
  <c r="N840" i="8" a="1"/>
  <c r="N840" i="8" s="1"/>
  <c r="M840" i="8" a="1"/>
  <c r="M840" i="8" s="1"/>
  <c r="L840" i="8" a="1"/>
  <c r="L840" i="8" s="1"/>
  <c r="K840" i="8" a="1"/>
  <c r="K840" i="8" s="1"/>
  <c r="J840" i="8" a="1"/>
  <c r="J840" i="8" s="1"/>
  <c r="I840" i="8" a="1"/>
  <c r="I840" i="8" s="1"/>
  <c r="H840" i="8" a="1"/>
  <c r="H840" i="8" s="1"/>
  <c r="G840" i="8" a="1"/>
  <c r="G840" i="8" s="1"/>
  <c r="F840" i="8" a="1"/>
  <c r="F840" i="8" s="1"/>
  <c r="E840" i="8" a="1"/>
  <c r="E840" i="8" s="1"/>
  <c r="AB839" i="8" a="1"/>
  <c r="AB839" i="8" s="1"/>
  <c r="AA839" i="8" a="1"/>
  <c r="AA839" i="8" s="1"/>
  <c r="Z839" i="8" a="1"/>
  <c r="Z839" i="8" s="1"/>
  <c r="Y839" i="8" a="1"/>
  <c r="Y839" i="8" s="1"/>
  <c r="X839" i="8" a="1"/>
  <c r="X839" i="8" s="1"/>
  <c r="W839" i="8" a="1"/>
  <c r="W839" i="8" s="1"/>
  <c r="V839" i="8" a="1"/>
  <c r="V839" i="8" s="1"/>
  <c r="U839" i="8" a="1"/>
  <c r="U839" i="8" s="1"/>
  <c r="T839" i="8" a="1"/>
  <c r="T839" i="8" s="1"/>
  <c r="S839" i="8" a="1"/>
  <c r="S839" i="8" s="1"/>
  <c r="R839" i="8" a="1"/>
  <c r="R839" i="8" s="1"/>
  <c r="Q839" i="8" a="1"/>
  <c r="Q839" i="8" s="1"/>
  <c r="P839" i="8" a="1"/>
  <c r="P839" i="8" s="1"/>
  <c r="O839" i="8" a="1"/>
  <c r="O839" i="8" s="1"/>
  <c r="N839" i="8" a="1"/>
  <c r="N839" i="8" s="1"/>
  <c r="M839" i="8" a="1"/>
  <c r="M839" i="8" s="1"/>
  <c r="L839" i="8" a="1"/>
  <c r="L839" i="8" s="1"/>
  <c r="K839" i="8" a="1"/>
  <c r="K839" i="8" s="1"/>
  <c r="J839" i="8" a="1"/>
  <c r="J839" i="8" s="1"/>
  <c r="I839" i="8" a="1"/>
  <c r="I839" i="8" s="1"/>
  <c r="H839" i="8" a="1"/>
  <c r="H839" i="8" s="1"/>
  <c r="G839" i="8" a="1"/>
  <c r="G839" i="8" s="1"/>
  <c r="F839" i="8" a="1"/>
  <c r="F839" i="8" s="1"/>
  <c r="E839" i="8" a="1"/>
  <c r="E839" i="8" s="1"/>
  <c r="AB838" i="8" a="1"/>
  <c r="AB838" i="8" s="1"/>
  <c r="AA838" i="8" a="1"/>
  <c r="AA838" i="8" s="1"/>
  <c r="Z838" i="8" a="1"/>
  <c r="Z838" i="8" s="1"/>
  <c r="Y838" i="8" a="1"/>
  <c r="Y838" i="8" s="1"/>
  <c r="X838" i="8" a="1"/>
  <c r="X838" i="8" s="1"/>
  <c r="W838" i="8" a="1"/>
  <c r="W838" i="8" s="1"/>
  <c r="V838" i="8" a="1"/>
  <c r="V838" i="8" s="1"/>
  <c r="U838" i="8" a="1"/>
  <c r="U838" i="8" s="1"/>
  <c r="T838" i="8" a="1"/>
  <c r="T838" i="8" s="1"/>
  <c r="S838" i="8" a="1"/>
  <c r="S838" i="8" s="1"/>
  <c r="R838" i="8" a="1"/>
  <c r="R838" i="8" s="1"/>
  <c r="Q838" i="8" a="1"/>
  <c r="Q838" i="8" s="1"/>
  <c r="P838" i="8" a="1"/>
  <c r="P838" i="8" s="1"/>
  <c r="O838" i="8" a="1"/>
  <c r="O838" i="8" s="1"/>
  <c r="N838" i="8" a="1"/>
  <c r="N838" i="8" s="1"/>
  <c r="M838" i="8" a="1"/>
  <c r="M838" i="8" s="1"/>
  <c r="L838" i="8" a="1"/>
  <c r="L838" i="8" s="1"/>
  <c r="K838" i="8" a="1"/>
  <c r="K838" i="8" s="1"/>
  <c r="J838" i="8" a="1"/>
  <c r="J838" i="8" s="1"/>
  <c r="I838" i="8" a="1"/>
  <c r="I838" i="8" s="1"/>
  <c r="H838" i="8" a="1"/>
  <c r="H838" i="8" s="1"/>
  <c r="G838" i="8" a="1"/>
  <c r="G838" i="8" s="1"/>
  <c r="F838" i="8" a="1"/>
  <c r="F838" i="8" s="1"/>
  <c r="E838" i="8" a="1"/>
  <c r="E838" i="8" s="1"/>
  <c r="AB837" i="8" a="1"/>
  <c r="AB837" i="8" s="1"/>
  <c r="AA837" i="8" a="1"/>
  <c r="AA837" i="8" s="1"/>
  <c r="Z837" i="8" a="1"/>
  <c r="Z837" i="8" s="1"/>
  <c r="Y837" i="8" a="1"/>
  <c r="Y837" i="8" s="1"/>
  <c r="X837" i="8" a="1"/>
  <c r="X837" i="8" s="1"/>
  <c r="W837" i="8" a="1"/>
  <c r="W837" i="8" s="1"/>
  <c r="V837" i="8" a="1"/>
  <c r="V837" i="8" s="1"/>
  <c r="U837" i="8" a="1"/>
  <c r="U837" i="8" s="1"/>
  <c r="T837" i="8" a="1"/>
  <c r="T837" i="8" s="1"/>
  <c r="S837" i="8" a="1"/>
  <c r="S837" i="8" s="1"/>
  <c r="R837" i="8" a="1"/>
  <c r="R837" i="8" s="1"/>
  <c r="Q837" i="8" a="1"/>
  <c r="Q837" i="8" s="1"/>
  <c r="P837" i="8" a="1"/>
  <c r="P837" i="8" s="1"/>
  <c r="O837" i="8" a="1"/>
  <c r="O837" i="8" s="1"/>
  <c r="N837" i="8" a="1"/>
  <c r="N837" i="8" s="1"/>
  <c r="M837" i="8" a="1"/>
  <c r="M837" i="8" s="1"/>
  <c r="L837" i="8" a="1"/>
  <c r="L837" i="8" s="1"/>
  <c r="K837" i="8" a="1"/>
  <c r="K837" i="8" s="1"/>
  <c r="J837" i="8" a="1"/>
  <c r="J837" i="8" s="1"/>
  <c r="I837" i="8" a="1"/>
  <c r="I837" i="8" s="1"/>
  <c r="H837" i="8" a="1"/>
  <c r="H837" i="8" s="1"/>
  <c r="G837" i="8" a="1"/>
  <c r="G837" i="8" s="1"/>
  <c r="F837" i="8" a="1"/>
  <c r="F837" i="8" s="1"/>
  <c r="E837" i="8" a="1"/>
  <c r="E837" i="8" s="1"/>
  <c r="AB836" i="8" a="1"/>
  <c r="AB836" i="8" s="1"/>
  <c r="AA836" i="8" a="1"/>
  <c r="AA836" i="8" s="1"/>
  <c r="Z836" i="8" a="1"/>
  <c r="Z836" i="8" s="1"/>
  <c r="Y836" i="8" a="1"/>
  <c r="Y836" i="8" s="1"/>
  <c r="X836" i="8" a="1"/>
  <c r="X836" i="8" s="1"/>
  <c r="W836" i="8" a="1"/>
  <c r="W836" i="8" s="1"/>
  <c r="V836" i="8" a="1"/>
  <c r="V836" i="8" s="1"/>
  <c r="U836" i="8" a="1"/>
  <c r="U836" i="8" s="1"/>
  <c r="T836" i="8" a="1"/>
  <c r="T836" i="8" s="1"/>
  <c r="S836" i="8" a="1"/>
  <c r="S836" i="8" s="1"/>
  <c r="R836" i="8" a="1"/>
  <c r="R836" i="8" s="1"/>
  <c r="Q836" i="8" a="1"/>
  <c r="Q836" i="8" s="1"/>
  <c r="P836" i="8" a="1"/>
  <c r="P836" i="8" s="1"/>
  <c r="O836" i="8" a="1"/>
  <c r="O836" i="8" s="1"/>
  <c r="N836" i="8" a="1"/>
  <c r="N836" i="8" s="1"/>
  <c r="M836" i="8" a="1"/>
  <c r="M836" i="8" s="1"/>
  <c r="L836" i="8" a="1"/>
  <c r="L836" i="8" s="1"/>
  <c r="K836" i="8" a="1"/>
  <c r="K836" i="8" s="1"/>
  <c r="J836" i="8" a="1"/>
  <c r="J836" i="8" s="1"/>
  <c r="I836" i="8" a="1"/>
  <c r="I836" i="8" s="1"/>
  <c r="H836" i="8" a="1"/>
  <c r="H836" i="8" s="1"/>
  <c r="G836" i="8" a="1"/>
  <c r="G836" i="8" s="1"/>
  <c r="F836" i="8" a="1"/>
  <c r="F836" i="8" s="1"/>
  <c r="E836" i="8" a="1"/>
  <c r="E836" i="8" s="1"/>
  <c r="AB835" i="8" a="1"/>
  <c r="AB835" i="8" s="1"/>
  <c r="AA835" i="8" a="1"/>
  <c r="AA835" i="8" s="1"/>
  <c r="Z835" i="8" a="1"/>
  <c r="Z835" i="8" s="1"/>
  <c r="Y835" i="8" a="1"/>
  <c r="Y835" i="8" s="1"/>
  <c r="X835" i="8" a="1"/>
  <c r="X835" i="8" s="1"/>
  <c r="W835" i="8" a="1"/>
  <c r="W835" i="8" s="1"/>
  <c r="V835" i="8" a="1"/>
  <c r="V835" i="8" s="1"/>
  <c r="U835" i="8" a="1"/>
  <c r="U835" i="8" s="1"/>
  <c r="T835" i="8" a="1"/>
  <c r="T835" i="8" s="1"/>
  <c r="S835" i="8" a="1"/>
  <c r="S835" i="8" s="1"/>
  <c r="R835" i="8" a="1"/>
  <c r="R835" i="8" s="1"/>
  <c r="Q835" i="8" a="1"/>
  <c r="Q835" i="8" s="1"/>
  <c r="P835" i="8" a="1"/>
  <c r="P835" i="8" s="1"/>
  <c r="O835" i="8" a="1"/>
  <c r="O835" i="8" s="1"/>
  <c r="N835" i="8" a="1"/>
  <c r="N835" i="8" s="1"/>
  <c r="M835" i="8" a="1"/>
  <c r="M835" i="8" s="1"/>
  <c r="L835" i="8" a="1"/>
  <c r="L835" i="8" s="1"/>
  <c r="K835" i="8" a="1"/>
  <c r="K835" i="8" s="1"/>
  <c r="J835" i="8" a="1"/>
  <c r="J835" i="8" s="1"/>
  <c r="I835" i="8" a="1"/>
  <c r="I835" i="8" s="1"/>
  <c r="H835" i="8" a="1"/>
  <c r="H835" i="8" s="1"/>
  <c r="G835" i="8" a="1"/>
  <c r="G835" i="8" s="1"/>
  <c r="F835" i="8" a="1"/>
  <c r="F835" i="8" s="1"/>
  <c r="E835" i="8" a="1"/>
  <c r="E835" i="8" s="1"/>
  <c r="AB834" i="8" a="1"/>
  <c r="AB834" i="8" s="1"/>
  <c r="AA834" i="8" a="1"/>
  <c r="AA834" i="8" s="1"/>
  <c r="Z834" i="8" a="1"/>
  <c r="Z834" i="8" s="1"/>
  <c r="Y834" i="8" a="1"/>
  <c r="Y834" i="8" s="1"/>
  <c r="X834" i="8" a="1"/>
  <c r="X834" i="8" s="1"/>
  <c r="W834" i="8" a="1"/>
  <c r="W834" i="8" s="1"/>
  <c r="V834" i="8" a="1"/>
  <c r="V834" i="8" s="1"/>
  <c r="U834" i="8" a="1"/>
  <c r="U834" i="8" s="1"/>
  <c r="T834" i="8" a="1"/>
  <c r="T834" i="8" s="1"/>
  <c r="S834" i="8" a="1"/>
  <c r="S834" i="8" s="1"/>
  <c r="R834" i="8" a="1"/>
  <c r="R834" i="8" s="1"/>
  <c r="Q834" i="8" a="1"/>
  <c r="Q834" i="8" s="1"/>
  <c r="P834" i="8" a="1"/>
  <c r="P834" i="8" s="1"/>
  <c r="O834" i="8" a="1"/>
  <c r="O834" i="8" s="1"/>
  <c r="N834" i="8" a="1"/>
  <c r="N834" i="8" s="1"/>
  <c r="M834" i="8" a="1"/>
  <c r="M834" i="8" s="1"/>
  <c r="L834" i="8" a="1"/>
  <c r="L834" i="8" s="1"/>
  <c r="K834" i="8" a="1"/>
  <c r="K834" i="8" s="1"/>
  <c r="J834" i="8" a="1"/>
  <c r="J834" i="8" s="1"/>
  <c r="I834" i="8" a="1"/>
  <c r="I834" i="8" s="1"/>
  <c r="H834" i="8" a="1"/>
  <c r="H834" i="8" s="1"/>
  <c r="G834" i="8" a="1"/>
  <c r="G834" i="8" s="1"/>
  <c r="F834" i="8" a="1"/>
  <c r="F834" i="8" s="1"/>
  <c r="E834" i="8" a="1"/>
  <c r="E834" i="8" s="1"/>
  <c r="AB833" i="8" a="1"/>
  <c r="AB833" i="8" s="1"/>
  <c r="AA833" i="8" a="1"/>
  <c r="AA833" i="8" s="1"/>
  <c r="Z833" i="8" a="1"/>
  <c r="Z833" i="8" s="1"/>
  <c r="Y833" i="8" a="1"/>
  <c r="Y833" i="8" s="1"/>
  <c r="X833" i="8" a="1"/>
  <c r="X833" i="8" s="1"/>
  <c r="W833" i="8" a="1"/>
  <c r="W833" i="8" s="1"/>
  <c r="V833" i="8" a="1"/>
  <c r="V833" i="8" s="1"/>
  <c r="U833" i="8" a="1"/>
  <c r="U833" i="8" s="1"/>
  <c r="T833" i="8" a="1"/>
  <c r="T833" i="8" s="1"/>
  <c r="S833" i="8" a="1"/>
  <c r="S833" i="8" s="1"/>
  <c r="R833" i="8" a="1"/>
  <c r="R833" i="8" s="1"/>
  <c r="Q833" i="8" a="1"/>
  <c r="Q833" i="8" s="1"/>
  <c r="P833" i="8" a="1"/>
  <c r="P833" i="8" s="1"/>
  <c r="O833" i="8" a="1"/>
  <c r="O833" i="8" s="1"/>
  <c r="N833" i="8" a="1"/>
  <c r="N833" i="8" s="1"/>
  <c r="M833" i="8" a="1"/>
  <c r="M833" i="8" s="1"/>
  <c r="L833" i="8" a="1"/>
  <c r="L833" i="8" s="1"/>
  <c r="K833" i="8" a="1"/>
  <c r="K833" i="8" s="1"/>
  <c r="J833" i="8" a="1"/>
  <c r="J833" i="8" s="1"/>
  <c r="I833" i="8" a="1"/>
  <c r="I833" i="8" s="1"/>
  <c r="H833" i="8" a="1"/>
  <c r="H833" i="8" s="1"/>
  <c r="G833" i="8" a="1"/>
  <c r="G833" i="8" s="1"/>
  <c r="F833" i="8" a="1"/>
  <c r="F833" i="8" s="1"/>
  <c r="E833" i="8" a="1"/>
  <c r="E833" i="8" s="1"/>
  <c r="AB832" i="8" a="1"/>
  <c r="AB832" i="8" s="1"/>
  <c r="AA832" i="8" a="1"/>
  <c r="AA832" i="8" s="1"/>
  <c r="Z832" i="8" a="1"/>
  <c r="Z832" i="8" s="1"/>
  <c r="Y832" i="8" a="1"/>
  <c r="Y832" i="8" s="1"/>
  <c r="X832" i="8" a="1"/>
  <c r="X832" i="8" s="1"/>
  <c r="W832" i="8" a="1"/>
  <c r="W832" i="8" s="1"/>
  <c r="V832" i="8" a="1"/>
  <c r="V832" i="8" s="1"/>
  <c r="U832" i="8" a="1"/>
  <c r="U832" i="8" s="1"/>
  <c r="T832" i="8" a="1"/>
  <c r="T832" i="8" s="1"/>
  <c r="S832" i="8" a="1"/>
  <c r="S832" i="8" s="1"/>
  <c r="R832" i="8" a="1"/>
  <c r="R832" i="8" s="1"/>
  <c r="Q832" i="8" a="1"/>
  <c r="Q832" i="8" s="1"/>
  <c r="P832" i="8" a="1"/>
  <c r="P832" i="8" s="1"/>
  <c r="O832" i="8" a="1"/>
  <c r="O832" i="8" s="1"/>
  <c r="N832" i="8" a="1"/>
  <c r="N832" i="8" s="1"/>
  <c r="M832" i="8" a="1"/>
  <c r="M832" i="8" s="1"/>
  <c r="L832" i="8" a="1"/>
  <c r="L832" i="8" s="1"/>
  <c r="K832" i="8" a="1"/>
  <c r="K832" i="8" s="1"/>
  <c r="J832" i="8" a="1"/>
  <c r="J832" i="8" s="1"/>
  <c r="I832" i="8" a="1"/>
  <c r="I832" i="8" s="1"/>
  <c r="H832" i="8" a="1"/>
  <c r="H832" i="8" s="1"/>
  <c r="G832" i="8" a="1"/>
  <c r="G832" i="8" s="1"/>
  <c r="F832" i="8" a="1"/>
  <c r="F832" i="8" s="1"/>
  <c r="E832" i="8" a="1"/>
  <c r="E832" i="8" s="1"/>
  <c r="AB831" i="8" a="1"/>
  <c r="AB831" i="8" s="1"/>
  <c r="AA831" i="8" a="1"/>
  <c r="AA831" i="8" s="1"/>
  <c r="Z831" i="8" a="1"/>
  <c r="Z831" i="8" s="1"/>
  <c r="Y831" i="8" a="1"/>
  <c r="Y831" i="8" s="1"/>
  <c r="X831" i="8" a="1"/>
  <c r="X831" i="8" s="1"/>
  <c r="W831" i="8" a="1"/>
  <c r="W831" i="8" s="1"/>
  <c r="V831" i="8" a="1"/>
  <c r="V831" i="8" s="1"/>
  <c r="U831" i="8" a="1"/>
  <c r="U831" i="8" s="1"/>
  <c r="T831" i="8" a="1"/>
  <c r="T831" i="8" s="1"/>
  <c r="S831" i="8" a="1"/>
  <c r="S831" i="8" s="1"/>
  <c r="R831" i="8" a="1"/>
  <c r="R831" i="8" s="1"/>
  <c r="Q831" i="8" a="1"/>
  <c r="Q831" i="8" s="1"/>
  <c r="P831" i="8" a="1"/>
  <c r="P831" i="8" s="1"/>
  <c r="O831" i="8" a="1"/>
  <c r="O831" i="8" s="1"/>
  <c r="N831" i="8" a="1"/>
  <c r="N831" i="8" s="1"/>
  <c r="M831" i="8" a="1"/>
  <c r="M831" i="8" s="1"/>
  <c r="L831" i="8" a="1"/>
  <c r="L831" i="8" s="1"/>
  <c r="K831" i="8" a="1"/>
  <c r="K831" i="8" s="1"/>
  <c r="J831" i="8" a="1"/>
  <c r="J831" i="8" s="1"/>
  <c r="I831" i="8" a="1"/>
  <c r="I831" i="8" s="1"/>
  <c r="H831" i="8" a="1"/>
  <c r="H831" i="8" s="1"/>
  <c r="G831" i="8" a="1"/>
  <c r="G831" i="8" s="1"/>
  <c r="F831" i="8" a="1"/>
  <c r="F831" i="8" s="1"/>
  <c r="E831" i="8" a="1"/>
  <c r="E831" i="8" s="1"/>
  <c r="AB830" i="8" a="1"/>
  <c r="AB830" i="8" s="1"/>
  <c r="AA830" i="8" a="1"/>
  <c r="AA830" i="8" s="1"/>
  <c r="Z830" i="8" a="1"/>
  <c r="Z830" i="8" s="1"/>
  <c r="Y830" i="8" a="1"/>
  <c r="Y830" i="8" s="1"/>
  <c r="X830" i="8" a="1"/>
  <c r="X830" i="8" s="1"/>
  <c r="W830" i="8" a="1"/>
  <c r="W830" i="8" s="1"/>
  <c r="V830" i="8" a="1"/>
  <c r="V830" i="8" s="1"/>
  <c r="U830" i="8" a="1"/>
  <c r="U830" i="8" s="1"/>
  <c r="T830" i="8" a="1"/>
  <c r="T830" i="8" s="1"/>
  <c r="S830" i="8" a="1"/>
  <c r="S830" i="8" s="1"/>
  <c r="R830" i="8" a="1"/>
  <c r="R830" i="8" s="1"/>
  <c r="Q830" i="8" a="1"/>
  <c r="Q830" i="8" s="1"/>
  <c r="P830" i="8" a="1"/>
  <c r="P830" i="8" s="1"/>
  <c r="O830" i="8" a="1"/>
  <c r="O830" i="8" s="1"/>
  <c r="N830" i="8" a="1"/>
  <c r="N830" i="8" s="1"/>
  <c r="M830" i="8" a="1"/>
  <c r="M830" i="8" s="1"/>
  <c r="L830" i="8" a="1"/>
  <c r="L830" i="8" s="1"/>
  <c r="K830" i="8" a="1"/>
  <c r="K830" i="8" s="1"/>
  <c r="J830" i="8" a="1"/>
  <c r="J830" i="8" s="1"/>
  <c r="I830" i="8" a="1"/>
  <c r="I830" i="8" s="1"/>
  <c r="H830" i="8" a="1"/>
  <c r="H830" i="8" s="1"/>
  <c r="G830" i="8" a="1"/>
  <c r="G830" i="8" s="1"/>
  <c r="F830" i="8" a="1"/>
  <c r="F830" i="8" s="1"/>
  <c r="E830" i="8" a="1"/>
  <c r="E830" i="8" s="1"/>
  <c r="AB829" i="8" a="1"/>
  <c r="AB829" i="8" s="1"/>
  <c r="AA829" i="8" a="1"/>
  <c r="AA829" i="8" s="1"/>
  <c r="Z829" i="8" a="1"/>
  <c r="Z829" i="8" s="1"/>
  <c r="Y829" i="8" a="1"/>
  <c r="Y829" i="8" s="1"/>
  <c r="X829" i="8" a="1"/>
  <c r="X829" i="8" s="1"/>
  <c r="W829" i="8" a="1"/>
  <c r="W829" i="8" s="1"/>
  <c r="V829" i="8" a="1"/>
  <c r="V829" i="8" s="1"/>
  <c r="U829" i="8" a="1"/>
  <c r="U829" i="8" s="1"/>
  <c r="T829" i="8" a="1"/>
  <c r="T829" i="8" s="1"/>
  <c r="S829" i="8" a="1"/>
  <c r="S829" i="8" s="1"/>
  <c r="R829" i="8" a="1"/>
  <c r="R829" i="8" s="1"/>
  <c r="Q829" i="8" a="1"/>
  <c r="Q829" i="8" s="1"/>
  <c r="P829" i="8" a="1"/>
  <c r="P829" i="8" s="1"/>
  <c r="O829" i="8" a="1"/>
  <c r="O829" i="8" s="1"/>
  <c r="N829" i="8" a="1"/>
  <c r="N829" i="8" s="1"/>
  <c r="M829" i="8" a="1"/>
  <c r="M829" i="8" s="1"/>
  <c r="L829" i="8" a="1"/>
  <c r="L829" i="8" s="1"/>
  <c r="K829" i="8" a="1"/>
  <c r="K829" i="8" s="1"/>
  <c r="J829" i="8" a="1"/>
  <c r="J829" i="8" s="1"/>
  <c r="I829" i="8" a="1"/>
  <c r="I829" i="8" s="1"/>
  <c r="H829" i="8" a="1"/>
  <c r="H829" i="8" s="1"/>
  <c r="G829" i="8" a="1"/>
  <c r="G829" i="8" s="1"/>
  <c r="F829" i="8" a="1"/>
  <c r="F829" i="8" s="1"/>
  <c r="E829" i="8" a="1"/>
  <c r="E829" i="8" s="1"/>
  <c r="AB828" i="8" a="1"/>
  <c r="AB828" i="8" s="1"/>
  <c r="AA828" i="8" a="1"/>
  <c r="AA828" i="8" s="1"/>
  <c r="Z828" i="8" a="1"/>
  <c r="Z828" i="8" s="1"/>
  <c r="Y828" i="8" a="1"/>
  <c r="Y828" i="8" s="1"/>
  <c r="X828" i="8" a="1"/>
  <c r="X828" i="8" s="1"/>
  <c r="W828" i="8" a="1"/>
  <c r="W828" i="8" s="1"/>
  <c r="V828" i="8" a="1"/>
  <c r="V828" i="8" s="1"/>
  <c r="U828" i="8" a="1"/>
  <c r="U828" i="8" s="1"/>
  <c r="T828" i="8" a="1"/>
  <c r="T828" i="8" s="1"/>
  <c r="S828" i="8" a="1"/>
  <c r="S828" i="8" s="1"/>
  <c r="R828" i="8" a="1"/>
  <c r="R828" i="8" s="1"/>
  <c r="Q828" i="8" a="1"/>
  <c r="Q828" i="8" s="1"/>
  <c r="P828" i="8" a="1"/>
  <c r="P828" i="8" s="1"/>
  <c r="O828" i="8" a="1"/>
  <c r="O828" i="8" s="1"/>
  <c r="N828" i="8" a="1"/>
  <c r="N828" i="8" s="1"/>
  <c r="M828" i="8" a="1"/>
  <c r="M828" i="8" s="1"/>
  <c r="L828" i="8" a="1"/>
  <c r="L828" i="8" s="1"/>
  <c r="K828" i="8" a="1"/>
  <c r="K828" i="8" s="1"/>
  <c r="J828" i="8" a="1"/>
  <c r="J828" i="8" s="1"/>
  <c r="I828" i="8" a="1"/>
  <c r="I828" i="8" s="1"/>
  <c r="H828" i="8" a="1"/>
  <c r="H828" i="8" s="1"/>
  <c r="G828" i="8" a="1"/>
  <c r="G828" i="8" s="1"/>
  <c r="F828" i="8" a="1"/>
  <c r="F828" i="8" s="1"/>
  <c r="E828" i="8" a="1"/>
  <c r="E828" i="8" s="1"/>
  <c r="AB827" i="8" a="1"/>
  <c r="AB827" i="8" s="1"/>
  <c r="AA827" i="8" a="1"/>
  <c r="AA827" i="8" s="1"/>
  <c r="Z827" i="8" a="1"/>
  <c r="Z827" i="8" s="1"/>
  <c r="Y827" i="8" a="1"/>
  <c r="Y827" i="8" s="1"/>
  <c r="X827" i="8" a="1"/>
  <c r="X827" i="8" s="1"/>
  <c r="W827" i="8" a="1"/>
  <c r="W827" i="8" s="1"/>
  <c r="V827" i="8" a="1"/>
  <c r="V827" i="8" s="1"/>
  <c r="U827" i="8" a="1"/>
  <c r="U827" i="8" s="1"/>
  <c r="T827" i="8" a="1"/>
  <c r="T827" i="8" s="1"/>
  <c r="S827" i="8" a="1"/>
  <c r="S827" i="8" s="1"/>
  <c r="R827" i="8" a="1"/>
  <c r="R827" i="8" s="1"/>
  <c r="Q827" i="8" a="1"/>
  <c r="Q827" i="8" s="1"/>
  <c r="P827" i="8" a="1"/>
  <c r="P827" i="8" s="1"/>
  <c r="O827" i="8" a="1"/>
  <c r="O827" i="8" s="1"/>
  <c r="N827" i="8" a="1"/>
  <c r="N827" i="8" s="1"/>
  <c r="M827" i="8" a="1"/>
  <c r="M827" i="8" s="1"/>
  <c r="L827" i="8" a="1"/>
  <c r="L827" i="8" s="1"/>
  <c r="K827" i="8" a="1"/>
  <c r="K827" i="8" s="1"/>
  <c r="J827" i="8" a="1"/>
  <c r="J827" i="8" s="1"/>
  <c r="I827" i="8" a="1"/>
  <c r="I827" i="8" s="1"/>
  <c r="H827" i="8" a="1"/>
  <c r="H827" i="8" s="1"/>
  <c r="G827" i="8" a="1"/>
  <c r="G827" i="8" s="1"/>
  <c r="F827" i="8" a="1"/>
  <c r="F827" i="8" s="1"/>
  <c r="E827" i="8" a="1"/>
  <c r="E827" i="8" s="1"/>
  <c r="AB826" i="8" a="1"/>
  <c r="AB826" i="8" s="1"/>
  <c r="AA826" i="8" a="1"/>
  <c r="AA826" i="8" s="1"/>
  <c r="Z826" i="8" a="1"/>
  <c r="Z826" i="8" s="1"/>
  <c r="Y826" i="8" a="1"/>
  <c r="Y826" i="8" s="1"/>
  <c r="X826" i="8" a="1"/>
  <c r="X826" i="8" s="1"/>
  <c r="W826" i="8" a="1"/>
  <c r="W826" i="8" s="1"/>
  <c r="V826" i="8" a="1"/>
  <c r="V826" i="8" s="1"/>
  <c r="U826" i="8" a="1"/>
  <c r="U826" i="8" s="1"/>
  <c r="T826" i="8" a="1"/>
  <c r="T826" i="8" s="1"/>
  <c r="S826" i="8" a="1"/>
  <c r="S826" i="8" s="1"/>
  <c r="R826" i="8" a="1"/>
  <c r="R826" i="8" s="1"/>
  <c r="Q826" i="8" a="1"/>
  <c r="Q826" i="8" s="1"/>
  <c r="P826" i="8" a="1"/>
  <c r="P826" i="8" s="1"/>
  <c r="O826" i="8" a="1"/>
  <c r="O826" i="8" s="1"/>
  <c r="N826" i="8" a="1"/>
  <c r="N826" i="8" s="1"/>
  <c r="M826" i="8" a="1"/>
  <c r="M826" i="8" s="1"/>
  <c r="L826" i="8" a="1"/>
  <c r="L826" i="8" s="1"/>
  <c r="K826" i="8" a="1"/>
  <c r="K826" i="8" s="1"/>
  <c r="J826" i="8" a="1"/>
  <c r="J826" i="8" s="1"/>
  <c r="I826" i="8" a="1"/>
  <c r="I826" i="8" s="1"/>
  <c r="H826" i="8" a="1"/>
  <c r="H826" i="8" s="1"/>
  <c r="G826" i="8" a="1"/>
  <c r="G826" i="8" s="1"/>
  <c r="F826" i="8" a="1"/>
  <c r="F826" i="8" s="1"/>
  <c r="E826" i="8" a="1"/>
  <c r="E826" i="8" s="1"/>
  <c r="AB825" i="8" a="1"/>
  <c r="AB825" i="8" s="1"/>
  <c r="AA825" i="8" a="1"/>
  <c r="AA825" i="8" s="1"/>
  <c r="Z825" i="8" a="1"/>
  <c r="Z825" i="8" s="1"/>
  <c r="Y825" i="8" a="1"/>
  <c r="Y825" i="8" s="1"/>
  <c r="X825" i="8" a="1"/>
  <c r="X825" i="8" s="1"/>
  <c r="W825" i="8" a="1"/>
  <c r="W825" i="8" s="1"/>
  <c r="V825" i="8" a="1"/>
  <c r="V825" i="8" s="1"/>
  <c r="U825" i="8" a="1"/>
  <c r="U825" i="8" s="1"/>
  <c r="T825" i="8" a="1"/>
  <c r="T825" i="8" s="1"/>
  <c r="S825" i="8" a="1"/>
  <c r="S825" i="8" s="1"/>
  <c r="R825" i="8" a="1"/>
  <c r="R825" i="8" s="1"/>
  <c r="Q825" i="8" a="1"/>
  <c r="Q825" i="8" s="1"/>
  <c r="P825" i="8" a="1"/>
  <c r="P825" i="8" s="1"/>
  <c r="O825" i="8" a="1"/>
  <c r="O825" i="8" s="1"/>
  <c r="N825" i="8" a="1"/>
  <c r="N825" i="8" s="1"/>
  <c r="M825" i="8" a="1"/>
  <c r="M825" i="8" s="1"/>
  <c r="L825" i="8" a="1"/>
  <c r="L825" i="8" s="1"/>
  <c r="K825" i="8" a="1"/>
  <c r="K825" i="8" s="1"/>
  <c r="J825" i="8" a="1"/>
  <c r="J825" i="8" s="1"/>
  <c r="I825" i="8" a="1"/>
  <c r="I825" i="8" s="1"/>
  <c r="H825" i="8" a="1"/>
  <c r="H825" i="8" s="1"/>
  <c r="G825" i="8" a="1"/>
  <c r="G825" i="8" s="1"/>
  <c r="F825" i="8" a="1"/>
  <c r="F825" i="8" s="1"/>
  <c r="E825" i="8" a="1"/>
  <c r="E825" i="8" s="1"/>
  <c r="AB824" i="8" a="1"/>
  <c r="AB824" i="8" s="1"/>
  <c r="AA824" i="8" a="1"/>
  <c r="AA824" i="8" s="1"/>
  <c r="Z824" i="8" a="1"/>
  <c r="Z824" i="8" s="1"/>
  <c r="Y824" i="8" a="1"/>
  <c r="Y824" i="8" s="1"/>
  <c r="X824" i="8" a="1"/>
  <c r="X824" i="8" s="1"/>
  <c r="W824" i="8" a="1"/>
  <c r="W824" i="8" s="1"/>
  <c r="V824" i="8" a="1"/>
  <c r="V824" i="8" s="1"/>
  <c r="U824" i="8" a="1"/>
  <c r="U824" i="8" s="1"/>
  <c r="T824" i="8" a="1"/>
  <c r="T824" i="8" s="1"/>
  <c r="S824" i="8" a="1"/>
  <c r="S824" i="8" s="1"/>
  <c r="R824" i="8" a="1"/>
  <c r="R824" i="8" s="1"/>
  <c r="Q824" i="8" a="1"/>
  <c r="Q824" i="8" s="1"/>
  <c r="P824" i="8" a="1"/>
  <c r="P824" i="8" s="1"/>
  <c r="O824" i="8" a="1"/>
  <c r="O824" i="8" s="1"/>
  <c r="N824" i="8" a="1"/>
  <c r="N824" i="8" s="1"/>
  <c r="M824" i="8" a="1"/>
  <c r="M824" i="8" s="1"/>
  <c r="L824" i="8" a="1"/>
  <c r="L824" i="8" s="1"/>
  <c r="K824" i="8" a="1"/>
  <c r="K824" i="8" s="1"/>
  <c r="J824" i="8" a="1"/>
  <c r="J824" i="8" s="1"/>
  <c r="I824" i="8" a="1"/>
  <c r="I824" i="8" s="1"/>
  <c r="H824" i="8" a="1"/>
  <c r="H824" i="8" s="1"/>
  <c r="G824" i="8" a="1"/>
  <c r="G824" i="8" s="1"/>
  <c r="F824" i="8" a="1"/>
  <c r="F824" i="8" s="1"/>
  <c r="E824" i="8" a="1"/>
  <c r="E824" i="8" s="1"/>
  <c r="AB823" i="8" a="1"/>
  <c r="AB823" i="8" s="1"/>
  <c r="AA823" i="8" a="1"/>
  <c r="AA823" i="8" s="1"/>
  <c r="Z823" i="8" a="1"/>
  <c r="Z823" i="8" s="1"/>
  <c r="Y823" i="8" a="1"/>
  <c r="Y823" i="8" s="1"/>
  <c r="X823" i="8" a="1"/>
  <c r="X823" i="8" s="1"/>
  <c r="W823" i="8" a="1"/>
  <c r="W823" i="8" s="1"/>
  <c r="V823" i="8" a="1"/>
  <c r="V823" i="8" s="1"/>
  <c r="U823" i="8" a="1"/>
  <c r="U823" i="8" s="1"/>
  <c r="T823" i="8" a="1"/>
  <c r="T823" i="8" s="1"/>
  <c r="S823" i="8" a="1"/>
  <c r="S823" i="8" s="1"/>
  <c r="R823" i="8" a="1"/>
  <c r="R823" i="8" s="1"/>
  <c r="Q823" i="8" a="1"/>
  <c r="Q823" i="8" s="1"/>
  <c r="P823" i="8" a="1"/>
  <c r="P823" i="8" s="1"/>
  <c r="O823" i="8" a="1"/>
  <c r="O823" i="8" s="1"/>
  <c r="N823" i="8" a="1"/>
  <c r="N823" i="8" s="1"/>
  <c r="M823" i="8" a="1"/>
  <c r="M823" i="8" s="1"/>
  <c r="L823" i="8" a="1"/>
  <c r="L823" i="8" s="1"/>
  <c r="K823" i="8" a="1"/>
  <c r="K823" i="8" s="1"/>
  <c r="J823" i="8" a="1"/>
  <c r="J823" i="8" s="1"/>
  <c r="I823" i="8" a="1"/>
  <c r="I823" i="8" s="1"/>
  <c r="H823" i="8" a="1"/>
  <c r="H823" i="8" s="1"/>
  <c r="G823" i="8" a="1"/>
  <c r="G823" i="8" s="1"/>
  <c r="F823" i="8" a="1"/>
  <c r="F823" i="8" s="1"/>
  <c r="E823" i="8" a="1"/>
  <c r="E823" i="8" s="1"/>
  <c r="AB822" i="8" a="1"/>
  <c r="AB822" i="8" s="1"/>
  <c r="AA822" i="8" a="1"/>
  <c r="AA822" i="8" s="1"/>
  <c r="Z822" i="8" a="1"/>
  <c r="Z822" i="8" s="1"/>
  <c r="Y822" i="8" a="1"/>
  <c r="Y822" i="8" s="1"/>
  <c r="X822" i="8" a="1"/>
  <c r="X822" i="8" s="1"/>
  <c r="W822" i="8" a="1"/>
  <c r="W822" i="8" s="1"/>
  <c r="V822" i="8" a="1"/>
  <c r="V822" i="8" s="1"/>
  <c r="U822" i="8" a="1"/>
  <c r="U822" i="8" s="1"/>
  <c r="T822" i="8" a="1"/>
  <c r="T822" i="8" s="1"/>
  <c r="S822" i="8" a="1"/>
  <c r="S822" i="8" s="1"/>
  <c r="R822" i="8" a="1"/>
  <c r="R822" i="8" s="1"/>
  <c r="Q822" i="8" a="1"/>
  <c r="Q822" i="8" s="1"/>
  <c r="P822" i="8" a="1"/>
  <c r="P822" i="8" s="1"/>
  <c r="O822" i="8" a="1"/>
  <c r="O822" i="8" s="1"/>
  <c r="N822" i="8" a="1"/>
  <c r="N822" i="8" s="1"/>
  <c r="M822" i="8" a="1"/>
  <c r="M822" i="8" s="1"/>
  <c r="L822" i="8" a="1"/>
  <c r="L822" i="8" s="1"/>
  <c r="K822" i="8" a="1"/>
  <c r="K822" i="8" s="1"/>
  <c r="J822" i="8" a="1"/>
  <c r="J822" i="8" s="1"/>
  <c r="I822" i="8" a="1"/>
  <c r="I822" i="8" s="1"/>
  <c r="H822" i="8" a="1"/>
  <c r="H822" i="8" s="1"/>
  <c r="G822" i="8" a="1"/>
  <c r="G822" i="8" s="1"/>
  <c r="F822" i="8" a="1"/>
  <c r="F822" i="8" s="1"/>
  <c r="E822" i="8" a="1"/>
  <c r="E822" i="8" s="1"/>
  <c r="AB821" i="8" a="1"/>
  <c r="AB821" i="8" s="1"/>
  <c r="AA821" i="8" a="1"/>
  <c r="AA821" i="8" s="1"/>
  <c r="Z821" i="8" a="1"/>
  <c r="Z821" i="8" s="1"/>
  <c r="Y821" i="8" a="1"/>
  <c r="Y821" i="8" s="1"/>
  <c r="X821" i="8" a="1"/>
  <c r="X821" i="8" s="1"/>
  <c r="W821" i="8" a="1"/>
  <c r="W821" i="8" s="1"/>
  <c r="V821" i="8" a="1"/>
  <c r="V821" i="8" s="1"/>
  <c r="U821" i="8" a="1"/>
  <c r="U821" i="8" s="1"/>
  <c r="T821" i="8" a="1"/>
  <c r="T821" i="8" s="1"/>
  <c r="S821" i="8" a="1"/>
  <c r="S821" i="8" s="1"/>
  <c r="R821" i="8" a="1"/>
  <c r="R821" i="8" s="1"/>
  <c r="Q821" i="8" a="1"/>
  <c r="Q821" i="8" s="1"/>
  <c r="P821" i="8" a="1"/>
  <c r="P821" i="8" s="1"/>
  <c r="O821" i="8" a="1"/>
  <c r="O821" i="8" s="1"/>
  <c r="N821" i="8" a="1"/>
  <c r="N821" i="8" s="1"/>
  <c r="M821" i="8" a="1"/>
  <c r="M821" i="8" s="1"/>
  <c r="L821" i="8" a="1"/>
  <c r="L821" i="8" s="1"/>
  <c r="K821" i="8" a="1"/>
  <c r="K821" i="8" s="1"/>
  <c r="J821" i="8" a="1"/>
  <c r="J821" i="8" s="1"/>
  <c r="I821" i="8" a="1"/>
  <c r="I821" i="8" s="1"/>
  <c r="H821" i="8" a="1"/>
  <c r="H821" i="8" s="1"/>
  <c r="G821" i="8" a="1"/>
  <c r="G821" i="8" s="1"/>
  <c r="F821" i="8" a="1"/>
  <c r="F821" i="8" s="1"/>
  <c r="E821" i="8" a="1"/>
  <c r="E821" i="8" s="1"/>
  <c r="AB820" i="8" a="1"/>
  <c r="AB820" i="8" s="1"/>
  <c r="AA820" i="8" a="1"/>
  <c r="AA820" i="8" s="1"/>
  <c r="Z820" i="8" a="1"/>
  <c r="Z820" i="8" s="1"/>
  <c r="Y820" i="8" a="1"/>
  <c r="Y820" i="8" s="1"/>
  <c r="X820" i="8" a="1"/>
  <c r="X820" i="8" s="1"/>
  <c r="W820" i="8" a="1"/>
  <c r="W820" i="8" s="1"/>
  <c r="V820" i="8" a="1"/>
  <c r="V820" i="8" s="1"/>
  <c r="U820" i="8" a="1"/>
  <c r="U820" i="8" s="1"/>
  <c r="T820" i="8" a="1"/>
  <c r="T820" i="8" s="1"/>
  <c r="S820" i="8" a="1"/>
  <c r="S820" i="8" s="1"/>
  <c r="R820" i="8" a="1"/>
  <c r="R820" i="8" s="1"/>
  <c r="Q820" i="8" a="1"/>
  <c r="Q820" i="8" s="1"/>
  <c r="P820" i="8" a="1"/>
  <c r="P820" i="8" s="1"/>
  <c r="O820" i="8" a="1"/>
  <c r="O820" i="8" s="1"/>
  <c r="N820" i="8" a="1"/>
  <c r="N820" i="8" s="1"/>
  <c r="M820" i="8" a="1"/>
  <c r="M820" i="8" s="1"/>
  <c r="L820" i="8" a="1"/>
  <c r="L820" i="8" s="1"/>
  <c r="K820" i="8" a="1"/>
  <c r="K820" i="8" s="1"/>
  <c r="J820" i="8" a="1"/>
  <c r="J820" i="8" s="1"/>
  <c r="I820" i="8" a="1"/>
  <c r="I820" i="8" s="1"/>
  <c r="H820" i="8" a="1"/>
  <c r="H820" i="8" s="1"/>
  <c r="G820" i="8" a="1"/>
  <c r="G820" i="8" s="1"/>
  <c r="F820" i="8" a="1"/>
  <c r="F820" i="8" s="1"/>
  <c r="E820" i="8" a="1"/>
  <c r="E820" i="8" s="1"/>
  <c r="AB819" i="8" a="1"/>
  <c r="AB819" i="8" s="1"/>
  <c r="AA819" i="8" a="1"/>
  <c r="AA819" i="8" s="1"/>
  <c r="Z819" i="8" a="1"/>
  <c r="Z819" i="8" s="1"/>
  <c r="Y819" i="8" a="1"/>
  <c r="Y819" i="8" s="1"/>
  <c r="X819" i="8" a="1"/>
  <c r="X819" i="8" s="1"/>
  <c r="W819" i="8" a="1"/>
  <c r="W819" i="8" s="1"/>
  <c r="V819" i="8" a="1"/>
  <c r="V819" i="8" s="1"/>
  <c r="U819" i="8" a="1"/>
  <c r="U819" i="8" s="1"/>
  <c r="T819" i="8" a="1"/>
  <c r="T819" i="8" s="1"/>
  <c r="S819" i="8" a="1"/>
  <c r="S819" i="8" s="1"/>
  <c r="R819" i="8" a="1"/>
  <c r="R819" i="8" s="1"/>
  <c r="Q819" i="8" a="1"/>
  <c r="Q819" i="8" s="1"/>
  <c r="P819" i="8" a="1"/>
  <c r="P819" i="8" s="1"/>
  <c r="O819" i="8" a="1"/>
  <c r="O819" i="8" s="1"/>
  <c r="N819" i="8" a="1"/>
  <c r="N819" i="8" s="1"/>
  <c r="M819" i="8" a="1"/>
  <c r="M819" i="8" s="1"/>
  <c r="L819" i="8" a="1"/>
  <c r="L819" i="8" s="1"/>
  <c r="K819" i="8" a="1"/>
  <c r="K819" i="8" s="1"/>
  <c r="J819" i="8" a="1"/>
  <c r="J819" i="8" s="1"/>
  <c r="I819" i="8" a="1"/>
  <c r="I819" i="8" s="1"/>
  <c r="H819" i="8" a="1"/>
  <c r="H819" i="8" s="1"/>
  <c r="G819" i="8" a="1"/>
  <c r="G819" i="8" s="1"/>
  <c r="F819" i="8" a="1"/>
  <c r="F819" i="8" s="1"/>
  <c r="E819" i="8" a="1"/>
  <c r="E819" i="8" s="1"/>
  <c r="AB818" i="8" a="1"/>
  <c r="AB818" i="8" s="1"/>
  <c r="AA818" i="8" a="1"/>
  <c r="AA818" i="8" s="1"/>
  <c r="Z818" i="8" a="1"/>
  <c r="Z818" i="8" s="1"/>
  <c r="Y818" i="8" a="1"/>
  <c r="Y818" i="8" s="1"/>
  <c r="X818" i="8" a="1"/>
  <c r="X818" i="8" s="1"/>
  <c r="W818" i="8" a="1"/>
  <c r="W818" i="8" s="1"/>
  <c r="V818" i="8" a="1"/>
  <c r="V818" i="8" s="1"/>
  <c r="U818" i="8" a="1"/>
  <c r="U818" i="8" s="1"/>
  <c r="T818" i="8" a="1"/>
  <c r="T818" i="8" s="1"/>
  <c r="S818" i="8" a="1"/>
  <c r="S818" i="8" s="1"/>
  <c r="R818" i="8" a="1"/>
  <c r="R818" i="8" s="1"/>
  <c r="Q818" i="8" a="1"/>
  <c r="Q818" i="8" s="1"/>
  <c r="P818" i="8" a="1"/>
  <c r="P818" i="8" s="1"/>
  <c r="O818" i="8" a="1"/>
  <c r="O818" i="8" s="1"/>
  <c r="N818" i="8" a="1"/>
  <c r="N818" i="8" s="1"/>
  <c r="M818" i="8" a="1"/>
  <c r="M818" i="8" s="1"/>
  <c r="L818" i="8" a="1"/>
  <c r="L818" i="8" s="1"/>
  <c r="K818" i="8" a="1"/>
  <c r="K818" i="8" s="1"/>
  <c r="J818" i="8" a="1"/>
  <c r="J818" i="8" s="1"/>
  <c r="I818" i="8" a="1"/>
  <c r="I818" i="8" s="1"/>
  <c r="H818" i="8" a="1"/>
  <c r="H818" i="8" s="1"/>
  <c r="G818" i="8" a="1"/>
  <c r="G818" i="8" s="1"/>
  <c r="F818" i="8" a="1"/>
  <c r="F818" i="8" s="1"/>
  <c r="E818" i="8" a="1"/>
  <c r="E818" i="8" s="1"/>
  <c r="AB817" i="8" a="1"/>
  <c r="AB817" i="8" s="1"/>
  <c r="AA817" i="8" a="1"/>
  <c r="AA817" i="8" s="1"/>
  <c r="Z817" i="8" a="1"/>
  <c r="Z817" i="8" s="1"/>
  <c r="Y817" i="8" a="1"/>
  <c r="Y817" i="8" s="1"/>
  <c r="X817" i="8" a="1"/>
  <c r="X817" i="8" s="1"/>
  <c r="W817" i="8" a="1"/>
  <c r="W817" i="8" s="1"/>
  <c r="V817" i="8" a="1"/>
  <c r="V817" i="8" s="1"/>
  <c r="U817" i="8" a="1"/>
  <c r="U817" i="8" s="1"/>
  <c r="T817" i="8" a="1"/>
  <c r="T817" i="8" s="1"/>
  <c r="S817" i="8" a="1"/>
  <c r="S817" i="8" s="1"/>
  <c r="R817" i="8" a="1"/>
  <c r="R817" i="8" s="1"/>
  <c r="Q817" i="8" a="1"/>
  <c r="Q817" i="8" s="1"/>
  <c r="P817" i="8" a="1"/>
  <c r="P817" i="8" s="1"/>
  <c r="O817" i="8" a="1"/>
  <c r="O817" i="8" s="1"/>
  <c r="N817" i="8" a="1"/>
  <c r="N817" i="8" s="1"/>
  <c r="M817" i="8" a="1"/>
  <c r="M817" i="8" s="1"/>
  <c r="L817" i="8" a="1"/>
  <c r="L817" i="8" s="1"/>
  <c r="K817" i="8" a="1"/>
  <c r="K817" i="8" s="1"/>
  <c r="J817" i="8" a="1"/>
  <c r="J817" i="8" s="1"/>
  <c r="I817" i="8" a="1"/>
  <c r="I817" i="8" s="1"/>
  <c r="H817" i="8" a="1"/>
  <c r="H817" i="8" s="1"/>
  <c r="G817" i="8" a="1"/>
  <c r="G817" i="8" s="1"/>
  <c r="F817" i="8" a="1"/>
  <c r="F817" i="8" s="1"/>
  <c r="E817" i="8" a="1"/>
  <c r="E817" i="8" s="1"/>
  <c r="AB816" i="8" a="1"/>
  <c r="AB816" i="8" s="1"/>
  <c r="AA816" i="8" a="1"/>
  <c r="AA816" i="8" s="1"/>
  <c r="Z816" i="8" a="1"/>
  <c r="Z816" i="8" s="1"/>
  <c r="Y816" i="8" a="1"/>
  <c r="Y816" i="8" s="1"/>
  <c r="X816" i="8" a="1"/>
  <c r="X816" i="8" s="1"/>
  <c r="W816" i="8" a="1"/>
  <c r="W816" i="8" s="1"/>
  <c r="V816" i="8" a="1"/>
  <c r="V816" i="8" s="1"/>
  <c r="U816" i="8" a="1"/>
  <c r="U816" i="8" s="1"/>
  <c r="T816" i="8" a="1"/>
  <c r="T816" i="8" s="1"/>
  <c r="S816" i="8" a="1"/>
  <c r="S816" i="8" s="1"/>
  <c r="R816" i="8" a="1"/>
  <c r="R816" i="8" s="1"/>
  <c r="Q816" i="8" a="1"/>
  <c r="Q816" i="8" s="1"/>
  <c r="P816" i="8" a="1"/>
  <c r="P816" i="8" s="1"/>
  <c r="O816" i="8" a="1"/>
  <c r="O816" i="8" s="1"/>
  <c r="N816" i="8" a="1"/>
  <c r="N816" i="8" s="1"/>
  <c r="M816" i="8" a="1"/>
  <c r="M816" i="8" s="1"/>
  <c r="L816" i="8" a="1"/>
  <c r="L816" i="8" s="1"/>
  <c r="K816" i="8" a="1"/>
  <c r="K816" i="8" s="1"/>
  <c r="J816" i="8" a="1"/>
  <c r="J816" i="8" s="1"/>
  <c r="I816" i="8" a="1"/>
  <c r="I816" i="8" s="1"/>
  <c r="H816" i="8" a="1"/>
  <c r="H816" i="8" s="1"/>
  <c r="G816" i="8" a="1"/>
  <c r="G816" i="8" s="1"/>
  <c r="F816" i="8" a="1"/>
  <c r="F816" i="8" s="1"/>
  <c r="E816" i="8" a="1"/>
  <c r="E816" i="8" s="1"/>
  <c r="AB815" i="8" a="1"/>
  <c r="AB815" i="8" s="1"/>
  <c r="AA815" i="8" a="1"/>
  <c r="AA815" i="8" s="1"/>
  <c r="Z815" i="8" a="1"/>
  <c r="Z815" i="8" s="1"/>
  <c r="Y815" i="8" a="1"/>
  <c r="Y815" i="8" s="1"/>
  <c r="X815" i="8" a="1"/>
  <c r="X815" i="8" s="1"/>
  <c r="W815" i="8" a="1"/>
  <c r="W815" i="8" s="1"/>
  <c r="V815" i="8" a="1"/>
  <c r="V815" i="8" s="1"/>
  <c r="U815" i="8" a="1"/>
  <c r="U815" i="8" s="1"/>
  <c r="T815" i="8" a="1"/>
  <c r="T815" i="8" s="1"/>
  <c r="S815" i="8" a="1"/>
  <c r="S815" i="8" s="1"/>
  <c r="R815" i="8" a="1"/>
  <c r="R815" i="8" s="1"/>
  <c r="Q815" i="8" a="1"/>
  <c r="Q815" i="8" s="1"/>
  <c r="P815" i="8" a="1"/>
  <c r="P815" i="8" s="1"/>
  <c r="O815" i="8" a="1"/>
  <c r="O815" i="8" s="1"/>
  <c r="N815" i="8" a="1"/>
  <c r="N815" i="8" s="1"/>
  <c r="M815" i="8" a="1"/>
  <c r="M815" i="8" s="1"/>
  <c r="L815" i="8" a="1"/>
  <c r="L815" i="8" s="1"/>
  <c r="K815" i="8" a="1"/>
  <c r="K815" i="8" s="1"/>
  <c r="J815" i="8" a="1"/>
  <c r="J815" i="8" s="1"/>
  <c r="I815" i="8" a="1"/>
  <c r="I815" i="8" s="1"/>
  <c r="H815" i="8" a="1"/>
  <c r="H815" i="8" s="1"/>
  <c r="G815" i="8" a="1"/>
  <c r="G815" i="8" s="1"/>
  <c r="F815" i="8" a="1"/>
  <c r="F815" i="8" s="1"/>
  <c r="E815" i="8" a="1"/>
  <c r="E815" i="8" s="1"/>
  <c r="AB814" i="8" a="1"/>
  <c r="AB814" i="8" s="1"/>
  <c r="AA814" i="8" a="1"/>
  <c r="AA814" i="8" s="1"/>
  <c r="Z814" i="8" a="1"/>
  <c r="Z814" i="8" s="1"/>
  <c r="Y814" i="8" a="1"/>
  <c r="Y814" i="8" s="1"/>
  <c r="X814" i="8" a="1"/>
  <c r="X814" i="8" s="1"/>
  <c r="W814" i="8" a="1"/>
  <c r="W814" i="8" s="1"/>
  <c r="V814" i="8" a="1"/>
  <c r="V814" i="8" s="1"/>
  <c r="U814" i="8" a="1"/>
  <c r="U814" i="8" s="1"/>
  <c r="T814" i="8" a="1"/>
  <c r="T814" i="8" s="1"/>
  <c r="S814" i="8" a="1"/>
  <c r="S814" i="8" s="1"/>
  <c r="R814" i="8" a="1"/>
  <c r="R814" i="8" s="1"/>
  <c r="Q814" i="8" a="1"/>
  <c r="Q814" i="8" s="1"/>
  <c r="P814" i="8" a="1"/>
  <c r="P814" i="8" s="1"/>
  <c r="O814" i="8" a="1"/>
  <c r="O814" i="8" s="1"/>
  <c r="N814" i="8" a="1"/>
  <c r="N814" i="8" s="1"/>
  <c r="M814" i="8" a="1"/>
  <c r="M814" i="8" s="1"/>
  <c r="L814" i="8" a="1"/>
  <c r="L814" i="8" s="1"/>
  <c r="K814" i="8" a="1"/>
  <c r="K814" i="8" s="1"/>
  <c r="J814" i="8" a="1"/>
  <c r="J814" i="8" s="1"/>
  <c r="I814" i="8" a="1"/>
  <c r="I814" i="8" s="1"/>
  <c r="H814" i="8" a="1"/>
  <c r="H814" i="8" s="1"/>
  <c r="G814" i="8" a="1"/>
  <c r="G814" i="8" s="1"/>
  <c r="F814" i="8" a="1"/>
  <c r="F814" i="8" s="1"/>
  <c r="E814" i="8" a="1"/>
  <c r="E814" i="8" s="1"/>
  <c r="AB813" i="8" a="1"/>
  <c r="AB813" i="8" s="1"/>
  <c r="AA813" i="8" a="1"/>
  <c r="AA813" i="8" s="1"/>
  <c r="Z813" i="8" a="1"/>
  <c r="Z813" i="8" s="1"/>
  <c r="Y813" i="8" a="1"/>
  <c r="Y813" i="8" s="1"/>
  <c r="X813" i="8" a="1"/>
  <c r="X813" i="8" s="1"/>
  <c r="W813" i="8" a="1"/>
  <c r="W813" i="8" s="1"/>
  <c r="V813" i="8" a="1"/>
  <c r="V813" i="8" s="1"/>
  <c r="U813" i="8" a="1"/>
  <c r="U813" i="8" s="1"/>
  <c r="T813" i="8" a="1"/>
  <c r="T813" i="8" s="1"/>
  <c r="S813" i="8" a="1"/>
  <c r="S813" i="8" s="1"/>
  <c r="R813" i="8" a="1"/>
  <c r="R813" i="8" s="1"/>
  <c r="Q813" i="8" a="1"/>
  <c r="Q813" i="8" s="1"/>
  <c r="P813" i="8" a="1"/>
  <c r="P813" i="8" s="1"/>
  <c r="O813" i="8" a="1"/>
  <c r="O813" i="8" s="1"/>
  <c r="N813" i="8" a="1"/>
  <c r="N813" i="8" s="1"/>
  <c r="M813" i="8" a="1"/>
  <c r="M813" i="8" s="1"/>
  <c r="L813" i="8" a="1"/>
  <c r="L813" i="8" s="1"/>
  <c r="K813" i="8" a="1"/>
  <c r="K813" i="8" s="1"/>
  <c r="J813" i="8" a="1"/>
  <c r="J813" i="8" s="1"/>
  <c r="I813" i="8" a="1"/>
  <c r="I813" i="8" s="1"/>
  <c r="H813" i="8" a="1"/>
  <c r="H813" i="8" s="1"/>
  <c r="G813" i="8" a="1"/>
  <c r="G813" i="8" s="1"/>
  <c r="F813" i="8" a="1"/>
  <c r="F813" i="8" s="1"/>
  <c r="E813" i="8" a="1"/>
  <c r="E813" i="8" s="1"/>
  <c r="AB812" i="8" a="1"/>
  <c r="AB812" i="8" s="1"/>
  <c r="AA812" i="8" a="1"/>
  <c r="AA812" i="8" s="1"/>
  <c r="Z812" i="8" a="1"/>
  <c r="Z812" i="8" s="1"/>
  <c r="Y812" i="8" a="1"/>
  <c r="Y812" i="8" s="1"/>
  <c r="X812" i="8" a="1"/>
  <c r="X812" i="8" s="1"/>
  <c r="W812" i="8" a="1"/>
  <c r="W812" i="8" s="1"/>
  <c r="V812" i="8" a="1"/>
  <c r="V812" i="8" s="1"/>
  <c r="U812" i="8" a="1"/>
  <c r="U812" i="8" s="1"/>
  <c r="T812" i="8" a="1"/>
  <c r="T812" i="8" s="1"/>
  <c r="S812" i="8" a="1"/>
  <c r="S812" i="8" s="1"/>
  <c r="R812" i="8" a="1"/>
  <c r="R812" i="8" s="1"/>
  <c r="Q812" i="8" a="1"/>
  <c r="Q812" i="8" s="1"/>
  <c r="P812" i="8" a="1"/>
  <c r="P812" i="8" s="1"/>
  <c r="O812" i="8" a="1"/>
  <c r="O812" i="8" s="1"/>
  <c r="N812" i="8" a="1"/>
  <c r="N812" i="8" s="1"/>
  <c r="M812" i="8" a="1"/>
  <c r="M812" i="8" s="1"/>
  <c r="L812" i="8" a="1"/>
  <c r="L812" i="8" s="1"/>
  <c r="K812" i="8" a="1"/>
  <c r="K812" i="8" s="1"/>
  <c r="J812" i="8" a="1"/>
  <c r="J812" i="8" s="1"/>
  <c r="I812" i="8" a="1"/>
  <c r="I812" i="8" s="1"/>
  <c r="H812" i="8" a="1"/>
  <c r="H812" i="8" s="1"/>
  <c r="G812" i="8" a="1"/>
  <c r="G812" i="8" s="1"/>
  <c r="F812" i="8" a="1"/>
  <c r="F812" i="8" s="1"/>
  <c r="E812" i="8" a="1"/>
  <c r="E812" i="8" s="1"/>
  <c r="AB811" i="8" a="1"/>
  <c r="AB811" i="8" s="1"/>
  <c r="AA811" i="8" a="1"/>
  <c r="AA811" i="8" s="1"/>
  <c r="Z811" i="8" a="1"/>
  <c r="Z811" i="8" s="1"/>
  <c r="Y811" i="8" a="1"/>
  <c r="Y811" i="8" s="1"/>
  <c r="X811" i="8" a="1"/>
  <c r="X811" i="8" s="1"/>
  <c r="W811" i="8" a="1"/>
  <c r="W811" i="8" s="1"/>
  <c r="V811" i="8" a="1"/>
  <c r="V811" i="8" s="1"/>
  <c r="U811" i="8" a="1"/>
  <c r="U811" i="8" s="1"/>
  <c r="T811" i="8" a="1"/>
  <c r="T811" i="8" s="1"/>
  <c r="S811" i="8" a="1"/>
  <c r="S811" i="8" s="1"/>
  <c r="R811" i="8" a="1"/>
  <c r="R811" i="8" s="1"/>
  <c r="Q811" i="8" a="1"/>
  <c r="Q811" i="8" s="1"/>
  <c r="P811" i="8" a="1"/>
  <c r="P811" i="8" s="1"/>
  <c r="O811" i="8" a="1"/>
  <c r="O811" i="8" s="1"/>
  <c r="N811" i="8" a="1"/>
  <c r="N811" i="8" s="1"/>
  <c r="M811" i="8" a="1"/>
  <c r="M811" i="8" s="1"/>
  <c r="L811" i="8" a="1"/>
  <c r="L811" i="8" s="1"/>
  <c r="K811" i="8" a="1"/>
  <c r="K811" i="8" s="1"/>
  <c r="J811" i="8" a="1"/>
  <c r="J811" i="8" s="1"/>
  <c r="I811" i="8" a="1"/>
  <c r="I811" i="8" s="1"/>
  <c r="H811" i="8" a="1"/>
  <c r="H811" i="8" s="1"/>
  <c r="G811" i="8" a="1"/>
  <c r="G811" i="8" s="1"/>
  <c r="F811" i="8" a="1"/>
  <c r="F811" i="8" s="1"/>
  <c r="E811" i="8" a="1"/>
  <c r="E811" i="8" s="1"/>
  <c r="AB810" i="8" a="1"/>
  <c r="AB810" i="8" s="1"/>
  <c r="AA810" i="8" a="1"/>
  <c r="AA810" i="8" s="1"/>
  <c r="Z810" i="8" a="1"/>
  <c r="Z810" i="8" s="1"/>
  <c r="Y810" i="8" a="1"/>
  <c r="Y810" i="8" s="1"/>
  <c r="X810" i="8" a="1"/>
  <c r="X810" i="8" s="1"/>
  <c r="W810" i="8" a="1"/>
  <c r="W810" i="8" s="1"/>
  <c r="V810" i="8" a="1"/>
  <c r="V810" i="8" s="1"/>
  <c r="U810" i="8" a="1"/>
  <c r="U810" i="8" s="1"/>
  <c r="T810" i="8" a="1"/>
  <c r="T810" i="8" s="1"/>
  <c r="S810" i="8" a="1"/>
  <c r="S810" i="8" s="1"/>
  <c r="R810" i="8" a="1"/>
  <c r="R810" i="8" s="1"/>
  <c r="Q810" i="8" a="1"/>
  <c r="Q810" i="8" s="1"/>
  <c r="P810" i="8" a="1"/>
  <c r="P810" i="8" s="1"/>
  <c r="O810" i="8" a="1"/>
  <c r="O810" i="8" s="1"/>
  <c r="N810" i="8" a="1"/>
  <c r="N810" i="8" s="1"/>
  <c r="M810" i="8" a="1"/>
  <c r="M810" i="8" s="1"/>
  <c r="L810" i="8" a="1"/>
  <c r="L810" i="8" s="1"/>
  <c r="K810" i="8" a="1"/>
  <c r="K810" i="8" s="1"/>
  <c r="J810" i="8" a="1"/>
  <c r="J810" i="8" s="1"/>
  <c r="I810" i="8" a="1"/>
  <c r="I810" i="8" s="1"/>
  <c r="H810" i="8" a="1"/>
  <c r="H810" i="8" s="1"/>
  <c r="G810" i="8" a="1"/>
  <c r="G810" i="8" s="1"/>
  <c r="F810" i="8" a="1"/>
  <c r="F810" i="8" s="1"/>
  <c r="E810" i="8" a="1"/>
  <c r="E810" i="8" s="1"/>
  <c r="AB809" i="8" a="1"/>
  <c r="AB809" i="8" s="1"/>
  <c r="AA809" i="8" a="1"/>
  <c r="AA809" i="8" s="1"/>
  <c r="Z809" i="8" a="1"/>
  <c r="Z809" i="8" s="1"/>
  <c r="Y809" i="8" a="1"/>
  <c r="Y809" i="8" s="1"/>
  <c r="X809" i="8" a="1"/>
  <c r="X809" i="8" s="1"/>
  <c r="W809" i="8" a="1"/>
  <c r="W809" i="8" s="1"/>
  <c r="V809" i="8" a="1"/>
  <c r="V809" i="8" s="1"/>
  <c r="U809" i="8" a="1"/>
  <c r="U809" i="8" s="1"/>
  <c r="T809" i="8" a="1"/>
  <c r="T809" i="8" s="1"/>
  <c r="S809" i="8" a="1"/>
  <c r="S809" i="8" s="1"/>
  <c r="R809" i="8" a="1"/>
  <c r="R809" i="8" s="1"/>
  <c r="Q809" i="8" a="1"/>
  <c r="Q809" i="8" s="1"/>
  <c r="P809" i="8" a="1"/>
  <c r="P809" i="8" s="1"/>
  <c r="O809" i="8" a="1"/>
  <c r="O809" i="8" s="1"/>
  <c r="N809" i="8" a="1"/>
  <c r="N809" i="8" s="1"/>
  <c r="M809" i="8" a="1"/>
  <c r="M809" i="8" s="1"/>
  <c r="L809" i="8" a="1"/>
  <c r="L809" i="8" s="1"/>
  <c r="K809" i="8" a="1"/>
  <c r="K809" i="8" s="1"/>
  <c r="J809" i="8" a="1"/>
  <c r="J809" i="8" s="1"/>
  <c r="I809" i="8" a="1"/>
  <c r="I809" i="8" s="1"/>
  <c r="H809" i="8" a="1"/>
  <c r="H809" i="8" s="1"/>
  <c r="G809" i="8" a="1"/>
  <c r="G809" i="8" s="1"/>
  <c r="F809" i="8" a="1"/>
  <c r="F809" i="8" s="1"/>
  <c r="E809" i="8" a="1"/>
  <c r="E809" i="8" s="1"/>
  <c r="AB808" i="8" a="1"/>
  <c r="AB808" i="8" s="1"/>
  <c r="AA808" i="8" a="1"/>
  <c r="AA808" i="8" s="1"/>
  <c r="Z808" i="8" a="1"/>
  <c r="Z808" i="8" s="1"/>
  <c r="Y808" i="8" a="1"/>
  <c r="Y808" i="8" s="1"/>
  <c r="X808" i="8" a="1"/>
  <c r="X808" i="8" s="1"/>
  <c r="W808" i="8" a="1"/>
  <c r="W808" i="8" s="1"/>
  <c r="V808" i="8" a="1"/>
  <c r="V808" i="8" s="1"/>
  <c r="U808" i="8" a="1"/>
  <c r="U808" i="8" s="1"/>
  <c r="T808" i="8" a="1"/>
  <c r="T808" i="8" s="1"/>
  <c r="S808" i="8" a="1"/>
  <c r="S808" i="8" s="1"/>
  <c r="R808" i="8" a="1"/>
  <c r="R808" i="8" s="1"/>
  <c r="Q808" i="8" a="1"/>
  <c r="Q808" i="8" s="1"/>
  <c r="P808" i="8" a="1"/>
  <c r="P808" i="8" s="1"/>
  <c r="O808" i="8" a="1"/>
  <c r="O808" i="8" s="1"/>
  <c r="N808" i="8" a="1"/>
  <c r="N808" i="8" s="1"/>
  <c r="M808" i="8" a="1"/>
  <c r="M808" i="8" s="1"/>
  <c r="L808" i="8" a="1"/>
  <c r="L808" i="8" s="1"/>
  <c r="K808" i="8" a="1"/>
  <c r="K808" i="8" s="1"/>
  <c r="J808" i="8" a="1"/>
  <c r="J808" i="8" s="1"/>
  <c r="I808" i="8" a="1"/>
  <c r="I808" i="8" s="1"/>
  <c r="H808" i="8" a="1"/>
  <c r="H808" i="8" s="1"/>
  <c r="G808" i="8" a="1"/>
  <c r="G808" i="8" s="1"/>
  <c r="F808" i="8" a="1"/>
  <c r="F808" i="8" s="1"/>
  <c r="E808" i="8" a="1"/>
  <c r="E808" i="8" s="1"/>
  <c r="AB807" i="8" a="1"/>
  <c r="AB807" i="8" s="1"/>
  <c r="AA807" i="8" a="1"/>
  <c r="AA807" i="8" s="1"/>
  <c r="Z807" i="8" a="1"/>
  <c r="Z807" i="8" s="1"/>
  <c r="Y807" i="8" a="1"/>
  <c r="Y807" i="8" s="1"/>
  <c r="X807" i="8" a="1"/>
  <c r="X807" i="8" s="1"/>
  <c r="W807" i="8" a="1"/>
  <c r="W807" i="8" s="1"/>
  <c r="V807" i="8" a="1"/>
  <c r="V807" i="8" s="1"/>
  <c r="U807" i="8" a="1"/>
  <c r="U807" i="8" s="1"/>
  <c r="T807" i="8" a="1"/>
  <c r="T807" i="8" s="1"/>
  <c r="S807" i="8" a="1"/>
  <c r="S807" i="8" s="1"/>
  <c r="R807" i="8" a="1"/>
  <c r="R807" i="8" s="1"/>
  <c r="Q807" i="8" a="1"/>
  <c r="Q807" i="8" s="1"/>
  <c r="P807" i="8" a="1"/>
  <c r="P807" i="8" s="1"/>
  <c r="O807" i="8" a="1"/>
  <c r="O807" i="8" s="1"/>
  <c r="N807" i="8" a="1"/>
  <c r="N807" i="8" s="1"/>
  <c r="M807" i="8" a="1"/>
  <c r="M807" i="8" s="1"/>
  <c r="L807" i="8" a="1"/>
  <c r="L807" i="8" s="1"/>
  <c r="K807" i="8" a="1"/>
  <c r="K807" i="8" s="1"/>
  <c r="J807" i="8" a="1"/>
  <c r="J807" i="8" s="1"/>
  <c r="I807" i="8" a="1"/>
  <c r="I807" i="8" s="1"/>
  <c r="H807" i="8" a="1"/>
  <c r="H807" i="8" s="1"/>
  <c r="G807" i="8" a="1"/>
  <c r="G807" i="8" s="1"/>
  <c r="F807" i="8" a="1"/>
  <c r="F807" i="8" s="1"/>
  <c r="E807" i="8" a="1"/>
  <c r="E807" i="8" s="1"/>
  <c r="AB806" i="8" a="1"/>
  <c r="AB806" i="8" s="1"/>
  <c r="AA806" i="8" a="1"/>
  <c r="AA806" i="8" s="1"/>
  <c r="Z806" i="8" a="1"/>
  <c r="Z806" i="8" s="1"/>
  <c r="Y806" i="8" a="1"/>
  <c r="Y806" i="8" s="1"/>
  <c r="X806" i="8" a="1"/>
  <c r="X806" i="8" s="1"/>
  <c r="W806" i="8" a="1"/>
  <c r="W806" i="8" s="1"/>
  <c r="V806" i="8" a="1"/>
  <c r="V806" i="8" s="1"/>
  <c r="U806" i="8" a="1"/>
  <c r="U806" i="8" s="1"/>
  <c r="T806" i="8" a="1"/>
  <c r="T806" i="8" s="1"/>
  <c r="S806" i="8" a="1"/>
  <c r="S806" i="8" s="1"/>
  <c r="R806" i="8" a="1"/>
  <c r="R806" i="8" s="1"/>
  <c r="Q806" i="8" a="1"/>
  <c r="Q806" i="8" s="1"/>
  <c r="P806" i="8" a="1"/>
  <c r="P806" i="8" s="1"/>
  <c r="O806" i="8" a="1"/>
  <c r="O806" i="8" s="1"/>
  <c r="N806" i="8" a="1"/>
  <c r="N806" i="8" s="1"/>
  <c r="M806" i="8" a="1"/>
  <c r="M806" i="8" s="1"/>
  <c r="L806" i="8" a="1"/>
  <c r="L806" i="8" s="1"/>
  <c r="K806" i="8" a="1"/>
  <c r="K806" i="8" s="1"/>
  <c r="J806" i="8" a="1"/>
  <c r="J806" i="8" s="1"/>
  <c r="I806" i="8" a="1"/>
  <c r="I806" i="8" s="1"/>
  <c r="H806" i="8" a="1"/>
  <c r="H806" i="8" s="1"/>
  <c r="G806" i="8" a="1"/>
  <c r="G806" i="8" s="1"/>
  <c r="F806" i="8" a="1"/>
  <c r="F806" i="8" s="1"/>
  <c r="E806" i="8" a="1"/>
  <c r="E806" i="8" s="1"/>
  <c r="AB805" i="8" a="1"/>
  <c r="AB805" i="8" s="1"/>
  <c r="AA805" i="8" a="1"/>
  <c r="AA805" i="8" s="1"/>
  <c r="Z805" i="8" a="1"/>
  <c r="Z805" i="8" s="1"/>
  <c r="Y805" i="8" a="1"/>
  <c r="Y805" i="8" s="1"/>
  <c r="X805" i="8" a="1"/>
  <c r="X805" i="8" s="1"/>
  <c r="W805" i="8" a="1"/>
  <c r="W805" i="8" s="1"/>
  <c r="V805" i="8" a="1"/>
  <c r="V805" i="8" s="1"/>
  <c r="U805" i="8" a="1"/>
  <c r="U805" i="8" s="1"/>
  <c r="T805" i="8" a="1"/>
  <c r="T805" i="8" s="1"/>
  <c r="S805" i="8" a="1"/>
  <c r="S805" i="8" s="1"/>
  <c r="R805" i="8" a="1"/>
  <c r="R805" i="8" s="1"/>
  <c r="Q805" i="8" a="1"/>
  <c r="Q805" i="8" s="1"/>
  <c r="P805" i="8" a="1"/>
  <c r="P805" i="8" s="1"/>
  <c r="O805" i="8" a="1"/>
  <c r="O805" i="8" s="1"/>
  <c r="N805" i="8" a="1"/>
  <c r="N805" i="8" s="1"/>
  <c r="M805" i="8" a="1"/>
  <c r="M805" i="8" s="1"/>
  <c r="L805" i="8" a="1"/>
  <c r="L805" i="8" s="1"/>
  <c r="K805" i="8" a="1"/>
  <c r="K805" i="8" s="1"/>
  <c r="J805" i="8" a="1"/>
  <c r="J805" i="8" s="1"/>
  <c r="I805" i="8" a="1"/>
  <c r="I805" i="8" s="1"/>
  <c r="H805" i="8" a="1"/>
  <c r="H805" i="8" s="1"/>
  <c r="G805" i="8" a="1"/>
  <c r="G805" i="8" s="1"/>
  <c r="F805" i="8" a="1"/>
  <c r="F805" i="8" s="1"/>
  <c r="E805" i="8" a="1"/>
  <c r="E805" i="8" s="1"/>
  <c r="AB804" i="8" a="1"/>
  <c r="AB804" i="8" s="1"/>
  <c r="AA804" i="8" a="1"/>
  <c r="AA804" i="8" s="1"/>
  <c r="Z804" i="8" a="1"/>
  <c r="Z804" i="8" s="1"/>
  <c r="Y804" i="8" a="1"/>
  <c r="Y804" i="8" s="1"/>
  <c r="X804" i="8" a="1"/>
  <c r="X804" i="8" s="1"/>
  <c r="W804" i="8" a="1"/>
  <c r="W804" i="8" s="1"/>
  <c r="V804" i="8" a="1"/>
  <c r="V804" i="8" s="1"/>
  <c r="U804" i="8" a="1"/>
  <c r="U804" i="8" s="1"/>
  <c r="T804" i="8" a="1"/>
  <c r="T804" i="8" s="1"/>
  <c r="S804" i="8" a="1"/>
  <c r="S804" i="8" s="1"/>
  <c r="R804" i="8" a="1"/>
  <c r="R804" i="8" s="1"/>
  <c r="Q804" i="8" a="1"/>
  <c r="Q804" i="8" s="1"/>
  <c r="P804" i="8" a="1"/>
  <c r="P804" i="8" s="1"/>
  <c r="O804" i="8" a="1"/>
  <c r="O804" i="8" s="1"/>
  <c r="N804" i="8" a="1"/>
  <c r="N804" i="8" s="1"/>
  <c r="M804" i="8" a="1"/>
  <c r="M804" i="8" s="1"/>
  <c r="L804" i="8" a="1"/>
  <c r="L804" i="8" s="1"/>
  <c r="K804" i="8" a="1"/>
  <c r="K804" i="8" s="1"/>
  <c r="J804" i="8" a="1"/>
  <c r="J804" i="8" s="1"/>
  <c r="I804" i="8" a="1"/>
  <c r="I804" i="8" s="1"/>
  <c r="H804" i="8" a="1"/>
  <c r="H804" i="8" s="1"/>
  <c r="G804" i="8" a="1"/>
  <c r="G804" i="8" s="1"/>
  <c r="F804" i="8" a="1"/>
  <c r="F804" i="8" s="1"/>
  <c r="E804" i="8" a="1"/>
  <c r="E804" i="8" s="1"/>
  <c r="AB803" i="8" a="1"/>
  <c r="AB803" i="8" s="1"/>
  <c r="AA803" i="8" a="1"/>
  <c r="AA803" i="8" s="1"/>
  <c r="Z803" i="8" a="1"/>
  <c r="Z803" i="8" s="1"/>
  <c r="Y803" i="8" a="1"/>
  <c r="Y803" i="8" s="1"/>
  <c r="X803" i="8" a="1"/>
  <c r="X803" i="8" s="1"/>
  <c r="W803" i="8" a="1"/>
  <c r="W803" i="8" s="1"/>
  <c r="V803" i="8" a="1"/>
  <c r="V803" i="8" s="1"/>
  <c r="U803" i="8" a="1"/>
  <c r="U803" i="8" s="1"/>
  <c r="T803" i="8" a="1"/>
  <c r="T803" i="8" s="1"/>
  <c r="S803" i="8" a="1"/>
  <c r="S803" i="8" s="1"/>
  <c r="R803" i="8" a="1"/>
  <c r="R803" i="8" s="1"/>
  <c r="Q803" i="8" a="1"/>
  <c r="Q803" i="8" s="1"/>
  <c r="P803" i="8" a="1"/>
  <c r="P803" i="8" s="1"/>
  <c r="O803" i="8" a="1"/>
  <c r="O803" i="8" s="1"/>
  <c r="N803" i="8" a="1"/>
  <c r="N803" i="8" s="1"/>
  <c r="M803" i="8" a="1"/>
  <c r="M803" i="8" s="1"/>
  <c r="L803" i="8" a="1"/>
  <c r="L803" i="8" s="1"/>
  <c r="K803" i="8" a="1"/>
  <c r="K803" i="8" s="1"/>
  <c r="J803" i="8" a="1"/>
  <c r="J803" i="8" s="1"/>
  <c r="I803" i="8" a="1"/>
  <c r="I803" i="8" s="1"/>
  <c r="H803" i="8" a="1"/>
  <c r="H803" i="8" s="1"/>
  <c r="G803" i="8" a="1"/>
  <c r="G803" i="8" s="1"/>
  <c r="F803" i="8" a="1"/>
  <c r="F803" i="8" s="1"/>
  <c r="E803" i="8" a="1"/>
  <c r="E803" i="8" s="1"/>
  <c r="AB802" i="8" a="1"/>
  <c r="AB802" i="8" s="1"/>
  <c r="AA802" i="8" a="1"/>
  <c r="AA802" i="8" s="1"/>
  <c r="Z802" i="8" a="1"/>
  <c r="Z802" i="8" s="1"/>
  <c r="Y802" i="8" a="1"/>
  <c r="Y802" i="8" s="1"/>
  <c r="X802" i="8" a="1"/>
  <c r="X802" i="8" s="1"/>
  <c r="W802" i="8" a="1"/>
  <c r="W802" i="8" s="1"/>
  <c r="V802" i="8" a="1"/>
  <c r="V802" i="8" s="1"/>
  <c r="U802" i="8" a="1"/>
  <c r="U802" i="8" s="1"/>
  <c r="T802" i="8" a="1"/>
  <c r="T802" i="8" s="1"/>
  <c r="S802" i="8" a="1"/>
  <c r="S802" i="8" s="1"/>
  <c r="R802" i="8" a="1"/>
  <c r="R802" i="8" s="1"/>
  <c r="Q802" i="8" a="1"/>
  <c r="Q802" i="8" s="1"/>
  <c r="P802" i="8" a="1"/>
  <c r="P802" i="8" s="1"/>
  <c r="O802" i="8" a="1"/>
  <c r="O802" i="8" s="1"/>
  <c r="N802" i="8" a="1"/>
  <c r="N802" i="8" s="1"/>
  <c r="M802" i="8" a="1"/>
  <c r="M802" i="8" s="1"/>
  <c r="L802" i="8" a="1"/>
  <c r="L802" i="8" s="1"/>
  <c r="K802" i="8" a="1"/>
  <c r="K802" i="8" s="1"/>
  <c r="J802" i="8" a="1"/>
  <c r="J802" i="8" s="1"/>
  <c r="I802" i="8" a="1"/>
  <c r="I802" i="8" s="1"/>
  <c r="H802" i="8" a="1"/>
  <c r="H802" i="8" s="1"/>
  <c r="G802" i="8" a="1"/>
  <c r="G802" i="8" s="1"/>
  <c r="F802" i="8" a="1"/>
  <c r="F802" i="8" s="1"/>
  <c r="E802" i="8" a="1"/>
  <c r="E802" i="8" s="1"/>
  <c r="AB801" i="8" a="1"/>
  <c r="AB801" i="8" s="1"/>
  <c r="AA801" i="8" a="1"/>
  <c r="AA801" i="8" s="1"/>
  <c r="Z801" i="8" a="1"/>
  <c r="Z801" i="8" s="1"/>
  <c r="Y801" i="8" a="1"/>
  <c r="Y801" i="8" s="1"/>
  <c r="X801" i="8" a="1"/>
  <c r="X801" i="8" s="1"/>
  <c r="W801" i="8" a="1"/>
  <c r="W801" i="8" s="1"/>
  <c r="V801" i="8" a="1"/>
  <c r="V801" i="8" s="1"/>
  <c r="U801" i="8" a="1"/>
  <c r="U801" i="8" s="1"/>
  <c r="T801" i="8" a="1"/>
  <c r="T801" i="8" s="1"/>
  <c r="S801" i="8" a="1"/>
  <c r="S801" i="8" s="1"/>
  <c r="R801" i="8" a="1"/>
  <c r="R801" i="8" s="1"/>
  <c r="Q801" i="8" a="1"/>
  <c r="Q801" i="8" s="1"/>
  <c r="P801" i="8" a="1"/>
  <c r="P801" i="8" s="1"/>
  <c r="O801" i="8" a="1"/>
  <c r="O801" i="8" s="1"/>
  <c r="N801" i="8" a="1"/>
  <c r="N801" i="8" s="1"/>
  <c r="M801" i="8" a="1"/>
  <c r="M801" i="8" s="1"/>
  <c r="L801" i="8" a="1"/>
  <c r="L801" i="8" s="1"/>
  <c r="K801" i="8" a="1"/>
  <c r="K801" i="8" s="1"/>
  <c r="J801" i="8" a="1"/>
  <c r="J801" i="8" s="1"/>
  <c r="I801" i="8" a="1"/>
  <c r="I801" i="8" s="1"/>
  <c r="H801" i="8" a="1"/>
  <c r="H801" i="8" s="1"/>
  <c r="G801" i="8" a="1"/>
  <c r="G801" i="8" s="1"/>
  <c r="F801" i="8" a="1"/>
  <c r="F801" i="8" s="1"/>
  <c r="E801" i="8" a="1"/>
  <c r="E801" i="8" s="1"/>
  <c r="AB800" i="8" a="1"/>
  <c r="AB800" i="8" s="1"/>
  <c r="AA800" i="8" a="1"/>
  <c r="AA800" i="8" s="1"/>
  <c r="Z800" i="8" a="1"/>
  <c r="Z800" i="8" s="1"/>
  <c r="Y800" i="8" a="1"/>
  <c r="Y800" i="8" s="1"/>
  <c r="X800" i="8" a="1"/>
  <c r="X800" i="8" s="1"/>
  <c r="W800" i="8" a="1"/>
  <c r="W800" i="8" s="1"/>
  <c r="V800" i="8" a="1"/>
  <c r="V800" i="8" s="1"/>
  <c r="U800" i="8" a="1"/>
  <c r="U800" i="8" s="1"/>
  <c r="T800" i="8" a="1"/>
  <c r="T800" i="8" s="1"/>
  <c r="S800" i="8" a="1"/>
  <c r="S800" i="8" s="1"/>
  <c r="R800" i="8" a="1"/>
  <c r="R800" i="8" s="1"/>
  <c r="Q800" i="8" a="1"/>
  <c r="Q800" i="8" s="1"/>
  <c r="P800" i="8" a="1"/>
  <c r="P800" i="8" s="1"/>
  <c r="O800" i="8" a="1"/>
  <c r="O800" i="8" s="1"/>
  <c r="N800" i="8" a="1"/>
  <c r="N800" i="8" s="1"/>
  <c r="M800" i="8" a="1"/>
  <c r="M800" i="8" s="1"/>
  <c r="L800" i="8" a="1"/>
  <c r="L800" i="8" s="1"/>
  <c r="K800" i="8" a="1"/>
  <c r="K800" i="8" s="1"/>
  <c r="J800" i="8" a="1"/>
  <c r="J800" i="8" s="1"/>
  <c r="I800" i="8" a="1"/>
  <c r="I800" i="8" s="1"/>
  <c r="H800" i="8" a="1"/>
  <c r="H800" i="8" s="1"/>
  <c r="G800" i="8" a="1"/>
  <c r="G800" i="8" s="1"/>
  <c r="F800" i="8" a="1"/>
  <c r="F800" i="8" s="1"/>
  <c r="E800" i="8" a="1"/>
  <c r="E800" i="8" s="1"/>
  <c r="AB799" i="8" a="1"/>
  <c r="AB799" i="8" s="1"/>
  <c r="AA799" i="8" a="1"/>
  <c r="AA799" i="8" s="1"/>
  <c r="Z799" i="8" a="1"/>
  <c r="Z799" i="8" s="1"/>
  <c r="Y799" i="8" a="1"/>
  <c r="Y799" i="8" s="1"/>
  <c r="X799" i="8" a="1"/>
  <c r="X799" i="8" s="1"/>
  <c r="W799" i="8" a="1"/>
  <c r="W799" i="8" s="1"/>
  <c r="V799" i="8" a="1"/>
  <c r="V799" i="8" s="1"/>
  <c r="U799" i="8" a="1"/>
  <c r="U799" i="8" s="1"/>
  <c r="T799" i="8" a="1"/>
  <c r="T799" i="8" s="1"/>
  <c r="S799" i="8" a="1"/>
  <c r="S799" i="8" s="1"/>
  <c r="R799" i="8" a="1"/>
  <c r="R799" i="8" s="1"/>
  <c r="Q799" i="8" a="1"/>
  <c r="Q799" i="8" s="1"/>
  <c r="P799" i="8" a="1"/>
  <c r="P799" i="8" s="1"/>
  <c r="O799" i="8" a="1"/>
  <c r="O799" i="8" s="1"/>
  <c r="N799" i="8" a="1"/>
  <c r="N799" i="8" s="1"/>
  <c r="M799" i="8" a="1"/>
  <c r="M799" i="8" s="1"/>
  <c r="L799" i="8" a="1"/>
  <c r="L799" i="8" s="1"/>
  <c r="K799" i="8" a="1"/>
  <c r="K799" i="8" s="1"/>
  <c r="J799" i="8" a="1"/>
  <c r="J799" i="8" s="1"/>
  <c r="I799" i="8" a="1"/>
  <c r="I799" i="8" s="1"/>
  <c r="H799" i="8" a="1"/>
  <c r="H799" i="8" s="1"/>
  <c r="G799" i="8" a="1"/>
  <c r="G799" i="8" s="1"/>
  <c r="F799" i="8" a="1"/>
  <c r="F799" i="8" s="1"/>
  <c r="E799" i="8" a="1"/>
  <c r="E799" i="8" s="1"/>
  <c r="AB798" i="8" a="1"/>
  <c r="AB798" i="8" s="1"/>
  <c r="AA798" i="8" a="1"/>
  <c r="AA798" i="8" s="1"/>
  <c r="Z798" i="8" a="1"/>
  <c r="Z798" i="8" s="1"/>
  <c r="Y798" i="8" a="1"/>
  <c r="Y798" i="8" s="1"/>
  <c r="X798" i="8" a="1"/>
  <c r="X798" i="8" s="1"/>
  <c r="W798" i="8" a="1"/>
  <c r="W798" i="8" s="1"/>
  <c r="V798" i="8" a="1"/>
  <c r="V798" i="8" s="1"/>
  <c r="U798" i="8" a="1"/>
  <c r="U798" i="8" s="1"/>
  <c r="T798" i="8" a="1"/>
  <c r="T798" i="8" s="1"/>
  <c r="S798" i="8" a="1"/>
  <c r="S798" i="8" s="1"/>
  <c r="R798" i="8" a="1"/>
  <c r="R798" i="8" s="1"/>
  <c r="Q798" i="8" a="1"/>
  <c r="Q798" i="8" s="1"/>
  <c r="P798" i="8" a="1"/>
  <c r="P798" i="8" s="1"/>
  <c r="O798" i="8" a="1"/>
  <c r="O798" i="8" s="1"/>
  <c r="N798" i="8" a="1"/>
  <c r="N798" i="8" s="1"/>
  <c r="M798" i="8" a="1"/>
  <c r="M798" i="8" s="1"/>
  <c r="L798" i="8" a="1"/>
  <c r="L798" i="8" s="1"/>
  <c r="K798" i="8" a="1"/>
  <c r="K798" i="8" s="1"/>
  <c r="J798" i="8" a="1"/>
  <c r="J798" i="8" s="1"/>
  <c r="I798" i="8" a="1"/>
  <c r="I798" i="8" s="1"/>
  <c r="H798" i="8" a="1"/>
  <c r="H798" i="8" s="1"/>
  <c r="G798" i="8" a="1"/>
  <c r="G798" i="8" s="1"/>
  <c r="F798" i="8" a="1"/>
  <c r="F798" i="8" s="1"/>
  <c r="E798" i="8" a="1"/>
  <c r="E798" i="8" s="1"/>
  <c r="AB797" i="8" a="1"/>
  <c r="AB797" i="8" s="1"/>
  <c r="AA797" i="8" a="1"/>
  <c r="AA797" i="8" s="1"/>
  <c r="Z797" i="8" a="1"/>
  <c r="Z797" i="8" s="1"/>
  <c r="Y797" i="8" a="1"/>
  <c r="Y797" i="8" s="1"/>
  <c r="X797" i="8" a="1"/>
  <c r="X797" i="8" s="1"/>
  <c r="W797" i="8" a="1"/>
  <c r="W797" i="8" s="1"/>
  <c r="V797" i="8" a="1"/>
  <c r="V797" i="8" s="1"/>
  <c r="U797" i="8" a="1"/>
  <c r="U797" i="8" s="1"/>
  <c r="T797" i="8" a="1"/>
  <c r="T797" i="8" s="1"/>
  <c r="S797" i="8" a="1"/>
  <c r="S797" i="8" s="1"/>
  <c r="R797" i="8" a="1"/>
  <c r="R797" i="8" s="1"/>
  <c r="Q797" i="8" a="1"/>
  <c r="Q797" i="8" s="1"/>
  <c r="P797" i="8" a="1"/>
  <c r="P797" i="8" s="1"/>
  <c r="O797" i="8" a="1"/>
  <c r="O797" i="8" s="1"/>
  <c r="N797" i="8" a="1"/>
  <c r="N797" i="8" s="1"/>
  <c r="M797" i="8" a="1"/>
  <c r="M797" i="8" s="1"/>
  <c r="L797" i="8" a="1"/>
  <c r="L797" i="8" s="1"/>
  <c r="K797" i="8" a="1"/>
  <c r="K797" i="8" s="1"/>
  <c r="J797" i="8" a="1"/>
  <c r="J797" i="8" s="1"/>
  <c r="I797" i="8" a="1"/>
  <c r="I797" i="8" s="1"/>
  <c r="H797" i="8" a="1"/>
  <c r="H797" i="8" s="1"/>
  <c r="G797" i="8" a="1"/>
  <c r="G797" i="8" s="1"/>
  <c r="F797" i="8" a="1"/>
  <c r="F797" i="8" s="1"/>
  <c r="E797" i="8" a="1"/>
  <c r="E797" i="8" s="1"/>
  <c r="AB796" i="8" a="1"/>
  <c r="AB796" i="8" s="1"/>
  <c r="AA796" i="8" a="1"/>
  <c r="AA796" i="8" s="1"/>
  <c r="Z796" i="8" a="1"/>
  <c r="Z796" i="8" s="1"/>
  <c r="Y796" i="8" a="1"/>
  <c r="Y796" i="8" s="1"/>
  <c r="X796" i="8" a="1"/>
  <c r="X796" i="8" s="1"/>
  <c r="W796" i="8" a="1"/>
  <c r="W796" i="8" s="1"/>
  <c r="V796" i="8" a="1"/>
  <c r="V796" i="8" s="1"/>
  <c r="U796" i="8" a="1"/>
  <c r="U796" i="8" s="1"/>
  <c r="T796" i="8" a="1"/>
  <c r="T796" i="8" s="1"/>
  <c r="S796" i="8" a="1"/>
  <c r="S796" i="8" s="1"/>
  <c r="R796" i="8" a="1"/>
  <c r="R796" i="8" s="1"/>
  <c r="Q796" i="8" a="1"/>
  <c r="Q796" i="8" s="1"/>
  <c r="P796" i="8" a="1"/>
  <c r="P796" i="8" s="1"/>
  <c r="O796" i="8" a="1"/>
  <c r="O796" i="8" s="1"/>
  <c r="N796" i="8" a="1"/>
  <c r="N796" i="8" s="1"/>
  <c r="M796" i="8" a="1"/>
  <c r="M796" i="8" s="1"/>
  <c r="L796" i="8" a="1"/>
  <c r="L796" i="8" s="1"/>
  <c r="K796" i="8" a="1"/>
  <c r="K796" i="8" s="1"/>
  <c r="J796" i="8" a="1"/>
  <c r="J796" i="8" s="1"/>
  <c r="I796" i="8" a="1"/>
  <c r="I796" i="8" s="1"/>
  <c r="H796" i="8" a="1"/>
  <c r="H796" i="8" s="1"/>
  <c r="G796" i="8" a="1"/>
  <c r="G796" i="8" s="1"/>
  <c r="F796" i="8" a="1"/>
  <c r="F796" i="8" s="1"/>
  <c r="E796" i="8" a="1"/>
  <c r="E796" i="8" s="1"/>
  <c r="AB795" i="8" a="1"/>
  <c r="AB795" i="8" s="1"/>
  <c r="AA795" i="8" a="1"/>
  <c r="AA795" i="8" s="1"/>
  <c r="Z795" i="8" a="1"/>
  <c r="Z795" i="8" s="1"/>
  <c r="Y795" i="8" a="1"/>
  <c r="Y795" i="8" s="1"/>
  <c r="X795" i="8" a="1"/>
  <c r="X795" i="8" s="1"/>
  <c r="W795" i="8" a="1"/>
  <c r="W795" i="8" s="1"/>
  <c r="V795" i="8" a="1"/>
  <c r="V795" i="8" s="1"/>
  <c r="U795" i="8" a="1"/>
  <c r="U795" i="8" s="1"/>
  <c r="T795" i="8" a="1"/>
  <c r="T795" i="8" s="1"/>
  <c r="S795" i="8" a="1"/>
  <c r="S795" i="8" s="1"/>
  <c r="R795" i="8" a="1"/>
  <c r="R795" i="8" s="1"/>
  <c r="Q795" i="8" a="1"/>
  <c r="Q795" i="8" s="1"/>
  <c r="P795" i="8" a="1"/>
  <c r="P795" i="8" s="1"/>
  <c r="O795" i="8" a="1"/>
  <c r="O795" i="8" s="1"/>
  <c r="N795" i="8" a="1"/>
  <c r="N795" i="8" s="1"/>
  <c r="M795" i="8" a="1"/>
  <c r="M795" i="8" s="1"/>
  <c r="L795" i="8" a="1"/>
  <c r="L795" i="8" s="1"/>
  <c r="K795" i="8" a="1"/>
  <c r="K795" i="8" s="1"/>
  <c r="J795" i="8" a="1"/>
  <c r="J795" i="8" s="1"/>
  <c r="I795" i="8" a="1"/>
  <c r="I795" i="8" s="1"/>
  <c r="H795" i="8" a="1"/>
  <c r="H795" i="8" s="1"/>
  <c r="G795" i="8" a="1"/>
  <c r="G795" i="8" s="1"/>
  <c r="F795" i="8" a="1"/>
  <c r="F795" i="8" s="1"/>
  <c r="E795" i="8" a="1"/>
  <c r="E795" i="8" s="1"/>
  <c r="AB794" i="8" a="1"/>
  <c r="AB794" i="8" s="1"/>
  <c r="AA794" i="8" a="1"/>
  <c r="AA794" i="8" s="1"/>
  <c r="Z794" i="8" a="1"/>
  <c r="Z794" i="8" s="1"/>
  <c r="Y794" i="8" a="1"/>
  <c r="Y794" i="8" s="1"/>
  <c r="X794" i="8" a="1"/>
  <c r="X794" i="8" s="1"/>
  <c r="W794" i="8" a="1"/>
  <c r="W794" i="8" s="1"/>
  <c r="V794" i="8" a="1"/>
  <c r="V794" i="8" s="1"/>
  <c r="U794" i="8" a="1"/>
  <c r="U794" i="8" s="1"/>
  <c r="T794" i="8" a="1"/>
  <c r="T794" i="8" s="1"/>
  <c r="S794" i="8" a="1"/>
  <c r="S794" i="8" s="1"/>
  <c r="R794" i="8" a="1"/>
  <c r="R794" i="8" s="1"/>
  <c r="Q794" i="8" a="1"/>
  <c r="Q794" i="8" s="1"/>
  <c r="P794" i="8" a="1"/>
  <c r="P794" i="8" s="1"/>
  <c r="O794" i="8" a="1"/>
  <c r="O794" i="8" s="1"/>
  <c r="N794" i="8" a="1"/>
  <c r="N794" i="8" s="1"/>
  <c r="M794" i="8" a="1"/>
  <c r="M794" i="8" s="1"/>
  <c r="L794" i="8" a="1"/>
  <c r="L794" i="8" s="1"/>
  <c r="K794" i="8" a="1"/>
  <c r="K794" i="8" s="1"/>
  <c r="J794" i="8" a="1"/>
  <c r="J794" i="8" s="1"/>
  <c r="I794" i="8" a="1"/>
  <c r="I794" i="8" s="1"/>
  <c r="H794" i="8" a="1"/>
  <c r="H794" i="8" s="1"/>
  <c r="G794" i="8" a="1"/>
  <c r="G794" i="8" s="1"/>
  <c r="F794" i="8" a="1"/>
  <c r="F794" i="8" s="1"/>
  <c r="E794" i="8" a="1"/>
  <c r="E794" i="8" s="1"/>
  <c r="AB793" i="8" a="1"/>
  <c r="AB793" i="8" s="1"/>
  <c r="AA793" i="8" a="1"/>
  <c r="AA793" i="8" s="1"/>
  <c r="Z793" i="8" a="1"/>
  <c r="Z793" i="8" s="1"/>
  <c r="Y793" i="8" a="1"/>
  <c r="Y793" i="8" s="1"/>
  <c r="X793" i="8" a="1"/>
  <c r="X793" i="8" s="1"/>
  <c r="W793" i="8" a="1"/>
  <c r="W793" i="8" s="1"/>
  <c r="V793" i="8" a="1"/>
  <c r="V793" i="8" s="1"/>
  <c r="U793" i="8" a="1"/>
  <c r="U793" i="8" s="1"/>
  <c r="T793" i="8" a="1"/>
  <c r="T793" i="8" s="1"/>
  <c r="S793" i="8" a="1"/>
  <c r="S793" i="8" s="1"/>
  <c r="R793" i="8" a="1"/>
  <c r="R793" i="8" s="1"/>
  <c r="Q793" i="8" a="1"/>
  <c r="Q793" i="8" s="1"/>
  <c r="P793" i="8" a="1"/>
  <c r="P793" i="8" s="1"/>
  <c r="O793" i="8" a="1"/>
  <c r="O793" i="8" s="1"/>
  <c r="N793" i="8" a="1"/>
  <c r="N793" i="8" s="1"/>
  <c r="M793" i="8" a="1"/>
  <c r="M793" i="8" s="1"/>
  <c r="L793" i="8" a="1"/>
  <c r="L793" i="8" s="1"/>
  <c r="K793" i="8" a="1"/>
  <c r="K793" i="8" s="1"/>
  <c r="J793" i="8" a="1"/>
  <c r="J793" i="8" s="1"/>
  <c r="I793" i="8" a="1"/>
  <c r="I793" i="8" s="1"/>
  <c r="H793" i="8" a="1"/>
  <c r="H793" i="8" s="1"/>
  <c r="G793" i="8" a="1"/>
  <c r="G793" i="8" s="1"/>
  <c r="F793" i="8" a="1"/>
  <c r="F793" i="8" s="1"/>
  <c r="E793" i="8" a="1"/>
  <c r="E793" i="8" s="1"/>
  <c r="AB792" i="8" a="1"/>
  <c r="AB792" i="8" s="1"/>
  <c r="AA792" i="8" a="1"/>
  <c r="AA792" i="8" s="1"/>
  <c r="Z792" i="8" a="1"/>
  <c r="Z792" i="8" s="1"/>
  <c r="Y792" i="8" a="1"/>
  <c r="Y792" i="8" s="1"/>
  <c r="X792" i="8" a="1"/>
  <c r="X792" i="8" s="1"/>
  <c r="W792" i="8" a="1"/>
  <c r="W792" i="8" s="1"/>
  <c r="V792" i="8" a="1"/>
  <c r="V792" i="8" s="1"/>
  <c r="U792" i="8" a="1"/>
  <c r="U792" i="8" s="1"/>
  <c r="T792" i="8" a="1"/>
  <c r="T792" i="8" s="1"/>
  <c r="S792" i="8" a="1"/>
  <c r="S792" i="8" s="1"/>
  <c r="R792" i="8" a="1"/>
  <c r="R792" i="8" s="1"/>
  <c r="Q792" i="8" a="1"/>
  <c r="Q792" i="8" s="1"/>
  <c r="P792" i="8" a="1"/>
  <c r="P792" i="8" s="1"/>
  <c r="O792" i="8" a="1"/>
  <c r="O792" i="8" s="1"/>
  <c r="N792" i="8" a="1"/>
  <c r="N792" i="8" s="1"/>
  <c r="M792" i="8" a="1"/>
  <c r="M792" i="8" s="1"/>
  <c r="L792" i="8" a="1"/>
  <c r="L792" i="8" s="1"/>
  <c r="K792" i="8" a="1"/>
  <c r="K792" i="8" s="1"/>
  <c r="J792" i="8" a="1"/>
  <c r="J792" i="8" s="1"/>
  <c r="I792" i="8" a="1"/>
  <c r="I792" i="8" s="1"/>
  <c r="H792" i="8" a="1"/>
  <c r="H792" i="8" s="1"/>
  <c r="G792" i="8" a="1"/>
  <c r="G792" i="8" s="1"/>
  <c r="F792" i="8" a="1"/>
  <c r="F792" i="8" s="1"/>
  <c r="E792" i="8" a="1"/>
  <c r="E792" i="8" s="1"/>
  <c r="AB791" i="8" a="1"/>
  <c r="AB791" i="8" s="1"/>
  <c r="AA791" i="8" a="1"/>
  <c r="AA791" i="8" s="1"/>
  <c r="Z791" i="8" a="1"/>
  <c r="Z791" i="8" s="1"/>
  <c r="Y791" i="8" a="1"/>
  <c r="Y791" i="8" s="1"/>
  <c r="X791" i="8" a="1"/>
  <c r="X791" i="8" s="1"/>
  <c r="W791" i="8" a="1"/>
  <c r="W791" i="8" s="1"/>
  <c r="V791" i="8" a="1"/>
  <c r="V791" i="8" s="1"/>
  <c r="U791" i="8" a="1"/>
  <c r="U791" i="8" s="1"/>
  <c r="T791" i="8" a="1"/>
  <c r="T791" i="8" s="1"/>
  <c r="S791" i="8" a="1"/>
  <c r="S791" i="8" s="1"/>
  <c r="R791" i="8" a="1"/>
  <c r="R791" i="8" s="1"/>
  <c r="Q791" i="8" a="1"/>
  <c r="Q791" i="8" s="1"/>
  <c r="P791" i="8" a="1"/>
  <c r="P791" i="8" s="1"/>
  <c r="O791" i="8" a="1"/>
  <c r="O791" i="8" s="1"/>
  <c r="N791" i="8" a="1"/>
  <c r="N791" i="8" s="1"/>
  <c r="M791" i="8" a="1"/>
  <c r="M791" i="8" s="1"/>
  <c r="L791" i="8" a="1"/>
  <c r="L791" i="8" s="1"/>
  <c r="K791" i="8" a="1"/>
  <c r="K791" i="8" s="1"/>
  <c r="J791" i="8" a="1"/>
  <c r="J791" i="8" s="1"/>
  <c r="I791" i="8" a="1"/>
  <c r="I791" i="8" s="1"/>
  <c r="H791" i="8" a="1"/>
  <c r="H791" i="8" s="1"/>
  <c r="G791" i="8" a="1"/>
  <c r="G791" i="8" s="1"/>
  <c r="F791" i="8" a="1"/>
  <c r="F791" i="8" s="1"/>
  <c r="E791" i="8" a="1"/>
  <c r="E791" i="8" s="1"/>
  <c r="AB790" i="8" a="1"/>
  <c r="AB790" i="8" s="1"/>
  <c r="AA790" i="8" a="1"/>
  <c r="AA790" i="8" s="1"/>
  <c r="Z790" i="8" a="1"/>
  <c r="Z790" i="8" s="1"/>
  <c r="Y790" i="8" a="1"/>
  <c r="Y790" i="8" s="1"/>
  <c r="X790" i="8" a="1"/>
  <c r="X790" i="8" s="1"/>
  <c r="W790" i="8" a="1"/>
  <c r="W790" i="8" s="1"/>
  <c r="V790" i="8" a="1"/>
  <c r="V790" i="8" s="1"/>
  <c r="U790" i="8" a="1"/>
  <c r="U790" i="8" s="1"/>
  <c r="T790" i="8" a="1"/>
  <c r="T790" i="8" s="1"/>
  <c r="S790" i="8" a="1"/>
  <c r="S790" i="8" s="1"/>
  <c r="R790" i="8" a="1"/>
  <c r="R790" i="8" s="1"/>
  <c r="Q790" i="8" a="1"/>
  <c r="Q790" i="8" s="1"/>
  <c r="P790" i="8" a="1"/>
  <c r="P790" i="8" s="1"/>
  <c r="O790" i="8" a="1"/>
  <c r="O790" i="8" s="1"/>
  <c r="N790" i="8" a="1"/>
  <c r="N790" i="8" s="1"/>
  <c r="M790" i="8" a="1"/>
  <c r="M790" i="8" s="1"/>
  <c r="L790" i="8" a="1"/>
  <c r="L790" i="8" s="1"/>
  <c r="K790" i="8" a="1"/>
  <c r="K790" i="8" s="1"/>
  <c r="J790" i="8" a="1"/>
  <c r="J790" i="8" s="1"/>
  <c r="I790" i="8" a="1"/>
  <c r="I790" i="8" s="1"/>
  <c r="H790" i="8" a="1"/>
  <c r="H790" i="8" s="1"/>
  <c r="G790" i="8" a="1"/>
  <c r="G790" i="8" s="1"/>
  <c r="F790" i="8" a="1"/>
  <c r="F790" i="8" s="1"/>
  <c r="E790" i="8" a="1"/>
  <c r="E790" i="8" s="1"/>
  <c r="AB789" i="8" a="1"/>
  <c r="AB789" i="8" s="1"/>
  <c r="AA789" i="8" a="1"/>
  <c r="AA789" i="8" s="1"/>
  <c r="Z789" i="8" a="1"/>
  <c r="Z789" i="8" s="1"/>
  <c r="Y789" i="8" a="1"/>
  <c r="Y789" i="8" s="1"/>
  <c r="X789" i="8" a="1"/>
  <c r="X789" i="8" s="1"/>
  <c r="W789" i="8" a="1"/>
  <c r="W789" i="8" s="1"/>
  <c r="V789" i="8" a="1"/>
  <c r="V789" i="8" s="1"/>
  <c r="U789" i="8" a="1"/>
  <c r="U789" i="8" s="1"/>
  <c r="T789" i="8" a="1"/>
  <c r="T789" i="8" s="1"/>
  <c r="S789" i="8" a="1"/>
  <c r="S789" i="8" s="1"/>
  <c r="R789" i="8" a="1"/>
  <c r="R789" i="8" s="1"/>
  <c r="Q789" i="8" a="1"/>
  <c r="Q789" i="8" s="1"/>
  <c r="P789" i="8" a="1"/>
  <c r="P789" i="8" s="1"/>
  <c r="O789" i="8" a="1"/>
  <c r="O789" i="8" s="1"/>
  <c r="N789" i="8" a="1"/>
  <c r="N789" i="8" s="1"/>
  <c r="M789" i="8" a="1"/>
  <c r="M789" i="8" s="1"/>
  <c r="L789" i="8" a="1"/>
  <c r="L789" i="8" s="1"/>
  <c r="K789" i="8" a="1"/>
  <c r="K789" i="8" s="1"/>
  <c r="J789" i="8" a="1"/>
  <c r="J789" i="8" s="1"/>
  <c r="I789" i="8" a="1"/>
  <c r="I789" i="8" s="1"/>
  <c r="H789" i="8" a="1"/>
  <c r="H789" i="8" s="1"/>
  <c r="G789" i="8" a="1"/>
  <c r="G789" i="8" s="1"/>
  <c r="F789" i="8" a="1"/>
  <c r="F789" i="8" s="1"/>
  <c r="E789" i="8" a="1"/>
  <c r="E789" i="8" s="1"/>
  <c r="AB788" i="8" a="1"/>
  <c r="AB788" i="8" s="1"/>
  <c r="AA788" i="8" a="1"/>
  <c r="AA788" i="8" s="1"/>
  <c r="Z788" i="8" a="1"/>
  <c r="Z788" i="8" s="1"/>
  <c r="Y788" i="8" a="1"/>
  <c r="Y788" i="8" s="1"/>
  <c r="X788" i="8" a="1"/>
  <c r="X788" i="8" s="1"/>
  <c r="W788" i="8" a="1"/>
  <c r="W788" i="8" s="1"/>
  <c r="V788" i="8" a="1"/>
  <c r="V788" i="8" s="1"/>
  <c r="U788" i="8" a="1"/>
  <c r="U788" i="8" s="1"/>
  <c r="T788" i="8" a="1"/>
  <c r="T788" i="8" s="1"/>
  <c r="S788" i="8" a="1"/>
  <c r="S788" i="8" s="1"/>
  <c r="R788" i="8" a="1"/>
  <c r="R788" i="8" s="1"/>
  <c r="Q788" i="8" a="1"/>
  <c r="Q788" i="8" s="1"/>
  <c r="P788" i="8" a="1"/>
  <c r="P788" i="8" s="1"/>
  <c r="O788" i="8" a="1"/>
  <c r="O788" i="8" s="1"/>
  <c r="N788" i="8" a="1"/>
  <c r="N788" i="8" s="1"/>
  <c r="M788" i="8" a="1"/>
  <c r="M788" i="8" s="1"/>
  <c r="L788" i="8" a="1"/>
  <c r="L788" i="8" s="1"/>
  <c r="K788" i="8" a="1"/>
  <c r="K788" i="8" s="1"/>
  <c r="J788" i="8" a="1"/>
  <c r="J788" i="8" s="1"/>
  <c r="I788" i="8" a="1"/>
  <c r="I788" i="8" s="1"/>
  <c r="H788" i="8" a="1"/>
  <c r="H788" i="8" s="1"/>
  <c r="G788" i="8" a="1"/>
  <c r="G788" i="8" s="1"/>
  <c r="F788" i="8" a="1"/>
  <c r="F788" i="8" s="1"/>
  <c r="E788" i="8" a="1"/>
  <c r="E788" i="8" s="1"/>
  <c r="AB787" i="8" a="1"/>
  <c r="AB787" i="8" s="1"/>
  <c r="AA787" i="8" a="1"/>
  <c r="AA787" i="8" s="1"/>
  <c r="Z787" i="8" a="1"/>
  <c r="Z787" i="8" s="1"/>
  <c r="Y787" i="8" a="1"/>
  <c r="Y787" i="8" s="1"/>
  <c r="X787" i="8" a="1"/>
  <c r="X787" i="8" s="1"/>
  <c r="W787" i="8" a="1"/>
  <c r="W787" i="8" s="1"/>
  <c r="V787" i="8" a="1"/>
  <c r="V787" i="8" s="1"/>
  <c r="U787" i="8" a="1"/>
  <c r="U787" i="8" s="1"/>
  <c r="T787" i="8" a="1"/>
  <c r="T787" i="8" s="1"/>
  <c r="S787" i="8" a="1"/>
  <c r="S787" i="8" s="1"/>
  <c r="R787" i="8" a="1"/>
  <c r="R787" i="8" s="1"/>
  <c r="Q787" i="8" a="1"/>
  <c r="Q787" i="8" s="1"/>
  <c r="P787" i="8" a="1"/>
  <c r="P787" i="8" s="1"/>
  <c r="O787" i="8" a="1"/>
  <c r="O787" i="8" s="1"/>
  <c r="N787" i="8" a="1"/>
  <c r="N787" i="8" s="1"/>
  <c r="M787" i="8" a="1"/>
  <c r="M787" i="8" s="1"/>
  <c r="L787" i="8" a="1"/>
  <c r="L787" i="8" s="1"/>
  <c r="K787" i="8" a="1"/>
  <c r="K787" i="8" s="1"/>
  <c r="J787" i="8" a="1"/>
  <c r="J787" i="8" s="1"/>
  <c r="I787" i="8" a="1"/>
  <c r="I787" i="8" s="1"/>
  <c r="H787" i="8" a="1"/>
  <c r="H787" i="8" s="1"/>
  <c r="G787" i="8" a="1"/>
  <c r="G787" i="8" s="1"/>
  <c r="F787" i="8" a="1"/>
  <c r="F787" i="8" s="1"/>
  <c r="E787" i="8" a="1"/>
  <c r="E787" i="8" s="1"/>
  <c r="AB786" i="8" a="1"/>
  <c r="AB786" i="8" s="1"/>
  <c r="AA786" i="8" a="1"/>
  <c r="AA786" i="8" s="1"/>
  <c r="Z786" i="8" a="1"/>
  <c r="Z786" i="8" s="1"/>
  <c r="Y786" i="8" a="1"/>
  <c r="Y786" i="8" s="1"/>
  <c r="X786" i="8" a="1"/>
  <c r="X786" i="8" s="1"/>
  <c r="W786" i="8" a="1"/>
  <c r="W786" i="8" s="1"/>
  <c r="V786" i="8" a="1"/>
  <c r="V786" i="8" s="1"/>
  <c r="U786" i="8" a="1"/>
  <c r="U786" i="8" s="1"/>
  <c r="T786" i="8" a="1"/>
  <c r="T786" i="8" s="1"/>
  <c r="S786" i="8" a="1"/>
  <c r="S786" i="8" s="1"/>
  <c r="R786" i="8" a="1"/>
  <c r="R786" i="8" s="1"/>
  <c r="Q786" i="8" a="1"/>
  <c r="Q786" i="8" s="1"/>
  <c r="P786" i="8" a="1"/>
  <c r="P786" i="8" s="1"/>
  <c r="O786" i="8" a="1"/>
  <c r="O786" i="8" s="1"/>
  <c r="N786" i="8" a="1"/>
  <c r="N786" i="8" s="1"/>
  <c r="M786" i="8" a="1"/>
  <c r="M786" i="8" s="1"/>
  <c r="L786" i="8" a="1"/>
  <c r="L786" i="8" s="1"/>
  <c r="K786" i="8" a="1"/>
  <c r="K786" i="8" s="1"/>
  <c r="J786" i="8" a="1"/>
  <c r="J786" i="8" s="1"/>
  <c r="I786" i="8" a="1"/>
  <c r="I786" i="8" s="1"/>
  <c r="H786" i="8" a="1"/>
  <c r="H786" i="8" s="1"/>
  <c r="G786" i="8" a="1"/>
  <c r="G786" i="8" s="1"/>
  <c r="F786" i="8" a="1"/>
  <c r="F786" i="8" s="1"/>
  <c r="E786" i="8" a="1"/>
  <c r="E786" i="8" s="1"/>
  <c r="AB785" i="8" a="1"/>
  <c r="AB785" i="8" s="1"/>
  <c r="AA785" i="8" a="1"/>
  <c r="AA785" i="8" s="1"/>
  <c r="Z785" i="8" a="1"/>
  <c r="Z785" i="8" s="1"/>
  <c r="Y785" i="8" a="1"/>
  <c r="Y785" i="8" s="1"/>
  <c r="X785" i="8" a="1"/>
  <c r="X785" i="8" s="1"/>
  <c r="W785" i="8" a="1"/>
  <c r="W785" i="8" s="1"/>
  <c r="V785" i="8" a="1"/>
  <c r="V785" i="8" s="1"/>
  <c r="U785" i="8" a="1"/>
  <c r="U785" i="8" s="1"/>
  <c r="T785" i="8" a="1"/>
  <c r="T785" i="8" s="1"/>
  <c r="S785" i="8" a="1"/>
  <c r="S785" i="8" s="1"/>
  <c r="R785" i="8" a="1"/>
  <c r="R785" i="8" s="1"/>
  <c r="Q785" i="8" a="1"/>
  <c r="Q785" i="8" s="1"/>
  <c r="P785" i="8" a="1"/>
  <c r="P785" i="8" s="1"/>
  <c r="O785" i="8" a="1"/>
  <c r="O785" i="8" s="1"/>
  <c r="N785" i="8" a="1"/>
  <c r="N785" i="8" s="1"/>
  <c r="M785" i="8" a="1"/>
  <c r="M785" i="8" s="1"/>
  <c r="L785" i="8" a="1"/>
  <c r="L785" i="8" s="1"/>
  <c r="K785" i="8" a="1"/>
  <c r="K785" i="8" s="1"/>
  <c r="J785" i="8" a="1"/>
  <c r="J785" i="8" s="1"/>
  <c r="I785" i="8" a="1"/>
  <c r="I785" i="8" s="1"/>
  <c r="H785" i="8" a="1"/>
  <c r="H785" i="8" s="1"/>
  <c r="G785" i="8" a="1"/>
  <c r="G785" i="8" s="1"/>
  <c r="F785" i="8" a="1"/>
  <c r="F785" i="8" s="1"/>
  <c r="E785" i="8" a="1"/>
  <c r="E785" i="8" s="1"/>
  <c r="AB784" i="8" a="1"/>
  <c r="AB784" i="8" s="1"/>
  <c r="AA784" i="8" a="1"/>
  <c r="AA784" i="8" s="1"/>
  <c r="Z784" i="8" a="1"/>
  <c r="Z784" i="8" s="1"/>
  <c r="Y784" i="8" a="1"/>
  <c r="Y784" i="8" s="1"/>
  <c r="X784" i="8" a="1"/>
  <c r="X784" i="8" s="1"/>
  <c r="W784" i="8" a="1"/>
  <c r="W784" i="8" s="1"/>
  <c r="V784" i="8" a="1"/>
  <c r="V784" i="8" s="1"/>
  <c r="U784" i="8" a="1"/>
  <c r="U784" i="8" s="1"/>
  <c r="T784" i="8" a="1"/>
  <c r="T784" i="8" s="1"/>
  <c r="S784" i="8" a="1"/>
  <c r="S784" i="8" s="1"/>
  <c r="R784" i="8" a="1"/>
  <c r="R784" i="8" s="1"/>
  <c r="Q784" i="8" a="1"/>
  <c r="Q784" i="8" s="1"/>
  <c r="P784" i="8" a="1"/>
  <c r="P784" i="8" s="1"/>
  <c r="O784" i="8" a="1"/>
  <c r="O784" i="8" s="1"/>
  <c r="N784" i="8" a="1"/>
  <c r="N784" i="8" s="1"/>
  <c r="M784" i="8" a="1"/>
  <c r="M784" i="8" s="1"/>
  <c r="L784" i="8" a="1"/>
  <c r="L784" i="8" s="1"/>
  <c r="K784" i="8" a="1"/>
  <c r="K784" i="8" s="1"/>
  <c r="J784" i="8" a="1"/>
  <c r="J784" i="8" s="1"/>
  <c r="I784" i="8" a="1"/>
  <c r="I784" i="8" s="1"/>
  <c r="H784" i="8" a="1"/>
  <c r="H784" i="8" s="1"/>
  <c r="G784" i="8" a="1"/>
  <c r="G784" i="8" s="1"/>
  <c r="F784" i="8" a="1"/>
  <c r="F784" i="8" s="1"/>
  <c r="E784" i="8" a="1"/>
  <c r="E784" i="8" s="1"/>
  <c r="AB783" i="8" a="1"/>
  <c r="AB783" i="8" s="1"/>
  <c r="AA783" i="8" a="1"/>
  <c r="AA783" i="8" s="1"/>
  <c r="Z783" i="8" a="1"/>
  <c r="Z783" i="8" s="1"/>
  <c r="Y783" i="8" a="1"/>
  <c r="Y783" i="8" s="1"/>
  <c r="X783" i="8" a="1"/>
  <c r="X783" i="8" s="1"/>
  <c r="W783" i="8" a="1"/>
  <c r="W783" i="8" s="1"/>
  <c r="V783" i="8" a="1"/>
  <c r="V783" i="8" s="1"/>
  <c r="U783" i="8" a="1"/>
  <c r="U783" i="8" s="1"/>
  <c r="T783" i="8" a="1"/>
  <c r="T783" i="8" s="1"/>
  <c r="S783" i="8" a="1"/>
  <c r="S783" i="8" s="1"/>
  <c r="R783" i="8" a="1"/>
  <c r="R783" i="8" s="1"/>
  <c r="Q783" i="8" a="1"/>
  <c r="Q783" i="8" s="1"/>
  <c r="P783" i="8" a="1"/>
  <c r="P783" i="8" s="1"/>
  <c r="O783" i="8" a="1"/>
  <c r="O783" i="8" s="1"/>
  <c r="N783" i="8" a="1"/>
  <c r="N783" i="8" s="1"/>
  <c r="M783" i="8" a="1"/>
  <c r="M783" i="8" s="1"/>
  <c r="L783" i="8" a="1"/>
  <c r="L783" i="8" s="1"/>
  <c r="K783" i="8" a="1"/>
  <c r="K783" i="8" s="1"/>
  <c r="J783" i="8" a="1"/>
  <c r="J783" i="8" s="1"/>
  <c r="I783" i="8" a="1"/>
  <c r="I783" i="8" s="1"/>
  <c r="H783" i="8" a="1"/>
  <c r="H783" i="8" s="1"/>
  <c r="G783" i="8" a="1"/>
  <c r="G783" i="8" s="1"/>
  <c r="F783" i="8" a="1"/>
  <c r="F783" i="8" s="1"/>
  <c r="E783" i="8" a="1"/>
  <c r="E783" i="8" s="1"/>
  <c r="AB782" i="8" a="1"/>
  <c r="AB782" i="8" s="1"/>
  <c r="AA782" i="8" a="1"/>
  <c r="AA782" i="8" s="1"/>
  <c r="Z782" i="8" a="1"/>
  <c r="Z782" i="8" s="1"/>
  <c r="Y782" i="8" a="1"/>
  <c r="Y782" i="8" s="1"/>
  <c r="X782" i="8" a="1"/>
  <c r="X782" i="8" s="1"/>
  <c r="W782" i="8" a="1"/>
  <c r="W782" i="8" s="1"/>
  <c r="V782" i="8" a="1"/>
  <c r="V782" i="8" s="1"/>
  <c r="U782" i="8" a="1"/>
  <c r="U782" i="8" s="1"/>
  <c r="T782" i="8" a="1"/>
  <c r="T782" i="8" s="1"/>
  <c r="S782" i="8" a="1"/>
  <c r="S782" i="8" s="1"/>
  <c r="R782" i="8" a="1"/>
  <c r="R782" i="8" s="1"/>
  <c r="Q782" i="8" a="1"/>
  <c r="Q782" i="8" s="1"/>
  <c r="P782" i="8" a="1"/>
  <c r="P782" i="8" s="1"/>
  <c r="O782" i="8" a="1"/>
  <c r="O782" i="8" s="1"/>
  <c r="N782" i="8" a="1"/>
  <c r="N782" i="8" s="1"/>
  <c r="M782" i="8" a="1"/>
  <c r="M782" i="8" s="1"/>
  <c r="L782" i="8" a="1"/>
  <c r="L782" i="8" s="1"/>
  <c r="K782" i="8" a="1"/>
  <c r="K782" i="8" s="1"/>
  <c r="J782" i="8" a="1"/>
  <c r="J782" i="8" s="1"/>
  <c r="I782" i="8" a="1"/>
  <c r="I782" i="8" s="1"/>
  <c r="H782" i="8" a="1"/>
  <c r="H782" i="8" s="1"/>
  <c r="G782" i="8" a="1"/>
  <c r="G782" i="8" s="1"/>
  <c r="F782" i="8" a="1"/>
  <c r="F782" i="8" s="1"/>
  <c r="E782" i="8" a="1"/>
  <c r="E782" i="8" s="1"/>
  <c r="AB781" i="8" a="1"/>
  <c r="AB781" i="8" s="1"/>
  <c r="AA781" i="8" a="1"/>
  <c r="AA781" i="8" s="1"/>
  <c r="Z781" i="8" a="1"/>
  <c r="Z781" i="8" s="1"/>
  <c r="Y781" i="8" a="1"/>
  <c r="Y781" i="8" s="1"/>
  <c r="X781" i="8" a="1"/>
  <c r="X781" i="8" s="1"/>
  <c r="W781" i="8" a="1"/>
  <c r="W781" i="8" s="1"/>
  <c r="V781" i="8" a="1"/>
  <c r="V781" i="8" s="1"/>
  <c r="U781" i="8" a="1"/>
  <c r="U781" i="8" s="1"/>
  <c r="T781" i="8" a="1"/>
  <c r="T781" i="8" s="1"/>
  <c r="S781" i="8" a="1"/>
  <c r="S781" i="8" s="1"/>
  <c r="R781" i="8" a="1"/>
  <c r="R781" i="8" s="1"/>
  <c r="Q781" i="8" a="1"/>
  <c r="Q781" i="8" s="1"/>
  <c r="P781" i="8" a="1"/>
  <c r="P781" i="8" s="1"/>
  <c r="O781" i="8" a="1"/>
  <c r="O781" i="8" s="1"/>
  <c r="N781" i="8" a="1"/>
  <c r="N781" i="8" s="1"/>
  <c r="M781" i="8" a="1"/>
  <c r="M781" i="8" s="1"/>
  <c r="L781" i="8" a="1"/>
  <c r="L781" i="8" s="1"/>
  <c r="K781" i="8" a="1"/>
  <c r="K781" i="8" s="1"/>
  <c r="J781" i="8" a="1"/>
  <c r="J781" i="8" s="1"/>
  <c r="I781" i="8" a="1"/>
  <c r="I781" i="8" s="1"/>
  <c r="H781" i="8" a="1"/>
  <c r="H781" i="8" s="1"/>
  <c r="G781" i="8" a="1"/>
  <c r="G781" i="8" s="1"/>
  <c r="F781" i="8" a="1"/>
  <c r="F781" i="8" s="1"/>
  <c r="E781" i="8" a="1"/>
  <c r="E781" i="8" s="1"/>
  <c r="AB780" i="8" a="1"/>
  <c r="AB780" i="8" s="1"/>
  <c r="AA780" i="8" a="1"/>
  <c r="AA780" i="8" s="1"/>
  <c r="Z780" i="8" a="1"/>
  <c r="Z780" i="8" s="1"/>
  <c r="Y780" i="8" a="1"/>
  <c r="Y780" i="8" s="1"/>
  <c r="X780" i="8" a="1"/>
  <c r="X780" i="8" s="1"/>
  <c r="W780" i="8" a="1"/>
  <c r="W780" i="8" s="1"/>
  <c r="V780" i="8" a="1"/>
  <c r="V780" i="8" s="1"/>
  <c r="U780" i="8" a="1"/>
  <c r="U780" i="8" s="1"/>
  <c r="T780" i="8" a="1"/>
  <c r="T780" i="8" s="1"/>
  <c r="S780" i="8" a="1"/>
  <c r="S780" i="8" s="1"/>
  <c r="R780" i="8" a="1"/>
  <c r="R780" i="8" s="1"/>
  <c r="Q780" i="8" a="1"/>
  <c r="Q780" i="8" s="1"/>
  <c r="P780" i="8" a="1"/>
  <c r="P780" i="8" s="1"/>
  <c r="O780" i="8" a="1"/>
  <c r="O780" i="8" s="1"/>
  <c r="N780" i="8" a="1"/>
  <c r="N780" i="8" s="1"/>
  <c r="M780" i="8" a="1"/>
  <c r="M780" i="8" s="1"/>
  <c r="L780" i="8" a="1"/>
  <c r="L780" i="8" s="1"/>
  <c r="K780" i="8" a="1"/>
  <c r="K780" i="8" s="1"/>
  <c r="J780" i="8" a="1"/>
  <c r="J780" i="8" s="1"/>
  <c r="I780" i="8" a="1"/>
  <c r="I780" i="8" s="1"/>
  <c r="H780" i="8" a="1"/>
  <c r="H780" i="8" s="1"/>
  <c r="G780" i="8" a="1"/>
  <c r="G780" i="8" s="1"/>
  <c r="F780" i="8" a="1"/>
  <c r="F780" i="8" s="1"/>
  <c r="E780" i="8" a="1"/>
  <c r="E780" i="8" s="1"/>
  <c r="AB779" i="8" a="1"/>
  <c r="AB779" i="8" s="1"/>
  <c r="AA779" i="8" a="1"/>
  <c r="AA779" i="8" s="1"/>
  <c r="Z779" i="8" a="1"/>
  <c r="Z779" i="8" s="1"/>
  <c r="Y779" i="8" a="1"/>
  <c r="Y779" i="8" s="1"/>
  <c r="X779" i="8" a="1"/>
  <c r="X779" i="8" s="1"/>
  <c r="W779" i="8" a="1"/>
  <c r="W779" i="8" s="1"/>
  <c r="V779" i="8" a="1"/>
  <c r="V779" i="8" s="1"/>
  <c r="U779" i="8" a="1"/>
  <c r="U779" i="8" s="1"/>
  <c r="T779" i="8" a="1"/>
  <c r="T779" i="8" s="1"/>
  <c r="S779" i="8" a="1"/>
  <c r="S779" i="8" s="1"/>
  <c r="R779" i="8" a="1"/>
  <c r="R779" i="8" s="1"/>
  <c r="Q779" i="8" a="1"/>
  <c r="Q779" i="8" s="1"/>
  <c r="P779" i="8" a="1"/>
  <c r="P779" i="8" s="1"/>
  <c r="O779" i="8" a="1"/>
  <c r="O779" i="8" s="1"/>
  <c r="N779" i="8" a="1"/>
  <c r="N779" i="8" s="1"/>
  <c r="M779" i="8" a="1"/>
  <c r="M779" i="8" s="1"/>
  <c r="L779" i="8" a="1"/>
  <c r="L779" i="8" s="1"/>
  <c r="K779" i="8" a="1"/>
  <c r="K779" i="8" s="1"/>
  <c r="J779" i="8" a="1"/>
  <c r="J779" i="8" s="1"/>
  <c r="I779" i="8" a="1"/>
  <c r="I779" i="8" s="1"/>
  <c r="H779" i="8" a="1"/>
  <c r="H779" i="8" s="1"/>
  <c r="G779" i="8" a="1"/>
  <c r="G779" i="8" s="1"/>
  <c r="F779" i="8" a="1"/>
  <c r="F779" i="8" s="1"/>
  <c r="E779" i="8" a="1"/>
  <c r="E779" i="8" s="1"/>
  <c r="AB778" i="8" a="1"/>
  <c r="AB778" i="8" s="1"/>
  <c r="AA778" i="8" a="1"/>
  <c r="AA778" i="8" s="1"/>
  <c r="Z778" i="8" a="1"/>
  <c r="Z778" i="8" s="1"/>
  <c r="Y778" i="8" a="1"/>
  <c r="Y778" i="8" s="1"/>
  <c r="X778" i="8" a="1"/>
  <c r="X778" i="8" s="1"/>
  <c r="W778" i="8" a="1"/>
  <c r="W778" i="8" s="1"/>
  <c r="V778" i="8" a="1"/>
  <c r="V778" i="8" s="1"/>
  <c r="U778" i="8" a="1"/>
  <c r="U778" i="8" s="1"/>
  <c r="T778" i="8" a="1"/>
  <c r="T778" i="8" s="1"/>
  <c r="S778" i="8" a="1"/>
  <c r="S778" i="8" s="1"/>
  <c r="R778" i="8" a="1"/>
  <c r="R778" i="8" s="1"/>
  <c r="Q778" i="8" a="1"/>
  <c r="Q778" i="8" s="1"/>
  <c r="P778" i="8" a="1"/>
  <c r="P778" i="8" s="1"/>
  <c r="O778" i="8" a="1"/>
  <c r="O778" i="8" s="1"/>
  <c r="N778" i="8" a="1"/>
  <c r="N778" i="8" s="1"/>
  <c r="M778" i="8" a="1"/>
  <c r="M778" i="8" s="1"/>
  <c r="L778" i="8" a="1"/>
  <c r="L778" i="8" s="1"/>
  <c r="K778" i="8" a="1"/>
  <c r="K778" i="8" s="1"/>
  <c r="J778" i="8" a="1"/>
  <c r="J778" i="8" s="1"/>
  <c r="I778" i="8" a="1"/>
  <c r="I778" i="8" s="1"/>
  <c r="H778" i="8" a="1"/>
  <c r="H778" i="8" s="1"/>
  <c r="G778" i="8" a="1"/>
  <c r="G778" i="8" s="1"/>
  <c r="F778" i="8" a="1"/>
  <c r="F778" i="8" s="1"/>
  <c r="E778" i="8" a="1"/>
  <c r="E778" i="8" s="1"/>
  <c r="AB777" i="8" a="1"/>
  <c r="AB777" i="8" s="1"/>
  <c r="AA777" i="8" a="1"/>
  <c r="AA777" i="8" s="1"/>
  <c r="Z777" i="8" a="1"/>
  <c r="Z777" i="8" s="1"/>
  <c r="Y777" i="8" a="1"/>
  <c r="Y777" i="8" s="1"/>
  <c r="X777" i="8" a="1"/>
  <c r="X777" i="8" s="1"/>
  <c r="W777" i="8" a="1"/>
  <c r="W777" i="8" s="1"/>
  <c r="V777" i="8" a="1"/>
  <c r="V777" i="8" s="1"/>
  <c r="U777" i="8" a="1"/>
  <c r="U777" i="8" s="1"/>
  <c r="T777" i="8" a="1"/>
  <c r="T777" i="8" s="1"/>
  <c r="S777" i="8" a="1"/>
  <c r="S777" i="8" s="1"/>
  <c r="R777" i="8" a="1"/>
  <c r="R777" i="8" s="1"/>
  <c r="Q777" i="8" a="1"/>
  <c r="Q777" i="8" s="1"/>
  <c r="P777" i="8" a="1"/>
  <c r="P777" i="8" s="1"/>
  <c r="O777" i="8" a="1"/>
  <c r="O777" i="8" s="1"/>
  <c r="N777" i="8" a="1"/>
  <c r="N777" i="8" s="1"/>
  <c r="M777" i="8" a="1"/>
  <c r="M777" i="8" s="1"/>
  <c r="L777" i="8" a="1"/>
  <c r="L777" i="8" s="1"/>
  <c r="K777" i="8" a="1"/>
  <c r="K777" i="8" s="1"/>
  <c r="J777" i="8" a="1"/>
  <c r="J777" i="8" s="1"/>
  <c r="I777" i="8" a="1"/>
  <c r="I777" i="8" s="1"/>
  <c r="H777" i="8" a="1"/>
  <c r="H777" i="8" s="1"/>
  <c r="G777" i="8" a="1"/>
  <c r="G777" i="8" s="1"/>
  <c r="F777" i="8" a="1"/>
  <c r="F777" i="8" s="1"/>
  <c r="E777" i="8" a="1"/>
  <c r="E777" i="8" s="1"/>
  <c r="AB776" i="8" a="1"/>
  <c r="AB776" i="8" s="1"/>
  <c r="AA776" i="8" a="1"/>
  <c r="AA776" i="8" s="1"/>
  <c r="Z776" i="8" a="1"/>
  <c r="Z776" i="8" s="1"/>
  <c r="Y776" i="8" a="1"/>
  <c r="Y776" i="8" s="1"/>
  <c r="X776" i="8" a="1"/>
  <c r="X776" i="8" s="1"/>
  <c r="W776" i="8" a="1"/>
  <c r="W776" i="8" s="1"/>
  <c r="V776" i="8" a="1"/>
  <c r="V776" i="8" s="1"/>
  <c r="U776" i="8" a="1"/>
  <c r="U776" i="8" s="1"/>
  <c r="T776" i="8" a="1"/>
  <c r="T776" i="8" s="1"/>
  <c r="S776" i="8" a="1"/>
  <c r="S776" i="8" s="1"/>
  <c r="R776" i="8" a="1"/>
  <c r="R776" i="8" s="1"/>
  <c r="Q776" i="8" a="1"/>
  <c r="Q776" i="8" s="1"/>
  <c r="P776" i="8" a="1"/>
  <c r="P776" i="8" s="1"/>
  <c r="O776" i="8" a="1"/>
  <c r="O776" i="8" s="1"/>
  <c r="N776" i="8" a="1"/>
  <c r="N776" i="8" s="1"/>
  <c r="M776" i="8" a="1"/>
  <c r="M776" i="8" s="1"/>
  <c r="L776" i="8" a="1"/>
  <c r="L776" i="8" s="1"/>
  <c r="K776" i="8" a="1"/>
  <c r="K776" i="8" s="1"/>
  <c r="J776" i="8" a="1"/>
  <c r="J776" i="8" s="1"/>
  <c r="I776" i="8" a="1"/>
  <c r="I776" i="8" s="1"/>
  <c r="H776" i="8" a="1"/>
  <c r="H776" i="8" s="1"/>
  <c r="G776" i="8" a="1"/>
  <c r="G776" i="8" s="1"/>
  <c r="F776" i="8" a="1"/>
  <c r="F776" i="8" s="1"/>
  <c r="E776" i="8" a="1"/>
  <c r="E776" i="8" s="1"/>
  <c r="AB775" i="8" a="1"/>
  <c r="AB775" i="8" s="1"/>
  <c r="AA775" i="8" a="1"/>
  <c r="AA775" i="8" s="1"/>
  <c r="Z775" i="8" a="1"/>
  <c r="Z775" i="8" s="1"/>
  <c r="Y775" i="8" a="1"/>
  <c r="Y775" i="8" s="1"/>
  <c r="X775" i="8" a="1"/>
  <c r="X775" i="8" s="1"/>
  <c r="W775" i="8" a="1"/>
  <c r="W775" i="8" s="1"/>
  <c r="V775" i="8" a="1"/>
  <c r="V775" i="8" s="1"/>
  <c r="U775" i="8" a="1"/>
  <c r="U775" i="8" s="1"/>
  <c r="T775" i="8" a="1"/>
  <c r="T775" i="8" s="1"/>
  <c r="S775" i="8" a="1"/>
  <c r="S775" i="8" s="1"/>
  <c r="R775" i="8" a="1"/>
  <c r="R775" i="8" s="1"/>
  <c r="Q775" i="8" a="1"/>
  <c r="Q775" i="8" s="1"/>
  <c r="P775" i="8" a="1"/>
  <c r="P775" i="8" s="1"/>
  <c r="O775" i="8" a="1"/>
  <c r="O775" i="8" s="1"/>
  <c r="N775" i="8" a="1"/>
  <c r="N775" i="8" s="1"/>
  <c r="M775" i="8" a="1"/>
  <c r="M775" i="8" s="1"/>
  <c r="L775" i="8" a="1"/>
  <c r="L775" i="8" s="1"/>
  <c r="K775" i="8" a="1"/>
  <c r="K775" i="8" s="1"/>
  <c r="J775" i="8" a="1"/>
  <c r="J775" i="8" s="1"/>
  <c r="I775" i="8" a="1"/>
  <c r="I775" i="8" s="1"/>
  <c r="H775" i="8" a="1"/>
  <c r="H775" i="8" s="1"/>
  <c r="G775" i="8" a="1"/>
  <c r="G775" i="8" s="1"/>
  <c r="F775" i="8" a="1"/>
  <c r="F775" i="8" s="1"/>
  <c r="E775" i="8" a="1"/>
  <c r="E775" i="8" s="1"/>
  <c r="AB774" i="8" a="1"/>
  <c r="AB774" i="8" s="1"/>
  <c r="AA774" i="8" a="1"/>
  <c r="AA774" i="8" s="1"/>
  <c r="Z774" i="8" a="1"/>
  <c r="Z774" i="8" s="1"/>
  <c r="Y774" i="8" a="1"/>
  <c r="Y774" i="8" s="1"/>
  <c r="X774" i="8" a="1"/>
  <c r="X774" i="8" s="1"/>
  <c r="W774" i="8" a="1"/>
  <c r="W774" i="8" s="1"/>
  <c r="V774" i="8" a="1"/>
  <c r="V774" i="8" s="1"/>
  <c r="U774" i="8" a="1"/>
  <c r="U774" i="8" s="1"/>
  <c r="T774" i="8" a="1"/>
  <c r="T774" i="8" s="1"/>
  <c r="S774" i="8" a="1"/>
  <c r="S774" i="8" s="1"/>
  <c r="R774" i="8" a="1"/>
  <c r="R774" i="8" s="1"/>
  <c r="Q774" i="8" a="1"/>
  <c r="Q774" i="8" s="1"/>
  <c r="P774" i="8" a="1"/>
  <c r="P774" i="8" s="1"/>
  <c r="O774" i="8" a="1"/>
  <c r="O774" i="8" s="1"/>
  <c r="N774" i="8" a="1"/>
  <c r="N774" i="8" s="1"/>
  <c r="M774" i="8" a="1"/>
  <c r="M774" i="8" s="1"/>
  <c r="L774" i="8" a="1"/>
  <c r="L774" i="8" s="1"/>
  <c r="K774" i="8" a="1"/>
  <c r="K774" i="8" s="1"/>
  <c r="J774" i="8" a="1"/>
  <c r="J774" i="8" s="1"/>
  <c r="I774" i="8" a="1"/>
  <c r="I774" i="8" s="1"/>
  <c r="H774" i="8" a="1"/>
  <c r="H774" i="8" s="1"/>
  <c r="G774" i="8" a="1"/>
  <c r="G774" i="8" s="1"/>
  <c r="F774" i="8" a="1"/>
  <c r="F774" i="8" s="1"/>
  <c r="E774" i="8" a="1"/>
  <c r="E774" i="8" s="1"/>
  <c r="AB773" i="8" a="1"/>
  <c r="AB773" i="8" s="1"/>
  <c r="AA773" i="8" a="1"/>
  <c r="AA773" i="8" s="1"/>
  <c r="Z773" i="8" a="1"/>
  <c r="Z773" i="8" s="1"/>
  <c r="Y773" i="8" a="1"/>
  <c r="Y773" i="8" s="1"/>
  <c r="X773" i="8" a="1"/>
  <c r="X773" i="8" s="1"/>
  <c r="W773" i="8" a="1"/>
  <c r="W773" i="8" s="1"/>
  <c r="V773" i="8" a="1"/>
  <c r="V773" i="8" s="1"/>
  <c r="U773" i="8" a="1"/>
  <c r="U773" i="8" s="1"/>
  <c r="T773" i="8" a="1"/>
  <c r="T773" i="8" s="1"/>
  <c r="S773" i="8" a="1"/>
  <c r="S773" i="8" s="1"/>
  <c r="R773" i="8" a="1"/>
  <c r="R773" i="8" s="1"/>
  <c r="Q773" i="8" a="1"/>
  <c r="Q773" i="8" s="1"/>
  <c r="P773" i="8" a="1"/>
  <c r="P773" i="8" s="1"/>
  <c r="O773" i="8" a="1"/>
  <c r="O773" i="8" s="1"/>
  <c r="N773" i="8" a="1"/>
  <c r="N773" i="8" s="1"/>
  <c r="M773" i="8" a="1"/>
  <c r="M773" i="8" s="1"/>
  <c r="L773" i="8" a="1"/>
  <c r="L773" i="8" s="1"/>
  <c r="K773" i="8" a="1"/>
  <c r="K773" i="8" s="1"/>
  <c r="J773" i="8" a="1"/>
  <c r="J773" i="8" s="1"/>
  <c r="I773" i="8" a="1"/>
  <c r="I773" i="8" s="1"/>
  <c r="H773" i="8" a="1"/>
  <c r="H773" i="8" s="1"/>
  <c r="G773" i="8" a="1"/>
  <c r="G773" i="8" s="1"/>
  <c r="F773" i="8" a="1"/>
  <c r="F773" i="8" s="1"/>
  <c r="E773" i="8" a="1"/>
  <c r="E773" i="8" s="1"/>
  <c r="AB772" i="8" a="1"/>
  <c r="AB772" i="8" s="1"/>
  <c r="AA772" i="8" a="1"/>
  <c r="AA772" i="8" s="1"/>
  <c r="Z772" i="8" a="1"/>
  <c r="Z772" i="8" s="1"/>
  <c r="Y772" i="8" a="1"/>
  <c r="Y772" i="8" s="1"/>
  <c r="X772" i="8" a="1"/>
  <c r="X772" i="8" s="1"/>
  <c r="W772" i="8" a="1"/>
  <c r="W772" i="8" s="1"/>
  <c r="V772" i="8" a="1"/>
  <c r="V772" i="8" s="1"/>
  <c r="U772" i="8" a="1"/>
  <c r="U772" i="8" s="1"/>
  <c r="T772" i="8" a="1"/>
  <c r="T772" i="8" s="1"/>
  <c r="S772" i="8" a="1"/>
  <c r="S772" i="8" s="1"/>
  <c r="R772" i="8" a="1"/>
  <c r="R772" i="8" s="1"/>
  <c r="Q772" i="8" a="1"/>
  <c r="Q772" i="8" s="1"/>
  <c r="P772" i="8" a="1"/>
  <c r="P772" i="8" s="1"/>
  <c r="O772" i="8" a="1"/>
  <c r="O772" i="8" s="1"/>
  <c r="N772" i="8" a="1"/>
  <c r="N772" i="8" s="1"/>
  <c r="M772" i="8" a="1"/>
  <c r="M772" i="8" s="1"/>
  <c r="L772" i="8" a="1"/>
  <c r="L772" i="8" s="1"/>
  <c r="K772" i="8" a="1"/>
  <c r="K772" i="8" s="1"/>
  <c r="J772" i="8" a="1"/>
  <c r="J772" i="8" s="1"/>
  <c r="I772" i="8" a="1"/>
  <c r="I772" i="8" s="1"/>
  <c r="H772" i="8" a="1"/>
  <c r="H772" i="8" s="1"/>
  <c r="G772" i="8" a="1"/>
  <c r="G772" i="8" s="1"/>
  <c r="F772" i="8" a="1"/>
  <c r="F772" i="8" s="1"/>
  <c r="E772" i="8" a="1"/>
  <c r="E772" i="8" s="1"/>
  <c r="AB771" i="8" a="1"/>
  <c r="AB771" i="8" s="1"/>
  <c r="AA771" i="8" a="1"/>
  <c r="AA771" i="8" s="1"/>
  <c r="Z771" i="8" a="1"/>
  <c r="Z771" i="8" s="1"/>
  <c r="Y771" i="8" a="1"/>
  <c r="Y771" i="8" s="1"/>
  <c r="X771" i="8" a="1"/>
  <c r="X771" i="8" s="1"/>
  <c r="W771" i="8" a="1"/>
  <c r="W771" i="8" s="1"/>
  <c r="V771" i="8" a="1"/>
  <c r="V771" i="8" s="1"/>
  <c r="U771" i="8" a="1"/>
  <c r="U771" i="8" s="1"/>
  <c r="T771" i="8" a="1"/>
  <c r="T771" i="8" s="1"/>
  <c r="S771" i="8" a="1"/>
  <c r="S771" i="8" s="1"/>
  <c r="R771" i="8" a="1"/>
  <c r="R771" i="8" s="1"/>
  <c r="Q771" i="8" a="1"/>
  <c r="Q771" i="8" s="1"/>
  <c r="P771" i="8" a="1"/>
  <c r="P771" i="8" s="1"/>
  <c r="O771" i="8" a="1"/>
  <c r="O771" i="8" s="1"/>
  <c r="N771" i="8" a="1"/>
  <c r="N771" i="8" s="1"/>
  <c r="M771" i="8" a="1"/>
  <c r="M771" i="8" s="1"/>
  <c r="L771" i="8" a="1"/>
  <c r="L771" i="8" s="1"/>
  <c r="K771" i="8" a="1"/>
  <c r="K771" i="8" s="1"/>
  <c r="J771" i="8" a="1"/>
  <c r="J771" i="8" s="1"/>
  <c r="I771" i="8" a="1"/>
  <c r="I771" i="8" s="1"/>
  <c r="H771" i="8" a="1"/>
  <c r="H771" i="8" s="1"/>
  <c r="G771" i="8" a="1"/>
  <c r="G771" i="8" s="1"/>
  <c r="F771" i="8" a="1"/>
  <c r="F771" i="8" s="1"/>
  <c r="E771" i="8" a="1"/>
  <c r="E771" i="8" s="1"/>
  <c r="AB770" i="8" a="1"/>
  <c r="AB770" i="8" s="1"/>
  <c r="AA770" i="8" a="1"/>
  <c r="AA770" i="8" s="1"/>
  <c r="Z770" i="8" a="1"/>
  <c r="Z770" i="8" s="1"/>
  <c r="Y770" i="8" a="1"/>
  <c r="Y770" i="8" s="1"/>
  <c r="X770" i="8" a="1"/>
  <c r="X770" i="8" s="1"/>
  <c r="W770" i="8" a="1"/>
  <c r="W770" i="8" s="1"/>
  <c r="V770" i="8" a="1"/>
  <c r="V770" i="8" s="1"/>
  <c r="U770" i="8" a="1"/>
  <c r="U770" i="8" s="1"/>
  <c r="T770" i="8" a="1"/>
  <c r="T770" i="8" s="1"/>
  <c r="S770" i="8" a="1"/>
  <c r="S770" i="8" s="1"/>
  <c r="R770" i="8" a="1"/>
  <c r="R770" i="8" s="1"/>
  <c r="Q770" i="8" a="1"/>
  <c r="Q770" i="8" s="1"/>
  <c r="P770" i="8" a="1"/>
  <c r="P770" i="8" s="1"/>
  <c r="O770" i="8" a="1"/>
  <c r="O770" i="8" s="1"/>
  <c r="N770" i="8" a="1"/>
  <c r="N770" i="8" s="1"/>
  <c r="M770" i="8" a="1"/>
  <c r="M770" i="8" s="1"/>
  <c r="L770" i="8" a="1"/>
  <c r="L770" i="8" s="1"/>
  <c r="K770" i="8" a="1"/>
  <c r="K770" i="8" s="1"/>
  <c r="J770" i="8" a="1"/>
  <c r="J770" i="8" s="1"/>
  <c r="I770" i="8" a="1"/>
  <c r="I770" i="8" s="1"/>
  <c r="H770" i="8" a="1"/>
  <c r="H770" i="8" s="1"/>
  <c r="G770" i="8" a="1"/>
  <c r="G770" i="8" s="1"/>
  <c r="F770" i="8" a="1"/>
  <c r="F770" i="8" s="1"/>
  <c r="E770" i="8" a="1"/>
  <c r="E770" i="8" s="1"/>
  <c r="AB769" i="8" a="1"/>
  <c r="AB769" i="8" s="1"/>
  <c r="AA769" i="8" a="1"/>
  <c r="AA769" i="8" s="1"/>
  <c r="Z769" i="8" a="1"/>
  <c r="Z769" i="8" s="1"/>
  <c r="Y769" i="8" a="1"/>
  <c r="Y769" i="8" s="1"/>
  <c r="X769" i="8" a="1"/>
  <c r="X769" i="8" s="1"/>
  <c r="W769" i="8" a="1"/>
  <c r="W769" i="8" s="1"/>
  <c r="V769" i="8" a="1"/>
  <c r="V769" i="8" s="1"/>
  <c r="U769" i="8" a="1"/>
  <c r="U769" i="8" s="1"/>
  <c r="T769" i="8" a="1"/>
  <c r="T769" i="8" s="1"/>
  <c r="S769" i="8" a="1"/>
  <c r="S769" i="8" s="1"/>
  <c r="R769" i="8" a="1"/>
  <c r="R769" i="8" s="1"/>
  <c r="Q769" i="8" a="1"/>
  <c r="Q769" i="8" s="1"/>
  <c r="P769" i="8" a="1"/>
  <c r="P769" i="8" s="1"/>
  <c r="O769" i="8" a="1"/>
  <c r="O769" i="8" s="1"/>
  <c r="N769" i="8" a="1"/>
  <c r="N769" i="8" s="1"/>
  <c r="M769" i="8" a="1"/>
  <c r="M769" i="8" s="1"/>
  <c r="L769" i="8" a="1"/>
  <c r="L769" i="8" s="1"/>
  <c r="K769" i="8" a="1"/>
  <c r="K769" i="8" s="1"/>
  <c r="J769" i="8" a="1"/>
  <c r="J769" i="8" s="1"/>
  <c r="I769" i="8" a="1"/>
  <c r="I769" i="8" s="1"/>
  <c r="H769" i="8" a="1"/>
  <c r="H769" i="8" s="1"/>
  <c r="G769" i="8" a="1"/>
  <c r="G769" i="8" s="1"/>
  <c r="F769" i="8" a="1"/>
  <c r="F769" i="8" s="1"/>
  <c r="E769" i="8" a="1"/>
  <c r="E769" i="8" s="1"/>
  <c r="AB768" i="8" a="1"/>
  <c r="AB768" i="8" s="1"/>
  <c r="AA768" i="8" a="1"/>
  <c r="AA768" i="8" s="1"/>
  <c r="Z768" i="8" a="1"/>
  <c r="Z768" i="8" s="1"/>
  <c r="Y768" i="8" a="1"/>
  <c r="Y768" i="8" s="1"/>
  <c r="X768" i="8" a="1"/>
  <c r="X768" i="8" s="1"/>
  <c r="W768" i="8" a="1"/>
  <c r="W768" i="8" s="1"/>
  <c r="V768" i="8" a="1"/>
  <c r="V768" i="8" s="1"/>
  <c r="U768" i="8" a="1"/>
  <c r="U768" i="8" s="1"/>
  <c r="T768" i="8" a="1"/>
  <c r="T768" i="8" s="1"/>
  <c r="S768" i="8" a="1"/>
  <c r="S768" i="8" s="1"/>
  <c r="R768" i="8" a="1"/>
  <c r="R768" i="8" s="1"/>
  <c r="Q768" i="8" a="1"/>
  <c r="Q768" i="8" s="1"/>
  <c r="P768" i="8" a="1"/>
  <c r="P768" i="8" s="1"/>
  <c r="O768" i="8" a="1"/>
  <c r="O768" i="8" s="1"/>
  <c r="N768" i="8" a="1"/>
  <c r="N768" i="8" s="1"/>
  <c r="M768" i="8" a="1"/>
  <c r="M768" i="8" s="1"/>
  <c r="L768" i="8" a="1"/>
  <c r="L768" i="8" s="1"/>
  <c r="K768" i="8" a="1"/>
  <c r="K768" i="8" s="1"/>
  <c r="J768" i="8" a="1"/>
  <c r="J768" i="8" s="1"/>
  <c r="I768" i="8" a="1"/>
  <c r="I768" i="8" s="1"/>
  <c r="H768" i="8" a="1"/>
  <c r="H768" i="8" s="1"/>
  <c r="G768" i="8" a="1"/>
  <c r="G768" i="8" s="1"/>
  <c r="F768" i="8" a="1"/>
  <c r="F768" i="8" s="1"/>
  <c r="E768" i="8" a="1"/>
  <c r="E768" i="8" s="1"/>
  <c r="AB767" i="8" a="1"/>
  <c r="AB767" i="8" s="1"/>
  <c r="AA767" i="8" a="1"/>
  <c r="AA767" i="8" s="1"/>
  <c r="Z767" i="8" a="1"/>
  <c r="Z767" i="8" s="1"/>
  <c r="Y767" i="8" a="1"/>
  <c r="Y767" i="8" s="1"/>
  <c r="X767" i="8" a="1"/>
  <c r="X767" i="8" s="1"/>
  <c r="W767" i="8" a="1"/>
  <c r="W767" i="8" s="1"/>
  <c r="V767" i="8" a="1"/>
  <c r="V767" i="8" s="1"/>
  <c r="U767" i="8" a="1"/>
  <c r="U767" i="8" s="1"/>
  <c r="T767" i="8" a="1"/>
  <c r="T767" i="8" s="1"/>
  <c r="S767" i="8" a="1"/>
  <c r="S767" i="8" s="1"/>
  <c r="R767" i="8" a="1"/>
  <c r="R767" i="8" s="1"/>
  <c r="Q767" i="8" a="1"/>
  <c r="Q767" i="8" s="1"/>
  <c r="P767" i="8" a="1"/>
  <c r="P767" i="8" s="1"/>
  <c r="O767" i="8" a="1"/>
  <c r="O767" i="8" s="1"/>
  <c r="N767" i="8" a="1"/>
  <c r="N767" i="8" s="1"/>
  <c r="M767" i="8" a="1"/>
  <c r="M767" i="8" s="1"/>
  <c r="L767" i="8" a="1"/>
  <c r="L767" i="8" s="1"/>
  <c r="K767" i="8" a="1"/>
  <c r="K767" i="8" s="1"/>
  <c r="J767" i="8" a="1"/>
  <c r="J767" i="8" s="1"/>
  <c r="I767" i="8" a="1"/>
  <c r="I767" i="8" s="1"/>
  <c r="H767" i="8" a="1"/>
  <c r="H767" i="8" s="1"/>
  <c r="G767" i="8" a="1"/>
  <c r="G767" i="8" s="1"/>
  <c r="F767" i="8" a="1"/>
  <c r="F767" i="8" s="1"/>
  <c r="E767" i="8" a="1"/>
  <c r="E767" i="8" s="1"/>
  <c r="AB766" i="8" a="1"/>
  <c r="AB766" i="8" s="1"/>
  <c r="AA766" i="8" a="1"/>
  <c r="AA766" i="8" s="1"/>
  <c r="Z766" i="8" a="1"/>
  <c r="Z766" i="8" s="1"/>
  <c r="Y766" i="8" a="1"/>
  <c r="Y766" i="8" s="1"/>
  <c r="X766" i="8" a="1"/>
  <c r="X766" i="8" s="1"/>
  <c r="W766" i="8" a="1"/>
  <c r="W766" i="8" s="1"/>
  <c r="V766" i="8" a="1"/>
  <c r="V766" i="8" s="1"/>
  <c r="U766" i="8" a="1"/>
  <c r="U766" i="8" s="1"/>
  <c r="T766" i="8" a="1"/>
  <c r="T766" i="8" s="1"/>
  <c r="S766" i="8" a="1"/>
  <c r="S766" i="8" s="1"/>
  <c r="R766" i="8" a="1"/>
  <c r="R766" i="8" s="1"/>
  <c r="Q766" i="8" a="1"/>
  <c r="Q766" i="8" s="1"/>
  <c r="P766" i="8" a="1"/>
  <c r="P766" i="8" s="1"/>
  <c r="O766" i="8" a="1"/>
  <c r="O766" i="8" s="1"/>
  <c r="N766" i="8" a="1"/>
  <c r="N766" i="8" s="1"/>
  <c r="M766" i="8" a="1"/>
  <c r="M766" i="8" s="1"/>
  <c r="L766" i="8" a="1"/>
  <c r="L766" i="8" s="1"/>
  <c r="K766" i="8" a="1"/>
  <c r="K766" i="8" s="1"/>
  <c r="J766" i="8" a="1"/>
  <c r="J766" i="8" s="1"/>
  <c r="I766" i="8" a="1"/>
  <c r="I766" i="8" s="1"/>
  <c r="H766" i="8" a="1"/>
  <c r="H766" i="8" s="1"/>
  <c r="G766" i="8" a="1"/>
  <c r="G766" i="8" s="1"/>
  <c r="F766" i="8" a="1"/>
  <c r="F766" i="8" s="1"/>
  <c r="E766" i="8" a="1"/>
  <c r="E766" i="8" s="1"/>
  <c r="AB765" i="8" a="1"/>
  <c r="AB765" i="8" s="1"/>
  <c r="AA765" i="8" a="1"/>
  <c r="AA765" i="8" s="1"/>
  <c r="Z765" i="8" a="1"/>
  <c r="Z765" i="8" s="1"/>
  <c r="Y765" i="8" a="1"/>
  <c r="Y765" i="8" s="1"/>
  <c r="X765" i="8" a="1"/>
  <c r="X765" i="8" s="1"/>
  <c r="W765" i="8" a="1"/>
  <c r="W765" i="8" s="1"/>
  <c r="V765" i="8" a="1"/>
  <c r="V765" i="8" s="1"/>
  <c r="U765" i="8" a="1"/>
  <c r="U765" i="8" s="1"/>
  <c r="T765" i="8" a="1"/>
  <c r="T765" i="8" s="1"/>
  <c r="S765" i="8" a="1"/>
  <c r="S765" i="8" s="1"/>
  <c r="R765" i="8" a="1"/>
  <c r="R765" i="8" s="1"/>
  <c r="Q765" i="8" a="1"/>
  <c r="Q765" i="8" s="1"/>
  <c r="P765" i="8" a="1"/>
  <c r="P765" i="8" s="1"/>
  <c r="O765" i="8" a="1"/>
  <c r="O765" i="8" s="1"/>
  <c r="N765" i="8" a="1"/>
  <c r="N765" i="8" s="1"/>
  <c r="M765" i="8" a="1"/>
  <c r="M765" i="8" s="1"/>
  <c r="L765" i="8" a="1"/>
  <c r="L765" i="8" s="1"/>
  <c r="K765" i="8" a="1"/>
  <c r="K765" i="8" s="1"/>
  <c r="J765" i="8" a="1"/>
  <c r="J765" i="8" s="1"/>
  <c r="I765" i="8" a="1"/>
  <c r="I765" i="8" s="1"/>
  <c r="H765" i="8" a="1"/>
  <c r="H765" i="8" s="1"/>
  <c r="G765" i="8" a="1"/>
  <c r="G765" i="8" s="1"/>
  <c r="F765" i="8" a="1"/>
  <c r="F765" i="8" s="1"/>
  <c r="E765" i="8" a="1"/>
  <c r="E765" i="8" s="1"/>
  <c r="AB764" i="8" a="1"/>
  <c r="AB764" i="8" s="1"/>
  <c r="AA764" i="8" a="1"/>
  <c r="AA764" i="8" s="1"/>
  <c r="Z764" i="8" a="1"/>
  <c r="Z764" i="8" s="1"/>
  <c r="Y764" i="8" a="1"/>
  <c r="Y764" i="8" s="1"/>
  <c r="X764" i="8" a="1"/>
  <c r="X764" i="8" s="1"/>
  <c r="W764" i="8" a="1"/>
  <c r="W764" i="8" s="1"/>
  <c r="V764" i="8" a="1"/>
  <c r="V764" i="8" s="1"/>
  <c r="U764" i="8" a="1"/>
  <c r="U764" i="8" s="1"/>
  <c r="T764" i="8" a="1"/>
  <c r="T764" i="8" s="1"/>
  <c r="S764" i="8" a="1"/>
  <c r="S764" i="8" s="1"/>
  <c r="R764" i="8" a="1"/>
  <c r="R764" i="8" s="1"/>
  <c r="Q764" i="8" a="1"/>
  <c r="Q764" i="8" s="1"/>
  <c r="P764" i="8" a="1"/>
  <c r="P764" i="8" s="1"/>
  <c r="O764" i="8" a="1"/>
  <c r="O764" i="8" s="1"/>
  <c r="N764" i="8" a="1"/>
  <c r="N764" i="8" s="1"/>
  <c r="M764" i="8" a="1"/>
  <c r="M764" i="8" s="1"/>
  <c r="L764" i="8" a="1"/>
  <c r="L764" i="8" s="1"/>
  <c r="K764" i="8" a="1"/>
  <c r="K764" i="8" s="1"/>
  <c r="J764" i="8" a="1"/>
  <c r="J764" i="8" s="1"/>
  <c r="I764" i="8" a="1"/>
  <c r="I764" i="8" s="1"/>
  <c r="H764" i="8" a="1"/>
  <c r="H764" i="8" s="1"/>
  <c r="G764" i="8" a="1"/>
  <c r="G764" i="8" s="1"/>
  <c r="F764" i="8" a="1"/>
  <c r="F764" i="8" s="1"/>
  <c r="E764" i="8" a="1"/>
  <c r="E764" i="8" s="1"/>
  <c r="AB763" i="8" a="1"/>
  <c r="AB763" i="8" s="1"/>
  <c r="AA763" i="8" a="1"/>
  <c r="AA763" i="8" s="1"/>
  <c r="Z763" i="8" a="1"/>
  <c r="Z763" i="8" s="1"/>
  <c r="Y763" i="8" a="1"/>
  <c r="Y763" i="8" s="1"/>
  <c r="X763" i="8" a="1"/>
  <c r="X763" i="8" s="1"/>
  <c r="W763" i="8" a="1"/>
  <c r="W763" i="8" s="1"/>
  <c r="V763" i="8" a="1"/>
  <c r="V763" i="8" s="1"/>
  <c r="U763" i="8" a="1"/>
  <c r="U763" i="8" s="1"/>
  <c r="T763" i="8" a="1"/>
  <c r="T763" i="8" s="1"/>
  <c r="S763" i="8" a="1"/>
  <c r="S763" i="8" s="1"/>
  <c r="R763" i="8" a="1"/>
  <c r="R763" i="8" s="1"/>
  <c r="Q763" i="8" a="1"/>
  <c r="Q763" i="8" s="1"/>
  <c r="P763" i="8" a="1"/>
  <c r="P763" i="8" s="1"/>
  <c r="O763" i="8" a="1"/>
  <c r="O763" i="8" s="1"/>
  <c r="N763" i="8" a="1"/>
  <c r="N763" i="8" s="1"/>
  <c r="M763" i="8" a="1"/>
  <c r="M763" i="8" s="1"/>
  <c r="L763" i="8" a="1"/>
  <c r="L763" i="8" s="1"/>
  <c r="K763" i="8" a="1"/>
  <c r="K763" i="8" s="1"/>
  <c r="J763" i="8" a="1"/>
  <c r="J763" i="8" s="1"/>
  <c r="I763" i="8" a="1"/>
  <c r="I763" i="8" s="1"/>
  <c r="H763" i="8" a="1"/>
  <c r="H763" i="8" s="1"/>
  <c r="G763" i="8" a="1"/>
  <c r="G763" i="8" s="1"/>
  <c r="F763" i="8" a="1"/>
  <c r="F763" i="8" s="1"/>
  <c r="E763" i="8" a="1"/>
  <c r="E763" i="8" s="1"/>
  <c r="AB762" i="8" a="1"/>
  <c r="AB762" i="8" s="1"/>
  <c r="AA762" i="8" a="1"/>
  <c r="AA762" i="8" s="1"/>
  <c r="Z762" i="8" a="1"/>
  <c r="Z762" i="8" s="1"/>
  <c r="Y762" i="8" a="1"/>
  <c r="Y762" i="8" s="1"/>
  <c r="X762" i="8" a="1"/>
  <c r="X762" i="8" s="1"/>
  <c r="W762" i="8" a="1"/>
  <c r="W762" i="8" s="1"/>
  <c r="V762" i="8" a="1"/>
  <c r="V762" i="8" s="1"/>
  <c r="U762" i="8" a="1"/>
  <c r="U762" i="8" s="1"/>
  <c r="T762" i="8" a="1"/>
  <c r="T762" i="8" s="1"/>
  <c r="S762" i="8" a="1"/>
  <c r="S762" i="8" s="1"/>
  <c r="R762" i="8" a="1"/>
  <c r="R762" i="8" s="1"/>
  <c r="Q762" i="8" a="1"/>
  <c r="Q762" i="8" s="1"/>
  <c r="P762" i="8" a="1"/>
  <c r="P762" i="8" s="1"/>
  <c r="O762" i="8" a="1"/>
  <c r="O762" i="8" s="1"/>
  <c r="N762" i="8" a="1"/>
  <c r="N762" i="8" s="1"/>
  <c r="M762" i="8" a="1"/>
  <c r="M762" i="8" s="1"/>
  <c r="L762" i="8" a="1"/>
  <c r="L762" i="8" s="1"/>
  <c r="K762" i="8" a="1"/>
  <c r="K762" i="8" s="1"/>
  <c r="J762" i="8" a="1"/>
  <c r="J762" i="8" s="1"/>
  <c r="I762" i="8" a="1"/>
  <c r="I762" i="8" s="1"/>
  <c r="H762" i="8" a="1"/>
  <c r="H762" i="8" s="1"/>
  <c r="G762" i="8" a="1"/>
  <c r="G762" i="8" s="1"/>
  <c r="F762" i="8" a="1"/>
  <c r="F762" i="8" s="1"/>
  <c r="E762" i="8" a="1"/>
  <c r="E762" i="8" s="1"/>
  <c r="AB761" i="8" a="1"/>
  <c r="AB761" i="8" s="1"/>
  <c r="AA761" i="8" a="1"/>
  <c r="AA761" i="8" s="1"/>
  <c r="Z761" i="8" a="1"/>
  <c r="Z761" i="8" s="1"/>
  <c r="Y761" i="8" a="1"/>
  <c r="Y761" i="8" s="1"/>
  <c r="X761" i="8" a="1"/>
  <c r="X761" i="8" s="1"/>
  <c r="W761" i="8" a="1"/>
  <c r="W761" i="8" s="1"/>
  <c r="V761" i="8" a="1"/>
  <c r="V761" i="8" s="1"/>
  <c r="U761" i="8" a="1"/>
  <c r="U761" i="8" s="1"/>
  <c r="T761" i="8" a="1"/>
  <c r="T761" i="8" s="1"/>
  <c r="S761" i="8" a="1"/>
  <c r="S761" i="8" s="1"/>
  <c r="R761" i="8" a="1"/>
  <c r="R761" i="8" s="1"/>
  <c r="Q761" i="8" a="1"/>
  <c r="Q761" i="8" s="1"/>
  <c r="P761" i="8" a="1"/>
  <c r="P761" i="8" s="1"/>
  <c r="O761" i="8" a="1"/>
  <c r="O761" i="8" s="1"/>
  <c r="N761" i="8" a="1"/>
  <c r="N761" i="8" s="1"/>
  <c r="M761" i="8" a="1"/>
  <c r="M761" i="8" s="1"/>
  <c r="L761" i="8" a="1"/>
  <c r="L761" i="8" s="1"/>
  <c r="K761" i="8" a="1"/>
  <c r="K761" i="8" s="1"/>
  <c r="J761" i="8" a="1"/>
  <c r="J761" i="8" s="1"/>
  <c r="I761" i="8" a="1"/>
  <c r="I761" i="8" s="1"/>
  <c r="H761" i="8" a="1"/>
  <c r="H761" i="8" s="1"/>
  <c r="G761" i="8" a="1"/>
  <c r="G761" i="8" s="1"/>
  <c r="F761" i="8" a="1"/>
  <c r="F761" i="8" s="1"/>
  <c r="E761" i="8" a="1"/>
  <c r="E761" i="8" s="1"/>
  <c r="AB760" i="8" a="1"/>
  <c r="AB760" i="8" s="1"/>
  <c r="AA760" i="8" a="1"/>
  <c r="AA760" i="8" s="1"/>
  <c r="Z760" i="8" a="1"/>
  <c r="Z760" i="8" s="1"/>
  <c r="Y760" i="8" a="1"/>
  <c r="Y760" i="8" s="1"/>
  <c r="X760" i="8" a="1"/>
  <c r="X760" i="8" s="1"/>
  <c r="W760" i="8" a="1"/>
  <c r="W760" i="8" s="1"/>
  <c r="V760" i="8" a="1"/>
  <c r="V760" i="8" s="1"/>
  <c r="U760" i="8" a="1"/>
  <c r="U760" i="8" s="1"/>
  <c r="T760" i="8" a="1"/>
  <c r="T760" i="8" s="1"/>
  <c r="S760" i="8" a="1"/>
  <c r="S760" i="8" s="1"/>
  <c r="R760" i="8" a="1"/>
  <c r="R760" i="8" s="1"/>
  <c r="Q760" i="8" a="1"/>
  <c r="Q760" i="8" s="1"/>
  <c r="P760" i="8" a="1"/>
  <c r="P760" i="8" s="1"/>
  <c r="O760" i="8" a="1"/>
  <c r="O760" i="8" s="1"/>
  <c r="N760" i="8" a="1"/>
  <c r="N760" i="8" s="1"/>
  <c r="M760" i="8" a="1"/>
  <c r="M760" i="8" s="1"/>
  <c r="L760" i="8" a="1"/>
  <c r="L760" i="8" s="1"/>
  <c r="K760" i="8" a="1"/>
  <c r="K760" i="8" s="1"/>
  <c r="J760" i="8" a="1"/>
  <c r="J760" i="8" s="1"/>
  <c r="I760" i="8" a="1"/>
  <c r="I760" i="8" s="1"/>
  <c r="H760" i="8" a="1"/>
  <c r="H760" i="8" s="1"/>
  <c r="G760" i="8" a="1"/>
  <c r="G760" i="8" s="1"/>
  <c r="F760" i="8" a="1"/>
  <c r="F760" i="8" s="1"/>
  <c r="E760" i="8" a="1"/>
  <c r="E760" i="8" s="1"/>
  <c r="AB759" i="8" a="1"/>
  <c r="AB759" i="8" s="1"/>
  <c r="AA759" i="8" a="1"/>
  <c r="AA759" i="8" s="1"/>
  <c r="Z759" i="8" a="1"/>
  <c r="Z759" i="8" s="1"/>
  <c r="Y759" i="8" a="1"/>
  <c r="Y759" i="8" s="1"/>
  <c r="X759" i="8" a="1"/>
  <c r="X759" i="8" s="1"/>
  <c r="W759" i="8" a="1"/>
  <c r="W759" i="8" s="1"/>
  <c r="V759" i="8" a="1"/>
  <c r="V759" i="8" s="1"/>
  <c r="U759" i="8" a="1"/>
  <c r="U759" i="8" s="1"/>
  <c r="T759" i="8" a="1"/>
  <c r="T759" i="8" s="1"/>
  <c r="S759" i="8" a="1"/>
  <c r="S759" i="8" s="1"/>
  <c r="R759" i="8" a="1"/>
  <c r="R759" i="8" s="1"/>
  <c r="Q759" i="8" a="1"/>
  <c r="Q759" i="8" s="1"/>
  <c r="P759" i="8" a="1"/>
  <c r="P759" i="8" s="1"/>
  <c r="O759" i="8" a="1"/>
  <c r="O759" i="8" s="1"/>
  <c r="N759" i="8" a="1"/>
  <c r="N759" i="8" s="1"/>
  <c r="M759" i="8" a="1"/>
  <c r="M759" i="8" s="1"/>
  <c r="L759" i="8" a="1"/>
  <c r="L759" i="8" s="1"/>
  <c r="K759" i="8" a="1"/>
  <c r="K759" i="8" s="1"/>
  <c r="J759" i="8" a="1"/>
  <c r="J759" i="8" s="1"/>
  <c r="I759" i="8" a="1"/>
  <c r="I759" i="8" s="1"/>
  <c r="H759" i="8" a="1"/>
  <c r="H759" i="8" s="1"/>
  <c r="G759" i="8" a="1"/>
  <c r="G759" i="8" s="1"/>
  <c r="F759" i="8" a="1"/>
  <c r="F759" i="8" s="1"/>
  <c r="E759" i="8" a="1"/>
  <c r="E759" i="8" s="1"/>
  <c r="AB758" i="8" a="1"/>
  <c r="AB758" i="8" s="1"/>
  <c r="AA758" i="8" a="1"/>
  <c r="AA758" i="8" s="1"/>
  <c r="Z758" i="8" a="1"/>
  <c r="Z758" i="8" s="1"/>
  <c r="Y758" i="8" a="1"/>
  <c r="Y758" i="8" s="1"/>
  <c r="X758" i="8" a="1"/>
  <c r="X758" i="8" s="1"/>
  <c r="W758" i="8" a="1"/>
  <c r="W758" i="8" s="1"/>
  <c r="V758" i="8" a="1"/>
  <c r="V758" i="8" s="1"/>
  <c r="U758" i="8" a="1"/>
  <c r="U758" i="8" s="1"/>
  <c r="T758" i="8" a="1"/>
  <c r="T758" i="8" s="1"/>
  <c r="S758" i="8" a="1"/>
  <c r="S758" i="8" s="1"/>
  <c r="R758" i="8" a="1"/>
  <c r="R758" i="8" s="1"/>
  <c r="Q758" i="8" a="1"/>
  <c r="Q758" i="8" s="1"/>
  <c r="P758" i="8" a="1"/>
  <c r="P758" i="8" s="1"/>
  <c r="O758" i="8" a="1"/>
  <c r="O758" i="8" s="1"/>
  <c r="N758" i="8" a="1"/>
  <c r="N758" i="8" s="1"/>
  <c r="M758" i="8" a="1"/>
  <c r="M758" i="8" s="1"/>
  <c r="L758" i="8" a="1"/>
  <c r="L758" i="8" s="1"/>
  <c r="K758" i="8" a="1"/>
  <c r="K758" i="8" s="1"/>
  <c r="J758" i="8" a="1"/>
  <c r="J758" i="8" s="1"/>
  <c r="I758" i="8" a="1"/>
  <c r="I758" i="8" s="1"/>
  <c r="H758" i="8" a="1"/>
  <c r="H758" i="8" s="1"/>
  <c r="G758" i="8" a="1"/>
  <c r="G758" i="8" s="1"/>
  <c r="F758" i="8" a="1"/>
  <c r="F758" i="8" s="1"/>
  <c r="E758" i="8" a="1"/>
  <c r="E758" i="8" s="1"/>
  <c r="AB757" i="8" a="1"/>
  <c r="AB757" i="8" s="1"/>
  <c r="AA757" i="8" a="1"/>
  <c r="AA757" i="8" s="1"/>
  <c r="Z757" i="8" a="1"/>
  <c r="Z757" i="8" s="1"/>
  <c r="Y757" i="8" a="1"/>
  <c r="Y757" i="8" s="1"/>
  <c r="X757" i="8" a="1"/>
  <c r="X757" i="8" s="1"/>
  <c r="W757" i="8" a="1"/>
  <c r="W757" i="8" s="1"/>
  <c r="V757" i="8" a="1"/>
  <c r="V757" i="8" s="1"/>
  <c r="U757" i="8" a="1"/>
  <c r="U757" i="8" s="1"/>
  <c r="T757" i="8" a="1"/>
  <c r="T757" i="8" s="1"/>
  <c r="S757" i="8" a="1"/>
  <c r="S757" i="8" s="1"/>
  <c r="R757" i="8" a="1"/>
  <c r="R757" i="8" s="1"/>
  <c r="Q757" i="8" a="1"/>
  <c r="Q757" i="8" s="1"/>
  <c r="P757" i="8" a="1"/>
  <c r="P757" i="8" s="1"/>
  <c r="O757" i="8" a="1"/>
  <c r="O757" i="8" s="1"/>
  <c r="N757" i="8" a="1"/>
  <c r="N757" i="8" s="1"/>
  <c r="M757" i="8" a="1"/>
  <c r="M757" i="8" s="1"/>
  <c r="L757" i="8" a="1"/>
  <c r="L757" i="8" s="1"/>
  <c r="K757" i="8" a="1"/>
  <c r="K757" i="8" s="1"/>
  <c r="J757" i="8" a="1"/>
  <c r="J757" i="8" s="1"/>
  <c r="I757" i="8" a="1"/>
  <c r="I757" i="8" s="1"/>
  <c r="H757" i="8" a="1"/>
  <c r="H757" i="8" s="1"/>
  <c r="G757" i="8" a="1"/>
  <c r="G757" i="8" s="1"/>
  <c r="F757" i="8" a="1"/>
  <c r="F757" i="8" s="1"/>
  <c r="E757" i="8" a="1"/>
  <c r="E757" i="8" s="1"/>
  <c r="AB756" i="8" a="1"/>
  <c r="AB756" i="8" s="1"/>
  <c r="AA756" i="8" a="1"/>
  <c r="AA756" i="8" s="1"/>
  <c r="Z756" i="8" a="1"/>
  <c r="Z756" i="8" s="1"/>
  <c r="Y756" i="8" a="1"/>
  <c r="Y756" i="8" s="1"/>
  <c r="X756" i="8" a="1"/>
  <c r="X756" i="8" s="1"/>
  <c r="W756" i="8" a="1"/>
  <c r="W756" i="8" s="1"/>
  <c r="V756" i="8" a="1"/>
  <c r="V756" i="8" s="1"/>
  <c r="U756" i="8" a="1"/>
  <c r="U756" i="8" s="1"/>
  <c r="T756" i="8" a="1"/>
  <c r="T756" i="8" s="1"/>
  <c r="S756" i="8" a="1"/>
  <c r="S756" i="8" s="1"/>
  <c r="R756" i="8" a="1"/>
  <c r="R756" i="8" s="1"/>
  <c r="Q756" i="8" a="1"/>
  <c r="Q756" i="8" s="1"/>
  <c r="P756" i="8" a="1"/>
  <c r="P756" i="8" s="1"/>
  <c r="O756" i="8" a="1"/>
  <c r="O756" i="8" s="1"/>
  <c r="N756" i="8" a="1"/>
  <c r="N756" i="8" s="1"/>
  <c r="M756" i="8" a="1"/>
  <c r="M756" i="8" s="1"/>
  <c r="L756" i="8" a="1"/>
  <c r="L756" i="8" s="1"/>
  <c r="K756" i="8" a="1"/>
  <c r="K756" i="8" s="1"/>
  <c r="J756" i="8" a="1"/>
  <c r="J756" i="8" s="1"/>
  <c r="I756" i="8" a="1"/>
  <c r="I756" i="8" s="1"/>
  <c r="H756" i="8" a="1"/>
  <c r="H756" i="8" s="1"/>
  <c r="G756" i="8" a="1"/>
  <c r="G756" i="8" s="1"/>
  <c r="F756" i="8" a="1"/>
  <c r="F756" i="8" s="1"/>
  <c r="E756" i="8" a="1"/>
  <c r="E756" i="8" s="1"/>
  <c r="AB755" i="8" a="1"/>
  <c r="AB755" i="8" s="1"/>
  <c r="AA755" i="8" a="1"/>
  <c r="AA755" i="8" s="1"/>
  <c r="Z755" i="8" a="1"/>
  <c r="Z755" i="8" s="1"/>
  <c r="Y755" i="8" a="1"/>
  <c r="Y755" i="8" s="1"/>
  <c r="X755" i="8" a="1"/>
  <c r="X755" i="8" s="1"/>
  <c r="W755" i="8" a="1"/>
  <c r="W755" i="8" s="1"/>
  <c r="V755" i="8" a="1"/>
  <c r="V755" i="8" s="1"/>
  <c r="U755" i="8" a="1"/>
  <c r="U755" i="8" s="1"/>
  <c r="T755" i="8" a="1"/>
  <c r="T755" i="8" s="1"/>
  <c r="S755" i="8" a="1"/>
  <c r="S755" i="8" s="1"/>
  <c r="R755" i="8" a="1"/>
  <c r="R755" i="8" s="1"/>
  <c r="Q755" i="8" a="1"/>
  <c r="Q755" i="8" s="1"/>
  <c r="P755" i="8" a="1"/>
  <c r="P755" i="8" s="1"/>
  <c r="O755" i="8" a="1"/>
  <c r="O755" i="8" s="1"/>
  <c r="N755" i="8" a="1"/>
  <c r="N755" i="8" s="1"/>
  <c r="M755" i="8" a="1"/>
  <c r="M755" i="8" s="1"/>
  <c r="L755" i="8" a="1"/>
  <c r="L755" i="8" s="1"/>
  <c r="K755" i="8" a="1"/>
  <c r="K755" i="8" s="1"/>
  <c r="J755" i="8" a="1"/>
  <c r="J755" i="8" s="1"/>
  <c r="I755" i="8" a="1"/>
  <c r="I755" i="8" s="1"/>
  <c r="H755" i="8" a="1"/>
  <c r="H755" i="8" s="1"/>
  <c r="G755" i="8" a="1"/>
  <c r="G755" i="8" s="1"/>
  <c r="F755" i="8" a="1"/>
  <c r="F755" i="8" s="1"/>
  <c r="E755" i="8" a="1"/>
  <c r="E755" i="8" s="1"/>
  <c r="AB754" i="8" a="1"/>
  <c r="AB754" i="8" s="1"/>
  <c r="AA754" i="8" a="1"/>
  <c r="AA754" i="8" s="1"/>
  <c r="Z754" i="8" a="1"/>
  <c r="Z754" i="8" s="1"/>
  <c r="Y754" i="8" a="1"/>
  <c r="Y754" i="8" s="1"/>
  <c r="X754" i="8" a="1"/>
  <c r="X754" i="8" s="1"/>
  <c r="W754" i="8" a="1"/>
  <c r="W754" i="8" s="1"/>
  <c r="V754" i="8" a="1"/>
  <c r="V754" i="8" s="1"/>
  <c r="U754" i="8" a="1"/>
  <c r="U754" i="8" s="1"/>
  <c r="T754" i="8" a="1"/>
  <c r="T754" i="8" s="1"/>
  <c r="S754" i="8" a="1"/>
  <c r="S754" i="8" s="1"/>
  <c r="R754" i="8" a="1"/>
  <c r="R754" i="8" s="1"/>
  <c r="Q754" i="8" a="1"/>
  <c r="Q754" i="8" s="1"/>
  <c r="P754" i="8" a="1"/>
  <c r="P754" i="8" s="1"/>
  <c r="O754" i="8" a="1"/>
  <c r="O754" i="8" s="1"/>
  <c r="N754" i="8" a="1"/>
  <c r="N754" i="8" s="1"/>
  <c r="M754" i="8" a="1"/>
  <c r="M754" i="8" s="1"/>
  <c r="L754" i="8" a="1"/>
  <c r="L754" i="8" s="1"/>
  <c r="K754" i="8" a="1"/>
  <c r="K754" i="8" s="1"/>
  <c r="J754" i="8" a="1"/>
  <c r="J754" i="8" s="1"/>
  <c r="I754" i="8" a="1"/>
  <c r="I754" i="8" s="1"/>
  <c r="H754" i="8" a="1"/>
  <c r="H754" i="8" s="1"/>
  <c r="G754" i="8" a="1"/>
  <c r="G754" i="8" s="1"/>
  <c r="F754" i="8" a="1"/>
  <c r="F754" i="8" s="1"/>
  <c r="E754" i="8" a="1"/>
  <c r="E754" i="8" s="1"/>
  <c r="AB753" i="8" a="1"/>
  <c r="AB753" i="8" s="1"/>
  <c r="AA753" i="8" a="1"/>
  <c r="AA753" i="8" s="1"/>
  <c r="Z753" i="8" a="1"/>
  <c r="Z753" i="8" s="1"/>
  <c r="Y753" i="8" a="1"/>
  <c r="Y753" i="8" s="1"/>
  <c r="X753" i="8" a="1"/>
  <c r="X753" i="8" s="1"/>
  <c r="W753" i="8" a="1"/>
  <c r="W753" i="8" s="1"/>
  <c r="V753" i="8" a="1"/>
  <c r="V753" i="8" s="1"/>
  <c r="U753" i="8" a="1"/>
  <c r="U753" i="8" s="1"/>
  <c r="T753" i="8" a="1"/>
  <c r="T753" i="8" s="1"/>
  <c r="S753" i="8" a="1"/>
  <c r="S753" i="8" s="1"/>
  <c r="R753" i="8" a="1"/>
  <c r="R753" i="8" s="1"/>
  <c r="Q753" i="8" a="1"/>
  <c r="Q753" i="8" s="1"/>
  <c r="P753" i="8" a="1"/>
  <c r="P753" i="8" s="1"/>
  <c r="O753" i="8" a="1"/>
  <c r="O753" i="8" s="1"/>
  <c r="N753" i="8" a="1"/>
  <c r="N753" i="8" s="1"/>
  <c r="M753" i="8" a="1"/>
  <c r="M753" i="8" s="1"/>
  <c r="L753" i="8" a="1"/>
  <c r="L753" i="8" s="1"/>
  <c r="K753" i="8" a="1"/>
  <c r="K753" i="8" s="1"/>
  <c r="J753" i="8" a="1"/>
  <c r="J753" i="8" s="1"/>
  <c r="I753" i="8" a="1"/>
  <c r="I753" i="8" s="1"/>
  <c r="H753" i="8" a="1"/>
  <c r="H753" i="8" s="1"/>
  <c r="G753" i="8" a="1"/>
  <c r="G753" i="8" s="1"/>
  <c r="F753" i="8" a="1"/>
  <c r="F753" i="8" s="1"/>
  <c r="E753" i="8" a="1"/>
  <c r="E753" i="8" s="1"/>
  <c r="AB752" i="8" a="1"/>
  <c r="AB752" i="8" s="1"/>
  <c r="AA752" i="8" a="1"/>
  <c r="AA752" i="8" s="1"/>
  <c r="Z752" i="8" a="1"/>
  <c r="Z752" i="8" s="1"/>
  <c r="Y752" i="8" a="1"/>
  <c r="Y752" i="8" s="1"/>
  <c r="X752" i="8" a="1"/>
  <c r="X752" i="8" s="1"/>
  <c r="W752" i="8" a="1"/>
  <c r="W752" i="8" s="1"/>
  <c r="V752" i="8" a="1"/>
  <c r="V752" i="8" s="1"/>
  <c r="U752" i="8" a="1"/>
  <c r="U752" i="8" s="1"/>
  <c r="T752" i="8" a="1"/>
  <c r="T752" i="8" s="1"/>
  <c r="S752" i="8" a="1"/>
  <c r="S752" i="8" s="1"/>
  <c r="R752" i="8" a="1"/>
  <c r="R752" i="8" s="1"/>
  <c r="Q752" i="8" a="1"/>
  <c r="Q752" i="8" s="1"/>
  <c r="P752" i="8" a="1"/>
  <c r="P752" i="8" s="1"/>
  <c r="O752" i="8" a="1"/>
  <c r="O752" i="8" s="1"/>
  <c r="N752" i="8" a="1"/>
  <c r="N752" i="8" s="1"/>
  <c r="M752" i="8" a="1"/>
  <c r="M752" i="8" s="1"/>
  <c r="L752" i="8" a="1"/>
  <c r="L752" i="8" s="1"/>
  <c r="K752" i="8" a="1"/>
  <c r="K752" i="8" s="1"/>
  <c r="J752" i="8" a="1"/>
  <c r="J752" i="8" s="1"/>
  <c r="I752" i="8" a="1"/>
  <c r="I752" i="8" s="1"/>
  <c r="H752" i="8" a="1"/>
  <c r="H752" i="8" s="1"/>
  <c r="G752" i="8" a="1"/>
  <c r="G752" i="8" s="1"/>
  <c r="F752" i="8" a="1"/>
  <c r="F752" i="8" s="1"/>
  <c r="E752" i="8" a="1"/>
  <c r="E752" i="8" s="1"/>
  <c r="AB751" i="8" a="1"/>
  <c r="AB751" i="8" s="1"/>
  <c r="AA751" i="8" a="1"/>
  <c r="AA751" i="8" s="1"/>
  <c r="Z751" i="8" a="1"/>
  <c r="Z751" i="8" s="1"/>
  <c r="Y751" i="8" a="1"/>
  <c r="Y751" i="8" s="1"/>
  <c r="X751" i="8" a="1"/>
  <c r="X751" i="8" s="1"/>
  <c r="W751" i="8" a="1"/>
  <c r="W751" i="8" s="1"/>
  <c r="V751" i="8" a="1"/>
  <c r="V751" i="8" s="1"/>
  <c r="U751" i="8" a="1"/>
  <c r="U751" i="8" s="1"/>
  <c r="T751" i="8" a="1"/>
  <c r="T751" i="8" s="1"/>
  <c r="S751" i="8" a="1"/>
  <c r="S751" i="8" s="1"/>
  <c r="R751" i="8" a="1"/>
  <c r="R751" i="8" s="1"/>
  <c r="Q751" i="8" a="1"/>
  <c r="Q751" i="8" s="1"/>
  <c r="P751" i="8" a="1"/>
  <c r="P751" i="8" s="1"/>
  <c r="O751" i="8" a="1"/>
  <c r="O751" i="8" s="1"/>
  <c r="N751" i="8" a="1"/>
  <c r="N751" i="8" s="1"/>
  <c r="M751" i="8" a="1"/>
  <c r="M751" i="8" s="1"/>
  <c r="L751" i="8" a="1"/>
  <c r="L751" i="8" s="1"/>
  <c r="K751" i="8" a="1"/>
  <c r="K751" i="8" s="1"/>
  <c r="J751" i="8" a="1"/>
  <c r="J751" i="8" s="1"/>
  <c r="I751" i="8" a="1"/>
  <c r="I751" i="8" s="1"/>
  <c r="H751" i="8" a="1"/>
  <c r="H751" i="8" s="1"/>
  <c r="G751" i="8" a="1"/>
  <c r="G751" i="8" s="1"/>
  <c r="F751" i="8" a="1"/>
  <c r="F751" i="8" s="1"/>
  <c r="E751" i="8" a="1"/>
  <c r="E751" i="8" s="1"/>
  <c r="AB750" i="8" a="1"/>
  <c r="AB750" i="8" s="1"/>
  <c r="AA750" i="8" a="1"/>
  <c r="AA750" i="8" s="1"/>
  <c r="Z750" i="8" a="1"/>
  <c r="Z750" i="8" s="1"/>
  <c r="Y750" i="8" a="1"/>
  <c r="Y750" i="8" s="1"/>
  <c r="X750" i="8" a="1"/>
  <c r="X750" i="8" s="1"/>
  <c r="W750" i="8" a="1"/>
  <c r="W750" i="8" s="1"/>
  <c r="V750" i="8" a="1"/>
  <c r="V750" i="8" s="1"/>
  <c r="U750" i="8" a="1"/>
  <c r="U750" i="8" s="1"/>
  <c r="T750" i="8" a="1"/>
  <c r="T750" i="8" s="1"/>
  <c r="S750" i="8" a="1"/>
  <c r="S750" i="8" s="1"/>
  <c r="R750" i="8" a="1"/>
  <c r="R750" i="8" s="1"/>
  <c r="Q750" i="8" a="1"/>
  <c r="Q750" i="8" s="1"/>
  <c r="P750" i="8" a="1"/>
  <c r="P750" i="8" s="1"/>
  <c r="O750" i="8" a="1"/>
  <c r="O750" i="8" s="1"/>
  <c r="N750" i="8" a="1"/>
  <c r="N750" i="8" s="1"/>
  <c r="M750" i="8" a="1"/>
  <c r="M750" i="8" s="1"/>
  <c r="L750" i="8" a="1"/>
  <c r="L750" i="8" s="1"/>
  <c r="K750" i="8" a="1"/>
  <c r="K750" i="8" s="1"/>
  <c r="J750" i="8" a="1"/>
  <c r="J750" i="8" s="1"/>
  <c r="I750" i="8" a="1"/>
  <c r="I750" i="8" s="1"/>
  <c r="H750" i="8" a="1"/>
  <c r="H750" i="8" s="1"/>
  <c r="G750" i="8" a="1"/>
  <c r="G750" i="8" s="1"/>
  <c r="F750" i="8" a="1"/>
  <c r="F750" i="8" s="1"/>
  <c r="E750" i="8" a="1"/>
  <c r="E750" i="8" s="1"/>
  <c r="AB749" i="8" a="1"/>
  <c r="AB749" i="8" s="1"/>
  <c r="AA749" i="8" a="1"/>
  <c r="AA749" i="8" s="1"/>
  <c r="Z749" i="8" a="1"/>
  <c r="Z749" i="8" s="1"/>
  <c r="Y749" i="8" a="1"/>
  <c r="Y749" i="8" s="1"/>
  <c r="X749" i="8" a="1"/>
  <c r="X749" i="8" s="1"/>
  <c r="W749" i="8" a="1"/>
  <c r="W749" i="8" s="1"/>
  <c r="V749" i="8" a="1"/>
  <c r="V749" i="8" s="1"/>
  <c r="U749" i="8" a="1"/>
  <c r="U749" i="8" s="1"/>
  <c r="T749" i="8" a="1"/>
  <c r="T749" i="8" s="1"/>
  <c r="S749" i="8" a="1"/>
  <c r="S749" i="8" s="1"/>
  <c r="R749" i="8" a="1"/>
  <c r="R749" i="8" s="1"/>
  <c r="Q749" i="8" a="1"/>
  <c r="Q749" i="8" s="1"/>
  <c r="P749" i="8" a="1"/>
  <c r="P749" i="8" s="1"/>
  <c r="O749" i="8" a="1"/>
  <c r="O749" i="8" s="1"/>
  <c r="N749" i="8" a="1"/>
  <c r="N749" i="8" s="1"/>
  <c r="M749" i="8" a="1"/>
  <c r="M749" i="8" s="1"/>
  <c r="L749" i="8" a="1"/>
  <c r="L749" i="8" s="1"/>
  <c r="K749" i="8" a="1"/>
  <c r="K749" i="8" s="1"/>
  <c r="J749" i="8" a="1"/>
  <c r="J749" i="8" s="1"/>
  <c r="I749" i="8" a="1"/>
  <c r="I749" i="8" s="1"/>
  <c r="H749" i="8" a="1"/>
  <c r="H749" i="8" s="1"/>
  <c r="G749" i="8" a="1"/>
  <c r="G749" i="8" s="1"/>
  <c r="F749" i="8" a="1"/>
  <c r="F749" i="8" s="1"/>
  <c r="E749" i="8" a="1"/>
  <c r="E749" i="8" s="1"/>
  <c r="AB748" i="8" a="1"/>
  <c r="AB748" i="8" s="1"/>
  <c r="AA748" i="8" a="1"/>
  <c r="AA748" i="8" s="1"/>
  <c r="Z748" i="8" a="1"/>
  <c r="Z748" i="8" s="1"/>
  <c r="Y748" i="8" a="1"/>
  <c r="Y748" i="8" s="1"/>
  <c r="X748" i="8" a="1"/>
  <c r="X748" i="8" s="1"/>
  <c r="W748" i="8" a="1"/>
  <c r="W748" i="8" s="1"/>
  <c r="V748" i="8" a="1"/>
  <c r="V748" i="8" s="1"/>
  <c r="U748" i="8" a="1"/>
  <c r="U748" i="8" s="1"/>
  <c r="T748" i="8" a="1"/>
  <c r="T748" i="8" s="1"/>
  <c r="S748" i="8" a="1"/>
  <c r="S748" i="8" s="1"/>
  <c r="R748" i="8" a="1"/>
  <c r="R748" i="8" s="1"/>
  <c r="Q748" i="8" a="1"/>
  <c r="Q748" i="8" s="1"/>
  <c r="P748" i="8" a="1"/>
  <c r="P748" i="8" s="1"/>
  <c r="O748" i="8" a="1"/>
  <c r="O748" i="8" s="1"/>
  <c r="N748" i="8" a="1"/>
  <c r="N748" i="8" s="1"/>
  <c r="M748" i="8" a="1"/>
  <c r="M748" i="8" s="1"/>
  <c r="L748" i="8" a="1"/>
  <c r="L748" i="8" s="1"/>
  <c r="K748" i="8" a="1"/>
  <c r="K748" i="8" s="1"/>
  <c r="J748" i="8" a="1"/>
  <c r="J748" i="8" s="1"/>
  <c r="I748" i="8" a="1"/>
  <c r="I748" i="8" s="1"/>
  <c r="H748" i="8" a="1"/>
  <c r="H748" i="8" s="1"/>
  <c r="G748" i="8" a="1"/>
  <c r="G748" i="8" s="1"/>
  <c r="F748" i="8" a="1"/>
  <c r="F748" i="8" s="1"/>
  <c r="E748" i="8" a="1"/>
  <c r="E748" i="8" s="1"/>
  <c r="AB747" i="8" a="1"/>
  <c r="AB747" i="8" s="1"/>
  <c r="AA747" i="8" a="1"/>
  <c r="AA747" i="8" s="1"/>
  <c r="Z747" i="8" a="1"/>
  <c r="Z747" i="8" s="1"/>
  <c r="Y747" i="8" a="1"/>
  <c r="Y747" i="8" s="1"/>
  <c r="X747" i="8" a="1"/>
  <c r="X747" i="8" s="1"/>
  <c r="W747" i="8" a="1"/>
  <c r="W747" i="8" s="1"/>
  <c r="V747" i="8" a="1"/>
  <c r="V747" i="8" s="1"/>
  <c r="U747" i="8" a="1"/>
  <c r="U747" i="8" s="1"/>
  <c r="T747" i="8" a="1"/>
  <c r="T747" i="8" s="1"/>
  <c r="S747" i="8" a="1"/>
  <c r="S747" i="8" s="1"/>
  <c r="R747" i="8" a="1"/>
  <c r="R747" i="8" s="1"/>
  <c r="Q747" i="8" a="1"/>
  <c r="Q747" i="8" s="1"/>
  <c r="P747" i="8" a="1"/>
  <c r="P747" i="8" s="1"/>
  <c r="O747" i="8" a="1"/>
  <c r="O747" i="8" s="1"/>
  <c r="N747" i="8" a="1"/>
  <c r="N747" i="8" s="1"/>
  <c r="M747" i="8" a="1"/>
  <c r="M747" i="8" s="1"/>
  <c r="L747" i="8" a="1"/>
  <c r="L747" i="8" s="1"/>
  <c r="K747" i="8" a="1"/>
  <c r="K747" i="8" s="1"/>
  <c r="J747" i="8" a="1"/>
  <c r="J747" i="8" s="1"/>
  <c r="I747" i="8" a="1"/>
  <c r="I747" i="8" s="1"/>
  <c r="H747" i="8" a="1"/>
  <c r="H747" i="8" s="1"/>
  <c r="G747" i="8" a="1"/>
  <c r="G747" i="8" s="1"/>
  <c r="F747" i="8" a="1"/>
  <c r="F747" i="8" s="1"/>
  <c r="E747" i="8" a="1"/>
  <c r="E747" i="8" s="1"/>
  <c r="AB746" i="8" a="1"/>
  <c r="AB746" i="8" s="1"/>
  <c r="AA746" i="8" a="1"/>
  <c r="AA746" i="8" s="1"/>
  <c r="Z746" i="8" a="1"/>
  <c r="Z746" i="8" s="1"/>
  <c r="Y746" i="8" a="1"/>
  <c r="Y746" i="8" s="1"/>
  <c r="X746" i="8" a="1"/>
  <c r="X746" i="8" s="1"/>
  <c r="W746" i="8" a="1"/>
  <c r="W746" i="8" s="1"/>
  <c r="V746" i="8" a="1"/>
  <c r="V746" i="8" s="1"/>
  <c r="U746" i="8" a="1"/>
  <c r="U746" i="8" s="1"/>
  <c r="T746" i="8" a="1"/>
  <c r="T746" i="8" s="1"/>
  <c r="S746" i="8" a="1"/>
  <c r="S746" i="8" s="1"/>
  <c r="R746" i="8" a="1"/>
  <c r="R746" i="8" s="1"/>
  <c r="Q746" i="8" a="1"/>
  <c r="Q746" i="8" s="1"/>
  <c r="P746" i="8" a="1"/>
  <c r="P746" i="8" s="1"/>
  <c r="O746" i="8" a="1"/>
  <c r="O746" i="8" s="1"/>
  <c r="N746" i="8" a="1"/>
  <c r="N746" i="8" s="1"/>
  <c r="M746" i="8" a="1"/>
  <c r="M746" i="8" s="1"/>
  <c r="L746" i="8" a="1"/>
  <c r="L746" i="8" s="1"/>
  <c r="K746" i="8" a="1"/>
  <c r="K746" i="8" s="1"/>
  <c r="J746" i="8" a="1"/>
  <c r="J746" i="8" s="1"/>
  <c r="I746" i="8" a="1"/>
  <c r="I746" i="8" s="1"/>
  <c r="H746" i="8" a="1"/>
  <c r="H746" i="8" s="1"/>
  <c r="G746" i="8" a="1"/>
  <c r="G746" i="8" s="1"/>
  <c r="F746" i="8" a="1"/>
  <c r="F746" i="8" s="1"/>
  <c r="E746" i="8" a="1"/>
  <c r="E746" i="8" s="1"/>
  <c r="AB745" i="8" a="1"/>
  <c r="AB745" i="8" s="1"/>
  <c r="AA745" i="8" a="1"/>
  <c r="AA745" i="8" s="1"/>
  <c r="Z745" i="8" a="1"/>
  <c r="Z745" i="8" s="1"/>
  <c r="Y745" i="8" a="1"/>
  <c r="Y745" i="8" s="1"/>
  <c r="X745" i="8" a="1"/>
  <c r="X745" i="8" s="1"/>
  <c r="W745" i="8" a="1"/>
  <c r="W745" i="8" s="1"/>
  <c r="V745" i="8" a="1"/>
  <c r="V745" i="8" s="1"/>
  <c r="U745" i="8" a="1"/>
  <c r="U745" i="8" s="1"/>
  <c r="T745" i="8" a="1"/>
  <c r="T745" i="8" s="1"/>
  <c r="S745" i="8" a="1"/>
  <c r="S745" i="8" s="1"/>
  <c r="R745" i="8" a="1"/>
  <c r="R745" i="8" s="1"/>
  <c r="Q745" i="8" a="1"/>
  <c r="Q745" i="8" s="1"/>
  <c r="P745" i="8" a="1"/>
  <c r="P745" i="8" s="1"/>
  <c r="O745" i="8" a="1"/>
  <c r="O745" i="8" s="1"/>
  <c r="N745" i="8" a="1"/>
  <c r="N745" i="8" s="1"/>
  <c r="M745" i="8" a="1"/>
  <c r="M745" i="8" s="1"/>
  <c r="L745" i="8" a="1"/>
  <c r="L745" i="8" s="1"/>
  <c r="K745" i="8" a="1"/>
  <c r="K745" i="8" s="1"/>
  <c r="J745" i="8" a="1"/>
  <c r="J745" i="8" s="1"/>
  <c r="I745" i="8" a="1"/>
  <c r="I745" i="8" s="1"/>
  <c r="H745" i="8" a="1"/>
  <c r="H745" i="8" s="1"/>
  <c r="G745" i="8" a="1"/>
  <c r="G745" i="8" s="1"/>
  <c r="F745" i="8" a="1"/>
  <c r="F745" i="8" s="1"/>
  <c r="E745" i="8" a="1"/>
  <c r="E745" i="8" s="1"/>
  <c r="AB744" i="8" a="1"/>
  <c r="AB744" i="8" s="1"/>
  <c r="AA744" i="8" a="1"/>
  <c r="AA744" i="8" s="1"/>
  <c r="Z744" i="8" a="1"/>
  <c r="Z744" i="8" s="1"/>
  <c r="Y744" i="8" a="1"/>
  <c r="Y744" i="8" s="1"/>
  <c r="X744" i="8" a="1"/>
  <c r="X744" i="8" s="1"/>
  <c r="W744" i="8" a="1"/>
  <c r="W744" i="8" s="1"/>
  <c r="V744" i="8" a="1"/>
  <c r="V744" i="8" s="1"/>
  <c r="U744" i="8" a="1"/>
  <c r="U744" i="8" s="1"/>
  <c r="T744" i="8" a="1"/>
  <c r="T744" i="8" s="1"/>
  <c r="S744" i="8" a="1"/>
  <c r="S744" i="8" s="1"/>
  <c r="R744" i="8" a="1"/>
  <c r="R744" i="8" s="1"/>
  <c r="Q744" i="8" a="1"/>
  <c r="Q744" i="8" s="1"/>
  <c r="P744" i="8" a="1"/>
  <c r="P744" i="8" s="1"/>
  <c r="O744" i="8" a="1"/>
  <c r="O744" i="8" s="1"/>
  <c r="N744" i="8" a="1"/>
  <c r="N744" i="8" s="1"/>
  <c r="M744" i="8" a="1"/>
  <c r="M744" i="8" s="1"/>
  <c r="L744" i="8" a="1"/>
  <c r="L744" i="8" s="1"/>
  <c r="K744" i="8" a="1"/>
  <c r="K744" i="8" s="1"/>
  <c r="J744" i="8" a="1"/>
  <c r="J744" i="8" s="1"/>
  <c r="I744" i="8" a="1"/>
  <c r="I744" i="8" s="1"/>
  <c r="H744" i="8" a="1"/>
  <c r="H744" i="8" s="1"/>
  <c r="G744" i="8" a="1"/>
  <c r="G744" i="8" s="1"/>
  <c r="F744" i="8" a="1"/>
  <c r="F744" i="8" s="1"/>
  <c r="E744" i="8" a="1"/>
  <c r="E744" i="8" s="1"/>
  <c r="AB743" i="8" a="1"/>
  <c r="AB743" i="8" s="1"/>
  <c r="AA743" i="8" a="1"/>
  <c r="AA743" i="8" s="1"/>
  <c r="Z743" i="8" a="1"/>
  <c r="Z743" i="8" s="1"/>
  <c r="Y743" i="8" a="1"/>
  <c r="Y743" i="8" s="1"/>
  <c r="X743" i="8" a="1"/>
  <c r="X743" i="8" s="1"/>
  <c r="W743" i="8" a="1"/>
  <c r="W743" i="8" s="1"/>
  <c r="V743" i="8" a="1"/>
  <c r="V743" i="8" s="1"/>
  <c r="U743" i="8" a="1"/>
  <c r="U743" i="8" s="1"/>
  <c r="T743" i="8" a="1"/>
  <c r="T743" i="8" s="1"/>
  <c r="S743" i="8" a="1"/>
  <c r="S743" i="8" s="1"/>
  <c r="R743" i="8" a="1"/>
  <c r="R743" i="8" s="1"/>
  <c r="Q743" i="8" a="1"/>
  <c r="Q743" i="8" s="1"/>
  <c r="P743" i="8" a="1"/>
  <c r="P743" i="8" s="1"/>
  <c r="O743" i="8" a="1"/>
  <c r="O743" i="8" s="1"/>
  <c r="N743" i="8" a="1"/>
  <c r="N743" i="8" s="1"/>
  <c r="M743" i="8" a="1"/>
  <c r="M743" i="8" s="1"/>
  <c r="L743" i="8" a="1"/>
  <c r="L743" i="8" s="1"/>
  <c r="K743" i="8" a="1"/>
  <c r="K743" i="8" s="1"/>
  <c r="J743" i="8" a="1"/>
  <c r="J743" i="8" s="1"/>
  <c r="I743" i="8" a="1"/>
  <c r="I743" i="8" s="1"/>
  <c r="H743" i="8" a="1"/>
  <c r="H743" i="8" s="1"/>
  <c r="G743" i="8" a="1"/>
  <c r="G743" i="8" s="1"/>
  <c r="F743" i="8" a="1"/>
  <c r="F743" i="8" s="1"/>
  <c r="E743" i="8" a="1"/>
  <c r="E743" i="8" s="1"/>
  <c r="AB742" i="8" a="1"/>
  <c r="AB742" i="8" s="1"/>
  <c r="AA742" i="8" a="1"/>
  <c r="AA742" i="8" s="1"/>
  <c r="Z742" i="8" a="1"/>
  <c r="Z742" i="8" s="1"/>
  <c r="Y742" i="8" a="1"/>
  <c r="Y742" i="8" s="1"/>
  <c r="X742" i="8" a="1"/>
  <c r="X742" i="8" s="1"/>
  <c r="W742" i="8" a="1"/>
  <c r="W742" i="8" s="1"/>
  <c r="V742" i="8" a="1"/>
  <c r="V742" i="8" s="1"/>
  <c r="U742" i="8" a="1"/>
  <c r="U742" i="8" s="1"/>
  <c r="T742" i="8" a="1"/>
  <c r="T742" i="8" s="1"/>
  <c r="S742" i="8" a="1"/>
  <c r="S742" i="8" s="1"/>
  <c r="R742" i="8" a="1"/>
  <c r="R742" i="8" s="1"/>
  <c r="Q742" i="8" a="1"/>
  <c r="Q742" i="8" s="1"/>
  <c r="P742" i="8" a="1"/>
  <c r="P742" i="8" s="1"/>
  <c r="O742" i="8" a="1"/>
  <c r="O742" i="8" s="1"/>
  <c r="N742" i="8" a="1"/>
  <c r="N742" i="8" s="1"/>
  <c r="M742" i="8" a="1"/>
  <c r="M742" i="8" s="1"/>
  <c r="L742" i="8" a="1"/>
  <c r="L742" i="8" s="1"/>
  <c r="K742" i="8" a="1"/>
  <c r="K742" i="8" s="1"/>
  <c r="J742" i="8" a="1"/>
  <c r="J742" i="8" s="1"/>
  <c r="I742" i="8" a="1"/>
  <c r="I742" i="8" s="1"/>
  <c r="H742" i="8" a="1"/>
  <c r="H742" i="8" s="1"/>
  <c r="G742" i="8" a="1"/>
  <c r="G742" i="8" s="1"/>
  <c r="F742" i="8" a="1"/>
  <c r="F742" i="8" s="1"/>
  <c r="E742" i="8" a="1"/>
  <c r="E742" i="8" s="1"/>
  <c r="AB741" i="8" a="1"/>
  <c r="AB741" i="8" s="1"/>
  <c r="AA741" i="8" a="1"/>
  <c r="AA741" i="8" s="1"/>
  <c r="Z741" i="8" a="1"/>
  <c r="Z741" i="8" s="1"/>
  <c r="Y741" i="8" a="1"/>
  <c r="Y741" i="8" s="1"/>
  <c r="X741" i="8" a="1"/>
  <c r="X741" i="8" s="1"/>
  <c r="W741" i="8" a="1"/>
  <c r="W741" i="8" s="1"/>
  <c r="V741" i="8" a="1"/>
  <c r="V741" i="8" s="1"/>
  <c r="U741" i="8" a="1"/>
  <c r="U741" i="8" s="1"/>
  <c r="T741" i="8" a="1"/>
  <c r="T741" i="8" s="1"/>
  <c r="S741" i="8" a="1"/>
  <c r="S741" i="8" s="1"/>
  <c r="R741" i="8" a="1"/>
  <c r="R741" i="8" s="1"/>
  <c r="Q741" i="8" a="1"/>
  <c r="Q741" i="8" s="1"/>
  <c r="P741" i="8" a="1"/>
  <c r="P741" i="8" s="1"/>
  <c r="O741" i="8" a="1"/>
  <c r="O741" i="8" s="1"/>
  <c r="N741" i="8" a="1"/>
  <c r="N741" i="8" s="1"/>
  <c r="M741" i="8" a="1"/>
  <c r="M741" i="8" s="1"/>
  <c r="L741" i="8" a="1"/>
  <c r="L741" i="8" s="1"/>
  <c r="K741" i="8" a="1"/>
  <c r="K741" i="8" s="1"/>
  <c r="J741" i="8" a="1"/>
  <c r="J741" i="8" s="1"/>
  <c r="I741" i="8" a="1"/>
  <c r="I741" i="8" s="1"/>
  <c r="H741" i="8" a="1"/>
  <c r="H741" i="8" s="1"/>
  <c r="G741" i="8" a="1"/>
  <c r="G741" i="8" s="1"/>
  <c r="F741" i="8" a="1"/>
  <c r="F741" i="8" s="1"/>
  <c r="E741" i="8" a="1"/>
  <c r="E741" i="8" s="1"/>
  <c r="AB740" i="8" a="1"/>
  <c r="AB740" i="8" s="1"/>
  <c r="AA740" i="8" a="1"/>
  <c r="AA740" i="8" s="1"/>
  <c r="Z740" i="8" a="1"/>
  <c r="Z740" i="8" s="1"/>
  <c r="Y740" i="8" a="1"/>
  <c r="Y740" i="8" s="1"/>
  <c r="X740" i="8" a="1"/>
  <c r="X740" i="8" s="1"/>
  <c r="W740" i="8" a="1"/>
  <c r="W740" i="8" s="1"/>
  <c r="V740" i="8" a="1"/>
  <c r="V740" i="8" s="1"/>
  <c r="U740" i="8" a="1"/>
  <c r="U740" i="8" s="1"/>
  <c r="T740" i="8" a="1"/>
  <c r="T740" i="8" s="1"/>
  <c r="S740" i="8" a="1"/>
  <c r="S740" i="8" s="1"/>
  <c r="R740" i="8" a="1"/>
  <c r="R740" i="8" s="1"/>
  <c r="Q740" i="8" a="1"/>
  <c r="Q740" i="8" s="1"/>
  <c r="P740" i="8" a="1"/>
  <c r="P740" i="8" s="1"/>
  <c r="O740" i="8" a="1"/>
  <c r="O740" i="8" s="1"/>
  <c r="N740" i="8" a="1"/>
  <c r="N740" i="8" s="1"/>
  <c r="M740" i="8" a="1"/>
  <c r="M740" i="8" s="1"/>
  <c r="L740" i="8" a="1"/>
  <c r="L740" i="8" s="1"/>
  <c r="K740" i="8" a="1"/>
  <c r="K740" i="8" s="1"/>
  <c r="J740" i="8" a="1"/>
  <c r="J740" i="8" s="1"/>
  <c r="I740" i="8" a="1"/>
  <c r="I740" i="8" s="1"/>
  <c r="H740" i="8" a="1"/>
  <c r="H740" i="8" s="1"/>
  <c r="G740" i="8" a="1"/>
  <c r="G740" i="8" s="1"/>
  <c r="F740" i="8" a="1"/>
  <c r="F740" i="8" s="1"/>
  <c r="E740" i="8" a="1"/>
  <c r="E740" i="8" s="1"/>
  <c r="AB739" i="8" a="1"/>
  <c r="AB739" i="8" s="1"/>
  <c r="AA739" i="8" a="1"/>
  <c r="AA739" i="8" s="1"/>
  <c r="Z739" i="8" a="1"/>
  <c r="Z739" i="8" s="1"/>
  <c r="Y739" i="8" a="1"/>
  <c r="Y739" i="8" s="1"/>
  <c r="X739" i="8" a="1"/>
  <c r="X739" i="8" s="1"/>
  <c r="W739" i="8" a="1"/>
  <c r="W739" i="8" s="1"/>
  <c r="V739" i="8" a="1"/>
  <c r="V739" i="8" s="1"/>
  <c r="U739" i="8" a="1"/>
  <c r="U739" i="8" s="1"/>
  <c r="T739" i="8" a="1"/>
  <c r="T739" i="8" s="1"/>
  <c r="S739" i="8" a="1"/>
  <c r="S739" i="8" s="1"/>
  <c r="R739" i="8" a="1"/>
  <c r="R739" i="8" s="1"/>
  <c r="Q739" i="8" a="1"/>
  <c r="Q739" i="8" s="1"/>
  <c r="P739" i="8" a="1"/>
  <c r="P739" i="8" s="1"/>
  <c r="O739" i="8" a="1"/>
  <c r="O739" i="8" s="1"/>
  <c r="N739" i="8" a="1"/>
  <c r="N739" i="8" s="1"/>
  <c r="M739" i="8" a="1"/>
  <c r="M739" i="8" s="1"/>
  <c r="L739" i="8" a="1"/>
  <c r="L739" i="8" s="1"/>
  <c r="K739" i="8" a="1"/>
  <c r="K739" i="8" s="1"/>
  <c r="J739" i="8" a="1"/>
  <c r="J739" i="8" s="1"/>
  <c r="I739" i="8" a="1"/>
  <c r="I739" i="8" s="1"/>
  <c r="H739" i="8" a="1"/>
  <c r="H739" i="8" s="1"/>
  <c r="G739" i="8" a="1"/>
  <c r="G739" i="8" s="1"/>
  <c r="F739" i="8" a="1"/>
  <c r="F739" i="8" s="1"/>
  <c r="E739" i="8" a="1"/>
  <c r="E739" i="8" s="1"/>
  <c r="AB738" i="8" a="1"/>
  <c r="AB738" i="8" s="1"/>
  <c r="AA738" i="8" a="1"/>
  <c r="AA738" i="8" s="1"/>
  <c r="Z738" i="8" a="1"/>
  <c r="Z738" i="8" s="1"/>
  <c r="Y738" i="8" a="1"/>
  <c r="Y738" i="8" s="1"/>
  <c r="X738" i="8" a="1"/>
  <c r="X738" i="8" s="1"/>
  <c r="W738" i="8" a="1"/>
  <c r="W738" i="8" s="1"/>
  <c r="V738" i="8" a="1"/>
  <c r="V738" i="8" s="1"/>
  <c r="U738" i="8" a="1"/>
  <c r="U738" i="8" s="1"/>
  <c r="T738" i="8" a="1"/>
  <c r="T738" i="8" s="1"/>
  <c r="S738" i="8" a="1"/>
  <c r="S738" i="8" s="1"/>
  <c r="R738" i="8" a="1"/>
  <c r="R738" i="8" s="1"/>
  <c r="Q738" i="8" a="1"/>
  <c r="Q738" i="8" s="1"/>
  <c r="P738" i="8" a="1"/>
  <c r="P738" i="8" s="1"/>
  <c r="O738" i="8" a="1"/>
  <c r="O738" i="8" s="1"/>
  <c r="N738" i="8" a="1"/>
  <c r="N738" i="8" s="1"/>
  <c r="M738" i="8" a="1"/>
  <c r="M738" i="8" s="1"/>
  <c r="L738" i="8" a="1"/>
  <c r="L738" i="8" s="1"/>
  <c r="K738" i="8" a="1"/>
  <c r="K738" i="8" s="1"/>
  <c r="J738" i="8" a="1"/>
  <c r="J738" i="8" s="1"/>
  <c r="I738" i="8" a="1"/>
  <c r="I738" i="8" s="1"/>
  <c r="H738" i="8" a="1"/>
  <c r="H738" i="8" s="1"/>
  <c r="G738" i="8" a="1"/>
  <c r="G738" i="8" s="1"/>
  <c r="F738" i="8" a="1"/>
  <c r="F738" i="8" s="1"/>
  <c r="E738" i="8" a="1"/>
  <c r="E738" i="8" s="1"/>
  <c r="AB737" i="8" a="1"/>
  <c r="AB737" i="8" s="1"/>
  <c r="AA737" i="8" a="1"/>
  <c r="AA737" i="8" s="1"/>
  <c r="Z737" i="8" a="1"/>
  <c r="Z737" i="8" s="1"/>
  <c r="Y737" i="8" a="1"/>
  <c r="Y737" i="8" s="1"/>
  <c r="X737" i="8" a="1"/>
  <c r="X737" i="8" s="1"/>
  <c r="W737" i="8" a="1"/>
  <c r="W737" i="8" s="1"/>
  <c r="V737" i="8" a="1"/>
  <c r="V737" i="8" s="1"/>
  <c r="U737" i="8" a="1"/>
  <c r="U737" i="8" s="1"/>
  <c r="T737" i="8" a="1"/>
  <c r="T737" i="8" s="1"/>
  <c r="S737" i="8" a="1"/>
  <c r="S737" i="8" s="1"/>
  <c r="R737" i="8" a="1"/>
  <c r="R737" i="8" s="1"/>
  <c r="Q737" i="8" a="1"/>
  <c r="Q737" i="8" s="1"/>
  <c r="P737" i="8" a="1"/>
  <c r="P737" i="8" s="1"/>
  <c r="O737" i="8" a="1"/>
  <c r="O737" i="8" s="1"/>
  <c r="N737" i="8" a="1"/>
  <c r="N737" i="8" s="1"/>
  <c r="M737" i="8" a="1"/>
  <c r="M737" i="8" s="1"/>
  <c r="L737" i="8" a="1"/>
  <c r="L737" i="8" s="1"/>
  <c r="K737" i="8" a="1"/>
  <c r="K737" i="8" s="1"/>
  <c r="J737" i="8" a="1"/>
  <c r="J737" i="8" s="1"/>
  <c r="I737" i="8" a="1"/>
  <c r="I737" i="8" s="1"/>
  <c r="H737" i="8" a="1"/>
  <c r="H737" i="8" s="1"/>
  <c r="G737" i="8" a="1"/>
  <c r="G737" i="8" s="1"/>
  <c r="F737" i="8" a="1"/>
  <c r="F737" i="8" s="1"/>
  <c r="E737" i="8" a="1"/>
  <c r="E737" i="8" s="1"/>
  <c r="AB736" i="8" a="1"/>
  <c r="AB736" i="8" s="1"/>
  <c r="AA736" i="8" a="1"/>
  <c r="AA736" i="8" s="1"/>
  <c r="Z736" i="8" a="1"/>
  <c r="Z736" i="8" s="1"/>
  <c r="Y736" i="8" a="1"/>
  <c r="Y736" i="8" s="1"/>
  <c r="X736" i="8" a="1"/>
  <c r="X736" i="8" s="1"/>
  <c r="W736" i="8" a="1"/>
  <c r="W736" i="8" s="1"/>
  <c r="V736" i="8" a="1"/>
  <c r="V736" i="8" s="1"/>
  <c r="U736" i="8" a="1"/>
  <c r="U736" i="8" s="1"/>
  <c r="T736" i="8" a="1"/>
  <c r="T736" i="8" s="1"/>
  <c r="S736" i="8" a="1"/>
  <c r="S736" i="8" s="1"/>
  <c r="R736" i="8" a="1"/>
  <c r="R736" i="8" s="1"/>
  <c r="Q736" i="8" a="1"/>
  <c r="Q736" i="8" s="1"/>
  <c r="P736" i="8" a="1"/>
  <c r="P736" i="8" s="1"/>
  <c r="O736" i="8" a="1"/>
  <c r="O736" i="8" s="1"/>
  <c r="N736" i="8" a="1"/>
  <c r="N736" i="8" s="1"/>
  <c r="M736" i="8" a="1"/>
  <c r="M736" i="8" s="1"/>
  <c r="L736" i="8" a="1"/>
  <c r="L736" i="8" s="1"/>
  <c r="K736" i="8" a="1"/>
  <c r="K736" i="8" s="1"/>
  <c r="J736" i="8" a="1"/>
  <c r="J736" i="8" s="1"/>
  <c r="I736" i="8" a="1"/>
  <c r="I736" i="8" s="1"/>
  <c r="H736" i="8" a="1"/>
  <c r="H736" i="8" s="1"/>
  <c r="G736" i="8" a="1"/>
  <c r="G736" i="8" s="1"/>
  <c r="F736" i="8" a="1"/>
  <c r="F736" i="8" s="1"/>
  <c r="E736" i="8" a="1"/>
  <c r="E736" i="8" s="1"/>
  <c r="AB735" i="8" a="1"/>
  <c r="AB735" i="8" s="1"/>
  <c r="AA735" i="8" a="1"/>
  <c r="AA735" i="8" s="1"/>
  <c r="Z735" i="8" a="1"/>
  <c r="Z735" i="8" s="1"/>
  <c r="Y735" i="8" a="1"/>
  <c r="Y735" i="8" s="1"/>
  <c r="X735" i="8" a="1"/>
  <c r="X735" i="8" s="1"/>
  <c r="W735" i="8" a="1"/>
  <c r="W735" i="8" s="1"/>
  <c r="V735" i="8" a="1"/>
  <c r="V735" i="8" s="1"/>
  <c r="U735" i="8" a="1"/>
  <c r="U735" i="8" s="1"/>
  <c r="T735" i="8" a="1"/>
  <c r="T735" i="8" s="1"/>
  <c r="S735" i="8" a="1"/>
  <c r="S735" i="8" s="1"/>
  <c r="R735" i="8" a="1"/>
  <c r="R735" i="8" s="1"/>
  <c r="Q735" i="8" a="1"/>
  <c r="Q735" i="8" s="1"/>
  <c r="P735" i="8" a="1"/>
  <c r="P735" i="8" s="1"/>
  <c r="O735" i="8" a="1"/>
  <c r="O735" i="8" s="1"/>
  <c r="N735" i="8" a="1"/>
  <c r="N735" i="8" s="1"/>
  <c r="M735" i="8" a="1"/>
  <c r="M735" i="8" s="1"/>
  <c r="L735" i="8" a="1"/>
  <c r="L735" i="8" s="1"/>
  <c r="K735" i="8" a="1"/>
  <c r="K735" i="8" s="1"/>
  <c r="J735" i="8" a="1"/>
  <c r="J735" i="8" s="1"/>
  <c r="I735" i="8" a="1"/>
  <c r="I735" i="8" s="1"/>
  <c r="H735" i="8" a="1"/>
  <c r="H735" i="8" s="1"/>
  <c r="G735" i="8" a="1"/>
  <c r="G735" i="8" s="1"/>
  <c r="F735" i="8" a="1"/>
  <c r="F735" i="8" s="1"/>
  <c r="E735" i="8" a="1"/>
  <c r="E735" i="8" s="1"/>
  <c r="AB734" i="8" a="1"/>
  <c r="AB734" i="8" s="1"/>
  <c r="AA734" i="8" a="1"/>
  <c r="AA734" i="8" s="1"/>
  <c r="Z734" i="8" a="1"/>
  <c r="Z734" i="8" s="1"/>
  <c r="Y734" i="8" a="1"/>
  <c r="Y734" i="8" s="1"/>
  <c r="X734" i="8" a="1"/>
  <c r="X734" i="8" s="1"/>
  <c r="W734" i="8" a="1"/>
  <c r="W734" i="8" s="1"/>
  <c r="V734" i="8" a="1"/>
  <c r="V734" i="8" s="1"/>
  <c r="U734" i="8" a="1"/>
  <c r="U734" i="8" s="1"/>
  <c r="T734" i="8" a="1"/>
  <c r="T734" i="8" s="1"/>
  <c r="S734" i="8" a="1"/>
  <c r="S734" i="8" s="1"/>
  <c r="R734" i="8" a="1"/>
  <c r="R734" i="8" s="1"/>
  <c r="Q734" i="8" a="1"/>
  <c r="Q734" i="8" s="1"/>
  <c r="P734" i="8" a="1"/>
  <c r="P734" i="8" s="1"/>
  <c r="O734" i="8" a="1"/>
  <c r="O734" i="8" s="1"/>
  <c r="N734" i="8" a="1"/>
  <c r="N734" i="8" s="1"/>
  <c r="M734" i="8" a="1"/>
  <c r="M734" i="8" s="1"/>
  <c r="L734" i="8" a="1"/>
  <c r="L734" i="8" s="1"/>
  <c r="K734" i="8" a="1"/>
  <c r="K734" i="8" s="1"/>
  <c r="J734" i="8" a="1"/>
  <c r="J734" i="8" s="1"/>
  <c r="I734" i="8" a="1"/>
  <c r="I734" i="8" s="1"/>
  <c r="H734" i="8" a="1"/>
  <c r="H734" i="8" s="1"/>
  <c r="G734" i="8" a="1"/>
  <c r="G734" i="8" s="1"/>
  <c r="F734" i="8" a="1"/>
  <c r="F734" i="8" s="1"/>
  <c r="E734" i="8" a="1"/>
  <c r="E734" i="8" s="1"/>
  <c r="AB733" i="8" a="1"/>
  <c r="AB733" i="8" s="1"/>
  <c r="AA733" i="8" a="1"/>
  <c r="AA733" i="8" s="1"/>
  <c r="Z733" i="8" a="1"/>
  <c r="Z733" i="8" s="1"/>
  <c r="Y733" i="8" a="1"/>
  <c r="Y733" i="8" s="1"/>
  <c r="X733" i="8" a="1"/>
  <c r="X733" i="8" s="1"/>
  <c r="W733" i="8" a="1"/>
  <c r="W733" i="8" s="1"/>
  <c r="V733" i="8" a="1"/>
  <c r="V733" i="8" s="1"/>
  <c r="U733" i="8" a="1"/>
  <c r="U733" i="8" s="1"/>
  <c r="T733" i="8" a="1"/>
  <c r="T733" i="8" s="1"/>
  <c r="S733" i="8" a="1"/>
  <c r="S733" i="8" s="1"/>
  <c r="R733" i="8" a="1"/>
  <c r="R733" i="8" s="1"/>
  <c r="Q733" i="8" a="1"/>
  <c r="Q733" i="8" s="1"/>
  <c r="P733" i="8" a="1"/>
  <c r="P733" i="8" s="1"/>
  <c r="O733" i="8" a="1"/>
  <c r="O733" i="8" s="1"/>
  <c r="N733" i="8" a="1"/>
  <c r="N733" i="8" s="1"/>
  <c r="M733" i="8" a="1"/>
  <c r="M733" i="8" s="1"/>
  <c r="L733" i="8" a="1"/>
  <c r="L733" i="8" s="1"/>
  <c r="K733" i="8" a="1"/>
  <c r="K733" i="8" s="1"/>
  <c r="J733" i="8" a="1"/>
  <c r="J733" i="8" s="1"/>
  <c r="I733" i="8" a="1"/>
  <c r="I733" i="8" s="1"/>
  <c r="H733" i="8" a="1"/>
  <c r="H733" i="8" s="1"/>
  <c r="G733" i="8" a="1"/>
  <c r="G733" i="8" s="1"/>
  <c r="F733" i="8" a="1"/>
  <c r="F733" i="8" s="1"/>
  <c r="E733" i="8" a="1"/>
  <c r="E733" i="8" s="1"/>
  <c r="AB732" i="8" a="1"/>
  <c r="AB732" i="8" s="1"/>
  <c r="AA732" i="8" a="1"/>
  <c r="AA732" i="8" s="1"/>
  <c r="Z732" i="8" a="1"/>
  <c r="Z732" i="8" s="1"/>
  <c r="Y732" i="8" a="1"/>
  <c r="Y732" i="8" s="1"/>
  <c r="X732" i="8" a="1"/>
  <c r="X732" i="8" s="1"/>
  <c r="W732" i="8" a="1"/>
  <c r="W732" i="8" s="1"/>
  <c r="V732" i="8" a="1"/>
  <c r="V732" i="8" s="1"/>
  <c r="U732" i="8" a="1"/>
  <c r="U732" i="8" s="1"/>
  <c r="T732" i="8" a="1"/>
  <c r="T732" i="8" s="1"/>
  <c r="S732" i="8" a="1"/>
  <c r="S732" i="8" s="1"/>
  <c r="R732" i="8" a="1"/>
  <c r="R732" i="8" s="1"/>
  <c r="Q732" i="8" a="1"/>
  <c r="Q732" i="8" s="1"/>
  <c r="P732" i="8" a="1"/>
  <c r="P732" i="8" s="1"/>
  <c r="O732" i="8" a="1"/>
  <c r="O732" i="8" s="1"/>
  <c r="N732" i="8" a="1"/>
  <c r="N732" i="8" s="1"/>
  <c r="M732" i="8" a="1"/>
  <c r="M732" i="8" s="1"/>
  <c r="L732" i="8" a="1"/>
  <c r="L732" i="8" s="1"/>
  <c r="K732" i="8" a="1"/>
  <c r="K732" i="8" s="1"/>
  <c r="J732" i="8" a="1"/>
  <c r="J732" i="8" s="1"/>
  <c r="I732" i="8" a="1"/>
  <c r="I732" i="8" s="1"/>
  <c r="H732" i="8" a="1"/>
  <c r="H732" i="8" s="1"/>
  <c r="G732" i="8" a="1"/>
  <c r="G732" i="8" s="1"/>
  <c r="F732" i="8" a="1"/>
  <c r="F732" i="8" s="1"/>
  <c r="E732" i="8" a="1"/>
  <c r="E732" i="8" s="1"/>
  <c r="AB731" i="8" a="1"/>
  <c r="AB731" i="8" s="1"/>
  <c r="AA731" i="8" a="1"/>
  <c r="AA731" i="8" s="1"/>
  <c r="Z731" i="8" a="1"/>
  <c r="Z731" i="8" s="1"/>
  <c r="Y731" i="8" a="1"/>
  <c r="Y731" i="8" s="1"/>
  <c r="X731" i="8" a="1"/>
  <c r="X731" i="8" s="1"/>
  <c r="W731" i="8" a="1"/>
  <c r="W731" i="8" s="1"/>
  <c r="V731" i="8" a="1"/>
  <c r="V731" i="8" s="1"/>
  <c r="U731" i="8" a="1"/>
  <c r="U731" i="8" s="1"/>
  <c r="T731" i="8" a="1"/>
  <c r="T731" i="8" s="1"/>
  <c r="S731" i="8" a="1"/>
  <c r="S731" i="8" s="1"/>
  <c r="R731" i="8" a="1"/>
  <c r="R731" i="8" s="1"/>
  <c r="Q731" i="8" a="1"/>
  <c r="Q731" i="8" s="1"/>
  <c r="P731" i="8" a="1"/>
  <c r="P731" i="8" s="1"/>
  <c r="O731" i="8" a="1"/>
  <c r="O731" i="8" s="1"/>
  <c r="N731" i="8" a="1"/>
  <c r="N731" i="8" s="1"/>
  <c r="M731" i="8" a="1"/>
  <c r="M731" i="8" s="1"/>
  <c r="L731" i="8" a="1"/>
  <c r="L731" i="8" s="1"/>
  <c r="K731" i="8" a="1"/>
  <c r="K731" i="8" s="1"/>
  <c r="J731" i="8" a="1"/>
  <c r="J731" i="8" s="1"/>
  <c r="I731" i="8" a="1"/>
  <c r="I731" i="8" s="1"/>
  <c r="H731" i="8" a="1"/>
  <c r="H731" i="8" s="1"/>
  <c r="G731" i="8" a="1"/>
  <c r="G731" i="8" s="1"/>
  <c r="F731" i="8" a="1"/>
  <c r="F731" i="8" s="1"/>
  <c r="E731" i="8" a="1"/>
  <c r="E731" i="8" s="1"/>
  <c r="AB730" i="8" a="1"/>
  <c r="AB730" i="8" s="1"/>
  <c r="AA730" i="8" a="1"/>
  <c r="AA730" i="8" s="1"/>
  <c r="Z730" i="8" a="1"/>
  <c r="Z730" i="8" s="1"/>
  <c r="Y730" i="8" a="1"/>
  <c r="Y730" i="8" s="1"/>
  <c r="X730" i="8" a="1"/>
  <c r="X730" i="8" s="1"/>
  <c r="W730" i="8" a="1"/>
  <c r="W730" i="8" s="1"/>
  <c r="V730" i="8" a="1"/>
  <c r="V730" i="8" s="1"/>
  <c r="U730" i="8" a="1"/>
  <c r="U730" i="8" s="1"/>
  <c r="T730" i="8" a="1"/>
  <c r="T730" i="8" s="1"/>
  <c r="S730" i="8" a="1"/>
  <c r="S730" i="8" s="1"/>
  <c r="R730" i="8" a="1"/>
  <c r="R730" i="8" s="1"/>
  <c r="Q730" i="8" a="1"/>
  <c r="Q730" i="8" s="1"/>
  <c r="P730" i="8" a="1"/>
  <c r="P730" i="8" s="1"/>
  <c r="O730" i="8" a="1"/>
  <c r="O730" i="8" s="1"/>
  <c r="N730" i="8" a="1"/>
  <c r="N730" i="8" s="1"/>
  <c r="M730" i="8" a="1"/>
  <c r="M730" i="8" s="1"/>
  <c r="L730" i="8" a="1"/>
  <c r="L730" i="8" s="1"/>
  <c r="K730" i="8" a="1"/>
  <c r="K730" i="8" s="1"/>
  <c r="J730" i="8" a="1"/>
  <c r="J730" i="8" s="1"/>
  <c r="I730" i="8" a="1"/>
  <c r="I730" i="8" s="1"/>
  <c r="H730" i="8" a="1"/>
  <c r="H730" i="8" s="1"/>
  <c r="G730" i="8" a="1"/>
  <c r="G730" i="8" s="1"/>
  <c r="F730" i="8" a="1"/>
  <c r="F730" i="8" s="1"/>
  <c r="E730" i="8" a="1"/>
  <c r="E730" i="8" s="1"/>
  <c r="AB729" i="8" a="1"/>
  <c r="AB729" i="8" s="1"/>
  <c r="AA729" i="8" a="1"/>
  <c r="AA729" i="8" s="1"/>
  <c r="Z729" i="8" a="1"/>
  <c r="Z729" i="8" s="1"/>
  <c r="Y729" i="8" a="1"/>
  <c r="Y729" i="8" s="1"/>
  <c r="X729" i="8" a="1"/>
  <c r="X729" i="8" s="1"/>
  <c r="W729" i="8" a="1"/>
  <c r="W729" i="8" s="1"/>
  <c r="V729" i="8" a="1"/>
  <c r="V729" i="8" s="1"/>
  <c r="U729" i="8" a="1"/>
  <c r="U729" i="8" s="1"/>
  <c r="T729" i="8" a="1"/>
  <c r="T729" i="8" s="1"/>
  <c r="S729" i="8" a="1"/>
  <c r="S729" i="8" s="1"/>
  <c r="R729" i="8" a="1"/>
  <c r="R729" i="8" s="1"/>
  <c r="Q729" i="8" a="1"/>
  <c r="Q729" i="8" s="1"/>
  <c r="P729" i="8" a="1"/>
  <c r="P729" i="8" s="1"/>
  <c r="O729" i="8" a="1"/>
  <c r="O729" i="8" s="1"/>
  <c r="N729" i="8" a="1"/>
  <c r="N729" i="8" s="1"/>
  <c r="M729" i="8" a="1"/>
  <c r="M729" i="8" s="1"/>
  <c r="L729" i="8" a="1"/>
  <c r="L729" i="8" s="1"/>
  <c r="K729" i="8" a="1"/>
  <c r="K729" i="8" s="1"/>
  <c r="J729" i="8" a="1"/>
  <c r="J729" i="8" s="1"/>
  <c r="I729" i="8" a="1"/>
  <c r="I729" i="8" s="1"/>
  <c r="H729" i="8" a="1"/>
  <c r="H729" i="8" s="1"/>
  <c r="G729" i="8" a="1"/>
  <c r="G729" i="8" s="1"/>
  <c r="F729" i="8" a="1"/>
  <c r="F729" i="8" s="1"/>
  <c r="E729" i="8" a="1"/>
  <c r="E729" i="8" s="1"/>
  <c r="AB728" i="8" a="1"/>
  <c r="AB728" i="8" s="1"/>
  <c r="AA728" i="8" a="1"/>
  <c r="AA728" i="8" s="1"/>
  <c r="Z728" i="8" a="1"/>
  <c r="Z728" i="8" s="1"/>
  <c r="Y728" i="8" a="1"/>
  <c r="Y728" i="8" s="1"/>
  <c r="X728" i="8" a="1"/>
  <c r="X728" i="8" s="1"/>
  <c r="W728" i="8" a="1"/>
  <c r="W728" i="8" s="1"/>
  <c r="V728" i="8" a="1"/>
  <c r="V728" i="8" s="1"/>
  <c r="U728" i="8" a="1"/>
  <c r="U728" i="8" s="1"/>
  <c r="T728" i="8" a="1"/>
  <c r="T728" i="8" s="1"/>
  <c r="S728" i="8" a="1"/>
  <c r="S728" i="8" s="1"/>
  <c r="R728" i="8" a="1"/>
  <c r="R728" i="8" s="1"/>
  <c r="Q728" i="8" a="1"/>
  <c r="Q728" i="8" s="1"/>
  <c r="P728" i="8" a="1"/>
  <c r="P728" i="8" s="1"/>
  <c r="O728" i="8" a="1"/>
  <c r="O728" i="8" s="1"/>
  <c r="N728" i="8" a="1"/>
  <c r="N728" i="8" s="1"/>
  <c r="M728" i="8" a="1"/>
  <c r="M728" i="8" s="1"/>
  <c r="L728" i="8" a="1"/>
  <c r="L728" i="8" s="1"/>
  <c r="K728" i="8" a="1"/>
  <c r="K728" i="8" s="1"/>
  <c r="J728" i="8" a="1"/>
  <c r="J728" i="8" s="1"/>
  <c r="I728" i="8" a="1"/>
  <c r="I728" i="8" s="1"/>
  <c r="H728" i="8" a="1"/>
  <c r="H728" i="8" s="1"/>
  <c r="G728" i="8" a="1"/>
  <c r="G728" i="8" s="1"/>
  <c r="F728" i="8" a="1"/>
  <c r="F728" i="8" s="1"/>
  <c r="E728" i="8" a="1"/>
  <c r="E728" i="8" s="1"/>
  <c r="AB727" i="8" a="1"/>
  <c r="AB727" i="8" s="1"/>
  <c r="AA727" i="8" a="1"/>
  <c r="AA727" i="8" s="1"/>
  <c r="Z727" i="8" a="1"/>
  <c r="Z727" i="8" s="1"/>
  <c r="Y727" i="8" a="1"/>
  <c r="Y727" i="8" s="1"/>
  <c r="X727" i="8" a="1"/>
  <c r="X727" i="8" s="1"/>
  <c r="W727" i="8" a="1"/>
  <c r="W727" i="8" s="1"/>
  <c r="V727" i="8" a="1"/>
  <c r="V727" i="8" s="1"/>
  <c r="U727" i="8" a="1"/>
  <c r="U727" i="8" s="1"/>
  <c r="T727" i="8" a="1"/>
  <c r="T727" i="8" s="1"/>
  <c r="S727" i="8" a="1"/>
  <c r="S727" i="8" s="1"/>
  <c r="R727" i="8" a="1"/>
  <c r="R727" i="8" s="1"/>
  <c r="Q727" i="8" a="1"/>
  <c r="Q727" i="8" s="1"/>
  <c r="P727" i="8" a="1"/>
  <c r="P727" i="8" s="1"/>
  <c r="O727" i="8" a="1"/>
  <c r="O727" i="8" s="1"/>
  <c r="N727" i="8" a="1"/>
  <c r="N727" i="8" s="1"/>
  <c r="M727" i="8" a="1"/>
  <c r="M727" i="8" s="1"/>
  <c r="L727" i="8" a="1"/>
  <c r="L727" i="8" s="1"/>
  <c r="K727" i="8" a="1"/>
  <c r="K727" i="8" s="1"/>
  <c r="J727" i="8" a="1"/>
  <c r="J727" i="8" s="1"/>
  <c r="I727" i="8" a="1"/>
  <c r="I727" i="8" s="1"/>
  <c r="H727" i="8" a="1"/>
  <c r="H727" i="8" s="1"/>
  <c r="G727" i="8" a="1"/>
  <c r="G727" i="8" s="1"/>
  <c r="F727" i="8" a="1"/>
  <c r="F727" i="8" s="1"/>
  <c r="E727" i="8" a="1"/>
  <c r="E727" i="8" s="1"/>
  <c r="AB726" i="8" a="1"/>
  <c r="AB726" i="8" s="1"/>
  <c r="AA726" i="8" a="1"/>
  <c r="AA726" i="8" s="1"/>
  <c r="Z726" i="8" a="1"/>
  <c r="Z726" i="8" s="1"/>
  <c r="Y726" i="8" a="1"/>
  <c r="Y726" i="8" s="1"/>
  <c r="X726" i="8" a="1"/>
  <c r="X726" i="8" s="1"/>
  <c r="W726" i="8" a="1"/>
  <c r="W726" i="8" s="1"/>
  <c r="V726" i="8" a="1"/>
  <c r="V726" i="8" s="1"/>
  <c r="U726" i="8" a="1"/>
  <c r="U726" i="8" s="1"/>
  <c r="T726" i="8" a="1"/>
  <c r="T726" i="8" s="1"/>
  <c r="S726" i="8" a="1"/>
  <c r="S726" i="8" s="1"/>
  <c r="R726" i="8" a="1"/>
  <c r="R726" i="8" s="1"/>
  <c r="Q726" i="8" a="1"/>
  <c r="Q726" i="8" s="1"/>
  <c r="P726" i="8" a="1"/>
  <c r="P726" i="8" s="1"/>
  <c r="O726" i="8" a="1"/>
  <c r="O726" i="8" s="1"/>
  <c r="N726" i="8" a="1"/>
  <c r="N726" i="8" s="1"/>
  <c r="M726" i="8" a="1"/>
  <c r="M726" i="8" s="1"/>
  <c r="L726" i="8" a="1"/>
  <c r="L726" i="8" s="1"/>
  <c r="K726" i="8" a="1"/>
  <c r="K726" i="8" s="1"/>
  <c r="J726" i="8" a="1"/>
  <c r="J726" i="8" s="1"/>
  <c r="I726" i="8" a="1"/>
  <c r="I726" i="8" s="1"/>
  <c r="H726" i="8" a="1"/>
  <c r="H726" i="8" s="1"/>
  <c r="G726" i="8" a="1"/>
  <c r="G726" i="8" s="1"/>
  <c r="F726" i="8" a="1"/>
  <c r="F726" i="8" s="1"/>
  <c r="E726" i="8" a="1"/>
  <c r="E726" i="8" s="1"/>
  <c r="AB725" i="8" a="1"/>
  <c r="AB725" i="8" s="1"/>
  <c r="AA725" i="8" a="1"/>
  <c r="AA725" i="8" s="1"/>
  <c r="Z725" i="8" a="1"/>
  <c r="Z725" i="8" s="1"/>
  <c r="Y725" i="8" a="1"/>
  <c r="Y725" i="8" s="1"/>
  <c r="X725" i="8" a="1"/>
  <c r="X725" i="8" s="1"/>
  <c r="W725" i="8" a="1"/>
  <c r="W725" i="8" s="1"/>
  <c r="V725" i="8" a="1"/>
  <c r="V725" i="8" s="1"/>
  <c r="U725" i="8" a="1"/>
  <c r="U725" i="8" s="1"/>
  <c r="T725" i="8" a="1"/>
  <c r="T725" i="8" s="1"/>
  <c r="S725" i="8" a="1"/>
  <c r="S725" i="8" s="1"/>
  <c r="R725" i="8" a="1"/>
  <c r="R725" i="8" s="1"/>
  <c r="Q725" i="8" a="1"/>
  <c r="Q725" i="8" s="1"/>
  <c r="P725" i="8" a="1"/>
  <c r="P725" i="8" s="1"/>
  <c r="O725" i="8" a="1"/>
  <c r="O725" i="8" s="1"/>
  <c r="N725" i="8" a="1"/>
  <c r="N725" i="8" s="1"/>
  <c r="M725" i="8" a="1"/>
  <c r="M725" i="8" s="1"/>
  <c r="L725" i="8" a="1"/>
  <c r="L725" i="8" s="1"/>
  <c r="K725" i="8" a="1"/>
  <c r="K725" i="8" s="1"/>
  <c r="J725" i="8" a="1"/>
  <c r="J725" i="8" s="1"/>
  <c r="I725" i="8" a="1"/>
  <c r="I725" i="8" s="1"/>
  <c r="H725" i="8" a="1"/>
  <c r="H725" i="8" s="1"/>
  <c r="G725" i="8" a="1"/>
  <c r="G725" i="8" s="1"/>
  <c r="F725" i="8" a="1"/>
  <c r="F725" i="8" s="1"/>
  <c r="E725" i="8" a="1"/>
  <c r="E725" i="8" s="1"/>
  <c r="AB724" i="8" a="1"/>
  <c r="AB724" i="8" s="1"/>
  <c r="AA724" i="8" a="1"/>
  <c r="AA724" i="8" s="1"/>
  <c r="Z724" i="8" a="1"/>
  <c r="Z724" i="8" s="1"/>
  <c r="Y724" i="8" a="1"/>
  <c r="Y724" i="8" s="1"/>
  <c r="X724" i="8" a="1"/>
  <c r="X724" i="8" s="1"/>
  <c r="W724" i="8" a="1"/>
  <c r="W724" i="8" s="1"/>
  <c r="V724" i="8" a="1"/>
  <c r="V724" i="8" s="1"/>
  <c r="U724" i="8" a="1"/>
  <c r="U724" i="8" s="1"/>
  <c r="T724" i="8" a="1"/>
  <c r="T724" i="8" s="1"/>
  <c r="S724" i="8" a="1"/>
  <c r="S724" i="8" s="1"/>
  <c r="R724" i="8" a="1"/>
  <c r="R724" i="8" s="1"/>
  <c r="Q724" i="8" a="1"/>
  <c r="Q724" i="8" s="1"/>
  <c r="P724" i="8" a="1"/>
  <c r="P724" i="8" s="1"/>
  <c r="O724" i="8" a="1"/>
  <c r="O724" i="8" s="1"/>
  <c r="N724" i="8" a="1"/>
  <c r="N724" i="8" s="1"/>
  <c r="M724" i="8" a="1"/>
  <c r="M724" i="8" s="1"/>
  <c r="L724" i="8" a="1"/>
  <c r="L724" i="8" s="1"/>
  <c r="K724" i="8" a="1"/>
  <c r="K724" i="8" s="1"/>
  <c r="J724" i="8" a="1"/>
  <c r="J724" i="8" s="1"/>
  <c r="I724" i="8" a="1"/>
  <c r="I724" i="8" s="1"/>
  <c r="H724" i="8" a="1"/>
  <c r="H724" i="8" s="1"/>
  <c r="G724" i="8" a="1"/>
  <c r="G724" i="8" s="1"/>
  <c r="F724" i="8" a="1"/>
  <c r="F724" i="8" s="1"/>
  <c r="E724" i="8" a="1"/>
  <c r="E724" i="8" s="1"/>
  <c r="AB723" i="8" a="1"/>
  <c r="AB723" i="8" s="1"/>
  <c r="AA723" i="8" a="1"/>
  <c r="AA723" i="8" s="1"/>
  <c r="Z723" i="8" a="1"/>
  <c r="Z723" i="8" s="1"/>
  <c r="Y723" i="8" a="1"/>
  <c r="Y723" i="8" s="1"/>
  <c r="X723" i="8" a="1"/>
  <c r="X723" i="8" s="1"/>
  <c r="W723" i="8" a="1"/>
  <c r="W723" i="8" s="1"/>
  <c r="V723" i="8" a="1"/>
  <c r="V723" i="8" s="1"/>
  <c r="U723" i="8" a="1"/>
  <c r="U723" i="8" s="1"/>
  <c r="T723" i="8" a="1"/>
  <c r="T723" i="8" s="1"/>
  <c r="S723" i="8" a="1"/>
  <c r="S723" i="8" s="1"/>
  <c r="R723" i="8" a="1"/>
  <c r="R723" i="8" s="1"/>
  <c r="Q723" i="8" a="1"/>
  <c r="Q723" i="8" s="1"/>
  <c r="P723" i="8" a="1"/>
  <c r="P723" i="8" s="1"/>
  <c r="O723" i="8" a="1"/>
  <c r="O723" i="8" s="1"/>
  <c r="N723" i="8" a="1"/>
  <c r="N723" i="8" s="1"/>
  <c r="M723" i="8" a="1"/>
  <c r="M723" i="8" s="1"/>
  <c r="L723" i="8" a="1"/>
  <c r="L723" i="8" s="1"/>
  <c r="K723" i="8" a="1"/>
  <c r="K723" i="8" s="1"/>
  <c r="J723" i="8" a="1"/>
  <c r="J723" i="8" s="1"/>
  <c r="I723" i="8" a="1"/>
  <c r="I723" i="8" s="1"/>
  <c r="H723" i="8" a="1"/>
  <c r="H723" i="8" s="1"/>
  <c r="G723" i="8" a="1"/>
  <c r="G723" i="8" s="1"/>
  <c r="F723" i="8" a="1"/>
  <c r="F723" i="8" s="1"/>
  <c r="E723" i="8" a="1"/>
  <c r="E723" i="8" s="1"/>
  <c r="AB722" i="8" a="1"/>
  <c r="AB722" i="8" s="1"/>
  <c r="AA722" i="8" a="1"/>
  <c r="AA722" i="8" s="1"/>
  <c r="Z722" i="8" a="1"/>
  <c r="Z722" i="8" s="1"/>
  <c r="Y722" i="8" a="1"/>
  <c r="Y722" i="8" s="1"/>
  <c r="X722" i="8" a="1"/>
  <c r="X722" i="8" s="1"/>
  <c r="W722" i="8" a="1"/>
  <c r="W722" i="8" s="1"/>
  <c r="V722" i="8" a="1"/>
  <c r="V722" i="8" s="1"/>
  <c r="U722" i="8" a="1"/>
  <c r="U722" i="8" s="1"/>
  <c r="T722" i="8" a="1"/>
  <c r="T722" i="8" s="1"/>
  <c r="S722" i="8" a="1"/>
  <c r="S722" i="8" s="1"/>
  <c r="R722" i="8" a="1"/>
  <c r="R722" i="8" s="1"/>
  <c r="Q722" i="8" a="1"/>
  <c r="Q722" i="8" s="1"/>
  <c r="P722" i="8" a="1"/>
  <c r="P722" i="8" s="1"/>
  <c r="O722" i="8" a="1"/>
  <c r="O722" i="8" s="1"/>
  <c r="N722" i="8" a="1"/>
  <c r="N722" i="8" s="1"/>
  <c r="M722" i="8" a="1"/>
  <c r="M722" i="8" s="1"/>
  <c r="L722" i="8" a="1"/>
  <c r="L722" i="8" s="1"/>
  <c r="K722" i="8" a="1"/>
  <c r="K722" i="8" s="1"/>
  <c r="J722" i="8" a="1"/>
  <c r="J722" i="8" s="1"/>
  <c r="I722" i="8" a="1"/>
  <c r="I722" i="8" s="1"/>
  <c r="H722" i="8" a="1"/>
  <c r="H722" i="8" s="1"/>
  <c r="G722" i="8" a="1"/>
  <c r="G722" i="8" s="1"/>
  <c r="F722" i="8" a="1"/>
  <c r="F722" i="8" s="1"/>
  <c r="E722" i="8" a="1"/>
  <c r="E722" i="8" s="1"/>
  <c r="AB721" i="8" a="1"/>
  <c r="AB721" i="8" s="1"/>
  <c r="AA721" i="8" a="1"/>
  <c r="AA721" i="8" s="1"/>
  <c r="Z721" i="8" a="1"/>
  <c r="Z721" i="8" s="1"/>
  <c r="Y721" i="8" a="1"/>
  <c r="Y721" i="8" s="1"/>
  <c r="X721" i="8" a="1"/>
  <c r="X721" i="8" s="1"/>
  <c r="W721" i="8" a="1"/>
  <c r="W721" i="8" s="1"/>
  <c r="V721" i="8" a="1"/>
  <c r="V721" i="8" s="1"/>
  <c r="U721" i="8" a="1"/>
  <c r="U721" i="8" s="1"/>
  <c r="T721" i="8" a="1"/>
  <c r="T721" i="8" s="1"/>
  <c r="S721" i="8" a="1"/>
  <c r="S721" i="8" s="1"/>
  <c r="R721" i="8" a="1"/>
  <c r="R721" i="8" s="1"/>
  <c r="Q721" i="8" a="1"/>
  <c r="Q721" i="8" s="1"/>
  <c r="P721" i="8" a="1"/>
  <c r="P721" i="8" s="1"/>
  <c r="O721" i="8" a="1"/>
  <c r="O721" i="8" s="1"/>
  <c r="N721" i="8" a="1"/>
  <c r="N721" i="8" s="1"/>
  <c r="M721" i="8" a="1"/>
  <c r="M721" i="8" s="1"/>
  <c r="L721" i="8" a="1"/>
  <c r="L721" i="8" s="1"/>
  <c r="K721" i="8" a="1"/>
  <c r="K721" i="8" s="1"/>
  <c r="J721" i="8" a="1"/>
  <c r="J721" i="8" s="1"/>
  <c r="I721" i="8" a="1"/>
  <c r="I721" i="8" s="1"/>
  <c r="H721" i="8" a="1"/>
  <c r="H721" i="8" s="1"/>
  <c r="G721" i="8" a="1"/>
  <c r="G721" i="8" s="1"/>
  <c r="F721" i="8" a="1"/>
  <c r="F721" i="8" s="1"/>
  <c r="E721" i="8" a="1"/>
  <c r="E721" i="8" s="1"/>
  <c r="AB720" i="8" a="1"/>
  <c r="AB720" i="8" s="1"/>
  <c r="AA720" i="8" a="1"/>
  <c r="AA720" i="8" s="1"/>
  <c r="Z720" i="8" a="1"/>
  <c r="Z720" i="8" s="1"/>
  <c r="Y720" i="8" a="1"/>
  <c r="Y720" i="8" s="1"/>
  <c r="X720" i="8" a="1"/>
  <c r="X720" i="8" s="1"/>
  <c r="W720" i="8" a="1"/>
  <c r="W720" i="8" s="1"/>
  <c r="V720" i="8" a="1"/>
  <c r="V720" i="8" s="1"/>
  <c r="U720" i="8" a="1"/>
  <c r="U720" i="8" s="1"/>
  <c r="T720" i="8" a="1"/>
  <c r="T720" i="8" s="1"/>
  <c r="S720" i="8" a="1"/>
  <c r="S720" i="8" s="1"/>
  <c r="R720" i="8" a="1"/>
  <c r="R720" i="8" s="1"/>
  <c r="Q720" i="8" a="1"/>
  <c r="Q720" i="8" s="1"/>
  <c r="P720" i="8" a="1"/>
  <c r="P720" i="8" s="1"/>
  <c r="O720" i="8" a="1"/>
  <c r="O720" i="8" s="1"/>
  <c r="N720" i="8" a="1"/>
  <c r="N720" i="8" s="1"/>
  <c r="M720" i="8" a="1"/>
  <c r="M720" i="8" s="1"/>
  <c r="L720" i="8" a="1"/>
  <c r="L720" i="8" s="1"/>
  <c r="K720" i="8" a="1"/>
  <c r="K720" i="8" s="1"/>
  <c r="J720" i="8" a="1"/>
  <c r="J720" i="8" s="1"/>
  <c r="I720" i="8" a="1"/>
  <c r="I720" i="8" s="1"/>
  <c r="H720" i="8" a="1"/>
  <c r="H720" i="8" s="1"/>
  <c r="G720" i="8" a="1"/>
  <c r="G720" i="8" s="1"/>
  <c r="F720" i="8" a="1"/>
  <c r="F720" i="8" s="1"/>
  <c r="E720" i="8" a="1"/>
  <c r="E720" i="8" s="1"/>
  <c r="AB719" i="8" a="1"/>
  <c r="AB719" i="8" s="1"/>
  <c r="AA719" i="8" a="1"/>
  <c r="AA719" i="8" s="1"/>
  <c r="Z719" i="8" a="1"/>
  <c r="Z719" i="8" s="1"/>
  <c r="Y719" i="8" a="1"/>
  <c r="Y719" i="8" s="1"/>
  <c r="X719" i="8" a="1"/>
  <c r="X719" i="8" s="1"/>
  <c r="W719" i="8" a="1"/>
  <c r="W719" i="8" s="1"/>
  <c r="V719" i="8" a="1"/>
  <c r="V719" i="8" s="1"/>
  <c r="U719" i="8" a="1"/>
  <c r="U719" i="8" s="1"/>
  <c r="T719" i="8" a="1"/>
  <c r="T719" i="8" s="1"/>
  <c r="S719" i="8" a="1"/>
  <c r="S719" i="8" s="1"/>
  <c r="R719" i="8" a="1"/>
  <c r="R719" i="8" s="1"/>
  <c r="Q719" i="8" a="1"/>
  <c r="Q719" i="8" s="1"/>
  <c r="P719" i="8" a="1"/>
  <c r="P719" i="8" s="1"/>
  <c r="O719" i="8" a="1"/>
  <c r="O719" i="8" s="1"/>
  <c r="N719" i="8" a="1"/>
  <c r="N719" i="8" s="1"/>
  <c r="M719" i="8" a="1"/>
  <c r="M719" i="8" s="1"/>
  <c r="L719" i="8" a="1"/>
  <c r="L719" i="8" s="1"/>
  <c r="K719" i="8" a="1"/>
  <c r="K719" i="8" s="1"/>
  <c r="J719" i="8" a="1"/>
  <c r="J719" i="8" s="1"/>
  <c r="I719" i="8" a="1"/>
  <c r="I719" i="8" s="1"/>
  <c r="H719" i="8" a="1"/>
  <c r="H719" i="8" s="1"/>
  <c r="G719" i="8" a="1"/>
  <c r="G719" i="8" s="1"/>
  <c r="F719" i="8" a="1"/>
  <c r="F719" i="8" s="1"/>
  <c r="E719" i="8" a="1"/>
  <c r="E719" i="8" s="1"/>
  <c r="AB718" i="8" a="1"/>
  <c r="AB718" i="8" s="1"/>
  <c r="AA718" i="8" a="1"/>
  <c r="AA718" i="8" s="1"/>
  <c r="Z718" i="8" a="1"/>
  <c r="Z718" i="8" s="1"/>
  <c r="Y718" i="8" a="1"/>
  <c r="Y718" i="8" s="1"/>
  <c r="X718" i="8" a="1"/>
  <c r="X718" i="8" s="1"/>
  <c r="W718" i="8" a="1"/>
  <c r="W718" i="8" s="1"/>
  <c r="V718" i="8" a="1"/>
  <c r="V718" i="8" s="1"/>
  <c r="U718" i="8" a="1"/>
  <c r="U718" i="8" s="1"/>
  <c r="T718" i="8" a="1"/>
  <c r="T718" i="8" s="1"/>
  <c r="S718" i="8" a="1"/>
  <c r="S718" i="8" s="1"/>
  <c r="R718" i="8" a="1"/>
  <c r="R718" i="8" s="1"/>
  <c r="Q718" i="8" a="1"/>
  <c r="Q718" i="8" s="1"/>
  <c r="P718" i="8" a="1"/>
  <c r="P718" i="8" s="1"/>
  <c r="O718" i="8" a="1"/>
  <c r="O718" i="8" s="1"/>
  <c r="N718" i="8" a="1"/>
  <c r="N718" i="8" s="1"/>
  <c r="M718" i="8" a="1"/>
  <c r="M718" i="8" s="1"/>
  <c r="L718" i="8" a="1"/>
  <c r="L718" i="8" s="1"/>
  <c r="K718" i="8" a="1"/>
  <c r="K718" i="8" s="1"/>
  <c r="J718" i="8" a="1"/>
  <c r="J718" i="8" s="1"/>
  <c r="I718" i="8" a="1"/>
  <c r="I718" i="8" s="1"/>
  <c r="H718" i="8" a="1"/>
  <c r="H718" i="8" s="1"/>
  <c r="G718" i="8" a="1"/>
  <c r="G718" i="8" s="1"/>
  <c r="F718" i="8" a="1"/>
  <c r="F718" i="8" s="1"/>
  <c r="E718" i="8" a="1"/>
  <c r="E718" i="8" s="1"/>
  <c r="AB717" i="8" a="1"/>
  <c r="AB717" i="8" s="1"/>
  <c r="AA717" i="8" a="1"/>
  <c r="AA717" i="8" s="1"/>
  <c r="Z717" i="8" a="1"/>
  <c r="Z717" i="8" s="1"/>
  <c r="Y717" i="8" a="1"/>
  <c r="Y717" i="8" s="1"/>
  <c r="X717" i="8" a="1"/>
  <c r="X717" i="8" s="1"/>
  <c r="W717" i="8" a="1"/>
  <c r="W717" i="8" s="1"/>
  <c r="V717" i="8" a="1"/>
  <c r="V717" i="8" s="1"/>
  <c r="U717" i="8" a="1"/>
  <c r="U717" i="8" s="1"/>
  <c r="T717" i="8" a="1"/>
  <c r="T717" i="8" s="1"/>
  <c r="S717" i="8" a="1"/>
  <c r="S717" i="8" s="1"/>
  <c r="R717" i="8" a="1"/>
  <c r="R717" i="8" s="1"/>
  <c r="Q717" i="8" a="1"/>
  <c r="Q717" i="8" s="1"/>
  <c r="P717" i="8" a="1"/>
  <c r="P717" i="8" s="1"/>
  <c r="O717" i="8" a="1"/>
  <c r="O717" i="8" s="1"/>
  <c r="N717" i="8" a="1"/>
  <c r="N717" i="8" s="1"/>
  <c r="M717" i="8" a="1"/>
  <c r="M717" i="8" s="1"/>
  <c r="L717" i="8" a="1"/>
  <c r="L717" i="8" s="1"/>
  <c r="K717" i="8" a="1"/>
  <c r="K717" i="8" s="1"/>
  <c r="J717" i="8" a="1"/>
  <c r="J717" i="8" s="1"/>
  <c r="I717" i="8" a="1"/>
  <c r="I717" i="8" s="1"/>
  <c r="H717" i="8" a="1"/>
  <c r="H717" i="8" s="1"/>
  <c r="G717" i="8" a="1"/>
  <c r="G717" i="8" s="1"/>
  <c r="F717" i="8" a="1"/>
  <c r="F717" i="8" s="1"/>
  <c r="E717" i="8" a="1"/>
  <c r="E717" i="8" s="1"/>
  <c r="AB716" i="8" a="1"/>
  <c r="AB716" i="8" s="1"/>
  <c r="AA716" i="8" a="1"/>
  <c r="AA716" i="8" s="1"/>
  <c r="Z716" i="8" a="1"/>
  <c r="Z716" i="8" s="1"/>
  <c r="Y716" i="8" a="1"/>
  <c r="Y716" i="8" s="1"/>
  <c r="X716" i="8" a="1"/>
  <c r="X716" i="8" s="1"/>
  <c r="W716" i="8" a="1"/>
  <c r="W716" i="8" s="1"/>
  <c r="V716" i="8" a="1"/>
  <c r="V716" i="8" s="1"/>
  <c r="U716" i="8" a="1"/>
  <c r="U716" i="8" s="1"/>
  <c r="T716" i="8" a="1"/>
  <c r="T716" i="8" s="1"/>
  <c r="S716" i="8" a="1"/>
  <c r="S716" i="8" s="1"/>
  <c r="R716" i="8" a="1"/>
  <c r="R716" i="8" s="1"/>
  <c r="Q716" i="8" a="1"/>
  <c r="Q716" i="8" s="1"/>
  <c r="P716" i="8" a="1"/>
  <c r="P716" i="8" s="1"/>
  <c r="O716" i="8" a="1"/>
  <c r="O716" i="8" s="1"/>
  <c r="N716" i="8" a="1"/>
  <c r="N716" i="8" s="1"/>
  <c r="M716" i="8" a="1"/>
  <c r="M716" i="8" s="1"/>
  <c r="L716" i="8" a="1"/>
  <c r="L716" i="8" s="1"/>
  <c r="K716" i="8" a="1"/>
  <c r="K716" i="8" s="1"/>
  <c r="J716" i="8" a="1"/>
  <c r="J716" i="8" s="1"/>
  <c r="I716" i="8" a="1"/>
  <c r="I716" i="8" s="1"/>
  <c r="H716" i="8" a="1"/>
  <c r="H716" i="8" s="1"/>
  <c r="G716" i="8" a="1"/>
  <c r="G716" i="8" s="1"/>
  <c r="F716" i="8" a="1"/>
  <c r="F716" i="8" s="1"/>
  <c r="E716" i="8" a="1"/>
  <c r="E716" i="8" s="1"/>
  <c r="AB715" i="8" a="1"/>
  <c r="AB715" i="8" s="1"/>
  <c r="AA715" i="8" a="1"/>
  <c r="AA715" i="8" s="1"/>
  <c r="Z715" i="8" a="1"/>
  <c r="Z715" i="8" s="1"/>
  <c r="Y715" i="8" a="1"/>
  <c r="Y715" i="8" s="1"/>
  <c r="X715" i="8" a="1"/>
  <c r="X715" i="8" s="1"/>
  <c r="W715" i="8" a="1"/>
  <c r="W715" i="8" s="1"/>
  <c r="V715" i="8" a="1"/>
  <c r="V715" i="8" s="1"/>
  <c r="U715" i="8" a="1"/>
  <c r="U715" i="8" s="1"/>
  <c r="T715" i="8" a="1"/>
  <c r="T715" i="8" s="1"/>
  <c r="S715" i="8" a="1"/>
  <c r="S715" i="8" s="1"/>
  <c r="R715" i="8" a="1"/>
  <c r="R715" i="8" s="1"/>
  <c r="Q715" i="8" a="1"/>
  <c r="Q715" i="8" s="1"/>
  <c r="P715" i="8" a="1"/>
  <c r="P715" i="8" s="1"/>
  <c r="O715" i="8" a="1"/>
  <c r="O715" i="8" s="1"/>
  <c r="N715" i="8" a="1"/>
  <c r="N715" i="8" s="1"/>
  <c r="M715" i="8" a="1"/>
  <c r="M715" i="8" s="1"/>
  <c r="L715" i="8" a="1"/>
  <c r="L715" i="8" s="1"/>
  <c r="K715" i="8" a="1"/>
  <c r="K715" i="8" s="1"/>
  <c r="J715" i="8" a="1"/>
  <c r="J715" i="8" s="1"/>
  <c r="I715" i="8" a="1"/>
  <c r="I715" i="8" s="1"/>
  <c r="H715" i="8" a="1"/>
  <c r="H715" i="8" s="1"/>
  <c r="G715" i="8" a="1"/>
  <c r="G715" i="8" s="1"/>
  <c r="F715" i="8" a="1"/>
  <c r="F715" i="8" s="1"/>
  <c r="E715" i="8" a="1"/>
  <c r="E715" i="8" s="1"/>
  <c r="AB714" i="8" a="1"/>
  <c r="AB714" i="8" s="1"/>
  <c r="AA714" i="8" a="1"/>
  <c r="AA714" i="8" s="1"/>
  <c r="Z714" i="8" a="1"/>
  <c r="Z714" i="8" s="1"/>
  <c r="Y714" i="8" a="1"/>
  <c r="Y714" i="8" s="1"/>
  <c r="X714" i="8" a="1"/>
  <c r="X714" i="8" s="1"/>
  <c r="W714" i="8" a="1"/>
  <c r="W714" i="8" s="1"/>
  <c r="V714" i="8" a="1"/>
  <c r="V714" i="8" s="1"/>
  <c r="U714" i="8" a="1"/>
  <c r="U714" i="8" s="1"/>
  <c r="T714" i="8" a="1"/>
  <c r="T714" i="8" s="1"/>
  <c r="S714" i="8" a="1"/>
  <c r="S714" i="8" s="1"/>
  <c r="R714" i="8" a="1"/>
  <c r="R714" i="8" s="1"/>
  <c r="Q714" i="8" a="1"/>
  <c r="Q714" i="8" s="1"/>
  <c r="P714" i="8" a="1"/>
  <c r="P714" i="8" s="1"/>
  <c r="O714" i="8" a="1"/>
  <c r="O714" i="8" s="1"/>
  <c r="N714" i="8" a="1"/>
  <c r="N714" i="8" s="1"/>
  <c r="M714" i="8" a="1"/>
  <c r="M714" i="8" s="1"/>
  <c r="L714" i="8" a="1"/>
  <c r="L714" i="8" s="1"/>
  <c r="K714" i="8" a="1"/>
  <c r="K714" i="8" s="1"/>
  <c r="J714" i="8" a="1"/>
  <c r="J714" i="8" s="1"/>
  <c r="I714" i="8" a="1"/>
  <c r="I714" i="8" s="1"/>
  <c r="H714" i="8" a="1"/>
  <c r="H714" i="8" s="1"/>
  <c r="G714" i="8" a="1"/>
  <c r="G714" i="8" s="1"/>
  <c r="F714" i="8" a="1"/>
  <c r="F714" i="8" s="1"/>
  <c r="E714" i="8" a="1"/>
  <c r="E714" i="8" s="1"/>
  <c r="AB713" i="8" a="1"/>
  <c r="AB713" i="8" s="1"/>
  <c r="AA713" i="8" a="1"/>
  <c r="AA713" i="8" s="1"/>
  <c r="Z713" i="8" a="1"/>
  <c r="Z713" i="8" s="1"/>
  <c r="Y713" i="8" a="1"/>
  <c r="Y713" i="8" s="1"/>
  <c r="X713" i="8" a="1"/>
  <c r="X713" i="8" s="1"/>
  <c r="W713" i="8" a="1"/>
  <c r="W713" i="8" s="1"/>
  <c r="V713" i="8" a="1"/>
  <c r="V713" i="8" s="1"/>
  <c r="U713" i="8" a="1"/>
  <c r="U713" i="8" s="1"/>
  <c r="T713" i="8" a="1"/>
  <c r="T713" i="8" s="1"/>
  <c r="S713" i="8" a="1"/>
  <c r="S713" i="8" s="1"/>
  <c r="R713" i="8" a="1"/>
  <c r="R713" i="8" s="1"/>
  <c r="Q713" i="8" a="1"/>
  <c r="Q713" i="8" s="1"/>
  <c r="P713" i="8" a="1"/>
  <c r="P713" i="8" s="1"/>
  <c r="O713" i="8" a="1"/>
  <c r="O713" i="8" s="1"/>
  <c r="N713" i="8" a="1"/>
  <c r="N713" i="8" s="1"/>
  <c r="M713" i="8" a="1"/>
  <c r="M713" i="8" s="1"/>
  <c r="L713" i="8" a="1"/>
  <c r="L713" i="8" s="1"/>
  <c r="K713" i="8" a="1"/>
  <c r="K713" i="8" s="1"/>
  <c r="J713" i="8" a="1"/>
  <c r="J713" i="8" s="1"/>
  <c r="I713" i="8" a="1"/>
  <c r="I713" i="8" s="1"/>
  <c r="H713" i="8" a="1"/>
  <c r="H713" i="8" s="1"/>
  <c r="G713" i="8" a="1"/>
  <c r="G713" i="8" s="1"/>
  <c r="F713" i="8" a="1"/>
  <c r="F713" i="8" s="1"/>
  <c r="E713" i="8" a="1"/>
  <c r="E713" i="8" s="1"/>
  <c r="AB712" i="8" a="1"/>
  <c r="AB712" i="8" s="1"/>
  <c r="AA712" i="8" a="1"/>
  <c r="AA712" i="8" s="1"/>
  <c r="Z712" i="8" a="1"/>
  <c r="Z712" i="8" s="1"/>
  <c r="Y712" i="8" a="1"/>
  <c r="Y712" i="8" s="1"/>
  <c r="X712" i="8" a="1"/>
  <c r="X712" i="8" s="1"/>
  <c r="W712" i="8" a="1"/>
  <c r="W712" i="8" s="1"/>
  <c r="V712" i="8" a="1"/>
  <c r="V712" i="8" s="1"/>
  <c r="U712" i="8" a="1"/>
  <c r="U712" i="8" s="1"/>
  <c r="T712" i="8" a="1"/>
  <c r="T712" i="8" s="1"/>
  <c r="S712" i="8" a="1"/>
  <c r="S712" i="8" s="1"/>
  <c r="R712" i="8" a="1"/>
  <c r="R712" i="8" s="1"/>
  <c r="Q712" i="8" a="1"/>
  <c r="Q712" i="8" s="1"/>
  <c r="P712" i="8" a="1"/>
  <c r="P712" i="8" s="1"/>
  <c r="O712" i="8" a="1"/>
  <c r="O712" i="8" s="1"/>
  <c r="N712" i="8" a="1"/>
  <c r="N712" i="8" s="1"/>
  <c r="M712" i="8" a="1"/>
  <c r="M712" i="8" s="1"/>
  <c r="L712" i="8" a="1"/>
  <c r="L712" i="8" s="1"/>
  <c r="K712" i="8" a="1"/>
  <c r="K712" i="8" s="1"/>
  <c r="J712" i="8" a="1"/>
  <c r="J712" i="8" s="1"/>
  <c r="I712" i="8" a="1"/>
  <c r="I712" i="8" s="1"/>
  <c r="H712" i="8" a="1"/>
  <c r="H712" i="8" s="1"/>
  <c r="G712" i="8" a="1"/>
  <c r="G712" i="8" s="1"/>
  <c r="F712" i="8" a="1"/>
  <c r="F712" i="8" s="1"/>
  <c r="E712" i="8" a="1"/>
  <c r="E712" i="8" s="1"/>
  <c r="AB711" i="8" a="1"/>
  <c r="AB711" i="8" s="1"/>
  <c r="AA711" i="8" a="1"/>
  <c r="AA711" i="8" s="1"/>
  <c r="Z711" i="8" a="1"/>
  <c r="Z711" i="8" s="1"/>
  <c r="Y711" i="8" a="1"/>
  <c r="Y711" i="8" s="1"/>
  <c r="X711" i="8" a="1"/>
  <c r="X711" i="8" s="1"/>
  <c r="W711" i="8" a="1"/>
  <c r="W711" i="8" s="1"/>
  <c r="V711" i="8" a="1"/>
  <c r="V711" i="8" s="1"/>
  <c r="U711" i="8" a="1"/>
  <c r="U711" i="8" s="1"/>
  <c r="T711" i="8" a="1"/>
  <c r="T711" i="8" s="1"/>
  <c r="S711" i="8" a="1"/>
  <c r="S711" i="8" s="1"/>
  <c r="R711" i="8" a="1"/>
  <c r="R711" i="8" s="1"/>
  <c r="Q711" i="8" a="1"/>
  <c r="Q711" i="8" s="1"/>
  <c r="P711" i="8" a="1"/>
  <c r="P711" i="8" s="1"/>
  <c r="O711" i="8" a="1"/>
  <c r="O711" i="8" s="1"/>
  <c r="N711" i="8" a="1"/>
  <c r="N711" i="8" s="1"/>
  <c r="M711" i="8" a="1"/>
  <c r="M711" i="8" s="1"/>
  <c r="L711" i="8" a="1"/>
  <c r="L711" i="8" s="1"/>
  <c r="K711" i="8" a="1"/>
  <c r="K711" i="8" s="1"/>
  <c r="J711" i="8" a="1"/>
  <c r="J711" i="8" s="1"/>
  <c r="I711" i="8" a="1"/>
  <c r="I711" i="8" s="1"/>
  <c r="H711" i="8" a="1"/>
  <c r="H711" i="8" s="1"/>
  <c r="G711" i="8" a="1"/>
  <c r="G711" i="8" s="1"/>
  <c r="F711" i="8" a="1"/>
  <c r="F711" i="8" s="1"/>
  <c r="E711" i="8" a="1"/>
  <c r="E711" i="8" s="1"/>
  <c r="AB710" i="8" a="1"/>
  <c r="AB710" i="8" s="1"/>
  <c r="AA710" i="8" a="1"/>
  <c r="AA710" i="8" s="1"/>
  <c r="Z710" i="8" a="1"/>
  <c r="Z710" i="8" s="1"/>
  <c r="Y710" i="8" a="1"/>
  <c r="Y710" i="8" s="1"/>
  <c r="X710" i="8" a="1"/>
  <c r="X710" i="8" s="1"/>
  <c r="W710" i="8" a="1"/>
  <c r="W710" i="8" s="1"/>
  <c r="V710" i="8" a="1"/>
  <c r="V710" i="8" s="1"/>
  <c r="U710" i="8" a="1"/>
  <c r="U710" i="8" s="1"/>
  <c r="T710" i="8" a="1"/>
  <c r="T710" i="8" s="1"/>
  <c r="S710" i="8" a="1"/>
  <c r="S710" i="8" s="1"/>
  <c r="R710" i="8" a="1"/>
  <c r="R710" i="8" s="1"/>
  <c r="Q710" i="8" a="1"/>
  <c r="Q710" i="8" s="1"/>
  <c r="P710" i="8" a="1"/>
  <c r="P710" i="8" s="1"/>
  <c r="O710" i="8" a="1"/>
  <c r="O710" i="8" s="1"/>
  <c r="N710" i="8" a="1"/>
  <c r="N710" i="8" s="1"/>
  <c r="M710" i="8" a="1"/>
  <c r="M710" i="8" s="1"/>
  <c r="L710" i="8" a="1"/>
  <c r="L710" i="8" s="1"/>
  <c r="K710" i="8" a="1"/>
  <c r="K710" i="8" s="1"/>
  <c r="J710" i="8" a="1"/>
  <c r="J710" i="8" s="1"/>
  <c r="I710" i="8" a="1"/>
  <c r="I710" i="8" s="1"/>
  <c r="H710" i="8" a="1"/>
  <c r="H710" i="8" s="1"/>
  <c r="G710" i="8" a="1"/>
  <c r="G710" i="8" s="1"/>
  <c r="F710" i="8" a="1"/>
  <c r="F710" i="8" s="1"/>
  <c r="E710" i="8" a="1"/>
  <c r="E710" i="8" s="1"/>
  <c r="AB709" i="8" a="1"/>
  <c r="AB709" i="8" s="1"/>
  <c r="AA709" i="8" a="1"/>
  <c r="AA709" i="8" s="1"/>
  <c r="Z709" i="8" a="1"/>
  <c r="Z709" i="8" s="1"/>
  <c r="Y709" i="8" a="1"/>
  <c r="Y709" i="8" s="1"/>
  <c r="X709" i="8" a="1"/>
  <c r="X709" i="8" s="1"/>
  <c r="W709" i="8" a="1"/>
  <c r="W709" i="8" s="1"/>
  <c r="V709" i="8" a="1"/>
  <c r="V709" i="8" s="1"/>
  <c r="U709" i="8" a="1"/>
  <c r="U709" i="8" s="1"/>
  <c r="T709" i="8" a="1"/>
  <c r="T709" i="8" s="1"/>
  <c r="S709" i="8" a="1"/>
  <c r="S709" i="8" s="1"/>
  <c r="R709" i="8" a="1"/>
  <c r="R709" i="8" s="1"/>
  <c r="Q709" i="8" a="1"/>
  <c r="Q709" i="8" s="1"/>
  <c r="P709" i="8" a="1"/>
  <c r="P709" i="8" s="1"/>
  <c r="O709" i="8" a="1"/>
  <c r="O709" i="8" s="1"/>
  <c r="N709" i="8" a="1"/>
  <c r="N709" i="8" s="1"/>
  <c r="M709" i="8" a="1"/>
  <c r="M709" i="8" s="1"/>
  <c r="L709" i="8" a="1"/>
  <c r="L709" i="8" s="1"/>
  <c r="K709" i="8" a="1"/>
  <c r="K709" i="8" s="1"/>
  <c r="J709" i="8" a="1"/>
  <c r="J709" i="8" s="1"/>
  <c r="I709" i="8" a="1"/>
  <c r="I709" i="8" s="1"/>
  <c r="H709" i="8" a="1"/>
  <c r="H709" i="8" s="1"/>
  <c r="G709" i="8" a="1"/>
  <c r="G709" i="8" s="1"/>
  <c r="F709" i="8" a="1"/>
  <c r="F709" i="8" s="1"/>
  <c r="E709" i="8" a="1"/>
  <c r="E709" i="8" s="1"/>
  <c r="AB708" i="8" a="1"/>
  <c r="AB708" i="8" s="1"/>
  <c r="AA708" i="8" a="1"/>
  <c r="AA708" i="8" s="1"/>
  <c r="Z708" i="8" a="1"/>
  <c r="Z708" i="8" s="1"/>
  <c r="Y708" i="8" a="1"/>
  <c r="Y708" i="8" s="1"/>
  <c r="X708" i="8" a="1"/>
  <c r="X708" i="8" s="1"/>
  <c r="W708" i="8" a="1"/>
  <c r="W708" i="8" s="1"/>
  <c r="V708" i="8" a="1"/>
  <c r="V708" i="8" s="1"/>
  <c r="U708" i="8" a="1"/>
  <c r="U708" i="8" s="1"/>
  <c r="T708" i="8" a="1"/>
  <c r="T708" i="8" s="1"/>
  <c r="S708" i="8" a="1"/>
  <c r="S708" i="8" s="1"/>
  <c r="R708" i="8" a="1"/>
  <c r="R708" i="8" s="1"/>
  <c r="Q708" i="8" a="1"/>
  <c r="Q708" i="8" s="1"/>
  <c r="P708" i="8" a="1"/>
  <c r="P708" i="8" s="1"/>
  <c r="O708" i="8" a="1"/>
  <c r="O708" i="8" s="1"/>
  <c r="N708" i="8" a="1"/>
  <c r="N708" i="8" s="1"/>
  <c r="M708" i="8" a="1"/>
  <c r="M708" i="8" s="1"/>
  <c r="L708" i="8" a="1"/>
  <c r="L708" i="8" s="1"/>
  <c r="K708" i="8" a="1"/>
  <c r="K708" i="8" s="1"/>
  <c r="J708" i="8" a="1"/>
  <c r="J708" i="8" s="1"/>
  <c r="I708" i="8" a="1"/>
  <c r="I708" i="8" s="1"/>
  <c r="H708" i="8" a="1"/>
  <c r="H708" i="8" s="1"/>
  <c r="G708" i="8" a="1"/>
  <c r="G708" i="8" s="1"/>
  <c r="F708" i="8" a="1"/>
  <c r="F708" i="8" s="1"/>
  <c r="E708" i="8" a="1"/>
  <c r="E708" i="8" s="1"/>
  <c r="AB707" i="8" a="1"/>
  <c r="AB707" i="8" s="1"/>
  <c r="AA707" i="8" a="1"/>
  <c r="AA707" i="8" s="1"/>
  <c r="Z707" i="8" a="1"/>
  <c r="Z707" i="8" s="1"/>
  <c r="Y707" i="8" a="1"/>
  <c r="Y707" i="8" s="1"/>
  <c r="X707" i="8" a="1"/>
  <c r="X707" i="8" s="1"/>
  <c r="W707" i="8" a="1"/>
  <c r="W707" i="8" s="1"/>
  <c r="V707" i="8" a="1"/>
  <c r="V707" i="8" s="1"/>
  <c r="U707" i="8" a="1"/>
  <c r="U707" i="8" s="1"/>
  <c r="T707" i="8" a="1"/>
  <c r="T707" i="8" s="1"/>
  <c r="S707" i="8" a="1"/>
  <c r="S707" i="8" s="1"/>
  <c r="R707" i="8" a="1"/>
  <c r="R707" i="8" s="1"/>
  <c r="Q707" i="8" a="1"/>
  <c r="Q707" i="8" s="1"/>
  <c r="P707" i="8" a="1"/>
  <c r="P707" i="8" s="1"/>
  <c r="O707" i="8" a="1"/>
  <c r="O707" i="8" s="1"/>
  <c r="N707" i="8" a="1"/>
  <c r="N707" i="8" s="1"/>
  <c r="M707" i="8" a="1"/>
  <c r="M707" i="8" s="1"/>
  <c r="L707" i="8" a="1"/>
  <c r="L707" i="8" s="1"/>
  <c r="K707" i="8" a="1"/>
  <c r="K707" i="8" s="1"/>
  <c r="J707" i="8" a="1"/>
  <c r="J707" i="8" s="1"/>
  <c r="I707" i="8" a="1"/>
  <c r="I707" i="8" s="1"/>
  <c r="H707" i="8" a="1"/>
  <c r="H707" i="8" s="1"/>
  <c r="G707" i="8" a="1"/>
  <c r="G707" i="8" s="1"/>
  <c r="F707" i="8" a="1"/>
  <c r="F707" i="8" s="1"/>
  <c r="E707" i="8" a="1"/>
  <c r="E707" i="8" s="1"/>
  <c r="AB706" i="8" a="1"/>
  <c r="AB706" i="8" s="1"/>
  <c r="AA706" i="8" a="1"/>
  <c r="AA706" i="8" s="1"/>
  <c r="Z706" i="8" a="1"/>
  <c r="Z706" i="8" s="1"/>
  <c r="Y706" i="8" a="1"/>
  <c r="Y706" i="8" s="1"/>
  <c r="X706" i="8" a="1"/>
  <c r="X706" i="8" s="1"/>
  <c r="W706" i="8" a="1"/>
  <c r="W706" i="8" s="1"/>
  <c r="V706" i="8" a="1"/>
  <c r="V706" i="8" s="1"/>
  <c r="U706" i="8" a="1"/>
  <c r="U706" i="8" s="1"/>
  <c r="T706" i="8" a="1"/>
  <c r="T706" i="8" s="1"/>
  <c r="S706" i="8" a="1"/>
  <c r="S706" i="8" s="1"/>
  <c r="R706" i="8" a="1"/>
  <c r="R706" i="8" s="1"/>
  <c r="Q706" i="8" a="1"/>
  <c r="Q706" i="8" s="1"/>
  <c r="P706" i="8" a="1"/>
  <c r="P706" i="8" s="1"/>
  <c r="O706" i="8" a="1"/>
  <c r="O706" i="8" s="1"/>
  <c r="N706" i="8" a="1"/>
  <c r="N706" i="8" s="1"/>
  <c r="M706" i="8" a="1"/>
  <c r="M706" i="8" s="1"/>
  <c r="L706" i="8" a="1"/>
  <c r="L706" i="8" s="1"/>
  <c r="K706" i="8" a="1"/>
  <c r="K706" i="8" s="1"/>
  <c r="J706" i="8" a="1"/>
  <c r="J706" i="8" s="1"/>
  <c r="I706" i="8" a="1"/>
  <c r="I706" i="8" s="1"/>
  <c r="H706" i="8" a="1"/>
  <c r="H706" i="8" s="1"/>
  <c r="G706" i="8" a="1"/>
  <c r="G706" i="8" s="1"/>
  <c r="F706" i="8" a="1"/>
  <c r="F706" i="8" s="1"/>
  <c r="E706" i="8" a="1"/>
  <c r="E706" i="8" s="1"/>
  <c r="AB705" i="8" a="1"/>
  <c r="AB705" i="8" s="1"/>
  <c r="AA705" i="8" a="1"/>
  <c r="AA705" i="8" s="1"/>
  <c r="Z705" i="8" a="1"/>
  <c r="Z705" i="8" s="1"/>
  <c r="Y705" i="8" a="1"/>
  <c r="Y705" i="8" s="1"/>
  <c r="X705" i="8" a="1"/>
  <c r="X705" i="8" s="1"/>
  <c r="W705" i="8" a="1"/>
  <c r="W705" i="8" s="1"/>
  <c r="V705" i="8" a="1"/>
  <c r="V705" i="8" s="1"/>
  <c r="U705" i="8" a="1"/>
  <c r="U705" i="8" s="1"/>
  <c r="T705" i="8" a="1"/>
  <c r="T705" i="8" s="1"/>
  <c r="S705" i="8" a="1"/>
  <c r="S705" i="8" s="1"/>
  <c r="R705" i="8" a="1"/>
  <c r="R705" i="8" s="1"/>
  <c r="Q705" i="8" a="1"/>
  <c r="Q705" i="8" s="1"/>
  <c r="P705" i="8" a="1"/>
  <c r="P705" i="8" s="1"/>
  <c r="O705" i="8" a="1"/>
  <c r="O705" i="8" s="1"/>
  <c r="N705" i="8" a="1"/>
  <c r="N705" i="8" s="1"/>
  <c r="M705" i="8" a="1"/>
  <c r="M705" i="8" s="1"/>
  <c r="L705" i="8" a="1"/>
  <c r="L705" i="8" s="1"/>
  <c r="K705" i="8" a="1"/>
  <c r="K705" i="8" s="1"/>
  <c r="J705" i="8" a="1"/>
  <c r="J705" i="8" s="1"/>
  <c r="I705" i="8" a="1"/>
  <c r="I705" i="8" s="1"/>
  <c r="H705" i="8" a="1"/>
  <c r="H705" i="8" s="1"/>
  <c r="G705" i="8" a="1"/>
  <c r="G705" i="8" s="1"/>
  <c r="F705" i="8" a="1"/>
  <c r="F705" i="8" s="1"/>
  <c r="E705" i="8" a="1"/>
  <c r="E705" i="8" s="1"/>
  <c r="AB704" i="8" a="1"/>
  <c r="AB704" i="8" s="1"/>
  <c r="AA704" i="8" a="1"/>
  <c r="AA704" i="8" s="1"/>
  <c r="Z704" i="8" a="1"/>
  <c r="Z704" i="8" s="1"/>
  <c r="Y704" i="8" a="1"/>
  <c r="Y704" i="8" s="1"/>
  <c r="X704" i="8" a="1"/>
  <c r="X704" i="8" s="1"/>
  <c r="W704" i="8" a="1"/>
  <c r="W704" i="8" s="1"/>
  <c r="V704" i="8" a="1"/>
  <c r="V704" i="8" s="1"/>
  <c r="U704" i="8" a="1"/>
  <c r="U704" i="8" s="1"/>
  <c r="T704" i="8" a="1"/>
  <c r="T704" i="8" s="1"/>
  <c r="S704" i="8" a="1"/>
  <c r="S704" i="8" s="1"/>
  <c r="R704" i="8" a="1"/>
  <c r="R704" i="8" s="1"/>
  <c r="Q704" i="8" a="1"/>
  <c r="Q704" i="8" s="1"/>
  <c r="P704" i="8" a="1"/>
  <c r="P704" i="8" s="1"/>
  <c r="O704" i="8" a="1"/>
  <c r="O704" i="8" s="1"/>
  <c r="N704" i="8" a="1"/>
  <c r="N704" i="8" s="1"/>
  <c r="M704" i="8" a="1"/>
  <c r="M704" i="8" s="1"/>
  <c r="L704" i="8" a="1"/>
  <c r="L704" i="8" s="1"/>
  <c r="K704" i="8" a="1"/>
  <c r="K704" i="8" s="1"/>
  <c r="J704" i="8" a="1"/>
  <c r="J704" i="8" s="1"/>
  <c r="I704" i="8" a="1"/>
  <c r="I704" i="8" s="1"/>
  <c r="H704" i="8" a="1"/>
  <c r="H704" i="8" s="1"/>
  <c r="G704" i="8" a="1"/>
  <c r="G704" i="8" s="1"/>
  <c r="F704" i="8" a="1"/>
  <c r="F704" i="8" s="1"/>
  <c r="E704" i="8" a="1"/>
  <c r="E704" i="8" s="1"/>
  <c r="AB703" i="8" a="1"/>
  <c r="AB703" i="8" s="1"/>
  <c r="AA703" i="8" a="1"/>
  <c r="AA703" i="8" s="1"/>
  <c r="Z703" i="8" a="1"/>
  <c r="Z703" i="8" s="1"/>
  <c r="Y703" i="8" a="1"/>
  <c r="Y703" i="8" s="1"/>
  <c r="X703" i="8" a="1"/>
  <c r="X703" i="8" s="1"/>
  <c r="W703" i="8" a="1"/>
  <c r="W703" i="8" s="1"/>
  <c r="V703" i="8" a="1"/>
  <c r="V703" i="8" s="1"/>
  <c r="U703" i="8" a="1"/>
  <c r="U703" i="8" s="1"/>
  <c r="T703" i="8" a="1"/>
  <c r="T703" i="8" s="1"/>
  <c r="S703" i="8" a="1"/>
  <c r="S703" i="8" s="1"/>
  <c r="R703" i="8" a="1"/>
  <c r="R703" i="8" s="1"/>
  <c r="Q703" i="8" a="1"/>
  <c r="Q703" i="8" s="1"/>
  <c r="P703" i="8" a="1"/>
  <c r="P703" i="8" s="1"/>
  <c r="O703" i="8" a="1"/>
  <c r="O703" i="8" s="1"/>
  <c r="N703" i="8" a="1"/>
  <c r="N703" i="8" s="1"/>
  <c r="M703" i="8" a="1"/>
  <c r="M703" i="8" s="1"/>
  <c r="L703" i="8" a="1"/>
  <c r="L703" i="8" s="1"/>
  <c r="K703" i="8" a="1"/>
  <c r="K703" i="8" s="1"/>
  <c r="J703" i="8" a="1"/>
  <c r="J703" i="8" s="1"/>
  <c r="I703" i="8" a="1"/>
  <c r="I703" i="8" s="1"/>
  <c r="H703" i="8" a="1"/>
  <c r="H703" i="8" s="1"/>
  <c r="G703" i="8" a="1"/>
  <c r="G703" i="8" s="1"/>
  <c r="F703" i="8" a="1"/>
  <c r="F703" i="8" s="1"/>
  <c r="E703" i="8" a="1"/>
  <c r="E703" i="8" s="1"/>
  <c r="AB702" i="8" a="1"/>
  <c r="AB702" i="8" s="1"/>
  <c r="AA702" i="8" a="1"/>
  <c r="AA702" i="8" s="1"/>
  <c r="Z702" i="8" a="1"/>
  <c r="Z702" i="8" s="1"/>
  <c r="Y702" i="8" a="1"/>
  <c r="Y702" i="8" s="1"/>
  <c r="X702" i="8" a="1"/>
  <c r="X702" i="8" s="1"/>
  <c r="W702" i="8" a="1"/>
  <c r="W702" i="8" s="1"/>
  <c r="V702" i="8" a="1"/>
  <c r="V702" i="8" s="1"/>
  <c r="U702" i="8" a="1"/>
  <c r="U702" i="8" s="1"/>
  <c r="T702" i="8" a="1"/>
  <c r="T702" i="8" s="1"/>
  <c r="S702" i="8" a="1"/>
  <c r="S702" i="8" s="1"/>
  <c r="R702" i="8" a="1"/>
  <c r="R702" i="8" s="1"/>
  <c r="Q702" i="8" a="1"/>
  <c r="Q702" i="8" s="1"/>
  <c r="P702" i="8" a="1"/>
  <c r="P702" i="8" s="1"/>
  <c r="O702" i="8" a="1"/>
  <c r="O702" i="8" s="1"/>
  <c r="N702" i="8" a="1"/>
  <c r="N702" i="8" s="1"/>
  <c r="M702" i="8" a="1"/>
  <c r="M702" i="8" s="1"/>
  <c r="L702" i="8" a="1"/>
  <c r="L702" i="8" s="1"/>
  <c r="K702" i="8" a="1"/>
  <c r="K702" i="8" s="1"/>
  <c r="J702" i="8" a="1"/>
  <c r="J702" i="8" s="1"/>
  <c r="I702" i="8" a="1"/>
  <c r="I702" i="8" s="1"/>
  <c r="H702" i="8" a="1"/>
  <c r="H702" i="8" s="1"/>
  <c r="G702" i="8" a="1"/>
  <c r="G702" i="8" s="1"/>
  <c r="F702" i="8" a="1"/>
  <c r="F702" i="8" s="1"/>
  <c r="E702" i="8" a="1"/>
  <c r="E702" i="8" s="1"/>
  <c r="AB701" i="8" a="1"/>
  <c r="AB701" i="8" s="1"/>
  <c r="AA701" i="8" a="1"/>
  <c r="AA701" i="8" s="1"/>
  <c r="Z701" i="8" a="1"/>
  <c r="Z701" i="8" s="1"/>
  <c r="Y701" i="8" a="1"/>
  <c r="Y701" i="8" s="1"/>
  <c r="X701" i="8" a="1"/>
  <c r="X701" i="8" s="1"/>
  <c r="W701" i="8" a="1"/>
  <c r="W701" i="8" s="1"/>
  <c r="V701" i="8" a="1"/>
  <c r="V701" i="8" s="1"/>
  <c r="U701" i="8" a="1"/>
  <c r="U701" i="8" s="1"/>
  <c r="T701" i="8" a="1"/>
  <c r="T701" i="8" s="1"/>
  <c r="S701" i="8" a="1"/>
  <c r="S701" i="8" s="1"/>
  <c r="R701" i="8" a="1"/>
  <c r="R701" i="8" s="1"/>
  <c r="Q701" i="8" a="1"/>
  <c r="Q701" i="8" s="1"/>
  <c r="P701" i="8" a="1"/>
  <c r="P701" i="8" s="1"/>
  <c r="O701" i="8" a="1"/>
  <c r="O701" i="8" s="1"/>
  <c r="N701" i="8" a="1"/>
  <c r="N701" i="8" s="1"/>
  <c r="M701" i="8" a="1"/>
  <c r="M701" i="8" s="1"/>
  <c r="L701" i="8" a="1"/>
  <c r="L701" i="8" s="1"/>
  <c r="K701" i="8" a="1"/>
  <c r="K701" i="8" s="1"/>
  <c r="J701" i="8" a="1"/>
  <c r="J701" i="8" s="1"/>
  <c r="I701" i="8" a="1"/>
  <c r="I701" i="8" s="1"/>
  <c r="H701" i="8" a="1"/>
  <c r="H701" i="8" s="1"/>
  <c r="G701" i="8" a="1"/>
  <c r="G701" i="8" s="1"/>
  <c r="F701" i="8" a="1"/>
  <c r="F701" i="8" s="1"/>
  <c r="E701" i="8" a="1"/>
  <c r="E701" i="8" s="1"/>
  <c r="AB700" i="8" a="1"/>
  <c r="AB700" i="8" s="1"/>
  <c r="AA700" i="8" a="1"/>
  <c r="AA700" i="8" s="1"/>
  <c r="Z700" i="8" a="1"/>
  <c r="Z700" i="8" s="1"/>
  <c r="Y700" i="8" a="1"/>
  <c r="Y700" i="8" s="1"/>
  <c r="X700" i="8" a="1"/>
  <c r="X700" i="8" s="1"/>
  <c r="W700" i="8" a="1"/>
  <c r="W700" i="8" s="1"/>
  <c r="V700" i="8" a="1"/>
  <c r="V700" i="8" s="1"/>
  <c r="U700" i="8" a="1"/>
  <c r="U700" i="8" s="1"/>
  <c r="T700" i="8" a="1"/>
  <c r="T700" i="8" s="1"/>
  <c r="S700" i="8" a="1"/>
  <c r="S700" i="8" s="1"/>
  <c r="R700" i="8" a="1"/>
  <c r="R700" i="8" s="1"/>
  <c r="Q700" i="8" a="1"/>
  <c r="Q700" i="8" s="1"/>
  <c r="P700" i="8" a="1"/>
  <c r="P700" i="8" s="1"/>
  <c r="O700" i="8" a="1"/>
  <c r="O700" i="8" s="1"/>
  <c r="N700" i="8" a="1"/>
  <c r="N700" i="8" s="1"/>
  <c r="M700" i="8" a="1"/>
  <c r="M700" i="8" s="1"/>
  <c r="L700" i="8" a="1"/>
  <c r="L700" i="8" s="1"/>
  <c r="K700" i="8" a="1"/>
  <c r="K700" i="8" s="1"/>
  <c r="J700" i="8" a="1"/>
  <c r="J700" i="8" s="1"/>
  <c r="I700" i="8" a="1"/>
  <c r="I700" i="8" s="1"/>
  <c r="H700" i="8" a="1"/>
  <c r="H700" i="8" s="1"/>
  <c r="G700" i="8" a="1"/>
  <c r="G700" i="8" s="1"/>
  <c r="F700" i="8" a="1"/>
  <c r="F700" i="8" s="1"/>
  <c r="E700" i="8" a="1"/>
  <c r="E700" i="8" s="1"/>
  <c r="AB699" i="8" a="1"/>
  <c r="AB699" i="8" s="1"/>
  <c r="AA699" i="8" a="1"/>
  <c r="AA699" i="8" s="1"/>
  <c r="Z699" i="8" a="1"/>
  <c r="Z699" i="8" s="1"/>
  <c r="Y699" i="8" a="1"/>
  <c r="Y699" i="8" s="1"/>
  <c r="X699" i="8" a="1"/>
  <c r="X699" i="8" s="1"/>
  <c r="W699" i="8" a="1"/>
  <c r="W699" i="8" s="1"/>
  <c r="V699" i="8" a="1"/>
  <c r="V699" i="8" s="1"/>
  <c r="U699" i="8" a="1"/>
  <c r="U699" i="8" s="1"/>
  <c r="T699" i="8" a="1"/>
  <c r="T699" i="8" s="1"/>
  <c r="S699" i="8" a="1"/>
  <c r="S699" i="8" s="1"/>
  <c r="R699" i="8" a="1"/>
  <c r="R699" i="8" s="1"/>
  <c r="Q699" i="8" a="1"/>
  <c r="Q699" i="8" s="1"/>
  <c r="P699" i="8" a="1"/>
  <c r="P699" i="8" s="1"/>
  <c r="O699" i="8" a="1"/>
  <c r="O699" i="8" s="1"/>
  <c r="N699" i="8" a="1"/>
  <c r="N699" i="8" s="1"/>
  <c r="M699" i="8" a="1"/>
  <c r="M699" i="8" s="1"/>
  <c r="L699" i="8" a="1"/>
  <c r="L699" i="8" s="1"/>
  <c r="K699" i="8" a="1"/>
  <c r="K699" i="8" s="1"/>
  <c r="J699" i="8" a="1"/>
  <c r="J699" i="8" s="1"/>
  <c r="I699" i="8" a="1"/>
  <c r="I699" i="8" s="1"/>
  <c r="H699" i="8" a="1"/>
  <c r="H699" i="8" s="1"/>
  <c r="G699" i="8" a="1"/>
  <c r="G699" i="8" s="1"/>
  <c r="F699" i="8" a="1"/>
  <c r="F699" i="8" s="1"/>
  <c r="E699" i="8" a="1"/>
  <c r="E699" i="8" s="1"/>
  <c r="AB698" i="8" a="1"/>
  <c r="AB698" i="8" s="1"/>
  <c r="AA698" i="8" a="1"/>
  <c r="AA698" i="8" s="1"/>
  <c r="Z698" i="8" a="1"/>
  <c r="Z698" i="8" s="1"/>
  <c r="Y698" i="8" a="1"/>
  <c r="Y698" i="8" s="1"/>
  <c r="X698" i="8" a="1"/>
  <c r="X698" i="8" s="1"/>
  <c r="W698" i="8" a="1"/>
  <c r="W698" i="8" s="1"/>
  <c r="V698" i="8" a="1"/>
  <c r="V698" i="8" s="1"/>
  <c r="U698" i="8" a="1"/>
  <c r="U698" i="8" s="1"/>
  <c r="T698" i="8" a="1"/>
  <c r="T698" i="8" s="1"/>
  <c r="S698" i="8" a="1"/>
  <c r="S698" i="8" s="1"/>
  <c r="R698" i="8" a="1"/>
  <c r="R698" i="8" s="1"/>
  <c r="Q698" i="8" a="1"/>
  <c r="Q698" i="8" s="1"/>
  <c r="P698" i="8" a="1"/>
  <c r="P698" i="8" s="1"/>
  <c r="O698" i="8" a="1"/>
  <c r="O698" i="8" s="1"/>
  <c r="N698" i="8" a="1"/>
  <c r="N698" i="8" s="1"/>
  <c r="M698" i="8" a="1"/>
  <c r="M698" i="8" s="1"/>
  <c r="L698" i="8" a="1"/>
  <c r="L698" i="8" s="1"/>
  <c r="K698" i="8" a="1"/>
  <c r="K698" i="8" s="1"/>
  <c r="J698" i="8" a="1"/>
  <c r="J698" i="8" s="1"/>
  <c r="I698" i="8" a="1"/>
  <c r="I698" i="8" s="1"/>
  <c r="H698" i="8" a="1"/>
  <c r="H698" i="8" s="1"/>
  <c r="G698" i="8" a="1"/>
  <c r="G698" i="8" s="1"/>
  <c r="F698" i="8" a="1"/>
  <c r="F698" i="8" s="1"/>
  <c r="E698" i="8" a="1"/>
  <c r="E698" i="8" s="1"/>
  <c r="AB697" i="8" a="1"/>
  <c r="AB697" i="8" s="1"/>
  <c r="AA697" i="8" a="1"/>
  <c r="AA697" i="8" s="1"/>
  <c r="Z697" i="8" a="1"/>
  <c r="Z697" i="8" s="1"/>
  <c r="Y697" i="8" a="1"/>
  <c r="Y697" i="8" s="1"/>
  <c r="X697" i="8" a="1"/>
  <c r="X697" i="8" s="1"/>
  <c r="W697" i="8" a="1"/>
  <c r="W697" i="8" s="1"/>
  <c r="V697" i="8" a="1"/>
  <c r="V697" i="8" s="1"/>
  <c r="U697" i="8" a="1"/>
  <c r="U697" i="8" s="1"/>
  <c r="T697" i="8" a="1"/>
  <c r="T697" i="8" s="1"/>
  <c r="S697" i="8" a="1"/>
  <c r="S697" i="8" s="1"/>
  <c r="R697" i="8" a="1"/>
  <c r="R697" i="8" s="1"/>
  <c r="Q697" i="8" a="1"/>
  <c r="Q697" i="8" s="1"/>
  <c r="P697" i="8" a="1"/>
  <c r="P697" i="8" s="1"/>
  <c r="O697" i="8" a="1"/>
  <c r="O697" i="8" s="1"/>
  <c r="N697" i="8" a="1"/>
  <c r="N697" i="8" s="1"/>
  <c r="M697" i="8" a="1"/>
  <c r="M697" i="8" s="1"/>
  <c r="L697" i="8" a="1"/>
  <c r="L697" i="8" s="1"/>
  <c r="K697" i="8" a="1"/>
  <c r="K697" i="8" s="1"/>
  <c r="J697" i="8" a="1"/>
  <c r="J697" i="8" s="1"/>
  <c r="I697" i="8" a="1"/>
  <c r="I697" i="8" s="1"/>
  <c r="H697" i="8" a="1"/>
  <c r="H697" i="8" s="1"/>
  <c r="G697" i="8" a="1"/>
  <c r="G697" i="8" s="1"/>
  <c r="F697" i="8" a="1"/>
  <c r="F697" i="8" s="1"/>
  <c r="E697" i="8" a="1"/>
  <c r="E697" i="8" s="1"/>
  <c r="AB696" i="8" a="1"/>
  <c r="AB696" i="8" s="1"/>
  <c r="AA696" i="8" a="1"/>
  <c r="AA696" i="8" s="1"/>
  <c r="Z696" i="8" a="1"/>
  <c r="Z696" i="8" s="1"/>
  <c r="Y696" i="8" a="1"/>
  <c r="Y696" i="8" s="1"/>
  <c r="X696" i="8" a="1"/>
  <c r="X696" i="8" s="1"/>
  <c r="W696" i="8" a="1"/>
  <c r="W696" i="8" s="1"/>
  <c r="V696" i="8" a="1"/>
  <c r="V696" i="8" s="1"/>
  <c r="U696" i="8" a="1"/>
  <c r="U696" i="8" s="1"/>
  <c r="T696" i="8" a="1"/>
  <c r="T696" i="8" s="1"/>
  <c r="S696" i="8" a="1"/>
  <c r="S696" i="8" s="1"/>
  <c r="R696" i="8" a="1"/>
  <c r="R696" i="8" s="1"/>
  <c r="Q696" i="8" a="1"/>
  <c r="Q696" i="8" s="1"/>
  <c r="P696" i="8" a="1"/>
  <c r="P696" i="8" s="1"/>
  <c r="O696" i="8" a="1"/>
  <c r="O696" i="8" s="1"/>
  <c r="N696" i="8" a="1"/>
  <c r="N696" i="8" s="1"/>
  <c r="M696" i="8" a="1"/>
  <c r="M696" i="8" s="1"/>
  <c r="L696" i="8" a="1"/>
  <c r="L696" i="8" s="1"/>
  <c r="K696" i="8" a="1"/>
  <c r="K696" i="8" s="1"/>
  <c r="J696" i="8" a="1"/>
  <c r="J696" i="8" s="1"/>
  <c r="I696" i="8" a="1"/>
  <c r="I696" i="8" s="1"/>
  <c r="H696" i="8" a="1"/>
  <c r="H696" i="8" s="1"/>
  <c r="G696" i="8" a="1"/>
  <c r="G696" i="8" s="1"/>
  <c r="F696" i="8" a="1"/>
  <c r="F696" i="8" s="1"/>
  <c r="E696" i="8" a="1"/>
  <c r="E696" i="8" s="1"/>
  <c r="AB695" i="8" a="1"/>
  <c r="AB695" i="8" s="1"/>
  <c r="AA695" i="8" a="1"/>
  <c r="AA695" i="8" s="1"/>
  <c r="Z695" i="8" a="1"/>
  <c r="Z695" i="8" s="1"/>
  <c r="Y695" i="8" a="1"/>
  <c r="Y695" i="8" s="1"/>
  <c r="X695" i="8" a="1"/>
  <c r="X695" i="8" s="1"/>
  <c r="W695" i="8" a="1"/>
  <c r="W695" i="8" s="1"/>
  <c r="V695" i="8" a="1"/>
  <c r="V695" i="8" s="1"/>
  <c r="U695" i="8" a="1"/>
  <c r="U695" i="8" s="1"/>
  <c r="T695" i="8" a="1"/>
  <c r="T695" i="8" s="1"/>
  <c r="S695" i="8" a="1"/>
  <c r="S695" i="8" s="1"/>
  <c r="R695" i="8" a="1"/>
  <c r="R695" i="8" s="1"/>
  <c r="Q695" i="8" a="1"/>
  <c r="Q695" i="8" s="1"/>
  <c r="P695" i="8" a="1"/>
  <c r="P695" i="8" s="1"/>
  <c r="O695" i="8" a="1"/>
  <c r="O695" i="8" s="1"/>
  <c r="N695" i="8" a="1"/>
  <c r="N695" i="8" s="1"/>
  <c r="M695" i="8" a="1"/>
  <c r="M695" i="8" s="1"/>
  <c r="L695" i="8" a="1"/>
  <c r="L695" i="8" s="1"/>
  <c r="K695" i="8" a="1"/>
  <c r="K695" i="8" s="1"/>
  <c r="J695" i="8" a="1"/>
  <c r="J695" i="8" s="1"/>
  <c r="I695" i="8" a="1"/>
  <c r="I695" i="8" s="1"/>
  <c r="H695" i="8" a="1"/>
  <c r="H695" i="8" s="1"/>
  <c r="G695" i="8" a="1"/>
  <c r="G695" i="8" s="1"/>
  <c r="F695" i="8" a="1"/>
  <c r="F695" i="8" s="1"/>
  <c r="E695" i="8" a="1"/>
  <c r="E695" i="8" s="1"/>
  <c r="AB694" i="8" a="1"/>
  <c r="AB694" i="8" s="1"/>
  <c r="AA694" i="8" a="1"/>
  <c r="AA694" i="8" s="1"/>
  <c r="Z694" i="8" a="1"/>
  <c r="Z694" i="8" s="1"/>
  <c r="Y694" i="8" a="1"/>
  <c r="Y694" i="8" s="1"/>
  <c r="X694" i="8" a="1"/>
  <c r="X694" i="8" s="1"/>
  <c r="W694" i="8" a="1"/>
  <c r="W694" i="8" s="1"/>
  <c r="V694" i="8" a="1"/>
  <c r="V694" i="8" s="1"/>
  <c r="U694" i="8" a="1"/>
  <c r="U694" i="8" s="1"/>
  <c r="T694" i="8" a="1"/>
  <c r="T694" i="8" s="1"/>
  <c r="S694" i="8" a="1"/>
  <c r="S694" i="8" s="1"/>
  <c r="R694" i="8" a="1"/>
  <c r="R694" i="8" s="1"/>
  <c r="Q694" i="8" a="1"/>
  <c r="Q694" i="8" s="1"/>
  <c r="P694" i="8" a="1"/>
  <c r="P694" i="8" s="1"/>
  <c r="O694" i="8" a="1"/>
  <c r="O694" i="8" s="1"/>
  <c r="N694" i="8" a="1"/>
  <c r="N694" i="8" s="1"/>
  <c r="M694" i="8" a="1"/>
  <c r="M694" i="8" s="1"/>
  <c r="L694" i="8" a="1"/>
  <c r="L694" i="8" s="1"/>
  <c r="K694" i="8" a="1"/>
  <c r="K694" i="8" s="1"/>
  <c r="J694" i="8" a="1"/>
  <c r="J694" i="8" s="1"/>
  <c r="I694" i="8" a="1"/>
  <c r="I694" i="8" s="1"/>
  <c r="H694" i="8" a="1"/>
  <c r="H694" i="8" s="1"/>
  <c r="G694" i="8" a="1"/>
  <c r="G694" i="8" s="1"/>
  <c r="F694" i="8" a="1"/>
  <c r="F694" i="8" s="1"/>
  <c r="E694" i="8" a="1"/>
  <c r="E694" i="8" s="1"/>
  <c r="AB693" i="8" a="1"/>
  <c r="AB693" i="8" s="1"/>
  <c r="AA693" i="8" a="1"/>
  <c r="AA693" i="8" s="1"/>
  <c r="Z693" i="8" a="1"/>
  <c r="Z693" i="8" s="1"/>
  <c r="Y693" i="8" a="1"/>
  <c r="Y693" i="8" s="1"/>
  <c r="X693" i="8" a="1"/>
  <c r="X693" i="8" s="1"/>
  <c r="W693" i="8" a="1"/>
  <c r="W693" i="8" s="1"/>
  <c r="V693" i="8" a="1"/>
  <c r="V693" i="8" s="1"/>
  <c r="U693" i="8" a="1"/>
  <c r="U693" i="8" s="1"/>
  <c r="T693" i="8" a="1"/>
  <c r="T693" i="8" s="1"/>
  <c r="S693" i="8" a="1"/>
  <c r="S693" i="8" s="1"/>
  <c r="R693" i="8" a="1"/>
  <c r="R693" i="8" s="1"/>
  <c r="Q693" i="8" a="1"/>
  <c r="Q693" i="8" s="1"/>
  <c r="P693" i="8" a="1"/>
  <c r="P693" i="8" s="1"/>
  <c r="O693" i="8" a="1"/>
  <c r="O693" i="8" s="1"/>
  <c r="N693" i="8" a="1"/>
  <c r="N693" i="8" s="1"/>
  <c r="M693" i="8" a="1"/>
  <c r="M693" i="8" s="1"/>
  <c r="L693" i="8" a="1"/>
  <c r="L693" i="8" s="1"/>
  <c r="K693" i="8" a="1"/>
  <c r="K693" i="8" s="1"/>
  <c r="J693" i="8" a="1"/>
  <c r="J693" i="8" s="1"/>
  <c r="I693" i="8" a="1"/>
  <c r="I693" i="8" s="1"/>
  <c r="H693" i="8" a="1"/>
  <c r="H693" i="8" s="1"/>
  <c r="G693" i="8" a="1"/>
  <c r="G693" i="8" s="1"/>
  <c r="F693" i="8" a="1"/>
  <c r="F693" i="8" s="1"/>
  <c r="E693" i="8" a="1"/>
  <c r="E693" i="8" s="1"/>
  <c r="AB692" i="8" a="1"/>
  <c r="AB692" i="8" s="1"/>
  <c r="AA692" i="8" a="1"/>
  <c r="AA692" i="8" s="1"/>
  <c r="Z692" i="8" a="1"/>
  <c r="Z692" i="8" s="1"/>
  <c r="Y692" i="8" a="1"/>
  <c r="Y692" i="8" s="1"/>
  <c r="X692" i="8" a="1"/>
  <c r="X692" i="8" s="1"/>
  <c r="W692" i="8" a="1"/>
  <c r="W692" i="8" s="1"/>
  <c r="V692" i="8" a="1"/>
  <c r="V692" i="8" s="1"/>
  <c r="U692" i="8" a="1"/>
  <c r="U692" i="8" s="1"/>
  <c r="T692" i="8" a="1"/>
  <c r="T692" i="8" s="1"/>
  <c r="S692" i="8" a="1"/>
  <c r="S692" i="8" s="1"/>
  <c r="R692" i="8" a="1"/>
  <c r="R692" i="8" s="1"/>
  <c r="Q692" i="8" a="1"/>
  <c r="Q692" i="8" s="1"/>
  <c r="P692" i="8" a="1"/>
  <c r="P692" i="8" s="1"/>
  <c r="O692" i="8" a="1"/>
  <c r="O692" i="8" s="1"/>
  <c r="N692" i="8" a="1"/>
  <c r="N692" i="8" s="1"/>
  <c r="M692" i="8" a="1"/>
  <c r="M692" i="8" s="1"/>
  <c r="L692" i="8" a="1"/>
  <c r="L692" i="8" s="1"/>
  <c r="K692" i="8" a="1"/>
  <c r="K692" i="8" s="1"/>
  <c r="J692" i="8" a="1"/>
  <c r="J692" i="8" s="1"/>
  <c r="I692" i="8" a="1"/>
  <c r="I692" i="8" s="1"/>
  <c r="H692" i="8" a="1"/>
  <c r="H692" i="8" s="1"/>
  <c r="G692" i="8" a="1"/>
  <c r="G692" i="8" s="1"/>
  <c r="F692" i="8" a="1"/>
  <c r="F692" i="8" s="1"/>
  <c r="E692" i="8" a="1"/>
  <c r="E692" i="8" s="1"/>
  <c r="AB691" i="8" a="1"/>
  <c r="AB691" i="8" s="1"/>
  <c r="AA691" i="8" a="1"/>
  <c r="AA691" i="8" s="1"/>
  <c r="Z691" i="8" a="1"/>
  <c r="Z691" i="8" s="1"/>
  <c r="Y691" i="8" a="1"/>
  <c r="Y691" i="8" s="1"/>
  <c r="X691" i="8" a="1"/>
  <c r="X691" i="8" s="1"/>
  <c r="W691" i="8" a="1"/>
  <c r="W691" i="8" s="1"/>
  <c r="V691" i="8" a="1"/>
  <c r="V691" i="8" s="1"/>
  <c r="U691" i="8" a="1"/>
  <c r="U691" i="8" s="1"/>
  <c r="T691" i="8" a="1"/>
  <c r="T691" i="8" s="1"/>
  <c r="S691" i="8" a="1"/>
  <c r="S691" i="8" s="1"/>
  <c r="R691" i="8" a="1"/>
  <c r="R691" i="8" s="1"/>
  <c r="Q691" i="8" a="1"/>
  <c r="Q691" i="8" s="1"/>
  <c r="P691" i="8" a="1"/>
  <c r="P691" i="8" s="1"/>
  <c r="O691" i="8" a="1"/>
  <c r="O691" i="8" s="1"/>
  <c r="N691" i="8" a="1"/>
  <c r="N691" i="8" s="1"/>
  <c r="M691" i="8" a="1"/>
  <c r="M691" i="8" s="1"/>
  <c r="L691" i="8" a="1"/>
  <c r="L691" i="8" s="1"/>
  <c r="K691" i="8" a="1"/>
  <c r="K691" i="8" s="1"/>
  <c r="J691" i="8" a="1"/>
  <c r="J691" i="8" s="1"/>
  <c r="I691" i="8" a="1"/>
  <c r="I691" i="8" s="1"/>
  <c r="H691" i="8" a="1"/>
  <c r="H691" i="8" s="1"/>
  <c r="G691" i="8" a="1"/>
  <c r="G691" i="8" s="1"/>
  <c r="F691" i="8" a="1"/>
  <c r="F691" i="8" s="1"/>
  <c r="E691" i="8" a="1"/>
  <c r="E691" i="8" s="1"/>
  <c r="AB690" i="8" a="1"/>
  <c r="AB690" i="8" s="1"/>
  <c r="AA690" i="8" a="1"/>
  <c r="AA690" i="8" s="1"/>
  <c r="Z690" i="8" a="1"/>
  <c r="Z690" i="8" s="1"/>
  <c r="Y690" i="8" a="1"/>
  <c r="Y690" i="8" s="1"/>
  <c r="X690" i="8" a="1"/>
  <c r="X690" i="8" s="1"/>
  <c r="W690" i="8" a="1"/>
  <c r="W690" i="8" s="1"/>
  <c r="V690" i="8" a="1"/>
  <c r="V690" i="8" s="1"/>
  <c r="U690" i="8" a="1"/>
  <c r="U690" i="8" s="1"/>
  <c r="T690" i="8" a="1"/>
  <c r="T690" i="8" s="1"/>
  <c r="S690" i="8" a="1"/>
  <c r="S690" i="8" s="1"/>
  <c r="R690" i="8" a="1"/>
  <c r="R690" i="8" s="1"/>
  <c r="Q690" i="8" a="1"/>
  <c r="Q690" i="8" s="1"/>
  <c r="P690" i="8" a="1"/>
  <c r="P690" i="8" s="1"/>
  <c r="O690" i="8" a="1"/>
  <c r="O690" i="8" s="1"/>
  <c r="N690" i="8" a="1"/>
  <c r="N690" i="8" s="1"/>
  <c r="M690" i="8" a="1"/>
  <c r="M690" i="8" s="1"/>
  <c r="L690" i="8" a="1"/>
  <c r="L690" i="8" s="1"/>
  <c r="K690" i="8" a="1"/>
  <c r="K690" i="8" s="1"/>
  <c r="J690" i="8" a="1"/>
  <c r="J690" i="8" s="1"/>
  <c r="I690" i="8" a="1"/>
  <c r="I690" i="8" s="1"/>
  <c r="H690" i="8" a="1"/>
  <c r="H690" i="8" s="1"/>
  <c r="G690" i="8" a="1"/>
  <c r="G690" i="8" s="1"/>
  <c r="F690" i="8" a="1"/>
  <c r="F690" i="8" s="1"/>
  <c r="E690" i="8" a="1"/>
  <c r="E690" i="8" s="1"/>
  <c r="AB689" i="8" a="1"/>
  <c r="AB689" i="8" s="1"/>
  <c r="AA689" i="8" a="1"/>
  <c r="AA689" i="8" s="1"/>
  <c r="Z689" i="8" a="1"/>
  <c r="Z689" i="8" s="1"/>
  <c r="Y689" i="8" a="1"/>
  <c r="Y689" i="8" s="1"/>
  <c r="X689" i="8" a="1"/>
  <c r="X689" i="8" s="1"/>
  <c r="W689" i="8" a="1"/>
  <c r="W689" i="8" s="1"/>
  <c r="V689" i="8" a="1"/>
  <c r="V689" i="8" s="1"/>
  <c r="U689" i="8" a="1"/>
  <c r="U689" i="8" s="1"/>
  <c r="T689" i="8" a="1"/>
  <c r="T689" i="8" s="1"/>
  <c r="S689" i="8" a="1"/>
  <c r="S689" i="8" s="1"/>
  <c r="R689" i="8" a="1"/>
  <c r="R689" i="8" s="1"/>
  <c r="Q689" i="8" a="1"/>
  <c r="Q689" i="8" s="1"/>
  <c r="P689" i="8" a="1"/>
  <c r="P689" i="8" s="1"/>
  <c r="O689" i="8" a="1"/>
  <c r="O689" i="8" s="1"/>
  <c r="N689" i="8" a="1"/>
  <c r="N689" i="8" s="1"/>
  <c r="M689" i="8" a="1"/>
  <c r="M689" i="8" s="1"/>
  <c r="L689" i="8" a="1"/>
  <c r="L689" i="8" s="1"/>
  <c r="K689" i="8" a="1"/>
  <c r="K689" i="8" s="1"/>
  <c r="J689" i="8" a="1"/>
  <c r="J689" i="8" s="1"/>
  <c r="I689" i="8" a="1"/>
  <c r="I689" i="8" s="1"/>
  <c r="H689" i="8" a="1"/>
  <c r="H689" i="8" s="1"/>
  <c r="G689" i="8" a="1"/>
  <c r="G689" i="8" s="1"/>
  <c r="F689" i="8" a="1"/>
  <c r="F689" i="8" s="1"/>
  <c r="E689" i="8" a="1"/>
  <c r="E689" i="8" s="1"/>
  <c r="AB688" i="8" a="1"/>
  <c r="AB688" i="8" s="1"/>
  <c r="AA688" i="8" a="1"/>
  <c r="AA688" i="8" s="1"/>
  <c r="Z688" i="8" a="1"/>
  <c r="Z688" i="8" s="1"/>
  <c r="Y688" i="8" a="1"/>
  <c r="Y688" i="8" s="1"/>
  <c r="X688" i="8" a="1"/>
  <c r="X688" i="8" s="1"/>
  <c r="W688" i="8" a="1"/>
  <c r="W688" i="8" s="1"/>
  <c r="V688" i="8" a="1"/>
  <c r="V688" i="8" s="1"/>
  <c r="U688" i="8" a="1"/>
  <c r="U688" i="8" s="1"/>
  <c r="T688" i="8" a="1"/>
  <c r="T688" i="8" s="1"/>
  <c r="S688" i="8" a="1"/>
  <c r="S688" i="8" s="1"/>
  <c r="R688" i="8" a="1"/>
  <c r="R688" i="8" s="1"/>
  <c r="Q688" i="8" a="1"/>
  <c r="Q688" i="8" s="1"/>
  <c r="P688" i="8" a="1"/>
  <c r="P688" i="8" s="1"/>
  <c r="O688" i="8" a="1"/>
  <c r="O688" i="8" s="1"/>
  <c r="N688" i="8" a="1"/>
  <c r="N688" i="8" s="1"/>
  <c r="M688" i="8" a="1"/>
  <c r="M688" i="8" s="1"/>
  <c r="L688" i="8" a="1"/>
  <c r="L688" i="8" s="1"/>
  <c r="K688" i="8" a="1"/>
  <c r="K688" i="8" s="1"/>
  <c r="J688" i="8" a="1"/>
  <c r="J688" i="8" s="1"/>
  <c r="I688" i="8" a="1"/>
  <c r="I688" i="8" s="1"/>
  <c r="H688" i="8" a="1"/>
  <c r="H688" i="8" s="1"/>
  <c r="G688" i="8" a="1"/>
  <c r="G688" i="8" s="1"/>
  <c r="F688" i="8" a="1"/>
  <c r="F688" i="8" s="1"/>
  <c r="E688" i="8" a="1"/>
  <c r="E688" i="8" s="1"/>
  <c r="AB687" i="8" a="1"/>
  <c r="AB687" i="8" s="1"/>
  <c r="AA687" i="8" a="1"/>
  <c r="AA687" i="8" s="1"/>
  <c r="Z687" i="8" a="1"/>
  <c r="Z687" i="8" s="1"/>
  <c r="Y687" i="8" a="1"/>
  <c r="Y687" i="8" s="1"/>
  <c r="X687" i="8" a="1"/>
  <c r="X687" i="8" s="1"/>
  <c r="W687" i="8" a="1"/>
  <c r="W687" i="8" s="1"/>
  <c r="V687" i="8" a="1"/>
  <c r="V687" i="8" s="1"/>
  <c r="U687" i="8" a="1"/>
  <c r="U687" i="8" s="1"/>
  <c r="T687" i="8" a="1"/>
  <c r="T687" i="8" s="1"/>
  <c r="S687" i="8" a="1"/>
  <c r="S687" i="8" s="1"/>
  <c r="R687" i="8" a="1"/>
  <c r="R687" i="8" s="1"/>
  <c r="Q687" i="8" a="1"/>
  <c r="Q687" i="8" s="1"/>
  <c r="P687" i="8" a="1"/>
  <c r="P687" i="8" s="1"/>
  <c r="O687" i="8" a="1"/>
  <c r="O687" i="8" s="1"/>
  <c r="N687" i="8" a="1"/>
  <c r="N687" i="8" s="1"/>
  <c r="M687" i="8" a="1"/>
  <c r="M687" i="8" s="1"/>
  <c r="L687" i="8" a="1"/>
  <c r="L687" i="8" s="1"/>
  <c r="K687" i="8" a="1"/>
  <c r="K687" i="8" s="1"/>
  <c r="J687" i="8" a="1"/>
  <c r="J687" i="8" s="1"/>
  <c r="I687" i="8" a="1"/>
  <c r="I687" i="8" s="1"/>
  <c r="H687" i="8" a="1"/>
  <c r="H687" i="8" s="1"/>
  <c r="G687" i="8" a="1"/>
  <c r="G687" i="8" s="1"/>
  <c r="F687" i="8" a="1"/>
  <c r="F687" i="8" s="1"/>
  <c r="E687" i="8" a="1"/>
  <c r="E687" i="8" s="1"/>
  <c r="AB686" i="8" a="1"/>
  <c r="AB686" i="8" s="1"/>
  <c r="AA686" i="8" a="1"/>
  <c r="AA686" i="8" s="1"/>
  <c r="Z686" i="8" a="1"/>
  <c r="Z686" i="8" s="1"/>
  <c r="Y686" i="8" a="1"/>
  <c r="Y686" i="8" s="1"/>
  <c r="X686" i="8" a="1"/>
  <c r="X686" i="8" s="1"/>
  <c r="W686" i="8" a="1"/>
  <c r="W686" i="8" s="1"/>
  <c r="V686" i="8" a="1"/>
  <c r="V686" i="8" s="1"/>
  <c r="U686" i="8" a="1"/>
  <c r="U686" i="8" s="1"/>
  <c r="T686" i="8" a="1"/>
  <c r="T686" i="8" s="1"/>
  <c r="S686" i="8" a="1"/>
  <c r="S686" i="8" s="1"/>
  <c r="R686" i="8" a="1"/>
  <c r="R686" i="8" s="1"/>
  <c r="Q686" i="8" a="1"/>
  <c r="Q686" i="8" s="1"/>
  <c r="P686" i="8" a="1"/>
  <c r="P686" i="8" s="1"/>
  <c r="O686" i="8" a="1"/>
  <c r="O686" i="8" s="1"/>
  <c r="N686" i="8" a="1"/>
  <c r="N686" i="8" s="1"/>
  <c r="M686" i="8" a="1"/>
  <c r="M686" i="8" s="1"/>
  <c r="L686" i="8" a="1"/>
  <c r="L686" i="8" s="1"/>
  <c r="K686" i="8" a="1"/>
  <c r="K686" i="8" s="1"/>
  <c r="J686" i="8" a="1"/>
  <c r="J686" i="8" s="1"/>
  <c r="I686" i="8" a="1"/>
  <c r="I686" i="8" s="1"/>
  <c r="H686" i="8" a="1"/>
  <c r="H686" i="8" s="1"/>
  <c r="G686" i="8" a="1"/>
  <c r="G686" i="8" s="1"/>
  <c r="F686" i="8" a="1"/>
  <c r="F686" i="8" s="1"/>
  <c r="E686" i="8" a="1"/>
  <c r="E686" i="8" s="1"/>
  <c r="AB685" i="8" a="1"/>
  <c r="AB685" i="8" s="1"/>
  <c r="AA685" i="8" a="1"/>
  <c r="AA685" i="8" s="1"/>
  <c r="Z685" i="8" a="1"/>
  <c r="Z685" i="8" s="1"/>
  <c r="Y685" i="8" a="1"/>
  <c r="Y685" i="8" s="1"/>
  <c r="X685" i="8" a="1"/>
  <c r="X685" i="8" s="1"/>
  <c r="W685" i="8" a="1"/>
  <c r="W685" i="8" s="1"/>
  <c r="V685" i="8" a="1"/>
  <c r="V685" i="8" s="1"/>
  <c r="U685" i="8" a="1"/>
  <c r="U685" i="8" s="1"/>
  <c r="T685" i="8" a="1"/>
  <c r="T685" i="8" s="1"/>
  <c r="S685" i="8" a="1"/>
  <c r="S685" i="8" s="1"/>
  <c r="R685" i="8" a="1"/>
  <c r="R685" i="8" s="1"/>
  <c r="Q685" i="8" a="1"/>
  <c r="Q685" i="8" s="1"/>
  <c r="P685" i="8" a="1"/>
  <c r="P685" i="8" s="1"/>
  <c r="O685" i="8" a="1"/>
  <c r="O685" i="8" s="1"/>
  <c r="N685" i="8" a="1"/>
  <c r="N685" i="8" s="1"/>
  <c r="M685" i="8" a="1"/>
  <c r="M685" i="8" s="1"/>
  <c r="L685" i="8" a="1"/>
  <c r="L685" i="8" s="1"/>
  <c r="K685" i="8" a="1"/>
  <c r="K685" i="8" s="1"/>
  <c r="J685" i="8" a="1"/>
  <c r="J685" i="8" s="1"/>
  <c r="I685" i="8" a="1"/>
  <c r="I685" i="8" s="1"/>
  <c r="H685" i="8" a="1"/>
  <c r="H685" i="8" s="1"/>
  <c r="G685" i="8" a="1"/>
  <c r="G685" i="8" s="1"/>
  <c r="F685" i="8" a="1"/>
  <c r="F685" i="8" s="1"/>
  <c r="E685" i="8" a="1"/>
  <c r="E685" i="8" s="1"/>
  <c r="AB684" i="8" a="1"/>
  <c r="AB684" i="8" s="1"/>
  <c r="AA684" i="8" a="1"/>
  <c r="AA684" i="8" s="1"/>
  <c r="Z684" i="8" a="1"/>
  <c r="Z684" i="8" s="1"/>
  <c r="Y684" i="8" a="1"/>
  <c r="Y684" i="8" s="1"/>
  <c r="X684" i="8" a="1"/>
  <c r="X684" i="8" s="1"/>
  <c r="W684" i="8" a="1"/>
  <c r="W684" i="8" s="1"/>
  <c r="V684" i="8" a="1"/>
  <c r="V684" i="8" s="1"/>
  <c r="U684" i="8" a="1"/>
  <c r="U684" i="8" s="1"/>
  <c r="T684" i="8" a="1"/>
  <c r="T684" i="8" s="1"/>
  <c r="S684" i="8" a="1"/>
  <c r="S684" i="8" s="1"/>
  <c r="R684" i="8" a="1"/>
  <c r="R684" i="8" s="1"/>
  <c r="Q684" i="8" a="1"/>
  <c r="Q684" i="8" s="1"/>
  <c r="P684" i="8" a="1"/>
  <c r="P684" i="8" s="1"/>
  <c r="O684" i="8" a="1"/>
  <c r="O684" i="8" s="1"/>
  <c r="N684" i="8" a="1"/>
  <c r="N684" i="8" s="1"/>
  <c r="M684" i="8" a="1"/>
  <c r="M684" i="8" s="1"/>
  <c r="L684" i="8" a="1"/>
  <c r="L684" i="8" s="1"/>
  <c r="K684" i="8" a="1"/>
  <c r="K684" i="8" s="1"/>
  <c r="J684" i="8" a="1"/>
  <c r="J684" i="8" s="1"/>
  <c r="I684" i="8" a="1"/>
  <c r="I684" i="8" s="1"/>
  <c r="H684" i="8" a="1"/>
  <c r="H684" i="8" s="1"/>
  <c r="G684" i="8" a="1"/>
  <c r="G684" i="8" s="1"/>
  <c r="F684" i="8" a="1"/>
  <c r="F684" i="8" s="1"/>
  <c r="E684" i="8" a="1"/>
  <c r="E684" i="8" s="1"/>
  <c r="AB683" i="8" a="1"/>
  <c r="AB683" i="8" s="1"/>
  <c r="AA683" i="8" a="1"/>
  <c r="AA683" i="8" s="1"/>
  <c r="Z683" i="8" a="1"/>
  <c r="Z683" i="8" s="1"/>
  <c r="Y683" i="8" a="1"/>
  <c r="Y683" i="8" s="1"/>
  <c r="X683" i="8" a="1"/>
  <c r="X683" i="8" s="1"/>
  <c r="W683" i="8" a="1"/>
  <c r="W683" i="8" s="1"/>
  <c r="V683" i="8" a="1"/>
  <c r="V683" i="8" s="1"/>
  <c r="U683" i="8" a="1"/>
  <c r="U683" i="8" s="1"/>
  <c r="T683" i="8" a="1"/>
  <c r="T683" i="8" s="1"/>
  <c r="S683" i="8" a="1"/>
  <c r="S683" i="8" s="1"/>
  <c r="R683" i="8" a="1"/>
  <c r="R683" i="8" s="1"/>
  <c r="Q683" i="8" a="1"/>
  <c r="Q683" i="8" s="1"/>
  <c r="P683" i="8" a="1"/>
  <c r="P683" i="8" s="1"/>
  <c r="O683" i="8" a="1"/>
  <c r="O683" i="8" s="1"/>
  <c r="N683" i="8" a="1"/>
  <c r="N683" i="8" s="1"/>
  <c r="M683" i="8" a="1"/>
  <c r="M683" i="8" s="1"/>
  <c r="L683" i="8" a="1"/>
  <c r="L683" i="8" s="1"/>
  <c r="K683" i="8" a="1"/>
  <c r="K683" i="8" s="1"/>
  <c r="J683" i="8" a="1"/>
  <c r="J683" i="8" s="1"/>
  <c r="I683" i="8" a="1"/>
  <c r="I683" i="8" s="1"/>
  <c r="H683" i="8" a="1"/>
  <c r="H683" i="8" s="1"/>
  <c r="G683" i="8" a="1"/>
  <c r="G683" i="8" s="1"/>
  <c r="F683" i="8" a="1"/>
  <c r="F683" i="8" s="1"/>
  <c r="E683" i="8" a="1"/>
  <c r="E683" i="8" s="1"/>
  <c r="AB682" i="8" a="1"/>
  <c r="AB682" i="8" s="1"/>
  <c r="AA682" i="8" a="1"/>
  <c r="AA682" i="8" s="1"/>
  <c r="Z682" i="8" a="1"/>
  <c r="Z682" i="8" s="1"/>
  <c r="Y682" i="8" a="1"/>
  <c r="Y682" i="8" s="1"/>
  <c r="X682" i="8" a="1"/>
  <c r="X682" i="8" s="1"/>
  <c r="W682" i="8" a="1"/>
  <c r="W682" i="8" s="1"/>
  <c r="V682" i="8" a="1"/>
  <c r="V682" i="8" s="1"/>
  <c r="U682" i="8" a="1"/>
  <c r="U682" i="8" s="1"/>
  <c r="T682" i="8" a="1"/>
  <c r="T682" i="8" s="1"/>
  <c r="S682" i="8" a="1"/>
  <c r="S682" i="8" s="1"/>
  <c r="R682" i="8" a="1"/>
  <c r="R682" i="8" s="1"/>
  <c r="Q682" i="8" a="1"/>
  <c r="Q682" i="8" s="1"/>
  <c r="P682" i="8" a="1"/>
  <c r="P682" i="8" s="1"/>
  <c r="O682" i="8" a="1"/>
  <c r="O682" i="8" s="1"/>
  <c r="N682" i="8" a="1"/>
  <c r="N682" i="8" s="1"/>
  <c r="M682" i="8" a="1"/>
  <c r="M682" i="8" s="1"/>
  <c r="L682" i="8" a="1"/>
  <c r="L682" i="8" s="1"/>
  <c r="K682" i="8" a="1"/>
  <c r="K682" i="8" s="1"/>
  <c r="J682" i="8" a="1"/>
  <c r="J682" i="8" s="1"/>
  <c r="I682" i="8" a="1"/>
  <c r="I682" i="8" s="1"/>
  <c r="H682" i="8" a="1"/>
  <c r="H682" i="8" s="1"/>
  <c r="G682" i="8" a="1"/>
  <c r="G682" i="8" s="1"/>
  <c r="F682" i="8" a="1"/>
  <c r="F682" i="8" s="1"/>
  <c r="E682" i="8" a="1"/>
  <c r="E682" i="8" s="1"/>
  <c r="AB681" i="8" a="1"/>
  <c r="AB681" i="8" s="1"/>
  <c r="AA681" i="8" a="1"/>
  <c r="AA681" i="8" s="1"/>
  <c r="Z681" i="8" a="1"/>
  <c r="Z681" i="8" s="1"/>
  <c r="Y681" i="8" a="1"/>
  <c r="Y681" i="8" s="1"/>
  <c r="X681" i="8" a="1"/>
  <c r="X681" i="8" s="1"/>
  <c r="W681" i="8" a="1"/>
  <c r="W681" i="8" s="1"/>
  <c r="V681" i="8" a="1"/>
  <c r="V681" i="8" s="1"/>
  <c r="U681" i="8" a="1"/>
  <c r="U681" i="8" s="1"/>
  <c r="T681" i="8" a="1"/>
  <c r="T681" i="8" s="1"/>
  <c r="S681" i="8" a="1"/>
  <c r="S681" i="8" s="1"/>
  <c r="R681" i="8" a="1"/>
  <c r="R681" i="8" s="1"/>
  <c r="Q681" i="8" a="1"/>
  <c r="Q681" i="8" s="1"/>
  <c r="P681" i="8" a="1"/>
  <c r="P681" i="8" s="1"/>
  <c r="O681" i="8" a="1"/>
  <c r="O681" i="8" s="1"/>
  <c r="N681" i="8" a="1"/>
  <c r="N681" i="8" s="1"/>
  <c r="M681" i="8" a="1"/>
  <c r="M681" i="8" s="1"/>
  <c r="L681" i="8" a="1"/>
  <c r="L681" i="8" s="1"/>
  <c r="K681" i="8" a="1"/>
  <c r="K681" i="8" s="1"/>
  <c r="J681" i="8" a="1"/>
  <c r="J681" i="8" s="1"/>
  <c r="I681" i="8" a="1"/>
  <c r="I681" i="8" s="1"/>
  <c r="H681" i="8" a="1"/>
  <c r="H681" i="8" s="1"/>
  <c r="G681" i="8" a="1"/>
  <c r="G681" i="8" s="1"/>
  <c r="F681" i="8" a="1"/>
  <c r="F681" i="8" s="1"/>
  <c r="E681" i="8" a="1"/>
  <c r="E681" i="8" s="1"/>
  <c r="AB680" i="8" a="1"/>
  <c r="AB680" i="8" s="1"/>
  <c r="AA680" i="8" a="1"/>
  <c r="AA680" i="8" s="1"/>
  <c r="Z680" i="8" a="1"/>
  <c r="Z680" i="8" s="1"/>
  <c r="Y680" i="8" a="1"/>
  <c r="Y680" i="8" s="1"/>
  <c r="X680" i="8" a="1"/>
  <c r="X680" i="8" s="1"/>
  <c r="W680" i="8" a="1"/>
  <c r="W680" i="8" s="1"/>
  <c r="V680" i="8" a="1"/>
  <c r="V680" i="8" s="1"/>
  <c r="U680" i="8" a="1"/>
  <c r="U680" i="8" s="1"/>
  <c r="T680" i="8" a="1"/>
  <c r="T680" i="8" s="1"/>
  <c r="S680" i="8" a="1"/>
  <c r="S680" i="8" s="1"/>
  <c r="R680" i="8" a="1"/>
  <c r="R680" i="8" s="1"/>
  <c r="Q680" i="8" a="1"/>
  <c r="Q680" i="8" s="1"/>
  <c r="P680" i="8" a="1"/>
  <c r="P680" i="8" s="1"/>
  <c r="O680" i="8" a="1"/>
  <c r="O680" i="8" s="1"/>
  <c r="N680" i="8" a="1"/>
  <c r="N680" i="8" s="1"/>
  <c r="M680" i="8" a="1"/>
  <c r="M680" i="8" s="1"/>
  <c r="L680" i="8" a="1"/>
  <c r="L680" i="8" s="1"/>
  <c r="K680" i="8" a="1"/>
  <c r="K680" i="8" s="1"/>
  <c r="J680" i="8" a="1"/>
  <c r="J680" i="8" s="1"/>
  <c r="I680" i="8" a="1"/>
  <c r="I680" i="8" s="1"/>
  <c r="H680" i="8" a="1"/>
  <c r="H680" i="8" s="1"/>
  <c r="G680" i="8" a="1"/>
  <c r="G680" i="8" s="1"/>
  <c r="F680" i="8" a="1"/>
  <c r="F680" i="8" s="1"/>
  <c r="E680" i="8" a="1"/>
  <c r="E680" i="8" s="1"/>
  <c r="AB679" i="8" a="1"/>
  <c r="AB679" i="8" s="1"/>
  <c r="AA679" i="8" a="1"/>
  <c r="AA679" i="8" s="1"/>
  <c r="Z679" i="8" a="1"/>
  <c r="Z679" i="8" s="1"/>
  <c r="Y679" i="8" a="1"/>
  <c r="Y679" i="8" s="1"/>
  <c r="X679" i="8" a="1"/>
  <c r="X679" i="8" s="1"/>
  <c r="W679" i="8" a="1"/>
  <c r="W679" i="8" s="1"/>
  <c r="V679" i="8" a="1"/>
  <c r="V679" i="8" s="1"/>
  <c r="U679" i="8" a="1"/>
  <c r="U679" i="8" s="1"/>
  <c r="T679" i="8" a="1"/>
  <c r="T679" i="8" s="1"/>
  <c r="S679" i="8" a="1"/>
  <c r="S679" i="8" s="1"/>
  <c r="R679" i="8" a="1"/>
  <c r="R679" i="8" s="1"/>
  <c r="Q679" i="8" a="1"/>
  <c r="Q679" i="8" s="1"/>
  <c r="P679" i="8" a="1"/>
  <c r="P679" i="8" s="1"/>
  <c r="O679" i="8" a="1"/>
  <c r="O679" i="8" s="1"/>
  <c r="N679" i="8" a="1"/>
  <c r="N679" i="8" s="1"/>
  <c r="M679" i="8" a="1"/>
  <c r="M679" i="8" s="1"/>
  <c r="L679" i="8" a="1"/>
  <c r="L679" i="8" s="1"/>
  <c r="K679" i="8" a="1"/>
  <c r="K679" i="8" s="1"/>
  <c r="J679" i="8" a="1"/>
  <c r="J679" i="8" s="1"/>
  <c r="I679" i="8" a="1"/>
  <c r="I679" i="8" s="1"/>
  <c r="H679" i="8" a="1"/>
  <c r="H679" i="8" s="1"/>
  <c r="G679" i="8" a="1"/>
  <c r="G679" i="8" s="1"/>
  <c r="F679" i="8" a="1"/>
  <c r="F679" i="8" s="1"/>
  <c r="E679" i="8" a="1"/>
  <c r="E679" i="8" s="1"/>
  <c r="AB678" i="8" a="1"/>
  <c r="AB678" i="8" s="1"/>
  <c r="AA678" i="8" a="1"/>
  <c r="AA678" i="8" s="1"/>
  <c r="Z678" i="8" a="1"/>
  <c r="Z678" i="8" s="1"/>
  <c r="Y678" i="8" a="1"/>
  <c r="Y678" i="8" s="1"/>
  <c r="X678" i="8" a="1"/>
  <c r="X678" i="8" s="1"/>
  <c r="W678" i="8" a="1"/>
  <c r="W678" i="8" s="1"/>
  <c r="V678" i="8" a="1"/>
  <c r="V678" i="8" s="1"/>
  <c r="U678" i="8" a="1"/>
  <c r="U678" i="8" s="1"/>
  <c r="T678" i="8" a="1"/>
  <c r="T678" i="8" s="1"/>
  <c r="S678" i="8" a="1"/>
  <c r="S678" i="8" s="1"/>
  <c r="R678" i="8" a="1"/>
  <c r="R678" i="8" s="1"/>
  <c r="Q678" i="8" a="1"/>
  <c r="Q678" i="8" s="1"/>
  <c r="P678" i="8" a="1"/>
  <c r="P678" i="8" s="1"/>
  <c r="O678" i="8" a="1"/>
  <c r="O678" i="8" s="1"/>
  <c r="N678" i="8" a="1"/>
  <c r="N678" i="8" s="1"/>
  <c r="M678" i="8" a="1"/>
  <c r="M678" i="8" s="1"/>
  <c r="L678" i="8" a="1"/>
  <c r="L678" i="8" s="1"/>
  <c r="K678" i="8" a="1"/>
  <c r="K678" i="8" s="1"/>
  <c r="J678" i="8" a="1"/>
  <c r="J678" i="8" s="1"/>
  <c r="I678" i="8" a="1"/>
  <c r="I678" i="8" s="1"/>
  <c r="H678" i="8" a="1"/>
  <c r="H678" i="8" s="1"/>
  <c r="G678" i="8" a="1"/>
  <c r="G678" i="8" s="1"/>
  <c r="F678" i="8" a="1"/>
  <c r="F678" i="8" s="1"/>
  <c r="E678" i="8" a="1"/>
  <c r="E678" i="8" s="1"/>
  <c r="AB677" i="8" a="1"/>
  <c r="AB677" i="8" s="1"/>
  <c r="AA677" i="8" a="1"/>
  <c r="AA677" i="8" s="1"/>
  <c r="Z677" i="8" a="1"/>
  <c r="Z677" i="8" s="1"/>
  <c r="Y677" i="8" a="1"/>
  <c r="Y677" i="8" s="1"/>
  <c r="X677" i="8" a="1"/>
  <c r="X677" i="8" s="1"/>
  <c r="W677" i="8" a="1"/>
  <c r="W677" i="8" s="1"/>
  <c r="V677" i="8" a="1"/>
  <c r="V677" i="8" s="1"/>
  <c r="U677" i="8" a="1"/>
  <c r="U677" i="8" s="1"/>
  <c r="T677" i="8" a="1"/>
  <c r="T677" i="8" s="1"/>
  <c r="S677" i="8" a="1"/>
  <c r="S677" i="8" s="1"/>
  <c r="R677" i="8" a="1"/>
  <c r="R677" i="8" s="1"/>
  <c r="Q677" i="8" a="1"/>
  <c r="Q677" i="8" s="1"/>
  <c r="P677" i="8" a="1"/>
  <c r="P677" i="8" s="1"/>
  <c r="O677" i="8" a="1"/>
  <c r="O677" i="8" s="1"/>
  <c r="N677" i="8" a="1"/>
  <c r="N677" i="8" s="1"/>
  <c r="M677" i="8" a="1"/>
  <c r="M677" i="8" s="1"/>
  <c r="L677" i="8" a="1"/>
  <c r="L677" i="8" s="1"/>
  <c r="K677" i="8" a="1"/>
  <c r="K677" i="8" s="1"/>
  <c r="J677" i="8" a="1"/>
  <c r="J677" i="8" s="1"/>
  <c r="I677" i="8" a="1"/>
  <c r="I677" i="8" s="1"/>
  <c r="H677" i="8" a="1"/>
  <c r="H677" i="8" s="1"/>
  <c r="G677" i="8" a="1"/>
  <c r="G677" i="8" s="1"/>
  <c r="F677" i="8" a="1"/>
  <c r="F677" i="8" s="1"/>
  <c r="E677" i="8" a="1"/>
  <c r="E677" i="8" s="1"/>
  <c r="AB676" i="8" a="1"/>
  <c r="AB676" i="8" s="1"/>
  <c r="AA676" i="8" a="1"/>
  <c r="AA676" i="8" s="1"/>
  <c r="Z676" i="8" a="1"/>
  <c r="Z676" i="8" s="1"/>
  <c r="Y676" i="8" a="1"/>
  <c r="Y676" i="8" s="1"/>
  <c r="X676" i="8" a="1"/>
  <c r="X676" i="8" s="1"/>
  <c r="W676" i="8" a="1"/>
  <c r="W676" i="8" s="1"/>
  <c r="V676" i="8" a="1"/>
  <c r="V676" i="8" s="1"/>
  <c r="U676" i="8" a="1"/>
  <c r="U676" i="8" s="1"/>
  <c r="T676" i="8" a="1"/>
  <c r="T676" i="8" s="1"/>
  <c r="S676" i="8" a="1"/>
  <c r="S676" i="8" s="1"/>
  <c r="R676" i="8" a="1"/>
  <c r="R676" i="8" s="1"/>
  <c r="Q676" i="8" a="1"/>
  <c r="Q676" i="8" s="1"/>
  <c r="P676" i="8" a="1"/>
  <c r="P676" i="8" s="1"/>
  <c r="O676" i="8" a="1"/>
  <c r="O676" i="8" s="1"/>
  <c r="N676" i="8" a="1"/>
  <c r="N676" i="8" s="1"/>
  <c r="M676" i="8" a="1"/>
  <c r="M676" i="8" s="1"/>
  <c r="L676" i="8" a="1"/>
  <c r="L676" i="8" s="1"/>
  <c r="K676" i="8" a="1"/>
  <c r="K676" i="8" s="1"/>
  <c r="J676" i="8" a="1"/>
  <c r="J676" i="8" s="1"/>
  <c r="I676" i="8" a="1"/>
  <c r="I676" i="8" s="1"/>
  <c r="H676" i="8" a="1"/>
  <c r="H676" i="8" s="1"/>
  <c r="G676" i="8" a="1"/>
  <c r="G676" i="8" s="1"/>
  <c r="F676" i="8" a="1"/>
  <c r="F676" i="8" s="1"/>
  <c r="E676" i="8" a="1"/>
  <c r="E676" i="8" s="1"/>
  <c r="AB675" i="8" a="1"/>
  <c r="AB675" i="8" s="1"/>
  <c r="AA675" i="8" a="1"/>
  <c r="AA675" i="8" s="1"/>
  <c r="Z675" i="8" a="1"/>
  <c r="Z675" i="8" s="1"/>
  <c r="Y675" i="8" a="1"/>
  <c r="Y675" i="8" s="1"/>
  <c r="X675" i="8" a="1"/>
  <c r="X675" i="8" s="1"/>
  <c r="W675" i="8" a="1"/>
  <c r="W675" i="8" s="1"/>
  <c r="V675" i="8" a="1"/>
  <c r="V675" i="8" s="1"/>
  <c r="U675" i="8" a="1"/>
  <c r="U675" i="8" s="1"/>
  <c r="T675" i="8" a="1"/>
  <c r="T675" i="8" s="1"/>
  <c r="S675" i="8" a="1"/>
  <c r="S675" i="8" s="1"/>
  <c r="R675" i="8" a="1"/>
  <c r="R675" i="8" s="1"/>
  <c r="Q675" i="8" a="1"/>
  <c r="Q675" i="8" s="1"/>
  <c r="P675" i="8" a="1"/>
  <c r="P675" i="8" s="1"/>
  <c r="O675" i="8" a="1"/>
  <c r="O675" i="8" s="1"/>
  <c r="N675" i="8" a="1"/>
  <c r="N675" i="8" s="1"/>
  <c r="M675" i="8" a="1"/>
  <c r="M675" i="8" s="1"/>
  <c r="L675" i="8" a="1"/>
  <c r="L675" i="8" s="1"/>
  <c r="K675" i="8" a="1"/>
  <c r="K675" i="8" s="1"/>
  <c r="J675" i="8" a="1"/>
  <c r="J675" i="8" s="1"/>
  <c r="I675" i="8" a="1"/>
  <c r="I675" i="8" s="1"/>
  <c r="H675" i="8" a="1"/>
  <c r="H675" i="8" s="1"/>
  <c r="G675" i="8" a="1"/>
  <c r="G675" i="8" s="1"/>
  <c r="F675" i="8" a="1"/>
  <c r="F675" i="8" s="1"/>
  <c r="E675" i="8" a="1"/>
  <c r="E675" i="8" s="1"/>
  <c r="AB674" i="8" a="1"/>
  <c r="AB674" i="8" s="1"/>
  <c r="AA674" i="8" a="1"/>
  <c r="AA674" i="8" s="1"/>
  <c r="Z674" i="8" a="1"/>
  <c r="Z674" i="8" s="1"/>
  <c r="Y674" i="8" a="1"/>
  <c r="Y674" i="8" s="1"/>
  <c r="X674" i="8" a="1"/>
  <c r="X674" i="8" s="1"/>
  <c r="W674" i="8" a="1"/>
  <c r="W674" i="8" s="1"/>
  <c r="V674" i="8" a="1"/>
  <c r="V674" i="8" s="1"/>
  <c r="U674" i="8" a="1"/>
  <c r="U674" i="8" s="1"/>
  <c r="T674" i="8" a="1"/>
  <c r="T674" i="8" s="1"/>
  <c r="S674" i="8" a="1"/>
  <c r="S674" i="8" s="1"/>
  <c r="R674" i="8" a="1"/>
  <c r="R674" i="8" s="1"/>
  <c r="Q674" i="8" a="1"/>
  <c r="Q674" i="8" s="1"/>
  <c r="P674" i="8" a="1"/>
  <c r="P674" i="8" s="1"/>
  <c r="O674" i="8" a="1"/>
  <c r="O674" i="8" s="1"/>
  <c r="N674" i="8" a="1"/>
  <c r="N674" i="8" s="1"/>
  <c r="M674" i="8" a="1"/>
  <c r="M674" i="8" s="1"/>
  <c r="L674" i="8" a="1"/>
  <c r="L674" i="8" s="1"/>
  <c r="K674" i="8" a="1"/>
  <c r="K674" i="8" s="1"/>
  <c r="J674" i="8" a="1"/>
  <c r="J674" i="8" s="1"/>
  <c r="I674" i="8" a="1"/>
  <c r="I674" i="8" s="1"/>
  <c r="H674" i="8" a="1"/>
  <c r="H674" i="8" s="1"/>
  <c r="G674" i="8" a="1"/>
  <c r="G674" i="8" s="1"/>
  <c r="F674" i="8" a="1"/>
  <c r="F674" i="8" s="1"/>
  <c r="E674" i="8" a="1"/>
  <c r="E674" i="8" s="1"/>
  <c r="AB673" i="8" a="1"/>
  <c r="AB673" i="8" s="1"/>
  <c r="AA673" i="8" a="1"/>
  <c r="AA673" i="8" s="1"/>
  <c r="Z673" i="8" a="1"/>
  <c r="Z673" i="8" s="1"/>
  <c r="Y673" i="8" a="1"/>
  <c r="Y673" i="8" s="1"/>
  <c r="X673" i="8" a="1"/>
  <c r="X673" i="8" s="1"/>
  <c r="W673" i="8" a="1"/>
  <c r="W673" i="8" s="1"/>
  <c r="V673" i="8" a="1"/>
  <c r="V673" i="8" s="1"/>
  <c r="U673" i="8" a="1"/>
  <c r="U673" i="8" s="1"/>
  <c r="T673" i="8" a="1"/>
  <c r="T673" i="8" s="1"/>
  <c r="S673" i="8" a="1"/>
  <c r="S673" i="8" s="1"/>
  <c r="R673" i="8" a="1"/>
  <c r="R673" i="8" s="1"/>
  <c r="Q673" i="8" a="1"/>
  <c r="Q673" i="8" s="1"/>
  <c r="P673" i="8" a="1"/>
  <c r="P673" i="8" s="1"/>
  <c r="O673" i="8" a="1"/>
  <c r="O673" i="8" s="1"/>
  <c r="N673" i="8" a="1"/>
  <c r="N673" i="8" s="1"/>
  <c r="M673" i="8" a="1"/>
  <c r="M673" i="8" s="1"/>
  <c r="L673" i="8" a="1"/>
  <c r="L673" i="8" s="1"/>
  <c r="K673" i="8" a="1"/>
  <c r="K673" i="8" s="1"/>
  <c r="J673" i="8" a="1"/>
  <c r="J673" i="8" s="1"/>
  <c r="I673" i="8" a="1"/>
  <c r="I673" i="8" s="1"/>
  <c r="H673" i="8" a="1"/>
  <c r="H673" i="8" s="1"/>
  <c r="G673" i="8" a="1"/>
  <c r="G673" i="8" s="1"/>
  <c r="F673" i="8" a="1"/>
  <c r="F673" i="8" s="1"/>
  <c r="E673" i="8" a="1"/>
  <c r="E673" i="8" s="1"/>
  <c r="AB672" i="8" a="1"/>
  <c r="AB672" i="8" s="1"/>
  <c r="AA672" i="8" a="1"/>
  <c r="AA672" i="8" s="1"/>
  <c r="Z672" i="8" a="1"/>
  <c r="Z672" i="8" s="1"/>
  <c r="Y672" i="8" a="1"/>
  <c r="Y672" i="8" s="1"/>
  <c r="X672" i="8" a="1"/>
  <c r="X672" i="8" s="1"/>
  <c r="W672" i="8" a="1"/>
  <c r="W672" i="8" s="1"/>
  <c r="V672" i="8" a="1"/>
  <c r="V672" i="8" s="1"/>
  <c r="U672" i="8" a="1"/>
  <c r="U672" i="8" s="1"/>
  <c r="T672" i="8" a="1"/>
  <c r="T672" i="8" s="1"/>
  <c r="S672" i="8" a="1"/>
  <c r="S672" i="8" s="1"/>
  <c r="R672" i="8" a="1"/>
  <c r="R672" i="8" s="1"/>
  <c r="Q672" i="8" a="1"/>
  <c r="Q672" i="8" s="1"/>
  <c r="P672" i="8" a="1"/>
  <c r="P672" i="8" s="1"/>
  <c r="O672" i="8" a="1"/>
  <c r="O672" i="8" s="1"/>
  <c r="N672" i="8" a="1"/>
  <c r="N672" i="8" s="1"/>
  <c r="M672" i="8" a="1"/>
  <c r="M672" i="8" s="1"/>
  <c r="L672" i="8" a="1"/>
  <c r="L672" i="8" s="1"/>
  <c r="K672" i="8" a="1"/>
  <c r="K672" i="8" s="1"/>
  <c r="J672" i="8" a="1"/>
  <c r="J672" i="8" s="1"/>
  <c r="I672" i="8" a="1"/>
  <c r="I672" i="8" s="1"/>
  <c r="H672" i="8" a="1"/>
  <c r="H672" i="8" s="1"/>
  <c r="G672" i="8" a="1"/>
  <c r="G672" i="8" s="1"/>
  <c r="F672" i="8" a="1"/>
  <c r="F672" i="8" s="1"/>
  <c r="E672" i="8" a="1"/>
  <c r="E672" i="8" s="1"/>
  <c r="AB671" i="8" a="1"/>
  <c r="AB671" i="8" s="1"/>
  <c r="AA671" i="8" a="1"/>
  <c r="AA671" i="8" s="1"/>
  <c r="Z671" i="8" a="1"/>
  <c r="Z671" i="8" s="1"/>
  <c r="Y671" i="8" a="1"/>
  <c r="Y671" i="8" s="1"/>
  <c r="X671" i="8" a="1"/>
  <c r="X671" i="8" s="1"/>
  <c r="W671" i="8" a="1"/>
  <c r="W671" i="8" s="1"/>
  <c r="V671" i="8" a="1"/>
  <c r="V671" i="8" s="1"/>
  <c r="U671" i="8" a="1"/>
  <c r="U671" i="8" s="1"/>
  <c r="T671" i="8" a="1"/>
  <c r="T671" i="8" s="1"/>
  <c r="S671" i="8" a="1"/>
  <c r="S671" i="8" s="1"/>
  <c r="R671" i="8" a="1"/>
  <c r="R671" i="8" s="1"/>
  <c r="Q671" i="8" a="1"/>
  <c r="Q671" i="8" s="1"/>
  <c r="P671" i="8" a="1"/>
  <c r="P671" i="8" s="1"/>
  <c r="O671" i="8" a="1"/>
  <c r="O671" i="8" s="1"/>
  <c r="N671" i="8" a="1"/>
  <c r="N671" i="8" s="1"/>
  <c r="M671" i="8" a="1"/>
  <c r="M671" i="8" s="1"/>
  <c r="L671" i="8" a="1"/>
  <c r="L671" i="8" s="1"/>
  <c r="K671" i="8" a="1"/>
  <c r="K671" i="8" s="1"/>
  <c r="J671" i="8" a="1"/>
  <c r="J671" i="8" s="1"/>
  <c r="I671" i="8" a="1"/>
  <c r="I671" i="8" s="1"/>
  <c r="H671" i="8" a="1"/>
  <c r="H671" i="8" s="1"/>
  <c r="G671" i="8" a="1"/>
  <c r="G671" i="8" s="1"/>
  <c r="F671" i="8" a="1"/>
  <c r="F671" i="8" s="1"/>
  <c r="E671" i="8" a="1"/>
  <c r="E671" i="8" s="1"/>
  <c r="AB670" i="8" a="1"/>
  <c r="AB670" i="8" s="1"/>
  <c r="AA670" i="8" a="1"/>
  <c r="AA670" i="8" s="1"/>
  <c r="Z670" i="8" a="1"/>
  <c r="Z670" i="8" s="1"/>
  <c r="Y670" i="8" a="1"/>
  <c r="Y670" i="8" s="1"/>
  <c r="X670" i="8" a="1"/>
  <c r="X670" i="8" s="1"/>
  <c r="W670" i="8" a="1"/>
  <c r="W670" i="8" s="1"/>
  <c r="V670" i="8" a="1"/>
  <c r="V670" i="8" s="1"/>
  <c r="U670" i="8" a="1"/>
  <c r="U670" i="8" s="1"/>
  <c r="T670" i="8" a="1"/>
  <c r="T670" i="8" s="1"/>
  <c r="S670" i="8" a="1"/>
  <c r="S670" i="8" s="1"/>
  <c r="R670" i="8" a="1"/>
  <c r="R670" i="8" s="1"/>
  <c r="Q670" i="8" a="1"/>
  <c r="Q670" i="8" s="1"/>
  <c r="P670" i="8" a="1"/>
  <c r="P670" i="8" s="1"/>
  <c r="O670" i="8" a="1"/>
  <c r="O670" i="8" s="1"/>
  <c r="N670" i="8" a="1"/>
  <c r="N670" i="8" s="1"/>
  <c r="M670" i="8" a="1"/>
  <c r="M670" i="8" s="1"/>
  <c r="L670" i="8" a="1"/>
  <c r="L670" i="8" s="1"/>
  <c r="K670" i="8" a="1"/>
  <c r="K670" i="8" s="1"/>
  <c r="J670" i="8" a="1"/>
  <c r="J670" i="8" s="1"/>
  <c r="I670" i="8" a="1"/>
  <c r="I670" i="8" s="1"/>
  <c r="H670" i="8" a="1"/>
  <c r="H670" i="8" s="1"/>
  <c r="G670" i="8" a="1"/>
  <c r="G670" i="8" s="1"/>
  <c r="F670" i="8" a="1"/>
  <c r="F670" i="8" s="1"/>
  <c r="E670" i="8" a="1"/>
  <c r="E670" i="8" s="1"/>
  <c r="AB669" i="8" a="1"/>
  <c r="AB669" i="8" s="1"/>
  <c r="AA669" i="8" a="1"/>
  <c r="AA669" i="8" s="1"/>
  <c r="Z669" i="8" a="1"/>
  <c r="Z669" i="8" s="1"/>
  <c r="Y669" i="8" a="1"/>
  <c r="Y669" i="8" s="1"/>
  <c r="X669" i="8" a="1"/>
  <c r="X669" i="8" s="1"/>
  <c r="W669" i="8" a="1"/>
  <c r="W669" i="8" s="1"/>
  <c r="V669" i="8" a="1"/>
  <c r="V669" i="8" s="1"/>
  <c r="U669" i="8" a="1"/>
  <c r="U669" i="8" s="1"/>
  <c r="T669" i="8" a="1"/>
  <c r="T669" i="8" s="1"/>
  <c r="S669" i="8" a="1"/>
  <c r="S669" i="8" s="1"/>
  <c r="R669" i="8" a="1"/>
  <c r="R669" i="8" s="1"/>
  <c r="Q669" i="8" a="1"/>
  <c r="Q669" i="8" s="1"/>
  <c r="P669" i="8" a="1"/>
  <c r="P669" i="8" s="1"/>
  <c r="O669" i="8" a="1"/>
  <c r="O669" i="8" s="1"/>
  <c r="N669" i="8" a="1"/>
  <c r="N669" i="8" s="1"/>
  <c r="M669" i="8" a="1"/>
  <c r="M669" i="8" s="1"/>
  <c r="L669" i="8" a="1"/>
  <c r="L669" i="8" s="1"/>
  <c r="K669" i="8" a="1"/>
  <c r="K669" i="8" s="1"/>
  <c r="J669" i="8" a="1"/>
  <c r="J669" i="8" s="1"/>
  <c r="I669" i="8" a="1"/>
  <c r="I669" i="8" s="1"/>
  <c r="H669" i="8" a="1"/>
  <c r="H669" i="8" s="1"/>
  <c r="G669" i="8" a="1"/>
  <c r="G669" i="8" s="1"/>
  <c r="F669" i="8" a="1"/>
  <c r="F669" i="8" s="1"/>
  <c r="E669" i="8" a="1"/>
  <c r="E669" i="8" s="1"/>
  <c r="AB668" i="8" a="1"/>
  <c r="AB668" i="8" s="1"/>
  <c r="AA668" i="8" a="1"/>
  <c r="AA668" i="8" s="1"/>
  <c r="Z668" i="8" a="1"/>
  <c r="Z668" i="8" s="1"/>
  <c r="Y668" i="8" a="1"/>
  <c r="Y668" i="8" s="1"/>
  <c r="X668" i="8" a="1"/>
  <c r="X668" i="8" s="1"/>
  <c r="W668" i="8" a="1"/>
  <c r="W668" i="8" s="1"/>
  <c r="V668" i="8" a="1"/>
  <c r="V668" i="8" s="1"/>
  <c r="U668" i="8" a="1"/>
  <c r="U668" i="8" s="1"/>
  <c r="T668" i="8" a="1"/>
  <c r="T668" i="8" s="1"/>
  <c r="S668" i="8" a="1"/>
  <c r="S668" i="8" s="1"/>
  <c r="R668" i="8" a="1"/>
  <c r="R668" i="8" s="1"/>
  <c r="Q668" i="8" a="1"/>
  <c r="Q668" i="8" s="1"/>
  <c r="P668" i="8" a="1"/>
  <c r="P668" i="8" s="1"/>
  <c r="O668" i="8" a="1"/>
  <c r="O668" i="8" s="1"/>
  <c r="N668" i="8" a="1"/>
  <c r="N668" i="8" s="1"/>
  <c r="M668" i="8" a="1"/>
  <c r="M668" i="8" s="1"/>
  <c r="L668" i="8" a="1"/>
  <c r="L668" i="8" s="1"/>
  <c r="K668" i="8" a="1"/>
  <c r="K668" i="8" s="1"/>
  <c r="J668" i="8" a="1"/>
  <c r="J668" i="8" s="1"/>
  <c r="I668" i="8" a="1"/>
  <c r="I668" i="8" s="1"/>
  <c r="H668" i="8" a="1"/>
  <c r="H668" i="8" s="1"/>
  <c r="G668" i="8" a="1"/>
  <c r="G668" i="8" s="1"/>
  <c r="F668" i="8" a="1"/>
  <c r="F668" i="8" s="1"/>
  <c r="E668" i="8" a="1"/>
  <c r="E668" i="8" s="1"/>
  <c r="AB667" i="8" a="1"/>
  <c r="AB667" i="8" s="1"/>
  <c r="AA667" i="8" a="1"/>
  <c r="AA667" i="8" s="1"/>
  <c r="Z667" i="8" a="1"/>
  <c r="Z667" i="8" s="1"/>
  <c r="Y667" i="8" a="1"/>
  <c r="Y667" i="8" s="1"/>
  <c r="X667" i="8" a="1"/>
  <c r="X667" i="8" s="1"/>
  <c r="W667" i="8" a="1"/>
  <c r="W667" i="8" s="1"/>
  <c r="V667" i="8" a="1"/>
  <c r="V667" i="8" s="1"/>
  <c r="U667" i="8" a="1"/>
  <c r="U667" i="8" s="1"/>
  <c r="T667" i="8" a="1"/>
  <c r="T667" i="8" s="1"/>
  <c r="S667" i="8" a="1"/>
  <c r="S667" i="8" s="1"/>
  <c r="R667" i="8" a="1"/>
  <c r="R667" i="8" s="1"/>
  <c r="Q667" i="8" a="1"/>
  <c r="Q667" i="8" s="1"/>
  <c r="P667" i="8" a="1"/>
  <c r="P667" i="8" s="1"/>
  <c r="O667" i="8" a="1"/>
  <c r="O667" i="8" s="1"/>
  <c r="N667" i="8" a="1"/>
  <c r="N667" i="8" s="1"/>
  <c r="M667" i="8" a="1"/>
  <c r="M667" i="8" s="1"/>
  <c r="L667" i="8" a="1"/>
  <c r="L667" i="8" s="1"/>
  <c r="K667" i="8" a="1"/>
  <c r="K667" i="8" s="1"/>
  <c r="J667" i="8" a="1"/>
  <c r="J667" i="8" s="1"/>
  <c r="I667" i="8" a="1"/>
  <c r="I667" i="8" s="1"/>
  <c r="H667" i="8" a="1"/>
  <c r="H667" i="8" s="1"/>
  <c r="G667" i="8" a="1"/>
  <c r="G667" i="8" s="1"/>
  <c r="F667" i="8" a="1"/>
  <c r="F667" i="8" s="1"/>
  <c r="E667" i="8" a="1"/>
  <c r="E667" i="8" s="1"/>
  <c r="AB666" i="8" a="1"/>
  <c r="AB666" i="8" s="1"/>
  <c r="AA666" i="8" a="1"/>
  <c r="AA666" i="8" s="1"/>
  <c r="Z666" i="8" a="1"/>
  <c r="Z666" i="8" s="1"/>
  <c r="Y666" i="8" a="1"/>
  <c r="Y666" i="8" s="1"/>
  <c r="X666" i="8" a="1"/>
  <c r="X666" i="8" s="1"/>
  <c r="W666" i="8" a="1"/>
  <c r="W666" i="8" s="1"/>
  <c r="V666" i="8" a="1"/>
  <c r="V666" i="8" s="1"/>
  <c r="U666" i="8" a="1"/>
  <c r="U666" i="8" s="1"/>
  <c r="T666" i="8" a="1"/>
  <c r="T666" i="8" s="1"/>
  <c r="S666" i="8" a="1"/>
  <c r="S666" i="8" s="1"/>
  <c r="R666" i="8" a="1"/>
  <c r="R666" i="8" s="1"/>
  <c r="Q666" i="8" a="1"/>
  <c r="Q666" i="8" s="1"/>
  <c r="P666" i="8" a="1"/>
  <c r="P666" i="8" s="1"/>
  <c r="O666" i="8" a="1"/>
  <c r="O666" i="8" s="1"/>
  <c r="N666" i="8" a="1"/>
  <c r="N666" i="8" s="1"/>
  <c r="M666" i="8" a="1"/>
  <c r="M666" i="8" s="1"/>
  <c r="L666" i="8" a="1"/>
  <c r="L666" i="8" s="1"/>
  <c r="K666" i="8" a="1"/>
  <c r="K666" i="8" s="1"/>
  <c r="J666" i="8" a="1"/>
  <c r="J666" i="8" s="1"/>
  <c r="I666" i="8" a="1"/>
  <c r="I666" i="8" s="1"/>
  <c r="H666" i="8" a="1"/>
  <c r="H666" i="8" s="1"/>
  <c r="G666" i="8" a="1"/>
  <c r="G666" i="8" s="1"/>
  <c r="F666" i="8" a="1"/>
  <c r="F666" i="8" s="1"/>
  <c r="E666" i="8" a="1"/>
  <c r="E666" i="8" s="1"/>
  <c r="AB665" i="8" a="1"/>
  <c r="AB665" i="8" s="1"/>
  <c r="AA665" i="8" a="1"/>
  <c r="AA665" i="8" s="1"/>
  <c r="Z665" i="8" a="1"/>
  <c r="Z665" i="8" s="1"/>
  <c r="Y665" i="8" a="1"/>
  <c r="Y665" i="8" s="1"/>
  <c r="X665" i="8" a="1"/>
  <c r="X665" i="8" s="1"/>
  <c r="W665" i="8" a="1"/>
  <c r="W665" i="8" s="1"/>
  <c r="V665" i="8" a="1"/>
  <c r="V665" i="8" s="1"/>
  <c r="U665" i="8" a="1"/>
  <c r="U665" i="8" s="1"/>
  <c r="T665" i="8" a="1"/>
  <c r="T665" i="8" s="1"/>
  <c r="S665" i="8" a="1"/>
  <c r="S665" i="8" s="1"/>
  <c r="R665" i="8" a="1"/>
  <c r="R665" i="8" s="1"/>
  <c r="Q665" i="8" a="1"/>
  <c r="Q665" i="8" s="1"/>
  <c r="P665" i="8" a="1"/>
  <c r="P665" i="8" s="1"/>
  <c r="O665" i="8" a="1"/>
  <c r="O665" i="8" s="1"/>
  <c r="N665" i="8" a="1"/>
  <c r="N665" i="8" s="1"/>
  <c r="M665" i="8" a="1"/>
  <c r="M665" i="8" s="1"/>
  <c r="L665" i="8" a="1"/>
  <c r="L665" i="8" s="1"/>
  <c r="K665" i="8" a="1"/>
  <c r="K665" i="8" s="1"/>
  <c r="J665" i="8" a="1"/>
  <c r="J665" i="8" s="1"/>
  <c r="I665" i="8" a="1"/>
  <c r="I665" i="8" s="1"/>
  <c r="H665" i="8" a="1"/>
  <c r="H665" i="8" s="1"/>
  <c r="G665" i="8" a="1"/>
  <c r="G665" i="8" s="1"/>
  <c r="F665" i="8" a="1"/>
  <c r="F665" i="8" s="1"/>
  <c r="E665" i="8" a="1"/>
  <c r="E665" i="8" s="1"/>
  <c r="AB664" i="8" a="1"/>
  <c r="AB664" i="8" s="1"/>
  <c r="AA664" i="8" a="1"/>
  <c r="AA664" i="8" s="1"/>
  <c r="Z664" i="8" a="1"/>
  <c r="Z664" i="8" s="1"/>
  <c r="Y664" i="8" a="1"/>
  <c r="Y664" i="8" s="1"/>
  <c r="X664" i="8" a="1"/>
  <c r="X664" i="8" s="1"/>
  <c r="W664" i="8" a="1"/>
  <c r="W664" i="8" s="1"/>
  <c r="V664" i="8" a="1"/>
  <c r="V664" i="8" s="1"/>
  <c r="U664" i="8" a="1"/>
  <c r="U664" i="8" s="1"/>
  <c r="T664" i="8" a="1"/>
  <c r="T664" i="8" s="1"/>
  <c r="S664" i="8" a="1"/>
  <c r="S664" i="8" s="1"/>
  <c r="R664" i="8" a="1"/>
  <c r="R664" i="8" s="1"/>
  <c r="Q664" i="8" a="1"/>
  <c r="Q664" i="8" s="1"/>
  <c r="P664" i="8" a="1"/>
  <c r="P664" i="8" s="1"/>
  <c r="O664" i="8" a="1"/>
  <c r="O664" i="8" s="1"/>
  <c r="N664" i="8" a="1"/>
  <c r="N664" i="8" s="1"/>
  <c r="M664" i="8" a="1"/>
  <c r="M664" i="8" s="1"/>
  <c r="L664" i="8" a="1"/>
  <c r="L664" i="8" s="1"/>
  <c r="K664" i="8" a="1"/>
  <c r="K664" i="8" s="1"/>
  <c r="J664" i="8" a="1"/>
  <c r="J664" i="8" s="1"/>
  <c r="I664" i="8" a="1"/>
  <c r="I664" i="8" s="1"/>
  <c r="H664" i="8" a="1"/>
  <c r="H664" i="8" s="1"/>
  <c r="G664" i="8" a="1"/>
  <c r="G664" i="8" s="1"/>
  <c r="F664" i="8" a="1"/>
  <c r="F664" i="8" s="1"/>
  <c r="E664" i="8" a="1"/>
  <c r="E664" i="8" s="1"/>
  <c r="AB663" i="8" a="1"/>
  <c r="AB663" i="8" s="1"/>
  <c r="AA663" i="8" a="1"/>
  <c r="AA663" i="8" s="1"/>
  <c r="Z663" i="8" a="1"/>
  <c r="Z663" i="8" s="1"/>
  <c r="Y663" i="8" a="1"/>
  <c r="Y663" i="8" s="1"/>
  <c r="X663" i="8" a="1"/>
  <c r="X663" i="8" s="1"/>
  <c r="W663" i="8" a="1"/>
  <c r="W663" i="8" s="1"/>
  <c r="V663" i="8" a="1"/>
  <c r="V663" i="8" s="1"/>
  <c r="U663" i="8" a="1"/>
  <c r="U663" i="8" s="1"/>
  <c r="T663" i="8" a="1"/>
  <c r="T663" i="8" s="1"/>
  <c r="S663" i="8" a="1"/>
  <c r="S663" i="8" s="1"/>
  <c r="R663" i="8" a="1"/>
  <c r="R663" i="8" s="1"/>
  <c r="Q663" i="8" a="1"/>
  <c r="Q663" i="8" s="1"/>
  <c r="P663" i="8" a="1"/>
  <c r="P663" i="8" s="1"/>
  <c r="O663" i="8" a="1"/>
  <c r="O663" i="8" s="1"/>
  <c r="N663" i="8" a="1"/>
  <c r="N663" i="8" s="1"/>
  <c r="M663" i="8" a="1"/>
  <c r="M663" i="8" s="1"/>
  <c r="L663" i="8" a="1"/>
  <c r="L663" i="8" s="1"/>
  <c r="K663" i="8" a="1"/>
  <c r="K663" i="8" s="1"/>
  <c r="J663" i="8" a="1"/>
  <c r="J663" i="8" s="1"/>
  <c r="I663" i="8" a="1"/>
  <c r="I663" i="8" s="1"/>
  <c r="H663" i="8" a="1"/>
  <c r="H663" i="8" s="1"/>
  <c r="G663" i="8" a="1"/>
  <c r="G663" i="8" s="1"/>
  <c r="F663" i="8" a="1"/>
  <c r="F663" i="8" s="1"/>
  <c r="E663" i="8" a="1"/>
  <c r="E663" i="8" s="1"/>
  <c r="AB662" i="8" a="1"/>
  <c r="AB662" i="8" s="1"/>
  <c r="AA662" i="8" a="1"/>
  <c r="AA662" i="8" s="1"/>
  <c r="Z662" i="8" a="1"/>
  <c r="Z662" i="8" s="1"/>
  <c r="Y662" i="8" a="1"/>
  <c r="Y662" i="8" s="1"/>
  <c r="X662" i="8" a="1"/>
  <c r="X662" i="8" s="1"/>
  <c r="W662" i="8" a="1"/>
  <c r="W662" i="8" s="1"/>
  <c r="V662" i="8" a="1"/>
  <c r="V662" i="8" s="1"/>
  <c r="U662" i="8" a="1"/>
  <c r="U662" i="8" s="1"/>
  <c r="T662" i="8" a="1"/>
  <c r="T662" i="8" s="1"/>
  <c r="S662" i="8" a="1"/>
  <c r="S662" i="8" s="1"/>
  <c r="R662" i="8" a="1"/>
  <c r="R662" i="8" s="1"/>
  <c r="Q662" i="8" a="1"/>
  <c r="Q662" i="8" s="1"/>
  <c r="P662" i="8" a="1"/>
  <c r="P662" i="8" s="1"/>
  <c r="O662" i="8" a="1"/>
  <c r="O662" i="8" s="1"/>
  <c r="N662" i="8" a="1"/>
  <c r="N662" i="8" s="1"/>
  <c r="M662" i="8" a="1"/>
  <c r="M662" i="8" s="1"/>
  <c r="L662" i="8" a="1"/>
  <c r="L662" i="8" s="1"/>
  <c r="K662" i="8" a="1"/>
  <c r="K662" i="8" s="1"/>
  <c r="J662" i="8" a="1"/>
  <c r="J662" i="8" s="1"/>
  <c r="I662" i="8" a="1"/>
  <c r="I662" i="8" s="1"/>
  <c r="H662" i="8" a="1"/>
  <c r="H662" i="8" s="1"/>
  <c r="G662" i="8" a="1"/>
  <c r="G662" i="8" s="1"/>
  <c r="F662" i="8" a="1"/>
  <c r="F662" i="8" s="1"/>
  <c r="E662" i="8" a="1"/>
  <c r="E662" i="8" s="1"/>
  <c r="AB661" i="8" a="1"/>
  <c r="AB661" i="8" s="1"/>
  <c r="AA661" i="8" a="1"/>
  <c r="AA661" i="8" s="1"/>
  <c r="Z661" i="8" a="1"/>
  <c r="Z661" i="8" s="1"/>
  <c r="Y661" i="8" a="1"/>
  <c r="Y661" i="8" s="1"/>
  <c r="X661" i="8" a="1"/>
  <c r="X661" i="8" s="1"/>
  <c r="W661" i="8" a="1"/>
  <c r="W661" i="8" s="1"/>
  <c r="V661" i="8" a="1"/>
  <c r="V661" i="8" s="1"/>
  <c r="U661" i="8" a="1"/>
  <c r="U661" i="8" s="1"/>
  <c r="T661" i="8" a="1"/>
  <c r="T661" i="8" s="1"/>
  <c r="S661" i="8" a="1"/>
  <c r="S661" i="8" s="1"/>
  <c r="R661" i="8" a="1"/>
  <c r="R661" i="8" s="1"/>
  <c r="Q661" i="8" a="1"/>
  <c r="Q661" i="8" s="1"/>
  <c r="P661" i="8" a="1"/>
  <c r="P661" i="8" s="1"/>
  <c r="O661" i="8" a="1"/>
  <c r="O661" i="8" s="1"/>
  <c r="N661" i="8" a="1"/>
  <c r="N661" i="8" s="1"/>
  <c r="M661" i="8" a="1"/>
  <c r="M661" i="8" s="1"/>
  <c r="L661" i="8" a="1"/>
  <c r="L661" i="8" s="1"/>
  <c r="K661" i="8" a="1"/>
  <c r="K661" i="8" s="1"/>
  <c r="J661" i="8" a="1"/>
  <c r="J661" i="8" s="1"/>
  <c r="I661" i="8" a="1"/>
  <c r="I661" i="8" s="1"/>
  <c r="H661" i="8" a="1"/>
  <c r="H661" i="8" s="1"/>
  <c r="G661" i="8" a="1"/>
  <c r="G661" i="8" s="1"/>
  <c r="F661" i="8" a="1"/>
  <c r="F661" i="8" s="1"/>
  <c r="E661" i="8" a="1"/>
  <c r="E661" i="8" s="1"/>
  <c r="AB660" i="8" a="1"/>
  <c r="AB660" i="8" s="1"/>
  <c r="AA660" i="8" a="1"/>
  <c r="AA660" i="8" s="1"/>
  <c r="Z660" i="8" a="1"/>
  <c r="Z660" i="8" s="1"/>
  <c r="Y660" i="8" a="1"/>
  <c r="Y660" i="8" s="1"/>
  <c r="X660" i="8" a="1"/>
  <c r="X660" i="8" s="1"/>
  <c r="W660" i="8" a="1"/>
  <c r="W660" i="8" s="1"/>
  <c r="V660" i="8" a="1"/>
  <c r="V660" i="8" s="1"/>
  <c r="U660" i="8" a="1"/>
  <c r="U660" i="8" s="1"/>
  <c r="T660" i="8" a="1"/>
  <c r="T660" i="8" s="1"/>
  <c r="S660" i="8" a="1"/>
  <c r="S660" i="8" s="1"/>
  <c r="R660" i="8" a="1"/>
  <c r="R660" i="8" s="1"/>
  <c r="Q660" i="8" a="1"/>
  <c r="Q660" i="8" s="1"/>
  <c r="P660" i="8" a="1"/>
  <c r="P660" i="8" s="1"/>
  <c r="O660" i="8" a="1"/>
  <c r="O660" i="8" s="1"/>
  <c r="N660" i="8" a="1"/>
  <c r="N660" i="8" s="1"/>
  <c r="M660" i="8" a="1"/>
  <c r="M660" i="8" s="1"/>
  <c r="L660" i="8" a="1"/>
  <c r="L660" i="8" s="1"/>
  <c r="K660" i="8" a="1"/>
  <c r="K660" i="8" s="1"/>
  <c r="J660" i="8" a="1"/>
  <c r="J660" i="8" s="1"/>
  <c r="I660" i="8" a="1"/>
  <c r="I660" i="8" s="1"/>
  <c r="H660" i="8" a="1"/>
  <c r="H660" i="8" s="1"/>
  <c r="G660" i="8" a="1"/>
  <c r="G660" i="8" s="1"/>
  <c r="F660" i="8" a="1"/>
  <c r="F660" i="8" s="1"/>
  <c r="E660" i="8" a="1"/>
  <c r="E660" i="8" s="1"/>
  <c r="AB659" i="8" a="1"/>
  <c r="AB659" i="8" s="1"/>
  <c r="AA659" i="8" a="1"/>
  <c r="AA659" i="8" s="1"/>
  <c r="Z659" i="8" a="1"/>
  <c r="Z659" i="8" s="1"/>
  <c r="Y659" i="8" a="1"/>
  <c r="Y659" i="8" s="1"/>
  <c r="X659" i="8" a="1"/>
  <c r="X659" i="8" s="1"/>
  <c r="W659" i="8" a="1"/>
  <c r="W659" i="8" s="1"/>
  <c r="V659" i="8" a="1"/>
  <c r="V659" i="8" s="1"/>
  <c r="U659" i="8" a="1"/>
  <c r="U659" i="8" s="1"/>
  <c r="T659" i="8" a="1"/>
  <c r="T659" i="8" s="1"/>
  <c r="S659" i="8" a="1"/>
  <c r="S659" i="8" s="1"/>
  <c r="R659" i="8" a="1"/>
  <c r="R659" i="8" s="1"/>
  <c r="Q659" i="8" a="1"/>
  <c r="Q659" i="8" s="1"/>
  <c r="P659" i="8" a="1"/>
  <c r="P659" i="8" s="1"/>
  <c r="O659" i="8" a="1"/>
  <c r="O659" i="8" s="1"/>
  <c r="N659" i="8" a="1"/>
  <c r="N659" i="8" s="1"/>
  <c r="M659" i="8" a="1"/>
  <c r="M659" i="8" s="1"/>
  <c r="L659" i="8" a="1"/>
  <c r="L659" i="8" s="1"/>
  <c r="K659" i="8" a="1"/>
  <c r="K659" i="8" s="1"/>
  <c r="J659" i="8" a="1"/>
  <c r="J659" i="8" s="1"/>
  <c r="I659" i="8" a="1"/>
  <c r="I659" i="8" s="1"/>
  <c r="H659" i="8" a="1"/>
  <c r="H659" i="8" s="1"/>
  <c r="G659" i="8" a="1"/>
  <c r="G659" i="8" s="1"/>
  <c r="F659" i="8" a="1"/>
  <c r="F659" i="8" s="1"/>
  <c r="E659" i="8" a="1"/>
  <c r="E659" i="8" s="1"/>
  <c r="AB658" i="8" a="1"/>
  <c r="AB658" i="8" s="1"/>
  <c r="AA658" i="8" a="1"/>
  <c r="AA658" i="8" s="1"/>
  <c r="Z658" i="8" a="1"/>
  <c r="Z658" i="8" s="1"/>
  <c r="Y658" i="8" a="1"/>
  <c r="Y658" i="8" s="1"/>
  <c r="X658" i="8" a="1"/>
  <c r="X658" i="8" s="1"/>
  <c r="W658" i="8" a="1"/>
  <c r="W658" i="8" s="1"/>
  <c r="V658" i="8" a="1"/>
  <c r="V658" i="8" s="1"/>
  <c r="U658" i="8" a="1"/>
  <c r="U658" i="8" s="1"/>
  <c r="T658" i="8" a="1"/>
  <c r="T658" i="8" s="1"/>
  <c r="S658" i="8" a="1"/>
  <c r="S658" i="8" s="1"/>
  <c r="R658" i="8" a="1"/>
  <c r="R658" i="8" s="1"/>
  <c r="Q658" i="8" a="1"/>
  <c r="Q658" i="8" s="1"/>
  <c r="P658" i="8" a="1"/>
  <c r="P658" i="8" s="1"/>
  <c r="O658" i="8" a="1"/>
  <c r="O658" i="8" s="1"/>
  <c r="N658" i="8" a="1"/>
  <c r="N658" i="8" s="1"/>
  <c r="M658" i="8" a="1"/>
  <c r="M658" i="8" s="1"/>
  <c r="L658" i="8" a="1"/>
  <c r="L658" i="8" s="1"/>
  <c r="K658" i="8" a="1"/>
  <c r="K658" i="8" s="1"/>
  <c r="J658" i="8" a="1"/>
  <c r="J658" i="8" s="1"/>
  <c r="I658" i="8" a="1"/>
  <c r="I658" i="8" s="1"/>
  <c r="H658" i="8" a="1"/>
  <c r="H658" i="8" s="1"/>
  <c r="G658" i="8" a="1"/>
  <c r="G658" i="8" s="1"/>
  <c r="F658" i="8" a="1"/>
  <c r="F658" i="8" s="1"/>
  <c r="E658" i="8" a="1"/>
  <c r="E658" i="8" s="1"/>
  <c r="AB657" i="8" a="1"/>
  <c r="AB657" i="8" s="1"/>
  <c r="AA657" i="8" a="1"/>
  <c r="AA657" i="8" s="1"/>
  <c r="Z657" i="8" a="1"/>
  <c r="Z657" i="8" s="1"/>
  <c r="Y657" i="8" a="1"/>
  <c r="Y657" i="8" s="1"/>
  <c r="X657" i="8" a="1"/>
  <c r="X657" i="8" s="1"/>
  <c r="W657" i="8" a="1"/>
  <c r="W657" i="8" s="1"/>
  <c r="V657" i="8" a="1"/>
  <c r="V657" i="8" s="1"/>
  <c r="U657" i="8" a="1"/>
  <c r="U657" i="8" s="1"/>
  <c r="T657" i="8" a="1"/>
  <c r="T657" i="8" s="1"/>
  <c r="S657" i="8" a="1"/>
  <c r="S657" i="8" s="1"/>
  <c r="R657" i="8" a="1"/>
  <c r="R657" i="8" s="1"/>
  <c r="Q657" i="8" a="1"/>
  <c r="Q657" i="8" s="1"/>
  <c r="P657" i="8" a="1"/>
  <c r="P657" i="8" s="1"/>
  <c r="O657" i="8" a="1"/>
  <c r="O657" i="8" s="1"/>
  <c r="N657" i="8" a="1"/>
  <c r="N657" i="8" s="1"/>
  <c r="M657" i="8" a="1"/>
  <c r="M657" i="8" s="1"/>
  <c r="L657" i="8" a="1"/>
  <c r="L657" i="8" s="1"/>
  <c r="K657" i="8" a="1"/>
  <c r="K657" i="8" s="1"/>
  <c r="J657" i="8" a="1"/>
  <c r="J657" i="8" s="1"/>
  <c r="I657" i="8" a="1"/>
  <c r="I657" i="8" s="1"/>
  <c r="H657" i="8" a="1"/>
  <c r="H657" i="8" s="1"/>
  <c r="G657" i="8" a="1"/>
  <c r="G657" i="8" s="1"/>
  <c r="F657" i="8" a="1"/>
  <c r="F657" i="8" s="1"/>
  <c r="E657" i="8" a="1"/>
  <c r="E657" i="8" s="1"/>
  <c r="AB656" i="8" a="1"/>
  <c r="AB656" i="8" s="1"/>
  <c r="AA656" i="8" a="1"/>
  <c r="AA656" i="8" s="1"/>
  <c r="Z656" i="8" a="1"/>
  <c r="Z656" i="8" s="1"/>
  <c r="Y656" i="8" a="1"/>
  <c r="Y656" i="8" s="1"/>
  <c r="X656" i="8" a="1"/>
  <c r="X656" i="8" s="1"/>
  <c r="W656" i="8" a="1"/>
  <c r="W656" i="8" s="1"/>
  <c r="V656" i="8" a="1"/>
  <c r="V656" i="8" s="1"/>
  <c r="U656" i="8" a="1"/>
  <c r="U656" i="8" s="1"/>
  <c r="T656" i="8" a="1"/>
  <c r="T656" i="8" s="1"/>
  <c r="S656" i="8" a="1"/>
  <c r="S656" i="8" s="1"/>
  <c r="R656" i="8" a="1"/>
  <c r="R656" i="8" s="1"/>
  <c r="Q656" i="8" a="1"/>
  <c r="Q656" i="8" s="1"/>
  <c r="P656" i="8" a="1"/>
  <c r="P656" i="8" s="1"/>
  <c r="O656" i="8" a="1"/>
  <c r="O656" i="8" s="1"/>
  <c r="N656" i="8" a="1"/>
  <c r="N656" i="8" s="1"/>
  <c r="M656" i="8" a="1"/>
  <c r="M656" i="8" s="1"/>
  <c r="L656" i="8" a="1"/>
  <c r="L656" i="8" s="1"/>
  <c r="K656" i="8" a="1"/>
  <c r="K656" i="8" s="1"/>
  <c r="J656" i="8" a="1"/>
  <c r="J656" i="8" s="1"/>
  <c r="I656" i="8" a="1"/>
  <c r="I656" i="8" s="1"/>
  <c r="H656" i="8" a="1"/>
  <c r="H656" i="8" s="1"/>
  <c r="G656" i="8" a="1"/>
  <c r="G656" i="8" s="1"/>
  <c r="F656" i="8" a="1"/>
  <c r="F656" i="8" s="1"/>
  <c r="E656" i="8" a="1"/>
  <c r="E656" i="8" s="1"/>
  <c r="AB655" i="8" a="1"/>
  <c r="AB655" i="8" s="1"/>
  <c r="AA655" i="8" a="1"/>
  <c r="AA655" i="8" s="1"/>
  <c r="Z655" i="8" a="1"/>
  <c r="Z655" i="8" s="1"/>
  <c r="Y655" i="8" a="1"/>
  <c r="Y655" i="8" s="1"/>
  <c r="X655" i="8" a="1"/>
  <c r="X655" i="8" s="1"/>
  <c r="W655" i="8" a="1"/>
  <c r="W655" i="8" s="1"/>
  <c r="V655" i="8" a="1"/>
  <c r="V655" i="8" s="1"/>
  <c r="U655" i="8" a="1"/>
  <c r="U655" i="8" s="1"/>
  <c r="T655" i="8" a="1"/>
  <c r="T655" i="8" s="1"/>
  <c r="S655" i="8" a="1"/>
  <c r="S655" i="8" s="1"/>
  <c r="R655" i="8" a="1"/>
  <c r="R655" i="8" s="1"/>
  <c r="Q655" i="8" a="1"/>
  <c r="Q655" i="8" s="1"/>
  <c r="P655" i="8" a="1"/>
  <c r="P655" i="8" s="1"/>
  <c r="O655" i="8" a="1"/>
  <c r="O655" i="8" s="1"/>
  <c r="N655" i="8" a="1"/>
  <c r="N655" i="8" s="1"/>
  <c r="M655" i="8" a="1"/>
  <c r="M655" i="8" s="1"/>
  <c r="L655" i="8" a="1"/>
  <c r="L655" i="8" s="1"/>
  <c r="K655" i="8" a="1"/>
  <c r="K655" i="8" s="1"/>
  <c r="J655" i="8" a="1"/>
  <c r="J655" i="8" s="1"/>
  <c r="I655" i="8" a="1"/>
  <c r="I655" i="8" s="1"/>
  <c r="H655" i="8" a="1"/>
  <c r="H655" i="8" s="1"/>
  <c r="G655" i="8" a="1"/>
  <c r="G655" i="8" s="1"/>
  <c r="F655" i="8" a="1"/>
  <c r="F655" i="8" s="1"/>
  <c r="E655" i="8" a="1"/>
  <c r="E655" i="8" s="1"/>
  <c r="AB654" i="8" a="1"/>
  <c r="AB654" i="8" s="1"/>
  <c r="AA654" i="8" a="1"/>
  <c r="AA654" i="8" s="1"/>
  <c r="Z654" i="8" a="1"/>
  <c r="Z654" i="8" s="1"/>
  <c r="Y654" i="8" a="1"/>
  <c r="Y654" i="8" s="1"/>
  <c r="X654" i="8" a="1"/>
  <c r="X654" i="8" s="1"/>
  <c r="W654" i="8" a="1"/>
  <c r="W654" i="8" s="1"/>
  <c r="V654" i="8" a="1"/>
  <c r="V654" i="8" s="1"/>
  <c r="U654" i="8" a="1"/>
  <c r="U654" i="8" s="1"/>
  <c r="T654" i="8" a="1"/>
  <c r="T654" i="8" s="1"/>
  <c r="S654" i="8" a="1"/>
  <c r="S654" i="8" s="1"/>
  <c r="R654" i="8" a="1"/>
  <c r="R654" i="8" s="1"/>
  <c r="Q654" i="8" a="1"/>
  <c r="Q654" i="8" s="1"/>
  <c r="P654" i="8" a="1"/>
  <c r="P654" i="8" s="1"/>
  <c r="O654" i="8" a="1"/>
  <c r="O654" i="8" s="1"/>
  <c r="N654" i="8" a="1"/>
  <c r="N654" i="8" s="1"/>
  <c r="M654" i="8" a="1"/>
  <c r="M654" i="8" s="1"/>
  <c r="L654" i="8" a="1"/>
  <c r="L654" i="8" s="1"/>
  <c r="K654" i="8" a="1"/>
  <c r="K654" i="8" s="1"/>
  <c r="J654" i="8" a="1"/>
  <c r="J654" i="8" s="1"/>
  <c r="I654" i="8" a="1"/>
  <c r="I654" i="8" s="1"/>
  <c r="H654" i="8" a="1"/>
  <c r="H654" i="8" s="1"/>
  <c r="G654" i="8" a="1"/>
  <c r="G654" i="8" s="1"/>
  <c r="F654" i="8" a="1"/>
  <c r="F654" i="8" s="1"/>
  <c r="E654" i="8" a="1"/>
  <c r="E654" i="8" s="1"/>
  <c r="AB653" i="8" a="1"/>
  <c r="AB653" i="8" s="1"/>
  <c r="AA653" i="8" a="1"/>
  <c r="AA653" i="8" s="1"/>
  <c r="Z653" i="8" a="1"/>
  <c r="Z653" i="8" s="1"/>
  <c r="Y653" i="8" a="1"/>
  <c r="Y653" i="8" s="1"/>
  <c r="X653" i="8" a="1"/>
  <c r="X653" i="8" s="1"/>
  <c r="W653" i="8" a="1"/>
  <c r="W653" i="8" s="1"/>
  <c r="V653" i="8" a="1"/>
  <c r="V653" i="8" s="1"/>
  <c r="U653" i="8" a="1"/>
  <c r="U653" i="8" s="1"/>
  <c r="T653" i="8" a="1"/>
  <c r="T653" i="8" s="1"/>
  <c r="S653" i="8" a="1"/>
  <c r="S653" i="8" s="1"/>
  <c r="R653" i="8" a="1"/>
  <c r="R653" i="8" s="1"/>
  <c r="Q653" i="8" a="1"/>
  <c r="Q653" i="8" s="1"/>
  <c r="P653" i="8" a="1"/>
  <c r="P653" i="8" s="1"/>
  <c r="O653" i="8" a="1"/>
  <c r="O653" i="8" s="1"/>
  <c r="N653" i="8" a="1"/>
  <c r="N653" i="8" s="1"/>
  <c r="M653" i="8" a="1"/>
  <c r="M653" i="8" s="1"/>
  <c r="L653" i="8" a="1"/>
  <c r="L653" i="8" s="1"/>
  <c r="K653" i="8" a="1"/>
  <c r="K653" i="8" s="1"/>
  <c r="J653" i="8" a="1"/>
  <c r="J653" i="8" s="1"/>
  <c r="I653" i="8" a="1"/>
  <c r="I653" i="8" s="1"/>
  <c r="H653" i="8" a="1"/>
  <c r="H653" i="8" s="1"/>
  <c r="G653" i="8" a="1"/>
  <c r="G653" i="8" s="1"/>
  <c r="F653" i="8" a="1"/>
  <c r="F653" i="8" s="1"/>
  <c r="E653" i="8" a="1"/>
  <c r="E653" i="8" s="1"/>
  <c r="AB652" i="8" a="1"/>
  <c r="AB652" i="8" s="1"/>
  <c r="AA652" i="8" a="1"/>
  <c r="AA652" i="8" s="1"/>
  <c r="Z652" i="8" a="1"/>
  <c r="Z652" i="8" s="1"/>
  <c r="Y652" i="8" a="1"/>
  <c r="Y652" i="8" s="1"/>
  <c r="X652" i="8" a="1"/>
  <c r="X652" i="8" s="1"/>
  <c r="W652" i="8" a="1"/>
  <c r="W652" i="8" s="1"/>
  <c r="V652" i="8" a="1"/>
  <c r="V652" i="8" s="1"/>
  <c r="U652" i="8" a="1"/>
  <c r="U652" i="8" s="1"/>
  <c r="T652" i="8" a="1"/>
  <c r="T652" i="8" s="1"/>
  <c r="S652" i="8" a="1"/>
  <c r="S652" i="8" s="1"/>
  <c r="R652" i="8" a="1"/>
  <c r="R652" i="8" s="1"/>
  <c r="Q652" i="8" a="1"/>
  <c r="Q652" i="8" s="1"/>
  <c r="P652" i="8" a="1"/>
  <c r="P652" i="8" s="1"/>
  <c r="O652" i="8" a="1"/>
  <c r="O652" i="8" s="1"/>
  <c r="N652" i="8" a="1"/>
  <c r="N652" i="8" s="1"/>
  <c r="M652" i="8" a="1"/>
  <c r="M652" i="8" s="1"/>
  <c r="L652" i="8" a="1"/>
  <c r="L652" i="8" s="1"/>
  <c r="K652" i="8" a="1"/>
  <c r="K652" i="8" s="1"/>
  <c r="J652" i="8" a="1"/>
  <c r="J652" i="8" s="1"/>
  <c r="I652" i="8" a="1"/>
  <c r="I652" i="8" s="1"/>
  <c r="H652" i="8" a="1"/>
  <c r="H652" i="8" s="1"/>
  <c r="G652" i="8" a="1"/>
  <c r="G652" i="8" s="1"/>
  <c r="F652" i="8" a="1"/>
  <c r="F652" i="8" s="1"/>
  <c r="E652" i="8" a="1"/>
  <c r="E652" i="8" s="1"/>
  <c r="AB651" i="8" a="1"/>
  <c r="AB651" i="8" s="1"/>
  <c r="AA651" i="8" a="1"/>
  <c r="AA651" i="8" s="1"/>
  <c r="Z651" i="8" a="1"/>
  <c r="Z651" i="8" s="1"/>
  <c r="Y651" i="8" a="1"/>
  <c r="Y651" i="8" s="1"/>
  <c r="X651" i="8" a="1"/>
  <c r="X651" i="8" s="1"/>
  <c r="W651" i="8" a="1"/>
  <c r="W651" i="8" s="1"/>
  <c r="V651" i="8" a="1"/>
  <c r="V651" i="8" s="1"/>
  <c r="U651" i="8" a="1"/>
  <c r="U651" i="8" s="1"/>
  <c r="T651" i="8" a="1"/>
  <c r="T651" i="8" s="1"/>
  <c r="S651" i="8" a="1"/>
  <c r="S651" i="8" s="1"/>
  <c r="R651" i="8" a="1"/>
  <c r="R651" i="8" s="1"/>
  <c r="Q651" i="8" a="1"/>
  <c r="Q651" i="8" s="1"/>
  <c r="P651" i="8" a="1"/>
  <c r="P651" i="8" s="1"/>
  <c r="O651" i="8" a="1"/>
  <c r="O651" i="8" s="1"/>
  <c r="N651" i="8" a="1"/>
  <c r="N651" i="8" s="1"/>
  <c r="M651" i="8" a="1"/>
  <c r="M651" i="8" s="1"/>
  <c r="L651" i="8" a="1"/>
  <c r="L651" i="8" s="1"/>
  <c r="K651" i="8" a="1"/>
  <c r="K651" i="8" s="1"/>
  <c r="J651" i="8" a="1"/>
  <c r="J651" i="8" s="1"/>
  <c r="I651" i="8" a="1"/>
  <c r="I651" i="8" s="1"/>
  <c r="H651" i="8" a="1"/>
  <c r="H651" i="8" s="1"/>
  <c r="G651" i="8" a="1"/>
  <c r="G651" i="8" s="1"/>
  <c r="F651" i="8" a="1"/>
  <c r="F651" i="8" s="1"/>
  <c r="E651" i="8" a="1"/>
  <c r="E651" i="8" s="1"/>
  <c r="AB650" i="8" a="1"/>
  <c r="AB650" i="8" s="1"/>
  <c r="AA650" i="8" a="1"/>
  <c r="AA650" i="8" s="1"/>
  <c r="Z650" i="8" a="1"/>
  <c r="Z650" i="8" s="1"/>
  <c r="Y650" i="8" a="1"/>
  <c r="Y650" i="8" s="1"/>
  <c r="X650" i="8" a="1"/>
  <c r="X650" i="8" s="1"/>
  <c r="W650" i="8" a="1"/>
  <c r="W650" i="8" s="1"/>
  <c r="V650" i="8" a="1"/>
  <c r="V650" i="8" s="1"/>
  <c r="U650" i="8" a="1"/>
  <c r="U650" i="8" s="1"/>
  <c r="T650" i="8" a="1"/>
  <c r="T650" i="8" s="1"/>
  <c r="S650" i="8" a="1"/>
  <c r="S650" i="8" s="1"/>
  <c r="R650" i="8" a="1"/>
  <c r="R650" i="8" s="1"/>
  <c r="Q650" i="8" a="1"/>
  <c r="Q650" i="8" s="1"/>
  <c r="P650" i="8" a="1"/>
  <c r="P650" i="8" s="1"/>
  <c r="O650" i="8" a="1"/>
  <c r="O650" i="8" s="1"/>
  <c r="N650" i="8" a="1"/>
  <c r="N650" i="8" s="1"/>
  <c r="M650" i="8" a="1"/>
  <c r="M650" i="8" s="1"/>
  <c r="L650" i="8" a="1"/>
  <c r="L650" i="8" s="1"/>
  <c r="K650" i="8" a="1"/>
  <c r="K650" i="8" s="1"/>
  <c r="J650" i="8" a="1"/>
  <c r="J650" i="8" s="1"/>
  <c r="I650" i="8" a="1"/>
  <c r="I650" i="8" s="1"/>
  <c r="H650" i="8" a="1"/>
  <c r="H650" i="8" s="1"/>
  <c r="G650" i="8" a="1"/>
  <c r="G650" i="8" s="1"/>
  <c r="F650" i="8" a="1"/>
  <c r="F650" i="8" s="1"/>
  <c r="E650" i="8" a="1"/>
  <c r="E650" i="8" s="1"/>
  <c r="AB649" i="8" a="1"/>
  <c r="AB649" i="8" s="1"/>
  <c r="AA649" i="8" a="1"/>
  <c r="AA649" i="8" s="1"/>
  <c r="Z649" i="8" a="1"/>
  <c r="Z649" i="8" s="1"/>
  <c r="Y649" i="8" a="1"/>
  <c r="Y649" i="8" s="1"/>
  <c r="X649" i="8" a="1"/>
  <c r="X649" i="8" s="1"/>
  <c r="W649" i="8" a="1"/>
  <c r="W649" i="8" s="1"/>
  <c r="V649" i="8" a="1"/>
  <c r="V649" i="8" s="1"/>
  <c r="U649" i="8" a="1"/>
  <c r="U649" i="8" s="1"/>
  <c r="T649" i="8" a="1"/>
  <c r="T649" i="8" s="1"/>
  <c r="S649" i="8" a="1"/>
  <c r="S649" i="8" s="1"/>
  <c r="R649" i="8" a="1"/>
  <c r="R649" i="8" s="1"/>
  <c r="Q649" i="8" a="1"/>
  <c r="Q649" i="8" s="1"/>
  <c r="P649" i="8" a="1"/>
  <c r="P649" i="8" s="1"/>
  <c r="O649" i="8" a="1"/>
  <c r="O649" i="8" s="1"/>
  <c r="N649" i="8" a="1"/>
  <c r="N649" i="8" s="1"/>
  <c r="M649" i="8" a="1"/>
  <c r="M649" i="8" s="1"/>
  <c r="L649" i="8" a="1"/>
  <c r="L649" i="8" s="1"/>
  <c r="K649" i="8" a="1"/>
  <c r="K649" i="8" s="1"/>
  <c r="J649" i="8" a="1"/>
  <c r="J649" i="8" s="1"/>
  <c r="I649" i="8" a="1"/>
  <c r="I649" i="8" s="1"/>
  <c r="H649" i="8" a="1"/>
  <c r="H649" i="8" s="1"/>
  <c r="G649" i="8" a="1"/>
  <c r="G649" i="8" s="1"/>
  <c r="F649" i="8" a="1"/>
  <c r="F649" i="8" s="1"/>
  <c r="E649" i="8" a="1"/>
  <c r="E649" i="8" s="1"/>
  <c r="AB648" i="8" a="1"/>
  <c r="AB648" i="8" s="1"/>
  <c r="AA648" i="8" a="1"/>
  <c r="AA648" i="8" s="1"/>
  <c r="Z648" i="8" a="1"/>
  <c r="Z648" i="8" s="1"/>
  <c r="Y648" i="8" a="1"/>
  <c r="Y648" i="8" s="1"/>
  <c r="X648" i="8" a="1"/>
  <c r="X648" i="8" s="1"/>
  <c r="W648" i="8" a="1"/>
  <c r="W648" i="8" s="1"/>
  <c r="V648" i="8" a="1"/>
  <c r="V648" i="8" s="1"/>
  <c r="U648" i="8" a="1"/>
  <c r="U648" i="8" s="1"/>
  <c r="T648" i="8" a="1"/>
  <c r="T648" i="8" s="1"/>
  <c r="S648" i="8" a="1"/>
  <c r="S648" i="8" s="1"/>
  <c r="R648" i="8" a="1"/>
  <c r="R648" i="8" s="1"/>
  <c r="Q648" i="8" a="1"/>
  <c r="Q648" i="8" s="1"/>
  <c r="P648" i="8" a="1"/>
  <c r="P648" i="8" s="1"/>
  <c r="O648" i="8" a="1"/>
  <c r="O648" i="8" s="1"/>
  <c r="N648" i="8" a="1"/>
  <c r="N648" i="8" s="1"/>
  <c r="M648" i="8" a="1"/>
  <c r="M648" i="8" s="1"/>
  <c r="L648" i="8" a="1"/>
  <c r="L648" i="8" s="1"/>
  <c r="K648" i="8" a="1"/>
  <c r="K648" i="8" s="1"/>
  <c r="J648" i="8" a="1"/>
  <c r="J648" i="8" s="1"/>
  <c r="I648" i="8" a="1"/>
  <c r="I648" i="8" s="1"/>
  <c r="H648" i="8" a="1"/>
  <c r="H648" i="8" s="1"/>
  <c r="G648" i="8" a="1"/>
  <c r="G648" i="8" s="1"/>
  <c r="F648" i="8" a="1"/>
  <c r="F648" i="8" s="1"/>
  <c r="E648" i="8" a="1"/>
  <c r="E648" i="8" s="1"/>
  <c r="AB647" i="8" a="1"/>
  <c r="AB647" i="8" s="1"/>
  <c r="AA647" i="8" a="1"/>
  <c r="AA647" i="8" s="1"/>
  <c r="Z647" i="8" a="1"/>
  <c r="Z647" i="8" s="1"/>
  <c r="Y647" i="8" a="1"/>
  <c r="Y647" i="8" s="1"/>
  <c r="X647" i="8" a="1"/>
  <c r="X647" i="8" s="1"/>
  <c r="W647" i="8" a="1"/>
  <c r="W647" i="8" s="1"/>
  <c r="V647" i="8" a="1"/>
  <c r="V647" i="8" s="1"/>
  <c r="U647" i="8" a="1"/>
  <c r="U647" i="8" s="1"/>
  <c r="T647" i="8" a="1"/>
  <c r="T647" i="8" s="1"/>
  <c r="S647" i="8" a="1"/>
  <c r="S647" i="8" s="1"/>
  <c r="R647" i="8" a="1"/>
  <c r="R647" i="8" s="1"/>
  <c r="Q647" i="8" a="1"/>
  <c r="Q647" i="8" s="1"/>
  <c r="P647" i="8" a="1"/>
  <c r="P647" i="8" s="1"/>
  <c r="O647" i="8" a="1"/>
  <c r="O647" i="8" s="1"/>
  <c r="N647" i="8" a="1"/>
  <c r="N647" i="8" s="1"/>
  <c r="M647" i="8" a="1"/>
  <c r="M647" i="8" s="1"/>
  <c r="L647" i="8" a="1"/>
  <c r="L647" i="8" s="1"/>
  <c r="K647" i="8" a="1"/>
  <c r="K647" i="8" s="1"/>
  <c r="J647" i="8" a="1"/>
  <c r="J647" i="8" s="1"/>
  <c r="I647" i="8" a="1"/>
  <c r="I647" i="8" s="1"/>
  <c r="H647" i="8" a="1"/>
  <c r="H647" i="8" s="1"/>
  <c r="G647" i="8" a="1"/>
  <c r="G647" i="8" s="1"/>
  <c r="F647" i="8" a="1"/>
  <c r="F647" i="8" s="1"/>
  <c r="E647" i="8" a="1"/>
  <c r="E647" i="8" s="1"/>
  <c r="AB646" i="8" a="1"/>
  <c r="AB646" i="8" s="1"/>
  <c r="AA646" i="8" a="1"/>
  <c r="AA646" i="8" s="1"/>
  <c r="Z646" i="8" a="1"/>
  <c r="Z646" i="8" s="1"/>
  <c r="Y646" i="8" a="1"/>
  <c r="Y646" i="8" s="1"/>
  <c r="X646" i="8" a="1"/>
  <c r="X646" i="8" s="1"/>
  <c r="W646" i="8" a="1"/>
  <c r="W646" i="8" s="1"/>
  <c r="V646" i="8" a="1"/>
  <c r="V646" i="8" s="1"/>
  <c r="U646" i="8" a="1"/>
  <c r="U646" i="8" s="1"/>
  <c r="T646" i="8" a="1"/>
  <c r="T646" i="8" s="1"/>
  <c r="S646" i="8" a="1"/>
  <c r="S646" i="8" s="1"/>
  <c r="R646" i="8" a="1"/>
  <c r="R646" i="8" s="1"/>
  <c r="Q646" i="8" a="1"/>
  <c r="Q646" i="8" s="1"/>
  <c r="P646" i="8" a="1"/>
  <c r="P646" i="8" s="1"/>
  <c r="O646" i="8" a="1"/>
  <c r="O646" i="8" s="1"/>
  <c r="N646" i="8" a="1"/>
  <c r="N646" i="8" s="1"/>
  <c r="M646" i="8" a="1"/>
  <c r="M646" i="8" s="1"/>
  <c r="L646" i="8" a="1"/>
  <c r="L646" i="8" s="1"/>
  <c r="K646" i="8" a="1"/>
  <c r="K646" i="8" s="1"/>
  <c r="J646" i="8" a="1"/>
  <c r="J646" i="8" s="1"/>
  <c r="I646" i="8" a="1"/>
  <c r="I646" i="8" s="1"/>
  <c r="H646" i="8" a="1"/>
  <c r="H646" i="8" s="1"/>
  <c r="G646" i="8" a="1"/>
  <c r="G646" i="8" s="1"/>
  <c r="F646" i="8" a="1"/>
  <c r="F646" i="8" s="1"/>
  <c r="E646" i="8" a="1"/>
  <c r="E646" i="8" s="1"/>
  <c r="AB645" i="8" a="1"/>
  <c r="AB645" i="8" s="1"/>
  <c r="AA645" i="8" a="1"/>
  <c r="AA645" i="8" s="1"/>
  <c r="Z645" i="8" a="1"/>
  <c r="Z645" i="8" s="1"/>
  <c r="Y645" i="8" a="1"/>
  <c r="Y645" i="8" s="1"/>
  <c r="X645" i="8" a="1"/>
  <c r="X645" i="8" s="1"/>
  <c r="W645" i="8" a="1"/>
  <c r="W645" i="8" s="1"/>
  <c r="V645" i="8" a="1"/>
  <c r="V645" i="8" s="1"/>
  <c r="U645" i="8" a="1"/>
  <c r="U645" i="8" s="1"/>
  <c r="T645" i="8" a="1"/>
  <c r="T645" i="8" s="1"/>
  <c r="S645" i="8" a="1"/>
  <c r="S645" i="8" s="1"/>
  <c r="R645" i="8" a="1"/>
  <c r="R645" i="8" s="1"/>
  <c r="Q645" i="8" a="1"/>
  <c r="Q645" i="8" s="1"/>
  <c r="P645" i="8" a="1"/>
  <c r="P645" i="8" s="1"/>
  <c r="O645" i="8" a="1"/>
  <c r="O645" i="8" s="1"/>
  <c r="N645" i="8" a="1"/>
  <c r="N645" i="8" s="1"/>
  <c r="M645" i="8" a="1"/>
  <c r="M645" i="8" s="1"/>
  <c r="L645" i="8" a="1"/>
  <c r="L645" i="8" s="1"/>
  <c r="K645" i="8" a="1"/>
  <c r="K645" i="8" s="1"/>
  <c r="J645" i="8" a="1"/>
  <c r="J645" i="8" s="1"/>
  <c r="I645" i="8" a="1"/>
  <c r="I645" i="8" s="1"/>
  <c r="H645" i="8" a="1"/>
  <c r="H645" i="8" s="1"/>
  <c r="G645" i="8" a="1"/>
  <c r="G645" i="8" s="1"/>
  <c r="F645" i="8" a="1"/>
  <c r="F645" i="8" s="1"/>
  <c r="E645" i="8" a="1"/>
  <c r="E645" i="8" s="1"/>
  <c r="AB644" i="8" a="1"/>
  <c r="AB644" i="8" s="1"/>
  <c r="AA644" i="8" a="1"/>
  <c r="AA644" i="8" s="1"/>
  <c r="Z644" i="8" a="1"/>
  <c r="Z644" i="8" s="1"/>
  <c r="Y644" i="8" a="1"/>
  <c r="Y644" i="8" s="1"/>
  <c r="X644" i="8" a="1"/>
  <c r="X644" i="8" s="1"/>
  <c r="W644" i="8" a="1"/>
  <c r="W644" i="8" s="1"/>
  <c r="V644" i="8" a="1"/>
  <c r="V644" i="8" s="1"/>
  <c r="U644" i="8" a="1"/>
  <c r="U644" i="8" s="1"/>
  <c r="T644" i="8" a="1"/>
  <c r="T644" i="8" s="1"/>
  <c r="S644" i="8" a="1"/>
  <c r="S644" i="8" s="1"/>
  <c r="R644" i="8" a="1"/>
  <c r="R644" i="8" s="1"/>
  <c r="Q644" i="8" a="1"/>
  <c r="Q644" i="8" s="1"/>
  <c r="P644" i="8" a="1"/>
  <c r="P644" i="8" s="1"/>
  <c r="O644" i="8" a="1"/>
  <c r="O644" i="8" s="1"/>
  <c r="N644" i="8" a="1"/>
  <c r="N644" i="8" s="1"/>
  <c r="M644" i="8" a="1"/>
  <c r="M644" i="8" s="1"/>
  <c r="L644" i="8" a="1"/>
  <c r="L644" i="8" s="1"/>
  <c r="K644" i="8" a="1"/>
  <c r="K644" i="8" s="1"/>
  <c r="J644" i="8" a="1"/>
  <c r="J644" i="8" s="1"/>
  <c r="I644" i="8" a="1"/>
  <c r="I644" i="8" s="1"/>
  <c r="H644" i="8" a="1"/>
  <c r="H644" i="8" s="1"/>
  <c r="G644" i="8" a="1"/>
  <c r="G644" i="8" s="1"/>
  <c r="F644" i="8" a="1"/>
  <c r="F644" i="8" s="1"/>
  <c r="E644" i="8" a="1"/>
  <c r="E644" i="8" s="1"/>
  <c r="AB643" i="8" a="1"/>
  <c r="AB643" i="8" s="1"/>
  <c r="AA643" i="8" a="1"/>
  <c r="AA643" i="8" s="1"/>
  <c r="Z643" i="8" a="1"/>
  <c r="Z643" i="8" s="1"/>
  <c r="Y643" i="8" a="1"/>
  <c r="Y643" i="8" s="1"/>
  <c r="X643" i="8" a="1"/>
  <c r="X643" i="8" s="1"/>
  <c r="W643" i="8" a="1"/>
  <c r="W643" i="8" s="1"/>
  <c r="V643" i="8" a="1"/>
  <c r="V643" i="8" s="1"/>
  <c r="U643" i="8" a="1"/>
  <c r="U643" i="8" s="1"/>
  <c r="T643" i="8" a="1"/>
  <c r="T643" i="8" s="1"/>
  <c r="S643" i="8" a="1"/>
  <c r="S643" i="8" s="1"/>
  <c r="R643" i="8" a="1"/>
  <c r="R643" i="8" s="1"/>
  <c r="Q643" i="8" a="1"/>
  <c r="Q643" i="8" s="1"/>
  <c r="P643" i="8" a="1"/>
  <c r="P643" i="8" s="1"/>
  <c r="O643" i="8" a="1"/>
  <c r="O643" i="8" s="1"/>
  <c r="N643" i="8" a="1"/>
  <c r="N643" i="8" s="1"/>
  <c r="M643" i="8" a="1"/>
  <c r="M643" i="8" s="1"/>
  <c r="L643" i="8" a="1"/>
  <c r="L643" i="8" s="1"/>
  <c r="K643" i="8" a="1"/>
  <c r="K643" i="8" s="1"/>
  <c r="J643" i="8" a="1"/>
  <c r="J643" i="8" s="1"/>
  <c r="I643" i="8" a="1"/>
  <c r="I643" i="8" s="1"/>
  <c r="H643" i="8" a="1"/>
  <c r="H643" i="8" s="1"/>
  <c r="G643" i="8" a="1"/>
  <c r="G643" i="8" s="1"/>
  <c r="F643" i="8" a="1"/>
  <c r="F643" i="8" s="1"/>
  <c r="E643" i="8" a="1"/>
  <c r="E643" i="8" s="1"/>
  <c r="AB642" i="8" a="1"/>
  <c r="AB642" i="8" s="1"/>
  <c r="AA642" i="8" a="1"/>
  <c r="AA642" i="8" s="1"/>
  <c r="Z642" i="8" a="1"/>
  <c r="Z642" i="8" s="1"/>
  <c r="Y642" i="8" a="1"/>
  <c r="Y642" i="8" s="1"/>
  <c r="X642" i="8" a="1"/>
  <c r="X642" i="8" s="1"/>
  <c r="W642" i="8" a="1"/>
  <c r="W642" i="8" s="1"/>
  <c r="V642" i="8" a="1"/>
  <c r="V642" i="8" s="1"/>
  <c r="U642" i="8" a="1"/>
  <c r="U642" i="8" s="1"/>
  <c r="T642" i="8" a="1"/>
  <c r="T642" i="8" s="1"/>
  <c r="S642" i="8" a="1"/>
  <c r="S642" i="8" s="1"/>
  <c r="R642" i="8" a="1"/>
  <c r="R642" i="8" s="1"/>
  <c r="Q642" i="8" a="1"/>
  <c r="Q642" i="8" s="1"/>
  <c r="P642" i="8" a="1"/>
  <c r="P642" i="8" s="1"/>
  <c r="O642" i="8" a="1"/>
  <c r="O642" i="8" s="1"/>
  <c r="N642" i="8" a="1"/>
  <c r="N642" i="8" s="1"/>
  <c r="M642" i="8" a="1"/>
  <c r="M642" i="8" s="1"/>
  <c r="L642" i="8" a="1"/>
  <c r="L642" i="8" s="1"/>
  <c r="K642" i="8" a="1"/>
  <c r="K642" i="8" s="1"/>
  <c r="J642" i="8" a="1"/>
  <c r="J642" i="8" s="1"/>
  <c r="I642" i="8" a="1"/>
  <c r="I642" i="8" s="1"/>
  <c r="H642" i="8" a="1"/>
  <c r="H642" i="8" s="1"/>
  <c r="G642" i="8" a="1"/>
  <c r="G642" i="8" s="1"/>
  <c r="F642" i="8" a="1"/>
  <c r="F642" i="8" s="1"/>
  <c r="E642" i="8" a="1"/>
  <c r="E642" i="8" s="1"/>
  <c r="AB641" i="8" a="1"/>
  <c r="AB641" i="8" s="1"/>
  <c r="AA641" i="8" a="1"/>
  <c r="AA641" i="8" s="1"/>
  <c r="Z641" i="8" a="1"/>
  <c r="Z641" i="8" s="1"/>
  <c r="Y641" i="8" a="1"/>
  <c r="Y641" i="8" s="1"/>
  <c r="X641" i="8" a="1"/>
  <c r="X641" i="8" s="1"/>
  <c r="W641" i="8" a="1"/>
  <c r="W641" i="8" s="1"/>
  <c r="V641" i="8" a="1"/>
  <c r="V641" i="8" s="1"/>
  <c r="U641" i="8" a="1"/>
  <c r="U641" i="8" s="1"/>
  <c r="T641" i="8" a="1"/>
  <c r="T641" i="8" s="1"/>
  <c r="S641" i="8" a="1"/>
  <c r="S641" i="8" s="1"/>
  <c r="R641" i="8" a="1"/>
  <c r="R641" i="8" s="1"/>
  <c r="Q641" i="8" a="1"/>
  <c r="Q641" i="8" s="1"/>
  <c r="P641" i="8" a="1"/>
  <c r="P641" i="8" s="1"/>
  <c r="O641" i="8" a="1"/>
  <c r="O641" i="8" s="1"/>
  <c r="N641" i="8" a="1"/>
  <c r="N641" i="8" s="1"/>
  <c r="M641" i="8" a="1"/>
  <c r="M641" i="8" s="1"/>
  <c r="L641" i="8" a="1"/>
  <c r="L641" i="8" s="1"/>
  <c r="K641" i="8" a="1"/>
  <c r="K641" i="8" s="1"/>
  <c r="J641" i="8" a="1"/>
  <c r="J641" i="8" s="1"/>
  <c r="I641" i="8" a="1"/>
  <c r="I641" i="8" s="1"/>
  <c r="H641" i="8" a="1"/>
  <c r="H641" i="8" s="1"/>
  <c r="G641" i="8" a="1"/>
  <c r="G641" i="8" s="1"/>
  <c r="F641" i="8" a="1"/>
  <c r="F641" i="8" s="1"/>
  <c r="E641" i="8" a="1"/>
  <c r="E641" i="8" s="1"/>
  <c r="AB640" i="8" a="1"/>
  <c r="AB640" i="8" s="1"/>
  <c r="AA640" i="8" a="1"/>
  <c r="AA640" i="8" s="1"/>
  <c r="Z640" i="8" a="1"/>
  <c r="Z640" i="8" s="1"/>
  <c r="Y640" i="8" a="1"/>
  <c r="Y640" i="8" s="1"/>
  <c r="X640" i="8" a="1"/>
  <c r="X640" i="8" s="1"/>
  <c r="W640" i="8" a="1"/>
  <c r="W640" i="8" s="1"/>
  <c r="V640" i="8" a="1"/>
  <c r="V640" i="8" s="1"/>
  <c r="U640" i="8" a="1"/>
  <c r="U640" i="8" s="1"/>
  <c r="T640" i="8" a="1"/>
  <c r="T640" i="8" s="1"/>
  <c r="S640" i="8" a="1"/>
  <c r="S640" i="8" s="1"/>
  <c r="R640" i="8" a="1"/>
  <c r="R640" i="8" s="1"/>
  <c r="Q640" i="8" a="1"/>
  <c r="Q640" i="8" s="1"/>
  <c r="P640" i="8" a="1"/>
  <c r="P640" i="8" s="1"/>
  <c r="O640" i="8" a="1"/>
  <c r="O640" i="8" s="1"/>
  <c r="N640" i="8" a="1"/>
  <c r="N640" i="8" s="1"/>
  <c r="M640" i="8" a="1"/>
  <c r="M640" i="8" s="1"/>
  <c r="L640" i="8" a="1"/>
  <c r="L640" i="8" s="1"/>
  <c r="K640" i="8" a="1"/>
  <c r="K640" i="8" s="1"/>
  <c r="J640" i="8" a="1"/>
  <c r="J640" i="8" s="1"/>
  <c r="I640" i="8" a="1"/>
  <c r="I640" i="8" s="1"/>
  <c r="H640" i="8" a="1"/>
  <c r="H640" i="8" s="1"/>
  <c r="G640" i="8" a="1"/>
  <c r="G640" i="8" s="1"/>
  <c r="F640" i="8" a="1"/>
  <c r="F640" i="8" s="1"/>
  <c r="E640" i="8" a="1"/>
  <c r="E640" i="8" s="1"/>
  <c r="AB639" i="8" a="1"/>
  <c r="AB639" i="8" s="1"/>
  <c r="AA639" i="8" a="1"/>
  <c r="AA639" i="8" s="1"/>
  <c r="Z639" i="8" a="1"/>
  <c r="Z639" i="8" s="1"/>
  <c r="Y639" i="8" a="1"/>
  <c r="Y639" i="8" s="1"/>
  <c r="X639" i="8" a="1"/>
  <c r="X639" i="8" s="1"/>
  <c r="W639" i="8" a="1"/>
  <c r="W639" i="8" s="1"/>
  <c r="V639" i="8" a="1"/>
  <c r="V639" i="8" s="1"/>
  <c r="U639" i="8" a="1"/>
  <c r="U639" i="8" s="1"/>
  <c r="T639" i="8" a="1"/>
  <c r="T639" i="8" s="1"/>
  <c r="S639" i="8" a="1"/>
  <c r="S639" i="8" s="1"/>
  <c r="R639" i="8" a="1"/>
  <c r="R639" i="8" s="1"/>
  <c r="Q639" i="8" a="1"/>
  <c r="Q639" i="8" s="1"/>
  <c r="P639" i="8" a="1"/>
  <c r="P639" i="8" s="1"/>
  <c r="O639" i="8" a="1"/>
  <c r="O639" i="8" s="1"/>
  <c r="N639" i="8" a="1"/>
  <c r="N639" i="8" s="1"/>
  <c r="M639" i="8" a="1"/>
  <c r="M639" i="8" s="1"/>
  <c r="L639" i="8" a="1"/>
  <c r="L639" i="8" s="1"/>
  <c r="K639" i="8" a="1"/>
  <c r="K639" i="8" s="1"/>
  <c r="J639" i="8" a="1"/>
  <c r="J639" i="8" s="1"/>
  <c r="I639" i="8" a="1"/>
  <c r="I639" i="8" s="1"/>
  <c r="H639" i="8" a="1"/>
  <c r="H639" i="8" s="1"/>
  <c r="G639" i="8" a="1"/>
  <c r="G639" i="8" s="1"/>
  <c r="F639" i="8" a="1"/>
  <c r="F639" i="8" s="1"/>
  <c r="E639" i="8" a="1"/>
  <c r="E639" i="8" s="1"/>
  <c r="AB638" i="8" a="1"/>
  <c r="AB638" i="8" s="1"/>
  <c r="AA638" i="8" a="1"/>
  <c r="AA638" i="8" s="1"/>
  <c r="Z638" i="8" a="1"/>
  <c r="Z638" i="8" s="1"/>
  <c r="Y638" i="8" a="1"/>
  <c r="Y638" i="8" s="1"/>
  <c r="X638" i="8" a="1"/>
  <c r="X638" i="8" s="1"/>
  <c r="W638" i="8" a="1"/>
  <c r="W638" i="8" s="1"/>
  <c r="V638" i="8" a="1"/>
  <c r="V638" i="8" s="1"/>
  <c r="U638" i="8" a="1"/>
  <c r="U638" i="8" s="1"/>
  <c r="T638" i="8" a="1"/>
  <c r="T638" i="8" s="1"/>
  <c r="S638" i="8" a="1"/>
  <c r="S638" i="8" s="1"/>
  <c r="R638" i="8" a="1"/>
  <c r="R638" i="8" s="1"/>
  <c r="Q638" i="8" a="1"/>
  <c r="Q638" i="8" s="1"/>
  <c r="P638" i="8" a="1"/>
  <c r="P638" i="8" s="1"/>
  <c r="O638" i="8" a="1"/>
  <c r="O638" i="8" s="1"/>
  <c r="N638" i="8" a="1"/>
  <c r="N638" i="8" s="1"/>
  <c r="M638" i="8" a="1"/>
  <c r="M638" i="8" s="1"/>
  <c r="L638" i="8" a="1"/>
  <c r="L638" i="8" s="1"/>
  <c r="K638" i="8" a="1"/>
  <c r="K638" i="8" s="1"/>
  <c r="J638" i="8" a="1"/>
  <c r="J638" i="8" s="1"/>
  <c r="I638" i="8" a="1"/>
  <c r="I638" i="8" s="1"/>
  <c r="H638" i="8" a="1"/>
  <c r="H638" i="8" s="1"/>
  <c r="G638" i="8" a="1"/>
  <c r="G638" i="8" s="1"/>
  <c r="F638" i="8" a="1"/>
  <c r="F638" i="8" s="1"/>
  <c r="E638" i="8" a="1"/>
  <c r="E638" i="8" s="1"/>
  <c r="AB637" i="8" a="1"/>
  <c r="AB637" i="8" s="1"/>
  <c r="AA637" i="8" a="1"/>
  <c r="AA637" i="8" s="1"/>
  <c r="Z637" i="8" a="1"/>
  <c r="Z637" i="8" s="1"/>
  <c r="Y637" i="8" a="1"/>
  <c r="Y637" i="8" s="1"/>
  <c r="X637" i="8" a="1"/>
  <c r="X637" i="8" s="1"/>
  <c r="W637" i="8" a="1"/>
  <c r="W637" i="8" s="1"/>
  <c r="V637" i="8" a="1"/>
  <c r="V637" i="8" s="1"/>
  <c r="U637" i="8" a="1"/>
  <c r="U637" i="8" s="1"/>
  <c r="T637" i="8" a="1"/>
  <c r="T637" i="8" s="1"/>
  <c r="S637" i="8" a="1"/>
  <c r="S637" i="8" s="1"/>
  <c r="R637" i="8" a="1"/>
  <c r="R637" i="8" s="1"/>
  <c r="Q637" i="8" a="1"/>
  <c r="Q637" i="8" s="1"/>
  <c r="P637" i="8" a="1"/>
  <c r="P637" i="8" s="1"/>
  <c r="O637" i="8" a="1"/>
  <c r="O637" i="8" s="1"/>
  <c r="N637" i="8" a="1"/>
  <c r="N637" i="8" s="1"/>
  <c r="M637" i="8" a="1"/>
  <c r="M637" i="8" s="1"/>
  <c r="L637" i="8" a="1"/>
  <c r="L637" i="8" s="1"/>
  <c r="K637" i="8" a="1"/>
  <c r="K637" i="8" s="1"/>
  <c r="J637" i="8" a="1"/>
  <c r="J637" i="8" s="1"/>
  <c r="I637" i="8" a="1"/>
  <c r="I637" i="8" s="1"/>
  <c r="H637" i="8" a="1"/>
  <c r="H637" i="8" s="1"/>
  <c r="G637" i="8" a="1"/>
  <c r="G637" i="8" s="1"/>
  <c r="F637" i="8" a="1"/>
  <c r="F637" i="8" s="1"/>
  <c r="E637" i="8" a="1"/>
  <c r="E637" i="8" s="1"/>
  <c r="AB636" i="8" a="1"/>
  <c r="AB636" i="8" s="1"/>
  <c r="AA636" i="8" a="1"/>
  <c r="AA636" i="8" s="1"/>
  <c r="Z636" i="8" a="1"/>
  <c r="Z636" i="8" s="1"/>
  <c r="Y636" i="8" a="1"/>
  <c r="Y636" i="8" s="1"/>
  <c r="X636" i="8" a="1"/>
  <c r="X636" i="8" s="1"/>
  <c r="W636" i="8" a="1"/>
  <c r="W636" i="8" s="1"/>
  <c r="V636" i="8" a="1"/>
  <c r="V636" i="8" s="1"/>
  <c r="U636" i="8" a="1"/>
  <c r="U636" i="8" s="1"/>
  <c r="T636" i="8" a="1"/>
  <c r="T636" i="8" s="1"/>
  <c r="S636" i="8" a="1"/>
  <c r="S636" i="8" s="1"/>
  <c r="R636" i="8" a="1"/>
  <c r="R636" i="8" s="1"/>
  <c r="Q636" i="8" a="1"/>
  <c r="Q636" i="8" s="1"/>
  <c r="P636" i="8" a="1"/>
  <c r="P636" i="8" s="1"/>
  <c r="O636" i="8" a="1"/>
  <c r="O636" i="8" s="1"/>
  <c r="N636" i="8" a="1"/>
  <c r="N636" i="8" s="1"/>
  <c r="M636" i="8" a="1"/>
  <c r="M636" i="8" s="1"/>
  <c r="L636" i="8" a="1"/>
  <c r="L636" i="8" s="1"/>
  <c r="K636" i="8" a="1"/>
  <c r="K636" i="8" s="1"/>
  <c r="J636" i="8" a="1"/>
  <c r="J636" i="8" s="1"/>
  <c r="I636" i="8" a="1"/>
  <c r="I636" i="8" s="1"/>
  <c r="H636" i="8" a="1"/>
  <c r="H636" i="8" s="1"/>
  <c r="G636" i="8" a="1"/>
  <c r="G636" i="8" s="1"/>
  <c r="F636" i="8" a="1"/>
  <c r="F636" i="8" s="1"/>
  <c r="E636" i="8" a="1"/>
  <c r="E636" i="8" s="1"/>
  <c r="AB635" i="8" a="1"/>
  <c r="AB635" i="8" s="1"/>
  <c r="AA635" i="8" a="1"/>
  <c r="AA635" i="8" s="1"/>
  <c r="Z635" i="8" a="1"/>
  <c r="Z635" i="8" s="1"/>
  <c r="Y635" i="8" a="1"/>
  <c r="Y635" i="8" s="1"/>
  <c r="X635" i="8" a="1"/>
  <c r="X635" i="8" s="1"/>
  <c r="W635" i="8" a="1"/>
  <c r="W635" i="8" s="1"/>
  <c r="V635" i="8" a="1"/>
  <c r="V635" i="8" s="1"/>
  <c r="U635" i="8" a="1"/>
  <c r="U635" i="8" s="1"/>
  <c r="T635" i="8" a="1"/>
  <c r="T635" i="8" s="1"/>
  <c r="S635" i="8" a="1"/>
  <c r="S635" i="8" s="1"/>
  <c r="R635" i="8" a="1"/>
  <c r="R635" i="8" s="1"/>
  <c r="Q635" i="8" a="1"/>
  <c r="Q635" i="8" s="1"/>
  <c r="P635" i="8" a="1"/>
  <c r="P635" i="8" s="1"/>
  <c r="O635" i="8" a="1"/>
  <c r="O635" i="8" s="1"/>
  <c r="N635" i="8" a="1"/>
  <c r="N635" i="8" s="1"/>
  <c r="M635" i="8" a="1"/>
  <c r="M635" i="8" s="1"/>
  <c r="L635" i="8" a="1"/>
  <c r="L635" i="8" s="1"/>
  <c r="K635" i="8" a="1"/>
  <c r="K635" i="8" s="1"/>
  <c r="J635" i="8" a="1"/>
  <c r="J635" i="8" s="1"/>
  <c r="I635" i="8" a="1"/>
  <c r="I635" i="8" s="1"/>
  <c r="H635" i="8" a="1"/>
  <c r="H635" i="8" s="1"/>
  <c r="G635" i="8" a="1"/>
  <c r="G635" i="8" s="1"/>
  <c r="F635" i="8" a="1"/>
  <c r="F635" i="8" s="1"/>
  <c r="E635" i="8" a="1"/>
  <c r="E635" i="8" s="1"/>
  <c r="AB634" i="8" a="1"/>
  <c r="AB634" i="8" s="1"/>
  <c r="AA634" i="8" a="1"/>
  <c r="AA634" i="8" s="1"/>
  <c r="Z634" i="8" a="1"/>
  <c r="Z634" i="8" s="1"/>
  <c r="Y634" i="8" a="1"/>
  <c r="Y634" i="8" s="1"/>
  <c r="X634" i="8" a="1"/>
  <c r="X634" i="8" s="1"/>
  <c r="W634" i="8" a="1"/>
  <c r="W634" i="8" s="1"/>
  <c r="V634" i="8" a="1"/>
  <c r="V634" i="8" s="1"/>
  <c r="U634" i="8" a="1"/>
  <c r="U634" i="8" s="1"/>
  <c r="T634" i="8" a="1"/>
  <c r="T634" i="8" s="1"/>
  <c r="S634" i="8" a="1"/>
  <c r="S634" i="8" s="1"/>
  <c r="R634" i="8" a="1"/>
  <c r="R634" i="8" s="1"/>
  <c r="Q634" i="8" a="1"/>
  <c r="Q634" i="8" s="1"/>
  <c r="P634" i="8" a="1"/>
  <c r="P634" i="8" s="1"/>
  <c r="O634" i="8" a="1"/>
  <c r="O634" i="8" s="1"/>
  <c r="N634" i="8" a="1"/>
  <c r="N634" i="8" s="1"/>
  <c r="M634" i="8" a="1"/>
  <c r="M634" i="8" s="1"/>
  <c r="L634" i="8" a="1"/>
  <c r="L634" i="8" s="1"/>
  <c r="K634" i="8" a="1"/>
  <c r="K634" i="8" s="1"/>
  <c r="J634" i="8" a="1"/>
  <c r="J634" i="8" s="1"/>
  <c r="I634" i="8" a="1"/>
  <c r="I634" i="8" s="1"/>
  <c r="H634" i="8" a="1"/>
  <c r="H634" i="8" s="1"/>
  <c r="G634" i="8" a="1"/>
  <c r="G634" i="8" s="1"/>
  <c r="F634" i="8" a="1"/>
  <c r="F634" i="8" s="1"/>
  <c r="E634" i="8" a="1"/>
  <c r="E634" i="8" s="1"/>
  <c r="AB633" i="8" a="1"/>
  <c r="AB633" i="8" s="1"/>
  <c r="AA633" i="8" a="1"/>
  <c r="AA633" i="8" s="1"/>
  <c r="Z633" i="8" a="1"/>
  <c r="Z633" i="8" s="1"/>
  <c r="Y633" i="8" a="1"/>
  <c r="Y633" i="8" s="1"/>
  <c r="X633" i="8" a="1"/>
  <c r="X633" i="8" s="1"/>
  <c r="W633" i="8" a="1"/>
  <c r="W633" i="8" s="1"/>
  <c r="V633" i="8" a="1"/>
  <c r="V633" i="8" s="1"/>
  <c r="U633" i="8" a="1"/>
  <c r="U633" i="8" s="1"/>
  <c r="T633" i="8" a="1"/>
  <c r="T633" i="8" s="1"/>
  <c r="S633" i="8" a="1"/>
  <c r="S633" i="8" s="1"/>
  <c r="R633" i="8" a="1"/>
  <c r="R633" i="8" s="1"/>
  <c r="Q633" i="8" a="1"/>
  <c r="Q633" i="8" s="1"/>
  <c r="P633" i="8" a="1"/>
  <c r="P633" i="8" s="1"/>
  <c r="O633" i="8" a="1"/>
  <c r="O633" i="8" s="1"/>
  <c r="N633" i="8" a="1"/>
  <c r="N633" i="8" s="1"/>
  <c r="M633" i="8" a="1"/>
  <c r="M633" i="8" s="1"/>
  <c r="L633" i="8" a="1"/>
  <c r="L633" i="8" s="1"/>
  <c r="K633" i="8" a="1"/>
  <c r="K633" i="8" s="1"/>
  <c r="J633" i="8" a="1"/>
  <c r="J633" i="8" s="1"/>
  <c r="I633" i="8" a="1"/>
  <c r="I633" i="8" s="1"/>
  <c r="H633" i="8" a="1"/>
  <c r="H633" i="8" s="1"/>
  <c r="G633" i="8" a="1"/>
  <c r="G633" i="8" s="1"/>
  <c r="F633" i="8" a="1"/>
  <c r="F633" i="8" s="1"/>
  <c r="E633" i="8" a="1"/>
  <c r="E633" i="8" s="1"/>
  <c r="AB632" i="8" a="1"/>
  <c r="AB632" i="8" s="1"/>
  <c r="AA632" i="8" a="1"/>
  <c r="AA632" i="8" s="1"/>
  <c r="Z632" i="8" a="1"/>
  <c r="Z632" i="8" s="1"/>
  <c r="Y632" i="8" a="1"/>
  <c r="Y632" i="8" s="1"/>
  <c r="X632" i="8" a="1"/>
  <c r="X632" i="8" s="1"/>
  <c r="W632" i="8" a="1"/>
  <c r="W632" i="8" s="1"/>
  <c r="V632" i="8" a="1"/>
  <c r="V632" i="8" s="1"/>
  <c r="U632" i="8" a="1"/>
  <c r="U632" i="8" s="1"/>
  <c r="T632" i="8" a="1"/>
  <c r="T632" i="8" s="1"/>
  <c r="S632" i="8" a="1"/>
  <c r="S632" i="8" s="1"/>
  <c r="R632" i="8" a="1"/>
  <c r="R632" i="8" s="1"/>
  <c r="Q632" i="8" a="1"/>
  <c r="Q632" i="8" s="1"/>
  <c r="P632" i="8" a="1"/>
  <c r="P632" i="8" s="1"/>
  <c r="O632" i="8" a="1"/>
  <c r="O632" i="8" s="1"/>
  <c r="N632" i="8" a="1"/>
  <c r="N632" i="8" s="1"/>
  <c r="M632" i="8" a="1"/>
  <c r="M632" i="8" s="1"/>
  <c r="L632" i="8" a="1"/>
  <c r="L632" i="8" s="1"/>
  <c r="K632" i="8" a="1"/>
  <c r="K632" i="8" s="1"/>
  <c r="J632" i="8" a="1"/>
  <c r="J632" i="8" s="1"/>
  <c r="I632" i="8" a="1"/>
  <c r="I632" i="8" s="1"/>
  <c r="H632" i="8" a="1"/>
  <c r="H632" i="8" s="1"/>
  <c r="G632" i="8" a="1"/>
  <c r="G632" i="8" s="1"/>
  <c r="F632" i="8" a="1"/>
  <c r="F632" i="8" s="1"/>
  <c r="E632" i="8" a="1"/>
  <c r="E632" i="8" s="1"/>
  <c r="AB631" i="8" a="1"/>
  <c r="AB631" i="8" s="1"/>
  <c r="AA631" i="8" a="1"/>
  <c r="AA631" i="8" s="1"/>
  <c r="Z631" i="8" a="1"/>
  <c r="Z631" i="8" s="1"/>
  <c r="Y631" i="8" a="1"/>
  <c r="Y631" i="8" s="1"/>
  <c r="X631" i="8" a="1"/>
  <c r="X631" i="8" s="1"/>
  <c r="W631" i="8" a="1"/>
  <c r="W631" i="8" s="1"/>
  <c r="V631" i="8" a="1"/>
  <c r="V631" i="8" s="1"/>
  <c r="U631" i="8" a="1"/>
  <c r="U631" i="8" s="1"/>
  <c r="T631" i="8" a="1"/>
  <c r="T631" i="8" s="1"/>
  <c r="S631" i="8" a="1"/>
  <c r="S631" i="8" s="1"/>
  <c r="R631" i="8" a="1"/>
  <c r="R631" i="8" s="1"/>
  <c r="Q631" i="8" a="1"/>
  <c r="Q631" i="8" s="1"/>
  <c r="P631" i="8" a="1"/>
  <c r="P631" i="8" s="1"/>
  <c r="O631" i="8" a="1"/>
  <c r="O631" i="8" s="1"/>
  <c r="N631" i="8" a="1"/>
  <c r="N631" i="8" s="1"/>
  <c r="M631" i="8" a="1"/>
  <c r="M631" i="8" s="1"/>
  <c r="L631" i="8" a="1"/>
  <c r="L631" i="8" s="1"/>
  <c r="K631" i="8" a="1"/>
  <c r="K631" i="8" s="1"/>
  <c r="J631" i="8" a="1"/>
  <c r="J631" i="8" s="1"/>
  <c r="I631" i="8" a="1"/>
  <c r="I631" i="8" s="1"/>
  <c r="H631" i="8" a="1"/>
  <c r="H631" i="8" s="1"/>
  <c r="G631" i="8" a="1"/>
  <c r="G631" i="8" s="1"/>
  <c r="F631" i="8" a="1"/>
  <c r="F631" i="8" s="1"/>
  <c r="E631" i="8" a="1"/>
  <c r="E631" i="8" s="1"/>
  <c r="AB630" i="8" a="1"/>
  <c r="AB630" i="8" s="1"/>
  <c r="AA630" i="8" a="1"/>
  <c r="AA630" i="8" s="1"/>
  <c r="Z630" i="8" a="1"/>
  <c r="Z630" i="8" s="1"/>
  <c r="Y630" i="8" a="1"/>
  <c r="Y630" i="8" s="1"/>
  <c r="X630" i="8" a="1"/>
  <c r="X630" i="8" s="1"/>
  <c r="W630" i="8" a="1"/>
  <c r="W630" i="8" s="1"/>
  <c r="V630" i="8" a="1"/>
  <c r="V630" i="8" s="1"/>
  <c r="U630" i="8" a="1"/>
  <c r="U630" i="8" s="1"/>
  <c r="T630" i="8" a="1"/>
  <c r="T630" i="8" s="1"/>
  <c r="S630" i="8" a="1"/>
  <c r="S630" i="8" s="1"/>
  <c r="R630" i="8" a="1"/>
  <c r="R630" i="8" s="1"/>
  <c r="Q630" i="8" a="1"/>
  <c r="Q630" i="8" s="1"/>
  <c r="P630" i="8" a="1"/>
  <c r="P630" i="8" s="1"/>
  <c r="O630" i="8" a="1"/>
  <c r="O630" i="8" s="1"/>
  <c r="N630" i="8" a="1"/>
  <c r="N630" i="8" s="1"/>
  <c r="M630" i="8" a="1"/>
  <c r="M630" i="8" s="1"/>
  <c r="L630" i="8" a="1"/>
  <c r="L630" i="8" s="1"/>
  <c r="K630" i="8" a="1"/>
  <c r="K630" i="8" s="1"/>
  <c r="J630" i="8" a="1"/>
  <c r="J630" i="8" s="1"/>
  <c r="I630" i="8" a="1"/>
  <c r="I630" i="8" s="1"/>
  <c r="H630" i="8" a="1"/>
  <c r="H630" i="8" s="1"/>
  <c r="G630" i="8" a="1"/>
  <c r="G630" i="8" s="1"/>
  <c r="F630" i="8" a="1"/>
  <c r="F630" i="8" s="1"/>
  <c r="E630" i="8" a="1"/>
  <c r="E630" i="8" s="1"/>
  <c r="AB629" i="8" a="1"/>
  <c r="AB629" i="8" s="1"/>
  <c r="AA629" i="8" a="1"/>
  <c r="AA629" i="8" s="1"/>
  <c r="Z629" i="8" a="1"/>
  <c r="Z629" i="8" s="1"/>
  <c r="Y629" i="8" a="1"/>
  <c r="Y629" i="8" s="1"/>
  <c r="X629" i="8" a="1"/>
  <c r="X629" i="8" s="1"/>
  <c r="W629" i="8" a="1"/>
  <c r="W629" i="8" s="1"/>
  <c r="V629" i="8" a="1"/>
  <c r="V629" i="8" s="1"/>
  <c r="U629" i="8" a="1"/>
  <c r="U629" i="8" s="1"/>
  <c r="T629" i="8" a="1"/>
  <c r="T629" i="8" s="1"/>
  <c r="S629" i="8" a="1"/>
  <c r="S629" i="8" s="1"/>
  <c r="R629" i="8" a="1"/>
  <c r="R629" i="8" s="1"/>
  <c r="Q629" i="8" a="1"/>
  <c r="Q629" i="8" s="1"/>
  <c r="P629" i="8" a="1"/>
  <c r="P629" i="8" s="1"/>
  <c r="O629" i="8" a="1"/>
  <c r="O629" i="8" s="1"/>
  <c r="N629" i="8" a="1"/>
  <c r="N629" i="8" s="1"/>
  <c r="M629" i="8" a="1"/>
  <c r="M629" i="8" s="1"/>
  <c r="L629" i="8" a="1"/>
  <c r="L629" i="8" s="1"/>
  <c r="K629" i="8" a="1"/>
  <c r="K629" i="8" s="1"/>
  <c r="J629" i="8" a="1"/>
  <c r="J629" i="8" s="1"/>
  <c r="I629" i="8" a="1"/>
  <c r="I629" i="8" s="1"/>
  <c r="H629" i="8" a="1"/>
  <c r="H629" i="8" s="1"/>
  <c r="G629" i="8" a="1"/>
  <c r="G629" i="8" s="1"/>
  <c r="F629" i="8" a="1"/>
  <c r="F629" i="8" s="1"/>
  <c r="E629" i="8" a="1"/>
  <c r="E629" i="8" s="1"/>
  <c r="AB628" i="8" a="1"/>
  <c r="AB628" i="8" s="1"/>
  <c r="AA628" i="8" a="1"/>
  <c r="AA628" i="8" s="1"/>
  <c r="Z628" i="8" a="1"/>
  <c r="Z628" i="8" s="1"/>
  <c r="Y628" i="8" a="1"/>
  <c r="Y628" i="8" s="1"/>
  <c r="X628" i="8" a="1"/>
  <c r="X628" i="8" s="1"/>
  <c r="W628" i="8" a="1"/>
  <c r="W628" i="8" s="1"/>
  <c r="V628" i="8" a="1"/>
  <c r="V628" i="8" s="1"/>
  <c r="U628" i="8" a="1"/>
  <c r="U628" i="8" s="1"/>
  <c r="T628" i="8" a="1"/>
  <c r="T628" i="8" s="1"/>
  <c r="S628" i="8" a="1"/>
  <c r="S628" i="8" s="1"/>
  <c r="R628" i="8" a="1"/>
  <c r="R628" i="8" s="1"/>
  <c r="Q628" i="8" a="1"/>
  <c r="Q628" i="8" s="1"/>
  <c r="P628" i="8" a="1"/>
  <c r="P628" i="8" s="1"/>
  <c r="O628" i="8" a="1"/>
  <c r="O628" i="8" s="1"/>
  <c r="N628" i="8" a="1"/>
  <c r="N628" i="8" s="1"/>
  <c r="M628" i="8" a="1"/>
  <c r="M628" i="8" s="1"/>
  <c r="L628" i="8" a="1"/>
  <c r="L628" i="8" s="1"/>
  <c r="K628" i="8" a="1"/>
  <c r="K628" i="8" s="1"/>
  <c r="J628" i="8" a="1"/>
  <c r="J628" i="8" s="1"/>
  <c r="I628" i="8" a="1"/>
  <c r="I628" i="8" s="1"/>
  <c r="H628" i="8" a="1"/>
  <c r="H628" i="8" s="1"/>
  <c r="G628" i="8" a="1"/>
  <c r="G628" i="8" s="1"/>
  <c r="F628" i="8" a="1"/>
  <c r="F628" i="8" s="1"/>
  <c r="E628" i="8" a="1"/>
  <c r="E628" i="8" s="1"/>
  <c r="AB627" i="8" a="1"/>
  <c r="AB627" i="8" s="1"/>
  <c r="AA627" i="8" a="1"/>
  <c r="AA627" i="8" s="1"/>
  <c r="Z627" i="8" a="1"/>
  <c r="Z627" i="8" s="1"/>
  <c r="Y627" i="8" a="1"/>
  <c r="Y627" i="8" s="1"/>
  <c r="X627" i="8" a="1"/>
  <c r="X627" i="8" s="1"/>
  <c r="W627" i="8" a="1"/>
  <c r="W627" i="8" s="1"/>
  <c r="V627" i="8" a="1"/>
  <c r="V627" i="8" s="1"/>
  <c r="U627" i="8" a="1"/>
  <c r="U627" i="8" s="1"/>
  <c r="T627" i="8" a="1"/>
  <c r="T627" i="8" s="1"/>
  <c r="S627" i="8" a="1"/>
  <c r="S627" i="8" s="1"/>
  <c r="R627" i="8" a="1"/>
  <c r="R627" i="8" s="1"/>
  <c r="Q627" i="8" a="1"/>
  <c r="Q627" i="8" s="1"/>
  <c r="P627" i="8" a="1"/>
  <c r="P627" i="8" s="1"/>
  <c r="O627" i="8" a="1"/>
  <c r="O627" i="8" s="1"/>
  <c r="N627" i="8" a="1"/>
  <c r="N627" i="8" s="1"/>
  <c r="M627" i="8" a="1"/>
  <c r="M627" i="8" s="1"/>
  <c r="L627" i="8" a="1"/>
  <c r="L627" i="8" s="1"/>
  <c r="K627" i="8" a="1"/>
  <c r="K627" i="8" s="1"/>
  <c r="J627" i="8" a="1"/>
  <c r="J627" i="8" s="1"/>
  <c r="I627" i="8" a="1"/>
  <c r="I627" i="8" s="1"/>
  <c r="H627" i="8" a="1"/>
  <c r="H627" i="8" s="1"/>
  <c r="G627" i="8" a="1"/>
  <c r="G627" i="8" s="1"/>
  <c r="F627" i="8" a="1"/>
  <c r="F627" i="8" s="1"/>
  <c r="E627" i="8" a="1"/>
  <c r="E627" i="8" s="1"/>
  <c r="AB626" i="8" a="1"/>
  <c r="AB626" i="8" s="1"/>
  <c r="AA626" i="8" a="1"/>
  <c r="AA626" i="8" s="1"/>
  <c r="Z626" i="8" a="1"/>
  <c r="Z626" i="8" s="1"/>
  <c r="Y626" i="8" a="1"/>
  <c r="Y626" i="8" s="1"/>
  <c r="X626" i="8" a="1"/>
  <c r="X626" i="8" s="1"/>
  <c r="W626" i="8" a="1"/>
  <c r="W626" i="8" s="1"/>
  <c r="V626" i="8" a="1"/>
  <c r="V626" i="8" s="1"/>
  <c r="U626" i="8" a="1"/>
  <c r="U626" i="8" s="1"/>
  <c r="T626" i="8" a="1"/>
  <c r="T626" i="8" s="1"/>
  <c r="S626" i="8" a="1"/>
  <c r="S626" i="8" s="1"/>
  <c r="R626" i="8" a="1"/>
  <c r="R626" i="8" s="1"/>
  <c r="Q626" i="8" a="1"/>
  <c r="Q626" i="8" s="1"/>
  <c r="P626" i="8" a="1"/>
  <c r="P626" i="8" s="1"/>
  <c r="O626" i="8" a="1"/>
  <c r="O626" i="8" s="1"/>
  <c r="N626" i="8" a="1"/>
  <c r="N626" i="8" s="1"/>
  <c r="M626" i="8" a="1"/>
  <c r="M626" i="8" s="1"/>
  <c r="L626" i="8" a="1"/>
  <c r="L626" i="8" s="1"/>
  <c r="K626" i="8" a="1"/>
  <c r="K626" i="8" s="1"/>
  <c r="J626" i="8" a="1"/>
  <c r="J626" i="8" s="1"/>
  <c r="I626" i="8" a="1"/>
  <c r="I626" i="8" s="1"/>
  <c r="H626" i="8" a="1"/>
  <c r="H626" i="8" s="1"/>
  <c r="G626" i="8" a="1"/>
  <c r="G626" i="8" s="1"/>
  <c r="F626" i="8" a="1"/>
  <c r="F626" i="8" s="1"/>
  <c r="E626" i="8" a="1"/>
  <c r="E626" i="8" s="1"/>
  <c r="AB625" i="8" a="1"/>
  <c r="AB625" i="8" s="1"/>
  <c r="AA625" i="8" a="1"/>
  <c r="AA625" i="8" s="1"/>
  <c r="Z625" i="8" a="1"/>
  <c r="Z625" i="8" s="1"/>
  <c r="Y625" i="8" a="1"/>
  <c r="Y625" i="8" s="1"/>
  <c r="X625" i="8" a="1"/>
  <c r="X625" i="8" s="1"/>
  <c r="W625" i="8" a="1"/>
  <c r="W625" i="8" s="1"/>
  <c r="V625" i="8" a="1"/>
  <c r="V625" i="8" s="1"/>
  <c r="U625" i="8" a="1"/>
  <c r="U625" i="8" s="1"/>
  <c r="T625" i="8" a="1"/>
  <c r="T625" i="8" s="1"/>
  <c r="S625" i="8" a="1"/>
  <c r="S625" i="8" s="1"/>
  <c r="R625" i="8" a="1"/>
  <c r="R625" i="8" s="1"/>
  <c r="Q625" i="8" a="1"/>
  <c r="Q625" i="8" s="1"/>
  <c r="P625" i="8" a="1"/>
  <c r="P625" i="8" s="1"/>
  <c r="O625" i="8" a="1"/>
  <c r="O625" i="8" s="1"/>
  <c r="N625" i="8" a="1"/>
  <c r="N625" i="8" s="1"/>
  <c r="M625" i="8" a="1"/>
  <c r="M625" i="8" s="1"/>
  <c r="L625" i="8" a="1"/>
  <c r="L625" i="8" s="1"/>
  <c r="K625" i="8" a="1"/>
  <c r="K625" i="8" s="1"/>
  <c r="J625" i="8" a="1"/>
  <c r="J625" i="8" s="1"/>
  <c r="I625" i="8" a="1"/>
  <c r="I625" i="8" s="1"/>
  <c r="H625" i="8" a="1"/>
  <c r="H625" i="8" s="1"/>
  <c r="G625" i="8" a="1"/>
  <c r="G625" i="8" s="1"/>
  <c r="F625" i="8" a="1"/>
  <c r="F625" i="8" s="1"/>
  <c r="E625" i="8" a="1"/>
  <c r="E625" i="8" s="1"/>
  <c r="AB624" i="8" a="1"/>
  <c r="AB624" i="8" s="1"/>
  <c r="AA624" i="8" a="1"/>
  <c r="AA624" i="8" s="1"/>
  <c r="Z624" i="8" a="1"/>
  <c r="Z624" i="8" s="1"/>
  <c r="Y624" i="8" a="1"/>
  <c r="Y624" i="8" s="1"/>
  <c r="X624" i="8" a="1"/>
  <c r="X624" i="8" s="1"/>
  <c r="W624" i="8" a="1"/>
  <c r="W624" i="8" s="1"/>
  <c r="V624" i="8" a="1"/>
  <c r="V624" i="8" s="1"/>
  <c r="U624" i="8" a="1"/>
  <c r="U624" i="8" s="1"/>
  <c r="T624" i="8" a="1"/>
  <c r="T624" i="8" s="1"/>
  <c r="S624" i="8" a="1"/>
  <c r="S624" i="8" s="1"/>
  <c r="R624" i="8" a="1"/>
  <c r="R624" i="8" s="1"/>
  <c r="Q624" i="8" a="1"/>
  <c r="Q624" i="8" s="1"/>
  <c r="P624" i="8" a="1"/>
  <c r="P624" i="8" s="1"/>
  <c r="O624" i="8" a="1"/>
  <c r="O624" i="8" s="1"/>
  <c r="N624" i="8" a="1"/>
  <c r="N624" i="8" s="1"/>
  <c r="M624" i="8" a="1"/>
  <c r="M624" i="8" s="1"/>
  <c r="L624" i="8" a="1"/>
  <c r="L624" i="8" s="1"/>
  <c r="K624" i="8" a="1"/>
  <c r="K624" i="8" s="1"/>
  <c r="J624" i="8" a="1"/>
  <c r="J624" i="8" s="1"/>
  <c r="I624" i="8" a="1"/>
  <c r="I624" i="8" s="1"/>
  <c r="H624" i="8" a="1"/>
  <c r="H624" i="8" s="1"/>
  <c r="G624" i="8" a="1"/>
  <c r="G624" i="8" s="1"/>
  <c r="F624" i="8" a="1"/>
  <c r="F624" i="8" s="1"/>
  <c r="E624" i="8" a="1"/>
  <c r="E624" i="8" s="1"/>
  <c r="AB623" i="8" a="1"/>
  <c r="AB623" i="8" s="1"/>
  <c r="AA623" i="8" a="1"/>
  <c r="AA623" i="8" s="1"/>
  <c r="Z623" i="8" a="1"/>
  <c r="Z623" i="8" s="1"/>
  <c r="Y623" i="8" a="1"/>
  <c r="Y623" i="8" s="1"/>
  <c r="X623" i="8" a="1"/>
  <c r="X623" i="8" s="1"/>
  <c r="W623" i="8" a="1"/>
  <c r="W623" i="8" s="1"/>
  <c r="V623" i="8" a="1"/>
  <c r="V623" i="8" s="1"/>
  <c r="U623" i="8" a="1"/>
  <c r="U623" i="8" s="1"/>
  <c r="T623" i="8" a="1"/>
  <c r="T623" i="8" s="1"/>
  <c r="S623" i="8" a="1"/>
  <c r="S623" i="8" s="1"/>
  <c r="R623" i="8" a="1"/>
  <c r="R623" i="8" s="1"/>
  <c r="Q623" i="8" a="1"/>
  <c r="Q623" i="8" s="1"/>
  <c r="P623" i="8" a="1"/>
  <c r="P623" i="8" s="1"/>
  <c r="O623" i="8" a="1"/>
  <c r="O623" i="8" s="1"/>
  <c r="N623" i="8" a="1"/>
  <c r="N623" i="8" s="1"/>
  <c r="M623" i="8" a="1"/>
  <c r="M623" i="8" s="1"/>
  <c r="L623" i="8" a="1"/>
  <c r="L623" i="8" s="1"/>
  <c r="K623" i="8" a="1"/>
  <c r="K623" i="8" s="1"/>
  <c r="J623" i="8" a="1"/>
  <c r="J623" i="8" s="1"/>
  <c r="I623" i="8" a="1"/>
  <c r="I623" i="8" s="1"/>
  <c r="H623" i="8" a="1"/>
  <c r="H623" i="8" s="1"/>
  <c r="G623" i="8" a="1"/>
  <c r="G623" i="8" s="1"/>
  <c r="F623" i="8" a="1"/>
  <c r="F623" i="8" s="1"/>
  <c r="E623" i="8" a="1"/>
  <c r="E623" i="8" s="1"/>
  <c r="AB622" i="8" a="1"/>
  <c r="AB622" i="8" s="1"/>
  <c r="AA622" i="8" a="1"/>
  <c r="AA622" i="8" s="1"/>
  <c r="Z622" i="8" a="1"/>
  <c r="Z622" i="8" s="1"/>
  <c r="Y622" i="8" a="1"/>
  <c r="Y622" i="8" s="1"/>
  <c r="X622" i="8" a="1"/>
  <c r="X622" i="8" s="1"/>
  <c r="W622" i="8" a="1"/>
  <c r="W622" i="8" s="1"/>
  <c r="V622" i="8" a="1"/>
  <c r="V622" i="8" s="1"/>
  <c r="U622" i="8" a="1"/>
  <c r="U622" i="8" s="1"/>
  <c r="T622" i="8" a="1"/>
  <c r="T622" i="8" s="1"/>
  <c r="S622" i="8" a="1"/>
  <c r="S622" i="8" s="1"/>
  <c r="R622" i="8" a="1"/>
  <c r="R622" i="8" s="1"/>
  <c r="Q622" i="8" a="1"/>
  <c r="Q622" i="8" s="1"/>
  <c r="P622" i="8" a="1"/>
  <c r="P622" i="8" s="1"/>
  <c r="O622" i="8" a="1"/>
  <c r="O622" i="8" s="1"/>
  <c r="N622" i="8" a="1"/>
  <c r="N622" i="8" s="1"/>
  <c r="M622" i="8" a="1"/>
  <c r="M622" i="8" s="1"/>
  <c r="L622" i="8" a="1"/>
  <c r="L622" i="8" s="1"/>
  <c r="K622" i="8" a="1"/>
  <c r="K622" i="8" s="1"/>
  <c r="J622" i="8" a="1"/>
  <c r="J622" i="8" s="1"/>
  <c r="I622" i="8" a="1"/>
  <c r="I622" i="8" s="1"/>
  <c r="H622" i="8" a="1"/>
  <c r="H622" i="8" s="1"/>
  <c r="G622" i="8" a="1"/>
  <c r="G622" i="8" s="1"/>
  <c r="F622" i="8" a="1"/>
  <c r="F622" i="8" s="1"/>
  <c r="E622" i="8" a="1"/>
  <c r="E622" i="8" s="1"/>
  <c r="AB621" i="8" a="1"/>
  <c r="AB621" i="8" s="1"/>
  <c r="AA621" i="8" a="1"/>
  <c r="AA621" i="8" s="1"/>
  <c r="Z621" i="8" a="1"/>
  <c r="Z621" i="8" s="1"/>
  <c r="Y621" i="8" a="1"/>
  <c r="Y621" i="8" s="1"/>
  <c r="X621" i="8" a="1"/>
  <c r="X621" i="8" s="1"/>
  <c r="W621" i="8" a="1"/>
  <c r="W621" i="8" s="1"/>
  <c r="V621" i="8" a="1"/>
  <c r="V621" i="8" s="1"/>
  <c r="U621" i="8" a="1"/>
  <c r="U621" i="8" s="1"/>
  <c r="T621" i="8" a="1"/>
  <c r="T621" i="8" s="1"/>
  <c r="S621" i="8" a="1"/>
  <c r="S621" i="8" s="1"/>
  <c r="R621" i="8" a="1"/>
  <c r="R621" i="8" s="1"/>
  <c r="Q621" i="8" a="1"/>
  <c r="Q621" i="8" s="1"/>
  <c r="P621" i="8" a="1"/>
  <c r="P621" i="8" s="1"/>
  <c r="O621" i="8" a="1"/>
  <c r="O621" i="8" s="1"/>
  <c r="N621" i="8" a="1"/>
  <c r="N621" i="8" s="1"/>
  <c r="M621" i="8" a="1"/>
  <c r="M621" i="8" s="1"/>
  <c r="L621" i="8" a="1"/>
  <c r="L621" i="8" s="1"/>
  <c r="K621" i="8" a="1"/>
  <c r="K621" i="8" s="1"/>
  <c r="J621" i="8" a="1"/>
  <c r="J621" i="8" s="1"/>
  <c r="I621" i="8" a="1"/>
  <c r="I621" i="8" s="1"/>
  <c r="H621" i="8" a="1"/>
  <c r="H621" i="8" s="1"/>
  <c r="G621" i="8" a="1"/>
  <c r="G621" i="8" s="1"/>
  <c r="F621" i="8" a="1"/>
  <c r="F621" i="8" s="1"/>
  <c r="E621" i="8" a="1"/>
  <c r="E621" i="8" s="1"/>
  <c r="AB620" i="8" a="1"/>
  <c r="AB620" i="8" s="1"/>
  <c r="AA620" i="8" a="1"/>
  <c r="AA620" i="8" s="1"/>
  <c r="Z620" i="8" a="1"/>
  <c r="Z620" i="8" s="1"/>
  <c r="Y620" i="8" a="1"/>
  <c r="Y620" i="8" s="1"/>
  <c r="X620" i="8" a="1"/>
  <c r="X620" i="8" s="1"/>
  <c r="W620" i="8" a="1"/>
  <c r="W620" i="8" s="1"/>
  <c r="V620" i="8" a="1"/>
  <c r="V620" i="8" s="1"/>
  <c r="U620" i="8" a="1"/>
  <c r="U620" i="8" s="1"/>
  <c r="T620" i="8" a="1"/>
  <c r="T620" i="8" s="1"/>
  <c r="S620" i="8" a="1"/>
  <c r="S620" i="8" s="1"/>
  <c r="R620" i="8" a="1"/>
  <c r="R620" i="8" s="1"/>
  <c r="Q620" i="8" a="1"/>
  <c r="Q620" i="8" s="1"/>
  <c r="P620" i="8" a="1"/>
  <c r="P620" i="8" s="1"/>
  <c r="O620" i="8" a="1"/>
  <c r="O620" i="8" s="1"/>
  <c r="N620" i="8" a="1"/>
  <c r="N620" i="8" s="1"/>
  <c r="M620" i="8" a="1"/>
  <c r="M620" i="8" s="1"/>
  <c r="L620" i="8" a="1"/>
  <c r="L620" i="8" s="1"/>
  <c r="K620" i="8" a="1"/>
  <c r="K620" i="8" s="1"/>
  <c r="J620" i="8" a="1"/>
  <c r="J620" i="8" s="1"/>
  <c r="I620" i="8" a="1"/>
  <c r="I620" i="8" s="1"/>
  <c r="H620" i="8" a="1"/>
  <c r="H620" i="8" s="1"/>
  <c r="G620" i="8" a="1"/>
  <c r="G620" i="8" s="1"/>
  <c r="F620" i="8" a="1"/>
  <c r="F620" i="8" s="1"/>
  <c r="E620" i="8" a="1"/>
  <c r="E620" i="8" s="1"/>
  <c r="AB619" i="8" a="1"/>
  <c r="AB619" i="8" s="1"/>
  <c r="AA619" i="8" a="1"/>
  <c r="AA619" i="8" s="1"/>
  <c r="Z619" i="8" a="1"/>
  <c r="Z619" i="8" s="1"/>
  <c r="Y619" i="8" a="1"/>
  <c r="Y619" i="8" s="1"/>
  <c r="X619" i="8" a="1"/>
  <c r="X619" i="8" s="1"/>
  <c r="W619" i="8" a="1"/>
  <c r="W619" i="8" s="1"/>
  <c r="V619" i="8" a="1"/>
  <c r="V619" i="8" s="1"/>
  <c r="U619" i="8" a="1"/>
  <c r="U619" i="8" s="1"/>
  <c r="T619" i="8" a="1"/>
  <c r="T619" i="8" s="1"/>
  <c r="S619" i="8" a="1"/>
  <c r="S619" i="8" s="1"/>
  <c r="R619" i="8" a="1"/>
  <c r="R619" i="8" s="1"/>
  <c r="Q619" i="8" a="1"/>
  <c r="Q619" i="8" s="1"/>
  <c r="P619" i="8" a="1"/>
  <c r="P619" i="8" s="1"/>
  <c r="O619" i="8" a="1"/>
  <c r="O619" i="8" s="1"/>
  <c r="N619" i="8" a="1"/>
  <c r="N619" i="8" s="1"/>
  <c r="M619" i="8" a="1"/>
  <c r="M619" i="8" s="1"/>
  <c r="L619" i="8" a="1"/>
  <c r="L619" i="8" s="1"/>
  <c r="K619" i="8" a="1"/>
  <c r="K619" i="8" s="1"/>
  <c r="J619" i="8" a="1"/>
  <c r="J619" i="8" s="1"/>
  <c r="I619" i="8" a="1"/>
  <c r="I619" i="8" s="1"/>
  <c r="H619" i="8" a="1"/>
  <c r="H619" i="8" s="1"/>
  <c r="G619" i="8" a="1"/>
  <c r="G619" i="8" s="1"/>
  <c r="F619" i="8" a="1"/>
  <c r="F619" i="8" s="1"/>
  <c r="E619" i="8" a="1"/>
  <c r="E619" i="8" s="1"/>
  <c r="AB618" i="8" a="1"/>
  <c r="AB618" i="8" s="1"/>
  <c r="AA618" i="8" a="1"/>
  <c r="AA618" i="8" s="1"/>
  <c r="Z618" i="8" a="1"/>
  <c r="Z618" i="8" s="1"/>
  <c r="Y618" i="8" a="1"/>
  <c r="Y618" i="8" s="1"/>
  <c r="X618" i="8" a="1"/>
  <c r="X618" i="8" s="1"/>
  <c r="W618" i="8" a="1"/>
  <c r="W618" i="8" s="1"/>
  <c r="V618" i="8" a="1"/>
  <c r="V618" i="8" s="1"/>
  <c r="U618" i="8" a="1"/>
  <c r="U618" i="8" s="1"/>
  <c r="T618" i="8" a="1"/>
  <c r="T618" i="8" s="1"/>
  <c r="S618" i="8" a="1"/>
  <c r="S618" i="8" s="1"/>
  <c r="R618" i="8" a="1"/>
  <c r="R618" i="8" s="1"/>
  <c r="Q618" i="8" a="1"/>
  <c r="Q618" i="8" s="1"/>
  <c r="P618" i="8" a="1"/>
  <c r="P618" i="8" s="1"/>
  <c r="O618" i="8" a="1"/>
  <c r="O618" i="8" s="1"/>
  <c r="N618" i="8" a="1"/>
  <c r="N618" i="8" s="1"/>
  <c r="M618" i="8" a="1"/>
  <c r="M618" i="8" s="1"/>
  <c r="L618" i="8" a="1"/>
  <c r="L618" i="8" s="1"/>
  <c r="K618" i="8" a="1"/>
  <c r="K618" i="8" s="1"/>
  <c r="J618" i="8" a="1"/>
  <c r="J618" i="8" s="1"/>
  <c r="I618" i="8" a="1"/>
  <c r="I618" i="8" s="1"/>
  <c r="H618" i="8" a="1"/>
  <c r="H618" i="8" s="1"/>
  <c r="G618" i="8" a="1"/>
  <c r="G618" i="8" s="1"/>
  <c r="F618" i="8" a="1"/>
  <c r="F618" i="8" s="1"/>
  <c r="E618" i="8" a="1"/>
  <c r="E618" i="8" s="1"/>
  <c r="AB617" i="8" a="1"/>
  <c r="AB617" i="8" s="1"/>
  <c r="AA617" i="8" a="1"/>
  <c r="AA617" i="8" s="1"/>
  <c r="Z617" i="8" a="1"/>
  <c r="Z617" i="8" s="1"/>
  <c r="Y617" i="8" a="1"/>
  <c r="Y617" i="8" s="1"/>
  <c r="X617" i="8" a="1"/>
  <c r="X617" i="8" s="1"/>
  <c r="W617" i="8" a="1"/>
  <c r="W617" i="8" s="1"/>
  <c r="V617" i="8" a="1"/>
  <c r="V617" i="8" s="1"/>
  <c r="U617" i="8" a="1"/>
  <c r="U617" i="8" s="1"/>
  <c r="T617" i="8" a="1"/>
  <c r="T617" i="8" s="1"/>
  <c r="S617" i="8" a="1"/>
  <c r="S617" i="8" s="1"/>
  <c r="R617" i="8" a="1"/>
  <c r="R617" i="8" s="1"/>
  <c r="Q617" i="8" a="1"/>
  <c r="Q617" i="8" s="1"/>
  <c r="P617" i="8" a="1"/>
  <c r="P617" i="8" s="1"/>
  <c r="O617" i="8" a="1"/>
  <c r="O617" i="8" s="1"/>
  <c r="N617" i="8" a="1"/>
  <c r="N617" i="8" s="1"/>
  <c r="M617" i="8" a="1"/>
  <c r="M617" i="8" s="1"/>
  <c r="L617" i="8" a="1"/>
  <c r="L617" i="8" s="1"/>
  <c r="K617" i="8" a="1"/>
  <c r="K617" i="8" s="1"/>
  <c r="J617" i="8" a="1"/>
  <c r="J617" i="8" s="1"/>
  <c r="I617" i="8" a="1"/>
  <c r="I617" i="8" s="1"/>
  <c r="H617" i="8" a="1"/>
  <c r="H617" i="8" s="1"/>
  <c r="G617" i="8" a="1"/>
  <c r="G617" i="8" s="1"/>
  <c r="F617" i="8" a="1"/>
  <c r="F617" i="8" s="1"/>
  <c r="E617" i="8" a="1"/>
  <c r="E617" i="8" s="1"/>
  <c r="AB616" i="8" a="1"/>
  <c r="AB616" i="8" s="1"/>
  <c r="AA616" i="8" a="1"/>
  <c r="AA616" i="8" s="1"/>
  <c r="Z616" i="8" a="1"/>
  <c r="Z616" i="8" s="1"/>
  <c r="Y616" i="8" a="1"/>
  <c r="Y616" i="8" s="1"/>
  <c r="X616" i="8" a="1"/>
  <c r="X616" i="8" s="1"/>
  <c r="W616" i="8" a="1"/>
  <c r="W616" i="8" s="1"/>
  <c r="V616" i="8" a="1"/>
  <c r="V616" i="8" s="1"/>
  <c r="U616" i="8" a="1"/>
  <c r="U616" i="8" s="1"/>
  <c r="T616" i="8" a="1"/>
  <c r="T616" i="8" s="1"/>
  <c r="S616" i="8" a="1"/>
  <c r="S616" i="8" s="1"/>
  <c r="R616" i="8" a="1"/>
  <c r="R616" i="8" s="1"/>
  <c r="Q616" i="8" a="1"/>
  <c r="Q616" i="8" s="1"/>
  <c r="P616" i="8" a="1"/>
  <c r="P616" i="8" s="1"/>
  <c r="O616" i="8" a="1"/>
  <c r="O616" i="8" s="1"/>
  <c r="N616" i="8" a="1"/>
  <c r="N616" i="8" s="1"/>
  <c r="M616" i="8" a="1"/>
  <c r="M616" i="8" s="1"/>
  <c r="L616" i="8" a="1"/>
  <c r="L616" i="8" s="1"/>
  <c r="K616" i="8" a="1"/>
  <c r="K616" i="8" s="1"/>
  <c r="J616" i="8" a="1"/>
  <c r="J616" i="8" s="1"/>
  <c r="I616" i="8" a="1"/>
  <c r="I616" i="8" s="1"/>
  <c r="H616" i="8" a="1"/>
  <c r="H616" i="8" s="1"/>
  <c r="G616" i="8" a="1"/>
  <c r="G616" i="8" s="1"/>
  <c r="F616" i="8" a="1"/>
  <c r="F616" i="8" s="1"/>
  <c r="E616" i="8" a="1"/>
  <c r="E616" i="8" s="1"/>
  <c r="AB615" i="8" a="1"/>
  <c r="AB615" i="8" s="1"/>
  <c r="AA615" i="8" a="1"/>
  <c r="AA615" i="8" s="1"/>
  <c r="Z615" i="8" a="1"/>
  <c r="Z615" i="8" s="1"/>
  <c r="Y615" i="8" a="1"/>
  <c r="Y615" i="8" s="1"/>
  <c r="X615" i="8" a="1"/>
  <c r="X615" i="8" s="1"/>
  <c r="W615" i="8" a="1"/>
  <c r="W615" i="8" s="1"/>
  <c r="V615" i="8" a="1"/>
  <c r="V615" i="8" s="1"/>
  <c r="U615" i="8" a="1"/>
  <c r="U615" i="8" s="1"/>
  <c r="T615" i="8" a="1"/>
  <c r="T615" i="8" s="1"/>
  <c r="S615" i="8" a="1"/>
  <c r="S615" i="8" s="1"/>
  <c r="R615" i="8" a="1"/>
  <c r="R615" i="8" s="1"/>
  <c r="Q615" i="8" a="1"/>
  <c r="Q615" i="8" s="1"/>
  <c r="P615" i="8" a="1"/>
  <c r="P615" i="8" s="1"/>
  <c r="O615" i="8" a="1"/>
  <c r="O615" i="8" s="1"/>
  <c r="N615" i="8" a="1"/>
  <c r="N615" i="8" s="1"/>
  <c r="M615" i="8" a="1"/>
  <c r="M615" i="8" s="1"/>
  <c r="L615" i="8" a="1"/>
  <c r="L615" i="8" s="1"/>
  <c r="K615" i="8" a="1"/>
  <c r="K615" i="8" s="1"/>
  <c r="J615" i="8" a="1"/>
  <c r="J615" i="8" s="1"/>
  <c r="I615" i="8" a="1"/>
  <c r="I615" i="8" s="1"/>
  <c r="H615" i="8" a="1"/>
  <c r="H615" i="8" s="1"/>
  <c r="G615" i="8" a="1"/>
  <c r="G615" i="8" s="1"/>
  <c r="F615" i="8" a="1"/>
  <c r="F615" i="8" s="1"/>
  <c r="E615" i="8" a="1"/>
  <c r="E615" i="8" s="1"/>
  <c r="AB614" i="8" a="1"/>
  <c r="AB614" i="8" s="1"/>
  <c r="AA614" i="8" a="1"/>
  <c r="AA614" i="8" s="1"/>
  <c r="Z614" i="8" a="1"/>
  <c r="Z614" i="8" s="1"/>
  <c r="Y614" i="8" a="1"/>
  <c r="Y614" i="8" s="1"/>
  <c r="X614" i="8" a="1"/>
  <c r="X614" i="8" s="1"/>
  <c r="W614" i="8" a="1"/>
  <c r="W614" i="8" s="1"/>
  <c r="V614" i="8" a="1"/>
  <c r="V614" i="8" s="1"/>
  <c r="U614" i="8" a="1"/>
  <c r="U614" i="8" s="1"/>
  <c r="T614" i="8" a="1"/>
  <c r="T614" i="8" s="1"/>
  <c r="S614" i="8" a="1"/>
  <c r="S614" i="8" s="1"/>
  <c r="R614" i="8" a="1"/>
  <c r="R614" i="8" s="1"/>
  <c r="Q614" i="8" a="1"/>
  <c r="Q614" i="8" s="1"/>
  <c r="P614" i="8" a="1"/>
  <c r="P614" i="8" s="1"/>
  <c r="O614" i="8" a="1"/>
  <c r="O614" i="8" s="1"/>
  <c r="N614" i="8" a="1"/>
  <c r="N614" i="8" s="1"/>
  <c r="M614" i="8" a="1"/>
  <c r="M614" i="8" s="1"/>
  <c r="L614" i="8" a="1"/>
  <c r="L614" i="8" s="1"/>
  <c r="K614" i="8" a="1"/>
  <c r="K614" i="8" s="1"/>
  <c r="J614" i="8" a="1"/>
  <c r="J614" i="8" s="1"/>
  <c r="I614" i="8" a="1"/>
  <c r="I614" i="8" s="1"/>
  <c r="H614" i="8" a="1"/>
  <c r="H614" i="8" s="1"/>
  <c r="G614" i="8" a="1"/>
  <c r="G614" i="8" s="1"/>
  <c r="F614" i="8" a="1"/>
  <c r="F614" i="8" s="1"/>
  <c r="E614" i="8" a="1"/>
  <c r="E614" i="8" s="1"/>
  <c r="AB613" i="8" a="1"/>
  <c r="AB613" i="8" s="1"/>
  <c r="AA613" i="8" a="1"/>
  <c r="AA613" i="8" s="1"/>
  <c r="Z613" i="8" a="1"/>
  <c r="Z613" i="8" s="1"/>
  <c r="Y613" i="8" a="1"/>
  <c r="Y613" i="8" s="1"/>
  <c r="X613" i="8" a="1"/>
  <c r="X613" i="8" s="1"/>
  <c r="W613" i="8" a="1"/>
  <c r="W613" i="8" s="1"/>
  <c r="V613" i="8" a="1"/>
  <c r="V613" i="8" s="1"/>
  <c r="U613" i="8" a="1"/>
  <c r="U613" i="8" s="1"/>
  <c r="T613" i="8" a="1"/>
  <c r="T613" i="8" s="1"/>
  <c r="S613" i="8" a="1"/>
  <c r="S613" i="8" s="1"/>
  <c r="R613" i="8" a="1"/>
  <c r="R613" i="8" s="1"/>
  <c r="Q613" i="8" a="1"/>
  <c r="Q613" i="8" s="1"/>
  <c r="P613" i="8" a="1"/>
  <c r="P613" i="8" s="1"/>
  <c r="O613" i="8" a="1"/>
  <c r="O613" i="8" s="1"/>
  <c r="N613" i="8" a="1"/>
  <c r="N613" i="8" s="1"/>
  <c r="M613" i="8" a="1"/>
  <c r="M613" i="8" s="1"/>
  <c r="L613" i="8" a="1"/>
  <c r="L613" i="8" s="1"/>
  <c r="K613" i="8" a="1"/>
  <c r="K613" i="8" s="1"/>
  <c r="J613" i="8" a="1"/>
  <c r="J613" i="8" s="1"/>
  <c r="I613" i="8" a="1"/>
  <c r="I613" i="8" s="1"/>
  <c r="H613" i="8" a="1"/>
  <c r="H613" i="8" s="1"/>
  <c r="G613" i="8" a="1"/>
  <c r="G613" i="8" s="1"/>
  <c r="F613" i="8" a="1"/>
  <c r="F613" i="8" s="1"/>
  <c r="E613" i="8" a="1"/>
  <c r="E613" i="8" s="1"/>
  <c r="AB612" i="8" a="1"/>
  <c r="AB612" i="8" s="1"/>
  <c r="AA612" i="8" a="1"/>
  <c r="AA612" i="8" s="1"/>
  <c r="Z612" i="8" a="1"/>
  <c r="Z612" i="8" s="1"/>
  <c r="Y612" i="8" a="1"/>
  <c r="Y612" i="8" s="1"/>
  <c r="X612" i="8" a="1"/>
  <c r="X612" i="8" s="1"/>
  <c r="W612" i="8" a="1"/>
  <c r="W612" i="8" s="1"/>
  <c r="V612" i="8" a="1"/>
  <c r="V612" i="8" s="1"/>
  <c r="U612" i="8" a="1"/>
  <c r="U612" i="8" s="1"/>
  <c r="T612" i="8" a="1"/>
  <c r="T612" i="8" s="1"/>
  <c r="S612" i="8" a="1"/>
  <c r="S612" i="8" s="1"/>
  <c r="R612" i="8" a="1"/>
  <c r="R612" i="8" s="1"/>
  <c r="Q612" i="8" a="1"/>
  <c r="Q612" i="8" s="1"/>
  <c r="P612" i="8" a="1"/>
  <c r="P612" i="8" s="1"/>
  <c r="O612" i="8" a="1"/>
  <c r="O612" i="8" s="1"/>
  <c r="N612" i="8" a="1"/>
  <c r="N612" i="8" s="1"/>
  <c r="M612" i="8" a="1"/>
  <c r="M612" i="8" s="1"/>
  <c r="L612" i="8" a="1"/>
  <c r="L612" i="8" s="1"/>
  <c r="K612" i="8" a="1"/>
  <c r="K612" i="8" s="1"/>
  <c r="J612" i="8" a="1"/>
  <c r="J612" i="8" s="1"/>
  <c r="I612" i="8" a="1"/>
  <c r="I612" i="8" s="1"/>
  <c r="H612" i="8" a="1"/>
  <c r="H612" i="8" s="1"/>
  <c r="G612" i="8" a="1"/>
  <c r="G612" i="8" s="1"/>
  <c r="F612" i="8" a="1"/>
  <c r="F612" i="8" s="1"/>
  <c r="E612" i="8" a="1"/>
  <c r="E612" i="8" s="1"/>
  <c r="AB611" i="8" a="1"/>
  <c r="AB611" i="8" s="1"/>
  <c r="AA611" i="8" a="1"/>
  <c r="AA611" i="8" s="1"/>
  <c r="Z611" i="8" a="1"/>
  <c r="Z611" i="8" s="1"/>
  <c r="Y611" i="8" a="1"/>
  <c r="Y611" i="8" s="1"/>
  <c r="X611" i="8" a="1"/>
  <c r="X611" i="8" s="1"/>
  <c r="W611" i="8" a="1"/>
  <c r="W611" i="8" s="1"/>
  <c r="V611" i="8" a="1"/>
  <c r="V611" i="8" s="1"/>
  <c r="U611" i="8" a="1"/>
  <c r="U611" i="8" s="1"/>
  <c r="T611" i="8" a="1"/>
  <c r="T611" i="8" s="1"/>
  <c r="S611" i="8" a="1"/>
  <c r="S611" i="8" s="1"/>
  <c r="R611" i="8" a="1"/>
  <c r="R611" i="8" s="1"/>
  <c r="Q611" i="8" a="1"/>
  <c r="Q611" i="8" s="1"/>
  <c r="P611" i="8" a="1"/>
  <c r="P611" i="8" s="1"/>
  <c r="O611" i="8" a="1"/>
  <c r="O611" i="8" s="1"/>
  <c r="N611" i="8" a="1"/>
  <c r="N611" i="8" s="1"/>
  <c r="M611" i="8" a="1"/>
  <c r="M611" i="8" s="1"/>
  <c r="L611" i="8" a="1"/>
  <c r="L611" i="8" s="1"/>
  <c r="K611" i="8" a="1"/>
  <c r="K611" i="8" s="1"/>
  <c r="J611" i="8" a="1"/>
  <c r="J611" i="8" s="1"/>
  <c r="I611" i="8" a="1"/>
  <c r="I611" i="8" s="1"/>
  <c r="H611" i="8" a="1"/>
  <c r="H611" i="8" s="1"/>
  <c r="G611" i="8" a="1"/>
  <c r="G611" i="8" s="1"/>
  <c r="F611" i="8" a="1"/>
  <c r="F611" i="8" s="1"/>
  <c r="E611" i="8" a="1"/>
  <c r="E611" i="8" s="1"/>
  <c r="AB610" i="8" a="1"/>
  <c r="AB610" i="8" s="1"/>
  <c r="AA610" i="8" a="1"/>
  <c r="AA610" i="8" s="1"/>
  <c r="Z610" i="8" a="1"/>
  <c r="Z610" i="8" s="1"/>
  <c r="Y610" i="8" a="1"/>
  <c r="Y610" i="8" s="1"/>
  <c r="X610" i="8" a="1"/>
  <c r="X610" i="8" s="1"/>
  <c r="W610" i="8" a="1"/>
  <c r="W610" i="8" s="1"/>
  <c r="V610" i="8" a="1"/>
  <c r="V610" i="8" s="1"/>
  <c r="U610" i="8" a="1"/>
  <c r="U610" i="8" s="1"/>
  <c r="T610" i="8" a="1"/>
  <c r="T610" i="8" s="1"/>
  <c r="S610" i="8" a="1"/>
  <c r="S610" i="8" s="1"/>
  <c r="R610" i="8" a="1"/>
  <c r="R610" i="8" s="1"/>
  <c r="Q610" i="8" a="1"/>
  <c r="Q610" i="8" s="1"/>
  <c r="P610" i="8" a="1"/>
  <c r="P610" i="8" s="1"/>
  <c r="O610" i="8" a="1"/>
  <c r="O610" i="8" s="1"/>
  <c r="N610" i="8" a="1"/>
  <c r="N610" i="8" s="1"/>
  <c r="M610" i="8" a="1"/>
  <c r="M610" i="8" s="1"/>
  <c r="L610" i="8" a="1"/>
  <c r="L610" i="8" s="1"/>
  <c r="K610" i="8" a="1"/>
  <c r="K610" i="8" s="1"/>
  <c r="J610" i="8" a="1"/>
  <c r="J610" i="8" s="1"/>
  <c r="I610" i="8" a="1"/>
  <c r="I610" i="8" s="1"/>
  <c r="H610" i="8" a="1"/>
  <c r="H610" i="8" s="1"/>
  <c r="G610" i="8" a="1"/>
  <c r="G610" i="8" s="1"/>
  <c r="F610" i="8" a="1"/>
  <c r="F610" i="8" s="1"/>
  <c r="E610" i="8" a="1"/>
  <c r="E610" i="8" s="1"/>
  <c r="AB609" i="8" a="1"/>
  <c r="AB609" i="8" s="1"/>
  <c r="AA609" i="8" a="1"/>
  <c r="AA609" i="8" s="1"/>
  <c r="Z609" i="8" a="1"/>
  <c r="Z609" i="8" s="1"/>
  <c r="Y609" i="8" a="1"/>
  <c r="Y609" i="8" s="1"/>
  <c r="X609" i="8" a="1"/>
  <c r="X609" i="8" s="1"/>
  <c r="W609" i="8" a="1"/>
  <c r="W609" i="8" s="1"/>
  <c r="V609" i="8" a="1"/>
  <c r="V609" i="8" s="1"/>
  <c r="U609" i="8" a="1"/>
  <c r="U609" i="8" s="1"/>
  <c r="T609" i="8" a="1"/>
  <c r="T609" i="8" s="1"/>
  <c r="S609" i="8" a="1"/>
  <c r="S609" i="8" s="1"/>
  <c r="R609" i="8" a="1"/>
  <c r="R609" i="8" s="1"/>
  <c r="Q609" i="8" a="1"/>
  <c r="Q609" i="8" s="1"/>
  <c r="P609" i="8" a="1"/>
  <c r="P609" i="8" s="1"/>
  <c r="O609" i="8" a="1"/>
  <c r="O609" i="8" s="1"/>
  <c r="N609" i="8" a="1"/>
  <c r="N609" i="8" s="1"/>
  <c r="M609" i="8" a="1"/>
  <c r="M609" i="8" s="1"/>
  <c r="L609" i="8" a="1"/>
  <c r="L609" i="8" s="1"/>
  <c r="K609" i="8" a="1"/>
  <c r="K609" i="8" s="1"/>
  <c r="J609" i="8" a="1"/>
  <c r="J609" i="8" s="1"/>
  <c r="I609" i="8" a="1"/>
  <c r="I609" i="8" s="1"/>
  <c r="H609" i="8" a="1"/>
  <c r="H609" i="8" s="1"/>
  <c r="G609" i="8" a="1"/>
  <c r="G609" i="8" s="1"/>
  <c r="F609" i="8" a="1"/>
  <c r="F609" i="8" s="1"/>
  <c r="E609" i="8" a="1"/>
  <c r="E609" i="8" s="1"/>
  <c r="AB608" i="8" a="1"/>
  <c r="AB608" i="8" s="1"/>
  <c r="AA608" i="8" a="1"/>
  <c r="AA608" i="8" s="1"/>
  <c r="Z608" i="8" a="1"/>
  <c r="Z608" i="8" s="1"/>
  <c r="Y608" i="8" a="1"/>
  <c r="Y608" i="8" s="1"/>
  <c r="X608" i="8" a="1"/>
  <c r="X608" i="8" s="1"/>
  <c r="W608" i="8" a="1"/>
  <c r="W608" i="8" s="1"/>
  <c r="V608" i="8" a="1"/>
  <c r="V608" i="8" s="1"/>
  <c r="U608" i="8" a="1"/>
  <c r="U608" i="8" s="1"/>
  <c r="T608" i="8" a="1"/>
  <c r="T608" i="8" s="1"/>
  <c r="S608" i="8" a="1"/>
  <c r="S608" i="8" s="1"/>
  <c r="R608" i="8" a="1"/>
  <c r="R608" i="8" s="1"/>
  <c r="Q608" i="8" a="1"/>
  <c r="Q608" i="8" s="1"/>
  <c r="P608" i="8" a="1"/>
  <c r="P608" i="8" s="1"/>
  <c r="O608" i="8" a="1"/>
  <c r="O608" i="8" s="1"/>
  <c r="N608" i="8" a="1"/>
  <c r="N608" i="8" s="1"/>
  <c r="M608" i="8" a="1"/>
  <c r="M608" i="8" s="1"/>
  <c r="L608" i="8" a="1"/>
  <c r="L608" i="8" s="1"/>
  <c r="K608" i="8" a="1"/>
  <c r="K608" i="8" s="1"/>
  <c r="J608" i="8" a="1"/>
  <c r="J608" i="8" s="1"/>
  <c r="I608" i="8" a="1"/>
  <c r="I608" i="8" s="1"/>
  <c r="H608" i="8" a="1"/>
  <c r="H608" i="8" s="1"/>
  <c r="G608" i="8" a="1"/>
  <c r="G608" i="8" s="1"/>
  <c r="F608" i="8" a="1"/>
  <c r="F608" i="8" s="1"/>
  <c r="E608" i="8" a="1"/>
  <c r="E608" i="8" s="1"/>
  <c r="AB607" i="8" a="1"/>
  <c r="AB607" i="8" s="1"/>
  <c r="AA607" i="8" a="1"/>
  <c r="AA607" i="8" s="1"/>
  <c r="Z607" i="8" a="1"/>
  <c r="Z607" i="8" s="1"/>
  <c r="Y607" i="8" a="1"/>
  <c r="Y607" i="8" s="1"/>
  <c r="X607" i="8" a="1"/>
  <c r="X607" i="8" s="1"/>
  <c r="W607" i="8" a="1"/>
  <c r="W607" i="8" s="1"/>
  <c r="V607" i="8" a="1"/>
  <c r="V607" i="8" s="1"/>
  <c r="U607" i="8" a="1"/>
  <c r="U607" i="8" s="1"/>
  <c r="T607" i="8" a="1"/>
  <c r="T607" i="8" s="1"/>
  <c r="S607" i="8" a="1"/>
  <c r="S607" i="8" s="1"/>
  <c r="R607" i="8" a="1"/>
  <c r="R607" i="8" s="1"/>
  <c r="Q607" i="8" a="1"/>
  <c r="Q607" i="8" s="1"/>
  <c r="P607" i="8" a="1"/>
  <c r="P607" i="8" s="1"/>
  <c r="O607" i="8" a="1"/>
  <c r="O607" i="8" s="1"/>
  <c r="N607" i="8" a="1"/>
  <c r="N607" i="8" s="1"/>
  <c r="M607" i="8" a="1"/>
  <c r="M607" i="8" s="1"/>
  <c r="L607" i="8" a="1"/>
  <c r="L607" i="8" s="1"/>
  <c r="K607" i="8" a="1"/>
  <c r="K607" i="8" s="1"/>
  <c r="J607" i="8" a="1"/>
  <c r="J607" i="8" s="1"/>
  <c r="I607" i="8" a="1"/>
  <c r="I607" i="8" s="1"/>
  <c r="H607" i="8" a="1"/>
  <c r="H607" i="8" s="1"/>
  <c r="G607" i="8" a="1"/>
  <c r="G607" i="8" s="1"/>
  <c r="F607" i="8" a="1"/>
  <c r="F607" i="8" s="1"/>
  <c r="E607" i="8" a="1"/>
  <c r="E607" i="8" s="1"/>
  <c r="AB606" i="8" a="1"/>
  <c r="AB606" i="8" s="1"/>
  <c r="AA606" i="8" a="1"/>
  <c r="AA606" i="8" s="1"/>
  <c r="Z606" i="8" a="1"/>
  <c r="Z606" i="8" s="1"/>
  <c r="Y606" i="8" a="1"/>
  <c r="Y606" i="8" s="1"/>
  <c r="X606" i="8" a="1"/>
  <c r="X606" i="8" s="1"/>
  <c r="W606" i="8" a="1"/>
  <c r="W606" i="8" s="1"/>
  <c r="V606" i="8" a="1"/>
  <c r="V606" i="8" s="1"/>
  <c r="U606" i="8" a="1"/>
  <c r="U606" i="8" s="1"/>
  <c r="T606" i="8" a="1"/>
  <c r="T606" i="8" s="1"/>
  <c r="S606" i="8" a="1"/>
  <c r="S606" i="8" s="1"/>
  <c r="R606" i="8" a="1"/>
  <c r="R606" i="8" s="1"/>
  <c r="Q606" i="8" a="1"/>
  <c r="Q606" i="8" s="1"/>
  <c r="P606" i="8" a="1"/>
  <c r="P606" i="8" s="1"/>
  <c r="O606" i="8" a="1"/>
  <c r="O606" i="8" s="1"/>
  <c r="N606" i="8" a="1"/>
  <c r="N606" i="8" s="1"/>
  <c r="M606" i="8" a="1"/>
  <c r="M606" i="8" s="1"/>
  <c r="L606" i="8" a="1"/>
  <c r="L606" i="8" s="1"/>
  <c r="K606" i="8" a="1"/>
  <c r="K606" i="8" s="1"/>
  <c r="J606" i="8" a="1"/>
  <c r="J606" i="8" s="1"/>
  <c r="I606" i="8" a="1"/>
  <c r="I606" i="8" s="1"/>
  <c r="H606" i="8" a="1"/>
  <c r="H606" i="8" s="1"/>
  <c r="G606" i="8" a="1"/>
  <c r="G606" i="8" s="1"/>
  <c r="F606" i="8" a="1"/>
  <c r="F606" i="8" s="1"/>
  <c r="E606" i="8" a="1"/>
  <c r="E606" i="8" s="1"/>
  <c r="AB605" i="8" a="1"/>
  <c r="AB605" i="8" s="1"/>
  <c r="AA605" i="8" a="1"/>
  <c r="AA605" i="8" s="1"/>
  <c r="Z605" i="8" a="1"/>
  <c r="Z605" i="8" s="1"/>
  <c r="Y605" i="8" a="1"/>
  <c r="Y605" i="8" s="1"/>
  <c r="X605" i="8" a="1"/>
  <c r="X605" i="8" s="1"/>
  <c r="W605" i="8" a="1"/>
  <c r="W605" i="8" s="1"/>
  <c r="V605" i="8" a="1"/>
  <c r="V605" i="8" s="1"/>
  <c r="U605" i="8" a="1"/>
  <c r="U605" i="8" s="1"/>
  <c r="T605" i="8" a="1"/>
  <c r="T605" i="8" s="1"/>
  <c r="S605" i="8" a="1"/>
  <c r="S605" i="8" s="1"/>
  <c r="R605" i="8" a="1"/>
  <c r="R605" i="8" s="1"/>
  <c r="Q605" i="8" a="1"/>
  <c r="Q605" i="8" s="1"/>
  <c r="P605" i="8" a="1"/>
  <c r="P605" i="8" s="1"/>
  <c r="O605" i="8" a="1"/>
  <c r="O605" i="8" s="1"/>
  <c r="N605" i="8" a="1"/>
  <c r="N605" i="8" s="1"/>
  <c r="M605" i="8" a="1"/>
  <c r="M605" i="8" s="1"/>
  <c r="L605" i="8" a="1"/>
  <c r="L605" i="8" s="1"/>
  <c r="K605" i="8" a="1"/>
  <c r="K605" i="8" s="1"/>
  <c r="J605" i="8" a="1"/>
  <c r="J605" i="8" s="1"/>
  <c r="I605" i="8" a="1"/>
  <c r="I605" i="8" s="1"/>
  <c r="H605" i="8" a="1"/>
  <c r="H605" i="8" s="1"/>
  <c r="G605" i="8" a="1"/>
  <c r="G605" i="8" s="1"/>
  <c r="F605" i="8" a="1"/>
  <c r="F605" i="8" s="1"/>
  <c r="E605" i="8" a="1"/>
  <c r="E605" i="8" s="1"/>
  <c r="AB604" i="8" a="1"/>
  <c r="AB604" i="8" s="1"/>
  <c r="AA604" i="8" a="1"/>
  <c r="AA604" i="8" s="1"/>
  <c r="Z604" i="8" a="1"/>
  <c r="Z604" i="8" s="1"/>
  <c r="Y604" i="8" a="1"/>
  <c r="Y604" i="8" s="1"/>
  <c r="X604" i="8" a="1"/>
  <c r="X604" i="8" s="1"/>
  <c r="W604" i="8" a="1"/>
  <c r="W604" i="8" s="1"/>
  <c r="V604" i="8" a="1"/>
  <c r="V604" i="8" s="1"/>
  <c r="U604" i="8" a="1"/>
  <c r="U604" i="8" s="1"/>
  <c r="T604" i="8" a="1"/>
  <c r="T604" i="8" s="1"/>
  <c r="S604" i="8" a="1"/>
  <c r="S604" i="8" s="1"/>
  <c r="R604" i="8" a="1"/>
  <c r="R604" i="8" s="1"/>
  <c r="Q604" i="8" a="1"/>
  <c r="Q604" i="8" s="1"/>
  <c r="P604" i="8" a="1"/>
  <c r="P604" i="8" s="1"/>
  <c r="O604" i="8" a="1"/>
  <c r="O604" i="8" s="1"/>
  <c r="N604" i="8" a="1"/>
  <c r="N604" i="8" s="1"/>
  <c r="M604" i="8" a="1"/>
  <c r="M604" i="8" s="1"/>
  <c r="L604" i="8" a="1"/>
  <c r="L604" i="8" s="1"/>
  <c r="K604" i="8" a="1"/>
  <c r="K604" i="8" s="1"/>
  <c r="J604" i="8" a="1"/>
  <c r="J604" i="8" s="1"/>
  <c r="I604" i="8" a="1"/>
  <c r="I604" i="8" s="1"/>
  <c r="H604" i="8" a="1"/>
  <c r="H604" i="8" s="1"/>
  <c r="G604" i="8" a="1"/>
  <c r="G604" i="8" s="1"/>
  <c r="F604" i="8" a="1"/>
  <c r="F604" i="8" s="1"/>
  <c r="E604" i="8" a="1"/>
  <c r="E604" i="8" s="1"/>
  <c r="AB603" i="8" a="1"/>
  <c r="AB603" i="8" s="1"/>
  <c r="AA603" i="8" a="1"/>
  <c r="AA603" i="8" s="1"/>
  <c r="Z603" i="8" a="1"/>
  <c r="Z603" i="8" s="1"/>
  <c r="Y603" i="8" a="1"/>
  <c r="Y603" i="8" s="1"/>
  <c r="X603" i="8" a="1"/>
  <c r="X603" i="8" s="1"/>
  <c r="W603" i="8" a="1"/>
  <c r="W603" i="8" s="1"/>
  <c r="V603" i="8" a="1"/>
  <c r="V603" i="8" s="1"/>
  <c r="U603" i="8" a="1"/>
  <c r="U603" i="8" s="1"/>
  <c r="T603" i="8" a="1"/>
  <c r="T603" i="8" s="1"/>
  <c r="S603" i="8" a="1"/>
  <c r="S603" i="8" s="1"/>
  <c r="R603" i="8" a="1"/>
  <c r="R603" i="8" s="1"/>
  <c r="Q603" i="8" a="1"/>
  <c r="Q603" i="8" s="1"/>
  <c r="P603" i="8" a="1"/>
  <c r="P603" i="8" s="1"/>
  <c r="O603" i="8" a="1"/>
  <c r="O603" i="8" s="1"/>
  <c r="N603" i="8" a="1"/>
  <c r="N603" i="8" s="1"/>
  <c r="M603" i="8" a="1"/>
  <c r="M603" i="8" s="1"/>
  <c r="L603" i="8" a="1"/>
  <c r="L603" i="8" s="1"/>
  <c r="K603" i="8" a="1"/>
  <c r="K603" i="8" s="1"/>
  <c r="J603" i="8" a="1"/>
  <c r="J603" i="8" s="1"/>
  <c r="I603" i="8" a="1"/>
  <c r="I603" i="8" s="1"/>
  <c r="H603" i="8" a="1"/>
  <c r="H603" i="8" s="1"/>
  <c r="G603" i="8" a="1"/>
  <c r="G603" i="8" s="1"/>
  <c r="F603" i="8" a="1"/>
  <c r="F603" i="8" s="1"/>
  <c r="E603" i="8" a="1"/>
  <c r="E603" i="8" s="1"/>
  <c r="AB602" i="8" a="1"/>
  <c r="AB602" i="8" s="1"/>
  <c r="AA602" i="8" a="1"/>
  <c r="AA602" i="8" s="1"/>
  <c r="Z602" i="8" a="1"/>
  <c r="Z602" i="8" s="1"/>
  <c r="Y602" i="8" a="1"/>
  <c r="Y602" i="8" s="1"/>
  <c r="X602" i="8" a="1"/>
  <c r="X602" i="8" s="1"/>
  <c r="W602" i="8" a="1"/>
  <c r="W602" i="8" s="1"/>
  <c r="V602" i="8" a="1"/>
  <c r="V602" i="8" s="1"/>
  <c r="U602" i="8" a="1"/>
  <c r="U602" i="8" s="1"/>
  <c r="T602" i="8" a="1"/>
  <c r="T602" i="8" s="1"/>
  <c r="S602" i="8" a="1"/>
  <c r="S602" i="8" s="1"/>
  <c r="R602" i="8" a="1"/>
  <c r="R602" i="8" s="1"/>
  <c r="Q602" i="8" a="1"/>
  <c r="Q602" i="8" s="1"/>
  <c r="P602" i="8" a="1"/>
  <c r="P602" i="8" s="1"/>
  <c r="O602" i="8" a="1"/>
  <c r="O602" i="8" s="1"/>
  <c r="N602" i="8" a="1"/>
  <c r="N602" i="8" s="1"/>
  <c r="M602" i="8" a="1"/>
  <c r="M602" i="8" s="1"/>
  <c r="L602" i="8" a="1"/>
  <c r="L602" i="8" s="1"/>
  <c r="K602" i="8" a="1"/>
  <c r="K602" i="8" s="1"/>
  <c r="J602" i="8" a="1"/>
  <c r="J602" i="8" s="1"/>
  <c r="I602" i="8" a="1"/>
  <c r="I602" i="8" s="1"/>
  <c r="H602" i="8" a="1"/>
  <c r="H602" i="8" s="1"/>
  <c r="G602" i="8" a="1"/>
  <c r="G602" i="8" s="1"/>
  <c r="F602" i="8" a="1"/>
  <c r="F602" i="8" s="1"/>
  <c r="E602" i="8" a="1"/>
  <c r="E602" i="8" s="1"/>
  <c r="AB601" i="8" a="1"/>
  <c r="AB601" i="8" s="1"/>
  <c r="AA601" i="8" a="1"/>
  <c r="AA601" i="8" s="1"/>
  <c r="Z601" i="8" a="1"/>
  <c r="Z601" i="8" s="1"/>
  <c r="Y601" i="8" a="1"/>
  <c r="Y601" i="8" s="1"/>
  <c r="X601" i="8" a="1"/>
  <c r="X601" i="8" s="1"/>
  <c r="W601" i="8" a="1"/>
  <c r="W601" i="8" s="1"/>
  <c r="V601" i="8" a="1"/>
  <c r="V601" i="8" s="1"/>
  <c r="U601" i="8" a="1"/>
  <c r="U601" i="8" s="1"/>
  <c r="T601" i="8" a="1"/>
  <c r="T601" i="8" s="1"/>
  <c r="S601" i="8" a="1"/>
  <c r="S601" i="8" s="1"/>
  <c r="R601" i="8" a="1"/>
  <c r="R601" i="8" s="1"/>
  <c r="Q601" i="8" a="1"/>
  <c r="Q601" i="8" s="1"/>
  <c r="P601" i="8" a="1"/>
  <c r="P601" i="8" s="1"/>
  <c r="O601" i="8" a="1"/>
  <c r="O601" i="8" s="1"/>
  <c r="N601" i="8" a="1"/>
  <c r="N601" i="8" s="1"/>
  <c r="M601" i="8" a="1"/>
  <c r="M601" i="8" s="1"/>
  <c r="L601" i="8" a="1"/>
  <c r="L601" i="8" s="1"/>
  <c r="K601" i="8" a="1"/>
  <c r="K601" i="8" s="1"/>
  <c r="J601" i="8" a="1"/>
  <c r="J601" i="8" s="1"/>
  <c r="I601" i="8" a="1"/>
  <c r="I601" i="8" s="1"/>
  <c r="H601" i="8" a="1"/>
  <c r="H601" i="8" s="1"/>
  <c r="G601" i="8" a="1"/>
  <c r="G601" i="8" s="1"/>
  <c r="F601" i="8" a="1"/>
  <c r="F601" i="8" s="1"/>
  <c r="E601" i="8" a="1"/>
  <c r="E601" i="8" s="1"/>
  <c r="AB600" i="8" a="1"/>
  <c r="AB600" i="8" s="1"/>
  <c r="AA600" i="8" a="1"/>
  <c r="AA600" i="8" s="1"/>
  <c r="Z600" i="8" a="1"/>
  <c r="Z600" i="8" s="1"/>
  <c r="Y600" i="8" a="1"/>
  <c r="Y600" i="8" s="1"/>
  <c r="X600" i="8" a="1"/>
  <c r="X600" i="8" s="1"/>
  <c r="W600" i="8" a="1"/>
  <c r="W600" i="8" s="1"/>
  <c r="V600" i="8" a="1"/>
  <c r="V600" i="8" s="1"/>
  <c r="U600" i="8" a="1"/>
  <c r="U600" i="8" s="1"/>
  <c r="T600" i="8" a="1"/>
  <c r="T600" i="8" s="1"/>
  <c r="S600" i="8" a="1"/>
  <c r="S600" i="8" s="1"/>
  <c r="R600" i="8" a="1"/>
  <c r="R600" i="8" s="1"/>
  <c r="Q600" i="8" a="1"/>
  <c r="Q600" i="8" s="1"/>
  <c r="P600" i="8" a="1"/>
  <c r="P600" i="8" s="1"/>
  <c r="O600" i="8" a="1"/>
  <c r="O600" i="8" s="1"/>
  <c r="N600" i="8" a="1"/>
  <c r="N600" i="8" s="1"/>
  <c r="M600" i="8" a="1"/>
  <c r="M600" i="8" s="1"/>
  <c r="L600" i="8" a="1"/>
  <c r="L600" i="8" s="1"/>
  <c r="K600" i="8" a="1"/>
  <c r="K600" i="8" s="1"/>
  <c r="J600" i="8" a="1"/>
  <c r="J600" i="8" s="1"/>
  <c r="I600" i="8" a="1"/>
  <c r="I600" i="8" s="1"/>
  <c r="H600" i="8" a="1"/>
  <c r="H600" i="8" s="1"/>
  <c r="G600" i="8" a="1"/>
  <c r="G600" i="8" s="1"/>
  <c r="F600" i="8" a="1"/>
  <c r="F600" i="8" s="1"/>
  <c r="E600" i="8" a="1"/>
  <c r="E600" i="8" s="1"/>
  <c r="AB599" i="8" a="1"/>
  <c r="AB599" i="8" s="1"/>
  <c r="AA599" i="8" a="1"/>
  <c r="AA599" i="8" s="1"/>
  <c r="Z599" i="8" a="1"/>
  <c r="Z599" i="8" s="1"/>
  <c r="Y599" i="8" a="1"/>
  <c r="Y599" i="8" s="1"/>
  <c r="X599" i="8" a="1"/>
  <c r="X599" i="8" s="1"/>
  <c r="W599" i="8" a="1"/>
  <c r="W599" i="8" s="1"/>
  <c r="V599" i="8" a="1"/>
  <c r="V599" i="8" s="1"/>
  <c r="U599" i="8" a="1"/>
  <c r="U599" i="8" s="1"/>
  <c r="T599" i="8" a="1"/>
  <c r="T599" i="8" s="1"/>
  <c r="S599" i="8" a="1"/>
  <c r="S599" i="8" s="1"/>
  <c r="R599" i="8" a="1"/>
  <c r="R599" i="8" s="1"/>
  <c r="Q599" i="8" a="1"/>
  <c r="Q599" i="8" s="1"/>
  <c r="P599" i="8" a="1"/>
  <c r="P599" i="8" s="1"/>
  <c r="O599" i="8" a="1"/>
  <c r="O599" i="8" s="1"/>
  <c r="N599" i="8" a="1"/>
  <c r="N599" i="8" s="1"/>
  <c r="M599" i="8" a="1"/>
  <c r="M599" i="8" s="1"/>
  <c r="L599" i="8" a="1"/>
  <c r="L599" i="8" s="1"/>
  <c r="K599" i="8" a="1"/>
  <c r="K599" i="8" s="1"/>
  <c r="J599" i="8" a="1"/>
  <c r="J599" i="8" s="1"/>
  <c r="I599" i="8" a="1"/>
  <c r="I599" i="8" s="1"/>
  <c r="H599" i="8" a="1"/>
  <c r="H599" i="8" s="1"/>
  <c r="G599" i="8" a="1"/>
  <c r="G599" i="8" s="1"/>
  <c r="F599" i="8" a="1"/>
  <c r="F599" i="8" s="1"/>
  <c r="E599" i="8" a="1"/>
  <c r="E599" i="8" s="1"/>
  <c r="AB598" i="8" a="1"/>
  <c r="AB598" i="8" s="1"/>
  <c r="AA598" i="8" a="1"/>
  <c r="AA598" i="8" s="1"/>
  <c r="Z598" i="8" a="1"/>
  <c r="Z598" i="8" s="1"/>
  <c r="Y598" i="8" a="1"/>
  <c r="Y598" i="8" s="1"/>
  <c r="X598" i="8" a="1"/>
  <c r="X598" i="8" s="1"/>
  <c r="W598" i="8" a="1"/>
  <c r="W598" i="8" s="1"/>
  <c r="V598" i="8" a="1"/>
  <c r="V598" i="8" s="1"/>
  <c r="U598" i="8" a="1"/>
  <c r="U598" i="8" s="1"/>
  <c r="T598" i="8" a="1"/>
  <c r="T598" i="8" s="1"/>
  <c r="S598" i="8" a="1"/>
  <c r="S598" i="8" s="1"/>
  <c r="R598" i="8" a="1"/>
  <c r="R598" i="8" s="1"/>
  <c r="Q598" i="8" a="1"/>
  <c r="Q598" i="8" s="1"/>
  <c r="P598" i="8" a="1"/>
  <c r="P598" i="8" s="1"/>
  <c r="O598" i="8" a="1"/>
  <c r="O598" i="8" s="1"/>
  <c r="N598" i="8" a="1"/>
  <c r="N598" i="8" s="1"/>
  <c r="M598" i="8" a="1"/>
  <c r="M598" i="8" s="1"/>
  <c r="L598" i="8" a="1"/>
  <c r="L598" i="8" s="1"/>
  <c r="K598" i="8" a="1"/>
  <c r="K598" i="8" s="1"/>
  <c r="J598" i="8" a="1"/>
  <c r="J598" i="8" s="1"/>
  <c r="I598" i="8" a="1"/>
  <c r="I598" i="8" s="1"/>
  <c r="H598" i="8" a="1"/>
  <c r="H598" i="8" s="1"/>
  <c r="G598" i="8" a="1"/>
  <c r="G598" i="8" s="1"/>
  <c r="F598" i="8" a="1"/>
  <c r="F598" i="8" s="1"/>
  <c r="E598" i="8" a="1"/>
  <c r="E598" i="8" s="1"/>
  <c r="AB597" i="8" a="1"/>
  <c r="AB597" i="8" s="1"/>
  <c r="AA597" i="8" a="1"/>
  <c r="AA597" i="8" s="1"/>
  <c r="Z597" i="8" a="1"/>
  <c r="Z597" i="8" s="1"/>
  <c r="Y597" i="8" a="1"/>
  <c r="Y597" i="8" s="1"/>
  <c r="X597" i="8" a="1"/>
  <c r="X597" i="8" s="1"/>
  <c r="W597" i="8" a="1"/>
  <c r="W597" i="8" s="1"/>
  <c r="V597" i="8" a="1"/>
  <c r="V597" i="8" s="1"/>
  <c r="U597" i="8" a="1"/>
  <c r="U597" i="8" s="1"/>
  <c r="T597" i="8" a="1"/>
  <c r="T597" i="8" s="1"/>
  <c r="S597" i="8" a="1"/>
  <c r="S597" i="8" s="1"/>
  <c r="R597" i="8" a="1"/>
  <c r="R597" i="8" s="1"/>
  <c r="Q597" i="8" a="1"/>
  <c r="Q597" i="8" s="1"/>
  <c r="P597" i="8" a="1"/>
  <c r="P597" i="8" s="1"/>
  <c r="O597" i="8" a="1"/>
  <c r="O597" i="8" s="1"/>
  <c r="N597" i="8" a="1"/>
  <c r="N597" i="8" s="1"/>
  <c r="M597" i="8" a="1"/>
  <c r="M597" i="8" s="1"/>
  <c r="L597" i="8" a="1"/>
  <c r="L597" i="8" s="1"/>
  <c r="K597" i="8" a="1"/>
  <c r="K597" i="8" s="1"/>
  <c r="J597" i="8" a="1"/>
  <c r="J597" i="8" s="1"/>
  <c r="I597" i="8" a="1"/>
  <c r="I597" i="8" s="1"/>
  <c r="H597" i="8" a="1"/>
  <c r="H597" i="8" s="1"/>
  <c r="G597" i="8" a="1"/>
  <c r="G597" i="8" s="1"/>
  <c r="F597" i="8" a="1"/>
  <c r="F597" i="8" s="1"/>
  <c r="E597" i="8" a="1"/>
  <c r="E597" i="8" s="1"/>
  <c r="AB596" i="8" a="1"/>
  <c r="AB596" i="8" s="1"/>
  <c r="AA596" i="8" a="1"/>
  <c r="AA596" i="8" s="1"/>
  <c r="Z596" i="8" a="1"/>
  <c r="Z596" i="8" s="1"/>
  <c r="Y596" i="8" a="1"/>
  <c r="Y596" i="8" s="1"/>
  <c r="X596" i="8" a="1"/>
  <c r="X596" i="8" s="1"/>
  <c r="W596" i="8" a="1"/>
  <c r="W596" i="8" s="1"/>
  <c r="V596" i="8" a="1"/>
  <c r="V596" i="8" s="1"/>
  <c r="U596" i="8" a="1"/>
  <c r="U596" i="8" s="1"/>
  <c r="T596" i="8" a="1"/>
  <c r="T596" i="8" s="1"/>
  <c r="S596" i="8" a="1"/>
  <c r="S596" i="8" s="1"/>
  <c r="R596" i="8" a="1"/>
  <c r="R596" i="8" s="1"/>
  <c r="Q596" i="8" a="1"/>
  <c r="Q596" i="8" s="1"/>
  <c r="P596" i="8" a="1"/>
  <c r="P596" i="8" s="1"/>
  <c r="O596" i="8" a="1"/>
  <c r="O596" i="8" s="1"/>
  <c r="N596" i="8" a="1"/>
  <c r="N596" i="8" s="1"/>
  <c r="M596" i="8" a="1"/>
  <c r="M596" i="8" s="1"/>
  <c r="L596" i="8" a="1"/>
  <c r="L596" i="8" s="1"/>
  <c r="K596" i="8" a="1"/>
  <c r="K596" i="8" s="1"/>
  <c r="J596" i="8" a="1"/>
  <c r="J596" i="8" s="1"/>
  <c r="I596" i="8" a="1"/>
  <c r="I596" i="8" s="1"/>
  <c r="H596" i="8" a="1"/>
  <c r="H596" i="8" s="1"/>
  <c r="G596" i="8" a="1"/>
  <c r="G596" i="8" s="1"/>
  <c r="F596" i="8" a="1"/>
  <c r="F596" i="8" s="1"/>
  <c r="E596" i="8" a="1"/>
  <c r="E596" i="8" s="1"/>
  <c r="AB595" i="8" a="1"/>
  <c r="AB595" i="8" s="1"/>
  <c r="AA595" i="8" a="1"/>
  <c r="AA595" i="8" s="1"/>
  <c r="Z595" i="8" a="1"/>
  <c r="Z595" i="8" s="1"/>
  <c r="Y595" i="8" a="1"/>
  <c r="Y595" i="8" s="1"/>
  <c r="X595" i="8" a="1"/>
  <c r="X595" i="8" s="1"/>
  <c r="W595" i="8" a="1"/>
  <c r="W595" i="8" s="1"/>
  <c r="V595" i="8" a="1"/>
  <c r="V595" i="8" s="1"/>
  <c r="U595" i="8" a="1"/>
  <c r="U595" i="8" s="1"/>
  <c r="T595" i="8" a="1"/>
  <c r="T595" i="8" s="1"/>
  <c r="S595" i="8" a="1"/>
  <c r="S595" i="8" s="1"/>
  <c r="R595" i="8" a="1"/>
  <c r="R595" i="8" s="1"/>
  <c r="Q595" i="8" a="1"/>
  <c r="Q595" i="8" s="1"/>
  <c r="P595" i="8" a="1"/>
  <c r="P595" i="8" s="1"/>
  <c r="O595" i="8" a="1"/>
  <c r="O595" i="8" s="1"/>
  <c r="N595" i="8" a="1"/>
  <c r="N595" i="8" s="1"/>
  <c r="M595" i="8" a="1"/>
  <c r="M595" i="8" s="1"/>
  <c r="L595" i="8" a="1"/>
  <c r="L595" i="8" s="1"/>
  <c r="K595" i="8" a="1"/>
  <c r="K595" i="8" s="1"/>
  <c r="J595" i="8" a="1"/>
  <c r="J595" i="8" s="1"/>
  <c r="I595" i="8" a="1"/>
  <c r="I595" i="8" s="1"/>
  <c r="H595" i="8" a="1"/>
  <c r="H595" i="8" s="1"/>
  <c r="G595" i="8" a="1"/>
  <c r="G595" i="8" s="1"/>
  <c r="F595" i="8" a="1"/>
  <c r="F595" i="8" s="1"/>
  <c r="E595" i="8" a="1"/>
  <c r="E595" i="8" s="1"/>
  <c r="AB594" i="8" a="1"/>
  <c r="AB594" i="8" s="1"/>
  <c r="AA594" i="8" a="1"/>
  <c r="AA594" i="8" s="1"/>
  <c r="Z594" i="8" a="1"/>
  <c r="Z594" i="8" s="1"/>
  <c r="Y594" i="8" a="1"/>
  <c r="Y594" i="8" s="1"/>
  <c r="X594" i="8" a="1"/>
  <c r="X594" i="8" s="1"/>
  <c r="W594" i="8" a="1"/>
  <c r="W594" i="8" s="1"/>
  <c r="V594" i="8" a="1"/>
  <c r="V594" i="8" s="1"/>
  <c r="U594" i="8" a="1"/>
  <c r="U594" i="8" s="1"/>
  <c r="T594" i="8" a="1"/>
  <c r="T594" i="8" s="1"/>
  <c r="S594" i="8" a="1"/>
  <c r="S594" i="8" s="1"/>
  <c r="R594" i="8" a="1"/>
  <c r="R594" i="8" s="1"/>
  <c r="Q594" i="8" a="1"/>
  <c r="Q594" i="8" s="1"/>
  <c r="P594" i="8" a="1"/>
  <c r="P594" i="8" s="1"/>
  <c r="O594" i="8" a="1"/>
  <c r="O594" i="8" s="1"/>
  <c r="N594" i="8" a="1"/>
  <c r="N594" i="8" s="1"/>
  <c r="M594" i="8" a="1"/>
  <c r="M594" i="8" s="1"/>
  <c r="L594" i="8" a="1"/>
  <c r="L594" i="8" s="1"/>
  <c r="K594" i="8" a="1"/>
  <c r="K594" i="8" s="1"/>
  <c r="J594" i="8" a="1"/>
  <c r="J594" i="8" s="1"/>
  <c r="I594" i="8" a="1"/>
  <c r="I594" i="8" s="1"/>
  <c r="H594" i="8" a="1"/>
  <c r="H594" i="8" s="1"/>
  <c r="G594" i="8" a="1"/>
  <c r="G594" i="8" s="1"/>
  <c r="F594" i="8" a="1"/>
  <c r="F594" i="8" s="1"/>
  <c r="E594" i="8" a="1"/>
  <c r="E594" i="8" s="1"/>
  <c r="AB593" i="8" a="1"/>
  <c r="AB593" i="8" s="1"/>
  <c r="AA593" i="8" a="1"/>
  <c r="AA593" i="8" s="1"/>
  <c r="Z593" i="8" a="1"/>
  <c r="Z593" i="8" s="1"/>
  <c r="Y593" i="8" a="1"/>
  <c r="Y593" i="8" s="1"/>
  <c r="X593" i="8" a="1"/>
  <c r="X593" i="8" s="1"/>
  <c r="W593" i="8" a="1"/>
  <c r="W593" i="8" s="1"/>
  <c r="V593" i="8" a="1"/>
  <c r="V593" i="8" s="1"/>
  <c r="U593" i="8" a="1"/>
  <c r="U593" i="8" s="1"/>
  <c r="T593" i="8" a="1"/>
  <c r="T593" i="8" s="1"/>
  <c r="S593" i="8" a="1"/>
  <c r="S593" i="8" s="1"/>
  <c r="R593" i="8" a="1"/>
  <c r="R593" i="8" s="1"/>
  <c r="Q593" i="8" a="1"/>
  <c r="Q593" i="8" s="1"/>
  <c r="P593" i="8" a="1"/>
  <c r="P593" i="8" s="1"/>
  <c r="O593" i="8" a="1"/>
  <c r="O593" i="8" s="1"/>
  <c r="N593" i="8" a="1"/>
  <c r="N593" i="8" s="1"/>
  <c r="M593" i="8" a="1"/>
  <c r="M593" i="8" s="1"/>
  <c r="L593" i="8" a="1"/>
  <c r="L593" i="8" s="1"/>
  <c r="K593" i="8" a="1"/>
  <c r="K593" i="8" s="1"/>
  <c r="J593" i="8" a="1"/>
  <c r="J593" i="8" s="1"/>
  <c r="I593" i="8" a="1"/>
  <c r="I593" i="8" s="1"/>
  <c r="H593" i="8" a="1"/>
  <c r="H593" i="8" s="1"/>
  <c r="G593" i="8" a="1"/>
  <c r="G593" i="8" s="1"/>
  <c r="F593" i="8" a="1"/>
  <c r="F593" i="8" s="1"/>
  <c r="E593" i="8" a="1"/>
  <c r="E593" i="8" s="1"/>
  <c r="AB592" i="8" a="1"/>
  <c r="AB592" i="8" s="1"/>
  <c r="AA592" i="8" a="1"/>
  <c r="AA592" i="8" s="1"/>
  <c r="Z592" i="8" a="1"/>
  <c r="Z592" i="8" s="1"/>
  <c r="Y592" i="8" a="1"/>
  <c r="Y592" i="8" s="1"/>
  <c r="X592" i="8" a="1"/>
  <c r="X592" i="8" s="1"/>
  <c r="W592" i="8" a="1"/>
  <c r="W592" i="8" s="1"/>
  <c r="V592" i="8" a="1"/>
  <c r="V592" i="8" s="1"/>
  <c r="U592" i="8" a="1"/>
  <c r="U592" i="8" s="1"/>
  <c r="T592" i="8" a="1"/>
  <c r="T592" i="8" s="1"/>
  <c r="S592" i="8" a="1"/>
  <c r="S592" i="8" s="1"/>
  <c r="R592" i="8" a="1"/>
  <c r="R592" i="8" s="1"/>
  <c r="Q592" i="8" a="1"/>
  <c r="Q592" i="8" s="1"/>
  <c r="P592" i="8" a="1"/>
  <c r="P592" i="8" s="1"/>
  <c r="O592" i="8" a="1"/>
  <c r="O592" i="8" s="1"/>
  <c r="N592" i="8" a="1"/>
  <c r="N592" i="8" s="1"/>
  <c r="M592" i="8" a="1"/>
  <c r="M592" i="8" s="1"/>
  <c r="L592" i="8" a="1"/>
  <c r="L592" i="8" s="1"/>
  <c r="K592" i="8" a="1"/>
  <c r="K592" i="8" s="1"/>
  <c r="J592" i="8" a="1"/>
  <c r="J592" i="8" s="1"/>
  <c r="I592" i="8" a="1"/>
  <c r="I592" i="8" s="1"/>
  <c r="H592" i="8" a="1"/>
  <c r="H592" i="8" s="1"/>
  <c r="G592" i="8" a="1"/>
  <c r="G592" i="8" s="1"/>
  <c r="F592" i="8" a="1"/>
  <c r="F592" i="8" s="1"/>
  <c r="E592" i="8" a="1"/>
  <c r="E592" i="8" s="1"/>
  <c r="AB591" i="8" a="1"/>
  <c r="AB591" i="8" s="1"/>
  <c r="AA591" i="8" a="1"/>
  <c r="AA591" i="8" s="1"/>
  <c r="Z591" i="8" a="1"/>
  <c r="Z591" i="8" s="1"/>
  <c r="Y591" i="8" a="1"/>
  <c r="Y591" i="8" s="1"/>
  <c r="X591" i="8" a="1"/>
  <c r="X591" i="8" s="1"/>
  <c r="W591" i="8" a="1"/>
  <c r="W591" i="8" s="1"/>
  <c r="V591" i="8" a="1"/>
  <c r="V591" i="8" s="1"/>
  <c r="U591" i="8" a="1"/>
  <c r="U591" i="8" s="1"/>
  <c r="T591" i="8" a="1"/>
  <c r="T591" i="8" s="1"/>
  <c r="S591" i="8" a="1"/>
  <c r="S591" i="8" s="1"/>
  <c r="R591" i="8" a="1"/>
  <c r="R591" i="8" s="1"/>
  <c r="Q591" i="8" a="1"/>
  <c r="Q591" i="8" s="1"/>
  <c r="P591" i="8" a="1"/>
  <c r="P591" i="8" s="1"/>
  <c r="O591" i="8" a="1"/>
  <c r="O591" i="8" s="1"/>
  <c r="N591" i="8" a="1"/>
  <c r="N591" i="8" s="1"/>
  <c r="M591" i="8" a="1"/>
  <c r="M591" i="8" s="1"/>
  <c r="L591" i="8" a="1"/>
  <c r="L591" i="8" s="1"/>
  <c r="K591" i="8" a="1"/>
  <c r="K591" i="8" s="1"/>
  <c r="J591" i="8" a="1"/>
  <c r="J591" i="8" s="1"/>
  <c r="I591" i="8" a="1"/>
  <c r="I591" i="8" s="1"/>
  <c r="H591" i="8" a="1"/>
  <c r="H591" i="8" s="1"/>
  <c r="G591" i="8" a="1"/>
  <c r="G591" i="8" s="1"/>
  <c r="F591" i="8" a="1"/>
  <c r="F591" i="8" s="1"/>
  <c r="E591" i="8" a="1"/>
  <c r="E591" i="8" s="1"/>
  <c r="AB590" i="8" a="1"/>
  <c r="AB590" i="8" s="1"/>
  <c r="AA590" i="8" a="1"/>
  <c r="AA590" i="8" s="1"/>
  <c r="Z590" i="8" a="1"/>
  <c r="Z590" i="8" s="1"/>
  <c r="Y590" i="8" a="1"/>
  <c r="Y590" i="8" s="1"/>
  <c r="X590" i="8" a="1"/>
  <c r="X590" i="8" s="1"/>
  <c r="W590" i="8" a="1"/>
  <c r="W590" i="8" s="1"/>
  <c r="V590" i="8" a="1"/>
  <c r="V590" i="8" s="1"/>
  <c r="U590" i="8" a="1"/>
  <c r="U590" i="8" s="1"/>
  <c r="T590" i="8" a="1"/>
  <c r="T590" i="8" s="1"/>
  <c r="S590" i="8" a="1"/>
  <c r="S590" i="8" s="1"/>
  <c r="R590" i="8" a="1"/>
  <c r="R590" i="8" s="1"/>
  <c r="Q590" i="8" a="1"/>
  <c r="Q590" i="8" s="1"/>
  <c r="P590" i="8" a="1"/>
  <c r="P590" i="8" s="1"/>
  <c r="O590" i="8" a="1"/>
  <c r="O590" i="8" s="1"/>
  <c r="N590" i="8" a="1"/>
  <c r="N590" i="8" s="1"/>
  <c r="M590" i="8" a="1"/>
  <c r="M590" i="8" s="1"/>
  <c r="L590" i="8" a="1"/>
  <c r="L590" i="8" s="1"/>
  <c r="K590" i="8" a="1"/>
  <c r="K590" i="8" s="1"/>
  <c r="J590" i="8" a="1"/>
  <c r="J590" i="8" s="1"/>
  <c r="I590" i="8" a="1"/>
  <c r="I590" i="8" s="1"/>
  <c r="H590" i="8" a="1"/>
  <c r="H590" i="8" s="1"/>
  <c r="G590" i="8" a="1"/>
  <c r="G590" i="8" s="1"/>
  <c r="F590" i="8" a="1"/>
  <c r="F590" i="8" s="1"/>
  <c r="E590" i="8" a="1"/>
  <c r="E590" i="8" s="1"/>
  <c r="AB589" i="8" a="1"/>
  <c r="AB589" i="8" s="1"/>
  <c r="AA589" i="8" a="1"/>
  <c r="AA589" i="8" s="1"/>
  <c r="Z589" i="8" a="1"/>
  <c r="Z589" i="8" s="1"/>
  <c r="Y589" i="8" a="1"/>
  <c r="Y589" i="8" s="1"/>
  <c r="X589" i="8" a="1"/>
  <c r="X589" i="8" s="1"/>
  <c r="W589" i="8" a="1"/>
  <c r="W589" i="8" s="1"/>
  <c r="V589" i="8" a="1"/>
  <c r="V589" i="8" s="1"/>
  <c r="U589" i="8" a="1"/>
  <c r="U589" i="8" s="1"/>
  <c r="T589" i="8" a="1"/>
  <c r="T589" i="8" s="1"/>
  <c r="S589" i="8" a="1"/>
  <c r="S589" i="8" s="1"/>
  <c r="R589" i="8" a="1"/>
  <c r="R589" i="8" s="1"/>
  <c r="Q589" i="8" a="1"/>
  <c r="Q589" i="8" s="1"/>
  <c r="P589" i="8" a="1"/>
  <c r="P589" i="8" s="1"/>
  <c r="O589" i="8" a="1"/>
  <c r="O589" i="8" s="1"/>
  <c r="N589" i="8" a="1"/>
  <c r="N589" i="8" s="1"/>
  <c r="M589" i="8" a="1"/>
  <c r="M589" i="8" s="1"/>
  <c r="L589" i="8" a="1"/>
  <c r="L589" i="8" s="1"/>
  <c r="K589" i="8" a="1"/>
  <c r="K589" i="8" s="1"/>
  <c r="J589" i="8" a="1"/>
  <c r="J589" i="8" s="1"/>
  <c r="I589" i="8" a="1"/>
  <c r="I589" i="8" s="1"/>
  <c r="H589" i="8" a="1"/>
  <c r="H589" i="8" s="1"/>
  <c r="G589" i="8" a="1"/>
  <c r="G589" i="8" s="1"/>
  <c r="F589" i="8" a="1"/>
  <c r="F589" i="8" s="1"/>
  <c r="E589" i="8" a="1"/>
  <c r="E589" i="8" s="1"/>
  <c r="AB588" i="8" a="1"/>
  <c r="AB588" i="8" s="1"/>
  <c r="AA588" i="8" a="1"/>
  <c r="AA588" i="8" s="1"/>
  <c r="Z588" i="8" a="1"/>
  <c r="Z588" i="8" s="1"/>
  <c r="Y588" i="8" a="1"/>
  <c r="Y588" i="8" s="1"/>
  <c r="X588" i="8" a="1"/>
  <c r="X588" i="8" s="1"/>
  <c r="W588" i="8" a="1"/>
  <c r="W588" i="8" s="1"/>
  <c r="V588" i="8" a="1"/>
  <c r="V588" i="8" s="1"/>
  <c r="U588" i="8" a="1"/>
  <c r="U588" i="8" s="1"/>
  <c r="T588" i="8" a="1"/>
  <c r="T588" i="8" s="1"/>
  <c r="S588" i="8" a="1"/>
  <c r="S588" i="8" s="1"/>
  <c r="R588" i="8" a="1"/>
  <c r="R588" i="8" s="1"/>
  <c r="Q588" i="8" a="1"/>
  <c r="Q588" i="8" s="1"/>
  <c r="P588" i="8" a="1"/>
  <c r="P588" i="8" s="1"/>
  <c r="O588" i="8" a="1"/>
  <c r="O588" i="8" s="1"/>
  <c r="N588" i="8" a="1"/>
  <c r="N588" i="8" s="1"/>
  <c r="M588" i="8" a="1"/>
  <c r="M588" i="8" s="1"/>
  <c r="L588" i="8" a="1"/>
  <c r="L588" i="8" s="1"/>
  <c r="K588" i="8" a="1"/>
  <c r="K588" i="8" s="1"/>
  <c r="J588" i="8" a="1"/>
  <c r="J588" i="8" s="1"/>
  <c r="I588" i="8" a="1"/>
  <c r="I588" i="8" s="1"/>
  <c r="H588" i="8" a="1"/>
  <c r="H588" i="8" s="1"/>
  <c r="G588" i="8" a="1"/>
  <c r="G588" i="8" s="1"/>
  <c r="F588" i="8" a="1"/>
  <c r="F588" i="8" s="1"/>
  <c r="E588" i="8" a="1"/>
  <c r="E588" i="8" s="1"/>
  <c r="AB587" i="8" a="1"/>
  <c r="AB587" i="8" s="1"/>
  <c r="AA587" i="8" a="1"/>
  <c r="AA587" i="8" s="1"/>
  <c r="Z587" i="8" a="1"/>
  <c r="Z587" i="8" s="1"/>
  <c r="Y587" i="8" a="1"/>
  <c r="Y587" i="8" s="1"/>
  <c r="X587" i="8" a="1"/>
  <c r="X587" i="8" s="1"/>
  <c r="W587" i="8" a="1"/>
  <c r="W587" i="8" s="1"/>
  <c r="V587" i="8" a="1"/>
  <c r="V587" i="8" s="1"/>
  <c r="U587" i="8" a="1"/>
  <c r="U587" i="8" s="1"/>
  <c r="T587" i="8" a="1"/>
  <c r="T587" i="8" s="1"/>
  <c r="S587" i="8" a="1"/>
  <c r="S587" i="8" s="1"/>
  <c r="R587" i="8" a="1"/>
  <c r="R587" i="8" s="1"/>
  <c r="Q587" i="8" a="1"/>
  <c r="Q587" i="8" s="1"/>
  <c r="P587" i="8" a="1"/>
  <c r="P587" i="8" s="1"/>
  <c r="O587" i="8" a="1"/>
  <c r="O587" i="8" s="1"/>
  <c r="N587" i="8" a="1"/>
  <c r="N587" i="8" s="1"/>
  <c r="M587" i="8" a="1"/>
  <c r="M587" i="8" s="1"/>
  <c r="L587" i="8" a="1"/>
  <c r="L587" i="8" s="1"/>
  <c r="K587" i="8" a="1"/>
  <c r="K587" i="8" s="1"/>
  <c r="J587" i="8" a="1"/>
  <c r="J587" i="8" s="1"/>
  <c r="I587" i="8" a="1"/>
  <c r="I587" i="8" s="1"/>
  <c r="H587" i="8" a="1"/>
  <c r="H587" i="8" s="1"/>
  <c r="G587" i="8" a="1"/>
  <c r="G587" i="8" s="1"/>
  <c r="F587" i="8" a="1"/>
  <c r="F587" i="8" s="1"/>
  <c r="E587" i="8" a="1"/>
  <c r="E587" i="8" s="1"/>
  <c r="AB586" i="8" a="1"/>
  <c r="AB586" i="8" s="1"/>
  <c r="AA586" i="8" a="1"/>
  <c r="AA586" i="8" s="1"/>
  <c r="Z586" i="8" a="1"/>
  <c r="Z586" i="8" s="1"/>
  <c r="Y586" i="8" a="1"/>
  <c r="Y586" i="8" s="1"/>
  <c r="X586" i="8" a="1"/>
  <c r="X586" i="8" s="1"/>
  <c r="W586" i="8" a="1"/>
  <c r="W586" i="8" s="1"/>
  <c r="V586" i="8" a="1"/>
  <c r="V586" i="8" s="1"/>
  <c r="U586" i="8" a="1"/>
  <c r="U586" i="8" s="1"/>
  <c r="T586" i="8" a="1"/>
  <c r="T586" i="8" s="1"/>
  <c r="S586" i="8" a="1"/>
  <c r="S586" i="8" s="1"/>
  <c r="R586" i="8" a="1"/>
  <c r="R586" i="8" s="1"/>
  <c r="Q586" i="8" a="1"/>
  <c r="Q586" i="8" s="1"/>
  <c r="P586" i="8" a="1"/>
  <c r="P586" i="8" s="1"/>
  <c r="O586" i="8" a="1"/>
  <c r="O586" i="8" s="1"/>
  <c r="N586" i="8" a="1"/>
  <c r="N586" i="8" s="1"/>
  <c r="M586" i="8" a="1"/>
  <c r="M586" i="8" s="1"/>
  <c r="L586" i="8" a="1"/>
  <c r="L586" i="8" s="1"/>
  <c r="K586" i="8" a="1"/>
  <c r="K586" i="8" s="1"/>
  <c r="J586" i="8" a="1"/>
  <c r="J586" i="8" s="1"/>
  <c r="I586" i="8" a="1"/>
  <c r="I586" i="8" s="1"/>
  <c r="H586" i="8" a="1"/>
  <c r="H586" i="8" s="1"/>
  <c r="G586" i="8" a="1"/>
  <c r="G586" i="8" s="1"/>
  <c r="F586" i="8" a="1"/>
  <c r="F586" i="8" s="1"/>
  <c r="E586" i="8" a="1"/>
  <c r="E586" i="8" s="1"/>
  <c r="AB585" i="8" a="1"/>
  <c r="AB585" i="8" s="1"/>
  <c r="AA585" i="8" a="1"/>
  <c r="AA585" i="8" s="1"/>
  <c r="Z585" i="8" a="1"/>
  <c r="Z585" i="8" s="1"/>
  <c r="Y585" i="8" a="1"/>
  <c r="Y585" i="8" s="1"/>
  <c r="X585" i="8" a="1"/>
  <c r="X585" i="8" s="1"/>
  <c r="W585" i="8" a="1"/>
  <c r="W585" i="8" s="1"/>
  <c r="V585" i="8" a="1"/>
  <c r="V585" i="8" s="1"/>
  <c r="U585" i="8" a="1"/>
  <c r="U585" i="8" s="1"/>
  <c r="T585" i="8" a="1"/>
  <c r="T585" i="8" s="1"/>
  <c r="S585" i="8" a="1"/>
  <c r="S585" i="8" s="1"/>
  <c r="R585" i="8" a="1"/>
  <c r="R585" i="8" s="1"/>
  <c r="Q585" i="8" a="1"/>
  <c r="Q585" i="8" s="1"/>
  <c r="P585" i="8" a="1"/>
  <c r="P585" i="8" s="1"/>
  <c r="O585" i="8" a="1"/>
  <c r="O585" i="8" s="1"/>
  <c r="N585" i="8" a="1"/>
  <c r="N585" i="8" s="1"/>
  <c r="M585" i="8" a="1"/>
  <c r="M585" i="8" s="1"/>
  <c r="L585" i="8" a="1"/>
  <c r="L585" i="8" s="1"/>
  <c r="K585" i="8" a="1"/>
  <c r="K585" i="8" s="1"/>
  <c r="J585" i="8" a="1"/>
  <c r="J585" i="8" s="1"/>
  <c r="I585" i="8" a="1"/>
  <c r="I585" i="8" s="1"/>
  <c r="H585" i="8" a="1"/>
  <c r="H585" i="8" s="1"/>
  <c r="G585" i="8" a="1"/>
  <c r="G585" i="8" s="1"/>
  <c r="F585" i="8" a="1"/>
  <c r="F585" i="8" s="1"/>
  <c r="E585" i="8" a="1"/>
  <c r="E585" i="8" s="1"/>
  <c r="AB584" i="8" a="1"/>
  <c r="AB584" i="8" s="1"/>
  <c r="AA584" i="8" a="1"/>
  <c r="AA584" i="8" s="1"/>
  <c r="Z584" i="8" a="1"/>
  <c r="Z584" i="8" s="1"/>
  <c r="Y584" i="8" a="1"/>
  <c r="Y584" i="8" s="1"/>
  <c r="X584" i="8" a="1"/>
  <c r="X584" i="8" s="1"/>
  <c r="W584" i="8" a="1"/>
  <c r="W584" i="8" s="1"/>
  <c r="V584" i="8" a="1"/>
  <c r="V584" i="8" s="1"/>
  <c r="U584" i="8" a="1"/>
  <c r="U584" i="8" s="1"/>
  <c r="T584" i="8" a="1"/>
  <c r="T584" i="8" s="1"/>
  <c r="S584" i="8" a="1"/>
  <c r="S584" i="8" s="1"/>
  <c r="R584" i="8" a="1"/>
  <c r="R584" i="8" s="1"/>
  <c r="Q584" i="8" a="1"/>
  <c r="Q584" i="8" s="1"/>
  <c r="P584" i="8" a="1"/>
  <c r="P584" i="8" s="1"/>
  <c r="O584" i="8" a="1"/>
  <c r="O584" i="8" s="1"/>
  <c r="N584" i="8" a="1"/>
  <c r="N584" i="8" s="1"/>
  <c r="M584" i="8" a="1"/>
  <c r="M584" i="8" s="1"/>
  <c r="L584" i="8" a="1"/>
  <c r="L584" i="8" s="1"/>
  <c r="K584" i="8" a="1"/>
  <c r="K584" i="8" s="1"/>
  <c r="J584" i="8" a="1"/>
  <c r="J584" i="8" s="1"/>
  <c r="I584" i="8" a="1"/>
  <c r="I584" i="8" s="1"/>
  <c r="H584" i="8" a="1"/>
  <c r="H584" i="8" s="1"/>
  <c r="G584" i="8" a="1"/>
  <c r="G584" i="8" s="1"/>
  <c r="F584" i="8" a="1"/>
  <c r="F584" i="8" s="1"/>
  <c r="E584" i="8" a="1"/>
  <c r="E584" i="8" s="1"/>
  <c r="AB583" i="8" a="1"/>
  <c r="AB583" i="8" s="1"/>
  <c r="AA583" i="8" a="1"/>
  <c r="AA583" i="8" s="1"/>
  <c r="Z583" i="8" a="1"/>
  <c r="Z583" i="8" s="1"/>
  <c r="Y583" i="8" a="1"/>
  <c r="Y583" i="8" s="1"/>
  <c r="X583" i="8" a="1"/>
  <c r="X583" i="8" s="1"/>
  <c r="W583" i="8" a="1"/>
  <c r="W583" i="8" s="1"/>
  <c r="V583" i="8" a="1"/>
  <c r="V583" i="8" s="1"/>
  <c r="U583" i="8" a="1"/>
  <c r="U583" i="8" s="1"/>
  <c r="T583" i="8" a="1"/>
  <c r="T583" i="8" s="1"/>
  <c r="S583" i="8" a="1"/>
  <c r="S583" i="8" s="1"/>
  <c r="R583" i="8" a="1"/>
  <c r="R583" i="8" s="1"/>
  <c r="Q583" i="8" a="1"/>
  <c r="Q583" i="8" s="1"/>
  <c r="P583" i="8" a="1"/>
  <c r="P583" i="8" s="1"/>
  <c r="O583" i="8" a="1"/>
  <c r="O583" i="8" s="1"/>
  <c r="N583" i="8" a="1"/>
  <c r="N583" i="8" s="1"/>
  <c r="M583" i="8" a="1"/>
  <c r="M583" i="8" s="1"/>
  <c r="L583" i="8" a="1"/>
  <c r="L583" i="8" s="1"/>
  <c r="K583" i="8" a="1"/>
  <c r="K583" i="8" s="1"/>
  <c r="J583" i="8" a="1"/>
  <c r="J583" i="8" s="1"/>
  <c r="I583" i="8" a="1"/>
  <c r="I583" i="8" s="1"/>
  <c r="H583" i="8" a="1"/>
  <c r="H583" i="8" s="1"/>
  <c r="G583" i="8" a="1"/>
  <c r="G583" i="8" s="1"/>
  <c r="F583" i="8" a="1"/>
  <c r="F583" i="8" s="1"/>
  <c r="E583" i="8" a="1"/>
  <c r="E583" i="8" s="1"/>
  <c r="AB582" i="8" a="1"/>
  <c r="AB582" i="8" s="1"/>
  <c r="AA582" i="8" a="1"/>
  <c r="AA582" i="8" s="1"/>
  <c r="Z582" i="8" a="1"/>
  <c r="Z582" i="8" s="1"/>
  <c r="Y582" i="8" a="1"/>
  <c r="Y582" i="8" s="1"/>
  <c r="X582" i="8" a="1"/>
  <c r="X582" i="8" s="1"/>
  <c r="W582" i="8" a="1"/>
  <c r="W582" i="8" s="1"/>
  <c r="V582" i="8" a="1"/>
  <c r="V582" i="8" s="1"/>
  <c r="U582" i="8" a="1"/>
  <c r="U582" i="8" s="1"/>
  <c r="T582" i="8" a="1"/>
  <c r="T582" i="8" s="1"/>
  <c r="S582" i="8" a="1"/>
  <c r="S582" i="8" s="1"/>
  <c r="R582" i="8" a="1"/>
  <c r="R582" i="8" s="1"/>
  <c r="Q582" i="8" a="1"/>
  <c r="Q582" i="8" s="1"/>
  <c r="P582" i="8" a="1"/>
  <c r="P582" i="8" s="1"/>
  <c r="O582" i="8" a="1"/>
  <c r="O582" i="8" s="1"/>
  <c r="N582" i="8" a="1"/>
  <c r="N582" i="8" s="1"/>
  <c r="M582" i="8" a="1"/>
  <c r="M582" i="8" s="1"/>
  <c r="L582" i="8" a="1"/>
  <c r="L582" i="8" s="1"/>
  <c r="K582" i="8" a="1"/>
  <c r="K582" i="8" s="1"/>
  <c r="J582" i="8" a="1"/>
  <c r="J582" i="8" s="1"/>
  <c r="I582" i="8" a="1"/>
  <c r="I582" i="8" s="1"/>
  <c r="H582" i="8" a="1"/>
  <c r="H582" i="8" s="1"/>
  <c r="G582" i="8" a="1"/>
  <c r="G582" i="8" s="1"/>
  <c r="F582" i="8" a="1"/>
  <c r="F582" i="8" s="1"/>
  <c r="E582" i="8" a="1"/>
  <c r="E582" i="8" s="1"/>
  <c r="AB581" i="8" a="1"/>
  <c r="AB581" i="8" s="1"/>
  <c r="AA581" i="8" a="1"/>
  <c r="AA581" i="8" s="1"/>
  <c r="Z581" i="8" a="1"/>
  <c r="Z581" i="8" s="1"/>
  <c r="Y581" i="8" a="1"/>
  <c r="Y581" i="8" s="1"/>
  <c r="X581" i="8" a="1"/>
  <c r="X581" i="8" s="1"/>
  <c r="W581" i="8" a="1"/>
  <c r="W581" i="8" s="1"/>
  <c r="V581" i="8" a="1"/>
  <c r="V581" i="8" s="1"/>
  <c r="U581" i="8" a="1"/>
  <c r="U581" i="8" s="1"/>
  <c r="T581" i="8" a="1"/>
  <c r="T581" i="8" s="1"/>
  <c r="S581" i="8" a="1"/>
  <c r="S581" i="8" s="1"/>
  <c r="R581" i="8" a="1"/>
  <c r="R581" i="8" s="1"/>
  <c r="Q581" i="8" a="1"/>
  <c r="Q581" i="8" s="1"/>
  <c r="P581" i="8" a="1"/>
  <c r="P581" i="8" s="1"/>
  <c r="O581" i="8" a="1"/>
  <c r="O581" i="8" s="1"/>
  <c r="N581" i="8" a="1"/>
  <c r="N581" i="8" s="1"/>
  <c r="M581" i="8" a="1"/>
  <c r="M581" i="8" s="1"/>
  <c r="L581" i="8" a="1"/>
  <c r="L581" i="8" s="1"/>
  <c r="K581" i="8" a="1"/>
  <c r="K581" i="8" s="1"/>
  <c r="J581" i="8" a="1"/>
  <c r="J581" i="8" s="1"/>
  <c r="I581" i="8" a="1"/>
  <c r="I581" i="8" s="1"/>
  <c r="H581" i="8" a="1"/>
  <c r="H581" i="8" s="1"/>
  <c r="G581" i="8" a="1"/>
  <c r="G581" i="8" s="1"/>
  <c r="F581" i="8" a="1"/>
  <c r="F581" i="8" s="1"/>
  <c r="E581" i="8" a="1"/>
  <c r="E581" i="8" s="1"/>
  <c r="AB580" i="8" a="1"/>
  <c r="AB580" i="8" s="1"/>
  <c r="AA580" i="8" a="1"/>
  <c r="AA580" i="8" s="1"/>
  <c r="Z580" i="8" a="1"/>
  <c r="Z580" i="8" s="1"/>
  <c r="Y580" i="8" a="1"/>
  <c r="Y580" i="8" s="1"/>
  <c r="X580" i="8" a="1"/>
  <c r="X580" i="8" s="1"/>
  <c r="W580" i="8" a="1"/>
  <c r="W580" i="8" s="1"/>
  <c r="V580" i="8" a="1"/>
  <c r="V580" i="8" s="1"/>
  <c r="U580" i="8" a="1"/>
  <c r="U580" i="8" s="1"/>
  <c r="T580" i="8" a="1"/>
  <c r="T580" i="8" s="1"/>
  <c r="S580" i="8" a="1"/>
  <c r="S580" i="8" s="1"/>
  <c r="R580" i="8" a="1"/>
  <c r="R580" i="8" s="1"/>
  <c r="Q580" i="8" a="1"/>
  <c r="Q580" i="8" s="1"/>
  <c r="P580" i="8" a="1"/>
  <c r="P580" i="8" s="1"/>
  <c r="O580" i="8" a="1"/>
  <c r="O580" i="8" s="1"/>
  <c r="N580" i="8" a="1"/>
  <c r="N580" i="8" s="1"/>
  <c r="M580" i="8" a="1"/>
  <c r="M580" i="8" s="1"/>
  <c r="L580" i="8" a="1"/>
  <c r="L580" i="8" s="1"/>
  <c r="K580" i="8" a="1"/>
  <c r="K580" i="8" s="1"/>
  <c r="J580" i="8" a="1"/>
  <c r="J580" i="8" s="1"/>
  <c r="I580" i="8" a="1"/>
  <c r="I580" i="8" s="1"/>
  <c r="H580" i="8" a="1"/>
  <c r="H580" i="8" s="1"/>
  <c r="G580" i="8" a="1"/>
  <c r="G580" i="8" s="1"/>
  <c r="F580" i="8" a="1"/>
  <c r="F580" i="8" s="1"/>
  <c r="E580" i="8" a="1"/>
  <c r="E580" i="8" s="1"/>
  <c r="AB579" i="8" a="1"/>
  <c r="AB579" i="8" s="1"/>
  <c r="AA579" i="8" a="1"/>
  <c r="AA579" i="8" s="1"/>
  <c r="Z579" i="8" a="1"/>
  <c r="Z579" i="8" s="1"/>
  <c r="Y579" i="8" a="1"/>
  <c r="Y579" i="8" s="1"/>
  <c r="X579" i="8" a="1"/>
  <c r="X579" i="8" s="1"/>
  <c r="W579" i="8" a="1"/>
  <c r="W579" i="8" s="1"/>
  <c r="V579" i="8" a="1"/>
  <c r="V579" i="8" s="1"/>
  <c r="U579" i="8" a="1"/>
  <c r="U579" i="8" s="1"/>
  <c r="T579" i="8" a="1"/>
  <c r="T579" i="8" s="1"/>
  <c r="S579" i="8" a="1"/>
  <c r="S579" i="8" s="1"/>
  <c r="R579" i="8" a="1"/>
  <c r="R579" i="8" s="1"/>
  <c r="Q579" i="8" a="1"/>
  <c r="Q579" i="8" s="1"/>
  <c r="P579" i="8" a="1"/>
  <c r="P579" i="8" s="1"/>
  <c r="O579" i="8" a="1"/>
  <c r="O579" i="8" s="1"/>
  <c r="N579" i="8" a="1"/>
  <c r="N579" i="8" s="1"/>
  <c r="M579" i="8" a="1"/>
  <c r="M579" i="8" s="1"/>
  <c r="L579" i="8" a="1"/>
  <c r="L579" i="8" s="1"/>
  <c r="K579" i="8" a="1"/>
  <c r="K579" i="8" s="1"/>
  <c r="J579" i="8" a="1"/>
  <c r="J579" i="8" s="1"/>
  <c r="I579" i="8" a="1"/>
  <c r="I579" i="8" s="1"/>
  <c r="H579" i="8" a="1"/>
  <c r="H579" i="8" s="1"/>
  <c r="G579" i="8" a="1"/>
  <c r="G579" i="8" s="1"/>
  <c r="F579" i="8" a="1"/>
  <c r="F579" i="8" s="1"/>
  <c r="E579" i="8" a="1"/>
  <c r="E579" i="8" s="1"/>
  <c r="AB578" i="8" a="1"/>
  <c r="AB578" i="8" s="1"/>
  <c r="AA578" i="8" a="1"/>
  <c r="AA578" i="8" s="1"/>
  <c r="Z578" i="8" a="1"/>
  <c r="Z578" i="8" s="1"/>
  <c r="Y578" i="8" a="1"/>
  <c r="Y578" i="8" s="1"/>
  <c r="X578" i="8" a="1"/>
  <c r="X578" i="8" s="1"/>
  <c r="W578" i="8" a="1"/>
  <c r="W578" i="8" s="1"/>
  <c r="V578" i="8" a="1"/>
  <c r="V578" i="8" s="1"/>
  <c r="U578" i="8" a="1"/>
  <c r="U578" i="8" s="1"/>
  <c r="T578" i="8" a="1"/>
  <c r="T578" i="8" s="1"/>
  <c r="S578" i="8" a="1"/>
  <c r="S578" i="8" s="1"/>
  <c r="R578" i="8" a="1"/>
  <c r="R578" i="8" s="1"/>
  <c r="Q578" i="8" a="1"/>
  <c r="Q578" i="8" s="1"/>
  <c r="P578" i="8" a="1"/>
  <c r="P578" i="8" s="1"/>
  <c r="O578" i="8" a="1"/>
  <c r="O578" i="8" s="1"/>
  <c r="N578" i="8" a="1"/>
  <c r="N578" i="8" s="1"/>
  <c r="M578" i="8" a="1"/>
  <c r="M578" i="8" s="1"/>
  <c r="L578" i="8" a="1"/>
  <c r="L578" i="8" s="1"/>
  <c r="K578" i="8" a="1"/>
  <c r="K578" i="8" s="1"/>
  <c r="J578" i="8" a="1"/>
  <c r="J578" i="8" s="1"/>
  <c r="I578" i="8" a="1"/>
  <c r="I578" i="8" s="1"/>
  <c r="H578" i="8" a="1"/>
  <c r="H578" i="8" s="1"/>
  <c r="G578" i="8" a="1"/>
  <c r="G578" i="8" s="1"/>
  <c r="F578" i="8" a="1"/>
  <c r="F578" i="8" s="1"/>
  <c r="E578" i="8" a="1"/>
  <c r="E578" i="8" s="1"/>
  <c r="AB577" i="8" a="1"/>
  <c r="AB577" i="8" s="1"/>
  <c r="AA577" i="8" a="1"/>
  <c r="AA577" i="8" s="1"/>
  <c r="Z577" i="8" a="1"/>
  <c r="Z577" i="8" s="1"/>
  <c r="Y577" i="8" a="1"/>
  <c r="Y577" i="8" s="1"/>
  <c r="X577" i="8" a="1"/>
  <c r="X577" i="8" s="1"/>
  <c r="W577" i="8" a="1"/>
  <c r="W577" i="8" s="1"/>
  <c r="V577" i="8" a="1"/>
  <c r="V577" i="8" s="1"/>
  <c r="U577" i="8" a="1"/>
  <c r="U577" i="8" s="1"/>
  <c r="T577" i="8" a="1"/>
  <c r="T577" i="8" s="1"/>
  <c r="S577" i="8" a="1"/>
  <c r="S577" i="8" s="1"/>
  <c r="R577" i="8" a="1"/>
  <c r="R577" i="8" s="1"/>
  <c r="Q577" i="8" a="1"/>
  <c r="Q577" i="8" s="1"/>
  <c r="P577" i="8" a="1"/>
  <c r="P577" i="8" s="1"/>
  <c r="O577" i="8" a="1"/>
  <c r="O577" i="8" s="1"/>
  <c r="N577" i="8" a="1"/>
  <c r="N577" i="8" s="1"/>
  <c r="M577" i="8" a="1"/>
  <c r="M577" i="8" s="1"/>
  <c r="L577" i="8" a="1"/>
  <c r="L577" i="8" s="1"/>
  <c r="K577" i="8" a="1"/>
  <c r="K577" i="8" s="1"/>
  <c r="J577" i="8" a="1"/>
  <c r="J577" i="8" s="1"/>
  <c r="I577" i="8" a="1"/>
  <c r="I577" i="8" s="1"/>
  <c r="H577" i="8" a="1"/>
  <c r="H577" i="8" s="1"/>
  <c r="G577" i="8" a="1"/>
  <c r="G577" i="8" s="1"/>
  <c r="F577" i="8" a="1"/>
  <c r="F577" i="8" s="1"/>
  <c r="E577" i="8" a="1"/>
  <c r="E577" i="8" s="1"/>
  <c r="AB576" i="8" a="1"/>
  <c r="AB576" i="8" s="1"/>
  <c r="AA576" i="8" a="1"/>
  <c r="AA576" i="8" s="1"/>
  <c r="Z576" i="8" a="1"/>
  <c r="Z576" i="8" s="1"/>
  <c r="Y576" i="8" a="1"/>
  <c r="Y576" i="8" s="1"/>
  <c r="X576" i="8" a="1"/>
  <c r="X576" i="8" s="1"/>
  <c r="W576" i="8" a="1"/>
  <c r="W576" i="8" s="1"/>
  <c r="V576" i="8" a="1"/>
  <c r="V576" i="8" s="1"/>
  <c r="U576" i="8" a="1"/>
  <c r="U576" i="8" s="1"/>
  <c r="T576" i="8" a="1"/>
  <c r="T576" i="8" s="1"/>
  <c r="S576" i="8" a="1"/>
  <c r="S576" i="8" s="1"/>
  <c r="R576" i="8" a="1"/>
  <c r="R576" i="8" s="1"/>
  <c r="Q576" i="8" a="1"/>
  <c r="Q576" i="8" s="1"/>
  <c r="P576" i="8" a="1"/>
  <c r="P576" i="8" s="1"/>
  <c r="O576" i="8" a="1"/>
  <c r="O576" i="8" s="1"/>
  <c r="N576" i="8" a="1"/>
  <c r="N576" i="8" s="1"/>
  <c r="M576" i="8" a="1"/>
  <c r="M576" i="8" s="1"/>
  <c r="L576" i="8" a="1"/>
  <c r="L576" i="8" s="1"/>
  <c r="K576" i="8" a="1"/>
  <c r="K576" i="8" s="1"/>
  <c r="J576" i="8" a="1"/>
  <c r="J576" i="8" s="1"/>
  <c r="I576" i="8" a="1"/>
  <c r="I576" i="8" s="1"/>
  <c r="H576" i="8" a="1"/>
  <c r="H576" i="8" s="1"/>
  <c r="G576" i="8" a="1"/>
  <c r="G576" i="8" s="1"/>
  <c r="F576" i="8" a="1"/>
  <c r="F576" i="8" s="1"/>
  <c r="E576" i="8" a="1"/>
  <c r="E576" i="8" s="1"/>
  <c r="AB575" i="8" a="1"/>
  <c r="AB575" i="8" s="1"/>
  <c r="AA575" i="8" a="1"/>
  <c r="AA575" i="8" s="1"/>
  <c r="Z575" i="8" a="1"/>
  <c r="Z575" i="8" s="1"/>
  <c r="Y575" i="8" a="1"/>
  <c r="Y575" i="8" s="1"/>
  <c r="X575" i="8" a="1"/>
  <c r="X575" i="8" s="1"/>
  <c r="W575" i="8" a="1"/>
  <c r="W575" i="8" s="1"/>
  <c r="V575" i="8" a="1"/>
  <c r="V575" i="8" s="1"/>
  <c r="U575" i="8" a="1"/>
  <c r="U575" i="8" s="1"/>
  <c r="T575" i="8" a="1"/>
  <c r="T575" i="8" s="1"/>
  <c r="S575" i="8" a="1"/>
  <c r="S575" i="8" s="1"/>
  <c r="R575" i="8" a="1"/>
  <c r="R575" i="8" s="1"/>
  <c r="Q575" i="8" a="1"/>
  <c r="Q575" i="8" s="1"/>
  <c r="P575" i="8" a="1"/>
  <c r="P575" i="8" s="1"/>
  <c r="O575" i="8" a="1"/>
  <c r="O575" i="8" s="1"/>
  <c r="N575" i="8" a="1"/>
  <c r="N575" i="8" s="1"/>
  <c r="M575" i="8" a="1"/>
  <c r="M575" i="8" s="1"/>
  <c r="L575" i="8" a="1"/>
  <c r="L575" i="8" s="1"/>
  <c r="K575" i="8" a="1"/>
  <c r="K575" i="8" s="1"/>
  <c r="J575" i="8" a="1"/>
  <c r="J575" i="8" s="1"/>
  <c r="I575" i="8" a="1"/>
  <c r="I575" i="8" s="1"/>
  <c r="H575" i="8" a="1"/>
  <c r="H575" i="8" s="1"/>
  <c r="G575" i="8" a="1"/>
  <c r="G575" i="8" s="1"/>
  <c r="F575" i="8" a="1"/>
  <c r="F575" i="8" s="1"/>
  <c r="E575" i="8" a="1"/>
  <c r="E575" i="8" s="1"/>
  <c r="AB574" i="8" a="1"/>
  <c r="AB574" i="8" s="1"/>
  <c r="AA574" i="8" a="1"/>
  <c r="AA574" i="8" s="1"/>
  <c r="Z574" i="8" a="1"/>
  <c r="Z574" i="8" s="1"/>
  <c r="Y574" i="8" a="1"/>
  <c r="Y574" i="8" s="1"/>
  <c r="X574" i="8" a="1"/>
  <c r="X574" i="8" s="1"/>
  <c r="W574" i="8" a="1"/>
  <c r="W574" i="8" s="1"/>
  <c r="V574" i="8" a="1"/>
  <c r="V574" i="8" s="1"/>
  <c r="U574" i="8" a="1"/>
  <c r="U574" i="8" s="1"/>
  <c r="T574" i="8" a="1"/>
  <c r="T574" i="8" s="1"/>
  <c r="S574" i="8" a="1"/>
  <c r="S574" i="8" s="1"/>
  <c r="R574" i="8" a="1"/>
  <c r="R574" i="8" s="1"/>
  <c r="Q574" i="8" a="1"/>
  <c r="Q574" i="8" s="1"/>
  <c r="P574" i="8" a="1"/>
  <c r="P574" i="8" s="1"/>
  <c r="O574" i="8" a="1"/>
  <c r="O574" i="8" s="1"/>
  <c r="N574" i="8" a="1"/>
  <c r="N574" i="8" s="1"/>
  <c r="M574" i="8" a="1"/>
  <c r="M574" i="8" s="1"/>
  <c r="L574" i="8" a="1"/>
  <c r="L574" i="8" s="1"/>
  <c r="K574" i="8" a="1"/>
  <c r="K574" i="8" s="1"/>
  <c r="J574" i="8" a="1"/>
  <c r="J574" i="8" s="1"/>
  <c r="I574" i="8" a="1"/>
  <c r="I574" i="8" s="1"/>
  <c r="H574" i="8" a="1"/>
  <c r="H574" i="8" s="1"/>
  <c r="G574" i="8" a="1"/>
  <c r="G574" i="8" s="1"/>
  <c r="F574" i="8" a="1"/>
  <c r="F574" i="8" s="1"/>
  <c r="E574" i="8" a="1"/>
  <c r="E574" i="8" s="1"/>
  <c r="AB573" i="8" a="1"/>
  <c r="AB573" i="8" s="1"/>
  <c r="AA573" i="8" a="1"/>
  <c r="AA573" i="8" s="1"/>
  <c r="Z573" i="8" a="1"/>
  <c r="Z573" i="8" s="1"/>
  <c r="Y573" i="8" a="1"/>
  <c r="Y573" i="8" s="1"/>
  <c r="X573" i="8" a="1"/>
  <c r="X573" i="8" s="1"/>
  <c r="W573" i="8" a="1"/>
  <c r="W573" i="8" s="1"/>
  <c r="V573" i="8" a="1"/>
  <c r="V573" i="8" s="1"/>
  <c r="U573" i="8" a="1"/>
  <c r="U573" i="8" s="1"/>
  <c r="T573" i="8" a="1"/>
  <c r="T573" i="8" s="1"/>
  <c r="S573" i="8" a="1"/>
  <c r="S573" i="8" s="1"/>
  <c r="R573" i="8" a="1"/>
  <c r="R573" i="8" s="1"/>
  <c r="Q573" i="8" a="1"/>
  <c r="Q573" i="8" s="1"/>
  <c r="P573" i="8" a="1"/>
  <c r="P573" i="8" s="1"/>
  <c r="O573" i="8" a="1"/>
  <c r="O573" i="8" s="1"/>
  <c r="N573" i="8" a="1"/>
  <c r="N573" i="8" s="1"/>
  <c r="M573" i="8" a="1"/>
  <c r="M573" i="8" s="1"/>
  <c r="L573" i="8" a="1"/>
  <c r="L573" i="8" s="1"/>
  <c r="K573" i="8" a="1"/>
  <c r="K573" i="8" s="1"/>
  <c r="J573" i="8" a="1"/>
  <c r="J573" i="8" s="1"/>
  <c r="I573" i="8" a="1"/>
  <c r="I573" i="8" s="1"/>
  <c r="H573" i="8" a="1"/>
  <c r="H573" i="8" s="1"/>
  <c r="G573" i="8" a="1"/>
  <c r="G573" i="8" s="1"/>
  <c r="F573" i="8" a="1"/>
  <c r="F573" i="8" s="1"/>
  <c r="E573" i="8" a="1"/>
  <c r="E573" i="8" s="1"/>
  <c r="AB572" i="8" a="1"/>
  <c r="AB572" i="8" s="1"/>
  <c r="AA572" i="8" a="1"/>
  <c r="AA572" i="8" s="1"/>
  <c r="Z572" i="8" a="1"/>
  <c r="Z572" i="8" s="1"/>
  <c r="Y572" i="8" a="1"/>
  <c r="Y572" i="8" s="1"/>
  <c r="X572" i="8" a="1"/>
  <c r="X572" i="8" s="1"/>
  <c r="W572" i="8" a="1"/>
  <c r="W572" i="8" s="1"/>
  <c r="V572" i="8" a="1"/>
  <c r="V572" i="8" s="1"/>
  <c r="U572" i="8" a="1"/>
  <c r="U572" i="8" s="1"/>
  <c r="T572" i="8" a="1"/>
  <c r="T572" i="8" s="1"/>
  <c r="S572" i="8" a="1"/>
  <c r="S572" i="8" s="1"/>
  <c r="R572" i="8" a="1"/>
  <c r="R572" i="8" s="1"/>
  <c r="Q572" i="8" a="1"/>
  <c r="Q572" i="8" s="1"/>
  <c r="P572" i="8" a="1"/>
  <c r="P572" i="8" s="1"/>
  <c r="O572" i="8" a="1"/>
  <c r="O572" i="8" s="1"/>
  <c r="N572" i="8" a="1"/>
  <c r="N572" i="8" s="1"/>
  <c r="M572" i="8" a="1"/>
  <c r="M572" i="8" s="1"/>
  <c r="L572" i="8" a="1"/>
  <c r="L572" i="8" s="1"/>
  <c r="K572" i="8" a="1"/>
  <c r="K572" i="8" s="1"/>
  <c r="J572" i="8" a="1"/>
  <c r="J572" i="8" s="1"/>
  <c r="I572" i="8" a="1"/>
  <c r="I572" i="8" s="1"/>
  <c r="H572" i="8" a="1"/>
  <c r="H572" i="8" s="1"/>
  <c r="G572" i="8" a="1"/>
  <c r="G572" i="8" s="1"/>
  <c r="F572" i="8" a="1"/>
  <c r="F572" i="8" s="1"/>
  <c r="E572" i="8" a="1"/>
  <c r="E572" i="8" s="1"/>
  <c r="AB571" i="8" a="1"/>
  <c r="AB571" i="8" s="1"/>
  <c r="AA571" i="8" a="1"/>
  <c r="AA571" i="8" s="1"/>
  <c r="Z571" i="8" a="1"/>
  <c r="Z571" i="8" s="1"/>
  <c r="Y571" i="8" a="1"/>
  <c r="Y571" i="8" s="1"/>
  <c r="X571" i="8" a="1"/>
  <c r="X571" i="8" s="1"/>
  <c r="W571" i="8" a="1"/>
  <c r="W571" i="8" s="1"/>
  <c r="V571" i="8" a="1"/>
  <c r="V571" i="8" s="1"/>
  <c r="U571" i="8" a="1"/>
  <c r="U571" i="8" s="1"/>
  <c r="T571" i="8" a="1"/>
  <c r="T571" i="8" s="1"/>
  <c r="S571" i="8" a="1"/>
  <c r="S571" i="8" s="1"/>
  <c r="R571" i="8" a="1"/>
  <c r="R571" i="8" s="1"/>
  <c r="Q571" i="8" a="1"/>
  <c r="Q571" i="8" s="1"/>
  <c r="P571" i="8" a="1"/>
  <c r="P571" i="8" s="1"/>
  <c r="O571" i="8" a="1"/>
  <c r="O571" i="8" s="1"/>
  <c r="N571" i="8" a="1"/>
  <c r="N571" i="8" s="1"/>
  <c r="M571" i="8" a="1"/>
  <c r="M571" i="8" s="1"/>
  <c r="L571" i="8" a="1"/>
  <c r="L571" i="8" s="1"/>
  <c r="K571" i="8" a="1"/>
  <c r="K571" i="8" s="1"/>
  <c r="J571" i="8" a="1"/>
  <c r="J571" i="8" s="1"/>
  <c r="I571" i="8" a="1"/>
  <c r="I571" i="8" s="1"/>
  <c r="H571" i="8" a="1"/>
  <c r="H571" i="8" s="1"/>
  <c r="G571" i="8" a="1"/>
  <c r="G571" i="8" s="1"/>
  <c r="F571" i="8" a="1"/>
  <c r="F571" i="8" s="1"/>
  <c r="E571" i="8" a="1"/>
  <c r="E571" i="8" s="1"/>
  <c r="AB570" i="8" a="1"/>
  <c r="AB570" i="8" s="1"/>
  <c r="AA570" i="8" a="1"/>
  <c r="AA570" i="8" s="1"/>
  <c r="Z570" i="8" a="1"/>
  <c r="Z570" i="8" s="1"/>
  <c r="Y570" i="8" a="1"/>
  <c r="Y570" i="8" s="1"/>
  <c r="X570" i="8" a="1"/>
  <c r="X570" i="8" s="1"/>
  <c r="W570" i="8" a="1"/>
  <c r="W570" i="8" s="1"/>
  <c r="V570" i="8" a="1"/>
  <c r="V570" i="8" s="1"/>
  <c r="U570" i="8" a="1"/>
  <c r="U570" i="8" s="1"/>
  <c r="T570" i="8" a="1"/>
  <c r="T570" i="8" s="1"/>
  <c r="S570" i="8" a="1"/>
  <c r="S570" i="8" s="1"/>
  <c r="R570" i="8" a="1"/>
  <c r="R570" i="8" s="1"/>
  <c r="Q570" i="8" a="1"/>
  <c r="Q570" i="8" s="1"/>
  <c r="P570" i="8" a="1"/>
  <c r="P570" i="8" s="1"/>
  <c r="O570" i="8" a="1"/>
  <c r="O570" i="8" s="1"/>
  <c r="N570" i="8" a="1"/>
  <c r="N570" i="8" s="1"/>
  <c r="M570" i="8" a="1"/>
  <c r="M570" i="8" s="1"/>
  <c r="L570" i="8" a="1"/>
  <c r="L570" i="8" s="1"/>
  <c r="K570" i="8" a="1"/>
  <c r="K570" i="8" s="1"/>
  <c r="J570" i="8" a="1"/>
  <c r="J570" i="8" s="1"/>
  <c r="I570" i="8" a="1"/>
  <c r="I570" i="8" s="1"/>
  <c r="H570" i="8" a="1"/>
  <c r="H570" i="8" s="1"/>
  <c r="G570" i="8" a="1"/>
  <c r="G570" i="8" s="1"/>
  <c r="F570" i="8" a="1"/>
  <c r="F570" i="8" s="1"/>
  <c r="E570" i="8" a="1"/>
  <c r="E570" i="8" s="1"/>
  <c r="AB569" i="8" a="1"/>
  <c r="AB569" i="8" s="1"/>
  <c r="AA569" i="8" a="1"/>
  <c r="AA569" i="8" s="1"/>
  <c r="Z569" i="8" a="1"/>
  <c r="Z569" i="8" s="1"/>
  <c r="Y569" i="8" a="1"/>
  <c r="Y569" i="8" s="1"/>
  <c r="X569" i="8" a="1"/>
  <c r="X569" i="8" s="1"/>
  <c r="W569" i="8" a="1"/>
  <c r="W569" i="8" s="1"/>
  <c r="V569" i="8" a="1"/>
  <c r="V569" i="8" s="1"/>
  <c r="U569" i="8" a="1"/>
  <c r="U569" i="8" s="1"/>
  <c r="T569" i="8" a="1"/>
  <c r="T569" i="8" s="1"/>
  <c r="S569" i="8" a="1"/>
  <c r="S569" i="8" s="1"/>
  <c r="R569" i="8" a="1"/>
  <c r="R569" i="8" s="1"/>
  <c r="Q569" i="8" a="1"/>
  <c r="Q569" i="8" s="1"/>
  <c r="P569" i="8" a="1"/>
  <c r="P569" i="8" s="1"/>
  <c r="O569" i="8" a="1"/>
  <c r="O569" i="8" s="1"/>
  <c r="N569" i="8" a="1"/>
  <c r="N569" i="8" s="1"/>
  <c r="M569" i="8" a="1"/>
  <c r="M569" i="8" s="1"/>
  <c r="L569" i="8" a="1"/>
  <c r="L569" i="8" s="1"/>
  <c r="K569" i="8" a="1"/>
  <c r="K569" i="8" s="1"/>
  <c r="J569" i="8" a="1"/>
  <c r="J569" i="8" s="1"/>
  <c r="I569" i="8" a="1"/>
  <c r="I569" i="8" s="1"/>
  <c r="H569" i="8" a="1"/>
  <c r="H569" i="8" s="1"/>
  <c r="G569" i="8" a="1"/>
  <c r="G569" i="8" s="1"/>
  <c r="F569" i="8" a="1"/>
  <c r="F569" i="8" s="1"/>
  <c r="E569" i="8" a="1"/>
  <c r="E569" i="8" s="1"/>
  <c r="AB568" i="8" a="1"/>
  <c r="AB568" i="8" s="1"/>
  <c r="AA568" i="8" a="1"/>
  <c r="AA568" i="8" s="1"/>
  <c r="Z568" i="8" a="1"/>
  <c r="Z568" i="8" s="1"/>
  <c r="Y568" i="8" a="1"/>
  <c r="Y568" i="8" s="1"/>
  <c r="X568" i="8" a="1"/>
  <c r="X568" i="8" s="1"/>
  <c r="W568" i="8" a="1"/>
  <c r="W568" i="8" s="1"/>
  <c r="V568" i="8" a="1"/>
  <c r="V568" i="8" s="1"/>
  <c r="U568" i="8" a="1"/>
  <c r="U568" i="8" s="1"/>
  <c r="T568" i="8" a="1"/>
  <c r="T568" i="8" s="1"/>
  <c r="S568" i="8" a="1"/>
  <c r="S568" i="8" s="1"/>
  <c r="R568" i="8" a="1"/>
  <c r="R568" i="8" s="1"/>
  <c r="Q568" i="8" a="1"/>
  <c r="Q568" i="8" s="1"/>
  <c r="P568" i="8" a="1"/>
  <c r="P568" i="8" s="1"/>
  <c r="O568" i="8" a="1"/>
  <c r="O568" i="8" s="1"/>
  <c r="N568" i="8" a="1"/>
  <c r="N568" i="8" s="1"/>
  <c r="M568" i="8" a="1"/>
  <c r="M568" i="8" s="1"/>
  <c r="L568" i="8" a="1"/>
  <c r="L568" i="8" s="1"/>
  <c r="K568" i="8" a="1"/>
  <c r="K568" i="8" s="1"/>
  <c r="J568" i="8" a="1"/>
  <c r="J568" i="8" s="1"/>
  <c r="I568" i="8" a="1"/>
  <c r="I568" i="8" s="1"/>
  <c r="H568" i="8" a="1"/>
  <c r="H568" i="8" s="1"/>
  <c r="G568" i="8" a="1"/>
  <c r="G568" i="8" s="1"/>
  <c r="F568" i="8" a="1"/>
  <c r="F568" i="8" s="1"/>
  <c r="E568" i="8" a="1"/>
  <c r="E568" i="8" s="1"/>
  <c r="AB567" i="8" a="1"/>
  <c r="AB567" i="8" s="1"/>
  <c r="AA567" i="8" a="1"/>
  <c r="AA567" i="8" s="1"/>
  <c r="Z567" i="8" a="1"/>
  <c r="Z567" i="8" s="1"/>
  <c r="Y567" i="8" a="1"/>
  <c r="Y567" i="8" s="1"/>
  <c r="X567" i="8" a="1"/>
  <c r="X567" i="8" s="1"/>
  <c r="W567" i="8" a="1"/>
  <c r="W567" i="8" s="1"/>
  <c r="V567" i="8" a="1"/>
  <c r="V567" i="8" s="1"/>
  <c r="U567" i="8" a="1"/>
  <c r="U567" i="8" s="1"/>
  <c r="T567" i="8" a="1"/>
  <c r="T567" i="8" s="1"/>
  <c r="S567" i="8" a="1"/>
  <c r="S567" i="8" s="1"/>
  <c r="R567" i="8" a="1"/>
  <c r="R567" i="8" s="1"/>
  <c r="Q567" i="8" a="1"/>
  <c r="Q567" i="8" s="1"/>
  <c r="P567" i="8" a="1"/>
  <c r="P567" i="8" s="1"/>
  <c r="O567" i="8" a="1"/>
  <c r="O567" i="8" s="1"/>
  <c r="N567" i="8" a="1"/>
  <c r="N567" i="8" s="1"/>
  <c r="M567" i="8" a="1"/>
  <c r="M567" i="8" s="1"/>
  <c r="L567" i="8" a="1"/>
  <c r="L567" i="8" s="1"/>
  <c r="K567" i="8" a="1"/>
  <c r="K567" i="8" s="1"/>
  <c r="J567" i="8" a="1"/>
  <c r="J567" i="8" s="1"/>
  <c r="I567" i="8" a="1"/>
  <c r="I567" i="8" s="1"/>
  <c r="H567" i="8" a="1"/>
  <c r="H567" i="8" s="1"/>
  <c r="G567" i="8" a="1"/>
  <c r="G567" i="8" s="1"/>
  <c r="F567" i="8" a="1"/>
  <c r="F567" i="8" s="1"/>
  <c r="E567" i="8" a="1"/>
  <c r="E567" i="8" s="1"/>
  <c r="AB566" i="8" a="1"/>
  <c r="AB566" i="8" s="1"/>
  <c r="AA566" i="8" a="1"/>
  <c r="AA566" i="8" s="1"/>
  <c r="Z566" i="8" a="1"/>
  <c r="Z566" i="8" s="1"/>
  <c r="Y566" i="8" a="1"/>
  <c r="Y566" i="8" s="1"/>
  <c r="X566" i="8" a="1"/>
  <c r="X566" i="8" s="1"/>
  <c r="W566" i="8" a="1"/>
  <c r="W566" i="8" s="1"/>
  <c r="V566" i="8" a="1"/>
  <c r="V566" i="8" s="1"/>
  <c r="U566" i="8" a="1"/>
  <c r="U566" i="8" s="1"/>
  <c r="T566" i="8" a="1"/>
  <c r="T566" i="8" s="1"/>
  <c r="S566" i="8" a="1"/>
  <c r="S566" i="8" s="1"/>
  <c r="R566" i="8" a="1"/>
  <c r="R566" i="8" s="1"/>
  <c r="Q566" i="8" a="1"/>
  <c r="Q566" i="8" s="1"/>
  <c r="P566" i="8" a="1"/>
  <c r="P566" i="8" s="1"/>
  <c r="O566" i="8" a="1"/>
  <c r="O566" i="8" s="1"/>
  <c r="N566" i="8" a="1"/>
  <c r="N566" i="8" s="1"/>
  <c r="M566" i="8" a="1"/>
  <c r="M566" i="8" s="1"/>
  <c r="L566" i="8" a="1"/>
  <c r="L566" i="8" s="1"/>
  <c r="K566" i="8" a="1"/>
  <c r="K566" i="8" s="1"/>
  <c r="J566" i="8" a="1"/>
  <c r="J566" i="8" s="1"/>
  <c r="I566" i="8" a="1"/>
  <c r="I566" i="8" s="1"/>
  <c r="H566" i="8" a="1"/>
  <c r="H566" i="8" s="1"/>
  <c r="G566" i="8" a="1"/>
  <c r="G566" i="8" s="1"/>
  <c r="F566" i="8" a="1"/>
  <c r="F566" i="8" s="1"/>
  <c r="E566" i="8" a="1"/>
  <c r="E566" i="8" s="1"/>
  <c r="AB565" i="8" a="1"/>
  <c r="AB565" i="8" s="1"/>
  <c r="AA565" i="8" a="1"/>
  <c r="AA565" i="8" s="1"/>
  <c r="Z565" i="8" a="1"/>
  <c r="Z565" i="8" s="1"/>
  <c r="Y565" i="8" a="1"/>
  <c r="Y565" i="8" s="1"/>
  <c r="X565" i="8" a="1"/>
  <c r="X565" i="8" s="1"/>
  <c r="W565" i="8" a="1"/>
  <c r="W565" i="8" s="1"/>
  <c r="V565" i="8" a="1"/>
  <c r="V565" i="8" s="1"/>
  <c r="U565" i="8" a="1"/>
  <c r="U565" i="8" s="1"/>
  <c r="T565" i="8" a="1"/>
  <c r="T565" i="8" s="1"/>
  <c r="S565" i="8" a="1"/>
  <c r="S565" i="8" s="1"/>
  <c r="R565" i="8" a="1"/>
  <c r="R565" i="8" s="1"/>
  <c r="Q565" i="8" a="1"/>
  <c r="Q565" i="8" s="1"/>
  <c r="P565" i="8" a="1"/>
  <c r="P565" i="8" s="1"/>
  <c r="O565" i="8" a="1"/>
  <c r="O565" i="8" s="1"/>
  <c r="N565" i="8" a="1"/>
  <c r="N565" i="8" s="1"/>
  <c r="M565" i="8" a="1"/>
  <c r="M565" i="8" s="1"/>
  <c r="L565" i="8" a="1"/>
  <c r="L565" i="8" s="1"/>
  <c r="K565" i="8" a="1"/>
  <c r="K565" i="8" s="1"/>
  <c r="J565" i="8" a="1"/>
  <c r="J565" i="8" s="1"/>
  <c r="I565" i="8" a="1"/>
  <c r="I565" i="8" s="1"/>
  <c r="H565" i="8" a="1"/>
  <c r="H565" i="8" s="1"/>
  <c r="G565" i="8" a="1"/>
  <c r="G565" i="8" s="1"/>
  <c r="F565" i="8" a="1"/>
  <c r="F565" i="8" s="1"/>
  <c r="E565" i="8" a="1"/>
  <c r="E565" i="8" s="1"/>
  <c r="AB564" i="8" a="1"/>
  <c r="AB564" i="8" s="1"/>
  <c r="AA564" i="8" a="1"/>
  <c r="AA564" i="8" s="1"/>
  <c r="Z564" i="8" a="1"/>
  <c r="Z564" i="8" s="1"/>
  <c r="Y564" i="8" a="1"/>
  <c r="Y564" i="8" s="1"/>
  <c r="X564" i="8" a="1"/>
  <c r="X564" i="8" s="1"/>
  <c r="W564" i="8" a="1"/>
  <c r="W564" i="8" s="1"/>
  <c r="V564" i="8" a="1"/>
  <c r="V564" i="8" s="1"/>
  <c r="U564" i="8" a="1"/>
  <c r="U564" i="8" s="1"/>
  <c r="T564" i="8" a="1"/>
  <c r="T564" i="8" s="1"/>
  <c r="S564" i="8" a="1"/>
  <c r="S564" i="8" s="1"/>
  <c r="R564" i="8" a="1"/>
  <c r="R564" i="8" s="1"/>
  <c r="Q564" i="8" a="1"/>
  <c r="Q564" i="8" s="1"/>
  <c r="P564" i="8" a="1"/>
  <c r="P564" i="8" s="1"/>
  <c r="O564" i="8" a="1"/>
  <c r="O564" i="8" s="1"/>
  <c r="N564" i="8" a="1"/>
  <c r="N564" i="8" s="1"/>
  <c r="M564" i="8" a="1"/>
  <c r="M564" i="8" s="1"/>
  <c r="L564" i="8" a="1"/>
  <c r="L564" i="8" s="1"/>
  <c r="K564" i="8" a="1"/>
  <c r="K564" i="8" s="1"/>
  <c r="J564" i="8" a="1"/>
  <c r="J564" i="8" s="1"/>
  <c r="I564" i="8" a="1"/>
  <c r="I564" i="8" s="1"/>
  <c r="H564" i="8" a="1"/>
  <c r="H564" i="8" s="1"/>
  <c r="G564" i="8" a="1"/>
  <c r="G564" i="8" s="1"/>
  <c r="F564" i="8" a="1"/>
  <c r="F564" i="8" s="1"/>
  <c r="E564" i="8" a="1"/>
  <c r="E564" i="8" s="1"/>
  <c r="AB563" i="8" a="1"/>
  <c r="AB563" i="8" s="1"/>
  <c r="AA563" i="8" a="1"/>
  <c r="AA563" i="8" s="1"/>
  <c r="Z563" i="8" a="1"/>
  <c r="Z563" i="8" s="1"/>
  <c r="Y563" i="8" a="1"/>
  <c r="Y563" i="8" s="1"/>
  <c r="X563" i="8" a="1"/>
  <c r="X563" i="8" s="1"/>
  <c r="W563" i="8" a="1"/>
  <c r="W563" i="8" s="1"/>
  <c r="V563" i="8" a="1"/>
  <c r="V563" i="8" s="1"/>
  <c r="U563" i="8" a="1"/>
  <c r="U563" i="8" s="1"/>
  <c r="T563" i="8" a="1"/>
  <c r="T563" i="8" s="1"/>
  <c r="S563" i="8" a="1"/>
  <c r="S563" i="8" s="1"/>
  <c r="R563" i="8" a="1"/>
  <c r="R563" i="8" s="1"/>
  <c r="Q563" i="8" a="1"/>
  <c r="Q563" i="8" s="1"/>
  <c r="P563" i="8" a="1"/>
  <c r="P563" i="8" s="1"/>
  <c r="O563" i="8" a="1"/>
  <c r="O563" i="8" s="1"/>
  <c r="N563" i="8" a="1"/>
  <c r="N563" i="8" s="1"/>
  <c r="M563" i="8" a="1"/>
  <c r="M563" i="8" s="1"/>
  <c r="L563" i="8" a="1"/>
  <c r="L563" i="8" s="1"/>
  <c r="K563" i="8" a="1"/>
  <c r="K563" i="8" s="1"/>
  <c r="J563" i="8" a="1"/>
  <c r="J563" i="8" s="1"/>
  <c r="I563" i="8" a="1"/>
  <c r="I563" i="8" s="1"/>
  <c r="H563" i="8" a="1"/>
  <c r="H563" i="8" s="1"/>
  <c r="G563" i="8" a="1"/>
  <c r="G563" i="8" s="1"/>
  <c r="F563" i="8" a="1"/>
  <c r="F563" i="8" s="1"/>
  <c r="E563" i="8" a="1"/>
  <c r="E563" i="8" s="1"/>
  <c r="AB562" i="8" a="1"/>
  <c r="AB562" i="8" s="1"/>
  <c r="AA562" i="8" a="1"/>
  <c r="AA562" i="8" s="1"/>
  <c r="Z562" i="8" a="1"/>
  <c r="Z562" i="8" s="1"/>
  <c r="Y562" i="8" a="1"/>
  <c r="Y562" i="8" s="1"/>
  <c r="X562" i="8" a="1"/>
  <c r="X562" i="8" s="1"/>
  <c r="W562" i="8" a="1"/>
  <c r="W562" i="8" s="1"/>
  <c r="V562" i="8" a="1"/>
  <c r="V562" i="8" s="1"/>
  <c r="U562" i="8" a="1"/>
  <c r="U562" i="8" s="1"/>
  <c r="T562" i="8" a="1"/>
  <c r="T562" i="8" s="1"/>
  <c r="S562" i="8" a="1"/>
  <c r="S562" i="8" s="1"/>
  <c r="R562" i="8" a="1"/>
  <c r="R562" i="8" s="1"/>
  <c r="Q562" i="8" a="1"/>
  <c r="Q562" i="8" s="1"/>
  <c r="P562" i="8" a="1"/>
  <c r="P562" i="8" s="1"/>
  <c r="O562" i="8" a="1"/>
  <c r="O562" i="8" s="1"/>
  <c r="N562" i="8" a="1"/>
  <c r="N562" i="8" s="1"/>
  <c r="M562" i="8" a="1"/>
  <c r="M562" i="8" s="1"/>
  <c r="L562" i="8" a="1"/>
  <c r="L562" i="8" s="1"/>
  <c r="K562" i="8" a="1"/>
  <c r="K562" i="8" s="1"/>
  <c r="J562" i="8" a="1"/>
  <c r="J562" i="8" s="1"/>
  <c r="I562" i="8" a="1"/>
  <c r="I562" i="8" s="1"/>
  <c r="H562" i="8" a="1"/>
  <c r="H562" i="8" s="1"/>
  <c r="G562" i="8" a="1"/>
  <c r="G562" i="8" s="1"/>
  <c r="F562" i="8" a="1"/>
  <c r="F562" i="8" s="1"/>
  <c r="E562" i="8" a="1"/>
  <c r="E562" i="8" s="1"/>
  <c r="AB561" i="8" a="1"/>
  <c r="AB561" i="8" s="1"/>
  <c r="AA561" i="8" a="1"/>
  <c r="AA561" i="8" s="1"/>
  <c r="Z561" i="8" a="1"/>
  <c r="Z561" i="8" s="1"/>
  <c r="Y561" i="8" a="1"/>
  <c r="Y561" i="8" s="1"/>
  <c r="X561" i="8" a="1"/>
  <c r="X561" i="8" s="1"/>
  <c r="W561" i="8" a="1"/>
  <c r="W561" i="8" s="1"/>
  <c r="V561" i="8" a="1"/>
  <c r="V561" i="8" s="1"/>
  <c r="U561" i="8" a="1"/>
  <c r="U561" i="8" s="1"/>
  <c r="T561" i="8" a="1"/>
  <c r="T561" i="8" s="1"/>
  <c r="S561" i="8" a="1"/>
  <c r="S561" i="8" s="1"/>
  <c r="R561" i="8" a="1"/>
  <c r="R561" i="8" s="1"/>
  <c r="Q561" i="8" a="1"/>
  <c r="Q561" i="8" s="1"/>
  <c r="P561" i="8" a="1"/>
  <c r="P561" i="8" s="1"/>
  <c r="O561" i="8" a="1"/>
  <c r="O561" i="8" s="1"/>
  <c r="N561" i="8" a="1"/>
  <c r="N561" i="8" s="1"/>
  <c r="M561" i="8" a="1"/>
  <c r="M561" i="8" s="1"/>
  <c r="L561" i="8" a="1"/>
  <c r="L561" i="8" s="1"/>
  <c r="K561" i="8" a="1"/>
  <c r="K561" i="8" s="1"/>
  <c r="J561" i="8" a="1"/>
  <c r="J561" i="8" s="1"/>
  <c r="I561" i="8" a="1"/>
  <c r="I561" i="8" s="1"/>
  <c r="H561" i="8" a="1"/>
  <c r="H561" i="8" s="1"/>
  <c r="G561" i="8" a="1"/>
  <c r="G561" i="8" s="1"/>
  <c r="F561" i="8" a="1"/>
  <c r="F561" i="8" s="1"/>
  <c r="E561" i="8" a="1"/>
  <c r="E561" i="8" s="1"/>
  <c r="AB560" i="8" a="1"/>
  <c r="AB560" i="8" s="1"/>
  <c r="AA560" i="8" a="1"/>
  <c r="AA560" i="8" s="1"/>
  <c r="Z560" i="8" a="1"/>
  <c r="Z560" i="8" s="1"/>
  <c r="Y560" i="8" a="1"/>
  <c r="Y560" i="8" s="1"/>
  <c r="X560" i="8" a="1"/>
  <c r="X560" i="8" s="1"/>
  <c r="W560" i="8" a="1"/>
  <c r="W560" i="8" s="1"/>
  <c r="V560" i="8" a="1"/>
  <c r="V560" i="8" s="1"/>
  <c r="U560" i="8" a="1"/>
  <c r="U560" i="8" s="1"/>
  <c r="T560" i="8" a="1"/>
  <c r="T560" i="8" s="1"/>
  <c r="S560" i="8" a="1"/>
  <c r="S560" i="8" s="1"/>
  <c r="R560" i="8" a="1"/>
  <c r="R560" i="8" s="1"/>
  <c r="Q560" i="8" a="1"/>
  <c r="Q560" i="8" s="1"/>
  <c r="P560" i="8" a="1"/>
  <c r="P560" i="8" s="1"/>
  <c r="O560" i="8" a="1"/>
  <c r="O560" i="8" s="1"/>
  <c r="N560" i="8" a="1"/>
  <c r="N560" i="8" s="1"/>
  <c r="M560" i="8" a="1"/>
  <c r="M560" i="8" s="1"/>
  <c r="L560" i="8" a="1"/>
  <c r="L560" i="8" s="1"/>
  <c r="K560" i="8" a="1"/>
  <c r="K560" i="8" s="1"/>
  <c r="J560" i="8" a="1"/>
  <c r="J560" i="8" s="1"/>
  <c r="I560" i="8" a="1"/>
  <c r="I560" i="8" s="1"/>
  <c r="H560" i="8" a="1"/>
  <c r="H560" i="8" s="1"/>
  <c r="G560" i="8" a="1"/>
  <c r="G560" i="8" s="1"/>
  <c r="F560" i="8" a="1"/>
  <c r="F560" i="8" s="1"/>
  <c r="E560" i="8" a="1"/>
  <c r="E560" i="8" s="1"/>
  <c r="AB559" i="8" a="1"/>
  <c r="AB559" i="8" s="1"/>
  <c r="AA559" i="8" a="1"/>
  <c r="AA559" i="8" s="1"/>
  <c r="Z559" i="8" a="1"/>
  <c r="Z559" i="8" s="1"/>
  <c r="Y559" i="8" a="1"/>
  <c r="Y559" i="8" s="1"/>
  <c r="X559" i="8" a="1"/>
  <c r="X559" i="8" s="1"/>
  <c r="W559" i="8" a="1"/>
  <c r="W559" i="8" s="1"/>
  <c r="V559" i="8" a="1"/>
  <c r="V559" i="8" s="1"/>
  <c r="U559" i="8" a="1"/>
  <c r="U559" i="8" s="1"/>
  <c r="T559" i="8" a="1"/>
  <c r="T559" i="8" s="1"/>
  <c r="S559" i="8" a="1"/>
  <c r="S559" i="8" s="1"/>
  <c r="R559" i="8" a="1"/>
  <c r="R559" i="8" s="1"/>
  <c r="Q559" i="8" a="1"/>
  <c r="Q559" i="8" s="1"/>
  <c r="P559" i="8" a="1"/>
  <c r="P559" i="8" s="1"/>
  <c r="O559" i="8" a="1"/>
  <c r="O559" i="8" s="1"/>
  <c r="N559" i="8" a="1"/>
  <c r="N559" i="8" s="1"/>
  <c r="M559" i="8" a="1"/>
  <c r="M559" i="8" s="1"/>
  <c r="L559" i="8" a="1"/>
  <c r="L559" i="8" s="1"/>
  <c r="K559" i="8" a="1"/>
  <c r="K559" i="8" s="1"/>
  <c r="J559" i="8" a="1"/>
  <c r="J559" i="8" s="1"/>
  <c r="I559" i="8" a="1"/>
  <c r="I559" i="8" s="1"/>
  <c r="H559" i="8" a="1"/>
  <c r="H559" i="8" s="1"/>
  <c r="G559" i="8" a="1"/>
  <c r="G559" i="8" s="1"/>
  <c r="F559" i="8" a="1"/>
  <c r="F559" i="8" s="1"/>
  <c r="E559" i="8" a="1"/>
  <c r="E559" i="8" s="1"/>
  <c r="AB558" i="8" a="1"/>
  <c r="AB558" i="8" s="1"/>
  <c r="AA558" i="8" a="1"/>
  <c r="AA558" i="8" s="1"/>
  <c r="Z558" i="8" a="1"/>
  <c r="Z558" i="8" s="1"/>
  <c r="Y558" i="8" a="1"/>
  <c r="Y558" i="8" s="1"/>
  <c r="X558" i="8" a="1"/>
  <c r="X558" i="8" s="1"/>
  <c r="W558" i="8" a="1"/>
  <c r="W558" i="8" s="1"/>
  <c r="V558" i="8" a="1"/>
  <c r="V558" i="8" s="1"/>
  <c r="U558" i="8" a="1"/>
  <c r="U558" i="8" s="1"/>
  <c r="T558" i="8" a="1"/>
  <c r="T558" i="8" s="1"/>
  <c r="S558" i="8" a="1"/>
  <c r="S558" i="8" s="1"/>
  <c r="R558" i="8" a="1"/>
  <c r="R558" i="8" s="1"/>
  <c r="Q558" i="8" a="1"/>
  <c r="Q558" i="8" s="1"/>
  <c r="P558" i="8" a="1"/>
  <c r="P558" i="8" s="1"/>
  <c r="O558" i="8" a="1"/>
  <c r="O558" i="8" s="1"/>
  <c r="N558" i="8" a="1"/>
  <c r="N558" i="8" s="1"/>
  <c r="M558" i="8" a="1"/>
  <c r="M558" i="8" s="1"/>
  <c r="L558" i="8" a="1"/>
  <c r="L558" i="8" s="1"/>
  <c r="K558" i="8" a="1"/>
  <c r="K558" i="8" s="1"/>
  <c r="J558" i="8" a="1"/>
  <c r="J558" i="8" s="1"/>
  <c r="I558" i="8" a="1"/>
  <c r="I558" i="8" s="1"/>
  <c r="H558" i="8" a="1"/>
  <c r="H558" i="8" s="1"/>
  <c r="G558" i="8" a="1"/>
  <c r="G558" i="8" s="1"/>
  <c r="F558" i="8" a="1"/>
  <c r="F558" i="8" s="1"/>
  <c r="E558" i="8" a="1"/>
  <c r="E558" i="8" s="1"/>
  <c r="AB557" i="8" a="1"/>
  <c r="AB557" i="8" s="1"/>
  <c r="AA557" i="8" a="1"/>
  <c r="AA557" i="8" s="1"/>
  <c r="Z557" i="8" a="1"/>
  <c r="Z557" i="8" s="1"/>
  <c r="Y557" i="8" a="1"/>
  <c r="Y557" i="8" s="1"/>
  <c r="X557" i="8" a="1"/>
  <c r="X557" i="8" s="1"/>
  <c r="W557" i="8" a="1"/>
  <c r="W557" i="8" s="1"/>
  <c r="V557" i="8" a="1"/>
  <c r="V557" i="8" s="1"/>
  <c r="U557" i="8" a="1"/>
  <c r="U557" i="8" s="1"/>
  <c r="T557" i="8" a="1"/>
  <c r="T557" i="8" s="1"/>
  <c r="S557" i="8" a="1"/>
  <c r="S557" i="8" s="1"/>
  <c r="R557" i="8" a="1"/>
  <c r="R557" i="8" s="1"/>
  <c r="Q557" i="8" a="1"/>
  <c r="Q557" i="8" s="1"/>
  <c r="P557" i="8" a="1"/>
  <c r="P557" i="8" s="1"/>
  <c r="O557" i="8" a="1"/>
  <c r="O557" i="8" s="1"/>
  <c r="N557" i="8" a="1"/>
  <c r="N557" i="8" s="1"/>
  <c r="M557" i="8" a="1"/>
  <c r="M557" i="8" s="1"/>
  <c r="L557" i="8" a="1"/>
  <c r="L557" i="8" s="1"/>
  <c r="K557" i="8" a="1"/>
  <c r="K557" i="8" s="1"/>
  <c r="J557" i="8" a="1"/>
  <c r="J557" i="8" s="1"/>
  <c r="I557" i="8" a="1"/>
  <c r="I557" i="8" s="1"/>
  <c r="H557" i="8" a="1"/>
  <c r="H557" i="8" s="1"/>
  <c r="G557" i="8" a="1"/>
  <c r="G557" i="8" s="1"/>
  <c r="F557" i="8" a="1"/>
  <c r="F557" i="8" s="1"/>
  <c r="E557" i="8" a="1"/>
  <c r="E557" i="8" s="1"/>
  <c r="AB556" i="8" a="1"/>
  <c r="AB556" i="8" s="1"/>
  <c r="AA556" i="8" a="1"/>
  <c r="AA556" i="8" s="1"/>
  <c r="Z556" i="8" a="1"/>
  <c r="Z556" i="8" s="1"/>
  <c r="Y556" i="8" a="1"/>
  <c r="Y556" i="8" s="1"/>
  <c r="X556" i="8" a="1"/>
  <c r="X556" i="8" s="1"/>
  <c r="W556" i="8" a="1"/>
  <c r="W556" i="8" s="1"/>
  <c r="V556" i="8" a="1"/>
  <c r="V556" i="8" s="1"/>
  <c r="U556" i="8" a="1"/>
  <c r="U556" i="8" s="1"/>
  <c r="T556" i="8" a="1"/>
  <c r="T556" i="8" s="1"/>
  <c r="S556" i="8" a="1"/>
  <c r="S556" i="8" s="1"/>
  <c r="R556" i="8" a="1"/>
  <c r="R556" i="8" s="1"/>
  <c r="Q556" i="8" a="1"/>
  <c r="Q556" i="8" s="1"/>
  <c r="P556" i="8" a="1"/>
  <c r="P556" i="8" s="1"/>
  <c r="O556" i="8" a="1"/>
  <c r="O556" i="8" s="1"/>
  <c r="N556" i="8" a="1"/>
  <c r="N556" i="8" s="1"/>
  <c r="M556" i="8" a="1"/>
  <c r="M556" i="8" s="1"/>
  <c r="L556" i="8" a="1"/>
  <c r="L556" i="8" s="1"/>
  <c r="K556" i="8" a="1"/>
  <c r="K556" i="8" s="1"/>
  <c r="J556" i="8" a="1"/>
  <c r="J556" i="8" s="1"/>
  <c r="I556" i="8" a="1"/>
  <c r="I556" i="8" s="1"/>
  <c r="H556" i="8" a="1"/>
  <c r="H556" i="8" s="1"/>
  <c r="G556" i="8" a="1"/>
  <c r="G556" i="8" s="1"/>
  <c r="F556" i="8" a="1"/>
  <c r="F556" i="8" s="1"/>
  <c r="E556" i="8" a="1"/>
  <c r="E556" i="8" s="1"/>
  <c r="AB555" i="8" a="1"/>
  <c r="AB555" i="8" s="1"/>
  <c r="AA555" i="8" a="1"/>
  <c r="AA555" i="8" s="1"/>
  <c r="Z555" i="8" a="1"/>
  <c r="Z555" i="8" s="1"/>
  <c r="Y555" i="8" a="1"/>
  <c r="Y555" i="8" s="1"/>
  <c r="X555" i="8" a="1"/>
  <c r="X555" i="8" s="1"/>
  <c r="W555" i="8" a="1"/>
  <c r="W555" i="8" s="1"/>
  <c r="V555" i="8" a="1"/>
  <c r="V555" i="8" s="1"/>
  <c r="U555" i="8" a="1"/>
  <c r="U555" i="8" s="1"/>
  <c r="T555" i="8" a="1"/>
  <c r="T555" i="8" s="1"/>
  <c r="S555" i="8" a="1"/>
  <c r="S555" i="8" s="1"/>
  <c r="R555" i="8" a="1"/>
  <c r="R555" i="8" s="1"/>
  <c r="Q555" i="8" a="1"/>
  <c r="Q555" i="8" s="1"/>
  <c r="P555" i="8" a="1"/>
  <c r="P555" i="8" s="1"/>
  <c r="O555" i="8" a="1"/>
  <c r="O555" i="8" s="1"/>
  <c r="N555" i="8" a="1"/>
  <c r="N555" i="8" s="1"/>
  <c r="M555" i="8" a="1"/>
  <c r="M555" i="8" s="1"/>
  <c r="L555" i="8" a="1"/>
  <c r="L555" i="8" s="1"/>
  <c r="K555" i="8" a="1"/>
  <c r="K555" i="8" s="1"/>
  <c r="J555" i="8" a="1"/>
  <c r="J555" i="8" s="1"/>
  <c r="I555" i="8" a="1"/>
  <c r="I555" i="8" s="1"/>
  <c r="H555" i="8" a="1"/>
  <c r="H555" i="8" s="1"/>
  <c r="G555" i="8" a="1"/>
  <c r="G555" i="8" s="1"/>
  <c r="F555" i="8" a="1"/>
  <c r="F555" i="8" s="1"/>
  <c r="E555" i="8" a="1"/>
  <c r="E555" i="8" s="1"/>
  <c r="AB554" i="8" a="1"/>
  <c r="AB554" i="8" s="1"/>
  <c r="AA554" i="8" a="1"/>
  <c r="AA554" i="8" s="1"/>
  <c r="Z554" i="8" a="1"/>
  <c r="Z554" i="8" s="1"/>
  <c r="Y554" i="8" a="1"/>
  <c r="Y554" i="8" s="1"/>
  <c r="X554" i="8" a="1"/>
  <c r="X554" i="8" s="1"/>
  <c r="W554" i="8" a="1"/>
  <c r="W554" i="8" s="1"/>
  <c r="V554" i="8" a="1"/>
  <c r="V554" i="8" s="1"/>
  <c r="U554" i="8" a="1"/>
  <c r="U554" i="8" s="1"/>
  <c r="T554" i="8" a="1"/>
  <c r="T554" i="8" s="1"/>
  <c r="S554" i="8" a="1"/>
  <c r="S554" i="8" s="1"/>
  <c r="R554" i="8" a="1"/>
  <c r="R554" i="8" s="1"/>
  <c r="Q554" i="8" a="1"/>
  <c r="Q554" i="8" s="1"/>
  <c r="P554" i="8" a="1"/>
  <c r="P554" i="8" s="1"/>
  <c r="O554" i="8" a="1"/>
  <c r="O554" i="8" s="1"/>
  <c r="N554" i="8" a="1"/>
  <c r="N554" i="8" s="1"/>
  <c r="M554" i="8" a="1"/>
  <c r="M554" i="8" s="1"/>
  <c r="L554" i="8" a="1"/>
  <c r="L554" i="8" s="1"/>
  <c r="K554" i="8" a="1"/>
  <c r="K554" i="8" s="1"/>
  <c r="J554" i="8" a="1"/>
  <c r="J554" i="8" s="1"/>
  <c r="I554" i="8" a="1"/>
  <c r="I554" i="8" s="1"/>
  <c r="H554" i="8" a="1"/>
  <c r="H554" i="8" s="1"/>
  <c r="G554" i="8" a="1"/>
  <c r="G554" i="8" s="1"/>
  <c r="F554" i="8" a="1"/>
  <c r="F554" i="8" s="1"/>
  <c r="E554" i="8" a="1"/>
  <c r="E554" i="8" s="1"/>
  <c r="AB553" i="8" a="1"/>
  <c r="AB553" i="8" s="1"/>
  <c r="AA553" i="8" a="1"/>
  <c r="AA553" i="8" s="1"/>
  <c r="Z553" i="8" a="1"/>
  <c r="Z553" i="8" s="1"/>
  <c r="Y553" i="8" a="1"/>
  <c r="Y553" i="8" s="1"/>
  <c r="X553" i="8" a="1"/>
  <c r="X553" i="8" s="1"/>
  <c r="W553" i="8" a="1"/>
  <c r="W553" i="8" s="1"/>
  <c r="V553" i="8" a="1"/>
  <c r="V553" i="8" s="1"/>
  <c r="U553" i="8" a="1"/>
  <c r="U553" i="8" s="1"/>
  <c r="T553" i="8" a="1"/>
  <c r="T553" i="8" s="1"/>
  <c r="S553" i="8" a="1"/>
  <c r="S553" i="8" s="1"/>
  <c r="R553" i="8" a="1"/>
  <c r="R553" i="8" s="1"/>
  <c r="Q553" i="8" a="1"/>
  <c r="Q553" i="8" s="1"/>
  <c r="P553" i="8" a="1"/>
  <c r="P553" i="8" s="1"/>
  <c r="O553" i="8" a="1"/>
  <c r="O553" i="8" s="1"/>
  <c r="N553" i="8" a="1"/>
  <c r="N553" i="8" s="1"/>
  <c r="M553" i="8" a="1"/>
  <c r="M553" i="8" s="1"/>
  <c r="L553" i="8" a="1"/>
  <c r="L553" i="8" s="1"/>
  <c r="K553" i="8" a="1"/>
  <c r="K553" i="8" s="1"/>
  <c r="J553" i="8" a="1"/>
  <c r="J553" i="8" s="1"/>
  <c r="I553" i="8" a="1"/>
  <c r="I553" i="8" s="1"/>
  <c r="H553" i="8" a="1"/>
  <c r="H553" i="8" s="1"/>
  <c r="G553" i="8" a="1"/>
  <c r="G553" i="8" s="1"/>
  <c r="F553" i="8" a="1"/>
  <c r="F553" i="8" s="1"/>
  <c r="E553" i="8" a="1"/>
  <c r="E553" i="8" s="1"/>
  <c r="AB552" i="8" a="1"/>
  <c r="AB552" i="8" s="1"/>
  <c r="AA552" i="8" a="1"/>
  <c r="AA552" i="8" s="1"/>
  <c r="Z552" i="8" a="1"/>
  <c r="Z552" i="8" s="1"/>
  <c r="Y552" i="8" a="1"/>
  <c r="Y552" i="8" s="1"/>
  <c r="X552" i="8" a="1"/>
  <c r="X552" i="8" s="1"/>
  <c r="W552" i="8" a="1"/>
  <c r="W552" i="8" s="1"/>
  <c r="V552" i="8" a="1"/>
  <c r="V552" i="8" s="1"/>
  <c r="U552" i="8" a="1"/>
  <c r="U552" i="8" s="1"/>
  <c r="T552" i="8" a="1"/>
  <c r="T552" i="8" s="1"/>
  <c r="S552" i="8" a="1"/>
  <c r="S552" i="8" s="1"/>
  <c r="R552" i="8" a="1"/>
  <c r="R552" i="8" s="1"/>
  <c r="Q552" i="8" a="1"/>
  <c r="Q552" i="8" s="1"/>
  <c r="P552" i="8" a="1"/>
  <c r="P552" i="8" s="1"/>
  <c r="O552" i="8" a="1"/>
  <c r="O552" i="8" s="1"/>
  <c r="N552" i="8" a="1"/>
  <c r="N552" i="8" s="1"/>
  <c r="M552" i="8" a="1"/>
  <c r="M552" i="8" s="1"/>
  <c r="L552" i="8" a="1"/>
  <c r="L552" i="8" s="1"/>
  <c r="K552" i="8" a="1"/>
  <c r="K552" i="8" s="1"/>
  <c r="J552" i="8" a="1"/>
  <c r="J552" i="8" s="1"/>
  <c r="I552" i="8" a="1"/>
  <c r="I552" i="8" s="1"/>
  <c r="H552" i="8" a="1"/>
  <c r="H552" i="8" s="1"/>
  <c r="G552" i="8" a="1"/>
  <c r="G552" i="8" s="1"/>
  <c r="F552" i="8" a="1"/>
  <c r="F552" i="8" s="1"/>
  <c r="E552" i="8" a="1"/>
  <c r="E552" i="8" s="1"/>
  <c r="AB551" i="8" a="1"/>
  <c r="AB551" i="8" s="1"/>
  <c r="AA551" i="8" a="1"/>
  <c r="AA551" i="8" s="1"/>
  <c r="Z551" i="8" a="1"/>
  <c r="Z551" i="8" s="1"/>
  <c r="Y551" i="8" a="1"/>
  <c r="Y551" i="8" s="1"/>
  <c r="X551" i="8" a="1"/>
  <c r="X551" i="8" s="1"/>
  <c r="W551" i="8" a="1"/>
  <c r="W551" i="8" s="1"/>
  <c r="V551" i="8" a="1"/>
  <c r="V551" i="8" s="1"/>
  <c r="U551" i="8" a="1"/>
  <c r="U551" i="8" s="1"/>
  <c r="T551" i="8" a="1"/>
  <c r="T551" i="8" s="1"/>
  <c r="S551" i="8" a="1"/>
  <c r="S551" i="8" s="1"/>
  <c r="R551" i="8" a="1"/>
  <c r="R551" i="8" s="1"/>
  <c r="Q551" i="8" a="1"/>
  <c r="Q551" i="8" s="1"/>
  <c r="P551" i="8" a="1"/>
  <c r="P551" i="8" s="1"/>
  <c r="O551" i="8" a="1"/>
  <c r="O551" i="8" s="1"/>
  <c r="N551" i="8" a="1"/>
  <c r="N551" i="8" s="1"/>
  <c r="M551" i="8" a="1"/>
  <c r="M551" i="8" s="1"/>
  <c r="L551" i="8" a="1"/>
  <c r="L551" i="8" s="1"/>
  <c r="K551" i="8" a="1"/>
  <c r="K551" i="8" s="1"/>
  <c r="J551" i="8" a="1"/>
  <c r="J551" i="8" s="1"/>
  <c r="I551" i="8" a="1"/>
  <c r="I551" i="8" s="1"/>
  <c r="H551" i="8" a="1"/>
  <c r="H551" i="8" s="1"/>
  <c r="G551" i="8" a="1"/>
  <c r="G551" i="8" s="1"/>
  <c r="F551" i="8" a="1"/>
  <c r="F551" i="8" s="1"/>
  <c r="E551" i="8" a="1"/>
  <c r="E551" i="8" s="1"/>
  <c r="AB550" i="8" a="1"/>
  <c r="AB550" i="8" s="1"/>
  <c r="AA550" i="8" a="1"/>
  <c r="AA550" i="8" s="1"/>
  <c r="Z550" i="8" a="1"/>
  <c r="Z550" i="8" s="1"/>
  <c r="Y550" i="8" a="1"/>
  <c r="Y550" i="8" s="1"/>
  <c r="X550" i="8" a="1"/>
  <c r="X550" i="8" s="1"/>
  <c r="W550" i="8" a="1"/>
  <c r="W550" i="8" s="1"/>
  <c r="V550" i="8" a="1"/>
  <c r="V550" i="8" s="1"/>
  <c r="U550" i="8" a="1"/>
  <c r="U550" i="8" s="1"/>
  <c r="T550" i="8" a="1"/>
  <c r="T550" i="8" s="1"/>
  <c r="S550" i="8" a="1"/>
  <c r="S550" i="8" s="1"/>
  <c r="R550" i="8" a="1"/>
  <c r="R550" i="8" s="1"/>
  <c r="Q550" i="8" a="1"/>
  <c r="Q550" i="8" s="1"/>
  <c r="P550" i="8" a="1"/>
  <c r="P550" i="8" s="1"/>
  <c r="O550" i="8" a="1"/>
  <c r="O550" i="8" s="1"/>
  <c r="N550" i="8" a="1"/>
  <c r="N550" i="8" s="1"/>
  <c r="M550" i="8" a="1"/>
  <c r="M550" i="8" s="1"/>
  <c r="L550" i="8" a="1"/>
  <c r="L550" i="8" s="1"/>
  <c r="K550" i="8" a="1"/>
  <c r="K550" i="8" s="1"/>
  <c r="J550" i="8" a="1"/>
  <c r="J550" i="8" s="1"/>
  <c r="I550" i="8" a="1"/>
  <c r="I550" i="8" s="1"/>
  <c r="H550" i="8" a="1"/>
  <c r="H550" i="8" s="1"/>
  <c r="G550" i="8" a="1"/>
  <c r="G550" i="8" s="1"/>
  <c r="F550" i="8" a="1"/>
  <c r="F550" i="8" s="1"/>
  <c r="E550" i="8" a="1"/>
  <c r="E550" i="8" s="1"/>
  <c r="AB549" i="8" a="1"/>
  <c r="AB549" i="8" s="1"/>
  <c r="AA549" i="8" a="1"/>
  <c r="AA549" i="8" s="1"/>
  <c r="Z549" i="8" a="1"/>
  <c r="Z549" i="8" s="1"/>
  <c r="Y549" i="8" a="1"/>
  <c r="Y549" i="8" s="1"/>
  <c r="X549" i="8" a="1"/>
  <c r="X549" i="8" s="1"/>
  <c r="W549" i="8" a="1"/>
  <c r="W549" i="8" s="1"/>
  <c r="V549" i="8" a="1"/>
  <c r="V549" i="8" s="1"/>
  <c r="U549" i="8" a="1"/>
  <c r="U549" i="8" s="1"/>
  <c r="T549" i="8" a="1"/>
  <c r="T549" i="8" s="1"/>
  <c r="S549" i="8" a="1"/>
  <c r="S549" i="8" s="1"/>
  <c r="R549" i="8" a="1"/>
  <c r="R549" i="8" s="1"/>
  <c r="Q549" i="8" a="1"/>
  <c r="Q549" i="8" s="1"/>
  <c r="P549" i="8" a="1"/>
  <c r="P549" i="8" s="1"/>
  <c r="O549" i="8" a="1"/>
  <c r="O549" i="8" s="1"/>
  <c r="N549" i="8" a="1"/>
  <c r="N549" i="8" s="1"/>
  <c r="M549" i="8" a="1"/>
  <c r="M549" i="8" s="1"/>
  <c r="L549" i="8" a="1"/>
  <c r="L549" i="8" s="1"/>
  <c r="K549" i="8" a="1"/>
  <c r="K549" i="8" s="1"/>
  <c r="J549" i="8" a="1"/>
  <c r="J549" i="8" s="1"/>
  <c r="I549" i="8" a="1"/>
  <c r="I549" i="8" s="1"/>
  <c r="H549" i="8" a="1"/>
  <c r="H549" i="8" s="1"/>
  <c r="G549" i="8" a="1"/>
  <c r="G549" i="8" s="1"/>
  <c r="F549" i="8" a="1"/>
  <c r="F549" i="8" s="1"/>
  <c r="E549" i="8" a="1"/>
  <c r="E549" i="8" s="1"/>
  <c r="AB548" i="8" a="1"/>
  <c r="AB548" i="8" s="1"/>
  <c r="AA548" i="8" a="1"/>
  <c r="AA548" i="8" s="1"/>
  <c r="Z548" i="8" a="1"/>
  <c r="Z548" i="8" s="1"/>
  <c r="Y548" i="8" a="1"/>
  <c r="Y548" i="8" s="1"/>
  <c r="X548" i="8" a="1"/>
  <c r="X548" i="8" s="1"/>
  <c r="W548" i="8" a="1"/>
  <c r="W548" i="8" s="1"/>
  <c r="V548" i="8" a="1"/>
  <c r="V548" i="8" s="1"/>
  <c r="U548" i="8" a="1"/>
  <c r="U548" i="8" s="1"/>
  <c r="T548" i="8" a="1"/>
  <c r="T548" i="8" s="1"/>
  <c r="S548" i="8" a="1"/>
  <c r="S548" i="8" s="1"/>
  <c r="R548" i="8" a="1"/>
  <c r="R548" i="8" s="1"/>
  <c r="Q548" i="8" a="1"/>
  <c r="Q548" i="8" s="1"/>
  <c r="P548" i="8" a="1"/>
  <c r="P548" i="8" s="1"/>
  <c r="O548" i="8" a="1"/>
  <c r="O548" i="8" s="1"/>
  <c r="N548" i="8" a="1"/>
  <c r="N548" i="8" s="1"/>
  <c r="M548" i="8" a="1"/>
  <c r="M548" i="8" s="1"/>
  <c r="L548" i="8" a="1"/>
  <c r="L548" i="8" s="1"/>
  <c r="K548" i="8" a="1"/>
  <c r="K548" i="8" s="1"/>
  <c r="J548" i="8" a="1"/>
  <c r="J548" i="8" s="1"/>
  <c r="I548" i="8" a="1"/>
  <c r="I548" i="8" s="1"/>
  <c r="H548" i="8" a="1"/>
  <c r="H548" i="8" s="1"/>
  <c r="G548" i="8" a="1"/>
  <c r="G548" i="8" s="1"/>
  <c r="F548" i="8" a="1"/>
  <c r="F548" i="8" s="1"/>
  <c r="E548" i="8" a="1"/>
  <c r="E548" i="8" s="1"/>
  <c r="AB547" i="8" a="1"/>
  <c r="AB547" i="8" s="1"/>
  <c r="AA547" i="8" a="1"/>
  <c r="AA547" i="8" s="1"/>
  <c r="Z547" i="8" a="1"/>
  <c r="Z547" i="8" s="1"/>
  <c r="Y547" i="8" a="1"/>
  <c r="Y547" i="8" s="1"/>
  <c r="X547" i="8" a="1"/>
  <c r="X547" i="8" s="1"/>
  <c r="W547" i="8" a="1"/>
  <c r="W547" i="8" s="1"/>
  <c r="V547" i="8" a="1"/>
  <c r="V547" i="8" s="1"/>
  <c r="U547" i="8" a="1"/>
  <c r="U547" i="8" s="1"/>
  <c r="T547" i="8" a="1"/>
  <c r="T547" i="8" s="1"/>
  <c r="S547" i="8" a="1"/>
  <c r="S547" i="8" s="1"/>
  <c r="R547" i="8" a="1"/>
  <c r="R547" i="8" s="1"/>
  <c r="Q547" i="8" a="1"/>
  <c r="Q547" i="8" s="1"/>
  <c r="P547" i="8" a="1"/>
  <c r="P547" i="8" s="1"/>
  <c r="O547" i="8" a="1"/>
  <c r="O547" i="8" s="1"/>
  <c r="N547" i="8" a="1"/>
  <c r="N547" i="8" s="1"/>
  <c r="M547" i="8" a="1"/>
  <c r="M547" i="8" s="1"/>
  <c r="L547" i="8" a="1"/>
  <c r="L547" i="8" s="1"/>
  <c r="K547" i="8" a="1"/>
  <c r="K547" i="8" s="1"/>
  <c r="J547" i="8" a="1"/>
  <c r="J547" i="8" s="1"/>
  <c r="I547" i="8" a="1"/>
  <c r="I547" i="8" s="1"/>
  <c r="H547" i="8" a="1"/>
  <c r="H547" i="8" s="1"/>
  <c r="G547" i="8" a="1"/>
  <c r="G547" i="8" s="1"/>
  <c r="F547" i="8" a="1"/>
  <c r="F547" i="8" s="1"/>
  <c r="E547" i="8" a="1"/>
  <c r="E547" i="8" s="1"/>
  <c r="AB546" i="8" a="1"/>
  <c r="AB546" i="8" s="1"/>
  <c r="AA546" i="8" a="1"/>
  <c r="AA546" i="8" s="1"/>
  <c r="Z546" i="8" a="1"/>
  <c r="Z546" i="8" s="1"/>
  <c r="Y546" i="8" a="1"/>
  <c r="Y546" i="8" s="1"/>
  <c r="X546" i="8" a="1"/>
  <c r="X546" i="8" s="1"/>
  <c r="W546" i="8" a="1"/>
  <c r="W546" i="8" s="1"/>
  <c r="V546" i="8" a="1"/>
  <c r="V546" i="8" s="1"/>
  <c r="U546" i="8" a="1"/>
  <c r="U546" i="8" s="1"/>
  <c r="T546" i="8" a="1"/>
  <c r="T546" i="8" s="1"/>
  <c r="S546" i="8" a="1"/>
  <c r="S546" i="8" s="1"/>
  <c r="R546" i="8" a="1"/>
  <c r="R546" i="8" s="1"/>
  <c r="Q546" i="8" a="1"/>
  <c r="Q546" i="8" s="1"/>
  <c r="P546" i="8" a="1"/>
  <c r="P546" i="8" s="1"/>
  <c r="O546" i="8" a="1"/>
  <c r="O546" i="8" s="1"/>
  <c r="N546" i="8" a="1"/>
  <c r="N546" i="8" s="1"/>
  <c r="M546" i="8" a="1"/>
  <c r="M546" i="8" s="1"/>
  <c r="L546" i="8" a="1"/>
  <c r="L546" i="8" s="1"/>
  <c r="K546" i="8" a="1"/>
  <c r="K546" i="8" s="1"/>
  <c r="J546" i="8" a="1"/>
  <c r="J546" i="8" s="1"/>
  <c r="I546" i="8" a="1"/>
  <c r="I546" i="8" s="1"/>
  <c r="H546" i="8" a="1"/>
  <c r="H546" i="8" s="1"/>
  <c r="G546" i="8" a="1"/>
  <c r="G546" i="8" s="1"/>
  <c r="F546" i="8" a="1"/>
  <c r="F546" i="8" s="1"/>
  <c r="E546" i="8" a="1"/>
  <c r="E546" i="8" s="1"/>
  <c r="AB545" i="8" a="1"/>
  <c r="AB545" i="8" s="1"/>
  <c r="AA545" i="8" a="1"/>
  <c r="AA545" i="8" s="1"/>
  <c r="Z545" i="8" a="1"/>
  <c r="Z545" i="8" s="1"/>
  <c r="Y545" i="8" a="1"/>
  <c r="Y545" i="8" s="1"/>
  <c r="X545" i="8" a="1"/>
  <c r="X545" i="8" s="1"/>
  <c r="W545" i="8" a="1"/>
  <c r="W545" i="8" s="1"/>
  <c r="V545" i="8" a="1"/>
  <c r="V545" i="8" s="1"/>
  <c r="U545" i="8" a="1"/>
  <c r="U545" i="8" s="1"/>
  <c r="T545" i="8" a="1"/>
  <c r="T545" i="8" s="1"/>
  <c r="S545" i="8" a="1"/>
  <c r="S545" i="8" s="1"/>
  <c r="R545" i="8" a="1"/>
  <c r="R545" i="8" s="1"/>
  <c r="Q545" i="8" a="1"/>
  <c r="Q545" i="8" s="1"/>
  <c r="P545" i="8" a="1"/>
  <c r="P545" i="8" s="1"/>
  <c r="O545" i="8" a="1"/>
  <c r="O545" i="8" s="1"/>
  <c r="N545" i="8" a="1"/>
  <c r="N545" i="8" s="1"/>
  <c r="M545" i="8" a="1"/>
  <c r="M545" i="8" s="1"/>
  <c r="L545" i="8" a="1"/>
  <c r="L545" i="8" s="1"/>
  <c r="K545" i="8" a="1"/>
  <c r="K545" i="8" s="1"/>
  <c r="J545" i="8" a="1"/>
  <c r="J545" i="8" s="1"/>
  <c r="I545" i="8" a="1"/>
  <c r="I545" i="8" s="1"/>
  <c r="H545" i="8" a="1"/>
  <c r="H545" i="8" s="1"/>
  <c r="G545" i="8" a="1"/>
  <c r="G545" i="8" s="1"/>
  <c r="F545" i="8" a="1"/>
  <c r="F545" i="8" s="1"/>
  <c r="E545" i="8" a="1"/>
  <c r="E545" i="8" s="1"/>
  <c r="AB544" i="8" a="1"/>
  <c r="AB544" i="8" s="1"/>
  <c r="AA544" i="8" a="1"/>
  <c r="AA544" i="8" s="1"/>
  <c r="Z544" i="8" a="1"/>
  <c r="Z544" i="8" s="1"/>
  <c r="Y544" i="8" a="1"/>
  <c r="Y544" i="8" s="1"/>
  <c r="X544" i="8" a="1"/>
  <c r="X544" i="8" s="1"/>
  <c r="W544" i="8" a="1"/>
  <c r="W544" i="8" s="1"/>
  <c r="V544" i="8" a="1"/>
  <c r="V544" i="8" s="1"/>
  <c r="U544" i="8" a="1"/>
  <c r="U544" i="8" s="1"/>
  <c r="T544" i="8" a="1"/>
  <c r="T544" i="8" s="1"/>
  <c r="S544" i="8" a="1"/>
  <c r="S544" i="8" s="1"/>
  <c r="R544" i="8" a="1"/>
  <c r="R544" i="8" s="1"/>
  <c r="Q544" i="8" a="1"/>
  <c r="Q544" i="8" s="1"/>
  <c r="P544" i="8" a="1"/>
  <c r="P544" i="8" s="1"/>
  <c r="O544" i="8" a="1"/>
  <c r="O544" i="8" s="1"/>
  <c r="N544" i="8" a="1"/>
  <c r="N544" i="8" s="1"/>
  <c r="M544" i="8" a="1"/>
  <c r="M544" i="8" s="1"/>
  <c r="L544" i="8" a="1"/>
  <c r="L544" i="8" s="1"/>
  <c r="K544" i="8" a="1"/>
  <c r="K544" i="8" s="1"/>
  <c r="J544" i="8" a="1"/>
  <c r="J544" i="8" s="1"/>
  <c r="I544" i="8" a="1"/>
  <c r="I544" i="8" s="1"/>
  <c r="H544" i="8" a="1"/>
  <c r="H544" i="8" s="1"/>
  <c r="G544" i="8" a="1"/>
  <c r="G544" i="8" s="1"/>
  <c r="F544" i="8" a="1"/>
  <c r="F544" i="8" s="1"/>
  <c r="E544" i="8" a="1"/>
  <c r="E544" i="8" s="1"/>
  <c r="AB543" i="8" a="1"/>
  <c r="AB543" i="8" s="1"/>
  <c r="AA543" i="8" a="1"/>
  <c r="AA543" i="8" s="1"/>
  <c r="Z543" i="8" a="1"/>
  <c r="Z543" i="8" s="1"/>
  <c r="Y543" i="8" a="1"/>
  <c r="Y543" i="8" s="1"/>
  <c r="X543" i="8" a="1"/>
  <c r="X543" i="8" s="1"/>
  <c r="W543" i="8" a="1"/>
  <c r="W543" i="8" s="1"/>
  <c r="V543" i="8" a="1"/>
  <c r="V543" i="8" s="1"/>
  <c r="U543" i="8" a="1"/>
  <c r="U543" i="8" s="1"/>
  <c r="T543" i="8" a="1"/>
  <c r="T543" i="8" s="1"/>
  <c r="S543" i="8" a="1"/>
  <c r="S543" i="8" s="1"/>
  <c r="R543" i="8" a="1"/>
  <c r="R543" i="8" s="1"/>
  <c r="Q543" i="8" a="1"/>
  <c r="Q543" i="8" s="1"/>
  <c r="P543" i="8" a="1"/>
  <c r="P543" i="8" s="1"/>
  <c r="O543" i="8" a="1"/>
  <c r="O543" i="8" s="1"/>
  <c r="N543" i="8" a="1"/>
  <c r="N543" i="8" s="1"/>
  <c r="M543" i="8" a="1"/>
  <c r="M543" i="8" s="1"/>
  <c r="L543" i="8" a="1"/>
  <c r="L543" i="8" s="1"/>
  <c r="K543" i="8" a="1"/>
  <c r="K543" i="8" s="1"/>
  <c r="J543" i="8" a="1"/>
  <c r="J543" i="8" s="1"/>
  <c r="I543" i="8" a="1"/>
  <c r="I543" i="8" s="1"/>
  <c r="H543" i="8" a="1"/>
  <c r="H543" i="8" s="1"/>
  <c r="G543" i="8" a="1"/>
  <c r="G543" i="8" s="1"/>
  <c r="F543" i="8" a="1"/>
  <c r="F543" i="8" s="1"/>
  <c r="E543" i="8" a="1"/>
  <c r="E543" i="8" s="1"/>
  <c r="AB542" i="8" a="1"/>
  <c r="AB542" i="8" s="1"/>
  <c r="AA542" i="8" a="1"/>
  <c r="AA542" i="8" s="1"/>
  <c r="Z542" i="8" a="1"/>
  <c r="Z542" i="8" s="1"/>
  <c r="Y542" i="8" a="1"/>
  <c r="Y542" i="8" s="1"/>
  <c r="X542" i="8" a="1"/>
  <c r="X542" i="8" s="1"/>
  <c r="W542" i="8" a="1"/>
  <c r="W542" i="8" s="1"/>
  <c r="V542" i="8" a="1"/>
  <c r="V542" i="8" s="1"/>
  <c r="U542" i="8" a="1"/>
  <c r="U542" i="8" s="1"/>
  <c r="T542" i="8" a="1"/>
  <c r="T542" i="8" s="1"/>
  <c r="S542" i="8" a="1"/>
  <c r="S542" i="8" s="1"/>
  <c r="R542" i="8" a="1"/>
  <c r="R542" i="8" s="1"/>
  <c r="Q542" i="8" a="1"/>
  <c r="Q542" i="8" s="1"/>
  <c r="P542" i="8" a="1"/>
  <c r="P542" i="8" s="1"/>
  <c r="O542" i="8" a="1"/>
  <c r="O542" i="8" s="1"/>
  <c r="N542" i="8" a="1"/>
  <c r="N542" i="8" s="1"/>
  <c r="M542" i="8" a="1"/>
  <c r="M542" i="8" s="1"/>
  <c r="L542" i="8" a="1"/>
  <c r="L542" i="8" s="1"/>
  <c r="K542" i="8" a="1"/>
  <c r="K542" i="8" s="1"/>
  <c r="J542" i="8" a="1"/>
  <c r="J542" i="8" s="1"/>
  <c r="I542" i="8" a="1"/>
  <c r="I542" i="8" s="1"/>
  <c r="H542" i="8" a="1"/>
  <c r="H542" i="8" s="1"/>
  <c r="G542" i="8" a="1"/>
  <c r="G542" i="8" s="1"/>
  <c r="F542" i="8" a="1"/>
  <c r="F542" i="8" s="1"/>
  <c r="E542" i="8" a="1"/>
  <c r="E542" i="8" s="1"/>
  <c r="AB541" i="8" a="1"/>
  <c r="AB541" i="8" s="1"/>
  <c r="AA541" i="8" a="1"/>
  <c r="AA541" i="8" s="1"/>
  <c r="Z541" i="8" a="1"/>
  <c r="Z541" i="8" s="1"/>
  <c r="Y541" i="8" a="1"/>
  <c r="Y541" i="8" s="1"/>
  <c r="X541" i="8" a="1"/>
  <c r="X541" i="8" s="1"/>
  <c r="W541" i="8" a="1"/>
  <c r="W541" i="8" s="1"/>
  <c r="V541" i="8" a="1"/>
  <c r="V541" i="8" s="1"/>
  <c r="U541" i="8" a="1"/>
  <c r="U541" i="8" s="1"/>
  <c r="T541" i="8" a="1"/>
  <c r="T541" i="8" s="1"/>
  <c r="S541" i="8" a="1"/>
  <c r="S541" i="8" s="1"/>
  <c r="R541" i="8" a="1"/>
  <c r="R541" i="8" s="1"/>
  <c r="Q541" i="8" a="1"/>
  <c r="Q541" i="8" s="1"/>
  <c r="P541" i="8" a="1"/>
  <c r="P541" i="8" s="1"/>
  <c r="O541" i="8" a="1"/>
  <c r="O541" i="8" s="1"/>
  <c r="N541" i="8" a="1"/>
  <c r="N541" i="8" s="1"/>
  <c r="M541" i="8" a="1"/>
  <c r="M541" i="8" s="1"/>
  <c r="L541" i="8" a="1"/>
  <c r="L541" i="8" s="1"/>
  <c r="K541" i="8" a="1"/>
  <c r="K541" i="8" s="1"/>
  <c r="J541" i="8" a="1"/>
  <c r="J541" i="8" s="1"/>
  <c r="I541" i="8" a="1"/>
  <c r="I541" i="8" s="1"/>
  <c r="H541" i="8" a="1"/>
  <c r="H541" i="8" s="1"/>
  <c r="G541" i="8" a="1"/>
  <c r="G541" i="8" s="1"/>
  <c r="F541" i="8" a="1"/>
  <c r="F541" i="8" s="1"/>
  <c r="E541" i="8" a="1"/>
  <c r="E541" i="8" s="1"/>
  <c r="AB540" i="8" a="1"/>
  <c r="AB540" i="8" s="1"/>
  <c r="AA540" i="8" a="1"/>
  <c r="AA540" i="8" s="1"/>
  <c r="Z540" i="8" a="1"/>
  <c r="Z540" i="8" s="1"/>
  <c r="Y540" i="8" a="1"/>
  <c r="Y540" i="8" s="1"/>
  <c r="X540" i="8" a="1"/>
  <c r="X540" i="8" s="1"/>
  <c r="W540" i="8" a="1"/>
  <c r="W540" i="8" s="1"/>
  <c r="V540" i="8" a="1"/>
  <c r="V540" i="8" s="1"/>
  <c r="U540" i="8" a="1"/>
  <c r="U540" i="8" s="1"/>
  <c r="T540" i="8" a="1"/>
  <c r="T540" i="8" s="1"/>
  <c r="S540" i="8" a="1"/>
  <c r="S540" i="8" s="1"/>
  <c r="R540" i="8" a="1"/>
  <c r="R540" i="8" s="1"/>
  <c r="Q540" i="8" a="1"/>
  <c r="Q540" i="8" s="1"/>
  <c r="P540" i="8" a="1"/>
  <c r="P540" i="8" s="1"/>
  <c r="O540" i="8" a="1"/>
  <c r="O540" i="8" s="1"/>
  <c r="N540" i="8" a="1"/>
  <c r="N540" i="8" s="1"/>
  <c r="M540" i="8" a="1"/>
  <c r="M540" i="8" s="1"/>
  <c r="L540" i="8" a="1"/>
  <c r="L540" i="8" s="1"/>
  <c r="K540" i="8" a="1"/>
  <c r="K540" i="8" s="1"/>
  <c r="J540" i="8" a="1"/>
  <c r="J540" i="8" s="1"/>
  <c r="I540" i="8" a="1"/>
  <c r="I540" i="8" s="1"/>
  <c r="H540" i="8" a="1"/>
  <c r="H540" i="8" s="1"/>
  <c r="G540" i="8" a="1"/>
  <c r="G540" i="8" s="1"/>
  <c r="F540" i="8" a="1"/>
  <c r="F540" i="8" s="1"/>
  <c r="E540" i="8" a="1"/>
  <c r="E540" i="8" s="1"/>
  <c r="AB539" i="8" a="1"/>
  <c r="AB539" i="8" s="1"/>
  <c r="AA539" i="8" a="1"/>
  <c r="AA539" i="8" s="1"/>
  <c r="Z539" i="8" a="1"/>
  <c r="Z539" i="8" s="1"/>
  <c r="Y539" i="8" a="1"/>
  <c r="Y539" i="8" s="1"/>
  <c r="X539" i="8" a="1"/>
  <c r="X539" i="8" s="1"/>
  <c r="W539" i="8" a="1"/>
  <c r="W539" i="8" s="1"/>
  <c r="V539" i="8" a="1"/>
  <c r="V539" i="8" s="1"/>
  <c r="U539" i="8" a="1"/>
  <c r="U539" i="8" s="1"/>
  <c r="T539" i="8" a="1"/>
  <c r="T539" i="8" s="1"/>
  <c r="S539" i="8" a="1"/>
  <c r="S539" i="8" s="1"/>
  <c r="R539" i="8" a="1"/>
  <c r="R539" i="8" s="1"/>
  <c r="Q539" i="8" a="1"/>
  <c r="Q539" i="8" s="1"/>
  <c r="P539" i="8" a="1"/>
  <c r="P539" i="8" s="1"/>
  <c r="O539" i="8" a="1"/>
  <c r="O539" i="8" s="1"/>
  <c r="N539" i="8" a="1"/>
  <c r="N539" i="8" s="1"/>
  <c r="M539" i="8" a="1"/>
  <c r="M539" i="8" s="1"/>
  <c r="L539" i="8" a="1"/>
  <c r="L539" i="8" s="1"/>
  <c r="K539" i="8" a="1"/>
  <c r="K539" i="8" s="1"/>
  <c r="J539" i="8" a="1"/>
  <c r="J539" i="8" s="1"/>
  <c r="I539" i="8" a="1"/>
  <c r="I539" i="8" s="1"/>
  <c r="H539" i="8" a="1"/>
  <c r="H539" i="8" s="1"/>
  <c r="G539" i="8" a="1"/>
  <c r="G539" i="8" s="1"/>
  <c r="F539" i="8" a="1"/>
  <c r="F539" i="8" s="1"/>
  <c r="E539" i="8" a="1"/>
  <c r="E539" i="8" s="1"/>
  <c r="AB538" i="8" a="1"/>
  <c r="AB538" i="8" s="1"/>
  <c r="AA538" i="8" a="1"/>
  <c r="AA538" i="8" s="1"/>
  <c r="Z538" i="8" a="1"/>
  <c r="Z538" i="8" s="1"/>
  <c r="Y538" i="8" a="1"/>
  <c r="Y538" i="8" s="1"/>
  <c r="X538" i="8" a="1"/>
  <c r="X538" i="8" s="1"/>
  <c r="W538" i="8" a="1"/>
  <c r="W538" i="8" s="1"/>
  <c r="V538" i="8" a="1"/>
  <c r="V538" i="8" s="1"/>
  <c r="U538" i="8" a="1"/>
  <c r="U538" i="8" s="1"/>
  <c r="T538" i="8" a="1"/>
  <c r="T538" i="8" s="1"/>
  <c r="S538" i="8" a="1"/>
  <c r="S538" i="8" s="1"/>
  <c r="R538" i="8" a="1"/>
  <c r="R538" i="8" s="1"/>
  <c r="Q538" i="8" a="1"/>
  <c r="Q538" i="8" s="1"/>
  <c r="P538" i="8" a="1"/>
  <c r="P538" i="8" s="1"/>
  <c r="O538" i="8" a="1"/>
  <c r="O538" i="8" s="1"/>
  <c r="N538" i="8" a="1"/>
  <c r="N538" i="8" s="1"/>
  <c r="M538" i="8" a="1"/>
  <c r="M538" i="8" s="1"/>
  <c r="L538" i="8" a="1"/>
  <c r="L538" i="8" s="1"/>
  <c r="K538" i="8" a="1"/>
  <c r="K538" i="8" s="1"/>
  <c r="J538" i="8" a="1"/>
  <c r="J538" i="8" s="1"/>
  <c r="I538" i="8" a="1"/>
  <c r="I538" i="8" s="1"/>
  <c r="H538" i="8" a="1"/>
  <c r="H538" i="8" s="1"/>
  <c r="G538" i="8" a="1"/>
  <c r="G538" i="8" s="1"/>
  <c r="F538" i="8" a="1"/>
  <c r="F538" i="8" s="1"/>
  <c r="E538" i="8" a="1"/>
  <c r="E538" i="8" s="1"/>
  <c r="AB537" i="8" a="1"/>
  <c r="AB537" i="8" s="1"/>
  <c r="AA537" i="8" a="1"/>
  <c r="AA537" i="8" s="1"/>
  <c r="Z537" i="8" a="1"/>
  <c r="Z537" i="8" s="1"/>
  <c r="Y537" i="8" a="1"/>
  <c r="Y537" i="8" s="1"/>
  <c r="X537" i="8" a="1"/>
  <c r="X537" i="8" s="1"/>
  <c r="W537" i="8" a="1"/>
  <c r="W537" i="8" s="1"/>
  <c r="V537" i="8" a="1"/>
  <c r="V537" i="8" s="1"/>
  <c r="U537" i="8" a="1"/>
  <c r="U537" i="8" s="1"/>
  <c r="T537" i="8" a="1"/>
  <c r="T537" i="8" s="1"/>
  <c r="S537" i="8" a="1"/>
  <c r="S537" i="8" s="1"/>
  <c r="R537" i="8" a="1"/>
  <c r="R537" i="8" s="1"/>
  <c r="Q537" i="8" a="1"/>
  <c r="Q537" i="8" s="1"/>
  <c r="P537" i="8" a="1"/>
  <c r="P537" i="8" s="1"/>
  <c r="O537" i="8" a="1"/>
  <c r="O537" i="8" s="1"/>
  <c r="N537" i="8" a="1"/>
  <c r="N537" i="8" s="1"/>
  <c r="M537" i="8" a="1"/>
  <c r="M537" i="8" s="1"/>
  <c r="L537" i="8" a="1"/>
  <c r="L537" i="8" s="1"/>
  <c r="K537" i="8" a="1"/>
  <c r="K537" i="8" s="1"/>
  <c r="J537" i="8" a="1"/>
  <c r="J537" i="8" s="1"/>
  <c r="I537" i="8" a="1"/>
  <c r="I537" i="8" s="1"/>
  <c r="H537" i="8" a="1"/>
  <c r="H537" i="8" s="1"/>
  <c r="G537" i="8" a="1"/>
  <c r="G537" i="8" s="1"/>
  <c r="F537" i="8" a="1"/>
  <c r="F537" i="8" s="1"/>
  <c r="E537" i="8" a="1"/>
  <c r="E537" i="8" s="1"/>
  <c r="AB536" i="8" a="1"/>
  <c r="AB536" i="8" s="1"/>
  <c r="AA536" i="8" a="1"/>
  <c r="AA536" i="8" s="1"/>
  <c r="Z536" i="8" a="1"/>
  <c r="Z536" i="8" s="1"/>
  <c r="Y536" i="8" a="1"/>
  <c r="Y536" i="8" s="1"/>
  <c r="X536" i="8" a="1"/>
  <c r="X536" i="8" s="1"/>
  <c r="W536" i="8" a="1"/>
  <c r="W536" i="8" s="1"/>
  <c r="V536" i="8" a="1"/>
  <c r="V536" i="8" s="1"/>
  <c r="U536" i="8" a="1"/>
  <c r="U536" i="8" s="1"/>
  <c r="T536" i="8" a="1"/>
  <c r="T536" i="8" s="1"/>
  <c r="S536" i="8" a="1"/>
  <c r="S536" i="8" s="1"/>
  <c r="R536" i="8" a="1"/>
  <c r="R536" i="8" s="1"/>
  <c r="Q536" i="8" a="1"/>
  <c r="Q536" i="8" s="1"/>
  <c r="P536" i="8" a="1"/>
  <c r="P536" i="8" s="1"/>
  <c r="O536" i="8" a="1"/>
  <c r="O536" i="8" s="1"/>
  <c r="N536" i="8" a="1"/>
  <c r="N536" i="8" s="1"/>
  <c r="M536" i="8" a="1"/>
  <c r="M536" i="8" s="1"/>
  <c r="L536" i="8" a="1"/>
  <c r="L536" i="8" s="1"/>
  <c r="K536" i="8" a="1"/>
  <c r="K536" i="8" s="1"/>
  <c r="J536" i="8" a="1"/>
  <c r="J536" i="8" s="1"/>
  <c r="I536" i="8" a="1"/>
  <c r="I536" i="8" s="1"/>
  <c r="H536" i="8" a="1"/>
  <c r="H536" i="8" s="1"/>
  <c r="G536" i="8" a="1"/>
  <c r="G536" i="8" s="1"/>
  <c r="F536" i="8" a="1"/>
  <c r="F536" i="8" s="1"/>
  <c r="E536" i="8" a="1"/>
  <c r="E536" i="8" s="1"/>
  <c r="AB535" i="8" a="1"/>
  <c r="AB535" i="8" s="1"/>
  <c r="AA535" i="8" a="1"/>
  <c r="AA535" i="8" s="1"/>
  <c r="Z535" i="8" a="1"/>
  <c r="Z535" i="8" s="1"/>
  <c r="Y535" i="8" a="1"/>
  <c r="Y535" i="8" s="1"/>
  <c r="X535" i="8" a="1"/>
  <c r="X535" i="8" s="1"/>
  <c r="W535" i="8" a="1"/>
  <c r="W535" i="8" s="1"/>
  <c r="V535" i="8" a="1"/>
  <c r="V535" i="8" s="1"/>
  <c r="U535" i="8" a="1"/>
  <c r="U535" i="8" s="1"/>
  <c r="T535" i="8" a="1"/>
  <c r="T535" i="8" s="1"/>
  <c r="S535" i="8" a="1"/>
  <c r="S535" i="8" s="1"/>
  <c r="R535" i="8" a="1"/>
  <c r="R535" i="8" s="1"/>
  <c r="Q535" i="8" a="1"/>
  <c r="Q535" i="8" s="1"/>
  <c r="P535" i="8" a="1"/>
  <c r="P535" i="8" s="1"/>
  <c r="O535" i="8" a="1"/>
  <c r="O535" i="8" s="1"/>
  <c r="N535" i="8" a="1"/>
  <c r="N535" i="8" s="1"/>
  <c r="M535" i="8" a="1"/>
  <c r="M535" i="8" s="1"/>
  <c r="L535" i="8" a="1"/>
  <c r="L535" i="8" s="1"/>
  <c r="K535" i="8" a="1"/>
  <c r="K535" i="8" s="1"/>
  <c r="J535" i="8" a="1"/>
  <c r="J535" i="8" s="1"/>
  <c r="I535" i="8" a="1"/>
  <c r="I535" i="8" s="1"/>
  <c r="H535" i="8" a="1"/>
  <c r="H535" i="8" s="1"/>
  <c r="G535" i="8" a="1"/>
  <c r="G535" i="8" s="1"/>
  <c r="F535" i="8" a="1"/>
  <c r="F535" i="8" s="1"/>
  <c r="E535" i="8" a="1"/>
  <c r="E535" i="8" s="1"/>
  <c r="AB534" i="8" a="1"/>
  <c r="AB534" i="8" s="1"/>
  <c r="AA534" i="8" a="1"/>
  <c r="AA534" i="8" s="1"/>
  <c r="Z534" i="8" a="1"/>
  <c r="Z534" i="8" s="1"/>
  <c r="Y534" i="8" a="1"/>
  <c r="Y534" i="8" s="1"/>
  <c r="X534" i="8" a="1"/>
  <c r="X534" i="8" s="1"/>
  <c r="W534" i="8" a="1"/>
  <c r="W534" i="8" s="1"/>
  <c r="V534" i="8" a="1"/>
  <c r="V534" i="8" s="1"/>
  <c r="U534" i="8" a="1"/>
  <c r="U534" i="8" s="1"/>
  <c r="T534" i="8" a="1"/>
  <c r="T534" i="8" s="1"/>
  <c r="S534" i="8" a="1"/>
  <c r="S534" i="8" s="1"/>
  <c r="R534" i="8" a="1"/>
  <c r="R534" i="8" s="1"/>
  <c r="Q534" i="8" a="1"/>
  <c r="Q534" i="8" s="1"/>
  <c r="P534" i="8" a="1"/>
  <c r="P534" i="8" s="1"/>
  <c r="O534" i="8" a="1"/>
  <c r="O534" i="8" s="1"/>
  <c r="N534" i="8" a="1"/>
  <c r="N534" i="8" s="1"/>
  <c r="M534" i="8" a="1"/>
  <c r="M534" i="8" s="1"/>
  <c r="L534" i="8" a="1"/>
  <c r="L534" i="8" s="1"/>
  <c r="K534" i="8" a="1"/>
  <c r="K534" i="8" s="1"/>
  <c r="J534" i="8" a="1"/>
  <c r="J534" i="8" s="1"/>
  <c r="I534" i="8" a="1"/>
  <c r="I534" i="8" s="1"/>
  <c r="H534" i="8" a="1"/>
  <c r="H534" i="8" s="1"/>
  <c r="G534" i="8" a="1"/>
  <c r="G534" i="8" s="1"/>
  <c r="F534" i="8" a="1"/>
  <c r="F534" i="8" s="1"/>
  <c r="E534" i="8" a="1"/>
  <c r="E534" i="8" s="1"/>
  <c r="AB533" i="8" a="1"/>
  <c r="AB533" i="8" s="1"/>
  <c r="AA533" i="8" a="1"/>
  <c r="AA533" i="8" s="1"/>
  <c r="Z533" i="8" a="1"/>
  <c r="Z533" i="8" s="1"/>
  <c r="Y533" i="8" a="1"/>
  <c r="Y533" i="8" s="1"/>
  <c r="X533" i="8" a="1"/>
  <c r="X533" i="8" s="1"/>
  <c r="W533" i="8" a="1"/>
  <c r="W533" i="8" s="1"/>
  <c r="V533" i="8" a="1"/>
  <c r="V533" i="8" s="1"/>
  <c r="U533" i="8" a="1"/>
  <c r="U533" i="8" s="1"/>
  <c r="T533" i="8" a="1"/>
  <c r="T533" i="8" s="1"/>
  <c r="S533" i="8" a="1"/>
  <c r="S533" i="8" s="1"/>
  <c r="R533" i="8" a="1"/>
  <c r="R533" i="8" s="1"/>
  <c r="Q533" i="8" a="1"/>
  <c r="Q533" i="8" s="1"/>
  <c r="P533" i="8" a="1"/>
  <c r="P533" i="8" s="1"/>
  <c r="O533" i="8" a="1"/>
  <c r="O533" i="8" s="1"/>
  <c r="N533" i="8" a="1"/>
  <c r="N533" i="8" s="1"/>
  <c r="M533" i="8" a="1"/>
  <c r="M533" i="8" s="1"/>
  <c r="L533" i="8" a="1"/>
  <c r="L533" i="8" s="1"/>
  <c r="K533" i="8" a="1"/>
  <c r="K533" i="8" s="1"/>
  <c r="J533" i="8" a="1"/>
  <c r="J533" i="8" s="1"/>
  <c r="I533" i="8" a="1"/>
  <c r="I533" i="8" s="1"/>
  <c r="H533" i="8" a="1"/>
  <c r="H533" i="8" s="1"/>
  <c r="G533" i="8" a="1"/>
  <c r="G533" i="8" s="1"/>
  <c r="F533" i="8" a="1"/>
  <c r="F533" i="8" s="1"/>
  <c r="E533" i="8" a="1"/>
  <c r="E533" i="8" s="1"/>
  <c r="AB532" i="8" a="1"/>
  <c r="AB532" i="8" s="1"/>
  <c r="AA532" i="8" a="1"/>
  <c r="AA532" i="8" s="1"/>
  <c r="Z532" i="8" a="1"/>
  <c r="Z532" i="8" s="1"/>
  <c r="Y532" i="8" a="1"/>
  <c r="Y532" i="8" s="1"/>
  <c r="X532" i="8" a="1"/>
  <c r="X532" i="8" s="1"/>
  <c r="W532" i="8" a="1"/>
  <c r="W532" i="8" s="1"/>
  <c r="V532" i="8" a="1"/>
  <c r="V532" i="8" s="1"/>
  <c r="U532" i="8" a="1"/>
  <c r="U532" i="8" s="1"/>
  <c r="T532" i="8" a="1"/>
  <c r="T532" i="8" s="1"/>
  <c r="S532" i="8" a="1"/>
  <c r="S532" i="8" s="1"/>
  <c r="R532" i="8" a="1"/>
  <c r="R532" i="8" s="1"/>
  <c r="Q532" i="8" a="1"/>
  <c r="Q532" i="8" s="1"/>
  <c r="P532" i="8" a="1"/>
  <c r="P532" i="8" s="1"/>
  <c r="O532" i="8" a="1"/>
  <c r="O532" i="8" s="1"/>
  <c r="N532" i="8" a="1"/>
  <c r="N532" i="8" s="1"/>
  <c r="M532" i="8" a="1"/>
  <c r="M532" i="8" s="1"/>
  <c r="L532" i="8" a="1"/>
  <c r="L532" i="8" s="1"/>
  <c r="K532" i="8" a="1"/>
  <c r="K532" i="8" s="1"/>
  <c r="J532" i="8" a="1"/>
  <c r="J532" i="8" s="1"/>
  <c r="I532" i="8" a="1"/>
  <c r="I532" i="8" s="1"/>
  <c r="H532" i="8" a="1"/>
  <c r="H532" i="8" s="1"/>
  <c r="G532" i="8" a="1"/>
  <c r="G532" i="8" s="1"/>
  <c r="F532" i="8" a="1"/>
  <c r="F532" i="8" s="1"/>
  <c r="E532" i="8" a="1"/>
  <c r="E532" i="8" s="1"/>
  <c r="AB531" i="8" a="1"/>
  <c r="AB531" i="8" s="1"/>
  <c r="AA531" i="8" a="1"/>
  <c r="AA531" i="8" s="1"/>
  <c r="Z531" i="8" a="1"/>
  <c r="Z531" i="8" s="1"/>
  <c r="Y531" i="8" a="1"/>
  <c r="Y531" i="8" s="1"/>
  <c r="X531" i="8" a="1"/>
  <c r="X531" i="8" s="1"/>
  <c r="W531" i="8" a="1"/>
  <c r="W531" i="8" s="1"/>
  <c r="V531" i="8" a="1"/>
  <c r="V531" i="8" s="1"/>
  <c r="U531" i="8" a="1"/>
  <c r="U531" i="8" s="1"/>
  <c r="T531" i="8" a="1"/>
  <c r="T531" i="8" s="1"/>
  <c r="S531" i="8" a="1"/>
  <c r="S531" i="8" s="1"/>
  <c r="R531" i="8" a="1"/>
  <c r="R531" i="8" s="1"/>
  <c r="Q531" i="8" a="1"/>
  <c r="Q531" i="8" s="1"/>
  <c r="P531" i="8" a="1"/>
  <c r="P531" i="8" s="1"/>
  <c r="O531" i="8" a="1"/>
  <c r="O531" i="8" s="1"/>
  <c r="N531" i="8" a="1"/>
  <c r="N531" i="8" s="1"/>
  <c r="M531" i="8" a="1"/>
  <c r="M531" i="8" s="1"/>
  <c r="L531" i="8" a="1"/>
  <c r="L531" i="8" s="1"/>
  <c r="K531" i="8" a="1"/>
  <c r="K531" i="8" s="1"/>
  <c r="J531" i="8" a="1"/>
  <c r="J531" i="8" s="1"/>
  <c r="I531" i="8" a="1"/>
  <c r="I531" i="8" s="1"/>
  <c r="H531" i="8" a="1"/>
  <c r="H531" i="8" s="1"/>
  <c r="G531" i="8" a="1"/>
  <c r="G531" i="8" s="1"/>
  <c r="F531" i="8" a="1"/>
  <c r="F531" i="8" s="1"/>
  <c r="E531" i="8" a="1"/>
  <c r="E531" i="8" s="1"/>
  <c r="AB530" i="8" a="1"/>
  <c r="AB530" i="8" s="1"/>
  <c r="AA530" i="8" a="1"/>
  <c r="AA530" i="8" s="1"/>
  <c r="Z530" i="8" a="1"/>
  <c r="Z530" i="8" s="1"/>
  <c r="Y530" i="8" a="1"/>
  <c r="Y530" i="8" s="1"/>
  <c r="X530" i="8" a="1"/>
  <c r="X530" i="8" s="1"/>
  <c r="W530" i="8" a="1"/>
  <c r="W530" i="8" s="1"/>
  <c r="V530" i="8" a="1"/>
  <c r="V530" i="8" s="1"/>
  <c r="U530" i="8" a="1"/>
  <c r="U530" i="8" s="1"/>
  <c r="T530" i="8" a="1"/>
  <c r="T530" i="8" s="1"/>
  <c r="S530" i="8" a="1"/>
  <c r="S530" i="8" s="1"/>
  <c r="R530" i="8" a="1"/>
  <c r="R530" i="8" s="1"/>
  <c r="Q530" i="8" a="1"/>
  <c r="Q530" i="8" s="1"/>
  <c r="P530" i="8" a="1"/>
  <c r="P530" i="8" s="1"/>
  <c r="O530" i="8" a="1"/>
  <c r="O530" i="8" s="1"/>
  <c r="N530" i="8" a="1"/>
  <c r="N530" i="8" s="1"/>
  <c r="M530" i="8" a="1"/>
  <c r="M530" i="8" s="1"/>
  <c r="L530" i="8" a="1"/>
  <c r="L530" i="8" s="1"/>
  <c r="K530" i="8" a="1"/>
  <c r="K530" i="8" s="1"/>
  <c r="J530" i="8" a="1"/>
  <c r="J530" i="8" s="1"/>
  <c r="I530" i="8" a="1"/>
  <c r="I530" i="8" s="1"/>
  <c r="H530" i="8" a="1"/>
  <c r="H530" i="8" s="1"/>
  <c r="G530" i="8" a="1"/>
  <c r="G530" i="8" s="1"/>
  <c r="F530" i="8" a="1"/>
  <c r="F530" i="8" s="1"/>
  <c r="E530" i="8" a="1"/>
  <c r="E530" i="8" s="1"/>
  <c r="AB529" i="8" a="1"/>
  <c r="AB529" i="8" s="1"/>
  <c r="AA529" i="8" a="1"/>
  <c r="AA529" i="8" s="1"/>
  <c r="Z529" i="8" a="1"/>
  <c r="Z529" i="8" s="1"/>
  <c r="Y529" i="8" a="1"/>
  <c r="Y529" i="8" s="1"/>
  <c r="X529" i="8" a="1"/>
  <c r="X529" i="8" s="1"/>
  <c r="W529" i="8" a="1"/>
  <c r="W529" i="8" s="1"/>
  <c r="V529" i="8" a="1"/>
  <c r="V529" i="8" s="1"/>
  <c r="U529" i="8" a="1"/>
  <c r="U529" i="8" s="1"/>
  <c r="T529" i="8" a="1"/>
  <c r="T529" i="8" s="1"/>
  <c r="S529" i="8" a="1"/>
  <c r="S529" i="8" s="1"/>
  <c r="R529" i="8" a="1"/>
  <c r="R529" i="8" s="1"/>
  <c r="Q529" i="8" a="1"/>
  <c r="Q529" i="8" s="1"/>
  <c r="P529" i="8" a="1"/>
  <c r="P529" i="8" s="1"/>
  <c r="O529" i="8" a="1"/>
  <c r="O529" i="8" s="1"/>
  <c r="N529" i="8" a="1"/>
  <c r="N529" i="8" s="1"/>
  <c r="M529" i="8" a="1"/>
  <c r="M529" i="8" s="1"/>
  <c r="L529" i="8" a="1"/>
  <c r="L529" i="8" s="1"/>
  <c r="K529" i="8" a="1"/>
  <c r="K529" i="8" s="1"/>
  <c r="J529" i="8" a="1"/>
  <c r="J529" i="8" s="1"/>
  <c r="I529" i="8" a="1"/>
  <c r="I529" i="8" s="1"/>
  <c r="H529" i="8" a="1"/>
  <c r="H529" i="8" s="1"/>
  <c r="G529" i="8" a="1"/>
  <c r="G529" i="8" s="1"/>
  <c r="F529" i="8" a="1"/>
  <c r="F529" i="8" s="1"/>
  <c r="E529" i="8" a="1"/>
  <c r="E529" i="8" s="1"/>
  <c r="AB528" i="8" a="1"/>
  <c r="AB528" i="8" s="1"/>
  <c r="AA528" i="8" a="1"/>
  <c r="AA528" i="8" s="1"/>
  <c r="Z528" i="8" a="1"/>
  <c r="Z528" i="8" s="1"/>
  <c r="Y528" i="8" a="1"/>
  <c r="Y528" i="8" s="1"/>
  <c r="X528" i="8" a="1"/>
  <c r="X528" i="8" s="1"/>
  <c r="W528" i="8" a="1"/>
  <c r="W528" i="8" s="1"/>
  <c r="V528" i="8" a="1"/>
  <c r="V528" i="8" s="1"/>
  <c r="U528" i="8" a="1"/>
  <c r="U528" i="8" s="1"/>
  <c r="T528" i="8" a="1"/>
  <c r="T528" i="8" s="1"/>
  <c r="S528" i="8" a="1"/>
  <c r="S528" i="8" s="1"/>
  <c r="R528" i="8" a="1"/>
  <c r="R528" i="8" s="1"/>
  <c r="Q528" i="8" a="1"/>
  <c r="Q528" i="8" s="1"/>
  <c r="P528" i="8" a="1"/>
  <c r="P528" i="8" s="1"/>
  <c r="O528" i="8" a="1"/>
  <c r="O528" i="8" s="1"/>
  <c r="N528" i="8" a="1"/>
  <c r="N528" i="8" s="1"/>
  <c r="M528" i="8" a="1"/>
  <c r="M528" i="8" s="1"/>
  <c r="L528" i="8" a="1"/>
  <c r="L528" i="8" s="1"/>
  <c r="K528" i="8" a="1"/>
  <c r="K528" i="8" s="1"/>
  <c r="J528" i="8" a="1"/>
  <c r="J528" i="8" s="1"/>
  <c r="I528" i="8" a="1"/>
  <c r="I528" i="8" s="1"/>
  <c r="H528" i="8" a="1"/>
  <c r="H528" i="8" s="1"/>
  <c r="G528" i="8" a="1"/>
  <c r="G528" i="8" s="1"/>
  <c r="F528" i="8" a="1"/>
  <c r="F528" i="8" s="1"/>
  <c r="E528" i="8" a="1"/>
  <c r="E528" i="8" s="1"/>
  <c r="AB527" i="8" a="1"/>
  <c r="AB527" i="8" s="1"/>
  <c r="AA527" i="8" a="1"/>
  <c r="AA527" i="8" s="1"/>
  <c r="Z527" i="8" a="1"/>
  <c r="Z527" i="8" s="1"/>
  <c r="Y527" i="8" a="1"/>
  <c r="Y527" i="8" s="1"/>
  <c r="X527" i="8" a="1"/>
  <c r="X527" i="8" s="1"/>
  <c r="W527" i="8" a="1"/>
  <c r="W527" i="8" s="1"/>
  <c r="V527" i="8" a="1"/>
  <c r="V527" i="8" s="1"/>
  <c r="U527" i="8" a="1"/>
  <c r="U527" i="8" s="1"/>
  <c r="T527" i="8" a="1"/>
  <c r="T527" i="8" s="1"/>
  <c r="S527" i="8" a="1"/>
  <c r="S527" i="8" s="1"/>
  <c r="R527" i="8" a="1"/>
  <c r="R527" i="8" s="1"/>
  <c r="Q527" i="8" a="1"/>
  <c r="Q527" i="8" s="1"/>
  <c r="P527" i="8" a="1"/>
  <c r="P527" i="8" s="1"/>
  <c r="O527" i="8" a="1"/>
  <c r="O527" i="8" s="1"/>
  <c r="N527" i="8" a="1"/>
  <c r="N527" i="8" s="1"/>
  <c r="M527" i="8" a="1"/>
  <c r="M527" i="8" s="1"/>
  <c r="L527" i="8" a="1"/>
  <c r="L527" i="8" s="1"/>
  <c r="K527" i="8" a="1"/>
  <c r="K527" i="8" s="1"/>
  <c r="J527" i="8" a="1"/>
  <c r="J527" i="8" s="1"/>
  <c r="I527" i="8" a="1"/>
  <c r="I527" i="8" s="1"/>
  <c r="H527" i="8" a="1"/>
  <c r="H527" i="8" s="1"/>
  <c r="G527" i="8" a="1"/>
  <c r="G527" i="8" s="1"/>
  <c r="F527" i="8" a="1"/>
  <c r="F527" i="8" s="1"/>
  <c r="E527" i="8" a="1"/>
  <c r="E527" i="8" s="1"/>
  <c r="AB526" i="8" a="1"/>
  <c r="AB526" i="8" s="1"/>
  <c r="AA526" i="8" a="1"/>
  <c r="AA526" i="8" s="1"/>
  <c r="Z526" i="8" a="1"/>
  <c r="Z526" i="8" s="1"/>
  <c r="Y526" i="8" a="1"/>
  <c r="Y526" i="8" s="1"/>
  <c r="X526" i="8" a="1"/>
  <c r="X526" i="8" s="1"/>
  <c r="W526" i="8" a="1"/>
  <c r="W526" i="8" s="1"/>
  <c r="V526" i="8" a="1"/>
  <c r="V526" i="8" s="1"/>
  <c r="U526" i="8" a="1"/>
  <c r="U526" i="8" s="1"/>
  <c r="T526" i="8" a="1"/>
  <c r="T526" i="8" s="1"/>
  <c r="S526" i="8" a="1"/>
  <c r="S526" i="8" s="1"/>
  <c r="R526" i="8" a="1"/>
  <c r="R526" i="8" s="1"/>
  <c r="Q526" i="8" a="1"/>
  <c r="Q526" i="8" s="1"/>
  <c r="P526" i="8" a="1"/>
  <c r="P526" i="8" s="1"/>
  <c r="O526" i="8" a="1"/>
  <c r="O526" i="8" s="1"/>
  <c r="N526" i="8" a="1"/>
  <c r="N526" i="8" s="1"/>
  <c r="M526" i="8" a="1"/>
  <c r="M526" i="8" s="1"/>
  <c r="L526" i="8" a="1"/>
  <c r="L526" i="8" s="1"/>
  <c r="K526" i="8" a="1"/>
  <c r="K526" i="8" s="1"/>
  <c r="J526" i="8" a="1"/>
  <c r="J526" i="8" s="1"/>
  <c r="I526" i="8" a="1"/>
  <c r="I526" i="8" s="1"/>
  <c r="H526" i="8" a="1"/>
  <c r="H526" i="8" s="1"/>
  <c r="G526" i="8" a="1"/>
  <c r="G526" i="8" s="1"/>
  <c r="F526" i="8" a="1"/>
  <c r="F526" i="8" s="1"/>
  <c r="E526" i="8" a="1"/>
  <c r="E526" i="8" s="1"/>
  <c r="AB525" i="8" a="1"/>
  <c r="AB525" i="8" s="1"/>
  <c r="AA525" i="8" a="1"/>
  <c r="AA525" i="8" s="1"/>
  <c r="Z525" i="8" a="1"/>
  <c r="Z525" i="8" s="1"/>
  <c r="Y525" i="8" a="1"/>
  <c r="Y525" i="8" s="1"/>
  <c r="X525" i="8" a="1"/>
  <c r="X525" i="8" s="1"/>
  <c r="W525" i="8" a="1"/>
  <c r="W525" i="8" s="1"/>
  <c r="V525" i="8" a="1"/>
  <c r="V525" i="8" s="1"/>
  <c r="U525" i="8" a="1"/>
  <c r="U525" i="8" s="1"/>
  <c r="T525" i="8" a="1"/>
  <c r="T525" i="8" s="1"/>
  <c r="S525" i="8" a="1"/>
  <c r="S525" i="8" s="1"/>
  <c r="R525" i="8" a="1"/>
  <c r="R525" i="8" s="1"/>
  <c r="Q525" i="8" a="1"/>
  <c r="Q525" i="8" s="1"/>
  <c r="P525" i="8" a="1"/>
  <c r="P525" i="8" s="1"/>
  <c r="O525" i="8" a="1"/>
  <c r="O525" i="8" s="1"/>
  <c r="N525" i="8" a="1"/>
  <c r="N525" i="8" s="1"/>
  <c r="M525" i="8" a="1"/>
  <c r="M525" i="8" s="1"/>
  <c r="L525" i="8" a="1"/>
  <c r="L525" i="8" s="1"/>
  <c r="K525" i="8" a="1"/>
  <c r="K525" i="8" s="1"/>
  <c r="J525" i="8" a="1"/>
  <c r="J525" i="8" s="1"/>
  <c r="I525" i="8" a="1"/>
  <c r="I525" i="8" s="1"/>
  <c r="H525" i="8" a="1"/>
  <c r="H525" i="8" s="1"/>
  <c r="G525" i="8" a="1"/>
  <c r="G525" i="8" s="1"/>
  <c r="F525" i="8" a="1"/>
  <c r="F525" i="8" s="1"/>
  <c r="E525" i="8" a="1"/>
  <c r="E525" i="8" s="1"/>
  <c r="AB524" i="8" a="1"/>
  <c r="AB524" i="8" s="1"/>
  <c r="AA524" i="8" a="1"/>
  <c r="AA524" i="8" s="1"/>
  <c r="Z524" i="8" a="1"/>
  <c r="Z524" i="8" s="1"/>
  <c r="Y524" i="8" a="1"/>
  <c r="Y524" i="8" s="1"/>
  <c r="X524" i="8" a="1"/>
  <c r="X524" i="8" s="1"/>
  <c r="W524" i="8" a="1"/>
  <c r="W524" i="8" s="1"/>
  <c r="V524" i="8" a="1"/>
  <c r="V524" i="8" s="1"/>
  <c r="U524" i="8" a="1"/>
  <c r="U524" i="8" s="1"/>
  <c r="T524" i="8" a="1"/>
  <c r="T524" i="8" s="1"/>
  <c r="S524" i="8" a="1"/>
  <c r="S524" i="8" s="1"/>
  <c r="R524" i="8" a="1"/>
  <c r="R524" i="8" s="1"/>
  <c r="Q524" i="8" a="1"/>
  <c r="Q524" i="8" s="1"/>
  <c r="P524" i="8" a="1"/>
  <c r="P524" i="8" s="1"/>
  <c r="O524" i="8" a="1"/>
  <c r="O524" i="8" s="1"/>
  <c r="N524" i="8" a="1"/>
  <c r="N524" i="8" s="1"/>
  <c r="M524" i="8" a="1"/>
  <c r="M524" i="8" s="1"/>
  <c r="L524" i="8" a="1"/>
  <c r="L524" i="8" s="1"/>
  <c r="K524" i="8" a="1"/>
  <c r="K524" i="8" s="1"/>
  <c r="J524" i="8" a="1"/>
  <c r="J524" i="8" s="1"/>
  <c r="I524" i="8" a="1"/>
  <c r="I524" i="8" s="1"/>
  <c r="H524" i="8" a="1"/>
  <c r="H524" i="8" s="1"/>
  <c r="G524" i="8" a="1"/>
  <c r="G524" i="8" s="1"/>
  <c r="F524" i="8" a="1"/>
  <c r="F524" i="8" s="1"/>
  <c r="E524" i="8" a="1"/>
  <c r="E524" i="8" s="1"/>
  <c r="AB523" i="8" a="1"/>
  <c r="AB523" i="8" s="1"/>
  <c r="AA523" i="8" a="1"/>
  <c r="AA523" i="8" s="1"/>
  <c r="Z523" i="8" a="1"/>
  <c r="Z523" i="8" s="1"/>
  <c r="Y523" i="8" a="1"/>
  <c r="Y523" i="8" s="1"/>
  <c r="X523" i="8" a="1"/>
  <c r="X523" i="8" s="1"/>
  <c r="W523" i="8" a="1"/>
  <c r="W523" i="8" s="1"/>
  <c r="V523" i="8" a="1"/>
  <c r="V523" i="8" s="1"/>
  <c r="U523" i="8" a="1"/>
  <c r="U523" i="8" s="1"/>
  <c r="T523" i="8" a="1"/>
  <c r="T523" i="8" s="1"/>
  <c r="S523" i="8" a="1"/>
  <c r="S523" i="8" s="1"/>
  <c r="R523" i="8" a="1"/>
  <c r="R523" i="8" s="1"/>
  <c r="Q523" i="8" a="1"/>
  <c r="Q523" i="8" s="1"/>
  <c r="P523" i="8" a="1"/>
  <c r="P523" i="8" s="1"/>
  <c r="O523" i="8" a="1"/>
  <c r="O523" i="8" s="1"/>
  <c r="N523" i="8" a="1"/>
  <c r="N523" i="8" s="1"/>
  <c r="M523" i="8" a="1"/>
  <c r="M523" i="8" s="1"/>
  <c r="L523" i="8" a="1"/>
  <c r="L523" i="8" s="1"/>
  <c r="K523" i="8" a="1"/>
  <c r="K523" i="8" s="1"/>
  <c r="J523" i="8" a="1"/>
  <c r="J523" i="8" s="1"/>
  <c r="I523" i="8" a="1"/>
  <c r="I523" i="8" s="1"/>
  <c r="H523" i="8" a="1"/>
  <c r="H523" i="8" s="1"/>
  <c r="G523" i="8" a="1"/>
  <c r="G523" i="8" s="1"/>
  <c r="F523" i="8" a="1"/>
  <c r="F523" i="8" s="1"/>
  <c r="E523" i="8" a="1"/>
  <c r="E523" i="8" s="1"/>
  <c r="AB522" i="8" a="1"/>
  <c r="AB522" i="8" s="1"/>
  <c r="AA522" i="8" a="1"/>
  <c r="AA522" i="8" s="1"/>
  <c r="Z522" i="8" a="1"/>
  <c r="Z522" i="8" s="1"/>
  <c r="Y522" i="8" a="1"/>
  <c r="Y522" i="8" s="1"/>
  <c r="X522" i="8" a="1"/>
  <c r="X522" i="8" s="1"/>
  <c r="W522" i="8" a="1"/>
  <c r="W522" i="8" s="1"/>
  <c r="V522" i="8" a="1"/>
  <c r="V522" i="8" s="1"/>
  <c r="U522" i="8" a="1"/>
  <c r="U522" i="8" s="1"/>
  <c r="T522" i="8" a="1"/>
  <c r="T522" i="8" s="1"/>
  <c r="S522" i="8" a="1"/>
  <c r="S522" i="8" s="1"/>
  <c r="R522" i="8" a="1"/>
  <c r="R522" i="8" s="1"/>
  <c r="Q522" i="8" a="1"/>
  <c r="Q522" i="8" s="1"/>
  <c r="P522" i="8" a="1"/>
  <c r="P522" i="8" s="1"/>
  <c r="O522" i="8" a="1"/>
  <c r="O522" i="8" s="1"/>
  <c r="N522" i="8" a="1"/>
  <c r="N522" i="8" s="1"/>
  <c r="M522" i="8" a="1"/>
  <c r="M522" i="8" s="1"/>
  <c r="L522" i="8" a="1"/>
  <c r="L522" i="8" s="1"/>
  <c r="K522" i="8" a="1"/>
  <c r="K522" i="8" s="1"/>
  <c r="J522" i="8" a="1"/>
  <c r="J522" i="8" s="1"/>
  <c r="I522" i="8" a="1"/>
  <c r="I522" i="8" s="1"/>
  <c r="H522" i="8" a="1"/>
  <c r="H522" i="8" s="1"/>
  <c r="G522" i="8" a="1"/>
  <c r="G522" i="8" s="1"/>
  <c r="F522" i="8" a="1"/>
  <c r="F522" i="8" s="1"/>
  <c r="E522" i="8" a="1"/>
  <c r="E522" i="8" s="1"/>
  <c r="AB521" i="8" a="1"/>
  <c r="AB521" i="8" s="1"/>
  <c r="AA521" i="8" a="1"/>
  <c r="AA521" i="8" s="1"/>
  <c r="Z521" i="8" a="1"/>
  <c r="Z521" i="8" s="1"/>
  <c r="Y521" i="8" a="1"/>
  <c r="Y521" i="8" s="1"/>
  <c r="X521" i="8" a="1"/>
  <c r="X521" i="8" s="1"/>
  <c r="W521" i="8" a="1"/>
  <c r="W521" i="8" s="1"/>
  <c r="V521" i="8" a="1"/>
  <c r="V521" i="8" s="1"/>
  <c r="U521" i="8" a="1"/>
  <c r="U521" i="8" s="1"/>
  <c r="T521" i="8" a="1"/>
  <c r="T521" i="8" s="1"/>
  <c r="S521" i="8" a="1"/>
  <c r="S521" i="8" s="1"/>
  <c r="R521" i="8" a="1"/>
  <c r="R521" i="8" s="1"/>
  <c r="Q521" i="8" a="1"/>
  <c r="Q521" i="8" s="1"/>
  <c r="P521" i="8" a="1"/>
  <c r="P521" i="8" s="1"/>
  <c r="O521" i="8" a="1"/>
  <c r="O521" i="8" s="1"/>
  <c r="N521" i="8" a="1"/>
  <c r="N521" i="8" s="1"/>
  <c r="M521" i="8" a="1"/>
  <c r="M521" i="8" s="1"/>
  <c r="L521" i="8" a="1"/>
  <c r="L521" i="8" s="1"/>
  <c r="K521" i="8" a="1"/>
  <c r="K521" i="8" s="1"/>
  <c r="J521" i="8" a="1"/>
  <c r="J521" i="8" s="1"/>
  <c r="I521" i="8" a="1"/>
  <c r="I521" i="8" s="1"/>
  <c r="H521" i="8" a="1"/>
  <c r="H521" i="8" s="1"/>
  <c r="G521" i="8" a="1"/>
  <c r="G521" i="8" s="1"/>
  <c r="F521" i="8" a="1"/>
  <c r="F521" i="8" s="1"/>
  <c r="E521" i="8" a="1"/>
  <c r="E521" i="8" s="1"/>
  <c r="AB520" i="8" a="1"/>
  <c r="AB520" i="8" s="1"/>
  <c r="AA520" i="8" a="1"/>
  <c r="AA520" i="8" s="1"/>
  <c r="Z520" i="8" a="1"/>
  <c r="Z520" i="8" s="1"/>
  <c r="Y520" i="8" a="1"/>
  <c r="Y520" i="8" s="1"/>
  <c r="X520" i="8" a="1"/>
  <c r="X520" i="8" s="1"/>
  <c r="W520" i="8" a="1"/>
  <c r="W520" i="8" s="1"/>
  <c r="V520" i="8" a="1"/>
  <c r="V520" i="8" s="1"/>
  <c r="U520" i="8" a="1"/>
  <c r="U520" i="8" s="1"/>
  <c r="T520" i="8" a="1"/>
  <c r="T520" i="8" s="1"/>
  <c r="S520" i="8" a="1"/>
  <c r="S520" i="8" s="1"/>
  <c r="R520" i="8" a="1"/>
  <c r="R520" i="8" s="1"/>
  <c r="Q520" i="8" a="1"/>
  <c r="Q520" i="8" s="1"/>
  <c r="P520" i="8" a="1"/>
  <c r="P520" i="8" s="1"/>
  <c r="O520" i="8" a="1"/>
  <c r="O520" i="8" s="1"/>
  <c r="N520" i="8" a="1"/>
  <c r="N520" i="8" s="1"/>
  <c r="M520" i="8" a="1"/>
  <c r="M520" i="8" s="1"/>
  <c r="L520" i="8" a="1"/>
  <c r="L520" i="8" s="1"/>
  <c r="K520" i="8" a="1"/>
  <c r="K520" i="8" s="1"/>
  <c r="J520" i="8" a="1"/>
  <c r="J520" i="8" s="1"/>
  <c r="I520" i="8" a="1"/>
  <c r="I520" i="8" s="1"/>
  <c r="H520" i="8" a="1"/>
  <c r="H520" i="8" s="1"/>
  <c r="G520" i="8" a="1"/>
  <c r="G520" i="8" s="1"/>
  <c r="F520" i="8" a="1"/>
  <c r="F520" i="8" s="1"/>
  <c r="E520" i="8" a="1"/>
  <c r="E520" i="8" s="1"/>
  <c r="AB519" i="8" a="1"/>
  <c r="AB519" i="8" s="1"/>
  <c r="AA519" i="8" a="1"/>
  <c r="AA519" i="8" s="1"/>
  <c r="Z519" i="8" a="1"/>
  <c r="Z519" i="8" s="1"/>
  <c r="Y519" i="8" a="1"/>
  <c r="Y519" i="8" s="1"/>
  <c r="X519" i="8" a="1"/>
  <c r="X519" i="8" s="1"/>
  <c r="W519" i="8" a="1"/>
  <c r="W519" i="8" s="1"/>
  <c r="V519" i="8" a="1"/>
  <c r="V519" i="8" s="1"/>
  <c r="U519" i="8" a="1"/>
  <c r="U519" i="8" s="1"/>
  <c r="T519" i="8" a="1"/>
  <c r="T519" i="8" s="1"/>
  <c r="S519" i="8" a="1"/>
  <c r="S519" i="8" s="1"/>
  <c r="R519" i="8" a="1"/>
  <c r="R519" i="8" s="1"/>
  <c r="Q519" i="8" a="1"/>
  <c r="Q519" i="8" s="1"/>
  <c r="P519" i="8" a="1"/>
  <c r="P519" i="8" s="1"/>
  <c r="O519" i="8" a="1"/>
  <c r="O519" i="8" s="1"/>
  <c r="N519" i="8" a="1"/>
  <c r="N519" i="8" s="1"/>
  <c r="M519" i="8" a="1"/>
  <c r="M519" i="8" s="1"/>
  <c r="L519" i="8" a="1"/>
  <c r="L519" i="8" s="1"/>
  <c r="K519" i="8" a="1"/>
  <c r="K519" i="8" s="1"/>
  <c r="J519" i="8" a="1"/>
  <c r="J519" i="8" s="1"/>
  <c r="I519" i="8" a="1"/>
  <c r="I519" i="8" s="1"/>
  <c r="H519" i="8" a="1"/>
  <c r="H519" i="8" s="1"/>
  <c r="G519" i="8" a="1"/>
  <c r="G519" i="8" s="1"/>
  <c r="F519" i="8" a="1"/>
  <c r="F519" i="8" s="1"/>
  <c r="E519" i="8" a="1"/>
  <c r="E519" i="8" s="1"/>
  <c r="AB518" i="8" a="1"/>
  <c r="AB518" i="8" s="1"/>
  <c r="AA518" i="8" a="1"/>
  <c r="AA518" i="8" s="1"/>
  <c r="Z518" i="8" a="1"/>
  <c r="Z518" i="8" s="1"/>
  <c r="Y518" i="8" a="1"/>
  <c r="Y518" i="8" s="1"/>
  <c r="X518" i="8" a="1"/>
  <c r="X518" i="8" s="1"/>
  <c r="W518" i="8" a="1"/>
  <c r="W518" i="8" s="1"/>
  <c r="V518" i="8" a="1"/>
  <c r="V518" i="8" s="1"/>
  <c r="U518" i="8" a="1"/>
  <c r="U518" i="8" s="1"/>
  <c r="T518" i="8" a="1"/>
  <c r="T518" i="8" s="1"/>
  <c r="S518" i="8" a="1"/>
  <c r="S518" i="8" s="1"/>
  <c r="R518" i="8" a="1"/>
  <c r="R518" i="8" s="1"/>
  <c r="Q518" i="8" a="1"/>
  <c r="Q518" i="8" s="1"/>
  <c r="P518" i="8" a="1"/>
  <c r="P518" i="8" s="1"/>
  <c r="O518" i="8" a="1"/>
  <c r="O518" i="8" s="1"/>
  <c r="N518" i="8" a="1"/>
  <c r="N518" i="8" s="1"/>
  <c r="M518" i="8" a="1"/>
  <c r="M518" i="8" s="1"/>
  <c r="L518" i="8" a="1"/>
  <c r="L518" i="8" s="1"/>
  <c r="K518" i="8" a="1"/>
  <c r="K518" i="8" s="1"/>
  <c r="J518" i="8" a="1"/>
  <c r="J518" i="8" s="1"/>
  <c r="I518" i="8" a="1"/>
  <c r="I518" i="8" s="1"/>
  <c r="H518" i="8" a="1"/>
  <c r="H518" i="8" s="1"/>
  <c r="G518" i="8" a="1"/>
  <c r="G518" i="8" s="1"/>
  <c r="F518" i="8" a="1"/>
  <c r="F518" i="8" s="1"/>
  <c r="E518" i="8" a="1"/>
  <c r="E518" i="8" s="1"/>
  <c r="AB517" i="8" a="1"/>
  <c r="AB517" i="8" s="1"/>
  <c r="AA517" i="8" a="1"/>
  <c r="AA517" i="8" s="1"/>
  <c r="Z517" i="8" a="1"/>
  <c r="Z517" i="8" s="1"/>
  <c r="Y517" i="8" a="1"/>
  <c r="Y517" i="8" s="1"/>
  <c r="X517" i="8" a="1"/>
  <c r="X517" i="8" s="1"/>
  <c r="W517" i="8" a="1"/>
  <c r="W517" i="8" s="1"/>
  <c r="V517" i="8" a="1"/>
  <c r="V517" i="8" s="1"/>
  <c r="U517" i="8" a="1"/>
  <c r="U517" i="8" s="1"/>
  <c r="T517" i="8" a="1"/>
  <c r="T517" i="8" s="1"/>
  <c r="S517" i="8" a="1"/>
  <c r="S517" i="8" s="1"/>
  <c r="R517" i="8" a="1"/>
  <c r="R517" i="8" s="1"/>
  <c r="Q517" i="8" a="1"/>
  <c r="Q517" i="8" s="1"/>
  <c r="P517" i="8" a="1"/>
  <c r="P517" i="8" s="1"/>
  <c r="O517" i="8" a="1"/>
  <c r="O517" i="8" s="1"/>
  <c r="N517" i="8" a="1"/>
  <c r="N517" i="8" s="1"/>
  <c r="M517" i="8" a="1"/>
  <c r="M517" i="8" s="1"/>
  <c r="L517" i="8" a="1"/>
  <c r="L517" i="8" s="1"/>
  <c r="K517" i="8" a="1"/>
  <c r="K517" i="8" s="1"/>
  <c r="J517" i="8" a="1"/>
  <c r="J517" i="8" s="1"/>
  <c r="I517" i="8" a="1"/>
  <c r="I517" i="8" s="1"/>
  <c r="H517" i="8" a="1"/>
  <c r="H517" i="8" s="1"/>
  <c r="G517" i="8" a="1"/>
  <c r="G517" i="8" s="1"/>
  <c r="F517" i="8" a="1"/>
  <c r="F517" i="8" s="1"/>
  <c r="E517" i="8" a="1"/>
  <c r="E517" i="8" s="1"/>
  <c r="AB516" i="8" a="1"/>
  <c r="AB516" i="8" s="1"/>
  <c r="AA516" i="8" a="1"/>
  <c r="AA516" i="8" s="1"/>
  <c r="Z516" i="8" a="1"/>
  <c r="Z516" i="8" s="1"/>
  <c r="Y516" i="8" a="1"/>
  <c r="Y516" i="8" s="1"/>
  <c r="X516" i="8" a="1"/>
  <c r="X516" i="8" s="1"/>
  <c r="W516" i="8" a="1"/>
  <c r="W516" i="8" s="1"/>
  <c r="V516" i="8" a="1"/>
  <c r="V516" i="8" s="1"/>
  <c r="U516" i="8" a="1"/>
  <c r="U516" i="8" s="1"/>
  <c r="T516" i="8" a="1"/>
  <c r="T516" i="8" s="1"/>
  <c r="S516" i="8" a="1"/>
  <c r="S516" i="8" s="1"/>
  <c r="R516" i="8" a="1"/>
  <c r="R516" i="8" s="1"/>
  <c r="Q516" i="8" a="1"/>
  <c r="Q516" i="8" s="1"/>
  <c r="P516" i="8" a="1"/>
  <c r="P516" i="8" s="1"/>
  <c r="O516" i="8" a="1"/>
  <c r="O516" i="8" s="1"/>
  <c r="N516" i="8" a="1"/>
  <c r="N516" i="8" s="1"/>
  <c r="M516" i="8" a="1"/>
  <c r="M516" i="8" s="1"/>
  <c r="L516" i="8" a="1"/>
  <c r="L516" i="8" s="1"/>
  <c r="K516" i="8" a="1"/>
  <c r="K516" i="8" s="1"/>
  <c r="J516" i="8" a="1"/>
  <c r="J516" i="8" s="1"/>
  <c r="I516" i="8" a="1"/>
  <c r="I516" i="8" s="1"/>
  <c r="H516" i="8" a="1"/>
  <c r="H516" i="8" s="1"/>
  <c r="G516" i="8" a="1"/>
  <c r="G516" i="8" s="1"/>
  <c r="F516" i="8" a="1"/>
  <c r="F516" i="8" s="1"/>
  <c r="E516" i="8" a="1"/>
  <c r="E516" i="8" s="1"/>
  <c r="AB515" i="8" a="1"/>
  <c r="AB515" i="8" s="1"/>
  <c r="AA515" i="8" a="1"/>
  <c r="AA515" i="8" s="1"/>
  <c r="Z515" i="8" a="1"/>
  <c r="Z515" i="8" s="1"/>
  <c r="Y515" i="8" a="1"/>
  <c r="Y515" i="8" s="1"/>
  <c r="X515" i="8" a="1"/>
  <c r="X515" i="8" s="1"/>
  <c r="W515" i="8" a="1"/>
  <c r="W515" i="8" s="1"/>
  <c r="V515" i="8" a="1"/>
  <c r="V515" i="8" s="1"/>
  <c r="U515" i="8" a="1"/>
  <c r="U515" i="8" s="1"/>
  <c r="T515" i="8" a="1"/>
  <c r="T515" i="8" s="1"/>
  <c r="S515" i="8" a="1"/>
  <c r="S515" i="8" s="1"/>
  <c r="R515" i="8" a="1"/>
  <c r="R515" i="8" s="1"/>
  <c r="Q515" i="8" a="1"/>
  <c r="Q515" i="8" s="1"/>
  <c r="P515" i="8" a="1"/>
  <c r="P515" i="8" s="1"/>
  <c r="O515" i="8" a="1"/>
  <c r="O515" i="8" s="1"/>
  <c r="N515" i="8" a="1"/>
  <c r="N515" i="8" s="1"/>
  <c r="M515" i="8" a="1"/>
  <c r="M515" i="8" s="1"/>
  <c r="L515" i="8" a="1"/>
  <c r="L515" i="8" s="1"/>
  <c r="K515" i="8" a="1"/>
  <c r="K515" i="8" s="1"/>
  <c r="J515" i="8" a="1"/>
  <c r="J515" i="8" s="1"/>
  <c r="I515" i="8" a="1"/>
  <c r="I515" i="8" s="1"/>
  <c r="H515" i="8" a="1"/>
  <c r="H515" i="8" s="1"/>
  <c r="G515" i="8" a="1"/>
  <c r="G515" i="8" s="1"/>
  <c r="F515" i="8" a="1"/>
  <c r="F515" i="8" s="1"/>
  <c r="E515" i="8" a="1"/>
  <c r="E515" i="8" s="1"/>
  <c r="AB514" i="8" a="1"/>
  <c r="AB514" i="8" s="1"/>
  <c r="AA514" i="8" a="1"/>
  <c r="AA514" i="8" s="1"/>
  <c r="Z514" i="8" a="1"/>
  <c r="Z514" i="8" s="1"/>
  <c r="Y514" i="8" a="1"/>
  <c r="Y514" i="8" s="1"/>
  <c r="X514" i="8" a="1"/>
  <c r="X514" i="8" s="1"/>
  <c r="W514" i="8" a="1"/>
  <c r="W514" i="8" s="1"/>
  <c r="V514" i="8" a="1"/>
  <c r="V514" i="8" s="1"/>
  <c r="U514" i="8" a="1"/>
  <c r="U514" i="8" s="1"/>
  <c r="T514" i="8" a="1"/>
  <c r="T514" i="8" s="1"/>
  <c r="S514" i="8" a="1"/>
  <c r="S514" i="8" s="1"/>
  <c r="R514" i="8" a="1"/>
  <c r="R514" i="8" s="1"/>
  <c r="Q514" i="8" a="1"/>
  <c r="Q514" i="8" s="1"/>
  <c r="P514" i="8" a="1"/>
  <c r="P514" i="8" s="1"/>
  <c r="O514" i="8" a="1"/>
  <c r="O514" i="8" s="1"/>
  <c r="N514" i="8" a="1"/>
  <c r="N514" i="8" s="1"/>
  <c r="M514" i="8" a="1"/>
  <c r="M514" i="8" s="1"/>
  <c r="L514" i="8" a="1"/>
  <c r="L514" i="8" s="1"/>
  <c r="K514" i="8" a="1"/>
  <c r="K514" i="8" s="1"/>
  <c r="J514" i="8" a="1"/>
  <c r="J514" i="8" s="1"/>
  <c r="I514" i="8" a="1"/>
  <c r="I514" i="8" s="1"/>
  <c r="H514" i="8" a="1"/>
  <c r="H514" i="8" s="1"/>
  <c r="G514" i="8" a="1"/>
  <c r="G514" i="8" s="1"/>
  <c r="F514" i="8" a="1"/>
  <c r="F514" i="8" s="1"/>
  <c r="E514" i="8" a="1"/>
  <c r="E514" i="8" s="1"/>
  <c r="AB513" i="8" a="1"/>
  <c r="AB513" i="8" s="1"/>
  <c r="AA513" i="8" a="1"/>
  <c r="AA513" i="8" s="1"/>
  <c r="Z513" i="8" a="1"/>
  <c r="Z513" i="8" s="1"/>
  <c r="Y513" i="8" a="1"/>
  <c r="Y513" i="8" s="1"/>
  <c r="X513" i="8" a="1"/>
  <c r="X513" i="8" s="1"/>
  <c r="W513" i="8" a="1"/>
  <c r="W513" i="8" s="1"/>
  <c r="V513" i="8" a="1"/>
  <c r="V513" i="8" s="1"/>
  <c r="U513" i="8" a="1"/>
  <c r="U513" i="8" s="1"/>
  <c r="T513" i="8" a="1"/>
  <c r="T513" i="8" s="1"/>
  <c r="S513" i="8" a="1"/>
  <c r="S513" i="8" s="1"/>
  <c r="R513" i="8" a="1"/>
  <c r="R513" i="8" s="1"/>
  <c r="Q513" i="8" a="1"/>
  <c r="Q513" i="8" s="1"/>
  <c r="P513" i="8" a="1"/>
  <c r="P513" i="8" s="1"/>
  <c r="O513" i="8" a="1"/>
  <c r="O513" i="8" s="1"/>
  <c r="N513" i="8" a="1"/>
  <c r="N513" i="8" s="1"/>
  <c r="M513" i="8" a="1"/>
  <c r="M513" i="8" s="1"/>
  <c r="L513" i="8" a="1"/>
  <c r="L513" i="8" s="1"/>
  <c r="K513" i="8" a="1"/>
  <c r="K513" i="8" s="1"/>
  <c r="J513" i="8" a="1"/>
  <c r="J513" i="8" s="1"/>
  <c r="I513" i="8" a="1"/>
  <c r="I513" i="8" s="1"/>
  <c r="H513" i="8" a="1"/>
  <c r="H513" i="8" s="1"/>
  <c r="G513" i="8" a="1"/>
  <c r="G513" i="8" s="1"/>
  <c r="F513" i="8" a="1"/>
  <c r="F513" i="8" s="1"/>
  <c r="E513" i="8" a="1"/>
  <c r="E513" i="8" s="1"/>
  <c r="AB512" i="8" a="1"/>
  <c r="AB512" i="8" s="1"/>
  <c r="AA512" i="8" a="1"/>
  <c r="AA512" i="8" s="1"/>
  <c r="Z512" i="8" a="1"/>
  <c r="Z512" i="8" s="1"/>
  <c r="Y512" i="8" a="1"/>
  <c r="Y512" i="8" s="1"/>
  <c r="X512" i="8" a="1"/>
  <c r="X512" i="8" s="1"/>
  <c r="W512" i="8" a="1"/>
  <c r="W512" i="8" s="1"/>
  <c r="V512" i="8" a="1"/>
  <c r="V512" i="8" s="1"/>
  <c r="U512" i="8" a="1"/>
  <c r="U512" i="8" s="1"/>
  <c r="T512" i="8" a="1"/>
  <c r="T512" i="8" s="1"/>
  <c r="S512" i="8" a="1"/>
  <c r="S512" i="8" s="1"/>
  <c r="R512" i="8" a="1"/>
  <c r="R512" i="8" s="1"/>
  <c r="Q512" i="8" a="1"/>
  <c r="Q512" i="8" s="1"/>
  <c r="P512" i="8" a="1"/>
  <c r="P512" i="8" s="1"/>
  <c r="O512" i="8" a="1"/>
  <c r="O512" i="8" s="1"/>
  <c r="N512" i="8" a="1"/>
  <c r="N512" i="8" s="1"/>
  <c r="M512" i="8" a="1"/>
  <c r="M512" i="8" s="1"/>
  <c r="L512" i="8" a="1"/>
  <c r="L512" i="8" s="1"/>
  <c r="K512" i="8" a="1"/>
  <c r="K512" i="8" s="1"/>
  <c r="J512" i="8" a="1"/>
  <c r="J512" i="8" s="1"/>
  <c r="I512" i="8" a="1"/>
  <c r="I512" i="8" s="1"/>
  <c r="H512" i="8" a="1"/>
  <c r="H512" i="8" s="1"/>
  <c r="G512" i="8" a="1"/>
  <c r="G512" i="8" s="1"/>
  <c r="F512" i="8" a="1"/>
  <c r="F512" i="8" s="1"/>
  <c r="E512" i="8" a="1"/>
  <c r="E512" i="8" s="1"/>
  <c r="AB511" i="8" a="1"/>
  <c r="AB511" i="8" s="1"/>
  <c r="AA511" i="8" a="1"/>
  <c r="AA511" i="8" s="1"/>
  <c r="Z511" i="8" a="1"/>
  <c r="Z511" i="8" s="1"/>
  <c r="Y511" i="8" a="1"/>
  <c r="Y511" i="8" s="1"/>
  <c r="X511" i="8" a="1"/>
  <c r="X511" i="8" s="1"/>
  <c r="W511" i="8" a="1"/>
  <c r="W511" i="8" s="1"/>
  <c r="V511" i="8" a="1"/>
  <c r="V511" i="8" s="1"/>
  <c r="U511" i="8" a="1"/>
  <c r="U511" i="8" s="1"/>
  <c r="T511" i="8" a="1"/>
  <c r="T511" i="8" s="1"/>
  <c r="S511" i="8" a="1"/>
  <c r="S511" i="8" s="1"/>
  <c r="R511" i="8" a="1"/>
  <c r="R511" i="8" s="1"/>
  <c r="Q511" i="8" a="1"/>
  <c r="Q511" i="8" s="1"/>
  <c r="P511" i="8" a="1"/>
  <c r="P511" i="8" s="1"/>
  <c r="O511" i="8" a="1"/>
  <c r="O511" i="8" s="1"/>
  <c r="N511" i="8" a="1"/>
  <c r="N511" i="8" s="1"/>
  <c r="M511" i="8" a="1"/>
  <c r="M511" i="8" s="1"/>
  <c r="L511" i="8" a="1"/>
  <c r="L511" i="8" s="1"/>
  <c r="K511" i="8" a="1"/>
  <c r="K511" i="8" s="1"/>
  <c r="J511" i="8" a="1"/>
  <c r="J511" i="8" s="1"/>
  <c r="I511" i="8" a="1"/>
  <c r="I511" i="8" s="1"/>
  <c r="H511" i="8" a="1"/>
  <c r="H511" i="8" s="1"/>
  <c r="G511" i="8" a="1"/>
  <c r="G511" i="8" s="1"/>
  <c r="F511" i="8" a="1"/>
  <c r="F511" i="8" s="1"/>
  <c r="E511" i="8" a="1"/>
  <c r="E511" i="8" s="1"/>
  <c r="AB510" i="8" a="1"/>
  <c r="AB510" i="8" s="1"/>
  <c r="AA510" i="8" a="1"/>
  <c r="AA510" i="8" s="1"/>
  <c r="Z510" i="8" a="1"/>
  <c r="Z510" i="8" s="1"/>
  <c r="Y510" i="8" a="1"/>
  <c r="Y510" i="8" s="1"/>
  <c r="X510" i="8" a="1"/>
  <c r="X510" i="8" s="1"/>
  <c r="W510" i="8" a="1"/>
  <c r="W510" i="8" s="1"/>
  <c r="V510" i="8" a="1"/>
  <c r="V510" i="8" s="1"/>
  <c r="U510" i="8" a="1"/>
  <c r="U510" i="8" s="1"/>
  <c r="T510" i="8" a="1"/>
  <c r="T510" i="8" s="1"/>
  <c r="S510" i="8" a="1"/>
  <c r="S510" i="8" s="1"/>
  <c r="R510" i="8" a="1"/>
  <c r="R510" i="8" s="1"/>
  <c r="Q510" i="8" a="1"/>
  <c r="Q510" i="8" s="1"/>
  <c r="P510" i="8" a="1"/>
  <c r="P510" i="8" s="1"/>
  <c r="O510" i="8" a="1"/>
  <c r="O510" i="8" s="1"/>
  <c r="N510" i="8" a="1"/>
  <c r="N510" i="8" s="1"/>
  <c r="M510" i="8" a="1"/>
  <c r="M510" i="8" s="1"/>
  <c r="L510" i="8" a="1"/>
  <c r="L510" i="8" s="1"/>
  <c r="K510" i="8" a="1"/>
  <c r="K510" i="8" s="1"/>
  <c r="J510" i="8" a="1"/>
  <c r="J510" i="8" s="1"/>
  <c r="I510" i="8" a="1"/>
  <c r="I510" i="8" s="1"/>
  <c r="H510" i="8" a="1"/>
  <c r="H510" i="8" s="1"/>
  <c r="G510" i="8" a="1"/>
  <c r="G510" i="8" s="1"/>
  <c r="F510" i="8" a="1"/>
  <c r="F510" i="8" s="1"/>
  <c r="E510" i="8" a="1"/>
  <c r="E510" i="8" s="1"/>
  <c r="AB509" i="8" a="1"/>
  <c r="AB509" i="8" s="1"/>
  <c r="AA509" i="8" a="1"/>
  <c r="AA509" i="8" s="1"/>
  <c r="Z509" i="8" a="1"/>
  <c r="Z509" i="8" s="1"/>
  <c r="Y509" i="8" a="1"/>
  <c r="Y509" i="8" s="1"/>
  <c r="X509" i="8" a="1"/>
  <c r="X509" i="8" s="1"/>
  <c r="W509" i="8" a="1"/>
  <c r="W509" i="8" s="1"/>
  <c r="V509" i="8" a="1"/>
  <c r="V509" i="8" s="1"/>
  <c r="U509" i="8" a="1"/>
  <c r="U509" i="8" s="1"/>
  <c r="T509" i="8" a="1"/>
  <c r="T509" i="8" s="1"/>
  <c r="S509" i="8" a="1"/>
  <c r="S509" i="8" s="1"/>
  <c r="R509" i="8" a="1"/>
  <c r="R509" i="8" s="1"/>
  <c r="Q509" i="8" a="1"/>
  <c r="Q509" i="8" s="1"/>
  <c r="P509" i="8" a="1"/>
  <c r="P509" i="8" s="1"/>
  <c r="O509" i="8" a="1"/>
  <c r="O509" i="8" s="1"/>
  <c r="N509" i="8" a="1"/>
  <c r="N509" i="8" s="1"/>
  <c r="M509" i="8" a="1"/>
  <c r="M509" i="8" s="1"/>
  <c r="L509" i="8" a="1"/>
  <c r="L509" i="8" s="1"/>
  <c r="K509" i="8" a="1"/>
  <c r="K509" i="8" s="1"/>
  <c r="J509" i="8" a="1"/>
  <c r="J509" i="8" s="1"/>
  <c r="I509" i="8" a="1"/>
  <c r="I509" i="8" s="1"/>
  <c r="H509" i="8" a="1"/>
  <c r="H509" i="8" s="1"/>
  <c r="G509" i="8" a="1"/>
  <c r="G509" i="8" s="1"/>
  <c r="F509" i="8" a="1"/>
  <c r="F509" i="8" s="1"/>
  <c r="E509" i="8" a="1"/>
  <c r="E509" i="8" s="1"/>
  <c r="AB508" i="8" a="1"/>
  <c r="AB508" i="8" s="1"/>
  <c r="AA508" i="8" a="1"/>
  <c r="AA508" i="8" s="1"/>
  <c r="Z508" i="8" a="1"/>
  <c r="Z508" i="8" s="1"/>
  <c r="Y508" i="8" a="1"/>
  <c r="Y508" i="8" s="1"/>
  <c r="X508" i="8" a="1"/>
  <c r="X508" i="8" s="1"/>
  <c r="W508" i="8" a="1"/>
  <c r="W508" i="8" s="1"/>
  <c r="V508" i="8" a="1"/>
  <c r="V508" i="8" s="1"/>
  <c r="U508" i="8" a="1"/>
  <c r="U508" i="8" s="1"/>
  <c r="T508" i="8" a="1"/>
  <c r="T508" i="8" s="1"/>
  <c r="S508" i="8" a="1"/>
  <c r="S508" i="8" s="1"/>
  <c r="R508" i="8" a="1"/>
  <c r="R508" i="8" s="1"/>
  <c r="Q508" i="8" a="1"/>
  <c r="Q508" i="8" s="1"/>
  <c r="P508" i="8" a="1"/>
  <c r="P508" i="8" s="1"/>
  <c r="O508" i="8" a="1"/>
  <c r="O508" i="8" s="1"/>
  <c r="N508" i="8" a="1"/>
  <c r="N508" i="8" s="1"/>
  <c r="M508" i="8" a="1"/>
  <c r="M508" i="8" s="1"/>
  <c r="L508" i="8" a="1"/>
  <c r="L508" i="8" s="1"/>
  <c r="K508" i="8" a="1"/>
  <c r="K508" i="8" s="1"/>
  <c r="J508" i="8" a="1"/>
  <c r="J508" i="8" s="1"/>
  <c r="I508" i="8" a="1"/>
  <c r="I508" i="8" s="1"/>
  <c r="H508" i="8" a="1"/>
  <c r="H508" i="8" s="1"/>
  <c r="G508" i="8" a="1"/>
  <c r="G508" i="8" s="1"/>
  <c r="F508" i="8" a="1"/>
  <c r="F508" i="8" s="1"/>
  <c r="E508" i="8" a="1"/>
  <c r="E508" i="8" s="1"/>
  <c r="AB507" i="8" a="1"/>
  <c r="AB507" i="8" s="1"/>
  <c r="AA507" i="8" a="1"/>
  <c r="AA507" i="8" s="1"/>
  <c r="Z507" i="8" a="1"/>
  <c r="Z507" i="8" s="1"/>
  <c r="Y507" i="8" a="1"/>
  <c r="Y507" i="8" s="1"/>
  <c r="X507" i="8" a="1"/>
  <c r="X507" i="8" s="1"/>
  <c r="W507" i="8" a="1"/>
  <c r="W507" i="8" s="1"/>
  <c r="V507" i="8" a="1"/>
  <c r="V507" i="8" s="1"/>
  <c r="U507" i="8" a="1"/>
  <c r="U507" i="8" s="1"/>
  <c r="T507" i="8" a="1"/>
  <c r="T507" i="8" s="1"/>
  <c r="S507" i="8" a="1"/>
  <c r="S507" i="8" s="1"/>
  <c r="R507" i="8" a="1"/>
  <c r="R507" i="8" s="1"/>
  <c r="Q507" i="8" a="1"/>
  <c r="Q507" i="8" s="1"/>
  <c r="P507" i="8" a="1"/>
  <c r="P507" i="8" s="1"/>
  <c r="O507" i="8" a="1"/>
  <c r="O507" i="8" s="1"/>
  <c r="N507" i="8" a="1"/>
  <c r="N507" i="8" s="1"/>
  <c r="M507" i="8" a="1"/>
  <c r="M507" i="8" s="1"/>
  <c r="L507" i="8" a="1"/>
  <c r="L507" i="8" s="1"/>
  <c r="K507" i="8" a="1"/>
  <c r="K507" i="8" s="1"/>
  <c r="J507" i="8" a="1"/>
  <c r="J507" i="8" s="1"/>
  <c r="I507" i="8" a="1"/>
  <c r="I507" i="8" s="1"/>
  <c r="H507" i="8" a="1"/>
  <c r="H507" i="8" s="1"/>
  <c r="G507" i="8" a="1"/>
  <c r="G507" i="8" s="1"/>
  <c r="F507" i="8" a="1"/>
  <c r="F507" i="8" s="1"/>
  <c r="E507" i="8" a="1"/>
  <c r="E507" i="8" s="1"/>
  <c r="AB506" i="8" a="1"/>
  <c r="AB506" i="8" s="1"/>
  <c r="AA506" i="8" a="1"/>
  <c r="AA506" i="8" s="1"/>
  <c r="Z506" i="8" a="1"/>
  <c r="Z506" i="8" s="1"/>
  <c r="Y506" i="8" a="1"/>
  <c r="Y506" i="8" s="1"/>
  <c r="X506" i="8" a="1"/>
  <c r="X506" i="8" s="1"/>
  <c r="W506" i="8" a="1"/>
  <c r="W506" i="8" s="1"/>
  <c r="V506" i="8" a="1"/>
  <c r="V506" i="8" s="1"/>
  <c r="U506" i="8" a="1"/>
  <c r="U506" i="8" s="1"/>
  <c r="T506" i="8" a="1"/>
  <c r="T506" i="8" s="1"/>
  <c r="S506" i="8" a="1"/>
  <c r="S506" i="8" s="1"/>
  <c r="R506" i="8" a="1"/>
  <c r="R506" i="8" s="1"/>
  <c r="Q506" i="8" a="1"/>
  <c r="Q506" i="8" s="1"/>
  <c r="P506" i="8" a="1"/>
  <c r="P506" i="8" s="1"/>
  <c r="O506" i="8" a="1"/>
  <c r="O506" i="8" s="1"/>
  <c r="N506" i="8" a="1"/>
  <c r="N506" i="8" s="1"/>
  <c r="M506" i="8" a="1"/>
  <c r="M506" i="8" s="1"/>
  <c r="L506" i="8" a="1"/>
  <c r="L506" i="8" s="1"/>
  <c r="K506" i="8" a="1"/>
  <c r="K506" i="8" s="1"/>
  <c r="J506" i="8" a="1"/>
  <c r="J506" i="8" s="1"/>
  <c r="I506" i="8" a="1"/>
  <c r="I506" i="8" s="1"/>
  <c r="H506" i="8" a="1"/>
  <c r="H506" i="8" s="1"/>
  <c r="G506" i="8" a="1"/>
  <c r="G506" i="8" s="1"/>
  <c r="F506" i="8" a="1"/>
  <c r="F506" i="8" s="1"/>
  <c r="E506" i="8" a="1"/>
  <c r="E506" i="8" s="1"/>
  <c r="AB505" i="8" a="1"/>
  <c r="AB505" i="8" s="1"/>
  <c r="AA505" i="8" a="1"/>
  <c r="AA505" i="8" s="1"/>
  <c r="Z505" i="8" a="1"/>
  <c r="Z505" i="8" s="1"/>
  <c r="Y505" i="8" a="1"/>
  <c r="Y505" i="8" s="1"/>
  <c r="X505" i="8" a="1"/>
  <c r="X505" i="8" s="1"/>
  <c r="W505" i="8" a="1"/>
  <c r="W505" i="8" s="1"/>
  <c r="V505" i="8" a="1"/>
  <c r="V505" i="8" s="1"/>
  <c r="U505" i="8" a="1"/>
  <c r="U505" i="8" s="1"/>
  <c r="T505" i="8" a="1"/>
  <c r="T505" i="8" s="1"/>
  <c r="S505" i="8" a="1"/>
  <c r="S505" i="8" s="1"/>
  <c r="R505" i="8" a="1"/>
  <c r="R505" i="8" s="1"/>
  <c r="Q505" i="8" a="1"/>
  <c r="Q505" i="8" s="1"/>
  <c r="P505" i="8" a="1"/>
  <c r="P505" i="8" s="1"/>
  <c r="O505" i="8" a="1"/>
  <c r="O505" i="8" s="1"/>
  <c r="N505" i="8" a="1"/>
  <c r="N505" i="8" s="1"/>
  <c r="M505" i="8" a="1"/>
  <c r="M505" i="8" s="1"/>
  <c r="L505" i="8" a="1"/>
  <c r="L505" i="8" s="1"/>
  <c r="K505" i="8" a="1"/>
  <c r="K505" i="8" s="1"/>
  <c r="J505" i="8" a="1"/>
  <c r="J505" i="8" s="1"/>
  <c r="I505" i="8" a="1"/>
  <c r="I505" i="8" s="1"/>
  <c r="H505" i="8" a="1"/>
  <c r="H505" i="8" s="1"/>
  <c r="G505" i="8" a="1"/>
  <c r="G505" i="8" s="1"/>
  <c r="F505" i="8" a="1"/>
  <c r="F505" i="8" s="1"/>
  <c r="E505" i="8" a="1"/>
  <c r="E505" i="8" s="1"/>
  <c r="AB504" i="8" a="1"/>
  <c r="AB504" i="8" s="1"/>
  <c r="AA504" i="8" a="1"/>
  <c r="AA504" i="8" s="1"/>
  <c r="Z504" i="8" a="1"/>
  <c r="Z504" i="8" s="1"/>
  <c r="Y504" i="8" a="1"/>
  <c r="Y504" i="8" s="1"/>
  <c r="X504" i="8" a="1"/>
  <c r="X504" i="8" s="1"/>
  <c r="W504" i="8" a="1"/>
  <c r="W504" i="8" s="1"/>
  <c r="V504" i="8" a="1"/>
  <c r="V504" i="8" s="1"/>
  <c r="U504" i="8" a="1"/>
  <c r="U504" i="8" s="1"/>
  <c r="T504" i="8" a="1"/>
  <c r="T504" i="8" s="1"/>
  <c r="S504" i="8" a="1"/>
  <c r="S504" i="8" s="1"/>
  <c r="R504" i="8" a="1"/>
  <c r="R504" i="8" s="1"/>
  <c r="Q504" i="8" a="1"/>
  <c r="Q504" i="8" s="1"/>
  <c r="P504" i="8" a="1"/>
  <c r="P504" i="8" s="1"/>
  <c r="O504" i="8" a="1"/>
  <c r="O504" i="8" s="1"/>
  <c r="N504" i="8" a="1"/>
  <c r="N504" i="8" s="1"/>
  <c r="M504" i="8" a="1"/>
  <c r="M504" i="8" s="1"/>
  <c r="L504" i="8" a="1"/>
  <c r="L504" i="8" s="1"/>
  <c r="K504" i="8" a="1"/>
  <c r="K504" i="8" s="1"/>
  <c r="J504" i="8" a="1"/>
  <c r="J504" i="8" s="1"/>
  <c r="I504" i="8" a="1"/>
  <c r="I504" i="8" s="1"/>
  <c r="H504" i="8" a="1"/>
  <c r="H504" i="8" s="1"/>
  <c r="G504" i="8" a="1"/>
  <c r="G504" i="8" s="1"/>
  <c r="F504" i="8" a="1"/>
  <c r="F504" i="8" s="1"/>
  <c r="E504" i="8" a="1"/>
  <c r="E504" i="8" s="1"/>
  <c r="AB503" i="8" a="1"/>
  <c r="AB503" i="8" s="1"/>
  <c r="AA503" i="8" a="1"/>
  <c r="AA503" i="8" s="1"/>
  <c r="Z503" i="8" a="1"/>
  <c r="Z503" i="8" s="1"/>
  <c r="Y503" i="8" a="1"/>
  <c r="Y503" i="8" s="1"/>
  <c r="X503" i="8" a="1"/>
  <c r="X503" i="8" s="1"/>
  <c r="W503" i="8" a="1"/>
  <c r="W503" i="8" s="1"/>
  <c r="V503" i="8" a="1"/>
  <c r="V503" i="8" s="1"/>
  <c r="U503" i="8" a="1"/>
  <c r="U503" i="8" s="1"/>
  <c r="T503" i="8" a="1"/>
  <c r="T503" i="8" s="1"/>
  <c r="S503" i="8" a="1"/>
  <c r="S503" i="8" s="1"/>
  <c r="R503" i="8" a="1"/>
  <c r="R503" i="8" s="1"/>
  <c r="Q503" i="8" a="1"/>
  <c r="Q503" i="8" s="1"/>
  <c r="P503" i="8" a="1"/>
  <c r="P503" i="8" s="1"/>
  <c r="O503" i="8" a="1"/>
  <c r="O503" i="8" s="1"/>
  <c r="N503" i="8" a="1"/>
  <c r="N503" i="8" s="1"/>
  <c r="M503" i="8" a="1"/>
  <c r="M503" i="8" s="1"/>
  <c r="L503" i="8" a="1"/>
  <c r="L503" i="8" s="1"/>
  <c r="K503" i="8" a="1"/>
  <c r="K503" i="8" s="1"/>
  <c r="J503" i="8" a="1"/>
  <c r="J503" i="8" s="1"/>
  <c r="I503" i="8" a="1"/>
  <c r="I503" i="8" s="1"/>
  <c r="H503" i="8" a="1"/>
  <c r="H503" i="8" s="1"/>
  <c r="G503" i="8" a="1"/>
  <c r="G503" i="8" s="1"/>
  <c r="F503" i="8" a="1"/>
  <c r="F503" i="8" s="1"/>
  <c r="E503" i="8" a="1"/>
  <c r="E503" i="8" s="1"/>
  <c r="AB502" i="8" a="1"/>
  <c r="AB502" i="8" s="1"/>
  <c r="AA502" i="8" a="1"/>
  <c r="AA502" i="8" s="1"/>
  <c r="Z502" i="8" a="1"/>
  <c r="Z502" i="8" s="1"/>
  <c r="Y502" i="8" a="1"/>
  <c r="Y502" i="8" s="1"/>
  <c r="X502" i="8" a="1"/>
  <c r="X502" i="8" s="1"/>
  <c r="W502" i="8" a="1"/>
  <c r="W502" i="8" s="1"/>
  <c r="V502" i="8" a="1"/>
  <c r="V502" i="8" s="1"/>
  <c r="U502" i="8" a="1"/>
  <c r="U502" i="8" s="1"/>
  <c r="T502" i="8" a="1"/>
  <c r="T502" i="8" s="1"/>
  <c r="S502" i="8" a="1"/>
  <c r="S502" i="8" s="1"/>
  <c r="R502" i="8" a="1"/>
  <c r="R502" i="8" s="1"/>
  <c r="Q502" i="8" a="1"/>
  <c r="Q502" i="8" s="1"/>
  <c r="P502" i="8" a="1"/>
  <c r="P502" i="8" s="1"/>
  <c r="O502" i="8" a="1"/>
  <c r="O502" i="8" s="1"/>
  <c r="N502" i="8" a="1"/>
  <c r="N502" i="8" s="1"/>
  <c r="M502" i="8" a="1"/>
  <c r="M502" i="8" s="1"/>
  <c r="L502" i="8" a="1"/>
  <c r="L502" i="8" s="1"/>
  <c r="K502" i="8" a="1"/>
  <c r="K502" i="8" s="1"/>
  <c r="J502" i="8" a="1"/>
  <c r="J502" i="8" s="1"/>
  <c r="I502" i="8" a="1"/>
  <c r="I502" i="8" s="1"/>
  <c r="H502" i="8" a="1"/>
  <c r="H502" i="8" s="1"/>
  <c r="G502" i="8" a="1"/>
  <c r="G502" i="8" s="1"/>
  <c r="F502" i="8" a="1"/>
  <c r="F502" i="8" s="1"/>
  <c r="E502" i="8" a="1"/>
  <c r="E502" i="8" s="1"/>
  <c r="AB501" i="8" a="1"/>
  <c r="AB501" i="8" s="1"/>
  <c r="AA501" i="8" a="1"/>
  <c r="AA501" i="8" s="1"/>
  <c r="Z501" i="8" a="1"/>
  <c r="Z501" i="8" s="1"/>
  <c r="Y501" i="8" a="1"/>
  <c r="Y501" i="8" s="1"/>
  <c r="X501" i="8" a="1"/>
  <c r="X501" i="8" s="1"/>
  <c r="W501" i="8" a="1"/>
  <c r="W501" i="8" s="1"/>
  <c r="V501" i="8" a="1"/>
  <c r="V501" i="8" s="1"/>
  <c r="U501" i="8" a="1"/>
  <c r="U501" i="8" s="1"/>
  <c r="T501" i="8" a="1"/>
  <c r="T501" i="8" s="1"/>
  <c r="S501" i="8" a="1"/>
  <c r="S501" i="8" s="1"/>
  <c r="R501" i="8" a="1"/>
  <c r="R501" i="8" s="1"/>
  <c r="Q501" i="8" a="1"/>
  <c r="Q501" i="8" s="1"/>
  <c r="P501" i="8" a="1"/>
  <c r="P501" i="8" s="1"/>
  <c r="O501" i="8" a="1"/>
  <c r="O501" i="8" s="1"/>
  <c r="N501" i="8" a="1"/>
  <c r="N501" i="8" s="1"/>
  <c r="M501" i="8" a="1"/>
  <c r="M501" i="8" s="1"/>
  <c r="L501" i="8" a="1"/>
  <c r="L501" i="8" s="1"/>
  <c r="K501" i="8" a="1"/>
  <c r="K501" i="8" s="1"/>
  <c r="J501" i="8" a="1"/>
  <c r="J501" i="8" s="1"/>
  <c r="I501" i="8" a="1"/>
  <c r="I501" i="8" s="1"/>
  <c r="H501" i="8" a="1"/>
  <c r="H501" i="8" s="1"/>
  <c r="G501" i="8" a="1"/>
  <c r="G501" i="8" s="1"/>
  <c r="F501" i="8" a="1"/>
  <c r="F501" i="8" s="1"/>
  <c r="E501" i="8" a="1"/>
  <c r="E501" i="8" s="1"/>
  <c r="AB500" i="8" a="1"/>
  <c r="AB500" i="8" s="1"/>
  <c r="AA500" i="8" a="1"/>
  <c r="AA500" i="8" s="1"/>
  <c r="Z500" i="8" a="1"/>
  <c r="Z500" i="8" s="1"/>
  <c r="Y500" i="8" a="1"/>
  <c r="Y500" i="8" s="1"/>
  <c r="X500" i="8" a="1"/>
  <c r="X500" i="8" s="1"/>
  <c r="W500" i="8" a="1"/>
  <c r="W500" i="8" s="1"/>
  <c r="V500" i="8" a="1"/>
  <c r="V500" i="8" s="1"/>
  <c r="U500" i="8" a="1"/>
  <c r="U500" i="8" s="1"/>
  <c r="T500" i="8" a="1"/>
  <c r="T500" i="8" s="1"/>
  <c r="S500" i="8" a="1"/>
  <c r="S500" i="8" s="1"/>
  <c r="R500" i="8" a="1"/>
  <c r="R500" i="8" s="1"/>
  <c r="Q500" i="8" a="1"/>
  <c r="Q500" i="8" s="1"/>
  <c r="P500" i="8" a="1"/>
  <c r="P500" i="8" s="1"/>
  <c r="O500" i="8" a="1"/>
  <c r="O500" i="8" s="1"/>
  <c r="N500" i="8" a="1"/>
  <c r="N500" i="8" s="1"/>
  <c r="M500" i="8" a="1"/>
  <c r="M500" i="8" s="1"/>
  <c r="L500" i="8" a="1"/>
  <c r="L500" i="8" s="1"/>
  <c r="K500" i="8" a="1"/>
  <c r="K500" i="8" s="1"/>
  <c r="J500" i="8" a="1"/>
  <c r="J500" i="8" s="1"/>
  <c r="I500" i="8" a="1"/>
  <c r="I500" i="8" s="1"/>
  <c r="H500" i="8" a="1"/>
  <c r="H500" i="8" s="1"/>
  <c r="G500" i="8" a="1"/>
  <c r="G500" i="8" s="1"/>
  <c r="F500" i="8" a="1"/>
  <c r="F500" i="8" s="1"/>
  <c r="E500" i="8" a="1"/>
  <c r="E500" i="8" s="1"/>
  <c r="AB499" i="8" a="1"/>
  <c r="AB499" i="8" s="1"/>
  <c r="AA499" i="8" a="1"/>
  <c r="AA499" i="8" s="1"/>
  <c r="Z499" i="8" a="1"/>
  <c r="Z499" i="8" s="1"/>
  <c r="Y499" i="8" a="1"/>
  <c r="Y499" i="8" s="1"/>
  <c r="X499" i="8" a="1"/>
  <c r="X499" i="8" s="1"/>
  <c r="W499" i="8" a="1"/>
  <c r="W499" i="8" s="1"/>
  <c r="V499" i="8" a="1"/>
  <c r="V499" i="8" s="1"/>
  <c r="U499" i="8" a="1"/>
  <c r="U499" i="8" s="1"/>
  <c r="T499" i="8" a="1"/>
  <c r="T499" i="8" s="1"/>
  <c r="S499" i="8" a="1"/>
  <c r="S499" i="8" s="1"/>
  <c r="R499" i="8" a="1"/>
  <c r="R499" i="8" s="1"/>
  <c r="Q499" i="8" a="1"/>
  <c r="Q499" i="8" s="1"/>
  <c r="P499" i="8" a="1"/>
  <c r="P499" i="8" s="1"/>
  <c r="O499" i="8" a="1"/>
  <c r="O499" i="8" s="1"/>
  <c r="N499" i="8" a="1"/>
  <c r="N499" i="8" s="1"/>
  <c r="M499" i="8" a="1"/>
  <c r="M499" i="8" s="1"/>
  <c r="L499" i="8" a="1"/>
  <c r="L499" i="8" s="1"/>
  <c r="K499" i="8" a="1"/>
  <c r="K499" i="8" s="1"/>
  <c r="J499" i="8" a="1"/>
  <c r="J499" i="8" s="1"/>
  <c r="I499" i="8" a="1"/>
  <c r="I499" i="8" s="1"/>
  <c r="H499" i="8" a="1"/>
  <c r="H499" i="8" s="1"/>
  <c r="G499" i="8" a="1"/>
  <c r="G499" i="8" s="1"/>
  <c r="F499" i="8" a="1"/>
  <c r="F499" i="8" s="1"/>
  <c r="E499" i="8" a="1"/>
  <c r="E499" i="8" s="1"/>
  <c r="AB498" i="8" a="1"/>
  <c r="AB498" i="8" s="1"/>
  <c r="AA498" i="8" a="1"/>
  <c r="AA498" i="8" s="1"/>
  <c r="Z498" i="8" a="1"/>
  <c r="Z498" i="8" s="1"/>
  <c r="Y498" i="8" a="1"/>
  <c r="Y498" i="8" s="1"/>
  <c r="X498" i="8" a="1"/>
  <c r="X498" i="8" s="1"/>
  <c r="W498" i="8" a="1"/>
  <c r="W498" i="8" s="1"/>
  <c r="V498" i="8" a="1"/>
  <c r="V498" i="8" s="1"/>
  <c r="U498" i="8" a="1"/>
  <c r="U498" i="8" s="1"/>
  <c r="T498" i="8" a="1"/>
  <c r="T498" i="8" s="1"/>
  <c r="S498" i="8" a="1"/>
  <c r="S498" i="8" s="1"/>
  <c r="R498" i="8" a="1"/>
  <c r="R498" i="8" s="1"/>
  <c r="Q498" i="8" a="1"/>
  <c r="Q498" i="8" s="1"/>
  <c r="P498" i="8" a="1"/>
  <c r="P498" i="8" s="1"/>
  <c r="O498" i="8" a="1"/>
  <c r="O498" i="8" s="1"/>
  <c r="N498" i="8" a="1"/>
  <c r="N498" i="8" s="1"/>
  <c r="M498" i="8" a="1"/>
  <c r="M498" i="8" s="1"/>
  <c r="L498" i="8" a="1"/>
  <c r="L498" i="8" s="1"/>
  <c r="K498" i="8" a="1"/>
  <c r="K498" i="8" s="1"/>
  <c r="J498" i="8" a="1"/>
  <c r="J498" i="8" s="1"/>
  <c r="I498" i="8" a="1"/>
  <c r="I498" i="8" s="1"/>
  <c r="H498" i="8" a="1"/>
  <c r="H498" i="8" s="1"/>
  <c r="G498" i="8" a="1"/>
  <c r="G498" i="8" s="1"/>
  <c r="F498" i="8" a="1"/>
  <c r="F498" i="8" s="1"/>
  <c r="E498" i="8" a="1"/>
  <c r="E498" i="8" s="1"/>
  <c r="AB497" i="8" a="1"/>
  <c r="AB497" i="8" s="1"/>
  <c r="AA497" i="8" a="1"/>
  <c r="AA497" i="8" s="1"/>
  <c r="Z497" i="8" a="1"/>
  <c r="Z497" i="8" s="1"/>
  <c r="Y497" i="8" a="1"/>
  <c r="Y497" i="8" s="1"/>
  <c r="X497" i="8" a="1"/>
  <c r="X497" i="8" s="1"/>
  <c r="W497" i="8" a="1"/>
  <c r="W497" i="8" s="1"/>
  <c r="V497" i="8" a="1"/>
  <c r="V497" i="8" s="1"/>
  <c r="U497" i="8" a="1"/>
  <c r="U497" i="8" s="1"/>
  <c r="T497" i="8" a="1"/>
  <c r="T497" i="8" s="1"/>
  <c r="S497" i="8" a="1"/>
  <c r="S497" i="8" s="1"/>
  <c r="R497" i="8" a="1"/>
  <c r="R497" i="8" s="1"/>
  <c r="Q497" i="8" a="1"/>
  <c r="Q497" i="8" s="1"/>
  <c r="P497" i="8" a="1"/>
  <c r="P497" i="8" s="1"/>
  <c r="O497" i="8" a="1"/>
  <c r="O497" i="8" s="1"/>
  <c r="N497" i="8" a="1"/>
  <c r="N497" i="8" s="1"/>
  <c r="M497" i="8" a="1"/>
  <c r="M497" i="8" s="1"/>
  <c r="L497" i="8" a="1"/>
  <c r="L497" i="8" s="1"/>
  <c r="K497" i="8" a="1"/>
  <c r="K497" i="8" s="1"/>
  <c r="J497" i="8" a="1"/>
  <c r="J497" i="8" s="1"/>
  <c r="I497" i="8" a="1"/>
  <c r="I497" i="8" s="1"/>
  <c r="H497" i="8" a="1"/>
  <c r="H497" i="8" s="1"/>
  <c r="G497" i="8" a="1"/>
  <c r="G497" i="8" s="1"/>
  <c r="F497" i="8" a="1"/>
  <c r="F497" i="8" s="1"/>
  <c r="E497" i="8" a="1"/>
  <c r="E497" i="8" s="1"/>
  <c r="AB496" i="8" a="1"/>
  <c r="AB496" i="8" s="1"/>
  <c r="AA496" i="8" a="1"/>
  <c r="AA496" i="8" s="1"/>
  <c r="Z496" i="8" a="1"/>
  <c r="Z496" i="8" s="1"/>
  <c r="Y496" i="8" a="1"/>
  <c r="Y496" i="8" s="1"/>
  <c r="X496" i="8" a="1"/>
  <c r="X496" i="8" s="1"/>
  <c r="W496" i="8" a="1"/>
  <c r="W496" i="8" s="1"/>
  <c r="V496" i="8" a="1"/>
  <c r="V496" i="8" s="1"/>
  <c r="U496" i="8" a="1"/>
  <c r="U496" i="8" s="1"/>
  <c r="T496" i="8" a="1"/>
  <c r="T496" i="8" s="1"/>
  <c r="S496" i="8" a="1"/>
  <c r="S496" i="8" s="1"/>
  <c r="R496" i="8" a="1"/>
  <c r="R496" i="8" s="1"/>
  <c r="Q496" i="8" a="1"/>
  <c r="Q496" i="8" s="1"/>
  <c r="P496" i="8" a="1"/>
  <c r="P496" i="8" s="1"/>
  <c r="O496" i="8" a="1"/>
  <c r="O496" i="8" s="1"/>
  <c r="N496" i="8" a="1"/>
  <c r="N496" i="8" s="1"/>
  <c r="M496" i="8" a="1"/>
  <c r="M496" i="8" s="1"/>
  <c r="L496" i="8" a="1"/>
  <c r="L496" i="8" s="1"/>
  <c r="K496" i="8" a="1"/>
  <c r="K496" i="8" s="1"/>
  <c r="J496" i="8" a="1"/>
  <c r="J496" i="8" s="1"/>
  <c r="I496" i="8" a="1"/>
  <c r="I496" i="8" s="1"/>
  <c r="H496" i="8" a="1"/>
  <c r="H496" i="8" s="1"/>
  <c r="G496" i="8" a="1"/>
  <c r="G496" i="8" s="1"/>
  <c r="F496" i="8" a="1"/>
  <c r="F496" i="8" s="1"/>
  <c r="E496" i="8" a="1"/>
  <c r="E496" i="8" s="1"/>
  <c r="AB495" i="8" a="1"/>
  <c r="AB495" i="8" s="1"/>
  <c r="AA495" i="8" a="1"/>
  <c r="AA495" i="8" s="1"/>
  <c r="Z495" i="8" a="1"/>
  <c r="Z495" i="8" s="1"/>
  <c r="Y495" i="8" a="1"/>
  <c r="Y495" i="8" s="1"/>
  <c r="X495" i="8" a="1"/>
  <c r="X495" i="8" s="1"/>
  <c r="W495" i="8" a="1"/>
  <c r="W495" i="8" s="1"/>
  <c r="V495" i="8" a="1"/>
  <c r="V495" i="8" s="1"/>
  <c r="U495" i="8" a="1"/>
  <c r="U495" i="8" s="1"/>
  <c r="T495" i="8" a="1"/>
  <c r="T495" i="8" s="1"/>
  <c r="S495" i="8" a="1"/>
  <c r="S495" i="8" s="1"/>
  <c r="R495" i="8" a="1"/>
  <c r="R495" i="8" s="1"/>
  <c r="Q495" i="8" a="1"/>
  <c r="Q495" i="8" s="1"/>
  <c r="P495" i="8" a="1"/>
  <c r="P495" i="8" s="1"/>
  <c r="O495" i="8" a="1"/>
  <c r="O495" i="8" s="1"/>
  <c r="N495" i="8" a="1"/>
  <c r="N495" i="8" s="1"/>
  <c r="M495" i="8" a="1"/>
  <c r="M495" i="8" s="1"/>
  <c r="L495" i="8" a="1"/>
  <c r="L495" i="8" s="1"/>
  <c r="K495" i="8" a="1"/>
  <c r="K495" i="8" s="1"/>
  <c r="J495" i="8" a="1"/>
  <c r="J495" i="8" s="1"/>
  <c r="I495" i="8" a="1"/>
  <c r="I495" i="8" s="1"/>
  <c r="H495" i="8" a="1"/>
  <c r="H495" i="8" s="1"/>
  <c r="G495" i="8" a="1"/>
  <c r="G495" i="8" s="1"/>
  <c r="F495" i="8" a="1"/>
  <c r="F495" i="8" s="1"/>
  <c r="E495" i="8" a="1"/>
  <c r="E495" i="8" s="1"/>
  <c r="AB494" i="8" a="1"/>
  <c r="AB494" i="8" s="1"/>
  <c r="AA494" i="8" a="1"/>
  <c r="AA494" i="8" s="1"/>
  <c r="Z494" i="8" a="1"/>
  <c r="Z494" i="8" s="1"/>
  <c r="Y494" i="8" a="1"/>
  <c r="Y494" i="8" s="1"/>
  <c r="X494" i="8" a="1"/>
  <c r="X494" i="8" s="1"/>
  <c r="W494" i="8" a="1"/>
  <c r="W494" i="8" s="1"/>
  <c r="V494" i="8" a="1"/>
  <c r="V494" i="8" s="1"/>
  <c r="U494" i="8" a="1"/>
  <c r="U494" i="8" s="1"/>
  <c r="T494" i="8" a="1"/>
  <c r="T494" i="8" s="1"/>
  <c r="S494" i="8" a="1"/>
  <c r="S494" i="8" s="1"/>
  <c r="R494" i="8" a="1"/>
  <c r="R494" i="8" s="1"/>
  <c r="Q494" i="8" a="1"/>
  <c r="Q494" i="8" s="1"/>
  <c r="P494" i="8" a="1"/>
  <c r="P494" i="8" s="1"/>
  <c r="O494" i="8" a="1"/>
  <c r="O494" i="8" s="1"/>
  <c r="N494" i="8" a="1"/>
  <c r="N494" i="8" s="1"/>
  <c r="M494" i="8" a="1"/>
  <c r="M494" i="8" s="1"/>
  <c r="L494" i="8" a="1"/>
  <c r="L494" i="8" s="1"/>
  <c r="K494" i="8" a="1"/>
  <c r="K494" i="8" s="1"/>
  <c r="J494" i="8" a="1"/>
  <c r="J494" i="8" s="1"/>
  <c r="I494" i="8" a="1"/>
  <c r="I494" i="8" s="1"/>
  <c r="H494" i="8" a="1"/>
  <c r="H494" i="8" s="1"/>
  <c r="G494" i="8" a="1"/>
  <c r="G494" i="8" s="1"/>
  <c r="F494" i="8" a="1"/>
  <c r="F494" i="8" s="1"/>
  <c r="E494" i="8" a="1"/>
  <c r="E494" i="8" s="1"/>
  <c r="AB493" i="8" a="1"/>
  <c r="AB493" i="8" s="1"/>
  <c r="AA493" i="8" a="1"/>
  <c r="AA493" i="8" s="1"/>
  <c r="Z493" i="8" a="1"/>
  <c r="Z493" i="8" s="1"/>
  <c r="Y493" i="8" a="1"/>
  <c r="Y493" i="8" s="1"/>
  <c r="X493" i="8" a="1"/>
  <c r="X493" i="8" s="1"/>
  <c r="W493" i="8" a="1"/>
  <c r="W493" i="8" s="1"/>
  <c r="V493" i="8" a="1"/>
  <c r="V493" i="8" s="1"/>
  <c r="U493" i="8" a="1"/>
  <c r="U493" i="8" s="1"/>
  <c r="T493" i="8" a="1"/>
  <c r="T493" i="8" s="1"/>
  <c r="S493" i="8" a="1"/>
  <c r="S493" i="8" s="1"/>
  <c r="R493" i="8" a="1"/>
  <c r="R493" i="8" s="1"/>
  <c r="Q493" i="8" a="1"/>
  <c r="Q493" i="8" s="1"/>
  <c r="P493" i="8" a="1"/>
  <c r="P493" i="8" s="1"/>
  <c r="O493" i="8" a="1"/>
  <c r="O493" i="8" s="1"/>
  <c r="N493" i="8" a="1"/>
  <c r="N493" i="8" s="1"/>
  <c r="M493" i="8" a="1"/>
  <c r="M493" i="8" s="1"/>
  <c r="L493" i="8" a="1"/>
  <c r="L493" i="8" s="1"/>
  <c r="K493" i="8" a="1"/>
  <c r="K493" i="8" s="1"/>
  <c r="J493" i="8" a="1"/>
  <c r="J493" i="8" s="1"/>
  <c r="I493" i="8" a="1"/>
  <c r="I493" i="8" s="1"/>
  <c r="H493" i="8" a="1"/>
  <c r="H493" i="8" s="1"/>
  <c r="G493" i="8" a="1"/>
  <c r="G493" i="8" s="1"/>
  <c r="F493" i="8" a="1"/>
  <c r="F493" i="8" s="1"/>
  <c r="E493" i="8" a="1"/>
  <c r="E493" i="8" s="1"/>
  <c r="AB492" i="8" a="1"/>
  <c r="AB492" i="8" s="1"/>
  <c r="AA492" i="8" a="1"/>
  <c r="AA492" i="8" s="1"/>
  <c r="Z492" i="8" a="1"/>
  <c r="Z492" i="8" s="1"/>
  <c r="Y492" i="8" a="1"/>
  <c r="Y492" i="8" s="1"/>
  <c r="X492" i="8" a="1"/>
  <c r="X492" i="8" s="1"/>
  <c r="W492" i="8" a="1"/>
  <c r="W492" i="8" s="1"/>
  <c r="V492" i="8" a="1"/>
  <c r="V492" i="8" s="1"/>
  <c r="U492" i="8" a="1"/>
  <c r="U492" i="8" s="1"/>
  <c r="T492" i="8" a="1"/>
  <c r="T492" i="8" s="1"/>
  <c r="S492" i="8" a="1"/>
  <c r="S492" i="8" s="1"/>
  <c r="R492" i="8" a="1"/>
  <c r="R492" i="8" s="1"/>
  <c r="Q492" i="8" a="1"/>
  <c r="Q492" i="8" s="1"/>
  <c r="P492" i="8" a="1"/>
  <c r="P492" i="8" s="1"/>
  <c r="O492" i="8" a="1"/>
  <c r="O492" i="8" s="1"/>
  <c r="N492" i="8" a="1"/>
  <c r="N492" i="8" s="1"/>
  <c r="M492" i="8" a="1"/>
  <c r="M492" i="8" s="1"/>
  <c r="L492" i="8" a="1"/>
  <c r="L492" i="8" s="1"/>
  <c r="K492" i="8" a="1"/>
  <c r="K492" i="8" s="1"/>
  <c r="J492" i="8" a="1"/>
  <c r="J492" i="8" s="1"/>
  <c r="I492" i="8" a="1"/>
  <c r="I492" i="8" s="1"/>
  <c r="H492" i="8" a="1"/>
  <c r="H492" i="8" s="1"/>
  <c r="G492" i="8" a="1"/>
  <c r="G492" i="8" s="1"/>
  <c r="F492" i="8" a="1"/>
  <c r="F492" i="8" s="1"/>
  <c r="E492" i="8" a="1"/>
  <c r="E492" i="8" s="1"/>
  <c r="AB491" i="8" a="1"/>
  <c r="AB491" i="8" s="1"/>
  <c r="AA491" i="8" a="1"/>
  <c r="AA491" i="8" s="1"/>
  <c r="Z491" i="8" a="1"/>
  <c r="Z491" i="8" s="1"/>
  <c r="Y491" i="8" a="1"/>
  <c r="Y491" i="8" s="1"/>
  <c r="X491" i="8" a="1"/>
  <c r="X491" i="8" s="1"/>
  <c r="W491" i="8" a="1"/>
  <c r="W491" i="8" s="1"/>
  <c r="V491" i="8" a="1"/>
  <c r="V491" i="8" s="1"/>
  <c r="U491" i="8" a="1"/>
  <c r="U491" i="8" s="1"/>
  <c r="T491" i="8" a="1"/>
  <c r="T491" i="8" s="1"/>
  <c r="S491" i="8" a="1"/>
  <c r="S491" i="8" s="1"/>
  <c r="R491" i="8" a="1"/>
  <c r="R491" i="8" s="1"/>
  <c r="Q491" i="8" a="1"/>
  <c r="Q491" i="8" s="1"/>
  <c r="P491" i="8" a="1"/>
  <c r="P491" i="8" s="1"/>
  <c r="O491" i="8" a="1"/>
  <c r="O491" i="8" s="1"/>
  <c r="N491" i="8" a="1"/>
  <c r="N491" i="8" s="1"/>
  <c r="M491" i="8" a="1"/>
  <c r="M491" i="8" s="1"/>
  <c r="L491" i="8" a="1"/>
  <c r="L491" i="8" s="1"/>
  <c r="K491" i="8" a="1"/>
  <c r="K491" i="8" s="1"/>
  <c r="J491" i="8" a="1"/>
  <c r="J491" i="8" s="1"/>
  <c r="I491" i="8" a="1"/>
  <c r="I491" i="8" s="1"/>
  <c r="H491" i="8" a="1"/>
  <c r="H491" i="8" s="1"/>
  <c r="G491" i="8" a="1"/>
  <c r="G491" i="8" s="1"/>
  <c r="F491" i="8" a="1"/>
  <c r="F491" i="8" s="1"/>
  <c r="E491" i="8" a="1"/>
  <c r="E491" i="8" s="1"/>
  <c r="AB490" i="8" a="1"/>
  <c r="AB490" i="8" s="1"/>
  <c r="AA490" i="8" a="1"/>
  <c r="AA490" i="8" s="1"/>
  <c r="Z490" i="8" a="1"/>
  <c r="Z490" i="8" s="1"/>
  <c r="Y490" i="8" a="1"/>
  <c r="Y490" i="8" s="1"/>
  <c r="X490" i="8" a="1"/>
  <c r="X490" i="8" s="1"/>
  <c r="W490" i="8" a="1"/>
  <c r="W490" i="8" s="1"/>
  <c r="V490" i="8" a="1"/>
  <c r="V490" i="8" s="1"/>
  <c r="U490" i="8" a="1"/>
  <c r="U490" i="8" s="1"/>
  <c r="T490" i="8" a="1"/>
  <c r="T490" i="8" s="1"/>
  <c r="S490" i="8" a="1"/>
  <c r="S490" i="8" s="1"/>
  <c r="R490" i="8" a="1"/>
  <c r="R490" i="8" s="1"/>
  <c r="Q490" i="8" a="1"/>
  <c r="Q490" i="8" s="1"/>
  <c r="P490" i="8" a="1"/>
  <c r="P490" i="8" s="1"/>
  <c r="O490" i="8" a="1"/>
  <c r="O490" i="8" s="1"/>
  <c r="N490" i="8" a="1"/>
  <c r="N490" i="8" s="1"/>
  <c r="M490" i="8" a="1"/>
  <c r="M490" i="8" s="1"/>
  <c r="L490" i="8" a="1"/>
  <c r="L490" i="8" s="1"/>
  <c r="K490" i="8" a="1"/>
  <c r="K490" i="8" s="1"/>
  <c r="J490" i="8" a="1"/>
  <c r="J490" i="8" s="1"/>
  <c r="I490" i="8" a="1"/>
  <c r="I490" i="8" s="1"/>
  <c r="H490" i="8" a="1"/>
  <c r="H490" i="8" s="1"/>
  <c r="G490" i="8" a="1"/>
  <c r="G490" i="8" s="1"/>
  <c r="F490" i="8" a="1"/>
  <c r="F490" i="8" s="1"/>
  <c r="E490" i="8" a="1"/>
  <c r="E490" i="8" s="1"/>
  <c r="AB489" i="8" a="1"/>
  <c r="AB489" i="8" s="1"/>
  <c r="AA489" i="8" a="1"/>
  <c r="AA489" i="8" s="1"/>
  <c r="Z489" i="8" a="1"/>
  <c r="Z489" i="8" s="1"/>
  <c r="Y489" i="8" a="1"/>
  <c r="Y489" i="8" s="1"/>
  <c r="X489" i="8" a="1"/>
  <c r="X489" i="8" s="1"/>
  <c r="W489" i="8" a="1"/>
  <c r="W489" i="8" s="1"/>
  <c r="V489" i="8" a="1"/>
  <c r="V489" i="8" s="1"/>
  <c r="U489" i="8" a="1"/>
  <c r="U489" i="8" s="1"/>
  <c r="T489" i="8" a="1"/>
  <c r="T489" i="8" s="1"/>
  <c r="S489" i="8" a="1"/>
  <c r="S489" i="8" s="1"/>
  <c r="R489" i="8" a="1"/>
  <c r="R489" i="8" s="1"/>
  <c r="Q489" i="8" a="1"/>
  <c r="Q489" i="8" s="1"/>
  <c r="P489" i="8" a="1"/>
  <c r="P489" i="8" s="1"/>
  <c r="O489" i="8" a="1"/>
  <c r="O489" i="8" s="1"/>
  <c r="N489" i="8" a="1"/>
  <c r="N489" i="8" s="1"/>
  <c r="M489" i="8" a="1"/>
  <c r="M489" i="8" s="1"/>
  <c r="L489" i="8" a="1"/>
  <c r="L489" i="8" s="1"/>
  <c r="K489" i="8" a="1"/>
  <c r="K489" i="8" s="1"/>
  <c r="J489" i="8" a="1"/>
  <c r="J489" i="8" s="1"/>
  <c r="I489" i="8" a="1"/>
  <c r="I489" i="8" s="1"/>
  <c r="H489" i="8" a="1"/>
  <c r="H489" i="8" s="1"/>
  <c r="G489" i="8" a="1"/>
  <c r="G489" i="8" s="1"/>
  <c r="F489" i="8" a="1"/>
  <c r="F489" i="8" s="1"/>
  <c r="E489" i="8" a="1"/>
  <c r="E489" i="8" s="1"/>
  <c r="AB488" i="8" a="1"/>
  <c r="AB488" i="8" s="1"/>
  <c r="AA488" i="8" a="1"/>
  <c r="AA488" i="8" s="1"/>
  <c r="Z488" i="8" a="1"/>
  <c r="Z488" i="8" s="1"/>
  <c r="Y488" i="8" a="1"/>
  <c r="Y488" i="8" s="1"/>
  <c r="X488" i="8" a="1"/>
  <c r="X488" i="8" s="1"/>
  <c r="W488" i="8" a="1"/>
  <c r="W488" i="8" s="1"/>
  <c r="V488" i="8" a="1"/>
  <c r="V488" i="8" s="1"/>
  <c r="U488" i="8" a="1"/>
  <c r="U488" i="8" s="1"/>
  <c r="T488" i="8" a="1"/>
  <c r="T488" i="8" s="1"/>
  <c r="S488" i="8" a="1"/>
  <c r="S488" i="8" s="1"/>
  <c r="R488" i="8" a="1"/>
  <c r="R488" i="8" s="1"/>
  <c r="Q488" i="8" a="1"/>
  <c r="Q488" i="8" s="1"/>
  <c r="P488" i="8" a="1"/>
  <c r="P488" i="8" s="1"/>
  <c r="O488" i="8" a="1"/>
  <c r="O488" i="8" s="1"/>
  <c r="N488" i="8" a="1"/>
  <c r="N488" i="8" s="1"/>
  <c r="M488" i="8" a="1"/>
  <c r="M488" i="8" s="1"/>
  <c r="L488" i="8" a="1"/>
  <c r="L488" i="8" s="1"/>
  <c r="K488" i="8" a="1"/>
  <c r="K488" i="8" s="1"/>
  <c r="J488" i="8" a="1"/>
  <c r="J488" i="8" s="1"/>
  <c r="I488" i="8" a="1"/>
  <c r="I488" i="8" s="1"/>
  <c r="H488" i="8" a="1"/>
  <c r="H488" i="8" s="1"/>
  <c r="G488" i="8" a="1"/>
  <c r="G488" i="8" s="1"/>
  <c r="F488" i="8" a="1"/>
  <c r="F488" i="8" s="1"/>
  <c r="E488" i="8" a="1"/>
  <c r="E488" i="8" s="1"/>
  <c r="AB487" i="8" a="1"/>
  <c r="AB487" i="8" s="1"/>
  <c r="AA487" i="8" a="1"/>
  <c r="AA487" i="8" s="1"/>
  <c r="Z487" i="8" a="1"/>
  <c r="Z487" i="8" s="1"/>
  <c r="Y487" i="8" a="1"/>
  <c r="Y487" i="8" s="1"/>
  <c r="X487" i="8" a="1"/>
  <c r="X487" i="8" s="1"/>
  <c r="W487" i="8" a="1"/>
  <c r="W487" i="8" s="1"/>
  <c r="V487" i="8" a="1"/>
  <c r="V487" i="8" s="1"/>
  <c r="U487" i="8" a="1"/>
  <c r="U487" i="8" s="1"/>
  <c r="T487" i="8" a="1"/>
  <c r="T487" i="8" s="1"/>
  <c r="S487" i="8" a="1"/>
  <c r="S487" i="8" s="1"/>
  <c r="R487" i="8" a="1"/>
  <c r="R487" i="8" s="1"/>
  <c r="Q487" i="8" a="1"/>
  <c r="Q487" i="8" s="1"/>
  <c r="P487" i="8" a="1"/>
  <c r="P487" i="8" s="1"/>
  <c r="O487" i="8" a="1"/>
  <c r="O487" i="8" s="1"/>
  <c r="N487" i="8" a="1"/>
  <c r="N487" i="8" s="1"/>
  <c r="M487" i="8" a="1"/>
  <c r="M487" i="8" s="1"/>
  <c r="L487" i="8" a="1"/>
  <c r="L487" i="8" s="1"/>
  <c r="K487" i="8" a="1"/>
  <c r="K487" i="8" s="1"/>
  <c r="J487" i="8" a="1"/>
  <c r="J487" i="8" s="1"/>
  <c r="I487" i="8" a="1"/>
  <c r="I487" i="8" s="1"/>
  <c r="H487" i="8" a="1"/>
  <c r="H487" i="8" s="1"/>
  <c r="G487" i="8" a="1"/>
  <c r="G487" i="8" s="1"/>
  <c r="F487" i="8" a="1"/>
  <c r="F487" i="8" s="1"/>
  <c r="E487" i="8" a="1"/>
  <c r="E487" i="8" s="1"/>
  <c r="AB486" i="8" a="1"/>
  <c r="AB486" i="8" s="1"/>
  <c r="AA486" i="8" a="1"/>
  <c r="AA486" i="8" s="1"/>
  <c r="Z486" i="8" a="1"/>
  <c r="Z486" i="8" s="1"/>
  <c r="Y486" i="8" a="1"/>
  <c r="Y486" i="8" s="1"/>
  <c r="X486" i="8" a="1"/>
  <c r="X486" i="8" s="1"/>
  <c r="W486" i="8" a="1"/>
  <c r="W486" i="8" s="1"/>
  <c r="V486" i="8" a="1"/>
  <c r="V486" i="8" s="1"/>
  <c r="U486" i="8" a="1"/>
  <c r="U486" i="8" s="1"/>
  <c r="T486" i="8" a="1"/>
  <c r="T486" i="8" s="1"/>
  <c r="S486" i="8" a="1"/>
  <c r="S486" i="8" s="1"/>
  <c r="R486" i="8" a="1"/>
  <c r="R486" i="8" s="1"/>
  <c r="Q486" i="8" a="1"/>
  <c r="Q486" i="8" s="1"/>
  <c r="P486" i="8" a="1"/>
  <c r="P486" i="8" s="1"/>
  <c r="O486" i="8" a="1"/>
  <c r="O486" i="8" s="1"/>
  <c r="N486" i="8" a="1"/>
  <c r="N486" i="8" s="1"/>
  <c r="M486" i="8" a="1"/>
  <c r="M486" i="8" s="1"/>
  <c r="L486" i="8" a="1"/>
  <c r="L486" i="8" s="1"/>
  <c r="K486" i="8" a="1"/>
  <c r="K486" i="8" s="1"/>
  <c r="J486" i="8" a="1"/>
  <c r="J486" i="8" s="1"/>
  <c r="I486" i="8" a="1"/>
  <c r="I486" i="8" s="1"/>
  <c r="H486" i="8" a="1"/>
  <c r="H486" i="8" s="1"/>
  <c r="G486" i="8" a="1"/>
  <c r="G486" i="8" s="1"/>
  <c r="F486" i="8" a="1"/>
  <c r="F486" i="8" s="1"/>
  <c r="E486" i="8" a="1"/>
  <c r="E486" i="8" s="1"/>
  <c r="AB485" i="8" a="1"/>
  <c r="AB485" i="8" s="1"/>
  <c r="AA485" i="8" a="1"/>
  <c r="AA485" i="8" s="1"/>
  <c r="Z485" i="8" a="1"/>
  <c r="Z485" i="8" s="1"/>
  <c r="Y485" i="8" a="1"/>
  <c r="Y485" i="8" s="1"/>
  <c r="X485" i="8" a="1"/>
  <c r="X485" i="8" s="1"/>
  <c r="W485" i="8" a="1"/>
  <c r="W485" i="8" s="1"/>
  <c r="V485" i="8" a="1"/>
  <c r="V485" i="8" s="1"/>
  <c r="U485" i="8" a="1"/>
  <c r="U485" i="8" s="1"/>
  <c r="T485" i="8" a="1"/>
  <c r="T485" i="8" s="1"/>
  <c r="S485" i="8" a="1"/>
  <c r="S485" i="8" s="1"/>
  <c r="R485" i="8" a="1"/>
  <c r="R485" i="8" s="1"/>
  <c r="Q485" i="8" a="1"/>
  <c r="Q485" i="8" s="1"/>
  <c r="P485" i="8" a="1"/>
  <c r="P485" i="8" s="1"/>
  <c r="O485" i="8" a="1"/>
  <c r="O485" i="8" s="1"/>
  <c r="N485" i="8" a="1"/>
  <c r="N485" i="8" s="1"/>
  <c r="M485" i="8" a="1"/>
  <c r="M485" i="8" s="1"/>
  <c r="L485" i="8" a="1"/>
  <c r="L485" i="8" s="1"/>
  <c r="K485" i="8" a="1"/>
  <c r="K485" i="8" s="1"/>
  <c r="J485" i="8" a="1"/>
  <c r="J485" i="8" s="1"/>
  <c r="I485" i="8" a="1"/>
  <c r="I485" i="8" s="1"/>
  <c r="H485" i="8" a="1"/>
  <c r="H485" i="8" s="1"/>
  <c r="G485" i="8" a="1"/>
  <c r="G485" i="8" s="1"/>
  <c r="F485" i="8" a="1"/>
  <c r="F485" i="8" s="1"/>
  <c r="E485" i="8" a="1"/>
  <c r="E485" i="8" s="1"/>
  <c r="AB484" i="8" a="1"/>
  <c r="AB484" i="8" s="1"/>
  <c r="AA484" i="8" a="1"/>
  <c r="AA484" i="8" s="1"/>
  <c r="Z484" i="8" a="1"/>
  <c r="Z484" i="8" s="1"/>
  <c r="Y484" i="8" a="1"/>
  <c r="Y484" i="8" s="1"/>
  <c r="X484" i="8" a="1"/>
  <c r="X484" i="8" s="1"/>
  <c r="W484" i="8" a="1"/>
  <c r="W484" i="8" s="1"/>
  <c r="V484" i="8" a="1"/>
  <c r="V484" i="8" s="1"/>
  <c r="U484" i="8" a="1"/>
  <c r="U484" i="8" s="1"/>
  <c r="T484" i="8" a="1"/>
  <c r="T484" i="8" s="1"/>
  <c r="S484" i="8" a="1"/>
  <c r="S484" i="8" s="1"/>
  <c r="R484" i="8" a="1"/>
  <c r="R484" i="8" s="1"/>
  <c r="Q484" i="8" a="1"/>
  <c r="Q484" i="8" s="1"/>
  <c r="P484" i="8" a="1"/>
  <c r="P484" i="8" s="1"/>
  <c r="O484" i="8" a="1"/>
  <c r="O484" i="8" s="1"/>
  <c r="N484" i="8" a="1"/>
  <c r="N484" i="8" s="1"/>
  <c r="M484" i="8" a="1"/>
  <c r="M484" i="8" s="1"/>
  <c r="L484" i="8" a="1"/>
  <c r="L484" i="8" s="1"/>
  <c r="K484" i="8" a="1"/>
  <c r="K484" i="8" s="1"/>
  <c r="J484" i="8" a="1"/>
  <c r="J484" i="8" s="1"/>
  <c r="I484" i="8" a="1"/>
  <c r="I484" i="8" s="1"/>
  <c r="H484" i="8" a="1"/>
  <c r="H484" i="8" s="1"/>
  <c r="G484" i="8" a="1"/>
  <c r="G484" i="8" s="1"/>
  <c r="F484" i="8" a="1"/>
  <c r="F484" i="8" s="1"/>
  <c r="E484" i="8" a="1"/>
  <c r="E484" i="8" s="1"/>
  <c r="AB483" i="8" a="1"/>
  <c r="AB483" i="8" s="1"/>
  <c r="AA483" i="8" a="1"/>
  <c r="AA483" i="8" s="1"/>
  <c r="Z483" i="8" a="1"/>
  <c r="Z483" i="8" s="1"/>
  <c r="Y483" i="8" a="1"/>
  <c r="Y483" i="8" s="1"/>
  <c r="X483" i="8" a="1"/>
  <c r="X483" i="8" s="1"/>
  <c r="W483" i="8" a="1"/>
  <c r="W483" i="8" s="1"/>
  <c r="V483" i="8" a="1"/>
  <c r="V483" i="8" s="1"/>
  <c r="U483" i="8" a="1"/>
  <c r="U483" i="8" s="1"/>
  <c r="T483" i="8" a="1"/>
  <c r="T483" i="8" s="1"/>
  <c r="S483" i="8" a="1"/>
  <c r="S483" i="8" s="1"/>
  <c r="R483" i="8" a="1"/>
  <c r="R483" i="8" s="1"/>
  <c r="Q483" i="8" a="1"/>
  <c r="Q483" i="8" s="1"/>
  <c r="P483" i="8" a="1"/>
  <c r="P483" i="8" s="1"/>
  <c r="O483" i="8" a="1"/>
  <c r="O483" i="8" s="1"/>
  <c r="N483" i="8" a="1"/>
  <c r="N483" i="8" s="1"/>
  <c r="M483" i="8" a="1"/>
  <c r="M483" i="8" s="1"/>
  <c r="L483" i="8" a="1"/>
  <c r="L483" i="8" s="1"/>
  <c r="K483" i="8" a="1"/>
  <c r="K483" i="8" s="1"/>
  <c r="J483" i="8" a="1"/>
  <c r="J483" i="8" s="1"/>
  <c r="I483" i="8" a="1"/>
  <c r="I483" i="8" s="1"/>
  <c r="H483" i="8" a="1"/>
  <c r="H483" i="8" s="1"/>
  <c r="G483" i="8" a="1"/>
  <c r="G483" i="8" s="1"/>
  <c r="F483" i="8" a="1"/>
  <c r="F483" i="8" s="1"/>
  <c r="E483" i="8" a="1"/>
  <c r="E483" i="8" s="1"/>
  <c r="AB482" i="8" a="1"/>
  <c r="AB482" i="8" s="1"/>
  <c r="AA482" i="8" a="1"/>
  <c r="AA482" i="8" s="1"/>
  <c r="Z482" i="8" a="1"/>
  <c r="Z482" i="8" s="1"/>
  <c r="Y482" i="8" a="1"/>
  <c r="Y482" i="8" s="1"/>
  <c r="X482" i="8" a="1"/>
  <c r="X482" i="8" s="1"/>
  <c r="W482" i="8" a="1"/>
  <c r="W482" i="8" s="1"/>
  <c r="V482" i="8" a="1"/>
  <c r="V482" i="8" s="1"/>
  <c r="U482" i="8" a="1"/>
  <c r="U482" i="8" s="1"/>
  <c r="T482" i="8" a="1"/>
  <c r="T482" i="8" s="1"/>
  <c r="S482" i="8" a="1"/>
  <c r="S482" i="8" s="1"/>
  <c r="R482" i="8" a="1"/>
  <c r="R482" i="8" s="1"/>
  <c r="Q482" i="8" a="1"/>
  <c r="Q482" i="8" s="1"/>
  <c r="P482" i="8" a="1"/>
  <c r="P482" i="8" s="1"/>
  <c r="O482" i="8" a="1"/>
  <c r="O482" i="8" s="1"/>
  <c r="N482" i="8" a="1"/>
  <c r="N482" i="8" s="1"/>
  <c r="M482" i="8" a="1"/>
  <c r="M482" i="8" s="1"/>
  <c r="L482" i="8" a="1"/>
  <c r="L482" i="8" s="1"/>
  <c r="K482" i="8" a="1"/>
  <c r="K482" i="8" s="1"/>
  <c r="J482" i="8" a="1"/>
  <c r="J482" i="8" s="1"/>
  <c r="I482" i="8" a="1"/>
  <c r="I482" i="8" s="1"/>
  <c r="H482" i="8" a="1"/>
  <c r="H482" i="8" s="1"/>
  <c r="G482" i="8" a="1"/>
  <c r="G482" i="8" s="1"/>
  <c r="F482" i="8" a="1"/>
  <c r="F482" i="8" s="1"/>
  <c r="E482" i="8" a="1"/>
  <c r="E482" i="8" s="1"/>
  <c r="AB481" i="8" a="1"/>
  <c r="AB481" i="8" s="1"/>
  <c r="AA481" i="8" a="1"/>
  <c r="AA481" i="8" s="1"/>
  <c r="Z481" i="8" a="1"/>
  <c r="Z481" i="8" s="1"/>
  <c r="Y481" i="8" a="1"/>
  <c r="Y481" i="8" s="1"/>
  <c r="X481" i="8" a="1"/>
  <c r="X481" i="8" s="1"/>
  <c r="W481" i="8" a="1"/>
  <c r="W481" i="8" s="1"/>
  <c r="V481" i="8" a="1"/>
  <c r="V481" i="8" s="1"/>
  <c r="U481" i="8" a="1"/>
  <c r="U481" i="8" s="1"/>
  <c r="T481" i="8" a="1"/>
  <c r="T481" i="8" s="1"/>
  <c r="S481" i="8" a="1"/>
  <c r="S481" i="8" s="1"/>
  <c r="R481" i="8" a="1"/>
  <c r="R481" i="8" s="1"/>
  <c r="Q481" i="8" a="1"/>
  <c r="Q481" i="8" s="1"/>
  <c r="P481" i="8" a="1"/>
  <c r="P481" i="8" s="1"/>
  <c r="O481" i="8" a="1"/>
  <c r="O481" i="8" s="1"/>
  <c r="N481" i="8" a="1"/>
  <c r="N481" i="8" s="1"/>
  <c r="M481" i="8" a="1"/>
  <c r="M481" i="8" s="1"/>
  <c r="L481" i="8" a="1"/>
  <c r="L481" i="8" s="1"/>
  <c r="K481" i="8" a="1"/>
  <c r="K481" i="8" s="1"/>
  <c r="J481" i="8" a="1"/>
  <c r="J481" i="8" s="1"/>
  <c r="I481" i="8" a="1"/>
  <c r="I481" i="8" s="1"/>
  <c r="H481" i="8" a="1"/>
  <c r="H481" i="8" s="1"/>
  <c r="G481" i="8" a="1"/>
  <c r="G481" i="8" s="1"/>
  <c r="F481" i="8" a="1"/>
  <c r="F481" i="8" s="1"/>
  <c r="E481" i="8" a="1"/>
  <c r="E481" i="8" s="1"/>
  <c r="AB480" i="8" a="1"/>
  <c r="AB480" i="8" s="1"/>
  <c r="AA480" i="8" a="1"/>
  <c r="AA480" i="8" s="1"/>
  <c r="Z480" i="8" a="1"/>
  <c r="Z480" i="8" s="1"/>
  <c r="Y480" i="8" a="1"/>
  <c r="Y480" i="8" s="1"/>
  <c r="X480" i="8" a="1"/>
  <c r="X480" i="8" s="1"/>
  <c r="W480" i="8" a="1"/>
  <c r="W480" i="8" s="1"/>
  <c r="V480" i="8" a="1"/>
  <c r="V480" i="8" s="1"/>
  <c r="U480" i="8" a="1"/>
  <c r="U480" i="8" s="1"/>
  <c r="T480" i="8" a="1"/>
  <c r="T480" i="8" s="1"/>
  <c r="S480" i="8" a="1"/>
  <c r="S480" i="8" s="1"/>
  <c r="R480" i="8" a="1"/>
  <c r="R480" i="8" s="1"/>
  <c r="Q480" i="8" a="1"/>
  <c r="Q480" i="8" s="1"/>
  <c r="P480" i="8" a="1"/>
  <c r="P480" i="8" s="1"/>
  <c r="O480" i="8" a="1"/>
  <c r="O480" i="8" s="1"/>
  <c r="N480" i="8" a="1"/>
  <c r="N480" i="8" s="1"/>
  <c r="M480" i="8" a="1"/>
  <c r="M480" i="8" s="1"/>
  <c r="L480" i="8" a="1"/>
  <c r="L480" i="8" s="1"/>
  <c r="K480" i="8" a="1"/>
  <c r="K480" i="8" s="1"/>
  <c r="J480" i="8" a="1"/>
  <c r="J480" i="8" s="1"/>
  <c r="I480" i="8" a="1"/>
  <c r="I480" i="8" s="1"/>
  <c r="H480" i="8" a="1"/>
  <c r="H480" i="8" s="1"/>
  <c r="G480" i="8" a="1"/>
  <c r="G480" i="8" s="1"/>
  <c r="F480" i="8" a="1"/>
  <c r="F480" i="8" s="1"/>
  <c r="E480" i="8" a="1"/>
  <c r="E480" i="8" s="1"/>
  <c r="AB479" i="8" a="1"/>
  <c r="AB479" i="8" s="1"/>
  <c r="AA479" i="8" a="1"/>
  <c r="AA479" i="8" s="1"/>
  <c r="Z479" i="8" a="1"/>
  <c r="Z479" i="8" s="1"/>
  <c r="Y479" i="8" a="1"/>
  <c r="Y479" i="8" s="1"/>
  <c r="X479" i="8" a="1"/>
  <c r="X479" i="8" s="1"/>
  <c r="W479" i="8" a="1"/>
  <c r="W479" i="8" s="1"/>
  <c r="V479" i="8" a="1"/>
  <c r="V479" i="8" s="1"/>
  <c r="U479" i="8" a="1"/>
  <c r="U479" i="8" s="1"/>
  <c r="T479" i="8" a="1"/>
  <c r="T479" i="8" s="1"/>
  <c r="S479" i="8" a="1"/>
  <c r="S479" i="8" s="1"/>
  <c r="R479" i="8" a="1"/>
  <c r="R479" i="8" s="1"/>
  <c r="Q479" i="8" a="1"/>
  <c r="Q479" i="8" s="1"/>
  <c r="P479" i="8" a="1"/>
  <c r="P479" i="8" s="1"/>
  <c r="O479" i="8" a="1"/>
  <c r="O479" i="8" s="1"/>
  <c r="N479" i="8" a="1"/>
  <c r="N479" i="8" s="1"/>
  <c r="M479" i="8" a="1"/>
  <c r="M479" i="8" s="1"/>
  <c r="L479" i="8" a="1"/>
  <c r="L479" i="8" s="1"/>
  <c r="K479" i="8" a="1"/>
  <c r="K479" i="8" s="1"/>
  <c r="J479" i="8" a="1"/>
  <c r="J479" i="8" s="1"/>
  <c r="I479" i="8" a="1"/>
  <c r="I479" i="8" s="1"/>
  <c r="H479" i="8" a="1"/>
  <c r="H479" i="8" s="1"/>
  <c r="G479" i="8" a="1"/>
  <c r="G479" i="8" s="1"/>
  <c r="F479" i="8" a="1"/>
  <c r="F479" i="8" s="1"/>
  <c r="E479" i="8" a="1"/>
  <c r="E479" i="8" s="1"/>
  <c r="AB478" i="8" a="1"/>
  <c r="AB478" i="8" s="1"/>
  <c r="AA478" i="8" a="1"/>
  <c r="AA478" i="8" s="1"/>
  <c r="Z478" i="8" a="1"/>
  <c r="Z478" i="8" s="1"/>
  <c r="Y478" i="8" a="1"/>
  <c r="Y478" i="8" s="1"/>
  <c r="X478" i="8" a="1"/>
  <c r="X478" i="8" s="1"/>
  <c r="W478" i="8" a="1"/>
  <c r="W478" i="8" s="1"/>
  <c r="V478" i="8" a="1"/>
  <c r="V478" i="8" s="1"/>
  <c r="U478" i="8" a="1"/>
  <c r="U478" i="8" s="1"/>
  <c r="T478" i="8" a="1"/>
  <c r="T478" i="8" s="1"/>
  <c r="S478" i="8" a="1"/>
  <c r="S478" i="8" s="1"/>
  <c r="R478" i="8" a="1"/>
  <c r="R478" i="8" s="1"/>
  <c r="Q478" i="8" a="1"/>
  <c r="Q478" i="8" s="1"/>
  <c r="P478" i="8" a="1"/>
  <c r="P478" i="8" s="1"/>
  <c r="O478" i="8" a="1"/>
  <c r="O478" i="8" s="1"/>
  <c r="N478" i="8" a="1"/>
  <c r="N478" i="8" s="1"/>
  <c r="M478" i="8" a="1"/>
  <c r="M478" i="8" s="1"/>
  <c r="L478" i="8" a="1"/>
  <c r="L478" i="8" s="1"/>
  <c r="K478" i="8" a="1"/>
  <c r="K478" i="8" s="1"/>
  <c r="J478" i="8" a="1"/>
  <c r="J478" i="8" s="1"/>
  <c r="I478" i="8" a="1"/>
  <c r="I478" i="8" s="1"/>
  <c r="H478" i="8" a="1"/>
  <c r="H478" i="8" s="1"/>
  <c r="G478" i="8" a="1"/>
  <c r="G478" i="8" s="1"/>
  <c r="F478" i="8" a="1"/>
  <c r="F478" i="8" s="1"/>
  <c r="E478" i="8" a="1"/>
  <c r="E478" i="8" s="1"/>
  <c r="AB477" i="8" a="1"/>
  <c r="AB477" i="8" s="1"/>
  <c r="AA477" i="8" a="1"/>
  <c r="AA477" i="8" s="1"/>
  <c r="Z477" i="8" a="1"/>
  <c r="Z477" i="8" s="1"/>
  <c r="Y477" i="8" a="1"/>
  <c r="Y477" i="8" s="1"/>
  <c r="X477" i="8" a="1"/>
  <c r="X477" i="8" s="1"/>
  <c r="W477" i="8" a="1"/>
  <c r="W477" i="8" s="1"/>
  <c r="V477" i="8" a="1"/>
  <c r="V477" i="8" s="1"/>
  <c r="U477" i="8" a="1"/>
  <c r="U477" i="8" s="1"/>
  <c r="T477" i="8" a="1"/>
  <c r="T477" i="8" s="1"/>
  <c r="S477" i="8" a="1"/>
  <c r="S477" i="8" s="1"/>
  <c r="R477" i="8" a="1"/>
  <c r="R477" i="8" s="1"/>
  <c r="Q477" i="8" a="1"/>
  <c r="Q477" i="8" s="1"/>
  <c r="P477" i="8" a="1"/>
  <c r="P477" i="8" s="1"/>
  <c r="O477" i="8" a="1"/>
  <c r="O477" i="8" s="1"/>
  <c r="N477" i="8" a="1"/>
  <c r="N477" i="8" s="1"/>
  <c r="M477" i="8" a="1"/>
  <c r="M477" i="8" s="1"/>
  <c r="L477" i="8" a="1"/>
  <c r="L477" i="8" s="1"/>
  <c r="K477" i="8" a="1"/>
  <c r="K477" i="8" s="1"/>
  <c r="J477" i="8" a="1"/>
  <c r="J477" i="8" s="1"/>
  <c r="I477" i="8" a="1"/>
  <c r="I477" i="8" s="1"/>
  <c r="H477" i="8" a="1"/>
  <c r="H477" i="8" s="1"/>
  <c r="G477" i="8" a="1"/>
  <c r="G477" i="8" s="1"/>
  <c r="F477" i="8" a="1"/>
  <c r="F477" i="8" s="1"/>
  <c r="E477" i="8" a="1"/>
  <c r="E477" i="8" s="1"/>
  <c r="AB476" i="8" a="1"/>
  <c r="AB476" i="8" s="1"/>
  <c r="AA476" i="8" a="1"/>
  <c r="AA476" i="8" s="1"/>
  <c r="Z476" i="8" a="1"/>
  <c r="Z476" i="8" s="1"/>
  <c r="Y476" i="8" a="1"/>
  <c r="Y476" i="8" s="1"/>
  <c r="X476" i="8" a="1"/>
  <c r="X476" i="8" s="1"/>
  <c r="W476" i="8" a="1"/>
  <c r="W476" i="8" s="1"/>
  <c r="V476" i="8" a="1"/>
  <c r="V476" i="8" s="1"/>
  <c r="U476" i="8" a="1"/>
  <c r="U476" i="8" s="1"/>
  <c r="T476" i="8" a="1"/>
  <c r="T476" i="8" s="1"/>
  <c r="S476" i="8" a="1"/>
  <c r="S476" i="8" s="1"/>
  <c r="R476" i="8" a="1"/>
  <c r="R476" i="8" s="1"/>
  <c r="Q476" i="8" a="1"/>
  <c r="Q476" i="8" s="1"/>
  <c r="P476" i="8" a="1"/>
  <c r="P476" i="8" s="1"/>
  <c r="O476" i="8" a="1"/>
  <c r="O476" i="8" s="1"/>
  <c r="N476" i="8" a="1"/>
  <c r="N476" i="8" s="1"/>
  <c r="M476" i="8" a="1"/>
  <c r="M476" i="8" s="1"/>
  <c r="L476" i="8" a="1"/>
  <c r="L476" i="8" s="1"/>
  <c r="K476" i="8" a="1"/>
  <c r="K476" i="8" s="1"/>
  <c r="J476" i="8" a="1"/>
  <c r="J476" i="8" s="1"/>
  <c r="I476" i="8" a="1"/>
  <c r="I476" i="8" s="1"/>
  <c r="H476" i="8" a="1"/>
  <c r="H476" i="8" s="1"/>
  <c r="G476" i="8" a="1"/>
  <c r="G476" i="8" s="1"/>
  <c r="F476" i="8" a="1"/>
  <c r="F476" i="8" s="1"/>
  <c r="E476" i="8" a="1"/>
  <c r="E476" i="8" s="1"/>
  <c r="AB475" i="8" a="1"/>
  <c r="AB475" i="8" s="1"/>
  <c r="AA475" i="8" a="1"/>
  <c r="AA475" i="8" s="1"/>
  <c r="Z475" i="8" a="1"/>
  <c r="Z475" i="8" s="1"/>
  <c r="Y475" i="8" a="1"/>
  <c r="Y475" i="8" s="1"/>
  <c r="X475" i="8" a="1"/>
  <c r="X475" i="8" s="1"/>
  <c r="W475" i="8" a="1"/>
  <c r="W475" i="8" s="1"/>
  <c r="V475" i="8" a="1"/>
  <c r="V475" i="8" s="1"/>
  <c r="U475" i="8" a="1"/>
  <c r="U475" i="8" s="1"/>
  <c r="T475" i="8" a="1"/>
  <c r="T475" i="8" s="1"/>
  <c r="S475" i="8" a="1"/>
  <c r="S475" i="8" s="1"/>
  <c r="R475" i="8" a="1"/>
  <c r="R475" i="8" s="1"/>
  <c r="Q475" i="8" a="1"/>
  <c r="Q475" i="8" s="1"/>
  <c r="P475" i="8" a="1"/>
  <c r="P475" i="8" s="1"/>
  <c r="O475" i="8" a="1"/>
  <c r="O475" i="8" s="1"/>
  <c r="N475" i="8" a="1"/>
  <c r="N475" i="8" s="1"/>
  <c r="M475" i="8" a="1"/>
  <c r="M475" i="8" s="1"/>
  <c r="L475" i="8" a="1"/>
  <c r="L475" i="8" s="1"/>
  <c r="K475" i="8" a="1"/>
  <c r="K475" i="8" s="1"/>
  <c r="J475" i="8" a="1"/>
  <c r="J475" i="8" s="1"/>
  <c r="I475" i="8" a="1"/>
  <c r="I475" i="8" s="1"/>
  <c r="H475" i="8" a="1"/>
  <c r="H475" i="8" s="1"/>
  <c r="G475" i="8" a="1"/>
  <c r="G475" i="8" s="1"/>
  <c r="F475" i="8" a="1"/>
  <c r="F475" i="8" s="1"/>
  <c r="E475" i="8" a="1"/>
  <c r="E475" i="8" s="1"/>
  <c r="AB474" i="8" a="1"/>
  <c r="AB474" i="8" s="1"/>
  <c r="AA474" i="8" a="1"/>
  <c r="AA474" i="8" s="1"/>
  <c r="Z474" i="8" a="1"/>
  <c r="Z474" i="8" s="1"/>
  <c r="Y474" i="8" a="1"/>
  <c r="Y474" i="8" s="1"/>
  <c r="X474" i="8" a="1"/>
  <c r="X474" i="8" s="1"/>
  <c r="W474" i="8" a="1"/>
  <c r="W474" i="8" s="1"/>
  <c r="V474" i="8" a="1"/>
  <c r="V474" i="8" s="1"/>
  <c r="U474" i="8" a="1"/>
  <c r="U474" i="8" s="1"/>
  <c r="T474" i="8" a="1"/>
  <c r="T474" i="8" s="1"/>
  <c r="S474" i="8" a="1"/>
  <c r="S474" i="8" s="1"/>
  <c r="R474" i="8" a="1"/>
  <c r="R474" i="8" s="1"/>
  <c r="Q474" i="8" a="1"/>
  <c r="Q474" i="8" s="1"/>
  <c r="P474" i="8" a="1"/>
  <c r="P474" i="8" s="1"/>
  <c r="O474" i="8" a="1"/>
  <c r="O474" i="8" s="1"/>
  <c r="N474" i="8" a="1"/>
  <c r="N474" i="8" s="1"/>
  <c r="M474" i="8" a="1"/>
  <c r="M474" i="8" s="1"/>
  <c r="L474" i="8" a="1"/>
  <c r="L474" i="8" s="1"/>
  <c r="K474" i="8" a="1"/>
  <c r="K474" i="8" s="1"/>
  <c r="J474" i="8" a="1"/>
  <c r="J474" i="8" s="1"/>
  <c r="I474" i="8" a="1"/>
  <c r="I474" i="8" s="1"/>
  <c r="H474" i="8" a="1"/>
  <c r="H474" i="8" s="1"/>
  <c r="G474" i="8" a="1"/>
  <c r="G474" i="8" s="1"/>
  <c r="F474" i="8" a="1"/>
  <c r="F474" i="8" s="1"/>
  <c r="E474" i="8" a="1"/>
  <c r="E474" i="8" s="1"/>
  <c r="AB473" i="8" a="1"/>
  <c r="AB473" i="8" s="1"/>
  <c r="AA473" i="8" a="1"/>
  <c r="AA473" i="8" s="1"/>
  <c r="Z473" i="8" a="1"/>
  <c r="Z473" i="8" s="1"/>
  <c r="Y473" i="8" a="1"/>
  <c r="Y473" i="8" s="1"/>
  <c r="X473" i="8" a="1"/>
  <c r="X473" i="8" s="1"/>
  <c r="W473" i="8" a="1"/>
  <c r="W473" i="8" s="1"/>
  <c r="V473" i="8" a="1"/>
  <c r="V473" i="8" s="1"/>
  <c r="U473" i="8" a="1"/>
  <c r="U473" i="8" s="1"/>
  <c r="T473" i="8" a="1"/>
  <c r="T473" i="8" s="1"/>
  <c r="S473" i="8" a="1"/>
  <c r="S473" i="8" s="1"/>
  <c r="R473" i="8" a="1"/>
  <c r="R473" i="8" s="1"/>
  <c r="Q473" i="8" a="1"/>
  <c r="Q473" i="8" s="1"/>
  <c r="P473" i="8" a="1"/>
  <c r="P473" i="8" s="1"/>
  <c r="O473" i="8" a="1"/>
  <c r="O473" i="8" s="1"/>
  <c r="N473" i="8" a="1"/>
  <c r="N473" i="8" s="1"/>
  <c r="M473" i="8" a="1"/>
  <c r="M473" i="8" s="1"/>
  <c r="L473" i="8" a="1"/>
  <c r="L473" i="8" s="1"/>
  <c r="K473" i="8" a="1"/>
  <c r="K473" i="8" s="1"/>
  <c r="J473" i="8" a="1"/>
  <c r="J473" i="8" s="1"/>
  <c r="I473" i="8" a="1"/>
  <c r="I473" i="8" s="1"/>
  <c r="H473" i="8" a="1"/>
  <c r="H473" i="8" s="1"/>
  <c r="G473" i="8" a="1"/>
  <c r="G473" i="8" s="1"/>
  <c r="F473" i="8" a="1"/>
  <c r="F473" i="8" s="1"/>
  <c r="E473" i="8" a="1"/>
  <c r="E473" i="8" s="1"/>
  <c r="AB472" i="8" a="1"/>
  <c r="AB472" i="8" s="1"/>
  <c r="AA472" i="8" a="1"/>
  <c r="AA472" i="8" s="1"/>
  <c r="Z472" i="8" a="1"/>
  <c r="Z472" i="8" s="1"/>
  <c r="Y472" i="8" a="1"/>
  <c r="Y472" i="8" s="1"/>
  <c r="X472" i="8" a="1"/>
  <c r="X472" i="8" s="1"/>
  <c r="W472" i="8" a="1"/>
  <c r="W472" i="8" s="1"/>
  <c r="V472" i="8" a="1"/>
  <c r="V472" i="8" s="1"/>
  <c r="U472" i="8" a="1"/>
  <c r="U472" i="8" s="1"/>
  <c r="T472" i="8" a="1"/>
  <c r="T472" i="8" s="1"/>
  <c r="S472" i="8" a="1"/>
  <c r="S472" i="8" s="1"/>
  <c r="R472" i="8" a="1"/>
  <c r="R472" i="8" s="1"/>
  <c r="Q472" i="8" a="1"/>
  <c r="Q472" i="8" s="1"/>
  <c r="P472" i="8" a="1"/>
  <c r="P472" i="8" s="1"/>
  <c r="O472" i="8" a="1"/>
  <c r="O472" i="8" s="1"/>
  <c r="N472" i="8" a="1"/>
  <c r="N472" i="8" s="1"/>
  <c r="M472" i="8" a="1"/>
  <c r="M472" i="8" s="1"/>
  <c r="L472" i="8" a="1"/>
  <c r="L472" i="8" s="1"/>
  <c r="K472" i="8" a="1"/>
  <c r="K472" i="8" s="1"/>
  <c r="J472" i="8" a="1"/>
  <c r="J472" i="8" s="1"/>
  <c r="I472" i="8" a="1"/>
  <c r="I472" i="8" s="1"/>
  <c r="H472" i="8" a="1"/>
  <c r="H472" i="8" s="1"/>
  <c r="G472" i="8" a="1"/>
  <c r="G472" i="8" s="1"/>
  <c r="F472" i="8" a="1"/>
  <c r="F472" i="8" s="1"/>
  <c r="E472" i="8" a="1"/>
  <c r="E472" i="8" s="1"/>
  <c r="AB471" i="8" a="1"/>
  <c r="AB471" i="8" s="1"/>
  <c r="AA471" i="8" a="1"/>
  <c r="AA471" i="8" s="1"/>
  <c r="Z471" i="8" a="1"/>
  <c r="Z471" i="8" s="1"/>
  <c r="Y471" i="8" a="1"/>
  <c r="Y471" i="8" s="1"/>
  <c r="X471" i="8" a="1"/>
  <c r="X471" i="8" s="1"/>
  <c r="W471" i="8" a="1"/>
  <c r="W471" i="8" s="1"/>
  <c r="V471" i="8" a="1"/>
  <c r="V471" i="8" s="1"/>
  <c r="U471" i="8" a="1"/>
  <c r="U471" i="8" s="1"/>
  <c r="T471" i="8" a="1"/>
  <c r="T471" i="8" s="1"/>
  <c r="S471" i="8" a="1"/>
  <c r="S471" i="8" s="1"/>
  <c r="R471" i="8" a="1"/>
  <c r="R471" i="8" s="1"/>
  <c r="Q471" i="8" a="1"/>
  <c r="Q471" i="8" s="1"/>
  <c r="P471" i="8" a="1"/>
  <c r="P471" i="8" s="1"/>
  <c r="O471" i="8" a="1"/>
  <c r="O471" i="8" s="1"/>
  <c r="N471" i="8" a="1"/>
  <c r="N471" i="8" s="1"/>
  <c r="M471" i="8" a="1"/>
  <c r="M471" i="8" s="1"/>
  <c r="L471" i="8" a="1"/>
  <c r="L471" i="8" s="1"/>
  <c r="K471" i="8" a="1"/>
  <c r="K471" i="8" s="1"/>
  <c r="J471" i="8" a="1"/>
  <c r="J471" i="8" s="1"/>
  <c r="I471" i="8" a="1"/>
  <c r="I471" i="8" s="1"/>
  <c r="H471" i="8" a="1"/>
  <c r="H471" i="8" s="1"/>
  <c r="G471" i="8" a="1"/>
  <c r="G471" i="8" s="1"/>
  <c r="F471" i="8" a="1"/>
  <c r="F471" i="8" s="1"/>
  <c r="E471" i="8" a="1"/>
  <c r="E471" i="8" s="1"/>
  <c r="AB470" i="8" a="1"/>
  <c r="AB470" i="8" s="1"/>
  <c r="AA470" i="8" a="1"/>
  <c r="AA470" i="8" s="1"/>
  <c r="Z470" i="8" a="1"/>
  <c r="Z470" i="8" s="1"/>
  <c r="Y470" i="8" a="1"/>
  <c r="Y470" i="8" s="1"/>
  <c r="X470" i="8" a="1"/>
  <c r="X470" i="8" s="1"/>
  <c r="W470" i="8" a="1"/>
  <c r="W470" i="8" s="1"/>
  <c r="V470" i="8" a="1"/>
  <c r="V470" i="8" s="1"/>
  <c r="U470" i="8" a="1"/>
  <c r="U470" i="8" s="1"/>
  <c r="T470" i="8" a="1"/>
  <c r="T470" i="8" s="1"/>
  <c r="S470" i="8" a="1"/>
  <c r="S470" i="8" s="1"/>
  <c r="R470" i="8" a="1"/>
  <c r="R470" i="8" s="1"/>
  <c r="Q470" i="8" a="1"/>
  <c r="Q470" i="8" s="1"/>
  <c r="P470" i="8" a="1"/>
  <c r="P470" i="8" s="1"/>
  <c r="O470" i="8" a="1"/>
  <c r="O470" i="8" s="1"/>
  <c r="N470" i="8" a="1"/>
  <c r="N470" i="8" s="1"/>
  <c r="M470" i="8" a="1"/>
  <c r="M470" i="8" s="1"/>
  <c r="L470" i="8" a="1"/>
  <c r="L470" i="8" s="1"/>
  <c r="K470" i="8" a="1"/>
  <c r="K470" i="8" s="1"/>
  <c r="J470" i="8" a="1"/>
  <c r="J470" i="8" s="1"/>
  <c r="I470" i="8" a="1"/>
  <c r="I470" i="8" s="1"/>
  <c r="H470" i="8" a="1"/>
  <c r="H470" i="8" s="1"/>
  <c r="G470" i="8" a="1"/>
  <c r="G470" i="8" s="1"/>
  <c r="F470" i="8" a="1"/>
  <c r="F470" i="8" s="1"/>
  <c r="E470" i="8" a="1"/>
  <c r="E470" i="8" s="1"/>
  <c r="AB469" i="8" a="1"/>
  <c r="AB469" i="8" s="1"/>
  <c r="AA469" i="8" a="1"/>
  <c r="AA469" i="8" s="1"/>
  <c r="Z469" i="8" a="1"/>
  <c r="Z469" i="8" s="1"/>
  <c r="Y469" i="8" a="1"/>
  <c r="Y469" i="8" s="1"/>
  <c r="X469" i="8" a="1"/>
  <c r="X469" i="8" s="1"/>
  <c r="W469" i="8" a="1"/>
  <c r="W469" i="8" s="1"/>
  <c r="V469" i="8" a="1"/>
  <c r="V469" i="8" s="1"/>
  <c r="U469" i="8" a="1"/>
  <c r="U469" i="8" s="1"/>
  <c r="T469" i="8" a="1"/>
  <c r="T469" i="8" s="1"/>
  <c r="S469" i="8" a="1"/>
  <c r="S469" i="8" s="1"/>
  <c r="R469" i="8" a="1"/>
  <c r="R469" i="8" s="1"/>
  <c r="Q469" i="8" a="1"/>
  <c r="Q469" i="8" s="1"/>
  <c r="P469" i="8" a="1"/>
  <c r="P469" i="8" s="1"/>
  <c r="O469" i="8" a="1"/>
  <c r="O469" i="8" s="1"/>
  <c r="N469" i="8" a="1"/>
  <c r="N469" i="8" s="1"/>
  <c r="M469" i="8" a="1"/>
  <c r="M469" i="8" s="1"/>
  <c r="L469" i="8" a="1"/>
  <c r="L469" i="8" s="1"/>
  <c r="K469" i="8" a="1"/>
  <c r="K469" i="8" s="1"/>
  <c r="J469" i="8" a="1"/>
  <c r="J469" i="8" s="1"/>
  <c r="I469" i="8" a="1"/>
  <c r="I469" i="8" s="1"/>
  <c r="H469" i="8" a="1"/>
  <c r="H469" i="8" s="1"/>
  <c r="G469" i="8" a="1"/>
  <c r="G469" i="8" s="1"/>
  <c r="F469" i="8" a="1"/>
  <c r="F469" i="8" s="1"/>
  <c r="E469" i="8" a="1"/>
  <c r="E469" i="8" s="1"/>
  <c r="AB468" i="8" a="1"/>
  <c r="AB468" i="8" s="1"/>
  <c r="AA468" i="8" a="1"/>
  <c r="AA468" i="8" s="1"/>
  <c r="Z468" i="8" a="1"/>
  <c r="Z468" i="8" s="1"/>
  <c r="Y468" i="8" a="1"/>
  <c r="Y468" i="8" s="1"/>
  <c r="X468" i="8" a="1"/>
  <c r="X468" i="8" s="1"/>
  <c r="W468" i="8" a="1"/>
  <c r="W468" i="8" s="1"/>
  <c r="V468" i="8" a="1"/>
  <c r="V468" i="8" s="1"/>
  <c r="U468" i="8" a="1"/>
  <c r="U468" i="8" s="1"/>
  <c r="T468" i="8" a="1"/>
  <c r="T468" i="8" s="1"/>
  <c r="S468" i="8" a="1"/>
  <c r="S468" i="8" s="1"/>
  <c r="R468" i="8" a="1"/>
  <c r="R468" i="8" s="1"/>
  <c r="Q468" i="8" a="1"/>
  <c r="Q468" i="8" s="1"/>
  <c r="P468" i="8" a="1"/>
  <c r="P468" i="8" s="1"/>
  <c r="O468" i="8" a="1"/>
  <c r="O468" i="8" s="1"/>
  <c r="N468" i="8" a="1"/>
  <c r="N468" i="8" s="1"/>
  <c r="M468" i="8" a="1"/>
  <c r="M468" i="8" s="1"/>
  <c r="L468" i="8" a="1"/>
  <c r="L468" i="8" s="1"/>
  <c r="K468" i="8" a="1"/>
  <c r="K468" i="8" s="1"/>
  <c r="J468" i="8" a="1"/>
  <c r="J468" i="8" s="1"/>
  <c r="I468" i="8" a="1"/>
  <c r="I468" i="8" s="1"/>
  <c r="H468" i="8" a="1"/>
  <c r="H468" i="8" s="1"/>
  <c r="G468" i="8" a="1"/>
  <c r="G468" i="8" s="1"/>
  <c r="F468" i="8" a="1"/>
  <c r="F468" i="8" s="1"/>
  <c r="E468" i="8" a="1"/>
  <c r="E468" i="8" s="1"/>
  <c r="AB467" i="8" a="1"/>
  <c r="AB467" i="8" s="1"/>
  <c r="AA467" i="8" a="1"/>
  <c r="AA467" i="8" s="1"/>
  <c r="Z467" i="8" a="1"/>
  <c r="Z467" i="8" s="1"/>
  <c r="Y467" i="8" a="1"/>
  <c r="Y467" i="8" s="1"/>
  <c r="X467" i="8" a="1"/>
  <c r="X467" i="8" s="1"/>
  <c r="W467" i="8" a="1"/>
  <c r="W467" i="8" s="1"/>
  <c r="V467" i="8" a="1"/>
  <c r="V467" i="8" s="1"/>
  <c r="U467" i="8" a="1"/>
  <c r="U467" i="8" s="1"/>
  <c r="T467" i="8" a="1"/>
  <c r="T467" i="8" s="1"/>
  <c r="S467" i="8" a="1"/>
  <c r="S467" i="8" s="1"/>
  <c r="R467" i="8" a="1"/>
  <c r="R467" i="8" s="1"/>
  <c r="Q467" i="8" a="1"/>
  <c r="Q467" i="8" s="1"/>
  <c r="P467" i="8" a="1"/>
  <c r="P467" i="8" s="1"/>
  <c r="O467" i="8" a="1"/>
  <c r="O467" i="8" s="1"/>
  <c r="N467" i="8" a="1"/>
  <c r="N467" i="8" s="1"/>
  <c r="M467" i="8" a="1"/>
  <c r="M467" i="8" s="1"/>
  <c r="L467" i="8" a="1"/>
  <c r="L467" i="8" s="1"/>
  <c r="K467" i="8" a="1"/>
  <c r="K467" i="8" s="1"/>
  <c r="J467" i="8" a="1"/>
  <c r="J467" i="8" s="1"/>
  <c r="I467" i="8" a="1"/>
  <c r="I467" i="8" s="1"/>
  <c r="H467" i="8" a="1"/>
  <c r="H467" i="8" s="1"/>
  <c r="G467" i="8" a="1"/>
  <c r="G467" i="8" s="1"/>
  <c r="F467" i="8" a="1"/>
  <c r="F467" i="8" s="1"/>
  <c r="E467" i="8" a="1"/>
  <c r="E467" i="8" s="1"/>
  <c r="AB466" i="8" a="1"/>
  <c r="AB466" i="8" s="1"/>
  <c r="AA466" i="8" a="1"/>
  <c r="AA466" i="8" s="1"/>
  <c r="Z466" i="8" a="1"/>
  <c r="Z466" i="8" s="1"/>
  <c r="Y466" i="8" a="1"/>
  <c r="Y466" i="8" s="1"/>
  <c r="X466" i="8" a="1"/>
  <c r="X466" i="8" s="1"/>
  <c r="W466" i="8" a="1"/>
  <c r="W466" i="8" s="1"/>
  <c r="V466" i="8" a="1"/>
  <c r="V466" i="8" s="1"/>
  <c r="U466" i="8" a="1"/>
  <c r="U466" i="8" s="1"/>
  <c r="T466" i="8" a="1"/>
  <c r="T466" i="8" s="1"/>
  <c r="S466" i="8" a="1"/>
  <c r="S466" i="8" s="1"/>
  <c r="R466" i="8" a="1"/>
  <c r="R466" i="8" s="1"/>
  <c r="Q466" i="8" a="1"/>
  <c r="Q466" i="8" s="1"/>
  <c r="P466" i="8" a="1"/>
  <c r="P466" i="8" s="1"/>
  <c r="O466" i="8" a="1"/>
  <c r="O466" i="8" s="1"/>
  <c r="N466" i="8" a="1"/>
  <c r="N466" i="8" s="1"/>
  <c r="M466" i="8" a="1"/>
  <c r="M466" i="8" s="1"/>
  <c r="L466" i="8" a="1"/>
  <c r="L466" i="8" s="1"/>
  <c r="K466" i="8" a="1"/>
  <c r="K466" i="8" s="1"/>
  <c r="J466" i="8" a="1"/>
  <c r="J466" i="8" s="1"/>
  <c r="I466" i="8" a="1"/>
  <c r="I466" i="8" s="1"/>
  <c r="H466" i="8" a="1"/>
  <c r="H466" i="8" s="1"/>
  <c r="G466" i="8" a="1"/>
  <c r="G466" i="8" s="1"/>
  <c r="F466" i="8" a="1"/>
  <c r="F466" i="8" s="1"/>
  <c r="E466" i="8" a="1"/>
  <c r="E466" i="8" s="1"/>
  <c r="AB465" i="8" a="1"/>
  <c r="AB465" i="8" s="1"/>
  <c r="AA465" i="8" a="1"/>
  <c r="AA465" i="8" s="1"/>
  <c r="Z465" i="8" a="1"/>
  <c r="Z465" i="8" s="1"/>
  <c r="Y465" i="8" a="1"/>
  <c r="Y465" i="8" s="1"/>
  <c r="X465" i="8" a="1"/>
  <c r="X465" i="8" s="1"/>
  <c r="W465" i="8" a="1"/>
  <c r="W465" i="8" s="1"/>
  <c r="V465" i="8" a="1"/>
  <c r="V465" i="8" s="1"/>
  <c r="U465" i="8" a="1"/>
  <c r="U465" i="8" s="1"/>
  <c r="T465" i="8" a="1"/>
  <c r="T465" i="8" s="1"/>
  <c r="S465" i="8" a="1"/>
  <c r="S465" i="8" s="1"/>
  <c r="R465" i="8" a="1"/>
  <c r="R465" i="8" s="1"/>
  <c r="Q465" i="8" a="1"/>
  <c r="Q465" i="8" s="1"/>
  <c r="P465" i="8" a="1"/>
  <c r="P465" i="8" s="1"/>
  <c r="O465" i="8" a="1"/>
  <c r="O465" i="8" s="1"/>
  <c r="N465" i="8" a="1"/>
  <c r="N465" i="8" s="1"/>
  <c r="M465" i="8" a="1"/>
  <c r="M465" i="8" s="1"/>
  <c r="L465" i="8" a="1"/>
  <c r="L465" i="8" s="1"/>
  <c r="K465" i="8" a="1"/>
  <c r="K465" i="8" s="1"/>
  <c r="J465" i="8" a="1"/>
  <c r="J465" i="8" s="1"/>
  <c r="I465" i="8" a="1"/>
  <c r="I465" i="8" s="1"/>
  <c r="H465" i="8" a="1"/>
  <c r="H465" i="8" s="1"/>
  <c r="G465" i="8" a="1"/>
  <c r="G465" i="8" s="1"/>
  <c r="F465" i="8" a="1"/>
  <c r="F465" i="8" s="1"/>
  <c r="E465" i="8" a="1"/>
  <c r="E465" i="8" s="1"/>
  <c r="AB464" i="8" a="1"/>
  <c r="AB464" i="8" s="1"/>
  <c r="AA464" i="8" a="1"/>
  <c r="AA464" i="8" s="1"/>
  <c r="Z464" i="8" a="1"/>
  <c r="Z464" i="8" s="1"/>
  <c r="Y464" i="8" a="1"/>
  <c r="Y464" i="8" s="1"/>
  <c r="X464" i="8" a="1"/>
  <c r="X464" i="8" s="1"/>
  <c r="W464" i="8" a="1"/>
  <c r="W464" i="8" s="1"/>
  <c r="V464" i="8" a="1"/>
  <c r="V464" i="8" s="1"/>
  <c r="U464" i="8" a="1"/>
  <c r="U464" i="8" s="1"/>
  <c r="T464" i="8" a="1"/>
  <c r="T464" i="8" s="1"/>
  <c r="S464" i="8" a="1"/>
  <c r="S464" i="8" s="1"/>
  <c r="R464" i="8" a="1"/>
  <c r="R464" i="8" s="1"/>
  <c r="Q464" i="8" a="1"/>
  <c r="Q464" i="8" s="1"/>
  <c r="P464" i="8" a="1"/>
  <c r="P464" i="8" s="1"/>
  <c r="O464" i="8" a="1"/>
  <c r="O464" i="8" s="1"/>
  <c r="N464" i="8" a="1"/>
  <c r="N464" i="8" s="1"/>
  <c r="M464" i="8" a="1"/>
  <c r="M464" i="8" s="1"/>
  <c r="L464" i="8" a="1"/>
  <c r="L464" i="8" s="1"/>
  <c r="K464" i="8" a="1"/>
  <c r="K464" i="8" s="1"/>
  <c r="J464" i="8" a="1"/>
  <c r="J464" i="8" s="1"/>
  <c r="I464" i="8" a="1"/>
  <c r="I464" i="8" s="1"/>
  <c r="H464" i="8" a="1"/>
  <c r="H464" i="8" s="1"/>
  <c r="G464" i="8" a="1"/>
  <c r="G464" i="8" s="1"/>
  <c r="F464" i="8" a="1"/>
  <c r="F464" i="8" s="1"/>
  <c r="E464" i="8" a="1"/>
  <c r="E464" i="8" s="1"/>
  <c r="AB463" i="8" a="1"/>
  <c r="AB463" i="8" s="1"/>
  <c r="AA463" i="8" a="1"/>
  <c r="AA463" i="8" s="1"/>
  <c r="Z463" i="8" a="1"/>
  <c r="Z463" i="8" s="1"/>
  <c r="Y463" i="8" a="1"/>
  <c r="Y463" i="8" s="1"/>
  <c r="X463" i="8" a="1"/>
  <c r="X463" i="8" s="1"/>
  <c r="W463" i="8" a="1"/>
  <c r="W463" i="8" s="1"/>
  <c r="V463" i="8" a="1"/>
  <c r="V463" i="8" s="1"/>
  <c r="U463" i="8" a="1"/>
  <c r="U463" i="8" s="1"/>
  <c r="T463" i="8" a="1"/>
  <c r="T463" i="8" s="1"/>
  <c r="S463" i="8" a="1"/>
  <c r="S463" i="8" s="1"/>
  <c r="R463" i="8" a="1"/>
  <c r="R463" i="8" s="1"/>
  <c r="Q463" i="8" a="1"/>
  <c r="Q463" i="8" s="1"/>
  <c r="P463" i="8" a="1"/>
  <c r="P463" i="8" s="1"/>
  <c r="O463" i="8" a="1"/>
  <c r="O463" i="8" s="1"/>
  <c r="N463" i="8" a="1"/>
  <c r="N463" i="8" s="1"/>
  <c r="M463" i="8" a="1"/>
  <c r="M463" i="8" s="1"/>
  <c r="L463" i="8" a="1"/>
  <c r="L463" i="8" s="1"/>
  <c r="K463" i="8" a="1"/>
  <c r="K463" i="8" s="1"/>
  <c r="J463" i="8" a="1"/>
  <c r="J463" i="8" s="1"/>
  <c r="I463" i="8" a="1"/>
  <c r="I463" i="8" s="1"/>
  <c r="H463" i="8" a="1"/>
  <c r="H463" i="8" s="1"/>
  <c r="G463" i="8" a="1"/>
  <c r="G463" i="8" s="1"/>
  <c r="F463" i="8" a="1"/>
  <c r="F463" i="8" s="1"/>
  <c r="E463" i="8" a="1"/>
  <c r="E463" i="8" s="1"/>
  <c r="AB462" i="8" a="1"/>
  <c r="AB462" i="8" s="1"/>
  <c r="AA462" i="8" a="1"/>
  <c r="AA462" i="8" s="1"/>
  <c r="Z462" i="8" a="1"/>
  <c r="Z462" i="8" s="1"/>
  <c r="Y462" i="8" a="1"/>
  <c r="Y462" i="8" s="1"/>
  <c r="X462" i="8" a="1"/>
  <c r="X462" i="8" s="1"/>
  <c r="W462" i="8" a="1"/>
  <c r="W462" i="8" s="1"/>
  <c r="V462" i="8" a="1"/>
  <c r="V462" i="8" s="1"/>
  <c r="U462" i="8" a="1"/>
  <c r="U462" i="8" s="1"/>
  <c r="T462" i="8" a="1"/>
  <c r="T462" i="8" s="1"/>
  <c r="S462" i="8" a="1"/>
  <c r="S462" i="8" s="1"/>
  <c r="R462" i="8" a="1"/>
  <c r="R462" i="8" s="1"/>
  <c r="Q462" i="8" a="1"/>
  <c r="Q462" i="8" s="1"/>
  <c r="P462" i="8" a="1"/>
  <c r="P462" i="8" s="1"/>
  <c r="O462" i="8" a="1"/>
  <c r="O462" i="8" s="1"/>
  <c r="N462" i="8" a="1"/>
  <c r="N462" i="8" s="1"/>
  <c r="M462" i="8" a="1"/>
  <c r="M462" i="8" s="1"/>
  <c r="L462" i="8" a="1"/>
  <c r="L462" i="8" s="1"/>
  <c r="K462" i="8" a="1"/>
  <c r="K462" i="8" s="1"/>
  <c r="J462" i="8" a="1"/>
  <c r="J462" i="8" s="1"/>
  <c r="I462" i="8" a="1"/>
  <c r="I462" i="8" s="1"/>
  <c r="H462" i="8" a="1"/>
  <c r="H462" i="8" s="1"/>
  <c r="G462" i="8" a="1"/>
  <c r="G462" i="8" s="1"/>
  <c r="F462" i="8" a="1"/>
  <c r="F462" i="8" s="1"/>
  <c r="E462" i="8" a="1"/>
  <c r="E462" i="8" s="1"/>
  <c r="AB461" i="8" a="1"/>
  <c r="AB461" i="8" s="1"/>
  <c r="AA461" i="8" a="1"/>
  <c r="AA461" i="8" s="1"/>
  <c r="Z461" i="8" a="1"/>
  <c r="Z461" i="8" s="1"/>
  <c r="Y461" i="8" a="1"/>
  <c r="Y461" i="8" s="1"/>
  <c r="X461" i="8" a="1"/>
  <c r="X461" i="8" s="1"/>
  <c r="W461" i="8" a="1"/>
  <c r="W461" i="8" s="1"/>
  <c r="V461" i="8" a="1"/>
  <c r="V461" i="8" s="1"/>
  <c r="U461" i="8" a="1"/>
  <c r="U461" i="8" s="1"/>
  <c r="T461" i="8" a="1"/>
  <c r="T461" i="8" s="1"/>
  <c r="S461" i="8" a="1"/>
  <c r="S461" i="8" s="1"/>
  <c r="R461" i="8" a="1"/>
  <c r="R461" i="8" s="1"/>
  <c r="Q461" i="8" a="1"/>
  <c r="Q461" i="8" s="1"/>
  <c r="P461" i="8" a="1"/>
  <c r="P461" i="8" s="1"/>
  <c r="O461" i="8" a="1"/>
  <c r="O461" i="8" s="1"/>
  <c r="N461" i="8" a="1"/>
  <c r="N461" i="8" s="1"/>
  <c r="M461" i="8" a="1"/>
  <c r="M461" i="8" s="1"/>
  <c r="L461" i="8" a="1"/>
  <c r="L461" i="8" s="1"/>
  <c r="K461" i="8" a="1"/>
  <c r="K461" i="8" s="1"/>
  <c r="J461" i="8" a="1"/>
  <c r="J461" i="8" s="1"/>
  <c r="I461" i="8" a="1"/>
  <c r="I461" i="8" s="1"/>
  <c r="H461" i="8" a="1"/>
  <c r="H461" i="8" s="1"/>
  <c r="G461" i="8" a="1"/>
  <c r="G461" i="8" s="1"/>
  <c r="F461" i="8" a="1"/>
  <c r="F461" i="8" s="1"/>
  <c r="E461" i="8" a="1"/>
  <c r="E461" i="8" s="1"/>
  <c r="AB460" i="8" a="1"/>
  <c r="AB460" i="8" s="1"/>
  <c r="AA460" i="8" a="1"/>
  <c r="AA460" i="8" s="1"/>
  <c r="Z460" i="8" a="1"/>
  <c r="Z460" i="8" s="1"/>
  <c r="Y460" i="8" a="1"/>
  <c r="Y460" i="8" s="1"/>
  <c r="X460" i="8" a="1"/>
  <c r="X460" i="8" s="1"/>
  <c r="W460" i="8" a="1"/>
  <c r="W460" i="8" s="1"/>
  <c r="V460" i="8" a="1"/>
  <c r="V460" i="8" s="1"/>
  <c r="U460" i="8" a="1"/>
  <c r="U460" i="8" s="1"/>
  <c r="T460" i="8" a="1"/>
  <c r="T460" i="8" s="1"/>
  <c r="S460" i="8" a="1"/>
  <c r="S460" i="8" s="1"/>
  <c r="R460" i="8" a="1"/>
  <c r="R460" i="8" s="1"/>
  <c r="Q460" i="8" a="1"/>
  <c r="Q460" i="8" s="1"/>
  <c r="P460" i="8" a="1"/>
  <c r="P460" i="8" s="1"/>
  <c r="O460" i="8" a="1"/>
  <c r="O460" i="8" s="1"/>
  <c r="N460" i="8" a="1"/>
  <c r="N460" i="8" s="1"/>
  <c r="M460" i="8" a="1"/>
  <c r="M460" i="8" s="1"/>
  <c r="L460" i="8" a="1"/>
  <c r="L460" i="8" s="1"/>
  <c r="K460" i="8" a="1"/>
  <c r="K460" i="8" s="1"/>
  <c r="J460" i="8" a="1"/>
  <c r="J460" i="8" s="1"/>
  <c r="I460" i="8" a="1"/>
  <c r="I460" i="8" s="1"/>
  <c r="H460" i="8" a="1"/>
  <c r="H460" i="8" s="1"/>
  <c r="G460" i="8" a="1"/>
  <c r="G460" i="8" s="1"/>
  <c r="F460" i="8" a="1"/>
  <c r="F460" i="8" s="1"/>
  <c r="E460" i="8" a="1"/>
  <c r="E460" i="8" s="1"/>
  <c r="AB459" i="8" a="1"/>
  <c r="AB459" i="8" s="1"/>
  <c r="AA459" i="8" a="1"/>
  <c r="AA459" i="8" s="1"/>
  <c r="Z459" i="8" a="1"/>
  <c r="Z459" i="8" s="1"/>
  <c r="Y459" i="8" a="1"/>
  <c r="Y459" i="8" s="1"/>
  <c r="X459" i="8" a="1"/>
  <c r="X459" i="8" s="1"/>
  <c r="W459" i="8" a="1"/>
  <c r="W459" i="8" s="1"/>
  <c r="V459" i="8" a="1"/>
  <c r="V459" i="8" s="1"/>
  <c r="U459" i="8" a="1"/>
  <c r="U459" i="8" s="1"/>
  <c r="T459" i="8" a="1"/>
  <c r="T459" i="8" s="1"/>
  <c r="S459" i="8" a="1"/>
  <c r="S459" i="8" s="1"/>
  <c r="R459" i="8" a="1"/>
  <c r="R459" i="8" s="1"/>
  <c r="Q459" i="8" a="1"/>
  <c r="Q459" i="8" s="1"/>
  <c r="P459" i="8" a="1"/>
  <c r="P459" i="8" s="1"/>
  <c r="O459" i="8" a="1"/>
  <c r="O459" i="8" s="1"/>
  <c r="N459" i="8" a="1"/>
  <c r="N459" i="8" s="1"/>
  <c r="M459" i="8" a="1"/>
  <c r="M459" i="8" s="1"/>
  <c r="L459" i="8" a="1"/>
  <c r="L459" i="8" s="1"/>
  <c r="K459" i="8" a="1"/>
  <c r="K459" i="8" s="1"/>
  <c r="J459" i="8" a="1"/>
  <c r="J459" i="8" s="1"/>
  <c r="I459" i="8" a="1"/>
  <c r="I459" i="8" s="1"/>
  <c r="H459" i="8" a="1"/>
  <c r="H459" i="8" s="1"/>
  <c r="G459" i="8" a="1"/>
  <c r="G459" i="8" s="1"/>
  <c r="F459" i="8" a="1"/>
  <c r="F459" i="8" s="1"/>
  <c r="E459" i="8" a="1"/>
  <c r="E459" i="8" s="1"/>
  <c r="AB458" i="8" a="1"/>
  <c r="AB458" i="8" s="1"/>
  <c r="AA458" i="8" a="1"/>
  <c r="AA458" i="8" s="1"/>
  <c r="Z458" i="8" a="1"/>
  <c r="Z458" i="8" s="1"/>
  <c r="Y458" i="8" a="1"/>
  <c r="Y458" i="8" s="1"/>
  <c r="X458" i="8" a="1"/>
  <c r="X458" i="8" s="1"/>
  <c r="W458" i="8" a="1"/>
  <c r="W458" i="8" s="1"/>
  <c r="V458" i="8" a="1"/>
  <c r="V458" i="8" s="1"/>
  <c r="U458" i="8" a="1"/>
  <c r="U458" i="8" s="1"/>
  <c r="T458" i="8" a="1"/>
  <c r="T458" i="8" s="1"/>
  <c r="S458" i="8" a="1"/>
  <c r="S458" i="8" s="1"/>
  <c r="R458" i="8" a="1"/>
  <c r="R458" i="8" s="1"/>
  <c r="Q458" i="8" a="1"/>
  <c r="Q458" i="8" s="1"/>
  <c r="P458" i="8" a="1"/>
  <c r="P458" i="8" s="1"/>
  <c r="O458" i="8" a="1"/>
  <c r="O458" i="8" s="1"/>
  <c r="N458" i="8" a="1"/>
  <c r="N458" i="8" s="1"/>
  <c r="M458" i="8" a="1"/>
  <c r="M458" i="8" s="1"/>
  <c r="L458" i="8" a="1"/>
  <c r="L458" i="8" s="1"/>
  <c r="K458" i="8" a="1"/>
  <c r="K458" i="8" s="1"/>
  <c r="J458" i="8" a="1"/>
  <c r="J458" i="8" s="1"/>
  <c r="I458" i="8" a="1"/>
  <c r="I458" i="8" s="1"/>
  <c r="H458" i="8" a="1"/>
  <c r="H458" i="8" s="1"/>
  <c r="G458" i="8" a="1"/>
  <c r="G458" i="8" s="1"/>
  <c r="F458" i="8" a="1"/>
  <c r="F458" i="8" s="1"/>
  <c r="E458" i="8" a="1"/>
  <c r="E458" i="8" s="1"/>
  <c r="AB457" i="8" a="1"/>
  <c r="AB457" i="8" s="1"/>
  <c r="AA457" i="8" a="1"/>
  <c r="AA457" i="8" s="1"/>
  <c r="Z457" i="8" a="1"/>
  <c r="Z457" i="8" s="1"/>
  <c r="Y457" i="8" a="1"/>
  <c r="Y457" i="8" s="1"/>
  <c r="X457" i="8" a="1"/>
  <c r="X457" i="8" s="1"/>
  <c r="W457" i="8" a="1"/>
  <c r="W457" i="8" s="1"/>
  <c r="V457" i="8" a="1"/>
  <c r="V457" i="8" s="1"/>
  <c r="U457" i="8" a="1"/>
  <c r="U457" i="8" s="1"/>
  <c r="T457" i="8" a="1"/>
  <c r="T457" i="8" s="1"/>
  <c r="S457" i="8" a="1"/>
  <c r="S457" i="8" s="1"/>
  <c r="R457" i="8" a="1"/>
  <c r="R457" i="8" s="1"/>
  <c r="Q457" i="8" a="1"/>
  <c r="Q457" i="8" s="1"/>
  <c r="P457" i="8" a="1"/>
  <c r="P457" i="8" s="1"/>
  <c r="O457" i="8" a="1"/>
  <c r="O457" i="8" s="1"/>
  <c r="N457" i="8" a="1"/>
  <c r="N457" i="8" s="1"/>
  <c r="M457" i="8" a="1"/>
  <c r="M457" i="8" s="1"/>
  <c r="L457" i="8" a="1"/>
  <c r="L457" i="8" s="1"/>
  <c r="K457" i="8" a="1"/>
  <c r="K457" i="8" s="1"/>
  <c r="J457" i="8" a="1"/>
  <c r="J457" i="8" s="1"/>
  <c r="I457" i="8" a="1"/>
  <c r="I457" i="8" s="1"/>
  <c r="H457" i="8" a="1"/>
  <c r="H457" i="8" s="1"/>
  <c r="G457" i="8" a="1"/>
  <c r="G457" i="8" s="1"/>
  <c r="F457" i="8" a="1"/>
  <c r="F457" i="8" s="1"/>
  <c r="E457" i="8" a="1"/>
  <c r="E457" i="8" s="1"/>
  <c r="AB456" i="8" a="1"/>
  <c r="AB456" i="8" s="1"/>
  <c r="AA456" i="8" a="1"/>
  <c r="AA456" i="8" s="1"/>
  <c r="Z456" i="8" a="1"/>
  <c r="Z456" i="8" s="1"/>
  <c r="Y456" i="8" a="1"/>
  <c r="Y456" i="8" s="1"/>
  <c r="X456" i="8" a="1"/>
  <c r="X456" i="8" s="1"/>
  <c r="W456" i="8" a="1"/>
  <c r="W456" i="8" s="1"/>
  <c r="V456" i="8" a="1"/>
  <c r="V456" i="8" s="1"/>
  <c r="U456" i="8" a="1"/>
  <c r="U456" i="8" s="1"/>
  <c r="T456" i="8" a="1"/>
  <c r="T456" i="8" s="1"/>
  <c r="S456" i="8" a="1"/>
  <c r="S456" i="8" s="1"/>
  <c r="R456" i="8" a="1"/>
  <c r="R456" i="8" s="1"/>
  <c r="Q456" i="8" a="1"/>
  <c r="Q456" i="8" s="1"/>
  <c r="P456" i="8" a="1"/>
  <c r="P456" i="8" s="1"/>
  <c r="O456" i="8" a="1"/>
  <c r="O456" i="8" s="1"/>
  <c r="N456" i="8" a="1"/>
  <c r="N456" i="8" s="1"/>
  <c r="M456" i="8" a="1"/>
  <c r="M456" i="8" s="1"/>
  <c r="L456" i="8" a="1"/>
  <c r="L456" i="8" s="1"/>
  <c r="K456" i="8" a="1"/>
  <c r="K456" i="8" s="1"/>
  <c r="J456" i="8" a="1"/>
  <c r="J456" i="8" s="1"/>
  <c r="I456" i="8" a="1"/>
  <c r="I456" i="8" s="1"/>
  <c r="H456" i="8" a="1"/>
  <c r="H456" i="8" s="1"/>
  <c r="G456" i="8" a="1"/>
  <c r="G456" i="8" s="1"/>
  <c r="F456" i="8" a="1"/>
  <c r="F456" i="8" s="1"/>
  <c r="E456" i="8" a="1"/>
  <c r="E456" i="8" s="1"/>
  <c r="AB455" i="8" a="1"/>
  <c r="AB455" i="8" s="1"/>
  <c r="AA455" i="8" a="1"/>
  <c r="AA455" i="8" s="1"/>
  <c r="Z455" i="8" a="1"/>
  <c r="Z455" i="8" s="1"/>
  <c r="Y455" i="8" a="1"/>
  <c r="Y455" i="8" s="1"/>
  <c r="X455" i="8" a="1"/>
  <c r="X455" i="8" s="1"/>
  <c r="W455" i="8" a="1"/>
  <c r="W455" i="8" s="1"/>
  <c r="V455" i="8" a="1"/>
  <c r="V455" i="8" s="1"/>
  <c r="U455" i="8" a="1"/>
  <c r="U455" i="8" s="1"/>
  <c r="T455" i="8" a="1"/>
  <c r="T455" i="8" s="1"/>
  <c r="S455" i="8" a="1"/>
  <c r="S455" i="8" s="1"/>
  <c r="R455" i="8" a="1"/>
  <c r="R455" i="8" s="1"/>
  <c r="Q455" i="8" a="1"/>
  <c r="Q455" i="8" s="1"/>
  <c r="P455" i="8" a="1"/>
  <c r="P455" i="8" s="1"/>
  <c r="O455" i="8" a="1"/>
  <c r="O455" i="8" s="1"/>
  <c r="N455" i="8" a="1"/>
  <c r="N455" i="8" s="1"/>
  <c r="M455" i="8" a="1"/>
  <c r="M455" i="8" s="1"/>
  <c r="L455" i="8" a="1"/>
  <c r="L455" i="8" s="1"/>
  <c r="K455" i="8" a="1"/>
  <c r="K455" i="8" s="1"/>
  <c r="J455" i="8" a="1"/>
  <c r="J455" i="8" s="1"/>
  <c r="I455" i="8" a="1"/>
  <c r="I455" i="8" s="1"/>
  <c r="H455" i="8" a="1"/>
  <c r="H455" i="8" s="1"/>
  <c r="G455" i="8" a="1"/>
  <c r="G455" i="8" s="1"/>
  <c r="F455" i="8" a="1"/>
  <c r="F455" i="8" s="1"/>
  <c r="E455" i="8" a="1"/>
  <c r="E455" i="8" s="1"/>
  <c r="AB454" i="8" a="1"/>
  <c r="AB454" i="8" s="1"/>
  <c r="AA454" i="8" a="1"/>
  <c r="AA454" i="8" s="1"/>
  <c r="Z454" i="8" a="1"/>
  <c r="Z454" i="8" s="1"/>
  <c r="Y454" i="8" a="1"/>
  <c r="Y454" i="8" s="1"/>
  <c r="X454" i="8" a="1"/>
  <c r="X454" i="8" s="1"/>
  <c r="W454" i="8" a="1"/>
  <c r="W454" i="8" s="1"/>
  <c r="V454" i="8" a="1"/>
  <c r="V454" i="8" s="1"/>
  <c r="U454" i="8" a="1"/>
  <c r="U454" i="8" s="1"/>
  <c r="T454" i="8" a="1"/>
  <c r="T454" i="8" s="1"/>
  <c r="S454" i="8" a="1"/>
  <c r="S454" i="8" s="1"/>
  <c r="R454" i="8" a="1"/>
  <c r="R454" i="8" s="1"/>
  <c r="Q454" i="8" a="1"/>
  <c r="Q454" i="8" s="1"/>
  <c r="P454" i="8" a="1"/>
  <c r="P454" i="8" s="1"/>
  <c r="O454" i="8" a="1"/>
  <c r="O454" i="8" s="1"/>
  <c r="N454" i="8" a="1"/>
  <c r="N454" i="8" s="1"/>
  <c r="M454" i="8" a="1"/>
  <c r="M454" i="8" s="1"/>
  <c r="L454" i="8" a="1"/>
  <c r="L454" i="8" s="1"/>
  <c r="K454" i="8" a="1"/>
  <c r="K454" i="8" s="1"/>
  <c r="J454" i="8" a="1"/>
  <c r="J454" i="8" s="1"/>
  <c r="I454" i="8" a="1"/>
  <c r="I454" i="8" s="1"/>
  <c r="H454" i="8" a="1"/>
  <c r="H454" i="8" s="1"/>
  <c r="G454" i="8" a="1"/>
  <c r="G454" i="8" s="1"/>
  <c r="F454" i="8" a="1"/>
  <c r="F454" i="8" s="1"/>
  <c r="E454" i="8" a="1"/>
  <c r="E454" i="8" s="1"/>
  <c r="AB453" i="8" a="1"/>
  <c r="AB453" i="8" s="1"/>
  <c r="AA453" i="8" a="1"/>
  <c r="AA453" i="8" s="1"/>
  <c r="Z453" i="8" a="1"/>
  <c r="Z453" i="8" s="1"/>
  <c r="Y453" i="8" a="1"/>
  <c r="Y453" i="8" s="1"/>
  <c r="X453" i="8" a="1"/>
  <c r="X453" i="8" s="1"/>
  <c r="W453" i="8" a="1"/>
  <c r="W453" i="8" s="1"/>
  <c r="V453" i="8" a="1"/>
  <c r="V453" i="8" s="1"/>
  <c r="U453" i="8" a="1"/>
  <c r="U453" i="8" s="1"/>
  <c r="T453" i="8" a="1"/>
  <c r="T453" i="8" s="1"/>
  <c r="S453" i="8" a="1"/>
  <c r="S453" i="8" s="1"/>
  <c r="R453" i="8" a="1"/>
  <c r="R453" i="8" s="1"/>
  <c r="Q453" i="8" a="1"/>
  <c r="Q453" i="8" s="1"/>
  <c r="P453" i="8" a="1"/>
  <c r="P453" i="8" s="1"/>
  <c r="O453" i="8" a="1"/>
  <c r="O453" i="8" s="1"/>
  <c r="N453" i="8" a="1"/>
  <c r="N453" i="8" s="1"/>
  <c r="M453" i="8" a="1"/>
  <c r="M453" i="8" s="1"/>
  <c r="L453" i="8" a="1"/>
  <c r="L453" i="8" s="1"/>
  <c r="K453" i="8" a="1"/>
  <c r="K453" i="8" s="1"/>
  <c r="J453" i="8" a="1"/>
  <c r="J453" i="8" s="1"/>
  <c r="I453" i="8" a="1"/>
  <c r="I453" i="8" s="1"/>
  <c r="H453" i="8" a="1"/>
  <c r="H453" i="8" s="1"/>
  <c r="G453" i="8" a="1"/>
  <c r="G453" i="8" s="1"/>
  <c r="F453" i="8" a="1"/>
  <c r="F453" i="8" s="1"/>
  <c r="E453" i="8" a="1"/>
  <c r="E453" i="8" s="1"/>
  <c r="AB452" i="8" a="1"/>
  <c r="AB452" i="8" s="1"/>
  <c r="AA452" i="8" a="1"/>
  <c r="AA452" i="8" s="1"/>
  <c r="Z452" i="8" a="1"/>
  <c r="Z452" i="8" s="1"/>
  <c r="Y452" i="8" a="1"/>
  <c r="Y452" i="8" s="1"/>
  <c r="X452" i="8" a="1"/>
  <c r="X452" i="8" s="1"/>
  <c r="W452" i="8" a="1"/>
  <c r="W452" i="8" s="1"/>
  <c r="V452" i="8" a="1"/>
  <c r="V452" i="8" s="1"/>
  <c r="U452" i="8" a="1"/>
  <c r="U452" i="8" s="1"/>
  <c r="T452" i="8" a="1"/>
  <c r="T452" i="8" s="1"/>
  <c r="S452" i="8" a="1"/>
  <c r="S452" i="8" s="1"/>
  <c r="R452" i="8" a="1"/>
  <c r="R452" i="8" s="1"/>
  <c r="Q452" i="8" a="1"/>
  <c r="Q452" i="8" s="1"/>
  <c r="P452" i="8" a="1"/>
  <c r="P452" i="8" s="1"/>
  <c r="O452" i="8" a="1"/>
  <c r="O452" i="8" s="1"/>
  <c r="N452" i="8" a="1"/>
  <c r="N452" i="8" s="1"/>
  <c r="M452" i="8" a="1"/>
  <c r="M452" i="8" s="1"/>
  <c r="L452" i="8" a="1"/>
  <c r="L452" i="8" s="1"/>
  <c r="K452" i="8" a="1"/>
  <c r="K452" i="8" s="1"/>
  <c r="J452" i="8" a="1"/>
  <c r="J452" i="8" s="1"/>
  <c r="I452" i="8" a="1"/>
  <c r="I452" i="8" s="1"/>
  <c r="H452" i="8" a="1"/>
  <c r="H452" i="8" s="1"/>
  <c r="G452" i="8" a="1"/>
  <c r="G452" i="8" s="1"/>
  <c r="F452" i="8" a="1"/>
  <c r="F452" i="8" s="1"/>
  <c r="E452" i="8" a="1"/>
  <c r="E452" i="8" s="1"/>
  <c r="AB451" i="8" a="1"/>
  <c r="AB451" i="8" s="1"/>
  <c r="AA451" i="8" a="1"/>
  <c r="AA451" i="8" s="1"/>
  <c r="Z451" i="8" a="1"/>
  <c r="Z451" i="8" s="1"/>
  <c r="Y451" i="8" a="1"/>
  <c r="Y451" i="8" s="1"/>
  <c r="X451" i="8" a="1"/>
  <c r="X451" i="8" s="1"/>
  <c r="W451" i="8" a="1"/>
  <c r="W451" i="8" s="1"/>
  <c r="V451" i="8" a="1"/>
  <c r="V451" i="8" s="1"/>
  <c r="U451" i="8" a="1"/>
  <c r="U451" i="8" s="1"/>
  <c r="T451" i="8" a="1"/>
  <c r="T451" i="8" s="1"/>
  <c r="S451" i="8" a="1"/>
  <c r="S451" i="8" s="1"/>
  <c r="R451" i="8" a="1"/>
  <c r="R451" i="8" s="1"/>
  <c r="Q451" i="8" a="1"/>
  <c r="Q451" i="8" s="1"/>
  <c r="P451" i="8" a="1"/>
  <c r="P451" i="8" s="1"/>
  <c r="O451" i="8" a="1"/>
  <c r="O451" i="8" s="1"/>
  <c r="N451" i="8" a="1"/>
  <c r="N451" i="8" s="1"/>
  <c r="M451" i="8" a="1"/>
  <c r="M451" i="8" s="1"/>
  <c r="L451" i="8" a="1"/>
  <c r="L451" i="8" s="1"/>
  <c r="K451" i="8" a="1"/>
  <c r="K451" i="8" s="1"/>
  <c r="J451" i="8" a="1"/>
  <c r="J451" i="8" s="1"/>
  <c r="I451" i="8" a="1"/>
  <c r="I451" i="8" s="1"/>
  <c r="H451" i="8" a="1"/>
  <c r="H451" i="8" s="1"/>
  <c r="G451" i="8" a="1"/>
  <c r="G451" i="8" s="1"/>
  <c r="F451" i="8" a="1"/>
  <c r="F451" i="8" s="1"/>
  <c r="E451" i="8" a="1"/>
  <c r="E451" i="8" s="1"/>
  <c r="AB450" i="8" a="1"/>
  <c r="AB450" i="8" s="1"/>
  <c r="AA450" i="8" a="1"/>
  <c r="AA450" i="8" s="1"/>
  <c r="Z450" i="8" a="1"/>
  <c r="Z450" i="8" s="1"/>
  <c r="Y450" i="8" a="1"/>
  <c r="Y450" i="8" s="1"/>
  <c r="X450" i="8" a="1"/>
  <c r="X450" i="8" s="1"/>
  <c r="W450" i="8" a="1"/>
  <c r="W450" i="8" s="1"/>
  <c r="V450" i="8" a="1"/>
  <c r="V450" i="8" s="1"/>
  <c r="U450" i="8" a="1"/>
  <c r="U450" i="8" s="1"/>
  <c r="T450" i="8" a="1"/>
  <c r="T450" i="8" s="1"/>
  <c r="S450" i="8" a="1"/>
  <c r="S450" i="8" s="1"/>
  <c r="R450" i="8" a="1"/>
  <c r="R450" i="8" s="1"/>
  <c r="Q450" i="8" a="1"/>
  <c r="Q450" i="8" s="1"/>
  <c r="P450" i="8" a="1"/>
  <c r="P450" i="8" s="1"/>
  <c r="O450" i="8" a="1"/>
  <c r="O450" i="8" s="1"/>
  <c r="N450" i="8" a="1"/>
  <c r="N450" i="8" s="1"/>
  <c r="M450" i="8" a="1"/>
  <c r="M450" i="8" s="1"/>
  <c r="L450" i="8" a="1"/>
  <c r="L450" i="8" s="1"/>
  <c r="K450" i="8" a="1"/>
  <c r="K450" i="8" s="1"/>
  <c r="J450" i="8" a="1"/>
  <c r="J450" i="8" s="1"/>
  <c r="I450" i="8" a="1"/>
  <c r="I450" i="8" s="1"/>
  <c r="H450" i="8" a="1"/>
  <c r="H450" i="8" s="1"/>
  <c r="G450" i="8" a="1"/>
  <c r="G450" i="8" s="1"/>
  <c r="F450" i="8" a="1"/>
  <c r="F450" i="8" s="1"/>
  <c r="E450" i="8" a="1"/>
  <c r="E450" i="8" s="1"/>
  <c r="AB449" i="8" a="1"/>
  <c r="AB449" i="8" s="1"/>
  <c r="AA449" i="8" a="1"/>
  <c r="AA449" i="8" s="1"/>
  <c r="Z449" i="8" a="1"/>
  <c r="Z449" i="8" s="1"/>
  <c r="Y449" i="8" a="1"/>
  <c r="Y449" i="8" s="1"/>
  <c r="X449" i="8" a="1"/>
  <c r="X449" i="8" s="1"/>
  <c r="W449" i="8" a="1"/>
  <c r="W449" i="8" s="1"/>
  <c r="V449" i="8" a="1"/>
  <c r="V449" i="8" s="1"/>
  <c r="U449" i="8" a="1"/>
  <c r="U449" i="8" s="1"/>
  <c r="T449" i="8" a="1"/>
  <c r="T449" i="8" s="1"/>
  <c r="S449" i="8" a="1"/>
  <c r="S449" i="8" s="1"/>
  <c r="R449" i="8" a="1"/>
  <c r="R449" i="8" s="1"/>
  <c r="Q449" i="8" a="1"/>
  <c r="Q449" i="8" s="1"/>
  <c r="P449" i="8" a="1"/>
  <c r="P449" i="8" s="1"/>
  <c r="O449" i="8" a="1"/>
  <c r="O449" i="8" s="1"/>
  <c r="N449" i="8" a="1"/>
  <c r="N449" i="8" s="1"/>
  <c r="M449" i="8" a="1"/>
  <c r="M449" i="8" s="1"/>
  <c r="L449" i="8" a="1"/>
  <c r="L449" i="8" s="1"/>
  <c r="K449" i="8" a="1"/>
  <c r="K449" i="8" s="1"/>
  <c r="J449" i="8" a="1"/>
  <c r="J449" i="8" s="1"/>
  <c r="I449" i="8" a="1"/>
  <c r="I449" i="8" s="1"/>
  <c r="H449" i="8" a="1"/>
  <c r="H449" i="8" s="1"/>
  <c r="G449" i="8" a="1"/>
  <c r="G449" i="8" s="1"/>
  <c r="F449" i="8" a="1"/>
  <c r="F449" i="8" s="1"/>
  <c r="E449" i="8" a="1"/>
  <c r="E449" i="8" s="1"/>
  <c r="AB448" i="8" a="1"/>
  <c r="AB448" i="8" s="1"/>
  <c r="AA448" i="8" a="1"/>
  <c r="AA448" i="8" s="1"/>
  <c r="Z448" i="8" a="1"/>
  <c r="Z448" i="8" s="1"/>
  <c r="Y448" i="8" a="1"/>
  <c r="Y448" i="8" s="1"/>
  <c r="X448" i="8" a="1"/>
  <c r="X448" i="8" s="1"/>
  <c r="W448" i="8" a="1"/>
  <c r="W448" i="8" s="1"/>
  <c r="V448" i="8" a="1"/>
  <c r="V448" i="8" s="1"/>
  <c r="U448" i="8" a="1"/>
  <c r="U448" i="8" s="1"/>
  <c r="T448" i="8" a="1"/>
  <c r="T448" i="8" s="1"/>
  <c r="S448" i="8" a="1"/>
  <c r="S448" i="8" s="1"/>
  <c r="R448" i="8" a="1"/>
  <c r="R448" i="8" s="1"/>
  <c r="Q448" i="8" a="1"/>
  <c r="Q448" i="8" s="1"/>
  <c r="P448" i="8" a="1"/>
  <c r="P448" i="8" s="1"/>
  <c r="O448" i="8" a="1"/>
  <c r="O448" i="8" s="1"/>
  <c r="N448" i="8" a="1"/>
  <c r="N448" i="8" s="1"/>
  <c r="M448" i="8" a="1"/>
  <c r="M448" i="8" s="1"/>
  <c r="L448" i="8" a="1"/>
  <c r="L448" i="8" s="1"/>
  <c r="K448" i="8" a="1"/>
  <c r="K448" i="8" s="1"/>
  <c r="J448" i="8" a="1"/>
  <c r="J448" i="8" s="1"/>
  <c r="I448" i="8" a="1"/>
  <c r="I448" i="8" s="1"/>
  <c r="H448" i="8" a="1"/>
  <c r="H448" i="8" s="1"/>
  <c r="G448" i="8" a="1"/>
  <c r="G448" i="8" s="1"/>
  <c r="F448" i="8" a="1"/>
  <c r="F448" i="8" s="1"/>
  <c r="E448" i="8" a="1"/>
  <c r="E448" i="8" s="1"/>
  <c r="AB447" i="8" a="1"/>
  <c r="AB447" i="8" s="1"/>
  <c r="AA447" i="8" a="1"/>
  <c r="AA447" i="8" s="1"/>
  <c r="Z447" i="8" a="1"/>
  <c r="Z447" i="8" s="1"/>
  <c r="Y447" i="8" a="1"/>
  <c r="Y447" i="8" s="1"/>
  <c r="X447" i="8" a="1"/>
  <c r="X447" i="8" s="1"/>
  <c r="W447" i="8" a="1"/>
  <c r="W447" i="8" s="1"/>
  <c r="V447" i="8" a="1"/>
  <c r="V447" i="8" s="1"/>
  <c r="U447" i="8" a="1"/>
  <c r="U447" i="8" s="1"/>
  <c r="T447" i="8" a="1"/>
  <c r="T447" i="8" s="1"/>
  <c r="S447" i="8" a="1"/>
  <c r="S447" i="8" s="1"/>
  <c r="R447" i="8" a="1"/>
  <c r="R447" i="8" s="1"/>
  <c r="Q447" i="8" a="1"/>
  <c r="Q447" i="8" s="1"/>
  <c r="P447" i="8" a="1"/>
  <c r="P447" i="8" s="1"/>
  <c r="O447" i="8" a="1"/>
  <c r="O447" i="8" s="1"/>
  <c r="N447" i="8" a="1"/>
  <c r="N447" i="8" s="1"/>
  <c r="M447" i="8" a="1"/>
  <c r="M447" i="8" s="1"/>
  <c r="L447" i="8" a="1"/>
  <c r="L447" i="8" s="1"/>
  <c r="K447" i="8" a="1"/>
  <c r="K447" i="8" s="1"/>
  <c r="J447" i="8" a="1"/>
  <c r="J447" i="8" s="1"/>
  <c r="I447" i="8" a="1"/>
  <c r="I447" i="8" s="1"/>
  <c r="H447" i="8" a="1"/>
  <c r="H447" i="8" s="1"/>
  <c r="G447" i="8" a="1"/>
  <c r="G447" i="8" s="1"/>
  <c r="F447" i="8" a="1"/>
  <c r="F447" i="8" s="1"/>
  <c r="E447" i="8" a="1"/>
  <c r="E447" i="8" s="1"/>
  <c r="AB446" i="8" a="1"/>
  <c r="AB446" i="8" s="1"/>
  <c r="AA446" i="8" a="1"/>
  <c r="AA446" i="8" s="1"/>
  <c r="Z446" i="8" a="1"/>
  <c r="Z446" i="8" s="1"/>
  <c r="Y446" i="8" a="1"/>
  <c r="Y446" i="8" s="1"/>
  <c r="X446" i="8" a="1"/>
  <c r="X446" i="8" s="1"/>
  <c r="W446" i="8" a="1"/>
  <c r="W446" i="8" s="1"/>
  <c r="V446" i="8" a="1"/>
  <c r="V446" i="8" s="1"/>
  <c r="U446" i="8" a="1"/>
  <c r="U446" i="8" s="1"/>
  <c r="T446" i="8" a="1"/>
  <c r="T446" i="8" s="1"/>
  <c r="S446" i="8" a="1"/>
  <c r="S446" i="8" s="1"/>
  <c r="R446" i="8" a="1"/>
  <c r="R446" i="8" s="1"/>
  <c r="Q446" i="8" a="1"/>
  <c r="Q446" i="8" s="1"/>
  <c r="P446" i="8" a="1"/>
  <c r="P446" i="8" s="1"/>
  <c r="O446" i="8" a="1"/>
  <c r="O446" i="8" s="1"/>
  <c r="N446" i="8" a="1"/>
  <c r="N446" i="8" s="1"/>
  <c r="M446" i="8" a="1"/>
  <c r="M446" i="8" s="1"/>
  <c r="L446" i="8" a="1"/>
  <c r="L446" i="8" s="1"/>
  <c r="K446" i="8" a="1"/>
  <c r="K446" i="8" s="1"/>
  <c r="J446" i="8" a="1"/>
  <c r="J446" i="8" s="1"/>
  <c r="I446" i="8" a="1"/>
  <c r="I446" i="8" s="1"/>
  <c r="H446" i="8" a="1"/>
  <c r="H446" i="8" s="1"/>
  <c r="G446" i="8" a="1"/>
  <c r="G446" i="8" s="1"/>
  <c r="F446" i="8" a="1"/>
  <c r="F446" i="8" s="1"/>
  <c r="E446" i="8" a="1"/>
  <c r="E446" i="8" s="1"/>
  <c r="AB445" i="8" a="1"/>
  <c r="AB445" i="8" s="1"/>
  <c r="AA445" i="8" a="1"/>
  <c r="AA445" i="8" s="1"/>
  <c r="Z445" i="8" a="1"/>
  <c r="Z445" i="8" s="1"/>
  <c r="Y445" i="8" a="1"/>
  <c r="Y445" i="8" s="1"/>
  <c r="X445" i="8" a="1"/>
  <c r="X445" i="8" s="1"/>
  <c r="W445" i="8" a="1"/>
  <c r="W445" i="8" s="1"/>
  <c r="V445" i="8" a="1"/>
  <c r="V445" i="8" s="1"/>
  <c r="U445" i="8" a="1"/>
  <c r="U445" i="8" s="1"/>
  <c r="T445" i="8" a="1"/>
  <c r="T445" i="8" s="1"/>
  <c r="S445" i="8" a="1"/>
  <c r="S445" i="8" s="1"/>
  <c r="R445" i="8" a="1"/>
  <c r="R445" i="8" s="1"/>
  <c r="Q445" i="8" a="1"/>
  <c r="Q445" i="8" s="1"/>
  <c r="P445" i="8" a="1"/>
  <c r="P445" i="8" s="1"/>
  <c r="O445" i="8" a="1"/>
  <c r="O445" i="8" s="1"/>
  <c r="N445" i="8" a="1"/>
  <c r="N445" i="8" s="1"/>
  <c r="M445" i="8" a="1"/>
  <c r="M445" i="8" s="1"/>
  <c r="L445" i="8" a="1"/>
  <c r="L445" i="8" s="1"/>
  <c r="K445" i="8" a="1"/>
  <c r="K445" i="8" s="1"/>
  <c r="J445" i="8" a="1"/>
  <c r="J445" i="8" s="1"/>
  <c r="I445" i="8" a="1"/>
  <c r="I445" i="8" s="1"/>
  <c r="H445" i="8" a="1"/>
  <c r="H445" i="8" s="1"/>
  <c r="G445" i="8" a="1"/>
  <c r="G445" i="8" s="1"/>
  <c r="F445" i="8" a="1"/>
  <c r="F445" i="8" s="1"/>
  <c r="E445" i="8" a="1"/>
  <c r="E445" i="8" s="1"/>
  <c r="AB444" i="8" a="1"/>
  <c r="AB444" i="8" s="1"/>
  <c r="AA444" i="8" a="1"/>
  <c r="AA444" i="8" s="1"/>
  <c r="Z444" i="8" a="1"/>
  <c r="Z444" i="8" s="1"/>
  <c r="Y444" i="8" a="1"/>
  <c r="Y444" i="8" s="1"/>
  <c r="X444" i="8" a="1"/>
  <c r="X444" i="8" s="1"/>
  <c r="W444" i="8" a="1"/>
  <c r="W444" i="8" s="1"/>
  <c r="V444" i="8" a="1"/>
  <c r="V444" i="8" s="1"/>
  <c r="U444" i="8" a="1"/>
  <c r="U444" i="8" s="1"/>
  <c r="T444" i="8" a="1"/>
  <c r="T444" i="8" s="1"/>
  <c r="S444" i="8" a="1"/>
  <c r="S444" i="8" s="1"/>
  <c r="R444" i="8" a="1"/>
  <c r="R444" i="8" s="1"/>
  <c r="Q444" i="8" a="1"/>
  <c r="Q444" i="8" s="1"/>
  <c r="P444" i="8" a="1"/>
  <c r="P444" i="8" s="1"/>
  <c r="O444" i="8" a="1"/>
  <c r="O444" i="8" s="1"/>
  <c r="N444" i="8" a="1"/>
  <c r="N444" i="8" s="1"/>
  <c r="M444" i="8" a="1"/>
  <c r="M444" i="8" s="1"/>
  <c r="L444" i="8" a="1"/>
  <c r="L444" i="8" s="1"/>
  <c r="K444" i="8" a="1"/>
  <c r="K444" i="8" s="1"/>
  <c r="J444" i="8" a="1"/>
  <c r="J444" i="8" s="1"/>
  <c r="I444" i="8" a="1"/>
  <c r="I444" i="8" s="1"/>
  <c r="H444" i="8" a="1"/>
  <c r="H444" i="8" s="1"/>
  <c r="G444" i="8" a="1"/>
  <c r="G444" i="8" s="1"/>
  <c r="F444" i="8" a="1"/>
  <c r="F444" i="8" s="1"/>
  <c r="E444" i="8" a="1"/>
  <c r="E444" i="8" s="1"/>
  <c r="AB443" i="8" a="1"/>
  <c r="AB443" i="8" s="1"/>
  <c r="AA443" i="8" a="1"/>
  <c r="AA443" i="8" s="1"/>
  <c r="Z443" i="8" a="1"/>
  <c r="Z443" i="8" s="1"/>
  <c r="Y443" i="8" a="1"/>
  <c r="Y443" i="8" s="1"/>
  <c r="X443" i="8" a="1"/>
  <c r="X443" i="8" s="1"/>
  <c r="W443" i="8" a="1"/>
  <c r="W443" i="8" s="1"/>
  <c r="V443" i="8" a="1"/>
  <c r="V443" i="8" s="1"/>
  <c r="U443" i="8" a="1"/>
  <c r="U443" i="8" s="1"/>
  <c r="T443" i="8" a="1"/>
  <c r="T443" i="8" s="1"/>
  <c r="S443" i="8" a="1"/>
  <c r="S443" i="8" s="1"/>
  <c r="R443" i="8" a="1"/>
  <c r="R443" i="8" s="1"/>
  <c r="Q443" i="8" a="1"/>
  <c r="Q443" i="8" s="1"/>
  <c r="P443" i="8" a="1"/>
  <c r="P443" i="8" s="1"/>
  <c r="O443" i="8" a="1"/>
  <c r="O443" i="8" s="1"/>
  <c r="N443" i="8" a="1"/>
  <c r="N443" i="8" s="1"/>
  <c r="M443" i="8" a="1"/>
  <c r="M443" i="8" s="1"/>
  <c r="L443" i="8" a="1"/>
  <c r="L443" i="8" s="1"/>
  <c r="K443" i="8" a="1"/>
  <c r="K443" i="8" s="1"/>
  <c r="J443" i="8" a="1"/>
  <c r="J443" i="8" s="1"/>
  <c r="I443" i="8" a="1"/>
  <c r="I443" i="8" s="1"/>
  <c r="H443" i="8" a="1"/>
  <c r="H443" i="8" s="1"/>
  <c r="G443" i="8" a="1"/>
  <c r="G443" i="8" s="1"/>
  <c r="F443" i="8" a="1"/>
  <c r="F443" i="8" s="1"/>
  <c r="E443" i="8" a="1"/>
  <c r="E443" i="8" s="1"/>
  <c r="AB442" i="8" a="1"/>
  <c r="AB442" i="8" s="1"/>
  <c r="AA442" i="8" a="1"/>
  <c r="AA442" i="8" s="1"/>
  <c r="Z442" i="8" a="1"/>
  <c r="Z442" i="8" s="1"/>
  <c r="Y442" i="8" a="1"/>
  <c r="Y442" i="8" s="1"/>
  <c r="X442" i="8" a="1"/>
  <c r="X442" i="8" s="1"/>
  <c r="W442" i="8" a="1"/>
  <c r="W442" i="8" s="1"/>
  <c r="V442" i="8" a="1"/>
  <c r="V442" i="8" s="1"/>
  <c r="U442" i="8" a="1"/>
  <c r="U442" i="8" s="1"/>
  <c r="T442" i="8" a="1"/>
  <c r="T442" i="8" s="1"/>
  <c r="S442" i="8" a="1"/>
  <c r="S442" i="8" s="1"/>
  <c r="R442" i="8" a="1"/>
  <c r="R442" i="8" s="1"/>
  <c r="Q442" i="8" a="1"/>
  <c r="Q442" i="8" s="1"/>
  <c r="P442" i="8" a="1"/>
  <c r="P442" i="8" s="1"/>
  <c r="O442" i="8" a="1"/>
  <c r="O442" i="8" s="1"/>
  <c r="N442" i="8" a="1"/>
  <c r="N442" i="8" s="1"/>
  <c r="M442" i="8" a="1"/>
  <c r="M442" i="8" s="1"/>
  <c r="L442" i="8" a="1"/>
  <c r="L442" i="8" s="1"/>
  <c r="K442" i="8" a="1"/>
  <c r="K442" i="8" s="1"/>
  <c r="J442" i="8" a="1"/>
  <c r="J442" i="8" s="1"/>
  <c r="I442" i="8" a="1"/>
  <c r="I442" i="8" s="1"/>
  <c r="H442" i="8" a="1"/>
  <c r="H442" i="8" s="1"/>
  <c r="G442" i="8" a="1"/>
  <c r="G442" i="8" s="1"/>
  <c r="F442" i="8" a="1"/>
  <c r="F442" i="8" s="1"/>
  <c r="E442" i="8" a="1"/>
  <c r="E442" i="8" s="1"/>
  <c r="AB441" i="8" a="1"/>
  <c r="AB441" i="8" s="1"/>
  <c r="AA441" i="8" a="1"/>
  <c r="AA441" i="8" s="1"/>
  <c r="Z441" i="8" a="1"/>
  <c r="Z441" i="8" s="1"/>
  <c r="Y441" i="8" a="1"/>
  <c r="Y441" i="8" s="1"/>
  <c r="X441" i="8" a="1"/>
  <c r="X441" i="8" s="1"/>
  <c r="W441" i="8" a="1"/>
  <c r="W441" i="8" s="1"/>
  <c r="V441" i="8" a="1"/>
  <c r="V441" i="8" s="1"/>
  <c r="U441" i="8" a="1"/>
  <c r="U441" i="8" s="1"/>
  <c r="T441" i="8" a="1"/>
  <c r="T441" i="8" s="1"/>
  <c r="S441" i="8" a="1"/>
  <c r="S441" i="8" s="1"/>
  <c r="R441" i="8" a="1"/>
  <c r="R441" i="8" s="1"/>
  <c r="Q441" i="8" a="1"/>
  <c r="Q441" i="8" s="1"/>
  <c r="P441" i="8" a="1"/>
  <c r="P441" i="8" s="1"/>
  <c r="O441" i="8" a="1"/>
  <c r="O441" i="8" s="1"/>
  <c r="N441" i="8" a="1"/>
  <c r="N441" i="8" s="1"/>
  <c r="M441" i="8" a="1"/>
  <c r="M441" i="8" s="1"/>
  <c r="L441" i="8" a="1"/>
  <c r="L441" i="8" s="1"/>
  <c r="K441" i="8" a="1"/>
  <c r="K441" i="8" s="1"/>
  <c r="J441" i="8" a="1"/>
  <c r="J441" i="8" s="1"/>
  <c r="I441" i="8" a="1"/>
  <c r="I441" i="8" s="1"/>
  <c r="H441" i="8" a="1"/>
  <c r="H441" i="8" s="1"/>
  <c r="G441" i="8" a="1"/>
  <c r="G441" i="8" s="1"/>
  <c r="F441" i="8" a="1"/>
  <c r="F441" i="8" s="1"/>
  <c r="E441" i="8" a="1"/>
  <c r="E441" i="8" s="1"/>
  <c r="AB440" i="8" a="1"/>
  <c r="AB440" i="8" s="1"/>
  <c r="AA440" i="8" a="1"/>
  <c r="AA440" i="8" s="1"/>
  <c r="Z440" i="8" a="1"/>
  <c r="Z440" i="8" s="1"/>
  <c r="Y440" i="8" a="1"/>
  <c r="Y440" i="8" s="1"/>
  <c r="X440" i="8" a="1"/>
  <c r="X440" i="8" s="1"/>
  <c r="W440" i="8" a="1"/>
  <c r="W440" i="8" s="1"/>
  <c r="V440" i="8" a="1"/>
  <c r="V440" i="8" s="1"/>
  <c r="U440" i="8" a="1"/>
  <c r="U440" i="8" s="1"/>
  <c r="T440" i="8" a="1"/>
  <c r="T440" i="8" s="1"/>
  <c r="S440" i="8" a="1"/>
  <c r="S440" i="8" s="1"/>
  <c r="R440" i="8" a="1"/>
  <c r="R440" i="8" s="1"/>
  <c r="Q440" i="8" a="1"/>
  <c r="Q440" i="8" s="1"/>
  <c r="P440" i="8" a="1"/>
  <c r="P440" i="8" s="1"/>
  <c r="O440" i="8" a="1"/>
  <c r="O440" i="8" s="1"/>
  <c r="N440" i="8" a="1"/>
  <c r="N440" i="8" s="1"/>
  <c r="M440" i="8" a="1"/>
  <c r="M440" i="8" s="1"/>
  <c r="L440" i="8" a="1"/>
  <c r="L440" i="8" s="1"/>
  <c r="K440" i="8" a="1"/>
  <c r="K440" i="8" s="1"/>
  <c r="J440" i="8" a="1"/>
  <c r="J440" i="8" s="1"/>
  <c r="I440" i="8" a="1"/>
  <c r="I440" i="8" s="1"/>
  <c r="H440" i="8" a="1"/>
  <c r="H440" i="8" s="1"/>
  <c r="G440" i="8" a="1"/>
  <c r="G440" i="8" s="1"/>
  <c r="F440" i="8" a="1"/>
  <c r="F440" i="8" s="1"/>
  <c r="E440" i="8" a="1"/>
  <c r="E440" i="8" s="1"/>
  <c r="AB439" i="8" a="1"/>
  <c r="AB439" i="8" s="1"/>
  <c r="AA439" i="8" a="1"/>
  <c r="AA439" i="8" s="1"/>
  <c r="Z439" i="8" a="1"/>
  <c r="Z439" i="8" s="1"/>
  <c r="Y439" i="8" a="1"/>
  <c r="Y439" i="8" s="1"/>
  <c r="X439" i="8" a="1"/>
  <c r="X439" i="8" s="1"/>
  <c r="W439" i="8" a="1"/>
  <c r="W439" i="8" s="1"/>
  <c r="V439" i="8" a="1"/>
  <c r="V439" i="8" s="1"/>
  <c r="U439" i="8" a="1"/>
  <c r="U439" i="8" s="1"/>
  <c r="T439" i="8" a="1"/>
  <c r="T439" i="8" s="1"/>
  <c r="S439" i="8" a="1"/>
  <c r="S439" i="8" s="1"/>
  <c r="R439" i="8" a="1"/>
  <c r="R439" i="8" s="1"/>
  <c r="Q439" i="8" a="1"/>
  <c r="Q439" i="8" s="1"/>
  <c r="P439" i="8" a="1"/>
  <c r="P439" i="8" s="1"/>
  <c r="O439" i="8" a="1"/>
  <c r="O439" i="8" s="1"/>
  <c r="N439" i="8" a="1"/>
  <c r="N439" i="8" s="1"/>
  <c r="M439" i="8" a="1"/>
  <c r="M439" i="8" s="1"/>
  <c r="L439" i="8" a="1"/>
  <c r="L439" i="8" s="1"/>
  <c r="K439" i="8" a="1"/>
  <c r="K439" i="8" s="1"/>
  <c r="J439" i="8" a="1"/>
  <c r="J439" i="8" s="1"/>
  <c r="I439" i="8" a="1"/>
  <c r="I439" i="8" s="1"/>
  <c r="H439" i="8" a="1"/>
  <c r="H439" i="8" s="1"/>
  <c r="G439" i="8" a="1"/>
  <c r="G439" i="8" s="1"/>
  <c r="F439" i="8" a="1"/>
  <c r="F439" i="8" s="1"/>
  <c r="E439" i="8" a="1"/>
  <c r="E439" i="8" s="1"/>
  <c r="AB438" i="8" a="1"/>
  <c r="AB438" i="8" s="1"/>
  <c r="AA438" i="8" a="1"/>
  <c r="AA438" i="8" s="1"/>
  <c r="Z438" i="8" a="1"/>
  <c r="Z438" i="8" s="1"/>
  <c r="Y438" i="8" a="1"/>
  <c r="Y438" i="8" s="1"/>
  <c r="X438" i="8" a="1"/>
  <c r="X438" i="8" s="1"/>
  <c r="W438" i="8" a="1"/>
  <c r="W438" i="8" s="1"/>
  <c r="V438" i="8" a="1"/>
  <c r="V438" i="8" s="1"/>
  <c r="U438" i="8" a="1"/>
  <c r="U438" i="8" s="1"/>
  <c r="T438" i="8" a="1"/>
  <c r="T438" i="8" s="1"/>
  <c r="S438" i="8" a="1"/>
  <c r="S438" i="8" s="1"/>
  <c r="R438" i="8" a="1"/>
  <c r="R438" i="8" s="1"/>
  <c r="Q438" i="8" a="1"/>
  <c r="Q438" i="8" s="1"/>
  <c r="P438" i="8" a="1"/>
  <c r="P438" i="8" s="1"/>
  <c r="O438" i="8" a="1"/>
  <c r="O438" i="8" s="1"/>
  <c r="N438" i="8" a="1"/>
  <c r="N438" i="8" s="1"/>
  <c r="M438" i="8" a="1"/>
  <c r="M438" i="8" s="1"/>
  <c r="L438" i="8" a="1"/>
  <c r="L438" i="8" s="1"/>
  <c r="K438" i="8" a="1"/>
  <c r="K438" i="8" s="1"/>
  <c r="J438" i="8" a="1"/>
  <c r="J438" i="8" s="1"/>
  <c r="I438" i="8" a="1"/>
  <c r="I438" i="8" s="1"/>
  <c r="H438" i="8" a="1"/>
  <c r="H438" i="8" s="1"/>
  <c r="G438" i="8" a="1"/>
  <c r="G438" i="8" s="1"/>
  <c r="F438" i="8" a="1"/>
  <c r="F438" i="8" s="1"/>
  <c r="E438" i="8" a="1"/>
  <c r="E438" i="8" s="1"/>
  <c r="AB437" i="8" a="1"/>
  <c r="AB437" i="8" s="1"/>
  <c r="AA437" i="8" a="1"/>
  <c r="AA437" i="8" s="1"/>
  <c r="Z437" i="8" a="1"/>
  <c r="Z437" i="8" s="1"/>
  <c r="Y437" i="8" a="1"/>
  <c r="Y437" i="8" s="1"/>
  <c r="X437" i="8" a="1"/>
  <c r="X437" i="8" s="1"/>
  <c r="W437" i="8" a="1"/>
  <c r="W437" i="8" s="1"/>
  <c r="V437" i="8" a="1"/>
  <c r="V437" i="8" s="1"/>
  <c r="U437" i="8" a="1"/>
  <c r="U437" i="8" s="1"/>
  <c r="T437" i="8" a="1"/>
  <c r="T437" i="8" s="1"/>
  <c r="S437" i="8" a="1"/>
  <c r="S437" i="8" s="1"/>
  <c r="R437" i="8" a="1"/>
  <c r="R437" i="8" s="1"/>
  <c r="Q437" i="8" a="1"/>
  <c r="Q437" i="8" s="1"/>
  <c r="P437" i="8" a="1"/>
  <c r="P437" i="8" s="1"/>
  <c r="O437" i="8" a="1"/>
  <c r="O437" i="8" s="1"/>
  <c r="N437" i="8" a="1"/>
  <c r="N437" i="8" s="1"/>
  <c r="M437" i="8" a="1"/>
  <c r="M437" i="8" s="1"/>
  <c r="L437" i="8" a="1"/>
  <c r="L437" i="8" s="1"/>
  <c r="K437" i="8" a="1"/>
  <c r="K437" i="8" s="1"/>
  <c r="J437" i="8" a="1"/>
  <c r="J437" i="8" s="1"/>
  <c r="I437" i="8" a="1"/>
  <c r="I437" i="8" s="1"/>
  <c r="H437" i="8" a="1"/>
  <c r="H437" i="8" s="1"/>
  <c r="G437" i="8" a="1"/>
  <c r="G437" i="8" s="1"/>
  <c r="F437" i="8" a="1"/>
  <c r="F437" i="8" s="1"/>
  <c r="E437" i="8" a="1"/>
  <c r="E437" i="8" s="1"/>
  <c r="AB436" i="8" a="1"/>
  <c r="AB436" i="8" s="1"/>
  <c r="AA436" i="8" a="1"/>
  <c r="AA436" i="8" s="1"/>
  <c r="Z436" i="8" a="1"/>
  <c r="Z436" i="8" s="1"/>
  <c r="Y436" i="8" a="1"/>
  <c r="Y436" i="8" s="1"/>
  <c r="X436" i="8" a="1"/>
  <c r="X436" i="8" s="1"/>
  <c r="W436" i="8" a="1"/>
  <c r="W436" i="8" s="1"/>
  <c r="V436" i="8" a="1"/>
  <c r="V436" i="8" s="1"/>
  <c r="U436" i="8" a="1"/>
  <c r="U436" i="8" s="1"/>
  <c r="T436" i="8" a="1"/>
  <c r="T436" i="8" s="1"/>
  <c r="S436" i="8" a="1"/>
  <c r="S436" i="8" s="1"/>
  <c r="R436" i="8" a="1"/>
  <c r="R436" i="8" s="1"/>
  <c r="Q436" i="8" a="1"/>
  <c r="Q436" i="8" s="1"/>
  <c r="P436" i="8" a="1"/>
  <c r="P436" i="8" s="1"/>
  <c r="O436" i="8" a="1"/>
  <c r="O436" i="8" s="1"/>
  <c r="N436" i="8" a="1"/>
  <c r="N436" i="8" s="1"/>
  <c r="M436" i="8" a="1"/>
  <c r="M436" i="8" s="1"/>
  <c r="L436" i="8" a="1"/>
  <c r="L436" i="8" s="1"/>
  <c r="K436" i="8" a="1"/>
  <c r="K436" i="8" s="1"/>
  <c r="J436" i="8" a="1"/>
  <c r="J436" i="8" s="1"/>
  <c r="I436" i="8" a="1"/>
  <c r="I436" i="8" s="1"/>
  <c r="H436" i="8" a="1"/>
  <c r="H436" i="8" s="1"/>
  <c r="G436" i="8" a="1"/>
  <c r="G436" i="8" s="1"/>
  <c r="F436" i="8" a="1"/>
  <c r="F436" i="8" s="1"/>
  <c r="E436" i="8" a="1"/>
  <c r="E436" i="8" s="1"/>
  <c r="AB435" i="8" a="1"/>
  <c r="AB435" i="8" s="1"/>
  <c r="AA435" i="8" a="1"/>
  <c r="AA435" i="8" s="1"/>
  <c r="Z435" i="8" a="1"/>
  <c r="Z435" i="8" s="1"/>
  <c r="Y435" i="8" a="1"/>
  <c r="Y435" i="8" s="1"/>
  <c r="X435" i="8" a="1"/>
  <c r="X435" i="8" s="1"/>
  <c r="W435" i="8" a="1"/>
  <c r="W435" i="8" s="1"/>
  <c r="V435" i="8" a="1"/>
  <c r="V435" i="8" s="1"/>
  <c r="U435" i="8" a="1"/>
  <c r="U435" i="8" s="1"/>
  <c r="T435" i="8" a="1"/>
  <c r="T435" i="8" s="1"/>
  <c r="S435" i="8" a="1"/>
  <c r="S435" i="8" s="1"/>
  <c r="R435" i="8" a="1"/>
  <c r="R435" i="8" s="1"/>
  <c r="Q435" i="8" a="1"/>
  <c r="Q435" i="8" s="1"/>
  <c r="P435" i="8" a="1"/>
  <c r="P435" i="8" s="1"/>
  <c r="O435" i="8" a="1"/>
  <c r="O435" i="8" s="1"/>
  <c r="N435" i="8" a="1"/>
  <c r="N435" i="8" s="1"/>
  <c r="M435" i="8" a="1"/>
  <c r="M435" i="8" s="1"/>
  <c r="L435" i="8" a="1"/>
  <c r="L435" i="8" s="1"/>
  <c r="K435" i="8" a="1"/>
  <c r="K435" i="8" s="1"/>
  <c r="J435" i="8" a="1"/>
  <c r="J435" i="8" s="1"/>
  <c r="I435" i="8" a="1"/>
  <c r="I435" i="8" s="1"/>
  <c r="H435" i="8" a="1"/>
  <c r="H435" i="8" s="1"/>
  <c r="G435" i="8" a="1"/>
  <c r="G435" i="8" s="1"/>
  <c r="F435" i="8" a="1"/>
  <c r="F435" i="8" s="1"/>
  <c r="E435" i="8" a="1"/>
  <c r="E435" i="8" s="1"/>
  <c r="AB434" i="8" a="1"/>
  <c r="AB434" i="8" s="1"/>
  <c r="AA434" i="8" a="1"/>
  <c r="AA434" i="8" s="1"/>
  <c r="Z434" i="8" a="1"/>
  <c r="Z434" i="8" s="1"/>
  <c r="Y434" i="8" a="1"/>
  <c r="Y434" i="8" s="1"/>
  <c r="X434" i="8" a="1"/>
  <c r="X434" i="8" s="1"/>
  <c r="W434" i="8" a="1"/>
  <c r="W434" i="8" s="1"/>
  <c r="V434" i="8" a="1"/>
  <c r="V434" i="8" s="1"/>
  <c r="U434" i="8" a="1"/>
  <c r="U434" i="8" s="1"/>
  <c r="T434" i="8" a="1"/>
  <c r="T434" i="8" s="1"/>
  <c r="S434" i="8" a="1"/>
  <c r="S434" i="8" s="1"/>
  <c r="R434" i="8" a="1"/>
  <c r="R434" i="8" s="1"/>
  <c r="Q434" i="8" a="1"/>
  <c r="Q434" i="8" s="1"/>
  <c r="P434" i="8" a="1"/>
  <c r="P434" i="8" s="1"/>
  <c r="O434" i="8" a="1"/>
  <c r="O434" i="8" s="1"/>
  <c r="N434" i="8" a="1"/>
  <c r="N434" i="8" s="1"/>
  <c r="M434" i="8" a="1"/>
  <c r="M434" i="8" s="1"/>
  <c r="L434" i="8" a="1"/>
  <c r="L434" i="8" s="1"/>
  <c r="K434" i="8" a="1"/>
  <c r="K434" i="8" s="1"/>
  <c r="J434" i="8" a="1"/>
  <c r="J434" i="8" s="1"/>
  <c r="I434" i="8" a="1"/>
  <c r="I434" i="8" s="1"/>
  <c r="H434" i="8" a="1"/>
  <c r="H434" i="8" s="1"/>
  <c r="G434" i="8" a="1"/>
  <c r="G434" i="8" s="1"/>
  <c r="F434" i="8" a="1"/>
  <c r="F434" i="8" s="1"/>
  <c r="E434" i="8" a="1"/>
  <c r="E434" i="8" s="1"/>
  <c r="AB433" i="8" a="1"/>
  <c r="AB433" i="8" s="1"/>
  <c r="AA433" i="8" a="1"/>
  <c r="AA433" i="8" s="1"/>
  <c r="Z433" i="8" a="1"/>
  <c r="Z433" i="8" s="1"/>
  <c r="Y433" i="8" a="1"/>
  <c r="Y433" i="8" s="1"/>
  <c r="X433" i="8" a="1"/>
  <c r="X433" i="8" s="1"/>
  <c r="W433" i="8" a="1"/>
  <c r="W433" i="8" s="1"/>
  <c r="V433" i="8" a="1"/>
  <c r="V433" i="8" s="1"/>
  <c r="U433" i="8" a="1"/>
  <c r="U433" i="8" s="1"/>
  <c r="T433" i="8" a="1"/>
  <c r="T433" i="8" s="1"/>
  <c r="S433" i="8" a="1"/>
  <c r="S433" i="8" s="1"/>
  <c r="R433" i="8" a="1"/>
  <c r="R433" i="8" s="1"/>
  <c r="Q433" i="8" a="1"/>
  <c r="Q433" i="8" s="1"/>
  <c r="P433" i="8" a="1"/>
  <c r="P433" i="8" s="1"/>
  <c r="O433" i="8" a="1"/>
  <c r="O433" i="8" s="1"/>
  <c r="N433" i="8" a="1"/>
  <c r="N433" i="8" s="1"/>
  <c r="M433" i="8" a="1"/>
  <c r="M433" i="8" s="1"/>
  <c r="L433" i="8" a="1"/>
  <c r="L433" i="8" s="1"/>
  <c r="K433" i="8" a="1"/>
  <c r="K433" i="8" s="1"/>
  <c r="J433" i="8" a="1"/>
  <c r="J433" i="8" s="1"/>
  <c r="I433" i="8" a="1"/>
  <c r="I433" i="8" s="1"/>
  <c r="H433" i="8" a="1"/>
  <c r="H433" i="8" s="1"/>
  <c r="G433" i="8" a="1"/>
  <c r="G433" i="8" s="1"/>
  <c r="F433" i="8" a="1"/>
  <c r="F433" i="8" s="1"/>
  <c r="E433" i="8" a="1"/>
  <c r="E433" i="8" s="1"/>
  <c r="AB432" i="8" a="1"/>
  <c r="AB432" i="8" s="1"/>
  <c r="AA432" i="8" a="1"/>
  <c r="AA432" i="8" s="1"/>
  <c r="Z432" i="8" a="1"/>
  <c r="Z432" i="8" s="1"/>
  <c r="Y432" i="8" a="1"/>
  <c r="Y432" i="8" s="1"/>
  <c r="X432" i="8" a="1"/>
  <c r="X432" i="8" s="1"/>
  <c r="W432" i="8" a="1"/>
  <c r="W432" i="8" s="1"/>
  <c r="V432" i="8" a="1"/>
  <c r="V432" i="8" s="1"/>
  <c r="U432" i="8" a="1"/>
  <c r="U432" i="8" s="1"/>
  <c r="T432" i="8" a="1"/>
  <c r="T432" i="8" s="1"/>
  <c r="S432" i="8" a="1"/>
  <c r="S432" i="8" s="1"/>
  <c r="R432" i="8" a="1"/>
  <c r="R432" i="8" s="1"/>
  <c r="Q432" i="8" a="1"/>
  <c r="Q432" i="8" s="1"/>
  <c r="P432" i="8" a="1"/>
  <c r="P432" i="8" s="1"/>
  <c r="O432" i="8" a="1"/>
  <c r="O432" i="8" s="1"/>
  <c r="N432" i="8" a="1"/>
  <c r="N432" i="8" s="1"/>
  <c r="M432" i="8" a="1"/>
  <c r="M432" i="8" s="1"/>
  <c r="L432" i="8" a="1"/>
  <c r="L432" i="8" s="1"/>
  <c r="K432" i="8" a="1"/>
  <c r="K432" i="8" s="1"/>
  <c r="J432" i="8" a="1"/>
  <c r="J432" i="8" s="1"/>
  <c r="I432" i="8" a="1"/>
  <c r="I432" i="8" s="1"/>
  <c r="H432" i="8" a="1"/>
  <c r="H432" i="8" s="1"/>
  <c r="G432" i="8" a="1"/>
  <c r="G432" i="8" s="1"/>
  <c r="F432" i="8" a="1"/>
  <c r="F432" i="8" s="1"/>
  <c r="E432" i="8" a="1"/>
  <c r="E432" i="8" s="1"/>
  <c r="AB431" i="8" a="1"/>
  <c r="AB431" i="8" s="1"/>
  <c r="AA431" i="8" a="1"/>
  <c r="AA431" i="8" s="1"/>
  <c r="Z431" i="8" a="1"/>
  <c r="Z431" i="8" s="1"/>
  <c r="Y431" i="8" a="1"/>
  <c r="Y431" i="8" s="1"/>
  <c r="X431" i="8" a="1"/>
  <c r="X431" i="8" s="1"/>
  <c r="W431" i="8" a="1"/>
  <c r="W431" i="8" s="1"/>
  <c r="V431" i="8" a="1"/>
  <c r="V431" i="8" s="1"/>
  <c r="U431" i="8" a="1"/>
  <c r="U431" i="8" s="1"/>
  <c r="T431" i="8" a="1"/>
  <c r="T431" i="8" s="1"/>
  <c r="S431" i="8" a="1"/>
  <c r="S431" i="8" s="1"/>
  <c r="R431" i="8" a="1"/>
  <c r="R431" i="8" s="1"/>
  <c r="Q431" i="8" a="1"/>
  <c r="Q431" i="8" s="1"/>
  <c r="P431" i="8" a="1"/>
  <c r="P431" i="8" s="1"/>
  <c r="O431" i="8" a="1"/>
  <c r="O431" i="8" s="1"/>
  <c r="N431" i="8" a="1"/>
  <c r="N431" i="8" s="1"/>
  <c r="M431" i="8" a="1"/>
  <c r="M431" i="8" s="1"/>
  <c r="L431" i="8" a="1"/>
  <c r="L431" i="8" s="1"/>
  <c r="K431" i="8" a="1"/>
  <c r="K431" i="8" s="1"/>
  <c r="J431" i="8" a="1"/>
  <c r="J431" i="8" s="1"/>
  <c r="I431" i="8" a="1"/>
  <c r="I431" i="8" s="1"/>
  <c r="H431" i="8" a="1"/>
  <c r="H431" i="8" s="1"/>
  <c r="G431" i="8" a="1"/>
  <c r="G431" i="8" s="1"/>
  <c r="F431" i="8" a="1"/>
  <c r="F431" i="8" s="1"/>
  <c r="E431" i="8" a="1"/>
  <c r="E431" i="8" s="1"/>
  <c r="AB430" i="8" a="1"/>
  <c r="AB430" i="8" s="1"/>
  <c r="AA430" i="8" a="1"/>
  <c r="AA430" i="8" s="1"/>
  <c r="Z430" i="8" a="1"/>
  <c r="Z430" i="8" s="1"/>
  <c r="Y430" i="8" a="1"/>
  <c r="Y430" i="8" s="1"/>
  <c r="X430" i="8" a="1"/>
  <c r="X430" i="8" s="1"/>
  <c r="W430" i="8" a="1"/>
  <c r="W430" i="8" s="1"/>
  <c r="V430" i="8" a="1"/>
  <c r="V430" i="8" s="1"/>
  <c r="U430" i="8" a="1"/>
  <c r="U430" i="8" s="1"/>
  <c r="T430" i="8" a="1"/>
  <c r="T430" i="8" s="1"/>
  <c r="S430" i="8" a="1"/>
  <c r="S430" i="8" s="1"/>
  <c r="R430" i="8" a="1"/>
  <c r="R430" i="8" s="1"/>
  <c r="Q430" i="8" a="1"/>
  <c r="Q430" i="8" s="1"/>
  <c r="P430" i="8" a="1"/>
  <c r="P430" i="8" s="1"/>
  <c r="O430" i="8" a="1"/>
  <c r="O430" i="8" s="1"/>
  <c r="N430" i="8" a="1"/>
  <c r="N430" i="8" s="1"/>
  <c r="M430" i="8" a="1"/>
  <c r="M430" i="8" s="1"/>
  <c r="L430" i="8" a="1"/>
  <c r="L430" i="8" s="1"/>
  <c r="K430" i="8" a="1"/>
  <c r="K430" i="8" s="1"/>
  <c r="J430" i="8" a="1"/>
  <c r="J430" i="8" s="1"/>
  <c r="I430" i="8" a="1"/>
  <c r="I430" i="8" s="1"/>
  <c r="H430" i="8" a="1"/>
  <c r="H430" i="8" s="1"/>
  <c r="G430" i="8" a="1"/>
  <c r="G430" i="8" s="1"/>
  <c r="F430" i="8" a="1"/>
  <c r="F430" i="8" s="1"/>
  <c r="E430" i="8" a="1"/>
  <c r="E430" i="8" s="1"/>
  <c r="AB429" i="8" a="1"/>
  <c r="AB429" i="8" s="1"/>
  <c r="AA429" i="8" a="1"/>
  <c r="AA429" i="8" s="1"/>
  <c r="Z429" i="8" a="1"/>
  <c r="Z429" i="8" s="1"/>
  <c r="Y429" i="8" a="1"/>
  <c r="Y429" i="8" s="1"/>
  <c r="X429" i="8" a="1"/>
  <c r="X429" i="8" s="1"/>
  <c r="W429" i="8" a="1"/>
  <c r="W429" i="8" s="1"/>
  <c r="V429" i="8" a="1"/>
  <c r="V429" i="8" s="1"/>
  <c r="U429" i="8" a="1"/>
  <c r="U429" i="8" s="1"/>
  <c r="T429" i="8" a="1"/>
  <c r="T429" i="8" s="1"/>
  <c r="S429" i="8" a="1"/>
  <c r="S429" i="8" s="1"/>
  <c r="R429" i="8" a="1"/>
  <c r="R429" i="8" s="1"/>
  <c r="Q429" i="8" a="1"/>
  <c r="Q429" i="8" s="1"/>
  <c r="P429" i="8" a="1"/>
  <c r="P429" i="8" s="1"/>
  <c r="O429" i="8" a="1"/>
  <c r="O429" i="8" s="1"/>
  <c r="N429" i="8" a="1"/>
  <c r="N429" i="8" s="1"/>
  <c r="M429" i="8" a="1"/>
  <c r="M429" i="8" s="1"/>
  <c r="L429" i="8" a="1"/>
  <c r="L429" i="8" s="1"/>
  <c r="K429" i="8" a="1"/>
  <c r="K429" i="8" s="1"/>
  <c r="J429" i="8" a="1"/>
  <c r="J429" i="8" s="1"/>
  <c r="I429" i="8" a="1"/>
  <c r="I429" i="8" s="1"/>
  <c r="H429" i="8" a="1"/>
  <c r="H429" i="8" s="1"/>
  <c r="G429" i="8" a="1"/>
  <c r="G429" i="8" s="1"/>
  <c r="F429" i="8" a="1"/>
  <c r="F429" i="8" s="1"/>
  <c r="E429" i="8" a="1"/>
  <c r="E429" i="8" s="1"/>
  <c r="AB428" i="8" a="1"/>
  <c r="AB428" i="8" s="1"/>
  <c r="AA428" i="8" a="1"/>
  <c r="AA428" i="8" s="1"/>
  <c r="Z428" i="8" a="1"/>
  <c r="Z428" i="8" s="1"/>
  <c r="Y428" i="8" a="1"/>
  <c r="Y428" i="8" s="1"/>
  <c r="X428" i="8" a="1"/>
  <c r="X428" i="8" s="1"/>
  <c r="W428" i="8" a="1"/>
  <c r="W428" i="8" s="1"/>
  <c r="V428" i="8" a="1"/>
  <c r="V428" i="8" s="1"/>
  <c r="U428" i="8" a="1"/>
  <c r="U428" i="8" s="1"/>
  <c r="T428" i="8" a="1"/>
  <c r="T428" i="8" s="1"/>
  <c r="S428" i="8" a="1"/>
  <c r="S428" i="8" s="1"/>
  <c r="R428" i="8" a="1"/>
  <c r="R428" i="8" s="1"/>
  <c r="Q428" i="8" a="1"/>
  <c r="Q428" i="8" s="1"/>
  <c r="P428" i="8" a="1"/>
  <c r="P428" i="8" s="1"/>
  <c r="O428" i="8" a="1"/>
  <c r="O428" i="8" s="1"/>
  <c r="N428" i="8" a="1"/>
  <c r="N428" i="8" s="1"/>
  <c r="M428" i="8" a="1"/>
  <c r="M428" i="8" s="1"/>
  <c r="L428" i="8" a="1"/>
  <c r="L428" i="8" s="1"/>
  <c r="K428" i="8" a="1"/>
  <c r="K428" i="8" s="1"/>
  <c r="J428" i="8" a="1"/>
  <c r="J428" i="8" s="1"/>
  <c r="I428" i="8" a="1"/>
  <c r="I428" i="8" s="1"/>
  <c r="H428" i="8" a="1"/>
  <c r="H428" i="8" s="1"/>
  <c r="G428" i="8" a="1"/>
  <c r="G428" i="8" s="1"/>
  <c r="F428" i="8" a="1"/>
  <c r="F428" i="8" s="1"/>
  <c r="E428" i="8" a="1"/>
  <c r="E428" i="8" s="1"/>
  <c r="AB427" i="8" a="1"/>
  <c r="AB427" i="8" s="1"/>
  <c r="AA427" i="8" a="1"/>
  <c r="AA427" i="8" s="1"/>
  <c r="Z427" i="8" a="1"/>
  <c r="Z427" i="8" s="1"/>
  <c r="Y427" i="8" a="1"/>
  <c r="Y427" i="8" s="1"/>
  <c r="X427" i="8" a="1"/>
  <c r="X427" i="8" s="1"/>
  <c r="W427" i="8" a="1"/>
  <c r="W427" i="8" s="1"/>
  <c r="V427" i="8" a="1"/>
  <c r="V427" i="8" s="1"/>
  <c r="U427" i="8" a="1"/>
  <c r="U427" i="8" s="1"/>
  <c r="T427" i="8" a="1"/>
  <c r="T427" i="8" s="1"/>
  <c r="S427" i="8" a="1"/>
  <c r="S427" i="8" s="1"/>
  <c r="R427" i="8" a="1"/>
  <c r="R427" i="8" s="1"/>
  <c r="Q427" i="8" a="1"/>
  <c r="Q427" i="8" s="1"/>
  <c r="P427" i="8" a="1"/>
  <c r="P427" i="8" s="1"/>
  <c r="O427" i="8" a="1"/>
  <c r="O427" i="8" s="1"/>
  <c r="N427" i="8" a="1"/>
  <c r="N427" i="8" s="1"/>
  <c r="M427" i="8" a="1"/>
  <c r="M427" i="8" s="1"/>
  <c r="L427" i="8" a="1"/>
  <c r="L427" i="8" s="1"/>
  <c r="K427" i="8" a="1"/>
  <c r="K427" i="8" s="1"/>
  <c r="J427" i="8" a="1"/>
  <c r="J427" i="8" s="1"/>
  <c r="I427" i="8" a="1"/>
  <c r="I427" i="8" s="1"/>
  <c r="H427" i="8" a="1"/>
  <c r="H427" i="8" s="1"/>
  <c r="G427" i="8" a="1"/>
  <c r="G427" i="8" s="1"/>
  <c r="F427" i="8" a="1"/>
  <c r="F427" i="8" s="1"/>
  <c r="E427" i="8" a="1"/>
  <c r="E427" i="8" s="1"/>
  <c r="AB426" i="8" a="1"/>
  <c r="AB426" i="8" s="1"/>
  <c r="AA426" i="8" a="1"/>
  <c r="AA426" i="8" s="1"/>
  <c r="Z426" i="8" a="1"/>
  <c r="Z426" i="8" s="1"/>
  <c r="Y426" i="8" a="1"/>
  <c r="Y426" i="8" s="1"/>
  <c r="X426" i="8" a="1"/>
  <c r="X426" i="8" s="1"/>
  <c r="W426" i="8" a="1"/>
  <c r="W426" i="8" s="1"/>
  <c r="V426" i="8" a="1"/>
  <c r="V426" i="8" s="1"/>
  <c r="U426" i="8" a="1"/>
  <c r="U426" i="8" s="1"/>
  <c r="T426" i="8" a="1"/>
  <c r="T426" i="8" s="1"/>
  <c r="S426" i="8" a="1"/>
  <c r="S426" i="8" s="1"/>
  <c r="R426" i="8" a="1"/>
  <c r="R426" i="8" s="1"/>
  <c r="Q426" i="8" a="1"/>
  <c r="Q426" i="8" s="1"/>
  <c r="P426" i="8" a="1"/>
  <c r="P426" i="8" s="1"/>
  <c r="O426" i="8" a="1"/>
  <c r="O426" i="8" s="1"/>
  <c r="N426" i="8" a="1"/>
  <c r="N426" i="8" s="1"/>
  <c r="M426" i="8" a="1"/>
  <c r="M426" i="8" s="1"/>
  <c r="L426" i="8" a="1"/>
  <c r="L426" i="8" s="1"/>
  <c r="K426" i="8" a="1"/>
  <c r="K426" i="8" s="1"/>
  <c r="J426" i="8" a="1"/>
  <c r="J426" i="8" s="1"/>
  <c r="I426" i="8" a="1"/>
  <c r="I426" i="8" s="1"/>
  <c r="H426" i="8" a="1"/>
  <c r="H426" i="8" s="1"/>
  <c r="G426" i="8" a="1"/>
  <c r="G426" i="8" s="1"/>
  <c r="F426" i="8" a="1"/>
  <c r="F426" i="8" s="1"/>
  <c r="E426" i="8" a="1"/>
  <c r="E426" i="8" s="1"/>
  <c r="AB425" i="8" a="1"/>
  <c r="AB425" i="8" s="1"/>
  <c r="AA425" i="8" a="1"/>
  <c r="AA425" i="8" s="1"/>
  <c r="Z425" i="8" a="1"/>
  <c r="Z425" i="8" s="1"/>
  <c r="Y425" i="8" a="1"/>
  <c r="Y425" i="8" s="1"/>
  <c r="X425" i="8" a="1"/>
  <c r="X425" i="8" s="1"/>
  <c r="W425" i="8" a="1"/>
  <c r="W425" i="8" s="1"/>
  <c r="V425" i="8" a="1"/>
  <c r="V425" i="8" s="1"/>
  <c r="U425" i="8" a="1"/>
  <c r="U425" i="8" s="1"/>
  <c r="T425" i="8" a="1"/>
  <c r="T425" i="8" s="1"/>
  <c r="S425" i="8" a="1"/>
  <c r="S425" i="8" s="1"/>
  <c r="R425" i="8" a="1"/>
  <c r="R425" i="8" s="1"/>
  <c r="Q425" i="8" a="1"/>
  <c r="Q425" i="8" s="1"/>
  <c r="P425" i="8" a="1"/>
  <c r="P425" i="8" s="1"/>
  <c r="O425" i="8" a="1"/>
  <c r="O425" i="8" s="1"/>
  <c r="N425" i="8" a="1"/>
  <c r="N425" i="8" s="1"/>
  <c r="M425" i="8" a="1"/>
  <c r="M425" i="8" s="1"/>
  <c r="L425" i="8" a="1"/>
  <c r="L425" i="8" s="1"/>
  <c r="K425" i="8" a="1"/>
  <c r="K425" i="8" s="1"/>
  <c r="J425" i="8" a="1"/>
  <c r="J425" i="8" s="1"/>
  <c r="I425" i="8" a="1"/>
  <c r="I425" i="8" s="1"/>
  <c r="H425" i="8" a="1"/>
  <c r="H425" i="8" s="1"/>
  <c r="G425" i="8" a="1"/>
  <c r="G425" i="8" s="1"/>
  <c r="F425" i="8" a="1"/>
  <c r="F425" i="8" s="1"/>
  <c r="E425" i="8" a="1"/>
  <c r="E425" i="8" s="1"/>
  <c r="AB424" i="8" a="1"/>
  <c r="AB424" i="8" s="1"/>
  <c r="AA424" i="8" a="1"/>
  <c r="AA424" i="8" s="1"/>
  <c r="Z424" i="8" a="1"/>
  <c r="Z424" i="8" s="1"/>
  <c r="Y424" i="8" a="1"/>
  <c r="Y424" i="8" s="1"/>
  <c r="X424" i="8" a="1"/>
  <c r="X424" i="8" s="1"/>
  <c r="W424" i="8" a="1"/>
  <c r="W424" i="8" s="1"/>
  <c r="V424" i="8" a="1"/>
  <c r="V424" i="8" s="1"/>
  <c r="U424" i="8" a="1"/>
  <c r="U424" i="8" s="1"/>
  <c r="T424" i="8" a="1"/>
  <c r="T424" i="8" s="1"/>
  <c r="S424" i="8" a="1"/>
  <c r="S424" i="8" s="1"/>
  <c r="R424" i="8" a="1"/>
  <c r="R424" i="8" s="1"/>
  <c r="Q424" i="8" a="1"/>
  <c r="Q424" i="8" s="1"/>
  <c r="P424" i="8" a="1"/>
  <c r="P424" i="8" s="1"/>
  <c r="O424" i="8" a="1"/>
  <c r="O424" i="8" s="1"/>
  <c r="N424" i="8" a="1"/>
  <c r="N424" i="8" s="1"/>
  <c r="M424" i="8" a="1"/>
  <c r="M424" i="8" s="1"/>
  <c r="L424" i="8" a="1"/>
  <c r="L424" i="8" s="1"/>
  <c r="K424" i="8" a="1"/>
  <c r="K424" i="8" s="1"/>
  <c r="J424" i="8" a="1"/>
  <c r="J424" i="8" s="1"/>
  <c r="I424" i="8" a="1"/>
  <c r="I424" i="8" s="1"/>
  <c r="H424" i="8" a="1"/>
  <c r="H424" i="8" s="1"/>
  <c r="G424" i="8" a="1"/>
  <c r="G424" i="8" s="1"/>
  <c r="F424" i="8" a="1"/>
  <c r="F424" i="8" s="1"/>
  <c r="E424" i="8" a="1"/>
  <c r="E424" i="8" s="1"/>
  <c r="AB423" i="8" a="1"/>
  <c r="AB423" i="8" s="1"/>
  <c r="AA423" i="8" a="1"/>
  <c r="AA423" i="8" s="1"/>
  <c r="Z423" i="8" a="1"/>
  <c r="Z423" i="8" s="1"/>
  <c r="Y423" i="8" a="1"/>
  <c r="Y423" i="8" s="1"/>
  <c r="X423" i="8" a="1"/>
  <c r="X423" i="8" s="1"/>
  <c r="W423" i="8" a="1"/>
  <c r="W423" i="8" s="1"/>
  <c r="V423" i="8" a="1"/>
  <c r="V423" i="8" s="1"/>
  <c r="U423" i="8" a="1"/>
  <c r="U423" i="8" s="1"/>
  <c r="T423" i="8" a="1"/>
  <c r="T423" i="8" s="1"/>
  <c r="S423" i="8" a="1"/>
  <c r="S423" i="8" s="1"/>
  <c r="R423" i="8" a="1"/>
  <c r="R423" i="8" s="1"/>
  <c r="Q423" i="8" a="1"/>
  <c r="Q423" i="8" s="1"/>
  <c r="P423" i="8" a="1"/>
  <c r="P423" i="8" s="1"/>
  <c r="O423" i="8" a="1"/>
  <c r="O423" i="8" s="1"/>
  <c r="N423" i="8" a="1"/>
  <c r="N423" i="8" s="1"/>
  <c r="M423" i="8" a="1"/>
  <c r="M423" i="8" s="1"/>
  <c r="L423" i="8" a="1"/>
  <c r="L423" i="8" s="1"/>
  <c r="K423" i="8" a="1"/>
  <c r="K423" i="8" s="1"/>
  <c r="J423" i="8" a="1"/>
  <c r="J423" i="8" s="1"/>
  <c r="I423" i="8" a="1"/>
  <c r="I423" i="8" s="1"/>
  <c r="H423" i="8" a="1"/>
  <c r="H423" i="8" s="1"/>
  <c r="G423" i="8" a="1"/>
  <c r="G423" i="8" s="1"/>
  <c r="F423" i="8" a="1"/>
  <c r="F423" i="8" s="1"/>
  <c r="E423" i="8" a="1"/>
  <c r="E423" i="8" s="1"/>
  <c r="AB422" i="8" a="1"/>
  <c r="AB422" i="8" s="1"/>
  <c r="AA422" i="8" a="1"/>
  <c r="AA422" i="8" s="1"/>
  <c r="Z422" i="8" a="1"/>
  <c r="Z422" i="8" s="1"/>
  <c r="Y422" i="8" a="1"/>
  <c r="Y422" i="8" s="1"/>
  <c r="X422" i="8" a="1"/>
  <c r="X422" i="8" s="1"/>
  <c r="W422" i="8" a="1"/>
  <c r="W422" i="8" s="1"/>
  <c r="V422" i="8" a="1"/>
  <c r="V422" i="8" s="1"/>
  <c r="U422" i="8" a="1"/>
  <c r="U422" i="8" s="1"/>
  <c r="T422" i="8" a="1"/>
  <c r="T422" i="8" s="1"/>
  <c r="S422" i="8" a="1"/>
  <c r="S422" i="8" s="1"/>
  <c r="R422" i="8" a="1"/>
  <c r="R422" i="8" s="1"/>
  <c r="Q422" i="8" a="1"/>
  <c r="Q422" i="8" s="1"/>
  <c r="P422" i="8" a="1"/>
  <c r="P422" i="8" s="1"/>
  <c r="O422" i="8" a="1"/>
  <c r="O422" i="8" s="1"/>
  <c r="N422" i="8" a="1"/>
  <c r="N422" i="8" s="1"/>
  <c r="M422" i="8" a="1"/>
  <c r="M422" i="8" s="1"/>
  <c r="L422" i="8" a="1"/>
  <c r="L422" i="8" s="1"/>
  <c r="K422" i="8" a="1"/>
  <c r="K422" i="8" s="1"/>
  <c r="J422" i="8" a="1"/>
  <c r="J422" i="8" s="1"/>
  <c r="I422" i="8" a="1"/>
  <c r="I422" i="8" s="1"/>
  <c r="H422" i="8" a="1"/>
  <c r="H422" i="8" s="1"/>
  <c r="G422" i="8" a="1"/>
  <c r="G422" i="8" s="1"/>
  <c r="F422" i="8" a="1"/>
  <c r="F422" i="8" s="1"/>
  <c r="E422" i="8" a="1"/>
  <c r="E422" i="8" s="1"/>
  <c r="AB421" i="8" a="1"/>
  <c r="AB421" i="8" s="1"/>
  <c r="AA421" i="8" a="1"/>
  <c r="AA421" i="8" s="1"/>
  <c r="Z421" i="8" a="1"/>
  <c r="Z421" i="8" s="1"/>
  <c r="Y421" i="8" a="1"/>
  <c r="Y421" i="8" s="1"/>
  <c r="X421" i="8" a="1"/>
  <c r="X421" i="8" s="1"/>
  <c r="W421" i="8" a="1"/>
  <c r="W421" i="8" s="1"/>
  <c r="V421" i="8" a="1"/>
  <c r="V421" i="8" s="1"/>
  <c r="U421" i="8" a="1"/>
  <c r="U421" i="8" s="1"/>
  <c r="T421" i="8" a="1"/>
  <c r="T421" i="8" s="1"/>
  <c r="S421" i="8" a="1"/>
  <c r="S421" i="8" s="1"/>
  <c r="R421" i="8" a="1"/>
  <c r="R421" i="8" s="1"/>
  <c r="Q421" i="8" a="1"/>
  <c r="Q421" i="8" s="1"/>
  <c r="P421" i="8" a="1"/>
  <c r="P421" i="8" s="1"/>
  <c r="O421" i="8" a="1"/>
  <c r="O421" i="8" s="1"/>
  <c r="N421" i="8" a="1"/>
  <c r="N421" i="8" s="1"/>
  <c r="M421" i="8" a="1"/>
  <c r="M421" i="8" s="1"/>
  <c r="L421" i="8" a="1"/>
  <c r="L421" i="8" s="1"/>
  <c r="K421" i="8" a="1"/>
  <c r="K421" i="8" s="1"/>
  <c r="J421" i="8" a="1"/>
  <c r="J421" i="8" s="1"/>
  <c r="I421" i="8" a="1"/>
  <c r="I421" i="8" s="1"/>
  <c r="H421" i="8" a="1"/>
  <c r="H421" i="8" s="1"/>
  <c r="G421" i="8" a="1"/>
  <c r="G421" i="8" s="1"/>
  <c r="F421" i="8" a="1"/>
  <c r="F421" i="8" s="1"/>
  <c r="E421" i="8" a="1"/>
  <c r="E421" i="8" s="1"/>
  <c r="AB420" i="8" a="1"/>
  <c r="AB420" i="8" s="1"/>
  <c r="AA420" i="8" a="1"/>
  <c r="AA420" i="8" s="1"/>
  <c r="Z420" i="8" a="1"/>
  <c r="Z420" i="8" s="1"/>
  <c r="Y420" i="8" a="1"/>
  <c r="Y420" i="8" s="1"/>
  <c r="X420" i="8" a="1"/>
  <c r="X420" i="8" s="1"/>
  <c r="W420" i="8" a="1"/>
  <c r="W420" i="8" s="1"/>
  <c r="V420" i="8" a="1"/>
  <c r="V420" i="8" s="1"/>
  <c r="U420" i="8" a="1"/>
  <c r="U420" i="8" s="1"/>
  <c r="T420" i="8" a="1"/>
  <c r="T420" i="8" s="1"/>
  <c r="S420" i="8" a="1"/>
  <c r="S420" i="8" s="1"/>
  <c r="R420" i="8" a="1"/>
  <c r="R420" i="8" s="1"/>
  <c r="Q420" i="8" a="1"/>
  <c r="Q420" i="8" s="1"/>
  <c r="P420" i="8" a="1"/>
  <c r="P420" i="8" s="1"/>
  <c r="O420" i="8" a="1"/>
  <c r="O420" i="8" s="1"/>
  <c r="N420" i="8" a="1"/>
  <c r="N420" i="8" s="1"/>
  <c r="M420" i="8" a="1"/>
  <c r="M420" i="8" s="1"/>
  <c r="L420" i="8" a="1"/>
  <c r="L420" i="8" s="1"/>
  <c r="K420" i="8" a="1"/>
  <c r="K420" i="8" s="1"/>
  <c r="J420" i="8" a="1"/>
  <c r="J420" i="8" s="1"/>
  <c r="I420" i="8" a="1"/>
  <c r="I420" i="8" s="1"/>
  <c r="H420" i="8" a="1"/>
  <c r="H420" i="8" s="1"/>
  <c r="G420" i="8" a="1"/>
  <c r="G420" i="8" s="1"/>
  <c r="F420" i="8" a="1"/>
  <c r="F420" i="8" s="1"/>
  <c r="E420" i="8" a="1"/>
  <c r="E420" i="8" s="1"/>
  <c r="AB419" i="8" a="1"/>
  <c r="AB419" i="8" s="1"/>
  <c r="AA419" i="8" a="1"/>
  <c r="AA419" i="8" s="1"/>
  <c r="Z419" i="8" a="1"/>
  <c r="Z419" i="8" s="1"/>
  <c r="Y419" i="8" a="1"/>
  <c r="Y419" i="8" s="1"/>
  <c r="X419" i="8" a="1"/>
  <c r="X419" i="8" s="1"/>
  <c r="W419" i="8" a="1"/>
  <c r="W419" i="8" s="1"/>
  <c r="V419" i="8" a="1"/>
  <c r="V419" i="8" s="1"/>
  <c r="U419" i="8" a="1"/>
  <c r="U419" i="8" s="1"/>
  <c r="T419" i="8" a="1"/>
  <c r="T419" i="8" s="1"/>
  <c r="S419" i="8" a="1"/>
  <c r="S419" i="8" s="1"/>
  <c r="R419" i="8" a="1"/>
  <c r="R419" i="8" s="1"/>
  <c r="Q419" i="8" a="1"/>
  <c r="Q419" i="8" s="1"/>
  <c r="P419" i="8" a="1"/>
  <c r="P419" i="8" s="1"/>
  <c r="O419" i="8" a="1"/>
  <c r="O419" i="8" s="1"/>
  <c r="N419" i="8" a="1"/>
  <c r="N419" i="8" s="1"/>
  <c r="M419" i="8" a="1"/>
  <c r="M419" i="8" s="1"/>
  <c r="L419" i="8" a="1"/>
  <c r="L419" i="8" s="1"/>
  <c r="K419" i="8" a="1"/>
  <c r="K419" i="8" s="1"/>
  <c r="J419" i="8" a="1"/>
  <c r="J419" i="8" s="1"/>
  <c r="I419" i="8" a="1"/>
  <c r="I419" i="8" s="1"/>
  <c r="H419" i="8" a="1"/>
  <c r="H419" i="8" s="1"/>
  <c r="G419" i="8" a="1"/>
  <c r="G419" i="8" s="1"/>
  <c r="F419" i="8" a="1"/>
  <c r="F419" i="8" s="1"/>
  <c r="E419" i="8" a="1"/>
  <c r="E419" i="8" s="1"/>
  <c r="AB418" i="8" a="1"/>
  <c r="AB418" i="8" s="1"/>
  <c r="AA418" i="8" a="1"/>
  <c r="AA418" i="8" s="1"/>
  <c r="Z418" i="8" a="1"/>
  <c r="Z418" i="8" s="1"/>
  <c r="Y418" i="8" a="1"/>
  <c r="Y418" i="8" s="1"/>
  <c r="X418" i="8" a="1"/>
  <c r="X418" i="8" s="1"/>
  <c r="W418" i="8" a="1"/>
  <c r="W418" i="8" s="1"/>
  <c r="V418" i="8" a="1"/>
  <c r="V418" i="8" s="1"/>
  <c r="U418" i="8" a="1"/>
  <c r="U418" i="8" s="1"/>
  <c r="T418" i="8" a="1"/>
  <c r="T418" i="8" s="1"/>
  <c r="S418" i="8" a="1"/>
  <c r="S418" i="8" s="1"/>
  <c r="R418" i="8" a="1"/>
  <c r="R418" i="8" s="1"/>
  <c r="Q418" i="8" a="1"/>
  <c r="Q418" i="8" s="1"/>
  <c r="P418" i="8" a="1"/>
  <c r="P418" i="8" s="1"/>
  <c r="O418" i="8" a="1"/>
  <c r="O418" i="8" s="1"/>
  <c r="N418" i="8" a="1"/>
  <c r="N418" i="8" s="1"/>
  <c r="M418" i="8" a="1"/>
  <c r="M418" i="8" s="1"/>
  <c r="L418" i="8" a="1"/>
  <c r="L418" i="8" s="1"/>
  <c r="K418" i="8" a="1"/>
  <c r="K418" i="8" s="1"/>
  <c r="J418" i="8" a="1"/>
  <c r="J418" i="8" s="1"/>
  <c r="I418" i="8" a="1"/>
  <c r="I418" i="8" s="1"/>
  <c r="H418" i="8" a="1"/>
  <c r="H418" i="8" s="1"/>
  <c r="G418" i="8" a="1"/>
  <c r="G418" i="8" s="1"/>
  <c r="F418" i="8" a="1"/>
  <c r="F418" i="8" s="1"/>
  <c r="E418" i="8" a="1"/>
  <c r="E418" i="8" s="1"/>
  <c r="AB417" i="8" a="1"/>
  <c r="AB417" i="8" s="1"/>
  <c r="AA417" i="8" a="1"/>
  <c r="AA417" i="8" s="1"/>
  <c r="Z417" i="8" a="1"/>
  <c r="Z417" i="8" s="1"/>
  <c r="Y417" i="8" a="1"/>
  <c r="Y417" i="8" s="1"/>
  <c r="X417" i="8" a="1"/>
  <c r="X417" i="8" s="1"/>
  <c r="W417" i="8" a="1"/>
  <c r="W417" i="8" s="1"/>
  <c r="V417" i="8" a="1"/>
  <c r="V417" i="8" s="1"/>
  <c r="U417" i="8" a="1"/>
  <c r="U417" i="8" s="1"/>
  <c r="T417" i="8" a="1"/>
  <c r="T417" i="8" s="1"/>
  <c r="S417" i="8" a="1"/>
  <c r="S417" i="8" s="1"/>
  <c r="R417" i="8" a="1"/>
  <c r="R417" i="8" s="1"/>
  <c r="Q417" i="8" a="1"/>
  <c r="Q417" i="8" s="1"/>
  <c r="P417" i="8" a="1"/>
  <c r="P417" i="8" s="1"/>
  <c r="O417" i="8" a="1"/>
  <c r="O417" i="8" s="1"/>
  <c r="N417" i="8" a="1"/>
  <c r="N417" i="8" s="1"/>
  <c r="M417" i="8" a="1"/>
  <c r="M417" i="8" s="1"/>
  <c r="L417" i="8" a="1"/>
  <c r="L417" i="8" s="1"/>
  <c r="K417" i="8" a="1"/>
  <c r="K417" i="8" s="1"/>
  <c r="J417" i="8" a="1"/>
  <c r="J417" i="8" s="1"/>
  <c r="I417" i="8" a="1"/>
  <c r="I417" i="8" s="1"/>
  <c r="H417" i="8" a="1"/>
  <c r="H417" i="8" s="1"/>
  <c r="G417" i="8" a="1"/>
  <c r="G417" i="8" s="1"/>
  <c r="F417" i="8" a="1"/>
  <c r="F417" i="8" s="1"/>
  <c r="E417" i="8" a="1"/>
  <c r="E417" i="8" s="1"/>
  <c r="AB416" i="8" a="1"/>
  <c r="AB416" i="8" s="1"/>
  <c r="AA416" i="8" a="1"/>
  <c r="AA416" i="8" s="1"/>
  <c r="Z416" i="8" a="1"/>
  <c r="Z416" i="8" s="1"/>
  <c r="Y416" i="8" a="1"/>
  <c r="Y416" i="8" s="1"/>
  <c r="X416" i="8" a="1"/>
  <c r="X416" i="8" s="1"/>
  <c r="W416" i="8" a="1"/>
  <c r="W416" i="8" s="1"/>
  <c r="V416" i="8" a="1"/>
  <c r="V416" i="8" s="1"/>
  <c r="U416" i="8" a="1"/>
  <c r="U416" i="8" s="1"/>
  <c r="T416" i="8" a="1"/>
  <c r="T416" i="8" s="1"/>
  <c r="S416" i="8" a="1"/>
  <c r="S416" i="8" s="1"/>
  <c r="R416" i="8" a="1"/>
  <c r="R416" i="8" s="1"/>
  <c r="Q416" i="8" a="1"/>
  <c r="Q416" i="8" s="1"/>
  <c r="P416" i="8" a="1"/>
  <c r="P416" i="8" s="1"/>
  <c r="O416" i="8" a="1"/>
  <c r="O416" i="8" s="1"/>
  <c r="N416" i="8" a="1"/>
  <c r="N416" i="8" s="1"/>
  <c r="M416" i="8" a="1"/>
  <c r="M416" i="8" s="1"/>
  <c r="L416" i="8" a="1"/>
  <c r="L416" i="8" s="1"/>
  <c r="K416" i="8" a="1"/>
  <c r="K416" i="8" s="1"/>
  <c r="J416" i="8" a="1"/>
  <c r="J416" i="8" s="1"/>
  <c r="I416" i="8" a="1"/>
  <c r="I416" i="8" s="1"/>
  <c r="H416" i="8" a="1"/>
  <c r="H416" i="8" s="1"/>
  <c r="G416" i="8" a="1"/>
  <c r="G416" i="8" s="1"/>
  <c r="F416" i="8" a="1"/>
  <c r="F416" i="8" s="1"/>
  <c r="E416" i="8" a="1"/>
  <c r="E416" i="8" s="1"/>
  <c r="AB415" i="8" a="1"/>
  <c r="AB415" i="8" s="1"/>
  <c r="AA415" i="8" a="1"/>
  <c r="AA415" i="8" s="1"/>
  <c r="Z415" i="8" a="1"/>
  <c r="Z415" i="8" s="1"/>
  <c r="Y415" i="8" a="1"/>
  <c r="Y415" i="8" s="1"/>
  <c r="X415" i="8" a="1"/>
  <c r="X415" i="8" s="1"/>
  <c r="W415" i="8" a="1"/>
  <c r="W415" i="8" s="1"/>
  <c r="V415" i="8" a="1"/>
  <c r="V415" i="8" s="1"/>
  <c r="U415" i="8" a="1"/>
  <c r="U415" i="8" s="1"/>
  <c r="T415" i="8" a="1"/>
  <c r="T415" i="8" s="1"/>
  <c r="S415" i="8" a="1"/>
  <c r="S415" i="8" s="1"/>
  <c r="R415" i="8" a="1"/>
  <c r="R415" i="8" s="1"/>
  <c r="Q415" i="8" a="1"/>
  <c r="Q415" i="8" s="1"/>
  <c r="P415" i="8" a="1"/>
  <c r="P415" i="8" s="1"/>
  <c r="O415" i="8" a="1"/>
  <c r="O415" i="8" s="1"/>
  <c r="N415" i="8" a="1"/>
  <c r="N415" i="8" s="1"/>
  <c r="M415" i="8" a="1"/>
  <c r="M415" i="8" s="1"/>
  <c r="L415" i="8" a="1"/>
  <c r="L415" i="8" s="1"/>
  <c r="K415" i="8" a="1"/>
  <c r="K415" i="8" s="1"/>
  <c r="J415" i="8" a="1"/>
  <c r="J415" i="8" s="1"/>
  <c r="I415" i="8" a="1"/>
  <c r="I415" i="8" s="1"/>
  <c r="H415" i="8" a="1"/>
  <c r="H415" i="8" s="1"/>
  <c r="G415" i="8" a="1"/>
  <c r="G415" i="8" s="1"/>
  <c r="F415" i="8" a="1"/>
  <c r="F415" i="8" s="1"/>
  <c r="E415" i="8" a="1"/>
  <c r="E415" i="8" s="1"/>
  <c r="AB414" i="8" a="1"/>
  <c r="AB414" i="8" s="1"/>
  <c r="AA414" i="8" a="1"/>
  <c r="AA414" i="8" s="1"/>
  <c r="Z414" i="8" a="1"/>
  <c r="Z414" i="8" s="1"/>
  <c r="Y414" i="8" a="1"/>
  <c r="Y414" i="8" s="1"/>
  <c r="X414" i="8" a="1"/>
  <c r="X414" i="8" s="1"/>
  <c r="W414" i="8" a="1"/>
  <c r="W414" i="8" s="1"/>
  <c r="V414" i="8" a="1"/>
  <c r="V414" i="8" s="1"/>
  <c r="U414" i="8" a="1"/>
  <c r="U414" i="8" s="1"/>
  <c r="T414" i="8" a="1"/>
  <c r="T414" i="8" s="1"/>
  <c r="S414" i="8" a="1"/>
  <c r="S414" i="8" s="1"/>
  <c r="R414" i="8" a="1"/>
  <c r="R414" i="8" s="1"/>
  <c r="Q414" i="8" a="1"/>
  <c r="Q414" i="8" s="1"/>
  <c r="P414" i="8" a="1"/>
  <c r="P414" i="8" s="1"/>
  <c r="O414" i="8" a="1"/>
  <c r="O414" i="8" s="1"/>
  <c r="N414" i="8" a="1"/>
  <c r="N414" i="8" s="1"/>
  <c r="M414" i="8" a="1"/>
  <c r="M414" i="8" s="1"/>
  <c r="L414" i="8" a="1"/>
  <c r="L414" i="8" s="1"/>
  <c r="K414" i="8" a="1"/>
  <c r="K414" i="8" s="1"/>
  <c r="J414" i="8" a="1"/>
  <c r="J414" i="8" s="1"/>
  <c r="I414" i="8" a="1"/>
  <c r="I414" i="8" s="1"/>
  <c r="H414" i="8" a="1"/>
  <c r="H414" i="8" s="1"/>
  <c r="G414" i="8" a="1"/>
  <c r="G414" i="8" s="1"/>
  <c r="F414" i="8" a="1"/>
  <c r="F414" i="8" s="1"/>
  <c r="E414" i="8" a="1"/>
  <c r="E414" i="8" s="1"/>
  <c r="AB413" i="8" a="1"/>
  <c r="AB413" i="8" s="1"/>
  <c r="AA413" i="8" a="1"/>
  <c r="AA413" i="8" s="1"/>
  <c r="Z413" i="8" a="1"/>
  <c r="Z413" i="8" s="1"/>
  <c r="Y413" i="8" a="1"/>
  <c r="Y413" i="8" s="1"/>
  <c r="X413" i="8" a="1"/>
  <c r="X413" i="8" s="1"/>
  <c r="W413" i="8" a="1"/>
  <c r="W413" i="8" s="1"/>
  <c r="V413" i="8" a="1"/>
  <c r="V413" i="8" s="1"/>
  <c r="U413" i="8" a="1"/>
  <c r="U413" i="8" s="1"/>
  <c r="T413" i="8" a="1"/>
  <c r="T413" i="8" s="1"/>
  <c r="S413" i="8" a="1"/>
  <c r="S413" i="8" s="1"/>
  <c r="R413" i="8" a="1"/>
  <c r="R413" i="8" s="1"/>
  <c r="Q413" i="8" a="1"/>
  <c r="Q413" i="8" s="1"/>
  <c r="P413" i="8" a="1"/>
  <c r="P413" i="8" s="1"/>
  <c r="O413" i="8" a="1"/>
  <c r="O413" i="8" s="1"/>
  <c r="N413" i="8" a="1"/>
  <c r="N413" i="8" s="1"/>
  <c r="M413" i="8" a="1"/>
  <c r="M413" i="8" s="1"/>
  <c r="L413" i="8" a="1"/>
  <c r="L413" i="8" s="1"/>
  <c r="K413" i="8" a="1"/>
  <c r="K413" i="8" s="1"/>
  <c r="J413" i="8" a="1"/>
  <c r="J413" i="8" s="1"/>
  <c r="I413" i="8" a="1"/>
  <c r="I413" i="8" s="1"/>
  <c r="H413" i="8" a="1"/>
  <c r="H413" i="8" s="1"/>
  <c r="G413" i="8" a="1"/>
  <c r="G413" i="8" s="1"/>
  <c r="F413" i="8" a="1"/>
  <c r="F413" i="8" s="1"/>
  <c r="E413" i="8" a="1"/>
  <c r="E413" i="8" s="1"/>
  <c r="AB412" i="8" a="1"/>
  <c r="AB412" i="8" s="1"/>
  <c r="AA412" i="8" a="1"/>
  <c r="AA412" i="8" s="1"/>
  <c r="Z412" i="8" a="1"/>
  <c r="Z412" i="8" s="1"/>
  <c r="Y412" i="8" a="1"/>
  <c r="Y412" i="8" s="1"/>
  <c r="X412" i="8" a="1"/>
  <c r="X412" i="8" s="1"/>
  <c r="W412" i="8" a="1"/>
  <c r="W412" i="8" s="1"/>
  <c r="V412" i="8" a="1"/>
  <c r="V412" i="8" s="1"/>
  <c r="U412" i="8" a="1"/>
  <c r="U412" i="8" s="1"/>
  <c r="T412" i="8" a="1"/>
  <c r="T412" i="8" s="1"/>
  <c r="S412" i="8" a="1"/>
  <c r="S412" i="8" s="1"/>
  <c r="R412" i="8" a="1"/>
  <c r="R412" i="8" s="1"/>
  <c r="Q412" i="8" a="1"/>
  <c r="Q412" i="8" s="1"/>
  <c r="P412" i="8" a="1"/>
  <c r="P412" i="8" s="1"/>
  <c r="O412" i="8" a="1"/>
  <c r="O412" i="8" s="1"/>
  <c r="N412" i="8" a="1"/>
  <c r="N412" i="8" s="1"/>
  <c r="M412" i="8" a="1"/>
  <c r="M412" i="8" s="1"/>
  <c r="L412" i="8" a="1"/>
  <c r="L412" i="8" s="1"/>
  <c r="K412" i="8" a="1"/>
  <c r="K412" i="8" s="1"/>
  <c r="J412" i="8" a="1"/>
  <c r="J412" i="8" s="1"/>
  <c r="I412" i="8" a="1"/>
  <c r="I412" i="8" s="1"/>
  <c r="H412" i="8" a="1"/>
  <c r="H412" i="8" s="1"/>
  <c r="G412" i="8" a="1"/>
  <c r="G412" i="8" s="1"/>
  <c r="F412" i="8" a="1"/>
  <c r="F412" i="8" s="1"/>
  <c r="E412" i="8" a="1"/>
  <c r="E412" i="8" s="1"/>
  <c r="AB411" i="8" a="1"/>
  <c r="AB411" i="8" s="1"/>
  <c r="AA411" i="8" a="1"/>
  <c r="AA411" i="8" s="1"/>
  <c r="Z411" i="8" a="1"/>
  <c r="Z411" i="8" s="1"/>
  <c r="Y411" i="8" a="1"/>
  <c r="Y411" i="8" s="1"/>
  <c r="X411" i="8" a="1"/>
  <c r="X411" i="8" s="1"/>
  <c r="W411" i="8" a="1"/>
  <c r="W411" i="8" s="1"/>
  <c r="V411" i="8" a="1"/>
  <c r="V411" i="8" s="1"/>
  <c r="U411" i="8" a="1"/>
  <c r="U411" i="8" s="1"/>
  <c r="T411" i="8" a="1"/>
  <c r="T411" i="8" s="1"/>
  <c r="S411" i="8" a="1"/>
  <c r="S411" i="8" s="1"/>
  <c r="R411" i="8" a="1"/>
  <c r="R411" i="8" s="1"/>
  <c r="Q411" i="8" a="1"/>
  <c r="Q411" i="8" s="1"/>
  <c r="P411" i="8" a="1"/>
  <c r="P411" i="8" s="1"/>
  <c r="O411" i="8" a="1"/>
  <c r="O411" i="8" s="1"/>
  <c r="N411" i="8" a="1"/>
  <c r="N411" i="8" s="1"/>
  <c r="M411" i="8" a="1"/>
  <c r="M411" i="8" s="1"/>
  <c r="L411" i="8" a="1"/>
  <c r="L411" i="8" s="1"/>
  <c r="K411" i="8" a="1"/>
  <c r="K411" i="8" s="1"/>
  <c r="J411" i="8" a="1"/>
  <c r="J411" i="8" s="1"/>
  <c r="I411" i="8" a="1"/>
  <c r="I411" i="8" s="1"/>
  <c r="H411" i="8" a="1"/>
  <c r="H411" i="8" s="1"/>
  <c r="G411" i="8" a="1"/>
  <c r="G411" i="8" s="1"/>
  <c r="F411" i="8" a="1"/>
  <c r="F411" i="8" s="1"/>
  <c r="E411" i="8" a="1"/>
  <c r="E411" i="8" s="1"/>
  <c r="AB410" i="8" a="1"/>
  <c r="AB410" i="8" s="1"/>
  <c r="AA410" i="8" a="1"/>
  <c r="AA410" i="8" s="1"/>
  <c r="Z410" i="8" a="1"/>
  <c r="Z410" i="8" s="1"/>
  <c r="Y410" i="8" a="1"/>
  <c r="Y410" i="8" s="1"/>
  <c r="X410" i="8" a="1"/>
  <c r="X410" i="8" s="1"/>
  <c r="W410" i="8" a="1"/>
  <c r="W410" i="8" s="1"/>
  <c r="V410" i="8" a="1"/>
  <c r="V410" i="8" s="1"/>
  <c r="U410" i="8" a="1"/>
  <c r="U410" i="8" s="1"/>
  <c r="T410" i="8" a="1"/>
  <c r="T410" i="8" s="1"/>
  <c r="S410" i="8" a="1"/>
  <c r="S410" i="8" s="1"/>
  <c r="R410" i="8" a="1"/>
  <c r="R410" i="8" s="1"/>
  <c r="Q410" i="8" a="1"/>
  <c r="Q410" i="8" s="1"/>
  <c r="P410" i="8" a="1"/>
  <c r="P410" i="8" s="1"/>
  <c r="O410" i="8" a="1"/>
  <c r="O410" i="8" s="1"/>
  <c r="N410" i="8" a="1"/>
  <c r="N410" i="8" s="1"/>
  <c r="M410" i="8" a="1"/>
  <c r="M410" i="8" s="1"/>
  <c r="L410" i="8" a="1"/>
  <c r="L410" i="8" s="1"/>
  <c r="K410" i="8" a="1"/>
  <c r="K410" i="8" s="1"/>
  <c r="J410" i="8" a="1"/>
  <c r="J410" i="8" s="1"/>
  <c r="I410" i="8" a="1"/>
  <c r="I410" i="8" s="1"/>
  <c r="H410" i="8" a="1"/>
  <c r="H410" i="8" s="1"/>
  <c r="G410" i="8" a="1"/>
  <c r="G410" i="8" s="1"/>
  <c r="F410" i="8" a="1"/>
  <c r="F410" i="8" s="1"/>
  <c r="E410" i="8" a="1"/>
  <c r="E410" i="8" s="1"/>
  <c r="AB409" i="8" a="1"/>
  <c r="AB409" i="8" s="1"/>
  <c r="AA409" i="8" a="1"/>
  <c r="AA409" i="8" s="1"/>
  <c r="Z409" i="8" a="1"/>
  <c r="Z409" i="8" s="1"/>
  <c r="Y409" i="8" a="1"/>
  <c r="Y409" i="8" s="1"/>
  <c r="X409" i="8" a="1"/>
  <c r="X409" i="8" s="1"/>
  <c r="W409" i="8" a="1"/>
  <c r="W409" i="8" s="1"/>
  <c r="V409" i="8" a="1"/>
  <c r="V409" i="8" s="1"/>
  <c r="U409" i="8" a="1"/>
  <c r="U409" i="8" s="1"/>
  <c r="T409" i="8" a="1"/>
  <c r="T409" i="8" s="1"/>
  <c r="S409" i="8" a="1"/>
  <c r="S409" i="8" s="1"/>
  <c r="R409" i="8" a="1"/>
  <c r="R409" i="8" s="1"/>
  <c r="Q409" i="8" a="1"/>
  <c r="Q409" i="8" s="1"/>
  <c r="P409" i="8" a="1"/>
  <c r="P409" i="8" s="1"/>
  <c r="O409" i="8" a="1"/>
  <c r="O409" i="8" s="1"/>
  <c r="N409" i="8" a="1"/>
  <c r="N409" i="8" s="1"/>
  <c r="M409" i="8" a="1"/>
  <c r="M409" i="8" s="1"/>
  <c r="L409" i="8" a="1"/>
  <c r="L409" i="8" s="1"/>
  <c r="K409" i="8" a="1"/>
  <c r="K409" i="8" s="1"/>
  <c r="J409" i="8" a="1"/>
  <c r="J409" i="8" s="1"/>
  <c r="I409" i="8" a="1"/>
  <c r="I409" i="8" s="1"/>
  <c r="H409" i="8" a="1"/>
  <c r="H409" i="8" s="1"/>
  <c r="G409" i="8" a="1"/>
  <c r="G409" i="8" s="1"/>
  <c r="F409" i="8" a="1"/>
  <c r="F409" i="8" s="1"/>
  <c r="E409" i="8" a="1"/>
  <c r="E409" i="8" s="1"/>
  <c r="AB408" i="8" a="1"/>
  <c r="AB408" i="8" s="1"/>
  <c r="AA408" i="8" a="1"/>
  <c r="AA408" i="8" s="1"/>
  <c r="Z408" i="8" a="1"/>
  <c r="Z408" i="8" s="1"/>
  <c r="Y408" i="8" a="1"/>
  <c r="Y408" i="8" s="1"/>
  <c r="X408" i="8" a="1"/>
  <c r="X408" i="8" s="1"/>
  <c r="W408" i="8" a="1"/>
  <c r="W408" i="8" s="1"/>
  <c r="V408" i="8" a="1"/>
  <c r="V408" i="8" s="1"/>
  <c r="U408" i="8" a="1"/>
  <c r="U408" i="8" s="1"/>
  <c r="T408" i="8" a="1"/>
  <c r="T408" i="8" s="1"/>
  <c r="S408" i="8" a="1"/>
  <c r="S408" i="8" s="1"/>
  <c r="R408" i="8" a="1"/>
  <c r="R408" i="8" s="1"/>
  <c r="Q408" i="8" a="1"/>
  <c r="Q408" i="8" s="1"/>
  <c r="P408" i="8" a="1"/>
  <c r="P408" i="8" s="1"/>
  <c r="O408" i="8" a="1"/>
  <c r="O408" i="8" s="1"/>
  <c r="N408" i="8" a="1"/>
  <c r="N408" i="8" s="1"/>
  <c r="M408" i="8" a="1"/>
  <c r="M408" i="8" s="1"/>
  <c r="L408" i="8" a="1"/>
  <c r="L408" i="8" s="1"/>
  <c r="K408" i="8" a="1"/>
  <c r="K408" i="8" s="1"/>
  <c r="J408" i="8" a="1"/>
  <c r="J408" i="8" s="1"/>
  <c r="I408" i="8" a="1"/>
  <c r="I408" i="8" s="1"/>
  <c r="H408" i="8" a="1"/>
  <c r="H408" i="8" s="1"/>
  <c r="G408" i="8" a="1"/>
  <c r="G408" i="8" s="1"/>
  <c r="F408" i="8" a="1"/>
  <c r="F408" i="8" s="1"/>
  <c r="E408" i="8" a="1"/>
  <c r="E408" i="8" s="1"/>
  <c r="AB407" i="8" a="1"/>
  <c r="AB407" i="8" s="1"/>
  <c r="AA407" i="8" a="1"/>
  <c r="AA407" i="8" s="1"/>
  <c r="Z407" i="8" a="1"/>
  <c r="Z407" i="8" s="1"/>
  <c r="Y407" i="8" a="1"/>
  <c r="Y407" i="8" s="1"/>
  <c r="X407" i="8" a="1"/>
  <c r="X407" i="8" s="1"/>
  <c r="W407" i="8" a="1"/>
  <c r="W407" i="8" s="1"/>
  <c r="V407" i="8" a="1"/>
  <c r="V407" i="8" s="1"/>
  <c r="U407" i="8" a="1"/>
  <c r="U407" i="8" s="1"/>
  <c r="T407" i="8" a="1"/>
  <c r="T407" i="8" s="1"/>
  <c r="S407" i="8" a="1"/>
  <c r="S407" i="8" s="1"/>
  <c r="R407" i="8" a="1"/>
  <c r="R407" i="8" s="1"/>
  <c r="Q407" i="8" a="1"/>
  <c r="Q407" i="8" s="1"/>
  <c r="P407" i="8" a="1"/>
  <c r="P407" i="8" s="1"/>
  <c r="O407" i="8" a="1"/>
  <c r="O407" i="8" s="1"/>
  <c r="N407" i="8" a="1"/>
  <c r="N407" i="8" s="1"/>
  <c r="M407" i="8" a="1"/>
  <c r="M407" i="8" s="1"/>
  <c r="L407" i="8" a="1"/>
  <c r="L407" i="8" s="1"/>
  <c r="K407" i="8" a="1"/>
  <c r="K407" i="8" s="1"/>
  <c r="J407" i="8" a="1"/>
  <c r="J407" i="8" s="1"/>
  <c r="I407" i="8" a="1"/>
  <c r="I407" i="8" s="1"/>
  <c r="H407" i="8" a="1"/>
  <c r="H407" i="8" s="1"/>
  <c r="G407" i="8" a="1"/>
  <c r="G407" i="8" s="1"/>
  <c r="F407" i="8" a="1"/>
  <c r="F407" i="8" s="1"/>
  <c r="E407" i="8" a="1"/>
  <c r="E407" i="8" s="1"/>
  <c r="AB406" i="8" a="1"/>
  <c r="AB406" i="8" s="1"/>
  <c r="AA406" i="8" a="1"/>
  <c r="AA406" i="8" s="1"/>
  <c r="Z406" i="8" a="1"/>
  <c r="Z406" i="8" s="1"/>
  <c r="Y406" i="8" a="1"/>
  <c r="Y406" i="8" s="1"/>
  <c r="X406" i="8" a="1"/>
  <c r="X406" i="8" s="1"/>
  <c r="W406" i="8" a="1"/>
  <c r="W406" i="8" s="1"/>
  <c r="V406" i="8" a="1"/>
  <c r="V406" i="8" s="1"/>
  <c r="U406" i="8" a="1"/>
  <c r="U406" i="8" s="1"/>
  <c r="T406" i="8" a="1"/>
  <c r="T406" i="8" s="1"/>
  <c r="S406" i="8" a="1"/>
  <c r="S406" i="8" s="1"/>
  <c r="R406" i="8" a="1"/>
  <c r="R406" i="8" s="1"/>
  <c r="Q406" i="8" a="1"/>
  <c r="Q406" i="8" s="1"/>
  <c r="P406" i="8" a="1"/>
  <c r="P406" i="8" s="1"/>
  <c r="O406" i="8" a="1"/>
  <c r="O406" i="8" s="1"/>
  <c r="N406" i="8" a="1"/>
  <c r="N406" i="8" s="1"/>
  <c r="M406" i="8" a="1"/>
  <c r="M406" i="8" s="1"/>
  <c r="L406" i="8" a="1"/>
  <c r="L406" i="8" s="1"/>
  <c r="K406" i="8" a="1"/>
  <c r="K406" i="8" s="1"/>
  <c r="J406" i="8" a="1"/>
  <c r="J406" i="8" s="1"/>
  <c r="I406" i="8" a="1"/>
  <c r="I406" i="8" s="1"/>
  <c r="H406" i="8" a="1"/>
  <c r="H406" i="8" s="1"/>
  <c r="G406" i="8" a="1"/>
  <c r="G406" i="8" s="1"/>
  <c r="F406" i="8" a="1"/>
  <c r="F406" i="8" s="1"/>
  <c r="E406" i="8" a="1"/>
  <c r="E406" i="8" s="1"/>
  <c r="AB405" i="8" a="1"/>
  <c r="AB405" i="8" s="1"/>
  <c r="AA405" i="8" a="1"/>
  <c r="AA405" i="8" s="1"/>
  <c r="Z405" i="8" a="1"/>
  <c r="Z405" i="8" s="1"/>
  <c r="Y405" i="8" a="1"/>
  <c r="Y405" i="8" s="1"/>
  <c r="X405" i="8" a="1"/>
  <c r="X405" i="8" s="1"/>
  <c r="W405" i="8" a="1"/>
  <c r="W405" i="8" s="1"/>
  <c r="V405" i="8" a="1"/>
  <c r="V405" i="8" s="1"/>
  <c r="U405" i="8" a="1"/>
  <c r="U405" i="8" s="1"/>
  <c r="T405" i="8" a="1"/>
  <c r="T405" i="8" s="1"/>
  <c r="S405" i="8" a="1"/>
  <c r="S405" i="8" s="1"/>
  <c r="R405" i="8" a="1"/>
  <c r="R405" i="8" s="1"/>
  <c r="Q405" i="8" a="1"/>
  <c r="Q405" i="8" s="1"/>
  <c r="P405" i="8" a="1"/>
  <c r="P405" i="8" s="1"/>
  <c r="O405" i="8" a="1"/>
  <c r="O405" i="8" s="1"/>
  <c r="N405" i="8" a="1"/>
  <c r="N405" i="8" s="1"/>
  <c r="M405" i="8" a="1"/>
  <c r="M405" i="8" s="1"/>
  <c r="L405" i="8" a="1"/>
  <c r="L405" i="8" s="1"/>
  <c r="K405" i="8" a="1"/>
  <c r="K405" i="8" s="1"/>
  <c r="J405" i="8" a="1"/>
  <c r="J405" i="8" s="1"/>
  <c r="I405" i="8" a="1"/>
  <c r="I405" i="8" s="1"/>
  <c r="H405" i="8" a="1"/>
  <c r="H405" i="8" s="1"/>
  <c r="G405" i="8" a="1"/>
  <c r="G405" i="8" s="1"/>
  <c r="F405" i="8" a="1"/>
  <c r="F405" i="8" s="1"/>
  <c r="E405" i="8" a="1"/>
  <c r="E405" i="8" s="1"/>
  <c r="AB404" i="8" a="1"/>
  <c r="AB404" i="8" s="1"/>
  <c r="AA404" i="8" a="1"/>
  <c r="AA404" i="8" s="1"/>
  <c r="Z404" i="8" a="1"/>
  <c r="Z404" i="8" s="1"/>
  <c r="Y404" i="8" a="1"/>
  <c r="Y404" i="8" s="1"/>
  <c r="X404" i="8" a="1"/>
  <c r="X404" i="8" s="1"/>
  <c r="W404" i="8" a="1"/>
  <c r="W404" i="8" s="1"/>
  <c r="V404" i="8" a="1"/>
  <c r="V404" i="8" s="1"/>
  <c r="U404" i="8" a="1"/>
  <c r="U404" i="8" s="1"/>
  <c r="T404" i="8" a="1"/>
  <c r="T404" i="8" s="1"/>
  <c r="S404" i="8" a="1"/>
  <c r="S404" i="8" s="1"/>
  <c r="R404" i="8" a="1"/>
  <c r="R404" i="8" s="1"/>
  <c r="Q404" i="8" a="1"/>
  <c r="Q404" i="8" s="1"/>
  <c r="P404" i="8" a="1"/>
  <c r="P404" i="8" s="1"/>
  <c r="O404" i="8" a="1"/>
  <c r="O404" i="8" s="1"/>
  <c r="N404" i="8" a="1"/>
  <c r="N404" i="8" s="1"/>
  <c r="M404" i="8" a="1"/>
  <c r="M404" i="8" s="1"/>
  <c r="L404" i="8" a="1"/>
  <c r="L404" i="8" s="1"/>
  <c r="K404" i="8" a="1"/>
  <c r="K404" i="8" s="1"/>
  <c r="J404" i="8" a="1"/>
  <c r="J404" i="8" s="1"/>
  <c r="I404" i="8" a="1"/>
  <c r="I404" i="8" s="1"/>
  <c r="H404" i="8" a="1"/>
  <c r="H404" i="8" s="1"/>
  <c r="G404" i="8" a="1"/>
  <c r="G404" i="8" s="1"/>
  <c r="F404" i="8" a="1"/>
  <c r="F404" i="8" s="1"/>
  <c r="E404" i="8" a="1"/>
  <c r="E404" i="8" s="1"/>
  <c r="AB403" i="8" a="1"/>
  <c r="AB403" i="8" s="1"/>
  <c r="AA403" i="8" a="1"/>
  <c r="AA403" i="8" s="1"/>
  <c r="Z403" i="8" a="1"/>
  <c r="Z403" i="8" s="1"/>
  <c r="Y403" i="8" a="1"/>
  <c r="Y403" i="8" s="1"/>
  <c r="X403" i="8" a="1"/>
  <c r="X403" i="8" s="1"/>
  <c r="W403" i="8" a="1"/>
  <c r="W403" i="8" s="1"/>
  <c r="V403" i="8" a="1"/>
  <c r="V403" i="8" s="1"/>
  <c r="U403" i="8" a="1"/>
  <c r="U403" i="8" s="1"/>
  <c r="T403" i="8" a="1"/>
  <c r="T403" i="8" s="1"/>
  <c r="S403" i="8" a="1"/>
  <c r="S403" i="8" s="1"/>
  <c r="R403" i="8" a="1"/>
  <c r="R403" i="8" s="1"/>
  <c r="Q403" i="8" a="1"/>
  <c r="Q403" i="8" s="1"/>
  <c r="P403" i="8" a="1"/>
  <c r="P403" i="8" s="1"/>
  <c r="O403" i="8" a="1"/>
  <c r="O403" i="8" s="1"/>
  <c r="N403" i="8" a="1"/>
  <c r="N403" i="8" s="1"/>
  <c r="M403" i="8" a="1"/>
  <c r="M403" i="8" s="1"/>
  <c r="L403" i="8" a="1"/>
  <c r="L403" i="8" s="1"/>
  <c r="K403" i="8" a="1"/>
  <c r="K403" i="8" s="1"/>
  <c r="J403" i="8" a="1"/>
  <c r="J403" i="8" s="1"/>
  <c r="I403" i="8" a="1"/>
  <c r="I403" i="8" s="1"/>
  <c r="H403" i="8" a="1"/>
  <c r="H403" i="8" s="1"/>
  <c r="G403" i="8" a="1"/>
  <c r="G403" i="8" s="1"/>
  <c r="F403" i="8" a="1"/>
  <c r="F403" i="8" s="1"/>
  <c r="E403" i="8" a="1"/>
  <c r="E403" i="8" s="1"/>
  <c r="AB402" i="8" a="1"/>
  <c r="AB402" i="8" s="1"/>
  <c r="AA402" i="8" a="1"/>
  <c r="AA402" i="8" s="1"/>
  <c r="Z402" i="8" a="1"/>
  <c r="Z402" i="8" s="1"/>
  <c r="Y402" i="8" a="1"/>
  <c r="Y402" i="8" s="1"/>
  <c r="X402" i="8" a="1"/>
  <c r="X402" i="8" s="1"/>
  <c r="W402" i="8" a="1"/>
  <c r="W402" i="8" s="1"/>
  <c r="V402" i="8" a="1"/>
  <c r="V402" i="8" s="1"/>
  <c r="U402" i="8" a="1"/>
  <c r="U402" i="8" s="1"/>
  <c r="T402" i="8" a="1"/>
  <c r="T402" i="8" s="1"/>
  <c r="S402" i="8" a="1"/>
  <c r="S402" i="8" s="1"/>
  <c r="R402" i="8" a="1"/>
  <c r="R402" i="8" s="1"/>
  <c r="Q402" i="8" a="1"/>
  <c r="Q402" i="8" s="1"/>
  <c r="P402" i="8" a="1"/>
  <c r="P402" i="8" s="1"/>
  <c r="O402" i="8" a="1"/>
  <c r="O402" i="8" s="1"/>
  <c r="N402" i="8" a="1"/>
  <c r="N402" i="8" s="1"/>
  <c r="M402" i="8" a="1"/>
  <c r="M402" i="8" s="1"/>
  <c r="L402" i="8" a="1"/>
  <c r="L402" i="8" s="1"/>
  <c r="K402" i="8" a="1"/>
  <c r="K402" i="8" s="1"/>
  <c r="J402" i="8" a="1"/>
  <c r="J402" i="8" s="1"/>
  <c r="I402" i="8" a="1"/>
  <c r="I402" i="8" s="1"/>
  <c r="H402" i="8" a="1"/>
  <c r="H402" i="8" s="1"/>
  <c r="G402" i="8" a="1"/>
  <c r="G402" i="8" s="1"/>
  <c r="F402" i="8" a="1"/>
  <c r="F402" i="8" s="1"/>
  <c r="E402" i="8" a="1"/>
  <c r="E402" i="8" s="1"/>
  <c r="AB401" i="8" a="1"/>
  <c r="AB401" i="8" s="1"/>
  <c r="AA401" i="8" a="1"/>
  <c r="AA401" i="8" s="1"/>
  <c r="Z401" i="8" a="1"/>
  <c r="Z401" i="8" s="1"/>
  <c r="Y401" i="8" a="1"/>
  <c r="Y401" i="8" s="1"/>
  <c r="X401" i="8" a="1"/>
  <c r="X401" i="8" s="1"/>
  <c r="W401" i="8" a="1"/>
  <c r="W401" i="8" s="1"/>
  <c r="V401" i="8" a="1"/>
  <c r="V401" i="8" s="1"/>
  <c r="U401" i="8" a="1"/>
  <c r="U401" i="8" s="1"/>
  <c r="T401" i="8" a="1"/>
  <c r="T401" i="8" s="1"/>
  <c r="S401" i="8" a="1"/>
  <c r="S401" i="8" s="1"/>
  <c r="R401" i="8" a="1"/>
  <c r="R401" i="8" s="1"/>
  <c r="Q401" i="8" a="1"/>
  <c r="Q401" i="8" s="1"/>
  <c r="P401" i="8" a="1"/>
  <c r="P401" i="8" s="1"/>
  <c r="O401" i="8" a="1"/>
  <c r="O401" i="8" s="1"/>
  <c r="N401" i="8" a="1"/>
  <c r="N401" i="8" s="1"/>
  <c r="M401" i="8" a="1"/>
  <c r="M401" i="8" s="1"/>
  <c r="L401" i="8" a="1"/>
  <c r="L401" i="8" s="1"/>
  <c r="K401" i="8" a="1"/>
  <c r="K401" i="8" s="1"/>
  <c r="J401" i="8" a="1"/>
  <c r="J401" i="8" s="1"/>
  <c r="I401" i="8" a="1"/>
  <c r="I401" i="8" s="1"/>
  <c r="H401" i="8" a="1"/>
  <c r="H401" i="8" s="1"/>
  <c r="G401" i="8" a="1"/>
  <c r="G401" i="8" s="1"/>
  <c r="F401" i="8" a="1"/>
  <c r="F401" i="8" s="1"/>
  <c r="E401" i="8" a="1"/>
  <c r="E401" i="8" s="1"/>
  <c r="AB400" i="8" a="1"/>
  <c r="AB400" i="8" s="1"/>
  <c r="AA400" i="8" a="1"/>
  <c r="AA400" i="8" s="1"/>
  <c r="Z400" i="8" a="1"/>
  <c r="Z400" i="8" s="1"/>
  <c r="Y400" i="8" a="1"/>
  <c r="Y400" i="8" s="1"/>
  <c r="X400" i="8" a="1"/>
  <c r="X400" i="8" s="1"/>
  <c r="W400" i="8" a="1"/>
  <c r="W400" i="8" s="1"/>
  <c r="V400" i="8" a="1"/>
  <c r="V400" i="8" s="1"/>
  <c r="U400" i="8" a="1"/>
  <c r="U400" i="8" s="1"/>
  <c r="T400" i="8" a="1"/>
  <c r="T400" i="8" s="1"/>
  <c r="S400" i="8" a="1"/>
  <c r="S400" i="8" s="1"/>
  <c r="R400" i="8" a="1"/>
  <c r="R400" i="8" s="1"/>
  <c r="Q400" i="8" a="1"/>
  <c r="Q400" i="8" s="1"/>
  <c r="P400" i="8" a="1"/>
  <c r="P400" i="8" s="1"/>
  <c r="O400" i="8" a="1"/>
  <c r="O400" i="8" s="1"/>
  <c r="N400" i="8" a="1"/>
  <c r="N400" i="8" s="1"/>
  <c r="M400" i="8" a="1"/>
  <c r="M400" i="8" s="1"/>
  <c r="L400" i="8" a="1"/>
  <c r="L400" i="8" s="1"/>
  <c r="K400" i="8" a="1"/>
  <c r="K400" i="8" s="1"/>
  <c r="J400" i="8" a="1"/>
  <c r="J400" i="8" s="1"/>
  <c r="I400" i="8" a="1"/>
  <c r="I400" i="8" s="1"/>
  <c r="H400" i="8" a="1"/>
  <c r="H400" i="8" s="1"/>
  <c r="G400" i="8" a="1"/>
  <c r="G400" i="8" s="1"/>
  <c r="F400" i="8" a="1"/>
  <c r="F400" i="8" s="1"/>
  <c r="E400" i="8" a="1"/>
  <c r="E400" i="8" s="1"/>
  <c r="AB399" i="8" a="1"/>
  <c r="AB399" i="8" s="1"/>
  <c r="AA399" i="8" a="1"/>
  <c r="AA399" i="8" s="1"/>
  <c r="Z399" i="8" a="1"/>
  <c r="Z399" i="8" s="1"/>
  <c r="Y399" i="8" a="1"/>
  <c r="Y399" i="8" s="1"/>
  <c r="X399" i="8" a="1"/>
  <c r="X399" i="8" s="1"/>
  <c r="W399" i="8" a="1"/>
  <c r="W399" i="8" s="1"/>
  <c r="V399" i="8" a="1"/>
  <c r="V399" i="8" s="1"/>
  <c r="U399" i="8" a="1"/>
  <c r="U399" i="8" s="1"/>
  <c r="T399" i="8" a="1"/>
  <c r="T399" i="8" s="1"/>
  <c r="S399" i="8" a="1"/>
  <c r="S399" i="8" s="1"/>
  <c r="R399" i="8" a="1"/>
  <c r="R399" i="8" s="1"/>
  <c r="Q399" i="8" a="1"/>
  <c r="Q399" i="8" s="1"/>
  <c r="P399" i="8" a="1"/>
  <c r="P399" i="8" s="1"/>
  <c r="O399" i="8" a="1"/>
  <c r="O399" i="8" s="1"/>
  <c r="N399" i="8" a="1"/>
  <c r="N399" i="8" s="1"/>
  <c r="M399" i="8" a="1"/>
  <c r="M399" i="8" s="1"/>
  <c r="L399" i="8" a="1"/>
  <c r="L399" i="8" s="1"/>
  <c r="K399" i="8" a="1"/>
  <c r="K399" i="8" s="1"/>
  <c r="J399" i="8" a="1"/>
  <c r="J399" i="8" s="1"/>
  <c r="I399" i="8" a="1"/>
  <c r="I399" i="8" s="1"/>
  <c r="H399" i="8" a="1"/>
  <c r="H399" i="8" s="1"/>
  <c r="G399" i="8" a="1"/>
  <c r="G399" i="8" s="1"/>
  <c r="F399" i="8" a="1"/>
  <c r="F399" i="8" s="1"/>
  <c r="E399" i="8" a="1"/>
  <c r="E399" i="8" s="1"/>
  <c r="AB398" i="8" a="1"/>
  <c r="AB398" i="8" s="1"/>
  <c r="AA398" i="8" a="1"/>
  <c r="AA398" i="8" s="1"/>
  <c r="Z398" i="8" a="1"/>
  <c r="Z398" i="8" s="1"/>
  <c r="Y398" i="8" a="1"/>
  <c r="Y398" i="8" s="1"/>
  <c r="X398" i="8" a="1"/>
  <c r="X398" i="8" s="1"/>
  <c r="W398" i="8" a="1"/>
  <c r="W398" i="8" s="1"/>
  <c r="V398" i="8" a="1"/>
  <c r="V398" i="8" s="1"/>
  <c r="U398" i="8" a="1"/>
  <c r="U398" i="8" s="1"/>
  <c r="T398" i="8" a="1"/>
  <c r="T398" i="8" s="1"/>
  <c r="S398" i="8" a="1"/>
  <c r="S398" i="8" s="1"/>
  <c r="R398" i="8" a="1"/>
  <c r="R398" i="8" s="1"/>
  <c r="Q398" i="8" a="1"/>
  <c r="Q398" i="8" s="1"/>
  <c r="P398" i="8" a="1"/>
  <c r="P398" i="8" s="1"/>
  <c r="O398" i="8" a="1"/>
  <c r="O398" i="8" s="1"/>
  <c r="N398" i="8" a="1"/>
  <c r="N398" i="8" s="1"/>
  <c r="M398" i="8" a="1"/>
  <c r="M398" i="8" s="1"/>
  <c r="L398" i="8" a="1"/>
  <c r="L398" i="8" s="1"/>
  <c r="K398" i="8" a="1"/>
  <c r="K398" i="8" s="1"/>
  <c r="J398" i="8" a="1"/>
  <c r="J398" i="8" s="1"/>
  <c r="I398" i="8" a="1"/>
  <c r="I398" i="8" s="1"/>
  <c r="H398" i="8" a="1"/>
  <c r="H398" i="8" s="1"/>
  <c r="G398" i="8" a="1"/>
  <c r="G398" i="8" s="1"/>
  <c r="F398" i="8" a="1"/>
  <c r="F398" i="8" s="1"/>
  <c r="E398" i="8" a="1"/>
  <c r="E398" i="8" s="1"/>
  <c r="AB397" i="8" a="1"/>
  <c r="AB397" i="8" s="1"/>
  <c r="AA397" i="8" a="1"/>
  <c r="AA397" i="8" s="1"/>
  <c r="Z397" i="8" a="1"/>
  <c r="Z397" i="8" s="1"/>
  <c r="Y397" i="8" a="1"/>
  <c r="Y397" i="8" s="1"/>
  <c r="X397" i="8" a="1"/>
  <c r="X397" i="8" s="1"/>
  <c r="W397" i="8" a="1"/>
  <c r="W397" i="8" s="1"/>
  <c r="V397" i="8" a="1"/>
  <c r="V397" i="8" s="1"/>
  <c r="U397" i="8" a="1"/>
  <c r="U397" i="8" s="1"/>
  <c r="T397" i="8" a="1"/>
  <c r="T397" i="8" s="1"/>
  <c r="S397" i="8" a="1"/>
  <c r="S397" i="8" s="1"/>
  <c r="R397" i="8" a="1"/>
  <c r="R397" i="8" s="1"/>
  <c r="Q397" i="8" a="1"/>
  <c r="Q397" i="8" s="1"/>
  <c r="P397" i="8" a="1"/>
  <c r="P397" i="8" s="1"/>
  <c r="O397" i="8" a="1"/>
  <c r="O397" i="8" s="1"/>
  <c r="N397" i="8" a="1"/>
  <c r="N397" i="8" s="1"/>
  <c r="M397" i="8" a="1"/>
  <c r="M397" i="8" s="1"/>
  <c r="L397" i="8" a="1"/>
  <c r="L397" i="8" s="1"/>
  <c r="K397" i="8" a="1"/>
  <c r="K397" i="8" s="1"/>
  <c r="J397" i="8" a="1"/>
  <c r="J397" i="8" s="1"/>
  <c r="I397" i="8" a="1"/>
  <c r="I397" i="8" s="1"/>
  <c r="H397" i="8" a="1"/>
  <c r="H397" i="8" s="1"/>
  <c r="G397" i="8" a="1"/>
  <c r="G397" i="8" s="1"/>
  <c r="F397" i="8" a="1"/>
  <c r="F397" i="8" s="1"/>
  <c r="E397" i="8" a="1"/>
  <c r="E397" i="8" s="1"/>
  <c r="AB396" i="8" a="1"/>
  <c r="AB396" i="8" s="1"/>
  <c r="AA396" i="8" a="1"/>
  <c r="AA396" i="8" s="1"/>
  <c r="Z396" i="8" a="1"/>
  <c r="Z396" i="8" s="1"/>
  <c r="Y396" i="8" a="1"/>
  <c r="Y396" i="8" s="1"/>
  <c r="X396" i="8" a="1"/>
  <c r="X396" i="8" s="1"/>
  <c r="W396" i="8" a="1"/>
  <c r="W396" i="8" s="1"/>
  <c r="V396" i="8" a="1"/>
  <c r="V396" i="8" s="1"/>
  <c r="U396" i="8" a="1"/>
  <c r="U396" i="8" s="1"/>
  <c r="T396" i="8" a="1"/>
  <c r="T396" i="8" s="1"/>
  <c r="S396" i="8" a="1"/>
  <c r="S396" i="8" s="1"/>
  <c r="R396" i="8" a="1"/>
  <c r="R396" i="8" s="1"/>
  <c r="Q396" i="8" a="1"/>
  <c r="Q396" i="8" s="1"/>
  <c r="P396" i="8" a="1"/>
  <c r="P396" i="8" s="1"/>
  <c r="O396" i="8" a="1"/>
  <c r="O396" i="8" s="1"/>
  <c r="N396" i="8" a="1"/>
  <c r="N396" i="8" s="1"/>
  <c r="M396" i="8" a="1"/>
  <c r="M396" i="8" s="1"/>
  <c r="L396" i="8" a="1"/>
  <c r="L396" i="8" s="1"/>
  <c r="K396" i="8" a="1"/>
  <c r="K396" i="8" s="1"/>
  <c r="J396" i="8" a="1"/>
  <c r="J396" i="8" s="1"/>
  <c r="I396" i="8" a="1"/>
  <c r="I396" i="8" s="1"/>
  <c r="H396" i="8" a="1"/>
  <c r="H396" i="8" s="1"/>
  <c r="G396" i="8" a="1"/>
  <c r="G396" i="8" s="1"/>
  <c r="F396" i="8" a="1"/>
  <c r="F396" i="8" s="1"/>
  <c r="E396" i="8" a="1"/>
  <c r="E396" i="8" s="1"/>
  <c r="AB395" i="8" a="1"/>
  <c r="AB395" i="8" s="1"/>
  <c r="AA395" i="8" a="1"/>
  <c r="AA395" i="8" s="1"/>
  <c r="Z395" i="8" a="1"/>
  <c r="Z395" i="8" s="1"/>
  <c r="Y395" i="8" a="1"/>
  <c r="Y395" i="8" s="1"/>
  <c r="X395" i="8" a="1"/>
  <c r="X395" i="8" s="1"/>
  <c r="W395" i="8" a="1"/>
  <c r="W395" i="8" s="1"/>
  <c r="V395" i="8" a="1"/>
  <c r="V395" i="8" s="1"/>
  <c r="U395" i="8" a="1"/>
  <c r="U395" i="8" s="1"/>
  <c r="T395" i="8" a="1"/>
  <c r="T395" i="8" s="1"/>
  <c r="S395" i="8" a="1"/>
  <c r="S395" i="8" s="1"/>
  <c r="R395" i="8" a="1"/>
  <c r="R395" i="8" s="1"/>
  <c r="Q395" i="8" a="1"/>
  <c r="Q395" i="8" s="1"/>
  <c r="P395" i="8" a="1"/>
  <c r="P395" i="8" s="1"/>
  <c r="O395" i="8" a="1"/>
  <c r="O395" i="8" s="1"/>
  <c r="N395" i="8" a="1"/>
  <c r="N395" i="8" s="1"/>
  <c r="M395" i="8" a="1"/>
  <c r="M395" i="8" s="1"/>
  <c r="L395" i="8" a="1"/>
  <c r="L395" i="8" s="1"/>
  <c r="K395" i="8" a="1"/>
  <c r="K395" i="8" s="1"/>
  <c r="J395" i="8" a="1"/>
  <c r="J395" i="8" s="1"/>
  <c r="I395" i="8" a="1"/>
  <c r="I395" i="8" s="1"/>
  <c r="H395" i="8" a="1"/>
  <c r="H395" i="8" s="1"/>
  <c r="G395" i="8" a="1"/>
  <c r="G395" i="8" s="1"/>
  <c r="F395" i="8" a="1"/>
  <c r="F395" i="8" s="1"/>
  <c r="E395" i="8" a="1"/>
  <c r="E395" i="8" s="1"/>
  <c r="AB394" i="8" a="1"/>
  <c r="AB394" i="8" s="1"/>
  <c r="AA394" i="8" a="1"/>
  <c r="AA394" i="8" s="1"/>
  <c r="Z394" i="8" a="1"/>
  <c r="Z394" i="8" s="1"/>
  <c r="Y394" i="8" a="1"/>
  <c r="Y394" i="8" s="1"/>
  <c r="X394" i="8" a="1"/>
  <c r="X394" i="8" s="1"/>
  <c r="W394" i="8" a="1"/>
  <c r="W394" i="8" s="1"/>
  <c r="V394" i="8" a="1"/>
  <c r="V394" i="8" s="1"/>
  <c r="U394" i="8" a="1"/>
  <c r="U394" i="8" s="1"/>
  <c r="T394" i="8" a="1"/>
  <c r="T394" i="8" s="1"/>
  <c r="S394" i="8" a="1"/>
  <c r="S394" i="8" s="1"/>
  <c r="R394" i="8" a="1"/>
  <c r="R394" i="8" s="1"/>
  <c r="Q394" i="8" a="1"/>
  <c r="Q394" i="8" s="1"/>
  <c r="P394" i="8" a="1"/>
  <c r="P394" i="8" s="1"/>
  <c r="O394" i="8" a="1"/>
  <c r="O394" i="8" s="1"/>
  <c r="N394" i="8" a="1"/>
  <c r="N394" i="8" s="1"/>
  <c r="M394" i="8" a="1"/>
  <c r="M394" i="8" s="1"/>
  <c r="L394" i="8" a="1"/>
  <c r="L394" i="8" s="1"/>
  <c r="K394" i="8" a="1"/>
  <c r="K394" i="8" s="1"/>
  <c r="J394" i="8" a="1"/>
  <c r="J394" i="8" s="1"/>
  <c r="I394" i="8" a="1"/>
  <c r="I394" i="8" s="1"/>
  <c r="H394" i="8" a="1"/>
  <c r="H394" i="8" s="1"/>
  <c r="G394" i="8" a="1"/>
  <c r="G394" i="8" s="1"/>
  <c r="F394" i="8" a="1"/>
  <c r="F394" i="8" s="1"/>
  <c r="E394" i="8" a="1"/>
  <c r="E394" i="8" s="1"/>
  <c r="AB393" i="8" a="1"/>
  <c r="AB393" i="8" s="1"/>
  <c r="AA393" i="8" a="1"/>
  <c r="AA393" i="8" s="1"/>
  <c r="Z393" i="8" a="1"/>
  <c r="Z393" i="8" s="1"/>
  <c r="Y393" i="8" a="1"/>
  <c r="Y393" i="8" s="1"/>
  <c r="X393" i="8" a="1"/>
  <c r="X393" i="8" s="1"/>
  <c r="W393" i="8" a="1"/>
  <c r="W393" i="8" s="1"/>
  <c r="V393" i="8" a="1"/>
  <c r="V393" i="8" s="1"/>
  <c r="U393" i="8" a="1"/>
  <c r="U393" i="8" s="1"/>
  <c r="T393" i="8" a="1"/>
  <c r="T393" i="8" s="1"/>
  <c r="S393" i="8" a="1"/>
  <c r="S393" i="8" s="1"/>
  <c r="R393" i="8" a="1"/>
  <c r="R393" i="8" s="1"/>
  <c r="Q393" i="8" a="1"/>
  <c r="Q393" i="8" s="1"/>
  <c r="P393" i="8" a="1"/>
  <c r="P393" i="8" s="1"/>
  <c r="O393" i="8" a="1"/>
  <c r="O393" i="8" s="1"/>
  <c r="N393" i="8" a="1"/>
  <c r="N393" i="8" s="1"/>
  <c r="M393" i="8" a="1"/>
  <c r="M393" i="8" s="1"/>
  <c r="L393" i="8" a="1"/>
  <c r="L393" i="8" s="1"/>
  <c r="K393" i="8" a="1"/>
  <c r="K393" i="8" s="1"/>
  <c r="J393" i="8" a="1"/>
  <c r="J393" i="8" s="1"/>
  <c r="I393" i="8" a="1"/>
  <c r="I393" i="8" s="1"/>
  <c r="H393" i="8" a="1"/>
  <c r="H393" i="8" s="1"/>
  <c r="G393" i="8" a="1"/>
  <c r="G393" i="8" s="1"/>
  <c r="F393" i="8" a="1"/>
  <c r="F393" i="8" s="1"/>
  <c r="E393" i="8" a="1"/>
  <c r="E393" i="8" s="1"/>
  <c r="AB392" i="8" a="1"/>
  <c r="AB392" i="8" s="1"/>
  <c r="AA392" i="8" a="1"/>
  <c r="AA392" i="8" s="1"/>
  <c r="Z392" i="8" a="1"/>
  <c r="Z392" i="8" s="1"/>
  <c r="Y392" i="8" a="1"/>
  <c r="Y392" i="8" s="1"/>
  <c r="X392" i="8" a="1"/>
  <c r="X392" i="8" s="1"/>
  <c r="W392" i="8" a="1"/>
  <c r="W392" i="8" s="1"/>
  <c r="V392" i="8" a="1"/>
  <c r="V392" i="8" s="1"/>
  <c r="U392" i="8" a="1"/>
  <c r="U392" i="8" s="1"/>
  <c r="T392" i="8" a="1"/>
  <c r="T392" i="8" s="1"/>
  <c r="S392" i="8" a="1"/>
  <c r="S392" i="8" s="1"/>
  <c r="R392" i="8" a="1"/>
  <c r="R392" i="8" s="1"/>
  <c r="Q392" i="8" a="1"/>
  <c r="Q392" i="8" s="1"/>
  <c r="P392" i="8" a="1"/>
  <c r="P392" i="8" s="1"/>
  <c r="O392" i="8" a="1"/>
  <c r="O392" i="8" s="1"/>
  <c r="N392" i="8" a="1"/>
  <c r="N392" i="8" s="1"/>
  <c r="M392" i="8" a="1"/>
  <c r="M392" i="8" s="1"/>
  <c r="L392" i="8" a="1"/>
  <c r="L392" i="8" s="1"/>
  <c r="K392" i="8" a="1"/>
  <c r="K392" i="8" s="1"/>
  <c r="J392" i="8" a="1"/>
  <c r="J392" i="8" s="1"/>
  <c r="I392" i="8" a="1"/>
  <c r="I392" i="8" s="1"/>
  <c r="H392" i="8" a="1"/>
  <c r="H392" i="8" s="1"/>
  <c r="G392" i="8" a="1"/>
  <c r="G392" i="8" s="1"/>
  <c r="F392" i="8" a="1"/>
  <c r="F392" i="8" s="1"/>
  <c r="E392" i="8" a="1"/>
  <c r="E392" i="8" s="1"/>
  <c r="AB391" i="8" a="1"/>
  <c r="AB391" i="8" s="1"/>
  <c r="AA391" i="8" a="1"/>
  <c r="AA391" i="8" s="1"/>
  <c r="Z391" i="8" a="1"/>
  <c r="Z391" i="8" s="1"/>
  <c r="Y391" i="8" a="1"/>
  <c r="Y391" i="8" s="1"/>
  <c r="X391" i="8" a="1"/>
  <c r="X391" i="8" s="1"/>
  <c r="W391" i="8" a="1"/>
  <c r="W391" i="8" s="1"/>
  <c r="V391" i="8" a="1"/>
  <c r="V391" i="8" s="1"/>
  <c r="U391" i="8" a="1"/>
  <c r="U391" i="8" s="1"/>
  <c r="T391" i="8" a="1"/>
  <c r="T391" i="8" s="1"/>
  <c r="S391" i="8" a="1"/>
  <c r="S391" i="8" s="1"/>
  <c r="R391" i="8" a="1"/>
  <c r="R391" i="8" s="1"/>
  <c r="Q391" i="8" a="1"/>
  <c r="Q391" i="8" s="1"/>
  <c r="P391" i="8" a="1"/>
  <c r="P391" i="8" s="1"/>
  <c r="O391" i="8" a="1"/>
  <c r="O391" i="8" s="1"/>
  <c r="N391" i="8" a="1"/>
  <c r="N391" i="8" s="1"/>
  <c r="M391" i="8" a="1"/>
  <c r="M391" i="8" s="1"/>
  <c r="L391" i="8" a="1"/>
  <c r="L391" i="8" s="1"/>
  <c r="K391" i="8" a="1"/>
  <c r="K391" i="8" s="1"/>
  <c r="J391" i="8" a="1"/>
  <c r="J391" i="8" s="1"/>
  <c r="I391" i="8" a="1"/>
  <c r="I391" i="8" s="1"/>
  <c r="H391" i="8" a="1"/>
  <c r="H391" i="8" s="1"/>
  <c r="G391" i="8" a="1"/>
  <c r="G391" i="8" s="1"/>
  <c r="F391" i="8" a="1"/>
  <c r="F391" i="8" s="1"/>
  <c r="E391" i="8" a="1"/>
  <c r="E391" i="8" s="1"/>
  <c r="AB390" i="8" a="1"/>
  <c r="AB390" i="8" s="1"/>
  <c r="AA390" i="8" a="1"/>
  <c r="AA390" i="8" s="1"/>
  <c r="Z390" i="8" a="1"/>
  <c r="Z390" i="8" s="1"/>
  <c r="Y390" i="8" a="1"/>
  <c r="Y390" i="8" s="1"/>
  <c r="X390" i="8" a="1"/>
  <c r="X390" i="8" s="1"/>
  <c r="W390" i="8" a="1"/>
  <c r="W390" i="8" s="1"/>
  <c r="V390" i="8" a="1"/>
  <c r="V390" i="8" s="1"/>
  <c r="U390" i="8" a="1"/>
  <c r="U390" i="8" s="1"/>
  <c r="T390" i="8" a="1"/>
  <c r="T390" i="8" s="1"/>
  <c r="S390" i="8" a="1"/>
  <c r="S390" i="8" s="1"/>
  <c r="R390" i="8" a="1"/>
  <c r="R390" i="8" s="1"/>
  <c r="Q390" i="8" a="1"/>
  <c r="Q390" i="8" s="1"/>
  <c r="P390" i="8" a="1"/>
  <c r="P390" i="8" s="1"/>
  <c r="O390" i="8" a="1"/>
  <c r="O390" i="8" s="1"/>
  <c r="N390" i="8" a="1"/>
  <c r="N390" i="8" s="1"/>
  <c r="M390" i="8" a="1"/>
  <c r="M390" i="8" s="1"/>
  <c r="L390" i="8" a="1"/>
  <c r="L390" i="8" s="1"/>
  <c r="K390" i="8" a="1"/>
  <c r="K390" i="8" s="1"/>
  <c r="J390" i="8" a="1"/>
  <c r="J390" i="8" s="1"/>
  <c r="I390" i="8" a="1"/>
  <c r="I390" i="8" s="1"/>
  <c r="H390" i="8" a="1"/>
  <c r="H390" i="8" s="1"/>
  <c r="G390" i="8" a="1"/>
  <c r="G390" i="8" s="1"/>
  <c r="F390" i="8" a="1"/>
  <c r="F390" i="8" s="1"/>
  <c r="E390" i="8" a="1"/>
  <c r="E390" i="8" s="1"/>
  <c r="AB389" i="8" a="1"/>
  <c r="AB389" i="8" s="1"/>
  <c r="AA389" i="8" a="1"/>
  <c r="AA389" i="8" s="1"/>
  <c r="Z389" i="8" a="1"/>
  <c r="Z389" i="8" s="1"/>
  <c r="Y389" i="8" a="1"/>
  <c r="Y389" i="8" s="1"/>
  <c r="X389" i="8" a="1"/>
  <c r="X389" i="8" s="1"/>
  <c r="W389" i="8" a="1"/>
  <c r="W389" i="8" s="1"/>
  <c r="V389" i="8" a="1"/>
  <c r="V389" i="8" s="1"/>
  <c r="U389" i="8" a="1"/>
  <c r="U389" i="8" s="1"/>
  <c r="T389" i="8" a="1"/>
  <c r="T389" i="8" s="1"/>
  <c r="S389" i="8" a="1"/>
  <c r="S389" i="8" s="1"/>
  <c r="R389" i="8" a="1"/>
  <c r="R389" i="8" s="1"/>
  <c r="Q389" i="8" a="1"/>
  <c r="Q389" i="8" s="1"/>
  <c r="P389" i="8" a="1"/>
  <c r="P389" i="8" s="1"/>
  <c r="O389" i="8" a="1"/>
  <c r="O389" i="8" s="1"/>
  <c r="N389" i="8" a="1"/>
  <c r="N389" i="8" s="1"/>
  <c r="M389" i="8" a="1"/>
  <c r="M389" i="8" s="1"/>
  <c r="L389" i="8" a="1"/>
  <c r="L389" i="8" s="1"/>
  <c r="K389" i="8" a="1"/>
  <c r="K389" i="8" s="1"/>
  <c r="J389" i="8" a="1"/>
  <c r="J389" i="8" s="1"/>
  <c r="I389" i="8" a="1"/>
  <c r="I389" i="8" s="1"/>
  <c r="H389" i="8" a="1"/>
  <c r="H389" i="8" s="1"/>
  <c r="G389" i="8" a="1"/>
  <c r="G389" i="8" s="1"/>
  <c r="F389" i="8" a="1"/>
  <c r="F389" i="8" s="1"/>
  <c r="E389" i="8" a="1"/>
  <c r="E389" i="8" s="1"/>
  <c r="AB388" i="8" a="1"/>
  <c r="AB388" i="8" s="1"/>
  <c r="AA388" i="8" a="1"/>
  <c r="AA388" i="8" s="1"/>
  <c r="Z388" i="8" a="1"/>
  <c r="Z388" i="8" s="1"/>
  <c r="Y388" i="8" a="1"/>
  <c r="Y388" i="8" s="1"/>
  <c r="X388" i="8" a="1"/>
  <c r="X388" i="8" s="1"/>
  <c r="W388" i="8" a="1"/>
  <c r="W388" i="8" s="1"/>
  <c r="V388" i="8" a="1"/>
  <c r="V388" i="8" s="1"/>
  <c r="U388" i="8" a="1"/>
  <c r="U388" i="8" s="1"/>
  <c r="T388" i="8" a="1"/>
  <c r="T388" i="8" s="1"/>
  <c r="S388" i="8" a="1"/>
  <c r="S388" i="8" s="1"/>
  <c r="R388" i="8" a="1"/>
  <c r="R388" i="8" s="1"/>
  <c r="Q388" i="8" a="1"/>
  <c r="Q388" i="8" s="1"/>
  <c r="P388" i="8" a="1"/>
  <c r="P388" i="8" s="1"/>
  <c r="O388" i="8" a="1"/>
  <c r="O388" i="8" s="1"/>
  <c r="N388" i="8" a="1"/>
  <c r="N388" i="8" s="1"/>
  <c r="M388" i="8" a="1"/>
  <c r="M388" i="8" s="1"/>
  <c r="L388" i="8" a="1"/>
  <c r="L388" i="8" s="1"/>
  <c r="K388" i="8" a="1"/>
  <c r="K388" i="8" s="1"/>
  <c r="J388" i="8" a="1"/>
  <c r="J388" i="8" s="1"/>
  <c r="I388" i="8" a="1"/>
  <c r="I388" i="8" s="1"/>
  <c r="H388" i="8" a="1"/>
  <c r="H388" i="8" s="1"/>
  <c r="G388" i="8" a="1"/>
  <c r="G388" i="8" s="1"/>
  <c r="F388" i="8" a="1"/>
  <c r="F388" i="8" s="1"/>
  <c r="E388" i="8" a="1"/>
  <c r="E388" i="8" s="1"/>
  <c r="AB387" i="8" a="1"/>
  <c r="AB387" i="8" s="1"/>
  <c r="AA387" i="8" a="1"/>
  <c r="AA387" i="8" s="1"/>
  <c r="Z387" i="8" a="1"/>
  <c r="Z387" i="8" s="1"/>
  <c r="Y387" i="8" a="1"/>
  <c r="Y387" i="8" s="1"/>
  <c r="X387" i="8" a="1"/>
  <c r="X387" i="8" s="1"/>
  <c r="W387" i="8" a="1"/>
  <c r="W387" i="8" s="1"/>
  <c r="V387" i="8" a="1"/>
  <c r="V387" i="8" s="1"/>
  <c r="U387" i="8" a="1"/>
  <c r="U387" i="8" s="1"/>
  <c r="T387" i="8" a="1"/>
  <c r="T387" i="8" s="1"/>
  <c r="S387" i="8" a="1"/>
  <c r="S387" i="8" s="1"/>
  <c r="R387" i="8" a="1"/>
  <c r="R387" i="8" s="1"/>
  <c r="Q387" i="8" a="1"/>
  <c r="Q387" i="8" s="1"/>
  <c r="P387" i="8" a="1"/>
  <c r="P387" i="8" s="1"/>
  <c r="O387" i="8" a="1"/>
  <c r="O387" i="8" s="1"/>
  <c r="N387" i="8" a="1"/>
  <c r="N387" i="8" s="1"/>
  <c r="M387" i="8" a="1"/>
  <c r="M387" i="8" s="1"/>
  <c r="L387" i="8" a="1"/>
  <c r="L387" i="8" s="1"/>
  <c r="K387" i="8" a="1"/>
  <c r="K387" i="8" s="1"/>
  <c r="J387" i="8" a="1"/>
  <c r="J387" i="8" s="1"/>
  <c r="I387" i="8" a="1"/>
  <c r="I387" i="8" s="1"/>
  <c r="H387" i="8" a="1"/>
  <c r="H387" i="8" s="1"/>
  <c r="G387" i="8" a="1"/>
  <c r="G387" i="8" s="1"/>
  <c r="F387" i="8" a="1"/>
  <c r="F387" i="8" s="1"/>
  <c r="E387" i="8" a="1"/>
  <c r="E387" i="8" s="1"/>
  <c r="AB386" i="8" a="1"/>
  <c r="AB386" i="8" s="1"/>
  <c r="AA386" i="8" a="1"/>
  <c r="AA386" i="8" s="1"/>
  <c r="Z386" i="8" a="1"/>
  <c r="Z386" i="8" s="1"/>
  <c r="Y386" i="8" a="1"/>
  <c r="Y386" i="8" s="1"/>
  <c r="X386" i="8" a="1"/>
  <c r="X386" i="8" s="1"/>
  <c r="W386" i="8" a="1"/>
  <c r="W386" i="8" s="1"/>
  <c r="V386" i="8" a="1"/>
  <c r="V386" i="8" s="1"/>
  <c r="U386" i="8" a="1"/>
  <c r="U386" i="8" s="1"/>
  <c r="T386" i="8" a="1"/>
  <c r="T386" i="8" s="1"/>
  <c r="S386" i="8" a="1"/>
  <c r="S386" i="8" s="1"/>
  <c r="R386" i="8" a="1"/>
  <c r="R386" i="8" s="1"/>
  <c r="Q386" i="8" a="1"/>
  <c r="Q386" i="8" s="1"/>
  <c r="P386" i="8" a="1"/>
  <c r="P386" i="8" s="1"/>
  <c r="O386" i="8" a="1"/>
  <c r="O386" i="8" s="1"/>
  <c r="N386" i="8" a="1"/>
  <c r="N386" i="8" s="1"/>
  <c r="M386" i="8" a="1"/>
  <c r="M386" i="8" s="1"/>
  <c r="L386" i="8" a="1"/>
  <c r="L386" i="8" s="1"/>
  <c r="K386" i="8" a="1"/>
  <c r="K386" i="8" s="1"/>
  <c r="J386" i="8" a="1"/>
  <c r="J386" i="8" s="1"/>
  <c r="I386" i="8" a="1"/>
  <c r="I386" i="8" s="1"/>
  <c r="H386" i="8" a="1"/>
  <c r="H386" i="8" s="1"/>
  <c r="G386" i="8" a="1"/>
  <c r="G386" i="8" s="1"/>
  <c r="F386" i="8" a="1"/>
  <c r="F386" i="8" s="1"/>
  <c r="E386" i="8" a="1"/>
  <c r="E386" i="8" s="1"/>
  <c r="AB385" i="8" a="1"/>
  <c r="AB385" i="8" s="1"/>
  <c r="AA385" i="8" a="1"/>
  <c r="AA385" i="8" s="1"/>
  <c r="Z385" i="8" a="1"/>
  <c r="Z385" i="8" s="1"/>
  <c r="Y385" i="8" a="1"/>
  <c r="Y385" i="8" s="1"/>
  <c r="X385" i="8" a="1"/>
  <c r="X385" i="8" s="1"/>
  <c r="W385" i="8" a="1"/>
  <c r="W385" i="8" s="1"/>
  <c r="V385" i="8" a="1"/>
  <c r="V385" i="8" s="1"/>
  <c r="U385" i="8" a="1"/>
  <c r="U385" i="8" s="1"/>
  <c r="T385" i="8" a="1"/>
  <c r="T385" i="8" s="1"/>
  <c r="S385" i="8" a="1"/>
  <c r="S385" i="8" s="1"/>
  <c r="R385" i="8" a="1"/>
  <c r="R385" i="8" s="1"/>
  <c r="Q385" i="8" a="1"/>
  <c r="Q385" i="8" s="1"/>
  <c r="P385" i="8" a="1"/>
  <c r="P385" i="8" s="1"/>
  <c r="O385" i="8" a="1"/>
  <c r="O385" i="8" s="1"/>
  <c r="N385" i="8" a="1"/>
  <c r="N385" i="8" s="1"/>
  <c r="M385" i="8" a="1"/>
  <c r="M385" i="8" s="1"/>
  <c r="L385" i="8" a="1"/>
  <c r="L385" i="8" s="1"/>
  <c r="K385" i="8" a="1"/>
  <c r="K385" i="8" s="1"/>
  <c r="J385" i="8" a="1"/>
  <c r="J385" i="8" s="1"/>
  <c r="I385" i="8" a="1"/>
  <c r="I385" i="8" s="1"/>
  <c r="H385" i="8" a="1"/>
  <c r="H385" i="8" s="1"/>
  <c r="G385" i="8" a="1"/>
  <c r="G385" i="8" s="1"/>
  <c r="F385" i="8" a="1"/>
  <c r="F385" i="8" s="1"/>
  <c r="E385" i="8" a="1"/>
  <c r="E385" i="8" s="1"/>
  <c r="AB384" i="8" a="1"/>
  <c r="AB384" i="8" s="1"/>
  <c r="AA384" i="8" a="1"/>
  <c r="AA384" i="8" s="1"/>
  <c r="Z384" i="8" a="1"/>
  <c r="Z384" i="8" s="1"/>
  <c r="Y384" i="8" a="1"/>
  <c r="Y384" i="8" s="1"/>
  <c r="X384" i="8" a="1"/>
  <c r="X384" i="8" s="1"/>
  <c r="W384" i="8" a="1"/>
  <c r="W384" i="8" s="1"/>
  <c r="V384" i="8" a="1"/>
  <c r="V384" i="8" s="1"/>
  <c r="U384" i="8" a="1"/>
  <c r="U384" i="8" s="1"/>
  <c r="T384" i="8" a="1"/>
  <c r="T384" i="8" s="1"/>
  <c r="S384" i="8" a="1"/>
  <c r="S384" i="8" s="1"/>
  <c r="R384" i="8" a="1"/>
  <c r="R384" i="8" s="1"/>
  <c r="Q384" i="8" a="1"/>
  <c r="Q384" i="8" s="1"/>
  <c r="P384" i="8" a="1"/>
  <c r="P384" i="8" s="1"/>
  <c r="O384" i="8" a="1"/>
  <c r="O384" i="8" s="1"/>
  <c r="N384" i="8" a="1"/>
  <c r="N384" i="8" s="1"/>
  <c r="M384" i="8" a="1"/>
  <c r="M384" i="8" s="1"/>
  <c r="L384" i="8" a="1"/>
  <c r="L384" i="8" s="1"/>
  <c r="K384" i="8" a="1"/>
  <c r="K384" i="8" s="1"/>
  <c r="J384" i="8" a="1"/>
  <c r="J384" i="8" s="1"/>
  <c r="I384" i="8" a="1"/>
  <c r="I384" i="8" s="1"/>
  <c r="H384" i="8" a="1"/>
  <c r="H384" i="8" s="1"/>
  <c r="G384" i="8" a="1"/>
  <c r="G384" i="8" s="1"/>
  <c r="F384" i="8" a="1"/>
  <c r="F384" i="8" s="1"/>
  <c r="E384" i="8" a="1"/>
  <c r="E384" i="8" s="1"/>
  <c r="AB383" i="8" a="1"/>
  <c r="AB383" i="8" s="1"/>
  <c r="AA383" i="8" a="1"/>
  <c r="AA383" i="8" s="1"/>
  <c r="Z383" i="8" a="1"/>
  <c r="Z383" i="8" s="1"/>
  <c r="Y383" i="8" a="1"/>
  <c r="Y383" i="8" s="1"/>
  <c r="X383" i="8" a="1"/>
  <c r="X383" i="8" s="1"/>
  <c r="W383" i="8" a="1"/>
  <c r="W383" i="8" s="1"/>
  <c r="V383" i="8" a="1"/>
  <c r="V383" i="8" s="1"/>
  <c r="U383" i="8" a="1"/>
  <c r="U383" i="8" s="1"/>
  <c r="T383" i="8" a="1"/>
  <c r="T383" i="8" s="1"/>
  <c r="S383" i="8" a="1"/>
  <c r="S383" i="8" s="1"/>
  <c r="R383" i="8" a="1"/>
  <c r="R383" i="8" s="1"/>
  <c r="Q383" i="8" a="1"/>
  <c r="Q383" i="8" s="1"/>
  <c r="P383" i="8" a="1"/>
  <c r="P383" i="8" s="1"/>
  <c r="O383" i="8" a="1"/>
  <c r="O383" i="8" s="1"/>
  <c r="N383" i="8" a="1"/>
  <c r="N383" i="8" s="1"/>
  <c r="M383" i="8" a="1"/>
  <c r="M383" i="8" s="1"/>
  <c r="L383" i="8" a="1"/>
  <c r="L383" i="8" s="1"/>
  <c r="K383" i="8" a="1"/>
  <c r="K383" i="8" s="1"/>
  <c r="J383" i="8" a="1"/>
  <c r="J383" i="8" s="1"/>
  <c r="I383" i="8" a="1"/>
  <c r="I383" i="8" s="1"/>
  <c r="H383" i="8" a="1"/>
  <c r="H383" i="8" s="1"/>
  <c r="G383" i="8" a="1"/>
  <c r="G383" i="8" s="1"/>
  <c r="F383" i="8" a="1"/>
  <c r="F383" i="8" s="1"/>
  <c r="E383" i="8" a="1"/>
  <c r="E383" i="8" s="1"/>
  <c r="AB382" i="8" a="1"/>
  <c r="AB382" i="8" s="1"/>
  <c r="AA382" i="8" a="1"/>
  <c r="AA382" i="8" s="1"/>
  <c r="Z382" i="8" a="1"/>
  <c r="Z382" i="8" s="1"/>
  <c r="Y382" i="8" a="1"/>
  <c r="Y382" i="8" s="1"/>
  <c r="X382" i="8" a="1"/>
  <c r="X382" i="8" s="1"/>
  <c r="W382" i="8" a="1"/>
  <c r="W382" i="8" s="1"/>
  <c r="V382" i="8" a="1"/>
  <c r="V382" i="8" s="1"/>
  <c r="U382" i="8" a="1"/>
  <c r="U382" i="8" s="1"/>
  <c r="T382" i="8" a="1"/>
  <c r="T382" i="8" s="1"/>
  <c r="S382" i="8" a="1"/>
  <c r="S382" i="8" s="1"/>
  <c r="R382" i="8" a="1"/>
  <c r="R382" i="8" s="1"/>
  <c r="Q382" i="8" a="1"/>
  <c r="Q382" i="8" s="1"/>
  <c r="P382" i="8" a="1"/>
  <c r="P382" i="8" s="1"/>
  <c r="O382" i="8" a="1"/>
  <c r="O382" i="8" s="1"/>
  <c r="N382" i="8" a="1"/>
  <c r="N382" i="8" s="1"/>
  <c r="M382" i="8" a="1"/>
  <c r="M382" i="8" s="1"/>
  <c r="L382" i="8" a="1"/>
  <c r="L382" i="8" s="1"/>
  <c r="K382" i="8" a="1"/>
  <c r="K382" i="8" s="1"/>
  <c r="J382" i="8" a="1"/>
  <c r="J382" i="8" s="1"/>
  <c r="I382" i="8" a="1"/>
  <c r="I382" i="8" s="1"/>
  <c r="H382" i="8" a="1"/>
  <c r="H382" i="8" s="1"/>
  <c r="G382" i="8" a="1"/>
  <c r="G382" i="8" s="1"/>
  <c r="F382" i="8" a="1"/>
  <c r="F382" i="8" s="1"/>
  <c r="E382" i="8" a="1"/>
  <c r="E382" i="8" s="1"/>
  <c r="AB381" i="8" a="1"/>
  <c r="AB381" i="8" s="1"/>
  <c r="AA381" i="8" a="1"/>
  <c r="AA381" i="8" s="1"/>
  <c r="Z381" i="8" a="1"/>
  <c r="Z381" i="8" s="1"/>
  <c r="Y381" i="8" a="1"/>
  <c r="Y381" i="8" s="1"/>
  <c r="X381" i="8" a="1"/>
  <c r="X381" i="8" s="1"/>
  <c r="W381" i="8" a="1"/>
  <c r="W381" i="8" s="1"/>
  <c r="V381" i="8" a="1"/>
  <c r="V381" i="8" s="1"/>
  <c r="U381" i="8" a="1"/>
  <c r="U381" i="8" s="1"/>
  <c r="T381" i="8" a="1"/>
  <c r="T381" i="8" s="1"/>
  <c r="S381" i="8" a="1"/>
  <c r="S381" i="8" s="1"/>
  <c r="R381" i="8" a="1"/>
  <c r="R381" i="8" s="1"/>
  <c r="Q381" i="8" a="1"/>
  <c r="Q381" i="8" s="1"/>
  <c r="P381" i="8" a="1"/>
  <c r="P381" i="8" s="1"/>
  <c r="O381" i="8" a="1"/>
  <c r="O381" i="8" s="1"/>
  <c r="N381" i="8" a="1"/>
  <c r="N381" i="8" s="1"/>
  <c r="M381" i="8" a="1"/>
  <c r="M381" i="8" s="1"/>
  <c r="L381" i="8" a="1"/>
  <c r="L381" i="8" s="1"/>
  <c r="K381" i="8" a="1"/>
  <c r="K381" i="8" s="1"/>
  <c r="J381" i="8" a="1"/>
  <c r="J381" i="8" s="1"/>
  <c r="I381" i="8" a="1"/>
  <c r="I381" i="8" s="1"/>
  <c r="H381" i="8" a="1"/>
  <c r="H381" i="8" s="1"/>
  <c r="G381" i="8" a="1"/>
  <c r="G381" i="8" s="1"/>
  <c r="F381" i="8" a="1"/>
  <c r="F381" i="8" s="1"/>
  <c r="E381" i="8" a="1"/>
  <c r="E381" i="8" s="1"/>
  <c r="AB380" i="8" a="1"/>
  <c r="AB380" i="8" s="1"/>
  <c r="AA380" i="8" a="1"/>
  <c r="AA380" i="8" s="1"/>
  <c r="Z380" i="8" a="1"/>
  <c r="Z380" i="8" s="1"/>
  <c r="Y380" i="8" a="1"/>
  <c r="Y380" i="8" s="1"/>
  <c r="X380" i="8" a="1"/>
  <c r="X380" i="8" s="1"/>
  <c r="W380" i="8" a="1"/>
  <c r="W380" i="8" s="1"/>
  <c r="V380" i="8" a="1"/>
  <c r="V380" i="8" s="1"/>
  <c r="U380" i="8" a="1"/>
  <c r="U380" i="8" s="1"/>
  <c r="T380" i="8" a="1"/>
  <c r="T380" i="8" s="1"/>
  <c r="S380" i="8" a="1"/>
  <c r="S380" i="8" s="1"/>
  <c r="R380" i="8" a="1"/>
  <c r="R380" i="8" s="1"/>
  <c r="Q380" i="8" a="1"/>
  <c r="Q380" i="8" s="1"/>
  <c r="P380" i="8" a="1"/>
  <c r="P380" i="8" s="1"/>
  <c r="O380" i="8" a="1"/>
  <c r="O380" i="8" s="1"/>
  <c r="N380" i="8" a="1"/>
  <c r="N380" i="8" s="1"/>
  <c r="M380" i="8" a="1"/>
  <c r="M380" i="8" s="1"/>
  <c r="L380" i="8" a="1"/>
  <c r="L380" i="8" s="1"/>
  <c r="K380" i="8" a="1"/>
  <c r="K380" i="8" s="1"/>
  <c r="J380" i="8" a="1"/>
  <c r="J380" i="8" s="1"/>
  <c r="I380" i="8" a="1"/>
  <c r="I380" i="8" s="1"/>
  <c r="H380" i="8" a="1"/>
  <c r="H380" i="8" s="1"/>
  <c r="G380" i="8" a="1"/>
  <c r="G380" i="8" s="1"/>
  <c r="F380" i="8" a="1"/>
  <c r="F380" i="8" s="1"/>
  <c r="E380" i="8" a="1"/>
  <c r="E380" i="8" s="1"/>
  <c r="AB379" i="8" a="1"/>
  <c r="AB379" i="8" s="1"/>
  <c r="AA379" i="8" a="1"/>
  <c r="AA379" i="8" s="1"/>
  <c r="Z379" i="8" a="1"/>
  <c r="Z379" i="8" s="1"/>
  <c r="Y379" i="8" a="1"/>
  <c r="Y379" i="8" s="1"/>
  <c r="X379" i="8" a="1"/>
  <c r="X379" i="8" s="1"/>
  <c r="W379" i="8" a="1"/>
  <c r="W379" i="8" s="1"/>
  <c r="V379" i="8" a="1"/>
  <c r="V379" i="8" s="1"/>
  <c r="U379" i="8" a="1"/>
  <c r="U379" i="8" s="1"/>
  <c r="T379" i="8" a="1"/>
  <c r="T379" i="8" s="1"/>
  <c r="S379" i="8" a="1"/>
  <c r="S379" i="8" s="1"/>
  <c r="R379" i="8" a="1"/>
  <c r="R379" i="8" s="1"/>
  <c r="Q379" i="8" a="1"/>
  <c r="Q379" i="8" s="1"/>
  <c r="P379" i="8" a="1"/>
  <c r="P379" i="8" s="1"/>
  <c r="O379" i="8" a="1"/>
  <c r="O379" i="8" s="1"/>
  <c r="N379" i="8" a="1"/>
  <c r="N379" i="8" s="1"/>
  <c r="M379" i="8" a="1"/>
  <c r="M379" i="8" s="1"/>
  <c r="L379" i="8" a="1"/>
  <c r="L379" i="8" s="1"/>
  <c r="K379" i="8" a="1"/>
  <c r="K379" i="8" s="1"/>
  <c r="J379" i="8" a="1"/>
  <c r="J379" i="8" s="1"/>
  <c r="I379" i="8" a="1"/>
  <c r="I379" i="8" s="1"/>
  <c r="H379" i="8" a="1"/>
  <c r="H379" i="8" s="1"/>
  <c r="G379" i="8" a="1"/>
  <c r="G379" i="8" s="1"/>
  <c r="F379" i="8" a="1"/>
  <c r="F379" i="8" s="1"/>
  <c r="E379" i="8" a="1"/>
  <c r="E379" i="8" s="1"/>
  <c r="AB378" i="8" a="1"/>
  <c r="AB378" i="8" s="1"/>
  <c r="AA378" i="8" a="1"/>
  <c r="AA378" i="8" s="1"/>
  <c r="Z378" i="8" a="1"/>
  <c r="Z378" i="8" s="1"/>
  <c r="Y378" i="8" a="1"/>
  <c r="Y378" i="8" s="1"/>
  <c r="X378" i="8" a="1"/>
  <c r="X378" i="8" s="1"/>
  <c r="W378" i="8" a="1"/>
  <c r="W378" i="8" s="1"/>
  <c r="V378" i="8" a="1"/>
  <c r="V378" i="8" s="1"/>
  <c r="U378" i="8" a="1"/>
  <c r="U378" i="8" s="1"/>
  <c r="T378" i="8" a="1"/>
  <c r="T378" i="8" s="1"/>
  <c r="S378" i="8" a="1"/>
  <c r="S378" i="8" s="1"/>
  <c r="R378" i="8" a="1"/>
  <c r="R378" i="8" s="1"/>
  <c r="Q378" i="8" a="1"/>
  <c r="Q378" i="8" s="1"/>
  <c r="P378" i="8" a="1"/>
  <c r="P378" i="8" s="1"/>
  <c r="O378" i="8" a="1"/>
  <c r="O378" i="8" s="1"/>
  <c r="N378" i="8" a="1"/>
  <c r="N378" i="8" s="1"/>
  <c r="M378" i="8" a="1"/>
  <c r="M378" i="8" s="1"/>
  <c r="L378" i="8" a="1"/>
  <c r="L378" i="8" s="1"/>
  <c r="K378" i="8" a="1"/>
  <c r="K378" i="8" s="1"/>
  <c r="J378" i="8" a="1"/>
  <c r="J378" i="8" s="1"/>
  <c r="I378" i="8" a="1"/>
  <c r="I378" i="8" s="1"/>
  <c r="H378" i="8" a="1"/>
  <c r="H378" i="8" s="1"/>
  <c r="G378" i="8" a="1"/>
  <c r="G378" i="8" s="1"/>
  <c r="F378" i="8" a="1"/>
  <c r="F378" i="8" s="1"/>
  <c r="E378" i="8" a="1"/>
  <c r="E378" i="8" s="1"/>
  <c r="AB377" i="8" a="1"/>
  <c r="AB377" i="8" s="1"/>
  <c r="AA377" i="8" a="1"/>
  <c r="AA377" i="8" s="1"/>
  <c r="Z377" i="8" a="1"/>
  <c r="Z377" i="8" s="1"/>
  <c r="Y377" i="8" a="1"/>
  <c r="Y377" i="8" s="1"/>
  <c r="X377" i="8" a="1"/>
  <c r="X377" i="8" s="1"/>
  <c r="W377" i="8" a="1"/>
  <c r="W377" i="8" s="1"/>
  <c r="V377" i="8" a="1"/>
  <c r="V377" i="8" s="1"/>
  <c r="U377" i="8" a="1"/>
  <c r="U377" i="8" s="1"/>
  <c r="T377" i="8" a="1"/>
  <c r="T377" i="8" s="1"/>
  <c r="S377" i="8" a="1"/>
  <c r="S377" i="8" s="1"/>
  <c r="R377" i="8" a="1"/>
  <c r="R377" i="8" s="1"/>
  <c r="Q377" i="8" a="1"/>
  <c r="Q377" i="8" s="1"/>
  <c r="P377" i="8" a="1"/>
  <c r="P377" i="8" s="1"/>
  <c r="O377" i="8" a="1"/>
  <c r="O377" i="8" s="1"/>
  <c r="N377" i="8" a="1"/>
  <c r="N377" i="8" s="1"/>
  <c r="M377" i="8" a="1"/>
  <c r="M377" i="8" s="1"/>
  <c r="L377" i="8" a="1"/>
  <c r="L377" i="8" s="1"/>
  <c r="K377" i="8" a="1"/>
  <c r="K377" i="8" s="1"/>
  <c r="J377" i="8" a="1"/>
  <c r="J377" i="8" s="1"/>
  <c r="I377" i="8" a="1"/>
  <c r="I377" i="8" s="1"/>
  <c r="H377" i="8" a="1"/>
  <c r="H377" i="8" s="1"/>
  <c r="G377" i="8" a="1"/>
  <c r="G377" i="8" s="1"/>
  <c r="F377" i="8" a="1"/>
  <c r="F377" i="8" s="1"/>
  <c r="E377" i="8" a="1"/>
  <c r="E377" i="8" s="1"/>
  <c r="AB376" i="8" a="1"/>
  <c r="AB376" i="8" s="1"/>
  <c r="AA376" i="8" a="1"/>
  <c r="AA376" i="8" s="1"/>
  <c r="Z376" i="8" a="1"/>
  <c r="Z376" i="8" s="1"/>
  <c r="Y376" i="8" a="1"/>
  <c r="Y376" i="8" s="1"/>
  <c r="X376" i="8" a="1"/>
  <c r="X376" i="8" s="1"/>
  <c r="W376" i="8" a="1"/>
  <c r="W376" i="8" s="1"/>
  <c r="V376" i="8" a="1"/>
  <c r="V376" i="8" s="1"/>
  <c r="U376" i="8" a="1"/>
  <c r="U376" i="8" s="1"/>
  <c r="T376" i="8" a="1"/>
  <c r="T376" i="8" s="1"/>
  <c r="S376" i="8" a="1"/>
  <c r="S376" i="8" s="1"/>
  <c r="R376" i="8" a="1"/>
  <c r="R376" i="8" s="1"/>
  <c r="Q376" i="8" a="1"/>
  <c r="Q376" i="8" s="1"/>
  <c r="P376" i="8" a="1"/>
  <c r="P376" i="8" s="1"/>
  <c r="O376" i="8" a="1"/>
  <c r="O376" i="8" s="1"/>
  <c r="N376" i="8" a="1"/>
  <c r="N376" i="8" s="1"/>
  <c r="M376" i="8" a="1"/>
  <c r="M376" i="8" s="1"/>
  <c r="L376" i="8" a="1"/>
  <c r="L376" i="8" s="1"/>
  <c r="K376" i="8" a="1"/>
  <c r="K376" i="8" s="1"/>
  <c r="J376" i="8" a="1"/>
  <c r="J376" i="8" s="1"/>
  <c r="I376" i="8" a="1"/>
  <c r="I376" i="8" s="1"/>
  <c r="H376" i="8" a="1"/>
  <c r="H376" i="8" s="1"/>
  <c r="G376" i="8" a="1"/>
  <c r="G376" i="8" s="1"/>
  <c r="F376" i="8" a="1"/>
  <c r="F376" i="8" s="1"/>
  <c r="E376" i="8" a="1"/>
  <c r="E376" i="8" s="1"/>
  <c r="AB375" i="8" a="1"/>
  <c r="AB375" i="8" s="1"/>
  <c r="AA375" i="8" a="1"/>
  <c r="AA375" i="8" s="1"/>
  <c r="Z375" i="8" a="1"/>
  <c r="Z375" i="8" s="1"/>
  <c r="Y375" i="8" a="1"/>
  <c r="Y375" i="8" s="1"/>
  <c r="X375" i="8" a="1"/>
  <c r="X375" i="8" s="1"/>
  <c r="W375" i="8" a="1"/>
  <c r="W375" i="8" s="1"/>
  <c r="V375" i="8" a="1"/>
  <c r="V375" i="8" s="1"/>
  <c r="U375" i="8" a="1"/>
  <c r="U375" i="8" s="1"/>
  <c r="T375" i="8" a="1"/>
  <c r="T375" i="8" s="1"/>
  <c r="S375" i="8" a="1"/>
  <c r="S375" i="8" s="1"/>
  <c r="R375" i="8" a="1"/>
  <c r="R375" i="8" s="1"/>
  <c r="Q375" i="8" a="1"/>
  <c r="Q375" i="8" s="1"/>
  <c r="P375" i="8" a="1"/>
  <c r="P375" i="8" s="1"/>
  <c r="O375" i="8" a="1"/>
  <c r="O375" i="8" s="1"/>
  <c r="N375" i="8" a="1"/>
  <c r="N375" i="8" s="1"/>
  <c r="M375" i="8" a="1"/>
  <c r="M375" i="8" s="1"/>
  <c r="L375" i="8" a="1"/>
  <c r="L375" i="8" s="1"/>
  <c r="K375" i="8" a="1"/>
  <c r="K375" i="8" s="1"/>
  <c r="J375" i="8" a="1"/>
  <c r="J375" i="8" s="1"/>
  <c r="I375" i="8" a="1"/>
  <c r="I375" i="8" s="1"/>
  <c r="H375" i="8" a="1"/>
  <c r="H375" i="8" s="1"/>
  <c r="G375" i="8" a="1"/>
  <c r="G375" i="8" s="1"/>
  <c r="F375" i="8" a="1"/>
  <c r="F375" i="8" s="1"/>
  <c r="E375" i="8" a="1"/>
  <c r="E375" i="8" s="1"/>
  <c r="AB374" i="8" a="1"/>
  <c r="AB374" i="8" s="1"/>
  <c r="AA374" i="8" a="1"/>
  <c r="AA374" i="8" s="1"/>
  <c r="Z374" i="8" a="1"/>
  <c r="Z374" i="8" s="1"/>
  <c r="Y374" i="8" a="1"/>
  <c r="Y374" i="8" s="1"/>
  <c r="X374" i="8" a="1"/>
  <c r="X374" i="8" s="1"/>
  <c r="W374" i="8" a="1"/>
  <c r="W374" i="8" s="1"/>
  <c r="V374" i="8" a="1"/>
  <c r="V374" i="8" s="1"/>
  <c r="U374" i="8" a="1"/>
  <c r="U374" i="8" s="1"/>
  <c r="T374" i="8" a="1"/>
  <c r="T374" i="8" s="1"/>
  <c r="S374" i="8" a="1"/>
  <c r="S374" i="8" s="1"/>
  <c r="R374" i="8" a="1"/>
  <c r="R374" i="8" s="1"/>
  <c r="Q374" i="8" a="1"/>
  <c r="Q374" i="8" s="1"/>
  <c r="P374" i="8" a="1"/>
  <c r="P374" i="8" s="1"/>
  <c r="O374" i="8" a="1"/>
  <c r="O374" i="8" s="1"/>
  <c r="N374" i="8" a="1"/>
  <c r="N374" i="8" s="1"/>
  <c r="M374" i="8" a="1"/>
  <c r="M374" i="8" s="1"/>
  <c r="L374" i="8" a="1"/>
  <c r="L374" i="8" s="1"/>
  <c r="K374" i="8" a="1"/>
  <c r="K374" i="8" s="1"/>
  <c r="J374" i="8" a="1"/>
  <c r="J374" i="8" s="1"/>
  <c r="I374" i="8" a="1"/>
  <c r="I374" i="8" s="1"/>
  <c r="H374" i="8" a="1"/>
  <c r="H374" i="8" s="1"/>
  <c r="G374" i="8" a="1"/>
  <c r="G374" i="8" s="1"/>
  <c r="F374" i="8" a="1"/>
  <c r="F374" i="8" s="1"/>
  <c r="E374" i="8" a="1"/>
  <c r="E374" i="8" s="1"/>
  <c r="AB373" i="8" a="1"/>
  <c r="AB373" i="8" s="1"/>
  <c r="AA373" i="8" a="1"/>
  <c r="AA373" i="8" s="1"/>
  <c r="Z373" i="8" a="1"/>
  <c r="Z373" i="8" s="1"/>
  <c r="Y373" i="8" a="1"/>
  <c r="Y373" i="8" s="1"/>
  <c r="X373" i="8" a="1"/>
  <c r="X373" i="8" s="1"/>
  <c r="W373" i="8" a="1"/>
  <c r="W373" i="8" s="1"/>
  <c r="V373" i="8" a="1"/>
  <c r="V373" i="8" s="1"/>
  <c r="U373" i="8" a="1"/>
  <c r="U373" i="8" s="1"/>
  <c r="T373" i="8" a="1"/>
  <c r="T373" i="8" s="1"/>
  <c r="S373" i="8" a="1"/>
  <c r="S373" i="8" s="1"/>
  <c r="R373" i="8" a="1"/>
  <c r="R373" i="8" s="1"/>
  <c r="Q373" i="8" a="1"/>
  <c r="Q373" i="8" s="1"/>
  <c r="P373" i="8" a="1"/>
  <c r="P373" i="8" s="1"/>
  <c r="O373" i="8" a="1"/>
  <c r="O373" i="8" s="1"/>
  <c r="N373" i="8" a="1"/>
  <c r="N373" i="8" s="1"/>
  <c r="M373" i="8" a="1"/>
  <c r="M373" i="8" s="1"/>
  <c r="L373" i="8" a="1"/>
  <c r="L373" i="8" s="1"/>
  <c r="K373" i="8" a="1"/>
  <c r="K373" i="8" s="1"/>
  <c r="J373" i="8" a="1"/>
  <c r="J373" i="8" s="1"/>
  <c r="I373" i="8" a="1"/>
  <c r="I373" i="8" s="1"/>
  <c r="H373" i="8" a="1"/>
  <c r="H373" i="8" s="1"/>
  <c r="G373" i="8" a="1"/>
  <c r="G373" i="8" s="1"/>
  <c r="F373" i="8" a="1"/>
  <c r="F373" i="8" s="1"/>
  <c r="E373" i="8" a="1"/>
  <c r="E373" i="8" s="1"/>
  <c r="AB372" i="8" a="1"/>
  <c r="AB372" i="8" s="1"/>
  <c r="AA372" i="8" a="1"/>
  <c r="AA372" i="8" s="1"/>
  <c r="Z372" i="8" a="1"/>
  <c r="Z372" i="8" s="1"/>
  <c r="Y372" i="8" a="1"/>
  <c r="Y372" i="8" s="1"/>
  <c r="X372" i="8" a="1"/>
  <c r="X372" i="8" s="1"/>
  <c r="W372" i="8" a="1"/>
  <c r="W372" i="8" s="1"/>
  <c r="V372" i="8" a="1"/>
  <c r="V372" i="8" s="1"/>
  <c r="U372" i="8" a="1"/>
  <c r="U372" i="8" s="1"/>
  <c r="T372" i="8" a="1"/>
  <c r="T372" i="8" s="1"/>
  <c r="S372" i="8" a="1"/>
  <c r="S372" i="8" s="1"/>
  <c r="R372" i="8" a="1"/>
  <c r="R372" i="8" s="1"/>
  <c r="Q372" i="8" a="1"/>
  <c r="Q372" i="8" s="1"/>
  <c r="P372" i="8" a="1"/>
  <c r="P372" i="8" s="1"/>
  <c r="O372" i="8" a="1"/>
  <c r="O372" i="8" s="1"/>
  <c r="N372" i="8" a="1"/>
  <c r="N372" i="8" s="1"/>
  <c r="M372" i="8" a="1"/>
  <c r="M372" i="8" s="1"/>
  <c r="L372" i="8" a="1"/>
  <c r="L372" i="8" s="1"/>
  <c r="K372" i="8" a="1"/>
  <c r="K372" i="8" s="1"/>
  <c r="J372" i="8" a="1"/>
  <c r="J372" i="8" s="1"/>
  <c r="I372" i="8" a="1"/>
  <c r="I372" i="8" s="1"/>
  <c r="H372" i="8" a="1"/>
  <c r="H372" i="8" s="1"/>
  <c r="G372" i="8" a="1"/>
  <c r="G372" i="8" s="1"/>
  <c r="F372" i="8" a="1"/>
  <c r="F372" i="8" s="1"/>
  <c r="E372" i="8" a="1"/>
  <c r="E372" i="8" s="1"/>
  <c r="AB371" i="8" a="1"/>
  <c r="AB371" i="8" s="1"/>
  <c r="AA371" i="8" a="1"/>
  <c r="AA371" i="8" s="1"/>
  <c r="Z371" i="8" a="1"/>
  <c r="Z371" i="8" s="1"/>
  <c r="Y371" i="8" a="1"/>
  <c r="Y371" i="8" s="1"/>
  <c r="X371" i="8" a="1"/>
  <c r="X371" i="8" s="1"/>
  <c r="W371" i="8" a="1"/>
  <c r="W371" i="8" s="1"/>
  <c r="V371" i="8" a="1"/>
  <c r="V371" i="8" s="1"/>
  <c r="U371" i="8" a="1"/>
  <c r="U371" i="8" s="1"/>
  <c r="T371" i="8" a="1"/>
  <c r="T371" i="8" s="1"/>
  <c r="S371" i="8" a="1"/>
  <c r="S371" i="8" s="1"/>
  <c r="R371" i="8" a="1"/>
  <c r="R371" i="8" s="1"/>
  <c r="Q371" i="8" a="1"/>
  <c r="Q371" i="8" s="1"/>
  <c r="P371" i="8" a="1"/>
  <c r="P371" i="8" s="1"/>
  <c r="O371" i="8" a="1"/>
  <c r="O371" i="8" s="1"/>
  <c r="N371" i="8" a="1"/>
  <c r="N371" i="8" s="1"/>
  <c r="M371" i="8" a="1"/>
  <c r="M371" i="8" s="1"/>
  <c r="L371" i="8" a="1"/>
  <c r="L371" i="8" s="1"/>
  <c r="K371" i="8" a="1"/>
  <c r="K371" i="8" s="1"/>
  <c r="J371" i="8" a="1"/>
  <c r="J371" i="8" s="1"/>
  <c r="I371" i="8" a="1"/>
  <c r="I371" i="8" s="1"/>
  <c r="H371" i="8" a="1"/>
  <c r="H371" i="8" s="1"/>
  <c r="G371" i="8" a="1"/>
  <c r="G371" i="8" s="1"/>
  <c r="F371" i="8" a="1"/>
  <c r="F371" i="8" s="1"/>
  <c r="E371" i="8" a="1"/>
  <c r="E371" i="8" s="1"/>
  <c r="AB370" i="8" a="1"/>
  <c r="AB370" i="8" s="1"/>
  <c r="AA370" i="8" a="1"/>
  <c r="AA370" i="8" s="1"/>
  <c r="Z370" i="8" a="1"/>
  <c r="Z370" i="8" s="1"/>
  <c r="Y370" i="8" a="1"/>
  <c r="Y370" i="8" s="1"/>
  <c r="X370" i="8" a="1"/>
  <c r="X370" i="8" s="1"/>
  <c r="W370" i="8" a="1"/>
  <c r="W370" i="8" s="1"/>
  <c r="V370" i="8" a="1"/>
  <c r="V370" i="8" s="1"/>
  <c r="U370" i="8" a="1"/>
  <c r="U370" i="8" s="1"/>
  <c r="T370" i="8" a="1"/>
  <c r="T370" i="8" s="1"/>
  <c r="S370" i="8" a="1"/>
  <c r="S370" i="8" s="1"/>
  <c r="R370" i="8" a="1"/>
  <c r="R370" i="8" s="1"/>
  <c r="Q370" i="8" a="1"/>
  <c r="Q370" i="8" s="1"/>
  <c r="P370" i="8" a="1"/>
  <c r="P370" i="8" s="1"/>
  <c r="O370" i="8" a="1"/>
  <c r="O370" i="8" s="1"/>
  <c r="N370" i="8" a="1"/>
  <c r="N370" i="8" s="1"/>
  <c r="M370" i="8" a="1"/>
  <c r="M370" i="8" s="1"/>
  <c r="L370" i="8" a="1"/>
  <c r="L370" i="8" s="1"/>
  <c r="K370" i="8" a="1"/>
  <c r="K370" i="8" s="1"/>
  <c r="J370" i="8" a="1"/>
  <c r="J370" i="8" s="1"/>
  <c r="I370" i="8" a="1"/>
  <c r="I370" i="8" s="1"/>
  <c r="H370" i="8" a="1"/>
  <c r="H370" i="8" s="1"/>
  <c r="G370" i="8" a="1"/>
  <c r="G370" i="8" s="1"/>
  <c r="F370" i="8" a="1"/>
  <c r="F370" i="8" s="1"/>
  <c r="E370" i="8" a="1"/>
  <c r="E370" i="8" s="1"/>
  <c r="AB369" i="8" a="1"/>
  <c r="AB369" i="8" s="1"/>
  <c r="AA369" i="8" a="1"/>
  <c r="AA369" i="8" s="1"/>
  <c r="Z369" i="8" a="1"/>
  <c r="Z369" i="8" s="1"/>
  <c r="Y369" i="8" a="1"/>
  <c r="Y369" i="8" s="1"/>
  <c r="X369" i="8" a="1"/>
  <c r="X369" i="8" s="1"/>
  <c r="W369" i="8" a="1"/>
  <c r="W369" i="8" s="1"/>
  <c r="V369" i="8" a="1"/>
  <c r="V369" i="8" s="1"/>
  <c r="U369" i="8" a="1"/>
  <c r="U369" i="8" s="1"/>
  <c r="T369" i="8" a="1"/>
  <c r="T369" i="8" s="1"/>
  <c r="S369" i="8" a="1"/>
  <c r="S369" i="8" s="1"/>
  <c r="R369" i="8" a="1"/>
  <c r="R369" i="8" s="1"/>
  <c r="Q369" i="8" a="1"/>
  <c r="Q369" i="8" s="1"/>
  <c r="P369" i="8" a="1"/>
  <c r="P369" i="8" s="1"/>
  <c r="O369" i="8" a="1"/>
  <c r="O369" i="8" s="1"/>
  <c r="N369" i="8" a="1"/>
  <c r="N369" i="8" s="1"/>
  <c r="M369" i="8" a="1"/>
  <c r="M369" i="8" s="1"/>
  <c r="L369" i="8" a="1"/>
  <c r="L369" i="8" s="1"/>
  <c r="K369" i="8" a="1"/>
  <c r="K369" i="8" s="1"/>
  <c r="J369" i="8" a="1"/>
  <c r="J369" i="8" s="1"/>
  <c r="I369" i="8" a="1"/>
  <c r="I369" i="8" s="1"/>
  <c r="H369" i="8" a="1"/>
  <c r="H369" i="8" s="1"/>
  <c r="G369" i="8" a="1"/>
  <c r="G369" i="8" s="1"/>
  <c r="F369" i="8" a="1"/>
  <c r="F369" i="8" s="1"/>
  <c r="E369" i="8" a="1"/>
  <c r="E369" i="8" s="1"/>
  <c r="AB368" i="8" a="1"/>
  <c r="AB368" i="8" s="1"/>
  <c r="AA368" i="8" a="1"/>
  <c r="AA368" i="8" s="1"/>
  <c r="Z368" i="8" a="1"/>
  <c r="Z368" i="8" s="1"/>
  <c r="Y368" i="8" a="1"/>
  <c r="Y368" i="8" s="1"/>
  <c r="X368" i="8" a="1"/>
  <c r="X368" i="8" s="1"/>
  <c r="W368" i="8" a="1"/>
  <c r="W368" i="8" s="1"/>
  <c r="V368" i="8" a="1"/>
  <c r="V368" i="8" s="1"/>
  <c r="U368" i="8" a="1"/>
  <c r="U368" i="8" s="1"/>
  <c r="T368" i="8" a="1"/>
  <c r="T368" i="8" s="1"/>
  <c r="S368" i="8" a="1"/>
  <c r="S368" i="8" s="1"/>
  <c r="R368" i="8" a="1"/>
  <c r="R368" i="8" s="1"/>
  <c r="Q368" i="8" a="1"/>
  <c r="Q368" i="8" s="1"/>
  <c r="P368" i="8" a="1"/>
  <c r="P368" i="8" s="1"/>
  <c r="O368" i="8" a="1"/>
  <c r="O368" i="8" s="1"/>
  <c r="N368" i="8" a="1"/>
  <c r="N368" i="8" s="1"/>
  <c r="M368" i="8" a="1"/>
  <c r="M368" i="8" s="1"/>
  <c r="L368" i="8" a="1"/>
  <c r="L368" i="8" s="1"/>
  <c r="K368" i="8" a="1"/>
  <c r="K368" i="8" s="1"/>
  <c r="J368" i="8" a="1"/>
  <c r="J368" i="8" s="1"/>
  <c r="I368" i="8" a="1"/>
  <c r="I368" i="8" s="1"/>
  <c r="H368" i="8" a="1"/>
  <c r="H368" i="8" s="1"/>
  <c r="G368" i="8" a="1"/>
  <c r="G368" i="8" s="1"/>
  <c r="F368" i="8" a="1"/>
  <c r="F368" i="8" s="1"/>
  <c r="E368" i="8" a="1"/>
  <c r="E368" i="8" s="1"/>
  <c r="AB367" i="8" a="1"/>
  <c r="AB367" i="8" s="1"/>
  <c r="AA367" i="8" a="1"/>
  <c r="AA367" i="8" s="1"/>
  <c r="Z367" i="8" a="1"/>
  <c r="Z367" i="8" s="1"/>
  <c r="Y367" i="8" a="1"/>
  <c r="Y367" i="8" s="1"/>
  <c r="X367" i="8" a="1"/>
  <c r="X367" i="8" s="1"/>
  <c r="W367" i="8" a="1"/>
  <c r="W367" i="8" s="1"/>
  <c r="V367" i="8" a="1"/>
  <c r="V367" i="8" s="1"/>
  <c r="U367" i="8" a="1"/>
  <c r="U367" i="8" s="1"/>
  <c r="T367" i="8" a="1"/>
  <c r="T367" i="8" s="1"/>
  <c r="S367" i="8" a="1"/>
  <c r="S367" i="8" s="1"/>
  <c r="R367" i="8" a="1"/>
  <c r="R367" i="8" s="1"/>
  <c r="Q367" i="8" a="1"/>
  <c r="Q367" i="8" s="1"/>
  <c r="P367" i="8" a="1"/>
  <c r="P367" i="8" s="1"/>
  <c r="O367" i="8" a="1"/>
  <c r="O367" i="8" s="1"/>
  <c r="N367" i="8" a="1"/>
  <c r="N367" i="8" s="1"/>
  <c r="M367" i="8" a="1"/>
  <c r="M367" i="8" s="1"/>
  <c r="L367" i="8" a="1"/>
  <c r="L367" i="8" s="1"/>
  <c r="K367" i="8" a="1"/>
  <c r="K367" i="8" s="1"/>
  <c r="J367" i="8" a="1"/>
  <c r="J367" i="8" s="1"/>
  <c r="I367" i="8" a="1"/>
  <c r="I367" i="8" s="1"/>
  <c r="H367" i="8" a="1"/>
  <c r="H367" i="8" s="1"/>
  <c r="G367" i="8" a="1"/>
  <c r="G367" i="8" s="1"/>
  <c r="F367" i="8" a="1"/>
  <c r="F367" i="8" s="1"/>
  <c r="E367" i="8" a="1"/>
  <c r="E367" i="8" s="1"/>
  <c r="AB366" i="8" a="1"/>
  <c r="AB366" i="8" s="1"/>
  <c r="AA366" i="8" a="1"/>
  <c r="AA366" i="8" s="1"/>
  <c r="Z366" i="8" a="1"/>
  <c r="Z366" i="8" s="1"/>
  <c r="Y366" i="8" a="1"/>
  <c r="Y366" i="8" s="1"/>
  <c r="X366" i="8" a="1"/>
  <c r="X366" i="8" s="1"/>
  <c r="W366" i="8" a="1"/>
  <c r="W366" i="8" s="1"/>
  <c r="V366" i="8" a="1"/>
  <c r="V366" i="8" s="1"/>
  <c r="U366" i="8" a="1"/>
  <c r="U366" i="8" s="1"/>
  <c r="T366" i="8" a="1"/>
  <c r="T366" i="8" s="1"/>
  <c r="S366" i="8" a="1"/>
  <c r="S366" i="8" s="1"/>
  <c r="R366" i="8" a="1"/>
  <c r="R366" i="8" s="1"/>
  <c r="Q366" i="8" a="1"/>
  <c r="Q366" i="8" s="1"/>
  <c r="P366" i="8" a="1"/>
  <c r="P366" i="8" s="1"/>
  <c r="O366" i="8" a="1"/>
  <c r="O366" i="8" s="1"/>
  <c r="N366" i="8" a="1"/>
  <c r="N366" i="8" s="1"/>
  <c r="M366" i="8" a="1"/>
  <c r="M366" i="8" s="1"/>
  <c r="L366" i="8" a="1"/>
  <c r="L366" i="8" s="1"/>
  <c r="K366" i="8" a="1"/>
  <c r="K366" i="8" s="1"/>
  <c r="J366" i="8" a="1"/>
  <c r="J366" i="8" s="1"/>
  <c r="I366" i="8" a="1"/>
  <c r="I366" i="8" s="1"/>
  <c r="H366" i="8" a="1"/>
  <c r="H366" i="8" s="1"/>
  <c r="G366" i="8" a="1"/>
  <c r="G366" i="8" s="1"/>
  <c r="F366" i="8" a="1"/>
  <c r="F366" i="8" s="1"/>
  <c r="E366" i="8" a="1"/>
  <c r="E366" i="8" s="1"/>
  <c r="AB365" i="8" a="1"/>
  <c r="AB365" i="8" s="1"/>
  <c r="AA365" i="8" a="1"/>
  <c r="AA365" i="8" s="1"/>
  <c r="Z365" i="8" a="1"/>
  <c r="Z365" i="8" s="1"/>
  <c r="Y365" i="8" a="1"/>
  <c r="Y365" i="8" s="1"/>
  <c r="X365" i="8" a="1"/>
  <c r="X365" i="8" s="1"/>
  <c r="W365" i="8" a="1"/>
  <c r="W365" i="8" s="1"/>
  <c r="V365" i="8" a="1"/>
  <c r="V365" i="8" s="1"/>
  <c r="U365" i="8" a="1"/>
  <c r="U365" i="8" s="1"/>
  <c r="T365" i="8" a="1"/>
  <c r="T365" i="8" s="1"/>
  <c r="S365" i="8" a="1"/>
  <c r="S365" i="8" s="1"/>
  <c r="R365" i="8" a="1"/>
  <c r="R365" i="8" s="1"/>
  <c r="Q365" i="8" a="1"/>
  <c r="Q365" i="8" s="1"/>
  <c r="P365" i="8" a="1"/>
  <c r="P365" i="8" s="1"/>
  <c r="O365" i="8" a="1"/>
  <c r="O365" i="8" s="1"/>
  <c r="N365" i="8" a="1"/>
  <c r="N365" i="8" s="1"/>
  <c r="M365" i="8" a="1"/>
  <c r="M365" i="8" s="1"/>
  <c r="L365" i="8" a="1"/>
  <c r="L365" i="8" s="1"/>
  <c r="K365" i="8" a="1"/>
  <c r="K365" i="8" s="1"/>
  <c r="J365" i="8" a="1"/>
  <c r="J365" i="8" s="1"/>
  <c r="I365" i="8" a="1"/>
  <c r="I365" i="8" s="1"/>
  <c r="H365" i="8" a="1"/>
  <c r="H365" i="8" s="1"/>
  <c r="G365" i="8" a="1"/>
  <c r="G365" i="8" s="1"/>
  <c r="F365" i="8" a="1"/>
  <c r="F365" i="8" s="1"/>
  <c r="E365" i="8" a="1"/>
  <c r="E365" i="8" s="1"/>
  <c r="AB364" i="8" a="1"/>
  <c r="AB364" i="8" s="1"/>
  <c r="AA364" i="8" a="1"/>
  <c r="AA364" i="8" s="1"/>
  <c r="Z364" i="8" a="1"/>
  <c r="Z364" i="8" s="1"/>
  <c r="Y364" i="8" a="1"/>
  <c r="Y364" i="8" s="1"/>
  <c r="X364" i="8" a="1"/>
  <c r="X364" i="8" s="1"/>
  <c r="W364" i="8" a="1"/>
  <c r="W364" i="8" s="1"/>
  <c r="V364" i="8" a="1"/>
  <c r="V364" i="8" s="1"/>
  <c r="U364" i="8" a="1"/>
  <c r="U364" i="8" s="1"/>
  <c r="T364" i="8" a="1"/>
  <c r="T364" i="8" s="1"/>
  <c r="S364" i="8" a="1"/>
  <c r="S364" i="8" s="1"/>
  <c r="R364" i="8" a="1"/>
  <c r="R364" i="8" s="1"/>
  <c r="Q364" i="8" a="1"/>
  <c r="Q364" i="8" s="1"/>
  <c r="P364" i="8" a="1"/>
  <c r="P364" i="8" s="1"/>
  <c r="O364" i="8" a="1"/>
  <c r="O364" i="8" s="1"/>
  <c r="N364" i="8" a="1"/>
  <c r="N364" i="8" s="1"/>
  <c r="M364" i="8" a="1"/>
  <c r="M364" i="8" s="1"/>
  <c r="L364" i="8" a="1"/>
  <c r="L364" i="8" s="1"/>
  <c r="K364" i="8" a="1"/>
  <c r="K364" i="8" s="1"/>
  <c r="J364" i="8" a="1"/>
  <c r="J364" i="8" s="1"/>
  <c r="I364" i="8" a="1"/>
  <c r="I364" i="8" s="1"/>
  <c r="H364" i="8" a="1"/>
  <c r="H364" i="8" s="1"/>
  <c r="G364" i="8" a="1"/>
  <c r="G364" i="8" s="1"/>
  <c r="F364" i="8" a="1"/>
  <c r="F364" i="8" s="1"/>
  <c r="E364" i="8" a="1"/>
  <c r="E364" i="8" s="1"/>
  <c r="AB363" i="8" a="1"/>
  <c r="AB363" i="8" s="1"/>
  <c r="AA363" i="8" a="1"/>
  <c r="AA363" i="8" s="1"/>
  <c r="Z363" i="8" a="1"/>
  <c r="Z363" i="8" s="1"/>
  <c r="Y363" i="8" a="1"/>
  <c r="Y363" i="8" s="1"/>
  <c r="X363" i="8" a="1"/>
  <c r="X363" i="8" s="1"/>
  <c r="W363" i="8" a="1"/>
  <c r="W363" i="8" s="1"/>
  <c r="V363" i="8" a="1"/>
  <c r="V363" i="8" s="1"/>
  <c r="U363" i="8" a="1"/>
  <c r="U363" i="8" s="1"/>
  <c r="T363" i="8" a="1"/>
  <c r="T363" i="8" s="1"/>
  <c r="S363" i="8" a="1"/>
  <c r="S363" i="8" s="1"/>
  <c r="R363" i="8" a="1"/>
  <c r="R363" i="8" s="1"/>
  <c r="Q363" i="8" a="1"/>
  <c r="Q363" i="8" s="1"/>
  <c r="P363" i="8" a="1"/>
  <c r="P363" i="8" s="1"/>
  <c r="O363" i="8" a="1"/>
  <c r="O363" i="8" s="1"/>
  <c r="N363" i="8" a="1"/>
  <c r="N363" i="8" s="1"/>
  <c r="M363" i="8" a="1"/>
  <c r="M363" i="8" s="1"/>
  <c r="L363" i="8" a="1"/>
  <c r="L363" i="8" s="1"/>
  <c r="K363" i="8" a="1"/>
  <c r="K363" i="8" s="1"/>
  <c r="J363" i="8" a="1"/>
  <c r="J363" i="8" s="1"/>
  <c r="I363" i="8" a="1"/>
  <c r="I363" i="8" s="1"/>
  <c r="H363" i="8" a="1"/>
  <c r="H363" i="8" s="1"/>
  <c r="G363" i="8" a="1"/>
  <c r="G363" i="8" s="1"/>
  <c r="F363" i="8" a="1"/>
  <c r="F363" i="8" s="1"/>
  <c r="E363" i="8" a="1"/>
  <c r="E363" i="8" s="1"/>
  <c r="AB362" i="8" a="1"/>
  <c r="AB362" i="8" s="1"/>
  <c r="AA362" i="8" a="1"/>
  <c r="AA362" i="8" s="1"/>
  <c r="Z362" i="8" a="1"/>
  <c r="Z362" i="8" s="1"/>
  <c r="Y362" i="8" a="1"/>
  <c r="Y362" i="8" s="1"/>
  <c r="X362" i="8" a="1"/>
  <c r="X362" i="8" s="1"/>
  <c r="W362" i="8" a="1"/>
  <c r="W362" i="8" s="1"/>
  <c r="V362" i="8" a="1"/>
  <c r="V362" i="8" s="1"/>
  <c r="U362" i="8" a="1"/>
  <c r="U362" i="8" s="1"/>
  <c r="T362" i="8" a="1"/>
  <c r="T362" i="8" s="1"/>
  <c r="S362" i="8" a="1"/>
  <c r="S362" i="8" s="1"/>
  <c r="R362" i="8" a="1"/>
  <c r="R362" i="8" s="1"/>
  <c r="Q362" i="8" a="1"/>
  <c r="Q362" i="8" s="1"/>
  <c r="P362" i="8" a="1"/>
  <c r="P362" i="8" s="1"/>
  <c r="O362" i="8" a="1"/>
  <c r="O362" i="8" s="1"/>
  <c r="N362" i="8" a="1"/>
  <c r="N362" i="8" s="1"/>
  <c r="M362" i="8" a="1"/>
  <c r="M362" i="8" s="1"/>
  <c r="L362" i="8" a="1"/>
  <c r="L362" i="8" s="1"/>
  <c r="K362" i="8" a="1"/>
  <c r="K362" i="8" s="1"/>
  <c r="J362" i="8" a="1"/>
  <c r="J362" i="8" s="1"/>
  <c r="I362" i="8" a="1"/>
  <c r="I362" i="8" s="1"/>
  <c r="H362" i="8" a="1"/>
  <c r="H362" i="8" s="1"/>
  <c r="G362" i="8" a="1"/>
  <c r="G362" i="8" s="1"/>
  <c r="F362" i="8" a="1"/>
  <c r="F362" i="8" s="1"/>
  <c r="E362" i="8" a="1"/>
  <c r="E362" i="8" s="1"/>
  <c r="AB361" i="8" a="1"/>
  <c r="AB361" i="8" s="1"/>
  <c r="AA361" i="8" a="1"/>
  <c r="AA361" i="8" s="1"/>
  <c r="Z361" i="8" a="1"/>
  <c r="Z361" i="8" s="1"/>
  <c r="Y361" i="8" a="1"/>
  <c r="Y361" i="8" s="1"/>
  <c r="X361" i="8" a="1"/>
  <c r="X361" i="8" s="1"/>
  <c r="W361" i="8" a="1"/>
  <c r="W361" i="8" s="1"/>
  <c r="V361" i="8" a="1"/>
  <c r="V361" i="8" s="1"/>
  <c r="U361" i="8" a="1"/>
  <c r="U361" i="8" s="1"/>
  <c r="T361" i="8" a="1"/>
  <c r="T361" i="8" s="1"/>
  <c r="S361" i="8" a="1"/>
  <c r="S361" i="8" s="1"/>
  <c r="R361" i="8" a="1"/>
  <c r="R361" i="8" s="1"/>
  <c r="Q361" i="8" a="1"/>
  <c r="Q361" i="8" s="1"/>
  <c r="P361" i="8" a="1"/>
  <c r="P361" i="8" s="1"/>
  <c r="O361" i="8" a="1"/>
  <c r="O361" i="8" s="1"/>
  <c r="N361" i="8" a="1"/>
  <c r="N361" i="8" s="1"/>
  <c r="M361" i="8" a="1"/>
  <c r="M361" i="8" s="1"/>
  <c r="L361" i="8" a="1"/>
  <c r="L361" i="8" s="1"/>
  <c r="K361" i="8" a="1"/>
  <c r="K361" i="8" s="1"/>
  <c r="J361" i="8" a="1"/>
  <c r="J361" i="8" s="1"/>
  <c r="I361" i="8" a="1"/>
  <c r="I361" i="8" s="1"/>
  <c r="H361" i="8" a="1"/>
  <c r="H361" i="8" s="1"/>
  <c r="G361" i="8" a="1"/>
  <c r="G361" i="8" s="1"/>
  <c r="F361" i="8" a="1"/>
  <c r="F361" i="8" s="1"/>
  <c r="E361" i="8" a="1"/>
  <c r="E361" i="8" s="1"/>
  <c r="AB360" i="8" a="1"/>
  <c r="AB360" i="8" s="1"/>
  <c r="AA360" i="8" a="1"/>
  <c r="AA360" i="8" s="1"/>
  <c r="Z360" i="8" a="1"/>
  <c r="Z360" i="8" s="1"/>
  <c r="Y360" i="8" a="1"/>
  <c r="Y360" i="8" s="1"/>
  <c r="X360" i="8" a="1"/>
  <c r="X360" i="8" s="1"/>
  <c r="W360" i="8" a="1"/>
  <c r="W360" i="8" s="1"/>
  <c r="V360" i="8" a="1"/>
  <c r="V360" i="8" s="1"/>
  <c r="U360" i="8" a="1"/>
  <c r="U360" i="8" s="1"/>
  <c r="T360" i="8" a="1"/>
  <c r="T360" i="8" s="1"/>
  <c r="S360" i="8" a="1"/>
  <c r="S360" i="8" s="1"/>
  <c r="R360" i="8" a="1"/>
  <c r="R360" i="8" s="1"/>
  <c r="Q360" i="8" a="1"/>
  <c r="Q360" i="8" s="1"/>
  <c r="P360" i="8" a="1"/>
  <c r="P360" i="8" s="1"/>
  <c r="O360" i="8" a="1"/>
  <c r="O360" i="8" s="1"/>
  <c r="N360" i="8" a="1"/>
  <c r="N360" i="8" s="1"/>
  <c r="M360" i="8" a="1"/>
  <c r="M360" i="8" s="1"/>
  <c r="L360" i="8" a="1"/>
  <c r="L360" i="8" s="1"/>
  <c r="K360" i="8" a="1"/>
  <c r="K360" i="8" s="1"/>
  <c r="J360" i="8" a="1"/>
  <c r="J360" i="8" s="1"/>
  <c r="I360" i="8" a="1"/>
  <c r="I360" i="8" s="1"/>
  <c r="H360" i="8" a="1"/>
  <c r="H360" i="8" s="1"/>
  <c r="G360" i="8" a="1"/>
  <c r="G360" i="8" s="1"/>
  <c r="F360" i="8" a="1"/>
  <c r="F360" i="8" s="1"/>
  <c r="E360" i="8" a="1"/>
  <c r="E360" i="8" s="1"/>
  <c r="AB359" i="8" a="1"/>
  <c r="AB359" i="8" s="1"/>
  <c r="AA359" i="8" a="1"/>
  <c r="AA359" i="8" s="1"/>
  <c r="Z359" i="8" a="1"/>
  <c r="Z359" i="8" s="1"/>
  <c r="Y359" i="8" a="1"/>
  <c r="Y359" i="8" s="1"/>
  <c r="X359" i="8" a="1"/>
  <c r="X359" i="8" s="1"/>
  <c r="W359" i="8" a="1"/>
  <c r="W359" i="8" s="1"/>
  <c r="V359" i="8" a="1"/>
  <c r="V359" i="8" s="1"/>
  <c r="U359" i="8" a="1"/>
  <c r="U359" i="8" s="1"/>
  <c r="T359" i="8" a="1"/>
  <c r="T359" i="8" s="1"/>
  <c r="S359" i="8" a="1"/>
  <c r="S359" i="8" s="1"/>
  <c r="R359" i="8" a="1"/>
  <c r="R359" i="8" s="1"/>
  <c r="Q359" i="8" a="1"/>
  <c r="Q359" i="8" s="1"/>
  <c r="P359" i="8" a="1"/>
  <c r="P359" i="8" s="1"/>
  <c r="O359" i="8" a="1"/>
  <c r="O359" i="8" s="1"/>
  <c r="N359" i="8" a="1"/>
  <c r="N359" i="8" s="1"/>
  <c r="M359" i="8" a="1"/>
  <c r="M359" i="8" s="1"/>
  <c r="L359" i="8" a="1"/>
  <c r="L359" i="8" s="1"/>
  <c r="K359" i="8" a="1"/>
  <c r="K359" i="8" s="1"/>
  <c r="J359" i="8" a="1"/>
  <c r="J359" i="8" s="1"/>
  <c r="I359" i="8" a="1"/>
  <c r="I359" i="8" s="1"/>
  <c r="H359" i="8" a="1"/>
  <c r="H359" i="8" s="1"/>
  <c r="G359" i="8" a="1"/>
  <c r="G359" i="8" s="1"/>
  <c r="F359" i="8" a="1"/>
  <c r="F359" i="8" s="1"/>
  <c r="E359" i="8" a="1"/>
  <c r="E359" i="8" s="1"/>
  <c r="AB358" i="8" a="1"/>
  <c r="AB358" i="8" s="1"/>
  <c r="AA358" i="8" a="1"/>
  <c r="AA358" i="8" s="1"/>
  <c r="Z358" i="8" a="1"/>
  <c r="Z358" i="8" s="1"/>
  <c r="Y358" i="8" a="1"/>
  <c r="Y358" i="8" s="1"/>
  <c r="X358" i="8" a="1"/>
  <c r="X358" i="8" s="1"/>
  <c r="W358" i="8" a="1"/>
  <c r="W358" i="8" s="1"/>
  <c r="V358" i="8" a="1"/>
  <c r="V358" i="8" s="1"/>
  <c r="U358" i="8" a="1"/>
  <c r="U358" i="8" s="1"/>
  <c r="T358" i="8" a="1"/>
  <c r="T358" i="8" s="1"/>
  <c r="S358" i="8" a="1"/>
  <c r="S358" i="8" s="1"/>
  <c r="R358" i="8" a="1"/>
  <c r="R358" i="8" s="1"/>
  <c r="Q358" i="8" a="1"/>
  <c r="Q358" i="8" s="1"/>
  <c r="P358" i="8" a="1"/>
  <c r="P358" i="8" s="1"/>
  <c r="O358" i="8" a="1"/>
  <c r="O358" i="8" s="1"/>
  <c r="N358" i="8" a="1"/>
  <c r="N358" i="8" s="1"/>
  <c r="M358" i="8" a="1"/>
  <c r="M358" i="8" s="1"/>
  <c r="L358" i="8" a="1"/>
  <c r="L358" i="8" s="1"/>
  <c r="K358" i="8" a="1"/>
  <c r="K358" i="8" s="1"/>
  <c r="J358" i="8" a="1"/>
  <c r="J358" i="8" s="1"/>
  <c r="I358" i="8" a="1"/>
  <c r="I358" i="8" s="1"/>
  <c r="H358" i="8" a="1"/>
  <c r="H358" i="8" s="1"/>
  <c r="G358" i="8" a="1"/>
  <c r="G358" i="8" s="1"/>
  <c r="F358" i="8" a="1"/>
  <c r="F358" i="8" s="1"/>
  <c r="E358" i="8" a="1"/>
  <c r="E358" i="8" s="1"/>
  <c r="AB357" i="8" a="1"/>
  <c r="AB357" i="8" s="1"/>
  <c r="AA357" i="8" a="1"/>
  <c r="AA357" i="8" s="1"/>
  <c r="Z357" i="8" a="1"/>
  <c r="Z357" i="8" s="1"/>
  <c r="Y357" i="8" a="1"/>
  <c r="Y357" i="8" s="1"/>
  <c r="X357" i="8" a="1"/>
  <c r="X357" i="8" s="1"/>
  <c r="W357" i="8" a="1"/>
  <c r="W357" i="8" s="1"/>
  <c r="V357" i="8" a="1"/>
  <c r="V357" i="8" s="1"/>
  <c r="U357" i="8" a="1"/>
  <c r="U357" i="8" s="1"/>
  <c r="T357" i="8" a="1"/>
  <c r="T357" i="8" s="1"/>
  <c r="S357" i="8" a="1"/>
  <c r="S357" i="8" s="1"/>
  <c r="R357" i="8" a="1"/>
  <c r="R357" i="8" s="1"/>
  <c r="Q357" i="8" a="1"/>
  <c r="Q357" i="8" s="1"/>
  <c r="P357" i="8" a="1"/>
  <c r="P357" i="8" s="1"/>
  <c r="O357" i="8" a="1"/>
  <c r="O357" i="8" s="1"/>
  <c r="N357" i="8" a="1"/>
  <c r="N357" i="8" s="1"/>
  <c r="M357" i="8" a="1"/>
  <c r="M357" i="8" s="1"/>
  <c r="L357" i="8" a="1"/>
  <c r="L357" i="8" s="1"/>
  <c r="K357" i="8" a="1"/>
  <c r="K357" i="8" s="1"/>
  <c r="J357" i="8" a="1"/>
  <c r="J357" i="8" s="1"/>
  <c r="I357" i="8" a="1"/>
  <c r="I357" i="8" s="1"/>
  <c r="H357" i="8" a="1"/>
  <c r="H357" i="8" s="1"/>
  <c r="G357" i="8" a="1"/>
  <c r="G357" i="8" s="1"/>
  <c r="F357" i="8" a="1"/>
  <c r="F357" i="8" s="1"/>
  <c r="E357" i="8" a="1"/>
  <c r="E357" i="8" s="1"/>
  <c r="AB356" i="8" a="1"/>
  <c r="AB356" i="8" s="1"/>
  <c r="AA356" i="8" a="1"/>
  <c r="AA356" i="8" s="1"/>
  <c r="Z356" i="8" a="1"/>
  <c r="Z356" i="8" s="1"/>
  <c r="Y356" i="8" a="1"/>
  <c r="Y356" i="8" s="1"/>
  <c r="X356" i="8" a="1"/>
  <c r="X356" i="8" s="1"/>
  <c r="W356" i="8" a="1"/>
  <c r="W356" i="8" s="1"/>
  <c r="V356" i="8" a="1"/>
  <c r="V356" i="8" s="1"/>
  <c r="U356" i="8" a="1"/>
  <c r="U356" i="8" s="1"/>
  <c r="T356" i="8" a="1"/>
  <c r="T356" i="8" s="1"/>
  <c r="S356" i="8" a="1"/>
  <c r="S356" i="8" s="1"/>
  <c r="R356" i="8" a="1"/>
  <c r="R356" i="8" s="1"/>
  <c r="Q356" i="8" a="1"/>
  <c r="Q356" i="8" s="1"/>
  <c r="P356" i="8" a="1"/>
  <c r="P356" i="8" s="1"/>
  <c r="O356" i="8" a="1"/>
  <c r="O356" i="8" s="1"/>
  <c r="N356" i="8" a="1"/>
  <c r="N356" i="8" s="1"/>
  <c r="M356" i="8" a="1"/>
  <c r="M356" i="8" s="1"/>
  <c r="L356" i="8" a="1"/>
  <c r="L356" i="8" s="1"/>
  <c r="K356" i="8" a="1"/>
  <c r="K356" i="8" s="1"/>
  <c r="J356" i="8" a="1"/>
  <c r="J356" i="8" s="1"/>
  <c r="I356" i="8" a="1"/>
  <c r="I356" i="8" s="1"/>
  <c r="H356" i="8" a="1"/>
  <c r="H356" i="8" s="1"/>
  <c r="G356" i="8" a="1"/>
  <c r="G356" i="8" s="1"/>
  <c r="F356" i="8" a="1"/>
  <c r="F356" i="8" s="1"/>
  <c r="E356" i="8" a="1"/>
  <c r="E356" i="8" s="1"/>
  <c r="AB355" i="8" a="1"/>
  <c r="AB355" i="8" s="1"/>
  <c r="AA355" i="8" a="1"/>
  <c r="AA355" i="8" s="1"/>
  <c r="Z355" i="8" a="1"/>
  <c r="Z355" i="8" s="1"/>
  <c r="Y355" i="8" a="1"/>
  <c r="Y355" i="8" s="1"/>
  <c r="X355" i="8" a="1"/>
  <c r="X355" i="8" s="1"/>
  <c r="W355" i="8" a="1"/>
  <c r="W355" i="8" s="1"/>
  <c r="V355" i="8" a="1"/>
  <c r="V355" i="8" s="1"/>
  <c r="U355" i="8" a="1"/>
  <c r="U355" i="8" s="1"/>
  <c r="T355" i="8" a="1"/>
  <c r="T355" i="8" s="1"/>
  <c r="S355" i="8" a="1"/>
  <c r="S355" i="8" s="1"/>
  <c r="R355" i="8" a="1"/>
  <c r="R355" i="8" s="1"/>
  <c r="Q355" i="8" a="1"/>
  <c r="Q355" i="8" s="1"/>
  <c r="P355" i="8" a="1"/>
  <c r="P355" i="8" s="1"/>
  <c r="O355" i="8" a="1"/>
  <c r="O355" i="8" s="1"/>
  <c r="N355" i="8" a="1"/>
  <c r="N355" i="8" s="1"/>
  <c r="M355" i="8" a="1"/>
  <c r="M355" i="8" s="1"/>
  <c r="L355" i="8" a="1"/>
  <c r="L355" i="8" s="1"/>
  <c r="K355" i="8" a="1"/>
  <c r="K355" i="8" s="1"/>
  <c r="J355" i="8" a="1"/>
  <c r="J355" i="8" s="1"/>
  <c r="I355" i="8" a="1"/>
  <c r="I355" i="8" s="1"/>
  <c r="H355" i="8" a="1"/>
  <c r="H355" i="8" s="1"/>
  <c r="G355" i="8" a="1"/>
  <c r="G355" i="8" s="1"/>
  <c r="F355" i="8" a="1"/>
  <c r="F355" i="8" s="1"/>
  <c r="E355" i="8" a="1"/>
  <c r="E355" i="8" s="1"/>
  <c r="AB354" i="8" a="1"/>
  <c r="AB354" i="8" s="1"/>
  <c r="AA354" i="8" a="1"/>
  <c r="AA354" i="8" s="1"/>
  <c r="Z354" i="8" a="1"/>
  <c r="Z354" i="8" s="1"/>
  <c r="Y354" i="8" a="1"/>
  <c r="Y354" i="8" s="1"/>
  <c r="X354" i="8" a="1"/>
  <c r="X354" i="8" s="1"/>
  <c r="W354" i="8" a="1"/>
  <c r="W354" i="8" s="1"/>
  <c r="V354" i="8" a="1"/>
  <c r="V354" i="8" s="1"/>
  <c r="U354" i="8" a="1"/>
  <c r="U354" i="8" s="1"/>
  <c r="T354" i="8" a="1"/>
  <c r="T354" i="8" s="1"/>
  <c r="S354" i="8" a="1"/>
  <c r="S354" i="8" s="1"/>
  <c r="R354" i="8" a="1"/>
  <c r="R354" i="8" s="1"/>
  <c r="Q354" i="8" a="1"/>
  <c r="Q354" i="8" s="1"/>
  <c r="P354" i="8" a="1"/>
  <c r="P354" i="8" s="1"/>
  <c r="O354" i="8" a="1"/>
  <c r="O354" i="8" s="1"/>
  <c r="N354" i="8" a="1"/>
  <c r="N354" i="8" s="1"/>
  <c r="M354" i="8" a="1"/>
  <c r="M354" i="8" s="1"/>
  <c r="L354" i="8" a="1"/>
  <c r="L354" i="8" s="1"/>
  <c r="K354" i="8" a="1"/>
  <c r="K354" i="8" s="1"/>
  <c r="J354" i="8" a="1"/>
  <c r="J354" i="8" s="1"/>
  <c r="I354" i="8" a="1"/>
  <c r="I354" i="8" s="1"/>
  <c r="H354" i="8" a="1"/>
  <c r="H354" i="8" s="1"/>
  <c r="G354" i="8" a="1"/>
  <c r="G354" i="8" s="1"/>
  <c r="F354" i="8" a="1"/>
  <c r="F354" i="8" s="1"/>
  <c r="E354" i="8" a="1"/>
  <c r="E354" i="8" s="1"/>
  <c r="AB353" i="8" a="1"/>
  <c r="AB353" i="8" s="1"/>
  <c r="AA353" i="8" a="1"/>
  <c r="AA353" i="8" s="1"/>
  <c r="Z353" i="8" a="1"/>
  <c r="Z353" i="8" s="1"/>
  <c r="Y353" i="8" a="1"/>
  <c r="Y353" i="8" s="1"/>
  <c r="X353" i="8" a="1"/>
  <c r="X353" i="8" s="1"/>
  <c r="W353" i="8" a="1"/>
  <c r="W353" i="8" s="1"/>
  <c r="V353" i="8" a="1"/>
  <c r="V353" i="8" s="1"/>
  <c r="U353" i="8" a="1"/>
  <c r="U353" i="8" s="1"/>
  <c r="T353" i="8" a="1"/>
  <c r="T353" i="8" s="1"/>
  <c r="S353" i="8" a="1"/>
  <c r="S353" i="8" s="1"/>
  <c r="R353" i="8" a="1"/>
  <c r="R353" i="8" s="1"/>
  <c r="Q353" i="8" a="1"/>
  <c r="Q353" i="8" s="1"/>
  <c r="P353" i="8" a="1"/>
  <c r="P353" i="8" s="1"/>
  <c r="O353" i="8" a="1"/>
  <c r="O353" i="8" s="1"/>
  <c r="N353" i="8" a="1"/>
  <c r="N353" i="8" s="1"/>
  <c r="M353" i="8" a="1"/>
  <c r="M353" i="8" s="1"/>
  <c r="L353" i="8" a="1"/>
  <c r="L353" i="8" s="1"/>
  <c r="K353" i="8" a="1"/>
  <c r="K353" i="8" s="1"/>
  <c r="J353" i="8" a="1"/>
  <c r="J353" i="8" s="1"/>
  <c r="I353" i="8" a="1"/>
  <c r="I353" i="8" s="1"/>
  <c r="H353" i="8" a="1"/>
  <c r="H353" i="8" s="1"/>
  <c r="G353" i="8" a="1"/>
  <c r="G353" i="8" s="1"/>
  <c r="F353" i="8" a="1"/>
  <c r="F353" i="8" s="1"/>
  <c r="E353" i="8" a="1"/>
  <c r="E353" i="8" s="1"/>
  <c r="AB352" i="8" a="1"/>
  <c r="AB352" i="8" s="1"/>
  <c r="AA352" i="8" a="1"/>
  <c r="AA352" i="8" s="1"/>
  <c r="Z352" i="8" a="1"/>
  <c r="Z352" i="8" s="1"/>
  <c r="Y352" i="8" a="1"/>
  <c r="Y352" i="8" s="1"/>
  <c r="X352" i="8" a="1"/>
  <c r="X352" i="8" s="1"/>
  <c r="W352" i="8" a="1"/>
  <c r="W352" i="8" s="1"/>
  <c r="V352" i="8" a="1"/>
  <c r="V352" i="8" s="1"/>
  <c r="U352" i="8" a="1"/>
  <c r="U352" i="8" s="1"/>
  <c r="T352" i="8" a="1"/>
  <c r="T352" i="8" s="1"/>
  <c r="S352" i="8" a="1"/>
  <c r="S352" i="8" s="1"/>
  <c r="R352" i="8" a="1"/>
  <c r="R352" i="8" s="1"/>
  <c r="Q352" i="8" a="1"/>
  <c r="Q352" i="8" s="1"/>
  <c r="P352" i="8" a="1"/>
  <c r="P352" i="8" s="1"/>
  <c r="O352" i="8" a="1"/>
  <c r="O352" i="8" s="1"/>
  <c r="N352" i="8" a="1"/>
  <c r="N352" i="8" s="1"/>
  <c r="M352" i="8" a="1"/>
  <c r="M352" i="8" s="1"/>
  <c r="L352" i="8" a="1"/>
  <c r="L352" i="8" s="1"/>
  <c r="K352" i="8" a="1"/>
  <c r="K352" i="8" s="1"/>
  <c r="J352" i="8" a="1"/>
  <c r="J352" i="8" s="1"/>
  <c r="I352" i="8" a="1"/>
  <c r="I352" i="8" s="1"/>
  <c r="H352" i="8" a="1"/>
  <c r="H352" i="8" s="1"/>
  <c r="G352" i="8" a="1"/>
  <c r="G352" i="8" s="1"/>
  <c r="F352" i="8" a="1"/>
  <c r="F352" i="8" s="1"/>
  <c r="E352" i="8" a="1"/>
  <c r="E352" i="8" s="1"/>
  <c r="AB351" i="8" a="1"/>
  <c r="AB351" i="8" s="1"/>
  <c r="AA351" i="8" a="1"/>
  <c r="AA351" i="8" s="1"/>
  <c r="Z351" i="8" a="1"/>
  <c r="Z351" i="8" s="1"/>
  <c r="Y351" i="8" a="1"/>
  <c r="Y351" i="8" s="1"/>
  <c r="X351" i="8" a="1"/>
  <c r="X351" i="8" s="1"/>
  <c r="W351" i="8" a="1"/>
  <c r="W351" i="8" s="1"/>
  <c r="V351" i="8" a="1"/>
  <c r="V351" i="8" s="1"/>
  <c r="U351" i="8" a="1"/>
  <c r="U351" i="8" s="1"/>
  <c r="T351" i="8" a="1"/>
  <c r="T351" i="8" s="1"/>
  <c r="S351" i="8" a="1"/>
  <c r="S351" i="8" s="1"/>
  <c r="R351" i="8" a="1"/>
  <c r="R351" i="8" s="1"/>
  <c r="Q351" i="8" a="1"/>
  <c r="Q351" i="8" s="1"/>
  <c r="P351" i="8" a="1"/>
  <c r="P351" i="8" s="1"/>
  <c r="O351" i="8" a="1"/>
  <c r="O351" i="8" s="1"/>
  <c r="N351" i="8" a="1"/>
  <c r="N351" i="8" s="1"/>
  <c r="M351" i="8" a="1"/>
  <c r="M351" i="8" s="1"/>
  <c r="L351" i="8" a="1"/>
  <c r="L351" i="8" s="1"/>
  <c r="K351" i="8" a="1"/>
  <c r="K351" i="8" s="1"/>
  <c r="J351" i="8" a="1"/>
  <c r="J351" i="8" s="1"/>
  <c r="I351" i="8" a="1"/>
  <c r="I351" i="8" s="1"/>
  <c r="H351" i="8" a="1"/>
  <c r="H351" i="8" s="1"/>
  <c r="G351" i="8" a="1"/>
  <c r="G351" i="8" s="1"/>
  <c r="F351" i="8" a="1"/>
  <c r="F351" i="8" s="1"/>
  <c r="E351" i="8" a="1"/>
  <c r="E351" i="8" s="1"/>
  <c r="AB350" i="8" a="1"/>
  <c r="AB350" i="8" s="1"/>
  <c r="AA350" i="8" a="1"/>
  <c r="AA350" i="8" s="1"/>
  <c r="Z350" i="8" a="1"/>
  <c r="Z350" i="8" s="1"/>
  <c r="Y350" i="8" a="1"/>
  <c r="Y350" i="8" s="1"/>
  <c r="X350" i="8" a="1"/>
  <c r="X350" i="8" s="1"/>
  <c r="W350" i="8" a="1"/>
  <c r="W350" i="8" s="1"/>
  <c r="V350" i="8" a="1"/>
  <c r="V350" i="8" s="1"/>
  <c r="U350" i="8" a="1"/>
  <c r="U350" i="8" s="1"/>
  <c r="T350" i="8" a="1"/>
  <c r="T350" i="8" s="1"/>
  <c r="S350" i="8" a="1"/>
  <c r="S350" i="8" s="1"/>
  <c r="R350" i="8" a="1"/>
  <c r="R350" i="8" s="1"/>
  <c r="Q350" i="8" a="1"/>
  <c r="Q350" i="8" s="1"/>
  <c r="P350" i="8" a="1"/>
  <c r="P350" i="8" s="1"/>
  <c r="O350" i="8" a="1"/>
  <c r="O350" i="8" s="1"/>
  <c r="N350" i="8" a="1"/>
  <c r="N350" i="8" s="1"/>
  <c r="M350" i="8" a="1"/>
  <c r="M350" i="8" s="1"/>
  <c r="L350" i="8" a="1"/>
  <c r="L350" i="8" s="1"/>
  <c r="K350" i="8" a="1"/>
  <c r="K350" i="8" s="1"/>
  <c r="J350" i="8" a="1"/>
  <c r="J350" i="8" s="1"/>
  <c r="I350" i="8" a="1"/>
  <c r="I350" i="8" s="1"/>
  <c r="H350" i="8" a="1"/>
  <c r="H350" i="8" s="1"/>
  <c r="G350" i="8" a="1"/>
  <c r="G350" i="8" s="1"/>
  <c r="F350" i="8" a="1"/>
  <c r="F350" i="8" s="1"/>
  <c r="E350" i="8" a="1"/>
  <c r="E350" i="8" s="1"/>
  <c r="AB349" i="8" a="1"/>
  <c r="AB349" i="8" s="1"/>
  <c r="AA349" i="8" a="1"/>
  <c r="AA349" i="8" s="1"/>
  <c r="Z349" i="8" a="1"/>
  <c r="Z349" i="8" s="1"/>
  <c r="Y349" i="8" a="1"/>
  <c r="Y349" i="8" s="1"/>
  <c r="X349" i="8" a="1"/>
  <c r="X349" i="8" s="1"/>
  <c r="W349" i="8" a="1"/>
  <c r="W349" i="8" s="1"/>
  <c r="V349" i="8" a="1"/>
  <c r="V349" i="8" s="1"/>
  <c r="U349" i="8" a="1"/>
  <c r="U349" i="8" s="1"/>
  <c r="T349" i="8" a="1"/>
  <c r="T349" i="8" s="1"/>
  <c r="S349" i="8" a="1"/>
  <c r="S349" i="8" s="1"/>
  <c r="R349" i="8" a="1"/>
  <c r="R349" i="8" s="1"/>
  <c r="Q349" i="8" a="1"/>
  <c r="Q349" i="8" s="1"/>
  <c r="P349" i="8" a="1"/>
  <c r="P349" i="8" s="1"/>
  <c r="O349" i="8" a="1"/>
  <c r="O349" i="8" s="1"/>
  <c r="N349" i="8" a="1"/>
  <c r="N349" i="8" s="1"/>
  <c r="M349" i="8" a="1"/>
  <c r="M349" i="8" s="1"/>
  <c r="L349" i="8" a="1"/>
  <c r="L349" i="8" s="1"/>
  <c r="K349" i="8" a="1"/>
  <c r="K349" i="8" s="1"/>
  <c r="J349" i="8" a="1"/>
  <c r="J349" i="8" s="1"/>
  <c r="I349" i="8" a="1"/>
  <c r="I349" i="8" s="1"/>
  <c r="H349" i="8" a="1"/>
  <c r="H349" i="8" s="1"/>
  <c r="G349" i="8" a="1"/>
  <c r="G349" i="8" s="1"/>
  <c r="F349" i="8" a="1"/>
  <c r="F349" i="8" s="1"/>
  <c r="E349" i="8" a="1"/>
  <c r="E349" i="8" s="1"/>
  <c r="AB348" i="8" a="1"/>
  <c r="AB348" i="8" s="1"/>
  <c r="AA348" i="8" a="1"/>
  <c r="AA348" i="8" s="1"/>
  <c r="Z348" i="8" a="1"/>
  <c r="Z348" i="8" s="1"/>
  <c r="Y348" i="8" a="1"/>
  <c r="Y348" i="8" s="1"/>
  <c r="X348" i="8" a="1"/>
  <c r="X348" i="8" s="1"/>
  <c r="W348" i="8" a="1"/>
  <c r="W348" i="8" s="1"/>
  <c r="V348" i="8" a="1"/>
  <c r="V348" i="8" s="1"/>
  <c r="U348" i="8" a="1"/>
  <c r="U348" i="8" s="1"/>
  <c r="T348" i="8" a="1"/>
  <c r="T348" i="8" s="1"/>
  <c r="S348" i="8" a="1"/>
  <c r="S348" i="8" s="1"/>
  <c r="R348" i="8" a="1"/>
  <c r="R348" i="8" s="1"/>
  <c r="Q348" i="8" a="1"/>
  <c r="Q348" i="8" s="1"/>
  <c r="P348" i="8" a="1"/>
  <c r="P348" i="8" s="1"/>
  <c r="O348" i="8" a="1"/>
  <c r="O348" i="8" s="1"/>
  <c r="N348" i="8" a="1"/>
  <c r="N348" i="8" s="1"/>
  <c r="M348" i="8" a="1"/>
  <c r="M348" i="8" s="1"/>
  <c r="L348" i="8" a="1"/>
  <c r="L348" i="8" s="1"/>
  <c r="K348" i="8" a="1"/>
  <c r="K348" i="8" s="1"/>
  <c r="J348" i="8" a="1"/>
  <c r="J348" i="8" s="1"/>
  <c r="I348" i="8" a="1"/>
  <c r="I348" i="8" s="1"/>
  <c r="H348" i="8" a="1"/>
  <c r="H348" i="8" s="1"/>
  <c r="G348" i="8" a="1"/>
  <c r="G348" i="8" s="1"/>
  <c r="F348" i="8" a="1"/>
  <c r="F348" i="8" s="1"/>
  <c r="E348" i="8" a="1"/>
  <c r="E348" i="8" s="1"/>
  <c r="AB347" i="8" a="1"/>
  <c r="AB347" i="8" s="1"/>
  <c r="AA347" i="8" a="1"/>
  <c r="AA347" i="8" s="1"/>
  <c r="Z347" i="8" a="1"/>
  <c r="Z347" i="8" s="1"/>
  <c r="Y347" i="8" a="1"/>
  <c r="Y347" i="8" s="1"/>
  <c r="X347" i="8" a="1"/>
  <c r="X347" i="8" s="1"/>
  <c r="W347" i="8" a="1"/>
  <c r="W347" i="8" s="1"/>
  <c r="V347" i="8" a="1"/>
  <c r="V347" i="8" s="1"/>
  <c r="U347" i="8" a="1"/>
  <c r="U347" i="8" s="1"/>
  <c r="T347" i="8" a="1"/>
  <c r="T347" i="8" s="1"/>
  <c r="S347" i="8" a="1"/>
  <c r="S347" i="8" s="1"/>
  <c r="R347" i="8" a="1"/>
  <c r="R347" i="8" s="1"/>
  <c r="Q347" i="8" a="1"/>
  <c r="Q347" i="8" s="1"/>
  <c r="P347" i="8" a="1"/>
  <c r="P347" i="8" s="1"/>
  <c r="O347" i="8" a="1"/>
  <c r="O347" i="8" s="1"/>
  <c r="N347" i="8" a="1"/>
  <c r="N347" i="8" s="1"/>
  <c r="M347" i="8" a="1"/>
  <c r="M347" i="8" s="1"/>
  <c r="L347" i="8" a="1"/>
  <c r="L347" i="8" s="1"/>
  <c r="K347" i="8" a="1"/>
  <c r="K347" i="8" s="1"/>
  <c r="J347" i="8" a="1"/>
  <c r="J347" i="8" s="1"/>
  <c r="I347" i="8" a="1"/>
  <c r="I347" i="8" s="1"/>
  <c r="H347" i="8" a="1"/>
  <c r="H347" i="8" s="1"/>
  <c r="G347" i="8" a="1"/>
  <c r="G347" i="8" s="1"/>
  <c r="F347" i="8" a="1"/>
  <c r="F347" i="8" s="1"/>
  <c r="E347" i="8" a="1"/>
  <c r="E347" i="8" s="1"/>
  <c r="AB346" i="8" a="1"/>
  <c r="AB346" i="8" s="1"/>
  <c r="AA346" i="8" a="1"/>
  <c r="AA346" i="8" s="1"/>
  <c r="Z346" i="8" a="1"/>
  <c r="Z346" i="8" s="1"/>
  <c r="Y346" i="8" a="1"/>
  <c r="Y346" i="8" s="1"/>
  <c r="X346" i="8" a="1"/>
  <c r="X346" i="8" s="1"/>
  <c r="W346" i="8" a="1"/>
  <c r="W346" i="8" s="1"/>
  <c r="V346" i="8" a="1"/>
  <c r="V346" i="8" s="1"/>
  <c r="U346" i="8" a="1"/>
  <c r="U346" i="8" s="1"/>
  <c r="T346" i="8" a="1"/>
  <c r="T346" i="8" s="1"/>
  <c r="S346" i="8" a="1"/>
  <c r="S346" i="8" s="1"/>
  <c r="R346" i="8" a="1"/>
  <c r="R346" i="8" s="1"/>
  <c r="Q346" i="8" a="1"/>
  <c r="Q346" i="8" s="1"/>
  <c r="P346" i="8" a="1"/>
  <c r="P346" i="8" s="1"/>
  <c r="O346" i="8" a="1"/>
  <c r="O346" i="8" s="1"/>
  <c r="N346" i="8" a="1"/>
  <c r="N346" i="8" s="1"/>
  <c r="M346" i="8" a="1"/>
  <c r="M346" i="8" s="1"/>
  <c r="L346" i="8" a="1"/>
  <c r="L346" i="8" s="1"/>
  <c r="K346" i="8" a="1"/>
  <c r="K346" i="8" s="1"/>
  <c r="J346" i="8" a="1"/>
  <c r="J346" i="8" s="1"/>
  <c r="I346" i="8" a="1"/>
  <c r="I346" i="8" s="1"/>
  <c r="H346" i="8" a="1"/>
  <c r="H346" i="8" s="1"/>
  <c r="G346" i="8" a="1"/>
  <c r="G346" i="8" s="1"/>
  <c r="F346" i="8" a="1"/>
  <c r="F346" i="8" s="1"/>
  <c r="E346" i="8" a="1"/>
  <c r="E346" i="8" s="1"/>
  <c r="AB345" i="8" a="1"/>
  <c r="AB345" i="8" s="1"/>
  <c r="AA345" i="8" a="1"/>
  <c r="AA345" i="8" s="1"/>
  <c r="Z345" i="8" a="1"/>
  <c r="Z345" i="8" s="1"/>
  <c r="Y345" i="8" a="1"/>
  <c r="Y345" i="8" s="1"/>
  <c r="X345" i="8" a="1"/>
  <c r="X345" i="8" s="1"/>
  <c r="W345" i="8" a="1"/>
  <c r="W345" i="8" s="1"/>
  <c r="V345" i="8" a="1"/>
  <c r="V345" i="8" s="1"/>
  <c r="U345" i="8" a="1"/>
  <c r="U345" i="8" s="1"/>
  <c r="T345" i="8" a="1"/>
  <c r="T345" i="8" s="1"/>
  <c r="S345" i="8" a="1"/>
  <c r="S345" i="8" s="1"/>
  <c r="R345" i="8" a="1"/>
  <c r="R345" i="8" s="1"/>
  <c r="Q345" i="8" a="1"/>
  <c r="Q345" i="8" s="1"/>
  <c r="P345" i="8" a="1"/>
  <c r="P345" i="8" s="1"/>
  <c r="O345" i="8" a="1"/>
  <c r="O345" i="8" s="1"/>
  <c r="N345" i="8" a="1"/>
  <c r="N345" i="8" s="1"/>
  <c r="M345" i="8" a="1"/>
  <c r="M345" i="8" s="1"/>
  <c r="L345" i="8" a="1"/>
  <c r="L345" i="8" s="1"/>
  <c r="K345" i="8" a="1"/>
  <c r="K345" i="8" s="1"/>
  <c r="J345" i="8" a="1"/>
  <c r="J345" i="8" s="1"/>
  <c r="I345" i="8" a="1"/>
  <c r="I345" i="8" s="1"/>
  <c r="H345" i="8" a="1"/>
  <c r="H345" i="8" s="1"/>
  <c r="G345" i="8" a="1"/>
  <c r="G345" i="8" s="1"/>
  <c r="F345" i="8" a="1"/>
  <c r="F345" i="8" s="1"/>
  <c r="E345" i="8" a="1"/>
  <c r="E345" i="8" s="1"/>
  <c r="AB344" i="8" a="1"/>
  <c r="AB344" i="8" s="1"/>
  <c r="AA344" i="8" a="1"/>
  <c r="AA344" i="8" s="1"/>
  <c r="Z344" i="8" a="1"/>
  <c r="Z344" i="8" s="1"/>
  <c r="Y344" i="8" a="1"/>
  <c r="Y344" i="8" s="1"/>
  <c r="X344" i="8" a="1"/>
  <c r="X344" i="8" s="1"/>
  <c r="W344" i="8" a="1"/>
  <c r="W344" i="8" s="1"/>
  <c r="V344" i="8" a="1"/>
  <c r="V344" i="8" s="1"/>
  <c r="U344" i="8" a="1"/>
  <c r="U344" i="8" s="1"/>
  <c r="T344" i="8" a="1"/>
  <c r="T344" i="8" s="1"/>
  <c r="S344" i="8" a="1"/>
  <c r="S344" i="8" s="1"/>
  <c r="R344" i="8" a="1"/>
  <c r="R344" i="8" s="1"/>
  <c r="Q344" i="8" a="1"/>
  <c r="Q344" i="8" s="1"/>
  <c r="P344" i="8" a="1"/>
  <c r="P344" i="8" s="1"/>
  <c r="O344" i="8" a="1"/>
  <c r="O344" i="8" s="1"/>
  <c r="N344" i="8" a="1"/>
  <c r="N344" i="8" s="1"/>
  <c r="M344" i="8" a="1"/>
  <c r="M344" i="8" s="1"/>
  <c r="L344" i="8" a="1"/>
  <c r="L344" i="8" s="1"/>
  <c r="K344" i="8" a="1"/>
  <c r="K344" i="8" s="1"/>
  <c r="J344" i="8" a="1"/>
  <c r="J344" i="8" s="1"/>
  <c r="I344" i="8" a="1"/>
  <c r="I344" i="8" s="1"/>
  <c r="H344" i="8" a="1"/>
  <c r="H344" i="8" s="1"/>
  <c r="G344" i="8" a="1"/>
  <c r="G344" i="8" s="1"/>
  <c r="F344" i="8" a="1"/>
  <c r="F344" i="8" s="1"/>
  <c r="E344" i="8" a="1"/>
  <c r="E344" i="8" s="1"/>
  <c r="AB343" i="8" a="1"/>
  <c r="AB343" i="8" s="1"/>
  <c r="AA343" i="8" a="1"/>
  <c r="AA343" i="8" s="1"/>
  <c r="Z343" i="8" a="1"/>
  <c r="Z343" i="8" s="1"/>
  <c r="Y343" i="8" a="1"/>
  <c r="Y343" i="8" s="1"/>
  <c r="X343" i="8" a="1"/>
  <c r="X343" i="8" s="1"/>
  <c r="W343" i="8" a="1"/>
  <c r="W343" i="8" s="1"/>
  <c r="V343" i="8" a="1"/>
  <c r="V343" i="8" s="1"/>
  <c r="U343" i="8" a="1"/>
  <c r="U343" i="8" s="1"/>
  <c r="T343" i="8" a="1"/>
  <c r="T343" i="8" s="1"/>
  <c r="S343" i="8" a="1"/>
  <c r="S343" i="8" s="1"/>
  <c r="R343" i="8" a="1"/>
  <c r="R343" i="8" s="1"/>
  <c r="Q343" i="8" a="1"/>
  <c r="Q343" i="8" s="1"/>
  <c r="P343" i="8" a="1"/>
  <c r="P343" i="8" s="1"/>
  <c r="O343" i="8" a="1"/>
  <c r="O343" i="8" s="1"/>
  <c r="N343" i="8" a="1"/>
  <c r="N343" i="8" s="1"/>
  <c r="M343" i="8" a="1"/>
  <c r="M343" i="8" s="1"/>
  <c r="L343" i="8" a="1"/>
  <c r="L343" i="8" s="1"/>
  <c r="K343" i="8" a="1"/>
  <c r="K343" i="8" s="1"/>
  <c r="J343" i="8" a="1"/>
  <c r="J343" i="8" s="1"/>
  <c r="I343" i="8" a="1"/>
  <c r="I343" i="8" s="1"/>
  <c r="H343" i="8" a="1"/>
  <c r="H343" i="8" s="1"/>
  <c r="G343" i="8" a="1"/>
  <c r="G343" i="8" s="1"/>
  <c r="F343" i="8" a="1"/>
  <c r="F343" i="8" s="1"/>
  <c r="E343" i="8" a="1"/>
  <c r="E343" i="8" s="1"/>
  <c r="AB342" i="8" a="1"/>
  <c r="AB342" i="8" s="1"/>
  <c r="AA342" i="8" a="1"/>
  <c r="AA342" i="8" s="1"/>
  <c r="Z342" i="8" a="1"/>
  <c r="Z342" i="8" s="1"/>
  <c r="Y342" i="8" a="1"/>
  <c r="Y342" i="8" s="1"/>
  <c r="X342" i="8" a="1"/>
  <c r="X342" i="8" s="1"/>
  <c r="W342" i="8" a="1"/>
  <c r="W342" i="8" s="1"/>
  <c r="V342" i="8" a="1"/>
  <c r="V342" i="8" s="1"/>
  <c r="U342" i="8" a="1"/>
  <c r="U342" i="8" s="1"/>
  <c r="T342" i="8" a="1"/>
  <c r="T342" i="8" s="1"/>
  <c r="S342" i="8" a="1"/>
  <c r="S342" i="8" s="1"/>
  <c r="R342" i="8" a="1"/>
  <c r="R342" i="8" s="1"/>
  <c r="Q342" i="8" a="1"/>
  <c r="Q342" i="8" s="1"/>
  <c r="P342" i="8" a="1"/>
  <c r="P342" i="8" s="1"/>
  <c r="O342" i="8" a="1"/>
  <c r="O342" i="8" s="1"/>
  <c r="N342" i="8" a="1"/>
  <c r="N342" i="8" s="1"/>
  <c r="M342" i="8" a="1"/>
  <c r="M342" i="8" s="1"/>
  <c r="L342" i="8" a="1"/>
  <c r="L342" i="8" s="1"/>
  <c r="K342" i="8" a="1"/>
  <c r="K342" i="8" s="1"/>
  <c r="J342" i="8" a="1"/>
  <c r="J342" i="8" s="1"/>
  <c r="I342" i="8" a="1"/>
  <c r="I342" i="8" s="1"/>
  <c r="H342" i="8" a="1"/>
  <c r="H342" i="8" s="1"/>
  <c r="G342" i="8" a="1"/>
  <c r="G342" i="8" s="1"/>
  <c r="F342" i="8" a="1"/>
  <c r="F342" i="8" s="1"/>
  <c r="E342" i="8" a="1"/>
  <c r="E342" i="8" s="1"/>
  <c r="AB341" i="8" a="1"/>
  <c r="AB341" i="8" s="1"/>
  <c r="AA341" i="8" a="1"/>
  <c r="AA341" i="8" s="1"/>
  <c r="Z341" i="8" a="1"/>
  <c r="Z341" i="8" s="1"/>
  <c r="Y341" i="8" a="1"/>
  <c r="Y341" i="8" s="1"/>
  <c r="X341" i="8" a="1"/>
  <c r="X341" i="8" s="1"/>
  <c r="W341" i="8" a="1"/>
  <c r="W341" i="8" s="1"/>
  <c r="V341" i="8" a="1"/>
  <c r="V341" i="8" s="1"/>
  <c r="U341" i="8" a="1"/>
  <c r="U341" i="8" s="1"/>
  <c r="T341" i="8" a="1"/>
  <c r="T341" i="8" s="1"/>
  <c r="S341" i="8" a="1"/>
  <c r="S341" i="8" s="1"/>
  <c r="R341" i="8" a="1"/>
  <c r="R341" i="8" s="1"/>
  <c r="Q341" i="8" a="1"/>
  <c r="Q341" i="8" s="1"/>
  <c r="P341" i="8" a="1"/>
  <c r="P341" i="8" s="1"/>
  <c r="O341" i="8" a="1"/>
  <c r="O341" i="8" s="1"/>
  <c r="N341" i="8" a="1"/>
  <c r="N341" i="8" s="1"/>
  <c r="M341" i="8" a="1"/>
  <c r="M341" i="8" s="1"/>
  <c r="L341" i="8" a="1"/>
  <c r="L341" i="8" s="1"/>
  <c r="K341" i="8" a="1"/>
  <c r="K341" i="8" s="1"/>
  <c r="J341" i="8" a="1"/>
  <c r="J341" i="8" s="1"/>
  <c r="I341" i="8" a="1"/>
  <c r="I341" i="8" s="1"/>
  <c r="H341" i="8" a="1"/>
  <c r="H341" i="8" s="1"/>
  <c r="G341" i="8" a="1"/>
  <c r="G341" i="8" s="1"/>
  <c r="F341" i="8" a="1"/>
  <c r="F341" i="8" s="1"/>
  <c r="E341" i="8" a="1"/>
  <c r="E341" i="8" s="1"/>
  <c r="AB340" i="8" a="1"/>
  <c r="AB340" i="8" s="1"/>
  <c r="AA340" i="8" a="1"/>
  <c r="AA340" i="8" s="1"/>
  <c r="Z340" i="8" a="1"/>
  <c r="Z340" i="8" s="1"/>
  <c r="Y340" i="8" a="1"/>
  <c r="Y340" i="8" s="1"/>
  <c r="X340" i="8" a="1"/>
  <c r="X340" i="8" s="1"/>
  <c r="W340" i="8" a="1"/>
  <c r="W340" i="8" s="1"/>
  <c r="V340" i="8" a="1"/>
  <c r="V340" i="8" s="1"/>
  <c r="U340" i="8" a="1"/>
  <c r="U340" i="8" s="1"/>
  <c r="T340" i="8" a="1"/>
  <c r="T340" i="8" s="1"/>
  <c r="S340" i="8" a="1"/>
  <c r="S340" i="8" s="1"/>
  <c r="R340" i="8" a="1"/>
  <c r="R340" i="8" s="1"/>
  <c r="Q340" i="8" a="1"/>
  <c r="Q340" i="8" s="1"/>
  <c r="P340" i="8" a="1"/>
  <c r="P340" i="8" s="1"/>
  <c r="O340" i="8" a="1"/>
  <c r="O340" i="8" s="1"/>
  <c r="N340" i="8" a="1"/>
  <c r="N340" i="8" s="1"/>
  <c r="M340" i="8" a="1"/>
  <c r="M340" i="8" s="1"/>
  <c r="L340" i="8" a="1"/>
  <c r="L340" i="8" s="1"/>
  <c r="K340" i="8" a="1"/>
  <c r="K340" i="8" s="1"/>
  <c r="J340" i="8" a="1"/>
  <c r="J340" i="8" s="1"/>
  <c r="I340" i="8" a="1"/>
  <c r="I340" i="8" s="1"/>
  <c r="H340" i="8" a="1"/>
  <c r="H340" i="8" s="1"/>
  <c r="G340" i="8" a="1"/>
  <c r="G340" i="8" s="1"/>
  <c r="F340" i="8" a="1"/>
  <c r="F340" i="8" s="1"/>
  <c r="E340" i="8" a="1"/>
  <c r="E340" i="8" s="1"/>
  <c r="AB339" i="8" a="1"/>
  <c r="AB339" i="8" s="1"/>
  <c r="AA339" i="8" a="1"/>
  <c r="AA339" i="8" s="1"/>
  <c r="Z339" i="8" a="1"/>
  <c r="Z339" i="8" s="1"/>
  <c r="Y339" i="8" a="1"/>
  <c r="Y339" i="8" s="1"/>
  <c r="X339" i="8" a="1"/>
  <c r="X339" i="8" s="1"/>
  <c r="W339" i="8" a="1"/>
  <c r="W339" i="8" s="1"/>
  <c r="V339" i="8" a="1"/>
  <c r="V339" i="8" s="1"/>
  <c r="U339" i="8" a="1"/>
  <c r="U339" i="8" s="1"/>
  <c r="T339" i="8" a="1"/>
  <c r="T339" i="8" s="1"/>
  <c r="S339" i="8" a="1"/>
  <c r="S339" i="8" s="1"/>
  <c r="R339" i="8" a="1"/>
  <c r="R339" i="8" s="1"/>
  <c r="Q339" i="8" a="1"/>
  <c r="Q339" i="8" s="1"/>
  <c r="P339" i="8" a="1"/>
  <c r="P339" i="8" s="1"/>
  <c r="O339" i="8" a="1"/>
  <c r="O339" i="8" s="1"/>
  <c r="N339" i="8" a="1"/>
  <c r="N339" i="8" s="1"/>
  <c r="M339" i="8" a="1"/>
  <c r="M339" i="8" s="1"/>
  <c r="L339" i="8" a="1"/>
  <c r="L339" i="8" s="1"/>
  <c r="K339" i="8" a="1"/>
  <c r="K339" i="8" s="1"/>
  <c r="J339" i="8" a="1"/>
  <c r="J339" i="8" s="1"/>
  <c r="I339" i="8" a="1"/>
  <c r="I339" i="8" s="1"/>
  <c r="H339" i="8" a="1"/>
  <c r="H339" i="8" s="1"/>
  <c r="G339" i="8" a="1"/>
  <c r="G339" i="8" s="1"/>
  <c r="F339" i="8" a="1"/>
  <c r="F339" i="8" s="1"/>
  <c r="E339" i="8" a="1"/>
  <c r="E339" i="8" s="1"/>
  <c r="AB338" i="8" a="1"/>
  <c r="AB338" i="8" s="1"/>
  <c r="AA338" i="8" a="1"/>
  <c r="AA338" i="8" s="1"/>
  <c r="Z338" i="8" a="1"/>
  <c r="Z338" i="8" s="1"/>
  <c r="Y338" i="8" a="1"/>
  <c r="Y338" i="8" s="1"/>
  <c r="X338" i="8" a="1"/>
  <c r="X338" i="8" s="1"/>
  <c r="W338" i="8" a="1"/>
  <c r="W338" i="8" s="1"/>
  <c r="V338" i="8" a="1"/>
  <c r="V338" i="8" s="1"/>
  <c r="U338" i="8" a="1"/>
  <c r="U338" i="8" s="1"/>
  <c r="T338" i="8" a="1"/>
  <c r="T338" i="8" s="1"/>
  <c r="S338" i="8" a="1"/>
  <c r="S338" i="8" s="1"/>
  <c r="R338" i="8" a="1"/>
  <c r="R338" i="8" s="1"/>
  <c r="Q338" i="8" a="1"/>
  <c r="Q338" i="8" s="1"/>
  <c r="P338" i="8" a="1"/>
  <c r="P338" i="8" s="1"/>
  <c r="O338" i="8" a="1"/>
  <c r="O338" i="8" s="1"/>
  <c r="N338" i="8" a="1"/>
  <c r="N338" i="8" s="1"/>
  <c r="M338" i="8" a="1"/>
  <c r="M338" i="8" s="1"/>
  <c r="L338" i="8" a="1"/>
  <c r="L338" i="8" s="1"/>
  <c r="K338" i="8" a="1"/>
  <c r="K338" i="8" s="1"/>
  <c r="J338" i="8" a="1"/>
  <c r="J338" i="8" s="1"/>
  <c r="I338" i="8" a="1"/>
  <c r="I338" i="8" s="1"/>
  <c r="H338" i="8" a="1"/>
  <c r="H338" i="8" s="1"/>
  <c r="G338" i="8" a="1"/>
  <c r="G338" i="8" s="1"/>
  <c r="F338" i="8" a="1"/>
  <c r="F338" i="8" s="1"/>
  <c r="E338" i="8" a="1"/>
  <c r="E338" i="8" s="1"/>
  <c r="AB337" i="8" a="1"/>
  <c r="AB337" i="8" s="1"/>
  <c r="AA337" i="8" a="1"/>
  <c r="AA337" i="8" s="1"/>
  <c r="Z337" i="8" a="1"/>
  <c r="Z337" i="8" s="1"/>
  <c r="Y337" i="8" a="1"/>
  <c r="Y337" i="8" s="1"/>
  <c r="X337" i="8" a="1"/>
  <c r="X337" i="8" s="1"/>
  <c r="W337" i="8" a="1"/>
  <c r="W337" i="8" s="1"/>
  <c r="V337" i="8" a="1"/>
  <c r="V337" i="8" s="1"/>
  <c r="U337" i="8" a="1"/>
  <c r="U337" i="8" s="1"/>
  <c r="T337" i="8" a="1"/>
  <c r="T337" i="8" s="1"/>
  <c r="S337" i="8" a="1"/>
  <c r="S337" i="8" s="1"/>
  <c r="R337" i="8" a="1"/>
  <c r="R337" i="8" s="1"/>
  <c r="Q337" i="8" a="1"/>
  <c r="Q337" i="8" s="1"/>
  <c r="P337" i="8" a="1"/>
  <c r="P337" i="8" s="1"/>
  <c r="O337" i="8" a="1"/>
  <c r="O337" i="8" s="1"/>
  <c r="N337" i="8" a="1"/>
  <c r="N337" i="8" s="1"/>
  <c r="M337" i="8" a="1"/>
  <c r="M337" i="8" s="1"/>
  <c r="L337" i="8" a="1"/>
  <c r="L337" i="8" s="1"/>
  <c r="K337" i="8" a="1"/>
  <c r="K337" i="8" s="1"/>
  <c r="J337" i="8" a="1"/>
  <c r="J337" i="8" s="1"/>
  <c r="I337" i="8" a="1"/>
  <c r="I337" i="8" s="1"/>
  <c r="H337" i="8" a="1"/>
  <c r="H337" i="8" s="1"/>
  <c r="G337" i="8" a="1"/>
  <c r="G337" i="8" s="1"/>
  <c r="F337" i="8" a="1"/>
  <c r="F337" i="8" s="1"/>
  <c r="E337" i="8" a="1"/>
  <c r="E337" i="8" s="1"/>
  <c r="AB336" i="8" a="1"/>
  <c r="AB336" i="8" s="1"/>
  <c r="AA336" i="8" a="1"/>
  <c r="AA336" i="8" s="1"/>
  <c r="Z336" i="8" a="1"/>
  <c r="Z336" i="8" s="1"/>
  <c r="Y336" i="8" a="1"/>
  <c r="Y336" i="8" s="1"/>
  <c r="X336" i="8" a="1"/>
  <c r="X336" i="8" s="1"/>
  <c r="W336" i="8" a="1"/>
  <c r="W336" i="8" s="1"/>
  <c r="V336" i="8" a="1"/>
  <c r="V336" i="8" s="1"/>
  <c r="U336" i="8" a="1"/>
  <c r="U336" i="8" s="1"/>
  <c r="T336" i="8" a="1"/>
  <c r="T336" i="8" s="1"/>
  <c r="S336" i="8" a="1"/>
  <c r="S336" i="8" s="1"/>
  <c r="R336" i="8" a="1"/>
  <c r="R336" i="8" s="1"/>
  <c r="Q336" i="8" a="1"/>
  <c r="Q336" i="8" s="1"/>
  <c r="P336" i="8" a="1"/>
  <c r="P336" i="8" s="1"/>
  <c r="O336" i="8" a="1"/>
  <c r="O336" i="8" s="1"/>
  <c r="N336" i="8" a="1"/>
  <c r="N336" i="8" s="1"/>
  <c r="M336" i="8" a="1"/>
  <c r="M336" i="8" s="1"/>
  <c r="L336" i="8" a="1"/>
  <c r="L336" i="8" s="1"/>
  <c r="K336" i="8" a="1"/>
  <c r="K336" i="8" s="1"/>
  <c r="J336" i="8" a="1"/>
  <c r="J336" i="8" s="1"/>
  <c r="I336" i="8" a="1"/>
  <c r="I336" i="8" s="1"/>
  <c r="H336" i="8" a="1"/>
  <c r="H336" i="8" s="1"/>
  <c r="G336" i="8" a="1"/>
  <c r="G336" i="8" s="1"/>
  <c r="F336" i="8" a="1"/>
  <c r="F336" i="8" s="1"/>
  <c r="E336" i="8" a="1"/>
  <c r="E336" i="8" s="1"/>
  <c r="AB335" i="8" a="1"/>
  <c r="AB335" i="8" s="1"/>
  <c r="AA335" i="8" a="1"/>
  <c r="AA335" i="8" s="1"/>
  <c r="Z335" i="8" a="1"/>
  <c r="Z335" i="8" s="1"/>
  <c r="Y335" i="8" a="1"/>
  <c r="Y335" i="8" s="1"/>
  <c r="X335" i="8" a="1"/>
  <c r="X335" i="8" s="1"/>
  <c r="W335" i="8" a="1"/>
  <c r="W335" i="8" s="1"/>
  <c r="V335" i="8" a="1"/>
  <c r="V335" i="8" s="1"/>
  <c r="U335" i="8" a="1"/>
  <c r="U335" i="8" s="1"/>
  <c r="T335" i="8" a="1"/>
  <c r="T335" i="8" s="1"/>
  <c r="S335" i="8" a="1"/>
  <c r="S335" i="8" s="1"/>
  <c r="R335" i="8" a="1"/>
  <c r="R335" i="8" s="1"/>
  <c r="Q335" i="8" a="1"/>
  <c r="Q335" i="8" s="1"/>
  <c r="P335" i="8" a="1"/>
  <c r="P335" i="8" s="1"/>
  <c r="O335" i="8" a="1"/>
  <c r="O335" i="8" s="1"/>
  <c r="N335" i="8" a="1"/>
  <c r="N335" i="8" s="1"/>
  <c r="M335" i="8" a="1"/>
  <c r="M335" i="8" s="1"/>
  <c r="L335" i="8" a="1"/>
  <c r="L335" i="8" s="1"/>
  <c r="K335" i="8" a="1"/>
  <c r="K335" i="8" s="1"/>
  <c r="J335" i="8" a="1"/>
  <c r="J335" i="8" s="1"/>
  <c r="I335" i="8" a="1"/>
  <c r="I335" i="8" s="1"/>
  <c r="H335" i="8" a="1"/>
  <c r="H335" i="8" s="1"/>
  <c r="G335" i="8" a="1"/>
  <c r="G335" i="8" s="1"/>
  <c r="F335" i="8" a="1"/>
  <c r="F335" i="8" s="1"/>
  <c r="E335" i="8" a="1"/>
  <c r="E335" i="8" s="1"/>
  <c r="AB334" i="8" a="1"/>
  <c r="AB334" i="8" s="1"/>
  <c r="AA334" i="8" a="1"/>
  <c r="AA334" i="8" s="1"/>
  <c r="Z334" i="8" a="1"/>
  <c r="Z334" i="8" s="1"/>
  <c r="Y334" i="8" a="1"/>
  <c r="Y334" i="8" s="1"/>
  <c r="X334" i="8" a="1"/>
  <c r="X334" i="8" s="1"/>
  <c r="W334" i="8" a="1"/>
  <c r="W334" i="8" s="1"/>
  <c r="V334" i="8" a="1"/>
  <c r="V334" i="8" s="1"/>
  <c r="U334" i="8" a="1"/>
  <c r="U334" i="8" s="1"/>
  <c r="T334" i="8" a="1"/>
  <c r="T334" i="8" s="1"/>
  <c r="S334" i="8" a="1"/>
  <c r="S334" i="8" s="1"/>
  <c r="R334" i="8" a="1"/>
  <c r="R334" i="8" s="1"/>
  <c r="Q334" i="8" a="1"/>
  <c r="Q334" i="8" s="1"/>
  <c r="P334" i="8" a="1"/>
  <c r="P334" i="8" s="1"/>
  <c r="O334" i="8" a="1"/>
  <c r="O334" i="8" s="1"/>
  <c r="N334" i="8" a="1"/>
  <c r="N334" i="8" s="1"/>
  <c r="M334" i="8" a="1"/>
  <c r="M334" i="8" s="1"/>
  <c r="L334" i="8" a="1"/>
  <c r="L334" i="8" s="1"/>
  <c r="K334" i="8" a="1"/>
  <c r="K334" i="8" s="1"/>
  <c r="J334" i="8" a="1"/>
  <c r="J334" i="8" s="1"/>
  <c r="I334" i="8" a="1"/>
  <c r="I334" i="8" s="1"/>
  <c r="H334" i="8" a="1"/>
  <c r="H334" i="8" s="1"/>
  <c r="G334" i="8" a="1"/>
  <c r="G334" i="8" s="1"/>
  <c r="F334" i="8" a="1"/>
  <c r="F334" i="8" s="1"/>
  <c r="E334" i="8" a="1"/>
  <c r="E334" i="8" s="1"/>
  <c r="AB333" i="8" a="1"/>
  <c r="AB333" i="8" s="1"/>
  <c r="AA333" i="8" a="1"/>
  <c r="AA333" i="8" s="1"/>
  <c r="Z333" i="8" a="1"/>
  <c r="Z333" i="8" s="1"/>
  <c r="Y333" i="8" a="1"/>
  <c r="Y333" i="8" s="1"/>
  <c r="X333" i="8" a="1"/>
  <c r="X333" i="8" s="1"/>
  <c r="W333" i="8" a="1"/>
  <c r="W333" i="8" s="1"/>
  <c r="V333" i="8" a="1"/>
  <c r="V333" i="8" s="1"/>
  <c r="U333" i="8" a="1"/>
  <c r="U333" i="8" s="1"/>
  <c r="T333" i="8" a="1"/>
  <c r="T333" i="8" s="1"/>
  <c r="S333" i="8" a="1"/>
  <c r="S333" i="8" s="1"/>
  <c r="R333" i="8" a="1"/>
  <c r="R333" i="8" s="1"/>
  <c r="Q333" i="8" a="1"/>
  <c r="Q333" i="8" s="1"/>
  <c r="P333" i="8" a="1"/>
  <c r="P333" i="8" s="1"/>
  <c r="O333" i="8" a="1"/>
  <c r="O333" i="8" s="1"/>
  <c r="N333" i="8" a="1"/>
  <c r="N333" i="8" s="1"/>
  <c r="M333" i="8" a="1"/>
  <c r="M333" i="8" s="1"/>
  <c r="L333" i="8" a="1"/>
  <c r="L333" i="8" s="1"/>
  <c r="K333" i="8" a="1"/>
  <c r="K333" i="8" s="1"/>
  <c r="J333" i="8" a="1"/>
  <c r="J333" i="8" s="1"/>
  <c r="I333" i="8" a="1"/>
  <c r="I333" i="8" s="1"/>
  <c r="H333" i="8" a="1"/>
  <c r="H333" i="8" s="1"/>
  <c r="G333" i="8" a="1"/>
  <c r="G333" i="8" s="1"/>
  <c r="F333" i="8" a="1"/>
  <c r="F333" i="8" s="1"/>
  <c r="E333" i="8" a="1"/>
  <c r="E333" i="8" s="1"/>
  <c r="AB332" i="8" a="1"/>
  <c r="AB332" i="8" s="1"/>
  <c r="AA332" i="8" a="1"/>
  <c r="AA332" i="8" s="1"/>
  <c r="Z332" i="8" a="1"/>
  <c r="Z332" i="8" s="1"/>
  <c r="Y332" i="8" a="1"/>
  <c r="Y332" i="8" s="1"/>
  <c r="X332" i="8" a="1"/>
  <c r="X332" i="8" s="1"/>
  <c r="W332" i="8" a="1"/>
  <c r="W332" i="8" s="1"/>
  <c r="V332" i="8" a="1"/>
  <c r="V332" i="8" s="1"/>
  <c r="U332" i="8" a="1"/>
  <c r="U332" i="8" s="1"/>
  <c r="T332" i="8" a="1"/>
  <c r="T332" i="8" s="1"/>
  <c r="S332" i="8" a="1"/>
  <c r="S332" i="8" s="1"/>
  <c r="R332" i="8" a="1"/>
  <c r="R332" i="8" s="1"/>
  <c r="Q332" i="8" a="1"/>
  <c r="Q332" i="8" s="1"/>
  <c r="P332" i="8" a="1"/>
  <c r="P332" i="8" s="1"/>
  <c r="O332" i="8" a="1"/>
  <c r="O332" i="8" s="1"/>
  <c r="N332" i="8" a="1"/>
  <c r="N332" i="8" s="1"/>
  <c r="M332" i="8" a="1"/>
  <c r="M332" i="8" s="1"/>
  <c r="L332" i="8" a="1"/>
  <c r="L332" i="8" s="1"/>
  <c r="K332" i="8" a="1"/>
  <c r="K332" i="8" s="1"/>
  <c r="J332" i="8" a="1"/>
  <c r="J332" i="8" s="1"/>
  <c r="I332" i="8" a="1"/>
  <c r="I332" i="8" s="1"/>
  <c r="H332" i="8" a="1"/>
  <c r="H332" i="8" s="1"/>
  <c r="G332" i="8" a="1"/>
  <c r="G332" i="8" s="1"/>
  <c r="F332" i="8" a="1"/>
  <c r="F332" i="8" s="1"/>
  <c r="E332" i="8" a="1"/>
  <c r="E332" i="8" s="1"/>
  <c r="AB331" i="8" a="1"/>
  <c r="AB331" i="8" s="1"/>
  <c r="AA331" i="8" a="1"/>
  <c r="AA331" i="8" s="1"/>
  <c r="Z331" i="8" a="1"/>
  <c r="Z331" i="8" s="1"/>
  <c r="Y331" i="8" a="1"/>
  <c r="Y331" i="8" s="1"/>
  <c r="X331" i="8" a="1"/>
  <c r="X331" i="8" s="1"/>
  <c r="W331" i="8" a="1"/>
  <c r="W331" i="8" s="1"/>
  <c r="V331" i="8" a="1"/>
  <c r="V331" i="8" s="1"/>
  <c r="U331" i="8" a="1"/>
  <c r="U331" i="8" s="1"/>
  <c r="T331" i="8" a="1"/>
  <c r="T331" i="8" s="1"/>
  <c r="S331" i="8" a="1"/>
  <c r="S331" i="8" s="1"/>
  <c r="R331" i="8" a="1"/>
  <c r="R331" i="8" s="1"/>
  <c r="Q331" i="8" a="1"/>
  <c r="Q331" i="8" s="1"/>
  <c r="P331" i="8" a="1"/>
  <c r="P331" i="8" s="1"/>
  <c r="O331" i="8" a="1"/>
  <c r="O331" i="8" s="1"/>
  <c r="N331" i="8" a="1"/>
  <c r="N331" i="8" s="1"/>
  <c r="M331" i="8" a="1"/>
  <c r="M331" i="8" s="1"/>
  <c r="L331" i="8" a="1"/>
  <c r="L331" i="8" s="1"/>
  <c r="K331" i="8" a="1"/>
  <c r="K331" i="8" s="1"/>
  <c r="J331" i="8" a="1"/>
  <c r="J331" i="8" s="1"/>
  <c r="I331" i="8" a="1"/>
  <c r="I331" i="8" s="1"/>
  <c r="H331" i="8" a="1"/>
  <c r="H331" i="8" s="1"/>
  <c r="G331" i="8" a="1"/>
  <c r="G331" i="8" s="1"/>
  <c r="F331" i="8" a="1"/>
  <c r="F331" i="8" s="1"/>
  <c r="E331" i="8" a="1"/>
  <c r="E331" i="8" s="1"/>
  <c r="AB330" i="8" a="1"/>
  <c r="AB330" i="8" s="1"/>
  <c r="AA330" i="8" a="1"/>
  <c r="AA330" i="8" s="1"/>
  <c r="Z330" i="8" a="1"/>
  <c r="Z330" i="8" s="1"/>
  <c r="Y330" i="8" a="1"/>
  <c r="Y330" i="8" s="1"/>
  <c r="X330" i="8" a="1"/>
  <c r="X330" i="8" s="1"/>
  <c r="W330" i="8" a="1"/>
  <c r="W330" i="8" s="1"/>
  <c r="V330" i="8" a="1"/>
  <c r="V330" i="8" s="1"/>
  <c r="U330" i="8" a="1"/>
  <c r="U330" i="8" s="1"/>
  <c r="T330" i="8" a="1"/>
  <c r="T330" i="8" s="1"/>
  <c r="S330" i="8" a="1"/>
  <c r="S330" i="8" s="1"/>
  <c r="R330" i="8" a="1"/>
  <c r="R330" i="8" s="1"/>
  <c r="Q330" i="8" a="1"/>
  <c r="Q330" i="8" s="1"/>
  <c r="P330" i="8" a="1"/>
  <c r="P330" i="8" s="1"/>
  <c r="O330" i="8" a="1"/>
  <c r="O330" i="8" s="1"/>
  <c r="N330" i="8" a="1"/>
  <c r="N330" i="8" s="1"/>
  <c r="M330" i="8" a="1"/>
  <c r="M330" i="8" s="1"/>
  <c r="L330" i="8" a="1"/>
  <c r="L330" i="8" s="1"/>
  <c r="K330" i="8" a="1"/>
  <c r="K330" i="8" s="1"/>
  <c r="J330" i="8" a="1"/>
  <c r="J330" i="8" s="1"/>
  <c r="I330" i="8" a="1"/>
  <c r="I330" i="8" s="1"/>
  <c r="H330" i="8" a="1"/>
  <c r="H330" i="8" s="1"/>
  <c r="G330" i="8" a="1"/>
  <c r="G330" i="8" s="1"/>
  <c r="F330" i="8" a="1"/>
  <c r="F330" i="8" s="1"/>
  <c r="E330" i="8" a="1"/>
  <c r="E330" i="8" s="1"/>
  <c r="AB329" i="8" a="1"/>
  <c r="AB329" i="8" s="1"/>
  <c r="AA329" i="8" a="1"/>
  <c r="AA329" i="8" s="1"/>
  <c r="Z329" i="8" a="1"/>
  <c r="Z329" i="8" s="1"/>
  <c r="Y329" i="8" a="1"/>
  <c r="Y329" i="8" s="1"/>
  <c r="X329" i="8" a="1"/>
  <c r="X329" i="8" s="1"/>
  <c r="W329" i="8" a="1"/>
  <c r="W329" i="8" s="1"/>
  <c r="V329" i="8" a="1"/>
  <c r="V329" i="8" s="1"/>
  <c r="U329" i="8" a="1"/>
  <c r="U329" i="8" s="1"/>
  <c r="T329" i="8" a="1"/>
  <c r="T329" i="8" s="1"/>
  <c r="S329" i="8" a="1"/>
  <c r="S329" i="8" s="1"/>
  <c r="R329" i="8" a="1"/>
  <c r="R329" i="8" s="1"/>
  <c r="Q329" i="8" a="1"/>
  <c r="Q329" i="8" s="1"/>
  <c r="P329" i="8" a="1"/>
  <c r="P329" i="8" s="1"/>
  <c r="O329" i="8" a="1"/>
  <c r="O329" i="8" s="1"/>
  <c r="N329" i="8" a="1"/>
  <c r="N329" i="8" s="1"/>
  <c r="M329" i="8" a="1"/>
  <c r="M329" i="8" s="1"/>
  <c r="L329" i="8" a="1"/>
  <c r="L329" i="8" s="1"/>
  <c r="K329" i="8" a="1"/>
  <c r="K329" i="8" s="1"/>
  <c r="J329" i="8" a="1"/>
  <c r="J329" i="8" s="1"/>
  <c r="I329" i="8" a="1"/>
  <c r="I329" i="8" s="1"/>
  <c r="H329" i="8" a="1"/>
  <c r="H329" i="8" s="1"/>
  <c r="G329" i="8" a="1"/>
  <c r="G329" i="8" s="1"/>
  <c r="F329" i="8" a="1"/>
  <c r="F329" i="8" s="1"/>
  <c r="E329" i="8" a="1"/>
  <c r="E329" i="8" s="1"/>
  <c r="AB328" i="8" a="1"/>
  <c r="AB328" i="8" s="1"/>
  <c r="AA328" i="8" a="1"/>
  <c r="AA328" i="8" s="1"/>
  <c r="Z328" i="8" a="1"/>
  <c r="Z328" i="8" s="1"/>
  <c r="Y328" i="8" a="1"/>
  <c r="Y328" i="8" s="1"/>
  <c r="X328" i="8" a="1"/>
  <c r="X328" i="8" s="1"/>
  <c r="W328" i="8" a="1"/>
  <c r="W328" i="8" s="1"/>
  <c r="V328" i="8" a="1"/>
  <c r="V328" i="8" s="1"/>
  <c r="U328" i="8" a="1"/>
  <c r="U328" i="8" s="1"/>
  <c r="T328" i="8" a="1"/>
  <c r="T328" i="8" s="1"/>
  <c r="S328" i="8" a="1"/>
  <c r="S328" i="8" s="1"/>
  <c r="R328" i="8" a="1"/>
  <c r="R328" i="8" s="1"/>
  <c r="Q328" i="8" a="1"/>
  <c r="Q328" i="8" s="1"/>
  <c r="P328" i="8" a="1"/>
  <c r="P328" i="8" s="1"/>
  <c r="O328" i="8" a="1"/>
  <c r="O328" i="8" s="1"/>
  <c r="N328" i="8" a="1"/>
  <c r="N328" i="8" s="1"/>
  <c r="M328" i="8" a="1"/>
  <c r="M328" i="8" s="1"/>
  <c r="L328" i="8" a="1"/>
  <c r="L328" i="8" s="1"/>
  <c r="K328" i="8" a="1"/>
  <c r="K328" i="8" s="1"/>
  <c r="J328" i="8" a="1"/>
  <c r="J328" i="8" s="1"/>
  <c r="I328" i="8" a="1"/>
  <c r="I328" i="8" s="1"/>
  <c r="H328" i="8" a="1"/>
  <c r="H328" i="8" s="1"/>
  <c r="G328" i="8" a="1"/>
  <c r="G328" i="8" s="1"/>
  <c r="F328" i="8" a="1"/>
  <c r="F328" i="8" s="1"/>
  <c r="E328" i="8" a="1"/>
  <c r="E328" i="8" s="1"/>
  <c r="AB327" i="8" a="1"/>
  <c r="AB327" i="8" s="1"/>
  <c r="AA327" i="8" a="1"/>
  <c r="AA327" i="8" s="1"/>
  <c r="Z327" i="8" a="1"/>
  <c r="Z327" i="8" s="1"/>
  <c r="Y327" i="8" a="1"/>
  <c r="Y327" i="8" s="1"/>
  <c r="X327" i="8" a="1"/>
  <c r="X327" i="8" s="1"/>
  <c r="W327" i="8" a="1"/>
  <c r="W327" i="8" s="1"/>
  <c r="V327" i="8" a="1"/>
  <c r="V327" i="8" s="1"/>
  <c r="U327" i="8" a="1"/>
  <c r="U327" i="8" s="1"/>
  <c r="T327" i="8" a="1"/>
  <c r="T327" i="8" s="1"/>
  <c r="S327" i="8" a="1"/>
  <c r="S327" i="8" s="1"/>
  <c r="R327" i="8" a="1"/>
  <c r="R327" i="8" s="1"/>
  <c r="Q327" i="8" a="1"/>
  <c r="Q327" i="8" s="1"/>
  <c r="P327" i="8" a="1"/>
  <c r="P327" i="8" s="1"/>
  <c r="O327" i="8" a="1"/>
  <c r="O327" i="8" s="1"/>
  <c r="N327" i="8" a="1"/>
  <c r="N327" i="8" s="1"/>
  <c r="M327" i="8" a="1"/>
  <c r="M327" i="8" s="1"/>
  <c r="L327" i="8" a="1"/>
  <c r="L327" i="8" s="1"/>
  <c r="K327" i="8" a="1"/>
  <c r="K327" i="8" s="1"/>
  <c r="J327" i="8" a="1"/>
  <c r="J327" i="8" s="1"/>
  <c r="I327" i="8" a="1"/>
  <c r="I327" i="8" s="1"/>
  <c r="H327" i="8" a="1"/>
  <c r="H327" i="8" s="1"/>
  <c r="G327" i="8" a="1"/>
  <c r="G327" i="8" s="1"/>
  <c r="F327" i="8" a="1"/>
  <c r="F327" i="8" s="1"/>
  <c r="E327" i="8" a="1"/>
  <c r="E327" i="8" s="1"/>
  <c r="AB326" i="8" a="1"/>
  <c r="AB326" i="8" s="1"/>
  <c r="AA326" i="8" a="1"/>
  <c r="AA326" i="8" s="1"/>
  <c r="Z326" i="8" a="1"/>
  <c r="Z326" i="8" s="1"/>
  <c r="Y326" i="8" a="1"/>
  <c r="Y326" i="8" s="1"/>
  <c r="X326" i="8" a="1"/>
  <c r="X326" i="8" s="1"/>
  <c r="W326" i="8" a="1"/>
  <c r="W326" i="8" s="1"/>
  <c r="V326" i="8" a="1"/>
  <c r="V326" i="8" s="1"/>
  <c r="U326" i="8" a="1"/>
  <c r="U326" i="8" s="1"/>
  <c r="T326" i="8" a="1"/>
  <c r="T326" i="8" s="1"/>
  <c r="S326" i="8" a="1"/>
  <c r="S326" i="8" s="1"/>
  <c r="R326" i="8" a="1"/>
  <c r="R326" i="8" s="1"/>
  <c r="Q326" i="8" a="1"/>
  <c r="Q326" i="8" s="1"/>
  <c r="P326" i="8" a="1"/>
  <c r="P326" i="8" s="1"/>
  <c r="O326" i="8" a="1"/>
  <c r="O326" i="8" s="1"/>
  <c r="N326" i="8" a="1"/>
  <c r="N326" i="8" s="1"/>
  <c r="M326" i="8" a="1"/>
  <c r="M326" i="8" s="1"/>
  <c r="L326" i="8" a="1"/>
  <c r="L326" i="8" s="1"/>
  <c r="K326" i="8" a="1"/>
  <c r="K326" i="8" s="1"/>
  <c r="J326" i="8" a="1"/>
  <c r="J326" i="8" s="1"/>
  <c r="I326" i="8" a="1"/>
  <c r="I326" i="8" s="1"/>
  <c r="H326" i="8" a="1"/>
  <c r="H326" i="8" s="1"/>
  <c r="G326" i="8" a="1"/>
  <c r="G326" i="8" s="1"/>
  <c r="F326" i="8" a="1"/>
  <c r="F326" i="8" s="1"/>
  <c r="E326" i="8" a="1"/>
  <c r="E326" i="8" s="1"/>
  <c r="AB325" i="8" a="1"/>
  <c r="AB325" i="8" s="1"/>
  <c r="AA325" i="8" a="1"/>
  <c r="AA325" i="8" s="1"/>
  <c r="Z325" i="8" a="1"/>
  <c r="Z325" i="8" s="1"/>
  <c r="Y325" i="8" a="1"/>
  <c r="Y325" i="8" s="1"/>
  <c r="X325" i="8" a="1"/>
  <c r="X325" i="8" s="1"/>
  <c r="W325" i="8" a="1"/>
  <c r="W325" i="8" s="1"/>
  <c r="V325" i="8" a="1"/>
  <c r="V325" i="8" s="1"/>
  <c r="U325" i="8" a="1"/>
  <c r="U325" i="8" s="1"/>
  <c r="T325" i="8" a="1"/>
  <c r="T325" i="8" s="1"/>
  <c r="S325" i="8" a="1"/>
  <c r="S325" i="8" s="1"/>
  <c r="R325" i="8" a="1"/>
  <c r="R325" i="8" s="1"/>
  <c r="Q325" i="8" a="1"/>
  <c r="Q325" i="8" s="1"/>
  <c r="P325" i="8" a="1"/>
  <c r="P325" i="8" s="1"/>
  <c r="O325" i="8" a="1"/>
  <c r="O325" i="8" s="1"/>
  <c r="N325" i="8" a="1"/>
  <c r="N325" i="8" s="1"/>
  <c r="M325" i="8" a="1"/>
  <c r="M325" i="8" s="1"/>
  <c r="L325" i="8" a="1"/>
  <c r="L325" i="8" s="1"/>
  <c r="K325" i="8" a="1"/>
  <c r="K325" i="8" s="1"/>
  <c r="J325" i="8" a="1"/>
  <c r="J325" i="8" s="1"/>
  <c r="I325" i="8" a="1"/>
  <c r="I325" i="8" s="1"/>
  <c r="H325" i="8" a="1"/>
  <c r="H325" i="8" s="1"/>
  <c r="G325" i="8" a="1"/>
  <c r="G325" i="8" s="1"/>
  <c r="F325" i="8" a="1"/>
  <c r="F325" i="8" s="1"/>
  <c r="E325" i="8" a="1"/>
  <c r="E325" i="8" s="1"/>
  <c r="AB324" i="8" a="1"/>
  <c r="AB324" i="8" s="1"/>
  <c r="AA324" i="8" a="1"/>
  <c r="AA324" i="8" s="1"/>
  <c r="Z324" i="8" a="1"/>
  <c r="Z324" i="8" s="1"/>
  <c r="Y324" i="8" a="1"/>
  <c r="Y324" i="8" s="1"/>
  <c r="X324" i="8" a="1"/>
  <c r="X324" i="8" s="1"/>
  <c r="W324" i="8" a="1"/>
  <c r="W324" i="8" s="1"/>
  <c r="V324" i="8" a="1"/>
  <c r="V324" i="8" s="1"/>
  <c r="U324" i="8" a="1"/>
  <c r="U324" i="8" s="1"/>
  <c r="T324" i="8" a="1"/>
  <c r="T324" i="8" s="1"/>
  <c r="S324" i="8" a="1"/>
  <c r="S324" i="8" s="1"/>
  <c r="R324" i="8" a="1"/>
  <c r="R324" i="8" s="1"/>
  <c r="Q324" i="8" a="1"/>
  <c r="Q324" i="8" s="1"/>
  <c r="P324" i="8" a="1"/>
  <c r="P324" i="8" s="1"/>
  <c r="O324" i="8" a="1"/>
  <c r="O324" i="8" s="1"/>
  <c r="N324" i="8" a="1"/>
  <c r="N324" i="8" s="1"/>
  <c r="M324" i="8" a="1"/>
  <c r="M324" i="8" s="1"/>
  <c r="L324" i="8" a="1"/>
  <c r="L324" i="8" s="1"/>
  <c r="K324" i="8" a="1"/>
  <c r="K324" i="8" s="1"/>
  <c r="J324" i="8" a="1"/>
  <c r="J324" i="8" s="1"/>
  <c r="I324" i="8" a="1"/>
  <c r="I324" i="8" s="1"/>
  <c r="H324" i="8" a="1"/>
  <c r="H324" i="8" s="1"/>
  <c r="G324" i="8" a="1"/>
  <c r="G324" i="8" s="1"/>
  <c r="F324" i="8" a="1"/>
  <c r="F324" i="8" s="1"/>
  <c r="E324" i="8" a="1"/>
  <c r="E324" i="8" s="1"/>
  <c r="AB323" i="8" a="1"/>
  <c r="AB323" i="8" s="1"/>
  <c r="AA323" i="8" a="1"/>
  <c r="AA323" i="8" s="1"/>
  <c r="Z323" i="8" a="1"/>
  <c r="Z323" i="8" s="1"/>
  <c r="Y323" i="8" a="1"/>
  <c r="Y323" i="8" s="1"/>
  <c r="X323" i="8" a="1"/>
  <c r="X323" i="8" s="1"/>
  <c r="W323" i="8" a="1"/>
  <c r="W323" i="8" s="1"/>
  <c r="V323" i="8" a="1"/>
  <c r="V323" i="8" s="1"/>
  <c r="U323" i="8" a="1"/>
  <c r="U323" i="8" s="1"/>
  <c r="T323" i="8" a="1"/>
  <c r="T323" i="8" s="1"/>
  <c r="S323" i="8" a="1"/>
  <c r="S323" i="8" s="1"/>
  <c r="R323" i="8" a="1"/>
  <c r="R323" i="8" s="1"/>
  <c r="Q323" i="8" a="1"/>
  <c r="Q323" i="8" s="1"/>
  <c r="P323" i="8" a="1"/>
  <c r="P323" i="8" s="1"/>
  <c r="O323" i="8" a="1"/>
  <c r="O323" i="8" s="1"/>
  <c r="N323" i="8" a="1"/>
  <c r="N323" i="8" s="1"/>
  <c r="M323" i="8" a="1"/>
  <c r="M323" i="8" s="1"/>
  <c r="L323" i="8" a="1"/>
  <c r="L323" i="8" s="1"/>
  <c r="K323" i="8" a="1"/>
  <c r="K323" i="8" s="1"/>
  <c r="J323" i="8" a="1"/>
  <c r="J323" i="8" s="1"/>
  <c r="I323" i="8" a="1"/>
  <c r="I323" i="8" s="1"/>
  <c r="H323" i="8" a="1"/>
  <c r="H323" i="8" s="1"/>
  <c r="G323" i="8" a="1"/>
  <c r="G323" i="8" s="1"/>
  <c r="F323" i="8" a="1"/>
  <c r="F323" i="8" s="1"/>
  <c r="E323" i="8" a="1"/>
  <c r="E323" i="8" s="1"/>
  <c r="AB322" i="8" a="1"/>
  <c r="AB322" i="8" s="1"/>
  <c r="AA322" i="8" a="1"/>
  <c r="AA322" i="8" s="1"/>
  <c r="Z322" i="8" a="1"/>
  <c r="Z322" i="8" s="1"/>
  <c r="Y322" i="8" a="1"/>
  <c r="Y322" i="8" s="1"/>
  <c r="X322" i="8" a="1"/>
  <c r="X322" i="8" s="1"/>
  <c r="W322" i="8" a="1"/>
  <c r="W322" i="8" s="1"/>
  <c r="V322" i="8" a="1"/>
  <c r="V322" i="8" s="1"/>
  <c r="U322" i="8" a="1"/>
  <c r="U322" i="8" s="1"/>
  <c r="T322" i="8" a="1"/>
  <c r="T322" i="8" s="1"/>
  <c r="S322" i="8" a="1"/>
  <c r="S322" i="8" s="1"/>
  <c r="R322" i="8" a="1"/>
  <c r="R322" i="8" s="1"/>
  <c r="Q322" i="8" a="1"/>
  <c r="Q322" i="8" s="1"/>
  <c r="P322" i="8" a="1"/>
  <c r="P322" i="8" s="1"/>
  <c r="O322" i="8" a="1"/>
  <c r="O322" i="8" s="1"/>
  <c r="N322" i="8" a="1"/>
  <c r="N322" i="8" s="1"/>
  <c r="M322" i="8" a="1"/>
  <c r="M322" i="8" s="1"/>
  <c r="L322" i="8" a="1"/>
  <c r="L322" i="8" s="1"/>
  <c r="K322" i="8" a="1"/>
  <c r="K322" i="8" s="1"/>
  <c r="J322" i="8" a="1"/>
  <c r="J322" i="8" s="1"/>
  <c r="I322" i="8" a="1"/>
  <c r="I322" i="8" s="1"/>
  <c r="H322" i="8" a="1"/>
  <c r="H322" i="8" s="1"/>
  <c r="G322" i="8" a="1"/>
  <c r="G322" i="8" s="1"/>
  <c r="F322" i="8" a="1"/>
  <c r="F322" i="8" s="1"/>
  <c r="E322" i="8" a="1"/>
  <c r="E322" i="8" s="1"/>
  <c r="AB321" i="8" a="1"/>
  <c r="AB321" i="8" s="1"/>
  <c r="AA321" i="8" a="1"/>
  <c r="AA321" i="8" s="1"/>
  <c r="Z321" i="8" a="1"/>
  <c r="Z321" i="8" s="1"/>
  <c r="Y321" i="8" a="1"/>
  <c r="Y321" i="8" s="1"/>
  <c r="X321" i="8" a="1"/>
  <c r="X321" i="8" s="1"/>
  <c r="W321" i="8" a="1"/>
  <c r="W321" i="8" s="1"/>
  <c r="V321" i="8" a="1"/>
  <c r="V321" i="8" s="1"/>
  <c r="U321" i="8" a="1"/>
  <c r="U321" i="8" s="1"/>
  <c r="T321" i="8" a="1"/>
  <c r="T321" i="8" s="1"/>
  <c r="S321" i="8" a="1"/>
  <c r="S321" i="8" s="1"/>
  <c r="R321" i="8" a="1"/>
  <c r="R321" i="8" s="1"/>
  <c r="Q321" i="8" a="1"/>
  <c r="Q321" i="8" s="1"/>
  <c r="P321" i="8" a="1"/>
  <c r="P321" i="8" s="1"/>
  <c r="O321" i="8" a="1"/>
  <c r="O321" i="8" s="1"/>
  <c r="N321" i="8" a="1"/>
  <c r="N321" i="8" s="1"/>
  <c r="M321" i="8" a="1"/>
  <c r="M321" i="8" s="1"/>
  <c r="L321" i="8" a="1"/>
  <c r="L321" i="8" s="1"/>
  <c r="K321" i="8" a="1"/>
  <c r="K321" i="8" s="1"/>
  <c r="J321" i="8" a="1"/>
  <c r="J321" i="8" s="1"/>
  <c r="I321" i="8" a="1"/>
  <c r="I321" i="8" s="1"/>
  <c r="H321" i="8" a="1"/>
  <c r="H321" i="8" s="1"/>
  <c r="G321" i="8" a="1"/>
  <c r="G321" i="8" s="1"/>
  <c r="F321" i="8" a="1"/>
  <c r="F321" i="8" s="1"/>
  <c r="E321" i="8" a="1"/>
  <c r="E321" i="8" s="1"/>
  <c r="AB320" i="8" a="1"/>
  <c r="AB320" i="8" s="1"/>
  <c r="AA320" i="8" a="1"/>
  <c r="AA320" i="8" s="1"/>
  <c r="Z320" i="8" a="1"/>
  <c r="Z320" i="8" s="1"/>
  <c r="Y320" i="8" a="1"/>
  <c r="Y320" i="8" s="1"/>
  <c r="X320" i="8" a="1"/>
  <c r="X320" i="8" s="1"/>
  <c r="W320" i="8" a="1"/>
  <c r="W320" i="8" s="1"/>
  <c r="V320" i="8" a="1"/>
  <c r="V320" i="8" s="1"/>
  <c r="U320" i="8" a="1"/>
  <c r="U320" i="8" s="1"/>
  <c r="T320" i="8" a="1"/>
  <c r="T320" i="8" s="1"/>
  <c r="S320" i="8" a="1"/>
  <c r="S320" i="8" s="1"/>
  <c r="R320" i="8" a="1"/>
  <c r="R320" i="8" s="1"/>
  <c r="Q320" i="8" a="1"/>
  <c r="Q320" i="8" s="1"/>
  <c r="P320" i="8" a="1"/>
  <c r="P320" i="8" s="1"/>
  <c r="O320" i="8" a="1"/>
  <c r="O320" i="8" s="1"/>
  <c r="N320" i="8" a="1"/>
  <c r="N320" i="8" s="1"/>
  <c r="M320" i="8" a="1"/>
  <c r="M320" i="8" s="1"/>
  <c r="L320" i="8" a="1"/>
  <c r="L320" i="8" s="1"/>
  <c r="K320" i="8" a="1"/>
  <c r="K320" i="8" s="1"/>
  <c r="J320" i="8" a="1"/>
  <c r="J320" i="8" s="1"/>
  <c r="I320" i="8" a="1"/>
  <c r="I320" i="8" s="1"/>
  <c r="H320" i="8" a="1"/>
  <c r="H320" i="8" s="1"/>
  <c r="G320" i="8" a="1"/>
  <c r="G320" i="8" s="1"/>
  <c r="F320" i="8" a="1"/>
  <c r="F320" i="8" s="1"/>
  <c r="E320" i="8" a="1"/>
  <c r="E320" i="8" s="1"/>
  <c r="AB319" i="8" a="1"/>
  <c r="AB319" i="8" s="1"/>
  <c r="AA319" i="8" a="1"/>
  <c r="AA319" i="8" s="1"/>
  <c r="Z319" i="8" a="1"/>
  <c r="Z319" i="8" s="1"/>
  <c r="Y319" i="8" a="1"/>
  <c r="Y319" i="8" s="1"/>
  <c r="X319" i="8" a="1"/>
  <c r="X319" i="8" s="1"/>
  <c r="W319" i="8" a="1"/>
  <c r="W319" i="8" s="1"/>
  <c r="V319" i="8" a="1"/>
  <c r="V319" i="8" s="1"/>
  <c r="U319" i="8" a="1"/>
  <c r="U319" i="8" s="1"/>
  <c r="T319" i="8" a="1"/>
  <c r="T319" i="8" s="1"/>
  <c r="S319" i="8" a="1"/>
  <c r="S319" i="8" s="1"/>
  <c r="R319" i="8" a="1"/>
  <c r="R319" i="8" s="1"/>
  <c r="Q319" i="8" a="1"/>
  <c r="Q319" i="8" s="1"/>
  <c r="P319" i="8" a="1"/>
  <c r="P319" i="8" s="1"/>
  <c r="O319" i="8" a="1"/>
  <c r="O319" i="8" s="1"/>
  <c r="N319" i="8" a="1"/>
  <c r="N319" i="8" s="1"/>
  <c r="M319" i="8" a="1"/>
  <c r="M319" i="8" s="1"/>
  <c r="L319" i="8" a="1"/>
  <c r="L319" i="8" s="1"/>
  <c r="K319" i="8" a="1"/>
  <c r="K319" i="8" s="1"/>
  <c r="J319" i="8" a="1"/>
  <c r="J319" i="8" s="1"/>
  <c r="I319" i="8" a="1"/>
  <c r="I319" i="8" s="1"/>
  <c r="H319" i="8" a="1"/>
  <c r="H319" i="8" s="1"/>
  <c r="G319" i="8" a="1"/>
  <c r="G319" i="8" s="1"/>
  <c r="F319" i="8" a="1"/>
  <c r="F319" i="8" s="1"/>
  <c r="E319" i="8" a="1"/>
  <c r="E319" i="8" s="1"/>
  <c r="AB318" i="8" a="1"/>
  <c r="AB318" i="8" s="1"/>
  <c r="AA318" i="8" a="1"/>
  <c r="AA318" i="8" s="1"/>
  <c r="Z318" i="8" a="1"/>
  <c r="Z318" i="8" s="1"/>
  <c r="Y318" i="8" a="1"/>
  <c r="Y318" i="8" s="1"/>
  <c r="X318" i="8" a="1"/>
  <c r="X318" i="8" s="1"/>
  <c r="W318" i="8" a="1"/>
  <c r="W318" i="8" s="1"/>
  <c r="V318" i="8" a="1"/>
  <c r="V318" i="8" s="1"/>
  <c r="U318" i="8" a="1"/>
  <c r="U318" i="8" s="1"/>
  <c r="T318" i="8" a="1"/>
  <c r="T318" i="8" s="1"/>
  <c r="S318" i="8" a="1"/>
  <c r="S318" i="8" s="1"/>
  <c r="R318" i="8" a="1"/>
  <c r="R318" i="8" s="1"/>
  <c r="Q318" i="8" a="1"/>
  <c r="Q318" i="8" s="1"/>
  <c r="P318" i="8" a="1"/>
  <c r="P318" i="8" s="1"/>
  <c r="O318" i="8" a="1"/>
  <c r="O318" i="8" s="1"/>
  <c r="N318" i="8" a="1"/>
  <c r="N318" i="8" s="1"/>
  <c r="M318" i="8" a="1"/>
  <c r="M318" i="8" s="1"/>
  <c r="L318" i="8" a="1"/>
  <c r="L318" i="8" s="1"/>
  <c r="K318" i="8" a="1"/>
  <c r="K318" i="8" s="1"/>
  <c r="J318" i="8" a="1"/>
  <c r="J318" i="8" s="1"/>
  <c r="I318" i="8" a="1"/>
  <c r="I318" i="8" s="1"/>
  <c r="H318" i="8" a="1"/>
  <c r="H318" i="8" s="1"/>
  <c r="G318" i="8" a="1"/>
  <c r="G318" i="8" s="1"/>
  <c r="F318" i="8" a="1"/>
  <c r="F318" i="8" s="1"/>
  <c r="E318" i="8" a="1"/>
  <c r="E318" i="8" s="1"/>
  <c r="AB317" i="8" a="1"/>
  <c r="AB317" i="8" s="1"/>
  <c r="AA317" i="8" a="1"/>
  <c r="AA317" i="8" s="1"/>
  <c r="Z317" i="8" a="1"/>
  <c r="Z317" i="8" s="1"/>
  <c r="Y317" i="8" a="1"/>
  <c r="Y317" i="8" s="1"/>
  <c r="X317" i="8" a="1"/>
  <c r="X317" i="8" s="1"/>
  <c r="W317" i="8" a="1"/>
  <c r="W317" i="8" s="1"/>
  <c r="V317" i="8" a="1"/>
  <c r="V317" i="8" s="1"/>
  <c r="U317" i="8" a="1"/>
  <c r="U317" i="8" s="1"/>
  <c r="T317" i="8" a="1"/>
  <c r="T317" i="8" s="1"/>
  <c r="S317" i="8" a="1"/>
  <c r="S317" i="8" s="1"/>
  <c r="R317" i="8" a="1"/>
  <c r="R317" i="8" s="1"/>
  <c r="Q317" i="8" a="1"/>
  <c r="Q317" i="8" s="1"/>
  <c r="P317" i="8" a="1"/>
  <c r="P317" i="8" s="1"/>
  <c r="O317" i="8" a="1"/>
  <c r="O317" i="8" s="1"/>
  <c r="N317" i="8" a="1"/>
  <c r="N317" i="8" s="1"/>
  <c r="M317" i="8" a="1"/>
  <c r="M317" i="8" s="1"/>
  <c r="L317" i="8" a="1"/>
  <c r="L317" i="8" s="1"/>
  <c r="K317" i="8" a="1"/>
  <c r="K317" i="8" s="1"/>
  <c r="J317" i="8" a="1"/>
  <c r="J317" i="8" s="1"/>
  <c r="I317" i="8" a="1"/>
  <c r="I317" i="8" s="1"/>
  <c r="H317" i="8" a="1"/>
  <c r="H317" i="8" s="1"/>
  <c r="G317" i="8" a="1"/>
  <c r="G317" i="8" s="1"/>
  <c r="F317" i="8" a="1"/>
  <c r="F317" i="8" s="1"/>
  <c r="E317" i="8" a="1"/>
  <c r="E317" i="8" s="1"/>
  <c r="AB316" i="8" a="1"/>
  <c r="AB316" i="8" s="1"/>
  <c r="AA316" i="8" a="1"/>
  <c r="AA316" i="8" s="1"/>
  <c r="Z316" i="8" a="1"/>
  <c r="Z316" i="8" s="1"/>
  <c r="Y316" i="8" a="1"/>
  <c r="Y316" i="8" s="1"/>
  <c r="X316" i="8" a="1"/>
  <c r="X316" i="8" s="1"/>
  <c r="W316" i="8" a="1"/>
  <c r="W316" i="8" s="1"/>
  <c r="V316" i="8" a="1"/>
  <c r="V316" i="8" s="1"/>
  <c r="U316" i="8" a="1"/>
  <c r="U316" i="8" s="1"/>
  <c r="T316" i="8" a="1"/>
  <c r="T316" i="8" s="1"/>
  <c r="S316" i="8" a="1"/>
  <c r="S316" i="8" s="1"/>
  <c r="R316" i="8" a="1"/>
  <c r="R316" i="8" s="1"/>
  <c r="Q316" i="8" a="1"/>
  <c r="Q316" i="8" s="1"/>
  <c r="P316" i="8" a="1"/>
  <c r="P316" i="8" s="1"/>
  <c r="O316" i="8" a="1"/>
  <c r="O316" i="8" s="1"/>
  <c r="N316" i="8" a="1"/>
  <c r="N316" i="8" s="1"/>
  <c r="M316" i="8" a="1"/>
  <c r="M316" i="8" s="1"/>
  <c r="L316" i="8" a="1"/>
  <c r="L316" i="8" s="1"/>
  <c r="K316" i="8" a="1"/>
  <c r="K316" i="8" s="1"/>
  <c r="J316" i="8" a="1"/>
  <c r="J316" i="8" s="1"/>
  <c r="I316" i="8" a="1"/>
  <c r="I316" i="8" s="1"/>
  <c r="H316" i="8" a="1"/>
  <c r="H316" i="8" s="1"/>
  <c r="G316" i="8" a="1"/>
  <c r="G316" i="8" s="1"/>
  <c r="F316" i="8" a="1"/>
  <c r="F316" i="8" s="1"/>
  <c r="E316" i="8" a="1"/>
  <c r="E316" i="8" s="1"/>
  <c r="AB315" i="8" a="1"/>
  <c r="AB315" i="8" s="1"/>
  <c r="AA315" i="8" a="1"/>
  <c r="AA315" i="8" s="1"/>
  <c r="Z315" i="8" a="1"/>
  <c r="Z315" i="8" s="1"/>
  <c r="Y315" i="8" a="1"/>
  <c r="Y315" i="8" s="1"/>
  <c r="X315" i="8" a="1"/>
  <c r="X315" i="8" s="1"/>
  <c r="W315" i="8" a="1"/>
  <c r="W315" i="8" s="1"/>
  <c r="V315" i="8" a="1"/>
  <c r="V315" i="8" s="1"/>
  <c r="U315" i="8" a="1"/>
  <c r="U315" i="8" s="1"/>
  <c r="T315" i="8" a="1"/>
  <c r="T315" i="8" s="1"/>
  <c r="S315" i="8" a="1"/>
  <c r="S315" i="8" s="1"/>
  <c r="R315" i="8" a="1"/>
  <c r="R315" i="8" s="1"/>
  <c r="Q315" i="8" a="1"/>
  <c r="Q315" i="8" s="1"/>
  <c r="P315" i="8" a="1"/>
  <c r="P315" i="8" s="1"/>
  <c r="O315" i="8" a="1"/>
  <c r="O315" i="8" s="1"/>
  <c r="N315" i="8" a="1"/>
  <c r="N315" i="8" s="1"/>
  <c r="M315" i="8" a="1"/>
  <c r="M315" i="8" s="1"/>
  <c r="L315" i="8" a="1"/>
  <c r="L315" i="8" s="1"/>
  <c r="K315" i="8" a="1"/>
  <c r="K315" i="8" s="1"/>
  <c r="J315" i="8" a="1"/>
  <c r="J315" i="8" s="1"/>
  <c r="I315" i="8" a="1"/>
  <c r="I315" i="8" s="1"/>
  <c r="H315" i="8" a="1"/>
  <c r="H315" i="8" s="1"/>
  <c r="G315" i="8" a="1"/>
  <c r="G315" i="8" s="1"/>
  <c r="F315" i="8" a="1"/>
  <c r="F315" i="8" s="1"/>
  <c r="E315" i="8" a="1"/>
  <c r="E315" i="8" s="1"/>
  <c r="AB314" i="8" a="1"/>
  <c r="AB314" i="8" s="1"/>
  <c r="AA314" i="8" a="1"/>
  <c r="AA314" i="8" s="1"/>
  <c r="Z314" i="8" a="1"/>
  <c r="Z314" i="8" s="1"/>
  <c r="Y314" i="8" a="1"/>
  <c r="Y314" i="8" s="1"/>
  <c r="X314" i="8" a="1"/>
  <c r="X314" i="8" s="1"/>
  <c r="W314" i="8" a="1"/>
  <c r="W314" i="8" s="1"/>
  <c r="V314" i="8" a="1"/>
  <c r="V314" i="8" s="1"/>
  <c r="U314" i="8" a="1"/>
  <c r="U314" i="8" s="1"/>
  <c r="T314" i="8" a="1"/>
  <c r="T314" i="8" s="1"/>
  <c r="S314" i="8" a="1"/>
  <c r="S314" i="8" s="1"/>
  <c r="R314" i="8" a="1"/>
  <c r="R314" i="8" s="1"/>
  <c r="Q314" i="8" a="1"/>
  <c r="Q314" i="8" s="1"/>
  <c r="P314" i="8" a="1"/>
  <c r="P314" i="8" s="1"/>
  <c r="O314" i="8" a="1"/>
  <c r="O314" i="8" s="1"/>
  <c r="N314" i="8" a="1"/>
  <c r="N314" i="8" s="1"/>
  <c r="M314" i="8" a="1"/>
  <c r="M314" i="8" s="1"/>
  <c r="L314" i="8" a="1"/>
  <c r="L314" i="8" s="1"/>
  <c r="K314" i="8" a="1"/>
  <c r="K314" i="8" s="1"/>
  <c r="J314" i="8" a="1"/>
  <c r="J314" i="8" s="1"/>
  <c r="I314" i="8" a="1"/>
  <c r="I314" i="8" s="1"/>
  <c r="H314" i="8" a="1"/>
  <c r="H314" i="8" s="1"/>
  <c r="G314" i="8" a="1"/>
  <c r="G314" i="8" s="1"/>
  <c r="F314" i="8" a="1"/>
  <c r="F314" i="8" s="1"/>
  <c r="E314" i="8" a="1"/>
  <c r="E314" i="8" s="1"/>
  <c r="AB313" i="8" a="1"/>
  <c r="AB313" i="8" s="1"/>
  <c r="AA313" i="8" a="1"/>
  <c r="AA313" i="8" s="1"/>
  <c r="Z313" i="8" a="1"/>
  <c r="Z313" i="8" s="1"/>
  <c r="Y313" i="8" a="1"/>
  <c r="Y313" i="8" s="1"/>
  <c r="X313" i="8" a="1"/>
  <c r="X313" i="8" s="1"/>
  <c r="W313" i="8" a="1"/>
  <c r="W313" i="8" s="1"/>
  <c r="V313" i="8" a="1"/>
  <c r="V313" i="8" s="1"/>
  <c r="U313" i="8" a="1"/>
  <c r="U313" i="8" s="1"/>
  <c r="T313" i="8" a="1"/>
  <c r="T313" i="8" s="1"/>
  <c r="S313" i="8" a="1"/>
  <c r="S313" i="8" s="1"/>
  <c r="R313" i="8" a="1"/>
  <c r="R313" i="8" s="1"/>
  <c r="Q313" i="8" a="1"/>
  <c r="Q313" i="8" s="1"/>
  <c r="P313" i="8" a="1"/>
  <c r="P313" i="8" s="1"/>
  <c r="O313" i="8" a="1"/>
  <c r="O313" i="8" s="1"/>
  <c r="N313" i="8" a="1"/>
  <c r="N313" i="8" s="1"/>
  <c r="M313" i="8" a="1"/>
  <c r="M313" i="8" s="1"/>
  <c r="L313" i="8" a="1"/>
  <c r="L313" i="8" s="1"/>
  <c r="K313" i="8" a="1"/>
  <c r="K313" i="8" s="1"/>
  <c r="J313" i="8" a="1"/>
  <c r="J313" i="8" s="1"/>
  <c r="I313" i="8" a="1"/>
  <c r="I313" i="8" s="1"/>
  <c r="H313" i="8" a="1"/>
  <c r="H313" i="8" s="1"/>
  <c r="G313" i="8" a="1"/>
  <c r="G313" i="8" s="1"/>
  <c r="F313" i="8" a="1"/>
  <c r="F313" i="8" s="1"/>
  <c r="E313" i="8" a="1"/>
  <c r="E313" i="8" s="1"/>
  <c r="AB312" i="8" a="1"/>
  <c r="AB312" i="8" s="1"/>
  <c r="AA312" i="8" a="1"/>
  <c r="AA312" i="8" s="1"/>
  <c r="Z312" i="8" a="1"/>
  <c r="Z312" i="8" s="1"/>
  <c r="Y312" i="8" a="1"/>
  <c r="Y312" i="8" s="1"/>
  <c r="X312" i="8" a="1"/>
  <c r="X312" i="8" s="1"/>
  <c r="W312" i="8" a="1"/>
  <c r="W312" i="8" s="1"/>
  <c r="V312" i="8" a="1"/>
  <c r="V312" i="8" s="1"/>
  <c r="U312" i="8" a="1"/>
  <c r="U312" i="8" s="1"/>
  <c r="T312" i="8" a="1"/>
  <c r="T312" i="8" s="1"/>
  <c r="S312" i="8" a="1"/>
  <c r="S312" i="8" s="1"/>
  <c r="R312" i="8" a="1"/>
  <c r="R312" i="8" s="1"/>
  <c r="Q312" i="8" a="1"/>
  <c r="Q312" i="8" s="1"/>
  <c r="P312" i="8" a="1"/>
  <c r="P312" i="8" s="1"/>
  <c r="O312" i="8" a="1"/>
  <c r="O312" i="8" s="1"/>
  <c r="N312" i="8" a="1"/>
  <c r="N312" i="8" s="1"/>
  <c r="M312" i="8" a="1"/>
  <c r="M312" i="8" s="1"/>
  <c r="L312" i="8" a="1"/>
  <c r="L312" i="8" s="1"/>
  <c r="K312" i="8" a="1"/>
  <c r="K312" i="8" s="1"/>
  <c r="J312" i="8" a="1"/>
  <c r="J312" i="8" s="1"/>
  <c r="I312" i="8" a="1"/>
  <c r="I312" i="8" s="1"/>
  <c r="H312" i="8" a="1"/>
  <c r="H312" i="8" s="1"/>
  <c r="G312" i="8" a="1"/>
  <c r="G312" i="8" s="1"/>
  <c r="F312" i="8" a="1"/>
  <c r="F312" i="8" s="1"/>
  <c r="E312" i="8" a="1"/>
  <c r="E312" i="8" s="1"/>
  <c r="AB311" i="8" a="1"/>
  <c r="AB311" i="8" s="1"/>
  <c r="AA311" i="8" a="1"/>
  <c r="AA311" i="8" s="1"/>
  <c r="Z311" i="8" a="1"/>
  <c r="Z311" i="8" s="1"/>
  <c r="Y311" i="8" a="1"/>
  <c r="Y311" i="8" s="1"/>
  <c r="X311" i="8" a="1"/>
  <c r="X311" i="8" s="1"/>
  <c r="W311" i="8" a="1"/>
  <c r="W311" i="8" s="1"/>
  <c r="V311" i="8" a="1"/>
  <c r="V311" i="8" s="1"/>
  <c r="U311" i="8" a="1"/>
  <c r="U311" i="8" s="1"/>
  <c r="T311" i="8" a="1"/>
  <c r="T311" i="8" s="1"/>
  <c r="S311" i="8" a="1"/>
  <c r="S311" i="8" s="1"/>
  <c r="R311" i="8" a="1"/>
  <c r="R311" i="8" s="1"/>
  <c r="Q311" i="8" a="1"/>
  <c r="Q311" i="8" s="1"/>
  <c r="P311" i="8" a="1"/>
  <c r="P311" i="8" s="1"/>
  <c r="O311" i="8" a="1"/>
  <c r="O311" i="8" s="1"/>
  <c r="N311" i="8" a="1"/>
  <c r="N311" i="8" s="1"/>
  <c r="M311" i="8" a="1"/>
  <c r="M311" i="8" s="1"/>
  <c r="L311" i="8" a="1"/>
  <c r="L311" i="8" s="1"/>
  <c r="K311" i="8" a="1"/>
  <c r="K311" i="8" s="1"/>
  <c r="J311" i="8" a="1"/>
  <c r="J311" i="8" s="1"/>
  <c r="I311" i="8" a="1"/>
  <c r="I311" i="8" s="1"/>
  <c r="H311" i="8" a="1"/>
  <c r="H311" i="8" s="1"/>
  <c r="G311" i="8" a="1"/>
  <c r="G311" i="8" s="1"/>
  <c r="F311" i="8" a="1"/>
  <c r="F311" i="8" s="1"/>
  <c r="E311" i="8" a="1"/>
  <c r="E311" i="8" s="1"/>
  <c r="AB310" i="8" a="1"/>
  <c r="AB310" i="8" s="1"/>
  <c r="AA310" i="8" a="1"/>
  <c r="AA310" i="8" s="1"/>
  <c r="Z310" i="8" a="1"/>
  <c r="Z310" i="8" s="1"/>
  <c r="Y310" i="8" a="1"/>
  <c r="Y310" i="8" s="1"/>
  <c r="X310" i="8" a="1"/>
  <c r="X310" i="8" s="1"/>
  <c r="W310" i="8" a="1"/>
  <c r="W310" i="8" s="1"/>
  <c r="V310" i="8" a="1"/>
  <c r="V310" i="8" s="1"/>
  <c r="U310" i="8" a="1"/>
  <c r="U310" i="8" s="1"/>
  <c r="T310" i="8" a="1"/>
  <c r="T310" i="8" s="1"/>
  <c r="S310" i="8" a="1"/>
  <c r="S310" i="8" s="1"/>
  <c r="R310" i="8" a="1"/>
  <c r="R310" i="8" s="1"/>
  <c r="Q310" i="8" a="1"/>
  <c r="Q310" i="8" s="1"/>
  <c r="P310" i="8" a="1"/>
  <c r="P310" i="8" s="1"/>
  <c r="O310" i="8" a="1"/>
  <c r="O310" i="8" s="1"/>
  <c r="N310" i="8" a="1"/>
  <c r="N310" i="8" s="1"/>
  <c r="M310" i="8" a="1"/>
  <c r="M310" i="8" s="1"/>
  <c r="L310" i="8" a="1"/>
  <c r="L310" i="8" s="1"/>
  <c r="K310" i="8" a="1"/>
  <c r="K310" i="8" s="1"/>
  <c r="J310" i="8" a="1"/>
  <c r="J310" i="8" s="1"/>
  <c r="I310" i="8" a="1"/>
  <c r="I310" i="8" s="1"/>
  <c r="H310" i="8" a="1"/>
  <c r="H310" i="8" s="1"/>
  <c r="G310" i="8" a="1"/>
  <c r="G310" i="8" s="1"/>
  <c r="F310" i="8" a="1"/>
  <c r="F310" i="8" s="1"/>
  <c r="E310" i="8" a="1"/>
  <c r="E310" i="8" s="1"/>
  <c r="AB309" i="8" a="1"/>
  <c r="AB309" i="8" s="1"/>
  <c r="AA309" i="8" a="1"/>
  <c r="AA309" i="8" s="1"/>
  <c r="Z309" i="8" a="1"/>
  <c r="Z309" i="8" s="1"/>
  <c r="Y309" i="8" a="1"/>
  <c r="Y309" i="8" s="1"/>
  <c r="X309" i="8" a="1"/>
  <c r="X309" i="8" s="1"/>
  <c r="W309" i="8" a="1"/>
  <c r="W309" i="8" s="1"/>
  <c r="V309" i="8" a="1"/>
  <c r="V309" i="8" s="1"/>
  <c r="U309" i="8" a="1"/>
  <c r="U309" i="8" s="1"/>
  <c r="T309" i="8" a="1"/>
  <c r="T309" i="8" s="1"/>
  <c r="S309" i="8" a="1"/>
  <c r="S309" i="8" s="1"/>
  <c r="R309" i="8" a="1"/>
  <c r="R309" i="8" s="1"/>
  <c r="Q309" i="8" a="1"/>
  <c r="Q309" i="8" s="1"/>
  <c r="P309" i="8" a="1"/>
  <c r="P309" i="8" s="1"/>
  <c r="O309" i="8" a="1"/>
  <c r="O309" i="8" s="1"/>
  <c r="N309" i="8" a="1"/>
  <c r="N309" i="8" s="1"/>
  <c r="M309" i="8" a="1"/>
  <c r="M309" i="8" s="1"/>
  <c r="L309" i="8" a="1"/>
  <c r="L309" i="8" s="1"/>
  <c r="K309" i="8" a="1"/>
  <c r="K309" i="8" s="1"/>
  <c r="J309" i="8" a="1"/>
  <c r="J309" i="8" s="1"/>
  <c r="I309" i="8" a="1"/>
  <c r="I309" i="8" s="1"/>
  <c r="H309" i="8" a="1"/>
  <c r="H309" i="8" s="1"/>
  <c r="G309" i="8" a="1"/>
  <c r="G309" i="8" s="1"/>
  <c r="F309" i="8" a="1"/>
  <c r="F309" i="8" s="1"/>
  <c r="E309" i="8" a="1"/>
  <c r="E309" i="8" s="1"/>
  <c r="AB308" i="8" a="1"/>
  <c r="AB308" i="8" s="1"/>
  <c r="AA308" i="8" a="1"/>
  <c r="AA308" i="8" s="1"/>
  <c r="Z308" i="8" a="1"/>
  <c r="Z308" i="8" s="1"/>
  <c r="Y308" i="8" a="1"/>
  <c r="Y308" i="8" s="1"/>
  <c r="X308" i="8" a="1"/>
  <c r="X308" i="8" s="1"/>
  <c r="W308" i="8" a="1"/>
  <c r="W308" i="8" s="1"/>
  <c r="V308" i="8" a="1"/>
  <c r="V308" i="8" s="1"/>
  <c r="U308" i="8" a="1"/>
  <c r="U308" i="8" s="1"/>
  <c r="T308" i="8" a="1"/>
  <c r="T308" i="8" s="1"/>
  <c r="S308" i="8" a="1"/>
  <c r="S308" i="8" s="1"/>
  <c r="R308" i="8" a="1"/>
  <c r="R308" i="8" s="1"/>
  <c r="Q308" i="8" a="1"/>
  <c r="Q308" i="8" s="1"/>
  <c r="P308" i="8" a="1"/>
  <c r="P308" i="8" s="1"/>
  <c r="O308" i="8" a="1"/>
  <c r="O308" i="8" s="1"/>
  <c r="N308" i="8" a="1"/>
  <c r="N308" i="8" s="1"/>
  <c r="M308" i="8" a="1"/>
  <c r="M308" i="8" s="1"/>
  <c r="L308" i="8" a="1"/>
  <c r="L308" i="8" s="1"/>
  <c r="K308" i="8" a="1"/>
  <c r="K308" i="8" s="1"/>
  <c r="J308" i="8" a="1"/>
  <c r="J308" i="8" s="1"/>
  <c r="I308" i="8" a="1"/>
  <c r="I308" i="8" s="1"/>
  <c r="H308" i="8" a="1"/>
  <c r="H308" i="8" s="1"/>
  <c r="G308" i="8" a="1"/>
  <c r="G308" i="8" s="1"/>
  <c r="F308" i="8" a="1"/>
  <c r="F308" i="8" s="1"/>
  <c r="E308" i="8" a="1"/>
  <c r="E308" i="8" s="1"/>
  <c r="AB307" i="8" a="1"/>
  <c r="AB307" i="8" s="1"/>
  <c r="AA307" i="8" a="1"/>
  <c r="AA307" i="8" s="1"/>
  <c r="Z307" i="8" a="1"/>
  <c r="Z307" i="8" s="1"/>
  <c r="Y307" i="8" a="1"/>
  <c r="Y307" i="8" s="1"/>
  <c r="X307" i="8" a="1"/>
  <c r="X307" i="8" s="1"/>
  <c r="W307" i="8" a="1"/>
  <c r="W307" i="8" s="1"/>
  <c r="V307" i="8" a="1"/>
  <c r="V307" i="8" s="1"/>
  <c r="U307" i="8" a="1"/>
  <c r="U307" i="8" s="1"/>
  <c r="T307" i="8" a="1"/>
  <c r="T307" i="8" s="1"/>
  <c r="S307" i="8" a="1"/>
  <c r="S307" i="8" s="1"/>
  <c r="R307" i="8" a="1"/>
  <c r="R307" i="8" s="1"/>
  <c r="Q307" i="8" a="1"/>
  <c r="Q307" i="8" s="1"/>
  <c r="P307" i="8" a="1"/>
  <c r="P307" i="8" s="1"/>
  <c r="O307" i="8" a="1"/>
  <c r="O307" i="8" s="1"/>
  <c r="N307" i="8" a="1"/>
  <c r="N307" i="8" s="1"/>
  <c r="M307" i="8" a="1"/>
  <c r="M307" i="8" s="1"/>
  <c r="L307" i="8" a="1"/>
  <c r="L307" i="8" s="1"/>
  <c r="K307" i="8" a="1"/>
  <c r="K307" i="8" s="1"/>
  <c r="J307" i="8" a="1"/>
  <c r="J307" i="8" s="1"/>
  <c r="I307" i="8" a="1"/>
  <c r="I307" i="8" s="1"/>
  <c r="H307" i="8" a="1"/>
  <c r="H307" i="8" s="1"/>
  <c r="G307" i="8" a="1"/>
  <c r="G307" i="8" s="1"/>
  <c r="F307" i="8" a="1"/>
  <c r="F307" i="8" s="1"/>
  <c r="E307" i="8" a="1"/>
  <c r="E307" i="8" s="1"/>
  <c r="AB306" i="8" a="1"/>
  <c r="AB306" i="8" s="1"/>
  <c r="AA306" i="8" a="1"/>
  <c r="AA306" i="8" s="1"/>
  <c r="Z306" i="8" a="1"/>
  <c r="Z306" i="8" s="1"/>
  <c r="Y306" i="8" a="1"/>
  <c r="Y306" i="8" s="1"/>
  <c r="X306" i="8" a="1"/>
  <c r="X306" i="8" s="1"/>
  <c r="W306" i="8" a="1"/>
  <c r="W306" i="8" s="1"/>
  <c r="V306" i="8" a="1"/>
  <c r="V306" i="8" s="1"/>
  <c r="U306" i="8" a="1"/>
  <c r="U306" i="8" s="1"/>
  <c r="T306" i="8" a="1"/>
  <c r="T306" i="8" s="1"/>
  <c r="S306" i="8" a="1"/>
  <c r="S306" i="8" s="1"/>
  <c r="R306" i="8" a="1"/>
  <c r="R306" i="8" s="1"/>
  <c r="Q306" i="8" a="1"/>
  <c r="Q306" i="8" s="1"/>
  <c r="P306" i="8" a="1"/>
  <c r="P306" i="8" s="1"/>
  <c r="O306" i="8" a="1"/>
  <c r="O306" i="8" s="1"/>
  <c r="N306" i="8" a="1"/>
  <c r="N306" i="8" s="1"/>
  <c r="M306" i="8" a="1"/>
  <c r="M306" i="8" s="1"/>
  <c r="L306" i="8" a="1"/>
  <c r="L306" i="8" s="1"/>
  <c r="K306" i="8" a="1"/>
  <c r="K306" i="8" s="1"/>
  <c r="J306" i="8" a="1"/>
  <c r="J306" i="8" s="1"/>
  <c r="I306" i="8" a="1"/>
  <c r="I306" i="8" s="1"/>
  <c r="H306" i="8" a="1"/>
  <c r="H306" i="8" s="1"/>
  <c r="G306" i="8" a="1"/>
  <c r="G306" i="8" s="1"/>
  <c r="F306" i="8" a="1"/>
  <c r="F306" i="8" s="1"/>
  <c r="E306" i="8" a="1"/>
  <c r="E306" i="8" s="1"/>
  <c r="AB305" i="8" a="1"/>
  <c r="AB305" i="8" s="1"/>
  <c r="AA305" i="8" a="1"/>
  <c r="AA305" i="8" s="1"/>
  <c r="Z305" i="8" a="1"/>
  <c r="Z305" i="8" s="1"/>
  <c r="Y305" i="8" a="1"/>
  <c r="Y305" i="8" s="1"/>
  <c r="X305" i="8" a="1"/>
  <c r="X305" i="8" s="1"/>
  <c r="W305" i="8" a="1"/>
  <c r="W305" i="8" s="1"/>
  <c r="V305" i="8" a="1"/>
  <c r="V305" i="8" s="1"/>
  <c r="U305" i="8" a="1"/>
  <c r="U305" i="8" s="1"/>
  <c r="T305" i="8" a="1"/>
  <c r="T305" i="8" s="1"/>
  <c r="S305" i="8" a="1"/>
  <c r="S305" i="8" s="1"/>
  <c r="R305" i="8" a="1"/>
  <c r="R305" i="8" s="1"/>
  <c r="Q305" i="8" a="1"/>
  <c r="Q305" i="8" s="1"/>
  <c r="P305" i="8" a="1"/>
  <c r="P305" i="8" s="1"/>
  <c r="O305" i="8" a="1"/>
  <c r="O305" i="8" s="1"/>
  <c r="N305" i="8" a="1"/>
  <c r="N305" i="8" s="1"/>
  <c r="M305" i="8" a="1"/>
  <c r="M305" i="8" s="1"/>
  <c r="L305" i="8" a="1"/>
  <c r="L305" i="8" s="1"/>
  <c r="K305" i="8" a="1"/>
  <c r="K305" i="8" s="1"/>
  <c r="J305" i="8" a="1"/>
  <c r="J305" i="8" s="1"/>
  <c r="I305" i="8" a="1"/>
  <c r="I305" i="8" s="1"/>
  <c r="H305" i="8" a="1"/>
  <c r="H305" i="8" s="1"/>
  <c r="G305" i="8" a="1"/>
  <c r="G305" i="8" s="1"/>
  <c r="F305" i="8" a="1"/>
  <c r="F305" i="8" s="1"/>
  <c r="E305" i="8" a="1"/>
  <c r="E305" i="8" s="1"/>
  <c r="AB304" i="8" a="1"/>
  <c r="AB304" i="8" s="1"/>
  <c r="AA304" i="8" a="1"/>
  <c r="AA304" i="8" s="1"/>
  <c r="Z304" i="8" a="1"/>
  <c r="Z304" i="8" s="1"/>
  <c r="Y304" i="8" a="1"/>
  <c r="Y304" i="8" s="1"/>
  <c r="X304" i="8" a="1"/>
  <c r="X304" i="8" s="1"/>
  <c r="W304" i="8" a="1"/>
  <c r="W304" i="8" s="1"/>
  <c r="V304" i="8" a="1"/>
  <c r="V304" i="8" s="1"/>
  <c r="U304" i="8" a="1"/>
  <c r="U304" i="8" s="1"/>
  <c r="T304" i="8" a="1"/>
  <c r="T304" i="8" s="1"/>
  <c r="S304" i="8" a="1"/>
  <c r="S304" i="8" s="1"/>
  <c r="R304" i="8" a="1"/>
  <c r="R304" i="8" s="1"/>
  <c r="Q304" i="8" a="1"/>
  <c r="Q304" i="8" s="1"/>
  <c r="P304" i="8" a="1"/>
  <c r="P304" i="8" s="1"/>
  <c r="O304" i="8" a="1"/>
  <c r="O304" i="8" s="1"/>
  <c r="N304" i="8" a="1"/>
  <c r="N304" i="8" s="1"/>
  <c r="M304" i="8" a="1"/>
  <c r="M304" i="8" s="1"/>
  <c r="L304" i="8" a="1"/>
  <c r="L304" i="8" s="1"/>
  <c r="K304" i="8" a="1"/>
  <c r="K304" i="8" s="1"/>
  <c r="J304" i="8" a="1"/>
  <c r="J304" i="8" s="1"/>
  <c r="I304" i="8" a="1"/>
  <c r="I304" i="8" s="1"/>
  <c r="H304" i="8" a="1"/>
  <c r="H304" i="8" s="1"/>
  <c r="G304" i="8" a="1"/>
  <c r="G304" i="8" s="1"/>
  <c r="F304" i="8" a="1"/>
  <c r="F304" i="8" s="1"/>
  <c r="E304" i="8" a="1"/>
  <c r="E304" i="8" s="1"/>
  <c r="AB303" i="8" a="1"/>
  <c r="AB303" i="8" s="1"/>
  <c r="AA303" i="8" a="1"/>
  <c r="AA303" i="8" s="1"/>
  <c r="Z303" i="8" a="1"/>
  <c r="Z303" i="8" s="1"/>
  <c r="Y303" i="8" a="1"/>
  <c r="Y303" i="8" s="1"/>
  <c r="X303" i="8" a="1"/>
  <c r="X303" i="8" s="1"/>
  <c r="W303" i="8" a="1"/>
  <c r="W303" i="8" s="1"/>
  <c r="V303" i="8" a="1"/>
  <c r="V303" i="8" s="1"/>
  <c r="U303" i="8" a="1"/>
  <c r="U303" i="8" s="1"/>
  <c r="T303" i="8" a="1"/>
  <c r="T303" i="8" s="1"/>
  <c r="S303" i="8" a="1"/>
  <c r="S303" i="8" s="1"/>
  <c r="R303" i="8" a="1"/>
  <c r="R303" i="8" s="1"/>
  <c r="Q303" i="8" a="1"/>
  <c r="Q303" i="8" s="1"/>
  <c r="P303" i="8" a="1"/>
  <c r="P303" i="8" s="1"/>
  <c r="O303" i="8" a="1"/>
  <c r="O303" i="8" s="1"/>
  <c r="N303" i="8" a="1"/>
  <c r="N303" i="8" s="1"/>
  <c r="M303" i="8" a="1"/>
  <c r="M303" i="8" s="1"/>
  <c r="L303" i="8" a="1"/>
  <c r="L303" i="8" s="1"/>
  <c r="K303" i="8" a="1"/>
  <c r="K303" i="8" s="1"/>
  <c r="J303" i="8" a="1"/>
  <c r="J303" i="8" s="1"/>
  <c r="I303" i="8" a="1"/>
  <c r="I303" i="8" s="1"/>
  <c r="H303" i="8" a="1"/>
  <c r="H303" i="8" s="1"/>
  <c r="G303" i="8" a="1"/>
  <c r="G303" i="8" s="1"/>
  <c r="F303" i="8" a="1"/>
  <c r="F303" i="8" s="1"/>
  <c r="E303" i="8" a="1"/>
  <c r="E303" i="8" s="1"/>
  <c r="AB302" i="8" a="1"/>
  <c r="AB302" i="8" s="1"/>
  <c r="AA302" i="8" a="1"/>
  <c r="AA302" i="8" s="1"/>
  <c r="Z302" i="8" a="1"/>
  <c r="Z302" i="8" s="1"/>
  <c r="Y302" i="8" a="1"/>
  <c r="Y302" i="8" s="1"/>
  <c r="X302" i="8" a="1"/>
  <c r="X302" i="8" s="1"/>
  <c r="W302" i="8" a="1"/>
  <c r="W302" i="8" s="1"/>
  <c r="V302" i="8" a="1"/>
  <c r="V302" i="8" s="1"/>
  <c r="U302" i="8" a="1"/>
  <c r="U302" i="8" s="1"/>
  <c r="T302" i="8" a="1"/>
  <c r="T302" i="8" s="1"/>
  <c r="S302" i="8" a="1"/>
  <c r="S302" i="8" s="1"/>
  <c r="R302" i="8" a="1"/>
  <c r="R302" i="8" s="1"/>
  <c r="Q302" i="8" a="1"/>
  <c r="Q302" i="8" s="1"/>
  <c r="P302" i="8" a="1"/>
  <c r="P302" i="8" s="1"/>
  <c r="O302" i="8" a="1"/>
  <c r="O302" i="8" s="1"/>
  <c r="N302" i="8" a="1"/>
  <c r="N302" i="8" s="1"/>
  <c r="M302" i="8" a="1"/>
  <c r="M302" i="8" s="1"/>
  <c r="L302" i="8" a="1"/>
  <c r="L302" i="8" s="1"/>
  <c r="K302" i="8" a="1"/>
  <c r="K302" i="8" s="1"/>
  <c r="J302" i="8" a="1"/>
  <c r="J302" i="8" s="1"/>
  <c r="I302" i="8" a="1"/>
  <c r="I302" i="8" s="1"/>
  <c r="H302" i="8" a="1"/>
  <c r="H302" i="8" s="1"/>
  <c r="G302" i="8" a="1"/>
  <c r="G302" i="8" s="1"/>
  <c r="F302" i="8" a="1"/>
  <c r="F302" i="8" s="1"/>
  <c r="E302" i="8" a="1"/>
  <c r="E302" i="8" s="1"/>
  <c r="AB301" i="8" a="1"/>
  <c r="AB301" i="8" s="1"/>
  <c r="AA301" i="8" a="1"/>
  <c r="AA301" i="8" s="1"/>
  <c r="Z301" i="8" a="1"/>
  <c r="Z301" i="8" s="1"/>
  <c r="Y301" i="8" a="1"/>
  <c r="Y301" i="8" s="1"/>
  <c r="X301" i="8" a="1"/>
  <c r="X301" i="8" s="1"/>
  <c r="W301" i="8" a="1"/>
  <c r="W301" i="8" s="1"/>
  <c r="V301" i="8" a="1"/>
  <c r="V301" i="8" s="1"/>
  <c r="U301" i="8" a="1"/>
  <c r="U301" i="8" s="1"/>
  <c r="T301" i="8" a="1"/>
  <c r="T301" i="8" s="1"/>
  <c r="S301" i="8" a="1"/>
  <c r="S301" i="8" s="1"/>
  <c r="R301" i="8" a="1"/>
  <c r="R301" i="8" s="1"/>
  <c r="Q301" i="8" a="1"/>
  <c r="Q301" i="8" s="1"/>
  <c r="P301" i="8" a="1"/>
  <c r="P301" i="8" s="1"/>
  <c r="O301" i="8" a="1"/>
  <c r="O301" i="8" s="1"/>
  <c r="N301" i="8" a="1"/>
  <c r="N301" i="8" s="1"/>
  <c r="M301" i="8" a="1"/>
  <c r="M301" i="8" s="1"/>
  <c r="L301" i="8" a="1"/>
  <c r="L301" i="8" s="1"/>
  <c r="K301" i="8" a="1"/>
  <c r="K301" i="8" s="1"/>
  <c r="J301" i="8" a="1"/>
  <c r="J301" i="8" s="1"/>
  <c r="I301" i="8" a="1"/>
  <c r="I301" i="8" s="1"/>
  <c r="H301" i="8" a="1"/>
  <c r="H301" i="8" s="1"/>
  <c r="G301" i="8" a="1"/>
  <c r="G301" i="8" s="1"/>
  <c r="F301" i="8" a="1"/>
  <c r="F301" i="8" s="1"/>
  <c r="E301" i="8" a="1"/>
  <c r="E301" i="8" s="1"/>
  <c r="AB300" i="8" a="1"/>
  <c r="AB300" i="8" s="1"/>
  <c r="AA300" i="8" a="1"/>
  <c r="AA300" i="8" s="1"/>
  <c r="Z300" i="8" a="1"/>
  <c r="Z300" i="8" s="1"/>
  <c r="Y300" i="8" a="1"/>
  <c r="Y300" i="8" s="1"/>
  <c r="X300" i="8" a="1"/>
  <c r="X300" i="8" s="1"/>
  <c r="W300" i="8" a="1"/>
  <c r="W300" i="8" s="1"/>
  <c r="V300" i="8" a="1"/>
  <c r="V300" i="8" s="1"/>
  <c r="U300" i="8" a="1"/>
  <c r="U300" i="8" s="1"/>
  <c r="T300" i="8" a="1"/>
  <c r="T300" i="8" s="1"/>
  <c r="S300" i="8" a="1"/>
  <c r="S300" i="8" s="1"/>
  <c r="R300" i="8" a="1"/>
  <c r="R300" i="8" s="1"/>
  <c r="Q300" i="8" a="1"/>
  <c r="Q300" i="8" s="1"/>
  <c r="P300" i="8" a="1"/>
  <c r="P300" i="8" s="1"/>
  <c r="O300" i="8" a="1"/>
  <c r="O300" i="8" s="1"/>
  <c r="N300" i="8" a="1"/>
  <c r="N300" i="8" s="1"/>
  <c r="M300" i="8" a="1"/>
  <c r="M300" i="8" s="1"/>
  <c r="L300" i="8" a="1"/>
  <c r="L300" i="8" s="1"/>
  <c r="K300" i="8" a="1"/>
  <c r="K300" i="8" s="1"/>
  <c r="J300" i="8" a="1"/>
  <c r="J300" i="8" s="1"/>
  <c r="I300" i="8" a="1"/>
  <c r="I300" i="8" s="1"/>
  <c r="H300" i="8" a="1"/>
  <c r="H300" i="8" s="1"/>
  <c r="G300" i="8" a="1"/>
  <c r="G300" i="8" s="1"/>
  <c r="F300" i="8" a="1"/>
  <c r="F300" i="8" s="1"/>
  <c r="E300" i="8" a="1"/>
  <c r="E300" i="8" s="1"/>
  <c r="AB299" i="8" a="1"/>
  <c r="AB299" i="8" s="1"/>
  <c r="AA299" i="8" a="1"/>
  <c r="AA299" i="8" s="1"/>
  <c r="Z299" i="8" a="1"/>
  <c r="Z299" i="8" s="1"/>
  <c r="Y299" i="8" a="1"/>
  <c r="Y299" i="8" s="1"/>
  <c r="X299" i="8" a="1"/>
  <c r="X299" i="8" s="1"/>
  <c r="W299" i="8" a="1"/>
  <c r="W299" i="8" s="1"/>
  <c r="V299" i="8" a="1"/>
  <c r="V299" i="8" s="1"/>
  <c r="U299" i="8" a="1"/>
  <c r="U299" i="8" s="1"/>
  <c r="T299" i="8" a="1"/>
  <c r="T299" i="8" s="1"/>
  <c r="S299" i="8" a="1"/>
  <c r="S299" i="8" s="1"/>
  <c r="R299" i="8" a="1"/>
  <c r="R299" i="8" s="1"/>
  <c r="Q299" i="8" a="1"/>
  <c r="Q299" i="8" s="1"/>
  <c r="P299" i="8" a="1"/>
  <c r="P299" i="8" s="1"/>
  <c r="O299" i="8" a="1"/>
  <c r="O299" i="8" s="1"/>
  <c r="N299" i="8" a="1"/>
  <c r="N299" i="8" s="1"/>
  <c r="M299" i="8" a="1"/>
  <c r="M299" i="8" s="1"/>
  <c r="L299" i="8" a="1"/>
  <c r="L299" i="8" s="1"/>
  <c r="K299" i="8" a="1"/>
  <c r="K299" i="8" s="1"/>
  <c r="J299" i="8" a="1"/>
  <c r="J299" i="8" s="1"/>
  <c r="I299" i="8" a="1"/>
  <c r="I299" i="8" s="1"/>
  <c r="H299" i="8" a="1"/>
  <c r="H299" i="8" s="1"/>
  <c r="G299" i="8" a="1"/>
  <c r="G299" i="8" s="1"/>
  <c r="F299" i="8" a="1"/>
  <c r="F299" i="8" s="1"/>
  <c r="E299" i="8" a="1"/>
  <c r="E299" i="8" s="1"/>
  <c r="AB298" i="8" a="1"/>
  <c r="AB298" i="8" s="1"/>
  <c r="AA298" i="8" a="1"/>
  <c r="AA298" i="8" s="1"/>
  <c r="Z298" i="8" a="1"/>
  <c r="Z298" i="8" s="1"/>
  <c r="Y298" i="8" a="1"/>
  <c r="Y298" i="8" s="1"/>
  <c r="X298" i="8" a="1"/>
  <c r="X298" i="8" s="1"/>
  <c r="W298" i="8" a="1"/>
  <c r="W298" i="8" s="1"/>
  <c r="V298" i="8" a="1"/>
  <c r="V298" i="8" s="1"/>
  <c r="U298" i="8" a="1"/>
  <c r="U298" i="8" s="1"/>
  <c r="T298" i="8" a="1"/>
  <c r="T298" i="8" s="1"/>
  <c r="S298" i="8" a="1"/>
  <c r="S298" i="8" s="1"/>
  <c r="R298" i="8" a="1"/>
  <c r="R298" i="8" s="1"/>
  <c r="Q298" i="8" a="1"/>
  <c r="Q298" i="8" s="1"/>
  <c r="P298" i="8" a="1"/>
  <c r="P298" i="8" s="1"/>
  <c r="O298" i="8" a="1"/>
  <c r="O298" i="8" s="1"/>
  <c r="N298" i="8" a="1"/>
  <c r="N298" i="8" s="1"/>
  <c r="M298" i="8" a="1"/>
  <c r="M298" i="8" s="1"/>
  <c r="L298" i="8" a="1"/>
  <c r="L298" i="8" s="1"/>
  <c r="K298" i="8" a="1"/>
  <c r="K298" i="8" s="1"/>
  <c r="J298" i="8" a="1"/>
  <c r="J298" i="8" s="1"/>
  <c r="I298" i="8" a="1"/>
  <c r="I298" i="8" s="1"/>
  <c r="H298" i="8" a="1"/>
  <c r="H298" i="8" s="1"/>
  <c r="G298" i="8" a="1"/>
  <c r="G298" i="8" s="1"/>
  <c r="F298" i="8" a="1"/>
  <c r="F298" i="8" s="1"/>
  <c r="E298" i="8" a="1"/>
  <c r="E298" i="8" s="1"/>
  <c r="AB297" i="8" a="1"/>
  <c r="AB297" i="8" s="1"/>
  <c r="AA297" i="8" a="1"/>
  <c r="AA297" i="8" s="1"/>
  <c r="Z297" i="8" a="1"/>
  <c r="Z297" i="8" s="1"/>
  <c r="Y297" i="8" a="1"/>
  <c r="Y297" i="8" s="1"/>
  <c r="X297" i="8" a="1"/>
  <c r="X297" i="8" s="1"/>
  <c r="W297" i="8" a="1"/>
  <c r="W297" i="8" s="1"/>
  <c r="V297" i="8" a="1"/>
  <c r="V297" i="8" s="1"/>
  <c r="U297" i="8" a="1"/>
  <c r="U297" i="8" s="1"/>
  <c r="T297" i="8" a="1"/>
  <c r="T297" i="8" s="1"/>
  <c r="S297" i="8" a="1"/>
  <c r="S297" i="8" s="1"/>
  <c r="R297" i="8" a="1"/>
  <c r="R297" i="8" s="1"/>
  <c r="Q297" i="8" a="1"/>
  <c r="Q297" i="8" s="1"/>
  <c r="P297" i="8" a="1"/>
  <c r="P297" i="8" s="1"/>
  <c r="O297" i="8" a="1"/>
  <c r="O297" i="8" s="1"/>
  <c r="N297" i="8" a="1"/>
  <c r="N297" i="8" s="1"/>
  <c r="M297" i="8" a="1"/>
  <c r="M297" i="8" s="1"/>
  <c r="L297" i="8" a="1"/>
  <c r="L297" i="8" s="1"/>
  <c r="K297" i="8" a="1"/>
  <c r="K297" i="8" s="1"/>
  <c r="J297" i="8" a="1"/>
  <c r="J297" i="8" s="1"/>
  <c r="I297" i="8" a="1"/>
  <c r="I297" i="8" s="1"/>
  <c r="H297" i="8" a="1"/>
  <c r="H297" i="8" s="1"/>
  <c r="G297" i="8" a="1"/>
  <c r="G297" i="8" s="1"/>
  <c r="F297" i="8" a="1"/>
  <c r="F297" i="8" s="1"/>
  <c r="E297" i="8" a="1"/>
  <c r="E297" i="8" s="1"/>
  <c r="AB296" i="8" a="1"/>
  <c r="AB296" i="8" s="1"/>
  <c r="AA296" i="8" a="1"/>
  <c r="AA296" i="8" s="1"/>
  <c r="Z296" i="8" a="1"/>
  <c r="Z296" i="8" s="1"/>
  <c r="Y296" i="8" a="1"/>
  <c r="Y296" i="8" s="1"/>
  <c r="X296" i="8" a="1"/>
  <c r="X296" i="8" s="1"/>
  <c r="W296" i="8" a="1"/>
  <c r="W296" i="8" s="1"/>
  <c r="V296" i="8" a="1"/>
  <c r="V296" i="8" s="1"/>
  <c r="U296" i="8" a="1"/>
  <c r="U296" i="8" s="1"/>
  <c r="T296" i="8" a="1"/>
  <c r="T296" i="8" s="1"/>
  <c r="S296" i="8" a="1"/>
  <c r="S296" i="8" s="1"/>
  <c r="R296" i="8" a="1"/>
  <c r="R296" i="8" s="1"/>
  <c r="Q296" i="8" a="1"/>
  <c r="Q296" i="8" s="1"/>
  <c r="P296" i="8" a="1"/>
  <c r="P296" i="8" s="1"/>
  <c r="O296" i="8" a="1"/>
  <c r="O296" i="8" s="1"/>
  <c r="N296" i="8" a="1"/>
  <c r="N296" i="8" s="1"/>
  <c r="M296" i="8" a="1"/>
  <c r="M296" i="8" s="1"/>
  <c r="L296" i="8" a="1"/>
  <c r="L296" i="8" s="1"/>
  <c r="K296" i="8" a="1"/>
  <c r="K296" i="8" s="1"/>
  <c r="J296" i="8" a="1"/>
  <c r="J296" i="8" s="1"/>
  <c r="I296" i="8" a="1"/>
  <c r="I296" i="8" s="1"/>
  <c r="H296" i="8" a="1"/>
  <c r="H296" i="8" s="1"/>
  <c r="G296" i="8" a="1"/>
  <c r="G296" i="8" s="1"/>
  <c r="F296" i="8" a="1"/>
  <c r="F296" i="8" s="1"/>
  <c r="E296" i="8" a="1"/>
  <c r="E296" i="8" s="1"/>
  <c r="AB295" i="8" a="1"/>
  <c r="AB295" i="8" s="1"/>
  <c r="AA295" i="8" a="1"/>
  <c r="AA295" i="8" s="1"/>
  <c r="Z295" i="8" a="1"/>
  <c r="Z295" i="8" s="1"/>
  <c r="Y295" i="8" a="1"/>
  <c r="Y295" i="8" s="1"/>
  <c r="X295" i="8" a="1"/>
  <c r="X295" i="8" s="1"/>
  <c r="W295" i="8" a="1"/>
  <c r="W295" i="8" s="1"/>
  <c r="V295" i="8" a="1"/>
  <c r="V295" i="8" s="1"/>
  <c r="U295" i="8" a="1"/>
  <c r="U295" i="8" s="1"/>
  <c r="T295" i="8" a="1"/>
  <c r="T295" i="8" s="1"/>
  <c r="S295" i="8" a="1"/>
  <c r="S295" i="8" s="1"/>
  <c r="R295" i="8" a="1"/>
  <c r="R295" i="8" s="1"/>
  <c r="Q295" i="8" a="1"/>
  <c r="Q295" i="8" s="1"/>
  <c r="P295" i="8" a="1"/>
  <c r="P295" i="8" s="1"/>
  <c r="O295" i="8" a="1"/>
  <c r="O295" i="8" s="1"/>
  <c r="N295" i="8" a="1"/>
  <c r="N295" i="8" s="1"/>
  <c r="M295" i="8" a="1"/>
  <c r="M295" i="8" s="1"/>
  <c r="L295" i="8" a="1"/>
  <c r="L295" i="8" s="1"/>
  <c r="K295" i="8" a="1"/>
  <c r="K295" i="8" s="1"/>
  <c r="J295" i="8" a="1"/>
  <c r="J295" i="8" s="1"/>
  <c r="I295" i="8" a="1"/>
  <c r="I295" i="8" s="1"/>
  <c r="H295" i="8" a="1"/>
  <c r="H295" i="8" s="1"/>
  <c r="G295" i="8" a="1"/>
  <c r="G295" i="8" s="1"/>
  <c r="F295" i="8" a="1"/>
  <c r="F295" i="8" s="1"/>
  <c r="E295" i="8" a="1"/>
  <c r="E295" i="8" s="1"/>
  <c r="AB294" i="8" a="1"/>
  <c r="AB294" i="8" s="1"/>
  <c r="AA294" i="8" a="1"/>
  <c r="AA294" i="8" s="1"/>
  <c r="Z294" i="8" a="1"/>
  <c r="Z294" i="8" s="1"/>
  <c r="Y294" i="8" a="1"/>
  <c r="Y294" i="8" s="1"/>
  <c r="X294" i="8" a="1"/>
  <c r="X294" i="8" s="1"/>
  <c r="W294" i="8" a="1"/>
  <c r="W294" i="8" s="1"/>
  <c r="V294" i="8" a="1"/>
  <c r="V294" i="8" s="1"/>
  <c r="U294" i="8" a="1"/>
  <c r="U294" i="8" s="1"/>
  <c r="T294" i="8" a="1"/>
  <c r="T294" i="8" s="1"/>
  <c r="S294" i="8" a="1"/>
  <c r="S294" i="8" s="1"/>
  <c r="R294" i="8" a="1"/>
  <c r="R294" i="8" s="1"/>
  <c r="Q294" i="8" a="1"/>
  <c r="Q294" i="8" s="1"/>
  <c r="P294" i="8" a="1"/>
  <c r="P294" i="8" s="1"/>
  <c r="O294" i="8" a="1"/>
  <c r="O294" i="8" s="1"/>
  <c r="N294" i="8" a="1"/>
  <c r="N294" i="8" s="1"/>
  <c r="M294" i="8" a="1"/>
  <c r="M294" i="8" s="1"/>
  <c r="L294" i="8" a="1"/>
  <c r="L294" i="8" s="1"/>
  <c r="K294" i="8" a="1"/>
  <c r="K294" i="8" s="1"/>
  <c r="J294" i="8" a="1"/>
  <c r="J294" i="8" s="1"/>
  <c r="I294" i="8" a="1"/>
  <c r="I294" i="8" s="1"/>
  <c r="H294" i="8" a="1"/>
  <c r="H294" i="8" s="1"/>
  <c r="G294" i="8" a="1"/>
  <c r="G294" i="8" s="1"/>
  <c r="F294" i="8" a="1"/>
  <c r="F294" i="8" s="1"/>
  <c r="E294" i="8" a="1"/>
  <c r="E294" i="8" s="1"/>
  <c r="AB293" i="8" a="1"/>
  <c r="AB293" i="8" s="1"/>
  <c r="AA293" i="8" a="1"/>
  <c r="AA293" i="8" s="1"/>
  <c r="Z293" i="8" a="1"/>
  <c r="Z293" i="8" s="1"/>
  <c r="Y293" i="8" a="1"/>
  <c r="Y293" i="8" s="1"/>
  <c r="X293" i="8" a="1"/>
  <c r="X293" i="8" s="1"/>
  <c r="W293" i="8" a="1"/>
  <c r="W293" i="8" s="1"/>
  <c r="V293" i="8" a="1"/>
  <c r="V293" i="8" s="1"/>
  <c r="U293" i="8" a="1"/>
  <c r="U293" i="8" s="1"/>
  <c r="T293" i="8" a="1"/>
  <c r="T293" i="8" s="1"/>
  <c r="S293" i="8" a="1"/>
  <c r="S293" i="8" s="1"/>
  <c r="R293" i="8" a="1"/>
  <c r="R293" i="8" s="1"/>
  <c r="Q293" i="8" a="1"/>
  <c r="Q293" i="8" s="1"/>
  <c r="P293" i="8" a="1"/>
  <c r="P293" i="8" s="1"/>
  <c r="O293" i="8" a="1"/>
  <c r="O293" i="8" s="1"/>
  <c r="N293" i="8" a="1"/>
  <c r="N293" i="8" s="1"/>
  <c r="M293" i="8" a="1"/>
  <c r="M293" i="8" s="1"/>
  <c r="L293" i="8" a="1"/>
  <c r="L293" i="8" s="1"/>
  <c r="K293" i="8" a="1"/>
  <c r="K293" i="8" s="1"/>
  <c r="J293" i="8" a="1"/>
  <c r="J293" i="8" s="1"/>
  <c r="I293" i="8" a="1"/>
  <c r="I293" i="8" s="1"/>
  <c r="H293" i="8" a="1"/>
  <c r="H293" i="8" s="1"/>
  <c r="G293" i="8" a="1"/>
  <c r="G293" i="8" s="1"/>
  <c r="F293" i="8" a="1"/>
  <c r="F293" i="8" s="1"/>
  <c r="E293" i="8" a="1"/>
  <c r="E293" i="8" s="1"/>
  <c r="AB292" i="8" a="1"/>
  <c r="AB292" i="8" s="1"/>
  <c r="AA292" i="8" a="1"/>
  <c r="AA292" i="8" s="1"/>
  <c r="Z292" i="8" a="1"/>
  <c r="Z292" i="8" s="1"/>
  <c r="Y292" i="8" a="1"/>
  <c r="Y292" i="8" s="1"/>
  <c r="X292" i="8" a="1"/>
  <c r="X292" i="8" s="1"/>
  <c r="W292" i="8" a="1"/>
  <c r="W292" i="8" s="1"/>
  <c r="V292" i="8" a="1"/>
  <c r="V292" i="8" s="1"/>
  <c r="U292" i="8" a="1"/>
  <c r="U292" i="8" s="1"/>
  <c r="T292" i="8" a="1"/>
  <c r="T292" i="8" s="1"/>
  <c r="S292" i="8" a="1"/>
  <c r="S292" i="8" s="1"/>
  <c r="R292" i="8" a="1"/>
  <c r="R292" i="8" s="1"/>
  <c r="Q292" i="8" a="1"/>
  <c r="Q292" i="8" s="1"/>
  <c r="P292" i="8" a="1"/>
  <c r="P292" i="8" s="1"/>
  <c r="O292" i="8" a="1"/>
  <c r="O292" i="8" s="1"/>
  <c r="N292" i="8" a="1"/>
  <c r="N292" i="8" s="1"/>
  <c r="M292" i="8" a="1"/>
  <c r="M292" i="8" s="1"/>
  <c r="L292" i="8" a="1"/>
  <c r="L292" i="8" s="1"/>
  <c r="K292" i="8" a="1"/>
  <c r="K292" i="8" s="1"/>
  <c r="J292" i="8" a="1"/>
  <c r="J292" i="8" s="1"/>
  <c r="I292" i="8" a="1"/>
  <c r="I292" i="8" s="1"/>
  <c r="H292" i="8" a="1"/>
  <c r="H292" i="8" s="1"/>
  <c r="G292" i="8" a="1"/>
  <c r="G292" i="8" s="1"/>
  <c r="F292" i="8" a="1"/>
  <c r="F292" i="8" s="1"/>
  <c r="E292" i="8" a="1"/>
  <c r="E292" i="8" s="1"/>
  <c r="AB291" i="8" a="1"/>
  <c r="AB291" i="8" s="1"/>
  <c r="AA291" i="8" a="1"/>
  <c r="AA291" i="8" s="1"/>
  <c r="Z291" i="8" a="1"/>
  <c r="Z291" i="8" s="1"/>
  <c r="Y291" i="8" a="1"/>
  <c r="Y291" i="8" s="1"/>
  <c r="X291" i="8" a="1"/>
  <c r="X291" i="8" s="1"/>
  <c r="W291" i="8" a="1"/>
  <c r="W291" i="8" s="1"/>
  <c r="V291" i="8" a="1"/>
  <c r="V291" i="8" s="1"/>
  <c r="U291" i="8" a="1"/>
  <c r="U291" i="8" s="1"/>
  <c r="T291" i="8" a="1"/>
  <c r="T291" i="8" s="1"/>
  <c r="S291" i="8" a="1"/>
  <c r="S291" i="8" s="1"/>
  <c r="R291" i="8" a="1"/>
  <c r="R291" i="8" s="1"/>
  <c r="Q291" i="8" a="1"/>
  <c r="Q291" i="8" s="1"/>
  <c r="P291" i="8" a="1"/>
  <c r="P291" i="8" s="1"/>
  <c r="O291" i="8" a="1"/>
  <c r="O291" i="8" s="1"/>
  <c r="N291" i="8" a="1"/>
  <c r="N291" i="8" s="1"/>
  <c r="M291" i="8" a="1"/>
  <c r="M291" i="8" s="1"/>
  <c r="L291" i="8" a="1"/>
  <c r="L291" i="8" s="1"/>
  <c r="K291" i="8" a="1"/>
  <c r="K291" i="8" s="1"/>
  <c r="J291" i="8" a="1"/>
  <c r="J291" i="8" s="1"/>
  <c r="I291" i="8" a="1"/>
  <c r="I291" i="8" s="1"/>
  <c r="H291" i="8" a="1"/>
  <c r="H291" i="8" s="1"/>
  <c r="G291" i="8" a="1"/>
  <c r="G291" i="8" s="1"/>
  <c r="F291" i="8" a="1"/>
  <c r="F291" i="8" s="1"/>
  <c r="E291" i="8" a="1"/>
  <c r="E291" i="8" s="1"/>
  <c r="AB290" i="8" a="1"/>
  <c r="AB290" i="8" s="1"/>
  <c r="AA290" i="8" a="1"/>
  <c r="AA290" i="8" s="1"/>
  <c r="Z290" i="8" a="1"/>
  <c r="Z290" i="8" s="1"/>
  <c r="Y290" i="8" a="1"/>
  <c r="Y290" i="8" s="1"/>
  <c r="X290" i="8" a="1"/>
  <c r="X290" i="8" s="1"/>
  <c r="W290" i="8" a="1"/>
  <c r="W290" i="8" s="1"/>
  <c r="V290" i="8" a="1"/>
  <c r="V290" i="8" s="1"/>
  <c r="U290" i="8" a="1"/>
  <c r="U290" i="8" s="1"/>
  <c r="T290" i="8" a="1"/>
  <c r="T290" i="8" s="1"/>
  <c r="S290" i="8" a="1"/>
  <c r="S290" i="8" s="1"/>
  <c r="R290" i="8" a="1"/>
  <c r="R290" i="8" s="1"/>
  <c r="Q290" i="8" a="1"/>
  <c r="Q290" i="8" s="1"/>
  <c r="P290" i="8" a="1"/>
  <c r="P290" i="8" s="1"/>
  <c r="O290" i="8" a="1"/>
  <c r="O290" i="8" s="1"/>
  <c r="N290" i="8" a="1"/>
  <c r="N290" i="8" s="1"/>
  <c r="M290" i="8" a="1"/>
  <c r="M290" i="8" s="1"/>
  <c r="L290" i="8" a="1"/>
  <c r="L290" i="8" s="1"/>
  <c r="K290" i="8" a="1"/>
  <c r="K290" i="8" s="1"/>
  <c r="J290" i="8" a="1"/>
  <c r="J290" i="8" s="1"/>
  <c r="I290" i="8" a="1"/>
  <c r="I290" i="8" s="1"/>
  <c r="H290" i="8" a="1"/>
  <c r="H290" i="8" s="1"/>
  <c r="G290" i="8" a="1"/>
  <c r="G290" i="8" s="1"/>
  <c r="F290" i="8" a="1"/>
  <c r="F290" i="8" s="1"/>
  <c r="E290" i="8" a="1"/>
  <c r="E290" i="8" s="1"/>
  <c r="AB289" i="8" a="1"/>
  <c r="AB289" i="8" s="1"/>
  <c r="AA289" i="8" a="1"/>
  <c r="AA289" i="8" s="1"/>
  <c r="Z289" i="8" a="1"/>
  <c r="Z289" i="8" s="1"/>
  <c r="Y289" i="8" a="1"/>
  <c r="Y289" i="8" s="1"/>
  <c r="X289" i="8" a="1"/>
  <c r="X289" i="8" s="1"/>
  <c r="W289" i="8" a="1"/>
  <c r="W289" i="8" s="1"/>
  <c r="V289" i="8" a="1"/>
  <c r="V289" i="8" s="1"/>
  <c r="U289" i="8" a="1"/>
  <c r="U289" i="8" s="1"/>
  <c r="T289" i="8" a="1"/>
  <c r="T289" i="8" s="1"/>
  <c r="S289" i="8" a="1"/>
  <c r="S289" i="8" s="1"/>
  <c r="R289" i="8" a="1"/>
  <c r="R289" i="8" s="1"/>
  <c r="Q289" i="8" a="1"/>
  <c r="Q289" i="8" s="1"/>
  <c r="P289" i="8" a="1"/>
  <c r="P289" i="8" s="1"/>
  <c r="O289" i="8" a="1"/>
  <c r="O289" i="8" s="1"/>
  <c r="N289" i="8" a="1"/>
  <c r="N289" i="8" s="1"/>
  <c r="M289" i="8" a="1"/>
  <c r="M289" i="8" s="1"/>
  <c r="L289" i="8" a="1"/>
  <c r="L289" i="8" s="1"/>
  <c r="K289" i="8" a="1"/>
  <c r="K289" i="8" s="1"/>
  <c r="J289" i="8" a="1"/>
  <c r="J289" i="8" s="1"/>
  <c r="I289" i="8" a="1"/>
  <c r="I289" i="8" s="1"/>
  <c r="H289" i="8" a="1"/>
  <c r="H289" i="8" s="1"/>
  <c r="G289" i="8" a="1"/>
  <c r="G289" i="8" s="1"/>
  <c r="F289" i="8" a="1"/>
  <c r="F289" i="8" s="1"/>
  <c r="E289" i="8" a="1"/>
  <c r="E289" i="8" s="1"/>
  <c r="AB288" i="8" a="1"/>
  <c r="AB288" i="8" s="1"/>
  <c r="AA288" i="8" a="1"/>
  <c r="AA288" i="8" s="1"/>
  <c r="Z288" i="8" a="1"/>
  <c r="Z288" i="8" s="1"/>
  <c r="Y288" i="8" a="1"/>
  <c r="Y288" i="8" s="1"/>
  <c r="X288" i="8" a="1"/>
  <c r="X288" i="8" s="1"/>
  <c r="W288" i="8" a="1"/>
  <c r="W288" i="8" s="1"/>
  <c r="V288" i="8" a="1"/>
  <c r="V288" i="8" s="1"/>
  <c r="U288" i="8" a="1"/>
  <c r="U288" i="8" s="1"/>
  <c r="T288" i="8" a="1"/>
  <c r="T288" i="8" s="1"/>
  <c r="S288" i="8" a="1"/>
  <c r="S288" i="8" s="1"/>
  <c r="R288" i="8" a="1"/>
  <c r="R288" i="8" s="1"/>
  <c r="Q288" i="8" a="1"/>
  <c r="Q288" i="8" s="1"/>
  <c r="P288" i="8" a="1"/>
  <c r="P288" i="8" s="1"/>
  <c r="O288" i="8" a="1"/>
  <c r="O288" i="8" s="1"/>
  <c r="N288" i="8" a="1"/>
  <c r="N288" i="8" s="1"/>
  <c r="M288" i="8" a="1"/>
  <c r="M288" i="8" s="1"/>
  <c r="L288" i="8" a="1"/>
  <c r="L288" i="8" s="1"/>
  <c r="K288" i="8" a="1"/>
  <c r="K288" i="8" s="1"/>
  <c r="J288" i="8" a="1"/>
  <c r="J288" i="8" s="1"/>
  <c r="I288" i="8" a="1"/>
  <c r="I288" i="8" s="1"/>
  <c r="H288" i="8" a="1"/>
  <c r="H288" i="8" s="1"/>
  <c r="G288" i="8" a="1"/>
  <c r="G288" i="8" s="1"/>
  <c r="F288" i="8" a="1"/>
  <c r="F288" i="8" s="1"/>
  <c r="E288" i="8" a="1"/>
  <c r="E288" i="8" s="1"/>
  <c r="AB287" i="8" a="1"/>
  <c r="AB287" i="8" s="1"/>
  <c r="AA287" i="8" a="1"/>
  <c r="AA287" i="8" s="1"/>
  <c r="Z287" i="8" a="1"/>
  <c r="Z287" i="8" s="1"/>
  <c r="Y287" i="8" a="1"/>
  <c r="Y287" i="8" s="1"/>
  <c r="X287" i="8" a="1"/>
  <c r="X287" i="8" s="1"/>
  <c r="W287" i="8" a="1"/>
  <c r="W287" i="8" s="1"/>
  <c r="V287" i="8" a="1"/>
  <c r="V287" i="8" s="1"/>
  <c r="U287" i="8" a="1"/>
  <c r="U287" i="8" s="1"/>
  <c r="T287" i="8" a="1"/>
  <c r="T287" i="8" s="1"/>
  <c r="S287" i="8" a="1"/>
  <c r="S287" i="8" s="1"/>
  <c r="R287" i="8" a="1"/>
  <c r="R287" i="8" s="1"/>
  <c r="Q287" i="8" a="1"/>
  <c r="Q287" i="8" s="1"/>
  <c r="P287" i="8" a="1"/>
  <c r="P287" i="8" s="1"/>
  <c r="O287" i="8" a="1"/>
  <c r="O287" i="8" s="1"/>
  <c r="N287" i="8" a="1"/>
  <c r="N287" i="8" s="1"/>
  <c r="M287" i="8" a="1"/>
  <c r="M287" i="8" s="1"/>
  <c r="L287" i="8" a="1"/>
  <c r="L287" i="8" s="1"/>
  <c r="K287" i="8" a="1"/>
  <c r="K287" i="8" s="1"/>
  <c r="J287" i="8" a="1"/>
  <c r="J287" i="8" s="1"/>
  <c r="I287" i="8" a="1"/>
  <c r="I287" i="8" s="1"/>
  <c r="H287" i="8" a="1"/>
  <c r="H287" i="8" s="1"/>
  <c r="G287" i="8" a="1"/>
  <c r="G287" i="8" s="1"/>
  <c r="F287" i="8" a="1"/>
  <c r="F287" i="8" s="1"/>
  <c r="E287" i="8" a="1"/>
  <c r="E287" i="8" s="1"/>
  <c r="AB286" i="8" a="1"/>
  <c r="AB286" i="8" s="1"/>
  <c r="AA286" i="8" a="1"/>
  <c r="AA286" i="8" s="1"/>
  <c r="Z286" i="8" a="1"/>
  <c r="Z286" i="8" s="1"/>
  <c r="Y286" i="8" a="1"/>
  <c r="Y286" i="8" s="1"/>
  <c r="X286" i="8" a="1"/>
  <c r="X286" i="8" s="1"/>
  <c r="W286" i="8" a="1"/>
  <c r="W286" i="8" s="1"/>
  <c r="V286" i="8" a="1"/>
  <c r="V286" i="8" s="1"/>
  <c r="U286" i="8" a="1"/>
  <c r="U286" i="8" s="1"/>
  <c r="T286" i="8" a="1"/>
  <c r="T286" i="8" s="1"/>
  <c r="S286" i="8" a="1"/>
  <c r="S286" i="8" s="1"/>
  <c r="R286" i="8" a="1"/>
  <c r="R286" i="8" s="1"/>
  <c r="Q286" i="8" a="1"/>
  <c r="Q286" i="8" s="1"/>
  <c r="P286" i="8" a="1"/>
  <c r="P286" i="8" s="1"/>
  <c r="O286" i="8" a="1"/>
  <c r="O286" i="8" s="1"/>
  <c r="N286" i="8" a="1"/>
  <c r="N286" i="8" s="1"/>
  <c r="M286" i="8" a="1"/>
  <c r="M286" i="8" s="1"/>
  <c r="L286" i="8" a="1"/>
  <c r="L286" i="8" s="1"/>
  <c r="K286" i="8" a="1"/>
  <c r="K286" i="8" s="1"/>
  <c r="J286" i="8" a="1"/>
  <c r="J286" i="8" s="1"/>
  <c r="I286" i="8" a="1"/>
  <c r="I286" i="8" s="1"/>
  <c r="H286" i="8" a="1"/>
  <c r="H286" i="8" s="1"/>
  <c r="G286" i="8" a="1"/>
  <c r="G286" i="8" s="1"/>
  <c r="F286" i="8" a="1"/>
  <c r="F286" i="8" s="1"/>
  <c r="E286" i="8" a="1"/>
  <c r="E286" i="8" s="1"/>
  <c r="AB285" i="8" a="1"/>
  <c r="AB285" i="8" s="1"/>
  <c r="AA285" i="8" a="1"/>
  <c r="AA285" i="8" s="1"/>
  <c r="Z285" i="8" a="1"/>
  <c r="Z285" i="8" s="1"/>
  <c r="Y285" i="8" a="1"/>
  <c r="Y285" i="8" s="1"/>
  <c r="X285" i="8" a="1"/>
  <c r="X285" i="8" s="1"/>
  <c r="W285" i="8" a="1"/>
  <c r="W285" i="8" s="1"/>
  <c r="V285" i="8" a="1"/>
  <c r="V285" i="8" s="1"/>
  <c r="U285" i="8" a="1"/>
  <c r="U285" i="8" s="1"/>
  <c r="T285" i="8" a="1"/>
  <c r="T285" i="8" s="1"/>
  <c r="S285" i="8" a="1"/>
  <c r="S285" i="8" s="1"/>
  <c r="R285" i="8" a="1"/>
  <c r="R285" i="8" s="1"/>
  <c r="Q285" i="8" a="1"/>
  <c r="Q285" i="8" s="1"/>
  <c r="P285" i="8" a="1"/>
  <c r="P285" i="8" s="1"/>
  <c r="O285" i="8" a="1"/>
  <c r="O285" i="8" s="1"/>
  <c r="N285" i="8" a="1"/>
  <c r="N285" i="8" s="1"/>
  <c r="M285" i="8" a="1"/>
  <c r="M285" i="8" s="1"/>
  <c r="L285" i="8" a="1"/>
  <c r="L285" i="8" s="1"/>
  <c r="K285" i="8" a="1"/>
  <c r="K285" i="8" s="1"/>
  <c r="J285" i="8" a="1"/>
  <c r="J285" i="8" s="1"/>
  <c r="I285" i="8" a="1"/>
  <c r="I285" i="8" s="1"/>
  <c r="H285" i="8" a="1"/>
  <c r="H285" i="8" s="1"/>
  <c r="G285" i="8" a="1"/>
  <c r="G285" i="8" s="1"/>
  <c r="F285" i="8" a="1"/>
  <c r="F285" i="8" s="1"/>
  <c r="E285" i="8" a="1"/>
  <c r="E285" i="8" s="1"/>
  <c r="AB284" i="8" a="1"/>
  <c r="AB284" i="8" s="1"/>
  <c r="AA284" i="8" a="1"/>
  <c r="AA284" i="8" s="1"/>
  <c r="Z284" i="8" a="1"/>
  <c r="Z284" i="8" s="1"/>
  <c r="Y284" i="8" a="1"/>
  <c r="Y284" i="8" s="1"/>
  <c r="X284" i="8" a="1"/>
  <c r="X284" i="8" s="1"/>
  <c r="W284" i="8" a="1"/>
  <c r="W284" i="8" s="1"/>
  <c r="V284" i="8" a="1"/>
  <c r="V284" i="8" s="1"/>
  <c r="U284" i="8" a="1"/>
  <c r="U284" i="8" s="1"/>
  <c r="T284" i="8" a="1"/>
  <c r="T284" i="8" s="1"/>
  <c r="S284" i="8" a="1"/>
  <c r="S284" i="8" s="1"/>
  <c r="R284" i="8" a="1"/>
  <c r="R284" i="8" s="1"/>
  <c r="Q284" i="8" a="1"/>
  <c r="Q284" i="8" s="1"/>
  <c r="P284" i="8" a="1"/>
  <c r="P284" i="8" s="1"/>
  <c r="O284" i="8" a="1"/>
  <c r="O284" i="8" s="1"/>
  <c r="N284" i="8" a="1"/>
  <c r="N284" i="8" s="1"/>
  <c r="M284" i="8" a="1"/>
  <c r="M284" i="8" s="1"/>
  <c r="L284" i="8" a="1"/>
  <c r="L284" i="8" s="1"/>
  <c r="K284" i="8" a="1"/>
  <c r="K284" i="8" s="1"/>
  <c r="J284" i="8" a="1"/>
  <c r="J284" i="8" s="1"/>
  <c r="I284" i="8" a="1"/>
  <c r="I284" i="8" s="1"/>
  <c r="H284" i="8" a="1"/>
  <c r="H284" i="8" s="1"/>
  <c r="G284" i="8" a="1"/>
  <c r="G284" i="8" s="1"/>
  <c r="F284" i="8" a="1"/>
  <c r="F284" i="8" s="1"/>
  <c r="E284" i="8" a="1"/>
  <c r="E284" i="8" s="1"/>
  <c r="AB283" i="8" a="1"/>
  <c r="AB283" i="8" s="1"/>
  <c r="AA283" i="8" a="1"/>
  <c r="AA283" i="8" s="1"/>
  <c r="Z283" i="8" a="1"/>
  <c r="Z283" i="8" s="1"/>
  <c r="Y283" i="8" a="1"/>
  <c r="Y283" i="8" s="1"/>
  <c r="X283" i="8" a="1"/>
  <c r="X283" i="8" s="1"/>
  <c r="W283" i="8" a="1"/>
  <c r="W283" i="8" s="1"/>
  <c r="V283" i="8" a="1"/>
  <c r="V283" i="8" s="1"/>
  <c r="U283" i="8" a="1"/>
  <c r="U283" i="8" s="1"/>
  <c r="T283" i="8" a="1"/>
  <c r="T283" i="8" s="1"/>
  <c r="S283" i="8" a="1"/>
  <c r="S283" i="8" s="1"/>
  <c r="R283" i="8" a="1"/>
  <c r="R283" i="8" s="1"/>
  <c r="Q283" i="8" a="1"/>
  <c r="Q283" i="8" s="1"/>
  <c r="P283" i="8" a="1"/>
  <c r="P283" i="8" s="1"/>
  <c r="O283" i="8" a="1"/>
  <c r="O283" i="8" s="1"/>
  <c r="N283" i="8" a="1"/>
  <c r="N283" i="8" s="1"/>
  <c r="M283" i="8" a="1"/>
  <c r="M283" i="8" s="1"/>
  <c r="L283" i="8" a="1"/>
  <c r="L283" i="8" s="1"/>
  <c r="K283" i="8" a="1"/>
  <c r="K283" i="8" s="1"/>
  <c r="J283" i="8" a="1"/>
  <c r="J283" i="8" s="1"/>
  <c r="I283" i="8" a="1"/>
  <c r="I283" i="8" s="1"/>
  <c r="H283" i="8" a="1"/>
  <c r="H283" i="8" s="1"/>
  <c r="G283" i="8" a="1"/>
  <c r="G283" i="8" s="1"/>
  <c r="F283" i="8" a="1"/>
  <c r="F283" i="8" s="1"/>
  <c r="E283" i="8" a="1"/>
  <c r="E283" i="8" s="1"/>
  <c r="AB282" i="8" a="1"/>
  <c r="AB282" i="8" s="1"/>
  <c r="AA282" i="8" a="1"/>
  <c r="AA282" i="8" s="1"/>
  <c r="Z282" i="8" a="1"/>
  <c r="Z282" i="8" s="1"/>
  <c r="Y282" i="8" a="1"/>
  <c r="Y282" i="8" s="1"/>
  <c r="X282" i="8" a="1"/>
  <c r="X282" i="8" s="1"/>
  <c r="W282" i="8" a="1"/>
  <c r="W282" i="8" s="1"/>
  <c r="V282" i="8" a="1"/>
  <c r="V282" i="8" s="1"/>
  <c r="U282" i="8" a="1"/>
  <c r="U282" i="8" s="1"/>
  <c r="T282" i="8" a="1"/>
  <c r="T282" i="8" s="1"/>
  <c r="S282" i="8" a="1"/>
  <c r="S282" i="8" s="1"/>
  <c r="R282" i="8" a="1"/>
  <c r="R282" i="8" s="1"/>
  <c r="Q282" i="8" a="1"/>
  <c r="Q282" i="8" s="1"/>
  <c r="P282" i="8" a="1"/>
  <c r="P282" i="8" s="1"/>
  <c r="O282" i="8" a="1"/>
  <c r="O282" i="8" s="1"/>
  <c r="N282" i="8" a="1"/>
  <c r="N282" i="8" s="1"/>
  <c r="M282" i="8" a="1"/>
  <c r="M282" i="8" s="1"/>
  <c r="L282" i="8" a="1"/>
  <c r="L282" i="8" s="1"/>
  <c r="K282" i="8" a="1"/>
  <c r="K282" i="8" s="1"/>
  <c r="J282" i="8" a="1"/>
  <c r="J282" i="8" s="1"/>
  <c r="I282" i="8" a="1"/>
  <c r="I282" i="8" s="1"/>
  <c r="H282" i="8" a="1"/>
  <c r="H282" i="8" s="1"/>
  <c r="G282" i="8" a="1"/>
  <c r="G282" i="8" s="1"/>
  <c r="F282" i="8" a="1"/>
  <c r="F282" i="8" s="1"/>
  <c r="E282" i="8" a="1"/>
  <c r="E282" i="8" s="1"/>
  <c r="AB281" i="8" a="1"/>
  <c r="AB281" i="8" s="1"/>
  <c r="AA281" i="8" a="1"/>
  <c r="AA281" i="8" s="1"/>
  <c r="Z281" i="8" a="1"/>
  <c r="Z281" i="8" s="1"/>
  <c r="Y281" i="8" a="1"/>
  <c r="Y281" i="8" s="1"/>
  <c r="X281" i="8" a="1"/>
  <c r="X281" i="8" s="1"/>
  <c r="W281" i="8" a="1"/>
  <c r="W281" i="8" s="1"/>
  <c r="V281" i="8" a="1"/>
  <c r="V281" i="8" s="1"/>
  <c r="U281" i="8" a="1"/>
  <c r="U281" i="8" s="1"/>
  <c r="T281" i="8" a="1"/>
  <c r="T281" i="8" s="1"/>
  <c r="S281" i="8" a="1"/>
  <c r="S281" i="8" s="1"/>
  <c r="R281" i="8" a="1"/>
  <c r="R281" i="8" s="1"/>
  <c r="Q281" i="8" a="1"/>
  <c r="Q281" i="8" s="1"/>
  <c r="P281" i="8" a="1"/>
  <c r="P281" i="8" s="1"/>
  <c r="O281" i="8" a="1"/>
  <c r="O281" i="8" s="1"/>
  <c r="N281" i="8" a="1"/>
  <c r="N281" i="8" s="1"/>
  <c r="M281" i="8" a="1"/>
  <c r="M281" i="8" s="1"/>
  <c r="L281" i="8" a="1"/>
  <c r="L281" i="8" s="1"/>
  <c r="K281" i="8" a="1"/>
  <c r="K281" i="8" s="1"/>
  <c r="J281" i="8" a="1"/>
  <c r="J281" i="8" s="1"/>
  <c r="I281" i="8" a="1"/>
  <c r="I281" i="8" s="1"/>
  <c r="H281" i="8" a="1"/>
  <c r="H281" i="8" s="1"/>
  <c r="G281" i="8" a="1"/>
  <c r="G281" i="8" s="1"/>
  <c r="F281" i="8" a="1"/>
  <c r="F281" i="8" s="1"/>
  <c r="E281" i="8" a="1"/>
  <c r="E281" i="8" s="1"/>
  <c r="AB280" i="8" a="1"/>
  <c r="AB280" i="8" s="1"/>
  <c r="AA280" i="8" a="1"/>
  <c r="AA280" i="8" s="1"/>
  <c r="Z280" i="8" a="1"/>
  <c r="Z280" i="8" s="1"/>
  <c r="Y280" i="8" a="1"/>
  <c r="Y280" i="8" s="1"/>
  <c r="X280" i="8" a="1"/>
  <c r="X280" i="8" s="1"/>
  <c r="W280" i="8" a="1"/>
  <c r="W280" i="8" s="1"/>
  <c r="V280" i="8" a="1"/>
  <c r="V280" i="8" s="1"/>
  <c r="U280" i="8" a="1"/>
  <c r="U280" i="8" s="1"/>
  <c r="T280" i="8" a="1"/>
  <c r="T280" i="8" s="1"/>
  <c r="S280" i="8" a="1"/>
  <c r="S280" i="8" s="1"/>
  <c r="R280" i="8" a="1"/>
  <c r="R280" i="8" s="1"/>
  <c r="Q280" i="8" a="1"/>
  <c r="Q280" i="8" s="1"/>
  <c r="P280" i="8" a="1"/>
  <c r="P280" i="8" s="1"/>
  <c r="O280" i="8" a="1"/>
  <c r="O280" i="8" s="1"/>
  <c r="N280" i="8" a="1"/>
  <c r="N280" i="8" s="1"/>
  <c r="M280" i="8" a="1"/>
  <c r="M280" i="8" s="1"/>
  <c r="L280" i="8" a="1"/>
  <c r="L280" i="8" s="1"/>
  <c r="K280" i="8" a="1"/>
  <c r="K280" i="8" s="1"/>
  <c r="J280" i="8" a="1"/>
  <c r="J280" i="8" s="1"/>
  <c r="I280" i="8" a="1"/>
  <c r="I280" i="8" s="1"/>
  <c r="H280" i="8" a="1"/>
  <c r="H280" i="8" s="1"/>
  <c r="G280" i="8" a="1"/>
  <c r="G280" i="8" s="1"/>
  <c r="F280" i="8" a="1"/>
  <c r="F280" i="8" s="1"/>
  <c r="E280" i="8" a="1"/>
  <c r="E280" i="8" s="1"/>
  <c r="AB279" i="8" a="1"/>
  <c r="AB279" i="8" s="1"/>
  <c r="AA279" i="8" a="1"/>
  <c r="AA279" i="8" s="1"/>
  <c r="Z279" i="8" a="1"/>
  <c r="Z279" i="8" s="1"/>
  <c r="Y279" i="8" a="1"/>
  <c r="Y279" i="8" s="1"/>
  <c r="X279" i="8" a="1"/>
  <c r="X279" i="8" s="1"/>
  <c r="W279" i="8" a="1"/>
  <c r="W279" i="8" s="1"/>
  <c r="V279" i="8" a="1"/>
  <c r="V279" i="8" s="1"/>
  <c r="U279" i="8" a="1"/>
  <c r="U279" i="8" s="1"/>
  <c r="T279" i="8" a="1"/>
  <c r="T279" i="8" s="1"/>
  <c r="S279" i="8" a="1"/>
  <c r="S279" i="8" s="1"/>
  <c r="R279" i="8" a="1"/>
  <c r="R279" i="8" s="1"/>
  <c r="Q279" i="8" a="1"/>
  <c r="Q279" i="8" s="1"/>
  <c r="P279" i="8" a="1"/>
  <c r="P279" i="8" s="1"/>
  <c r="O279" i="8" a="1"/>
  <c r="O279" i="8" s="1"/>
  <c r="N279" i="8" a="1"/>
  <c r="N279" i="8" s="1"/>
  <c r="M279" i="8" a="1"/>
  <c r="M279" i="8" s="1"/>
  <c r="L279" i="8" a="1"/>
  <c r="L279" i="8" s="1"/>
  <c r="K279" i="8" a="1"/>
  <c r="K279" i="8" s="1"/>
  <c r="J279" i="8" a="1"/>
  <c r="J279" i="8" s="1"/>
  <c r="I279" i="8" a="1"/>
  <c r="I279" i="8" s="1"/>
  <c r="H279" i="8" a="1"/>
  <c r="H279" i="8" s="1"/>
  <c r="G279" i="8" a="1"/>
  <c r="G279" i="8" s="1"/>
  <c r="F279" i="8" a="1"/>
  <c r="F279" i="8" s="1"/>
  <c r="E279" i="8" a="1"/>
  <c r="E279" i="8" s="1"/>
  <c r="AB278" i="8" a="1"/>
  <c r="AB278" i="8" s="1"/>
  <c r="AA278" i="8" a="1"/>
  <c r="AA278" i="8" s="1"/>
  <c r="Z278" i="8" a="1"/>
  <c r="Z278" i="8" s="1"/>
  <c r="Y278" i="8" a="1"/>
  <c r="Y278" i="8" s="1"/>
  <c r="X278" i="8" a="1"/>
  <c r="X278" i="8" s="1"/>
  <c r="W278" i="8" a="1"/>
  <c r="W278" i="8" s="1"/>
  <c r="V278" i="8" a="1"/>
  <c r="V278" i="8" s="1"/>
  <c r="U278" i="8" a="1"/>
  <c r="U278" i="8" s="1"/>
  <c r="T278" i="8" a="1"/>
  <c r="T278" i="8" s="1"/>
  <c r="S278" i="8" a="1"/>
  <c r="S278" i="8" s="1"/>
  <c r="R278" i="8" a="1"/>
  <c r="R278" i="8" s="1"/>
  <c r="Q278" i="8" a="1"/>
  <c r="Q278" i="8" s="1"/>
  <c r="P278" i="8" a="1"/>
  <c r="P278" i="8" s="1"/>
  <c r="O278" i="8" a="1"/>
  <c r="O278" i="8" s="1"/>
  <c r="N278" i="8" a="1"/>
  <c r="N278" i="8" s="1"/>
  <c r="M278" i="8" a="1"/>
  <c r="M278" i="8" s="1"/>
  <c r="L278" i="8" a="1"/>
  <c r="L278" i="8" s="1"/>
  <c r="K278" i="8" a="1"/>
  <c r="K278" i="8" s="1"/>
  <c r="J278" i="8" a="1"/>
  <c r="J278" i="8" s="1"/>
  <c r="I278" i="8" a="1"/>
  <c r="I278" i="8" s="1"/>
  <c r="H278" i="8" a="1"/>
  <c r="H278" i="8" s="1"/>
  <c r="G278" i="8" a="1"/>
  <c r="G278" i="8" s="1"/>
  <c r="F278" i="8" a="1"/>
  <c r="F278" i="8" s="1"/>
  <c r="E278" i="8" a="1"/>
  <c r="E278" i="8" s="1"/>
  <c r="AB277" i="8" a="1"/>
  <c r="AB277" i="8" s="1"/>
  <c r="AA277" i="8" a="1"/>
  <c r="AA277" i="8" s="1"/>
  <c r="Z277" i="8" a="1"/>
  <c r="Z277" i="8" s="1"/>
  <c r="Y277" i="8" a="1"/>
  <c r="Y277" i="8" s="1"/>
  <c r="X277" i="8" a="1"/>
  <c r="X277" i="8" s="1"/>
  <c r="W277" i="8" a="1"/>
  <c r="W277" i="8" s="1"/>
  <c r="V277" i="8" a="1"/>
  <c r="V277" i="8" s="1"/>
  <c r="U277" i="8" a="1"/>
  <c r="U277" i="8" s="1"/>
  <c r="T277" i="8" a="1"/>
  <c r="T277" i="8" s="1"/>
  <c r="S277" i="8" a="1"/>
  <c r="S277" i="8" s="1"/>
  <c r="R277" i="8" a="1"/>
  <c r="R277" i="8" s="1"/>
  <c r="Q277" i="8" a="1"/>
  <c r="Q277" i="8" s="1"/>
  <c r="P277" i="8" a="1"/>
  <c r="P277" i="8" s="1"/>
  <c r="O277" i="8" a="1"/>
  <c r="O277" i="8" s="1"/>
  <c r="N277" i="8" a="1"/>
  <c r="N277" i="8" s="1"/>
  <c r="M277" i="8" a="1"/>
  <c r="M277" i="8" s="1"/>
  <c r="L277" i="8" a="1"/>
  <c r="L277" i="8" s="1"/>
  <c r="K277" i="8" a="1"/>
  <c r="K277" i="8" s="1"/>
  <c r="J277" i="8" a="1"/>
  <c r="J277" i="8" s="1"/>
  <c r="I277" i="8" a="1"/>
  <c r="I277" i="8" s="1"/>
  <c r="H277" i="8" a="1"/>
  <c r="H277" i="8" s="1"/>
  <c r="G277" i="8" a="1"/>
  <c r="G277" i="8" s="1"/>
  <c r="F277" i="8" a="1"/>
  <c r="F277" i="8" s="1"/>
  <c r="E277" i="8" a="1"/>
  <c r="E277" i="8" s="1"/>
  <c r="AB276" i="8" a="1"/>
  <c r="AB276" i="8" s="1"/>
  <c r="AA276" i="8" a="1"/>
  <c r="AA276" i="8" s="1"/>
  <c r="Z276" i="8" a="1"/>
  <c r="Z276" i="8" s="1"/>
  <c r="Y276" i="8" a="1"/>
  <c r="Y276" i="8" s="1"/>
  <c r="X276" i="8" a="1"/>
  <c r="X276" i="8" s="1"/>
  <c r="W276" i="8" a="1"/>
  <c r="W276" i="8" s="1"/>
  <c r="V276" i="8" a="1"/>
  <c r="V276" i="8" s="1"/>
  <c r="U276" i="8" a="1"/>
  <c r="U276" i="8" s="1"/>
  <c r="T276" i="8" a="1"/>
  <c r="T276" i="8" s="1"/>
  <c r="S276" i="8" a="1"/>
  <c r="S276" i="8" s="1"/>
  <c r="R276" i="8" a="1"/>
  <c r="R276" i="8" s="1"/>
  <c r="Q276" i="8" a="1"/>
  <c r="Q276" i="8" s="1"/>
  <c r="P276" i="8" a="1"/>
  <c r="P276" i="8" s="1"/>
  <c r="O276" i="8" a="1"/>
  <c r="O276" i="8" s="1"/>
  <c r="N276" i="8" a="1"/>
  <c r="N276" i="8" s="1"/>
  <c r="M276" i="8" a="1"/>
  <c r="M276" i="8" s="1"/>
  <c r="L276" i="8" a="1"/>
  <c r="L276" i="8" s="1"/>
  <c r="K276" i="8" a="1"/>
  <c r="K276" i="8" s="1"/>
  <c r="J276" i="8" a="1"/>
  <c r="J276" i="8" s="1"/>
  <c r="I276" i="8" a="1"/>
  <c r="I276" i="8" s="1"/>
  <c r="H276" i="8" a="1"/>
  <c r="H276" i="8" s="1"/>
  <c r="G276" i="8" a="1"/>
  <c r="G276" i="8" s="1"/>
  <c r="F276" i="8" a="1"/>
  <c r="F276" i="8" s="1"/>
  <c r="E276" i="8" a="1"/>
  <c r="E276" i="8" s="1"/>
  <c r="AB275" i="8" a="1"/>
  <c r="AB275" i="8" s="1"/>
  <c r="AA275" i="8" a="1"/>
  <c r="AA275" i="8" s="1"/>
  <c r="Z275" i="8" a="1"/>
  <c r="Z275" i="8" s="1"/>
  <c r="Y275" i="8" a="1"/>
  <c r="Y275" i="8" s="1"/>
  <c r="X275" i="8" a="1"/>
  <c r="X275" i="8" s="1"/>
  <c r="W275" i="8" a="1"/>
  <c r="W275" i="8" s="1"/>
  <c r="V275" i="8" a="1"/>
  <c r="V275" i="8" s="1"/>
  <c r="U275" i="8" a="1"/>
  <c r="U275" i="8" s="1"/>
  <c r="T275" i="8" a="1"/>
  <c r="T275" i="8" s="1"/>
  <c r="S275" i="8" a="1"/>
  <c r="S275" i="8" s="1"/>
  <c r="R275" i="8" a="1"/>
  <c r="R275" i="8" s="1"/>
  <c r="Q275" i="8" a="1"/>
  <c r="Q275" i="8" s="1"/>
  <c r="P275" i="8" a="1"/>
  <c r="P275" i="8" s="1"/>
  <c r="O275" i="8" a="1"/>
  <c r="O275" i="8" s="1"/>
  <c r="N275" i="8" a="1"/>
  <c r="N275" i="8" s="1"/>
  <c r="M275" i="8" a="1"/>
  <c r="M275" i="8" s="1"/>
  <c r="L275" i="8" a="1"/>
  <c r="L275" i="8" s="1"/>
  <c r="K275" i="8" a="1"/>
  <c r="K275" i="8" s="1"/>
  <c r="J275" i="8" a="1"/>
  <c r="J275" i="8" s="1"/>
  <c r="I275" i="8" a="1"/>
  <c r="I275" i="8" s="1"/>
  <c r="H275" i="8" a="1"/>
  <c r="H275" i="8" s="1"/>
  <c r="G275" i="8" a="1"/>
  <c r="G275" i="8" s="1"/>
  <c r="F275" i="8" a="1"/>
  <c r="F275" i="8" s="1"/>
  <c r="E275" i="8" a="1"/>
  <c r="E275" i="8" s="1"/>
  <c r="AB274" i="8" a="1"/>
  <c r="AB274" i="8" s="1"/>
  <c r="AA274" i="8" a="1"/>
  <c r="AA274" i="8" s="1"/>
  <c r="Z274" i="8" a="1"/>
  <c r="Z274" i="8" s="1"/>
  <c r="Y274" i="8" a="1"/>
  <c r="Y274" i="8" s="1"/>
  <c r="X274" i="8" a="1"/>
  <c r="X274" i="8" s="1"/>
  <c r="W274" i="8" a="1"/>
  <c r="W274" i="8" s="1"/>
  <c r="V274" i="8" a="1"/>
  <c r="V274" i="8" s="1"/>
  <c r="U274" i="8" a="1"/>
  <c r="U274" i="8" s="1"/>
  <c r="T274" i="8" a="1"/>
  <c r="T274" i="8" s="1"/>
  <c r="S274" i="8" a="1"/>
  <c r="S274" i="8" s="1"/>
  <c r="R274" i="8" a="1"/>
  <c r="R274" i="8" s="1"/>
  <c r="Q274" i="8" a="1"/>
  <c r="Q274" i="8" s="1"/>
  <c r="P274" i="8" a="1"/>
  <c r="P274" i="8" s="1"/>
  <c r="O274" i="8" a="1"/>
  <c r="O274" i="8" s="1"/>
  <c r="N274" i="8" a="1"/>
  <c r="N274" i="8" s="1"/>
  <c r="M274" i="8" a="1"/>
  <c r="M274" i="8" s="1"/>
  <c r="L274" i="8" a="1"/>
  <c r="L274" i="8" s="1"/>
  <c r="K274" i="8" a="1"/>
  <c r="K274" i="8" s="1"/>
  <c r="J274" i="8" a="1"/>
  <c r="J274" i="8" s="1"/>
  <c r="I274" i="8" a="1"/>
  <c r="I274" i="8" s="1"/>
  <c r="H274" i="8" a="1"/>
  <c r="H274" i="8" s="1"/>
  <c r="G274" i="8" a="1"/>
  <c r="G274" i="8" s="1"/>
  <c r="F274" i="8" a="1"/>
  <c r="F274" i="8" s="1"/>
  <c r="E274" i="8" a="1"/>
  <c r="E274" i="8" s="1"/>
  <c r="AB273" i="8" a="1"/>
  <c r="AB273" i="8" s="1"/>
  <c r="AA273" i="8" a="1"/>
  <c r="AA273" i="8" s="1"/>
  <c r="Z273" i="8" a="1"/>
  <c r="Z273" i="8" s="1"/>
  <c r="Y273" i="8" a="1"/>
  <c r="Y273" i="8" s="1"/>
  <c r="X273" i="8" a="1"/>
  <c r="X273" i="8" s="1"/>
  <c r="W273" i="8" a="1"/>
  <c r="W273" i="8" s="1"/>
  <c r="V273" i="8" a="1"/>
  <c r="V273" i="8" s="1"/>
  <c r="U273" i="8" a="1"/>
  <c r="U273" i="8" s="1"/>
  <c r="T273" i="8" a="1"/>
  <c r="T273" i="8" s="1"/>
  <c r="S273" i="8" a="1"/>
  <c r="S273" i="8" s="1"/>
  <c r="R273" i="8" a="1"/>
  <c r="R273" i="8" s="1"/>
  <c r="Q273" i="8" a="1"/>
  <c r="Q273" i="8" s="1"/>
  <c r="P273" i="8" a="1"/>
  <c r="P273" i="8" s="1"/>
  <c r="O273" i="8" a="1"/>
  <c r="O273" i="8" s="1"/>
  <c r="N273" i="8" a="1"/>
  <c r="N273" i="8" s="1"/>
  <c r="M273" i="8" a="1"/>
  <c r="M273" i="8" s="1"/>
  <c r="L273" i="8" a="1"/>
  <c r="L273" i="8" s="1"/>
  <c r="K273" i="8" a="1"/>
  <c r="K273" i="8" s="1"/>
  <c r="J273" i="8" a="1"/>
  <c r="J273" i="8" s="1"/>
  <c r="I273" i="8" a="1"/>
  <c r="I273" i="8" s="1"/>
  <c r="H273" i="8" a="1"/>
  <c r="H273" i="8" s="1"/>
  <c r="G273" i="8" a="1"/>
  <c r="G273" i="8" s="1"/>
  <c r="F273" i="8" a="1"/>
  <c r="F273" i="8" s="1"/>
  <c r="E273" i="8" a="1"/>
  <c r="E273" i="8" s="1"/>
  <c r="AB272" i="8" a="1"/>
  <c r="AB272" i="8" s="1"/>
  <c r="AA272" i="8" a="1"/>
  <c r="AA272" i="8" s="1"/>
  <c r="Z272" i="8" a="1"/>
  <c r="Z272" i="8" s="1"/>
  <c r="Y272" i="8" a="1"/>
  <c r="Y272" i="8" s="1"/>
  <c r="X272" i="8" a="1"/>
  <c r="X272" i="8" s="1"/>
  <c r="W272" i="8" a="1"/>
  <c r="W272" i="8" s="1"/>
  <c r="V272" i="8" a="1"/>
  <c r="V272" i="8" s="1"/>
  <c r="U272" i="8" a="1"/>
  <c r="U272" i="8" s="1"/>
  <c r="T272" i="8" a="1"/>
  <c r="T272" i="8" s="1"/>
  <c r="S272" i="8" a="1"/>
  <c r="S272" i="8" s="1"/>
  <c r="R272" i="8" a="1"/>
  <c r="R272" i="8" s="1"/>
  <c r="Q272" i="8" a="1"/>
  <c r="Q272" i="8" s="1"/>
  <c r="P272" i="8" a="1"/>
  <c r="P272" i="8" s="1"/>
  <c r="O272" i="8" a="1"/>
  <c r="O272" i="8" s="1"/>
  <c r="N272" i="8" a="1"/>
  <c r="N272" i="8" s="1"/>
  <c r="M272" i="8" a="1"/>
  <c r="M272" i="8" s="1"/>
  <c r="L272" i="8" a="1"/>
  <c r="L272" i="8" s="1"/>
  <c r="K272" i="8" a="1"/>
  <c r="K272" i="8" s="1"/>
  <c r="J272" i="8" a="1"/>
  <c r="J272" i="8" s="1"/>
  <c r="I272" i="8" a="1"/>
  <c r="I272" i="8" s="1"/>
  <c r="H272" i="8" a="1"/>
  <c r="H272" i="8" s="1"/>
  <c r="G272" i="8" a="1"/>
  <c r="G272" i="8" s="1"/>
  <c r="F272" i="8" a="1"/>
  <c r="F272" i="8" s="1"/>
  <c r="E272" i="8" a="1"/>
  <c r="E272" i="8" s="1"/>
  <c r="AB271" i="8" a="1"/>
  <c r="AB271" i="8" s="1"/>
  <c r="AA271" i="8" a="1"/>
  <c r="AA271" i="8" s="1"/>
  <c r="Z271" i="8" a="1"/>
  <c r="Z271" i="8" s="1"/>
  <c r="Y271" i="8" a="1"/>
  <c r="Y271" i="8" s="1"/>
  <c r="X271" i="8" a="1"/>
  <c r="X271" i="8" s="1"/>
  <c r="W271" i="8" a="1"/>
  <c r="W271" i="8" s="1"/>
  <c r="V271" i="8" a="1"/>
  <c r="V271" i="8" s="1"/>
  <c r="U271" i="8" a="1"/>
  <c r="U271" i="8" s="1"/>
  <c r="T271" i="8" a="1"/>
  <c r="T271" i="8" s="1"/>
  <c r="S271" i="8" a="1"/>
  <c r="S271" i="8" s="1"/>
  <c r="R271" i="8" a="1"/>
  <c r="R271" i="8" s="1"/>
  <c r="Q271" i="8" a="1"/>
  <c r="Q271" i="8" s="1"/>
  <c r="P271" i="8" a="1"/>
  <c r="P271" i="8" s="1"/>
  <c r="O271" i="8" a="1"/>
  <c r="O271" i="8" s="1"/>
  <c r="N271" i="8" a="1"/>
  <c r="N271" i="8" s="1"/>
  <c r="M271" i="8" a="1"/>
  <c r="M271" i="8" s="1"/>
  <c r="L271" i="8" a="1"/>
  <c r="L271" i="8" s="1"/>
  <c r="K271" i="8" a="1"/>
  <c r="K271" i="8" s="1"/>
  <c r="J271" i="8" a="1"/>
  <c r="J271" i="8" s="1"/>
  <c r="I271" i="8" a="1"/>
  <c r="I271" i="8" s="1"/>
  <c r="H271" i="8" a="1"/>
  <c r="H271" i="8" s="1"/>
  <c r="G271" i="8" a="1"/>
  <c r="G271" i="8" s="1"/>
  <c r="F271" i="8" a="1"/>
  <c r="F271" i="8" s="1"/>
  <c r="E271" i="8" a="1"/>
  <c r="E271" i="8" s="1"/>
  <c r="AB270" i="8" a="1"/>
  <c r="AB270" i="8" s="1"/>
  <c r="AA270" i="8" a="1"/>
  <c r="AA270" i="8" s="1"/>
  <c r="Z270" i="8" a="1"/>
  <c r="Z270" i="8" s="1"/>
  <c r="Y270" i="8" a="1"/>
  <c r="Y270" i="8" s="1"/>
  <c r="X270" i="8" a="1"/>
  <c r="X270" i="8" s="1"/>
  <c r="W270" i="8" a="1"/>
  <c r="W270" i="8" s="1"/>
  <c r="V270" i="8" a="1"/>
  <c r="V270" i="8" s="1"/>
  <c r="U270" i="8" a="1"/>
  <c r="U270" i="8" s="1"/>
  <c r="T270" i="8" a="1"/>
  <c r="T270" i="8" s="1"/>
  <c r="S270" i="8" a="1"/>
  <c r="S270" i="8" s="1"/>
  <c r="R270" i="8" a="1"/>
  <c r="R270" i="8" s="1"/>
  <c r="Q270" i="8" a="1"/>
  <c r="Q270" i="8" s="1"/>
  <c r="P270" i="8" a="1"/>
  <c r="P270" i="8" s="1"/>
  <c r="O270" i="8" a="1"/>
  <c r="O270" i="8" s="1"/>
  <c r="N270" i="8" a="1"/>
  <c r="N270" i="8" s="1"/>
  <c r="M270" i="8" a="1"/>
  <c r="M270" i="8" s="1"/>
  <c r="L270" i="8" a="1"/>
  <c r="L270" i="8" s="1"/>
  <c r="K270" i="8" a="1"/>
  <c r="K270" i="8" s="1"/>
  <c r="J270" i="8" a="1"/>
  <c r="J270" i="8" s="1"/>
  <c r="I270" i="8" a="1"/>
  <c r="I270" i="8" s="1"/>
  <c r="H270" i="8" a="1"/>
  <c r="H270" i="8" s="1"/>
  <c r="G270" i="8" a="1"/>
  <c r="G270" i="8" s="1"/>
  <c r="F270" i="8" a="1"/>
  <c r="F270" i="8" s="1"/>
  <c r="E270" i="8" a="1"/>
  <c r="E270" i="8" s="1"/>
  <c r="AB269" i="8" a="1"/>
  <c r="AB269" i="8" s="1"/>
  <c r="AA269" i="8" a="1"/>
  <c r="AA269" i="8" s="1"/>
  <c r="Z269" i="8" a="1"/>
  <c r="Z269" i="8" s="1"/>
  <c r="Y269" i="8" a="1"/>
  <c r="Y269" i="8" s="1"/>
  <c r="X269" i="8" a="1"/>
  <c r="X269" i="8" s="1"/>
  <c r="W269" i="8" a="1"/>
  <c r="W269" i="8" s="1"/>
  <c r="V269" i="8" a="1"/>
  <c r="V269" i="8" s="1"/>
  <c r="U269" i="8" a="1"/>
  <c r="U269" i="8" s="1"/>
  <c r="T269" i="8" a="1"/>
  <c r="T269" i="8" s="1"/>
  <c r="S269" i="8" a="1"/>
  <c r="S269" i="8" s="1"/>
  <c r="R269" i="8" a="1"/>
  <c r="R269" i="8" s="1"/>
  <c r="Q269" i="8" a="1"/>
  <c r="Q269" i="8" s="1"/>
  <c r="P269" i="8" a="1"/>
  <c r="P269" i="8" s="1"/>
  <c r="O269" i="8" a="1"/>
  <c r="O269" i="8" s="1"/>
  <c r="N269" i="8" a="1"/>
  <c r="N269" i="8" s="1"/>
  <c r="M269" i="8" a="1"/>
  <c r="M269" i="8" s="1"/>
  <c r="L269" i="8" a="1"/>
  <c r="L269" i="8" s="1"/>
  <c r="K269" i="8" a="1"/>
  <c r="K269" i="8" s="1"/>
  <c r="J269" i="8" a="1"/>
  <c r="J269" i="8" s="1"/>
  <c r="I269" i="8" a="1"/>
  <c r="I269" i="8" s="1"/>
  <c r="H269" i="8" a="1"/>
  <c r="H269" i="8" s="1"/>
  <c r="G269" i="8" a="1"/>
  <c r="G269" i="8" s="1"/>
  <c r="F269" i="8" a="1"/>
  <c r="F269" i="8" s="1"/>
  <c r="E269" i="8" a="1"/>
  <c r="E269" i="8" s="1"/>
  <c r="AB268" i="8" a="1"/>
  <c r="AB268" i="8" s="1"/>
  <c r="AA268" i="8" a="1"/>
  <c r="AA268" i="8" s="1"/>
  <c r="Z268" i="8" a="1"/>
  <c r="Z268" i="8" s="1"/>
  <c r="Y268" i="8" a="1"/>
  <c r="Y268" i="8" s="1"/>
  <c r="X268" i="8" a="1"/>
  <c r="X268" i="8" s="1"/>
  <c r="W268" i="8" a="1"/>
  <c r="W268" i="8" s="1"/>
  <c r="V268" i="8" a="1"/>
  <c r="V268" i="8" s="1"/>
  <c r="U268" i="8" a="1"/>
  <c r="U268" i="8" s="1"/>
  <c r="T268" i="8" a="1"/>
  <c r="T268" i="8" s="1"/>
  <c r="S268" i="8" a="1"/>
  <c r="S268" i="8" s="1"/>
  <c r="R268" i="8" a="1"/>
  <c r="R268" i="8" s="1"/>
  <c r="Q268" i="8" a="1"/>
  <c r="Q268" i="8" s="1"/>
  <c r="P268" i="8" a="1"/>
  <c r="P268" i="8" s="1"/>
  <c r="O268" i="8" a="1"/>
  <c r="O268" i="8" s="1"/>
  <c r="N268" i="8" a="1"/>
  <c r="N268" i="8" s="1"/>
  <c r="M268" i="8" a="1"/>
  <c r="M268" i="8" s="1"/>
  <c r="L268" i="8" a="1"/>
  <c r="L268" i="8" s="1"/>
  <c r="K268" i="8" a="1"/>
  <c r="K268" i="8" s="1"/>
  <c r="J268" i="8" a="1"/>
  <c r="J268" i="8" s="1"/>
  <c r="I268" i="8" a="1"/>
  <c r="I268" i="8" s="1"/>
  <c r="H268" i="8" a="1"/>
  <c r="H268" i="8" s="1"/>
  <c r="G268" i="8" a="1"/>
  <c r="G268" i="8" s="1"/>
  <c r="F268" i="8" a="1"/>
  <c r="F268" i="8" s="1"/>
  <c r="E268" i="8" a="1"/>
  <c r="E268" i="8" s="1"/>
  <c r="AB267" i="8" a="1"/>
  <c r="AB267" i="8" s="1"/>
  <c r="AA267" i="8" a="1"/>
  <c r="AA267" i="8" s="1"/>
  <c r="Z267" i="8" a="1"/>
  <c r="Z267" i="8" s="1"/>
  <c r="Y267" i="8" a="1"/>
  <c r="Y267" i="8" s="1"/>
  <c r="X267" i="8" a="1"/>
  <c r="X267" i="8" s="1"/>
  <c r="W267" i="8" a="1"/>
  <c r="W267" i="8" s="1"/>
  <c r="V267" i="8" a="1"/>
  <c r="V267" i="8" s="1"/>
  <c r="U267" i="8" a="1"/>
  <c r="U267" i="8" s="1"/>
  <c r="T267" i="8" a="1"/>
  <c r="T267" i="8" s="1"/>
  <c r="S267" i="8" a="1"/>
  <c r="S267" i="8" s="1"/>
  <c r="R267" i="8" a="1"/>
  <c r="R267" i="8" s="1"/>
  <c r="Q267" i="8" a="1"/>
  <c r="Q267" i="8" s="1"/>
  <c r="P267" i="8" a="1"/>
  <c r="P267" i="8" s="1"/>
  <c r="O267" i="8" a="1"/>
  <c r="O267" i="8" s="1"/>
  <c r="N267" i="8" a="1"/>
  <c r="N267" i="8" s="1"/>
  <c r="M267" i="8" a="1"/>
  <c r="M267" i="8" s="1"/>
  <c r="L267" i="8" a="1"/>
  <c r="L267" i="8" s="1"/>
  <c r="K267" i="8" a="1"/>
  <c r="K267" i="8" s="1"/>
  <c r="J267" i="8" a="1"/>
  <c r="J267" i="8" s="1"/>
  <c r="I267" i="8" a="1"/>
  <c r="I267" i="8" s="1"/>
  <c r="H267" i="8" a="1"/>
  <c r="H267" i="8" s="1"/>
  <c r="G267" i="8" a="1"/>
  <c r="G267" i="8" s="1"/>
  <c r="F267" i="8" a="1"/>
  <c r="F267" i="8" s="1"/>
  <c r="E267" i="8" a="1"/>
  <c r="E267" i="8" s="1"/>
  <c r="AB266" i="8" a="1"/>
  <c r="AB266" i="8" s="1"/>
  <c r="AA266" i="8" a="1"/>
  <c r="AA266" i="8" s="1"/>
  <c r="Z266" i="8" a="1"/>
  <c r="Z266" i="8" s="1"/>
  <c r="Y266" i="8" a="1"/>
  <c r="Y266" i="8" s="1"/>
  <c r="X266" i="8" a="1"/>
  <c r="X266" i="8" s="1"/>
  <c r="W266" i="8" a="1"/>
  <c r="W266" i="8" s="1"/>
  <c r="V266" i="8" a="1"/>
  <c r="V266" i="8" s="1"/>
  <c r="U266" i="8" a="1"/>
  <c r="U266" i="8" s="1"/>
  <c r="T266" i="8" a="1"/>
  <c r="T266" i="8" s="1"/>
  <c r="S266" i="8" a="1"/>
  <c r="S266" i="8" s="1"/>
  <c r="R266" i="8" a="1"/>
  <c r="R266" i="8" s="1"/>
  <c r="Q266" i="8" a="1"/>
  <c r="Q266" i="8" s="1"/>
  <c r="P266" i="8" a="1"/>
  <c r="P266" i="8" s="1"/>
  <c r="O266" i="8" a="1"/>
  <c r="O266" i="8" s="1"/>
  <c r="N266" i="8" a="1"/>
  <c r="N266" i="8" s="1"/>
  <c r="M266" i="8" a="1"/>
  <c r="M266" i="8" s="1"/>
  <c r="L266" i="8" a="1"/>
  <c r="L266" i="8" s="1"/>
  <c r="K266" i="8" a="1"/>
  <c r="K266" i="8" s="1"/>
  <c r="J266" i="8" a="1"/>
  <c r="J266" i="8" s="1"/>
  <c r="I266" i="8" a="1"/>
  <c r="I266" i="8" s="1"/>
  <c r="H266" i="8" a="1"/>
  <c r="H266" i="8" s="1"/>
  <c r="G266" i="8" a="1"/>
  <c r="G266" i="8" s="1"/>
  <c r="F266" i="8" a="1"/>
  <c r="F266" i="8" s="1"/>
  <c r="E266" i="8" a="1"/>
  <c r="E266" i="8" s="1"/>
  <c r="AB265" i="8" a="1"/>
  <c r="AB265" i="8" s="1"/>
  <c r="AA265" i="8" a="1"/>
  <c r="AA265" i="8" s="1"/>
  <c r="Z265" i="8" a="1"/>
  <c r="Z265" i="8" s="1"/>
  <c r="Y265" i="8" a="1"/>
  <c r="Y265" i="8" s="1"/>
  <c r="X265" i="8" a="1"/>
  <c r="X265" i="8" s="1"/>
  <c r="W265" i="8" a="1"/>
  <c r="W265" i="8" s="1"/>
  <c r="V265" i="8" a="1"/>
  <c r="V265" i="8" s="1"/>
  <c r="U265" i="8" a="1"/>
  <c r="U265" i="8" s="1"/>
  <c r="T265" i="8" a="1"/>
  <c r="T265" i="8" s="1"/>
  <c r="S265" i="8" a="1"/>
  <c r="S265" i="8" s="1"/>
  <c r="R265" i="8" a="1"/>
  <c r="R265" i="8" s="1"/>
  <c r="Q265" i="8" a="1"/>
  <c r="Q265" i="8" s="1"/>
  <c r="P265" i="8" a="1"/>
  <c r="P265" i="8" s="1"/>
  <c r="O265" i="8" a="1"/>
  <c r="O265" i="8" s="1"/>
  <c r="N265" i="8" a="1"/>
  <c r="N265" i="8" s="1"/>
  <c r="M265" i="8" a="1"/>
  <c r="M265" i="8" s="1"/>
  <c r="L265" i="8" a="1"/>
  <c r="L265" i="8" s="1"/>
  <c r="K265" i="8" a="1"/>
  <c r="K265" i="8" s="1"/>
  <c r="J265" i="8" a="1"/>
  <c r="J265" i="8" s="1"/>
  <c r="I265" i="8" a="1"/>
  <c r="I265" i="8" s="1"/>
  <c r="H265" i="8" a="1"/>
  <c r="H265" i="8" s="1"/>
  <c r="G265" i="8" a="1"/>
  <c r="G265" i="8" s="1"/>
  <c r="F265" i="8" a="1"/>
  <c r="F265" i="8" s="1"/>
  <c r="E265" i="8" a="1"/>
  <c r="E265" i="8" s="1"/>
  <c r="AB264" i="8" a="1"/>
  <c r="AB264" i="8" s="1"/>
  <c r="AA264" i="8" a="1"/>
  <c r="AA264" i="8" s="1"/>
  <c r="Z264" i="8" a="1"/>
  <c r="Z264" i="8" s="1"/>
  <c r="Y264" i="8" a="1"/>
  <c r="Y264" i="8" s="1"/>
  <c r="X264" i="8" a="1"/>
  <c r="X264" i="8" s="1"/>
  <c r="W264" i="8" a="1"/>
  <c r="W264" i="8" s="1"/>
  <c r="V264" i="8" a="1"/>
  <c r="V264" i="8" s="1"/>
  <c r="U264" i="8" a="1"/>
  <c r="U264" i="8" s="1"/>
  <c r="T264" i="8" a="1"/>
  <c r="T264" i="8" s="1"/>
  <c r="S264" i="8" a="1"/>
  <c r="S264" i="8" s="1"/>
  <c r="R264" i="8" a="1"/>
  <c r="R264" i="8" s="1"/>
  <c r="Q264" i="8" a="1"/>
  <c r="Q264" i="8" s="1"/>
  <c r="P264" i="8" a="1"/>
  <c r="P264" i="8" s="1"/>
  <c r="O264" i="8" a="1"/>
  <c r="O264" i="8" s="1"/>
  <c r="N264" i="8" a="1"/>
  <c r="N264" i="8" s="1"/>
  <c r="M264" i="8" a="1"/>
  <c r="M264" i="8" s="1"/>
  <c r="L264" i="8" a="1"/>
  <c r="L264" i="8" s="1"/>
  <c r="K264" i="8" a="1"/>
  <c r="K264" i="8" s="1"/>
  <c r="J264" i="8" a="1"/>
  <c r="J264" i="8" s="1"/>
  <c r="I264" i="8" a="1"/>
  <c r="I264" i="8" s="1"/>
  <c r="H264" i="8" a="1"/>
  <c r="H264" i="8" s="1"/>
  <c r="G264" i="8" a="1"/>
  <c r="G264" i="8" s="1"/>
  <c r="F264" i="8" a="1"/>
  <c r="F264" i="8" s="1"/>
  <c r="E264" i="8" a="1"/>
  <c r="E264" i="8" s="1"/>
  <c r="AB263" i="8" a="1"/>
  <c r="AB263" i="8" s="1"/>
  <c r="AA263" i="8" a="1"/>
  <c r="AA263" i="8" s="1"/>
  <c r="Z263" i="8" a="1"/>
  <c r="Z263" i="8" s="1"/>
  <c r="Y263" i="8" a="1"/>
  <c r="Y263" i="8" s="1"/>
  <c r="X263" i="8" a="1"/>
  <c r="X263" i="8" s="1"/>
  <c r="W263" i="8" a="1"/>
  <c r="W263" i="8" s="1"/>
  <c r="V263" i="8" a="1"/>
  <c r="V263" i="8" s="1"/>
  <c r="U263" i="8" a="1"/>
  <c r="U263" i="8" s="1"/>
  <c r="T263" i="8" a="1"/>
  <c r="T263" i="8" s="1"/>
  <c r="S263" i="8" a="1"/>
  <c r="S263" i="8" s="1"/>
  <c r="R263" i="8" a="1"/>
  <c r="R263" i="8" s="1"/>
  <c r="Q263" i="8" a="1"/>
  <c r="Q263" i="8" s="1"/>
  <c r="P263" i="8" a="1"/>
  <c r="P263" i="8" s="1"/>
  <c r="O263" i="8" a="1"/>
  <c r="O263" i="8" s="1"/>
  <c r="N263" i="8" a="1"/>
  <c r="N263" i="8" s="1"/>
  <c r="M263" i="8" a="1"/>
  <c r="M263" i="8" s="1"/>
  <c r="L263" i="8" a="1"/>
  <c r="L263" i="8" s="1"/>
  <c r="K263" i="8" a="1"/>
  <c r="K263" i="8" s="1"/>
  <c r="J263" i="8" a="1"/>
  <c r="J263" i="8" s="1"/>
  <c r="I263" i="8" a="1"/>
  <c r="I263" i="8" s="1"/>
  <c r="H263" i="8" a="1"/>
  <c r="H263" i="8" s="1"/>
  <c r="G263" i="8" a="1"/>
  <c r="G263" i="8" s="1"/>
  <c r="F263" i="8" a="1"/>
  <c r="F263" i="8" s="1"/>
  <c r="E263" i="8" a="1"/>
  <c r="E263" i="8" s="1"/>
  <c r="AB262" i="8" a="1"/>
  <c r="AB262" i="8" s="1"/>
  <c r="AA262" i="8" a="1"/>
  <c r="AA262" i="8" s="1"/>
  <c r="Z262" i="8" a="1"/>
  <c r="Z262" i="8" s="1"/>
  <c r="Y262" i="8" a="1"/>
  <c r="Y262" i="8" s="1"/>
  <c r="X262" i="8" a="1"/>
  <c r="X262" i="8" s="1"/>
  <c r="W262" i="8" a="1"/>
  <c r="W262" i="8" s="1"/>
  <c r="V262" i="8" a="1"/>
  <c r="V262" i="8" s="1"/>
  <c r="U262" i="8" a="1"/>
  <c r="U262" i="8" s="1"/>
  <c r="T262" i="8" a="1"/>
  <c r="T262" i="8" s="1"/>
  <c r="S262" i="8" a="1"/>
  <c r="S262" i="8" s="1"/>
  <c r="R262" i="8" a="1"/>
  <c r="R262" i="8" s="1"/>
  <c r="Q262" i="8" a="1"/>
  <c r="Q262" i="8" s="1"/>
  <c r="P262" i="8" a="1"/>
  <c r="P262" i="8" s="1"/>
  <c r="O262" i="8" a="1"/>
  <c r="O262" i="8" s="1"/>
  <c r="N262" i="8" a="1"/>
  <c r="N262" i="8" s="1"/>
  <c r="M262" i="8" a="1"/>
  <c r="M262" i="8" s="1"/>
  <c r="L262" i="8" a="1"/>
  <c r="L262" i="8" s="1"/>
  <c r="K262" i="8" a="1"/>
  <c r="K262" i="8" s="1"/>
  <c r="J262" i="8" a="1"/>
  <c r="J262" i="8" s="1"/>
  <c r="I262" i="8" a="1"/>
  <c r="I262" i="8" s="1"/>
  <c r="H262" i="8" a="1"/>
  <c r="H262" i="8" s="1"/>
  <c r="G262" i="8" a="1"/>
  <c r="G262" i="8" s="1"/>
  <c r="F262" i="8" a="1"/>
  <c r="F262" i="8" s="1"/>
  <c r="E262" i="8" a="1"/>
  <c r="E262" i="8" s="1"/>
  <c r="AB261" i="8" a="1"/>
  <c r="AB261" i="8" s="1"/>
  <c r="AA261" i="8" a="1"/>
  <c r="AA261" i="8" s="1"/>
  <c r="Z261" i="8" a="1"/>
  <c r="Z261" i="8" s="1"/>
  <c r="Y261" i="8" a="1"/>
  <c r="Y261" i="8" s="1"/>
  <c r="X261" i="8" a="1"/>
  <c r="X261" i="8" s="1"/>
  <c r="W261" i="8" a="1"/>
  <c r="W261" i="8" s="1"/>
  <c r="V261" i="8" a="1"/>
  <c r="V261" i="8" s="1"/>
  <c r="U261" i="8" a="1"/>
  <c r="U261" i="8" s="1"/>
  <c r="T261" i="8" a="1"/>
  <c r="T261" i="8" s="1"/>
  <c r="S261" i="8" a="1"/>
  <c r="S261" i="8" s="1"/>
  <c r="R261" i="8" a="1"/>
  <c r="R261" i="8" s="1"/>
  <c r="Q261" i="8" a="1"/>
  <c r="Q261" i="8" s="1"/>
  <c r="P261" i="8" a="1"/>
  <c r="P261" i="8" s="1"/>
  <c r="O261" i="8" a="1"/>
  <c r="O261" i="8" s="1"/>
  <c r="N261" i="8" a="1"/>
  <c r="N261" i="8" s="1"/>
  <c r="M261" i="8" a="1"/>
  <c r="M261" i="8" s="1"/>
  <c r="L261" i="8" a="1"/>
  <c r="L261" i="8" s="1"/>
  <c r="K261" i="8" a="1"/>
  <c r="K261" i="8" s="1"/>
  <c r="J261" i="8" a="1"/>
  <c r="J261" i="8" s="1"/>
  <c r="I261" i="8" a="1"/>
  <c r="I261" i="8" s="1"/>
  <c r="H261" i="8" a="1"/>
  <c r="H261" i="8" s="1"/>
  <c r="G261" i="8" a="1"/>
  <c r="G261" i="8" s="1"/>
  <c r="F261" i="8" a="1"/>
  <c r="F261" i="8" s="1"/>
  <c r="E261" i="8" a="1"/>
  <c r="E261" i="8" s="1"/>
  <c r="AB260" i="8" a="1"/>
  <c r="AB260" i="8" s="1"/>
  <c r="AA260" i="8" a="1"/>
  <c r="AA260" i="8" s="1"/>
  <c r="Z260" i="8" a="1"/>
  <c r="Z260" i="8" s="1"/>
  <c r="Y260" i="8" a="1"/>
  <c r="Y260" i="8" s="1"/>
  <c r="X260" i="8" a="1"/>
  <c r="X260" i="8" s="1"/>
  <c r="W260" i="8" a="1"/>
  <c r="W260" i="8" s="1"/>
  <c r="V260" i="8" a="1"/>
  <c r="V260" i="8" s="1"/>
  <c r="U260" i="8" a="1"/>
  <c r="U260" i="8" s="1"/>
  <c r="T260" i="8" a="1"/>
  <c r="T260" i="8" s="1"/>
  <c r="S260" i="8" a="1"/>
  <c r="S260" i="8" s="1"/>
  <c r="R260" i="8" a="1"/>
  <c r="R260" i="8" s="1"/>
  <c r="Q260" i="8" a="1"/>
  <c r="Q260" i="8" s="1"/>
  <c r="P260" i="8" a="1"/>
  <c r="P260" i="8" s="1"/>
  <c r="O260" i="8" a="1"/>
  <c r="O260" i="8" s="1"/>
  <c r="N260" i="8" a="1"/>
  <c r="N260" i="8" s="1"/>
  <c r="M260" i="8" a="1"/>
  <c r="M260" i="8" s="1"/>
  <c r="L260" i="8" a="1"/>
  <c r="L260" i="8" s="1"/>
  <c r="K260" i="8" a="1"/>
  <c r="K260" i="8" s="1"/>
  <c r="J260" i="8" a="1"/>
  <c r="J260" i="8" s="1"/>
  <c r="I260" i="8" a="1"/>
  <c r="I260" i="8" s="1"/>
  <c r="H260" i="8" a="1"/>
  <c r="H260" i="8" s="1"/>
  <c r="G260" i="8" a="1"/>
  <c r="G260" i="8" s="1"/>
  <c r="F260" i="8" a="1"/>
  <c r="F260" i="8" s="1"/>
  <c r="E260" i="8" a="1"/>
  <c r="E260" i="8" s="1"/>
  <c r="AB259" i="8" a="1"/>
  <c r="AB259" i="8" s="1"/>
  <c r="AA259" i="8" a="1"/>
  <c r="AA259" i="8" s="1"/>
  <c r="Z259" i="8" a="1"/>
  <c r="Z259" i="8" s="1"/>
  <c r="Y259" i="8" a="1"/>
  <c r="Y259" i="8" s="1"/>
  <c r="X259" i="8" a="1"/>
  <c r="X259" i="8" s="1"/>
  <c r="W259" i="8" a="1"/>
  <c r="W259" i="8" s="1"/>
  <c r="V259" i="8" a="1"/>
  <c r="V259" i="8" s="1"/>
  <c r="U259" i="8" a="1"/>
  <c r="U259" i="8" s="1"/>
  <c r="T259" i="8" a="1"/>
  <c r="T259" i="8" s="1"/>
  <c r="S259" i="8" a="1"/>
  <c r="S259" i="8" s="1"/>
  <c r="R259" i="8" a="1"/>
  <c r="R259" i="8" s="1"/>
  <c r="Q259" i="8" a="1"/>
  <c r="Q259" i="8" s="1"/>
  <c r="P259" i="8" a="1"/>
  <c r="P259" i="8" s="1"/>
  <c r="O259" i="8" a="1"/>
  <c r="O259" i="8" s="1"/>
  <c r="N259" i="8" a="1"/>
  <c r="N259" i="8" s="1"/>
  <c r="M259" i="8" a="1"/>
  <c r="M259" i="8" s="1"/>
  <c r="L259" i="8" a="1"/>
  <c r="L259" i="8" s="1"/>
  <c r="K259" i="8" a="1"/>
  <c r="K259" i="8" s="1"/>
  <c r="J259" i="8" a="1"/>
  <c r="J259" i="8" s="1"/>
  <c r="I259" i="8" a="1"/>
  <c r="I259" i="8" s="1"/>
  <c r="H259" i="8" a="1"/>
  <c r="H259" i="8" s="1"/>
  <c r="G259" i="8" a="1"/>
  <c r="G259" i="8" s="1"/>
  <c r="F259" i="8" a="1"/>
  <c r="F259" i="8" s="1"/>
  <c r="E259" i="8" a="1"/>
  <c r="E259" i="8" s="1"/>
  <c r="AB258" i="8" a="1"/>
  <c r="AB258" i="8" s="1"/>
  <c r="AA258" i="8" a="1"/>
  <c r="AA258" i="8" s="1"/>
  <c r="Z258" i="8" a="1"/>
  <c r="Z258" i="8" s="1"/>
  <c r="Y258" i="8" a="1"/>
  <c r="Y258" i="8" s="1"/>
  <c r="X258" i="8" a="1"/>
  <c r="X258" i="8" s="1"/>
  <c r="W258" i="8" a="1"/>
  <c r="W258" i="8" s="1"/>
  <c r="V258" i="8" a="1"/>
  <c r="V258" i="8" s="1"/>
  <c r="U258" i="8" a="1"/>
  <c r="U258" i="8" s="1"/>
  <c r="T258" i="8" a="1"/>
  <c r="T258" i="8" s="1"/>
  <c r="S258" i="8" a="1"/>
  <c r="S258" i="8" s="1"/>
  <c r="R258" i="8" a="1"/>
  <c r="R258" i="8" s="1"/>
  <c r="Q258" i="8" a="1"/>
  <c r="Q258" i="8" s="1"/>
  <c r="P258" i="8" a="1"/>
  <c r="P258" i="8" s="1"/>
  <c r="O258" i="8" a="1"/>
  <c r="O258" i="8" s="1"/>
  <c r="N258" i="8" a="1"/>
  <c r="N258" i="8" s="1"/>
  <c r="M258" i="8" a="1"/>
  <c r="M258" i="8" s="1"/>
  <c r="L258" i="8" a="1"/>
  <c r="L258" i="8" s="1"/>
  <c r="K258" i="8" a="1"/>
  <c r="K258" i="8" s="1"/>
  <c r="J258" i="8" a="1"/>
  <c r="J258" i="8" s="1"/>
  <c r="I258" i="8" a="1"/>
  <c r="I258" i="8" s="1"/>
  <c r="H258" i="8" a="1"/>
  <c r="H258" i="8" s="1"/>
  <c r="G258" i="8" a="1"/>
  <c r="G258" i="8" s="1"/>
  <c r="F258" i="8" a="1"/>
  <c r="F258" i="8" s="1"/>
  <c r="E258" i="8" a="1"/>
  <c r="E258" i="8" s="1"/>
  <c r="AB257" i="8" a="1"/>
  <c r="AB257" i="8" s="1"/>
  <c r="AA257" i="8" a="1"/>
  <c r="AA257" i="8" s="1"/>
  <c r="Z257" i="8" a="1"/>
  <c r="Z257" i="8" s="1"/>
  <c r="Y257" i="8" a="1"/>
  <c r="Y257" i="8" s="1"/>
  <c r="X257" i="8" a="1"/>
  <c r="X257" i="8" s="1"/>
  <c r="W257" i="8" a="1"/>
  <c r="W257" i="8" s="1"/>
  <c r="V257" i="8" a="1"/>
  <c r="V257" i="8" s="1"/>
  <c r="U257" i="8" a="1"/>
  <c r="U257" i="8" s="1"/>
  <c r="T257" i="8" a="1"/>
  <c r="T257" i="8" s="1"/>
  <c r="S257" i="8" a="1"/>
  <c r="S257" i="8" s="1"/>
  <c r="R257" i="8" a="1"/>
  <c r="R257" i="8" s="1"/>
  <c r="Q257" i="8" a="1"/>
  <c r="Q257" i="8" s="1"/>
  <c r="P257" i="8" a="1"/>
  <c r="P257" i="8" s="1"/>
  <c r="O257" i="8" a="1"/>
  <c r="O257" i="8" s="1"/>
  <c r="N257" i="8" a="1"/>
  <c r="N257" i="8" s="1"/>
  <c r="M257" i="8" a="1"/>
  <c r="M257" i="8" s="1"/>
  <c r="L257" i="8" a="1"/>
  <c r="L257" i="8" s="1"/>
  <c r="K257" i="8" a="1"/>
  <c r="K257" i="8" s="1"/>
  <c r="J257" i="8" a="1"/>
  <c r="J257" i="8" s="1"/>
  <c r="I257" i="8" a="1"/>
  <c r="I257" i="8" s="1"/>
  <c r="H257" i="8" a="1"/>
  <c r="H257" i="8" s="1"/>
  <c r="G257" i="8" a="1"/>
  <c r="G257" i="8" s="1"/>
  <c r="F257" i="8" a="1"/>
  <c r="F257" i="8" s="1"/>
  <c r="E257" i="8" a="1"/>
  <c r="E257" i="8" s="1"/>
  <c r="AB256" i="8" a="1"/>
  <c r="AB256" i="8" s="1"/>
  <c r="AA256" i="8" a="1"/>
  <c r="AA256" i="8" s="1"/>
  <c r="Z256" i="8" a="1"/>
  <c r="Z256" i="8" s="1"/>
  <c r="Y256" i="8" a="1"/>
  <c r="Y256" i="8" s="1"/>
  <c r="X256" i="8" a="1"/>
  <c r="X256" i="8" s="1"/>
  <c r="W256" i="8" a="1"/>
  <c r="W256" i="8" s="1"/>
  <c r="V256" i="8" a="1"/>
  <c r="V256" i="8" s="1"/>
  <c r="U256" i="8" a="1"/>
  <c r="U256" i="8" s="1"/>
  <c r="T256" i="8" a="1"/>
  <c r="T256" i="8" s="1"/>
  <c r="S256" i="8" a="1"/>
  <c r="S256" i="8" s="1"/>
  <c r="R256" i="8" a="1"/>
  <c r="R256" i="8" s="1"/>
  <c r="Q256" i="8" a="1"/>
  <c r="Q256" i="8" s="1"/>
  <c r="P256" i="8" a="1"/>
  <c r="P256" i="8" s="1"/>
  <c r="O256" i="8" a="1"/>
  <c r="O256" i="8" s="1"/>
  <c r="N256" i="8" a="1"/>
  <c r="N256" i="8" s="1"/>
  <c r="M256" i="8" a="1"/>
  <c r="M256" i="8" s="1"/>
  <c r="L256" i="8" a="1"/>
  <c r="L256" i="8" s="1"/>
  <c r="K256" i="8" a="1"/>
  <c r="K256" i="8" s="1"/>
  <c r="J256" i="8" a="1"/>
  <c r="J256" i="8" s="1"/>
  <c r="I256" i="8" a="1"/>
  <c r="I256" i="8" s="1"/>
  <c r="H256" i="8" a="1"/>
  <c r="H256" i="8" s="1"/>
  <c r="G256" i="8" a="1"/>
  <c r="G256" i="8" s="1"/>
  <c r="F256" i="8" a="1"/>
  <c r="F256" i="8" s="1"/>
  <c r="E256" i="8" a="1"/>
  <c r="E256" i="8" s="1"/>
  <c r="AB255" i="8" a="1"/>
  <c r="AB255" i="8" s="1"/>
  <c r="AA255" i="8" a="1"/>
  <c r="AA255" i="8" s="1"/>
  <c r="Z255" i="8" a="1"/>
  <c r="Z255" i="8" s="1"/>
  <c r="Y255" i="8" a="1"/>
  <c r="Y255" i="8" s="1"/>
  <c r="X255" i="8" a="1"/>
  <c r="X255" i="8" s="1"/>
  <c r="W255" i="8" a="1"/>
  <c r="W255" i="8" s="1"/>
  <c r="V255" i="8" a="1"/>
  <c r="V255" i="8" s="1"/>
  <c r="U255" i="8" a="1"/>
  <c r="U255" i="8" s="1"/>
  <c r="T255" i="8" a="1"/>
  <c r="T255" i="8" s="1"/>
  <c r="S255" i="8" a="1"/>
  <c r="S255" i="8" s="1"/>
  <c r="R255" i="8" a="1"/>
  <c r="R255" i="8" s="1"/>
  <c r="Q255" i="8" a="1"/>
  <c r="Q255" i="8" s="1"/>
  <c r="P255" i="8" a="1"/>
  <c r="P255" i="8" s="1"/>
  <c r="O255" i="8" a="1"/>
  <c r="O255" i="8" s="1"/>
  <c r="N255" i="8" a="1"/>
  <c r="N255" i="8" s="1"/>
  <c r="M255" i="8" a="1"/>
  <c r="M255" i="8" s="1"/>
  <c r="L255" i="8" a="1"/>
  <c r="L255" i="8" s="1"/>
  <c r="K255" i="8" a="1"/>
  <c r="K255" i="8" s="1"/>
  <c r="J255" i="8" a="1"/>
  <c r="J255" i="8" s="1"/>
  <c r="I255" i="8" a="1"/>
  <c r="I255" i="8" s="1"/>
  <c r="H255" i="8" a="1"/>
  <c r="H255" i="8" s="1"/>
  <c r="G255" i="8" a="1"/>
  <c r="G255" i="8" s="1"/>
  <c r="F255" i="8" a="1"/>
  <c r="F255" i="8" s="1"/>
  <c r="E255" i="8" a="1"/>
  <c r="E255" i="8" s="1"/>
  <c r="AB254" i="8" a="1"/>
  <c r="AB254" i="8" s="1"/>
  <c r="AA254" i="8" a="1"/>
  <c r="AA254" i="8" s="1"/>
  <c r="Z254" i="8" a="1"/>
  <c r="Z254" i="8" s="1"/>
  <c r="Y254" i="8" a="1"/>
  <c r="Y254" i="8" s="1"/>
  <c r="X254" i="8" a="1"/>
  <c r="X254" i="8" s="1"/>
  <c r="W254" i="8" a="1"/>
  <c r="W254" i="8" s="1"/>
  <c r="V254" i="8" a="1"/>
  <c r="V254" i="8" s="1"/>
  <c r="U254" i="8" a="1"/>
  <c r="U254" i="8" s="1"/>
  <c r="T254" i="8" a="1"/>
  <c r="T254" i="8" s="1"/>
  <c r="S254" i="8" a="1"/>
  <c r="S254" i="8" s="1"/>
  <c r="R254" i="8" a="1"/>
  <c r="R254" i="8" s="1"/>
  <c r="Q254" i="8" a="1"/>
  <c r="Q254" i="8" s="1"/>
  <c r="P254" i="8" a="1"/>
  <c r="P254" i="8" s="1"/>
  <c r="O254" i="8" a="1"/>
  <c r="O254" i="8" s="1"/>
  <c r="N254" i="8" a="1"/>
  <c r="N254" i="8" s="1"/>
  <c r="M254" i="8" a="1"/>
  <c r="M254" i="8" s="1"/>
  <c r="L254" i="8" a="1"/>
  <c r="L254" i="8" s="1"/>
  <c r="K254" i="8" a="1"/>
  <c r="K254" i="8" s="1"/>
  <c r="J254" i="8" a="1"/>
  <c r="J254" i="8" s="1"/>
  <c r="I254" i="8" a="1"/>
  <c r="I254" i="8" s="1"/>
  <c r="H254" i="8" a="1"/>
  <c r="H254" i="8" s="1"/>
  <c r="G254" i="8" a="1"/>
  <c r="G254" i="8" s="1"/>
  <c r="F254" i="8" a="1"/>
  <c r="F254" i="8" s="1"/>
  <c r="E254" i="8" a="1"/>
  <c r="E254" i="8" s="1"/>
  <c r="AB253" i="8" a="1"/>
  <c r="AB253" i="8" s="1"/>
  <c r="AA253" i="8" a="1"/>
  <c r="AA253" i="8" s="1"/>
  <c r="Z253" i="8" a="1"/>
  <c r="Z253" i="8" s="1"/>
  <c r="Y253" i="8" a="1"/>
  <c r="Y253" i="8" s="1"/>
  <c r="X253" i="8" a="1"/>
  <c r="X253" i="8" s="1"/>
  <c r="W253" i="8" a="1"/>
  <c r="W253" i="8" s="1"/>
  <c r="V253" i="8" a="1"/>
  <c r="V253" i="8" s="1"/>
  <c r="U253" i="8" a="1"/>
  <c r="U253" i="8" s="1"/>
  <c r="T253" i="8" a="1"/>
  <c r="T253" i="8" s="1"/>
  <c r="S253" i="8" a="1"/>
  <c r="S253" i="8" s="1"/>
  <c r="R253" i="8" a="1"/>
  <c r="R253" i="8" s="1"/>
  <c r="Q253" i="8" a="1"/>
  <c r="Q253" i="8" s="1"/>
  <c r="P253" i="8" a="1"/>
  <c r="P253" i="8" s="1"/>
  <c r="O253" i="8" a="1"/>
  <c r="O253" i="8" s="1"/>
  <c r="N253" i="8" a="1"/>
  <c r="N253" i="8" s="1"/>
  <c r="M253" i="8" a="1"/>
  <c r="M253" i="8" s="1"/>
  <c r="L253" i="8" a="1"/>
  <c r="L253" i="8" s="1"/>
  <c r="K253" i="8" a="1"/>
  <c r="K253" i="8" s="1"/>
  <c r="J253" i="8" a="1"/>
  <c r="J253" i="8" s="1"/>
  <c r="I253" i="8" a="1"/>
  <c r="I253" i="8" s="1"/>
  <c r="H253" i="8" a="1"/>
  <c r="H253" i="8" s="1"/>
  <c r="G253" i="8" a="1"/>
  <c r="G253" i="8" s="1"/>
  <c r="F253" i="8" a="1"/>
  <c r="F253" i="8" s="1"/>
  <c r="E253" i="8" a="1"/>
  <c r="E253" i="8" s="1"/>
  <c r="AB252" i="8" a="1"/>
  <c r="AB252" i="8" s="1"/>
  <c r="AA252" i="8" a="1"/>
  <c r="AA252" i="8" s="1"/>
  <c r="Z252" i="8" a="1"/>
  <c r="Z252" i="8" s="1"/>
  <c r="Y252" i="8" a="1"/>
  <c r="Y252" i="8" s="1"/>
  <c r="X252" i="8" a="1"/>
  <c r="X252" i="8" s="1"/>
  <c r="W252" i="8" a="1"/>
  <c r="W252" i="8" s="1"/>
  <c r="V252" i="8" a="1"/>
  <c r="V252" i="8" s="1"/>
  <c r="U252" i="8" a="1"/>
  <c r="U252" i="8" s="1"/>
  <c r="T252" i="8" a="1"/>
  <c r="T252" i="8" s="1"/>
  <c r="S252" i="8" a="1"/>
  <c r="S252" i="8" s="1"/>
  <c r="R252" i="8" a="1"/>
  <c r="R252" i="8" s="1"/>
  <c r="Q252" i="8" a="1"/>
  <c r="Q252" i="8" s="1"/>
  <c r="P252" i="8" a="1"/>
  <c r="P252" i="8" s="1"/>
  <c r="O252" i="8" a="1"/>
  <c r="O252" i="8" s="1"/>
  <c r="N252" i="8" a="1"/>
  <c r="N252" i="8" s="1"/>
  <c r="M252" i="8" a="1"/>
  <c r="M252" i="8" s="1"/>
  <c r="L252" i="8" a="1"/>
  <c r="L252" i="8" s="1"/>
  <c r="K252" i="8" a="1"/>
  <c r="K252" i="8" s="1"/>
  <c r="J252" i="8" a="1"/>
  <c r="J252" i="8" s="1"/>
  <c r="I252" i="8" a="1"/>
  <c r="I252" i="8" s="1"/>
  <c r="H252" i="8" a="1"/>
  <c r="H252" i="8" s="1"/>
  <c r="G252" i="8" a="1"/>
  <c r="G252" i="8" s="1"/>
  <c r="F252" i="8" a="1"/>
  <c r="F252" i="8" s="1"/>
  <c r="E252" i="8" a="1"/>
  <c r="E252" i="8" s="1"/>
  <c r="AB251" i="8" a="1"/>
  <c r="AB251" i="8" s="1"/>
  <c r="AA251" i="8" a="1"/>
  <c r="AA251" i="8" s="1"/>
  <c r="Z251" i="8" a="1"/>
  <c r="Z251" i="8" s="1"/>
  <c r="Y251" i="8" a="1"/>
  <c r="Y251" i="8" s="1"/>
  <c r="X251" i="8" a="1"/>
  <c r="X251" i="8" s="1"/>
  <c r="W251" i="8" a="1"/>
  <c r="W251" i="8" s="1"/>
  <c r="V251" i="8" a="1"/>
  <c r="V251" i="8" s="1"/>
  <c r="U251" i="8" a="1"/>
  <c r="U251" i="8" s="1"/>
  <c r="T251" i="8" a="1"/>
  <c r="T251" i="8" s="1"/>
  <c r="S251" i="8" a="1"/>
  <c r="S251" i="8" s="1"/>
  <c r="R251" i="8" a="1"/>
  <c r="R251" i="8" s="1"/>
  <c r="Q251" i="8" a="1"/>
  <c r="Q251" i="8" s="1"/>
  <c r="P251" i="8" a="1"/>
  <c r="P251" i="8" s="1"/>
  <c r="O251" i="8" a="1"/>
  <c r="O251" i="8" s="1"/>
  <c r="N251" i="8" a="1"/>
  <c r="N251" i="8" s="1"/>
  <c r="M251" i="8" a="1"/>
  <c r="M251" i="8" s="1"/>
  <c r="L251" i="8" a="1"/>
  <c r="L251" i="8" s="1"/>
  <c r="K251" i="8" a="1"/>
  <c r="K251" i="8" s="1"/>
  <c r="J251" i="8" a="1"/>
  <c r="J251" i="8" s="1"/>
  <c r="I251" i="8" a="1"/>
  <c r="I251" i="8" s="1"/>
  <c r="H251" i="8" a="1"/>
  <c r="H251" i="8" s="1"/>
  <c r="G251" i="8" a="1"/>
  <c r="G251" i="8" s="1"/>
  <c r="F251" i="8" a="1"/>
  <c r="F251" i="8" s="1"/>
  <c r="E251" i="8" a="1"/>
  <c r="E251" i="8" s="1"/>
  <c r="AB250" i="8" a="1"/>
  <c r="AB250" i="8" s="1"/>
  <c r="AA250" i="8" a="1"/>
  <c r="AA250" i="8" s="1"/>
  <c r="Z250" i="8" a="1"/>
  <c r="Z250" i="8" s="1"/>
  <c r="Y250" i="8" a="1"/>
  <c r="Y250" i="8" s="1"/>
  <c r="X250" i="8" a="1"/>
  <c r="X250" i="8" s="1"/>
  <c r="W250" i="8" a="1"/>
  <c r="W250" i="8" s="1"/>
  <c r="V250" i="8" a="1"/>
  <c r="V250" i="8" s="1"/>
  <c r="U250" i="8" a="1"/>
  <c r="U250" i="8" s="1"/>
  <c r="T250" i="8" a="1"/>
  <c r="T250" i="8" s="1"/>
  <c r="S250" i="8" a="1"/>
  <c r="S250" i="8" s="1"/>
  <c r="R250" i="8" a="1"/>
  <c r="R250" i="8" s="1"/>
  <c r="Q250" i="8" a="1"/>
  <c r="Q250" i="8" s="1"/>
  <c r="P250" i="8" a="1"/>
  <c r="P250" i="8" s="1"/>
  <c r="O250" i="8" a="1"/>
  <c r="O250" i="8" s="1"/>
  <c r="N250" i="8" a="1"/>
  <c r="N250" i="8" s="1"/>
  <c r="M250" i="8" a="1"/>
  <c r="M250" i="8" s="1"/>
  <c r="L250" i="8" a="1"/>
  <c r="L250" i="8" s="1"/>
  <c r="K250" i="8" a="1"/>
  <c r="K250" i="8" s="1"/>
  <c r="J250" i="8" a="1"/>
  <c r="J250" i="8" s="1"/>
  <c r="I250" i="8" a="1"/>
  <c r="I250" i="8" s="1"/>
  <c r="H250" i="8" a="1"/>
  <c r="H250" i="8" s="1"/>
  <c r="G250" i="8" a="1"/>
  <c r="G250" i="8" s="1"/>
  <c r="F250" i="8" a="1"/>
  <c r="F250" i="8" s="1"/>
  <c r="E250" i="8" a="1"/>
  <c r="E250" i="8" s="1"/>
  <c r="AB249" i="8" a="1"/>
  <c r="AB249" i="8" s="1"/>
  <c r="AA249" i="8" a="1"/>
  <c r="AA249" i="8" s="1"/>
  <c r="Z249" i="8" a="1"/>
  <c r="Z249" i="8" s="1"/>
  <c r="Y249" i="8" a="1"/>
  <c r="Y249" i="8" s="1"/>
  <c r="X249" i="8" a="1"/>
  <c r="X249" i="8" s="1"/>
  <c r="W249" i="8" a="1"/>
  <c r="W249" i="8" s="1"/>
  <c r="V249" i="8" a="1"/>
  <c r="V249" i="8" s="1"/>
  <c r="U249" i="8" a="1"/>
  <c r="U249" i="8" s="1"/>
  <c r="T249" i="8" a="1"/>
  <c r="T249" i="8" s="1"/>
  <c r="S249" i="8" a="1"/>
  <c r="S249" i="8" s="1"/>
  <c r="R249" i="8" a="1"/>
  <c r="R249" i="8" s="1"/>
  <c r="Q249" i="8" a="1"/>
  <c r="Q249" i="8" s="1"/>
  <c r="P249" i="8" a="1"/>
  <c r="P249" i="8" s="1"/>
  <c r="O249" i="8" a="1"/>
  <c r="O249" i="8" s="1"/>
  <c r="N249" i="8" a="1"/>
  <c r="N249" i="8" s="1"/>
  <c r="M249" i="8" a="1"/>
  <c r="M249" i="8" s="1"/>
  <c r="L249" i="8" a="1"/>
  <c r="L249" i="8" s="1"/>
  <c r="K249" i="8" a="1"/>
  <c r="K249" i="8" s="1"/>
  <c r="J249" i="8" a="1"/>
  <c r="J249" i="8" s="1"/>
  <c r="I249" i="8" a="1"/>
  <c r="I249" i="8" s="1"/>
  <c r="H249" i="8" a="1"/>
  <c r="H249" i="8" s="1"/>
  <c r="G249" i="8" a="1"/>
  <c r="G249" i="8" s="1"/>
  <c r="F249" i="8" a="1"/>
  <c r="F249" i="8" s="1"/>
  <c r="E249" i="8" a="1"/>
  <c r="E249" i="8" s="1"/>
  <c r="AB248" i="8" a="1"/>
  <c r="AB248" i="8" s="1"/>
  <c r="AA248" i="8" a="1"/>
  <c r="AA248" i="8" s="1"/>
  <c r="Z248" i="8" a="1"/>
  <c r="Z248" i="8" s="1"/>
  <c r="Y248" i="8" a="1"/>
  <c r="Y248" i="8" s="1"/>
  <c r="X248" i="8" a="1"/>
  <c r="X248" i="8" s="1"/>
  <c r="W248" i="8" a="1"/>
  <c r="W248" i="8" s="1"/>
  <c r="V248" i="8" a="1"/>
  <c r="V248" i="8" s="1"/>
  <c r="U248" i="8" a="1"/>
  <c r="U248" i="8" s="1"/>
  <c r="T248" i="8" a="1"/>
  <c r="T248" i="8" s="1"/>
  <c r="S248" i="8" a="1"/>
  <c r="S248" i="8" s="1"/>
  <c r="R248" i="8" a="1"/>
  <c r="R248" i="8" s="1"/>
  <c r="Q248" i="8" a="1"/>
  <c r="Q248" i="8" s="1"/>
  <c r="P248" i="8" a="1"/>
  <c r="P248" i="8" s="1"/>
  <c r="O248" i="8" a="1"/>
  <c r="O248" i="8" s="1"/>
  <c r="N248" i="8" a="1"/>
  <c r="N248" i="8" s="1"/>
  <c r="M248" i="8" a="1"/>
  <c r="M248" i="8" s="1"/>
  <c r="L248" i="8" a="1"/>
  <c r="L248" i="8" s="1"/>
  <c r="K248" i="8" a="1"/>
  <c r="K248" i="8" s="1"/>
  <c r="J248" i="8" a="1"/>
  <c r="J248" i="8" s="1"/>
  <c r="I248" i="8" a="1"/>
  <c r="I248" i="8" s="1"/>
  <c r="H248" i="8" a="1"/>
  <c r="H248" i="8" s="1"/>
  <c r="G248" i="8" a="1"/>
  <c r="G248" i="8" s="1"/>
  <c r="F248" i="8" a="1"/>
  <c r="F248" i="8" s="1"/>
  <c r="E248" i="8" a="1"/>
  <c r="E248" i="8" s="1"/>
  <c r="AB247" i="8" a="1"/>
  <c r="AB247" i="8" s="1"/>
  <c r="AA247" i="8" a="1"/>
  <c r="AA247" i="8" s="1"/>
  <c r="Z247" i="8" a="1"/>
  <c r="Z247" i="8" s="1"/>
  <c r="Y247" i="8" a="1"/>
  <c r="Y247" i="8" s="1"/>
  <c r="X247" i="8" a="1"/>
  <c r="X247" i="8" s="1"/>
  <c r="W247" i="8" a="1"/>
  <c r="W247" i="8" s="1"/>
  <c r="V247" i="8" a="1"/>
  <c r="V247" i="8" s="1"/>
  <c r="U247" i="8" a="1"/>
  <c r="U247" i="8" s="1"/>
  <c r="T247" i="8" a="1"/>
  <c r="T247" i="8" s="1"/>
  <c r="S247" i="8" a="1"/>
  <c r="S247" i="8" s="1"/>
  <c r="R247" i="8" a="1"/>
  <c r="R247" i="8" s="1"/>
  <c r="Q247" i="8" a="1"/>
  <c r="Q247" i="8" s="1"/>
  <c r="P247" i="8" a="1"/>
  <c r="P247" i="8" s="1"/>
  <c r="O247" i="8" a="1"/>
  <c r="O247" i="8" s="1"/>
  <c r="N247" i="8" a="1"/>
  <c r="N247" i="8" s="1"/>
  <c r="M247" i="8" a="1"/>
  <c r="M247" i="8" s="1"/>
  <c r="L247" i="8" a="1"/>
  <c r="L247" i="8" s="1"/>
  <c r="K247" i="8" a="1"/>
  <c r="K247" i="8" s="1"/>
  <c r="J247" i="8" a="1"/>
  <c r="J247" i="8" s="1"/>
  <c r="I247" i="8" a="1"/>
  <c r="I247" i="8" s="1"/>
  <c r="H247" i="8" a="1"/>
  <c r="H247" i="8" s="1"/>
  <c r="G247" i="8" a="1"/>
  <c r="G247" i="8" s="1"/>
  <c r="F247" i="8" a="1"/>
  <c r="F247" i="8" s="1"/>
  <c r="E247" i="8" a="1"/>
  <c r="E247" i="8" s="1"/>
  <c r="AB246" i="8" a="1"/>
  <c r="AB246" i="8" s="1"/>
  <c r="AA246" i="8" a="1"/>
  <c r="AA246" i="8" s="1"/>
  <c r="Z246" i="8" a="1"/>
  <c r="Z246" i="8" s="1"/>
  <c r="Y246" i="8" a="1"/>
  <c r="Y246" i="8" s="1"/>
  <c r="X246" i="8" a="1"/>
  <c r="X246" i="8" s="1"/>
  <c r="W246" i="8" a="1"/>
  <c r="W246" i="8" s="1"/>
  <c r="V246" i="8" a="1"/>
  <c r="V246" i="8" s="1"/>
  <c r="U246" i="8" a="1"/>
  <c r="U246" i="8" s="1"/>
  <c r="T246" i="8" a="1"/>
  <c r="T246" i="8" s="1"/>
  <c r="S246" i="8" a="1"/>
  <c r="S246" i="8" s="1"/>
  <c r="R246" i="8" a="1"/>
  <c r="R246" i="8" s="1"/>
  <c r="Q246" i="8" a="1"/>
  <c r="Q246" i="8" s="1"/>
  <c r="P246" i="8" a="1"/>
  <c r="P246" i="8" s="1"/>
  <c r="O246" i="8" a="1"/>
  <c r="O246" i="8" s="1"/>
  <c r="N246" i="8" a="1"/>
  <c r="N246" i="8" s="1"/>
  <c r="M246" i="8" a="1"/>
  <c r="M246" i="8" s="1"/>
  <c r="L246" i="8" a="1"/>
  <c r="L246" i="8" s="1"/>
  <c r="K246" i="8" a="1"/>
  <c r="K246" i="8" s="1"/>
  <c r="J246" i="8" a="1"/>
  <c r="J246" i="8" s="1"/>
  <c r="I246" i="8" a="1"/>
  <c r="I246" i="8" s="1"/>
  <c r="H246" i="8" a="1"/>
  <c r="H246" i="8" s="1"/>
  <c r="G246" i="8" a="1"/>
  <c r="G246" i="8" s="1"/>
  <c r="F246" i="8" a="1"/>
  <c r="F246" i="8" s="1"/>
  <c r="E246" i="8" a="1"/>
  <c r="E246" i="8" s="1"/>
  <c r="AB245" i="8" a="1"/>
  <c r="AB245" i="8" s="1"/>
  <c r="AA245" i="8" a="1"/>
  <c r="AA245" i="8" s="1"/>
  <c r="Z245" i="8" a="1"/>
  <c r="Z245" i="8" s="1"/>
  <c r="Y245" i="8" a="1"/>
  <c r="Y245" i="8" s="1"/>
  <c r="X245" i="8" a="1"/>
  <c r="X245" i="8" s="1"/>
  <c r="W245" i="8" a="1"/>
  <c r="W245" i="8" s="1"/>
  <c r="V245" i="8" a="1"/>
  <c r="V245" i="8" s="1"/>
  <c r="U245" i="8" a="1"/>
  <c r="U245" i="8" s="1"/>
  <c r="T245" i="8" a="1"/>
  <c r="T245" i="8" s="1"/>
  <c r="S245" i="8" a="1"/>
  <c r="S245" i="8" s="1"/>
  <c r="R245" i="8" a="1"/>
  <c r="R245" i="8" s="1"/>
  <c r="Q245" i="8" a="1"/>
  <c r="Q245" i="8" s="1"/>
  <c r="P245" i="8" a="1"/>
  <c r="P245" i="8" s="1"/>
  <c r="O245" i="8" a="1"/>
  <c r="O245" i="8" s="1"/>
  <c r="N245" i="8" a="1"/>
  <c r="N245" i="8" s="1"/>
  <c r="M245" i="8" a="1"/>
  <c r="M245" i="8" s="1"/>
  <c r="L245" i="8" a="1"/>
  <c r="L245" i="8" s="1"/>
  <c r="K245" i="8" a="1"/>
  <c r="K245" i="8" s="1"/>
  <c r="J245" i="8" a="1"/>
  <c r="J245" i="8" s="1"/>
  <c r="I245" i="8" a="1"/>
  <c r="I245" i="8" s="1"/>
  <c r="H245" i="8" a="1"/>
  <c r="H245" i="8" s="1"/>
  <c r="G245" i="8" a="1"/>
  <c r="G245" i="8" s="1"/>
  <c r="F245" i="8" a="1"/>
  <c r="F245" i="8" s="1"/>
  <c r="E245" i="8" a="1"/>
  <c r="E245" i="8" s="1"/>
  <c r="AB244" i="8" a="1"/>
  <c r="AB244" i="8" s="1"/>
  <c r="AA244" i="8" a="1"/>
  <c r="AA244" i="8" s="1"/>
  <c r="Z244" i="8" a="1"/>
  <c r="Z244" i="8" s="1"/>
  <c r="Y244" i="8" a="1"/>
  <c r="Y244" i="8" s="1"/>
  <c r="X244" i="8" a="1"/>
  <c r="X244" i="8" s="1"/>
  <c r="W244" i="8" a="1"/>
  <c r="W244" i="8" s="1"/>
  <c r="V244" i="8" a="1"/>
  <c r="V244" i="8" s="1"/>
  <c r="U244" i="8" a="1"/>
  <c r="U244" i="8" s="1"/>
  <c r="T244" i="8" a="1"/>
  <c r="T244" i="8" s="1"/>
  <c r="S244" i="8" a="1"/>
  <c r="S244" i="8" s="1"/>
  <c r="R244" i="8" a="1"/>
  <c r="R244" i="8" s="1"/>
  <c r="Q244" i="8" a="1"/>
  <c r="Q244" i="8" s="1"/>
  <c r="P244" i="8" a="1"/>
  <c r="P244" i="8" s="1"/>
  <c r="O244" i="8" a="1"/>
  <c r="O244" i="8" s="1"/>
  <c r="N244" i="8" a="1"/>
  <c r="N244" i="8" s="1"/>
  <c r="M244" i="8" a="1"/>
  <c r="M244" i="8" s="1"/>
  <c r="L244" i="8" a="1"/>
  <c r="L244" i="8" s="1"/>
  <c r="K244" i="8" a="1"/>
  <c r="K244" i="8" s="1"/>
  <c r="J244" i="8" a="1"/>
  <c r="J244" i="8" s="1"/>
  <c r="I244" i="8" a="1"/>
  <c r="I244" i="8" s="1"/>
  <c r="H244" i="8" a="1"/>
  <c r="H244" i="8" s="1"/>
  <c r="G244" i="8" a="1"/>
  <c r="G244" i="8" s="1"/>
  <c r="F244" i="8" a="1"/>
  <c r="F244" i="8" s="1"/>
  <c r="E244" i="8" a="1"/>
  <c r="E244" i="8" s="1"/>
  <c r="AB243" i="8" a="1"/>
  <c r="AB243" i="8" s="1"/>
  <c r="AA243" i="8" a="1"/>
  <c r="AA243" i="8" s="1"/>
  <c r="Z243" i="8" a="1"/>
  <c r="Z243" i="8" s="1"/>
  <c r="Y243" i="8" a="1"/>
  <c r="Y243" i="8" s="1"/>
  <c r="X243" i="8" a="1"/>
  <c r="X243" i="8" s="1"/>
  <c r="W243" i="8" a="1"/>
  <c r="W243" i="8" s="1"/>
  <c r="V243" i="8" a="1"/>
  <c r="V243" i="8" s="1"/>
  <c r="U243" i="8" a="1"/>
  <c r="U243" i="8" s="1"/>
  <c r="T243" i="8" a="1"/>
  <c r="T243" i="8" s="1"/>
  <c r="S243" i="8" a="1"/>
  <c r="S243" i="8" s="1"/>
  <c r="R243" i="8" a="1"/>
  <c r="R243" i="8" s="1"/>
  <c r="Q243" i="8" a="1"/>
  <c r="Q243" i="8" s="1"/>
  <c r="P243" i="8" a="1"/>
  <c r="P243" i="8" s="1"/>
  <c r="O243" i="8" a="1"/>
  <c r="O243" i="8" s="1"/>
  <c r="N243" i="8" a="1"/>
  <c r="N243" i="8" s="1"/>
  <c r="M243" i="8" a="1"/>
  <c r="M243" i="8" s="1"/>
  <c r="L243" i="8" a="1"/>
  <c r="L243" i="8" s="1"/>
  <c r="K243" i="8" a="1"/>
  <c r="K243" i="8" s="1"/>
  <c r="J243" i="8" a="1"/>
  <c r="J243" i="8" s="1"/>
  <c r="I243" i="8" a="1"/>
  <c r="I243" i="8" s="1"/>
  <c r="H243" i="8" a="1"/>
  <c r="H243" i="8" s="1"/>
  <c r="G243" i="8" a="1"/>
  <c r="G243" i="8" s="1"/>
  <c r="F243" i="8" a="1"/>
  <c r="F243" i="8" s="1"/>
  <c r="E243" i="8" a="1"/>
  <c r="E243" i="8" s="1"/>
  <c r="AB242" i="8" a="1"/>
  <c r="AB242" i="8" s="1"/>
  <c r="AA242" i="8" a="1"/>
  <c r="AA242" i="8" s="1"/>
  <c r="Z242" i="8" a="1"/>
  <c r="Z242" i="8" s="1"/>
  <c r="Y242" i="8" a="1"/>
  <c r="Y242" i="8" s="1"/>
  <c r="X242" i="8" a="1"/>
  <c r="X242" i="8" s="1"/>
  <c r="W242" i="8" a="1"/>
  <c r="W242" i="8" s="1"/>
  <c r="V242" i="8" a="1"/>
  <c r="V242" i="8" s="1"/>
  <c r="U242" i="8" a="1"/>
  <c r="U242" i="8" s="1"/>
  <c r="T242" i="8" a="1"/>
  <c r="T242" i="8" s="1"/>
  <c r="S242" i="8" a="1"/>
  <c r="S242" i="8" s="1"/>
  <c r="R242" i="8" a="1"/>
  <c r="R242" i="8" s="1"/>
  <c r="Q242" i="8" a="1"/>
  <c r="Q242" i="8" s="1"/>
  <c r="P242" i="8" a="1"/>
  <c r="P242" i="8" s="1"/>
  <c r="O242" i="8" a="1"/>
  <c r="O242" i="8" s="1"/>
  <c r="N242" i="8" a="1"/>
  <c r="N242" i="8" s="1"/>
  <c r="M242" i="8" a="1"/>
  <c r="M242" i="8" s="1"/>
  <c r="L242" i="8" a="1"/>
  <c r="L242" i="8" s="1"/>
  <c r="K242" i="8" a="1"/>
  <c r="K242" i="8" s="1"/>
  <c r="J242" i="8" a="1"/>
  <c r="J242" i="8" s="1"/>
  <c r="I242" i="8" a="1"/>
  <c r="I242" i="8" s="1"/>
  <c r="H242" i="8" a="1"/>
  <c r="H242" i="8" s="1"/>
  <c r="G242" i="8" a="1"/>
  <c r="G242" i="8" s="1"/>
  <c r="F242" i="8" a="1"/>
  <c r="F242" i="8" s="1"/>
  <c r="E242" i="8" a="1"/>
  <c r="E242" i="8" s="1"/>
  <c r="AB241" i="8" a="1"/>
  <c r="AB241" i="8" s="1"/>
  <c r="AA241" i="8" a="1"/>
  <c r="AA241" i="8" s="1"/>
  <c r="Z241" i="8" a="1"/>
  <c r="Z241" i="8" s="1"/>
  <c r="Y241" i="8" a="1"/>
  <c r="Y241" i="8" s="1"/>
  <c r="X241" i="8" a="1"/>
  <c r="X241" i="8" s="1"/>
  <c r="W241" i="8" a="1"/>
  <c r="W241" i="8" s="1"/>
  <c r="V241" i="8" a="1"/>
  <c r="V241" i="8" s="1"/>
  <c r="U241" i="8" a="1"/>
  <c r="U241" i="8" s="1"/>
  <c r="T241" i="8" a="1"/>
  <c r="T241" i="8" s="1"/>
  <c r="S241" i="8" a="1"/>
  <c r="S241" i="8" s="1"/>
  <c r="R241" i="8" a="1"/>
  <c r="R241" i="8" s="1"/>
  <c r="Q241" i="8" a="1"/>
  <c r="Q241" i="8" s="1"/>
  <c r="P241" i="8" a="1"/>
  <c r="P241" i="8" s="1"/>
  <c r="O241" i="8" a="1"/>
  <c r="O241" i="8" s="1"/>
  <c r="N241" i="8" a="1"/>
  <c r="N241" i="8" s="1"/>
  <c r="M241" i="8" a="1"/>
  <c r="M241" i="8" s="1"/>
  <c r="L241" i="8" a="1"/>
  <c r="L241" i="8" s="1"/>
  <c r="K241" i="8" a="1"/>
  <c r="K241" i="8" s="1"/>
  <c r="J241" i="8" a="1"/>
  <c r="J241" i="8" s="1"/>
  <c r="I241" i="8" a="1"/>
  <c r="I241" i="8" s="1"/>
  <c r="H241" i="8" a="1"/>
  <c r="H241" i="8" s="1"/>
  <c r="G241" i="8" a="1"/>
  <c r="G241" i="8" s="1"/>
  <c r="F241" i="8" a="1"/>
  <c r="F241" i="8" s="1"/>
  <c r="E241" i="8" a="1"/>
  <c r="E241" i="8" s="1"/>
  <c r="AB240" i="8" a="1"/>
  <c r="AB240" i="8" s="1"/>
  <c r="AA240" i="8" a="1"/>
  <c r="AA240" i="8" s="1"/>
  <c r="Z240" i="8" a="1"/>
  <c r="Z240" i="8" s="1"/>
  <c r="Y240" i="8" a="1"/>
  <c r="Y240" i="8" s="1"/>
  <c r="X240" i="8" a="1"/>
  <c r="X240" i="8" s="1"/>
  <c r="W240" i="8" a="1"/>
  <c r="W240" i="8" s="1"/>
  <c r="V240" i="8" a="1"/>
  <c r="V240" i="8" s="1"/>
  <c r="U240" i="8" a="1"/>
  <c r="U240" i="8" s="1"/>
  <c r="T240" i="8" a="1"/>
  <c r="T240" i="8" s="1"/>
  <c r="S240" i="8" a="1"/>
  <c r="S240" i="8" s="1"/>
  <c r="R240" i="8" a="1"/>
  <c r="R240" i="8" s="1"/>
  <c r="Q240" i="8" a="1"/>
  <c r="Q240" i="8" s="1"/>
  <c r="P240" i="8" a="1"/>
  <c r="P240" i="8" s="1"/>
  <c r="O240" i="8" a="1"/>
  <c r="O240" i="8" s="1"/>
  <c r="N240" i="8" a="1"/>
  <c r="N240" i="8" s="1"/>
  <c r="M240" i="8" a="1"/>
  <c r="M240" i="8" s="1"/>
  <c r="L240" i="8" a="1"/>
  <c r="L240" i="8" s="1"/>
  <c r="K240" i="8" a="1"/>
  <c r="K240" i="8" s="1"/>
  <c r="J240" i="8" a="1"/>
  <c r="J240" i="8" s="1"/>
  <c r="I240" i="8" a="1"/>
  <c r="I240" i="8" s="1"/>
  <c r="H240" i="8" a="1"/>
  <c r="H240" i="8" s="1"/>
  <c r="G240" i="8" a="1"/>
  <c r="G240" i="8" s="1"/>
  <c r="F240" i="8" a="1"/>
  <c r="F240" i="8" s="1"/>
  <c r="E240" i="8" a="1"/>
  <c r="E240" i="8" s="1"/>
  <c r="AB239" i="8" a="1"/>
  <c r="AB239" i="8" s="1"/>
  <c r="AA239" i="8" a="1"/>
  <c r="AA239" i="8" s="1"/>
  <c r="Z239" i="8" a="1"/>
  <c r="Z239" i="8" s="1"/>
  <c r="Y239" i="8" a="1"/>
  <c r="Y239" i="8" s="1"/>
  <c r="X239" i="8" a="1"/>
  <c r="X239" i="8" s="1"/>
  <c r="W239" i="8" a="1"/>
  <c r="W239" i="8" s="1"/>
  <c r="V239" i="8" a="1"/>
  <c r="V239" i="8" s="1"/>
  <c r="U239" i="8" a="1"/>
  <c r="U239" i="8" s="1"/>
  <c r="T239" i="8" a="1"/>
  <c r="T239" i="8" s="1"/>
  <c r="S239" i="8" a="1"/>
  <c r="S239" i="8" s="1"/>
  <c r="R239" i="8" a="1"/>
  <c r="R239" i="8" s="1"/>
  <c r="Q239" i="8" a="1"/>
  <c r="Q239" i="8" s="1"/>
  <c r="P239" i="8" a="1"/>
  <c r="P239" i="8" s="1"/>
  <c r="O239" i="8" a="1"/>
  <c r="O239" i="8" s="1"/>
  <c r="N239" i="8" a="1"/>
  <c r="N239" i="8" s="1"/>
  <c r="M239" i="8" a="1"/>
  <c r="M239" i="8" s="1"/>
  <c r="L239" i="8" a="1"/>
  <c r="L239" i="8" s="1"/>
  <c r="K239" i="8" a="1"/>
  <c r="K239" i="8" s="1"/>
  <c r="J239" i="8" a="1"/>
  <c r="J239" i="8" s="1"/>
  <c r="I239" i="8" a="1"/>
  <c r="I239" i="8" s="1"/>
  <c r="H239" i="8" a="1"/>
  <c r="H239" i="8" s="1"/>
  <c r="G239" i="8" a="1"/>
  <c r="G239" i="8" s="1"/>
  <c r="F239" i="8" a="1"/>
  <c r="F239" i="8" s="1"/>
  <c r="E239" i="8" a="1"/>
  <c r="E239" i="8" s="1"/>
  <c r="AB238" i="8" a="1"/>
  <c r="AB238" i="8" s="1"/>
  <c r="AA238" i="8" a="1"/>
  <c r="AA238" i="8" s="1"/>
  <c r="Z238" i="8" a="1"/>
  <c r="Z238" i="8" s="1"/>
  <c r="Y238" i="8" a="1"/>
  <c r="Y238" i="8" s="1"/>
  <c r="X238" i="8" a="1"/>
  <c r="X238" i="8" s="1"/>
  <c r="W238" i="8" a="1"/>
  <c r="W238" i="8" s="1"/>
  <c r="V238" i="8" a="1"/>
  <c r="V238" i="8" s="1"/>
  <c r="U238" i="8" a="1"/>
  <c r="U238" i="8" s="1"/>
  <c r="T238" i="8" a="1"/>
  <c r="T238" i="8" s="1"/>
  <c r="S238" i="8" a="1"/>
  <c r="S238" i="8" s="1"/>
  <c r="R238" i="8" a="1"/>
  <c r="R238" i="8" s="1"/>
  <c r="Q238" i="8" a="1"/>
  <c r="Q238" i="8" s="1"/>
  <c r="P238" i="8" a="1"/>
  <c r="P238" i="8" s="1"/>
  <c r="O238" i="8" a="1"/>
  <c r="O238" i="8" s="1"/>
  <c r="N238" i="8" a="1"/>
  <c r="N238" i="8" s="1"/>
  <c r="M238" i="8" a="1"/>
  <c r="M238" i="8" s="1"/>
  <c r="L238" i="8" a="1"/>
  <c r="L238" i="8" s="1"/>
  <c r="K238" i="8" a="1"/>
  <c r="K238" i="8" s="1"/>
  <c r="J238" i="8" a="1"/>
  <c r="J238" i="8" s="1"/>
  <c r="I238" i="8" a="1"/>
  <c r="I238" i="8" s="1"/>
  <c r="H238" i="8" a="1"/>
  <c r="H238" i="8" s="1"/>
  <c r="G238" i="8" a="1"/>
  <c r="G238" i="8" s="1"/>
  <c r="F238" i="8" a="1"/>
  <c r="F238" i="8" s="1"/>
  <c r="E238" i="8" a="1"/>
  <c r="E238" i="8" s="1"/>
  <c r="AB237" i="8" a="1"/>
  <c r="AB237" i="8" s="1"/>
  <c r="AA237" i="8" a="1"/>
  <c r="AA237" i="8" s="1"/>
  <c r="Z237" i="8" a="1"/>
  <c r="Z237" i="8" s="1"/>
  <c r="Y237" i="8" a="1"/>
  <c r="Y237" i="8" s="1"/>
  <c r="X237" i="8" a="1"/>
  <c r="X237" i="8" s="1"/>
  <c r="W237" i="8" a="1"/>
  <c r="W237" i="8" s="1"/>
  <c r="V237" i="8" a="1"/>
  <c r="V237" i="8" s="1"/>
  <c r="U237" i="8" a="1"/>
  <c r="U237" i="8" s="1"/>
  <c r="T237" i="8" a="1"/>
  <c r="T237" i="8" s="1"/>
  <c r="S237" i="8" a="1"/>
  <c r="S237" i="8" s="1"/>
  <c r="R237" i="8" a="1"/>
  <c r="R237" i="8" s="1"/>
  <c r="Q237" i="8" a="1"/>
  <c r="Q237" i="8" s="1"/>
  <c r="P237" i="8" a="1"/>
  <c r="P237" i="8" s="1"/>
  <c r="O237" i="8" a="1"/>
  <c r="O237" i="8" s="1"/>
  <c r="N237" i="8" a="1"/>
  <c r="N237" i="8" s="1"/>
  <c r="M237" i="8" a="1"/>
  <c r="M237" i="8" s="1"/>
  <c r="L237" i="8" a="1"/>
  <c r="L237" i="8" s="1"/>
  <c r="K237" i="8" a="1"/>
  <c r="K237" i="8" s="1"/>
  <c r="J237" i="8" a="1"/>
  <c r="J237" i="8" s="1"/>
  <c r="I237" i="8" a="1"/>
  <c r="I237" i="8" s="1"/>
  <c r="H237" i="8" a="1"/>
  <c r="H237" i="8" s="1"/>
  <c r="G237" i="8" a="1"/>
  <c r="G237" i="8" s="1"/>
  <c r="F237" i="8" a="1"/>
  <c r="F237" i="8" s="1"/>
  <c r="E237" i="8" a="1"/>
  <c r="E237" i="8" s="1"/>
  <c r="AB236" i="8" a="1"/>
  <c r="AB236" i="8" s="1"/>
  <c r="AA236" i="8" a="1"/>
  <c r="AA236" i="8" s="1"/>
  <c r="Z236" i="8" a="1"/>
  <c r="Z236" i="8" s="1"/>
  <c r="Y236" i="8" a="1"/>
  <c r="Y236" i="8" s="1"/>
  <c r="X236" i="8" a="1"/>
  <c r="X236" i="8" s="1"/>
  <c r="W236" i="8" a="1"/>
  <c r="W236" i="8" s="1"/>
  <c r="V236" i="8" a="1"/>
  <c r="V236" i="8" s="1"/>
  <c r="U236" i="8" a="1"/>
  <c r="U236" i="8" s="1"/>
  <c r="T236" i="8" a="1"/>
  <c r="T236" i="8" s="1"/>
  <c r="S236" i="8" a="1"/>
  <c r="S236" i="8" s="1"/>
  <c r="R236" i="8" a="1"/>
  <c r="R236" i="8" s="1"/>
  <c r="Q236" i="8" a="1"/>
  <c r="Q236" i="8" s="1"/>
  <c r="P236" i="8" a="1"/>
  <c r="P236" i="8" s="1"/>
  <c r="O236" i="8" a="1"/>
  <c r="O236" i="8" s="1"/>
  <c r="N236" i="8" a="1"/>
  <c r="N236" i="8" s="1"/>
  <c r="M236" i="8" a="1"/>
  <c r="M236" i="8" s="1"/>
  <c r="L236" i="8" a="1"/>
  <c r="L236" i="8" s="1"/>
  <c r="K236" i="8" a="1"/>
  <c r="K236" i="8" s="1"/>
  <c r="J236" i="8" a="1"/>
  <c r="J236" i="8" s="1"/>
  <c r="I236" i="8" a="1"/>
  <c r="I236" i="8" s="1"/>
  <c r="H236" i="8" a="1"/>
  <c r="H236" i="8" s="1"/>
  <c r="G236" i="8" a="1"/>
  <c r="G236" i="8" s="1"/>
  <c r="F236" i="8" a="1"/>
  <c r="F236" i="8" s="1"/>
  <c r="E236" i="8" a="1"/>
  <c r="E236" i="8" s="1"/>
  <c r="AB235" i="8" a="1"/>
  <c r="AB235" i="8" s="1"/>
  <c r="AA235" i="8" a="1"/>
  <c r="AA235" i="8" s="1"/>
  <c r="Z235" i="8" a="1"/>
  <c r="Z235" i="8" s="1"/>
  <c r="Y235" i="8" a="1"/>
  <c r="Y235" i="8" s="1"/>
  <c r="X235" i="8" a="1"/>
  <c r="X235" i="8" s="1"/>
  <c r="W235" i="8" a="1"/>
  <c r="W235" i="8" s="1"/>
  <c r="V235" i="8" a="1"/>
  <c r="V235" i="8" s="1"/>
  <c r="U235" i="8" a="1"/>
  <c r="U235" i="8" s="1"/>
  <c r="T235" i="8" a="1"/>
  <c r="T235" i="8" s="1"/>
  <c r="S235" i="8" a="1"/>
  <c r="S235" i="8" s="1"/>
  <c r="R235" i="8" a="1"/>
  <c r="R235" i="8" s="1"/>
  <c r="Q235" i="8" a="1"/>
  <c r="Q235" i="8" s="1"/>
  <c r="P235" i="8" a="1"/>
  <c r="P235" i="8" s="1"/>
  <c r="O235" i="8" a="1"/>
  <c r="O235" i="8" s="1"/>
  <c r="N235" i="8" a="1"/>
  <c r="N235" i="8" s="1"/>
  <c r="M235" i="8" a="1"/>
  <c r="M235" i="8" s="1"/>
  <c r="L235" i="8" a="1"/>
  <c r="L235" i="8" s="1"/>
  <c r="K235" i="8" a="1"/>
  <c r="K235" i="8" s="1"/>
  <c r="J235" i="8" a="1"/>
  <c r="J235" i="8" s="1"/>
  <c r="I235" i="8" a="1"/>
  <c r="I235" i="8" s="1"/>
  <c r="H235" i="8" a="1"/>
  <c r="H235" i="8" s="1"/>
  <c r="G235" i="8" a="1"/>
  <c r="G235" i="8" s="1"/>
  <c r="F235" i="8" a="1"/>
  <c r="F235" i="8" s="1"/>
  <c r="E235" i="8" a="1"/>
  <c r="E235" i="8" s="1"/>
  <c r="AB234" i="8" a="1"/>
  <c r="AB234" i="8" s="1"/>
  <c r="AA234" i="8" a="1"/>
  <c r="AA234" i="8" s="1"/>
  <c r="Z234" i="8" a="1"/>
  <c r="Z234" i="8" s="1"/>
  <c r="Y234" i="8" a="1"/>
  <c r="Y234" i="8" s="1"/>
  <c r="X234" i="8" a="1"/>
  <c r="X234" i="8" s="1"/>
  <c r="W234" i="8" a="1"/>
  <c r="W234" i="8" s="1"/>
  <c r="V234" i="8" a="1"/>
  <c r="V234" i="8" s="1"/>
  <c r="U234" i="8" a="1"/>
  <c r="U234" i="8" s="1"/>
  <c r="T234" i="8" a="1"/>
  <c r="T234" i="8" s="1"/>
  <c r="S234" i="8" a="1"/>
  <c r="S234" i="8" s="1"/>
  <c r="R234" i="8" a="1"/>
  <c r="R234" i="8" s="1"/>
  <c r="Q234" i="8" a="1"/>
  <c r="Q234" i="8" s="1"/>
  <c r="P234" i="8" a="1"/>
  <c r="P234" i="8" s="1"/>
  <c r="O234" i="8" a="1"/>
  <c r="O234" i="8" s="1"/>
  <c r="N234" i="8" a="1"/>
  <c r="N234" i="8" s="1"/>
  <c r="M234" i="8" a="1"/>
  <c r="M234" i="8" s="1"/>
  <c r="L234" i="8" a="1"/>
  <c r="L234" i="8" s="1"/>
  <c r="K234" i="8" a="1"/>
  <c r="K234" i="8" s="1"/>
  <c r="J234" i="8" a="1"/>
  <c r="J234" i="8" s="1"/>
  <c r="I234" i="8" a="1"/>
  <c r="I234" i="8" s="1"/>
  <c r="H234" i="8" a="1"/>
  <c r="H234" i="8" s="1"/>
  <c r="G234" i="8" a="1"/>
  <c r="G234" i="8" s="1"/>
  <c r="F234" i="8" a="1"/>
  <c r="F234" i="8" s="1"/>
  <c r="E234" i="8" a="1"/>
  <c r="E234" i="8" s="1"/>
  <c r="AB233" i="8" a="1"/>
  <c r="AB233" i="8" s="1"/>
  <c r="AA233" i="8" a="1"/>
  <c r="AA233" i="8" s="1"/>
  <c r="Z233" i="8" a="1"/>
  <c r="Z233" i="8" s="1"/>
  <c r="Y233" i="8" a="1"/>
  <c r="Y233" i="8" s="1"/>
  <c r="X233" i="8" a="1"/>
  <c r="X233" i="8" s="1"/>
  <c r="W233" i="8" a="1"/>
  <c r="W233" i="8" s="1"/>
  <c r="V233" i="8" a="1"/>
  <c r="V233" i="8" s="1"/>
  <c r="U233" i="8" a="1"/>
  <c r="U233" i="8" s="1"/>
  <c r="T233" i="8" a="1"/>
  <c r="T233" i="8" s="1"/>
  <c r="S233" i="8" a="1"/>
  <c r="S233" i="8" s="1"/>
  <c r="R233" i="8" a="1"/>
  <c r="R233" i="8" s="1"/>
  <c r="Q233" i="8" a="1"/>
  <c r="Q233" i="8" s="1"/>
  <c r="P233" i="8" a="1"/>
  <c r="P233" i="8" s="1"/>
  <c r="O233" i="8" a="1"/>
  <c r="O233" i="8" s="1"/>
  <c r="N233" i="8" a="1"/>
  <c r="N233" i="8" s="1"/>
  <c r="M233" i="8" a="1"/>
  <c r="M233" i="8" s="1"/>
  <c r="L233" i="8" a="1"/>
  <c r="L233" i="8" s="1"/>
  <c r="K233" i="8" a="1"/>
  <c r="K233" i="8" s="1"/>
  <c r="J233" i="8" a="1"/>
  <c r="J233" i="8" s="1"/>
  <c r="I233" i="8" a="1"/>
  <c r="I233" i="8" s="1"/>
  <c r="H233" i="8" a="1"/>
  <c r="H233" i="8" s="1"/>
  <c r="G233" i="8" a="1"/>
  <c r="G233" i="8" s="1"/>
  <c r="F233" i="8" a="1"/>
  <c r="F233" i="8" s="1"/>
  <c r="E233" i="8" a="1"/>
  <c r="E233" i="8" s="1"/>
  <c r="AB232" i="8" a="1"/>
  <c r="AB232" i="8" s="1"/>
  <c r="AA232" i="8" a="1"/>
  <c r="AA232" i="8" s="1"/>
  <c r="Z232" i="8" a="1"/>
  <c r="Z232" i="8" s="1"/>
  <c r="Y232" i="8" a="1"/>
  <c r="Y232" i="8" s="1"/>
  <c r="X232" i="8" a="1"/>
  <c r="X232" i="8" s="1"/>
  <c r="W232" i="8" a="1"/>
  <c r="W232" i="8" s="1"/>
  <c r="V232" i="8" a="1"/>
  <c r="V232" i="8" s="1"/>
  <c r="U232" i="8" a="1"/>
  <c r="U232" i="8" s="1"/>
  <c r="T232" i="8" a="1"/>
  <c r="T232" i="8" s="1"/>
  <c r="S232" i="8" a="1"/>
  <c r="S232" i="8" s="1"/>
  <c r="R232" i="8" a="1"/>
  <c r="R232" i="8" s="1"/>
  <c r="Q232" i="8" a="1"/>
  <c r="Q232" i="8" s="1"/>
  <c r="P232" i="8" a="1"/>
  <c r="P232" i="8" s="1"/>
  <c r="O232" i="8" a="1"/>
  <c r="O232" i="8" s="1"/>
  <c r="N232" i="8" a="1"/>
  <c r="N232" i="8" s="1"/>
  <c r="M232" i="8" a="1"/>
  <c r="M232" i="8" s="1"/>
  <c r="L232" i="8" a="1"/>
  <c r="L232" i="8" s="1"/>
  <c r="K232" i="8" a="1"/>
  <c r="K232" i="8" s="1"/>
  <c r="J232" i="8" a="1"/>
  <c r="J232" i="8" s="1"/>
  <c r="I232" i="8" a="1"/>
  <c r="I232" i="8" s="1"/>
  <c r="H232" i="8" a="1"/>
  <c r="H232" i="8" s="1"/>
  <c r="G232" i="8" a="1"/>
  <c r="G232" i="8" s="1"/>
  <c r="F232" i="8" a="1"/>
  <c r="F232" i="8" s="1"/>
  <c r="E232" i="8" a="1"/>
  <c r="E232" i="8" s="1"/>
  <c r="AB231" i="8" a="1"/>
  <c r="AB231" i="8" s="1"/>
  <c r="AA231" i="8" a="1"/>
  <c r="AA231" i="8" s="1"/>
  <c r="Z231" i="8" a="1"/>
  <c r="Z231" i="8" s="1"/>
  <c r="Y231" i="8" a="1"/>
  <c r="Y231" i="8" s="1"/>
  <c r="X231" i="8" a="1"/>
  <c r="X231" i="8" s="1"/>
  <c r="W231" i="8" a="1"/>
  <c r="W231" i="8" s="1"/>
  <c r="V231" i="8" a="1"/>
  <c r="V231" i="8" s="1"/>
  <c r="U231" i="8" a="1"/>
  <c r="U231" i="8" s="1"/>
  <c r="T231" i="8" a="1"/>
  <c r="T231" i="8" s="1"/>
  <c r="S231" i="8" a="1"/>
  <c r="S231" i="8" s="1"/>
  <c r="R231" i="8" a="1"/>
  <c r="R231" i="8" s="1"/>
  <c r="Q231" i="8" a="1"/>
  <c r="Q231" i="8" s="1"/>
  <c r="P231" i="8" a="1"/>
  <c r="P231" i="8" s="1"/>
  <c r="O231" i="8" a="1"/>
  <c r="O231" i="8" s="1"/>
  <c r="N231" i="8" a="1"/>
  <c r="N231" i="8" s="1"/>
  <c r="M231" i="8" a="1"/>
  <c r="M231" i="8" s="1"/>
  <c r="L231" i="8" a="1"/>
  <c r="L231" i="8" s="1"/>
  <c r="K231" i="8" a="1"/>
  <c r="K231" i="8" s="1"/>
  <c r="J231" i="8" a="1"/>
  <c r="J231" i="8" s="1"/>
  <c r="I231" i="8" a="1"/>
  <c r="I231" i="8" s="1"/>
  <c r="H231" i="8" a="1"/>
  <c r="H231" i="8" s="1"/>
  <c r="G231" i="8" a="1"/>
  <c r="G231" i="8" s="1"/>
  <c r="F231" i="8" a="1"/>
  <c r="F231" i="8" s="1"/>
  <c r="E231" i="8" a="1"/>
  <c r="E231" i="8" s="1"/>
  <c r="AB230" i="8" a="1"/>
  <c r="AB230" i="8" s="1"/>
  <c r="AA230" i="8" a="1"/>
  <c r="AA230" i="8" s="1"/>
  <c r="Z230" i="8" a="1"/>
  <c r="Z230" i="8" s="1"/>
  <c r="Y230" i="8" a="1"/>
  <c r="Y230" i="8" s="1"/>
  <c r="X230" i="8" a="1"/>
  <c r="X230" i="8" s="1"/>
  <c r="W230" i="8" a="1"/>
  <c r="W230" i="8" s="1"/>
  <c r="V230" i="8" a="1"/>
  <c r="V230" i="8" s="1"/>
  <c r="U230" i="8" a="1"/>
  <c r="U230" i="8" s="1"/>
  <c r="T230" i="8" a="1"/>
  <c r="T230" i="8" s="1"/>
  <c r="S230" i="8" a="1"/>
  <c r="S230" i="8" s="1"/>
  <c r="R230" i="8" a="1"/>
  <c r="R230" i="8" s="1"/>
  <c r="Q230" i="8" a="1"/>
  <c r="Q230" i="8" s="1"/>
  <c r="P230" i="8" a="1"/>
  <c r="P230" i="8" s="1"/>
  <c r="O230" i="8" a="1"/>
  <c r="O230" i="8" s="1"/>
  <c r="N230" i="8" a="1"/>
  <c r="N230" i="8" s="1"/>
  <c r="M230" i="8" a="1"/>
  <c r="M230" i="8" s="1"/>
  <c r="L230" i="8" a="1"/>
  <c r="L230" i="8" s="1"/>
  <c r="K230" i="8" a="1"/>
  <c r="K230" i="8" s="1"/>
  <c r="J230" i="8" a="1"/>
  <c r="J230" i="8" s="1"/>
  <c r="I230" i="8" a="1"/>
  <c r="I230" i="8" s="1"/>
  <c r="H230" i="8" a="1"/>
  <c r="H230" i="8" s="1"/>
  <c r="G230" i="8" a="1"/>
  <c r="G230" i="8" s="1"/>
  <c r="F230" i="8" a="1"/>
  <c r="F230" i="8" s="1"/>
  <c r="E230" i="8" a="1"/>
  <c r="E230" i="8" s="1"/>
  <c r="AB229" i="8" a="1"/>
  <c r="AB229" i="8" s="1"/>
  <c r="AA229" i="8" a="1"/>
  <c r="AA229" i="8" s="1"/>
  <c r="Z229" i="8" a="1"/>
  <c r="Z229" i="8" s="1"/>
  <c r="Y229" i="8" a="1"/>
  <c r="Y229" i="8" s="1"/>
  <c r="X229" i="8" a="1"/>
  <c r="X229" i="8" s="1"/>
  <c r="W229" i="8" a="1"/>
  <c r="W229" i="8" s="1"/>
  <c r="V229" i="8" a="1"/>
  <c r="V229" i="8" s="1"/>
  <c r="U229" i="8" a="1"/>
  <c r="U229" i="8" s="1"/>
  <c r="T229" i="8" a="1"/>
  <c r="T229" i="8" s="1"/>
  <c r="S229" i="8" a="1"/>
  <c r="S229" i="8" s="1"/>
  <c r="R229" i="8" a="1"/>
  <c r="R229" i="8" s="1"/>
  <c r="Q229" i="8" a="1"/>
  <c r="Q229" i="8" s="1"/>
  <c r="P229" i="8" a="1"/>
  <c r="P229" i="8" s="1"/>
  <c r="O229" i="8" a="1"/>
  <c r="O229" i="8" s="1"/>
  <c r="N229" i="8" a="1"/>
  <c r="N229" i="8" s="1"/>
  <c r="M229" i="8" a="1"/>
  <c r="M229" i="8" s="1"/>
  <c r="L229" i="8" a="1"/>
  <c r="L229" i="8" s="1"/>
  <c r="K229" i="8" a="1"/>
  <c r="K229" i="8" s="1"/>
  <c r="J229" i="8" a="1"/>
  <c r="J229" i="8" s="1"/>
  <c r="I229" i="8" a="1"/>
  <c r="I229" i="8" s="1"/>
  <c r="H229" i="8" a="1"/>
  <c r="H229" i="8" s="1"/>
  <c r="G229" i="8" a="1"/>
  <c r="G229" i="8" s="1"/>
  <c r="F229" i="8" a="1"/>
  <c r="F229" i="8" s="1"/>
  <c r="E229" i="8" a="1"/>
  <c r="E229" i="8" s="1"/>
  <c r="AB228" i="8" a="1"/>
  <c r="AB228" i="8" s="1"/>
  <c r="AA228" i="8" a="1"/>
  <c r="AA228" i="8" s="1"/>
  <c r="Z228" i="8" a="1"/>
  <c r="Z228" i="8" s="1"/>
  <c r="Y228" i="8" a="1"/>
  <c r="Y228" i="8" s="1"/>
  <c r="X228" i="8" a="1"/>
  <c r="X228" i="8" s="1"/>
  <c r="W228" i="8" a="1"/>
  <c r="W228" i="8" s="1"/>
  <c r="V228" i="8" a="1"/>
  <c r="V228" i="8" s="1"/>
  <c r="U228" i="8" a="1"/>
  <c r="U228" i="8" s="1"/>
  <c r="T228" i="8" a="1"/>
  <c r="T228" i="8" s="1"/>
  <c r="S228" i="8" a="1"/>
  <c r="S228" i="8" s="1"/>
  <c r="R228" i="8" a="1"/>
  <c r="R228" i="8" s="1"/>
  <c r="Q228" i="8" a="1"/>
  <c r="Q228" i="8" s="1"/>
  <c r="P228" i="8" a="1"/>
  <c r="P228" i="8" s="1"/>
  <c r="O228" i="8" a="1"/>
  <c r="O228" i="8" s="1"/>
  <c r="N228" i="8" a="1"/>
  <c r="N228" i="8" s="1"/>
  <c r="M228" i="8" a="1"/>
  <c r="M228" i="8" s="1"/>
  <c r="L228" i="8" a="1"/>
  <c r="L228" i="8" s="1"/>
  <c r="K228" i="8" a="1"/>
  <c r="K228" i="8" s="1"/>
  <c r="J228" i="8" a="1"/>
  <c r="J228" i="8" s="1"/>
  <c r="I228" i="8" a="1"/>
  <c r="I228" i="8" s="1"/>
  <c r="H228" i="8" a="1"/>
  <c r="H228" i="8" s="1"/>
  <c r="G228" i="8" a="1"/>
  <c r="G228" i="8" s="1"/>
  <c r="F228" i="8" a="1"/>
  <c r="F228" i="8" s="1"/>
  <c r="E228" i="8" a="1"/>
  <c r="E228" i="8" s="1"/>
  <c r="AB227" i="8" a="1"/>
  <c r="AB227" i="8" s="1"/>
  <c r="AA227" i="8" a="1"/>
  <c r="AA227" i="8" s="1"/>
  <c r="Z227" i="8" a="1"/>
  <c r="Z227" i="8" s="1"/>
  <c r="Y227" i="8" a="1"/>
  <c r="Y227" i="8" s="1"/>
  <c r="X227" i="8" a="1"/>
  <c r="X227" i="8" s="1"/>
  <c r="W227" i="8" a="1"/>
  <c r="W227" i="8" s="1"/>
  <c r="V227" i="8" a="1"/>
  <c r="V227" i="8" s="1"/>
  <c r="U227" i="8" a="1"/>
  <c r="U227" i="8" s="1"/>
  <c r="T227" i="8" a="1"/>
  <c r="T227" i="8" s="1"/>
  <c r="S227" i="8" a="1"/>
  <c r="S227" i="8" s="1"/>
  <c r="R227" i="8" a="1"/>
  <c r="R227" i="8" s="1"/>
  <c r="Q227" i="8" a="1"/>
  <c r="Q227" i="8" s="1"/>
  <c r="P227" i="8" a="1"/>
  <c r="P227" i="8" s="1"/>
  <c r="O227" i="8" a="1"/>
  <c r="O227" i="8" s="1"/>
  <c r="N227" i="8" a="1"/>
  <c r="N227" i="8" s="1"/>
  <c r="M227" i="8" a="1"/>
  <c r="M227" i="8" s="1"/>
  <c r="L227" i="8" a="1"/>
  <c r="L227" i="8" s="1"/>
  <c r="K227" i="8" a="1"/>
  <c r="K227" i="8" s="1"/>
  <c r="J227" i="8" a="1"/>
  <c r="J227" i="8" s="1"/>
  <c r="I227" i="8" a="1"/>
  <c r="I227" i="8" s="1"/>
  <c r="H227" i="8" a="1"/>
  <c r="H227" i="8" s="1"/>
  <c r="G227" i="8" a="1"/>
  <c r="G227" i="8" s="1"/>
  <c r="F227" i="8" a="1"/>
  <c r="F227" i="8" s="1"/>
  <c r="E227" i="8" a="1"/>
  <c r="E227" i="8" s="1"/>
  <c r="AB226" i="8" a="1"/>
  <c r="AB226" i="8" s="1"/>
  <c r="AA226" i="8" a="1"/>
  <c r="AA226" i="8" s="1"/>
  <c r="Z226" i="8" a="1"/>
  <c r="Z226" i="8" s="1"/>
  <c r="Y226" i="8" a="1"/>
  <c r="Y226" i="8" s="1"/>
  <c r="X226" i="8" a="1"/>
  <c r="X226" i="8" s="1"/>
  <c r="W226" i="8" a="1"/>
  <c r="W226" i="8" s="1"/>
  <c r="V226" i="8" a="1"/>
  <c r="V226" i="8" s="1"/>
  <c r="U226" i="8" a="1"/>
  <c r="U226" i="8" s="1"/>
  <c r="T226" i="8" a="1"/>
  <c r="T226" i="8" s="1"/>
  <c r="S226" i="8" a="1"/>
  <c r="S226" i="8" s="1"/>
  <c r="R226" i="8" a="1"/>
  <c r="R226" i="8" s="1"/>
  <c r="Q226" i="8" a="1"/>
  <c r="Q226" i="8" s="1"/>
  <c r="P226" i="8" a="1"/>
  <c r="P226" i="8" s="1"/>
  <c r="O226" i="8" a="1"/>
  <c r="O226" i="8" s="1"/>
  <c r="N226" i="8" a="1"/>
  <c r="N226" i="8" s="1"/>
  <c r="M226" i="8" a="1"/>
  <c r="M226" i="8" s="1"/>
  <c r="L226" i="8" a="1"/>
  <c r="L226" i="8" s="1"/>
  <c r="K226" i="8" a="1"/>
  <c r="K226" i="8" s="1"/>
  <c r="J226" i="8" a="1"/>
  <c r="J226" i="8" s="1"/>
  <c r="I226" i="8" a="1"/>
  <c r="I226" i="8" s="1"/>
  <c r="H226" i="8" a="1"/>
  <c r="H226" i="8" s="1"/>
  <c r="G226" i="8" a="1"/>
  <c r="G226" i="8" s="1"/>
  <c r="F226" i="8" a="1"/>
  <c r="F226" i="8" s="1"/>
  <c r="E226" i="8" a="1"/>
  <c r="E226" i="8" s="1"/>
  <c r="AB225" i="8" a="1"/>
  <c r="AB225" i="8" s="1"/>
  <c r="AA225" i="8" a="1"/>
  <c r="AA225" i="8" s="1"/>
  <c r="Z225" i="8" a="1"/>
  <c r="Z225" i="8" s="1"/>
  <c r="Y225" i="8" a="1"/>
  <c r="Y225" i="8" s="1"/>
  <c r="X225" i="8" a="1"/>
  <c r="X225" i="8" s="1"/>
  <c r="W225" i="8" a="1"/>
  <c r="W225" i="8" s="1"/>
  <c r="V225" i="8" a="1"/>
  <c r="V225" i="8" s="1"/>
  <c r="U225" i="8" a="1"/>
  <c r="U225" i="8" s="1"/>
  <c r="T225" i="8" a="1"/>
  <c r="T225" i="8" s="1"/>
  <c r="S225" i="8" a="1"/>
  <c r="S225" i="8" s="1"/>
  <c r="R225" i="8" a="1"/>
  <c r="R225" i="8" s="1"/>
  <c r="Q225" i="8" a="1"/>
  <c r="Q225" i="8" s="1"/>
  <c r="P225" i="8" a="1"/>
  <c r="P225" i="8" s="1"/>
  <c r="O225" i="8" a="1"/>
  <c r="O225" i="8" s="1"/>
  <c r="N225" i="8" a="1"/>
  <c r="N225" i="8" s="1"/>
  <c r="M225" i="8" a="1"/>
  <c r="M225" i="8" s="1"/>
  <c r="L225" i="8" a="1"/>
  <c r="L225" i="8" s="1"/>
  <c r="K225" i="8" a="1"/>
  <c r="K225" i="8" s="1"/>
  <c r="J225" i="8" a="1"/>
  <c r="J225" i="8" s="1"/>
  <c r="I225" i="8" a="1"/>
  <c r="I225" i="8" s="1"/>
  <c r="H225" i="8" a="1"/>
  <c r="H225" i="8" s="1"/>
  <c r="G225" i="8" a="1"/>
  <c r="G225" i="8" s="1"/>
  <c r="F225" i="8" a="1"/>
  <c r="F225" i="8" s="1"/>
  <c r="E225" i="8" a="1"/>
  <c r="E225" i="8" s="1"/>
  <c r="AB224" i="8" a="1"/>
  <c r="AB224" i="8" s="1"/>
  <c r="AA224" i="8" a="1"/>
  <c r="AA224" i="8" s="1"/>
  <c r="Z224" i="8" a="1"/>
  <c r="Z224" i="8" s="1"/>
  <c r="Y224" i="8" a="1"/>
  <c r="Y224" i="8" s="1"/>
  <c r="X224" i="8" a="1"/>
  <c r="X224" i="8" s="1"/>
  <c r="W224" i="8" a="1"/>
  <c r="W224" i="8" s="1"/>
  <c r="V224" i="8" a="1"/>
  <c r="V224" i="8" s="1"/>
  <c r="U224" i="8" a="1"/>
  <c r="U224" i="8" s="1"/>
  <c r="T224" i="8" a="1"/>
  <c r="T224" i="8" s="1"/>
  <c r="S224" i="8" a="1"/>
  <c r="S224" i="8" s="1"/>
  <c r="R224" i="8" a="1"/>
  <c r="R224" i="8" s="1"/>
  <c r="Q224" i="8" a="1"/>
  <c r="Q224" i="8" s="1"/>
  <c r="P224" i="8" a="1"/>
  <c r="P224" i="8" s="1"/>
  <c r="O224" i="8" a="1"/>
  <c r="O224" i="8" s="1"/>
  <c r="N224" i="8" a="1"/>
  <c r="N224" i="8" s="1"/>
  <c r="M224" i="8" a="1"/>
  <c r="M224" i="8" s="1"/>
  <c r="L224" i="8" a="1"/>
  <c r="L224" i="8" s="1"/>
  <c r="K224" i="8" a="1"/>
  <c r="K224" i="8" s="1"/>
  <c r="J224" i="8" a="1"/>
  <c r="J224" i="8" s="1"/>
  <c r="I224" i="8" a="1"/>
  <c r="I224" i="8" s="1"/>
  <c r="H224" i="8" a="1"/>
  <c r="H224" i="8" s="1"/>
  <c r="G224" i="8" a="1"/>
  <c r="G224" i="8" s="1"/>
  <c r="F224" i="8" a="1"/>
  <c r="F224" i="8" s="1"/>
  <c r="E224" i="8" a="1"/>
  <c r="E224" i="8" s="1"/>
  <c r="AB223" i="8" a="1"/>
  <c r="AB223" i="8" s="1"/>
  <c r="AA223" i="8" a="1"/>
  <c r="AA223" i="8" s="1"/>
  <c r="Z223" i="8" a="1"/>
  <c r="Z223" i="8" s="1"/>
  <c r="Y223" i="8" a="1"/>
  <c r="Y223" i="8" s="1"/>
  <c r="X223" i="8" a="1"/>
  <c r="X223" i="8" s="1"/>
  <c r="W223" i="8" a="1"/>
  <c r="W223" i="8" s="1"/>
  <c r="V223" i="8" a="1"/>
  <c r="V223" i="8" s="1"/>
  <c r="U223" i="8" a="1"/>
  <c r="U223" i="8" s="1"/>
  <c r="T223" i="8" a="1"/>
  <c r="T223" i="8" s="1"/>
  <c r="S223" i="8" a="1"/>
  <c r="S223" i="8" s="1"/>
  <c r="R223" i="8" a="1"/>
  <c r="R223" i="8" s="1"/>
  <c r="Q223" i="8" a="1"/>
  <c r="Q223" i="8" s="1"/>
  <c r="P223" i="8" a="1"/>
  <c r="P223" i="8" s="1"/>
  <c r="O223" i="8" a="1"/>
  <c r="O223" i="8" s="1"/>
  <c r="N223" i="8" a="1"/>
  <c r="N223" i="8" s="1"/>
  <c r="M223" i="8" a="1"/>
  <c r="M223" i="8" s="1"/>
  <c r="L223" i="8" a="1"/>
  <c r="L223" i="8" s="1"/>
  <c r="K223" i="8" a="1"/>
  <c r="K223" i="8" s="1"/>
  <c r="J223" i="8" a="1"/>
  <c r="J223" i="8" s="1"/>
  <c r="I223" i="8" a="1"/>
  <c r="I223" i="8" s="1"/>
  <c r="H223" i="8" a="1"/>
  <c r="H223" i="8" s="1"/>
  <c r="G223" i="8" a="1"/>
  <c r="G223" i="8" s="1"/>
  <c r="F223" i="8" a="1"/>
  <c r="F223" i="8" s="1"/>
  <c r="E223" i="8" a="1"/>
  <c r="E223" i="8" s="1"/>
  <c r="AB222" i="8" a="1"/>
  <c r="AB222" i="8" s="1"/>
  <c r="AA222" i="8" a="1"/>
  <c r="AA222" i="8" s="1"/>
  <c r="Z222" i="8" a="1"/>
  <c r="Z222" i="8" s="1"/>
  <c r="Y222" i="8" a="1"/>
  <c r="Y222" i="8" s="1"/>
  <c r="X222" i="8" a="1"/>
  <c r="X222" i="8" s="1"/>
  <c r="W222" i="8" a="1"/>
  <c r="W222" i="8" s="1"/>
  <c r="V222" i="8" a="1"/>
  <c r="V222" i="8" s="1"/>
  <c r="U222" i="8" a="1"/>
  <c r="U222" i="8" s="1"/>
  <c r="T222" i="8" a="1"/>
  <c r="T222" i="8" s="1"/>
  <c r="S222" i="8" a="1"/>
  <c r="S222" i="8" s="1"/>
  <c r="R222" i="8" a="1"/>
  <c r="R222" i="8" s="1"/>
  <c r="Q222" i="8" a="1"/>
  <c r="Q222" i="8" s="1"/>
  <c r="P222" i="8" a="1"/>
  <c r="P222" i="8" s="1"/>
  <c r="O222" i="8" a="1"/>
  <c r="O222" i="8" s="1"/>
  <c r="N222" i="8" a="1"/>
  <c r="N222" i="8" s="1"/>
  <c r="M222" i="8" a="1"/>
  <c r="M222" i="8" s="1"/>
  <c r="L222" i="8" a="1"/>
  <c r="L222" i="8" s="1"/>
  <c r="K222" i="8" a="1"/>
  <c r="K222" i="8" s="1"/>
  <c r="J222" i="8" a="1"/>
  <c r="J222" i="8" s="1"/>
  <c r="I222" i="8" a="1"/>
  <c r="I222" i="8" s="1"/>
  <c r="H222" i="8" a="1"/>
  <c r="H222" i="8" s="1"/>
  <c r="G222" i="8" a="1"/>
  <c r="G222" i="8" s="1"/>
  <c r="F222" i="8" a="1"/>
  <c r="F222" i="8" s="1"/>
  <c r="E222" i="8" a="1"/>
  <c r="E222" i="8" s="1"/>
  <c r="AB221" i="8" a="1"/>
  <c r="AB221" i="8" s="1"/>
  <c r="AA221" i="8" a="1"/>
  <c r="AA221" i="8" s="1"/>
  <c r="Z221" i="8" a="1"/>
  <c r="Z221" i="8" s="1"/>
  <c r="Y221" i="8" a="1"/>
  <c r="Y221" i="8" s="1"/>
  <c r="X221" i="8" a="1"/>
  <c r="X221" i="8" s="1"/>
  <c r="W221" i="8" a="1"/>
  <c r="W221" i="8" s="1"/>
  <c r="V221" i="8" a="1"/>
  <c r="V221" i="8" s="1"/>
  <c r="U221" i="8" a="1"/>
  <c r="U221" i="8" s="1"/>
  <c r="T221" i="8" a="1"/>
  <c r="T221" i="8" s="1"/>
  <c r="S221" i="8" a="1"/>
  <c r="S221" i="8" s="1"/>
  <c r="R221" i="8" a="1"/>
  <c r="R221" i="8" s="1"/>
  <c r="Q221" i="8" a="1"/>
  <c r="Q221" i="8" s="1"/>
  <c r="P221" i="8" a="1"/>
  <c r="P221" i="8" s="1"/>
  <c r="O221" i="8" a="1"/>
  <c r="O221" i="8" s="1"/>
  <c r="N221" i="8" a="1"/>
  <c r="N221" i="8" s="1"/>
  <c r="M221" i="8" a="1"/>
  <c r="M221" i="8" s="1"/>
  <c r="L221" i="8" a="1"/>
  <c r="L221" i="8" s="1"/>
  <c r="K221" i="8" a="1"/>
  <c r="K221" i="8" s="1"/>
  <c r="J221" i="8" a="1"/>
  <c r="J221" i="8" s="1"/>
  <c r="I221" i="8" a="1"/>
  <c r="I221" i="8" s="1"/>
  <c r="H221" i="8" a="1"/>
  <c r="H221" i="8" s="1"/>
  <c r="G221" i="8" a="1"/>
  <c r="G221" i="8" s="1"/>
  <c r="F221" i="8" a="1"/>
  <c r="F221" i="8" s="1"/>
  <c r="E221" i="8" a="1"/>
  <c r="E221" i="8" s="1"/>
  <c r="AB220" i="8" a="1"/>
  <c r="AB220" i="8" s="1"/>
  <c r="AA220" i="8" a="1"/>
  <c r="AA220" i="8" s="1"/>
  <c r="Z220" i="8" a="1"/>
  <c r="Z220" i="8" s="1"/>
  <c r="Y220" i="8" a="1"/>
  <c r="Y220" i="8" s="1"/>
  <c r="X220" i="8" a="1"/>
  <c r="X220" i="8" s="1"/>
  <c r="W220" i="8" a="1"/>
  <c r="W220" i="8" s="1"/>
  <c r="V220" i="8" a="1"/>
  <c r="V220" i="8" s="1"/>
  <c r="U220" i="8" a="1"/>
  <c r="U220" i="8" s="1"/>
  <c r="T220" i="8" a="1"/>
  <c r="T220" i="8" s="1"/>
  <c r="S220" i="8" a="1"/>
  <c r="S220" i="8" s="1"/>
  <c r="R220" i="8" a="1"/>
  <c r="R220" i="8" s="1"/>
  <c r="Q220" i="8" a="1"/>
  <c r="Q220" i="8" s="1"/>
  <c r="P220" i="8" a="1"/>
  <c r="P220" i="8" s="1"/>
  <c r="O220" i="8" a="1"/>
  <c r="O220" i="8" s="1"/>
  <c r="N220" i="8" a="1"/>
  <c r="N220" i="8" s="1"/>
  <c r="M220" i="8" a="1"/>
  <c r="M220" i="8" s="1"/>
  <c r="L220" i="8" a="1"/>
  <c r="L220" i="8" s="1"/>
  <c r="K220" i="8" a="1"/>
  <c r="K220" i="8" s="1"/>
  <c r="J220" i="8" a="1"/>
  <c r="J220" i="8" s="1"/>
  <c r="I220" i="8" a="1"/>
  <c r="I220" i="8" s="1"/>
  <c r="H220" i="8" a="1"/>
  <c r="H220" i="8" s="1"/>
  <c r="G220" i="8" a="1"/>
  <c r="G220" i="8" s="1"/>
  <c r="F220" i="8" a="1"/>
  <c r="F220" i="8" s="1"/>
  <c r="E220" i="8" a="1"/>
  <c r="E220" i="8" s="1"/>
  <c r="AB219" i="8" a="1"/>
  <c r="AB219" i="8" s="1"/>
  <c r="AA219" i="8" a="1"/>
  <c r="AA219" i="8" s="1"/>
  <c r="Z219" i="8" a="1"/>
  <c r="Z219" i="8" s="1"/>
  <c r="Y219" i="8" a="1"/>
  <c r="Y219" i="8" s="1"/>
  <c r="X219" i="8" a="1"/>
  <c r="X219" i="8" s="1"/>
  <c r="W219" i="8" a="1"/>
  <c r="W219" i="8" s="1"/>
  <c r="V219" i="8" a="1"/>
  <c r="V219" i="8" s="1"/>
  <c r="U219" i="8" a="1"/>
  <c r="U219" i="8" s="1"/>
  <c r="T219" i="8" a="1"/>
  <c r="T219" i="8" s="1"/>
  <c r="S219" i="8" a="1"/>
  <c r="S219" i="8" s="1"/>
  <c r="R219" i="8" a="1"/>
  <c r="R219" i="8" s="1"/>
  <c r="Q219" i="8" a="1"/>
  <c r="Q219" i="8" s="1"/>
  <c r="P219" i="8" a="1"/>
  <c r="P219" i="8" s="1"/>
  <c r="O219" i="8" a="1"/>
  <c r="O219" i="8" s="1"/>
  <c r="N219" i="8" a="1"/>
  <c r="N219" i="8" s="1"/>
  <c r="M219" i="8" a="1"/>
  <c r="M219" i="8" s="1"/>
  <c r="L219" i="8" a="1"/>
  <c r="L219" i="8" s="1"/>
  <c r="K219" i="8" a="1"/>
  <c r="K219" i="8" s="1"/>
  <c r="J219" i="8" a="1"/>
  <c r="J219" i="8" s="1"/>
  <c r="I219" i="8" a="1"/>
  <c r="I219" i="8" s="1"/>
  <c r="H219" i="8" a="1"/>
  <c r="H219" i="8" s="1"/>
  <c r="G219" i="8" a="1"/>
  <c r="G219" i="8" s="1"/>
  <c r="F219" i="8" a="1"/>
  <c r="F219" i="8" s="1"/>
  <c r="E219" i="8" a="1"/>
  <c r="E219" i="8" s="1"/>
  <c r="AB218" i="8" a="1"/>
  <c r="AB218" i="8" s="1"/>
  <c r="AA218" i="8" a="1"/>
  <c r="AA218" i="8" s="1"/>
  <c r="Z218" i="8" a="1"/>
  <c r="Z218" i="8" s="1"/>
  <c r="Y218" i="8" a="1"/>
  <c r="Y218" i="8" s="1"/>
  <c r="X218" i="8" a="1"/>
  <c r="X218" i="8" s="1"/>
  <c r="W218" i="8" a="1"/>
  <c r="W218" i="8" s="1"/>
  <c r="V218" i="8" a="1"/>
  <c r="V218" i="8" s="1"/>
  <c r="U218" i="8" a="1"/>
  <c r="U218" i="8" s="1"/>
  <c r="T218" i="8" a="1"/>
  <c r="T218" i="8" s="1"/>
  <c r="S218" i="8" a="1"/>
  <c r="S218" i="8" s="1"/>
  <c r="R218" i="8" a="1"/>
  <c r="R218" i="8" s="1"/>
  <c r="Q218" i="8" a="1"/>
  <c r="Q218" i="8" s="1"/>
  <c r="P218" i="8" a="1"/>
  <c r="P218" i="8" s="1"/>
  <c r="O218" i="8" a="1"/>
  <c r="O218" i="8" s="1"/>
  <c r="N218" i="8" a="1"/>
  <c r="N218" i="8" s="1"/>
  <c r="M218" i="8" a="1"/>
  <c r="M218" i="8" s="1"/>
  <c r="L218" i="8" a="1"/>
  <c r="L218" i="8" s="1"/>
  <c r="K218" i="8" a="1"/>
  <c r="K218" i="8" s="1"/>
  <c r="J218" i="8" a="1"/>
  <c r="J218" i="8" s="1"/>
  <c r="I218" i="8" a="1"/>
  <c r="I218" i="8" s="1"/>
  <c r="H218" i="8" a="1"/>
  <c r="H218" i="8" s="1"/>
  <c r="G218" i="8" a="1"/>
  <c r="G218" i="8" s="1"/>
  <c r="F218" i="8" a="1"/>
  <c r="F218" i="8" s="1"/>
  <c r="E218" i="8" a="1"/>
  <c r="E218" i="8" s="1"/>
  <c r="AB217" i="8" a="1"/>
  <c r="AB217" i="8" s="1"/>
  <c r="AA217" i="8" a="1"/>
  <c r="AA217" i="8" s="1"/>
  <c r="Z217" i="8" a="1"/>
  <c r="Z217" i="8" s="1"/>
  <c r="Y217" i="8" a="1"/>
  <c r="Y217" i="8" s="1"/>
  <c r="X217" i="8" a="1"/>
  <c r="X217" i="8" s="1"/>
  <c r="W217" i="8" a="1"/>
  <c r="W217" i="8" s="1"/>
  <c r="V217" i="8" a="1"/>
  <c r="V217" i="8" s="1"/>
  <c r="U217" i="8" a="1"/>
  <c r="U217" i="8" s="1"/>
  <c r="T217" i="8" a="1"/>
  <c r="T217" i="8" s="1"/>
  <c r="S217" i="8" a="1"/>
  <c r="S217" i="8" s="1"/>
  <c r="R217" i="8" a="1"/>
  <c r="R217" i="8" s="1"/>
  <c r="Q217" i="8" a="1"/>
  <c r="Q217" i="8" s="1"/>
  <c r="P217" i="8" a="1"/>
  <c r="P217" i="8" s="1"/>
  <c r="O217" i="8" a="1"/>
  <c r="O217" i="8" s="1"/>
  <c r="N217" i="8" a="1"/>
  <c r="N217" i="8" s="1"/>
  <c r="M217" i="8" a="1"/>
  <c r="M217" i="8" s="1"/>
  <c r="L217" i="8" a="1"/>
  <c r="L217" i="8" s="1"/>
  <c r="K217" i="8" a="1"/>
  <c r="K217" i="8" s="1"/>
  <c r="J217" i="8" a="1"/>
  <c r="J217" i="8" s="1"/>
  <c r="I217" i="8" a="1"/>
  <c r="I217" i="8" s="1"/>
  <c r="H217" i="8" a="1"/>
  <c r="H217" i="8" s="1"/>
  <c r="G217" i="8" a="1"/>
  <c r="G217" i="8" s="1"/>
  <c r="F217" i="8" a="1"/>
  <c r="F217" i="8" s="1"/>
  <c r="E217" i="8" a="1"/>
  <c r="E217" i="8" s="1"/>
  <c r="AB216" i="8" a="1"/>
  <c r="AB216" i="8" s="1"/>
  <c r="AA216" i="8" a="1"/>
  <c r="AA216" i="8" s="1"/>
  <c r="Z216" i="8" a="1"/>
  <c r="Z216" i="8" s="1"/>
  <c r="Y216" i="8" a="1"/>
  <c r="Y216" i="8" s="1"/>
  <c r="X216" i="8" a="1"/>
  <c r="X216" i="8" s="1"/>
  <c r="W216" i="8" a="1"/>
  <c r="W216" i="8" s="1"/>
  <c r="V216" i="8" a="1"/>
  <c r="V216" i="8" s="1"/>
  <c r="U216" i="8" a="1"/>
  <c r="U216" i="8" s="1"/>
  <c r="T216" i="8" a="1"/>
  <c r="T216" i="8" s="1"/>
  <c r="S216" i="8" a="1"/>
  <c r="S216" i="8" s="1"/>
  <c r="R216" i="8" a="1"/>
  <c r="R216" i="8" s="1"/>
  <c r="Q216" i="8" a="1"/>
  <c r="Q216" i="8" s="1"/>
  <c r="P216" i="8" a="1"/>
  <c r="P216" i="8" s="1"/>
  <c r="O216" i="8" a="1"/>
  <c r="O216" i="8" s="1"/>
  <c r="N216" i="8" a="1"/>
  <c r="N216" i="8" s="1"/>
  <c r="M216" i="8" a="1"/>
  <c r="M216" i="8" s="1"/>
  <c r="L216" i="8" a="1"/>
  <c r="L216" i="8" s="1"/>
  <c r="K216" i="8" a="1"/>
  <c r="K216" i="8" s="1"/>
  <c r="J216" i="8" a="1"/>
  <c r="J216" i="8" s="1"/>
  <c r="I216" i="8" a="1"/>
  <c r="I216" i="8" s="1"/>
  <c r="H216" i="8" a="1"/>
  <c r="H216" i="8" s="1"/>
  <c r="G216" i="8" a="1"/>
  <c r="G216" i="8" s="1"/>
  <c r="F216" i="8" a="1"/>
  <c r="F216" i="8" s="1"/>
  <c r="E216" i="8" a="1"/>
  <c r="E216" i="8" s="1"/>
  <c r="AB215" i="8" a="1"/>
  <c r="AB215" i="8" s="1"/>
  <c r="AA215" i="8" a="1"/>
  <c r="AA215" i="8" s="1"/>
  <c r="Z215" i="8" a="1"/>
  <c r="Z215" i="8" s="1"/>
  <c r="Y215" i="8" a="1"/>
  <c r="Y215" i="8" s="1"/>
  <c r="X215" i="8" a="1"/>
  <c r="X215" i="8" s="1"/>
  <c r="W215" i="8" a="1"/>
  <c r="W215" i="8" s="1"/>
  <c r="V215" i="8" a="1"/>
  <c r="V215" i="8" s="1"/>
  <c r="U215" i="8" a="1"/>
  <c r="U215" i="8" s="1"/>
  <c r="T215" i="8" a="1"/>
  <c r="T215" i="8" s="1"/>
  <c r="S215" i="8" a="1"/>
  <c r="S215" i="8" s="1"/>
  <c r="R215" i="8" a="1"/>
  <c r="R215" i="8" s="1"/>
  <c r="Q215" i="8" a="1"/>
  <c r="Q215" i="8" s="1"/>
  <c r="P215" i="8" a="1"/>
  <c r="P215" i="8" s="1"/>
  <c r="O215" i="8" a="1"/>
  <c r="O215" i="8" s="1"/>
  <c r="N215" i="8" a="1"/>
  <c r="N215" i="8" s="1"/>
  <c r="M215" i="8" a="1"/>
  <c r="M215" i="8" s="1"/>
  <c r="L215" i="8" a="1"/>
  <c r="L215" i="8" s="1"/>
  <c r="K215" i="8" a="1"/>
  <c r="K215" i="8" s="1"/>
  <c r="J215" i="8" a="1"/>
  <c r="J215" i="8" s="1"/>
  <c r="I215" i="8" a="1"/>
  <c r="I215" i="8" s="1"/>
  <c r="H215" i="8" a="1"/>
  <c r="H215" i="8" s="1"/>
  <c r="G215" i="8" a="1"/>
  <c r="G215" i="8" s="1"/>
  <c r="F215" i="8" a="1"/>
  <c r="F215" i="8" s="1"/>
  <c r="E215" i="8" a="1"/>
  <c r="E215" i="8" s="1"/>
  <c r="AB214" i="8" a="1"/>
  <c r="AB214" i="8" s="1"/>
  <c r="AA214" i="8" a="1"/>
  <c r="AA214" i="8" s="1"/>
  <c r="Z214" i="8" a="1"/>
  <c r="Z214" i="8" s="1"/>
  <c r="Y214" i="8" a="1"/>
  <c r="Y214" i="8" s="1"/>
  <c r="X214" i="8" a="1"/>
  <c r="X214" i="8" s="1"/>
  <c r="W214" i="8" a="1"/>
  <c r="W214" i="8" s="1"/>
  <c r="V214" i="8" a="1"/>
  <c r="V214" i="8" s="1"/>
  <c r="U214" i="8" a="1"/>
  <c r="U214" i="8" s="1"/>
  <c r="T214" i="8" a="1"/>
  <c r="T214" i="8" s="1"/>
  <c r="S214" i="8" a="1"/>
  <c r="S214" i="8" s="1"/>
  <c r="R214" i="8" a="1"/>
  <c r="R214" i="8" s="1"/>
  <c r="Q214" i="8" a="1"/>
  <c r="Q214" i="8" s="1"/>
  <c r="P214" i="8" a="1"/>
  <c r="P214" i="8" s="1"/>
  <c r="O214" i="8" a="1"/>
  <c r="O214" i="8" s="1"/>
  <c r="N214" i="8" a="1"/>
  <c r="N214" i="8" s="1"/>
  <c r="M214" i="8" a="1"/>
  <c r="M214" i="8" s="1"/>
  <c r="L214" i="8" a="1"/>
  <c r="L214" i="8" s="1"/>
  <c r="K214" i="8" a="1"/>
  <c r="K214" i="8" s="1"/>
  <c r="J214" i="8" a="1"/>
  <c r="J214" i="8" s="1"/>
  <c r="I214" i="8" a="1"/>
  <c r="I214" i="8" s="1"/>
  <c r="H214" i="8" a="1"/>
  <c r="H214" i="8" s="1"/>
  <c r="G214" i="8" a="1"/>
  <c r="G214" i="8" s="1"/>
  <c r="F214" i="8" a="1"/>
  <c r="F214" i="8" s="1"/>
  <c r="E214" i="8" a="1"/>
  <c r="E214" i="8" s="1"/>
  <c r="AB213" i="8" a="1"/>
  <c r="AB213" i="8" s="1"/>
  <c r="AA213" i="8" a="1"/>
  <c r="AA213" i="8" s="1"/>
  <c r="Z213" i="8" a="1"/>
  <c r="Z213" i="8" s="1"/>
  <c r="Y213" i="8" a="1"/>
  <c r="Y213" i="8" s="1"/>
  <c r="X213" i="8" a="1"/>
  <c r="X213" i="8" s="1"/>
  <c r="W213" i="8" a="1"/>
  <c r="W213" i="8" s="1"/>
  <c r="V213" i="8" a="1"/>
  <c r="V213" i="8" s="1"/>
  <c r="U213" i="8" a="1"/>
  <c r="U213" i="8" s="1"/>
  <c r="T213" i="8" a="1"/>
  <c r="T213" i="8" s="1"/>
  <c r="S213" i="8" a="1"/>
  <c r="S213" i="8" s="1"/>
  <c r="R213" i="8" a="1"/>
  <c r="R213" i="8" s="1"/>
  <c r="Q213" i="8" a="1"/>
  <c r="Q213" i="8" s="1"/>
  <c r="P213" i="8" a="1"/>
  <c r="P213" i="8" s="1"/>
  <c r="O213" i="8" a="1"/>
  <c r="O213" i="8" s="1"/>
  <c r="N213" i="8" a="1"/>
  <c r="N213" i="8" s="1"/>
  <c r="M213" i="8" a="1"/>
  <c r="M213" i="8" s="1"/>
  <c r="L213" i="8" a="1"/>
  <c r="L213" i="8" s="1"/>
  <c r="K213" i="8" a="1"/>
  <c r="K213" i="8" s="1"/>
  <c r="J213" i="8" a="1"/>
  <c r="J213" i="8" s="1"/>
  <c r="I213" i="8" a="1"/>
  <c r="I213" i="8" s="1"/>
  <c r="H213" i="8" a="1"/>
  <c r="H213" i="8" s="1"/>
  <c r="G213" i="8" a="1"/>
  <c r="G213" i="8" s="1"/>
  <c r="F213" i="8" a="1"/>
  <c r="F213" i="8" s="1"/>
  <c r="E213" i="8" a="1"/>
  <c r="E213" i="8" s="1"/>
  <c r="AB212" i="8" a="1"/>
  <c r="AB212" i="8" s="1"/>
  <c r="AA212" i="8" a="1"/>
  <c r="AA212" i="8" s="1"/>
  <c r="Z212" i="8" a="1"/>
  <c r="Z212" i="8" s="1"/>
  <c r="Y212" i="8" a="1"/>
  <c r="Y212" i="8" s="1"/>
  <c r="X212" i="8" a="1"/>
  <c r="X212" i="8" s="1"/>
  <c r="W212" i="8" a="1"/>
  <c r="W212" i="8" s="1"/>
  <c r="V212" i="8" a="1"/>
  <c r="V212" i="8" s="1"/>
  <c r="U212" i="8" a="1"/>
  <c r="U212" i="8" s="1"/>
  <c r="T212" i="8" a="1"/>
  <c r="T212" i="8" s="1"/>
  <c r="S212" i="8" a="1"/>
  <c r="S212" i="8" s="1"/>
  <c r="R212" i="8" a="1"/>
  <c r="R212" i="8" s="1"/>
  <c r="Q212" i="8" a="1"/>
  <c r="Q212" i="8" s="1"/>
  <c r="P212" i="8" a="1"/>
  <c r="P212" i="8" s="1"/>
  <c r="O212" i="8" a="1"/>
  <c r="O212" i="8" s="1"/>
  <c r="N212" i="8" a="1"/>
  <c r="N212" i="8" s="1"/>
  <c r="M212" i="8" a="1"/>
  <c r="M212" i="8" s="1"/>
  <c r="L212" i="8" a="1"/>
  <c r="L212" i="8" s="1"/>
  <c r="K212" i="8" a="1"/>
  <c r="K212" i="8" s="1"/>
  <c r="J212" i="8" a="1"/>
  <c r="J212" i="8" s="1"/>
  <c r="I212" i="8" a="1"/>
  <c r="I212" i="8" s="1"/>
  <c r="H212" i="8" a="1"/>
  <c r="H212" i="8" s="1"/>
  <c r="G212" i="8" a="1"/>
  <c r="G212" i="8" s="1"/>
  <c r="F212" i="8" a="1"/>
  <c r="F212" i="8" s="1"/>
  <c r="E212" i="8" a="1"/>
  <c r="E212" i="8" s="1"/>
  <c r="AB211" i="8" a="1"/>
  <c r="AB211" i="8" s="1"/>
  <c r="AA211" i="8" a="1"/>
  <c r="AA211" i="8" s="1"/>
  <c r="Z211" i="8" a="1"/>
  <c r="Z211" i="8" s="1"/>
  <c r="Y211" i="8" a="1"/>
  <c r="Y211" i="8" s="1"/>
  <c r="X211" i="8" a="1"/>
  <c r="X211" i="8" s="1"/>
  <c r="W211" i="8" a="1"/>
  <c r="W211" i="8" s="1"/>
  <c r="V211" i="8" a="1"/>
  <c r="V211" i="8" s="1"/>
  <c r="U211" i="8" a="1"/>
  <c r="U211" i="8" s="1"/>
  <c r="T211" i="8" a="1"/>
  <c r="T211" i="8" s="1"/>
  <c r="S211" i="8" a="1"/>
  <c r="S211" i="8" s="1"/>
  <c r="R211" i="8" a="1"/>
  <c r="R211" i="8" s="1"/>
  <c r="Q211" i="8" a="1"/>
  <c r="Q211" i="8" s="1"/>
  <c r="P211" i="8" a="1"/>
  <c r="P211" i="8" s="1"/>
  <c r="O211" i="8" a="1"/>
  <c r="O211" i="8" s="1"/>
  <c r="N211" i="8" a="1"/>
  <c r="N211" i="8" s="1"/>
  <c r="M211" i="8" a="1"/>
  <c r="M211" i="8" s="1"/>
  <c r="L211" i="8" a="1"/>
  <c r="L211" i="8" s="1"/>
  <c r="K211" i="8" a="1"/>
  <c r="K211" i="8" s="1"/>
  <c r="J211" i="8" a="1"/>
  <c r="J211" i="8" s="1"/>
  <c r="I211" i="8" a="1"/>
  <c r="I211" i="8" s="1"/>
  <c r="H211" i="8" a="1"/>
  <c r="H211" i="8" s="1"/>
  <c r="G211" i="8" a="1"/>
  <c r="G211" i="8" s="1"/>
  <c r="F211" i="8" a="1"/>
  <c r="F211" i="8" s="1"/>
  <c r="E211" i="8" a="1"/>
  <c r="E211" i="8" s="1"/>
  <c r="AB210" i="8" a="1"/>
  <c r="AB210" i="8" s="1"/>
  <c r="AA210" i="8" a="1"/>
  <c r="AA210" i="8" s="1"/>
  <c r="Z210" i="8" a="1"/>
  <c r="Z210" i="8" s="1"/>
  <c r="Y210" i="8" a="1"/>
  <c r="Y210" i="8" s="1"/>
  <c r="X210" i="8" a="1"/>
  <c r="X210" i="8" s="1"/>
  <c r="W210" i="8" a="1"/>
  <c r="W210" i="8" s="1"/>
  <c r="V210" i="8" a="1"/>
  <c r="V210" i="8" s="1"/>
  <c r="U210" i="8" a="1"/>
  <c r="U210" i="8" s="1"/>
  <c r="T210" i="8" a="1"/>
  <c r="T210" i="8" s="1"/>
  <c r="S210" i="8" a="1"/>
  <c r="S210" i="8" s="1"/>
  <c r="R210" i="8" a="1"/>
  <c r="R210" i="8" s="1"/>
  <c r="Q210" i="8" a="1"/>
  <c r="Q210" i="8" s="1"/>
  <c r="P210" i="8" a="1"/>
  <c r="P210" i="8" s="1"/>
  <c r="O210" i="8" a="1"/>
  <c r="O210" i="8" s="1"/>
  <c r="N210" i="8" a="1"/>
  <c r="N210" i="8" s="1"/>
  <c r="M210" i="8" a="1"/>
  <c r="M210" i="8" s="1"/>
  <c r="L210" i="8" a="1"/>
  <c r="L210" i="8" s="1"/>
  <c r="K210" i="8" a="1"/>
  <c r="K210" i="8" s="1"/>
  <c r="J210" i="8" a="1"/>
  <c r="J210" i="8" s="1"/>
  <c r="I210" i="8" a="1"/>
  <c r="I210" i="8" s="1"/>
  <c r="H210" i="8" a="1"/>
  <c r="H210" i="8" s="1"/>
  <c r="G210" i="8" a="1"/>
  <c r="G210" i="8" s="1"/>
  <c r="F210" i="8" a="1"/>
  <c r="F210" i="8" s="1"/>
  <c r="E210" i="8" a="1"/>
  <c r="E210" i="8" s="1"/>
  <c r="AB209" i="8" a="1"/>
  <c r="AB209" i="8" s="1"/>
  <c r="AA209" i="8" a="1"/>
  <c r="AA209" i="8" s="1"/>
  <c r="Z209" i="8" a="1"/>
  <c r="Z209" i="8" s="1"/>
  <c r="Y209" i="8" a="1"/>
  <c r="Y209" i="8" s="1"/>
  <c r="X209" i="8" a="1"/>
  <c r="X209" i="8" s="1"/>
  <c r="W209" i="8" a="1"/>
  <c r="W209" i="8" s="1"/>
  <c r="V209" i="8" a="1"/>
  <c r="V209" i="8" s="1"/>
  <c r="U209" i="8" a="1"/>
  <c r="U209" i="8" s="1"/>
  <c r="T209" i="8" a="1"/>
  <c r="T209" i="8" s="1"/>
  <c r="S209" i="8" a="1"/>
  <c r="S209" i="8" s="1"/>
  <c r="R209" i="8" a="1"/>
  <c r="R209" i="8" s="1"/>
  <c r="Q209" i="8" a="1"/>
  <c r="Q209" i="8" s="1"/>
  <c r="P209" i="8" a="1"/>
  <c r="P209" i="8" s="1"/>
  <c r="O209" i="8" a="1"/>
  <c r="O209" i="8" s="1"/>
  <c r="N209" i="8" a="1"/>
  <c r="N209" i="8" s="1"/>
  <c r="M209" i="8" a="1"/>
  <c r="M209" i="8" s="1"/>
  <c r="L209" i="8" a="1"/>
  <c r="L209" i="8" s="1"/>
  <c r="K209" i="8" a="1"/>
  <c r="K209" i="8" s="1"/>
  <c r="J209" i="8" a="1"/>
  <c r="J209" i="8" s="1"/>
  <c r="I209" i="8" a="1"/>
  <c r="I209" i="8" s="1"/>
  <c r="H209" i="8" a="1"/>
  <c r="H209" i="8" s="1"/>
  <c r="G209" i="8" a="1"/>
  <c r="G209" i="8" s="1"/>
  <c r="F209" i="8" a="1"/>
  <c r="F209" i="8" s="1"/>
  <c r="E209" i="8" a="1"/>
  <c r="E209" i="8" s="1"/>
  <c r="AB208" i="8" a="1"/>
  <c r="AB208" i="8" s="1"/>
  <c r="AA208" i="8" a="1"/>
  <c r="AA208" i="8" s="1"/>
  <c r="Z208" i="8" a="1"/>
  <c r="Z208" i="8" s="1"/>
  <c r="Y208" i="8" a="1"/>
  <c r="Y208" i="8" s="1"/>
  <c r="X208" i="8" a="1"/>
  <c r="X208" i="8" s="1"/>
  <c r="W208" i="8" a="1"/>
  <c r="W208" i="8" s="1"/>
  <c r="V208" i="8" a="1"/>
  <c r="V208" i="8" s="1"/>
  <c r="U208" i="8" a="1"/>
  <c r="U208" i="8" s="1"/>
  <c r="T208" i="8" a="1"/>
  <c r="T208" i="8" s="1"/>
  <c r="S208" i="8" a="1"/>
  <c r="S208" i="8" s="1"/>
  <c r="R208" i="8" a="1"/>
  <c r="R208" i="8" s="1"/>
  <c r="Q208" i="8" a="1"/>
  <c r="Q208" i="8" s="1"/>
  <c r="P208" i="8" a="1"/>
  <c r="P208" i="8" s="1"/>
  <c r="O208" i="8" a="1"/>
  <c r="O208" i="8" s="1"/>
  <c r="N208" i="8" a="1"/>
  <c r="N208" i="8" s="1"/>
  <c r="M208" i="8" a="1"/>
  <c r="M208" i="8" s="1"/>
  <c r="L208" i="8" a="1"/>
  <c r="L208" i="8" s="1"/>
  <c r="K208" i="8" a="1"/>
  <c r="K208" i="8" s="1"/>
  <c r="J208" i="8" a="1"/>
  <c r="J208" i="8" s="1"/>
  <c r="I208" i="8" a="1"/>
  <c r="I208" i="8" s="1"/>
  <c r="H208" i="8" a="1"/>
  <c r="H208" i="8" s="1"/>
  <c r="G208" i="8" a="1"/>
  <c r="G208" i="8" s="1"/>
  <c r="F208" i="8" a="1"/>
  <c r="F208" i="8" s="1"/>
  <c r="E208" i="8" a="1"/>
  <c r="E208" i="8" s="1"/>
  <c r="AB207" i="8" a="1"/>
  <c r="AB207" i="8" s="1"/>
  <c r="AA207" i="8" a="1"/>
  <c r="AA207" i="8" s="1"/>
  <c r="Z207" i="8" a="1"/>
  <c r="Z207" i="8" s="1"/>
  <c r="Y207" i="8" a="1"/>
  <c r="Y207" i="8" s="1"/>
  <c r="X207" i="8" a="1"/>
  <c r="X207" i="8" s="1"/>
  <c r="W207" i="8" a="1"/>
  <c r="W207" i="8" s="1"/>
  <c r="V207" i="8" a="1"/>
  <c r="V207" i="8" s="1"/>
  <c r="U207" i="8" a="1"/>
  <c r="U207" i="8" s="1"/>
  <c r="T207" i="8" a="1"/>
  <c r="T207" i="8" s="1"/>
  <c r="S207" i="8" a="1"/>
  <c r="S207" i="8" s="1"/>
  <c r="R207" i="8" a="1"/>
  <c r="R207" i="8" s="1"/>
  <c r="Q207" i="8" a="1"/>
  <c r="Q207" i="8" s="1"/>
  <c r="P207" i="8" a="1"/>
  <c r="P207" i="8" s="1"/>
  <c r="O207" i="8" a="1"/>
  <c r="O207" i="8" s="1"/>
  <c r="N207" i="8" a="1"/>
  <c r="N207" i="8" s="1"/>
  <c r="M207" i="8" a="1"/>
  <c r="M207" i="8" s="1"/>
  <c r="L207" i="8" a="1"/>
  <c r="L207" i="8" s="1"/>
  <c r="K207" i="8" a="1"/>
  <c r="K207" i="8" s="1"/>
  <c r="J207" i="8" a="1"/>
  <c r="J207" i="8" s="1"/>
  <c r="I207" i="8" a="1"/>
  <c r="I207" i="8" s="1"/>
  <c r="H207" i="8" a="1"/>
  <c r="H207" i="8" s="1"/>
  <c r="G207" i="8" a="1"/>
  <c r="G207" i="8" s="1"/>
  <c r="F207" i="8" a="1"/>
  <c r="F207" i="8" s="1"/>
  <c r="E207" i="8" a="1"/>
  <c r="E207" i="8" s="1"/>
  <c r="AB206" i="8" a="1"/>
  <c r="AB206" i="8" s="1"/>
  <c r="AA206" i="8" a="1"/>
  <c r="AA206" i="8" s="1"/>
  <c r="Z206" i="8" a="1"/>
  <c r="Z206" i="8" s="1"/>
  <c r="Y206" i="8" a="1"/>
  <c r="Y206" i="8" s="1"/>
  <c r="X206" i="8" a="1"/>
  <c r="X206" i="8" s="1"/>
  <c r="W206" i="8" a="1"/>
  <c r="W206" i="8" s="1"/>
  <c r="V206" i="8" a="1"/>
  <c r="V206" i="8" s="1"/>
  <c r="U206" i="8" a="1"/>
  <c r="U206" i="8" s="1"/>
  <c r="T206" i="8" a="1"/>
  <c r="T206" i="8" s="1"/>
  <c r="S206" i="8" a="1"/>
  <c r="S206" i="8" s="1"/>
  <c r="R206" i="8" a="1"/>
  <c r="R206" i="8" s="1"/>
  <c r="Q206" i="8" a="1"/>
  <c r="Q206" i="8" s="1"/>
  <c r="P206" i="8" a="1"/>
  <c r="P206" i="8" s="1"/>
  <c r="O206" i="8" a="1"/>
  <c r="O206" i="8" s="1"/>
  <c r="N206" i="8" a="1"/>
  <c r="N206" i="8" s="1"/>
  <c r="M206" i="8" a="1"/>
  <c r="M206" i="8" s="1"/>
  <c r="L206" i="8" a="1"/>
  <c r="L206" i="8" s="1"/>
  <c r="K206" i="8" a="1"/>
  <c r="K206" i="8" s="1"/>
  <c r="J206" i="8" a="1"/>
  <c r="J206" i="8" s="1"/>
  <c r="I206" i="8" a="1"/>
  <c r="I206" i="8" s="1"/>
  <c r="H206" i="8" a="1"/>
  <c r="H206" i="8" s="1"/>
  <c r="G206" i="8" a="1"/>
  <c r="G206" i="8" s="1"/>
  <c r="F206" i="8" a="1"/>
  <c r="F206" i="8" s="1"/>
  <c r="E206" i="8" a="1"/>
  <c r="E206" i="8" s="1"/>
  <c r="AB205" i="8" a="1"/>
  <c r="AB205" i="8" s="1"/>
  <c r="AA205" i="8" a="1"/>
  <c r="AA205" i="8" s="1"/>
  <c r="Z205" i="8" a="1"/>
  <c r="Z205" i="8" s="1"/>
  <c r="Y205" i="8" a="1"/>
  <c r="Y205" i="8" s="1"/>
  <c r="X205" i="8" a="1"/>
  <c r="X205" i="8" s="1"/>
  <c r="W205" i="8" a="1"/>
  <c r="W205" i="8" s="1"/>
  <c r="V205" i="8" a="1"/>
  <c r="V205" i="8" s="1"/>
  <c r="U205" i="8" a="1"/>
  <c r="U205" i="8" s="1"/>
  <c r="T205" i="8" a="1"/>
  <c r="T205" i="8" s="1"/>
  <c r="S205" i="8" a="1"/>
  <c r="S205" i="8" s="1"/>
  <c r="R205" i="8" a="1"/>
  <c r="R205" i="8" s="1"/>
  <c r="Q205" i="8" a="1"/>
  <c r="Q205" i="8" s="1"/>
  <c r="P205" i="8" a="1"/>
  <c r="P205" i="8" s="1"/>
  <c r="O205" i="8" a="1"/>
  <c r="O205" i="8" s="1"/>
  <c r="N205" i="8" a="1"/>
  <c r="N205" i="8" s="1"/>
  <c r="M205" i="8" a="1"/>
  <c r="M205" i="8" s="1"/>
  <c r="L205" i="8" a="1"/>
  <c r="L205" i="8" s="1"/>
  <c r="K205" i="8" a="1"/>
  <c r="K205" i="8" s="1"/>
  <c r="J205" i="8" a="1"/>
  <c r="J205" i="8" s="1"/>
  <c r="I205" i="8" a="1"/>
  <c r="I205" i="8" s="1"/>
  <c r="H205" i="8" a="1"/>
  <c r="H205" i="8" s="1"/>
  <c r="G205" i="8" a="1"/>
  <c r="G205" i="8" s="1"/>
  <c r="F205" i="8" a="1"/>
  <c r="F205" i="8" s="1"/>
  <c r="E205" i="8" a="1"/>
  <c r="E205" i="8" s="1"/>
  <c r="AB204" i="8" a="1"/>
  <c r="AB204" i="8" s="1"/>
  <c r="AA204" i="8" a="1"/>
  <c r="AA204" i="8" s="1"/>
  <c r="Z204" i="8" a="1"/>
  <c r="Z204" i="8" s="1"/>
  <c r="Y204" i="8" a="1"/>
  <c r="Y204" i="8" s="1"/>
  <c r="X204" i="8" a="1"/>
  <c r="X204" i="8" s="1"/>
  <c r="W204" i="8" a="1"/>
  <c r="W204" i="8" s="1"/>
  <c r="V204" i="8" a="1"/>
  <c r="V204" i="8" s="1"/>
  <c r="U204" i="8" a="1"/>
  <c r="U204" i="8" s="1"/>
  <c r="T204" i="8" a="1"/>
  <c r="T204" i="8" s="1"/>
  <c r="S204" i="8" a="1"/>
  <c r="S204" i="8" s="1"/>
  <c r="R204" i="8" a="1"/>
  <c r="R204" i="8" s="1"/>
  <c r="Q204" i="8" a="1"/>
  <c r="Q204" i="8" s="1"/>
  <c r="P204" i="8" a="1"/>
  <c r="P204" i="8" s="1"/>
  <c r="O204" i="8" a="1"/>
  <c r="O204" i="8" s="1"/>
  <c r="N204" i="8" a="1"/>
  <c r="N204" i="8" s="1"/>
  <c r="M204" i="8" a="1"/>
  <c r="M204" i="8" s="1"/>
  <c r="L204" i="8" a="1"/>
  <c r="L204" i="8" s="1"/>
  <c r="K204" i="8" a="1"/>
  <c r="K204" i="8" s="1"/>
  <c r="J204" i="8" a="1"/>
  <c r="J204" i="8" s="1"/>
  <c r="I204" i="8" a="1"/>
  <c r="I204" i="8" s="1"/>
  <c r="H204" i="8" a="1"/>
  <c r="H204" i="8" s="1"/>
  <c r="G204" i="8" a="1"/>
  <c r="G204" i="8" s="1"/>
  <c r="F204" i="8" a="1"/>
  <c r="F204" i="8" s="1"/>
  <c r="E204" i="8" a="1"/>
  <c r="E204" i="8" s="1"/>
  <c r="AB203" i="8" a="1"/>
  <c r="AB203" i="8" s="1"/>
  <c r="AA203" i="8" a="1"/>
  <c r="AA203" i="8" s="1"/>
  <c r="Z203" i="8" a="1"/>
  <c r="Z203" i="8" s="1"/>
  <c r="Y203" i="8" a="1"/>
  <c r="Y203" i="8" s="1"/>
  <c r="X203" i="8" a="1"/>
  <c r="X203" i="8" s="1"/>
  <c r="W203" i="8" a="1"/>
  <c r="W203" i="8" s="1"/>
  <c r="V203" i="8" a="1"/>
  <c r="V203" i="8" s="1"/>
  <c r="U203" i="8" a="1"/>
  <c r="U203" i="8" s="1"/>
  <c r="T203" i="8" a="1"/>
  <c r="T203" i="8" s="1"/>
  <c r="S203" i="8" a="1"/>
  <c r="S203" i="8" s="1"/>
  <c r="R203" i="8" a="1"/>
  <c r="R203" i="8" s="1"/>
  <c r="Q203" i="8" a="1"/>
  <c r="Q203" i="8" s="1"/>
  <c r="P203" i="8" a="1"/>
  <c r="P203" i="8" s="1"/>
  <c r="O203" i="8" a="1"/>
  <c r="O203" i="8" s="1"/>
  <c r="N203" i="8" a="1"/>
  <c r="N203" i="8" s="1"/>
  <c r="M203" i="8" a="1"/>
  <c r="M203" i="8" s="1"/>
  <c r="L203" i="8" a="1"/>
  <c r="L203" i="8" s="1"/>
  <c r="K203" i="8" a="1"/>
  <c r="K203" i="8" s="1"/>
  <c r="J203" i="8" a="1"/>
  <c r="J203" i="8" s="1"/>
  <c r="I203" i="8" a="1"/>
  <c r="I203" i="8" s="1"/>
  <c r="H203" i="8" a="1"/>
  <c r="H203" i="8" s="1"/>
  <c r="G203" i="8" a="1"/>
  <c r="G203" i="8" s="1"/>
  <c r="F203" i="8" a="1"/>
  <c r="F203" i="8" s="1"/>
  <c r="E203" i="8" a="1"/>
  <c r="E203" i="8" s="1"/>
  <c r="AB202" i="8" a="1"/>
  <c r="AB202" i="8" s="1"/>
  <c r="AA202" i="8" a="1"/>
  <c r="AA202" i="8" s="1"/>
  <c r="Z202" i="8" a="1"/>
  <c r="Z202" i="8" s="1"/>
  <c r="Y202" i="8" a="1"/>
  <c r="Y202" i="8" s="1"/>
  <c r="X202" i="8" a="1"/>
  <c r="X202" i="8" s="1"/>
  <c r="W202" i="8" a="1"/>
  <c r="W202" i="8" s="1"/>
  <c r="V202" i="8" a="1"/>
  <c r="V202" i="8" s="1"/>
  <c r="U202" i="8" a="1"/>
  <c r="U202" i="8" s="1"/>
  <c r="T202" i="8" a="1"/>
  <c r="T202" i="8" s="1"/>
  <c r="S202" i="8" a="1"/>
  <c r="S202" i="8" s="1"/>
  <c r="R202" i="8" a="1"/>
  <c r="R202" i="8" s="1"/>
  <c r="Q202" i="8" a="1"/>
  <c r="Q202" i="8" s="1"/>
  <c r="P202" i="8" a="1"/>
  <c r="P202" i="8" s="1"/>
  <c r="O202" i="8" a="1"/>
  <c r="O202" i="8" s="1"/>
  <c r="N202" i="8" a="1"/>
  <c r="N202" i="8" s="1"/>
  <c r="M202" i="8" a="1"/>
  <c r="M202" i="8" s="1"/>
  <c r="L202" i="8" a="1"/>
  <c r="L202" i="8" s="1"/>
  <c r="K202" i="8" a="1"/>
  <c r="K202" i="8" s="1"/>
  <c r="J202" i="8" a="1"/>
  <c r="J202" i="8" s="1"/>
  <c r="I202" i="8" a="1"/>
  <c r="I202" i="8" s="1"/>
  <c r="H202" i="8" a="1"/>
  <c r="H202" i="8" s="1"/>
  <c r="G202" i="8" a="1"/>
  <c r="G202" i="8" s="1"/>
  <c r="F202" i="8" a="1"/>
  <c r="F202" i="8" s="1"/>
  <c r="E202" i="8" a="1"/>
  <c r="E202" i="8" s="1"/>
  <c r="AB201" i="8" a="1"/>
  <c r="AB201" i="8" s="1"/>
  <c r="AA201" i="8" a="1"/>
  <c r="AA201" i="8" s="1"/>
  <c r="Z201" i="8" a="1"/>
  <c r="Z201" i="8" s="1"/>
  <c r="Y201" i="8" a="1"/>
  <c r="Y201" i="8" s="1"/>
  <c r="X201" i="8" a="1"/>
  <c r="X201" i="8" s="1"/>
  <c r="W201" i="8" a="1"/>
  <c r="W201" i="8" s="1"/>
  <c r="V201" i="8" a="1"/>
  <c r="V201" i="8" s="1"/>
  <c r="U201" i="8" a="1"/>
  <c r="U201" i="8" s="1"/>
  <c r="T201" i="8" a="1"/>
  <c r="T201" i="8" s="1"/>
  <c r="S201" i="8" a="1"/>
  <c r="S201" i="8" s="1"/>
  <c r="R201" i="8" a="1"/>
  <c r="R201" i="8" s="1"/>
  <c r="Q201" i="8" a="1"/>
  <c r="Q201" i="8" s="1"/>
  <c r="P201" i="8" a="1"/>
  <c r="P201" i="8" s="1"/>
  <c r="O201" i="8" a="1"/>
  <c r="O201" i="8" s="1"/>
  <c r="N201" i="8" a="1"/>
  <c r="N201" i="8" s="1"/>
  <c r="M201" i="8" a="1"/>
  <c r="M201" i="8" s="1"/>
  <c r="L201" i="8" a="1"/>
  <c r="L201" i="8" s="1"/>
  <c r="K201" i="8" a="1"/>
  <c r="K201" i="8" s="1"/>
  <c r="J201" i="8" a="1"/>
  <c r="J201" i="8" s="1"/>
  <c r="I201" i="8" a="1"/>
  <c r="I201" i="8" s="1"/>
  <c r="H201" i="8" a="1"/>
  <c r="H201" i="8" s="1"/>
  <c r="G201" i="8" a="1"/>
  <c r="G201" i="8" s="1"/>
  <c r="F201" i="8" a="1"/>
  <c r="F201" i="8" s="1"/>
  <c r="E201" i="8" a="1"/>
  <c r="E201" i="8" s="1"/>
  <c r="AB200" i="8" a="1"/>
  <c r="AB200" i="8" s="1"/>
  <c r="AA200" i="8" a="1"/>
  <c r="AA200" i="8" s="1"/>
  <c r="Z200" i="8" a="1"/>
  <c r="Z200" i="8" s="1"/>
  <c r="Y200" i="8" a="1"/>
  <c r="Y200" i="8" s="1"/>
  <c r="X200" i="8" a="1"/>
  <c r="X200" i="8" s="1"/>
  <c r="W200" i="8" a="1"/>
  <c r="W200" i="8" s="1"/>
  <c r="V200" i="8" a="1"/>
  <c r="V200" i="8" s="1"/>
  <c r="U200" i="8" a="1"/>
  <c r="U200" i="8" s="1"/>
  <c r="T200" i="8" a="1"/>
  <c r="T200" i="8" s="1"/>
  <c r="S200" i="8" a="1"/>
  <c r="S200" i="8" s="1"/>
  <c r="R200" i="8" a="1"/>
  <c r="R200" i="8" s="1"/>
  <c r="Q200" i="8" a="1"/>
  <c r="Q200" i="8" s="1"/>
  <c r="P200" i="8" a="1"/>
  <c r="P200" i="8" s="1"/>
  <c r="O200" i="8" a="1"/>
  <c r="O200" i="8" s="1"/>
  <c r="N200" i="8" a="1"/>
  <c r="N200" i="8" s="1"/>
  <c r="M200" i="8" a="1"/>
  <c r="M200" i="8" s="1"/>
  <c r="L200" i="8" a="1"/>
  <c r="L200" i="8" s="1"/>
  <c r="K200" i="8" a="1"/>
  <c r="K200" i="8" s="1"/>
  <c r="J200" i="8" a="1"/>
  <c r="J200" i="8" s="1"/>
  <c r="I200" i="8" a="1"/>
  <c r="I200" i="8" s="1"/>
  <c r="H200" i="8" a="1"/>
  <c r="H200" i="8" s="1"/>
  <c r="G200" i="8" a="1"/>
  <c r="G200" i="8" s="1"/>
  <c r="F200" i="8" a="1"/>
  <c r="F200" i="8" s="1"/>
  <c r="E200" i="8" a="1"/>
  <c r="E200" i="8" s="1"/>
  <c r="AB199" i="8" a="1"/>
  <c r="AB199" i="8" s="1"/>
  <c r="AA199" i="8" a="1"/>
  <c r="AA199" i="8" s="1"/>
  <c r="Z199" i="8" a="1"/>
  <c r="Z199" i="8" s="1"/>
  <c r="Y199" i="8" a="1"/>
  <c r="Y199" i="8" s="1"/>
  <c r="X199" i="8" a="1"/>
  <c r="X199" i="8" s="1"/>
  <c r="W199" i="8" a="1"/>
  <c r="W199" i="8" s="1"/>
  <c r="V199" i="8" a="1"/>
  <c r="V199" i="8" s="1"/>
  <c r="U199" i="8" a="1"/>
  <c r="U199" i="8" s="1"/>
  <c r="T199" i="8" a="1"/>
  <c r="T199" i="8" s="1"/>
  <c r="S199" i="8" a="1"/>
  <c r="S199" i="8" s="1"/>
  <c r="R199" i="8" a="1"/>
  <c r="R199" i="8" s="1"/>
  <c r="Q199" i="8" a="1"/>
  <c r="Q199" i="8" s="1"/>
  <c r="P199" i="8" a="1"/>
  <c r="P199" i="8" s="1"/>
  <c r="O199" i="8" a="1"/>
  <c r="O199" i="8" s="1"/>
  <c r="N199" i="8" a="1"/>
  <c r="N199" i="8" s="1"/>
  <c r="M199" i="8" a="1"/>
  <c r="M199" i="8" s="1"/>
  <c r="L199" i="8" a="1"/>
  <c r="L199" i="8" s="1"/>
  <c r="K199" i="8" a="1"/>
  <c r="K199" i="8" s="1"/>
  <c r="J199" i="8" a="1"/>
  <c r="J199" i="8" s="1"/>
  <c r="I199" i="8" a="1"/>
  <c r="I199" i="8" s="1"/>
  <c r="H199" i="8" a="1"/>
  <c r="H199" i="8" s="1"/>
  <c r="G199" i="8" a="1"/>
  <c r="G199" i="8" s="1"/>
  <c r="F199" i="8" a="1"/>
  <c r="F199" i="8" s="1"/>
  <c r="E199" i="8" a="1"/>
  <c r="E199" i="8" s="1"/>
  <c r="AB198" i="8" a="1"/>
  <c r="AB198" i="8" s="1"/>
  <c r="AA198" i="8" a="1"/>
  <c r="AA198" i="8" s="1"/>
  <c r="Z198" i="8" a="1"/>
  <c r="Z198" i="8" s="1"/>
  <c r="Y198" i="8" a="1"/>
  <c r="Y198" i="8" s="1"/>
  <c r="X198" i="8" a="1"/>
  <c r="X198" i="8" s="1"/>
  <c r="W198" i="8" a="1"/>
  <c r="W198" i="8" s="1"/>
  <c r="V198" i="8" a="1"/>
  <c r="V198" i="8" s="1"/>
  <c r="U198" i="8" a="1"/>
  <c r="U198" i="8" s="1"/>
  <c r="T198" i="8" a="1"/>
  <c r="T198" i="8" s="1"/>
  <c r="S198" i="8" a="1"/>
  <c r="S198" i="8" s="1"/>
  <c r="R198" i="8" a="1"/>
  <c r="R198" i="8" s="1"/>
  <c r="Q198" i="8" a="1"/>
  <c r="Q198" i="8" s="1"/>
  <c r="P198" i="8" a="1"/>
  <c r="P198" i="8" s="1"/>
  <c r="O198" i="8" a="1"/>
  <c r="O198" i="8" s="1"/>
  <c r="N198" i="8" a="1"/>
  <c r="N198" i="8" s="1"/>
  <c r="M198" i="8" a="1"/>
  <c r="M198" i="8" s="1"/>
  <c r="L198" i="8" a="1"/>
  <c r="L198" i="8" s="1"/>
  <c r="K198" i="8" a="1"/>
  <c r="K198" i="8" s="1"/>
  <c r="J198" i="8" a="1"/>
  <c r="J198" i="8" s="1"/>
  <c r="I198" i="8" a="1"/>
  <c r="I198" i="8" s="1"/>
  <c r="H198" i="8" a="1"/>
  <c r="H198" i="8" s="1"/>
  <c r="G198" i="8" a="1"/>
  <c r="G198" i="8" s="1"/>
  <c r="F198" i="8" a="1"/>
  <c r="F198" i="8" s="1"/>
  <c r="E198" i="8" a="1"/>
  <c r="E198" i="8" s="1"/>
  <c r="AB197" i="8" a="1"/>
  <c r="AB197" i="8" s="1"/>
  <c r="AA197" i="8" a="1"/>
  <c r="AA197" i="8" s="1"/>
  <c r="Z197" i="8" a="1"/>
  <c r="Z197" i="8" s="1"/>
  <c r="Y197" i="8" a="1"/>
  <c r="Y197" i="8" s="1"/>
  <c r="X197" i="8" a="1"/>
  <c r="X197" i="8" s="1"/>
  <c r="W197" i="8" a="1"/>
  <c r="W197" i="8" s="1"/>
  <c r="V197" i="8" a="1"/>
  <c r="V197" i="8" s="1"/>
  <c r="U197" i="8" a="1"/>
  <c r="U197" i="8" s="1"/>
  <c r="T197" i="8" a="1"/>
  <c r="T197" i="8" s="1"/>
  <c r="S197" i="8" a="1"/>
  <c r="S197" i="8" s="1"/>
  <c r="R197" i="8" a="1"/>
  <c r="R197" i="8" s="1"/>
  <c r="Q197" i="8" a="1"/>
  <c r="Q197" i="8" s="1"/>
  <c r="P197" i="8" a="1"/>
  <c r="P197" i="8" s="1"/>
  <c r="O197" i="8" a="1"/>
  <c r="O197" i="8" s="1"/>
  <c r="N197" i="8" a="1"/>
  <c r="N197" i="8" s="1"/>
  <c r="M197" i="8" a="1"/>
  <c r="M197" i="8" s="1"/>
  <c r="L197" i="8" a="1"/>
  <c r="L197" i="8" s="1"/>
  <c r="K197" i="8" a="1"/>
  <c r="K197" i="8" s="1"/>
  <c r="J197" i="8" a="1"/>
  <c r="J197" i="8" s="1"/>
  <c r="I197" i="8" a="1"/>
  <c r="I197" i="8" s="1"/>
  <c r="H197" i="8" a="1"/>
  <c r="H197" i="8" s="1"/>
  <c r="G197" i="8" a="1"/>
  <c r="G197" i="8" s="1"/>
  <c r="F197" i="8" a="1"/>
  <c r="F197" i="8" s="1"/>
  <c r="E197" i="8" a="1"/>
  <c r="E197" i="8" s="1"/>
  <c r="AB196" i="8" a="1"/>
  <c r="AB196" i="8" s="1"/>
  <c r="AA196" i="8" a="1"/>
  <c r="AA196" i="8" s="1"/>
  <c r="Z196" i="8" a="1"/>
  <c r="Z196" i="8" s="1"/>
  <c r="Y196" i="8" a="1"/>
  <c r="Y196" i="8" s="1"/>
  <c r="X196" i="8" a="1"/>
  <c r="X196" i="8" s="1"/>
  <c r="W196" i="8" a="1"/>
  <c r="W196" i="8" s="1"/>
  <c r="V196" i="8" a="1"/>
  <c r="V196" i="8" s="1"/>
  <c r="U196" i="8" a="1"/>
  <c r="U196" i="8" s="1"/>
  <c r="T196" i="8" a="1"/>
  <c r="T196" i="8" s="1"/>
  <c r="S196" i="8" a="1"/>
  <c r="S196" i="8" s="1"/>
  <c r="R196" i="8" a="1"/>
  <c r="R196" i="8" s="1"/>
  <c r="Q196" i="8" a="1"/>
  <c r="Q196" i="8" s="1"/>
  <c r="P196" i="8" a="1"/>
  <c r="P196" i="8" s="1"/>
  <c r="O196" i="8" a="1"/>
  <c r="O196" i="8" s="1"/>
  <c r="N196" i="8" a="1"/>
  <c r="N196" i="8" s="1"/>
  <c r="M196" i="8" a="1"/>
  <c r="M196" i="8" s="1"/>
  <c r="L196" i="8" a="1"/>
  <c r="L196" i="8" s="1"/>
  <c r="K196" i="8" a="1"/>
  <c r="K196" i="8" s="1"/>
  <c r="J196" i="8" a="1"/>
  <c r="J196" i="8" s="1"/>
  <c r="I196" i="8" a="1"/>
  <c r="I196" i="8" s="1"/>
  <c r="H196" i="8" a="1"/>
  <c r="H196" i="8" s="1"/>
  <c r="G196" i="8" a="1"/>
  <c r="G196" i="8" s="1"/>
  <c r="F196" i="8" a="1"/>
  <c r="F196" i="8" s="1"/>
  <c r="E196" i="8" a="1"/>
  <c r="E196" i="8" s="1"/>
  <c r="AB195" i="8" a="1"/>
  <c r="AB195" i="8" s="1"/>
  <c r="AA195" i="8" a="1"/>
  <c r="AA195" i="8" s="1"/>
  <c r="Z195" i="8" a="1"/>
  <c r="Z195" i="8" s="1"/>
  <c r="Y195" i="8" a="1"/>
  <c r="Y195" i="8" s="1"/>
  <c r="X195" i="8" a="1"/>
  <c r="X195" i="8" s="1"/>
  <c r="W195" i="8" a="1"/>
  <c r="W195" i="8" s="1"/>
  <c r="V195" i="8" a="1"/>
  <c r="V195" i="8" s="1"/>
  <c r="U195" i="8" a="1"/>
  <c r="U195" i="8" s="1"/>
  <c r="T195" i="8" a="1"/>
  <c r="T195" i="8" s="1"/>
  <c r="S195" i="8" a="1"/>
  <c r="S195" i="8" s="1"/>
  <c r="R195" i="8" a="1"/>
  <c r="R195" i="8" s="1"/>
  <c r="Q195" i="8" a="1"/>
  <c r="Q195" i="8" s="1"/>
  <c r="P195" i="8" a="1"/>
  <c r="P195" i="8" s="1"/>
  <c r="O195" i="8" a="1"/>
  <c r="O195" i="8" s="1"/>
  <c r="N195" i="8" a="1"/>
  <c r="N195" i="8" s="1"/>
  <c r="M195" i="8" a="1"/>
  <c r="M195" i="8" s="1"/>
  <c r="L195" i="8" a="1"/>
  <c r="L195" i="8" s="1"/>
  <c r="K195" i="8" a="1"/>
  <c r="K195" i="8" s="1"/>
  <c r="J195" i="8" a="1"/>
  <c r="J195" i="8" s="1"/>
  <c r="I195" i="8" a="1"/>
  <c r="I195" i="8" s="1"/>
  <c r="H195" i="8" a="1"/>
  <c r="H195" i="8" s="1"/>
  <c r="G195" i="8" a="1"/>
  <c r="G195" i="8" s="1"/>
  <c r="F195" i="8" a="1"/>
  <c r="F195" i="8" s="1"/>
  <c r="E195" i="8" a="1"/>
  <c r="E195" i="8" s="1"/>
  <c r="AB194" i="8" a="1"/>
  <c r="AB194" i="8" s="1"/>
  <c r="AA194" i="8" a="1"/>
  <c r="AA194" i="8" s="1"/>
  <c r="Z194" i="8" a="1"/>
  <c r="Z194" i="8" s="1"/>
  <c r="Y194" i="8" a="1"/>
  <c r="Y194" i="8" s="1"/>
  <c r="X194" i="8" a="1"/>
  <c r="X194" i="8" s="1"/>
  <c r="W194" i="8" a="1"/>
  <c r="W194" i="8" s="1"/>
  <c r="V194" i="8" a="1"/>
  <c r="V194" i="8" s="1"/>
  <c r="U194" i="8" a="1"/>
  <c r="U194" i="8" s="1"/>
  <c r="T194" i="8" a="1"/>
  <c r="T194" i="8" s="1"/>
  <c r="S194" i="8" a="1"/>
  <c r="S194" i="8" s="1"/>
  <c r="R194" i="8" a="1"/>
  <c r="R194" i="8" s="1"/>
  <c r="Q194" i="8" a="1"/>
  <c r="Q194" i="8" s="1"/>
  <c r="P194" i="8" a="1"/>
  <c r="P194" i="8" s="1"/>
  <c r="O194" i="8" a="1"/>
  <c r="O194" i="8" s="1"/>
  <c r="N194" i="8" a="1"/>
  <c r="N194" i="8" s="1"/>
  <c r="M194" i="8" a="1"/>
  <c r="M194" i="8" s="1"/>
  <c r="L194" i="8" a="1"/>
  <c r="L194" i="8" s="1"/>
  <c r="K194" i="8" a="1"/>
  <c r="K194" i="8" s="1"/>
  <c r="J194" i="8" a="1"/>
  <c r="J194" i="8" s="1"/>
  <c r="I194" i="8" a="1"/>
  <c r="I194" i="8" s="1"/>
  <c r="H194" i="8" a="1"/>
  <c r="H194" i="8" s="1"/>
  <c r="G194" i="8" a="1"/>
  <c r="G194" i="8" s="1"/>
  <c r="F194" i="8" a="1"/>
  <c r="F194" i="8" s="1"/>
  <c r="E194" i="8" a="1"/>
  <c r="E194" i="8" s="1"/>
  <c r="AB193" i="8" a="1"/>
  <c r="AB193" i="8" s="1"/>
  <c r="AA193" i="8" a="1"/>
  <c r="AA193" i="8" s="1"/>
  <c r="Z193" i="8" a="1"/>
  <c r="Z193" i="8" s="1"/>
  <c r="Y193" i="8" a="1"/>
  <c r="Y193" i="8" s="1"/>
  <c r="X193" i="8" a="1"/>
  <c r="X193" i="8" s="1"/>
  <c r="W193" i="8" a="1"/>
  <c r="W193" i="8" s="1"/>
  <c r="V193" i="8" a="1"/>
  <c r="V193" i="8" s="1"/>
  <c r="U193" i="8" a="1"/>
  <c r="U193" i="8" s="1"/>
  <c r="T193" i="8" a="1"/>
  <c r="T193" i="8" s="1"/>
  <c r="S193" i="8" a="1"/>
  <c r="S193" i="8" s="1"/>
  <c r="R193" i="8" a="1"/>
  <c r="R193" i="8" s="1"/>
  <c r="Q193" i="8" a="1"/>
  <c r="Q193" i="8" s="1"/>
  <c r="P193" i="8" a="1"/>
  <c r="P193" i="8" s="1"/>
  <c r="O193" i="8" a="1"/>
  <c r="O193" i="8" s="1"/>
  <c r="N193" i="8" a="1"/>
  <c r="N193" i="8" s="1"/>
  <c r="M193" i="8" a="1"/>
  <c r="M193" i="8" s="1"/>
  <c r="L193" i="8" a="1"/>
  <c r="L193" i="8" s="1"/>
  <c r="K193" i="8" a="1"/>
  <c r="K193" i="8" s="1"/>
  <c r="J193" i="8" a="1"/>
  <c r="J193" i="8" s="1"/>
  <c r="I193" i="8" a="1"/>
  <c r="I193" i="8" s="1"/>
  <c r="H193" i="8" a="1"/>
  <c r="H193" i="8" s="1"/>
  <c r="G193" i="8" a="1"/>
  <c r="G193" i="8" s="1"/>
  <c r="F193" i="8" a="1"/>
  <c r="F193" i="8" s="1"/>
  <c r="E193" i="8" a="1"/>
  <c r="E193" i="8" s="1"/>
  <c r="AB192" i="8" a="1"/>
  <c r="AB192" i="8" s="1"/>
  <c r="AA192" i="8" a="1"/>
  <c r="AA192" i="8" s="1"/>
  <c r="Z192" i="8" a="1"/>
  <c r="Z192" i="8" s="1"/>
  <c r="Y192" i="8" a="1"/>
  <c r="Y192" i="8" s="1"/>
  <c r="X192" i="8" a="1"/>
  <c r="X192" i="8" s="1"/>
  <c r="W192" i="8" a="1"/>
  <c r="W192" i="8" s="1"/>
  <c r="V192" i="8" a="1"/>
  <c r="V192" i="8" s="1"/>
  <c r="U192" i="8" a="1"/>
  <c r="U192" i="8" s="1"/>
  <c r="T192" i="8" a="1"/>
  <c r="T192" i="8" s="1"/>
  <c r="S192" i="8" a="1"/>
  <c r="S192" i="8" s="1"/>
  <c r="R192" i="8" a="1"/>
  <c r="R192" i="8" s="1"/>
  <c r="Q192" i="8" a="1"/>
  <c r="Q192" i="8" s="1"/>
  <c r="P192" i="8" a="1"/>
  <c r="P192" i="8" s="1"/>
  <c r="O192" i="8" a="1"/>
  <c r="O192" i="8" s="1"/>
  <c r="N192" i="8" a="1"/>
  <c r="N192" i="8" s="1"/>
  <c r="M192" i="8" a="1"/>
  <c r="M192" i="8" s="1"/>
  <c r="L192" i="8" a="1"/>
  <c r="L192" i="8" s="1"/>
  <c r="K192" i="8" a="1"/>
  <c r="K192" i="8" s="1"/>
  <c r="J192" i="8" a="1"/>
  <c r="J192" i="8" s="1"/>
  <c r="I192" i="8" a="1"/>
  <c r="I192" i="8" s="1"/>
  <c r="H192" i="8" a="1"/>
  <c r="H192" i="8" s="1"/>
  <c r="G192" i="8" a="1"/>
  <c r="G192" i="8" s="1"/>
  <c r="F192" i="8" a="1"/>
  <c r="F192" i="8" s="1"/>
  <c r="E192" i="8" a="1"/>
  <c r="E192" i="8" s="1"/>
  <c r="AB191" i="8" a="1"/>
  <c r="AB191" i="8" s="1"/>
  <c r="AA191" i="8" a="1"/>
  <c r="AA191" i="8" s="1"/>
  <c r="Z191" i="8" a="1"/>
  <c r="Z191" i="8" s="1"/>
  <c r="Y191" i="8" a="1"/>
  <c r="Y191" i="8" s="1"/>
  <c r="X191" i="8" a="1"/>
  <c r="X191" i="8" s="1"/>
  <c r="W191" i="8" a="1"/>
  <c r="W191" i="8" s="1"/>
  <c r="V191" i="8" a="1"/>
  <c r="V191" i="8" s="1"/>
  <c r="U191" i="8" a="1"/>
  <c r="U191" i="8" s="1"/>
  <c r="T191" i="8" a="1"/>
  <c r="T191" i="8" s="1"/>
  <c r="S191" i="8" a="1"/>
  <c r="S191" i="8" s="1"/>
  <c r="R191" i="8" a="1"/>
  <c r="R191" i="8" s="1"/>
  <c r="Q191" i="8" a="1"/>
  <c r="Q191" i="8" s="1"/>
  <c r="P191" i="8" a="1"/>
  <c r="P191" i="8" s="1"/>
  <c r="O191" i="8" a="1"/>
  <c r="O191" i="8" s="1"/>
  <c r="N191" i="8" a="1"/>
  <c r="N191" i="8" s="1"/>
  <c r="M191" i="8" a="1"/>
  <c r="M191" i="8" s="1"/>
  <c r="L191" i="8" a="1"/>
  <c r="L191" i="8" s="1"/>
  <c r="K191" i="8" a="1"/>
  <c r="K191" i="8" s="1"/>
  <c r="J191" i="8" a="1"/>
  <c r="J191" i="8" s="1"/>
  <c r="I191" i="8" a="1"/>
  <c r="I191" i="8" s="1"/>
  <c r="H191" i="8" a="1"/>
  <c r="H191" i="8" s="1"/>
  <c r="G191" i="8" a="1"/>
  <c r="G191" i="8" s="1"/>
  <c r="F191" i="8" a="1"/>
  <c r="F191" i="8" s="1"/>
  <c r="E191" i="8" a="1"/>
  <c r="E191" i="8" s="1"/>
  <c r="AB190" i="8" a="1"/>
  <c r="AB190" i="8" s="1"/>
  <c r="AA190" i="8" a="1"/>
  <c r="AA190" i="8" s="1"/>
  <c r="Z190" i="8" a="1"/>
  <c r="Z190" i="8" s="1"/>
  <c r="Y190" i="8" a="1"/>
  <c r="Y190" i="8" s="1"/>
  <c r="X190" i="8" a="1"/>
  <c r="X190" i="8" s="1"/>
  <c r="W190" i="8" a="1"/>
  <c r="W190" i="8" s="1"/>
  <c r="V190" i="8" a="1"/>
  <c r="V190" i="8" s="1"/>
  <c r="U190" i="8" a="1"/>
  <c r="U190" i="8" s="1"/>
  <c r="T190" i="8" a="1"/>
  <c r="T190" i="8" s="1"/>
  <c r="S190" i="8" a="1"/>
  <c r="S190" i="8" s="1"/>
  <c r="R190" i="8" a="1"/>
  <c r="R190" i="8" s="1"/>
  <c r="Q190" i="8" a="1"/>
  <c r="Q190" i="8" s="1"/>
  <c r="P190" i="8" a="1"/>
  <c r="P190" i="8" s="1"/>
  <c r="O190" i="8" a="1"/>
  <c r="O190" i="8" s="1"/>
  <c r="N190" i="8" a="1"/>
  <c r="N190" i="8" s="1"/>
  <c r="M190" i="8" a="1"/>
  <c r="M190" i="8" s="1"/>
  <c r="L190" i="8" a="1"/>
  <c r="L190" i="8" s="1"/>
  <c r="K190" i="8" a="1"/>
  <c r="K190" i="8" s="1"/>
  <c r="J190" i="8" a="1"/>
  <c r="J190" i="8" s="1"/>
  <c r="I190" i="8" a="1"/>
  <c r="I190" i="8" s="1"/>
  <c r="H190" i="8" a="1"/>
  <c r="H190" i="8" s="1"/>
  <c r="G190" i="8" a="1"/>
  <c r="G190" i="8" s="1"/>
  <c r="F190" i="8" a="1"/>
  <c r="F190" i="8" s="1"/>
  <c r="E190" i="8" a="1"/>
  <c r="E190" i="8" s="1"/>
  <c r="AB189" i="8" a="1"/>
  <c r="AB189" i="8" s="1"/>
  <c r="AA189" i="8" a="1"/>
  <c r="AA189" i="8" s="1"/>
  <c r="Z189" i="8" a="1"/>
  <c r="Z189" i="8" s="1"/>
  <c r="Y189" i="8" a="1"/>
  <c r="Y189" i="8" s="1"/>
  <c r="X189" i="8" a="1"/>
  <c r="X189" i="8" s="1"/>
  <c r="W189" i="8" a="1"/>
  <c r="W189" i="8" s="1"/>
  <c r="V189" i="8" a="1"/>
  <c r="V189" i="8" s="1"/>
  <c r="U189" i="8" a="1"/>
  <c r="U189" i="8" s="1"/>
  <c r="T189" i="8" a="1"/>
  <c r="T189" i="8" s="1"/>
  <c r="S189" i="8" a="1"/>
  <c r="S189" i="8" s="1"/>
  <c r="R189" i="8" a="1"/>
  <c r="R189" i="8" s="1"/>
  <c r="Q189" i="8" a="1"/>
  <c r="Q189" i="8" s="1"/>
  <c r="P189" i="8" a="1"/>
  <c r="P189" i="8" s="1"/>
  <c r="O189" i="8" a="1"/>
  <c r="O189" i="8" s="1"/>
  <c r="N189" i="8" a="1"/>
  <c r="N189" i="8" s="1"/>
  <c r="M189" i="8" a="1"/>
  <c r="M189" i="8" s="1"/>
  <c r="L189" i="8" a="1"/>
  <c r="L189" i="8" s="1"/>
  <c r="K189" i="8" a="1"/>
  <c r="K189" i="8" s="1"/>
  <c r="J189" i="8" a="1"/>
  <c r="J189" i="8" s="1"/>
  <c r="I189" i="8" a="1"/>
  <c r="I189" i="8" s="1"/>
  <c r="H189" i="8" a="1"/>
  <c r="H189" i="8" s="1"/>
  <c r="G189" i="8" a="1"/>
  <c r="G189" i="8" s="1"/>
  <c r="F189" i="8" a="1"/>
  <c r="F189" i="8" s="1"/>
  <c r="E189" i="8" a="1"/>
  <c r="E189" i="8" s="1"/>
  <c r="AB188" i="8" a="1"/>
  <c r="AB188" i="8" s="1"/>
  <c r="AA188" i="8" a="1"/>
  <c r="AA188" i="8" s="1"/>
  <c r="Z188" i="8" a="1"/>
  <c r="Z188" i="8" s="1"/>
  <c r="Y188" i="8" a="1"/>
  <c r="Y188" i="8" s="1"/>
  <c r="X188" i="8" a="1"/>
  <c r="X188" i="8" s="1"/>
  <c r="W188" i="8" a="1"/>
  <c r="W188" i="8" s="1"/>
  <c r="V188" i="8" a="1"/>
  <c r="V188" i="8" s="1"/>
  <c r="U188" i="8" a="1"/>
  <c r="U188" i="8" s="1"/>
  <c r="T188" i="8" a="1"/>
  <c r="T188" i="8" s="1"/>
  <c r="S188" i="8" a="1"/>
  <c r="S188" i="8" s="1"/>
  <c r="R188" i="8" a="1"/>
  <c r="R188" i="8" s="1"/>
  <c r="Q188" i="8" a="1"/>
  <c r="Q188" i="8" s="1"/>
  <c r="P188" i="8" a="1"/>
  <c r="P188" i="8" s="1"/>
  <c r="O188" i="8" a="1"/>
  <c r="O188" i="8" s="1"/>
  <c r="N188" i="8" a="1"/>
  <c r="N188" i="8" s="1"/>
  <c r="M188" i="8" a="1"/>
  <c r="M188" i="8" s="1"/>
  <c r="L188" i="8" a="1"/>
  <c r="L188" i="8" s="1"/>
  <c r="K188" i="8" a="1"/>
  <c r="K188" i="8" s="1"/>
  <c r="J188" i="8" a="1"/>
  <c r="J188" i="8" s="1"/>
  <c r="I188" i="8" a="1"/>
  <c r="I188" i="8" s="1"/>
  <c r="H188" i="8" a="1"/>
  <c r="H188" i="8" s="1"/>
  <c r="G188" i="8" a="1"/>
  <c r="G188" i="8" s="1"/>
  <c r="F188" i="8" a="1"/>
  <c r="F188" i="8" s="1"/>
  <c r="E188" i="8" a="1"/>
  <c r="E188" i="8" s="1"/>
  <c r="AB187" i="8" a="1"/>
  <c r="AB187" i="8" s="1"/>
  <c r="AA187" i="8" a="1"/>
  <c r="AA187" i="8" s="1"/>
  <c r="Z187" i="8" a="1"/>
  <c r="Z187" i="8" s="1"/>
  <c r="Y187" i="8" a="1"/>
  <c r="Y187" i="8" s="1"/>
  <c r="X187" i="8" a="1"/>
  <c r="X187" i="8" s="1"/>
  <c r="W187" i="8" a="1"/>
  <c r="W187" i="8" s="1"/>
  <c r="V187" i="8" a="1"/>
  <c r="V187" i="8" s="1"/>
  <c r="U187" i="8" a="1"/>
  <c r="U187" i="8" s="1"/>
  <c r="T187" i="8" a="1"/>
  <c r="T187" i="8" s="1"/>
  <c r="S187" i="8" a="1"/>
  <c r="S187" i="8" s="1"/>
  <c r="R187" i="8" a="1"/>
  <c r="R187" i="8" s="1"/>
  <c r="Q187" i="8" a="1"/>
  <c r="Q187" i="8" s="1"/>
  <c r="P187" i="8" a="1"/>
  <c r="P187" i="8" s="1"/>
  <c r="O187" i="8" a="1"/>
  <c r="O187" i="8" s="1"/>
  <c r="N187" i="8" a="1"/>
  <c r="N187" i="8" s="1"/>
  <c r="M187" i="8" a="1"/>
  <c r="M187" i="8" s="1"/>
  <c r="L187" i="8" a="1"/>
  <c r="L187" i="8" s="1"/>
  <c r="K187" i="8" a="1"/>
  <c r="K187" i="8" s="1"/>
  <c r="J187" i="8" a="1"/>
  <c r="J187" i="8" s="1"/>
  <c r="I187" i="8" a="1"/>
  <c r="I187" i="8" s="1"/>
  <c r="H187" i="8" a="1"/>
  <c r="H187" i="8" s="1"/>
  <c r="G187" i="8" a="1"/>
  <c r="G187" i="8" s="1"/>
  <c r="F187" i="8" a="1"/>
  <c r="F187" i="8" s="1"/>
  <c r="E187" i="8" a="1"/>
  <c r="E187" i="8" s="1"/>
  <c r="AB186" i="8" a="1"/>
  <c r="AB186" i="8" s="1"/>
  <c r="AA186" i="8" a="1"/>
  <c r="AA186" i="8" s="1"/>
  <c r="Z186" i="8" a="1"/>
  <c r="Z186" i="8" s="1"/>
  <c r="Y186" i="8" a="1"/>
  <c r="Y186" i="8" s="1"/>
  <c r="X186" i="8" a="1"/>
  <c r="X186" i="8" s="1"/>
  <c r="W186" i="8" a="1"/>
  <c r="W186" i="8" s="1"/>
  <c r="V186" i="8" a="1"/>
  <c r="V186" i="8" s="1"/>
  <c r="U186" i="8" a="1"/>
  <c r="U186" i="8" s="1"/>
  <c r="T186" i="8" a="1"/>
  <c r="T186" i="8" s="1"/>
  <c r="S186" i="8" a="1"/>
  <c r="S186" i="8" s="1"/>
  <c r="R186" i="8" a="1"/>
  <c r="R186" i="8" s="1"/>
  <c r="Q186" i="8" a="1"/>
  <c r="Q186" i="8" s="1"/>
  <c r="P186" i="8" a="1"/>
  <c r="P186" i="8" s="1"/>
  <c r="O186" i="8" a="1"/>
  <c r="O186" i="8" s="1"/>
  <c r="N186" i="8" a="1"/>
  <c r="N186" i="8" s="1"/>
  <c r="M186" i="8" a="1"/>
  <c r="M186" i="8" s="1"/>
  <c r="L186" i="8" a="1"/>
  <c r="L186" i="8" s="1"/>
  <c r="K186" i="8" a="1"/>
  <c r="K186" i="8" s="1"/>
  <c r="J186" i="8" a="1"/>
  <c r="J186" i="8" s="1"/>
  <c r="I186" i="8" a="1"/>
  <c r="I186" i="8" s="1"/>
  <c r="H186" i="8" a="1"/>
  <c r="H186" i="8" s="1"/>
  <c r="G186" i="8" a="1"/>
  <c r="G186" i="8" s="1"/>
  <c r="F186" i="8" a="1"/>
  <c r="F186" i="8" s="1"/>
  <c r="E186" i="8" a="1"/>
  <c r="E186" i="8" s="1"/>
  <c r="AB185" i="8" a="1"/>
  <c r="AB185" i="8" s="1"/>
  <c r="AA185" i="8" a="1"/>
  <c r="AA185" i="8" s="1"/>
  <c r="Z185" i="8" a="1"/>
  <c r="Z185" i="8" s="1"/>
  <c r="Y185" i="8" a="1"/>
  <c r="Y185" i="8" s="1"/>
  <c r="X185" i="8" a="1"/>
  <c r="X185" i="8" s="1"/>
  <c r="W185" i="8" a="1"/>
  <c r="W185" i="8" s="1"/>
  <c r="V185" i="8" a="1"/>
  <c r="V185" i="8" s="1"/>
  <c r="U185" i="8" a="1"/>
  <c r="U185" i="8" s="1"/>
  <c r="T185" i="8" a="1"/>
  <c r="T185" i="8" s="1"/>
  <c r="S185" i="8" a="1"/>
  <c r="S185" i="8" s="1"/>
  <c r="R185" i="8" a="1"/>
  <c r="R185" i="8" s="1"/>
  <c r="Q185" i="8" a="1"/>
  <c r="Q185" i="8" s="1"/>
  <c r="P185" i="8" a="1"/>
  <c r="P185" i="8" s="1"/>
  <c r="O185" i="8" a="1"/>
  <c r="O185" i="8" s="1"/>
  <c r="N185" i="8" a="1"/>
  <c r="N185" i="8" s="1"/>
  <c r="M185" i="8" a="1"/>
  <c r="M185" i="8" s="1"/>
  <c r="L185" i="8" a="1"/>
  <c r="L185" i="8" s="1"/>
  <c r="K185" i="8" a="1"/>
  <c r="K185" i="8" s="1"/>
  <c r="J185" i="8" a="1"/>
  <c r="J185" i="8" s="1"/>
  <c r="I185" i="8" a="1"/>
  <c r="I185" i="8" s="1"/>
  <c r="H185" i="8" a="1"/>
  <c r="H185" i="8" s="1"/>
  <c r="G185" i="8" a="1"/>
  <c r="G185" i="8" s="1"/>
  <c r="F185" i="8" a="1"/>
  <c r="F185" i="8" s="1"/>
  <c r="E185" i="8" a="1"/>
  <c r="E185" i="8" s="1"/>
  <c r="AB184" i="8" a="1"/>
  <c r="AB184" i="8" s="1"/>
  <c r="AA184" i="8" a="1"/>
  <c r="AA184" i="8" s="1"/>
  <c r="Z184" i="8" a="1"/>
  <c r="Z184" i="8" s="1"/>
  <c r="Y184" i="8" a="1"/>
  <c r="Y184" i="8" s="1"/>
  <c r="X184" i="8" a="1"/>
  <c r="X184" i="8" s="1"/>
  <c r="W184" i="8" a="1"/>
  <c r="W184" i="8" s="1"/>
  <c r="V184" i="8" a="1"/>
  <c r="V184" i="8" s="1"/>
  <c r="U184" i="8" a="1"/>
  <c r="U184" i="8" s="1"/>
  <c r="T184" i="8" a="1"/>
  <c r="T184" i="8" s="1"/>
  <c r="S184" i="8" a="1"/>
  <c r="S184" i="8" s="1"/>
  <c r="R184" i="8" a="1"/>
  <c r="R184" i="8" s="1"/>
  <c r="Q184" i="8" a="1"/>
  <c r="Q184" i="8" s="1"/>
  <c r="P184" i="8" a="1"/>
  <c r="P184" i="8" s="1"/>
  <c r="O184" i="8" a="1"/>
  <c r="O184" i="8" s="1"/>
  <c r="N184" i="8" a="1"/>
  <c r="N184" i="8" s="1"/>
  <c r="M184" i="8" a="1"/>
  <c r="M184" i="8" s="1"/>
  <c r="L184" i="8" a="1"/>
  <c r="L184" i="8" s="1"/>
  <c r="K184" i="8" a="1"/>
  <c r="K184" i="8" s="1"/>
  <c r="J184" i="8" a="1"/>
  <c r="J184" i="8" s="1"/>
  <c r="I184" i="8" a="1"/>
  <c r="I184" i="8" s="1"/>
  <c r="H184" i="8" a="1"/>
  <c r="H184" i="8" s="1"/>
  <c r="G184" i="8" a="1"/>
  <c r="G184" i="8" s="1"/>
  <c r="F184" i="8" a="1"/>
  <c r="F184" i="8" s="1"/>
  <c r="E184" i="8" a="1"/>
  <c r="E184" i="8" s="1"/>
  <c r="AB183" i="8" a="1"/>
  <c r="AB183" i="8" s="1"/>
  <c r="AA183" i="8" a="1"/>
  <c r="AA183" i="8" s="1"/>
  <c r="Z183" i="8" a="1"/>
  <c r="Z183" i="8" s="1"/>
  <c r="Y183" i="8" a="1"/>
  <c r="Y183" i="8" s="1"/>
  <c r="X183" i="8" a="1"/>
  <c r="X183" i="8" s="1"/>
  <c r="W183" i="8" a="1"/>
  <c r="W183" i="8" s="1"/>
  <c r="V183" i="8" a="1"/>
  <c r="V183" i="8" s="1"/>
  <c r="U183" i="8" a="1"/>
  <c r="U183" i="8" s="1"/>
  <c r="T183" i="8" a="1"/>
  <c r="T183" i="8" s="1"/>
  <c r="S183" i="8" a="1"/>
  <c r="S183" i="8" s="1"/>
  <c r="R183" i="8" a="1"/>
  <c r="R183" i="8" s="1"/>
  <c r="Q183" i="8" a="1"/>
  <c r="Q183" i="8" s="1"/>
  <c r="P183" i="8" a="1"/>
  <c r="P183" i="8" s="1"/>
  <c r="O183" i="8" a="1"/>
  <c r="O183" i="8" s="1"/>
  <c r="N183" i="8" a="1"/>
  <c r="N183" i="8" s="1"/>
  <c r="M183" i="8" a="1"/>
  <c r="M183" i="8" s="1"/>
  <c r="L183" i="8" a="1"/>
  <c r="L183" i="8" s="1"/>
  <c r="K183" i="8" a="1"/>
  <c r="K183" i="8" s="1"/>
  <c r="J183" i="8" a="1"/>
  <c r="J183" i="8" s="1"/>
  <c r="I183" i="8" a="1"/>
  <c r="I183" i="8" s="1"/>
  <c r="H183" i="8" a="1"/>
  <c r="H183" i="8" s="1"/>
  <c r="G183" i="8" a="1"/>
  <c r="G183" i="8" s="1"/>
  <c r="F183" i="8" a="1"/>
  <c r="F183" i="8" s="1"/>
  <c r="E183" i="8" a="1"/>
  <c r="E183" i="8" s="1"/>
  <c r="AB182" i="8" a="1"/>
  <c r="AB182" i="8" s="1"/>
  <c r="AA182" i="8" a="1"/>
  <c r="AA182" i="8" s="1"/>
  <c r="Z182" i="8" a="1"/>
  <c r="Z182" i="8" s="1"/>
  <c r="Y182" i="8" a="1"/>
  <c r="Y182" i="8" s="1"/>
  <c r="X182" i="8" a="1"/>
  <c r="X182" i="8" s="1"/>
  <c r="W182" i="8" a="1"/>
  <c r="W182" i="8" s="1"/>
  <c r="V182" i="8" a="1"/>
  <c r="V182" i="8" s="1"/>
  <c r="U182" i="8" a="1"/>
  <c r="U182" i="8" s="1"/>
  <c r="T182" i="8" a="1"/>
  <c r="T182" i="8" s="1"/>
  <c r="S182" i="8" a="1"/>
  <c r="S182" i="8" s="1"/>
  <c r="R182" i="8" a="1"/>
  <c r="R182" i="8" s="1"/>
  <c r="Q182" i="8" a="1"/>
  <c r="Q182" i="8" s="1"/>
  <c r="P182" i="8" a="1"/>
  <c r="P182" i="8" s="1"/>
  <c r="O182" i="8" a="1"/>
  <c r="O182" i="8" s="1"/>
  <c r="N182" i="8" a="1"/>
  <c r="N182" i="8" s="1"/>
  <c r="M182" i="8" a="1"/>
  <c r="M182" i="8" s="1"/>
  <c r="L182" i="8" a="1"/>
  <c r="L182" i="8" s="1"/>
  <c r="K182" i="8" a="1"/>
  <c r="K182" i="8" s="1"/>
  <c r="J182" i="8" a="1"/>
  <c r="J182" i="8" s="1"/>
  <c r="I182" i="8" a="1"/>
  <c r="I182" i="8" s="1"/>
  <c r="H182" i="8" a="1"/>
  <c r="H182" i="8" s="1"/>
  <c r="G182" i="8" a="1"/>
  <c r="G182" i="8" s="1"/>
  <c r="F182" i="8" a="1"/>
  <c r="F182" i="8" s="1"/>
  <c r="E182" i="8" a="1"/>
  <c r="E182" i="8" s="1"/>
  <c r="AB181" i="8" a="1"/>
  <c r="AB181" i="8" s="1"/>
  <c r="AA181" i="8" a="1"/>
  <c r="AA181" i="8" s="1"/>
  <c r="Z181" i="8" a="1"/>
  <c r="Z181" i="8" s="1"/>
  <c r="Y181" i="8" a="1"/>
  <c r="Y181" i="8" s="1"/>
  <c r="X181" i="8" a="1"/>
  <c r="X181" i="8" s="1"/>
  <c r="W181" i="8" a="1"/>
  <c r="W181" i="8" s="1"/>
  <c r="V181" i="8" a="1"/>
  <c r="V181" i="8" s="1"/>
  <c r="U181" i="8" a="1"/>
  <c r="U181" i="8" s="1"/>
  <c r="T181" i="8" a="1"/>
  <c r="T181" i="8" s="1"/>
  <c r="S181" i="8" a="1"/>
  <c r="S181" i="8" s="1"/>
  <c r="R181" i="8" a="1"/>
  <c r="R181" i="8" s="1"/>
  <c r="Q181" i="8" a="1"/>
  <c r="Q181" i="8" s="1"/>
  <c r="P181" i="8" a="1"/>
  <c r="P181" i="8" s="1"/>
  <c r="O181" i="8" a="1"/>
  <c r="O181" i="8" s="1"/>
  <c r="N181" i="8" a="1"/>
  <c r="N181" i="8" s="1"/>
  <c r="M181" i="8" a="1"/>
  <c r="M181" i="8" s="1"/>
  <c r="L181" i="8" a="1"/>
  <c r="L181" i="8" s="1"/>
  <c r="K181" i="8" a="1"/>
  <c r="K181" i="8" s="1"/>
  <c r="J181" i="8" a="1"/>
  <c r="J181" i="8" s="1"/>
  <c r="I181" i="8" a="1"/>
  <c r="I181" i="8" s="1"/>
  <c r="H181" i="8" a="1"/>
  <c r="H181" i="8" s="1"/>
  <c r="G181" i="8" a="1"/>
  <c r="G181" i="8" s="1"/>
  <c r="F181" i="8" a="1"/>
  <c r="F181" i="8" s="1"/>
  <c r="E181" i="8" a="1"/>
  <c r="E181" i="8" s="1"/>
  <c r="AB180" i="8" a="1"/>
  <c r="AB180" i="8" s="1"/>
  <c r="AA180" i="8" a="1"/>
  <c r="AA180" i="8" s="1"/>
  <c r="Z180" i="8" a="1"/>
  <c r="Z180" i="8" s="1"/>
  <c r="Y180" i="8" a="1"/>
  <c r="Y180" i="8" s="1"/>
  <c r="X180" i="8" a="1"/>
  <c r="X180" i="8" s="1"/>
  <c r="W180" i="8" a="1"/>
  <c r="W180" i="8" s="1"/>
  <c r="V180" i="8" a="1"/>
  <c r="V180" i="8" s="1"/>
  <c r="U180" i="8" a="1"/>
  <c r="U180" i="8" s="1"/>
  <c r="T180" i="8" a="1"/>
  <c r="T180" i="8" s="1"/>
  <c r="S180" i="8" a="1"/>
  <c r="S180" i="8" s="1"/>
  <c r="R180" i="8" a="1"/>
  <c r="R180" i="8" s="1"/>
  <c r="Q180" i="8" a="1"/>
  <c r="Q180" i="8" s="1"/>
  <c r="P180" i="8" a="1"/>
  <c r="P180" i="8" s="1"/>
  <c r="O180" i="8" a="1"/>
  <c r="O180" i="8" s="1"/>
  <c r="N180" i="8" a="1"/>
  <c r="N180" i="8" s="1"/>
  <c r="M180" i="8" a="1"/>
  <c r="M180" i="8" s="1"/>
  <c r="L180" i="8" a="1"/>
  <c r="L180" i="8" s="1"/>
  <c r="K180" i="8" a="1"/>
  <c r="K180" i="8" s="1"/>
  <c r="J180" i="8" a="1"/>
  <c r="J180" i="8" s="1"/>
  <c r="I180" i="8" a="1"/>
  <c r="I180" i="8" s="1"/>
  <c r="H180" i="8" a="1"/>
  <c r="H180" i="8" s="1"/>
  <c r="G180" i="8" a="1"/>
  <c r="G180" i="8" s="1"/>
  <c r="F180" i="8" a="1"/>
  <c r="F180" i="8" s="1"/>
  <c r="E180" i="8" a="1"/>
  <c r="E180" i="8" s="1"/>
  <c r="AB179" i="8" a="1"/>
  <c r="AB179" i="8" s="1"/>
  <c r="AA179" i="8" a="1"/>
  <c r="AA179" i="8" s="1"/>
  <c r="Z179" i="8" a="1"/>
  <c r="Z179" i="8" s="1"/>
  <c r="Y179" i="8" a="1"/>
  <c r="Y179" i="8" s="1"/>
  <c r="X179" i="8" a="1"/>
  <c r="X179" i="8" s="1"/>
  <c r="W179" i="8" a="1"/>
  <c r="W179" i="8" s="1"/>
  <c r="V179" i="8" a="1"/>
  <c r="V179" i="8" s="1"/>
  <c r="U179" i="8" a="1"/>
  <c r="U179" i="8" s="1"/>
  <c r="T179" i="8" a="1"/>
  <c r="T179" i="8" s="1"/>
  <c r="S179" i="8" a="1"/>
  <c r="S179" i="8" s="1"/>
  <c r="R179" i="8" a="1"/>
  <c r="R179" i="8" s="1"/>
  <c r="Q179" i="8" a="1"/>
  <c r="Q179" i="8" s="1"/>
  <c r="P179" i="8" a="1"/>
  <c r="P179" i="8" s="1"/>
  <c r="O179" i="8" a="1"/>
  <c r="O179" i="8" s="1"/>
  <c r="N179" i="8" a="1"/>
  <c r="N179" i="8" s="1"/>
  <c r="M179" i="8" a="1"/>
  <c r="M179" i="8" s="1"/>
  <c r="L179" i="8" a="1"/>
  <c r="L179" i="8" s="1"/>
  <c r="K179" i="8" a="1"/>
  <c r="K179" i="8" s="1"/>
  <c r="J179" i="8" a="1"/>
  <c r="J179" i="8" s="1"/>
  <c r="I179" i="8" a="1"/>
  <c r="I179" i="8" s="1"/>
  <c r="H179" i="8" a="1"/>
  <c r="H179" i="8" s="1"/>
  <c r="G179" i="8" a="1"/>
  <c r="G179" i="8" s="1"/>
  <c r="F179" i="8" a="1"/>
  <c r="F179" i="8" s="1"/>
  <c r="E179" i="8" a="1"/>
  <c r="E179" i="8" s="1"/>
  <c r="AB178" i="8" a="1"/>
  <c r="AB178" i="8" s="1"/>
  <c r="AA178" i="8" a="1"/>
  <c r="AA178" i="8" s="1"/>
  <c r="Z178" i="8" a="1"/>
  <c r="Z178" i="8" s="1"/>
  <c r="Y178" i="8" a="1"/>
  <c r="Y178" i="8" s="1"/>
  <c r="X178" i="8" a="1"/>
  <c r="X178" i="8" s="1"/>
  <c r="W178" i="8" a="1"/>
  <c r="W178" i="8" s="1"/>
  <c r="V178" i="8" a="1"/>
  <c r="V178" i="8" s="1"/>
  <c r="U178" i="8" a="1"/>
  <c r="U178" i="8" s="1"/>
  <c r="T178" i="8" a="1"/>
  <c r="T178" i="8" s="1"/>
  <c r="S178" i="8" a="1"/>
  <c r="S178" i="8" s="1"/>
  <c r="R178" i="8" a="1"/>
  <c r="R178" i="8" s="1"/>
  <c r="Q178" i="8" a="1"/>
  <c r="Q178" i="8" s="1"/>
  <c r="P178" i="8" a="1"/>
  <c r="P178" i="8" s="1"/>
  <c r="O178" i="8" a="1"/>
  <c r="O178" i="8" s="1"/>
  <c r="N178" i="8" a="1"/>
  <c r="N178" i="8" s="1"/>
  <c r="M178" i="8" a="1"/>
  <c r="M178" i="8" s="1"/>
  <c r="L178" i="8" a="1"/>
  <c r="L178" i="8" s="1"/>
  <c r="K178" i="8" a="1"/>
  <c r="K178" i="8" s="1"/>
  <c r="J178" i="8" a="1"/>
  <c r="J178" i="8" s="1"/>
  <c r="I178" i="8" a="1"/>
  <c r="I178" i="8" s="1"/>
  <c r="H178" i="8" a="1"/>
  <c r="H178" i="8" s="1"/>
  <c r="G178" i="8" a="1"/>
  <c r="G178" i="8" s="1"/>
  <c r="F178" i="8" a="1"/>
  <c r="F178" i="8" s="1"/>
  <c r="E178" i="8" a="1"/>
  <c r="E178" i="8" s="1"/>
  <c r="AB177" i="8" a="1"/>
  <c r="AB177" i="8" s="1"/>
  <c r="AA177" i="8" a="1"/>
  <c r="AA177" i="8" s="1"/>
  <c r="Z177" i="8" a="1"/>
  <c r="Z177" i="8" s="1"/>
  <c r="Y177" i="8" a="1"/>
  <c r="Y177" i="8" s="1"/>
  <c r="X177" i="8" a="1"/>
  <c r="X177" i="8" s="1"/>
  <c r="W177" i="8" a="1"/>
  <c r="W177" i="8" s="1"/>
  <c r="V177" i="8" a="1"/>
  <c r="V177" i="8" s="1"/>
  <c r="U177" i="8" a="1"/>
  <c r="U177" i="8" s="1"/>
  <c r="T177" i="8" a="1"/>
  <c r="T177" i="8" s="1"/>
  <c r="S177" i="8" a="1"/>
  <c r="S177" i="8" s="1"/>
  <c r="R177" i="8" a="1"/>
  <c r="R177" i="8" s="1"/>
  <c r="Q177" i="8" a="1"/>
  <c r="Q177" i="8" s="1"/>
  <c r="P177" i="8" a="1"/>
  <c r="P177" i="8" s="1"/>
  <c r="O177" i="8" a="1"/>
  <c r="O177" i="8" s="1"/>
  <c r="N177" i="8" a="1"/>
  <c r="N177" i="8" s="1"/>
  <c r="M177" i="8" a="1"/>
  <c r="M177" i="8" s="1"/>
  <c r="L177" i="8" a="1"/>
  <c r="L177" i="8" s="1"/>
  <c r="K177" i="8" a="1"/>
  <c r="K177" i="8" s="1"/>
  <c r="J177" i="8" a="1"/>
  <c r="J177" i="8" s="1"/>
  <c r="I177" i="8" a="1"/>
  <c r="I177" i="8" s="1"/>
  <c r="H177" i="8" a="1"/>
  <c r="H177" i="8" s="1"/>
  <c r="G177" i="8" a="1"/>
  <c r="G177" i="8" s="1"/>
  <c r="F177" i="8" a="1"/>
  <c r="F177" i="8" s="1"/>
  <c r="E177" i="8" a="1"/>
  <c r="E177" i="8" s="1"/>
  <c r="AB176" i="8" a="1"/>
  <c r="AB176" i="8" s="1"/>
  <c r="AA176" i="8" a="1"/>
  <c r="AA176" i="8" s="1"/>
  <c r="Z176" i="8" a="1"/>
  <c r="Z176" i="8" s="1"/>
  <c r="Y176" i="8" a="1"/>
  <c r="Y176" i="8" s="1"/>
  <c r="X176" i="8" a="1"/>
  <c r="X176" i="8" s="1"/>
  <c r="W176" i="8" a="1"/>
  <c r="W176" i="8" s="1"/>
  <c r="V176" i="8" a="1"/>
  <c r="V176" i="8" s="1"/>
  <c r="U176" i="8" a="1"/>
  <c r="U176" i="8" s="1"/>
  <c r="T176" i="8" a="1"/>
  <c r="T176" i="8" s="1"/>
  <c r="S176" i="8" a="1"/>
  <c r="S176" i="8" s="1"/>
  <c r="R176" i="8" a="1"/>
  <c r="R176" i="8" s="1"/>
  <c r="Q176" i="8" a="1"/>
  <c r="Q176" i="8" s="1"/>
  <c r="P176" i="8" a="1"/>
  <c r="P176" i="8" s="1"/>
  <c r="O176" i="8" a="1"/>
  <c r="O176" i="8" s="1"/>
  <c r="N176" i="8" a="1"/>
  <c r="N176" i="8" s="1"/>
  <c r="M176" i="8" a="1"/>
  <c r="M176" i="8" s="1"/>
  <c r="L176" i="8" a="1"/>
  <c r="L176" i="8" s="1"/>
  <c r="K176" i="8" a="1"/>
  <c r="K176" i="8" s="1"/>
  <c r="J176" i="8" a="1"/>
  <c r="J176" i="8" s="1"/>
  <c r="I176" i="8" a="1"/>
  <c r="I176" i="8" s="1"/>
  <c r="H176" i="8" a="1"/>
  <c r="H176" i="8" s="1"/>
  <c r="G176" i="8" a="1"/>
  <c r="G176" i="8" s="1"/>
  <c r="F176" i="8" a="1"/>
  <c r="F176" i="8" s="1"/>
  <c r="E176" i="8" a="1"/>
  <c r="E176" i="8" s="1"/>
  <c r="AB175" i="8" a="1"/>
  <c r="AB175" i="8" s="1"/>
  <c r="AA175" i="8" a="1"/>
  <c r="AA175" i="8" s="1"/>
  <c r="Z175" i="8" a="1"/>
  <c r="Z175" i="8" s="1"/>
  <c r="Y175" i="8" a="1"/>
  <c r="Y175" i="8" s="1"/>
  <c r="X175" i="8" a="1"/>
  <c r="X175" i="8" s="1"/>
  <c r="W175" i="8" a="1"/>
  <c r="W175" i="8" s="1"/>
  <c r="V175" i="8" a="1"/>
  <c r="V175" i="8" s="1"/>
  <c r="U175" i="8" a="1"/>
  <c r="U175" i="8" s="1"/>
  <c r="T175" i="8" a="1"/>
  <c r="T175" i="8" s="1"/>
  <c r="S175" i="8" a="1"/>
  <c r="S175" i="8" s="1"/>
  <c r="R175" i="8" a="1"/>
  <c r="R175" i="8" s="1"/>
  <c r="Q175" i="8" a="1"/>
  <c r="Q175" i="8" s="1"/>
  <c r="P175" i="8" a="1"/>
  <c r="P175" i="8" s="1"/>
  <c r="O175" i="8" a="1"/>
  <c r="O175" i="8" s="1"/>
  <c r="N175" i="8" a="1"/>
  <c r="N175" i="8" s="1"/>
  <c r="M175" i="8" a="1"/>
  <c r="M175" i="8" s="1"/>
  <c r="L175" i="8" a="1"/>
  <c r="L175" i="8" s="1"/>
  <c r="K175" i="8" a="1"/>
  <c r="K175" i="8" s="1"/>
  <c r="J175" i="8" a="1"/>
  <c r="J175" i="8" s="1"/>
  <c r="I175" i="8" a="1"/>
  <c r="I175" i="8" s="1"/>
  <c r="H175" i="8" a="1"/>
  <c r="H175" i="8" s="1"/>
  <c r="G175" i="8" a="1"/>
  <c r="G175" i="8" s="1"/>
  <c r="F175" i="8" a="1"/>
  <c r="F175" i="8" s="1"/>
  <c r="E175" i="8" a="1"/>
  <c r="E175" i="8" s="1"/>
  <c r="AB174" i="8" a="1"/>
  <c r="AB174" i="8" s="1"/>
  <c r="AA174" i="8" a="1"/>
  <c r="AA174" i="8" s="1"/>
  <c r="Z174" i="8" a="1"/>
  <c r="Z174" i="8" s="1"/>
  <c r="Y174" i="8" a="1"/>
  <c r="Y174" i="8" s="1"/>
  <c r="X174" i="8" a="1"/>
  <c r="X174" i="8" s="1"/>
  <c r="W174" i="8" a="1"/>
  <c r="W174" i="8" s="1"/>
  <c r="V174" i="8" a="1"/>
  <c r="V174" i="8" s="1"/>
  <c r="U174" i="8" a="1"/>
  <c r="U174" i="8" s="1"/>
  <c r="T174" i="8" a="1"/>
  <c r="T174" i="8" s="1"/>
  <c r="S174" i="8" a="1"/>
  <c r="S174" i="8" s="1"/>
  <c r="R174" i="8" a="1"/>
  <c r="R174" i="8" s="1"/>
  <c r="Q174" i="8" a="1"/>
  <c r="Q174" i="8" s="1"/>
  <c r="P174" i="8" a="1"/>
  <c r="P174" i="8" s="1"/>
  <c r="O174" i="8" a="1"/>
  <c r="O174" i="8" s="1"/>
  <c r="N174" i="8" a="1"/>
  <c r="N174" i="8" s="1"/>
  <c r="M174" i="8" a="1"/>
  <c r="M174" i="8" s="1"/>
  <c r="L174" i="8" a="1"/>
  <c r="L174" i="8" s="1"/>
  <c r="K174" i="8" a="1"/>
  <c r="K174" i="8" s="1"/>
  <c r="J174" i="8" a="1"/>
  <c r="J174" i="8" s="1"/>
  <c r="I174" i="8" a="1"/>
  <c r="I174" i="8" s="1"/>
  <c r="H174" i="8" a="1"/>
  <c r="H174" i="8" s="1"/>
  <c r="G174" i="8" a="1"/>
  <c r="G174" i="8" s="1"/>
  <c r="F174" i="8" a="1"/>
  <c r="F174" i="8" s="1"/>
  <c r="E174" i="8" a="1"/>
  <c r="E174" i="8" s="1"/>
  <c r="AB173" i="8" a="1"/>
  <c r="AB173" i="8" s="1"/>
  <c r="AA173" i="8" a="1"/>
  <c r="AA173" i="8" s="1"/>
  <c r="Z173" i="8" a="1"/>
  <c r="Z173" i="8" s="1"/>
  <c r="Y173" i="8" a="1"/>
  <c r="Y173" i="8" s="1"/>
  <c r="X173" i="8" a="1"/>
  <c r="X173" i="8" s="1"/>
  <c r="W173" i="8" a="1"/>
  <c r="W173" i="8" s="1"/>
  <c r="V173" i="8" a="1"/>
  <c r="V173" i="8" s="1"/>
  <c r="U173" i="8" a="1"/>
  <c r="U173" i="8" s="1"/>
  <c r="T173" i="8" a="1"/>
  <c r="T173" i="8" s="1"/>
  <c r="S173" i="8" a="1"/>
  <c r="S173" i="8" s="1"/>
  <c r="R173" i="8" a="1"/>
  <c r="R173" i="8" s="1"/>
  <c r="Q173" i="8" a="1"/>
  <c r="Q173" i="8" s="1"/>
  <c r="P173" i="8" a="1"/>
  <c r="P173" i="8" s="1"/>
  <c r="O173" i="8" a="1"/>
  <c r="O173" i="8" s="1"/>
  <c r="N173" i="8" a="1"/>
  <c r="N173" i="8" s="1"/>
  <c r="M173" i="8" a="1"/>
  <c r="M173" i="8" s="1"/>
  <c r="L173" i="8" a="1"/>
  <c r="L173" i="8" s="1"/>
  <c r="K173" i="8" a="1"/>
  <c r="K173" i="8" s="1"/>
  <c r="J173" i="8" a="1"/>
  <c r="J173" i="8" s="1"/>
  <c r="I173" i="8" a="1"/>
  <c r="I173" i="8" s="1"/>
  <c r="H173" i="8" a="1"/>
  <c r="H173" i="8" s="1"/>
  <c r="G173" i="8" a="1"/>
  <c r="G173" i="8" s="1"/>
  <c r="F173" i="8" a="1"/>
  <c r="F173" i="8" s="1"/>
  <c r="E173" i="8" a="1"/>
  <c r="E173" i="8" s="1"/>
  <c r="AB172" i="8" a="1"/>
  <c r="AB172" i="8" s="1"/>
  <c r="AA172" i="8" a="1"/>
  <c r="AA172" i="8" s="1"/>
  <c r="Z172" i="8" a="1"/>
  <c r="Z172" i="8" s="1"/>
  <c r="Y172" i="8" a="1"/>
  <c r="Y172" i="8" s="1"/>
  <c r="X172" i="8" a="1"/>
  <c r="X172" i="8" s="1"/>
  <c r="W172" i="8" a="1"/>
  <c r="W172" i="8" s="1"/>
  <c r="V172" i="8" a="1"/>
  <c r="V172" i="8" s="1"/>
  <c r="U172" i="8" a="1"/>
  <c r="U172" i="8" s="1"/>
  <c r="T172" i="8" a="1"/>
  <c r="T172" i="8" s="1"/>
  <c r="S172" i="8" a="1"/>
  <c r="S172" i="8" s="1"/>
  <c r="R172" i="8" a="1"/>
  <c r="R172" i="8" s="1"/>
  <c r="Q172" i="8" a="1"/>
  <c r="Q172" i="8" s="1"/>
  <c r="P172" i="8" a="1"/>
  <c r="P172" i="8" s="1"/>
  <c r="O172" i="8" a="1"/>
  <c r="O172" i="8" s="1"/>
  <c r="N172" i="8" a="1"/>
  <c r="N172" i="8" s="1"/>
  <c r="M172" i="8" a="1"/>
  <c r="M172" i="8" s="1"/>
  <c r="L172" i="8" a="1"/>
  <c r="L172" i="8" s="1"/>
  <c r="K172" i="8" a="1"/>
  <c r="K172" i="8" s="1"/>
  <c r="J172" i="8" a="1"/>
  <c r="J172" i="8" s="1"/>
  <c r="I172" i="8" a="1"/>
  <c r="I172" i="8" s="1"/>
  <c r="H172" i="8" a="1"/>
  <c r="H172" i="8" s="1"/>
  <c r="G172" i="8" a="1"/>
  <c r="G172" i="8" s="1"/>
  <c r="F172" i="8" a="1"/>
  <c r="F172" i="8" s="1"/>
  <c r="E172" i="8" a="1"/>
  <c r="E172" i="8" s="1"/>
  <c r="AB171" i="8" a="1"/>
  <c r="AB171" i="8" s="1"/>
  <c r="AA171" i="8" a="1"/>
  <c r="AA171" i="8" s="1"/>
  <c r="Z171" i="8" a="1"/>
  <c r="Z171" i="8" s="1"/>
  <c r="Y171" i="8" a="1"/>
  <c r="Y171" i="8" s="1"/>
  <c r="X171" i="8" a="1"/>
  <c r="X171" i="8" s="1"/>
  <c r="W171" i="8" a="1"/>
  <c r="W171" i="8" s="1"/>
  <c r="V171" i="8" a="1"/>
  <c r="V171" i="8" s="1"/>
  <c r="U171" i="8" a="1"/>
  <c r="U171" i="8" s="1"/>
  <c r="T171" i="8" a="1"/>
  <c r="T171" i="8" s="1"/>
  <c r="S171" i="8" a="1"/>
  <c r="S171" i="8" s="1"/>
  <c r="R171" i="8" a="1"/>
  <c r="R171" i="8" s="1"/>
  <c r="Q171" i="8" a="1"/>
  <c r="Q171" i="8" s="1"/>
  <c r="P171" i="8" a="1"/>
  <c r="P171" i="8" s="1"/>
  <c r="O171" i="8" a="1"/>
  <c r="O171" i="8" s="1"/>
  <c r="N171" i="8" a="1"/>
  <c r="N171" i="8" s="1"/>
  <c r="M171" i="8" a="1"/>
  <c r="M171" i="8" s="1"/>
  <c r="L171" i="8" a="1"/>
  <c r="L171" i="8" s="1"/>
  <c r="K171" i="8" a="1"/>
  <c r="K171" i="8" s="1"/>
  <c r="J171" i="8" a="1"/>
  <c r="J171" i="8" s="1"/>
  <c r="I171" i="8" a="1"/>
  <c r="I171" i="8" s="1"/>
  <c r="H171" i="8" a="1"/>
  <c r="H171" i="8" s="1"/>
  <c r="G171" i="8" a="1"/>
  <c r="G171" i="8" s="1"/>
  <c r="F171" i="8" a="1"/>
  <c r="F171" i="8" s="1"/>
  <c r="E171" i="8" a="1"/>
  <c r="E171" i="8" s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3" i="8"/>
  <c r="J2262" i="1"/>
  <c r="J2263" i="1"/>
  <c r="J3311" i="1"/>
  <c r="J3312" i="1"/>
  <c r="J3313" i="1"/>
  <c r="J3359" i="1"/>
  <c r="J2104" i="1"/>
  <c r="J2105" i="1"/>
  <c r="J2106" i="1"/>
  <c r="J2107" i="1"/>
  <c r="J2108" i="1"/>
  <c r="J1206" i="1"/>
  <c r="J1207" i="1"/>
  <c r="J1208" i="1"/>
  <c r="J1985" i="1"/>
  <c r="J1986" i="1"/>
  <c r="J1987" i="1"/>
  <c r="J1988" i="1"/>
  <c r="J1989" i="1"/>
  <c r="J1990" i="1"/>
  <c r="J1991" i="1"/>
  <c r="J1992" i="1"/>
  <c r="J1993" i="1"/>
  <c r="J2631" i="1"/>
  <c r="J2632" i="1"/>
  <c r="J2633" i="1"/>
  <c r="J2056" i="1"/>
  <c r="J2057" i="1"/>
  <c r="J3647" i="1"/>
  <c r="J3648" i="1"/>
  <c r="J3649" i="1"/>
  <c r="J3650" i="1"/>
  <c r="J3740" i="1"/>
  <c r="J3741" i="1"/>
  <c r="J3742" i="1"/>
  <c r="J3743" i="1"/>
  <c r="J3744" i="1"/>
  <c r="J3745" i="1"/>
  <c r="J3746" i="1"/>
  <c r="J3747" i="1"/>
  <c r="J3714" i="1"/>
  <c r="J3921" i="1"/>
  <c r="J3922" i="1"/>
  <c r="J1269" i="1"/>
  <c r="J1270" i="1"/>
  <c r="J1271" i="1"/>
  <c r="J1272" i="1"/>
  <c r="J3870" i="1"/>
  <c r="J3871" i="1"/>
  <c r="J5262" i="1"/>
  <c r="J5263" i="1"/>
  <c r="J5264" i="1"/>
  <c r="J5265" i="1"/>
  <c r="J5266" i="1"/>
  <c r="J5267" i="1"/>
  <c r="J5268" i="1"/>
  <c r="J5269" i="1"/>
  <c r="J5270" i="1"/>
  <c r="J4158" i="1"/>
  <c r="J4159" i="1"/>
  <c r="J3913" i="1"/>
  <c r="J5282" i="1"/>
  <c r="J975" i="1"/>
  <c r="J976" i="1"/>
  <c r="J977" i="1"/>
  <c r="J978" i="1"/>
  <c r="J979" i="1"/>
  <c r="J980" i="1"/>
  <c r="J981" i="1"/>
  <c r="J2625" i="1"/>
  <c r="J1383" i="1"/>
  <c r="J1384" i="1"/>
  <c r="J1385" i="1"/>
  <c r="J1386" i="1"/>
  <c r="J970" i="1"/>
  <c r="J971" i="1"/>
  <c r="J3865" i="1"/>
  <c r="J3866" i="1"/>
  <c r="J3481" i="1"/>
  <c r="J3482" i="1"/>
  <c r="J3483" i="1"/>
  <c r="J3484" i="1"/>
  <c r="J3485" i="1"/>
  <c r="J3486" i="1"/>
  <c r="J3487" i="1"/>
  <c r="J3488" i="1"/>
  <c r="J3489" i="1"/>
  <c r="J3490" i="1"/>
  <c r="J2685" i="1"/>
  <c r="J2686" i="1"/>
  <c r="J2844" i="1"/>
  <c r="J2845" i="1"/>
  <c r="J1854" i="1"/>
  <c r="J1855" i="1"/>
  <c r="J1856" i="1"/>
  <c r="J1857" i="1"/>
  <c r="J1858" i="1"/>
  <c r="J1859" i="1"/>
  <c r="J1860" i="1"/>
  <c r="J1861" i="1"/>
  <c r="J1862" i="1"/>
  <c r="J1863" i="1"/>
  <c r="J1864" i="1"/>
  <c r="J1571" i="1"/>
  <c r="J1572" i="1"/>
  <c r="J1573" i="1"/>
  <c r="J1574" i="1"/>
  <c r="J1575" i="1"/>
  <c r="J1576" i="1"/>
  <c r="J1577" i="1"/>
  <c r="J1578" i="1"/>
  <c r="J208" i="1"/>
  <c r="J209" i="1"/>
  <c r="J210" i="1"/>
  <c r="J211" i="1"/>
  <c r="J558" i="1"/>
  <c r="J559" i="1"/>
  <c r="J560" i="1"/>
  <c r="J561" i="1"/>
  <c r="J2626" i="1"/>
  <c r="J2627" i="1"/>
  <c r="J2628" i="1"/>
  <c r="J2629" i="1"/>
  <c r="J2630" i="1"/>
  <c r="J3463" i="1"/>
  <c r="J3464" i="1"/>
  <c r="J3465" i="1"/>
  <c r="J3466" i="1"/>
  <c r="J3467" i="1"/>
  <c r="J3468" i="1"/>
  <c r="J3469" i="1"/>
  <c r="J3470" i="1"/>
  <c r="J4530" i="1"/>
  <c r="J4531" i="1"/>
  <c r="J4532" i="1"/>
  <c r="J4533" i="1"/>
  <c r="J4534" i="1"/>
  <c r="J4535" i="1"/>
  <c r="J4536" i="1"/>
  <c r="J4537" i="1"/>
  <c r="J4639" i="1"/>
  <c r="J4640" i="1"/>
  <c r="J4641" i="1"/>
  <c r="J1204" i="1"/>
  <c r="J1205" i="1"/>
  <c r="J1380" i="1"/>
  <c r="J1381" i="1"/>
  <c r="J1382" i="1"/>
  <c r="J2348" i="1"/>
  <c r="J2349" i="1"/>
  <c r="J2350" i="1"/>
  <c r="J2351" i="1"/>
  <c r="J2352" i="1"/>
  <c r="J4005" i="1"/>
  <c r="J3757" i="1"/>
  <c r="J3758" i="1"/>
  <c r="J3537" i="1"/>
  <c r="J3538" i="1"/>
  <c r="J3539" i="1"/>
  <c r="J3053" i="1"/>
  <c r="J2863" i="1"/>
  <c r="J2864" i="1"/>
  <c r="J2865" i="1"/>
  <c r="J2866" i="1"/>
  <c r="J2867" i="1"/>
  <c r="J3462" i="1"/>
  <c r="J3213" i="1"/>
  <c r="J3214" i="1"/>
  <c r="J3215" i="1"/>
  <c r="J3216" i="1"/>
  <c r="J3217" i="1"/>
  <c r="J1485" i="1"/>
  <c r="J1486" i="1"/>
  <c r="J1487" i="1"/>
  <c r="J1488" i="1"/>
  <c r="J1489" i="1"/>
  <c r="J1490" i="1"/>
  <c r="J1491" i="1"/>
  <c r="J1492" i="1"/>
  <c r="J3579" i="1"/>
  <c r="J3580" i="1"/>
  <c r="J3581" i="1"/>
  <c r="J3582" i="1"/>
  <c r="J3583" i="1"/>
  <c r="J3584" i="1"/>
  <c r="J2634" i="1"/>
  <c r="J2635" i="1"/>
  <c r="J2636" i="1"/>
  <c r="J2637" i="1"/>
  <c r="J2638" i="1"/>
  <c r="J2639" i="1"/>
  <c r="J2640" i="1"/>
  <c r="J2641" i="1"/>
  <c r="J5" i="1"/>
  <c r="J6" i="1"/>
  <c r="J7" i="1"/>
  <c r="J5280" i="1"/>
  <c r="J5281" i="1"/>
  <c r="J928" i="1"/>
  <c r="J1083" i="1"/>
  <c r="J1084" i="1"/>
  <c r="J1085" i="1"/>
  <c r="J1086" i="1"/>
  <c r="J1087" i="1"/>
  <c r="J2644" i="1"/>
  <c r="J2645" i="1"/>
  <c r="J3585" i="1"/>
  <c r="J3586" i="1"/>
  <c r="J3587" i="1"/>
  <c r="J3588" i="1"/>
  <c r="J3475" i="1"/>
  <c r="J471" i="1"/>
  <c r="J472" i="1"/>
  <c r="J473" i="1"/>
  <c r="J3056" i="1"/>
  <c r="J3057" i="1"/>
  <c r="J3058" i="1"/>
  <c r="J3059" i="1"/>
  <c r="J3060" i="1"/>
  <c r="J1298" i="1"/>
  <c r="J1209" i="1"/>
  <c r="J1210" i="1"/>
  <c r="J2576" i="1"/>
  <c r="J2577" i="1"/>
  <c r="J2578" i="1"/>
  <c r="J2579" i="1"/>
  <c r="J2731" i="1"/>
  <c r="J2732" i="1"/>
  <c r="J2733" i="1"/>
  <c r="J4442" i="1"/>
  <c r="J4443" i="1"/>
  <c r="J4444" i="1"/>
  <c r="J1762" i="1"/>
  <c r="J1763" i="1"/>
  <c r="J1764" i="1"/>
  <c r="J1765" i="1"/>
  <c r="J1766" i="1"/>
  <c r="J1749" i="1"/>
  <c r="J1445" i="1"/>
  <c r="J1446" i="1"/>
  <c r="J1447" i="1"/>
  <c r="J2711" i="1"/>
  <c r="J2712" i="1"/>
  <c r="J2713" i="1"/>
  <c r="J2714" i="1"/>
  <c r="J2715" i="1"/>
  <c r="J5392" i="1"/>
  <c r="J5403" i="1"/>
  <c r="J5404" i="1"/>
  <c r="J720" i="1"/>
  <c r="J721" i="1"/>
  <c r="J722" i="1"/>
  <c r="J2424" i="1"/>
  <c r="J2425" i="1"/>
  <c r="J2426" i="1"/>
  <c r="J2427" i="1"/>
  <c r="J2428" i="1"/>
  <c r="J2429" i="1"/>
  <c r="J2430" i="1"/>
  <c r="J2431" i="1"/>
  <c r="J2829" i="1"/>
  <c r="J2985" i="1"/>
  <c r="J2986" i="1"/>
  <c r="J2987" i="1"/>
  <c r="J2988" i="1"/>
  <c r="J2989" i="1"/>
  <c r="J2990" i="1"/>
  <c r="J2725" i="1"/>
  <c r="J2726" i="1"/>
  <c r="J2727" i="1"/>
  <c r="J2728" i="1"/>
  <c r="J2729" i="1"/>
  <c r="J2730" i="1"/>
  <c r="J5398" i="1"/>
  <c r="J5399" i="1"/>
  <c r="J5400" i="1"/>
  <c r="J5401" i="1"/>
  <c r="J5402" i="1"/>
  <c r="J723" i="1"/>
  <c r="J3267" i="1"/>
  <c r="J3268" i="1"/>
  <c r="J3269" i="1"/>
  <c r="J3270" i="1"/>
  <c r="J2968" i="1"/>
  <c r="J2969" i="1"/>
  <c r="J3201" i="1"/>
  <c r="J3202" i="1"/>
  <c r="J3203" i="1"/>
  <c r="J3204" i="1"/>
  <c r="J3205" i="1"/>
  <c r="J3206" i="1"/>
  <c r="J2699" i="1"/>
  <c r="J2700" i="1"/>
  <c r="J2701" i="1"/>
  <c r="J2702" i="1"/>
  <c r="J2703" i="1"/>
  <c r="J1376" i="1"/>
  <c r="J1377" i="1"/>
  <c r="J1378" i="1"/>
  <c r="J1379" i="1"/>
  <c r="J2423" i="1"/>
  <c r="J5393" i="1"/>
  <c r="J5394" i="1"/>
  <c r="J5395" i="1"/>
  <c r="J5396" i="1"/>
  <c r="J5397" i="1"/>
  <c r="J3658" i="1"/>
  <c r="J3659" i="1"/>
  <c r="J3660" i="1"/>
  <c r="J3661" i="1"/>
  <c r="J3662" i="1"/>
  <c r="J3663" i="1"/>
  <c r="J1918" i="1"/>
  <c r="J1919" i="1"/>
  <c r="J1920" i="1"/>
  <c r="J1921" i="1"/>
  <c r="J1922" i="1"/>
  <c r="J1367" i="1"/>
  <c r="J1368" i="1"/>
  <c r="J1369" i="1"/>
  <c r="J1370" i="1"/>
  <c r="J1707" i="1"/>
  <c r="J1708" i="1"/>
  <c r="J1709" i="1"/>
  <c r="J1710" i="1"/>
  <c r="J1711" i="1"/>
  <c r="J2603" i="1"/>
  <c r="J2971" i="1"/>
  <c r="J2972" i="1"/>
  <c r="J3440" i="1"/>
  <c r="J4156" i="1"/>
  <c r="J4157" i="1"/>
  <c r="J160" i="1"/>
  <c r="J161" i="1"/>
  <c r="J162" i="1"/>
  <c r="J168" i="1"/>
  <c r="J169" i="1"/>
  <c r="J170" i="1"/>
  <c r="J171" i="1"/>
  <c r="J715" i="1"/>
  <c r="J163" i="1"/>
  <c r="J164" i="1"/>
  <c r="J165" i="1"/>
  <c r="J166" i="1"/>
  <c r="J167" i="1"/>
  <c r="J3441" i="1"/>
  <c r="J3442" i="1"/>
  <c r="J3762" i="1"/>
  <c r="J3763" i="1"/>
  <c r="J3764" i="1"/>
  <c r="J3765" i="1"/>
  <c r="J3766" i="1"/>
  <c r="J3793" i="1"/>
  <c r="J3794" i="1"/>
  <c r="J3795" i="1"/>
  <c r="J3796" i="1"/>
  <c r="J3797" i="1"/>
  <c r="J3798" i="1"/>
  <c r="J3799" i="1"/>
  <c r="J3800" i="1"/>
  <c r="J3801" i="1"/>
  <c r="J3137" i="1"/>
  <c r="J2649" i="1"/>
  <c r="J2650" i="1"/>
  <c r="J2651" i="1"/>
  <c r="J2610" i="1"/>
  <c r="J2973" i="1"/>
  <c r="J2974" i="1"/>
  <c r="J2975" i="1"/>
  <c r="J2976" i="1"/>
  <c r="J2977" i="1"/>
  <c r="J2978" i="1"/>
  <c r="J2979" i="1"/>
  <c r="J2980" i="1"/>
  <c r="J2981" i="1"/>
  <c r="J2982" i="1"/>
  <c r="J2983" i="1"/>
  <c r="J359" i="1"/>
  <c r="J360" i="1"/>
  <c r="J2953" i="1"/>
  <c r="J2954" i="1"/>
  <c r="J2955" i="1"/>
  <c r="J2956" i="1"/>
  <c r="J2957" i="1"/>
  <c r="J2958" i="1"/>
  <c r="J3567" i="1"/>
  <c r="J2925" i="1"/>
  <c r="J2926" i="1"/>
  <c r="J3439" i="1"/>
  <c r="J716" i="1"/>
  <c r="J717" i="1"/>
  <c r="J718" i="1"/>
  <c r="J719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2965" i="1"/>
  <c r="J2966" i="1"/>
  <c r="J2967" i="1"/>
  <c r="J2611" i="1"/>
  <c r="J2612" i="1"/>
  <c r="J2613" i="1"/>
  <c r="J2614" i="1"/>
  <c r="J2615" i="1"/>
  <c r="J361" i="1"/>
  <c r="J362" i="1"/>
  <c r="J363" i="1"/>
  <c r="J364" i="1"/>
  <c r="J3042" i="1"/>
  <c r="J3043" i="1"/>
  <c r="J3044" i="1"/>
  <c r="J3045" i="1"/>
  <c r="J3046" i="1"/>
  <c r="J3047" i="1"/>
  <c r="J3048" i="1"/>
  <c r="J3049" i="1"/>
  <c r="J3050" i="1"/>
  <c r="J3051" i="1"/>
  <c r="J4154" i="1"/>
  <c r="J4155" i="1"/>
  <c r="J562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478" i="1"/>
  <c r="J3479" i="1"/>
  <c r="J3480" i="1"/>
  <c r="J2357" i="1"/>
  <c r="J2358" i="1"/>
  <c r="J2359" i="1"/>
  <c r="J563" i="1"/>
  <c r="J564" i="1"/>
  <c r="J565" i="1"/>
  <c r="J509" i="1"/>
  <c r="J1897" i="1"/>
  <c r="J1898" i="1"/>
  <c r="J1899" i="1"/>
  <c r="J1900" i="1"/>
  <c r="J1901" i="1"/>
  <c r="J1902" i="1"/>
  <c r="J1352" i="1"/>
  <c r="J3715" i="1"/>
  <c r="J3716" i="1"/>
  <c r="J3717" i="1"/>
  <c r="J3718" i="1"/>
  <c r="J3719" i="1"/>
  <c r="J3720" i="1"/>
  <c r="J3721" i="1"/>
  <c r="J3722" i="1"/>
  <c r="J4986" i="1"/>
  <c r="J4987" i="1"/>
  <c r="J4988" i="1"/>
  <c r="J4989" i="1"/>
  <c r="J4990" i="1"/>
  <c r="J5333" i="1"/>
  <c r="J5334" i="1"/>
  <c r="J5335" i="1"/>
  <c r="J5336" i="1"/>
  <c r="J5337" i="1"/>
  <c r="J5338" i="1"/>
  <c r="J5339" i="1"/>
  <c r="J5340" i="1"/>
  <c r="J5341" i="1"/>
  <c r="J5342" i="1"/>
  <c r="J5343" i="1"/>
  <c r="J5344" i="1"/>
  <c r="J5345" i="1"/>
  <c r="J1179" i="1"/>
  <c r="J1180" i="1"/>
  <c r="J1181" i="1"/>
  <c r="J1182" i="1"/>
  <c r="J950" i="1"/>
  <c r="J951" i="1"/>
  <c r="J952" i="1"/>
  <c r="J3767" i="1"/>
  <c r="J3768" i="1"/>
  <c r="J3769" i="1"/>
  <c r="J3770" i="1"/>
  <c r="J3771" i="1"/>
  <c r="J3772" i="1"/>
  <c r="J4360" i="1"/>
  <c r="J4361" i="1"/>
  <c r="J3914" i="1"/>
  <c r="J3915" i="1"/>
  <c r="J3916" i="1"/>
  <c r="J3917" i="1"/>
  <c r="J3918" i="1"/>
  <c r="J3919" i="1"/>
  <c r="J3920" i="1"/>
  <c r="J3812" i="1"/>
  <c r="J3813" i="1"/>
  <c r="J3814" i="1"/>
  <c r="J1183" i="1"/>
  <c r="J1184" i="1"/>
  <c r="J1185" i="1"/>
  <c r="J1512" i="1"/>
  <c r="J1340" i="1"/>
  <c r="J1341" i="1"/>
  <c r="J1342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1788" i="1"/>
  <c r="J1789" i="1"/>
  <c r="J1790" i="1"/>
  <c r="J3723" i="1"/>
  <c r="J3724" i="1"/>
  <c r="J3725" i="1"/>
  <c r="J3726" i="1"/>
  <c r="J3727" i="1"/>
  <c r="J3728" i="1"/>
  <c r="J3729" i="1"/>
  <c r="J3730" i="1"/>
  <c r="J3731" i="1"/>
  <c r="J3732" i="1"/>
  <c r="J3790" i="1"/>
  <c r="J3791" i="1"/>
  <c r="J3792" i="1"/>
  <c r="J2354" i="1"/>
  <c r="J2355" i="1"/>
  <c r="J2356" i="1"/>
  <c r="J3519" i="1"/>
  <c r="J3520" i="1"/>
  <c r="J3521" i="1"/>
  <c r="J5275" i="1"/>
  <c r="J5276" i="1"/>
  <c r="J5277" i="1"/>
  <c r="J5278" i="1"/>
  <c r="J2433" i="1"/>
  <c r="J2434" i="1"/>
  <c r="J2435" i="1"/>
  <c r="J2910" i="1"/>
  <c r="J2911" i="1"/>
  <c r="J2912" i="1"/>
  <c r="J2913" i="1"/>
  <c r="J2914" i="1"/>
  <c r="J2915" i="1"/>
  <c r="J2916" i="1"/>
  <c r="J2917" i="1"/>
  <c r="J4715" i="1"/>
  <c r="J4716" i="1"/>
  <c r="J4717" i="1"/>
  <c r="J4718" i="1"/>
  <c r="J4719" i="1"/>
  <c r="J4720" i="1"/>
  <c r="J4721" i="1"/>
  <c r="J4722" i="1"/>
  <c r="J4723" i="1"/>
  <c r="J3815" i="1"/>
  <c r="J3816" i="1"/>
  <c r="J3817" i="1"/>
  <c r="J3818" i="1"/>
  <c r="J3819" i="1"/>
  <c r="J3820" i="1"/>
  <c r="J3821" i="1"/>
  <c r="J707" i="1"/>
  <c r="J708" i="1"/>
  <c r="J2452" i="1"/>
  <c r="J2453" i="1"/>
  <c r="J2454" i="1"/>
  <c r="J2455" i="1"/>
  <c r="J2456" i="1"/>
  <c r="J2457" i="1"/>
  <c r="J2681" i="1"/>
  <c r="J2682" i="1"/>
  <c r="J2683" i="1"/>
  <c r="J2684" i="1"/>
  <c r="J5271" i="1"/>
  <c r="J5272" i="1"/>
  <c r="J5273" i="1"/>
  <c r="J5274" i="1"/>
  <c r="J4653" i="1"/>
  <c r="J4654" i="1"/>
  <c r="J4655" i="1"/>
  <c r="J4656" i="1"/>
  <c r="J4207" i="1"/>
  <c r="J4208" i="1"/>
  <c r="J4209" i="1"/>
  <c r="J4210" i="1"/>
  <c r="J4211" i="1"/>
  <c r="J4212" i="1"/>
  <c r="J1236" i="1"/>
  <c r="J1237" i="1"/>
  <c r="J1238" i="1"/>
  <c r="J1239" i="1"/>
  <c r="J1240" i="1"/>
  <c r="J1241" i="1"/>
  <c r="J1242" i="1"/>
  <c r="J1243" i="1"/>
  <c r="J1244" i="1"/>
  <c r="J4981" i="1"/>
  <c r="J4982" i="1"/>
  <c r="J4983" i="1"/>
  <c r="J4984" i="1"/>
  <c r="J4985" i="1"/>
  <c r="J2360" i="1"/>
  <c r="J1841" i="1"/>
  <c r="J1842" i="1"/>
  <c r="J1843" i="1"/>
  <c r="J1844" i="1"/>
  <c r="J1845" i="1"/>
  <c r="J1846" i="1"/>
  <c r="J1847" i="1"/>
  <c r="J3568" i="1"/>
  <c r="J3569" i="1"/>
  <c r="J3570" i="1"/>
  <c r="J1493" i="1"/>
  <c r="J1494" i="1"/>
  <c r="J3773" i="1"/>
  <c r="J3774" i="1"/>
  <c r="J3775" i="1"/>
  <c r="J3776" i="1"/>
  <c r="J4475" i="1"/>
  <c r="J4476" i="1"/>
  <c r="J4477" i="1"/>
  <c r="J4478" i="1"/>
  <c r="J4067" i="1"/>
  <c r="J2643" i="1"/>
  <c r="J2903" i="1"/>
  <c r="J2904" i="1"/>
  <c r="J3271" i="1"/>
  <c r="J3272" i="1"/>
  <c r="J3273" i="1"/>
  <c r="J3274" i="1"/>
  <c r="J3275" i="1"/>
  <c r="J4436" i="1"/>
  <c r="J4437" i="1"/>
  <c r="J4438" i="1"/>
  <c r="J921" i="1"/>
  <c r="J922" i="1"/>
  <c r="J923" i="1"/>
  <c r="J924" i="1"/>
  <c r="J925" i="1"/>
  <c r="J926" i="1"/>
  <c r="J927" i="1"/>
  <c r="J947" i="1"/>
  <c r="J948" i="1"/>
  <c r="J949" i="1"/>
  <c r="J3653" i="1"/>
  <c r="J3576" i="1"/>
  <c r="J3577" i="1"/>
  <c r="J3578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547" i="1"/>
  <c r="J3548" i="1"/>
  <c r="J3549" i="1"/>
  <c r="J3550" i="1"/>
  <c r="J3551" i="1"/>
  <c r="J3491" i="1"/>
  <c r="J3705" i="1"/>
  <c r="J3706" i="1"/>
  <c r="J3707" i="1"/>
  <c r="J3708" i="1"/>
  <c r="J3709" i="1"/>
  <c r="J3710" i="1"/>
  <c r="J3735" i="1"/>
  <c r="J3736" i="1"/>
  <c r="J3737" i="1"/>
  <c r="J3738" i="1"/>
  <c r="J3739" i="1"/>
  <c r="J3654" i="1"/>
  <c r="J1784" i="1"/>
  <c r="J1785" i="1"/>
  <c r="J1786" i="1"/>
  <c r="J1787" i="1"/>
  <c r="J4068" i="1"/>
  <c r="J4069" i="1"/>
  <c r="J4070" i="1"/>
  <c r="J4071" i="1"/>
  <c r="J4072" i="1"/>
  <c r="J4190" i="1"/>
  <c r="J4191" i="1"/>
  <c r="J4192" i="1"/>
  <c r="J3780" i="1"/>
  <c r="J3667" i="1"/>
  <c r="J3668" i="1"/>
  <c r="J3669" i="1"/>
  <c r="J3670" i="1"/>
  <c r="J3671" i="1"/>
  <c r="J3672" i="1"/>
  <c r="J3673" i="1"/>
  <c r="J3674" i="1"/>
  <c r="J3675" i="1"/>
  <c r="J3676" i="1"/>
  <c r="J3677" i="1"/>
  <c r="J4466" i="1"/>
  <c r="J4467" i="1"/>
  <c r="J4468" i="1"/>
  <c r="J4469" i="1"/>
  <c r="J4470" i="1"/>
  <c r="J4471" i="1"/>
  <c r="J4472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3651" i="1"/>
  <c r="J3652" i="1"/>
  <c r="J750" i="1"/>
  <c r="J751" i="1"/>
  <c r="J752" i="1"/>
  <c r="J753" i="1"/>
  <c r="J754" i="1"/>
  <c r="J755" i="1"/>
  <c r="J756" i="1"/>
  <c r="J757" i="1"/>
  <c r="J212" i="1"/>
  <c r="J4406" i="1"/>
  <c r="J4407" i="1"/>
  <c r="J4408" i="1"/>
  <c r="J4409" i="1"/>
  <c r="J4410" i="1"/>
  <c r="J4411" i="1"/>
  <c r="J4412" i="1"/>
  <c r="J4413" i="1"/>
  <c r="J4414" i="1"/>
  <c r="J4415" i="1"/>
  <c r="J4416" i="1"/>
  <c r="J649" i="1"/>
  <c r="J650" i="1"/>
  <c r="J989" i="1"/>
  <c r="J990" i="1"/>
  <c r="J991" i="1"/>
  <c r="J992" i="1"/>
  <c r="J993" i="1"/>
  <c r="J994" i="1"/>
  <c r="J3633" i="1"/>
  <c r="J3634" i="1"/>
  <c r="J3635" i="1"/>
  <c r="J3636" i="1"/>
  <c r="J3637" i="1"/>
  <c r="J3638" i="1"/>
  <c r="J1727" i="1"/>
  <c r="J1769" i="1"/>
  <c r="J1770" i="1"/>
  <c r="J188" i="1"/>
  <c r="J758" i="1"/>
  <c r="J759" i="1"/>
  <c r="J847" i="1"/>
  <c r="J848" i="1"/>
  <c r="J849" i="1"/>
  <c r="J850" i="1"/>
  <c r="J851" i="1"/>
  <c r="J852" i="1"/>
  <c r="J853" i="1"/>
  <c r="J1061" i="1"/>
  <c r="J1062" i="1"/>
  <c r="J1063" i="1"/>
  <c r="J1064" i="1"/>
  <c r="J676" i="1"/>
  <c r="J677" i="1"/>
  <c r="J678" i="1"/>
  <c r="J679" i="1"/>
  <c r="J3760" i="1"/>
  <c r="J3761" i="1"/>
  <c r="J2984" i="1"/>
  <c r="J2830" i="1"/>
  <c r="J2831" i="1"/>
  <c r="J2832" i="1"/>
  <c r="J2833" i="1"/>
  <c r="J4524" i="1"/>
  <c r="J4525" i="1"/>
  <c r="J4526" i="1"/>
  <c r="J1505" i="1"/>
  <c r="J1506" i="1"/>
  <c r="J1507" i="1"/>
  <c r="J1508" i="1"/>
  <c r="J1509" i="1"/>
  <c r="J1510" i="1"/>
  <c r="J1511" i="1"/>
  <c r="J1649" i="1"/>
  <c r="J1650" i="1"/>
  <c r="J1651" i="1"/>
  <c r="J1652" i="1"/>
  <c r="J1653" i="1"/>
  <c r="J1654" i="1"/>
  <c r="J1655" i="1"/>
  <c r="J1656" i="1"/>
  <c r="J1657" i="1"/>
  <c r="J1658" i="1"/>
  <c r="J5346" i="1"/>
  <c r="J5347" i="1"/>
  <c r="J5348" i="1"/>
  <c r="J1958" i="1"/>
  <c r="J3604" i="1"/>
  <c r="J3292" i="1"/>
  <c r="J3293" i="1"/>
  <c r="J3294" i="1"/>
  <c r="J510" i="1"/>
  <c r="J511" i="1"/>
  <c r="J512" i="1"/>
  <c r="J513" i="1"/>
  <c r="J514" i="1"/>
  <c r="J515" i="1"/>
  <c r="J516" i="1"/>
  <c r="J517" i="1"/>
  <c r="J518" i="1"/>
  <c r="J519" i="1"/>
  <c r="J1068" i="1"/>
  <c r="J285" i="1"/>
  <c r="J286" i="1"/>
  <c r="J287" i="1"/>
  <c r="J288" i="1"/>
  <c r="J289" i="1"/>
  <c r="J290" i="1"/>
  <c r="J291" i="1"/>
  <c r="J292" i="1"/>
  <c r="J293" i="1"/>
  <c r="J294" i="1"/>
  <c r="J295" i="1"/>
  <c r="J434" i="1"/>
  <c r="J435" i="1"/>
  <c r="J436" i="1"/>
  <c r="J437" i="1"/>
  <c r="J438" i="1"/>
  <c r="J494" i="1"/>
  <c r="J495" i="1"/>
  <c r="J496" i="1"/>
  <c r="J388" i="1"/>
  <c r="J1679" i="1"/>
  <c r="J1680" i="1"/>
  <c r="J1681" i="1"/>
  <c r="J1682" i="1"/>
  <c r="J1683" i="1"/>
  <c r="J1684" i="1"/>
  <c r="J2083" i="1"/>
  <c r="J3688" i="1"/>
  <c r="J3689" i="1"/>
  <c r="J3690" i="1"/>
  <c r="J3691" i="1"/>
  <c r="J3692" i="1"/>
  <c r="J3146" i="1"/>
  <c r="J3147" i="1"/>
  <c r="J3148" i="1"/>
  <c r="J3149" i="1"/>
  <c r="J5349" i="1"/>
  <c r="J5350" i="1"/>
  <c r="J5351" i="1"/>
  <c r="J5352" i="1"/>
  <c r="J5353" i="1"/>
  <c r="J5354" i="1"/>
  <c r="J2328" i="1"/>
  <c r="J2329" i="1"/>
  <c r="J2330" i="1"/>
  <c r="J2331" i="1"/>
  <c r="J2332" i="1"/>
  <c r="J2333" i="1"/>
  <c r="J2334" i="1"/>
  <c r="J2381" i="1"/>
  <c r="J2382" i="1"/>
  <c r="J2383" i="1"/>
  <c r="J2384" i="1"/>
  <c r="J2385" i="1"/>
  <c r="J1346" i="1"/>
  <c r="J1347" i="1"/>
  <c r="J805" i="1"/>
  <c r="J806" i="1"/>
  <c r="J807" i="1"/>
  <c r="J808" i="1"/>
  <c r="J809" i="1"/>
  <c r="J810" i="1"/>
  <c r="J811" i="1"/>
  <c r="J812" i="1"/>
  <c r="J813" i="1"/>
  <c r="J814" i="1"/>
  <c r="J815" i="1"/>
  <c r="J2847" i="1"/>
  <c r="J2848" i="1"/>
  <c r="J2811" i="1"/>
  <c r="J2812" i="1"/>
  <c r="J2813" i="1"/>
  <c r="J325" i="1"/>
  <c r="J326" i="1"/>
  <c r="J2804" i="1"/>
  <c r="J2805" i="1"/>
  <c r="J3295" i="1"/>
  <c r="J3296" i="1"/>
  <c r="J3297" i="1"/>
  <c r="J3298" i="1"/>
  <c r="J1999" i="1"/>
  <c r="J2000" i="1"/>
  <c r="J1806" i="1"/>
  <c r="J1807" i="1"/>
  <c r="J2291" i="1"/>
  <c r="J2292" i="1"/>
  <c r="J2293" i="1"/>
  <c r="J2294" i="1"/>
  <c r="J2295" i="1"/>
  <c r="J2296" i="1"/>
  <c r="J2297" i="1"/>
  <c r="J2298" i="1"/>
  <c r="J1284" i="1"/>
  <c r="J1285" i="1"/>
  <c r="J1286" i="1"/>
  <c r="J2320" i="1"/>
  <c r="J2991" i="1"/>
  <c r="J2992" i="1"/>
  <c r="J2993" i="1"/>
  <c r="J3448" i="1"/>
  <c r="J3449" i="1"/>
  <c r="J3450" i="1"/>
  <c r="J3451" i="1"/>
  <c r="J3452" i="1"/>
  <c r="J3453" i="1"/>
  <c r="J3454" i="1"/>
  <c r="J3455" i="1"/>
  <c r="J3456" i="1"/>
  <c r="J724" i="1"/>
  <c r="J725" i="1"/>
  <c r="J726" i="1"/>
  <c r="J1115" i="1"/>
  <c r="J1116" i="1"/>
  <c r="J225" i="1"/>
  <c r="J226" i="1"/>
  <c r="J227" i="1"/>
  <c r="J228" i="1"/>
  <c r="J229" i="1"/>
  <c r="J230" i="1"/>
  <c r="J76" i="1"/>
  <c r="J77" i="1"/>
  <c r="J78" i="1"/>
  <c r="J79" i="1"/>
  <c r="J80" i="1"/>
  <c r="J81" i="1"/>
  <c r="J82" i="1"/>
  <c r="J83" i="1"/>
  <c r="J84" i="1"/>
  <c r="J5405" i="1"/>
  <c r="J5406" i="1"/>
  <c r="J1936" i="1"/>
  <c r="J1937" i="1"/>
  <c r="J1553" i="1"/>
  <c r="J1554" i="1"/>
  <c r="J1555" i="1"/>
  <c r="J1556" i="1"/>
  <c r="J1557" i="1"/>
  <c r="J3209" i="1"/>
  <c r="J3210" i="1"/>
  <c r="J3211" i="1"/>
  <c r="J3212" i="1"/>
  <c r="J3406" i="1"/>
  <c r="J3407" i="1"/>
  <c r="J3408" i="1"/>
  <c r="J3409" i="1"/>
  <c r="J2787" i="1"/>
  <c r="J2788" i="1"/>
  <c r="J2789" i="1"/>
  <c r="J2790" i="1"/>
  <c r="J2791" i="1"/>
  <c r="J2792" i="1"/>
  <c r="J2793" i="1"/>
  <c r="J1659" i="1"/>
  <c r="J1660" i="1"/>
  <c r="J1515" i="1"/>
  <c r="J1516" i="1"/>
  <c r="J1517" i="1"/>
  <c r="J839" i="1"/>
  <c r="J840" i="1"/>
  <c r="J841" i="1"/>
  <c r="J2745" i="1"/>
  <c r="J2746" i="1"/>
  <c r="J2747" i="1"/>
  <c r="J2748" i="1"/>
  <c r="J3138" i="1"/>
  <c r="J3139" i="1"/>
  <c r="J3140" i="1"/>
  <c r="J3141" i="1"/>
  <c r="J3142" i="1"/>
  <c r="J3143" i="1"/>
  <c r="J3144" i="1"/>
  <c r="J3145" i="1"/>
  <c r="J3384" i="1"/>
  <c r="J3385" i="1"/>
  <c r="J3386" i="1"/>
  <c r="J3012" i="1"/>
  <c r="J3013" i="1"/>
  <c r="J3014" i="1"/>
  <c r="J1603" i="1"/>
  <c r="J1604" i="1"/>
  <c r="J1605" i="1"/>
  <c r="J1606" i="1"/>
  <c r="J1607" i="1"/>
  <c r="J1608" i="1"/>
  <c r="J2299" i="1"/>
  <c r="J2300" i="1"/>
  <c r="J2301" i="1"/>
  <c r="J2302" i="1"/>
  <c r="J2303" i="1"/>
  <c r="J2304" i="1"/>
  <c r="J3353" i="1"/>
  <c r="J3354" i="1"/>
  <c r="J542" i="1"/>
  <c r="J3150" i="1"/>
  <c r="J3151" i="1"/>
  <c r="J3152" i="1"/>
  <c r="J3153" i="1"/>
  <c r="J3154" i="1"/>
  <c r="J3155" i="1"/>
  <c r="J3156" i="1"/>
  <c r="J3157" i="1"/>
  <c r="J3158" i="1"/>
  <c r="J2668" i="1"/>
  <c r="J731" i="1"/>
  <c r="J732" i="1"/>
  <c r="J733" i="1"/>
  <c r="J734" i="1"/>
  <c r="J735" i="1"/>
  <c r="J3942" i="1"/>
  <c r="J4126" i="1"/>
  <c r="J4127" i="1"/>
  <c r="J4128" i="1"/>
  <c r="J4129" i="1"/>
  <c r="J4453" i="1"/>
  <c r="J4454" i="1"/>
  <c r="J4455" i="1"/>
  <c r="J4175" i="1"/>
  <c r="J4176" i="1"/>
  <c r="J1558" i="1"/>
  <c r="J1559" i="1"/>
  <c r="J1560" i="1"/>
  <c r="J1561" i="1"/>
  <c r="J1562" i="1"/>
  <c r="J1563" i="1"/>
  <c r="J1741" i="1"/>
  <c r="J1742" i="1"/>
  <c r="J1743" i="1"/>
  <c r="J1744" i="1"/>
  <c r="J1745" i="1"/>
  <c r="J1746" i="1"/>
  <c r="J1747" i="1"/>
  <c r="J1748" i="1"/>
  <c r="J2321" i="1"/>
  <c r="J2322" i="1"/>
  <c r="J2323" i="1"/>
  <c r="J2324" i="1"/>
  <c r="J2325" i="1"/>
  <c r="J2326" i="1"/>
  <c r="J2327" i="1"/>
  <c r="J2131" i="1"/>
  <c r="J2132" i="1"/>
  <c r="J2133" i="1"/>
  <c r="J1211" i="1"/>
  <c r="J1212" i="1"/>
  <c r="J402" i="1"/>
  <c r="J403" i="1"/>
  <c r="J404" i="1"/>
  <c r="J405" i="1"/>
  <c r="J4177" i="1"/>
  <c r="J4428" i="1"/>
  <c r="J4429" i="1"/>
  <c r="J4430" i="1"/>
  <c r="J4431" i="1"/>
  <c r="J4432" i="1"/>
  <c r="J4433" i="1"/>
  <c r="J4434" i="1"/>
  <c r="J192" i="1"/>
  <c r="J193" i="1"/>
  <c r="J194" i="1"/>
  <c r="J216" i="1"/>
  <c r="J217" i="1"/>
  <c r="J218" i="1"/>
  <c r="J219" i="1"/>
  <c r="J220" i="1"/>
  <c r="J221" i="1"/>
  <c r="J222" i="1"/>
  <c r="J223" i="1"/>
  <c r="J224" i="1"/>
  <c r="J238" i="1"/>
  <c r="J239" i="1"/>
  <c r="J240" i="1"/>
  <c r="J241" i="1"/>
  <c r="J242" i="1"/>
  <c r="J243" i="1"/>
  <c r="J874" i="1"/>
  <c r="J3973" i="1"/>
  <c r="J3974" i="1"/>
  <c r="J4186" i="1"/>
  <c r="J4187" i="1"/>
  <c r="J4188" i="1"/>
  <c r="J4189" i="1"/>
  <c r="J3166" i="1"/>
  <c r="J3167" i="1"/>
  <c r="J4786" i="1"/>
  <c r="J4787" i="1"/>
  <c r="J4788" i="1"/>
  <c r="J4789" i="1"/>
  <c r="J4790" i="1"/>
  <c r="J5116" i="1"/>
  <c r="J5117" i="1"/>
  <c r="J5118" i="1"/>
  <c r="J5119" i="1"/>
  <c r="J5120" i="1"/>
  <c r="J5121" i="1"/>
  <c r="J5122" i="1"/>
  <c r="J5123" i="1"/>
  <c r="J5124" i="1"/>
  <c r="J5125" i="1"/>
  <c r="J3895" i="1"/>
  <c r="J3896" i="1"/>
  <c r="J3897" i="1"/>
  <c r="J1719" i="1"/>
  <c r="J1720" i="1"/>
  <c r="J1721" i="1"/>
  <c r="J1722" i="1"/>
  <c r="J1723" i="1"/>
  <c r="J1724" i="1"/>
  <c r="J2573" i="1"/>
  <c r="J2574" i="1"/>
  <c r="J1291" i="1"/>
  <c r="J1292" i="1"/>
  <c r="J1293" i="1"/>
  <c r="J233" i="1"/>
  <c r="J234" i="1"/>
  <c r="J235" i="1"/>
  <c r="J236" i="1"/>
  <c r="J300" i="1"/>
  <c r="J301" i="1"/>
  <c r="J302" i="1"/>
  <c r="J303" i="1"/>
  <c r="J304" i="1"/>
  <c r="J2096" i="1"/>
  <c r="J1318" i="1"/>
  <c r="J2134" i="1"/>
  <c r="J2135" i="1"/>
  <c r="J2136" i="1"/>
  <c r="J2137" i="1"/>
  <c r="J2138" i="1"/>
  <c r="J2139" i="1"/>
  <c r="J2140" i="1"/>
  <c r="J2161" i="1"/>
  <c r="J2162" i="1"/>
  <c r="J2163" i="1"/>
  <c r="J2164" i="1"/>
  <c r="J2165" i="1"/>
  <c r="J3004" i="1"/>
  <c r="J3005" i="1"/>
  <c r="J3006" i="1"/>
  <c r="J3007" i="1"/>
  <c r="J3008" i="1"/>
  <c r="J3009" i="1"/>
  <c r="J3010" i="1"/>
  <c r="J2408" i="1"/>
  <c r="J2409" i="1"/>
  <c r="J2410" i="1"/>
  <c r="J1820" i="1"/>
  <c r="J1821" i="1"/>
  <c r="J1822" i="1"/>
  <c r="J1823" i="1"/>
  <c r="J1824" i="1"/>
  <c r="J1825" i="1"/>
  <c r="J1826" i="1"/>
  <c r="J1947" i="1"/>
  <c r="J1948" i="1"/>
  <c r="J2001" i="1"/>
  <c r="J1984" i="1"/>
  <c r="J1252" i="1"/>
  <c r="J2575" i="1"/>
  <c r="J3054" i="1"/>
  <c r="J3055" i="1"/>
  <c r="J1315" i="1"/>
  <c r="J1316" i="1"/>
  <c r="J1317" i="1"/>
  <c r="J2202" i="1"/>
  <c r="J2589" i="1"/>
  <c r="J2590" i="1"/>
  <c r="J2591" i="1"/>
  <c r="J2592" i="1"/>
  <c r="J2593" i="1"/>
  <c r="J2594" i="1"/>
  <c r="J2119" i="1"/>
  <c r="J2120" i="1"/>
  <c r="J2121" i="1"/>
  <c r="J3199" i="1"/>
  <c r="J3200" i="1"/>
  <c r="J1350" i="1"/>
  <c r="J1351" i="1"/>
  <c r="J1731" i="1"/>
  <c r="J3355" i="1"/>
  <c r="J3356" i="1"/>
  <c r="J3357" i="1"/>
  <c r="J3358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872" i="1"/>
  <c r="J2873" i="1"/>
  <c r="J2874" i="1"/>
  <c r="J2875" i="1"/>
  <c r="J5313" i="1"/>
  <c r="J5314" i="1"/>
  <c r="J5315" i="1"/>
  <c r="J5316" i="1"/>
  <c r="J5317" i="1"/>
  <c r="J5318" i="1"/>
  <c r="J5319" i="1"/>
  <c r="J5320" i="1"/>
  <c r="J5321" i="1"/>
  <c r="J5322" i="1"/>
  <c r="J4874" i="1"/>
  <c r="J4938" i="1"/>
  <c r="J4939" i="1"/>
  <c r="J972" i="1"/>
  <c r="J973" i="1"/>
  <c r="J2446" i="1"/>
  <c r="J2447" i="1"/>
  <c r="J2448" i="1"/>
  <c r="J2449" i="1"/>
  <c r="J2450" i="1"/>
  <c r="J2451" i="1"/>
  <c r="J1319" i="1"/>
  <c r="J1320" i="1"/>
  <c r="J1321" i="1"/>
  <c r="J1322" i="1"/>
  <c r="J1323" i="1"/>
  <c r="J1324" i="1"/>
  <c r="J1325" i="1"/>
  <c r="J1326" i="1"/>
  <c r="J1327" i="1"/>
  <c r="J684" i="1"/>
  <c r="J685" i="1"/>
  <c r="J623" i="1"/>
  <c r="J624" i="1"/>
  <c r="J625" i="1"/>
  <c r="J626" i="1"/>
  <c r="J627" i="1"/>
  <c r="J628" i="1"/>
  <c r="J629" i="1"/>
  <c r="J630" i="1"/>
  <c r="J631" i="1"/>
  <c r="J914" i="1"/>
  <c r="J915" i="1"/>
  <c r="J2042" i="1"/>
  <c r="J2043" i="1"/>
  <c r="J2044" i="1"/>
  <c r="J2045" i="1"/>
  <c r="J2046" i="1"/>
  <c r="J146" i="1"/>
  <c r="J2868" i="1"/>
  <c r="J2869" i="1"/>
  <c r="J2752" i="1"/>
  <c r="J2753" i="1"/>
  <c r="J2754" i="1"/>
  <c r="J2755" i="1"/>
  <c r="J2756" i="1"/>
  <c r="J2757" i="1"/>
  <c r="J2758" i="1"/>
  <c r="J2759" i="1"/>
  <c r="J2760" i="1"/>
  <c r="J2761" i="1"/>
  <c r="J1470" i="1"/>
  <c r="J1471" i="1"/>
  <c r="J1472" i="1"/>
  <c r="J1473" i="1"/>
  <c r="J1220" i="1"/>
  <c r="J1221" i="1"/>
  <c r="J1222" i="1"/>
  <c r="J1223" i="1"/>
  <c r="J5376" i="1"/>
  <c r="J5377" i="1"/>
  <c r="J5378" i="1"/>
  <c r="J3369" i="1"/>
  <c r="J3370" i="1"/>
  <c r="J3371" i="1"/>
  <c r="J3372" i="1"/>
  <c r="J3373" i="1"/>
  <c r="J3374" i="1"/>
  <c r="J3375" i="1"/>
  <c r="J3376" i="1"/>
  <c r="J1452" i="1"/>
  <c r="J1453" i="1"/>
  <c r="J1454" i="1"/>
  <c r="J1455" i="1"/>
  <c r="J1456" i="1"/>
  <c r="J1457" i="1"/>
  <c r="J1458" i="1"/>
  <c r="J1459" i="1"/>
  <c r="J1460" i="1"/>
  <c r="J1461" i="1"/>
  <c r="J1462" i="1"/>
  <c r="J2314" i="1"/>
  <c r="J2820" i="1"/>
  <c r="J2821" i="1"/>
  <c r="J2822" i="1"/>
  <c r="J2823" i="1"/>
  <c r="J2824" i="1"/>
  <c r="J3319" i="1"/>
  <c r="J3320" i="1"/>
  <c r="J1925" i="1"/>
  <c r="J1926" i="1"/>
  <c r="J1927" i="1"/>
  <c r="J1928" i="1"/>
  <c r="J1929" i="1"/>
  <c r="J3003" i="1"/>
  <c r="J49" i="1"/>
  <c r="J50" i="1"/>
  <c r="J136" i="1"/>
  <c r="J137" i="1"/>
  <c r="J138" i="1"/>
  <c r="J139" i="1"/>
  <c r="J995" i="1"/>
  <c r="J996" i="1"/>
  <c r="J997" i="1"/>
  <c r="J998" i="1"/>
  <c r="J2" i="1"/>
  <c r="J3" i="1"/>
  <c r="J4" i="1"/>
  <c r="J2372" i="1"/>
  <c r="J2373" i="1"/>
  <c r="J2374" i="1"/>
  <c r="J2375" i="1"/>
  <c r="J2376" i="1"/>
  <c r="J2377" i="1"/>
  <c r="J3286" i="1"/>
  <c r="J3287" i="1"/>
  <c r="J3288" i="1"/>
  <c r="J3289" i="1"/>
  <c r="J3290" i="1"/>
  <c r="J3291" i="1"/>
  <c r="J1148" i="1"/>
  <c r="J1149" i="1"/>
  <c r="J3342" i="1"/>
  <c r="J3365" i="1"/>
  <c r="J3366" i="1"/>
  <c r="J3367" i="1"/>
  <c r="J3368" i="1"/>
  <c r="J2401" i="1"/>
  <c r="J1589" i="1"/>
  <c r="J1590" i="1"/>
  <c r="J1591" i="1"/>
  <c r="J1592" i="1"/>
  <c r="J1593" i="1"/>
  <c r="J1594" i="1"/>
  <c r="J2893" i="1"/>
  <c r="J2894" i="1"/>
  <c r="J2895" i="1"/>
  <c r="J2896" i="1"/>
  <c r="J835" i="1"/>
  <c r="J543" i="1"/>
  <c r="J544" i="1"/>
  <c r="J545" i="1"/>
  <c r="J546" i="1"/>
  <c r="J341" i="1"/>
  <c r="J279" i="1"/>
  <c r="J280" i="1"/>
  <c r="J3679" i="1"/>
  <c r="J3680" i="1"/>
  <c r="J3681" i="1"/>
  <c r="J3682" i="1"/>
  <c r="J3683" i="1"/>
  <c r="J3684" i="1"/>
  <c r="J3685" i="1"/>
  <c r="J3686" i="1"/>
  <c r="J3687" i="1"/>
  <c r="J3781" i="1"/>
  <c r="J2279" i="1"/>
  <c r="J2280" i="1"/>
  <c r="J2281" i="1"/>
  <c r="J2468" i="1"/>
  <c r="J2469" i="1"/>
  <c r="J2470" i="1"/>
  <c r="J2471" i="1"/>
  <c r="J66" i="1"/>
  <c r="J67" i="1"/>
  <c r="J68" i="1"/>
  <c r="J69" i="1"/>
  <c r="J155" i="1"/>
  <c r="J156" i="1"/>
  <c r="J157" i="1"/>
  <c r="J318" i="1"/>
  <c r="J319" i="1"/>
  <c r="J373" i="1"/>
  <c r="J374" i="1"/>
  <c r="J599" i="1"/>
  <c r="J600" i="1"/>
  <c r="J601" i="1"/>
  <c r="J602" i="1"/>
  <c r="J603" i="1"/>
  <c r="J547" i="1"/>
  <c r="J548" i="1"/>
  <c r="J549" i="1"/>
  <c r="J550" i="1"/>
  <c r="J551" i="1"/>
  <c r="J1642" i="1"/>
  <c r="J1643" i="1"/>
  <c r="J1551" i="1"/>
  <c r="J1552" i="1"/>
  <c r="J1949" i="1"/>
  <c r="J1950" i="1"/>
  <c r="J1951" i="1"/>
  <c r="J1952" i="1"/>
  <c r="J1953" i="1"/>
  <c r="J1954" i="1"/>
  <c r="J1955" i="1"/>
  <c r="J1956" i="1"/>
  <c r="J1957" i="1"/>
  <c r="J1892" i="1"/>
  <c r="J1893" i="1"/>
  <c r="J2129" i="1"/>
  <c r="J2130" i="1"/>
  <c r="J4860" i="1"/>
  <c r="J4861" i="1"/>
  <c r="J4862" i="1"/>
  <c r="J1230" i="1"/>
  <c r="J1231" i="1"/>
  <c r="J1232" i="1"/>
  <c r="J1233" i="1"/>
  <c r="J2566" i="1"/>
  <c r="J2567" i="1"/>
  <c r="J2568" i="1"/>
  <c r="J2569" i="1"/>
  <c r="J2570" i="1"/>
  <c r="J2571" i="1"/>
  <c r="J2572" i="1"/>
  <c r="J2097" i="1"/>
  <c r="J2098" i="1"/>
  <c r="J2099" i="1"/>
  <c r="J651" i="1"/>
  <c r="J652" i="1"/>
  <c r="J653" i="1"/>
  <c r="J654" i="1"/>
  <c r="J655" i="1"/>
  <c r="J656" i="1"/>
  <c r="J2124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803" i="1"/>
  <c r="J804" i="1"/>
  <c r="J681" i="1"/>
  <c r="J682" i="1"/>
  <c r="J683" i="1"/>
  <c r="J2834" i="1"/>
  <c r="J2835" i="1"/>
  <c r="J2836" i="1"/>
  <c r="J2837" i="1"/>
  <c r="J2838" i="1"/>
  <c r="J2839" i="1"/>
  <c r="J2840" i="1"/>
  <c r="J2841" i="1"/>
  <c r="J2842" i="1"/>
  <c r="J2843" i="1"/>
  <c r="J2074" i="1"/>
  <c r="J2075" i="1"/>
  <c r="J2076" i="1"/>
  <c r="J2077" i="1"/>
  <c r="J2078" i="1"/>
  <c r="J2079" i="1"/>
  <c r="J2080" i="1"/>
  <c r="J2081" i="1"/>
  <c r="J2082" i="1"/>
  <c r="J2405" i="1"/>
  <c r="J2406" i="1"/>
  <c r="J2407" i="1"/>
  <c r="J4527" i="1"/>
  <c r="J4528" i="1"/>
  <c r="J4529" i="1"/>
  <c r="J1959" i="1"/>
  <c r="J1960" i="1"/>
  <c r="J1961" i="1"/>
  <c r="J1962" i="1"/>
  <c r="J3192" i="1"/>
  <c r="J3193" i="1"/>
  <c r="J3194" i="1"/>
  <c r="J3195" i="1"/>
  <c r="J3196" i="1"/>
  <c r="J3197" i="1"/>
  <c r="J3198" i="1"/>
  <c r="J1330" i="1"/>
  <c r="J1331" i="1"/>
  <c r="J1332" i="1"/>
  <c r="J1333" i="1"/>
  <c r="J1334" i="1"/>
  <c r="J1335" i="1"/>
  <c r="J1336" i="1"/>
  <c r="J189" i="1"/>
  <c r="J190" i="1"/>
  <c r="J191" i="1"/>
  <c r="J1069" i="1"/>
  <c r="J1070" i="1"/>
  <c r="J1121" i="1"/>
  <c r="J1122" i="1"/>
  <c r="J1123" i="1"/>
  <c r="J1124" i="1"/>
  <c r="J3159" i="1"/>
  <c r="J3160" i="1"/>
  <c r="J3161" i="1"/>
  <c r="J3162" i="1"/>
  <c r="J3163" i="1"/>
  <c r="J3164" i="1"/>
  <c r="J3165" i="1"/>
  <c r="J3120" i="1"/>
  <c r="J3121" i="1"/>
  <c r="J389" i="1"/>
  <c r="J390" i="1"/>
  <c r="J391" i="1"/>
  <c r="J392" i="1"/>
  <c r="J393" i="1"/>
  <c r="J394" i="1"/>
  <c r="J771" i="1"/>
  <c r="J772" i="1"/>
  <c r="J773" i="1"/>
  <c r="J4147" i="1"/>
  <c r="J2900" i="1"/>
  <c r="J2901" i="1"/>
  <c r="J2902" i="1"/>
  <c r="J3018" i="1"/>
  <c r="J3019" i="1"/>
  <c r="J3020" i="1"/>
  <c r="J3021" i="1"/>
  <c r="J3339" i="1"/>
  <c r="J3340" i="1"/>
  <c r="J3341" i="1"/>
  <c r="J3693" i="1"/>
  <c r="J3694" i="1"/>
  <c r="J3695" i="1"/>
  <c r="J3696" i="1"/>
  <c r="J2734" i="1"/>
  <c r="J2735" i="1"/>
  <c r="J2736" i="1"/>
  <c r="J3117" i="1"/>
  <c r="J3118" i="1"/>
  <c r="J3119" i="1"/>
  <c r="J2870" i="1"/>
  <c r="J2871" i="1"/>
  <c r="J1938" i="1"/>
  <c r="J1939" i="1"/>
  <c r="J1940" i="1"/>
  <c r="J1941" i="1"/>
  <c r="J1942" i="1"/>
  <c r="J1943" i="1"/>
  <c r="J1944" i="1"/>
  <c r="J1811" i="1"/>
  <c r="J1812" i="1"/>
  <c r="J1967" i="1"/>
  <c r="J1968" i="1"/>
  <c r="J1969" i="1"/>
  <c r="J1970" i="1"/>
  <c r="J1971" i="1"/>
  <c r="J1972" i="1"/>
  <c r="J1973" i="1"/>
  <c r="J1974" i="1"/>
  <c r="J1975" i="1"/>
  <c r="J2642" i="1"/>
  <c r="J1249" i="1"/>
  <c r="J1250" i="1"/>
  <c r="J1251" i="1"/>
  <c r="J1348" i="1"/>
  <c r="J1349" i="1"/>
  <c r="J327" i="1"/>
  <c r="J328" i="1"/>
  <c r="J329" i="1"/>
  <c r="J330" i="1"/>
  <c r="J331" i="1"/>
  <c r="J332" i="1"/>
  <c r="J333" i="1"/>
  <c r="J334" i="1"/>
  <c r="J2062" i="1"/>
  <c r="J2063" i="1"/>
  <c r="J2064" i="1"/>
  <c r="J2065" i="1"/>
  <c r="J2066" i="1"/>
  <c r="J2067" i="1"/>
  <c r="J2068" i="1"/>
  <c r="J2069" i="1"/>
  <c r="J2070" i="1"/>
  <c r="J2128" i="1"/>
  <c r="J1150" i="1"/>
  <c r="J1151" i="1"/>
  <c r="J1152" i="1"/>
  <c r="J1153" i="1"/>
  <c r="J5382" i="1"/>
  <c r="J5383" i="1"/>
  <c r="J5384" i="1"/>
  <c r="J5385" i="1"/>
  <c r="J5386" i="1"/>
  <c r="J5387" i="1"/>
  <c r="J5388" i="1"/>
  <c r="J5389" i="1"/>
  <c r="J3803" i="1"/>
  <c r="J3804" i="1"/>
  <c r="J3805" i="1"/>
  <c r="J3806" i="1"/>
  <c r="J3807" i="1"/>
  <c r="J3808" i="1"/>
  <c r="J3809" i="1"/>
  <c r="J99" i="1"/>
  <c r="J100" i="1"/>
  <c r="J2994" i="1"/>
  <c r="J2995" i="1"/>
  <c r="J2996" i="1"/>
  <c r="J3383" i="1"/>
  <c r="J3457" i="1"/>
  <c r="J3458" i="1"/>
  <c r="J3459" i="1"/>
  <c r="J3460" i="1"/>
  <c r="J3461" i="1"/>
  <c r="J3923" i="1"/>
  <c r="J185" i="1"/>
  <c r="J186" i="1"/>
  <c r="J187" i="1"/>
  <c r="J5407" i="1"/>
  <c r="J5408" i="1"/>
  <c r="J1075" i="1"/>
  <c r="J1076" i="1"/>
  <c r="J1077" i="1"/>
  <c r="J1078" i="1"/>
  <c r="J1079" i="1"/>
  <c r="J1080" i="1"/>
  <c r="J1081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4185" i="1"/>
  <c r="J2794" i="1"/>
  <c r="J2795" i="1"/>
  <c r="J2796" i="1"/>
  <c r="J2797" i="1"/>
  <c r="J3598" i="1"/>
  <c r="J3599" i="1"/>
  <c r="J3605" i="1"/>
  <c r="J3606" i="1"/>
  <c r="J3607" i="1"/>
  <c r="J3608" i="1"/>
  <c r="J3609" i="1"/>
  <c r="J3748" i="1"/>
  <c r="J3749" i="1"/>
  <c r="J3750" i="1"/>
  <c r="J3751" i="1"/>
  <c r="J3752" i="1"/>
  <c r="J3753" i="1"/>
  <c r="J3754" i="1"/>
  <c r="J3755" i="1"/>
  <c r="J3756" i="1"/>
  <c r="J1923" i="1"/>
  <c r="J1924" i="1"/>
  <c r="J1465" i="1"/>
  <c r="J1466" i="1"/>
  <c r="J1467" i="1"/>
  <c r="J1468" i="1"/>
  <c r="J1469" i="1"/>
  <c r="J2762" i="1"/>
  <c r="J2763" i="1"/>
  <c r="J2764" i="1"/>
  <c r="J2765" i="1"/>
  <c r="J2766" i="1"/>
  <c r="J2767" i="1"/>
  <c r="J3433" i="1"/>
  <c r="J3434" i="1"/>
  <c r="J3435" i="1"/>
  <c r="J3221" i="1"/>
  <c r="J3222" i="1"/>
  <c r="J3223" i="1"/>
  <c r="J2749" i="1"/>
  <c r="J2750" i="1"/>
  <c r="J2751" i="1"/>
  <c r="J2439" i="1"/>
  <c r="J2440" i="1"/>
  <c r="J2441" i="1"/>
  <c r="J2442" i="1"/>
  <c r="J2443" i="1"/>
  <c r="J1415" i="1"/>
  <c r="J1416" i="1"/>
  <c r="J1417" i="1"/>
  <c r="J1418" i="1"/>
  <c r="J1419" i="1"/>
  <c r="J1420" i="1"/>
  <c r="J1421" i="1"/>
  <c r="J2272" i="1"/>
  <c r="J2273" i="1"/>
  <c r="J2274" i="1"/>
  <c r="J2275" i="1"/>
  <c r="J3666" i="1"/>
  <c r="J3601" i="1"/>
  <c r="J3602" i="1"/>
  <c r="J3603" i="1"/>
  <c r="J3943" i="1"/>
  <c r="J3944" i="1"/>
  <c r="J42" i="1"/>
  <c r="J637" i="1"/>
  <c r="J638" i="1"/>
  <c r="J639" i="1"/>
  <c r="J640" i="1"/>
  <c r="J641" i="1"/>
  <c r="J642" i="1"/>
  <c r="J643" i="1"/>
  <c r="J793" i="1"/>
  <c r="J794" i="1"/>
  <c r="J795" i="1"/>
  <c r="J796" i="1"/>
  <c r="J797" i="1"/>
  <c r="J798" i="1"/>
  <c r="J799" i="1"/>
  <c r="J2086" i="1"/>
  <c r="J2087" i="1"/>
  <c r="J2088" i="1"/>
  <c r="J2089" i="1"/>
  <c r="J2090" i="1"/>
  <c r="J2091" i="1"/>
  <c r="J2092" i="1"/>
  <c r="J2093" i="1"/>
  <c r="J2094" i="1"/>
  <c r="J2814" i="1"/>
  <c r="J2815" i="1"/>
  <c r="J2816" i="1"/>
  <c r="J2817" i="1"/>
  <c r="J2818" i="1"/>
  <c r="J2819" i="1"/>
  <c r="J1213" i="1"/>
  <c r="J1214" i="1"/>
  <c r="J1215" i="1"/>
  <c r="J1216" i="1"/>
  <c r="J1217" i="1"/>
  <c r="J1218" i="1"/>
  <c r="J1219" i="1"/>
  <c r="J1840" i="1"/>
  <c r="J1966" i="1"/>
  <c r="J1896" i="1"/>
  <c r="J1702" i="1"/>
  <c r="J2242" i="1"/>
  <c r="J2243" i="1"/>
  <c r="J1371" i="1"/>
  <c r="J1372" i="1"/>
  <c r="J1373" i="1"/>
  <c r="J1374" i="1"/>
  <c r="J1716" i="1"/>
  <c r="J1717" i="1"/>
  <c r="J1718" i="1"/>
  <c r="J4435" i="1"/>
  <c r="J2232" i="1"/>
  <c r="J2233" i="1"/>
  <c r="J2234" i="1"/>
  <c r="J2235" i="1"/>
  <c r="J2236" i="1"/>
  <c r="J2237" i="1"/>
  <c r="J2238" i="1"/>
  <c r="J2239" i="1"/>
  <c r="J2240" i="1"/>
  <c r="J2241" i="1"/>
  <c r="J2095" i="1"/>
  <c r="J774" i="1"/>
  <c r="J775" i="1"/>
  <c r="J776" i="1"/>
  <c r="J777" i="1"/>
  <c r="J778" i="1"/>
  <c r="J779" i="1"/>
  <c r="J780" i="1"/>
  <c r="J781" i="1"/>
  <c r="J782" i="1"/>
  <c r="J429" i="1"/>
  <c r="J430" i="1"/>
  <c r="J431" i="1"/>
  <c r="J315" i="1"/>
  <c r="J316" i="1"/>
  <c r="J317" i="1"/>
  <c r="J375" i="1"/>
  <c r="J376" i="1"/>
  <c r="J377" i="1"/>
  <c r="J378" i="1"/>
  <c r="J379" i="1"/>
  <c r="J749" i="1"/>
  <c r="J3898" i="1"/>
  <c r="J3899" i="1"/>
  <c r="J4479" i="1"/>
  <c r="J4480" i="1"/>
  <c r="J4481" i="1"/>
  <c r="J4482" i="1"/>
  <c r="J4483" i="1"/>
  <c r="J4484" i="1"/>
  <c r="J4485" i="1"/>
  <c r="J4486" i="1"/>
  <c r="J4541" i="1"/>
  <c r="J5206" i="1"/>
  <c r="J5207" i="1"/>
  <c r="J2553" i="1"/>
  <c r="J2554" i="1"/>
  <c r="J2555" i="1"/>
  <c r="J4842" i="1"/>
  <c r="J4843" i="1"/>
  <c r="J4844" i="1"/>
  <c r="J4845" i="1"/>
  <c r="J4846" i="1"/>
  <c r="J4979" i="1"/>
  <c r="J4522" i="1"/>
  <c r="J4523" i="1"/>
  <c r="J305" i="1"/>
  <c r="J306" i="1"/>
  <c r="J307" i="1"/>
  <c r="J308" i="1"/>
  <c r="J309" i="1"/>
  <c r="J310" i="1"/>
  <c r="J311" i="1"/>
  <c r="J312" i="1"/>
  <c r="J313" i="1"/>
  <c r="J314" i="1"/>
  <c r="J53" i="1"/>
  <c r="J54" i="1"/>
  <c r="J55" i="1"/>
  <c r="J56" i="1"/>
  <c r="J4120" i="1"/>
  <c r="J4121" i="1"/>
  <c r="J4122" i="1"/>
  <c r="J4123" i="1"/>
  <c r="J4124" i="1"/>
  <c r="J4125" i="1"/>
  <c r="J3011" i="1"/>
  <c r="J3224" i="1"/>
  <c r="J3225" i="1"/>
  <c r="J3226" i="1"/>
  <c r="J3227" i="1"/>
  <c r="J3228" i="1"/>
  <c r="J3229" i="1"/>
  <c r="J3417" i="1"/>
  <c r="J3418" i="1"/>
  <c r="J3419" i="1"/>
  <c r="J3420" i="1"/>
  <c r="J3421" i="1"/>
  <c r="J1831" i="1"/>
  <c r="J1832" i="1"/>
  <c r="J1833" i="1"/>
  <c r="J1834" i="1"/>
  <c r="J1835" i="1"/>
  <c r="J1836" i="1"/>
  <c r="J1837" i="1"/>
  <c r="J1294" i="1"/>
  <c r="J1295" i="1"/>
  <c r="J1685" i="1"/>
  <c r="J1686" i="1"/>
  <c r="J1687" i="1"/>
  <c r="J1688" i="1"/>
  <c r="J1689" i="1"/>
  <c r="J1690" i="1"/>
  <c r="J1691" i="1"/>
  <c r="J1692" i="1"/>
  <c r="J1693" i="1"/>
  <c r="J5372" i="1"/>
  <c r="J1675" i="1"/>
  <c r="J1676" i="1"/>
  <c r="J1677" i="1"/>
  <c r="J1678" i="1"/>
  <c r="J2706" i="1"/>
  <c r="J116" i="1"/>
  <c r="J117" i="1"/>
  <c r="J1448" i="1"/>
  <c r="J1449" i="1"/>
  <c r="J1450" i="1"/>
  <c r="J1570" i="1"/>
  <c r="J2720" i="1"/>
  <c r="J2721" i="1"/>
  <c r="J2722" i="1"/>
  <c r="J2723" i="1"/>
  <c r="J2724" i="1"/>
  <c r="J2927" i="1"/>
  <c r="J2259" i="1"/>
  <c r="J2260" i="1"/>
  <c r="J2261" i="1"/>
  <c r="J91" i="1"/>
  <c r="J92" i="1"/>
  <c r="J401" i="1"/>
  <c r="J3207" i="1"/>
  <c r="J3208" i="1"/>
  <c r="J2311" i="1"/>
  <c r="J2312" i="1"/>
  <c r="J2313" i="1"/>
  <c r="J2458" i="1"/>
  <c r="J415" i="1"/>
  <c r="J416" i="1"/>
  <c r="J417" i="1"/>
  <c r="J418" i="1"/>
  <c r="J419" i="1"/>
  <c r="J5420" i="1"/>
  <c r="J3071" i="1"/>
  <c r="J3072" i="1"/>
  <c r="J3073" i="1"/>
  <c r="J2951" i="1"/>
  <c r="J2952" i="1"/>
  <c r="J3443" i="1"/>
  <c r="J3444" i="1"/>
  <c r="J3445" i="1"/>
  <c r="J3446" i="1"/>
  <c r="J3447" i="1"/>
  <c r="J974" i="1"/>
  <c r="J5040" i="1"/>
  <c r="J5041" i="1"/>
  <c r="J5042" i="1"/>
  <c r="J5043" i="1"/>
  <c r="J5044" i="1"/>
  <c r="J4854" i="1"/>
  <c r="J4855" i="1"/>
  <c r="J4856" i="1"/>
  <c r="J3107" i="1"/>
  <c r="J3108" i="1"/>
  <c r="J3109" i="1"/>
  <c r="J3110" i="1"/>
  <c r="J3111" i="1"/>
  <c r="J3112" i="1"/>
  <c r="J3113" i="1"/>
  <c r="J3114" i="1"/>
  <c r="J3115" i="1"/>
  <c r="J3116" i="1"/>
  <c r="J1328" i="1"/>
  <c r="J1329" i="1"/>
  <c r="J1451" i="1"/>
  <c r="J2411" i="1"/>
  <c r="J2412" i="1"/>
  <c r="J2413" i="1"/>
  <c r="J2414" i="1"/>
  <c r="J2415" i="1"/>
  <c r="J2416" i="1"/>
  <c r="J2417" i="1"/>
  <c r="J1624" i="1"/>
  <c r="J1625" i="1"/>
  <c r="J1626" i="1"/>
  <c r="J1627" i="1"/>
  <c r="J1628" i="1"/>
  <c r="J147" i="1"/>
  <c r="J148" i="1"/>
  <c r="J149" i="1"/>
  <c r="J150" i="1"/>
  <c r="J151" i="1"/>
  <c r="J152" i="1"/>
  <c r="J153" i="1"/>
  <c r="J154" i="1"/>
  <c r="J130" i="1"/>
  <c r="J131" i="1"/>
  <c r="J132" i="1"/>
  <c r="J133" i="1"/>
  <c r="J134" i="1"/>
  <c r="J135" i="1"/>
  <c r="J842" i="1"/>
  <c r="J843" i="1"/>
  <c r="J844" i="1"/>
  <c r="J845" i="1"/>
  <c r="J846" i="1"/>
  <c r="J1224" i="1"/>
  <c r="J1225" i="1"/>
  <c r="J1226" i="1"/>
  <c r="J1227" i="1"/>
  <c r="J1228" i="1"/>
  <c r="J1997" i="1"/>
  <c r="J1998" i="1"/>
  <c r="J1732" i="1"/>
  <c r="J1733" i="1"/>
  <c r="J4439" i="1"/>
  <c r="J4440" i="1"/>
  <c r="J4441" i="1"/>
  <c r="J1164" i="1"/>
  <c r="J1165" i="1"/>
  <c r="J1166" i="1"/>
  <c r="J1167" i="1"/>
  <c r="J985" i="1"/>
  <c r="J986" i="1"/>
  <c r="J987" i="1"/>
  <c r="J988" i="1"/>
  <c r="J2315" i="1"/>
  <c r="J2316" i="1"/>
  <c r="J2317" i="1"/>
  <c r="J2318" i="1"/>
  <c r="J2319" i="1"/>
  <c r="J1629" i="1"/>
  <c r="J1630" i="1"/>
  <c r="J1631" i="1"/>
  <c r="J1632" i="1"/>
  <c r="J1633" i="1"/>
  <c r="J1634" i="1"/>
  <c r="J2997" i="1"/>
  <c r="J2998" i="1"/>
  <c r="J2999" i="1"/>
  <c r="J3000" i="1"/>
  <c r="J3001" i="1"/>
  <c r="J3002" i="1"/>
  <c r="J1930" i="1"/>
  <c r="J1931" i="1"/>
  <c r="J1932" i="1"/>
  <c r="J1933" i="1"/>
  <c r="J1934" i="1"/>
  <c r="J1935" i="1"/>
  <c r="J140" i="1"/>
  <c r="J141" i="1"/>
  <c r="J142" i="1"/>
  <c r="J143" i="1"/>
  <c r="J144" i="1"/>
  <c r="J145" i="1"/>
  <c r="J2047" i="1"/>
  <c r="J2048" i="1"/>
  <c r="J2049" i="1"/>
  <c r="J2050" i="1"/>
  <c r="J1827" i="1"/>
  <c r="J1828" i="1"/>
  <c r="J1829" i="1"/>
  <c r="J1830" i="1"/>
  <c r="J2646" i="1"/>
  <c r="J2647" i="1"/>
  <c r="J2648" i="1"/>
  <c r="J2444" i="1"/>
  <c r="J2445" i="1"/>
  <c r="J101" i="1"/>
  <c r="J102" i="1"/>
  <c r="J103" i="1"/>
  <c r="J104" i="1"/>
  <c r="J1117" i="1"/>
  <c r="J1118" i="1"/>
  <c r="J1119" i="1"/>
  <c r="J1120" i="1"/>
  <c r="J520" i="1"/>
  <c r="J521" i="1"/>
  <c r="J522" i="1"/>
  <c r="J523" i="1"/>
  <c r="J524" i="1"/>
  <c r="J525" i="1"/>
  <c r="J526" i="1"/>
  <c r="J527" i="1"/>
  <c r="J665" i="1"/>
  <c r="J666" i="1"/>
  <c r="J667" i="1"/>
  <c r="J540" i="1"/>
  <c r="J541" i="1"/>
  <c r="J686" i="1"/>
  <c r="J687" i="1"/>
  <c r="J688" i="1"/>
  <c r="J689" i="1"/>
  <c r="J690" i="1"/>
  <c r="J3931" i="1"/>
  <c r="J3932" i="1"/>
  <c r="J3933" i="1"/>
  <c r="J3934" i="1"/>
  <c r="J3935" i="1"/>
  <c r="J3936" i="1"/>
  <c r="J3937" i="1"/>
  <c r="J3938" i="1"/>
  <c r="J3939" i="1"/>
  <c r="J2040" i="1"/>
  <c r="J2041" i="1"/>
  <c r="J1544" i="1"/>
  <c r="J1545" i="1"/>
  <c r="J1502" i="1"/>
  <c r="J1503" i="1"/>
  <c r="J1504" i="1"/>
  <c r="J2436" i="1"/>
  <c r="J2437" i="1"/>
  <c r="J2438" i="1"/>
  <c r="J592" i="1"/>
  <c r="J593" i="1"/>
  <c r="J594" i="1"/>
  <c r="J595" i="1"/>
  <c r="J273" i="1"/>
  <c r="J274" i="1"/>
  <c r="J275" i="1"/>
  <c r="J276" i="1"/>
  <c r="J277" i="1"/>
  <c r="J278" i="1"/>
  <c r="J51" i="1"/>
  <c r="J52" i="1"/>
  <c r="J1637" i="1"/>
  <c r="J1638" i="1"/>
  <c r="J1639" i="1"/>
  <c r="J1640" i="1"/>
  <c r="J1641" i="1"/>
  <c r="J552" i="1"/>
  <c r="J553" i="1"/>
  <c r="J554" i="1"/>
  <c r="J555" i="1"/>
  <c r="J556" i="1"/>
  <c r="J557" i="1"/>
  <c r="J1065" i="1"/>
  <c r="J1066" i="1"/>
  <c r="J1067" i="1"/>
  <c r="J127" i="1"/>
  <c r="J128" i="1"/>
  <c r="J129" i="1"/>
  <c r="J596" i="1"/>
  <c r="J597" i="1"/>
  <c r="J598" i="1"/>
  <c r="J674" i="1"/>
  <c r="J675" i="1"/>
  <c r="J281" i="1"/>
  <c r="J282" i="1"/>
  <c r="J283" i="1"/>
  <c r="J284" i="1"/>
  <c r="J1894" i="1"/>
  <c r="J1895" i="1"/>
  <c r="J1289" i="1"/>
  <c r="J1290" i="1"/>
  <c r="J3278" i="1"/>
  <c r="J3279" i="1"/>
  <c r="J3280" i="1"/>
  <c r="J3281" i="1"/>
  <c r="J3282" i="1"/>
  <c r="J3283" i="1"/>
  <c r="J3284" i="1"/>
  <c r="J3285" i="1"/>
  <c r="J1343" i="1"/>
  <c r="J1344" i="1"/>
  <c r="J1345" i="1"/>
  <c r="J2100" i="1"/>
  <c r="J2101" i="1"/>
  <c r="J2102" i="1"/>
  <c r="J2103" i="1"/>
  <c r="J3075" i="1"/>
  <c r="J3076" i="1"/>
  <c r="J3077" i="1"/>
  <c r="J3437" i="1"/>
  <c r="J3438" i="1"/>
  <c r="J3410" i="1"/>
  <c r="J3411" i="1"/>
  <c r="J3412" i="1"/>
  <c r="J3413" i="1"/>
  <c r="J335" i="1"/>
  <c r="J336" i="1"/>
  <c r="J337" i="1"/>
  <c r="J338" i="1"/>
  <c r="J339" i="1"/>
  <c r="J340" i="1"/>
  <c r="J2604" i="1"/>
  <c r="J2605" i="1"/>
  <c r="J2606" i="1"/>
  <c r="J2607" i="1"/>
  <c r="J2608" i="1"/>
  <c r="J2609" i="1"/>
  <c r="J4445" i="1"/>
  <c r="J4446" i="1"/>
  <c r="J4447" i="1"/>
  <c r="J4448" i="1"/>
  <c r="J4449" i="1"/>
  <c r="J4338" i="1"/>
  <c r="J4339" i="1"/>
  <c r="J4340" i="1"/>
  <c r="J4284" i="1"/>
  <c r="J4285" i="1"/>
  <c r="J4286" i="1"/>
  <c r="J4287" i="1"/>
  <c r="J4288" i="1"/>
  <c r="J4289" i="1"/>
  <c r="J4004" i="1"/>
  <c r="J2959" i="1"/>
  <c r="J2960" i="1"/>
  <c r="J2961" i="1"/>
  <c r="J2962" i="1"/>
  <c r="J2963" i="1"/>
  <c r="J2964" i="1"/>
  <c r="J1996" i="1"/>
  <c r="J2465" i="1"/>
  <c r="J2466" i="1"/>
  <c r="J2467" i="1"/>
  <c r="J3782" i="1"/>
  <c r="J3783" i="1"/>
  <c r="J3784" i="1"/>
  <c r="J3785" i="1"/>
  <c r="J3786" i="1"/>
  <c r="J3787" i="1"/>
  <c r="J3788" i="1"/>
  <c r="J3789" i="1"/>
  <c r="J3655" i="1"/>
  <c r="J3656" i="1"/>
  <c r="J3657" i="1"/>
  <c r="J3802" i="1"/>
  <c r="J3643" i="1"/>
  <c r="J3644" i="1"/>
  <c r="J57" i="1"/>
  <c r="J58" i="1"/>
  <c r="J59" i="1"/>
  <c r="J60" i="1"/>
  <c r="J61" i="1"/>
  <c r="J62" i="1"/>
  <c r="J63" i="1"/>
  <c r="J64" i="1"/>
  <c r="J65" i="1"/>
  <c r="J3811" i="1"/>
  <c r="J3571" i="1"/>
  <c r="J3572" i="1"/>
  <c r="J3573" i="1"/>
  <c r="J3574" i="1"/>
  <c r="J3575" i="1"/>
  <c r="J3867" i="1"/>
  <c r="J3868" i="1"/>
  <c r="J3869" i="1"/>
  <c r="J3052" i="1"/>
  <c r="J3540" i="1"/>
  <c r="J3541" i="1"/>
  <c r="J3542" i="1"/>
  <c r="J3543" i="1"/>
  <c r="J3544" i="1"/>
  <c r="J3545" i="1"/>
  <c r="J3546" i="1"/>
  <c r="J1495" i="1"/>
  <c r="J1496" i="1"/>
  <c r="J1497" i="1"/>
  <c r="J1498" i="1"/>
  <c r="J1499" i="1"/>
  <c r="J1725" i="1"/>
  <c r="J1726" i="1"/>
  <c r="J3248" i="1"/>
  <c r="J3249" i="1"/>
  <c r="J3250" i="1"/>
  <c r="J3251" i="1"/>
  <c r="J3387" i="1"/>
  <c r="J3388" i="1"/>
  <c r="J3389" i="1"/>
  <c r="J2827" i="1"/>
  <c r="J2828" i="1"/>
  <c r="J2704" i="1"/>
  <c r="J2705" i="1"/>
  <c r="J3700" i="1"/>
  <c r="J3701" i="1"/>
  <c r="J3702" i="1"/>
  <c r="J3703" i="1"/>
  <c r="J3704" i="1"/>
  <c r="J3500" i="1"/>
  <c r="J3501" i="1"/>
  <c r="J3502" i="1"/>
  <c r="J3503" i="1"/>
  <c r="J3504" i="1"/>
  <c r="J3505" i="1"/>
  <c r="J3506" i="1"/>
  <c r="J3507" i="1"/>
  <c r="J3508" i="1"/>
  <c r="J3509" i="1"/>
  <c r="J3510" i="1"/>
  <c r="J2276" i="1"/>
  <c r="J2277" i="1"/>
  <c r="J2278" i="1"/>
  <c r="J3218" i="1"/>
  <c r="J3219" i="1"/>
  <c r="J3220" i="1"/>
  <c r="J3697" i="1"/>
  <c r="J3698" i="1"/>
  <c r="J3699" i="1"/>
  <c r="J3664" i="1"/>
  <c r="J3665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476" i="1"/>
  <c r="J3477" i="1"/>
  <c r="J3516" i="1"/>
  <c r="J3517" i="1"/>
  <c r="J3518" i="1"/>
  <c r="J3777" i="1"/>
  <c r="J3778" i="1"/>
  <c r="J3779" i="1"/>
  <c r="J2918" i="1"/>
  <c r="J2919" i="1"/>
  <c r="J2920" i="1"/>
  <c r="J2921" i="1"/>
  <c r="J2922" i="1"/>
  <c r="J2923" i="1"/>
  <c r="J2924" i="1"/>
  <c r="J2517" i="1"/>
  <c r="J2518" i="1"/>
  <c r="J2519" i="1"/>
  <c r="J5279" i="1"/>
  <c r="J474" i="1"/>
  <c r="J475" i="1"/>
  <c r="J476" i="1"/>
  <c r="J8" i="1"/>
  <c r="J9" i="1"/>
  <c r="J10" i="1"/>
  <c r="J11" i="1"/>
  <c r="J953" i="1"/>
  <c r="J954" i="1"/>
  <c r="J955" i="1"/>
  <c r="J956" i="1"/>
  <c r="J1160" i="1"/>
  <c r="J1161" i="1"/>
  <c r="J1162" i="1"/>
  <c r="J1163" i="1"/>
  <c r="J2810" i="1"/>
  <c r="J1442" i="1"/>
  <c r="J1443" i="1"/>
  <c r="J1444" i="1"/>
  <c r="J2361" i="1"/>
  <c r="J2362" i="1"/>
  <c r="J2363" i="1"/>
  <c r="J767" i="1"/>
  <c r="J768" i="1"/>
  <c r="J769" i="1"/>
  <c r="J770" i="1"/>
  <c r="J2432" i="1"/>
  <c r="J3645" i="1"/>
  <c r="J3497" i="1"/>
  <c r="J3498" i="1"/>
  <c r="J3499" i="1"/>
  <c r="J3610" i="1"/>
  <c r="J3611" i="1"/>
  <c r="J3612" i="1"/>
  <c r="J3613" i="1"/>
  <c r="J3614" i="1"/>
  <c r="J4193" i="1"/>
  <c r="J4194" i="1"/>
  <c r="J4195" i="1"/>
  <c r="J4196" i="1"/>
  <c r="J4197" i="1"/>
  <c r="J4198" i="1"/>
  <c r="J3862" i="1"/>
  <c r="J3863" i="1"/>
  <c r="J3864" i="1"/>
  <c r="J1767" i="1"/>
  <c r="J1768" i="1"/>
  <c r="J1804" i="1"/>
  <c r="J1805" i="1"/>
  <c r="J2540" i="1"/>
  <c r="J2541" i="1"/>
  <c r="J2542" i="1"/>
  <c r="J2543" i="1"/>
  <c r="J2544" i="1"/>
  <c r="J2545" i="1"/>
  <c r="J2546" i="1"/>
  <c r="J2547" i="1"/>
  <c r="J2548" i="1"/>
  <c r="J2549" i="1"/>
  <c r="J1534" i="1"/>
  <c r="J1535" i="1"/>
  <c r="J1536" i="1"/>
  <c r="J1537" i="1"/>
  <c r="J1538" i="1"/>
  <c r="J1539" i="1"/>
  <c r="J1540" i="1"/>
  <c r="J1541" i="1"/>
  <c r="J1542" i="1"/>
  <c r="J1543" i="1"/>
  <c r="J4117" i="1"/>
  <c r="J4118" i="1"/>
  <c r="J4119" i="1"/>
  <c r="J1976" i="1"/>
  <c r="J1977" i="1"/>
  <c r="J1978" i="1"/>
  <c r="J1979" i="1"/>
  <c r="J1980" i="1"/>
  <c r="J27" i="1"/>
  <c r="J28" i="1"/>
  <c r="J29" i="1"/>
  <c r="J30" i="1"/>
  <c r="J31" i="1"/>
  <c r="J89" i="1"/>
  <c r="J90" i="1"/>
  <c r="J1463" i="1"/>
  <c r="J1464" i="1"/>
  <c r="J2051" i="1"/>
  <c r="J2052" i="1"/>
  <c r="J2053" i="1"/>
  <c r="J2054" i="1"/>
  <c r="J2055" i="1"/>
  <c r="J2798" i="1"/>
  <c r="J2799" i="1"/>
  <c r="J2800" i="1"/>
  <c r="J2801" i="1"/>
  <c r="J2802" i="1"/>
  <c r="J2803" i="1"/>
  <c r="J3314" i="1"/>
  <c r="J3315" i="1"/>
  <c r="J3316" i="1"/>
  <c r="J3317" i="1"/>
  <c r="J3318" i="1"/>
  <c r="J3343" i="1"/>
  <c r="J3344" i="1"/>
  <c r="J3345" i="1"/>
  <c r="J3346" i="1"/>
  <c r="J3360" i="1"/>
  <c r="J3361" i="1"/>
  <c r="J3362" i="1"/>
  <c r="J3363" i="1"/>
  <c r="J3364" i="1"/>
  <c r="J2970" i="1"/>
  <c r="J2353" i="1"/>
  <c r="J4473" i="1"/>
  <c r="J4474" i="1"/>
  <c r="J2520" i="1"/>
  <c r="J2521" i="1"/>
  <c r="J2522" i="1"/>
  <c r="J2523" i="1"/>
  <c r="J2524" i="1"/>
  <c r="J2525" i="1"/>
  <c r="J2526" i="1"/>
  <c r="J2527" i="1"/>
  <c r="J2528" i="1"/>
  <c r="J3471" i="1"/>
  <c r="J3472" i="1"/>
  <c r="J3473" i="1"/>
  <c r="J2667" i="1"/>
  <c r="J2825" i="1"/>
  <c r="J2826" i="1"/>
  <c r="J2905" i="1"/>
  <c r="J2906" i="1"/>
  <c r="J2907" i="1"/>
  <c r="J2908" i="1"/>
  <c r="J2909" i="1"/>
  <c r="J3589" i="1"/>
  <c r="J3590" i="1"/>
  <c r="J3591" i="1"/>
  <c r="J3592" i="1"/>
  <c r="J3593" i="1"/>
  <c r="J3594" i="1"/>
  <c r="J3595" i="1"/>
  <c r="J3596" i="1"/>
  <c r="J3597" i="1"/>
  <c r="J3310" i="1"/>
  <c r="J4623" i="1"/>
  <c r="J4624" i="1"/>
  <c r="J4625" i="1"/>
  <c r="J4626" i="1"/>
  <c r="J5022" i="1"/>
  <c r="J5023" i="1"/>
  <c r="J5024" i="1"/>
  <c r="J5025" i="1"/>
  <c r="J5026" i="1"/>
  <c r="J5027" i="1"/>
  <c r="J5028" i="1"/>
  <c r="J3552" i="1"/>
  <c r="J3553" i="1"/>
  <c r="J3554" i="1"/>
  <c r="J3555" i="1"/>
  <c r="J3556" i="1"/>
  <c r="J3557" i="1"/>
  <c r="J3558" i="1"/>
  <c r="J3646" i="1"/>
  <c r="J2264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3564" i="1"/>
  <c r="J3565" i="1"/>
  <c r="J3566" i="1"/>
  <c r="J1994" i="1"/>
  <c r="J1995" i="1"/>
  <c r="J3347" i="1"/>
  <c r="J3348" i="1"/>
  <c r="J3349" i="1"/>
  <c r="J3350" i="1"/>
  <c r="J3351" i="1"/>
  <c r="J3352" i="1"/>
  <c r="J3258" i="1"/>
  <c r="J3259" i="1"/>
  <c r="J3260" i="1"/>
  <c r="J3261" i="1"/>
  <c r="J3262" i="1"/>
  <c r="J3263" i="1"/>
  <c r="J3264" i="1"/>
  <c r="J3265" i="1"/>
  <c r="J3266" i="1"/>
  <c r="J4356" i="1"/>
  <c r="J4357" i="1"/>
  <c r="J4358" i="1"/>
  <c r="J4359" i="1"/>
  <c r="J1273" i="1"/>
  <c r="J1274" i="1"/>
  <c r="J1275" i="1"/>
  <c r="J1276" i="1"/>
  <c r="J1277" i="1"/>
  <c r="J1278" i="1"/>
  <c r="J1279" i="1"/>
  <c r="J2150" i="1"/>
  <c r="J2151" i="1"/>
  <c r="J2152" i="1"/>
  <c r="J2153" i="1"/>
  <c r="J2154" i="1"/>
  <c r="J2155" i="1"/>
  <c r="J2156" i="1"/>
  <c r="J2157" i="1"/>
  <c r="J2158" i="1"/>
  <c r="J2159" i="1"/>
  <c r="J2160" i="1"/>
  <c r="J1375" i="1"/>
  <c r="J982" i="1"/>
  <c r="J983" i="1"/>
  <c r="J984" i="1"/>
  <c r="J1168" i="1"/>
  <c r="J1169" i="1"/>
  <c r="J158" i="1"/>
  <c r="J159" i="1"/>
  <c r="J4642" i="1"/>
  <c r="J4643" i="1"/>
  <c r="J4644" i="1"/>
  <c r="J4645" i="1"/>
  <c r="J5045" i="1"/>
  <c r="J3959" i="1"/>
  <c r="J3960" i="1"/>
  <c r="J3961" i="1"/>
  <c r="J3962" i="1"/>
  <c r="J3963" i="1"/>
  <c r="J3964" i="1"/>
  <c r="J3965" i="1"/>
  <c r="J4151" i="1"/>
  <c r="J4152" i="1"/>
  <c r="J4153" i="1"/>
  <c r="J4046" i="1"/>
  <c r="J4047" i="1"/>
  <c r="J4048" i="1"/>
  <c r="J4049" i="1"/>
  <c r="J4050" i="1"/>
  <c r="J4506" i="1"/>
  <c r="J4507" i="1"/>
  <c r="J4508" i="1"/>
  <c r="J4509" i="1"/>
  <c r="J4510" i="1"/>
  <c r="J4511" i="1"/>
  <c r="J4512" i="1"/>
  <c r="J4513" i="1"/>
  <c r="J5167" i="1"/>
  <c r="J4260" i="1"/>
  <c r="J4261" i="1"/>
  <c r="J2862" i="1"/>
  <c r="J3180" i="1"/>
  <c r="J3181" i="1"/>
  <c r="J4967" i="1"/>
  <c r="J4968" i="1"/>
  <c r="J4969" i="1"/>
  <c r="J4970" i="1"/>
  <c r="J4971" i="1"/>
  <c r="J4766" i="1"/>
  <c r="J4901" i="1"/>
  <c r="J4902" i="1"/>
  <c r="J4903" i="1"/>
  <c r="J4904" i="1"/>
  <c r="J4905" i="1"/>
  <c r="J4906" i="1"/>
  <c r="J4907" i="1"/>
  <c r="J4908" i="1"/>
  <c r="J4909" i="1"/>
  <c r="J4910" i="1"/>
  <c r="J4911" i="1"/>
  <c r="J4912" i="1"/>
  <c r="J4913" i="1"/>
  <c r="J4914" i="1"/>
  <c r="J4915" i="1"/>
  <c r="J4916" i="1"/>
  <c r="J5220" i="1"/>
  <c r="J5221" i="1"/>
  <c r="J5222" i="1"/>
  <c r="J1813" i="1"/>
  <c r="J1814" i="1"/>
  <c r="J2211" i="1"/>
  <c r="J2212" i="1"/>
  <c r="J2213" i="1"/>
  <c r="J2214" i="1"/>
  <c r="J2551" i="1"/>
  <c r="J2552" i="1"/>
  <c r="J5088" i="1"/>
  <c r="J5089" i="1"/>
  <c r="J5090" i="1"/>
  <c r="J5091" i="1"/>
  <c r="J5247" i="1"/>
  <c r="J5248" i="1"/>
  <c r="J5249" i="1"/>
  <c r="J5250" i="1"/>
  <c r="J5251" i="1"/>
  <c r="J5252" i="1"/>
  <c r="J5253" i="1"/>
  <c r="J608" i="1"/>
  <c r="J609" i="1"/>
  <c r="J610" i="1"/>
  <c r="J611" i="1"/>
  <c r="J612" i="1"/>
  <c r="J613" i="1"/>
  <c r="J614" i="1"/>
  <c r="J664" i="1"/>
  <c r="J816" i="1"/>
  <c r="J817" i="1"/>
  <c r="J818" i="1"/>
  <c r="J819" i="1"/>
  <c r="J3980" i="1"/>
  <c r="J3981" i="1"/>
  <c r="J3982" i="1"/>
  <c r="J3983" i="1"/>
  <c r="J3984" i="1"/>
  <c r="J3928" i="1"/>
  <c r="J3929" i="1"/>
  <c r="J3930" i="1"/>
  <c r="J497" i="1"/>
  <c r="J4183" i="1"/>
  <c r="J4184" i="1"/>
  <c r="J1875" i="1"/>
  <c r="J1876" i="1"/>
  <c r="J1877" i="1"/>
  <c r="J1878" i="1"/>
  <c r="J1879" i="1"/>
  <c r="J1880" i="1"/>
  <c r="J1881" i="1"/>
  <c r="J1882" i="1"/>
  <c r="J1883" i="1"/>
  <c r="J1337" i="1"/>
  <c r="J1338" i="1"/>
  <c r="J1613" i="1"/>
  <c r="J1614" i="1"/>
  <c r="J1615" i="1"/>
  <c r="J1616" i="1"/>
  <c r="J1617" i="1"/>
  <c r="J1618" i="1"/>
  <c r="J1619" i="1"/>
  <c r="J1620" i="1"/>
  <c r="J1621" i="1"/>
  <c r="J1622" i="1"/>
  <c r="J1623" i="1"/>
  <c r="J2203" i="1"/>
  <c r="J2204" i="1"/>
  <c r="J2205" i="1"/>
  <c r="J2206" i="1"/>
  <c r="J2207" i="1"/>
  <c r="J2208" i="1"/>
  <c r="J2209" i="1"/>
  <c r="J2210" i="1"/>
  <c r="J3243" i="1"/>
  <c r="J3244" i="1"/>
  <c r="J3245" i="1"/>
  <c r="J3246" i="1"/>
  <c r="J2768" i="1"/>
  <c r="J2769" i="1"/>
  <c r="J4957" i="1"/>
  <c r="J4958" i="1"/>
  <c r="J2672" i="1"/>
  <c r="J2673" i="1"/>
  <c r="J2674" i="1"/>
  <c r="J2675" i="1"/>
  <c r="J2676" i="1"/>
  <c r="J2677" i="1"/>
  <c r="J2678" i="1"/>
  <c r="J2679" i="1"/>
  <c r="J2680" i="1"/>
  <c r="J1564" i="1"/>
  <c r="J1565" i="1"/>
  <c r="J1566" i="1"/>
  <c r="J1567" i="1"/>
  <c r="J1568" i="1"/>
  <c r="J1569" i="1"/>
  <c r="J2529" i="1"/>
  <c r="J2530" i="1"/>
  <c r="J578" i="1"/>
  <c r="J579" i="1"/>
  <c r="J580" i="1"/>
  <c r="J581" i="1"/>
  <c r="J582" i="1"/>
  <c r="J583" i="1"/>
  <c r="J584" i="1"/>
  <c r="J528" i="1"/>
  <c r="J529" i="1"/>
  <c r="J530" i="1"/>
  <c r="J875" i="1"/>
  <c r="J876" i="1"/>
  <c r="J877" i="1"/>
  <c r="J439" i="1"/>
  <c r="J440" i="1"/>
  <c r="J441" i="1"/>
  <c r="J4143" i="1"/>
  <c r="J4144" i="1"/>
  <c r="J4145" i="1"/>
  <c r="J5411" i="1"/>
  <c r="J5412" i="1"/>
  <c r="J5413" i="1"/>
  <c r="J5414" i="1"/>
  <c r="J5415" i="1"/>
  <c r="J5416" i="1"/>
  <c r="J5417" i="1"/>
  <c r="J2669" i="1"/>
  <c r="J2670" i="1"/>
  <c r="J2671" i="1"/>
  <c r="J4203" i="1"/>
  <c r="J4204" i="1"/>
  <c r="J4205" i="1"/>
  <c r="J1525" i="1"/>
  <c r="J1281" i="1"/>
  <c r="J1282" i="1"/>
  <c r="J1283" i="1"/>
  <c r="J1189" i="1"/>
  <c r="J1190" i="1"/>
  <c r="J5374" i="1"/>
  <c r="J5375" i="1"/>
  <c r="J3326" i="1"/>
  <c r="J3327" i="1"/>
  <c r="J3328" i="1"/>
  <c r="J3329" i="1"/>
  <c r="J3330" i="1"/>
  <c r="J3331" i="1"/>
  <c r="J3332" i="1"/>
  <c r="J3333" i="1"/>
  <c r="J3334" i="1"/>
  <c r="J3335" i="1"/>
  <c r="J663" i="1"/>
  <c r="J736" i="1"/>
  <c r="J737" i="1"/>
  <c r="J738" i="1"/>
  <c r="J691" i="1"/>
  <c r="J692" i="1"/>
  <c r="J693" i="1"/>
  <c r="J694" i="1"/>
  <c r="J695" i="1"/>
  <c r="J1173" i="1"/>
  <c r="J1174" i="1"/>
  <c r="J1175" i="1"/>
  <c r="J1176" i="1"/>
  <c r="J1177" i="1"/>
  <c r="J1178" i="1"/>
  <c r="J4371" i="1"/>
  <c r="J4372" i="1"/>
  <c r="J4373" i="1"/>
  <c r="J4374" i="1"/>
  <c r="J4375" i="1"/>
  <c r="J881" i="1"/>
  <c r="J882" i="1"/>
  <c r="J883" i="1"/>
  <c r="J884" i="1"/>
  <c r="J885" i="1"/>
  <c r="J886" i="1"/>
  <c r="J887" i="1"/>
  <c r="J888" i="1"/>
  <c r="J728" i="1"/>
  <c r="J729" i="1"/>
  <c r="J713" i="1"/>
  <c r="J714" i="1"/>
  <c r="J800" i="1"/>
  <c r="J801" i="1"/>
  <c r="J802" i="1"/>
  <c r="J3074" i="1"/>
  <c r="J2884" i="1"/>
  <c r="J2885" i="1"/>
  <c r="J3422" i="1"/>
  <c r="J3423" i="1"/>
  <c r="J3424" i="1"/>
  <c r="J3425" i="1"/>
  <c r="J3426" i="1"/>
  <c r="J3427" i="1"/>
  <c r="J3428" i="1"/>
  <c r="J3429" i="1"/>
  <c r="J3430" i="1"/>
  <c r="J3431" i="1"/>
  <c r="J3432" i="1"/>
  <c r="J2806" i="1"/>
  <c r="J2807" i="1"/>
  <c r="J2808" i="1"/>
  <c r="J2809" i="1"/>
  <c r="J620" i="1"/>
  <c r="J621" i="1"/>
  <c r="J622" i="1"/>
  <c r="J566" i="1"/>
  <c r="J5418" i="1"/>
  <c r="J5419" i="1"/>
  <c r="J1071" i="1"/>
  <c r="J1072" i="1"/>
  <c r="J1073" i="1"/>
  <c r="J1074" i="1"/>
  <c r="J3945" i="1"/>
  <c r="J3946" i="1"/>
  <c r="J4130" i="1"/>
  <c r="J4131" i="1"/>
  <c r="J4132" i="1"/>
  <c r="J4274" i="1"/>
  <c r="J4275" i="1"/>
  <c r="J4276" i="1"/>
  <c r="J4277" i="1"/>
  <c r="J4278" i="1"/>
  <c r="J4279" i="1"/>
  <c r="J4280" i="1"/>
  <c r="J4281" i="1"/>
  <c r="J4282" i="1"/>
  <c r="J4283" i="1"/>
  <c r="J661" i="1"/>
  <c r="J662" i="1"/>
  <c r="J2876" i="1"/>
  <c r="J2877" i="1"/>
  <c r="J2878" i="1"/>
  <c r="J2879" i="1"/>
  <c r="J2880" i="1"/>
  <c r="J2881" i="1"/>
  <c r="J2882" i="1"/>
  <c r="J2883" i="1"/>
  <c r="J3247" i="1"/>
  <c r="J4006" i="1"/>
  <c r="J570" i="1"/>
  <c r="J571" i="1"/>
  <c r="J572" i="1"/>
  <c r="J573" i="1"/>
  <c r="J574" i="1"/>
  <c r="J4376" i="1"/>
  <c r="J4377" i="1"/>
  <c r="J4378" i="1"/>
  <c r="J4379" i="1"/>
  <c r="J4380" i="1"/>
  <c r="J4096" i="1"/>
  <c r="J4097" i="1"/>
  <c r="J4098" i="1"/>
  <c r="J4099" i="1"/>
  <c r="J4100" i="1"/>
  <c r="J4101" i="1"/>
  <c r="J4102" i="1"/>
  <c r="J4103" i="1"/>
  <c r="J4104" i="1"/>
  <c r="J936" i="1"/>
  <c r="J937" i="1"/>
  <c r="J4064" i="1"/>
  <c r="J4206" i="1"/>
  <c r="J2556" i="1"/>
  <c r="J2557" i="1"/>
  <c r="J2558" i="1"/>
  <c r="J2559" i="1"/>
  <c r="J2560" i="1"/>
  <c r="J2561" i="1"/>
  <c r="J2562" i="1"/>
  <c r="J2563" i="1"/>
  <c r="J2564" i="1"/>
  <c r="J2565" i="1"/>
  <c r="J1234" i="1"/>
  <c r="J1235" i="1"/>
  <c r="J3390" i="1"/>
  <c r="J3391" i="1"/>
  <c r="J5223" i="1"/>
  <c r="J5224" i="1"/>
  <c r="J5225" i="1"/>
  <c r="J5226" i="1"/>
  <c r="J4847" i="1"/>
  <c r="J4459" i="1"/>
  <c r="J4460" i="1"/>
  <c r="J4461" i="1"/>
  <c r="J4462" i="1"/>
  <c r="J4463" i="1"/>
  <c r="J4464" i="1"/>
  <c r="J4465" i="1"/>
  <c r="J929" i="1"/>
  <c r="J930" i="1"/>
  <c r="J931" i="1"/>
  <c r="J932" i="1"/>
  <c r="J933" i="1"/>
  <c r="J934" i="1"/>
  <c r="J935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639" i="1"/>
  <c r="J3640" i="1"/>
  <c r="J3641" i="1"/>
  <c r="J3642" i="1"/>
  <c r="J3559" i="1"/>
  <c r="J3560" i="1"/>
  <c r="J3561" i="1"/>
  <c r="J3562" i="1"/>
  <c r="J3563" i="1"/>
  <c r="J253" i="1"/>
  <c r="J254" i="1"/>
  <c r="J255" i="1"/>
  <c r="J256" i="1"/>
  <c r="J5442" i="1"/>
  <c r="J5443" i="1"/>
  <c r="J93" i="1"/>
  <c r="J94" i="1"/>
  <c r="J95" i="1"/>
  <c r="J96" i="1"/>
  <c r="J97" i="1"/>
  <c r="J98" i="1"/>
  <c r="J727" i="1"/>
  <c r="J395" i="1"/>
  <c r="J396" i="1"/>
  <c r="J397" i="1"/>
  <c r="J398" i="1"/>
  <c r="J399" i="1"/>
  <c r="J400" i="1"/>
  <c r="J786" i="1"/>
  <c r="J787" i="1"/>
  <c r="J788" i="1"/>
  <c r="J789" i="1"/>
  <c r="J790" i="1"/>
  <c r="J739" i="1"/>
  <c r="J740" i="1"/>
  <c r="J741" i="1"/>
  <c r="J742" i="1"/>
  <c r="J743" i="1"/>
  <c r="J744" i="1"/>
  <c r="J745" i="1"/>
  <c r="J746" i="1"/>
  <c r="J747" i="1"/>
  <c r="J748" i="1"/>
  <c r="J433" i="1"/>
  <c r="J2897" i="1"/>
  <c r="J2898" i="1"/>
  <c r="J2899" i="1"/>
  <c r="J668" i="1"/>
  <c r="J669" i="1"/>
  <c r="J670" i="1"/>
  <c r="J671" i="1"/>
  <c r="J672" i="1"/>
  <c r="J673" i="1"/>
  <c r="J909" i="1"/>
  <c r="J910" i="1"/>
  <c r="J911" i="1"/>
  <c r="J912" i="1"/>
  <c r="J913" i="1"/>
  <c r="J957" i="1"/>
  <c r="J958" i="1"/>
  <c r="J959" i="1"/>
  <c r="J960" i="1"/>
  <c r="J1155" i="1"/>
  <c r="J1156" i="1"/>
  <c r="J1157" i="1"/>
  <c r="J1158" i="1"/>
  <c r="J1159" i="1"/>
  <c r="J5444" i="1"/>
  <c r="J5445" i="1"/>
  <c r="J5446" i="1"/>
  <c r="J5447" i="1"/>
  <c r="J32" i="1"/>
  <c r="J33" i="1"/>
  <c r="J34" i="1"/>
  <c r="J35" i="1"/>
  <c r="J36" i="1"/>
  <c r="J37" i="1"/>
  <c r="J38" i="1"/>
  <c r="J39" i="1"/>
  <c r="J40" i="1"/>
  <c r="J41" i="1"/>
  <c r="J2690" i="1"/>
  <c r="J2691" i="1"/>
  <c r="J5427" i="1"/>
  <c r="J5428" i="1"/>
  <c r="J5429" i="1"/>
  <c r="J5430" i="1"/>
  <c r="J5431" i="1"/>
  <c r="J5432" i="1"/>
  <c r="J5433" i="1"/>
  <c r="J5434" i="1"/>
  <c r="J5435" i="1"/>
  <c r="J5436" i="1"/>
  <c r="J5437" i="1"/>
  <c r="J5438" i="1"/>
  <c r="J1891" i="1"/>
  <c r="J3015" i="1"/>
  <c r="J3016" i="1"/>
  <c r="J3017" i="1"/>
  <c r="J4148" i="1"/>
  <c r="J4149" i="1"/>
  <c r="J4150" i="1"/>
  <c r="J4266" i="1"/>
  <c r="J4267" i="1"/>
  <c r="J4268" i="1"/>
  <c r="J4269" i="1"/>
  <c r="J4270" i="1"/>
  <c r="J824" i="1"/>
  <c r="J825" i="1"/>
  <c r="J826" i="1"/>
  <c r="J827" i="1"/>
  <c r="J828" i="1"/>
  <c r="J829" i="1"/>
  <c r="J830" i="1"/>
  <c r="J831" i="1"/>
  <c r="J832" i="1"/>
  <c r="J2035" i="1"/>
  <c r="J2036" i="1"/>
  <c r="J2037" i="1"/>
  <c r="J2038" i="1"/>
  <c r="J2039" i="1"/>
  <c r="J1311" i="1"/>
  <c r="J1312" i="1"/>
  <c r="J1313" i="1"/>
  <c r="J1314" i="1"/>
  <c r="J2580" i="1"/>
  <c r="J2581" i="1"/>
  <c r="J2582" i="1"/>
  <c r="J2583" i="1"/>
  <c r="J2584" i="1"/>
  <c r="J2936" i="1"/>
  <c r="J2937" i="1"/>
  <c r="J2938" i="1"/>
  <c r="J2939" i="1"/>
  <c r="J2940" i="1"/>
  <c r="J2941" i="1"/>
  <c r="J2942" i="1"/>
  <c r="J4866" i="1"/>
  <c r="J4867" i="1"/>
  <c r="J4868" i="1"/>
  <c r="J4869" i="1"/>
  <c r="J4870" i="1"/>
  <c r="J4783" i="1"/>
  <c r="J4784" i="1"/>
  <c r="J4785" i="1"/>
  <c r="J1101" i="1"/>
  <c r="J1102" i="1"/>
  <c r="J1042" i="1"/>
  <c r="J1043" i="1"/>
  <c r="J1044" i="1"/>
  <c r="J1045" i="1"/>
  <c r="J4173" i="1"/>
  <c r="J4174" i="1"/>
  <c r="J3940" i="1"/>
  <c r="J3941" i="1"/>
  <c r="J460" i="1"/>
  <c r="J461" i="1"/>
  <c r="J462" i="1"/>
  <c r="J115" i="1"/>
  <c r="J368" i="1"/>
  <c r="J369" i="1"/>
  <c r="J370" i="1"/>
  <c r="J371" i="1"/>
  <c r="J372" i="1"/>
  <c r="J1035" i="1"/>
  <c r="J1036" i="1"/>
  <c r="J1037" i="1"/>
  <c r="J1038" i="1"/>
  <c r="J1039" i="1"/>
  <c r="J1040" i="1"/>
  <c r="J1041" i="1"/>
  <c r="J869" i="1"/>
  <c r="J870" i="1"/>
  <c r="J871" i="1"/>
  <c r="J872" i="1"/>
  <c r="J873" i="1"/>
  <c r="J3810" i="1"/>
  <c r="J632" i="1"/>
  <c r="J633" i="1"/>
  <c r="J479" i="1"/>
  <c r="J480" i="1"/>
  <c r="J481" i="1"/>
  <c r="J482" i="1"/>
  <c r="J483" i="1"/>
  <c r="J531" i="1"/>
  <c r="J532" i="1"/>
  <c r="J533" i="1"/>
  <c r="J534" i="1"/>
  <c r="J535" i="1"/>
  <c r="J536" i="1"/>
  <c r="J537" i="1"/>
  <c r="J538" i="1"/>
  <c r="J539" i="1"/>
  <c r="J296" i="1"/>
  <c r="J297" i="1"/>
  <c r="J298" i="1"/>
  <c r="J299" i="1"/>
  <c r="J1154" i="1"/>
  <c r="J2244" i="1"/>
  <c r="J2245" i="1"/>
  <c r="J2246" i="1"/>
  <c r="J2247" i="1"/>
  <c r="J2248" i="1"/>
  <c r="J1815" i="1"/>
  <c r="J1816" i="1"/>
  <c r="J1817" i="1"/>
  <c r="J1703" i="1"/>
  <c r="J1704" i="1"/>
  <c r="J1705" i="1"/>
  <c r="J1706" i="1"/>
  <c r="J1884" i="1"/>
  <c r="J1885" i="1"/>
  <c r="J1886" i="1"/>
  <c r="J1887" i="1"/>
  <c r="J1888" i="1"/>
  <c r="J1889" i="1"/>
  <c r="J1890" i="1"/>
  <c r="J961" i="1"/>
  <c r="J962" i="1"/>
  <c r="J963" i="1"/>
  <c r="J964" i="1"/>
  <c r="J965" i="1"/>
  <c r="J1147" i="1"/>
  <c r="J244" i="1"/>
  <c r="J245" i="1"/>
  <c r="J246" i="1"/>
  <c r="J247" i="1"/>
  <c r="J248" i="1"/>
  <c r="J249" i="1"/>
  <c r="J250" i="1"/>
  <c r="J251" i="1"/>
  <c r="J252" i="1"/>
  <c r="J5126" i="1"/>
  <c r="J5127" i="1"/>
  <c r="J5128" i="1"/>
  <c r="J5129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2687" i="1"/>
  <c r="J2688" i="1"/>
  <c r="J2689" i="1"/>
  <c r="J5439" i="1"/>
  <c r="J5440" i="1"/>
  <c r="J5441" i="1"/>
  <c r="J105" i="1"/>
  <c r="J106" i="1"/>
  <c r="J107" i="1"/>
  <c r="J122" i="1"/>
  <c r="J123" i="1"/>
  <c r="J124" i="1"/>
  <c r="J125" i="1"/>
  <c r="J126" i="1"/>
  <c r="J783" i="1"/>
  <c r="J784" i="1"/>
  <c r="J785" i="1"/>
  <c r="J833" i="1"/>
  <c r="J834" i="1"/>
  <c r="J320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5379" i="1"/>
  <c r="J5380" i="1"/>
  <c r="J5381" i="1"/>
  <c r="J2943" i="1"/>
  <c r="J2944" i="1"/>
  <c r="J2945" i="1"/>
  <c r="J2946" i="1"/>
  <c r="J2947" i="1"/>
  <c r="J2948" i="1"/>
  <c r="J2692" i="1"/>
  <c r="J2693" i="1"/>
  <c r="J2694" i="1"/>
  <c r="J2695" i="1"/>
  <c r="J85" i="1"/>
  <c r="J86" i="1"/>
  <c r="J87" i="1"/>
  <c r="J88" i="1"/>
  <c r="J108" i="1"/>
  <c r="J109" i="1"/>
  <c r="J110" i="1"/>
  <c r="J111" i="1"/>
  <c r="J112" i="1"/>
  <c r="J113" i="1"/>
  <c r="J114" i="1"/>
  <c r="J463" i="1"/>
  <c r="J464" i="1"/>
  <c r="J465" i="1"/>
  <c r="J466" i="1"/>
  <c r="J467" i="1"/>
  <c r="J468" i="1"/>
  <c r="J469" i="1"/>
  <c r="J2533" i="1"/>
  <c r="J2534" i="1"/>
  <c r="J2535" i="1"/>
  <c r="J2536" i="1"/>
  <c r="J2537" i="1"/>
  <c r="J2122" i="1"/>
  <c r="J2123" i="1"/>
  <c r="J213" i="1"/>
  <c r="J214" i="1"/>
  <c r="J215" i="1"/>
  <c r="J237" i="1"/>
  <c r="J999" i="1"/>
  <c r="J1000" i="1"/>
  <c r="J1001" i="1"/>
  <c r="J634" i="1"/>
  <c r="J635" i="1"/>
  <c r="J636" i="1"/>
  <c r="J43" i="1"/>
  <c r="J44" i="1"/>
  <c r="J45" i="1"/>
  <c r="J46" i="1"/>
  <c r="J47" i="1"/>
  <c r="J48" i="1"/>
  <c r="J420" i="1"/>
  <c r="J421" i="1"/>
  <c r="J422" i="1"/>
  <c r="J423" i="1"/>
  <c r="J424" i="1"/>
  <c r="J425" i="1"/>
  <c r="J426" i="1"/>
  <c r="J427" i="1"/>
  <c r="J428" i="1"/>
  <c r="J4863" i="1"/>
  <c r="J4864" i="1"/>
  <c r="J4865" i="1"/>
  <c r="J2179" i="1"/>
  <c r="J2180" i="1"/>
  <c r="J1395" i="1"/>
  <c r="J1396" i="1"/>
  <c r="J1397" i="1"/>
  <c r="J1398" i="1"/>
  <c r="J1399" i="1"/>
  <c r="J1287" i="1"/>
  <c r="J1288" i="1"/>
  <c r="J2849" i="1"/>
  <c r="J2850" i="1"/>
  <c r="J2851" i="1"/>
  <c r="J2852" i="1"/>
  <c r="J2853" i="1"/>
  <c r="J2854" i="1"/>
  <c r="J2855" i="1"/>
  <c r="J2856" i="1"/>
  <c r="J2857" i="1"/>
  <c r="J2858" i="1"/>
  <c r="J1794" i="1"/>
  <c r="J1795" i="1"/>
  <c r="J1796" i="1"/>
  <c r="J1797" i="1"/>
  <c r="J1798" i="1"/>
  <c r="J1799" i="1"/>
  <c r="J1800" i="1"/>
  <c r="J1801" i="1"/>
  <c r="J1802" i="1"/>
  <c r="J1803" i="1"/>
  <c r="J2166" i="1"/>
  <c r="J2308" i="1"/>
  <c r="J2309" i="1"/>
  <c r="J2310" i="1"/>
  <c r="J406" i="1"/>
  <c r="J407" i="1"/>
  <c r="J408" i="1"/>
  <c r="J409" i="1"/>
  <c r="J410" i="1"/>
  <c r="J4343" i="1"/>
  <c r="J4344" i="1"/>
  <c r="J4345" i="1"/>
  <c r="J4346" i="1"/>
  <c r="J4347" i="1"/>
  <c r="J4348" i="1"/>
  <c r="J4349" i="1"/>
  <c r="J4350" i="1"/>
  <c r="J4351" i="1"/>
  <c r="J4352" i="1"/>
  <c r="J4353" i="1"/>
  <c r="J4354" i="1"/>
  <c r="J4355" i="1"/>
  <c r="J5310" i="1"/>
  <c r="J5311" i="1"/>
  <c r="J5312" i="1"/>
  <c r="J1694" i="1"/>
  <c r="J1695" i="1"/>
  <c r="J1696" i="1"/>
  <c r="J1697" i="1"/>
  <c r="J1698" i="1"/>
  <c r="J3037" i="1"/>
  <c r="J3038" i="1"/>
  <c r="J3039" i="1"/>
  <c r="J3040" i="1"/>
  <c r="J3041" i="1"/>
  <c r="J2949" i="1"/>
  <c r="J2950" i="1"/>
  <c r="J1635" i="1"/>
  <c r="J1636" i="1"/>
  <c r="J1474" i="1"/>
  <c r="J1475" i="1"/>
  <c r="J1476" i="1"/>
  <c r="J1477" i="1"/>
  <c r="J1478" i="1"/>
  <c r="J118" i="1"/>
  <c r="J119" i="1"/>
  <c r="J120" i="1"/>
  <c r="J121" i="1"/>
  <c r="J174" i="1"/>
  <c r="J1736" i="1"/>
  <c r="J1818" i="1"/>
  <c r="J1819" i="1"/>
  <c r="J2707" i="1"/>
  <c r="J2708" i="1"/>
  <c r="J2709" i="1"/>
  <c r="J2710" i="1"/>
  <c r="J5364" i="1"/>
  <c r="J5365" i="1"/>
  <c r="J5366" i="1"/>
  <c r="J5367" i="1"/>
  <c r="J5368" i="1"/>
  <c r="J5369" i="1"/>
  <c r="J5370" i="1"/>
  <c r="J5371" i="1"/>
  <c r="J3078" i="1"/>
  <c r="J3079" i="1"/>
  <c r="J3080" i="1"/>
  <c r="J3081" i="1"/>
  <c r="J3082" i="1"/>
  <c r="J3083" i="1"/>
  <c r="J3084" i="1"/>
  <c r="J2198" i="1"/>
  <c r="J2199" i="1"/>
  <c r="J2200" i="1"/>
  <c r="J2201" i="1"/>
  <c r="J2616" i="1"/>
  <c r="J2617" i="1"/>
  <c r="J2618" i="1"/>
  <c r="J1229" i="1"/>
  <c r="J680" i="1"/>
  <c r="J2305" i="1"/>
  <c r="J2306" i="1"/>
  <c r="J2307" i="1"/>
  <c r="J2777" i="1"/>
  <c r="J2778" i="1"/>
  <c r="J2779" i="1"/>
  <c r="J2513" i="1"/>
  <c r="J2514" i="1"/>
  <c r="J2515" i="1"/>
  <c r="J2516" i="1"/>
  <c r="J3492" i="1"/>
  <c r="J3493" i="1"/>
  <c r="J3494" i="1"/>
  <c r="J3495" i="1"/>
  <c r="J3496" i="1"/>
  <c r="J3759" i="1"/>
  <c r="J5355" i="1"/>
  <c r="J5356" i="1"/>
  <c r="J5357" i="1"/>
  <c r="J5358" i="1"/>
  <c r="J5359" i="1"/>
  <c r="J5360" i="1"/>
  <c r="J5361" i="1"/>
  <c r="J5362" i="1"/>
  <c r="J5363" i="1"/>
  <c r="J1479" i="1"/>
  <c r="J1480" i="1"/>
  <c r="J2492" i="1"/>
  <c r="J2493" i="1"/>
  <c r="J2494" i="1"/>
  <c r="J2495" i="1"/>
  <c r="J2496" i="1"/>
  <c r="J2497" i="1"/>
  <c r="J2498" i="1"/>
  <c r="J2499" i="1"/>
  <c r="J2500" i="1"/>
  <c r="J2501" i="1"/>
  <c r="J2502" i="1"/>
  <c r="J2459" i="1"/>
  <c r="J2460" i="1"/>
  <c r="J2461" i="1"/>
  <c r="J2462" i="1"/>
  <c r="J2463" i="1"/>
  <c r="J2464" i="1"/>
  <c r="J1430" i="1"/>
  <c r="J1431" i="1"/>
  <c r="J3306" i="1"/>
  <c r="J3307" i="1"/>
  <c r="J3308" i="1"/>
  <c r="J3309" i="1"/>
  <c r="J3511" i="1"/>
  <c r="J3512" i="1"/>
  <c r="J3513" i="1"/>
  <c r="J3514" i="1"/>
  <c r="J3515" i="1"/>
  <c r="J3711" i="1"/>
  <c r="J3712" i="1"/>
  <c r="J3713" i="1"/>
  <c r="J3678" i="1"/>
  <c r="J1253" i="1"/>
  <c r="J1254" i="1"/>
  <c r="J1255" i="1"/>
  <c r="J1256" i="1"/>
  <c r="J1257" i="1"/>
  <c r="J1258" i="1"/>
  <c r="J2071" i="1"/>
  <c r="J498" i="1"/>
  <c r="J499" i="1"/>
  <c r="J500" i="1"/>
  <c r="J501" i="1"/>
  <c r="J502" i="1"/>
  <c r="J503" i="1"/>
  <c r="J504" i="1"/>
  <c r="J505" i="1"/>
  <c r="J506" i="1"/>
  <c r="J507" i="1"/>
  <c r="J508" i="1"/>
  <c r="J3966" i="1"/>
  <c r="J3967" i="1"/>
  <c r="J3968" i="1"/>
  <c r="J3969" i="1"/>
  <c r="J3970" i="1"/>
  <c r="J3971" i="1"/>
  <c r="J3972" i="1"/>
  <c r="J4271" i="1"/>
  <c r="J4272" i="1"/>
  <c r="J4273" i="1"/>
  <c r="J2770" i="1"/>
  <c r="J2771" i="1"/>
  <c r="J2772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878" i="1"/>
  <c r="J879" i="1"/>
  <c r="J880" i="1"/>
  <c r="J2773" i="1"/>
  <c r="J2774" i="1"/>
  <c r="J2775" i="1"/>
  <c r="J2776" i="1"/>
  <c r="J2002" i="1"/>
  <c r="J2003" i="1"/>
  <c r="J2004" i="1"/>
  <c r="J2005" i="1"/>
  <c r="J2006" i="1"/>
  <c r="J2007" i="1"/>
  <c r="J2008" i="1"/>
  <c r="J567" i="1"/>
  <c r="J568" i="1"/>
  <c r="J569" i="1"/>
  <c r="J2531" i="1"/>
  <c r="J2532" i="1"/>
  <c r="J4139" i="1"/>
  <c r="J4140" i="1"/>
  <c r="J4141" i="1"/>
  <c r="J4142" i="1"/>
  <c r="J4502" i="1"/>
  <c r="J4503" i="1"/>
  <c r="J4504" i="1"/>
  <c r="J4505" i="1"/>
  <c r="J5283" i="1"/>
  <c r="J5284" i="1"/>
  <c r="J5285" i="1"/>
  <c r="J5286" i="1"/>
  <c r="J5287" i="1"/>
  <c r="J5288" i="1"/>
  <c r="J1170" i="1"/>
  <c r="J1171" i="1"/>
  <c r="J1172" i="1"/>
  <c r="J4146" i="1"/>
  <c r="J836" i="1"/>
  <c r="J837" i="1"/>
  <c r="J838" i="1"/>
  <c r="J380" i="1"/>
  <c r="J381" i="1"/>
  <c r="J382" i="1"/>
  <c r="J383" i="1"/>
  <c r="J384" i="1"/>
  <c r="J385" i="1"/>
  <c r="J386" i="1"/>
  <c r="J387" i="1"/>
  <c r="J4950" i="1"/>
  <c r="J4951" i="1"/>
  <c r="J4952" i="1"/>
  <c r="J4953" i="1"/>
  <c r="J4954" i="1"/>
  <c r="J4955" i="1"/>
  <c r="J4956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820" i="1"/>
  <c r="J821" i="1"/>
  <c r="J822" i="1"/>
  <c r="J575" i="1"/>
  <c r="J576" i="1"/>
  <c r="J577" i="1"/>
  <c r="J696" i="1"/>
  <c r="J697" i="1"/>
  <c r="J698" i="1"/>
  <c r="J699" i="1"/>
  <c r="J700" i="1"/>
  <c r="J701" i="1"/>
  <c r="J702" i="1"/>
  <c r="J703" i="1"/>
  <c r="J704" i="1"/>
  <c r="J705" i="1"/>
  <c r="J706" i="1"/>
  <c r="J644" i="1"/>
  <c r="J645" i="1"/>
  <c r="J646" i="1"/>
  <c r="J647" i="1"/>
  <c r="J648" i="1"/>
  <c r="J470" i="1"/>
  <c r="J604" i="1"/>
  <c r="J605" i="1"/>
  <c r="J606" i="1"/>
  <c r="J607" i="1"/>
  <c r="J730" i="1"/>
  <c r="J791" i="1"/>
  <c r="J792" i="1"/>
  <c r="J490" i="1"/>
  <c r="J491" i="1"/>
  <c r="J492" i="1"/>
  <c r="J493" i="1"/>
  <c r="J3975" i="1"/>
  <c r="J3976" i="1"/>
  <c r="J3977" i="1"/>
  <c r="J3978" i="1"/>
  <c r="J3979" i="1"/>
  <c r="J823" i="1"/>
  <c r="J2282" i="1"/>
  <c r="J2283" i="1"/>
  <c r="J2284" i="1"/>
  <c r="J2285" i="1"/>
  <c r="J2286" i="1"/>
  <c r="J2287" i="1"/>
  <c r="J2288" i="1"/>
  <c r="J5373" i="1"/>
  <c r="J477" i="1"/>
  <c r="J478" i="1"/>
  <c r="J257" i="1"/>
  <c r="J321" i="1"/>
  <c r="J322" i="1"/>
  <c r="J323" i="1"/>
  <c r="J324" i="1"/>
  <c r="J4857" i="1"/>
  <c r="J4858" i="1"/>
  <c r="J4859" i="1"/>
  <c r="J1518" i="1"/>
  <c r="J1519" i="1"/>
  <c r="J1520" i="1"/>
  <c r="J1521" i="1"/>
  <c r="J1522" i="1"/>
  <c r="J1523" i="1"/>
  <c r="J1524" i="1"/>
  <c r="J2192" i="1"/>
  <c r="J2193" i="1"/>
  <c r="J2194" i="1"/>
  <c r="J2195" i="1"/>
  <c r="J2196" i="1"/>
  <c r="J2197" i="1"/>
  <c r="J4133" i="1"/>
  <c r="J4134" i="1"/>
  <c r="J4135" i="1"/>
  <c r="J4136" i="1"/>
  <c r="J4137" i="1"/>
  <c r="J4138" i="1"/>
  <c r="J5130" i="1"/>
  <c r="J5131" i="1"/>
  <c r="J4065" i="1"/>
  <c r="J4066" i="1"/>
  <c r="J4178" i="1"/>
  <c r="J4179" i="1"/>
  <c r="J4180" i="1"/>
  <c r="J4181" i="1"/>
  <c r="J4182" i="1"/>
  <c r="J4007" i="1"/>
  <c r="J4008" i="1"/>
  <c r="J4009" i="1"/>
  <c r="J4010" i="1"/>
  <c r="J4011" i="1"/>
  <c r="J4012" i="1"/>
  <c r="J4013" i="1"/>
  <c r="J4014" i="1"/>
  <c r="J4015" i="1"/>
  <c r="J4016" i="1"/>
  <c r="J3631" i="1"/>
  <c r="J3632" i="1"/>
  <c r="J3377" i="1"/>
  <c r="J3378" i="1"/>
  <c r="J3379" i="1"/>
  <c r="J3380" i="1"/>
  <c r="J3381" i="1"/>
  <c r="J3382" i="1"/>
  <c r="J709" i="1"/>
  <c r="J710" i="1"/>
  <c r="J711" i="1"/>
  <c r="J712" i="1"/>
  <c r="J4105" i="1"/>
  <c r="J4106" i="1"/>
  <c r="J4107" i="1"/>
  <c r="J4108" i="1"/>
  <c r="J4199" i="1"/>
  <c r="J4200" i="1"/>
  <c r="J4201" i="1"/>
  <c r="J4202" i="1"/>
  <c r="J3336" i="1"/>
  <c r="J3337" i="1"/>
  <c r="J3338" i="1"/>
  <c r="J484" i="1"/>
  <c r="J485" i="1"/>
  <c r="J486" i="1"/>
  <c r="J487" i="1"/>
  <c r="J488" i="1"/>
  <c r="J489" i="1"/>
  <c r="J5409" i="1"/>
  <c r="J5410" i="1"/>
  <c r="J4822" i="1"/>
  <c r="J4823" i="1"/>
  <c r="J4824" i="1"/>
  <c r="J4825" i="1"/>
  <c r="J4826" i="1"/>
  <c r="J4827" i="1"/>
  <c r="J4828" i="1"/>
  <c r="J4829" i="1"/>
  <c r="J4830" i="1"/>
  <c r="J4793" i="1"/>
  <c r="J4794" i="1"/>
  <c r="J4795" i="1"/>
  <c r="J4796" i="1"/>
  <c r="J1187" i="1"/>
  <c r="J1188" i="1"/>
  <c r="J1004" i="1"/>
  <c r="J1005" i="1"/>
  <c r="J1006" i="1"/>
  <c r="J1007" i="1"/>
  <c r="J1965" i="1"/>
  <c r="J1663" i="1"/>
  <c r="J1664" i="1"/>
  <c r="J1665" i="1"/>
  <c r="J1666" i="1"/>
  <c r="J1667" i="1"/>
  <c r="J1668" i="1"/>
  <c r="J1669" i="1"/>
  <c r="J1670" i="1"/>
  <c r="J4768" i="1"/>
  <c r="J4769" i="1"/>
  <c r="J5092" i="1"/>
  <c r="J5093" i="1"/>
  <c r="J5094" i="1"/>
  <c r="J5095" i="1"/>
  <c r="J5096" i="1"/>
  <c r="J5097" i="1"/>
  <c r="J5098" i="1"/>
  <c r="J5099" i="1"/>
  <c r="J4497" i="1"/>
  <c r="J4498" i="1"/>
  <c r="J4499" i="1"/>
  <c r="J4500" i="1"/>
  <c r="J4501" i="1"/>
  <c r="J4109" i="1"/>
  <c r="J4110" i="1"/>
  <c r="J4111" i="1"/>
  <c r="J4112" i="1"/>
  <c r="J4113" i="1"/>
  <c r="J4114" i="1"/>
  <c r="J4115" i="1"/>
  <c r="J4116" i="1"/>
  <c r="J1245" i="1"/>
  <c r="J1246" i="1"/>
  <c r="J1247" i="1"/>
  <c r="J1248" i="1"/>
  <c r="J2009" i="1"/>
  <c r="J2010" i="1"/>
  <c r="J2011" i="1"/>
  <c r="J2550" i="1"/>
  <c r="J2059" i="1"/>
  <c r="J2060" i="1"/>
  <c r="J2061" i="1"/>
  <c r="J1359" i="1"/>
  <c r="J1360" i="1"/>
  <c r="J1361" i="1"/>
  <c r="J1362" i="1"/>
  <c r="J1363" i="1"/>
  <c r="J1364" i="1"/>
  <c r="J1365" i="1"/>
  <c r="J1366" i="1"/>
  <c r="J1750" i="1"/>
  <c r="J1751" i="1"/>
  <c r="J1752" i="1"/>
  <c r="J1753" i="1"/>
  <c r="J1754" i="1"/>
  <c r="J1755" i="1"/>
  <c r="J1756" i="1"/>
  <c r="J1296" i="1"/>
  <c r="J1297" i="1"/>
  <c r="J1579" i="1"/>
  <c r="J1580" i="1"/>
  <c r="J1581" i="1"/>
  <c r="J1582" i="1"/>
  <c r="J2860" i="1"/>
  <c r="J2861" i="1"/>
  <c r="J3988" i="1"/>
  <c r="J3989" i="1"/>
  <c r="J3990" i="1"/>
  <c r="J3991" i="1"/>
  <c r="J3855" i="1"/>
  <c r="J3856" i="1"/>
  <c r="J3857" i="1"/>
  <c r="J3858" i="1"/>
  <c r="J3859" i="1"/>
  <c r="J3860" i="1"/>
  <c r="J3861" i="1"/>
  <c r="J4088" i="1"/>
  <c r="J4089" i="1"/>
  <c r="J4895" i="1"/>
  <c r="J4959" i="1"/>
  <c r="J4960" i="1"/>
  <c r="J4961" i="1"/>
  <c r="J4962" i="1"/>
  <c r="J4963" i="1"/>
  <c r="J3322" i="1"/>
  <c r="J3323" i="1"/>
  <c r="J3324" i="1"/>
  <c r="J3325" i="1"/>
  <c r="J2378" i="1"/>
  <c r="J2379" i="1"/>
  <c r="J2380" i="1"/>
  <c r="J1853" i="1"/>
  <c r="J12" i="1"/>
  <c r="J13" i="1"/>
  <c r="J14" i="1"/>
  <c r="J15" i="1"/>
  <c r="J16" i="1"/>
  <c r="J70" i="1"/>
  <c r="J71" i="1"/>
  <c r="J72" i="1"/>
  <c r="J73" i="1"/>
  <c r="J74" i="1"/>
  <c r="J75" i="1"/>
  <c r="J432" i="1"/>
  <c r="J585" i="1"/>
  <c r="J586" i="1"/>
  <c r="J5421" i="1"/>
  <c r="J2183" i="1"/>
  <c r="J2184" i="1"/>
  <c r="J2185" i="1"/>
  <c r="J2186" i="1"/>
  <c r="J2187" i="1"/>
  <c r="J2188" i="1"/>
  <c r="J2189" i="1"/>
  <c r="J2190" i="1"/>
  <c r="J5243" i="1"/>
  <c r="J5244" i="1"/>
  <c r="J5245" i="1"/>
  <c r="J4080" i="1"/>
  <c r="J4081" i="1"/>
  <c r="J4082" i="1"/>
  <c r="J4083" i="1"/>
  <c r="J4084" i="1"/>
  <c r="J4085" i="1"/>
  <c r="J4086" i="1"/>
  <c r="J4087" i="1"/>
  <c r="J4450" i="1"/>
  <c r="J4451" i="1"/>
  <c r="J4452" i="1"/>
  <c r="J5254" i="1"/>
  <c r="J5255" i="1"/>
  <c r="J4833" i="1"/>
  <c r="J4834" i="1"/>
  <c r="J4835" i="1"/>
  <c r="J4836" i="1"/>
  <c r="J4837" i="1"/>
  <c r="J4838" i="1"/>
  <c r="J2419" i="1"/>
  <c r="J2420" i="1"/>
  <c r="J2421" i="1"/>
  <c r="J2422" i="1"/>
  <c r="J1609" i="1"/>
  <c r="J1610" i="1"/>
  <c r="J1611" i="1"/>
  <c r="J1612" i="1"/>
  <c r="J3022" i="1"/>
  <c r="J3023" i="1"/>
  <c r="J3024" i="1"/>
  <c r="J3025" i="1"/>
  <c r="J5214" i="1"/>
  <c r="J5215" i="1"/>
  <c r="J5216" i="1"/>
  <c r="J5217" i="1"/>
  <c r="J5218" i="1"/>
  <c r="J5219" i="1"/>
  <c r="J4782" i="1"/>
  <c r="J4051" i="1"/>
  <c r="J4052" i="1"/>
  <c r="J4053" i="1"/>
  <c r="J4054" i="1"/>
  <c r="J4055" i="1"/>
  <c r="J4056" i="1"/>
  <c r="J4057" i="1"/>
  <c r="J4058" i="1"/>
  <c r="J4059" i="1"/>
  <c r="J4060" i="1"/>
  <c r="J4061" i="1"/>
  <c r="J4062" i="1"/>
  <c r="J4063" i="1"/>
  <c r="J2012" i="1"/>
  <c r="J17" i="1"/>
  <c r="J18" i="1"/>
  <c r="J19" i="1"/>
  <c r="J20" i="1"/>
  <c r="J21" i="1"/>
  <c r="J22" i="1"/>
  <c r="J23" i="1"/>
  <c r="J24" i="1"/>
  <c r="J25" i="1"/>
  <c r="J26" i="1"/>
  <c r="J1981" i="1"/>
  <c r="J1982" i="1"/>
  <c r="J1983" i="1"/>
  <c r="J1548" i="1"/>
  <c r="J1549" i="1"/>
  <c r="J1550" i="1"/>
  <c r="J2223" i="1"/>
  <c r="J2224" i="1"/>
  <c r="J2225" i="1"/>
  <c r="J2226" i="1"/>
  <c r="J2227" i="1"/>
  <c r="J5019" i="1"/>
  <c r="J5020" i="1"/>
  <c r="J3992" i="1"/>
  <c r="J3993" i="1"/>
  <c r="J3994" i="1"/>
  <c r="J3995" i="1"/>
  <c r="J3996" i="1"/>
  <c r="J3997" i="1"/>
  <c r="J3998" i="1"/>
  <c r="J3999" i="1"/>
  <c r="J4000" i="1"/>
  <c r="J4001" i="1"/>
  <c r="J4002" i="1"/>
  <c r="J5029" i="1"/>
  <c r="J5030" i="1"/>
  <c r="J5031" i="1"/>
  <c r="J5032" i="1"/>
  <c r="J5033" i="1"/>
  <c r="J5034" i="1"/>
  <c r="J5067" i="1"/>
  <c r="J4875" i="1"/>
  <c r="J4876" i="1"/>
  <c r="J4877" i="1"/>
  <c r="J4878" i="1"/>
  <c r="J4879" i="1"/>
  <c r="J4880" i="1"/>
  <c r="J4881" i="1"/>
  <c r="J4882" i="1"/>
  <c r="J4883" i="1"/>
  <c r="J4884" i="1"/>
  <c r="J4885" i="1"/>
  <c r="J4886" i="1"/>
  <c r="J4887" i="1"/>
  <c r="J4888" i="1"/>
  <c r="J4889" i="1"/>
  <c r="J4890" i="1"/>
  <c r="J4891" i="1"/>
  <c r="J4892" i="1"/>
  <c r="J5048" i="1"/>
  <c r="J5049" i="1"/>
  <c r="J5050" i="1"/>
  <c r="J5051" i="1"/>
  <c r="J2013" i="1"/>
  <c r="J2014" i="1"/>
  <c r="J2109" i="1"/>
  <c r="J2110" i="1"/>
  <c r="J2111" i="1"/>
  <c r="J2112" i="1"/>
  <c r="J2113" i="1"/>
  <c r="J2114" i="1"/>
  <c r="J2115" i="1"/>
  <c r="J2116" i="1"/>
  <c r="J2117" i="1"/>
  <c r="J2118" i="1"/>
  <c r="J2141" i="1"/>
  <c r="J4023" i="1"/>
  <c r="J4024" i="1"/>
  <c r="J4220" i="1"/>
  <c r="J4221" i="1"/>
  <c r="J4222" i="1"/>
  <c r="J4223" i="1"/>
  <c r="J5256" i="1"/>
  <c r="J5257" i="1"/>
  <c r="J4310" i="1"/>
  <c r="J4311" i="1"/>
  <c r="J4312" i="1"/>
  <c r="J2719" i="1"/>
  <c r="J365" i="1"/>
  <c r="J366" i="1"/>
  <c r="J4076" i="1"/>
  <c r="J4077" i="1"/>
  <c r="J4078" i="1"/>
  <c r="J4079" i="1"/>
  <c r="J4364" i="1"/>
  <c r="J4365" i="1"/>
  <c r="J4366" i="1"/>
  <c r="J4367" i="1"/>
  <c r="J4368" i="1"/>
  <c r="J4369" i="1"/>
  <c r="J4370" i="1"/>
  <c r="J5325" i="1"/>
  <c r="J5326" i="1"/>
  <c r="J5260" i="1"/>
  <c r="J4724" i="1"/>
  <c r="J4725" i="1"/>
  <c r="J4748" i="1"/>
  <c r="J4749" i="1"/>
  <c r="J4750" i="1"/>
  <c r="J4751" i="1"/>
  <c r="J4752" i="1"/>
  <c r="J4753" i="1"/>
  <c r="J1869" i="1"/>
  <c r="J1870" i="1"/>
  <c r="J1871" i="1"/>
  <c r="J1872" i="1"/>
  <c r="J1873" i="1"/>
  <c r="J1874" i="1"/>
  <c r="J1757" i="1"/>
  <c r="J1758" i="1"/>
  <c r="J1759" i="1"/>
  <c r="J1760" i="1"/>
  <c r="J1761" i="1"/>
  <c r="J3854" i="1"/>
  <c r="J4262" i="1"/>
  <c r="J4263" i="1"/>
  <c r="J4264" i="1"/>
  <c r="J4265" i="1"/>
  <c r="J4384" i="1"/>
  <c r="J4385" i="1"/>
  <c r="J4386" i="1"/>
  <c r="J4387" i="1"/>
  <c r="J4388" i="1"/>
  <c r="J4389" i="1"/>
  <c r="J4390" i="1"/>
  <c r="J4391" i="1"/>
  <c r="J4638" i="1"/>
  <c r="J4337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1356" i="1"/>
  <c r="J1357" i="1"/>
  <c r="J1358" i="1"/>
  <c r="J2249" i="1"/>
  <c r="J2250" i="1"/>
  <c r="J2251" i="1"/>
  <c r="J2252" i="1"/>
  <c r="J2253" i="1"/>
  <c r="J2254" i="1"/>
  <c r="J2255" i="1"/>
  <c r="J2256" i="1"/>
  <c r="J2257" i="1"/>
  <c r="J2258" i="1"/>
  <c r="J2418" i="1"/>
  <c r="J4423" i="1"/>
  <c r="J4424" i="1"/>
  <c r="J1015" i="1"/>
  <c r="J1016" i="1"/>
  <c r="J1017" i="1"/>
  <c r="J1018" i="1"/>
  <c r="J4090" i="1"/>
  <c r="J4091" i="1"/>
  <c r="J4092" i="1"/>
  <c r="J5261" i="1"/>
  <c r="J4917" i="1"/>
  <c r="J4918" i="1"/>
  <c r="J4919" i="1"/>
  <c r="J4920" i="1"/>
  <c r="J4399" i="1"/>
  <c r="J4400" i="1"/>
  <c r="J4401" i="1"/>
  <c r="J4402" i="1"/>
  <c r="J4403" i="1"/>
  <c r="J5046" i="1"/>
  <c r="J5047" i="1"/>
  <c r="J3834" i="1"/>
  <c r="J3835" i="1"/>
  <c r="J3836" i="1"/>
  <c r="J3837" i="1"/>
  <c r="J3838" i="1"/>
  <c r="J3839" i="1"/>
  <c r="J3840" i="1"/>
  <c r="J3841" i="1"/>
  <c r="J1019" i="1"/>
  <c r="J1020" i="1"/>
  <c r="J1021" i="1"/>
  <c r="J1022" i="1"/>
  <c r="J1125" i="1"/>
  <c r="J1126" i="1"/>
  <c r="J1127" i="1"/>
  <c r="J1128" i="1"/>
  <c r="J4777" i="1"/>
  <c r="J4778" i="1"/>
  <c r="J4779" i="1"/>
  <c r="J4780" i="1"/>
  <c r="J4781" i="1"/>
  <c r="J4797" i="1"/>
  <c r="J4798" i="1"/>
  <c r="J4799" i="1"/>
  <c r="J4800" i="1"/>
  <c r="J4801" i="1"/>
  <c r="J4802" i="1"/>
  <c r="J4803" i="1"/>
  <c r="J4804" i="1"/>
  <c r="J4648" i="1"/>
  <c r="J4649" i="1"/>
  <c r="J4650" i="1"/>
  <c r="J4651" i="1"/>
  <c r="J4652" i="1"/>
  <c r="J5302" i="1"/>
  <c r="J5303" i="1"/>
  <c r="J5304" i="1"/>
  <c r="J5305" i="1"/>
  <c r="J5306" i="1"/>
  <c r="J5307" i="1"/>
  <c r="J5308" i="1"/>
  <c r="J5309" i="1"/>
  <c r="J1671" i="1"/>
  <c r="J1672" i="1"/>
  <c r="J1673" i="1"/>
  <c r="J1674" i="1"/>
  <c r="J1353" i="1"/>
  <c r="J1354" i="1"/>
  <c r="J1355" i="1"/>
  <c r="J2859" i="1"/>
  <c r="J2538" i="1"/>
  <c r="J2539" i="1"/>
  <c r="J2402" i="1"/>
  <c r="J2403" i="1"/>
  <c r="J2404" i="1"/>
  <c r="J3276" i="1"/>
  <c r="J3277" i="1"/>
  <c r="J195" i="1"/>
  <c r="J196" i="1"/>
  <c r="J197" i="1"/>
  <c r="J198" i="1"/>
  <c r="J199" i="1"/>
  <c r="J200" i="1"/>
  <c r="J1838" i="1"/>
  <c r="J1839" i="1"/>
  <c r="J1546" i="1"/>
  <c r="J1547" i="1"/>
  <c r="J1793" i="1"/>
  <c r="J411" i="1"/>
  <c r="J412" i="1"/>
  <c r="J413" i="1"/>
  <c r="J414" i="1"/>
  <c r="J2696" i="1"/>
  <c r="J2697" i="1"/>
  <c r="J2698" i="1"/>
  <c r="J3404" i="1"/>
  <c r="J3405" i="1"/>
  <c r="J3090" i="1"/>
  <c r="J3091" i="1"/>
  <c r="J3092" i="1"/>
  <c r="J3093" i="1"/>
  <c r="J3094" i="1"/>
  <c r="J3095" i="1"/>
  <c r="J3033" i="1"/>
  <c r="J3034" i="1"/>
  <c r="J3035" i="1"/>
  <c r="J3036" i="1"/>
  <c r="J1699" i="1"/>
  <c r="J1700" i="1"/>
  <c r="J1701" i="1"/>
  <c r="J1808" i="1"/>
  <c r="J1809" i="1"/>
  <c r="J1810" i="1"/>
  <c r="J3098" i="1"/>
  <c r="J3099" i="1"/>
  <c r="J3100" i="1"/>
  <c r="J3101" i="1"/>
  <c r="J3102" i="1"/>
  <c r="J3103" i="1"/>
  <c r="J3104" i="1"/>
  <c r="J3105" i="1"/>
  <c r="J3106" i="1"/>
  <c r="J2084" i="1"/>
  <c r="J2085" i="1"/>
  <c r="J1737" i="1"/>
  <c r="J1738" i="1"/>
  <c r="J1739" i="1"/>
  <c r="J1740" i="1"/>
  <c r="J175" i="1"/>
  <c r="J176" i="1"/>
  <c r="J177" i="1"/>
  <c r="J178" i="1"/>
  <c r="J179" i="1"/>
  <c r="J180" i="1"/>
  <c r="J181" i="1"/>
  <c r="J182" i="1"/>
  <c r="J183" i="1"/>
  <c r="J184" i="1"/>
  <c r="J916" i="1"/>
  <c r="J917" i="1"/>
  <c r="J918" i="1"/>
  <c r="J919" i="1"/>
  <c r="J920" i="1"/>
  <c r="J3414" i="1"/>
  <c r="J3415" i="1"/>
  <c r="J3416" i="1"/>
  <c r="J2491" i="1"/>
  <c r="J3085" i="1"/>
  <c r="J3086" i="1"/>
  <c r="J3087" i="1"/>
  <c r="J3088" i="1"/>
  <c r="J3089" i="1"/>
  <c r="J3252" i="1"/>
  <c r="J3253" i="1"/>
  <c r="J3254" i="1"/>
  <c r="J3255" i="1"/>
  <c r="J3256" i="1"/>
  <c r="J3257" i="1"/>
  <c r="J3474" i="1"/>
  <c r="J3733" i="1"/>
  <c r="J3734" i="1"/>
  <c r="J3924" i="1"/>
  <c r="J3925" i="1"/>
  <c r="J3926" i="1"/>
  <c r="J3927" i="1"/>
  <c r="J342" i="1"/>
  <c r="J343" i="1"/>
  <c r="J4341" i="1"/>
  <c r="J4342" i="1"/>
  <c r="J2780" i="1"/>
  <c r="J2781" i="1"/>
  <c r="J2782" i="1"/>
  <c r="J2783" i="1"/>
  <c r="J2784" i="1"/>
  <c r="J2785" i="1"/>
  <c r="J2786" i="1"/>
  <c r="J3436" i="1"/>
  <c r="J3299" i="1"/>
  <c r="J3300" i="1"/>
  <c r="J3301" i="1"/>
  <c r="J3302" i="1"/>
  <c r="J3303" i="1"/>
  <c r="J3304" i="1"/>
  <c r="J3305" i="1"/>
  <c r="J1481" i="1"/>
  <c r="J1482" i="1"/>
  <c r="J1483" i="1"/>
  <c r="J1484" i="1"/>
  <c r="J1303" i="1"/>
  <c r="J1304" i="1"/>
  <c r="J1305" i="1"/>
  <c r="J1306" i="1"/>
  <c r="J1307" i="1"/>
  <c r="J1308" i="1"/>
  <c r="J1309" i="1"/>
  <c r="J1310" i="1"/>
  <c r="J2167" i="1"/>
  <c r="J2168" i="1"/>
  <c r="J2169" i="1"/>
  <c r="J2170" i="1"/>
  <c r="J2171" i="1"/>
  <c r="J2172" i="1"/>
  <c r="J2173" i="1"/>
  <c r="J1734" i="1"/>
  <c r="J1735" i="1"/>
  <c r="J1432" i="1"/>
  <c r="J1433" i="1"/>
  <c r="J1434" i="1"/>
  <c r="J1435" i="1"/>
  <c r="J1436" i="1"/>
  <c r="J1437" i="1"/>
  <c r="J1438" i="1"/>
  <c r="J1439" i="1"/>
  <c r="J1440" i="1"/>
  <c r="J1441" i="1"/>
  <c r="J231" i="1"/>
  <c r="J232" i="1"/>
  <c r="J3600" i="1"/>
  <c r="J2507" i="1"/>
  <c r="J2508" i="1"/>
  <c r="J2509" i="1"/>
  <c r="J2510" i="1"/>
  <c r="J2511" i="1"/>
  <c r="J2512" i="1"/>
  <c r="J587" i="1"/>
  <c r="J588" i="1"/>
  <c r="J589" i="1"/>
  <c r="J590" i="1"/>
  <c r="J591" i="1"/>
  <c r="J2503" i="1"/>
  <c r="J2504" i="1"/>
  <c r="J2505" i="1"/>
  <c r="J2506" i="1"/>
  <c r="J2619" i="1"/>
  <c r="J2620" i="1"/>
  <c r="J2621" i="1"/>
  <c r="J2622" i="1"/>
  <c r="J2623" i="1"/>
  <c r="J2624" i="1"/>
  <c r="J2174" i="1"/>
  <c r="J2175" i="1"/>
  <c r="J2176" i="1"/>
  <c r="J2177" i="1"/>
  <c r="J2178" i="1"/>
  <c r="J4363" i="1"/>
  <c r="J866" i="1"/>
  <c r="J867" i="1"/>
  <c r="J868" i="1"/>
  <c r="J1082" i="1"/>
  <c r="J4994" i="1"/>
  <c r="J4995" i="1"/>
  <c r="J4996" i="1"/>
  <c r="J4997" i="1"/>
  <c r="J4998" i="1"/>
  <c r="J4999" i="1"/>
  <c r="J5000" i="1"/>
  <c r="J4608" i="1"/>
  <c r="J4609" i="1"/>
  <c r="J4610" i="1"/>
  <c r="J4611" i="1"/>
  <c r="J4612" i="1"/>
  <c r="J4613" i="1"/>
  <c r="J4614" i="1"/>
  <c r="J4615" i="1"/>
  <c r="J4759" i="1"/>
  <c r="J4708" i="1"/>
  <c r="J4709" i="1"/>
  <c r="J4710" i="1"/>
  <c r="J4711" i="1"/>
  <c r="J4712" i="1"/>
  <c r="J4713" i="1"/>
  <c r="J4714" i="1"/>
  <c r="J1513" i="1"/>
  <c r="J1514" i="1"/>
  <c r="J1728" i="1"/>
  <c r="J1729" i="1"/>
  <c r="J1730" i="1"/>
  <c r="J1791" i="1"/>
  <c r="J1792" i="1"/>
  <c r="J2335" i="1"/>
  <c r="J2336" i="1"/>
  <c r="J2337" i="1"/>
  <c r="J2338" i="1"/>
  <c r="J2339" i="1"/>
  <c r="J2340" i="1"/>
  <c r="J1644" i="1"/>
  <c r="J1645" i="1"/>
  <c r="J1646" i="1"/>
  <c r="J1647" i="1"/>
  <c r="J3851" i="1"/>
  <c r="J3852" i="1"/>
  <c r="J3853" i="1"/>
  <c r="J5296" i="1"/>
  <c r="J5297" i="1"/>
  <c r="J5298" i="1"/>
  <c r="J5299" i="1"/>
  <c r="J5300" i="1"/>
  <c r="J5301" i="1"/>
  <c r="J5323" i="1"/>
  <c r="J5324" i="1"/>
  <c r="J4871" i="1"/>
  <c r="J4872" i="1"/>
  <c r="J4873" i="1"/>
  <c r="J969" i="1"/>
  <c r="J4381" i="1"/>
  <c r="J4382" i="1"/>
  <c r="J4383" i="1"/>
  <c r="J3822" i="1"/>
  <c r="J3823" i="1"/>
  <c r="J3824" i="1"/>
  <c r="J4548" i="1"/>
  <c r="J4549" i="1"/>
  <c r="J4550" i="1"/>
  <c r="J4551" i="1"/>
  <c r="J4552" i="1"/>
  <c r="J4553" i="1"/>
  <c r="J4554" i="1"/>
  <c r="J4555" i="1"/>
  <c r="J4556" i="1"/>
  <c r="J4557" i="1"/>
  <c r="J4558" i="1"/>
  <c r="J4559" i="1"/>
  <c r="J5289" i="1"/>
  <c r="J5290" i="1"/>
  <c r="J5291" i="1"/>
  <c r="J5292" i="1"/>
  <c r="J5293" i="1"/>
  <c r="J5294" i="1"/>
  <c r="J5295" i="1"/>
  <c r="J5134" i="1"/>
  <c r="J5135" i="1"/>
  <c r="J5136" i="1"/>
  <c r="J5137" i="1"/>
  <c r="J5138" i="1"/>
  <c r="J5139" i="1"/>
  <c r="J4980" i="1"/>
  <c r="J4489" i="1"/>
  <c r="J4490" i="1"/>
  <c r="J4094" i="1"/>
  <c r="J4831" i="1"/>
  <c r="J4832" i="1"/>
  <c r="J5162" i="1"/>
  <c r="J5163" i="1"/>
  <c r="J5001" i="1"/>
  <c r="J5002" i="1"/>
  <c r="J5003" i="1"/>
  <c r="J5004" i="1"/>
  <c r="J5005" i="1"/>
  <c r="J5006" i="1"/>
  <c r="J5007" i="1"/>
  <c r="J5008" i="1"/>
  <c r="J5009" i="1"/>
  <c r="J5242" i="1"/>
  <c r="J5189" i="1"/>
  <c r="J5190" i="1"/>
  <c r="J5191" i="1"/>
  <c r="J5192" i="1"/>
  <c r="J5193" i="1"/>
  <c r="J5194" i="1"/>
  <c r="J5195" i="1"/>
  <c r="J5196" i="1"/>
  <c r="J5197" i="1"/>
  <c r="J5198" i="1"/>
  <c r="J5199" i="1"/>
  <c r="J5200" i="1"/>
  <c r="J5201" i="1"/>
  <c r="J5202" i="1"/>
  <c r="J5203" i="1"/>
  <c r="J5204" i="1"/>
  <c r="J894" i="1"/>
  <c r="J895" i="1"/>
  <c r="J896" i="1"/>
  <c r="J897" i="1"/>
  <c r="J2343" i="1"/>
  <c r="J2344" i="1"/>
  <c r="J4562" i="1"/>
  <c r="J4665" i="1"/>
  <c r="J4666" i="1"/>
  <c r="J4667" i="1"/>
  <c r="J4668" i="1"/>
  <c r="J4669" i="1"/>
  <c r="J4670" i="1"/>
  <c r="J4671" i="1"/>
  <c r="J4672" i="1"/>
  <c r="J4673" i="1"/>
  <c r="J4674" i="1"/>
  <c r="J4675" i="1"/>
  <c r="J4676" i="1"/>
  <c r="J4677" i="1"/>
  <c r="J4678" i="1"/>
  <c r="J4679" i="1"/>
  <c r="J4680" i="1"/>
  <c r="J4681" i="1"/>
  <c r="J4682" i="1"/>
  <c r="J4850" i="1"/>
  <c r="J4851" i="1"/>
  <c r="J4852" i="1"/>
  <c r="J4853" i="1"/>
  <c r="J4594" i="1"/>
  <c r="J4595" i="1"/>
  <c r="J4596" i="1"/>
  <c r="J4597" i="1"/>
  <c r="J4598" i="1"/>
  <c r="J4599" i="1"/>
  <c r="J4600" i="1"/>
  <c r="J4601" i="1"/>
  <c r="J4491" i="1"/>
  <c r="J4492" i="1"/>
  <c r="J4493" i="1"/>
  <c r="J5332" i="1"/>
  <c r="J5205" i="1"/>
  <c r="J4043" i="1"/>
  <c r="J4044" i="1"/>
  <c r="J4045" i="1"/>
  <c r="J5081" i="1"/>
  <c r="J5082" i="1"/>
  <c r="J5083" i="1"/>
  <c r="J5084" i="1"/>
  <c r="J5085" i="1"/>
  <c r="J4973" i="1"/>
  <c r="J4974" i="1"/>
  <c r="J4975" i="1"/>
  <c r="J4976" i="1"/>
  <c r="J4977" i="1"/>
  <c r="J4978" i="1"/>
  <c r="J4739" i="1"/>
  <c r="J4740" i="1"/>
  <c r="J4741" i="1"/>
  <c r="J4742" i="1"/>
  <c r="J4743" i="1"/>
  <c r="J4744" i="1"/>
  <c r="J4745" i="1"/>
  <c r="J4746" i="1"/>
  <c r="J4518" i="1"/>
  <c r="J4519" i="1"/>
  <c r="J4520" i="1"/>
  <c r="J4496" i="1"/>
  <c r="J4259" i="1"/>
  <c r="J4329" i="1"/>
  <c r="J4330" i="1"/>
  <c r="J4331" i="1"/>
  <c r="J1140" i="1"/>
  <c r="J1141" i="1"/>
  <c r="J1142" i="1"/>
  <c r="J1143" i="1"/>
  <c r="J1144" i="1"/>
  <c r="J1145" i="1"/>
  <c r="J1146" i="1"/>
  <c r="J854" i="1"/>
  <c r="J855" i="1"/>
  <c r="J856" i="1"/>
  <c r="J857" i="1"/>
  <c r="J858" i="1"/>
  <c r="J859" i="1"/>
  <c r="J860" i="1"/>
  <c r="J861" i="1"/>
  <c r="J862" i="1"/>
  <c r="J1259" i="1"/>
  <c r="J1260" i="1"/>
  <c r="J1261" i="1"/>
  <c r="J1262" i="1"/>
  <c r="J4839" i="1"/>
  <c r="J4840" i="1"/>
  <c r="J4841" i="1"/>
  <c r="J1907" i="1"/>
  <c r="J1908" i="1"/>
  <c r="J1909" i="1"/>
  <c r="J1910" i="1"/>
  <c r="J1911" i="1"/>
  <c r="J1912" i="1"/>
  <c r="J1913" i="1"/>
  <c r="J1914" i="1"/>
  <c r="J1915" i="1"/>
  <c r="J1916" i="1"/>
  <c r="J1917" i="1"/>
  <c r="J5021" i="1"/>
  <c r="J4627" i="1"/>
  <c r="J4628" i="1"/>
  <c r="J4629" i="1"/>
  <c r="J4297" i="1"/>
  <c r="J4298" i="1"/>
  <c r="J4425" i="1"/>
  <c r="J4426" i="1"/>
  <c r="J4427" i="1"/>
  <c r="J4314" i="1"/>
  <c r="J4315" i="1"/>
  <c r="J4316" i="1"/>
  <c r="J4317" i="1"/>
  <c r="J4318" i="1"/>
  <c r="J4319" i="1"/>
  <c r="J4320" i="1"/>
  <c r="J4321" i="1"/>
  <c r="J4322" i="1"/>
  <c r="J4323" i="1"/>
  <c r="J4324" i="1"/>
  <c r="J4325" i="1"/>
  <c r="J4326" i="1"/>
  <c r="J4327" i="1"/>
  <c r="J4328" i="1"/>
  <c r="J4737" i="1"/>
  <c r="J2191" i="1"/>
  <c r="J1712" i="1"/>
  <c r="J1713" i="1"/>
  <c r="J1714" i="1"/>
  <c r="J1387" i="1"/>
  <c r="J1388" i="1"/>
  <c r="J1389" i="1"/>
  <c r="J1390" i="1"/>
  <c r="J1391" i="1"/>
  <c r="J1392" i="1"/>
  <c r="J1393" i="1"/>
  <c r="J1394" i="1"/>
  <c r="J2265" i="1"/>
  <c r="J2266" i="1"/>
  <c r="J2267" i="1"/>
  <c r="J2268" i="1"/>
  <c r="J2269" i="1"/>
  <c r="J2270" i="1"/>
  <c r="J2271" i="1"/>
  <c r="J1848" i="1"/>
  <c r="J1849" i="1"/>
  <c r="J1850" i="1"/>
  <c r="J5169" i="1"/>
  <c r="J5170" i="1"/>
  <c r="J5171" i="1"/>
  <c r="J5172" i="1"/>
  <c r="J5173" i="1"/>
  <c r="J5174" i="1"/>
  <c r="J5175" i="1"/>
  <c r="J5176" i="1"/>
  <c r="J5177" i="1"/>
  <c r="J5178" i="1"/>
  <c r="J5179" i="1"/>
  <c r="J5180" i="1"/>
  <c r="J5181" i="1"/>
  <c r="J5182" i="1"/>
  <c r="J5183" i="1"/>
  <c r="J5184" i="1"/>
  <c r="J5185" i="1"/>
  <c r="J4213" i="1"/>
  <c r="J4214" i="1"/>
  <c r="J4215" i="1"/>
  <c r="J4216" i="1"/>
  <c r="J4217" i="1"/>
  <c r="J4218" i="1"/>
  <c r="J4219" i="1"/>
  <c r="J3240" i="1"/>
  <c r="J3241" i="1"/>
  <c r="J3242" i="1"/>
  <c r="J1339" i="1"/>
  <c r="J4003" i="1"/>
  <c r="J3947" i="1"/>
  <c r="J3948" i="1"/>
  <c r="J3949" i="1"/>
  <c r="J3950" i="1"/>
  <c r="J3951" i="1"/>
  <c r="J3952" i="1"/>
  <c r="J4568" i="1"/>
  <c r="J4569" i="1"/>
  <c r="J4570" i="1"/>
  <c r="J4571" i="1"/>
  <c r="J4572" i="1"/>
  <c r="J4573" i="1"/>
  <c r="J4574" i="1"/>
  <c r="J4575" i="1"/>
  <c r="J4576" i="1"/>
  <c r="J4577" i="1"/>
  <c r="J4578" i="1"/>
  <c r="J4579" i="1"/>
  <c r="J3985" i="1"/>
  <c r="J4760" i="1"/>
  <c r="J4761" i="1"/>
  <c r="J4762" i="1"/>
  <c r="J4763" i="1"/>
  <c r="J4764" i="1"/>
  <c r="J4765" i="1"/>
  <c r="J5153" i="1"/>
  <c r="J5154" i="1"/>
  <c r="J5155" i="1"/>
  <c r="J5156" i="1"/>
  <c r="J5157" i="1"/>
  <c r="J5158" i="1"/>
  <c r="J5159" i="1"/>
  <c r="J5160" i="1"/>
  <c r="J5161" i="1"/>
  <c r="J4563" i="1"/>
  <c r="J4564" i="1"/>
  <c r="J4565" i="1"/>
  <c r="J4566" i="1"/>
  <c r="J4567" i="1"/>
  <c r="J4593" i="1"/>
  <c r="J4592" i="1"/>
  <c r="J946" i="1"/>
  <c r="J966" i="1"/>
  <c r="J967" i="1"/>
  <c r="J968" i="1"/>
  <c r="J1046" i="1"/>
  <c r="J1047" i="1"/>
  <c r="J1048" i="1"/>
  <c r="J1049" i="1"/>
  <c r="J1050" i="1"/>
  <c r="J1051" i="1"/>
  <c r="J1052" i="1"/>
  <c r="J1053" i="1"/>
  <c r="J1054" i="1"/>
  <c r="J5037" i="1"/>
  <c r="J5038" i="1"/>
  <c r="J5039" i="1"/>
  <c r="J898" i="1"/>
  <c r="J899" i="1"/>
  <c r="J900" i="1"/>
  <c r="J901" i="1"/>
  <c r="J902" i="1"/>
  <c r="J903" i="1"/>
  <c r="J904" i="1"/>
  <c r="J905" i="1"/>
  <c r="J906" i="1"/>
  <c r="J907" i="1"/>
  <c r="J908" i="1"/>
  <c r="J4770" i="1"/>
  <c r="J4771" i="1"/>
  <c r="J4772" i="1"/>
  <c r="J4773" i="1"/>
  <c r="J5151" i="1"/>
  <c r="J4542" i="1"/>
  <c r="J5060" i="1"/>
  <c r="J5061" i="1"/>
  <c r="J5062" i="1"/>
  <c r="J5063" i="1"/>
  <c r="J5064" i="1"/>
  <c r="J5065" i="1"/>
  <c r="J5066" i="1"/>
  <c r="J4704" i="1"/>
  <c r="J4726" i="1"/>
  <c r="J4727" i="1"/>
  <c r="J4728" i="1"/>
  <c r="J4729" i="1"/>
  <c r="J4730" i="1"/>
  <c r="J4731" i="1"/>
  <c r="J4732" i="1"/>
  <c r="J4733" i="1"/>
  <c r="J4734" i="1"/>
  <c r="J4735" i="1"/>
  <c r="J4736" i="1"/>
  <c r="J5330" i="1"/>
  <c r="J1648" i="1"/>
  <c r="J2585" i="1"/>
  <c r="J2586" i="1"/>
  <c r="J2587" i="1"/>
  <c r="J2215" i="1"/>
  <c r="J2216" i="1"/>
  <c r="J2217" i="1"/>
  <c r="J2218" i="1"/>
  <c r="J2219" i="1"/>
  <c r="J2220" i="1"/>
  <c r="J2221" i="1"/>
  <c r="J2222" i="1"/>
  <c r="J2886" i="1"/>
  <c r="J2887" i="1"/>
  <c r="J2888" i="1"/>
  <c r="J2889" i="1"/>
  <c r="J2890" i="1"/>
  <c r="J2891" i="1"/>
  <c r="J2892" i="1"/>
  <c r="J2486" i="1"/>
  <c r="J2487" i="1"/>
  <c r="J2488" i="1"/>
  <c r="J2489" i="1"/>
  <c r="J2490" i="1"/>
  <c r="J3825" i="1"/>
  <c r="J3826" i="1"/>
  <c r="J3827" i="1"/>
  <c r="J4940" i="1"/>
  <c r="J4941" i="1"/>
  <c r="J4942" i="1"/>
  <c r="J5086" i="1"/>
  <c r="J5087" i="1"/>
  <c r="J1129" i="1"/>
  <c r="J1130" i="1"/>
  <c r="J1131" i="1"/>
  <c r="J1132" i="1"/>
  <c r="J1133" i="1"/>
  <c r="J1134" i="1"/>
  <c r="J1135" i="1"/>
  <c r="J1136" i="1"/>
  <c r="J1137" i="1"/>
  <c r="J1138" i="1"/>
  <c r="J1139" i="1"/>
  <c r="J5132" i="1"/>
  <c r="J5133" i="1"/>
  <c r="J2345" i="1"/>
  <c r="J2346" i="1"/>
  <c r="J2347" i="1"/>
  <c r="J1280" i="1"/>
  <c r="J5103" i="1"/>
  <c r="J5104" i="1"/>
  <c r="J5105" i="1"/>
  <c r="J5106" i="1"/>
  <c r="J5107" i="1"/>
  <c r="J5108" i="1"/>
  <c r="J5109" i="1"/>
  <c r="J5073" i="1"/>
  <c r="J5074" i="1"/>
  <c r="J5075" i="1"/>
  <c r="J5076" i="1"/>
  <c r="J5077" i="1"/>
  <c r="J5078" i="1"/>
  <c r="J5079" i="1"/>
  <c r="J5080" i="1"/>
  <c r="J5010" i="1"/>
  <c r="J5011" i="1"/>
  <c r="J5012" i="1"/>
  <c r="J5013" i="1"/>
  <c r="J5014" i="1"/>
  <c r="J5015" i="1"/>
  <c r="J5016" i="1"/>
  <c r="J4299" i="1"/>
  <c r="J4300" i="1"/>
  <c r="J4301" i="1"/>
  <c r="J4302" i="1"/>
  <c r="J4303" i="1"/>
  <c r="J4304" i="1"/>
  <c r="J4305" i="1"/>
  <c r="J4306" i="1"/>
  <c r="J4307" i="1"/>
  <c r="J4687" i="1"/>
  <c r="J4688" i="1"/>
  <c r="J4689" i="1"/>
  <c r="J4690" i="1"/>
  <c r="J4691" i="1"/>
  <c r="J4738" i="1"/>
  <c r="J5168" i="1"/>
  <c r="J4602" i="1"/>
  <c r="J4603" i="1"/>
  <c r="J4604" i="1"/>
  <c r="J4605" i="1"/>
  <c r="J4606" i="1"/>
  <c r="J4607" i="1"/>
  <c r="J4561" i="1"/>
  <c r="J4560" i="1"/>
  <c r="J5140" i="1"/>
  <c r="J5141" i="1"/>
  <c r="J5142" i="1"/>
  <c r="J5143" i="1"/>
  <c r="J5144" i="1"/>
  <c r="J5145" i="1"/>
  <c r="J5146" i="1"/>
  <c r="J5147" i="1"/>
  <c r="J5148" i="1"/>
  <c r="J5149" i="1"/>
  <c r="J5150" i="1"/>
  <c r="J4494" i="1"/>
  <c r="J4495" i="1"/>
  <c r="J4683" i="1"/>
  <c r="J5259" i="1"/>
  <c r="J892" i="1"/>
  <c r="J893" i="1"/>
  <c r="J3953" i="1"/>
  <c r="J3954" i="1"/>
  <c r="J3955" i="1"/>
  <c r="J3956" i="1"/>
  <c r="J3957" i="1"/>
  <c r="J3958" i="1"/>
  <c r="J4404" i="1"/>
  <c r="J4405" i="1"/>
  <c r="J3842" i="1"/>
  <c r="J3843" i="1"/>
  <c r="J3844" i="1"/>
  <c r="J3845" i="1"/>
  <c r="J3846" i="1"/>
  <c r="J3847" i="1"/>
  <c r="J3848" i="1"/>
  <c r="J3849" i="1"/>
  <c r="J3850" i="1"/>
  <c r="J4243" i="1"/>
  <c r="J4244" i="1"/>
  <c r="J4245" i="1"/>
  <c r="J4246" i="1"/>
  <c r="J4247" i="1"/>
  <c r="J4248" i="1"/>
  <c r="J4249" i="1"/>
  <c r="J4250" i="1"/>
  <c r="J4251" i="1"/>
  <c r="J4252" i="1"/>
  <c r="J4253" i="1"/>
  <c r="J4254" i="1"/>
  <c r="J4255" i="1"/>
  <c r="J4256" i="1"/>
  <c r="J4257" i="1"/>
  <c r="J4258" i="1"/>
  <c r="J1903" i="1"/>
  <c r="J1904" i="1"/>
  <c r="J1905" i="1"/>
  <c r="J1906" i="1"/>
  <c r="J4747" i="1"/>
  <c r="J5068" i="1"/>
  <c r="J5069" i="1"/>
  <c r="J5070" i="1"/>
  <c r="J5071" i="1"/>
  <c r="J5072" i="1"/>
  <c r="J4685" i="1"/>
  <c r="J4684" i="1"/>
  <c r="J4168" i="1"/>
  <c r="J4169" i="1"/>
  <c r="J4170" i="1"/>
  <c r="J4171" i="1"/>
  <c r="J4290" i="1"/>
  <c r="J4291" i="1"/>
  <c r="J4292" i="1"/>
  <c r="J4293" i="1"/>
  <c r="J4294" i="1"/>
  <c r="J4295" i="1"/>
  <c r="J4296" i="1"/>
  <c r="J4521" i="1"/>
  <c r="J4646" i="1"/>
  <c r="J4647" i="1"/>
  <c r="J863" i="1"/>
  <c r="J4774" i="1"/>
  <c r="J4775" i="1"/>
  <c r="J4776" i="1"/>
  <c r="J2596" i="1"/>
  <c r="J2597" i="1"/>
  <c r="J2598" i="1"/>
  <c r="J2599" i="1"/>
  <c r="J2600" i="1"/>
  <c r="J2601" i="1"/>
  <c r="J2602" i="1"/>
  <c r="J1422" i="1"/>
  <c r="J1423" i="1"/>
  <c r="J1424" i="1"/>
  <c r="J1425" i="1"/>
  <c r="J1426" i="1"/>
  <c r="J1427" i="1"/>
  <c r="J1428" i="1"/>
  <c r="J1429" i="1"/>
  <c r="J2341" i="1"/>
  <c r="J2342" i="1"/>
  <c r="J4630" i="1"/>
  <c r="J4631" i="1"/>
  <c r="J4632" i="1"/>
  <c r="J2929" i="1"/>
  <c r="J2930" i="1"/>
  <c r="J2931" i="1"/>
  <c r="J2932" i="1"/>
  <c r="J2933" i="1"/>
  <c r="J2934" i="1"/>
  <c r="J2935" i="1"/>
  <c r="J1595" i="1"/>
  <c r="J1596" i="1"/>
  <c r="J1597" i="1"/>
  <c r="J1598" i="1"/>
  <c r="J1599" i="1"/>
  <c r="J1600" i="1"/>
  <c r="J1601" i="1"/>
  <c r="J1602" i="1"/>
  <c r="J3236" i="1"/>
  <c r="J3237" i="1"/>
  <c r="J3238" i="1"/>
  <c r="J3239" i="1"/>
  <c r="J4686" i="1"/>
  <c r="J4805" i="1"/>
  <c r="J4806" i="1"/>
  <c r="J4807" i="1"/>
  <c r="J4808" i="1"/>
  <c r="J4809" i="1"/>
  <c r="J4810" i="1"/>
  <c r="J4811" i="1"/>
  <c r="J4580" i="1"/>
  <c r="J4581" i="1"/>
  <c r="J4582" i="1"/>
  <c r="J4583" i="1"/>
  <c r="J4584" i="1"/>
  <c r="J4585" i="1"/>
  <c r="J4586" i="1"/>
  <c r="J4587" i="1"/>
  <c r="J4588" i="1"/>
  <c r="J4589" i="1"/>
  <c r="J4590" i="1"/>
  <c r="J4591" i="1"/>
  <c r="J4093" i="1"/>
  <c r="J1851" i="1"/>
  <c r="J1852" i="1"/>
  <c r="J3878" i="1"/>
  <c r="J3879" i="1"/>
  <c r="J3880" i="1"/>
  <c r="J4456" i="1"/>
  <c r="J4457" i="1"/>
  <c r="J4458" i="1"/>
  <c r="J4621" i="1"/>
  <c r="J4622" i="1"/>
  <c r="J4232" i="1"/>
  <c r="J4233" i="1"/>
  <c r="J4234" i="1"/>
  <c r="J4235" i="1"/>
  <c r="J4236" i="1"/>
  <c r="J4237" i="1"/>
  <c r="J4238" i="1"/>
  <c r="J4239" i="1"/>
  <c r="J4240" i="1"/>
  <c r="J4241" i="1"/>
  <c r="J4242" i="1"/>
  <c r="J4362" i="1"/>
  <c r="J3881" i="1"/>
  <c r="J3882" i="1"/>
  <c r="J3883" i="1"/>
  <c r="J3884" i="1"/>
  <c r="J3885" i="1"/>
  <c r="J3886" i="1"/>
  <c r="J4487" i="1"/>
  <c r="J4488" i="1"/>
  <c r="J4538" i="1"/>
  <c r="J4539" i="1"/>
  <c r="J4540" i="1"/>
  <c r="J1715" i="1"/>
  <c r="J4991" i="1"/>
  <c r="J4992" i="1"/>
  <c r="J4993" i="1"/>
  <c r="J4017" i="1"/>
  <c r="J4018" i="1"/>
  <c r="J4019" i="1"/>
  <c r="J4020" i="1"/>
  <c r="J4021" i="1"/>
  <c r="J4022" i="1"/>
  <c r="J4705" i="1"/>
  <c r="J4706" i="1"/>
  <c r="J4707" i="1"/>
  <c r="J3986" i="1"/>
  <c r="J3987" i="1"/>
  <c r="J2476" i="1"/>
  <c r="J2477" i="1"/>
  <c r="J2478" i="1"/>
  <c r="J2479" i="1"/>
  <c r="J2480" i="1"/>
  <c r="J2481" i="1"/>
  <c r="J2482" i="1"/>
  <c r="J2483" i="1"/>
  <c r="J2484" i="1"/>
  <c r="J2485" i="1"/>
  <c r="J2595" i="1"/>
  <c r="J4160" i="1"/>
  <c r="J4161" i="1"/>
  <c r="J4162" i="1"/>
  <c r="J4163" i="1"/>
  <c r="J4164" i="1"/>
  <c r="J4165" i="1"/>
  <c r="J4166" i="1"/>
  <c r="J4167" i="1"/>
  <c r="J4767" i="1"/>
  <c r="J4516" i="1"/>
  <c r="J4517" i="1"/>
  <c r="J5331" i="1"/>
  <c r="J4893" i="1"/>
  <c r="J4894" i="1"/>
  <c r="J4308" i="1"/>
  <c r="J4309" i="1"/>
  <c r="J5110" i="1"/>
  <c r="J5111" i="1"/>
  <c r="J5112" i="1"/>
  <c r="J5113" i="1"/>
  <c r="J5114" i="1"/>
  <c r="J5115" i="1"/>
  <c r="J5232" i="1"/>
  <c r="J5233" i="1"/>
  <c r="J5234" i="1"/>
  <c r="J5235" i="1"/>
  <c r="J5236" i="1"/>
  <c r="J5237" i="1"/>
  <c r="J5238" i="1"/>
  <c r="J5239" i="1"/>
  <c r="J5240" i="1"/>
  <c r="J5241" i="1"/>
  <c r="J1055" i="1"/>
  <c r="J1056" i="1"/>
  <c r="J1057" i="1"/>
  <c r="J1058" i="1"/>
  <c r="J1059" i="1"/>
  <c r="J1060" i="1"/>
  <c r="J889" i="1"/>
  <c r="J890" i="1"/>
  <c r="J891" i="1"/>
  <c r="J4543" i="1"/>
  <c r="J4544" i="1"/>
  <c r="J4545" i="1"/>
  <c r="J4546" i="1"/>
  <c r="J4547" i="1"/>
  <c r="J5152" i="1"/>
  <c r="J4025" i="1"/>
  <c r="J4026" i="1"/>
  <c r="J4027" i="1"/>
  <c r="J4028" i="1"/>
  <c r="J4029" i="1"/>
  <c r="J4030" i="1"/>
  <c r="J4031" i="1"/>
  <c r="J4032" i="1"/>
  <c r="J4033" i="1"/>
  <c r="J4034" i="1"/>
  <c r="J4035" i="1"/>
  <c r="J4036" i="1"/>
  <c r="J4037" i="1"/>
  <c r="J4038" i="1"/>
  <c r="J4039" i="1"/>
  <c r="J4040" i="1"/>
  <c r="J4041" i="1"/>
  <c r="J4042" i="1"/>
  <c r="J1008" i="1"/>
  <c r="J1009" i="1"/>
  <c r="J1010" i="1"/>
  <c r="J1011" i="1"/>
  <c r="J1012" i="1"/>
  <c r="J1013" i="1"/>
  <c r="J1014" i="1"/>
  <c r="J3828" i="1"/>
  <c r="J3829" i="1"/>
  <c r="J3830" i="1"/>
  <c r="J3831" i="1"/>
  <c r="J3832" i="1"/>
  <c r="J3833" i="1"/>
  <c r="J4514" i="1"/>
  <c r="J4515" i="1"/>
  <c r="J5164" i="1"/>
  <c r="J5165" i="1"/>
  <c r="J5166" i="1"/>
  <c r="J2588" i="1"/>
  <c r="J5100" i="1"/>
  <c r="J5101" i="1"/>
  <c r="J5102" i="1"/>
  <c r="J4417" i="1"/>
  <c r="J4418" i="1"/>
  <c r="J4419" i="1"/>
  <c r="J4420" i="1"/>
  <c r="J4421" i="1"/>
  <c r="J4422" i="1"/>
  <c r="J4812" i="1"/>
  <c r="J4813" i="1"/>
  <c r="J4814" i="1"/>
  <c r="J4815" i="1"/>
  <c r="J4816" i="1"/>
  <c r="J4817" i="1"/>
  <c r="J4818" i="1"/>
  <c r="J4819" i="1"/>
  <c r="J4820" i="1"/>
  <c r="J4821" i="1"/>
  <c r="J1500" i="1"/>
  <c r="J1501" i="1"/>
  <c r="J2125" i="1"/>
  <c r="J2126" i="1"/>
  <c r="J2127" i="1"/>
  <c r="J2289" i="1"/>
  <c r="J2290" i="1"/>
  <c r="J3230" i="1"/>
  <c r="J3231" i="1"/>
  <c r="J3232" i="1"/>
  <c r="J3233" i="1"/>
  <c r="J3234" i="1"/>
  <c r="J3235" i="1"/>
  <c r="J1945" i="1"/>
  <c r="J1946" i="1"/>
  <c r="J1661" i="1"/>
  <c r="J1662" i="1"/>
  <c r="J1533" i="1"/>
  <c r="J2716" i="1"/>
  <c r="J2717" i="1"/>
  <c r="J2718" i="1"/>
  <c r="J1583" i="1"/>
  <c r="J1584" i="1"/>
  <c r="J1585" i="1"/>
  <c r="J1586" i="1"/>
  <c r="J1587" i="1"/>
  <c r="J1588" i="1"/>
  <c r="J3096" i="1"/>
  <c r="J3097" i="1"/>
  <c r="J760" i="1"/>
  <c r="J761" i="1"/>
  <c r="J762" i="1"/>
  <c r="J763" i="1"/>
  <c r="J764" i="1"/>
  <c r="J765" i="1"/>
  <c r="J766" i="1"/>
  <c r="J2740" i="1"/>
  <c r="J2741" i="1"/>
  <c r="J2742" i="1"/>
  <c r="J2743" i="1"/>
  <c r="J2744" i="1"/>
  <c r="J1865" i="1"/>
  <c r="J1866" i="1"/>
  <c r="J1867" i="1"/>
  <c r="J1868" i="1"/>
  <c r="J4964" i="1"/>
  <c r="J4965" i="1"/>
  <c r="J4966" i="1"/>
  <c r="J1263" i="1"/>
  <c r="J1264" i="1"/>
  <c r="J1265" i="1"/>
  <c r="J1266" i="1"/>
  <c r="J1267" i="1"/>
  <c r="J1268" i="1"/>
  <c r="J2030" i="1"/>
  <c r="J2031" i="1"/>
  <c r="J2032" i="1"/>
  <c r="J2033" i="1"/>
  <c r="J2034" i="1"/>
  <c r="J5246" i="1"/>
  <c r="J5208" i="1"/>
  <c r="J5209" i="1"/>
  <c r="J5210" i="1"/>
  <c r="J5211" i="1"/>
  <c r="J5212" i="1"/>
  <c r="J5213" i="1"/>
  <c r="J5422" i="1"/>
  <c r="J5423" i="1"/>
  <c r="J5424" i="1"/>
  <c r="J5425" i="1"/>
  <c r="J5426" i="1"/>
  <c r="J5390" i="1"/>
  <c r="J5391" i="1"/>
  <c r="J2364" i="1"/>
  <c r="J2365" i="1"/>
  <c r="J2366" i="1"/>
  <c r="J2367" i="1"/>
  <c r="J2368" i="1"/>
  <c r="J2369" i="1"/>
  <c r="J2370" i="1"/>
  <c r="J2371" i="1"/>
  <c r="J201" i="1"/>
  <c r="J202" i="1"/>
  <c r="J203" i="1"/>
  <c r="J204" i="1"/>
  <c r="J205" i="1"/>
  <c r="J206" i="1"/>
  <c r="J207" i="1"/>
  <c r="J2058" i="1"/>
  <c r="J4172" i="1"/>
  <c r="J3872" i="1"/>
  <c r="J3873" i="1"/>
  <c r="J3874" i="1"/>
  <c r="J3875" i="1"/>
  <c r="J3876" i="1"/>
  <c r="J3877" i="1"/>
  <c r="J4692" i="1"/>
  <c r="J4693" i="1"/>
  <c r="J4694" i="1"/>
  <c r="J4695" i="1"/>
  <c r="J4696" i="1"/>
  <c r="J4697" i="1"/>
  <c r="J4698" i="1"/>
  <c r="J4699" i="1"/>
  <c r="J4700" i="1"/>
  <c r="J4701" i="1"/>
  <c r="J4702" i="1"/>
  <c r="J4703" i="1"/>
  <c r="J4073" i="1"/>
  <c r="J4074" i="1"/>
  <c r="J4075" i="1"/>
  <c r="J3026" i="1"/>
  <c r="J3027" i="1"/>
  <c r="J3028" i="1"/>
  <c r="J3029" i="1"/>
  <c r="J3030" i="1"/>
  <c r="J3031" i="1"/>
  <c r="J3032" i="1"/>
  <c r="J2737" i="1"/>
  <c r="J2738" i="1"/>
  <c r="J2739" i="1"/>
  <c r="J2928" i="1"/>
  <c r="J938" i="1"/>
  <c r="J939" i="1"/>
  <c r="J940" i="1"/>
  <c r="J941" i="1"/>
  <c r="J942" i="1"/>
  <c r="J943" i="1"/>
  <c r="J944" i="1"/>
  <c r="J945" i="1"/>
  <c r="J5018" i="1"/>
  <c r="J5258" i="1"/>
  <c r="J4896" i="1"/>
  <c r="J4897" i="1"/>
  <c r="J4898" i="1"/>
  <c r="J4899" i="1"/>
  <c r="J4900" i="1"/>
  <c r="J5227" i="1"/>
  <c r="J5228" i="1"/>
  <c r="J5229" i="1"/>
  <c r="J5230" i="1"/>
  <c r="J5231" i="1"/>
  <c r="J4791" i="1"/>
  <c r="J4792" i="1"/>
  <c r="J3887" i="1"/>
  <c r="J3888" i="1"/>
  <c r="J3889" i="1"/>
  <c r="J3890" i="1"/>
  <c r="J3891" i="1"/>
  <c r="J3892" i="1"/>
  <c r="J3893" i="1"/>
  <c r="J3894" i="1"/>
  <c r="J2228" i="1"/>
  <c r="J2229" i="1"/>
  <c r="J2230" i="1"/>
  <c r="J2231" i="1"/>
  <c r="J2072" i="1"/>
  <c r="J2073" i="1"/>
  <c r="J1299" i="1"/>
  <c r="J1300" i="1"/>
  <c r="J1301" i="1"/>
  <c r="J1302" i="1"/>
  <c r="J3061" i="1"/>
  <c r="J3062" i="1"/>
  <c r="J3063" i="1"/>
  <c r="J3064" i="1"/>
  <c r="J3065" i="1"/>
  <c r="J3066" i="1"/>
  <c r="J3067" i="1"/>
  <c r="J3068" i="1"/>
  <c r="J3069" i="1"/>
  <c r="J3070" i="1"/>
  <c r="J3321" i="1"/>
  <c r="J5035" i="1"/>
  <c r="J5036" i="1"/>
  <c r="J2142" i="1"/>
  <c r="J2143" i="1"/>
  <c r="J2144" i="1"/>
  <c r="J2145" i="1"/>
  <c r="J2146" i="1"/>
  <c r="J2147" i="1"/>
  <c r="J2148" i="1"/>
  <c r="J2149" i="1"/>
  <c r="J2472" i="1"/>
  <c r="J2473" i="1"/>
  <c r="J2474" i="1"/>
  <c r="J2475" i="1"/>
  <c r="J4633" i="1"/>
  <c r="J4634" i="1"/>
  <c r="J4635" i="1"/>
  <c r="J4636" i="1"/>
  <c r="J4637" i="1"/>
  <c r="J5052" i="1"/>
  <c r="J5053" i="1"/>
  <c r="J5054" i="1"/>
  <c r="J5055" i="1"/>
  <c r="J5056" i="1"/>
  <c r="J5057" i="1"/>
  <c r="J5058" i="1"/>
  <c r="J5059" i="1"/>
  <c r="J5327" i="1"/>
  <c r="J5328" i="1"/>
  <c r="J5329" i="1"/>
  <c r="J4095" i="1"/>
  <c r="J4937" i="1"/>
  <c r="J5186" i="1"/>
  <c r="J5187" i="1"/>
  <c r="J5188" i="1"/>
  <c r="J4616" i="1"/>
  <c r="J4617" i="1"/>
  <c r="J4618" i="1"/>
  <c r="J4619" i="1"/>
  <c r="J4620" i="1"/>
  <c r="J4848" i="1"/>
  <c r="J4849" i="1"/>
  <c r="J4224" i="1"/>
  <c r="J4225" i="1"/>
  <c r="J4226" i="1"/>
  <c r="J4227" i="1"/>
  <c r="J4228" i="1"/>
  <c r="J4229" i="1"/>
  <c r="J4230" i="1"/>
  <c r="J4231" i="1"/>
  <c r="J4332" i="1"/>
  <c r="J4333" i="1"/>
  <c r="J4334" i="1"/>
  <c r="J4335" i="1"/>
  <c r="J4336" i="1"/>
  <c r="J4657" i="1"/>
  <c r="J4658" i="1"/>
  <c r="J4659" i="1"/>
  <c r="J4660" i="1"/>
  <c r="J4661" i="1"/>
  <c r="J4662" i="1"/>
  <c r="J4663" i="1"/>
  <c r="J4664" i="1"/>
  <c r="J4313" i="1"/>
  <c r="J864" i="1"/>
  <c r="J865" i="1"/>
  <c r="J367" i="1"/>
  <c r="J172" i="1"/>
  <c r="J173" i="1"/>
  <c r="J4754" i="1"/>
  <c r="J4755" i="1"/>
  <c r="J4756" i="1"/>
  <c r="J4757" i="1"/>
  <c r="J4758" i="1"/>
  <c r="J5017" i="1"/>
  <c r="J4921" i="1"/>
  <c r="J4922" i="1"/>
  <c r="J4923" i="1"/>
  <c r="J4924" i="1"/>
  <c r="J4925" i="1"/>
  <c r="J4926" i="1"/>
  <c r="J4927" i="1"/>
  <c r="J4928" i="1"/>
  <c r="J4929" i="1"/>
  <c r="J4930" i="1"/>
  <c r="J4931" i="1"/>
  <c r="J4932" i="1"/>
  <c r="J4933" i="1"/>
  <c r="J4934" i="1"/>
  <c r="J4935" i="1"/>
  <c r="J4936" i="1"/>
  <c r="J4392" i="1"/>
  <c r="J4393" i="1"/>
  <c r="J4394" i="1"/>
  <c r="J4395" i="1"/>
  <c r="J4396" i="1"/>
  <c r="J4397" i="1"/>
  <c r="J4398" i="1"/>
  <c r="J4972" i="1"/>
  <c r="J4943" i="1"/>
  <c r="J4944" i="1"/>
  <c r="J4945" i="1"/>
  <c r="J4946" i="1"/>
  <c r="J4947" i="1"/>
  <c r="J4948" i="1"/>
  <c r="J4949" i="1"/>
  <c r="J1526" i="1"/>
  <c r="J1527" i="1"/>
  <c r="J1528" i="1"/>
  <c r="J1529" i="1"/>
  <c r="J1530" i="1"/>
  <c r="J1531" i="1"/>
  <c r="J1532" i="1"/>
  <c r="J2181" i="1"/>
  <c r="J2182" i="1"/>
  <c r="J3912" i="1"/>
  <c r="J1186" i="1"/>
  <c r="J3182" i="1"/>
  <c r="J3183" i="1"/>
  <c r="J3184" i="1"/>
  <c r="J3185" i="1"/>
  <c r="J3186" i="1"/>
  <c r="J3187" i="1"/>
  <c r="J3188" i="1"/>
  <c r="J3189" i="1"/>
  <c r="J3190" i="1"/>
  <c r="J3191" i="1"/>
  <c r="J1963" i="1"/>
  <c r="J1964" i="1"/>
  <c r="J1002" i="1"/>
  <c r="J1003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657" i="1"/>
  <c r="J658" i="1"/>
  <c r="J659" i="1"/>
  <c r="J660" i="1"/>
  <c r="J615" i="1"/>
  <c r="J616" i="1"/>
  <c r="J617" i="1"/>
  <c r="J618" i="1"/>
  <c r="J619" i="1"/>
  <c r="J5553" i="1"/>
  <c r="J5549" i="1"/>
  <c r="J5586" i="1"/>
  <c r="J5554" i="1"/>
  <c r="J5555" i="1"/>
  <c r="J5556" i="1"/>
  <c r="J5534" i="1"/>
  <c r="J5559" i="1"/>
  <c r="J5568" i="1"/>
  <c r="J5569" i="1"/>
  <c r="J5587" i="1"/>
  <c r="J5515" i="1"/>
  <c r="J5496" i="1"/>
  <c r="J5588" i="1"/>
  <c r="J5589" i="1"/>
  <c r="J5590" i="1"/>
  <c r="J5570" i="1"/>
  <c r="J5591" i="1"/>
  <c r="J5571" i="1"/>
  <c r="J5492" i="1"/>
  <c r="J5531" i="1"/>
  <c r="J5532" i="1"/>
  <c r="J5450" i="1"/>
  <c r="J5472" i="1"/>
  <c r="J5533" i="1"/>
  <c r="J5543" i="1"/>
  <c r="J5550" i="1"/>
  <c r="J5551" i="1"/>
  <c r="J5552" i="1"/>
  <c r="J5544" i="1"/>
  <c r="J5516" i="1"/>
  <c r="J5525" i="1"/>
  <c r="J5562" i="1"/>
  <c r="J5517" i="1"/>
  <c r="J5527" i="1"/>
  <c r="J5573" i="1"/>
  <c r="J5574" i="1"/>
  <c r="J5575" i="1"/>
  <c r="J5576" i="1"/>
  <c r="J5600" i="1"/>
  <c r="J5490" i="1"/>
  <c r="J5601" i="1"/>
  <c r="J5602" i="1"/>
  <c r="J5603" i="1"/>
  <c r="J5557" i="1"/>
  <c r="J5480" i="1"/>
  <c r="J5582" i="1"/>
  <c r="J5476" i="1"/>
  <c r="J5558" i="1"/>
  <c r="J5511" i="1"/>
  <c r="J5538" i="1"/>
  <c r="J5482" i="1"/>
  <c r="J5577" i="1"/>
  <c r="J5483" i="1"/>
  <c r="J5458" i="1"/>
  <c r="J5459" i="1"/>
  <c r="J5460" i="1"/>
  <c r="J5461" i="1"/>
  <c r="J5592" i="1"/>
  <c r="J5462" i="1"/>
  <c r="J5578" i="1"/>
  <c r="J5579" i="1"/>
  <c r="J5463" i="1"/>
  <c r="J5456" i="1"/>
  <c r="J5580" i="1"/>
  <c r="J5581" i="1"/>
  <c r="J5518" i="1"/>
  <c r="J5560" i="1"/>
  <c r="J5585" i="1"/>
  <c r="J5593" i="1"/>
  <c r="J5594" i="1"/>
  <c r="J5595" i="1"/>
  <c r="J5481" i="1"/>
  <c r="J5596" i="1"/>
  <c r="J5597" i="1"/>
  <c r="J5598" i="1"/>
  <c r="J5457" i="1"/>
  <c r="J5599" i="1"/>
  <c r="J5452" i="1"/>
  <c r="J5484" i="1"/>
  <c r="J5497" i="1"/>
  <c r="J5485" i="1"/>
  <c r="J5486" i="1"/>
  <c r="J5487" i="1"/>
  <c r="J5488" i="1"/>
  <c r="J5466" i="1"/>
  <c r="J5583" i="1"/>
  <c r="J5468" i="1"/>
  <c r="J5469" i="1"/>
  <c r="J5604" i="1"/>
  <c r="J5473" i="1"/>
  <c r="J5584" i="1"/>
  <c r="J5542" i="1"/>
  <c r="J5453" i="1"/>
  <c r="J5454" i="1"/>
  <c r="J5498" i="1"/>
  <c r="J5491" i="1"/>
  <c r="J5572" i="1"/>
  <c r="J5471" i="1"/>
  <c r="J5510" i="1"/>
  <c r="J5499" i="1"/>
  <c r="J5500" i="1"/>
  <c r="J5501" i="1"/>
  <c r="J5502" i="1"/>
  <c r="J5563" i="1"/>
  <c r="J5464" i="1"/>
  <c r="J5465" i="1"/>
  <c r="J5493" i="1"/>
  <c r="J5503" i="1"/>
  <c r="J5504" i="1"/>
  <c r="J5455" i="1"/>
  <c r="J5539" i="1"/>
  <c r="J5512" i="1"/>
  <c r="J5535" i="1"/>
  <c r="J5513" i="1"/>
  <c r="J5514" i="1"/>
  <c r="J5505" i="1"/>
  <c r="J5605" i="1"/>
  <c r="J5506" i="1"/>
  <c r="J5507" i="1"/>
  <c r="J5448" i="1"/>
  <c r="J5467" i="1"/>
  <c r="J5606" i="1"/>
  <c r="J5567" i="1"/>
  <c r="J5470" i="1"/>
  <c r="J5494" i="1"/>
  <c r="J5540" i="1"/>
  <c r="J5509" i="1"/>
  <c r="J5520" i="1"/>
  <c r="J5449" i="1"/>
  <c r="J5564" i="1"/>
  <c r="J5565" i="1"/>
  <c r="J5526" i="1"/>
  <c r="J5545" i="1"/>
  <c r="J5566" i="1"/>
  <c r="J5546" i="1"/>
  <c r="J5451" i="1"/>
  <c r="J5474" i="1"/>
  <c r="J5475" i="1"/>
  <c r="J5547" i="1"/>
  <c r="J5548" i="1"/>
  <c r="J5519" i="1"/>
  <c r="J5508" i="1"/>
  <c r="J5536" i="1"/>
  <c r="J5537" i="1"/>
  <c r="J5541" i="1"/>
  <c r="J5521" i="1"/>
  <c r="J5477" i="1"/>
  <c r="J5478" i="1"/>
  <c r="J5479" i="1"/>
  <c r="J5495" i="1"/>
  <c r="J5528" i="1"/>
  <c r="J5561" i="1"/>
  <c r="J5529" i="1"/>
  <c r="J5530" i="1"/>
  <c r="J5522" i="1"/>
  <c r="J5523" i="1"/>
  <c r="J5524" i="1"/>
  <c r="J5489" i="1"/>
  <c r="J5607" i="1"/>
  <c r="J5608" i="1"/>
  <c r="J5609" i="1"/>
  <c r="J5610" i="1"/>
  <c r="J5611" i="1"/>
  <c r="J5612" i="1"/>
  <c r="J5613" i="1"/>
  <c r="J5614" i="1"/>
  <c r="J5615" i="1"/>
  <c r="J5616" i="1"/>
  <c r="J5617" i="1"/>
  <c r="J5618" i="1"/>
  <c r="J5619" i="1"/>
  <c r="J5620" i="1"/>
  <c r="J5621" i="1"/>
  <c r="J5622" i="1"/>
  <c r="J5623" i="1"/>
  <c r="J5624" i="1"/>
  <c r="J5625" i="1"/>
  <c r="J5626" i="1"/>
  <c r="J5627" i="1"/>
  <c r="J5628" i="1"/>
  <c r="J5629" i="1"/>
  <c r="J5630" i="1"/>
  <c r="J5631" i="1"/>
  <c r="J5632" i="1"/>
  <c r="J5633" i="1"/>
  <c r="J5634" i="1"/>
  <c r="J5635" i="1"/>
  <c r="J5636" i="1"/>
  <c r="J5637" i="1"/>
  <c r="J5638" i="1"/>
  <c r="J5639" i="1"/>
  <c r="J5640" i="1"/>
  <c r="J5641" i="1"/>
  <c r="J5642" i="1"/>
  <c r="J5643" i="1"/>
  <c r="J5644" i="1"/>
  <c r="J5645" i="1"/>
  <c r="J5646" i="1"/>
  <c r="J5647" i="1"/>
  <c r="J5648" i="1"/>
  <c r="J5649" i="1"/>
  <c r="J5650" i="1"/>
  <c r="J5651" i="1"/>
  <c r="J5652" i="1"/>
  <c r="J5653" i="1"/>
  <c r="J5654" i="1"/>
  <c r="J5655" i="1"/>
  <c r="J5656" i="1"/>
  <c r="J5657" i="1"/>
  <c r="J5658" i="1"/>
  <c r="J5659" i="1"/>
  <c r="J5660" i="1"/>
  <c r="J5661" i="1"/>
  <c r="J5662" i="1"/>
  <c r="J5663" i="1"/>
  <c r="J5664" i="1"/>
  <c r="J5665" i="1"/>
  <c r="J5666" i="1"/>
  <c r="J5667" i="1"/>
  <c r="J5668" i="1"/>
  <c r="J5669" i="1"/>
  <c r="J5670" i="1"/>
  <c r="J5671" i="1"/>
  <c r="J5672" i="1"/>
  <c r="J5673" i="1"/>
  <c r="J5674" i="1"/>
  <c r="J5675" i="1"/>
  <c r="J5676" i="1"/>
  <c r="J5677" i="1"/>
  <c r="J5678" i="1"/>
  <c r="J5679" i="1"/>
  <c r="J5680" i="1"/>
  <c r="J5681" i="1"/>
  <c r="J5682" i="1"/>
  <c r="J5683" i="1"/>
  <c r="J5684" i="1"/>
  <c r="J5685" i="1"/>
  <c r="J5686" i="1"/>
  <c r="J5687" i="1"/>
  <c r="J5688" i="1"/>
  <c r="J5689" i="1"/>
  <c r="J5690" i="1"/>
  <c r="J5691" i="1"/>
  <c r="J5692" i="1"/>
  <c r="J5693" i="1"/>
  <c r="J5694" i="1"/>
  <c r="J5695" i="1"/>
  <c r="J5696" i="1"/>
  <c r="J5697" i="1"/>
  <c r="J5698" i="1"/>
  <c r="J5699" i="1"/>
  <c r="J5700" i="1"/>
  <c r="J5701" i="1"/>
  <c r="J5702" i="1"/>
  <c r="J5703" i="1"/>
  <c r="J5704" i="1"/>
  <c r="J5705" i="1"/>
  <c r="J5706" i="1"/>
  <c r="J5707" i="1"/>
  <c r="J5708" i="1"/>
  <c r="J5709" i="1"/>
  <c r="J5710" i="1"/>
  <c r="J5711" i="1"/>
  <c r="J5712" i="1"/>
  <c r="J5713" i="1"/>
  <c r="J5714" i="1"/>
  <c r="J5715" i="1"/>
  <c r="J5716" i="1"/>
  <c r="J5717" i="1"/>
  <c r="J5718" i="1"/>
  <c r="J5719" i="1"/>
  <c r="J5720" i="1"/>
  <c r="J5721" i="1"/>
  <c r="J5722" i="1"/>
  <c r="J5723" i="1"/>
  <c r="J5724" i="1"/>
  <c r="J5725" i="1"/>
  <c r="J5726" i="1"/>
  <c r="J5727" i="1"/>
  <c r="J5728" i="1"/>
  <c r="J5729" i="1"/>
  <c r="J5730" i="1"/>
  <c r="J5731" i="1"/>
  <c r="J5732" i="1"/>
  <c r="J5733" i="1"/>
  <c r="J5734" i="1"/>
  <c r="J5735" i="1"/>
  <c r="J5736" i="1"/>
  <c r="J5737" i="1"/>
  <c r="J5738" i="1"/>
  <c r="J5739" i="1"/>
  <c r="J5740" i="1"/>
  <c r="J5741" i="1"/>
  <c r="J5742" i="1"/>
  <c r="J5743" i="1"/>
  <c r="J5744" i="1"/>
  <c r="J5745" i="1"/>
  <c r="J5746" i="1"/>
  <c r="J5747" i="1"/>
  <c r="J5748" i="1"/>
  <c r="J5749" i="1"/>
  <c r="J5750" i="1"/>
  <c r="J5751" i="1"/>
  <c r="J5752" i="1"/>
  <c r="J5753" i="1"/>
  <c r="J5754" i="1"/>
  <c r="J5755" i="1"/>
  <c r="J5756" i="1"/>
  <c r="J5757" i="1"/>
  <c r="J5758" i="1"/>
  <c r="J5759" i="1"/>
  <c r="J5760" i="1"/>
  <c r="J5761" i="1"/>
  <c r="J5762" i="1"/>
  <c r="J5763" i="1"/>
  <c r="J5764" i="1"/>
  <c r="J5765" i="1"/>
  <c r="J5766" i="1"/>
  <c r="J5767" i="1"/>
  <c r="J5768" i="1"/>
  <c r="J5769" i="1"/>
  <c r="J5770" i="1"/>
  <c r="J5771" i="1"/>
  <c r="J5772" i="1"/>
  <c r="J5773" i="1"/>
  <c r="J5774" i="1"/>
  <c r="J5775" i="1"/>
  <c r="J5776" i="1"/>
  <c r="J5777" i="1"/>
  <c r="J5778" i="1"/>
  <c r="J5779" i="1"/>
  <c r="J5780" i="1"/>
  <c r="J5781" i="1"/>
  <c r="J5782" i="1"/>
  <c r="J5783" i="1"/>
  <c r="J5784" i="1"/>
  <c r="J5785" i="1"/>
  <c r="J5786" i="1"/>
  <c r="J5787" i="1"/>
  <c r="J5788" i="1"/>
  <c r="J5789" i="1"/>
  <c r="J5790" i="1"/>
  <c r="J5791" i="1"/>
  <c r="J5792" i="1"/>
  <c r="J5793" i="1"/>
  <c r="J5794" i="1"/>
  <c r="J5795" i="1"/>
  <c r="J5796" i="1"/>
  <c r="J5797" i="1"/>
  <c r="J5798" i="1"/>
  <c r="J5799" i="1"/>
  <c r="J5800" i="1"/>
  <c r="J5801" i="1"/>
  <c r="J5802" i="1"/>
  <c r="J5803" i="1"/>
  <c r="J5804" i="1"/>
  <c r="J5805" i="1"/>
  <c r="J5806" i="1"/>
  <c r="J5807" i="1"/>
  <c r="J5808" i="1"/>
  <c r="J5809" i="1"/>
  <c r="J5810" i="1"/>
  <c r="J5811" i="1"/>
  <c r="J5812" i="1"/>
  <c r="J5813" i="1"/>
  <c r="J5814" i="1"/>
  <c r="J5815" i="1"/>
  <c r="J5816" i="1"/>
  <c r="J5817" i="1"/>
  <c r="J5818" i="1"/>
  <c r="J5819" i="1"/>
  <c r="J5820" i="1"/>
  <c r="J5821" i="1"/>
  <c r="J5822" i="1"/>
  <c r="J5823" i="1"/>
  <c r="J5824" i="1"/>
  <c r="J5825" i="1"/>
  <c r="J5826" i="1"/>
  <c r="J5827" i="1"/>
  <c r="J5828" i="1"/>
  <c r="J5829" i="1"/>
  <c r="J5830" i="1"/>
  <c r="J5831" i="1"/>
  <c r="J5832" i="1"/>
  <c r="J5833" i="1"/>
  <c r="J5834" i="1"/>
  <c r="J5835" i="1"/>
  <c r="J5836" i="1"/>
  <c r="J5837" i="1"/>
  <c r="J5838" i="1"/>
  <c r="J5839" i="1"/>
  <c r="J5840" i="1"/>
  <c r="J5841" i="1"/>
  <c r="J5842" i="1"/>
  <c r="J5843" i="1"/>
  <c r="J5844" i="1"/>
  <c r="J5845" i="1"/>
  <c r="J5846" i="1"/>
  <c r="J5847" i="1"/>
  <c r="J5848" i="1"/>
  <c r="J5849" i="1"/>
  <c r="J5850" i="1"/>
  <c r="J5851" i="1"/>
  <c r="J5852" i="1"/>
  <c r="J5853" i="1"/>
  <c r="J5854" i="1"/>
  <c r="J5855" i="1"/>
  <c r="J5856" i="1"/>
  <c r="J5857" i="1"/>
  <c r="J5858" i="1"/>
  <c r="J5859" i="1"/>
  <c r="J5860" i="1"/>
  <c r="J5861" i="1"/>
  <c r="J5862" i="1"/>
  <c r="J5863" i="1"/>
  <c r="J5864" i="1"/>
  <c r="J5865" i="1"/>
  <c r="J5866" i="1"/>
  <c r="J5867" i="1"/>
  <c r="J5868" i="1"/>
  <c r="J5869" i="1"/>
  <c r="J5870" i="1"/>
  <c r="J5871" i="1"/>
  <c r="J5872" i="1"/>
  <c r="J5873" i="1"/>
  <c r="J5874" i="1"/>
  <c r="J5875" i="1"/>
  <c r="J5876" i="1"/>
  <c r="J5877" i="1"/>
  <c r="J5878" i="1"/>
  <c r="J5879" i="1"/>
  <c r="J5880" i="1"/>
  <c r="J5881" i="1"/>
  <c r="J5882" i="1"/>
  <c r="J5883" i="1"/>
  <c r="J5884" i="1"/>
  <c r="J5885" i="1"/>
  <c r="J5886" i="1"/>
  <c r="J5887" i="1"/>
  <c r="J5888" i="1"/>
  <c r="J5889" i="1"/>
  <c r="J5890" i="1"/>
  <c r="J5891" i="1"/>
  <c r="J5892" i="1"/>
  <c r="J5893" i="1"/>
  <c r="J5894" i="1"/>
  <c r="J5895" i="1"/>
  <c r="J5896" i="1"/>
  <c r="J5897" i="1"/>
  <c r="J5898" i="1"/>
  <c r="J5899" i="1"/>
  <c r="J5900" i="1"/>
  <c r="J5901" i="1"/>
  <c r="J5902" i="1"/>
  <c r="J5903" i="1"/>
  <c r="J5904" i="1"/>
  <c r="J5905" i="1"/>
  <c r="J5906" i="1"/>
  <c r="J5907" i="1"/>
  <c r="J5908" i="1"/>
  <c r="J5909" i="1"/>
  <c r="J5910" i="1"/>
  <c r="J5911" i="1"/>
  <c r="J5912" i="1"/>
  <c r="J5913" i="1"/>
  <c r="J5914" i="1"/>
  <c r="J5915" i="1"/>
  <c r="J5916" i="1"/>
  <c r="J5917" i="1"/>
  <c r="J5918" i="1"/>
  <c r="J5919" i="1"/>
  <c r="J5920" i="1"/>
  <c r="J5921" i="1"/>
  <c r="J5922" i="1"/>
  <c r="J5923" i="1"/>
  <c r="J5924" i="1"/>
  <c r="J5925" i="1"/>
  <c r="J5926" i="1"/>
  <c r="J5927" i="1"/>
  <c r="J5928" i="1"/>
  <c r="J5929" i="1"/>
  <c r="J5930" i="1"/>
  <c r="J5931" i="1"/>
  <c r="J5932" i="1"/>
  <c r="J5933" i="1"/>
  <c r="J5934" i="1"/>
  <c r="J5935" i="1"/>
  <c r="J5936" i="1"/>
  <c r="J5937" i="1"/>
  <c r="J5938" i="1"/>
  <c r="J5939" i="1"/>
  <c r="J5940" i="1"/>
  <c r="J5941" i="1"/>
  <c r="J5942" i="1"/>
  <c r="J5943" i="1"/>
  <c r="J5944" i="1"/>
  <c r="J5945" i="1"/>
  <c r="J5946" i="1"/>
  <c r="J5947" i="1"/>
  <c r="J5948" i="1"/>
  <c r="J5949" i="1"/>
  <c r="J5950" i="1"/>
  <c r="J5951" i="1"/>
  <c r="J5952" i="1"/>
  <c r="J5953" i="1"/>
  <c r="J5954" i="1"/>
  <c r="J5955" i="1"/>
  <c r="J5956" i="1"/>
  <c r="J5957" i="1"/>
  <c r="J5958" i="1"/>
  <c r="J5959" i="1"/>
  <c r="J5960" i="1"/>
  <c r="J5961" i="1"/>
  <c r="J5962" i="1"/>
  <c r="J5963" i="1"/>
  <c r="J5964" i="1"/>
  <c r="J5965" i="1"/>
  <c r="J5966" i="1"/>
  <c r="J5967" i="1"/>
  <c r="J5968" i="1"/>
  <c r="J5969" i="1"/>
  <c r="J5970" i="1"/>
  <c r="J5971" i="1"/>
  <c r="J5972" i="1"/>
  <c r="J5973" i="1"/>
  <c r="J5974" i="1"/>
  <c r="J5975" i="1"/>
  <c r="J5976" i="1"/>
  <c r="J5977" i="1"/>
  <c r="J5978" i="1"/>
  <c r="J5979" i="1"/>
  <c r="J5980" i="1"/>
  <c r="J5981" i="1"/>
  <c r="J5982" i="1"/>
  <c r="J5983" i="1"/>
  <c r="J5984" i="1"/>
  <c r="J5985" i="1"/>
  <c r="J5986" i="1"/>
  <c r="J5987" i="1"/>
  <c r="J5988" i="1"/>
  <c r="J5989" i="1"/>
  <c r="J5990" i="1"/>
  <c r="J5991" i="1"/>
  <c r="J5992" i="1"/>
  <c r="J5993" i="1"/>
  <c r="J5994" i="1"/>
  <c r="J5995" i="1"/>
  <c r="J5996" i="1"/>
  <c r="J5997" i="1"/>
  <c r="J5998" i="1"/>
  <c r="J5999" i="1"/>
  <c r="J6000" i="1"/>
  <c r="J6001" i="1"/>
  <c r="J6002" i="1"/>
  <c r="J6003" i="1"/>
  <c r="J6004" i="1"/>
  <c r="J6005" i="1"/>
  <c r="J6006" i="1"/>
  <c r="J6007" i="1"/>
  <c r="J6008" i="1"/>
  <c r="J6009" i="1"/>
  <c r="J6010" i="1"/>
  <c r="J6011" i="1"/>
  <c r="J6012" i="1"/>
  <c r="J6013" i="1"/>
  <c r="J6014" i="1"/>
  <c r="J6015" i="1"/>
  <c r="J6016" i="1"/>
  <c r="J6017" i="1"/>
  <c r="J6018" i="1"/>
  <c r="J6019" i="1"/>
  <c r="J6020" i="1"/>
  <c r="J6021" i="1"/>
  <c r="J6022" i="1"/>
  <c r="J6023" i="1"/>
  <c r="J6024" i="1"/>
  <c r="J6025" i="1"/>
  <c r="J6026" i="1"/>
  <c r="J6027" i="1"/>
  <c r="J6028" i="1"/>
  <c r="J6029" i="1"/>
  <c r="J6030" i="1"/>
  <c r="J6031" i="1"/>
  <c r="J6032" i="1"/>
  <c r="J6033" i="1"/>
  <c r="J6034" i="1"/>
  <c r="J6035" i="1"/>
  <c r="J6036" i="1"/>
  <c r="J6037" i="1"/>
  <c r="J6038" i="1"/>
  <c r="J6039" i="1"/>
  <c r="J6040" i="1"/>
  <c r="J6041" i="1"/>
  <c r="J6042" i="1"/>
  <c r="J6043" i="1"/>
  <c r="J6044" i="1"/>
  <c r="J6045" i="1"/>
  <c r="J6046" i="1"/>
  <c r="J6047" i="1"/>
  <c r="J6048" i="1"/>
  <c r="J6049" i="1"/>
  <c r="J6050" i="1"/>
  <c r="J6051" i="1"/>
  <c r="J6052" i="1"/>
  <c r="J6053" i="1"/>
  <c r="J6054" i="1"/>
  <c r="J6055" i="1"/>
  <c r="J6056" i="1"/>
  <c r="J6057" i="1"/>
  <c r="J6058" i="1"/>
  <c r="J6059" i="1"/>
  <c r="J6060" i="1"/>
  <c r="J6061" i="1"/>
  <c r="J6062" i="1"/>
  <c r="J6063" i="1"/>
  <c r="J6064" i="1"/>
  <c r="J6065" i="1"/>
  <c r="J6066" i="1"/>
  <c r="J6067" i="1"/>
  <c r="J6068" i="1"/>
  <c r="J6069" i="1"/>
  <c r="J6070" i="1"/>
  <c r="J6071" i="1"/>
  <c r="J6072" i="1"/>
  <c r="J6073" i="1"/>
  <c r="J6074" i="1"/>
  <c r="J6075" i="1"/>
  <c r="J6076" i="1"/>
  <c r="J6077" i="1"/>
  <c r="J6078" i="1"/>
  <c r="J6079" i="1"/>
  <c r="J6080" i="1"/>
  <c r="J6081" i="1"/>
  <c r="J6082" i="1"/>
  <c r="J6083" i="1"/>
  <c r="J6084" i="1"/>
  <c r="J6085" i="1"/>
  <c r="J6086" i="1"/>
  <c r="J6087" i="1"/>
  <c r="J6088" i="1"/>
  <c r="J6089" i="1"/>
  <c r="J6090" i="1"/>
  <c r="J6091" i="1"/>
  <c r="J6092" i="1"/>
  <c r="J6093" i="1"/>
  <c r="J6094" i="1"/>
  <c r="J6095" i="1"/>
  <c r="J6096" i="1"/>
  <c r="J6097" i="1"/>
  <c r="J6098" i="1"/>
  <c r="J6099" i="1"/>
  <c r="J6100" i="1"/>
  <c r="J6101" i="1"/>
  <c r="J6102" i="1"/>
  <c r="J6103" i="1"/>
  <c r="J6104" i="1"/>
  <c r="J6105" i="1"/>
  <c r="J6106" i="1"/>
  <c r="J6107" i="1"/>
  <c r="J6108" i="1"/>
  <c r="J6109" i="1"/>
  <c r="J6110" i="1"/>
  <c r="J6111" i="1"/>
  <c r="J6112" i="1"/>
  <c r="J6113" i="1"/>
  <c r="J6114" i="1"/>
  <c r="J6115" i="1"/>
  <c r="J6116" i="1"/>
  <c r="J6117" i="1"/>
  <c r="J6118" i="1"/>
  <c r="J6119" i="1"/>
  <c r="J6120" i="1"/>
  <c r="J6121" i="1"/>
  <c r="J6122" i="1"/>
  <c r="J6123" i="1"/>
  <c r="J6124" i="1"/>
  <c r="J6125" i="1"/>
  <c r="J6126" i="1"/>
  <c r="J6127" i="1"/>
  <c r="J6128" i="1"/>
  <c r="J6129" i="1"/>
  <c r="J6130" i="1"/>
  <c r="J6131" i="1"/>
  <c r="J6132" i="1"/>
  <c r="J6133" i="1"/>
  <c r="J6134" i="1"/>
  <c r="J6135" i="1"/>
  <c r="J6136" i="1"/>
  <c r="J6137" i="1"/>
  <c r="J6138" i="1"/>
  <c r="J6139" i="1"/>
  <c r="J6140" i="1"/>
  <c r="J6141" i="1"/>
  <c r="J6142" i="1"/>
  <c r="J6143" i="1"/>
  <c r="J6144" i="1"/>
  <c r="J6145" i="1"/>
  <c r="J6146" i="1"/>
  <c r="J6147" i="1"/>
  <c r="J6148" i="1"/>
  <c r="J6149" i="1"/>
  <c r="J6150" i="1"/>
  <c r="J6151" i="1"/>
  <c r="J6152" i="1"/>
  <c r="J6153" i="1"/>
  <c r="J6154" i="1"/>
  <c r="J6155" i="1"/>
  <c r="J6156" i="1"/>
  <c r="J6157" i="1"/>
  <c r="J6158" i="1"/>
  <c r="J6159" i="1"/>
  <c r="J6160" i="1"/>
  <c r="J6161" i="1"/>
  <c r="J6162" i="1"/>
  <c r="J6163" i="1"/>
  <c r="J6164" i="1"/>
  <c r="J6165" i="1"/>
  <c r="J6166" i="1"/>
  <c r="J6167" i="1"/>
  <c r="J6168" i="1"/>
  <c r="J6169" i="1"/>
  <c r="J6170" i="1"/>
  <c r="J6171" i="1"/>
  <c r="J6172" i="1"/>
  <c r="J6173" i="1"/>
  <c r="J6174" i="1"/>
  <c r="J6175" i="1"/>
  <c r="J6176" i="1"/>
  <c r="J6177" i="1"/>
  <c r="J6178" i="1"/>
  <c r="J6179" i="1"/>
  <c r="J6180" i="1"/>
  <c r="J6181" i="1"/>
  <c r="J6182" i="1"/>
  <c r="J6183" i="1"/>
  <c r="J6184" i="1"/>
  <c r="J6185" i="1"/>
  <c r="J6186" i="1"/>
  <c r="J6187" i="1"/>
  <c r="J6188" i="1"/>
  <c r="J6189" i="1"/>
  <c r="J6190" i="1"/>
  <c r="J6191" i="1"/>
  <c r="J6192" i="1"/>
  <c r="J6193" i="1"/>
  <c r="J6194" i="1"/>
  <c r="J6195" i="1"/>
  <c r="J6196" i="1"/>
  <c r="J6197" i="1"/>
  <c r="J6198" i="1"/>
  <c r="J6199" i="1"/>
  <c r="J6200" i="1"/>
  <c r="J6201" i="1"/>
  <c r="J6202" i="1"/>
  <c r="J6203" i="1"/>
  <c r="J6204" i="1"/>
  <c r="J6205" i="1"/>
  <c r="J6206" i="1"/>
  <c r="J6207" i="1"/>
  <c r="J6208" i="1"/>
  <c r="J6209" i="1"/>
  <c r="J6210" i="1"/>
  <c r="J6211" i="1"/>
  <c r="J6212" i="1"/>
  <c r="J6213" i="1"/>
  <c r="J6214" i="1"/>
  <c r="J6215" i="1"/>
  <c r="J6216" i="1"/>
  <c r="J6217" i="1"/>
  <c r="J6218" i="1"/>
  <c r="J6219" i="1"/>
  <c r="J6220" i="1"/>
  <c r="J6221" i="1"/>
  <c r="J6222" i="1"/>
  <c r="J6223" i="1"/>
  <c r="J6224" i="1"/>
  <c r="J6225" i="1"/>
  <c r="J6226" i="1"/>
  <c r="J6227" i="1"/>
  <c r="J6228" i="1"/>
  <c r="J6229" i="1"/>
  <c r="J6230" i="1"/>
  <c r="J6231" i="1"/>
  <c r="J6232" i="1"/>
  <c r="J6233" i="1"/>
  <c r="J6234" i="1"/>
  <c r="J6235" i="1"/>
  <c r="J6236" i="1"/>
  <c r="J6237" i="1"/>
  <c r="J6238" i="1"/>
  <c r="J6239" i="1"/>
  <c r="J6240" i="1"/>
  <c r="J6241" i="1"/>
  <c r="J6242" i="1"/>
  <c r="J6243" i="1"/>
  <c r="J6244" i="1"/>
  <c r="J6245" i="1"/>
  <c r="J6246" i="1"/>
  <c r="J6247" i="1"/>
  <c r="J6248" i="1"/>
  <c r="J6249" i="1"/>
  <c r="J6250" i="1"/>
  <c r="J6251" i="1"/>
  <c r="J6252" i="1"/>
  <c r="J6253" i="1"/>
  <c r="J6254" i="1"/>
  <c r="J6255" i="1"/>
  <c r="J6256" i="1"/>
  <c r="J6257" i="1"/>
  <c r="J6258" i="1"/>
  <c r="J6259" i="1"/>
  <c r="J6260" i="1"/>
  <c r="J6261" i="1"/>
  <c r="J6262" i="1"/>
  <c r="J6263" i="1"/>
  <c r="J6264" i="1"/>
  <c r="J6265" i="1"/>
  <c r="J6266" i="1"/>
  <c r="J6267" i="1"/>
  <c r="J6268" i="1"/>
  <c r="J6269" i="1"/>
  <c r="J6270" i="1"/>
  <c r="J6271" i="1"/>
  <c r="J6272" i="1"/>
  <c r="J6273" i="1"/>
  <c r="J6274" i="1"/>
  <c r="J6275" i="1"/>
  <c r="J6276" i="1"/>
  <c r="J6277" i="1"/>
  <c r="J6278" i="1"/>
  <c r="J6279" i="1"/>
  <c r="J6280" i="1"/>
  <c r="J6281" i="1"/>
  <c r="J6282" i="1"/>
  <c r="J6283" i="1"/>
  <c r="J6284" i="1"/>
  <c r="J6285" i="1"/>
  <c r="J6286" i="1"/>
  <c r="J6287" i="1"/>
  <c r="J6288" i="1"/>
  <c r="J6289" i="1"/>
  <c r="J6290" i="1"/>
  <c r="J6291" i="1"/>
  <c r="J6292" i="1"/>
  <c r="J6293" i="1"/>
  <c r="J6294" i="1"/>
  <c r="J6295" i="1"/>
  <c r="J6296" i="1"/>
  <c r="J6297" i="1"/>
  <c r="J6298" i="1"/>
  <c r="J6299" i="1"/>
  <c r="J6300" i="1"/>
  <c r="J6301" i="1"/>
  <c r="J6302" i="1"/>
  <c r="J6303" i="1"/>
  <c r="J6304" i="1"/>
  <c r="J6305" i="1"/>
  <c r="J6306" i="1"/>
  <c r="J6307" i="1"/>
  <c r="J6308" i="1"/>
  <c r="J6309" i="1"/>
  <c r="J6310" i="1"/>
  <c r="J6311" i="1"/>
  <c r="J6312" i="1"/>
  <c r="J6313" i="1"/>
  <c r="J6314" i="1"/>
  <c r="J6315" i="1"/>
  <c r="J6316" i="1"/>
  <c r="J6317" i="1"/>
  <c r="J6318" i="1"/>
  <c r="J6319" i="1"/>
  <c r="J6320" i="1"/>
  <c r="J6321" i="1"/>
  <c r="J6322" i="1"/>
  <c r="J6323" i="1"/>
  <c r="J6324" i="1"/>
  <c r="J6325" i="1"/>
  <c r="J6326" i="1"/>
  <c r="J6327" i="1"/>
  <c r="J6328" i="1"/>
  <c r="J6329" i="1"/>
  <c r="J6330" i="1"/>
  <c r="J6331" i="1"/>
  <c r="J6332" i="1"/>
  <c r="J6333" i="1"/>
  <c r="J6334" i="1"/>
  <c r="J6335" i="1"/>
  <c r="J6336" i="1"/>
  <c r="J6337" i="1"/>
  <c r="J6338" i="1"/>
  <c r="J6339" i="1"/>
  <c r="J6340" i="1"/>
  <c r="J6341" i="1"/>
  <c r="J6342" i="1"/>
  <c r="J6343" i="1"/>
  <c r="J6344" i="1"/>
  <c r="J6345" i="1"/>
  <c r="J6346" i="1"/>
  <c r="J6347" i="1"/>
  <c r="J6348" i="1"/>
  <c r="J6349" i="1"/>
  <c r="J6350" i="1"/>
  <c r="J6351" i="1"/>
  <c r="J6352" i="1"/>
  <c r="J6353" i="1"/>
  <c r="J6354" i="1"/>
  <c r="J6355" i="1"/>
  <c r="J6356" i="1"/>
  <c r="J6357" i="1"/>
  <c r="J6358" i="1"/>
  <c r="J6359" i="1"/>
  <c r="J6360" i="1"/>
  <c r="J6361" i="1"/>
  <c r="J6362" i="1"/>
  <c r="J6363" i="1"/>
  <c r="J6364" i="1"/>
  <c r="J6365" i="1"/>
  <c r="J6366" i="1"/>
  <c r="J6367" i="1"/>
  <c r="J6368" i="1"/>
  <c r="J6369" i="1"/>
  <c r="J6370" i="1"/>
  <c r="J6371" i="1"/>
  <c r="J6372" i="1"/>
  <c r="J6373" i="1"/>
  <c r="J6374" i="1"/>
  <c r="J6375" i="1"/>
  <c r="J6376" i="1"/>
  <c r="J6377" i="1"/>
  <c r="J6378" i="1"/>
  <c r="J6379" i="1"/>
  <c r="J6380" i="1"/>
  <c r="J6381" i="1"/>
  <c r="J6382" i="1"/>
  <c r="J6383" i="1"/>
  <c r="J6384" i="1"/>
  <c r="J6385" i="1"/>
  <c r="J6386" i="1"/>
  <c r="J6387" i="1"/>
  <c r="J6388" i="1"/>
  <c r="J6389" i="1"/>
  <c r="J6390" i="1"/>
  <c r="J6391" i="1"/>
  <c r="J6392" i="1"/>
  <c r="J6393" i="1"/>
  <c r="J6394" i="1"/>
  <c r="J6395" i="1"/>
  <c r="J6396" i="1"/>
  <c r="J6397" i="1"/>
  <c r="J6398" i="1"/>
  <c r="J6399" i="1"/>
  <c r="J6400" i="1"/>
  <c r="J6401" i="1"/>
  <c r="J6402" i="1"/>
  <c r="J6403" i="1"/>
  <c r="J6404" i="1"/>
  <c r="J6405" i="1"/>
  <c r="J6406" i="1"/>
  <c r="J6407" i="1"/>
  <c r="J6408" i="1"/>
  <c r="J6409" i="1"/>
  <c r="J6410" i="1"/>
  <c r="J6411" i="1"/>
  <c r="J6412" i="1"/>
  <c r="J6413" i="1"/>
  <c r="J6414" i="1"/>
  <c r="J6415" i="1"/>
  <c r="J6416" i="1"/>
  <c r="J6417" i="1"/>
  <c r="J6418" i="1"/>
  <c r="J6419" i="1"/>
  <c r="J6420" i="1"/>
  <c r="J6421" i="1"/>
  <c r="J6422" i="1"/>
  <c r="J6423" i="1"/>
  <c r="J6424" i="1"/>
  <c r="J6425" i="1"/>
  <c r="J6426" i="1"/>
  <c r="J6427" i="1"/>
  <c r="J6428" i="1"/>
  <c r="J6429" i="1"/>
  <c r="J6430" i="1"/>
  <c r="J6431" i="1"/>
  <c r="J6432" i="1"/>
  <c r="J6433" i="1"/>
  <c r="J6434" i="1"/>
  <c r="J6435" i="1"/>
  <c r="J6436" i="1"/>
  <c r="J6437" i="1"/>
  <c r="J6438" i="1"/>
  <c r="J6439" i="1"/>
  <c r="J6440" i="1"/>
  <c r="J6441" i="1"/>
  <c r="J6442" i="1"/>
  <c r="J6443" i="1"/>
  <c r="J6444" i="1"/>
  <c r="J6445" i="1"/>
  <c r="J6446" i="1"/>
  <c r="J6447" i="1"/>
  <c r="J6448" i="1"/>
  <c r="J6449" i="1"/>
  <c r="J6450" i="1"/>
  <c r="J6451" i="1"/>
  <c r="J6452" i="1"/>
  <c r="J6453" i="1"/>
  <c r="J6454" i="1"/>
  <c r="J6455" i="1"/>
  <c r="J6456" i="1"/>
  <c r="J6457" i="1"/>
  <c r="J6458" i="1"/>
  <c r="J6459" i="1"/>
  <c r="J6460" i="1"/>
  <c r="J6461" i="1"/>
  <c r="J6462" i="1"/>
  <c r="J6463" i="1"/>
  <c r="J6464" i="1"/>
  <c r="J6465" i="1"/>
  <c r="J6466" i="1"/>
  <c r="J6467" i="1"/>
  <c r="J6468" i="1"/>
  <c r="J6469" i="1"/>
  <c r="J6470" i="1"/>
  <c r="J6471" i="1"/>
  <c r="J6472" i="1"/>
  <c r="J6473" i="1"/>
  <c r="J6474" i="1"/>
  <c r="J6475" i="1"/>
  <c r="J6476" i="1"/>
  <c r="J6477" i="1"/>
  <c r="J6478" i="1"/>
  <c r="J6479" i="1"/>
  <c r="J6480" i="1"/>
  <c r="J6481" i="1"/>
  <c r="J6482" i="1"/>
  <c r="J6483" i="1"/>
  <c r="J6484" i="1"/>
  <c r="J6485" i="1"/>
  <c r="J6486" i="1"/>
  <c r="J6487" i="1"/>
  <c r="J6488" i="1"/>
  <c r="J6489" i="1"/>
  <c r="J6490" i="1"/>
  <c r="J6491" i="1"/>
  <c r="J6492" i="1"/>
  <c r="J6493" i="1"/>
  <c r="J6494" i="1"/>
  <c r="J6495" i="1"/>
  <c r="J6496" i="1"/>
  <c r="J6497" i="1"/>
  <c r="J6498" i="1"/>
  <c r="J6499" i="1"/>
  <c r="J6500" i="1"/>
  <c r="J6501" i="1"/>
  <c r="J6502" i="1"/>
  <c r="J6503" i="1"/>
  <c r="J6504" i="1"/>
  <c r="J6505" i="1"/>
  <c r="J6506" i="1"/>
  <c r="J6507" i="1"/>
  <c r="J6508" i="1"/>
  <c r="J6509" i="1"/>
  <c r="J6510" i="1"/>
  <c r="J6511" i="1"/>
  <c r="J6512" i="1"/>
  <c r="J6513" i="1"/>
  <c r="J6514" i="1"/>
  <c r="J6515" i="1"/>
  <c r="J6516" i="1"/>
  <c r="J6517" i="1"/>
  <c r="J6518" i="1"/>
  <c r="J6519" i="1"/>
  <c r="J6520" i="1"/>
  <c r="J6521" i="1"/>
  <c r="J6522" i="1"/>
  <c r="J6523" i="1"/>
  <c r="J6524" i="1"/>
  <c r="J6525" i="1"/>
  <c r="J6526" i="1"/>
  <c r="J6527" i="1"/>
  <c r="J6528" i="1"/>
  <c r="J6529" i="1"/>
  <c r="J6530" i="1"/>
  <c r="J6531" i="1"/>
  <c r="J6532" i="1"/>
  <c r="J6533" i="1"/>
  <c r="J6534" i="1"/>
  <c r="J6535" i="1"/>
  <c r="J6536" i="1"/>
  <c r="J6537" i="1"/>
  <c r="J6538" i="1"/>
  <c r="J6539" i="1"/>
  <c r="J6540" i="1"/>
  <c r="J6541" i="1"/>
  <c r="J6542" i="1"/>
  <c r="J6543" i="1"/>
  <c r="J6544" i="1"/>
  <c r="J6545" i="1"/>
  <c r="J6546" i="1"/>
  <c r="J6547" i="1"/>
  <c r="J6548" i="1"/>
  <c r="J6549" i="1"/>
  <c r="J6550" i="1"/>
  <c r="J6551" i="1"/>
  <c r="J6552" i="1"/>
  <c r="J6553" i="1"/>
  <c r="J6554" i="1"/>
  <c r="J6555" i="1"/>
  <c r="J6556" i="1"/>
  <c r="J6557" i="1"/>
  <c r="J6558" i="1"/>
  <c r="J6559" i="1"/>
  <c r="J6560" i="1"/>
  <c r="J6561" i="1"/>
  <c r="J6562" i="1"/>
  <c r="J6563" i="1"/>
  <c r="J6564" i="1"/>
  <c r="J6565" i="1"/>
  <c r="J6566" i="1"/>
  <c r="J6567" i="1"/>
  <c r="J6568" i="1"/>
  <c r="J6569" i="1"/>
  <c r="J6570" i="1"/>
  <c r="J6571" i="1"/>
  <c r="J6572" i="1"/>
  <c r="J6573" i="1"/>
  <c r="J6574" i="1"/>
  <c r="J6575" i="1"/>
  <c r="J6576" i="1"/>
  <c r="J6577" i="1"/>
  <c r="J6578" i="1"/>
  <c r="J6579" i="1"/>
  <c r="J6580" i="1"/>
  <c r="J6581" i="1"/>
  <c r="J6582" i="1"/>
  <c r="J6583" i="1"/>
  <c r="J6584" i="1"/>
  <c r="J6585" i="1"/>
  <c r="J6586" i="1"/>
  <c r="J6587" i="1"/>
  <c r="J6588" i="1"/>
  <c r="J6589" i="1"/>
  <c r="J6590" i="1"/>
  <c r="J6591" i="1"/>
  <c r="J6592" i="1"/>
  <c r="J6593" i="1"/>
  <c r="J6594" i="1"/>
  <c r="J6595" i="1"/>
  <c r="J6596" i="1"/>
  <c r="J6597" i="1"/>
  <c r="J6598" i="1"/>
  <c r="J6599" i="1"/>
  <c r="J6600" i="1"/>
  <c r="J6601" i="1"/>
  <c r="J6602" i="1"/>
  <c r="J6603" i="1"/>
  <c r="J6604" i="1"/>
  <c r="J6605" i="1"/>
  <c r="J6606" i="1"/>
  <c r="J6607" i="1"/>
  <c r="J6608" i="1"/>
  <c r="J6609" i="1"/>
  <c r="J6610" i="1"/>
  <c r="J6611" i="1"/>
  <c r="J6612" i="1"/>
  <c r="J6613" i="1"/>
  <c r="J6614" i="1"/>
  <c r="J6615" i="1"/>
  <c r="J6616" i="1"/>
  <c r="J6617" i="1"/>
  <c r="J6618" i="1"/>
  <c r="J6619" i="1"/>
  <c r="J6620" i="1"/>
  <c r="J6621" i="1"/>
  <c r="J6622" i="1"/>
  <c r="J6623" i="1"/>
  <c r="J6624" i="1"/>
  <c r="J6625" i="1"/>
  <c r="J6626" i="1"/>
  <c r="J6627" i="1"/>
  <c r="J6628" i="1"/>
  <c r="J6629" i="1"/>
  <c r="J6630" i="1"/>
  <c r="J6631" i="1"/>
  <c r="J6632" i="1"/>
  <c r="J6633" i="1"/>
  <c r="J6634" i="1"/>
  <c r="J6635" i="1"/>
  <c r="J6636" i="1"/>
  <c r="J6637" i="1"/>
  <c r="J6638" i="1"/>
  <c r="J6639" i="1"/>
  <c r="J6640" i="1"/>
  <c r="J6641" i="1"/>
  <c r="J6642" i="1"/>
  <c r="J6643" i="1"/>
  <c r="J6644" i="1"/>
  <c r="J6645" i="1"/>
  <c r="J6646" i="1"/>
  <c r="J6647" i="1"/>
  <c r="J6648" i="1"/>
  <c r="J6649" i="1"/>
  <c r="J6650" i="1"/>
  <c r="J6651" i="1"/>
  <c r="J6652" i="1"/>
  <c r="J6653" i="1"/>
  <c r="J6654" i="1"/>
  <c r="J6655" i="1"/>
  <c r="J6656" i="1"/>
  <c r="J6657" i="1"/>
  <c r="J6658" i="1"/>
  <c r="J6659" i="1"/>
  <c r="J6660" i="1"/>
  <c r="J6661" i="1"/>
  <c r="J6662" i="1"/>
  <c r="J6663" i="1"/>
  <c r="J6664" i="1"/>
  <c r="J6665" i="1"/>
  <c r="J6666" i="1"/>
  <c r="J6667" i="1"/>
  <c r="J6668" i="1"/>
  <c r="J6669" i="1"/>
  <c r="J6670" i="1"/>
  <c r="J6671" i="1"/>
  <c r="J6672" i="1"/>
  <c r="J6673" i="1"/>
  <c r="J6674" i="1"/>
  <c r="J6675" i="1"/>
  <c r="J6676" i="1"/>
  <c r="J6677" i="1"/>
  <c r="J6678" i="1"/>
  <c r="J6679" i="1"/>
  <c r="J6680" i="1"/>
  <c r="J6681" i="1"/>
  <c r="J6682" i="1"/>
  <c r="J6683" i="1"/>
  <c r="J6684" i="1"/>
  <c r="J6685" i="1"/>
  <c r="J6686" i="1"/>
  <c r="J6687" i="1"/>
  <c r="J6688" i="1"/>
  <c r="J6689" i="1"/>
  <c r="J6690" i="1"/>
  <c r="J6691" i="1"/>
  <c r="J6692" i="1"/>
  <c r="J6693" i="1"/>
  <c r="J6694" i="1"/>
  <c r="J6695" i="1"/>
  <c r="J6696" i="1"/>
  <c r="J6697" i="1"/>
  <c r="J6698" i="1"/>
  <c r="J6699" i="1"/>
  <c r="J6700" i="1"/>
  <c r="J6701" i="1"/>
  <c r="J6702" i="1"/>
  <c r="J6703" i="1"/>
  <c r="J6704" i="1"/>
  <c r="J6705" i="1"/>
  <c r="J6706" i="1"/>
  <c r="J6707" i="1"/>
  <c r="J6708" i="1"/>
  <c r="J6709" i="1"/>
  <c r="J6710" i="1"/>
  <c r="J6711" i="1"/>
  <c r="J6712" i="1"/>
  <c r="J6713" i="1"/>
  <c r="J6714" i="1"/>
  <c r="J6715" i="1"/>
  <c r="J6716" i="1"/>
  <c r="J6717" i="1"/>
  <c r="J6718" i="1"/>
  <c r="J6719" i="1"/>
  <c r="J6720" i="1"/>
  <c r="J6721" i="1"/>
  <c r="J6722" i="1"/>
  <c r="J6723" i="1"/>
  <c r="J6724" i="1"/>
  <c r="J6725" i="1"/>
  <c r="J6726" i="1"/>
  <c r="J6727" i="1"/>
  <c r="J6728" i="1"/>
  <c r="J6729" i="1"/>
  <c r="J6730" i="1"/>
  <c r="J6731" i="1"/>
  <c r="J6732" i="1"/>
  <c r="J6733" i="1"/>
  <c r="J6734" i="1"/>
  <c r="J6735" i="1"/>
  <c r="J6736" i="1"/>
  <c r="J6737" i="1"/>
  <c r="J6738" i="1"/>
  <c r="J6739" i="1"/>
  <c r="J6740" i="1"/>
  <c r="J6741" i="1"/>
  <c r="J6742" i="1"/>
  <c r="J6743" i="1"/>
  <c r="J6744" i="1"/>
  <c r="J6745" i="1"/>
  <c r="J6746" i="1"/>
  <c r="J6747" i="1"/>
  <c r="J6748" i="1"/>
  <c r="J6749" i="1"/>
  <c r="J6750" i="1"/>
  <c r="J6751" i="1"/>
  <c r="J6752" i="1"/>
  <c r="J6753" i="1"/>
  <c r="J6754" i="1"/>
  <c r="J6755" i="1"/>
  <c r="J6756" i="1"/>
  <c r="J6757" i="1"/>
  <c r="J6758" i="1"/>
  <c r="J6759" i="1"/>
  <c r="J6760" i="1"/>
  <c r="J6761" i="1"/>
  <c r="J6762" i="1"/>
  <c r="J6763" i="1"/>
  <c r="J6764" i="1"/>
  <c r="J6765" i="1"/>
  <c r="J6766" i="1"/>
  <c r="J6767" i="1"/>
  <c r="J6768" i="1"/>
  <c r="J6769" i="1"/>
  <c r="J6770" i="1"/>
  <c r="J6771" i="1"/>
  <c r="J6772" i="1"/>
  <c r="J6773" i="1"/>
  <c r="J6774" i="1"/>
  <c r="J6775" i="1"/>
  <c r="J6776" i="1"/>
  <c r="J6777" i="1"/>
  <c r="J6778" i="1"/>
  <c r="J6779" i="1"/>
  <c r="J6780" i="1"/>
  <c r="J6781" i="1"/>
  <c r="J6782" i="1"/>
  <c r="J6783" i="1"/>
  <c r="J6784" i="1"/>
  <c r="J6785" i="1"/>
  <c r="J6786" i="1"/>
  <c r="J6787" i="1"/>
  <c r="J6788" i="1"/>
  <c r="J6789" i="1"/>
  <c r="J6790" i="1"/>
  <c r="J6791" i="1"/>
  <c r="J6792" i="1"/>
  <c r="J6793" i="1"/>
  <c r="J6794" i="1"/>
  <c r="J6795" i="1"/>
  <c r="J6796" i="1"/>
  <c r="J6797" i="1"/>
  <c r="J6798" i="1"/>
  <c r="J6799" i="1"/>
  <c r="J6800" i="1"/>
  <c r="J6801" i="1"/>
  <c r="J6802" i="1"/>
  <c r="J6803" i="1"/>
  <c r="J6804" i="1"/>
  <c r="J6805" i="1"/>
  <c r="J6806" i="1"/>
  <c r="J6807" i="1"/>
  <c r="J6808" i="1"/>
  <c r="J6809" i="1"/>
  <c r="J6810" i="1"/>
  <c r="J6811" i="1"/>
  <c r="J6812" i="1"/>
  <c r="J6813" i="1"/>
  <c r="J6814" i="1"/>
  <c r="J6815" i="1"/>
  <c r="J6816" i="1"/>
  <c r="J6817" i="1"/>
  <c r="J6818" i="1"/>
  <c r="J6819" i="1"/>
  <c r="J6820" i="1"/>
  <c r="J6821" i="1"/>
  <c r="J6822" i="1"/>
  <c r="J6823" i="1"/>
  <c r="J6824" i="1"/>
  <c r="J6825" i="1"/>
  <c r="J6826" i="1"/>
  <c r="J6827" i="1"/>
  <c r="J6828" i="1"/>
  <c r="J6829" i="1"/>
  <c r="J6830" i="1"/>
  <c r="J6831" i="1"/>
  <c r="J6832" i="1"/>
  <c r="J6833" i="1"/>
  <c r="J6834" i="1"/>
  <c r="J6835" i="1"/>
  <c r="J6836" i="1"/>
  <c r="J6837" i="1"/>
  <c r="J6838" i="1"/>
  <c r="J6839" i="1"/>
  <c r="J6840" i="1"/>
  <c r="J6841" i="1"/>
  <c r="J6842" i="1"/>
  <c r="J6843" i="1"/>
  <c r="J6844" i="1"/>
  <c r="J6845" i="1"/>
  <c r="J6846" i="1"/>
  <c r="J6847" i="1"/>
  <c r="J6848" i="1"/>
  <c r="J6849" i="1"/>
  <c r="J6850" i="1"/>
  <c r="J6851" i="1"/>
  <c r="J6852" i="1"/>
  <c r="J6853" i="1"/>
  <c r="J6854" i="1"/>
  <c r="J6855" i="1"/>
  <c r="J6856" i="1"/>
  <c r="J6857" i="1"/>
  <c r="J6858" i="1"/>
  <c r="J6859" i="1"/>
  <c r="J6860" i="1"/>
  <c r="J6861" i="1"/>
  <c r="J6862" i="1"/>
  <c r="J6863" i="1"/>
  <c r="J6864" i="1"/>
  <c r="J6865" i="1"/>
  <c r="J6866" i="1"/>
  <c r="J6867" i="1"/>
  <c r="J6868" i="1"/>
  <c r="J6869" i="1"/>
  <c r="J6870" i="1"/>
  <c r="J6871" i="1"/>
  <c r="J6872" i="1"/>
  <c r="J6873" i="1"/>
  <c r="J6874" i="1"/>
  <c r="J6875" i="1"/>
  <c r="J6876" i="1"/>
  <c r="J6877" i="1"/>
  <c r="J6878" i="1"/>
  <c r="J6879" i="1"/>
  <c r="J6880" i="1"/>
  <c r="J6881" i="1"/>
  <c r="J6882" i="1"/>
  <c r="J6883" i="1"/>
  <c r="J6884" i="1"/>
  <c r="J6885" i="1"/>
  <c r="J6886" i="1"/>
  <c r="J6887" i="1"/>
  <c r="J6888" i="1"/>
  <c r="J6889" i="1"/>
  <c r="J6890" i="1"/>
  <c r="J6891" i="1"/>
  <c r="J6892" i="1"/>
  <c r="J6893" i="1"/>
  <c r="J6894" i="1"/>
  <c r="J6895" i="1"/>
  <c r="J6896" i="1"/>
  <c r="J6897" i="1"/>
  <c r="J6898" i="1"/>
  <c r="J6899" i="1"/>
  <c r="J6900" i="1"/>
  <c r="J6901" i="1"/>
  <c r="J6902" i="1"/>
  <c r="J6903" i="1"/>
  <c r="J6904" i="1"/>
  <c r="J6905" i="1"/>
  <c r="J6906" i="1"/>
  <c r="J6907" i="1"/>
  <c r="J6908" i="1"/>
  <c r="J6909" i="1"/>
  <c r="J6910" i="1"/>
  <c r="J6911" i="1"/>
  <c r="J6912" i="1"/>
  <c r="J6913" i="1"/>
  <c r="J6914" i="1"/>
  <c r="J6915" i="1"/>
  <c r="J6916" i="1"/>
  <c r="J6917" i="1"/>
  <c r="J6918" i="1"/>
  <c r="J6919" i="1"/>
  <c r="J6920" i="1"/>
  <c r="J6921" i="1"/>
  <c r="J6922" i="1"/>
  <c r="J6923" i="1"/>
  <c r="J6924" i="1"/>
  <c r="J6925" i="1"/>
  <c r="J6926" i="1"/>
  <c r="J6927" i="1"/>
  <c r="J6928" i="1"/>
  <c r="J6929" i="1"/>
  <c r="J6930" i="1"/>
  <c r="J6931" i="1"/>
  <c r="J6932" i="1"/>
  <c r="J6933" i="1"/>
  <c r="J6934" i="1"/>
  <c r="J6935" i="1"/>
  <c r="J6936" i="1"/>
  <c r="J6937" i="1"/>
  <c r="J6938" i="1"/>
  <c r="J6939" i="1"/>
  <c r="J6940" i="1"/>
  <c r="J6941" i="1"/>
  <c r="J6942" i="1"/>
  <c r="J6943" i="1"/>
  <c r="J6944" i="1"/>
  <c r="J6945" i="1"/>
  <c r="J6946" i="1"/>
  <c r="J6947" i="1"/>
  <c r="J6948" i="1"/>
  <c r="J6949" i="1"/>
  <c r="J6950" i="1"/>
  <c r="J6951" i="1"/>
  <c r="J6952" i="1"/>
  <c r="J6953" i="1"/>
  <c r="J6954" i="1"/>
  <c r="J6955" i="1"/>
  <c r="J6956" i="1"/>
  <c r="J6957" i="1"/>
  <c r="J6958" i="1"/>
  <c r="J6959" i="1"/>
  <c r="J6960" i="1"/>
  <c r="J6961" i="1"/>
  <c r="J6962" i="1"/>
  <c r="J6963" i="1"/>
  <c r="J6964" i="1"/>
  <c r="J6965" i="1"/>
  <c r="J6966" i="1"/>
  <c r="J6967" i="1"/>
  <c r="J6968" i="1"/>
  <c r="J6969" i="1"/>
  <c r="J6970" i="1"/>
  <c r="J6971" i="1"/>
  <c r="J6972" i="1"/>
  <c r="J6973" i="1"/>
  <c r="J6974" i="1"/>
  <c r="J6975" i="1"/>
  <c r="J6976" i="1"/>
  <c r="J6977" i="1"/>
  <c r="J6978" i="1"/>
  <c r="J6979" i="1"/>
  <c r="J6980" i="1"/>
  <c r="J6981" i="1"/>
  <c r="J6982" i="1"/>
  <c r="J6983" i="1"/>
  <c r="J6984" i="1"/>
  <c r="J6985" i="1"/>
  <c r="J6986" i="1"/>
  <c r="J6987" i="1"/>
  <c r="J6988" i="1"/>
  <c r="J6989" i="1"/>
  <c r="J6990" i="1"/>
  <c r="J6991" i="1"/>
  <c r="J6992" i="1"/>
  <c r="J6993" i="1"/>
  <c r="J6994" i="1"/>
  <c r="J6995" i="1"/>
  <c r="J6996" i="1"/>
  <c r="J6997" i="1"/>
  <c r="J6998" i="1"/>
  <c r="J6999" i="1"/>
  <c r="J7000" i="1"/>
  <c r="J7001" i="1"/>
  <c r="J7002" i="1"/>
  <c r="J7003" i="1"/>
  <c r="J7004" i="1"/>
  <c r="J7005" i="1"/>
  <c r="J7006" i="1"/>
  <c r="J7007" i="1"/>
  <c r="J7008" i="1"/>
  <c r="J7009" i="1"/>
  <c r="J7010" i="1"/>
  <c r="J7011" i="1"/>
  <c r="J7012" i="1"/>
  <c r="J7013" i="1"/>
  <c r="J7014" i="1"/>
  <c r="J7015" i="1"/>
  <c r="J7016" i="1"/>
  <c r="J7017" i="1"/>
  <c r="J7018" i="1"/>
  <c r="J7019" i="1"/>
  <c r="J7020" i="1"/>
  <c r="J7021" i="1"/>
  <c r="J7022" i="1"/>
  <c r="J7023" i="1"/>
  <c r="J7024" i="1"/>
  <c r="J7025" i="1"/>
  <c r="J7026" i="1"/>
  <c r="J7027" i="1"/>
  <c r="J7028" i="1"/>
  <c r="J7029" i="1"/>
  <c r="J7030" i="1"/>
  <c r="J7031" i="1"/>
  <c r="J7032" i="1"/>
  <c r="J7033" i="1"/>
  <c r="J7034" i="1"/>
  <c r="J7035" i="1"/>
  <c r="J7036" i="1"/>
  <c r="J7037" i="1"/>
  <c r="J7038" i="1"/>
  <c r="J7039" i="1"/>
  <c r="J7040" i="1"/>
  <c r="J7041" i="1"/>
  <c r="J7042" i="1"/>
  <c r="J7043" i="1"/>
  <c r="J7044" i="1"/>
  <c r="J7045" i="1"/>
  <c r="J7046" i="1"/>
  <c r="J7047" i="1"/>
  <c r="J7048" i="1"/>
  <c r="J7049" i="1"/>
  <c r="J7050" i="1"/>
  <c r="J7051" i="1"/>
  <c r="J7052" i="1"/>
  <c r="J7053" i="1"/>
  <c r="J7054" i="1"/>
  <c r="J7055" i="1"/>
  <c r="J7056" i="1"/>
  <c r="J7057" i="1"/>
  <c r="J7058" i="1"/>
  <c r="J7059" i="1"/>
  <c r="J7060" i="1"/>
  <c r="J7061" i="1"/>
  <c r="J7062" i="1"/>
  <c r="J7063" i="1"/>
  <c r="J7064" i="1"/>
  <c r="J7065" i="1"/>
  <c r="J7066" i="1"/>
  <c r="J7067" i="1"/>
  <c r="J7068" i="1"/>
  <c r="J7069" i="1"/>
  <c r="J7070" i="1"/>
  <c r="J7071" i="1"/>
  <c r="J7072" i="1"/>
  <c r="J7073" i="1"/>
  <c r="J7074" i="1"/>
  <c r="J7075" i="1"/>
  <c r="J7076" i="1"/>
  <c r="J7077" i="1"/>
  <c r="J7078" i="1"/>
  <c r="J7079" i="1"/>
  <c r="J7080" i="1"/>
  <c r="J7081" i="1"/>
  <c r="J7082" i="1"/>
  <c r="J7083" i="1"/>
  <c r="J7084" i="1"/>
  <c r="J7085" i="1"/>
  <c r="J7086" i="1"/>
  <c r="J7087" i="1"/>
  <c r="J7088" i="1"/>
  <c r="J7089" i="1"/>
  <c r="J7090" i="1"/>
  <c r="J7091" i="1"/>
  <c r="J7092" i="1"/>
  <c r="J7093" i="1"/>
  <c r="J7094" i="1"/>
  <c r="J7095" i="1"/>
  <c r="J7096" i="1"/>
  <c r="J7097" i="1"/>
  <c r="J7098" i="1"/>
  <c r="J7099" i="1"/>
  <c r="J7100" i="1"/>
  <c r="J7101" i="1"/>
  <c r="J7102" i="1"/>
  <c r="J7103" i="1"/>
  <c r="J7104" i="1"/>
  <c r="J7105" i="1"/>
  <c r="J7106" i="1"/>
  <c r="J7107" i="1"/>
  <c r="J7108" i="1"/>
  <c r="J7109" i="1"/>
  <c r="J7110" i="1"/>
  <c r="J7111" i="1"/>
  <c r="J7112" i="1"/>
  <c r="J7113" i="1"/>
  <c r="J7114" i="1"/>
  <c r="J7115" i="1"/>
  <c r="J7116" i="1"/>
  <c r="J7117" i="1"/>
  <c r="J7118" i="1"/>
  <c r="J7119" i="1"/>
  <c r="J7120" i="1"/>
  <c r="J7121" i="1"/>
  <c r="J7122" i="1"/>
  <c r="J7123" i="1"/>
  <c r="J7124" i="1"/>
  <c r="J7125" i="1"/>
  <c r="J7126" i="1"/>
  <c r="J7127" i="1"/>
  <c r="J7128" i="1"/>
  <c r="J7129" i="1"/>
  <c r="J7130" i="1"/>
  <c r="J7131" i="1"/>
  <c r="J7132" i="1"/>
  <c r="J7133" i="1"/>
  <c r="J7134" i="1"/>
  <c r="J7135" i="1"/>
  <c r="J7136" i="1"/>
  <c r="J7137" i="1"/>
  <c r="J7138" i="1"/>
  <c r="J7139" i="1"/>
  <c r="J7140" i="1"/>
  <c r="J7141" i="1"/>
  <c r="J7142" i="1"/>
  <c r="J7143" i="1"/>
  <c r="J7144" i="1"/>
  <c r="J7145" i="1"/>
  <c r="J7146" i="1"/>
  <c r="J7147" i="1"/>
  <c r="J7148" i="1"/>
  <c r="J7149" i="1"/>
  <c r="J7150" i="1"/>
  <c r="J7151" i="1"/>
  <c r="J7152" i="1"/>
  <c r="J7153" i="1"/>
  <c r="J7154" i="1"/>
  <c r="J7155" i="1"/>
  <c r="J7156" i="1"/>
  <c r="J7157" i="1"/>
  <c r="J7158" i="1"/>
  <c r="J7159" i="1"/>
  <c r="J7160" i="1"/>
  <c r="J7161" i="1"/>
  <c r="J7162" i="1"/>
  <c r="J7163" i="1"/>
  <c r="J7164" i="1"/>
  <c r="J7165" i="1"/>
  <c r="J7166" i="1"/>
  <c r="J7167" i="1"/>
  <c r="J7168" i="1"/>
  <c r="J7169" i="1"/>
  <c r="J7170" i="1"/>
  <c r="J7171" i="1"/>
  <c r="J7172" i="1"/>
  <c r="J7173" i="1"/>
  <c r="J7174" i="1"/>
  <c r="J7175" i="1"/>
  <c r="J7176" i="1"/>
  <c r="J7177" i="1"/>
  <c r="J7178" i="1"/>
  <c r="J7179" i="1"/>
  <c r="J7180" i="1"/>
  <c r="J7181" i="1"/>
  <c r="J7182" i="1"/>
  <c r="J7183" i="1"/>
  <c r="J7184" i="1"/>
  <c r="J7185" i="1"/>
  <c r="J7186" i="1"/>
  <c r="J7187" i="1"/>
  <c r="J7188" i="1"/>
  <c r="J7189" i="1"/>
  <c r="J7190" i="1"/>
  <c r="J7191" i="1"/>
  <c r="J7192" i="1"/>
  <c r="J7193" i="1"/>
  <c r="J7194" i="1"/>
  <c r="J7195" i="1"/>
  <c r="J7196" i="1"/>
  <c r="J7197" i="1"/>
  <c r="J7198" i="1"/>
  <c r="J7199" i="1"/>
  <c r="J7200" i="1"/>
  <c r="J7201" i="1"/>
  <c r="J7202" i="1"/>
  <c r="J7203" i="1"/>
  <c r="J7204" i="1"/>
  <c r="J7205" i="1"/>
  <c r="J7206" i="1"/>
  <c r="J7207" i="1"/>
  <c r="J7208" i="1"/>
  <c r="J7209" i="1"/>
  <c r="J7210" i="1"/>
  <c r="J7211" i="1"/>
  <c r="J7212" i="1"/>
  <c r="J7213" i="1"/>
  <c r="J7214" i="1"/>
  <c r="J7215" i="1"/>
  <c r="J7216" i="1"/>
  <c r="J7217" i="1"/>
  <c r="J7218" i="1"/>
  <c r="J7219" i="1"/>
  <c r="J7220" i="1"/>
  <c r="J7221" i="1"/>
  <c r="J7222" i="1"/>
  <c r="J7223" i="1"/>
  <c r="J7224" i="1"/>
  <c r="J7225" i="1"/>
  <c r="J7226" i="1"/>
  <c r="J7227" i="1"/>
  <c r="J7228" i="1"/>
  <c r="J7229" i="1"/>
  <c r="J7230" i="1"/>
  <c r="J7231" i="1"/>
  <c r="J7232" i="1"/>
  <c r="J7233" i="1"/>
  <c r="J7234" i="1"/>
  <c r="J7235" i="1"/>
  <c r="J7236" i="1"/>
  <c r="J7237" i="1"/>
  <c r="J7238" i="1"/>
  <c r="J7239" i="1"/>
  <c r="J7240" i="1"/>
  <c r="J7241" i="1"/>
  <c r="J7242" i="1"/>
  <c r="J7243" i="1"/>
  <c r="J7244" i="1"/>
  <c r="J7245" i="1"/>
  <c r="J7246" i="1"/>
  <c r="J7247" i="1"/>
  <c r="J7248" i="1"/>
  <c r="J7249" i="1"/>
  <c r="J7250" i="1"/>
  <c r="J7251" i="1"/>
  <c r="J7252" i="1"/>
  <c r="J7253" i="1"/>
  <c r="J7254" i="1"/>
  <c r="J7255" i="1"/>
  <c r="J7256" i="1"/>
  <c r="J7257" i="1"/>
  <c r="J7258" i="1"/>
  <c r="J7259" i="1"/>
  <c r="J7260" i="1"/>
  <c r="J7261" i="1"/>
  <c r="J7262" i="1"/>
  <c r="J7263" i="1"/>
  <c r="J7264" i="1"/>
  <c r="J7265" i="1"/>
  <c r="J7266" i="1"/>
  <c r="J7267" i="1"/>
  <c r="J7268" i="1"/>
  <c r="J7269" i="1"/>
  <c r="J7270" i="1"/>
  <c r="J7271" i="1"/>
  <c r="J7272" i="1"/>
  <c r="J7273" i="1"/>
  <c r="J7274" i="1"/>
  <c r="J7275" i="1"/>
  <c r="J7276" i="1"/>
  <c r="J7277" i="1"/>
  <c r="J7278" i="1"/>
  <c r="J7279" i="1"/>
  <c r="J7280" i="1"/>
  <c r="J7281" i="1"/>
  <c r="J7282" i="1"/>
  <c r="J7283" i="1"/>
  <c r="J7284" i="1"/>
  <c r="J7285" i="1"/>
  <c r="J7286" i="1"/>
  <c r="J7287" i="1"/>
  <c r="J7288" i="1"/>
  <c r="J7289" i="1"/>
  <c r="J7290" i="1"/>
  <c r="J7291" i="1"/>
  <c r="J7292" i="1"/>
  <c r="J7293" i="1"/>
  <c r="J7294" i="1"/>
  <c r="J7295" i="1"/>
  <c r="J7296" i="1"/>
  <c r="J7297" i="1"/>
  <c r="J7298" i="1"/>
  <c r="J7299" i="1"/>
  <c r="J7300" i="1"/>
  <c r="J7301" i="1"/>
  <c r="J7302" i="1"/>
  <c r="J7303" i="1"/>
  <c r="J7304" i="1"/>
  <c r="J7305" i="1"/>
  <c r="J7306" i="1"/>
  <c r="J7307" i="1"/>
  <c r="J7308" i="1"/>
  <c r="J7309" i="1"/>
  <c r="J7310" i="1"/>
  <c r="J7311" i="1"/>
  <c r="J7312" i="1"/>
  <c r="J7313" i="1"/>
  <c r="J7314" i="1"/>
  <c r="J7315" i="1"/>
  <c r="J7316" i="1"/>
  <c r="J7317" i="1"/>
  <c r="J7318" i="1"/>
  <c r="J7319" i="1"/>
  <c r="J7320" i="1"/>
  <c r="J7321" i="1"/>
  <c r="J7322" i="1"/>
  <c r="J7323" i="1"/>
  <c r="J7324" i="1"/>
  <c r="J7325" i="1"/>
  <c r="J7326" i="1"/>
  <c r="J7327" i="1"/>
  <c r="J7328" i="1"/>
  <c r="J7329" i="1"/>
  <c r="J7330" i="1"/>
  <c r="J7331" i="1"/>
  <c r="J7332" i="1"/>
  <c r="J7333" i="1"/>
  <c r="J7334" i="1"/>
  <c r="J7335" i="1"/>
  <c r="J7336" i="1"/>
  <c r="J7337" i="1"/>
  <c r="J7338" i="1"/>
  <c r="J7339" i="1"/>
  <c r="J7340" i="1"/>
  <c r="J7341" i="1"/>
  <c r="J7342" i="1"/>
  <c r="J7343" i="1"/>
  <c r="J7344" i="1"/>
  <c r="J7345" i="1"/>
  <c r="J7346" i="1"/>
  <c r="J7347" i="1"/>
  <c r="J7348" i="1"/>
  <c r="J7349" i="1"/>
  <c r="J7350" i="1"/>
  <c r="J7351" i="1"/>
  <c r="J7352" i="1"/>
  <c r="J7353" i="1"/>
  <c r="J7354" i="1"/>
  <c r="J7355" i="1"/>
  <c r="J7356" i="1"/>
  <c r="J7357" i="1"/>
  <c r="J7358" i="1"/>
  <c r="J7359" i="1"/>
  <c r="J7360" i="1"/>
  <c r="J7361" i="1"/>
  <c r="J7362" i="1"/>
  <c r="J7363" i="1"/>
  <c r="J7364" i="1"/>
  <c r="J7365" i="1"/>
  <c r="J7366" i="1"/>
  <c r="J7367" i="1"/>
  <c r="J7368" i="1"/>
  <c r="J7369" i="1"/>
  <c r="J7370" i="1"/>
  <c r="J7371" i="1"/>
  <c r="J7372" i="1"/>
  <c r="J7373" i="1"/>
  <c r="J7374" i="1"/>
  <c r="J7375" i="1"/>
  <c r="J7376" i="1"/>
  <c r="J7377" i="1"/>
  <c r="J7378" i="1"/>
  <c r="J7379" i="1"/>
  <c r="J7380" i="1"/>
  <c r="J7381" i="1"/>
  <c r="J7382" i="1"/>
  <c r="J7383" i="1"/>
  <c r="J7384" i="1"/>
  <c r="J7385" i="1"/>
  <c r="J7386" i="1"/>
  <c r="J7387" i="1"/>
  <c r="J7388" i="1"/>
  <c r="J7389" i="1"/>
  <c r="J7390" i="1"/>
  <c r="J7391" i="1"/>
  <c r="J7392" i="1"/>
  <c r="J7393" i="1"/>
  <c r="J7394" i="1"/>
  <c r="J7395" i="1"/>
  <c r="J7396" i="1"/>
  <c r="J7397" i="1"/>
  <c r="J7398" i="1"/>
  <c r="J7399" i="1"/>
  <c r="J7400" i="1"/>
  <c r="J7401" i="1"/>
  <c r="J7402" i="1"/>
  <c r="J7403" i="1"/>
  <c r="J7404" i="1"/>
  <c r="J7405" i="1"/>
  <c r="J7406" i="1"/>
  <c r="J7407" i="1"/>
  <c r="J7408" i="1"/>
  <c r="J7409" i="1"/>
  <c r="J7410" i="1"/>
  <c r="J7411" i="1"/>
  <c r="J7412" i="1"/>
  <c r="J7413" i="1"/>
  <c r="J7414" i="1"/>
  <c r="J7415" i="1"/>
  <c r="J7416" i="1"/>
  <c r="J7417" i="1"/>
  <c r="J7418" i="1"/>
  <c r="J7419" i="1"/>
  <c r="J7420" i="1"/>
  <c r="J7421" i="1"/>
  <c r="J7422" i="1"/>
  <c r="J7423" i="1"/>
  <c r="J7424" i="1"/>
  <c r="J7425" i="1"/>
  <c r="J7426" i="1"/>
  <c r="J7427" i="1"/>
  <c r="J7428" i="1"/>
  <c r="J7429" i="1"/>
  <c r="J7430" i="1"/>
  <c r="J7431" i="1"/>
  <c r="J7432" i="1"/>
  <c r="J7433" i="1"/>
  <c r="J7434" i="1"/>
  <c r="J7435" i="1"/>
  <c r="J7436" i="1"/>
  <c r="J7437" i="1"/>
  <c r="J7438" i="1"/>
  <c r="J7439" i="1"/>
  <c r="J7440" i="1"/>
  <c r="J7441" i="1"/>
  <c r="J7442" i="1"/>
  <c r="J7443" i="1"/>
  <c r="J7444" i="1"/>
  <c r="J7445" i="1"/>
  <c r="J7446" i="1"/>
  <c r="J7447" i="1"/>
  <c r="J7448" i="1"/>
  <c r="J7449" i="1"/>
  <c r="J7450" i="1"/>
  <c r="J7451" i="1"/>
  <c r="J7452" i="1"/>
  <c r="J7453" i="1"/>
  <c r="J7454" i="1"/>
  <c r="J7455" i="1"/>
  <c r="J7456" i="1"/>
  <c r="J7457" i="1"/>
  <c r="J7458" i="1"/>
  <c r="J7459" i="1"/>
  <c r="J7460" i="1"/>
  <c r="J7461" i="1"/>
  <c r="J7462" i="1"/>
  <c r="J7463" i="1"/>
  <c r="J7464" i="1"/>
  <c r="J7465" i="1"/>
  <c r="J7466" i="1"/>
  <c r="J7467" i="1"/>
  <c r="J7468" i="1"/>
  <c r="J7469" i="1"/>
  <c r="J7470" i="1"/>
  <c r="J7471" i="1"/>
  <c r="J7472" i="1"/>
  <c r="J7473" i="1"/>
  <c r="J7474" i="1"/>
  <c r="J7475" i="1"/>
  <c r="J7476" i="1"/>
  <c r="J7477" i="1"/>
  <c r="J7478" i="1"/>
  <c r="J7479" i="1"/>
  <c r="J7480" i="1"/>
  <c r="J7481" i="1"/>
  <c r="J7482" i="1"/>
  <c r="J7483" i="1"/>
  <c r="J7484" i="1"/>
  <c r="J7485" i="1"/>
  <c r="J7486" i="1"/>
  <c r="J7487" i="1"/>
  <c r="J7488" i="1"/>
  <c r="J7489" i="1"/>
  <c r="J7490" i="1"/>
  <c r="J7491" i="1"/>
  <c r="J7492" i="1"/>
  <c r="J7493" i="1"/>
  <c r="J7494" i="1"/>
  <c r="J7495" i="1"/>
  <c r="J7496" i="1"/>
  <c r="J7497" i="1"/>
  <c r="J7498" i="1"/>
  <c r="J7499" i="1"/>
  <c r="J7500" i="1"/>
  <c r="J7501" i="1"/>
  <c r="J7502" i="1"/>
  <c r="J7503" i="1"/>
  <c r="J7504" i="1"/>
  <c r="J7505" i="1"/>
  <c r="J7506" i="1"/>
  <c r="J7507" i="1"/>
  <c r="J7508" i="1"/>
  <c r="J7509" i="1"/>
  <c r="J7510" i="1"/>
  <c r="J7511" i="1"/>
  <c r="J7512" i="1"/>
  <c r="J7513" i="1"/>
  <c r="J7514" i="1"/>
  <c r="J7515" i="1"/>
  <c r="J7516" i="1"/>
  <c r="J7517" i="1"/>
  <c r="J7518" i="1"/>
  <c r="J7519" i="1"/>
  <c r="J7520" i="1"/>
  <c r="J7521" i="1"/>
  <c r="J7522" i="1"/>
  <c r="J7523" i="1"/>
  <c r="J7524" i="1"/>
  <c r="J7525" i="1"/>
  <c r="J7526" i="1"/>
  <c r="J7527" i="1"/>
  <c r="J7528" i="1"/>
  <c r="J7529" i="1"/>
  <c r="J7530" i="1"/>
  <c r="J7531" i="1"/>
  <c r="J7532" i="1"/>
  <c r="J7533" i="1"/>
  <c r="J7534" i="1"/>
  <c r="J7535" i="1"/>
  <c r="J7536" i="1"/>
  <c r="J7537" i="1"/>
  <c r="J7538" i="1"/>
  <c r="J7539" i="1"/>
  <c r="J7540" i="1"/>
  <c r="J7541" i="1"/>
  <c r="J7542" i="1"/>
  <c r="J7543" i="1"/>
  <c r="J7544" i="1"/>
  <c r="J7545" i="1"/>
  <c r="J7546" i="1"/>
  <c r="J7547" i="1"/>
  <c r="J7548" i="1"/>
  <c r="J7549" i="1"/>
  <c r="J7550" i="1"/>
  <c r="J7551" i="1"/>
  <c r="J7552" i="1"/>
  <c r="J7553" i="1"/>
  <c r="J7554" i="1"/>
  <c r="J7555" i="1"/>
  <c r="J7556" i="1"/>
  <c r="J7557" i="1"/>
  <c r="J7558" i="1"/>
  <c r="J7559" i="1"/>
  <c r="J7560" i="1"/>
  <c r="J7561" i="1"/>
  <c r="J7562" i="1"/>
  <c r="J7563" i="1"/>
  <c r="J7564" i="1"/>
  <c r="J7565" i="1"/>
  <c r="J7566" i="1"/>
  <c r="J7567" i="1"/>
  <c r="J7568" i="1"/>
  <c r="J7569" i="1"/>
  <c r="J7570" i="1"/>
  <c r="J7571" i="1"/>
  <c r="J7572" i="1"/>
  <c r="J7573" i="1"/>
  <c r="J7574" i="1"/>
  <c r="J7575" i="1"/>
  <c r="J7576" i="1"/>
  <c r="J7577" i="1"/>
  <c r="J7578" i="1"/>
  <c r="J7579" i="1"/>
  <c r="J7580" i="1"/>
  <c r="J7581" i="1"/>
  <c r="J7582" i="1"/>
  <c r="J7583" i="1"/>
  <c r="J7584" i="1"/>
  <c r="J7585" i="1"/>
  <c r="J7586" i="1"/>
  <c r="J7587" i="1"/>
  <c r="J7588" i="1"/>
  <c r="J7589" i="1"/>
  <c r="J7590" i="1"/>
  <c r="J7591" i="1"/>
  <c r="J7592" i="1"/>
  <c r="J7593" i="1"/>
  <c r="J7594" i="1"/>
  <c r="J7595" i="1"/>
  <c r="J7596" i="1"/>
  <c r="J7597" i="1"/>
  <c r="J7598" i="1"/>
  <c r="J7599" i="1"/>
  <c r="J7600" i="1"/>
  <c r="J7601" i="1"/>
  <c r="J7602" i="1"/>
  <c r="J7603" i="1"/>
  <c r="J7604" i="1"/>
  <c r="J7605" i="1"/>
  <c r="J7606" i="1"/>
  <c r="J7607" i="1"/>
  <c r="J7608" i="1"/>
  <c r="J7609" i="1"/>
  <c r="J7610" i="1"/>
  <c r="J7611" i="1"/>
  <c r="J7612" i="1"/>
  <c r="J7613" i="1"/>
  <c r="J7614" i="1"/>
  <c r="J7615" i="1"/>
  <c r="J7616" i="1"/>
  <c r="J7617" i="1"/>
  <c r="J7618" i="1"/>
  <c r="J7619" i="1"/>
  <c r="J7620" i="1"/>
  <c r="J7621" i="1"/>
  <c r="J7622" i="1"/>
  <c r="J7623" i="1"/>
  <c r="J7624" i="1"/>
  <c r="J7625" i="1"/>
  <c r="J7626" i="1"/>
  <c r="J7627" i="1"/>
  <c r="J7628" i="1"/>
  <c r="J7629" i="1"/>
  <c r="J7630" i="1"/>
  <c r="J7631" i="1"/>
  <c r="J7632" i="1"/>
  <c r="J7633" i="1"/>
  <c r="J7634" i="1"/>
  <c r="J7635" i="1"/>
  <c r="J7636" i="1"/>
  <c r="J7637" i="1"/>
  <c r="J7638" i="1"/>
  <c r="J7639" i="1"/>
  <c r="J7640" i="1"/>
  <c r="J7641" i="1"/>
  <c r="J7642" i="1"/>
  <c r="J7643" i="1"/>
  <c r="J7644" i="1"/>
  <c r="J7645" i="1"/>
  <c r="J7646" i="1"/>
  <c r="J7647" i="1"/>
  <c r="J7648" i="1"/>
  <c r="J7649" i="1"/>
  <c r="J7650" i="1"/>
  <c r="J7651" i="1"/>
  <c r="J7652" i="1"/>
  <c r="J7653" i="1"/>
  <c r="J7654" i="1"/>
  <c r="J7655" i="1"/>
  <c r="J7656" i="1"/>
  <c r="J7657" i="1"/>
  <c r="J7658" i="1"/>
  <c r="J7659" i="1"/>
  <c r="J7660" i="1"/>
  <c r="J7661" i="1"/>
  <c r="J7662" i="1"/>
  <c r="J7663" i="1"/>
  <c r="J7664" i="1"/>
  <c r="J7665" i="1"/>
  <c r="J7666" i="1"/>
  <c r="J7667" i="1"/>
  <c r="J7668" i="1"/>
  <c r="J7669" i="1"/>
  <c r="J7670" i="1"/>
  <c r="J7671" i="1"/>
  <c r="J7672" i="1"/>
  <c r="J7673" i="1"/>
  <c r="J7674" i="1"/>
  <c r="J7675" i="1"/>
  <c r="J7676" i="1"/>
  <c r="J7677" i="1"/>
  <c r="J7678" i="1"/>
  <c r="J7679" i="1"/>
  <c r="J7680" i="1"/>
  <c r="J7681" i="1"/>
  <c r="J7682" i="1"/>
  <c r="J7683" i="1"/>
  <c r="J7684" i="1"/>
  <c r="J7685" i="1"/>
  <c r="J7686" i="1"/>
  <c r="J7687" i="1"/>
  <c r="J7688" i="1"/>
  <c r="J7689" i="1"/>
  <c r="J7690" i="1"/>
  <c r="J7691" i="1"/>
  <c r="J7692" i="1"/>
  <c r="J7693" i="1"/>
  <c r="J7694" i="1"/>
  <c r="J7695" i="1"/>
  <c r="J7696" i="1"/>
  <c r="J7697" i="1"/>
  <c r="J7698" i="1"/>
  <c r="J7699" i="1"/>
  <c r="J7700" i="1"/>
  <c r="J7701" i="1"/>
  <c r="J7702" i="1"/>
  <c r="J7703" i="1"/>
  <c r="J7704" i="1"/>
  <c r="J7705" i="1"/>
  <c r="J7706" i="1"/>
  <c r="J7707" i="1"/>
  <c r="J7708" i="1"/>
  <c r="J7709" i="1"/>
  <c r="J7710" i="1"/>
  <c r="J7711" i="1"/>
  <c r="J7712" i="1"/>
  <c r="J7713" i="1"/>
  <c r="J7714" i="1"/>
  <c r="J7715" i="1"/>
  <c r="J7716" i="1"/>
  <c r="J7717" i="1"/>
  <c r="J7718" i="1"/>
  <c r="J7719" i="1"/>
  <c r="J7720" i="1"/>
  <c r="J7721" i="1"/>
  <c r="J7722" i="1"/>
  <c r="J7723" i="1"/>
  <c r="J7724" i="1"/>
  <c r="J7725" i="1"/>
  <c r="J7726" i="1"/>
  <c r="J7727" i="1"/>
  <c r="J7728" i="1"/>
  <c r="J7729" i="1"/>
  <c r="J7730" i="1"/>
  <c r="J7731" i="1"/>
  <c r="J7732" i="1"/>
  <c r="J7733" i="1"/>
  <c r="J7734" i="1"/>
  <c r="J7735" i="1"/>
  <c r="J7736" i="1"/>
  <c r="J7737" i="1"/>
  <c r="J7738" i="1"/>
  <c r="J7739" i="1"/>
  <c r="J7740" i="1"/>
  <c r="J7741" i="1"/>
  <c r="J7742" i="1"/>
  <c r="J7743" i="1"/>
  <c r="J7744" i="1"/>
  <c r="J7745" i="1"/>
  <c r="J7746" i="1"/>
  <c r="J7747" i="1"/>
  <c r="J7748" i="1"/>
  <c r="J7749" i="1"/>
  <c r="J7750" i="1"/>
  <c r="J7751" i="1"/>
  <c r="J7752" i="1"/>
  <c r="J7753" i="1"/>
  <c r="J7754" i="1"/>
  <c r="J7755" i="1"/>
  <c r="J7756" i="1"/>
  <c r="J7757" i="1"/>
  <c r="J7758" i="1"/>
  <c r="J7759" i="1"/>
  <c r="J7760" i="1"/>
  <c r="J7761" i="1"/>
  <c r="J7762" i="1"/>
  <c r="J7763" i="1"/>
  <c r="J7764" i="1"/>
  <c r="J7765" i="1"/>
  <c r="J7766" i="1"/>
  <c r="J7767" i="1"/>
  <c r="J7768" i="1"/>
  <c r="J7769" i="1"/>
  <c r="J7770" i="1"/>
  <c r="J7771" i="1"/>
  <c r="J7772" i="1"/>
  <c r="J7773" i="1"/>
  <c r="J7774" i="1"/>
  <c r="J7775" i="1"/>
  <c r="J7776" i="1"/>
  <c r="J7777" i="1"/>
  <c r="J7778" i="1"/>
  <c r="J7779" i="1"/>
  <c r="J7780" i="1"/>
  <c r="J7781" i="1"/>
  <c r="J7782" i="1"/>
  <c r="J7783" i="1"/>
  <c r="J7784" i="1"/>
  <c r="J7785" i="1"/>
  <c r="J7786" i="1"/>
  <c r="J7787" i="1"/>
  <c r="J7788" i="1"/>
  <c r="J7789" i="1"/>
  <c r="J7790" i="1"/>
  <c r="J7791" i="1"/>
  <c r="J7792" i="1"/>
  <c r="J7793" i="1"/>
  <c r="J7794" i="1"/>
  <c r="J7795" i="1"/>
  <c r="J7796" i="1"/>
  <c r="J7797" i="1"/>
  <c r="J7798" i="1"/>
  <c r="J7799" i="1"/>
  <c r="J7800" i="1"/>
  <c r="J7801" i="1"/>
  <c r="J7802" i="1"/>
  <c r="J7803" i="1"/>
  <c r="J7804" i="1"/>
  <c r="J7805" i="1"/>
  <c r="J7806" i="1"/>
  <c r="J7807" i="1"/>
  <c r="J7808" i="1"/>
  <c r="J7809" i="1"/>
  <c r="J7810" i="1"/>
  <c r="J7811" i="1"/>
  <c r="J7812" i="1"/>
  <c r="J7813" i="1"/>
  <c r="J7814" i="1"/>
  <c r="J7815" i="1"/>
  <c r="J7816" i="1"/>
  <c r="J7817" i="1"/>
  <c r="J7818" i="1"/>
  <c r="J7819" i="1"/>
  <c r="J7820" i="1"/>
  <c r="J7821" i="1"/>
  <c r="J7822" i="1"/>
  <c r="J7823" i="1"/>
  <c r="J7824" i="1"/>
  <c r="J7825" i="1"/>
  <c r="J7826" i="1"/>
  <c r="J7827" i="1"/>
  <c r="J7828" i="1"/>
  <c r="J7829" i="1"/>
  <c r="J7830" i="1"/>
  <c r="J7831" i="1"/>
  <c r="J7832" i="1"/>
  <c r="J7833" i="1"/>
  <c r="J7834" i="1"/>
  <c r="J7835" i="1"/>
  <c r="J7836" i="1"/>
  <c r="J7837" i="1"/>
  <c r="J7838" i="1"/>
  <c r="J7839" i="1"/>
  <c r="J7840" i="1"/>
  <c r="J7841" i="1"/>
  <c r="J7842" i="1"/>
  <c r="J7843" i="1"/>
  <c r="J7844" i="1"/>
  <c r="J7845" i="1"/>
  <c r="J7846" i="1"/>
  <c r="J7847" i="1"/>
  <c r="J7848" i="1"/>
  <c r="J7849" i="1"/>
  <c r="J7850" i="1"/>
  <c r="J7851" i="1"/>
  <c r="J7852" i="1"/>
  <c r="J7853" i="1"/>
  <c r="J7854" i="1"/>
  <c r="J7855" i="1"/>
  <c r="J7856" i="1"/>
  <c r="J7857" i="1"/>
  <c r="J7858" i="1"/>
  <c r="J7859" i="1"/>
  <c r="J7860" i="1"/>
  <c r="J7861" i="1"/>
  <c r="J7862" i="1"/>
  <c r="J7863" i="1"/>
  <c r="J7864" i="1"/>
  <c r="J7865" i="1"/>
  <c r="J7866" i="1"/>
  <c r="J7867" i="1"/>
  <c r="J7868" i="1"/>
  <c r="J7869" i="1"/>
  <c r="J7870" i="1"/>
  <c r="J7871" i="1"/>
  <c r="J7872" i="1"/>
  <c r="J7873" i="1"/>
  <c r="J7874" i="1"/>
  <c r="J7875" i="1"/>
  <c r="J7876" i="1"/>
  <c r="J7877" i="1"/>
  <c r="J7878" i="1"/>
  <c r="J7879" i="1"/>
  <c r="J7880" i="1"/>
  <c r="J7881" i="1"/>
  <c r="J7882" i="1"/>
  <c r="J7883" i="1"/>
  <c r="J7884" i="1"/>
  <c r="J7885" i="1"/>
  <c r="J7886" i="1"/>
  <c r="J7887" i="1"/>
  <c r="J7888" i="1"/>
  <c r="J7889" i="1"/>
  <c r="J7890" i="1"/>
  <c r="J7891" i="1"/>
  <c r="J7892" i="1"/>
  <c r="J7893" i="1"/>
  <c r="J7894" i="1"/>
  <c r="J7895" i="1"/>
  <c r="J7896" i="1"/>
  <c r="J7897" i="1"/>
  <c r="J7898" i="1"/>
  <c r="J7899" i="1"/>
  <c r="J7900" i="1"/>
  <c r="J7901" i="1"/>
  <c r="J7902" i="1"/>
  <c r="J7903" i="1"/>
  <c r="J7904" i="1"/>
  <c r="J7905" i="1"/>
  <c r="J7906" i="1"/>
  <c r="J7907" i="1"/>
  <c r="J7908" i="1"/>
  <c r="J7909" i="1"/>
  <c r="J7910" i="1"/>
  <c r="J7911" i="1"/>
  <c r="J7912" i="1"/>
  <c r="J7913" i="1"/>
  <c r="J7914" i="1"/>
  <c r="J7915" i="1"/>
  <c r="J7916" i="1"/>
  <c r="J7917" i="1"/>
  <c r="J7918" i="1"/>
  <c r="J2846" i="1"/>
  <c r="U96" i="9"/>
  <c r="P96" i="9"/>
  <c r="K2996" i="1"/>
  <c r="K2995" i="1"/>
  <c r="K2240" i="1"/>
  <c r="K4262" i="1"/>
  <c r="K3854" i="1"/>
  <c r="K1761" i="1"/>
  <c r="K1760" i="1"/>
  <c r="K1759" i="1"/>
  <c r="K1758" i="1"/>
  <c r="K1757" i="1"/>
  <c r="K1874" i="1"/>
  <c r="K1873" i="1"/>
  <c r="K1872" i="1"/>
  <c r="K3030" i="1"/>
  <c r="K3029" i="1"/>
  <c r="K3028" i="1"/>
  <c r="K3027" i="1"/>
  <c r="K3026" i="1"/>
  <c r="K4075" i="1"/>
  <c r="K4074" i="1"/>
  <c r="K4073" i="1"/>
  <c r="K4703" i="1"/>
  <c r="K4702" i="1"/>
  <c r="K4701" i="1"/>
  <c r="K4700" i="1"/>
  <c r="K4699" i="1"/>
  <c r="K4698" i="1"/>
  <c r="K4697" i="1"/>
  <c r="K4696" i="1"/>
  <c r="K5390" i="1"/>
  <c r="K5426" i="1"/>
  <c r="K5425" i="1"/>
  <c r="K5424" i="1"/>
  <c r="K2743" i="1"/>
  <c r="K2742" i="1"/>
  <c r="K2741" i="1"/>
  <c r="K2740" i="1"/>
  <c r="K766" i="1"/>
  <c r="K765" i="1"/>
  <c r="K764" i="1"/>
  <c r="K763" i="1"/>
  <c r="K3113" i="1"/>
  <c r="K3112" i="1"/>
  <c r="K1807" i="1"/>
  <c r="K2990" i="1"/>
  <c r="K2989" i="1"/>
  <c r="K2988" i="1"/>
  <c r="K2987" i="1"/>
  <c r="K2986" i="1"/>
  <c r="K2985" i="1"/>
  <c r="K2330" i="1"/>
  <c r="K1844" i="1"/>
  <c r="K1843" i="1"/>
  <c r="K525" i="1"/>
  <c r="K524" i="1"/>
  <c r="K3280" i="1"/>
  <c r="K3279" i="1"/>
  <c r="K3278" i="1"/>
  <c r="K1290" i="1"/>
  <c r="K1227" i="1"/>
  <c r="K2124" i="1"/>
  <c r="K656" i="1"/>
  <c r="K655" i="1"/>
  <c r="K1076" i="1"/>
  <c r="K1075" i="1"/>
  <c r="K5408" i="1"/>
  <c r="K2411" i="1"/>
  <c r="K1619" i="1"/>
  <c r="K1618" i="1"/>
  <c r="K358" i="1"/>
  <c r="K2154" i="1"/>
  <c r="K78" i="1"/>
  <c r="K1416" i="1"/>
  <c r="K717" i="1"/>
  <c r="K3749" i="1"/>
  <c r="K3748" i="1"/>
  <c r="K4788" i="1"/>
  <c r="K4787" i="1"/>
  <c r="K3761" i="1"/>
  <c r="K3760" i="1"/>
  <c r="K679" i="1"/>
  <c r="K678" i="1"/>
  <c r="K7236" i="1"/>
  <c r="K7235" i="1"/>
  <c r="K7234" i="1"/>
  <c r="K7233" i="1"/>
  <c r="K7232" i="1"/>
  <c r="K7231" i="1"/>
  <c r="K7230" i="1"/>
  <c r="K7229" i="1"/>
  <c r="K2459" i="1"/>
  <c r="K2502" i="1"/>
  <c r="K2501" i="1"/>
  <c r="K2500" i="1"/>
  <c r="K2499" i="1"/>
  <c r="K996" i="1"/>
  <c r="K2897" i="1"/>
  <c r="K227" i="1"/>
  <c r="K4912" i="1"/>
  <c r="K1292" i="1"/>
  <c r="K2663" i="1"/>
  <c r="K1902" i="1"/>
  <c r="K2080" i="1"/>
  <c r="K283" i="1"/>
  <c r="K1376" i="1"/>
  <c r="K5274" i="1"/>
  <c r="K2806" i="1"/>
  <c r="K226" i="1"/>
  <c r="K301" i="1"/>
  <c r="K2846" i="1"/>
  <c r="K281" i="1"/>
  <c r="K5045" i="1"/>
  <c r="K3526" i="1"/>
  <c r="K3640" i="1"/>
  <c r="K1331" i="1"/>
  <c r="K1330" i="1"/>
  <c r="K933" i="1"/>
  <c r="K3161" i="1"/>
  <c r="K3160" i="1"/>
  <c r="K3942" i="1"/>
  <c r="K4903" i="1"/>
  <c r="K2448" i="1"/>
  <c r="K5335" i="1"/>
  <c r="K2753" i="1"/>
  <c r="K291" i="1"/>
  <c r="K5252" i="1"/>
  <c r="K2423" i="1"/>
  <c r="K1148" i="1"/>
  <c r="K3610" i="1"/>
  <c r="K1771" i="1"/>
  <c r="K397" i="1"/>
  <c r="K3916" i="1"/>
  <c r="K4298" i="1"/>
  <c r="K4297" i="1"/>
  <c r="K4629" i="1"/>
  <c r="K4628" i="1"/>
  <c r="K4627" i="1"/>
  <c r="K5021" i="1"/>
  <c r="K1917" i="1"/>
  <c r="K1916" i="1"/>
  <c r="K1915" i="1"/>
  <c r="K1914" i="1"/>
  <c r="K1913" i="1"/>
  <c r="K1912" i="1"/>
  <c r="K1911" i="1"/>
  <c r="K3885" i="1"/>
  <c r="K3884" i="1"/>
  <c r="K3883" i="1"/>
  <c r="K3882" i="1"/>
  <c r="K3881" i="1"/>
  <c r="K4362" i="1"/>
  <c r="K4242" i="1"/>
  <c r="K4241" i="1"/>
  <c r="K4240" i="1"/>
  <c r="K4239" i="1"/>
  <c r="K4238" i="1"/>
  <c r="K4237" i="1"/>
  <c r="K4236" i="1"/>
  <c r="K4235" i="1"/>
  <c r="K4234" i="1"/>
  <c r="K4233" i="1"/>
  <c r="K4232" i="1"/>
  <c r="K4622" i="1"/>
  <c r="K4621" i="1"/>
  <c r="K4458" i="1"/>
  <c r="K4457" i="1"/>
  <c r="K4456" i="1"/>
  <c r="K3880" i="1"/>
  <c r="K3879" i="1"/>
  <c r="K2610" i="1"/>
  <c r="K5799" i="1"/>
  <c r="K5798" i="1"/>
  <c r="K5797" i="1"/>
  <c r="K5796" i="1"/>
  <c r="K5795" i="1"/>
  <c r="K5794" i="1"/>
  <c r="K5793" i="1"/>
  <c r="K5792" i="1"/>
  <c r="K5791" i="1"/>
  <c r="K5790" i="1"/>
  <c r="K5789" i="1"/>
  <c r="K5788" i="1"/>
  <c r="K5787" i="1"/>
  <c r="K5786" i="1"/>
  <c r="K5785" i="1"/>
  <c r="K5784" i="1"/>
  <c r="K5783" i="1"/>
  <c r="K5782" i="1"/>
  <c r="K5781" i="1"/>
  <c r="K5780" i="1"/>
  <c r="K5779" i="1"/>
  <c r="K222" i="1"/>
  <c r="K5013" i="1"/>
  <c r="K403" i="1"/>
  <c r="K194" i="1"/>
  <c r="K193" i="1"/>
  <c r="K192" i="1"/>
  <c r="K4434" i="1"/>
  <c r="K4433" i="1"/>
  <c r="K2412" i="1"/>
  <c r="K1033" i="1"/>
  <c r="K1990" i="1"/>
  <c r="K5407" i="1"/>
  <c r="K934" i="1"/>
  <c r="K2409" i="1"/>
  <c r="K4529" i="1"/>
  <c r="K4528" i="1"/>
  <c r="K3542" i="1"/>
  <c r="K732" i="1"/>
  <c r="K3044" i="1"/>
  <c r="K3043" i="1"/>
  <c r="K3042" i="1"/>
  <c r="K7440" i="1"/>
  <c r="K7439" i="1"/>
  <c r="K7438" i="1"/>
  <c r="K7437" i="1"/>
  <c r="K7436" i="1"/>
  <c r="K7435" i="1"/>
  <c r="K7434" i="1"/>
  <c r="K7433" i="1"/>
  <c r="K7432" i="1"/>
  <c r="K7431" i="1"/>
  <c r="K7430" i="1"/>
  <c r="K7429" i="1"/>
  <c r="K7428" i="1"/>
  <c r="K7427" i="1"/>
  <c r="K7426" i="1"/>
  <c r="K7425" i="1"/>
  <c r="K7424" i="1"/>
  <c r="K7423" i="1"/>
  <c r="K7422" i="1"/>
  <c r="K7421" i="1"/>
  <c r="K7420" i="1"/>
  <c r="K7419" i="1"/>
  <c r="K7418" i="1"/>
  <c r="K7417" i="1"/>
  <c r="K7416" i="1"/>
  <c r="K7415" i="1"/>
  <c r="K7414" i="1"/>
  <c r="K3851" i="1"/>
  <c r="K4760" i="1"/>
  <c r="K3985" i="1"/>
  <c r="K4579" i="1"/>
  <c r="K4578" i="1"/>
  <c r="K4577" i="1"/>
  <c r="K4576" i="1"/>
  <c r="K4575" i="1"/>
  <c r="K4574" i="1"/>
  <c r="K4573" i="1"/>
  <c r="K4572" i="1"/>
  <c r="K4571" i="1"/>
  <c r="K4570" i="1"/>
  <c r="K4569" i="1"/>
  <c r="K4568" i="1"/>
  <c r="K3952" i="1"/>
  <c r="K3951" i="1"/>
  <c r="K3950" i="1"/>
  <c r="K3949" i="1"/>
  <c r="K3948" i="1"/>
  <c r="K3947" i="1"/>
  <c r="K4003" i="1"/>
  <c r="K1339" i="1"/>
  <c r="K3242" i="1"/>
  <c r="K3241" i="1"/>
  <c r="K3240" i="1"/>
  <c r="K4219" i="1"/>
  <c r="K4218" i="1"/>
  <c r="K4217" i="1"/>
  <c r="K4216" i="1"/>
  <c r="K4215" i="1"/>
  <c r="K4214" i="1"/>
  <c r="K5778" i="1"/>
  <c r="K5777" i="1"/>
  <c r="K5776" i="1"/>
  <c r="K5775" i="1"/>
  <c r="K5774" i="1"/>
  <c r="K5773" i="1"/>
  <c r="K5772" i="1"/>
  <c r="K5771" i="1"/>
  <c r="K5770" i="1"/>
  <c r="K5769" i="1"/>
  <c r="K5768" i="1"/>
  <c r="K7652" i="1"/>
  <c r="K7651" i="1"/>
  <c r="K7650" i="1"/>
  <c r="K7649" i="1"/>
  <c r="K7648" i="1"/>
  <c r="K768" i="1"/>
  <c r="K767" i="1"/>
  <c r="K2021" i="1"/>
  <c r="K2020" i="1"/>
  <c r="K2983" i="1"/>
  <c r="K1590" i="1"/>
  <c r="K3127" i="1"/>
  <c r="K1770" i="1"/>
  <c r="K311" i="1"/>
  <c r="K310" i="1"/>
  <c r="K3353" i="1"/>
  <c r="K2304" i="1"/>
  <c r="K2303" i="1"/>
  <c r="K2302" i="1"/>
  <c r="K2301" i="1"/>
  <c r="K2300" i="1"/>
  <c r="K2299" i="1"/>
  <c r="K6023" i="1"/>
  <c r="K6022" i="1"/>
  <c r="K6021" i="1"/>
  <c r="K6020" i="1"/>
  <c r="K6019" i="1"/>
  <c r="K6018" i="1"/>
  <c r="K6017" i="1"/>
  <c r="K6016" i="1"/>
  <c r="K6015" i="1"/>
  <c r="K6014" i="1"/>
  <c r="K6013" i="1"/>
  <c r="K6012" i="1"/>
  <c r="K6011" i="1"/>
  <c r="K5100" i="1"/>
  <c r="K2588" i="1"/>
  <c r="K5166" i="1"/>
  <c r="K5165" i="1"/>
  <c r="K5164" i="1"/>
  <c r="K4515" i="1"/>
  <c r="K4514" i="1"/>
  <c r="K1056" i="1"/>
  <c r="K1055" i="1"/>
  <c r="K5241" i="1"/>
  <c r="K5240" i="1"/>
  <c r="K5239" i="1"/>
  <c r="K5238" i="1"/>
  <c r="K5237" i="1"/>
  <c r="K5236" i="1"/>
  <c r="K5235" i="1"/>
  <c r="K1813" i="1"/>
  <c r="K5222" i="1"/>
  <c r="K5221" i="1"/>
  <c r="K5220" i="1"/>
  <c r="K4916" i="1"/>
  <c r="K4915" i="1"/>
  <c r="K2895" i="1"/>
  <c r="K1074" i="1"/>
  <c r="K5125" i="1"/>
  <c r="K5124" i="1"/>
  <c r="K740" i="1"/>
  <c r="K1371" i="1"/>
  <c r="K2243" i="1"/>
  <c r="K3162" i="1"/>
  <c r="K1688" i="1"/>
  <c r="K2685" i="1"/>
  <c r="K3490" i="1"/>
  <c r="K2655" i="1"/>
  <c r="K2614" i="1"/>
  <c r="K5050" i="1"/>
  <c r="K5049" i="1"/>
  <c r="K5048" i="1"/>
  <c r="K4892" i="1"/>
  <c r="K2956" i="1"/>
  <c r="K4522" i="1"/>
  <c r="K4979" i="1"/>
  <c r="K2207" i="1"/>
  <c r="K2608" i="1"/>
  <c r="K3268" i="1"/>
  <c r="K2417" i="1"/>
  <c r="K2351" i="1"/>
  <c r="K4846" i="1"/>
  <c r="K1680" i="1"/>
  <c r="K3633" i="1"/>
  <c r="K2562" i="1"/>
  <c r="K3588" i="1"/>
  <c r="K3470" i="1"/>
  <c r="K2979" i="1"/>
  <c r="K4176" i="1"/>
  <c r="K4175" i="1"/>
  <c r="K360" i="1"/>
  <c r="K359" i="1"/>
  <c r="K7630" i="1"/>
  <c r="K7629" i="1"/>
  <c r="K5539" i="1"/>
  <c r="K5455" i="1"/>
  <c r="K5504" i="1"/>
  <c r="K5503" i="1"/>
  <c r="K5493" i="1"/>
  <c r="K5465" i="1"/>
  <c r="K5464" i="1"/>
  <c r="K5563" i="1"/>
  <c r="K5502" i="1"/>
  <c r="K5501" i="1"/>
  <c r="K5500" i="1"/>
  <c r="K5499" i="1"/>
  <c r="K5510" i="1"/>
  <c r="K5471" i="1"/>
  <c r="K5572" i="1"/>
  <c r="K5491" i="1"/>
  <c r="K5498" i="1"/>
  <c r="K5454" i="1"/>
  <c r="K5453" i="1"/>
  <c r="K5542" i="1"/>
  <c r="K5584" i="1"/>
  <c r="K5473" i="1"/>
  <c r="K5604" i="1"/>
  <c r="K5469" i="1"/>
  <c r="K5468" i="1"/>
  <c r="K5583" i="1"/>
  <c r="K5466" i="1"/>
  <c r="K5488" i="1"/>
  <c r="K5487" i="1"/>
  <c r="K5486" i="1"/>
  <c r="K5485" i="1"/>
  <c r="K5497" i="1"/>
  <c r="K5484" i="1"/>
  <c r="K7322" i="1"/>
  <c r="K7321" i="1"/>
  <c r="K7320" i="1"/>
  <c r="K7319" i="1"/>
  <c r="K7318" i="1"/>
  <c r="K7317" i="1"/>
  <c r="K7316" i="1"/>
  <c r="K5313" i="1"/>
  <c r="K3510" i="1"/>
  <c r="K2078" i="1"/>
  <c r="K4185" i="1"/>
  <c r="K1097" i="1"/>
  <c r="K3298" i="1"/>
  <c r="K3297" i="1"/>
  <c r="K3296" i="1"/>
  <c r="K3295" i="1"/>
  <c r="K221" i="1"/>
  <c r="K816" i="1"/>
  <c r="K664" i="1"/>
  <c r="K3446" i="1"/>
  <c r="K3592" i="1"/>
  <c r="K3057" i="1"/>
  <c r="K3813" i="1"/>
  <c r="K1153" i="1"/>
  <c r="K3798" i="1"/>
  <c r="K3797" i="1"/>
  <c r="K1568" i="1"/>
  <c r="K2824" i="1"/>
  <c r="K2823" i="1"/>
  <c r="K2822" i="1"/>
  <c r="K4413" i="1"/>
  <c r="K4412" i="1"/>
  <c r="K4411" i="1"/>
  <c r="K3922" i="1"/>
  <c r="K494" i="1"/>
  <c r="K3578" i="1"/>
  <c r="K3577" i="1"/>
  <c r="K3576" i="1"/>
  <c r="K3653" i="1"/>
  <c r="K949" i="1"/>
  <c r="K948" i="1"/>
  <c r="K947" i="1"/>
  <c r="K927" i="1"/>
  <c r="K926" i="1"/>
  <c r="K1950" i="1"/>
  <c r="K2163" i="1"/>
  <c r="K2162" i="1"/>
  <c r="K3580" i="1"/>
  <c r="K400" i="1"/>
  <c r="K3501" i="1"/>
  <c r="K1947" i="1"/>
  <c r="K1826" i="1"/>
  <c r="K2683" i="1"/>
  <c r="K2682" i="1"/>
  <c r="K362" i="1"/>
  <c r="K361" i="1"/>
  <c r="K1856" i="1"/>
  <c r="K1855" i="1"/>
  <c r="K3130" i="1"/>
  <c r="K3007" i="1"/>
  <c r="K3315" i="1"/>
  <c r="K3314" i="1"/>
  <c r="K2803" i="1"/>
  <c r="K328" i="1"/>
  <c r="K327" i="1"/>
  <c r="K2321" i="1"/>
  <c r="K1748" i="1"/>
  <c r="K1747" i="1"/>
  <c r="K1746" i="1"/>
  <c r="K3702" i="1"/>
  <c r="K3701" i="1"/>
  <c r="K3700" i="1"/>
  <c r="K2705" i="1"/>
  <c r="K2793" i="1"/>
  <c r="K2792" i="1"/>
  <c r="K7015" i="1"/>
  <c r="K7014" i="1"/>
  <c r="K7013" i="1"/>
  <c r="K6424" i="1"/>
  <c r="K6423" i="1"/>
  <c r="K6422" i="1"/>
  <c r="K6421" i="1"/>
  <c r="K6420" i="1"/>
  <c r="K6419" i="1"/>
  <c r="K6418" i="1"/>
  <c r="K6417" i="1"/>
  <c r="K6416" i="1"/>
  <c r="K6415" i="1"/>
  <c r="K6414" i="1"/>
  <c r="K6413" i="1"/>
  <c r="K6412" i="1"/>
  <c r="K6411" i="1"/>
  <c r="K6410" i="1"/>
  <c r="K6409" i="1"/>
  <c r="K6408" i="1"/>
  <c r="K6407" i="1"/>
  <c r="K6406" i="1"/>
  <c r="K6405" i="1"/>
  <c r="K6404" i="1"/>
  <c r="K777" i="1"/>
  <c r="K776" i="1"/>
  <c r="K1881" i="1"/>
  <c r="K1356" i="1"/>
  <c r="K3911" i="1"/>
  <c r="K3910" i="1"/>
  <c r="K3909" i="1"/>
  <c r="K3908" i="1"/>
  <c r="K3907" i="1"/>
  <c r="K3906" i="1"/>
  <c r="K3905" i="1"/>
  <c r="K3216" i="1"/>
  <c r="K3215" i="1"/>
  <c r="K3214" i="1"/>
  <c r="K3213" i="1"/>
  <c r="K3462" i="1"/>
  <c r="K2867" i="1"/>
  <c r="K2866" i="1"/>
  <c r="K2865" i="1"/>
  <c r="K2864" i="1"/>
  <c r="K1593" i="1"/>
  <c r="K1788" i="1"/>
  <c r="K2029" i="1"/>
  <c r="K2028" i="1"/>
  <c r="K1204" i="1"/>
  <c r="K3778" i="1"/>
  <c r="K3156" i="1"/>
  <c r="K3777" i="1"/>
  <c r="K3518" i="1"/>
  <c r="K3517" i="1"/>
  <c r="K6453" i="1"/>
  <c r="K6452" i="1"/>
  <c r="K6451" i="1"/>
  <c r="K6450" i="1"/>
  <c r="K6449" i="1"/>
  <c r="K6448" i="1"/>
  <c r="K6447" i="1"/>
  <c r="K6446" i="1"/>
  <c r="K6445" i="1"/>
  <c r="K6444" i="1"/>
  <c r="K6443" i="1"/>
  <c r="K6442" i="1"/>
  <c r="K6441" i="1"/>
  <c r="K6440" i="1"/>
  <c r="K6439" i="1"/>
  <c r="K6438" i="1"/>
  <c r="K6437" i="1"/>
  <c r="K6436" i="1"/>
  <c r="K6435" i="1"/>
  <c r="K6434" i="1"/>
  <c r="K6433" i="1"/>
  <c r="K6432" i="1"/>
  <c r="K6431" i="1"/>
  <c r="K6430" i="1"/>
  <c r="K6429" i="1"/>
  <c r="K6428" i="1"/>
  <c r="K6427" i="1"/>
  <c r="K6426" i="1"/>
  <c r="K6744" i="1"/>
  <c r="K6743" i="1"/>
  <c r="K6742" i="1"/>
  <c r="K6741" i="1"/>
  <c r="K7532" i="1"/>
  <c r="K7531" i="1"/>
  <c r="K7530" i="1"/>
  <c r="K7529" i="1"/>
  <c r="K7528" i="1"/>
  <c r="K7527" i="1"/>
  <c r="K7526" i="1"/>
  <c r="K7525" i="1"/>
  <c r="K7524" i="1"/>
  <c r="K7523" i="1"/>
  <c r="K7522" i="1"/>
  <c r="K4719" i="1"/>
  <c r="K3617" i="1"/>
  <c r="K1378" i="1"/>
  <c r="K1322" i="1"/>
  <c r="K2921" i="1"/>
  <c r="K1719" i="1"/>
  <c r="K3897" i="1"/>
  <c r="K1462" i="1"/>
  <c r="K3528" i="1"/>
  <c r="K3527" i="1"/>
  <c r="K3132" i="1"/>
  <c r="K2334" i="1"/>
  <c r="K4766" i="1"/>
  <c r="K7006" i="1"/>
  <c r="K7005" i="1"/>
  <c r="K7004" i="1"/>
  <c r="K7003" i="1"/>
  <c r="K7002" i="1"/>
  <c r="K7001" i="1"/>
  <c r="K7000" i="1"/>
  <c r="K6999" i="1"/>
  <c r="K6998" i="1"/>
  <c r="K6997" i="1"/>
  <c r="K6996" i="1"/>
  <c r="K6995" i="1"/>
  <c r="K6994" i="1"/>
  <c r="K6993" i="1"/>
  <c r="K6992" i="1"/>
  <c r="K7778" i="1"/>
  <c r="K7777" i="1"/>
  <c r="K7776" i="1"/>
  <c r="K7775" i="1"/>
  <c r="K7774" i="1"/>
  <c r="K7773" i="1"/>
  <c r="K7772" i="1"/>
  <c r="K7771" i="1"/>
  <c r="K7770" i="1"/>
  <c r="K7769" i="1"/>
  <c r="K7768" i="1"/>
  <c r="K7767" i="1"/>
  <c r="K7766" i="1"/>
  <c r="K6184" i="1"/>
  <c r="K6183" i="1"/>
  <c r="K6182" i="1"/>
  <c r="K6181" i="1"/>
  <c r="K6180" i="1"/>
  <c r="K6179" i="1"/>
  <c r="K6178" i="1"/>
  <c r="K6177" i="1"/>
  <c r="K6176" i="1"/>
  <c r="K6175" i="1"/>
  <c r="K6174" i="1"/>
  <c r="K6173" i="1"/>
  <c r="K6172" i="1"/>
  <c r="K6171" i="1"/>
  <c r="K6170" i="1"/>
  <c r="K6169" i="1"/>
  <c r="K6168" i="1"/>
  <c r="K6167" i="1"/>
  <c r="K6166" i="1"/>
  <c r="K6165" i="1"/>
  <c r="K5301" i="1"/>
  <c r="K5300" i="1"/>
  <c r="K4258" i="1"/>
  <c r="K4257" i="1"/>
  <c r="K4256" i="1"/>
  <c r="K4255" i="1"/>
  <c r="K4254" i="1"/>
  <c r="K4253" i="1"/>
  <c r="K4252" i="1"/>
  <c r="K1305" i="1"/>
  <c r="K1304" i="1"/>
  <c r="K1303" i="1"/>
  <c r="K1484" i="1"/>
  <c r="K1483" i="1"/>
  <c r="K1482" i="1"/>
  <c r="K1481" i="1"/>
  <c r="K3305" i="1"/>
  <c r="K3304" i="1"/>
  <c r="K3303" i="1"/>
  <c r="K3302" i="1"/>
  <c r="K3301" i="1"/>
  <c r="K3300" i="1"/>
  <c r="K3299" i="1"/>
  <c r="K3436" i="1"/>
  <c r="K2786" i="1"/>
  <c r="K2785" i="1"/>
  <c r="K2784" i="1"/>
  <c r="K2783" i="1"/>
  <c r="K5452" i="1"/>
  <c r="K5599" i="1"/>
  <c r="K6045" i="1"/>
  <c r="K6044" i="1"/>
  <c r="K4095" i="1"/>
  <c r="K5329" i="1"/>
  <c r="K5328" i="1"/>
  <c r="K5327" i="1"/>
  <c r="K5059" i="1"/>
  <c r="K5058" i="1"/>
  <c r="K5057" i="1"/>
  <c r="K5056" i="1"/>
  <c r="K5055" i="1"/>
  <c r="K5054" i="1"/>
  <c r="K5053" i="1"/>
  <c r="K5052" i="1"/>
  <c r="K4637" i="1"/>
  <c r="K4636" i="1"/>
  <c r="K4635" i="1"/>
  <c r="K4634" i="1"/>
  <c r="K4633" i="1"/>
  <c r="K2475" i="1"/>
  <c r="K2474" i="1"/>
  <c r="K2473" i="1"/>
  <c r="K2472" i="1"/>
  <c r="K2149" i="1"/>
  <c r="K2148" i="1"/>
  <c r="K2147" i="1"/>
  <c r="K1220" i="1"/>
  <c r="K1473" i="1"/>
  <c r="K3252" i="1"/>
  <c r="K3089" i="1"/>
  <c r="K3088" i="1"/>
  <c r="K3087" i="1"/>
  <c r="K3086" i="1"/>
  <c r="K3085" i="1"/>
  <c r="K2491" i="1"/>
  <c r="K3416" i="1"/>
  <c r="K3415" i="1"/>
  <c r="K3414" i="1"/>
  <c r="K920" i="1"/>
  <c r="K919" i="1"/>
  <c r="K918" i="1"/>
  <c r="K917" i="1"/>
  <c r="K6506" i="1"/>
  <c r="K6505" i="1"/>
  <c r="K6504" i="1"/>
  <c r="K6503" i="1"/>
  <c r="K6502" i="1"/>
  <c r="K6501" i="1"/>
  <c r="K6500" i="1"/>
  <c r="K6499" i="1"/>
  <c r="K6498" i="1"/>
  <c r="K6497" i="1"/>
  <c r="K6496" i="1"/>
  <c r="K6495" i="1"/>
  <c r="K6494" i="1"/>
  <c r="K6493" i="1"/>
  <c r="K1411" i="1"/>
  <c r="K3738" i="1"/>
  <c r="K3737" i="1"/>
  <c r="K3139" i="1"/>
  <c r="K3523" i="1"/>
  <c r="K1497" i="1"/>
  <c r="K1496" i="1"/>
  <c r="K1495" i="1"/>
  <c r="K1538" i="1"/>
  <c r="K1094" i="1"/>
  <c r="K584" i="1"/>
  <c r="K583" i="1"/>
  <c r="K2830" i="1"/>
  <c r="K239" i="1"/>
  <c r="K238" i="1"/>
  <c r="K1461" i="1"/>
  <c r="K2522" i="1"/>
  <c r="K2521" i="1"/>
  <c r="K2520" i="1"/>
  <c r="K2276" i="1"/>
  <c r="K654" i="1"/>
  <c r="K653" i="1"/>
  <c r="K2242" i="1"/>
  <c r="K1702" i="1"/>
  <c r="K5282" i="1"/>
  <c r="K1536" i="1"/>
  <c r="K1535" i="1"/>
  <c r="K2164" i="1"/>
  <c r="K4898" i="1"/>
  <c r="K4897" i="1"/>
  <c r="K4896" i="1"/>
  <c r="K5258" i="1"/>
  <c r="K5018" i="1"/>
  <c r="K945" i="1"/>
  <c r="K944" i="1"/>
  <c r="K943" i="1"/>
  <c r="K942" i="1"/>
  <c r="K941" i="1"/>
  <c r="K940" i="1"/>
  <c r="K939" i="1"/>
  <c r="K938" i="1"/>
  <c r="K2928" i="1"/>
  <c r="K2739" i="1"/>
  <c r="K2738" i="1"/>
  <c r="K2737" i="1"/>
  <c r="K3032" i="1"/>
  <c r="K3031" i="1"/>
  <c r="K762" i="1"/>
  <c r="K761" i="1"/>
  <c r="K760" i="1"/>
  <c r="K3097" i="1"/>
  <c r="K3096" i="1"/>
  <c r="K1588" i="1"/>
  <c r="K1587" i="1"/>
  <c r="K1586" i="1"/>
  <c r="K1585" i="1"/>
  <c r="K1584" i="1"/>
  <c r="K1583" i="1"/>
  <c r="K2718" i="1"/>
  <c r="K2717" i="1"/>
  <c r="K2716" i="1"/>
  <c r="K1533" i="1"/>
  <c r="K1662" i="1"/>
  <c r="K1661" i="1"/>
  <c r="K1946" i="1"/>
  <c r="K1945" i="1"/>
  <c r="K3235" i="1"/>
  <c r="K3234" i="1"/>
  <c r="K3846" i="1"/>
  <c r="K3845" i="1"/>
  <c r="K3844" i="1"/>
  <c r="K3843" i="1"/>
  <c r="K3842" i="1"/>
  <c r="K4405" i="1"/>
  <c r="K4404" i="1"/>
  <c r="K3958" i="1"/>
  <c r="K3957" i="1"/>
  <c r="K3956" i="1"/>
  <c r="K3955" i="1"/>
  <c r="K3954" i="1"/>
  <c r="K3953" i="1"/>
  <c r="K893" i="1"/>
  <c r="K892" i="1"/>
  <c r="K5259" i="1"/>
  <c r="K4683" i="1"/>
  <c r="K4495" i="1"/>
  <c r="K4494" i="1"/>
  <c r="K5150" i="1"/>
  <c r="K5149" i="1"/>
  <c r="K5148" i="1"/>
  <c r="K5147" i="1"/>
  <c r="K5146" i="1"/>
  <c r="K1361" i="1"/>
  <c r="K2011" i="1"/>
  <c r="K2010" i="1"/>
  <c r="K2009" i="1"/>
  <c r="K1248" i="1"/>
  <c r="K1247" i="1"/>
  <c r="K1246" i="1"/>
  <c r="K1245" i="1"/>
  <c r="K4116" i="1"/>
  <c r="K4115" i="1"/>
  <c r="K4114" i="1"/>
  <c r="K4113" i="1"/>
  <c r="K4112" i="1"/>
  <c r="K4111" i="1"/>
  <c r="K1409" i="1"/>
  <c r="K1408" i="1"/>
  <c r="K1407" i="1"/>
  <c r="K2612" i="1"/>
  <c r="K2611" i="1"/>
  <c r="K3137" i="1"/>
  <c r="K5341" i="1"/>
  <c r="K5340" i="1"/>
  <c r="K6" i="1"/>
  <c r="K1976" i="1"/>
  <c r="K2726" i="1"/>
  <c r="K1895" i="1"/>
  <c r="K2264" i="1"/>
  <c r="K3646" i="1"/>
  <c r="K3558" i="1"/>
  <c r="K3557" i="1"/>
  <c r="K1573" i="1"/>
  <c r="K5339" i="1"/>
  <c r="K733" i="1"/>
  <c r="K582" i="1"/>
  <c r="K2056" i="1"/>
  <c r="K2633" i="1"/>
  <c r="K3618" i="1"/>
  <c r="K233" i="1"/>
  <c r="K2812" i="1"/>
  <c r="K1534" i="1"/>
  <c r="K3545" i="1"/>
  <c r="K3959" i="1"/>
  <c r="K7713" i="1"/>
  <c r="K7712" i="1"/>
  <c r="K7711" i="1"/>
  <c r="K7710" i="1"/>
  <c r="K7709" i="1"/>
  <c r="K7708" i="1"/>
  <c r="K7707" i="1"/>
  <c r="K7706" i="1"/>
  <c r="K7705" i="1"/>
  <c r="K7704" i="1"/>
  <c r="K7703" i="1"/>
  <c r="K7702" i="1"/>
  <c r="K7701" i="1"/>
  <c r="K7700" i="1"/>
  <c r="K7699" i="1"/>
  <c r="K7698" i="1"/>
  <c r="K7697" i="1"/>
  <c r="K7696" i="1"/>
  <c r="K7695" i="1"/>
  <c r="K7694" i="1"/>
  <c r="K7693" i="1"/>
  <c r="K7692" i="1"/>
  <c r="K7691" i="1"/>
  <c r="K7690" i="1"/>
  <c r="K7689" i="1"/>
  <c r="K7688" i="1"/>
  <c r="K7687" i="1"/>
  <c r="K7686" i="1"/>
  <c r="K2435" i="1"/>
  <c r="K5207" i="1"/>
  <c r="K5206" i="1"/>
  <c r="K4541" i="1"/>
  <c r="K4486" i="1"/>
  <c r="K916" i="1"/>
  <c r="K184" i="1"/>
  <c r="K183" i="1"/>
  <c r="K182" i="1"/>
  <c r="K181" i="1"/>
  <c r="K180" i="1"/>
  <c r="K179" i="1"/>
  <c r="K178" i="1"/>
  <c r="K177" i="1"/>
  <c r="K176" i="1"/>
  <c r="K175" i="1"/>
  <c r="K1740" i="1"/>
  <c r="K1739" i="1"/>
  <c r="K2146" i="1"/>
  <c r="K2145" i="1"/>
  <c r="K2144" i="1"/>
  <c r="K2143" i="1"/>
  <c r="K2142" i="1"/>
  <c r="K5036" i="1"/>
  <c r="K5035" i="1"/>
  <c r="K3321" i="1"/>
  <c r="K3070" i="1"/>
  <c r="K3069" i="1"/>
  <c r="K6700" i="1"/>
  <c r="K6699" i="1"/>
  <c r="K6698" i="1"/>
  <c r="K6697" i="1"/>
  <c r="K6696" i="1"/>
  <c r="K6695" i="1"/>
  <c r="K6694" i="1"/>
  <c r="K6693" i="1"/>
  <c r="K7448" i="1"/>
  <c r="K7447" i="1"/>
  <c r="K7446" i="1"/>
  <c r="K7445" i="1"/>
  <c r="K7444" i="1"/>
  <c r="K7443" i="1"/>
  <c r="K7442" i="1"/>
  <c r="K7441" i="1"/>
  <c r="K7412" i="1"/>
  <c r="K7411" i="1"/>
  <c r="K7410" i="1"/>
  <c r="K7409" i="1"/>
  <c r="K5204" i="1"/>
  <c r="K5203" i="1"/>
  <c r="K5202" i="1"/>
  <c r="K5201" i="1"/>
  <c r="K5200" i="1"/>
  <c r="K5199" i="1"/>
  <c r="K5198" i="1"/>
  <c r="K5197" i="1"/>
  <c r="K6584" i="1"/>
  <c r="K6583" i="1"/>
  <c r="K6582" i="1"/>
  <c r="K6581" i="1"/>
  <c r="K6580" i="1"/>
  <c r="K6579" i="1"/>
  <c r="K6578" i="1"/>
  <c r="K6577" i="1"/>
  <c r="K6576" i="1"/>
  <c r="K6575" i="1"/>
  <c r="K6574" i="1"/>
  <c r="K6573" i="1"/>
  <c r="K6572" i="1"/>
  <c r="K6571" i="1"/>
  <c r="K6570" i="1"/>
  <c r="K6569" i="1"/>
  <c r="K6568" i="1"/>
  <c r="K6567" i="1"/>
  <c r="K6121" i="1"/>
  <c r="K6120" i="1"/>
  <c r="K6119" i="1"/>
  <c r="K6118" i="1"/>
  <c r="K6117" i="1"/>
  <c r="K6116" i="1"/>
  <c r="K6115" i="1"/>
  <c r="K6114" i="1"/>
  <c r="K6113" i="1"/>
  <c r="K6112" i="1"/>
  <c r="K5396" i="1"/>
  <c r="K1222" i="1"/>
  <c r="K1221" i="1"/>
  <c r="K3386" i="1"/>
  <c r="K4" i="1"/>
  <c r="K3" i="1"/>
  <c r="K5082" i="1"/>
  <c r="K5081" i="1"/>
  <c r="K4045" i="1"/>
  <c r="K4044" i="1"/>
  <c r="K4043" i="1"/>
  <c r="K5205" i="1"/>
  <c r="K5332" i="1"/>
  <c r="K4493" i="1"/>
  <c r="K4492" i="1"/>
  <c r="K4491" i="1"/>
  <c r="K4601" i="1"/>
  <c r="K4600" i="1"/>
  <c r="K4599" i="1"/>
  <c r="K4598" i="1"/>
  <c r="K4597" i="1"/>
  <c r="K4596" i="1"/>
  <c r="K4595" i="1"/>
  <c r="K4594" i="1"/>
  <c r="K4853" i="1"/>
  <c r="K4852" i="1"/>
  <c r="K4851" i="1"/>
  <c r="K4850" i="1"/>
  <c r="K4682" i="1"/>
  <c r="K4681" i="1"/>
  <c r="K4680" i="1"/>
  <c r="K4679" i="1"/>
  <c r="K4678" i="1"/>
  <c r="K4677" i="1"/>
  <c r="K4676" i="1"/>
  <c r="K4675" i="1"/>
  <c r="K4674" i="1"/>
  <c r="K4673" i="1"/>
  <c r="K4672" i="1"/>
  <c r="K4671" i="1"/>
  <c r="K4670" i="1"/>
  <c r="K4669" i="1"/>
  <c r="K4668" i="1"/>
  <c r="K4667" i="1"/>
  <c r="K1394" i="1"/>
  <c r="K1393" i="1"/>
  <c r="K1392" i="1"/>
  <c r="K1391" i="1"/>
  <c r="K1390" i="1"/>
  <c r="K1389" i="1"/>
  <c r="K1388" i="1"/>
  <c r="K2791" i="1"/>
  <c r="K5377" i="1"/>
  <c r="K3425" i="1"/>
  <c r="K4655" i="1"/>
  <c r="K4654" i="1"/>
  <c r="K11" i="1"/>
  <c r="K10" i="1"/>
  <c r="K3212" i="1"/>
  <c r="K1625" i="1"/>
  <c r="K3524" i="1"/>
  <c r="K3312" i="1"/>
  <c r="K236" i="1"/>
  <c r="K3310" i="1"/>
  <c r="K300" i="1"/>
  <c r="K235" i="1"/>
  <c r="K234" i="1"/>
  <c r="K2517" i="1"/>
  <c r="K2924" i="1"/>
  <c r="K2923" i="1"/>
  <c r="K3423" i="1"/>
  <c r="K97" i="1"/>
  <c r="K728" i="1"/>
  <c r="K2444" i="1"/>
  <c r="K2648" i="1"/>
  <c r="K2647" i="1"/>
  <c r="K2646" i="1"/>
  <c r="K1830" i="1"/>
  <c r="K1829" i="1"/>
  <c r="K839" i="1"/>
  <c r="K1782" i="1"/>
  <c r="K3138" i="1"/>
  <c r="K2748" i="1"/>
  <c r="K3688" i="1"/>
  <c r="K2836" i="1"/>
  <c r="K3129" i="1"/>
  <c r="K2211" i="1"/>
  <c r="K1814" i="1"/>
  <c r="K6130" i="1"/>
  <c r="K6129" i="1"/>
  <c r="K6128" i="1"/>
  <c r="K6127" i="1"/>
  <c r="K6126" i="1"/>
  <c r="K6125" i="1"/>
  <c r="K6124" i="1"/>
  <c r="K6123" i="1"/>
  <c r="K6122" i="1"/>
  <c r="K561" i="1"/>
  <c r="K2352" i="1"/>
  <c r="K225" i="1"/>
  <c r="K1979" i="1"/>
  <c r="K3136" i="1"/>
  <c r="K2965" i="1"/>
  <c r="K1034" i="1"/>
  <c r="K2076" i="1"/>
  <c r="K2075" i="1"/>
  <c r="K4640" i="1"/>
  <c r="K4856" i="1"/>
  <c r="K4855" i="1"/>
  <c r="K4854" i="1"/>
  <c r="K323" i="1"/>
  <c r="K322" i="1"/>
  <c r="K321" i="1"/>
  <c r="K257" i="1"/>
  <c r="K478" i="1"/>
  <c r="K477" i="1"/>
  <c r="K5373" i="1"/>
  <c r="K2288" i="1"/>
  <c r="K2287" i="1"/>
  <c r="K2286" i="1"/>
  <c r="K4406" i="1"/>
  <c r="K3681" i="1"/>
  <c r="K3680" i="1"/>
  <c r="K3679" i="1"/>
  <c r="K280" i="1"/>
  <c r="K279" i="1"/>
  <c r="K341" i="1"/>
  <c r="K546" i="1"/>
  <c r="K545" i="1"/>
  <c r="K544" i="1"/>
  <c r="K543" i="1"/>
  <c r="K835" i="1"/>
  <c r="K2896" i="1"/>
  <c r="K2350" i="1"/>
  <c r="K1071" i="1"/>
  <c r="K4844" i="1"/>
  <c r="K3245" i="1"/>
  <c r="K3244" i="1"/>
  <c r="K3243" i="1"/>
  <c r="K2012" i="1"/>
  <c r="K4063" i="1"/>
  <c r="K4062" i="1"/>
  <c r="K4144" i="1"/>
  <c r="K4143" i="1"/>
  <c r="K441" i="1"/>
  <c r="K3720" i="1"/>
  <c r="K1283" i="1"/>
  <c r="K3920" i="1"/>
  <c r="K1080" i="1"/>
  <c r="K1079" i="1"/>
  <c r="K628" i="1"/>
  <c r="K686" i="1"/>
  <c r="K541" i="1"/>
  <c r="K540" i="1"/>
  <c r="K667" i="1"/>
  <c r="K5272" i="1"/>
  <c r="K3570" i="1"/>
  <c r="K3569" i="1"/>
  <c r="K3568" i="1"/>
  <c r="K2847" i="1"/>
  <c r="K815" i="1"/>
  <c r="K814" i="1"/>
  <c r="K5299" i="1"/>
  <c r="K5298" i="1"/>
  <c r="K5297" i="1"/>
  <c r="K5296" i="1"/>
  <c r="K3853" i="1"/>
  <c r="K3852" i="1"/>
  <c r="K7742" i="1"/>
  <c r="K7741" i="1"/>
  <c r="K7740" i="1"/>
  <c r="K7739" i="1"/>
  <c r="K1547" i="1"/>
  <c r="K1546" i="1"/>
  <c r="K1839" i="1"/>
  <c r="K1838" i="1"/>
  <c r="K200" i="1"/>
  <c r="K199" i="1"/>
  <c r="K198" i="1"/>
  <c r="K197" i="1"/>
  <c r="K196" i="1"/>
  <c r="K195" i="1"/>
  <c r="K3277" i="1"/>
  <c r="K3276" i="1"/>
  <c r="K2404" i="1"/>
  <c r="K2403" i="1"/>
  <c r="K2402" i="1"/>
  <c r="K2539" i="1"/>
  <c r="K2538" i="1"/>
  <c r="K2859" i="1"/>
  <c r="K1355" i="1"/>
  <c r="K1354" i="1"/>
  <c r="K1353" i="1"/>
  <c r="K1674" i="1"/>
  <c r="K1673" i="1"/>
  <c r="K1672" i="1"/>
  <c r="K1671" i="1"/>
  <c r="K5309" i="1"/>
  <c r="K5308" i="1"/>
  <c r="K7194" i="1"/>
  <c r="K7193" i="1"/>
  <c r="K7192" i="1"/>
  <c r="K7191" i="1"/>
  <c r="K7190" i="1"/>
  <c r="K7189" i="1"/>
  <c r="K7188" i="1"/>
  <c r="K7187" i="1"/>
  <c r="K7186" i="1"/>
  <c r="K7185" i="1"/>
  <c r="K7184" i="1"/>
  <c r="K7183" i="1"/>
  <c r="K7182" i="1"/>
  <c r="K230" i="1"/>
  <c r="K229" i="1"/>
  <c r="K2443" i="1"/>
  <c r="K2442" i="1"/>
  <c r="K2441" i="1"/>
  <c r="K2440" i="1"/>
  <c r="K2439" i="1"/>
  <c r="K516" i="1"/>
  <c r="K4911" i="1"/>
  <c r="K3539" i="1"/>
  <c r="K3943" i="1"/>
  <c r="K1418" i="1"/>
  <c r="K3180" i="1"/>
  <c r="K975" i="1"/>
  <c r="K1341" i="1"/>
  <c r="K2524" i="1"/>
  <c r="K2523" i="1"/>
  <c r="K684" i="1"/>
  <c r="K1327" i="1"/>
  <c r="K1326" i="1"/>
  <c r="K1325" i="1"/>
  <c r="K1324" i="1"/>
  <c r="K1152" i="1"/>
  <c r="K1151" i="1"/>
  <c r="K1150" i="1"/>
  <c r="K2128" i="1"/>
  <c r="K2070" i="1"/>
  <c r="K2069" i="1"/>
  <c r="K2068" i="1"/>
  <c r="K2067" i="1"/>
  <c r="K4653" i="1"/>
  <c r="K2699" i="1"/>
  <c r="K2373" i="1"/>
  <c r="K958" i="1"/>
  <c r="K2086" i="1"/>
  <c r="K799" i="1"/>
  <c r="K798" i="1"/>
  <c r="K797" i="1"/>
  <c r="K4617" i="1"/>
  <c r="K4616" i="1"/>
  <c r="K5188" i="1"/>
  <c r="K5187" i="1"/>
  <c r="K5186" i="1"/>
  <c r="K4937" i="1"/>
  <c r="K1660" i="1"/>
  <c r="K1659" i="1"/>
  <c r="K242" i="1"/>
  <c r="K241" i="1"/>
  <c r="K240" i="1"/>
  <c r="K1560" i="1"/>
  <c r="K1559" i="1"/>
  <c r="K1558" i="1"/>
  <c r="K95" i="1"/>
  <c r="K1606" i="1"/>
  <c r="K1605" i="1"/>
  <c r="K1604" i="1"/>
  <c r="K1603" i="1"/>
  <c r="K3014" i="1"/>
  <c r="K3936" i="1"/>
  <c r="K2038" i="1"/>
  <c r="K2037" i="1"/>
  <c r="K2036" i="1"/>
  <c r="K2035" i="1"/>
  <c r="K832" i="1"/>
  <c r="K831" i="1"/>
  <c r="K830" i="1"/>
  <c r="K829" i="1"/>
  <c r="K828" i="1"/>
  <c r="K827" i="1"/>
  <c r="K826" i="1"/>
  <c r="K825" i="1"/>
  <c r="K824" i="1"/>
  <c r="K4270" i="1"/>
  <c r="K4269" i="1"/>
  <c r="K4268" i="1"/>
  <c r="K4267" i="1"/>
  <c r="K4266" i="1"/>
  <c r="K4150" i="1"/>
  <c r="K4149" i="1"/>
  <c r="K4148" i="1"/>
  <c r="K3017" i="1"/>
  <c r="K5435" i="1"/>
  <c r="K5434" i="1"/>
  <c r="K3361" i="1"/>
  <c r="K99" i="1"/>
  <c r="K3350" i="1"/>
  <c r="K3247" i="1"/>
  <c r="K5918" i="1"/>
  <c r="K5917" i="1"/>
  <c r="K5916" i="1"/>
  <c r="K5915" i="1"/>
  <c r="K5914" i="1"/>
  <c r="K5913" i="1"/>
  <c r="K5912" i="1"/>
  <c r="K5911" i="1"/>
  <c r="K5910" i="1"/>
  <c r="K5909" i="1"/>
  <c r="K5908" i="1"/>
  <c r="K5907" i="1"/>
  <c r="K5906" i="1"/>
  <c r="K5905" i="1"/>
  <c r="K5904" i="1"/>
  <c r="K5903" i="1"/>
  <c r="K5902" i="1"/>
  <c r="K5901" i="1"/>
  <c r="K5900" i="1"/>
  <c r="K5657" i="1"/>
  <c r="K5656" i="1"/>
  <c r="K5655" i="1"/>
  <c r="K5654" i="1"/>
  <c r="K5653" i="1"/>
  <c r="K6734" i="1"/>
  <c r="K6733" i="1"/>
  <c r="K6732" i="1"/>
  <c r="K6731" i="1"/>
  <c r="K6730" i="1"/>
  <c r="K6729" i="1"/>
  <c r="K6728" i="1"/>
  <c r="K6727" i="1"/>
  <c r="K1289" i="1"/>
  <c r="K4071" i="1"/>
  <c r="K4070" i="1"/>
  <c r="K3290" i="1"/>
  <c r="K1282" i="1"/>
  <c r="K1877" i="1"/>
  <c r="K1876" i="1"/>
  <c r="K1875" i="1"/>
  <c r="K4184" i="1"/>
  <c r="K4183" i="1"/>
  <c r="K497" i="1"/>
  <c r="K3869" i="1"/>
  <c r="K3698" i="1"/>
  <c r="K3697" i="1"/>
  <c r="K3220" i="1"/>
  <c r="K3219" i="1"/>
  <c r="K3218" i="1"/>
  <c r="K2278" i="1"/>
  <c r="K2277" i="1"/>
  <c r="K2361" i="1"/>
  <c r="K793" i="1"/>
  <c r="K2571" i="1"/>
  <c r="K2902" i="1"/>
  <c r="K2901" i="1"/>
  <c r="K1321" i="1"/>
  <c r="K5322" i="1"/>
  <c r="K3741" i="1"/>
  <c r="K1115" i="1"/>
  <c r="K726" i="1"/>
  <c r="K725" i="1"/>
  <c r="K7823" i="1"/>
  <c r="K7822" i="1"/>
  <c r="K7821" i="1"/>
  <c r="K7820" i="1"/>
  <c r="K7819" i="1"/>
  <c r="K7818" i="1"/>
  <c r="K7817" i="1"/>
  <c r="K7816" i="1"/>
  <c r="K7815" i="1"/>
  <c r="K7814" i="1"/>
  <c r="K7813" i="1"/>
  <c r="K7812" i="1"/>
  <c r="K7811" i="1"/>
  <c r="K7810" i="1"/>
  <c r="K7809" i="1"/>
  <c r="K6341" i="1"/>
  <c r="K6340" i="1"/>
  <c r="K1982" i="1"/>
  <c r="K1981" i="1"/>
  <c r="K26" i="1"/>
  <c r="K25" i="1"/>
  <c r="K24" i="1"/>
  <c r="K23" i="1"/>
  <c r="K22" i="1"/>
  <c r="K21" i="1"/>
  <c r="K20" i="1"/>
  <c r="K19" i="1"/>
  <c r="K18" i="1"/>
  <c r="K17" i="1"/>
  <c r="K4695" i="1"/>
  <c r="K4694" i="1"/>
  <c r="K4693" i="1"/>
  <c r="K4692" i="1"/>
  <c r="K3877" i="1"/>
  <c r="K3876" i="1"/>
  <c r="K3875" i="1"/>
  <c r="K3874" i="1"/>
  <c r="K3873" i="1"/>
  <c r="K3872" i="1"/>
  <c r="K4172" i="1"/>
  <c r="K2058" i="1"/>
  <c r="K207" i="1"/>
  <c r="K206" i="1"/>
  <c r="K205" i="1"/>
  <c r="K204" i="1"/>
  <c r="K203" i="1"/>
  <c r="K202" i="1"/>
  <c r="K201" i="1"/>
  <c r="K2371" i="1"/>
  <c r="K2370" i="1"/>
  <c r="K2369" i="1"/>
  <c r="K2368" i="1"/>
  <c r="K2367" i="1"/>
  <c r="K2366" i="1"/>
  <c r="K2365" i="1"/>
  <c r="K2364" i="1"/>
  <c r="K4328" i="1"/>
  <c r="K5736" i="1"/>
  <c r="K5735" i="1"/>
  <c r="K5734" i="1"/>
  <c r="K5733" i="1"/>
  <c r="K1806" i="1"/>
  <c r="K782" i="1"/>
  <c r="K781" i="1"/>
  <c r="K780" i="1"/>
  <c r="K779" i="1"/>
  <c r="K778" i="1"/>
  <c r="K1972" i="1"/>
  <c r="K1971" i="1"/>
  <c r="K1970" i="1"/>
  <c r="K3341" i="1"/>
  <c r="K3340" i="1"/>
  <c r="K3339" i="1"/>
  <c r="K3021" i="1"/>
  <c r="K2298" i="1"/>
  <c r="K2297" i="1"/>
  <c r="K2296" i="1"/>
  <c r="K2295" i="1"/>
  <c r="K2294" i="1"/>
  <c r="K2293" i="1"/>
  <c r="K2292" i="1"/>
  <c r="K2291" i="1"/>
  <c r="K2825" i="1"/>
  <c r="K2667" i="1"/>
  <c r="K4278" i="1"/>
  <c r="K1570" i="1"/>
  <c r="K3833" i="1"/>
  <c r="K3832" i="1"/>
  <c r="K3831" i="1"/>
  <c r="K3830" i="1"/>
  <c r="K3829" i="1"/>
  <c r="K3828" i="1"/>
  <c r="K1014" i="1"/>
  <c r="K1013" i="1"/>
  <c r="K1012" i="1"/>
  <c r="K1011" i="1"/>
  <c r="K1010" i="1"/>
  <c r="K1009" i="1"/>
  <c r="K1008" i="1"/>
  <c r="K4042" i="1"/>
  <c r="K4041" i="1"/>
  <c r="K4040" i="1"/>
  <c r="K4039" i="1"/>
  <c r="K4038" i="1"/>
  <c r="K4037" i="1"/>
  <c r="K7228" i="1"/>
  <c r="K7227" i="1"/>
  <c r="K7226" i="1"/>
  <c r="K7225" i="1"/>
  <c r="K7224" i="1"/>
  <c r="K7223" i="1"/>
  <c r="K7222" i="1"/>
  <c r="K7221" i="1"/>
  <c r="K7220" i="1"/>
  <c r="K7219" i="1"/>
  <c r="K7218" i="1"/>
  <c r="K7217" i="1"/>
  <c r="K7216" i="1"/>
  <c r="K7215" i="1"/>
  <c r="K7214" i="1"/>
  <c r="K7213" i="1"/>
  <c r="K7212" i="1"/>
  <c r="K7211" i="1"/>
  <c r="K7210" i="1"/>
  <c r="K7209" i="1"/>
  <c r="K7208" i="1"/>
  <c r="K7207" i="1"/>
  <c r="K7206" i="1"/>
  <c r="K7205" i="1"/>
  <c r="K7204" i="1"/>
  <c r="K7203" i="1"/>
  <c r="K7202" i="1"/>
  <c r="K7201" i="1"/>
  <c r="K7200" i="1"/>
  <c r="K7199" i="1"/>
  <c r="K7198" i="1"/>
  <c r="K7197" i="1"/>
  <c r="K7196" i="1"/>
  <c r="K7195" i="1"/>
  <c r="K5527" i="1"/>
  <c r="K5517" i="1"/>
  <c r="K5562" i="1"/>
  <c r="K5525" i="1"/>
  <c r="K5516" i="1"/>
  <c r="K5544" i="1"/>
  <c r="K5552" i="1"/>
  <c r="K5551" i="1"/>
  <c r="K5550" i="1"/>
  <c r="K5543" i="1"/>
  <c r="K7647" i="1"/>
  <c r="K7646" i="1"/>
  <c r="K7645" i="1"/>
  <c r="K7644" i="1"/>
  <c r="K7643" i="1"/>
  <c r="K7642" i="1"/>
  <c r="K7641" i="1"/>
  <c r="K7640" i="1"/>
  <c r="K7639" i="1"/>
  <c r="K7638" i="1"/>
  <c r="K7637" i="1"/>
  <c r="K7636" i="1"/>
  <c r="K7635" i="1"/>
  <c r="K7634" i="1"/>
  <c r="K7633" i="1"/>
  <c r="K7632" i="1"/>
  <c r="K2621" i="1"/>
  <c r="K2620" i="1"/>
  <c r="K2619" i="1"/>
  <c r="K2506" i="1"/>
  <c r="K2505" i="1"/>
  <c r="K2504" i="1"/>
  <c r="K2503" i="1"/>
  <c r="K591" i="1"/>
  <c r="K590" i="1"/>
  <c r="K589" i="1"/>
  <c r="K588" i="1"/>
  <c r="K587" i="1"/>
  <c r="K2512" i="1"/>
  <c r="K2511" i="1"/>
  <c r="K2510" i="1"/>
  <c r="K2509" i="1"/>
  <c r="K2508" i="1"/>
  <c r="K2507" i="1"/>
  <c r="K3600" i="1"/>
  <c r="K232" i="1"/>
  <c r="K2875" i="1"/>
  <c r="K5316" i="1"/>
  <c r="K5315" i="1"/>
  <c r="K1118" i="1"/>
  <c r="K2626" i="1"/>
  <c r="K786" i="1"/>
  <c r="K5043" i="1"/>
  <c r="K1406" i="1"/>
  <c r="K5234" i="1"/>
  <c r="K5233" i="1"/>
  <c r="K5232" i="1"/>
  <c r="K5115" i="1"/>
  <c r="K5114" i="1"/>
  <c r="K5113" i="1"/>
  <c r="K5112" i="1"/>
  <c r="K5111" i="1"/>
  <c r="K5110" i="1"/>
  <c r="K4309" i="1"/>
  <c r="K4308" i="1"/>
  <c r="K4894" i="1"/>
  <c r="K4893" i="1"/>
  <c r="K5331" i="1"/>
  <c r="K4517" i="1"/>
  <c r="K4516" i="1"/>
  <c r="K4767" i="1"/>
  <c r="K4167" i="1"/>
  <c r="K4166" i="1"/>
  <c r="K4165" i="1"/>
  <c r="K4164" i="1"/>
  <c r="K4163" i="1"/>
  <c r="K1715" i="1"/>
  <c r="K4540" i="1"/>
  <c r="K4539" i="1"/>
  <c r="K4538" i="1"/>
  <c r="K4488" i="1"/>
  <c r="K4487" i="1"/>
  <c r="K3886" i="1"/>
  <c r="K7485" i="1"/>
  <c r="K7484" i="1"/>
  <c r="K7483" i="1"/>
  <c r="K7482" i="1"/>
  <c r="K7481" i="1"/>
  <c r="K7480" i="1"/>
  <c r="K7479" i="1"/>
  <c r="K7478" i="1"/>
  <c r="K7477" i="1"/>
  <c r="K7476" i="1"/>
  <c r="K7475" i="1"/>
  <c r="K7474" i="1"/>
  <c r="K7473" i="1"/>
  <c r="K7472" i="1"/>
  <c r="K7471" i="1"/>
  <c r="K6339" i="1"/>
  <c r="K6338" i="1"/>
  <c r="K6337" i="1"/>
  <c r="K6336" i="1"/>
  <c r="K6335" i="1"/>
  <c r="K6334" i="1"/>
  <c r="K6333" i="1"/>
  <c r="K6332" i="1"/>
  <c r="K6331" i="1"/>
  <c r="K6330" i="1"/>
  <c r="K6329" i="1"/>
  <c r="K6328" i="1"/>
  <c r="K6327" i="1"/>
  <c r="K6326" i="1"/>
  <c r="K6325" i="1"/>
  <c r="K6324" i="1"/>
  <c r="K6323" i="1"/>
  <c r="K6322" i="1"/>
  <c r="K6321" i="1"/>
  <c r="K6320" i="1"/>
  <c r="K5920" i="1"/>
  <c r="K5919" i="1"/>
  <c r="K7533" i="1"/>
  <c r="K5824" i="1"/>
  <c r="K5533" i="1"/>
  <c r="K3481" i="1"/>
  <c r="K3866" i="1"/>
  <c r="K3865" i="1"/>
  <c r="K971" i="1"/>
  <c r="K970" i="1"/>
  <c r="K1386" i="1"/>
  <c r="K1385" i="1"/>
  <c r="K1384" i="1"/>
  <c r="K3020" i="1"/>
  <c r="K3019" i="1"/>
  <c r="K548" i="1"/>
  <c r="K3358" i="1"/>
  <c r="K3357" i="1"/>
  <c r="K3356" i="1"/>
  <c r="K3355" i="1"/>
  <c r="K1731" i="1"/>
  <c r="K1351" i="1"/>
  <c r="K1350" i="1"/>
  <c r="K3200" i="1"/>
  <c r="K3199" i="1"/>
  <c r="K1544" i="1"/>
  <c r="K2041" i="1"/>
  <c r="K2040" i="1"/>
  <c r="K3939" i="1"/>
  <c r="K4120" i="1"/>
  <c r="K603" i="1"/>
  <c r="K602" i="1"/>
  <c r="K601" i="1"/>
  <c r="K600" i="1"/>
  <c r="K599" i="1"/>
  <c r="K374" i="1"/>
  <c r="K373" i="1"/>
  <c r="K319" i="1"/>
  <c r="K318" i="1"/>
  <c r="K157" i="1"/>
  <c r="K1343" i="1"/>
  <c r="K3285" i="1"/>
  <c r="K3284" i="1"/>
  <c r="K3938" i="1"/>
  <c r="K845" i="1"/>
  <c r="K1986" i="1"/>
  <c r="K1985" i="1"/>
  <c r="K1208" i="1"/>
  <c r="K1207" i="1"/>
  <c r="K1206" i="1"/>
  <c r="K2108" i="1"/>
  <c r="K690" i="1"/>
  <c r="K5732" i="1"/>
  <c r="K5731" i="1"/>
  <c r="K5730" i="1"/>
  <c r="K5729" i="1"/>
  <c r="K5728" i="1"/>
  <c r="K5727" i="1"/>
  <c r="K5726" i="1"/>
  <c r="K5725" i="1"/>
  <c r="K5724" i="1"/>
  <c r="K5723" i="1"/>
  <c r="K5722" i="1"/>
  <c r="K5721" i="1"/>
  <c r="K5720" i="1"/>
  <c r="K5719" i="1"/>
  <c r="K5718" i="1"/>
  <c r="K5717" i="1"/>
  <c r="K5716" i="1"/>
  <c r="K5715" i="1"/>
  <c r="K5714" i="1"/>
  <c r="K5713" i="1"/>
  <c r="K5712" i="1"/>
  <c r="K5711" i="1"/>
  <c r="K5710" i="1"/>
  <c r="K5709" i="1"/>
  <c r="K5708" i="1"/>
  <c r="K5707" i="1"/>
  <c r="K5706" i="1"/>
  <c r="K5705" i="1"/>
  <c r="K5704" i="1"/>
  <c r="K5703" i="1"/>
  <c r="K5702" i="1"/>
  <c r="K5701" i="1"/>
  <c r="K5700" i="1"/>
  <c r="K5699" i="1"/>
  <c r="K5698" i="1"/>
  <c r="K5697" i="1"/>
  <c r="K5696" i="1"/>
  <c r="K5695" i="1"/>
  <c r="K6251" i="1"/>
  <c r="K6250" i="1"/>
  <c r="K6249" i="1"/>
  <c r="K6248" i="1"/>
  <c r="K6247" i="1"/>
  <c r="K5306" i="1"/>
  <c r="K5305" i="1"/>
  <c r="K5304" i="1"/>
  <c r="K5303" i="1"/>
  <c r="K5302" i="1"/>
  <c r="K4036" i="1"/>
  <c r="K4035" i="1"/>
  <c r="K4034" i="1"/>
  <c r="K4033" i="1"/>
  <c r="K4032" i="1"/>
  <c r="K4031" i="1"/>
  <c r="K4030" i="1"/>
  <c r="K4029" i="1"/>
  <c r="K4028" i="1"/>
  <c r="K4027" i="1"/>
  <c r="K4026" i="1"/>
  <c r="K4025" i="1"/>
  <c r="K5152" i="1"/>
  <c r="K4547" i="1"/>
  <c r="K4546" i="1"/>
  <c r="K4545" i="1"/>
  <c r="K4544" i="1"/>
  <c r="K4543" i="1"/>
  <c r="K891" i="1"/>
  <c r="K890" i="1"/>
  <c r="K889" i="1"/>
  <c r="K1060" i="1"/>
  <c r="K1059" i="1"/>
  <c r="K1058" i="1"/>
  <c r="K1057" i="1"/>
  <c r="K4738" i="1"/>
  <c r="K4691" i="1"/>
  <c r="K4690" i="1"/>
  <c r="K4689" i="1"/>
  <c r="K4688" i="1"/>
  <c r="K4687" i="1"/>
  <c r="K4307" i="1"/>
  <c r="K2239" i="1"/>
  <c r="K2238" i="1"/>
  <c r="K5386" i="1"/>
  <c r="K5385" i="1"/>
  <c r="K5384" i="1"/>
  <c r="K2429" i="1"/>
  <c r="K2428" i="1"/>
  <c r="K9" i="1"/>
  <c r="K8" i="1"/>
  <c r="K4534" i="1"/>
  <c r="K5224" i="1"/>
  <c r="K5223" i="1"/>
  <c r="K96" i="1"/>
  <c r="K2427" i="1"/>
  <c r="K714" i="1"/>
  <c r="K5026" i="1"/>
  <c r="K5025" i="1"/>
  <c r="K5024" i="1"/>
  <c r="K4957" i="1"/>
  <c r="K2769" i="1"/>
  <c r="K2768" i="1"/>
  <c r="K1215" i="1"/>
  <c r="K5270" i="1"/>
  <c r="K5269" i="1"/>
  <c r="K5268" i="1"/>
  <c r="K5267" i="1"/>
  <c r="K496" i="1"/>
  <c r="K495" i="1"/>
  <c r="K1689" i="1"/>
  <c r="K1121" i="1"/>
  <c r="K1070" i="1"/>
  <c r="K2606" i="1"/>
  <c r="K2326" i="1"/>
  <c r="K2543" i="1"/>
  <c r="K2844" i="1"/>
  <c r="K1569" i="1"/>
  <c r="K4068" i="1"/>
  <c r="K6842" i="1"/>
  <c r="K6841" i="1"/>
  <c r="K6840" i="1"/>
  <c r="K6839" i="1"/>
  <c r="K6838" i="1"/>
  <c r="K6837" i="1"/>
  <c r="K6836" i="1"/>
  <c r="K6835" i="1"/>
  <c r="K6834" i="1"/>
  <c r="K6833" i="1"/>
  <c r="K6832" i="1"/>
  <c r="K6831" i="1"/>
  <c r="K6830" i="1"/>
  <c r="K6829" i="1"/>
  <c r="K5872" i="1"/>
  <c r="K5871" i="1"/>
  <c r="K5870" i="1"/>
  <c r="K5869" i="1"/>
  <c r="K5868" i="1"/>
  <c r="K5867" i="1"/>
  <c r="K5866" i="1"/>
  <c r="K5865" i="1"/>
  <c r="K5406" i="1"/>
  <c r="K5405" i="1"/>
  <c r="K1516" i="1"/>
  <c r="K1515" i="1"/>
  <c r="K404" i="1"/>
  <c r="K689" i="1"/>
  <c r="K688" i="1"/>
  <c r="K3385" i="1"/>
  <c r="K1375" i="1"/>
  <c r="K2160" i="1"/>
  <c r="K1763" i="1"/>
  <c r="K1342" i="1"/>
  <c r="K998" i="1"/>
  <c r="K4338" i="1"/>
  <c r="K4449" i="1"/>
  <c r="K137" i="1"/>
  <c r="K136" i="1"/>
  <c r="K50" i="1"/>
  <c r="K49" i="1"/>
  <c r="K3003" i="1"/>
  <c r="K1929" i="1"/>
  <c r="K1068" i="1"/>
  <c r="K519" i="1"/>
  <c r="K1776" i="1"/>
  <c r="K5118" i="1"/>
  <c r="K1449" i="1"/>
  <c r="K1240" i="1"/>
  <c r="K2810" i="1"/>
  <c r="K5119" i="1"/>
  <c r="K4723" i="1"/>
  <c r="K4722" i="1"/>
  <c r="K4862" i="1"/>
  <c r="K5392" i="1"/>
  <c r="K1167" i="1"/>
  <c r="K2715" i="1"/>
  <c r="K2714" i="1"/>
  <c r="K3643" i="1"/>
  <c r="K2235" i="1"/>
  <c r="K3504" i="1"/>
  <c r="K1241" i="1"/>
  <c r="K2644" i="1"/>
  <c r="K3363" i="1"/>
  <c r="K5325" i="1"/>
  <c r="K4370" i="1"/>
  <c r="K4369" i="1"/>
  <c r="K4368" i="1"/>
  <c r="K7808" i="1"/>
  <c r="K7807" i="1"/>
  <c r="K7806" i="1"/>
  <c r="K7805" i="1"/>
  <c r="K7804" i="1"/>
  <c r="K7803" i="1"/>
  <c r="K7156" i="1"/>
  <c r="K5823" i="1"/>
  <c r="K5822" i="1"/>
  <c r="K5821" i="1"/>
  <c r="K5820" i="1"/>
  <c r="K5819" i="1"/>
  <c r="K5818" i="1"/>
  <c r="K5817" i="1"/>
  <c r="K5816" i="1"/>
  <c r="K5815" i="1"/>
  <c r="K5814" i="1"/>
  <c r="K5813" i="1"/>
  <c r="K5812" i="1"/>
  <c r="K5811" i="1"/>
  <c r="K5810" i="1"/>
  <c r="K5809" i="1"/>
  <c r="K5808" i="1"/>
  <c r="K5807" i="1"/>
  <c r="K5806" i="1"/>
  <c r="K5805" i="1"/>
  <c r="K5804" i="1"/>
  <c r="K5803" i="1"/>
  <c r="K5802" i="1"/>
  <c r="K5801" i="1"/>
  <c r="K5800" i="1"/>
  <c r="K2876" i="1"/>
  <c r="K662" i="1"/>
  <c r="K661" i="1"/>
  <c r="K4283" i="1"/>
  <c r="K4282" i="1"/>
  <c r="K1687" i="1"/>
  <c r="K1686" i="1"/>
  <c r="K1685" i="1"/>
  <c r="K1295" i="1"/>
  <c r="K1294" i="1"/>
  <c r="K1837" i="1"/>
  <c r="K1836" i="1"/>
  <c r="K1835" i="1"/>
  <c r="K1834" i="1"/>
  <c r="K7521" i="1"/>
  <c r="K7520" i="1"/>
  <c r="K7519" i="1"/>
  <c r="K7518" i="1"/>
  <c r="K7517" i="1"/>
  <c r="K7516" i="1"/>
  <c r="K7515" i="1"/>
  <c r="K7514" i="1"/>
  <c r="K7513" i="1"/>
  <c r="K7512" i="1"/>
  <c r="K7511" i="1"/>
  <c r="K7510" i="1"/>
  <c r="K7509" i="1"/>
  <c r="K7508" i="1"/>
  <c r="K7507" i="1"/>
  <c r="K7506" i="1"/>
  <c r="K7505" i="1"/>
  <c r="K7504" i="1"/>
  <c r="K7503" i="1"/>
  <c r="K7502" i="1"/>
  <c r="K7501" i="1"/>
  <c r="K7500" i="1"/>
  <c r="K7499" i="1"/>
  <c r="K7498" i="1"/>
  <c r="K7497" i="1"/>
  <c r="K7496" i="1"/>
  <c r="K7495" i="1"/>
  <c r="K7494" i="1"/>
  <c r="K7493" i="1"/>
  <c r="K7492" i="1"/>
  <c r="K4652" i="1"/>
  <c r="K4651" i="1"/>
  <c r="K4650" i="1"/>
  <c r="K4649" i="1"/>
  <c r="K4648" i="1"/>
  <c r="K4804" i="1"/>
  <c r="K4803" i="1"/>
  <c r="K4802" i="1"/>
  <c r="K4801" i="1"/>
  <c r="K4800" i="1"/>
  <c r="K4799" i="1"/>
  <c r="K4798" i="1"/>
  <c r="K4797" i="1"/>
  <c r="K4781" i="1"/>
  <c r="K4780" i="1"/>
  <c r="K4779" i="1"/>
  <c r="K4778" i="1"/>
  <c r="K4777" i="1"/>
  <c r="K1128" i="1"/>
  <c r="K1127" i="1"/>
  <c r="K1126" i="1"/>
  <c r="K1125" i="1"/>
  <c r="K1022" i="1"/>
  <c r="K1021" i="1"/>
  <c r="K1020" i="1"/>
  <c r="K1019" i="1"/>
  <c r="K3841" i="1"/>
  <c r="K3840" i="1"/>
  <c r="K3839" i="1"/>
  <c r="K3838" i="1"/>
  <c r="K3837" i="1"/>
  <c r="K3836" i="1"/>
  <c r="K87" i="1"/>
  <c r="K86" i="1"/>
  <c r="K85" i="1"/>
  <c r="K2695" i="1"/>
  <c r="K2694" i="1"/>
  <c r="K2693" i="1"/>
  <c r="K2692" i="1"/>
  <c r="K2948" i="1"/>
  <c r="K2947" i="1"/>
  <c r="K1223" i="1"/>
  <c r="K3699" i="1"/>
  <c r="K3655" i="1"/>
  <c r="K3789" i="1"/>
  <c r="K3788" i="1"/>
  <c r="K1448" i="1"/>
  <c r="K117" i="1"/>
  <c r="K116" i="1"/>
  <c r="K612" i="1"/>
  <c r="K720" i="1"/>
  <c r="K355" i="1"/>
  <c r="K1489" i="1"/>
  <c r="K1488" i="1"/>
  <c r="K2615" i="1"/>
  <c r="K528" i="1"/>
  <c r="K4907" i="1"/>
  <c r="K3804" i="1"/>
  <c r="K3803" i="1"/>
  <c r="K3360" i="1"/>
  <c r="K470" i="1"/>
  <c r="K648" i="1"/>
  <c r="K647" i="1"/>
  <c r="K646" i="1"/>
  <c r="K645" i="1"/>
  <c r="K644" i="1"/>
  <c r="K706" i="1"/>
  <c r="K705" i="1"/>
  <c r="K704" i="1"/>
  <c r="K703" i="1"/>
  <c r="K702" i="1"/>
  <c r="K701" i="1"/>
  <c r="K700" i="1"/>
  <c r="K699" i="1"/>
  <c r="K698" i="1"/>
  <c r="K697" i="1"/>
  <c r="K696" i="1"/>
  <c r="K577" i="1"/>
  <c r="K576" i="1"/>
  <c r="K575" i="1"/>
  <c r="K822" i="1"/>
  <c r="K2690" i="1"/>
  <c r="K41" i="1"/>
  <c r="K6229" i="1"/>
  <c r="K6228" i="1"/>
  <c r="K861" i="1"/>
  <c r="K860" i="1"/>
  <c r="K859" i="1"/>
  <c r="K858" i="1"/>
  <c r="K857" i="1"/>
  <c r="K856" i="1"/>
  <c r="K855" i="1"/>
  <c r="K854" i="1"/>
  <c r="K1146" i="1"/>
  <c r="K7155" i="1"/>
  <c r="K7154" i="1"/>
  <c r="K7153" i="1"/>
  <c r="K7152" i="1"/>
  <c r="K7151" i="1"/>
  <c r="K7150" i="1"/>
  <c r="K7149" i="1"/>
  <c r="K7148" i="1"/>
  <c r="K7147" i="1"/>
  <c r="K7146" i="1"/>
  <c r="K7145" i="1"/>
  <c r="K7144" i="1"/>
  <c r="K7143" i="1"/>
  <c r="K7142" i="1"/>
  <c r="K7141" i="1"/>
  <c r="K7140" i="1"/>
  <c r="K7139" i="1"/>
  <c r="K7138" i="1"/>
  <c r="K7137" i="1"/>
  <c r="K7136" i="1"/>
  <c r="K7135" i="1"/>
  <c r="K7134" i="1"/>
  <c r="K7133" i="1"/>
  <c r="K7132" i="1"/>
  <c r="K7131" i="1"/>
  <c r="K7130" i="1"/>
  <c r="K7129" i="1"/>
  <c r="K7128" i="1"/>
  <c r="K7127" i="1"/>
  <c r="K7126" i="1"/>
  <c r="K7125" i="1"/>
  <c r="K7124" i="1"/>
  <c r="K7123" i="1"/>
  <c r="K7122" i="1"/>
  <c r="K7121" i="1"/>
  <c r="K6403" i="1"/>
  <c r="K6402" i="1"/>
  <c r="K6401" i="1"/>
  <c r="K6400" i="1"/>
  <c r="K6399" i="1"/>
  <c r="K6398" i="1"/>
  <c r="K6397" i="1"/>
  <c r="K6396" i="1"/>
  <c r="K6395" i="1"/>
  <c r="K6394" i="1"/>
  <c r="K6393" i="1"/>
  <c r="K160" i="1"/>
  <c r="K4157" i="1"/>
  <c r="K102" i="1"/>
  <c r="K3264" i="1"/>
  <c r="K3263" i="1"/>
  <c r="K348" i="1"/>
  <c r="K4469" i="1"/>
  <c r="K285" i="1"/>
  <c r="K104" i="1"/>
  <c r="K94" i="1"/>
  <c r="K558" i="1"/>
  <c r="K211" i="1"/>
  <c r="K210" i="1"/>
  <c r="K3053" i="1"/>
  <c r="K2234" i="1"/>
  <c r="K2446" i="1"/>
  <c r="K4891" i="1"/>
  <c r="K4890" i="1"/>
  <c r="K4889" i="1"/>
  <c r="K4888" i="1"/>
  <c r="K4887" i="1"/>
  <c r="K4886" i="1"/>
  <c r="K4885" i="1"/>
  <c r="K4884" i="1"/>
  <c r="K4883" i="1"/>
  <c r="K4882" i="1"/>
  <c r="K4881" i="1"/>
  <c r="K4880" i="1"/>
  <c r="K4879" i="1"/>
  <c r="K4878" i="1"/>
  <c r="K4877" i="1"/>
  <c r="K4876" i="1"/>
  <c r="K4875" i="1"/>
  <c r="K5067" i="1"/>
  <c r="K5034" i="1"/>
  <c r="K5033" i="1"/>
  <c r="K5032" i="1"/>
  <c r="K4864" i="1"/>
  <c r="K421" i="1"/>
  <c r="K420" i="1"/>
  <c r="K48" i="1"/>
  <c r="K47" i="1"/>
  <c r="K7470" i="1"/>
  <c r="K7469" i="1"/>
  <c r="K7468" i="1"/>
  <c r="K7467" i="1"/>
  <c r="K7466" i="1"/>
  <c r="K7465" i="1"/>
  <c r="K870" i="1"/>
  <c r="K869" i="1"/>
  <c r="K1041" i="1"/>
  <c r="K1040" i="1"/>
  <c r="K1039" i="1"/>
  <c r="K1038" i="1"/>
  <c r="K1037" i="1"/>
  <c r="K1036" i="1"/>
  <c r="K1035" i="1"/>
  <c r="K372" i="1"/>
  <c r="K371" i="1"/>
  <c r="K370" i="1"/>
  <c r="K369" i="1"/>
  <c r="K368" i="1"/>
  <c r="K115" i="1"/>
  <c r="K462" i="1"/>
  <c r="K461" i="1"/>
  <c r="K460" i="1"/>
  <c r="K3941" i="1"/>
  <c r="K3940" i="1"/>
  <c r="K4174" i="1"/>
  <c r="K4173" i="1"/>
  <c r="K1045" i="1"/>
  <c r="K1044" i="1"/>
  <c r="K1043" i="1"/>
  <c r="K1042" i="1"/>
  <c r="K1102" i="1"/>
  <c r="K1101" i="1"/>
  <c r="K4785" i="1"/>
  <c r="K4784" i="1"/>
  <c r="K4783" i="1"/>
  <c r="K4870" i="1"/>
  <c r="K4869" i="1"/>
  <c r="K4868" i="1"/>
  <c r="K4867" i="1"/>
  <c r="K2759" i="1"/>
  <c r="K4732" i="1"/>
  <c r="K4731" i="1"/>
  <c r="K4730" i="1"/>
  <c r="K4729" i="1"/>
  <c r="K4728" i="1"/>
  <c r="K4727" i="1"/>
  <c r="K4726" i="1"/>
  <c r="K4704" i="1"/>
  <c r="K5066" i="1"/>
  <c r="K5065" i="1"/>
  <c r="K5064" i="1"/>
  <c r="K5063" i="1"/>
  <c r="K5062" i="1"/>
  <c r="K5061" i="1"/>
  <c r="K2874" i="1"/>
  <c r="K4718" i="1"/>
  <c r="K4717" i="1"/>
  <c r="K1896" i="1"/>
  <c r="K4416" i="1"/>
  <c r="K3615" i="1"/>
  <c r="K3820" i="1"/>
  <c r="K29" i="1"/>
  <c r="K978" i="1"/>
  <c r="K2396" i="1"/>
  <c r="K2395" i="1"/>
  <c r="K2410" i="1"/>
  <c r="K1463" i="1"/>
  <c r="K90" i="1"/>
  <c r="K89" i="1"/>
  <c r="K31" i="1"/>
  <c r="K4530" i="1"/>
  <c r="K1551" i="1"/>
  <c r="K1941" i="1"/>
  <c r="K1690" i="1"/>
  <c r="K932" i="1"/>
  <c r="K4191" i="1"/>
  <c r="K1380" i="1"/>
  <c r="K2713" i="1"/>
  <c r="K848" i="1"/>
  <c r="K2873" i="1"/>
  <c r="K5250" i="1"/>
  <c r="K5249" i="1"/>
  <c r="K7491" i="1"/>
  <c r="K6272" i="1"/>
  <c r="K6271" i="1"/>
  <c r="K6270" i="1"/>
  <c r="K6269" i="1"/>
  <c r="K6268" i="1"/>
  <c r="K6267" i="1"/>
  <c r="K6266" i="1"/>
  <c r="K6265" i="1"/>
  <c r="K6264" i="1"/>
  <c r="K6263" i="1"/>
  <c r="K6262" i="1"/>
  <c r="K4816" i="1"/>
  <c r="K4815" i="1"/>
  <c r="K4814" i="1"/>
  <c r="K4813" i="1"/>
  <c r="K4812" i="1"/>
  <c r="K4422" i="1"/>
  <c r="K4421" i="1"/>
  <c r="K4420" i="1"/>
  <c r="K4419" i="1"/>
  <c r="K4418" i="1"/>
  <c r="K4417" i="1"/>
  <c r="K5102" i="1"/>
  <c r="K5101" i="1"/>
  <c r="K4162" i="1"/>
  <c r="K4161" i="1"/>
  <c r="K4160" i="1"/>
  <c r="K2595" i="1"/>
  <c r="K2485" i="1"/>
  <c r="K2484" i="1"/>
  <c r="K2483" i="1"/>
  <c r="K2482" i="1"/>
  <c r="K2481" i="1"/>
  <c r="K2480" i="1"/>
  <c r="K2479" i="1"/>
  <c r="K2478" i="1"/>
  <c r="K2477" i="1"/>
  <c r="K2476" i="1"/>
  <c r="K3987" i="1"/>
  <c r="K3986" i="1"/>
  <c r="K4707" i="1"/>
  <c r="K6392" i="1"/>
  <c r="K6391" i="1"/>
  <c r="K6390" i="1"/>
  <c r="K6389" i="1"/>
  <c r="K6388" i="1"/>
  <c r="K6387" i="1"/>
  <c r="K6386" i="1"/>
  <c r="K6385" i="1"/>
  <c r="K51" i="1"/>
  <c r="K278" i="1"/>
  <c r="K277" i="1"/>
  <c r="K276" i="1"/>
  <c r="K4186" i="1"/>
  <c r="K3974" i="1"/>
  <c r="K445" i="1"/>
  <c r="K444" i="1"/>
  <c r="K443" i="1"/>
  <c r="K442" i="1"/>
  <c r="K2772" i="1"/>
  <c r="K2771" i="1"/>
  <c r="K2770" i="1"/>
  <c r="K4273" i="1"/>
  <c r="K4272" i="1"/>
  <c r="K4271" i="1"/>
  <c r="K3972" i="1"/>
  <c r="K3971" i="1"/>
  <c r="K3970" i="1"/>
  <c r="K3969" i="1"/>
  <c r="K3968" i="1"/>
  <c r="K3967" i="1"/>
  <c r="K3966" i="1"/>
  <c r="K5526" i="1"/>
  <c r="K5565" i="1"/>
  <c r="K5564" i="1"/>
  <c r="K5449" i="1"/>
  <c r="K5520" i="1"/>
  <c r="K5509" i="1"/>
  <c r="K5540" i="1"/>
  <c r="K5494" i="1"/>
  <c r="K5470" i="1"/>
  <c r="K5567" i="1"/>
  <c r="K5606" i="1"/>
  <c r="K7413" i="1"/>
  <c r="K1387" i="1"/>
  <c r="K1714" i="1"/>
  <c r="K1713" i="1"/>
  <c r="K1712" i="1"/>
  <c r="K2191" i="1"/>
  <c r="K4737" i="1"/>
  <c r="K556" i="1"/>
  <c r="K3122" i="1"/>
  <c r="K3665" i="1"/>
  <c r="K5382" i="1"/>
  <c r="K650" i="1"/>
  <c r="K649" i="1"/>
  <c r="K1062" i="1"/>
  <c r="K1061" i="1"/>
  <c r="K853" i="1"/>
  <c r="K852" i="1"/>
  <c r="K992" i="1"/>
  <c r="K991" i="1"/>
  <c r="K990" i="1"/>
  <c r="K989" i="1"/>
  <c r="K1383" i="1"/>
  <c r="K4908" i="1"/>
  <c r="K1205" i="1"/>
  <c r="K4358" i="1"/>
  <c r="K3719" i="1"/>
  <c r="K1540" i="1"/>
  <c r="K2869" i="1"/>
  <c r="K2868" i="1"/>
  <c r="K146" i="1"/>
  <c r="K2046" i="1"/>
  <c r="K2405" i="1"/>
  <c r="K2082" i="1"/>
  <c r="K2081" i="1"/>
  <c r="K1717" i="1"/>
  <c r="K5333" i="1"/>
  <c r="K2975" i="1"/>
  <c r="K2974" i="1"/>
  <c r="K2275" i="1"/>
  <c r="K2274" i="1"/>
  <c r="K1658" i="1"/>
  <c r="K976" i="1"/>
  <c r="K1145" i="1"/>
  <c r="K1144" i="1"/>
  <c r="K1143" i="1"/>
  <c r="K1142" i="1"/>
  <c r="K1141" i="1"/>
  <c r="K1140" i="1"/>
  <c r="K4331" i="1"/>
  <c r="K4330" i="1"/>
  <c r="K4329" i="1"/>
  <c r="K4259" i="1"/>
  <c r="K4496" i="1"/>
  <c r="K4520" i="1"/>
  <c r="K4519" i="1"/>
  <c r="K4518" i="1"/>
  <c r="K4746" i="1"/>
  <c r="K4745" i="1"/>
  <c r="K4744" i="1"/>
  <c r="K4743" i="1"/>
  <c r="K4742" i="1"/>
  <c r="K4741" i="1"/>
  <c r="K4740" i="1"/>
  <c r="K4739" i="1"/>
  <c r="K4978" i="1"/>
  <c r="K4977" i="1"/>
  <c r="K4976" i="1"/>
  <c r="K4975" i="1"/>
  <c r="K4974" i="1"/>
  <c r="K4973" i="1"/>
  <c r="K5085" i="1"/>
  <c r="K5084" i="1"/>
  <c r="K5083" i="1"/>
  <c r="K3309" i="1"/>
  <c r="K3308" i="1"/>
  <c r="K3307" i="1"/>
  <c r="K3306" i="1"/>
  <c r="K1431" i="1"/>
  <c r="K1430" i="1"/>
  <c r="K2464" i="1"/>
  <c r="K2463" i="1"/>
  <c r="K2462" i="1"/>
  <c r="K2461" i="1"/>
  <c r="K2460" i="1"/>
  <c r="K5012" i="1"/>
  <c r="K5011" i="1"/>
  <c r="K5010" i="1"/>
  <c r="K5080" i="1"/>
  <c r="K5079" i="1"/>
  <c r="K5078" i="1"/>
  <c r="K5077" i="1"/>
  <c r="K5076" i="1"/>
  <c r="K5075" i="1"/>
  <c r="K5074" i="1"/>
  <c r="K5073" i="1"/>
  <c r="K5109" i="1"/>
  <c r="K5108" i="1"/>
  <c r="K5107" i="1"/>
  <c r="K5106" i="1"/>
  <c r="K5105" i="1"/>
  <c r="K5104" i="1"/>
  <c r="K5103" i="1"/>
  <c r="K1280" i="1"/>
  <c r="K2347" i="1"/>
  <c r="K2346" i="1"/>
  <c r="K4512" i="1"/>
  <c r="K4265" i="1"/>
  <c r="K4264" i="1"/>
  <c r="K4263" i="1"/>
  <c r="K3573" i="1"/>
  <c r="K3572" i="1"/>
  <c r="K3571" i="1"/>
  <c r="K610" i="1"/>
  <c r="K609" i="1"/>
  <c r="K3608" i="1"/>
  <c r="K3607" i="1"/>
  <c r="K1226" i="1"/>
  <c r="K1225" i="1"/>
  <c r="K1224" i="1"/>
  <c r="K883" i="1"/>
  <c r="K882" i="1"/>
  <c r="K4225" i="1"/>
  <c r="K4224" i="1"/>
  <c r="K4849" i="1"/>
  <c r="K4848" i="1"/>
  <c r="K4620" i="1"/>
  <c r="K4619" i="1"/>
  <c r="K4618" i="1"/>
  <c r="K2837" i="1"/>
  <c r="K2843" i="1"/>
  <c r="K738" i="1"/>
  <c r="K737" i="1"/>
  <c r="K736" i="1"/>
  <c r="K2978" i="1"/>
  <c r="K1932" i="1"/>
  <c r="K1954" i="1"/>
  <c r="K2631" i="1"/>
  <c r="K2954" i="1"/>
  <c r="K622" i="1"/>
  <c r="K621" i="1"/>
  <c r="K620" i="1"/>
  <c r="K2232" i="1"/>
  <c r="K4435" i="1"/>
  <c r="K4527" i="1"/>
  <c r="K2407" i="1"/>
  <c r="K2406" i="1"/>
  <c r="K4437" i="1"/>
  <c r="K2980" i="1"/>
  <c r="K2348" i="1"/>
  <c r="K1120" i="1"/>
  <c r="K4119" i="1"/>
  <c r="K7595" i="1"/>
  <c r="K7594" i="1"/>
  <c r="K7593" i="1"/>
  <c r="K7592" i="1"/>
  <c r="K7591" i="1"/>
  <c r="K7590" i="1"/>
  <c r="K7589" i="1"/>
  <c r="K7588" i="1"/>
  <c r="K7587" i="1"/>
  <c r="K7586" i="1"/>
  <c r="K7585" i="1"/>
  <c r="K7584" i="1"/>
  <c r="K7583" i="1"/>
  <c r="K7582" i="1"/>
  <c r="K7581" i="1"/>
  <c r="K7580" i="1"/>
  <c r="K7579" i="1"/>
  <c r="K7578" i="1"/>
  <c r="K1698" i="1"/>
  <c r="K1697" i="1"/>
  <c r="K1696" i="1"/>
  <c r="K1695" i="1"/>
  <c r="K1694" i="1"/>
  <c r="K1340" i="1"/>
  <c r="K1512" i="1"/>
  <c r="K1185" i="1"/>
  <c r="K1184" i="1"/>
  <c r="K338" i="1"/>
  <c r="K4196" i="1"/>
  <c r="K392" i="1"/>
  <c r="K391" i="1"/>
  <c r="K390" i="1"/>
  <c r="K6252" i="1"/>
  <c r="K7802" i="1"/>
  <c r="K7801" i="1"/>
  <c r="K7800" i="1"/>
  <c r="K7799" i="1"/>
  <c r="K7798" i="1"/>
  <c r="K7797" i="1"/>
  <c r="K7796" i="1"/>
  <c r="K7795" i="1"/>
  <c r="K7794" i="1"/>
  <c r="K7793" i="1"/>
  <c r="K7792" i="1"/>
  <c r="K7791" i="1"/>
  <c r="K7790" i="1"/>
  <c r="K7789" i="1"/>
  <c r="K7788" i="1"/>
  <c r="K7787" i="1"/>
  <c r="K7786" i="1"/>
  <c r="K7785" i="1"/>
  <c r="K7784" i="1"/>
  <c r="K7783" i="1"/>
  <c r="K7782" i="1"/>
  <c r="K7781" i="1"/>
  <c r="K7780" i="1"/>
  <c r="K3696" i="1"/>
  <c r="K5123" i="1"/>
  <c r="K2542" i="1"/>
  <c r="K2541" i="1"/>
  <c r="K2540" i="1"/>
  <c r="K3764" i="1"/>
  <c r="K3763" i="1"/>
  <c r="K3762" i="1"/>
  <c r="K3442" i="1"/>
  <c r="K3237" i="1"/>
  <c r="K3236" i="1"/>
  <c r="K1602" i="1"/>
  <c r="K1601" i="1"/>
  <c r="K1600" i="1"/>
  <c r="K1599" i="1"/>
  <c r="K1598" i="1"/>
  <c r="K46" i="1"/>
  <c r="K45" i="1"/>
  <c r="K44" i="1"/>
  <c r="K43" i="1"/>
  <c r="K833" i="1"/>
  <c r="K785" i="1"/>
  <c r="K784" i="1"/>
  <c r="K783" i="1"/>
  <c r="K126" i="1"/>
  <c r="K125" i="1"/>
  <c r="K124" i="1"/>
  <c r="K123" i="1"/>
  <c r="K122" i="1"/>
  <c r="K107" i="1"/>
  <c r="K106" i="1"/>
  <c r="K105" i="1"/>
  <c r="K5441" i="1"/>
  <c r="K5440" i="1"/>
  <c r="K5439" i="1"/>
  <c r="K2689" i="1"/>
  <c r="K2688" i="1"/>
  <c r="K2687" i="1"/>
  <c r="K3179" i="1"/>
  <c r="K3178" i="1"/>
  <c r="K3177" i="1"/>
  <c r="K3176" i="1"/>
  <c r="K3175" i="1"/>
  <c r="K3174" i="1"/>
  <c r="K1927" i="1"/>
  <c r="K1926" i="1"/>
  <c r="K1925" i="1"/>
  <c r="K3796" i="1"/>
  <c r="K4439" i="1"/>
  <c r="K2665" i="1"/>
  <c r="K5949" i="1"/>
  <c r="K5948" i="1"/>
  <c r="K5947" i="1"/>
  <c r="K5946" i="1"/>
  <c r="K5945" i="1"/>
  <c r="K5944" i="1"/>
  <c r="K5943" i="1"/>
  <c r="K5942" i="1"/>
  <c r="K2758" i="1"/>
  <c r="K2757" i="1"/>
  <c r="K6991" i="1"/>
  <c r="K6990" i="1"/>
  <c r="K6989" i="1"/>
  <c r="K6988" i="1"/>
  <c r="K6987" i="1"/>
  <c r="K6986" i="1"/>
  <c r="K6985" i="1"/>
  <c r="K6984" i="1"/>
  <c r="K6983" i="1"/>
  <c r="K6982" i="1"/>
  <c r="K6981" i="1"/>
  <c r="K6980" i="1"/>
  <c r="K6979" i="1"/>
  <c r="K6978" i="1"/>
  <c r="K6977" i="1"/>
  <c r="K6976" i="1"/>
  <c r="K6975" i="1"/>
  <c r="K6974" i="1"/>
  <c r="K7681" i="1"/>
  <c r="K7680" i="1"/>
  <c r="K7679" i="1"/>
  <c r="K7678" i="1"/>
  <c r="K7677" i="1"/>
  <c r="K7676" i="1"/>
  <c r="K7675" i="1"/>
  <c r="K6968" i="1"/>
  <c r="K6967" i="1"/>
  <c r="K6966" i="1"/>
  <c r="K6965" i="1"/>
  <c r="K6964" i="1"/>
  <c r="K6963" i="1"/>
  <c r="K6962" i="1"/>
  <c r="K6961" i="1"/>
  <c r="K6960" i="1"/>
  <c r="K6959" i="1"/>
  <c r="K6958" i="1"/>
  <c r="K6957" i="1"/>
  <c r="K6956" i="1"/>
  <c r="K6955" i="1"/>
  <c r="K6954" i="1"/>
  <c r="K3201" i="1"/>
  <c r="K2969" i="1"/>
  <c r="K2968" i="1"/>
  <c r="K4084" i="1"/>
  <c r="K4083" i="1"/>
  <c r="K4082" i="1"/>
  <c r="K4081" i="1"/>
  <c r="K4080" i="1"/>
  <c r="K5245" i="1"/>
  <c r="K5244" i="1"/>
  <c r="K5243" i="1"/>
  <c r="K2190" i="1"/>
  <c r="K2189" i="1"/>
  <c r="K2188" i="1"/>
  <c r="K2187" i="1"/>
  <c r="K2186" i="1"/>
  <c r="K2185" i="1"/>
  <c r="K2184" i="1"/>
  <c r="K2183" i="1"/>
  <c r="K5421" i="1"/>
  <c r="K586" i="1"/>
  <c r="K585" i="1"/>
  <c r="K432" i="1"/>
  <c r="K75" i="1"/>
  <c r="K74" i="1"/>
  <c r="K1899" i="1"/>
  <c r="K1898" i="1"/>
  <c r="K1897" i="1"/>
  <c r="K509" i="1"/>
  <c r="K2017" i="1"/>
  <c r="K2016" i="1"/>
  <c r="K3645" i="1"/>
  <c r="K2432" i="1"/>
  <c r="K6261" i="1"/>
  <c r="K6260" i="1"/>
  <c r="K6259" i="1"/>
  <c r="K6258" i="1"/>
  <c r="K6257" i="1"/>
  <c r="K6256" i="1"/>
  <c r="K6255" i="1"/>
  <c r="K6254" i="1"/>
  <c r="K6253" i="1"/>
  <c r="K4480" i="1"/>
  <c r="K4479" i="1"/>
  <c r="K3899" i="1"/>
  <c r="K3898" i="1"/>
  <c r="K749" i="1"/>
  <c r="K379" i="1"/>
  <c r="K378" i="1"/>
  <c r="K377" i="1"/>
  <c r="K376" i="1"/>
  <c r="K375" i="1"/>
  <c r="K4822" i="1"/>
  <c r="K5410" i="1"/>
  <c r="K5409" i="1"/>
  <c r="K489" i="1"/>
  <c r="K488" i="1"/>
  <c r="K487" i="1"/>
  <c r="K486" i="1"/>
  <c r="K485" i="1"/>
  <c r="K484" i="1"/>
  <c r="K3338" i="1"/>
  <c r="K5158" i="1"/>
  <c r="K5157" i="1"/>
  <c r="K5156" i="1"/>
  <c r="K5155" i="1"/>
  <c r="K5154" i="1"/>
  <c r="K5153" i="1"/>
  <c r="K4765" i="1"/>
  <c r="K4764" i="1"/>
  <c r="K4763" i="1"/>
  <c r="K4762" i="1"/>
  <c r="K4761" i="1"/>
  <c r="K5391" i="1"/>
  <c r="K4306" i="1"/>
  <c r="K4305" i="1"/>
  <c r="K4304" i="1"/>
  <c r="K4303" i="1"/>
  <c r="K4302" i="1"/>
  <c r="K4301" i="1"/>
  <c r="K3403" i="1"/>
  <c r="K3753" i="1"/>
  <c r="K3752" i="1"/>
  <c r="K3751" i="1"/>
  <c r="K4195" i="1"/>
  <c r="K2527" i="1"/>
  <c r="K2526" i="1"/>
  <c r="K1182" i="1"/>
  <c r="K2730" i="1"/>
  <c r="K2099" i="1"/>
  <c r="K313" i="1"/>
  <c r="K2882" i="1"/>
  <c r="K4906" i="1"/>
  <c r="K4905" i="1"/>
  <c r="K2066" i="1"/>
  <c r="K2065" i="1"/>
  <c r="K1931" i="1"/>
  <c r="K1930" i="1"/>
  <c r="K2048" i="1"/>
  <c r="K2047" i="1"/>
  <c r="K5041" i="1"/>
  <c r="K5040" i="1"/>
  <c r="K974" i="1"/>
  <c r="K3447" i="1"/>
  <c r="K2826" i="1"/>
  <c r="K4440" i="1"/>
  <c r="K530" i="1"/>
  <c r="K3073" i="1"/>
  <c r="K4455" i="1"/>
  <c r="K1622" i="1"/>
  <c r="K3587" i="1"/>
  <c r="K145" i="1"/>
  <c r="K5388" i="1"/>
  <c r="K1174" i="1"/>
  <c r="K5419" i="1"/>
  <c r="K5418" i="1"/>
  <c r="K3819" i="1"/>
  <c r="K4443" i="1"/>
  <c r="K2848" i="1"/>
  <c r="K735" i="1"/>
  <c r="K4151" i="1"/>
  <c r="K3965" i="1"/>
  <c r="K3964" i="1"/>
  <c r="K877" i="1"/>
  <c r="K876" i="1"/>
  <c r="K2747" i="1"/>
  <c r="K3915" i="1"/>
  <c r="K2100" i="1"/>
  <c r="K1345" i="1"/>
  <c r="K3391" i="1"/>
  <c r="K4716" i="1"/>
  <c r="K4715" i="1"/>
  <c r="K2262" i="1"/>
  <c r="K1949" i="1"/>
  <c r="K3551" i="1"/>
  <c r="K3550" i="1"/>
  <c r="K3663" i="1"/>
  <c r="K3662" i="1"/>
  <c r="K3661" i="1"/>
  <c r="K364" i="1"/>
  <c r="K363" i="1"/>
  <c r="K3248" i="1"/>
  <c r="K1789" i="1"/>
  <c r="K5" i="1"/>
  <c r="K1095" i="1"/>
  <c r="K885" i="1"/>
  <c r="K884" i="1"/>
  <c r="K284" i="1"/>
  <c r="K2755" i="1"/>
  <c r="K2754" i="1"/>
  <c r="K2051" i="1"/>
  <c r="K753" i="1"/>
  <c r="K752" i="1"/>
  <c r="K84" i="1"/>
  <c r="K83" i="1"/>
  <c r="K5433" i="1"/>
  <c r="K5432" i="1"/>
  <c r="K5431" i="1"/>
  <c r="K5430" i="1"/>
  <c r="K5429" i="1"/>
  <c r="K5428" i="1"/>
  <c r="K5427" i="1"/>
  <c r="K5348" i="1"/>
  <c r="K5347" i="1"/>
  <c r="K1344" i="1"/>
  <c r="K4866" i="1"/>
  <c r="K2942" i="1"/>
  <c r="K3322" i="1"/>
  <c r="K389" i="1"/>
  <c r="K3121" i="1"/>
  <c r="K1016" i="1"/>
  <c r="K1015" i="1"/>
  <c r="K4424" i="1"/>
  <c r="K4423" i="1"/>
  <c r="K2122" i="1"/>
  <c r="K2537" i="1"/>
  <c r="K2536" i="1"/>
  <c r="K2535" i="1"/>
  <c r="K2534" i="1"/>
  <c r="K2533" i="1"/>
  <c r="K469" i="1"/>
  <c r="K468" i="1"/>
  <c r="K467" i="1"/>
  <c r="K466" i="1"/>
  <c r="K465" i="1"/>
  <c r="K464" i="1"/>
  <c r="K463" i="1"/>
  <c r="K114" i="1"/>
  <c r="K113" i="1"/>
  <c r="K6856" i="1"/>
  <c r="K6855" i="1"/>
  <c r="K6854" i="1"/>
  <c r="K6853" i="1"/>
  <c r="K6852" i="1"/>
  <c r="K6851" i="1"/>
  <c r="K6850" i="1"/>
  <c r="K6849" i="1"/>
  <c r="K6848" i="1"/>
  <c r="K6847" i="1"/>
  <c r="K6846" i="1"/>
  <c r="K6845" i="1"/>
  <c r="K6844" i="1"/>
  <c r="K6843" i="1"/>
  <c r="K1083" i="1"/>
  <c r="K3456" i="1"/>
  <c r="K3455" i="1"/>
  <c r="K3454" i="1"/>
  <c r="K3453" i="1"/>
  <c r="K3452" i="1"/>
  <c r="K3451" i="1"/>
  <c r="K3450" i="1"/>
  <c r="K3449" i="1"/>
  <c r="K3448" i="1"/>
  <c r="K2993" i="1"/>
  <c r="K2992" i="1"/>
  <c r="K2991" i="1"/>
  <c r="K2320" i="1"/>
  <c r="K1286" i="1"/>
  <c r="K1285" i="1"/>
  <c r="K2133" i="1"/>
  <c r="K2132" i="1"/>
  <c r="K2131" i="1"/>
  <c r="K2327" i="1"/>
  <c r="K5941" i="1"/>
  <c r="K5940" i="1"/>
  <c r="K5939" i="1"/>
  <c r="K5938" i="1"/>
  <c r="K5937" i="1"/>
  <c r="K5936" i="1"/>
  <c r="K5935" i="1"/>
  <c r="K5934" i="1"/>
  <c r="K5933" i="1"/>
  <c r="K5932" i="1"/>
  <c r="K5931" i="1"/>
  <c r="K5930" i="1"/>
  <c r="K5929" i="1"/>
  <c r="K5928" i="1"/>
  <c r="K5927" i="1"/>
  <c r="K5926" i="1"/>
  <c r="K5925" i="1"/>
  <c r="K5924" i="1"/>
  <c r="K5923" i="1"/>
  <c r="K5922" i="1"/>
  <c r="K5921" i="1"/>
  <c r="K3825" i="1"/>
  <c r="K2490" i="1"/>
  <c r="K2489" i="1"/>
  <c r="K2488" i="1"/>
  <c r="K2487" i="1"/>
  <c r="K2486" i="1"/>
  <c r="K2892" i="1"/>
  <c r="K2891" i="1"/>
  <c r="K2890" i="1"/>
  <c r="K2827" i="1"/>
  <c r="K3389" i="1"/>
  <c r="K3388" i="1"/>
  <c r="K3387" i="1"/>
  <c r="K3251" i="1"/>
  <c r="K3250" i="1"/>
  <c r="K3249" i="1"/>
  <c r="K5251" i="1"/>
  <c r="K2137" i="1"/>
  <c r="K2136" i="1"/>
  <c r="K2135" i="1"/>
  <c r="K1211" i="1"/>
  <c r="K1597" i="1"/>
  <c r="K1596" i="1"/>
  <c r="K1595" i="1"/>
  <c r="K2935" i="1"/>
  <c r="K2934" i="1"/>
  <c r="K2933" i="1"/>
  <c r="K2932" i="1"/>
  <c r="K2931" i="1"/>
  <c r="K2930" i="1"/>
  <c r="K2929" i="1"/>
  <c r="K4632" i="1"/>
  <c r="K4631" i="1"/>
  <c r="K4630" i="1"/>
  <c r="K2342" i="1"/>
  <c r="K2341" i="1"/>
  <c r="K1429" i="1"/>
  <c r="K1428" i="1"/>
  <c r="K1427" i="1"/>
  <c r="K1426" i="1"/>
  <c r="K1425" i="1"/>
  <c r="K5145" i="1"/>
  <c r="K5144" i="1"/>
  <c r="K5143" i="1"/>
  <c r="K5142" i="1"/>
  <c r="K5141" i="1"/>
  <c r="K5140" i="1"/>
  <c r="K4560" i="1"/>
  <c r="K4561" i="1"/>
  <c r="K4607" i="1"/>
  <c r="K4606" i="1"/>
  <c r="K4605" i="1"/>
  <c r="K4604" i="1"/>
  <c r="K4603" i="1"/>
  <c r="K4602" i="1"/>
  <c r="K5168" i="1"/>
  <c r="K6863" i="1"/>
  <c r="K6862" i="1"/>
  <c r="K6861" i="1"/>
  <c r="K6860" i="1"/>
  <c r="K6859" i="1"/>
  <c r="K6858" i="1"/>
  <c r="K6857" i="1"/>
  <c r="K3736" i="1"/>
  <c r="K3735" i="1"/>
  <c r="K3710" i="1"/>
  <c r="K3709" i="1"/>
  <c r="K3708" i="1"/>
  <c r="K3499" i="1"/>
  <c r="K3498" i="1"/>
  <c r="K5090" i="1"/>
  <c r="K929" i="1"/>
  <c r="K640" i="1"/>
  <c r="K1725" i="1"/>
  <c r="K1499" i="1"/>
  <c r="K1498" i="1"/>
  <c r="K1589" i="1"/>
  <c r="K2703" i="1"/>
  <c r="K1561" i="1"/>
  <c r="K3606" i="1"/>
  <c r="K3605" i="1"/>
  <c r="K3599" i="1"/>
  <c r="K3598" i="1"/>
  <c r="K2797" i="1"/>
  <c r="K2796" i="1"/>
  <c r="K2795" i="1"/>
  <c r="K666" i="1"/>
  <c r="K665" i="1"/>
  <c r="K527" i="1"/>
  <c r="K1566" i="1"/>
  <c r="K1565" i="1"/>
  <c r="K1564" i="1"/>
  <c r="K2680" i="1"/>
  <c r="K2679" i="1"/>
  <c r="K5472" i="1"/>
  <c r="K5450" i="1"/>
  <c r="K5532" i="1"/>
  <c r="K5531" i="1"/>
  <c r="K5492" i="1"/>
  <c r="K5571" i="1"/>
  <c r="K5591" i="1"/>
  <c r="K5570" i="1"/>
  <c r="K5590" i="1"/>
  <c r="K5589" i="1"/>
  <c r="K5588" i="1"/>
  <c r="K4963" i="1"/>
  <c r="K4962" i="1"/>
  <c r="K4961" i="1"/>
  <c r="K4960" i="1"/>
  <c r="K4959" i="1"/>
  <c r="K4895" i="1"/>
  <c r="K4089" i="1"/>
  <c r="K4088" i="1"/>
  <c r="K3861" i="1"/>
  <c r="K252" i="1"/>
  <c r="K251" i="1"/>
  <c r="K250" i="1"/>
  <c r="K249" i="1"/>
  <c r="K248" i="1"/>
  <c r="K247" i="1"/>
  <c r="K246" i="1"/>
  <c r="K245" i="1"/>
  <c r="K244" i="1"/>
  <c r="K1147" i="1"/>
  <c r="K965" i="1"/>
  <c r="K964" i="1"/>
  <c r="K963" i="1"/>
  <c r="K962" i="1"/>
  <c r="K961" i="1"/>
  <c r="K1890" i="1"/>
  <c r="K1889" i="1"/>
  <c r="K1888" i="1"/>
  <c r="K1444" i="1"/>
  <c r="K2026" i="1"/>
  <c r="K2025" i="1"/>
  <c r="K2024" i="1"/>
  <c r="K3520" i="1"/>
  <c r="K3519" i="1"/>
  <c r="K3896" i="1"/>
  <c r="K2356" i="1"/>
  <c r="K2355" i="1"/>
  <c r="K3895" i="1"/>
  <c r="K2354" i="1"/>
  <c r="K3792" i="1"/>
  <c r="K5318" i="1"/>
  <c r="K5317" i="1"/>
  <c r="K4470" i="1"/>
  <c r="K112" i="1"/>
  <c r="K111" i="1"/>
  <c r="K110" i="1"/>
  <c r="K109" i="1"/>
  <c r="K108" i="1"/>
  <c r="K88" i="1"/>
  <c r="K7280" i="1"/>
  <c r="K7279" i="1"/>
  <c r="K7278" i="1"/>
  <c r="K7277" i="1"/>
  <c r="K7276" i="1"/>
  <c r="K7275" i="1"/>
  <c r="K7274" i="1"/>
  <c r="K7273" i="1"/>
  <c r="K7272" i="1"/>
  <c r="K7271" i="1"/>
  <c r="K7270" i="1"/>
  <c r="K7269" i="1"/>
  <c r="K7268" i="1"/>
  <c r="K7267" i="1"/>
  <c r="K7266" i="1"/>
  <c r="K2418" i="1"/>
  <c r="K2258" i="1"/>
  <c r="K2257" i="1"/>
  <c r="K2256" i="1"/>
  <c r="K2255" i="1"/>
  <c r="K2254" i="1"/>
  <c r="K2253" i="1"/>
  <c r="K2252" i="1"/>
  <c r="K2251" i="1"/>
  <c r="K2250" i="1"/>
  <c r="K2249" i="1"/>
  <c r="K1358" i="1"/>
  <c r="K1357" i="1"/>
  <c r="K3650" i="1"/>
  <c r="K3649" i="1"/>
  <c r="K2415" i="1"/>
  <c r="K2414" i="1"/>
  <c r="K5264" i="1"/>
  <c r="K3506" i="1"/>
  <c r="K3505" i="1"/>
  <c r="K3574" i="1"/>
  <c r="K2746" i="1"/>
  <c r="K165" i="1"/>
  <c r="K1711" i="1"/>
  <c r="K1710" i="1"/>
  <c r="K1709" i="1"/>
  <c r="K3320" i="1"/>
  <c r="K1382" i="1"/>
  <c r="K1381" i="1"/>
  <c r="K3919" i="1"/>
  <c r="K2813" i="1"/>
  <c r="K3287" i="1"/>
  <c r="K3286" i="1"/>
  <c r="K2377" i="1"/>
  <c r="K5262" i="1"/>
  <c r="K1379" i="1"/>
  <c r="K3116" i="1"/>
  <c r="K4276" i="1"/>
  <c r="K4275" i="1"/>
  <c r="K4970" i="1"/>
  <c r="K1745" i="1"/>
  <c r="K2756" i="1"/>
  <c r="K4990" i="1"/>
  <c r="K2686" i="1"/>
  <c r="K994" i="1"/>
  <c r="K3146" i="1"/>
  <c r="K4124" i="1"/>
  <c r="K4123" i="1"/>
  <c r="K1984" i="1"/>
  <c r="K2001" i="1"/>
  <c r="K734" i="1"/>
  <c r="K1641" i="1"/>
  <c r="K1617" i="1"/>
  <c r="K5320" i="1"/>
  <c r="K4122" i="1"/>
  <c r="K993" i="1"/>
  <c r="K806" i="1"/>
  <c r="K1273" i="1"/>
  <c r="K3917" i="1"/>
  <c r="K4159" i="1"/>
  <c r="K4158" i="1"/>
  <c r="K3052" i="1"/>
  <c r="K2455" i="1"/>
  <c r="K2967" i="1"/>
  <c r="K2161" i="1"/>
  <c r="K2140" i="1"/>
  <c r="K2139" i="1"/>
  <c r="K2658" i="1"/>
  <c r="K2625" i="1"/>
  <c r="K6319" i="1"/>
  <c r="K6318" i="1"/>
  <c r="K6317" i="1"/>
  <c r="K6316" i="1"/>
  <c r="K6315" i="1"/>
  <c r="K6314" i="1"/>
  <c r="K6313" i="1"/>
  <c r="K6312" i="1"/>
  <c r="K6311" i="1"/>
  <c r="K6310" i="1"/>
  <c r="K6309" i="1"/>
  <c r="K6308" i="1"/>
  <c r="K6307" i="1"/>
  <c r="K6306" i="1"/>
  <c r="K6305" i="1"/>
  <c r="K6304" i="1"/>
  <c r="K6303" i="1"/>
  <c r="K6302" i="1"/>
  <c r="K6301" i="1"/>
  <c r="K2230" i="1"/>
  <c r="K2229" i="1"/>
  <c r="K2228" i="1"/>
  <c r="K3894" i="1"/>
  <c r="K3893" i="1"/>
  <c r="K3892" i="1"/>
  <c r="K3891" i="1"/>
  <c r="K3890" i="1"/>
  <c r="K3889" i="1"/>
  <c r="K3888" i="1"/>
  <c r="K3887" i="1"/>
  <c r="K4792" i="1"/>
  <c r="K4791" i="1"/>
  <c r="K231" i="1"/>
  <c r="K1441" i="1"/>
  <c r="K1440" i="1"/>
  <c r="K1439" i="1"/>
  <c r="K4706" i="1"/>
  <c r="K4705" i="1"/>
  <c r="K4022" i="1"/>
  <c r="K4021" i="1"/>
  <c r="K4020" i="1"/>
  <c r="K4019" i="1"/>
  <c r="K4018" i="1"/>
  <c r="K4017" i="1"/>
  <c r="K4993" i="1"/>
  <c r="K4992" i="1"/>
  <c r="K4991" i="1"/>
  <c r="K3238" i="1"/>
  <c r="K6884" i="1"/>
  <c r="K6883" i="1"/>
  <c r="K6882" i="1"/>
  <c r="K6881" i="1"/>
  <c r="K6880" i="1"/>
  <c r="K6879" i="1"/>
  <c r="K6878" i="1"/>
  <c r="K6877" i="1"/>
  <c r="K6876" i="1"/>
  <c r="K6875" i="1"/>
  <c r="K6874" i="1"/>
  <c r="K6873" i="1"/>
  <c r="K6872" i="1"/>
  <c r="K6871" i="1"/>
  <c r="K6870" i="1"/>
  <c r="K6869" i="1"/>
  <c r="K6868" i="1"/>
  <c r="K6867" i="1"/>
  <c r="K6866" i="1"/>
  <c r="K6865" i="1"/>
  <c r="K6864" i="1"/>
  <c r="K1833" i="1"/>
  <c r="K1832" i="1"/>
  <c r="K169" i="1"/>
  <c r="K3801" i="1"/>
  <c r="K3800" i="1"/>
  <c r="K3799" i="1"/>
  <c r="K2102" i="1"/>
  <c r="K2101" i="1"/>
  <c r="K3202" i="1"/>
  <c r="K5467" i="1"/>
  <c r="K7364" i="1"/>
  <c r="K7363" i="1"/>
  <c r="K7362" i="1"/>
  <c r="K7361" i="1"/>
  <c r="K7360" i="1"/>
  <c r="K7359" i="1"/>
  <c r="K7358" i="1"/>
  <c r="K7357" i="1"/>
  <c r="K7356" i="1"/>
  <c r="K7355" i="1"/>
  <c r="K7354" i="1"/>
  <c r="K7353" i="1"/>
  <c r="K7352" i="1"/>
  <c r="K7351" i="1"/>
  <c r="K7350" i="1"/>
  <c r="K7349" i="1"/>
  <c r="K7348" i="1"/>
  <c r="K7347" i="1"/>
  <c r="K7346" i="1"/>
  <c r="K7345" i="1"/>
  <c r="K7344" i="1"/>
  <c r="K7343" i="1"/>
  <c r="K7342" i="1"/>
  <c r="K7341" i="1"/>
  <c r="K7340" i="1"/>
  <c r="K7339" i="1"/>
  <c r="K7338" i="1"/>
  <c r="K7337" i="1"/>
  <c r="K7336" i="1"/>
  <c r="K7335" i="1"/>
  <c r="K2107" i="1"/>
  <c r="K2106" i="1"/>
  <c r="K2105" i="1"/>
  <c r="K2104" i="1"/>
  <c r="K3359" i="1"/>
  <c r="K3313" i="1"/>
  <c r="K4453" i="1"/>
  <c r="K4129" i="1"/>
  <c r="K4128" i="1"/>
  <c r="K4482" i="1"/>
  <c r="K4481" i="1"/>
  <c r="K2345" i="1"/>
  <c r="K5133" i="1"/>
  <c r="K5132" i="1"/>
  <c r="K1139" i="1"/>
  <c r="K1138" i="1"/>
  <c r="K1137" i="1"/>
  <c r="K1136" i="1"/>
  <c r="K1135" i="1"/>
  <c r="K1134" i="1"/>
  <c r="K1133" i="1"/>
  <c r="K1132" i="1"/>
  <c r="K1131" i="1"/>
  <c r="K1130" i="1"/>
  <c r="K1129" i="1"/>
  <c r="K5087" i="1"/>
  <c r="K5086" i="1"/>
  <c r="K4942" i="1"/>
  <c r="K4941" i="1"/>
  <c r="K4940" i="1"/>
  <c r="K3827" i="1"/>
  <c r="K3826" i="1"/>
  <c r="K2210" i="1"/>
  <c r="K2209" i="1"/>
  <c r="K2208" i="1"/>
  <c r="K1417" i="1"/>
  <c r="K3812" i="1"/>
  <c r="K1181" i="1"/>
  <c r="K951" i="1"/>
  <c r="K3983" i="1"/>
  <c r="K5414" i="1"/>
  <c r="K5413" i="1"/>
  <c r="K5412" i="1"/>
  <c r="K5411" i="1"/>
  <c r="K4145" i="1"/>
  <c r="K2022" i="1"/>
  <c r="K1443" i="1"/>
  <c r="K1442" i="1"/>
  <c r="K3060" i="1"/>
  <c r="K3059" i="1"/>
  <c r="K4445" i="1"/>
  <c r="K2609" i="1"/>
  <c r="K2438" i="1"/>
  <c r="K2437" i="1"/>
  <c r="K2436" i="1"/>
  <c r="K2594" i="1"/>
  <c r="K2593" i="1"/>
  <c r="K743" i="1"/>
  <c r="K742" i="1"/>
  <c r="K3352" i="1"/>
  <c r="K3351" i="1"/>
  <c r="K345" i="1"/>
  <c r="K344" i="1"/>
  <c r="K2331" i="1"/>
  <c r="K1924" i="1"/>
  <c r="K1923" i="1"/>
  <c r="K3756" i="1"/>
  <c r="K3755" i="1"/>
  <c r="K3754" i="1"/>
  <c r="K3009" i="1"/>
  <c r="K3008" i="1"/>
  <c r="K1420" i="1"/>
  <c r="K5336" i="1"/>
  <c r="K3075" i="1"/>
  <c r="K5496" i="1"/>
  <c r="K5515" i="1"/>
  <c r="K5587" i="1"/>
  <c r="K5569" i="1"/>
  <c r="K5568" i="1"/>
  <c r="K5559" i="1"/>
  <c r="K5534" i="1"/>
  <c r="K5556" i="1"/>
  <c r="K5555" i="1"/>
  <c r="K5554" i="1"/>
  <c r="K5586" i="1"/>
  <c r="K5549" i="1"/>
  <c r="K5553" i="1"/>
  <c r="K619" i="1"/>
  <c r="K618" i="1"/>
  <c r="K617" i="1"/>
  <c r="K616" i="1"/>
  <c r="K615" i="1"/>
  <c r="K660" i="1"/>
  <c r="K659" i="1"/>
  <c r="K1475" i="1"/>
  <c r="K1474" i="1"/>
  <c r="K1636" i="1"/>
  <c r="K1635" i="1"/>
  <c r="K2950" i="1"/>
  <c r="K2949" i="1"/>
  <c r="K3041" i="1"/>
  <c r="K3040" i="1"/>
  <c r="K3039" i="1"/>
  <c r="K3038" i="1"/>
  <c r="K3037" i="1"/>
  <c r="K7673" i="1"/>
  <c r="K7672" i="1"/>
  <c r="K7671" i="1"/>
  <c r="K7670" i="1"/>
  <c r="K7669" i="1"/>
  <c r="K7668" i="1"/>
  <c r="K7667" i="1"/>
  <c r="K7666" i="1"/>
  <c r="K7665" i="1"/>
  <c r="K7664" i="1"/>
  <c r="K7663" i="1"/>
  <c r="K1077" i="1"/>
  <c r="K2120" i="1"/>
  <c r="K3346" i="1"/>
  <c r="K3345" i="1"/>
  <c r="K3344" i="1"/>
  <c r="K5276" i="1"/>
  <c r="K5275" i="1"/>
  <c r="K3521" i="1"/>
  <c r="K1487" i="1"/>
  <c r="K1486" i="1"/>
  <c r="K574" i="1"/>
  <c r="K718" i="1"/>
  <c r="K2656" i="1"/>
  <c r="K5625" i="1"/>
  <c r="K5624" i="1"/>
  <c r="K5623" i="1"/>
  <c r="K5622" i="1"/>
  <c r="K5621" i="1"/>
  <c r="K5620" i="1"/>
  <c r="K5619" i="1"/>
  <c r="K5618" i="1"/>
  <c r="K5617" i="1"/>
  <c r="K5616" i="1"/>
  <c r="K5615" i="1"/>
  <c r="K5614" i="1"/>
  <c r="K5613" i="1"/>
  <c r="K5612" i="1"/>
  <c r="K5611" i="1"/>
  <c r="K7406" i="1"/>
  <c r="K7405" i="1"/>
  <c r="K7404" i="1"/>
  <c r="K7403" i="1"/>
  <c r="K7402" i="1"/>
  <c r="K7401" i="1"/>
  <c r="K7400" i="1"/>
  <c r="K7399" i="1"/>
  <c r="K7398" i="1"/>
  <c r="K7397" i="1"/>
  <c r="K7396" i="1"/>
  <c r="K7395" i="1"/>
  <c r="K7394" i="1"/>
  <c r="K7912" i="1"/>
  <c r="K7265" i="1"/>
  <c r="K7264" i="1"/>
  <c r="K7263" i="1"/>
  <c r="K7262" i="1"/>
  <c r="K7261" i="1"/>
  <c r="K7260" i="1"/>
  <c r="K7259" i="1"/>
  <c r="K7258" i="1"/>
  <c r="K7257" i="1"/>
  <c r="K7256" i="1"/>
  <c r="K7255" i="1"/>
  <c r="K7254" i="1"/>
  <c r="K7253" i="1"/>
  <c r="K7252" i="1"/>
  <c r="K7251" i="1"/>
  <c r="K7250" i="1"/>
  <c r="K7249" i="1"/>
  <c r="K7248" i="1"/>
  <c r="K7247" i="1"/>
  <c r="K7246" i="1"/>
  <c r="K7245" i="1"/>
  <c r="K2103" i="1"/>
  <c r="K4478" i="1"/>
  <c r="K4477" i="1"/>
  <c r="K4408" i="1"/>
  <c r="K4407" i="1"/>
  <c r="K2904" i="1"/>
  <c r="K1202" i="1"/>
  <c r="K1201" i="1"/>
  <c r="K1200" i="1"/>
  <c r="K1199" i="1"/>
  <c r="K1198" i="1"/>
  <c r="K1197" i="1"/>
  <c r="K1196" i="1"/>
  <c r="K1195" i="1"/>
  <c r="K1194" i="1"/>
  <c r="K1193" i="1"/>
  <c r="K1192" i="1"/>
  <c r="K1191" i="1"/>
  <c r="K4956" i="1"/>
  <c r="K4955" i="1"/>
  <c r="K4954" i="1"/>
  <c r="K4953" i="1"/>
  <c r="K4952" i="1"/>
  <c r="K4951" i="1"/>
  <c r="K4950" i="1"/>
  <c r="K387" i="1"/>
  <c r="K386" i="1"/>
  <c r="K385" i="1"/>
  <c r="K384" i="1"/>
  <c r="K383" i="1"/>
  <c r="K382" i="1"/>
  <c r="K381" i="1"/>
  <c r="K380" i="1"/>
  <c r="K838" i="1"/>
  <c r="K2372" i="1"/>
  <c r="K3489" i="1"/>
  <c r="K3488" i="1"/>
  <c r="K3475" i="1"/>
  <c r="K2425" i="1"/>
  <c r="K2424" i="1"/>
  <c r="K560" i="1"/>
  <c r="K3503" i="1"/>
  <c r="K7662" i="1"/>
  <c r="K7661" i="1"/>
  <c r="K7660" i="1"/>
  <c r="K7659" i="1"/>
  <c r="K7658" i="1"/>
  <c r="K7657" i="1"/>
  <c r="K7656" i="1"/>
  <c r="K7655" i="1"/>
  <c r="K7654" i="1"/>
  <c r="K7653" i="1"/>
  <c r="K7464" i="1"/>
  <c r="K7463" i="1"/>
  <c r="K7462" i="1"/>
  <c r="K7461" i="1"/>
  <c r="K7460" i="1"/>
  <c r="K7459" i="1"/>
  <c r="K7458" i="1"/>
  <c r="K7457" i="1"/>
  <c r="K7456" i="1"/>
  <c r="K7455" i="1"/>
  <c r="K7454" i="1"/>
  <c r="K7453" i="1"/>
  <c r="K7452" i="1"/>
  <c r="K7451" i="1"/>
  <c r="K7450" i="1"/>
  <c r="K7449" i="1"/>
  <c r="K3670" i="1"/>
  <c r="K3669" i="1"/>
  <c r="K3668" i="1"/>
  <c r="K790" i="1"/>
  <c r="K789" i="1"/>
  <c r="K788" i="1"/>
  <c r="K787" i="1"/>
  <c r="K802" i="1"/>
  <c r="K851" i="1"/>
  <c r="K850" i="1"/>
  <c r="K849" i="1"/>
  <c r="K2808" i="1"/>
  <c r="K2807" i="1"/>
  <c r="K3011" i="1"/>
  <c r="K4125" i="1"/>
  <c r="K1858" i="1"/>
  <c r="K7911" i="1"/>
  <c r="K7910" i="1"/>
  <c r="K7909" i="1"/>
  <c r="K7908" i="1"/>
  <c r="K7907" i="1"/>
  <c r="K7906" i="1"/>
  <c r="K7905" i="1"/>
  <c r="K7904" i="1"/>
  <c r="K7903" i="1"/>
  <c r="K7902" i="1"/>
  <c r="K7901" i="1"/>
  <c r="K7900" i="1"/>
  <c r="K7899" i="1"/>
  <c r="K7898" i="1"/>
  <c r="K6692" i="1"/>
  <c r="K6691" i="1"/>
  <c r="K6690" i="1"/>
  <c r="K6689" i="1"/>
  <c r="K6688" i="1"/>
  <c r="K6687" i="1"/>
  <c r="K6686" i="1"/>
  <c r="K6685" i="1"/>
  <c r="K6684" i="1"/>
  <c r="K6683" i="1"/>
  <c r="K6682" i="1"/>
  <c r="K6681" i="1"/>
  <c r="K6680" i="1"/>
  <c r="K5173" i="1"/>
  <c r="K5172" i="1"/>
  <c r="K5171" i="1"/>
  <c r="K5170" i="1"/>
  <c r="K5169" i="1"/>
  <c r="K1850" i="1"/>
  <c r="K1849" i="1"/>
  <c r="K1848" i="1"/>
  <c r="K2271" i="1"/>
  <c r="K2270" i="1"/>
  <c r="K2269" i="1"/>
  <c r="K2268" i="1"/>
  <c r="K2267" i="1"/>
  <c r="K2266" i="1"/>
  <c r="K2265" i="1"/>
  <c r="K7244" i="1"/>
  <c r="K7243" i="1"/>
  <c r="K7242" i="1"/>
  <c r="K7241" i="1"/>
  <c r="K7240" i="1"/>
  <c r="K7239" i="1"/>
  <c r="K7238" i="1"/>
  <c r="K7237" i="1"/>
  <c r="K6143" i="1"/>
  <c r="K6142" i="1"/>
  <c r="K6141" i="1"/>
  <c r="K6140" i="1"/>
  <c r="K6139" i="1"/>
  <c r="K6138" i="1"/>
  <c r="K6137" i="1"/>
  <c r="K6136" i="1"/>
  <c r="K6135" i="1"/>
  <c r="K6134" i="1"/>
  <c r="K6133" i="1"/>
  <c r="K6132" i="1"/>
  <c r="K6131" i="1"/>
  <c r="K1624" i="1"/>
  <c r="K2565" i="1"/>
  <c r="K2564" i="1"/>
  <c r="K2563" i="1"/>
  <c r="K1956" i="1"/>
  <c r="K1955" i="1"/>
  <c r="K3072" i="1"/>
  <c r="K1179" i="1"/>
  <c r="K5345" i="1"/>
  <c r="K5344" i="1"/>
  <c r="K5343" i="1"/>
  <c r="K3438" i="1"/>
  <c r="K1805" i="1"/>
  <c r="K2325" i="1"/>
  <c r="K3410" i="1"/>
  <c r="K2970" i="1"/>
  <c r="K4072" i="1"/>
  <c r="K3656" i="1"/>
  <c r="K995" i="1"/>
  <c r="K5443" i="1"/>
  <c r="K3660" i="1"/>
  <c r="K3659" i="1"/>
  <c r="K3173" i="1"/>
  <c r="K3172" i="1"/>
  <c r="K3171" i="1"/>
  <c r="K3170" i="1"/>
  <c r="K3169" i="1"/>
  <c r="K3168" i="1"/>
  <c r="K5129" i="1"/>
  <c r="K5128" i="1"/>
  <c r="K5127" i="1"/>
  <c r="K5126" i="1"/>
  <c r="K1541" i="1"/>
  <c r="K54" i="1"/>
  <c r="K314" i="1"/>
  <c r="K3781" i="1"/>
  <c r="K3687" i="1"/>
  <c r="K3686" i="1"/>
  <c r="K3685" i="1"/>
  <c r="K3684" i="1"/>
  <c r="K2669" i="1"/>
  <c r="K5417" i="1"/>
  <c r="K5416" i="1"/>
  <c r="K5415" i="1"/>
  <c r="K2391" i="1"/>
  <c r="K4901" i="1"/>
  <c r="K2000" i="1"/>
  <c r="K1999" i="1"/>
  <c r="K981" i="1"/>
  <c r="K292" i="1"/>
  <c r="K3362" i="1"/>
  <c r="K1162" i="1"/>
  <c r="K2641" i="1"/>
  <c r="K2640" i="1"/>
  <c r="K2639" i="1"/>
  <c r="K2638" i="1"/>
  <c r="K2637" i="1"/>
  <c r="K1100" i="1"/>
  <c r="K1099" i="1"/>
  <c r="K1098" i="1"/>
  <c r="K821" i="1"/>
  <c r="K820" i="1"/>
  <c r="K1203" i="1"/>
  <c r="K1096" i="1"/>
  <c r="K1087" i="1"/>
  <c r="K339" i="1"/>
  <c r="K773" i="1"/>
  <c r="K957" i="1"/>
  <c r="K6093" i="1"/>
  <c r="K6092" i="1"/>
  <c r="K6091" i="1"/>
  <c r="K6090" i="1"/>
  <c r="K6089" i="1"/>
  <c r="K6088" i="1"/>
  <c r="K6087" i="1"/>
  <c r="K6086" i="1"/>
  <c r="K6085" i="1"/>
  <c r="K6084" i="1"/>
  <c r="K6083" i="1"/>
  <c r="K6082" i="1"/>
  <c r="K658" i="1"/>
  <c r="K657" i="1"/>
  <c r="K1114" i="1"/>
  <c r="K1113" i="1"/>
  <c r="K1112" i="1"/>
  <c r="K1111" i="1"/>
  <c r="K1110" i="1"/>
  <c r="K1109" i="1"/>
  <c r="K1108" i="1"/>
  <c r="K1107" i="1"/>
  <c r="K1106" i="1"/>
  <c r="K1105" i="1"/>
  <c r="K1104" i="1"/>
  <c r="K1103" i="1"/>
  <c r="K1003" i="1"/>
  <c r="K1002" i="1"/>
  <c r="K1400" i="1"/>
  <c r="K286" i="1"/>
  <c r="K1657" i="1"/>
  <c r="K1656" i="1"/>
  <c r="K1655" i="1"/>
  <c r="K1654" i="1"/>
  <c r="K1653" i="1"/>
  <c r="K1652" i="1"/>
  <c r="K4126" i="1"/>
  <c r="K416" i="1"/>
  <c r="K415" i="1"/>
  <c r="K2458" i="1"/>
  <c r="K2313" i="1"/>
  <c r="K2312" i="1"/>
  <c r="K2311" i="1"/>
  <c r="K3208" i="1"/>
  <c r="K3207" i="1"/>
  <c r="K401" i="1"/>
  <c r="K1987" i="1"/>
  <c r="K1450" i="1"/>
  <c r="K4069" i="1"/>
  <c r="K1894" i="1"/>
  <c r="K3115" i="1"/>
  <c r="K554" i="1"/>
  <c r="K553" i="1"/>
  <c r="K552" i="1"/>
  <c r="K4984" i="1"/>
  <c r="K4983" i="1"/>
  <c r="K2704" i="1"/>
  <c r="K2828" i="1"/>
  <c r="K1419" i="1"/>
  <c r="K1639" i="1"/>
  <c r="K2568" i="1"/>
  <c r="K2567" i="1"/>
  <c r="K2566" i="1"/>
  <c r="K1233" i="1"/>
  <c r="K1232" i="1"/>
  <c r="K1231" i="1"/>
  <c r="K1230" i="1"/>
  <c r="K2205" i="1"/>
  <c r="K3270" i="1"/>
  <c r="K3269" i="1"/>
  <c r="K5273" i="1"/>
  <c r="K440" i="1"/>
  <c r="K439" i="1"/>
  <c r="K173" i="1"/>
  <c r="K172" i="1"/>
  <c r="K367" i="1"/>
  <c r="K865" i="1"/>
  <c r="K864" i="1"/>
  <c r="K4313" i="1"/>
  <c r="K4664" i="1"/>
  <c r="K4663" i="1"/>
  <c r="K4662" i="1"/>
  <c r="K4661" i="1"/>
  <c r="K4660" i="1"/>
  <c r="K4659" i="1"/>
  <c r="K4658" i="1"/>
  <c r="K4657" i="1"/>
  <c r="K4336" i="1"/>
  <c r="K4335" i="1"/>
  <c r="K4334" i="1"/>
  <c r="K4333" i="1"/>
  <c r="K4332" i="1"/>
  <c r="K4231" i="1"/>
  <c r="K4230" i="1"/>
  <c r="K4229" i="1"/>
  <c r="K4228" i="1"/>
  <c r="K4227" i="1"/>
  <c r="K4226" i="1"/>
  <c r="K120" i="1"/>
  <c r="K3627" i="1"/>
  <c r="K3193" i="1"/>
  <c r="K2096" i="1"/>
  <c r="K304" i="1"/>
  <c r="K1236" i="1"/>
  <c r="K1948" i="1"/>
  <c r="K2984" i="1"/>
  <c r="K549" i="1"/>
  <c r="K3729" i="1"/>
  <c r="K3728" i="1"/>
  <c r="K3727" i="1"/>
  <c r="K3726" i="1"/>
  <c r="K3725" i="1"/>
  <c r="K663" i="1"/>
  <c r="K3335" i="1"/>
  <c r="K3334" i="1"/>
  <c r="K3333" i="1"/>
  <c r="K3332" i="1"/>
  <c r="K3331" i="1"/>
  <c r="K5393" i="1"/>
  <c r="K1163" i="1"/>
  <c r="K3589" i="1"/>
  <c r="K139" i="1"/>
  <c r="K1623" i="1"/>
  <c r="K3467" i="1"/>
  <c r="K3210" i="1"/>
  <c r="K3209" i="1"/>
  <c r="K1557" i="1"/>
  <c r="K1556" i="1"/>
  <c r="K1555" i="1"/>
  <c r="K1554" i="1"/>
  <c r="K2802" i="1"/>
  <c r="K3077" i="1"/>
  <c r="K910" i="1"/>
  <c r="K924" i="1"/>
  <c r="K923" i="1"/>
  <c r="K682" i="1"/>
  <c r="K7" i="1"/>
  <c r="K566" i="1"/>
  <c r="K775" i="1"/>
  <c r="K774" i="1"/>
  <c r="K3624" i="1"/>
  <c r="K3918" i="1"/>
  <c r="K3343" i="1"/>
  <c r="K3318" i="1"/>
  <c r="K3317" i="1"/>
  <c r="K1122" i="1"/>
  <c r="K3914" i="1"/>
  <c r="K772" i="1"/>
  <c r="K3531" i="1"/>
  <c r="K3530" i="1"/>
  <c r="K3529" i="1"/>
  <c r="K2879" i="1"/>
  <c r="K2878" i="1"/>
  <c r="K4958" i="1"/>
  <c r="K3163" i="1"/>
  <c r="K151" i="1"/>
  <c r="K4444" i="1"/>
  <c r="K307" i="1"/>
  <c r="K2834" i="1"/>
  <c r="K2323" i="1"/>
  <c r="K1973" i="1"/>
  <c r="K523" i="1"/>
  <c r="K522" i="1"/>
  <c r="K2045" i="1"/>
  <c r="K2044" i="1"/>
  <c r="K4464" i="1"/>
  <c r="K4463" i="1"/>
  <c r="K4410" i="1"/>
  <c r="K3260" i="1"/>
  <c r="K2702" i="1"/>
  <c r="K2701" i="1"/>
  <c r="K3439" i="1"/>
  <c r="K218" i="1"/>
  <c r="K515" i="1"/>
  <c r="K514" i="1"/>
  <c r="K3157" i="1"/>
  <c r="K2043" i="1"/>
  <c r="K3259" i="1"/>
  <c r="K837" i="1"/>
  <c r="K836" i="1"/>
  <c r="K4146" i="1"/>
  <c r="K1172" i="1"/>
  <c r="K1171" i="1"/>
  <c r="K1170" i="1"/>
  <c r="K5288" i="1"/>
  <c r="K5287" i="1"/>
  <c r="K5286" i="1"/>
  <c r="K5285" i="1"/>
  <c r="K5284" i="1"/>
  <c r="K1613" i="1"/>
  <c r="K1338" i="1"/>
  <c r="K1337" i="1"/>
  <c r="K1883" i="1"/>
  <c r="K1882" i="1"/>
  <c r="K3516" i="1"/>
  <c r="K3477" i="1"/>
  <c r="K3476" i="1"/>
  <c r="K1638" i="1"/>
  <c r="K1637" i="1"/>
  <c r="K756" i="1"/>
  <c r="K755" i="1"/>
  <c r="K754" i="1"/>
  <c r="K1346" i="1"/>
  <c r="K564" i="1"/>
  <c r="K563" i="1"/>
  <c r="K2359" i="1"/>
  <c r="K2358" i="1"/>
  <c r="K2357" i="1"/>
  <c r="K3480" i="1"/>
  <c r="K3479" i="1"/>
  <c r="K3478" i="1"/>
  <c r="K3536" i="1"/>
  <c r="K3535" i="1"/>
  <c r="K3534" i="1"/>
  <c r="K3533" i="1"/>
  <c r="K3532" i="1"/>
  <c r="K154" i="1"/>
  <c r="K153" i="1"/>
  <c r="K152" i="1"/>
  <c r="K394" i="1"/>
  <c r="K393" i="1"/>
  <c r="K4656" i="1"/>
  <c r="K3128" i="1"/>
  <c r="K350" i="1"/>
  <c r="K349" i="1"/>
  <c r="K5404" i="1"/>
  <c r="K3644" i="1"/>
  <c r="K3117" i="1"/>
  <c r="K1978" i="1"/>
  <c r="K3468" i="1"/>
  <c r="K901" i="1"/>
  <c r="K900" i="1"/>
  <c r="K899" i="1"/>
  <c r="K898" i="1"/>
  <c r="K5039" i="1"/>
  <c r="K5038" i="1"/>
  <c r="K5037" i="1"/>
  <c r="K1054" i="1"/>
  <c r="K1053" i="1"/>
  <c r="K1052" i="1"/>
  <c r="K1051" i="1"/>
  <c r="K1050" i="1"/>
  <c r="K1049" i="1"/>
  <c r="K1048" i="1"/>
  <c r="K1047" i="1"/>
  <c r="K1046" i="1"/>
  <c r="K968" i="1"/>
  <c r="K967" i="1"/>
  <c r="K966" i="1"/>
  <c r="K946" i="1"/>
  <c r="K5508" i="1"/>
  <c r="K5519" i="1"/>
  <c r="K5548" i="1"/>
  <c r="K5547" i="1"/>
  <c r="K5475" i="1"/>
  <c r="K5474" i="1"/>
  <c r="K5451" i="1"/>
  <c r="K5546" i="1"/>
  <c r="K5566" i="1"/>
  <c r="K5545" i="1"/>
  <c r="K3120" i="1"/>
  <c r="K3165" i="1"/>
  <c r="K3164" i="1"/>
  <c r="K6425" i="1"/>
  <c r="K1405" i="1"/>
  <c r="K1404" i="1"/>
  <c r="K1403" i="1"/>
  <c r="K1402" i="1"/>
  <c r="K1451" i="1"/>
  <c r="K2841" i="1"/>
  <c r="K3544" i="1"/>
  <c r="K3554" i="1"/>
  <c r="K4147" i="1"/>
  <c r="K473" i="1"/>
  <c r="K2572" i="1"/>
  <c r="K3695" i="1"/>
  <c r="K7315" i="1"/>
  <c r="K7314" i="1"/>
  <c r="K7313" i="1"/>
  <c r="K7312" i="1"/>
  <c r="K7311" i="1"/>
  <c r="K7310" i="1"/>
  <c r="K7309" i="1"/>
  <c r="K7308" i="1"/>
  <c r="K7307" i="1"/>
  <c r="K7306" i="1"/>
  <c r="K7305" i="1"/>
  <c r="K7304" i="1"/>
  <c r="K7303" i="1"/>
  <c r="K7302" i="1"/>
  <c r="K7301" i="1"/>
  <c r="K7300" i="1"/>
  <c r="K7299" i="1"/>
  <c r="K7298" i="1"/>
  <c r="K7297" i="1"/>
  <c r="K7296" i="1"/>
  <c r="K7295" i="1"/>
  <c r="K7294" i="1"/>
  <c r="K7293" i="1"/>
  <c r="K7292" i="1"/>
  <c r="K7291" i="1"/>
  <c r="K7290" i="1"/>
  <c r="K7289" i="1"/>
  <c r="K7288" i="1"/>
  <c r="K7287" i="1"/>
  <c r="K7286" i="1"/>
  <c r="K7285" i="1"/>
  <c r="K7284" i="1"/>
  <c r="K7283" i="1"/>
  <c r="K7282" i="1"/>
  <c r="K7281" i="1"/>
  <c r="K6164" i="1"/>
  <c r="K6163" i="1"/>
  <c r="K6162" i="1"/>
  <c r="K6161" i="1"/>
  <c r="K6160" i="1"/>
  <c r="K6159" i="1"/>
  <c r="K6158" i="1"/>
  <c r="K6771" i="1"/>
  <c r="K6770" i="1"/>
  <c r="K6769" i="1"/>
  <c r="K6768" i="1"/>
  <c r="K6767" i="1"/>
  <c r="K6766" i="1"/>
  <c r="K6765" i="1"/>
  <c r="K6764" i="1"/>
  <c r="K6763" i="1"/>
  <c r="K6762" i="1"/>
  <c r="K6761" i="1"/>
  <c r="K6760" i="1"/>
  <c r="K6759" i="1"/>
  <c r="K6758" i="1"/>
  <c r="K6757" i="1"/>
  <c r="K6756" i="1"/>
  <c r="K6755" i="1"/>
  <c r="K6754" i="1"/>
  <c r="K6753" i="1"/>
  <c r="K6752" i="1"/>
  <c r="K6751" i="1"/>
  <c r="K6750" i="1"/>
  <c r="K6749" i="1"/>
  <c r="K6748" i="1"/>
  <c r="K6747" i="1"/>
  <c r="K6746" i="1"/>
  <c r="K6745" i="1"/>
  <c r="K1218" i="1"/>
  <c r="K1217" i="1"/>
  <c r="K1216" i="1"/>
  <c r="K1825" i="1"/>
  <c r="K3816" i="1"/>
  <c r="K4190" i="1"/>
  <c r="K1298" i="1"/>
  <c r="K3522" i="1"/>
  <c r="K562" i="1"/>
  <c r="K4155" i="1"/>
  <c r="K4154" i="1"/>
  <c r="K3051" i="1"/>
  <c r="K3658" i="1"/>
  <c r="K3817" i="1"/>
  <c r="K3232" i="1"/>
  <c r="K3231" i="1"/>
  <c r="K3230" i="1"/>
  <c r="K2290" i="1"/>
  <c r="K2289" i="1"/>
  <c r="K2127" i="1"/>
  <c r="K2126" i="1"/>
  <c r="K2125" i="1"/>
  <c r="K1501" i="1"/>
  <c r="K1500" i="1"/>
  <c r="K4821" i="1"/>
  <c r="K4820" i="1"/>
  <c r="K4819" i="1"/>
  <c r="K4818" i="1"/>
  <c r="K4817" i="1"/>
  <c r="K6905" i="1"/>
  <c r="K6904" i="1"/>
  <c r="K6903" i="1"/>
  <c r="K6902" i="1"/>
  <c r="K6901" i="1"/>
  <c r="K6900" i="1"/>
  <c r="K6899" i="1"/>
  <c r="K6898" i="1"/>
  <c r="K6897" i="1"/>
  <c r="K6896" i="1"/>
  <c r="K6895" i="1"/>
  <c r="K6894" i="1"/>
  <c r="K6893" i="1"/>
  <c r="K6892" i="1"/>
  <c r="K6891" i="1"/>
  <c r="K6890" i="1"/>
  <c r="K6889" i="1"/>
  <c r="K6888" i="1"/>
  <c r="K6887" i="1"/>
  <c r="K6886" i="1"/>
  <c r="K6885" i="1"/>
  <c r="K7012" i="1"/>
  <c r="K7011" i="1"/>
  <c r="K7010" i="1"/>
  <c r="K7009" i="1"/>
  <c r="K7008" i="1"/>
  <c r="K7007" i="1"/>
  <c r="K7765" i="1"/>
  <c r="K7764" i="1"/>
  <c r="K7763" i="1"/>
  <c r="K7762" i="1"/>
  <c r="K7761" i="1"/>
  <c r="K7760" i="1"/>
  <c r="K7759" i="1"/>
  <c r="K7118" i="1"/>
  <c r="K7117" i="1"/>
  <c r="K7116" i="1"/>
  <c r="K7115" i="1"/>
  <c r="K7114" i="1"/>
  <c r="K7113" i="1"/>
  <c r="K7112" i="1"/>
  <c r="K7111" i="1"/>
  <c r="K7110" i="1"/>
  <c r="K7109" i="1"/>
  <c r="K7108" i="1"/>
  <c r="K7107" i="1"/>
  <c r="K7106" i="1"/>
  <c r="K7105" i="1"/>
  <c r="K7104" i="1"/>
  <c r="K7103" i="1"/>
  <c r="K7102" i="1"/>
  <c r="K7101" i="1"/>
  <c r="K7100" i="1"/>
  <c r="K7099" i="1"/>
  <c r="K7098" i="1"/>
  <c r="K7097" i="1"/>
  <c r="K7096" i="1"/>
  <c r="K7095" i="1"/>
  <c r="K7094" i="1"/>
  <c r="K7093" i="1"/>
  <c r="K7092" i="1"/>
  <c r="K7091" i="1"/>
  <c r="K6081" i="1"/>
  <c r="K6080" i="1"/>
  <c r="K6079" i="1"/>
  <c r="K6078" i="1"/>
  <c r="K6077" i="1"/>
  <c r="K6076" i="1"/>
  <c r="K6075" i="1"/>
  <c r="K6074" i="1"/>
  <c r="K6073" i="1"/>
  <c r="K6072" i="1"/>
  <c r="K6071" i="1"/>
  <c r="K6070" i="1"/>
  <c r="K6069" i="1"/>
  <c r="K6068" i="1"/>
  <c r="K6067" i="1"/>
  <c r="K6066" i="1"/>
  <c r="K6065" i="1"/>
  <c r="K6064" i="1"/>
  <c r="K6063" i="1"/>
  <c r="K315" i="1"/>
  <c r="K431" i="1"/>
  <c r="K430" i="1"/>
  <c r="K429" i="1"/>
  <c r="K2280" i="1"/>
  <c r="K2279" i="1"/>
  <c r="K2691" i="1"/>
  <c r="K758" i="1"/>
  <c r="K188" i="1"/>
  <c r="K1508" i="1"/>
  <c r="K1507" i="1"/>
  <c r="K1506" i="1"/>
  <c r="K4121" i="1"/>
  <c r="K5442" i="1"/>
  <c r="K256" i="1"/>
  <c r="K255" i="1"/>
  <c r="K254" i="1"/>
  <c r="K7334" i="1"/>
  <c r="K7333" i="1"/>
  <c r="K7332" i="1"/>
  <c r="K7331" i="1"/>
  <c r="K7330" i="1"/>
  <c r="K7329" i="1"/>
  <c r="K7328" i="1"/>
  <c r="K7327" i="1"/>
  <c r="K7326" i="1"/>
  <c r="K7325" i="1"/>
  <c r="K7324" i="1"/>
  <c r="K7323" i="1"/>
  <c r="K6185" i="1"/>
  <c r="K796" i="1"/>
  <c r="K3579" i="1"/>
  <c r="K1027" i="1"/>
  <c r="K1026" i="1"/>
  <c r="K1025" i="1"/>
  <c r="K1024" i="1"/>
  <c r="K1023" i="1"/>
  <c r="K1081" i="1"/>
  <c r="K984" i="1"/>
  <c r="K983" i="1"/>
  <c r="K1784" i="1"/>
  <c r="K1164" i="1"/>
  <c r="K4441" i="1"/>
  <c r="K1594" i="1"/>
  <c r="K3289" i="1"/>
  <c r="K3288" i="1"/>
  <c r="K2657" i="1"/>
  <c r="K1470" i="1"/>
  <c r="K2761" i="1"/>
  <c r="K2760" i="1"/>
  <c r="K5030" i="1"/>
  <c r="K5029" i="1"/>
  <c r="K4002" i="1"/>
  <c r="K4001" i="1"/>
  <c r="K4000" i="1"/>
  <c r="K3999" i="1"/>
  <c r="K3998" i="1"/>
  <c r="K3997" i="1"/>
  <c r="K3996" i="1"/>
  <c r="K3995" i="1"/>
  <c r="K3994" i="1"/>
  <c r="K3993" i="1"/>
  <c r="K3992" i="1"/>
  <c r="K5020" i="1"/>
  <c r="K5019" i="1"/>
  <c r="K2227" i="1"/>
  <c r="K2226" i="1"/>
  <c r="K2225" i="1"/>
  <c r="K2224" i="1"/>
  <c r="K3787" i="1"/>
  <c r="K3786" i="1"/>
  <c r="K3785" i="1"/>
  <c r="K3930" i="1"/>
  <c r="K3929" i="1"/>
  <c r="K3928" i="1"/>
  <c r="K2885" i="1"/>
  <c r="K2884" i="1"/>
  <c r="K4207" i="1"/>
  <c r="K1952" i="1"/>
  <c r="K886" i="1"/>
  <c r="K4641" i="1"/>
  <c r="K1632" i="1"/>
  <c r="K57" i="1"/>
  <c r="K4626" i="1"/>
  <c r="K4625" i="1"/>
  <c r="K4624" i="1"/>
  <c r="K4623" i="1"/>
  <c r="K399" i="1"/>
  <c r="K1936" i="1"/>
  <c r="K352" i="1"/>
  <c r="K3556" i="1"/>
  <c r="K1213" i="1"/>
  <c r="K2863" i="1"/>
  <c r="K6295" i="1"/>
  <c r="K6294" i="1"/>
  <c r="K6293" i="1"/>
  <c r="K6292" i="1"/>
  <c r="K6291" i="1"/>
  <c r="K6290" i="1"/>
  <c r="K6289" i="1"/>
  <c r="K6288" i="1"/>
  <c r="K6287" i="1"/>
  <c r="K6286" i="1"/>
  <c r="K2602" i="1"/>
  <c r="K2601" i="1"/>
  <c r="K2600" i="1"/>
  <c r="K2599" i="1"/>
  <c r="K2598" i="1"/>
  <c r="K2597" i="1"/>
  <c r="K2596" i="1"/>
  <c r="K4776" i="1"/>
  <c r="K4775" i="1"/>
  <c r="K4774" i="1"/>
  <c r="K863" i="1"/>
  <c r="K5457" i="1"/>
  <c r="K5598" i="1"/>
  <c r="K5597" i="1"/>
  <c r="K5596" i="1"/>
  <c r="K5481" i="1"/>
  <c r="K5595" i="1"/>
  <c r="K5594" i="1"/>
  <c r="K5593" i="1"/>
  <c r="K5585" i="1"/>
  <c r="K5560" i="1"/>
  <c r="K5518" i="1"/>
  <c r="K5581" i="1"/>
  <c r="K5580" i="1"/>
  <c r="K5456" i="1"/>
  <c r="K5463" i="1"/>
  <c r="K5579" i="1"/>
  <c r="K5578" i="1"/>
  <c r="K5462" i="1"/>
  <c r="K5592" i="1"/>
  <c r="K5461" i="1"/>
  <c r="K5460" i="1"/>
  <c r="K5459" i="1"/>
  <c r="K5458" i="1"/>
  <c r="K5483" i="1"/>
  <c r="K5577" i="1"/>
  <c r="K5482" i="1"/>
  <c r="K5538" i="1"/>
  <c r="K5511" i="1"/>
  <c r="K5558" i="1"/>
  <c r="K5476" i="1"/>
  <c r="K5582" i="1"/>
  <c r="K5480" i="1"/>
  <c r="K5557" i="1"/>
  <c r="K5603" i="1"/>
  <c r="K5602" i="1"/>
  <c r="K5601" i="1"/>
  <c r="K5490" i="1"/>
  <c r="K5600" i="1"/>
  <c r="K5576" i="1"/>
  <c r="K5575" i="1"/>
  <c r="K5574" i="1"/>
  <c r="K5573" i="1"/>
  <c r="K3337" i="1"/>
  <c r="K3336" i="1"/>
  <c r="K4202" i="1"/>
  <c r="K4201" i="1"/>
  <c r="K4200" i="1"/>
  <c r="K4199" i="1"/>
  <c r="K4108" i="1"/>
  <c r="K4107" i="1"/>
  <c r="K4106" i="1"/>
  <c r="K4105" i="1"/>
  <c r="K712" i="1"/>
  <c r="K711" i="1"/>
  <c r="K710" i="1"/>
  <c r="K6046" i="1"/>
  <c r="K1472" i="1"/>
  <c r="K3402" i="1"/>
  <c r="K3401" i="1"/>
  <c r="K3400" i="1"/>
  <c r="K3399" i="1"/>
  <c r="K3398" i="1"/>
  <c r="K3397" i="1"/>
  <c r="K1859" i="1"/>
  <c r="K979" i="1"/>
  <c r="K3081" i="1"/>
  <c r="K3080" i="1"/>
  <c r="K3079" i="1"/>
  <c r="K3078" i="1"/>
  <c r="K5371" i="1"/>
  <c r="K5370" i="1"/>
  <c r="K5369" i="1"/>
  <c r="K5368" i="1"/>
  <c r="K5367" i="1"/>
  <c r="K5366" i="1"/>
  <c r="K5365" i="1"/>
  <c r="K5364" i="1"/>
  <c r="K2710" i="1"/>
  <c r="K2709" i="1"/>
  <c r="K2708" i="1"/>
  <c r="K2707" i="1"/>
  <c r="K1819" i="1"/>
  <c r="K1818" i="1"/>
  <c r="K1736" i="1"/>
  <c r="K174" i="1"/>
  <c r="K3745" i="1"/>
  <c r="K1863" i="1"/>
  <c r="K4061" i="1"/>
  <c r="K4060" i="1"/>
  <c r="K4059" i="1"/>
  <c r="K4058" i="1"/>
  <c r="K4057" i="1"/>
  <c r="K4056" i="1"/>
  <c r="K4055" i="1"/>
  <c r="K4054" i="1"/>
  <c r="K4053" i="1"/>
  <c r="K4052" i="1"/>
  <c r="K4051" i="1"/>
  <c r="K4782" i="1"/>
  <c r="K5219" i="1"/>
  <c r="K5218" i="1"/>
  <c r="K5217" i="1"/>
  <c r="K5216" i="1"/>
  <c r="K4969" i="1"/>
  <c r="K4968" i="1"/>
  <c r="K4967" i="1"/>
  <c r="K3181" i="1"/>
  <c r="K3641" i="1"/>
  <c r="K3583" i="1"/>
  <c r="K3546" i="1"/>
  <c r="K3566" i="1"/>
  <c r="K3565" i="1"/>
  <c r="K3564" i="1"/>
  <c r="K2400" i="1"/>
  <c r="K2399" i="1"/>
  <c r="K2398" i="1"/>
  <c r="K2397" i="1"/>
  <c r="K2927" i="1"/>
  <c r="K2724" i="1"/>
  <c r="K844" i="1"/>
  <c r="K843" i="1"/>
  <c r="K842" i="1"/>
  <c r="K135" i="1"/>
  <c r="K134" i="1"/>
  <c r="K133" i="1"/>
  <c r="K132" i="1"/>
  <c r="K131" i="1"/>
  <c r="K130" i="1"/>
  <c r="K1880" i="1"/>
  <c r="K1879" i="1"/>
  <c r="K1878" i="1"/>
  <c r="K928" i="1"/>
  <c r="K4118" i="1"/>
  <c r="K4117" i="1"/>
  <c r="K4484" i="1"/>
  <c r="K4483" i="1"/>
  <c r="K4004" i="1"/>
  <c r="K4289" i="1"/>
  <c r="K4288" i="1"/>
  <c r="K4287" i="1"/>
  <c r="K6492" i="1"/>
  <c r="K6491" i="1"/>
  <c r="K1526" i="1"/>
  <c r="K4949" i="1"/>
  <c r="K4948" i="1"/>
  <c r="K4947" i="1"/>
  <c r="K4946" i="1"/>
  <c r="K4945" i="1"/>
  <c r="K4944" i="1"/>
  <c r="K4943" i="1"/>
  <c r="K4972" i="1"/>
  <c r="K4398" i="1"/>
  <c r="K4397" i="1"/>
  <c r="K4396" i="1"/>
  <c r="K4395" i="1"/>
  <c r="K4394" i="1"/>
  <c r="K4393" i="1"/>
  <c r="K4392" i="1"/>
  <c r="K4936" i="1"/>
  <c r="K4935" i="1"/>
  <c r="K4934" i="1"/>
  <c r="K4933" i="1"/>
  <c r="K4932" i="1"/>
  <c r="K4931" i="1"/>
  <c r="K4930" i="1"/>
  <c r="K4929" i="1"/>
  <c r="K4928" i="1"/>
  <c r="K4927" i="1"/>
  <c r="K7609" i="1"/>
  <c r="K7608" i="1"/>
  <c r="K7607" i="1"/>
  <c r="K7606" i="1"/>
  <c r="K7605" i="1"/>
  <c r="K7604" i="1"/>
  <c r="K7603" i="1"/>
  <c r="K7602" i="1"/>
  <c r="K7601" i="1"/>
  <c r="K7600" i="1"/>
  <c r="K7599" i="1"/>
  <c r="K7598" i="1"/>
  <c r="K7597" i="1"/>
  <c r="K7596" i="1"/>
  <c r="K3330" i="1"/>
  <c r="K3590" i="1"/>
  <c r="K1539" i="1"/>
  <c r="K2090" i="1"/>
  <c r="K2273" i="1"/>
  <c r="K2272" i="1"/>
  <c r="K2577" i="1"/>
  <c r="K2576" i="1"/>
  <c r="K1274" i="1"/>
  <c r="K987" i="1"/>
  <c r="K771" i="1"/>
  <c r="K1209" i="1"/>
  <c r="K1243" i="1"/>
  <c r="K3282" i="1"/>
  <c r="K5321" i="1"/>
  <c r="K1066" i="1"/>
  <c r="K2814" i="1"/>
  <c r="K2662" i="1"/>
  <c r="K1510" i="1"/>
  <c r="K1509" i="1"/>
  <c r="K3864" i="1"/>
  <c r="K2590" i="1"/>
  <c r="K2589" i="1"/>
  <c r="K1525" i="1"/>
  <c r="K4205" i="1"/>
  <c r="K4204" i="1"/>
  <c r="K1683" i="1"/>
  <c r="K1682" i="1"/>
  <c r="K1777" i="1"/>
  <c r="K3552" i="1"/>
  <c r="K5028" i="1"/>
  <c r="K5027" i="1"/>
  <c r="K1684" i="1"/>
  <c r="K1276" i="1"/>
  <c r="K3426" i="1"/>
  <c r="K759" i="1"/>
  <c r="K309" i="1"/>
  <c r="K308" i="1"/>
  <c r="K4825" i="1"/>
  <c r="K4824" i="1"/>
  <c r="K4823" i="1"/>
  <c r="K129" i="1"/>
  <c r="K128" i="1"/>
  <c r="K4415" i="1"/>
  <c r="K4414" i="1"/>
  <c r="K557" i="1"/>
  <c r="K2237" i="1"/>
  <c r="K2236" i="1"/>
  <c r="K2023" i="1"/>
  <c r="K810" i="1"/>
  <c r="K3071" i="1"/>
  <c r="K4460" i="1"/>
  <c r="K4459" i="1"/>
  <c r="K1315" i="1"/>
  <c r="K282" i="1"/>
  <c r="K228" i="1"/>
  <c r="K3664" i="1"/>
  <c r="K3597" i="1"/>
  <c r="K2549" i="1"/>
  <c r="K677" i="1"/>
  <c r="K1504" i="1"/>
  <c r="K2632" i="1"/>
  <c r="K2349" i="1"/>
  <c r="K3228" i="1"/>
  <c r="K3227" i="1"/>
  <c r="K5351" i="1"/>
  <c r="K5212" i="1"/>
  <c r="K5211" i="1"/>
  <c r="K5210" i="1"/>
  <c r="K5209" i="1"/>
  <c r="K5208" i="1"/>
  <c r="K5246" i="1"/>
  <c r="K2034" i="1"/>
  <c r="K2033" i="1"/>
  <c r="K2032" i="1"/>
  <c r="K2031" i="1"/>
  <c r="K2030" i="1"/>
  <c r="K1268" i="1"/>
  <c r="K1267" i="1"/>
  <c r="K1266" i="1"/>
  <c r="K1265" i="1"/>
  <c r="K1264" i="1"/>
  <c r="K1263" i="1"/>
  <c r="K4966" i="1"/>
  <c r="K4965" i="1"/>
  <c r="K4964" i="1"/>
  <c r="K1868" i="1"/>
  <c r="K1867" i="1"/>
  <c r="K1866" i="1"/>
  <c r="K1865" i="1"/>
  <c r="K2744" i="1"/>
  <c r="K4863" i="1"/>
  <c r="K428" i="1"/>
  <c r="K427" i="1"/>
  <c r="K426" i="1"/>
  <c r="K425" i="1"/>
  <c r="K424" i="1"/>
  <c r="K423" i="1"/>
  <c r="K422" i="1"/>
  <c r="K2899" i="1"/>
  <c r="K3434" i="1"/>
  <c r="K475" i="1"/>
  <c r="K846" i="1"/>
  <c r="K1940" i="1"/>
  <c r="K2212" i="1"/>
  <c r="K2917" i="1"/>
  <c r="K7628" i="1"/>
  <c r="K7627" i="1"/>
  <c r="K6924" i="1"/>
  <c r="K6923" i="1"/>
  <c r="K6922" i="1"/>
  <c r="K6921" i="1"/>
  <c r="K6920" i="1"/>
  <c r="K6919" i="1"/>
  <c r="K6918" i="1"/>
  <c r="K6917" i="1"/>
  <c r="K6916" i="1"/>
  <c r="K6915" i="1"/>
  <c r="K6914" i="1"/>
  <c r="K6913" i="1"/>
  <c r="K6912" i="1"/>
  <c r="K6911" i="1"/>
  <c r="K6910" i="1"/>
  <c r="K6909" i="1"/>
  <c r="K6908" i="1"/>
  <c r="K6907" i="1"/>
  <c r="K6906" i="1"/>
  <c r="K6157" i="1"/>
  <c r="K6156" i="1"/>
  <c r="K6155" i="1"/>
  <c r="K6154" i="1"/>
  <c r="K6153" i="1"/>
  <c r="K1452" i="1"/>
  <c r="K3376" i="1"/>
  <c r="K3375" i="1"/>
  <c r="K1093" i="1"/>
  <c r="K1092" i="1"/>
  <c r="K294" i="1"/>
  <c r="K3374" i="1"/>
  <c r="K3373" i="1"/>
  <c r="K2698" i="1"/>
  <c r="K2697" i="1"/>
  <c r="K2696" i="1"/>
  <c r="K414" i="1"/>
  <c r="K413" i="1"/>
  <c r="K412" i="1"/>
  <c r="K411" i="1"/>
  <c r="K1793" i="1"/>
  <c r="K7181" i="1"/>
  <c r="K7180" i="1"/>
  <c r="K7179" i="1"/>
  <c r="K7178" i="1"/>
  <c r="K7177" i="1"/>
  <c r="K7176" i="1"/>
  <c r="K7175" i="1"/>
  <c r="K7174" i="1"/>
  <c r="K7173" i="1"/>
  <c r="K7172" i="1"/>
  <c r="K7171" i="1"/>
  <c r="K7170" i="1"/>
  <c r="K7169" i="1"/>
  <c r="K7168" i="1"/>
  <c r="K7167" i="1"/>
  <c r="K7166" i="1"/>
  <c r="K7165" i="1"/>
  <c r="K7164" i="1"/>
  <c r="K7163" i="1"/>
  <c r="K7162" i="1"/>
  <c r="K7161" i="1"/>
  <c r="K7160" i="1"/>
  <c r="K7159" i="1"/>
  <c r="K7158" i="1"/>
  <c r="K7157" i="1"/>
  <c r="K6566" i="1"/>
  <c r="K6565" i="1"/>
  <c r="K6564" i="1"/>
  <c r="K6563" i="1"/>
  <c r="K6562" i="1"/>
  <c r="K6561" i="1"/>
  <c r="K6532" i="1"/>
  <c r="K6531" i="1"/>
  <c r="K6530" i="1"/>
  <c r="K6529" i="1"/>
  <c r="K6100" i="1"/>
  <c r="K6099" i="1"/>
  <c r="K6098" i="1"/>
  <c r="K6097" i="1"/>
  <c r="K6096" i="1"/>
  <c r="K6095" i="1"/>
  <c r="K6094" i="1"/>
  <c r="K4982" i="1"/>
  <c r="K4981" i="1"/>
  <c r="K1244" i="1"/>
  <c r="K1997" i="1"/>
  <c r="K1228" i="1"/>
  <c r="K219" i="1"/>
  <c r="K3151" i="1"/>
  <c r="K1485" i="1"/>
  <c r="K3217" i="1"/>
  <c r="K2285" i="1"/>
  <c r="K2284" i="1"/>
  <c r="K2283" i="1"/>
  <c r="K2282" i="1"/>
  <c r="K823" i="1"/>
  <c r="K3979" i="1"/>
  <c r="K3978" i="1"/>
  <c r="K3977" i="1"/>
  <c r="K3976" i="1"/>
  <c r="K3975" i="1"/>
  <c r="K493" i="1"/>
  <c r="K492" i="1"/>
  <c r="K491" i="1"/>
  <c r="K490" i="1"/>
  <c r="K792" i="1"/>
  <c r="K791" i="1"/>
  <c r="K730" i="1"/>
  <c r="K607" i="1"/>
  <c r="K606" i="1"/>
  <c r="K605" i="1"/>
  <c r="K604" i="1"/>
  <c r="K4194" i="1"/>
  <c r="K4193" i="1"/>
  <c r="K3614" i="1"/>
  <c r="K2548" i="1"/>
  <c r="K2547" i="1"/>
  <c r="K2546" i="1"/>
  <c r="K3134" i="1"/>
  <c r="K3133" i="1"/>
  <c r="K168" i="1"/>
  <c r="K76" i="1"/>
  <c r="K3611" i="1"/>
  <c r="K30" i="1"/>
  <c r="K171" i="1"/>
  <c r="K170" i="1"/>
  <c r="K1067" i="1"/>
  <c r="K5395" i="1"/>
  <c r="K3543" i="1"/>
  <c r="K1242" i="1"/>
  <c r="K1492" i="1"/>
  <c r="K4985" i="1"/>
  <c r="K4910" i="1"/>
  <c r="K2098" i="1"/>
  <c r="K2097" i="1"/>
  <c r="K3445" i="1"/>
  <c r="K3444" i="1"/>
  <c r="K3443" i="1"/>
  <c r="K2804" i="1"/>
  <c r="K1503" i="1"/>
  <c r="K1502" i="1"/>
  <c r="K1545" i="1"/>
  <c r="K2138" i="1"/>
  <c r="K1275" i="1"/>
  <c r="K3126" i="1"/>
  <c r="K3125" i="1"/>
  <c r="K3124" i="1"/>
  <c r="K3123" i="1"/>
  <c r="K4409" i="1"/>
  <c r="K61" i="1"/>
  <c r="K60" i="1"/>
  <c r="K3932" i="1"/>
  <c r="K4806" i="1"/>
  <c r="K4805" i="1"/>
  <c r="K4686" i="1"/>
  <c r="K3239" i="1"/>
  <c r="K1424" i="1"/>
  <c r="K1423" i="1"/>
  <c r="K1422" i="1"/>
  <c r="K5263" i="1"/>
  <c r="K3432" i="1"/>
  <c r="K3431" i="1"/>
  <c r="K3430" i="1"/>
  <c r="K3429" i="1"/>
  <c r="K3428" i="1"/>
  <c r="K5031" i="1"/>
  <c r="K2083" i="1"/>
  <c r="K3056" i="1"/>
  <c r="K3409" i="1"/>
  <c r="K3408" i="1"/>
  <c r="K1335" i="1"/>
  <c r="K1334" i="1"/>
  <c r="K2545" i="1"/>
  <c r="K2544" i="1"/>
  <c r="K3460" i="1"/>
  <c r="K3459" i="1"/>
  <c r="K3458" i="1"/>
  <c r="K3457" i="1"/>
  <c r="K2842" i="1"/>
  <c r="K3744" i="1"/>
  <c r="K5023" i="1"/>
  <c r="K4131" i="1"/>
  <c r="K6514" i="1"/>
  <c r="K6513" i="1"/>
  <c r="K6512" i="1"/>
  <c r="K6511" i="1"/>
  <c r="K6510" i="1"/>
  <c r="K6509" i="1"/>
  <c r="K6508" i="1"/>
  <c r="K6507" i="1"/>
  <c r="K1647" i="1"/>
  <c r="K1646" i="1"/>
  <c r="K1645" i="1"/>
  <c r="K1644" i="1"/>
  <c r="K2340" i="1"/>
  <c r="K2339" i="1"/>
  <c r="K2338" i="1"/>
  <c r="K2337" i="1"/>
  <c r="K2336" i="1"/>
  <c r="K2335" i="1"/>
  <c r="K1792" i="1"/>
  <c r="K1791" i="1"/>
  <c r="K1730" i="1"/>
  <c r="K1729" i="1"/>
  <c r="K1728" i="1"/>
  <c r="K1514" i="1"/>
  <c r="K1513" i="1"/>
  <c r="K4714" i="1"/>
  <c r="K4713" i="1"/>
  <c r="K4712" i="1"/>
  <c r="K4711" i="1"/>
  <c r="K4710" i="1"/>
  <c r="K4709" i="1"/>
  <c r="K4708" i="1"/>
  <c r="K4759" i="1"/>
  <c r="K4615" i="1"/>
  <c r="K4614" i="1"/>
  <c r="K4613" i="1"/>
  <c r="K4612" i="1"/>
  <c r="K4611" i="1"/>
  <c r="K7386" i="1"/>
  <c r="K7385" i="1"/>
  <c r="K7384" i="1"/>
  <c r="K7383" i="1"/>
  <c r="K7382" i="1"/>
  <c r="K7381" i="1"/>
  <c r="K7380" i="1"/>
  <c r="K7379" i="1"/>
  <c r="K7378" i="1"/>
  <c r="K7377" i="1"/>
  <c r="K7376" i="1"/>
  <c r="K7375" i="1"/>
  <c r="K7374" i="1"/>
  <c r="K7373" i="1"/>
  <c r="K7372" i="1"/>
  <c r="K7371" i="1"/>
  <c r="K7370" i="1"/>
  <c r="K7369" i="1"/>
  <c r="K7368" i="1"/>
  <c r="K7367" i="1"/>
  <c r="K7366" i="1"/>
  <c r="K7365" i="1"/>
  <c r="K6206" i="1"/>
  <c r="K6205" i="1"/>
  <c r="K2729" i="1"/>
  <c r="K4380" i="1"/>
  <c r="K3233" i="1"/>
  <c r="K4733" i="1"/>
  <c r="K4734" i="1"/>
  <c r="K4735" i="1"/>
  <c r="K4736" i="1"/>
  <c r="K5330" i="1"/>
  <c r="K1648" i="1"/>
  <c r="K2585" i="1"/>
  <c r="K2586" i="1"/>
  <c r="K2587" i="1"/>
  <c r="K2215" i="1"/>
  <c r="K2216" i="1"/>
  <c r="K2217" i="1"/>
  <c r="K2218" i="1"/>
  <c r="K2219" i="1"/>
  <c r="K2220" i="1"/>
  <c r="K2221" i="1"/>
  <c r="K2222" i="1"/>
  <c r="K2886" i="1"/>
  <c r="K2887" i="1"/>
  <c r="K2888" i="1"/>
  <c r="K2889" i="1"/>
  <c r="K4284" i="1"/>
  <c r="K4285" i="1"/>
  <c r="K4286" i="1"/>
  <c r="K1903" i="1"/>
  <c r="K1904" i="1"/>
  <c r="K1905" i="1"/>
  <c r="K1906" i="1"/>
  <c r="K4747" i="1"/>
  <c r="K5068" i="1"/>
  <c r="K5069" i="1"/>
  <c r="K5070" i="1"/>
  <c r="K5071" i="1"/>
  <c r="K5072" i="1"/>
  <c r="K4685" i="1"/>
  <c r="K4684" i="1"/>
  <c r="K4168" i="1"/>
  <c r="K4169" i="1"/>
  <c r="K4170" i="1"/>
  <c r="K4171" i="1"/>
  <c r="K4290" i="1"/>
  <c r="K4291" i="1"/>
  <c r="K4292" i="1"/>
  <c r="K4293" i="1"/>
  <c r="K4294" i="1"/>
  <c r="K4295" i="1"/>
  <c r="K4296" i="1"/>
  <c r="K4521" i="1"/>
  <c r="K4646" i="1"/>
  <c r="K4647" i="1"/>
  <c r="K3404" i="1"/>
  <c r="K3405" i="1"/>
  <c r="K3090" i="1"/>
  <c r="K3595" i="1"/>
  <c r="K3596" i="1"/>
  <c r="K4374" i="1"/>
  <c r="K4375" i="1"/>
  <c r="K3547" i="1"/>
  <c r="K3281" i="1"/>
  <c r="K739" i="1"/>
  <c r="K1778" i="1"/>
  <c r="K2362" i="1"/>
  <c r="K1281" i="1"/>
  <c r="K3776" i="1"/>
  <c r="K4475" i="1"/>
  <c r="K1811" i="1"/>
  <c r="K1812" i="1"/>
  <c r="K127" i="1"/>
  <c r="K77" i="1"/>
  <c r="K5044" i="1"/>
  <c r="K163" i="1"/>
  <c r="K164" i="1"/>
  <c r="K5394" i="1"/>
  <c r="K1772" i="1"/>
  <c r="K1773" i="1"/>
  <c r="K1774" i="1"/>
  <c r="K1775" i="1"/>
  <c r="K3107" i="1"/>
  <c r="K3108" i="1"/>
  <c r="K3109" i="1"/>
  <c r="K3766" i="1"/>
  <c r="K794" i="1"/>
  <c r="K795" i="1"/>
  <c r="K5279" i="1"/>
  <c r="K474" i="1"/>
  <c r="K887" i="1"/>
  <c r="K888" i="1"/>
  <c r="K1627" i="1"/>
  <c r="K1628" i="1"/>
  <c r="K147" i="1"/>
  <c r="K4425" i="1"/>
  <c r="K4426" i="1"/>
  <c r="K4427" i="1"/>
  <c r="K4314" i="1"/>
  <c r="K4315" i="1"/>
  <c r="K4316" i="1"/>
  <c r="K4317" i="1"/>
  <c r="K4318" i="1"/>
  <c r="K4319" i="1"/>
  <c r="K4320" i="1"/>
  <c r="K4321" i="1"/>
  <c r="K4322" i="1"/>
  <c r="K4323" i="1"/>
  <c r="K4324" i="1"/>
  <c r="K4325" i="1"/>
  <c r="K4326" i="1"/>
  <c r="K4327" i="1"/>
  <c r="K3634" i="1"/>
  <c r="K3635" i="1"/>
  <c r="K3636" i="1"/>
  <c r="K3637" i="1"/>
  <c r="K3638" i="1"/>
  <c r="K1727" i="1"/>
  <c r="K5353" i="1"/>
  <c r="K5352" i="1"/>
  <c r="K7068" i="1"/>
  <c r="K7069" i="1"/>
  <c r="K7070" i="1"/>
  <c r="K7071" i="1"/>
  <c r="K7072" i="1"/>
  <c r="K7073" i="1"/>
  <c r="K7074" i="1"/>
  <c r="K7075" i="1"/>
  <c r="K7076" i="1"/>
  <c r="K7077" i="1"/>
  <c r="K7078" i="1"/>
  <c r="K7079" i="1"/>
  <c r="K7080" i="1"/>
  <c r="K7081" i="1"/>
  <c r="K7082" i="1"/>
  <c r="K7023" i="1"/>
  <c r="K7024" i="1"/>
  <c r="K7025" i="1"/>
  <c r="K7026" i="1"/>
  <c r="K7027" i="1"/>
  <c r="K7028" i="1"/>
  <c r="K7029" i="1"/>
  <c r="K7030" i="1"/>
  <c r="K7031" i="1"/>
  <c r="K7032" i="1"/>
  <c r="K7033" i="1"/>
  <c r="K7034" i="1"/>
  <c r="K7035" i="1"/>
  <c r="K7036" i="1"/>
  <c r="K7037" i="1"/>
  <c r="K7038" i="1"/>
  <c r="K7039" i="1"/>
  <c r="K7040" i="1"/>
  <c r="K7041" i="1"/>
  <c r="K7042" i="1"/>
  <c r="K7043" i="1"/>
  <c r="K7044" i="1"/>
  <c r="K7045" i="1"/>
  <c r="K7046" i="1"/>
  <c r="K7047" i="1"/>
  <c r="K7048" i="1"/>
  <c r="K7049" i="1"/>
  <c r="K7050" i="1"/>
  <c r="K7051" i="1"/>
  <c r="K7052" i="1"/>
  <c r="K695" i="1"/>
  <c r="K1845" i="1"/>
  <c r="K1846" i="1"/>
  <c r="K1847" i="1"/>
  <c r="K336" i="1"/>
  <c r="K3411" i="1"/>
  <c r="K2670" i="1"/>
  <c r="K2671" i="1"/>
  <c r="K4203" i="1"/>
  <c r="K685" i="1"/>
  <c r="K623" i="1"/>
  <c r="K624" i="1"/>
  <c r="K1959" i="1"/>
  <c r="K4642" i="1"/>
  <c r="K4643" i="1"/>
  <c r="K4644" i="1"/>
  <c r="K4645" i="1"/>
  <c r="K4211" i="1"/>
  <c r="K5281" i="1"/>
  <c r="K3639" i="1"/>
  <c r="K5280" i="1"/>
  <c r="K4210" i="1"/>
  <c r="K1030" i="1"/>
  <c r="K4212" i="1"/>
  <c r="K2525" i="1"/>
  <c r="K3149" i="1"/>
  <c r="K5349" i="1"/>
  <c r="K5350" i="1"/>
  <c r="K1505" i="1"/>
  <c r="K4005" i="1"/>
  <c r="K3757" i="1"/>
  <c r="K3758" i="1"/>
  <c r="K4860" i="1"/>
  <c r="K2857" i="1"/>
  <c r="K2858" i="1"/>
  <c r="K1794" i="1"/>
  <c r="K1795" i="1"/>
  <c r="K1796" i="1"/>
  <c r="K1797" i="1"/>
  <c r="K1798" i="1"/>
  <c r="K1799" i="1"/>
  <c r="K894" i="1"/>
  <c r="K895" i="1"/>
  <c r="K896" i="1"/>
  <c r="K897" i="1"/>
  <c r="K2343" i="1"/>
  <c r="K6207" i="1"/>
  <c r="K6208" i="1"/>
  <c r="K6209" i="1"/>
  <c r="K6210" i="1"/>
  <c r="K6211" i="1"/>
  <c r="K6212" i="1"/>
  <c r="K6213" i="1"/>
  <c r="K6214" i="1"/>
  <c r="K6215" i="1"/>
  <c r="K6216" i="1"/>
  <c r="K6217" i="1"/>
  <c r="K6218" i="1"/>
  <c r="K6219" i="1"/>
  <c r="K6220" i="1"/>
  <c r="K6221" i="1"/>
  <c r="K6222" i="1"/>
  <c r="K6223" i="1"/>
  <c r="K6224" i="1"/>
  <c r="K6225" i="1"/>
  <c r="K6226" i="1"/>
  <c r="K6227" i="1"/>
  <c r="K7407" i="1"/>
  <c r="K7408" i="1"/>
  <c r="K3591" i="1"/>
  <c r="K3642" i="1"/>
  <c r="K3559" i="1"/>
  <c r="K3560" i="1"/>
  <c r="K3561" i="1"/>
  <c r="K1453" i="1"/>
  <c r="K1454" i="1"/>
  <c r="K1455" i="1"/>
  <c r="K1456" i="1"/>
  <c r="K1457" i="1"/>
  <c r="K1458" i="1"/>
  <c r="K959" i="1"/>
  <c r="K960" i="1"/>
  <c r="K1155" i="1"/>
  <c r="K1156" i="1"/>
  <c r="K1157" i="1"/>
  <c r="K1158" i="1"/>
  <c r="K1159" i="1"/>
  <c r="K5444" i="1"/>
  <c r="K2123" i="1"/>
  <c r="K213" i="1"/>
  <c r="K214" i="1"/>
  <c r="K215" i="1"/>
  <c r="K237" i="1"/>
  <c r="K999" i="1"/>
  <c r="K1000" i="1"/>
  <c r="K1001" i="1"/>
  <c r="K634" i="1"/>
  <c r="K635" i="1"/>
  <c r="K636" i="1"/>
  <c r="K3496" i="1"/>
  <c r="K3759" i="1"/>
  <c r="K5355" i="1"/>
  <c r="K5356" i="1"/>
  <c r="K5357" i="1"/>
  <c r="K5358" i="1"/>
  <c r="K5359" i="1"/>
  <c r="K5360" i="1"/>
  <c r="K5361" i="1"/>
  <c r="K5362" i="1"/>
  <c r="K5363" i="1"/>
  <c r="K1479" i="1"/>
  <c r="K1480" i="1"/>
  <c r="K2492" i="1"/>
  <c r="K2493" i="1"/>
  <c r="K2494" i="1"/>
  <c r="K2495" i="1"/>
  <c r="K2496" i="1"/>
  <c r="K2497" i="1"/>
  <c r="K2498" i="1"/>
  <c r="K1063" i="1"/>
  <c r="K580" i="1"/>
  <c r="K581" i="1"/>
  <c r="K3275" i="1"/>
  <c r="K4436" i="1"/>
  <c r="K2684" i="1"/>
  <c r="K5271" i="1"/>
  <c r="K819" i="1"/>
  <c r="K834" i="1"/>
  <c r="K320" i="1"/>
  <c r="K258" i="1"/>
  <c r="K259" i="1"/>
  <c r="K260" i="1"/>
  <c r="K261" i="1"/>
  <c r="K262" i="1"/>
  <c r="K263" i="1"/>
  <c r="K264" i="1"/>
  <c r="K265" i="1"/>
  <c r="K4085" i="1"/>
  <c r="K4086" i="1"/>
  <c r="K4087" i="1"/>
  <c r="K4450" i="1"/>
  <c r="K4451" i="1"/>
  <c r="K4452" i="1"/>
  <c r="K5254" i="1"/>
  <c r="K7743" i="1"/>
  <c r="K7744" i="1"/>
  <c r="K7745" i="1"/>
  <c r="K7746" i="1"/>
  <c r="K7747" i="1"/>
  <c r="K7748" i="1"/>
  <c r="K7749" i="1"/>
  <c r="K7750" i="1"/>
  <c r="K7751" i="1"/>
  <c r="K7752" i="1"/>
  <c r="K7753" i="1"/>
  <c r="K7754" i="1"/>
  <c r="K7755" i="1"/>
  <c r="K7756" i="1"/>
  <c r="K7757" i="1"/>
  <c r="K7758" i="1"/>
  <c r="K2734" i="1"/>
  <c r="K2735" i="1"/>
  <c r="K629" i="1"/>
  <c r="K630" i="1"/>
  <c r="K631" i="1"/>
  <c r="K914" i="1"/>
  <c r="K3602" i="1"/>
  <c r="K3603" i="1"/>
  <c r="K3196" i="1"/>
  <c r="K3197" i="1"/>
  <c r="K2165" i="1"/>
  <c r="K3004" i="1"/>
  <c r="K2413" i="1"/>
  <c r="K687" i="1"/>
  <c r="K1707" i="1"/>
  <c r="K1708" i="1"/>
  <c r="K1918" i="1"/>
  <c r="K1919" i="1"/>
  <c r="K1921" i="1"/>
  <c r="K681" i="1"/>
  <c r="K2764" i="1"/>
  <c r="K2765" i="1"/>
  <c r="K2766" i="1"/>
  <c r="K2767" i="1"/>
  <c r="K3433" i="1"/>
  <c r="K547" i="1"/>
  <c r="K1189" i="1"/>
  <c r="K1764" i="1"/>
  <c r="K7083" i="1"/>
  <c r="K7084" i="1"/>
  <c r="K7085" i="1"/>
  <c r="K7086" i="1"/>
  <c r="K7087" i="1"/>
  <c r="K7088" i="1"/>
  <c r="K7089" i="1"/>
  <c r="K7090" i="1"/>
  <c r="K2192" i="1"/>
  <c r="K2193" i="1"/>
  <c r="K2194" i="1"/>
  <c r="K2195" i="1"/>
  <c r="K2196" i="1"/>
  <c r="K2197" i="1"/>
  <c r="K4133" i="1"/>
  <c r="K118" i="1"/>
  <c r="K119" i="1"/>
  <c r="K1537" i="1"/>
  <c r="K3195" i="1"/>
  <c r="K3158" i="1"/>
  <c r="K1974" i="1"/>
  <c r="K613" i="1"/>
  <c r="K293" i="1"/>
  <c r="K2203" i="1"/>
  <c r="K2360" i="1"/>
  <c r="K3704" i="1"/>
  <c r="K4127" i="1"/>
  <c r="K1210" i="1"/>
  <c r="K1175" i="1"/>
  <c r="K1176" i="1"/>
  <c r="K1177" i="1"/>
  <c r="K1317" i="1"/>
  <c r="K2015" i="1"/>
  <c r="K2652" i="1"/>
  <c r="K2653" i="1"/>
  <c r="K2654" i="1"/>
  <c r="K2263" i="1"/>
  <c r="K3311" i="1"/>
  <c r="K1119" i="1"/>
  <c r="K3293" i="1"/>
  <c r="K2905" i="1"/>
  <c r="K1465" i="1"/>
  <c r="K1466" i="1"/>
  <c r="K4197" i="1"/>
  <c r="K4198" i="1"/>
  <c r="K5403" i="1"/>
  <c r="K3283" i="1"/>
  <c r="K3540" i="1"/>
  <c r="K3541" i="1"/>
  <c r="K2736" i="1"/>
  <c r="K950" i="1"/>
  <c r="K5042" i="1"/>
  <c r="K3765" i="1"/>
  <c r="K3628" i="1"/>
  <c r="K3629" i="1"/>
  <c r="K3364" i="1"/>
  <c r="K2" i="1"/>
  <c r="K1980" i="1"/>
  <c r="K3793" i="1"/>
  <c r="K3814" i="1"/>
  <c r="K1780" i="1"/>
  <c r="K1252" i="1"/>
  <c r="K1640" i="1"/>
  <c r="K3666" i="1"/>
  <c r="K3601" i="1"/>
  <c r="K2453" i="1"/>
  <c r="K4471" i="1"/>
  <c r="K138" i="1"/>
  <c r="K1614" i="1"/>
  <c r="K1615" i="1"/>
  <c r="K1616" i="1"/>
  <c r="K1864" i="1"/>
  <c r="K1571" i="1"/>
  <c r="K1572" i="1"/>
  <c r="K977" i="1"/>
  <c r="K4639" i="1"/>
  <c r="K3491" i="1"/>
  <c r="K3705" i="1"/>
  <c r="K3706" i="1"/>
  <c r="K93" i="1"/>
  <c r="K729" i="1"/>
  <c r="K1328" i="1"/>
  <c r="K2613" i="1"/>
  <c r="K840" i="1"/>
  <c r="K4101" i="1"/>
  <c r="K4102" i="1"/>
  <c r="K4103" i="1"/>
  <c r="K4104" i="1"/>
  <c r="K936" i="1"/>
  <c r="K937" i="1"/>
  <c r="K4064" i="1"/>
  <c r="K4206" i="1"/>
  <c r="K2556" i="1"/>
  <c r="K2557" i="1"/>
  <c r="K2558" i="1"/>
  <c r="K2559" i="1"/>
  <c r="K2560" i="1"/>
  <c r="K303" i="1"/>
  <c r="K2998" i="1"/>
  <c r="K3620" i="1"/>
  <c r="K3621" i="1"/>
  <c r="K3622" i="1"/>
  <c r="K3651" i="1"/>
  <c r="K3652" i="1"/>
  <c r="K750" i="1"/>
  <c r="K1553" i="1"/>
  <c r="K1726" i="1"/>
  <c r="K2063" i="1"/>
  <c r="K2064" i="1"/>
  <c r="K346" i="1"/>
  <c r="K347" i="1"/>
  <c r="K5401" i="1"/>
  <c r="K1279" i="1"/>
  <c r="K2150" i="1"/>
  <c r="K2151" i="1"/>
  <c r="K2152" i="1"/>
  <c r="K2153" i="1"/>
  <c r="K333" i="1"/>
  <c r="K334" i="1"/>
  <c r="K2062" i="1"/>
  <c r="K2831" i="1"/>
  <c r="K1960" i="1"/>
  <c r="K1961" i="1"/>
  <c r="K64" i="1"/>
  <c r="K65" i="1"/>
  <c r="K713" i="1"/>
  <c r="K2809" i="1"/>
  <c r="K3390" i="1"/>
  <c r="K683" i="1"/>
  <c r="K3354" i="1"/>
  <c r="K542" i="1"/>
  <c r="K3150" i="1"/>
  <c r="K2725" i="1"/>
  <c r="K1491" i="1"/>
  <c r="K55" i="1"/>
  <c r="K56" i="1"/>
  <c r="K1958" i="1"/>
  <c r="K1827" i="1"/>
  <c r="K1828" i="1"/>
  <c r="K324" i="1"/>
  <c r="K4857" i="1"/>
  <c r="K4858" i="1"/>
  <c r="K4859" i="1"/>
  <c r="K1518" i="1"/>
  <c r="K1519" i="1"/>
  <c r="K1520" i="1"/>
  <c r="K1521" i="1"/>
  <c r="K1522" i="1"/>
  <c r="K1523" i="1"/>
  <c r="K1524" i="1"/>
  <c r="K5255" i="1"/>
  <c r="K4833" i="1"/>
  <c r="K4834" i="1"/>
  <c r="K4835" i="1"/>
  <c r="K4836" i="1"/>
  <c r="K4837" i="1"/>
  <c r="K4838" i="1"/>
  <c r="K2419" i="1"/>
  <c r="K2420" i="1"/>
  <c r="K2421" i="1"/>
  <c r="K2422" i="1"/>
  <c r="K1609" i="1"/>
  <c r="K1610" i="1"/>
  <c r="K1611" i="1"/>
  <c r="K1612" i="1"/>
  <c r="K3022" i="1"/>
  <c r="K3023" i="1"/>
  <c r="K3024" i="1"/>
  <c r="K3025" i="1"/>
  <c r="K5214" i="1"/>
  <c r="K5215" i="1"/>
  <c r="K5983" i="1"/>
  <c r="K5984" i="1"/>
  <c r="K5985" i="1"/>
  <c r="K5986" i="1"/>
  <c r="K5987" i="1"/>
  <c r="K5988" i="1"/>
  <c r="K5989" i="1"/>
  <c r="K5990" i="1"/>
  <c r="K5991" i="1"/>
  <c r="K5992" i="1"/>
  <c r="K5993" i="1"/>
  <c r="K5994" i="1"/>
  <c r="K5995" i="1"/>
  <c r="K5996" i="1"/>
  <c r="K5117" i="1"/>
  <c r="K1165" i="1"/>
  <c r="K1166" i="1"/>
  <c r="K985" i="1"/>
  <c r="K691" i="1"/>
  <c r="K692" i="1"/>
  <c r="K693" i="1"/>
  <c r="K2976" i="1"/>
  <c r="K2977" i="1"/>
  <c r="K2049" i="1"/>
  <c r="K2050" i="1"/>
  <c r="K3743" i="1"/>
  <c r="K3054" i="1"/>
  <c r="K3055" i="1"/>
  <c r="K4132" i="1"/>
  <c r="K471" i="1"/>
  <c r="K472" i="1"/>
  <c r="K2953" i="1"/>
  <c r="K847" i="1"/>
  <c r="K3206" i="1"/>
  <c r="K1234" i="1"/>
  <c r="K911" i="1"/>
  <c r="K912" i="1"/>
  <c r="K913" i="1"/>
  <c r="K2955" i="1"/>
  <c r="K2913" i="1"/>
  <c r="K2914" i="1"/>
  <c r="K1820" i="1"/>
  <c r="K7016" i="1"/>
  <c r="K7017" i="1"/>
  <c r="K7018" i="1"/>
  <c r="K7019" i="1"/>
  <c r="K7020" i="1"/>
  <c r="K7021" i="1"/>
  <c r="K7022" i="1"/>
  <c r="K6238" i="1"/>
  <c r="K6239" i="1"/>
  <c r="K6240" i="1"/>
  <c r="K6241" i="1"/>
  <c r="K6242" i="1"/>
  <c r="K6243" i="1"/>
  <c r="K6244" i="1"/>
  <c r="K6245" i="1"/>
  <c r="K6246" i="1"/>
  <c r="K7534" i="1"/>
  <c r="K7535" i="1"/>
  <c r="K7536" i="1"/>
  <c r="K7537" i="1"/>
  <c r="K7538" i="1"/>
  <c r="K7539" i="1"/>
  <c r="K7540" i="1"/>
  <c r="K7541" i="1"/>
  <c r="K7542" i="1"/>
  <c r="K7543" i="1"/>
  <c r="K7544" i="1"/>
  <c r="K7545" i="1"/>
  <c r="K7546" i="1"/>
  <c r="K7547" i="1"/>
  <c r="K7548" i="1"/>
  <c r="K7549" i="1"/>
  <c r="K7550" i="1"/>
  <c r="K7551" i="1"/>
  <c r="K7552" i="1"/>
  <c r="K7553" i="1"/>
  <c r="K7554" i="1"/>
  <c r="K7555" i="1"/>
  <c r="K7556" i="1"/>
  <c r="K7557" i="1"/>
  <c r="K7558" i="1"/>
  <c r="K7559" i="1"/>
  <c r="K7560" i="1"/>
  <c r="K7561" i="1"/>
  <c r="K7562" i="1"/>
  <c r="K5096" i="1"/>
  <c r="K5097" i="1"/>
  <c r="K5098" i="1"/>
  <c r="K5099" i="1"/>
  <c r="K4497" i="1"/>
  <c r="K4498" i="1"/>
  <c r="K2233" i="1"/>
  <c r="K58" i="1"/>
  <c r="K4373" i="1"/>
  <c r="K3437" i="1"/>
  <c r="K526" i="1"/>
  <c r="K1677" i="1"/>
  <c r="K2392" i="1"/>
  <c r="K2393" i="1"/>
  <c r="K2394" i="1"/>
  <c r="K1679" i="1"/>
  <c r="K2916" i="1"/>
  <c r="K1769" i="1"/>
  <c r="K3581" i="1"/>
  <c r="K2087" i="1"/>
  <c r="K3013" i="1"/>
  <c r="K2445" i="1"/>
  <c r="K101" i="1"/>
  <c r="K3058" i="1"/>
  <c r="K1269" i="1"/>
  <c r="K1270" i="1"/>
  <c r="K1271" i="1"/>
  <c r="K1272" i="1"/>
  <c r="K3870" i="1"/>
  <c r="K3871" i="1"/>
  <c r="K5213" i="1"/>
  <c r="K5422" i="1"/>
  <c r="K5423" i="1"/>
  <c r="K2852" i="1"/>
  <c r="K2853" i="1"/>
  <c r="K2854" i="1"/>
  <c r="K2855" i="1"/>
  <c r="K2856" i="1"/>
  <c r="K1800" i="1"/>
  <c r="K1801" i="1"/>
  <c r="K1802" i="1"/>
  <c r="K1803" i="1"/>
  <c r="K2166" i="1"/>
  <c r="K2308" i="1"/>
  <c r="K2309" i="1"/>
  <c r="K2310" i="1"/>
  <c r="K406" i="1"/>
  <c r="K407" i="1"/>
  <c r="K408" i="1"/>
  <c r="K409" i="1"/>
  <c r="K4223" i="1"/>
  <c r="K5256" i="1"/>
  <c r="K5257" i="1"/>
  <c r="K4310" i="1"/>
  <c r="K4311" i="1"/>
  <c r="K4312" i="1"/>
  <c r="K2719" i="1"/>
  <c r="K365" i="1"/>
  <c r="K366" i="1"/>
  <c r="K4076" i="1"/>
  <c r="K4077" i="1"/>
  <c r="K4078" i="1"/>
  <c r="K4079" i="1"/>
  <c r="K1415" i="1"/>
  <c r="K614" i="1"/>
  <c r="K3349" i="1"/>
  <c r="K2660" i="1"/>
  <c r="K2661" i="1"/>
  <c r="K3772" i="1"/>
  <c r="K4360" i="1"/>
  <c r="K4537" i="1"/>
  <c r="K4371" i="1"/>
  <c r="K5277" i="1"/>
  <c r="K4909" i="1"/>
  <c r="K1608" i="1"/>
  <c r="K529" i="1"/>
  <c r="K209" i="1"/>
  <c r="K3012" i="1"/>
  <c r="K1893" i="1"/>
  <c r="K2129" i="1"/>
  <c r="K2130" i="1"/>
  <c r="K3294" i="1"/>
  <c r="K3509" i="1"/>
  <c r="K2645" i="1"/>
  <c r="K1031" i="1"/>
  <c r="K1032" i="1"/>
  <c r="K2088" i="1"/>
  <c r="K1942" i="1"/>
  <c r="K4826" i="1"/>
  <c r="K4827" i="1"/>
  <c r="K4828" i="1"/>
  <c r="K4829" i="1"/>
  <c r="K4830" i="1"/>
  <c r="K4793" i="1"/>
  <c r="K4794" i="1"/>
  <c r="K4795" i="1"/>
  <c r="K4796" i="1"/>
  <c r="K1187" i="1"/>
  <c r="K1188" i="1"/>
  <c r="K1004" i="1"/>
  <c r="K1005" i="1"/>
  <c r="K1006" i="1"/>
  <c r="K1007" i="1"/>
  <c r="K1965" i="1"/>
  <c r="K1663" i="1"/>
  <c r="K1664" i="1"/>
  <c r="K1665" i="1"/>
  <c r="K1666" i="1"/>
  <c r="K1667" i="1"/>
  <c r="K1668" i="1"/>
  <c r="K1669" i="1"/>
  <c r="K1670" i="1"/>
  <c r="K4768" i="1"/>
  <c r="K4769" i="1"/>
  <c r="K5092" i="1"/>
  <c r="K5093" i="1"/>
  <c r="K5094" i="1"/>
  <c r="K5095" i="1"/>
  <c r="K5999" i="1"/>
  <c r="K6000" i="1"/>
  <c r="K6001" i="1"/>
  <c r="K6002" i="1"/>
  <c r="K6003" i="1"/>
  <c r="K6004" i="1"/>
  <c r="K6005" i="1"/>
  <c r="K6006" i="1"/>
  <c r="K6007" i="1"/>
  <c r="K6008" i="1"/>
  <c r="K6009" i="1"/>
  <c r="K6010" i="1"/>
  <c r="K6969" i="1"/>
  <c r="K6970" i="1"/>
  <c r="K6971" i="1"/>
  <c r="K6972" i="1"/>
  <c r="K6973" i="1"/>
  <c r="K2550" i="1"/>
  <c r="K2059" i="1"/>
  <c r="K2060" i="1"/>
  <c r="K2061" i="1"/>
  <c r="K1359" i="1"/>
  <c r="K1360" i="1"/>
  <c r="K4499" i="1"/>
  <c r="K4500" i="1"/>
  <c r="K4501" i="1"/>
  <c r="K4109" i="1"/>
  <c r="K4110" i="1"/>
  <c r="K3847" i="1"/>
  <c r="K3848" i="1"/>
  <c r="K3849" i="1"/>
  <c r="K3850" i="1"/>
  <c r="K4243" i="1"/>
  <c r="K4244" i="1"/>
  <c r="K4245" i="1"/>
  <c r="K4246" i="1"/>
  <c r="K4247" i="1"/>
  <c r="K4248" i="1"/>
  <c r="K4249" i="1"/>
  <c r="K4250" i="1"/>
  <c r="K4251" i="1"/>
  <c r="K817" i="1"/>
  <c r="K818" i="1"/>
  <c r="K62" i="1"/>
  <c r="K1920" i="1"/>
  <c r="K3613" i="1"/>
  <c r="K925" i="1"/>
  <c r="K3584" i="1"/>
  <c r="K2634" i="1"/>
  <c r="K2635" i="1"/>
  <c r="K2636" i="1"/>
  <c r="K5338" i="1"/>
  <c r="K1692" i="1"/>
  <c r="K2607" i="1"/>
  <c r="K2027" i="1"/>
  <c r="K3395" i="1"/>
  <c r="K3612" i="1"/>
  <c r="K3292" i="1"/>
  <c r="K3502" i="1"/>
  <c r="K356" i="1"/>
  <c r="K63" i="1"/>
  <c r="K1370" i="1"/>
  <c r="K1464" i="1"/>
  <c r="K3779" i="1"/>
  <c r="K727" i="1"/>
  <c r="K2903" i="1"/>
  <c r="K1347" i="1"/>
  <c r="K4361" i="1"/>
  <c r="K1720" i="1"/>
  <c r="K1721" i="1"/>
  <c r="K1722" i="1"/>
  <c r="K1723" i="1"/>
  <c r="K1724" i="1"/>
  <c r="K2573" i="1"/>
  <c r="K2574" i="1"/>
  <c r="K1291" i="1"/>
  <c r="K3005" i="1"/>
  <c r="K3006" i="1"/>
  <c r="K3933" i="1"/>
  <c r="K3934" i="1"/>
  <c r="K1372" i="1"/>
  <c r="K1373" i="1"/>
  <c r="K3780" i="1"/>
  <c r="K2981" i="1"/>
  <c r="K3513" i="1"/>
  <c r="K3514" i="1"/>
  <c r="K3515" i="1"/>
  <c r="K3711" i="1"/>
  <c r="K3712" i="1"/>
  <c r="K3713" i="1"/>
  <c r="K3678" i="1"/>
  <c r="K1253" i="1"/>
  <c r="K1254" i="1"/>
  <c r="K1255" i="1"/>
  <c r="K1256" i="1"/>
  <c r="K1257" i="1"/>
  <c r="K3253" i="1"/>
  <c r="K3254" i="1"/>
  <c r="K3255" i="1"/>
  <c r="K3256" i="1"/>
  <c r="K3257" i="1"/>
  <c r="K3474" i="1"/>
  <c r="K3733" i="1"/>
  <c r="K3734" i="1"/>
  <c r="K3924" i="1"/>
  <c r="K3925" i="1"/>
  <c r="K3926" i="1"/>
  <c r="K3927" i="1"/>
  <c r="K342" i="1"/>
  <c r="K343" i="1"/>
  <c r="K4341" i="1"/>
  <c r="K4342" i="1"/>
  <c r="K2780" i="1"/>
  <c r="K2781" i="1"/>
  <c r="K2782" i="1"/>
  <c r="K2880" i="1"/>
  <c r="K2881" i="1"/>
  <c r="K2603" i="1"/>
  <c r="K571" i="1"/>
  <c r="K572" i="1"/>
  <c r="K573" i="1"/>
  <c r="K1517" i="1"/>
  <c r="K4474" i="1"/>
  <c r="K2643" i="1"/>
  <c r="K5844" i="1"/>
  <c r="K5845" i="1"/>
  <c r="K5846" i="1"/>
  <c r="K5847" i="1"/>
  <c r="K5848" i="1"/>
  <c r="K5849" i="1"/>
  <c r="K5850" i="1"/>
  <c r="K5851" i="1"/>
  <c r="K5852" i="1"/>
  <c r="K5853" i="1"/>
  <c r="K5854" i="1"/>
  <c r="K5855" i="1"/>
  <c r="K5856" i="1"/>
  <c r="K5857" i="1"/>
  <c r="K5858" i="1"/>
  <c r="K5859" i="1"/>
  <c r="K5860" i="1"/>
  <c r="K5861" i="1"/>
  <c r="K5862" i="1"/>
  <c r="K5863" i="1"/>
  <c r="K5864" i="1"/>
  <c r="K6345" i="1"/>
  <c r="K6346" i="1"/>
  <c r="K6347" i="1"/>
  <c r="K6348" i="1"/>
  <c r="K6349" i="1"/>
  <c r="K6350" i="1"/>
  <c r="K6351" i="1"/>
  <c r="K6352" i="1"/>
  <c r="K6353" i="1"/>
  <c r="K6354" i="1"/>
  <c r="K6355" i="1"/>
  <c r="K6356" i="1"/>
  <c r="K6357" i="1"/>
  <c r="K6358" i="1"/>
  <c r="K6359" i="1"/>
  <c r="K6360" i="1"/>
  <c r="K6361" i="1"/>
  <c r="K6362" i="1"/>
  <c r="K6363" i="1"/>
  <c r="K6364" i="1"/>
  <c r="K6365" i="1"/>
  <c r="K3406" i="1"/>
  <c r="K3407" i="1"/>
  <c r="K3421" i="1"/>
  <c r="K1831" i="1"/>
  <c r="K3198" i="1"/>
  <c r="K4438" i="1"/>
  <c r="K2752" i="1"/>
  <c r="K1316" i="1"/>
  <c r="K1183" i="1"/>
  <c r="K3746" i="1"/>
  <c r="K3747" i="1"/>
  <c r="K3714" i="1"/>
  <c r="K3921" i="1"/>
  <c r="K2909" i="1"/>
  <c r="K3427" i="1"/>
  <c r="K512" i="1"/>
  <c r="K513" i="1"/>
  <c r="K189" i="1"/>
  <c r="K3562" i="1"/>
  <c r="K3563" i="1"/>
  <c r="K253" i="1"/>
  <c r="K3511" i="1"/>
  <c r="K3512" i="1"/>
  <c r="K3931" i="1"/>
  <c r="K4874" i="1"/>
  <c r="K2862" i="1"/>
  <c r="K757" i="1"/>
  <c r="K212" i="1"/>
  <c r="K1494" i="1"/>
  <c r="K3773" i="1"/>
  <c r="K3774" i="1"/>
  <c r="K3775" i="1"/>
  <c r="K2817" i="1"/>
  <c r="K2818" i="1"/>
  <c r="K266" i="1"/>
  <c r="K267" i="1"/>
  <c r="K268" i="1"/>
  <c r="K269" i="1"/>
  <c r="K270" i="1"/>
  <c r="K271" i="1"/>
  <c r="K272" i="1"/>
  <c r="K5379" i="1"/>
  <c r="K5380" i="1"/>
  <c r="K161" i="1"/>
  <c r="K162" i="1"/>
  <c r="K1634" i="1"/>
  <c r="K2997" i="1"/>
  <c r="K2353" i="1"/>
  <c r="K4473" i="1"/>
  <c r="K2515" i="1"/>
  <c r="K2516" i="1"/>
  <c r="K3492" i="1"/>
  <c r="K3493" i="1"/>
  <c r="K3494" i="1"/>
  <c r="K3495" i="1"/>
  <c r="K3010" i="1"/>
  <c r="K2408" i="1"/>
  <c r="K6454" i="1"/>
  <c r="K2622" i="1"/>
  <c r="K2623" i="1"/>
  <c r="K2624" i="1"/>
  <c r="K2174" i="1"/>
  <c r="K2175" i="1"/>
  <c r="K2176" i="1"/>
  <c r="K2177" i="1"/>
  <c r="K2178" i="1"/>
  <c r="K4363" i="1"/>
  <c r="K866" i="1"/>
  <c r="K867" i="1"/>
  <c r="K868" i="1"/>
  <c r="K1082" i="1"/>
  <c r="K4994" i="1"/>
  <c r="K4995" i="1"/>
  <c r="K4996" i="1"/>
  <c r="K4997" i="1"/>
  <c r="K4998" i="1"/>
  <c r="K4999" i="1"/>
  <c r="K5000" i="1"/>
  <c r="K6144" i="1"/>
  <c r="K6145" i="1"/>
  <c r="K6146" i="1"/>
  <c r="K6147" i="1"/>
  <c r="K6148" i="1"/>
  <c r="K6149" i="1"/>
  <c r="K6150" i="1"/>
  <c r="K6151" i="1"/>
  <c r="K6152" i="1"/>
  <c r="K5120" i="1"/>
  <c r="K5121" i="1"/>
  <c r="K5122" i="1"/>
  <c r="K813" i="1"/>
  <c r="K1072" i="1"/>
  <c r="K1073" i="1"/>
  <c r="K3945" i="1"/>
  <c r="K1901" i="1"/>
  <c r="K1840" i="1"/>
  <c r="K1966" i="1"/>
  <c r="K1767" i="1"/>
  <c r="K1768" i="1"/>
  <c r="K7779" i="1"/>
  <c r="K1362" i="1"/>
  <c r="K1363" i="1"/>
  <c r="K1364" i="1"/>
  <c r="K1365" i="1"/>
  <c r="K1366" i="1"/>
  <c r="K1750" i="1"/>
  <c r="K1751" i="1"/>
  <c r="K1752" i="1"/>
  <c r="K1753" i="1"/>
  <c r="K1754" i="1"/>
  <c r="K1755" i="1"/>
  <c r="K1756" i="1"/>
  <c r="K1296" i="1"/>
  <c r="K1297" i="1"/>
  <c r="K1579" i="1"/>
  <c r="K1580" i="1"/>
  <c r="K1581" i="1"/>
  <c r="K1582" i="1"/>
  <c r="K2860" i="1"/>
  <c r="K2861" i="1"/>
  <c r="K3988" i="1"/>
  <c r="K3989" i="1"/>
  <c r="K3990" i="1"/>
  <c r="K3991" i="1"/>
  <c r="K3855" i="1"/>
  <c r="K3856" i="1"/>
  <c r="K3857" i="1"/>
  <c r="K3858" i="1"/>
  <c r="K3859" i="1"/>
  <c r="K3860" i="1"/>
  <c r="K3110" i="1"/>
  <c r="K3111" i="1"/>
  <c r="K986" i="1"/>
  <c r="K7610" i="1"/>
  <c r="K7611" i="1"/>
  <c r="K7612" i="1"/>
  <c r="K7613" i="1"/>
  <c r="K7614" i="1"/>
  <c r="K7615" i="1"/>
  <c r="K7616" i="1"/>
  <c r="K7617" i="1"/>
  <c r="K7618" i="1"/>
  <c r="K7619" i="1"/>
  <c r="K7620" i="1"/>
  <c r="K7621" i="1"/>
  <c r="K7622" i="1"/>
  <c r="K7623" i="1"/>
  <c r="K2333" i="1"/>
  <c r="K1117" i="1"/>
  <c r="K5342" i="1"/>
  <c r="K2925" i="1"/>
  <c r="K2926" i="1"/>
  <c r="K4531" i="1"/>
  <c r="K4532" i="1"/>
  <c r="K921" i="1"/>
  <c r="K922" i="1"/>
  <c r="K476" i="1"/>
  <c r="K4533" i="1"/>
  <c r="K1069" i="1"/>
  <c r="K1629" i="1"/>
  <c r="K1630" i="1"/>
  <c r="K1631" i="1"/>
  <c r="K2374" i="1"/>
  <c r="K2375" i="1"/>
  <c r="K2376" i="1"/>
  <c r="K190" i="1"/>
  <c r="K191" i="1"/>
  <c r="K2077" i="1"/>
  <c r="K651" i="1"/>
  <c r="K2999" i="1"/>
  <c r="K3000" i="1"/>
  <c r="K3001" i="1"/>
  <c r="K1962" i="1"/>
  <c r="K3192" i="1"/>
  <c r="K2605" i="1"/>
  <c r="K915" i="1"/>
  <c r="K875" i="1"/>
  <c r="K5174" i="1"/>
  <c r="K5175" i="1"/>
  <c r="K5176" i="1"/>
  <c r="K5177" i="1"/>
  <c r="K5178" i="1"/>
  <c r="K5179" i="1"/>
  <c r="K5180" i="1"/>
  <c r="K5181" i="1"/>
  <c r="K5182" i="1"/>
  <c r="K5183" i="1"/>
  <c r="K5184" i="1"/>
  <c r="K5185" i="1"/>
  <c r="K4213" i="1"/>
  <c r="K6609" i="1"/>
  <c r="K6610" i="1"/>
  <c r="K6611" i="1"/>
  <c r="K6612" i="1"/>
  <c r="K6613" i="1"/>
  <c r="K6614" i="1"/>
  <c r="K6615" i="1"/>
  <c r="K6616" i="1"/>
  <c r="K6617" i="1"/>
  <c r="K6618" i="1"/>
  <c r="K6619" i="1"/>
  <c r="K6620" i="1"/>
  <c r="K6621" i="1"/>
  <c r="K6622" i="1"/>
  <c r="K6623" i="1"/>
  <c r="K6624" i="1"/>
  <c r="K6625" i="1"/>
  <c r="K6626" i="1"/>
  <c r="K6627" i="1"/>
  <c r="K6628" i="1"/>
  <c r="K6629" i="1"/>
  <c r="K6630" i="1"/>
  <c r="K6631" i="1"/>
  <c r="K6632" i="1"/>
  <c r="K6558" i="1"/>
  <c r="K6559" i="1"/>
  <c r="K6560" i="1"/>
  <c r="K3091" i="1"/>
  <c r="K3092" i="1"/>
  <c r="K3093" i="1"/>
  <c r="K3094" i="1"/>
  <c r="K3095" i="1"/>
  <c r="K3033" i="1"/>
  <c r="K3034" i="1"/>
  <c r="K3035" i="1"/>
  <c r="K3036" i="1"/>
  <c r="K1699" i="1"/>
  <c r="K1700" i="1"/>
  <c r="K1701" i="1"/>
  <c r="K1808" i="1"/>
  <c r="K1809" i="1"/>
  <c r="K1810" i="1"/>
  <c r="K3098" i="1"/>
  <c r="K3099" i="1"/>
  <c r="K3100" i="1"/>
  <c r="K3101" i="1"/>
  <c r="K3102" i="1"/>
  <c r="K3103" i="1"/>
  <c r="K3104" i="1"/>
  <c r="K3105" i="1"/>
  <c r="K3106" i="1"/>
  <c r="K2084" i="1"/>
  <c r="K2085" i="1"/>
  <c r="K1737" i="1"/>
  <c r="K1738" i="1"/>
  <c r="K4192" i="1"/>
  <c r="K3609" i="1"/>
  <c r="K2454" i="1"/>
  <c r="K4006" i="1"/>
  <c r="K559" i="1"/>
  <c r="K1410" i="1"/>
  <c r="K1620" i="1"/>
  <c r="K6677" i="1"/>
  <c r="K6678" i="1"/>
  <c r="K6679" i="1"/>
  <c r="K7913" i="1"/>
  <c r="K7914" i="1"/>
  <c r="K7915" i="1"/>
  <c r="K7916" i="1"/>
  <c r="K7917" i="1"/>
  <c r="K7918" i="1"/>
  <c r="K6186" i="1"/>
  <c r="K6187" i="1"/>
  <c r="K6188" i="1"/>
  <c r="K6189" i="1"/>
  <c r="K6190" i="1"/>
  <c r="K6191" i="1"/>
  <c r="K6192" i="1"/>
  <c r="K6193" i="1"/>
  <c r="K6194" i="1"/>
  <c r="K6195" i="1"/>
  <c r="K6196" i="1"/>
  <c r="K6197" i="1"/>
  <c r="K6198" i="1"/>
  <c r="K6199" i="1"/>
  <c r="K6200" i="1"/>
  <c r="K6201" i="1"/>
  <c r="K6202" i="1"/>
  <c r="K6203" i="1"/>
  <c r="K6204" i="1"/>
  <c r="K1607" i="1"/>
  <c r="K4845" i="1"/>
  <c r="K2155" i="1"/>
  <c r="K2156" i="1"/>
  <c r="K550" i="1"/>
  <c r="K551" i="1"/>
  <c r="K1642" i="1"/>
  <c r="K1643" i="1"/>
  <c r="K243" i="1"/>
  <c r="K952" i="1"/>
  <c r="K808" i="1"/>
  <c r="K874" i="1"/>
  <c r="K2727" i="1"/>
  <c r="K2728" i="1"/>
  <c r="K626" i="1"/>
  <c r="K627" i="1"/>
  <c r="K801" i="1"/>
  <c r="K4208" i="1"/>
  <c r="K4209" i="1"/>
  <c r="K3271" i="1"/>
  <c r="K3272" i="1"/>
  <c r="K3273" i="1"/>
  <c r="K3153" i="1"/>
  <c r="K5378" i="1"/>
  <c r="K405" i="1"/>
  <c r="K2518" i="1"/>
  <c r="K2519" i="1"/>
  <c r="K3791" i="1"/>
  <c r="K905" i="1"/>
  <c r="K906" i="1"/>
  <c r="K907" i="1"/>
  <c r="K908" i="1"/>
  <c r="K4770" i="1"/>
  <c r="K4771" i="1"/>
  <c r="K4772" i="1"/>
  <c r="K4773" i="1"/>
  <c r="K5151" i="1"/>
  <c r="K4542" i="1"/>
  <c r="K5060" i="1"/>
  <c r="K6296" i="1"/>
  <c r="K6297" i="1"/>
  <c r="K6298" i="1"/>
  <c r="K6299" i="1"/>
  <c r="K6300" i="1"/>
  <c r="K5950" i="1"/>
  <c r="K5951" i="1"/>
  <c r="K5952" i="1"/>
  <c r="K5953" i="1"/>
  <c r="K5954" i="1"/>
  <c r="K5955" i="1"/>
  <c r="K5956" i="1"/>
  <c r="K5957" i="1"/>
  <c r="K5958" i="1"/>
  <c r="K5959" i="1"/>
  <c r="K5960" i="1"/>
  <c r="K5961" i="1"/>
  <c r="K5962" i="1"/>
  <c r="K5963" i="1"/>
  <c r="K5964" i="1"/>
  <c r="K6925" i="1"/>
  <c r="K6926" i="1"/>
  <c r="K6927" i="1"/>
  <c r="K6928" i="1"/>
  <c r="K6929" i="1"/>
  <c r="K6930" i="1"/>
  <c r="K6931" i="1"/>
  <c r="K5756" i="1"/>
  <c r="K5757" i="1"/>
  <c r="K5758" i="1"/>
  <c r="K5759" i="1"/>
  <c r="K5760" i="1"/>
  <c r="K5761" i="1"/>
  <c r="K5762" i="1"/>
  <c r="K5763" i="1"/>
  <c r="K5764" i="1"/>
  <c r="K5765" i="1"/>
  <c r="K5766" i="1"/>
  <c r="K5767" i="1"/>
  <c r="K5512" i="1"/>
  <c r="K5535" i="1"/>
  <c r="K5513" i="1"/>
  <c r="K5514" i="1"/>
  <c r="K5505" i="1"/>
  <c r="K5605" i="1"/>
  <c r="K5506" i="1"/>
  <c r="K5507" i="1"/>
  <c r="K5448" i="1"/>
  <c r="K4608" i="1"/>
  <c r="K4609" i="1"/>
  <c r="K4610" i="1"/>
  <c r="K5323" i="1"/>
  <c r="K5324" i="1"/>
  <c r="K4871" i="1"/>
  <c r="K4872" i="1"/>
  <c r="K4873" i="1"/>
  <c r="K969" i="1"/>
  <c r="K4381" i="1"/>
  <c r="K4382" i="1"/>
  <c r="K4383" i="1"/>
  <c r="K3822" i="1"/>
  <c r="K3823" i="1"/>
  <c r="K3824" i="1"/>
  <c r="K4548" i="1"/>
  <c r="K4549" i="1"/>
  <c r="K5895" i="1"/>
  <c r="K5896" i="1"/>
  <c r="K5897" i="1"/>
  <c r="K5898" i="1"/>
  <c r="K5899" i="1"/>
  <c r="K7563" i="1"/>
  <c r="K7564" i="1"/>
  <c r="K7565" i="1"/>
  <c r="K7566" i="1"/>
  <c r="K7567" i="1"/>
  <c r="K7568" i="1"/>
  <c r="K7569" i="1"/>
  <c r="K7570" i="1"/>
  <c r="K7571" i="1"/>
  <c r="K7572" i="1"/>
  <c r="K7573" i="1"/>
  <c r="K7574" i="1"/>
  <c r="K7575" i="1"/>
  <c r="K7576" i="1"/>
  <c r="K7577" i="1"/>
  <c r="K1017" i="1"/>
  <c r="K1018" i="1"/>
  <c r="K4090" i="1"/>
  <c r="K4091" i="1"/>
  <c r="K4092" i="1"/>
  <c r="K5261" i="1"/>
  <c r="K4917" i="1"/>
  <c r="K4918" i="1"/>
  <c r="K4919" i="1"/>
  <c r="K4920" i="1"/>
  <c r="K4399" i="1"/>
  <c r="K4400" i="1"/>
  <c r="K4401" i="1"/>
  <c r="K1983" i="1"/>
  <c r="K1548" i="1"/>
  <c r="K1549" i="1"/>
  <c r="K1550" i="1"/>
  <c r="K2223" i="1"/>
  <c r="K1988" i="1"/>
  <c r="K3135" i="1"/>
  <c r="K7674" i="1"/>
  <c r="K5873" i="1"/>
  <c r="K5874" i="1"/>
  <c r="K5875" i="1"/>
  <c r="K5876" i="1"/>
  <c r="K5877" i="1"/>
  <c r="K5878" i="1"/>
  <c r="K5879" i="1"/>
  <c r="K5880" i="1"/>
  <c r="K5881" i="1"/>
  <c r="K5882" i="1"/>
  <c r="K5883" i="1"/>
  <c r="K5884" i="1"/>
  <c r="K6932" i="1"/>
  <c r="K6933" i="1"/>
  <c r="K6934" i="1"/>
  <c r="K6935" i="1"/>
  <c r="K6936" i="1"/>
  <c r="K6937" i="1"/>
  <c r="K6822" i="1"/>
  <c r="K6823" i="1"/>
  <c r="K6824" i="1"/>
  <c r="K6825" i="1"/>
  <c r="K6826" i="1"/>
  <c r="K6827" i="1"/>
  <c r="K6828" i="1"/>
  <c r="K6273" i="1"/>
  <c r="K6274" i="1"/>
  <c r="K6275" i="1"/>
  <c r="K6276" i="1"/>
  <c r="K6277" i="1"/>
  <c r="K6278" i="1"/>
  <c r="K6279" i="1"/>
  <c r="K6280" i="1"/>
  <c r="K6281" i="1"/>
  <c r="K6282" i="1"/>
  <c r="K6283" i="1"/>
  <c r="K6284" i="1"/>
  <c r="K6285" i="1"/>
  <c r="K6485" i="1"/>
  <c r="K6486" i="1"/>
  <c r="K6487" i="1"/>
  <c r="K6488" i="1"/>
  <c r="K6489" i="1"/>
  <c r="K6490" i="1"/>
  <c r="K7719" i="1"/>
  <c r="K7720" i="1"/>
  <c r="K7721" i="1"/>
  <c r="K7722" i="1"/>
  <c r="K7723" i="1"/>
  <c r="K7724" i="1"/>
  <c r="K6515" i="1"/>
  <c r="K6516" i="1"/>
  <c r="K6517" i="1"/>
  <c r="K6518" i="1"/>
  <c r="K6519" i="1"/>
  <c r="K6520" i="1"/>
  <c r="K6521" i="1"/>
  <c r="K6522" i="1"/>
  <c r="K6523" i="1"/>
  <c r="K6524" i="1"/>
  <c r="K6525" i="1"/>
  <c r="K6526" i="1"/>
  <c r="K6527" i="1"/>
  <c r="K6528" i="1"/>
  <c r="K7880" i="1"/>
  <c r="K7881" i="1"/>
  <c r="K7882" i="1"/>
  <c r="K7883" i="1"/>
  <c r="K7884" i="1"/>
  <c r="K7885" i="1"/>
  <c r="K7886" i="1"/>
  <c r="K7887" i="1"/>
  <c r="K7888" i="1"/>
  <c r="K7889" i="1"/>
  <c r="K7890" i="1"/>
  <c r="K7891" i="1"/>
  <c r="K7892" i="1"/>
  <c r="K7893" i="1"/>
  <c r="K7894" i="1"/>
  <c r="K7895" i="1"/>
  <c r="K7896" i="1"/>
  <c r="K7897" i="1"/>
  <c r="K7119" i="1"/>
  <c r="K7120" i="1"/>
  <c r="K6455" i="1"/>
  <c r="K6456" i="1"/>
  <c r="K6457" i="1"/>
  <c r="K6458" i="1"/>
  <c r="K4402" i="1"/>
  <c r="K4403" i="1"/>
  <c r="K5046" i="1"/>
  <c r="K5047" i="1"/>
  <c r="K3834" i="1"/>
  <c r="K3835" i="1"/>
  <c r="K3154" i="1"/>
  <c r="K3155" i="1"/>
  <c r="K3973" i="1"/>
  <c r="K2649" i="1"/>
  <c r="K2650" i="1"/>
  <c r="K2651" i="1"/>
  <c r="K1284" i="1"/>
  <c r="K1214" i="1"/>
  <c r="K3794" i="1"/>
  <c r="K3795" i="1"/>
  <c r="K3537" i="1"/>
  <c r="K3538" i="1"/>
  <c r="K1065" i="1"/>
  <c r="K353" i="1"/>
  <c r="K982" i="1"/>
  <c r="K1336" i="1"/>
  <c r="K2569" i="1"/>
  <c r="K2570" i="1"/>
  <c r="K4789" i="1"/>
  <c r="K881" i="1"/>
  <c r="K3261" i="1"/>
  <c r="K2318" i="1"/>
  <c r="K2319" i="1"/>
  <c r="K3630" i="1"/>
  <c r="K2332" i="1"/>
  <c r="K5014" i="1"/>
  <c r="K5015" i="1"/>
  <c r="K5016" i="1"/>
  <c r="K4299" i="1"/>
  <c r="K4300" i="1"/>
  <c r="K6783" i="1"/>
  <c r="K6784" i="1"/>
  <c r="K744" i="1"/>
  <c r="K745" i="1"/>
  <c r="K746" i="1"/>
  <c r="K747" i="1"/>
  <c r="K748" i="1"/>
  <c r="K433" i="1"/>
  <c r="K1412" i="1"/>
  <c r="K1413" i="1"/>
  <c r="K1414" i="1"/>
  <c r="K5376" i="1"/>
  <c r="K2723" i="1"/>
  <c r="K669" i="1"/>
  <c r="K670" i="1"/>
  <c r="K671" i="1"/>
  <c r="K672" i="1"/>
  <c r="K673" i="1"/>
  <c r="K909" i="1"/>
  <c r="K811" i="1"/>
  <c r="K2039" i="1"/>
  <c r="K1311" i="1"/>
  <c r="K1312" i="1"/>
  <c r="K1318" i="1"/>
  <c r="K2134" i="1"/>
  <c r="K52" i="1"/>
  <c r="K2700" i="1"/>
  <c r="K2816" i="1"/>
  <c r="K1779" i="1"/>
  <c r="K2815" i="1"/>
  <c r="K3647" i="1"/>
  <c r="K3648" i="1"/>
  <c r="K2840" i="1"/>
  <c r="K3274" i="1"/>
  <c r="K2401" i="1"/>
  <c r="K3923" i="1"/>
  <c r="K185" i="1"/>
  <c r="K186" i="1"/>
  <c r="K187" i="1"/>
  <c r="K1743" i="1"/>
  <c r="K1744" i="1"/>
  <c r="K4465" i="1"/>
  <c r="K2958" i="1"/>
  <c r="K3567" i="1"/>
  <c r="K3740" i="1"/>
  <c r="K2668" i="1"/>
  <c r="K731" i="1"/>
  <c r="K2788" i="1"/>
  <c r="K2789" i="1"/>
  <c r="K2790" i="1"/>
  <c r="K1785" i="1"/>
  <c r="K1786" i="1"/>
  <c r="K1787" i="1"/>
  <c r="K3368" i="1"/>
  <c r="K3366" i="1"/>
  <c r="K3342" i="1"/>
  <c r="K1168" i="1"/>
  <c r="K1169" i="1"/>
  <c r="K4513" i="1"/>
  <c r="K5167" i="1"/>
  <c r="K4260" i="1"/>
  <c r="K4261" i="1"/>
  <c r="K410" i="1"/>
  <c r="K4343" i="1"/>
  <c r="K4344" i="1"/>
  <c r="K4345" i="1"/>
  <c r="K4346" i="1"/>
  <c r="K4347" i="1"/>
  <c r="K4348" i="1"/>
  <c r="K4349" i="1"/>
  <c r="K4350" i="1"/>
  <c r="K4351" i="1"/>
  <c r="K4352" i="1"/>
  <c r="K4353" i="1"/>
  <c r="K4354" i="1"/>
  <c r="K4355" i="1"/>
  <c r="K5310" i="1"/>
  <c r="K5311" i="1"/>
  <c r="K5312" i="1"/>
  <c r="K7387" i="1"/>
  <c r="K7388" i="1"/>
  <c r="K7389" i="1"/>
  <c r="K7390" i="1"/>
  <c r="K7391" i="1"/>
  <c r="K7392" i="1"/>
  <c r="K7393" i="1"/>
  <c r="K5626" i="1"/>
  <c r="K5627" i="1"/>
  <c r="K5628" i="1"/>
  <c r="K5629" i="1"/>
  <c r="K5630" i="1"/>
  <c r="K5631" i="1"/>
  <c r="K5632" i="1"/>
  <c r="K5633" i="1"/>
  <c r="K5634" i="1"/>
  <c r="K5635" i="1"/>
  <c r="K5636" i="1"/>
  <c r="K5637" i="1"/>
  <c r="K5638" i="1"/>
  <c r="K5639" i="1"/>
  <c r="K5640" i="1"/>
  <c r="K5641" i="1"/>
  <c r="K5642" i="1"/>
  <c r="K5643" i="1"/>
  <c r="K5644" i="1"/>
  <c r="K5645" i="1"/>
  <c r="K5646" i="1"/>
  <c r="K5647" i="1"/>
  <c r="K5648" i="1"/>
  <c r="K5649" i="1"/>
  <c r="K5650" i="1"/>
  <c r="K5651" i="1"/>
  <c r="K5652" i="1"/>
  <c r="K2344" i="1"/>
  <c r="K4562" i="1"/>
  <c r="K4665" i="1"/>
  <c r="K4666" i="1"/>
  <c r="K5397" i="1"/>
  <c r="K3141" i="1"/>
  <c r="K3142" i="1"/>
  <c r="K1173" i="1"/>
  <c r="K1790" i="1"/>
  <c r="K3723" i="1"/>
  <c r="K3724" i="1"/>
  <c r="K7624" i="1"/>
  <c r="K7625" i="1"/>
  <c r="K7626" i="1"/>
  <c r="K5159" i="1"/>
  <c r="K5160" i="1"/>
  <c r="K5161" i="1"/>
  <c r="K4563" i="1"/>
  <c r="K4564" i="1"/>
  <c r="K4565" i="1"/>
  <c r="K4566" i="1"/>
  <c r="K4567" i="1"/>
  <c r="K4593" i="1"/>
  <c r="K4592" i="1"/>
  <c r="K6024" i="1"/>
  <c r="K6025" i="1"/>
  <c r="K6026" i="1"/>
  <c r="K6027" i="1"/>
  <c r="K6028" i="1"/>
  <c r="K6029" i="1"/>
  <c r="K6030" i="1"/>
  <c r="K6031" i="1"/>
  <c r="K6032" i="1"/>
  <c r="K6033" i="1"/>
  <c r="K6034" i="1"/>
  <c r="K6035" i="1"/>
  <c r="K6036" i="1"/>
  <c r="K6037" i="1"/>
  <c r="K6038" i="1"/>
  <c r="K6039" i="1"/>
  <c r="K6040" i="1"/>
  <c r="K6041" i="1"/>
  <c r="K7725" i="1"/>
  <c r="K7726" i="1"/>
  <c r="K7727" i="1"/>
  <c r="K7728" i="1"/>
  <c r="K7729" i="1"/>
  <c r="K7730" i="1"/>
  <c r="K7731" i="1"/>
  <c r="K7732" i="1"/>
  <c r="K7733" i="1"/>
  <c r="K7734" i="1"/>
  <c r="K7735" i="1"/>
  <c r="K7736" i="1"/>
  <c r="K7737" i="1"/>
  <c r="K7738" i="1"/>
  <c r="K3593" i="1"/>
  <c r="K3594" i="1"/>
  <c r="K2982" i="1"/>
  <c r="K1591" i="1"/>
  <c r="K1592" i="1"/>
  <c r="K330" i="1"/>
  <c r="K331" i="1"/>
  <c r="K332" i="1"/>
  <c r="K1238" i="1"/>
  <c r="K1239" i="1"/>
  <c r="K1994" i="1"/>
  <c r="K1995" i="1"/>
  <c r="K208" i="1"/>
  <c r="K1977" i="1"/>
  <c r="K597" i="1"/>
  <c r="K598" i="1"/>
  <c r="K674" i="1"/>
  <c r="K675" i="1"/>
  <c r="K1421" i="1"/>
  <c r="K3258" i="1"/>
  <c r="K1823" i="1"/>
  <c r="K398" i="1"/>
  <c r="K3815" i="1"/>
  <c r="K2659" i="1"/>
  <c r="K5658" i="1"/>
  <c r="K5659" i="1"/>
  <c r="K5660" i="1"/>
  <c r="K5661" i="1"/>
  <c r="K5662" i="1"/>
  <c r="K5663" i="1"/>
  <c r="K5664" i="1"/>
  <c r="K5665" i="1"/>
  <c r="K5666" i="1"/>
  <c r="K5667" i="1"/>
  <c r="K5668" i="1"/>
  <c r="K5669" i="1"/>
  <c r="K5670" i="1"/>
  <c r="K5671" i="1"/>
  <c r="K5672" i="1"/>
  <c r="K5673" i="1"/>
  <c r="K5674" i="1"/>
  <c r="K5675" i="1"/>
  <c r="K5676" i="1"/>
  <c r="K5677" i="1"/>
  <c r="K5678" i="1"/>
  <c r="K5679" i="1"/>
  <c r="K5680" i="1"/>
  <c r="K5681" i="1"/>
  <c r="K5682" i="1"/>
  <c r="K570" i="1"/>
  <c r="K980" i="1"/>
  <c r="K337" i="1"/>
  <c r="K2906" i="1"/>
  <c r="K2907" i="1"/>
  <c r="K2908" i="1"/>
  <c r="K2819" i="1"/>
  <c r="K3365" i="1"/>
  <c r="K3367" i="1"/>
  <c r="K2731" i="1"/>
  <c r="K2732" i="1"/>
  <c r="K2733" i="1"/>
  <c r="K4442" i="1"/>
  <c r="K6459" i="1"/>
  <c r="K6460" i="1"/>
  <c r="K6461" i="1"/>
  <c r="K6462" i="1"/>
  <c r="K741" i="1"/>
  <c r="K2089" i="1"/>
  <c r="K3372" i="1"/>
  <c r="K1293" i="1"/>
  <c r="K1633" i="1"/>
  <c r="K3074" i="1"/>
  <c r="K295" i="1"/>
  <c r="K287" i="1"/>
  <c r="K288" i="1"/>
  <c r="K289" i="1"/>
  <c r="K290" i="1"/>
  <c r="K3369" i="1"/>
  <c r="K3370" i="1"/>
  <c r="K3371" i="1"/>
  <c r="K79" i="1"/>
  <c r="K3944" i="1"/>
  <c r="K42" i="1"/>
  <c r="K804" i="1"/>
  <c r="K2416" i="1"/>
  <c r="K1323" i="1"/>
  <c r="K3291" i="1"/>
  <c r="K3435" i="1"/>
  <c r="K3221" i="1"/>
  <c r="K3222" i="1"/>
  <c r="K3348" i="1"/>
  <c r="K3246" i="1"/>
  <c r="K4274" i="1"/>
  <c r="K91" i="1"/>
  <c r="K92" i="1"/>
  <c r="K973" i="1"/>
  <c r="K4364" i="1"/>
  <c r="K4365" i="1"/>
  <c r="K4366" i="1"/>
  <c r="K4367" i="1"/>
  <c r="K3482" i="1"/>
  <c r="K3483" i="1"/>
  <c r="K3484" i="1"/>
  <c r="K3485" i="1"/>
  <c r="K3486" i="1"/>
  <c r="K3487" i="1"/>
  <c r="K2578" i="1"/>
  <c r="K2839" i="1"/>
  <c r="K3604" i="1"/>
  <c r="K3805" i="1"/>
  <c r="K3806" i="1"/>
  <c r="K3807" i="1"/>
  <c r="K3808" i="1"/>
  <c r="K2672" i="1"/>
  <c r="K3703" i="1"/>
  <c r="K3863" i="1"/>
  <c r="K770" i="1"/>
  <c r="K417" i="1"/>
  <c r="K418" i="1"/>
  <c r="K6785" i="1"/>
  <c r="K6786" i="1"/>
  <c r="K6787" i="1"/>
  <c r="K6788" i="1"/>
  <c r="K6789" i="1"/>
  <c r="K6790" i="1"/>
  <c r="K6791" i="1"/>
  <c r="K6792" i="1"/>
  <c r="K6793" i="1"/>
  <c r="K6794" i="1"/>
  <c r="K6795" i="1"/>
  <c r="K6796" i="1"/>
  <c r="K6797" i="1"/>
  <c r="K6798" i="1"/>
  <c r="K6799" i="1"/>
  <c r="K6800" i="1"/>
  <c r="K6801" i="1"/>
  <c r="K6802" i="1"/>
  <c r="K6803" i="1"/>
  <c r="K6804" i="1"/>
  <c r="K6805" i="1"/>
  <c r="K6806" i="1"/>
  <c r="K6807" i="1"/>
  <c r="K6808" i="1"/>
  <c r="K6809" i="1"/>
  <c r="K6810" i="1"/>
  <c r="K6811" i="1"/>
  <c r="K6812" i="1"/>
  <c r="K6813" i="1"/>
  <c r="K6814" i="1"/>
  <c r="K6815" i="1"/>
  <c r="K6816" i="1"/>
  <c r="K6817" i="1"/>
  <c r="K6818" i="1"/>
  <c r="K6819" i="1"/>
  <c r="K6820" i="1"/>
  <c r="K6821" i="1"/>
  <c r="K6342" i="1"/>
  <c r="K158" i="1"/>
  <c r="K159" i="1"/>
  <c r="K5314" i="1"/>
  <c r="K3507" i="1"/>
  <c r="K3508" i="1"/>
  <c r="K2575" i="1"/>
  <c r="K98" i="1"/>
  <c r="K3769" i="1"/>
  <c r="K3770" i="1"/>
  <c r="K3771" i="1"/>
  <c r="K2018" i="1"/>
  <c r="K812" i="1"/>
  <c r="K3393" i="1"/>
  <c r="K3394" i="1"/>
  <c r="K3396" i="1"/>
  <c r="K3575" i="1"/>
  <c r="K3867" i="1"/>
  <c r="K3868" i="1"/>
  <c r="K3461" i="1"/>
  <c r="K3152" i="1"/>
  <c r="K59" i="1"/>
  <c r="K2898" i="1"/>
  <c r="K3818" i="1"/>
  <c r="K1975" i="1"/>
  <c r="K1377" i="1"/>
  <c r="K2456" i="1"/>
  <c r="K2457" i="1"/>
  <c r="K2681" i="1"/>
  <c r="K1922" i="1"/>
  <c r="K148" i="1"/>
  <c r="K3119" i="1"/>
  <c r="K3018" i="1"/>
  <c r="K2322" i="1"/>
  <c r="K1992" i="1"/>
  <c r="K1993" i="1"/>
  <c r="K2835" i="1"/>
  <c r="K3114" i="1"/>
  <c r="K1237" i="1"/>
  <c r="K6042" i="1"/>
  <c r="K6043" i="1"/>
  <c r="K633" i="1"/>
  <c r="K479" i="1"/>
  <c r="K480" i="1"/>
  <c r="K481" i="1"/>
  <c r="K482" i="1"/>
  <c r="K483" i="1"/>
  <c r="K531" i="1"/>
  <c r="K532" i="1"/>
  <c r="K533" i="1"/>
  <c r="K534" i="1"/>
  <c r="K535" i="1"/>
  <c r="K536" i="1"/>
  <c r="K537" i="1"/>
  <c r="K538" i="1"/>
  <c r="K539" i="1"/>
  <c r="K296" i="1"/>
  <c r="K297" i="1"/>
  <c r="K298" i="1"/>
  <c r="K299" i="1"/>
  <c r="K1154" i="1"/>
  <c r="K2244" i="1"/>
  <c r="K2245" i="1"/>
  <c r="K2246" i="1"/>
  <c r="K2247" i="1"/>
  <c r="K2248" i="1"/>
  <c r="K1815" i="1"/>
  <c r="K1816" i="1"/>
  <c r="K1817" i="1"/>
  <c r="K1703" i="1"/>
  <c r="K1704" i="1"/>
  <c r="K1705" i="1"/>
  <c r="K1706" i="1"/>
  <c r="K1884" i="1"/>
  <c r="K1885" i="1"/>
  <c r="K1886" i="1"/>
  <c r="K1887" i="1"/>
  <c r="K3323" i="1"/>
  <c r="K3324" i="1"/>
  <c r="K3325" i="1"/>
  <c r="K2378" i="1"/>
  <c r="K2379" i="1"/>
  <c r="K2380" i="1"/>
  <c r="K1853" i="1"/>
  <c r="K12" i="1"/>
  <c r="K13" i="1"/>
  <c r="K14" i="1"/>
  <c r="K15" i="1"/>
  <c r="K16" i="1"/>
  <c r="K70" i="1"/>
  <c r="K71" i="1"/>
  <c r="K72" i="1"/>
  <c r="K73" i="1"/>
  <c r="K1900" i="1"/>
  <c r="K2919" i="1"/>
  <c r="K2920" i="1"/>
  <c r="K3657" i="1"/>
  <c r="K3802" i="1"/>
  <c r="K1967" i="1"/>
  <c r="K1968" i="1"/>
  <c r="K751" i="1"/>
  <c r="K3715" i="1"/>
  <c r="K3716" i="1"/>
  <c r="K3717" i="1"/>
  <c r="K3718" i="1"/>
  <c r="K1028" i="1"/>
  <c r="K1029" i="1"/>
  <c r="K719" i="1"/>
  <c r="K3497" i="1"/>
  <c r="K2202" i="1"/>
  <c r="K1621" i="1"/>
  <c r="K3671" i="1"/>
  <c r="K3672" i="1"/>
  <c r="K3673" i="1"/>
  <c r="K555" i="1"/>
  <c r="K1691" i="1"/>
  <c r="K2281" i="1"/>
  <c r="K2468" i="1"/>
  <c r="K2469" i="1"/>
  <c r="K2470" i="1"/>
  <c r="K2471" i="1"/>
  <c r="K66" i="1"/>
  <c r="K67" i="1"/>
  <c r="K68" i="1"/>
  <c r="K69" i="1"/>
  <c r="K155" i="1"/>
  <c r="K156" i="1"/>
  <c r="K3392" i="1"/>
  <c r="K1562" i="1"/>
  <c r="K625" i="1"/>
  <c r="K4485" i="1"/>
  <c r="K6938" i="1"/>
  <c r="K6939" i="1"/>
  <c r="K6940" i="1"/>
  <c r="K6941" i="1"/>
  <c r="K6942" i="1"/>
  <c r="K6943" i="1"/>
  <c r="K6944" i="1"/>
  <c r="K6945" i="1"/>
  <c r="K6946" i="1"/>
  <c r="K6947" i="1"/>
  <c r="K6948" i="1"/>
  <c r="K6949" i="1"/>
  <c r="K6950" i="1"/>
  <c r="K6951" i="1"/>
  <c r="K6952" i="1"/>
  <c r="K6953" i="1"/>
  <c r="K5402" i="1"/>
  <c r="K723" i="1"/>
  <c r="K3267" i="1"/>
  <c r="K2381" i="1"/>
  <c r="K2382" i="1"/>
  <c r="K2383" i="1"/>
  <c r="K2384" i="1"/>
  <c r="K2385" i="1"/>
  <c r="K1088" i="1"/>
  <c r="K1089" i="1"/>
  <c r="K1090" i="1"/>
  <c r="K1091" i="1"/>
  <c r="K2877" i="1"/>
  <c r="K1841" i="1"/>
  <c r="K1842" i="1"/>
  <c r="K3140" i="1"/>
  <c r="K4971" i="1"/>
  <c r="K3811" i="1"/>
  <c r="K103" i="1"/>
  <c r="K2430" i="1"/>
  <c r="K2431" i="1"/>
  <c r="K2829" i="1"/>
  <c r="K3525" i="1"/>
  <c r="K1064" i="1"/>
  <c r="K3742" i="1"/>
  <c r="K4372" i="1"/>
  <c r="K3147" i="1"/>
  <c r="K3148" i="1"/>
  <c r="K4720" i="1"/>
  <c r="K4721" i="1"/>
  <c r="K5398" i="1"/>
  <c r="K4454" i="1"/>
  <c r="K3316" i="1"/>
  <c r="K4134" i="1"/>
  <c r="K4135" i="1"/>
  <c r="K4136" i="1"/>
  <c r="K4137" i="1"/>
  <c r="K4138" i="1"/>
  <c r="K5130" i="1"/>
  <c r="K5131" i="1"/>
  <c r="K4065" i="1"/>
  <c r="K4066" i="1"/>
  <c r="K419" i="1"/>
  <c r="K5420" i="1"/>
  <c r="K611" i="1"/>
  <c r="K5387" i="1"/>
  <c r="K1490" i="1"/>
  <c r="K1937" i="1"/>
  <c r="K1085" i="1"/>
  <c r="K1086" i="1"/>
  <c r="K325" i="1"/>
  <c r="K326" i="1"/>
  <c r="K5022" i="1"/>
  <c r="K437" i="1"/>
  <c r="K438" i="1"/>
  <c r="K3960" i="1"/>
  <c r="K3961" i="1"/>
  <c r="K3962" i="1"/>
  <c r="K3963" i="1"/>
  <c r="K721" i="1"/>
  <c r="K722" i="1"/>
  <c r="K5399" i="1"/>
  <c r="K5400" i="1"/>
  <c r="K6343" i="1"/>
  <c r="K2579" i="1"/>
  <c r="K1718" i="1"/>
  <c r="K1577" i="1"/>
  <c r="K1578" i="1"/>
  <c r="K5226" i="1"/>
  <c r="K4847" i="1"/>
  <c r="K4790" i="1"/>
  <c r="K3466" i="1"/>
  <c r="K81" i="1"/>
  <c r="K82" i="1"/>
  <c r="K517" i="1"/>
  <c r="K518" i="1"/>
  <c r="K2591" i="1"/>
  <c r="K3469" i="1"/>
  <c r="K2042" i="1"/>
  <c r="K578" i="1"/>
  <c r="K579" i="1"/>
  <c r="K5354" i="1"/>
  <c r="K2328" i="1"/>
  <c r="K2329" i="1"/>
  <c r="K1306" i="1"/>
  <c r="K1307" i="1"/>
  <c r="K1308" i="1"/>
  <c r="K1309" i="1"/>
  <c r="K1310" i="1"/>
  <c r="K2167" i="1"/>
  <c r="K2168" i="1"/>
  <c r="K2169" i="1"/>
  <c r="K2170" i="1"/>
  <c r="K2171" i="1"/>
  <c r="K2172" i="1"/>
  <c r="K2173" i="1"/>
  <c r="K1734" i="1"/>
  <c r="K1735" i="1"/>
  <c r="K1432" i="1"/>
  <c r="K1433" i="1"/>
  <c r="K1434" i="1"/>
  <c r="K1435" i="1"/>
  <c r="K1436" i="1"/>
  <c r="K1437" i="1"/>
  <c r="K1438" i="1"/>
  <c r="K2206" i="1"/>
  <c r="K4279" i="1"/>
  <c r="K4280" i="1"/>
  <c r="K4281" i="1"/>
  <c r="K694" i="1"/>
  <c r="K7847" i="1"/>
  <c r="K7848" i="1"/>
  <c r="K7849" i="1"/>
  <c r="K7850" i="1"/>
  <c r="K7851" i="1"/>
  <c r="K7852" i="1"/>
  <c r="K7853" i="1"/>
  <c r="K7854" i="1"/>
  <c r="K7855" i="1"/>
  <c r="K7856" i="1"/>
  <c r="K7857" i="1"/>
  <c r="K7858" i="1"/>
  <c r="K7859" i="1"/>
  <c r="K7860" i="1"/>
  <c r="K4476" i="1"/>
  <c r="K1928" i="1"/>
  <c r="K4913" i="1"/>
  <c r="K4914" i="1"/>
  <c r="K3674" i="1"/>
  <c r="K3689" i="1"/>
  <c r="K3690" i="1"/>
  <c r="K2666" i="1"/>
  <c r="K2872" i="1"/>
  <c r="K1374" i="1"/>
  <c r="K1716" i="1"/>
  <c r="K715" i="1"/>
  <c r="K3582" i="1"/>
  <c r="K1857" i="1"/>
  <c r="K434" i="1"/>
  <c r="K435" i="1"/>
  <c r="K436" i="1"/>
  <c r="K3424" i="1"/>
  <c r="K953" i="1"/>
  <c r="K954" i="1"/>
  <c r="K955" i="1"/>
  <c r="K956" i="1"/>
  <c r="K1160" i="1"/>
  <c r="K4178" i="1"/>
  <c r="K4179" i="1"/>
  <c r="K4180" i="1"/>
  <c r="K4181" i="1"/>
  <c r="K4182" i="1"/>
  <c r="K1542" i="1"/>
  <c r="K1543" i="1"/>
  <c r="K2091" i="1"/>
  <c r="K2092" i="1"/>
  <c r="K2093" i="1"/>
  <c r="K3265" i="1"/>
  <c r="K3266" i="1"/>
  <c r="K1749" i="1"/>
  <c r="K1445" i="1"/>
  <c r="K1861" i="1"/>
  <c r="K1862" i="1"/>
  <c r="K1251" i="1"/>
  <c r="K1348" i="1"/>
  <c r="K5383" i="1"/>
  <c r="K5346" i="1"/>
  <c r="K1678" i="1"/>
  <c r="K2706" i="1"/>
  <c r="K1574" i="1"/>
  <c r="K2213" i="1"/>
  <c r="K2214" i="1"/>
  <c r="K3262" i="1"/>
  <c r="K1511" i="1"/>
  <c r="K4152" i="1"/>
  <c r="K4153" i="1"/>
  <c r="K4046" i="1"/>
  <c r="K4047" i="1"/>
  <c r="K4048" i="1"/>
  <c r="K4049" i="1"/>
  <c r="K4050" i="1"/>
  <c r="K4506" i="1"/>
  <c r="K4507" i="1"/>
  <c r="K4508" i="1"/>
  <c r="K4509" i="1"/>
  <c r="K4510" i="1"/>
  <c r="K4511" i="1"/>
  <c r="K841" i="1"/>
  <c r="K5091" i="1"/>
  <c r="K5247" i="1"/>
  <c r="K5248" i="1"/>
  <c r="K7631" i="1"/>
  <c r="K2673" i="1"/>
  <c r="K2674" i="1"/>
  <c r="K2675" i="1"/>
  <c r="K2676" i="1"/>
  <c r="K2677" i="1"/>
  <c r="K2678" i="1"/>
  <c r="K7486" i="1"/>
  <c r="K7487" i="1"/>
  <c r="K7488" i="1"/>
  <c r="K7489" i="1"/>
  <c r="K7490" i="1"/>
  <c r="K5965" i="1"/>
  <c r="K5966" i="1"/>
  <c r="K5967" i="1"/>
  <c r="K5968" i="1"/>
  <c r="K5969" i="1"/>
  <c r="K5970" i="1"/>
  <c r="K5971" i="1"/>
  <c r="K5972" i="1"/>
  <c r="K5973" i="1"/>
  <c r="K5974" i="1"/>
  <c r="K5975" i="1"/>
  <c r="K5976" i="1"/>
  <c r="K5977" i="1"/>
  <c r="K5978" i="1"/>
  <c r="K5979" i="1"/>
  <c r="K5980" i="1"/>
  <c r="K5981" i="1"/>
  <c r="K5982" i="1"/>
  <c r="K3418" i="1"/>
  <c r="K3419" i="1"/>
  <c r="K3420" i="1"/>
  <c r="K1933" i="1"/>
  <c r="K1934" i="1"/>
  <c r="K1935" i="1"/>
  <c r="K140" i="1"/>
  <c r="K141" i="1"/>
  <c r="K142" i="1"/>
  <c r="K143" i="1"/>
  <c r="K144" i="1"/>
  <c r="K1161" i="1"/>
  <c r="K2966" i="1"/>
  <c r="K2204" i="1"/>
  <c r="K3946" i="1"/>
  <c r="K4130" i="1"/>
  <c r="K1681" i="1"/>
  <c r="K1212" i="1"/>
  <c r="K402" i="1"/>
  <c r="K216" i="1"/>
  <c r="K217" i="1"/>
  <c r="K565" i="1"/>
  <c r="K3730" i="1"/>
  <c r="K3731" i="1"/>
  <c r="K3732" i="1"/>
  <c r="K3790" i="1"/>
  <c r="K637" i="1"/>
  <c r="K638" i="1"/>
  <c r="K639" i="1"/>
  <c r="K5253" i="1"/>
  <c r="K608" i="1"/>
  <c r="K2119" i="1"/>
  <c r="K4067" i="1"/>
  <c r="K2449" i="1"/>
  <c r="K4786" i="1"/>
  <c r="K1860" i="1"/>
  <c r="K4938" i="1"/>
  <c r="K4939" i="1"/>
  <c r="K2627" i="1"/>
  <c r="K2628" i="1"/>
  <c r="K2629" i="1"/>
  <c r="K2630" i="1"/>
  <c r="K3463" i="1"/>
  <c r="K3464" i="1"/>
  <c r="K3465" i="1"/>
  <c r="K1352" i="1"/>
  <c r="K1675" i="1"/>
  <c r="K1459" i="1"/>
  <c r="K1460" i="1"/>
  <c r="K592" i="1"/>
  <c r="K593" i="1"/>
  <c r="K594" i="1"/>
  <c r="K595" i="1"/>
  <c r="K273" i="1"/>
  <c r="K274" i="1"/>
  <c r="K275" i="1"/>
  <c r="K3682" i="1"/>
  <c r="K3683" i="1"/>
  <c r="K1575" i="1"/>
  <c r="K1576" i="1"/>
  <c r="K80" i="1"/>
  <c r="K2787" i="1"/>
  <c r="K2094" i="1"/>
  <c r="K1084" i="1"/>
  <c r="K3548" i="1"/>
  <c r="K3549" i="1"/>
  <c r="K6772" i="1"/>
  <c r="K6773" i="1"/>
  <c r="K6774" i="1"/>
  <c r="K6775" i="1"/>
  <c r="K6776" i="1"/>
  <c r="K6777" i="1"/>
  <c r="K6778" i="1"/>
  <c r="K6779" i="1"/>
  <c r="K6780" i="1"/>
  <c r="K6781" i="1"/>
  <c r="K6782" i="1"/>
  <c r="K5737" i="1"/>
  <c r="K5738" i="1"/>
  <c r="K5739" i="1"/>
  <c r="K5740" i="1"/>
  <c r="K5741" i="1"/>
  <c r="K5742" i="1"/>
  <c r="K5743" i="1"/>
  <c r="K5744" i="1"/>
  <c r="K5745" i="1"/>
  <c r="K5746" i="1"/>
  <c r="K5747" i="1"/>
  <c r="K5748" i="1"/>
  <c r="K5749" i="1"/>
  <c r="K5750" i="1"/>
  <c r="K5751" i="1"/>
  <c r="K5752" i="1"/>
  <c r="K5753" i="1"/>
  <c r="K5754" i="1"/>
  <c r="K5755" i="1"/>
  <c r="K4904" i="1"/>
  <c r="K642" i="1"/>
  <c r="K643" i="1"/>
  <c r="K3205" i="1"/>
  <c r="K5389" i="1"/>
  <c r="K4446" i="1"/>
  <c r="K4447" i="1"/>
  <c r="K2121" i="1"/>
  <c r="K395" i="1"/>
  <c r="K396" i="1"/>
  <c r="K2794" i="1"/>
  <c r="K2642" i="1"/>
  <c r="K1249" i="1"/>
  <c r="K357" i="1"/>
  <c r="K1821" i="1"/>
  <c r="K1822" i="1"/>
  <c r="K2551" i="1"/>
  <c r="K2552" i="1"/>
  <c r="K3319" i="1"/>
  <c r="K2054" i="1"/>
  <c r="K1446" i="1"/>
  <c r="K1447" i="1"/>
  <c r="K2711" i="1"/>
  <c r="K2712" i="1"/>
  <c r="K27" i="1"/>
  <c r="K3422" i="1"/>
  <c r="K2820" i="1"/>
  <c r="K2821" i="1"/>
  <c r="K668" i="1"/>
  <c r="K1762" i="1"/>
  <c r="K3750" i="1"/>
  <c r="K1953" i="1"/>
  <c r="K302" i="1"/>
  <c r="K1969" i="1"/>
  <c r="K2529" i="1"/>
  <c r="K2530" i="1"/>
  <c r="K3500" i="1"/>
  <c r="K1332" i="1"/>
  <c r="K1333" i="1"/>
  <c r="K5334" i="1"/>
  <c r="K5372" i="1"/>
  <c r="K5337" i="1"/>
  <c r="K2720" i="1"/>
  <c r="K2721" i="1"/>
  <c r="K2722" i="1"/>
  <c r="K972" i="1"/>
  <c r="K4807" i="1"/>
  <c r="K4808" i="1"/>
  <c r="K4809" i="1"/>
  <c r="K4810" i="1"/>
  <c r="K4811" i="1"/>
  <c r="K4580" i="1"/>
  <c r="K4581" i="1"/>
  <c r="K4582" i="1"/>
  <c r="K4583" i="1"/>
  <c r="K4584" i="1"/>
  <c r="K4585" i="1"/>
  <c r="K4586" i="1"/>
  <c r="K4587" i="1"/>
  <c r="K4588" i="1"/>
  <c r="K4589" i="1"/>
  <c r="K4590" i="1"/>
  <c r="K4591" i="1"/>
  <c r="K4093" i="1"/>
  <c r="K1851" i="1"/>
  <c r="K1852" i="1"/>
  <c r="K3878" i="1"/>
  <c r="K3082" i="1"/>
  <c r="K3083" i="1"/>
  <c r="K3084" i="1"/>
  <c r="K2198" i="1"/>
  <c r="K2199" i="1"/>
  <c r="K2200" i="1"/>
  <c r="K2201" i="1"/>
  <c r="K2616" i="1"/>
  <c r="K2617" i="1"/>
  <c r="K2618" i="1"/>
  <c r="K1229" i="1"/>
  <c r="K680" i="1"/>
  <c r="K2305" i="1"/>
  <c r="K2306" i="1"/>
  <c r="K2307" i="1"/>
  <c r="K2777" i="1"/>
  <c r="K2778" i="1"/>
  <c r="K2779" i="1"/>
  <c r="K2513" i="1"/>
  <c r="K2514" i="1"/>
  <c r="K805" i="1"/>
  <c r="K4357" i="1"/>
  <c r="K2057" i="1"/>
  <c r="K997" i="1"/>
  <c r="K1563" i="1"/>
  <c r="K1741" i="1"/>
  <c r="K1742" i="1"/>
  <c r="K3194" i="1"/>
  <c r="K6047" i="1"/>
  <c r="K6048" i="1"/>
  <c r="K6049" i="1"/>
  <c r="K6050" i="1"/>
  <c r="K6051" i="1"/>
  <c r="K6052" i="1"/>
  <c r="K6053" i="1"/>
  <c r="K6054" i="1"/>
  <c r="K6055" i="1"/>
  <c r="K6056" i="1"/>
  <c r="K6057" i="1"/>
  <c r="K6058" i="1"/>
  <c r="K6059" i="1"/>
  <c r="K6060" i="1"/>
  <c r="K6061" i="1"/>
  <c r="K6062" i="1"/>
  <c r="K6463" i="1"/>
  <c r="K6464" i="1"/>
  <c r="K6465" i="1"/>
  <c r="K6466" i="1"/>
  <c r="K6467" i="1"/>
  <c r="K6468" i="1"/>
  <c r="K6469" i="1"/>
  <c r="K6470" i="1"/>
  <c r="K6471" i="1"/>
  <c r="K6472" i="1"/>
  <c r="K6473" i="1"/>
  <c r="K5381" i="1"/>
  <c r="K2943" i="1"/>
  <c r="K2944" i="1"/>
  <c r="K2945" i="1"/>
  <c r="K2946" i="1"/>
  <c r="K4550" i="1"/>
  <c r="K4551" i="1"/>
  <c r="K4552" i="1"/>
  <c r="K4553" i="1"/>
  <c r="K4554" i="1"/>
  <c r="K4555" i="1"/>
  <c r="K4556" i="1"/>
  <c r="K4557" i="1"/>
  <c r="K4558" i="1"/>
  <c r="K4559" i="1"/>
  <c r="K5289" i="1"/>
  <c r="K5290" i="1"/>
  <c r="K5291" i="1"/>
  <c r="K5292" i="1"/>
  <c r="K5293" i="1"/>
  <c r="K5294" i="1"/>
  <c r="K5295" i="1"/>
  <c r="K5134" i="1"/>
  <c r="K5135" i="1"/>
  <c r="K5136" i="1"/>
  <c r="K5137" i="1"/>
  <c r="K5138" i="1"/>
  <c r="K5139" i="1"/>
  <c r="K4980" i="1"/>
  <c r="K4489" i="1"/>
  <c r="K4490" i="1"/>
  <c r="K4094" i="1"/>
  <c r="K4831" i="1"/>
  <c r="K6231" i="1"/>
  <c r="K6232" i="1"/>
  <c r="K6233" i="1"/>
  <c r="K6234" i="1"/>
  <c r="K6235" i="1"/>
  <c r="K6236" i="1"/>
  <c r="K6237" i="1"/>
  <c r="K3383" i="1"/>
  <c r="K1190" i="1"/>
  <c r="K5374" i="1"/>
  <c r="K5375" i="1"/>
  <c r="K3326" i="1"/>
  <c r="K3327" i="1"/>
  <c r="K3328" i="1"/>
  <c r="K3329" i="1"/>
  <c r="K2363" i="1"/>
  <c r="K1693" i="1"/>
  <c r="K1527" i="1"/>
  <c r="K1528" i="1"/>
  <c r="K1529" i="1"/>
  <c r="K1530" i="1"/>
  <c r="K1531" i="1"/>
  <c r="K6533" i="1"/>
  <c r="K6534" i="1"/>
  <c r="K6535" i="1"/>
  <c r="K6536" i="1"/>
  <c r="K6537" i="1"/>
  <c r="K6538" i="1"/>
  <c r="K6539" i="1"/>
  <c r="K6540" i="1"/>
  <c r="K6541" i="1"/>
  <c r="K6542" i="1"/>
  <c r="K6543" i="1"/>
  <c r="K6544" i="1"/>
  <c r="K6545" i="1"/>
  <c r="K6546" i="1"/>
  <c r="K6547" i="1"/>
  <c r="K6548" i="1"/>
  <c r="K6549" i="1"/>
  <c r="K6550" i="1"/>
  <c r="K6551" i="1"/>
  <c r="K6552" i="1"/>
  <c r="K6553" i="1"/>
  <c r="K6554" i="1"/>
  <c r="K6555" i="1"/>
  <c r="K6556" i="1"/>
  <c r="K6557" i="1"/>
  <c r="K2389" i="1"/>
  <c r="K2450" i="1"/>
  <c r="K2451" i="1"/>
  <c r="K2845" i="1"/>
  <c r="K1854" i="1"/>
  <c r="K4986" i="1"/>
  <c r="K4987" i="1"/>
  <c r="K4988" i="1"/>
  <c r="K4989" i="1"/>
  <c r="K5088" i="1"/>
  <c r="K1078" i="1"/>
  <c r="K2052" i="1"/>
  <c r="K2053" i="1"/>
  <c r="K2918" i="1"/>
  <c r="K312" i="1"/>
  <c r="K1991" i="1"/>
  <c r="K1219" i="1"/>
  <c r="K28" i="1"/>
  <c r="K2973" i="1"/>
  <c r="K3625" i="1"/>
  <c r="K3626" i="1"/>
  <c r="K2592" i="1"/>
  <c r="K2386" i="1"/>
  <c r="K2387" i="1"/>
  <c r="K2388" i="1"/>
  <c r="K1123" i="1"/>
  <c r="K1124" i="1"/>
  <c r="K3159" i="1"/>
  <c r="K803" i="1"/>
  <c r="K3440" i="1"/>
  <c r="K4156" i="1"/>
  <c r="K5225" i="1"/>
  <c r="K3692" i="1"/>
  <c r="K800" i="1"/>
  <c r="K3691" i="1"/>
  <c r="K5265" i="1"/>
  <c r="K5266" i="1"/>
  <c r="K3675" i="1"/>
  <c r="K6474" i="1"/>
  <c r="K6475" i="1"/>
  <c r="K6476" i="1"/>
  <c r="K6477" i="1"/>
  <c r="K6478" i="1"/>
  <c r="K6479" i="1"/>
  <c r="K6480" i="1"/>
  <c r="K6481" i="1"/>
  <c r="K6482" i="1"/>
  <c r="K6483" i="1"/>
  <c r="K6484" i="1"/>
  <c r="K5683" i="1"/>
  <c r="K5684" i="1"/>
  <c r="K5685" i="1"/>
  <c r="K5686" i="1"/>
  <c r="K5687" i="1"/>
  <c r="K5688" i="1"/>
  <c r="K5689" i="1"/>
  <c r="K5690" i="1"/>
  <c r="K5691" i="1"/>
  <c r="K5692" i="1"/>
  <c r="K5693" i="1"/>
  <c r="K5694" i="1"/>
  <c r="K862" i="1"/>
  <c r="K1259" i="1"/>
  <c r="K1260" i="1"/>
  <c r="K1261" i="1"/>
  <c r="K1262" i="1"/>
  <c r="K4839" i="1"/>
  <c r="K4840" i="1"/>
  <c r="K4841" i="1"/>
  <c r="K1907" i="1"/>
  <c r="K1908" i="1"/>
  <c r="K1909" i="1"/>
  <c r="K1910" i="1"/>
  <c r="K902" i="1"/>
  <c r="K903" i="1"/>
  <c r="K904" i="1"/>
  <c r="K1258" i="1"/>
  <c r="K2071" i="1"/>
  <c r="K498" i="1"/>
  <c r="K499" i="1"/>
  <c r="K500" i="1"/>
  <c r="K501" i="1"/>
  <c r="K502" i="1"/>
  <c r="K503" i="1"/>
  <c r="K504" i="1"/>
  <c r="K505" i="1"/>
  <c r="K506" i="1"/>
  <c r="K507" i="1"/>
  <c r="K508" i="1"/>
  <c r="K6230" i="1"/>
  <c r="K6735" i="1"/>
  <c r="K6736" i="1"/>
  <c r="K6737" i="1"/>
  <c r="K6738" i="1"/>
  <c r="K6739" i="1"/>
  <c r="K6740" i="1"/>
  <c r="K7824" i="1"/>
  <c r="K7825" i="1"/>
  <c r="K7826" i="1"/>
  <c r="K7827" i="1"/>
  <c r="K7828" i="1"/>
  <c r="K7829" i="1"/>
  <c r="K7830" i="1"/>
  <c r="K7831" i="1"/>
  <c r="K7832" i="1"/>
  <c r="K7833" i="1"/>
  <c r="K7834" i="1"/>
  <c r="K7835" i="1"/>
  <c r="K7836" i="1"/>
  <c r="K7837" i="1"/>
  <c r="K7838" i="1"/>
  <c r="K7839" i="1"/>
  <c r="K7840" i="1"/>
  <c r="K7841" i="1"/>
  <c r="K7842" i="1"/>
  <c r="K7843" i="1"/>
  <c r="K7844" i="1"/>
  <c r="K7845" i="1"/>
  <c r="K7846" i="1"/>
  <c r="K4096" i="1"/>
  <c r="K4097" i="1"/>
  <c r="K4098" i="1"/>
  <c r="K4099" i="1"/>
  <c r="K4100" i="1"/>
  <c r="K4431" i="1"/>
  <c r="K4432" i="1"/>
  <c r="K2554" i="1"/>
  <c r="K2555" i="1"/>
  <c r="K4842" i="1"/>
  <c r="K4843" i="1"/>
  <c r="K166" i="1"/>
  <c r="K167" i="1"/>
  <c r="K3441" i="1"/>
  <c r="K3980" i="1"/>
  <c r="K3981" i="1"/>
  <c r="K3982" i="1"/>
  <c r="K3984" i="1"/>
  <c r="K2561" i="1"/>
  <c r="K3619" i="1"/>
  <c r="K2314" i="1"/>
  <c r="K1277" i="1"/>
  <c r="K1278" i="1"/>
  <c r="K2883" i="1"/>
  <c r="K3224" i="1"/>
  <c r="K3225" i="1"/>
  <c r="K3226" i="1"/>
  <c r="K2915" i="1"/>
  <c r="K1552" i="1"/>
  <c r="K1235" i="1"/>
  <c r="K1180" i="1"/>
  <c r="K1319" i="1"/>
  <c r="K1320" i="1"/>
  <c r="K6633" i="1"/>
  <c r="K6634" i="1"/>
  <c r="K6635" i="1"/>
  <c r="K6636" i="1"/>
  <c r="K6637" i="1"/>
  <c r="K6638" i="1"/>
  <c r="K6639" i="1"/>
  <c r="K6640" i="1"/>
  <c r="K6641" i="1"/>
  <c r="K6642" i="1"/>
  <c r="K6643" i="1"/>
  <c r="K6644" i="1"/>
  <c r="K6645" i="1"/>
  <c r="K6646" i="1"/>
  <c r="K6647" i="1"/>
  <c r="K6648" i="1"/>
  <c r="K6649" i="1"/>
  <c r="K6650" i="1"/>
  <c r="K6651" i="1"/>
  <c r="K6652" i="1"/>
  <c r="K6653" i="1"/>
  <c r="K6654" i="1"/>
  <c r="K6655" i="1"/>
  <c r="K6656" i="1"/>
  <c r="K6657" i="1"/>
  <c r="K6658" i="1"/>
  <c r="K6659" i="1"/>
  <c r="K6660" i="1"/>
  <c r="K6661" i="1"/>
  <c r="K6662" i="1"/>
  <c r="K6663" i="1"/>
  <c r="K6664" i="1"/>
  <c r="K6665" i="1"/>
  <c r="K6666" i="1"/>
  <c r="K6667" i="1"/>
  <c r="K6668" i="1"/>
  <c r="K6669" i="1"/>
  <c r="K6670" i="1"/>
  <c r="K6671" i="1"/>
  <c r="K6672" i="1"/>
  <c r="K6673" i="1"/>
  <c r="K6674" i="1"/>
  <c r="K6675" i="1"/>
  <c r="K6676" i="1"/>
  <c r="K5885" i="1"/>
  <c r="K5886" i="1"/>
  <c r="K5887" i="1"/>
  <c r="K5888" i="1"/>
  <c r="K5889" i="1"/>
  <c r="K5890" i="1"/>
  <c r="K5891" i="1"/>
  <c r="K5892" i="1"/>
  <c r="K5893" i="1"/>
  <c r="K5894" i="1"/>
  <c r="K121" i="1"/>
  <c r="K2447" i="1"/>
  <c r="K3862" i="1"/>
  <c r="K3203" i="1"/>
  <c r="K3204" i="1"/>
  <c r="K4189" i="1"/>
  <c r="K3166" i="1"/>
  <c r="K3167" i="1"/>
  <c r="K100" i="1"/>
  <c r="K2994" i="1"/>
  <c r="K3118" i="1"/>
  <c r="K149" i="1"/>
  <c r="K150" i="1"/>
  <c r="K1781" i="1"/>
  <c r="K2664" i="1"/>
  <c r="K7863" i="1"/>
  <c r="K7864" i="1"/>
  <c r="K7865" i="1"/>
  <c r="K7866" i="1"/>
  <c r="K7867" i="1"/>
  <c r="K7868" i="1"/>
  <c r="K7869" i="1"/>
  <c r="K7870" i="1"/>
  <c r="K7871" i="1"/>
  <c r="K7872" i="1"/>
  <c r="K7873" i="1"/>
  <c r="K7874" i="1"/>
  <c r="K7875" i="1"/>
  <c r="K7876" i="1"/>
  <c r="K7877" i="1"/>
  <c r="K7878" i="1"/>
  <c r="K7879" i="1"/>
  <c r="K5436" i="1"/>
  <c r="K5437" i="1"/>
  <c r="K5438" i="1"/>
  <c r="K1891" i="1"/>
  <c r="K3015" i="1"/>
  <c r="K3016" i="1"/>
  <c r="K2832" i="1"/>
  <c r="K2833" i="1"/>
  <c r="K4524" i="1"/>
  <c r="K4525" i="1"/>
  <c r="K4526" i="1"/>
  <c r="K1313" i="1"/>
  <c r="K1314" i="1"/>
  <c r="K2580" i="1"/>
  <c r="K2581" i="1"/>
  <c r="K2582" i="1"/>
  <c r="K2583" i="1"/>
  <c r="K2584" i="1"/>
  <c r="K2936" i="1"/>
  <c r="K2937" i="1"/>
  <c r="K2938" i="1"/>
  <c r="K2939" i="1"/>
  <c r="K2940" i="1"/>
  <c r="K2941" i="1"/>
  <c r="K7053" i="1"/>
  <c r="K7054" i="1"/>
  <c r="K7055" i="1"/>
  <c r="K7056" i="1"/>
  <c r="K7057" i="1"/>
  <c r="K7058" i="1"/>
  <c r="K7059" i="1"/>
  <c r="K7060" i="1"/>
  <c r="K7061" i="1"/>
  <c r="K7062" i="1"/>
  <c r="K7063" i="1"/>
  <c r="K7064" i="1"/>
  <c r="K7065" i="1"/>
  <c r="K7066" i="1"/>
  <c r="K7067" i="1"/>
  <c r="K4277" i="1"/>
  <c r="K3693" i="1"/>
  <c r="K3694" i="1"/>
  <c r="K2324" i="1"/>
  <c r="K2805" i="1"/>
  <c r="K3707" i="1"/>
  <c r="K716" i="1"/>
  <c r="K641" i="1"/>
  <c r="K5319" i="1"/>
  <c r="K2465" i="1"/>
  <c r="K2466" i="1"/>
  <c r="K2467" i="1"/>
  <c r="K3782" i="1"/>
  <c r="K3783" i="1"/>
  <c r="K1467" i="1"/>
  <c r="K1468" i="1"/>
  <c r="K1469" i="1"/>
  <c r="K2762" i="1"/>
  <c r="K2763" i="1"/>
  <c r="K4535" i="1"/>
  <c r="K3384" i="1"/>
  <c r="K4007" i="1"/>
  <c r="K4008" i="1"/>
  <c r="K4009" i="1"/>
  <c r="K4010" i="1"/>
  <c r="K4011" i="1"/>
  <c r="K4012" i="1"/>
  <c r="K4013" i="1"/>
  <c r="K4014" i="1"/>
  <c r="K4015" i="1"/>
  <c r="K4016" i="1"/>
  <c r="K3631" i="1"/>
  <c r="K3632" i="1"/>
  <c r="K3377" i="1"/>
  <c r="K3378" i="1"/>
  <c r="K3379" i="1"/>
  <c r="K3380" i="1"/>
  <c r="K3381" i="1"/>
  <c r="K3382" i="1"/>
  <c r="K709" i="1"/>
  <c r="K5051" i="1"/>
  <c r="K2013" i="1"/>
  <c r="K2014" i="1"/>
  <c r="K2109" i="1"/>
  <c r="K2110" i="1"/>
  <c r="K2111" i="1"/>
  <c r="K2112" i="1"/>
  <c r="K2113" i="1"/>
  <c r="K2114" i="1"/>
  <c r="K2115" i="1"/>
  <c r="K2116" i="1"/>
  <c r="K2117" i="1"/>
  <c r="K2118" i="1"/>
  <c r="K2141" i="1"/>
  <c r="K4023" i="1"/>
  <c r="K4024" i="1"/>
  <c r="K4220" i="1"/>
  <c r="K4221" i="1"/>
  <c r="K4222" i="1"/>
  <c r="K1329" i="1"/>
  <c r="K1626" i="1"/>
  <c r="K2959" i="1"/>
  <c r="K2960" i="1"/>
  <c r="K2961" i="1"/>
  <c r="K2962" i="1"/>
  <c r="K2963" i="1"/>
  <c r="K2964" i="1"/>
  <c r="K1996" i="1"/>
  <c r="K6101" i="1"/>
  <c r="K6102" i="1"/>
  <c r="K6103" i="1"/>
  <c r="K6104" i="1"/>
  <c r="K6105" i="1"/>
  <c r="K6106" i="1"/>
  <c r="K6107" i="1"/>
  <c r="K6108" i="1"/>
  <c r="K6109" i="1"/>
  <c r="K6110" i="1"/>
  <c r="K6111" i="1"/>
  <c r="K6585" i="1"/>
  <c r="K6586" i="1"/>
  <c r="K6587" i="1"/>
  <c r="K6588" i="1"/>
  <c r="K6589" i="1"/>
  <c r="K6590" i="1"/>
  <c r="K6591" i="1"/>
  <c r="K6592" i="1"/>
  <c r="K6593" i="1"/>
  <c r="K6594" i="1"/>
  <c r="K6595" i="1"/>
  <c r="K6596" i="1"/>
  <c r="K6597" i="1"/>
  <c r="K6598" i="1"/>
  <c r="K6599" i="1"/>
  <c r="K6600" i="1"/>
  <c r="K6601" i="1"/>
  <c r="K6602" i="1"/>
  <c r="K6603" i="1"/>
  <c r="K6604" i="1"/>
  <c r="K6605" i="1"/>
  <c r="K6606" i="1"/>
  <c r="K6607" i="1"/>
  <c r="K6608" i="1"/>
  <c r="K1476" i="1"/>
  <c r="K1477" i="1"/>
  <c r="K1478" i="1"/>
  <c r="K2957" i="1"/>
  <c r="K1367" i="1"/>
  <c r="K1368" i="1"/>
  <c r="K1369" i="1"/>
  <c r="K2259" i="1"/>
  <c r="K2260" i="1"/>
  <c r="K2261" i="1"/>
  <c r="K1943" i="1"/>
  <c r="K1944" i="1"/>
  <c r="K2157" i="1"/>
  <c r="K2158" i="1"/>
  <c r="K2159" i="1"/>
  <c r="K1804" i="1"/>
  <c r="K3821" i="1"/>
  <c r="K707" i="1"/>
  <c r="K708" i="1"/>
  <c r="K2452" i="1"/>
  <c r="K520" i="1"/>
  <c r="K521" i="1"/>
  <c r="K2900" i="1"/>
  <c r="K2922" i="1"/>
  <c r="K1116" i="1"/>
  <c r="K1651" i="1"/>
  <c r="K1567" i="1"/>
  <c r="K5089" i="1"/>
  <c r="K2971" i="1"/>
  <c r="K2972" i="1"/>
  <c r="K3809" i="1"/>
  <c r="K3143" i="1"/>
  <c r="K3144" i="1"/>
  <c r="K3145" i="1"/>
  <c r="K3229" i="1"/>
  <c r="K3417" i="1"/>
  <c r="K935" i="1"/>
  <c r="K4832" i="1"/>
  <c r="K5162" i="1"/>
  <c r="K5163" i="1"/>
  <c r="K5001" i="1"/>
  <c r="K5002" i="1"/>
  <c r="K5003" i="1"/>
  <c r="K5004" i="1"/>
  <c r="K5005" i="1"/>
  <c r="K5006" i="1"/>
  <c r="K5007" i="1"/>
  <c r="K5008" i="1"/>
  <c r="K5009" i="1"/>
  <c r="K5242" i="1"/>
  <c r="K5189" i="1"/>
  <c r="K5190" i="1"/>
  <c r="K5191" i="1"/>
  <c r="K5192" i="1"/>
  <c r="K5193" i="1"/>
  <c r="K5194" i="1"/>
  <c r="K5195" i="1"/>
  <c r="K5196" i="1"/>
  <c r="K6701" i="1"/>
  <c r="K6702" i="1"/>
  <c r="K6703" i="1"/>
  <c r="K6704" i="1"/>
  <c r="K6705" i="1"/>
  <c r="K6706" i="1"/>
  <c r="K6707" i="1"/>
  <c r="K6708" i="1"/>
  <c r="K6709" i="1"/>
  <c r="K6710" i="1"/>
  <c r="K6711" i="1"/>
  <c r="K6712" i="1"/>
  <c r="K6713" i="1"/>
  <c r="K6714" i="1"/>
  <c r="K6715" i="1"/>
  <c r="K6716" i="1"/>
  <c r="K6717" i="1"/>
  <c r="K6718" i="1"/>
  <c r="K6719" i="1"/>
  <c r="K6720" i="1"/>
  <c r="K6721" i="1"/>
  <c r="K6722" i="1"/>
  <c r="K6723" i="1"/>
  <c r="K6724" i="1"/>
  <c r="K6725" i="1"/>
  <c r="K6726" i="1"/>
  <c r="K5997" i="1"/>
  <c r="K5998" i="1"/>
  <c r="K769" i="1"/>
  <c r="K3347" i="1"/>
  <c r="K5278" i="1"/>
  <c r="K2433" i="1"/>
  <c r="K2434" i="1"/>
  <c r="K4359" i="1"/>
  <c r="K3721" i="1"/>
  <c r="K3722" i="1"/>
  <c r="K354" i="1"/>
  <c r="K3913" i="1"/>
  <c r="K4339" i="1"/>
  <c r="K4340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878" i="1"/>
  <c r="K4754" i="1"/>
  <c r="K4755" i="1"/>
  <c r="K4756" i="1"/>
  <c r="K4757" i="1"/>
  <c r="K4758" i="1"/>
  <c r="K5017" i="1"/>
  <c r="K4921" i="1"/>
  <c r="K4922" i="1"/>
  <c r="K4923" i="1"/>
  <c r="K4924" i="1"/>
  <c r="K4925" i="1"/>
  <c r="K4926" i="1"/>
  <c r="K2231" i="1"/>
  <c r="K2072" i="1"/>
  <c r="K2073" i="1"/>
  <c r="K1299" i="1"/>
  <c r="K1300" i="1"/>
  <c r="K1301" i="1"/>
  <c r="K1302" i="1"/>
  <c r="K3061" i="1"/>
  <c r="K3062" i="1"/>
  <c r="K3063" i="1"/>
  <c r="K3064" i="1"/>
  <c r="K3065" i="1"/>
  <c r="K3066" i="1"/>
  <c r="K3067" i="1"/>
  <c r="K3068" i="1"/>
  <c r="K2910" i="1"/>
  <c r="K2911" i="1"/>
  <c r="K2912" i="1"/>
  <c r="K3616" i="1"/>
  <c r="K4472" i="1"/>
  <c r="K3412" i="1"/>
  <c r="K3413" i="1"/>
  <c r="K335" i="1"/>
  <c r="K2074" i="1"/>
  <c r="K1998" i="1"/>
  <c r="K1732" i="1"/>
  <c r="K1733" i="1"/>
  <c r="K3131" i="1"/>
  <c r="K2426" i="1"/>
  <c r="K2951" i="1"/>
  <c r="K2952" i="1"/>
  <c r="K3223" i="1"/>
  <c r="K2749" i="1"/>
  <c r="K2750" i="1"/>
  <c r="K2751" i="1"/>
  <c r="K930" i="1"/>
  <c r="K931" i="1"/>
  <c r="K4861" i="1"/>
  <c r="K3002" i="1"/>
  <c r="K3555" i="1"/>
  <c r="K724" i="1"/>
  <c r="K220" i="1"/>
  <c r="K1824" i="1"/>
  <c r="K1178" i="1"/>
  <c r="K2390" i="1"/>
  <c r="K1938" i="1"/>
  <c r="K1939" i="1"/>
  <c r="K2838" i="1"/>
  <c r="K5825" i="1"/>
  <c r="K5826" i="1"/>
  <c r="K5827" i="1"/>
  <c r="K5828" i="1"/>
  <c r="K5829" i="1"/>
  <c r="K5830" i="1"/>
  <c r="K5831" i="1"/>
  <c r="K5832" i="1"/>
  <c r="K5833" i="1"/>
  <c r="K5834" i="1"/>
  <c r="K5835" i="1"/>
  <c r="K5836" i="1"/>
  <c r="K5837" i="1"/>
  <c r="K5838" i="1"/>
  <c r="K5839" i="1"/>
  <c r="K5840" i="1"/>
  <c r="K5841" i="1"/>
  <c r="K5842" i="1"/>
  <c r="K5843" i="1"/>
  <c r="K7682" i="1"/>
  <c r="K7683" i="1"/>
  <c r="K7684" i="1"/>
  <c r="K7685" i="1"/>
  <c r="K7714" i="1"/>
  <c r="K7715" i="1"/>
  <c r="K7716" i="1"/>
  <c r="K7717" i="1"/>
  <c r="K7718" i="1"/>
  <c r="K6344" i="1"/>
  <c r="K871" i="1"/>
  <c r="K872" i="1"/>
  <c r="K873" i="1"/>
  <c r="K3810" i="1"/>
  <c r="K632" i="1"/>
  <c r="K4384" i="1"/>
  <c r="K4385" i="1"/>
  <c r="K4386" i="1"/>
  <c r="K4387" i="1"/>
  <c r="K4388" i="1"/>
  <c r="K4389" i="1"/>
  <c r="K4390" i="1"/>
  <c r="K4391" i="1"/>
  <c r="K4638" i="1"/>
  <c r="K4337" i="1"/>
  <c r="K3900" i="1"/>
  <c r="K3901" i="1"/>
  <c r="K3902" i="1"/>
  <c r="K3903" i="1"/>
  <c r="K3904" i="1"/>
  <c r="K4865" i="1"/>
  <c r="K2179" i="1"/>
  <c r="K2180" i="1"/>
  <c r="K1395" i="1"/>
  <c r="K1396" i="1"/>
  <c r="K1397" i="1"/>
  <c r="K1398" i="1"/>
  <c r="K1399" i="1"/>
  <c r="K1287" i="1"/>
  <c r="K1288" i="1"/>
  <c r="K2849" i="1"/>
  <c r="K2850" i="1"/>
  <c r="K2851" i="1"/>
  <c r="K3767" i="1"/>
  <c r="K3768" i="1"/>
  <c r="K38" i="1"/>
  <c r="K39" i="1"/>
  <c r="K40" i="1"/>
  <c r="K4448" i="1"/>
  <c r="K3784" i="1"/>
  <c r="K1471" i="1"/>
  <c r="K2019" i="1"/>
  <c r="K4187" i="1"/>
  <c r="K4188" i="1"/>
  <c r="K4177" i="1"/>
  <c r="K4428" i="1"/>
  <c r="K4429" i="1"/>
  <c r="K4430" i="1"/>
  <c r="K2745" i="1"/>
  <c r="K340" i="1"/>
  <c r="K2604" i="1"/>
  <c r="K2528" i="1"/>
  <c r="K3471" i="1"/>
  <c r="K3472" i="1"/>
  <c r="K3473" i="1"/>
  <c r="K3211" i="1"/>
  <c r="K351" i="1"/>
  <c r="K3935" i="1"/>
  <c r="K1250" i="1"/>
  <c r="K3076" i="1"/>
  <c r="K2553" i="1"/>
  <c r="K2055" i="1"/>
  <c r="K2798" i="1"/>
  <c r="K2799" i="1"/>
  <c r="K2800" i="1"/>
  <c r="K2801" i="1"/>
  <c r="K3586" i="1"/>
  <c r="K3585" i="1"/>
  <c r="K1349" i="1"/>
  <c r="K1149" i="1"/>
  <c r="K388" i="1"/>
  <c r="K1951" i="1"/>
  <c r="K652" i="1"/>
  <c r="K2893" i="1"/>
  <c r="K2894" i="1"/>
  <c r="K3553" i="1"/>
  <c r="K2811" i="1"/>
  <c r="K3045" i="1"/>
  <c r="K3046" i="1"/>
  <c r="K3047" i="1"/>
  <c r="K3048" i="1"/>
  <c r="K3049" i="1"/>
  <c r="K3050" i="1"/>
  <c r="K807" i="1"/>
  <c r="K5445" i="1"/>
  <c r="K5446" i="1"/>
  <c r="K5447" i="1"/>
  <c r="K32" i="1"/>
  <c r="K33" i="1"/>
  <c r="K34" i="1"/>
  <c r="K35" i="1"/>
  <c r="K36" i="1"/>
  <c r="K37" i="1"/>
  <c r="K4536" i="1"/>
  <c r="K2241" i="1"/>
  <c r="K2095" i="1"/>
  <c r="K1989" i="1"/>
  <c r="K1957" i="1"/>
  <c r="K988" i="1"/>
  <c r="K2315" i="1"/>
  <c r="K2316" i="1"/>
  <c r="K2317" i="1"/>
  <c r="K596" i="1"/>
  <c r="K1892" i="1"/>
  <c r="K2870" i="1"/>
  <c r="K2871" i="1"/>
  <c r="K1765" i="1"/>
  <c r="K1766" i="1"/>
  <c r="K4356" i="1"/>
  <c r="K4461" i="1"/>
  <c r="K4462" i="1"/>
  <c r="K2182" i="1"/>
  <c r="K2181" i="1"/>
  <c r="K1532" i="1"/>
  <c r="K1871" i="1"/>
  <c r="K1870" i="1"/>
  <c r="K1869" i="1"/>
  <c r="K4753" i="1"/>
  <c r="K4752" i="1"/>
  <c r="K4751" i="1"/>
  <c r="K4750" i="1"/>
  <c r="K4749" i="1"/>
  <c r="K4748" i="1"/>
  <c r="K4725" i="1"/>
  <c r="K4724" i="1"/>
  <c r="K5260" i="1"/>
  <c r="K5326" i="1"/>
  <c r="K317" i="1"/>
  <c r="K316" i="1"/>
  <c r="K5116" i="1"/>
  <c r="K3667" i="1"/>
  <c r="K1650" i="1"/>
  <c r="K1649" i="1"/>
  <c r="K1493" i="1"/>
  <c r="K3654" i="1"/>
  <c r="K3739" i="1"/>
  <c r="K53" i="1"/>
  <c r="K1676" i="1"/>
  <c r="K329" i="1"/>
  <c r="K1783" i="1"/>
  <c r="K5283" i="1"/>
  <c r="G4" i="4"/>
  <c r="G3" i="4"/>
  <c r="Y33" i="8" l="1" a="1"/>
  <c r="Y33" i="8" s="1"/>
  <c r="F3" i="8" a="1"/>
  <c r="F3" i="8" s="1"/>
  <c r="U3" i="8" a="1"/>
  <c r="U3" i="8" s="1"/>
  <c r="E4" i="8" a="1"/>
  <c r="E4" i="8" s="1"/>
  <c r="O3" i="8" a="1"/>
  <c r="O3" i="8" s="1"/>
  <c r="P4" i="8" a="1"/>
  <c r="P4" i="8" s="1"/>
  <c r="P5" i="8" a="1"/>
  <c r="P5" i="8" s="1"/>
  <c r="N6" i="8" a="1"/>
  <c r="N6" i="8" s="1"/>
  <c r="Z6" i="8" a="1"/>
  <c r="Z6" i="8" s="1"/>
  <c r="U8" i="8" a="1"/>
  <c r="U8" i="8" s="1"/>
  <c r="AB9" i="8" a="1"/>
  <c r="AB9" i="8" s="1"/>
  <c r="P10" i="8" a="1"/>
  <c r="P10" i="8" s="1"/>
  <c r="AA10" i="8" a="1"/>
  <c r="AA10" i="8" s="1"/>
  <c r="M11" i="8" a="1"/>
  <c r="M11" i="8" s="1"/>
  <c r="W12" i="8" a="1"/>
  <c r="W12" i="8" s="1"/>
  <c r="K13" i="8" a="1"/>
  <c r="K13" i="8" s="1"/>
  <c r="V13" i="8" a="1"/>
  <c r="V13" i="8" s="1"/>
  <c r="I14" i="8" a="1"/>
  <c r="I14" i="8" s="1"/>
  <c r="K15" i="8" a="1"/>
  <c r="K15" i="8" s="1"/>
  <c r="X15" i="8" a="1"/>
  <c r="X15" i="8" s="1"/>
  <c r="P16" i="8" a="1"/>
  <c r="P16" i="8" s="1"/>
  <c r="Z17" i="8" a="1"/>
  <c r="Z17" i="8" s="1"/>
  <c r="U18" i="8" a="1"/>
  <c r="U18" i="8" s="1"/>
  <c r="P19" i="8" a="1"/>
  <c r="P19" i="8" s="1"/>
  <c r="M20" i="8" a="1"/>
  <c r="M20" i="8" s="1"/>
  <c r="P21" i="8" a="1"/>
  <c r="P21" i="8" s="1"/>
  <c r="U23" i="8" a="1"/>
  <c r="U23" i="8" s="1"/>
  <c r="N170" i="8" a="1"/>
  <c r="N170" i="8" s="1"/>
  <c r="Z169" i="8" a="1"/>
  <c r="Z169" i="8" s="1"/>
  <c r="R169" i="8" a="1"/>
  <c r="R169" i="8" s="1"/>
  <c r="I169" i="8" a="1"/>
  <c r="I169" i="8" s="1"/>
  <c r="V168" i="8" a="1"/>
  <c r="V168" i="8" s="1"/>
  <c r="F168" i="8" a="1"/>
  <c r="F168" i="8" s="1"/>
  <c r="V167" i="8" a="1"/>
  <c r="V167" i="8" s="1"/>
  <c r="N167" i="8" a="1"/>
  <c r="N167" i="8" s="1"/>
  <c r="O166" i="8" a="1"/>
  <c r="O166" i="8" s="1"/>
  <c r="J165" i="8" a="1"/>
  <c r="J165" i="8" s="1"/>
  <c r="X164" i="8" a="1"/>
  <c r="X164" i="8" s="1"/>
  <c r="O163" i="8" a="1"/>
  <c r="O163" i="8" s="1"/>
  <c r="T161" i="8" a="1"/>
  <c r="T161" i="8" s="1"/>
  <c r="M170" i="8" a="1"/>
  <c r="M170" i="8" s="1"/>
  <c r="U168" i="8" a="1"/>
  <c r="U168" i="8" s="1"/>
  <c r="E168" i="8" a="1"/>
  <c r="E168" i="8" s="1"/>
  <c r="E167" i="8" a="1"/>
  <c r="E167" i="8" s="1"/>
  <c r="N166" i="8" a="1"/>
  <c r="N166" i="8" s="1"/>
  <c r="Z165" i="8" a="1"/>
  <c r="Z165" i="8" s="1"/>
  <c r="R165" i="8" a="1"/>
  <c r="R165" i="8" s="1"/>
  <c r="I164" i="8" a="1"/>
  <c r="I164" i="8" s="1"/>
  <c r="W163" i="8" a="1"/>
  <c r="W163" i="8" s="1"/>
  <c r="F163" i="8" a="1"/>
  <c r="F163" i="8" s="1"/>
  <c r="R162" i="8" a="1"/>
  <c r="R162" i="8" s="1"/>
  <c r="AB170" i="8" a="1"/>
  <c r="AB170" i="8" s="1"/>
  <c r="L170" i="8" a="1"/>
  <c r="L170" i="8" s="1"/>
  <c r="Y169" i="8" a="1"/>
  <c r="Y169" i="8" s="1"/>
  <c r="Q169" i="8" a="1"/>
  <c r="Q169" i="8" s="1"/>
  <c r="H169" i="8" a="1"/>
  <c r="H169" i="8" s="1"/>
  <c r="T168" i="8" a="1"/>
  <c r="T168" i="8" s="1"/>
  <c r="U167" i="8" a="1"/>
  <c r="U167" i="8" s="1"/>
  <c r="M167" i="8" a="1"/>
  <c r="M167" i="8" s="1"/>
  <c r="M166" i="8" a="1"/>
  <c r="M166" i="8" s="1"/>
  <c r="Q165" i="8" a="1"/>
  <c r="Q165" i="8" s="1"/>
  <c r="H164" i="8" a="1"/>
  <c r="H164" i="8" s="1"/>
  <c r="N163" i="8" a="1"/>
  <c r="N163" i="8" s="1"/>
  <c r="AA170" i="8" a="1"/>
  <c r="AA170" i="8" s="1"/>
  <c r="K170" i="8" a="1"/>
  <c r="K170" i="8" s="1"/>
  <c r="G169" i="8" a="1"/>
  <c r="G169" i="8" s="1"/>
  <c r="S168" i="8" a="1"/>
  <c r="S168" i="8" s="1"/>
  <c r="AB166" i="8" a="1"/>
  <c r="AB166" i="8" s="1"/>
  <c r="L166" i="8" a="1"/>
  <c r="L166" i="8" s="1"/>
  <c r="Y165" i="8" a="1"/>
  <c r="Y165" i="8" s="1"/>
  <c r="H165" i="8" a="1"/>
  <c r="H165" i="8" s="1"/>
  <c r="U164" i="8" a="1"/>
  <c r="U164" i="8" s="1"/>
  <c r="V163" i="8" a="1"/>
  <c r="V163" i="8" s="1"/>
  <c r="E163" i="8" a="1"/>
  <c r="E163" i="8" s="1"/>
  <c r="P162" i="8" a="1"/>
  <c r="P162" i="8" s="1"/>
  <c r="R161" i="8" a="1"/>
  <c r="R161" i="8" s="1"/>
  <c r="Z170" i="8" a="1"/>
  <c r="Z170" i="8" s="1"/>
  <c r="J170" i="8" a="1"/>
  <c r="J170" i="8" s="1"/>
  <c r="X169" i="8" a="1"/>
  <c r="X169" i="8" s="1"/>
  <c r="P169" i="8" a="1"/>
  <c r="P169" i="8" s="1"/>
  <c r="R168" i="8" a="1"/>
  <c r="R168" i="8" s="1"/>
  <c r="AB167" i="8" a="1"/>
  <c r="AB167" i="8" s="1"/>
  <c r="T167" i="8" a="1"/>
  <c r="T167" i="8" s="1"/>
  <c r="L167" i="8" a="1"/>
  <c r="L167" i="8" s="1"/>
  <c r="AA166" i="8" a="1"/>
  <c r="AA166" i="8" s="1"/>
  <c r="K166" i="8" a="1"/>
  <c r="K166" i="8" s="1"/>
  <c r="P165" i="8" a="1"/>
  <c r="P165" i="8" s="1"/>
  <c r="T164" i="8" a="1"/>
  <c r="T164" i="8" s="1"/>
  <c r="M163" i="8" a="1"/>
  <c r="M163" i="8" s="1"/>
  <c r="Y170" i="8" a="1"/>
  <c r="Y170" i="8" s="1"/>
  <c r="I170" i="8" a="1"/>
  <c r="I170" i="8" s="1"/>
  <c r="O169" i="8" a="1"/>
  <c r="O169" i="8" s="1"/>
  <c r="F169" i="8" a="1"/>
  <c r="F169" i="8" s="1"/>
  <c r="Q168" i="8" a="1"/>
  <c r="Q168" i="8" s="1"/>
  <c r="Z166" i="8" a="1"/>
  <c r="Z166" i="8" s="1"/>
  <c r="J166" i="8" a="1"/>
  <c r="J166" i="8" s="1"/>
  <c r="X165" i="8" a="1"/>
  <c r="X165" i="8" s="1"/>
  <c r="G165" i="8" a="1"/>
  <c r="G165" i="8" s="1"/>
  <c r="S164" i="8" a="1"/>
  <c r="S164" i="8" s="1"/>
  <c r="U163" i="8" a="1"/>
  <c r="U163" i="8" s="1"/>
  <c r="AB162" i="8" a="1"/>
  <c r="AB162" i="8" s="1"/>
  <c r="N162" i="8" a="1"/>
  <c r="N162" i="8" s="1"/>
  <c r="X170" i="8" a="1"/>
  <c r="X170" i="8" s="1"/>
  <c r="H170" i="8" a="1"/>
  <c r="H170" i="8" s="1"/>
  <c r="W169" i="8" a="1"/>
  <c r="W169" i="8" s="1"/>
  <c r="P168" i="8" a="1"/>
  <c r="P168" i="8" s="1"/>
  <c r="AA167" i="8" a="1"/>
  <c r="AA167" i="8" s="1"/>
  <c r="S167" i="8" a="1"/>
  <c r="S167" i="8" s="1"/>
  <c r="K167" i="8" a="1"/>
  <c r="K167" i="8" s="1"/>
  <c r="Y166" i="8" a="1"/>
  <c r="Y166" i="8" s="1"/>
  <c r="I166" i="8" a="1"/>
  <c r="I166" i="8" s="1"/>
  <c r="O165" i="8" a="1"/>
  <c r="O165" i="8" s="1"/>
  <c r="R164" i="8" a="1"/>
  <c r="R164" i="8" s="1"/>
  <c r="L163" i="8" a="1"/>
  <c r="L163" i="8" s="1"/>
  <c r="W170" i="8" a="1"/>
  <c r="W170" i="8" s="1"/>
  <c r="G170" i="8" a="1"/>
  <c r="G170" i="8" s="1"/>
  <c r="N169" i="8" a="1"/>
  <c r="N169" i="8" s="1"/>
  <c r="E169" i="8" a="1"/>
  <c r="E169" i="8" s="1"/>
  <c r="O168" i="8" a="1"/>
  <c r="O168" i="8" s="1"/>
  <c r="X166" i="8" a="1"/>
  <c r="X166" i="8" s="1"/>
  <c r="H166" i="8" a="1"/>
  <c r="H166" i="8" s="1"/>
  <c r="W165" i="8" a="1"/>
  <c r="W165" i="8" s="1"/>
  <c r="T163" i="8" a="1"/>
  <c r="T163" i="8" s="1"/>
  <c r="L162" i="8" a="1"/>
  <c r="L162" i="8" s="1"/>
  <c r="P161" i="8" a="1"/>
  <c r="P161" i="8" s="1"/>
  <c r="T160" i="8" a="1"/>
  <c r="T160" i="8" s="1"/>
  <c r="V170" i="8" a="1"/>
  <c r="V170" i="8" s="1"/>
  <c r="F170" i="8" a="1"/>
  <c r="F170" i="8" s="1"/>
  <c r="V169" i="8" a="1"/>
  <c r="V169" i="8" s="1"/>
  <c r="N168" i="8" a="1"/>
  <c r="N168" i="8" s="1"/>
  <c r="Z167" i="8" a="1"/>
  <c r="Z167" i="8" s="1"/>
  <c r="R167" i="8" a="1"/>
  <c r="R167" i="8" s="1"/>
  <c r="J167" i="8" a="1"/>
  <c r="J167" i="8" s="1"/>
  <c r="W166" i="8" a="1"/>
  <c r="W166" i="8" s="1"/>
  <c r="G166" i="8" a="1"/>
  <c r="G166" i="8" s="1"/>
  <c r="N165" i="8" a="1"/>
  <c r="N165" i="8" s="1"/>
  <c r="Q164" i="8" a="1"/>
  <c r="Q164" i="8" s="1"/>
  <c r="AB163" i="8" a="1"/>
  <c r="AB163" i="8" s="1"/>
  <c r="K163" i="8" a="1"/>
  <c r="K163" i="8" s="1"/>
  <c r="U170" i="8" a="1"/>
  <c r="U170" i="8" s="1"/>
  <c r="E170" i="8" a="1"/>
  <c r="E170" i="8" s="1"/>
  <c r="M169" i="8" a="1"/>
  <c r="M169" i="8" s="1"/>
  <c r="AB168" i="8" a="1"/>
  <c r="AB168" i="8" s="1"/>
  <c r="M168" i="8" a="1"/>
  <c r="M168" i="8" s="1"/>
  <c r="V166" i="8" a="1"/>
  <c r="V166" i="8" s="1"/>
  <c r="F166" i="8" a="1"/>
  <c r="F166" i="8" s="1"/>
  <c r="V165" i="8" a="1"/>
  <c r="V165" i="8" s="1"/>
  <c r="P164" i="8" a="1"/>
  <c r="P164" i="8" s="1"/>
  <c r="S163" i="8" a="1"/>
  <c r="S163" i="8" s="1"/>
  <c r="Y162" i="8" a="1"/>
  <c r="Y162" i="8" s="1"/>
  <c r="J162" i="8" a="1"/>
  <c r="J162" i="8" s="1"/>
  <c r="T170" i="8" a="1"/>
  <c r="T170" i="8" s="1"/>
  <c r="U169" i="8" a="1"/>
  <c r="U169" i="8" s="1"/>
  <c r="L169" i="8" a="1"/>
  <c r="L169" i="8" s="1"/>
  <c r="AA168" i="8" a="1"/>
  <c r="AA168" i="8" s="1"/>
  <c r="L168" i="8" a="1"/>
  <c r="L168" i="8" s="1"/>
  <c r="Y167" i="8" a="1"/>
  <c r="Y167" i="8" s="1"/>
  <c r="Q167" i="8" a="1"/>
  <c r="Q167" i="8" s="1"/>
  <c r="I167" i="8" a="1"/>
  <c r="I167" i="8" s="1"/>
  <c r="U166" i="8" a="1"/>
  <c r="U166" i="8" s="1"/>
  <c r="E166" i="8" a="1"/>
  <c r="E166" i="8" s="1"/>
  <c r="M165" i="8" a="1"/>
  <c r="M165" i="8" s="1"/>
  <c r="O164" i="8" a="1"/>
  <c r="O164" i="8" s="1"/>
  <c r="AA163" i="8" a="1"/>
  <c r="AA163" i="8" s="1"/>
  <c r="S170" i="8" a="1"/>
  <c r="S170" i="8" s="1"/>
  <c r="Z168" i="8" a="1"/>
  <c r="Z168" i="8" s="1"/>
  <c r="K168" i="8" a="1"/>
  <c r="K168" i="8" s="1"/>
  <c r="H167" i="8" a="1"/>
  <c r="H167" i="8" s="1"/>
  <c r="T166" i="8" a="1"/>
  <c r="T166" i="8" s="1"/>
  <c r="U165" i="8" a="1"/>
  <c r="U165" i="8" s="1"/>
  <c r="AB164" i="8" a="1"/>
  <c r="AB164" i="8" s="1"/>
  <c r="Z163" i="8" a="1"/>
  <c r="Z163" i="8" s="1"/>
  <c r="W162" i="8" a="1"/>
  <c r="W162" i="8" s="1"/>
  <c r="R170" i="8" a="1"/>
  <c r="R170" i="8" s="1"/>
  <c r="AB169" i="8" a="1"/>
  <c r="AB169" i="8" s="1"/>
  <c r="T169" i="8" a="1"/>
  <c r="T169" i="8" s="1"/>
  <c r="K169" i="8" a="1"/>
  <c r="K169" i="8" s="1"/>
  <c r="J168" i="8" a="1"/>
  <c r="J168" i="8" s="1"/>
  <c r="X167" i="8" a="1"/>
  <c r="X167" i="8" s="1"/>
  <c r="P167" i="8" a="1"/>
  <c r="P167" i="8" s="1"/>
  <c r="L165" i="8" a="1"/>
  <c r="L165" i="8" s="1"/>
  <c r="AA164" i="8" a="1"/>
  <c r="AA164" i="8" s="1"/>
  <c r="M164" i="8" a="1"/>
  <c r="M164" i="8" s="1"/>
  <c r="Q163" i="8" a="1"/>
  <c r="Q163" i="8" s="1"/>
  <c r="V162" i="8" a="1"/>
  <c r="V162" i="8" s="1"/>
  <c r="Q170" i="8" a="1"/>
  <c r="Q170" i="8" s="1"/>
  <c r="Y168" i="8" a="1"/>
  <c r="Y168" i="8" s="1"/>
  <c r="I168" i="8" a="1"/>
  <c r="I168" i="8" s="1"/>
  <c r="G167" i="8" a="1"/>
  <c r="G167" i="8" s="1"/>
  <c r="R166" i="8" a="1"/>
  <c r="R166" i="8" s="1"/>
  <c r="AB165" i="8" a="1"/>
  <c r="AB165" i="8" s="1"/>
  <c r="T165" i="8" a="1"/>
  <c r="T165" i="8" s="1"/>
  <c r="Z164" i="8" a="1"/>
  <c r="Z164" i="8" s="1"/>
  <c r="L164" i="8" a="1"/>
  <c r="L164" i="8" s="1"/>
  <c r="Y163" i="8" a="1"/>
  <c r="Y163" i="8" s="1"/>
  <c r="H163" i="8" a="1"/>
  <c r="H163" i="8" s="1"/>
  <c r="U162" i="8" a="1"/>
  <c r="U162" i="8" s="1"/>
  <c r="F162" i="8" a="1"/>
  <c r="F162" i="8" s="1"/>
  <c r="P170" i="8" a="1"/>
  <c r="P170" i="8" s="1"/>
  <c r="AA169" i="8" a="1"/>
  <c r="AA169" i="8" s="1"/>
  <c r="S169" i="8" a="1"/>
  <c r="S169" i="8" s="1"/>
  <c r="J169" i="8" a="1"/>
  <c r="J169" i="8" s="1"/>
  <c r="X168" i="8" a="1"/>
  <c r="X168" i="8" s="1"/>
  <c r="H168" i="8" a="1"/>
  <c r="H168" i="8" s="1"/>
  <c r="W167" i="8" a="1"/>
  <c r="W167" i="8" s="1"/>
  <c r="O167" i="8" a="1"/>
  <c r="O167" i="8" s="1"/>
  <c r="Q166" i="8" a="1"/>
  <c r="Q166" i="8" s="1"/>
  <c r="K165" i="8" a="1"/>
  <c r="K165" i="8" s="1"/>
  <c r="K164" i="8" a="1"/>
  <c r="K164" i="8" s="1"/>
  <c r="Z162" i="8" a="1"/>
  <c r="Z162" i="8" s="1"/>
  <c r="Y161" i="8" a="1"/>
  <c r="Y161" i="8" s="1"/>
  <c r="N161" i="8" a="1"/>
  <c r="N161" i="8" s="1"/>
  <c r="E161" i="8" a="1"/>
  <c r="E161" i="8" s="1"/>
  <c r="O160" i="8" a="1"/>
  <c r="O160" i="8" s="1"/>
  <c r="Z159" i="8" a="1"/>
  <c r="Z159" i="8" s="1"/>
  <c r="I159" i="8" a="1"/>
  <c r="I159" i="8" s="1"/>
  <c r="V158" i="8" a="1"/>
  <c r="V158" i="8" s="1"/>
  <c r="G158" i="8" a="1"/>
  <c r="G158" i="8" s="1"/>
  <c r="N157" i="8" a="1"/>
  <c r="N157" i="8" s="1"/>
  <c r="AB156" i="8" a="1"/>
  <c r="AB156" i="8" s="1"/>
  <c r="O156" i="8" a="1"/>
  <c r="O156" i="8" s="1"/>
  <c r="R155" i="8" a="1"/>
  <c r="R155" i="8" s="1"/>
  <c r="V154" i="8" a="1"/>
  <c r="V154" i="8" s="1"/>
  <c r="H154" i="8" a="1"/>
  <c r="H154" i="8" s="1"/>
  <c r="V153" i="8" a="1"/>
  <c r="V153" i="8" s="1"/>
  <c r="M153" i="8" a="1"/>
  <c r="M153" i="8" s="1"/>
  <c r="M152" i="8" a="1"/>
  <c r="M152" i="8" s="1"/>
  <c r="Z151" i="8" a="1"/>
  <c r="Z151" i="8" s="1"/>
  <c r="I151" i="8" a="1"/>
  <c r="I151" i="8" s="1"/>
  <c r="U150" i="8" a="1"/>
  <c r="U150" i="8" s="1"/>
  <c r="G150" i="8" a="1"/>
  <c r="G150" i="8" s="1"/>
  <c r="V149" i="8" a="1"/>
  <c r="V149" i="8" s="1"/>
  <c r="N148" i="8" a="1"/>
  <c r="N148" i="8" s="1"/>
  <c r="AA147" i="8" a="1"/>
  <c r="AA147" i="8" s="1"/>
  <c r="R147" i="8" a="1"/>
  <c r="R147" i="8" s="1"/>
  <c r="W146" i="8" a="1"/>
  <c r="W146" i="8" s="1"/>
  <c r="I146" i="8" a="1"/>
  <c r="I146" i="8" s="1"/>
  <c r="X145" i="8" a="1"/>
  <c r="X145" i="8" s="1"/>
  <c r="P145" i="8" a="1"/>
  <c r="P145" i="8" s="1"/>
  <c r="U144" i="8" a="1"/>
  <c r="U144" i="8" s="1"/>
  <c r="G144" i="8" a="1"/>
  <c r="G144" i="8" s="1"/>
  <c r="N143" i="8" a="1"/>
  <c r="N143" i="8" s="1"/>
  <c r="E143" i="8" a="1"/>
  <c r="E143" i="8" s="1"/>
  <c r="AB141" i="8" a="1"/>
  <c r="AB141" i="8" s="1"/>
  <c r="T141" i="8" a="1"/>
  <c r="T141" i="8" s="1"/>
  <c r="Z140" i="8" a="1"/>
  <c r="Z140" i="8" s="1"/>
  <c r="M140" i="8" a="1"/>
  <c r="M140" i="8" s="1"/>
  <c r="Z139" i="8" a="1"/>
  <c r="Z139" i="8" s="1"/>
  <c r="I139" i="8" a="1"/>
  <c r="I139" i="8" s="1"/>
  <c r="X138" i="8" a="1"/>
  <c r="X138" i="8" s="1"/>
  <c r="L138" i="8" a="1"/>
  <c r="L138" i="8" s="1"/>
  <c r="Q137" i="8" a="1"/>
  <c r="Q137" i="8" s="1"/>
  <c r="H137" i="8" a="1"/>
  <c r="H137" i="8" s="1"/>
  <c r="K136" i="8" a="1"/>
  <c r="K136" i="8" s="1"/>
  <c r="Y135" i="8" a="1"/>
  <c r="Y135" i="8" s="1"/>
  <c r="U134" i="8" a="1"/>
  <c r="U134" i="8" s="1"/>
  <c r="H134" i="8" a="1"/>
  <c r="H134" i="8" s="1"/>
  <c r="G133" i="8" a="1"/>
  <c r="G133" i="8" s="1"/>
  <c r="G132" i="8" a="1"/>
  <c r="G132" i="8" s="1"/>
  <c r="N131" i="8" a="1"/>
  <c r="N131" i="8" s="1"/>
  <c r="Q130" i="8" a="1"/>
  <c r="Q130" i="8" s="1"/>
  <c r="X162" i="8" a="1"/>
  <c r="X162" i="8" s="1"/>
  <c r="X161" i="8" a="1"/>
  <c r="X161" i="8" s="1"/>
  <c r="N160" i="8" a="1"/>
  <c r="N160" i="8" s="1"/>
  <c r="Q159" i="8" a="1"/>
  <c r="Q159" i="8" s="1"/>
  <c r="H159" i="8" a="1"/>
  <c r="H159" i="8" s="1"/>
  <c r="U158" i="8" a="1"/>
  <c r="U158" i="8" s="1"/>
  <c r="F158" i="8" a="1"/>
  <c r="F158" i="8" s="1"/>
  <c r="V157" i="8" a="1"/>
  <c r="V157" i="8" s="1"/>
  <c r="M157" i="8" a="1"/>
  <c r="M157" i="8" s="1"/>
  <c r="AA156" i="8" a="1"/>
  <c r="AA156" i="8" s="1"/>
  <c r="N156" i="8" a="1"/>
  <c r="N156" i="8" s="1"/>
  <c r="AA155" i="8" a="1"/>
  <c r="AA155" i="8" s="1"/>
  <c r="H155" i="8" a="1"/>
  <c r="H155" i="8" s="1"/>
  <c r="U154" i="8" a="1"/>
  <c r="U154" i="8" s="1"/>
  <c r="G154" i="8" a="1"/>
  <c r="G154" i="8" s="1"/>
  <c r="L153" i="8" a="1"/>
  <c r="L153" i="8" s="1"/>
  <c r="AA152" i="8" a="1"/>
  <c r="AA152" i="8" s="1"/>
  <c r="L152" i="8" a="1"/>
  <c r="L152" i="8" s="1"/>
  <c r="Q151" i="8" a="1"/>
  <c r="Q151" i="8" s="1"/>
  <c r="H151" i="8" a="1"/>
  <c r="H151" i="8" s="1"/>
  <c r="F150" i="8" a="1"/>
  <c r="F150" i="8" s="1"/>
  <c r="M149" i="8" a="1"/>
  <c r="M149" i="8" s="1"/>
  <c r="AB148" i="8" a="1"/>
  <c r="AB148" i="8" s="1"/>
  <c r="Z147" i="8" a="1"/>
  <c r="Z147" i="8" s="1"/>
  <c r="I147" i="8" a="1"/>
  <c r="I147" i="8" s="1"/>
  <c r="H146" i="8" a="1"/>
  <c r="H146" i="8" s="1"/>
  <c r="G145" i="8" a="1"/>
  <c r="G145" i="8" s="1"/>
  <c r="T144" i="8" a="1"/>
  <c r="T144" i="8" s="1"/>
  <c r="F144" i="8" a="1"/>
  <c r="F144" i="8" s="1"/>
  <c r="V143" i="8" a="1"/>
  <c r="V143" i="8" s="1"/>
  <c r="P142" i="8" a="1"/>
  <c r="P142" i="8" s="1"/>
  <c r="K141" i="8" a="1"/>
  <c r="K141" i="8" s="1"/>
  <c r="L140" i="8" a="1"/>
  <c r="L140" i="8" s="1"/>
  <c r="Q139" i="8" a="1"/>
  <c r="Q139" i="8" s="1"/>
  <c r="W138" i="8" a="1"/>
  <c r="W138" i="8" s="1"/>
  <c r="K138" i="8" a="1"/>
  <c r="K138" i="8" s="1"/>
  <c r="Y137" i="8" a="1"/>
  <c r="Y137" i="8" s="1"/>
  <c r="V136" i="8" a="1"/>
  <c r="V136" i="8" s="1"/>
  <c r="J136" i="8" a="1"/>
  <c r="J136" i="8" s="1"/>
  <c r="P135" i="8" a="1"/>
  <c r="P135" i="8" s="1"/>
  <c r="G135" i="8" a="1"/>
  <c r="G135" i="8" s="1"/>
  <c r="G134" i="8" a="1"/>
  <c r="G134" i="8" s="1"/>
  <c r="W133" i="8" a="1"/>
  <c r="W133" i="8" s="1"/>
  <c r="O133" i="8" a="1"/>
  <c r="O133" i="8" s="1"/>
  <c r="S132" i="8" a="1"/>
  <c r="S132" i="8" s="1"/>
  <c r="F132" i="8" a="1"/>
  <c r="F132" i="8" s="1"/>
  <c r="V131" i="8" a="1"/>
  <c r="V131" i="8" s="1"/>
  <c r="E131" i="8" a="1"/>
  <c r="E131" i="8" s="1"/>
  <c r="T162" i="8" a="1"/>
  <c r="T162" i="8" s="1"/>
  <c r="M161" i="8" a="1"/>
  <c r="M161" i="8" s="1"/>
  <c r="AB160" i="8" a="1"/>
  <c r="AB160" i="8" s="1"/>
  <c r="M160" i="8" a="1"/>
  <c r="M160" i="8" s="1"/>
  <c r="Y159" i="8" a="1"/>
  <c r="Y159" i="8" s="1"/>
  <c r="E158" i="8" a="1"/>
  <c r="E158" i="8" s="1"/>
  <c r="U157" i="8" a="1"/>
  <c r="U157" i="8" s="1"/>
  <c r="Z156" i="8" a="1"/>
  <c r="Z156" i="8" s="1"/>
  <c r="Z155" i="8" a="1"/>
  <c r="Z155" i="8" s="1"/>
  <c r="Q155" i="8" a="1"/>
  <c r="Q155" i="8" s="1"/>
  <c r="T154" i="8" a="1"/>
  <c r="T154" i="8" s="1"/>
  <c r="F154" i="8" a="1"/>
  <c r="F154" i="8" s="1"/>
  <c r="U153" i="8" a="1"/>
  <c r="U153" i="8" s="1"/>
  <c r="K153" i="8" a="1"/>
  <c r="K153" i="8" s="1"/>
  <c r="Z152" i="8" a="1"/>
  <c r="Z152" i="8" s="1"/>
  <c r="Y151" i="8" a="1"/>
  <c r="Y151" i="8" s="1"/>
  <c r="P151" i="8" a="1"/>
  <c r="P151" i="8" s="1"/>
  <c r="T150" i="8" a="1"/>
  <c r="T150" i="8" s="1"/>
  <c r="E150" i="8" a="1"/>
  <c r="E150" i="8" s="1"/>
  <c r="U149" i="8" a="1"/>
  <c r="U149" i="8" s="1"/>
  <c r="AA148" i="8" a="1"/>
  <c r="AA148" i="8" s="1"/>
  <c r="M148" i="8" a="1"/>
  <c r="M148" i="8" s="1"/>
  <c r="Q147" i="8" a="1"/>
  <c r="Q147" i="8" s="1"/>
  <c r="V146" i="8" a="1"/>
  <c r="V146" i="8" s="1"/>
  <c r="G146" i="8" a="1"/>
  <c r="G146" i="8" s="1"/>
  <c r="W145" i="8" a="1"/>
  <c r="W145" i="8" s="1"/>
  <c r="O145" i="8" a="1"/>
  <c r="O145" i="8" s="1"/>
  <c r="S144" i="8" a="1"/>
  <c r="S144" i="8" s="1"/>
  <c r="E144" i="8" a="1"/>
  <c r="E144" i="8" s="1"/>
  <c r="M143" i="8" a="1"/>
  <c r="M143" i="8" s="1"/>
  <c r="AB142" i="8" a="1"/>
  <c r="AB142" i="8" s="1"/>
  <c r="O142" i="8" a="1"/>
  <c r="O142" i="8" s="1"/>
  <c r="AA141" i="8" a="1"/>
  <c r="AA141" i="8" s="1"/>
  <c r="S141" i="8" a="1"/>
  <c r="S141" i="8" s="1"/>
  <c r="J141" i="8" a="1"/>
  <c r="J141" i="8" s="1"/>
  <c r="Y140" i="8" a="1"/>
  <c r="Y140" i="8" s="1"/>
  <c r="K140" i="8" a="1"/>
  <c r="K140" i="8" s="1"/>
  <c r="Y139" i="8" a="1"/>
  <c r="Y139" i="8" s="1"/>
  <c r="H139" i="8" a="1"/>
  <c r="H139" i="8" s="1"/>
  <c r="V138" i="8" a="1"/>
  <c r="V138" i="8" s="1"/>
  <c r="P137" i="8" a="1"/>
  <c r="P137" i="8" s="1"/>
  <c r="G137" i="8" a="1"/>
  <c r="G137" i="8" s="1"/>
  <c r="I136" i="8" a="1"/>
  <c r="I136" i="8" s="1"/>
  <c r="X135" i="8" a="1"/>
  <c r="X135" i="8" s="1"/>
  <c r="T134" i="8" a="1"/>
  <c r="T134" i="8" s="1"/>
  <c r="N133" i="8" a="1"/>
  <c r="N133" i="8" s="1"/>
  <c r="R132" i="8" a="1"/>
  <c r="R132" i="8" s="1"/>
  <c r="M131" i="8" a="1"/>
  <c r="M131" i="8" s="1"/>
  <c r="P130" i="8" a="1"/>
  <c r="P130" i="8" s="1"/>
  <c r="T129" i="8" a="1"/>
  <c r="T129" i="8" s="1"/>
  <c r="M128" i="8" a="1"/>
  <c r="M128" i="8" s="1"/>
  <c r="R127" i="8" a="1"/>
  <c r="R127" i="8" s="1"/>
  <c r="J164" i="8" a="1"/>
  <c r="J164" i="8" s="1"/>
  <c r="W161" i="8" a="1"/>
  <c r="W161" i="8" s="1"/>
  <c r="L160" i="8" a="1"/>
  <c r="L160" i="8" s="1"/>
  <c r="P159" i="8" a="1"/>
  <c r="P159" i="8" s="1"/>
  <c r="G159" i="8" a="1"/>
  <c r="G159" i="8" s="1"/>
  <c r="T158" i="8" a="1"/>
  <c r="T158" i="8" s="1"/>
  <c r="L157" i="8" a="1"/>
  <c r="L157" i="8" s="1"/>
  <c r="M156" i="8" a="1"/>
  <c r="M156" i="8" s="1"/>
  <c r="G155" i="8" a="1"/>
  <c r="G155" i="8" s="1"/>
  <c r="S154" i="8" a="1"/>
  <c r="S154" i="8" s="1"/>
  <c r="E154" i="8" a="1"/>
  <c r="E154" i="8" s="1"/>
  <c r="Y152" i="8" a="1"/>
  <c r="Y152" i="8" s="1"/>
  <c r="K152" i="8" a="1"/>
  <c r="K152" i="8" s="1"/>
  <c r="X151" i="8" a="1"/>
  <c r="X151" i="8" s="1"/>
  <c r="G151" i="8" a="1"/>
  <c r="G151" i="8" s="1"/>
  <c r="L149" i="8" a="1"/>
  <c r="L149" i="8" s="1"/>
  <c r="Z148" i="8" a="1"/>
  <c r="Z148" i="8" s="1"/>
  <c r="L148" i="8" a="1"/>
  <c r="L148" i="8" s="1"/>
  <c r="Y147" i="8" a="1"/>
  <c r="Y147" i="8" s="1"/>
  <c r="H147" i="8" a="1"/>
  <c r="H147" i="8" s="1"/>
  <c r="U146" i="8" a="1"/>
  <c r="U146" i="8" s="1"/>
  <c r="F145" i="8" a="1"/>
  <c r="F145" i="8" s="1"/>
  <c r="R144" i="8" a="1"/>
  <c r="R144" i="8" s="1"/>
  <c r="U143" i="8" a="1"/>
  <c r="U143" i="8" s="1"/>
  <c r="AA142" i="8" a="1"/>
  <c r="AA142" i="8" s="1"/>
  <c r="N142" i="8" a="1"/>
  <c r="N142" i="8" s="1"/>
  <c r="R141" i="8" a="1"/>
  <c r="R141" i="8" s="1"/>
  <c r="X140" i="8" a="1"/>
  <c r="X140" i="8" s="1"/>
  <c r="J140" i="8" a="1"/>
  <c r="J140" i="8" s="1"/>
  <c r="P139" i="8" a="1"/>
  <c r="P139" i="8" s="1"/>
  <c r="G139" i="8" a="1"/>
  <c r="G139" i="8" s="1"/>
  <c r="J138" i="8" a="1"/>
  <c r="J138" i="8" s="1"/>
  <c r="X137" i="8" a="1"/>
  <c r="X137" i="8" s="1"/>
  <c r="U136" i="8" a="1"/>
  <c r="U136" i="8" s="1"/>
  <c r="H136" i="8" a="1"/>
  <c r="H136" i="8" s="1"/>
  <c r="O135" i="8" a="1"/>
  <c r="O135" i="8" s="1"/>
  <c r="F135" i="8" a="1"/>
  <c r="F135" i="8" s="1"/>
  <c r="S134" i="8" a="1"/>
  <c r="S134" i="8" s="1"/>
  <c r="F134" i="8" a="1"/>
  <c r="F134" i="8" s="1"/>
  <c r="V133" i="8" a="1"/>
  <c r="V133" i="8" s="1"/>
  <c r="Q132" i="8" a="1"/>
  <c r="Q132" i="8" s="1"/>
  <c r="E132" i="8" a="1"/>
  <c r="E132" i="8" s="1"/>
  <c r="U131" i="8" a="1"/>
  <c r="U131" i="8" s="1"/>
  <c r="AB130" i="8" a="1"/>
  <c r="AB130" i="8" s="1"/>
  <c r="O130" i="8" a="1"/>
  <c r="O130" i="8" s="1"/>
  <c r="AB129" i="8" a="1"/>
  <c r="AB129" i="8" s="1"/>
  <c r="Y128" i="8" a="1"/>
  <c r="Y128" i="8" s="1"/>
  <c r="Q162" i="8" a="1"/>
  <c r="Q162" i="8" s="1"/>
  <c r="L161" i="8" a="1"/>
  <c r="L161" i="8" s="1"/>
  <c r="AA160" i="8" a="1"/>
  <c r="AA160" i="8" s="1"/>
  <c r="K160" i="8" a="1"/>
  <c r="K160" i="8" s="1"/>
  <c r="X159" i="8" a="1"/>
  <c r="X159" i="8" s="1"/>
  <c r="S158" i="8" a="1"/>
  <c r="S158" i="8" s="1"/>
  <c r="T157" i="8" a="1"/>
  <c r="T157" i="8" s="1"/>
  <c r="Y156" i="8" a="1"/>
  <c r="Y156" i="8" s="1"/>
  <c r="L156" i="8" a="1"/>
  <c r="L156" i="8" s="1"/>
  <c r="Y155" i="8" a="1"/>
  <c r="Y155" i="8" s="1"/>
  <c r="P155" i="8" a="1"/>
  <c r="P155" i="8" s="1"/>
  <c r="F155" i="8" a="1"/>
  <c r="F155" i="8" s="1"/>
  <c r="T153" i="8" a="1"/>
  <c r="T153" i="8" s="1"/>
  <c r="J153" i="8" a="1"/>
  <c r="J153" i="8" s="1"/>
  <c r="X152" i="8" a="1"/>
  <c r="X152" i="8" s="1"/>
  <c r="J152" i="8" a="1"/>
  <c r="J152" i="8" s="1"/>
  <c r="O151" i="8" a="1"/>
  <c r="O151" i="8" s="1"/>
  <c r="R150" i="8" a="1"/>
  <c r="R150" i="8" s="1"/>
  <c r="T149" i="8" a="1"/>
  <c r="T149" i="8" s="1"/>
  <c r="Y148" i="8" a="1"/>
  <c r="Y148" i="8" s="1"/>
  <c r="K148" i="8" a="1"/>
  <c r="K148" i="8" s="1"/>
  <c r="P147" i="8" a="1"/>
  <c r="P147" i="8" s="1"/>
  <c r="G147" i="8" a="1"/>
  <c r="G147" i="8" s="1"/>
  <c r="T146" i="8" a="1"/>
  <c r="T146" i="8" s="1"/>
  <c r="F146" i="8" a="1"/>
  <c r="F146" i="8" s="1"/>
  <c r="V145" i="8" a="1"/>
  <c r="V145" i="8" s="1"/>
  <c r="N145" i="8" a="1"/>
  <c r="N145" i="8" s="1"/>
  <c r="Q144" i="8" a="1"/>
  <c r="Q144" i="8" s="1"/>
  <c r="L143" i="8" a="1"/>
  <c r="L143" i="8" s="1"/>
  <c r="M142" i="8" a="1"/>
  <c r="M142" i="8" s="1"/>
  <c r="Z141" i="8" a="1"/>
  <c r="Z141" i="8" s="1"/>
  <c r="I141" i="8" a="1"/>
  <c r="I141" i="8" s="1"/>
  <c r="W140" i="8" a="1"/>
  <c r="W140" i="8" s="1"/>
  <c r="X139" i="8" a="1"/>
  <c r="X139" i="8" s="1"/>
  <c r="U138" i="8" a="1"/>
  <c r="U138" i="8" s="1"/>
  <c r="I138" i="8" a="1"/>
  <c r="I138" i="8" s="1"/>
  <c r="O137" i="8" a="1"/>
  <c r="O137" i="8" s="1"/>
  <c r="F137" i="8" a="1"/>
  <c r="F137" i="8" s="1"/>
  <c r="T136" i="8" a="1"/>
  <c r="T136" i="8" s="1"/>
  <c r="G136" i="8" a="1"/>
  <c r="G136" i="8" s="1"/>
  <c r="W135" i="8" a="1"/>
  <c r="W135" i="8" s="1"/>
  <c r="E135" i="8" a="1"/>
  <c r="E135" i="8" s="1"/>
  <c r="R134" i="8" a="1"/>
  <c r="R134" i="8" s="1"/>
  <c r="E134" i="8" a="1"/>
  <c r="E134" i="8" s="1"/>
  <c r="M133" i="8" a="1"/>
  <c r="M133" i="8" s="1"/>
  <c r="P132" i="8" a="1"/>
  <c r="P132" i="8" s="1"/>
  <c r="L131" i="8" a="1"/>
  <c r="L131" i="8" s="1"/>
  <c r="AA130" i="8" a="1"/>
  <c r="AA130" i="8" s="1"/>
  <c r="S129" i="8" a="1"/>
  <c r="S129" i="8" s="1"/>
  <c r="J129" i="8" a="1"/>
  <c r="J129" i="8" s="1"/>
  <c r="X128" i="8" a="1"/>
  <c r="X128" i="8" s="1"/>
  <c r="K128" i="8" a="1"/>
  <c r="K128" i="8" s="1"/>
  <c r="Y127" i="8" a="1"/>
  <c r="Y127" i="8" s="1"/>
  <c r="H127" i="8" a="1"/>
  <c r="H127" i="8" s="1"/>
  <c r="W168" i="8" a="1"/>
  <c r="W168" i="8" s="1"/>
  <c r="O162" i="8" a="1"/>
  <c r="O162" i="8" s="1"/>
  <c r="V161" i="8" a="1"/>
  <c r="V161" i="8" s="1"/>
  <c r="K161" i="8" a="1"/>
  <c r="K161" i="8" s="1"/>
  <c r="Z160" i="8" a="1"/>
  <c r="Z160" i="8" s="1"/>
  <c r="J160" i="8" a="1"/>
  <c r="J160" i="8" s="1"/>
  <c r="O159" i="8" a="1"/>
  <c r="O159" i="8" s="1"/>
  <c r="F159" i="8" a="1"/>
  <c r="F159" i="8" s="1"/>
  <c r="R158" i="8" a="1"/>
  <c r="R158" i="8" s="1"/>
  <c r="AB157" i="8" a="1"/>
  <c r="AB157" i="8" s="1"/>
  <c r="K157" i="8" a="1"/>
  <c r="K157" i="8" s="1"/>
  <c r="X156" i="8" a="1"/>
  <c r="X156" i="8" s="1"/>
  <c r="K156" i="8" a="1"/>
  <c r="K156" i="8" s="1"/>
  <c r="R154" i="8" a="1"/>
  <c r="R154" i="8" s="1"/>
  <c r="S153" i="8" a="1"/>
  <c r="S153" i="8" s="1"/>
  <c r="W152" i="8" a="1"/>
  <c r="W152" i="8" s="1"/>
  <c r="I152" i="8" a="1"/>
  <c r="I152" i="8" s="1"/>
  <c r="W151" i="8" a="1"/>
  <c r="W151" i="8" s="1"/>
  <c r="F151" i="8" a="1"/>
  <c r="F151" i="8" s="1"/>
  <c r="AB149" i="8" a="1"/>
  <c r="AB149" i="8" s="1"/>
  <c r="K149" i="8" a="1"/>
  <c r="K149" i="8" s="1"/>
  <c r="X148" i="8" a="1"/>
  <c r="X148" i="8" s="1"/>
  <c r="J148" i="8" a="1"/>
  <c r="J148" i="8" s="1"/>
  <c r="X147" i="8" a="1"/>
  <c r="X147" i="8" s="1"/>
  <c r="S146" i="8" a="1"/>
  <c r="S146" i="8" s="1"/>
  <c r="E146" i="8" a="1"/>
  <c r="E146" i="8" s="1"/>
  <c r="E145" i="8" a="1"/>
  <c r="E145" i="8" s="1"/>
  <c r="P144" i="8" a="1"/>
  <c r="P144" i="8" s="1"/>
  <c r="AB143" i="8" a="1"/>
  <c r="AB143" i="8" s="1"/>
  <c r="T143" i="8" a="1"/>
  <c r="T143" i="8" s="1"/>
  <c r="Z142" i="8" a="1"/>
  <c r="Z142" i="8" s="1"/>
  <c r="L142" i="8" a="1"/>
  <c r="L142" i="8" s="1"/>
  <c r="Q141" i="8" a="1"/>
  <c r="Q141" i="8" s="1"/>
  <c r="V140" i="8" a="1"/>
  <c r="V140" i="8" s="1"/>
  <c r="I140" i="8" a="1"/>
  <c r="I140" i="8" s="1"/>
  <c r="O139" i="8" a="1"/>
  <c r="O139" i="8" s="1"/>
  <c r="F139" i="8" a="1"/>
  <c r="F139" i="8" s="1"/>
  <c r="H138" i="8" a="1"/>
  <c r="H138" i="8" s="1"/>
  <c r="W137" i="8" a="1"/>
  <c r="W137" i="8" s="1"/>
  <c r="F136" i="8" a="1"/>
  <c r="F136" i="8" s="1"/>
  <c r="N135" i="8" a="1"/>
  <c r="N135" i="8" s="1"/>
  <c r="Q134" i="8" a="1"/>
  <c r="Q134" i="8" s="1"/>
  <c r="U133" i="8" a="1"/>
  <c r="U133" i="8" s="1"/>
  <c r="AB132" i="8" a="1"/>
  <c r="AB132" i="8" s="1"/>
  <c r="T131" i="8" a="1"/>
  <c r="T131" i="8" s="1"/>
  <c r="Z130" i="8" a="1"/>
  <c r="Z130" i="8" s="1"/>
  <c r="N130" i="8" a="1"/>
  <c r="N130" i="8" s="1"/>
  <c r="AA129" i="8" a="1"/>
  <c r="AA129" i="8" s="1"/>
  <c r="J128" i="8" a="1"/>
  <c r="J128" i="8" s="1"/>
  <c r="P127" i="8" a="1"/>
  <c r="P127" i="8" s="1"/>
  <c r="T126" i="8" a="1"/>
  <c r="T126" i="8" s="1"/>
  <c r="G168" i="8" a="1"/>
  <c r="G168" i="8" s="1"/>
  <c r="X163" i="8" a="1"/>
  <c r="X163" i="8" s="1"/>
  <c r="M162" i="8" a="1"/>
  <c r="M162" i="8" s="1"/>
  <c r="U161" i="8" a="1"/>
  <c r="U161" i="8" s="1"/>
  <c r="Y160" i="8" a="1"/>
  <c r="Y160" i="8" s="1"/>
  <c r="I160" i="8" a="1"/>
  <c r="I160" i="8" s="1"/>
  <c r="W159" i="8" a="1"/>
  <c r="W159" i="8" s="1"/>
  <c r="Q158" i="8" a="1"/>
  <c r="Q158" i="8" s="1"/>
  <c r="S157" i="8" a="1"/>
  <c r="S157" i="8" s="1"/>
  <c r="J157" i="8" a="1"/>
  <c r="J157" i="8" s="1"/>
  <c r="W156" i="8" a="1"/>
  <c r="W156" i="8" s="1"/>
  <c r="J156" i="8" a="1"/>
  <c r="J156" i="8" s="1"/>
  <c r="X155" i="8" a="1"/>
  <c r="X155" i="8" s="1"/>
  <c r="O155" i="8" a="1"/>
  <c r="O155" i="8" s="1"/>
  <c r="E155" i="8" a="1"/>
  <c r="E155" i="8" s="1"/>
  <c r="Q154" i="8" a="1"/>
  <c r="Q154" i="8" s="1"/>
  <c r="AB153" i="8" a="1"/>
  <c r="AB153" i="8" s="1"/>
  <c r="I153" i="8" a="1"/>
  <c r="I153" i="8" s="1"/>
  <c r="V152" i="8" a="1"/>
  <c r="V152" i="8" s="1"/>
  <c r="H152" i="8" a="1"/>
  <c r="H152" i="8" s="1"/>
  <c r="N151" i="8" a="1"/>
  <c r="N151" i="8" s="1"/>
  <c r="E151" i="8" a="1"/>
  <c r="E151" i="8" s="1"/>
  <c r="P150" i="8" a="1"/>
  <c r="P150" i="8" s="1"/>
  <c r="S149" i="8" a="1"/>
  <c r="S149" i="8" s="1"/>
  <c r="W148" i="8" a="1"/>
  <c r="W148" i="8" s="1"/>
  <c r="I148" i="8" a="1"/>
  <c r="I148" i="8" s="1"/>
  <c r="O147" i="8" a="1"/>
  <c r="O147" i="8" s="1"/>
  <c r="F147" i="8" a="1"/>
  <c r="F147" i="8" s="1"/>
  <c r="R146" i="8" a="1"/>
  <c r="R146" i="8" s="1"/>
  <c r="U145" i="8" a="1"/>
  <c r="U145" i="8" s="1"/>
  <c r="M145" i="8" a="1"/>
  <c r="M145" i="8" s="1"/>
  <c r="K143" i="8" a="1"/>
  <c r="K143" i="8" s="1"/>
  <c r="Y142" i="8" a="1"/>
  <c r="Y142" i="8" s="1"/>
  <c r="K142" i="8" a="1"/>
  <c r="K142" i="8" s="1"/>
  <c r="Y141" i="8" a="1"/>
  <c r="Y141" i="8" s="1"/>
  <c r="H141" i="8" a="1"/>
  <c r="H141" i="8" s="1"/>
  <c r="U140" i="8" a="1"/>
  <c r="U140" i="8" s="1"/>
  <c r="H140" i="8" a="1"/>
  <c r="H140" i="8" s="1"/>
  <c r="W139" i="8" a="1"/>
  <c r="W139" i="8" s="1"/>
  <c r="T138" i="8" a="1"/>
  <c r="T138" i="8" s="1"/>
  <c r="G138" i="8" a="1"/>
  <c r="G138" i="8" s="1"/>
  <c r="N137" i="8" a="1"/>
  <c r="N137" i="8" s="1"/>
  <c r="E137" i="8" a="1"/>
  <c r="E137" i="8" s="1"/>
  <c r="S136" i="8" a="1"/>
  <c r="S136" i="8" s="1"/>
  <c r="V135" i="8" a="1"/>
  <c r="V135" i="8" s="1"/>
  <c r="M135" i="8" a="1"/>
  <c r="M135" i="8" s="1"/>
  <c r="P134" i="8" a="1"/>
  <c r="P134" i="8" s="1"/>
  <c r="L133" i="8" a="1"/>
  <c r="L133" i="8" s="1"/>
  <c r="AA132" i="8" a="1"/>
  <c r="AA132" i="8" s="1"/>
  <c r="O132" i="8" a="1"/>
  <c r="O132" i="8" s="1"/>
  <c r="R163" i="8" a="1"/>
  <c r="R163" i="8" s="1"/>
  <c r="K162" i="8" a="1"/>
  <c r="K162" i="8" s="1"/>
  <c r="J161" i="8" a="1"/>
  <c r="J161" i="8" s="1"/>
  <c r="X160" i="8" a="1"/>
  <c r="X160" i="8" s="1"/>
  <c r="H160" i="8" a="1"/>
  <c r="H160" i="8" s="1"/>
  <c r="N159" i="8" a="1"/>
  <c r="N159" i="8" s="1"/>
  <c r="E159" i="8" a="1"/>
  <c r="E159" i="8" s="1"/>
  <c r="P158" i="8" a="1"/>
  <c r="P158" i="8" s="1"/>
  <c r="AA157" i="8" a="1"/>
  <c r="AA157" i="8" s="1"/>
  <c r="I157" i="8" a="1"/>
  <c r="I157" i="8" s="1"/>
  <c r="V156" i="8" a="1"/>
  <c r="V156" i="8" s="1"/>
  <c r="N155" i="8" a="1"/>
  <c r="N155" i="8" s="1"/>
  <c r="P154" i="8" a="1"/>
  <c r="P154" i="8" s="1"/>
  <c r="AA153" i="8" a="1"/>
  <c r="AA153" i="8" s="1"/>
  <c r="R153" i="8" a="1"/>
  <c r="R153" i="8" s="1"/>
  <c r="U152" i="8" a="1"/>
  <c r="U152" i="8" s="1"/>
  <c r="G152" i="8" a="1"/>
  <c r="G152" i="8" s="1"/>
  <c r="V151" i="8" a="1"/>
  <c r="V151" i="8" s="1"/>
  <c r="AA149" i="8" a="1"/>
  <c r="AA149" i="8" s="1"/>
  <c r="J149" i="8" a="1"/>
  <c r="J149" i="8" s="1"/>
  <c r="V148" i="8" a="1"/>
  <c r="V148" i="8" s="1"/>
  <c r="H148" i="8" a="1"/>
  <c r="H148" i="8" s="1"/>
  <c r="W147" i="8" a="1"/>
  <c r="W147" i="8" s="1"/>
  <c r="Q146" i="8" a="1"/>
  <c r="Q146" i="8" s="1"/>
  <c r="AB144" i="8" a="1"/>
  <c r="AB144" i="8" s="1"/>
  <c r="O144" i="8" a="1"/>
  <c r="O144" i="8" s="1"/>
  <c r="AA143" i="8" a="1"/>
  <c r="AA143" i="8" s="1"/>
  <c r="S143" i="8" a="1"/>
  <c r="S143" i="8" s="1"/>
  <c r="J142" i="8" a="1"/>
  <c r="J142" i="8" s="1"/>
  <c r="P141" i="8" a="1"/>
  <c r="P141" i="8" s="1"/>
  <c r="T140" i="8" a="1"/>
  <c r="T140" i="8" s="1"/>
  <c r="G140" i="8" a="1"/>
  <c r="G140" i="8" s="1"/>
  <c r="N139" i="8" a="1"/>
  <c r="N139" i="8" s="1"/>
  <c r="E139" i="8" a="1"/>
  <c r="E139" i="8" s="1"/>
  <c r="S138" i="8" a="1"/>
  <c r="S138" i="8" s="1"/>
  <c r="F138" i="8" a="1"/>
  <c r="F138" i="8" s="1"/>
  <c r="V137" i="8" a="1"/>
  <c r="V137" i="8" s="1"/>
  <c r="R136" i="8" a="1"/>
  <c r="R136" i="8" s="1"/>
  <c r="E136" i="8" a="1"/>
  <c r="E136" i="8" s="1"/>
  <c r="AB134" i="8" a="1"/>
  <c r="AB134" i="8" s="1"/>
  <c r="O134" i="8" a="1"/>
  <c r="O134" i="8" s="1"/>
  <c r="AB133" i="8" a="1"/>
  <c r="AB133" i="8" s="1"/>
  <c r="T133" i="8" a="1"/>
  <c r="T133" i="8" s="1"/>
  <c r="Z132" i="8" a="1"/>
  <c r="Z132" i="8" s="1"/>
  <c r="N132" i="8" a="1"/>
  <c r="N132" i="8" s="1"/>
  <c r="S131" i="8" a="1"/>
  <c r="S131" i="8" s="1"/>
  <c r="L130" i="8" a="1"/>
  <c r="L130" i="8" s="1"/>
  <c r="Z129" i="8" a="1"/>
  <c r="Z129" i="8" s="1"/>
  <c r="H129" i="8" a="1"/>
  <c r="H129" i="8" s="1"/>
  <c r="V128" i="8" a="1"/>
  <c r="V128" i="8" s="1"/>
  <c r="P163" i="8" a="1"/>
  <c r="P163" i="8" s="1"/>
  <c r="I162" i="8" a="1"/>
  <c r="I162" i="8" s="1"/>
  <c r="S161" i="8" a="1"/>
  <c r="S161" i="8" s="1"/>
  <c r="W160" i="8" a="1"/>
  <c r="W160" i="8" s="1"/>
  <c r="G160" i="8" a="1"/>
  <c r="G160" i="8" s="1"/>
  <c r="V159" i="8" a="1"/>
  <c r="V159" i="8" s="1"/>
  <c r="O158" i="8" a="1"/>
  <c r="O158" i="8" s="1"/>
  <c r="R157" i="8" a="1"/>
  <c r="R157" i="8" s="1"/>
  <c r="I156" i="8" a="1"/>
  <c r="I156" i="8" s="1"/>
  <c r="W155" i="8" a="1"/>
  <c r="W155" i="8" s="1"/>
  <c r="AB154" i="8" a="1"/>
  <c r="AB154" i="8" s="1"/>
  <c r="O154" i="8" a="1"/>
  <c r="O154" i="8" s="1"/>
  <c r="H153" i="8" a="1"/>
  <c r="H153" i="8" s="1"/>
  <c r="T152" i="8" a="1"/>
  <c r="T152" i="8" s="1"/>
  <c r="F152" i="8" a="1"/>
  <c r="F152" i="8" s="1"/>
  <c r="M151" i="8" a="1"/>
  <c r="M151" i="8" s="1"/>
  <c r="N150" i="8" a="1"/>
  <c r="N150" i="8" s="1"/>
  <c r="R149" i="8" a="1"/>
  <c r="R149" i="8" s="1"/>
  <c r="I149" i="8" a="1"/>
  <c r="I149" i="8" s="1"/>
  <c r="G148" i="8" a="1"/>
  <c r="G148" i="8" s="1"/>
  <c r="N147" i="8" a="1"/>
  <c r="N147" i="8" s="1"/>
  <c r="E147" i="8" a="1"/>
  <c r="E147" i="8" s="1"/>
  <c r="P146" i="8" a="1"/>
  <c r="P146" i="8" s="1"/>
  <c r="AB145" i="8" a="1"/>
  <c r="AB145" i="8" s="1"/>
  <c r="T145" i="8" a="1"/>
  <c r="T145" i="8" s="1"/>
  <c r="L145" i="8" a="1"/>
  <c r="L145" i="8" s="1"/>
  <c r="AA144" i="8" a="1"/>
  <c r="AA144" i="8" s="1"/>
  <c r="N144" i="8" a="1"/>
  <c r="N144" i="8" s="1"/>
  <c r="J143" i="8" a="1"/>
  <c r="J143" i="8" s="1"/>
  <c r="X142" i="8" a="1"/>
  <c r="X142" i="8" s="1"/>
  <c r="I142" i="8" a="1"/>
  <c r="I142" i="8" s="1"/>
  <c r="X141" i="8" a="1"/>
  <c r="X141" i="8" s="1"/>
  <c r="G141" i="8" a="1"/>
  <c r="G141" i="8" s="1"/>
  <c r="I161" i="8" a="1"/>
  <c r="I161" i="8" s="1"/>
  <c r="V160" i="8" a="1"/>
  <c r="V160" i="8" s="1"/>
  <c r="F160" i="8" a="1"/>
  <c r="F160" i="8" s="1"/>
  <c r="M159" i="8" a="1"/>
  <c r="M159" i="8" s="1"/>
  <c r="N158" i="8" a="1"/>
  <c r="N158" i="8" s="1"/>
  <c r="Z157" i="8" a="1"/>
  <c r="Z157" i="8" s="1"/>
  <c r="H157" i="8" a="1"/>
  <c r="H157" i="8" s="1"/>
  <c r="U156" i="8" a="1"/>
  <c r="U156" i="8" s="1"/>
  <c r="H156" i="8" a="1"/>
  <c r="H156" i="8" s="1"/>
  <c r="V155" i="8" a="1"/>
  <c r="V155" i="8" s="1"/>
  <c r="M155" i="8" a="1"/>
  <c r="M155" i="8" s="1"/>
  <c r="AA154" i="8" a="1"/>
  <c r="AA154" i="8" s="1"/>
  <c r="N154" i="8" a="1"/>
  <c r="N154" i="8" s="1"/>
  <c r="Z153" i="8" a="1"/>
  <c r="Z153" i="8" s="1"/>
  <c r="Q153" i="8" a="1"/>
  <c r="Q153" i="8" s="1"/>
  <c r="G153" i="8" a="1"/>
  <c r="G153" i="8" s="1"/>
  <c r="E152" i="8" a="1"/>
  <c r="E152" i="8" s="1"/>
  <c r="U151" i="8" a="1"/>
  <c r="U151" i="8" s="1"/>
  <c r="M150" i="8" a="1"/>
  <c r="M150" i="8" s="1"/>
  <c r="Z149" i="8" a="1"/>
  <c r="Z149" i="8" s="1"/>
  <c r="Q149" i="8" a="1"/>
  <c r="Q149" i="8" s="1"/>
  <c r="U148" i="8" a="1"/>
  <c r="U148" i="8" s="1"/>
  <c r="F148" i="8" a="1"/>
  <c r="F148" i="8" s="1"/>
  <c r="V147" i="8" a="1"/>
  <c r="V147" i="8" s="1"/>
  <c r="O146" i="8" a="1"/>
  <c r="O146" i="8" s="1"/>
  <c r="Z144" i="8" a="1"/>
  <c r="Z144" i="8" s="1"/>
  <c r="M144" i="8" a="1"/>
  <c r="M144" i="8" s="1"/>
  <c r="I143" i="8" a="1"/>
  <c r="I143" i="8" s="1"/>
  <c r="W142" i="8" a="1"/>
  <c r="W142" i="8" s="1"/>
  <c r="O141" i="8" a="1"/>
  <c r="O141" i="8" s="1"/>
  <c r="F141" i="8" a="1"/>
  <c r="F141" i="8" s="1"/>
  <c r="S140" i="8" a="1"/>
  <c r="S140" i="8" s="1"/>
  <c r="E140" i="8" a="1"/>
  <c r="E140" i="8" s="1"/>
  <c r="M139" i="8" a="1"/>
  <c r="M139" i="8" s="1"/>
  <c r="R138" i="8" a="1"/>
  <c r="R138" i="8" s="1"/>
  <c r="U137" i="8" a="1"/>
  <c r="U137" i="8" s="1"/>
  <c r="L137" i="8" a="1"/>
  <c r="L137" i="8" s="1"/>
  <c r="P136" i="8" a="1"/>
  <c r="P136" i="8" s="1"/>
  <c r="Z134" i="8" a="1"/>
  <c r="Z134" i="8" s="1"/>
  <c r="N134" i="8" a="1"/>
  <c r="N134" i="8" s="1"/>
  <c r="AA133" i="8" a="1"/>
  <c r="AA133" i="8" s="1"/>
  <c r="S133" i="8" a="1"/>
  <c r="S133" i="8" s="1"/>
  <c r="M132" i="8" a="1"/>
  <c r="M132" i="8" s="1"/>
  <c r="R131" i="8" a="1"/>
  <c r="R131" i="8" s="1"/>
  <c r="W130" i="8" a="1"/>
  <c r="W130" i="8" s="1"/>
  <c r="J130" i="8" a="1"/>
  <c r="J130" i="8" s="1"/>
  <c r="Y129" i="8" a="1"/>
  <c r="Y129" i="8" s="1"/>
  <c r="P129" i="8" a="1"/>
  <c r="P129" i="8" s="1"/>
  <c r="G129" i="8" a="1"/>
  <c r="G129" i="8" s="1"/>
  <c r="T128" i="8" a="1"/>
  <c r="T128" i="8" s="1"/>
  <c r="F167" i="8" a="1"/>
  <c r="F167" i="8" s="1"/>
  <c r="E162" i="8" a="1"/>
  <c r="E162" i="8" s="1"/>
  <c r="U160" i="8" a="1"/>
  <c r="U160" i="8" s="1"/>
  <c r="E160" i="8" a="1"/>
  <c r="E160" i="8" s="1"/>
  <c r="U159" i="8" a="1"/>
  <c r="U159" i="8" s="1"/>
  <c r="L159" i="8" a="1"/>
  <c r="L159" i="8" s="1"/>
  <c r="AB158" i="8" a="1"/>
  <c r="AB158" i="8" s="1"/>
  <c r="M158" i="8" a="1"/>
  <c r="M158" i="8" s="1"/>
  <c r="Q157" i="8" a="1"/>
  <c r="Q157" i="8" s="1"/>
  <c r="T156" i="8" a="1"/>
  <c r="T156" i="8" s="1"/>
  <c r="G156" i="8" a="1"/>
  <c r="G156" i="8" s="1"/>
  <c r="M154" i="8" a="1"/>
  <c r="M154" i="8" s="1"/>
  <c r="S152" i="8" a="1"/>
  <c r="S152" i="8" s="1"/>
  <c r="L151" i="8" a="1"/>
  <c r="L151" i="8" s="1"/>
  <c r="Y149" i="8" a="1"/>
  <c r="Y149" i="8" s="1"/>
  <c r="H149" i="8" a="1"/>
  <c r="H149" i="8" s="1"/>
  <c r="T148" i="8" a="1"/>
  <c r="T148" i="8" s="1"/>
  <c r="M147" i="8" a="1"/>
  <c r="M147" i="8" s="1"/>
  <c r="AB146" i="8" a="1"/>
  <c r="AB146" i="8" s="1"/>
  <c r="AA145" i="8" a="1"/>
  <c r="AA145" i="8" s="1"/>
  <c r="S145" i="8" a="1"/>
  <c r="S145" i="8" s="1"/>
  <c r="K145" i="8" a="1"/>
  <c r="K145" i="8" s="1"/>
  <c r="L144" i="8" a="1"/>
  <c r="L144" i="8" s="1"/>
  <c r="Q143" i="8" a="1"/>
  <c r="Q143" i="8" s="1"/>
  <c r="V142" i="8" a="1"/>
  <c r="V142" i="8" s="1"/>
  <c r="H142" i="8" a="1"/>
  <c r="H142" i="8" s="1"/>
  <c r="W141" i="8" a="1"/>
  <c r="W141" i="8" s="1"/>
  <c r="R140" i="8" a="1"/>
  <c r="R140" i="8" s="1"/>
  <c r="U139" i="8" a="1"/>
  <c r="U139" i="8" s="1"/>
  <c r="AB138" i="8" a="1"/>
  <c r="AB138" i="8" s="1"/>
  <c r="Q138" i="8" a="1"/>
  <c r="Q138" i="8" s="1"/>
  <c r="T137" i="8" a="1"/>
  <c r="T137" i="8" s="1"/>
  <c r="AA136" i="8" a="1"/>
  <c r="AA136" i="8" s="1"/>
  <c r="O136" i="8" a="1"/>
  <c r="O136" i="8" s="1"/>
  <c r="AB135" i="8" a="1"/>
  <c r="AB135" i="8" s="1"/>
  <c r="T135" i="8" a="1"/>
  <c r="T135" i="8" s="1"/>
  <c r="K135" i="8" a="1"/>
  <c r="K135" i="8" s="1"/>
  <c r="Y134" i="8" a="1"/>
  <c r="Y134" i="8" s="1"/>
  <c r="M134" i="8" a="1"/>
  <c r="M134" i="8" s="1"/>
  <c r="J133" i="8" a="1"/>
  <c r="J133" i="8" s="1"/>
  <c r="X132" i="8" a="1"/>
  <c r="X132" i="8" s="1"/>
  <c r="L132" i="8" a="1"/>
  <c r="L132" i="8" s="1"/>
  <c r="Z131" i="8" a="1"/>
  <c r="Z131" i="8" s="1"/>
  <c r="I131" i="8" a="1"/>
  <c r="I131" i="8" s="1"/>
  <c r="I130" i="8" a="1"/>
  <c r="I130" i="8" s="1"/>
  <c r="X129" i="8" a="1"/>
  <c r="X129" i="8" s="1"/>
  <c r="S128" i="8" a="1"/>
  <c r="S128" i="8" s="1"/>
  <c r="G128" i="8" a="1"/>
  <c r="G128" i="8" s="1"/>
  <c r="V127" i="8" a="1"/>
  <c r="V127" i="8" s="1"/>
  <c r="T125" i="8" a="1"/>
  <c r="T125" i="8" s="1"/>
  <c r="L124" i="8" a="1"/>
  <c r="L124" i="8" s="1"/>
  <c r="Q161" i="8" a="1"/>
  <c r="Q161" i="8" s="1"/>
  <c r="H161" i="8" a="1"/>
  <c r="H161" i="8" s="1"/>
  <c r="T159" i="8" a="1"/>
  <c r="T159" i="8" s="1"/>
  <c r="AA158" i="8" a="1"/>
  <c r="AA158" i="8" s="1"/>
  <c r="L158" i="8" a="1"/>
  <c r="L158" i="8" s="1"/>
  <c r="Y157" i="8" a="1"/>
  <c r="Y157" i="8" s="1"/>
  <c r="G157" i="8" a="1"/>
  <c r="G157" i="8" s="1"/>
  <c r="S156" i="8" a="1"/>
  <c r="S156" i="8" s="1"/>
  <c r="F156" i="8" a="1"/>
  <c r="F156" i="8" s="1"/>
  <c r="U155" i="8" a="1"/>
  <c r="U155" i="8" s="1"/>
  <c r="L155" i="8" a="1"/>
  <c r="L155" i="8" s="1"/>
  <c r="Z154" i="8" a="1"/>
  <c r="Z154" i="8" s="1"/>
  <c r="L154" i="8" a="1"/>
  <c r="L154" i="8" s="1"/>
  <c r="Y153" i="8" a="1"/>
  <c r="Y153" i="8" s="1"/>
  <c r="P153" i="8" a="1"/>
  <c r="P153" i="8" s="1"/>
  <c r="F153" i="8" a="1"/>
  <c r="F153" i="8" s="1"/>
  <c r="R152" i="8" a="1"/>
  <c r="R152" i="8" s="1"/>
  <c r="T151" i="8" a="1"/>
  <c r="T151" i="8" s="1"/>
  <c r="Z150" i="8" a="1"/>
  <c r="Z150" i="8" s="1"/>
  <c r="L150" i="8" a="1"/>
  <c r="L150" i="8" s="1"/>
  <c r="P149" i="8" a="1"/>
  <c r="P149" i="8" s="1"/>
  <c r="S148" i="8" a="1"/>
  <c r="S148" i="8" s="1"/>
  <c r="E148" i="8" a="1"/>
  <c r="E148" i="8" s="1"/>
  <c r="U147" i="8" a="1"/>
  <c r="U147" i="8" s="1"/>
  <c r="AA146" i="8" a="1"/>
  <c r="AA146" i="8" s="1"/>
  <c r="N146" i="8" a="1"/>
  <c r="N146" i="8" s="1"/>
  <c r="Y144" i="8" a="1"/>
  <c r="Y144" i="8" s="1"/>
  <c r="K144" i="8" a="1"/>
  <c r="K144" i="8" s="1"/>
  <c r="Y143" i="8" a="1"/>
  <c r="Y143" i="8" s="1"/>
  <c r="H143" i="8" a="1"/>
  <c r="H143" i="8" s="1"/>
  <c r="U142" i="8" a="1"/>
  <c r="U142" i="8" s="1"/>
  <c r="G142" i="8" a="1"/>
  <c r="G142" i="8" s="1"/>
  <c r="N141" i="8" a="1"/>
  <c r="N141" i="8" s="1"/>
  <c r="E141" i="8" a="1"/>
  <c r="E141" i="8" s="1"/>
  <c r="L139" i="8" a="1"/>
  <c r="L139" i="8" s="1"/>
  <c r="AA138" i="8" a="1"/>
  <c r="AA138" i="8" s="1"/>
  <c r="P138" i="8" a="1"/>
  <c r="P138" i="8" s="1"/>
  <c r="AB137" i="8" a="1"/>
  <c r="AB137" i="8" s="1"/>
  <c r="K137" i="8" a="1"/>
  <c r="K137" i="8" s="1"/>
  <c r="Z136" i="8" a="1"/>
  <c r="Z136" i="8" s="1"/>
  <c r="N136" i="8" a="1"/>
  <c r="N136" i="8" s="1"/>
  <c r="X134" i="8" a="1"/>
  <c r="X134" i="8" s="1"/>
  <c r="K132" i="8" a="1"/>
  <c r="K132" i="8" s="1"/>
  <c r="Q131" i="8" a="1"/>
  <c r="Q131" i="8" s="1"/>
  <c r="V130" i="8" a="1"/>
  <c r="V130" i="8" s="1"/>
  <c r="O129" i="8" a="1"/>
  <c r="O129" i="8" s="1"/>
  <c r="F129" i="8" a="1"/>
  <c r="F129" i="8" s="1"/>
  <c r="R128" i="8" a="1"/>
  <c r="R128" i="8" s="1"/>
  <c r="F128" i="8" a="1"/>
  <c r="F128" i="8" s="1"/>
  <c r="M127" i="8" a="1"/>
  <c r="M127" i="8" s="1"/>
  <c r="AB126" i="8" a="1"/>
  <c r="AB126" i="8" s="1"/>
  <c r="P166" i="8" a="1"/>
  <c r="P166" i="8" s="1"/>
  <c r="G163" i="8" a="1"/>
  <c r="G163" i="8" s="1"/>
  <c r="AB161" i="8" a="1"/>
  <c r="AB161" i="8" s="1"/>
  <c r="G161" i="8" a="1"/>
  <c r="G161" i="8" s="1"/>
  <c r="S160" i="8" a="1"/>
  <c r="S160" i="8" s="1"/>
  <c r="AB159" i="8" a="1"/>
  <c r="AB159" i="8" s="1"/>
  <c r="K159" i="8" a="1"/>
  <c r="K159" i="8" s="1"/>
  <c r="Z158" i="8" a="1"/>
  <c r="Z158" i="8" s="1"/>
  <c r="K158" i="8" a="1"/>
  <c r="K158" i="8" s="1"/>
  <c r="P157" i="8" a="1"/>
  <c r="P157" i="8" s="1"/>
  <c r="R156" i="8" a="1"/>
  <c r="R156" i="8" s="1"/>
  <c r="E156" i="8" a="1"/>
  <c r="E156" i="8" s="1"/>
  <c r="K155" i="8" a="1"/>
  <c r="K155" i="8" s="1"/>
  <c r="K154" i="8" a="1"/>
  <c r="K154" i="8" s="1"/>
  <c r="O153" i="8" a="1"/>
  <c r="O153" i="8" s="1"/>
  <c r="Q152" i="8" a="1"/>
  <c r="Q152" i="8" s="1"/>
  <c r="AB151" i="8" a="1"/>
  <c r="AB151" i="8" s="1"/>
  <c r="K151" i="8" a="1"/>
  <c r="K151" i="8" s="1"/>
  <c r="Y150" i="8" a="1"/>
  <c r="Y150" i="8" s="1"/>
  <c r="K150" i="8" a="1"/>
  <c r="K150" i="8" s="1"/>
  <c r="X149" i="8" a="1"/>
  <c r="X149" i="8" s="1"/>
  <c r="G149" i="8" a="1"/>
  <c r="G149" i="8" s="1"/>
  <c r="R148" i="8" a="1"/>
  <c r="R148" i="8" s="1"/>
  <c r="L147" i="8" a="1"/>
  <c r="L147" i="8" s="1"/>
  <c r="Z146" i="8" a="1"/>
  <c r="Z146" i="8" s="1"/>
  <c r="M146" i="8" a="1"/>
  <c r="M146" i="8" s="1"/>
  <c r="Z145" i="8" a="1"/>
  <c r="Z145" i="8" s="1"/>
  <c r="R145" i="8" a="1"/>
  <c r="R145" i="8" s="1"/>
  <c r="J145" i="8" a="1"/>
  <c r="J145" i="8" s="1"/>
  <c r="X144" i="8" a="1"/>
  <c r="X144" i="8" s="1"/>
  <c r="J144" i="8" a="1"/>
  <c r="J144" i="8" s="1"/>
  <c r="P143" i="8" a="1"/>
  <c r="P143" i="8" s="1"/>
  <c r="T142" i="8" a="1"/>
  <c r="T142" i="8" s="1"/>
  <c r="F142" i="8" a="1"/>
  <c r="F142" i="8" s="1"/>
  <c r="V141" i="8" a="1"/>
  <c r="V141" i="8" s="1"/>
  <c r="Q140" i="8" a="1"/>
  <c r="Q140" i="8" s="1"/>
  <c r="AB139" i="8" a="1"/>
  <c r="AB139" i="8" s="1"/>
  <c r="T139" i="8" a="1"/>
  <c r="T139" i="8" s="1"/>
  <c r="K139" i="8" a="1"/>
  <c r="K139" i="8" s="1"/>
  <c r="O138" i="8" a="1"/>
  <c r="O138" i="8" s="1"/>
  <c r="S137" i="8" a="1"/>
  <c r="S137" i="8" s="1"/>
  <c r="AA135" i="8" a="1"/>
  <c r="AA135" i="8" s="1"/>
  <c r="S135" i="8" a="1"/>
  <c r="S135" i="8" s="1"/>
  <c r="J135" i="8" a="1"/>
  <c r="J135" i="8" s="1"/>
  <c r="L134" i="8" a="1"/>
  <c r="L134" i="8" s="1"/>
  <c r="I133" i="8" a="1"/>
  <c r="I133" i="8" s="1"/>
  <c r="W132" i="8" a="1"/>
  <c r="W132" i="8" s="1"/>
  <c r="J132" i="8" a="1"/>
  <c r="J132" i="8" s="1"/>
  <c r="Y131" i="8" a="1"/>
  <c r="Y131" i="8" s="1"/>
  <c r="H131" i="8" a="1"/>
  <c r="H131" i="8" s="1"/>
  <c r="U130" i="8" a="1"/>
  <c r="U130" i="8" s="1"/>
  <c r="H130" i="8" a="1"/>
  <c r="H130" i="8" s="1"/>
  <c r="W129" i="8" a="1"/>
  <c r="W129" i="8" s="1"/>
  <c r="AA161" i="8" a="1"/>
  <c r="AA161" i="8" s="1"/>
  <c r="R160" i="8" a="1"/>
  <c r="R160" i="8" s="1"/>
  <c r="S159" i="8" a="1"/>
  <c r="S159" i="8" s="1"/>
  <c r="Y158" i="8" a="1"/>
  <c r="Y158" i="8" s="1"/>
  <c r="J158" i="8" a="1"/>
  <c r="J158" i="8" s="1"/>
  <c r="X157" i="8" a="1"/>
  <c r="X157" i="8" s="1"/>
  <c r="F157" i="8" a="1"/>
  <c r="F157" i="8" s="1"/>
  <c r="T155" i="8" a="1"/>
  <c r="T155" i="8" s="1"/>
  <c r="J155" i="8" a="1"/>
  <c r="J155" i="8" s="1"/>
  <c r="X154" i="8" a="1"/>
  <c r="X154" i="8" s="1"/>
  <c r="X153" i="8" a="1"/>
  <c r="X153" i="8" s="1"/>
  <c r="E153" i="8" a="1"/>
  <c r="E153" i="8" s="1"/>
  <c r="P152" i="8" a="1"/>
  <c r="P152" i="8" s="1"/>
  <c r="S151" i="8" a="1"/>
  <c r="S151" i="8" s="1"/>
  <c r="X150" i="8" a="1"/>
  <c r="X150" i="8" s="1"/>
  <c r="J150" i="8" a="1"/>
  <c r="J150" i="8" s="1"/>
  <c r="O149" i="8" a="1"/>
  <c r="O149" i="8" s="1"/>
  <c r="F149" i="8" a="1"/>
  <c r="F149" i="8" s="1"/>
  <c r="Q148" i="8" a="1"/>
  <c r="Q148" i="8" s="1"/>
  <c r="T147" i="8" a="1"/>
  <c r="T147" i="8" s="1"/>
  <c r="Y146" i="8" a="1"/>
  <c r="Y146" i="8" s="1"/>
  <c r="L146" i="8" a="1"/>
  <c r="L146" i="8" s="1"/>
  <c r="I144" i="8" a="1"/>
  <c r="I144" i="8" s="1"/>
  <c r="G143" i="8" a="1"/>
  <c r="G143" i="8" s="1"/>
  <c r="S142" i="8" a="1"/>
  <c r="S142" i="8" s="1"/>
  <c r="E142" i="8" a="1"/>
  <c r="E142" i="8" s="1"/>
  <c r="M141" i="8" a="1"/>
  <c r="M141" i="8" s="1"/>
  <c r="AB140" i="8" a="1"/>
  <c r="AB140" i="8" s="1"/>
  <c r="P140" i="8" a="1"/>
  <c r="P140" i="8" s="1"/>
  <c r="S139" i="8" a="1"/>
  <c r="S139" i="8" s="1"/>
  <c r="Z138" i="8" a="1"/>
  <c r="Z138" i="8" s="1"/>
  <c r="N138" i="8" a="1"/>
  <c r="N138" i="8" s="1"/>
  <c r="AA137" i="8" a="1"/>
  <c r="AA137" i="8" s="1"/>
  <c r="J137" i="8" a="1"/>
  <c r="J137" i="8" s="1"/>
  <c r="Y136" i="8" a="1"/>
  <c r="Y136" i="8" s="1"/>
  <c r="M136" i="8" a="1"/>
  <c r="M136" i="8" s="1"/>
  <c r="I135" i="8" a="1"/>
  <c r="I135" i="8" s="1"/>
  <c r="W134" i="8" a="1"/>
  <c r="W134" i="8" s="1"/>
  <c r="K134" i="8" a="1"/>
  <c r="K134" i="8" s="1"/>
  <c r="Y133" i="8" a="1"/>
  <c r="Y133" i="8" s="1"/>
  <c r="Q133" i="8" a="1"/>
  <c r="Q133" i="8" s="1"/>
  <c r="V132" i="8" a="1"/>
  <c r="V132" i="8" s="1"/>
  <c r="I132" i="8" a="1"/>
  <c r="I132" i="8" s="1"/>
  <c r="P131" i="8" a="1"/>
  <c r="P131" i="8" s="1"/>
  <c r="G131" i="8" a="1"/>
  <c r="G131" i="8" s="1"/>
  <c r="T130" i="8" a="1"/>
  <c r="T130" i="8" s="1"/>
  <c r="G130" i="8" a="1"/>
  <c r="G130" i="8" s="1"/>
  <c r="N129" i="8" a="1"/>
  <c r="N129" i="8" s="1"/>
  <c r="E129" i="8" a="1"/>
  <c r="E129" i="8" s="1"/>
  <c r="Q128" i="8" a="1"/>
  <c r="Q128" i="8" s="1"/>
  <c r="L127" i="8" a="1"/>
  <c r="L127" i="8" s="1"/>
  <c r="N126" i="8" a="1"/>
  <c r="N126" i="8" s="1"/>
  <c r="AA125" i="8" a="1"/>
  <c r="AA125" i="8" s="1"/>
  <c r="AA165" i="8" a="1"/>
  <c r="AA165" i="8" s="1"/>
  <c r="Z161" i="8" a="1"/>
  <c r="Z161" i="8" s="1"/>
  <c r="O161" i="8" a="1"/>
  <c r="O161" i="8" s="1"/>
  <c r="F161" i="8" a="1"/>
  <c r="F161" i="8" s="1"/>
  <c r="Q160" i="8" a="1"/>
  <c r="Q160" i="8" s="1"/>
  <c r="AA159" i="8" a="1"/>
  <c r="AA159" i="8" s="1"/>
  <c r="J159" i="8" a="1"/>
  <c r="J159" i="8" s="1"/>
  <c r="X158" i="8" a="1"/>
  <c r="X158" i="8" s="1"/>
  <c r="I158" i="8" a="1"/>
  <c r="I158" i="8" s="1"/>
  <c r="O157" i="8" a="1"/>
  <c r="O157" i="8" s="1"/>
  <c r="E157" i="8" a="1"/>
  <c r="E157" i="8" s="1"/>
  <c r="Q156" i="8" a="1"/>
  <c r="Q156" i="8" s="1"/>
  <c r="W154" i="8" a="1"/>
  <c r="W154" i="8" s="1"/>
  <c r="J154" i="8" a="1"/>
  <c r="J154" i="8" s="1"/>
  <c r="W153" i="8" a="1"/>
  <c r="W153" i="8" s="1"/>
  <c r="N153" i="8" a="1"/>
  <c r="N153" i="8" s="1"/>
  <c r="O152" i="8" a="1"/>
  <c r="O152" i="8" s="1"/>
  <c r="AA151" i="8" a="1"/>
  <c r="AA151" i="8" s="1"/>
  <c r="J151" i="8" a="1"/>
  <c r="J151" i="8" s="1"/>
  <c r="W150" i="8" a="1"/>
  <c r="W150" i="8" s="1"/>
  <c r="I150" i="8" a="1"/>
  <c r="I150" i="8" s="1"/>
  <c r="W149" i="8" a="1"/>
  <c r="W149" i="8" s="1"/>
  <c r="P148" i="8" a="1"/>
  <c r="P148" i="8" s="1"/>
  <c r="AB147" i="8" a="1"/>
  <c r="AB147" i="8" s="1"/>
  <c r="K147" i="8" a="1"/>
  <c r="K147" i="8" s="1"/>
  <c r="K146" i="8" a="1"/>
  <c r="K146" i="8" s="1"/>
  <c r="Y145" i="8" a="1"/>
  <c r="Y145" i="8" s="1"/>
  <c r="Q145" i="8" a="1"/>
  <c r="Q145" i="8" s="1"/>
  <c r="I145" i="8" a="1"/>
  <c r="I145" i="8" s="1"/>
  <c r="W144" i="8" a="1"/>
  <c r="W144" i="8" s="1"/>
  <c r="H144" i="8" a="1"/>
  <c r="H144" i="8" s="1"/>
  <c r="O143" i="8" a="1"/>
  <c r="O143" i="8" s="1"/>
  <c r="R142" i="8" a="1"/>
  <c r="R142" i="8" s="1"/>
  <c r="U141" i="8" a="1"/>
  <c r="U141" i="8" s="1"/>
  <c r="O140" i="8" a="1"/>
  <c r="O140" i="8" s="1"/>
  <c r="AA139" i="8" a="1"/>
  <c r="AA139" i="8" s="1"/>
  <c r="J139" i="8" a="1"/>
  <c r="J139" i="8" s="1"/>
  <c r="Y138" i="8" a="1"/>
  <c r="Y138" i="8" s="1"/>
  <c r="R137" i="8" a="1"/>
  <c r="R137" i="8" s="1"/>
  <c r="X136" i="8" a="1"/>
  <c r="X136" i="8" s="1"/>
  <c r="L136" i="8" a="1"/>
  <c r="L136" i="8" s="1"/>
  <c r="Z135" i="8" a="1"/>
  <c r="Z135" i="8" s="1"/>
  <c r="R135" i="8" a="1"/>
  <c r="R135" i="8" s="1"/>
  <c r="J134" i="8" a="1"/>
  <c r="J134" i="8" s="1"/>
  <c r="H133" i="8" a="1"/>
  <c r="H133" i="8" s="1"/>
  <c r="X131" i="8" a="1"/>
  <c r="X131" i="8" s="1"/>
  <c r="O131" i="8" a="1"/>
  <c r="O131" i="8" s="1"/>
  <c r="S130" i="8" a="1"/>
  <c r="S130" i="8" s="1"/>
  <c r="O170" i="8" a="1"/>
  <c r="O170" i="8" s="1"/>
  <c r="S165" i="8" a="1"/>
  <c r="S165" i="8" s="1"/>
  <c r="AA162" i="8" a="1"/>
  <c r="AA162" i="8" s="1"/>
  <c r="P160" i="8" a="1"/>
  <c r="P160" i="8" s="1"/>
  <c r="R159" i="8" a="1"/>
  <c r="R159" i="8" s="1"/>
  <c r="W158" i="8" a="1"/>
  <c r="W158" i="8" s="1"/>
  <c r="H158" i="8" a="1"/>
  <c r="H158" i="8" s="1"/>
  <c r="W157" i="8" a="1"/>
  <c r="W157" i="8" s="1"/>
  <c r="P156" i="8" a="1"/>
  <c r="P156" i="8" s="1"/>
  <c r="AB155" i="8" a="1"/>
  <c r="AB155" i="8" s="1"/>
  <c r="S155" i="8" a="1"/>
  <c r="S155" i="8" s="1"/>
  <c r="I155" i="8" a="1"/>
  <c r="I155" i="8" s="1"/>
  <c r="I154" i="8" a="1"/>
  <c r="I154" i="8" s="1"/>
  <c r="AB152" i="8" a="1"/>
  <c r="AB152" i="8" s="1"/>
  <c r="N152" i="8" a="1"/>
  <c r="N152" i="8" s="1"/>
  <c r="R151" i="8" a="1"/>
  <c r="R151" i="8" s="1"/>
  <c r="V150" i="8" a="1"/>
  <c r="V150" i="8" s="1"/>
  <c r="H150" i="8" a="1"/>
  <c r="H150" i="8" s="1"/>
  <c r="N149" i="8" a="1"/>
  <c r="N149" i="8" s="1"/>
  <c r="E149" i="8" a="1"/>
  <c r="E149" i="8" s="1"/>
  <c r="O148" i="8" a="1"/>
  <c r="O148" i="8" s="1"/>
  <c r="S147" i="8" a="1"/>
  <c r="S147" i="8" s="1"/>
  <c r="J147" i="8" a="1"/>
  <c r="J147" i="8" s="1"/>
  <c r="X146" i="8" a="1"/>
  <c r="X146" i="8" s="1"/>
  <c r="J146" i="8" a="1"/>
  <c r="J146" i="8" s="1"/>
  <c r="H145" i="8" a="1"/>
  <c r="H145" i="8" s="1"/>
  <c r="V144" i="8" a="1"/>
  <c r="V144" i="8" s="1"/>
  <c r="W143" i="8" a="1"/>
  <c r="W143" i="8" s="1"/>
  <c r="F143" i="8" a="1"/>
  <c r="F143" i="8" s="1"/>
  <c r="Q142" i="8" a="1"/>
  <c r="Q142" i="8" s="1"/>
  <c r="L141" i="8" a="1"/>
  <c r="L141" i="8" s="1"/>
  <c r="AA140" i="8" a="1"/>
  <c r="AA140" i="8" s="1"/>
  <c r="N140" i="8" a="1"/>
  <c r="N140" i="8" s="1"/>
  <c r="R139" i="8" a="1"/>
  <c r="R139" i="8" s="1"/>
  <c r="M138" i="8" a="1"/>
  <c r="M138" i="8" s="1"/>
  <c r="Z137" i="8" a="1"/>
  <c r="Z137" i="8" s="1"/>
  <c r="I137" i="8" a="1"/>
  <c r="I137" i="8" s="1"/>
  <c r="W136" i="8" a="1"/>
  <c r="W136" i="8" s="1"/>
  <c r="Q135" i="8" a="1"/>
  <c r="Q135" i="8" s="1"/>
  <c r="H135" i="8" a="1"/>
  <c r="H135" i="8" s="1"/>
  <c r="V134" i="8" a="1"/>
  <c r="V134" i="8" s="1"/>
  <c r="I134" i="8" a="1"/>
  <c r="I134" i="8" s="1"/>
  <c r="X133" i="8" a="1"/>
  <c r="X133" i="8" s="1"/>
  <c r="P133" i="8" a="1"/>
  <c r="P133" i="8" s="1"/>
  <c r="W131" i="8" a="1"/>
  <c r="W131" i="8" s="1"/>
  <c r="F131" i="8" a="1"/>
  <c r="F131" i="8" s="1"/>
  <c r="R130" i="8" a="1"/>
  <c r="R130" i="8" s="1"/>
  <c r="F130" i="8" a="1"/>
  <c r="F130" i="8" s="1"/>
  <c r="AB128" i="8" a="1"/>
  <c r="AB128" i="8" s="1"/>
  <c r="AB127" i="8" a="1"/>
  <c r="AB127" i="8" s="1"/>
  <c r="K127" i="8" a="1"/>
  <c r="K127" i="8" s="1"/>
  <c r="Y126" i="8" a="1"/>
  <c r="Y126" i="8" s="1"/>
  <c r="M130" i="8" a="1"/>
  <c r="M130" i="8" s="1"/>
  <c r="Z126" i="8" a="1"/>
  <c r="Z126" i="8" s="1"/>
  <c r="J126" i="8" a="1"/>
  <c r="J126" i="8" s="1"/>
  <c r="W125" i="8" a="1"/>
  <c r="W125" i="8" s="1"/>
  <c r="N125" i="8" a="1"/>
  <c r="N125" i="8" s="1"/>
  <c r="AB124" i="8" a="1"/>
  <c r="AB124" i="8" s="1"/>
  <c r="O124" i="8" a="1"/>
  <c r="O124" i="8" s="1"/>
  <c r="AA123" i="8" a="1"/>
  <c r="AA123" i="8" s="1"/>
  <c r="X122" i="8" a="1"/>
  <c r="X122" i="8" s="1"/>
  <c r="K122" i="8" a="1"/>
  <c r="K122" i="8" s="1"/>
  <c r="P121" i="8" a="1"/>
  <c r="P121" i="8" s="1"/>
  <c r="F120" i="8" a="1"/>
  <c r="F120" i="8" s="1"/>
  <c r="L119" i="8" a="1"/>
  <c r="L119" i="8" s="1"/>
  <c r="AA118" i="8" a="1"/>
  <c r="AA118" i="8" s="1"/>
  <c r="N118" i="8" a="1"/>
  <c r="N118" i="8" s="1"/>
  <c r="Q117" i="8" a="1"/>
  <c r="Q117" i="8" s="1"/>
  <c r="R116" i="8" a="1"/>
  <c r="R116" i="8" s="1"/>
  <c r="J115" i="8" a="1"/>
  <c r="J115" i="8" s="1"/>
  <c r="W114" i="8" a="1"/>
  <c r="W114" i="8" s="1"/>
  <c r="K114" i="8" a="1"/>
  <c r="K114" i="8" s="1"/>
  <c r="W113" i="8" a="1"/>
  <c r="W113" i="8" s="1"/>
  <c r="R111" i="8" a="1"/>
  <c r="R111" i="8" s="1"/>
  <c r="G111" i="8" a="1"/>
  <c r="G111" i="8" s="1"/>
  <c r="U110" i="8" a="1"/>
  <c r="U110" i="8" s="1"/>
  <c r="J110" i="8" a="1"/>
  <c r="J110" i="8" s="1"/>
  <c r="X109" i="8" a="1"/>
  <c r="X109" i="8" s="1"/>
  <c r="E108" i="8" a="1"/>
  <c r="E108" i="8" s="1"/>
  <c r="S107" i="8" a="1"/>
  <c r="S107" i="8" s="1"/>
  <c r="G107" i="8" a="1"/>
  <c r="G107" i="8" s="1"/>
  <c r="V106" i="8" a="1"/>
  <c r="V106" i="8" s="1"/>
  <c r="K106" i="8" a="1"/>
  <c r="K106" i="8" s="1"/>
  <c r="X105" i="8" a="1"/>
  <c r="X105" i="8" s="1"/>
  <c r="N105" i="8" a="1"/>
  <c r="N105" i="8" s="1"/>
  <c r="E104" i="8" a="1"/>
  <c r="E104" i="8" s="1"/>
  <c r="S103" i="8" a="1"/>
  <c r="S103" i="8" s="1"/>
  <c r="G103" i="8" a="1"/>
  <c r="G103" i="8" s="1"/>
  <c r="U102" i="8" a="1"/>
  <c r="U102" i="8" s="1"/>
  <c r="J102" i="8" a="1"/>
  <c r="J102" i="8" s="1"/>
  <c r="W101" i="8" a="1"/>
  <c r="W101" i="8" s="1"/>
  <c r="L101" i="8" a="1"/>
  <c r="L101" i="8" s="1"/>
  <c r="AB99" i="8" a="1"/>
  <c r="AB99" i="8" s="1"/>
  <c r="Q99" i="8" a="1"/>
  <c r="Q99" i="8" s="1"/>
  <c r="F99" i="8" a="1"/>
  <c r="F99" i="8" s="1"/>
  <c r="T98" i="8" a="1"/>
  <c r="T98" i="8" s="1"/>
  <c r="W97" i="8" a="1"/>
  <c r="W97" i="8" s="1"/>
  <c r="X96" i="8" a="1"/>
  <c r="X96" i="8" s="1"/>
  <c r="R94" i="8" a="1"/>
  <c r="R94" i="8" s="1"/>
  <c r="G94" i="8" a="1"/>
  <c r="G94" i="8" s="1"/>
  <c r="M92" i="8" a="1"/>
  <c r="M92" i="8" s="1"/>
  <c r="P91" i="8" a="1"/>
  <c r="P91" i="8" s="1"/>
  <c r="E138" i="8" a="1"/>
  <c r="E138" i="8" s="1"/>
  <c r="K133" i="8" a="1"/>
  <c r="K133" i="8" s="1"/>
  <c r="K130" i="8" a="1"/>
  <c r="K130" i="8" s="1"/>
  <c r="E128" i="8" a="1"/>
  <c r="E128" i="8" s="1"/>
  <c r="O127" i="8" a="1"/>
  <c r="O127" i="8" s="1"/>
  <c r="I126" i="8" a="1"/>
  <c r="I126" i="8" s="1"/>
  <c r="N124" i="8" a="1"/>
  <c r="N124" i="8" s="1"/>
  <c r="R123" i="8" a="1"/>
  <c r="R123" i="8" s="1"/>
  <c r="I123" i="8" a="1"/>
  <c r="I123" i="8" s="1"/>
  <c r="W122" i="8" a="1"/>
  <c r="W122" i="8" s="1"/>
  <c r="X121" i="8" a="1"/>
  <c r="X121" i="8" s="1"/>
  <c r="F121" i="8" a="1"/>
  <c r="F121" i="8" s="1"/>
  <c r="S120" i="8" a="1"/>
  <c r="S120" i="8" s="1"/>
  <c r="V119" i="8" a="1"/>
  <c r="V119" i="8" s="1"/>
  <c r="Z118" i="8" a="1"/>
  <c r="Z118" i="8" s="1"/>
  <c r="M118" i="8" a="1"/>
  <c r="M118" i="8" s="1"/>
  <c r="Z117" i="8" a="1"/>
  <c r="Z117" i="8" s="1"/>
  <c r="G117" i="8" a="1"/>
  <c r="G117" i="8" s="1"/>
  <c r="Q116" i="8" a="1"/>
  <c r="Q116" i="8" s="1"/>
  <c r="T115" i="8" a="1"/>
  <c r="T115" i="8" s="1"/>
  <c r="I115" i="8" a="1"/>
  <c r="I115" i="8" s="1"/>
  <c r="V114" i="8" a="1"/>
  <c r="V114" i="8" s="1"/>
  <c r="J114" i="8" a="1"/>
  <c r="J114" i="8" s="1"/>
  <c r="V113" i="8" a="1"/>
  <c r="V113" i="8" s="1"/>
  <c r="L113" i="8" a="1"/>
  <c r="L113" i="8" s="1"/>
  <c r="Y112" i="8" a="1"/>
  <c r="Y112" i="8" s="1"/>
  <c r="O112" i="8" a="1"/>
  <c r="O112" i="8" s="1"/>
  <c r="F111" i="8" a="1"/>
  <c r="F111" i="8" s="1"/>
  <c r="T110" i="8" a="1"/>
  <c r="T110" i="8" s="1"/>
  <c r="I110" i="8" a="1"/>
  <c r="I110" i="8" s="1"/>
  <c r="W109" i="8" a="1"/>
  <c r="W109" i="8" s="1"/>
  <c r="L109" i="8" a="1"/>
  <c r="L109" i="8" s="1"/>
  <c r="Y108" i="8" a="1"/>
  <c r="Y108" i="8" s="1"/>
  <c r="F107" i="8" a="1"/>
  <c r="F107" i="8" s="1"/>
  <c r="X126" i="8" a="1"/>
  <c r="X126" i="8" s="1"/>
  <c r="V125" i="8" a="1"/>
  <c r="V125" i="8" s="1"/>
  <c r="M125" i="8" a="1"/>
  <c r="M125" i="8" s="1"/>
  <c r="AA124" i="8" a="1"/>
  <c r="AA124" i="8" s="1"/>
  <c r="M124" i="8" a="1"/>
  <c r="M124" i="8" s="1"/>
  <c r="Z123" i="8" a="1"/>
  <c r="Z123" i="8" s="1"/>
  <c r="V122" i="8" a="1"/>
  <c r="V122" i="8" s="1"/>
  <c r="J122" i="8" a="1"/>
  <c r="J122" i="8" s="1"/>
  <c r="O121" i="8" a="1"/>
  <c r="O121" i="8" s="1"/>
  <c r="R120" i="8" a="1"/>
  <c r="R120" i="8" s="1"/>
  <c r="E120" i="8" a="1"/>
  <c r="E120" i="8" s="1"/>
  <c r="U119" i="8" a="1"/>
  <c r="U119" i="8" s="1"/>
  <c r="K119" i="8" a="1"/>
  <c r="K119" i="8" s="1"/>
  <c r="Y118" i="8" a="1"/>
  <c r="Y118" i="8" s="1"/>
  <c r="L118" i="8" a="1"/>
  <c r="L118" i="8" s="1"/>
  <c r="P117" i="8" a="1"/>
  <c r="P117" i="8" s="1"/>
  <c r="F117" i="8" a="1"/>
  <c r="F117" i="8" s="1"/>
  <c r="P116" i="8" a="1"/>
  <c r="P116" i="8" s="1"/>
  <c r="AB115" i="8" a="1"/>
  <c r="AB115" i="8" s="1"/>
  <c r="S115" i="8" a="1"/>
  <c r="S115" i="8" s="1"/>
  <c r="H115" i="8" a="1"/>
  <c r="H115" i="8" s="1"/>
  <c r="U114" i="8" a="1"/>
  <c r="U114" i="8" s="1"/>
  <c r="I114" i="8" a="1"/>
  <c r="I114" i="8" s="1"/>
  <c r="U113" i="8" a="1"/>
  <c r="U113" i="8" s="1"/>
  <c r="K113" i="8" a="1"/>
  <c r="K113" i="8" s="1"/>
  <c r="X112" i="8" a="1"/>
  <c r="X112" i="8" s="1"/>
  <c r="N112" i="8" a="1"/>
  <c r="N112" i="8" s="1"/>
  <c r="AB111" i="8" a="1"/>
  <c r="AB111" i="8" s="1"/>
  <c r="Q111" i="8" a="1"/>
  <c r="Q111" i="8" s="1"/>
  <c r="E111" i="8" a="1"/>
  <c r="E111" i="8" s="1"/>
  <c r="S110" i="8" a="1"/>
  <c r="S110" i="8" s="1"/>
  <c r="V109" i="8" a="1"/>
  <c r="V109" i="8" s="1"/>
  <c r="K109" i="8" a="1"/>
  <c r="K109" i="8" s="1"/>
  <c r="O108" i="8" a="1"/>
  <c r="O108" i="8" s="1"/>
  <c r="AB107" i="8" a="1"/>
  <c r="AB107" i="8" s="1"/>
  <c r="R107" i="8" a="1"/>
  <c r="R107" i="8" s="1"/>
  <c r="I106" i="8" a="1"/>
  <c r="I106" i="8" s="1"/>
  <c r="W105" i="8" a="1"/>
  <c r="W105" i="8" s="1"/>
  <c r="O104" i="8" a="1"/>
  <c r="O104" i="8" s="1"/>
  <c r="Q103" i="8" a="1"/>
  <c r="Q103" i="8" s="1"/>
  <c r="I102" i="8" a="1"/>
  <c r="I102" i="8" s="1"/>
  <c r="V101" i="8" a="1"/>
  <c r="V101" i="8" s="1"/>
  <c r="J101" i="8" a="1"/>
  <c r="J101" i="8" s="1"/>
  <c r="Y100" i="8" a="1"/>
  <c r="Y100" i="8" s="1"/>
  <c r="N100" i="8" a="1"/>
  <c r="N100" i="8" s="1"/>
  <c r="S98" i="8" a="1"/>
  <c r="S98" i="8" s="1"/>
  <c r="G98" i="8" a="1"/>
  <c r="G98" i="8" s="1"/>
  <c r="U97" i="8" a="1"/>
  <c r="U97" i="8" s="1"/>
  <c r="I97" i="8" a="1"/>
  <c r="I97" i="8" s="1"/>
  <c r="Z95" i="8" a="1"/>
  <c r="Z95" i="8" s="1"/>
  <c r="O95" i="8" a="1"/>
  <c r="O95" i="8" s="1"/>
  <c r="AA94" i="8" a="1"/>
  <c r="AA94" i="8" s="1"/>
  <c r="P94" i="8" a="1"/>
  <c r="P94" i="8" s="1"/>
  <c r="Y132" i="8" a="1"/>
  <c r="Y132" i="8" s="1"/>
  <c r="E130" i="8" a="1"/>
  <c r="E130" i="8" s="1"/>
  <c r="N127" i="8" a="1"/>
  <c r="N127" i="8" s="1"/>
  <c r="W126" i="8" a="1"/>
  <c r="W126" i="8" s="1"/>
  <c r="H126" i="8" a="1"/>
  <c r="H126" i="8" s="1"/>
  <c r="Z124" i="8" a="1"/>
  <c r="Z124" i="8" s="1"/>
  <c r="Q123" i="8" a="1"/>
  <c r="Q123" i="8" s="1"/>
  <c r="U122" i="8" a="1"/>
  <c r="U122" i="8" s="1"/>
  <c r="I122" i="8" a="1"/>
  <c r="I122" i="8" s="1"/>
  <c r="W121" i="8" a="1"/>
  <c r="W121" i="8" s="1"/>
  <c r="E121" i="8" a="1"/>
  <c r="E121" i="8" s="1"/>
  <c r="Q120" i="8" a="1"/>
  <c r="Q120" i="8" s="1"/>
  <c r="T119" i="8" a="1"/>
  <c r="T119" i="8" s="1"/>
  <c r="X118" i="8" a="1"/>
  <c r="X118" i="8" s="1"/>
  <c r="K118" i="8" a="1"/>
  <c r="K118" i="8" s="1"/>
  <c r="Y117" i="8" a="1"/>
  <c r="Y117" i="8" s="1"/>
  <c r="E117" i="8" a="1"/>
  <c r="E117" i="8" s="1"/>
  <c r="G115" i="8" a="1"/>
  <c r="G115" i="8" s="1"/>
  <c r="T114" i="8" a="1"/>
  <c r="T114" i="8" s="1"/>
  <c r="T113" i="8" a="1"/>
  <c r="T113" i="8" s="1"/>
  <c r="J113" i="8" a="1"/>
  <c r="J113" i="8" s="1"/>
  <c r="H110" i="8" a="1"/>
  <c r="H110" i="8" s="1"/>
  <c r="X108" i="8" a="1"/>
  <c r="X108" i="8" s="1"/>
  <c r="Q107" i="8" a="1"/>
  <c r="Q107" i="8" s="1"/>
  <c r="E107" i="8" a="1"/>
  <c r="E107" i="8" s="1"/>
  <c r="T106" i="8" a="1"/>
  <c r="T106" i="8" s="1"/>
  <c r="H106" i="8" a="1"/>
  <c r="H106" i="8" s="1"/>
  <c r="L105" i="8" a="1"/>
  <c r="L105" i="8" s="1"/>
  <c r="Y104" i="8" a="1"/>
  <c r="Y104" i="8" s="1"/>
  <c r="N104" i="8" a="1"/>
  <c r="N104" i="8" s="1"/>
  <c r="AB103" i="8" a="1"/>
  <c r="AB103" i="8" s="1"/>
  <c r="P103" i="8" a="1"/>
  <c r="P103" i="8" s="1"/>
  <c r="E103" i="8" a="1"/>
  <c r="E103" i="8" s="1"/>
  <c r="S102" i="8" a="1"/>
  <c r="S102" i="8" s="1"/>
  <c r="H102" i="8" a="1"/>
  <c r="H102" i="8" s="1"/>
  <c r="I101" i="8" a="1"/>
  <c r="I101" i="8" s="1"/>
  <c r="X100" i="8" a="1"/>
  <c r="X100" i="8" s="1"/>
  <c r="M100" i="8" a="1"/>
  <c r="M100" i="8" s="1"/>
  <c r="Z99" i="8" a="1"/>
  <c r="Z99" i="8" s="1"/>
  <c r="O99" i="8" a="1"/>
  <c r="O99" i="8" s="1"/>
  <c r="R98" i="8" a="1"/>
  <c r="R98" i="8" s="1"/>
  <c r="F98" i="8" a="1"/>
  <c r="F98" i="8" s="1"/>
  <c r="T97" i="8" a="1"/>
  <c r="T97" i="8" s="1"/>
  <c r="V96" i="8" a="1"/>
  <c r="V96" i="8" s="1"/>
  <c r="L96" i="8" a="1"/>
  <c r="L96" i="8" s="1"/>
  <c r="N95" i="8" a="1"/>
  <c r="N95" i="8" s="1"/>
  <c r="E94" i="8" a="1"/>
  <c r="E94" i="8" s="1"/>
  <c r="T93" i="8" a="1"/>
  <c r="T93" i="8" s="1"/>
  <c r="I93" i="8" a="1"/>
  <c r="I93" i="8" s="1"/>
  <c r="V92" i="8" a="1"/>
  <c r="V92" i="8" s="1"/>
  <c r="K92" i="8" a="1"/>
  <c r="K92" i="8" s="1"/>
  <c r="Z90" i="8" a="1"/>
  <c r="Z90" i="8" s="1"/>
  <c r="P90" i="8" a="1"/>
  <c r="P90" i="8" s="1"/>
  <c r="M137" i="8" a="1"/>
  <c r="M137" i="8" s="1"/>
  <c r="AA128" i="8" a="1"/>
  <c r="AA128" i="8" s="1"/>
  <c r="V126" i="8" a="1"/>
  <c r="V126" i="8" s="1"/>
  <c r="G126" i="8" a="1"/>
  <c r="G126" i="8" s="1"/>
  <c r="U125" i="8" a="1"/>
  <c r="U125" i="8" s="1"/>
  <c r="L125" i="8" a="1"/>
  <c r="L125" i="8" s="1"/>
  <c r="Y124" i="8" a="1"/>
  <c r="Y124" i="8" s="1"/>
  <c r="K124" i="8" a="1"/>
  <c r="K124" i="8" s="1"/>
  <c r="Y123" i="8" a="1"/>
  <c r="Y123" i="8" s="1"/>
  <c r="G123" i="8" a="1"/>
  <c r="G123" i="8" s="1"/>
  <c r="H122" i="8" a="1"/>
  <c r="H122" i="8" s="1"/>
  <c r="N121" i="8" a="1"/>
  <c r="N121" i="8" s="1"/>
  <c r="P120" i="8" a="1"/>
  <c r="P120" i="8" s="1"/>
  <c r="J119" i="8" a="1"/>
  <c r="J119" i="8" s="1"/>
  <c r="W118" i="8" a="1"/>
  <c r="W118" i="8" s="1"/>
  <c r="J118" i="8" a="1"/>
  <c r="J118" i="8" s="1"/>
  <c r="O117" i="8" a="1"/>
  <c r="O117" i="8" s="1"/>
  <c r="O116" i="8" a="1"/>
  <c r="O116" i="8" s="1"/>
  <c r="AA115" i="8" a="1"/>
  <c r="AA115" i="8" s="1"/>
  <c r="R115" i="8" a="1"/>
  <c r="R115" i="8" s="1"/>
  <c r="F115" i="8" a="1"/>
  <c r="F115" i="8" s="1"/>
  <c r="H114" i="8" a="1"/>
  <c r="H114" i="8" s="1"/>
  <c r="W112" i="8" a="1"/>
  <c r="W112" i="8" s="1"/>
  <c r="M112" i="8" a="1"/>
  <c r="M112" i="8" s="1"/>
  <c r="AA111" i="8" a="1"/>
  <c r="AA111" i="8" s="1"/>
  <c r="P111" i="8" a="1"/>
  <c r="P111" i="8" s="1"/>
  <c r="AB110" i="8" a="1"/>
  <c r="AB110" i="8" s="1"/>
  <c r="R110" i="8" a="1"/>
  <c r="R110" i="8" s="1"/>
  <c r="G110" i="8" a="1"/>
  <c r="G110" i="8" s="1"/>
  <c r="U109" i="8" a="1"/>
  <c r="U109" i="8" s="1"/>
  <c r="J109" i="8" a="1"/>
  <c r="J109" i="8" s="1"/>
  <c r="AA107" i="8" a="1"/>
  <c r="AA107" i="8" s="1"/>
  <c r="P107" i="8" a="1"/>
  <c r="P107" i="8" s="1"/>
  <c r="S106" i="8" a="1"/>
  <c r="S106" i="8" s="1"/>
  <c r="V105" i="8" a="1"/>
  <c r="V105" i="8" s="1"/>
  <c r="AA103" i="8" a="1"/>
  <c r="AA103" i="8" s="1"/>
  <c r="G102" i="8" a="1"/>
  <c r="G102" i="8" s="1"/>
  <c r="U101" i="8" a="1"/>
  <c r="U101" i="8" s="1"/>
  <c r="AB98" i="8" a="1"/>
  <c r="AB98" i="8" s="1"/>
  <c r="Q98" i="8" a="1"/>
  <c r="Q98" i="8" s="1"/>
  <c r="S97" i="8" a="1"/>
  <c r="S97" i="8" s="1"/>
  <c r="H97" i="8" a="1"/>
  <c r="H97" i="8" s="1"/>
  <c r="K96" i="8" a="1"/>
  <c r="K96" i="8" s="1"/>
  <c r="Y95" i="8" a="1"/>
  <c r="Y95" i="8" s="1"/>
  <c r="M95" i="8" a="1"/>
  <c r="M95" i="8" s="1"/>
  <c r="Z94" i="8" a="1"/>
  <c r="Z94" i="8" s="1"/>
  <c r="O94" i="8" a="1"/>
  <c r="O94" i="8" s="1"/>
  <c r="S93" i="8" a="1"/>
  <c r="S93" i="8" s="1"/>
  <c r="H93" i="8" a="1"/>
  <c r="H93" i="8" s="1"/>
  <c r="U92" i="8" a="1"/>
  <c r="U92" i="8" s="1"/>
  <c r="J92" i="8" a="1"/>
  <c r="J92" i="8" s="1"/>
  <c r="Z128" i="8" a="1"/>
  <c r="Z128" i="8" s="1"/>
  <c r="AA127" i="8" a="1"/>
  <c r="AA127" i="8" s="1"/>
  <c r="U126" i="8" a="1"/>
  <c r="U126" i="8" s="1"/>
  <c r="F126" i="8" a="1"/>
  <c r="F126" i="8" s="1"/>
  <c r="K125" i="8" a="1"/>
  <c r="K125" i="8" s="1"/>
  <c r="X124" i="8" a="1"/>
  <c r="X124" i="8" s="1"/>
  <c r="J124" i="8" a="1"/>
  <c r="J124" i="8" s="1"/>
  <c r="T122" i="8" a="1"/>
  <c r="T122" i="8" s="1"/>
  <c r="G122" i="8" a="1"/>
  <c r="G122" i="8" s="1"/>
  <c r="V121" i="8" a="1"/>
  <c r="V121" i="8" s="1"/>
  <c r="AB120" i="8" a="1"/>
  <c r="AB120" i="8" s="1"/>
  <c r="O120" i="8" a="1"/>
  <c r="O120" i="8" s="1"/>
  <c r="AB119" i="8" a="1"/>
  <c r="AB119" i="8" s="1"/>
  <c r="S119" i="8" a="1"/>
  <c r="S119" i="8" s="1"/>
  <c r="I119" i="8" a="1"/>
  <c r="I119" i="8" s="1"/>
  <c r="I118" i="8" a="1"/>
  <c r="I118" i="8" s="1"/>
  <c r="X117" i="8" a="1"/>
  <c r="X117" i="8" s="1"/>
  <c r="N117" i="8" a="1"/>
  <c r="N117" i="8" s="1"/>
  <c r="AB116" i="8" a="1"/>
  <c r="AB116" i="8" s="1"/>
  <c r="N116" i="8" a="1"/>
  <c r="N116" i="8" s="1"/>
  <c r="S114" i="8" a="1"/>
  <c r="S114" i="8" s="1"/>
  <c r="G114" i="8" a="1"/>
  <c r="G114" i="8" s="1"/>
  <c r="S113" i="8" a="1"/>
  <c r="S113" i="8" s="1"/>
  <c r="I113" i="8" a="1"/>
  <c r="I113" i="8" s="1"/>
  <c r="Z111" i="8" a="1"/>
  <c r="Z111" i="8" s="1"/>
  <c r="O111" i="8" a="1"/>
  <c r="O111" i="8" s="1"/>
  <c r="AA110" i="8" a="1"/>
  <c r="AA110" i="8" s="1"/>
  <c r="Q110" i="8" a="1"/>
  <c r="Q110" i="8" s="1"/>
  <c r="F110" i="8" a="1"/>
  <c r="F110" i="8" s="1"/>
  <c r="W108" i="8" a="1"/>
  <c r="W108" i="8" s="1"/>
  <c r="M108" i="8" a="1"/>
  <c r="M108" i="8" s="1"/>
  <c r="O107" i="8" a="1"/>
  <c r="O107" i="8" s="1"/>
  <c r="R106" i="8" a="1"/>
  <c r="R106" i="8" s="1"/>
  <c r="G106" i="8" a="1"/>
  <c r="G106" i="8" s="1"/>
  <c r="U105" i="8" a="1"/>
  <c r="U105" i="8" s="1"/>
  <c r="K105" i="8" a="1"/>
  <c r="K105" i="8" s="1"/>
  <c r="X104" i="8" a="1"/>
  <c r="X104" i="8" s="1"/>
  <c r="M104" i="8" a="1"/>
  <c r="M104" i="8" s="1"/>
  <c r="Z103" i="8" a="1"/>
  <c r="Z103" i="8" s="1"/>
  <c r="O103" i="8" a="1"/>
  <c r="O103" i="8" s="1"/>
  <c r="AB102" i="8" a="1"/>
  <c r="AB102" i="8" s="1"/>
  <c r="R102" i="8" a="1"/>
  <c r="R102" i="8" s="1"/>
  <c r="T101" i="8" a="1"/>
  <c r="T101" i="8" s="1"/>
  <c r="H101" i="8" a="1"/>
  <c r="H101" i="8" s="1"/>
  <c r="W100" i="8" a="1"/>
  <c r="W100" i="8" s="1"/>
  <c r="L100" i="8" a="1"/>
  <c r="L100" i="8" s="1"/>
  <c r="Y99" i="8" a="1"/>
  <c r="Y99" i="8" s="1"/>
  <c r="N99" i="8" a="1"/>
  <c r="N99" i="8" s="1"/>
  <c r="E98" i="8" a="1"/>
  <c r="E98" i="8" s="1"/>
  <c r="U96" i="8" a="1"/>
  <c r="U96" i="8" s="1"/>
  <c r="J96" i="8" a="1"/>
  <c r="J96" i="8" s="1"/>
  <c r="L95" i="8" a="1"/>
  <c r="L95" i="8" s="1"/>
  <c r="AB136" i="8" a="1"/>
  <c r="AB136" i="8" s="1"/>
  <c r="AB131" i="8" a="1"/>
  <c r="AB131" i="8" s="1"/>
  <c r="W128" i="8" a="1"/>
  <c r="W128" i="8" s="1"/>
  <c r="Z127" i="8" a="1"/>
  <c r="Z127" i="8" s="1"/>
  <c r="S126" i="8" a="1"/>
  <c r="S126" i="8" s="1"/>
  <c r="E126" i="8" a="1"/>
  <c r="E126" i="8" s="1"/>
  <c r="J125" i="8" a="1"/>
  <c r="J125" i="8" s="1"/>
  <c r="W124" i="8" a="1"/>
  <c r="W124" i="8" s="1"/>
  <c r="X123" i="8" a="1"/>
  <c r="X123" i="8" s="1"/>
  <c r="F123" i="8" a="1"/>
  <c r="F123" i="8" s="1"/>
  <c r="S122" i="8" a="1"/>
  <c r="S122" i="8" s="1"/>
  <c r="F122" i="8" a="1"/>
  <c r="F122" i="8" s="1"/>
  <c r="M121" i="8" a="1"/>
  <c r="M121" i="8" s="1"/>
  <c r="N120" i="8" a="1"/>
  <c r="N120" i="8" s="1"/>
  <c r="V118" i="8" a="1"/>
  <c r="V118" i="8" s="1"/>
  <c r="M117" i="8" a="1"/>
  <c r="M117" i="8" s="1"/>
  <c r="AA116" i="8" a="1"/>
  <c r="AA116" i="8" s="1"/>
  <c r="M116" i="8" a="1"/>
  <c r="M116" i="8" s="1"/>
  <c r="Z115" i="8" a="1"/>
  <c r="Z115" i="8" s="1"/>
  <c r="Q115" i="8" a="1"/>
  <c r="Q115" i="8" s="1"/>
  <c r="E115" i="8" a="1"/>
  <c r="E115" i="8" s="1"/>
  <c r="R114" i="8" a="1"/>
  <c r="R114" i="8" s="1"/>
  <c r="F114" i="8" a="1"/>
  <c r="F114" i="8" s="1"/>
  <c r="R113" i="8" a="1"/>
  <c r="R113" i="8" s="1"/>
  <c r="H113" i="8" a="1"/>
  <c r="H113" i="8" s="1"/>
  <c r="V112" i="8" a="1"/>
  <c r="V112" i="8" s="1"/>
  <c r="L112" i="8" a="1"/>
  <c r="L112" i="8" s="1"/>
  <c r="N111" i="8" a="1"/>
  <c r="N111" i="8" s="1"/>
  <c r="T109" i="8" a="1"/>
  <c r="T109" i="8" s="1"/>
  <c r="I109" i="8" a="1"/>
  <c r="I109" i="8" s="1"/>
  <c r="L108" i="8" a="1"/>
  <c r="L108" i="8" s="1"/>
  <c r="Z107" i="8" a="1"/>
  <c r="Z107" i="8" s="1"/>
  <c r="N107" i="8" a="1"/>
  <c r="N107" i="8" s="1"/>
  <c r="AB106" i="8" a="1"/>
  <c r="AB106" i="8" s="1"/>
  <c r="F106" i="8" a="1"/>
  <c r="F106" i="8" s="1"/>
  <c r="J105" i="8" a="1"/>
  <c r="J105" i="8" s="1"/>
  <c r="W104" i="8" a="1"/>
  <c r="W104" i="8" s="1"/>
  <c r="L104" i="8" a="1"/>
  <c r="L104" i="8" s="1"/>
  <c r="Y103" i="8" a="1"/>
  <c r="Y103" i="8" s="1"/>
  <c r="N103" i="8" a="1"/>
  <c r="N103" i="8" s="1"/>
  <c r="F102" i="8" a="1"/>
  <c r="F102" i="8" s="1"/>
  <c r="S101" i="8" a="1"/>
  <c r="S101" i="8" s="1"/>
  <c r="G101" i="8" a="1"/>
  <c r="G101" i="8" s="1"/>
  <c r="V100" i="8" a="1"/>
  <c r="V100" i="8" s="1"/>
  <c r="K100" i="8" a="1"/>
  <c r="K100" i="8" s="1"/>
  <c r="X99" i="8" a="1"/>
  <c r="X99" i="8" s="1"/>
  <c r="M99" i="8" a="1"/>
  <c r="M99" i="8" s="1"/>
  <c r="AA98" i="8" a="1"/>
  <c r="AA98" i="8" s="1"/>
  <c r="P98" i="8" a="1"/>
  <c r="P98" i="8" s="1"/>
  <c r="Q136" i="8" a="1"/>
  <c r="Q136" i="8" s="1"/>
  <c r="AA131" i="8" a="1"/>
  <c r="AA131" i="8" s="1"/>
  <c r="V129" i="8" a="1"/>
  <c r="V129" i="8" s="1"/>
  <c r="U128" i="8" a="1"/>
  <c r="U128" i="8" s="1"/>
  <c r="X127" i="8" a="1"/>
  <c r="X127" i="8" s="1"/>
  <c r="J127" i="8" a="1"/>
  <c r="J127" i="8" s="1"/>
  <c r="S125" i="8" a="1"/>
  <c r="S125" i="8" s="1"/>
  <c r="I125" i="8" a="1"/>
  <c r="I125" i="8" s="1"/>
  <c r="V124" i="8" a="1"/>
  <c r="V124" i="8" s="1"/>
  <c r="I124" i="8" a="1"/>
  <c r="I124" i="8" s="1"/>
  <c r="O123" i="8" a="1"/>
  <c r="O123" i="8" s="1"/>
  <c r="E122" i="8" a="1"/>
  <c r="E122" i="8" s="1"/>
  <c r="U121" i="8" a="1"/>
  <c r="U121" i="8" s="1"/>
  <c r="L121" i="8" a="1"/>
  <c r="L121" i="8" s="1"/>
  <c r="AA120" i="8" a="1"/>
  <c r="AA120" i="8" s="1"/>
  <c r="AA119" i="8" a="1"/>
  <c r="AA119" i="8" s="1"/>
  <c r="R119" i="8" a="1"/>
  <c r="R119" i="8" s="1"/>
  <c r="H119" i="8" a="1"/>
  <c r="H119" i="8" s="1"/>
  <c r="U118" i="8" a="1"/>
  <c r="U118" i="8" s="1"/>
  <c r="G118" i="8" a="1"/>
  <c r="G118" i="8" s="1"/>
  <c r="W117" i="8" a="1"/>
  <c r="W117" i="8" s="1"/>
  <c r="Z116" i="8" a="1"/>
  <c r="Z116" i="8" s="1"/>
  <c r="L116" i="8" a="1"/>
  <c r="L116" i="8" s="1"/>
  <c r="P115" i="8" a="1"/>
  <c r="P115" i="8" s="1"/>
  <c r="E114" i="8" a="1"/>
  <c r="E114" i="8" s="1"/>
  <c r="K112" i="8" a="1"/>
  <c r="K112" i="8" s="1"/>
  <c r="Y111" i="8" a="1"/>
  <c r="Y111" i="8" s="1"/>
  <c r="M111" i="8" a="1"/>
  <c r="M111" i="8" s="1"/>
  <c r="Z110" i="8" a="1"/>
  <c r="Z110" i="8" s="1"/>
  <c r="P110" i="8" a="1"/>
  <c r="P110" i="8" s="1"/>
  <c r="E110" i="8" a="1"/>
  <c r="E110" i="8" s="1"/>
  <c r="S109" i="8" a="1"/>
  <c r="S109" i="8" s="1"/>
  <c r="H109" i="8" a="1"/>
  <c r="H109" i="8" s="1"/>
  <c r="V108" i="8" a="1"/>
  <c r="V108" i="8" s="1"/>
  <c r="Y107" i="8" a="1"/>
  <c r="Y107" i="8" s="1"/>
  <c r="AA106" i="8" a="1"/>
  <c r="AA106" i="8" s="1"/>
  <c r="Q106" i="8" a="1"/>
  <c r="Q106" i="8" s="1"/>
  <c r="E106" i="8" a="1"/>
  <c r="E106" i="8" s="1"/>
  <c r="T105" i="8" a="1"/>
  <c r="T105" i="8" s="1"/>
  <c r="I105" i="8" a="1"/>
  <c r="I105" i="8" s="1"/>
  <c r="V104" i="8" a="1"/>
  <c r="V104" i="8" s="1"/>
  <c r="K104" i="8" a="1"/>
  <c r="K104" i="8" s="1"/>
  <c r="AA102" i="8" a="1"/>
  <c r="AA102" i="8" s="1"/>
  <c r="Q102" i="8" a="1"/>
  <c r="Q102" i="8" s="1"/>
  <c r="E102" i="8" a="1"/>
  <c r="E102" i="8" s="1"/>
  <c r="R101" i="8" a="1"/>
  <c r="R101" i="8" s="1"/>
  <c r="U100" i="8" a="1"/>
  <c r="U100" i="8" s="1"/>
  <c r="L99" i="8" a="1"/>
  <c r="L99" i="8" s="1"/>
  <c r="Z98" i="8" a="1"/>
  <c r="Z98" i="8" s="1"/>
  <c r="O98" i="8" a="1"/>
  <c r="O98" i="8" s="1"/>
  <c r="AB97" i="8" a="1"/>
  <c r="AB97" i="8" s="1"/>
  <c r="Q97" i="8" a="1"/>
  <c r="Q97" i="8" s="1"/>
  <c r="F97" i="8" a="1"/>
  <c r="F97" i="8" s="1"/>
  <c r="U129" i="8" a="1"/>
  <c r="U129" i="8" s="1"/>
  <c r="I127" i="8" a="1"/>
  <c r="I127" i="8" s="1"/>
  <c r="R126" i="8" a="1"/>
  <c r="R126" i="8" s="1"/>
  <c r="AB125" i="8" a="1"/>
  <c r="AB125" i="8" s="1"/>
  <c r="R125" i="8" a="1"/>
  <c r="R125" i="8" s="1"/>
  <c r="U124" i="8" a="1"/>
  <c r="U124" i="8" s="1"/>
  <c r="H124" i="8" a="1"/>
  <c r="H124" i="8" s="1"/>
  <c r="W123" i="8" a="1"/>
  <c r="W123" i="8" s="1"/>
  <c r="E123" i="8" a="1"/>
  <c r="E123" i="8" s="1"/>
  <c r="R122" i="8" a="1"/>
  <c r="R122" i="8" s="1"/>
  <c r="T121" i="8" a="1"/>
  <c r="T121" i="8" s="1"/>
  <c r="K121" i="8" a="1"/>
  <c r="K121" i="8" s="1"/>
  <c r="Z120" i="8" a="1"/>
  <c r="Z120" i="8" s="1"/>
  <c r="M120" i="8" a="1"/>
  <c r="M120" i="8" s="1"/>
  <c r="Q119" i="8" a="1"/>
  <c r="Q119" i="8" s="1"/>
  <c r="V117" i="8" a="1"/>
  <c r="V117" i="8" s="1"/>
  <c r="L117" i="8" a="1"/>
  <c r="L117" i="8" s="1"/>
  <c r="Y116" i="8" a="1"/>
  <c r="Y116" i="8" s="1"/>
  <c r="K116" i="8" a="1"/>
  <c r="K116" i="8" s="1"/>
  <c r="Y115" i="8" a="1"/>
  <c r="Y115" i="8" s="1"/>
  <c r="O115" i="8" a="1"/>
  <c r="O115" i="8" s="1"/>
  <c r="AB114" i="8" a="1"/>
  <c r="AB114" i="8" s="1"/>
  <c r="Q114" i="8" a="1"/>
  <c r="Q114" i="8" s="1"/>
  <c r="Q113" i="8" a="1"/>
  <c r="Q113" i="8" s="1"/>
  <c r="G113" i="8" a="1"/>
  <c r="G113" i="8" s="1"/>
  <c r="U112" i="8" a="1"/>
  <c r="U112" i="8" s="1"/>
  <c r="J112" i="8" a="1"/>
  <c r="J112" i="8" s="1"/>
  <c r="L111" i="8" a="1"/>
  <c r="L111" i="8" s="1"/>
  <c r="Y110" i="8" a="1"/>
  <c r="Y110" i="8" s="1"/>
  <c r="O110" i="8" a="1"/>
  <c r="O110" i="8" s="1"/>
  <c r="G109" i="8" a="1"/>
  <c r="G109" i="8" s="1"/>
  <c r="U108" i="8" a="1"/>
  <c r="U108" i="8" s="1"/>
  <c r="K108" i="8" a="1"/>
  <c r="K108" i="8" s="1"/>
  <c r="X107" i="8" a="1"/>
  <c r="X107" i="8" s="1"/>
  <c r="M107" i="8" a="1"/>
  <c r="M107" i="8" s="1"/>
  <c r="H105" i="8" a="1"/>
  <c r="H105" i="8" s="1"/>
  <c r="X103" i="8" a="1"/>
  <c r="X103" i="8" s="1"/>
  <c r="M103" i="8" a="1"/>
  <c r="M103" i="8" s="1"/>
  <c r="P102" i="8" a="1"/>
  <c r="P102" i="8" s="1"/>
  <c r="Q101" i="8" a="1"/>
  <c r="Q101" i="8" s="1"/>
  <c r="F101" i="8" a="1"/>
  <c r="F101" i="8" s="1"/>
  <c r="J100" i="8" a="1"/>
  <c r="J100" i="8" s="1"/>
  <c r="W99" i="8" a="1"/>
  <c r="W99" i="8" s="1"/>
  <c r="K99" i="8" a="1"/>
  <c r="K99" i="8" s="1"/>
  <c r="Y98" i="8" a="1"/>
  <c r="Y98" i="8" s="1"/>
  <c r="N98" i="8" a="1"/>
  <c r="N98" i="8" s="1"/>
  <c r="E97" i="8" a="1"/>
  <c r="E97" i="8" s="1"/>
  <c r="S96" i="8" a="1"/>
  <c r="S96" i="8" s="1"/>
  <c r="H96" i="8" a="1"/>
  <c r="H96" i="8" s="1"/>
  <c r="V95" i="8" a="1"/>
  <c r="V95" i="8" s="1"/>
  <c r="J95" i="8" a="1"/>
  <c r="J95" i="8" s="1"/>
  <c r="W94" i="8" a="1"/>
  <c r="W94" i="8" s="1"/>
  <c r="U135" i="8" a="1"/>
  <c r="U135" i="8" s="1"/>
  <c r="P128" i="8" a="1"/>
  <c r="P128" i="8" s="1"/>
  <c r="W127" i="8" a="1"/>
  <c r="W127" i="8" s="1"/>
  <c r="Q126" i="8" a="1"/>
  <c r="Q126" i="8" s="1"/>
  <c r="H125" i="8" a="1"/>
  <c r="H125" i="8" s="1"/>
  <c r="T124" i="8" a="1"/>
  <c r="T124" i="8" s="1"/>
  <c r="G124" i="8" a="1"/>
  <c r="G124" i="8" s="1"/>
  <c r="Q122" i="8" a="1"/>
  <c r="Q122" i="8" s="1"/>
  <c r="AB121" i="8" a="1"/>
  <c r="AB121" i="8" s="1"/>
  <c r="Y120" i="8" a="1"/>
  <c r="Y120" i="8" s="1"/>
  <c r="L120" i="8" a="1"/>
  <c r="L120" i="8" s="1"/>
  <c r="Z119" i="8" a="1"/>
  <c r="Z119" i="8" s="1"/>
  <c r="G119" i="8" a="1"/>
  <c r="G119" i="8" s="1"/>
  <c r="T118" i="8" a="1"/>
  <c r="T118" i="8" s="1"/>
  <c r="F118" i="8" a="1"/>
  <c r="F118" i="8" s="1"/>
  <c r="U117" i="8" a="1"/>
  <c r="U117" i="8" s="1"/>
  <c r="X116" i="8" a="1"/>
  <c r="X116" i="8" s="1"/>
  <c r="J116" i="8" a="1"/>
  <c r="J116" i="8" s="1"/>
  <c r="N115" i="8" a="1"/>
  <c r="N115" i="8" s="1"/>
  <c r="AB113" i="8" a="1"/>
  <c r="AB113" i="8" s="1"/>
  <c r="P113" i="8" a="1"/>
  <c r="P113" i="8" s="1"/>
  <c r="F113" i="8" a="1"/>
  <c r="F113" i="8" s="1"/>
  <c r="X111" i="8" a="1"/>
  <c r="X111" i="8" s="1"/>
  <c r="R109" i="8" a="1"/>
  <c r="R109" i="8" s="1"/>
  <c r="F109" i="8" a="1"/>
  <c r="F109" i="8" s="1"/>
  <c r="T108" i="8" a="1"/>
  <c r="T108" i="8" s="1"/>
  <c r="J108" i="8" a="1"/>
  <c r="J108" i="8" s="1"/>
  <c r="W107" i="8" a="1"/>
  <c r="W107" i="8" s="1"/>
  <c r="L107" i="8" a="1"/>
  <c r="L107" i="8" s="1"/>
  <c r="Z106" i="8" a="1"/>
  <c r="Z106" i="8" s="1"/>
  <c r="P106" i="8" a="1"/>
  <c r="P106" i="8" s="1"/>
  <c r="S105" i="8" a="1"/>
  <c r="S105" i="8" s="1"/>
  <c r="G105" i="8" a="1"/>
  <c r="G105" i="8" s="1"/>
  <c r="U104" i="8" a="1"/>
  <c r="U104" i="8" s="1"/>
  <c r="J104" i="8" a="1"/>
  <c r="J104" i="8" s="1"/>
  <c r="Z102" i="8" a="1"/>
  <c r="Z102" i="8" s="1"/>
  <c r="O102" i="8" a="1"/>
  <c r="O102" i="8" s="1"/>
  <c r="AB101" i="8" a="1"/>
  <c r="AB101" i="8" s="1"/>
  <c r="T100" i="8" a="1"/>
  <c r="T100" i="8" s="1"/>
  <c r="I100" i="8" a="1"/>
  <c r="I100" i="8" s="1"/>
  <c r="J99" i="8" a="1"/>
  <c r="J99" i="8" s="1"/>
  <c r="AA97" i="8" a="1"/>
  <c r="AA97" i="8" s="1"/>
  <c r="P97" i="8" a="1"/>
  <c r="P97" i="8" s="1"/>
  <c r="R96" i="8" a="1"/>
  <c r="R96" i="8" s="1"/>
  <c r="G96" i="8" a="1"/>
  <c r="G96" i="8" s="1"/>
  <c r="U95" i="8" a="1"/>
  <c r="U95" i="8" s="1"/>
  <c r="L94" i="8" a="1"/>
  <c r="L94" i="8" s="1"/>
  <c r="Z93" i="8" a="1"/>
  <c r="Z93" i="8" s="1"/>
  <c r="P93" i="8" a="1"/>
  <c r="P93" i="8" s="1"/>
  <c r="AB92" i="8" a="1"/>
  <c r="AB92" i="8" s="1"/>
  <c r="Q92" i="8" a="1"/>
  <c r="Q92" i="8" s="1"/>
  <c r="U91" i="8" a="1"/>
  <c r="U91" i="8" s="1"/>
  <c r="I91" i="8" a="1"/>
  <c r="I91" i="8" s="1"/>
  <c r="W90" i="8" a="1"/>
  <c r="W90" i="8" s="1"/>
  <c r="L135" i="8" a="1"/>
  <c r="L135" i="8" s="1"/>
  <c r="K131" i="8" a="1"/>
  <c r="K131" i="8" s="1"/>
  <c r="R129" i="8" a="1"/>
  <c r="R129" i="8" s="1"/>
  <c r="O128" i="8" a="1"/>
  <c r="O128" i="8" s="1"/>
  <c r="G127" i="8" a="1"/>
  <c r="G127" i="8" s="1"/>
  <c r="P126" i="8" a="1"/>
  <c r="P126" i="8" s="1"/>
  <c r="Z125" i="8" a="1"/>
  <c r="Z125" i="8" s="1"/>
  <c r="Q125" i="8" a="1"/>
  <c r="Q125" i="8" s="1"/>
  <c r="F124" i="8" a="1"/>
  <c r="F124" i="8" s="1"/>
  <c r="V123" i="8" a="1"/>
  <c r="V123" i="8" s="1"/>
  <c r="P122" i="8" a="1"/>
  <c r="P122" i="8" s="1"/>
  <c r="S121" i="8" a="1"/>
  <c r="S121" i="8" s="1"/>
  <c r="J121" i="8" a="1"/>
  <c r="J121" i="8" s="1"/>
  <c r="X120" i="8" a="1"/>
  <c r="X120" i="8" s="1"/>
  <c r="P119" i="8" a="1"/>
  <c r="P119" i="8" s="1"/>
  <c r="S118" i="8" a="1"/>
  <c r="S118" i="8" s="1"/>
  <c r="E118" i="8" a="1"/>
  <c r="E118" i="8" s="1"/>
  <c r="K117" i="8" a="1"/>
  <c r="K117" i="8" s="1"/>
  <c r="I116" i="8" a="1"/>
  <c r="I116" i="8" s="1"/>
  <c r="X115" i="8" a="1"/>
  <c r="X115" i="8" s="1"/>
  <c r="AA114" i="8" a="1"/>
  <c r="AA114" i="8" s="1"/>
  <c r="P114" i="8" a="1"/>
  <c r="P114" i="8" s="1"/>
  <c r="E113" i="8" a="1"/>
  <c r="E113" i="8" s="1"/>
  <c r="T112" i="8" a="1"/>
  <c r="T112" i="8" s="1"/>
  <c r="I112" i="8" a="1"/>
  <c r="I112" i="8" s="1"/>
  <c r="W111" i="8" a="1"/>
  <c r="W111" i="8" s="1"/>
  <c r="K111" i="8" a="1"/>
  <c r="K111" i="8" s="1"/>
  <c r="X110" i="8" a="1"/>
  <c r="X110" i="8" s="1"/>
  <c r="N110" i="8" a="1"/>
  <c r="N110" i="8" s="1"/>
  <c r="AB109" i="8" a="1"/>
  <c r="AB109" i="8" s="1"/>
  <c r="E109" i="8" a="1"/>
  <c r="E109" i="8" s="1"/>
  <c r="AB105" i="8" a="1"/>
  <c r="AB105" i="8" s="1"/>
  <c r="T104" i="8" a="1"/>
  <c r="T104" i="8" s="1"/>
  <c r="I104" i="8" a="1"/>
  <c r="I104" i="8" s="1"/>
  <c r="W103" i="8" a="1"/>
  <c r="W103" i="8" s="1"/>
  <c r="L103" i="8" a="1"/>
  <c r="L103" i="8" s="1"/>
  <c r="AA101" i="8" a="1"/>
  <c r="AA101" i="8" s="1"/>
  <c r="P101" i="8" a="1"/>
  <c r="P101" i="8" s="1"/>
  <c r="E101" i="8" a="1"/>
  <c r="E101" i="8" s="1"/>
  <c r="H100" i="8" a="1"/>
  <c r="H100" i="8" s="1"/>
  <c r="V99" i="8" a="1"/>
  <c r="V99" i="8" s="1"/>
  <c r="X98" i="8" a="1"/>
  <c r="X98" i="8" s="1"/>
  <c r="M98" i="8" a="1"/>
  <c r="M98" i="8" s="1"/>
  <c r="T95" i="8" a="1"/>
  <c r="T95" i="8" s="1"/>
  <c r="I95" i="8" a="1"/>
  <c r="I95" i="8" s="1"/>
  <c r="V94" i="8" a="1"/>
  <c r="V94" i="8" s="1"/>
  <c r="K94" i="8" a="1"/>
  <c r="K94" i="8" s="1"/>
  <c r="O93" i="8" a="1"/>
  <c r="O93" i="8" s="1"/>
  <c r="F92" i="8" a="1"/>
  <c r="F92" i="8" s="1"/>
  <c r="T91" i="8" a="1"/>
  <c r="T91" i="8" s="1"/>
  <c r="H91" i="8" a="1"/>
  <c r="H91" i="8" s="1"/>
  <c r="V90" i="8" a="1"/>
  <c r="V90" i="8" s="1"/>
  <c r="K90" i="8" a="1"/>
  <c r="K90" i="8" s="1"/>
  <c r="F140" i="8" a="1"/>
  <c r="F140" i="8" s="1"/>
  <c r="J131" i="8" a="1"/>
  <c r="J131" i="8" s="1"/>
  <c r="Q129" i="8" a="1"/>
  <c r="Q129" i="8" s="1"/>
  <c r="N128" i="8" a="1"/>
  <c r="N128" i="8" s="1"/>
  <c r="U127" i="8" a="1"/>
  <c r="U127" i="8" s="1"/>
  <c r="O126" i="8" a="1"/>
  <c r="O126" i="8" s="1"/>
  <c r="G125" i="8" a="1"/>
  <c r="G125" i="8" s="1"/>
  <c r="S124" i="8" a="1"/>
  <c r="S124" i="8" s="1"/>
  <c r="E124" i="8" a="1"/>
  <c r="E124" i="8" s="1"/>
  <c r="M123" i="8" a="1"/>
  <c r="M123" i="8" s="1"/>
  <c r="AB122" i="8" a="1"/>
  <c r="AB122" i="8" s="1"/>
  <c r="O122" i="8" a="1"/>
  <c r="O122" i="8" s="1"/>
  <c r="AA121" i="8" a="1"/>
  <c r="AA121" i="8" s="1"/>
  <c r="W120" i="8" a="1"/>
  <c r="W120" i="8" s="1"/>
  <c r="K120" i="8" a="1"/>
  <c r="K120" i="8" s="1"/>
  <c r="Y119" i="8" a="1"/>
  <c r="Y119" i="8" s="1"/>
  <c r="F119" i="8" a="1"/>
  <c r="F119" i="8" s="1"/>
  <c r="R118" i="8" a="1"/>
  <c r="R118" i="8" s="1"/>
  <c r="T117" i="8" a="1"/>
  <c r="T117" i="8" s="1"/>
  <c r="W116" i="8" a="1"/>
  <c r="W116" i="8" s="1"/>
  <c r="H116" i="8" a="1"/>
  <c r="H116" i="8" s="1"/>
  <c r="W115" i="8" a="1"/>
  <c r="W115" i="8" s="1"/>
  <c r="M115" i="8" a="1"/>
  <c r="M115" i="8" s="1"/>
  <c r="Z114" i="8" a="1"/>
  <c r="Z114" i="8" s="1"/>
  <c r="O114" i="8" a="1"/>
  <c r="O114" i="8" s="1"/>
  <c r="AA113" i="8" a="1"/>
  <c r="AA113" i="8" s="1"/>
  <c r="O113" i="8" a="1"/>
  <c r="O113" i="8" s="1"/>
  <c r="S112" i="8" a="1"/>
  <c r="S112" i="8" s="1"/>
  <c r="H112" i="8" a="1"/>
  <c r="H112" i="8" s="1"/>
  <c r="V111" i="8" a="1"/>
  <c r="V111" i="8" s="1"/>
  <c r="J111" i="8" a="1"/>
  <c r="J111" i="8" s="1"/>
  <c r="AA109" i="8" a="1"/>
  <c r="AA109" i="8" s="1"/>
  <c r="Q109" i="8" a="1"/>
  <c r="Q109" i="8" s="1"/>
  <c r="S108" i="8" a="1"/>
  <c r="S108" i="8" s="1"/>
  <c r="I108" i="8" a="1"/>
  <c r="I108" i="8" s="1"/>
  <c r="V107" i="8" a="1"/>
  <c r="V107" i="8" s="1"/>
  <c r="K107" i="8" a="1"/>
  <c r="K107" i="8" s="1"/>
  <c r="Y106" i="8" a="1"/>
  <c r="Y106" i="8" s="1"/>
  <c r="O106" i="8" a="1"/>
  <c r="O106" i="8" s="1"/>
  <c r="R105" i="8" a="1"/>
  <c r="R105" i="8" s="1"/>
  <c r="F105" i="8" a="1"/>
  <c r="F105" i="8" s="1"/>
  <c r="S104" i="8" a="1"/>
  <c r="S104" i="8" s="1"/>
  <c r="V103" i="8" a="1"/>
  <c r="V103" i="8" s="1"/>
  <c r="K103" i="8" a="1"/>
  <c r="K103" i="8" s="1"/>
  <c r="Y102" i="8" a="1"/>
  <c r="Y102" i="8" s="1"/>
  <c r="N102" i="8" a="1"/>
  <c r="N102" i="8" s="1"/>
  <c r="Z101" i="8" a="1"/>
  <c r="Z101" i="8" s="1"/>
  <c r="AA134" i="8" a="1"/>
  <c r="AA134" i="8" s="1"/>
  <c r="L128" i="8" a="1"/>
  <c r="L128" i="8" s="1"/>
  <c r="T127" i="8" a="1"/>
  <c r="T127" i="8" s="1"/>
  <c r="F127" i="8" a="1"/>
  <c r="F127" i="8" s="1"/>
  <c r="M126" i="8" a="1"/>
  <c r="M126" i="8" s="1"/>
  <c r="Y125" i="8" a="1"/>
  <c r="Y125" i="8" s="1"/>
  <c r="P125" i="8" a="1"/>
  <c r="P125" i="8" s="1"/>
  <c r="F125" i="8" a="1"/>
  <c r="F125" i="8" s="1"/>
  <c r="R124" i="8" a="1"/>
  <c r="R124" i="8" s="1"/>
  <c r="U123" i="8" a="1"/>
  <c r="U123" i="8" s="1"/>
  <c r="AA122" i="8" a="1"/>
  <c r="AA122" i="8" s="1"/>
  <c r="N122" i="8" a="1"/>
  <c r="N122" i="8" s="1"/>
  <c r="R121" i="8" a="1"/>
  <c r="R121" i="8" s="1"/>
  <c r="I121" i="8" a="1"/>
  <c r="I121" i="8" s="1"/>
  <c r="V120" i="8" a="1"/>
  <c r="V120" i="8" s="1"/>
  <c r="J120" i="8" a="1"/>
  <c r="J120" i="8" s="1"/>
  <c r="O119" i="8" a="1"/>
  <c r="O119" i="8" s="1"/>
  <c r="E119" i="8" a="1"/>
  <c r="E119" i="8" s="1"/>
  <c r="Q118" i="8" a="1"/>
  <c r="Q118" i="8" s="1"/>
  <c r="V116" i="8" a="1"/>
  <c r="V116" i="8" s="1"/>
  <c r="N114" i="8" a="1"/>
  <c r="N114" i="8" s="1"/>
  <c r="R112" i="8" a="1"/>
  <c r="R112" i="8" s="1"/>
  <c r="U111" i="8" a="1"/>
  <c r="U111" i="8" s="1"/>
  <c r="W110" i="8" a="1"/>
  <c r="W110" i="8" s="1"/>
  <c r="M110" i="8" a="1"/>
  <c r="M110" i="8" s="1"/>
  <c r="P109" i="8" a="1"/>
  <c r="P109" i="8" s="1"/>
  <c r="AB108" i="8" a="1"/>
  <c r="AB108" i="8" s="1"/>
  <c r="R108" i="8" a="1"/>
  <c r="R108" i="8" s="1"/>
  <c r="H108" i="8" a="1"/>
  <c r="H108" i="8" s="1"/>
  <c r="N106" i="8" a="1"/>
  <c r="N106" i="8" s="1"/>
  <c r="AA105" i="8" a="1"/>
  <c r="AA105" i="8" s="1"/>
  <c r="Q105" i="8" a="1"/>
  <c r="Q105" i="8" s="1"/>
  <c r="H104" i="8" a="1"/>
  <c r="H104" i="8" s="1"/>
  <c r="J103" i="8" a="1"/>
  <c r="J103" i="8" s="1"/>
  <c r="X102" i="8" a="1"/>
  <c r="X102" i="8" s="1"/>
  <c r="M102" i="8" a="1"/>
  <c r="M102" i="8" s="1"/>
  <c r="G100" i="8" a="1"/>
  <c r="G100" i="8" s="1"/>
  <c r="T99" i="8" a="1"/>
  <c r="T99" i="8" s="1"/>
  <c r="H99" i="8" a="1"/>
  <c r="H99" i="8" s="1"/>
  <c r="V98" i="8" a="1"/>
  <c r="V98" i="8" s="1"/>
  <c r="Y97" i="8" a="1"/>
  <c r="Y97" i="8" s="1"/>
  <c r="N97" i="8" a="1"/>
  <c r="N97" i="8" s="1"/>
  <c r="AA96" i="8" a="1"/>
  <c r="AA96" i="8" s="1"/>
  <c r="P96" i="8" a="1"/>
  <c r="P96" i="8" s="1"/>
  <c r="E96" i="8" a="1"/>
  <c r="E96" i="8" s="1"/>
  <c r="S95" i="8" a="1"/>
  <c r="S95" i="8" s="1"/>
  <c r="H95" i="8" a="1"/>
  <c r="H95" i="8" s="1"/>
  <c r="U94" i="8" a="1"/>
  <c r="U94" i="8" s="1"/>
  <c r="J94" i="8" a="1"/>
  <c r="J94" i="8" s="1"/>
  <c r="X93" i="8" a="1"/>
  <c r="X93" i="8" s="1"/>
  <c r="M93" i="8" a="1"/>
  <c r="M93" i="8" s="1"/>
  <c r="Z92" i="8" a="1"/>
  <c r="Z92" i="8" s="1"/>
  <c r="V139" i="8" a="1"/>
  <c r="V139" i="8" s="1"/>
  <c r="Y130" i="8" a="1"/>
  <c r="Y130" i="8" s="1"/>
  <c r="S127" i="8" a="1"/>
  <c r="S127" i="8" s="1"/>
  <c r="E127" i="8" a="1"/>
  <c r="E127" i="8" s="1"/>
  <c r="L126" i="8" a="1"/>
  <c r="L126" i="8" s="1"/>
  <c r="L123" i="8" a="1"/>
  <c r="L123" i="8" s="1"/>
  <c r="M122" i="8" a="1"/>
  <c r="M122" i="8" s="1"/>
  <c r="Z121" i="8" a="1"/>
  <c r="Z121" i="8" s="1"/>
  <c r="H121" i="8" a="1"/>
  <c r="H121" i="8" s="1"/>
  <c r="I120" i="8" a="1"/>
  <c r="I120" i="8" s="1"/>
  <c r="X119" i="8" a="1"/>
  <c r="X119" i="8" s="1"/>
  <c r="P118" i="8" a="1"/>
  <c r="P118" i="8" s="1"/>
  <c r="AB117" i="8" a="1"/>
  <c r="AB117" i="8" s="1"/>
  <c r="S117" i="8" a="1"/>
  <c r="S117" i="8" s="1"/>
  <c r="I117" i="8" a="1"/>
  <c r="I117" i="8" s="1"/>
  <c r="U116" i="8" a="1"/>
  <c r="U116" i="8" s="1"/>
  <c r="G116" i="8" a="1"/>
  <c r="G116" i="8" s="1"/>
  <c r="V115" i="8" a="1"/>
  <c r="V115" i="8" s="1"/>
  <c r="L115" i="8" a="1"/>
  <c r="L115" i="8" s="1"/>
  <c r="Y114" i="8" a="1"/>
  <c r="Y114" i="8" s="1"/>
  <c r="M114" i="8" a="1"/>
  <c r="M114" i="8" s="1"/>
  <c r="Z113" i="8" a="1"/>
  <c r="Z113" i="8" s="1"/>
  <c r="N113" i="8" a="1"/>
  <c r="N113" i="8" s="1"/>
  <c r="AB112" i="8" a="1"/>
  <c r="AB112" i="8" s="1"/>
  <c r="G112" i="8" a="1"/>
  <c r="G112" i="8" s="1"/>
  <c r="T111" i="8" a="1"/>
  <c r="T111" i="8" s="1"/>
  <c r="I111" i="8" a="1"/>
  <c r="I111" i="8" s="1"/>
  <c r="L110" i="8" a="1"/>
  <c r="L110" i="8" s="1"/>
  <c r="Z109" i="8" a="1"/>
  <c r="Z109" i="8" s="1"/>
  <c r="O109" i="8" a="1"/>
  <c r="O109" i="8" s="1"/>
  <c r="G108" i="8" a="1"/>
  <c r="G108" i="8" s="1"/>
  <c r="U107" i="8" a="1"/>
  <c r="U107" i="8" s="1"/>
  <c r="J107" i="8" a="1"/>
  <c r="J107" i="8" s="1"/>
  <c r="X106" i="8" a="1"/>
  <c r="X106" i="8" s="1"/>
  <c r="M106" i="8" a="1"/>
  <c r="M106" i="8" s="1"/>
  <c r="P105" i="8" a="1"/>
  <c r="P105" i="8" s="1"/>
  <c r="R104" i="8" a="1"/>
  <c r="R104" i="8" s="1"/>
  <c r="G104" i="8" a="1"/>
  <c r="G104" i="8" s="1"/>
  <c r="U103" i="8" a="1"/>
  <c r="U103" i="8" s="1"/>
  <c r="I103" i="8" a="1"/>
  <c r="I103" i="8" s="1"/>
  <c r="W102" i="8" a="1"/>
  <c r="W102" i="8" s="1"/>
  <c r="L102" i="8" a="1"/>
  <c r="L102" i="8" s="1"/>
  <c r="Y101" i="8" a="1"/>
  <c r="Y101" i="8" s="1"/>
  <c r="N101" i="8" a="1"/>
  <c r="N101" i="8" s="1"/>
  <c r="AB100" i="8" a="1"/>
  <c r="AB100" i="8" s="1"/>
  <c r="R100" i="8" a="1"/>
  <c r="R100" i="8" s="1"/>
  <c r="F100" i="8" a="1"/>
  <c r="F100" i="8" s="1"/>
  <c r="S99" i="8" a="1"/>
  <c r="S99" i="8" s="1"/>
  <c r="K98" i="8" a="1"/>
  <c r="K98" i="8" s="1"/>
  <c r="M97" i="8" a="1"/>
  <c r="M97" i="8" s="1"/>
  <c r="Z96" i="8" a="1"/>
  <c r="Z96" i="8" s="1"/>
  <c r="O96" i="8" a="1"/>
  <c r="O96" i="8" s="1"/>
  <c r="X130" i="8" a="1"/>
  <c r="X130" i="8" s="1"/>
  <c r="I128" i="8" a="1"/>
  <c r="I128" i="8" s="1"/>
  <c r="K126" i="8" a="1"/>
  <c r="K126" i="8" s="1"/>
  <c r="X125" i="8" a="1"/>
  <c r="X125" i="8" s="1"/>
  <c r="O125" i="8" a="1"/>
  <c r="O125" i="8" s="1"/>
  <c r="E125" i="8" a="1"/>
  <c r="E125" i="8" s="1"/>
  <c r="Q124" i="8" a="1"/>
  <c r="Q124" i="8" s="1"/>
  <c r="AB123" i="8" a="1"/>
  <c r="AB123" i="8" s="1"/>
  <c r="K123" i="8" a="1"/>
  <c r="K123" i="8" s="1"/>
  <c r="Z122" i="8" a="1"/>
  <c r="Z122" i="8" s="1"/>
  <c r="Q121" i="8" a="1"/>
  <c r="Q121" i="8" s="1"/>
  <c r="U120" i="8" a="1"/>
  <c r="U120" i="8" s="1"/>
  <c r="H120" i="8" a="1"/>
  <c r="H120" i="8" s="1"/>
  <c r="N119" i="8" a="1"/>
  <c r="N119" i="8" s="1"/>
  <c r="O118" i="8" a="1"/>
  <c r="O118" i="8" s="1"/>
  <c r="R117" i="8" a="1"/>
  <c r="R117" i="8" s="1"/>
  <c r="T116" i="8" a="1"/>
  <c r="T116" i="8" s="1"/>
  <c r="F116" i="8" a="1"/>
  <c r="F116" i="8" s="1"/>
  <c r="K115" i="8" a="1"/>
  <c r="K115" i="8" s="1"/>
  <c r="Y113" i="8" a="1"/>
  <c r="Y113" i="8" s="1"/>
  <c r="AA112" i="8" a="1"/>
  <c r="AA112" i="8" s="1"/>
  <c r="Q112" i="8" a="1"/>
  <c r="Q112" i="8" s="1"/>
  <c r="F112" i="8" a="1"/>
  <c r="F112" i="8" s="1"/>
  <c r="V110" i="8" a="1"/>
  <c r="V110" i="8" s="1"/>
  <c r="K110" i="8" a="1"/>
  <c r="K110" i="8" s="1"/>
  <c r="N109" i="8" a="1"/>
  <c r="N109" i="8" s="1"/>
  <c r="AA108" i="8" a="1"/>
  <c r="AA108" i="8" s="1"/>
  <c r="Q108" i="8" a="1"/>
  <c r="Q108" i="8" s="1"/>
  <c r="T107" i="8" a="1"/>
  <c r="T107" i="8" s="1"/>
  <c r="I107" i="8" a="1"/>
  <c r="I107" i="8" s="1"/>
  <c r="Z105" i="8" a="1"/>
  <c r="Z105" i="8" s="1"/>
  <c r="O105" i="8" a="1"/>
  <c r="O105" i="8" s="1"/>
  <c r="AB104" i="8" a="1"/>
  <c r="AB104" i="8" s="1"/>
  <c r="F104" i="8" a="1"/>
  <c r="F104" i="8" s="1"/>
  <c r="H103" i="8" a="1"/>
  <c r="H103" i="8" s="1"/>
  <c r="Q100" i="8" a="1"/>
  <c r="Q100" i="8" s="1"/>
  <c r="E100" i="8" a="1"/>
  <c r="E100" i="8" s="1"/>
  <c r="R99" i="8" a="1"/>
  <c r="R99" i="8" s="1"/>
  <c r="G99" i="8" a="1"/>
  <c r="G99" i="8" s="1"/>
  <c r="U98" i="8" a="1"/>
  <c r="U98" i="8" s="1"/>
  <c r="J98" i="8" a="1"/>
  <c r="J98" i="8" s="1"/>
  <c r="X97" i="8" a="1"/>
  <c r="X97" i="8" s="1"/>
  <c r="L97" i="8" a="1"/>
  <c r="L97" i="8" s="1"/>
  <c r="F95" i="8" a="1"/>
  <c r="F95" i="8" s="1"/>
  <c r="H128" i="8" a="1"/>
  <c r="H128" i="8" s="1"/>
  <c r="Q127" i="8" a="1"/>
  <c r="Q127" i="8" s="1"/>
  <c r="AA126" i="8" a="1"/>
  <c r="AA126" i="8" s="1"/>
  <c r="P124" i="8" a="1"/>
  <c r="P124" i="8" s="1"/>
  <c r="S123" i="8" a="1"/>
  <c r="S123" i="8" s="1"/>
  <c r="J123" i="8" a="1"/>
  <c r="J123" i="8" s="1"/>
  <c r="Y122" i="8" a="1"/>
  <c r="Y122" i="8" s="1"/>
  <c r="L122" i="8" a="1"/>
  <c r="L122" i="8" s="1"/>
  <c r="Y121" i="8" a="1"/>
  <c r="Y121" i="8" s="1"/>
  <c r="G121" i="8" a="1"/>
  <c r="G121" i="8" s="1"/>
  <c r="T120" i="8" a="1"/>
  <c r="T120" i="8" s="1"/>
  <c r="G120" i="8" a="1"/>
  <c r="G120" i="8" s="1"/>
  <c r="W119" i="8" a="1"/>
  <c r="W119" i="8" s="1"/>
  <c r="M119" i="8" a="1"/>
  <c r="M119" i="8" s="1"/>
  <c r="AB118" i="8" a="1"/>
  <c r="AB118" i="8" s="1"/>
  <c r="AA117" i="8" a="1"/>
  <c r="AA117" i="8" s="1"/>
  <c r="H117" i="8" a="1"/>
  <c r="H117" i="8" s="1"/>
  <c r="S116" i="8" a="1"/>
  <c r="S116" i="8" s="1"/>
  <c r="E116" i="8" a="1"/>
  <c r="E116" i="8" s="1"/>
  <c r="U115" i="8" a="1"/>
  <c r="U115" i="8" s="1"/>
  <c r="X114" i="8" a="1"/>
  <c r="X114" i="8" s="1"/>
  <c r="L114" i="8" a="1"/>
  <c r="L114" i="8" s="1"/>
  <c r="X113" i="8" a="1"/>
  <c r="X113" i="8" s="1"/>
  <c r="M113" i="8" a="1"/>
  <c r="M113" i="8" s="1"/>
  <c r="Y109" i="8" a="1"/>
  <c r="Y109" i="8" s="1"/>
  <c r="T102" i="8" a="1"/>
  <c r="T102" i="8" s="1"/>
  <c r="Z97" i="8" a="1"/>
  <c r="Z97" i="8" s="1"/>
  <c r="M96" i="8" a="1"/>
  <c r="M96" i="8" s="1"/>
  <c r="G95" i="8" a="1"/>
  <c r="G95" i="8" s="1"/>
  <c r="Y92" i="8" a="1"/>
  <c r="Y92" i="8" s="1"/>
  <c r="I92" i="8" a="1"/>
  <c r="I92" i="8" s="1"/>
  <c r="O90" i="8" a="1"/>
  <c r="O90" i="8" s="1"/>
  <c r="Q89" i="8" a="1"/>
  <c r="Q89" i="8" s="1"/>
  <c r="R88" i="8" a="1"/>
  <c r="R88" i="8" s="1"/>
  <c r="G88" i="8" a="1"/>
  <c r="G88" i="8" s="1"/>
  <c r="H87" i="8" a="1"/>
  <c r="H87" i="8" s="1"/>
  <c r="V86" i="8" a="1"/>
  <c r="V86" i="8" s="1"/>
  <c r="K86" i="8" a="1"/>
  <c r="K86" i="8" s="1"/>
  <c r="W85" i="8" a="1"/>
  <c r="W85" i="8" s="1"/>
  <c r="L85" i="8" a="1"/>
  <c r="L85" i="8" s="1"/>
  <c r="Z84" i="8" a="1"/>
  <c r="Z84" i="8" s="1"/>
  <c r="P84" i="8" a="1"/>
  <c r="P84" i="8" s="1"/>
  <c r="Q83" i="8" a="1"/>
  <c r="Q83" i="8" s="1"/>
  <c r="E83" i="8" a="1"/>
  <c r="E83" i="8" s="1"/>
  <c r="T82" i="8" a="1"/>
  <c r="T82" i="8" s="1"/>
  <c r="I82" i="8" a="1"/>
  <c r="I82" i="8" s="1"/>
  <c r="W81" i="8" a="1"/>
  <c r="W81" i="8" s="1"/>
  <c r="X80" i="8" a="1"/>
  <c r="X80" i="8" s="1"/>
  <c r="N80" i="8" a="1"/>
  <c r="N80" i="8" s="1"/>
  <c r="AB78" i="8" a="1"/>
  <c r="AB78" i="8" s="1"/>
  <c r="Q78" i="8" a="1"/>
  <c r="Q78" i="8" s="1"/>
  <c r="F78" i="8" a="1"/>
  <c r="F78" i="8" s="1"/>
  <c r="T77" i="8" a="1"/>
  <c r="T77" i="8" s="1"/>
  <c r="H77" i="8" a="1"/>
  <c r="H77" i="8" s="1"/>
  <c r="U76" i="8" a="1"/>
  <c r="U76" i="8" s="1"/>
  <c r="J76" i="8" a="1"/>
  <c r="J76" i="8" s="1"/>
  <c r="W75" i="8" a="1"/>
  <c r="W75" i="8" s="1"/>
  <c r="K75" i="8" a="1"/>
  <c r="K75" i="8" s="1"/>
  <c r="N74" i="8" a="1"/>
  <c r="N74" i="8" s="1"/>
  <c r="AB73" i="8" a="1"/>
  <c r="AB73" i="8" s="1"/>
  <c r="P73" i="8" a="1"/>
  <c r="P73" i="8" s="1"/>
  <c r="AB72" i="8" a="1"/>
  <c r="AB72" i="8" s="1"/>
  <c r="G72" i="8" a="1"/>
  <c r="G72" i="8" s="1"/>
  <c r="H71" i="8" a="1"/>
  <c r="H71" i="8" s="1"/>
  <c r="V70" i="8" a="1"/>
  <c r="V70" i="8" s="1"/>
  <c r="K70" i="8" a="1"/>
  <c r="K70" i="8" s="1"/>
  <c r="X69" i="8" a="1"/>
  <c r="X69" i="8" s="1"/>
  <c r="M69" i="8" a="1"/>
  <c r="M69" i="8" s="1"/>
  <c r="Q67" i="8" a="1"/>
  <c r="Q67" i="8" s="1"/>
  <c r="F67" i="8" a="1"/>
  <c r="F67" i="8" s="1"/>
  <c r="T66" i="8" a="1"/>
  <c r="T66" i="8" s="1"/>
  <c r="I66" i="8" a="1"/>
  <c r="I66" i="8" s="1"/>
  <c r="W65" i="8" a="1"/>
  <c r="W65" i="8" s="1"/>
  <c r="X64" i="8" a="1"/>
  <c r="X64" i="8" s="1"/>
  <c r="R62" i="8" a="1"/>
  <c r="R62" i="8" s="1"/>
  <c r="G62" i="8" a="1"/>
  <c r="G62" i="8" s="1"/>
  <c r="U61" i="8" a="1"/>
  <c r="U61" i="8" s="1"/>
  <c r="J61" i="8" a="1"/>
  <c r="J61" i="8" s="1"/>
  <c r="W60" i="8" a="1"/>
  <c r="W60" i="8" s="1"/>
  <c r="L60" i="8" a="1"/>
  <c r="L60" i="8" s="1"/>
  <c r="M109" i="8" a="1"/>
  <c r="M109" i="8" s="1"/>
  <c r="K102" i="8" a="1"/>
  <c r="K102" i="8" s="1"/>
  <c r="AA99" i="8" a="1"/>
  <c r="AA99" i="8" s="1"/>
  <c r="E95" i="8" a="1"/>
  <c r="E95" i="8" s="1"/>
  <c r="I94" i="8" a="1"/>
  <c r="I94" i="8" s="1"/>
  <c r="S91" i="8" a="1"/>
  <c r="S91" i="8" s="1"/>
  <c r="AB90" i="8" a="1"/>
  <c r="AB90" i="8" s="1"/>
  <c r="N90" i="8" a="1"/>
  <c r="N90" i="8" s="1"/>
  <c r="AA89" i="8" a="1"/>
  <c r="AA89" i="8" s="1"/>
  <c r="P89" i="8" a="1"/>
  <c r="P89" i="8" s="1"/>
  <c r="AB88" i="8" a="1"/>
  <c r="AB88" i="8" s="1"/>
  <c r="F88" i="8" a="1"/>
  <c r="F88" i="8" s="1"/>
  <c r="T87" i="8" a="1"/>
  <c r="T87" i="8" s="1"/>
  <c r="U86" i="8" a="1"/>
  <c r="U86" i="8" s="1"/>
  <c r="J86" i="8" a="1"/>
  <c r="J86" i="8" s="1"/>
  <c r="K85" i="8" a="1"/>
  <c r="K85" i="8" s="1"/>
  <c r="Y84" i="8" a="1"/>
  <c r="Y84" i="8" s="1"/>
  <c r="AB83" i="8" a="1"/>
  <c r="AB83" i="8" s="1"/>
  <c r="P83" i="8" a="1"/>
  <c r="P83" i="8" s="1"/>
  <c r="V81" i="8" a="1"/>
  <c r="V81" i="8" s="1"/>
  <c r="J81" i="8" a="1"/>
  <c r="J81" i="8" s="1"/>
  <c r="W80" i="8" a="1"/>
  <c r="W80" i="8" s="1"/>
  <c r="AA79" i="8" a="1"/>
  <c r="AA79" i="8" s="1"/>
  <c r="P79" i="8" a="1"/>
  <c r="P79" i="8" s="1"/>
  <c r="AA78" i="8" a="1"/>
  <c r="AA78" i="8" s="1"/>
  <c r="P78" i="8" a="1"/>
  <c r="P78" i="8" s="1"/>
  <c r="S77" i="8" a="1"/>
  <c r="S77" i="8" s="1"/>
  <c r="G77" i="8" a="1"/>
  <c r="G77" i="8" s="1"/>
  <c r="T76" i="8" a="1"/>
  <c r="T76" i="8" s="1"/>
  <c r="I76" i="8" a="1"/>
  <c r="I76" i="8" s="1"/>
  <c r="V75" i="8" a="1"/>
  <c r="V75" i="8" s="1"/>
  <c r="X74" i="8" a="1"/>
  <c r="X74" i="8" s="1"/>
  <c r="M74" i="8" a="1"/>
  <c r="M74" i="8" s="1"/>
  <c r="O73" i="8" a="1"/>
  <c r="O73" i="8" s="1"/>
  <c r="AA72" i="8" a="1"/>
  <c r="AA72" i="8" s="1"/>
  <c r="Q72" i="8" a="1"/>
  <c r="Q72" i="8" s="1"/>
  <c r="F72" i="8" a="1"/>
  <c r="F72" i="8" s="1"/>
  <c r="T71" i="8" a="1"/>
  <c r="T71" i="8" s="1"/>
  <c r="U70" i="8" a="1"/>
  <c r="U70" i="8" s="1"/>
  <c r="W69" i="8" a="1"/>
  <c r="W69" i="8" s="1"/>
  <c r="L69" i="8" a="1"/>
  <c r="L69" i="8" s="1"/>
  <c r="Z68" i="8" a="1"/>
  <c r="Z68" i="8" s="1"/>
  <c r="O68" i="8" a="1"/>
  <c r="O68" i="8" s="1"/>
  <c r="AB67" i="8" a="1"/>
  <c r="AB67" i="8" s="1"/>
  <c r="P67" i="8" a="1"/>
  <c r="P67" i="8" s="1"/>
  <c r="E67" i="8" a="1"/>
  <c r="E67" i="8" s="1"/>
  <c r="V65" i="8" a="1"/>
  <c r="V65" i="8" s="1"/>
  <c r="J65" i="8" a="1"/>
  <c r="J65" i="8" s="1"/>
  <c r="W64" i="8" a="1"/>
  <c r="W64" i="8" s="1"/>
  <c r="M64" i="8" a="1"/>
  <c r="M64" i="8" s="1"/>
  <c r="AA63" i="8" a="1"/>
  <c r="AA63" i="8" s="1"/>
  <c r="P63" i="8" a="1"/>
  <c r="P63" i="8" s="1"/>
  <c r="AB62" i="8" a="1"/>
  <c r="AB62" i="8" s="1"/>
  <c r="Q62" i="8" a="1"/>
  <c r="Q62" i="8" s="1"/>
  <c r="P59" i="8" a="1"/>
  <c r="P59" i="8" s="1"/>
  <c r="E59" i="8" a="1"/>
  <c r="E59" i="8" s="1"/>
  <c r="S58" i="8" a="1"/>
  <c r="S58" i="8" s="1"/>
  <c r="M105" i="8" a="1"/>
  <c r="M105" i="8" s="1"/>
  <c r="U99" i="8" a="1"/>
  <c r="U99" i="8" s="1"/>
  <c r="V97" i="8" a="1"/>
  <c r="V97" i="8" s="1"/>
  <c r="I96" i="8" a="1"/>
  <c r="I96" i="8" s="1"/>
  <c r="H94" i="8" a="1"/>
  <c r="H94" i="8" s="1"/>
  <c r="R93" i="8" a="1"/>
  <c r="R93" i="8" s="1"/>
  <c r="X92" i="8" a="1"/>
  <c r="X92" i="8" s="1"/>
  <c r="H92" i="8" a="1"/>
  <c r="H92" i="8" s="1"/>
  <c r="AA90" i="8" a="1"/>
  <c r="AA90" i="8" s="1"/>
  <c r="M90" i="8" a="1"/>
  <c r="M90" i="8" s="1"/>
  <c r="Z89" i="8" a="1"/>
  <c r="Z89" i="8" s="1"/>
  <c r="O89" i="8" a="1"/>
  <c r="O89" i="8" s="1"/>
  <c r="AA88" i="8" a="1"/>
  <c r="AA88" i="8" s="1"/>
  <c r="Q88" i="8" a="1"/>
  <c r="Q88" i="8" s="1"/>
  <c r="S87" i="8" a="1"/>
  <c r="S87" i="8" s="1"/>
  <c r="G87" i="8" a="1"/>
  <c r="G87" i="8" s="1"/>
  <c r="T86" i="8" a="1"/>
  <c r="T86" i="8" s="1"/>
  <c r="V85" i="8" a="1"/>
  <c r="V85" i="8" s="1"/>
  <c r="J85" i="8" a="1"/>
  <c r="J85" i="8" s="1"/>
  <c r="O84" i="8" a="1"/>
  <c r="O84" i="8" s="1"/>
  <c r="AA83" i="8" a="1"/>
  <c r="AA83" i="8" s="1"/>
  <c r="S82" i="8" a="1"/>
  <c r="S82" i="8" s="1"/>
  <c r="H82" i="8" a="1"/>
  <c r="H82" i="8" s="1"/>
  <c r="U81" i="8" a="1"/>
  <c r="U81" i="8" s="1"/>
  <c r="I81" i="8" a="1"/>
  <c r="I81" i="8" s="1"/>
  <c r="M80" i="8" a="1"/>
  <c r="M80" i="8" s="1"/>
  <c r="Z79" i="8" a="1"/>
  <c r="Z79" i="8" s="1"/>
  <c r="O79" i="8" a="1"/>
  <c r="O79" i="8" s="1"/>
  <c r="E78" i="8" a="1"/>
  <c r="E78" i="8" s="1"/>
  <c r="F77" i="8" a="1"/>
  <c r="F77" i="8" s="1"/>
  <c r="J75" i="8" a="1"/>
  <c r="J75" i="8" s="1"/>
  <c r="AA73" i="8" a="1"/>
  <c r="AA73" i="8" s="1"/>
  <c r="S71" i="8" a="1"/>
  <c r="S71" i="8" s="1"/>
  <c r="G71" i="8" a="1"/>
  <c r="G71" i="8" s="1"/>
  <c r="T70" i="8" a="1"/>
  <c r="T70" i="8" s="1"/>
  <c r="J70" i="8" a="1"/>
  <c r="J70" i="8" s="1"/>
  <c r="K69" i="8" a="1"/>
  <c r="K69" i="8" s="1"/>
  <c r="Y68" i="8" a="1"/>
  <c r="Y68" i="8" s="1"/>
  <c r="N68" i="8" a="1"/>
  <c r="N68" i="8" s="1"/>
  <c r="AA67" i="8" a="1"/>
  <c r="AA67" i="8" s="1"/>
  <c r="S66" i="8" a="1"/>
  <c r="S66" i="8" s="1"/>
  <c r="H66" i="8" a="1"/>
  <c r="H66" i="8" s="1"/>
  <c r="U65" i="8" a="1"/>
  <c r="U65" i="8" s="1"/>
  <c r="I65" i="8" a="1"/>
  <c r="I65" i="8" s="1"/>
  <c r="Z63" i="8" a="1"/>
  <c r="Z63" i="8" s="1"/>
  <c r="O63" i="8" a="1"/>
  <c r="O63" i="8" s="1"/>
  <c r="AA62" i="8" a="1"/>
  <c r="AA62" i="8" s="1"/>
  <c r="P62" i="8" a="1"/>
  <c r="P62" i="8" s="1"/>
  <c r="F62" i="8" a="1"/>
  <c r="F62" i="8" s="1"/>
  <c r="T61" i="8" a="1"/>
  <c r="T61" i="8" s="1"/>
  <c r="I61" i="8" a="1"/>
  <c r="I61" i="8" s="1"/>
  <c r="V60" i="8" a="1"/>
  <c r="V60" i="8" s="1"/>
  <c r="K60" i="8" a="1"/>
  <c r="K60" i="8" s="1"/>
  <c r="Z59" i="8" a="1"/>
  <c r="Z59" i="8" s="1"/>
  <c r="O59" i="8" a="1"/>
  <c r="O59" i="8" s="1"/>
  <c r="R58" i="8" a="1"/>
  <c r="R58" i="8" s="1"/>
  <c r="H58" i="8" a="1"/>
  <c r="H58" i="8" s="1"/>
  <c r="V57" i="8" a="1"/>
  <c r="V57" i="8" s="1"/>
  <c r="O56" i="8" a="1"/>
  <c r="O56" i="8" s="1"/>
  <c r="Z108" i="8" a="1"/>
  <c r="Z108" i="8" s="1"/>
  <c r="R97" i="8" a="1"/>
  <c r="R97" i="8" s="1"/>
  <c r="F96" i="8" a="1"/>
  <c r="F96" i="8" s="1"/>
  <c r="AB94" i="8" a="1"/>
  <c r="AB94" i="8" s="1"/>
  <c r="W92" i="8" a="1"/>
  <c r="W92" i="8" s="1"/>
  <c r="G92" i="8" a="1"/>
  <c r="G92" i="8" s="1"/>
  <c r="R91" i="8" a="1"/>
  <c r="R91" i="8" s="1"/>
  <c r="E88" i="8" a="1"/>
  <c r="E88" i="8" s="1"/>
  <c r="R87" i="8" a="1"/>
  <c r="R87" i="8" s="1"/>
  <c r="F87" i="8" a="1"/>
  <c r="F87" i="8" s="1"/>
  <c r="I86" i="8" a="1"/>
  <c r="I86" i="8" s="1"/>
  <c r="I85" i="8" a="1"/>
  <c r="I85" i="8" s="1"/>
  <c r="X84" i="8" a="1"/>
  <c r="X84" i="8" s="1"/>
  <c r="N84" i="8" a="1"/>
  <c r="N84" i="8" s="1"/>
  <c r="Z83" i="8" a="1"/>
  <c r="Z83" i="8" s="1"/>
  <c r="O83" i="8" a="1"/>
  <c r="O83" i="8" s="1"/>
  <c r="AB82" i="8" a="1"/>
  <c r="AB82" i="8" s="1"/>
  <c r="R82" i="8" a="1"/>
  <c r="R82" i="8" s="1"/>
  <c r="G82" i="8" a="1"/>
  <c r="G82" i="8" s="1"/>
  <c r="T81" i="8" a="1"/>
  <c r="T81" i="8" s="1"/>
  <c r="H81" i="8" a="1"/>
  <c r="H81" i="8" s="1"/>
  <c r="V80" i="8" a="1"/>
  <c r="V80" i="8" s="1"/>
  <c r="N79" i="8" a="1"/>
  <c r="N79" i="8" s="1"/>
  <c r="Z78" i="8" a="1"/>
  <c r="Z78" i="8" s="1"/>
  <c r="O78" i="8" a="1"/>
  <c r="O78" i="8" s="1"/>
  <c r="R77" i="8" a="1"/>
  <c r="R77" i="8" s="1"/>
  <c r="E77" i="8" a="1"/>
  <c r="E77" i="8" s="1"/>
  <c r="S76" i="8" a="1"/>
  <c r="S76" i="8" s="1"/>
  <c r="H76" i="8" a="1"/>
  <c r="H76" i="8" s="1"/>
  <c r="U75" i="8" a="1"/>
  <c r="U75" i="8" s="1"/>
  <c r="I75" i="8" a="1"/>
  <c r="I75" i="8" s="1"/>
  <c r="W74" i="8" a="1"/>
  <c r="W74" i="8" s="1"/>
  <c r="L74" i="8" a="1"/>
  <c r="L74" i="8" s="1"/>
  <c r="Z73" i="8" a="1"/>
  <c r="Z73" i="8" s="1"/>
  <c r="N73" i="8" a="1"/>
  <c r="N73" i="8" s="1"/>
  <c r="Z72" i="8" a="1"/>
  <c r="Z72" i="8" s="1"/>
  <c r="P72" i="8" a="1"/>
  <c r="P72" i="8" s="1"/>
  <c r="E72" i="8" a="1"/>
  <c r="E72" i="8" s="1"/>
  <c r="R71" i="8" a="1"/>
  <c r="R71" i="8" s="1"/>
  <c r="F71" i="8" a="1"/>
  <c r="F71" i="8" s="1"/>
  <c r="V69" i="8" a="1"/>
  <c r="V69" i="8" s="1"/>
  <c r="J69" i="8" a="1"/>
  <c r="J69" i="8" s="1"/>
  <c r="X68" i="8" a="1"/>
  <c r="X68" i="8" s="1"/>
  <c r="M68" i="8" a="1"/>
  <c r="M68" i="8" s="1"/>
  <c r="Z67" i="8" a="1"/>
  <c r="Z67" i="8" s="1"/>
  <c r="O67" i="8" a="1"/>
  <c r="O67" i="8" s="1"/>
  <c r="R66" i="8" a="1"/>
  <c r="R66" i="8" s="1"/>
  <c r="G66" i="8" a="1"/>
  <c r="G66" i="8" s="1"/>
  <c r="T65" i="8" a="1"/>
  <c r="T65" i="8" s="1"/>
  <c r="V64" i="8" a="1"/>
  <c r="V64" i="8" s="1"/>
  <c r="L64" i="8" a="1"/>
  <c r="L64" i="8" s="1"/>
  <c r="N63" i="8" a="1"/>
  <c r="N63" i="8" s="1"/>
  <c r="S61" i="8" a="1"/>
  <c r="S61" i="8" s="1"/>
  <c r="H61" i="8" a="1"/>
  <c r="H61" i="8" s="1"/>
  <c r="U60" i="8" a="1"/>
  <c r="U60" i="8" s="1"/>
  <c r="J60" i="8" a="1"/>
  <c r="J60" i="8" s="1"/>
  <c r="Y59" i="8" a="1"/>
  <c r="Y59" i="8" s="1"/>
  <c r="N59" i="8" a="1"/>
  <c r="N59" i="8" s="1"/>
  <c r="U57" i="8" a="1"/>
  <c r="U57" i="8" s="1"/>
  <c r="AA104" i="8" a="1"/>
  <c r="AA104" i="8" s="1"/>
  <c r="X101" i="8" a="1"/>
  <c r="X101" i="8" s="1"/>
  <c r="P99" i="8" a="1"/>
  <c r="P99" i="8" s="1"/>
  <c r="O97" i="8" a="1"/>
  <c r="O97" i="8" s="1"/>
  <c r="Y94" i="8" a="1"/>
  <c r="Y94" i="8" s="1"/>
  <c r="F94" i="8" a="1"/>
  <c r="F94" i="8" s="1"/>
  <c r="Q93" i="8" a="1"/>
  <c r="Q93" i="8" s="1"/>
  <c r="E92" i="8" a="1"/>
  <c r="E92" i="8" s="1"/>
  <c r="Q91" i="8" a="1"/>
  <c r="Q91" i="8" s="1"/>
  <c r="Y90" i="8" a="1"/>
  <c r="Y90" i="8" s="1"/>
  <c r="L90" i="8" a="1"/>
  <c r="L90" i="8" s="1"/>
  <c r="Y89" i="8" a="1"/>
  <c r="Y89" i="8" s="1"/>
  <c r="N89" i="8" a="1"/>
  <c r="N89" i="8" s="1"/>
  <c r="Z88" i="8" a="1"/>
  <c r="Z88" i="8" s="1"/>
  <c r="P88" i="8" a="1"/>
  <c r="P88" i="8" s="1"/>
  <c r="Q87" i="8" a="1"/>
  <c r="Q87" i="8" s="1"/>
  <c r="E87" i="8" a="1"/>
  <c r="E87" i="8" s="1"/>
  <c r="S86" i="8" a="1"/>
  <c r="S86" i="8" s="1"/>
  <c r="H86" i="8" a="1"/>
  <c r="H86" i="8" s="1"/>
  <c r="U85" i="8" a="1"/>
  <c r="U85" i="8" s="1"/>
  <c r="M84" i="8" a="1"/>
  <c r="M84" i="8" s="1"/>
  <c r="F82" i="8" a="1"/>
  <c r="F82" i="8" s="1"/>
  <c r="S81" i="8" a="1"/>
  <c r="S81" i="8" s="1"/>
  <c r="L80" i="8" a="1"/>
  <c r="L80" i="8" s="1"/>
  <c r="Y79" i="8" a="1"/>
  <c r="Y79" i="8" s="1"/>
  <c r="M79" i="8" a="1"/>
  <c r="M79" i="8" s="1"/>
  <c r="Y78" i="8" a="1"/>
  <c r="Y78" i="8" s="1"/>
  <c r="R76" i="8" a="1"/>
  <c r="R76" i="8" s="1"/>
  <c r="G76" i="8" a="1"/>
  <c r="G76" i="8" s="1"/>
  <c r="T75" i="8" a="1"/>
  <c r="T75" i="8" s="1"/>
  <c r="H75" i="8" a="1"/>
  <c r="H75" i="8" s="1"/>
  <c r="V74" i="8" a="1"/>
  <c r="V74" i="8" s="1"/>
  <c r="K74" i="8" a="1"/>
  <c r="K74" i="8" s="1"/>
  <c r="Y73" i="8" a="1"/>
  <c r="Y73" i="8" s="1"/>
  <c r="M73" i="8" a="1"/>
  <c r="M73" i="8" s="1"/>
  <c r="O72" i="8" a="1"/>
  <c r="O72" i="8" s="1"/>
  <c r="Q71" i="8" a="1"/>
  <c r="Q71" i="8" s="1"/>
  <c r="E71" i="8" a="1"/>
  <c r="E71" i="8" s="1"/>
  <c r="S70" i="8" a="1"/>
  <c r="S70" i="8" s="1"/>
  <c r="I70" i="8" a="1"/>
  <c r="I70" i="8" s="1"/>
  <c r="I69" i="8" a="1"/>
  <c r="I69" i="8" s="1"/>
  <c r="AB66" i="8" a="1"/>
  <c r="AB66" i="8" s="1"/>
  <c r="Q66" i="8" a="1"/>
  <c r="Q66" i="8" s="1"/>
  <c r="F66" i="8" a="1"/>
  <c r="F66" i="8" s="1"/>
  <c r="S65" i="8" a="1"/>
  <c r="S65" i="8" s="1"/>
  <c r="H65" i="8" a="1"/>
  <c r="H65" i="8" s="1"/>
  <c r="K64" i="8" a="1"/>
  <c r="K64" i="8" s="1"/>
  <c r="Y63" i="8" a="1"/>
  <c r="Y63" i="8" s="1"/>
  <c r="M63" i="8" a="1"/>
  <c r="M63" i="8" s="1"/>
  <c r="Z62" i="8" a="1"/>
  <c r="Z62" i="8" s="1"/>
  <c r="O62" i="8" a="1"/>
  <c r="O62" i="8" s="1"/>
  <c r="E62" i="8" a="1"/>
  <c r="E62" i="8" s="1"/>
  <c r="G61" i="8" a="1"/>
  <c r="G61" i="8" s="1"/>
  <c r="T60" i="8" a="1"/>
  <c r="T60" i="8" s="1"/>
  <c r="I60" i="8" a="1"/>
  <c r="I60" i="8" s="1"/>
  <c r="AB58" i="8" a="1"/>
  <c r="AB58" i="8" s="1"/>
  <c r="Q58" i="8" a="1"/>
  <c r="Q58" i="8" s="1"/>
  <c r="G58" i="8" a="1"/>
  <c r="G58" i="8" s="1"/>
  <c r="J57" i="8" a="1"/>
  <c r="J57" i="8" s="1"/>
  <c r="F108" i="8" a="1"/>
  <c r="F108" i="8" s="1"/>
  <c r="Z104" i="8" a="1"/>
  <c r="Z104" i="8" s="1"/>
  <c r="I99" i="8" a="1"/>
  <c r="I99" i="8" s="1"/>
  <c r="K97" i="8" a="1"/>
  <c r="K97" i="8" s="1"/>
  <c r="AB95" i="8" a="1"/>
  <c r="AB95" i="8" s="1"/>
  <c r="X94" i="8" a="1"/>
  <c r="X94" i="8" s="1"/>
  <c r="N93" i="8" a="1"/>
  <c r="N93" i="8" s="1"/>
  <c r="T92" i="8" a="1"/>
  <c r="T92" i="8" s="1"/>
  <c r="O91" i="8" a="1"/>
  <c r="O91" i="8" s="1"/>
  <c r="J90" i="8" a="1"/>
  <c r="J90" i="8" s="1"/>
  <c r="X89" i="8" a="1"/>
  <c r="X89" i="8" s="1"/>
  <c r="M89" i="8" a="1"/>
  <c r="M89" i="8" s="1"/>
  <c r="O88" i="8" a="1"/>
  <c r="O88" i="8" s="1"/>
  <c r="P87" i="8" a="1"/>
  <c r="P87" i="8" s="1"/>
  <c r="G86" i="8" a="1"/>
  <c r="G86" i="8" s="1"/>
  <c r="T85" i="8" a="1"/>
  <c r="T85" i="8" s="1"/>
  <c r="H85" i="8" a="1"/>
  <c r="H85" i="8" s="1"/>
  <c r="W84" i="8" a="1"/>
  <c r="W84" i="8" s="1"/>
  <c r="Y83" i="8" a="1"/>
  <c r="Y83" i="8" s="1"/>
  <c r="N83" i="8" a="1"/>
  <c r="N83" i="8" s="1"/>
  <c r="AA82" i="8" a="1"/>
  <c r="AA82" i="8" s="1"/>
  <c r="Q82" i="8" a="1"/>
  <c r="Q82" i="8" s="1"/>
  <c r="G81" i="8" a="1"/>
  <c r="G81" i="8" s="1"/>
  <c r="U80" i="8" a="1"/>
  <c r="U80" i="8" s="1"/>
  <c r="K80" i="8" a="1"/>
  <c r="K80" i="8" s="1"/>
  <c r="L79" i="8" a="1"/>
  <c r="L79" i="8" s="1"/>
  <c r="X78" i="8" a="1"/>
  <c r="X78" i="8" s="1"/>
  <c r="N78" i="8" a="1"/>
  <c r="N78" i="8" s="1"/>
  <c r="AB77" i="8" a="1"/>
  <c r="AB77" i="8" s="1"/>
  <c r="Q77" i="8" a="1"/>
  <c r="Q77" i="8" s="1"/>
  <c r="AB76" i="8" a="1"/>
  <c r="AB76" i="8" s="1"/>
  <c r="Q76" i="8" a="1"/>
  <c r="Q76" i="8" s="1"/>
  <c r="G75" i="8" a="1"/>
  <c r="G75" i="8" s="1"/>
  <c r="U74" i="8" a="1"/>
  <c r="U74" i="8" s="1"/>
  <c r="J74" i="8" a="1"/>
  <c r="J74" i="8" s="1"/>
  <c r="X73" i="8" a="1"/>
  <c r="X73" i="8" s="1"/>
  <c r="L73" i="8" a="1"/>
  <c r="L73" i="8" s="1"/>
  <c r="Y72" i="8" a="1"/>
  <c r="Y72" i="8" s="1"/>
  <c r="N72" i="8" a="1"/>
  <c r="N72" i="8" s="1"/>
  <c r="P71" i="8" a="1"/>
  <c r="P71" i="8" s="1"/>
  <c r="H70" i="8" a="1"/>
  <c r="H70" i="8" s="1"/>
  <c r="U69" i="8" a="1"/>
  <c r="U69" i="8" s="1"/>
  <c r="W68" i="8" a="1"/>
  <c r="W68" i="8" s="1"/>
  <c r="L68" i="8" a="1"/>
  <c r="L68" i="8" s="1"/>
  <c r="Y67" i="8" a="1"/>
  <c r="Y67" i="8" s="1"/>
  <c r="N67" i="8" a="1"/>
  <c r="N67" i="8" s="1"/>
  <c r="U64" i="8" a="1"/>
  <c r="U64" i="8" s="1"/>
  <c r="J64" i="8" a="1"/>
  <c r="J64" i="8" s="1"/>
  <c r="L63" i="8" a="1"/>
  <c r="L63" i="8" s="1"/>
  <c r="Y62" i="8" a="1"/>
  <c r="Y62" i="8" s="1"/>
  <c r="R61" i="8" a="1"/>
  <c r="R61" i="8" s="1"/>
  <c r="F61" i="8" a="1"/>
  <c r="F61" i="8" s="1"/>
  <c r="X59" i="8" a="1"/>
  <c r="X59" i="8" s="1"/>
  <c r="M59" i="8" a="1"/>
  <c r="M59" i="8" s="1"/>
  <c r="AA58" i="8" a="1"/>
  <c r="AA58" i="8" s="1"/>
  <c r="F58" i="8" a="1"/>
  <c r="F58" i="8" s="1"/>
  <c r="T57" i="8" a="1"/>
  <c r="T57" i="8" s="1"/>
  <c r="Z112" i="8" a="1"/>
  <c r="Z112" i="8" s="1"/>
  <c r="Q104" i="8" a="1"/>
  <c r="Q104" i="8" s="1"/>
  <c r="O101" i="8" a="1"/>
  <c r="O101" i="8" s="1"/>
  <c r="J97" i="8" a="1"/>
  <c r="J97" i="8" s="1"/>
  <c r="AA95" i="8" a="1"/>
  <c r="AA95" i="8" s="1"/>
  <c r="AB91" i="8" a="1"/>
  <c r="AB91" i="8" s="1"/>
  <c r="N91" i="8" a="1"/>
  <c r="N91" i="8" s="1"/>
  <c r="X90" i="8" a="1"/>
  <c r="X90" i="8" s="1"/>
  <c r="L89" i="8" a="1"/>
  <c r="L89" i="8" s="1"/>
  <c r="Y88" i="8" a="1"/>
  <c r="Y88" i="8" s="1"/>
  <c r="N88" i="8" a="1"/>
  <c r="N88" i="8" s="1"/>
  <c r="AB87" i="8" a="1"/>
  <c r="AB87" i="8" s="1"/>
  <c r="AB86" i="8" a="1"/>
  <c r="AB86" i="8" s="1"/>
  <c r="R86" i="8" a="1"/>
  <c r="R86" i="8" s="1"/>
  <c r="S85" i="8" a="1"/>
  <c r="S85" i="8" s="1"/>
  <c r="G85" i="8" a="1"/>
  <c r="G85" i="8" s="1"/>
  <c r="V84" i="8" a="1"/>
  <c r="V84" i="8" s="1"/>
  <c r="L84" i="8" a="1"/>
  <c r="L84" i="8" s="1"/>
  <c r="X83" i="8" a="1"/>
  <c r="X83" i="8" s="1"/>
  <c r="M83" i="8" a="1"/>
  <c r="M83" i="8" s="1"/>
  <c r="Z82" i="8" a="1"/>
  <c r="Z82" i="8" s="1"/>
  <c r="E82" i="8" a="1"/>
  <c r="E82" i="8" s="1"/>
  <c r="R81" i="8" a="1"/>
  <c r="R81" i="8" s="1"/>
  <c r="F81" i="8" a="1"/>
  <c r="F81" i="8" s="1"/>
  <c r="J80" i="8" a="1"/>
  <c r="J80" i="8" s="1"/>
  <c r="X79" i="8" a="1"/>
  <c r="X79" i="8" s="1"/>
  <c r="AA77" i="8" a="1"/>
  <c r="AA77" i="8" s="1"/>
  <c r="P77" i="8" a="1"/>
  <c r="P77" i="8" s="1"/>
  <c r="F76" i="8" a="1"/>
  <c r="F76" i="8" s="1"/>
  <c r="S75" i="8" a="1"/>
  <c r="S75" i="8" s="1"/>
  <c r="F75" i="8" a="1"/>
  <c r="F75" i="8" s="1"/>
  <c r="W73" i="8" a="1"/>
  <c r="W73" i="8" s="1"/>
  <c r="AB71" i="8" a="1"/>
  <c r="AB71" i="8" s="1"/>
  <c r="AB70" i="8" a="1"/>
  <c r="AB70" i="8" s="1"/>
  <c r="R70" i="8" a="1"/>
  <c r="R70" i="8" s="1"/>
  <c r="G70" i="8" a="1"/>
  <c r="G70" i="8" s="1"/>
  <c r="T69" i="8" a="1"/>
  <c r="T69" i="8" s="1"/>
  <c r="H69" i="8" a="1"/>
  <c r="H69" i="8" s="1"/>
  <c r="V68" i="8" a="1"/>
  <c r="V68" i="8" s="1"/>
  <c r="X67" i="8" a="1"/>
  <c r="X67" i="8" s="1"/>
  <c r="M67" i="8" a="1"/>
  <c r="M67" i="8" s="1"/>
  <c r="AA66" i="8" a="1"/>
  <c r="AA66" i="8" s="1"/>
  <c r="P66" i="8" a="1"/>
  <c r="P66" i="8" s="1"/>
  <c r="E66" i="8" a="1"/>
  <c r="E66" i="8" s="1"/>
  <c r="R65" i="8" a="1"/>
  <c r="R65" i="8" s="1"/>
  <c r="G65" i="8" a="1"/>
  <c r="G65" i="8" s="1"/>
  <c r="X63" i="8" a="1"/>
  <c r="X63" i="8" s="1"/>
  <c r="X62" i="8" a="1"/>
  <c r="X62" i="8" s="1"/>
  <c r="N62" i="8" a="1"/>
  <c r="N62" i="8" s="1"/>
  <c r="E61" i="8" a="1"/>
  <c r="E61" i="8" s="1"/>
  <c r="S60" i="8" a="1"/>
  <c r="S60" i="8" s="1"/>
  <c r="H60" i="8" a="1"/>
  <c r="H60" i="8" s="1"/>
  <c r="W59" i="8" a="1"/>
  <c r="W59" i="8" s="1"/>
  <c r="L59" i="8" a="1"/>
  <c r="L59" i="8" s="1"/>
  <c r="Z58" i="8" a="1"/>
  <c r="Z58" i="8" s="1"/>
  <c r="P112" i="8" a="1"/>
  <c r="P112" i="8" s="1"/>
  <c r="P104" i="8" a="1"/>
  <c r="P104" i="8" s="1"/>
  <c r="M101" i="8" a="1"/>
  <c r="M101" i="8" s="1"/>
  <c r="E99" i="8" a="1"/>
  <c r="E99" i="8" s="1"/>
  <c r="G97" i="8" a="1"/>
  <c r="G97" i="8" s="1"/>
  <c r="X95" i="8" a="1"/>
  <c r="X95" i="8" s="1"/>
  <c r="L93" i="8" a="1"/>
  <c r="L93" i="8" s="1"/>
  <c r="S92" i="8" a="1"/>
  <c r="S92" i="8" s="1"/>
  <c r="M91" i="8" a="1"/>
  <c r="M91" i="8" s="1"/>
  <c r="I90" i="8" a="1"/>
  <c r="I90" i="8" s="1"/>
  <c r="W89" i="8" a="1"/>
  <c r="W89" i="8" s="1"/>
  <c r="AA87" i="8" a="1"/>
  <c r="AA87" i="8" s="1"/>
  <c r="O87" i="8" a="1"/>
  <c r="O87" i="8" s="1"/>
  <c r="F86" i="8" a="1"/>
  <c r="F86" i="8" s="1"/>
  <c r="R85" i="8" a="1"/>
  <c r="R85" i="8" s="1"/>
  <c r="F85" i="8" a="1"/>
  <c r="F85" i="8" s="1"/>
  <c r="U84" i="8" a="1"/>
  <c r="U84" i="8" s="1"/>
  <c r="K84" i="8" a="1"/>
  <c r="K84" i="8" s="1"/>
  <c r="L83" i="8" a="1"/>
  <c r="L83" i="8" s="1"/>
  <c r="P82" i="8" a="1"/>
  <c r="P82" i="8" s="1"/>
  <c r="Q81" i="8" a="1"/>
  <c r="Q81" i="8" s="1"/>
  <c r="E81" i="8" a="1"/>
  <c r="E81" i="8" s="1"/>
  <c r="T80" i="8" a="1"/>
  <c r="T80" i="8" s="1"/>
  <c r="W79" i="8" a="1"/>
  <c r="W79" i="8" s="1"/>
  <c r="K79" i="8" a="1"/>
  <c r="K79" i="8" s="1"/>
  <c r="W78" i="8" a="1"/>
  <c r="W78" i="8" s="1"/>
  <c r="M78" i="8" a="1"/>
  <c r="M78" i="8" s="1"/>
  <c r="O77" i="8" a="1"/>
  <c r="O77" i="8" s="1"/>
  <c r="AA76" i="8" a="1"/>
  <c r="AA76" i="8" s="1"/>
  <c r="P76" i="8" a="1"/>
  <c r="P76" i="8" s="1"/>
  <c r="E76" i="8" a="1"/>
  <c r="E76" i="8" s="1"/>
  <c r="T74" i="8" a="1"/>
  <c r="T74" i="8" s="1"/>
  <c r="I74" i="8" a="1"/>
  <c r="I74" i="8" s="1"/>
  <c r="K73" i="8" a="1"/>
  <c r="K73" i="8" s="1"/>
  <c r="X72" i="8" a="1"/>
  <c r="X72" i="8" s="1"/>
  <c r="M72" i="8" a="1"/>
  <c r="M72" i="8" s="1"/>
  <c r="AA71" i="8" a="1"/>
  <c r="AA71" i="8" s="1"/>
  <c r="O71" i="8" a="1"/>
  <c r="O71" i="8" s="1"/>
  <c r="S69" i="8" a="1"/>
  <c r="S69" i="8" s="1"/>
  <c r="G69" i="8" a="1"/>
  <c r="G69" i="8" s="1"/>
  <c r="U68" i="8" a="1"/>
  <c r="U68" i="8" s="1"/>
  <c r="K68" i="8" a="1"/>
  <c r="K68" i="8" s="1"/>
  <c r="L67" i="8" a="1"/>
  <c r="L67" i="8" s="1"/>
  <c r="Z66" i="8" a="1"/>
  <c r="Z66" i="8" s="1"/>
  <c r="O66" i="8" a="1"/>
  <c r="O66" i="8" s="1"/>
  <c r="Q65" i="8" a="1"/>
  <c r="Q65" i="8" s="1"/>
  <c r="F65" i="8" a="1"/>
  <c r="F65" i="8" s="1"/>
  <c r="T64" i="8" a="1"/>
  <c r="T64" i="8" s="1"/>
  <c r="I64" i="8" a="1"/>
  <c r="I64" i="8" s="1"/>
  <c r="W63" i="8" a="1"/>
  <c r="W63" i="8" s="1"/>
  <c r="K63" i="8" a="1"/>
  <c r="K63" i="8" s="1"/>
  <c r="AB61" i="8" a="1"/>
  <c r="AB61" i="8" s="1"/>
  <c r="Q61" i="8" a="1"/>
  <c r="Q61" i="8" s="1"/>
  <c r="R60" i="8" a="1"/>
  <c r="R60" i="8" s="1"/>
  <c r="V59" i="8" a="1"/>
  <c r="V59" i="8" s="1"/>
  <c r="S57" i="8" a="1"/>
  <c r="S57" i="8" s="1"/>
  <c r="H57" i="8" a="1"/>
  <c r="H57" i="8" s="1"/>
  <c r="E112" i="8" a="1"/>
  <c r="E112" i="8" s="1"/>
  <c r="H107" i="8" a="1"/>
  <c r="H107" i="8" s="1"/>
  <c r="K101" i="8" a="1"/>
  <c r="K101" i="8" s="1"/>
  <c r="W95" i="8" a="1"/>
  <c r="W95" i="8" s="1"/>
  <c r="T94" i="8" a="1"/>
  <c r="T94" i="8" s="1"/>
  <c r="AB93" i="8" a="1"/>
  <c r="AB93" i="8" s="1"/>
  <c r="K93" i="8" a="1"/>
  <c r="K93" i="8" s="1"/>
  <c r="R92" i="8" a="1"/>
  <c r="R92" i="8" s="1"/>
  <c r="AA91" i="8" a="1"/>
  <c r="AA91" i="8" s="1"/>
  <c r="L91" i="8" a="1"/>
  <c r="L91" i="8" s="1"/>
  <c r="U90" i="8" a="1"/>
  <c r="U90" i="8" s="1"/>
  <c r="H90" i="8" a="1"/>
  <c r="H90" i="8" s="1"/>
  <c r="K89" i="8" a="1"/>
  <c r="K89" i="8" s="1"/>
  <c r="X88" i="8" a="1"/>
  <c r="X88" i="8" s="1"/>
  <c r="M88" i="8" a="1"/>
  <c r="M88" i="8" s="1"/>
  <c r="Z87" i="8" a="1"/>
  <c r="Z87" i="8" s="1"/>
  <c r="N87" i="8" a="1"/>
  <c r="N87" i="8" s="1"/>
  <c r="AA86" i="8" a="1"/>
  <c r="AA86" i="8" s="1"/>
  <c r="Q86" i="8" a="1"/>
  <c r="Q86" i="8" s="1"/>
  <c r="E86" i="8" a="1"/>
  <c r="E86" i="8" s="1"/>
  <c r="Q85" i="8" a="1"/>
  <c r="Q85" i="8" s="1"/>
  <c r="W83" i="8" a="1"/>
  <c r="W83" i="8" s="1"/>
  <c r="K83" i="8" a="1"/>
  <c r="K83" i="8" s="1"/>
  <c r="Y82" i="8" a="1"/>
  <c r="Y82" i="8" s="1"/>
  <c r="O82" i="8" a="1"/>
  <c r="O82" i="8" s="1"/>
  <c r="AB81" i="8" a="1"/>
  <c r="AB81" i="8" s="1"/>
  <c r="S80" i="8" a="1"/>
  <c r="S80" i="8" s="1"/>
  <c r="I80" i="8" a="1"/>
  <c r="I80" i="8" s="1"/>
  <c r="V79" i="8" a="1"/>
  <c r="V79" i="8" s="1"/>
  <c r="J79" i="8" a="1"/>
  <c r="J79" i="8" s="1"/>
  <c r="L78" i="8" a="1"/>
  <c r="L78" i="8" s="1"/>
  <c r="Z77" i="8" a="1"/>
  <c r="Z77" i="8" s="1"/>
  <c r="N77" i="8" a="1"/>
  <c r="N77" i="8" s="1"/>
  <c r="Z76" i="8" a="1"/>
  <c r="Z76" i="8" s="1"/>
  <c r="R75" i="8" a="1"/>
  <c r="R75" i="8" s="1"/>
  <c r="E75" i="8" a="1"/>
  <c r="E75" i="8" s="1"/>
  <c r="S74" i="8" a="1"/>
  <c r="S74" i="8" s="1"/>
  <c r="V73" i="8" a="1"/>
  <c r="V73" i="8" s="1"/>
  <c r="J73" i="8" a="1"/>
  <c r="J73" i="8" s="1"/>
  <c r="W72" i="8" a="1"/>
  <c r="W72" i="8" s="1"/>
  <c r="L72" i="8" a="1"/>
  <c r="L72" i="8" s="1"/>
  <c r="Z71" i="8" a="1"/>
  <c r="Z71" i="8" s="1"/>
  <c r="N71" i="8" a="1"/>
  <c r="N71" i="8" s="1"/>
  <c r="AA70" i="8" a="1"/>
  <c r="AA70" i="8" s="1"/>
  <c r="Q70" i="8" a="1"/>
  <c r="Q70" i="8" s="1"/>
  <c r="F70" i="8" a="1"/>
  <c r="F70" i="8" s="1"/>
  <c r="R69" i="8" a="1"/>
  <c r="R69" i="8" s="1"/>
  <c r="F69" i="8" a="1"/>
  <c r="F69" i="8" s="1"/>
  <c r="W67" i="8" a="1"/>
  <c r="W67" i="8" s="1"/>
  <c r="K67" i="8" a="1"/>
  <c r="K67" i="8" s="1"/>
  <c r="Y66" i="8" a="1"/>
  <c r="Y66" i="8" s="1"/>
  <c r="N66" i="8" a="1"/>
  <c r="N66" i="8" s="1"/>
  <c r="AB65" i="8" a="1"/>
  <c r="AB65" i="8" s="1"/>
  <c r="E65" i="8" a="1"/>
  <c r="E65" i="8" s="1"/>
  <c r="S64" i="8" a="1"/>
  <c r="S64" i="8" s="1"/>
  <c r="H64" i="8" a="1"/>
  <c r="H64" i="8" s="1"/>
  <c r="V63" i="8" a="1"/>
  <c r="V63" i="8" s="1"/>
  <c r="J63" i="8" a="1"/>
  <c r="J63" i="8" s="1"/>
  <c r="W98" i="8" a="1"/>
  <c r="W98" i="8" s="1"/>
  <c r="AB96" i="8" a="1"/>
  <c r="AB96" i="8" s="1"/>
  <c r="S94" i="8" a="1"/>
  <c r="S94" i="8" s="1"/>
  <c r="AA93" i="8" a="1"/>
  <c r="AA93" i="8" s="1"/>
  <c r="J93" i="8" a="1"/>
  <c r="J93" i="8" s="1"/>
  <c r="P92" i="8" a="1"/>
  <c r="P92" i="8" s="1"/>
  <c r="Z91" i="8" a="1"/>
  <c r="Z91" i="8" s="1"/>
  <c r="K91" i="8" a="1"/>
  <c r="K91" i="8" s="1"/>
  <c r="V89" i="8" a="1"/>
  <c r="V89" i="8" s="1"/>
  <c r="J89" i="8" a="1"/>
  <c r="J89" i="8" s="1"/>
  <c r="W88" i="8" a="1"/>
  <c r="W88" i="8" s="1"/>
  <c r="L88" i="8" a="1"/>
  <c r="L88" i="8" s="1"/>
  <c r="Y87" i="8" a="1"/>
  <c r="Y87" i="8" s="1"/>
  <c r="P86" i="8" a="1"/>
  <c r="P86" i="8" s="1"/>
  <c r="E85" i="8" a="1"/>
  <c r="E85" i="8" s="1"/>
  <c r="T84" i="8" a="1"/>
  <c r="T84" i="8" s="1"/>
  <c r="J84" i="8" a="1"/>
  <c r="J84" i="8" s="1"/>
  <c r="J83" i="8" a="1"/>
  <c r="J83" i="8" s="1"/>
  <c r="N82" i="8" a="1"/>
  <c r="N82" i="8" s="1"/>
  <c r="AA81" i="8" a="1"/>
  <c r="AA81" i="8" s="1"/>
  <c r="P81" i="8" a="1"/>
  <c r="P81" i="8" s="1"/>
  <c r="H80" i="8" a="1"/>
  <c r="H80" i="8" s="1"/>
  <c r="U79" i="8" a="1"/>
  <c r="U79" i="8" s="1"/>
  <c r="I79" i="8" a="1"/>
  <c r="I79" i="8" s="1"/>
  <c r="V78" i="8" a="1"/>
  <c r="V78" i="8" s="1"/>
  <c r="K78" i="8" a="1"/>
  <c r="K78" i="8" s="1"/>
  <c r="M77" i="8" a="1"/>
  <c r="M77" i="8" s="1"/>
  <c r="Y76" i="8" a="1"/>
  <c r="Y76" i="8" s="1"/>
  <c r="O76" i="8" a="1"/>
  <c r="O76" i="8" s="1"/>
  <c r="AB75" i="8" a="1"/>
  <c r="AB75" i="8" s="1"/>
  <c r="Q75" i="8" a="1"/>
  <c r="Q75" i="8" s="1"/>
  <c r="R74" i="8" a="1"/>
  <c r="R74" i="8" s="1"/>
  <c r="H74" i="8" a="1"/>
  <c r="H74" i="8" s="1"/>
  <c r="U73" i="8" a="1"/>
  <c r="U73" i="8" s="1"/>
  <c r="I73" i="8" a="1"/>
  <c r="I73" i="8" s="1"/>
  <c r="V72" i="8" a="1"/>
  <c r="V72" i="8" s="1"/>
  <c r="K72" i="8" a="1"/>
  <c r="K72" i="8" s="1"/>
  <c r="Y71" i="8" a="1"/>
  <c r="Y71" i="8" s="1"/>
  <c r="P70" i="8" a="1"/>
  <c r="P70" i="8" s="1"/>
  <c r="E70" i="8" a="1"/>
  <c r="E70" i="8" s="1"/>
  <c r="Q69" i="8" a="1"/>
  <c r="Q69" i="8" s="1"/>
  <c r="T68" i="8" a="1"/>
  <c r="T68" i="8" s="1"/>
  <c r="J68" i="8" a="1"/>
  <c r="J68" i="8" s="1"/>
  <c r="J67" i="8" a="1"/>
  <c r="J67" i="8" s="1"/>
  <c r="AA65" i="8" a="1"/>
  <c r="AA65" i="8" s="1"/>
  <c r="P65" i="8" a="1"/>
  <c r="P65" i="8" s="1"/>
  <c r="R64" i="8" a="1"/>
  <c r="R64" i="8" s="1"/>
  <c r="G64" i="8" a="1"/>
  <c r="G64" i="8" s="1"/>
  <c r="U63" i="8" a="1"/>
  <c r="U63" i="8" s="1"/>
  <c r="L62" i="8" a="1"/>
  <c r="L62" i="8" s="1"/>
  <c r="O61" i="8" a="1"/>
  <c r="O61" i="8" s="1"/>
  <c r="U59" i="8" a="1"/>
  <c r="U59" i="8" s="1"/>
  <c r="N58" i="8" a="1"/>
  <c r="N58" i="8" s="1"/>
  <c r="AB57" i="8" a="1"/>
  <c r="AB57" i="8" s="1"/>
  <c r="U56" i="8" a="1"/>
  <c r="U56" i="8" s="1"/>
  <c r="J56" i="8" a="1"/>
  <c r="J56" i="8" s="1"/>
  <c r="X55" i="8" a="1"/>
  <c r="X55" i="8" s="1"/>
  <c r="N55" i="8" a="1"/>
  <c r="N55" i="8" s="1"/>
  <c r="S111" i="8" a="1"/>
  <c r="S111" i="8" s="1"/>
  <c r="W106" i="8" a="1"/>
  <c r="W106" i="8" s="1"/>
  <c r="T103" i="8" a="1"/>
  <c r="T103" i="8" s="1"/>
  <c r="AA100" i="8" a="1"/>
  <c r="AA100" i="8" s="1"/>
  <c r="Y96" i="8" a="1"/>
  <c r="Y96" i="8" s="1"/>
  <c r="R95" i="8" a="1"/>
  <c r="R95" i="8" s="1"/>
  <c r="Y91" i="8" a="1"/>
  <c r="Y91" i="8" s="1"/>
  <c r="T90" i="8" a="1"/>
  <c r="T90" i="8" s="1"/>
  <c r="G90" i="8" a="1"/>
  <c r="G90" i="8" s="1"/>
  <c r="U89" i="8" a="1"/>
  <c r="U89" i="8" s="1"/>
  <c r="I89" i="8" a="1"/>
  <c r="I89" i="8" s="1"/>
  <c r="V88" i="8" a="1"/>
  <c r="V88" i="8" s="1"/>
  <c r="K88" i="8" a="1"/>
  <c r="K88" i="8" s="1"/>
  <c r="X87" i="8" a="1"/>
  <c r="X87" i="8" s="1"/>
  <c r="M87" i="8" a="1"/>
  <c r="M87" i="8" s="1"/>
  <c r="Z86" i="8" a="1"/>
  <c r="Z86" i="8" s="1"/>
  <c r="O86" i="8" a="1"/>
  <c r="O86" i="8" s="1"/>
  <c r="AB85" i="8" a="1"/>
  <c r="AB85" i="8" s="1"/>
  <c r="P85" i="8" a="1"/>
  <c r="P85" i="8" s="1"/>
  <c r="I84" i="8" a="1"/>
  <c r="I84" i="8" s="1"/>
  <c r="V83" i="8" a="1"/>
  <c r="V83" i="8" s="1"/>
  <c r="X82" i="8" a="1"/>
  <c r="X82" i="8" s="1"/>
  <c r="AB80" i="8" a="1"/>
  <c r="AB80" i="8" s="1"/>
  <c r="R80" i="8" a="1"/>
  <c r="R80" i="8" s="1"/>
  <c r="G80" i="8" a="1"/>
  <c r="G80" i="8" s="1"/>
  <c r="T79" i="8" a="1"/>
  <c r="T79" i="8" s="1"/>
  <c r="Y77" i="8" a="1"/>
  <c r="Y77" i="8" s="1"/>
  <c r="P75" i="8" a="1"/>
  <c r="P75" i="8" s="1"/>
  <c r="H73" i="8" a="1"/>
  <c r="H73" i="8" s="1"/>
  <c r="X71" i="8" a="1"/>
  <c r="X71" i="8" s="1"/>
  <c r="M71" i="8" a="1"/>
  <c r="M71" i="8" s="1"/>
  <c r="Z70" i="8" a="1"/>
  <c r="Z70" i="8" s="1"/>
  <c r="O70" i="8" a="1"/>
  <c r="O70" i="8" s="1"/>
  <c r="E69" i="8" a="1"/>
  <c r="E69" i="8" s="1"/>
  <c r="I68" i="8" a="1"/>
  <c r="I68" i="8" s="1"/>
  <c r="V67" i="8" a="1"/>
  <c r="V67" i="8" s="1"/>
  <c r="X66" i="8" a="1"/>
  <c r="X66" i="8" s="1"/>
  <c r="M66" i="8" a="1"/>
  <c r="M66" i="8" s="1"/>
  <c r="T63" i="8" a="1"/>
  <c r="T63" i="8" s="1"/>
  <c r="I63" i="8" a="1"/>
  <c r="I63" i="8" s="1"/>
  <c r="V62" i="8" a="1"/>
  <c r="V62" i="8" s="1"/>
  <c r="K62" i="8" a="1"/>
  <c r="K62" i="8" s="1"/>
  <c r="Z61" i="8" a="1"/>
  <c r="Z61" i="8" s="1"/>
  <c r="N61" i="8" a="1"/>
  <c r="N61" i="8" s="1"/>
  <c r="AA60" i="8" a="1"/>
  <c r="AA60" i="8" s="1"/>
  <c r="P60" i="8" a="1"/>
  <c r="P60" i="8" s="1"/>
  <c r="F60" i="8" a="1"/>
  <c r="F60" i="8" s="1"/>
  <c r="T59" i="8" a="1"/>
  <c r="T59" i="8" s="1"/>
  <c r="J59" i="8" a="1"/>
  <c r="J59" i="8" s="1"/>
  <c r="X58" i="8" a="1"/>
  <c r="X58" i="8" s="1"/>
  <c r="M58" i="8" a="1"/>
  <c r="M58" i="8" s="1"/>
  <c r="Q57" i="8" a="1"/>
  <c r="Q57" i="8" s="1"/>
  <c r="F57" i="8" a="1"/>
  <c r="F57" i="8" s="1"/>
  <c r="T56" i="8" a="1"/>
  <c r="T56" i="8" s="1"/>
  <c r="U53" i="8" a="1"/>
  <c r="U53" i="8" s="1"/>
  <c r="J53" i="8" a="1"/>
  <c r="J53" i="8" s="1"/>
  <c r="Y52" i="8" a="1"/>
  <c r="Y52" i="8" s="1"/>
  <c r="H111" i="8" a="1"/>
  <c r="H111" i="8" s="1"/>
  <c r="U106" i="8" a="1"/>
  <c r="U106" i="8" s="1"/>
  <c r="R103" i="8" a="1"/>
  <c r="R103" i="8" s="1"/>
  <c r="Z100" i="8" a="1"/>
  <c r="Z100" i="8" s="1"/>
  <c r="W96" i="8" a="1"/>
  <c r="W96" i="8" s="1"/>
  <c r="Q95" i="8" a="1"/>
  <c r="Q95" i="8" s="1"/>
  <c r="Q94" i="8" a="1"/>
  <c r="Q94" i="8" s="1"/>
  <c r="Y93" i="8" a="1"/>
  <c r="Y93" i="8" s="1"/>
  <c r="G93" i="8" a="1"/>
  <c r="G93" i="8" s="1"/>
  <c r="O92" i="8" a="1"/>
  <c r="O92" i="8" s="1"/>
  <c r="X91" i="8" a="1"/>
  <c r="X91" i="8" s="1"/>
  <c r="J91" i="8" a="1"/>
  <c r="J91" i="8" s="1"/>
  <c r="S90" i="8" a="1"/>
  <c r="S90" i="8" s="1"/>
  <c r="F90" i="8" a="1"/>
  <c r="F90" i="8" s="1"/>
  <c r="H89" i="8" a="1"/>
  <c r="H89" i="8" s="1"/>
  <c r="AA85" i="8" a="1"/>
  <c r="AA85" i="8" s="1"/>
  <c r="O85" i="8" a="1"/>
  <c r="O85" i="8" s="1"/>
  <c r="S84" i="8" a="1"/>
  <c r="S84" i="8" s="1"/>
  <c r="H84" i="8" a="1"/>
  <c r="H84" i="8" s="1"/>
  <c r="U83" i="8" a="1"/>
  <c r="U83" i="8" s="1"/>
  <c r="I83" i="8" a="1"/>
  <c r="I83" i="8" s="1"/>
  <c r="W82" i="8" a="1"/>
  <c r="W82" i="8" s="1"/>
  <c r="M82" i="8" a="1"/>
  <c r="M82" i="8" s="1"/>
  <c r="Z81" i="8" a="1"/>
  <c r="Z81" i="8" s="1"/>
  <c r="O81" i="8" a="1"/>
  <c r="O81" i="8" s="1"/>
  <c r="AA80" i="8" a="1"/>
  <c r="AA80" i="8" s="1"/>
  <c r="H79" i="8" a="1"/>
  <c r="H79" i="8" s="1"/>
  <c r="U78" i="8" a="1"/>
  <c r="U78" i="8" s="1"/>
  <c r="J78" i="8" a="1"/>
  <c r="J78" i="8" s="1"/>
  <c r="X77" i="8" a="1"/>
  <c r="X77" i="8" s="1"/>
  <c r="L77" i="8" a="1"/>
  <c r="L77" i="8" s="1"/>
  <c r="X76" i="8" a="1"/>
  <c r="X76" i="8" s="1"/>
  <c r="N76" i="8" a="1"/>
  <c r="N76" i="8" s="1"/>
  <c r="AA75" i="8" a="1"/>
  <c r="AA75" i="8" s="1"/>
  <c r="O75" i="8" a="1"/>
  <c r="O75" i="8" s="1"/>
  <c r="AB74" i="8" a="1"/>
  <c r="AB74" i="8" s="1"/>
  <c r="Q74" i="8" a="1"/>
  <c r="Q74" i="8" s="1"/>
  <c r="G74" i="8" a="1"/>
  <c r="G74" i="8" s="1"/>
  <c r="T73" i="8" a="1"/>
  <c r="T73" i="8" s="1"/>
  <c r="G73" i="8" a="1"/>
  <c r="G73" i="8" s="1"/>
  <c r="U72" i="8" a="1"/>
  <c r="U72" i="8" s="1"/>
  <c r="J72" i="8" a="1"/>
  <c r="J72" i="8" s="1"/>
  <c r="AB69" i="8" a="1"/>
  <c r="AB69" i="8" s="1"/>
  <c r="P69" i="8" a="1"/>
  <c r="P69" i="8" s="1"/>
  <c r="S68" i="8" a="1"/>
  <c r="S68" i="8" s="1"/>
  <c r="H68" i="8" a="1"/>
  <c r="H68" i="8" s="1"/>
  <c r="U67" i="8" a="1"/>
  <c r="U67" i="8" s="1"/>
  <c r="I67" i="8" a="1"/>
  <c r="I67" i="8" s="1"/>
  <c r="W66" i="8" a="1"/>
  <c r="W66" i="8" s="1"/>
  <c r="Z65" i="8" a="1"/>
  <c r="Z65" i="8" s="1"/>
  <c r="O65" i="8" a="1"/>
  <c r="O65" i="8" s="1"/>
  <c r="AB64" i="8" a="1"/>
  <c r="AB64" i="8" s="1"/>
  <c r="Q64" i="8" a="1"/>
  <c r="Q64" i="8" s="1"/>
  <c r="F64" i="8" a="1"/>
  <c r="F64" i="8" s="1"/>
  <c r="M61" i="8" a="1"/>
  <c r="M61" i="8" s="1"/>
  <c r="Z60" i="8" a="1"/>
  <c r="Z60" i="8" s="1"/>
  <c r="E60" i="8" a="1"/>
  <c r="E60" i="8" s="1"/>
  <c r="L106" i="8" a="1"/>
  <c r="L106" i="8" s="1"/>
  <c r="S100" i="8" a="1"/>
  <c r="S100" i="8" s="1"/>
  <c r="L98" i="8" a="1"/>
  <c r="L98" i="8" s="1"/>
  <c r="P95" i="8" a="1"/>
  <c r="P95" i="8" s="1"/>
  <c r="F93" i="8" a="1"/>
  <c r="F93" i="8" s="1"/>
  <c r="W91" i="8" a="1"/>
  <c r="W91" i="8" s="1"/>
  <c r="G91" i="8" a="1"/>
  <c r="G91" i="8" s="1"/>
  <c r="R90" i="8" a="1"/>
  <c r="R90" i="8" s="1"/>
  <c r="E90" i="8" a="1"/>
  <c r="E90" i="8" s="1"/>
  <c r="T89" i="8" a="1"/>
  <c r="T89" i="8" s="1"/>
  <c r="G89" i="8" a="1"/>
  <c r="G89" i="8" s="1"/>
  <c r="U88" i="8" a="1"/>
  <c r="U88" i="8" s="1"/>
  <c r="J88" i="8" a="1"/>
  <c r="J88" i="8" s="1"/>
  <c r="W87" i="8" a="1"/>
  <c r="W87" i="8" s="1"/>
  <c r="L87" i="8" a="1"/>
  <c r="L87" i="8" s="1"/>
  <c r="Y86" i="8" a="1"/>
  <c r="Y86" i="8" s="1"/>
  <c r="N86" i="8" a="1"/>
  <c r="N86" i="8" s="1"/>
  <c r="Z85" i="8" a="1"/>
  <c r="Z85" i="8" s="1"/>
  <c r="AB84" i="8" a="1"/>
  <c r="AB84" i="8" s="1"/>
  <c r="T83" i="8" a="1"/>
  <c r="T83" i="8" s="1"/>
  <c r="H83" i="8" a="1"/>
  <c r="H83" i="8" s="1"/>
  <c r="V82" i="8" a="1"/>
  <c r="V82" i="8" s="1"/>
  <c r="L82" i="8" a="1"/>
  <c r="L82" i="8" s="1"/>
  <c r="Y81" i="8" a="1"/>
  <c r="Y81" i="8" s="1"/>
  <c r="N81" i="8" a="1"/>
  <c r="N81" i="8" s="1"/>
  <c r="Q80" i="8" a="1"/>
  <c r="Q80" i="8" s="1"/>
  <c r="F80" i="8" a="1"/>
  <c r="F80" i="8" s="1"/>
  <c r="S79" i="8" a="1"/>
  <c r="S79" i="8" s="1"/>
  <c r="G79" i="8" a="1"/>
  <c r="G79" i="8" s="1"/>
  <c r="T78" i="8" a="1"/>
  <c r="T78" i="8" s="1"/>
  <c r="I78" i="8" a="1"/>
  <c r="I78" i="8" s="1"/>
  <c r="W77" i="8" a="1"/>
  <c r="W77" i="8" s="1"/>
  <c r="K77" i="8" a="1"/>
  <c r="K77" i="8" s="1"/>
  <c r="M76" i="8" a="1"/>
  <c r="M76" i="8" s="1"/>
  <c r="N75" i="8" a="1"/>
  <c r="N75" i="8" s="1"/>
  <c r="AA74" i="8" a="1"/>
  <c r="AA74" i="8" s="1"/>
  <c r="F74" i="8" a="1"/>
  <c r="F74" i="8" s="1"/>
  <c r="T72" i="8" a="1"/>
  <c r="T72" i="8" s="1"/>
  <c r="W71" i="8" a="1"/>
  <c r="W71" i="8" s="1"/>
  <c r="L71" i="8" a="1"/>
  <c r="L71" i="8" s="1"/>
  <c r="Y70" i="8" a="1"/>
  <c r="Y70" i="8" s="1"/>
  <c r="N70" i="8" a="1"/>
  <c r="N70" i="8" s="1"/>
  <c r="AA69" i="8" a="1"/>
  <c r="AA69" i="8" s="1"/>
  <c r="O69" i="8" a="1"/>
  <c r="O69" i="8" s="1"/>
  <c r="T67" i="8" a="1"/>
  <c r="T67" i="8" s="1"/>
  <c r="H67" i="8" a="1"/>
  <c r="H67" i="8" s="1"/>
  <c r="V66" i="8" a="1"/>
  <c r="V66" i="8" s="1"/>
  <c r="L66" i="8" a="1"/>
  <c r="L66" i="8" s="1"/>
  <c r="Y65" i="8" a="1"/>
  <c r="Y65" i="8" s="1"/>
  <c r="N65" i="8" a="1"/>
  <c r="N65" i="8" s="1"/>
  <c r="AA64" i="8" a="1"/>
  <c r="AA64" i="8" s="1"/>
  <c r="P64" i="8" a="1"/>
  <c r="P64" i="8" s="1"/>
  <c r="S63" i="8" a="1"/>
  <c r="S63" i="8" s="1"/>
  <c r="H63" i="8" a="1"/>
  <c r="H63" i="8" s="1"/>
  <c r="U62" i="8" a="1"/>
  <c r="U62" i="8" s="1"/>
  <c r="J62" i="8" a="1"/>
  <c r="J62" i="8" s="1"/>
  <c r="Y61" i="8" a="1"/>
  <c r="Y61" i="8" s="1"/>
  <c r="J106" i="8" a="1"/>
  <c r="J106" i="8" s="1"/>
  <c r="F103" i="8" a="1"/>
  <c r="F103" i="8" s="1"/>
  <c r="P100" i="8" a="1"/>
  <c r="P100" i="8" s="1"/>
  <c r="I98" i="8" a="1"/>
  <c r="I98" i="8" s="1"/>
  <c r="T96" i="8" a="1"/>
  <c r="T96" i="8" s="1"/>
  <c r="N94" i="8" a="1"/>
  <c r="N94" i="8" s="1"/>
  <c r="W93" i="8" a="1"/>
  <c r="W93" i="8" s="1"/>
  <c r="E93" i="8" a="1"/>
  <c r="E93" i="8" s="1"/>
  <c r="N92" i="8" a="1"/>
  <c r="N92" i="8" s="1"/>
  <c r="F91" i="8" a="1"/>
  <c r="F91" i="8" s="1"/>
  <c r="Q90" i="8" a="1"/>
  <c r="Q90" i="8" s="1"/>
  <c r="T88" i="8" a="1"/>
  <c r="T88" i="8" s="1"/>
  <c r="I88" i="8" a="1"/>
  <c r="I88" i="8" s="1"/>
  <c r="V87" i="8" a="1"/>
  <c r="V87" i="8" s="1"/>
  <c r="K87" i="8" a="1"/>
  <c r="K87" i="8" s="1"/>
  <c r="X86" i="8" a="1"/>
  <c r="X86" i="8" s="1"/>
  <c r="M86" i="8" a="1"/>
  <c r="M86" i="8" s="1"/>
  <c r="Y85" i="8" a="1"/>
  <c r="Y85" i="8" s="1"/>
  <c r="N85" i="8" a="1"/>
  <c r="N85" i="8" s="1"/>
  <c r="R84" i="8" a="1"/>
  <c r="R84" i="8" s="1"/>
  <c r="G84" i="8" a="1"/>
  <c r="G84" i="8" s="1"/>
  <c r="S83" i="8" a="1"/>
  <c r="S83" i="8" s="1"/>
  <c r="G83" i="8" a="1"/>
  <c r="G83" i="8" s="1"/>
  <c r="M81" i="8" a="1"/>
  <c r="M81" i="8" s="1"/>
  <c r="Z80" i="8" a="1"/>
  <c r="Z80" i="8" s="1"/>
  <c r="P80" i="8" a="1"/>
  <c r="P80" i="8" s="1"/>
  <c r="E80" i="8" a="1"/>
  <c r="E80" i="8" s="1"/>
  <c r="R79" i="8" a="1"/>
  <c r="R79" i="8" s="1"/>
  <c r="F79" i="8" a="1"/>
  <c r="F79" i="8" s="1"/>
  <c r="S78" i="8" a="1"/>
  <c r="S78" i="8" s="1"/>
  <c r="H78" i="8" a="1"/>
  <c r="H78" i="8" s="1"/>
  <c r="V77" i="8" a="1"/>
  <c r="V77" i="8" s="1"/>
  <c r="J77" i="8" a="1"/>
  <c r="J77" i="8" s="1"/>
  <c r="W76" i="8" a="1"/>
  <c r="W76" i="8" s="1"/>
  <c r="L76" i="8" a="1"/>
  <c r="L76" i="8" s="1"/>
  <c r="Z75" i="8" a="1"/>
  <c r="Z75" i="8" s="1"/>
  <c r="Z74" i="8" a="1"/>
  <c r="Z74" i="8" s="1"/>
  <c r="P74" i="8" a="1"/>
  <c r="P74" i="8" s="1"/>
  <c r="E74" i="8" a="1"/>
  <c r="E74" i="8" s="1"/>
  <c r="S73" i="8" a="1"/>
  <c r="S73" i="8" s="1"/>
  <c r="F73" i="8" a="1"/>
  <c r="F73" i="8" s="1"/>
  <c r="S72" i="8" a="1"/>
  <c r="S72" i="8" s="1"/>
  <c r="I72" i="8" a="1"/>
  <c r="I72" i="8" s="1"/>
  <c r="V71" i="8" a="1"/>
  <c r="V71" i="8" s="1"/>
  <c r="K71" i="8" a="1"/>
  <c r="K71" i="8" s="1"/>
  <c r="X70" i="8" a="1"/>
  <c r="X70" i="8" s="1"/>
  <c r="M70" i="8" a="1"/>
  <c r="M70" i="8" s="1"/>
  <c r="Z69" i="8" a="1"/>
  <c r="Z69" i="8" s="1"/>
  <c r="AB68" i="8" a="1"/>
  <c r="AB68" i="8" s="1"/>
  <c r="R68" i="8" a="1"/>
  <c r="R68" i="8" s="1"/>
  <c r="G68" i="8" a="1"/>
  <c r="G68" i="8" s="1"/>
  <c r="S67" i="8" a="1"/>
  <c r="S67" i="8" s="1"/>
  <c r="M65" i="8" a="1"/>
  <c r="M65" i="8" s="1"/>
  <c r="Z64" i="8" a="1"/>
  <c r="Z64" i="8" s="1"/>
  <c r="O64" i="8" a="1"/>
  <c r="O64" i="8" s="1"/>
  <c r="E64" i="8" a="1"/>
  <c r="E64" i="8" s="1"/>
  <c r="R63" i="8" a="1"/>
  <c r="R63" i="8" s="1"/>
  <c r="G63" i="8" a="1"/>
  <c r="G63" i="8" s="1"/>
  <c r="T62" i="8" a="1"/>
  <c r="T62" i="8" s="1"/>
  <c r="O100" i="8" a="1"/>
  <c r="O100" i="8" s="1"/>
  <c r="H98" i="8" a="1"/>
  <c r="H98" i="8" s="1"/>
  <c r="Q96" i="8" a="1"/>
  <c r="Q96" i="8" s="1"/>
  <c r="K95" i="8" a="1"/>
  <c r="K95" i="8" s="1"/>
  <c r="V93" i="8" a="1"/>
  <c r="V93" i="8" s="1"/>
  <c r="L92" i="8" a="1"/>
  <c r="L92" i="8" s="1"/>
  <c r="V91" i="8" a="1"/>
  <c r="V91" i="8" s="1"/>
  <c r="S89" i="8" a="1"/>
  <c r="S89" i="8" s="1"/>
  <c r="F89" i="8" a="1"/>
  <c r="F89" i="8" s="1"/>
  <c r="S88" i="8" a="1"/>
  <c r="S88" i="8" s="1"/>
  <c r="J87" i="8" a="1"/>
  <c r="J87" i="8" s="1"/>
  <c r="W86" i="8" a="1"/>
  <c r="W86" i="8" s="1"/>
  <c r="L86" i="8" a="1"/>
  <c r="L86" i="8" s="1"/>
  <c r="AA84" i="8" a="1"/>
  <c r="AA84" i="8" s="1"/>
  <c r="Q84" i="8" a="1"/>
  <c r="Q84" i="8" s="1"/>
  <c r="F84" i="8" a="1"/>
  <c r="F84" i="8" s="1"/>
  <c r="R83" i="8" a="1"/>
  <c r="R83" i="8" s="1"/>
  <c r="U82" i="8" a="1"/>
  <c r="U82" i="8" s="1"/>
  <c r="K82" i="8" a="1"/>
  <c r="K82" i="8" s="1"/>
  <c r="X81" i="8" a="1"/>
  <c r="X81" i="8" s="1"/>
  <c r="L81" i="8" a="1"/>
  <c r="L81" i="8" s="1"/>
  <c r="O80" i="8" a="1"/>
  <c r="O80" i="8" s="1"/>
  <c r="E79" i="8" a="1"/>
  <c r="E79" i="8" s="1"/>
  <c r="U77" i="8" a="1"/>
  <c r="U77" i="8" s="1"/>
  <c r="Y75" i="8" a="1"/>
  <c r="Y75" i="8" s="1"/>
  <c r="M75" i="8" a="1"/>
  <c r="M75" i="8" s="1"/>
  <c r="R73" i="8" a="1"/>
  <c r="R73" i="8" s="1"/>
  <c r="E73" i="8" a="1"/>
  <c r="E73" i="8" s="1"/>
  <c r="J71" i="8" a="1"/>
  <c r="J71" i="8" s="1"/>
  <c r="W70" i="8" a="1"/>
  <c r="W70" i="8" s="1"/>
  <c r="L70" i="8" a="1"/>
  <c r="L70" i="8" s="1"/>
  <c r="Y69" i="8" a="1"/>
  <c r="Y69" i="8" s="1"/>
  <c r="N69" i="8" a="1"/>
  <c r="N69" i="8" s="1"/>
  <c r="Q68" i="8" a="1"/>
  <c r="Q68" i="8" s="1"/>
  <c r="F68" i="8" a="1"/>
  <c r="F68" i="8" s="1"/>
  <c r="R67" i="8" a="1"/>
  <c r="R67" i="8" s="1"/>
  <c r="G67" i="8" a="1"/>
  <c r="G67" i="8" s="1"/>
  <c r="U66" i="8" a="1"/>
  <c r="U66" i="8" s="1"/>
  <c r="K66" i="8" a="1"/>
  <c r="K66" i="8" s="1"/>
  <c r="X65" i="8" a="1"/>
  <c r="X65" i="8" s="1"/>
  <c r="L65" i="8" a="1"/>
  <c r="L65" i="8" s="1"/>
  <c r="F63" i="8" a="1"/>
  <c r="F63" i="8" s="1"/>
  <c r="S62" i="8" a="1"/>
  <c r="S62" i="8" s="1"/>
  <c r="H62" i="8" a="1"/>
  <c r="H62" i="8" s="1"/>
  <c r="W61" i="8" a="1"/>
  <c r="W61" i="8" s="1"/>
  <c r="K61" i="8" a="1"/>
  <c r="K61" i="8" s="1"/>
  <c r="X60" i="8" a="1"/>
  <c r="X60" i="8" s="1"/>
  <c r="N60" i="8" a="1"/>
  <c r="N60" i="8" s="1"/>
  <c r="AB59" i="8" a="1"/>
  <c r="AB59" i="8" s="1"/>
  <c r="R59" i="8" a="1"/>
  <c r="R59" i="8" s="1"/>
  <c r="G59" i="8" a="1"/>
  <c r="G59" i="8" s="1"/>
  <c r="U58" i="8" a="1"/>
  <c r="U58" i="8" s="1"/>
  <c r="Y57" i="8" a="1"/>
  <c r="Y57" i="8" s="1"/>
  <c r="N57" i="8" a="1"/>
  <c r="N57" i="8" s="1"/>
  <c r="AB56" i="8" a="1"/>
  <c r="AB56" i="8" s="1"/>
  <c r="G56" i="8" a="1"/>
  <c r="G56" i="8" s="1"/>
  <c r="Y105" i="8" a="1"/>
  <c r="Y105" i="8" s="1"/>
  <c r="V102" i="8" a="1"/>
  <c r="V102" i="8" s="1"/>
  <c r="N96" i="8" a="1"/>
  <c r="N96" i="8" s="1"/>
  <c r="M94" i="8" a="1"/>
  <c r="M94" i="8" s="1"/>
  <c r="U93" i="8" a="1"/>
  <c r="U93" i="8" s="1"/>
  <c r="AA92" i="8" a="1"/>
  <c r="AA92" i="8" s="1"/>
  <c r="E91" i="8" a="1"/>
  <c r="E91" i="8" s="1"/>
  <c r="AB89" i="8" a="1"/>
  <c r="AB89" i="8" s="1"/>
  <c r="R89" i="8" a="1"/>
  <c r="R89" i="8" s="1"/>
  <c r="E89" i="8" a="1"/>
  <c r="E89" i="8" s="1"/>
  <c r="H88" i="8" a="1"/>
  <c r="H88" i="8" s="1"/>
  <c r="U87" i="8" a="1"/>
  <c r="U87" i="8" s="1"/>
  <c r="I87" i="8" a="1"/>
  <c r="I87" i="8" s="1"/>
  <c r="X85" i="8" a="1"/>
  <c r="X85" i="8" s="1"/>
  <c r="M85" i="8" a="1"/>
  <c r="M85" i="8" s="1"/>
  <c r="E84" i="8" a="1"/>
  <c r="E84" i="8" s="1"/>
  <c r="F83" i="8" a="1"/>
  <c r="F83" i="8" s="1"/>
  <c r="J82" i="8" a="1"/>
  <c r="J82" i="8" s="1"/>
  <c r="K81" i="8" a="1"/>
  <c r="K81" i="8" s="1"/>
  <c r="Y80" i="8" a="1"/>
  <c r="Y80" i="8" s="1"/>
  <c r="AB79" i="8" a="1"/>
  <c r="AB79" i="8" s="1"/>
  <c r="Q79" i="8" a="1"/>
  <c r="Q79" i="8" s="1"/>
  <c r="R78" i="8" a="1"/>
  <c r="R78" i="8" s="1"/>
  <c r="G78" i="8" a="1"/>
  <c r="G78" i="8" s="1"/>
  <c r="I77" i="8" a="1"/>
  <c r="I77" i="8" s="1"/>
  <c r="V76" i="8" a="1"/>
  <c r="V76" i="8" s="1"/>
  <c r="K76" i="8" a="1"/>
  <c r="K76" i="8" s="1"/>
  <c r="X75" i="8" a="1"/>
  <c r="X75" i="8" s="1"/>
  <c r="L75" i="8" a="1"/>
  <c r="L75" i="8" s="1"/>
  <c r="Y74" i="8" a="1"/>
  <c r="Y74" i="8" s="1"/>
  <c r="O74" i="8" a="1"/>
  <c r="O74" i="8" s="1"/>
  <c r="Q73" i="8" a="1"/>
  <c r="Q73" i="8" s="1"/>
  <c r="R72" i="8" a="1"/>
  <c r="R72" i="8" s="1"/>
  <c r="H72" i="8" a="1"/>
  <c r="H72" i="8" s="1"/>
  <c r="U71" i="8" a="1"/>
  <c r="U71" i="8" s="1"/>
  <c r="I71" i="8" a="1"/>
  <c r="I71" i="8" s="1"/>
  <c r="AA68" i="8" a="1"/>
  <c r="AA68" i="8" s="1"/>
  <c r="P68" i="8" a="1"/>
  <c r="P68" i="8" s="1"/>
  <c r="E68" i="8" a="1"/>
  <c r="E68" i="8" s="1"/>
  <c r="J66" i="8" a="1"/>
  <c r="J66" i="8" s="1"/>
  <c r="K65" i="8" a="1"/>
  <c r="K65" i="8" s="1"/>
  <c r="Y64" i="8" a="1"/>
  <c r="Y64" i="8" s="1"/>
  <c r="N64" i="8" a="1"/>
  <c r="N64" i="8" s="1"/>
  <c r="AB63" i="8" a="1"/>
  <c r="AB63" i="8" s="1"/>
  <c r="Q63" i="8" a="1"/>
  <c r="Q63" i="8" s="1"/>
  <c r="E63" i="8" a="1"/>
  <c r="E63" i="8" s="1"/>
  <c r="V61" i="8" a="1"/>
  <c r="V61" i="8" s="1"/>
  <c r="M60" i="8" a="1"/>
  <c r="M60" i="8" s="1"/>
  <c r="Q59" i="8" a="1"/>
  <c r="Q59" i="8" s="1"/>
  <c r="L61" i="8" a="1"/>
  <c r="L61" i="8" s="1"/>
  <c r="O57" i="8" a="1"/>
  <c r="O57" i="8" s="1"/>
  <c r="V55" i="8" a="1"/>
  <c r="V55" i="8" s="1"/>
  <c r="X54" i="8" a="1"/>
  <c r="X54" i="8" s="1"/>
  <c r="L54" i="8" a="1"/>
  <c r="L54" i="8" s="1"/>
  <c r="Y53" i="8" a="1"/>
  <c r="Y53" i="8" s="1"/>
  <c r="R52" i="8" a="1"/>
  <c r="R52" i="8" s="1"/>
  <c r="U51" i="8" a="1"/>
  <c r="U51" i="8" s="1"/>
  <c r="K51" i="8" a="1"/>
  <c r="K51" i="8" s="1"/>
  <c r="Z50" i="8" a="1"/>
  <c r="Z50" i="8" s="1"/>
  <c r="N50" i="8" a="1"/>
  <c r="N50" i="8" s="1"/>
  <c r="AA49" i="8" a="1"/>
  <c r="AA49" i="8" s="1"/>
  <c r="P49" i="8" a="1"/>
  <c r="P49" i="8" s="1"/>
  <c r="G49" i="8" a="1"/>
  <c r="G49" i="8" s="1"/>
  <c r="T48" i="8" a="1"/>
  <c r="T48" i="8" s="1"/>
  <c r="I48" i="8" a="1"/>
  <c r="I48" i="8" s="1"/>
  <c r="V47" i="8" a="1"/>
  <c r="V47" i="8" s="1"/>
  <c r="K47" i="8" a="1"/>
  <c r="K47" i="8" s="1"/>
  <c r="M46" i="8" a="1"/>
  <c r="M46" i="8" s="1"/>
  <c r="H45" i="8" a="1"/>
  <c r="H45" i="8" s="1"/>
  <c r="T44" i="8" a="1"/>
  <c r="T44" i="8" s="1"/>
  <c r="H44" i="8" a="1"/>
  <c r="H44" i="8" s="1"/>
  <c r="X43" i="8" a="1"/>
  <c r="X43" i="8" s="1"/>
  <c r="M43" i="8" a="1"/>
  <c r="M43" i="8" s="1"/>
  <c r="Z42" i="8" a="1"/>
  <c r="Z42" i="8" s="1"/>
  <c r="AB41" i="8" a="1"/>
  <c r="AB41" i="8" s="1"/>
  <c r="R41" i="8" a="1"/>
  <c r="R41" i="8" s="1"/>
  <c r="G41" i="8" a="1"/>
  <c r="G41" i="8" s="1"/>
  <c r="T40" i="8" a="1"/>
  <c r="T40" i="8" s="1"/>
  <c r="I40" i="8" a="1"/>
  <c r="I40" i="8" s="1"/>
  <c r="L39" i="8" a="1"/>
  <c r="L39" i="8" s="1"/>
  <c r="Y38" i="8" a="1"/>
  <c r="Y38" i="8" s="1"/>
  <c r="M38" i="8" a="1"/>
  <c r="M38" i="8" s="1"/>
  <c r="AA37" i="8" a="1"/>
  <c r="AA37" i="8" s="1"/>
  <c r="E37" i="8" a="1"/>
  <c r="E37" i="8" s="1"/>
  <c r="R36" i="8" a="1"/>
  <c r="R36" i="8" s="1"/>
  <c r="F36" i="8" a="1"/>
  <c r="F36" i="8" s="1"/>
  <c r="J35" i="8" a="1"/>
  <c r="J35" i="8" s="1"/>
  <c r="X34" i="8" a="1"/>
  <c r="X34" i="8" s="1"/>
  <c r="O33" i="8" a="1"/>
  <c r="O33" i="8" s="1"/>
  <c r="E33" i="8" a="1"/>
  <c r="E33" i="8" s="1"/>
  <c r="Q32" i="8" a="1"/>
  <c r="Q32" i="8" s="1"/>
  <c r="E32" i="8" a="1"/>
  <c r="E32" i="8" s="1"/>
  <c r="T31" i="8" a="1"/>
  <c r="T31" i="8" s="1"/>
  <c r="L30" i="8" a="1"/>
  <c r="L30" i="8" s="1"/>
  <c r="P29" i="8" a="1"/>
  <c r="P29" i="8" s="1"/>
  <c r="F29" i="8" a="1"/>
  <c r="F29" i="8" s="1"/>
  <c r="R28" i="8" a="1"/>
  <c r="R28" i="8" s="1"/>
  <c r="E28" i="8" a="1"/>
  <c r="E28" i="8" s="1"/>
  <c r="T27" i="8" a="1"/>
  <c r="T27" i="8" s="1"/>
  <c r="I27" i="8" a="1"/>
  <c r="I27" i="8" s="1"/>
  <c r="W26" i="8" a="1"/>
  <c r="W26" i="8" s="1"/>
  <c r="Y25" i="8" a="1"/>
  <c r="Y25" i="8" s="1"/>
  <c r="N25" i="8" a="1"/>
  <c r="N25" i="8" s="1"/>
  <c r="R24" i="8" a="1"/>
  <c r="R24" i="8" s="1"/>
  <c r="G24" i="8" a="1"/>
  <c r="G24" i="8" s="1"/>
  <c r="T23" i="8" a="1"/>
  <c r="T23" i="8" s="1"/>
  <c r="J23" i="8" a="1"/>
  <c r="J23" i="8" s="1"/>
  <c r="X22" i="8" a="1"/>
  <c r="X22" i="8" s="1"/>
  <c r="K59" i="8" a="1"/>
  <c r="K59" i="8" s="1"/>
  <c r="L58" i="8" a="1"/>
  <c r="L58" i="8" s="1"/>
  <c r="X56" i="8" a="1"/>
  <c r="X56" i="8" s="1"/>
  <c r="I56" i="8" a="1"/>
  <c r="I56" i="8" s="1"/>
  <c r="J55" i="8" a="1"/>
  <c r="J55" i="8" s="1"/>
  <c r="W54" i="8" a="1"/>
  <c r="W54" i="8" s="1"/>
  <c r="N53" i="8" a="1"/>
  <c r="N53" i="8" s="1"/>
  <c r="AB52" i="8" a="1"/>
  <c r="AB52" i="8" s="1"/>
  <c r="G52" i="8" a="1"/>
  <c r="G52" i="8" s="1"/>
  <c r="J51" i="8" a="1"/>
  <c r="J51" i="8" s="1"/>
  <c r="Y50" i="8" a="1"/>
  <c r="Y50" i="8" s="1"/>
  <c r="O49" i="8" a="1"/>
  <c r="O49" i="8" s="1"/>
  <c r="F49" i="8" a="1"/>
  <c r="F49" i="8" s="1"/>
  <c r="S48" i="8" a="1"/>
  <c r="S48" i="8" s="1"/>
  <c r="H48" i="8" a="1"/>
  <c r="H48" i="8" s="1"/>
  <c r="U47" i="8" a="1"/>
  <c r="U47" i="8" s="1"/>
  <c r="J47" i="8" a="1"/>
  <c r="J47" i="8" s="1"/>
  <c r="X46" i="8" a="1"/>
  <c r="X46" i="8" s="1"/>
  <c r="Z45" i="8" a="1"/>
  <c r="Z45" i="8" s="1"/>
  <c r="Q45" i="8" a="1"/>
  <c r="Q45" i="8" s="1"/>
  <c r="G45" i="8" a="1"/>
  <c r="G45" i="8" s="1"/>
  <c r="S44" i="8" a="1"/>
  <c r="S44" i="8" s="1"/>
  <c r="W43" i="8" a="1"/>
  <c r="W43" i="8" s="1"/>
  <c r="Y42" i="8" a="1"/>
  <c r="Y42" i="8" s="1"/>
  <c r="N42" i="8" a="1"/>
  <c r="N42" i="8" s="1"/>
  <c r="F41" i="8" a="1"/>
  <c r="F41" i="8" s="1"/>
  <c r="H40" i="8" a="1"/>
  <c r="H40" i="8" s="1"/>
  <c r="V39" i="8" a="1"/>
  <c r="V39" i="8" s="1"/>
  <c r="K39" i="8" a="1"/>
  <c r="K39" i="8" s="1"/>
  <c r="Z37" i="8" a="1"/>
  <c r="Z37" i="8" s="1"/>
  <c r="O37" i="8" a="1"/>
  <c r="O37" i="8" s="1"/>
  <c r="E36" i="8" a="1"/>
  <c r="E36" i="8" s="1"/>
  <c r="T35" i="8" a="1"/>
  <c r="T35" i="8" s="1"/>
  <c r="I35" i="8" a="1"/>
  <c r="I35" i="8" s="1"/>
  <c r="W34" i="8" a="1"/>
  <c r="W34" i="8" s="1"/>
  <c r="L34" i="8" a="1"/>
  <c r="L34" i="8" s="1"/>
  <c r="X33" i="8" a="1"/>
  <c r="X33" i="8" s="1"/>
  <c r="P32" i="8" a="1"/>
  <c r="P32" i="8" s="1"/>
  <c r="J31" i="8" a="1"/>
  <c r="J31" i="8" s="1"/>
  <c r="X30" i="8" a="1"/>
  <c r="X30" i="8" s="1"/>
  <c r="K30" i="8" a="1"/>
  <c r="K30" i="8" s="1"/>
  <c r="Y29" i="8" a="1"/>
  <c r="Y29" i="8" s="1"/>
  <c r="E29" i="8" a="1"/>
  <c r="E29" i="8" s="1"/>
  <c r="S27" i="8" a="1"/>
  <c r="S27" i="8" s="1"/>
  <c r="K26" i="8" a="1"/>
  <c r="K26" i="8" s="1"/>
  <c r="X25" i="8" a="1"/>
  <c r="X25" i="8" s="1"/>
  <c r="AB24" i="8" a="1"/>
  <c r="AB24" i="8" s="1"/>
  <c r="F24" i="8" a="1"/>
  <c r="F24" i="8" s="1"/>
  <c r="I23" i="8" a="1"/>
  <c r="I23" i="8" s="1"/>
  <c r="W22" i="8" a="1"/>
  <c r="W22" i="8" s="1"/>
  <c r="Z21" i="8" a="1"/>
  <c r="Z21" i="8" s="1"/>
  <c r="AB20" i="8" a="1"/>
  <c r="AB20" i="8" s="1"/>
  <c r="F20" i="8" a="1"/>
  <c r="F20" i="8" s="1"/>
  <c r="W18" i="8" a="1"/>
  <c r="W18" i="8" s="1"/>
  <c r="AB16" i="8" a="1"/>
  <c r="AB16" i="8" s="1"/>
  <c r="AB60" i="8" a="1"/>
  <c r="AB60" i="8" s="1"/>
  <c r="I59" i="8" a="1"/>
  <c r="I59" i="8" s="1"/>
  <c r="K58" i="8" a="1"/>
  <c r="K58" i="8" s="1"/>
  <c r="M57" i="8" a="1"/>
  <c r="M57" i="8" s="1"/>
  <c r="W56" i="8" a="1"/>
  <c r="W56" i="8" s="1"/>
  <c r="U55" i="8" a="1"/>
  <c r="U55" i="8" s="1"/>
  <c r="I55" i="8" a="1"/>
  <c r="I55" i="8" s="1"/>
  <c r="K54" i="8" a="1"/>
  <c r="K54" i="8" s="1"/>
  <c r="X53" i="8" a="1"/>
  <c r="X53" i="8" s="1"/>
  <c r="Q52" i="8" a="1"/>
  <c r="Q52" i="8" s="1"/>
  <c r="F52" i="8" a="1"/>
  <c r="F52" i="8" s="1"/>
  <c r="T51" i="8" a="1"/>
  <c r="T51" i="8" s="1"/>
  <c r="M50" i="8" a="1"/>
  <c r="M50" i="8" s="1"/>
  <c r="Z49" i="8" a="1"/>
  <c r="Z49" i="8" s="1"/>
  <c r="E49" i="8" a="1"/>
  <c r="E49" i="8" s="1"/>
  <c r="R48" i="8" a="1"/>
  <c r="R48" i="8" s="1"/>
  <c r="G48" i="8" a="1"/>
  <c r="G48" i="8" s="1"/>
  <c r="T47" i="8" a="1"/>
  <c r="T47" i="8" s="1"/>
  <c r="W46" i="8" a="1"/>
  <c r="W46" i="8" s="1"/>
  <c r="L46" i="8" a="1"/>
  <c r="L46" i="8" s="1"/>
  <c r="F45" i="8" a="1"/>
  <c r="F45" i="8" s="1"/>
  <c r="R44" i="8" a="1"/>
  <c r="R44" i="8" s="1"/>
  <c r="G44" i="8" a="1"/>
  <c r="G44" i="8" s="1"/>
  <c r="V43" i="8" a="1"/>
  <c r="V43" i="8" s="1"/>
  <c r="L43" i="8" a="1"/>
  <c r="L43" i="8" s="1"/>
  <c r="M42" i="8" a="1"/>
  <c r="M42" i="8" s="1"/>
  <c r="AA41" i="8" a="1"/>
  <c r="AA41" i="8" s="1"/>
  <c r="Q41" i="8" a="1"/>
  <c r="Q41" i="8" s="1"/>
  <c r="S40" i="8" a="1"/>
  <c r="S40" i="8" s="1"/>
  <c r="J39" i="8" a="1"/>
  <c r="J39" i="8" s="1"/>
  <c r="X38" i="8" a="1"/>
  <c r="X38" i="8" s="1"/>
  <c r="L38" i="8" a="1"/>
  <c r="L38" i="8" s="1"/>
  <c r="Y37" i="8" a="1"/>
  <c r="Y37" i="8" s="1"/>
  <c r="AB36" i="8" a="1"/>
  <c r="AB36" i="8" s="1"/>
  <c r="Q36" i="8" a="1"/>
  <c r="Q36" i="8" s="1"/>
  <c r="S35" i="8" a="1"/>
  <c r="S35" i="8" s="1"/>
  <c r="K34" i="8" a="1"/>
  <c r="K34" i="8" s="1"/>
  <c r="N33" i="8" a="1"/>
  <c r="N33" i="8" s="1"/>
  <c r="AB32" i="8" a="1"/>
  <c r="AB32" i="8" s="1"/>
  <c r="AB31" i="8" a="1"/>
  <c r="AB31" i="8" s="1"/>
  <c r="S31" i="8" a="1"/>
  <c r="S31" i="8" s="1"/>
  <c r="W30" i="8" a="1"/>
  <c r="W30" i="8" s="1"/>
  <c r="J30" i="8" a="1"/>
  <c r="J30" i="8" s="1"/>
  <c r="O29" i="8" a="1"/>
  <c r="O29" i="8" s="1"/>
  <c r="Q28" i="8" a="1"/>
  <c r="Q28" i="8" s="1"/>
  <c r="R27" i="8" a="1"/>
  <c r="R27" i="8" s="1"/>
  <c r="H27" i="8" a="1"/>
  <c r="H27" i="8" s="1"/>
  <c r="V26" i="8" a="1"/>
  <c r="V26" i="8" s="1"/>
  <c r="J26" i="8" a="1"/>
  <c r="J26" i="8" s="1"/>
  <c r="W25" i="8" a="1"/>
  <c r="W25" i="8" s="1"/>
  <c r="M25" i="8" a="1"/>
  <c r="M25" i="8" s="1"/>
  <c r="Q24" i="8" a="1"/>
  <c r="Q24" i="8" s="1"/>
  <c r="E24" i="8" a="1"/>
  <c r="E24" i="8" s="1"/>
  <c r="S23" i="8" a="1"/>
  <c r="S23" i="8" s="1"/>
  <c r="H23" i="8" a="1"/>
  <c r="H23" i="8" s="1"/>
  <c r="V22" i="8" a="1"/>
  <c r="V22" i="8" s="1"/>
  <c r="L22" i="8" a="1"/>
  <c r="L22" i="8" s="1"/>
  <c r="Y21" i="8" a="1"/>
  <c r="Y21" i="8" s="1"/>
  <c r="O21" i="8" a="1"/>
  <c r="O21" i="8" s="1"/>
  <c r="Y60" i="8" a="1"/>
  <c r="Y60" i="8" s="1"/>
  <c r="V56" i="8" a="1"/>
  <c r="V56" i="8" s="1"/>
  <c r="H56" i="8" a="1"/>
  <c r="H56" i="8" s="1"/>
  <c r="H55" i="8" a="1"/>
  <c r="H55" i="8" s="1"/>
  <c r="V54" i="8" a="1"/>
  <c r="V54" i="8" s="1"/>
  <c r="M53" i="8" a="1"/>
  <c r="M53" i="8" s="1"/>
  <c r="AA52" i="8" a="1"/>
  <c r="AA52" i="8" s="1"/>
  <c r="P52" i="8" a="1"/>
  <c r="P52" i="8" s="1"/>
  <c r="E52" i="8" a="1"/>
  <c r="E52" i="8" s="1"/>
  <c r="S51" i="8" a="1"/>
  <c r="S51" i="8" s="1"/>
  <c r="I51" i="8" a="1"/>
  <c r="I51" i="8" s="1"/>
  <c r="X50" i="8" a="1"/>
  <c r="X50" i="8" s="1"/>
  <c r="Y49" i="8" a="1"/>
  <c r="Y49" i="8" s="1"/>
  <c r="N49" i="8" a="1"/>
  <c r="N49" i="8" s="1"/>
  <c r="Q48" i="8" a="1"/>
  <c r="Q48" i="8" s="1"/>
  <c r="F48" i="8" a="1"/>
  <c r="F48" i="8" s="1"/>
  <c r="I47" i="8" a="1"/>
  <c r="I47" i="8" s="1"/>
  <c r="K46" i="8" a="1"/>
  <c r="K46" i="8" s="1"/>
  <c r="Y45" i="8" a="1"/>
  <c r="Y45" i="8" s="1"/>
  <c r="P45" i="8" a="1"/>
  <c r="P45" i="8" s="1"/>
  <c r="E45" i="8" a="1"/>
  <c r="E45" i="8" s="1"/>
  <c r="F44" i="8" a="1"/>
  <c r="F44" i="8" s="1"/>
  <c r="U43" i="8" a="1"/>
  <c r="U43" i="8" s="1"/>
  <c r="X42" i="8" a="1"/>
  <c r="X42" i="8" s="1"/>
  <c r="L42" i="8" a="1"/>
  <c r="L42" i="8" s="1"/>
  <c r="P41" i="8" a="1"/>
  <c r="P41" i="8" s="1"/>
  <c r="E41" i="8" a="1"/>
  <c r="E41" i="8" s="1"/>
  <c r="R40" i="8" a="1"/>
  <c r="R40" i="8" s="1"/>
  <c r="G40" i="8" a="1"/>
  <c r="G40" i="8" s="1"/>
  <c r="U39" i="8" a="1"/>
  <c r="U39" i="8" s="1"/>
  <c r="I39" i="8" a="1"/>
  <c r="I39" i="8" s="1"/>
  <c r="W38" i="8" a="1"/>
  <c r="W38" i="8" s="1"/>
  <c r="K38" i="8" a="1"/>
  <c r="K38" i="8" s="1"/>
  <c r="X37" i="8" a="1"/>
  <c r="X37" i="8" s="1"/>
  <c r="N37" i="8" a="1"/>
  <c r="N37" i="8" s="1"/>
  <c r="P36" i="8" a="1"/>
  <c r="P36" i="8" s="1"/>
  <c r="R35" i="8" a="1"/>
  <c r="R35" i="8" s="1"/>
  <c r="H35" i="8" a="1"/>
  <c r="H35" i="8" s="1"/>
  <c r="V34" i="8" a="1"/>
  <c r="V34" i="8" s="1"/>
  <c r="W33" i="8" a="1"/>
  <c r="W33" i="8" s="1"/>
  <c r="O32" i="8" a="1"/>
  <c r="O32" i="8" s="1"/>
  <c r="I31" i="8" a="1"/>
  <c r="I31" i="8" s="1"/>
  <c r="I30" i="8" a="1"/>
  <c r="I30" i="8" s="1"/>
  <c r="X29" i="8" a="1"/>
  <c r="X29" i="8" s="1"/>
  <c r="N29" i="8" a="1"/>
  <c r="N29" i="8" s="1"/>
  <c r="AB28" i="8" a="1"/>
  <c r="AB28" i="8" s="1"/>
  <c r="P28" i="8" a="1"/>
  <c r="P28" i="8" s="1"/>
  <c r="AB27" i="8" a="1"/>
  <c r="AB27" i="8" s="1"/>
  <c r="G27" i="8" a="1"/>
  <c r="G27" i="8" s="1"/>
  <c r="U26" i="8" a="1"/>
  <c r="U26" i="8" s="1"/>
  <c r="I26" i="8" a="1"/>
  <c r="I26" i="8" s="1"/>
  <c r="L25" i="8" a="1"/>
  <c r="L25" i="8" s="1"/>
  <c r="AA24" i="8" a="1"/>
  <c r="AA24" i="8" s="1"/>
  <c r="P24" i="8" a="1"/>
  <c r="P24" i="8" s="1"/>
  <c r="K22" i="8" a="1"/>
  <c r="K22" i="8" s="1"/>
  <c r="N21" i="8" a="1"/>
  <c r="N21" i="8" s="1"/>
  <c r="AA20" i="8" a="1"/>
  <c r="AA20" i="8" s="1"/>
  <c r="P20" i="8" a="1"/>
  <c r="P20" i="8" s="1"/>
  <c r="E20" i="8" a="1"/>
  <c r="E20" i="8" s="1"/>
  <c r="H59" i="8" a="1"/>
  <c r="H59" i="8" s="1"/>
  <c r="I58" i="8" a="1"/>
  <c r="I58" i="8" s="1"/>
  <c r="L57" i="8" a="1"/>
  <c r="L57" i="8" s="1"/>
  <c r="F56" i="8" a="1"/>
  <c r="F56" i="8" s="1"/>
  <c r="T55" i="8" a="1"/>
  <c r="T55" i="8" s="1"/>
  <c r="U54" i="8" a="1"/>
  <c r="U54" i="8" s="1"/>
  <c r="J54" i="8" a="1"/>
  <c r="J54" i="8" s="1"/>
  <c r="W53" i="8" a="1"/>
  <c r="W53" i="8" s="1"/>
  <c r="L53" i="8" a="1"/>
  <c r="L53" i="8" s="1"/>
  <c r="R51" i="8" a="1"/>
  <c r="R51" i="8" s="1"/>
  <c r="H51" i="8" a="1"/>
  <c r="H51" i="8" s="1"/>
  <c r="W50" i="8" a="1"/>
  <c r="W50" i="8" s="1"/>
  <c r="L50" i="8" a="1"/>
  <c r="L50" i="8" s="1"/>
  <c r="AB48" i="8" a="1"/>
  <c r="AB48" i="8" s="1"/>
  <c r="P48" i="8" a="1"/>
  <c r="P48" i="8" s="1"/>
  <c r="S47" i="8" a="1"/>
  <c r="S47" i="8" s="1"/>
  <c r="V46" i="8" a="1"/>
  <c r="V46" i="8" s="1"/>
  <c r="J46" i="8" a="1"/>
  <c r="J46" i="8" s="1"/>
  <c r="Q44" i="8" a="1"/>
  <c r="Q44" i="8" s="1"/>
  <c r="K43" i="8" a="1"/>
  <c r="K43" i="8" s="1"/>
  <c r="W42" i="8" a="1"/>
  <c r="W42" i="8" s="1"/>
  <c r="K42" i="8" a="1"/>
  <c r="K42" i="8" s="1"/>
  <c r="Z41" i="8" a="1"/>
  <c r="Z41" i="8" s="1"/>
  <c r="O41" i="8" a="1"/>
  <c r="O41" i="8" s="1"/>
  <c r="F40" i="8" a="1"/>
  <c r="F40" i="8" s="1"/>
  <c r="H39" i="8" a="1"/>
  <c r="H39" i="8" s="1"/>
  <c r="V38" i="8" a="1"/>
  <c r="V38" i="8" s="1"/>
  <c r="AA36" i="8" a="1"/>
  <c r="AA36" i="8" s="1"/>
  <c r="O36" i="8" a="1"/>
  <c r="O36" i="8" s="1"/>
  <c r="AB35" i="8" a="1"/>
  <c r="AB35" i="8" s="1"/>
  <c r="Q35" i="8" a="1"/>
  <c r="Q35" i="8" s="1"/>
  <c r="U34" i="8" a="1"/>
  <c r="U34" i="8" s="1"/>
  <c r="J34" i="8" a="1"/>
  <c r="J34" i="8" s="1"/>
  <c r="M33" i="8" a="1"/>
  <c r="M33" i="8" s="1"/>
  <c r="AA32" i="8" a="1"/>
  <c r="AA32" i="8" s="1"/>
  <c r="N32" i="8" a="1"/>
  <c r="N32" i="8" s="1"/>
  <c r="AA31" i="8" a="1"/>
  <c r="AA31" i="8" s="1"/>
  <c r="R31" i="8" a="1"/>
  <c r="R31" i="8" s="1"/>
  <c r="H31" i="8" a="1"/>
  <c r="H31" i="8" s="1"/>
  <c r="V30" i="8" a="1"/>
  <c r="V30" i="8" s="1"/>
  <c r="H30" i="8" a="1"/>
  <c r="H30" i="8" s="1"/>
  <c r="M29" i="8" a="1"/>
  <c r="M29" i="8" s="1"/>
  <c r="AA28" i="8" a="1"/>
  <c r="AA28" i="8" s="1"/>
  <c r="AA27" i="8" a="1"/>
  <c r="AA27" i="8" s="1"/>
  <c r="Q27" i="8" a="1"/>
  <c r="Q27" i="8" s="1"/>
  <c r="F27" i="8" a="1"/>
  <c r="F27" i="8" s="1"/>
  <c r="V25" i="8" a="1"/>
  <c r="V25" i="8" s="1"/>
  <c r="K25" i="8" a="1"/>
  <c r="K25" i="8" s="1"/>
  <c r="Z24" i="8" a="1"/>
  <c r="Z24" i="8" s="1"/>
  <c r="AB23" i="8" a="1"/>
  <c r="AB23" i="8" s="1"/>
  <c r="R23" i="8" a="1"/>
  <c r="R23" i="8" s="1"/>
  <c r="G23" i="8" a="1"/>
  <c r="G23" i="8" s="1"/>
  <c r="U22" i="8" a="1"/>
  <c r="U22" i="8" s="1"/>
  <c r="X21" i="8" a="1"/>
  <c r="X21" i="8" s="1"/>
  <c r="M21" i="8" a="1"/>
  <c r="M21" i="8" s="1"/>
  <c r="Z20" i="8" a="1"/>
  <c r="Z20" i="8" s="1"/>
  <c r="O20" i="8" a="1"/>
  <c r="O20" i="8" s="1"/>
  <c r="R19" i="8" a="1"/>
  <c r="R19" i="8" s="1"/>
  <c r="Q60" i="8" a="1"/>
  <c r="Q60" i="8" s="1"/>
  <c r="F59" i="8" a="1"/>
  <c r="F59" i="8" s="1"/>
  <c r="E58" i="8" a="1"/>
  <c r="E58" i="8" s="1"/>
  <c r="K57" i="8" a="1"/>
  <c r="K57" i="8" s="1"/>
  <c r="S56" i="8" a="1"/>
  <c r="S56" i="8" s="1"/>
  <c r="S55" i="8" a="1"/>
  <c r="S55" i="8" s="1"/>
  <c r="G55" i="8" a="1"/>
  <c r="G55" i="8" s="1"/>
  <c r="T54" i="8" a="1"/>
  <c r="T54" i="8" s="1"/>
  <c r="Z52" i="8" a="1"/>
  <c r="Z52" i="8" s="1"/>
  <c r="O52" i="8" a="1"/>
  <c r="O52" i="8" s="1"/>
  <c r="V50" i="8" a="1"/>
  <c r="V50" i="8" s="1"/>
  <c r="X49" i="8" a="1"/>
  <c r="X49" i="8" s="1"/>
  <c r="M49" i="8" a="1"/>
  <c r="M49" i="8" s="1"/>
  <c r="AA48" i="8" a="1"/>
  <c r="AA48" i="8" s="1"/>
  <c r="E48" i="8" a="1"/>
  <c r="E48" i="8" s="1"/>
  <c r="H47" i="8" a="1"/>
  <c r="H47" i="8" s="1"/>
  <c r="U46" i="8" a="1"/>
  <c r="U46" i="8" s="1"/>
  <c r="I46" i="8" a="1"/>
  <c r="I46" i="8" s="1"/>
  <c r="X45" i="8" a="1"/>
  <c r="X45" i="8" s="1"/>
  <c r="O45" i="8" a="1"/>
  <c r="O45" i="8" s="1"/>
  <c r="AB44" i="8" a="1"/>
  <c r="AB44" i="8" s="1"/>
  <c r="P44" i="8" a="1"/>
  <c r="P44" i="8" s="1"/>
  <c r="E44" i="8" a="1"/>
  <c r="E44" i="8" s="1"/>
  <c r="T43" i="8" a="1"/>
  <c r="T43" i="8" s="1"/>
  <c r="N41" i="8" a="1"/>
  <c r="N41" i="8" s="1"/>
  <c r="AB40" i="8" a="1"/>
  <c r="AB40" i="8" s="1"/>
  <c r="Q40" i="8" a="1"/>
  <c r="Q40" i="8" s="1"/>
  <c r="E40" i="8" a="1"/>
  <c r="E40" i="8" s="1"/>
  <c r="T39" i="8" a="1"/>
  <c r="T39" i="8" s="1"/>
  <c r="G39" i="8" a="1"/>
  <c r="G39" i="8" s="1"/>
  <c r="U38" i="8" a="1"/>
  <c r="U38" i="8" s="1"/>
  <c r="J38" i="8" a="1"/>
  <c r="J38" i="8" s="1"/>
  <c r="W37" i="8" a="1"/>
  <c r="W37" i="8" s="1"/>
  <c r="M37" i="8" a="1"/>
  <c r="M37" i="8" s="1"/>
  <c r="Z36" i="8" a="1"/>
  <c r="Z36" i="8" s="1"/>
  <c r="N36" i="8" a="1"/>
  <c r="N36" i="8" s="1"/>
  <c r="AA35" i="8" a="1"/>
  <c r="AA35" i="8" s="1"/>
  <c r="G35" i="8" a="1"/>
  <c r="G35" i="8" s="1"/>
  <c r="I34" i="8" a="1"/>
  <c r="I34" i="8" s="1"/>
  <c r="V33" i="8" a="1"/>
  <c r="V33" i="8" s="1"/>
  <c r="L33" i="8" a="1"/>
  <c r="L33" i="8" s="1"/>
  <c r="Z32" i="8" a="1"/>
  <c r="Z32" i="8" s="1"/>
  <c r="U30" i="8" a="1"/>
  <c r="U30" i="8" s="1"/>
  <c r="G30" i="8" a="1"/>
  <c r="G30" i="8" s="1"/>
  <c r="W29" i="8" a="1"/>
  <c r="W29" i="8" s="1"/>
  <c r="Z28" i="8" a="1"/>
  <c r="Z28" i="8" s="1"/>
  <c r="O28" i="8" a="1"/>
  <c r="O28" i="8" s="1"/>
  <c r="O24" i="8" a="1"/>
  <c r="O24" i="8" s="1"/>
  <c r="Q23" i="8" a="1"/>
  <c r="Q23" i="8" s="1"/>
  <c r="J22" i="8" a="1"/>
  <c r="J22" i="8" s="1"/>
  <c r="L21" i="8" a="1"/>
  <c r="L21" i="8" s="1"/>
  <c r="G19" i="8" a="1"/>
  <c r="G19" i="8" s="1"/>
  <c r="I18" i="8" a="1"/>
  <c r="I18" i="8" s="1"/>
  <c r="L17" i="8" a="1"/>
  <c r="L17" i="8" s="1"/>
  <c r="Y16" i="8" a="1"/>
  <c r="Y16" i="8" s="1"/>
  <c r="N16" i="8" a="1"/>
  <c r="N16" i="8" s="1"/>
  <c r="Q15" i="8" a="1"/>
  <c r="Q15" i="8" s="1"/>
  <c r="T14" i="8" a="1"/>
  <c r="T14" i="8" s="1"/>
  <c r="O60" i="8" a="1"/>
  <c r="O60" i="8" s="1"/>
  <c r="E56" i="8" a="1"/>
  <c r="E56" i="8" s="1"/>
  <c r="F55" i="8" a="1"/>
  <c r="F55" i="8" s="1"/>
  <c r="I54" i="8" a="1"/>
  <c r="I54" i="8" s="1"/>
  <c r="V53" i="8" a="1"/>
  <c r="V53" i="8" s="1"/>
  <c r="K53" i="8" a="1"/>
  <c r="K53" i="8" s="1"/>
  <c r="X52" i="8" a="1"/>
  <c r="X52" i="8" s="1"/>
  <c r="N52" i="8" a="1"/>
  <c r="N52" i="8" s="1"/>
  <c r="AB51" i="8" a="1"/>
  <c r="AB51" i="8" s="1"/>
  <c r="Q51" i="8" a="1"/>
  <c r="Q51" i="8" s="1"/>
  <c r="G51" i="8" a="1"/>
  <c r="G51" i="8" s="1"/>
  <c r="U50" i="8" a="1"/>
  <c r="U50" i="8" s="1"/>
  <c r="K50" i="8" a="1"/>
  <c r="K50" i="8" s="1"/>
  <c r="W49" i="8" a="1"/>
  <c r="W49" i="8" s="1"/>
  <c r="L49" i="8" a="1"/>
  <c r="L49" i="8" s="1"/>
  <c r="Z48" i="8" a="1"/>
  <c r="Z48" i="8" s="1"/>
  <c r="O48" i="8" a="1"/>
  <c r="O48" i="8" s="1"/>
  <c r="R47" i="8" a="1"/>
  <c r="R47" i="8" s="1"/>
  <c r="G47" i="8" a="1"/>
  <c r="G47" i="8" s="1"/>
  <c r="N45" i="8" a="1"/>
  <c r="N45" i="8" s="1"/>
  <c r="AA44" i="8" a="1"/>
  <c r="AA44" i="8" s="1"/>
  <c r="J43" i="8" a="1"/>
  <c r="J43" i="8" s="1"/>
  <c r="V42" i="8" a="1"/>
  <c r="V42" i="8" s="1"/>
  <c r="J42" i="8" a="1"/>
  <c r="J42" i="8" s="1"/>
  <c r="Y41" i="8" a="1"/>
  <c r="Y41" i="8" s="1"/>
  <c r="P40" i="8" a="1"/>
  <c r="P40" i="8" s="1"/>
  <c r="S39" i="8" a="1"/>
  <c r="S39" i="8" s="1"/>
  <c r="I38" i="8" a="1"/>
  <c r="I38" i="8" s="1"/>
  <c r="L37" i="8" a="1"/>
  <c r="L37" i="8" s="1"/>
  <c r="Z35" i="8" a="1"/>
  <c r="Z35" i="8" s="1"/>
  <c r="P35" i="8" a="1"/>
  <c r="P35" i="8" s="1"/>
  <c r="F35" i="8" a="1"/>
  <c r="F35" i="8" s="1"/>
  <c r="T34" i="8" a="1"/>
  <c r="T34" i="8" s="1"/>
  <c r="H34" i="8" a="1"/>
  <c r="H34" i="8" s="1"/>
  <c r="K33" i="8" a="1"/>
  <c r="K33" i="8" s="1"/>
  <c r="Y32" i="8" a="1"/>
  <c r="Y32" i="8" s="1"/>
  <c r="M32" i="8" a="1"/>
  <c r="M32" i="8" s="1"/>
  <c r="Z31" i="8" a="1"/>
  <c r="Z31" i="8" s="1"/>
  <c r="Q31" i="8" a="1"/>
  <c r="Q31" i="8" s="1"/>
  <c r="G31" i="8" a="1"/>
  <c r="G31" i="8" s="1"/>
  <c r="T30" i="8" a="1"/>
  <c r="T30" i="8" s="1"/>
  <c r="V29" i="8" a="1"/>
  <c r="V29" i="8" s="1"/>
  <c r="L29" i="8" a="1"/>
  <c r="L29" i="8" s="1"/>
  <c r="N28" i="8" a="1"/>
  <c r="N28" i="8" s="1"/>
  <c r="Z27" i="8" a="1"/>
  <c r="Z27" i="8" s="1"/>
  <c r="P27" i="8" a="1"/>
  <c r="P27" i="8" s="1"/>
  <c r="E27" i="8" a="1"/>
  <c r="E27" i="8" s="1"/>
  <c r="S26" i="8" a="1"/>
  <c r="S26" i="8" s="1"/>
  <c r="G26" i="8" a="1"/>
  <c r="G26" i="8" s="1"/>
  <c r="U25" i="8" a="1"/>
  <c r="U25" i="8" s="1"/>
  <c r="J25" i="8" a="1"/>
  <c r="J25" i="8" s="1"/>
  <c r="Y24" i="8" a="1"/>
  <c r="Y24" i="8" s="1"/>
  <c r="N24" i="8" a="1"/>
  <c r="N24" i="8" s="1"/>
  <c r="AA23" i="8" a="1"/>
  <c r="AA23" i="8" s="1"/>
  <c r="P23" i="8" a="1"/>
  <c r="P23" i="8" s="1"/>
  <c r="F23" i="8" a="1"/>
  <c r="F23" i="8" s="1"/>
  <c r="T22" i="8" a="1"/>
  <c r="T22" i="8" s="1"/>
  <c r="I22" i="8" a="1"/>
  <c r="I22" i="8" s="1"/>
  <c r="W21" i="8" a="1"/>
  <c r="W21" i="8" s="1"/>
  <c r="I57" i="8" a="1"/>
  <c r="I57" i="8" s="1"/>
  <c r="R56" i="8" a="1"/>
  <c r="R56" i="8" s="1"/>
  <c r="R55" i="8" a="1"/>
  <c r="R55" i="8" s="1"/>
  <c r="S54" i="8" a="1"/>
  <c r="S54" i="8" s="1"/>
  <c r="H54" i="8" a="1"/>
  <c r="H54" i="8" s="1"/>
  <c r="I53" i="8" a="1"/>
  <c r="I53" i="8" s="1"/>
  <c r="M52" i="8" a="1"/>
  <c r="M52" i="8" s="1"/>
  <c r="AA51" i="8" a="1"/>
  <c r="AA51" i="8" s="1"/>
  <c r="P51" i="8" a="1"/>
  <c r="P51" i="8" s="1"/>
  <c r="J50" i="8" a="1"/>
  <c r="J50" i="8" s="1"/>
  <c r="V49" i="8" a="1"/>
  <c r="V49" i="8" s="1"/>
  <c r="N48" i="8" a="1"/>
  <c r="N48" i="8" s="1"/>
  <c r="AB47" i="8" a="1"/>
  <c r="AB47" i="8" s="1"/>
  <c r="T46" i="8" a="1"/>
  <c r="T46" i="8" s="1"/>
  <c r="H46" i="8" a="1"/>
  <c r="H46" i="8" s="1"/>
  <c r="W45" i="8" a="1"/>
  <c r="W45" i="8" s="1"/>
  <c r="Z44" i="8" a="1"/>
  <c r="Z44" i="8" s="1"/>
  <c r="O44" i="8" a="1"/>
  <c r="O44" i="8" s="1"/>
  <c r="S43" i="8" a="1"/>
  <c r="S43" i="8" s="1"/>
  <c r="I43" i="8" a="1"/>
  <c r="I43" i="8" s="1"/>
  <c r="U42" i="8" a="1"/>
  <c r="U42" i="8" s="1"/>
  <c r="I42" i="8" a="1"/>
  <c r="I42" i="8" s="1"/>
  <c r="X41" i="8" a="1"/>
  <c r="X41" i="8" s="1"/>
  <c r="M41" i="8" a="1"/>
  <c r="M41" i="8" s="1"/>
  <c r="AA40" i="8" a="1"/>
  <c r="AA40" i="8" s="1"/>
  <c r="F39" i="8" a="1"/>
  <c r="F39" i="8" s="1"/>
  <c r="T38" i="8" a="1"/>
  <c r="T38" i="8" s="1"/>
  <c r="V37" i="8" a="1"/>
  <c r="V37" i="8" s="1"/>
  <c r="Y36" i="8" a="1"/>
  <c r="Y36" i="8" s="1"/>
  <c r="M36" i="8" a="1"/>
  <c r="M36" i="8" s="1"/>
  <c r="Y35" i="8" a="1"/>
  <c r="Y35" i="8" s="1"/>
  <c r="S34" i="8" a="1"/>
  <c r="S34" i="8" s="1"/>
  <c r="G34" i="8" a="1"/>
  <c r="G34" i="8" s="1"/>
  <c r="U33" i="8" a="1"/>
  <c r="U33" i="8" s="1"/>
  <c r="J33" i="8" a="1"/>
  <c r="J33" i="8" s="1"/>
  <c r="X32" i="8" a="1"/>
  <c r="X32" i="8" s="1"/>
  <c r="L32" i="8" a="1"/>
  <c r="L32" i="8" s="1"/>
  <c r="P31" i="8" a="1"/>
  <c r="P31" i="8" s="1"/>
  <c r="S30" i="8" a="1"/>
  <c r="S30" i="8" s="1"/>
  <c r="AJ30" i="8" s="1"/>
  <c r="F30" i="8" a="1"/>
  <c r="F30" i="8" s="1"/>
  <c r="U29" i="8" a="1"/>
  <c r="U29" i="8" s="1"/>
  <c r="Y28" i="8" a="1"/>
  <c r="Y28" i="8" s="1"/>
  <c r="M28" i="8" a="1"/>
  <c r="M28" i="8" s="1"/>
  <c r="O27" i="8" a="1"/>
  <c r="O27" i="8" s="1"/>
  <c r="F26" i="8" a="1"/>
  <c r="F26" i="8" s="1"/>
  <c r="T25" i="8" a="1"/>
  <c r="T25" i="8" s="1"/>
  <c r="X24" i="8" a="1"/>
  <c r="X24" i="8" s="1"/>
  <c r="E23" i="8" a="1"/>
  <c r="E23" i="8" s="1"/>
  <c r="S22" i="8" a="1"/>
  <c r="S22" i="8" s="1"/>
  <c r="H22" i="8" a="1"/>
  <c r="H22" i="8" s="1"/>
  <c r="V21" i="8" a="1"/>
  <c r="V21" i="8" s="1"/>
  <c r="K21" i="8" a="1"/>
  <c r="K21" i="8" s="1"/>
  <c r="X20" i="8" a="1"/>
  <c r="X20" i="8" s="1"/>
  <c r="AA19" i="8" a="1"/>
  <c r="AA19" i="8" s="1"/>
  <c r="E19" i="8" a="1"/>
  <c r="E19" i="8" s="1"/>
  <c r="S18" i="8" a="1"/>
  <c r="S18" i="8" s="1"/>
  <c r="X16" i="8" a="1"/>
  <c r="X16" i="8" s="1"/>
  <c r="M16" i="8" a="1"/>
  <c r="M16" i="8" s="1"/>
  <c r="W62" i="8" a="1"/>
  <c r="W62" i="8" s="1"/>
  <c r="G60" i="8" a="1"/>
  <c r="G60" i="8" s="1"/>
  <c r="Y58" i="8" a="1"/>
  <c r="Y58" i="8" s="1"/>
  <c r="AA57" i="8" a="1"/>
  <c r="AA57" i="8" s="1"/>
  <c r="G57" i="8" a="1"/>
  <c r="G57" i="8" s="1"/>
  <c r="Q56" i="8" a="1"/>
  <c r="Q56" i="8" s="1"/>
  <c r="Q55" i="8" a="1"/>
  <c r="Q55" i="8" s="1"/>
  <c r="E55" i="8" a="1"/>
  <c r="E55" i="8" s="1"/>
  <c r="G54" i="8" a="1"/>
  <c r="G54" i="8" s="1"/>
  <c r="T53" i="8" a="1"/>
  <c r="T53" i="8" s="1"/>
  <c r="W52" i="8" a="1"/>
  <c r="W52" i="8" s="1"/>
  <c r="L52" i="8" a="1"/>
  <c r="L52" i="8" s="1"/>
  <c r="Z51" i="8" a="1"/>
  <c r="Z51" i="8" s="1"/>
  <c r="F51" i="8" a="1"/>
  <c r="F51" i="8" s="1"/>
  <c r="T50" i="8" a="1"/>
  <c r="T50" i="8" s="1"/>
  <c r="I50" i="8" a="1"/>
  <c r="I50" i="8" s="1"/>
  <c r="U49" i="8" a="1"/>
  <c r="U49" i="8" s="1"/>
  <c r="K49" i="8" a="1"/>
  <c r="K49" i="8" s="1"/>
  <c r="Y48" i="8" a="1"/>
  <c r="Y48" i="8" s="1"/>
  <c r="Q47" i="8" a="1"/>
  <c r="Q47" i="8" s="1"/>
  <c r="F47" i="8" a="1"/>
  <c r="F47" i="8" s="1"/>
  <c r="S46" i="8" a="1"/>
  <c r="S46" i="8" s="1"/>
  <c r="G46" i="8" a="1"/>
  <c r="G46" i="8" s="1"/>
  <c r="V45" i="8" a="1"/>
  <c r="V45" i="8" s="1"/>
  <c r="M45" i="8" a="1"/>
  <c r="M45" i="8" s="1"/>
  <c r="N44" i="8" a="1"/>
  <c r="N44" i="8" s="1"/>
  <c r="AB43" i="8" a="1"/>
  <c r="AB43" i="8" s="1"/>
  <c r="H43" i="8" a="1"/>
  <c r="H43" i="8" s="1"/>
  <c r="T42" i="8" a="1"/>
  <c r="T42" i="8" s="1"/>
  <c r="W41" i="8" a="1"/>
  <c r="W41" i="8" s="1"/>
  <c r="Z40" i="8" a="1"/>
  <c r="Z40" i="8" s="1"/>
  <c r="O40" i="8" a="1"/>
  <c r="O40" i="8" s="1"/>
  <c r="AB39" i="8" a="1"/>
  <c r="AB39" i="8" s="1"/>
  <c r="R39" i="8" a="1"/>
  <c r="R39" i="8" s="1"/>
  <c r="S38" i="8" a="1"/>
  <c r="S38" i="8" s="1"/>
  <c r="H38" i="8" a="1"/>
  <c r="H38" i="8" s="1"/>
  <c r="K37" i="8" a="1"/>
  <c r="K37" i="8" s="1"/>
  <c r="X36" i="8" a="1"/>
  <c r="X36" i="8" s="1"/>
  <c r="L36" i="8" a="1"/>
  <c r="L36" i="8" s="1"/>
  <c r="O35" i="8" a="1"/>
  <c r="O35" i="8" s="1"/>
  <c r="E35" i="8" a="1"/>
  <c r="E35" i="8" s="1"/>
  <c r="F34" i="8" a="1"/>
  <c r="F34" i="8" s="1"/>
  <c r="T33" i="8" a="1"/>
  <c r="T33" i="8" s="1"/>
  <c r="K32" i="8" a="1"/>
  <c r="K32" i="8" s="1"/>
  <c r="Y31" i="8" a="1"/>
  <c r="Y31" i="8" s="1"/>
  <c r="F31" i="8" a="1"/>
  <c r="F31" i="8" s="1"/>
  <c r="R30" i="8" a="1"/>
  <c r="R30" i="8" s="1"/>
  <c r="E30" i="8" a="1"/>
  <c r="E30" i="8" s="1"/>
  <c r="K29" i="8" a="1"/>
  <c r="K29" i="8" s="1"/>
  <c r="X28" i="8" a="1"/>
  <c r="X28" i="8" s="1"/>
  <c r="L28" i="8" a="1"/>
  <c r="L28" i="8" s="1"/>
  <c r="Y27" i="8" a="1"/>
  <c r="Y27" i="8" s="1"/>
  <c r="N27" i="8" a="1"/>
  <c r="N27" i="8" s="1"/>
  <c r="AB26" i="8" a="1"/>
  <c r="AB26" i="8" s="1"/>
  <c r="R26" i="8" a="1"/>
  <c r="R26" i="8" s="1"/>
  <c r="E26" i="8" a="1"/>
  <c r="E26" i="8" s="1"/>
  <c r="S25" i="8" a="1"/>
  <c r="S25" i="8" s="1"/>
  <c r="I25" i="8" a="1"/>
  <c r="I25" i="8" s="1"/>
  <c r="Z23" i="8" a="1"/>
  <c r="Z23" i="8" s="1"/>
  <c r="M62" i="8" a="1"/>
  <c r="M62" i="8" s="1"/>
  <c r="Z57" i="8" a="1"/>
  <c r="Z57" i="8" s="1"/>
  <c r="AB55" i="8" a="1"/>
  <c r="AB55" i="8" s="1"/>
  <c r="P55" i="8" a="1"/>
  <c r="P55" i="8" s="1"/>
  <c r="R54" i="8" a="1"/>
  <c r="R54" i="8" s="1"/>
  <c r="F54" i="8" a="1"/>
  <c r="F54" i="8" s="1"/>
  <c r="H53" i="8" a="1"/>
  <c r="H53" i="8" s="1"/>
  <c r="AI53" i="8" s="1"/>
  <c r="V52" i="8" a="1"/>
  <c r="V52" i="8" s="1"/>
  <c r="O51" i="8" a="1"/>
  <c r="O51" i="8" s="1"/>
  <c r="T49" i="8" a="1"/>
  <c r="T49" i="8" s="1"/>
  <c r="X48" i="8" a="1"/>
  <c r="X48" i="8" s="1"/>
  <c r="M48" i="8" a="1"/>
  <c r="M48" i="8" s="1"/>
  <c r="AA47" i="8" a="1"/>
  <c r="AA47" i="8" s="1"/>
  <c r="P47" i="8" a="1"/>
  <c r="P47" i="8" s="1"/>
  <c r="E47" i="8" a="1"/>
  <c r="E47" i="8" s="1"/>
  <c r="R46" i="8" a="1"/>
  <c r="R46" i="8" s="1"/>
  <c r="L45" i="8" a="1"/>
  <c r="L45" i="8" s="1"/>
  <c r="Y44" i="8" a="1"/>
  <c r="Y44" i="8" s="1"/>
  <c r="R43" i="8" a="1"/>
  <c r="R43" i="8" s="1"/>
  <c r="G43" i="8" a="1"/>
  <c r="G43" i="8" s="1"/>
  <c r="S42" i="8" a="1"/>
  <c r="S42" i="8" s="1"/>
  <c r="H42" i="8" a="1"/>
  <c r="H42" i="8" s="1"/>
  <c r="V41" i="8" a="1"/>
  <c r="V41" i="8" s="1"/>
  <c r="L41" i="8" a="1"/>
  <c r="L41" i="8" s="1"/>
  <c r="N40" i="8" a="1"/>
  <c r="N40" i="8" s="1"/>
  <c r="Q39" i="8" a="1"/>
  <c r="Q39" i="8" s="1"/>
  <c r="E39" i="8" a="1"/>
  <c r="E39" i="8" s="1"/>
  <c r="G38" i="8" a="1"/>
  <c r="G38" i="8" s="1"/>
  <c r="U37" i="8" a="1"/>
  <c r="U37" i="8" s="1"/>
  <c r="J37" i="8" a="1"/>
  <c r="J37" i="8" s="1"/>
  <c r="W36" i="8" a="1"/>
  <c r="W36" i="8" s="1"/>
  <c r="X35" i="8" a="1"/>
  <c r="X35" i="8" s="1"/>
  <c r="R34" i="8" a="1"/>
  <c r="R34" i="8" s="1"/>
  <c r="E34" i="8" a="1"/>
  <c r="E34" i="8" s="1"/>
  <c r="S33" i="8" a="1"/>
  <c r="S33" i="8" s="1"/>
  <c r="I33" i="8" a="1"/>
  <c r="I33" i="8" s="1"/>
  <c r="W32" i="8" a="1"/>
  <c r="W32" i="8" s="1"/>
  <c r="J32" i="8" a="1"/>
  <c r="J32" i="8" s="1"/>
  <c r="O31" i="8" a="1"/>
  <c r="O31" i="8" s="1"/>
  <c r="E31" i="8" a="1"/>
  <c r="E31" i="8" s="1"/>
  <c r="Q30" i="8" a="1"/>
  <c r="Q30" i="8" s="1"/>
  <c r="T29" i="8" a="1"/>
  <c r="T29" i="8" s="1"/>
  <c r="K28" i="8" a="1"/>
  <c r="K28" i="8" s="1"/>
  <c r="Q26" i="8" a="1"/>
  <c r="Q26" i="8" s="1"/>
  <c r="H25" i="8" a="1"/>
  <c r="H25" i="8" s="1"/>
  <c r="W24" i="8" a="1"/>
  <c r="W24" i="8" s="1"/>
  <c r="L24" i="8" a="1"/>
  <c r="L24" i="8" s="1"/>
  <c r="Y23" i="8" a="1"/>
  <c r="Y23" i="8" s="1"/>
  <c r="R22" i="8" a="1"/>
  <c r="R22" i="8" s="1"/>
  <c r="F22" i="8" a="1"/>
  <c r="F22" i="8" s="1"/>
  <c r="I21" i="8" a="1"/>
  <c r="I21" i="8" s="1"/>
  <c r="L20" i="8" a="1"/>
  <c r="L20" i="8" s="1"/>
  <c r="O19" i="8" a="1"/>
  <c r="O19" i="8" s="1"/>
  <c r="R18" i="8" a="1"/>
  <c r="R18" i="8" s="1"/>
  <c r="T17" i="8" a="1"/>
  <c r="T17" i="8" s="1"/>
  <c r="W16" i="8" a="1"/>
  <c r="W16" i="8" s="1"/>
  <c r="Y15" i="8" a="1"/>
  <c r="Y15" i="8" s="1"/>
  <c r="Q14" i="8" a="1"/>
  <c r="Q14" i="8" s="1"/>
  <c r="E14" i="8" a="1"/>
  <c r="E14" i="8" s="1"/>
  <c r="J12" i="8" a="1"/>
  <c r="J12" i="8" s="1"/>
  <c r="I62" i="8" a="1"/>
  <c r="I62" i="8" s="1"/>
  <c r="W58" i="8" a="1"/>
  <c r="W58" i="8" s="1"/>
  <c r="E57" i="8" a="1"/>
  <c r="E57" i="8" s="1"/>
  <c r="P56" i="8" a="1"/>
  <c r="P56" i="8" s="1"/>
  <c r="AA55" i="8" a="1"/>
  <c r="AA55" i="8" s="1"/>
  <c r="AB54" i="8" a="1"/>
  <c r="AB54" i="8" s="1"/>
  <c r="Q54" i="8" a="1"/>
  <c r="Q54" i="8" s="1"/>
  <c r="E54" i="8" a="1"/>
  <c r="E54" i="8" s="1"/>
  <c r="S53" i="8" a="1"/>
  <c r="S53" i="8" s="1"/>
  <c r="AJ53" i="8" s="1"/>
  <c r="G53" i="8" a="1"/>
  <c r="G53" i="8" s="1"/>
  <c r="U52" i="8" a="1"/>
  <c r="U52" i="8" s="1"/>
  <c r="K52" i="8" a="1"/>
  <c r="K52" i="8" s="1"/>
  <c r="Y51" i="8" a="1"/>
  <c r="Y51" i="8" s="1"/>
  <c r="E51" i="8" a="1"/>
  <c r="E51" i="8" s="1"/>
  <c r="S50" i="8" a="1"/>
  <c r="S50" i="8" s="1"/>
  <c r="H50" i="8" a="1"/>
  <c r="H50" i="8" s="1"/>
  <c r="S49" i="8" a="1"/>
  <c r="S49" i="8" s="1"/>
  <c r="AJ49" i="8" s="1"/>
  <c r="J49" i="8" a="1"/>
  <c r="J49" i="8" s="1"/>
  <c r="Z47" i="8" a="1"/>
  <c r="Z47" i="8" s="1"/>
  <c r="O47" i="8" a="1"/>
  <c r="O47" i="8" s="1"/>
  <c r="Q46" i="8" a="1"/>
  <c r="Q46" i="8" s="1"/>
  <c r="F46" i="8" a="1"/>
  <c r="F46" i="8" s="1"/>
  <c r="U45" i="8" a="1"/>
  <c r="U45" i="8" s="1"/>
  <c r="X44" i="8" a="1"/>
  <c r="X44" i="8" s="1"/>
  <c r="M44" i="8" a="1"/>
  <c r="M44" i="8" s="1"/>
  <c r="AA43" i="8" a="1"/>
  <c r="AA43" i="8" s="1"/>
  <c r="F43" i="8" a="1"/>
  <c r="F43" i="8" s="1"/>
  <c r="G42" i="8" a="1"/>
  <c r="G42" i="8" s="1"/>
  <c r="Y40" i="8" a="1"/>
  <c r="Y40" i="8" s="1"/>
  <c r="M40" i="8" a="1"/>
  <c r="M40" i="8" s="1"/>
  <c r="AA39" i="8" a="1"/>
  <c r="AA39" i="8" s="1"/>
  <c r="P39" i="8" a="1"/>
  <c r="P39" i="8" s="1"/>
  <c r="R38" i="8" a="1"/>
  <c r="R38" i="8" s="1"/>
  <c r="F38" i="8" a="1"/>
  <c r="F38" i="8" s="1"/>
  <c r="T37" i="8" a="1"/>
  <c r="T37" i="8" s="1"/>
  <c r="I37" i="8" a="1"/>
  <c r="I37" i="8" s="1"/>
  <c r="V36" i="8" a="1"/>
  <c r="V36" i="8" s="1"/>
  <c r="K36" i="8" a="1"/>
  <c r="K36" i="8" s="1"/>
  <c r="N35" i="8" a="1"/>
  <c r="N35" i="8" s="1"/>
  <c r="Q34" i="8" a="1"/>
  <c r="Q34" i="8" s="1"/>
  <c r="R33" i="8" a="1"/>
  <c r="R33" i="8" s="1"/>
  <c r="V32" i="8" a="1"/>
  <c r="V32" i="8" s="1"/>
  <c r="I32" i="8" a="1"/>
  <c r="I32" i="8" s="1"/>
  <c r="X31" i="8" a="1"/>
  <c r="X31" i="8" s="1"/>
  <c r="J29" i="8" a="1"/>
  <c r="J29" i="8" s="1"/>
  <c r="W28" i="8" a="1"/>
  <c r="W28" i="8" s="1"/>
  <c r="J28" i="8" a="1"/>
  <c r="J28" i="8" s="1"/>
  <c r="X27" i="8" a="1"/>
  <c r="X27" i="8" s="1"/>
  <c r="M27" i="8" a="1"/>
  <c r="M27" i="8" s="1"/>
  <c r="AA26" i="8" a="1"/>
  <c r="AA26" i="8" s="1"/>
  <c r="AB25" i="8" a="1"/>
  <c r="AB25" i="8" s="1"/>
  <c r="R25" i="8" a="1"/>
  <c r="R25" i="8" s="1"/>
  <c r="G25" i="8" a="1"/>
  <c r="G25" i="8" s="1"/>
  <c r="V24" i="8" a="1"/>
  <c r="V24" i="8" s="1"/>
  <c r="X23" i="8" a="1"/>
  <c r="X23" i="8" s="1"/>
  <c r="N23" i="8" a="1"/>
  <c r="N23" i="8" s="1"/>
  <c r="AB22" i="8" a="1"/>
  <c r="AB22" i="8" s="1"/>
  <c r="Q22" i="8" a="1"/>
  <c r="Q22" i="8" s="1"/>
  <c r="T21" i="8" a="1"/>
  <c r="T21" i="8" s="1"/>
  <c r="AA59" i="8" a="1"/>
  <c r="AA59" i="8" s="1"/>
  <c r="V58" i="8" a="1"/>
  <c r="V58" i="8" s="1"/>
  <c r="X57" i="8" a="1"/>
  <c r="X57" i="8" s="1"/>
  <c r="N56" i="8" a="1"/>
  <c r="N56" i="8" s="1"/>
  <c r="O55" i="8" a="1"/>
  <c r="O55" i="8" s="1"/>
  <c r="AA54" i="8" a="1"/>
  <c r="AA54" i="8" s="1"/>
  <c r="P54" i="8" a="1"/>
  <c r="P54" i="8" s="1"/>
  <c r="R53" i="8" a="1"/>
  <c r="R53" i="8" s="1"/>
  <c r="X51" i="8" a="1"/>
  <c r="X51" i="8" s="1"/>
  <c r="N51" i="8" a="1"/>
  <c r="N51" i="8" s="1"/>
  <c r="R50" i="8" a="1"/>
  <c r="R50" i="8" s="1"/>
  <c r="G50" i="8" a="1"/>
  <c r="G50" i="8" s="1"/>
  <c r="W48" i="8" a="1"/>
  <c r="W48" i="8" s="1"/>
  <c r="L48" i="8" a="1"/>
  <c r="L48" i="8" s="1"/>
  <c r="N47" i="8" a="1"/>
  <c r="N47" i="8" s="1"/>
  <c r="E46" i="8" a="1"/>
  <c r="E46" i="8" s="1"/>
  <c r="T45" i="8" a="1"/>
  <c r="T45" i="8" s="1"/>
  <c r="K45" i="8" a="1"/>
  <c r="K45" i="8" s="1"/>
  <c r="L44" i="8" a="1"/>
  <c r="L44" i="8" s="1"/>
  <c r="Q43" i="8" a="1"/>
  <c r="Q43" i="8" s="1"/>
  <c r="E43" i="8" a="1"/>
  <c r="E43" i="8" s="1"/>
  <c r="R42" i="8" a="1"/>
  <c r="R42" i="8" s="1"/>
  <c r="U41" i="8" a="1"/>
  <c r="U41" i="8" s="1"/>
  <c r="K41" i="8" a="1"/>
  <c r="K41" i="8" s="1"/>
  <c r="X40" i="8" a="1"/>
  <c r="X40" i="8" s="1"/>
  <c r="L40" i="8" a="1"/>
  <c r="L40" i="8" s="1"/>
  <c r="O39" i="8" a="1"/>
  <c r="O39" i="8" s="1"/>
  <c r="Q38" i="8" a="1"/>
  <c r="Q38" i="8" s="1"/>
  <c r="E38" i="8" a="1"/>
  <c r="E38" i="8" s="1"/>
  <c r="H37" i="8" a="1"/>
  <c r="H37" i="8" s="1"/>
  <c r="J36" i="8" a="1"/>
  <c r="J36" i="8" s="1"/>
  <c r="W35" i="8" a="1"/>
  <c r="W35" i="8" s="1"/>
  <c r="AB34" i="8" a="1"/>
  <c r="AB34" i="8" s="1"/>
  <c r="P34" i="8" a="1"/>
  <c r="P34" i="8" s="1"/>
  <c r="AB33" i="8" a="1"/>
  <c r="AB33" i="8" s="1"/>
  <c r="H33" i="8" a="1"/>
  <c r="H33" i="8" s="1"/>
  <c r="H32" i="8" a="1"/>
  <c r="H32" i="8" s="1"/>
  <c r="N31" i="8" a="1"/>
  <c r="N31" i="8" s="1"/>
  <c r="P30" i="8" a="1"/>
  <c r="P30" i="8" s="1"/>
  <c r="AB29" i="8" a="1"/>
  <c r="AB29" i="8" s="1"/>
  <c r="S29" i="8" a="1"/>
  <c r="S29" i="8" s="1"/>
  <c r="I29" i="8" a="1"/>
  <c r="I29" i="8" s="1"/>
  <c r="V28" i="8" a="1"/>
  <c r="V28" i="8" s="1"/>
  <c r="I28" i="8" a="1"/>
  <c r="I28" i="8" s="1"/>
  <c r="W27" i="8" a="1"/>
  <c r="W27" i="8" s="1"/>
  <c r="P26" i="8" a="1"/>
  <c r="P26" i="8" s="1"/>
  <c r="U24" i="8" a="1"/>
  <c r="U24" i="8" s="1"/>
  <c r="K24" i="8" a="1"/>
  <c r="K24" i="8" s="1"/>
  <c r="M23" i="8" a="1"/>
  <c r="M23" i="8" s="1"/>
  <c r="AA22" i="8" a="1"/>
  <c r="AA22" i="8" s="1"/>
  <c r="E22" i="8" a="1"/>
  <c r="E22" i="8" s="1"/>
  <c r="K20" i="8" a="1"/>
  <c r="K20" i="8" s="1"/>
  <c r="AA18" i="8" a="1"/>
  <c r="AA18" i="8" s="1"/>
  <c r="P18" i="8" a="1"/>
  <c r="P18" i="8" s="1"/>
  <c r="E18" i="8" a="1"/>
  <c r="E18" i="8" s="1"/>
  <c r="H17" i="8" a="1"/>
  <c r="H17" i="8" s="1"/>
  <c r="J16" i="8" a="1"/>
  <c r="J16" i="8" s="1"/>
  <c r="AA61" i="8" a="1"/>
  <c r="AA61" i="8" s="1"/>
  <c r="W57" i="8" a="1"/>
  <c r="W57" i="8" s="1"/>
  <c r="AA56" i="8" a="1"/>
  <c r="AA56" i="8" s="1"/>
  <c r="Z55" i="8" a="1"/>
  <c r="Z55" i="8" s="1"/>
  <c r="M55" i="8" a="1"/>
  <c r="M55" i="8" s="1"/>
  <c r="O54" i="8" a="1"/>
  <c r="O54" i="8" s="1"/>
  <c r="AB53" i="8" a="1"/>
  <c r="AB53" i="8" s="1"/>
  <c r="Q53" i="8" a="1"/>
  <c r="Q53" i="8" s="1"/>
  <c r="F53" i="8" a="1"/>
  <c r="F53" i="8" s="1"/>
  <c r="T52" i="8" a="1"/>
  <c r="T52" i="8" s="1"/>
  <c r="J52" i="8" a="1"/>
  <c r="J52" i="8" s="1"/>
  <c r="Q50" i="8" a="1"/>
  <c r="Q50" i="8" s="1"/>
  <c r="F50" i="8" a="1"/>
  <c r="F50" i="8" s="1"/>
  <c r="R49" i="8" a="1"/>
  <c r="R49" i="8" s="1"/>
  <c r="I49" i="8" a="1"/>
  <c r="I49" i="8" s="1"/>
  <c r="V48" i="8" a="1"/>
  <c r="V48" i="8" s="1"/>
  <c r="Y47" i="8" a="1"/>
  <c r="Y47" i="8" s="1"/>
  <c r="M47" i="8" a="1"/>
  <c r="M47" i="8" s="1"/>
  <c r="AB46" i="8" a="1"/>
  <c r="AB46" i="8" s="1"/>
  <c r="P46" i="8" a="1"/>
  <c r="P46" i="8" s="1"/>
  <c r="W44" i="8" a="1"/>
  <c r="W44" i="8" s="1"/>
  <c r="K44" i="8" a="1"/>
  <c r="K44" i="8" s="1"/>
  <c r="Z43" i="8" a="1"/>
  <c r="Z43" i="8" s="1"/>
  <c r="Q42" i="8" a="1"/>
  <c r="Q42" i="8" s="1"/>
  <c r="F42" i="8" a="1"/>
  <c r="F42" i="8" s="1"/>
  <c r="J41" i="8" a="1"/>
  <c r="J41" i="8" s="1"/>
  <c r="Z39" i="8" a="1"/>
  <c r="Z39" i="8" s="1"/>
  <c r="AB38" i="8" a="1"/>
  <c r="AB38" i="8" s="1"/>
  <c r="S37" i="8" a="1"/>
  <c r="S37" i="8" s="1"/>
  <c r="U36" i="8" a="1"/>
  <c r="U36" i="8" s="1"/>
  <c r="M35" i="8" a="1"/>
  <c r="M35" i="8" s="1"/>
  <c r="AA34" i="8" a="1"/>
  <c r="AA34" i="8" s="1"/>
  <c r="O34" i="8" a="1"/>
  <c r="O34" i="8" s="1"/>
  <c r="AA33" i="8" a="1"/>
  <c r="AA33" i="8" s="1"/>
  <c r="Q33" i="8" a="1"/>
  <c r="Q33" i="8" s="1"/>
  <c r="G33" i="8" a="1"/>
  <c r="G33" i="8" s="1"/>
  <c r="U32" i="8" a="1"/>
  <c r="U32" i="8" s="1"/>
  <c r="W31" i="8" a="1"/>
  <c r="W31" i="8" s="1"/>
  <c r="M31" i="8" a="1"/>
  <c r="M31" i="8" s="1"/>
  <c r="AB30" i="8" a="1"/>
  <c r="AB30" i="8" s="1"/>
  <c r="O30" i="8" a="1"/>
  <c r="O30" i="8" s="1"/>
  <c r="H28" i="8" a="1"/>
  <c r="H28" i="8" s="1"/>
  <c r="V27" i="8" a="1"/>
  <c r="V27" i="8" s="1"/>
  <c r="L27" i="8" a="1"/>
  <c r="L27" i="8" s="1"/>
  <c r="Z26" i="8" a="1"/>
  <c r="Z26" i="8" s="1"/>
  <c r="O26" i="8" a="1"/>
  <c r="O26" i="8" s="1"/>
  <c r="AA25" i="8" a="1"/>
  <c r="AA25" i="8" s="1"/>
  <c r="Q25" i="8" a="1"/>
  <c r="Q25" i="8" s="1"/>
  <c r="F25" i="8" a="1"/>
  <c r="F25" i="8" s="1"/>
  <c r="J24" i="8" a="1"/>
  <c r="J24" i="8" s="1"/>
  <c r="W23" i="8" a="1"/>
  <c r="W23" i="8" s="1"/>
  <c r="L23" i="8" a="1"/>
  <c r="L23" i="8" s="1"/>
  <c r="P22" i="8" a="1"/>
  <c r="P22" i="8" s="1"/>
  <c r="S21" i="8" a="1"/>
  <c r="S21" i="8" s="1"/>
  <c r="AJ21" i="8" s="1"/>
  <c r="U20" i="8" a="1"/>
  <c r="U20" i="8" s="1"/>
  <c r="J20" i="8" a="1"/>
  <c r="J20" i="8" s="1"/>
  <c r="X19" i="8" a="1"/>
  <c r="X19" i="8" s="1"/>
  <c r="M19" i="8" a="1"/>
  <c r="M19" i="8" s="1"/>
  <c r="R17" i="8" a="1"/>
  <c r="R17" i="8" s="1"/>
  <c r="X61" i="8" a="1"/>
  <c r="X61" i="8" s="1"/>
  <c r="T58" i="8" a="1"/>
  <c r="T58" i="8" s="1"/>
  <c r="M56" i="8" a="1"/>
  <c r="M56" i="8" s="1"/>
  <c r="Y55" i="8" a="1"/>
  <c r="Y55" i="8" s="1"/>
  <c r="Z54" i="8" a="1"/>
  <c r="Z54" i="8" s="1"/>
  <c r="W51" i="8" a="1"/>
  <c r="W51" i="8" s="1"/>
  <c r="M51" i="8" a="1"/>
  <c r="M51" i="8" s="1"/>
  <c r="AB50" i="8" a="1"/>
  <c r="AB50" i="8" s="1"/>
  <c r="E50" i="8" a="1"/>
  <c r="E50" i="8" s="1"/>
  <c r="K48" i="8" a="1"/>
  <c r="K48" i="8" s="1"/>
  <c r="X47" i="8" a="1"/>
  <c r="X47" i="8" s="1"/>
  <c r="AA46" i="8" a="1"/>
  <c r="AA46" i="8" s="1"/>
  <c r="O46" i="8" a="1"/>
  <c r="O46" i="8" s="1"/>
  <c r="AB45" i="8" a="1"/>
  <c r="AB45" i="8" s="1"/>
  <c r="S45" i="8" a="1"/>
  <c r="S45" i="8" s="1"/>
  <c r="J45" i="8" a="1"/>
  <c r="J45" i="8" s="1"/>
  <c r="V44" i="8" a="1"/>
  <c r="V44" i="8" s="1"/>
  <c r="J44" i="8" a="1"/>
  <c r="J44" i="8" s="1"/>
  <c r="P43" i="8" a="1"/>
  <c r="P43" i="8" s="1"/>
  <c r="AB42" i="8" a="1"/>
  <c r="AB42" i="8" s="1"/>
  <c r="E42" i="8" a="1"/>
  <c r="E42" i="8" s="1"/>
  <c r="T41" i="8" a="1"/>
  <c r="T41" i="8" s="1"/>
  <c r="W40" i="8" a="1"/>
  <c r="W40" i="8" s="1"/>
  <c r="K40" i="8" a="1"/>
  <c r="K40" i="8" s="1"/>
  <c r="Y39" i="8" a="1"/>
  <c r="Y39" i="8" s="1"/>
  <c r="N39" i="8" a="1"/>
  <c r="N39" i="8" s="1"/>
  <c r="AA38" i="8" a="1"/>
  <c r="AA38" i="8" s="1"/>
  <c r="P38" i="8" a="1"/>
  <c r="P38" i="8" s="1"/>
  <c r="R37" i="8" a="1"/>
  <c r="R37" i="8" s="1"/>
  <c r="G37" i="8" a="1"/>
  <c r="G37" i="8" s="1"/>
  <c r="T36" i="8" a="1"/>
  <c r="T36" i="8" s="1"/>
  <c r="I36" i="8" a="1"/>
  <c r="I36" i="8" s="1"/>
  <c r="V35" i="8" a="1"/>
  <c r="V35" i="8" s="1"/>
  <c r="Z33" i="8" a="1"/>
  <c r="Z33" i="8" s="1"/>
  <c r="T32" i="8" a="1"/>
  <c r="T32" i="8" s="1"/>
  <c r="G32" i="8" a="1"/>
  <c r="G32" i="8" s="1"/>
  <c r="L31" i="8" a="1"/>
  <c r="L31" i="8" s="1"/>
  <c r="AA30" i="8" a="1"/>
  <c r="AA30" i="8" s="1"/>
  <c r="AA29" i="8" a="1"/>
  <c r="AA29" i="8" s="1"/>
  <c r="R29" i="8" a="1"/>
  <c r="R29" i="8" s="1"/>
  <c r="H29" i="8" a="1"/>
  <c r="H29" i="8" s="1"/>
  <c r="U28" i="8" a="1"/>
  <c r="U28" i="8" s="1"/>
  <c r="K27" i="8" a="1"/>
  <c r="K27" i="8" s="1"/>
  <c r="Y26" i="8" a="1"/>
  <c r="Y26" i="8" s="1"/>
  <c r="N26" i="8" a="1"/>
  <c r="N26" i="8" s="1"/>
  <c r="P25" i="8" a="1"/>
  <c r="P25" i="8" s="1"/>
  <c r="T24" i="8" a="1"/>
  <c r="T24" i="8" s="1"/>
  <c r="Z22" i="8" a="1"/>
  <c r="Z22" i="8" s="1"/>
  <c r="O22" i="8" a="1"/>
  <c r="O22" i="8" s="1"/>
  <c r="R21" i="8" a="1"/>
  <c r="R21" i="8" s="1"/>
  <c r="G21" i="8" a="1"/>
  <c r="G21" i="8" s="1"/>
  <c r="T20" i="8" a="1"/>
  <c r="T20" i="8" s="1"/>
  <c r="I20" i="8" a="1"/>
  <c r="I20" i="8" s="1"/>
  <c r="W19" i="8" a="1"/>
  <c r="W19" i="8" s="1"/>
  <c r="Z18" i="8" a="1"/>
  <c r="Z18" i="8" s="1"/>
  <c r="O18" i="8" a="1"/>
  <c r="O18" i="8" s="1"/>
  <c r="AB17" i="8" a="1"/>
  <c r="AB17" i="8" s="1"/>
  <c r="F17" i="8" a="1"/>
  <c r="F17" i="8" s="1"/>
  <c r="T16" i="8" a="1"/>
  <c r="T16" i="8" s="1"/>
  <c r="N14" i="8" a="1"/>
  <c r="N14" i="8" s="1"/>
  <c r="P61" i="8" a="1"/>
  <c r="P61" i="8" s="1"/>
  <c r="S59" i="8" a="1"/>
  <c r="S59" i="8" s="1"/>
  <c r="AJ59" i="8" s="1"/>
  <c r="P58" i="8" a="1"/>
  <c r="P58" i="8" s="1"/>
  <c r="R57" i="8" a="1"/>
  <c r="R57" i="8" s="1"/>
  <c r="Z56" i="8" a="1"/>
  <c r="Z56" i="8" s="1"/>
  <c r="L56" i="8" a="1"/>
  <c r="L56" i="8" s="1"/>
  <c r="W55" i="8" a="1"/>
  <c r="W55" i="8" s="1"/>
  <c r="L55" i="8" a="1"/>
  <c r="L55" i="8" s="1"/>
  <c r="N54" i="8" a="1"/>
  <c r="N54" i="8" s="1"/>
  <c r="AA53" i="8" a="1"/>
  <c r="AA53" i="8" s="1"/>
  <c r="P53" i="8" a="1"/>
  <c r="P53" i="8" s="1"/>
  <c r="E53" i="8" a="1"/>
  <c r="E53" i="8" s="1"/>
  <c r="S52" i="8" a="1"/>
  <c r="S52" i="8" s="1"/>
  <c r="AJ52" i="8" s="1"/>
  <c r="I52" i="8" a="1"/>
  <c r="I52" i="8" s="1"/>
  <c r="P50" i="8" a="1"/>
  <c r="P50" i="8" s="1"/>
  <c r="Q49" i="8" a="1"/>
  <c r="Q49" i="8" s="1"/>
  <c r="H49" i="8" a="1"/>
  <c r="H49" i="8" s="1"/>
  <c r="AI49" i="8" s="1"/>
  <c r="U48" i="8" a="1"/>
  <c r="U48" i="8" s="1"/>
  <c r="J48" i="8" a="1"/>
  <c r="J48" i="8" s="1"/>
  <c r="L47" i="8" a="1"/>
  <c r="L47" i="8" s="1"/>
  <c r="Z46" i="8" a="1"/>
  <c r="Z46" i="8" s="1"/>
  <c r="Y43" i="8" a="1"/>
  <c r="Y43" i="8" s="1"/>
  <c r="O43" i="8" a="1"/>
  <c r="O43" i="8" s="1"/>
  <c r="AA42" i="8" a="1"/>
  <c r="AA42" i="8" s="1"/>
  <c r="P42" i="8" a="1"/>
  <c r="P42" i="8" s="1"/>
  <c r="I41" i="8" a="1"/>
  <c r="I41" i="8" s="1"/>
  <c r="V40" i="8" a="1"/>
  <c r="V40" i="8" s="1"/>
  <c r="J40" i="8" a="1"/>
  <c r="J40" i="8" s="1"/>
  <c r="X39" i="8" a="1"/>
  <c r="X39" i="8" s="1"/>
  <c r="O38" i="8" a="1"/>
  <c r="O38" i="8" s="1"/>
  <c r="AB37" i="8" a="1"/>
  <c r="AB37" i="8" s="1"/>
  <c r="Q37" i="8" a="1"/>
  <c r="Q37" i="8" s="1"/>
  <c r="H36" i="8" a="1"/>
  <c r="H36" i="8" s="1"/>
  <c r="L35" i="8" a="1"/>
  <c r="L35" i="8" s="1"/>
  <c r="Z34" i="8" a="1"/>
  <c r="Z34" i="8" s="1"/>
  <c r="N34" i="8" a="1"/>
  <c r="N34" i="8" s="1"/>
  <c r="P33" i="8" a="1"/>
  <c r="P33" i="8" s="1"/>
  <c r="F33" i="8" a="1"/>
  <c r="F33" i="8" s="1"/>
  <c r="S32" i="8" a="1"/>
  <c r="S32" i="8" s="1"/>
  <c r="AJ32" i="8" s="1"/>
  <c r="F32" i="8" a="1"/>
  <c r="F32" i="8" s="1"/>
  <c r="V31" i="8" a="1"/>
  <c r="V31" i="8" s="1"/>
  <c r="Z30" i="8" a="1"/>
  <c r="Z30" i="8" s="1"/>
  <c r="N30" i="8" a="1"/>
  <c r="N30" i="8" s="1"/>
  <c r="Q29" i="8" a="1"/>
  <c r="Q29" i="8" s="1"/>
  <c r="T28" i="8" a="1"/>
  <c r="T28" i="8" s="1"/>
  <c r="G28" i="8" a="1"/>
  <c r="G28" i="8" s="1"/>
  <c r="U27" i="8" a="1"/>
  <c r="U27" i="8" s="1"/>
  <c r="J27" i="8" a="1"/>
  <c r="J27" i="8" s="1"/>
  <c r="M26" i="8" a="1"/>
  <c r="M26" i="8" s="1"/>
  <c r="Z25" i="8" a="1"/>
  <c r="Z25" i="8" s="1"/>
  <c r="O25" i="8" a="1"/>
  <c r="O25" i="8" s="1"/>
  <c r="E25" i="8" a="1"/>
  <c r="E25" i="8" s="1"/>
  <c r="I24" i="8" a="1"/>
  <c r="I24" i="8" s="1"/>
  <c r="V23" i="8" a="1"/>
  <c r="V23" i="8" s="1"/>
  <c r="K23" i="8" a="1"/>
  <c r="K23" i="8" s="1"/>
  <c r="Y22" i="8" a="1"/>
  <c r="Y22" i="8" s="1"/>
  <c r="N22" i="8" a="1"/>
  <c r="N22" i="8" s="1"/>
  <c r="P57" i="8" a="1"/>
  <c r="P57" i="8" s="1"/>
  <c r="Y56" i="8" a="1"/>
  <c r="Y56" i="8" s="1"/>
  <c r="K56" i="8" a="1"/>
  <c r="K56" i="8" s="1"/>
  <c r="K55" i="8" a="1"/>
  <c r="K55" i="8" s="1"/>
  <c r="Y54" i="8" a="1"/>
  <c r="Y54" i="8" s="1"/>
  <c r="M54" i="8" a="1"/>
  <c r="M54" i="8" s="1"/>
  <c r="Z53" i="8" a="1"/>
  <c r="Z53" i="8" s="1"/>
  <c r="O53" i="8" a="1"/>
  <c r="O53" i="8" s="1"/>
  <c r="H52" i="8" a="1"/>
  <c r="H52" i="8" s="1"/>
  <c r="V51" i="8" a="1"/>
  <c r="V51" i="8" s="1"/>
  <c r="L51" i="8" a="1"/>
  <c r="L51" i="8" s="1"/>
  <c r="AA50" i="8" a="1"/>
  <c r="AA50" i="8" s="1"/>
  <c r="O50" i="8" a="1"/>
  <c r="O50" i="8" s="1"/>
  <c r="AB49" i="8" a="1"/>
  <c r="AB49" i="8" s="1"/>
  <c r="W47" i="8" a="1"/>
  <c r="W47" i="8" s="1"/>
  <c r="Y46" i="8" a="1"/>
  <c r="Y46" i="8" s="1"/>
  <c r="N46" i="8" a="1"/>
  <c r="N46" i="8" s="1"/>
  <c r="AA45" i="8" a="1"/>
  <c r="AA45" i="8" s="1"/>
  <c r="R45" i="8" a="1"/>
  <c r="R45" i="8" s="1"/>
  <c r="I45" i="8" a="1"/>
  <c r="I45" i="8" s="1"/>
  <c r="U44" i="8" a="1"/>
  <c r="U44" i="8" s="1"/>
  <c r="I44" i="8" a="1"/>
  <c r="I44" i="8" s="1"/>
  <c r="N43" i="8" a="1"/>
  <c r="N43" i="8" s="1"/>
  <c r="O42" i="8" a="1"/>
  <c r="O42" i="8" s="1"/>
  <c r="S41" i="8" a="1"/>
  <c r="S41" i="8" s="1"/>
  <c r="H41" i="8" a="1"/>
  <c r="H41" i="8" s="1"/>
  <c r="U40" i="8" a="1"/>
  <c r="U40" i="8" s="1"/>
  <c r="W39" i="8" a="1"/>
  <c r="W39" i="8" s="1"/>
  <c r="M39" i="8" a="1"/>
  <c r="M39" i="8" s="1"/>
  <c r="Z38" i="8" a="1"/>
  <c r="Z38" i="8" s="1"/>
  <c r="P3" i="8" a="1"/>
  <c r="P3" i="8" s="1"/>
  <c r="AB3" i="8" a="1"/>
  <c r="AB3" i="8" s="1"/>
  <c r="E3" i="8" a="1"/>
  <c r="E3" i="8" s="1"/>
  <c r="Q3" i="8" a="1"/>
  <c r="Q3" i="8" s="1"/>
  <c r="Q4" i="8" a="1"/>
  <c r="Q4" i="8" s="1"/>
  <c r="E5" i="8" a="1"/>
  <c r="E5" i="8" s="1"/>
  <c r="AB5" i="8" a="1"/>
  <c r="AB5" i="8" s="1"/>
  <c r="O6" i="8" a="1"/>
  <c r="O6" i="8" s="1"/>
  <c r="L7" i="8" a="1"/>
  <c r="L7" i="8" s="1"/>
  <c r="W7" i="8" a="1"/>
  <c r="W7" i="8" s="1"/>
  <c r="J8" i="8" a="1"/>
  <c r="J8" i="8" s="1"/>
  <c r="V8" i="8" a="1"/>
  <c r="V8" i="8" s="1"/>
  <c r="G9" i="8" a="1"/>
  <c r="G9" i="8" s="1"/>
  <c r="R9" i="8" a="1"/>
  <c r="R9" i="8" s="1"/>
  <c r="K12" i="8" a="1"/>
  <c r="K12" i="8" s="1"/>
  <c r="W13" i="8" a="1"/>
  <c r="W13" i="8" s="1"/>
  <c r="W14" i="8" a="1"/>
  <c r="W14" i="8" s="1"/>
  <c r="L15" i="8" a="1"/>
  <c r="L15" i="8" s="1"/>
  <c r="Z15" i="8" a="1"/>
  <c r="Z15" i="8" s="1"/>
  <c r="I17" i="8" a="1"/>
  <c r="I17" i="8" s="1"/>
  <c r="V18" i="8" a="1"/>
  <c r="V18" i="8" s="1"/>
  <c r="Q19" i="8" a="1"/>
  <c r="Q19" i="8" s="1"/>
  <c r="N20" i="8" a="1"/>
  <c r="N20" i="8" s="1"/>
  <c r="G29" i="8" a="1"/>
  <c r="G29" i="8" s="1"/>
  <c r="R4" i="8" a="1"/>
  <c r="R4" i="8" s="1"/>
  <c r="F5" i="8" a="1"/>
  <c r="F5" i="8" s="1"/>
  <c r="Q5" i="8" a="1"/>
  <c r="Q5" i="8" s="1"/>
  <c r="P6" i="8" a="1"/>
  <c r="P6" i="8" s="1"/>
  <c r="AA6" i="8" a="1"/>
  <c r="AA6" i="8" s="1"/>
  <c r="M7" i="8" a="1"/>
  <c r="M7" i="8" s="1"/>
  <c r="K8" i="8" a="1"/>
  <c r="K8" i="8" s="1"/>
  <c r="W8" i="8" a="1"/>
  <c r="W8" i="8" s="1"/>
  <c r="H9" i="8" a="1"/>
  <c r="H9" i="8" s="1"/>
  <c r="E10" i="8" a="1"/>
  <c r="E10" i="8" s="1"/>
  <c r="Q10" i="8" a="1"/>
  <c r="Q10" i="8" s="1"/>
  <c r="AB10" i="8" a="1"/>
  <c r="AB10" i="8" s="1"/>
  <c r="N11" i="8" a="1"/>
  <c r="N11" i="8" s="1"/>
  <c r="L12" i="8" a="1"/>
  <c r="L12" i="8" s="1"/>
  <c r="X12" i="8" a="1"/>
  <c r="X12" i="8" s="1"/>
  <c r="L13" i="8" a="1"/>
  <c r="L13" i="8" s="1"/>
  <c r="J14" i="8" a="1"/>
  <c r="J14" i="8" s="1"/>
  <c r="X14" i="8" a="1"/>
  <c r="X14" i="8" s="1"/>
  <c r="M15" i="8" a="1"/>
  <c r="M15" i="8" s="1"/>
  <c r="Q16" i="8" a="1"/>
  <c r="Q16" i="8" s="1"/>
  <c r="J17" i="8" a="1"/>
  <c r="J17" i="8" s="1"/>
  <c r="AA17" i="8" a="1"/>
  <c r="AA17" i="8" s="1"/>
  <c r="S19" i="8" a="1"/>
  <c r="S19" i="8" s="1"/>
  <c r="Q20" i="8" a="1"/>
  <c r="Q20" i="8" s="1"/>
  <c r="Q21" i="8" a="1"/>
  <c r="Q21" i="8" s="1"/>
  <c r="H24" i="8" a="1"/>
  <c r="H24" i="8" s="1"/>
  <c r="M34" i="8" a="1"/>
  <c r="M34" i="8" s="1"/>
  <c r="G3" i="8" a="1"/>
  <c r="G3" i="8" s="1"/>
  <c r="S4" i="8" a="1"/>
  <c r="S4" i="8" s="1"/>
  <c r="AJ4" i="8" s="1"/>
  <c r="Q6" i="8" a="1"/>
  <c r="Q6" i="8" s="1"/>
  <c r="AB6" i="8" a="1"/>
  <c r="AB6" i="8" s="1"/>
  <c r="N7" i="8" a="1"/>
  <c r="N7" i="8" s="1"/>
  <c r="X7" i="8" a="1"/>
  <c r="X7" i="8" s="1"/>
  <c r="L8" i="8" a="1"/>
  <c r="L8" i="8" s="1"/>
  <c r="I9" i="8" a="1"/>
  <c r="I9" i="8" s="1"/>
  <c r="S9" i="8" a="1"/>
  <c r="S9" i="8" s="1"/>
  <c r="F10" i="8" a="1"/>
  <c r="F10" i="8" s="1"/>
  <c r="R10" i="8" a="1"/>
  <c r="R10" i="8" s="1"/>
  <c r="O11" i="8" a="1"/>
  <c r="O11" i="8" s="1"/>
  <c r="M12" i="8" a="1"/>
  <c r="M12" i="8" s="1"/>
  <c r="Y12" i="8" a="1"/>
  <c r="Y12" i="8" s="1"/>
  <c r="X13" i="8" a="1"/>
  <c r="X13" i="8" s="1"/>
  <c r="K14" i="8" a="1"/>
  <c r="K14" i="8" s="1"/>
  <c r="Y14" i="8" a="1"/>
  <c r="Y14" i="8" s="1"/>
  <c r="N15" i="8" a="1"/>
  <c r="N15" i="8" s="1"/>
  <c r="AA15" i="8" a="1"/>
  <c r="AA15" i="8" s="1"/>
  <c r="R16" i="8" a="1"/>
  <c r="R16" i="8" s="1"/>
  <c r="K17" i="8" a="1"/>
  <c r="K17" i="8" s="1"/>
  <c r="T19" i="8" a="1"/>
  <c r="T19" i="8" s="1"/>
  <c r="R20" i="8" a="1"/>
  <c r="R20" i="8" s="1"/>
  <c r="U21" i="8" a="1"/>
  <c r="U21" i="8" s="1"/>
  <c r="S24" i="8" a="1"/>
  <c r="S24" i="8" s="1"/>
  <c r="AJ24" i="8" s="1"/>
  <c r="Z29" i="8" a="1"/>
  <c r="Z29" i="8" s="1"/>
  <c r="Y34" i="8" a="1"/>
  <c r="Y34" i="8" s="1"/>
  <c r="R3" i="8" a="1"/>
  <c r="R3" i="8" s="1"/>
  <c r="R5" i="8" a="1"/>
  <c r="R5" i="8" s="1"/>
  <c r="H3" i="8" a="1"/>
  <c r="H3" i="8" s="1"/>
  <c r="S5" i="8" a="1"/>
  <c r="S5" i="8" s="1"/>
  <c r="R6" i="8" a="1"/>
  <c r="R6" i="8" s="1"/>
  <c r="Y7" i="8" a="1"/>
  <c r="Y7" i="8" s="1"/>
  <c r="X8" i="8" a="1"/>
  <c r="X8" i="8" s="1"/>
  <c r="T9" i="8" a="1"/>
  <c r="T9" i="8" s="1"/>
  <c r="G10" i="8" a="1"/>
  <c r="G10" i="8" s="1"/>
  <c r="S10" i="8" a="1"/>
  <c r="S10" i="8" s="1"/>
  <c r="AJ10" i="8" s="1"/>
  <c r="E11" i="8" a="1"/>
  <c r="E11" i="8" s="1"/>
  <c r="P11" i="8" a="1"/>
  <c r="P11" i="8" s="1"/>
  <c r="Z11" i="8" a="1"/>
  <c r="Z11" i="8" s="1"/>
  <c r="Z12" i="8" a="1"/>
  <c r="Z12" i="8" s="1"/>
  <c r="M13" i="8" a="1"/>
  <c r="M13" i="8" s="1"/>
  <c r="L14" i="8" a="1"/>
  <c r="L14" i="8" s="1"/>
  <c r="Z14" i="8" a="1"/>
  <c r="Z14" i="8" s="1"/>
  <c r="O15" i="8" a="1"/>
  <c r="O15" i="8" s="1"/>
  <c r="AB15" i="8" a="1"/>
  <c r="AB15" i="8" s="1"/>
  <c r="S16" i="8" a="1"/>
  <c r="S16" i="8" s="1"/>
  <c r="M17" i="8" a="1"/>
  <c r="M17" i="8" s="1"/>
  <c r="F18" i="8" a="1"/>
  <c r="F18" i="8" s="1"/>
  <c r="X18" i="8" a="1"/>
  <c r="X18" i="8" s="1"/>
  <c r="U19" i="8" a="1"/>
  <c r="U19" i="8" s="1"/>
  <c r="S20" i="8" a="1"/>
  <c r="S20" i="8" s="1"/>
  <c r="AA21" i="8" a="1"/>
  <c r="AA21" i="8" s="1"/>
  <c r="F4" i="8" a="1"/>
  <c r="F4" i="8" s="1"/>
  <c r="G5" i="8" a="1"/>
  <c r="G5" i="8" s="1"/>
  <c r="S3" i="8" a="1"/>
  <c r="S3" i="8" s="1"/>
  <c r="AJ3" i="8" s="1"/>
  <c r="E6" i="8" a="1"/>
  <c r="E6" i="8" s="1"/>
  <c r="T3" i="8" a="1"/>
  <c r="T3" i="8" s="1"/>
  <c r="G4" i="8" a="1"/>
  <c r="G4" i="8" s="1"/>
  <c r="T4" i="8" a="1"/>
  <c r="T4" i="8" s="1"/>
  <c r="H5" i="8" a="1"/>
  <c r="H5" i="8" s="1"/>
  <c r="T5" i="8" a="1"/>
  <c r="T5" i="8" s="1"/>
  <c r="O7" i="8" a="1"/>
  <c r="O7" i="8" s="1"/>
  <c r="Z7" i="8" a="1"/>
  <c r="Z7" i="8" s="1"/>
  <c r="M8" i="8" a="1"/>
  <c r="M8" i="8" s="1"/>
  <c r="Y8" i="8" a="1"/>
  <c r="Y8" i="8" s="1"/>
  <c r="J9" i="8" a="1"/>
  <c r="J9" i="8" s="1"/>
  <c r="U9" i="8" a="1"/>
  <c r="U9" i="8" s="1"/>
  <c r="H10" i="8" a="1"/>
  <c r="H10" i="8" s="1"/>
  <c r="AA11" i="8" a="1"/>
  <c r="AA11" i="8" s="1"/>
  <c r="N12" i="8" a="1"/>
  <c r="N12" i="8" s="1"/>
  <c r="N13" i="8" a="1"/>
  <c r="N13" i="8" s="1"/>
  <c r="Y13" i="8" a="1"/>
  <c r="Y13" i="8" s="1"/>
  <c r="AA14" i="8" a="1"/>
  <c r="AA14" i="8" s="1"/>
  <c r="G18" i="8" a="1"/>
  <c r="G18" i="8" s="1"/>
  <c r="Y18" i="8" a="1"/>
  <c r="Y18" i="8" s="1"/>
  <c r="M30" i="8" a="1"/>
  <c r="M30" i="8" s="1"/>
  <c r="K35" i="8" a="1"/>
  <c r="K35" i="8" s="1"/>
  <c r="U4" i="8" a="1"/>
  <c r="U4" i="8" s="1"/>
  <c r="F6" i="8" a="1"/>
  <c r="F6" i="8" s="1"/>
  <c r="S6" i="8" a="1"/>
  <c r="S6" i="8" s="1"/>
  <c r="AJ6" i="8" s="1"/>
  <c r="E7" i="8" a="1"/>
  <c r="E7" i="8" s="1"/>
  <c r="N8" i="8" a="1"/>
  <c r="N8" i="8" s="1"/>
  <c r="T10" i="8" a="1"/>
  <c r="T10" i="8" s="1"/>
  <c r="F11" i="8" a="1"/>
  <c r="F11" i="8" s="1"/>
  <c r="Q11" i="8" a="1"/>
  <c r="Q11" i="8" s="1"/>
  <c r="AB11" i="8" a="1"/>
  <c r="AB11" i="8" s="1"/>
  <c r="O12" i="8" a="1"/>
  <c r="O12" i="8" s="1"/>
  <c r="AA12" i="8" a="1"/>
  <c r="AA12" i="8" s="1"/>
  <c r="O13" i="8" a="1"/>
  <c r="O13" i="8" s="1"/>
  <c r="Z13" i="8" a="1"/>
  <c r="Z13" i="8" s="1"/>
  <c r="M14" i="8" a="1"/>
  <c r="M14" i="8" s="1"/>
  <c r="AB14" i="8" a="1"/>
  <c r="AB14" i="8" s="1"/>
  <c r="P15" i="8" a="1"/>
  <c r="P15" i="8" s="1"/>
  <c r="E16" i="8" a="1"/>
  <c r="E16" i="8" s="1"/>
  <c r="U16" i="8" a="1"/>
  <c r="U16" i="8" s="1"/>
  <c r="N17" i="8" a="1"/>
  <c r="N17" i="8" s="1"/>
  <c r="H18" i="8" a="1"/>
  <c r="H18" i="8" s="1"/>
  <c r="AB18" i="8" a="1"/>
  <c r="AB18" i="8" s="1"/>
  <c r="V19" i="8" a="1"/>
  <c r="V19" i="8" s="1"/>
  <c r="V20" i="8" a="1"/>
  <c r="V20" i="8" s="1"/>
  <c r="AB21" i="8" a="1"/>
  <c r="AB21" i="8" s="1"/>
  <c r="Y30" i="8" a="1"/>
  <c r="Y30" i="8" s="1"/>
  <c r="U35" i="8" a="1"/>
  <c r="U35" i="8" s="1"/>
  <c r="H4" i="8" a="1"/>
  <c r="H4" i="8" s="1"/>
  <c r="I4" i="8" a="1"/>
  <c r="I4" i="8" s="1"/>
  <c r="V4" i="8" a="1"/>
  <c r="V4" i="8" s="1"/>
  <c r="I5" i="8" a="1"/>
  <c r="I5" i="8" s="1"/>
  <c r="U5" i="8" a="1"/>
  <c r="U5" i="8" s="1"/>
  <c r="G6" i="8" a="1"/>
  <c r="G6" i="8" s="1"/>
  <c r="T6" i="8" a="1"/>
  <c r="T6" i="8" s="1"/>
  <c r="F7" i="8" a="1"/>
  <c r="F7" i="8" s="1"/>
  <c r="P7" i="8" a="1"/>
  <c r="P7" i="8" s="1"/>
  <c r="AA7" i="8" a="1"/>
  <c r="AA7" i="8" s="1"/>
  <c r="O8" i="8" a="1"/>
  <c r="O8" i="8" s="1"/>
  <c r="Z8" i="8" a="1"/>
  <c r="Z8" i="8" s="1"/>
  <c r="K9" i="8" a="1"/>
  <c r="K9" i="8" s="1"/>
  <c r="I10" i="8" a="1"/>
  <c r="I10" i="8" s="1"/>
  <c r="U10" i="8" a="1"/>
  <c r="U10" i="8" s="1"/>
  <c r="G11" i="8" a="1"/>
  <c r="G11" i="8" s="1"/>
  <c r="AB12" i="8" a="1"/>
  <c r="AB12" i="8" s="1"/>
  <c r="AA13" i="8" a="1"/>
  <c r="AA13" i="8" s="1"/>
  <c r="R15" i="8" a="1"/>
  <c r="R15" i="8" s="1"/>
  <c r="V16" i="8" a="1"/>
  <c r="V16" i="8" s="1"/>
  <c r="O17" i="8" a="1"/>
  <c r="O17" i="8" s="1"/>
  <c r="J18" i="8" a="1"/>
  <c r="J18" i="8" s="1"/>
  <c r="Y19" i="8" a="1"/>
  <c r="Y19" i="8" s="1"/>
  <c r="W20" i="8" a="1"/>
  <c r="W20" i="8" s="1"/>
  <c r="J3" i="8" a="1"/>
  <c r="J3" i="8" s="1"/>
  <c r="V3" i="8" a="1"/>
  <c r="V3" i="8" s="1"/>
  <c r="J4" i="8" a="1"/>
  <c r="J4" i="8" s="1"/>
  <c r="J5" i="8" a="1"/>
  <c r="J5" i="8" s="1"/>
  <c r="V5" i="8" a="1"/>
  <c r="V5" i="8" s="1"/>
  <c r="H6" i="8" a="1"/>
  <c r="H6" i="8" s="1"/>
  <c r="U6" i="8" a="1"/>
  <c r="U6" i="8" s="1"/>
  <c r="Q7" i="8" a="1"/>
  <c r="Q7" i="8" s="1"/>
  <c r="AA8" i="8" a="1"/>
  <c r="AA8" i="8" s="1"/>
  <c r="L9" i="8" a="1"/>
  <c r="L9" i="8" s="1"/>
  <c r="J10" i="8" a="1"/>
  <c r="J10" i="8" s="1"/>
  <c r="V10" i="8" a="1"/>
  <c r="V10" i="8" s="1"/>
  <c r="H11" i="8" a="1"/>
  <c r="H11" i="8" s="1"/>
  <c r="R11" i="8" a="1"/>
  <c r="R11" i="8" s="1"/>
  <c r="P12" i="8" a="1"/>
  <c r="P12" i="8" s="1"/>
  <c r="P13" i="8" a="1"/>
  <c r="P13" i="8" s="1"/>
  <c r="O14" i="8" a="1"/>
  <c r="O14" i="8" s="1"/>
  <c r="E15" i="8" a="1"/>
  <c r="E15" i="8" s="1"/>
  <c r="F16" i="8" a="1"/>
  <c r="F16" i="8" s="1"/>
  <c r="P17" i="8" a="1"/>
  <c r="P17" i="8" s="1"/>
  <c r="K18" i="8" a="1"/>
  <c r="K18" i="8" s="1"/>
  <c r="F19" i="8" a="1"/>
  <c r="F19" i="8" s="1"/>
  <c r="Z19" i="8" a="1"/>
  <c r="Z19" i="8" s="1"/>
  <c r="Y20" i="8" a="1"/>
  <c r="Y20" i="8" s="1"/>
  <c r="G22" i="8" a="1"/>
  <c r="G22" i="8" s="1"/>
  <c r="L26" i="8" a="1"/>
  <c r="L26" i="8" s="1"/>
  <c r="K31" i="8" a="1"/>
  <c r="K31" i="8" s="1"/>
  <c r="G36" i="8" a="1"/>
  <c r="G36" i="8" s="1"/>
  <c r="W4" i="8" a="1"/>
  <c r="W4" i="8" s="1"/>
  <c r="I6" i="8" a="1"/>
  <c r="I6" i="8" s="1"/>
  <c r="R7" i="8" a="1"/>
  <c r="R7" i="8" s="1"/>
  <c r="AB7" i="8" a="1"/>
  <c r="AB7" i="8" s="1"/>
  <c r="P8" i="8" a="1"/>
  <c r="P8" i="8" s="1"/>
  <c r="M9" i="8" a="1"/>
  <c r="M9" i="8" s="1"/>
  <c r="K10" i="8" a="1"/>
  <c r="K10" i="8" s="1"/>
  <c r="S11" i="8" a="1"/>
  <c r="S11" i="8" s="1"/>
  <c r="E12" i="8" a="1"/>
  <c r="E12" i="8" s="1"/>
  <c r="Q12" i="8" a="1"/>
  <c r="Q12" i="8" s="1"/>
  <c r="E13" i="8" a="1"/>
  <c r="E13" i="8" s="1"/>
  <c r="AB13" i="8" a="1"/>
  <c r="AB13" i="8" s="1"/>
  <c r="P14" i="8" a="1"/>
  <c r="P14" i="8" s="1"/>
  <c r="F15" i="8" a="1"/>
  <c r="F15" i="8" s="1"/>
  <c r="S15" i="8" a="1"/>
  <c r="S15" i="8" s="1"/>
  <c r="AJ15" i="8" s="1"/>
  <c r="G16" i="8" a="1"/>
  <c r="G16" i="8" s="1"/>
  <c r="Q17" i="8" a="1"/>
  <c r="Q17" i="8" s="1"/>
  <c r="L18" i="8" a="1"/>
  <c r="L18" i="8" s="1"/>
  <c r="H19" i="8" a="1"/>
  <c r="H19" i="8" s="1"/>
  <c r="AB19" i="8" a="1"/>
  <c r="AB19" i="8" s="1"/>
  <c r="M22" i="8" a="1"/>
  <c r="M22" i="8" s="1"/>
  <c r="X26" i="8" a="1"/>
  <c r="X26" i="8" s="1"/>
  <c r="U31" i="8" a="1"/>
  <c r="U31" i="8" s="1"/>
  <c r="S36" i="8" a="1"/>
  <c r="S36" i="8" s="1"/>
  <c r="I3" i="8" a="1"/>
  <c r="I3" i="8" s="1"/>
  <c r="K3" i="8" a="1"/>
  <c r="K3" i="8" s="1"/>
  <c r="K5" i="8" a="1"/>
  <c r="K5" i="8" s="1"/>
  <c r="G7" i="8" a="1"/>
  <c r="G7" i="8" s="1"/>
  <c r="L3" i="8" a="1"/>
  <c r="L3" i="8" s="1"/>
  <c r="X3" i="8" a="1"/>
  <c r="X3" i="8" s="1"/>
  <c r="X4" i="8" a="1"/>
  <c r="X4" i="8" s="1"/>
  <c r="L5" i="8" a="1"/>
  <c r="L5" i="8" s="1"/>
  <c r="J6" i="8" a="1"/>
  <c r="J6" i="8" s="1"/>
  <c r="V6" i="8" a="1"/>
  <c r="V6" i="8" s="1"/>
  <c r="Q8" i="8" a="1"/>
  <c r="Q8" i="8" s="1"/>
  <c r="AB8" i="8" a="1"/>
  <c r="AB8" i="8" s="1"/>
  <c r="X9" i="8" a="1"/>
  <c r="X9" i="8" s="1"/>
  <c r="W10" i="8" a="1"/>
  <c r="W10" i="8" s="1"/>
  <c r="I11" i="8" a="1"/>
  <c r="I11" i="8" s="1"/>
  <c r="T11" i="8" a="1"/>
  <c r="T11" i="8" s="1"/>
  <c r="R12" i="8" a="1"/>
  <c r="R12" i="8" s="1"/>
  <c r="F13" i="8" a="1"/>
  <c r="F13" i="8" s="1"/>
  <c r="Q13" i="8" a="1"/>
  <c r="Q13" i="8" s="1"/>
  <c r="G15" i="8" a="1"/>
  <c r="G15" i="8" s="1"/>
  <c r="H16" i="8" a="1"/>
  <c r="H16" i="8" s="1"/>
  <c r="Z16" i="8" a="1"/>
  <c r="Z16" i="8" s="1"/>
  <c r="S17" i="8" a="1"/>
  <c r="S17" i="8" s="1"/>
  <c r="M18" i="8" a="1"/>
  <c r="M18" i="8" s="1"/>
  <c r="K4" i="8" a="1"/>
  <c r="K4" i="8" s="1"/>
  <c r="W5" i="8" a="1"/>
  <c r="W5" i="8" s="1"/>
  <c r="M3" i="8" a="1"/>
  <c r="M3" i="8" s="1"/>
  <c r="L4" i="8" a="1"/>
  <c r="L4" i="8" s="1"/>
  <c r="Y4" i="8" a="1"/>
  <c r="Y4" i="8" s="1"/>
  <c r="X5" i="8" a="1"/>
  <c r="X5" i="8" s="1"/>
  <c r="W6" i="8" a="1"/>
  <c r="W6" i="8" s="1"/>
  <c r="H7" i="8" a="1"/>
  <c r="H7" i="8" s="1"/>
  <c r="S7" i="8" a="1"/>
  <c r="S7" i="8" s="1"/>
  <c r="AJ7" i="8" s="1"/>
  <c r="E8" i="8" a="1"/>
  <c r="E8" i="8" s="1"/>
  <c r="N9" i="8" a="1"/>
  <c r="N9" i="8" s="1"/>
  <c r="Y9" i="8" a="1"/>
  <c r="Y9" i="8" s="1"/>
  <c r="L10" i="8" a="1"/>
  <c r="L10" i="8" s="1"/>
  <c r="X10" i="8" a="1"/>
  <c r="X10" i="8" s="1"/>
  <c r="F12" i="8" a="1"/>
  <c r="F12" i="8" s="1"/>
  <c r="G13" i="8" a="1"/>
  <c r="G13" i="8" s="1"/>
  <c r="R13" i="8" a="1"/>
  <c r="R13" i="8" s="1"/>
  <c r="R14" i="8" a="1"/>
  <c r="R14" i="8" s="1"/>
  <c r="T15" i="8" a="1"/>
  <c r="T15" i="8" s="1"/>
  <c r="I16" i="8" a="1"/>
  <c r="I16" i="8" s="1"/>
  <c r="AA16" i="8" a="1"/>
  <c r="AA16" i="8" s="1"/>
  <c r="U17" i="8" a="1"/>
  <c r="U17" i="8" s="1"/>
  <c r="N18" i="8" a="1"/>
  <c r="N18" i="8" s="1"/>
  <c r="I19" i="8" a="1"/>
  <c r="I19" i="8" s="1"/>
  <c r="E21" i="8" a="1"/>
  <c r="E21" i="8" s="1"/>
  <c r="F37" i="8" a="1"/>
  <c r="F37" i="8" s="1"/>
  <c r="W3" i="8" a="1"/>
  <c r="W3" i="8" s="1"/>
  <c r="Y3" i="8" a="1"/>
  <c r="Y3" i="8" s="1"/>
  <c r="M4" i="8" a="1"/>
  <c r="M4" i="8" s="1"/>
  <c r="Z4" i="8" a="1"/>
  <c r="Z4" i="8" s="1"/>
  <c r="M5" i="8" a="1"/>
  <c r="M5" i="8" s="1"/>
  <c r="K6" i="8" a="1"/>
  <c r="K6" i="8" s="1"/>
  <c r="X6" i="8" a="1"/>
  <c r="X6" i="8" s="1"/>
  <c r="I7" i="8" a="1"/>
  <c r="I7" i="8" s="1"/>
  <c r="F8" i="8" a="1"/>
  <c r="F8" i="8" s="1"/>
  <c r="R8" i="8" a="1"/>
  <c r="R8" i="8" s="1"/>
  <c r="M10" i="8" a="1"/>
  <c r="M10" i="8" s="1"/>
  <c r="J11" i="8" a="1"/>
  <c r="J11" i="8" s="1"/>
  <c r="U11" i="8" a="1"/>
  <c r="U11" i="8" s="1"/>
  <c r="G12" i="8" a="1"/>
  <c r="G12" i="8" s="1"/>
  <c r="S12" i="8" a="1"/>
  <c r="S12" i="8" s="1"/>
  <c r="AJ12" i="8" s="1"/>
  <c r="S13" i="8" a="1"/>
  <c r="S13" i="8" s="1"/>
  <c r="F14" i="8" a="1"/>
  <c r="F14" i="8" s="1"/>
  <c r="S14" i="8" a="1"/>
  <c r="S14" i="8" s="1"/>
  <c r="H15" i="8" a="1"/>
  <c r="H15" i="8" s="1"/>
  <c r="U15" i="8" a="1"/>
  <c r="U15" i="8" s="1"/>
  <c r="K16" i="8" a="1"/>
  <c r="K16" i="8" s="1"/>
  <c r="V17" i="8" a="1"/>
  <c r="V17" i="8" s="1"/>
  <c r="J19" i="8" a="1"/>
  <c r="J19" i="8" s="1"/>
  <c r="F21" i="8" a="1"/>
  <c r="F21" i="8" s="1"/>
  <c r="R32" i="8" a="1"/>
  <c r="R32" i="8" s="1"/>
  <c r="P37" i="8" a="1"/>
  <c r="P37" i="8" s="1"/>
  <c r="N3" i="8" a="1"/>
  <c r="N3" i="8" s="1"/>
  <c r="N4" i="8" a="1"/>
  <c r="N4" i="8" s="1"/>
  <c r="AA4" i="8" a="1"/>
  <c r="AA4" i="8" s="1"/>
  <c r="N5" i="8" a="1"/>
  <c r="N5" i="8" s="1"/>
  <c r="Y5" i="8" a="1"/>
  <c r="Y5" i="8" s="1"/>
  <c r="L6" i="8" a="1"/>
  <c r="L6" i="8" s="1"/>
  <c r="J7" i="8" a="1"/>
  <c r="J7" i="8" s="1"/>
  <c r="T7" i="8" a="1"/>
  <c r="T7" i="8" s="1"/>
  <c r="G8" i="8" a="1"/>
  <c r="G8" i="8" s="1"/>
  <c r="S8" i="8" a="1"/>
  <c r="S8" i="8" s="1"/>
  <c r="AJ8" i="8" s="1"/>
  <c r="E9" i="8" a="1"/>
  <c r="E9" i="8" s="1"/>
  <c r="O9" i="8" a="1"/>
  <c r="O9" i="8" s="1"/>
  <c r="Z9" i="8" a="1"/>
  <c r="Z9" i="8" s="1"/>
  <c r="N10" i="8" a="1"/>
  <c r="N10" i="8" s="1"/>
  <c r="Y10" i="8" a="1"/>
  <c r="Y10" i="8" s="1"/>
  <c r="K11" i="8" a="1"/>
  <c r="K11" i="8" s="1"/>
  <c r="T12" i="8" a="1"/>
  <c r="T12" i="8" s="1"/>
  <c r="H13" i="8" a="1"/>
  <c r="H13" i="8" s="1"/>
  <c r="T13" i="8" a="1"/>
  <c r="T13" i="8" s="1"/>
  <c r="I15" i="8" a="1"/>
  <c r="I15" i="8" s="1"/>
  <c r="V15" i="8" a="1"/>
  <c r="V15" i="8" s="1"/>
  <c r="L16" i="8" a="1"/>
  <c r="L16" i="8" s="1"/>
  <c r="W17" i="8" a="1"/>
  <c r="W17" i="8" s="1"/>
  <c r="Q18" i="8" a="1"/>
  <c r="Q18" i="8" s="1"/>
  <c r="K19" i="8" a="1"/>
  <c r="K19" i="8" s="1"/>
  <c r="G20" i="8" a="1"/>
  <c r="G20" i="8" s="1"/>
  <c r="Z3" i="8" a="1"/>
  <c r="Z3" i="8" s="1"/>
  <c r="O5" i="8" a="1"/>
  <c r="O5" i="8" s="1"/>
  <c r="Z5" i="8" a="1"/>
  <c r="Z5" i="8" s="1"/>
  <c r="M6" i="8" a="1"/>
  <c r="M6" i="8" s="1"/>
  <c r="Y6" i="8" a="1"/>
  <c r="Y6" i="8" s="1"/>
  <c r="U7" i="8" a="1"/>
  <c r="U7" i="8" s="1"/>
  <c r="H8" i="8" a="1"/>
  <c r="H8" i="8" s="1"/>
  <c r="T8" i="8" a="1"/>
  <c r="T8" i="8" s="1"/>
  <c r="P9" i="8" a="1"/>
  <c r="P9" i="8" s="1"/>
  <c r="Z10" i="8" a="1"/>
  <c r="Z10" i="8" s="1"/>
  <c r="L11" i="8" a="1"/>
  <c r="L11" i="8" s="1"/>
  <c r="V11" i="8" a="1"/>
  <c r="V11" i="8" s="1"/>
  <c r="H12" i="8" a="1"/>
  <c r="H12" i="8" s="1"/>
  <c r="U12" i="8" a="1"/>
  <c r="U12" i="8" s="1"/>
  <c r="I13" i="8" a="1"/>
  <c r="I13" i="8" s="1"/>
  <c r="G14" i="8" a="1"/>
  <c r="G14" i="8" s="1"/>
  <c r="U14" i="8" a="1"/>
  <c r="U14" i="8" s="1"/>
  <c r="J15" i="8" a="1"/>
  <c r="J15" i="8" s="1"/>
  <c r="W15" i="8" a="1"/>
  <c r="W15" i="8" s="1"/>
  <c r="X17" i="8" a="1"/>
  <c r="X17" i="8" s="1"/>
  <c r="L19" i="8" a="1"/>
  <c r="L19" i="8" s="1"/>
  <c r="H20" i="8" a="1"/>
  <c r="H20" i="8" s="1"/>
  <c r="J21" i="8" a="1"/>
  <c r="J21" i="8" s="1"/>
  <c r="F28" i="8" a="1"/>
  <c r="F28" i="8" s="1"/>
  <c r="AA3" i="8" a="1"/>
  <c r="AA3" i="8" s="1"/>
  <c r="O4" i="8" a="1"/>
  <c r="O4" i="8" s="1"/>
  <c r="AB4" i="8" a="1"/>
  <c r="AB4" i="8" s="1"/>
  <c r="AA5" i="8" a="1"/>
  <c r="AA5" i="8" s="1"/>
  <c r="K7" i="8" a="1"/>
  <c r="K7" i="8" s="1"/>
  <c r="V7" i="8" a="1"/>
  <c r="V7" i="8" s="1"/>
  <c r="I8" i="8" a="1"/>
  <c r="I8" i="8" s="1"/>
  <c r="F9" i="8" a="1"/>
  <c r="F9" i="8" s="1"/>
  <c r="Q9" i="8" a="1"/>
  <c r="Q9" i="8" s="1"/>
  <c r="AA9" i="8" a="1"/>
  <c r="AA9" i="8" s="1"/>
  <c r="O10" i="8" a="1"/>
  <c r="O10" i="8" s="1"/>
  <c r="W11" i="8" a="1"/>
  <c r="W11" i="8" s="1"/>
  <c r="I12" i="8" a="1"/>
  <c r="I12" i="8" s="1"/>
  <c r="V12" i="8" a="1"/>
  <c r="V12" i="8" s="1"/>
  <c r="J13" i="8" a="1"/>
  <c r="J13" i="8" s="1"/>
  <c r="U13" i="8" a="1"/>
  <c r="U13" i="8" s="1"/>
  <c r="H14" i="8" a="1"/>
  <c r="H14" i="8" s="1"/>
  <c r="V14" i="8" a="1"/>
  <c r="V14" i="8" s="1"/>
  <c r="O16" i="8" a="1"/>
  <c r="O16" i="8" s="1"/>
  <c r="Y17" i="8" a="1"/>
  <c r="Y17" i="8" s="1"/>
  <c r="T18" i="8" a="1"/>
  <c r="T18" i="8" s="1"/>
  <c r="N19" i="8" a="1"/>
  <c r="N19" i="8" s="1"/>
  <c r="O23" i="8" a="1"/>
  <c r="O23" i="8" s="1"/>
  <c r="S28" i="8" a="1"/>
  <c r="S28" i="8" s="1"/>
  <c r="AJ28" i="8" s="1"/>
  <c r="N38" i="8" a="1"/>
  <c r="N38" i="8" s="1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K4142" i="1"/>
  <c r="T123" i="8" s="1" a="1"/>
  <c r="T123" i="8" s="1"/>
  <c r="K4141" i="1"/>
  <c r="H123" i="8" s="1" a="1"/>
  <c r="H123" i="8" s="1"/>
  <c r="AI123" i="8" s="1"/>
  <c r="K4140" i="1"/>
  <c r="P123" i="8" s="1" a="1"/>
  <c r="P123" i="8" s="1"/>
  <c r="K4139" i="1"/>
  <c r="N123" i="8" s="1" a="1"/>
  <c r="N123" i="8" s="1"/>
  <c r="K3623" i="1"/>
  <c r="E105" i="8" s="1" a="1"/>
  <c r="E105" i="8" s="1"/>
  <c r="K2531" i="1"/>
  <c r="K569" i="1"/>
  <c r="K568" i="1"/>
  <c r="K567" i="1"/>
  <c r="K224" i="1"/>
  <c r="V9" i="8" s="1" a="1"/>
  <c r="V9" i="8" s="1"/>
  <c r="K223" i="1"/>
  <c r="W9" i="8" s="1" a="1"/>
  <c r="W9" i="8" s="1"/>
  <c r="K6384" i="1"/>
  <c r="K6383" i="1"/>
  <c r="K6382" i="1"/>
  <c r="K6375" i="1"/>
  <c r="K6374" i="1"/>
  <c r="K2008" i="1"/>
  <c r="K3185" i="1"/>
  <c r="K3184" i="1"/>
  <c r="K3183" i="1"/>
  <c r="K3182" i="1"/>
  <c r="K1186" i="1"/>
  <c r="K1963" i="1"/>
  <c r="J58" i="8" s="1" a="1"/>
  <c r="J58" i="8" s="1"/>
  <c r="K3191" i="1"/>
  <c r="K6366" i="1"/>
  <c r="K5528" i="1"/>
  <c r="W164" i="8" s="1" a="1"/>
  <c r="W164" i="8" s="1"/>
  <c r="K5495" i="1"/>
  <c r="I163" i="8" s="1" a="1"/>
  <c r="I163" i="8" s="1"/>
  <c r="K5479" i="1"/>
  <c r="G162" i="8" s="1" a="1"/>
  <c r="G162" i="8" s="1"/>
  <c r="K3186" i="1"/>
  <c r="K2532" i="1"/>
  <c r="K5489" i="1"/>
  <c r="J163" i="8" s="1" a="1"/>
  <c r="J163" i="8" s="1"/>
  <c r="K4379" i="1"/>
  <c r="M129" i="8" s="1" a="1"/>
  <c r="M129" i="8" s="1"/>
  <c r="K4378" i="1"/>
  <c r="I129" i="8" s="1" a="1"/>
  <c r="I129" i="8" s="1"/>
  <c r="K4377" i="1"/>
  <c r="K129" i="8" s="1" a="1"/>
  <c r="K129" i="8" s="1"/>
  <c r="K4376" i="1"/>
  <c r="L129" i="8" s="1" a="1"/>
  <c r="L129" i="8" s="1"/>
  <c r="K5307" i="1"/>
  <c r="Y154" i="8" s="1" a="1"/>
  <c r="Y154" i="8" s="1"/>
  <c r="K7862" i="1"/>
  <c r="K5231" i="1"/>
  <c r="AA150" i="8" s="1" a="1"/>
  <c r="AA150" i="8" s="1"/>
  <c r="AJ43" i="8"/>
  <c r="K5610" i="1"/>
  <c r="K5609" i="1"/>
  <c r="K5608" i="1"/>
  <c r="K5607" i="1"/>
  <c r="K880" i="1"/>
  <c r="T26" i="8" s="1" a="1"/>
  <c r="T26" i="8" s="1"/>
  <c r="K879" i="1"/>
  <c r="H26" i="8" s="1" a="1"/>
  <c r="H26" i="8" s="1"/>
  <c r="K1401" i="1"/>
  <c r="K809" i="1"/>
  <c r="M24" i="8" s="1" a="1"/>
  <c r="M24" i="8" s="1"/>
  <c r="K5521" i="1"/>
  <c r="Y164" i="8" s="1" a="1"/>
  <c r="Y164" i="8" s="1"/>
  <c r="K5541" i="1"/>
  <c r="E165" i="8" s="1" a="1"/>
  <c r="E165" i="8" s="1"/>
  <c r="K5537" i="1"/>
  <c r="F165" i="8" s="1" a="1"/>
  <c r="F165" i="8" s="1"/>
  <c r="K5536" i="1"/>
  <c r="I165" i="8" s="1" a="1"/>
  <c r="I165" i="8" s="1"/>
  <c r="K2003" i="1"/>
  <c r="K4505" i="1"/>
  <c r="Z133" i="8" s="1" a="1"/>
  <c r="Z133" i="8" s="1"/>
  <c r="K4504" i="1"/>
  <c r="R133" i="8" s="1" a="1"/>
  <c r="R133" i="8" s="1"/>
  <c r="K4503" i="1"/>
  <c r="E133" i="8" s="1" a="1"/>
  <c r="E133" i="8" s="1"/>
  <c r="K2002" i="1"/>
  <c r="K306" i="1"/>
  <c r="X11" i="8" s="1" a="1"/>
  <c r="X11" i="8" s="1"/>
  <c r="K305" i="1"/>
  <c r="Y11" i="8" s="1" a="1"/>
  <c r="Y11" i="8" s="1"/>
  <c r="K4523" i="1"/>
  <c r="K5230" i="1"/>
  <c r="AB150" i="8" s="1" a="1"/>
  <c r="AB150" i="8" s="1"/>
  <c r="K5229" i="1"/>
  <c r="S150" i="8" s="1" a="1"/>
  <c r="S150" i="8" s="1"/>
  <c r="AJ150" i="8" s="1"/>
  <c r="K5228" i="1"/>
  <c r="Q150" i="8" s="1" a="1"/>
  <c r="Q150" i="8" s="1"/>
  <c r="K5227" i="1"/>
  <c r="O150" i="8" s="1" a="1"/>
  <c r="O150" i="8" s="1"/>
  <c r="K4502" i="1"/>
  <c r="F133" i="8" s="1" a="1"/>
  <c r="F133" i="8" s="1"/>
  <c r="K6367" i="1"/>
  <c r="K5524" i="1"/>
  <c r="G164" i="8" s="1" a="1"/>
  <c r="G164" i="8" s="1"/>
  <c r="K2007" i="1"/>
  <c r="K4902" i="1"/>
  <c r="X143" i="8" s="1" a="1"/>
  <c r="X143" i="8" s="1"/>
  <c r="K5523" i="1"/>
  <c r="E164" i="8" s="1" a="1"/>
  <c r="E164" i="8" s="1"/>
  <c r="K5522" i="1"/>
  <c r="F164" i="8" s="1" a="1"/>
  <c r="F164" i="8" s="1"/>
  <c r="K5530" i="1"/>
  <c r="N164" i="8" s="1" a="1"/>
  <c r="N164" i="8" s="1"/>
  <c r="K3677" i="1"/>
  <c r="P108" i="8" s="1" a="1"/>
  <c r="P108" i="8" s="1"/>
  <c r="K1964" i="1"/>
  <c r="O58" i="8" s="1" a="1"/>
  <c r="O58" i="8" s="1"/>
  <c r="K2006" i="1"/>
  <c r="K2005" i="1"/>
  <c r="K2004" i="1"/>
  <c r="K6377" i="1"/>
  <c r="K2774" i="1"/>
  <c r="K4466" i="1"/>
  <c r="H132" i="8" s="1" a="1"/>
  <c r="H132" i="8" s="1"/>
  <c r="K2773" i="1"/>
  <c r="K511" i="1"/>
  <c r="G17" i="8" s="1" a="1"/>
  <c r="G17" i="8" s="1"/>
  <c r="K510" i="1"/>
  <c r="E17" i="8" s="1" a="1"/>
  <c r="E17" i="8" s="1"/>
  <c r="K4468" i="1"/>
  <c r="U132" i="8" s="1" a="1"/>
  <c r="U132" i="8" s="1"/>
  <c r="K3676" i="1"/>
  <c r="N108" i="8" s="1" a="1"/>
  <c r="N108" i="8" s="1"/>
  <c r="K3937" i="1"/>
  <c r="H118" i="8" s="1" a="1"/>
  <c r="H118" i="8" s="1"/>
  <c r="K2079" i="1"/>
  <c r="K7861" i="1"/>
  <c r="K3189" i="1"/>
  <c r="K3188" i="1"/>
  <c r="K3187" i="1"/>
  <c r="K5561" i="1"/>
  <c r="S166" i="8" s="1" a="1"/>
  <c r="S166" i="8" s="1"/>
  <c r="AJ166" i="8" s="1"/>
  <c r="K2775" i="1"/>
  <c r="K6376" i="1"/>
  <c r="K3190" i="1"/>
  <c r="K4900" i="1"/>
  <c r="Z143" i="8" s="1" a="1"/>
  <c r="Z143" i="8" s="1"/>
  <c r="K4899" i="1"/>
  <c r="R143" i="8" s="1" a="1"/>
  <c r="R143" i="8" s="1"/>
  <c r="K6381" i="1"/>
  <c r="K6380" i="1"/>
  <c r="K6379" i="1"/>
  <c r="K6378" i="1"/>
  <c r="AJ26" i="8"/>
  <c r="K5478" i="1"/>
  <c r="H162" i="8" s="1" a="1"/>
  <c r="H162" i="8" s="1"/>
  <c r="K5477" i="1"/>
  <c r="S162" i="8" s="1" a="1"/>
  <c r="S162" i="8" s="1"/>
  <c r="AJ162" i="8" s="1"/>
  <c r="K3912" i="1"/>
  <c r="J117" i="8" s="1" a="1"/>
  <c r="J117" i="8" s="1"/>
  <c r="K4467" i="1"/>
  <c r="T132" i="8" s="1" a="1"/>
  <c r="T132" i="8" s="1"/>
  <c r="K676" i="1"/>
  <c r="H21" i="8" s="1" a="1"/>
  <c r="H21" i="8" s="1"/>
  <c r="K6373" i="1"/>
  <c r="K6372" i="1"/>
  <c r="K6371" i="1"/>
  <c r="K6370" i="1"/>
  <c r="K6369" i="1"/>
  <c r="K6368" i="1"/>
  <c r="K5529" i="1"/>
  <c r="V164" i="8" s="1" a="1"/>
  <c r="V164" i="8" s="1"/>
  <c r="K2776" i="1"/>
  <c r="AJ1000" i="8"/>
  <c r="AJ999" i="8"/>
  <c r="AJ998" i="8"/>
  <c r="AJ997" i="8"/>
  <c r="AJ996" i="8"/>
  <c r="AJ995" i="8"/>
  <c r="AJ994" i="8"/>
  <c r="AJ993" i="8"/>
  <c r="AJ992" i="8"/>
  <c r="AJ991" i="8"/>
  <c r="AJ990" i="8"/>
  <c r="AJ989" i="8"/>
  <c r="AJ988" i="8"/>
  <c r="AJ987" i="8"/>
  <c r="AJ986" i="8"/>
  <c r="AJ985" i="8"/>
  <c r="AJ984" i="8"/>
  <c r="AJ983" i="8"/>
  <c r="AJ982" i="8"/>
  <c r="AI982" i="8"/>
  <c r="AJ981" i="8"/>
  <c r="AI981" i="8"/>
  <c r="AJ980" i="8"/>
  <c r="AJ979" i="8"/>
  <c r="AI979" i="8"/>
  <c r="AJ978" i="8"/>
  <c r="AJ977" i="8"/>
  <c r="AJ976" i="8"/>
  <c r="AI976" i="8"/>
  <c r="AJ975" i="8"/>
  <c r="AJ974" i="8"/>
  <c r="AI974" i="8"/>
  <c r="AJ973" i="8"/>
  <c r="AJ972" i="8"/>
  <c r="AJ971" i="8"/>
  <c r="AI971" i="8"/>
  <c r="AJ970" i="8"/>
  <c r="AJ969" i="8"/>
  <c r="AI969" i="8"/>
  <c r="AJ968" i="8"/>
  <c r="AJ967" i="8"/>
  <c r="AJ966" i="8"/>
  <c r="AI966" i="8"/>
  <c r="AJ965" i="8"/>
  <c r="AI965" i="8"/>
  <c r="AJ964" i="8"/>
  <c r="AJ963" i="8"/>
  <c r="AI963" i="8"/>
  <c r="AJ962" i="8"/>
  <c r="AI962" i="8"/>
  <c r="AJ961" i="8"/>
  <c r="AJ960" i="8"/>
  <c r="AI960" i="8"/>
  <c r="AJ959" i="8"/>
  <c r="AJ958" i="8"/>
  <c r="AJ957" i="8"/>
  <c r="AI957" i="8"/>
  <c r="AJ956" i="8"/>
  <c r="AJ955" i="8"/>
  <c r="AI955" i="8"/>
  <c r="AJ954" i="8"/>
  <c r="AJ953" i="8"/>
  <c r="AJ952" i="8"/>
  <c r="AI952" i="8"/>
  <c r="AJ951" i="8"/>
  <c r="AI950" i="8"/>
  <c r="AJ949" i="8"/>
  <c r="AI949" i="8"/>
  <c r="AJ948" i="8"/>
  <c r="AJ947" i="8"/>
  <c r="AJ946" i="8"/>
  <c r="AI946" i="8"/>
  <c r="AJ945" i="8"/>
  <c r="AI944" i="8"/>
  <c r="AJ943" i="8"/>
  <c r="AI943" i="8"/>
  <c r="AJ942" i="8"/>
  <c r="AJ941" i="8"/>
  <c r="AJ940" i="8"/>
  <c r="AI940" i="8"/>
  <c r="AJ939" i="8"/>
  <c r="AI939" i="8"/>
  <c r="AJ938" i="8"/>
  <c r="AJ937" i="8"/>
  <c r="AI937" i="8"/>
  <c r="AJ936" i="8"/>
  <c r="AI936" i="8"/>
  <c r="AJ935" i="8"/>
  <c r="AI935" i="8"/>
  <c r="AJ934" i="8"/>
  <c r="AI934" i="8"/>
  <c r="AJ933" i="8"/>
  <c r="AI933" i="8"/>
  <c r="AJ932" i="8"/>
  <c r="AI932" i="8"/>
  <c r="AJ931" i="8"/>
  <c r="AI931" i="8"/>
  <c r="AJ930" i="8"/>
  <c r="AI930" i="8"/>
  <c r="AJ929" i="8"/>
  <c r="AI929" i="8"/>
  <c r="AJ928" i="8"/>
  <c r="AI928" i="8"/>
  <c r="AJ927" i="8"/>
  <c r="AI927" i="8"/>
  <c r="AJ926" i="8"/>
  <c r="AI926" i="8"/>
  <c r="AJ925" i="8"/>
  <c r="AI925" i="8"/>
  <c r="AJ924" i="8"/>
  <c r="AI924" i="8"/>
  <c r="AJ923" i="8"/>
  <c r="AI923" i="8"/>
  <c r="AJ922" i="8"/>
  <c r="AI922" i="8"/>
  <c r="AJ921" i="8"/>
  <c r="AI921" i="8"/>
  <c r="AJ920" i="8"/>
  <c r="AI920" i="8"/>
  <c r="AJ919" i="8"/>
  <c r="AI919" i="8"/>
  <c r="AJ918" i="8"/>
  <c r="AI918" i="8"/>
  <c r="AJ917" i="8"/>
  <c r="AI917" i="8"/>
  <c r="AJ916" i="8"/>
  <c r="AI916" i="8"/>
  <c r="AJ915" i="8"/>
  <c r="AI915" i="8"/>
  <c r="AJ914" i="8"/>
  <c r="AI914" i="8"/>
  <c r="AJ913" i="8"/>
  <c r="AI913" i="8"/>
  <c r="AJ912" i="8"/>
  <c r="AI912" i="8"/>
  <c r="AJ911" i="8"/>
  <c r="AI911" i="8"/>
  <c r="AJ910" i="8"/>
  <c r="AI910" i="8"/>
  <c r="AJ909" i="8"/>
  <c r="AI909" i="8"/>
  <c r="AJ908" i="8"/>
  <c r="AI908" i="8"/>
  <c r="AJ907" i="8"/>
  <c r="AJ906" i="8"/>
  <c r="AI906" i="8"/>
  <c r="AJ905" i="8"/>
  <c r="AI905" i="8"/>
  <c r="AJ904" i="8"/>
  <c r="AI904" i="8"/>
  <c r="AJ903" i="8"/>
  <c r="AI903" i="8"/>
  <c r="AJ902" i="8"/>
  <c r="AI902" i="8"/>
  <c r="AJ901" i="8"/>
  <c r="AI901" i="8"/>
  <c r="AJ900" i="8"/>
  <c r="AI900" i="8"/>
  <c r="AJ899" i="8"/>
  <c r="AI899" i="8"/>
  <c r="AJ898" i="8"/>
  <c r="AI898" i="8"/>
  <c r="AJ897" i="8"/>
  <c r="AI897" i="8"/>
  <c r="AJ896" i="8"/>
  <c r="AI896" i="8"/>
  <c r="AJ895" i="8"/>
  <c r="AI895" i="8"/>
  <c r="AJ894" i="8"/>
  <c r="AI894" i="8"/>
  <c r="AJ893" i="8"/>
  <c r="AI893" i="8"/>
  <c r="AJ892" i="8"/>
  <c r="AI892" i="8"/>
  <c r="AJ891" i="8"/>
  <c r="AI891" i="8"/>
  <c r="AJ890" i="8"/>
  <c r="AI890" i="8"/>
  <c r="AJ889" i="8"/>
  <c r="AI889" i="8"/>
  <c r="AJ888" i="8"/>
  <c r="AI888" i="8"/>
  <c r="AJ887" i="8"/>
  <c r="AI887" i="8"/>
  <c r="AJ886" i="8"/>
  <c r="AI886" i="8"/>
  <c r="AJ885" i="8"/>
  <c r="AI885" i="8"/>
  <c r="AJ884" i="8"/>
  <c r="AI884" i="8"/>
  <c r="AJ883" i="8"/>
  <c r="AI883" i="8"/>
  <c r="AJ882" i="8"/>
  <c r="AI882" i="8"/>
  <c r="AJ881" i="8"/>
  <c r="AI881" i="8"/>
  <c r="AJ880" i="8"/>
  <c r="AI880" i="8"/>
  <c r="AJ879" i="8"/>
  <c r="AI879" i="8"/>
  <c r="AJ878" i="8"/>
  <c r="AI878" i="8"/>
  <c r="AJ877" i="8"/>
  <c r="AI877" i="8"/>
  <c r="AJ876" i="8"/>
  <c r="AI876" i="8"/>
  <c r="AJ875" i="8"/>
  <c r="AI875" i="8"/>
  <c r="AJ874" i="8"/>
  <c r="AI874" i="8"/>
  <c r="AJ873" i="8"/>
  <c r="AJ872" i="8"/>
  <c r="AJ871" i="8"/>
  <c r="AJ870" i="8"/>
  <c r="AJ869" i="8"/>
  <c r="AJ868" i="8"/>
  <c r="AJ867" i="8"/>
  <c r="AJ866" i="8"/>
  <c r="AJ865" i="8"/>
  <c r="AJ864" i="8"/>
  <c r="AJ863" i="8"/>
  <c r="AJ862" i="8"/>
  <c r="AJ861" i="8"/>
  <c r="AJ860" i="8"/>
  <c r="AJ859" i="8"/>
  <c r="AJ858" i="8"/>
  <c r="AJ857" i="8"/>
  <c r="AJ856" i="8"/>
  <c r="AI856" i="8"/>
  <c r="AJ855" i="8"/>
  <c r="AI855" i="8"/>
  <c r="AJ854" i="8"/>
  <c r="AI854" i="8"/>
  <c r="AJ853" i="8"/>
  <c r="AI853" i="8"/>
  <c r="AJ852" i="8"/>
  <c r="AI852" i="8"/>
  <c r="AJ851" i="8"/>
  <c r="AI851" i="8"/>
  <c r="AJ850" i="8"/>
  <c r="AI850" i="8"/>
  <c r="AJ849" i="8"/>
  <c r="AI849" i="8"/>
  <c r="AJ848" i="8"/>
  <c r="AI848" i="8"/>
  <c r="AJ847" i="8"/>
  <c r="AI847" i="8"/>
  <c r="AJ846" i="8"/>
  <c r="AI846" i="8"/>
  <c r="AJ845" i="8"/>
  <c r="AI845" i="8"/>
  <c r="AJ844" i="8"/>
  <c r="AI844" i="8"/>
  <c r="AJ843" i="8"/>
  <c r="AI843" i="8"/>
  <c r="AJ842" i="8"/>
  <c r="AI842" i="8"/>
  <c r="AJ841" i="8"/>
  <c r="AI841" i="8"/>
  <c r="AJ840" i="8"/>
  <c r="AI840" i="8"/>
  <c r="AJ839" i="8"/>
  <c r="AI839" i="8"/>
  <c r="AJ838" i="8"/>
  <c r="AI838" i="8"/>
  <c r="AJ837" i="8"/>
  <c r="AI837" i="8"/>
  <c r="AJ836" i="8"/>
  <c r="AJ835" i="8"/>
  <c r="AI835" i="8"/>
  <c r="AJ834" i="8"/>
  <c r="AI834" i="8"/>
  <c r="AJ833" i="8"/>
  <c r="AI833" i="8"/>
  <c r="AJ832" i="8"/>
  <c r="AJ831" i="8"/>
  <c r="AI831" i="8"/>
  <c r="AJ830" i="8"/>
  <c r="AJ829" i="8"/>
  <c r="AI829" i="8"/>
  <c r="AJ828" i="8"/>
  <c r="AI828" i="8"/>
  <c r="AJ827" i="8"/>
  <c r="AJ826" i="8"/>
  <c r="AJ825" i="8"/>
  <c r="AI825" i="8"/>
  <c r="AJ824" i="8"/>
  <c r="AJ823" i="8"/>
  <c r="AI823" i="8"/>
  <c r="AJ822" i="8"/>
  <c r="AJ821" i="8"/>
  <c r="AJ820" i="8"/>
  <c r="AJ819" i="8"/>
  <c r="AI819" i="8"/>
  <c r="AJ818" i="8"/>
  <c r="AJ817" i="8"/>
  <c r="AI817" i="8"/>
  <c r="AJ816" i="8"/>
  <c r="AJ815" i="8"/>
  <c r="AJ814" i="8"/>
  <c r="AJ813" i="8"/>
  <c r="AI813" i="8"/>
  <c r="AJ812" i="8"/>
  <c r="AJ811" i="8"/>
  <c r="AI811" i="8"/>
  <c r="AJ810" i="8"/>
  <c r="AJ809" i="8"/>
  <c r="AI809" i="8"/>
  <c r="AJ808" i="8"/>
  <c r="AJ807" i="8"/>
  <c r="AI807" i="8"/>
  <c r="AJ806" i="8"/>
  <c r="AJ805" i="8"/>
  <c r="AI805" i="8"/>
  <c r="AJ804" i="8"/>
  <c r="AJ803" i="8"/>
  <c r="AI803" i="8"/>
  <c r="AJ802" i="8"/>
  <c r="AJ801" i="8"/>
  <c r="AI801" i="8"/>
  <c r="AJ800" i="8"/>
  <c r="AJ799" i="8"/>
  <c r="AI799" i="8"/>
  <c r="AJ798" i="8"/>
  <c r="AI798" i="8"/>
  <c r="AJ797" i="8"/>
  <c r="AJ796" i="8"/>
  <c r="AI796" i="8"/>
  <c r="AJ795" i="8"/>
  <c r="AI795" i="8"/>
  <c r="AJ794" i="8"/>
  <c r="AJ793" i="8"/>
  <c r="AI793" i="8"/>
  <c r="AJ792" i="8"/>
  <c r="AI792" i="8"/>
  <c r="AJ791" i="8"/>
  <c r="AJ790" i="8"/>
  <c r="AI790" i="8"/>
  <c r="AJ789" i="8"/>
  <c r="AI789" i="8"/>
  <c r="AJ788" i="8"/>
  <c r="AI788" i="8"/>
  <c r="AJ787" i="8"/>
  <c r="AI787" i="8"/>
  <c r="AJ786" i="8"/>
  <c r="AI786" i="8"/>
  <c r="AJ785" i="8"/>
  <c r="AI785" i="8"/>
  <c r="AJ784" i="8"/>
  <c r="AI784" i="8"/>
  <c r="AJ783" i="8"/>
  <c r="AI783" i="8"/>
  <c r="AJ782" i="8"/>
  <c r="AI782" i="8"/>
  <c r="AJ781" i="8"/>
  <c r="AI781" i="8"/>
  <c r="AJ780" i="8"/>
  <c r="AI780" i="8"/>
  <c r="AJ779" i="8"/>
  <c r="AI779" i="8"/>
  <c r="AJ778" i="8"/>
  <c r="AI778" i="8"/>
  <c r="AJ777" i="8"/>
  <c r="AI777" i="8"/>
  <c r="AJ776" i="8"/>
  <c r="AI776" i="8"/>
  <c r="AJ775" i="8"/>
  <c r="AI775" i="8"/>
  <c r="AJ774" i="8"/>
  <c r="AI774" i="8"/>
  <c r="AJ773" i="8"/>
  <c r="AI773" i="8"/>
  <c r="AJ772" i="8"/>
  <c r="AI772" i="8"/>
  <c r="AJ771" i="8"/>
  <c r="AI771" i="8"/>
  <c r="AJ770" i="8"/>
  <c r="AI770" i="8"/>
  <c r="AJ769" i="8"/>
  <c r="AI769" i="8"/>
  <c r="AJ768" i="8"/>
  <c r="AI768" i="8"/>
  <c r="AJ767" i="8"/>
  <c r="AI767" i="8"/>
  <c r="AJ766" i="8"/>
  <c r="AI766" i="8"/>
  <c r="AJ765" i="8"/>
  <c r="AI765" i="8"/>
  <c r="AJ764" i="8"/>
  <c r="AI764" i="8"/>
  <c r="AJ763" i="8"/>
  <c r="AI763" i="8"/>
  <c r="AJ762" i="8"/>
  <c r="AI762" i="8"/>
  <c r="AJ761" i="8"/>
  <c r="AI761" i="8"/>
  <c r="AJ760" i="8"/>
  <c r="AI760" i="8"/>
  <c r="AJ759" i="8"/>
  <c r="AI759" i="8"/>
  <c r="AJ758" i="8"/>
  <c r="AI758" i="8"/>
  <c r="AJ757" i="8"/>
  <c r="AI757" i="8"/>
  <c r="AJ756" i="8"/>
  <c r="AI756" i="8"/>
  <c r="AJ755" i="8"/>
  <c r="AJ754" i="8"/>
  <c r="AJ753" i="8"/>
  <c r="AJ752" i="8"/>
  <c r="AI752" i="8"/>
  <c r="AJ751" i="8"/>
  <c r="AJ750" i="8"/>
  <c r="AJ749" i="8"/>
  <c r="AI749" i="8"/>
  <c r="AJ748" i="8"/>
  <c r="AJ747" i="8"/>
  <c r="AJ746" i="8"/>
  <c r="AI746" i="8"/>
  <c r="AJ745" i="8"/>
  <c r="AJ744" i="8"/>
  <c r="AJ743" i="8"/>
  <c r="AI743" i="8"/>
  <c r="AJ742" i="8"/>
  <c r="AJ741" i="8"/>
  <c r="AJ740" i="8"/>
  <c r="AI740" i="8"/>
  <c r="AJ739" i="8"/>
  <c r="AJ738" i="8"/>
  <c r="AJ737" i="8"/>
  <c r="AI737" i="8"/>
  <c r="AJ736" i="8"/>
  <c r="AI736" i="8"/>
  <c r="AJ735" i="8"/>
  <c r="AJ734" i="8"/>
  <c r="AJ733" i="8"/>
  <c r="AJ732" i="8"/>
  <c r="AJ731" i="8"/>
  <c r="AJ730" i="8"/>
  <c r="AJ729" i="8"/>
  <c r="AJ728" i="8"/>
  <c r="AJ727" i="8"/>
  <c r="AJ726" i="8"/>
  <c r="AJ725" i="8"/>
  <c r="AJ724" i="8"/>
  <c r="AJ723" i="8"/>
  <c r="AJ722" i="8"/>
  <c r="AJ721" i="8"/>
  <c r="AJ720" i="8"/>
  <c r="AJ719" i="8"/>
  <c r="AJ718" i="8"/>
  <c r="AJ717" i="8"/>
  <c r="AJ716" i="8"/>
  <c r="AJ715" i="8"/>
  <c r="AJ714" i="8"/>
  <c r="AJ713" i="8"/>
  <c r="AJ712" i="8"/>
  <c r="AJ711" i="8"/>
  <c r="AJ710" i="8"/>
  <c r="AJ709" i="8"/>
  <c r="AJ708" i="8"/>
  <c r="AJ707" i="8"/>
  <c r="AJ706" i="8"/>
  <c r="AJ705" i="8"/>
  <c r="AJ704" i="8"/>
  <c r="AJ703" i="8"/>
  <c r="AJ702" i="8"/>
  <c r="AJ701" i="8"/>
  <c r="AJ700" i="8"/>
  <c r="AJ699" i="8"/>
  <c r="AJ698" i="8"/>
  <c r="AJ697" i="8"/>
  <c r="AJ696" i="8"/>
  <c r="AJ695" i="8"/>
  <c r="AJ694" i="8"/>
  <c r="AJ693" i="8"/>
  <c r="AJ692" i="8"/>
  <c r="AJ691" i="8"/>
  <c r="AJ690" i="8"/>
  <c r="AJ689" i="8"/>
  <c r="AJ688" i="8"/>
  <c r="AJ687" i="8"/>
  <c r="AJ686" i="8"/>
  <c r="AJ685" i="8"/>
  <c r="AJ684" i="8"/>
  <c r="AJ683" i="8"/>
  <c r="AJ682" i="8"/>
  <c r="AJ681" i="8"/>
  <c r="AJ680" i="8"/>
  <c r="AJ679" i="8"/>
  <c r="AJ678" i="8"/>
  <c r="AJ677" i="8"/>
  <c r="AJ676" i="8"/>
  <c r="AJ675" i="8"/>
  <c r="AJ674" i="8"/>
  <c r="AJ673" i="8"/>
  <c r="AJ672" i="8"/>
  <c r="AJ671" i="8"/>
  <c r="AJ670" i="8"/>
  <c r="AJ669" i="8"/>
  <c r="AJ668" i="8"/>
  <c r="AI668" i="8"/>
  <c r="AJ667" i="8"/>
  <c r="AI667" i="8"/>
  <c r="AJ666" i="8"/>
  <c r="AJ665" i="8"/>
  <c r="AI665" i="8"/>
  <c r="AJ664" i="8"/>
  <c r="AI664" i="8"/>
  <c r="AJ663" i="8"/>
  <c r="AI663" i="8"/>
  <c r="AJ662" i="8"/>
  <c r="AI662" i="8"/>
  <c r="AJ661" i="8"/>
  <c r="AJ660" i="8"/>
  <c r="AJ659" i="8"/>
  <c r="AI659" i="8"/>
  <c r="AJ658" i="8"/>
  <c r="AI658" i="8"/>
  <c r="AJ657" i="8"/>
  <c r="AI657" i="8"/>
  <c r="AJ656" i="8"/>
  <c r="AI656" i="8"/>
  <c r="AJ655" i="8"/>
  <c r="AI655" i="8"/>
  <c r="AJ654" i="8"/>
  <c r="AI654" i="8"/>
  <c r="AJ653" i="8"/>
  <c r="AI653" i="8"/>
  <c r="AJ652" i="8"/>
  <c r="AI652" i="8"/>
  <c r="AJ651" i="8"/>
  <c r="AI651" i="8"/>
  <c r="AJ650" i="8"/>
  <c r="AI650" i="8"/>
  <c r="AJ649" i="8"/>
  <c r="AI649" i="8"/>
  <c r="AJ648" i="8"/>
  <c r="AI648" i="8"/>
  <c r="AJ647" i="8"/>
  <c r="AI647" i="8"/>
  <c r="AJ646" i="8"/>
  <c r="AI646" i="8"/>
  <c r="AJ645" i="8"/>
  <c r="AI645" i="8"/>
  <c r="AJ644" i="8"/>
  <c r="AI644" i="8"/>
  <c r="AJ643" i="8"/>
  <c r="AI643" i="8"/>
  <c r="AJ642" i="8"/>
  <c r="AI642" i="8"/>
  <c r="AJ641" i="8"/>
  <c r="AI641" i="8"/>
  <c r="AJ640" i="8"/>
  <c r="AI640" i="8"/>
  <c r="AJ639" i="8"/>
  <c r="AI639" i="8"/>
  <c r="AJ638" i="8"/>
  <c r="AI638" i="8"/>
  <c r="AJ637" i="8"/>
  <c r="AI637" i="8"/>
  <c r="AJ636" i="8"/>
  <c r="AI636" i="8"/>
  <c r="AJ635" i="8"/>
  <c r="AI635" i="8"/>
  <c r="AJ634" i="8"/>
  <c r="AI634" i="8"/>
  <c r="AJ633" i="8"/>
  <c r="AI633" i="8"/>
  <c r="AJ632" i="8"/>
  <c r="AI632" i="8"/>
  <c r="AJ631" i="8"/>
  <c r="AI631" i="8"/>
  <c r="AJ630" i="8"/>
  <c r="AI630" i="8"/>
  <c r="AJ629" i="8"/>
  <c r="AI629" i="8"/>
  <c r="AJ628" i="8"/>
  <c r="AI628" i="8"/>
  <c r="AJ627" i="8"/>
  <c r="AI627" i="8"/>
  <c r="AJ626" i="8"/>
  <c r="AI626" i="8"/>
  <c r="AJ625" i="8"/>
  <c r="AI625" i="8"/>
  <c r="AJ624" i="8"/>
  <c r="AI624" i="8"/>
  <c r="AJ623" i="8"/>
  <c r="AI623" i="8"/>
  <c r="AJ622" i="8"/>
  <c r="AI622" i="8"/>
  <c r="AJ621" i="8"/>
  <c r="AI621" i="8"/>
  <c r="AJ620" i="8"/>
  <c r="AI620" i="8"/>
  <c r="AJ619" i="8"/>
  <c r="AI619" i="8"/>
  <c r="AJ618" i="8"/>
  <c r="AI618" i="8"/>
  <c r="AJ617" i="8"/>
  <c r="AI617" i="8"/>
  <c r="AJ616" i="8"/>
  <c r="AJ615" i="8"/>
  <c r="AJ614" i="8"/>
  <c r="AI614" i="8"/>
  <c r="AJ613" i="8"/>
  <c r="AJ612" i="8"/>
  <c r="AJ611" i="8"/>
  <c r="AI611" i="8"/>
  <c r="AJ610" i="8"/>
  <c r="AJ609" i="8"/>
  <c r="AI609" i="8"/>
  <c r="AJ608" i="8"/>
  <c r="AI608" i="8"/>
  <c r="AJ607" i="8"/>
  <c r="AJ606" i="8"/>
  <c r="AI606" i="8"/>
  <c r="AJ605" i="8"/>
  <c r="AI605" i="8"/>
  <c r="AJ604" i="8"/>
  <c r="AI604" i="8"/>
  <c r="AJ603" i="8"/>
  <c r="AI603" i="8"/>
  <c r="AJ602" i="8"/>
  <c r="AI602" i="8"/>
  <c r="AJ601" i="8"/>
  <c r="AI601" i="8"/>
  <c r="AJ600" i="8"/>
  <c r="AI600" i="8"/>
  <c r="AJ599" i="8"/>
  <c r="AI599" i="8"/>
  <c r="AJ598" i="8"/>
  <c r="AI598" i="8"/>
  <c r="AJ597" i="8"/>
  <c r="AI597" i="8"/>
  <c r="AJ596" i="8"/>
  <c r="AI596" i="8"/>
  <c r="AJ595" i="8"/>
  <c r="AI595" i="8"/>
  <c r="AJ594" i="8"/>
  <c r="AI594" i="8"/>
  <c r="AJ593" i="8"/>
  <c r="AI593" i="8"/>
  <c r="AJ592" i="8"/>
  <c r="AI592" i="8"/>
  <c r="AJ591" i="8"/>
  <c r="AI591" i="8"/>
  <c r="AJ590" i="8"/>
  <c r="AI590" i="8"/>
  <c r="AJ589" i="8"/>
  <c r="AI589" i="8"/>
  <c r="AJ588" i="8"/>
  <c r="AI588" i="8"/>
  <c r="AJ587" i="8"/>
  <c r="AI587" i="8"/>
  <c r="AJ586" i="8"/>
  <c r="AI586" i="8"/>
  <c r="AJ585" i="8"/>
  <c r="AI585" i="8"/>
  <c r="AJ584" i="8"/>
  <c r="AI584" i="8"/>
  <c r="AJ583" i="8"/>
  <c r="AI583" i="8"/>
  <c r="AJ582" i="8"/>
  <c r="AI582" i="8"/>
  <c r="AJ581" i="8"/>
  <c r="AI581" i="8"/>
  <c r="AJ580" i="8"/>
  <c r="AI580" i="8"/>
  <c r="AJ579" i="8"/>
  <c r="AI579" i="8"/>
  <c r="AJ578" i="8"/>
  <c r="AI578" i="8"/>
  <c r="AJ577" i="8"/>
  <c r="AI577" i="8"/>
  <c r="AJ576" i="8"/>
  <c r="AI576" i="8"/>
  <c r="AJ575" i="8"/>
  <c r="AJ574" i="8"/>
  <c r="AI574" i="8"/>
  <c r="AJ573" i="8"/>
  <c r="AJ572" i="8"/>
  <c r="AI572" i="8"/>
  <c r="AJ571" i="8"/>
  <c r="AJ570" i="8"/>
  <c r="AI570" i="8"/>
  <c r="AJ569" i="8"/>
  <c r="AI569" i="8"/>
  <c r="AJ568" i="8"/>
  <c r="AI567" i="8"/>
  <c r="AJ566" i="8"/>
  <c r="AJ565" i="8"/>
  <c r="AI565" i="8"/>
  <c r="AJ564" i="8"/>
  <c r="AJ563" i="8"/>
  <c r="AI563" i="8"/>
  <c r="AJ562" i="8"/>
  <c r="AJ560" i="8"/>
  <c r="AJ559" i="8"/>
  <c r="AI559" i="8"/>
  <c r="AJ558" i="8"/>
  <c r="AJ557" i="8"/>
  <c r="AJ556" i="8"/>
  <c r="AJ555" i="8"/>
  <c r="AJ554" i="8"/>
  <c r="AJ538" i="8"/>
  <c r="AJ537" i="8"/>
  <c r="AJ536" i="8"/>
  <c r="AJ535" i="8"/>
  <c r="AJ534" i="8"/>
  <c r="AJ533" i="8"/>
  <c r="AJ532" i="8"/>
  <c r="AJ531" i="8"/>
  <c r="AJ521" i="8"/>
  <c r="AJ520" i="8"/>
  <c r="AJ519" i="8"/>
  <c r="AJ518" i="8"/>
  <c r="AJ517" i="8"/>
  <c r="AJ516" i="8"/>
  <c r="AJ515" i="8"/>
  <c r="AJ514" i="8"/>
  <c r="AJ513" i="8"/>
  <c r="AJ512" i="8"/>
  <c r="AJ511" i="8"/>
  <c r="AJ510" i="8"/>
  <c r="AJ509" i="8"/>
  <c r="AJ508" i="8"/>
  <c r="AJ507" i="8"/>
  <c r="AJ506" i="8"/>
  <c r="AJ505" i="8"/>
  <c r="AJ504" i="8"/>
  <c r="AJ503" i="8"/>
  <c r="AJ502" i="8"/>
  <c r="AJ501" i="8"/>
  <c r="AJ500" i="8"/>
  <c r="AJ499" i="8"/>
  <c r="AJ498" i="8"/>
  <c r="AJ497" i="8"/>
  <c r="AJ496" i="8"/>
  <c r="AJ495" i="8"/>
  <c r="AJ494" i="8"/>
  <c r="AJ493" i="8"/>
  <c r="AJ492" i="8"/>
  <c r="AJ491" i="8"/>
  <c r="AJ490" i="8"/>
  <c r="AJ489" i="8"/>
  <c r="AI489" i="8"/>
  <c r="AJ488" i="8"/>
  <c r="AI488" i="8"/>
  <c r="AJ487" i="8"/>
  <c r="AI487" i="8"/>
  <c r="AJ486" i="8"/>
  <c r="AI486" i="8"/>
  <c r="AJ485" i="8"/>
  <c r="AI485" i="8"/>
  <c r="AJ484" i="8"/>
  <c r="AI484" i="8"/>
  <c r="AJ483" i="8"/>
  <c r="AI483" i="8"/>
  <c r="AJ482" i="8"/>
  <c r="AI482" i="8"/>
  <c r="AJ481" i="8"/>
  <c r="AI481" i="8"/>
  <c r="AJ480" i="8"/>
  <c r="AI480" i="8"/>
  <c r="AJ479" i="8"/>
  <c r="AI479" i="8"/>
  <c r="AJ478" i="8"/>
  <c r="AI478" i="8"/>
  <c r="AJ477" i="8"/>
  <c r="AI477" i="8"/>
  <c r="AJ476" i="8"/>
  <c r="AI476" i="8"/>
  <c r="AJ475" i="8"/>
  <c r="AI475" i="8"/>
  <c r="AJ474" i="8"/>
  <c r="AI474" i="8"/>
  <c r="AJ473" i="8"/>
  <c r="AI473" i="8"/>
  <c r="AJ472" i="8"/>
  <c r="AI472" i="8"/>
  <c r="AJ471" i="8"/>
  <c r="AI471" i="8"/>
  <c r="AJ470" i="8"/>
  <c r="AI470" i="8"/>
  <c r="AJ469" i="8"/>
  <c r="AI469" i="8"/>
  <c r="AJ468" i="8"/>
  <c r="AI468" i="8"/>
  <c r="AJ467" i="8"/>
  <c r="AI467" i="8"/>
  <c r="AJ466" i="8"/>
  <c r="AI466" i="8"/>
  <c r="AJ465" i="8"/>
  <c r="AI465" i="8"/>
  <c r="AJ464" i="8"/>
  <c r="AI464" i="8"/>
  <c r="AJ463" i="8"/>
  <c r="AI463" i="8"/>
  <c r="AJ462" i="8"/>
  <c r="AI462" i="8"/>
  <c r="AJ461" i="8"/>
  <c r="AI461" i="8"/>
  <c r="AJ460" i="8"/>
  <c r="AI460" i="8"/>
  <c r="AJ459" i="8"/>
  <c r="AI459" i="8"/>
  <c r="AJ458" i="8"/>
  <c r="AI458" i="8"/>
  <c r="AJ457" i="8"/>
  <c r="AI457" i="8"/>
  <c r="AJ456" i="8"/>
  <c r="AI456" i="8"/>
  <c r="AJ455" i="8"/>
  <c r="AI455" i="8"/>
  <c r="AJ454" i="8"/>
  <c r="AI454" i="8"/>
  <c r="AJ453" i="8"/>
  <c r="AI453" i="8"/>
  <c r="AJ452" i="8"/>
  <c r="AI452" i="8"/>
  <c r="AJ451" i="8"/>
  <c r="AI451" i="8"/>
  <c r="AJ450" i="8"/>
  <c r="AI450" i="8"/>
  <c r="AJ449" i="8"/>
  <c r="AI449" i="8"/>
  <c r="AJ448" i="8"/>
  <c r="AI448" i="8"/>
  <c r="AJ447" i="8"/>
  <c r="AI447" i="8"/>
  <c r="AJ446" i="8"/>
  <c r="AI446" i="8"/>
  <c r="AJ445" i="8"/>
  <c r="AI445" i="8"/>
  <c r="AJ444" i="8"/>
  <c r="AI444" i="8"/>
  <c r="AJ443" i="8"/>
  <c r="AI443" i="8"/>
  <c r="AJ442" i="8"/>
  <c r="AI442" i="8"/>
  <c r="AJ441" i="8"/>
  <c r="AJ440" i="8"/>
  <c r="AI440" i="8"/>
  <c r="AJ439" i="8"/>
  <c r="AJ438" i="8"/>
  <c r="AI438" i="8"/>
  <c r="AJ437" i="8"/>
  <c r="AJ436" i="8"/>
  <c r="AI436" i="8"/>
  <c r="AJ435" i="8"/>
  <c r="AJ434" i="8"/>
  <c r="AJ433" i="8"/>
  <c r="AJ432" i="8"/>
  <c r="AI432" i="8"/>
  <c r="AJ431" i="8"/>
  <c r="AI431" i="8"/>
  <c r="AJ430" i="8"/>
  <c r="AJ429" i="8"/>
  <c r="AJ428" i="8"/>
  <c r="AJ427" i="8"/>
  <c r="AJ426" i="8"/>
  <c r="AI426" i="8"/>
  <c r="AJ425" i="8"/>
  <c r="AI425" i="8"/>
  <c r="AJ424" i="8"/>
  <c r="AJ423" i="8"/>
  <c r="AJ422" i="8"/>
  <c r="AJ421" i="8"/>
  <c r="AI421" i="8"/>
  <c r="AJ420" i="8"/>
  <c r="AJ419" i="8"/>
  <c r="AI419" i="8"/>
  <c r="AJ418" i="8"/>
  <c r="AJ417" i="8"/>
  <c r="AI417" i="8"/>
  <c r="AJ416" i="8"/>
  <c r="AJ415" i="8"/>
  <c r="AJ414" i="8"/>
  <c r="AJ413" i="8"/>
  <c r="AI413" i="8"/>
  <c r="AJ412" i="8"/>
  <c r="AJ411" i="8"/>
  <c r="AI411" i="8"/>
  <c r="AJ410" i="8"/>
  <c r="AJ409" i="8"/>
  <c r="AI409" i="8"/>
  <c r="AJ408" i="8"/>
  <c r="AJ407" i="8"/>
  <c r="AI407" i="8"/>
  <c r="AJ406" i="8"/>
  <c r="AJ405" i="8"/>
  <c r="AI405" i="8"/>
  <c r="AJ404" i="8"/>
  <c r="AJ403" i="8"/>
  <c r="AJ402" i="8"/>
  <c r="AJ401" i="8"/>
  <c r="AI401" i="8"/>
  <c r="AJ400" i="8"/>
  <c r="AJ399" i="8"/>
  <c r="AI399" i="8"/>
  <c r="AJ398" i="8"/>
  <c r="AJ397" i="8"/>
  <c r="AI397" i="8"/>
  <c r="AJ396" i="8"/>
  <c r="AJ395" i="8"/>
  <c r="AI395" i="8"/>
  <c r="AJ394" i="8"/>
  <c r="AJ393" i="8"/>
  <c r="AI393" i="8"/>
  <c r="AJ392" i="8"/>
  <c r="AJ391" i="8"/>
  <c r="AI391" i="8"/>
  <c r="AJ390" i="8"/>
  <c r="AI390" i="8"/>
  <c r="AJ389" i="8"/>
  <c r="AJ388" i="8"/>
  <c r="AI388" i="8"/>
  <c r="AJ387" i="8"/>
  <c r="AJ386" i="8"/>
  <c r="AI386" i="8"/>
  <c r="AJ385" i="8"/>
  <c r="AI385" i="8"/>
  <c r="AJ384" i="8"/>
  <c r="AI384" i="8"/>
  <c r="AJ383" i="8"/>
  <c r="AJ382" i="8"/>
  <c r="AJ381" i="8"/>
  <c r="AJ380" i="8"/>
  <c r="AI380" i="8"/>
  <c r="AJ379" i="8"/>
  <c r="AJ378" i="8"/>
  <c r="AI378" i="8"/>
  <c r="AJ377" i="8"/>
  <c r="AJ376" i="8"/>
  <c r="AJ375" i="8"/>
  <c r="AJ374" i="8"/>
  <c r="AI374" i="8"/>
  <c r="AJ373" i="8"/>
  <c r="AI373" i="8"/>
  <c r="AJ372" i="8"/>
  <c r="AI372" i="8"/>
  <c r="AJ371" i="8"/>
  <c r="AJ370" i="8"/>
  <c r="AI370" i="8"/>
  <c r="AJ369" i="8"/>
  <c r="AJ368" i="8"/>
  <c r="AI368" i="8"/>
  <c r="AJ367" i="8"/>
  <c r="AI367" i="8"/>
  <c r="AJ366" i="8"/>
  <c r="AI366" i="8"/>
  <c r="AJ365" i="8"/>
  <c r="AJ364" i="8"/>
  <c r="AJ363" i="8"/>
  <c r="AI363" i="8"/>
  <c r="AJ362" i="8"/>
  <c r="AI362" i="8"/>
  <c r="AJ361" i="8"/>
  <c r="AI361" i="8"/>
  <c r="AJ360" i="8"/>
  <c r="AI360" i="8"/>
  <c r="AJ359" i="8"/>
  <c r="AJ358" i="8"/>
  <c r="AJ357" i="8"/>
  <c r="AI357" i="8"/>
  <c r="AJ356" i="8"/>
  <c r="AI356" i="8"/>
  <c r="AJ355" i="8"/>
  <c r="AI355" i="8"/>
  <c r="AJ354" i="8"/>
  <c r="AI354" i="8"/>
  <c r="AJ353" i="8"/>
  <c r="AI353" i="8"/>
  <c r="AJ352" i="8"/>
  <c r="AI352" i="8"/>
  <c r="AJ351" i="8"/>
  <c r="AI351" i="8"/>
  <c r="AJ350" i="8"/>
  <c r="AI350" i="8"/>
  <c r="AJ349" i="8"/>
  <c r="AI349" i="8"/>
  <c r="AJ348" i="8"/>
  <c r="AI348" i="8"/>
  <c r="AJ347" i="8"/>
  <c r="AI347" i="8"/>
  <c r="AJ346" i="8"/>
  <c r="AI346" i="8"/>
  <c r="AJ345" i="8"/>
  <c r="AI345" i="8"/>
  <c r="AJ344" i="8"/>
  <c r="AI344" i="8"/>
  <c r="AJ343" i="8"/>
  <c r="AI343" i="8"/>
  <c r="AJ342" i="8"/>
  <c r="AI342" i="8"/>
  <c r="AJ341" i="8"/>
  <c r="AI341" i="8"/>
  <c r="AJ340" i="8"/>
  <c r="AI340" i="8"/>
  <c r="AJ339" i="8"/>
  <c r="AI339" i="8"/>
  <c r="AJ338" i="8"/>
  <c r="AI338" i="8"/>
  <c r="AJ336" i="8"/>
  <c r="AJ335" i="8"/>
  <c r="AI335" i="8"/>
  <c r="AJ334" i="8"/>
  <c r="AJ333" i="8"/>
  <c r="AI333" i="8"/>
  <c r="AJ332" i="8"/>
  <c r="AI331" i="8"/>
  <c r="AJ330" i="8"/>
  <c r="AJ329" i="8"/>
  <c r="AI329" i="8"/>
  <c r="AJ328" i="8"/>
  <c r="AJ327" i="8"/>
  <c r="AI327" i="8"/>
  <c r="AJ326" i="8"/>
  <c r="AJ325" i="8"/>
  <c r="AI325" i="8"/>
  <c r="AJ324" i="8"/>
  <c r="AJ323" i="8"/>
  <c r="AI323" i="8"/>
  <c r="AJ322" i="8"/>
  <c r="AJ321" i="8"/>
  <c r="AI321" i="8"/>
  <c r="AJ320" i="8"/>
  <c r="AJ319" i="8"/>
  <c r="AJ318" i="8"/>
  <c r="AJ317" i="8"/>
  <c r="AJ316" i="8"/>
  <c r="AJ315" i="8"/>
  <c r="AJ314" i="8"/>
  <c r="AJ313" i="8"/>
  <c r="AJ312" i="8"/>
  <c r="AJ311" i="8"/>
  <c r="AJ310" i="8"/>
  <c r="AJ309" i="8"/>
  <c r="AJ308" i="8"/>
  <c r="AJ307" i="8"/>
  <c r="AJ306" i="8"/>
  <c r="AJ305" i="8"/>
  <c r="AJ304" i="8"/>
  <c r="AI304" i="8"/>
  <c r="AJ303" i="8"/>
  <c r="AI303" i="8"/>
  <c r="AJ302" i="8"/>
  <c r="AI302" i="8"/>
  <c r="AJ301" i="8"/>
  <c r="AJ300" i="8"/>
  <c r="AJ299" i="8"/>
  <c r="AJ298" i="8"/>
  <c r="AI298" i="8"/>
  <c r="AJ297" i="8"/>
  <c r="AI297" i="8"/>
  <c r="AJ296" i="8"/>
  <c r="AI296" i="8"/>
  <c r="AJ295" i="8"/>
  <c r="AJ294" i="8"/>
  <c r="AJ293" i="8"/>
  <c r="AJ292" i="8"/>
  <c r="AI292" i="8"/>
  <c r="AJ291" i="8"/>
  <c r="AI291" i="8"/>
  <c r="AJ290" i="8"/>
  <c r="AJ289" i="8"/>
  <c r="AI289" i="8"/>
  <c r="AJ288" i="8"/>
  <c r="AI288" i="8"/>
  <c r="AJ287" i="8"/>
  <c r="AJ286" i="8"/>
  <c r="AI286" i="8"/>
  <c r="AJ285" i="8"/>
  <c r="AJ284" i="8"/>
  <c r="AJ283" i="8"/>
  <c r="AJ282" i="8"/>
  <c r="AI282" i="8"/>
  <c r="AJ281" i="8"/>
  <c r="AJ280" i="8"/>
  <c r="AJ279" i="8"/>
  <c r="AJ278" i="8"/>
  <c r="AJ275" i="8"/>
  <c r="AJ274" i="8"/>
  <c r="AJ273" i="8"/>
  <c r="AJ272" i="8"/>
  <c r="AJ271" i="8"/>
  <c r="AJ270" i="8"/>
  <c r="AJ269" i="8"/>
  <c r="AJ268" i="8"/>
  <c r="AJ267" i="8"/>
  <c r="AJ266" i="8"/>
  <c r="AJ265" i="8"/>
  <c r="AJ263" i="8"/>
  <c r="AJ262" i="8"/>
  <c r="AJ261" i="8"/>
  <c r="AJ260" i="8"/>
  <c r="AJ259" i="8"/>
  <c r="AJ258" i="8"/>
  <c r="AI258" i="8"/>
  <c r="AJ257" i="8"/>
  <c r="AJ256" i="8"/>
  <c r="AJ255" i="8"/>
  <c r="AJ254" i="8"/>
  <c r="AJ253" i="8"/>
  <c r="AJ252" i="8"/>
  <c r="AJ251" i="8"/>
  <c r="AJ250" i="8"/>
  <c r="AI250" i="8"/>
  <c r="AJ249" i="8"/>
  <c r="AJ248" i="8"/>
  <c r="AJ246" i="8"/>
  <c r="AJ244" i="8"/>
  <c r="AJ243" i="8"/>
  <c r="AJ242" i="8"/>
  <c r="AJ241" i="8"/>
  <c r="AI241" i="8"/>
  <c r="AJ240" i="8"/>
  <c r="AJ239" i="8"/>
  <c r="AJ238" i="8"/>
  <c r="AJ237" i="8"/>
  <c r="AJ236" i="8"/>
  <c r="AJ235" i="8"/>
  <c r="AJ234" i="8"/>
  <c r="AJ232" i="8"/>
  <c r="AJ231" i="8"/>
  <c r="AI231" i="8"/>
  <c r="AJ230" i="8"/>
  <c r="AJ229" i="8"/>
  <c r="AJ228" i="8"/>
  <c r="AJ227" i="8"/>
  <c r="AJ226" i="8"/>
  <c r="AJ225" i="8"/>
  <c r="AJ224" i="8"/>
  <c r="AI224" i="8"/>
  <c r="AJ223" i="8"/>
  <c r="AJ222" i="8"/>
  <c r="AJ221" i="8"/>
  <c r="AJ220" i="8"/>
  <c r="AJ217" i="8"/>
  <c r="AJ216" i="8"/>
  <c r="AJ215" i="8"/>
  <c r="AJ214" i="8"/>
  <c r="AI214" i="8"/>
  <c r="AJ213" i="8"/>
  <c r="AJ212" i="8"/>
  <c r="AJ211" i="8"/>
  <c r="AJ210" i="8"/>
  <c r="AJ209" i="8"/>
  <c r="AJ208" i="8"/>
  <c r="AJ207" i="8"/>
  <c r="AJ205" i="8"/>
  <c r="AI205" i="8"/>
  <c r="AJ204" i="8"/>
  <c r="AJ203" i="8"/>
  <c r="AJ202" i="8"/>
  <c r="AI202" i="8"/>
  <c r="AJ201" i="8"/>
  <c r="AJ200" i="8"/>
  <c r="AJ199" i="8"/>
  <c r="AJ198" i="8"/>
  <c r="AJ197" i="8"/>
  <c r="AJ196" i="8"/>
  <c r="AJ195" i="8"/>
  <c r="AJ194" i="8"/>
  <c r="AJ193" i="8"/>
  <c r="AI193" i="8"/>
  <c r="AJ192" i="8"/>
  <c r="AJ191" i="8"/>
  <c r="AJ190" i="8"/>
  <c r="AI190" i="8"/>
  <c r="AJ189" i="8"/>
  <c r="AJ188" i="8"/>
  <c r="AJ187" i="8"/>
  <c r="AJ186" i="8"/>
  <c r="AI186" i="8"/>
  <c r="AJ185" i="8"/>
  <c r="AI185" i="8"/>
  <c r="AJ184" i="8"/>
  <c r="AJ182" i="8"/>
  <c r="AI182" i="8"/>
  <c r="AJ181" i="8"/>
  <c r="AI180" i="8"/>
  <c r="AJ179" i="8"/>
  <c r="AI179" i="8"/>
  <c r="AJ178" i="8"/>
  <c r="AJ177" i="8"/>
  <c r="AJ176" i="8"/>
  <c r="AI176" i="8"/>
  <c r="AJ175" i="8"/>
  <c r="AJ174" i="8"/>
  <c r="AJ173" i="8"/>
  <c r="AI173" i="8"/>
  <c r="AJ172" i="8"/>
  <c r="AJ171" i="8"/>
  <c r="AJ170" i="8"/>
  <c r="AI170" i="8"/>
  <c r="AJ169" i="8"/>
  <c r="AJ167" i="8"/>
  <c r="AJ165" i="8"/>
  <c r="AJ164" i="8"/>
  <c r="AI164" i="8"/>
  <c r="AJ163" i="8"/>
  <c r="AJ161" i="8"/>
  <c r="AI161" i="8"/>
  <c r="AJ160" i="8"/>
  <c r="AJ159" i="8"/>
  <c r="AJ158" i="8"/>
  <c r="AJ157" i="8"/>
  <c r="AJ156" i="8"/>
  <c r="AJ155" i="8"/>
  <c r="AI155" i="8"/>
  <c r="AJ154" i="8"/>
  <c r="AI154" i="8"/>
  <c r="AJ153" i="8"/>
  <c r="AJ152" i="8"/>
  <c r="AI152" i="8"/>
  <c r="AJ151" i="8"/>
  <c r="AJ148" i="8"/>
  <c r="AJ147" i="8"/>
  <c r="AJ146" i="8"/>
  <c r="AJ145" i="8"/>
  <c r="AI145" i="8"/>
  <c r="AJ144" i="8"/>
  <c r="AJ142" i="8"/>
  <c r="AJ141" i="8"/>
  <c r="AJ140" i="8"/>
  <c r="AI140" i="8"/>
  <c r="AJ139" i="8"/>
  <c r="AI139" i="8"/>
  <c r="AJ138" i="8"/>
  <c r="AJ136" i="8"/>
  <c r="AI136" i="8"/>
  <c r="AJ135" i="8"/>
  <c r="AJ134" i="8"/>
  <c r="AJ133" i="8"/>
  <c r="AJ132" i="8"/>
  <c r="AJ131" i="8"/>
  <c r="AJ130" i="8"/>
  <c r="AJ129" i="8"/>
  <c r="AJ128" i="8"/>
  <c r="AJ127" i="8"/>
  <c r="AJ126" i="8"/>
  <c r="AJ125" i="8"/>
  <c r="AJ124" i="8"/>
  <c r="AI124" i="8"/>
  <c r="AJ123" i="8"/>
  <c r="AJ122" i="8"/>
  <c r="AJ121" i="8"/>
  <c r="AJ120" i="8"/>
  <c r="AI120" i="8"/>
  <c r="AJ119" i="8"/>
  <c r="AJ118" i="8"/>
  <c r="AJ117" i="8"/>
  <c r="AI117" i="8"/>
  <c r="AJ116" i="8"/>
  <c r="AJ115" i="8"/>
  <c r="AI115" i="8"/>
  <c r="AJ114" i="8"/>
  <c r="AI114" i="8"/>
  <c r="AJ113" i="8"/>
  <c r="AI112" i="8"/>
  <c r="AJ111" i="8"/>
  <c r="AJ110" i="8"/>
  <c r="AJ109" i="8"/>
  <c r="AJ108" i="8"/>
  <c r="AI108" i="8"/>
  <c r="AJ107" i="8"/>
  <c r="AJ106" i="8"/>
  <c r="AJ105" i="8"/>
  <c r="AI105" i="8"/>
  <c r="AJ104" i="8"/>
  <c r="AJ103" i="8"/>
  <c r="AJ102" i="8"/>
  <c r="AI102" i="8"/>
  <c r="AJ101" i="8"/>
  <c r="AJ100" i="8"/>
  <c r="AJ99" i="8"/>
  <c r="AJ98" i="8"/>
  <c r="AJ97" i="8"/>
  <c r="AJ96" i="8"/>
  <c r="AJ95" i="8"/>
  <c r="AJ94" i="8"/>
  <c r="AJ93" i="8"/>
  <c r="AJ92" i="8"/>
  <c r="AJ91" i="8"/>
  <c r="AJ90" i="8"/>
  <c r="AJ89" i="8"/>
  <c r="AJ88" i="8"/>
  <c r="AJ87" i="8"/>
  <c r="AJ86" i="8"/>
  <c r="AI86" i="8"/>
  <c r="AJ85" i="8"/>
  <c r="AJ84" i="8"/>
  <c r="AJ82" i="8"/>
  <c r="AI82" i="8"/>
  <c r="AJ80" i="8"/>
  <c r="AJ79" i="8"/>
  <c r="AJ78" i="8"/>
  <c r="AJ77" i="8"/>
  <c r="AJ76" i="8"/>
  <c r="AJ75" i="8"/>
  <c r="AJ74" i="8"/>
  <c r="AJ73" i="8"/>
  <c r="AJ72" i="8"/>
  <c r="AI72" i="8"/>
  <c r="AJ71" i="8"/>
  <c r="AI71" i="8"/>
  <c r="AJ70" i="8"/>
  <c r="AJ69" i="8"/>
  <c r="AJ68" i="8"/>
  <c r="AJ67" i="8"/>
  <c r="AI67" i="8"/>
  <c r="AJ66" i="8"/>
  <c r="AJ65" i="8"/>
  <c r="AJ64" i="8"/>
  <c r="AJ63" i="8"/>
  <c r="AJ62" i="8"/>
  <c r="AJ61" i="8"/>
  <c r="AJ60" i="8"/>
  <c r="AJ58" i="8"/>
  <c r="AJ57" i="8"/>
  <c r="AJ55" i="8"/>
  <c r="AJ54" i="8"/>
  <c r="AJ47" i="8"/>
  <c r="AJ45" i="8"/>
  <c r="AI43" i="8"/>
  <c r="AJ39" i="8"/>
  <c r="AJ27" i="8"/>
  <c r="AJ22" i="8"/>
  <c r="D3" i="8"/>
  <c r="C3" i="8" s="1"/>
  <c r="Y10" i="9"/>
  <c r="X10" i="9"/>
  <c r="Y9" i="9"/>
  <c r="X9" i="9"/>
  <c r="T17" i="9"/>
  <c r="R17" i="9"/>
  <c r="T12" i="9"/>
  <c r="S11" i="9"/>
  <c r="U11" i="9" s="1"/>
  <c r="R11" i="9"/>
  <c r="T16" i="9" s="1"/>
  <c r="B3" i="4"/>
  <c r="AJ46" i="8" l="1"/>
  <c r="AL46" i="8"/>
  <c r="AJ17" i="8"/>
  <c r="AL17" i="8"/>
  <c r="AI14" i="8"/>
  <c r="AI32" i="8"/>
  <c r="AL19" i="8"/>
  <c r="AJ38" i="8"/>
  <c r="AC52" i="8"/>
  <c r="AJ11" i="8"/>
  <c r="AG43" i="8"/>
  <c r="AJ41" i="8"/>
  <c r="AJ37" i="8"/>
  <c r="AG20" i="8"/>
  <c r="AL20" i="8"/>
  <c r="AH9" i="8"/>
  <c r="AD3" i="8"/>
  <c r="AJ29" i="8"/>
  <c r="AF50" i="8"/>
  <c r="AF49" i="8"/>
  <c r="AF43" i="8"/>
  <c r="AC44" i="8"/>
  <c r="AI10" i="8"/>
  <c r="AL34" i="8"/>
  <c r="AC36" i="8"/>
  <c r="AJ40" i="8"/>
  <c r="AI35" i="8"/>
  <c r="AJ23" i="8"/>
  <c r="AG41" i="8"/>
  <c r="AJ33" i="8"/>
  <c r="AG25" i="8"/>
  <c r="AJ25" i="8"/>
  <c r="AF21" i="8"/>
  <c r="AJ31" i="8"/>
  <c r="AH26" i="8"/>
  <c r="AJ9" i="8"/>
  <c r="AF9" i="8"/>
  <c r="AJ18" i="8"/>
  <c r="AF10" i="8"/>
  <c r="AH34" i="8"/>
  <c r="AI4" i="8"/>
  <c r="AL7" i="8"/>
  <c r="AL39" i="8"/>
  <c r="AG38" i="8"/>
  <c r="AL40" i="8"/>
  <c r="AJ42" i="8"/>
  <c r="AF24" i="8"/>
  <c r="AF28" i="8"/>
  <c r="AF30" i="8"/>
  <c r="AJ19" i="8"/>
  <c r="AC8" i="8"/>
  <c r="AF17" i="8"/>
  <c r="AD4" i="8"/>
  <c r="AF23" i="8"/>
  <c r="AL21" i="8"/>
  <c r="AJ34" i="8"/>
  <c r="AF32" i="8"/>
  <c r="AF37" i="8"/>
  <c r="AF40" i="8"/>
  <c r="AL41" i="8"/>
  <c r="AF39" i="8"/>
  <c r="AG15" i="8"/>
  <c r="AI23" i="8"/>
  <c r="AL29" i="8"/>
  <c r="AI27" i="8"/>
  <c r="AJ16" i="8"/>
  <c r="AJ20" i="8"/>
  <c r="AJ13" i="8"/>
  <c r="AG6" i="8"/>
  <c r="AF13" i="8"/>
  <c r="AF14" i="8"/>
  <c r="AI37" i="8"/>
  <c r="AH11" i="8"/>
  <c r="AC18" i="8"/>
  <c r="AJ36" i="8"/>
  <c r="AL36" i="8"/>
  <c r="AJ35" i="8"/>
  <c r="AF41" i="8"/>
  <c r="AJ5" i="8"/>
  <c r="AL30" i="8"/>
  <c r="AJ14" i="8"/>
  <c r="AG18" i="8"/>
  <c r="AF15" i="8"/>
  <c r="AH12" i="8"/>
  <c r="AD21" i="8"/>
  <c r="AJ149" i="8"/>
  <c r="AJ51" i="8"/>
  <c r="AF51" i="8"/>
  <c r="AI51" i="8"/>
  <c r="AL839" i="8"/>
  <c r="AC889" i="8"/>
  <c r="AC149" i="8"/>
  <c r="AG951" i="8"/>
  <c r="AK951" i="8" s="1"/>
  <c r="AG954" i="8"/>
  <c r="AK954" i="8" s="1"/>
  <c r="AG959" i="8"/>
  <c r="AK959" i="8" s="1"/>
  <c r="AG660" i="8"/>
  <c r="AK660" i="8" s="1"/>
  <c r="AG661" i="8"/>
  <c r="AK661" i="8" s="1"/>
  <c r="AL822" i="8"/>
  <c r="AC645" i="8"/>
  <c r="AL816" i="8"/>
  <c r="AD901" i="8"/>
  <c r="AC857" i="8"/>
  <c r="AC858" i="8"/>
  <c r="AC859" i="8"/>
  <c r="AC860" i="8"/>
  <c r="AC861" i="8"/>
  <c r="AC862" i="8"/>
  <c r="AC863" i="8"/>
  <c r="AC864" i="8"/>
  <c r="AC865" i="8"/>
  <c r="AC876" i="8"/>
  <c r="AL651" i="8"/>
  <c r="AC653" i="8"/>
  <c r="AC834" i="8"/>
  <c r="AG983" i="8"/>
  <c r="AK983" i="8" s="1"/>
  <c r="AG984" i="8"/>
  <c r="AK984" i="8" s="1"/>
  <c r="AG989" i="8"/>
  <c r="AK989" i="8" s="1"/>
  <c r="AG990" i="8"/>
  <c r="AK990" i="8" s="1"/>
  <c r="AG991" i="8"/>
  <c r="AK991" i="8" s="1"/>
  <c r="AG992" i="8"/>
  <c r="AK992" i="8" s="1"/>
  <c r="AG993" i="8"/>
  <c r="AK993" i="8" s="1"/>
  <c r="AG994" i="8"/>
  <c r="AK994" i="8" s="1"/>
  <c r="AG995" i="8"/>
  <c r="AK995" i="8" s="1"/>
  <c r="AG996" i="8"/>
  <c r="AK996" i="8" s="1"/>
  <c r="AL630" i="8"/>
  <c r="AD634" i="8"/>
  <c r="AD651" i="8"/>
  <c r="AD767" i="8"/>
  <c r="AL828" i="8"/>
  <c r="AL939" i="8"/>
  <c r="AL781" i="8"/>
  <c r="AC845" i="8"/>
  <c r="AC924" i="8"/>
  <c r="AC936" i="8"/>
  <c r="AL650" i="8"/>
  <c r="AG824" i="8"/>
  <c r="AK824" i="8" s="1"/>
  <c r="AC903" i="8"/>
  <c r="AL624" i="8"/>
  <c r="AL639" i="8"/>
  <c r="AC918" i="8"/>
  <c r="AC930" i="8"/>
  <c r="AC963" i="8"/>
  <c r="AG968" i="8"/>
  <c r="AK968" i="8" s="1"/>
  <c r="AG972" i="8"/>
  <c r="AK972" i="8" s="1"/>
  <c r="AG973" i="8"/>
  <c r="AK973" i="8" s="1"/>
  <c r="AL633" i="8"/>
  <c r="AD637" i="8"/>
  <c r="AC639" i="8"/>
  <c r="AC663" i="8"/>
  <c r="AD622" i="8"/>
  <c r="AL627" i="8"/>
  <c r="AD648" i="8"/>
  <c r="AD631" i="8"/>
  <c r="AL636" i="8"/>
  <c r="AC641" i="8"/>
  <c r="AC642" i="8"/>
  <c r="AD625" i="8"/>
  <c r="AL757" i="8"/>
  <c r="AL782" i="8"/>
  <c r="AD796" i="8"/>
  <c r="AD802" i="8"/>
  <c r="AC823" i="8"/>
  <c r="AC894" i="8"/>
  <c r="AC906" i="8"/>
  <c r="AL972" i="8"/>
  <c r="AL978" i="8"/>
  <c r="AL979" i="8"/>
  <c r="AL980" i="8"/>
  <c r="AD987" i="8"/>
  <c r="AD997" i="8"/>
  <c r="AG998" i="8"/>
  <c r="AK998" i="8" s="1"/>
  <c r="AG999" i="8"/>
  <c r="AK999" i="8" s="1"/>
  <c r="AG1000" i="8"/>
  <c r="AK1000" i="8" s="1"/>
  <c r="AD739" i="8"/>
  <c r="AL758" i="8"/>
  <c r="AL759" i="8"/>
  <c r="AL777" i="8"/>
  <c r="AL783" i="8"/>
  <c r="AL789" i="8"/>
  <c r="AL795" i="8"/>
  <c r="AL801" i="8"/>
  <c r="AD812" i="8"/>
  <c r="AC813" i="8"/>
  <c r="AG814" i="8"/>
  <c r="AK814" i="8" s="1"/>
  <c r="AG827" i="8"/>
  <c r="AK827" i="8" s="1"/>
  <c r="AD847" i="8"/>
  <c r="AC848" i="8"/>
  <c r="AC879" i="8"/>
  <c r="AG938" i="8"/>
  <c r="AK938" i="8" s="1"/>
  <c r="AD628" i="8"/>
  <c r="AC644" i="8"/>
  <c r="AL647" i="8"/>
  <c r="AL655" i="8"/>
  <c r="AL657" i="8"/>
  <c r="AL658" i="8"/>
  <c r="AC667" i="8"/>
  <c r="AC668" i="8"/>
  <c r="AG669" i="8"/>
  <c r="AK669" i="8" s="1"/>
  <c r="AG698" i="8"/>
  <c r="AK698" i="8" s="1"/>
  <c r="AG700" i="8"/>
  <c r="AK700" i="8" s="1"/>
  <c r="AG701" i="8"/>
  <c r="AK701" i="8" s="1"/>
  <c r="AG704" i="8"/>
  <c r="AK704" i="8" s="1"/>
  <c r="AG706" i="8"/>
  <c r="AK706" i="8" s="1"/>
  <c r="AG707" i="8"/>
  <c r="AK707" i="8" s="1"/>
  <c r="AG710" i="8"/>
  <c r="AK710" i="8" s="1"/>
  <c r="AG712" i="8"/>
  <c r="AK712" i="8" s="1"/>
  <c r="AG713" i="8"/>
  <c r="AK713" i="8" s="1"/>
  <c r="AG716" i="8"/>
  <c r="AK716" i="8" s="1"/>
  <c r="AG718" i="8"/>
  <c r="AK718" i="8" s="1"/>
  <c r="AG719" i="8"/>
  <c r="AK719" i="8" s="1"/>
  <c r="AG722" i="8"/>
  <c r="AK722" i="8" s="1"/>
  <c r="AG724" i="8"/>
  <c r="AK724" i="8" s="1"/>
  <c r="AG725" i="8"/>
  <c r="AK725" i="8" s="1"/>
  <c r="AG728" i="8"/>
  <c r="AK728" i="8" s="1"/>
  <c r="AG730" i="8"/>
  <c r="AK730" i="8" s="1"/>
  <c r="AG731" i="8"/>
  <c r="AK731" i="8" s="1"/>
  <c r="AG734" i="8"/>
  <c r="AK734" i="8" s="1"/>
  <c r="AD748" i="8"/>
  <c r="AD768" i="8"/>
  <c r="AD771" i="8"/>
  <c r="AL784" i="8"/>
  <c r="AC805" i="8"/>
  <c r="AL810" i="8"/>
  <c r="AL834" i="8"/>
  <c r="AC839" i="8"/>
  <c r="AC851" i="8"/>
  <c r="AC897" i="8"/>
  <c r="AC910" i="8"/>
  <c r="AC921" i="8"/>
  <c r="AC927" i="8"/>
  <c r="AC933" i="8"/>
  <c r="AL946" i="8"/>
  <c r="AL984" i="8"/>
  <c r="AC736" i="8"/>
  <c r="AD742" i="8"/>
  <c r="AD753" i="8"/>
  <c r="AD787" i="8"/>
  <c r="AD793" i="8"/>
  <c r="AD799" i="8"/>
  <c r="AC829" i="8"/>
  <c r="AG830" i="8"/>
  <c r="AK830" i="8" s="1"/>
  <c r="AC884" i="8"/>
  <c r="AC913" i="8"/>
  <c r="AC940" i="8"/>
  <c r="AG941" i="8"/>
  <c r="AK941" i="8" s="1"/>
  <c r="AG942" i="8"/>
  <c r="AK942" i="8" s="1"/>
  <c r="AL952" i="8"/>
  <c r="AL960" i="8"/>
  <c r="AC654" i="8"/>
  <c r="AD690" i="8"/>
  <c r="AD696" i="8"/>
  <c r="AD698" i="8"/>
  <c r="AD702" i="8"/>
  <c r="AD704" i="8"/>
  <c r="AD708" i="8"/>
  <c r="AD710" i="8"/>
  <c r="AD714" i="8"/>
  <c r="AD716" i="8"/>
  <c r="AD720" i="8"/>
  <c r="AD722" i="8"/>
  <c r="AD726" i="8"/>
  <c r="AD728" i="8"/>
  <c r="AD732" i="8"/>
  <c r="AD734" i="8"/>
  <c r="AD751" i="8"/>
  <c r="AD766" i="8"/>
  <c r="AL774" i="8"/>
  <c r="AL779" i="8"/>
  <c r="AL780" i="8"/>
  <c r="AL785" i="8"/>
  <c r="AL786" i="8"/>
  <c r="AL798" i="8"/>
  <c r="AL804" i="8"/>
  <c r="AD806" i="8"/>
  <c r="AC807" i="8"/>
  <c r="AG808" i="8"/>
  <c r="AK808" i="8" s="1"/>
  <c r="AD818" i="8"/>
  <c r="AC842" i="8"/>
  <c r="AD853" i="8"/>
  <c r="AC854" i="8"/>
  <c r="AD912" i="8"/>
  <c r="AC916" i="8"/>
  <c r="AG945" i="8"/>
  <c r="AK945" i="8" s="1"/>
  <c r="AG948" i="8"/>
  <c r="AK948" i="8" s="1"/>
  <c r="AL31" i="8"/>
  <c r="AD466" i="8"/>
  <c r="AG294" i="8"/>
  <c r="AK294" i="8" s="1"/>
  <c r="AG295" i="8"/>
  <c r="AK295" i="8" s="1"/>
  <c r="AL340" i="8"/>
  <c r="AL343" i="8"/>
  <c r="AL359" i="8"/>
  <c r="AL360" i="8"/>
  <c r="AL397" i="8"/>
  <c r="AG610" i="8"/>
  <c r="AK610" i="8" s="1"/>
  <c r="AL288" i="8"/>
  <c r="AL432" i="8"/>
  <c r="AL447" i="8"/>
  <c r="AL297" i="8"/>
  <c r="AL610" i="8"/>
  <c r="AL611" i="8"/>
  <c r="AL453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303" i="8"/>
  <c r="AD345" i="8"/>
  <c r="AL366" i="8"/>
  <c r="AG375" i="8"/>
  <c r="AK375" i="8" s="1"/>
  <c r="AG376" i="8"/>
  <c r="AK376" i="8" s="1"/>
  <c r="AC622" i="8"/>
  <c r="AC625" i="8"/>
  <c r="AC628" i="8"/>
  <c r="AC631" i="8"/>
  <c r="AC634" i="8"/>
  <c r="AC637" i="8"/>
  <c r="AD640" i="8"/>
  <c r="AC648" i="8"/>
  <c r="AC652" i="8"/>
  <c r="AD328" i="8"/>
  <c r="AG332" i="8"/>
  <c r="AK332" i="8" s="1"/>
  <c r="AG364" i="8"/>
  <c r="AK364" i="8" s="1"/>
  <c r="AL391" i="8"/>
  <c r="AC425" i="8"/>
  <c r="AC594" i="8"/>
  <c r="AC623" i="8"/>
  <c r="AC626" i="8"/>
  <c r="AC629" i="8"/>
  <c r="AC632" i="8"/>
  <c r="AC635" i="8"/>
  <c r="AC638" i="8"/>
  <c r="AD645" i="8"/>
  <c r="AC649" i="8"/>
  <c r="AD460" i="8"/>
  <c r="AC489" i="8"/>
  <c r="AD515" i="8"/>
  <c r="AD517" i="8"/>
  <c r="AD520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9" i="8"/>
  <c r="AD540" i="8"/>
  <c r="AL620" i="8"/>
  <c r="AL621" i="8"/>
  <c r="AL622" i="8"/>
  <c r="AD623" i="8"/>
  <c r="AL625" i="8"/>
  <c r="AD626" i="8"/>
  <c r="AL628" i="8"/>
  <c r="AD629" i="8"/>
  <c r="AL631" i="8"/>
  <c r="AD632" i="8"/>
  <c r="AL634" i="8"/>
  <c r="AD635" i="8"/>
  <c r="AL637" i="8"/>
  <c r="AD638" i="8"/>
  <c r="AD642" i="8"/>
  <c r="AL644" i="8"/>
  <c r="AC646" i="8"/>
  <c r="AL648" i="8"/>
  <c r="AD649" i="8"/>
  <c r="AD654" i="8"/>
  <c r="AC655" i="8"/>
  <c r="AL660" i="8"/>
  <c r="AL379" i="8"/>
  <c r="AC624" i="8"/>
  <c r="AC627" i="8"/>
  <c r="AC630" i="8"/>
  <c r="AC633" i="8"/>
  <c r="AC636" i="8"/>
  <c r="AD639" i="8"/>
  <c r="AL641" i="8"/>
  <c r="AC643" i="8"/>
  <c r="AL645" i="8"/>
  <c r="AD646" i="8"/>
  <c r="AC650" i="8"/>
  <c r="AL653" i="8"/>
  <c r="AC658" i="8"/>
  <c r="AL383" i="8"/>
  <c r="AL384" i="8"/>
  <c r="AD472" i="8"/>
  <c r="AD481" i="8"/>
  <c r="AC482" i="8"/>
  <c r="AC498" i="8"/>
  <c r="AC587" i="8"/>
  <c r="AC600" i="8"/>
  <c r="AG616" i="8"/>
  <c r="AK616" i="8" s="1"/>
  <c r="AL623" i="8"/>
  <c r="AD624" i="8"/>
  <c r="AL626" i="8"/>
  <c r="AD627" i="8"/>
  <c r="AL629" i="8"/>
  <c r="AD630" i="8"/>
  <c r="AL632" i="8"/>
  <c r="AD633" i="8"/>
  <c r="AL635" i="8"/>
  <c r="AD636" i="8"/>
  <c r="AL638" i="8"/>
  <c r="AC640" i="8"/>
  <c r="AL642" i="8"/>
  <c r="AD643" i="8"/>
  <c r="AC647" i="8"/>
  <c r="AC651" i="8"/>
  <c r="AD657" i="8"/>
  <c r="AD652" i="8"/>
  <c r="AL654" i="8"/>
  <c r="AD656" i="8"/>
  <c r="AC657" i="8"/>
  <c r="AC662" i="8"/>
  <c r="AG664" i="8"/>
  <c r="AK664" i="8" s="1"/>
  <c r="AL668" i="8"/>
  <c r="AD683" i="8"/>
  <c r="AD689" i="8"/>
  <c r="AD695" i="8"/>
  <c r="AG697" i="8"/>
  <c r="AK697" i="8" s="1"/>
  <c r="AD701" i="8"/>
  <c r="AG703" i="8"/>
  <c r="AK703" i="8" s="1"/>
  <c r="AD707" i="8"/>
  <c r="AG709" i="8"/>
  <c r="AK709" i="8" s="1"/>
  <c r="AD713" i="8"/>
  <c r="AG715" i="8"/>
  <c r="AK715" i="8" s="1"/>
  <c r="AD719" i="8"/>
  <c r="AG721" i="8"/>
  <c r="AK721" i="8" s="1"/>
  <c r="AD725" i="8"/>
  <c r="AG727" i="8"/>
  <c r="AK727" i="8" s="1"/>
  <c r="AD731" i="8"/>
  <c r="AG733" i="8"/>
  <c r="AK733" i="8" s="1"/>
  <c r="AD737" i="8"/>
  <c r="AL740" i="8"/>
  <c r="AL744" i="8"/>
  <c r="AD744" i="8"/>
  <c r="AD746" i="8"/>
  <c r="AL749" i="8"/>
  <c r="AL753" i="8"/>
  <c r="AD754" i="8"/>
  <c r="AD757" i="8"/>
  <c r="AD760" i="8"/>
  <c r="AD763" i="8"/>
  <c r="AD775" i="8"/>
  <c r="AD784" i="8"/>
  <c r="AD790" i="8"/>
  <c r="AC791" i="8"/>
  <c r="AI791" i="8"/>
  <c r="AC797" i="8"/>
  <c r="AI797" i="8"/>
  <c r="AD770" i="8"/>
  <c r="AL640" i="8"/>
  <c r="AD641" i="8"/>
  <c r="AL643" i="8"/>
  <c r="AD644" i="8"/>
  <c r="AL646" i="8"/>
  <c r="AD647" i="8"/>
  <c r="AL649" i="8"/>
  <c r="AD650" i="8"/>
  <c r="AL652" i="8"/>
  <c r="AD653" i="8"/>
  <c r="AL656" i="8"/>
  <c r="AD658" i="8"/>
  <c r="AC659" i="8"/>
  <c r="AD663" i="8"/>
  <c r="AC665" i="8"/>
  <c r="AG666" i="8"/>
  <c r="AK666" i="8" s="1"/>
  <c r="AD673" i="8"/>
  <c r="AD679" i="8"/>
  <c r="AD685" i="8"/>
  <c r="AD691" i="8"/>
  <c r="AD697" i="8"/>
  <c r="AG699" i="8"/>
  <c r="AK699" i="8" s="1"/>
  <c r="AD703" i="8"/>
  <c r="AG705" i="8"/>
  <c r="AK705" i="8" s="1"/>
  <c r="AD709" i="8"/>
  <c r="AG711" i="8"/>
  <c r="AK711" i="8" s="1"/>
  <c r="AD715" i="8"/>
  <c r="AG717" i="8"/>
  <c r="AK717" i="8" s="1"/>
  <c r="AD721" i="8"/>
  <c r="AG723" i="8"/>
  <c r="AK723" i="8" s="1"/>
  <c r="AD727" i="8"/>
  <c r="AG729" i="8"/>
  <c r="AK729" i="8" s="1"/>
  <c r="AD733" i="8"/>
  <c r="AG735" i="8"/>
  <c r="AK735" i="8" s="1"/>
  <c r="AL737" i="8"/>
  <c r="AL741" i="8"/>
  <c r="AD741" i="8"/>
  <c r="AD743" i="8"/>
  <c r="AL746" i="8"/>
  <c r="AL750" i="8"/>
  <c r="AD750" i="8"/>
  <c r="AD752" i="8"/>
  <c r="AD755" i="8"/>
  <c r="AD758" i="8"/>
  <c r="AD761" i="8"/>
  <c r="AD764" i="8"/>
  <c r="AD772" i="8"/>
  <c r="AD781" i="8"/>
  <c r="AD686" i="8"/>
  <c r="AD692" i="8"/>
  <c r="AC794" i="8"/>
  <c r="AI794" i="8"/>
  <c r="AC800" i="8"/>
  <c r="AI800" i="8"/>
  <c r="AL664" i="8"/>
  <c r="AD667" i="8"/>
  <c r="AD687" i="8"/>
  <c r="AD693" i="8"/>
  <c r="AD699" i="8"/>
  <c r="AD705" i="8"/>
  <c r="AD711" i="8"/>
  <c r="AD717" i="8"/>
  <c r="AD723" i="8"/>
  <c r="AD729" i="8"/>
  <c r="AD735" i="8"/>
  <c r="AD736" i="8"/>
  <c r="AL738" i="8"/>
  <c r="AD738" i="8"/>
  <c r="AD740" i="8"/>
  <c r="AL743" i="8"/>
  <c r="AL747" i="8"/>
  <c r="AD747" i="8"/>
  <c r="AD749" i="8"/>
  <c r="AL752" i="8"/>
  <c r="AD756" i="8"/>
  <c r="AD759" i="8"/>
  <c r="AD762" i="8"/>
  <c r="AD765" i="8"/>
  <c r="AD778" i="8"/>
  <c r="AL792" i="8"/>
  <c r="AG821" i="8"/>
  <c r="AK821" i="8" s="1"/>
  <c r="AI821" i="8"/>
  <c r="AD655" i="8"/>
  <c r="AC656" i="8"/>
  <c r="AL659" i="8"/>
  <c r="AL665" i="8"/>
  <c r="AD670" i="8"/>
  <c r="AD676" i="8"/>
  <c r="AD682" i="8"/>
  <c r="AD688" i="8"/>
  <c r="AD694" i="8"/>
  <c r="AG696" i="8"/>
  <c r="AK696" i="8" s="1"/>
  <c r="AD700" i="8"/>
  <c r="AG702" i="8"/>
  <c r="AK702" i="8" s="1"/>
  <c r="AD706" i="8"/>
  <c r="AG708" i="8"/>
  <c r="AK708" i="8" s="1"/>
  <c r="AD712" i="8"/>
  <c r="AG714" i="8"/>
  <c r="AK714" i="8" s="1"/>
  <c r="AD718" i="8"/>
  <c r="AG720" i="8"/>
  <c r="AK720" i="8" s="1"/>
  <c r="AD724" i="8"/>
  <c r="AG726" i="8"/>
  <c r="AK726" i="8" s="1"/>
  <c r="AD730" i="8"/>
  <c r="AG732" i="8"/>
  <c r="AK732" i="8" s="1"/>
  <c r="AD745" i="8"/>
  <c r="AC819" i="8"/>
  <c r="AG820" i="8"/>
  <c r="AK820" i="8" s="1"/>
  <c r="AG826" i="8"/>
  <c r="AK826" i="8" s="1"/>
  <c r="AG832" i="8"/>
  <c r="AK832" i="8" s="1"/>
  <c r="AG836" i="8"/>
  <c r="AK836" i="8" s="1"/>
  <c r="AC841" i="8"/>
  <c r="AC847" i="8"/>
  <c r="AD852" i="8"/>
  <c r="AC853" i="8"/>
  <c r="AC878" i="8"/>
  <c r="AC888" i="8"/>
  <c r="AC896" i="8"/>
  <c r="AD905" i="8"/>
  <c r="AG804" i="8"/>
  <c r="AK804" i="8" s="1"/>
  <c r="AG815" i="8"/>
  <c r="AK815" i="8" s="1"/>
  <c r="AD820" i="8"/>
  <c r="AG822" i="8"/>
  <c r="AK822" i="8" s="1"/>
  <c r="AD826" i="8"/>
  <c r="AI827" i="8"/>
  <c r="AD832" i="8"/>
  <c r="AC837" i="8"/>
  <c r="AC843" i="8"/>
  <c r="AC849" i="8"/>
  <c r="AD854" i="8"/>
  <c r="AC855" i="8"/>
  <c r="AC882" i="8"/>
  <c r="AC890" i="8"/>
  <c r="AC900" i="8"/>
  <c r="AD769" i="8"/>
  <c r="AL772" i="8"/>
  <c r="AD773" i="8"/>
  <c r="AL775" i="8"/>
  <c r="AD776" i="8"/>
  <c r="AL778" i="8"/>
  <c r="AD779" i="8"/>
  <c r="AD782" i="8"/>
  <c r="AD785" i="8"/>
  <c r="AL787" i="8"/>
  <c r="AD788" i="8"/>
  <c r="AC789" i="8"/>
  <c r="AL790" i="8"/>
  <c r="AD791" i="8"/>
  <c r="AC792" i="8"/>
  <c r="AL793" i="8"/>
  <c r="AD794" i="8"/>
  <c r="AC795" i="8"/>
  <c r="AL796" i="8"/>
  <c r="AD797" i="8"/>
  <c r="AC798" i="8"/>
  <c r="AL799" i="8"/>
  <c r="AD800" i="8"/>
  <c r="AC801" i="8"/>
  <c r="AL802" i="8"/>
  <c r="AD808" i="8"/>
  <c r="AC809" i="8"/>
  <c r="AG810" i="8"/>
  <c r="AK810" i="8" s="1"/>
  <c r="AD814" i="8"/>
  <c r="AI815" i="8"/>
  <c r="AG816" i="8"/>
  <c r="AK816" i="8" s="1"/>
  <c r="AC828" i="8"/>
  <c r="AC838" i="8"/>
  <c r="AL841" i="8"/>
  <c r="AD843" i="8"/>
  <c r="AC844" i="8"/>
  <c r="AD849" i="8"/>
  <c r="AC850" i="8"/>
  <c r="AD855" i="8"/>
  <c r="AC856" i="8"/>
  <c r="AC883" i="8"/>
  <c r="AC891" i="8"/>
  <c r="AC902" i="8"/>
  <c r="AL820" i="8"/>
  <c r="AD850" i="8"/>
  <c r="AD856" i="8"/>
  <c r="AL773" i="8"/>
  <c r="AD774" i="8"/>
  <c r="AL776" i="8"/>
  <c r="AD777" i="8"/>
  <c r="AD780" i="8"/>
  <c r="AD783" i="8"/>
  <c r="AD786" i="8"/>
  <c r="AL788" i="8"/>
  <c r="AD789" i="8"/>
  <c r="AC790" i="8"/>
  <c r="AL791" i="8"/>
  <c r="AD792" i="8"/>
  <c r="AC793" i="8"/>
  <c r="AL794" i="8"/>
  <c r="AD795" i="8"/>
  <c r="AC796" i="8"/>
  <c r="AL797" i="8"/>
  <c r="AD798" i="8"/>
  <c r="AC799" i="8"/>
  <c r="AL800" i="8"/>
  <c r="AD801" i="8"/>
  <c r="AG802" i="8"/>
  <c r="AK802" i="8" s="1"/>
  <c r="AG806" i="8"/>
  <c r="AK806" i="8" s="1"/>
  <c r="AL808" i="8"/>
  <c r="AC811" i="8"/>
  <c r="AG812" i="8"/>
  <c r="AK812" i="8" s="1"/>
  <c r="AL814" i="8"/>
  <c r="AC817" i="8"/>
  <c r="AG818" i="8"/>
  <c r="AK818" i="8" s="1"/>
  <c r="AC825" i="8"/>
  <c r="AC831" i="8"/>
  <c r="AC835" i="8"/>
  <c r="AC840" i="8"/>
  <c r="AL843" i="8"/>
  <c r="AD845" i="8"/>
  <c r="AC846" i="8"/>
  <c r="AD851" i="8"/>
  <c r="AC852" i="8"/>
  <c r="AD857" i="8"/>
  <c r="AD859" i="8"/>
  <c r="AD861" i="8"/>
  <c r="AC877" i="8"/>
  <c r="AC885" i="8"/>
  <c r="AC895" i="8"/>
  <c r="AD863" i="8"/>
  <c r="AD865" i="8"/>
  <c r="AD867" i="8"/>
  <c r="AD869" i="8"/>
  <c r="AD871" i="8"/>
  <c r="AD873" i="8"/>
  <c r="AC875" i="8"/>
  <c r="AC881" i="8"/>
  <c r="AC887" i="8"/>
  <c r="AC893" i="8"/>
  <c r="AD898" i="8"/>
  <c r="AC899" i="8"/>
  <c r="AD904" i="8"/>
  <c r="AC905" i="8"/>
  <c r="AD911" i="8"/>
  <c r="AC912" i="8"/>
  <c r="AD917" i="8"/>
  <c r="AL919" i="8"/>
  <c r="AD920" i="8"/>
  <c r="AL922" i="8"/>
  <c r="AD923" i="8"/>
  <c r="AL925" i="8"/>
  <c r="AD926" i="8"/>
  <c r="AL928" i="8"/>
  <c r="AD929" i="8"/>
  <c r="AL931" i="8"/>
  <c r="AD932" i="8"/>
  <c r="AD935" i="8"/>
  <c r="AD938" i="8"/>
  <c r="AC946" i="8"/>
  <c r="AG947" i="8"/>
  <c r="AK947" i="8" s="1"/>
  <c r="AC952" i="8"/>
  <c r="AG953" i="8"/>
  <c r="AK953" i="8" s="1"/>
  <c r="AC960" i="8"/>
  <c r="AC961" i="8"/>
  <c r="AG965" i="8"/>
  <c r="AK965" i="8" s="1"/>
  <c r="AL969" i="8"/>
  <c r="AD976" i="8"/>
  <c r="AG980" i="8"/>
  <c r="AK980" i="8" s="1"/>
  <c r="AL982" i="8"/>
  <c r="AD984" i="8"/>
  <c r="AG986" i="8"/>
  <c r="AK986" i="8" s="1"/>
  <c r="AD995" i="8"/>
  <c r="AD999" i="8"/>
  <c r="AD977" i="8"/>
  <c r="AI980" i="8"/>
  <c r="AG981" i="8"/>
  <c r="AK981" i="8" s="1"/>
  <c r="AL983" i="8"/>
  <c r="AD985" i="8"/>
  <c r="AG987" i="8"/>
  <c r="AK987" i="8" s="1"/>
  <c r="AD996" i="8"/>
  <c r="AG997" i="8"/>
  <c r="AK997" i="8" s="1"/>
  <c r="AD1000" i="8"/>
  <c r="AC901" i="8"/>
  <c r="AD906" i="8"/>
  <c r="AC907" i="8"/>
  <c r="AC908" i="8"/>
  <c r="AD913" i="8"/>
  <c r="AC914" i="8"/>
  <c r="AL917" i="8"/>
  <c r="AD918" i="8"/>
  <c r="AL920" i="8"/>
  <c r="AD921" i="8"/>
  <c r="AL923" i="8"/>
  <c r="AD924" i="8"/>
  <c r="AL926" i="8"/>
  <c r="AD927" i="8"/>
  <c r="AL929" i="8"/>
  <c r="AD930" i="8"/>
  <c r="AL932" i="8"/>
  <c r="AD933" i="8"/>
  <c r="AD936" i="8"/>
  <c r="AC943" i="8"/>
  <c r="AL945" i="8"/>
  <c r="AC949" i="8"/>
  <c r="AL951" i="8"/>
  <c r="AC955" i="8"/>
  <c r="AL957" i="8"/>
  <c r="AD965" i="8"/>
  <c r="AC966" i="8"/>
  <c r="AI968" i="8"/>
  <c r="AG971" i="8"/>
  <c r="AK971" i="8" s="1"/>
  <c r="AL976" i="8"/>
  <c r="AD979" i="8"/>
  <c r="AD980" i="8"/>
  <c r="AG982" i="8"/>
  <c r="AK982" i="8" s="1"/>
  <c r="AD986" i="8"/>
  <c r="AG988" i="8"/>
  <c r="AK988" i="8" s="1"/>
  <c r="AD907" i="8"/>
  <c r="AD908" i="8"/>
  <c r="AC909" i="8"/>
  <c r="AD914" i="8"/>
  <c r="AC915" i="8"/>
  <c r="AC919" i="8"/>
  <c r="AC922" i="8"/>
  <c r="AC925" i="8"/>
  <c r="AC928" i="8"/>
  <c r="AC931" i="8"/>
  <c r="AC934" i="8"/>
  <c r="AG944" i="8"/>
  <c r="AK944" i="8" s="1"/>
  <c r="AG950" i="8"/>
  <c r="AK950" i="8" s="1"/>
  <c r="AG956" i="8"/>
  <c r="AK956" i="8" s="1"/>
  <c r="AD909" i="8"/>
  <c r="AD915" i="8"/>
  <c r="AL918" i="8"/>
  <c r="AD919" i="8"/>
  <c r="AL921" i="8"/>
  <c r="AD922" i="8"/>
  <c r="AL924" i="8"/>
  <c r="AD925" i="8"/>
  <c r="AL927" i="8"/>
  <c r="AD928" i="8"/>
  <c r="AD931" i="8"/>
  <c r="AD934" i="8"/>
  <c r="AD937" i="8"/>
  <c r="AL940" i="8"/>
  <c r="AI956" i="8"/>
  <c r="AL963" i="8"/>
  <c r="AI983" i="8"/>
  <c r="AD988" i="8"/>
  <c r="AC866" i="8"/>
  <c r="AC867" i="8"/>
  <c r="AC868" i="8"/>
  <c r="AC869" i="8"/>
  <c r="AC870" i="8"/>
  <c r="AC871" i="8"/>
  <c r="AC872" i="8"/>
  <c r="AC873" i="8"/>
  <c r="AC874" i="8"/>
  <c r="AC880" i="8"/>
  <c r="AC886" i="8"/>
  <c r="AC892" i="8"/>
  <c r="AC898" i="8"/>
  <c r="AC904" i="8"/>
  <c r="AD910" i="8"/>
  <c r="AC911" i="8"/>
  <c r="AD916" i="8"/>
  <c r="AC917" i="8"/>
  <c r="AC920" i="8"/>
  <c r="AC923" i="8"/>
  <c r="AC926" i="8"/>
  <c r="AC929" i="8"/>
  <c r="AC932" i="8"/>
  <c r="AC935" i="8"/>
  <c r="AI938" i="8"/>
  <c r="AG939" i="8"/>
  <c r="AK939" i="8" s="1"/>
  <c r="AD944" i="8"/>
  <c r="AI945" i="8"/>
  <c r="AD950" i="8"/>
  <c r="AI951" i="8"/>
  <c r="AD956" i="8"/>
  <c r="AC957" i="8"/>
  <c r="AI959" i="8"/>
  <c r="AG962" i="8"/>
  <c r="AK962" i="8" s="1"/>
  <c r="AL966" i="8"/>
  <c r="AD974" i="8"/>
  <c r="AL981" i="8"/>
  <c r="AG985" i="8"/>
  <c r="AK985" i="8" s="1"/>
  <c r="AD989" i="8"/>
  <c r="AD990" i="8"/>
  <c r="AD991" i="8"/>
  <c r="AD992" i="8"/>
  <c r="AD993" i="8"/>
  <c r="AD994" i="8"/>
  <c r="AD998" i="8"/>
  <c r="AG305" i="8"/>
  <c r="AK305" i="8" s="1"/>
  <c r="AG306" i="8"/>
  <c r="AK306" i="8" s="1"/>
  <c r="AG307" i="8"/>
  <c r="AK307" i="8" s="1"/>
  <c r="AG313" i="8"/>
  <c r="AK313" i="8" s="1"/>
  <c r="AG314" i="8"/>
  <c r="AK314" i="8" s="1"/>
  <c r="AG315" i="8"/>
  <c r="AK315" i="8" s="1"/>
  <c r="AL361" i="8"/>
  <c r="AG147" i="8"/>
  <c r="AK147" i="8" s="1"/>
  <c r="AG149" i="8"/>
  <c r="AG150" i="8"/>
  <c r="AK150" i="8" s="1"/>
  <c r="AC329" i="8"/>
  <c r="AG330" i="8"/>
  <c r="AK330" i="8" s="1"/>
  <c r="AL307" i="8"/>
  <c r="AL308" i="8"/>
  <c r="AL108" i="8"/>
  <c r="AL291" i="8"/>
  <c r="AG299" i="8"/>
  <c r="AK299" i="8" s="1"/>
  <c r="AG300" i="8"/>
  <c r="AK300" i="8" s="1"/>
  <c r="AG301" i="8"/>
  <c r="AK301" i="8" s="1"/>
  <c r="AD385" i="8"/>
  <c r="AG387" i="8"/>
  <c r="AK387" i="8" s="1"/>
  <c r="AC411" i="8"/>
  <c r="AC417" i="8"/>
  <c r="AC440" i="8"/>
  <c r="AG441" i="8"/>
  <c r="AK441" i="8" s="1"/>
  <c r="AG561" i="8"/>
  <c r="AK561" i="8" s="1"/>
  <c r="AC569" i="8"/>
  <c r="AG573" i="8"/>
  <c r="AK573" i="8" s="1"/>
  <c r="AG575" i="8"/>
  <c r="AK575" i="8" s="1"/>
  <c r="AG607" i="8"/>
  <c r="AK607" i="8" s="1"/>
  <c r="AG671" i="8"/>
  <c r="AK671" i="8" s="1"/>
  <c r="AI671" i="8"/>
  <c r="AC671" i="8"/>
  <c r="AG674" i="8"/>
  <c r="AK674" i="8" s="1"/>
  <c r="AI674" i="8"/>
  <c r="AC674" i="8"/>
  <c r="AG677" i="8"/>
  <c r="AK677" i="8" s="1"/>
  <c r="AI677" i="8"/>
  <c r="AC677" i="8"/>
  <c r="AG680" i="8"/>
  <c r="AK680" i="8" s="1"/>
  <c r="AI680" i="8"/>
  <c r="AC680" i="8"/>
  <c r="AG683" i="8"/>
  <c r="AK683" i="8" s="1"/>
  <c r="AI683" i="8"/>
  <c r="AC683" i="8"/>
  <c r="AG687" i="8"/>
  <c r="AK687" i="8" s="1"/>
  <c r="AI687" i="8"/>
  <c r="AC687" i="8"/>
  <c r="AG693" i="8"/>
  <c r="AK693" i="8" s="1"/>
  <c r="AI693" i="8"/>
  <c r="AC693" i="8"/>
  <c r="AD463" i="8"/>
  <c r="AD469" i="8"/>
  <c r="AD475" i="8"/>
  <c r="AC661" i="8"/>
  <c r="AD662" i="8"/>
  <c r="AC666" i="8"/>
  <c r="AC669" i="8"/>
  <c r="AG688" i="8"/>
  <c r="AK688" i="8" s="1"/>
  <c r="AI688" i="8"/>
  <c r="AC688" i="8"/>
  <c r="AG694" i="8"/>
  <c r="AK694" i="8" s="1"/>
  <c r="AI694" i="8"/>
  <c r="AC694" i="8"/>
  <c r="AD289" i="8"/>
  <c r="AG290" i="8"/>
  <c r="AK290" i="8" s="1"/>
  <c r="AL295" i="8"/>
  <c r="AL296" i="8"/>
  <c r="AD298" i="8"/>
  <c r="AC335" i="8"/>
  <c r="AG336" i="8"/>
  <c r="AK336" i="8" s="1"/>
  <c r="AD354" i="8"/>
  <c r="AG358" i="8"/>
  <c r="AK358" i="8" s="1"/>
  <c r="AL372" i="8"/>
  <c r="AL385" i="8"/>
  <c r="AD387" i="8"/>
  <c r="AL403" i="8"/>
  <c r="AL409" i="8"/>
  <c r="AC444" i="8"/>
  <c r="AC565" i="8"/>
  <c r="AL568" i="8"/>
  <c r="AC589" i="8"/>
  <c r="AL604" i="8"/>
  <c r="AG622" i="8"/>
  <c r="AK622" i="8" s="1"/>
  <c r="AG623" i="8"/>
  <c r="AK623" i="8" s="1"/>
  <c r="AG624" i="8"/>
  <c r="AK624" i="8" s="1"/>
  <c r="AG625" i="8"/>
  <c r="AK625" i="8" s="1"/>
  <c r="AG626" i="8"/>
  <c r="AK626" i="8" s="1"/>
  <c r="AG627" i="8"/>
  <c r="AK627" i="8" s="1"/>
  <c r="AG628" i="8"/>
  <c r="AK628" i="8" s="1"/>
  <c r="AG629" i="8"/>
  <c r="AK629" i="8" s="1"/>
  <c r="AG630" i="8"/>
  <c r="AK630" i="8" s="1"/>
  <c r="AG631" i="8"/>
  <c r="AK631" i="8" s="1"/>
  <c r="AG632" i="8"/>
  <c r="AK632" i="8" s="1"/>
  <c r="AG633" i="8"/>
  <c r="AK633" i="8" s="1"/>
  <c r="AG634" i="8"/>
  <c r="AK634" i="8" s="1"/>
  <c r="AG635" i="8"/>
  <c r="AK635" i="8" s="1"/>
  <c r="AG636" i="8"/>
  <c r="AK636" i="8" s="1"/>
  <c r="AG637" i="8"/>
  <c r="AK637" i="8" s="1"/>
  <c r="AG638" i="8"/>
  <c r="AK638" i="8" s="1"/>
  <c r="AG639" i="8"/>
  <c r="AK639" i="8" s="1"/>
  <c r="AG640" i="8"/>
  <c r="AK640" i="8" s="1"/>
  <c r="AG641" i="8"/>
  <c r="AK641" i="8" s="1"/>
  <c r="AG642" i="8"/>
  <c r="AK642" i="8" s="1"/>
  <c r="AG643" i="8"/>
  <c r="AK643" i="8" s="1"/>
  <c r="AG644" i="8"/>
  <c r="AK644" i="8" s="1"/>
  <c r="AG645" i="8"/>
  <c r="AK645" i="8" s="1"/>
  <c r="AG646" i="8"/>
  <c r="AK646" i="8" s="1"/>
  <c r="AG647" i="8"/>
  <c r="AK647" i="8" s="1"/>
  <c r="AG648" i="8"/>
  <c r="AK648" i="8" s="1"/>
  <c r="AG649" i="8"/>
  <c r="AK649" i="8" s="1"/>
  <c r="AG650" i="8"/>
  <c r="AK650" i="8" s="1"/>
  <c r="AG651" i="8"/>
  <c r="AK651" i="8" s="1"/>
  <c r="AG652" i="8"/>
  <c r="AK652" i="8" s="1"/>
  <c r="AG653" i="8"/>
  <c r="AK653" i="8" s="1"/>
  <c r="AG654" i="8"/>
  <c r="AK654" i="8" s="1"/>
  <c r="AG655" i="8"/>
  <c r="AK655" i="8" s="1"/>
  <c r="AG656" i="8"/>
  <c r="AK656" i="8" s="1"/>
  <c r="AG657" i="8"/>
  <c r="AK657" i="8" s="1"/>
  <c r="AG658" i="8"/>
  <c r="AK658" i="8" s="1"/>
  <c r="AG659" i="8"/>
  <c r="AK659" i="8" s="1"/>
  <c r="AC660" i="8"/>
  <c r="AD661" i="8"/>
  <c r="AL663" i="8"/>
  <c r="AG665" i="8"/>
  <c r="AK665" i="8" s="1"/>
  <c r="AD666" i="8"/>
  <c r="AL667" i="8"/>
  <c r="AG668" i="8"/>
  <c r="AK668" i="8" s="1"/>
  <c r="AD669" i="8"/>
  <c r="AD671" i="8"/>
  <c r="AG672" i="8"/>
  <c r="AK672" i="8" s="1"/>
  <c r="AI672" i="8"/>
  <c r="AC672" i="8"/>
  <c r="AD674" i="8"/>
  <c r="AG675" i="8"/>
  <c r="AK675" i="8" s="1"/>
  <c r="AI675" i="8"/>
  <c r="AC675" i="8"/>
  <c r="AD677" i="8"/>
  <c r="AG678" i="8"/>
  <c r="AK678" i="8" s="1"/>
  <c r="AI678" i="8"/>
  <c r="AC678" i="8"/>
  <c r="AD680" i="8"/>
  <c r="AG681" i="8"/>
  <c r="AK681" i="8" s="1"/>
  <c r="AI681" i="8"/>
  <c r="AC681" i="8"/>
  <c r="AG684" i="8"/>
  <c r="AK684" i="8" s="1"/>
  <c r="AI684" i="8"/>
  <c r="AC684" i="8"/>
  <c r="AG689" i="8"/>
  <c r="AK689" i="8" s="1"/>
  <c r="AI689" i="8"/>
  <c r="AC689" i="8"/>
  <c r="AG695" i="8"/>
  <c r="AK695" i="8" s="1"/>
  <c r="AI695" i="8"/>
  <c r="AC695" i="8"/>
  <c r="AG319" i="8"/>
  <c r="AK319" i="8" s="1"/>
  <c r="AG320" i="8"/>
  <c r="AK320" i="8" s="1"/>
  <c r="AD334" i="8"/>
  <c r="AG337" i="8"/>
  <c r="AK337" i="8" s="1"/>
  <c r="AL349" i="8"/>
  <c r="AL352" i="8"/>
  <c r="AL373" i="8"/>
  <c r="AG382" i="8"/>
  <c r="AK382" i="8" s="1"/>
  <c r="AG394" i="8"/>
  <c r="AK394" i="8" s="1"/>
  <c r="AL415" i="8"/>
  <c r="AG430" i="8"/>
  <c r="AK430" i="8" s="1"/>
  <c r="AL450" i="8"/>
  <c r="AC491" i="8"/>
  <c r="AL584" i="8"/>
  <c r="AL614" i="8"/>
  <c r="AD618" i="8"/>
  <c r="AD660" i="8"/>
  <c r="AI661" i="8"/>
  <c r="AL662" i="8"/>
  <c r="AI666" i="8"/>
  <c r="AI669" i="8"/>
  <c r="AG690" i="8"/>
  <c r="AK690" i="8" s="1"/>
  <c r="AI690" i="8"/>
  <c r="AC690" i="8"/>
  <c r="AD379" i="8"/>
  <c r="AD380" i="8"/>
  <c r="AC393" i="8"/>
  <c r="AG400" i="8"/>
  <c r="AK400" i="8" s="1"/>
  <c r="AG402" i="8"/>
  <c r="AK402" i="8" s="1"/>
  <c r="AG406" i="8"/>
  <c r="AK406" i="8" s="1"/>
  <c r="AG408" i="8"/>
  <c r="AK408" i="8" s="1"/>
  <c r="AL422" i="8"/>
  <c r="AC434" i="8"/>
  <c r="AG437" i="8"/>
  <c r="AK437" i="8" s="1"/>
  <c r="AD478" i="8"/>
  <c r="AL586" i="8"/>
  <c r="AC591" i="8"/>
  <c r="AC597" i="8"/>
  <c r="AC603" i="8"/>
  <c r="AL607" i="8"/>
  <c r="AL608" i="8"/>
  <c r="AD621" i="8"/>
  <c r="AF622" i="8"/>
  <c r="AH622" i="8"/>
  <c r="AF623" i="8"/>
  <c r="AH623" i="8"/>
  <c r="AF624" i="8"/>
  <c r="AH624" i="8"/>
  <c r="AF625" i="8"/>
  <c r="AH625" i="8"/>
  <c r="AF626" i="8"/>
  <c r="AH626" i="8"/>
  <c r="AF627" i="8"/>
  <c r="AH627" i="8"/>
  <c r="AF628" i="8"/>
  <c r="AH628" i="8"/>
  <c r="AF629" i="8"/>
  <c r="AH629" i="8"/>
  <c r="AF630" i="8"/>
  <c r="AH630" i="8"/>
  <c r="AF631" i="8"/>
  <c r="AH631" i="8"/>
  <c r="AF632" i="8"/>
  <c r="AH632" i="8"/>
  <c r="AF633" i="8"/>
  <c r="AH633" i="8"/>
  <c r="AF634" i="8"/>
  <c r="AH634" i="8"/>
  <c r="AF635" i="8"/>
  <c r="AH635" i="8"/>
  <c r="AF636" i="8"/>
  <c r="AH636" i="8"/>
  <c r="AF637" i="8"/>
  <c r="AH637" i="8"/>
  <c r="AF638" i="8"/>
  <c r="AH638" i="8"/>
  <c r="AF639" i="8"/>
  <c r="AH639" i="8"/>
  <c r="AF640" i="8"/>
  <c r="AH640" i="8"/>
  <c r="AF641" i="8"/>
  <c r="AH641" i="8"/>
  <c r="AF642" i="8"/>
  <c r="AH642" i="8"/>
  <c r="AF643" i="8"/>
  <c r="AH643" i="8"/>
  <c r="AF644" i="8"/>
  <c r="AH644" i="8"/>
  <c r="AF645" i="8"/>
  <c r="AH645" i="8"/>
  <c r="AF646" i="8"/>
  <c r="AH646" i="8"/>
  <c r="AF647" i="8"/>
  <c r="AH647" i="8"/>
  <c r="AF648" i="8"/>
  <c r="AH648" i="8"/>
  <c r="AF649" i="8"/>
  <c r="AH649" i="8"/>
  <c r="AF650" i="8"/>
  <c r="AH650" i="8"/>
  <c r="AF651" i="8"/>
  <c r="AH651" i="8"/>
  <c r="AF652" i="8"/>
  <c r="AH652" i="8"/>
  <c r="AF653" i="8"/>
  <c r="AH653" i="8"/>
  <c r="AF654" i="8"/>
  <c r="AH654" i="8"/>
  <c r="AF655" i="8"/>
  <c r="AH655" i="8"/>
  <c r="AF656" i="8"/>
  <c r="AH656" i="8"/>
  <c r="AF657" i="8"/>
  <c r="AH657" i="8"/>
  <c r="AF658" i="8"/>
  <c r="AH658" i="8"/>
  <c r="AF659" i="8"/>
  <c r="AH659" i="8"/>
  <c r="AD659" i="8"/>
  <c r="AI660" i="8"/>
  <c r="AL661" i="8"/>
  <c r="AG663" i="8"/>
  <c r="AK663" i="8" s="1"/>
  <c r="AC664" i="8"/>
  <c r="AD665" i="8"/>
  <c r="AL666" i="8"/>
  <c r="AG667" i="8"/>
  <c r="AK667" i="8" s="1"/>
  <c r="AD668" i="8"/>
  <c r="AL669" i="8"/>
  <c r="AG670" i="8"/>
  <c r="AK670" i="8" s="1"/>
  <c r="AI670" i="8"/>
  <c r="AC670" i="8"/>
  <c r="AD672" i="8"/>
  <c r="AG673" i="8"/>
  <c r="AK673" i="8" s="1"/>
  <c r="AI673" i="8"/>
  <c r="AC673" i="8"/>
  <c r="AD675" i="8"/>
  <c r="AG676" i="8"/>
  <c r="AK676" i="8" s="1"/>
  <c r="AI676" i="8"/>
  <c r="AC676" i="8"/>
  <c r="AD678" i="8"/>
  <c r="AG679" i="8"/>
  <c r="AK679" i="8" s="1"/>
  <c r="AI679" i="8"/>
  <c r="AC679" i="8"/>
  <c r="AD681" i="8"/>
  <c r="AG682" i="8"/>
  <c r="AK682" i="8" s="1"/>
  <c r="AI682" i="8"/>
  <c r="AC682" i="8"/>
  <c r="AD684" i="8"/>
  <c r="AG685" i="8"/>
  <c r="AK685" i="8" s="1"/>
  <c r="AI685" i="8"/>
  <c r="AC685" i="8"/>
  <c r="AG691" i="8"/>
  <c r="AK691" i="8" s="1"/>
  <c r="AI691" i="8"/>
  <c r="AC691" i="8"/>
  <c r="AD286" i="8"/>
  <c r="AG287" i="8"/>
  <c r="AK287" i="8" s="1"/>
  <c r="AD292" i="8"/>
  <c r="AL301" i="8"/>
  <c r="AL302" i="8"/>
  <c r="AL303" i="8"/>
  <c r="AD311" i="8"/>
  <c r="AD317" i="8"/>
  <c r="AG326" i="8"/>
  <c r="AK326" i="8" s="1"/>
  <c r="AD342" i="8"/>
  <c r="AL367" i="8"/>
  <c r="AD369" i="8"/>
  <c r="AL377" i="8"/>
  <c r="AL378" i="8"/>
  <c r="AL389" i="8"/>
  <c r="AL390" i="8"/>
  <c r="AC399" i="8"/>
  <c r="AC405" i="8"/>
  <c r="AG412" i="8"/>
  <c r="AK412" i="8" s="1"/>
  <c r="AG414" i="8"/>
  <c r="AK414" i="8" s="1"/>
  <c r="AG418" i="8"/>
  <c r="AK418" i="8" s="1"/>
  <c r="AG420" i="8"/>
  <c r="AK420" i="8" s="1"/>
  <c r="AL443" i="8"/>
  <c r="AD485" i="8"/>
  <c r="AD494" i="8"/>
  <c r="AC495" i="8"/>
  <c r="AD503" i="8"/>
  <c r="AD504" i="8"/>
  <c r="AC505" i="8"/>
  <c r="AC513" i="8"/>
  <c r="AC515" i="8"/>
  <c r="AG523" i="8"/>
  <c r="AK523" i="8" s="1"/>
  <c r="AG524" i="8"/>
  <c r="AK524" i="8" s="1"/>
  <c r="AG525" i="8"/>
  <c r="AK525" i="8" s="1"/>
  <c r="AG526" i="8"/>
  <c r="AK526" i="8" s="1"/>
  <c r="AG527" i="8"/>
  <c r="AK527" i="8" s="1"/>
  <c r="AG528" i="8"/>
  <c r="AK528" i="8" s="1"/>
  <c r="AG529" i="8"/>
  <c r="AK529" i="8" s="1"/>
  <c r="AG530" i="8"/>
  <c r="AK530" i="8" s="1"/>
  <c r="AG531" i="8"/>
  <c r="AK531" i="8" s="1"/>
  <c r="AG532" i="8"/>
  <c r="AK532" i="8" s="1"/>
  <c r="AG533" i="8"/>
  <c r="AK533" i="8" s="1"/>
  <c r="AG534" i="8"/>
  <c r="AK534" i="8" s="1"/>
  <c r="AG535" i="8"/>
  <c r="AK535" i="8" s="1"/>
  <c r="AG536" i="8"/>
  <c r="AK536" i="8" s="1"/>
  <c r="AG537" i="8"/>
  <c r="AK537" i="8" s="1"/>
  <c r="AG538" i="8"/>
  <c r="AK538" i="8" s="1"/>
  <c r="AG539" i="8"/>
  <c r="AK539" i="8" s="1"/>
  <c r="AG540" i="8"/>
  <c r="AK540" i="8" s="1"/>
  <c r="AG541" i="8"/>
  <c r="AK541" i="8" s="1"/>
  <c r="AG542" i="8"/>
  <c r="AK542" i="8" s="1"/>
  <c r="AG543" i="8"/>
  <c r="AK543" i="8" s="1"/>
  <c r="AG544" i="8"/>
  <c r="AK544" i="8" s="1"/>
  <c r="AG545" i="8"/>
  <c r="AK545" i="8" s="1"/>
  <c r="AG546" i="8"/>
  <c r="AK546" i="8" s="1"/>
  <c r="AG547" i="8"/>
  <c r="AK547" i="8" s="1"/>
  <c r="AG548" i="8"/>
  <c r="AK548" i="8" s="1"/>
  <c r="AG549" i="8"/>
  <c r="AK549" i="8" s="1"/>
  <c r="AG550" i="8"/>
  <c r="AK550" i="8" s="1"/>
  <c r="AG551" i="8"/>
  <c r="AK551" i="8" s="1"/>
  <c r="AG552" i="8"/>
  <c r="AK552" i="8" s="1"/>
  <c r="AG553" i="8"/>
  <c r="AK553" i="8" s="1"/>
  <c r="AG554" i="8"/>
  <c r="AK554" i="8" s="1"/>
  <c r="AG555" i="8"/>
  <c r="AK555" i="8" s="1"/>
  <c r="AG556" i="8"/>
  <c r="AK556" i="8" s="1"/>
  <c r="AG557" i="8"/>
  <c r="AK557" i="8" s="1"/>
  <c r="AG558" i="8"/>
  <c r="AK558" i="8" s="1"/>
  <c r="AC583" i="8"/>
  <c r="AG613" i="8"/>
  <c r="AK613" i="8" s="1"/>
  <c r="AL617" i="8"/>
  <c r="AG662" i="8"/>
  <c r="AK662" i="8" s="1"/>
  <c r="AD664" i="8"/>
  <c r="AG686" i="8"/>
  <c r="AK686" i="8" s="1"/>
  <c r="AI686" i="8"/>
  <c r="AC686" i="8"/>
  <c r="AG692" i="8"/>
  <c r="AK692" i="8" s="1"/>
  <c r="AI692" i="8"/>
  <c r="AC692" i="8"/>
  <c r="AG736" i="8"/>
  <c r="AK736" i="8" s="1"/>
  <c r="AF755" i="8"/>
  <c r="AH755" i="8"/>
  <c r="AF757" i="8"/>
  <c r="AH757" i="8"/>
  <c r="AF759" i="8"/>
  <c r="AH759" i="8"/>
  <c r="AF761" i="8"/>
  <c r="AH761" i="8"/>
  <c r="AF763" i="8"/>
  <c r="AH763" i="8"/>
  <c r="AF765" i="8"/>
  <c r="AH765" i="8"/>
  <c r="AF767" i="8"/>
  <c r="AH767" i="8"/>
  <c r="AF770" i="8"/>
  <c r="AH770" i="8"/>
  <c r="AF737" i="8"/>
  <c r="AH737" i="8"/>
  <c r="AG739" i="8"/>
  <c r="AK739" i="8" s="1"/>
  <c r="AC739" i="8"/>
  <c r="AF740" i="8"/>
  <c r="AH740" i="8"/>
  <c r="AG742" i="8"/>
  <c r="AK742" i="8" s="1"/>
  <c r="AC742" i="8"/>
  <c r="AF743" i="8"/>
  <c r="AH743" i="8"/>
  <c r="AG745" i="8"/>
  <c r="AK745" i="8" s="1"/>
  <c r="AC745" i="8"/>
  <c r="AF746" i="8"/>
  <c r="AH746" i="8"/>
  <c r="AG748" i="8"/>
  <c r="AK748" i="8" s="1"/>
  <c r="AC748" i="8"/>
  <c r="AF749" i="8"/>
  <c r="AH749" i="8"/>
  <c r="AG751" i="8"/>
  <c r="AK751" i="8" s="1"/>
  <c r="AC751" i="8"/>
  <c r="AF752" i="8"/>
  <c r="AH752" i="8"/>
  <c r="AG754" i="8"/>
  <c r="AK754" i="8" s="1"/>
  <c r="AI754" i="8"/>
  <c r="AC754" i="8"/>
  <c r="AF773" i="8"/>
  <c r="AH773" i="8"/>
  <c r="AF775" i="8"/>
  <c r="AH775" i="8"/>
  <c r="AF777" i="8"/>
  <c r="AH777" i="8"/>
  <c r="AF779" i="8"/>
  <c r="AH779" i="8"/>
  <c r="AF781" i="8"/>
  <c r="AH781" i="8"/>
  <c r="AF783" i="8"/>
  <c r="AH783" i="8"/>
  <c r="AF785" i="8"/>
  <c r="AH785" i="8"/>
  <c r="AF787" i="8"/>
  <c r="AH787" i="8"/>
  <c r="AC696" i="8"/>
  <c r="AC697" i="8"/>
  <c r="AC698" i="8"/>
  <c r="AC699" i="8"/>
  <c r="AC700" i="8"/>
  <c r="AC701" i="8"/>
  <c r="AC702" i="8"/>
  <c r="AC703" i="8"/>
  <c r="AC704" i="8"/>
  <c r="AC705" i="8"/>
  <c r="AC706" i="8"/>
  <c r="AC707" i="8"/>
  <c r="AC708" i="8"/>
  <c r="AC709" i="8"/>
  <c r="AC710" i="8"/>
  <c r="AC711" i="8"/>
  <c r="AC712" i="8"/>
  <c r="AC713" i="8"/>
  <c r="AC714" i="8"/>
  <c r="AC715" i="8"/>
  <c r="AC716" i="8"/>
  <c r="AC717" i="8"/>
  <c r="AC718" i="8"/>
  <c r="AC719" i="8"/>
  <c r="AC720" i="8"/>
  <c r="AC721" i="8"/>
  <c r="AC722" i="8"/>
  <c r="AC723" i="8"/>
  <c r="AC724" i="8"/>
  <c r="AC725" i="8"/>
  <c r="AC726" i="8"/>
  <c r="AC727" i="8"/>
  <c r="AC728" i="8"/>
  <c r="AC729" i="8"/>
  <c r="AC730" i="8"/>
  <c r="AC731" i="8"/>
  <c r="AC732" i="8"/>
  <c r="AC733" i="8"/>
  <c r="AC734" i="8"/>
  <c r="AC735" i="8"/>
  <c r="AF736" i="8"/>
  <c r="AH736" i="8"/>
  <c r="AF768" i="8"/>
  <c r="AH768" i="8"/>
  <c r="AF771" i="8"/>
  <c r="AH771" i="8"/>
  <c r="AC772" i="8"/>
  <c r="AC774" i="8"/>
  <c r="AC776" i="8"/>
  <c r="AC778" i="8"/>
  <c r="AC780" i="8"/>
  <c r="AC782" i="8"/>
  <c r="AC784" i="8"/>
  <c r="AC786" i="8"/>
  <c r="AC788" i="8"/>
  <c r="AF660" i="8"/>
  <c r="AH660" i="8"/>
  <c r="AF661" i="8"/>
  <c r="AH661" i="8"/>
  <c r="AF662" i="8"/>
  <c r="AH662" i="8"/>
  <c r="AF663" i="8"/>
  <c r="AH663" i="8"/>
  <c r="AF664" i="8"/>
  <c r="AH664" i="8"/>
  <c r="AF665" i="8"/>
  <c r="AH665" i="8"/>
  <c r="AF666" i="8"/>
  <c r="AH666" i="8"/>
  <c r="AF667" i="8"/>
  <c r="AH667" i="8"/>
  <c r="AF668" i="8"/>
  <c r="AH668" i="8"/>
  <c r="AF669" i="8"/>
  <c r="AH669" i="8"/>
  <c r="AF670" i="8"/>
  <c r="AH670" i="8"/>
  <c r="AF671" i="8"/>
  <c r="AH671" i="8"/>
  <c r="AF672" i="8"/>
  <c r="AH672" i="8"/>
  <c r="AF673" i="8"/>
  <c r="AH673" i="8"/>
  <c r="AF674" i="8"/>
  <c r="AH674" i="8"/>
  <c r="AF675" i="8"/>
  <c r="AH675" i="8"/>
  <c r="AF676" i="8"/>
  <c r="AH676" i="8"/>
  <c r="AF677" i="8"/>
  <c r="AH677" i="8"/>
  <c r="AF678" i="8"/>
  <c r="AH678" i="8"/>
  <c r="AF679" i="8"/>
  <c r="AH679" i="8"/>
  <c r="AF680" i="8"/>
  <c r="AH680" i="8"/>
  <c r="AF681" i="8"/>
  <c r="AH681" i="8"/>
  <c r="AF682" i="8"/>
  <c r="AH682" i="8"/>
  <c r="AF683" i="8"/>
  <c r="AH683" i="8"/>
  <c r="AF684" i="8"/>
  <c r="AH684" i="8"/>
  <c r="AF685" i="8"/>
  <c r="AH685" i="8"/>
  <c r="AF686" i="8"/>
  <c r="AH686" i="8"/>
  <c r="AF687" i="8"/>
  <c r="AH687" i="8"/>
  <c r="AF688" i="8"/>
  <c r="AH688" i="8"/>
  <c r="AF689" i="8"/>
  <c r="AH689" i="8"/>
  <c r="AF690" i="8"/>
  <c r="AH690" i="8"/>
  <c r="AF691" i="8"/>
  <c r="AH691" i="8"/>
  <c r="AF692" i="8"/>
  <c r="AH692" i="8"/>
  <c r="AF693" i="8"/>
  <c r="AH693" i="8"/>
  <c r="AF694" i="8"/>
  <c r="AH694" i="8"/>
  <c r="AF695" i="8"/>
  <c r="AH695" i="8"/>
  <c r="AF696" i="8"/>
  <c r="AH696" i="8"/>
  <c r="AF697" i="8"/>
  <c r="AH697" i="8"/>
  <c r="AF698" i="8"/>
  <c r="AH698" i="8"/>
  <c r="AF699" i="8"/>
  <c r="AH699" i="8"/>
  <c r="AF700" i="8"/>
  <c r="AH700" i="8"/>
  <c r="AF701" i="8"/>
  <c r="AH701" i="8"/>
  <c r="AF702" i="8"/>
  <c r="AH702" i="8"/>
  <c r="AF703" i="8"/>
  <c r="AH703" i="8"/>
  <c r="AF704" i="8"/>
  <c r="AH704" i="8"/>
  <c r="AF705" i="8"/>
  <c r="AH705" i="8"/>
  <c r="AF706" i="8"/>
  <c r="AH706" i="8"/>
  <c r="AF707" i="8"/>
  <c r="AH707" i="8"/>
  <c r="AF708" i="8"/>
  <c r="AH708" i="8"/>
  <c r="AF709" i="8"/>
  <c r="AH709" i="8"/>
  <c r="AF710" i="8"/>
  <c r="AH710" i="8"/>
  <c r="AF711" i="8"/>
  <c r="AH711" i="8"/>
  <c r="AF712" i="8"/>
  <c r="AH712" i="8"/>
  <c r="AF713" i="8"/>
  <c r="AH713" i="8"/>
  <c r="AF714" i="8"/>
  <c r="AH714" i="8"/>
  <c r="AF715" i="8"/>
  <c r="AH715" i="8"/>
  <c r="AF716" i="8"/>
  <c r="AH716" i="8"/>
  <c r="AF717" i="8"/>
  <c r="AH717" i="8"/>
  <c r="AF718" i="8"/>
  <c r="AH718" i="8"/>
  <c r="AF719" i="8"/>
  <c r="AH719" i="8"/>
  <c r="AF720" i="8"/>
  <c r="AH720" i="8"/>
  <c r="AF721" i="8"/>
  <c r="AH721" i="8"/>
  <c r="AF722" i="8"/>
  <c r="AH722" i="8"/>
  <c r="AF723" i="8"/>
  <c r="AH723" i="8"/>
  <c r="AF724" i="8"/>
  <c r="AH724" i="8"/>
  <c r="AF725" i="8"/>
  <c r="AH725" i="8"/>
  <c r="AF726" i="8"/>
  <c r="AH726" i="8"/>
  <c r="AF727" i="8"/>
  <c r="AH727" i="8"/>
  <c r="AF728" i="8"/>
  <c r="AH728" i="8"/>
  <c r="AF729" i="8"/>
  <c r="AH729" i="8"/>
  <c r="AF730" i="8"/>
  <c r="AH730" i="8"/>
  <c r="AF731" i="8"/>
  <c r="AH731" i="8"/>
  <c r="AF732" i="8"/>
  <c r="AH732" i="8"/>
  <c r="AF733" i="8"/>
  <c r="AH733" i="8"/>
  <c r="AF734" i="8"/>
  <c r="AH734" i="8"/>
  <c r="AF735" i="8"/>
  <c r="AH735" i="8"/>
  <c r="AG738" i="8"/>
  <c r="AK738" i="8" s="1"/>
  <c r="AC738" i="8"/>
  <c r="AF739" i="8"/>
  <c r="AH739" i="8"/>
  <c r="AI739" i="8"/>
  <c r="AG741" i="8"/>
  <c r="AK741" i="8" s="1"/>
  <c r="AC741" i="8"/>
  <c r="AF742" i="8"/>
  <c r="AH742" i="8"/>
  <c r="AI742" i="8"/>
  <c r="AG744" i="8"/>
  <c r="AK744" i="8" s="1"/>
  <c r="AC744" i="8"/>
  <c r="AF745" i="8"/>
  <c r="AH745" i="8"/>
  <c r="AI745" i="8"/>
  <c r="AG747" i="8"/>
  <c r="AK747" i="8" s="1"/>
  <c r="AC747" i="8"/>
  <c r="AF748" i="8"/>
  <c r="AH748" i="8"/>
  <c r="AI748" i="8"/>
  <c r="AG750" i="8"/>
  <c r="AK750" i="8" s="1"/>
  <c r="AC750" i="8"/>
  <c r="AF751" i="8"/>
  <c r="AH751" i="8"/>
  <c r="AI751" i="8"/>
  <c r="AG753" i="8"/>
  <c r="AK753" i="8" s="1"/>
  <c r="AC753" i="8"/>
  <c r="AF754" i="8"/>
  <c r="AH754" i="8"/>
  <c r="AF756" i="8"/>
  <c r="AH756" i="8"/>
  <c r="AF758" i="8"/>
  <c r="AH758" i="8"/>
  <c r="AF760" i="8"/>
  <c r="AH760" i="8"/>
  <c r="AF762" i="8"/>
  <c r="AH762" i="8"/>
  <c r="AF764" i="8"/>
  <c r="AH764" i="8"/>
  <c r="AF766" i="8"/>
  <c r="AH766" i="8"/>
  <c r="AI735" i="8"/>
  <c r="AL736" i="8"/>
  <c r="AG755" i="8"/>
  <c r="AK755" i="8" s="1"/>
  <c r="AI755" i="8"/>
  <c r="AC755" i="8"/>
  <c r="AF769" i="8"/>
  <c r="AH769" i="8"/>
  <c r="AF772" i="8"/>
  <c r="AH772" i="8"/>
  <c r="AF774" i="8"/>
  <c r="AH774" i="8"/>
  <c r="AF776" i="8"/>
  <c r="AH776" i="8"/>
  <c r="AF778" i="8"/>
  <c r="AH778" i="8"/>
  <c r="AF780" i="8"/>
  <c r="AH780" i="8"/>
  <c r="AF782" i="8"/>
  <c r="AH782" i="8"/>
  <c r="AF784" i="8"/>
  <c r="AH784" i="8"/>
  <c r="AF786" i="8"/>
  <c r="AH786" i="8"/>
  <c r="AF788" i="8"/>
  <c r="AH788" i="8"/>
  <c r="AL670" i="8"/>
  <c r="AL671" i="8"/>
  <c r="AL672" i="8"/>
  <c r="AL673" i="8"/>
  <c r="AL674" i="8"/>
  <c r="AL675" i="8"/>
  <c r="AL676" i="8"/>
  <c r="AL677" i="8"/>
  <c r="AL678" i="8"/>
  <c r="AL679" i="8"/>
  <c r="AL680" i="8"/>
  <c r="AL681" i="8"/>
  <c r="AL682" i="8"/>
  <c r="AL683" i="8"/>
  <c r="AL684" i="8"/>
  <c r="AL685" i="8"/>
  <c r="AL686" i="8"/>
  <c r="AL687" i="8"/>
  <c r="AL688" i="8"/>
  <c r="AL689" i="8"/>
  <c r="AL690" i="8"/>
  <c r="AL691" i="8"/>
  <c r="AL692" i="8"/>
  <c r="AL693" i="8"/>
  <c r="AL694" i="8"/>
  <c r="AL695" i="8"/>
  <c r="AL696" i="8"/>
  <c r="AI696" i="8"/>
  <c r="AL697" i="8"/>
  <c r="AI697" i="8"/>
  <c r="AL698" i="8"/>
  <c r="AI698" i="8"/>
  <c r="AL699" i="8"/>
  <c r="AI699" i="8"/>
  <c r="AL700" i="8"/>
  <c r="AI700" i="8"/>
  <c r="AL701" i="8"/>
  <c r="AI701" i="8"/>
  <c r="AL702" i="8"/>
  <c r="AI702" i="8"/>
  <c r="AL703" i="8"/>
  <c r="AI703" i="8"/>
  <c r="AL704" i="8"/>
  <c r="AI704" i="8"/>
  <c r="AL705" i="8"/>
  <c r="AI705" i="8"/>
  <c r="AL706" i="8"/>
  <c r="AI706" i="8"/>
  <c r="AL707" i="8"/>
  <c r="AI707" i="8"/>
  <c r="AL708" i="8"/>
  <c r="AI708" i="8"/>
  <c r="AL709" i="8"/>
  <c r="AI709" i="8"/>
  <c r="AL710" i="8"/>
  <c r="AI710" i="8"/>
  <c r="AL711" i="8"/>
  <c r="AI711" i="8"/>
  <c r="AL712" i="8"/>
  <c r="AI712" i="8"/>
  <c r="AL713" i="8"/>
  <c r="AI713" i="8"/>
  <c r="AL714" i="8"/>
  <c r="AI714" i="8"/>
  <c r="AL715" i="8"/>
  <c r="AI715" i="8"/>
  <c r="AL716" i="8"/>
  <c r="AI716" i="8"/>
  <c r="AL717" i="8"/>
  <c r="AI717" i="8"/>
  <c r="AL718" i="8"/>
  <c r="AI718" i="8"/>
  <c r="AL719" i="8"/>
  <c r="AI719" i="8"/>
  <c r="AL720" i="8"/>
  <c r="AI720" i="8"/>
  <c r="AL721" i="8"/>
  <c r="AI721" i="8"/>
  <c r="AL722" i="8"/>
  <c r="AI722" i="8"/>
  <c r="AL723" i="8"/>
  <c r="AI723" i="8"/>
  <c r="AL724" i="8"/>
  <c r="AI724" i="8"/>
  <c r="AL725" i="8"/>
  <c r="AI725" i="8"/>
  <c r="AL726" i="8"/>
  <c r="AI726" i="8"/>
  <c r="AL727" i="8"/>
  <c r="AI727" i="8"/>
  <c r="AL728" i="8"/>
  <c r="AI728" i="8"/>
  <c r="AL729" i="8"/>
  <c r="AI729" i="8"/>
  <c r="AL730" i="8"/>
  <c r="AI730" i="8"/>
  <c r="AL731" i="8"/>
  <c r="AI731" i="8"/>
  <c r="AL732" i="8"/>
  <c r="AI732" i="8"/>
  <c r="AL733" i="8"/>
  <c r="AI733" i="8"/>
  <c r="AL734" i="8"/>
  <c r="AI734" i="8"/>
  <c r="AL735" i="8"/>
  <c r="AG737" i="8"/>
  <c r="AK737" i="8" s="1"/>
  <c r="AC737" i="8"/>
  <c r="AF738" i="8"/>
  <c r="AH738" i="8"/>
  <c r="AI738" i="8"/>
  <c r="AL739" i="8"/>
  <c r="AG740" i="8"/>
  <c r="AK740" i="8" s="1"/>
  <c r="AC740" i="8"/>
  <c r="AF741" i="8"/>
  <c r="AH741" i="8"/>
  <c r="AI741" i="8"/>
  <c r="AL742" i="8"/>
  <c r="AG743" i="8"/>
  <c r="AK743" i="8" s="1"/>
  <c r="AC743" i="8"/>
  <c r="AF744" i="8"/>
  <c r="AH744" i="8"/>
  <c r="AI744" i="8"/>
  <c r="AL745" i="8"/>
  <c r="AG746" i="8"/>
  <c r="AK746" i="8" s="1"/>
  <c r="AC746" i="8"/>
  <c r="AF747" i="8"/>
  <c r="AH747" i="8"/>
  <c r="AI747" i="8"/>
  <c r="AL748" i="8"/>
  <c r="AG749" i="8"/>
  <c r="AK749" i="8" s="1"/>
  <c r="AC749" i="8"/>
  <c r="AF750" i="8"/>
  <c r="AH750" i="8"/>
  <c r="AI750" i="8"/>
  <c r="AL751" i="8"/>
  <c r="AG752" i="8"/>
  <c r="AK752" i="8" s="1"/>
  <c r="AC752" i="8"/>
  <c r="AF753" i="8"/>
  <c r="AH753" i="8"/>
  <c r="AI753" i="8"/>
  <c r="AL754" i="8"/>
  <c r="AC773" i="8"/>
  <c r="AC775" i="8"/>
  <c r="AC777" i="8"/>
  <c r="AC779" i="8"/>
  <c r="AC781" i="8"/>
  <c r="AC783" i="8"/>
  <c r="AC785" i="8"/>
  <c r="AC787" i="8"/>
  <c r="AC756" i="8"/>
  <c r="AC757" i="8"/>
  <c r="AC758" i="8"/>
  <c r="AC759" i="8"/>
  <c r="AC760" i="8"/>
  <c r="AC761" i="8"/>
  <c r="AC762" i="8"/>
  <c r="AC763" i="8"/>
  <c r="AC764" i="8"/>
  <c r="AC765" i="8"/>
  <c r="AC766" i="8"/>
  <c r="AC767" i="8"/>
  <c r="AC768" i="8"/>
  <c r="AC769" i="8"/>
  <c r="AC770" i="8"/>
  <c r="AC771" i="8"/>
  <c r="AC802" i="8"/>
  <c r="AD803" i="8"/>
  <c r="AI804" i="8"/>
  <c r="AL805" i="8"/>
  <c r="AG807" i="8"/>
  <c r="AK807" i="8" s="1"/>
  <c r="AC808" i="8"/>
  <c r="AD809" i="8"/>
  <c r="AI810" i="8"/>
  <c r="AL811" i="8"/>
  <c r="AG813" i="8"/>
  <c r="AK813" i="8" s="1"/>
  <c r="AC814" i="8"/>
  <c r="AD815" i="8"/>
  <c r="AI816" i="8"/>
  <c r="AL817" i="8"/>
  <c r="AG819" i="8"/>
  <c r="AK819" i="8" s="1"/>
  <c r="AC820" i="8"/>
  <c r="AD821" i="8"/>
  <c r="AI822" i="8"/>
  <c r="AL823" i="8"/>
  <c r="AG825" i="8"/>
  <c r="AK825" i="8" s="1"/>
  <c r="AC826" i="8"/>
  <c r="AD827" i="8"/>
  <c r="AL829" i="8"/>
  <c r="AG831" i="8"/>
  <c r="AK831" i="8" s="1"/>
  <c r="AC832" i="8"/>
  <c r="AD833" i="8"/>
  <c r="AL835" i="8"/>
  <c r="AG837" i="8"/>
  <c r="AK837" i="8" s="1"/>
  <c r="AD838" i="8"/>
  <c r="AD840" i="8"/>
  <c r="AD842" i="8"/>
  <c r="AD844" i="8"/>
  <c r="AD846" i="8"/>
  <c r="AD848" i="8"/>
  <c r="AD862" i="8"/>
  <c r="AD868" i="8"/>
  <c r="AD874" i="8"/>
  <c r="AD877" i="8"/>
  <c r="AD880" i="8"/>
  <c r="AD883" i="8"/>
  <c r="AD886" i="8"/>
  <c r="AD889" i="8"/>
  <c r="AD892" i="8"/>
  <c r="AD895" i="8"/>
  <c r="AF789" i="8"/>
  <c r="AH789" i="8"/>
  <c r="AF790" i="8"/>
  <c r="AH790" i="8"/>
  <c r="AF791" i="8"/>
  <c r="AH791" i="8"/>
  <c r="AF792" i="8"/>
  <c r="AH792" i="8"/>
  <c r="AH793" i="8"/>
  <c r="AF793" i="8"/>
  <c r="AF794" i="8"/>
  <c r="AH794" i="8"/>
  <c r="AH795" i="8"/>
  <c r="AF795" i="8"/>
  <c r="AF796" i="8"/>
  <c r="AH796" i="8"/>
  <c r="AH797" i="8"/>
  <c r="AF797" i="8"/>
  <c r="AF798" i="8"/>
  <c r="AH798" i="8"/>
  <c r="AH799" i="8"/>
  <c r="AF799" i="8"/>
  <c r="AF800" i="8"/>
  <c r="AH800" i="8"/>
  <c r="AH801" i="8"/>
  <c r="AF801" i="8"/>
  <c r="AF802" i="8"/>
  <c r="AH802" i="8"/>
  <c r="AI802" i="8"/>
  <c r="AL803" i="8"/>
  <c r="AG805" i="8"/>
  <c r="AK805" i="8" s="1"/>
  <c r="AC806" i="8"/>
  <c r="AD807" i="8"/>
  <c r="AI808" i="8"/>
  <c r="AL809" i="8"/>
  <c r="AG811" i="8"/>
  <c r="AK811" i="8" s="1"/>
  <c r="AC812" i="8"/>
  <c r="AD813" i="8"/>
  <c r="AI814" i="8"/>
  <c r="AL815" i="8"/>
  <c r="AG817" i="8"/>
  <c r="AK817" i="8" s="1"/>
  <c r="AC818" i="8"/>
  <c r="AD819" i="8"/>
  <c r="AI820" i="8"/>
  <c r="AL821" i="8"/>
  <c r="AG823" i="8"/>
  <c r="AK823" i="8" s="1"/>
  <c r="AC824" i="8"/>
  <c r="AD825" i="8"/>
  <c r="AI826" i="8"/>
  <c r="AL827" i="8"/>
  <c r="AG829" i="8"/>
  <c r="AK829" i="8" s="1"/>
  <c r="AC830" i="8"/>
  <c r="AD831" i="8"/>
  <c r="AI832" i="8"/>
  <c r="AL833" i="8"/>
  <c r="AG835" i="8"/>
  <c r="AK835" i="8" s="1"/>
  <c r="AC836" i="8"/>
  <c r="AD837" i="8"/>
  <c r="AL838" i="8"/>
  <c r="AL840" i="8"/>
  <c r="AL842" i="8"/>
  <c r="AL844" i="8"/>
  <c r="AD858" i="8"/>
  <c r="AD864" i="8"/>
  <c r="AD870" i="8"/>
  <c r="AD875" i="8"/>
  <c r="AD878" i="8"/>
  <c r="AD881" i="8"/>
  <c r="AD884" i="8"/>
  <c r="AD887" i="8"/>
  <c r="AD890" i="8"/>
  <c r="AD893" i="8"/>
  <c r="AD896" i="8"/>
  <c r="AD899" i="8"/>
  <c r="AD902" i="8"/>
  <c r="AL755" i="8"/>
  <c r="AL756" i="8"/>
  <c r="AL760" i="8"/>
  <c r="AL761" i="8"/>
  <c r="AL762" i="8"/>
  <c r="AL763" i="8"/>
  <c r="AL764" i="8"/>
  <c r="AL765" i="8"/>
  <c r="AL766" i="8"/>
  <c r="AL767" i="8"/>
  <c r="AL768" i="8"/>
  <c r="AL769" i="8"/>
  <c r="AL770" i="8"/>
  <c r="AL771" i="8"/>
  <c r="AD824" i="8"/>
  <c r="AL826" i="8"/>
  <c r="AG828" i="8"/>
  <c r="AK828" i="8" s="1"/>
  <c r="AD830" i="8"/>
  <c r="AL832" i="8"/>
  <c r="AG834" i="8"/>
  <c r="AK834" i="8" s="1"/>
  <c r="AD836" i="8"/>
  <c r="AD839" i="8"/>
  <c r="AD841" i="8"/>
  <c r="AG803" i="8"/>
  <c r="AK803" i="8" s="1"/>
  <c r="AC804" i="8"/>
  <c r="AD805" i="8"/>
  <c r="AI806" i="8"/>
  <c r="AL807" i="8"/>
  <c r="AG809" i="8"/>
  <c r="AK809" i="8" s="1"/>
  <c r="AC810" i="8"/>
  <c r="AD811" i="8"/>
  <c r="AI812" i="8"/>
  <c r="AL813" i="8"/>
  <c r="AC816" i="8"/>
  <c r="AD817" i="8"/>
  <c r="AI818" i="8"/>
  <c r="AL819" i="8"/>
  <c r="AC822" i="8"/>
  <c r="AD823" i="8"/>
  <c r="AI824" i="8"/>
  <c r="AL825" i="8"/>
  <c r="AD829" i="8"/>
  <c r="AI830" i="8"/>
  <c r="AL831" i="8"/>
  <c r="AG833" i="8"/>
  <c r="AK833" i="8" s="1"/>
  <c r="AD835" i="8"/>
  <c r="AI836" i="8"/>
  <c r="AL837" i="8"/>
  <c r="AG838" i="8"/>
  <c r="AK838" i="8" s="1"/>
  <c r="AD860" i="8"/>
  <c r="AD866" i="8"/>
  <c r="AD872" i="8"/>
  <c r="AD876" i="8"/>
  <c r="AD879" i="8"/>
  <c r="AD882" i="8"/>
  <c r="AD885" i="8"/>
  <c r="AD888" i="8"/>
  <c r="AD891" i="8"/>
  <c r="AD894" i="8"/>
  <c r="AD897" i="8"/>
  <c r="AD900" i="8"/>
  <c r="AD903" i="8"/>
  <c r="AG756" i="8"/>
  <c r="AK756" i="8" s="1"/>
  <c r="AG757" i="8"/>
  <c r="AK757" i="8" s="1"/>
  <c r="AG758" i="8"/>
  <c r="AK758" i="8" s="1"/>
  <c r="AG759" i="8"/>
  <c r="AK759" i="8" s="1"/>
  <c r="AG760" i="8"/>
  <c r="AK760" i="8" s="1"/>
  <c r="AG761" i="8"/>
  <c r="AK761" i="8" s="1"/>
  <c r="AG762" i="8"/>
  <c r="AK762" i="8" s="1"/>
  <c r="AG763" i="8"/>
  <c r="AK763" i="8" s="1"/>
  <c r="AG764" i="8"/>
  <c r="AK764" i="8" s="1"/>
  <c r="AG765" i="8"/>
  <c r="AK765" i="8" s="1"/>
  <c r="AG766" i="8"/>
  <c r="AK766" i="8" s="1"/>
  <c r="AG767" i="8"/>
  <c r="AK767" i="8" s="1"/>
  <c r="AG768" i="8"/>
  <c r="AK768" i="8" s="1"/>
  <c r="AG769" i="8"/>
  <c r="AK769" i="8" s="1"/>
  <c r="AG770" i="8"/>
  <c r="AK770" i="8" s="1"/>
  <c r="AG771" i="8"/>
  <c r="AK771" i="8" s="1"/>
  <c r="AG772" i="8"/>
  <c r="AK772" i="8" s="1"/>
  <c r="AG773" i="8"/>
  <c r="AK773" i="8" s="1"/>
  <c r="AG774" i="8"/>
  <c r="AK774" i="8" s="1"/>
  <c r="AG775" i="8"/>
  <c r="AK775" i="8" s="1"/>
  <c r="AG776" i="8"/>
  <c r="AK776" i="8" s="1"/>
  <c r="AG777" i="8"/>
  <c r="AK777" i="8" s="1"/>
  <c r="AG778" i="8"/>
  <c r="AK778" i="8" s="1"/>
  <c r="AG779" i="8"/>
  <c r="AK779" i="8" s="1"/>
  <c r="AG780" i="8"/>
  <c r="AK780" i="8" s="1"/>
  <c r="AG781" i="8"/>
  <c r="AK781" i="8" s="1"/>
  <c r="AG782" i="8"/>
  <c r="AK782" i="8" s="1"/>
  <c r="AG783" i="8"/>
  <c r="AK783" i="8" s="1"/>
  <c r="AG784" i="8"/>
  <c r="AK784" i="8" s="1"/>
  <c r="AG785" i="8"/>
  <c r="AK785" i="8" s="1"/>
  <c r="AG786" i="8"/>
  <c r="AK786" i="8" s="1"/>
  <c r="AG787" i="8"/>
  <c r="AK787" i="8" s="1"/>
  <c r="AG788" i="8"/>
  <c r="AK788" i="8" s="1"/>
  <c r="AG789" i="8"/>
  <c r="AK789" i="8" s="1"/>
  <c r="AG790" i="8"/>
  <c r="AK790" i="8" s="1"/>
  <c r="AG791" i="8"/>
  <c r="AK791" i="8" s="1"/>
  <c r="AG792" i="8"/>
  <c r="AK792" i="8" s="1"/>
  <c r="AG793" i="8"/>
  <c r="AK793" i="8" s="1"/>
  <c r="AG794" i="8"/>
  <c r="AK794" i="8" s="1"/>
  <c r="AG795" i="8"/>
  <c r="AK795" i="8" s="1"/>
  <c r="AG796" i="8"/>
  <c r="AK796" i="8" s="1"/>
  <c r="AG797" i="8"/>
  <c r="AK797" i="8" s="1"/>
  <c r="AG798" i="8"/>
  <c r="AK798" i="8" s="1"/>
  <c r="AG799" i="8"/>
  <c r="AK799" i="8" s="1"/>
  <c r="AG800" i="8"/>
  <c r="AK800" i="8" s="1"/>
  <c r="AG801" i="8"/>
  <c r="AK801" i="8" s="1"/>
  <c r="AC803" i="8"/>
  <c r="AD804" i="8"/>
  <c r="AL806" i="8"/>
  <c r="AD810" i="8"/>
  <c r="AL812" i="8"/>
  <c r="AC815" i="8"/>
  <c r="AD816" i="8"/>
  <c r="AL818" i="8"/>
  <c r="AC821" i="8"/>
  <c r="AD822" i="8"/>
  <c r="AL824" i="8"/>
  <c r="AC827" i="8"/>
  <c r="AD828" i="8"/>
  <c r="AL830" i="8"/>
  <c r="AC833" i="8"/>
  <c r="AD834" i="8"/>
  <c r="AL836" i="8"/>
  <c r="AG839" i="8"/>
  <c r="AK839" i="8" s="1"/>
  <c r="AG840" i="8"/>
  <c r="AK840" i="8" s="1"/>
  <c r="AG841" i="8"/>
  <c r="AK841" i="8" s="1"/>
  <c r="AG842" i="8"/>
  <c r="AK842" i="8" s="1"/>
  <c r="AG843" i="8"/>
  <c r="AK843" i="8" s="1"/>
  <c r="AG844" i="8"/>
  <c r="AK844" i="8" s="1"/>
  <c r="AG845" i="8"/>
  <c r="AK845" i="8" s="1"/>
  <c r="AG846" i="8"/>
  <c r="AK846" i="8" s="1"/>
  <c r="AG847" i="8"/>
  <c r="AK847" i="8" s="1"/>
  <c r="AG848" i="8"/>
  <c r="AK848" i="8" s="1"/>
  <c r="AG849" i="8"/>
  <c r="AK849" i="8" s="1"/>
  <c r="AG850" i="8"/>
  <c r="AK850" i="8" s="1"/>
  <c r="AG851" i="8"/>
  <c r="AK851" i="8" s="1"/>
  <c r="AG852" i="8"/>
  <c r="AK852" i="8" s="1"/>
  <c r="AG853" i="8"/>
  <c r="AK853" i="8" s="1"/>
  <c r="AG854" i="8"/>
  <c r="AK854" i="8" s="1"/>
  <c r="AG855" i="8"/>
  <c r="AK855" i="8" s="1"/>
  <c r="AG856" i="8"/>
  <c r="AK856" i="8" s="1"/>
  <c r="AG857" i="8"/>
  <c r="AK857" i="8" s="1"/>
  <c r="AG858" i="8"/>
  <c r="AK858" i="8" s="1"/>
  <c r="AG859" i="8"/>
  <c r="AK859" i="8" s="1"/>
  <c r="AG860" i="8"/>
  <c r="AK860" i="8" s="1"/>
  <c r="AG861" i="8"/>
  <c r="AK861" i="8" s="1"/>
  <c r="AG862" i="8"/>
  <c r="AK862" i="8" s="1"/>
  <c r="AG863" i="8"/>
  <c r="AK863" i="8" s="1"/>
  <c r="AG864" i="8"/>
  <c r="AK864" i="8" s="1"/>
  <c r="AG865" i="8"/>
  <c r="AK865" i="8" s="1"/>
  <c r="AG866" i="8"/>
  <c r="AK866" i="8" s="1"/>
  <c r="AG867" i="8"/>
  <c r="AK867" i="8" s="1"/>
  <c r="AG868" i="8"/>
  <c r="AK868" i="8" s="1"/>
  <c r="AG869" i="8"/>
  <c r="AK869" i="8" s="1"/>
  <c r="AG870" i="8"/>
  <c r="AK870" i="8" s="1"/>
  <c r="AG871" i="8"/>
  <c r="AK871" i="8" s="1"/>
  <c r="AG872" i="8"/>
  <c r="AK872" i="8" s="1"/>
  <c r="AG873" i="8"/>
  <c r="AK873" i="8" s="1"/>
  <c r="AG874" i="8"/>
  <c r="AK874" i="8" s="1"/>
  <c r="AG875" i="8"/>
  <c r="AK875" i="8" s="1"/>
  <c r="AG876" i="8"/>
  <c r="AK876" i="8" s="1"/>
  <c r="AG877" i="8"/>
  <c r="AK877" i="8" s="1"/>
  <c r="AG878" i="8"/>
  <c r="AK878" i="8" s="1"/>
  <c r="AG879" i="8"/>
  <c r="AK879" i="8" s="1"/>
  <c r="AG880" i="8"/>
  <c r="AK880" i="8" s="1"/>
  <c r="AG881" i="8"/>
  <c r="AK881" i="8" s="1"/>
  <c r="AG882" i="8"/>
  <c r="AK882" i="8" s="1"/>
  <c r="AG883" i="8"/>
  <c r="AK883" i="8" s="1"/>
  <c r="AG884" i="8"/>
  <c r="AK884" i="8" s="1"/>
  <c r="AG885" i="8"/>
  <c r="AK885" i="8" s="1"/>
  <c r="AG886" i="8"/>
  <c r="AK886" i="8" s="1"/>
  <c r="AG887" i="8"/>
  <c r="AK887" i="8" s="1"/>
  <c r="AG888" i="8"/>
  <c r="AK888" i="8" s="1"/>
  <c r="AG889" i="8"/>
  <c r="AK889" i="8" s="1"/>
  <c r="AG890" i="8"/>
  <c r="AK890" i="8" s="1"/>
  <c r="AG891" i="8"/>
  <c r="AK891" i="8" s="1"/>
  <c r="AG892" i="8"/>
  <c r="AK892" i="8" s="1"/>
  <c r="AG893" i="8"/>
  <c r="AK893" i="8" s="1"/>
  <c r="AG894" i="8"/>
  <c r="AK894" i="8" s="1"/>
  <c r="AG895" i="8"/>
  <c r="AK895" i="8" s="1"/>
  <c r="AG896" i="8"/>
  <c r="AK896" i="8" s="1"/>
  <c r="AG897" i="8"/>
  <c r="AK897" i="8" s="1"/>
  <c r="AG898" i="8"/>
  <c r="AK898" i="8" s="1"/>
  <c r="AG899" i="8"/>
  <c r="AK899" i="8" s="1"/>
  <c r="AG900" i="8"/>
  <c r="AK900" i="8" s="1"/>
  <c r="AG901" i="8"/>
  <c r="AK901" i="8" s="1"/>
  <c r="AG902" i="8"/>
  <c r="AK902" i="8" s="1"/>
  <c r="AG903" i="8"/>
  <c r="AK903" i="8" s="1"/>
  <c r="AG904" i="8"/>
  <c r="AK904" i="8" s="1"/>
  <c r="AG905" i="8"/>
  <c r="AK905" i="8" s="1"/>
  <c r="AG906" i="8"/>
  <c r="AK906" i="8" s="1"/>
  <c r="AG907" i="8"/>
  <c r="AK907" i="8" s="1"/>
  <c r="AG908" i="8"/>
  <c r="AK908" i="8" s="1"/>
  <c r="AG909" i="8"/>
  <c r="AK909" i="8" s="1"/>
  <c r="AG910" i="8"/>
  <c r="AK910" i="8" s="1"/>
  <c r="AG911" i="8"/>
  <c r="AK911" i="8" s="1"/>
  <c r="AG912" i="8"/>
  <c r="AK912" i="8" s="1"/>
  <c r="AG913" i="8"/>
  <c r="AK913" i="8" s="1"/>
  <c r="AG914" i="8"/>
  <c r="AK914" i="8" s="1"/>
  <c r="AG915" i="8"/>
  <c r="AK915" i="8" s="1"/>
  <c r="AG916" i="8"/>
  <c r="AK916" i="8" s="1"/>
  <c r="AF917" i="8"/>
  <c r="AH917" i="8"/>
  <c r="AF920" i="8"/>
  <c r="AH920" i="8"/>
  <c r="AF923" i="8"/>
  <c r="AH923" i="8"/>
  <c r="AH926" i="8"/>
  <c r="AF926" i="8"/>
  <c r="AF929" i="8"/>
  <c r="AH929" i="8"/>
  <c r="AL930" i="8"/>
  <c r="AF932" i="8"/>
  <c r="AH932" i="8"/>
  <c r="AF935" i="8"/>
  <c r="AH935" i="8"/>
  <c r="AH803" i="8"/>
  <c r="AF803" i="8"/>
  <c r="AF804" i="8"/>
  <c r="AH804" i="8"/>
  <c r="AH805" i="8"/>
  <c r="AF805" i="8"/>
  <c r="AF806" i="8"/>
  <c r="AH806" i="8"/>
  <c r="AH807" i="8"/>
  <c r="AF807" i="8"/>
  <c r="AF808" i="8"/>
  <c r="AH808" i="8"/>
  <c r="AH809" i="8"/>
  <c r="AF809" i="8"/>
  <c r="AF810" i="8"/>
  <c r="AH810" i="8"/>
  <c r="AH811" i="8"/>
  <c r="AF811" i="8"/>
  <c r="AF812" i="8"/>
  <c r="AH812" i="8"/>
  <c r="AH813" i="8"/>
  <c r="AF813" i="8"/>
  <c r="AF814" i="8"/>
  <c r="AH814" i="8"/>
  <c r="AH815" i="8"/>
  <c r="AF815" i="8"/>
  <c r="AF816" i="8"/>
  <c r="AH816" i="8"/>
  <c r="AH817" i="8"/>
  <c r="AF817" i="8"/>
  <c r="AF818" i="8"/>
  <c r="AH818" i="8"/>
  <c r="AH819" i="8"/>
  <c r="AF819" i="8"/>
  <c r="AF820" i="8"/>
  <c r="AH820" i="8"/>
  <c r="AH821" i="8"/>
  <c r="AF821" i="8"/>
  <c r="AF822" i="8"/>
  <c r="AH822" i="8"/>
  <c r="AH823" i="8"/>
  <c r="AF823" i="8"/>
  <c r="AF824" i="8"/>
  <c r="AH824" i="8"/>
  <c r="AH825" i="8"/>
  <c r="AF825" i="8"/>
  <c r="AF826" i="8"/>
  <c r="AH826" i="8"/>
  <c r="AH827" i="8"/>
  <c r="AF827" i="8"/>
  <c r="AF828" i="8"/>
  <c r="AH828" i="8"/>
  <c r="AH829" i="8"/>
  <c r="AF829" i="8"/>
  <c r="AF830" i="8"/>
  <c r="AH830" i="8"/>
  <c r="AH831" i="8"/>
  <c r="AF831" i="8"/>
  <c r="AF832" i="8"/>
  <c r="AH832" i="8"/>
  <c r="AH833" i="8"/>
  <c r="AF833" i="8"/>
  <c r="AF834" i="8"/>
  <c r="AH834" i="8"/>
  <c r="AH835" i="8"/>
  <c r="AF835" i="8"/>
  <c r="AF836" i="8"/>
  <c r="AH836" i="8"/>
  <c r="AH837" i="8"/>
  <c r="AF837" i="8"/>
  <c r="AF838" i="8"/>
  <c r="AH838" i="8"/>
  <c r="AH839" i="8"/>
  <c r="AF839" i="8"/>
  <c r="AF840" i="8"/>
  <c r="AH840" i="8"/>
  <c r="AH841" i="8"/>
  <c r="AF841" i="8"/>
  <c r="AF842" i="8"/>
  <c r="AH842" i="8"/>
  <c r="AH843" i="8"/>
  <c r="AF843" i="8"/>
  <c r="AF844" i="8"/>
  <c r="AH844" i="8"/>
  <c r="AH845" i="8"/>
  <c r="AF845" i="8"/>
  <c r="AF846" i="8"/>
  <c r="AH846" i="8"/>
  <c r="AH847" i="8"/>
  <c r="AF847" i="8"/>
  <c r="AF848" i="8"/>
  <c r="AH848" i="8"/>
  <c r="AH849" i="8"/>
  <c r="AF849" i="8"/>
  <c r="AF850" i="8"/>
  <c r="AH850" i="8"/>
  <c r="AH851" i="8"/>
  <c r="AF851" i="8"/>
  <c r="AF852" i="8"/>
  <c r="AH852" i="8"/>
  <c r="AH853" i="8"/>
  <c r="AF853" i="8"/>
  <c r="AF854" i="8"/>
  <c r="AH854" i="8"/>
  <c r="AH855" i="8"/>
  <c r="AF855" i="8"/>
  <c r="AF856" i="8"/>
  <c r="AH856" i="8"/>
  <c r="AH857" i="8"/>
  <c r="AF857" i="8"/>
  <c r="AF858" i="8"/>
  <c r="AH858" i="8"/>
  <c r="AH859" i="8"/>
  <c r="AF859" i="8"/>
  <c r="AF860" i="8"/>
  <c r="AH860" i="8"/>
  <c r="AH861" i="8"/>
  <c r="AF861" i="8"/>
  <c r="AF862" i="8"/>
  <c r="AH862" i="8"/>
  <c r="AH863" i="8"/>
  <c r="AF863" i="8"/>
  <c r="AF864" i="8"/>
  <c r="AH864" i="8"/>
  <c r="AH865" i="8"/>
  <c r="AF865" i="8"/>
  <c r="AF866" i="8"/>
  <c r="AH866" i="8"/>
  <c r="AH867" i="8"/>
  <c r="AF867" i="8"/>
  <c r="AF868" i="8"/>
  <c r="AH868" i="8"/>
  <c r="AH869" i="8"/>
  <c r="AF869" i="8"/>
  <c r="AF870" i="8"/>
  <c r="AH870" i="8"/>
  <c r="AH871" i="8"/>
  <c r="AF871" i="8"/>
  <c r="AF872" i="8"/>
  <c r="AH872" i="8"/>
  <c r="AH873" i="8"/>
  <c r="AF873" i="8"/>
  <c r="AF874" i="8"/>
  <c r="AH874" i="8"/>
  <c r="AH875" i="8"/>
  <c r="AF875" i="8"/>
  <c r="AF876" i="8"/>
  <c r="AH876" i="8"/>
  <c r="AH877" i="8"/>
  <c r="AF877" i="8"/>
  <c r="AF878" i="8"/>
  <c r="AH878" i="8"/>
  <c r="AH879" i="8"/>
  <c r="AF879" i="8"/>
  <c r="AF880" i="8"/>
  <c r="AH880" i="8"/>
  <c r="AH881" i="8"/>
  <c r="AF881" i="8"/>
  <c r="AF882" i="8"/>
  <c r="AH882" i="8"/>
  <c r="AH883" i="8"/>
  <c r="AF883" i="8"/>
  <c r="AF884" i="8"/>
  <c r="AH884" i="8"/>
  <c r="AH885" i="8"/>
  <c r="AF885" i="8"/>
  <c r="AF886" i="8"/>
  <c r="AH886" i="8"/>
  <c r="AH887" i="8"/>
  <c r="AF887" i="8"/>
  <c r="AF888" i="8"/>
  <c r="AH888" i="8"/>
  <c r="AH889" i="8"/>
  <c r="AF889" i="8"/>
  <c r="AF890" i="8"/>
  <c r="AH890" i="8"/>
  <c r="AH891" i="8"/>
  <c r="AF891" i="8"/>
  <c r="AF892" i="8"/>
  <c r="AH892" i="8"/>
  <c r="AH893" i="8"/>
  <c r="AF893" i="8"/>
  <c r="AF894" i="8"/>
  <c r="AH894" i="8"/>
  <c r="AH895" i="8"/>
  <c r="AF895" i="8"/>
  <c r="AF896" i="8"/>
  <c r="AH896" i="8"/>
  <c r="AH897" i="8"/>
  <c r="AF897" i="8"/>
  <c r="AF898" i="8"/>
  <c r="AH898" i="8"/>
  <c r="AH899" i="8"/>
  <c r="AF899" i="8"/>
  <c r="AF900" i="8"/>
  <c r="AH900" i="8"/>
  <c r="AH901" i="8"/>
  <c r="AF901" i="8"/>
  <c r="AF902" i="8"/>
  <c r="AH902" i="8"/>
  <c r="AH903" i="8"/>
  <c r="AF903" i="8"/>
  <c r="AF904" i="8"/>
  <c r="AH904" i="8"/>
  <c r="AF905" i="8"/>
  <c r="AH905" i="8"/>
  <c r="AH906" i="8"/>
  <c r="AF906" i="8"/>
  <c r="AF907" i="8"/>
  <c r="AH907" i="8"/>
  <c r="AF908" i="8"/>
  <c r="AH908" i="8"/>
  <c r="AF909" i="8"/>
  <c r="AH909" i="8"/>
  <c r="AF910" i="8"/>
  <c r="AH910" i="8"/>
  <c r="AF911" i="8"/>
  <c r="AH911" i="8"/>
  <c r="AH912" i="8"/>
  <c r="AF912" i="8"/>
  <c r="AF913" i="8"/>
  <c r="AH913" i="8"/>
  <c r="AH914" i="8"/>
  <c r="AF914" i="8"/>
  <c r="AF915" i="8"/>
  <c r="AH915" i="8"/>
  <c r="AF916" i="8"/>
  <c r="AH916" i="8"/>
  <c r="AC937" i="8"/>
  <c r="AF919" i="8"/>
  <c r="AH919" i="8"/>
  <c r="AF922" i="8"/>
  <c r="AH922" i="8"/>
  <c r="AF925" i="8"/>
  <c r="AH925" i="8"/>
  <c r="AF928" i="8"/>
  <c r="AH928" i="8"/>
  <c r="AF931" i="8"/>
  <c r="AH931" i="8"/>
  <c r="AF934" i="8"/>
  <c r="AH934" i="8"/>
  <c r="AF937" i="8"/>
  <c r="AH937" i="8"/>
  <c r="AL845" i="8"/>
  <c r="AL846" i="8"/>
  <c r="AL847" i="8"/>
  <c r="AL848" i="8"/>
  <c r="AL849" i="8"/>
  <c r="AL850" i="8"/>
  <c r="AL851" i="8"/>
  <c r="AL852" i="8"/>
  <c r="AL853" i="8"/>
  <c r="AL854" i="8"/>
  <c r="AL855" i="8"/>
  <c r="AL856" i="8"/>
  <c r="AL857" i="8"/>
  <c r="AI857" i="8"/>
  <c r="AL858" i="8"/>
  <c r="AI858" i="8"/>
  <c r="AL859" i="8"/>
  <c r="AI859" i="8"/>
  <c r="AL860" i="8"/>
  <c r="AI860" i="8"/>
  <c r="AL861" i="8"/>
  <c r="AI861" i="8"/>
  <c r="AL862" i="8"/>
  <c r="AI862" i="8"/>
  <c r="AL863" i="8"/>
  <c r="AI863" i="8"/>
  <c r="AL864" i="8"/>
  <c r="AI864" i="8"/>
  <c r="AL865" i="8"/>
  <c r="AI865" i="8"/>
  <c r="AL866" i="8"/>
  <c r="AI866" i="8"/>
  <c r="AL867" i="8"/>
  <c r="AI867" i="8"/>
  <c r="AL868" i="8"/>
  <c r="AI868" i="8"/>
  <c r="AL869" i="8"/>
  <c r="AI869" i="8"/>
  <c r="AL870" i="8"/>
  <c r="AI870" i="8"/>
  <c r="AL871" i="8"/>
  <c r="AI871" i="8"/>
  <c r="AL872" i="8"/>
  <c r="AI872" i="8"/>
  <c r="AL873" i="8"/>
  <c r="AI873" i="8"/>
  <c r="AL874" i="8"/>
  <c r="AL875" i="8"/>
  <c r="AL876" i="8"/>
  <c r="AL877" i="8"/>
  <c r="AL878" i="8"/>
  <c r="AL879" i="8"/>
  <c r="AL880" i="8"/>
  <c r="AL881" i="8"/>
  <c r="AL882" i="8"/>
  <c r="AL883" i="8"/>
  <c r="AL884" i="8"/>
  <c r="AL885" i="8"/>
  <c r="AL886" i="8"/>
  <c r="AL887" i="8"/>
  <c r="AL888" i="8"/>
  <c r="AL889" i="8"/>
  <c r="AL890" i="8"/>
  <c r="AL891" i="8"/>
  <c r="AL892" i="8"/>
  <c r="AL893" i="8"/>
  <c r="AL894" i="8"/>
  <c r="AL895" i="8"/>
  <c r="AL896" i="8"/>
  <c r="AL897" i="8"/>
  <c r="AL898" i="8"/>
  <c r="AL899" i="8"/>
  <c r="AL900" i="8"/>
  <c r="AL901" i="8"/>
  <c r="AL902" i="8"/>
  <c r="AL903" i="8"/>
  <c r="AL904" i="8"/>
  <c r="AL905" i="8"/>
  <c r="AL906" i="8"/>
  <c r="AL907" i="8"/>
  <c r="AI907" i="8"/>
  <c r="AL908" i="8"/>
  <c r="AL909" i="8"/>
  <c r="AL910" i="8"/>
  <c r="AL911" i="8"/>
  <c r="AL912" i="8"/>
  <c r="AL913" i="8"/>
  <c r="AL914" i="8"/>
  <c r="AL915" i="8"/>
  <c r="AL916" i="8"/>
  <c r="AH918" i="8"/>
  <c r="AF918" i="8"/>
  <c r="AF921" i="8"/>
  <c r="AH921" i="8"/>
  <c r="AH924" i="8"/>
  <c r="AF924" i="8"/>
  <c r="AF927" i="8"/>
  <c r="AH927" i="8"/>
  <c r="AH930" i="8"/>
  <c r="AF930" i="8"/>
  <c r="AF933" i="8"/>
  <c r="AH933" i="8"/>
  <c r="AH936" i="8"/>
  <c r="AF936" i="8"/>
  <c r="AG917" i="8"/>
  <c r="AK917" i="8" s="1"/>
  <c r="AG918" i="8"/>
  <c r="AK918" i="8" s="1"/>
  <c r="AG919" i="8"/>
  <c r="AK919" i="8" s="1"/>
  <c r="AG920" i="8"/>
  <c r="AK920" i="8" s="1"/>
  <c r="AG921" i="8"/>
  <c r="AK921" i="8" s="1"/>
  <c r="AG922" i="8"/>
  <c r="AK922" i="8" s="1"/>
  <c r="AG923" i="8"/>
  <c r="AK923" i="8" s="1"/>
  <c r="AG924" i="8"/>
  <c r="AK924" i="8" s="1"/>
  <c r="AG925" i="8"/>
  <c r="AK925" i="8" s="1"/>
  <c r="AG926" i="8"/>
  <c r="AK926" i="8" s="1"/>
  <c r="AG927" i="8"/>
  <c r="AK927" i="8" s="1"/>
  <c r="AG928" i="8"/>
  <c r="AK928" i="8" s="1"/>
  <c r="AG929" i="8"/>
  <c r="AK929" i="8" s="1"/>
  <c r="AG930" i="8"/>
  <c r="AK930" i="8" s="1"/>
  <c r="AG931" i="8"/>
  <c r="AK931" i="8" s="1"/>
  <c r="AG932" i="8"/>
  <c r="AK932" i="8" s="1"/>
  <c r="AG933" i="8"/>
  <c r="AK933" i="8" s="1"/>
  <c r="AG934" i="8"/>
  <c r="AK934" i="8" s="1"/>
  <c r="AG935" i="8"/>
  <c r="AK935" i="8" s="1"/>
  <c r="AG936" i="8"/>
  <c r="AK936" i="8" s="1"/>
  <c r="AG937" i="8"/>
  <c r="AK937" i="8" s="1"/>
  <c r="AC938" i="8"/>
  <c r="AD939" i="8"/>
  <c r="AL941" i="8"/>
  <c r="AG943" i="8"/>
  <c r="AK943" i="8" s="1"/>
  <c r="AC944" i="8"/>
  <c r="AD945" i="8"/>
  <c r="AL947" i="8"/>
  <c r="AG949" i="8"/>
  <c r="AK949" i="8" s="1"/>
  <c r="AC950" i="8"/>
  <c r="AD951" i="8"/>
  <c r="AL953" i="8"/>
  <c r="AG955" i="8"/>
  <c r="AK955" i="8" s="1"/>
  <c r="AC956" i="8"/>
  <c r="AC959" i="8"/>
  <c r="AC962" i="8"/>
  <c r="AC965" i="8"/>
  <c r="AC968" i="8"/>
  <c r="AC971" i="8"/>
  <c r="AI972" i="8"/>
  <c r="AL975" i="8"/>
  <c r="AG958" i="8"/>
  <c r="AK958" i="8" s="1"/>
  <c r="AD959" i="8"/>
  <c r="AG961" i="8"/>
  <c r="AK961" i="8" s="1"/>
  <c r="AD962" i="8"/>
  <c r="AG964" i="8"/>
  <c r="AK964" i="8" s="1"/>
  <c r="AG967" i="8"/>
  <c r="AK967" i="8" s="1"/>
  <c r="AD968" i="8"/>
  <c r="AG970" i="8"/>
  <c r="AK970" i="8" s="1"/>
  <c r="AD971" i="8"/>
  <c r="AG977" i="8"/>
  <c r="AK977" i="8" s="1"/>
  <c r="AC977" i="8"/>
  <c r="AC942" i="8"/>
  <c r="AD943" i="8"/>
  <c r="AC948" i="8"/>
  <c r="AD949" i="8"/>
  <c r="AC954" i="8"/>
  <c r="AD955" i="8"/>
  <c r="AC958" i="8"/>
  <c r="AC964" i="8"/>
  <c r="AC967" i="8"/>
  <c r="AC970" i="8"/>
  <c r="AC973" i="8"/>
  <c r="AG975" i="8"/>
  <c r="AK975" i="8" s="1"/>
  <c r="AC975" i="8"/>
  <c r="AI977" i="8"/>
  <c r="AL938" i="8"/>
  <c r="AG940" i="8"/>
  <c r="AK940" i="8" s="1"/>
  <c r="AC941" i="8"/>
  <c r="AD942" i="8"/>
  <c r="AL944" i="8"/>
  <c r="AJ944" i="8"/>
  <c r="AG946" i="8"/>
  <c r="AK946" i="8" s="1"/>
  <c r="AC947" i="8"/>
  <c r="AD948" i="8"/>
  <c r="AL950" i="8"/>
  <c r="AJ950" i="8"/>
  <c r="AG952" i="8"/>
  <c r="AK952" i="8" s="1"/>
  <c r="AC953" i="8"/>
  <c r="AD954" i="8"/>
  <c r="AL956" i="8"/>
  <c r="AG957" i="8"/>
  <c r="AK957" i="8" s="1"/>
  <c r="AD958" i="8"/>
  <c r="AL959" i="8"/>
  <c r="AG960" i="8"/>
  <c r="AK960" i="8" s="1"/>
  <c r="AD961" i="8"/>
  <c r="AL962" i="8"/>
  <c r="AG963" i="8"/>
  <c r="AK963" i="8" s="1"/>
  <c r="AD964" i="8"/>
  <c r="AL965" i="8"/>
  <c r="AG966" i="8"/>
  <c r="AK966" i="8" s="1"/>
  <c r="AD967" i="8"/>
  <c r="AL968" i="8"/>
  <c r="AG969" i="8"/>
  <c r="AK969" i="8" s="1"/>
  <c r="AD970" i="8"/>
  <c r="AL971" i="8"/>
  <c r="AD973" i="8"/>
  <c r="AL974" i="8"/>
  <c r="AG978" i="8"/>
  <c r="AK978" i="8" s="1"/>
  <c r="AC978" i="8"/>
  <c r="AD981" i="8"/>
  <c r="AL933" i="8"/>
  <c r="AL934" i="8"/>
  <c r="AL935" i="8"/>
  <c r="AL936" i="8"/>
  <c r="AL937" i="8"/>
  <c r="AD941" i="8"/>
  <c r="AI942" i="8"/>
  <c r="AL943" i="8"/>
  <c r="AD947" i="8"/>
  <c r="AI948" i="8"/>
  <c r="AL949" i="8"/>
  <c r="AD953" i="8"/>
  <c r="AI954" i="8"/>
  <c r="AL955" i="8"/>
  <c r="AI958" i="8"/>
  <c r="AI961" i="8"/>
  <c r="AI964" i="8"/>
  <c r="AI967" i="8"/>
  <c r="AC969" i="8"/>
  <c r="AI970" i="8"/>
  <c r="AC972" i="8"/>
  <c r="AI973" i="8"/>
  <c r="AD975" i="8"/>
  <c r="AI975" i="8"/>
  <c r="AI978" i="8"/>
  <c r="AD982" i="8"/>
  <c r="AC939" i="8"/>
  <c r="AD940" i="8"/>
  <c r="AI941" i="8"/>
  <c r="AL942" i="8"/>
  <c r="AC945" i="8"/>
  <c r="AD946" i="8"/>
  <c r="AI947" i="8"/>
  <c r="AL948" i="8"/>
  <c r="AC951" i="8"/>
  <c r="AD952" i="8"/>
  <c r="AI953" i="8"/>
  <c r="AL954" i="8"/>
  <c r="AD957" i="8"/>
  <c r="AL958" i="8"/>
  <c r="AD960" i="8"/>
  <c r="AL961" i="8"/>
  <c r="AD963" i="8"/>
  <c r="AL964" i="8"/>
  <c r="AD966" i="8"/>
  <c r="AL967" i="8"/>
  <c r="AD969" i="8"/>
  <c r="AL970" i="8"/>
  <c r="AD972" i="8"/>
  <c r="AL973" i="8"/>
  <c r="AG974" i="8"/>
  <c r="AK974" i="8" s="1"/>
  <c r="AC974" i="8"/>
  <c r="AG976" i="8"/>
  <c r="AK976" i="8" s="1"/>
  <c r="AC976" i="8"/>
  <c r="AL977" i="8"/>
  <c r="AD978" i="8"/>
  <c r="AG979" i="8"/>
  <c r="AK979" i="8" s="1"/>
  <c r="AC979" i="8"/>
  <c r="AD983" i="8"/>
  <c r="AC980" i="8"/>
  <c r="AC981" i="8"/>
  <c r="AC982" i="8"/>
  <c r="AC983" i="8"/>
  <c r="AC984" i="8"/>
  <c r="AC985" i="8"/>
  <c r="AC986" i="8"/>
  <c r="AC987" i="8"/>
  <c r="AC988" i="8"/>
  <c r="AC989" i="8"/>
  <c r="AC990" i="8"/>
  <c r="AC991" i="8"/>
  <c r="AC992" i="8"/>
  <c r="AC993" i="8"/>
  <c r="AC994" i="8"/>
  <c r="AC995" i="8"/>
  <c r="AC996" i="8"/>
  <c r="AC997" i="8"/>
  <c r="AC998" i="8"/>
  <c r="AC999" i="8"/>
  <c r="AC1000" i="8"/>
  <c r="AH938" i="8"/>
  <c r="AF938" i="8"/>
  <c r="AF939" i="8"/>
  <c r="AH939" i="8"/>
  <c r="AF940" i="8"/>
  <c r="AH940" i="8"/>
  <c r="AF941" i="8"/>
  <c r="AH941" i="8"/>
  <c r="AH942" i="8"/>
  <c r="AF942" i="8"/>
  <c r="AF943" i="8"/>
  <c r="AH943" i="8"/>
  <c r="AF944" i="8"/>
  <c r="AH944" i="8"/>
  <c r="AF945" i="8"/>
  <c r="AH945" i="8"/>
  <c r="AF946" i="8"/>
  <c r="AH946" i="8"/>
  <c r="AF947" i="8"/>
  <c r="AH947" i="8"/>
  <c r="AH948" i="8"/>
  <c r="AF948" i="8"/>
  <c r="AF949" i="8"/>
  <c r="AH949" i="8"/>
  <c r="AH950" i="8"/>
  <c r="AF950" i="8"/>
  <c r="AF951" i="8"/>
  <c r="AH951" i="8"/>
  <c r="AF952" i="8"/>
  <c r="AH952" i="8"/>
  <c r="AF953" i="8"/>
  <c r="AH953" i="8"/>
  <c r="AH954" i="8"/>
  <c r="AF954" i="8"/>
  <c r="AF955" i="8"/>
  <c r="AH955" i="8"/>
  <c r="AF956" i="8"/>
  <c r="AH956" i="8"/>
  <c r="AF957" i="8"/>
  <c r="AH957" i="8"/>
  <c r="AF958" i="8"/>
  <c r="AH958" i="8"/>
  <c r="AF959" i="8"/>
  <c r="AH959" i="8"/>
  <c r="AH960" i="8"/>
  <c r="AF960" i="8"/>
  <c r="AF961" i="8"/>
  <c r="AH961" i="8"/>
  <c r="AF962" i="8"/>
  <c r="AH962" i="8"/>
  <c r="AF963" i="8"/>
  <c r="AH963" i="8"/>
  <c r="AF964" i="8"/>
  <c r="AH964" i="8"/>
  <c r="AF965" i="8"/>
  <c r="AH965" i="8"/>
  <c r="AH966" i="8"/>
  <c r="AF966" i="8"/>
  <c r="AF967" i="8"/>
  <c r="AH967" i="8"/>
  <c r="AH968" i="8"/>
  <c r="AF968" i="8"/>
  <c r="AF969" i="8"/>
  <c r="AH969" i="8"/>
  <c r="AF970" i="8"/>
  <c r="AH970" i="8"/>
  <c r="AF971" i="8"/>
  <c r="AH971" i="8"/>
  <c r="AH972" i="8"/>
  <c r="AF972" i="8"/>
  <c r="AF973" i="8"/>
  <c r="AH973" i="8"/>
  <c r="AF974" i="8"/>
  <c r="AH974" i="8"/>
  <c r="AF975" i="8"/>
  <c r="AH975" i="8"/>
  <c r="AF976" i="8"/>
  <c r="AH976" i="8"/>
  <c r="AF977" i="8"/>
  <c r="AH977" i="8"/>
  <c r="AH978" i="8"/>
  <c r="AF978" i="8"/>
  <c r="AF979" i="8"/>
  <c r="AH979" i="8"/>
  <c r="AF980" i="8"/>
  <c r="AH980" i="8"/>
  <c r="AF981" i="8"/>
  <c r="AH981" i="8"/>
  <c r="AF982" i="8"/>
  <c r="AH982" i="8"/>
  <c r="AF983" i="8"/>
  <c r="AH983" i="8"/>
  <c r="AH984" i="8"/>
  <c r="AF984" i="8"/>
  <c r="AF985" i="8"/>
  <c r="AH985" i="8"/>
  <c r="AH986" i="8"/>
  <c r="AF986" i="8"/>
  <c r="AF987" i="8"/>
  <c r="AH987" i="8"/>
  <c r="AF988" i="8"/>
  <c r="AH988" i="8"/>
  <c r="AF989" i="8"/>
  <c r="AH989" i="8"/>
  <c r="AH990" i="8"/>
  <c r="AF990" i="8"/>
  <c r="AF991" i="8"/>
  <c r="AH991" i="8"/>
  <c r="AF992" i="8"/>
  <c r="AH992" i="8"/>
  <c r="AF993" i="8"/>
  <c r="AH993" i="8"/>
  <c r="AF994" i="8"/>
  <c r="AH994" i="8"/>
  <c r="AF995" i="8"/>
  <c r="AH995" i="8"/>
  <c r="AH996" i="8"/>
  <c r="AF996" i="8"/>
  <c r="AF997" i="8"/>
  <c r="AH997" i="8"/>
  <c r="AH998" i="8"/>
  <c r="AF998" i="8"/>
  <c r="AF999" i="8"/>
  <c r="AH999" i="8"/>
  <c r="AF1000" i="8"/>
  <c r="AH1000" i="8"/>
  <c r="AI984" i="8"/>
  <c r="AL985" i="8"/>
  <c r="AI985" i="8"/>
  <c r="AL986" i="8"/>
  <c r="AI986" i="8"/>
  <c r="AL987" i="8"/>
  <c r="AI987" i="8"/>
  <c r="AL988" i="8"/>
  <c r="AI988" i="8"/>
  <c r="AL989" i="8"/>
  <c r="AI989" i="8"/>
  <c r="AL990" i="8"/>
  <c r="AI990" i="8"/>
  <c r="AL991" i="8"/>
  <c r="AI991" i="8"/>
  <c r="AL992" i="8"/>
  <c r="AI992" i="8"/>
  <c r="AL993" i="8"/>
  <c r="AI993" i="8"/>
  <c r="AL994" i="8"/>
  <c r="AI994" i="8"/>
  <c r="AL995" i="8"/>
  <c r="AI995" i="8"/>
  <c r="AL996" i="8"/>
  <c r="AI996" i="8"/>
  <c r="AL997" i="8"/>
  <c r="AI997" i="8"/>
  <c r="AL998" i="8"/>
  <c r="AI998" i="8"/>
  <c r="AL999" i="8"/>
  <c r="AI999" i="8"/>
  <c r="AL1000" i="8"/>
  <c r="AI1000" i="8"/>
  <c r="AL293" i="8"/>
  <c r="AD295" i="8"/>
  <c r="AG297" i="8"/>
  <c r="AK297" i="8" s="1"/>
  <c r="AL299" i="8"/>
  <c r="AD301" i="8"/>
  <c r="AG303" i="8"/>
  <c r="AK303" i="8" s="1"/>
  <c r="AL305" i="8"/>
  <c r="AD307" i="8"/>
  <c r="AG311" i="8"/>
  <c r="AK311" i="8" s="1"/>
  <c r="AD315" i="8"/>
  <c r="AG317" i="8"/>
  <c r="AK317" i="8" s="1"/>
  <c r="AD321" i="8"/>
  <c r="AC327" i="8"/>
  <c r="AG328" i="8"/>
  <c r="AK328" i="8" s="1"/>
  <c r="AL330" i="8"/>
  <c r="AC333" i="8"/>
  <c r="AG334" i="8"/>
  <c r="AK334" i="8" s="1"/>
  <c r="AL336" i="8"/>
  <c r="AD339" i="8"/>
  <c r="AD367" i="8"/>
  <c r="AG369" i="8"/>
  <c r="AK369" i="8" s="1"/>
  <c r="AL371" i="8"/>
  <c r="AI375" i="8"/>
  <c r="AG228" i="8"/>
  <c r="AK228" i="8" s="1"/>
  <c r="AG245" i="8"/>
  <c r="AK245" i="8" s="1"/>
  <c r="AG266" i="8"/>
  <c r="AK266" i="8" s="1"/>
  <c r="AG268" i="8"/>
  <c r="AK268" i="8" s="1"/>
  <c r="AG269" i="8"/>
  <c r="AK269" i="8" s="1"/>
  <c r="AG270" i="8"/>
  <c r="AK270" i="8" s="1"/>
  <c r="AG273" i="8"/>
  <c r="AK273" i="8" s="1"/>
  <c r="AG286" i="8"/>
  <c r="AK286" i="8" s="1"/>
  <c r="AL287" i="8"/>
  <c r="AD288" i="8"/>
  <c r="AG289" i="8"/>
  <c r="AK289" i="8" s="1"/>
  <c r="AL290" i="8"/>
  <c r="AD291" i="8"/>
  <c r="AG292" i="8"/>
  <c r="AK292" i="8" s="1"/>
  <c r="AL294" i="8"/>
  <c r="AD296" i="8"/>
  <c r="AG298" i="8"/>
  <c r="AK298" i="8" s="1"/>
  <c r="AL300" i="8"/>
  <c r="AD302" i="8"/>
  <c r="AG304" i="8"/>
  <c r="AK304" i="8" s="1"/>
  <c r="AL306" i="8"/>
  <c r="AD308" i="8"/>
  <c r="AD309" i="8"/>
  <c r="AD310" i="8"/>
  <c r="AG312" i="8"/>
  <c r="AK312" i="8" s="1"/>
  <c r="AD316" i="8"/>
  <c r="AG318" i="8"/>
  <c r="AK318" i="8" s="1"/>
  <c r="AD322" i="8"/>
  <c r="AC323" i="8"/>
  <c r="AG324" i="8"/>
  <c r="AK324" i="8" s="1"/>
  <c r="AD351" i="8"/>
  <c r="AL358" i="8"/>
  <c r="AD361" i="8"/>
  <c r="AG363" i="8"/>
  <c r="AK363" i="8" s="1"/>
  <c r="AL365" i="8"/>
  <c r="AI369" i="8"/>
  <c r="AG370" i="8"/>
  <c r="AK370" i="8" s="1"/>
  <c r="AD375" i="8"/>
  <c r="AI376" i="8"/>
  <c r="AG377" i="8"/>
  <c r="AK377" i="8" s="1"/>
  <c r="AI377" i="8"/>
  <c r="AG293" i="8"/>
  <c r="AK293" i="8" s="1"/>
  <c r="AD297" i="8"/>
  <c r="AG371" i="8"/>
  <c r="AK371" i="8" s="1"/>
  <c r="AI371" i="8"/>
  <c r="AI293" i="8"/>
  <c r="AI299" i="8"/>
  <c r="AD304" i="8"/>
  <c r="AI305" i="8"/>
  <c r="AD312" i="8"/>
  <c r="AD318" i="8"/>
  <c r="AC325" i="8"/>
  <c r="AD363" i="8"/>
  <c r="AI364" i="8"/>
  <c r="AG365" i="8"/>
  <c r="AK365" i="8" s="1"/>
  <c r="AI365" i="8"/>
  <c r="AG381" i="8"/>
  <c r="AK381" i="8" s="1"/>
  <c r="AD386" i="8"/>
  <c r="AI387" i="8"/>
  <c r="AG388" i="8"/>
  <c r="AK388" i="8" s="1"/>
  <c r="AC395" i="8"/>
  <c r="AG396" i="8"/>
  <c r="AK396" i="8" s="1"/>
  <c r="AI396" i="8"/>
  <c r="AI287" i="8"/>
  <c r="AI290" i="8"/>
  <c r="AD293" i="8"/>
  <c r="AI294" i="8"/>
  <c r="AD299" i="8"/>
  <c r="AI300" i="8"/>
  <c r="AD305" i="8"/>
  <c r="AI306" i="8"/>
  <c r="AD313" i="8"/>
  <c r="AD319" i="8"/>
  <c r="AC331" i="8"/>
  <c r="AI337" i="8"/>
  <c r="AD357" i="8"/>
  <c r="AI358" i="8"/>
  <c r="AG359" i="8"/>
  <c r="AK359" i="8" s="1"/>
  <c r="AI359" i="8"/>
  <c r="AI381" i="8"/>
  <c r="AG389" i="8"/>
  <c r="AK389" i="8" s="1"/>
  <c r="AI389" i="8"/>
  <c r="AG17" i="8"/>
  <c r="AK17" i="8" s="1"/>
  <c r="AG19" i="8"/>
  <c r="AG21" i="8"/>
  <c r="AL286" i="8"/>
  <c r="AD287" i="8"/>
  <c r="AG288" i="8"/>
  <c r="AK288" i="8" s="1"/>
  <c r="AL289" i="8"/>
  <c r="AD290" i="8"/>
  <c r="AG291" i="8"/>
  <c r="AK291" i="8" s="1"/>
  <c r="AL292" i="8"/>
  <c r="AD294" i="8"/>
  <c r="AI295" i="8"/>
  <c r="AG296" i="8"/>
  <c r="AK296" i="8" s="1"/>
  <c r="AL298" i="8"/>
  <c r="AD300" i="8"/>
  <c r="AI301" i="8"/>
  <c r="AG302" i="8"/>
  <c r="AK302" i="8" s="1"/>
  <c r="AL304" i="8"/>
  <c r="AD306" i="8"/>
  <c r="AI307" i="8"/>
  <c r="AG308" i="8"/>
  <c r="AK308" i="8" s="1"/>
  <c r="AG309" i="8"/>
  <c r="AK309" i="8" s="1"/>
  <c r="AG310" i="8"/>
  <c r="AK310" i="8" s="1"/>
  <c r="AD314" i="8"/>
  <c r="AG316" i="8"/>
  <c r="AK316" i="8" s="1"/>
  <c r="AD320" i="8"/>
  <c r="AG322" i="8"/>
  <c r="AK322" i="8" s="1"/>
  <c r="AL324" i="8"/>
  <c r="AD348" i="8"/>
  <c r="AD381" i="8"/>
  <c r="AI382" i="8"/>
  <c r="AG383" i="8"/>
  <c r="AK383" i="8" s="1"/>
  <c r="AI383" i="8"/>
  <c r="AD359" i="8"/>
  <c r="AG361" i="8"/>
  <c r="AK361" i="8" s="1"/>
  <c r="AL363" i="8"/>
  <c r="AD365" i="8"/>
  <c r="AG367" i="8"/>
  <c r="AK367" i="8" s="1"/>
  <c r="AL369" i="8"/>
  <c r="AG373" i="8"/>
  <c r="AK373" i="8" s="1"/>
  <c r="AL375" i="8"/>
  <c r="AD377" i="8"/>
  <c r="AG379" i="8"/>
  <c r="AK379" i="8" s="1"/>
  <c r="AL381" i="8"/>
  <c r="AD383" i="8"/>
  <c r="AG385" i="8"/>
  <c r="AK385" i="8" s="1"/>
  <c r="AL387" i="8"/>
  <c r="AD389" i="8"/>
  <c r="AG391" i="8"/>
  <c r="AK391" i="8" s="1"/>
  <c r="AD396" i="8"/>
  <c r="AG397" i="8"/>
  <c r="AK397" i="8" s="1"/>
  <c r="AD402" i="8"/>
  <c r="AG403" i="8"/>
  <c r="AK403" i="8" s="1"/>
  <c r="AD408" i="8"/>
  <c r="AG409" i="8"/>
  <c r="AK409" i="8" s="1"/>
  <c r="AD414" i="8"/>
  <c r="AG415" i="8"/>
  <c r="AK415" i="8" s="1"/>
  <c r="AD420" i="8"/>
  <c r="AD426" i="8"/>
  <c r="AG427" i="8"/>
  <c r="AK427" i="8" s="1"/>
  <c r="AC438" i="8"/>
  <c r="AL444" i="8"/>
  <c r="AD446" i="8"/>
  <c r="AC447" i="8"/>
  <c r="AC450" i="8"/>
  <c r="AC453" i="8"/>
  <c r="AC456" i="8"/>
  <c r="AC459" i="8"/>
  <c r="AC462" i="8"/>
  <c r="AC465" i="8"/>
  <c r="AC468" i="8"/>
  <c r="AC471" i="8"/>
  <c r="AC474" i="8"/>
  <c r="AC477" i="8"/>
  <c r="AC480" i="8"/>
  <c r="AD483" i="8"/>
  <c r="AD490" i="8"/>
  <c r="AD491" i="8"/>
  <c r="AC492" i="8"/>
  <c r="AD499" i="8"/>
  <c r="AC500" i="8"/>
  <c r="AG362" i="8"/>
  <c r="AK362" i="8" s="1"/>
  <c r="AL364" i="8"/>
  <c r="AG368" i="8"/>
  <c r="AK368" i="8" s="1"/>
  <c r="AL370" i="8"/>
  <c r="AG374" i="8"/>
  <c r="AK374" i="8" s="1"/>
  <c r="AL376" i="8"/>
  <c r="AD378" i="8"/>
  <c r="AI379" i="8"/>
  <c r="AG380" i="8"/>
  <c r="AK380" i="8" s="1"/>
  <c r="AL382" i="8"/>
  <c r="AD384" i="8"/>
  <c r="AG386" i="8"/>
  <c r="AK386" i="8" s="1"/>
  <c r="AL388" i="8"/>
  <c r="AD390" i="8"/>
  <c r="AG392" i="8"/>
  <c r="AK392" i="8" s="1"/>
  <c r="AG398" i="8"/>
  <c r="AK398" i="8" s="1"/>
  <c r="AI403" i="8"/>
  <c r="AG404" i="8"/>
  <c r="AK404" i="8" s="1"/>
  <c r="AG410" i="8"/>
  <c r="AK410" i="8" s="1"/>
  <c r="AI415" i="8"/>
  <c r="AG416" i="8"/>
  <c r="AK416" i="8" s="1"/>
  <c r="AG423" i="8"/>
  <c r="AK423" i="8" s="1"/>
  <c r="AI427" i="8"/>
  <c r="AC432" i="8"/>
  <c r="AG439" i="8"/>
  <c r="AK439" i="8" s="1"/>
  <c r="AC443" i="8"/>
  <c r="AL445" i="8"/>
  <c r="AL449" i="8"/>
  <c r="AL452" i="8"/>
  <c r="AD459" i="8"/>
  <c r="AD462" i="8"/>
  <c r="AD465" i="8"/>
  <c r="AD468" i="8"/>
  <c r="AD471" i="8"/>
  <c r="AD474" i="8"/>
  <c r="AD477" i="8"/>
  <c r="AD480" i="8"/>
  <c r="AD487" i="8"/>
  <c r="AC488" i="8"/>
  <c r="AD492" i="8"/>
  <c r="AC493" i="8"/>
  <c r="AD500" i="8"/>
  <c r="AC501" i="8"/>
  <c r="AL396" i="8"/>
  <c r="AL402" i="8"/>
  <c r="AL408" i="8"/>
  <c r="AL414" i="8"/>
  <c r="AL420" i="8"/>
  <c r="AG424" i="8"/>
  <c r="AK424" i="8" s="1"/>
  <c r="AL426" i="8"/>
  <c r="AC428" i="8"/>
  <c r="AG429" i="8"/>
  <c r="AK429" i="8" s="1"/>
  <c r="AD432" i="8"/>
  <c r="AG433" i="8"/>
  <c r="AK433" i="8" s="1"/>
  <c r="AG435" i="8"/>
  <c r="AK435" i="8" s="1"/>
  <c r="AL437" i="8"/>
  <c r="AL442" i="8"/>
  <c r="AL446" i="8"/>
  <c r="AC448" i="8"/>
  <c r="AC451" i="8"/>
  <c r="AC454" i="8"/>
  <c r="AC457" i="8"/>
  <c r="AC460" i="8"/>
  <c r="AC463" i="8"/>
  <c r="AC466" i="8"/>
  <c r="AC469" i="8"/>
  <c r="AC472" i="8"/>
  <c r="AC475" i="8"/>
  <c r="AC478" i="8"/>
  <c r="AC481" i="8"/>
  <c r="AD484" i="8"/>
  <c r="AC485" i="8"/>
  <c r="AD488" i="8"/>
  <c r="AD493" i="8"/>
  <c r="AC494" i="8"/>
  <c r="AC504" i="8"/>
  <c r="AC401" i="8"/>
  <c r="AC407" i="8"/>
  <c r="AC413" i="8"/>
  <c r="AC419" i="8"/>
  <c r="AD435" i="8"/>
  <c r="AC436" i="8"/>
  <c r="AD444" i="8"/>
  <c r="AC449" i="8"/>
  <c r="AC452" i="8"/>
  <c r="AC455" i="8"/>
  <c r="AC458" i="8"/>
  <c r="AC461" i="8"/>
  <c r="AC464" i="8"/>
  <c r="AC467" i="8"/>
  <c r="AC470" i="8"/>
  <c r="AC473" i="8"/>
  <c r="AC476" i="8"/>
  <c r="AC479" i="8"/>
  <c r="AD482" i="8"/>
  <c r="AC486" i="8"/>
  <c r="AD489" i="8"/>
  <c r="AD505" i="8"/>
  <c r="AD506" i="8"/>
  <c r="AC507" i="8"/>
  <c r="AC508" i="8"/>
  <c r="AC509" i="8"/>
  <c r="AC510" i="8"/>
  <c r="AC512" i="8"/>
  <c r="AL346" i="8"/>
  <c r="AL355" i="8"/>
  <c r="AG360" i="8"/>
  <c r="AK360" i="8" s="1"/>
  <c r="AL362" i="8"/>
  <c r="AG366" i="8"/>
  <c r="AK366" i="8" s="1"/>
  <c r="AL368" i="8"/>
  <c r="AG372" i="8"/>
  <c r="AK372" i="8" s="1"/>
  <c r="AL374" i="8"/>
  <c r="AG378" i="8"/>
  <c r="AK378" i="8" s="1"/>
  <c r="AL380" i="8"/>
  <c r="AD382" i="8"/>
  <c r="AG384" i="8"/>
  <c r="AK384" i="8" s="1"/>
  <c r="AL386" i="8"/>
  <c r="AD388" i="8"/>
  <c r="AG390" i="8"/>
  <c r="AK390" i="8" s="1"/>
  <c r="AL392" i="8"/>
  <c r="AD394" i="8"/>
  <c r="AL398" i="8"/>
  <c r="AD400" i="8"/>
  <c r="AI402" i="8"/>
  <c r="AL404" i="8"/>
  <c r="AD406" i="8"/>
  <c r="AI408" i="8"/>
  <c r="AL410" i="8"/>
  <c r="AD412" i="8"/>
  <c r="AI414" i="8"/>
  <c r="AL416" i="8"/>
  <c r="AD418" i="8"/>
  <c r="AI420" i="8"/>
  <c r="AG421" i="8"/>
  <c r="AK421" i="8" s="1"/>
  <c r="AC426" i="8"/>
  <c r="AL428" i="8"/>
  <c r="AC431" i="8"/>
  <c r="AD441" i="8"/>
  <c r="AC442" i="8"/>
  <c r="AL448" i="8"/>
  <c r="AL451" i="8"/>
  <c r="AL454" i="8"/>
  <c r="AD458" i="8"/>
  <c r="AD461" i="8"/>
  <c r="AD464" i="8"/>
  <c r="AD467" i="8"/>
  <c r="AD470" i="8"/>
  <c r="AD473" i="8"/>
  <c r="AD476" i="8"/>
  <c r="AD479" i="8"/>
  <c r="AC483" i="8"/>
  <c r="AD486" i="8"/>
  <c r="AD497" i="8"/>
  <c r="AD498" i="8"/>
  <c r="AC499" i="8"/>
  <c r="AD496" i="8"/>
  <c r="AC497" i="8"/>
  <c r="AD502" i="8"/>
  <c r="AC503" i="8"/>
  <c r="AC562" i="8"/>
  <c r="AL571" i="8"/>
  <c r="AL573" i="8"/>
  <c r="AL575" i="8"/>
  <c r="AL582" i="8"/>
  <c r="AD584" i="8"/>
  <c r="AC585" i="8"/>
  <c r="AL588" i="8"/>
  <c r="AC590" i="8"/>
  <c r="AC593" i="8"/>
  <c r="AC596" i="8"/>
  <c r="AC599" i="8"/>
  <c r="AC602" i="8"/>
  <c r="AC605" i="8"/>
  <c r="AD620" i="8"/>
  <c r="AL560" i="8"/>
  <c r="AC563" i="8"/>
  <c r="AG564" i="8"/>
  <c r="AK564" i="8" s="1"/>
  <c r="AL566" i="8"/>
  <c r="AC568" i="8"/>
  <c r="AL577" i="8"/>
  <c r="AD579" i="8"/>
  <c r="AC580" i="8"/>
  <c r="AG581" i="8"/>
  <c r="AK581" i="8" s="1"/>
  <c r="AL583" i="8"/>
  <c r="AC586" i="8"/>
  <c r="AL589" i="8"/>
  <c r="AD593" i="8"/>
  <c r="AL595" i="8"/>
  <c r="AD596" i="8"/>
  <c r="AL598" i="8"/>
  <c r="AD599" i="8"/>
  <c r="AL601" i="8"/>
  <c r="AD602" i="8"/>
  <c r="AD605" i="8"/>
  <c r="AD608" i="8"/>
  <c r="AG609" i="8"/>
  <c r="AK609" i="8" s="1"/>
  <c r="AD611" i="8"/>
  <c r="AG612" i="8"/>
  <c r="AK612" i="8" s="1"/>
  <c r="AL613" i="8"/>
  <c r="AD614" i="8"/>
  <c r="AG615" i="8"/>
  <c r="AK615" i="8" s="1"/>
  <c r="AL616" i="8"/>
  <c r="AD617" i="8"/>
  <c r="AL619" i="8"/>
  <c r="AI612" i="8"/>
  <c r="AI615" i="8"/>
  <c r="AC618" i="8"/>
  <c r="AC559" i="8"/>
  <c r="AG560" i="8"/>
  <c r="AK560" i="8" s="1"/>
  <c r="AL562" i="8"/>
  <c r="AG566" i="8"/>
  <c r="AK566" i="8" s="1"/>
  <c r="AC570" i="8"/>
  <c r="AC572" i="8"/>
  <c r="AC574" i="8"/>
  <c r="AC576" i="8"/>
  <c r="AG577" i="8"/>
  <c r="AK577" i="8" s="1"/>
  <c r="AL579" i="8"/>
  <c r="AD581" i="8"/>
  <c r="AC582" i="8"/>
  <c r="AL585" i="8"/>
  <c r="AD587" i="8"/>
  <c r="AC588" i="8"/>
  <c r="AL593" i="8"/>
  <c r="AL596" i="8"/>
  <c r="AL599" i="8"/>
  <c r="AL602" i="8"/>
  <c r="AL605" i="8"/>
  <c r="AD606" i="8"/>
  <c r="AD609" i="8"/>
  <c r="AD612" i="8"/>
  <c r="AD615" i="8"/>
  <c r="AD536" i="8"/>
  <c r="AD537" i="8"/>
  <c r="AD538" i="8"/>
  <c r="AC592" i="8"/>
  <c r="AC595" i="8"/>
  <c r="AC598" i="8"/>
  <c r="AC601" i="8"/>
  <c r="AC604" i="8"/>
  <c r="AI607" i="8"/>
  <c r="AI610" i="8"/>
  <c r="AI613" i="8"/>
  <c r="AI616" i="8"/>
  <c r="AC484" i="8"/>
  <c r="AC487" i="8"/>
  <c r="AC490" i="8"/>
  <c r="AD495" i="8"/>
  <c r="AC496" i="8"/>
  <c r="AD501" i="8"/>
  <c r="AC502" i="8"/>
  <c r="AD560" i="8"/>
  <c r="AI561" i="8"/>
  <c r="AD566" i="8"/>
  <c r="AG567" i="8"/>
  <c r="AK567" i="8" s="1"/>
  <c r="AC578" i="8"/>
  <c r="AG579" i="8"/>
  <c r="AK579" i="8" s="1"/>
  <c r="AC584" i="8"/>
  <c r="AL587" i="8"/>
  <c r="AL591" i="8"/>
  <c r="AL594" i="8"/>
  <c r="AL597" i="8"/>
  <c r="AD598" i="8"/>
  <c r="AL600" i="8"/>
  <c r="AL603" i="8"/>
  <c r="AL606" i="8"/>
  <c r="AD607" i="8"/>
  <c r="AG608" i="8"/>
  <c r="AK608" i="8" s="1"/>
  <c r="AL609" i="8"/>
  <c r="AD610" i="8"/>
  <c r="AG611" i="8"/>
  <c r="AK611" i="8" s="1"/>
  <c r="AL612" i="8"/>
  <c r="AD613" i="8"/>
  <c r="AG614" i="8"/>
  <c r="AK614" i="8" s="1"/>
  <c r="AL615" i="8"/>
  <c r="AD616" i="8"/>
  <c r="AG617" i="8"/>
  <c r="AK617" i="8" s="1"/>
  <c r="AL618" i="8"/>
  <c r="AD619" i="8"/>
  <c r="AG206" i="8"/>
  <c r="AK206" i="8" s="1"/>
  <c r="AG208" i="8"/>
  <c r="AK208" i="8" s="1"/>
  <c r="AI322" i="8"/>
  <c r="AL323" i="8"/>
  <c r="AG325" i="8"/>
  <c r="AK325" i="8" s="1"/>
  <c r="AC326" i="8"/>
  <c r="AD327" i="8"/>
  <c r="AI328" i="8"/>
  <c r="AL329" i="8"/>
  <c r="AG331" i="8"/>
  <c r="AK331" i="8" s="1"/>
  <c r="AC332" i="8"/>
  <c r="AD333" i="8"/>
  <c r="AI334" i="8"/>
  <c r="AL335" i="8"/>
  <c r="AD372" i="8"/>
  <c r="AI308" i="8"/>
  <c r="AL309" i="8"/>
  <c r="AI309" i="8"/>
  <c r="AL310" i="8"/>
  <c r="AI310" i="8"/>
  <c r="AL311" i="8"/>
  <c r="AI311" i="8"/>
  <c r="AL312" i="8"/>
  <c r="AI312" i="8"/>
  <c r="AL313" i="8"/>
  <c r="AI313" i="8"/>
  <c r="AL314" i="8"/>
  <c r="AI314" i="8"/>
  <c r="AL315" i="8"/>
  <c r="AI315" i="8"/>
  <c r="AL316" i="8"/>
  <c r="AI316" i="8"/>
  <c r="AL317" i="8"/>
  <c r="AI317" i="8"/>
  <c r="AL318" i="8"/>
  <c r="AI318" i="8"/>
  <c r="AL319" i="8"/>
  <c r="AI319" i="8"/>
  <c r="AL320" i="8"/>
  <c r="AI320" i="8"/>
  <c r="AL321" i="8"/>
  <c r="AL322" i="8"/>
  <c r="AD326" i="8"/>
  <c r="AL328" i="8"/>
  <c r="AD332" i="8"/>
  <c r="AL334" i="8"/>
  <c r="AC337" i="8"/>
  <c r="AD338" i="8"/>
  <c r="AL339" i="8"/>
  <c r="AG340" i="8"/>
  <c r="AK340" i="8" s="1"/>
  <c r="AC340" i="8"/>
  <c r="AD341" i="8"/>
  <c r="AL342" i="8"/>
  <c r="AG343" i="8"/>
  <c r="AK343" i="8" s="1"/>
  <c r="AC343" i="8"/>
  <c r="AD344" i="8"/>
  <c r="AL345" i="8"/>
  <c r="AG346" i="8"/>
  <c r="AK346" i="8" s="1"/>
  <c r="AC346" i="8"/>
  <c r="AD347" i="8"/>
  <c r="AL348" i="8"/>
  <c r="AG349" i="8"/>
  <c r="AK349" i="8" s="1"/>
  <c r="AC349" i="8"/>
  <c r="AD350" i="8"/>
  <c r="AL351" i="8"/>
  <c r="AG352" i="8"/>
  <c r="AK352" i="8" s="1"/>
  <c r="AC352" i="8"/>
  <c r="AD353" i="8"/>
  <c r="AL354" i="8"/>
  <c r="AG355" i="8"/>
  <c r="AK355" i="8" s="1"/>
  <c r="AC355" i="8"/>
  <c r="AD356" i="8"/>
  <c r="AL357" i="8"/>
  <c r="AG323" i="8"/>
  <c r="AK323" i="8" s="1"/>
  <c r="AC324" i="8"/>
  <c r="AD325" i="8"/>
  <c r="AI326" i="8"/>
  <c r="AL327" i="8"/>
  <c r="AG329" i="8"/>
  <c r="AK329" i="8" s="1"/>
  <c r="AC330" i="8"/>
  <c r="AD331" i="8"/>
  <c r="AI332" i="8"/>
  <c r="AL333" i="8"/>
  <c r="AG335" i="8"/>
  <c r="AK335" i="8" s="1"/>
  <c r="AC336" i="8"/>
  <c r="AD337" i="8"/>
  <c r="AD358" i="8"/>
  <c r="AD360" i="8"/>
  <c r="AD362" i="8"/>
  <c r="AD364" i="8"/>
  <c r="AD366" i="8"/>
  <c r="AD368" i="8"/>
  <c r="AD370" i="8"/>
  <c r="AD373" i="8"/>
  <c r="AD376" i="8"/>
  <c r="AC257" i="8"/>
  <c r="AG321" i="8"/>
  <c r="AK321" i="8" s="1"/>
  <c r="AD324" i="8"/>
  <c r="AL326" i="8"/>
  <c r="AD330" i="8"/>
  <c r="AL332" i="8"/>
  <c r="AD336" i="8"/>
  <c r="AL338" i="8"/>
  <c r="AG339" i="8"/>
  <c r="AK339" i="8" s="1"/>
  <c r="AC339" i="8"/>
  <c r="AD340" i="8"/>
  <c r="AL341" i="8"/>
  <c r="AG342" i="8"/>
  <c r="AK342" i="8" s="1"/>
  <c r="AC342" i="8"/>
  <c r="AD343" i="8"/>
  <c r="AL344" i="8"/>
  <c r="AG345" i="8"/>
  <c r="AK345" i="8" s="1"/>
  <c r="AC345" i="8"/>
  <c r="AD346" i="8"/>
  <c r="AL347" i="8"/>
  <c r="AG348" i="8"/>
  <c r="AK348" i="8" s="1"/>
  <c r="AC348" i="8"/>
  <c r="AD349" i="8"/>
  <c r="AL350" i="8"/>
  <c r="AG351" i="8"/>
  <c r="AK351" i="8" s="1"/>
  <c r="AC351" i="8"/>
  <c r="AD352" i="8"/>
  <c r="AL353" i="8"/>
  <c r="AG354" i="8"/>
  <c r="AK354" i="8" s="1"/>
  <c r="AC354" i="8"/>
  <c r="AD355" i="8"/>
  <c r="AL356" i="8"/>
  <c r="AG357" i="8"/>
  <c r="AK357" i="8" s="1"/>
  <c r="AC357" i="8"/>
  <c r="AC286" i="8"/>
  <c r="AC287" i="8"/>
  <c r="AC288" i="8"/>
  <c r="AC289" i="8"/>
  <c r="AC290" i="8"/>
  <c r="AC291" i="8"/>
  <c r="AC292" i="8"/>
  <c r="AC293" i="8"/>
  <c r="AC294" i="8"/>
  <c r="AC295" i="8"/>
  <c r="AC296" i="8"/>
  <c r="AC297" i="8"/>
  <c r="AC298" i="8"/>
  <c r="AC299" i="8"/>
  <c r="AC300" i="8"/>
  <c r="AC301" i="8"/>
  <c r="AC302" i="8"/>
  <c r="AC303" i="8"/>
  <c r="AC304" i="8"/>
  <c r="AC305" i="8"/>
  <c r="AC306" i="8"/>
  <c r="AC307" i="8"/>
  <c r="AC308" i="8"/>
  <c r="AC309" i="8"/>
  <c r="AC310" i="8"/>
  <c r="AC311" i="8"/>
  <c r="AC312" i="8"/>
  <c r="AC313" i="8"/>
  <c r="AC314" i="8"/>
  <c r="AC315" i="8"/>
  <c r="AC316" i="8"/>
  <c r="AC317" i="8"/>
  <c r="AC318" i="8"/>
  <c r="AC319" i="8"/>
  <c r="AC320" i="8"/>
  <c r="AC321" i="8"/>
  <c r="AC322" i="8"/>
  <c r="AD323" i="8"/>
  <c r="AI324" i="8"/>
  <c r="AL325" i="8"/>
  <c r="AG327" i="8"/>
  <c r="AK327" i="8" s="1"/>
  <c r="AC328" i="8"/>
  <c r="AD329" i="8"/>
  <c r="AI330" i="8"/>
  <c r="AL331" i="8"/>
  <c r="AJ331" i="8"/>
  <c r="AG333" i="8"/>
  <c r="AK333" i="8" s="1"/>
  <c r="AC334" i="8"/>
  <c r="AD335" i="8"/>
  <c r="AI336" i="8"/>
  <c r="AL337" i="8"/>
  <c r="AJ337" i="8"/>
  <c r="AD371" i="8"/>
  <c r="AD374" i="8"/>
  <c r="AF286" i="8"/>
  <c r="AH286" i="8"/>
  <c r="AH287" i="8"/>
  <c r="AF287" i="8"/>
  <c r="AF288" i="8"/>
  <c r="AH288" i="8"/>
  <c r="AH289" i="8"/>
  <c r="AF289" i="8"/>
  <c r="AF290" i="8"/>
  <c r="AH290" i="8"/>
  <c r="AH291" i="8"/>
  <c r="AF291" i="8"/>
  <c r="AF292" i="8"/>
  <c r="AH292" i="8"/>
  <c r="AH293" i="8"/>
  <c r="AF293" i="8"/>
  <c r="AF294" i="8"/>
  <c r="AH294" i="8"/>
  <c r="AH295" i="8"/>
  <c r="AF295" i="8"/>
  <c r="AF296" i="8"/>
  <c r="AH296" i="8"/>
  <c r="AH297" i="8"/>
  <c r="AF297" i="8"/>
  <c r="AF298" i="8"/>
  <c r="AH298" i="8"/>
  <c r="AH299" i="8"/>
  <c r="AF299" i="8"/>
  <c r="AF300" i="8"/>
  <c r="AH300" i="8"/>
  <c r="AH301" i="8"/>
  <c r="AF301" i="8"/>
  <c r="AF302" i="8"/>
  <c r="AH302" i="8"/>
  <c r="AH303" i="8"/>
  <c r="AF303" i="8"/>
  <c r="AF304" i="8"/>
  <c r="AH304" i="8"/>
  <c r="AH305" i="8"/>
  <c r="AF305" i="8"/>
  <c r="AF306" i="8"/>
  <c r="AH306" i="8"/>
  <c r="AH307" i="8"/>
  <c r="AF307" i="8"/>
  <c r="AF308" i="8"/>
  <c r="AH308" i="8"/>
  <c r="AH309" i="8"/>
  <c r="AF309" i="8"/>
  <c r="AF310" i="8"/>
  <c r="AH310" i="8"/>
  <c r="AH311" i="8"/>
  <c r="AF311" i="8"/>
  <c r="AF312" i="8"/>
  <c r="AH312" i="8"/>
  <c r="AH313" i="8"/>
  <c r="AF313" i="8"/>
  <c r="AF314" i="8"/>
  <c r="AH314" i="8"/>
  <c r="AH315" i="8"/>
  <c r="AF315" i="8"/>
  <c r="AF316" i="8"/>
  <c r="AH316" i="8"/>
  <c r="AH317" i="8"/>
  <c r="AF317" i="8"/>
  <c r="AF318" i="8"/>
  <c r="AH318" i="8"/>
  <c r="AH319" i="8"/>
  <c r="AF319" i="8"/>
  <c r="AF320" i="8"/>
  <c r="AH320" i="8"/>
  <c r="AH321" i="8"/>
  <c r="AF321" i="8"/>
  <c r="AF322" i="8"/>
  <c r="AH322" i="8"/>
  <c r="AG338" i="8"/>
  <c r="AK338" i="8" s="1"/>
  <c r="AC338" i="8"/>
  <c r="AG341" i="8"/>
  <c r="AK341" i="8" s="1"/>
  <c r="AC341" i="8"/>
  <c r="AG344" i="8"/>
  <c r="AK344" i="8" s="1"/>
  <c r="AC344" i="8"/>
  <c r="AG347" i="8"/>
  <c r="AK347" i="8" s="1"/>
  <c r="AC347" i="8"/>
  <c r="AG350" i="8"/>
  <c r="AK350" i="8" s="1"/>
  <c r="AC350" i="8"/>
  <c r="AG353" i="8"/>
  <c r="AK353" i="8" s="1"/>
  <c r="AC353" i="8"/>
  <c r="AG356" i="8"/>
  <c r="AK356" i="8" s="1"/>
  <c r="AC356" i="8"/>
  <c r="AG422" i="8"/>
  <c r="AK422" i="8" s="1"/>
  <c r="AC423" i="8"/>
  <c r="AD424" i="8"/>
  <c r="AG428" i="8"/>
  <c r="AK428" i="8" s="1"/>
  <c r="AC429" i="8"/>
  <c r="AD430" i="8"/>
  <c r="AG434" i="8"/>
  <c r="AK434" i="8" s="1"/>
  <c r="AC435" i="8"/>
  <c r="AD436" i="8"/>
  <c r="AI437" i="8"/>
  <c r="AL438" i="8"/>
  <c r="AG440" i="8"/>
  <c r="AK440" i="8" s="1"/>
  <c r="AC441" i="8"/>
  <c r="AC446" i="8"/>
  <c r="AD448" i="8"/>
  <c r="AD451" i="8"/>
  <c r="AD454" i="8"/>
  <c r="AD457" i="8"/>
  <c r="AC392" i="8"/>
  <c r="AD393" i="8"/>
  <c r="AI394" i="8"/>
  <c r="AL395" i="8"/>
  <c r="AC398" i="8"/>
  <c r="AD399" i="8"/>
  <c r="AI400" i="8"/>
  <c r="AL401" i="8"/>
  <c r="AC404" i="8"/>
  <c r="AD405" i="8"/>
  <c r="AI406" i="8"/>
  <c r="AL407" i="8"/>
  <c r="AC410" i="8"/>
  <c r="AD411" i="8"/>
  <c r="AI412" i="8"/>
  <c r="AL413" i="8"/>
  <c r="AC416" i="8"/>
  <c r="AD417" i="8"/>
  <c r="AI418" i="8"/>
  <c r="AL419" i="8"/>
  <c r="AC422" i="8"/>
  <c r="AD423" i="8"/>
  <c r="AI424" i="8"/>
  <c r="AL425" i="8"/>
  <c r="AD429" i="8"/>
  <c r="AI430" i="8"/>
  <c r="AL431" i="8"/>
  <c r="AC358" i="8"/>
  <c r="AC359" i="8"/>
  <c r="AC360" i="8"/>
  <c r="AC361" i="8"/>
  <c r="AC362" i="8"/>
  <c r="AC363" i="8"/>
  <c r="AC364" i="8"/>
  <c r="AC365" i="8"/>
  <c r="AC366" i="8"/>
  <c r="AC367" i="8"/>
  <c r="AC368" i="8"/>
  <c r="AC369" i="8"/>
  <c r="AC370" i="8"/>
  <c r="AC371" i="8"/>
  <c r="AC372" i="8"/>
  <c r="AC373" i="8"/>
  <c r="AC374" i="8"/>
  <c r="AC375" i="8"/>
  <c r="AC376" i="8"/>
  <c r="AC377" i="8"/>
  <c r="AC378" i="8"/>
  <c r="AC379" i="8"/>
  <c r="AC380" i="8"/>
  <c r="AC381" i="8"/>
  <c r="AC382" i="8"/>
  <c r="AC383" i="8"/>
  <c r="AC384" i="8"/>
  <c r="AC385" i="8"/>
  <c r="AC386" i="8"/>
  <c r="AC387" i="8"/>
  <c r="AC388" i="8"/>
  <c r="AC389" i="8"/>
  <c r="AC390" i="8"/>
  <c r="AC391" i="8"/>
  <c r="AD392" i="8"/>
  <c r="AL394" i="8"/>
  <c r="AC397" i="8"/>
  <c r="AD398" i="8"/>
  <c r="AL400" i="8"/>
  <c r="AC403" i="8"/>
  <c r="AD404" i="8"/>
  <c r="AL406" i="8"/>
  <c r="AC409" i="8"/>
  <c r="AD410" i="8"/>
  <c r="AL412" i="8"/>
  <c r="AC415" i="8"/>
  <c r="AD416" i="8"/>
  <c r="AL418" i="8"/>
  <c r="AC421" i="8"/>
  <c r="AD422" i="8"/>
  <c r="AI423" i="8"/>
  <c r="AL424" i="8"/>
  <c r="AG426" i="8"/>
  <c r="AK426" i="8" s="1"/>
  <c r="AC427" i="8"/>
  <c r="AD428" i="8"/>
  <c r="AI429" i="8"/>
  <c r="AL430" i="8"/>
  <c r="AG432" i="8"/>
  <c r="AK432" i="8" s="1"/>
  <c r="AC433" i="8"/>
  <c r="AD434" i="8"/>
  <c r="AI435" i="8"/>
  <c r="AL436" i="8"/>
  <c r="AG438" i="8"/>
  <c r="AK438" i="8" s="1"/>
  <c r="AC439" i="8"/>
  <c r="AD440" i="8"/>
  <c r="AI441" i="8"/>
  <c r="AD449" i="8"/>
  <c r="AD452" i="8"/>
  <c r="AD455" i="8"/>
  <c r="AH323" i="8"/>
  <c r="AF323" i="8"/>
  <c r="AF324" i="8"/>
  <c r="AH324" i="8"/>
  <c r="AH325" i="8"/>
  <c r="AF325" i="8"/>
  <c r="AF326" i="8"/>
  <c r="AH326" i="8"/>
  <c r="AH327" i="8"/>
  <c r="AF327" i="8"/>
  <c r="AF328" i="8"/>
  <c r="AH328" i="8"/>
  <c r="AH329" i="8"/>
  <c r="AF329" i="8"/>
  <c r="AF330" i="8"/>
  <c r="AH330" i="8"/>
  <c r="AH331" i="8"/>
  <c r="AF331" i="8"/>
  <c r="AF332" i="8"/>
  <c r="AH332" i="8"/>
  <c r="AH333" i="8"/>
  <c r="AF333" i="8"/>
  <c r="AF334" i="8"/>
  <c r="AH334" i="8"/>
  <c r="AH335" i="8"/>
  <c r="AF335" i="8"/>
  <c r="AF336" i="8"/>
  <c r="AH336" i="8"/>
  <c r="AH337" i="8"/>
  <c r="AF337" i="8"/>
  <c r="AF338" i="8"/>
  <c r="AH338" i="8"/>
  <c r="AH339" i="8"/>
  <c r="AF339" i="8"/>
  <c r="AF340" i="8"/>
  <c r="AH340" i="8"/>
  <c r="AH341" i="8"/>
  <c r="AF341" i="8"/>
  <c r="AF342" i="8"/>
  <c r="AH342" i="8"/>
  <c r="AH343" i="8"/>
  <c r="AF343" i="8"/>
  <c r="AF344" i="8"/>
  <c r="AH344" i="8"/>
  <c r="AH345" i="8"/>
  <c r="AF345" i="8"/>
  <c r="AF346" i="8"/>
  <c r="AH346" i="8"/>
  <c r="AH347" i="8"/>
  <c r="AF347" i="8"/>
  <c r="AF348" i="8"/>
  <c r="AH348" i="8"/>
  <c r="AH349" i="8"/>
  <c r="AF349" i="8"/>
  <c r="AF350" i="8"/>
  <c r="AH350" i="8"/>
  <c r="AH351" i="8"/>
  <c r="AF351" i="8"/>
  <c r="AF352" i="8"/>
  <c r="AH352" i="8"/>
  <c r="AH353" i="8"/>
  <c r="AF353" i="8"/>
  <c r="AF354" i="8"/>
  <c r="AH354" i="8"/>
  <c r="AH355" i="8"/>
  <c r="AF355" i="8"/>
  <c r="AF356" i="8"/>
  <c r="AH356" i="8"/>
  <c r="AH357" i="8"/>
  <c r="AF357" i="8"/>
  <c r="AF358" i="8"/>
  <c r="AH358" i="8"/>
  <c r="AH359" i="8"/>
  <c r="AF359" i="8"/>
  <c r="AF360" i="8"/>
  <c r="AH360" i="8"/>
  <c r="AH361" i="8"/>
  <c r="AF361" i="8"/>
  <c r="AF362" i="8"/>
  <c r="AH362" i="8"/>
  <c r="AH363" i="8"/>
  <c r="AF363" i="8"/>
  <c r="AF364" i="8"/>
  <c r="AH364" i="8"/>
  <c r="AH365" i="8"/>
  <c r="AF365" i="8"/>
  <c r="AF366" i="8"/>
  <c r="AH366" i="8"/>
  <c r="AH367" i="8"/>
  <c r="AF367" i="8"/>
  <c r="AF368" i="8"/>
  <c r="AH368" i="8"/>
  <c r="AH369" i="8"/>
  <c r="AF369" i="8"/>
  <c r="AF370" i="8"/>
  <c r="AH370" i="8"/>
  <c r="AH371" i="8"/>
  <c r="AF371" i="8"/>
  <c r="AF372" i="8"/>
  <c r="AH372" i="8"/>
  <c r="AH373" i="8"/>
  <c r="AF373" i="8"/>
  <c r="AF374" i="8"/>
  <c r="AH374" i="8"/>
  <c r="AH375" i="8"/>
  <c r="AF375" i="8"/>
  <c r="AF376" i="8"/>
  <c r="AH376" i="8"/>
  <c r="AH377" i="8"/>
  <c r="AF377" i="8"/>
  <c r="AF378" i="8"/>
  <c r="AH378" i="8"/>
  <c r="AH379" i="8"/>
  <c r="AF379" i="8"/>
  <c r="AF380" i="8"/>
  <c r="AH380" i="8"/>
  <c r="AH381" i="8"/>
  <c r="AF381" i="8"/>
  <c r="AF382" i="8"/>
  <c r="AH382" i="8"/>
  <c r="AH383" i="8"/>
  <c r="AF383" i="8"/>
  <c r="AF384" i="8"/>
  <c r="AH384" i="8"/>
  <c r="AH385" i="8"/>
  <c r="AF385" i="8"/>
  <c r="AF386" i="8"/>
  <c r="AH386" i="8"/>
  <c r="AH387" i="8"/>
  <c r="AF387" i="8"/>
  <c r="AF388" i="8"/>
  <c r="AH388" i="8"/>
  <c r="AH389" i="8"/>
  <c r="AF389" i="8"/>
  <c r="AF390" i="8"/>
  <c r="AH390" i="8"/>
  <c r="AD391" i="8"/>
  <c r="AI392" i="8"/>
  <c r="AL393" i="8"/>
  <c r="AG395" i="8"/>
  <c r="AK395" i="8" s="1"/>
  <c r="AC396" i="8"/>
  <c r="AD397" i="8"/>
  <c r="AI398" i="8"/>
  <c r="AL399" i="8"/>
  <c r="AG401" i="8"/>
  <c r="AK401" i="8" s="1"/>
  <c r="AC402" i="8"/>
  <c r="AD403" i="8"/>
  <c r="AI404" i="8"/>
  <c r="AL405" i="8"/>
  <c r="AG407" i="8"/>
  <c r="AK407" i="8" s="1"/>
  <c r="AC408" i="8"/>
  <c r="AD409" i="8"/>
  <c r="AI410" i="8"/>
  <c r="AL411" i="8"/>
  <c r="AG413" i="8"/>
  <c r="AK413" i="8" s="1"/>
  <c r="AC414" i="8"/>
  <c r="AD415" i="8"/>
  <c r="AI416" i="8"/>
  <c r="AL417" i="8"/>
  <c r="AG419" i="8"/>
  <c r="AK419" i="8" s="1"/>
  <c r="AC420" i="8"/>
  <c r="AD421" i="8"/>
  <c r="AI422" i="8"/>
  <c r="AL423" i="8"/>
  <c r="AG425" i="8"/>
  <c r="AK425" i="8" s="1"/>
  <c r="AD427" i="8"/>
  <c r="AI428" i="8"/>
  <c r="AL429" i="8"/>
  <c r="AG431" i="8"/>
  <c r="AK431" i="8" s="1"/>
  <c r="AD433" i="8"/>
  <c r="AI434" i="8"/>
  <c r="AL435" i="8"/>
  <c r="AD439" i="8"/>
  <c r="AL441" i="8"/>
  <c r="AD443" i="8"/>
  <c r="AC445" i="8"/>
  <c r="AI433" i="8"/>
  <c r="AL434" i="8"/>
  <c r="AG436" i="8"/>
  <c r="AK436" i="8" s="1"/>
  <c r="AC437" i="8"/>
  <c r="AD438" i="8"/>
  <c r="AI439" i="8"/>
  <c r="AL440" i="8"/>
  <c r="AD445" i="8"/>
  <c r="AD447" i="8"/>
  <c r="AD450" i="8"/>
  <c r="AD453" i="8"/>
  <c r="AD456" i="8"/>
  <c r="AG393" i="8"/>
  <c r="AK393" i="8" s="1"/>
  <c r="AC394" i="8"/>
  <c r="AD395" i="8"/>
  <c r="AG399" i="8"/>
  <c r="AK399" i="8" s="1"/>
  <c r="AC400" i="8"/>
  <c r="AD401" i="8"/>
  <c r="AG405" i="8"/>
  <c r="AK405" i="8" s="1"/>
  <c r="AC406" i="8"/>
  <c r="AD407" i="8"/>
  <c r="AG411" i="8"/>
  <c r="AK411" i="8" s="1"/>
  <c r="AC412" i="8"/>
  <c r="AD413" i="8"/>
  <c r="AG417" i="8"/>
  <c r="AK417" i="8" s="1"/>
  <c r="AC418" i="8"/>
  <c r="AD419" i="8"/>
  <c r="AL421" i="8"/>
  <c r="AC424" i="8"/>
  <c r="AD425" i="8"/>
  <c r="AL427" i="8"/>
  <c r="AC430" i="8"/>
  <c r="AD431" i="8"/>
  <c r="AL433" i="8"/>
  <c r="AD437" i="8"/>
  <c r="AL439" i="8"/>
  <c r="AD442" i="8"/>
  <c r="AG506" i="8"/>
  <c r="AK506" i="8" s="1"/>
  <c r="AI506" i="8"/>
  <c r="AG518" i="8"/>
  <c r="AK518" i="8" s="1"/>
  <c r="AI518" i="8"/>
  <c r="AC518" i="8"/>
  <c r="AG521" i="8"/>
  <c r="AK521" i="8" s="1"/>
  <c r="AI521" i="8"/>
  <c r="AC521" i="8"/>
  <c r="AG442" i="8"/>
  <c r="AK442" i="8" s="1"/>
  <c r="AG443" i="8"/>
  <c r="AK443" i="8" s="1"/>
  <c r="AG444" i="8"/>
  <c r="AK444" i="8" s="1"/>
  <c r="AG445" i="8"/>
  <c r="AK445" i="8" s="1"/>
  <c r="AG446" i="8"/>
  <c r="AK446" i="8" s="1"/>
  <c r="AG447" i="8"/>
  <c r="AK447" i="8" s="1"/>
  <c r="AG448" i="8"/>
  <c r="AK448" i="8" s="1"/>
  <c r="AG449" i="8"/>
  <c r="AK449" i="8" s="1"/>
  <c r="AG450" i="8"/>
  <c r="AK450" i="8" s="1"/>
  <c r="AG451" i="8"/>
  <c r="AK451" i="8" s="1"/>
  <c r="AG452" i="8"/>
  <c r="AK452" i="8" s="1"/>
  <c r="AG453" i="8"/>
  <c r="AK453" i="8" s="1"/>
  <c r="AG454" i="8"/>
  <c r="AK454" i="8" s="1"/>
  <c r="AG455" i="8"/>
  <c r="AK455" i="8" s="1"/>
  <c r="AG456" i="8"/>
  <c r="AK456" i="8" s="1"/>
  <c r="AG457" i="8"/>
  <c r="AK457" i="8" s="1"/>
  <c r="AG458" i="8"/>
  <c r="AK458" i="8" s="1"/>
  <c r="AG459" i="8"/>
  <c r="AK459" i="8" s="1"/>
  <c r="AG460" i="8"/>
  <c r="AK460" i="8" s="1"/>
  <c r="AG461" i="8"/>
  <c r="AK461" i="8" s="1"/>
  <c r="AG462" i="8"/>
  <c r="AK462" i="8" s="1"/>
  <c r="AG463" i="8"/>
  <c r="AK463" i="8" s="1"/>
  <c r="AG464" i="8"/>
  <c r="AK464" i="8" s="1"/>
  <c r="AG465" i="8"/>
  <c r="AK465" i="8" s="1"/>
  <c r="AG466" i="8"/>
  <c r="AK466" i="8" s="1"/>
  <c r="AG467" i="8"/>
  <c r="AK467" i="8" s="1"/>
  <c r="AG468" i="8"/>
  <c r="AK468" i="8" s="1"/>
  <c r="AG469" i="8"/>
  <c r="AK469" i="8" s="1"/>
  <c r="AG470" i="8"/>
  <c r="AK470" i="8" s="1"/>
  <c r="AG471" i="8"/>
  <c r="AK471" i="8" s="1"/>
  <c r="AG472" i="8"/>
  <c r="AK472" i="8" s="1"/>
  <c r="AG473" i="8"/>
  <c r="AK473" i="8" s="1"/>
  <c r="AG474" i="8"/>
  <c r="AK474" i="8" s="1"/>
  <c r="AG475" i="8"/>
  <c r="AK475" i="8" s="1"/>
  <c r="AG476" i="8"/>
  <c r="AK476" i="8" s="1"/>
  <c r="AG477" i="8"/>
  <c r="AK477" i="8" s="1"/>
  <c r="AG478" i="8"/>
  <c r="AK478" i="8" s="1"/>
  <c r="AG479" i="8"/>
  <c r="AK479" i="8" s="1"/>
  <c r="AG480" i="8"/>
  <c r="AK480" i="8" s="1"/>
  <c r="AG481" i="8"/>
  <c r="AK481" i="8" s="1"/>
  <c r="AG482" i="8"/>
  <c r="AK482" i="8" s="1"/>
  <c r="AG483" i="8"/>
  <c r="AK483" i="8" s="1"/>
  <c r="AG484" i="8"/>
  <c r="AK484" i="8" s="1"/>
  <c r="AG485" i="8"/>
  <c r="AK485" i="8" s="1"/>
  <c r="AG486" i="8"/>
  <c r="AK486" i="8" s="1"/>
  <c r="AG487" i="8"/>
  <c r="AK487" i="8" s="1"/>
  <c r="AG488" i="8"/>
  <c r="AK488" i="8" s="1"/>
  <c r="AG489" i="8"/>
  <c r="AK489" i="8" s="1"/>
  <c r="AG490" i="8"/>
  <c r="AK490" i="8" s="1"/>
  <c r="AG491" i="8"/>
  <c r="AK491" i="8" s="1"/>
  <c r="AG492" i="8"/>
  <c r="AK492" i="8" s="1"/>
  <c r="AG493" i="8"/>
  <c r="AK493" i="8" s="1"/>
  <c r="AG494" i="8"/>
  <c r="AK494" i="8" s="1"/>
  <c r="AG495" i="8"/>
  <c r="AK495" i="8" s="1"/>
  <c r="AG496" i="8"/>
  <c r="AK496" i="8" s="1"/>
  <c r="AG497" i="8"/>
  <c r="AK497" i="8" s="1"/>
  <c r="AG498" i="8"/>
  <c r="AK498" i="8" s="1"/>
  <c r="AG499" i="8"/>
  <c r="AK499" i="8" s="1"/>
  <c r="AG500" i="8"/>
  <c r="AK500" i="8" s="1"/>
  <c r="AG501" i="8"/>
  <c r="AK501" i="8" s="1"/>
  <c r="AG502" i="8"/>
  <c r="AK502" i="8" s="1"/>
  <c r="AG503" i="8"/>
  <c r="AK503" i="8" s="1"/>
  <c r="AG504" i="8"/>
  <c r="AK504" i="8" s="1"/>
  <c r="AG505" i="8"/>
  <c r="AK505" i="8" s="1"/>
  <c r="AI505" i="8"/>
  <c r="AC506" i="8"/>
  <c r="AF507" i="8"/>
  <c r="AH507" i="8"/>
  <c r="AD507" i="8"/>
  <c r="AG509" i="8"/>
  <c r="AK509" i="8" s="1"/>
  <c r="AI509" i="8"/>
  <c r="AD510" i="8"/>
  <c r="AG512" i="8"/>
  <c r="AK512" i="8" s="1"/>
  <c r="AI512" i="8"/>
  <c r="AD513" i="8"/>
  <c r="AH506" i="8"/>
  <c r="AF506" i="8"/>
  <c r="AG514" i="8"/>
  <c r="AK514" i="8" s="1"/>
  <c r="AI514" i="8"/>
  <c r="AG516" i="8"/>
  <c r="AK516" i="8" s="1"/>
  <c r="AI516" i="8"/>
  <c r="AC516" i="8"/>
  <c r="AD518" i="8"/>
  <c r="AG519" i="8"/>
  <c r="AK519" i="8" s="1"/>
  <c r="AI519" i="8"/>
  <c r="AC519" i="8"/>
  <c r="AD521" i="8"/>
  <c r="AG522" i="8"/>
  <c r="AK522" i="8" s="1"/>
  <c r="AI522" i="8"/>
  <c r="AC522" i="8"/>
  <c r="AH391" i="8"/>
  <c r="AF391" i="8"/>
  <c r="AF392" i="8"/>
  <c r="AH392" i="8"/>
  <c r="AH393" i="8"/>
  <c r="AF393" i="8"/>
  <c r="AF394" i="8"/>
  <c r="AH394" i="8"/>
  <c r="AH395" i="8"/>
  <c r="AF395" i="8"/>
  <c r="AF396" i="8"/>
  <c r="AH396" i="8"/>
  <c r="AH397" i="8"/>
  <c r="AF397" i="8"/>
  <c r="AF398" i="8"/>
  <c r="AH398" i="8"/>
  <c r="AH399" i="8"/>
  <c r="AF399" i="8"/>
  <c r="AF400" i="8"/>
  <c r="AH400" i="8"/>
  <c r="AH401" i="8"/>
  <c r="AF401" i="8"/>
  <c r="AF402" i="8"/>
  <c r="AH402" i="8"/>
  <c r="AH403" i="8"/>
  <c r="AF403" i="8"/>
  <c r="AF404" i="8"/>
  <c r="AH404" i="8"/>
  <c r="AH405" i="8"/>
  <c r="AF405" i="8"/>
  <c r="AF406" i="8"/>
  <c r="AH406" i="8"/>
  <c r="AH407" i="8"/>
  <c r="AF407" i="8"/>
  <c r="AF408" i="8"/>
  <c r="AH408" i="8"/>
  <c r="AH409" i="8"/>
  <c r="AF409" i="8"/>
  <c r="AF410" i="8"/>
  <c r="AH410" i="8"/>
  <c r="AH411" i="8"/>
  <c r="AF411" i="8"/>
  <c r="AF412" i="8"/>
  <c r="AH412" i="8"/>
  <c r="AH413" i="8"/>
  <c r="AF413" i="8"/>
  <c r="AF414" i="8"/>
  <c r="AH414" i="8"/>
  <c r="AH415" i="8"/>
  <c r="AF415" i="8"/>
  <c r="AF416" i="8"/>
  <c r="AH416" i="8"/>
  <c r="AH417" i="8"/>
  <c r="AF417" i="8"/>
  <c r="AF418" i="8"/>
  <c r="AH418" i="8"/>
  <c r="AH419" i="8"/>
  <c r="AF419" i="8"/>
  <c r="AF420" i="8"/>
  <c r="AH420" i="8"/>
  <c r="AH421" i="8"/>
  <c r="AF421" i="8"/>
  <c r="AF422" i="8"/>
  <c r="AH422" i="8"/>
  <c r="AH423" i="8"/>
  <c r="AF423" i="8"/>
  <c r="AF424" i="8"/>
  <c r="AH424" i="8"/>
  <c r="AH425" i="8"/>
  <c r="AF425" i="8"/>
  <c r="AF426" i="8"/>
  <c r="AH426" i="8"/>
  <c r="AH427" i="8"/>
  <c r="AF427" i="8"/>
  <c r="AF428" i="8"/>
  <c r="AH428" i="8"/>
  <c r="AH429" i="8"/>
  <c r="AF429" i="8"/>
  <c r="AF430" i="8"/>
  <c r="AH430" i="8"/>
  <c r="AH431" i="8"/>
  <c r="AF431" i="8"/>
  <c r="AF432" i="8"/>
  <c r="AH432" i="8"/>
  <c r="AH433" i="8"/>
  <c r="AF433" i="8"/>
  <c r="AF434" i="8"/>
  <c r="AH434" i="8"/>
  <c r="AH435" i="8"/>
  <c r="AF435" i="8"/>
  <c r="AF436" i="8"/>
  <c r="AH436" i="8"/>
  <c r="AH437" i="8"/>
  <c r="AF437" i="8"/>
  <c r="AF438" i="8"/>
  <c r="AH438" i="8"/>
  <c r="AH439" i="8"/>
  <c r="AF439" i="8"/>
  <c r="AF440" i="8"/>
  <c r="AH440" i="8"/>
  <c r="AH441" i="8"/>
  <c r="AF441" i="8"/>
  <c r="AF442" i="8"/>
  <c r="AH442" i="8"/>
  <c r="AH443" i="8"/>
  <c r="AF443" i="8"/>
  <c r="AF444" i="8"/>
  <c r="AH444" i="8"/>
  <c r="AH445" i="8"/>
  <c r="AF445" i="8"/>
  <c r="AF446" i="8"/>
  <c r="AH446" i="8"/>
  <c r="AH447" i="8"/>
  <c r="AF447" i="8"/>
  <c r="AF448" i="8"/>
  <c r="AH448" i="8"/>
  <c r="AH449" i="8"/>
  <c r="AF449" i="8"/>
  <c r="AF450" i="8"/>
  <c r="AH450" i="8"/>
  <c r="AH451" i="8"/>
  <c r="AF451" i="8"/>
  <c r="AF452" i="8"/>
  <c r="AH452" i="8"/>
  <c r="AH453" i="8"/>
  <c r="AF453" i="8"/>
  <c r="AF454" i="8"/>
  <c r="AH454" i="8"/>
  <c r="AH455" i="8"/>
  <c r="AF455" i="8"/>
  <c r="AH456" i="8"/>
  <c r="AF456" i="8"/>
  <c r="AF457" i="8"/>
  <c r="AH457" i="8"/>
  <c r="AH458" i="8"/>
  <c r="AF458" i="8"/>
  <c r="AF459" i="8"/>
  <c r="AH459" i="8"/>
  <c r="AH460" i="8"/>
  <c r="AF460" i="8"/>
  <c r="AF461" i="8"/>
  <c r="AH461" i="8"/>
  <c r="AH462" i="8"/>
  <c r="AF462" i="8"/>
  <c r="AF463" i="8"/>
  <c r="AH463" i="8"/>
  <c r="AH464" i="8"/>
  <c r="AF464" i="8"/>
  <c r="AF465" i="8"/>
  <c r="AH465" i="8"/>
  <c r="AH466" i="8"/>
  <c r="AF466" i="8"/>
  <c r="AF467" i="8"/>
  <c r="AH467" i="8"/>
  <c r="AH468" i="8"/>
  <c r="AF468" i="8"/>
  <c r="AF469" i="8"/>
  <c r="AH469" i="8"/>
  <c r="AH470" i="8"/>
  <c r="AF470" i="8"/>
  <c r="AF471" i="8"/>
  <c r="AH471" i="8"/>
  <c r="AH472" i="8"/>
  <c r="AF472" i="8"/>
  <c r="AF473" i="8"/>
  <c r="AH473" i="8"/>
  <c r="AH474" i="8"/>
  <c r="AF474" i="8"/>
  <c r="AF475" i="8"/>
  <c r="AH475" i="8"/>
  <c r="AH476" i="8"/>
  <c r="AF476" i="8"/>
  <c r="AF477" i="8"/>
  <c r="AH477" i="8"/>
  <c r="AH478" i="8"/>
  <c r="AF478" i="8"/>
  <c r="AF479" i="8"/>
  <c r="AH479" i="8"/>
  <c r="AH480" i="8"/>
  <c r="AF480" i="8"/>
  <c r="AF481" i="8"/>
  <c r="AH481" i="8"/>
  <c r="AH482" i="8"/>
  <c r="AF482" i="8"/>
  <c r="AF483" i="8"/>
  <c r="AH483" i="8"/>
  <c r="AH484" i="8"/>
  <c r="AF484" i="8"/>
  <c r="AF485" i="8"/>
  <c r="AH485" i="8"/>
  <c r="AH486" i="8"/>
  <c r="AF486" i="8"/>
  <c r="AF487" i="8"/>
  <c r="AH487" i="8"/>
  <c r="AH488" i="8"/>
  <c r="AF488" i="8"/>
  <c r="AF489" i="8"/>
  <c r="AH489" i="8"/>
  <c r="AH490" i="8"/>
  <c r="AF490" i="8"/>
  <c r="AF491" i="8"/>
  <c r="AH491" i="8"/>
  <c r="AH492" i="8"/>
  <c r="AF492" i="8"/>
  <c r="AF493" i="8"/>
  <c r="AH493" i="8"/>
  <c r="AH494" i="8"/>
  <c r="AF494" i="8"/>
  <c r="AF495" i="8"/>
  <c r="AH495" i="8"/>
  <c r="AH496" i="8"/>
  <c r="AF496" i="8"/>
  <c r="AF497" i="8"/>
  <c r="AH497" i="8"/>
  <c r="AH498" i="8"/>
  <c r="AF498" i="8"/>
  <c r="AF499" i="8"/>
  <c r="AH499" i="8"/>
  <c r="AH500" i="8"/>
  <c r="AF500" i="8"/>
  <c r="AF501" i="8"/>
  <c r="AH501" i="8"/>
  <c r="AH502" i="8"/>
  <c r="AF502" i="8"/>
  <c r="AF503" i="8"/>
  <c r="AH503" i="8"/>
  <c r="AH504" i="8"/>
  <c r="AF504" i="8"/>
  <c r="AF505" i="8"/>
  <c r="AH505" i="8"/>
  <c r="AG508" i="8"/>
  <c r="AK508" i="8" s="1"/>
  <c r="AI508" i="8"/>
  <c r="AD509" i="8"/>
  <c r="AG511" i="8"/>
  <c r="AK511" i="8" s="1"/>
  <c r="AI511" i="8"/>
  <c r="AD512" i="8"/>
  <c r="AC514" i="8"/>
  <c r="AC511" i="8"/>
  <c r="AD514" i="8"/>
  <c r="AD516" i="8"/>
  <c r="AG517" i="8"/>
  <c r="AK517" i="8" s="1"/>
  <c r="AI517" i="8"/>
  <c r="AC517" i="8"/>
  <c r="AD519" i="8"/>
  <c r="AG520" i="8"/>
  <c r="AK520" i="8" s="1"/>
  <c r="AI520" i="8"/>
  <c r="AC520" i="8"/>
  <c r="AD522" i="8"/>
  <c r="AL455" i="8"/>
  <c r="AL456" i="8"/>
  <c r="AL457" i="8"/>
  <c r="AL458" i="8"/>
  <c r="AL459" i="8"/>
  <c r="AL460" i="8"/>
  <c r="AL461" i="8"/>
  <c r="AL462" i="8"/>
  <c r="AL463" i="8"/>
  <c r="AL464" i="8"/>
  <c r="AL465" i="8"/>
  <c r="AL466" i="8"/>
  <c r="AL467" i="8"/>
  <c r="AL468" i="8"/>
  <c r="AL469" i="8"/>
  <c r="AL470" i="8"/>
  <c r="AL471" i="8"/>
  <c r="AL472" i="8"/>
  <c r="AL473" i="8"/>
  <c r="AL474" i="8"/>
  <c r="AL475" i="8"/>
  <c r="AL476" i="8"/>
  <c r="AL477" i="8"/>
  <c r="AL478" i="8"/>
  <c r="AL479" i="8"/>
  <c r="AL480" i="8"/>
  <c r="AL481" i="8"/>
  <c r="AL482" i="8"/>
  <c r="AL483" i="8"/>
  <c r="AL484" i="8"/>
  <c r="AL485" i="8"/>
  <c r="AL486" i="8"/>
  <c r="AL487" i="8"/>
  <c r="AL488" i="8"/>
  <c r="AL489" i="8"/>
  <c r="AL490" i="8"/>
  <c r="AI490" i="8"/>
  <c r="AL491" i="8"/>
  <c r="AI491" i="8"/>
  <c r="AL492" i="8"/>
  <c r="AI492" i="8"/>
  <c r="AL493" i="8"/>
  <c r="AI493" i="8"/>
  <c r="AL494" i="8"/>
  <c r="AI494" i="8"/>
  <c r="AL495" i="8"/>
  <c r="AI495" i="8"/>
  <c r="AL496" i="8"/>
  <c r="AI496" i="8"/>
  <c r="AL497" i="8"/>
  <c r="AI497" i="8"/>
  <c r="AL498" i="8"/>
  <c r="AI498" i="8"/>
  <c r="AL499" i="8"/>
  <c r="AI499" i="8"/>
  <c r="AL500" i="8"/>
  <c r="AI500" i="8"/>
  <c r="AL501" i="8"/>
  <c r="AI501" i="8"/>
  <c r="AL502" i="8"/>
  <c r="AI502" i="8"/>
  <c r="AL503" i="8"/>
  <c r="AI503" i="8"/>
  <c r="AL504" i="8"/>
  <c r="AI504" i="8"/>
  <c r="AL505" i="8"/>
  <c r="AG507" i="8"/>
  <c r="AK507" i="8" s="1"/>
  <c r="AI507" i="8"/>
  <c r="AD508" i="8"/>
  <c r="AG510" i="8"/>
  <c r="AK510" i="8" s="1"/>
  <c r="AI510" i="8"/>
  <c r="AD511" i="8"/>
  <c r="AG513" i="8"/>
  <c r="AK513" i="8" s="1"/>
  <c r="AI513" i="8"/>
  <c r="AG515" i="8"/>
  <c r="AK515" i="8" s="1"/>
  <c r="AI515" i="8"/>
  <c r="AJ522" i="8"/>
  <c r="AC523" i="8"/>
  <c r="AC524" i="8"/>
  <c r="AC525" i="8"/>
  <c r="AC526" i="8"/>
  <c r="AC527" i="8"/>
  <c r="AC528" i="8"/>
  <c r="AC529" i="8"/>
  <c r="AC530" i="8"/>
  <c r="AC531" i="8"/>
  <c r="AC532" i="8"/>
  <c r="AC533" i="8"/>
  <c r="AC534" i="8"/>
  <c r="AC535" i="8"/>
  <c r="AC536" i="8"/>
  <c r="AC537" i="8"/>
  <c r="AC538" i="8"/>
  <c r="AC539" i="8"/>
  <c r="AC540" i="8"/>
  <c r="AC541" i="8"/>
  <c r="AC542" i="8"/>
  <c r="AC543" i="8"/>
  <c r="AC544" i="8"/>
  <c r="AC545" i="8"/>
  <c r="AC546" i="8"/>
  <c r="AC547" i="8"/>
  <c r="AC548" i="8"/>
  <c r="AC549" i="8"/>
  <c r="AC550" i="8"/>
  <c r="AC551" i="8"/>
  <c r="AC552" i="8"/>
  <c r="AC553" i="8"/>
  <c r="AC554" i="8"/>
  <c r="AC555" i="8"/>
  <c r="AC556" i="8"/>
  <c r="AC557" i="8"/>
  <c r="AC558" i="8"/>
  <c r="AD559" i="8"/>
  <c r="AI560" i="8"/>
  <c r="AL561" i="8"/>
  <c r="AJ561" i="8"/>
  <c r="AG563" i="8"/>
  <c r="AK563" i="8" s="1"/>
  <c r="AC564" i="8"/>
  <c r="AD565" i="8"/>
  <c r="AI566" i="8"/>
  <c r="AL567" i="8"/>
  <c r="AJ567" i="8"/>
  <c r="AG569" i="8"/>
  <c r="AK569" i="8" s="1"/>
  <c r="AD570" i="8"/>
  <c r="AD572" i="8"/>
  <c r="AD574" i="8"/>
  <c r="AD576" i="8"/>
  <c r="AD578" i="8"/>
  <c r="AD580" i="8"/>
  <c r="AL590" i="8"/>
  <c r="AL592" i="8"/>
  <c r="AH508" i="8"/>
  <c r="AF508" i="8"/>
  <c r="AF509" i="8"/>
  <c r="AH509" i="8"/>
  <c r="AH510" i="8"/>
  <c r="AF510" i="8"/>
  <c r="AF511" i="8"/>
  <c r="AH511" i="8"/>
  <c r="AH512" i="8"/>
  <c r="AF512" i="8"/>
  <c r="AF513" i="8"/>
  <c r="AH513" i="8"/>
  <c r="AH514" i="8"/>
  <c r="AF514" i="8"/>
  <c r="AF515" i="8"/>
  <c r="AH515" i="8"/>
  <c r="AH516" i="8"/>
  <c r="AF516" i="8"/>
  <c r="AF517" i="8"/>
  <c r="AH517" i="8"/>
  <c r="AH518" i="8"/>
  <c r="AF518" i="8"/>
  <c r="AF519" i="8"/>
  <c r="AH519" i="8"/>
  <c r="AH520" i="8"/>
  <c r="AF520" i="8"/>
  <c r="AF521" i="8"/>
  <c r="AH521" i="8"/>
  <c r="AH522" i="8"/>
  <c r="AF522" i="8"/>
  <c r="AF523" i="8"/>
  <c r="AH523" i="8"/>
  <c r="AH524" i="8"/>
  <c r="AF524" i="8"/>
  <c r="AF525" i="8"/>
  <c r="AH525" i="8"/>
  <c r="AH526" i="8"/>
  <c r="AF526" i="8"/>
  <c r="AF527" i="8"/>
  <c r="AH527" i="8"/>
  <c r="AH528" i="8"/>
  <c r="AF528" i="8"/>
  <c r="AF529" i="8"/>
  <c r="AH529" i="8"/>
  <c r="AH530" i="8"/>
  <c r="AF530" i="8"/>
  <c r="AF531" i="8"/>
  <c r="AH531" i="8"/>
  <c r="AH532" i="8"/>
  <c r="AF532" i="8"/>
  <c r="AF533" i="8"/>
  <c r="AH533" i="8"/>
  <c r="AH534" i="8"/>
  <c r="AF534" i="8"/>
  <c r="AF535" i="8"/>
  <c r="AH535" i="8"/>
  <c r="AH536" i="8"/>
  <c r="AF536" i="8"/>
  <c r="AF537" i="8"/>
  <c r="AH537" i="8"/>
  <c r="AH538" i="8"/>
  <c r="AF538" i="8"/>
  <c r="AF539" i="8"/>
  <c r="AH539" i="8"/>
  <c r="AH540" i="8"/>
  <c r="AF540" i="8"/>
  <c r="AF541" i="8"/>
  <c r="AH541" i="8"/>
  <c r="AH542" i="8"/>
  <c r="AF542" i="8"/>
  <c r="AF543" i="8"/>
  <c r="AH543" i="8"/>
  <c r="AH544" i="8"/>
  <c r="AF544" i="8"/>
  <c r="AF545" i="8"/>
  <c r="AH545" i="8"/>
  <c r="AH546" i="8"/>
  <c r="AF546" i="8"/>
  <c r="AF547" i="8"/>
  <c r="AH547" i="8"/>
  <c r="AH548" i="8"/>
  <c r="AF548" i="8"/>
  <c r="AF549" i="8"/>
  <c r="AH549" i="8"/>
  <c r="AH550" i="8"/>
  <c r="AF550" i="8"/>
  <c r="AF551" i="8"/>
  <c r="AH551" i="8"/>
  <c r="AH552" i="8"/>
  <c r="AF552" i="8"/>
  <c r="AF553" i="8"/>
  <c r="AH553" i="8"/>
  <c r="AH554" i="8"/>
  <c r="AF554" i="8"/>
  <c r="AF555" i="8"/>
  <c r="AH555" i="8"/>
  <c r="AH556" i="8"/>
  <c r="AF556" i="8"/>
  <c r="AF557" i="8"/>
  <c r="AH557" i="8"/>
  <c r="AH558" i="8"/>
  <c r="AF558" i="8"/>
  <c r="AG562" i="8"/>
  <c r="AK562" i="8" s="1"/>
  <c r="AD564" i="8"/>
  <c r="AG568" i="8"/>
  <c r="AK568" i="8" s="1"/>
  <c r="AG571" i="8"/>
  <c r="AK571" i="8" s="1"/>
  <c r="AD583" i="8"/>
  <c r="AD586" i="8"/>
  <c r="AD589" i="8"/>
  <c r="AD591" i="8"/>
  <c r="AI558" i="8"/>
  <c r="AL559" i="8"/>
  <c r="AD563" i="8"/>
  <c r="AI564" i="8"/>
  <c r="AL565" i="8"/>
  <c r="AD569" i="8"/>
  <c r="AL570" i="8"/>
  <c r="AC571" i="8"/>
  <c r="AL572" i="8"/>
  <c r="AC573" i="8"/>
  <c r="AL574" i="8"/>
  <c r="AC575" i="8"/>
  <c r="AL576" i="8"/>
  <c r="AC577" i="8"/>
  <c r="AL578" i="8"/>
  <c r="AC579" i="8"/>
  <c r="AL580" i="8"/>
  <c r="AC581" i="8"/>
  <c r="AL506" i="8"/>
  <c r="AL507" i="8"/>
  <c r="AL508" i="8"/>
  <c r="AL509" i="8"/>
  <c r="AL510" i="8"/>
  <c r="AL511" i="8"/>
  <c r="AL512" i="8"/>
  <c r="AL513" i="8"/>
  <c r="AL514" i="8"/>
  <c r="AL515" i="8"/>
  <c r="AL516" i="8"/>
  <c r="AL517" i="8"/>
  <c r="AL518" i="8"/>
  <c r="AL519" i="8"/>
  <c r="AL520" i="8"/>
  <c r="AL521" i="8"/>
  <c r="AL522" i="8"/>
  <c r="AL523" i="8"/>
  <c r="AI523" i="8"/>
  <c r="AL524" i="8"/>
  <c r="AI524" i="8"/>
  <c r="AL525" i="8"/>
  <c r="AI525" i="8"/>
  <c r="AL526" i="8"/>
  <c r="AI526" i="8"/>
  <c r="AL527" i="8"/>
  <c r="AI527" i="8"/>
  <c r="AL528" i="8"/>
  <c r="AI528" i="8"/>
  <c r="AL529" i="8"/>
  <c r="AI529" i="8"/>
  <c r="AL530" i="8"/>
  <c r="AI530" i="8"/>
  <c r="AL531" i="8"/>
  <c r="AI531" i="8"/>
  <c r="AL532" i="8"/>
  <c r="AI532" i="8"/>
  <c r="AL533" i="8"/>
  <c r="AI533" i="8"/>
  <c r="AL534" i="8"/>
  <c r="AI534" i="8"/>
  <c r="AL535" i="8"/>
  <c r="AI535" i="8"/>
  <c r="AL536" i="8"/>
  <c r="AI536" i="8"/>
  <c r="AL537" i="8"/>
  <c r="AI537" i="8"/>
  <c r="AL538" i="8"/>
  <c r="AI538" i="8"/>
  <c r="AL539" i="8"/>
  <c r="AI539" i="8"/>
  <c r="AL540" i="8"/>
  <c r="AI540" i="8"/>
  <c r="AL541" i="8"/>
  <c r="AI541" i="8"/>
  <c r="AL542" i="8"/>
  <c r="AI542" i="8"/>
  <c r="AL543" i="8"/>
  <c r="AI543" i="8"/>
  <c r="AL544" i="8"/>
  <c r="AI544" i="8"/>
  <c r="AL545" i="8"/>
  <c r="AI545" i="8"/>
  <c r="AL546" i="8"/>
  <c r="AI546" i="8"/>
  <c r="AL547" i="8"/>
  <c r="AI547" i="8"/>
  <c r="AL548" i="8"/>
  <c r="AI548" i="8"/>
  <c r="AL549" i="8"/>
  <c r="AI549" i="8"/>
  <c r="AL550" i="8"/>
  <c r="AI550" i="8"/>
  <c r="AL551" i="8"/>
  <c r="AI551" i="8"/>
  <c r="AL552" i="8"/>
  <c r="AI552" i="8"/>
  <c r="AL553" i="8"/>
  <c r="AI553" i="8"/>
  <c r="AL554" i="8"/>
  <c r="AI554" i="8"/>
  <c r="AL555" i="8"/>
  <c r="AI555" i="8"/>
  <c r="AL556" i="8"/>
  <c r="AI556" i="8"/>
  <c r="AL557" i="8"/>
  <c r="AI557" i="8"/>
  <c r="AL558" i="8"/>
  <c r="AC561" i="8"/>
  <c r="AD562" i="8"/>
  <c r="AL564" i="8"/>
  <c r="AC567" i="8"/>
  <c r="AD568" i="8"/>
  <c r="AD571" i="8"/>
  <c r="AI571" i="8"/>
  <c r="AD573" i="8"/>
  <c r="AI573" i="8"/>
  <c r="AD575" i="8"/>
  <c r="AI575" i="8"/>
  <c r="AD577" i="8"/>
  <c r="AD594" i="8"/>
  <c r="AD597" i="8"/>
  <c r="AD600" i="8"/>
  <c r="AD603" i="8"/>
  <c r="AJ523" i="8"/>
  <c r="AJ524" i="8"/>
  <c r="AJ525" i="8"/>
  <c r="AJ526" i="8"/>
  <c r="AJ527" i="8"/>
  <c r="AJ528" i="8"/>
  <c r="AJ529" i="8"/>
  <c r="AJ530" i="8"/>
  <c r="AJ539" i="8"/>
  <c r="AJ540" i="8"/>
  <c r="AJ541" i="8"/>
  <c r="AJ542" i="8"/>
  <c r="AJ543" i="8"/>
  <c r="AJ544" i="8"/>
  <c r="AJ545" i="8"/>
  <c r="AJ546" i="8"/>
  <c r="AJ547" i="8"/>
  <c r="AJ548" i="8"/>
  <c r="AJ549" i="8"/>
  <c r="AJ550" i="8"/>
  <c r="AJ551" i="8"/>
  <c r="AJ552" i="8"/>
  <c r="AJ553" i="8"/>
  <c r="AG559" i="8"/>
  <c r="AK559" i="8" s="1"/>
  <c r="AC560" i="8"/>
  <c r="AD561" i="8"/>
  <c r="AI562" i="8"/>
  <c r="AL563" i="8"/>
  <c r="AG565" i="8"/>
  <c r="AK565" i="8" s="1"/>
  <c r="AC566" i="8"/>
  <c r="AD567" i="8"/>
  <c r="AI568" i="8"/>
  <c r="AL569" i="8"/>
  <c r="AG570" i="8"/>
  <c r="AK570" i="8" s="1"/>
  <c r="AG572" i="8"/>
  <c r="AK572" i="8" s="1"/>
  <c r="AG574" i="8"/>
  <c r="AK574" i="8" s="1"/>
  <c r="AG576" i="8"/>
  <c r="AK576" i="8" s="1"/>
  <c r="AG578" i="8"/>
  <c r="AK578" i="8" s="1"/>
  <c r="AG580" i="8"/>
  <c r="AK580" i="8" s="1"/>
  <c r="AD590" i="8"/>
  <c r="AD592" i="8"/>
  <c r="AL581" i="8"/>
  <c r="AD582" i="8"/>
  <c r="AD585" i="8"/>
  <c r="AD588" i="8"/>
  <c r="AD595" i="8"/>
  <c r="AD601" i="8"/>
  <c r="AD604" i="8"/>
  <c r="AG582" i="8"/>
  <c r="AK582" i="8" s="1"/>
  <c r="AG583" i="8"/>
  <c r="AK583" i="8" s="1"/>
  <c r="AG584" i="8"/>
  <c r="AK584" i="8" s="1"/>
  <c r="AG585" i="8"/>
  <c r="AK585" i="8" s="1"/>
  <c r="AG586" i="8"/>
  <c r="AK586" i="8" s="1"/>
  <c r="AG587" i="8"/>
  <c r="AK587" i="8" s="1"/>
  <c r="AG588" i="8"/>
  <c r="AK588" i="8" s="1"/>
  <c r="AG589" i="8"/>
  <c r="AK589" i="8" s="1"/>
  <c r="AG590" i="8"/>
  <c r="AK590" i="8" s="1"/>
  <c r="AG591" i="8"/>
  <c r="AK591" i="8" s="1"/>
  <c r="AG592" i="8"/>
  <c r="AK592" i="8" s="1"/>
  <c r="AG593" i="8"/>
  <c r="AK593" i="8" s="1"/>
  <c r="AG594" i="8"/>
  <c r="AK594" i="8" s="1"/>
  <c r="AG595" i="8"/>
  <c r="AK595" i="8" s="1"/>
  <c r="AG596" i="8"/>
  <c r="AK596" i="8" s="1"/>
  <c r="AG597" i="8"/>
  <c r="AK597" i="8" s="1"/>
  <c r="AG598" i="8"/>
  <c r="AK598" i="8" s="1"/>
  <c r="AG599" i="8"/>
  <c r="AK599" i="8" s="1"/>
  <c r="AG600" i="8"/>
  <c r="AK600" i="8" s="1"/>
  <c r="AG601" i="8"/>
  <c r="AK601" i="8" s="1"/>
  <c r="AG602" i="8"/>
  <c r="AK602" i="8" s="1"/>
  <c r="AG603" i="8"/>
  <c r="AK603" i="8" s="1"/>
  <c r="AG604" i="8"/>
  <c r="AK604" i="8" s="1"/>
  <c r="AG605" i="8"/>
  <c r="AK605" i="8" s="1"/>
  <c r="AG606" i="8"/>
  <c r="AK606" i="8" s="1"/>
  <c r="AG618" i="8"/>
  <c r="AK618" i="8" s="1"/>
  <c r="AG619" i="8"/>
  <c r="AK619" i="8" s="1"/>
  <c r="AG620" i="8"/>
  <c r="AK620" i="8" s="1"/>
  <c r="AG621" i="8"/>
  <c r="AK621" i="8" s="1"/>
  <c r="AC606" i="8"/>
  <c r="AC607" i="8"/>
  <c r="AC608" i="8"/>
  <c r="AC609" i="8"/>
  <c r="AC610" i="8"/>
  <c r="AC611" i="8"/>
  <c r="AC612" i="8"/>
  <c r="AC613" i="8"/>
  <c r="AC614" i="8"/>
  <c r="AC615" i="8"/>
  <c r="AC616" i="8"/>
  <c r="AC617" i="8"/>
  <c r="AC619" i="8"/>
  <c r="AC620" i="8"/>
  <c r="AC621" i="8"/>
  <c r="AF559" i="8"/>
  <c r="AH559" i="8"/>
  <c r="AH560" i="8"/>
  <c r="AF560" i="8"/>
  <c r="AF561" i="8"/>
  <c r="AH561" i="8"/>
  <c r="AH562" i="8"/>
  <c r="AF562" i="8"/>
  <c r="AF563" i="8"/>
  <c r="AH563" i="8"/>
  <c r="AH564" i="8"/>
  <c r="AF564" i="8"/>
  <c r="AF565" i="8"/>
  <c r="AH565" i="8"/>
  <c r="AH566" i="8"/>
  <c r="AF566" i="8"/>
  <c r="AF567" i="8"/>
  <c r="AH567" i="8"/>
  <c r="AH568" i="8"/>
  <c r="AF568" i="8"/>
  <c r="AF569" i="8"/>
  <c r="AH569" i="8"/>
  <c r="AF570" i="8"/>
  <c r="AH570" i="8"/>
  <c r="AF571" i="8"/>
  <c r="AH571" i="8"/>
  <c r="AF572" i="8"/>
  <c r="AH572" i="8"/>
  <c r="AF573" i="8"/>
  <c r="AH573" i="8"/>
  <c r="AF574" i="8"/>
  <c r="AH574" i="8"/>
  <c r="AF575" i="8"/>
  <c r="AH575" i="8"/>
  <c r="AF576" i="8"/>
  <c r="AH576" i="8"/>
  <c r="AF577" i="8"/>
  <c r="AH577" i="8"/>
  <c r="AF578" i="8"/>
  <c r="AH578" i="8"/>
  <c r="AF579" i="8"/>
  <c r="AH579" i="8"/>
  <c r="AF580" i="8"/>
  <c r="AH580" i="8"/>
  <c r="AF581" i="8"/>
  <c r="AH581" i="8"/>
  <c r="AF582" i="8"/>
  <c r="AH582" i="8"/>
  <c r="AF583" i="8"/>
  <c r="AH583" i="8"/>
  <c r="AF584" i="8"/>
  <c r="AH584" i="8"/>
  <c r="AF585" i="8"/>
  <c r="AH585" i="8"/>
  <c r="AF586" i="8"/>
  <c r="AH586" i="8"/>
  <c r="AF587" i="8"/>
  <c r="AH587" i="8"/>
  <c r="AF588" i="8"/>
  <c r="AH588" i="8"/>
  <c r="AF589" i="8"/>
  <c r="AH589" i="8"/>
  <c r="AF590" i="8"/>
  <c r="AH590" i="8"/>
  <c r="AF591" i="8"/>
  <c r="AH591" i="8"/>
  <c r="AF592" i="8"/>
  <c r="AH592" i="8"/>
  <c r="AF593" i="8"/>
  <c r="AH593" i="8"/>
  <c r="AF594" i="8"/>
  <c r="AH594" i="8"/>
  <c r="AF595" i="8"/>
  <c r="AH595" i="8"/>
  <c r="AF596" i="8"/>
  <c r="AH596" i="8"/>
  <c r="AF597" i="8"/>
  <c r="AH597" i="8"/>
  <c r="AF598" i="8"/>
  <c r="AH598" i="8"/>
  <c r="AF599" i="8"/>
  <c r="AH599" i="8"/>
  <c r="AF600" i="8"/>
  <c r="AH600" i="8"/>
  <c r="AF601" i="8"/>
  <c r="AH601" i="8"/>
  <c r="AF602" i="8"/>
  <c r="AH602" i="8"/>
  <c r="AF603" i="8"/>
  <c r="AH603" i="8"/>
  <c r="AF604" i="8"/>
  <c r="AH604" i="8"/>
  <c r="AF605" i="8"/>
  <c r="AH605" i="8"/>
  <c r="AF606" i="8"/>
  <c r="AH606" i="8"/>
  <c r="AF607" i="8"/>
  <c r="AH607" i="8"/>
  <c r="AF608" i="8"/>
  <c r="AH608" i="8"/>
  <c r="AF609" i="8"/>
  <c r="AH609" i="8"/>
  <c r="AF610" i="8"/>
  <c r="AH610" i="8"/>
  <c r="AF611" i="8"/>
  <c r="AH611" i="8"/>
  <c r="AF612" i="8"/>
  <c r="AH612" i="8"/>
  <c r="AF613" i="8"/>
  <c r="AH613" i="8"/>
  <c r="AF614" i="8"/>
  <c r="AH614" i="8"/>
  <c r="AF615" i="8"/>
  <c r="AH615" i="8"/>
  <c r="AF616" i="8"/>
  <c r="AH616" i="8"/>
  <c r="AF617" i="8"/>
  <c r="AH617" i="8"/>
  <c r="AF618" i="8"/>
  <c r="AH618" i="8"/>
  <c r="AF619" i="8"/>
  <c r="AH619" i="8"/>
  <c r="AF620" i="8"/>
  <c r="AH620" i="8"/>
  <c r="AF621" i="8"/>
  <c r="AH621" i="8"/>
  <c r="AL18" i="8"/>
  <c r="AG106" i="8"/>
  <c r="AK106" i="8" s="1"/>
  <c r="AG58" i="8"/>
  <c r="AK58" i="8" s="1"/>
  <c r="AG63" i="8"/>
  <c r="AK63" i="8" s="1"/>
  <c r="AL185" i="8"/>
  <c r="AD221" i="8"/>
  <c r="AD251" i="8"/>
  <c r="AG29" i="8"/>
  <c r="AG30" i="8"/>
  <c r="AG167" i="8"/>
  <c r="AK167" i="8" s="1"/>
  <c r="AL49" i="8"/>
  <c r="AL82" i="8"/>
  <c r="AG91" i="8"/>
  <c r="AK91" i="8" s="1"/>
  <c r="AG94" i="8"/>
  <c r="AK94" i="8" s="1"/>
  <c r="AG97" i="8"/>
  <c r="AK97" i="8" s="1"/>
  <c r="AG98" i="8"/>
  <c r="AK98" i="8" s="1"/>
  <c r="AG99" i="8"/>
  <c r="AK99" i="8" s="1"/>
  <c r="AG100" i="8"/>
  <c r="AK100" i="8" s="1"/>
  <c r="AG183" i="8"/>
  <c r="AK183" i="8" s="1"/>
  <c r="AG45" i="8"/>
  <c r="AK45" i="8" s="1"/>
  <c r="AG46" i="8"/>
  <c r="AG158" i="8"/>
  <c r="AK158" i="8" s="1"/>
  <c r="AG177" i="8"/>
  <c r="AK177" i="8" s="1"/>
  <c r="AL230" i="8"/>
  <c r="AF36" i="8"/>
  <c r="AH36" i="8"/>
  <c r="AI44" i="8"/>
  <c r="AG44" i="8"/>
  <c r="AK44" i="8" s="1"/>
  <c r="AD54" i="8"/>
  <c r="AF87" i="8"/>
  <c r="AH87" i="8"/>
  <c r="AF90" i="8"/>
  <c r="AH90" i="8"/>
  <c r="AF18" i="8"/>
  <c r="AH18" i="8"/>
  <c r="AF20" i="8"/>
  <c r="AH20" i="8"/>
  <c r="AH28" i="8"/>
  <c r="AH29" i="8"/>
  <c r="AF33" i="8"/>
  <c r="AH33" i="8"/>
  <c r="AG36" i="8"/>
  <c r="AG50" i="8"/>
  <c r="AI52" i="8"/>
  <c r="AG52" i="8"/>
  <c r="AG53" i="8"/>
  <c r="AK53" i="8" s="1"/>
  <c r="AL58" i="8"/>
  <c r="AF63" i="8"/>
  <c r="AH63" i="8"/>
  <c r="AF64" i="8"/>
  <c r="AH64" i="8"/>
  <c r="AI68" i="8"/>
  <c r="AG68" i="8"/>
  <c r="AK68" i="8" s="1"/>
  <c r="AI69" i="8"/>
  <c r="AG69" i="8"/>
  <c r="AK69" i="8" s="1"/>
  <c r="AI70" i="8"/>
  <c r="AG70" i="8"/>
  <c r="AK70" i="8" s="1"/>
  <c r="AG71" i="8"/>
  <c r="AK71" i="8" s="1"/>
  <c r="AF79" i="8"/>
  <c r="AH79" i="8"/>
  <c r="AI83" i="8"/>
  <c r="AG83" i="8"/>
  <c r="AK83" i="8" s="1"/>
  <c r="AI84" i="8"/>
  <c r="AG84" i="8"/>
  <c r="AK84" i="8" s="1"/>
  <c r="AI85" i="8"/>
  <c r="AG85" i="8"/>
  <c r="AK85" i="8" s="1"/>
  <c r="AG86" i="8"/>
  <c r="AK86" i="8" s="1"/>
  <c r="AF98" i="8"/>
  <c r="AH98" i="8"/>
  <c r="AF99" i="8"/>
  <c r="AH99" i="8"/>
  <c r="AF100" i="8"/>
  <c r="AH100" i="8"/>
  <c r="AI101" i="8"/>
  <c r="AG101" i="8"/>
  <c r="AK101" i="8" s="1"/>
  <c r="AG102" i="8"/>
  <c r="AK102" i="8" s="1"/>
  <c r="AF106" i="8"/>
  <c r="AH106" i="8"/>
  <c r="AI109" i="8"/>
  <c r="AG109" i="8"/>
  <c r="AK109" i="8" s="1"/>
  <c r="AG110" i="8"/>
  <c r="AK110" i="8" s="1"/>
  <c r="AI111" i="8"/>
  <c r="AG111" i="8"/>
  <c r="AK111" i="8" s="1"/>
  <c r="AG112" i="8"/>
  <c r="AK112" i="8" s="1"/>
  <c r="AF118" i="8"/>
  <c r="AH118" i="8"/>
  <c r="AC120" i="8"/>
  <c r="AI121" i="8"/>
  <c r="AG121" i="8"/>
  <c r="AK121" i="8" s="1"/>
  <c r="AF134" i="8"/>
  <c r="AH134" i="8"/>
  <c r="AG137" i="8"/>
  <c r="AK137" i="8" s="1"/>
  <c r="AG138" i="8"/>
  <c r="AK138" i="8" s="1"/>
  <c r="AG139" i="8"/>
  <c r="AK139" i="8" s="1"/>
  <c r="AD143" i="8"/>
  <c r="AF146" i="8"/>
  <c r="AH146" i="8"/>
  <c r="AF147" i="8"/>
  <c r="AH147" i="8"/>
  <c r="AF148" i="8"/>
  <c r="AH148" i="8"/>
  <c r="AF149" i="8"/>
  <c r="AH149" i="8"/>
  <c r="AF150" i="8"/>
  <c r="AH150" i="8"/>
  <c r="AF151" i="8"/>
  <c r="AH151" i="8"/>
  <c r="AF158" i="8"/>
  <c r="AH158" i="8"/>
  <c r="AG161" i="8"/>
  <c r="AK161" i="8" s="1"/>
  <c r="AF165" i="8"/>
  <c r="AH165" i="8"/>
  <c r="AF166" i="8"/>
  <c r="AH166" i="8"/>
  <c r="AF167" i="8"/>
  <c r="AH167" i="8"/>
  <c r="AG170" i="8"/>
  <c r="AK170" i="8" s="1"/>
  <c r="AF177" i="8"/>
  <c r="AH177" i="8"/>
  <c r="AI178" i="8"/>
  <c r="AG178" i="8"/>
  <c r="AK178" i="8" s="1"/>
  <c r="AG179" i="8"/>
  <c r="AK179" i="8" s="1"/>
  <c r="AF183" i="8"/>
  <c r="AH183" i="8"/>
  <c r="AG185" i="8"/>
  <c r="AK185" i="8" s="1"/>
  <c r="AI192" i="8"/>
  <c r="AG192" i="8"/>
  <c r="AK192" i="8" s="1"/>
  <c r="AG193" i="8"/>
  <c r="AK193" i="8" s="1"/>
  <c r="AL199" i="8"/>
  <c r="AL202" i="8"/>
  <c r="AH206" i="8"/>
  <c r="AF206" i="8"/>
  <c r="AF207" i="8"/>
  <c r="AH207" i="8"/>
  <c r="AF208" i="8"/>
  <c r="AH208" i="8"/>
  <c r="AC211" i="8"/>
  <c r="AG211" i="8"/>
  <c r="AK211" i="8" s="1"/>
  <c r="AG212" i="8"/>
  <c r="AK212" i="8" s="1"/>
  <c r="AI213" i="8"/>
  <c r="AG213" i="8"/>
  <c r="AK213" i="8" s="1"/>
  <c r="AG214" i="8"/>
  <c r="AK214" i="8" s="1"/>
  <c r="AL222" i="8"/>
  <c r="AF225" i="8"/>
  <c r="AH225" i="8"/>
  <c r="AH226" i="8"/>
  <c r="AF226" i="8"/>
  <c r="AF227" i="8"/>
  <c r="AH227" i="8"/>
  <c r="AF228" i="8"/>
  <c r="AH228" i="8"/>
  <c r="AL235" i="8"/>
  <c r="AH242" i="8"/>
  <c r="AF242" i="8"/>
  <c r="AF243" i="8"/>
  <c r="AH243" i="8"/>
  <c r="AF244" i="8"/>
  <c r="AH244" i="8"/>
  <c r="AF245" i="8"/>
  <c r="AH245" i="8"/>
  <c r="AG250" i="8"/>
  <c r="AK250" i="8" s="1"/>
  <c r="AH270" i="8"/>
  <c r="AF270" i="8"/>
  <c r="AF271" i="8"/>
  <c r="AH271" i="8"/>
  <c r="AH272" i="8"/>
  <c r="AF272" i="8"/>
  <c r="AF273" i="8"/>
  <c r="AH273" i="8"/>
  <c r="AI283" i="8"/>
  <c r="AG283" i="8"/>
  <c r="AK283" i="8" s="1"/>
  <c r="AI284" i="8"/>
  <c r="AG284" i="8"/>
  <c r="AK284" i="8" s="1"/>
  <c r="AI285" i="8"/>
  <c r="AG285" i="8"/>
  <c r="AK285" i="8" s="1"/>
  <c r="AI39" i="8"/>
  <c r="AI40" i="8"/>
  <c r="AF48" i="8"/>
  <c r="AH48" i="8"/>
  <c r="AH49" i="8"/>
  <c r="AG54" i="8"/>
  <c r="AK54" i="8" s="1"/>
  <c r="AI55" i="8"/>
  <c r="AG55" i="8"/>
  <c r="AK55" i="8" s="1"/>
  <c r="AG56" i="8"/>
  <c r="AK56" i="8" s="1"/>
  <c r="AF65" i="8"/>
  <c r="AH65" i="8"/>
  <c r="AF66" i="8"/>
  <c r="AH66" i="8"/>
  <c r="AD66" i="8"/>
  <c r="AF67" i="8"/>
  <c r="AH67" i="8"/>
  <c r="AG72" i="8"/>
  <c r="AK72" i="8" s="1"/>
  <c r="AF80" i="8"/>
  <c r="AH80" i="8"/>
  <c r="AF81" i="8"/>
  <c r="AH81" i="8"/>
  <c r="AF82" i="8"/>
  <c r="AH82" i="8"/>
  <c r="AL91" i="8"/>
  <c r="AL96" i="8"/>
  <c r="AL97" i="8"/>
  <c r="AF107" i="8"/>
  <c r="AH107" i="8"/>
  <c r="AF108" i="8"/>
  <c r="AH108" i="8"/>
  <c r="AG113" i="8"/>
  <c r="AK113" i="8" s="1"/>
  <c r="AG114" i="8"/>
  <c r="AK114" i="8" s="1"/>
  <c r="AL117" i="8"/>
  <c r="AF119" i="8"/>
  <c r="AH119" i="8"/>
  <c r="AF120" i="8"/>
  <c r="AH120" i="8"/>
  <c r="AI122" i="8"/>
  <c r="AG122" i="8"/>
  <c r="AK122" i="8" s="1"/>
  <c r="AG123" i="8"/>
  <c r="AK123" i="8" s="1"/>
  <c r="AL129" i="8"/>
  <c r="AL131" i="8"/>
  <c r="AF135" i="8"/>
  <c r="AH135" i="8"/>
  <c r="AF136" i="8"/>
  <c r="AH136" i="8"/>
  <c r="AG140" i="8"/>
  <c r="AK140" i="8" s="1"/>
  <c r="AL145" i="8"/>
  <c r="AF152" i="8"/>
  <c r="AH152" i="8"/>
  <c r="AG153" i="8"/>
  <c r="AK153" i="8" s="1"/>
  <c r="AG154" i="8"/>
  <c r="AK154" i="8" s="1"/>
  <c r="AF159" i="8"/>
  <c r="AH159" i="8"/>
  <c r="AF160" i="8"/>
  <c r="AH160" i="8"/>
  <c r="AI162" i="8"/>
  <c r="AG162" i="8"/>
  <c r="AK162" i="8" s="1"/>
  <c r="AI163" i="8"/>
  <c r="AG163" i="8"/>
  <c r="AK163" i="8" s="1"/>
  <c r="AF168" i="8"/>
  <c r="AH168" i="8"/>
  <c r="AF169" i="8"/>
  <c r="AH169" i="8"/>
  <c r="AC170" i="8"/>
  <c r="AG171" i="8"/>
  <c r="AK171" i="8" s="1"/>
  <c r="AI172" i="8"/>
  <c r="AG172" i="8"/>
  <c r="AK172" i="8" s="1"/>
  <c r="AG180" i="8"/>
  <c r="AK180" i="8" s="1"/>
  <c r="AL182" i="8"/>
  <c r="AF184" i="8"/>
  <c r="AH184" i="8"/>
  <c r="AG186" i="8"/>
  <c r="AK186" i="8" s="1"/>
  <c r="AF191" i="8"/>
  <c r="AH191" i="8"/>
  <c r="AI194" i="8"/>
  <c r="AG194" i="8"/>
  <c r="AK194" i="8" s="1"/>
  <c r="AI195" i="8"/>
  <c r="AG195" i="8"/>
  <c r="AK195" i="8" s="1"/>
  <c r="AF209" i="8"/>
  <c r="AH209" i="8"/>
  <c r="AH210" i="8"/>
  <c r="AF210" i="8"/>
  <c r="AG215" i="8"/>
  <c r="AK215" i="8" s="1"/>
  <c r="AI216" i="8"/>
  <c r="AG216" i="8"/>
  <c r="AK216" i="8" s="1"/>
  <c r="AI217" i="8"/>
  <c r="AG217" i="8"/>
  <c r="AK217" i="8" s="1"/>
  <c r="AG218" i="8"/>
  <c r="AK218" i="8" s="1"/>
  <c r="AF229" i="8"/>
  <c r="AH229" i="8"/>
  <c r="AH230" i="8"/>
  <c r="AF230" i="8"/>
  <c r="AF231" i="8"/>
  <c r="AH231" i="8"/>
  <c r="AG232" i="8"/>
  <c r="AK232" i="8" s="1"/>
  <c r="AG233" i="8"/>
  <c r="AK233" i="8" s="1"/>
  <c r="AI234" i="8"/>
  <c r="AG234" i="8"/>
  <c r="AK234" i="8" s="1"/>
  <c r="AL238" i="8"/>
  <c r="AH246" i="8"/>
  <c r="AF246" i="8"/>
  <c r="AF247" i="8"/>
  <c r="AH247" i="8"/>
  <c r="AH248" i="8"/>
  <c r="AF248" i="8"/>
  <c r="AF249" i="8"/>
  <c r="AH249" i="8"/>
  <c r="AG251" i="8"/>
  <c r="AK251" i="8" s="1"/>
  <c r="AI252" i="8"/>
  <c r="AG252" i="8"/>
  <c r="AK252" i="8" s="1"/>
  <c r="AG253" i="8"/>
  <c r="AK253" i="8" s="1"/>
  <c r="AL261" i="8"/>
  <c r="AL263" i="8"/>
  <c r="AH274" i="8"/>
  <c r="AF274" i="8"/>
  <c r="AF275" i="8"/>
  <c r="AH275" i="8"/>
  <c r="AH276" i="8"/>
  <c r="AF276" i="8"/>
  <c r="AF277" i="8"/>
  <c r="AH277" i="8"/>
  <c r="AH278" i="8"/>
  <c r="AF278" i="8"/>
  <c r="AF279" i="8"/>
  <c r="AH279" i="8"/>
  <c r="AH280" i="8"/>
  <c r="AF280" i="8"/>
  <c r="AF281" i="8"/>
  <c r="AH281" i="8"/>
  <c r="AH282" i="8"/>
  <c r="AF282" i="8"/>
  <c r="AH50" i="8"/>
  <c r="AF53" i="8"/>
  <c r="AH53" i="8"/>
  <c r="AI57" i="8"/>
  <c r="AG57" i="8"/>
  <c r="AK57" i="8" s="1"/>
  <c r="AF68" i="8"/>
  <c r="AH68" i="8"/>
  <c r="AF69" i="8"/>
  <c r="AH69" i="8"/>
  <c r="AF70" i="8"/>
  <c r="AH70" i="8"/>
  <c r="AF71" i="8"/>
  <c r="AH71" i="8"/>
  <c r="AF83" i="8"/>
  <c r="AH83" i="8"/>
  <c r="AF84" i="8"/>
  <c r="AH84" i="8"/>
  <c r="AF85" i="8"/>
  <c r="AH85" i="8"/>
  <c r="AF86" i="8"/>
  <c r="AH86" i="8"/>
  <c r="AI87" i="8"/>
  <c r="AG87" i="8"/>
  <c r="AK87" i="8" s="1"/>
  <c r="AI88" i="8"/>
  <c r="AG88" i="8"/>
  <c r="AK88" i="8" s="1"/>
  <c r="AI89" i="8"/>
  <c r="AG89" i="8"/>
  <c r="AK89" i="8" s="1"/>
  <c r="AI90" i="8"/>
  <c r="AG90" i="8"/>
  <c r="AK90" i="8" s="1"/>
  <c r="AF101" i="8"/>
  <c r="AH101" i="8"/>
  <c r="AF102" i="8"/>
  <c r="AH102" i="8"/>
  <c r="AI103" i="8"/>
  <c r="AG103" i="8"/>
  <c r="AK103" i="8" s="1"/>
  <c r="AG104" i="8"/>
  <c r="AK104" i="8" s="1"/>
  <c r="AG105" i="8"/>
  <c r="AK105" i="8" s="1"/>
  <c r="AF109" i="8"/>
  <c r="AH109" i="8"/>
  <c r="AF110" i="8"/>
  <c r="AH110" i="8"/>
  <c r="AF111" i="8"/>
  <c r="AH111" i="8"/>
  <c r="AD111" i="8"/>
  <c r="AF112" i="8"/>
  <c r="AH112" i="8"/>
  <c r="AG115" i="8"/>
  <c r="AK115" i="8" s="1"/>
  <c r="AF121" i="8"/>
  <c r="AH121" i="8"/>
  <c r="AG124" i="8"/>
  <c r="AK124" i="8" s="1"/>
  <c r="AF137" i="8"/>
  <c r="AH137" i="8"/>
  <c r="AF138" i="8"/>
  <c r="AH138" i="8"/>
  <c r="AF139" i="8"/>
  <c r="AH139" i="8"/>
  <c r="AG155" i="8"/>
  <c r="AK155" i="8" s="1"/>
  <c r="AF161" i="8"/>
  <c r="AH161" i="8"/>
  <c r="AG164" i="8"/>
  <c r="AK164" i="8" s="1"/>
  <c r="AF170" i="8"/>
  <c r="AH170" i="8"/>
  <c r="AG173" i="8"/>
  <c r="AK173" i="8" s="1"/>
  <c r="AF178" i="8"/>
  <c r="AH178" i="8"/>
  <c r="AF179" i="8"/>
  <c r="AH179" i="8"/>
  <c r="AI181" i="8"/>
  <c r="AG181" i="8"/>
  <c r="AK181" i="8" s="1"/>
  <c r="AF185" i="8"/>
  <c r="AH185" i="8"/>
  <c r="AI187" i="8"/>
  <c r="AG187" i="8"/>
  <c r="AK187" i="8" s="1"/>
  <c r="AH192" i="8"/>
  <c r="AF192" i="8"/>
  <c r="AF193" i="8"/>
  <c r="AH193" i="8"/>
  <c r="AI196" i="8"/>
  <c r="AG196" i="8"/>
  <c r="AK196" i="8" s="1"/>
  <c r="AI197" i="8"/>
  <c r="AG197" i="8"/>
  <c r="AK197" i="8" s="1"/>
  <c r="AI198" i="8"/>
  <c r="AG198" i="8"/>
  <c r="AK198" i="8" s="1"/>
  <c r="AI199" i="8"/>
  <c r="AG199" i="8"/>
  <c r="AK199" i="8" s="1"/>
  <c r="AI200" i="8"/>
  <c r="AG200" i="8"/>
  <c r="AK200" i="8" s="1"/>
  <c r="AI201" i="8"/>
  <c r="AG201" i="8"/>
  <c r="AK201" i="8" s="1"/>
  <c r="AG202" i="8"/>
  <c r="AK202" i="8" s="1"/>
  <c r="AF211" i="8"/>
  <c r="AH211" i="8"/>
  <c r="AF212" i="8"/>
  <c r="AH212" i="8"/>
  <c r="AF213" i="8"/>
  <c r="AH213" i="8"/>
  <c r="AH214" i="8"/>
  <c r="AF214" i="8"/>
  <c r="AD214" i="8"/>
  <c r="AJ218" i="8"/>
  <c r="AI219" i="8"/>
  <c r="AG219" i="8"/>
  <c r="AK219" i="8" s="1"/>
  <c r="AG220" i="8"/>
  <c r="AK220" i="8" s="1"/>
  <c r="AI221" i="8"/>
  <c r="AG221" i="8"/>
  <c r="AK221" i="8" s="1"/>
  <c r="AI222" i="8"/>
  <c r="AG222" i="8"/>
  <c r="AK222" i="8" s="1"/>
  <c r="AI223" i="8"/>
  <c r="AG223" i="8"/>
  <c r="AK223" i="8" s="1"/>
  <c r="AG224" i="8"/>
  <c r="AK224" i="8" s="1"/>
  <c r="AL227" i="8"/>
  <c r="AG235" i="8"/>
  <c r="AK235" i="8" s="1"/>
  <c r="AG236" i="8"/>
  <c r="AK236" i="8" s="1"/>
  <c r="AI237" i="8"/>
  <c r="AG237" i="8"/>
  <c r="AK237" i="8" s="1"/>
  <c r="AF250" i="8"/>
  <c r="AH250" i="8"/>
  <c r="AI253" i="8"/>
  <c r="AG254" i="8"/>
  <c r="AK254" i="8" s="1"/>
  <c r="AI255" i="8"/>
  <c r="AG255" i="8"/>
  <c r="AK255" i="8" s="1"/>
  <c r="AI256" i="8"/>
  <c r="AG256" i="8"/>
  <c r="AK256" i="8" s="1"/>
  <c r="AI257" i="8"/>
  <c r="AG257" i="8"/>
  <c r="AK257" i="8" s="1"/>
  <c r="AG258" i="8"/>
  <c r="AK258" i="8" s="1"/>
  <c r="AL270" i="8"/>
  <c r="AL273" i="8"/>
  <c r="AF283" i="8"/>
  <c r="AH283" i="8"/>
  <c r="AH284" i="8"/>
  <c r="AF284" i="8"/>
  <c r="AD284" i="8"/>
  <c r="AF285" i="8"/>
  <c r="AH285" i="8"/>
  <c r="AH40" i="8"/>
  <c r="AH41" i="8"/>
  <c r="AF55" i="8"/>
  <c r="AH55" i="8"/>
  <c r="AF56" i="8"/>
  <c r="AH56" i="8"/>
  <c r="AI59" i="8"/>
  <c r="AG59" i="8"/>
  <c r="AK59" i="8" s="1"/>
  <c r="AC60" i="8"/>
  <c r="AG60" i="8"/>
  <c r="AK60" i="8" s="1"/>
  <c r="AI61" i="8"/>
  <c r="AG61" i="8"/>
  <c r="AK61" i="8" s="1"/>
  <c r="AI62" i="8"/>
  <c r="AG62" i="8"/>
  <c r="AK62" i="8" s="1"/>
  <c r="AF72" i="8"/>
  <c r="AH72" i="8"/>
  <c r="AI73" i="8"/>
  <c r="AG73" i="8"/>
  <c r="AK73" i="8" s="1"/>
  <c r="AI74" i="8"/>
  <c r="AG74" i="8"/>
  <c r="AK74" i="8" s="1"/>
  <c r="AI75" i="8"/>
  <c r="AG75" i="8"/>
  <c r="AK75" i="8" s="1"/>
  <c r="AI76" i="8"/>
  <c r="AG76" i="8"/>
  <c r="AK76" i="8" s="1"/>
  <c r="AC77" i="8"/>
  <c r="AG77" i="8"/>
  <c r="AK77" i="8" s="1"/>
  <c r="AI78" i="8"/>
  <c r="AG78" i="8"/>
  <c r="AK78" i="8" s="1"/>
  <c r="AI92" i="8"/>
  <c r="AG92" i="8"/>
  <c r="AK92" i="8" s="1"/>
  <c r="AI93" i="8"/>
  <c r="AG93" i="8"/>
  <c r="AK93" i="8" s="1"/>
  <c r="AI95" i="8"/>
  <c r="AG95" i="8"/>
  <c r="AK95" i="8" s="1"/>
  <c r="AI96" i="8"/>
  <c r="AG96" i="8"/>
  <c r="AK96" i="8" s="1"/>
  <c r="AD112" i="8"/>
  <c r="AF113" i="8"/>
  <c r="AH113" i="8"/>
  <c r="AD113" i="8"/>
  <c r="AF114" i="8"/>
  <c r="AH114" i="8"/>
  <c r="AI116" i="8"/>
  <c r="AG116" i="8"/>
  <c r="AK116" i="8" s="1"/>
  <c r="AG117" i="8"/>
  <c r="AK117" i="8" s="1"/>
  <c r="AF122" i="8"/>
  <c r="AH122" i="8"/>
  <c r="AD122" i="8"/>
  <c r="AF123" i="8"/>
  <c r="AH123" i="8"/>
  <c r="AI125" i="8"/>
  <c r="AG125" i="8"/>
  <c r="AK125" i="8" s="1"/>
  <c r="AC126" i="8"/>
  <c r="AG126" i="8"/>
  <c r="AK126" i="8" s="1"/>
  <c r="AI127" i="8"/>
  <c r="AG127" i="8"/>
  <c r="AK127" i="8" s="1"/>
  <c r="AI128" i="8"/>
  <c r="AG128" i="8"/>
  <c r="AK128" i="8" s="1"/>
  <c r="AG129" i="8"/>
  <c r="AK129" i="8" s="1"/>
  <c r="AI130" i="8"/>
  <c r="AG130" i="8"/>
  <c r="AK130" i="8" s="1"/>
  <c r="AI131" i="8"/>
  <c r="AG131" i="8"/>
  <c r="AK131" i="8" s="1"/>
  <c r="AG132" i="8"/>
  <c r="AK132" i="8" s="1"/>
  <c r="AI133" i="8"/>
  <c r="AG133" i="8"/>
  <c r="AK133" i="8" s="1"/>
  <c r="AD137" i="8"/>
  <c r="AF140" i="8"/>
  <c r="AH140" i="8"/>
  <c r="AG141" i="8"/>
  <c r="AK141" i="8" s="1"/>
  <c r="AI142" i="8"/>
  <c r="AG142" i="8"/>
  <c r="AK142" i="8" s="1"/>
  <c r="AG143" i="8"/>
  <c r="AK143" i="8" s="1"/>
  <c r="AG144" i="8"/>
  <c r="AK144" i="8" s="1"/>
  <c r="AG145" i="8"/>
  <c r="AK145" i="8" s="1"/>
  <c r="AF153" i="8"/>
  <c r="AH153" i="8"/>
  <c r="AF154" i="8"/>
  <c r="AH154" i="8"/>
  <c r="AG156" i="8"/>
  <c r="AK156" i="8" s="1"/>
  <c r="AG157" i="8"/>
  <c r="AK157" i="8" s="1"/>
  <c r="AF162" i="8"/>
  <c r="AH162" i="8"/>
  <c r="AF163" i="8"/>
  <c r="AH163" i="8"/>
  <c r="AF171" i="8"/>
  <c r="AH171" i="8"/>
  <c r="AF172" i="8"/>
  <c r="AH172" i="8"/>
  <c r="AI174" i="8"/>
  <c r="AG174" i="8"/>
  <c r="AK174" i="8" s="1"/>
  <c r="AI175" i="8"/>
  <c r="AG175" i="8"/>
  <c r="AK175" i="8" s="1"/>
  <c r="AG176" i="8"/>
  <c r="AK176" i="8" s="1"/>
  <c r="AF180" i="8"/>
  <c r="AH180" i="8"/>
  <c r="AG182" i="8"/>
  <c r="AK182" i="8" s="1"/>
  <c r="AF186" i="8"/>
  <c r="AH186" i="8"/>
  <c r="AC188" i="8"/>
  <c r="AG188" i="8"/>
  <c r="AK188" i="8" s="1"/>
  <c r="AI189" i="8"/>
  <c r="AG189" i="8"/>
  <c r="AK189" i="8" s="1"/>
  <c r="AG190" i="8"/>
  <c r="AK190" i="8" s="1"/>
  <c r="AF194" i="8"/>
  <c r="AH194" i="8"/>
  <c r="AF195" i="8"/>
  <c r="AH195" i="8"/>
  <c r="AG203" i="8"/>
  <c r="AK203" i="8" s="1"/>
  <c r="AI204" i="8"/>
  <c r="AG204" i="8"/>
  <c r="AK204" i="8" s="1"/>
  <c r="AG205" i="8"/>
  <c r="AK205" i="8" s="1"/>
  <c r="AF215" i="8"/>
  <c r="AH215" i="8"/>
  <c r="AF216" i="8"/>
  <c r="AH216" i="8"/>
  <c r="AF217" i="8"/>
  <c r="AH217" i="8"/>
  <c r="AH218" i="8"/>
  <c r="AF218" i="8"/>
  <c r="AF232" i="8"/>
  <c r="AH232" i="8"/>
  <c r="AF233" i="8"/>
  <c r="AH233" i="8"/>
  <c r="AH234" i="8"/>
  <c r="AF234" i="8"/>
  <c r="AG238" i="8"/>
  <c r="AK238" i="8" s="1"/>
  <c r="AG239" i="8"/>
  <c r="AK239" i="8" s="1"/>
  <c r="AI240" i="8"/>
  <c r="AG240" i="8"/>
  <c r="AK240" i="8" s="1"/>
  <c r="AG241" i="8"/>
  <c r="AK241" i="8" s="1"/>
  <c r="AF251" i="8"/>
  <c r="AH251" i="8"/>
  <c r="AH252" i="8"/>
  <c r="AF252" i="8"/>
  <c r="AF253" i="8"/>
  <c r="AH253" i="8"/>
  <c r="AI259" i="8"/>
  <c r="AG259" i="8"/>
  <c r="AK259" i="8" s="1"/>
  <c r="AI260" i="8"/>
  <c r="AG260" i="8"/>
  <c r="AK260" i="8" s="1"/>
  <c r="AI261" i="8"/>
  <c r="AG261" i="8"/>
  <c r="AK261" i="8" s="1"/>
  <c r="AI262" i="8"/>
  <c r="AG262" i="8"/>
  <c r="AK262" i="8" s="1"/>
  <c r="AI263" i="8"/>
  <c r="AG263" i="8"/>
  <c r="AK263" i="8" s="1"/>
  <c r="AI264" i="8"/>
  <c r="AG264" i="8"/>
  <c r="AK264" i="8" s="1"/>
  <c r="AC265" i="8"/>
  <c r="AG265" i="8"/>
  <c r="AK265" i="8" s="1"/>
  <c r="AI267" i="8"/>
  <c r="AG267" i="8"/>
  <c r="AK267" i="8" s="1"/>
  <c r="AF38" i="8"/>
  <c r="AH39" i="8"/>
  <c r="AI58" i="8"/>
  <c r="AI46" i="8"/>
  <c r="AL53" i="8"/>
  <c r="AF58" i="8"/>
  <c r="AH58" i="8"/>
  <c r="AF104" i="8"/>
  <c r="AH104" i="8"/>
  <c r="AF115" i="8"/>
  <c r="AH115" i="8"/>
  <c r="AI134" i="8"/>
  <c r="AG134" i="8"/>
  <c r="AK134" i="8" s="1"/>
  <c r="AI151" i="8"/>
  <c r="AG151" i="8"/>
  <c r="AK151" i="8" s="1"/>
  <c r="AF164" i="8"/>
  <c r="AH164" i="8"/>
  <c r="AI165" i="8"/>
  <c r="AG165" i="8"/>
  <c r="AK165" i="8" s="1"/>
  <c r="AI166" i="8"/>
  <c r="AG166" i="8"/>
  <c r="AK166" i="8" s="1"/>
  <c r="AF173" i="8"/>
  <c r="AH173" i="8"/>
  <c r="AF181" i="8"/>
  <c r="AH181" i="8"/>
  <c r="AF187" i="8"/>
  <c r="AH187" i="8"/>
  <c r="AH196" i="8"/>
  <c r="AF196" i="8"/>
  <c r="AF197" i="8"/>
  <c r="AH197" i="8"/>
  <c r="AF198" i="8"/>
  <c r="AH198" i="8"/>
  <c r="AF199" i="8"/>
  <c r="AH199" i="8"/>
  <c r="AH200" i="8"/>
  <c r="AF200" i="8"/>
  <c r="AF201" i="8"/>
  <c r="AH201" i="8"/>
  <c r="AF202" i="8"/>
  <c r="AH202" i="8"/>
  <c r="AI207" i="8"/>
  <c r="AG207" i="8"/>
  <c r="AK207" i="8" s="1"/>
  <c r="AF219" i="8"/>
  <c r="AH219" i="8"/>
  <c r="AF220" i="8"/>
  <c r="AH220" i="8"/>
  <c r="AF221" i="8"/>
  <c r="AH221" i="8"/>
  <c r="AH222" i="8"/>
  <c r="AF222" i="8"/>
  <c r="AF223" i="8"/>
  <c r="AH223" i="8"/>
  <c r="AH224" i="8"/>
  <c r="AF224" i="8"/>
  <c r="AC225" i="8"/>
  <c r="AG225" i="8"/>
  <c r="AK225" i="8" s="1"/>
  <c r="AI226" i="8"/>
  <c r="AG226" i="8"/>
  <c r="AK226" i="8" s="1"/>
  <c r="AI227" i="8"/>
  <c r="AG227" i="8"/>
  <c r="AK227" i="8" s="1"/>
  <c r="AF235" i="8"/>
  <c r="AH235" i="8"/>
  <c r="AF236" i="8"/>
  <c r="AH236" i="8"/>
  <c r="AF237" i="8"/>
  <c r="AH237" i="8"/>
  <c r="AI242" i="8"/>
  <c r="AG242" i="8"/>
  <c r="AK242" i="8" s="1"/>
  <c r="AI243" i="8"/>
  <c r="AG243" i="8"/>
  <c r="AK243" i="8" s="1"/>
  <c r="AI244" i="8"/>
  <c r="AG244" i="8"/>
  <c r="AK244" i="8" s="1"/>
  <c r="AH254" i="8"/>
  <c r="AF254" i="8"/>
  <c r="AF255" i="8"/>
  <c r="AH255" i="8"/>
  <c r="AH256" i="8"/>
  <c r="AF256" i="8"/>
  <c r="AF257" i="8"/>
  <c r="AH257" i="8"/>
  <c r="AH258" i="8"/>
  <c r="AF258" i="8"/>
  <c r="AI269" i="8"/>
  <c r="AI271" i="8"/>
  <c r="AG271" i="8"/>
  <c r="AK271" i="8" s="1"/>
  <c r="AI272" i="8"/>
  <c r="AG272" i="8"/>
  <c r="AK272" i="8" s="1"/>
  <c r="AF54" i="8"/>
  <c r="AH54" i="8"/>
  <c r="AF57" i="8"/>
  <c r="AH57" i="8"/>
  <c r="AI64" i="8"/>
  <c r="AG64" i="8"/>
  <c r="AK64" i="8" s="1"/>
  <c r="AI79" i="8"/>
  <c r="AG79" i="8"/>
  <c r="AK79" i="8" s="1"/>
  <c r="AF88" i="8"/>
  <c r="AH88" i="8"/>
  <c r="AF89" i="8"/>
  <c r="AH89" i="8"/>
  <c r="AI97" i="8"/>
  <c r="AF103" i="8"/>
  <c r="AH103" i="8"/>
  <c r="AF105" i="8"/>
  <c r="AH105" i="8"/>
  <c r="AC118" i="8"/>
  <c r="AG118" i="8"/>
  <c r="AK118" i="8" s="1"/>
  <c r="AF124" i="8"/>
  <c r="AH124" i="8"/>
  <c r="AC146" i="8"/>
  <c r="AG146" i="8"/>
  <c r="AK146" i="8" s="1"/>
  <c r="AI148" i="8"/>
  <c r="AG148" i="8"/>
  <c r="AK148" i="8" s="1"/>
  <c r="AF155" i="8"/>
  <c r="AH155" i="8"/>
  <c r="AI34" i="8"/>
  <c r="AF45" i="8"/>
  <c r="AH45" i="8"/>
  <c r="AF46" i="8"/>
  <c r="AH46" i="8"/>
  <c r="AG47" i="8"/>
  <c r="AK47" i="8" s="1"/>
  <c r="AG48" i="8"/>
  <c r="AK48" i="8" s="1"/>
  <c r="AG49" i="8"/>
  <c r="AK49" i="8" s="1"/>
  <c r="AF59" i="8"/>
  <c r="AH59" i="8"/>
  <c r="AF60" i="8"/>
  <c r="AH60" i="8"/>
  <c r="AF61" i="8"/>
  <c r="AH61" i="8"/>
  <c r="AD61" i="8"/>
  <c r="AF62" i="8"/>
  <c r="AH62" i="8"/>
  <c r="AI65" i="8"/>
  <c r="AG65" i="8"/>
  <c r="AK65" i="8" s="1"/>
  <c r="AI66" i="8"/>
  <c r="AG66" i="8"/>
  <c r="AK66" i="8" s="1"/>
  <c r="AG67" i="8"/>
  <c r="AK67" i="8" s="1"/>
  <c r="AF73" i="8"/>
  <c r="AH73" i="8"/>
  <c r="AF74" i="8"/>
  <c r="AH74" i="8"/>
  <c r="AD74" i="8"/>
  <c r="AF75" i="8"/>
  <c r="AH75" i="8"/>
  <c r="AF76" i="8"/>
  <c r="AH76" i="8"/>
  <c r="AF77" i="8"/>
  <c r="AH77" i="8"/>
  <c r="AF78" i="8"/>
  <c r="AH78" i="8"/>
  <c r="AI80" i="8"/>
  <c r="AG80" i="8"/>
  <c r="AK80" i="8" s="1"/>
  <c r="AI81" i="8"/>
  <c r="AG81" i="8"/>
  <c r="AK81" i="8" s="1"/>
  <c r="AG82" i="8"/>
  <c r="AK82" i="8" s="1"/>
  <c r="AF91" i="8"/>
  <c r="AH91" i="8"/>
  <c r="AF92" i="8"/>
  <c r="AH92" i="8"/>
  <c r="AF93" i="8"/>
  <c r="AH93" i="8"/>
  <c r="AF94" i="8"/>
  <c r="AH94" i="8"/>
  <c r="AF95" i="8"/>
  <c r="AH95" i="8"/>
  <c r="AF96" i="8"/>
  <c r="AH96" i="8"/>
  <c r="AF97" i="8"/>
  <c r="AH97" i="8"/>
  <c r="AI100" i="8"/>
  <c r="AI106" i="8"/>
  <c r="AG107" i="8"/>
  <c r="AK107" i="8" s="1"/>
  <c r="AG108" i="8"/>
  <c r="AK108" i="8" s="1"/>
  <c r="AF116" i="8"/>
  <c r="AH116" i="8"/>
  <c r="AF117" i="8"/>
  <c r="AH117" i="8"/>
  <c r="AI119" i="8"/>
  <c r="AG119" i="8"/>
  <c r="AK119" i="8" s="1"/>
  <c r="AG120" i="8"/>
  <c r="AK120" i="8" s="1"/>
  <c r="AF125" i="8"/>
  <c r="AH125" i="8"/>
  <c r="AF126" i="8"/>
  <c r="AH126" i="8"/>
  <c r="AF127" i="8"/>
  <c r="AH127" i="8"/>
  <c r="AF128" i="8"/>
  <c r="AH128" i="8"/>
  <c r="AF129" i="8"/>
  <c r="AH129" i="8"/>
  <c r="AF130" i="8"/>
  <c r="AH130" i="8"/>
  <c r="AF131" i="8"/>
  <c r="AH131" i="8"/>
  <c r="AF132" i="8"/>
  <c r="AH132" i="8"/>
  <c r="AD132" i="8"/>
  <c r="AF133" i="8"/>
  <c r="AH133" i="8"/>
  <c r="AG135" i="8"/>
  <c r="AK135" i="8" s="1"/>
  <c r="AG136" i="8"/>
  <c r="AK136" i="8" s="1"/>
  <c r="AF141" i="8"/>
  <c r="AH141" i="8"/>
  <c r="AF142" i="8"/>
  <c r="AH142" i="8"/>
  <c r="AF143" i="8"/>
  <c r="AH143" i="8"/>
  <c r="AF144" i="8"/>
  <c r="AH144" i="8"/>
  <c r="AF145" i="8"/>
  <c r="AH145" i="8"/>
  <c r="AG152" i="8"/>
  <c r="AK152" i="8" s="1"/>
  <c r="AF156" i="8"/>
  <c r="AH156" i="8"/>
  <c r="AF157" i="8"/>
  <c r="AH157" i="8"/>
  <c r="AI158" i="8"/>
  <c r="AI159" i="8"/>
  <c r="AG159" i="8"/>
  <c r="AK159" i="8" s="1"/>
  <c r="AI160" i="8"/>
  <c r="AG160" i="8"/>
  <c r="AK160" i="8" s="1"/>
  <c r="AI167" i="8"/>
  <c r="AI168" i="8"/>
  <c r="AG168" i="8"/>
  <c r="AK168" i="8" s="1"/>
  <c r="AI169" i="8"/>
  <c r="AG169" i="8"/>
  <c r="AK169" i="8" s="1"/>
  <c r="AF174" i="8"/>
  <c r="AH174" i="8"/>
  <c r="AF175" i="8"/>
  <c r="AH175" i="8"/>
  <c r="AF176" i="8"/>
  <c r="AH176" i="8"/>
  <c r="AI177" i="8"/>
  <c r="AF182" i="8"/>
  <c r="AH182" i="8"/>
  <c r="AI183" i="8"/>
  <c r="AI184" i="8"/>
  <c r="AG184" i="8"/>
  <c r="AK184" i="8" s="1"/>
  <c r="AH188" i="8"/>
  <c r="AF188" i="8"/>
  <c r="AF189" i="8"/>
  <c r="AH189" i="8"/>
  <c r="AF190" i="8"/>
  <c r="AH190" i="8"/>
  <c r="AD190" i="8"/>
  <c r="AI191" i="8"/>
  <c r="AG191" i="8"/>
  <c r="AK191" i="8" s="1"/>
  <c r="AL195" i="8"/>
  <c r="AF203" i="8"/>
  <c r="AH203" i="8"/>
  <c r="AF204" i="8"/>
  <c r="AH204" i="8"/>
  <c r="AF205" i="8"/>
  <c r="AH205" i="8"/>
  <c r="AD205" i="8"/>
  <c r="AI208" i="8"/>
  <c r="AG209" i="8"/>
  <c r="AK209" i="8" s="1"/>
  <c r="AI210" i="8"/>
  <c r="AG210" i="8"/>
  <c r="AK210" i="8" s="1"/>
  <c r="AL217" i="8"/>
  <c r="AI228" i="8"/>
  <c r="AI229" i="8"/>
  <c r="AG229" i="8"/>
  <c r="AK229" i="8" s="1"/>
  <c r="AI230" i="8"/>
  <c r="AG230" i="8"/>
  <c r="AK230" i="8" s="1"/>
  <c r="AG231" i="8"/>
  <c r="AK231" i="8" s="1"/>
  <c r="AH238" i="8"/>
  <c r="AF238" i="8"/>
  <c r="AF239" i="8"/>
  <c r="AH239" i="8"/>
  <c r="AF240" i="8"/>
  <c r="AH240" i="8"/>
  <c r="AF241" i="8"/>
  <c r="AH241" i="8"/>
  <c r="AI245" i="8"/>
  <c r="AI246" i="8"/>
  <c r="AG246" i="8"/>
  <c r="AK246" i="8" s="1"/>
  <c r="AI247" i="8"/>
  <c r="AG247" i="8"/>
  <c r="AK247" i="8" s="1"/>
  <c r="AI248" i="8"/>
  <c r="AG248" i="8"/>
  <c r="AK248" i="8" s="1"/>
  <c r="AI249" i="8"/>
  <c r="AG249" i="8"/>
  <c r="AK249" i="8" s="1"/>
  <c r="AF259" i="8"/>
  <c r="AH259" i="8"/>
  <c r="AH260" i="8"/>
  <c r="AF260" i="8"/>
  <c r="AF261" i="8"/>
  <c r="AH261" i="8"/>
  <c r="AH262" i="8"/>
  <c r="AF262" i="8"/>
  <c r="AF263" i="8"/>
  <c r="AH263" i="8"/>
  <c r="AH264" i="8"/>
  <c r="AF264" i="8"/>
  <c r="AF265" i="8"/>
  <c r="AH265" i="8"/>
  <c r="AH266" i="8"/>
  <c r="AF266" i="8"/>
  <c r="AF267" i="8"/>
  <c r="AH267" i="8"/>
  <c r="AH268" i="8"/>
  <c r="AF268" i="8"/>
  <c r="AF269" i="8"/>
  <c r="AH269" i="8"/>
  <c r="AI273" i="8"/>
  <c r="AI274" i="8"/>
  <c r="AG274" i="8"/>
  <c r="AK274" i="8" s="1"/>
  <c r="AG275" i="8"/>
  <c r="AK275" i="8" s="1"/>
  <c r="AI276" i="8"/>
  <c r="AG276" i="8"/>
  <c r="AK276" i="8" s="1"/>
  <c r="AI277" i="8"/>
  <c r="AG277" i="8"/>
  <c r="AK277" i="8" s="1"/>
  <c r="AI278" i="8"/>
  <c r="AG278" i="8"/>
  <c r="AK278" i="8" s="1"/>
  <c r="AI279" i="8"/>
  <c r="AG279" i="8"/>
  <c r="AK279" i="8" s="1"/>
  <c r="AI280" i="8"/>
  <c r="AG280" i="8"/>
  <c r="AK280" i="8" s="1"/>
  <c r="AG281" i="8"/>
  <c r="AK281" i="8" s="1"/>
  <c r="AG282" i="8"/>
  <c r="AK282" i="8" s="1"/>
  <c r="S16" i="9"/>
  <c r="S12" i="9"/>
  <c r="T11" i="9"/>
  <c r="U12" i="9" s="1"/>
  <c r="R16" i="9"/>
  <c r="U16" i="9"/>
  <c r="U17" i="9" s="1"/>
  <c r="AF11" i="8"/>
  <c r="AF6" i="8"/>
  <c r="AH6" i="8"/>
  <c r="AG8" i="8"/>
  <c r="AH13" i="8"/>
  <c r="AF8" i="8"/>
  <c r="AH8" i="8"/>
  <c r="AH14" i="8"/>
  <c r="AH15" i="8"/>
  <c r="AF3" i="8"/>
  <c r="AC76" i="8"/>
  <c r="AL71" i="8"/>
  <c r="AD83" i="8"/>
  <c r="AC62" i="8"/>
  <c r="AC65" i="8"/>
  <c r="AC67" i="8"/>
  <c r="AD68" i="8"/>
  <c r="AC72" i="8"/>
  <c r="AL81" i="8"/>
  <c r="AC84" i="8"/>
  <c r="AL43" i="8"/>
  <c r="AD56" i="8"/>
  <c r="AC58" i="8"/>
  <c r="AD65" i="8"/>
  <c r="AD73" i="8"/>
  <c r="AD89" i="8"/>
  <c r="AD59" i="8"/>
  <c r="AL60" i="8"/>
  <c r="AD75" i="8"/>
  <c r="AC86" i="8"/>
  <c r="AL33" i="8"/>
  <c r="D4" i="8"/>
  <c r="C4" i="8" s="1"/>
  <c r="AC53" i="8"/>
  <c r="AL62" i="8"/>
  <c r="AL65" i="8"/>
  <c r="AC69" i="8"/>
  <c r="AC71" i="8"/>
  <c r="AD71" i="8"/>
  <c r="AC74" i="8"/>
  <c r="AD90" i="8"/>
  <c r="AD87" i="8"/>
  <c r="AC95" i="8"/>
  <c r="AC100" i="8"/>
  <c r="AC102" i="8"/>
  <c r="AC111" i="8"/>
  <c r="AD114" i="8"/>
  <c r="AD123" i="8"/>
  <c r="AL135" i="8"/>
  <c r="AD152" i="8"/>
  <c r="AD153" i="8"/>
  <c r="AC157" i="8"/>
  <c r="AI157" i="8"/>
  <c r="AJ143" i="8"/>
  <c r="AL55" i="8"/>
  <c r="AD70" i="8"/>
  <c r="AL74" i="8"/>
  <c r="AD76" i="8"/>
  <c r="AC91" i="8"/>
  <c r="AD99" i="8"/>
  <c r="AL102" i="8"/>
  <c r="AD110" i="8"/>
  <c r="AJ112" i="8"/>
  <c r="AL114" i="8"/>
  <c r="AI118" i="8"/>
  <c r="AD120" i="8"/>
  <c r="AL123" i="8"/>
  <c r="AL127" i="8"/>
  <c r="AJ137" i="8"/>
  <c r="AL139" i="8"/>
  <c r="AD146" i="8"/>
  <c r="AL147" i="8"/>
  <c r="AC151" i="8"/>
  <c r="AD78" i="8"/>
  <c r="AL89" i="8"/>
  <c r="AD93" i="8"/>
  <c r="AL111" i="8"/>
  <c r="AC115" i="8"/>
  <c r="AC117" i="8"/>
  <c r="AD119" i="8"/>
  <c r="AC124" i="8"/>
  <c r="AD126" i="8"/>
  <c r="AD128" i="8"/>
  <c r="AC129" i="8"/>
  <c r="AD141" i="8"/>
  <c r="AC154" i="8"/>
  <c r="AL76" i="8"/>
  <c r="AD80" i="8"/>
  <c r="AC82" i="8"/>
  <c r="AD82" i="8"/>
  <c r="AL84" i="8"/>
  <c r="AC94" i="8"/>
  <c r="AL99" i="8"/>
  <c r="AL101" i="8"/>
  <c r="AD107" i="8"/>
  <c r="AD117" i="8"/>
  <c r="AL120" i="8"/>
  <c r="AD131" i="8"/>
  <c r="AL136" i="8"/>
  <c r="AC137" i="8"/>
  <c r="AC143" i="8"/>
  <c r="AD144" i="8"/>
  <c r="AD154" i="8"/>
  <c r="AD156" i="8"/>
  <c r="AL157" i="8"/>
  <c r="AL93" i="8"/>
  <c r="AD96" i="8"/>
  <c r="AD106" i="8"/>
  <c r="AC114" i="8"/>
  <c r="AD116" i="8"/>
  <c r="AC121" i="8"/>
  <c r="AC123" i="8"/>
  <c r="AD134" i="8"/>
  <c r="AD138" i="8"/>
  <c r="AL142" i="8"/>
  <c r="AL151" i="8"/>
  <c r="AC152" i="8"/>
  <c r="AI211" i="8"/>
  <c r="AC215" i="8"/>
  <c r="AI215" i="8"/>
  <c r="AD164" i="8"/>
  <c r="AD172" i="8"/>
  <c r="AC174" i="8"/>
  <c r="AD178" i="8"/>
  <c r="AC203" i="8"/>
  <c r="AL210" i="8"/>
  <c r="AD211" i="8"/>
  <c r="AD217" i="8"/>
  <c r="AC222" i="8"/>
  <c r="AD224" i="8"/>
  <c r="AL148" i="8"/>
  <c r="AD150" i="8"/>
  <c r="AL154" i="8"/>
  <c r="AD157" i="8"/>
  <c r="AC171" i="8"/>
  <c r="AL173" i="8"/>
  <c r="AL176" i="8"/>
  <c r="AL179" i="8"/>
  <c r="AC185" i="8"/>
  <c r="AD188" i="8"/>
  <c r="AI188" i="8"/>
  <c r="AL190" i="8"/>
  <c r="AD191" i="8"/>
  <c r="AD203" i="8"/>
  <c r="AL205" i="8"/>
  <c r="AC208" i="8"/>
  <c r="AC218" i="8"/>
  <c r="AI218" i="8"/>
  <c r="AC220" i="8"/>
  <c r="AD162" i="8"/>
  <c r="AC182" i="8"/>
  <c r="AD184" i="8"/>
  <c r="AD185" i="8"/>
  <c r="AC186" i="8"/>
  <c r="AD187" i="8"/>
  <c r="AL201" i="8"/>
  <c r="AC158" i="8"/>
  <c r="AD167" i="8"/>
  <c r="AD182" i="8"/>
  <c r="AL188" i="8"/>
  <c r="AL196" i="8"/>
  <c r="AL207" i="8"/>
  <c r="AD208" i="8"/>
  <c r="AC214" i="8"/>
  <c r="AC161" i="8"/>
  <c r="AC176" i="8"/>
  <c r="AC177" i="8"/>
  <c r="AC190" i="8"/>
  <c r="AD193" i="8"/>
  <c r="AD228" i="8"/>
  <c r="AD252" i="8"/>
  <c r="AC254" i="8"/>
  <c r="AD255" i="8"/>
  <c r="AD274" i="8"/>
  <c r="AC244" i="8"/>
  <c r="AL208" i="8"/>
  <c r="AL211" i="8"/>
  <c r="AC235" i="8"/>
  <c r="AC236" i="8"/>
  <c r="AC238" i="8"/>
  <c r="AC239" i="8"/>
  <c r="AD240" i="8"/>
  <c r="AD244" i="8"/>
  <c r="AD254" i="8"/>
  <c r="AC256" i="8"/>
  <c r="AD257" i="8"/>
  <c r="AL264" i="8"/>
  <c r="AD272" i="8"/>
  <c r="AC275" i="8"/>
  <c r="AD278" i="8"/>
  <c r="AD207" i="8"/>
  <c r="AC209" i="8"/>
  <c r="AD210" i="8"/>
  <c r="AC212" i="8"/>
  <c r="AD213" i="8"/>
  <c r="AL214" i="8"/>
  <c r="AC217" i="8"/>
  <c r="AD223" i="8"/>
  <c r="AL228" i="8"/>
  <c r="AD231" i="8"/>
  <c r="AI235" i="8"/>
  <c r="AI238" i="8"/>
  <c r="AD248" i="8"/>
  <c r="AD256" i="8"/>
  <c r="AD259" i="8"/>
  <c r="AD265" i="8"/>
  <c r="AL266" i="8"/>
  <c r="AC270" i="8"/>
  <c r="AC273" i="8"/>
  <c r="AD277" i="8"/>
  <c r="AC280" i="8"/>
  <c r="AL234" i="8"/>
  <c r="AD235" i="8"/>
  <c r="AL237" i="8"/>
  <c r="AD238" i="8"/>
  <c r="AL240" i="8"/>
  <c r="AC241" i="8"/>
  <c r="AD243" i="8"/>
  <c r="AL246" i="8"/>
  <c r="AD253" i="8"/>
  <c r="AC269" i="8"/>
  <c r="AD275" i="8"/>
  <c r="AL276" i="8"/>
  <c r="AD276" i="8"/>
  <c r="AL282" i="8"/>
  <c r="AD216" i="8"/>
  <c r="AC224" i="8"/>
  <c r="AC230" i="8"/>
  <c r="AD241" i="8"/>
  <c r="AD245" i="8"/>
  <c r="AD258" i="8"/>
  <c r="AD261" i="8"/>
  <c r="AL271" i="8"/>
  <c r="AD273" i="8"/>
  <c r="AD283" i="8"/>
  <c r="AD285" i="8"/>
  <c r="AC46" i="8"/>
  <c r="AI33" i="8"/>
  <c r="AC33" i="8"/>
  <c r="AI47" i="8"/>
  <c r="AI54" i="8"/>
  <c r="AC54" i="8"/>
  <c r="AC61" i="8"/>
  <c r="AD67" i="8"/>
  <c r="AD45" i="8"/>
  <c r="AI48" i="8"/>
  <c r="AI50" i="8"/>
  <c r="AC50" i="8"/>
  <c r="AI56" i="8"/>
  <c r="AC56" i="8"/>
  <c r="AC63" i="8"/>
  <c r="AC64" i="8"/>
  <c r="AL8" i="8"/>
  <c r="AL45" i="8"/>
  <c r="AC49" i="8"/>
  <c r="AD62" i="8"/>
  <c r="AD64" i="8"/>
  <c r="AL44" i="8"/>
  <c r="AD44" i="8"/>
  <c r="AJ44" i="8"/>
  <c r="AL47" i="8"/>
  <c r="AD47" i="8"/>
  <c r="AD55" i="8"/>
  <c r="AI36" i="8"/>
  <c r="AI45" i="8"/>
  <c r="AC45" i="8"/>
  <c r="AD53" i="8"/>
  <c r="AI41" i="8"/>
  <c r="AC41" i="8"/>
  <c r="AD48" i="8"/>
  <c r="AD57" i="8"/>
  <c r="AC55" i="8"/>
  <c r="AD58" i="8"/>
  <c r="AD60" i="8"/>
  <c r="AI60" i="8"/>
  <c r="AD63" i="8"/>
  <c r="AI63" i="8"/>
  <c r="AL67" i="8"/>
  <c r="AL69" i="8"/>
  <c r="AD69" i="8"/>
  <c r="AD77" i="8"/>
  <c r="AI77" i="8"/>
  <c r="AC79" i="8"/>
  <c r="AC81" i="8"/>
  <c r="AJ81" i="8"/>
  <c r="AD84" i="8"/>
  <c r="AI91" i="8"/>
  <c r="AD92" i="8"/>
  <c r="AC97" i="8"/>
  <c r="AD97" i="8"/>
  <c r="AD103" i="8"/>
  <c r="AD105" i="8"/>
  <c r="AD109" i="8"/>
  <c r="AC66" i="8"/>
  <c r="AC68" i="8"/>
  <c r="AC70" i="8"/>
  <c r="AD72" i="8"/>
  <c r="AC75" i="8"/>
  <c r="AD79" i="8"/>
  <c r="AD81" i="8"/>
  <c r="AD86" i="8"/>
  <c r="AL88" i="8"/>
  <c r="AD91" i="8"/>
  <c r="AI94" i="8"/>
  <c r="AL25" i="8"/>
  <c r="AJ48" i="8"/>
  <c r="AC57" i="8"/>
  <c r="AC59" i="8"/>
  <c r="AL63" i="8"/>
  <c r="AC73" i="8"/>
  <c r="AL77" i="8"/>
  <c r="AC80" i="8"/>
  <c r="AC83" i="8"/>
  <c r="AJ83" i="8"/>
  <c r="AC85" i="8"/>
  <c r="AC89" i="8"/>
  <c r="AC90" i="8"/>
  <c r="AL92" i="8"/>
  <c r="AC98" i="8"/>
  <c r="AI98" i="8"/>
  <c r="AI104" i="8"/>
  <c r="AC104" i="8"/>
  <c r="AL105" i="8"/>
  <c r="AC106" i="8"/>
  <c r="AC108" i="8"/>
  <c r="AI110" i="8"/>
  <c r="AC110" i="8"/>
  <c r="AL48" i="8"/>
  <c r="AJ50" i="8"/>
  <c r="AJ56" i="8"/>
  <c r="AL57" i="8"/>
  <c r="AL72" i="8"/>
  <c r="AL79" i="8"/>
  <c r="AL83" i="8"/>
  <c r="AD85" i="8"/>
  <c r="AL86" i="8"/>
  <c r="AD94" i="8"/>
  <c r="AC96" i="8"/>
  <c r="AI99" i="8"/>
  <c r="AC99" i="8"/>
  <c r="AL100" i="8"/>
  <c r="AD102" i="8"/>
  <c r="AD108" i="8"/>
  <c r="AL52" i="8"/>
  <c r="AL54" i="8"/>
  <c r="AL59" i="8"/>
  <c r="AL61" i="8"/>
  <c r="AL64" i="8"/>
  <c r="AL66" i="8"/>
  <c r="AL68" i="8"/>
  <c r="AL70" i="8"/>
  <c r="AL75" i="8"/>
  <c r="AL78" i="8"/>
  <c r="AC78" i="8"/>
  <c r="AL85" i="8"/>
  <c r="AC88" i="8"/>
  <c r="AC93" i="8"/>
  <c r="AC101" i="8"/>
  <c r="AD104" i="8"/>
  <c r="AC112" i="8"/>
  <c r="AL56" i="8"/>
  <c r="AL73" i="8"/>
  <c r="AL80" i="8"/>
  <c r="AC87" i="8"/>
  <c r="AD88" i="8"/>
  <c r="AL90" i="8"/>
  <c r="AC92" i="8"/>
  <c r="AL94" i="8"/>
  <c r="AD95" i="8"/>
  <c r="AD101" i="8"/>
  <c r="AC103" i="8"/>
  <c r="AC105" i="8"/>
  <c r="AI107" i="8"/>
  <c r="AC107" i="8"/>
  <c r="AC109" i="8"/>
  <c r="AI113" i="8"/>
  <c r="AC113" i="8"/>
  <c r="AD98" i="8"/>
  <c r="AD100" i="8"/>
  <c r="AC125" i="8"/>
  <c r="AI129" i="8"/>
  <c r="AD130" i="8"/>
  <c r="AC133" i="8"/>
  <c r="AD140" i="8"/>
  <c r="AL144" i="8"/>
  <c r="AC145" i="8"/>
  <c r="AD145" i="8"/>
  <c r="AD115" i="8"/>
  <c r="AD118" i="8"/>
  <c r="AD121" i="8"/>
  <c r="AD124" i="8"/>
  <c r="AD125" i="8"/>
  <c r="AD129" i="8"/>
  <c r="AD133" i="8"/>
  <c r="AI141" i="8"/>
  <c r="AC141" i="8"/>
  <c r="AC148" i="8"/>
  <c r="AD148" i="8"/>
  <c r="AI153" i="8"/>
  <c r="AC153" i="8"/>
  <c r="AL87" i="8"/>
  <c r="AL95" i="8"/>
  <c r="AL98" i="8"/>
  <c r="AC116" i="8"/>
  <c r="AC119" i="8"/>
  <c r="AC122" i="8"/>
  <c r="AL126" i="8"/>
  <c r="AC128" i="8"/>
  <c r="AL130" i="8"/>
  <c r="AC136" i="8"/>
  <c r="AI144" i="8"/>
  <c r="AC144" i="8"/>
  <c r="AL150" i="8"/>
  <c r="AC155" i="8"/>
  <c r="AI156" i="8"/>
  <c r="AC156" i="8"/>
  <c r="AL103" i="8"/>
  <c r="AL106" i="8"/>
  <c r="AL109" i="8"/>
  <c r="AL112" i="8"/>
  <c r="AL115" i="8"/>
  <c r="AL118" i="8"/>
  <c r="AL121" i="8"/>
  <c r="AL124" i="8"/>
  <c r="AL125" i="8"/>
  <c r="AC127" i="8"/>
  <c r="AL132" i="8"/>
  <c r="AL133" i="8"/>
  <c r="AI135" i="8"/>
  <c r="AC135" i="8"/>
  <c r="AD136" i="8"/>
  <c r="AL138" i="8"/>
  <c r="AI143" i="8"/>
  <c r="AI147" i="8"/>
  <c r="AC147" i="8"/>
  <c r="AD151" i="8"/>
  <c r="AD155" i="8"/>
  <c r="AI126" i="8"/>
  <c r="AD127" i="8"/>
  <c r="AC131" i="8"/>
  <c r="AC134" i="8"/>
  <c r="AI137" i="8"/>
  <c r="AC139" i="8"/>
  <c r="AD139" i="8"/>
  <c r="AI146" i="8"/>
  <c r="AI150" i="8"/>
  <c r="AC150" i="8"/>
  <c r="AL104" i="8"/>
  <c r="AL107" i="8"/>
  <c r="AL110" i="8"/>
  <c r="AL113" i="8"/>
  <c r="AL116" i="8"/>
  <c r="AL119" i="8"/>
  <c r="AL122" i="8"/>
  <c r="AL128" i="8"/>
  <c r="AC130" i="8"/>
  <c r="AI132" i="8"/>
  <c r="AC132" i="8"/>
  <c r="AD135" i="8"/>
  <c r="AI138" i="8"/>
  <c r="AC138" i="8"/>
  <c r="AC140" i="8"/>
  <c r="AL141" i="8"/>
  <c r="AC142" i="8"/>
  <c r="AD142" i="8"/>
  <c r="AD147" i="8"/>
  <c r="AI149" i="8"/>
  <c r="AD161" i="8"/>
  <c r="AL163" i="8"/>
  <c r="AC165" i="8"/>
  <c r="AD166" i="8"/>
  <c r="AL167" i="8"/>
  <c r="AJ168" i="8"/>
  <c r="AD170" i="8"/>
  <c r="AC172" i="8"/>
  <c r="AD173" i="8"/>
  <c r="AC178" i="8"/>
  <c r="AD179" i="8"/>
  <c r="AD158" i="8"/>
  <c r="AC160" i="8"/>
  <c r="AC164" i="8"/>
  <c r="AD165" i="8"/>
  <c r="AC169" i="8"/>
  <c r="AD177" i="8"/>
  <c r="AJ183" i="8"/>
  <c r="AC159" i="8"/>
  <c r="AD160" i="8"/>
  <c r="AL161" i="8"/>
  <c r="AL166" i="8"/>
  <c r="AC168" i="8"/>
  <c r="AD169" i="8"/>
  <c r="AL170" i="8"/>
  <c r="AL134" i="8"/>
  <c r="AL137" i="8"/>
  <c r="AL140" i="8"/>
  <c r="AL143" i="8"/>
  <c r="AL146" i="8"/>
  <c r="AL149" i="8"/>
  <c r="AL152" i="8"/>
  <c r="AL155" i="8"/>
  <c r="AL158" i="8"/>
  <c r="AD159" i="8"/>
  <c r="AC163" i="8"/>
  <c r="AC167" i="8"/>
  <c r="AD168" i="8"/>
  <c r="AI171" i="8"/>
  <c r="AC175" i="8"/>
  <c r="AD176" i="8"/>
  <c r="AC180" i="8"/>
  <c r="AC181" i="8"/>
  <c r="AL160" i="8"/>
  <c r="AC162" i="8"/>
  <c r="AD163" i="8"/>
  <c r="AL164" i="8"/>
  <c r="AL169" i="8"/>
  <c r="AD174" i="8"/>
  <c r="AD175" i="8"/>
  <c r="AD181" i="8"/>
  <c r="AL153" i="8"/>
  <c r="AL156" i="8"/>
  <c r="AL159" i="8"/>
  <c r="AC166" i="8"/>
  <c r="AD171" i="8"/>
  <c r="AC173" i="8"/>
  <c r="AC179" i="8"/>
  <c r="AJ180" i="8"/>
  <c r="AC183" i="8"/>
  <c r="AC184" i="8"/>
  <c r="AD180" i="8"/>
  <c r="AD183" i="8"/>
  <c r="AD186" i="8"/>
  <c r="AD189" i="8"/>
  <c r="AC194" i="8"/>
  <c r="AD198" i="8"/>
  <c r="AD204" i="8"/>
  <c r="AC206" i="8"/>
  <c r="AI206" i="8"/>
  <c r="AC187" i="8"/>
  <c r="AC192" i="8"/>
  <c r="AD194" i="8"/>
  <c r="AC202" i="8"/>
  <c r="AD202" i="8"/>
  <c r="AL162" i="8"/>
  <c r="AL165" i="8"/>
  <c r="AL168" i="8"/>
  <c r="AL171" i="8"/>
  <c r="AL174" i="8"/>
  <c r="AL177" i="8"/>
  <c r="AL180" i="8"/>
  <c r="AL183" i="8"/>
  <c r="AL186" i="8"/>
  <c r="AL189" i="8"/>
  <c r="AC191" i="8"/>
  <c r="AD192" i="8"/>
  <c r="AL193" i="8"/>
  <c r="AC195" i="8"/>
  <c r="AL198" i="8"/>
  <c r="AC201" i="8"/>
  <c r="AL204" i="8"/>
  <c r="AD195" i="8"/>
  <c r="AC196" i="8"/>
  <c r="AD196" i="8"/>
  <c r="AC200" i="8"/>
  <c r="AD201" i="8"/>
  <c r="AJ206" i="8"/>
  <c r="AL172" i="8"/>
  <c r="AL175" i="8"/>
  <c r="AL178" i="8"/>
  <c r="AL181" i="8"/>
  <c r="AL184" i="8"/>
  <c r="AL187" i="8"/>
  <c r="AL192" i="8"/>
  <c r="AC197" i="8"/>
  <c r="AC199" i="8"/>
  <c r="AD199" i="8"/>
  <c r="AD200" i="8"/>
  <c r="AI203" i="8"/>
  <c r="AC205" i="8"/>
  <c r="AC189" i="8"/>
  <c r="AC193" i="8"/>
  <c r="AD197" i="8"/>
  <c r="AC198" i="8"/>
  <c r="AC204" i="8"/>
  <c r="AD206" i="8"/>
  <c r="AD209" i="8"/>
  <c r="AI209" i="8"/>
  <c r="AD212" i="8"/>
  <c r="AI212" i="8"/>
  <c r="AD220" i="8"/>
  <c r="AI220" i="8"/>
  <c r="AD222" i="8"/>
  <c r="AL224" i="8"/>
  <c r="AD225" i="8"/>
  <c r="AI225" i="8"/>
  <c r="AD226" i="8"/>
  <c r="AD227" i="8"/>
  <c r="AD232" i="8"/>
  <c r="AC233" i="8"/>
  <c r="AI233" i="8"/>
  <c r="AC207" i="8"/>
  <c r="AC210" i="8"/>
  <c r="AD215" i="8"/>
  <c r="AD218" i="8"/>
  <c r="AC223" i="8"/>
  <c r="AL191" i="8"/>
  <c r="AL194" i="8"/>
  <c r="AL197" i="8"/>
  <c r="AL200" i="8"/>
  <c r="AL203" i="8"/>
  <c r="AL206" i="8"/>
  <c r="AL209" i="8"/>
  <c r="AL212" i="8"/>
  <c r="AC213" i="8"/>
  <c r="AC216" i="8"/>
  <c r="AL220" i="8"/>
  <c r="AC221" i="8"/>
  <c r="AL225" i="8"/>
  <c r="AL226" i="8"/>
  <c r="AC229" i="8"/>
  <c r="AL215" i="8"/>
  <c r="AL218" i="8"/>
  <c r="AC219" i="8"/>
  <c r="AJ219" i="8"/>
  <c r="AC228" i="8"/>
  <c r="AJ233" i="8"/>
  <c r="AL213" i="8"/>
  <c r="AD219" i="8"/>
  <c r="AL223" i="8"/>
  <c r="AD230" i="8"/>
  <c r="AI232" i="8"/>
  <c r="AC232" i="8"/>
  <c r="AL233" i="8"/>
  <c r="AL216" i="8"/>
  <c r="AL219" i="8"/>
  <c r="AL221" i="8"/>
  <c r="AC226" i="8"/>
  <c r="AC227" i="8"/>
  <c r="AL229" i="8"/>
  <c r="AC231" i="8"/>
  <c r="AD233" i="8"/>
  <c r="AD236" i="8"/>
  <c r="AI236" i="8"/>
  <c r="AD239" i="8"/>
  <c r="AI239" i="8"/>
  <c r="AC242" i="8"/>
  <c r="AJ247" i="8"/>
  <c r="AC248" i="8"/>
  <c r="AC234" i="8"/>
  <c r="AC237" i="8"/>
  <c r="AL241" i="8"/>
  <c r="AD242" i="8"/>
  <c r="AL244" i="8"/>
  <c r="AC249" i="8"/>
  <c r="AD229" i="8"/>
  <c r="AD234" i="8"/>
  <c r="AL236" i="8"/>
  <c r="AD237" i="8"/>
  <c r="AL239" i="8"/>
  <c r="AC240" i="8"/>
  <c r="AC243" i="8"/>
  <c r="AJ245" i="8"/>
  <c r="AD249" i="8"/>
  <c r="AL231" i="8"/>
  <c r="AL242" i="8"/>
  <c r="AC246" i="8"/>
  <c r="AD250" i="8"/>
  <c r="AC245" i="8"/>
  <c r="AD246" i="8"/>
  <c r="AC247" i="8"/>
  <c r="AL249" i="8"/>
  <c r="AC258" i="8"/>
  <c r="AL232" i="8"/>
  <c r="AL243" i="8"/>
  <c r="AD247" i="8"/>
  <c r="AC251" i="8"/>
  <c r="AL247" i="8"/>
  <c r="AL250" i="8"/>
  <c r="AI251" i="8"/>
  <c r="AL253" i="8"/>
  <c r="AI254" i="8"/>
  <c r="AL256" i="8"/>
  <c r="AC260" i="8"/>
  <c r="AC262" i="8"/>
  <c r="AC268" i="8"/>
  <c r="AI268" i="8"/>
  <c r="AL269" i="8"/>
  <c r="AC252" i="8"/>
  <c r="AC255" i="8"/>
  <c r="AL259" i="8"/>
  <c r="AD260" i="8"/>
  <c r="AD262" i="8"/>
  <c r="AC264" i="8"/>
  <c r="AI265" i="8"/>
  <c r="AD270" i="8"/>
  <c r="AC272" i="8"/>
  <c r="AL245" i="8"/>
  <c r="AL248" i="8"/>
  <c r="AL251" i="8"/>
  <c r="AL254" i="8"/>
  <c r="AL257" i="8"/>
  <c r="AL262" i="8"/>
  <c r="AC263" i="8"/>
  <c r="AD264" i="8"/>
  <c r="AC266" i="8"/>
  <c r="AI266" i="8"/>
  <c r="AL267" i="8"/>
  <c r="AD268" i="8"/>
  <c r="AC281" i="8"/>
  <c r="AI281" i="8"/>
  <c r="AC250" i="8"/>
  <c r="AC253" i="8"/>
  <c r="AL260" i="8"/>
  <c r="AC261" i="8"/>
  <c r="AD263" i="8"/>
  <c r="AJ264" i="8"/>
  <c r="AL252" i="8"/>
  <c r="AL255" i="8"/>
  <c r="AL258" i="8"/>
  <c r="AC259" i="8"/>
  <c r="AD266" i="8"/>
  <c r="AD280" i="8"/>
  <c r="AC267" i="8"/>
  <c r="AD267" i="8"/>
  <c r="AD269" i="8"/>
  <c r="AL265" i="8"/>
  <c r="AI270" i="8"/>
  <c r="AL272" i="8"/>
  <c r="AI275" i="8"/>
  <c r="AC277" i="8"/>
  <c r="AJ277" i="8"/>
  <c r="AC279" i="8"/>
  <c r="AD281" i="8"/>
  <c r="AL283" i="8"/>
  <c r="AC284" i="8"/>
  <c r="AC271" i="8"/>
  <c r="AL275" i="8"/>
  <c r="AL279" i="8"/>
  <c r="AD279" i="8"/>
  <c r="AC282" i="8"/>
  <c r="AL268" i="8"/>
  <c r="AD271" i="8"/>
  <c r="AC274" i="8"/>
  <c r="AL277" i="8"/>
  <c r="AC278" i="8"/>
  <c r="AD282" i="8"/>
  <c r="AC285" i="8"/>
  <c r="AC276" i="8"/>
  <c r="AJ276" i="8"/>
  <c r="AL281" i="8"/>
  <c r="AL284" i="8"/>
  <c r="AC283" i="8"/>
  <c r="AL274" i="8"/>
  <c r="AL278" i="8"/>
  <c r="AL280" i="8"/>
  <c r="AL285" i="8"/>
  <c r="AI13" i="8"/>
  <c r="AD8" i="8"/>
  <c r="AI22" i="8"/>
  <c r="AI28" i="8"/>
  <c r="AI17" i="8"/>
  <c r="AI29" i="8"/>
  <c r="AC29" i="8"/>
  <c r="AI6" i="8"/>
  <c r="AI12" i="8"/>
  <c r="AI18" i="8"/>
  <c r="AI30" i="8"/>
  <c r="AI19" i="8"/>
  <c r="AD6" i="8"/>
  <c r="AI8" i="8"/>
  <c r="AI20" i="8"/>
  <c r="AC20" i="8"/>
  <c r="AI26" i="8"/>
  <c r="AD17" i="8"/>
  <c r="AI25" i="8"/>
  <c r="AI15" i="8"/>
  <c r="AI21" i="8"/>
  <c r="K7" i="3"/>
  <c r="K6" i="3"/>
  <c r="AD46" i="8" l="1"/>
  <c r="AD26" i="8"/>
  <c r="AF5" i="8"/>
  <c r="AD10" i="8"/>
  <c r="AH52" i="8"/>
  <c r="AL50" i="8"/>
  <c r="AD52" i="8"/>
  <c r="AD24" i="8"/>
  <c r="AK6" i="8"/>
  <c r="AD30" i="8"/>
  <c r="AE638" i="8"/>
  <c r="AH35" i="8"/>
  <c r="AF47" i="8"/>
  <c r="AE848" i="8"/>
  <c r="AC47" i="8"/>
  <c r="AE47" i="8" s="1"/>
  <c r="AH47" i="8"/>
  <c r="AF52" i="8"/>
  <c r="AC16" i="8"/>
  <c r="AC28" i="8"/>
  <c r="AC14" i="8"/>
  <c r="AL28" i="8"/>
  <c r="AE910" i="8"/>
  <c r="AH32" i="8"/>
  <c r="AE736" i="8"/>
  <c r="AC32" i="8"/>
  <c r="AK18" i="8"/>
  <c r="AE901" i="8"/>
  <c r="AC19" i="8"/>
  <c r="AI9" i="8"/>
  <c r="AK52" i="8"/>
  <c r="AG14" i="8"/>
  <c r="AG5" i="8"/>
  <c r="AG24" i="8"/>
  <c r="AK24" i="8" s="1"/>
  <c r="AG40" i="8"/>
  <c r="AK40" i="8" s="1"/>
  <c r="AG3" i="8"/>
  <c r="AK3" i="8" s="1"/>
  <c r="AC48" i="8"/>
  <c r="AE48" i="8" s="1"/>
  <c r="AF26" i="8"/>
  <c r="AK46" i="8"/>
  <c r="AF16" i="8"/>
  <c r="AC4" i="8"/>
  <c r="AE4" i="8" s="1"/>
  <c r="AD50" i="8"/>
  <c r="AE50" i="8" s="1"/>
  <c r="AK8" i="8"/>
  <c r="AG10" i="8"/>
  <c r="AK10" i="8" s="1"/>
  <c r="AD29" i="8"/>
  <c r="AE29" i="8" s="1"/>
  <c r="AC9" i="8"/>
  <c r="AG9" i="8"/>
  <c r="AK9" i="8" s="1"/>
  <c r="AD37" i="8"/>
  <c r="AH43" i="8"/>
  <c r="AG39" i="8"/>
  <c r="AK39" i="8" s="1"/>
  <c r="AG13" i="8"/>
  <c r="AK13" i="8" s="1"/>
  <c r="AC43" i="8"/>
  <c r="AL5" i="8"/>
  <c r="AL12" i="8"/>
  <c r="AL14" i="8"/>
  <c r="AH44" i="8"/>
  <c r="AH19" i="8"/>
  <c r="AF44" i="8"/>
  <c r="AF19" i="8"/>
  <c r="AL22" i="8"/>
  <c r="AD33" i="8"/>
  <c r="AE33" i="8" s="1"/>
  <c r="AK50" i="8"/>
  <c r="AD49" i="8"/>
  <c r="AE49" i="8" s="1"/>
  <c r="AC35" i="8"/>
  <c r="AL13" i="8"/>
  <c r="AG33" i="8"/>
  <c r="AK33" i="8" s="1"/>
  <c r="AL35" i="8"/>
  <c r="AF35" i="8"/>
  <c r="AC17" i="8"/>
  <c r="AE17" i="8" s="1"/>
  <c r="AD43" i="8"/>
  <c r="AH17" i="8"/>
  <c r="AC21" i="8"/>
  <c r="AE21" i="8" s="1"/>
  <c r="AE859" i="8"/>
  <c r="AE854" i="8"/>
  <c r="AC26" i="8"/>
  <c r="AE26" i="8" s="1"/>
  <c r="AD9" i="8"/>
  <c r="AI7" i="8"/>
  <c r="AH10" i="8"/>
  <c r="AH21" i="8"/>
  <c r="AG35" i="8"/>
  <c r="AD11" i="8"/>
  <c r="AI38" i="8"/>
  <c r="AC38" i="8"/>
  <c r="AL4" i="8"/>
  <c r="AG4" i="8"/>
  <c r="AK4" i="8" s="1"/>
  <c r="AH4" i="8"/>
  <c r="AC13" i="8"/>
  <c r="AC34" i="8"/>
  <c r="AD19" i="8"/>
  <c r="AL38" i="8"/>
  <c r="AH38" i="8"/>
  <c r="AF22" i="8"/>
  <c r="AD39" i="8"/>
  <c r="AD22" i="8"/>
  <c r="AG42" i="8"/>
  <c r="AK42" i="8" s="1"/>
  <c r="AC5" i="8"/>
  <c r="AH5" i="8"/>
  <c r="AI5" i="8"/>
  <c r="AC40" i="8"/>
  <c r="AL3" i="8"/>
  <c r="AC30" i="8"/>
  <c r="AC3" i="8"/>
  <c r="AE3" i="8" s="1"/>
  <c r="AH7" i="8"/>
  <c r="AI3" i="8"/>
  <c r="AH3" i="8"/>
  <c r="AC39" i="8"/>
  <c r="AK20" i="8"/>
  <c r="AF7" i="8"/>
  <c r="AL37" i="8"/>
  <c r="AH27" i="8"/>
  <c r="AL32" i="8"/>
  <c r="AL27" i="8"/>
  <c r="AL26" i="8"/>
  <c r="AL10" i="8"/>
  <c r="AG26" i="8"/>
  <c r="AK26" i="8" s="1"/>
  <c r="AC7" i="8"/>
  <c r="AD42" i="8"/>
  <c r="AD28" i="8"/>
  <c r="AL42" i="8"/>
  <c r="AC42" i="8"/>
  <c r="AF34" i="8"/>
  <c r="AL24" i="8"/>
  <c r="AH42" i="8"/>
  <c r="AI42" i="8"/>
  <c r="AK29" i="8"/>
  <c r="AL11" i="8"/>
  <c r="AD27" i="8"/>
  <c r="AH30" i="8"/>
  <c r="AK19" i="8"/>
  <c r="AG28" i="8"/>
  <c r="AK28" i="8" s="1"/>
  <c r="AF25" i="8"/>
  <c r="AD25" i="8"/>
  <c r="AF4" i="8"/>
  <c r="AL15" i="8"/>
  <c r="AG32" i="8"/>
  <c r="AK32" i="8" s="1"/>
  <c r="AC6" i="8"/>
  <c r="AE6" i="8" s="1"/>
  <c r="AI11" i="8"/>
  <c r="AD32" i="8"/>
  <c r="AF42" i="8"/>
  <c r="AI24" i="8"/>
  <c r="AF27" i="8"/>
  <c r="AH22" i="8"/>
  <c r="AH24" i="8"/>
  <c r="AD40" i="8"/>
  <c r="AC10" i="8"/>
  <c r="AE10" i="8" s="1"/>
  <c r="AC15" i="8"/>
  <c r="AF29" i="8"/>
  <c r="AG37" i="8"/>
  <c r="AK37" i="8" s="1"/>
  <c r="AD13" i="8"/>
  <c r="AK38" i="8"/>
  <c r="AG22" i="8"/>
  <c r="AD36" i="8"/>
  <c r="AE36" i="8" s="1"/>
  <c r="AG27" i="8"/>
  <c r="AK27" i="8" s="1"/>
  <c r="AC37" i="8"/>
  <c r="AH37" i="8"/>
  <c r="AK43" i="8"/>
  <c r="AD34" i="8"/>
  <c r="AK25" i="8"/>
  <c r="AD7" i="8"/>
  <c r="AI16" i="8"/>
  <c r="AH16" i="8"/>
  <c r="AK15" i="8"/>
  <c r="AC22" i="8"/>
  <c r="AG11" i="8"/>
  <c r="AK11" i="8" s="1"/>
  <c r="AG16" i="8"/>
  <c r="AK16" i="8" s="1"/>
  <c r="AL16" i="8"/>
  <c r="AC24" i="8"/>
  <c r="AE24" i="8" s="1"/>
  <c r="AL6" i="8"/>
  <c r="AG12" i="8"/>
  <c r="AK12" i="8" s="1"/>
  <c r="AH23" i="8"/>
  <c r="AF12" i="8"/>
  <c r="AC11" i="8"/>
  <c r="AD35" i="8"/>
  <c r="AG7" i="8"/>
  <c r="AK7" i="8" s="1"/>
  <c r="AG34" i="8"/>
  <c r="AK34" i="8" s="1"/>
  <c r="AD12" i="8"/>
  <c r="AK36" i="8"/>
  <c r="AL23" i="8"/>
  <c r="AK35" i="8"/>
  <c r="AD38" i="8"/>
  <c r="AC27" i="8"/>
  <c r="AG23" i="8"/>
  <c r="AK23" i="8" s="1"/>
  <c r="AD20" i="8"/>
  <c r="AE20" i="8" s="1"/>
  <c r="AD15" i="8"/>
  <c r="AE645" i="8"/>
  <c r="AK41" i="8"/>
  <c r="AC25" i="8"/>
  <c r="AD5" i="8"/>
  <c r="AK5" i="8"/>
  <c r="AH25" i="8"/>
  <c r="AD16" i="8"/>
  <c r="AL9" i="8"/>
  <c r="AK22" i="8"/>
  <c r="AK14" i="8"/>
  <c r="AD14" i="8"/>
  <c r="AD18" i="8"/>
  <c r="AE18" i="8" s="1"/>
  <c r="AC23" i="8"/>
  <c r="AC12" i="8"/>
  <c r="AD23" i="8"/>
  <c r="AD41" i="8"/>
  <c r="AE41" i="8" s="1"/>
  <c r="AK30" i="8"/>
  <c r="AK21" i="8"/>
  <c r="AE663" i="8"/>
  <c r="AK149" i="8"/>
  <c r="AE940" i="8"/>
  <c r="AE823" i="8"/>
  <c r="AE690" i="8"/>
  <c r="AE865" i="8"/>
  <c r="AE889" i="8"/>
  <c r="AE653" i="8"/>
  <c r="AE806" i="8"/>
  <c r="D5" i="8"/>
  <c r="C5" i="8" s="1"/>
  <c r="AL51" i="8"/>
  <c r="AE664" i="8"/>
  <c r="AE936" i="8"/>
  <c r="AE897" i="8"/>
  <c r="AE863" i="8"/>
  <c r="AE642" i="8"/>
  <c r="AE888" i="8"/>
  <c r="AE862" i="8"/>
  <c r="AE918" i="8"/>
  <c r="AE739" i="8"/>
  <c r="AE963" i="8"/>
  <c r="AE668" i="8"/>
  <c r="AE933" i="8"/>
  <c r="AE924" i="8"/>
  <c r="AE641" i="8"/>
  <c r="AE894" i="8"/>
  <c r="AE891" i="8"/>
  <c r="AE930" i="8"/>
  <c r="AE600" i="8"/>
  <c r="AE517" i="8"/>
  <c r="AE767" i="8"/>
  <c r="AE916" i="8"/>
  <c r="AE914" i="8"/>
  <c r="AE912" i="8"/>
  <c r="AE639" i="8"/>
  <c r="AE915" i="8"/>
  <c r="AE771" i="8"/>
  <c r="AE843" i="8"/>
  <c r="AE813" i="8"/>
  <c r="AE466" i="8"/>
  <c r="AE861" i="8"/>
  <c r="AE628" i="8"/>
  <c r="AE966" i="8"/>
  <c r="AE648" i="8"/>
  <c r="AE842" i="8"/>
  <c r="AE766" i="8"/>
  <c r="AE857" i="8"/>
  <c r="AE799" i="8"/>
  <c r="AE651" i="8"/>
  <c r="AE922" i="8"/>
  <c r="AE909" i="8"/>
  <c r="AE860" i="8"/>
  <c r="AE892" i="8"/>
  <c r="AE732" i="8"/>
  <c r="AE714" i="8"/>
  <c r="AE696" i="8"/>
  <c r="AE927" i="8"/>
  <c r="AE555" i="8"/>
  <c r="AE549" i="8"/>
  <c r="AE543" i="8"/>
  <c r="AE753" i="8"/>
  <c r="AE876" i="8"/>
  <c r="AE883" i="8"/>
  <c r="AE729" i="8"/>
  <c r="AE679" i="8"/>
  <c r="AE659" i="8"/>
  <c r="AE631" i="8"/>
  <c r="AE556" i="8"/>
  <c r="AE550" i="8"/>
  <c r="AE544" i="8"/>
  <c r="AE839" i="8"/>
  <c r="AE807" i="8"/>
  <c r="AE845" i="8"/>
  <c r="AE468" i="8"/>
  <c r="AE993" i="8"/>
  <c r="AE531" i="8"/>
  <c r="AE525" i="8"/>
  <c r="AE506" i="8"/>
  <c r="AE440" i="8"/>
  <c r="AE498" i="8"/>
  <c r="AE488" i="8"/>
  <c r="AE472" i="8"/>
  <c r="AE996" i="8"/>
  <c r="AE984" i="8"/>
  <c r="AE874" i="8"/>
  <c r="AE809" i="8"/>
  <c r="AE871" i="8"/>
  <c r="AE644" i="8"/>
  <c r="AE637" i="8"/>
  <c r="AE840" i="8"/>
  <c r="AE855" i="8"/>
  <c r="AE649" i="8"/>
  <c r="AE634" i="8"/>
  <c r="AE903" i="8"/>
  <c r="AE805" i="8"/>
  <c r="AE868" i="8"/>
  <c r="AE811" i="8"/>
  <c r="AE724" i="8"/>
  <c r="AE706" i="8"/>
  <c r="AE913" i="8"/>
  <c r="AE851" i="8"/>
  <c r="AE908" i="8"/>
  <c r="AE652" i="8"/>
  <c r="AE682" i="8"/>
  <c r="AE906" i="8"/>
  <c r="AE796" i="8"/>
  <c r="AE921" i="8"/>
  <c r="AD149" i="8"/>
  <c r="AE149" i="8" s="1"/>
  <c r="AH51" i="8"/>
  <c r="AG51" i="8"/>
  <c r="AK51" i="8" s="1"/>
  <c r="AE870" i="8"/>
  <c r="AE557" i="8"/>
  <c r="AE551" i="8"/>
  <c r="AE545" i="8"/>
  <c r="AE539" i="8"/>
  <c r="AE460" i="8"/>
  <c r="AE997" i="8"/>
  <c r="AE834" i="8"/>
  <c r="AE864" i="8"/>
  <c r="AE812" i="8"/>
  <c r="AE768" i="8"/>
  <c r="AE728" i="8"/>
  <c r="AE722" i="8"/>
  <c r="AE710" i="8"/>
  <c r="AE704" i="8"/>
  <c r="AE751" i="8"/>
  <c r="AE387" i="8"/>
  <c r="AE489" i="8"/>
  <c r="AE426" i="8"/>
  <c r="AE818" i="8"/>
  <c r="AE787" i="8"/>
  <c r="AE201" i="8"/>
  <c r="AE646" i="8"/>
  <c r="AE886" i="8"/>
  <c r="AE670" i="8"/>
  <c r="AE797" i="8"/>
  <c r="AE548" i="8"/>
  <c r="AE524" i="8"/>
  <c r="AE553" i="8"/>
  <c r="AE547" i="8"/>
  <c r="AE541" i="8"/>
  <c r="AE535" i="8"/>
  <c r="AE529" i="8"/>
  <c r="AE523" i="8"/>
  <c r="AE439" i="8"/>
  <c r="AE420" i="8"/>
  <c r="AE446" i="8"/>
  <c r="AE999" i="8"/>
  <c r="AE987" i="8"/>
  <c r="AE952" i="8"/>
  <c r="AE950" i="8"/>
  <c r="AE879" i="8"/>
  <c r="AE829" i="8"/>
  <c r="AE776" i="8"/>
  <c r="AE726" i="8"/>
  <c r="AE720" i="8"/>
  <c r="AE708" i="8"/>
  <c r="AE702" i="8"/>
  <c r="AE745" i="8"/>
  <c r="AE793" i="8"/>
  <c r="AE558" i="8"/>
  <c r="AE552" i="8"/>
  <c r="AE546" i="8"/>
  <c r="AE540" i="8"/>
  <c r="AE413" i="8"/>
  <c r="AE449" i="8"/>
  <c r="AE377" i="8"/>
  <c r="AE625" i="8"/>
  <c r="AE814" i="8"/>
  <c r="AE346" i="8"/>
  <c r="AE355" i="8"/>
  <c r="AE257" i="8"/>
  <c r="AE554" i="8"/>
  <c r="AE542" i="8"/>
  <c r="AE530" i="8"/>
  <c r="AE789" i="8"/>
  <c r="AE650" i="8"/>
  <c r="AE636" i="8"/>
  <c r="AE654" i="8"/>
  <c r="AE853" i="8"/>
  <c r="AC51" i="8"/>
  <c r="AD51" i="8"/>
  <c r="AE841" i="8"/>
  <c r="AE569" i="8"/>
  <c r="AE431" i="8"/>
  <c r="AE885" i="8"/>
  <c r="AE792" i="8"/>
  <c r="AE795" i="8"/>
  <c r="AE658" i="8"/>
  <c r="AE380" i="8"/>
  <c r="AE831" i="8"/>
  <c r="AE746" i="8"/>
  <c r="AE737" i="8"/>
  <c r="AE778" i="8"/>
  <c r="AE657" i="8"/>
  <c r="AE640" i="8"/>
  <c r="AE622" i="8"/>
  <c r="AE442" i="8"/>
  <c r="AE896" i="8"/>
  <c r="AE760" i="8"/>
  <c r="AE504" i="8"/>
  <c r="AE725" i="8"/>
  <c r="AE707" i="8"/>
  <c r="AE998" i="8"/>
  <c r="AE623" i="8"/>
  <c r="AE242" i="8"/>
  <c r="AE603" i="8"/>
  <c r="AE583" i="8"/>
  <c r="AE534" i="8"/>
  <c r="AE528" i="8"/>
  <c r="AE311" i="8"/>
  <c r="AE474" i="8"/>
  <c r="AE965" i="8"/>
  <c r="AE838" i="8"/>
  <c r="AE770" i="8"/>
  <c r="AE748" i="8"/>
  <c r="AE182" i="8"/>
  <c r="AE520" i="8"/>
  <c r="AE402" i="8"/>
  <c r="AE428" i="8"/>
  <c r="AE388" i="8"/>
  <c r="AE382" i="8"/>
  <c r="AE328" i="8"/>
  <c r="AE303" i="8"/>
  <c r="AE345" i="8"/>
  <c r="AE486" i="8"/>
  <c r="AE481" i="8"/>
  <c r="AE463" i="8"/>
  <c r="AE477" i="8"/>
  <c r="AE992" i="8"/>
  <c r="AE980" i="8"/>
  <c r="AE979" i="8"/>
  <c r="AE960" i="8"/>
  <c r="AE816" i="8"/>
  <c r="AE884" i="8"/>
  <c r="AE858" i="8"/>
  <c r="AE825" i="8"/>
  <c r="AE734" i="8"/>
  <c r="AE716" i="8"/>
  <c r="AE698" i="8"/>
  <c r="AE742" i="8"/>
  <c r="AE685" i="8"/>
  <c r="AE676" i="8"/>
  <c r="AE683" i="8"/>
  <c r="AE907" i="8"/>
  <c r="AE873" i="8"/>
  <c r="AE850" i="8"/>
  <c r="AE192" i="8"/>
  <c r="AE467" i="8"/>
  <c r="AE727" i="8"/>
  <c r="AE709" i="8"/>
  <c r="AE672" i="8"/>
  <c r="AE630" i="8"/>
  <c r="AE635" i="8"/>
  <c r="AE393" i="8"/>
  <c r="AE802" i="8"/>
  <c r="AE755" i="8"/>
  <c r="AE989" i="8"/>
  <c r="AE783" i="8"/>
  <c r="AE905" i="8"/>
  <c r="AE847" i="8"/>
  <c r="AE667" i="8"/>
  <c r="AE689" i="8"/>
  <c r="AE251" i="8"/>
  <c r="AE306" i="8"/>
  <c r="AE343" i="8"/>
  <c r="AE587" i="8"/>
  <c r="AE822" i="8"/>
  <c r="AE835" i="8"/>
  <c r="AE808" i="8"/>
  <c r="AE765" i="8"/>
  <c r="AE675" i="8"/>
  <c r="AE339" i="8"/>
  <c r="AE327" i="8"/>
  <c r="AE312" i="8"/>
  <c r="AE300" i="8"/>
  <c r="AE323" i="8"/>
  <c r="AE299" i="8"/>
  <c r="AE238" i="8"/>
  <c r="AE335" i="8"/>
  <c r="AE329" i="8"/>
  <c r="AE316" i="8"/>
  <c r="AE171" i="8"/>
  <c r="AE320" i="8"/>
  <c r="AE296" i="8"/>
  <c r="AE277" i="8"/>
  <c r="AE352" i="8"/>
  <c r="AE305" i="8"/>
  <c r="AE293" i="8"/>
  <c r="AE333" i="8"/>
  <c r="AE284" i="8"/>
  <c r="AE614" i="8"/>
  <c r="AE608" i="8"/>
  <c r="AE509" i="8"/>
  <c r="AE369" i="8"/>
  <c r="AE454" i="8"/>
  <c r="AE334" i="8"/>
  <c r="AE354" i="8"/>
  <c r="AE505" i="8"/>
  <c r="AE473" i="8"/>
  <c r="AE494" i="8"/>
  <c r="AE478" i="8"/>
  <c r="AE991" i="8"/>
  <c r="AE985" i="8"/>
  <c r="AE955" i="8"/>
  <c r="AE977" i="8"/>
  <c r="AE938" i="8"/>
  <c r="AE882" i="8"/>
  <c r="AE887" i="8"/>
  <c r="AE819" i="8"/>
  <c r="AE820" i="8"/>
  <c r="AE769" i="8"/>
  <c r="AE763" i="8"/>
  <c r="AE741" i="8"/>
  <c r="AE735" i="8"/>
  <c r="AE723" i="8"/>
  <c r="AE717" i="8"/>
  <c r="AE711" i="8"/>
  <c r="AE705" i="8"/>
  <c r="AE699" i="8"/>
  <c r="AE692" i="8"/>
  <c r="AE485" i="8"/>
  <c r="AE691" i="8"/>
  <c r="AE684" i="8"/>
  <c r="AE647" i="8"/>
  <c r="AE656" i="8"/>
  <c r="AE627" i="8"/>
  <c r="AE632" i="8"/>
  <c r="AE276" i="8"/>
  <c r="AE620" i="8"/>
  <c r="AE586" i="8"/>
  <c r="AE445" i="8"/>
  <c r="AE687" i="8"/>
  <c r="AE856" i="8"/>
  <c r="AE643" i="8"/>
  <c r="AE633" i="8"/>
  <c r="AE624" i="8"/>
  <c r="AE629" i="8"/>
  <c r="AE1000" i="8"/>
  <c r="AE453" i="8"/>
  <c r="AE365" i="8"/>
  <c r="AE287" i="8"/>
  <c r="AE471" i="8"/>
  <c r="AE688" i="8"/>
  <c r="AE869" i="8"/>
  <c r="AE231" i="8"/>
  <c r="AE437" i="8"/>
  <c r="AE957" i="8"/>
  <c r="AE961" i="8"/>
  <c r="AE677" i="8"/>
  <c r="AE898" i="8"/>
  <c r="AE867" i="8"/>
  <c r="AE798" i="8"/>
  <c r="AE801" i="8"/>
  <c r="AE239" i="8"/>
  <c r="AE178" i="8"/>
  <c r="AE146" i="8"/>
  <c r="AE973" i="8"/>
  <c r="AE828" i="8"/>
  <c r="AE900" i="8"/>
  <c r="AE893" i="8"/>
  <c r="AE875" i="8"/>
  <c r="AE895" i="8"/>
  <c r="AE747" i="8"/>
  <c r="AE721" i="8"/>
  <c r="AE703" i="8"/>
  <c r="AE754" i="8"/>
  <c r="AE780" i="8"/>
  <c r="AE791" i="8"/>
  <c r="AE959" i="8"/>
  <c r="AE890" i="8"/>
  <c r="AE785" i="8"/>
  <c r="AE781" i="8"/>
  <c r="AE784" i="8"/>
  <c r="AE259" i="8"/>
  <c r="AE217" i="8"/>
  <c r="AE492" i="8"/>
  <c r="AE941" i="8"/>
  <c r="AE824" i="8"/>
  <c r="AE681" i="8"/>
  <c r="AE919" i="8"/>
  <c r="AE786" i="8"/>
  <c r="AE794" i="8"/>
  <c r="AE849" i="8"/>
  <c r="AE782" i="8"/>
  <c r="AF31" i="8"/>
  <c r="AG31" i="8"/>
  <c r="AK31" i="8" s="1"/>
  <c r="AC31" i="8"/>
  <c r="AE138" i="8"/>
  <c r="AH31" i="8"/>
  <c r="AE106" i="8"/>
  <c r="AE110" i="8"/>
  <c r="AI31" i="8"/>
  <c r="AE86" i="8"/>
  <c r="AE68" i="8"/>
  <c r="AE144" i="8"/>
  <c r="AE122" i="8"/>
  <c r="AE115" i="8"/>
  <c r="AE594" i="8"/>
  <c r="AE562" i="8"/>
  <c r="AE385" i="8"/>
  <c r="AE367" i="8"/>
  <c r="AE744" i="8"/>
  <c r="AE626" i="8"/>
  <c r="AD31" i="8"/>
  <c r="AE576" i="8"/>
  <c r="AE419" i="8"/>
  <c r="AE395" i="8"/>
  <c r="AE444" i="8"/>
  <c r="AE480" i="8"/>
  <c r="AE994" i="8"/>
  <c r="AE988" i="8"/>
  <c r="AE956" i="8"/>
  <c r="AE817" i="8"/>
  <c r="AE902" i="8"/>
  <c r="AE733" i="8"/>
  <c r="AE715" i="8"/>
  <c r="AE697" i="8"/>
  <c r="AE660" i="8"/>
  <c r="AE666" i="8"/>
  <c r="AE120" i="8"/>
  <c r="AE613" i="8"/>
  <c r="AE560" i="8"/>
  <c r="AE946" i="8"/>
  <c r="AE949" i="8"/>
  <c r="AE937" i="8"/>
  <c r="AE899" i="8"/>
  <c r="AE881" i="8"/>
  <c r="AE832" i="8"/>
  <c r="AE773" i="8"/>
  <c r="AE750" i="8"/>
  <c r="AE788" i="8"/>
  <c r="AE695" i="8"/>
  <c r="AE694" i="8"/>
  <c r="AE693" i="8"/>
  <c r="AE256" i="8"/>
  <c r="AE211" i="8"/>
  <c r="AE565" i="8"/>
  <c r="AE476" i="8"/>
  <c r="AE491" i="8"/>
  <c r="AE986" i="8"/>
  <c r="AE976" i="8"/>
  <c r="AE671" i="8"/>
  <c r="AE764" i="8"/>
  <c r="AE661" i="8"/>
  <c r="AE925" i="8"/>
  <c r="AE852" i="8"/>
  <c r="AE191" i="8"/>
  <c r="AE255" i="8"/>
  <c r="AE151" i="8"/>
  <c r="AE53" i="8"/>
  <c r="AE157" i="8"/>
  <c r="AE610" i="8"/>
  <c r="AE595" i="8"/>
  <c r="AE590" i="8"/>
  <c r="AE597" i="8"/>
  <c r="AE533" i="8"/>
  <c r="AE527" i="8"/>
  <c r="AE447" i="8"/>
  <c r="AE417" i="8"/>
  <c r="AE448" i="8"/>
  <c r="AE331" i="8"/>
  <c r="AE995" i="8"/>
  <c r="AE974" i="8"/>
  <c r="AE942" i="8"/>
  <c r="AE943" i="8"/>
  <c r="AE866" i="8"/>
  <c r="AE830" i="8"/>
  <c r="AE877" i="8"/>
  <c r="AE844" i="8"/>
  <c r="AE761" i="8"/>
  <c r="AE775" i="8"/>
  <c r="AE752" i="8"/>
  <c r="AE749" i="8"/>
  <c r="AE743" i="8"/>
  <c r="AE740" i="8"/>
  <c r="AE738" i="8"/>
  <c r="AE772" i="8"/>
  <c r="AE730" i="8"/>
  <c r="AE718" i="8"/>
  <c r="AE712" i="8"/>
  <c r="AE700" i="8"/>
  <c r="AE686" i="8"/>
  <c r="AE673" i="8"/>
  <c r="AE655" i="8"/>
  <c r="AE758" i="8"/>
  <c r="AE757" i="8"/>
  <c r="AE337" i="8"/>
  <c r="AE804" i="8"/>
  <c r="AE436" i="8"/>
  <c r="AE759" i="8"/>
  <c r="AE584" i="8"/>
  <c r="AE479" i="8"/>
  <c r="AE359" i="8"/>
  <c r="AE304" i="8"/>
  <c r="AE779" i="8"/>
  <c r="AE515" i="8"/>
  <c r="AE174" i="8"/>
  <c r="AE128" i="8"/>
  <c r="AE143" i="8"/>
  <c r="AE592" i="8"/>
  <c r="AE563" i="8"/>
  <c r="AE513" i="8"/>
  <c r="AE401" i="8"/>
  <c r="AE450" i="8"/>
  <c r="AE438" i="8"/>
  <c r="AE379" i="8"/>
  <c r="AE361" i="8"/>
  <c r="AE451" i="8"/>
  <c r="AE314" i="8"/>
  <c r="AE302" i="8"/>
  <c r="AE332" i="8"/>
  <c r="AE495" i="8"/>
  <c r="AE475" i="8"/>
  <c r="AE990" i="8"/>
  <c r="AE944" i="8"/>
  <c r="AE872" i="8"/>
  <c r="AE878" i="8"/>
  <c r="AE837" i="8"/>
  <c r="AE880" i="8"/>
  <c r="AE846" i="8"/>
  <c r="AE826" i="8"/>
  <c r="AE762" i="8"/>
  <c r="AE756" i="8"/>
  <c r="AE777" i="8"/>
  <c r="AE774" i="8"/>
  <c r="AE731" i="8"/>
  <c r="AE719" i="8"/>
  <c r="AE713" i="8"/>
  <c r="AE701" i="8"/>
  <c r="AE665" i="8"/>
  <c r="AE669" i="8"/>
  <c r="AE662" i="8"/>
  <c r="AE934" i="8"/>
  <c r="AE800" i="8"/>
  <c r="AE582" i="8"/>
  <c r="AE589" i="8"/>
  <c r="AE330" i="8"/>
  <c r="AE615" i="8"/>
  <c r="AE490" i="8"/>
  <c r="AE342" i="8"/>
  <c r="AE573" i="8"/>
  <c r="AE411" i="8"/>
  <c r="AE572" i="8"/>
  <c r="AE514" i="8"/>
  <c r="AE455" i="8"/>
  <c r="AE462" i="8"/>
  <c r="AE483" i="8"/>
  <c r="AE218" i="8"/>
  <c r="AE222" i="8"/>
  <c r="AE394" i="8"/>
  <c r="AE399" i="8"/>
  <c r="AE441" i="8"/>
  <c r="AE297" i="8"/>
  <c r="AE291" i="8"/>
  <c r="AE152" i="8"/>
  <c r="AE482" i="8"/>
  <c r="AE64" i="8"/>
  <c r="AE114" i="8"/>
  <c r="AE578" i="8"/>
  <c r="AE532" i="8"/>
  <c r="AE526" i="8"/>
  <c r="AE512" i="8"/>
  <c r="AE425" i="8"/>
  <c r="AE423" i="8"/>
  <c r="AE605" i="8"/>
  <c r="AE443" i="8"/>
  <c r="AE434" i="8"/>
  <c r="AE324" i="8"/>
  <c r="AE464" i="8"/>
  <c r="AE432" i="8"/>
  <c r="AE459" i="8"/>
  <c r="AE301" i="8"/>
  <c r="AE487" i="8"/>
  <c r="AE54" i="8"/>
  <c r="AE60" i="8"/>
  <c r="AE612" i="8"/>
  <c r="AE461" i="8"/>
  <c r="AE378" i="8"/>
  <c r="AE947" i="8"/>
  <c r="AE833" i="8"/>
  <c r="AE803" i="8"/>
  <c r="AE928" i="8"/>
  <c r="AE926" i="8"/>
  <c r="AE917" i="8"/>
  <c r="AE904" i="8"/>
  <c r="AE962" i="8"/>
  <c r="AE618" i="8"/>
  <c r="AE469" i="8"/>
  <c r="AE935" i="8"/>
  <c r="AE118" i="8"/>
  <c r="AE384" i="8"/>
  <c r="AE501" i="8"/>
  <c r="AE932" i="8"/>
  <c r="AE923" i="8"/>
  <c r="AE790" i="8"/>
  <c r="AE406" i="8"/>
  <c r="AE435" i="8"/>
  <c r="AE315" i="8"/>
  <c r="AE309" i="8"/>
  <c r="AE611" i="8"/>
  <c r="AE599" i="8"/>
  <c r="AE502" i="8"/>
  <c r="AE497" i="8"/>
  <c r="AE458" i="8"/>
  <c r="AE493" i="8"/>
  <c r="AE821" i="8"/>
  <c r="AE911" i="8"/>
  <c r="AE244" i="8"/>
  <c r="AE522" i="8"/>
  <c r="AE521" i="8"/>
  <c r="AE290" i="8"/>
  <c r="AE325" i="8"/>
  <c r="AE969" i="8"/>
  <c r="AE975" i="8"/>
  <c r="AE968" i="8"/>
  <c r="AE929" i="8"/>
  <c r="AE920" i="8"/>
  <c r="AE559" i="8"/>
  <c r="AE391" i="8"/>
  <c r="AE381" i="8"/>
  <c r="AE375" i="8"/>
  <c r="AE319" i="8"/>
  <c r="AE596" i="8"/>
  <c r="AE970" i="8"/>
  <c r="AE964" i="8"/>
  <c r="AE958" i="8"/>
  <c r="AE931" i="8"/>
  <c r="AE616" i="8"/>
  <c r="AE604" i="8"/>
  <c r="AE567" i="8"/>
  <c r="AE570" i="8"/>
  <c r="AE418" i="8"/>
  <c r="AE456" i="8"/>
  <c r="AE452" i="8"/>
  <c r="AE390" i="8"/>
  <c r="AE307" i="8"/>
  <c r="AE295" i="8"/>
  <c r="AE289" i="8"/>
  <c r="AE484" i="8"/>
  <c r="AE978" i="8"/>
  <c r="AE981" i="8"/>
  <c r="AE971" i="8"/>
  <c r="AE939" i="8"/>
  <c r="AE93" i="8"/>
  <c r="AE83" i="8"/>
  <c r="AE580" i="8"/>
  <c r="AE511" i="8"/>
  <c r="AE507" i="8"/>
  <c r="AE403" i="8"/>
  <c r="AE396" i="8"/>
  <c r="AE383" i="8"/>
  <c r="AE318" i="8"/>
  <c r="AE294" i="8"/>
  <c r="AE288" i="8"/>
  <c r="AE357" i="8"/>
  <c r="AE496" i="8"/>
  <c r="AE470" i="8"/>
  <c r="AE815" i="8"/>
  <c r="AE680" i="8"/>
  <c r="AE137" i="8"/>
  <c r="AE621" i="8"/>
  <c r="AE538" i="8"/>
  <c r="AE405" i="8"/>
  <c r="AE317" i="8"/>
  <c r="AE972" i="8"/>
  <c r="AE982" i="8"/>
  <c r="AE945" i="8"/>
  <c r="AE836" i="8"/>
  <c r="AE67" i="8"/>
  <c r="AE285" i="8"/>
  <c r="AE119" i="8"/>
  <c r="AE265" i="8"/>
  <c r="AE66" i="8"/>
  <c r="AE77" i="8"/>
  <c r="AE241" i="8"/>
  <c r="AE607" i="8"/>
  <c r="AE588" i="8"/>
  <c r="AE591" i="8"/>
  <c r="AE564" i="8"/>
  <c r="AE412" i="8"/>
  <c r="AE363" i="8"/>
  <c r="AE310" i="8"/>
  <c r="AE298" i="8"/>
  <c r="AE292" i="8"/>
  <c r="AE286" i="8"/>
  <c r="AE581" i="8"/>
  <c r="AE602" i="8"/>
  <c r="AE593" i="8"/>
  <c r="AE579" i="8"/>
  <c r="AE983" i="8"/>
  <c r="AE948" i="8"/>
  <c r="AE810" i="8"/>
  <c r="AE827" i="8"/>
  <c r="AE678" i="8"/>
  <c r="AE674" i="8"/>
  <c r="AE270" i="8"/>
  <c r="AE164" i="8"/>
  <c r="AE112" i="8"/>
  <c r="AE233" i="8"/>
  <c r="AE258" i="8"/>
  <c r="AE132" i="8"/>
  <c r="AE141" i="8"/>
  <c r="AE101" i="8"/>
  <c r="AE104" i="8"/>
  <c r="AE46" i="8"/>
  <c r="AE111" i="8"/>
  <c r="AE619" i="8"/>
  <c r="AE606" i="8"/>
  <c r="AE568" i="8"/>
  <c r="AE574" i="8"/>
  <c r="AE536" i="8"/>
  <c r="AE508" i="8"/>
  <c r="AE516" i="8"/>
  <c r="AE510" i="8"/>
  <c r="AE414" i="8"/>
  <c r="AE386" i="8"/>
  <c r="AE321" i="8"/>
  <c r="AE503" i="8"/>
  <c r="AE500" i="8"/>
  <c r="AE465" i="8"/>
  <c r="AE408" i="8"/>
  <c r="AE313" i="8"/>
  <c r="AE322" i="8"/>
  <c r="AE953" i="8"/>
  <c r="AE967" i="8"/>
  <c r="AE954" i="8"/>
  <c r="AE951" i="8"/>
  <c r="AE98" i="8"/>
  <c r="AE70" i="8"/>
  <c r="AE617" i="8"/>
  <c r="AE585" i="8"/>
  <c r="AE566" i="8"/>
  <c r="AE457" i="8"/>
  <c r="AE308" i="8"/>
  <c r="AE348" i="8"/>
  <c r="AE172" i="8"/>
  <c r="AE269" i="8"/>
  <c r="AE253" i="8"/>
  <c r="AE220" i="8"/>
  <c r="AE158" i="8"/>
  <c r="AE99" i="8"/>
  <c r="AE90" i="8"/>
  <c r="AE80" i="8"/>
  <c r="AE63" i="8"/>
  <c r="AE235" i="8"/>
  <c r="AE272" i="8"/>
  <c r="AE123" i="8"/>
  <c r="AE96" i="8"/>
  <c r="AE82" i="8"/>
  <c r="AE71" i="8"/>
  <c r="AE56" i="8"/>
  <c r="AE519" i="8"/>
  <c r="AE392" i="8"/>
  <c r="AE360" i="8"/>
  <c r="AE499" i="8"/>
  <c r="AE278" i="8"/>
  <c r="AE252" i="8"/>
  <c r="AE248" i="8"/>
  <c r="AE84" i="8"/>
  <c r="AE275" i="8"/>
  <c r="AE185" i="8"/>
  <c r="AE65" i="8"/>
  <c r="AE609" i="8"/>
  <c r="AE400" i="8"/>
  <c r="AE351" i="8"/>
  <c r="AE598" i="8"/>
  <c r="AE190" i="8"/>
  <c r="AE601" i="8"/>
  <c r="AE537" i="8"/>
  <c r="AE430" i="8"/>
  <c r="AE353" i="8"/>
  <c r="AE344" i="8"/>
  <c r="AE261" i="8"/>
  <c r="AE223" i="8"/>
  <c r="AE212" i="8"/>
  <c r="AE184" i="8"/>
  <c r="AE162" i="8"/>
  <c r="AE136" i="8"/>
  <c r="AE156" i="8"/>
  <c r="AE107" i="8"/>
  <c r="AE95" i="8"/>
  <c r="AE85" i="8"/>
  <c r="AE58" i="8"/>
  <c r="AE407" i="8"/>
  <c r="AE410" i="8"/>
  <c r="AE389" i="8"/>
  <c r="AE366" i="8"/>
  <c r="AE326" i="8"/>
  <c r="AE372" i="8"/>
  <c r="AE349" i="8"/>
  <c r="AE340" i="8"/>
  <c r="AE364" i="8"/>
  <c r="AE427" i="8"/>
  <c r="AE397" i="8"/>
  <c r="AE416" i="8"/>
  <c r="AE404" i="8"/>
  <c r="AE376" i="8"/>
  <c r="AE362" i="8"/>
  <c r="AE274" i="8"/>
  <c r="AE249" i="8"/>
  <c r="AE215" i="8"/>
  <c r="AE131" i="8"/>
  <c r="AE89" i="8"/>
  <c r="AE214" i="8"/>
  <c r="AE283" i="8"/>
  <c r="AE209" i="8"/>
  <c r="AE186" i="8"/>
  <c r="AE62" i="8"/>
  <c r="AE208" i="8"/>
  <c r="AE188" i="8"/>
  <c r="AE126" i="8"/>
  <c r="AE247" i="8"/>
  <c r="AE221" i="8"/>
  <c r="AE193" i="8"/>
  <c r="AE177" i="8"/>
  <c r="AE113" i="8"/>
  <c r="AE421" i="8"/>
  <c r="AE237" i="8"/>
  <c r="AE205" i="8"/>
  <c r="AE210" i="8"/>
  <c r="AE129" i="8"/>
  <c r="AE280" i="8"/>
  <c r="AE264" i="8"/>
  <c r="AE243" i="8"/>
  <c r="AE228" i="8"/>
  <c r="AE207" i="8"/>
  <c r="AE206" i="8"/>
  <c r="AE116" i="8"/>
  <c r="AE102" i="8"/>
  <c r="AE73" i="8"/>
  <c r="AE75" i="8"/>
  <c r="AE74" i="8"/>
  <c r="AE577" i="8"/>
  <c r="AE571" i="8"/>
  <c r="AE424" i="8"/>
  <c r="AE373" i="8"/>
  <c r="AE356" i="8"/>
  <c r="AE347" i="8"/>
  <c r="AE338" i="8"/>
  <c r="AE245" i="8"/>
  <c r="AE240" i="8"/>
  <c r="AE236" i="8"/>
  <c r="AE225" i="8"/>
  <c r="AE200" i="8"/>
  <c r="AE194" i="8"/>
  <c r="AE180" i="8"/>
  <c r="AE163" i="8"/>
  <c r="AE176" i="8"/>
  <c r="AE167" i="8"/>
  <c r="AE170" i="8"/>
  <c r="AE150" i="8"/>
  <c r="AE124" i="8"/>
  <c r="AE94" i="8"/>
  <c r="AE91" i="8"/>
  <c r="AE72" i="8"/>
  <c r="AE61" i="8"/>
  <c r="AE254" i="8"/>
  <c r="AE561" i="8"/>
  <c r="AE433" i="8"/>
  <c r="AE409" i="8"/>
  <c r="AE374" i="8"/>
  <c r="AE370" i="8"/>
  <c r="AE358" i="8"/>
  <c r="AE219" i="8"/>
  <c r="AE216" i="8"/>
  <c r="AE121" i="8"/>
  <c r="AE87" i="8"/>
  <c r="AE575" i="8"/>
  <c r="AE518" i="8"/>
  <c r="AE415" i="8"/>
  <c r="AE422" i="8"/>
  <c r="AE398" i="8"/>
  <c r="AE429" i="8"/>
  <c r="AE371" i="8"/>
  <c r="AE336" i="8"/>
  <c r="AE368" i="8"/>
  <c r="AE350" i="8"/>
  <c r="AE341" i="8"/>
  <c r="AE147" i="8"/>
  <c r="AE127" i="8"/>
  <c r="AE108" i="8"/>
  <c r="AE81" i="8"/>
  <c r="AE282" i="8"/>
  <c r="AE135" i="8"/>
  <c r="AE153" i="8"/>
  <c r="AE271" i="8"/>
  <c r="AE263" i="8"/>
  <c r="AE262" i="8"/>
  <c r="AE230" i="8"/>
  <c r="AE159" i="8"/>
  <c r="AE134" i="8"/>
  <c r="AE78" i="8"/>
  <c r="AE59" i="8"/>
  <c r="AE79" i="8"/>
  <c r="AE69" i="8"/>
  <c r="AE273" i="8"/>
  <c r="AE76" i="8"/>
  <c r="AE168" i="8"/>
  <c r="AE88" i="8"/>
  <c r="AE52" i="8"/>
  <c r="AE229" i="8"/>
  <c r="AE268" i="8"/>
  <c r="AE213" i="8"/>
  <c r="AE187" i="8"/>
  <c r="AE161" i="8"/>
  <c r="AE100" i="8"/>
  <c r="AE97" i="8"/>
  <c r="S17" i="9"/>
  <c r="AE195" i="8"/>
  <c r="AE160" i="8"/>
  <c r="AE224" i="8"/>
  <c r="AE281" i="8"/>
  <c r="AE165" i="8"/>
  <c r="AE145" i="8"/>
  <c r="AE154" i="8"/>
  <c r="AE181" i="8"/>
  <c r="AE175" i="8"/>
  <c r="AE203" i="8"/>
  <c r="AE117" i="8"/>
  <c r="AE279" i="8"/>
  <c r="AE246" i="8"/>
  <c r="AE234" i="8"/>
  <c r="AE197" i="8"/>
  <c r="AE199" i="8"/>
  <c r="AE196" i="8"/>
  <c r="AE142" i="8"/>
  <c r="AE202" i="8"/>
  <c r="AE198" i="8"/>
  <c r="AE189" i="8"/>
  <c r="AE103" i="8"/>
  <c r="AE92" i="8"/>
  <c r="AE57" i="8"/>
  <c r="AE267" i="8"/>
  <c r="AE260" i="8"/>
  <c r="AE232" i="8"/>
  <c r="AE204" i="8"/>
  <c r="AE109" i="8"/>
  <c r="AE45" i="8"/>
  <c r="AE169" i="8"/>
  <c r="AE166" i="8"/>
  <c r="AE55" i="8"/>
  <c r="AE266" i="8"/>
  <c r="AE250" i="8"/>
  <c r="AE227" i="8"/>
  <c r="AE179" i="8"/>
  <c r="AE173" i="8"/>
  <c r="AE125" i="8"/>
  <c r="AE8" i="8"/>
  <c r="AE226" i="8"/>
  <c r="AE183" i="8"/>
  <c r="AE139" i="8"/>
  <c r="AE148" i="8"/>
  <c r="AE130" i="8"/>
  <c r="AE44" i="8"/>
  <c r="AE155" i="8"/>
  <c r="AE133" i="8"/>
  <c r="AE140" i="8"/>
  <c r="AE105" i="8"/>
  <c r="AE30" i="8" l="1"/>
  <c r="AE16" i="8"/>
  <c r="AE14" i="8"/>
  <c r="AE19" i="8"/>
  <c r="AE28" i="8"/>
  <c r="AE32" i="8"/>
  <c r="AE35" i="8"/>
  <c r="AE9" i="8"/>
  <c r="AE43" i="8"/>
  <c r="AE37" i="8"/>
  <c r="AE25" i="8"/>
  <c r="AE39" i="8"/>
  <c r="AE11" i="8"/>
  <c r="AE13" i="8"/>
  <c r="AE38" i="8"/>
  <c r="AE34" i="8"/>
  <c r="AE5" i="8"/>
  <c r="AE40" i="8"/>
  <c r="AE22" i="8"/>
  <c r="AE42" i="8"/>
  <c r="AE27" i="8"/>
  <c r="AE7" i="8"/>
  <c r="AE15" i="8"/>
  <c r="AE23" i="8"/>
  <c r="AE12" i="8"/>
  <c r="D6" i="8"/>
  <c r="C6" i="8" s="1"/>
  <c r="AE51" i="8"/>
  <c r="AE31" i="8"/>
  <c r="D7" i="8" l="1"/>
  <c r="C7" i="8" s="1"/>
  <c r="D8" i="8" l="1"/>
  <c r="C8" i="8" s="1"/>
  <c r="D9" i="8" l="1"/>
  <c r="C9" i="8" s="1"/>
  <c r="D10" i="8" l="1"/>
  <c r="C10" i="8" s="1"/>
  <c r="D11" i="8" l="1"/>
  <c r="C11" i="8" s="1"/>
  <c r="D12" i="8" l="1"/>
  <c r="C12" i="8" s="1"/>
  <c r="D13" i="8" l="1"/>
  <c r="C13" i="8" s="1"/>
  <c r="D14" i="8" l="1"/>
  <c r="C14" i="8" s="1"/>
  <c r="D15" i="8" l="1"/>
  <c r="C15" i="8" s="1"/>
  <c r="D16" i="8" l="1"/>
  <c r="C16" i="8" s="1"/>
  <c r="D17" i="8" l="1"/>
  <c r="C17" i="8" s="1"/>
  <c r="D18" i="8" l="1"/>
  <c r="C18" i="8" s="1"/>
  <c r="D19" i="8" l="1"/>
  <c r="C19" i="8" s="1"/>
  <c r="D20" i="8" l="1"/>
  <c r="C20" i="8" s="1"/>
  <c r="D21" i="8" l="1"/>
  <c r="C21" i="8" s="1"/>
  <c r="D22" i="8" l="1"/>
  <c r="C22" i="8" s="1"/>
  <c r="D23" i="8" l="1"/>
  <c r="C23" i="8" s="1"/>
  <c r="D24" i="8" l="1"/>
  <c r="C24" i="8" s="1"/>
  <c r="D25" i="8" l="1"/>
  <c r="C25" i="8" s="1"/>
  <c r="D26" i="8" l="1"/>
  <c r="C26" i="8" s="1"/>
  <c r="D27" i="8" l="1"/>
  <c r="C27" i="8" s="1"/>
  <c r="D28" i="8" l="1"/>
  <c r="C28" i="8" s="1"/>
  <c r="D29" i="8" l="1"/>
  <c r="C29" i="8" s="1"/>
  <c r="D30" i="8" l="1"/>
  <c r="C30" i="8" s="1"/>
  <c r="D31" i="8" l="1"/>
  <c r="C31" i="8" s="1"/>
  <c r="D32" i="8" l="1"/>
  <c r="C32" i="8" s="1"/>
  <c r="D33" i="8" l="1"/>
  <c r="C33" i="8" s="1"/>
  <c r="D34" i="8" l="1"/>
  <c r="C34" i="8" s="1"/>
  <c r="D35" i="8" l="1"/>
  <c r="C35" i="8" s="1"/>
  <c r="D36" i="8" l="1"/>
  <c r="C36" i="8" s="1"/>
  <c r="D37" i="8" l="1"/>
  <c r="C37" i="8" s="1"/>
  <c r="D38" i="8" l="1"/>
  <c r="C38" i="8" s="1"/>
  <c r="D39" i="8" l="1"/>
  <c r="C39" i="8" s="1"/>
  <c r="D40" i="8" l="1"/>
  <c r="C40" i="8" s="1"/>
  <c r="D41" i="8" l="1"/>
  <c r="C41" i="8" s="1"/>
  <c r="D42" i="8" l="1"/>
  <c r="C42" i="8" s="1"/>
  <c r="D43" i="8" l="1"/>
  <c r="C43" i="8" s="1"/>
  <c r="D44" i="8" l="1"/>
  <c r="C44" i="8" s="1"/>
  <c r="D45" i="8" l="1"/>
  <c r="C45" i="8" s="1"/>
  <c r="D46" i="8" l="1"/>
  <c r="C46" i="8" s="1"/>
  <c r="D47" i="8" l="1"/>
  <c r="C47" i="8" s="1"/>
  <c r="D48" i="8" l="1"/>
  <c r="C48" i="8" s="1"/>
  <c r="D49" i="8" l="1"/>
  <c r="C49" i="8" s="1"/>
  <c r="D50" i="8" l="1"/>
  <c r="C50" i="8" s="1"/>
  <c r="D51" i="8" l="1"/>
  <c r="C51" i="8" s="1"/>
  <c r="D52" i="8" l="1"/>
  <c r="C52" i="8" s="1"/>
  <c r="D53" i="8" l="1"/>
  <c r="C53" i="8" s="1"/>
  <c r="D54" i="8" l="1"/>
  <c r="C54" i="8" s="1"/>
  <c r="D55" i="8" l="1"/>
  <c r="C55" i="8" s="1"/>
  <c r="D56" i="8" l="1"/>
  <c r="C56" i="8" s="1"/>
  <c r="D57" i="8" l="1"/>
  <c r="C57" i="8" s="1"/>
  <c r="D58" i="8" l="1"/>
  <c r="C58" i="8" s="1"/>
  <c r="D59" i="8" l="1"/>
  <c r="C59" i="8" s="1"/>
  <c r="D60" i="8" l="1"/>
  <c r="C60" i="8" s="1"/>
  <c r="D61" i="8" l="1"/>
  <c r="C61" i="8" s="1"/>
  <c r="D62" i="8" l="1"/>
  <c r="C62" i="8" s="1"/>
  <c r="D63" i="8" l="1"/>
  <c r="C63" i="8" s="1"/>
  <c r="D64" i="8" l="1"/>
  <c r="C64" i="8" s="1"/>
  <c r="D65" i="8" l="1"/>
  <c r="C65" i="8" s="1"/>
  <c r="D66" i="8" l="1"/>
  <c r="C66" i="8" s="1"/>
  <c r="D67" i="8" l="1"/>
  <c r="C67" i="8" s="1"/>
  <c r="D68" i="8" l="1"/>
  <c r="C68" i="8" s="1"/>
  <c r="D69" i="8" l="1"/>
  <c r="C69" i="8" s="1"/>
  <c r="D70" i="8" l="1"/>
  <c r="C70" i="8" s="1"/>
  <c r="D71" i="8" l="1"/>
  <c r="C71" i="8" s="1"/>
  <c r="D72" i="8" l="1"/>
  <c r="C72" i="8" s="1"/>
  <c r="D73" i="8" l="1"/>
  <c r="C73" i="8" s="1"/>
  <c r="D74" i="8" l="1"/>
  <c r="C74" i="8" s="1"/>
  <c r="D75" i="8" l="1"/>
  <c r="C75" i="8" s="1"/>
  <c r="D76" i="8" l="1"/>
  <c r="C76" i="8" s="1"/>
  <c r="D77" i="8" l="1"/>
  <c r="C77" i="8" s="1"/>
  <c r="D78" i="8" l="1"/>
  <c r="C78" i="8" s="1"/>
  <c r="D79" i="8" l="1"/>
  <c r="C79" i="8" s="1"/>
  <c r="D80" i="8" l="1"/>
  <c r="C80" i="8" s="1"/>
  <c r="D81" i="8" l="1"/>
  <c r="C81" i="8" s="1"/>
  <c r="D82" i="8" l="1"/>
  <c r="C82" i="8" s="1"/>
  <c r="D83" i="8" l="1"/>
  <c r="C83" i="8" s="1"/>
  <c r="D84" i="8" l="1"/>
  <c r="C84" i="8" s="1"/>
  <c r="D85" i="8" l="1"/>
  <c r="C85" i="8" s="1"/>
  <c r="D86" i="8" l="1"/>
  <c r="C86" i="8" s="1"/>
  <c r="D87" i="8" l="1"/>
  <c r="C87" i="8" s="1"/>
  <c r="D88" i="8" l="1"/>
  <c r="C88" i="8" s="1"/>
  <c r="D89" i="8" l="1"/>
  <c r="C89" i="8" s="1"/>
  <c r="D90" i="8" l="1"/>
  <c r="C90" i="8" s="1"/>
  <c r="D91" i="8" l="1"/>
  <c r="C91" i="8" s="1"/>
  <c r="D92" i="8" l="1"/>
  <c r="C92" i="8" s="1"/>
  <c r="D93" i="8" l="1"/>
  <c r="C93" i="8" s="1"/>
  <c r="D94" i="8" l="1"/>
  <c r="C94" i="8" s="1"/>
  <c r="D95" i="8" l="1"/>
  <c r="C95" i="8" s="1"/>
  <c r="D96" i="8" l="1"/>
  <c r="C96" i="8" s="1"/>
  <c r="D97" i="8" l="1"/>
  <c r="C97" i="8" s="1"/>
  <c r="D98" i="8" l="1"/>
  <c r="C98" i="8" s="1"/>
  <c r="D99" i="8" l="1"/>
  <c r="C99" i="8" s="1"/>
  <c r="D100" i="8" l="1"/>
  <c r="C100" i="8" s="1"/>
  <c r="D101" i="8" l="1"/>
  <c r="C101" i="8" s="1"/>
  <c r="D102" i="8" l="1"/>
  <c r="C102" i="8" s="1"/>
  <c r="D103" i="8" l="1"/>
  <c r="C103" i="8" s="1"/>
  <c r="D104" i="8" l="1"/>
  <c r="C104" i="8" s="1"/>
  <c r="D105" i="8" l="1"/>
  <c r="C105" i="8" s="1"/>
  <c r="D106" i="8" l="1"/>
  <c r="C106" i="8" s="1"/>
  <c r="D107" i="8" l="1"/>
  <c r="C107" i="8" s="1"/>
  <c r="D108" i="8" l="1"/>
  <c r="C108" i="8" s="1"/>
  <c r="D109" i="8" l="1"/>
  <c r="C109" i="8" s="1"/>
  <c r="D110" i="8" l="1"/>
  <c r="C110" i="8" s="1"/>
  <c r="D111" i="8" l="1"/>
  <c r="C111" i="8" s="1"/>
  <c r="D112" i="8" l="1"/>
  <c r="C112" i="8" s="1"/>
  <c r="D113" i="8" l="1"/>
  <c r="C113" i="8" s="1"/>
  <c r="D114" i="8" l="1"/>
  <c r="C114" i="8" s="1"/>
  <c r="D115" i="8" l="1"/>
  <c r="C115" i="8" s="1"/>
  <c r="D116" i="8" l="1"/>
  <c r="C116" i="8" s="1"/>
  <c r="D117" i="8" l="1"/>
  <c r="C117" i="8" s="1"/>
  <c r="D118" i="8" l="1"/>
  <c r="C118" i="8" s="1"/>
  <c r="D119" i="8" l="1"/>
  <c r="C119" i="8" s="1"/>
  <c r="D120" i="8" l="1"/>
  <c r="C120" i="8" s="1"/>
  <c r="D121" i="8" l="1"/>
  <c r="C121" i="8" s="1"/>
  <c r="D122" i="8" l="1"/>
  <c r="C122" i="8" s="1"/>
  <c r="D123" i="8" l="1"/>
  <c r="C123" i="8" s="1"/>
  <c r="D124" i="8" l="1"/>
  <c r="C124" i="8" s="1"/>
  <c r="D125" i="8" l="1"/>
  <c r="C125" i="8" s="1"/>
  <c r="D126" i="8" l="1"/>
  <c r="C126" i="8" s="1"/>
  <c r="D127" i="8" l="1"/>
  <c r="C127" i="8" s="1"/>
  <c r="D128" i="8" l="1"/>
  <c r="C128" i="8" s="1"/>
  <c r="D129" i="8" l="1"/>
  <c r="C129" i="8" s="1"/>
  <c r="D130" i="8" l="1"/>
  <c r="C130" i="8" s="1"/>
  <c r="D131" i="8" l="1"/>
  <c r="C131" i="8" s="1"/>
  <c r="D132" i="8" l="1"/>
  <c r="C132" i="8" s="1"/>
  <c r="D133" i="8" l="1"/>
  <c r="C133" i="8" s="1"/>
  <c r="D134" i="8" l="1"/>
  <c r="C134" i="8" s="1"/>
  <c r="D135" i="8" l="1"/>
  <c r="C135" i="8" s="1"/>
  <c r="D136" i="8" l="1"/>
  <c r="C136" i="8" s="1"/>
  <c r="D137" i="8" l="1"/>
  <c r="C137" i="8" s="1"/>
  <c r="D138" i="8" l="1"/>
  <c r="C138" i="8" s="1"/>
  <c r="D139" i="8" l="1"/>
  <c r="C139" i="8" s="1"/>
  <c r="D140" i="8" l="1"/>
  <c r="C140" i="8" s="1"/>
  <c r="D141" i="8" l="1"/>
  <c r="C141" i="8" s="1"/>
  <c r="D142" i="8" l="1"/>
  <c r="C142" i="8" s="1"/>
  <c r="D143" i="8" l="1"/>
  <c r="C143" i="8" s="1"/>
  <c r="D144" i="8" l="1"/>
  <c r="C144" i="8" s="1"/>
  <c r="D145" i="8" l="1"/>
  <c r="C145" i="8" s="1"/>
  <c r="D146" i="8" l="1"/>
  <c r="C146" i="8" s="1"/>
  <c r="D147" i="8" l="1"/>
  <c r="C147" i="8" s="1"/>
  <c r="D148" i="8" l="1"/>
  <c r="C148" i="8" s="1"/>
  <c r="D149" i="8" l="1"/>
  <c r="C149" i="8" s="1"/>
  <c r="D150" i="8" l="1"/>
  <c r="C150" i="8" s="1"/>
  <c r="D151" i="8" l="1"/>
  <c r="C151" i="8" s="1"/>
  <c r="D152" i="8" l="1"/>
  <c r="C152" i="8" s="1"/>
  <c r="D153" i="8" l="1"/>
  <c r="C153" i="8" s="1"/>
  <c r="D154" i="8" l="1"/>
  <c r="C154" i="8" s="1"/>
  <c r="D155" i="8" l="1"/>
  <c r="C155" i="8" s="1"/>
  <c r="D156" i="8" l="1"/>
  <c r="C156" i="8" s="1"/>
  <c r="D157" i="8" l="1"/>
  <c r="C157" i="8" s="1"/>
  <c r="D158" i="8" l="1"/>
  <c r="C158" i="8" s="1"/>
  <c r="D159" i="8" l="1"/>
  <c r="C159" i="8" s="1"/>
  <c r="D160" i="8" l="1"/>
  <c r="C160" i="8" s="1"/>
  <c r="D161" i="8" l="1"/>
  <c r="C161" i="8" s="1"/>
  <c r="D162" i="8" l="1"/>
  <c r="C162" i="8" s="1"/>
  <c r="D163" i="8" l="1"/>
  <c r="C163" i="8" s="1"/>
  <c r="D164" i="8" l="1"/>
  <c r="C164" i="8" s="1"/>
  <c r="D165" i="8" l="1"/>
  <c r="C165" i="8" s="1"/>
  <c r="D166" i="8" l="1"/>
  <c r="C166" i="8" s="1"/>
  <c r="D167" i="8" l="1"/>
  <c r="C167" i="8" s="1"/>
  <c r="D168" i="8" l="1"/>
  <c r="C168" i="8" s="1"/>
  <c r="D169" i="8" l="1"/>
  <c r="C169" i="8" s="1"/>
  <c r="D170" i="8" l="1"/>
  <c r="C170" i="8" s="1"/>
  <c r="D171" i="8" l="1"/>
  <c r="C171" i="8" s="1"/>
  <c r="D172" i="8" l="1"/>
  <c r="C172" i="8" s="1"/>
  <c r="D173" i="8" l="1"/>
  <c r="C173" i="8" s="1"/>
  <c r="D174" i="8" l="1"/>
  <c r="C174" i="8" s="1"/>
  <c r="D175" i="8" l="1"/>
  <c r="C175" i="8" s="1"/>
  <c r="D176" i="8" l="1"/>
  <c r="C176" i="8" s="1"/>
  <c r="D177" i="8" l="1"/>
  <c r="C177" i="8" s="1"/>
  <c r="D178" i="8" l="1"/>
  <c r="C178" i="8" s="1"/>
  <c r="D179" i="8" l="1"/>
  <c r="C179" i="8" s="1"/>
  <c r="D180" i="8" l="1"/>
  <c r="C180" i="8" s="1"/>
  <c r="D181" i="8" l="1"/>
  <c r="C181" i="8" s="1"/>
  <c r="D182" i="8" l="1"/>
  <c r="C182" i="8" s="1"/>
  <c r="D183" i="8" l="1"/>
  <c r="C183" i="8" s="1"/>
  <c r="D184" i="8" l="1"/>
  <c r="C184" i="8" s="1"/>
  <c r="D185" i="8" l="1"/>
  <c r="C185" i="8" s="1"/>
  <c r="D186" i="8" l="1"/>
  <c r="C186" i="8" s="1"/>
  <c r="D187" i="8" l="1"/>
  <c r="C187" i="8" s="1"/>
  <c r="D188" i="8" l="1"/>
  <c r="C188" i="8" s="1"/>
  <c r="D189" i="8" l="1"/>
  <c r="C189" i="8" s="1"/>
  <c r="D190" i="8" l="1"/>
  <c r="C190" i="8" s="1"/>
  <c r="D191" i="8" l="1"/>
  <c r="C191" i="8" s="1"/>
  <c r="D192" i="8" l="1"/>
  <c r="C192" i="8" s="1"/>
  <c r="D193" i="8" l="1"/>
  <c r="C193" i="8" s="1"/>
  <c r="D194" i="8" l="1"/>
  <c r="C194" i="8" s="1"/>
  <c r="D195" i="8" l="1"/>
  <c r="C195" i="8" s="1"/>
  <c r="D196" i="8" l="1"/>
  <c r="C196" i="8" s="1"/>
  <c r="D197" i="8" l="1"/>
  <c r="C197" i="8" s="1"/>
  <c r="D198" i="8" l="1"/>
  <c r="C198" i="8" s="1"/>
  <c r="D199" i="8" l="1"/>
  <c r="C199" i="8" s="1"/>
  <c r="D200" i="8" l="1"/>
  <c r="C200" i="8" s="1"/>
  <c r="D201" i="8" l="1"/>
  <c r="C201" i="8" s="1"/>
  <c r="D202" i="8" l="1"/>
  <c r="C202" i="8" s="1"/>
  <c r="D203" i="8" l="1"/>
  <c r="C203" i="8" s="1"/>
  <c r="D204" i="8" l="1"/>
  <c r="C204" i="8" s="1"/>
  <c r="D205" i="8" l="1"/>
  <c r="C205" i="8" s="1"/>
  <c r="D206" i="8" l="1"/>
  <c r="C206" i="8" s="1"/>
  <c r="D207" i="8" l="1"/>
  <c r="C207" i="8" s="1"/>
  <c r="D208" i="8" l="1"/>
  <c r="C208" i="8" s="1"/>
  <c r="D209" i="8" l="1"/>
  <c r="C209" i="8" s="1"/>
  <c r="D210" i="8" l="1"/>
  <c r="C210" i="8" s="1"/>
  <c r="D211" i="8" l="1"/>
  <c r="C211" i="8" s="1"/>
  <c r="D212" i="8" l="1"/>
  <c r="C212" i="8" s="1"/>
  <c r="D213" i="8" l="1"/>
  <c r="C213" i="8" s="1"/>
  <c r="D214" i="8" l="1"/>
  <c r="C214" i="8" s="1"/>
  <c r="D215" i="8" l="1"/>
  <c r="C215" i="8" s="1"/>
  <c r="D216" i="8" l="1"/>
  <c r="C216" i="8" s="1"/>
  <c r="D217" i="8" l="1"/>
  <c r="C217" i="8" s="1"/>
  <c r="D218" i="8" l="1"/>
  <c r="C218" i="8" s="1"/>
  <c r="D219" i="8" l="1"/>
  <c r="C219" i="8" s="1"/>
  <c r="D220" i="8" l="1"/>
  <c r="C220" i="8" s="1"/>
  <c r="D221" i="8" l="1"/>
  <c r="C221" i="8" s="1"/>
  <c r="D222" i="8" l="1"/>
  <c r="C222" i="8" s="1"/>
  <c r="D223" i="8" l="1"/>
  <c r="C223" i="8" s="1"/>
  <c r="D224" i="8" l="1"/>
  <c r="C224" i="8" s="1"/>
  <c r="D225" i="8" l="1"/>
  <c r="C225" i="8" s="1"/>
  <c r="D226" i="8" l="1"/>
  <c r="C226" i="8" s="1"/>
  <c r="D227" i="8" l="1"/>
  <c r="C227" i="8" s="1"/>
  <c r="D228" i="8" l="1"/>
  <c r="C228" i="8" s="1"/>
  <c r="D229" i="8" l="1"/>
  <c r="C229" i="8" s="1"/>
  <c r="D230" i="8" l="1"/>
  <c r="C230" i="8" s="1"/>
  <c r="D231" i="8" l="1"/>
  <c r="C231" i="8" s="1"/>
  <c r="D232" i="8" l="1"/>
  <c r="C232" i="8" s="1"/>
  <c r="D233" i="8" l="1"/>
  <c r="C233" i="8" s="1"/>
  <c r="D234" i="8" l="1"/>
  <c r="C234" i="8" s="1"/>
  <c r="D235" i="8" l="1"/>
  <c r="C235" i="8" s="1"/>
  <c r="D236" i="8" l="1"/>
  <c r="C236" i="8" s="1"/>
  <c r="D237" i="8" l="1"/>
  <c r="C237" i="8" s="1"/>
  <c r="D238" i="8" l="1"/>
  <c r="C238" i="8" s="1"/>
  <c r="D239" i="8" l="1"/>
  <c r="C239" i="8" s="1"/>
  <c r="D240" i="8" l="1"/>
  <c r="C240" i="8" s="1"/>
  <c r="D241" i="8" l="1"/>
  <c r="C241" i="8" s="1"/>
  <c r="D242" i="8" l="1"/>
  <c r="C242" i="8" s="1"/>
  <c r="D243" i="8" l="1"/>
  <c r="C243" i="8" s="1"/>
  <c r="D244" i="8" l="1"/>
  <c r="C244" i="8" s="1"/>
  <c r="D245" i="8" l="1"/>
  <c r="C245" i="8" s="1"/>
  <c r="D246" i="8" l="1"/>
  <c r="C246" i="8" s="1"/>
  <c r="D247" i="8" l="1"/>
  <c r="C247" i="8" s="1"/>
  <c r="D248" i="8" l="1"/>
  <c r="C248" i="8" s="1"/>
  <c r="D249" i="8" l="1"/>
  <c r="C249" i="8" s="1"/>
  <c r="D250" i="8" l="1"/>
  <c r="C250" i="8" s="1"/>
  <c r="D251" i="8" l="1"/>
  <c r="C251" i="8" s="1"/>
  <c r="D252" i="8" l="1"/>
  <c r="C252" i="8" s="1"/>
  <c r="D253" i="8" l="1"/>
  <c r="C253" i="8" s="1"/>
  <c r="D254" i="8" l="1"/>
  <c r="C254" i="8" s="1"/>
  <c r="D255" i="8" l="1"/>
  <c r="C255" i="8" s="1"/>
  <c r="D256" i="8" l="1"/>
  <c r="C256" i="8" s="1"/>
  <c r="D257" i="8" l="1"/>
  <c r="C257" i="8" s="1"/>
  <c r="D258" i="8" l="1"/>
  <c r="C258" i="8" s="1"/>
  <c r="D259" i="8" l="1"/>
  <c r="C259" i="8" s="1"/>
  <c r="D260" i="8" l="1"/>
  <c r="C260" i="8" s="1"/>
  <c r="D261" i="8" l="1"/>
  <c r="C261" i="8" s="1"/>
  <c r="D262" i="8" l="1"/>
  <c r="C262" i="8" s="1"/>
  <c r="D263" i="8" l="1"/>
  <c r="C263" i="8" s="1"/>
  <c r="D264" i="8" l="1"/>
  <c r="C264" i="8" s="1"/>
  <c r="D265" i="8" l="1"/>
  <c r="C265" i="8" s="1"/>
  <c r="D266" i="8" l="1"/>
  <c r="C266" i="8" s="1"/>
  <c r="D267" i="8" l="1"/>
  <c r="C267" i="8" s="1"/>
  <c r="D268" i="8" l="1"/>
  <c r="C268" i="8" s="1"/>
  <c r="D269" i="8" l="1"/>
  <c r="C269" i="8" s="1"/>
  <c r="D270" i="8" l="1"/>
  <c r="C270" i="8" s="1"/>
  <c r="D271" i="8" l="1"/>
  <c r="C271" i="8" s="1"/>
  <c r="D272" i="8" l="1"/>
  <c r="C272" i="8" s="1"/>
  <c r="D273" i="8" l="1"/>
  <c r="C273" i="8" s="1"/>
  <c r="D274" i="8" l="1"/>
  <c r="C274" i="8" s="1"/>
  <c r="D275" i="8" l="1"/>
  <c r="C275" i="8" s="1"/>
  <c r="D276" i="8" l="1"/>
  <c r="C276" i="8" s="1"/>
  <c r="D277" i="8" l="1"/>
  <c r="C277" i="8" s="1"/>
  <c r="D278" i="8" l="1"/>
  <c r="C278" i="8" s="1"/>
  <c r="D279" i="8" l="1"/>
  <c r="C279" i="8" s="1"/>
  <c r="D280" i="8" l="1"/>
  <c r="C280" i="8" s="1"/>
  <c r="D281" i="8" l="1"/>
  <c r="C281" i="8" s="1"/>
  <c r="D282" i="8" l="1"/>
  <c r="C282" i="8" s="1"/>
  <c r="D283" i="8" l="1"/>
  <c r="C283" i="8" s="1"/>
  <c r="D284" i="8" l="1"/>
  <c r="C284" i="8" s="1"/>
  <c r="D285" i="8" l="1"/>
  <c r="C285" i="8" s="1"/>
  <c r="D286" i="8" l="1"/>
  <c r="C286" i="8" s="1"/>
  <c r="D287" i="8" l="1"/>
  <c r="C287" i="8" s="1"/>
  <c r="D288" i="8" l="1"/>
  <c r="C288" i="8" s="1"/>
  <c r="D289" i="8" l="1"/>
  <c r="C289" i="8" s="1"/>
  <c r="D290" i="8" l="1"/>
  <c r="C290" i="8" s="1"/>
  <c r="D291" i="8" l="1"/>
  <c r="C291" i="8" s="1"/>
  <c r="D292" i="8" l="1"/>
  <c r="C292" i="8" s="1"/>
  <c r="D293" i="8" l="1"/>
  <c r="C293" i="8" s="1"/>
  <c r="D294" i="8" l="1"/>
  <c r="C294" i="8" s="1"/>
  <c r="D295" i="8" l="1"/>
  <c r="C295" i="8" s="1"/>
  <c r="D296" i="8" l="1"/>
  <c r="C296" i="8" s="1"/>
  <c r="D297" i="8" l="1"/>
  <c r="C297" i="8" s="1"/>
  <c r="D298" i="8" l="1"/>
  <c r="C298" i="8" s="1"/>
  <c r="D299" i="8" l="1"/>
  <c r="C299" i="8" s="1"/>
  <c r="D300" i="8" l="1"/>
  <c r="C300" i="8" s="1"/>
  <c r="D301" i="8" l="1"/>
  <c r="C301" i="8" s="1"/>
  <c r="D302" i="8" l="1"/>
  <c r="C302" i="8" s="1"/>
  <c r="D303" i="8" l="1"/>
  <c r="C303" i="8" s="1"/>
  <c r="D304" i="8" l="1"/>
  <c r="C304" i="8" s="1"/>
  <c r="D305" i="8" l="1"/>
  <c r="C305" i="8" s="1"/>
  <c r="D306" i="8" l="1"/>
  <c r="C306" i="8" s="1"/>
  <c r="D307" i="8" l="1"/>
  <c r="C307" i="8" s="1"/>
  <c r="D308" i="8" l="1"/>
  <c r="C308" i="8" s="1"/>
  <c r="D309" i="8" l="1"/>
  <c r="C309" i="8" s="1"/>
  <c r="D310" i="8" l="1"/>
  <c r="C310" i="8" s="1"/>
  <c r="D311" i="8" l="1"/>
  <c r="C311" i="8" s="1"/>
  <c r="D312" i="8" l="1"/>
  <c r="C312" i="8" s="1"/>
  <c r="D313" i="8" l="1"/>
  <c r="C313" i="8" s="1"/>
  <c r="D314" i="8" l="1"/>
  <c r="C314" i="8" s="1"/>
  <c r="D315" i="8" l="1"/>
  <c r="C315" i="8" s="1"/>
  <c r="D316" i="8" l="1"/>
  <c r="C316" i="8" s="1"/>
  <c r="D317" i="8" l="1"/>
  <c r="C317" i="8" s="1"/>
  <c r="D318" i="8" l="1"/>
  <c r="C318" i="8" s="1"/>
  <c r="D319" i="8" l="1"/>
  <c r="C319" i="8" s="1"/>
  <c r="D320" i="8" l="1"/>
  <c r="C320" i="8" s="1"/>
  <c r="D321" i="8" l="1"/>
  <c r="C321" i="8" s="1"/>
  <c r="D322" i="8" l="1"/>
  <c r="C322" i="8" s="1"/>
  <c r="D323" i="8" l="1"/>
  <c r="C323" i="8" s="1"/>
  <c r="D324" i="8" l="1"/>
  <c r="C324" i="8" s="1"/>
  <c r="D325" i="8" l="1"/>
  <c r="C325" i="8" s="1"/>
  <c r="D326" i="8" l="1"/>
  <c r="C326" i="8" s="1"/>
  <c r="D327" i="8" l="1"/>
  <c r="C327" i="8" s="1"/>
  <c r="D328" i="8" l="1"/>
  <c r="C328" i="8" s="1"/>
  <c r="D329" i="8" l="1"/>
  <c r="C329" i="8" s="1"/>
  <c r="D330" i="8" l="1"/>
  <c r="C330" i="8" s="1"/>
  <c r="D331" i="8" l="1"/>
  <c r="C331" i="8" s="1"/>
  <c r="D332" i="8" l="1"/>
  <c r="C332" i="8" s="1"/>
  <c r="D333" i="8" l="1"/>
  <c r="C333" i="8" s="1"/>
  <c r="D334" i="8" l="1"/>
  <c r="C334" i="8" s="1"/>
  <c r="D335" i="8" l="1"/>
  <c r="C335" i="8" s="1"/>
  <c r="D336" i="8" l="1"/>
  <c r="C336" i="8" s="1"/>
  <c r="D337" i="8" l="1"/>
  <c r="C337" i="8" s="1"/>
  <c r="D338" i="8" l="1"/>
  <c r="C338" i="8" s="1"/>
  <c r="D339" i="8" l="1"/>
  <c r="C339" i="8" s="1"/>
  <c r="D340" i="8" l="1"/>
  <c r="C340" i="8" s="1"/>
  <c r="D341" i="8" l="1"/>
  <c r="C341" i="8" s="1"/>
  <c r="D342" i="8" l="1"/>
  <c r="C342" i="8" s="1"/>
  <c r="D343" i="8" l="1"/>
  <c r="C343" i="8" s="1"/>
  <c r="D344" i="8" l="1"/>
  <c r="C344" i="8" s="1"/>
  <c r="D345" i="8" l="1"/>
  <c r="C345" i="8" s="1"/>
  <c r="D346" i="8" l="1"/>
  <c r="C346" i="8" s="1"/>
  <c r="D347" i="8" l="1"/>
  <c r="C347" i="8" s="1"/>
  <c r="D348" i="8" l="1"/>
  <c r="C348" i="8" s="1"/>
  <c r="D349" i="8" l="1"/>
  <c r="C349" i="8" s="1"/>
  <c r="D350" i="8" l="1"/>
  <c r="C350" i="8" s="1"/>
  <c r="D351" i="8" l="1"/>
  <c r="C351" i="8" s="1"/>
  <c r="D352" i="8" l="1"/>
  <c r="C352" i="8" s="1"/>
  <c r="D353" i="8" l="1"/>
  <c r="C353" i="8" s="1"/>
  <c r="D354" i="8" l="1"/>
  <c r="C354" i="8" s="1"/>
  <c r="D355" i="8" l="1"/>
  <c r="C355" i="8" s="1"/>
  <c r="D356" i="8" l="1"/>
  <c r="C356" i="8" s="1"/>
  <c r="D357" i="8" l="1"/>
  <c r="C357" i="8" s="1"/>
  <c r="D358" i="8" l="1"/>
  <c r="C358" i="8" s="1"/>
  <c r="D359" i="8" l="1"/>
  <c r="C359" i="8" s="1"/>
  <c r="D360" i="8" l="1"/>
  <c r="C360" i="8" s="1"/>
  <c r="D361" i="8" l="1"/>
  <c r="C361" i="8" s="1"/>
  <c r="D362" i="8" l="1"/>
  <c r="C362" i="8" s="1"/>
  <c r="D363" i="8" l="1"/>
  <c r="C363" i="8" s="1"/>
  <c r="D364" i="8" l="1"/>
  <c r="C364" i="8" s="1"/>
  <c r="D365" i="8" l="1"/>
  <c r="C365" i="8" s="1"/>
  <c r="D366" i="8" l="1"/>
  <c r="C366" i="8" s="1"/>
  <c r="D367" i="8" l="1"/>
  <c r="C367" i="8" s="1"/>
  <c r="D368" i="8" l="1"/>
  <c r="C368" i="8" s="1"/>
  <c r="D369" i="8" l="1"/>
  <c r="C369" i="8" s="1"/>
  <c r="D370" i="8" l="1"/>
  <c r="C370" i="8" s="1"/>
  <c r="D371" i="8" l="1"/>
  <c r="C371" i="8" s="1"/>
  <c r="D372" i="8" l="1"/>
  <c r="C372" i="8" s="1"/>
  <c r="D373" i="8" l="1"/>
  <c r="C373" i="8" s="1"/>
  <c r="D374" i="8" l="1"/>
  <c r="C374" i="8" s="1"/>
  <c r="D375" i="8" l="1"/>
  <c r="C375" i="8" s="1"/>
  <c r="D376" i="8" l="1"/>
  <c r="C376" i="8" s="1"/>
  <c r="D377" i="8" l="1"/>
  <c r="C377" i="8" s="1"/>
  <c r="D378" i="8" l="1"/>
  <c r="C378" i="8" s="1"/>
  <c r="D379" i="8" l="1"/>
  <c r="C379" i="8" s="1"/>
  <c r="D380" i="8" l="1"/>
  <c r="C380" i="8" s="1"/>
  <c r="D381" i="8" l="1"/>
  <c r="C381" i="8" s="1"/>
  <c r="D382" i="8" l="1"/>
  <c r="C382" i="8" s="1"/>
  <c r="D383" i="8" l="1"/>
  <c r="C383" i="8" s="1"/>
  <c r="D384" i="8" l="1"/>
  <c r="C384" i="8" s="1"/>
  <c r="D385" i="8" l="1"/>
  <c r="C385" i="8" s="1"/>
  <c r="D386" i="8" l="1"/>
  <c r="C386" i="8" s="1"/>
  <c r="D387" i="8" l="1"/>
  <c r="C387" i="8" s="1"/>
  <c r="D388" i="8" l="1"/>
  <c r="C388" i="8" s="1"/>
  <c r="D389" i="8" l="1"/>
  <c r="C389" i="8" s="1"/>
  <c r="D390" i="8" l="1"/>
  <c r="C390" i="8" s="1"/>
  <c r="D391" i="8" l="1"/>
  <c r="C391" i="8" s="1"/>
  <c r="D392" i="8" l="1"/>
  <c r="C392" i="8" s="1"/>
  <c r="D393" i="8" l="1"/>
  <c r="C393" i="8" s="1"/>
  <c r="D394" i="8" l="1"/>
  <c r="C394" i="8" s="1"/>
  <c r="D395" i="8" l="1"/>
  <c r="C395" i="8" s="1"/>
  <c r="D396" i="8" l="1"/>
  <c r="C396" i="8" s="1"/>
  <c r="D397" i="8" l="1"/>
  <c r="C397" i="8" s="1"/>
  <c r="D398" i="8" l="1"/>
  <c r="C398" i="8" s="1"/>
  <c r="D399" i="8" l="1"/>
  <c r="C399" i="8" s="1"/>
  <c r="D400" i="8" l="1"/>
  <c r="C400" i="8" s="1"/>
  <c r="D401" i="8" l="1"/>
  <c r="C401" i="8" s="1"/>
  <c r="D402" i="8" l="1"/>
  <c r="C402" i="8" s="1"/>
  <c r="D403" i="8" l="1"/>
  <c r="C403" i="8" s="1"/>
  <c r="D404" i="8" l="1"/>
  <c r="C404" i="8" s="1"/>
  <c r="D405" i="8" l="1"/>
  <c r="C405" i="8" s="1"/>
  <c r="D406" i="8" l="1"/>
  <c r="C406" i="8" s="1"/>
  <c r="D407" i="8" l="1"/>
  <c r="C407" i="8" s="1"/>
  <c r="D408" i="8" l="1"/>
  <c r="C408" i="8" s="1"/>
  <c r="D409" i="8" l="1"/>
  <c r="C409" i="8" s="1"/>
  <c r="D410" i="8" l="1"/>
  <c r="C410" i="8" s="1"/>
  <c r="D411" i="8" l="1"/>
  <c r="C411" i="8" s="1"/>
  <c r="D412" i="8" l="1"/>
  <c r="C412" i="8" s="1"/>
  <c r="D413" i="8" l="1"/>
  <c r="C413" i="8" s="1"/>
  <c r="D414" i="8" l="1"/>
  <c r="C414" i="8" s="1"/>
  <c r="D415" i="8" l="1"/>
  <c r="C415" i="8" s="1"/>
  <c r="D416" i="8" l="1"/>
  <c r="C416" i="8" s="1"/>
  <c r="D417" i="8" l="1"/>
  <c r="C417" i="8" s="1"/>
  <c r="D418" i="8" l="1"/>
  <c r="C418" i="8" s="1"/>
  <c r="D419" i="8" l="1"/>
  <c r="C419" i="8" s="1"/>
  <c r="D420" i="8" l="1"/>
  <c r="C420" i="8" s="1"/>
  <c r="D421" i="8" l="1"/>
  <c r="C421" i="8" s="1"/>
  <c r="D422" i="8" l="1"/>
  <c r="C422" i="8" s="1"/>
  <c r="D423" i="8" l="1"/>
  <c r="C423" i="8" s="1"/>
  <c r="D424" i="8" l="1"/>
  <c r="C424" i="8" s="1"/>
  <c r="D425" i="8" l="1"/>
  <c r="C425" i="8" s="1"/>
  <c r="D426" i="8" l="1"/>
  <c r="C426" i="8" s="1"/>
  <c r="D427" i="8" l="1"/>
  <c r="C427" i="8" s="1"/>
  <c r="D428" i="8" l="1"/>
  <c r="C428" i="8" s="1"/>
  <c r="D429" i="8" l="1"/>
  <c r="C429" i="8" s="1"/>
  <c r="D430" i="8" l="1"/>
  <c r="C430" i="8" s="1"/>
  <c r="D431" i="8" l="1"/>
  <c r="C431" i="8" s="1"/>
  <c r="D432" i="8" l="1"/>
  <c r="C432" i="8" s="1"/>
  <c r="D433" i="8" l="1"/>
  <c r="C433" i="8" s="1"/>
  <c r="D434" i="8" l="1"/>
  <c r="C434" i="8" s="1"/>
  <c r="D435" i="8" l="1"/>
  <c r="C435" i="8" s="1"/>
  <c r="D436" i="8" l="1"/>
  <c r="C436" i="8" s="1"/>
  <c r="D437" i="8" l="1"/>
  <c r="C437" i="8" s="1"/>
  <c r="D438" i="8" l="1"/>
  <c r="C438" i="8" s="1"/>
  <c r="D439" i="8" l="1"/>
  <c r="C439" i="8" s="1"/>
  <c r="D440" i="8" l="1"/>
  <c r="C440" i="8" s="1"/>
  <c r="D441" i="8" l="1"/>
  <c r="C441" i="8" s="1"/>
  <c r="D442" i="8" l="1"/>
  <c r="C442" i="8" s="1"/>
  <c r="D443" i="8" l="1"/>
  <c r="C443" i="8" s="1"/>
  <c r="D444" i="8" l="1"/>
  <c r="C444" i="8" s="1"/>
  <c r="D445" i="8" l="1"/>
  <c r="C445" i="8" s="1"/>
  <c r="D446" i="8" l="1"/>
  <c r="C446" i="8" s="1"/>
  <c r="D447" i="8" l="1"/>
  <c r="C447" i="8" s="1"/>
  <c r="D448" i="8" l="1"/>
  <c r="C448" i="8" s="1"/>
  <c r="D449" i="8" l="1"/>
  <c r="C449" i="8" s="1"/>
  <c r="D450" i="8" l="1"/>
  <c r="C450" i="8" s="1"/>
  <c r="D451" i="8" l="1"/>
  <c r="C451" i="8" s="1"/>
  <c r="D452" i="8" l="1"/>
  <c r="C452" i="8" s="1"/>
  <c r="D453" i="8" l="1"/>
  <c r="C453" i="8" s="1"/>
  <c r="D454" i="8" l="1"/>
  <c r="C454" i="8" s="1"/>
  <c r="D455" i="8" l="1"/>
  <c r="C455" i="8" s="1"/>
  <c r="D456" i="8" l="1"/>
  <c r="C456" i="8" s="1"/>
  <c r="D457" i="8" l="1"/>
  <c r="C457" i="8" s="1"/>
  <c r="D458" i="8" l="1"/>
  <c r="C458" i="8" s="1"/>
  <c r="D459" i="8" l="1"/>
  <c r="C459" i="8" s="1"/>
  <c r="D460" i="8" l="1"/>
  <c r="C460" i="8" s="1"/>
  <c r="D461" i="8" l="1"/>
  <c r="C461" i="8" s="1"/>
  <c r="D462" i="8" l="1"/>
  <c r="C462" i="8" s="1"/>
  <c r="D463" i="8" l="1"/>
  <c r="C463" i="8" s="1"/>
  <c r="D464" i="8" l="1"/>
  <c r="C464" i="8" s="1"/>
  <c r="D465" i="8" l="1"/>
  <c r="C465" i="8" s="1"/>
  <c r="D466" i="8" l="1"/>
  <c r="C466" i="8" s="1"/>
  <c r="D467" i="8" l="1"/>
  <c r="C467" i="8" s="1"/>
  <c r="D468" i="8" l="1"/>
  <c r="C468" i="8" s="1"/>
  <c r="D469" i="8" l="1"/>
  <c r="C469" i="8" s="1"/>
  <c r="D470" i="8" l="1"/>
  <c r="C470" i="8" s="1"/>
  <c r="D471" i="8" l="1"/>
  <c r="C471" i="8" s="1"/>
  <c r="D472" i="8" l="1"/>
  <c r="C472" i="8" s="1"/>
  <c r="D473" i="8" l="1"/>
  <c r="C473" i="8" s="1"/>
  <c r="D474" i="8" l="1"/>
  <c r="C474" i="8" s="1"/>
  <c r="D475" i="8" l="1"/>
  <c r="C475" i="8" s="1"/>
  <c r="D476" i="8" l="1"/>
  <c r="C476" i="8" s="1"/>
  <c r="D477" i="8" l="1"/>
  <c r="C477" i="8" s="1"/>
  <c r="D478" i="8" l="1"/>
  <c r="C478" i="8" s="1"/>
  <c r="D479" i="8" l="1"/>
  <c r="C479" i="8" s="1"/>
  <c r="D480" i="8" l="1"/>
  <c r="C480" i="8" s="1"/>
  <c r="D481" i="8" l="1"/>
  <c r="C481" i="8" s="1"/>
  <c r="D482" i="8" l="1"/>
  <c r="C482" i="8" s="1"/>
  <c r="D483" i="8" l="1"/>
  <c r="C483" i="8" s="1"/>
  <c r="D484" i="8" l="1"/>
  <c r="C484" i="8" s="1"/>
  <c r="D485" i="8" l="1"/>
  <c r="C485" i="8" s="1"/>
  <c r="D486" i="8" l="1"/>
  <c r="C486" i="8" s="1"/>
  <c r="D487" i="8" l="1"/>
  <c r="C487" i="8" s="1"/>
  <c r="D488" i="8" l="1"/>
  <c r="C488" i="8" s="1"/>
  <c r="D489" i="8" l="1"/>
  <c r="C489" i="8" s="1"/>
  <c r="D490" i="8" l="1"/>
  <c r="C490" i="8" s="1"/>
  <c r="D491" i="8" l="1"/>
  <c r="C491" i="8" s="1"/>
  <c r="D492" i="8" l="1"/>
  <c r="C492" i="8" s="1"/>
  <c r="D493" i="8" l="1"/>
  <c r="C493" i="8" s="1"/>
  <c r="D494" i="8" l="1"/>
  <c r="C494" i="8" s="1"/>
  <c r="D495" i="8" l="1"/>
  <c r="C495" i="8" s="1"/>
  <c r="D496" i="8" l="1"/>
  <c r="C496" i="8" s="1"/>
  <c r="D497" i="8" l="1"/>
  <c r="C497" i="8" s="1"/>
  <c r="D498" i="8" l="1"/>
  <c r="C498" i="8" s="1"/>
  <c r="D499" i="8" l="1"/>
  <c r="C499" i="8" s="1"/>
  <c r="D500" i="8" l="1"/>
  <c r="C500" i="8" s="1"/>
  <c r="D501" i="8" l="1"/>
  <c r="C501" i="8" s="1"/>
  <c r="D502" i="8" l="1"/>
  <c r="C502" i="8" s="1"/>
  <c r="D503" i="8" l="1"/>
  <c r="C503" i="8" s="1"/>
  <c r="D504" i="8" l="1"/>
  <c r="C504" i="8" s="1"/>
  <c r="D505" i="8" l="1"/>
  <c r="C505" i="8" s="1"/>
  <c r="D506" i="8" l="1"/>
  <c r="C506" i="8" s="1"/>
  <c r="D507" i="8" l="1"/>
  <c r="C507" i="8" s="1"/>
  <c r="D508" i="8" l="1"/>
  <c r="C508" i="8" s="1"/>
  <c r="D509" i="8" l="1"/>
  <c r="C509" i="8" s="1"/>
  <c r="D510" i="8" l="1"/>
  <c r="C510" i="8" s="1"/>
  <c r="D511" i="8" l="1"/>
  <c r="C511" i="8" s="1"/>
  <c r="D512" i="8" l="1"/>
  <c r="C512" i="8" s="1"/>
  <c r="D513" i="8" l="1"/>
  <c r="C513" i="8" s="1"/>
  <c r="D514" i="8" l="1"/>
  <c r="C514" i="8" s="1"/>
  <c r="D515" i="8" l="1"/>
  <c r="C515" i="8" s="1"/>
  <c r="D516" i="8" l="1"/>
  <c r="C516" i="8" s="1"/>
  <c r="D517" i="8" l="1"/>
  <c r="C517" i="8" s="1"/>
  <c r="D518" i="8" l="1"/>
  <c r="C518" i="8" s="1"/>
  <c r="D519" i="8" l="1"/>
  <c r="C519" i="8" s="1"/>
  <c r="D520" i="8" l="1"/>
  <c r="C520" i="8" s="1"/>
  <c r="D521" i="8" l="1"/>
  <c r="C521" i="8" s="1"/>
  <c r="D522" i="8" l="1"/>
  <c r="C522" i="8" s="1"/>
  <c r="D523" i="8" l="1"/>
  <c r="C523" i="8" s="1"/>
  <c r="D524" i="8" l="1"/>
  <c r="C524" i="8" s="1"/>
  <c r="D525" i="8" l="1"/>
  <c r="C525" i="8" s="1"/>
  <c r="D526" i="8" l="1"/>
  <c r="C526" i="8" s="1"/>
  <c r="D527" i="8" l="1"/>
  <c r="C527" i="8" s="1"/>
  <c r="D528" i="8" l="1"/>
  <c r="C528" i="8" s="1"/>
  <c r="D529" i="8" l="1"/>
  <c r="C529" i="8" s="1"/>
  <c r="D530" i="8" l="1"/>
  <c r="C530" i="8" s="1"/>
  <c r="D531" i="8" l="1"/>
  <c r="C531" i="8" s="1"/>
  <c r="D532" i="8" l="1"/>
  <c r="C532" i="8" s="1"/>
  <c r="D533" i="8" l="1"/>
  <c r="C533" i="8" s="1"/>
  <c r="D534" i="8" l="1"/>
  <c r="C534" i="8" s="1"/>
  <c r="D535" i="8" l="1"/>
  <c r="C535" i="8" s="1"/>
  <c r="D536" i="8" l="1"/>
  <c r="C536" i="8" s="1"/>
  <c r="D537" i="8" l="1"/>
  <c r="C537" i="8" s="1"/>
  <c r="D538" i="8" l="1"/>
  <c r="C538" i="8" s="1"/>
  <c r="D539" i="8" l="1"/>
  <c r="C539" i="8" s="1"/>
  <c r="D540" i="8" l="1"/>
  <c r="C540" i="8" s="1"/>
  <c r="D541" i="8" l="1"/>
  <c r="C541" i="8" s="1"/>
  <c r="D542" i="8" l="1"/>
  <c r="C542" i="8" s="1"/>
  <c r="D543" i="8" l="1"/>
  <c r="C543" i="8" s="1"/>
  <c r="D544" i="8" l="1"/>
  <c r="C544" i="8" s="1"/>
  <c r="D545" i="8" l="1"/>
  <c r="C545" i="8" s="1"/>
  <c r="D546" i="8" l="1"/>
  <c r="C546" i="8" s="1"/>
  <c r="D547" i="8" l="1"/>
  <c r="C547" i="8" s="1"/>
  <c r="D548" i="8" l="1"/>
  <c r="C548" i="8" s="1"/>
  <c r="D549" i="8" l="1"/>
  <c r="C549" i="8" s="1"/>
  <c r="D550" i="8" l="1"/>
  <c r="C550" i="8" s="1"/>
  <c r="D551" i="8" l="1"/>
  <c r="C551" i="8" s="1"/>
  <c r="D552" i="8" l="1"/>
  <c r="C552" i="8" s="1"/>
  <c r="D553" i="8" l="1"/>
  <c r="C553" i="8" s="1"/>
  <c r="D554" i="8" l="1"/>
  <c r="C554" i="8" s="1"/>
  <c r="D555" i="8" l="1"/>
  <c r="C555" i="8" s="1"/>
  <c r="D556" i="8" l="1"/>
  <c r="C556" i="8" s="1"/>
  <c r="D557" i="8" l="1"/>
  <c r="C557" i="8" s="1"/>
  <c r="D558" i="8" l="1"/>
  <c r="C558" i="8" s="1"/>
  <c r="D559" i="8" l="1"/>
  <c r="C559" i="8" s="1"/>
  <c r="D560" i="8" l="1"/>
  <c r="C560" i="8" s="1"/>
  <c r="D561" i="8" l="1"/>
  <c r="C561" i="8" s="1"/>
  <c r="D562" i="8" l="1"/>
  <c r="C562" i="8" s="1"/>
  <c r="D563" i="8" l="1"/>
  <c r="C563" i="8" s="1"/>
  <c r="D564" i="8" l="1"/>
  <c r="C564" i="8" s="1"/>
  <c r="D565" i="8" l="1"/>
  <c r="C565" i="8" s="1"/>
  <c r="D566" i="8" l="1"/>
  <c r="C566" i="8" s="1"/>
  <c r="D567" i="8" l="1"/>
  <c r="C567" i="8" s="1"/>
  <c r="D568" i="8" l="1"/>
  <c r="C568" i="8" s="1"/>
  <c r="D569" i="8" l="1"/>
  <c r="C569" i="8" s="1"/>
  <c r="D570" i="8" l="1"/>
  <c r="C570" i="8" s="1"/>
  <c r="D571" i="8" l="1"/>
  <c r="C571" i="8" s="1"/>
  <c r="D572" i="8" l="1"/>
  <c r="C572" i="8" s="1"/>
  <c r="D573" i="8" l="1"/>
  <c r="C573" i="8" s="1"/>
  <c r="D574" i="8" l="1"/>
  <c r="C574" i="8" s="1"/>
  <c r="D575" i="8" l="1"/>
  <c r="C575" i="8" s="1"/>
  <c r="D576" i="8" l="1"/>
  <c r="C576" i="8" s="1"/>
  <c r="D577" i="8" l="1"/>
  <c r="C577" i="8" s="1"/>
  <c r="D578" i="8" l="1"/>
  <c r="C578" i="8" s="1"/>
  <c r="D579" i="8" l="1"/>
  <c r="C579" i="8" s="1"/>
  <c r="D580" i="8" l="1"/>
  <c r="C580" i="8" s="1"/>
  <c r="D581" i="8" l="1"/>
  <c r="C581" i="8" s="1"/>
  <c r="D582" i="8" l="1"/>
  <c r="C582" i="8" s="1"/>
  <c r="D583" i="8" l="1"/>
  <c r="C583" i="8" s="1"/>
  <c r="D584" i="8" l="1"/>
  <c r="C584" i="8" s="1"/>
  <c r="D585" i="8" l="1"/>
  <c r="C585" i="8" s="1"/>
  <c r="D586" i="8" l="1"/>
  <c r="C586" i="8" s="1"/>
  <c r="D587" i="8" l="1"/>
  <c r="C587" i="8" s="1"/>
  <c r="D588" i="8" l="1"/>
  <c r="C588" i="8" s="1"/>
  <c r="D589" i="8" l="1"/>
  <c r="C589" i="8" s="1"/>
  <c r="D590" i="8" l="1"/>
  <c r="C590" i="8" s="1"/>
  <c r="D591" i="8" l="1"/>
  <c r="C591" i="8" s="1"/>
  <c r="D592" i="8" l="1"/>
  <c r="C592" i="8" s="1"/>
  <c r="D593" i="8" l="1"/>
  <c r="C593" i="8" s="1"/>
  <c r="D594" i="8" l="1"/>
  <c r="C594" i="8" s="1"/>
  <c r="D595" i="8" l="1"/>
  <c r="C595" i="8" s="1"/>
  <c r="D596" i="8" l="1"/>
  <c r="C596" i="8" s="1"/>
  <c r="D597" i="8" l="1"/>
  <c r="C597" i="8" s="1"/>
  <c r="D598" i="8" l="1"/>
  <c r="C598" i="8" s="1"/>
  <c r="D599" i="8" l="1"/>
  <c r="C599" i="8" s="1"/>
  <c r="D600" i="8" l="1"/>
  <c r="C600" i="8" s="1"/>
  <c r="D601" i="8" l="1"/>
  <c r="C601" i="8" s="1"/>
  <c r="D602" i="8" l="1"/>
  <c r="C602" i="8" s="1"/>
  <c r="D603" i="8" l="1"/>
  <c r="C603" i="8" s="1"/>
  <c r="D604" i="8" l="1"/>
  <c r="C604" i="8" s="1"/>
  <c r="D605" i="8" l="1"/>
  <c r="C605" i="8" s="1"/>
  <c r="D606" i="8" l="1"/>
  <c r="C606" i="8" s="1"/>
  <c r="D607" i="8" l="1"/>
  <c r="C607" i="8" s="1"/>
  <c r="D608" i="8" l="1"/>
  <c r="C608" i="8" s="1"/>
  <c r="D609" i="8" l="1"/>
  <c r="C609" i="8" s="1"/>
  <c r="D610" i="8" l="1"/>
  <c r="C610" i="8" s="1"/>
  <c r="D611" i="8" l="1"/>
  <c r="C611" i="8" s="1"/>
  <c r="D612" i="8" l="1"/>
  <c r="C612" i="8" s="1"/>
  <c r="D613" i="8" l="1"/>
  <c r="C613" i="8" s="1"/>
  <c r="D614" i="8" l="1"/>
  <c r="C614" i="8" s="1"/>
  <c r="D615" i="8" l="1"/>
  <c r="C615" i="8" s="1"/>
  <c r="D616" i="8" l="1"/>
  <c r="C616" i="8" s="1"/>
  <c r="D617" i="8" l="1"/>
  <c r="C617" i="8" s="1"/>
  <c r="D618" i="8" l="1"/>
  <c r="C618" i="8" s="1"/>
  <c r="D619" i="8" l="1"/>
  <c r="C619" i="8" s="1"/>
  <c r="D620" i="8" l="1"/>
  <c r="C620" i="8" s="1"/>
  <c r="D621" i="8" l="1"/>
  <c r="C621" i="8" s="1"/>
  <c r="D622" i="8" l="1"/>
  <c r="C622" i="8" s="1"/>
  <c r="D623" i="8" l="1"/>
  <c r="C623" i="8" s="1"/>
  <c r="D624" i="8" l="1"/>
  <c r="C624" i="8" s="1"/>
  <c r="D625" i="8" l="1"/>
  <c r="C625" i="8" s="1"/>
  <c r="D626" i="8" l="1"/>
  <c r="C626" i="8" s="1"/>
  <c r="D627" i="8" l="1"/>
  <c r="C627" i="8" s="1"/>
  <c r="D628" i="8" l="1"/>
  <c r="C628" i="8" s="1"/>
  <c r="D629" i="8" l="1"/>
  <c r="C629" i="8" s="1"/>
  <c r="D630" i="8" l="1"/>
  <c r="C630" i="8" s="1"/>
  <c r="D631" i="8" l="1"/>
  <c r="C631" i="8" s="1"/>
  <c r="D632" i="8" l="1"/>
  <c r="C632" i="8" s="1"/>
  <c r="D633" i="8" l="1"/>
  <c r="C633" i="8" s="1"/>
  <c r="D634" i="8" l="1"/>
  <c r="C634" i="8" s="1"/>
  <c r="D635" i="8" l="1"/>
  <c r="C635" i="8" s="1"/>
  <c r="D636" i="8" l="1"/>
  <c r="C636" i="8" s="1"/>
  <c r="D637" i="8" l="1"/>
  <c r="C637" i="8" s="1"/>
  <c r="D638" i="8" l="1"/>
  <c r="C638" i="8" s="1"/>
  <c r="D639" i="8" l="1"/>
  <c r="C639" i="8" s="1"/>
  <c r="D640" i="8" l="1"/>
  <c r="C640" i="8" s="1"/>
  <c r="D641" i="8" l="1"/>
  <c r="C641" i="8" s="1"/>
  <c r="D642" i="8" l="1"/>
  <c r="C642" i="8" s="1"/>
  <c r="D643" i="8" l="1"/>
  <c r="C643" i="8" s="1"/>
  <c r="D644" i="8" l="1"/>
  <c r="C644" i="8" s="1"/>
  <c r="D645" i="8" l="1"/>
  <c r="C645" i="8" s="1"/>
  <c r="D646" i="8" l="1"/>
  <c r="C646" i="8" s="1"/>
  <c r="D647" i="8" l="1"/>
  <c r="C647" i="8" s="1"/>
  <c r="D648" i="8" l="1"/>
  <c r="C648" i="8" s="1"/>
  <c r="D649" i="8" l="1"/>
  <c r="C649" i="8" s="1"/>
  <c r="D650" i="8" l="1"/>
  <c r="C650" i="8" s="1"/>
  <c r="D651" i="8" l="1"/>
  <c r="C651" i="8" s="1"/>
  <c r="D652" i="8" l="1"/>
  <c r="C652" i="8" s="1"/>
  <c r="D653" i="8" l="1"/>
  <c r="C653" i="8" s="1"/>
  <c r="D654" i="8" l="1"/>
  <c r="C654" i="8" s="1"/>
  <c r="D655" i="8" l="1"/>
  <c r="C655" i="8" s="1"/>
  <c r="D656" i="8" l="1"/>
  <c r="C656" i="8" s="1"/>
  <c r="D657" i="8" l="1"/>
  <c r="C657" i="8" s="1"/>
  <c r="D658" i="8" l="1"/>
  <c r="C658" i="8" s="1"/>
  <c r="D659" i="8" l="1"/>
  <c r="C659" i="8" s="1"/>
  <c r="D660" i="8" l="1"/>
  <c r="C660" i="8" s="1"/>
  <c r="D661" i="8" l="1"/>
  <c r="C661" i="8" s="1"/>
  <c r="D662" i="8" l="1"/>
  <c r="C662" i="8" s="1"/>
  <c r="D663" i="8" l="1"/>
  <c r="C663" i="8" s="1"/>
  <c r="D664" i="8" l="1"/>
  <c r="C664" i="8" s="1"/>
  <c r="D665" i="8" l="1"/>
  <c r="C665" i="8" s="1"/>
  <c r="D666" i="8" l="1"/>
  <c r="C666" i="8" s="1"/>
  <c r="D667" i="8" l="1"/>
  <c r="C667" i="8" s="1"/>
  <c r="D668" i="8" l="1"/>
  <c r="C668" i="8" s="1"/>
  <c r="D669" i="8" l="1"/>
  <c r="C669" i="8" s="1"/>
  <c r="D670" i="8" l="1"/>
  <c r="C670" i="8" s="1"/>
  <c r="D671" i="8" l="1"/>
  <c r="C671" i="8" s="1"/>
  <c r="D672" i="8" l="1"/>
  <c r="C672" i="8" s="1"/>
  <c r="D673" i="8" l="1"/>
  <c r="C673" i="8" s="1"/>
  <c r="D674" i="8" l="1"/>
  <c r="C674" i="8" s="1"/>
  <c r="D675" i="8" l="1"/>
  <c r="C675" i="8" s="1"/>
  <c r="D676" i="8" l="1"/>
  <c r="C676" i="8" s="1"/>
  <c r="D677" i="8" l="1"/>
  <c r="C677" i="8" s="1"/>
  <c r="D678" i="8" l="1"/>
  <c r="C678" i="8" s="1"/>
  <c r="D679" i="8" l="1"/>
  <c r="C679" i="8" s="1"/>
  <c r="D680" i="8" l="1"/>
  <c r="C680" i="8" s="1"/>
  <c r="D681" i="8" l="1"/>
  <c r="C681" i="8" s="1"/>
  <c r="D682" i="8" l="1"/>
  <c r="C682" i="8" s="1"/>
  <c r="D683" i="8" l="1"/>
  <c r="C683" i="8" s="1"/>
  <c r="D684" i="8" l="1"/>
  <c r="C684" i="8" s="1"/>
  <c r="D685" i="8" l="1"/>
  <c r="C685" i="8" s="1"/>
  <c r="D686" i="8" l="1"/>
  <c r="C686" i="8" s="1"/>
  <c r="D687" i="8" l="1"/>
  <c r="C687" i="8" s="1"/>
  <c r="D688" i="8" l="1"/>
  <c r="C688" i="8" s="1"/>
  <c r="D689" i="8" l="1"/>
  <c r="C689" i="8" s="1"/>
  <c r="D690" i="8" l="1"/>
  <c r="C690" i="8" s="1"/>
  <c r="D691" i="8" l="1"/>
  <c r="C691" i="8" s="1"/>
  <c r="D692" i="8" l="1"/>
  <c r="C692" i="8" s="1"/>
  <c r="D693" i="8" l="1"/>
  <c r="C693" i="8" s="1"/>
  <c r="D694" i="8" l="1"/>
  <c r="C694" i="8" s="1"/>
  <c r="D695" i="8" l="1"/>
  <c r="C695" i="8" s="1"/>
  <c r="D696" i="8" l="1"/>
  <c r="C696" i="8" s="1"/>
  <c r="D697" i="8" l="1"/>
  <c r="C697" i="8" s="1"/>
  <c r="D698" i="8" l="1"/>
  <c r="C698" i="8" s="1"/>
  <c r="D699" i="8" l="1"/>
  <c r="C699" i="8" s="1"/>
  <c r="D700" i="8" l="1"/>
  <c r="C700" i="8" s="1"/>
  <c r="D701" i="8" l="1"/>
  <c r="C701" i="8" s="1"/>
  <c r="D702" i="8" l="1"/>
  <c r="C702" i="8" s="1"/>
  <c r="D703" i="8" l="1"/>
  <c r="C703" i="8" s="1"/>
  <c r="D704" i="8" l="1"/>
  <c r="C704" i="8" s="1"/>
  <c r="D705" i="8" l="1"/>
  <c r="C705" i="8" s="1"/>
  <c r="D706" i="8" l="1"/>
  <c r="C706" i="8" s="1"/>
  <c r="D707" i="8" l="1"/>
  <c r="C707" i="8" s="1"/>
  <c r="D708" i="8" l="1"/>
  <c r="C708" i="8" s="1"/>
  <c r="D709" i="8" l="1"/>
  <c r="C709" i="8" s="1"/>
  <c r="D710" i="8" l="1"/>
  <c r="C710" i="8" s="1"/>
  <c r="D711" i="8" l="1"/>
  <c r="C711" i="8" s="1"/>
  <c r="D712" i="8" l="1"/>
  <c r="C712" i="8" s="1"/>
  <c r="D713" i="8" l="1"/>
  <c r="C713" i="8" s="1"/>
  <c r="D714" i="8" l="1"/>
  <c r="C714" i="8" s="1"/>
  <c r="D715" i="8" l="1"/>
  <c r="C715" i="8" s="1"/>
  <c r="D716" i="8" l="1"/>
  <c r="C716" i="8" s="1"/>
  <c r="D717" i="8" l="1"/>
  <c r="C717" i="8" s="1"/>
  <c r="D718" i="8" l="1"/>
  <c r="C718" i="8" s="1"/>
  <c r="D719" i="8" l="1"/>
  <c r="C719" i="8" s="1"/>
  <c r="D720" i="8" l="1"/>
  <c r="C720" i="8" s="1"/>
  <c r="D721" i="8" l="1"/>
  <c r="C721" i="8" s="1"/>
  <c r="D722" i="8" l="1"/>
  <c r="C722" i="8" s="1"/>
  <c r="D723" i="8" l="1"/>
  <c r="C723" i="8" s="1"/>
  <c r="D724" i="8" l="1"/>
  <c r="C724" i="8" s="1"/>
  <c r="D725" i="8" l="1"/>
  <c r="C725" i="8" s="1"/>
  <c r="D726" i="8" l="1"/>
  <c r="C726" i="8" s="1"/>
  <c r="D727" i="8" l="1"/>
  <c r="C727" i="8" s="1"/>
  <c r="D728" i="8" l="1"/>
  <c r="C728" i="8" s="1"/>
  <c r="D729" i="8" l="1"/>
  <c r="C729" i="8" s="1"/>
  <c r="D730" i="8" l="1"/>
  <c r="C730" i="8" s="1"/>
  <c r="D731" i="8" l="1"/>
  <c r="C731" i="8" s="1"/>
  <c r="D732" i="8" l="1"/>
  <c r="C732" i="8" s="1"/>
  <c r="D733" i="8" l="1"/>
  <c r="C733" i="8" s="1"/>
  <c r="D734" i="8" l="1"/>
  <c r="C734" i="8" s="1"/>
  <c r="D735" i="8" l="1"/>
  <c r="C735" i="8" s="1"/>
  <c r="D736" i="8" l="1"/>
  <c r="C736" i="8" s="1"/>
  <c r="D737" i="8" l="1"/>
  <c r="C737" i="8" s="1"/>
  <c r="D738" i="8" l="1"/>
  <c r="C738" i="8" s="1"/>
  <c r="D739" i="8" l="1"/>
  <c r="C739" i="8" s="1"/>
  <c r="D740" i="8" l="1"/>
  <c r="C740" i="8" s="1"/>
  <c r="D741" i="8" l="1"/>
  <c r="C741" i="8" s="1"/>
  <c r="D742" i="8" l="1"/>
  <c r="C742" i="8" s="1"/>
  <c r="D743" i="8" l="1"/>
  <c r="C743" i="8" s="1"/>
  <c r="D744" i="8" l="1"/>
  <c r="C744" i="8" s="1"/>
  <c r="D745" i="8" l="1"/>
  <c r="C745" i="8" s="1"/>
  <c r="D746" i="8" l="1"/>
  <c r="C746" i="8" s="1"/>
  <c r="D747" i="8" l="1"/>
  <c r="C747" i="8" s="1"/>
  <c r="D748" i="8" l="1"/>
  <c r="C748" i="8" s="1"/>
  <c r="D749" i="8" l="1"/>
  <c r="C749" i="8" s="1"/>
  <c r="D750" i="8" l="1"/>
  <c r="C750" i="8" s="1"/>
  <c r="D751" i="8" l="1"/>
  <c r="C751" i="8" s="1"/>
  <c r="D752" i="8" l="1"/>
  <c r="C752" i="8" s="1"/>
  <c r="D753" i="8" l="1"/>
  <c r="C753" i="8" s="1"/>
  <c r="D754" i="8" l="1"/>
  <c r="C754" i="8" s="1"/>
  <c r="D755" i="8" l="1"/>
  <c r="C755" i="8" s="1"/>
  <c r="D756" i="8" l="1"/>
  <c r="C756" i="8" s="1"/>
  <c r="D757" i="8" l="1"/>
  <c r="C757" i="8" s="1"/>
  <c r="D758" i="8" l="1"/>
  <c r="C758" i="8" s="1"/>
  <c r="D759" i="8" l="1"/>
  <c r="C759" i="8" s="1"/>
  <c r="D760" i="8" l="1"/>
  <c r="C760" i="8" s="1"/>
  <c r="D761" i="8" l="1"/>
  <c r="C761" i="8" s="1"/>
  <c r="D762" i="8" l="1"/>
  <c r="C762" i="8" s="1"/>
  <c r="D763" i="8" l="1"/>
  <c r="C763" i="8" s="1"/>
  <c r="D764" i="8" l="1"/>
  <c r="C764" i="8" s="1"/>
  <c r="D765" i="8" l="1"/>
  <c r="C765" i="8" s="1"/>
  <c r="D766" i="8" l="1"/>
  <c r="C766" i="8" s="1"/>
  <c r="D767" i="8" l="1"/>
  <c r="C767" i="8" s="1"/>
  <c r="D768" i="8" l="1"/>
  <c r="C768" i="8" s="1"/>
  <c r="D769" i="8" l="1"/>
  <c r="C769" i="8" s="1"/>
  <c r="D770" i="8" l="1"/>
  <c r="C770" i="8" s="1"/>
  <c r="D771" i="8" l="1"/>
  <c r="C771" i="8" s="1"/>
  <c r="D772" i="8" l="1"/>
  <c r="C772" i="8" s="1"/>
  <c r="D773" i="8" l="1"/>
  <c r="C773" i="8" s="1"/>
  <c r="D774" i="8" l="1"/>
  <c r="C774" i="8" s="1"/>
  <c r="D775" i="8" l="1"/>
  <c r="C775" i="8" s="1"/>
  <c r="D776" i="8" l="1"/>
  <c r="C776" i="8" s="1"/>
  <c r="D777" i="8" l="1"/>
  <c r="C777" i="8" s="1"/>
  <c r="D778" i="8" l="1"/>
  <c r="C778" i="8" s="1"/>
  <c r="D779" i="8" l="1"/>
  <c r="C779" i="8" s="1"/>
  <c r="D780" i="8" l="1"/>
  <c r="C780" i="8" s="1"/>
  <c r="D781" i="8" l="1"/>
  <c r="C781" i="8" s="1"/>
  <c r="D782" i="8" l="1"/>
  <c r="C782" i="8" s="1"/>
  <c r="D783" i="8" l="1"/>
  <c r="C783" i="8" s="1"/>
  <c r="D784" i="8" l="1"/>
  <c r="C784" i="8" s="1"/>
  <c r="D785" i="8" l="1"/>
  <c r="C785" i="8" s="1"/>
  <c r="D786" i="8" l="1"/>
  <c r="C786" i="8" s="1"/>
  <c r="D787" i="8" l="1"/>
  <c r="C787" i="8" s="1"/>
  <c r="D788" i="8" l="1"/>
  <c r="C788" i="8" s="1"/>
  <c r="D789" i="8" l="1"/>
  <c r="C789" i="8" s="1"/>
  <c r="D790" i="8" l="1"/>
  <c r="C790" i="8" s="1"/>
  <c r="D791" i="8" l="1"/>
  <c r="C791" i="8" s="1"/>
  <c r="D792" i="8" l="1"/>
  <c r="C792" i="8" s="1"/>
  <c r="D793" i="8" l="1"/>
  <c r="C793" i="8" s="1"/>
  <c r="D794" i="8" l="1"/>
  <c r="C794" i="8" s="1"/>
  <c r="D795" i="8" l="1"/>
  <c r="C795" i="8" s="1"/>
  <c r="D796" i="8" l="1"/>
  <c r="C796" i="8" s="1"/>
  <c r="D797" i="8" l="1"/>
  <c r="C797" i="8" s="1"/>
  <c r="D798" i="8" l="1"/>
  <c r="C798" i="8" s="1"/>
  <c r="D799" i="8" l="1"/>
  <c r="C799" i="8" s="1"/>
  <c r="D800" i="8" l="1"/>
  <c r="C800" i="8" s="1"/>
  <c r="D801" i="8" l="1"/>
  <c r="C801" i="8" s="1"/>
  <c r="D802" i="8" l="1"/>
  <c r="C802" i="8" s="1"/>
  <c r="D803" i="8" l="1"/>
  <c r="C803" i="8" s="1"/>
  <c r="D804" i="8" l="1"/>
  <c r="C804" i="8" s="1"/>
  <c r="D805" i="8" l="1"/>
  <c r="C805" i="8" s="1"/>
  <c r="D806" i="8" l="1"/>
  <c r="C806" i="8" s="1"/>
  <c r="D807" i="8" l="1"/>
  <c r="C807" i="8" s="1"/>
  <c r="D808" i="8" l="1"/>
  <c r="C808" i="8" s="1"/>
  <c r="D809" i="8" l="1"/>
  <c r="C809" i="8" s="1"/>
  <c r="D810" i="8" l="1"/>
  <c r="C810" i="8" s="1"/>
  <c r="D811" i="8" l="1"/>
  <c r="C811" i="8" s="1"/>
  <c r="D812" i="8" l="1"/>
  <c r="C812" i="8" s="1"/>
  <c r="D813" i="8" l="1"/>
  <c r="C813" i="8" s="1"/>
  <c r="D814" i="8" l="1"/>
  <c r="C814" i="8" s="1"/>
  <c r="D815" i="8" l="1"/>
  <c r="C815" i="8" s="1"/>
  <c r="D816" i="8" l="1"/>
  <c r="C816" i="8" s="1"/>
  <c r="D817" i="8" l="1"/>
  <c r="C817" i="8" s="1"/>
  <c r="D818" i="8" l="1"/>
  <c r="C818" i="8" s="1"/>
  <c r="D819" i="8" l="1"/>
  <c r="C819" i="8" s="1"/>
  <c r="D820" i="8" l="1"/>
  <c r="C820" i="8" s="1"/>
  <c r="D821" i="8" l="1"/>
  <c r="C821" i="8" s="1"/>
  <c r="D822" i="8" l="1"/>
  <c r="C822" i="8" s="1"/>
  <c r="D823" i="8" l="1"/>
  <c r="C823" i="8" s="1"/>
  <c r="D824" i="8" l="1"/>
  <c r="C824" i="8" s="1"/>
  <c r="D825" i="8" l="1"/>
  <c r="C825" i="8" s="1"/>
  <c r="D826" i="8" l="1"/>
  <c r="C826" i="8" s="1"/>
  <c r="D827" i="8" l="1"/>
  <c r="C827" i="8" s="1"/>
  <c r="D828" i="8" l="1"/>
  <c r="C828" i="8" s="1"/>
  <c r="D829" i="8" l="1"/>
  <c r="C829" i="8" s="1"/>
  <c r="D830" i="8" l="1"/>
  <c r="C830" i="8" s="1"/>
  <c r="D831" i="8" l="1"/>
  <c r="C831" i="8" s="1"/>
  <c r="D832" i="8" l="1"/>
  <c r="C832" i="8" s="1"/>
  <c r="D833" i="8" l="1"/>
  <c r="C833" i="8" s="1"/>
  <c r="D834" i="8" l="1"/>
  <c r="C834" i="8" s="1"/>
  <c r="D835" i="8" l="1"/>
  <c r="C835" i="8" s="1"/>
  <c r="D836" i="8" l="1"/>
  <c r="C836" i="8" s="1"/>
  <c r="D837" i="8" l="1"/>
  <c r="C837" i="8" s="1"/>
  <c r="D838" i="8" l="1"/>
  <c r="C838" i="8" s="1"/>
  <c r="D839" i="8" l="1"/>
  <c r="C839" i="8" s="1"/>
  <c r="D840" i="8" l="1"/>
  <c r="C840" i="8" s="1"/>
  <c r="D841" i="8" l="1"/>
  <c r="C841" i="8" s="1"/>
  <c r="D842" i="8" l="1"/>
  <c r="C842" i="8" s="1"/>
  <c r="D843" i="8" l="1"/>
  <c r="C843" i="8" s="1"/>
  <c r="D844" i="8" l="1"/>
  <c r="C844" i="8" s="1"/>
  <c r="D845" i="8" l="1"/>
  <c r="C845" i="8" s="1"/>
  <c r="D846" i="8" l="1"/>
  <c r="C846" i="8" s="1"/>
  <c r="D847" i="8" l="1"/>
  <c r="C847" i="8" s="1"/>
  <c r="D848" i="8" l="1"/>
  <c r="C848" i="8" s="1"/>
  <c r="D849" i="8" l="1"/>
  <c r="C849" i="8" s="1"/>
  <c r="D850" i="8" l="1"/>
  <c r="C850" i="8" s="1"/>
  <c r="D851" i="8" l="1"/>
  <c r="C851" i="8" s="1"/>
  <c r="D852" i="8" l="1"/>
  <c r="C852" i="8" s="1"/>
  <c r="D853" i="8" l="1"/>
  <c r="C853" i="8" s="1"/>
  <c r="D854" i="8" l="1"/>
  <c r="C854" i="8" s="1"/>
  <c r="D855" i="8" l="1"/>
  <c r="C855" i="8" s="1"/>
  <c r="D856" i="8" l="1"/>
  <c r="C856" i="8" s="1"/>
  <c r="D857" i="8" l="1"/>
  <c r="C857" i="8" s="1"/>
  <c r="D858" i="8" l="1"/>
  <c r="C858" i="8" s="1"/>
  <c r="D859" i="8" l="1"/>
  <c r="C859" i="8" s="1"/>
  <c r="D860" i="8" l="1"/>
  <c r="C860" i="8" s="1"/>
  <c r="D861" i="8" l="1"/>
  <c r="C861" i="8" s="1"/>
  <c r="D862" i="8" l="1"/>
  <c r="C862" i="8" s="1"/>
  <c r="D863" i="8" l="1"/>
  <c r="C863" i="8" s="1"/>
  <c r="D864" i="8" l="1"/>
  <c r="C864" i="8" s="1"/>
  <c r="D865" i="8" l="1"/>
  <c r="C865" i="8" s="1"/>
  <c r="D866" i="8" l="1"/>
  <c r="C866" i="8" s="1"/>
  <c r="D867" i="8" l="1"/>
  <c r="C867" i="8" s="1"/>
  <c r="D868" i="8" l="1"/>
  <c r="C868" i="8" s="1"/>
  <c r="D869" i="8" l="1"/>
  <c r="C869" i="8" s="1"/>
  <c r="D870" i="8" l="1"/>
  <c r="C870" i="8" s="1"/>
  <c r="D871" i="8" l="1"/>
  <c r="C871" i="8" s="1"/>
  <c r="D872" i="8" l="1"/>
  <c r="C872" i="8" s="1"/>
  <c r="D873" i="8" l="1"/>
  <c r="C873" i="8" s="1"/>
  <c r="D874" i="8" l="1"/>
  <c r="C874" i="8" s="1"/>
  <c r="D875" i="8" l="1"/>
  <c r="C875" i="8" s="1"/>
  <c r="D876" i="8" l="1"/>
  <c r="C876" i="8" s="1"/>
  <c r="D877" i="8" l="1"/>
  <c r="C877" i="8" s="1"/>
  <c r="D878" i="8" l="1"/>
  <c r="C878" i="8" s="1"/>
  <c r="D879" i="8" l="1"/>
  <c r="C879" i="8" s="1"/>
  <c r="D880" i="8" l="1"/>
  <c r="C880" i="8" s="1"/>
  <c r="D881" i="8" l="1"/>
  <c r="C881" i="8" s="1"/>
  <c r="D882" i="8" l="1"/>
  <c r="C882" i="8" s="1"/>
  <c r="D883" i="8" l="1"/>
  <c r="C883" i="8" s="1"/>
  <c r="D884" i="8" l="1"/>
  <c r="C884" i="8" s="1"/>
  <c r="D885" i="8" l="1"/>
  <c r="C885" i="8" s="1"/>
  <c r="D886" i="8" l="1"/>
  <c r="C886" i="8" s="1"/>
  <c r="D887" i="8" l="1"/>
  <c r="C887" i="8" s="1"/>
  <c r="D888" i="8" l="1"/>
  <c r="C888" i="8" s="1"/>
  <c r="D889" i="8" l="1"/>
  <c r="C889" i="8" s="1"/>
  <c r="D890" i="8" l="1"/>
  <c r="C890" i="8" s="1"/>
  <c r="D891" i="8" l="1"/>
  <c r="C891" i="8" s="1"/>
  <c r="D892" i="8" l="1"/>
  <c r="C892" i="8" s="1"/>
  <c r="D893" i="8" l="1"/>
  <c r="C893" i="8" s="1"/>
  <c r="D894" i="8" l="1"/>
  <c r="C894" i="8" s="1"/>
  <c r="D895" i="8" l="1"/>
  <c r="C895" i="8" s="1"/>
  <c r="D896" i="8" l="1"/>
  <c r="C896" i="8" s="1"/>
  <c r="D897" i="8" l="1"/>
  <c r="C897" i="8" s="1"/>
  <c r="D898" i="8" l="1"/>
  <c r="C898" i="8" s="1"/>
  <c r="D899" i="8" l="1"/>
  <c r="C899" i="8" s="1"/>
  <c r="D900" i="8" l="1"/>
  <c r="C900" i="8" s="1"/>
  <c r="D901" i="8" l="1"/>
  <c r="C901" i="8" s="1"/>
  <c r="D902" i="8" l="1"/>
  <c r="C902" i="8" s="1"/>
  <c r="D903" i="8" l="1"/>
  <c r="C903" i="8" s="1"/>
  <c r="D904" i="8" l="1"/>
  <c r="C904" i="8" s="1"/>
  <c r="D905" i="8" l="1"/>
  <c r="C905" i="8" s="1"/>
  <c r="D906" i="8" l="1"/>
  <c r="C906" i="8" s="1"/>
  <c r="D907" i="8" l="1"/>
  <c r="C907" i="8" s="1"/>
  <c r="D908" i="8" l="1"/>
  <c r="C908" i="8" s="1"/>
  <c r="D909" i="8" l="1"/>
  <c r="C909" i="8" s="1"/>
  <c r="D910" i="8" l="1"/>
  <c r="C910" i="8" s="1"/>
  <c r="D911" i="8" l="1"/>
  <c r="C911" i="8" s="1"/>
  <c r="D912" i="8" l="1"/>
  <c r="C912" i="8" s="1"/>
  <c r="D913" i="8" l="1"/>
  <c r="C913" i="8" s="1"/>
  <c r="D914" i="8" l="1"/>
  <c r="C914" i="8" s="1"/>
  <c r="D915" i="8" l="1"/>
  <c r="C915" i="8" s="1"/>
  <c r="D916" i="8" l="1"/>
  <c r="C916" i="8" s="1"/>
  <c r="D917" i="8" l="1"/>
  <c r="C917" i="8" s="1"/>
  <c r="D918" i="8" l="1"/>
  <c r="C918" i="8" s="1"/>
  <c r="D919" i="8" l="1"/>
  <c r="C919" i="8" s="1"/>
  <c r="D920" i="8" l="1"/>
  <c r="C920" i="8" s="1"/>
  <c r="D921" i="8" l="1"/>
  <c r="C921" i="8" s="1"/>
  <c r="D922" i="8" l="1"/>
  <c r="C922" i="8" s="1"/>
  <c r="D923" i="8" l="1"/>
  <c r="C923" i="8" s="1"/>
  <c r="D924" i="8" l="1"/>
  <c r="C924" i="8" s="1"/>
  <c r="D925" i="8" l="1"/>
  <c r="C925" i="8" s="1"/>
  <c r="D926" i="8" l="1"/>
  <c r="C926" i="8" s="1"/>
  <c r="D927" i="8" l="1"/>
  <c r="C927" i="8" s="1"/>
  <c r="D928" i="8" l="1"/>
  <c r="C928" i="8" s="1"/>
  <c r="D929" i="8" l="1"/>
  <c r="C929" i="8" s="1"/>
  <c r="D930" i="8" l="1"/>
  <c r="C930" i="8" s="1"/>
  <c r="D931" i="8" l="1"/>
  <c r="C931" i="8" s="1"/>
  <c r="D932" i="8" l="1"/>
  <c r="C932" i="8" s="1"/>
  <c r="D933" i="8" l="1"/>
  <c r="C933" i="8" s="1"/>
  <c r="D934" i="8" l="1"/>
  <c r="C934" i="8" s="1"/>
  <c r="D935" i="8" l="1"/>
  <c r="C935" i="8" s="1"/>
  <c r="D936" i="8" l="1"/>
  <c r="C936" i="8" s="1"/>
  <c r="D937" i="8" l="1"/>
  <c r="C937" i="8" s="1"/>
  <c r="D938" i="8" l="1"/>
  <c r="C938" i="8" s="1"/>
  <c r="D939" i="8" l="1"/>
  <c r="C939" i="8" s="1"/>
  <c r="D940" i="8" l="1"/>
  <c r="C940" i="8" s="1"/>
  <c r="D941" i="8" l="1"/>
  <c r="C941" i="8" s="1"/>
  <c r="D942" i="8" l="1"/>
  <c r="C942" i="8" s="1"/>
  <c r="D943" i="8" l="1"/>
  <c r="C943" i="8" s="1"/>
  <c r="D944" i="8" l="1"/>
  <c r="C944" i="8" s="1"/>
  <c r="D945" i="8" l="1"/>
  <c r="C945" i="8" s="1"/>
  <c r="D946" i="8" l="1"/>
  <c r="C946" i="8" s="1"/>
  <c r="D947" i="8" l="1"/>
  <c r="C947" i="8" s="1"/>
  <c r="D948" i="8" l="1"/>
  <c r="C948" i="8" s="1"/>
  <c r="D949" i="8" l="1"/>
  <c r="C949" i="8" s="1"/>
  <c r="D950" i="8" l="1"/>
  <c r="C950" i="8" s="1"/>
  <c r="D951" i="8" l="1"/>
  <c r="C951" i="8" s="1"/>
  <c r="D952" i="8" l="1"/>
  <c r="C952" i="8" s="1"/>
  <c r="D953" i="8" l="1"/>
  <c r="C953" i="8" s="1"/>
  <c r="D954" i="8" l="1"/>
  <c r="C954" i="8" s="1"/>
  <c r="D955" i="8" l="1"/>
  <c r="C955" i="8" s="1"/>
  <c r="D956" i="8" l="1"/>
  <c r="C956" i="8" s="1"/>
  <c r="D957" i="8" l="1"/>
  <c r="C957" i="8" s="1"/>
  <c r="D958" i="8" l="1"/>
  <c r="C958" i="8" s="1"/>
  <c r="D959" i="8" l="1"/>
  <c r="C959" i="8" s="1"/>
  <c r="D960" i="8" l="1"/>
  <c r="C960" i="8" s="1"/>
  <c r="D961" i="8" l="1"/>
  <c r="C961" i="8" s="1"/>
  <c r="D962" i="8" l="1"/>
  <c r="C962" i="8" s="1"/>
  <c r="D963" i="8" l="1"/>
  <c r="C963" i="8" s="1"/>
  <c r="D964" i="8" l="1"/>
  <c r="C964" i="8" s="1"/>
  <c r="D965" i="8" l="1"/>
  <c r="C965" i="8" s="1"/>
  <c r="D966" i="8" l="1"/>
  <c r="C966" i="8" s="1"/>
  <c r="D967" i="8" l="1"/>
  <c r="C967" i="8" s="1"/>
  <c r="D968" i="8" l="1"/>
  <c r="C968" i="8" s="1"/>
  <c r="D969" i="8" l="1"/>
  <c r="C969" i="8" s="1"/>
  <c r="D970" i="8" l="1"/>
  <c r="C970" i="8" s="1"/>
  <c r="D971" i="8" l="1"/>
  <c r="C971" i="8" s="1"/>
  <c r="D972" i="8" l="1"/>
  <c r="C972" i="8" s="1"/>
  <c r="D973" i="8" l="1"/>
  <c r="C973" i="8" s="1"/>
  <c r="D974" i="8" l="1"/>
  <c r="C974" i="8" s="1"/>
  <c r="D975" i="8" l="1"/>
  <c r="C975" i="8" s="1"/>
  <c r="D976" i="8" l="1"/>
  <c r="C976" i="8" s="1"/>
  <c r="D977" i="8" l="1"/>
  <c r="C977" i="8" s="1"/>
  <c r="D978" i="8" l="1"/>
  <c r="C978" i="8" s="1"/>
  <c r="D979" i="8" l="1"/>
  <c r="C979" i="8" s="1"/>
  <c r="D980" i="8" l="1"/>
  <c r="C980" i="8" s="1"/>
  <c r="D981" i="8" l="1"/>
  <c r="C981" i="8" s="1"/>
  <c r="D982" i="8" l="1"/>
  <c r="C982" i="8" s="1"/>
  <c r="D983" i="8" l="1"/>
  <c r="C983" i="8" s="1"/>
  <c r="D984" i="8" l="1"/>
  <c r="C984" i="8" s="1"/>
  <c r="D985" i="8" l="1"/>
  <c r="C985" i="8" s="1"/>
  <c r="D986" i="8" l="1"/>
  <c r="C986" i="8" s="1"/>
  <c r="D987" i="8" l="1"/>
  <c r="C987" i="8" s="1"/>
  <c r="D988" i="8" l="1"/>
  <c r="C988" i="8" s="1"/>
  <c r="D989" i="8" l="1"/>
  <c r="C989" i="8" s="1"/>
  <c r="D990" i="8" l="1"/>
  <c r="C990" i="8" s="1"/>
  <c r="D991" i="8" l="1"/>
  <c r="C991" i="8" s="1"/>
  <c r="D992" i="8" l="1"/>
  <c r="C992" i="8" s="1"/>
  <c r="D993" i="8" l="1"/>
  <c r="C993" i="8" s="1"/>
  <c r="D994" i="8" l="1"/>
  <c r="C994" i="8" s="1"/>
  <c r="D995" i="8" l="1"/>
  <c r="C995" i="8" s="1"/>
  <c r="D996" i="8" l="1"/>
  <c r="C996" i="8" s="1"/>
  <c r="D997" i="8" l="1"/>
  <c r="C997" i="8" s="1"/>
  <c r="D998" i="8" l="1"/>
  <c r="C998" i="8" s="1"/>
  <c r="D999" i="8" l="1"/>
  <c r="C999" i="8" s="1"/>
  <c r="D1000" i="8" l="1"/>
  <c r="C1000" i="8" s="1"/>
  <c r="K8" i="9" l="1"/>
  <c r="M8" i="9" s="1"/>
  <c r="K19" i="9"/>
  <c r="M19" i="9" s="1"/>
  <c r="K24" i="9"/>
  <c r="M24" i="9" s="1"/>
  <c r="K15" i="9"/>
  <c r="M15" i="9" s="1"/>
  <c r="K11" i="9"/>
  <c r="M11" i="9" s="1"/>
  <c r="K9" i="9"/>
  <c r="M9" i="9" s="1"/>
  <c r="K22" i="9"/>
  <c r="M22" i="9" s="1"/>
  <c r="K10" i="9"/>
  <c r="M10" i="9" s="1"/>
  <c r="K12" i="9"/>
  <c r="M12" i="9" s="1"/>
  <c r="K20" i="9"/>
  <c r="M20" i="9" s="1"/>
  <c r="K6" i="9"/>
  <c r="M6" i="9" s="1"/>
  <c r="K25" i="9"/>
  <c r="M25" i="9" s="1"/>
  <c r="K23" i="9"/>
  <c r="M23" i="9" s="1"/>
  <c r="K18" i="9"/>
  <c r="M18" i="9" s="1"/>
  <c r="K21" i="9"/>
  <c r="M21" i="9" s="1"/>
  <c r="K17" i="9"/>
  <c r="M17" i="9" s="1"/>
  <c r="K14" i="9"/>
  <c r="M14" i="9" s="1"/>
  <c r="K16" i="9"/>
  <c r="M16" i="9" s="1"/>
  <c r="K7" i="9"/>
  <c r="M7" i="9" s="1"/>
  <c r="K13" i="9"/>
  <c r="M13" i="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<sst xmlns="http://schemas.openxmlformats.org/spreadsheetml/2006/main" count="250" uniqueCount="216">
  <si>
    <t>Konduktivitet</t>
  </si>
  <si>
    <t>pH</t>
  </si>
  <si>
    <t>Hydrogencarbonat</t>
  </si>
  <si>
    <t>Carbon,org,NVOC</t>
  </si>
  <si>
    <t>Nitrit</t>
  </si>
  <si>
    <t>Nitrat</t>
  </si>
  <si>
    <t>Phosphor, total-P</t>
  </si>
  <si>
    <t>Arsen</t>
  </si>
  <si>
    <t>Bor</t>
  </si>
  <si>
    <t>Calcium</t>
  </si>
  <si>
    <t>Chlorid</t>
  </si>
  <si>
    <t>Fluorid</t>
  </si>
  <si>
    <t>Jern</t>
  </si>
  <si>
    <t>Kalium</t>
  </si>
  <si>
    <t>Magnesium</t>
  </si>
  <si>
    <t>Mangan</t>
  </si>
  <si>
    <t>Natrium</t>
  </si>
  <si>
    <t>Nikkel</t>
  </si>
  <si>
    <t>Sulfat</t>
  </si>
  <si>
    <t>Methan</t>
  </si>
  <si>
    <t>Iltindhold</t>
  </si>
  <si>
    <t>SAMPLEID</t>
  </si>
  <si>
    <t>PLANTID</t>
  </si>
  <si>
    <t>PLANTNAME</t>
  </si>
  <si>
    <t>BOREHOLENO</t>
  </si>
  <si>
    <t>COMPOUNDNO</t>
  </si>
  <si>
    <t>LONG_TEXT</t>
  </si>
  <si>
    <t>SAMPLEDATE</t>
  </si>
  <si>
    <t>ATTRIBUTE</t>
  </si>
  <si>
    <t>AMOUNT</t>
  </si>
  <si>
    <t>V01</t>
  </si>
  <si>
    <t>Offentlige fælles vandforsyningsanlæg</t>
  </si>
  <si>
    <t>V02</t>
  </si>
  <si>
    <t>Private fælles vandforsyningsanlæg</t>
  </si>
  <si>
    <t>V03</t>
  </si>
  <si>
    <t>Husholdninger, 3-9 husstande</t>
  </si>
  <si>
    <t>V04</t>
  </si>
  <si>
    <t>2-9 husstande u. fødevarevirksomhed/kommerciel/offentlig - under 10m3/d</t>
  </si>
  <si>
    <t>V05</t>
  </si>
  <si>
    <t>2-9 husstande m. fødevarevirksomhed/kommerciel/offentlig/over 10m3/d</t>
  </si>
  <si>
    <t>V06</t>
  </si>
  <si>
    <t>1 husstand u. fødevarevirksomhed/kommerciel/offentlig  - under 10m3/d</t>
  </si>
  <si>
    <t>V07</t>
  </si>
  <si>
    <t>1 husstand m. fødevarevirksomhed/kommerciel/offentlig/over 10m3/d</t>
  </si>
  <si>
    <t>V25</t>
  </si>
  <si>
    <t>Kildefeltundersøgelser</t>
  </si>
  <si>
    <t>V30</t>
  </si>
  <si>
    <t>Institutioner o.lign.</t>
  </si>
  <si>
    <t>V40</t>
  </si>
  <si>
    <t>Markvanding</t>
  </si>
  <si>
    <t>V41</t>
  </si>
  <si>
    <t>Sportsplads, park o.lign.</t>
  </si>
  <si>
    <t>V42</t>
  </si>
  <si>
    <t>Havevanding</t>
  </si>
  <si>
    <t>V50</t>
  </si>
  <si>
    <t>Gartneri</t>
  </si>
  <si>
    <t>V51</t>
  </si>
  <si>
    <t>Spiselige afgrøder</t>
  </si>
  <si>
    <t>V52</t>
  </si>
  <si>
    <t>Blomstergartneri</t>
  </si>
  <si>
    <t>V53</t>
  </si>
  <si>
    <t>Planteskole</t>
  </si>
  <si>
    <t>V60</t>
  </si>
  <si>
    <t>Dambrug</t>
  </si>
  <si>
    <t>V70</t>
  </si>
  <si>
    <t>Hotel, Campingplads o.lign.</t>
  </si>
  <si>
    <t>V80</t>
  </si>
  <si>
    <t>Anden erhvervsvirksomhed</t>
  </si>
  <si>
    <t>V81</t>
  </si>
  <si>
    <t>Levnedsmiddelindustri</t>
  </si>
  <si>
    <t>V82</t>
  </si>
  <si>
    <t>Jern og metalindustri</t>
  </si>
  <si>
    <t>V83</t>
  </si>
  <si>
    <t>Papir og trævareindustri</t>
  </si>
  <si>
    <t>V84</t>
  </si>
  <si>
    <t>Grusvask</t>
  </si>
  <si>
    <t>V85</t>
  </si>
  <si>
    <t>Husdyrfarm</t>
  </si>
  <si>
    <t>V86</t>
  </si>
  <si>
    <t>Råstofindvinding under grundvandsspejlet</t>
  </si>
  <si>
    <t>V87</t>
  </si>
  <si>
    <t>Grundvandskøleanlæg</t>
  </si>
  <si>
    <t>V88</t>
  </si>
  <si>
    <t>Mælkeleverandør</t>
  </si>
  <si>
    <t>V90</t>
  </si>
  <si>
    <t>Andet enkeltanlæg</t>
  </si>
  <si>
    <t>V91</t>
  </si>
  <si>
    <t>Varmepumpe med reinjektion</t>
  </si>
  <si>
    <t>V92</t>
  </si>
  <si>
    <t>Varmepumpe uden reinjektion</t>
  </si>
  <si>
    <t>V93</t>
  </si>
  <si>
    <t>Bortledning af vand</t>
  </si>
  <si>
    <t>V94</t>
  </si>
  <si>
    <t>Nødforsyningsanlæg</t>
  </si>
  <si>
    <t>V95</t>
  </si>
  <si>
    <t>Husholdning 1-2 husstande</t>
  </si>
  <si>
    <t>V96</t>
  </si>
  <si>
    <t>Moniteringsboringer</t>
  </si>
  <si>
    <t>V97</t>
  </si>
  <si>
    <t>Forureningsundersøgelser</t>
  </si>
  <si>
    <t>V98</t>
  </si>
  <si>
    <t>GRUMO boringer</t>
  </si>
  <si>
    <t>V99</t>
  </si>
  <si>
    <t>Afværgeanlæg</t>
  </si>
  <si>
    <t>W01</t>
  </si>
  <si>
    <t>Brugerdefineret virksomhed type</t>
  </si>
  <si>
    <t>Valgt anlæg:</t>
  </si>
  <si>
    <t/>
  </si>
  <si>
    <t>Alle anlægstyper</t>
  </si>
  <si>
    <t>Valgt aktiv:</t>
  </si>
  <si>
    <t>Valgt VV</t>
  </si>
  <si>
    <t>ID:</t>
  </si>
  <si>
    <t>Navn:</t>
  </si>
  <si>
    <t>Jupiter-navn:</t>
  </si>
  <si>
    <t>eller</t>
  </si>
  <si>
    <t>Jupiter-ID:</t>
  </si>
  <si>
    <t>Vælg blandt fremsøgte anlæg:</t>
  </si>
  <si>
    <t>evt. anlægstype:</t>
  </si>
  <si>
    <t>evt. status:</t>
  </si>
  <si>
    <t>MOD_TEXT</t>
  </si>
  <si>
    <t>MOD_AMOUNT</t>
  </si>
  <si>
    <t>Borings nr</t>
  </si>
  <si>
    <t>Boring</t>
  </si>
  <si>
    <t>SampleID</t>
  </si>
  <si>
    <t>PrøveDato</t>
  </si>
  <si>
    <t>Amm</t>
  </si>
  <si>
    <t>Kationer, total</t>
  </si>
  <si>
    <t>Anioner, total</t>
  </si>
  <si>
    <t>Ionbalance</t>
  </si>
  <si>
    <t>Ionbytningsgrad</t>
  </si>
  <si>
    <t>Forvitringsgrad</t>
  </si>
  <si>
    <t>Na/Na+Ca</t>
  </si>
  <si>
    <t>mmol Calcium</t>
  </si>
  <si>
    <t>mmol Sulfat</t>
  </si>
  <si>
    <t>Vandtype jf. Geo-vejledning nr 6</t>
  </si>
  <si>
    <t>mg/</t>
  </si>
  <si>
    <t>mg/l</t>
  </si>
  <si>
    <t>ug/l</t>
  </si>
  <si>
    <t>mmol/l</t>
  </si>
  <si>
    <t>Hjælpelinier Ca/SO4 plot:</t>
  </si>
  <si>
    <t>b_1</t>
  </si>
  <si>
    <t>b_2</t>
  </si>
  <si>
    <t>mmol Ca</t>
  </si>
  <si>
    <t>mmol SO4</t>
  </si>
  <si>
    <t>b_3</t>
  </si>
  <si>
    <t>b_4</t>
  </si>
  <si>
    <t>b_5</t>
  </si>
  <si>
    <t>b_6</t>
  </si>
  <si>
    <t>b_7</t>
  </si>
  <si>
    <t>b_8</t>
  </si>
  <si>
    <t>b_9</t>
  </si>
  <si>
    <t>b_10</t>
  </si>
  <si>
    <t>b_11</t>
  </si>
  <si>
    <t>b_12</t>
  </si>
  <si>
    <t>b_13</t>
  </si>
  <si>
    <t>b_14</t>
  </si>
  <si>
    <t>Hjælpelinier Pratt vandtypediagram:</t>
  </si>
  <si>
    <t>Prim akse</t>
  </si>
  <si>
    <t>Sek akse</t>
  </si>
  <si>
    <t>Ferskvandstype</t>
  </si>
  <si>
    <t>Ionbyttet type</t>
  </si>
  <si>
    <t>Blandingstype</t>
  </si>
  <si>
    <t>Saltvandstype</t>
  </si>
  <si>
    <t>Hjælpelinier sulfat/chlorid diagram</t>
  </si>
  <si>
    <t>b_15</t>
  </si>
  <si>
    <t>b_16</t>
  </si>
  <si>
    <t>b_17</t>
  </si>
  <si>
    <t>b_18</t>
  </si>
  <si>
    <t>b_19</t>
  </si>
  <si>
    <t>b_20</t>
  </si>
  <si>
    <t>Beregnet
Hårdhed</t>
  </si>
  <si>
    <t>Calcium/Sulfat-plot til tolkning af pyritoxidation</t>
  </si>
  <si>
    <t>Indtast startkoncentrationer for calcium og sulfat:</t>
  </si>
  <si>
    <t>Ca (mg/l)</t>
  </si>
  <si>
    <t>SO4 (mg/l)</t>
  </si>
  <si>
    <t>Stof der driver pyritoxidationen:</t>
  </si>
  <si>
    <t>CO2'en afgasser</t>
  </si>
  <si>
    <t>Er CO2'en</t>
  </si>
  <si>
    <t>fanget?</t>
  </si>
  <si>
    <t>CO2'en indgår yder-</t>
  </si>
  <si>
    <t>ligere i processen</t>
  </si>
  <si>
    <t>Ilt</t>
  </si>
  <si>
    <t>Omregning af sulfatniveauer</t>
  </si>
  <si>
    <t>SO4 (mg/l):</t>
  </si>
  <si>
    <t>Umættet zone</t>
  </si>
  <si>
    <t>Åbent system hvor</t>
  </si>
  <si>
    <t>Mættet zone</t>
  </si>
  <si>
    <t>Lukket system hvor</t>
  </si>
  <si>
    <t>Fx. Ca: 120 mg/l</t>
  </si>
  <si>
    <t>Fx. SO4: 70 mg/l</t>
  </si>
  <si>
    <t>Saltvandspåvirkning</t>
  </si>
  <si>
    <t>Dæklagets tilstand ift. Nitratfronten</t>
  </si>
  <si>
    <t>Råvandsammensætning ift. havvand</t>
  </si>
  <si>
    <t>Vandtype-diagram (Pratt)</t>
  </si>
  <si>
    <t>Strontium</t>
  </si>
  <si>
    <t>sek akse</t>
  </si>
  <si>
    <t>sulfat bg</t>
  </si>
  <si>
    <t>sulfat v. p.o.</t>
  </si>
  <si>
    <t>Svovlbrinte</t>
  </si>
  <si>
    <t>Sporstoffer</t>
  </si>
  <si>
    <t>DGU-nr:</t>
  </si>
  <si>
    <t>Brug 'Søg analyser' til at fremsøge analyserne</t>
  </si>
  <si>
    <t>Der kan søges analyser fra anlæg og boringer samtidig</t>
  </si>
  <si>
    <t>Der kan søges på flere boringer ved brug af plus-tegnet fx: 12.123+12.124</t>
  </si>
  <si>
    <t>Cl [mg/l]</t>
  </si>
  <si>
    <t>B [ug/l]</t>
  </si>
  <si>
    <t>Sr [ug/l]</t>
  </si>
  <si>
    <t>Mg [mg/l]</t>
  </si>
  <si>
    <t>F [mg/l]</t>
  </si>
  <si>
    <t>Hjælpelinjer - Korrelation i indhold ved opblanding med havvand</t>
  </si>
  <si>
    <t>Skrivekridt, Danienkalk, Lellinge Grønsand/Grønsandskalk og Kerteminde Mergel</t>
  </si>
  <si>
    <t>Særlig relevante parametre for kalkmagasiner: Fluorid, Strontium, Magnesium, Bor</t>
  </si>
  <si>
    <t>Dato Min.:</t>
  </si>
  <si>
    <t>Dato Max.:</t>
  </si>
  <si>
    <t>Intet vandværk er valgt</t>
  </si>
  <si>
    <t>Litteratur: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</si>
</sst>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/mm/dd;@"/>
    <numFmt numFmtId="165" formatCode="0.0%"/>
    <numFmt numFmtId="166" formatCode="yyyy"/>
    <numFmt numFmtId="167" formatCode="0.0"/>
  </numFmts>
  <fonts count="11" x14ac:knownFonts="1">
    <font>
      <sz val="9.5"/>
      <color theme="1"/>
      <name val="Verdana"/>
      <family val="2"/>
      <scheme val="minor"/>
    </font>
    <font>
      <sz val="8"/>
      <color rgb="FF000000"/>
      <name val="Tahoma"/>
      <family val="2"/>
    </font>
    <font>
      <sz val="8"/>
      <color theme="1"/>
      <name val="Verdana"/>
      <family val="2"/>
      <scheme val="minor"/>
    </font>
    <font>
      <b/>
      <sz val="9.5"/>
      <color theme="1"/>
      <name val="Verdana"/>
      <family val="2"/>
      <scheme val="minor"/>
    </font>
    <font>
      <sz val="9.5"/>
      <color rgb="FFFF0000"/>
      <name val="Verdana"/>
      <family val="2"/>
      <scheme val="minor"/>
    </font>
    <font>
      <i/>
      <sz val="9.5"/>
      <color theme="1"/>
      <name val="Verdana"/>
      <family val="2"/>
      <scheme val="minor"/>
    </font>
    <font>
      <sz val="9.5"/>
      <name val="Verdana"/>
      <family val="2"/>
      <scheme val="minor"/>
    </font>
    <font>
      <i/>
      <sz val="9.5"/>
      <name val="Verdana"/>
      <family val="2"/>
      <scheme val="minor"/>
    </font>
    <font>
      <sz val="9.5"/>
      <color rgb="FF000000"/>
      <name val="Verdana"/>
      <family val="2"/>
    </font>
    <font>
      <b/>
      <sz val="8"/>
      <color theme="1"/>
      <name val="Verdana"/>
      <family val="2"/>
      <scheme val="minor"/>
    </font>
    <font>
      <u/>
      <sz val="9.5"/>
      <color theme="10"/>
      <name val="Verdana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 diagonalDown="1">
      <left/>
      <right/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79">
    <xf numFmtId="0" fontId="0" fillId="0" borderId="0" xfId="0"/>
    <xf numFmtId="0" fontId="0" fillId="0" borderId="0" xfId="0" quotePrefix="1"/>
    <xf numFmtId="0" fontId="0" fillId="0" borderId="0" xfId="0" applyAlignment="1">
      <alignment vertical="center" wrapText="1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/>
    <xf numFmtId="14" fontId="0" fillId="3" borderId="0" xfId="0" applyNumberFormat="1" applyFill="1"/>
    <xf numFmtId="164" fontId="0" fillId="0" borderId="0" xfId="0" applyNumberFormat="1"/>
    <xf numFmtId="0" fontId="2" fillId="2" borderId="9" xfId="0" applyFont="1" applyFill="1" applyBorder="1" applyAlignment="1">
      <alignment horizontal="center" vertical="center"/>
    </xf>
    <xf numFmtId="165" fontId="0" fillId="0" borderId="0" xfId="0" applyNumberFormat="1"/>
    <xf numFmtId="2" fontId="0" fillId="0" borderId="0" xfId="0" applyNumberFormat="1"/>
    <xf numFmtId="0" fontId="0" fillId="0" borderId="0" xfId="0" applyProtection="1"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166" fontId="0" fillId="0" borderId="0" xfId="0" applyNumberFormat="1"/>
    <xf numFmtId="1" fontId="0" fillId="0" borderId="0" xfId="0" applyNumberFormat="1"/>
    <xf numFmtId="49" fontId="0" fillId="0" borderId="0" xfId="0" applyNumberFormat="1"/>
    <xf numFmtId="167" fontId="0" fillId="0" borderId="0" xfId="0" applyNumberFormat="1"/>
    <xf numFmtId="0" fontId="3" fillId="0" borderId="0" xfId="0" applyFont="1"/>
    <xf numFmtId="0" fontId="2" fillId="4" borderId="9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 wrapText="1"/>
    </xf>
    <xf numFmtId="0" fontId="2" fillId="9" borderId="9" xfId="0" applyFont="1" applyFill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 wrapText="1"/>
    </xf>
    <xf numFmtId="0" fontId="2" fillId="10" borderId="10" xfId="0" applyFont="1" applyFill="1" applyBorder="1" applyAlignment="1">
      <alignment horizontal="center" vertical="center" wrapText="1"/>
    </xf>
    <xf numFmtId="0" fontId="4" fillId="0" borderId="0" xfId="0" applyFont="1"/>
    <xf numFmtId="0" fontId="5" fillId="0" borderId="0" xfId="0" applyFont="1"/>
    <xf numFmtId="0" fontId="6" fillId="0" borderId="13" xfId="0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6" fillId="0" borderId="22" xfId="0" applyFont="1" applyBorder="1" applyAlignment="1">
      <alignment horizontal="left"/>
    </xf>
    <xf numFmtId="14" fontId="0" fillId="0" borderId="0" xfId="0" applyNumberFormat="1"/>
    <xf numFmtId="0" fontId="3" fillId="0" borderId="13" xfId="0" applyFont="1" applyBorder="1"/>
    <xf numFmtId="0" fontId="0" fillId="0" borderId="13" xfId="0" applyBorder="1"/>
    <xf numFmtId="0" fontId="7" fillId="0" borderId="0" xfId="0" applyFont="1" applyAlignment="1">
      <alignment horizontal="right"/>
    </xf>
    <xf numFmtId="0" fontId="5" fillId="0" borderId="0" xfId="0" quotePrefix="1" applyFont="1" applyAlignment="1">
      <alignment horizontal="right"/>
    </xf>
    <xf numFmtId="2" fontId="0" fillId="0" borderId="22" xfId="0" applyNumberFormat="1" applyBorder="1"/>
    <xf numFmtId="2" fontId="0" fillId="0" borderId="16" xfId="0" applyNumberFormat="1" applyBorder="1"/>
    <xf numFmtId="0" fontId="0" fillId="0" borderId="11" xfId="0" applyBorder="1"/>
    <xf numFmtId="0" fontId="0" fillId="0" borderId="12" xfId="0" applyBorder="1"/>
    <xf numFmtId="0" fontId="0" fillId="2" borderId="0" xfId="0" applyFill="1" applyAlignment="1">
      <alignment horizontal="left"/>
    </xf>
    <xf numFmtId="0" fontId="0" fillId="11" borderId="0" xfId="0" applyFill="1"/>
    <xf numFmtId="0" fontId="0" fillId="11" borderId="1" xfId="0" applyFill="1" applyBorder="1"/>
    <xf numFmtId="0" fontId="0" fillId="11" borderId="2" xfId="0" applyFill="1" applyBorder="1"/>
    <xf numFmtId="0" fontId="0" fillId="11" borderId="3" xfId="0" applyFill="1" applyBorder="1"/>
    <xf numFmtId="0" fontId="0" fillId="11" borderId="4" xfId="0" applyFill="1" applyBorder="1"/>
    <xf numFmtId="0" fontId="0" fillId="11" borderId="0" xfId="0" applyFill="1" applyAlignment="1">
      <alignment horizontal="left"/>
    </xf>
    <xf numFmtId="0" fontId="0" fillId="11" borderId="5" xfId="0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1" fontId="3" fillId="2" borderId="0" xfId="0" applyNumberFormat="1" applyFont="1" applyFill="1"/>
    <xf numFmtId="0" fontId="3" fillId="2" borderId="0" xfId="0" applyFont="1" applyFill="1"/>
    <xf numFmtId="49" fontId="0" fillId="2" borderId="0" xfId="0" applyNumberFormat="1" applyFill="1"/>
    <xf numFmtId="0" fontId="2" fillId="0" borderId="13" xfId="0" applyFont="1" applyBorder="1"/>
    <xf numFmtId="14" fontId="2" fillId="2" borderId="0" xfId="0" applyNumberFormat="1" applyFont="1" applyFill="1"/>
    <xf numFmtId="0" fontId="0" fillId="11" borderId="24" xfId="0" applyFill="1" applyBorder="1"/>
    <xf numFmtId="0" fontId="0" fillId="11" borderId="18" xfId="0" applyFill="1" applyBorder="1"/>
    <xf numFmtId="0" fontId="0" fillId="11" borderId="19" xfId="0" applyFill="1" applyBorder="1"/>
    <xf numFmtId="0" fontId="9" fillId="2" borderId="22" xfId="0" applyFont="1" applyFill="1" applyBorder="1"/>
    <xf numFmtId="0" fontId="0" fillId="11" borderId="16" xfId="0" applyFill="1" applyBorder="1"/>
    <xf numFmtId="0" fontId="0" fillId="11" borderId="23" xfId="0" applyFill="1" applyBorder="1"/>
    <xf numFmtId="14" fontId="0" fillId="11" borderId="15" xfId="0" applyNumberFormat="1" applyFill="1" applyBorder="1"/>
    <xf numFmtId="0" fontId="0" fillId="11" borderId="15" xfId="0" applyFill="1" applyBorder="1"/>
    <xf numFmtId="0" fontId="0" fillId="11" borderId="17" xfId="0" applyFill="1" applyBorder="1"/>
    <xf numFmtId="0" fontId="10" fillId="0" borderId="0" xfId="1" applyAlignment="1">
      <alignment horizontal="left"/>
    </xf>
  </cellXfs>
  <cellStyles count="2">
    <cellStyle name="Link" xfId="1" builtinId="8"/>
    <cellStyle name="Normal" xfId="0" builtinId="0" customBuiltin="1"/>
  </cellStyles>
  <dxfs count="1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9" defaultPivotStyle="PivotStyleLight16"/>
  <colors>
    <mruColors>
      <color rgb="FFDCB43C"/>
      <color rgb="FF0032DC"/>
      <color rgb="FF00D2D2"/>
      <color rgb="FFFA00FA"/>
      <color rgb="FF828278"/>
      <color rgb="FFFF7832"/>
      <color rgb="FF328CFF"/>
      <color rgb="FF00C800"/>
      <color rgb="FF3296FF"/>
      <color rgb="FF32DC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[0]!b_1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[0]!dato_1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5B-4B3E-BB0E-CA85DB9FD7FC}"/>
            </c:ext>
          </c:extLst>
        </c:ser>
        <c:ser>
          <c:idx val="1"/>
          <c:order val="1"/>
          <c:tx>
            <c:strRef>
              <c:f>[0]!b_2</c:f>
              <c:strCache>
                <c:ptCount val="1"/>
              </c:strCache>
            </c:strRef>
          </c:tx>
          <c:spPr>
            <a:ln w="12700">
              <a:solidFill>
                <a:srgbClr val="50D25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[0]!dato_2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5B-4B3E-BB0E-CA85DB9FD7FC}"/>
            </c:ext>
          </c:extLst>
        </c:ser>
        <c:ser>
          <c:idx val="2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12700">
              <a:solidFill>
                <a:srgbClr val="0078C8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C5B-4B3E-BB0E-CA85DB9FD7FC}"/>
            </c:ext>
          </c:extLst>
        </c:ser>
        <c:ser>
          <c:idx val="3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12700">
              <a:solidFill>
                <a:srgbClr val="FF9646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C5B-4B3E-BB0E-CA85DB9FD7FC}"/>
            </c:ext>
          </c:extLst>
        </c:ser>
        <c:ser>
          <c:idx val="4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12700">
              <a:solidFill>
                <a:srgbClr val="96968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C5B-4B3E-BB0E-CA85DB9FD7FC}"/>
            </c:ext>
          </c:extLst>
        </c:ser>
        <c:ser>
          <c:idx val="5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12700">
              <a:solidFill>
                <a:srgbClr val="FA00FA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C5B-4B3E-BB0E-CA85DB9FD7FC}"/>
            </c:ext>
          </c:extLst>
        </c:ser>
        <c:ser>
          <c:idx val="6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12700">
              <a:solidFill>
                <a:srgbClr val="00D2D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C5B-4B3E-BB0E-CA85DB9FD7FC}"/>
            </c:ext>
          </c:extLst>
        </c:ser>
        <c:ser>
          <c:idx val="7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C5B-4B3E-BB0E-CA85DB9FD7FC}"/>
            </c:ext>
          </c:extLst>
        </c:ser>
        <c:ser>
          <c:idx val="8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C5B-4B3E-BB0E-CA85DB9FD7FC}"/>
            </c:ext>
          </c:extLst>
        </c:ser>
        <c:ser>
          <c:idx val="9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C5B-4B3E-BB0E-CA85DB9FD7FC}"/>
            </c:ext>
          </c:extLst>
        </c:ser>
        <c:ser>
          <c:idx val="10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12700">
              <a:solidFill>
                <a:srgbClr val="B4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C5B-4B3E-BB0E-CA85DB9FD7FC}"/>
            </c:ext>
          </c:extLst>
        </c:ser>
        <c:ser>
          <c:idx val="11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12700">
              <a:solidFill>
                <a:srgbClr val="0082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C5B-4B3E-BB0E-CA85DB9FD7FC}"/>
            </c:ext>
          </c:extLst>
        </c:ser>
        <c:ser>
          <c:idx val="12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12700">
              <a:solidFill>
                <a:srgbClr val="0064C8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C5B-4B3E-BB0E-CA85DB9FD7FC}"/>
            </c:ext>
          </c:extLst>
        </c:ser>
        <c:ser>
          <c:idx val="13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12700">
              <a:solidFill>
                <a:srgbClr val="E6643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C5B-4B3E-BB0E-CA85DB9FD7FC}"/>
            </c:ext>
          </c:extLst>
        </c:ser>
        <c:ser>
          <c:idx val="14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12700">
              <a:solidFill>
                <a:srgbClr val="6E6E6E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3C5B-4B3E-BB0E-CA85DB9FD7FC}"/>
            </c:ext>
          </c:extLst>
        </c:ser>
        <c:ser>
          <c:idx val="15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12700">
              <a:solidFill>
                <a:srgbClr val="D200D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3C5B-4B3E-BB0E-CA85DB9FD7FC}"/>
            </c:ext>
          </c:extLst>
        </c:ser>
        <c:ser>
          <c:idx val="16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12700">
              <a:solidFill>
                <a:srgbClr val="00B4B4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3C5B-4B3E-BB0E-CA85DB9FD7FC}"/>
            </c:ext>
          </c:extLst>
        </c:ser>
        <c:ser>
          <c:idx val="17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3C5B-4B3E-BB0E-CA85DB9FD7FC}"/>
            </c:ext>
          </c:extLst>
        </c:ser>
        <c:ser>
          <c:idx val="18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C5B-4B3E-BB0E-CA85DB9FD7FC}"/>
            </c:ext>
          </c:extLst>
        </c:ser>
        <c:ser>
          <c:idx val="19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3C5B-4B3E-BB0E-CA85DB9FD7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590976"/>
        <c:axId val="192592896"/>
      </c:scatterChart>
      <c:valAx>
        <c:axId val="192590976"/>
        <c:scaling>
          <c:orientation val="minMax"/>
          <c:max val="44562"/>
          <c:min val="36526"/>
        </c:scaling>
        <c:delete val="0"/>
        <c:axPos val="b"/>
        <c:numFmt formatCode="yy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192592896"/>
        <c:crosses val="autoZero"/>
        <c:crossBetween val="midCat"/>
        <c:majorUnit val="731"/>
      </c:valAx>
      <c:valAx>
        <c:axId val="19259289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Chlorid</a:t>
                </a:r>
                <a:r>
                  <a:rPr lang="da-DK" baseline="0"/>
                  <a:t> </a:t>
                </a:r>
                <a:r>
                  <a:rPr lang="da-DK"/>
                  <a:t>mg/l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92590976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46937657720099"/>
          <c:y val="1.3732977492496275E-2"/>
          <c:w val="0.73105602651322332"/>
          <c:h val="0.51289524892619209"/>
        </c:manualLayout>
      </c:layout>
      <c:scatterChart>
        <c:scatterStyle val="lineMarker"/>
        <c:varyColors val="0"/>
        <c:ser>
          <c:idx val="4"/>
          <c:order val="0"/>
          <c:tx>
            <c:strRef>
              <c:f>[0]!b_1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[0]!Sulfat_1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06-409F-9891-7BB74796EBE7}"/>
            </c:ext>
          </c:extLst>
        </c:ser>
        <c:ser>
          <c:idx val="5"/>
          <c:order val="1"/>
          <c:tx>
            <c:strRef>
              <c:f>[0]!b_2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[0]!Sulfat_2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06-409F-9891-7BB74796EBE7}"/>
            </c:ext>
          </c:extLst>
        </c:ser>
        <c:ser>
          <c:idx val="6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[0]!Sulfat_3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E06-409F-9891-7BB74796EBE7}"/>
            </c:ext>
          </c:extLst>
        </c:ser>
        <c:ser>
          <c:idx val="7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[0]!Sulfat_4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E06-409F-9891-7BB74796EBE7}"/>
            </c:ext>
          </c:extLst>
        </c:ser>
        <c:ser>
          <c:idx val="8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[0]!Sulfat_5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E06-409F-9891-7BB74796EBE7}"/>
            </c:ext>
          </c:extLst>
        </c:ser>
        <c:ser>
          <c:idx val="9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[0]!Sulfat_6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E06-409F-9891-7BB74796EBE7}"/>
            </c:ext>
          </c:extLst>
        </c:ser>
        <c:ser>
          <c:idx val="13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[0]!Sulfat_7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E06-409F-9891-7BB74796EBE7}"/>
            </c:ext>
          </c:extLst>
        </c:ser>
        <c:ser>
          <c:idx val="14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[0]!Sulfat_8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E06-409F-9891-7BB74796EBE7}"/>
            </c:ext>
          </c:extLst>
        </c:ser>
        <c:ser>
          <c:idx val="15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[0]!Sulfat_9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E06-409F-9891-7BB74796EBE7}"/>
            </c:ext>
          </c:extLst>
        </c:ser>
        <c:ser>
          <c:idx val="16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[0]!Sulfat_10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E06-409F-9891-7BB74796EBE7}"/>
            </c:ext>
          </c:extLst>
        </c:ser>
        <c:ser>
          <c:idx val="17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[0]!Sulfat_11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E06-409F-9891-7BB74796EBE7}"/>
            </c:ext>
          </c:extLst>
        </c:ser>
        <c:ser>
          <c:idx val="18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[0]!Sulfat_12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E06-409F-9891-7BB74796EBE7}"/>
            </c:ext>
          </c:extLst>
        </c:ser>
        <c:ser>
          <c:idx val="19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[0]!Sulfat_13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E06-409F-9891-7BB74796EBE7}"/>
            </c:ext>
          </c:extLst>
        </c:ser>
        <c:ser>
          <c:idx val="20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[0]!Sulfat_14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E06-409F-9891-7BB74796EBE7}"/>
            </c:ext>
          </c:extLst>
        </c:ser>
        <c:ser>
          <c:idx val="21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[0]!Sulfat_15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E06-409F-9891-7BB74796EBE7}"/>
            </c:ext>
          </c:extLst>
        </c:ser>
        <c:ser>
          <c:idx val="22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[0]!Sulfat_16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E06-409F-9891-7BB74796EBE7}"/>
            </c:ext>
          </c:extLst>
        </c:ser>
        <c:ser>
          <c:idx val="23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[0]!Sulfat_17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FE06-409F-9891-7BB74796EBE7}"/>
            </c:ext>
          </c:extLst>
        </c:ser>
        <c:ser>
          <c:idx val="24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[0]!Sulfat_18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FE06-409F-9891-7BB74796EBE7}"/>
            </c:ext>
          </c:extLst>
        </c:ser>
        <c:ser>
          <c:idx val="25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[0]!Sulfat_19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FE06-409F-9891-7BB74796EBE7}"/>
            </c:ext>
          </c:extLst>
        </c:ser>
        <c:ser>
          <c:idx val="26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[0]!Sulfat_20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FE06-409F-9891-7BB74796EB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79776"/>
        <c:axId val="227586432"/>
      </c:scatterChart>
      <c:valAx>
        <c:axId val="227579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Sulfat (mg/l)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7586432"/>
        <c:crosses val="autoZero"/>
        <c:crossBetween val="midCat"/>
      </c:valAx>
      <c:valAx>
        <c:axId val="22758643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 baseline="0"/>
                  <a:t>Nitrat (mg/l</a:t>
                </a:r>
                <a:r>
                  <a:rPr lang="da-DK"/>
                  <a:t>)</a:t>
                </a:r>
              </a:p>
            </c:rich>
          </c:tx>
          <c:layout>
            <c:manualLayout>
              <c:xMode val="edge"/>
              <c:yMode val="edge"/>
              <c:x val="4.6148462097211185E-2"/>
              <c:y val="0.20725025235597272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227579776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layout>
        <c:manualLayout>
          <c:xMode val="edge"/>
          <c:yMode val="edge"/>
          <c:x val="7.6322222222222208E-3"/>
          <c:y val="0.66476527777777783"/>
          <c:w val="0.99236777777777774"/>
          <c:h val="0.31759583333333335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46937657720099"/>
          <c:y val="1.3732977492496275E-2"/>
          <c:w val="0.73105602651322332"/>
          <c:h val="0.51289524892619209"/>
        </c:manualLayout>
      </c:layout>
      <c:scatterChart>
        <c:scatterStyle val="lineMarker"/>
        <c:varyColors val="0"/>
        <c:ser>
          <c:idx val="4"/>
          <c:order val="0"/>
          <c:tx>
            <c:strRef>
              <c:f>[0]!b_1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[0]!Sulfat_1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57-4ACE-988A-B946144A26E9}"/>
            </c:ext>
          </c:extLst>
        </c:ser>
        <c:ser>
          <c:idx val="5"/>
          <c:order val="1"/>
          <c:tx>
            <c:strRef>
              <c:f>[0]!b_2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[0]!Sulfat_2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57-4ACE-988A-B946144A26E9}"/>
            </c:ext>
          </c:extLst>
        </c:ser>
        <c:ser>
          <c:idx val="6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[0]!Sulfat_3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257-4ACE-988A-B946144A26E9}"/>
            </c:ext>
          </c:extLst>
        </c:ser>
        <c:ser>
          <c:idx val="7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[0]!Sulfat_4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257-4ACE-988A-B946144A26E9}"/>
            </c:ext>
          </c:extLst>
        </c:ser>
        <c:ser>
          <c:idx val="8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[0]!Sulfat_5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257-4ACE-988A-B946144A26E9}"/>
            </c:ext>
          </c:extLst>
        </c:ser>
        <c:ser>
          <c:idx val="9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[0]!Sulfat_6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257-4ACE-988A-B946144A26E9}"/>
            </c:ext>
          </c:extLst>
        </c:ser>
        <c:ser>
          <c:idx val="13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[0]!Sulfat_7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257-4ACE-988A-B946144A26E9}"/>
            </c:ext>
          </c:extLst>
        </c:ser>
        <c:ser>
          <c:idx val="14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[0]!Sulfat_8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257-4ACE-988A-B946144A26E9}"/>
            </c:ext>
          </c:extLst>
        </c:ser>
        <c:ser>
          <c:idx val="15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[0]!Sulfat_9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257-4ACE-988A-B946144A26E9}"/>
            </c:ext>
          </c:extLst>
        </c:ser>
        <c:ser>
          <c:idx val="16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[0]!Sulfat_10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257-4ACE-988A-B946144A26E9}"/>
            </c:ext>
          </c:extLst>
        </c:ser>
        <c:ser>
          <c:idx val="17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[0]!Sulfat_11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257-4ACE-988A-B946144A26E9}"/>
            </c:ext>
          </c:extLst>
        </c:ser>
        <c:ser>
          <c:idx val="18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[0]!Sulfat_12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257-4ACE-988A-B946144A26E9}"/>
            </c:ext>
          </c:extLst>
        </c:ser>
        <c:ser>
          <c:idx val="19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[0]!Sulfat_13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257-4ACE-988A-B946144A26E9}"/>
            </c:ext>
          </c:extLst>
        </c:ser>
        <c:ser>
          <c:idx val="20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[0]!Sulfat_14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257-4ACE-988A-B946144A26E9}"/>
            </c:ext>
          </c:extLst>
        </c:ser>
        <c:ser>
          <c:idx val="21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[0]!Sulfat_15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3257-4ACE-988A-B946144A26E9}"/>
            </c:ext>
          </c:extLst>
        </c:ser>
        <c:ser>
          <c:idx val="22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[0]!Sulfat_16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3257-4ACE-988A-B946144A26E9}"/>
            </c:ext>
          </c:extLst>
        </c:ser>
        <c:ser>
          <c:idx val="23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[0]!Sulfat_17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3257-4ACE-988A-B946144A26E9}"/>
            </c:ext>
          </c:extLst>
        </c:ser>
        <c:ser>
          <c:idx val="24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[0]!Sulfat_18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3257-4ACE-988A-B946144A26E9}"/>
            </c:ext>
          </c:extLst>
        </c:ser>
        <c:ser>
          <c:idx val="25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[0]!Sulfat_19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257-4ACE-988A-B946144A26E9}"/>
            </c:ext>
          </c:extLst>
        </c:ser>
        <c:ser>
          <c:idx val="26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[0]!Sulfat_20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3257-4ACE-988A-B946144A2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40672"/>
        <c:axId val="227771904"/>
      </c:scatterChart>
      <c:valAx>
        <c:axId val="227740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Sulfat (mg/l)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7771904"/>
        <c:crosses val="autoZero"/>
        <c:crossBetween val="midCat"/>
      </c:valAx>
      <c:valAx>
        <c:axId val="227771904"/>
        <c:scaling>
          <c:orientation val="minMax"/>
          <c:max val="550"/>
          <c:min val="10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Hydrogenkarbonat</a:t>
                </a:r>
                <a:r>
                  <a:rPr lang="da-DK" baseline="0"/>
                  <a:t> (mg/l</a:t>
                </a:r>
                <a:r>
                  <a:rPr lang="da-DK"/>
                  <a:t>l)</a:t>
                </a:r>
              </a:p>
            </c:rich>
          </c:tx>
          <c:layout>
            <c:manualLayout>
              <c:xMode val="edge"/>
              <c:yMode val="edge"/>
              <c:x val="3.0526102435484641E-2"/>
              <c:y val="6.7125746875454959E-2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227740672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layout>
        <c:manualLayout>
          <c:xMode val="edge"/>
          <c:yMode val="edge"/>
          <c:x val="7.6322222222222208E-3"/>
          <c:y val="0.66476527777777783"/>
          <c:w val="0.99236777777777774"/>
          <c:h val="0.31759583333333335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46937657720099"/>
          <c:y val="1.3732977492496275E-2"/>
          <c:w val="0.73105602651322332"/>
          <c:h val="0.51289524892619209"/>
        </c:manualLayout>
      </c:layout>
      <c:scatterChart>
        <c:scatterStyle val="lineMarker"/>
        <c:varyColors val="0"/>
        <c:ser>
          <c:idx val="4"/>
          <c:order val="0"/>
          <c:tx>
            <c:strRef>
              <c:f>[0]!b_1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[0]!Ig_1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28-4676-8DC4-EE20DFA9A025}"/>
            </c:ext>
          </c:extLst>
        </c:ser>
        <c:ser>
          <c:idx val="5"/>
          <c:order val="1"/>
          <c:tx>
            <c:strRef>
              <c:f>[0]!b_2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[0]!Ig_2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28-4676-8DC4-EE20DFA9A025}"/>
            </c:ext>
          </c:extLst>
        </c:ser>
        <c:ser>
          <c:idx val="6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[0]!Ig_3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28-4676-8DC4-EE20DFA9A025}"/>
            </c:ext>
          </c:extLst>
        </c:ser>
        <c:ser>
          <c:idx val="7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[0]!Ig_4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28-4676-8DC4-EE20DFA9A025}"/>
            </c:ext>
          </c:extLst>
        </c:ser>
        <c:ser>
          <c:idx val="8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[0]!Ig_5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528-4676-8DC4-EE20DFA9A025}"/>
            </c:ext>
          </c:extLst>
        </c:ser>
        <c:ser>
          <c:idx val="9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[0]!Ig_6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528-4676-8DC4-EE20DFA9A025}"/>
            </c:ext>
          </c:extLst>
        </c:ser>
        <c:ser>
          <c:idx val="13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[0]!Ig_7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528-4676-8DC4-EE20DFA9A025}"/>
            </c:ext>
          </c:extLst>
        </c:ser>
        <c:ser>
          <c:idx val="14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[0]!Ig_8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528-4676-8DC4-EE20DFA9A025}"/>
            </c:ext>
          </c:extLst>
        </c:ser>
        <c:ser>
          <c:idx val="15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[0]!Ig_9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528-4676-8DC4-EE20DFA9A025}"/>
            </c:ext>
          </c:extLst>
        </c:ser>
        <c:ser>
          <c:idx val="16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[0]!Ig_10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528-4676-8DC4-EE20DFA9A025}"/>
            </c:ext>
          </c:extLst>
        </c:ser>
        <c:ser>
          <c:idx val="17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[0]!Ig_11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528-4676-8DC4-EE20DFA9A025}"/>
            </c:ext>
          </c:extLst>
        </c:ser>
        <c:ser>
          <c:idx val="18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[0]!Ig_12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528-4676-8DC4-EE20DFA9A025}"/>
            </c:ext>
          </c:extLst>
        </c:ser>
        <c:ser>
          <c:idx val="19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[0]!Ig_13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528-4676-8DC4-EE20DFA9A025}"/>
            </c:ext>
          </c:extLst>
        </c:ser>
        <c:ser>
          <c:idx val="20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[0]!Ig_14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528-4676-8DC4-EE20DFA9A025}"/>
            </c:ext>
          </c:extLst>
        </c:ser>
        <c:ser>
          <c:idx val="21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[0]!Ig_15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3528-4676-8DC4-EE20DFA9A025}"/>
            </c:ext>
          </c:extLst>
        </c:ser>
        <c:ser>
          <c:idx val="22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[0]!Ig_16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3528-4676-8DC4-EE20DFA9A025}"/>
            </c:ext>
          </c:extLst>
        </c:ser>
        <c:ser>
          <c:idx val="23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[0]!Ig_17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3528-4676-8DC4-EE20DFA9A025}"/>
            </c:ext>
          </c:extLst>
        </c:ser>
        <c:ser>
          <c:idx val="24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[0]!Ig_18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3528-4676-8DC4-EE20DFA9A025}"/>
            </c:ext>
          </c:extLst>
        </c:ser>
        <c:ser>
          <c:idx val="25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[0]!Ig_19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528-4676-8DC4-EE20DFA9A025}"/>
            </c:ext>
          </c:extLst>
        </c:ser>
        <c:ser>
          <c:idx val="26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[0]!Ig_20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3528-4676-8DC4-EE20DFA9A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127104"/>
        <c:axId val="228129408"/>
      </c:scatterChart>
      <c:valAx>
        <c:axId val="228127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Ionbytningsgrad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8129408"/>
        <c:crosses val="autoZero"/>
        <c:crossBetween val="midCat"/>
      </c:valAx>
      <c:valAx>
        <c:axId val="22812940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Forvitringsgrad</a:t>
                </a:r>
              </a:p>
            </c:rich>
          </c:tx>
          <c:layout>
            <c:manualLayout>
              <c:xMode val="edge"/>
              <c:yMode val="edge"/>
              <c:x val="3.0526196814882067E-2"/>
              <c:y val="0.14914984764453851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228127104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layout>
        <c:manualLayout>
          <c:xMode val="edge"/>
          <c:yMode val="edge"/>
          <c:x val="7.6322222222222208E-3"/>
          <c:y val="0.66476527777777783"/>
          <c:w val="0.99236777777777774"/>
          <c:h val="0.31759583333333335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[0]!b_1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[0]!dato_1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1A-40AC-926D-FE1F0FDE2684}"/>
            </c:ext>
          </c:extLst>
        </c:ser>
        <c:ser>
          <c:idx val="1"/>
          <c:order val="1"/>
          <c:tx>
            <c:strRef>
              <c:f>[0]!b_2</c:f>
              <c:strCache>
                <c:ptCount val="1"/>
              </c:strCache>
            </c:strRef>
          </c:tx>
          <c:spPr>
            <a:ln w="12700">
              <a:solidFill>
                <a:srgbClr val="50D25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[0]!dato_2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A-40AC-926D-FE1F0FDE2684}"/>
            </c:ext>
          </c:extLst>
        </c:ser>
        <c:ser>
          <c:idx val="2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12700">
              <a:solidFill>
                <a:srgbClr val="0078C8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1A-40AC-926D-FE1F0FDE2684}"/>
            </c:ext>
          </c:extLst>
        </c:ser>
        <c:ser>
          <c:idx val="3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12700">
              <a:solidFill>
                <a:srgbClr val="FF9646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C1A-40AC-926D-FE1F0FDE2684}"/>
            </c:ext>
          </c:extLst>
        </c:ser>
        <c:ser>
          <c:idx val="4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12700">
              <a:solidFill>
                <a:srgbClr val="96968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C1A-40AC-926D-FE1F0FDE2684}"/>
            </c:ext>
          </c:extLst>
        </c:ser>
        <c:ser>
          <c:idx val="5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12700">
              <a:solidFill>
                <a:srgbClr val="FA00FA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C1A-40AC-926D-FE1F0FDE2684}"/>
            </c:ext>
          </c:extLst>
        </c:ser>
        <c:ser>
          <c:idx val="6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12700">
              <a:solidFill>
                <a:srgbClr val="00D2D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C1A-40AC-926D-FE1F0FDE2684}"/>
            </c:ext>
          </c:extLst>
        </c:ser>
        <c:ser>
          <c:idx val="7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C1A-40AC-926D-FE1F0FDE2684}"/>
            </c:ext>
          </c:extLst>
        </c:ser>
        <c:ser>
          <c:idx val="8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C1A-40AC-926D-FE1F0FDE2684}"/>
            </c:ext>
          </c:extLst>
        </c:ser>
        <c:ser>
          <c:idx val="9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C1A-40AC-926D-FE1F0FDE2684}"/>
            </c:ext>
          </c:extLst>
        </c:ser>
        <c:ser>
          <c:idx val="10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12700">
              <a:solidFill>
                <a:srgbClr val="B4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C1A-40AC-926D-FE1F0FDE2684}"/>
            </c:ext>
          </c:extLst>
        </c:ser>
        <c:ser>
          <c:idx val="11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12700">
              <a:solidFill>
                <a:srgbClr val="0082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C1A-40AC-926D-FE1F0FDE2684}"/>
            </c:ext>
          </c:extLst>
        </c:ser>
        <c:ser>
          <c:idx val="12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12700">
              <a:solidFill>
                <a:srgbClr val="0064C8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C1A-40AC-926D-FE1F0FDE2684}"/>
            </c:ext>
          </c:extLst>
        </c:ser>
        <c:ser>
          <c:idx val="13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12700">
              <a:solidFill>
                <a:srgbClr val="E6643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C1A-40AC-926D-FE1F0FDE2684}"/>
            </c:ext>
          </c:extLst>
        </c:ser>
        <c:ser>
          <c:idx val="14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12700">
              <a:solidFill>
                <a:srgbClr val="6E6E6E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C1A-40AC-926D-FE1F0FDE2684}"/>
            </c:ext>
          </c:extLst>
        </c:ser>
        <c:ser>
          <c:idx val="15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12700">
              <a:solidFill>
                <a:srgbClr val="D200D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C1A-40AC-926D-FE1F0FDE2684}"/>
            </c:ext>
          </c:extLst>
        </c:ser>
        <c:ser>
          <c:idx val="16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12700">
              <a:solidFill>
                <a:srgbClr val="00B4B4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C1A-40AC-926D-FE1F0FDE2684}"/>
            </c:ext>
          </c:extLst>
        </c:ser>
        <c:ser>
          <c:idx val="17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C1A-40AC-926D-FE1F0FDE2684}"/>
            </c:ext>
          </c:extLst>
        </c:ser>
        <c:ser>
          <c:idx val="18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C1A-40AC-926D-FE1F0FDE2684}"/>
            </c:ext>
          </c:extLst>
        </c:ser>
        <c:ser>
          <c:idx val="19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C1A-40AC-926D-FE1F0FDE26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052352"/>
        <c:axId val="228058624"/>
      </c:scatterChart>
      <c:valAx>
        <c:axId val="228052352"/>
        <c:scaling>
          <c:orientation val="minMax"/>
          <c:max val="44562"/>
          <c:min val="36526"/>
        </c:scaling>
        <c:delete val="0"/>
        <c:axPos val="b"/>
        <c:numFmt formatCode="yy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8058624"/>
        <c:crosses val="autoZero"/>
        <c:crossBetween val="midCat"/>
        <c:majorUnit val="731"/>
      </c:valAx>
      <c:valAx>
        <c:axId val="22805862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Sulfat</a:t>
                </a:r>
                <a:r>
                  <a:rPr lang="da-DK" baseline="0"/>
                  <a:t> </a:t>
                </a:r>
                <a:r>
                  <a:rPr lang="da-DK"/>
                  <a:t>mg/l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28052352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94037037037037"/>
          <c:y val="1.3732977492496275E-2"/>
          <c:w val="0.813585"/>
          <c:h val="0.52998349691837132"/>
        </c:manualLayout>
      </c:layout>
      <c:scatterChart>
        <c:scatterStyle val="lineMarker"/>
        <c:varyColors val="0"/>
        <c:ser>
          <c:idx val="4"/>
          <c:order val="0"/>
          <c:tx>
            <c:strRef>
              <c:f>[0]!b_1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[0]!Cl_1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FA-4F9A-AEEC-9064B204B804}"/>
            </c:ext>
          </c:extLst>
        </c:ser>
        <c:ser>
          <c:idx val="5"/>
          <c:order val="1"/>
          <c:tx>
            <c:strRef>
              <c:f>[0]!b_2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[0]!Cl_2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FA-4F9A-AEEC-9064B204B804}"/>
            </c:ext>
          </c:extLst>
        </c:ser>
        <c:ser>
          <c:idx val="6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[0]!Cl_3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5FA-4F9A-AEEC-9064B204B804}"/>
            </c:ext>
          </c:extLst>
        </c:ser>
        <c:ser>
          <c:idx val="7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[0]!Cl_4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5FA-4F9A-AEEC-9064B204B804}"/>
            </c:ext>
          </c:extLst>
        </c:ser>
        <c:ser>
          <c:idx val="8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[0]!Cl_5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5FA-4F9A-AEEC-9064B204B804}"/>
            </c:ext>
          </c:extLst>
        </c:ser>
        <c:ser>
          <c:idx val="9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[0]!Cl_6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5FA-4F9A-AEEC-9064B204B804}"/>
            </c:ext>
          </c:extLst>
        </c:ser>
        <c:ser>
          <c:idx val="13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[0]!Cl_7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5FA-4F9A-AEEC-9064B204B804}"/>
            </c:ext>
          </c:extLst>
        </c:ser>
        <c:ser>
          <c:idx val="14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[0]!Cl_8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5FA-4F9A-AEEC-9064B204B804}"/>
            </c:ext>
          </c:extLst>
        </c:ser>
        <c:ser>
          <c:idx val="15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[0]!Cl_9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5FA-4F9A-AEEC-9064B204B804}"/>
            </c:ext>
          </c:extLst>
        </c:ser>
        <c:ser>
          <c:idx val="16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[0]!Cl_10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5FA-4F9A-AEEC-9064B204B804}"/>
            </c:ext>
          </c:extLst>
        </c:ser>
        <c:ser>
          <c:idx val="17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[0]!Cl_11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5FA-4F9A-AEEC-9064B204B804}"/>
            </c:ext>
          </c:extLst>
        </c:ser>
        <c:ser>
          <c:idx val="18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[0]!Cl_12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5FA-4F9A-AEEC-9064B204B804}"/>
            </c:ext>
          </c:extLst>
        </c:ser>
        <c:ser>
          <c:idx val="19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[0]!Cl_13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5FA-4F9A-AEEC-9064B204B804}"/>
            </c:ext>
          </c:extLst>
        </c:ser>
        <c:ser>
          <c:idx val="20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[0]!Cl_14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65FA-4F9A-AEEC-9064B204B804}"/>
            </c:ext>
          </c:extLst>
        </c:ser>
        <c:ser>
          <c:idx val="21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[0]!Cl_15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5FA-4F9A-AEEC-9064B204B804}"/>
            </c:ext>
          </c:extLst>
        </c:ser>
        <c:ser>
          <c:idx val="22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[0]!Cl_16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65FA-4F9A-AEEC-9064B204B804}"/>
            </c:ext>
          </c:extLst>
        </c:ser>
        <c:ser>
          <c:idx val="23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[0]!Cl_17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65FA-4F9A-AEEC-9064B204B804}"/>
            </c:ext>
          </c:extLst>
        </c:ser>
        <c:ser>
          <c:idx val="24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[0]!Cl_18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5FA-4F9A-AEEC-9064B204B804}"/>
            </c:ext>
          </c:extLst>
        </c:ser>
        <c:ser>
          <c:idx val="25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[0]!Cl_19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65FA-4F9A-AEEC-9064B204B804}"/>
            </c:ext>
          </c:extLst>
        </c:ser>
        <c:ser>
          <c:idx val="26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[0]!Cl_20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5FA-4F9A-AEEC-9064B204B804}"/>
            </c:ext>
          </c:extLst>
        </c:ser>
        <c:ser>
          <c:idx val="1"/>
          <c:order val="20"/>
          <c:tx>
            <c:v>Havvand SO4:Cl 1:7</c:v>
          </c:tx>
          <c:spPr>
            <a:ln w="12700">
              <a:prstDash val="lgDash"/>
            </a:ln>
          </c:spPr>
          <c:marker>
            <c:symbol val="none"/>
          </c:marker>
          <c:xVal>
            <c:numRef>
              <c:f>Graf!$X$23:$X$24</c:f>
              <c:numCache>
                <c:formatCode>General</c:formatCode>
                <c:ptCount val="2"/>
                <c:pt idx="0">
                  <c:v>0</c:v>
                </c:pt>
                <c:pt idx="1">
                  <c:v>3500</c:v>
                </c:pt>
              </c:numCache>
            </c:numRef>
          </c:xVal>
          <c:yVal>
            <c:numRef>
              <c:f>Graf!$W$23:$W$24</c:f>
              <c:numCache>
                <c:formatCode>General</c:formatCode>
                <c:ptCount val="2"/>
                <c:pt idx="0">
                  <c:v>0</c:v>
                </c:pt>
                <c:pt idx="1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65FA-4F9A-AEEC-9064B204B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226560"/>
        <c:axId val="228228480"/>
      </c:scatterChart>
      <c:valAx>
        <c:axId val="228226560"/>
        <c:scaling>
          <c:orientation val="minMax"/>
          <c:max val="1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Chlorid (mg/l)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8228480"/>
        <c:crosses val="autoZero"/>
        <c:crossBetween val="midCat"/>
      </c:valAx>
      <c:valAx>
        <c:axId val="228228480"/>
        <c:scaling>
          <c:orientation val="minMax"/>
          <c:max val="200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Sulfat (mg/l)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28226560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layout>
        <c:manualLayout>
          <c:xMode val="edge"/>
          <c:yMode val="edge"/>
          <c:x val="7.6322222222222208E-3"/>
          <c:y val="0.66476527777777783"/>
          <c:w val="0.99236777777777774"/>
          <c:h val="0.23325507722406197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Graf!$M$6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5B-4258-9C8E-8FFA24A31A21}"/>
            </c:ext>
          </c:extLst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5B-4258-9C8E-8FFA24A31A21}"/>
            </c:ext>
          </c:extLst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5B-4258-9C8E-8FFA24A31A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343168"/>
        <c:axId val="228353536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5B-4258-9C8E-8FFA24A31A21}"/>
            </c:ext>
          </c:extLst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D5B-4258-9C8E-8FFA24A31A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357632"/>
        <c:axId val="228355456"/>
      </c:scatterChart>
      <c:valAx>
        <c:axId val="228343168"/>
        <c:scaling>
          <c:orientation val="minMax"/>
          <c:max val="44562"/>
          <c:min val="36526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8353536"/>
        <c:crosses val="autoZero"/>
        <c:crossBetween val="midCat"/>
        <c:majorUnit val="731"/>
      </c:valAx>
      <c:valAx>
        <c:axId val="22835353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8343168"/>
        <c:crosses val="autoZero"/>
        <c:crossBetween val="midCat"/>
      </c:valAx>
      <c:valAx>
        <c:axId val="22835545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28357632"/>
        <c:crosses val="max"/>
        <c:crossBetween val="midCat"/>
      </c:valAx>
      <c:valAx>
        <c:axId val="228357632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8355456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[0]!b_1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[0]!dato_1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6A-41F9-A1E0-EA5792A89E8F}"/>
            </c:ext>
          </c:extLst>
        </c:ser>
        <c:ser>
          <c:idx val="1"/>
          <c:order val="1"/>
          <c:tx>
            <c:strRef>
              <c:f>[0]!b_2</c:f>
              <c:strCache>
                <c:ptCount val="1"/>
              </c:strCache>
            </c:strRef>
          </c:tx>
          <c:spPr>
            <a:ln w="12700">
              <a:solidFill>
                <a:srgbClr val="50D25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[0]!dato_2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6A-41F9-A1E0-EA5792A89E8F}"/>
            </c:ext>
          </c:extLst>
        </c:ser>
        <c:ser>
          <c:idx val="2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12700">
              <a:solidFill>
                <a:srgbClr val="0078C8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46A-41F9-A1E0-EA5792A89E8F}"/>
            </c:ext>
          </c:extLst>
        </c:ser>
        <c:ser>
          <c:idx val="3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12700">
              <a:solidFill>
                <a:srgbClr val="FF9646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46A-41F9-A1E0-EA5792A89E8F}"/>
            </c:ext>
          </c:extLst>
        </c:ser>
        <c:ser>
          <c:idx val="4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12700">
              <a:solidFill>
                <a:srgbClr val="96968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6A-41F9-A1E0-EA5792A89E8F}"/>
            </c:ext>
          </c:extLst>
        </c:ser>
        <c:ser>
          <c:idx val="5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12700">
              <a:solidFill>
                <a:srgbClr val="FA00FA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46A-41F9-A1E0-EA5792A89E8F}"/>
            </c:ext>
          </c:extLst>
        </c:ser>
        <c:ser>
          <c:idx val="6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12700">
              <a:solidFill>
                <a:srgbClr val="00D2D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46A-41F9-A1E0-EA5792A89E8F}"/>
            </c:ext>
          </c:extLst>
        </c:ser>
        <c:ser>
          <c:idx val="7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46A-41F9-A1E0-EA5792A89E8F}"/>
            </c:ext>
          </c:extLst>
        </c:ser>
        <c:ser>
          <c:idx val="8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46A-41F9-A1E0-EA5792A89E8F}"/>
            </c:ext>
          </c:extLst>
        </c:ser>
        <c:ser>
          <c:idx val="9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46A-41F9-A1E0-EA5792A89E8F}"/>
            </c:ext>
          </c:extLst>
        </c:ser>
        <c:ser>
          <c:idx val="10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12700">
              <a:solidFill>
                <a:srgbClr val="B4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46A-41F9-A1E0-EA5792A89E8F}"/>
            </c:ext>
          </c:extLst>
        </c:ser>
        <c:ser>
          <c:idx val="11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12700">
              <a:solidFill>
                <a:srgbClr val="0082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46A-41F9-A1E0-EA5792A89E8F}"/>
            </c:ext>
          </c:extLst>
        </c:ser>
        <c:ser>
          <c:idx val="12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12700">
              <a:solidFill>
                <a:srgbClr val="0064C8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46A-41F9-A1E0-EA5792A89E8F}"/>
            </c:ext>
          </c:extLst>
        </c:ser>
        <c:ser>
          <c:idx val="13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12700">
              <a:solidFill>
                <a:srgbClr val="E6643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646A-41F9-A1E0-EA5792A89E8F}"/>
            </c:ext>
          </c:extLst>
        </c:ser>
        <c:ser>
          <c:idx val="14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12700">
              <a:solidFill>
                <a:srgbClr val="6E6E6E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46A-41F9-A1E0-EA5792A89E8F}"/>
            </c:ext>
          </c:extLst>
        </c:ser>
        <c:ser>
          <c:idx val="15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12700">
              <a:solidFill>
                <a:srgbClr val="D200D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646A-41F9-A1E0-EA5792A89E8F}"/>
            </c:ext>
          </c:extLst>
        </c:ser>
        <c:ser>
          <c:idx val="16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12700">
              <a:solidFill>
                <a:srgbClr val="00B4B4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646A-41F9-A1E0-EA5792A89E8F}"/>
            </c:ext>
          </c:extLst>
        </c:ser>
        <c:ser>
          <c:idx val="17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46A-41F9-A1E0-EA5792A89E8F}"/>
            </c:ext>
          </c:extLst>
        </c:ser>
        <c:ser>
          <c:idx val="18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646A-41F9-A1E0-EA5792A89E8F}"/>
            </c:ext>
          </c:extLst>
        </c:ser>
        <c:ser>
          <c:idx val="19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46A-41F9-A1E0-EA5792A89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471168"/>
        <c:axId val="228473088"/>
      </c:scatterChart>
      <c:valAx>
        <c:axId val="228471168"/>
        <c:scaling>
          <c:orientation val="minMax"/>
          <c:max val="44562"/>
          <c:min val="36526"/>
        </c:scaling>
        <c:delete val="0"/>
        <c:axPos val="b"/>
        <c:numFmt formatCode="yy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8473088"/>
        <c:crosses val="autoZero"/>
        <c:crossBetween val="midCat"/>
        <c:majorUnit val="731"/>
      </c:valAx>
      <c:valAx>
        <c:axId val="22847308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Natrium mg/l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28471168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94037037037037"/>
          <c:y val="1.3732977492496275E-2"/>
          <c:w val="0.813585"/>
          <c:h val="0.52998349691837132"/>
        </c:manualLayout>
      </c:layout>
      <c:scatterChart>
        <c:scatterStyle val="lineMarker"/>
        <c:varyColors val="0"/>
        <c:ser>
          <c:idx val="12"/>
          <c:order val="0"/>
          <c:tx>
            <c:v>Sulfat niveau v. pyritoxidation (70 mg/l)</c:v>
          </c:tx>
          <c:spPr>
            <a:ln w="15875">
              <a:solidFill>
                <a:schemeClr val="accent1">
                  <a:lumMod val="75000"/>
                </a:schemeClr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8</c:v>
              </c:pt>
            </c:numLit>
          </c:xVal>
          <c:yVal>
            <c:numRef>
              <c:f>Graf!$Y$9:$Y$10</c:f>
              <c:numCache>
                <c:formatCode>General</c:formatCode>
                <c:ptCount val="2"/>
                <c:pt idx="0">
                  <c:v>0.72871122215282114</c:v>
                </c:pt>
                <c:pt idx="1">
                  <c:v>0.72871122215282114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6E-4FD3-9048-AA9F11F891B0}"/>
            </c:ext>
          </c:extLst>
        </c:ser>
        <c:ser>
          <c:idx val="11"/>
          <c:order val="1"/>
          <c:tx>
            <c:v>Max bg. Sulfat niveau (50 mg/l)</c:v>
          </c:tx>
          <c:spPr>
            <a:ln w="15875">
              <a:solidFill>
                <a:schemeClr val="accent5">
                  <a:lumMod val="75000"/>
                </a:schemeClr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8</c:v>
              </c:pt>
            </c:numLit>
          </c:xVal>
          <c:yVal>
            <c:numRef>
              <c:f>Graf!$X$9:$X$10</c:f>
              <c:numCache>
                <c:formatCode>General</c:formatCode>
                <c:ptCount val="2"/>
                <c:pt idx="0">
                  <c:v>0.52050801582344364</c:v>
                </c:pt>
                <c:pt idx="1">
                  <c:v>0.52050801582344364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6E-4FD3-9048-AA9F11F891B0}"/>
            </c:ext>
          </c:extLst>
        </c:ser>
        <c:ser>
          <c:idx val="2"/>
          <c:order val="2"/>
          <c:tx>
            <c:v>Pyritoxidation m. nitrat i umættet zone</c:v>
          </c:tx>
          <c:spPr>
            <a:ln w="12700">
              <a:prstDash val="dash"/>
            </a:ln>
          </c:spPr>
          <c:marker>
            <c:symbol val="none"/>
          </c:marker>
          <c:xVal>
            <c:numRef>
              <c:f>Graf!$T$11:$T$12</c:f>
              <c:numCache>
                <c:formatCode>0.00</c:formatCode>
                <c:ptCount val="2"/>
                <c:pt idx="0">
                  <c:v>2.2455089820359282</c:v>
                </c:pt>
                <c:pt idx="1">
                  <c:v>6</c:v>
                </c:pt>
              </c:numCache>
            </c:numRef>
          </c:xVal>
          <c:yVal>
            <c:numRef>
              <c:f>Graf!$U$11:$U$12</c:f>
              <c:numCache>
                <c:formatCode>0.00</c:formatCode>
                <c:ptCount val="2"/>
                <c:pt idx="0">
                  <c:v>0.20820320632937747</c:v>
                </c:pt>
                <c:pt idx="1">
                  <c:v>15.226167278185665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6E-4FD3-9048-AA9F11F891B0}"/>
            </c:ext>
          </c:extLst>
        </c:ser>
        <c:ser>
          <c:idx val="10"/>
          <c:order val="3"/>
          <c:tx>
            <c:v>Pyritoxidation m. nitrat i mættet zone</c:v>
          </c:tx>
          <c:spPr>
            <a:ln w="12700">
              <a:solidFill>
                <a:schemeClr val="tx2"/>
              </a:solidFill>
              <a:prstDash val="dash"/>
            </a:ln>
          </c:spPr>
          <c:marker>
            <c:symbol val="none"/>
          </c:marker>
          <c:xVal>
            <c:numRef>
              <c:f>Graf!$T$16:$T$17</c:f>
              <c:numCache>
                <c:formatCode>0.00</c:formatCode>
                <c:ptCount val="2"/>
                <c:pt idx="0">
                  <c:v>2.2455089820359282</c:v>
                </c:pt>
                <c:pt idx="1">
                  <c:v>6</c:v>
                </c:pt>
              </c:numCache>
            </c:numRef>
          </c:xVal>
          <c:yVal>
            <c:numRef>
              <c:f>Graf!$U$16:$U$17</c:f>
              <c:numCache>
                <c:formatCode>0.00</c:formatCode>
                <c:ptCount val="2"/>
                <c:pt idx="0">
                  <c:v>0.20820320632937747</c:v>
                </c:pt>
                <c:pt idx="1">
                  <c:v>7.7171852422575213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F6E-4FD3-9048-AA9F11F891B0}"/>
            </c:ext>
          </c:extLst>
        </c:ser>
        <c:ser>
          <c:idx val="0"/>
          <c:order val="4"/>
          <c:tx>
            <c:v>Pyritoxidation m. ilt i umættet zone</c:v>
          </c:tx>
          <c:spPr>
            <a:ln w="12700">
              <a:prstDash val="lgDash"/>
            </a:ln>
          </c:spPr>
          <c:marker>
            <c:symbol val="none"/>
          </c:marker>
          <c:xVal>
            <c:numRef>
              <c:f>Graf!$R$11:$R$12</c:f>
              <c:numCache>
                <c:formatCode>0.00</c:formatCode>
                <c:ptCount val="2"/>
                <c:pt idx="0">
                  <c:v>2.2455089820359282</c:v>
                </c:pt>
                <c:pt idx="1">
                  <c:v>6</c:v>
                </c:pt>
              </c:numCache>
            </c:numRef>
          </c:xVal>
          <c:yVal>
            <c:numRef>
              <c:f>Graf!$S$11:$S$12</c:f>
              <c:numCache>
                <c:formatCode>0.00</c:formatCode>
                <c:ptCount val="2"/>
                <c:pt idx="0">
                  <c:v>0.20820320632937747</c:v>
                </c:pt>
                <c:pt idx="1">
                  <c:v>3.9626942242934491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F6E-4FD3-9048-AA9F11F891B0}"/>
            </c:ext>
          </c:extLst>
        </c:ser>
        <c:ser>
          <c:idx val="1"/>
          <c:order val="5"/>
          <c:tx>
            <c:v>Pyritoxidation m. ilt i mættet zone</c:v>
          </c:tx>
          <c:spPr>
            <a:ln w="12700">
              <a:prstDash val="lgDash"/>
            </a:ln>
          </c:spPr>
          <c:marker>
            <c:symbol val="none"/>
          </c:marker>
          <c:xVal>
            <c:numRef>
              <c:f>Graf!$R$16:$R$17</c:f>
              <c:numCache>
                <c:formatCode>0.00</c:formatCode>
                <c:ptCount val="2"/>
                <c:pt idx="0">
                  <c:v>2.2455089820359282</c:v>
                </c:pt>
                <c:pt idx="1">
                  <c:v>6</c:v>
                </c:pt>
              </c:numCache>
            </c:numRef>
          </c:xVal>
          <c:yVal>
            <c:numRef>
              <c:f>Graf!$S$16:$S$17</c:f>
              <c:numCache>
                <c:formatCode>0.00</c:formatCode>
                <c:ptCount val="2"/>
                <c:pt idx="0">
                  <c:v>0.20820320632937747</c:v>
                </c:pt>
                <c:pt idx="1">
                  <c:v>2.0854487153114132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F6E-4FD3-9048-AA9F11F891B0}"/>
            </c:ext>
          </c:extLst>
        </c:ser>
        <c:ser>
          <c:idx val="4"/>
          <c:order val="6"/>
          <c:tx>
            <c:strRef>
              <c:f>[0]!b_1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[0]!mmolCa_1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F6E-4FD3-9048-AA9F11F891B0}"/>
            </c:ext>
          </c:extLst>
        </c:ser>
        <c:ser>
          <c:idx val="5"/>
          <c:order val="7"/>
          <c:tx>
            <c:strRef>
              <c:f>[0]!b_2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[0]!mmolCa_2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F6E-4FD3-9048-AA9F11F891B0}"/>
            </c:ext>
          </c:extLst>
        </c:ser>
        <c:ser>
          <c:idx val="6"/>
          <c:order val="8"/>
          <c:tx>
            <c:strRef>
              <c:f>[0]!b_3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[0]!mmolCa_3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F6E-4FD3-9048-AA9F11F891B0}"/>
            </c:ext>
          </c:extLst>
        </c:ser>
        <c:ser>
          <c:idx val="7"/>
          <c:order val="9"/>
          <c:tx>
            <c:strRef>
              <c:f>[0]!b_4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[0]!mmolCa_4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F6E-4FD3-9048-AA9F11F891B0}"/>
            </c:ext>
          </c:extLst>
        </c:ser>
        <c:ser>
          <c:idx val="8"/>
          <c:order val="10"/>
          <c:tx>
            <c:strRef>
              <c:f>[0]!b_5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[0]!mmolCa_5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6E-4FD3-9048-AA9F11F891B0}"/>
            </c:ext>
          </c:extLst>
        </c:ser>
        <c:ser>
          <c:idx val="9"/>
          <c:order val="11"/>
          <c:tx>
            <c:strRef>
              <c:f>[0]!b_6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[0]!mmolCa_6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F6E-4FD3-9048-AA9F11F891B0}"/>
            </c:ext>
          </c:extLst>
        </c:ser>
        <c:ser>
          <c:idx val="13"/>
          <c:order val="12"/>
          <c:tx>
            <c:strRef>
              <c:f>[0]!b_7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[0]!mmolCa_7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F6E-4FD3-9048-AA9F11F891B0}"/>
            </c:ext>
          </c:extLst>
        </c:ser>
        <c:ser>
          <c:idx val="14"/>
          <c:order val="13"/>
          <c:tx>
            <c:strRef>
              <c:f>[0]!b_8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[0]!mmolCa_8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F6E-4FD3-9048-AA9F11F891B0}"/>
            </c:ext>
          </c:extLst>
        </c:ser>
        <c:ser>
          <c:idx val="15"/>
          <c:order val="14"/>
          <c:tx>
            <c:strRef>
              <c:f>[0]!b_9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[0]!mmolCa_9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F6E-4FD3-9048-AA9F11F891B0}"/>
            </c:ext>
          </c:extLst>
        </c:ser>
        <c:ser>
          <c:idx val="16"/>
          <c:order val="15"/>
          <c:tx>
            <c:strRef>
              <c:f>[0]!b_10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[0]!mmolCa_10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8F6E-4FD3-9048-AA9F11F891B0}"/>
            </c:ext>
          </c:extLst>
        </c:ser>
        <c:ser>
          <c:idx val="17"/>
          <c:order val="16"/>
          <c:tx>
            <c:strRef>
              <c:f>[0]!b_11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[0]!mmolCa_11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8F6E-4FD3-9048-AA9F11F891B0}"/>
            </c:ext>
          </c:extLst>
        </c:ser>
        <c:ser>
          <c:idx val="18"/>
          <c:order val="17"/>
          <c:tx>
            <c:strRef>
              <c:f>[0]!b_12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[0]!mmolCa_12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8F6E-4FD3-9048-AA9F11F891B0}"/>
            </c:ext>
          </c:extLst>
        </c:ser>
        <c:ser>
          <c:idx val="19"/>
          <c:order val="18"/>
          <c:tx>
            <c:strRef>
              <c:f>[0]!b_13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[0]!mmolCa_13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8F6E-4FD3-9048-AA9F11F891B0}"/>
            </c:ext>
          </c:extLst>
        </c:ser>
        <c:ser>
          <c:idx val="20"/>
          <c:order val="19"/>
          <c:tx>
            <c:strRef>
              <c:f>[0]!b_14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[0]!mmolCa_14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8F6E-4FD3-9048-AA9F11F891B0}"/>
            </c:ext>
          </c:extLst>
        </c:ser>
        <c:ser>
          <c:idx val="21"/>
          <c:order val="20"/>
          <c:tx>
            <c:strRef>
              <c:f>[0]!b_15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[0]!mmolCa_15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8F6E-4FD3-9048-AA9F11F891B0}"/>
            </c:ext>
          </c:extLst>
        </c:ser>
        <c:ser>
          <c:idx val="22"/>
          <c:order val="21"/>
          <c:tx>
            <c:strRef>
              <c:f>[0]!b_16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[0]!mmolCa_16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8F6E-4FD3-9048-AA9F11F891B0}"/>
            </c:ext>
          </c:extLst>
        </c:ser>
        <c:ser>
          <c:idx val="23"/>
          <c:order val="22"/>
          <c:tx>
            <c:strRef>
              <c:f>[0]!b_17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[0]!mmolCa_17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8F6E-4FD3-9048-AA9F11F891B0}"/>
            </c:ext>
          </c:extLst>
        </c:ser>
        <c:ser>
          <c:idx val="24"/>
          <c:order val="23"/>
          <c:tx>
            <c:strRef>
              <c:f>[0]!b_18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[0]!mmolCa_18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8F6E-4FD3-9048-AA9F11F891B0}"/>
            </c:ext>
          </c:extLst>
        </c:ser>
        <c:ser>
          <c:idx val="25"/>
          <c:order val="24"/>
          <c:tx>
            <c:strRef>
              <c:f>[0]!b_19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[0]!mmolCa_19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8F6E-4FD3-9048-AA9F11F891B0}"/>
            </c:ext>
          </c:extLst>
        </c:ser>
        <c:ser>
          <c:idx val="26"/>
          <c:order val="25"/>
          <c:tx>
            <c:strRef>
              <c:f>[0]!b_20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[0]!mmolCa_20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8F6E-4FD3-9048-AA9F11F89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668928"/>
        <c:axId val="228691968"/>
      </c:scatterChart>
      <c:valAx>
        <c:axId val="228668928"/>
        <c:scaling>
          <c:orientation val="minMax"/>
          <c:max val="6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Calcium (mmol/l)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8691968"/>
        <c:crosses val="autoZero"/>
        <c:crossBetween val="midCat"/>
      </c:valAx>
      <c:valAx>
        <c:axId val="228691968"/>
        <c:scaling>
          <c:orientation val="minMax"/>
          <c:max val="3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Sulfat (mmol/l)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28668928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layout>
        <c:manualLayout>
          <c:xMode val="edge"/>
          <c:yMode val="edge"/>
          <c:x val="7.6322222222222208E-3"/>
          <c:y val="0.66476527777777783"/>
          <c:w val="0.99236777777777774"/>
          <c:h val="0.31759583333333335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4"/>
          <c:order val="0"/>
          <c:tx>
            <c:strRef>
              <c:f>Graf!$Z$13</c:f>
              <c:strCache>
                <c:ptCount val="1"/>
                <c:pt idx="0">
                  <c:v>Ferskvandstype</c:v>
                </c:pt>
              </c:strCache>
            </c:strRef>
          </c:tx>
          <c:spPr>
            <a:solidFill>
              <a:srgbClr val="B4E68C">
                <a:alpha val="60000"/>
              </a:srgbClr>
            </a:solidFill>
            <a:ln w="25400">
              <a:noFill/>
            </a:ln>
          </c:spPr>
          <c:cat>
            <c:numRef>
              <c:f>Graf!$X$14:$X$19</c:f>
              <c:numCache>
                <c:formatCode>General</c:formatCode>
                <c:ptCount val="6"/>
                <c:pt idx="0">
                  <c:v>0</c:v>
                </c:pt>
                <c:pt idx="1">
                  <c:v>350</c:v>
                </c:pt>
                <c:pt idx="2">
                  <c:v>350</c:v>
                </c:pt>
                <c:pt idx="3">
                  <c:v>650</c:v>
                </c:pt>
                <c:pt idx="4">
                  <c:v>650</c:v>
                </c:pt>
                <c:pt idx="5">
                  <c:v>1000</c:v>
                </c:pt>
              </c:numCache>
            </c:numRef>
          </c:cat>
          <c:val>
            <c:numRef>
              <c:f>Graf!$Z$14:$Z$19</c:f>
              <c:numCache>
                <c:formatCode>General</c:formatCode>
                <c:ptCount val="6"/>
                <c:pt idx="0">
                  <c:v>1.5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40-44DA-B270-BC41E97E283C}"/>
            </c:ext>
          </c:extLst>
        </c:ser>
        <c:ser>
          <c:idx val="5"/>
          <c:order val="1"/>
          <c:tx>
            <c:strRef>
              <c:f>Graf!$AA$13</c:f>
              <c:strCache>
                <c:ptCount val="1"/>
                <c:pt idx="0">
                  <c:v>Ionbyttet type</c:v>
                </c:pt>
              </c:strCache>
            </c:strRef>
          </c:tx>
          <c:spPr>
            <a:solidFill>
              <a:srgbClr val="64D2BE">
                <a:alpha val="60000"/>
              </a:srgbClr>
            </a:solidFill>
            <a:ln w="25400">
              <a:noFill/>
            </a:ln>
          </c:spPr>
          <c:cat>
            <c:numRef>
              <c:f>Graf!$X$14:$X$19</c:f>
              <c:numCache>
                <c:formatCode>General</c:formatCode>
                <c:ptCount val="6"/>
                <c:pt idx="0">
                  <c:v>0</c:v>
                </c:pt>
                <c:pt idx="1">
                  <c:v>350</c:v>
                </c:pt>
                <c:pt idx="2">
                  <c:v>350</c:v>
                </c:pt>
                <c:pt idx="3">
                  <c:v>650</c:v>
                </c:pt>
                <c:pt idx="4">
                  <c:v>650</c:v>
                </c:pt>
                <c:pt idx="5">
                  <c:v>1000</c:v>
                </c:pt>
              </c:numCache>
            </c:numRef>
          </c:cat>
          <c:val>
            <c:numRef>
              <c:f>Graf!$AA$14:$AA$19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40-44DA-B270-BC41E97E283C}"/>
            </c:ext>
          </c:extLst>
        </c:ser>
        <c:ser>
          <c:idx val="6"/>
          <c:order val="2"/>
          <c:tx>
            <c:strRef>
              <c:f>Graf!$AB$13</c:f>
              <c:strCache>
                <c:ptCount val="1"/>
                <c:pt idx="0">
                  <c:v>Blandingstype</c:v>
                </c:pt>
              </c:strCache>
            </c:strRef>
          </c:tx>
          <c:spPr>
            <a:solidFill>
              <a:srgbClr val="FFFABE">
                <a:alpha val="60000"/>
              </a:srgbClr>
            </a:solidFill>
            <a:ln w="25400">
              <a:noFill/>
            </a:ln>
          </c:spPr>
          <c:cat>
            <c:numRef>
              <c:f>Graf!$X$14:$X$19</c:f>
              <c:numCache>
                <c:formatCode>General</c:formatCode>
                <c:ptCount val="6"/>
                <c:pt idx="0">
                  <c:v>0</c:v>
                </c:pt>
                <c:pt idx="1">
                  <c:v>350</c:v>
                </c:pt>
                <c:pt idx="2">
                  <c:v>350</c:v>
                </c:pt>
                <c:pt idx="3">
                  <c:v>650</c:v>
                </c:pt>
                <c:pt idx="4">
                  <c:v>650</c:v>
                </c:pt>
                <c:pt idx="5">
                  <c:v>1000</c:v>
                </c:pt>
              </c:numCache>
            </c:numRef>
          </c:cat>
          <c:val>
            <c:numRef>
              <c:f>Graf!$AB$14:$AB$19</c:f>
              <c:numCache>
                <c:formatCode>General</c:formatCode>
                <c:ptCount val="6"/>
                <c:pt idx="0">
                  <c:v>1.5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40-44DA-B270-BC41E97E283C}"/>
            </c:ext>
          </c:extLst>
        </c:ser>
        <c:ser>
          <c:idx val="7"/>
          <c:order val="3"/>
          <c:tx>
            <c:strRef>
              <c:f>Graf!$AC$13</c:f>
              <c:strCache>
                <c:ptCount val="1"/>
                <c:pt idx="0">
                  <c:v>Saltvandstype</c:v>
                </c:pt>
              </c:strCache>
            </c:strRef>
          </c:tx>
          <c:spPr>
            <a:solidFill>
              <a:srgbClr val="AADCFF">
                <a:alpha val="60000"/>
              </a:srgbClr>
            </a:solidFill>
            <a:ln w="25400">
              <a:noFill/>
            </a:ln>
          </c:spPr>
          <c:cat>
            <c:numRef>
              <c:f>Graf!$X$14:$X$19</c:f>
              <c:numCache>
                <c:formatCode>General</c:formatCode>
                <c:ptCount val="6"/>
                <c:pt idx="0">
                  <c:v>0</c:v>
                </c:pt>
                <c:pt idx="1">
                  <c:v>350</c:v>
                </c:pt>
                <c:pt idx="2">
                  <c:v>350</c:v>
                </c:pt>
                <c:pt idx="3">
                  <c:v>650</c:v>
                </c:pt>
                <c:pt idx="4">
                  <c:v>650</c:v>
                </c:pt>
                <c:pt idx="5">
                  <c:v>1000</c:v>
                </c:pt>
              </c:numCache>
            </c:numRef>
          </c:cat>
          <c:val>
            <c:numRef>
              <c:f>Graf!$AC$14:$AC$19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40-44DA-B270-BC41E97E283C}"/>
            </c:ext>
          </c:extLst>
        </c:ser>
        <c:ser>
          <c:idx val="3"/>
          <c:order val="4"/>
          <c:tx>
            <c:strRef>
              <c:f>Graf!$Y$13</c:f>
              <c:strCache>
                <c:ptCount val="1"/>
              </c:strCache>
            </c:strRef>
          </c:tx>
          <c:spPr>
            <a:noFill/>
            <a:ln w="0">
              <a:noFill/>
            </a:ln>
          </c:spPr>
          <c:cat>
            <c:numRef>
              <c:f>Graf!$X$14:$X$19</c:f>
              <c:numCache>
                <c:formatCode>General</c:formatCode>
                <c:ptCount val="6"/>
                <c:pt idx="0">
                  <c:v>0</c:v>
                </c:pt>
                <c:pt idx="1">
                  <c:v>350</c:v>
                </c:pt>
                <c:pt idx="2">
                  <c:v>350</c:v>
                </c:pt>
                <c:pt idx="3">
                  <c:v>650</c:v>
                </c:pt>
                <c:pt idx="4">
                  <c:v>650</c:v>
                </c:pt>
                <c:pt idx="5">
                  <c:v>1000</c:v>
                </c:pt>
              </c:numCache>
            </c:numRef>
          </c:cat>
          <c:val>
            <c:numRef>
              <c:f>Graf!$Y$14:$Y$19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40-44DA-B270-BC41E97E2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81152"/>
        <c:axId val="228875264"/>
      </c:areaChart>
      <c:scatterChart>
        <c:scatterStyle val="lineMarker"/>
        <c:varyColors val="0"/>
        <c:ser>
          <c:idx val="1"/>
          <c:order val="5"/>
          <c:tx>
            <c:strRef>
              <c:f>[0]!b_1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[0]!Nnc_1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540-44DA-B270-BC41E97E283C}"/>
            </c:ext>
          </c:extLst>
        </c:ser>
        <c:ser>
          <c:idx val="0"/>
          <c:order val="6"/>
          <c:tx>
            <c:strRef>
              <c:f>[0]!b_2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[0]!Nnc_2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540-44DA-B270-BC41E97E283C}"/>
            </c:ext>
          </c:extLst>
        </c:ser>
        <c:ser>
          <c:idx val="2"/>
          <c:order val="7"/>
          <c:tx>
            <c:strRef>
              <c:f>[0]!b_3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[0]!Nnc_3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540-44DA-B270-BC41E97E283C}"/>
            </c:ext>
          </c:extLst>
        </c:ser>
        <c:ser>
          <c:idx val="8"/>
          <c:order val="8"/>
          <c:tx>
            <c:strRef>
              <c:f>[0]!b_4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[0]!Nnc_4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540-44DA-B270-BC41E97E283C}"/>
            </c:ext>
          </c:extLst>
        </c:ser>
        <c:ser>
          <c:idx val="9"/>
          <c:order val="9"/>
          <c:tx>
            <c:strRef>
              <c:f>[0]!b_5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[0]!Nnc_5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540-44DA-B270-BC41E97E283C}"/>
            </c:ext>
          </c:extLst>
        </c:ser>
        <c:ser>
          <c:idx val="10"/>
          <c:order val="10"/>
          <c:tx>
            <c:strRef>
              <c:f>[0]!b_6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[0]!Nnc_6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540-44DA-B270-BC41E97E283C}"/>
            </c:ext>
          </c:extLst>
        </c:ser>
        <c:ser>
          <c:idx val="11"/>
          <c:order val="11"/>
          <c:tx>
            <c:strRef>
              <c:f>[0]!b_7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[0]!Nnc_7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540-44DA-B270-BC41E97E283C}"/>
            </c:ext>
          </c:extLst>
        </c:ser>
        <c:ser>
          <c:idx val="12"/>
          <c:order val="12"/>
          <c:tx>
            <c:strRef>
              <c:f>[0]!b_8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[0]!Nnc_8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540-44DA-B270-BC41E97E283C}"/>
            </c:ext>
          </c:extLst>
        </c:ser>
        <c:ser>
          <c:idx val="13"/>
          <c:order val="13"/>
          <c:tx>
            <c:strRef>
              <c:f>[0]!b_9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[0]!Nnc_9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540-44DA-B270-BC41E97E283C}"/>
            </c:ext>
          </c:extLst>
        </c:ser>
        <c:ser>
          <c:idx val="14"/>
          <c:order val="14"/>
          <c:tx>
            <c:strRef>
              <c:f>[0]!b_10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[0]!Nnc_10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540-44DA-B270-BC41E97E283C}"/>
            </c:ext>
          </c:extLst>
        </c:ser>
        <c:ser>
          <c:idx val="15"/>
          <c:order val="15"/>
          <c:tx>
            <c:strRef>
              <c:f>[0]!b_11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[0]!Nnc_11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540-44DA-B270-BC41E97E283C}"/>
            </c:ext>
          </c:extLst>
        </c:ser>
        <c:ser>
          <c:idx val="16"/>
          <c:order val="16"/>
          <c:tx>
            <c:strRef>
              <c:f>[0]!b_12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[0]!Nnc_12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A540-44DA-B270-BC41E97E283C}"/>
            </c:ext>
          </c:extLst>
        </c:ser>
        <c:ser>
          <c:idx val="17"/>
          <c:order val="17"/>
          <c:tx>
            <c:strRef>
              <c:f>[0]!b_13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[0]!Nnc_13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A540-44DA-B270-BC41E97E283C}"/>
            </c:ext>
          </c:extLst>
        </c:ser>
        <c:ser>
          <c:idx val="18"/>
          <c:order val="18"/>
          <c:tx>
            <c:strRef>
              <c:f>[0]!b_14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[0]!Nnc_14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A540-44DA-B270-BC41E97E283C}"/>
            </c:ext>
          </c:extLst>
        </c:ser>
        <c:ser>
          <c:idx val="19"/>
          <c:order val="19"/>
          <c:tx>
            <c:strRef>
              <c:f>[0]!b_15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[0]!Nnc_15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A540-44DA-B270-BC41E97E283C}"/>
            </c:ext>
          </c:extLst>
        </c:ser>
        <c:ser>
          <c:idx val="20"/>
          <c:order val="20"/>
          <c:tx>
            <c:strRef>
              <c:f>[0]!b_16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[0]!Nnc_16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A540-44DA-B270-BC41E97E283C}"/>
            </c:ext>
          </c:extLst>
        </c:ser>
        <c:ser>
          <c:idx val="21"/>
          <c:order val="21"/>
          <c:tx>
            <c:strRef>
              <c:f>[0]!b_17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[0]!Nnc_17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A540-44DA-B270-BC41E97E283C}"/>
            </c:ext>
          </c:extLst>
        </c:ser>
        <c:ser>
          <c:idx val="22"/>
          <c:order val="22"/>
          <c:tx>
            <c:strRef>
              <c:f>[0]!b_18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[0]!Nnc_18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A540-44DA-B270-BC41E97E283C}"/>
            </c:ext>
          </c:extLst>
        </c:ser>
        <c:ser>
          <c:idx val="23"/>
          <c:order val="23"/>
          <c:tx>
            <c:strRef>
              <c:f>[0]!b_19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[0]!Nnc_19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A540-44DA-B270-BC41E97E283C}"/>
            </c:ext>
          </c:extLst>
        </c:ser>
        <c:ser>
          <c:idx val="24"/>
          <c:order val="24"/>
          <c:tx>
            <c:strRef>
              <c:f>[0]!b_20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[0]!Nnc_20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A540-44DA-B270-BC41E97E2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54400"/>
        <c:axId val="228873344"/>
      </c:scatterChart>
      <c:valAx>
        <c:axId val="228854400"/>
        <c:scaling>
          <c:orientation val="minMax"/>
          <c:max val="1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Na/Na+Ca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8873344"/>
        <c:crosses val="autoZero"/>
        <c:crossBetween val="midCat"/>
      </c:valAx>
      <c:valAx>
        <c:axId val="228873344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Forvitringsgrad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28854400"/>
        <c:crosses val="autoZero"/>
        <c:crossBetween val="midCat"/>
      </c:valAx>
      <c:valAx>
        <c:axId val="228875264"/>
        <c:scaling>
          <c:orientation val="minMax"/>
          <c:max val="3"/>
          <c:min val="0"/>
        </c:scaling>
        <c:delete val="1"/>
        <c:axPos val="r"/>
        <c:numFmt formatCode="General" sourceLinked="1"/>
        <c:majorTickMark val="out"/>
        <c:minorTickMark val="none"/>
        <c:tickLblPos val="nextTo"/>
        <c:crossAx val="228881152"/>
        <c:crosses val="max"/>
        <c:crossBetween val="between"/>
      </c:valAx>
      <c:dateAx>
        <c:axId val="22888115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228875264"/>
        <c:crosses val="max"/>
        <c:auto val="0"/>
        <c:lblOffset val="0"/>
        <c:baseTimeUnit val="days"/>
      </c:dateAx>
      <c:spPr>
        <a:ln>
          <a:solidFill>
            <a:schemeClr val="tx2"/>
          </a:solidFill>
        </a:ln>
      </c:spPr>
    </c:plotArea>
    <c:legend>
      <c:legendPos val="b"/>
      <c:layout>
        <c:manualLayout>
          <c:xMode val="edge"/>
          <c:yMode val="edge"/>
          <c:x val="0"/>
          <c:y val="0.80564629629629625"/>
          <c:w val="1"/>
          <c:h val="0.1943537037037037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Graf!$M$8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F7-45E7-8EC3-66F4120E15AA}"/>
            </c:ext>
          </c:extLst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F7-45E7-8EC3-66F4120E15AA}"/>
            </c:ext>
          </c:extLst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F7-45E7-8EC3-66F4120E1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929920"/>
        <c:axId val="228931840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3F7-45E7-8EC3-66F4120E15AA}"/>
            </c:ext>
          </c:extLst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3F7-45E7-8EC3-66F4120E1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948224"/>
        <c:axId val="228946304"/>
      </c:scatterChart>
      <c:valAx>
        <c:axId val="228929920"/>
        <c:scaling>
          <c:orientation val="minMax"/>
          <c:max val="44562"/>
          <c:min val="36526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8931840"/>
        <c:crosses val="autoZero"/>
        <c:crossBetween val="midCat"/>
        <c:majorUnit val="731"/>
      </c:valAx>
      <c:valAx>
        <c:axId val="22893184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8929920"/>
        <c:crosses val="autoZero"/>
        <c:crossBetween val="midCat"/>
      </c:valAx>
      <c:valAx>
        <c:axId val="22894630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28948224"/>
        <c:crosses val="max"/>
        <c:crossBetween val="midCat"/>
      </c:valAx>
      <c:valAx>
        <c:axId val="228948224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8946304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Graf!$M$10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99-48BD-B8B1-CF89A1799A0B}"/>
            </c:ext>
          </c:extLst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99-48BD-B8B1-CF89A1799A0B}"/>
            </c:ext>
          </c:extLst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99-48BD-B8B1-CF89A1799A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050624"/>
        <c:axId val="229056896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99-48BD-B8B1-CF89A1799A0B}"/>
            </c:ext>
          </c:extLst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899-48BD-B8B1-CF89A1799A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060992"/>
        <c:axId val="229058816"/>
      </c:scatterChart>
      <c:valAx>
        <c:axId val="229050624"/>
        <c:scaling>
          <c:orientation val="minMax"/>
          <c:max val="44562"/>
          <c:min val="36526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9056896"/>
        <c:crosses val="autoZero"/>
        <c:crossBetween val="midCat"/>
        <c:majorUnit val="731"/>
      </c:valAx>
      <c:valAx>
        <c:axId val="22905689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9050624"/>
        <c:crosses val="autoZero"/>
        <c:crossBetween val="midCat"/>
      </c:valAx>
      <c:valAx>
        <c:axId val="22905881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29060992"/>
        <c:crosses val="max"/>
        <c:crossBetween val="midCat"/>
      </c:valAx>
      <c:valAx>
        <c:axId val="229060992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9058816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Graf!$M$12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6-431D-B18D-297F12979916}"/>
            </c:ext>
          </c:extLst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36-431D-B18D-297F12979916}"/>
            </c:ext>
          </c:extLst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36-431D-B18D-297F12979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110144"/>
        <c:axId val="229112064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536-431D-B18D-297F12979916}"/>
            </c:ext>
          </c:extLst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536-431D-B18D-297F12979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181696"/>
        <c:axId val="229179776"/>
      </c:scatterChart>
      <c:valAx>
        <c:axId val="229110144"/>
        <c:scaling>
          <c:orientation val="minMax"/>
          <c:max val="44562"/>
          <c:min val="36526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9112064"/>
        <c:crosses val="autoZero"/>
        <c:crossBetween val="midCat"/>
        <c:majorUnit val="731"/>
      </c:valAx>
      <c:valAx>
        <c:axId val="22911206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9110144"/>
        <c:crosses val="autoZero"/>
        <c:crossBetween val="midCat"/>
      </c:valAx>
      <c:valAx>
        <c:axId val="22917977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29181696"/>
        <c:crosses val="max"/>
        <c:crossBetween val="midCat"/>
      </c:valAx>
      <c:valAx>
        <c:axId val="229181696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9179776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Graf!$M$7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67-423E-8C22-5FFDD72E0106}"/>
            </c:ext>
          </c:extLst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67-423E-8C22-5FFDD72E0106}"/>
            </c:ext>
          </c:extLst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367-423E-8C22-5FFDD72E0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218560"/>
        <c:axId val="229228928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367-423E-8C22-5FFDD72E0106}"/>
            </c:ext>
          </c:extLst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367-423E-8C22-5FFDD72E0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249408"/>
        <c:axId val="229230848"/>
      </c:scatterChart>
      <c:valAx>
        <c:axId val="229218560"/>
        <c:scaling>
          <c:orientation val="minMax"/>
          <c:max val="44562"/>
          <c:min val="36526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9228928"/>
        <c:crosses val="autoZero"/>
        <c:crossBetween val="midCat"/>
        <c:majorUnit val="731"/>
      </c:valAx>
      <c:valAx>
        <c:axId val="22922892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9218560"/>
        <c:crosses val="autoZero"/>
        <c:crossBetween val="midCat"/>
      </c:valAx>
      <c:valAx>
        <c:axId val="22923084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29249408"/>
        <c:crosses val="max"/>
        <c:crossBetween val="midCat"/>
      </c:valAx>
      <c:valAx>
        <c:axId val="229249408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9230848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Graf!$M$9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28-4607-A6B1-7048216145D9}"/>
            </c:ext>
          </c:extLst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28-4607-A6B1-7048216145D9}"/>
            </c:ext>
          </c:extLst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28-4607-A6B1-704821614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290368"/>
        <c:axId val="229292288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528-4607-A6B1-7048216145D9}"/>
            </c:ext>
          </c:extLst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528-4607-A6B1-704821614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300480"/>
        <c:axId val="229298560"/>
      </c:scatterChart>
      <c:valAx>
        <c:axId val="229290368"/>
        <c:scaling>
          <c:orientation val="minMax"/>
          <c:max val="44562"/>
          <c:min val="36526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9292288"/>
        <c:crosses val="autoZero"/>
        <c:crossBetween val="midCat"/>
        <c:majorUnit val="731"/>
      </c:valAx>
      <c:valAx>
        <c:axId val="22929228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9290368"/>
        <c:crosses val="autoZero"/>
        <c:crossBetween val="midCat"/>
      </c:valAx>
      <c:valAx>
        <c:axId val="22929856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29300480"/>
        <c:crosses val="max"/>
        <c:crossBetween val="midCat"/>
      </c:valAx>
      <c:valAx>
        <c:axId val="229300480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9298560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Graf!$M$11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5A-4B34-843F-4F1CC2349FB5}"/>
            </c:ext>
          </c:extLst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5A-4B34-843F-4F1CC2349FB5}"/>
            </c:ext>
          </c:extLst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5A-4B34-843F-4F1CC2349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06976"/>
        <c:axId val="229425536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5A-4B34-843F-4F1CC2349FB5}"/>
            </c:ext>
          </c:extLst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5A-4B34-843F-4F1CC2349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29632"/>
        <c:axId val="229427456"/>
      </c:scatterChart>
      <c:valAx>
        <c:axId val="229406976"/>
        <c:scaling>
          <c:orientation val="minMax"/>
          <c:max val="44562"/>
          <c:min val="36526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9425536"/>
        <c:crosses val="autoZero"/>
        <c:crossBetween val="midCat"/>
        <c:majorUnit val="731"/>
      </c:valAx>
      <c:valAx>
        <c:axId val="22942553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9406976"/>
        <c:crosses val="autoZero"/>
        <c:crossBetween val="midCat"/>
      </c:valAx>
      <c:valAx>
        <c:axId val="22942745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29429632"/>
        <c:crosses val="max"/>
        <c:crossBetween val="midCat"/>
      </c:valAx>
      <c:valAx>
        <c:axId val="229429632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9427456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Graf!$M$13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A2-43F5-BA81-5517CE5C8DF7}"/>
            </c:ext>
          </c:extLst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9A2-43F5-BA81-5517CE5C8DF7}"/>
            </c:ext>
          </c:extLst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9A2-43F5-BA81-5517CE5C8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79168"/>
        <c:axId val="229481088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9A2-43F5-BA81-5517CE5C8DF7}"/>
            </c:ext>
          </c:extLst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9A2-43F5-BA81-5517CE5C8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97472"/>
        <c:axId val="229495552"/>
      </c:scatterChart>
      <c:valAx>
        <c:axId val="229479168"/>
        <c:scaling>
          <c:orientation val="minMax"/>
          <c:max val="44562"/>
          <c:min val="36526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9481088"/>
        <c:crosses val="autoZero"/>
        <c:crossBetween val="midCat"/>
        <c:majorUnit val="731"/>
      </c:valAx>
      <c:valAx>
        <c:axId val="22948108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9479168"/>
        <c:crosses val="autoZero"/>
        <c:crossBetween val="midCat"/>
      </c:valAx>
      <c:valAx>
        <c:axId val="22949555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29497472"/>
        <c:crosses val="max"/>
        <c:crossBetween val="midCat"/>
      </c:valAx>
      <c:valAx>
        <c:axId val="229497472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9495552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Graf!$M$14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37-4500-810D-6570B913BE62}"/>
            </c:ext>
          </c:extLst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37-4500-810D-6570B913BE62}"/>
            </c:ext>
          </c:extLst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37-4500-810D-6570B913B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30240"/>
        <c:axId val="229540608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437-4500-810D-6570B913BE62}"/>
            </c:ext>
          </c:extLst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437-4500-810D-6570B913B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44704"/>
        <c:axId val="229542528"/>
      </c:scatterChart>
      <c:valAx>
        <c:axId val="229530240"/>
        <c:scaling>
          <c:orientation val="minMax"/>
          <c:max val="44562"/>
          <c:min val="36526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9540608"/>
        <c:crosses val="autoZero"/>
        <c:crossBetween val="midCat"/>
        <c:majorUnit val="731"/>
      </c:valAx>
      <c:valAx>
        <c:axId val="22954060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9530240"/>
        <c:crosses val="autoZero"/>
        <c:crossBetween val="midCat"/>
      </c:valAx>
      <c:valAx>
        <c:axId val="22954252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29544704"/>
        <c:crosses val="max"/>
        <c:crossBetween val="midCat"/>
      </c:valAx>
      <c:valAx>
        <c:axId val="229544704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9542528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Graf!$M$16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6B-4734-BA7F-0DBCEFB876B5}"/>
            </c:ext>
          </c:extLst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6B-4734-BA7F-0DBCEFB876B5}"/>
            </c:ext>
          </c:extLst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6B-4734-BA7F-0DBCEFB876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856000"/>
        <c:axId val="229857920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36B-4734-BA7F-0DBCEFB876B5}"/>
            </c:ext>
          </c:extLst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36B-4734-BA7F-0DBCEFB876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866112"/>
        <c:axId val="229864192"/>
      </c:scatterChart>
      <c:valAx>
        <c:axId val="229856000"/>
        <c:scaling>
          <c:orientation val="minMax"/>
          <c:max val="44562"/>
          <c:min val="36526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9857920"/>
        <c:crosses val="autoZero"/>
        <c:crossBetween val="midCat"/>
        <c:majorUnit val="731"/>
      </c:valAx>
      <c:valAx>
        <c:axId val="22985792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9856000"/>
        <c:crosses val="autoZero"/>
        <c:crossBetween val="midCat"/>
      </c:valAx>
      <c:valAx>
        <c:axId val="22986419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29866112"/>
        <c:crosses val="max"/>
        <c:crossBetween val="midCat"/>
      </c:valAx>
      <c:valAx>
        <c:axId val="229866112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9864192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Graf!$M$18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F8-46A5-B5E7-CCF4E1BB5548}"/>
            </c:ext>
          </c:extLst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F8-46A5-B5E7-CCF4E1BB5548}"/>
            </c:ext>
          </c:extLst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4F8-46A5-B5E7-CCF4E1BB5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41216"/>
        <c:axId val="229643392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4F8-46A5-B5E7-CCF4E1BB5548}"/>
            </c:ext>
          </c:extLst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4F8-46A5-B5E7-CCF4E1BB5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59776"/>
        <c:axId val="229645312"/>
      </c:scatterChart>
      <c:valAx>
        <c:axId val="229641216"/>
        <c:scaling>
          <c:orientation val="minMax"/>
          <c:max val="44562"/>
          <c:min val="36526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9643392"/>
        <c:crosses val="autoZero"/>
        <c:crossBetween val="midCat"/>
        <c:majorUnit val="731"/>
      </c:valAx>
      <c:valAx>
        <c:axId val="22964339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9641216"/>
        <c:crosses val="autoZero"/>
        <c:crossBetween val="midCat"/>
      </c:valAx>
      <c:valAx>
        <c:axId val="22964531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29659776"/>
        <c:crosses val="max"/>
        <c:crossBetween val="midCat"/>
      </c:valAx>
      <c:valAx>
        <c:axId val="229659776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9645312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Graf!$M$20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86-42BA-A8DD-5A3F5125701B}"/>
            </c:ext>
          </c:extLst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86-42BA-A8DD-5A3F5125701B}"/>
            </c:ext>
          </c:extLst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86-42BA-A8DD-5A3F51257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700736"/>
        <c:axId val="229702656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86-42BA-A8DD-5A3F5125701B}"/>
            </c:ext>
          </c:extLst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B86-42BA-A8DD-5A3F51257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719040"/>
        <c:axId val="229717120"/>
      </c:scatterChart>
      <c:valAx>
        <c:axId val="229700736"/>
        <c:scaling>
          <c:orientation val="minMax"/>
          <c:max val="44562"/>
          <c:min val="36526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9702656"/>
        <c:crosses val="autoZero"/>
        <c:crossBetween val="midCat"/>
        <c:majorUnit val="731"/>
      </c:valAx>
      <c:valAx>
        <c:axId val="22970265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9700736"/>
        <c:crosses val="autoZero"/>
        <c:crossBetween val="midCat"/>
      </c:valAx>
      <c:valAx>
        <c:axId val="22971712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29719040"/>
        <c:crosses val="max"/>
        <c:crossBetween val="midCat"/>
      </c:valAx>
      <c:valAx>
        <c:axId val="229719040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9717120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Graf!$M$15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A4-4BAF-9A0F-0D841D417FDC}"/>
            </c:ext>
          </c:extLst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A4-4BAF-9A0F-0D841D417FDC}"/>
            </c:ext>
          </c:extLst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A4-4BAF-9A0F-0D841D417F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751808"/>
        <c:axId val="229753984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BA4-4BAF-9A0F-0D841D417FDC}"/>
            </c:ext>
          </c:extLst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BA4-4BAF-9A0F-0D841D417F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782656"/>
        <c:axId val="229755904"/>
      </c:scatterChart>
      <c:valAx>
        <c:axId val="229751808"/>
        <c:scaling>
          <c:orientation val="minMax"/>
          <c:max val="44562"/>
          <c:min val="36526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9753984"/>
        <c:crosses val="autoZero"/>
        <c:crossBetween val="midCat"/>
        <c:majorUnit val="731"/>
      </c:valAx>
      <c:valAx>
        <c:axId val="22975398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9751808"/>
        <c:crosses val="autoZero"/>
        <c:crossBetween val="midCat"/>
      </c:valAx>
      <c:valAx>
        <c:axId val="22975590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29782656"/>
        <c:crosses val="max"/>
        <c:crossBetween val="midCat"/>
      </c:valAx>
      <c:valAx>
        <c:axId val="229782656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9755904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Graf!$M$17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60-441A-9897-0D48D0B83B16}"/>
            </c:ext>
          </c:extLst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60-441A-9897-0D48D0B83B16}"/>
            </c:ext>
          </c:extLst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60-441A-9897-0D48D0B83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823616"/>
        <c:axId val="229825536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A60-441A-9897-0D48D0B83B16}"/>
            </c:ext>
          </c:extLst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A60-441A-9897-0D48D0B83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977088"/>
        <c:axId val="229975168"/>
      </c:scatterChart>
      <c:valAx>
        <c:axId val="229823616"/>
        <c:scaling>
          <c:orientation val="minMax"/>
          <c:max val="44562"/>
          <c:min val="36526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9825536"/>
        <c:crosses val="autoZero"/>
        <c:crossBetween val="midCat"/>
        <c:majorUnit val="731"/>
      </c:valAx>
      <c:valAx>
        <c:axId val="22982553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9823616"/>
        <c:crosses val="autoZero"/>
        <c:crossBetween val="midCat"/>
      </c:valAx>
      <c:valAx>
        <c:axId val="22997516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29977088"/>
        <c:crosses val="max"/>
        <c:crossBetween val="midCat"/>
      </c:valAx>
      <c:valAx>
        <c:axId val="229977088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9975168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Graf!$M$19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E8-4A65-B757-CC4BD3DF03BE}"/>
            </c:ext>
          </c:extLst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E8-4A65-B757-CC4BD3DF03BE}"/>
            </c:ext>
          </c:extLst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E8-4A65-B757-CC4BD3DF0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034048"/>
        <c:axId val="230040320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E8-4A65-B757-CC4BD3DF03BE}"/>
            </c:ext>
          </c:extLst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2E8-4A65-B757-CC4BD3DF0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048512"/>
        <c:axId val="230042240"/>
      </c:scatterChart>
      <c:valAx>
        <c:axId val="230034048"/>
        <c:scaling>
          <c:orientation val="minMax"/>
          <c:max val="44562"/>
          <c:min val="36526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30040320"/>
        <c:crosses val="autoZero"/>
        <c:crossBetween val="midCat"/>
        <c:majorUnit val="731"/>
      </c:valAx>
      <c:valAx>
        <c:axId val="23004032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30034048"/>
        <c:crosses val="autoZero"/>
        <c:crossBetween val="midCat"/>
      </c:valAx>
      <c:valAx>
        <c:axId val="23004224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30048512"/>
        <c:crosses val="max"/>
        <c:crossBetween val="midCat"/>
      </c:valAx>
      <c:valAx>
        <c:axId val="230048512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30042240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Graf!$M$21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69-4478-8FD2-808A23B6B33A}"/>
            </c:ext>
          </c:extLst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69-4478-8FD2-808A23B6B33A}"/>
            </c:ext>
          </c:extLst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69-4478-8FD2-808A23B6B3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089472"/>
        <c:axId val="230091392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69-4478-8FD2-808A23B6B33A}"/>
            </c:ext>
          </c:extLst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269-4478-8FD2-808A23B6B3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165120"/>
        <c:axId val="230163200"/>
      </c:scatterChart>
      <c:valAx>
        <c:axId val="230089472"/>
        <c:scaling>
          <c:orientation val="minMax"/>
          <c:max val="44562"/>
          <c:min val="36526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30091392"/>
        <c:crosses val="autoZero"/>
        <c:crossBetween val="midCat"/>
        <c:majorUnit val="731"/>
      </c:valAx>
      <c:valAx>
        <c:axId val="23009139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30089472"/>
        <c:crosses val="autoZero"/>
        <c:crossBetween val="midCat"/>
      </c:valAx>
      <c:valAx>
        <c:axId val="23016320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30165120"/>
        <c:crosses val="max"/>
        <c:crossBetween val="midCat"/>
      </c:valAx>
      <c:valAx>
        <c:axId val="230165120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30163200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Graf!$M$22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1F-4851-A6E7-624AB6AAFEF4}"/>
            </c:ext>
          </c:extLst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1F-4851-A6E7-624AB6AAFEF4}"/>
            </c:ext>
          </c:extLst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F1F-4851-A6E7-624AB6AAF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206080"/>
        <c:axId val="230220544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F1F-4851-A6E7-624AB6AAFEF4}"/>
            </c:ext>
          </c:extLst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F1F-4851-A6E7-624AB6AAF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228736"/>
        <c:axId val="230222464"/>
      </c:scatterChart>
      <c:valAx>
        <c:axId val="230206080"/>
        <c:scaling>
          <c:orientation val="minMax"/>
          <c:max val="44562"/>
          <c:min val="36526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30220544"/>
        <c:crosses val="autoZero"/>
        <c:crossBetween val="midCat"/>
        <c:majorUnit val="731"/>
      </c:valAx>
      <c:valAx>
        <c:axId val="23022054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30206080"/>
        <c:crosses val="autoZero"/>
        <c:crossBetween val="midCat"/>
      </c:valAx>
      <c:valAx>
        <c:axId val="23022246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30228736"/>
        <c:crosses val="max"/>
        <c:crossBetween val="midCat"/>
      </c:valAx>
      <c:valAx>
        <c:axId val="230228736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30222464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Graf!$M$24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54-49CB-8CE3-4E71121D43A0}"/>
            </c:ext>
          </c:extLst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54-49CB-8CE3-4E71121D43A0}"/>
            </c:ext>
          </c:extLst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54-49CB-8CE3-4E71121D4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269696"/>
        <c:axId val="230271616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A54-49CB-8CE3-4E71121D43A0}"/>
            </c:ext>
          </c:extLst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A54-49CB-8CE3-4E71121D4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283904"/>
        <c:axId val="230281984"/>
      </c:scatterChart>
      <c:valAx>
        <c:axId val="230269696"/>
        <c:scaling>
          <c:orientation val="minMax"/>
          <c:max val="44562"/>
          <c:min val="36526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30271616"/>
        <c:crosses val="autoZero"/>
        <c:crossBetween val="midCat"/>
        <c:majorUnit val="731"/>
      </c:valAx>
      <c:valAx>
        <c:axId val="23027161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30269696"/>
        <c:crosses val="autoZero"/>
        <c:crossBetween val="midCat"/>
      </c:valAx>
      <c:valAx>
        <c:axId val="23028198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30283904"/>
        <c:crosses val="max"/>
        <c:crossBetween val="midCat"/>
      </c:valAx>
      <c:valAx>
        <c:axId val="230283904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30281984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Graf!$M$23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17-424B-8E2C-725A4FA1BE08}"/>
            </c:ext>
          </c:extLst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17-424B-8E2C-725A4FA1BE08}"/>
            </c:ext>
          </c:extLst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17-424B-8E2C-725A4FA1B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386304"/>
        <c:axId val="230400768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017-424B-8E2C-725A4FA1BE08}"/>
            </c:ext>
          </c:extLst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017-424B-8E2C-725A4FA1B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404864"/>
        <c:axId val="230402688"/>
      </c:scatterChart>
      <c:valAx>
        <c:axId val="230386304"/>
        <c:scaling>
          <c:orientation val="minMax"/>
          <c:max val="44562"/>
          <c:min val="36526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30400768"/>
        <c:crosses val="autoZero"/>
        <c:crossBetween val="midCat"/>
        <c:majorUnit val="731"/>
      </c:valAx>
      <c:valAx>
        <c:axId val="23040076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30386304"/>
        <c:crosses val="autoZero"/>
        <c:crossBetween val="midCat"/>
      </c:valAx>
      <c:valAx>
        <c:axId val="23040268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30404864"/>
        <c:crosses val="max"/>
        <c:crossBetween val="midCat"/>
      </c:valAx>
      <c:valAx>
        <c:axId val="230404864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30402688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Graf!$M$25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B6-43D2-9464-CF4CD9D2440C}"/>
            </c:ext>
          </c:extLst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B6-43D2-9464-CF4CD9D2440C}"/>
            </c:ext>
          </c:extLst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B6-43D2-9464-CF4CD9D24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462208"/>
        <c:axId val="230464128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B6-43D2-9464-CF4CD9D2440C}"/>
            </c:ext>
          </c:extLst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FB6-43D2-9464-CF4CD9D24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468224"/>
        <c:axId val="230466304"/>
      </c:scatterChart>
      <c:valAx>
        <c:axId val="230462208"/>
        <c:scaling>
          <c:orientation val="minMax"/>
          <c:max val="44562"/>
          <c:min val="36526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30464128"/>
        <c:crosses val="autoZero"/>
        <c:crossBetween val="midCat"/>
        <c:majorUnit val="731"/>
      </c:valAx>
      <c:valAx>
        <c:axId val="23046412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30462208"/>
        <c:crosses val="autoZero"/>
        <c:crossBetween val="midCat"/>
      </c:valAx>
      <c:valAx>
        <c:axId val="23046630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30468224"/>
        <c:crosses val="max"/>
        <c:crossBetween val="midCat"/>
      </c:valAx>
      <c:valAx>
        <c:axId val="230468224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30466304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[0]!b_1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[0]!dato_1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62-4E98-9CFA-55DC0BB13DED}"/>
            </c:ext>
          </c:extLst>
        </c:ser>
        <c:ser>
          <c:idx val="1"/>
          <c:order val="1"/>
          <c:tx>
            <c:strRef>
              <c:f>[0]!b_2</c:f>
              <c:strCache>
                <c:ptCount val="1"/>
              </c:strCache>
            </c:strRef>
          </c:tx>
          <c:spPr>
            <a:ln w="12700">
              <a:solidFill>
                <a:srgbClr val="50D25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[0]!dato_2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62-4E98-9CFA-55DC0BB13DED}"/>
            </c:ext>
          </c:extLst>
        </c:ser>
        <c:ser>
          <c:idx val="2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12700">
              <a:solidFill>
                <a:srgbClr val="0078C8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62-4E98-9CFA-55DC0BB13DED}"/>
            </c:ext>
          </c:extLst>
        </c:ser>
        <c:ser>
          <c:idx val="3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12700">
              <a:solidFill>
                <a:srgbClr val="FF9646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A62-4E98-9CFA-55DC0BB13DED}"/>
            </c:ext>
          </c:extLst>
        </c:ser>
        <c:ser>
          <c:idx val="4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12700">
              <a:solidFill>
                <a:srgbClr val="96968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A62-4E98-9CFA-55DC0BB13DED}"/>
            </c:ext>
          </c:extLst>
        </c:ser>
        <c:ser>
          <c:idx val="5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12700">
              <a:solidFill>
                <a:srgbClr val="FA00FA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A62-4E98-9CFA-55DC0BB13DED}"/>
            </c:ext>
          </c:extLst>
        </c:ser>
        <c:ser>
          <c:idx val="6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12700">
              <a:solidFill>
                <a:srgbClr val="00D2D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A62-4E98-9CFA-55DC0BB13DED}"/>
            </c:ext>
          </c:extLst>
        </c:ser>
        <c:ser>
          <c:idx val="7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A62-4E98-9CFA-55DC0BB13DED}"/>
            </c:ext>
          </c:extLst>
        </c:ser>
        <c:ser>
          <c:idx val="8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A62-4E98-9CFA-55DC0BB13DED}"/>
            </c:ext>
          </c:extLst>
        </c:ser>
        <c:ser>
          <c:idx val="9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A62-4E98-9CFA-55DC0BB13DED}"/>
            </c:ext>
          </c:extLst>
        </c:ser>
        <c:ser>
          <c:idx val="10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12700">
              <a:solidFill>
                <a:srgbClr val="B4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A62-4E98-9CFA-55DC0BB13DED}"/>
            </c:ext>
          </c:extLst>
        </c:ser>
        <c:ser>
          <c:idx val="11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12700">
              <a:solidFill>
                <a:srgbClr val="0082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A62-4E98-9CFA-55DC0BB13DED}"/>
            </c:ext>
          </c:extLst>
        </c:ser>
        <c:ser>
          <c:idx val="12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12700">
              <a:solidFill>
                <a:srgbClr val="0064C8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A62-4E98-9CFA-55DC0BB13DED}"/>
            </c:ext>
          </c:extLst>
        </c:ser>
        <c:ser>
          <c:idx val="13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12700">
              <a:solidFill>
                <a:srgbClr val="E6643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A62-4E98-9CFA-55DC0BB13DED}"/>
            </c:ext>
          </c:extLst>
        </c:ser>
        <c:ser>
          <c:idx val="14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12700">
              <a:solidFill>
                <a:srgbClr val="6E6E6E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A62-4E98-9CFA-55DC0BB13DED}"/>
            </c:ext>
          </c:extLst>
        </c:ser>
        <c:ser>
          <c:idx val="15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12700">
              <a:solidFill>
                <a:srgbClr val="D200D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A62-4E98-9CFA-55DC0BB13DED}"/>
            </c:ext>
          </c:extLst>
        </c:ser>
        <c:ser>
          <c:idx val="16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12700">
              <a:solidFill>
                <a:srgbClr val="00B4B4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FA62-4E98-9CFA-55DC0BB13DED}"/>
            </c:ext>
          </c:extLst>
        </c:ser>
        <c:ser>
          <c:idx val="17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FA62-4E98-9CFA-55DC0BB13DED}"/>
            </c:ext>
          </c:extLst>
        </c:ser>
        <c:ser>
          <c:idx val="18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FA62-4E98-9CFA-55DC0BB13DED}"/>
            </c:ext>
          </c:extLst>
        </c:ser>
        <c:ser>
          <c:idx val="19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FA62-4E98-9CFA-55DC0BB13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515840"/>
        <c:axId val="230517760"/>
      </c:scatterChart>
      <c:valAx>
        <c:axId val="230515840"/>
        <c:scaling>
          <c:orientation val="minMax"/>
          <c:max val="44562"/>
          <c:min val="36526"/>
        </c:scaling>
        <c:delete val="0"/>
        <c:axPos val="b"/>
        <c:numFmt formatCode="yy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30517760"/>
        <c:crosses val="autoZero"/>
        <c:crossBetween val="midCat"/>
        <c:majorUnit val="731"/>
      </c:valAx>
      <c:valAx>
        <c:axId val="23051776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Strontium</a:t>
                </a:r>
                <a:r>
                  <a:rPr lang="da-DK" baseline="0"/>
                  <a:t> u</a:t>
                </a:r>
                <a:r>
                  <a:rPr lang="da-DK"/>
                  <a:t>g/l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30515840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[0]!b_1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[0]!dato_1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DF-4966-973E-19546F383298}"/>
            </c:ext>
          </c:extLst>
        </c:ser>
        <c:ser>
          <c:idx val="1"/>
          <c:order val="1"/>
          <c:tx>
            <c:strRef>
              <c:f>[0]!b_2</c:f>
              <c:strCache>
                <c:ptCount val="1"/>
              </c:strCache>
            </c:strRef>
          </c:tx>
          <c:spPr>
            <a:ln w="12700">
              <a:solidFill>
                <a:srgbClr val="50D25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[0]!dato_2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DF-4966-973E-19546F383298}"/>
            </c:ext>
          </c:extLst>
        </c:ser>
        <c:ser>
          <c:idx val="2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12700">
              <a:solidFill>
                <a:srgbClr val="0078C8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8DF-4966-973E-19546F383298}"/>
            </c:ext>
          </c:extLst>
        </c:ser>
        <c:ser>
          <c:idx val="3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12700">
              <a:solidFill>
                <a:srgbClr val="FF9646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8DF-4966-973E-19546F383298}"/>
            </c:ext>
          </c:extLst>
        </c:ser>
        <c:ser>
          <c:idx val="4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12700">
              <a:solidFill>
                <a:srgbClr val="96968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8DF-4966-973E-19546F383298}"/>
            </c:ext>
          </c:extLst>
        </c:ser>
        <c:ser>
          <c:idx val="5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12700">
              <a:solidFill>
                <a:srgbClr val="FA00FA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8DF-4966-973E-19546F383298}"/>
            </c:ext>
          </c:extLst>
        </c:ser>
        <c:ser>
          <c:idx val="6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12700">
              <a:solidFill>
                <a:srgbClr val="00D2D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8DF-4966-973E-19546F383298}"/>
            </c:ext>
          </c:extLst>
        </c:ser>
        <c:ser>
          <c:idx val="7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8DF-4966-973E-19546F383298}"/>
            </c:ext>
          </c:extLst>
        </c:ser>
        <c:ser>
          <c:idx val="8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8DF-4966-973E-19546F383298}"/>
            </c:ext>
          </c:extLst>
        </c:ser>
        <c:ser>
          <c:idx val="9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8DF-4966-973E-19546F383298}"/>
            </c:ext>
          </c:extLst>
        </c:ser>
        <c:ser>
          <c:idx val="10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12700">
              <a:solidFill>
                <a:srgbClr val="B4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8DF-4966-973E-19546F383298}"/>
            </c:ext>
          </c:extLst>
        </c:ser>
        <c:ser>
          <c:idx val="11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12700">
              <a:solidFill>
                <a:srgbClr val="0082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8DF-4966-973E-19546F383298}"/>
            </c:ext>
          </c:extLst>
        </c:ser>
        <c:ser>
          <c:idx val="12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12700">
              <a:solidFill>
                <a:srgbClr val="0064C8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8DF-4966-973E-19546F383298}"/>
            </c:ext>
          </c:extLst>
        </c:ser>
        <c:ser>
          <c:idx val="13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12700">
              <a:solidFill>
                <a:srgbClr val="E6643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8DF-4966-973E-19546F383298}"/>
            </c:ext>
          </c:extLst>
        </c:ser>
        <c:ser>
          <c:idx val="14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12700">
              <a:solidFill>
                <a:srgbClr val="6E6E6E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8DF-4966-973E-19546F383298}"/>
            </c:ext>
          </c:extLst>
        </c:ser>
        <c:ser>
          <c:idx val="15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12700">
              <a:solidFill>
                <a:srgbClr val="D200D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8DF-4966-973E-19546F383298}"/>
            </c:ext>
          </c:extLst>
        </c:ser>
        <c:ser>
          <c:idx val="16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12700">
              <a:solidFill>
                <a:srgbClr val="00B4B4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C8DF-4966-973E-19546F383298}"/>
            </c:ext>
          </c:extLst>
        </c:ser>
        <c:ser>
          <c:idx val="17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8DF-4966-973E-19546F383298}"/>
            </c:ext>
          </c:extLst>
        </c:ser>
        <c:ser>
          <c:idx val="18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8DF-4966-973E-19546F383298}"/>
            </c:ext>
          </c:extLst>
        </c:ser>
        <c:ser>
          <c:idx val="19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8DF-4966-973E-19546F383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643584"/>
        <c:axId val="230645760"/>
      </c:scatterChart>
      <c:valAx>
        <c:axId val="230643584"/>
        <c:scaling>
          <c:orientation val="minMax"/>
          <c:max val="44562"/>
          <c:min val="36526"/>
        </c:scaling>
        <c:delete val="0"/>
        <c:axPos val="b"/>
        <c:numFmt formatCode="yy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30645760"/>
        <c:crosses val="autoZero"/>
        <c:crossBetween val="midCat"/>
        <c:majorUnit val="731"/>
      </c:valAx>
      <c:valAx>
        <c:axId val="23064576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Nitrat</a:t>
                </a:r>
                <a:r>
                  <a:rPr lang="da-DK" baseline="0"/>
                  <a:t> m</a:t>
                </a:r>
                <a:r>
                  <a:rPr lang="da-DK"/>
                  <a:t>g/l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30643584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[0]!b_1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[0]!dato_1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85-4F52-A409-C204B90FAA76}"/>
            </c:ext>
          </c:extLst>
        </c:ser>
        <c:ser>
          <c:idx val="1"/>
          <c:order val="1"/>
          <c:tx>
            <c:strRef>
              <c:f>[0]!b_2</c:f>
              <c:strCache>
                <c:ptCount val="1"/>
              </c:strCache>
            </c:strRef>
          </c:tx>
          <c:spPr>
            <a:ln w="12700">
              <a:solidFill>
                <a:srgbClr val="50D25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[0]!dato_2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85-4F52-A409-C204B90FAA76}"/>
            </c:ext>
          </c:extLst>
        </c:ser>
        <c:ser>
          <c:idx val="2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12700">
              <a:solidFill>
                <a:srgbClr val="0078C8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85-4F52-A409-C204B90FAA76}"/>
            </c:ext>
          </c:extLst>
        </c:ser>
        <c:ser>
          <c:idx val="3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12700">
              <a:solidFill>
                <a:srgbClr val="FF9646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685-4F52-A409-C204B90FAA76}"/>
            </c:ext>
          </c:extLst>
        </c:ser>
        <c:ser>
          <c:idx val="4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12700">
              <a:solidFill>
                <a:srgbClr val="96968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685-4F52-A409-C204B90FAA76}"/>
            </c:ext>
          </c:extLst>
        </c:ser>
        <c:ser>
          <c:idx val="5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12700">
              <a:solidFill>
                <a:srgbClr val="FA00FA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685-4F52-A409-C204B90FAA76}"/>
            </c:ext>
          </c:extLst>
        </c:ser>
        <c:ser>
          <c:idx val="6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12700">
              <a:solidFill>
                <a:srgbClr val="00D2D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685-4F52-A409-C204B90FAA76}"/>
            </c:ext>
          </c:extLst>
        </c:ser>
        <c:ser>
          <c:idx val="7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685-4F52-A409-C204B90FAA76}"/>
            </c:ext>
          </c:extLst>
        </c:ser>
        <c:ser>
          <c:idx val="8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685-4F52-A409-C204B90FAA76}"/>
            </c:ext>
          </c:extLst>
        </c:ser>
        <c:ser>
          <c:idx val="9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685-4F52-A409-C204B90FAA76}"/>
            </c:ext>
          </c:extLst>
        </c:ser>
        <c:ser>
          <c:idx val="10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12700">
              <a:solidFill>
                <a:srgbClr val="B4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685-4F52-A409-C204B90FAA76}"/>
            </c:ext>
          </c:extLst>
        </c:ser>
        <c:ser>
          <c:idx val="11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12700">
              <a:solidFill>
                <a:srgbClr val="0082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685-4F52-A409-C204B90FAA76}"/>
            </c:ext>
          </c:extLst>
        </c:ser>
        <c:ser>
          <c:idx val="12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12700">
              <a:solidFill>
                <a:srgbClr val="0064C8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685-4F52-A409-C204B90FAA76}"/>
            </c:ext>
          </c:extLst>
        </c:ser>
        <c:ser>
          <c:idx val="13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12700">
              <a:solidFill>
                <a:srgbClr val="E6643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685-4F52-A409-C204B90FAA76}"/>
            </c:ext>
          </c:extLst>
        </c:ser>
        <c:ser>
          <c:idx val="14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12700">
              <a:solidFill>
                <a:srgbClr val="6E6E6E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85-4F52-A409-C204B90FAA76}"/>
            </c:ext>
          </c:extLst>
        </c:ser>
        <c:ser>
          <c:idx val="15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12700">
              <a:solidFill>
                <a:srgbClr val="D200D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685-4F52-A409-C204B90FAA76}"/>
            </c:ext>
          </c:extLst>
        </c:ser>
        <c:ser>
          <c:idx val="16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12700">
              <a:solidFill>
                <a:srgbClr val="00B4B4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685-4F52-A409-C204B90FAA76}"/>
            </c:ext>
          </c:extLst>
        </c:ser>
        <c:ser>
          <c:idx val="17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1685-4F52-A409-C204B90FAA76}"/>
            </c:ext>
          </c:extLst>
        </c:ser>
        <c:ser>
          <c:idx val="18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1685-4F52-A409-C204B90FAA76}"/>
            </c:ext>
          </c:extLst>
        </c:ser>
        <c:ser>
          <c:idx val="19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1685-4F52-A409-C204B90FAA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17792"/>
        <c:axId val="231135104"/>
      </c:scatterChart>
      <c:valAx>
        <c:axId val="230817792"/>
        <c:scaling>
          <c:orientation val="minMax"/>
          <c:max val="44562"/>
          <c:min val="36526"/>
        </c:scaling>
        <c:delete val="0"/>
        <c:axPos val="b"/>
        <c:numFmt formatCode="yy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31135104"/>
        <c:crosses val="autoZero"/>
        <c:crossBetween val="midCat"/>
        <c:majorUnit val="731"/>
      </c:valAx>
      <c:valAx>
        <c:axId val="2311351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Nikkel</a:t>
                </a:r>
                <a:r>
                  <a:rPr lang="da-DK" baseline="0"/>
                  <a:t> </a:t>
                </a:r>
                <a:r>
                  <a:rPr lang="da-DK"/>
                  <a:t>ug/l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30817792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[0]!b_1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[0]!dato_1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DC-4BF9-9EE2-958CE81CFBE0}"/>
            </c:ext>
          </c:extLst>
        </c:ser>
        <c:ser>
          <c:idx val="1"/>
          <c:order val="1"/>
          <c:tx>
            <c:strRef>
              <c:f>[0]!b_2</c:f>
              <c:strCache>
                <c:ptCount val="1"/>
              </c:strCache>
            </c:strRef>
          </c:tx>
          <c:spPr>
            <a:ln w="12700">
              <a:solidFill>
                <a:srgbClr val="50D25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[0]!dato_2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DC-4BF9-9EE2-958CE81CFBE0}"/>
            </c:ext>
          </c:extLst>
        </c:ser>
        <c:ser>
          <c:idx val="2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12700">
              <a:solidFill>
                <a:srgbClr val="0078C8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5DC-4BF9-9EE2-958CE81CFBE0}"/>
            </c:ext>
          </c:extLst>
        </c:ser>
        <c:ser>
          <c:idx val="3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12700">
              <a:solidFill>
                <a:srgbClr val="FF9646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DC-4BF9-9EE2-958CE81CFBE0}"/>
            </c:ext>
          </c:extLst>
        </c:ser>
        <c:ser>
          <c:idx val="4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12700">
              <a:solidFill>
                <a:srgbClr val="96968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DC-4BF9-9EE2-958CE81CFBE0}"/>
            </c:ext>
          </c:extLst>
        </c:ser>
        <c:ser>
          <c:idx val="5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12700">
              <a:solidFill>
                <a:srgbClr val="FA00FA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5DC-4BF9-9EE2-958CE81CFBE0}"/>
            </c:ext>
          </c:extLst>
        </c:ser>
        <c:ser>
          <c:idx val="6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12700">
              <a:solidFill>
                <a:srgbClr val="00D2D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DC-4BF9-9EE2-958CE81CFBE0}"/>
            </c:ext>
          </c:extLst>
        </c:ser>
        <c:ser>
          <c:idx val="7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5DC-4BF9-9EE2-958CE81CFBE0}"/>
            </c:ext>
          </c:extLst>
        </c:ser>
        <c:ser>
          <c:idx val="8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5DC-4BF9-9EE2-958CE81CFBE0}"/>
            </c:ext>
          </c:extLst>
        </c:ser>
        <c:ser>
          <c:idx val="9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5DC-4BF9-9EE2-958CE81CFBE0}"/>
            </c:ext>
          </c:extLst>
        </c:ser>
        <c:ser>
          <c:idx val="10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12700">
              <a:solidFill>
                <a:srgbClr val="B4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5DC-4BF9-9EE2-958CE81CFBE0}"/>
            </c:ext>
          </c:extLst>
        </c:ser>
        <c:ser>
          <c:idx val="11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12700">
              <a:solidFill>
                <a:srgbClr val="0082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5DC-4BF9-9EE2-958CE81CFBE0}"/>
            </c:ext>
          </c:extLst>
        </c:ser>
        <c:ser>
          <c:idx val="12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12700">
              <a:solidFill>
                <a:srgbClr val="0064C8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5DC-4BF9-9EE2-958CE81CFBE0}"/>
            </c:ext>
          </c:extLst>
        </c:ser>
        <c:ser>
          <c:idx val="13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12700">
              <a:solidFill>
                <a:srgbClr val="E6643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5DC-4BF9-9EE2-958CE81CFBE0}"/>
            </c:ext>
          </c:extLst>
        </c:ser>
        <c:ser>
          <c:idx val="14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12700">
              <a:solidFill>
                <a:srgbClr val="6E6E6E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5DC-4BF9-9EE2-958CE81CFBE0}"/>
            </c:ext>
          </c:extLst>
        </c:ser>
        <c:ser>
          <c:idx val="15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12700">
              <a:solidFill>
                <a:srgbClr val="D200D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5DC-4BF9-9EE2-958CE81CFBE0}"/>
            </c:ext>
          </c:extLst>
        </c:ser>
        <c:ser>
          <c:idx val="16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12700">
              <a:solidFill>
                <a:srgbClr val="00B4B4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5DC-4BF9-9EE2-958CE81CFBE0}"/>
            </c:ext>
          </c:extLst>
        </c:ser>
        <c:ser>
          <c:idx val="17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5DC-4BF9-9EE2-958CE81CFBE0}"/>
            </c:ext>
          </c:extLst>
        </c:ser>
        <c:ser>
          <c:idx val="18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5DC-4BF9-9EE2-958CE81CFBE0}"/>
            </c:ext>
          </c:extLst>
        </c:ser>
        <c:ser>
          <c:idx val="19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5DC-4BF9-9EE2-958CE81CF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976896"/>
        <c:axId val="230999552"/>
      </c:scatterChart>
      <c:valAx>
        <c:axId val="230976896"/>
        <c:scaling>
          <c:orientation val="minMax"/>
          <c:max val="44562"/>
          <c:min val="36526"/>
        </c:scaling>
        <c:delete val="0"/>
        <c:axPos val="b"/>
        <c:numFmt formatCode="yy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30999552"/>
        <c:crosses val="autoZero"/>
        <c:crossBetween val="midCat"/>
        <c:majorUnit val="731"/>
      </c:valAx>
      <c:valAx>
        <c:axId val="23099955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Arsen</a:t>
                </a:r>
                <a:r>
                  <a:rPr lang="da-DK" baseline="0"/>
                  <a:t> u</a:t>
                </a:r>
                <a:r>
                  <a:rPr lang="da-DK"/>
                  <a:t>g/l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30976896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[0]!b_1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[0]!dato_1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45-438F-B2CF-EAD7C690FDB7}"/>
            </c:ext>
          </c:extLst>
        </c:ser>
        <c:ser>
          <c:idx val="1"/>
          <c:order val="1"/>
          <c:tx>
            <c:strRef>
              <c:f>[0]!b_2</c:f>
              <c:strCache>
                <c:ptCount val="1"/>
              </c:strCache>
            </c:strRef>
          </c:tx>
          <c:spPr>
            <a:ln w="12700">
              <a:solidFill>
                <a:srgbClr val="50D25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[0]!dato_2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45-438F-B2CF-EAD7C690FDB7}"/>
            </c:ext>
          </c:extLst>
        </c:ser>
        <c:ser>
          <c:idx val="2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12700">
              <a:solidFill>
                <a:srgbClr val="0078C8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445-438F-B2CF-EAD7C690FDB7}"/>
            </c:ext>
          </c:extLst>
        </c:ser>
        <c:ser>
          <c:idx val="3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12700">
              <a:solidFill>
                <a:srgbClr val="FF9646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445-438F-B2CF-EAD7C690FDB7}"/>
            </c:ext>
          </c:extLst>
        </c:ser>
        <c:ser>
          <c:idx val="4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12700">
              <a:solidFill>
                <a:srgbClr val="96968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445-438F-B2CF-EAD7C690FDB7}"/>
            </c:ext>
          </c:extLst>
        </c:ser>
        <c:ser>
          <c:idx val="5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12700">
              <a:solidFill>
                <a:srgbClr val="FA00FA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445-438F-B2CF-EAD7C690FDB7}"/>
            </c:ext>
          </c:extLst>
        </c:ser>
        <c:ser>
          <c:idx val="6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12700">
              <a:solidFill>
                <a:srgbClr val="00D2D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445-438F-B2CF-EAD7C690FDB7}"/>
            </c:ext>
          </c:extLst>
        </c:ser>
        <c:ser>
          <c:idx val="7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445-438F-B2CF-EAD7C690FDB7}"/>
            </c:ext>
          </c:extLst>
        </c:ser>
        <c:ser>
          <c:idx val="8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445-438F-B2CF-EAD7C690FDB7}"/>
            </c:ext>
          </c:extLst>
        </c:ser>
        <c:ser>
          <c:idx val="9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445-438F-B2CF-EAD7C690FDB7}"/>
            </c:ext>
          </c:extLst>
        </c:ser>
        <c:ser>
          <c:idx val="10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12700">
              <a:solidFill>
                <a:srgbClr val="B4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445-438F-B2CF-EAD7C690FDB7}"/>
            </c:ext>
          </c:extLst>
        </c:ser>
        <c:ser>
          <c:idx val="11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12700">
              <a:solidFill>
                <a:srgbClr val="0082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445-438F-B2CF-EAD7C690FDB7}"/>
            </c:ext>
          </c:extLst>
        </c:ser>
        <c:ser>
          <c:idx val="12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12700">
              <a:solidFill>
                <a:srgbClr val="0064C8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445-438F-B2CF-EAD7C690FDB7}"/>
            </c:ext>
          </c:extLst>
        </c:ser>
        <c:ser>
          <c:idx val="13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12700">
              <a:solidFill>
                <a:srgbClr val="E6643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445-438F-B2CF-EAD7C690FDB7}"/>
            </c:ext>
          </c:extLst>
        </c:ser>
        <c:ser>
          <c:idx val="14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12700">
              <a:solidFill>
                <a:srgbClr val="6E6E6E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445-438F-B2CF-EAD7C690FDB7}"/>
            </c:ext>
          </c:extLst>
        </c:ser>
        <c:ser>
          <c:idx val="15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12700">
              <a:solidFill>
                <a:srgbClr val="D200D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445-438F-B2CF-EAD7C690FDB7}"/>
            </c:ext>
          </c:extLst>
        </c:ser>
        <c:ser>
          <c:idx val="16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12700">
              <a:solidFill>
                <a:srgbClr val="00B4B4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445-438F-B2CF-EAD7C690FDB7}"/>
            </c:ext>
          </c:extLst>
        </c:ser>
        <c:ser>
          <c:idx val="17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445-438F-B2CF-EAD7C690FDB7}"/>
            </c:ext>
          </c:extLst>
        </c:ser>
        <c:ser>
          <c:idx val="18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445-438F-B2CF-EAD7C690FDB7}"/>
            </c:ext>
          </c:extLst>
        </c:ser>
        <c:ser>
          <c:idx val="19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D445-438F-B2CF-EAD7C690FD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190912"/>
        <c:axId val="231192832"/>
      </c:scatterChart>
      <c:valAx>
        <c:axId val="231190912"/>
        <c:scaling>
          <c:orientation val="minMax"/>
          <c:max val="44562"/>
          <c:min val="36526"/>
        </c:scaling>
        <c:delete val="0"/>
        <c:axPos val="b"/>
        <c:numFmt formatCode="yy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31192832"/>
        <c:crosses val="autoZero"/>
        <c:crossBetween val="midCat"/>
        <c:majorUnit val="731"/>
      </c:valAx>
      <c:valAx>
        <c:axId val="23119283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Bor</a:t>
                </a:r>
                <a:r>
                  <a:rPr lang="da-DK" baseline="0"/>
                  <a:t> u</a:t>
                </a:r>
                <a:r>
                  <a:rPr lang="da-DK"/>
                  <a:t>g/l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31190912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46937657720099"/>
          <c:y val="1.3732977492496275E-2"/>
          <c:w val="0.73105602651322332"/>
          <c:h val="0.51289524892619209"/>
        </c:manualLayout>
      </c:layout>
      <c:scatterChart>
        <c:scatterStyle val="lineMarker"/>
        <c:varyColors val="0"/>
        <c:ser>
          <c:idx val="4"/>
          <c:order val="0"/>
          <c:tx>
            <c:strRef>
              <c:f>[0]!b_1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[0]!Bor_1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4D-4061-A20A-5107EC5747C2}"/>
            </c:ext>
          </c:extLst>
        </c:ser>
        <c:ser>
          <c:idx val="5"/>
          <c:order val="1"/>
          <c:tx>
            <c:strRef>
              <c:f>[0]!b_2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[0]!Bor_2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94D-4061-A20A-5107EC5747C2}"/>
            </c:ext>
          </c:extLst>
        </c:ser>
        <c:ser>
          <c:idx val="6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[0]!Bor_3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94D-4061-A20A-5107EC5747C2}"/>
            </c:ext>
          </c:extLst>
        </c:ser>
        <c:ser>
          <c:idx val="7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[0]!Bor_4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94D-4061-A20A-5107EC5747C2}"/>
            </c:ext>
          </c:extLst>
        </c:ser>
        <c:ser>
          <c:idx val="8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[0]!Bor_5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94D-4061-A20A-5107EC5747C2}"/>
            </c:ext>
          </c:extLst>
        </c:ser>
        <c:ser>
          <c:idx val="9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[0]!Bor_6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94D-4061-A20A-5107EC5747C2}"/>
            </c:ext>
          </c:extLst>
        </c:ser>
        <c:ser>
          <c:idx val="13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[0]!Bor_7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94D-4061-A20A-5107EC5747C2}"/>
            </c:ext>
          </c:extLst>
        </c:ser>
        <c:ser>
          <c:idx val="14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[0]!Bor_8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94D-4061-A20A-5107EC5747C2}"/>
            </c:ext>
          </c:extLst>
        </c:ser>
        <c:ser>
          <c:idx val="15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[0]!Bor_9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94D-4061-A20A-5107EC5747C2}"/>
            </c:ext>
          </c:extLst>
        </c:ser>
        <c:ser>
          <c:idx val="16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[0]!Bor_10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94D-4061-A20A-5107EC5747C2}"/>
            </c:ext>
          </c:extLst>
        </c:ser>
        <c:ser>
          <c:idx val="17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[0]!Bor_11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94D-4061-A20A-5107EC5747C2}"/>
            </c:ext>
          </c:extLst>
        </c:ser>
        <c:ser>
          <c:idx val="18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[0]!Bor_12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94D-4061-A20A-5107EC5747C2}"/>
            </c:ext>
          </c:extLst>
        </c:ser>
        <c:ser>
          <c:idx val="19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[0]!Bor_13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94D-4061-A20A-5107EC5747C2}"/>
            </c:ext>
          </c:extLst>
        </c:ser>
        <c:ser>
          <c:idx val="20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[0]!Bor_14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294D-4061-A20A-5107EC5747C2}"/>
            </c:ext>
          </c:extLst>
        </c:ser>
        <c:ser>
          <c:idx val="21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[0]!Bor_15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294D-4061-A20A-5107EC5747C2}"/>
            </c:ext>
          </c:extLst>
        </c:ser>
        <c:ser>
          <c:idx val="22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[0]!Bor_16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294D-4061-A20A-5107EC5747C2}"/>
            </c:ext>
          </c:extLst>
        </c:ser>
        <c:ser>
          <c:idx val="23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[0]!Bor_17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294D-4061-A20A-5107EC5747C2}"/>
            </c:ext>
          </c:extLst>
        </c:ser>
        <c:ser>
          <c:idx val="24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[0]!Bor_18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294D-4061-A20A-5107EC5747C2}"/>
            </c:ext>
          </c:extLst>
        </c:ser>
        <c:ser>
          <c:idx val="25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[0]!Bor_19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294D-4061-A20A-5107EC5747C2}"/>
            </c:ext>
          </c:extLst>
        </c:ser>
        <c:ser>
          <c:idx val="26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[0]!Bor_20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294D-4061-A20A-5107EC574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40672"/>
        <c:axId val="227771904"/>
      </c:scatterChart>
      <c:valAx>
        <c:axId val="227740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Bor (ug/l)</a:t>
                </a:r>
              </a:p>
            </c:rich>
          </c:tx>
          <c:layout>
            <c:manualLayout>
              <c:xMode val="edge"/>
              <c:yMode val="edge"/>
              <c:x val="0.44285692117179326"/>
              <c:y val="0.5907999814693331"/>
            </c:manualLayout>
          </c:layout>
          <c:overlay val="0"/>
        </c:title>
        <c:numFmt formatCode="General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7771904"/>
        <c:crosses val="autoZero"/>
        <c:crossBetween val="midCat"/>
      </c:valAx>
      <c:valAx>
        <c:axId val="227771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 baseline="0"/>
                  <a:t>Fluorid (mg/l</a:t>
                </a:r>
                <a:r>
                  <a:rPr lang="da-DK"/>
                  <a:t>)</a:t>
                </a:r>
              </a:p>
            </c:rich>
          </c:tx>
          <c:layout>
            <c:manualLayout>
              <c:xMode val="edge"/>
              <c:yMode val="edge"/>
              <c:x val="3.0526102435484641E-2"/>
              <c:y val="6.7125746875454959E-2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227740672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layout>
        <c:manualLayout>
          <c:xMode val="edge"/>
          <c:yMode val="edge"/>
          <c:x val="7.6322222222222208E-3"/>
          <c:y val="0.66476527777777783"/>
          <c:w val="0.99236777777777774"/>
          <c:h val="0.31759583333333335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46937657720099"/>
          <c:y val="1.3732977492496275E-2"/>
          <c:w val="0.73105602651322332"/>
          <c:h val="0.51289524892619209"/>
        </c:manualLayout>
      </c:layout>
      <c:scatterChart>
        <c:scatterStyle val="lineMarker"/>
        <c:varyColors val="0"/>
        <c:ser>
          <c:idx val="4"/>
          <c:order val="0"/>
          <c:tx>
            <c:strRef>
              <c:f>[0]!b_1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[0]!Cl_1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75-4C4F-9EDB-1626B1CD8D6E}"/>
            </c:ext>
          </c:extLst>
        </c:ser>
        <c:ser>
          <c:idx val="5"/>
          <c:order val="1"/>
          <c:tx>
            <c:strRef>
              <c:f>[0]!b_2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[0]!Cl_2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75-4C4F-9EDB-1626B1CD8D6E}"/>
            </c:ext>
          </c:extLst>
        </c:ser>
        <c:ser>
          <c:idx val="6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[0]!Cl_3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75-4C4F-9EDB-1626B1CD8D6E}"/>
            </c:ext>
          </c:extLst>
        </c:ser>
        <c:ser>
          <c:idx val="7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[0]!Cl_4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275-4C4F-9EDB-1626B1CD8D6E}"/>
            </c:ext>
          </c:extLst>
        </c:ser>
        <c:ser>
          <c:idx val="8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[0]!Cl_5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275-4C4F-9EDB-1626B1CD8D6E}"/>
            </c:ext>
          </c:extLst>
        </c:ser>
        <c:ser>
          <c:idx val="9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[0]!Cl_6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275-4C4F-9EDB-1626B1CD8D6E}"/>
            </c:ext>
          </c:extLst>
        </c:ser>
        <c:ser>
          <c:idx val="13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[0]!Cl_7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275-4C4F-9EDB-1626B1CD8D6E}"/>
            </c:ext>
          </c:extLst>
        </c:ser>
        <c:ser>
          <c:idx val="14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[0]!Cl_8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275-4C4F-9EDB-1626B1CD8D6E}"/>
            </c:ext>
          </c:extLst>
        </c:ser>
        <c:ser>
          <c:idx val="15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[0]!Cl_9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275-4C4F-9EDB-1626B1CD8D6E}"/>
            </c:ext>
          </c:extLst>
        </c:ser>
        <c:ser>
          <c:idx val="16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[0]!Cl_10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275-4C4F-9EDB-1626B1CD8D6E}"/>
            </c:ext>
          </c:extLst>
        </c:ser>
        <c:ser>
          <c:idx val="17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[0]!Cl_11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275-4C4F-9EDB-1626B1CD8D6E}"/>
            </c:ext>
          </c:extLst>
        </c:ser>
        <c:ser>
          <c:idx val="18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[0]!Cl_12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275-4C4F-9EDB-1626B1CD8D6E}"/>
            </c:ext>
          </c:extLst>
        </c:ser>
        <c:ser>
          <c:idx val="19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[0]!Cl_13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275-4C4F-9EDB-1626B1CD8D6E}"/>
            </c:ext>
          </c:extLst>
        </c:ser>
        <c:ser>
          <c:idx val="20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[0]!Cl_14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275-4C4F-9EDB-1626B1CD8D6E}"/>
            </c:ext>
          </c:extLst>
        </c:ser>
        <c:ser>
          <c:idx val="21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[0]!Cl_15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275-4C4F-9EDB-1626B1CD8D6E}"/>
            </c:ext>
          </c:extLst>
        </c:ser>
        <c:ser>
          <c:idx val="22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[0]!Cl_16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275-4C4F-9EDB-1626B1CD8D6E}"/>
            </c:ext>
          </c:extLst>
        </c:ser>
        <c:ser>
          <c:idx val="23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[0]!Cl_17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275-4C4F-9EDB-1626B1CD8D6E}"/>
            </c:ext>
          </c:extLst>
        </c:ser>
        <c:ser>
          <c:idx val="24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[0]!Cl_18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275-4C4F-9EDB-1626B1CD8D6E}"/>
            </c:ext>
          </c:extLst>
        </c:ser>
        <c:ser>
          <c:idx val="25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[0]!Cl_19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275-4C4F-9EDB-1626B1CD8D6E}"/>
            </c:ext>
          </c:extLst>
        </c:ser>
        <c:ser>
          <c:idx val="26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[0]!Cl_20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275-4C4F-9EDB-1626B1CD8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40672"/>
        <c:axId val="227771904"/>
      </c:scatterChart>
      <c:scatterChart>
        <c:scatterStyle val="smoothMarker"/>
        <c:varyColors val="0"/>
        <c:ser>
          <c:idx val="0"/>
          <c:order val="20"/>
          <c:tx>
            <c:v>Havvand</c:v>
          </c:tx>
          <c:marker>
            <c:symbol val="none"/>
          </c:marker>
          <c:xVal>
            <c:numRef>
              <c:f>Graf!$AF$89:$AF$90</c:f>
              <c:numCache>
                <c:formatCode>General</c:formatCode>
                <c:ptCount val="2"/>
                <c:pt idx="0">
                  <c:v>0</c:v>
                </c:pt>
                <c:pt idx="1">
                  <c:v>19400</c:v>
                </c:pt>
              </c:numCache>
            </c:numRef>
          </c:xVal>
          <c:yVal>
            <c:numRef>
              <c:f>Graf!$AJ$89:$AJ$90</c:f>
              <c:numCache>
                <c:formatCode>General</c:formatCode>
                <c:ptCount val="2"/>
                <c:pt idx="0">
                  <c:v>0</c:v>
                </c:pt>
                <c:pt idx="1">
                  <c:v>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864-450B-AFAD-D70B23011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40672"/>
        <c:axId val="227771904"/>
      </c:scatterChart>
      <c:valAx>
        <c:axId val="227740672"/>
        <c:scaling>
          <c:orientation val="minMax"/>
          <c:max val="1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Chlorid (ug/l)</a:t>
                </a:r>
              </a:p>
            </c:rich>
          </c:tx>
          <c:layout>
            <c:manualLayout>
              <c:xMode val="edge"/>
              <c:yMode val="edge"/>
              <c:x val="0.44285692117179326"/>
              <c:y val="0.5907999814693331"/>
            </c:manualLayout>
          </c:layout>
          <c:overlay val="0"/>
        </c:title>
        <c:numFmt formatCode="General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7771904"/>
        <c:crosses val="autoZero"/>
        <c:crossBetween val="midCat"/>
      </c:valAx>
      <c:valAx>
        <c:axId val="227771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 baseline="0"/>
                  <a:t>Fluorid (mg/l</a:t>
                </a:r>
                <a:r>
                  <a:rPr lang="da-DK"/>
                  <a:t>)</a:t>
                </a:r>
              </a:p>
            </c:rich>
          </c:tx>
          <c:layout>
            <c:manualLayout>
              <c:xMode val="edge"/>
              <c:yMode val="edge"/>
              <c:x val="3.0526102435484641E-2"/>
              <c:y val="6.7125746875454959E-2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227740672"/>
        <c:crossesAt val="0"/>
        <c:crossBetween val="midCat"/>
      </c:valAx>
      <c:spPr>
        <a:ln>
          <a:solidFill>
            <a:schemeClr val="tx2"/>
          </a:solidFill>
        </a:ln>
      </c:spPr>
    </c:plotArea>
    <c:legend>
      <c:legendPos val="b"/>
      <c:layout>
        <c:manualLayout>
          <c:xMode val="edge"/>
          <c:yMode val="edge"/>
          <c:x val="7.6322222222222208E-3"/>
          <c:y val="0.66476527777777783"/>
          <c:w val="0.93818231280740205"/>
          <c:h val="0.33523476034995875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46937657720099"/>
          <c:y val="1.3732977492496275E-2"/>
          <c:w val="0.73105602651322332"/>
          <c:h val="0.51289524892619209"/>
        </c:manualLayout>
      </c:layout>
      <c:scatterChart>
        <c:scatterStyle val="lineMarker"/>
        <c:varyColors val="0"/>
        <c:ser>
          <c:idx val="4"/>
          <c:order val="0"/>
          <c:tx>
            <c:strRef>
              <c:f>[0]!b_1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[0]!Cl_1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61-4469-9CC0-AA38DEFA5347}"/>
            </c:ext>
          </c:extLst>
        </c:ser>
        <c:ser>
          <c:idx val="5"/>
          <c:order val="1"/>
          <c:tx>
            <c:strRef>
              <c:f>[0]!b_2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[0]!Cl_2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61-4469-9CC0-AA38DEFA5347}"/>
            </c:ext>
          </c:extLst>
        </c:ser>
        <c:ser>
          <c:idx val="6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[0]!Cl_3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61-4469-9CC0-AA38DEFA5347}"/>
            </c:ext>
          </c:extLst>
        </c:ser>
        <c:ser>
          <c:idx val="7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[0]!Cl_4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461-4469-9CC0-AA38DEFA5347}"/>
            </c:ext>
          </c:extLst>
        </c:ser>
        <c:ser>
          <c:idx val="8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[0]!Cl_5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461-4469-9CC0-AA38DEFA5347}"/>
            </c:ext>
          </c:extLst>
        </c:ser>
        <c:ser>
          <c:idx val="9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[0]!Cl_6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461-4469-9CC0-AA38DEFA5347}"/>
            </c:ext>
          </c:extLst>
        </c:ser>
        <c:ser>
          <c:idx val="13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[0]!Cl_7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461-4469-9CC0-AA38DEFA5347}"/>
            </c:ext>
          </c:extLst>
        </c:ser>
        <c:ser>
          <c:idx val="14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[0]!Cl_8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461-4469-9CC0-AA38DEFA5347}"/>
            </c:ext>
          </c:extLst>
        </c:ser>
        <c:ser>
          <c:idx val="15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[0]!Cl_9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461-4469-9CC0-AA38DEFA5347}"/>
            </c:ext>
          </c:extLst>
        </c:ser>
        <c:ser>
          <c:idx val="16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[0]!Cl_10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461-4469-9CC0-AA38DEFA5347}"/>
            </c:ext>
          </c:extLst>
        </c:ser>
        <c:ser>
          <c:idx val="17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[0]!Cl_11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461-4469-9CC0-AA38DEFA5347}"/>
            </c:ext>
          </c:extLst>
        </c:ser>
        <c:ser>
          <c:idx val="18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[0]!Cl_12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461-4469-9CC0-AA38DEFA5347}"/>
            </c:ext>
          </c:extLst>
        </c:ser>
        <c:ser>
          <c:idx val="19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[0]!Cl_13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461-4469-9CC0-AA38DEFA5347}"/>
            </c:ext>
          </c:extLst>
        </c:ser>
        <c:ser>
          <c:idx val="20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[0]!Cl_14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2461-4469-9CC0-AA38DEFA5347}"/>
            </c:ext>
          </c:extLst>
        </c:ser>
        <c:ser>
          <c:idx val="21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[0]!Cl_15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2461-4469-9CC0-AA38DEFA5347}"/>
            </c:ext>
          </c:extLst>
        </c:ser>
        <c:ser>
          <c:idx val="22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[0]!Cl_16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2461-4469-9CC0-AA38DEFA5347}"/>
            </c:ext>
          </c:extLst>
        </c:ser>
        <c:ser>
          <c:idx val="23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[0]!Cl_17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2461-4469-9CC0-AA38DEFA5347}"/>
            </c:ext>
          </c:extLst>
        </c:ser>
        <c:ser>
          <c:idx val="24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[0]!Cl_18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2461-4469-9CC0-AA38DEFA5347}"/>
            </c:ext>
          </c:extLst>
        </c:ser>
        <c:ser>
          <c:idx val="25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[0]!Cl_19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2461-4469-9CC0-AA38DEFA5347}"/>
            </c:ext>
          </c:extLst>
        </c:ser>
        <c:ser>
          <c:idx val="26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[0]!Cl_20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2461-4469-9CC0-AA38DEFA5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40672"/>
        <c:axId val="227771904"/>
      </c:scatterChart>
      <c:scatterChart>
        <c:scatterStyle val="smoothMarker"/>
        <c:varyColors val="0"/>
        <c:ser>
          <c:idx val="0"/>
          <c:order val="20"/>
          <c:tx>
            <c:v>Havvand</c:v>
          </c:tx>
          <c:marker>
            <c:symbol val="none"/>
          </c:marker>
          <c:xVal>
            <c:numRef>
              <c:f>Graf!$AF$89:$AF$90</c:f>
              <c:numCache>
                <c:formatCode>General</c:formatCode>
                <c:ptCount val="2"/>
                <c:pt idx="0">
                  <c:v>0</c:v>
                </c:pt>
                <c:pt idx="1">
                  <c:v>19400</c:v>
                </c:pt>
              </c:numCache>
            </c:numRef>
          </c:xVal>
          <c:yVal>
            <c:numRef>
              <c:f>Graf!$AG$89:$AG$90</c:f>
              <c:numCache>
                <c:formatCode>General</c:formatCode>
                <c:ptCount val="2"/>
                <c:pt idx="0">
                  <c:v>0</c:v>
                </c:pt>
                <c:pt idx="1">
                  <c:v>4500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23-4AEE-985E-D1AC933B47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40672"/>
        <c:axId val="227771904"/>
      </c:scatterChart>
      <c:valAx>
        <c:axId val="227740672"/>
        <c:scaling>
          <c:orientation val="minMax"/>
          <c:max val="1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Chlorid (mg/l)</a:t>
                </a:r>
              </a:p>
            </c:rich>
          </c:tx>
          <c:layout>
            <c:manualLayout>
              <c:xMode val="edge"/>
              <c:yMode val="edge"/>
              <c:x val="0.44285692117179326"/>
              <c:y val="0.5907999814693331"/>
            </c:manualLayout>
          </c:layout>
          <c:overlay val="0"/>
        </c:title>
        <c:numFmt formatCode="General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7771904"/>
        <c:crosses val="autoZero"/>
        <c:crossBetween val="midCat"/>
      </c:valAx>
      <c:valAx>
        <c:axId val="227771904"/>
        <c:scaling>
          <c:orientation val="minMax"/>
          <c:max val="2000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 baseline="0"/>
                  <a:t>Bor (ug/l</a:t>
                </a:r>
                <a:r>
                  <a:rPr lang="da-DK"/>
                  <a:t>)</a:t>
                </a:r>
              </a:p>
            </c:rich>
          </c:tx>
          <c:layout>
            <c:manualLayout>
              <c:xMode val="edge"/>
              <c:yMode val="edge"/>
              <c:x val="3.0526102435484641E-2"/>
              <c:y val="6.7125746875454959E-2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227740672"/>
        <c:crossesAt val="0"/>
        <c:crossBetween val="midCat"/>
      </c:valAx>
      <c:spPr>
        <a:ln>
          <a:solidFill>
            <a:schemeClr val="tx2"/>
          </a:solidFill>
        </a:ln>
      </c:spPr>
    </c:plotArea>
    <c:legend>
      <c:legendPos val="b"/>
      <c:layout>
        <c:manualLayout>
          <c:xMode val="edge"/>
          <c:yMode val="edge"/>
          <c:x val="7.6322222222222208E-3"/>
          <c:y val="0.66476527777777783"/>
          <c:w val="0.95388667509591096"/>
          <c:h val="0.33523476034995875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46937657720099"/>
          <c:y val="1.3732977492496275E-2"/>
          <c:w val="0.73105602651322332"/>
          <c:h val="0.51289524892619209"/>
        </c:manualLayout>
      </c:layout>
      <c:scatterChart>
        <c:scatterStyle val="smoothMarker"/>
        <c:varyColors val="0"/>
        <c:ser>
          <c:idx val="20"/>
          <c:order val="0"/>
          <c:tx>
            <c:strRef>
              <c:f>[0]!b_1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[0]!Cl_1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[0]!Mg_1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9DF-454C-B9DC-D922FE86A069}"/>
            </c:ext>
          </c:extLst>
        </c:ser>
        <c:ser>
          <c:idx val="0"/>
          <c:order val="1"/>
          <c:tx>
            <c:strRef>
              <c:f>[0]!b_2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[0]!Cl_2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[0]!Mg_2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A5-45D2-BDBC-4777956630A3}"/>
            </c:ext>
          </c:extLst>
        </c:ser>
        <c:ser>
          <c:idx val="1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[0]!Cl_3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[0]!Mg_3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1A5-45D2-BDBC-4777956630A3}"/>
            </c:ext>
          </c:extLst>
        </c:ser>
        <c:ser>
          <c:idx val="2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[0]!Cl_4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[0]!Mg_4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1A5-45D2-BDBC-4777956630A3}"/>
            </c:ext>
          </c:extLst>
        </c:ser>
        <c:ser>
          <c:idx val="3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[0]!Cl_5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[0]!Mg_5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1A5-45D2-BDBC-4777956630A3}"/>
            </c:ext>
          </c:extLst>
        </c:ser>
        <c:ser>
          <c:idx val="4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[0]!Cl_6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[0]!Mg_6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1A5-45D2-BDBC-4777956630A3}"/>
            </c:ext>
          </c:extLst>
        </c:ser>
        <c:ser>
          <c:idx val="5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[0]!Cl_7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[0]!Mg_7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1A5-45D2-BDBC-4777956630A3}"/>
            </c:ext>
          </c:extLst>
        </c:ser>
        <c:ser>
          <c:idx val="6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[0]!Cl_8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[0]!Mg_8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1A5-45D2-BDBC-4777956630A3}"/>
            </c:ext>
          </c:extLst>
        </c:ser>
        <c:ser>
          <c:idx val="7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[0]!Cl_9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[0]!Mg_9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1A5-45D2-BDBC-4777956630A3}"/>
            </c:ext>
          </c:extLst>
        </c:ser>
        <c:ser>
          <c:idx val="8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[0]!Cl_10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[0]!Mg_10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1A5-45D2-BDBC-4777956630A3}"/>
            </c:ext>
          </c:extLst>
        </c:ser>
        <c:ser>
          <c:idx val="9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[0]!Cl_11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[0]!Mg_11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1A5-45D2-BDBC-4777956630A3}"/>
            </c:ext>
          </c:extLst>
        </c:ser>
        <c:ser>
          <c:idx val="10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[0]!Cl_12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[0]!Mg_12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1A5-45D2-BDBC-4777956630A3}"/>
            </c:ext>
          </c:extLst>
        </c:ser>
        <c:ser>
          <c:idx val="11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[0]!Cl_13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[0]!Mg_13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F1A5-45D2-BDBC-4777956630A3}"/>
            </c:ext>
          </c:extLst>
        </c:ser>
        <c:ser>
          <c:idx val="12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[0]!Cl_14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[0]!Mg_14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F1A5-45D2-BDBC-4777956630A3}"/>
            </c:ext>
          </c:extLst>
        </c:ser>
        <c:ser>
          <c:idx val="13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[0]!Cl_15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[0]!Mg_15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F1A5-45D2-BDBC-4777956630A3}"/>
            </c:ext>
          </c:extLst>
        </c:ser>
        <c:ser>
          <c:idx val="14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[0]!Cl_16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[0]!Mg_16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F1A5-45D2-BDBC-4777956630A3}"/>
            </c:ext>
          </c:extLst>
        </c:ser>
        <c:ser>
          <c:idx val="15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[0]!Cl_17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[0]!Mg_17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1A5-45D2-BDBC-4777956630A3}"/>
            </c:ext>
          </c:extLst>
        </c:ser>
        <c:ser>
          <c:idx val="16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[0]!Cl_18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[0]!Mg_18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1A5-45D2-BDBC-4777956630A3}"/>
            </c:ext>
          </c:extLst>
        </c:ser>
        <c:ser>
          <c:idx val="17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[0]!Cl_19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[0]!Mg_19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1A5-45D2-BDBC-4777956630A3}"/>
            </c:ext>
          </c:extLst>
        </c:ser>
        <c:ser>
          <c:idx val="18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[0]!Cl_20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[0]!Mg_20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1A5-45D2-BDBC-4777956630A3}"/>
            </c:ext>
          </c:extLst>
        </c:ser>
        <c:ser>
          <c:idx val="19"/>
          <c:order val="20"/>
          <c:tx>
            <c:v>Havvand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Graf!$AF$89:$AF$90</c:f>
              <c:numCache>
                <c:formatCode>General</c:formatCode>
                <c:ptCount val="2"/>
                <c:pt idx="0">
                  <c:v>0</c:v>
                </c:pt>
                <c:pt idx="1">
                  <c:v>19400</c:v>
                </c:pt>
              </c:numCache>
            </c:numRef>
          </c:xVal>
          <c:yVal>
            <c:numRef>
              <c:f>Graf!$AI$89:$AI$90</c:f>
              <c:numCache>
                <c:formatCode>General</c:formatCode>
                <c:ptCount val="2"/>
                <c:pt idx="0">
                  <c:v>0</c:v>
                </c:pt>
                <c:pt idx="1">
                  <c:v>1250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1A5-45D2-BDBC-4777956630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40672"/>
        <c:axId val="227771904"/>
      </c:scatterChart>
      <c:valAx>
        <c:axId val="227740672"/>
        <c:scaling>
          <c:orientation val="minMax"/>
          <c:max val="1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Chlorid (mg/l)</a:t>
                </a:r>
              </a:p>
            </c:rich>
          </c:tx>
          <c:layout>
            <c:manualLayout>
              <c:xMode val="edge"/>
              <c:yMode val="edge"/>
              <c:x val="0.44285692117179326"/>
              <c:y val="0.5907999814693331"/>
            </c:manualLayout>
          </c:layout>
          <c:overlay val="0"/>
        </c:title>
        <c:numFmt formatCode="General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7771904"/>
        <c:crosses val="autoZero"/>
        <c:crossBetween val="midCat"/>
      </c:valAx>
      <c:valAx>
        <c:axId val="227771904"/>
        <c:scaling>
          <c:orientation val="minMax"/>
          <c:max val="100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 baseline="0"/>
                  <a:t>Magnesium (ug/l</a:t>
                </a:r>
                <a:r>
                  <a:rPr lang="da-DK"/>
                  <a:t>)</a:t>
                </a:r>
              </a:p>
            </c:rich>
          </c:tx>
          <c:layout>
            <c:manualLayout>
              <c:xMode val="edge"/>
              <c:yMode val="edge"/>
              <c:x val="3.0526102435484641E-2"/>
              <c:y val="6.7125746875454959E-2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227740672"/>
        <c:crossesAt val="0"/>
        <c:crossBetween val="midCat"/>
      </c:valAx>
      <c:spPr>
        <a:ln>
          <a:solidFill>
            <a:schemeClr val="tx2"/>
          </a:solidFill>
        </a:ln>
      </c:spPr>
    </c:plotArea>
    <c:legend>
      <c:legendPos val="b"/>
      <c:layout>
        <c:manualLayout>
          <c:xMode val="edge"/>
          <c:yMode val="edge"/>
          <c:x val="7.6322222222222208E-3"/>
          <c:y val="0.66476527777777783"/>
          <c:w val="0.93892827001610624"/>
          <c:h val="0.33523476034995875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46937657720099"/>
          <c:y val="1.3732977492496275E-2"/>
          <c:w val="0.73105602651322332"/>
          <c:h val="0.51289524892619209"/>
        </c:manualLayout>
      </c:layout>
      <c:scatterChart>
        <c:scatterStyle val="lineMarker"/>
        <c:varyColors val="0"/>
        <c:ser>
          <c:idx val="4"/>
          <c:order val="0"/>
          <c:tx>
            <c:strRef>
              <c:f>[0]!b_1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[0]!Mg_1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81-4D54-B902-995BAD74A3D8}"/>
            </c:ext>
          </c:extLst>
        </c:ser>
        <c:ser>
          <c:idx val="5"/>
          <c:order val="1"/>
          <c:tx>
            <c:strRef>
              <c:f>[0]!b_2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[0]!Mg_2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81-4D54-B902-995BAD74A3D8}"/>
            </c:ext>
          </c:extLst>
        </c:ser>
        <c:ser>
          <c:idx val="6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[0]!Mg_3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D81-4D54-B902-995BAD74A3D8}"/>
            </c:ext>
          </c:extLst>
        </c:ser>
        <c:ser>
          <c:idx val="7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[0]!Mg_4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D81-4D54-B902-995BAD74A3D8}"/>
            </c:ext>
          </c:extLst>
        </c:ser>
        <c:ser>
          <c:idx val="8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[0]!Mg_5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D81-4D54-B902-995BAD74A3D8}"/>
            </c:ext>
          </c:extLst>
        </c:ser>
        <c:ser>
          <c:idx val="9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[0]!Mg_6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D81-4D54-B902-995BAD74A3D8}"/>
            </c:ext>
          </c:extLst>
        </c:ser>
        <c:ser>
          <c:idx val="13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[0]!Mg_7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D81-4D54-B902-995BAD74A3D8}"/>
            </c:ext>
          </c:extLst>
        </c:ser>
        <c:ser>
          <c:idx val="14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[0]!Mg_8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D81-4D54-B902-995BAD74A3D8}"/>
            </c:ext>
          </c:extLst>
        </c:ser>
        <c:ser>
          <c:idx val="15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[0]!Mg_9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D81-4D54-B902-995BAD74A3D8}"/>
            </c:ext>
          </c:extLst>
        </c:ser>
        <c:ser>
          <c:idx val="16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[0]!Mg_10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D81-4D54-B902-995BAD74A3D8}"/>
            </c:ext>
          </c:extLst>
        </c:ser>
        <c:ser>
          <c:idx val="17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[0]!Mg_11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D81-4D54-B902-995BAD74A3D8}"/>
            </c:ext>
          </c:extLst>
        </c:ser>
        <c:ser>
          <c:idx val="18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[0]!Mg_12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D81-4D54-B902-995BAD74A3D8}"/>
            </c:ext>
          </c:extLst>
        </c:ser>
        <c:ser>
          <c:idx val="19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[0]!Mg_13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D81-4D54-B902-995BAD74A3D8}"/>
            </c:ext>
          </c:extLst>
        </c:ser>
        <c:ser>
          <c:idx val="20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[0]!Mg_14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D81-4D54-B902-995BAD74A3D8}"/>
            </c:ext>
          </c:extLst>
        </c:ser>
        <c:ser>
          <c:idx val="21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[0]!Mg_15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D81-4D54-B902-995BAD74A3D8}"/>
            </c:ext>
          </c:extLst>
        </c:ser>
        <c:ser>
          <c:idx val="22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[0]!Mg_16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D81-4D54-B902-995BAD74A3D8}"/>
            </c:ext>
          </c:extLst>
        </c:ser>
        <c:ser>
          <c:idx val="23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[0]!Mg_17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D81-4D54-B902-995BAD74A3D8}"/>
            </c:ext>
          </c:extLst>
        </c:ser>
        <c:ser>
          <c:idx val="24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[0]!Mg_18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D81-4D54-B902-995BAD74A3D8}"/>
            </c:ext>
          </c:extLst>
        </c:ser>
        <c:ser>
          <c:idx val="25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[0]!Mg_19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D81-4D54-B902-995BAD74A3D8}"/>
            </c:ext>
          </c:extLst>
        </c:ser>
        <c:ser>
          <c:idx val="26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[0]!Mg_20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D81-4D54-B902-995BAD74A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40672"/>
        <c:axId val="227771904"/>
      </c:scatterChart>
      <c:scatterChart>
        <c:scatterStyle val="smoothMarker"/>
        <c:varyColors val="0"/>
        <c:ser>
          <c:idx val="0"/>
          <c:order val="20"/>
          <c:tx>
            <c:v>Havvand</c:v>
          </c:tx>
          <c:marker>
            <c:symbol val="none"/>
          </c:marker>
          <c:xVal>
            <c:numRef>
              <c:f>Graf!$AI$89:$AI$90</c:f>
              <c:numCache>
                <c:formatCode>General</c:formatCode>
                <c:ptCount val="2"/>
                <c:pt idx="0">
                  <c:v>0</c:v>
                </c:pt>
                <c:pt idx="1">
                  <c:v>1250</c:v>
                </c:pt>
              </c:numCache>
            </c:numRef>
          </c:xVal>
          <c:yVal>
            <c:numRef>
              <c:f>Graf!$AG$89:$AG$90</c:f>
              <c:numCache>
                <c:formatCode>General</c:formatCode>
                <c:ptCount val="2"/>
                <c:pt idx="0">
                  <c:v>0</c:v>
                </c:pt>
                <c:pt idx="1">
                  <c:v>4500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AE-484F-B12D-E6C3B05A2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40672"/>
        <c:axId val="227771904"/>
      </c:scatterChart>
      <c:valAx>
        <c:axId val="227740672"/>
        <c:scaling>
          <c:orientation val="minMax"/>
          <c:max val="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Magnesium (mg/l)</a:t>
                </a:r>
              </a:p>
            </c:rich>
          </c:tx>
          <c:layout>
            <c:manualLayout>
              <c:xMode val="edge"/>
              <c:yMode val="edge"/>
              <c:x val="0.44285692117179326"/>
              <c:y val="0.5907999814693331"/>
            </c:manualLayout>
          </c:layout>
          <c:overlay val="0"/>
        </c:title>
        <c:numFmt formatCode="General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7771904"/>
        <c:crosses val="autoZero"/>
        <c:crossBetween val="midCat"/>
      </c:valAx>
      <c:valAx>
        <c:axId val="227771904"/>
        <c:scaling>
          <c:orientation val="minMax"/>
          <c:max val="2000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 baseline="0"/>
                  <a:t>Bor (ug/l</a:t>
                </a:r>
                <a:r>
                  <a:rPr lang="da-DK"/>
                  <a:t>)</a:t>
                </a:r>
              </a:p>
            </c:rich>
          </c:tx>
          <c:layout>
            <c:manualLayout>
              <c:xMode val="edge"/>
              <c:yMode val="edge"/>
              <c:x val="3.0526102435484641E-2"/>
              <c:y val="6.7125746875454959E-2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227740672"/>
        <c:crossesAt val="0"/>
        <c:crossBetween val="midCat"/>
      </c:valAx>
      <c:spPr>
        <a:ln>
          <a:solidFill>
            <a:schemeClr val="tx2"/>
          </a:solidFill>
        </a:ln>
      </c:spPr>
    </c:plotArea>
    <c:legend>
      <c:legendPos val="b"/>
      <c:layout>
        <c:manualLayout>
          <c:xMode val="edge"/>
          <c:yMode val="edge"/>
          <c:x val="7.6322222222222208E-3"/>
          <c:y val="0.66476527777777783"/>
          <c:w val="0.95070654173248792"/>
          <c:h val="0.33523476034995875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46937657720099"/>
          <c:y val="1.3732977492496275E-2"/>
          <c:w val="0.73105602651322332"/>
          <c:h val="0.51289524892619209"/>
        </c:manualLayout>
      </c:layout>
      <c:scatterChart>
        <c:scatterStyle val="lineMarker"/>
        <c:varyColors val="0"/>
        <c:ser>
          <c:idx val="4"/>
          <c:order val="0"/>
          <c:tx>
            <c:strRef>
              <c:f>[0]!b_1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[0]!Cl_1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80-474C-8920-5BF2F767E7FC}"/>
            </c:ext>
          </c:extLst>
        </c:ser>
        <c:ser>
          <c:idx val="5"/>
          <c:order val="1"/>
          <c:tx>
            <c:strRef>
              <c:f>[0]!b_2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[0]!Cl_2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[0]!Sr_2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80-474C-8920-5BF2F767E7FC}"/>
            </c:ext>
          </c:extLst>
        </c:ser>
        <c:ser>
          <c:idx val="6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[0]!Cl_3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[0]!Sr_3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80-474C-8920-5BF2F767E7FC}"/>
            </c:ext>
          </c:extLst>
        </c:ser>
        <c:ser>
          <c:idx val="7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[0]!Cl_4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[0]!Sr_4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D80-474C-8920-5BF2F767E7FC}"/>
            </c:ext>
          </c:extLst>
        </c:ser>
        <c:ser>
          <c:idx val="8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[0]!Cl_5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[0]!Sr_5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D80-474C-8920-5BF2F767E7FC}"/>
            </c:ext>
          </c:extLst>
        </c:ser>
        <c:ser>
          <c:idx val="9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[0]!Cl_6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[0]!Sr_6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D80-474C-8920-5BF2F767E7FC}"/>
            </c:ext>
          </c:extLst>
        </c:ser>
        <c:ser>
          <c:idx val="13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[0]!Cl_7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[0]!Sr_7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D80-474C-8920-5BF2F767E7FC}"/>
            </c:ext>
          </c:extLst>
        </c:ser>
        <c:ser>
          <c:idx val="14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[0]!Cl_8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[0]!Sr_8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D80-474C-8920-5BF2F767E7FC}"/>
            </c:ext>
          </c:extLst>
        </c:ser>
        <c:ser>
          <c:idx val="15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[0]!Cl_9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[0]!Sr_9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D80-474C-8920-5BF2F767E7FC}"/>
            </c:ext>
          </c:extLst>
        </c:ser>
        <c:ser>
          <c:idx val="16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[0]!Cl_10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D80-474C-8920-5BF2F767E7FC}"/>
            </c:ext>
          </c:extLst>
        </c:ser>
        <c:ser>
          <c:idx val="17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[0]!Cl_11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D80-474C-8920-5BF2F767E7FC}"/>
            </c:ext>
          </c:extLst>
        </c:ser>
        <c:ser>
          <c:idx val="18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[0]!Cl_12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D80-474C-8920-5BF2F767E7FC}"/>
            </c:ext>
          </c:extLst>
        </c:ser>
        <c:ser>
          <c:idx val="19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[0]!Cl_13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D80-474C-8920-5BF2F767E7FC}"/>
            </c:ext>
          </c:extLst>
        </c:ser>
        <c:ser>
          <c:idx val="20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[0]!Cl_14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D80-474C-8920-5BF2F767E7FC}"/>
            </c:ext>
          </c:extLst>
        </c:ser>
        <c:ser>
          <c:idx val="21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[0]!Cl_15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D80-474C-8920-5BF2F767E7FC}"/>
            </c:ext>
          </c:extLst>
        </c:ser>
        <c:ser>
          <c:idx val="22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[0]!Cl_16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D80-474C-8920-5BF2F767E7FC}"/>
            </c:ext>
          </c:extLst>
        </c:ser>
        <c:ser>
          <c:idx val="23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[0]!Cl_17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D80-474C-8920-5BF2F767E7FC}"/>
            </c:ext>
          </c:extLst>
        </c:ser>
        <c:ser>
          <c:idx val="24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[0]!Cl_18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D80-474C-8920-5BF2F767E7FC}"/>
            </c:ext>
          </c:extLst>
        </c:ser>
        <c:ser>
          <c:idx val="25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[0]!Cl_19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D80-474C-8920-5BF2F767E7FC}"/>
            </c:ext>
          </c:extLst>
        </c:ser>
        <c:ser>
          <c:idx val="26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[0]!Cl_20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[0]!Sr_20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D80-474C-8920-5BF2F767E7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40672"/>
        <c:axId val="227771904"/>
      </c:scatterChart>
      <c:scatterChart>
        <c:scatterStyle val="smoothMarker"/>
        <c:varyColors val="0"/>
        <c:ser>
          <c:idx val="0"/>
          <c:order val="20"/>
          <c:tx>
            <c:v>Havvand</c:v>
          </c:tx>
          <c:marker>
            <c:symbol val="none"/>
          </c:marker>
          <c:xVal>
            <c:numRef>
              <c:f>Graf!$AF$89:$AF$90</c:f>
              <c:numCache>
                <c:formatCode>General</c:formatCode>
                <c:ptCount val="2"/>
                <c:pt idx="0">
                  <c:v>0</c:v>
                </c:pt>
                <c:pt idx="1">
                  <c:v>19400</c:v>
                </c:pt>
              </c:numCache>
            </c:numRef>
          </c:xVal>
          <c:yVal>
            <c:numRef>
              <c:f>Graf!$AH$89:$AH$90</c:f>
              <c:numCache>
                <c:formatCode>General</c:formatCode>
                <c:ptCount val="2"/>
                <c:pt idx="0">
                  <c:v>0</c:v>
                </c:pt>
                <c:pt idx="1">
                  <c:v>7900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ED80-474C-8920-5BF2F767E7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40672"/>
        <c:axId val="227771904"/>
      </c:scatterChart>
      <c:valAx>
        <c:axId val="227740672"/>
        <c:scaling>
          <c:orientation val="minMax"/>
          <c:max val="1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Chlorid (mg/l)</a:t>
                </a:r>
              </a:p>
            </c:rich>
          </c:tx>
          <c:layout>
            <c:manualLayout>
              <c:xMode val="edge"/>
              <c:yMode val="edge"/>
              <c:x val="0.44285692117179326"/>
              <c:y val="0.5907999814693331"/>
            </c:manualLayout>
          </c:layout>
          <c:overlay val="0"/>
        </c:title>
        <c:numFmt formatCode="General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7771904"/>
        <c:crosses val="autoZero"/>
        <c:crossBetween val="midCat"/>
      </c:valAx>
      <c:valAx>
        <c:axId val="227771904"/>
        <c:scaling>
          <c:orientation val="minMax"/>
          <c:max val="20000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 baseline="0"/>
                  <a:t>Strontium (ug/l</a:t>
                </a:r>
                <a:r>
                  <a:rPr lang="da-DK"/>
                  <a:t>)</a:t>
                </a:r>
              </a:p>
            </c:rich>
          </c:tx>
          <c:layout>
            <c:manualLayout>
              <c:xMode val="edge"/>
              <c:yMode val="edge"/>
              <c:x val="3.0526102435484641E-2"/>
              <c:y val="6.7125746875454959E-2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227740672"/>
        <c:crossesAt val="0"/>
        <c:crossBetween val="midCat"/>
      </c:valAx>
      <c:spPr>
        <a:ln>
          <a:solidFill>
            <a:schemeClr val="tx2"/>
          </a:solidFill>
        </a:ln>
      </c:spPr>
    </c:plotArea>
    <c:legend>
      <c:legendPos val="b"/>
      <c:layout>
        <c:manualLayout>
          <c:xMode val="edge"/>
          <c:yMode val="edge"/>
          <c:x val="7.6322222222222208E-3"/>
          <c:y val="0.66476527777777783"/>
          <c:w val="0.92247795051889303"/>
          <c:h val="0.33523476034995875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46937657720099"/>
          <c:y val="1.3732977492496275E-2"/>
          <c:w val="0.73105602651322332"/>
          <c:h val="0.51289524892619209"/>
        </c:manualLayout>
      </c:layout>
      <c:scatterChart>
        <c:scatterStyle val="lineMarker"/>
        <c:varyColors val="0"/>
        <c:ser>
          <c:idx val="0"/>
          <c:order val="0"/>
          <c:tx>
            <c:strRef>
              <c:f>[0]!b_1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[0]!Sr_1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A14-4F50-AA6E-615B0FD8F7A4}"/>
            </c:ext>
          </c:extLst>
        </c:ser>
        <c:ser>
          <c:idx val="1"/>
          <c:order val="1"/>
          <c:tx>
            <c:strRef>
              <c:f>[0]!b_2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[0]!Sr_2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A14-4F50-AA6E-615B0FD8F7A4}"/>
            </c:ext>
          </c:extLst>
        </c:ser>
        <c:ser>
          <c:idx val="2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[0]!Sr_3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A14-4F50-AA6E-615B0FD8F7A4}"/>
            </c:ext>
          </c:extLst>
        </c:ser>
        <c:ser>
          <c:idx val="3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[0]!Sr_4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A14-4F50-AA6E-615B0FD8F7A4}"/>
            </c:ext>
          </c:extLst>
        </c:ser>
        <c:ser>
          <c:idx val="4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[0]!Sr_5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A14-4F50-AA6E-615B0FD8F7A4}"/>
            </c:ext>
          </c:extLst>
        </c:ser>
        <c:ser>
          <c:idx val="5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[0]!Sr_6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A14-4F50-AA6E-615B0FD8F7A4}"/>
            </c:ext>
          </c:extLst>
        </c:ser>
        <c:ser>
          <c:idx val="6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[0]!Sr_7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A14-4F50-AA6E-615B0FD8F7A4}"/>
            </c:ext>
          </c:extLst>
        </c:ser>
        <c:ser>
          <c:idx val="7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[0]!Sr_8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A14-4F50-AA6E-615B0FD8F7A4}"/>
            </c:ext>
          </c:extLst>
        </c:ser>
        <c:ser>
          <c:idx val="8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[0]!Sr_9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A14-4F50-AA6E-615B0FD8F7A4}"/>
            </c:ext>
          </c:extLst>
        </c:ser>
        <c:ser>
          <c:idx val="9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[0]!Sr_10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A14-4F50-AA6E-615B0FD8F7A4}"/>
            </c:ext>
          </c:extLst>
        </c:ser>
        <c:ser>
          <c:idx val="10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[0]!Sr_11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A14-4F50-AA6E-615B0FD8F7A4}"/>
            </c:ext>
          </c:extLst>
        </c:ser>
        <c:ser>
          <c:idx val="11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[0]!Sr_12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A14-4F50-AA6E-615B0FD8F7A4}"/>
            </c:ext>
          </c:extLst>
        </c:ser>
        <c:ser>
          <c:idx val="12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[0]!Sr_13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A14-4F50-AA6E-615B0FD8F7A4}"/>
            </c:ext>
          </c:extLst>
        </c:ser>
        <c:ser>
          <c:idx val="13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[0]!Sr_14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A14-4F50-AA6E-615B0FD8F7A4}"/>
            </c:ext>
          </c:extLst>
        </c:ser>
        <c:ser>
          <c:idx val="14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[0]!Sr_15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A14-4F50-AA6E-615B0FD8F7A4}"/>
            </c:ext>
          </c:extLst>
        </c:ser>
        <c:ser>
          <c:idx val="15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[0]!Sr_16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A14-4F50-AA6E-615B0FD8F7A4}"/>
            </c:ext>
          </c:extLst>
        </c:ser>
        <c:ser>
          <c:idx val="16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[0]!Sr_17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A14-4F50-AA6E-615B0FD8F7A4}"/>
            </c:ext>
          </c:extLst>
        </c:ser>
        <c:ser>
          <c:idx val="17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[0]!Sr_18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A14-4F50-AA6E-615B0FD8F7A4}"/>
            </c:ext>
          </c:extLst>
        </c:ser>
        <c:ser>
          <c:idx val="18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[0]!Sr_19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A14-4F50-AA6E-615B0FD8F7A4}"/>
            </c:ext>
          </c:extLst>
        </c:ser>
        <c:ser>
          <c:idx val="19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[0]!Sr_20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A14-4F50-AA6E-615B0FD8F7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40672"/>
        <c:axId val="227771904"/>
      </c:scatterChart>
      <c:valAx>
        <c:axId val="227740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Strontium (ug/l)</a:t>
                </a:r>
              </a:p>
            </c:rich>
          </c:tx>
          <c:layout>
            <c:manualLayout>
              <c:xMode val="edge"/>
              <c:yMode val="edge"/>
              <c:x val="0.44285692117179326"/>
              <c:y val="0.5907999814693331"/>
            </c:manualLayout>
          </c:layout>
          <c:overlay val="0"/>
        </c:title>
        <c:numFmt formatCode="General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7771904"/>
        <c:crosses val="autoZero"/>
        <c:crossBetween val="midCat"/>
      </c:valAx>
      <c:valAx>
        <c:axId val="227771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 baseline="0"/>
                  <a:t>Fluorid (mg/l</a:t>
                </a:r>
                <a:r>
                  <a:rPr lang="da-DK"/>
                  <a:t>)</a:t>
                </a:r>
              </a:p>
            </c:rich>
          </c:tx>
          <c:layout>
            <c:manualLayout>
              <c:xMode val="edge"/>
              <c:yMode val="edge"/>
              <c:x val="3.0526102435484641E-2"/>
              <c:y val="6.7125746875454959E-2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227740672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layout>
        <c:manualLayout>
          <c:xMode val="edge"/>
          <c:yMode val="edge"/>
          <c:x val="7.6322222222222208E-3"/>
          <c:y val="0.66476527777777783"/>
          <c:w val="0.99236777777777774"/>
          <c:h val="0.31759583333333335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46937657720099"/>
          <c:y val="1.3732977492496275E-2"/>
          <c:w val="0.73105602651322332"/>
          <c:h val="0.512895248926192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[0]!b_1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[0]!Mg_1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B94F-48F7-BF61-F13F54189A13}"/>
            </c:ext>
          </c:extLst>
        </c:ser>
        <c:ser>
          <c:idx val="1"/>
          <c:order val="1"/>
          <c:tx>
            <c:strRef>
              <c:f>[0]!b_2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[0]!Mg_2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[0]!Sr_2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B94F-48F7-BF61-F13F54189A13}"/>
            </c:ext>
          </c:extLst>
        </c:ser>
        <c:ser>
          <c:idx val="2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[0]!Mg_3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[0]!Sr_3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B94F-48F7-BF61-F13F54189A13}"/>
            </c:ext>
          </c:extLst>
        </c:ser>
        <c:ser>
          <c:idx val="3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[0]!Mg_4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[0]!Sr_4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B94F-48F7-BF61-F13F54189A13}"/>
            </c:ext>
          </c:extLst>
        </c:ser>
        <c:ser>
          <c:idx val="4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[0]!Mg_5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[0]!Sr_5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B94F-48F7-BF61-F13F54189A13}"/>
            </c:ext>
          </c:extLst>
        </c:ser>
        <c:ser>
          <c:idx val="5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[0]!Mg_6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[0]!Sr_6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B94F-48F7-BF61-F13F54189A13}"/>
            </c:ext>
          </c:extLst>
        </c:ser>
        <c:ser>
          <c:idx val="6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[0]!Mg_7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[0]!Sr_7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B94F-48F7-BF61-F13F54189A13}"/>
            </c:ext>
          </c:extLst>
        </c:ser>
        <c:ser>
          <c:idx val="7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[0]!Mg_8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[0]!Sr_8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B94F-48F7-BF61-F13F54189A13}"/>
            </c:ext>
          </c:extLst>
        </c:ser>
        <c:ser>
          <c:idx val="8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[0]!Mg_9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[0]!Sr_9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B94F-48F7-BF61-F13F54189A13}"/>
            </c:ext>
          </c:extLst>
        </c:ser>
        <c:ser>
          <c:idx val="9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[0]!Mg_10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B94F-48F7-BF61-F13F54189A13}"/>
            </c:ext>
          </c:extLst>
        </c:ser>
        <c:ser>
          <c:idx val="10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[0]!Mg_11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B94F-48F7-BF61-F13F54189A13}"/>
            </c:ext>
          </c:extLst>
        </c:ser>
        <c:ser>
          <c:idx val="11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[0]!Mg_12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B94F-48F7-BF61-F13F54189A13}"/>
            </c:ext>
          </c:extLst>
        </c:ser>
        <c:ser>
          <c:idx val="12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[0]!Mg_13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B94F-48F7-BF61-F13F54189A13}"/>
            </c:ext>
          </c:extLst>
        </c:ser>
        <c:ser>
          <c:idx val="13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[0]!Mg_14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B94F-48F7-BF61-F13F54189A13}"/>
            </c:ext>
          </c:extLst>
        </c:ser>
        <c:ser>
          <c:idx val="14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[0]!Mg_15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B94F-48F7-BF61-F13F54189A13}"/>
            </c:ext>
          </c:extLst>
        </c:ser>
        <c:ser>
          <c:idx val="15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[0]!Mg_16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B94F-48F7-BF61-F13F54189A13}"/>
            </c:ext>
          </c:extLst>
        </c:ser>
        <c:ser>
          <c:idx val="16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[0]!Mg_17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B94F-48F7-BF61-F13F54189A13}"/>
            </c:ext>
          </c:extLst>
        </c:ser>
        <c:ser>
          <c:idx val="17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[0]!Mg_18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B94F-48F7-BF61-F13F54189A13}"/>
            </c:ext>
          </c:extLst>
        </c:ser>
        <c:ser>
          <c:idx val="18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[0]!Mg_19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B94F-48F7-BF61-F13F54189A13}"/>
            </c:ext>
          </c:extLst>
        </c:ser>
        <c:ser>
          <c:idx val="19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[0]!Mg_20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[0]!Sr_20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B94F-48F7-BF61-F13F54189A13}"/>
            </c:ext>
          </c:extLst>
        </c:ser>
        <c:ser>
          <c:idx val="21"/>
          <c:order val="20"/>
          <c:tx>
            <c:v>Havvand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Graf!$AI$89:$AI$90</c:f>
              <c:numCache>
                <c:formatCode>General</c:formatCode>
                <c:ptCount val="2"/>
                <c:pt idx="0">
                  <c:v>0</c:v>
                </c:pt>
                <c:pt idx="1">
                  <c:v>1250</c:v>
                </c:pt>
              </c:numCache>
            </c:numRef>
          </c:xVal>
          <c:yVal>
            <c:numRef>
              <c:f>Graf!$AH$89:$AH$90</c:f>
              <c:numCache>
                <c:formatCode>General</c:formatCode>
                <c:ptCount val="2"/>
                <c:pt idx="0">
                  <c:v>0</c:v>
                </c:pt>
                <c:pt idx="1">
                  <c:v>7900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B94F-48F7-BF61-F13F54189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40672"/>
        <c:axId val="227771904"/>
      </c:scatterChart>
      <c:valAx>
        <c:axId val="227740672"/>
        <c:scaling>
          <c:orientation val="minMax"/>
          <c:max val="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Magnesium (mg/l)</a:t>
                </a:r>
              </a:p>
            </c:rich>
          </c:tx>
          <c:layout>
            <c:manualLayout>
              <c:xMode val="edge"/>
              <c:yMode val="edge"/>
              <c:x val="0.44285692117179326"/>
              <c:y val="0.5907999814693331"/>
            </c:manualLayout>
          </c:layout>
          <c:overlay val="0"/>
        </c:title>
        <c:numFmt formatCode="General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7771904"/>
        <c:crosses val="autoZero"/>
        <c:crossBetween val="midCat"/>
      </c:valAx>
      <c:valAx>
        <c:axId val="227771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 baseline="0"/>
                  <a:t>Strontium (ug/l</a:t>
                </a:r>
                <a:r>
                  <a:rPr lang="da-DK"/>
                  <a:t>)</a:t>
                </a:r>
              </a:p>
            </c:rich>
          </c:tx>
          <c:layout>
            <c:manualLayout>
              <c:xMode val="edge"/>
              <c:yMode val="edge"/>
              <c:x val="3.0526102435484641E-2"/>
              <c:y val="6.7125746875454959E-2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227740672"/>
        <c:crossesAt val="0"/>
        <c:crossBetween val="midCat"/>
      </c:valAx>
      <c:spPr>
        <a:ln>
          <a:solidFill>
            <a:schemeClr val="tx2"/>
          </a:solidFill>
        </a:ln>
      </c:spPr>
    </c:plotArea>
    <c:legend>
      <c:legendPos val="b"/>
      <c:layout>
        <c:manualLayout>
          <c:xMode val="edge"/>
          <c:yMode val="edge"/>
          <c:x val="7.6322222222222208E-3"/>
          <c:y val="0.66476527777777783"/>
          <c:w val="0.89892140708612978"/>
          <c:h val="0.31533584267519127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40" dropStyle="combo" dx="16" fmlaLink="'##'!$B$2" fmlaRange="'##'!$A$4:$A$42" noThreeD="1" sel="1" val="0"/>
</file>

<file path=xl/ctrlProps/ctrlProp4.xml><?xml version="1.0" encoding="utf-8"?>
<formControlPr xmlns="http://schemas.microsoft.com/office/spreadsheetml/2009/9/main" objectType="Radio" checked="Checked" firstButton="1" fmlaLink="'##'!$E$2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Lines="100" dropStyle="combo" dx="16" fmlaLink="'##'!$G$2" fmlaRange="'##'!$I$6:$I$106" noThreeD="1" sel="0" val="49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41" Type="http://schemas.openxmlformats.org/officeDocument/2006/relationships/chart" Target="../charts/chart41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4</xdr:row>
          <xdr:rowOff>133350</xdr:rowOff>
        </xdr:from>
        <xdr:to>
          <xdr:col>12</xdr:col>
          <xdr:colOff>466725</xdr:colOff>
          <xdr:row>7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95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Søg analyser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1</xdr:row>
          <xdr:rowOff>76200</xdr:rowOff>
        </xdr:from>
        <xdr:to>
          <xdr:col>4</xdr:col>
          <xdr:colOff>561975</xdr:colOff>
          <xdr:row>3</xdr:row>
          <xdr:rowOff>95250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95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Søg anlæg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4</xdr:col>
          <xdr:colOff>523875</xdr:colOff>
          <xdr:row>6</xdr:row>
          <xdr:rowOff>19050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7</xdr:row>
          <xdr:rowOff>0</xdr:rowOff>
        </xdr:from>
        <xdr:to>
          <xdr:col>2</xdr:col>
          <xdr:colOff>1250475</xdr:colOff>
          <xdr:row>13</xdr:row>
          <xdr:rowOff>38100</xdr:rowOff>
        </xdr:to>
        <xdr:grpSp>
          <xdr:nvGrpSpPr>
            <xdr:cNvPr id="2" name="Gruppe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1838325" y="1133475"/>
              <a:ext cx="1260000" cy="1019175"/>
              <a:chOff x="9134706" y="923926"/>
              <a:chExt cx="1352549" cy="1333500"/>
            </a:xfrm>
          </xdr:grpSpPr>
          <xdr:sp macro="" textlink="">
            <xdr:nvSpPr>
              <xdr:cNvPr id="2057" name="Option Button 9" hidden="1">
                <a:extLst>
                  <a:ext uri="{63B3BB69-23CF-44E3-9099-C40C66FF867C}">
                    <a14:compatExt spid="_x0000_s2057"/>
                  </a:ext>
                  <a:ext uri="{FF2B5EF4-FFF2-40B4-BE49-F238E27FC236}">
                    <a16:creationId xmlns:a16="http://schemas.microsoft.com/office/drawing/2014/main" id="{00000000-0008-0000-0000-000009080000}"/>
                  </a:ext>
                </a:extLst>
              </xdr:cNvPr>
              <xdr:cNvSpPr/>
            </xdr:nvSpPr>
            <xdr:spPr bwMode="auto">
              <a:xfrm>
                <a:off x="9285035" y="1030898"/>
                <a:ext cx="1080000" cy="36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a-DK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Aktive anlæg</a:t>
                </a:r>
              </a:p>
            </xdr:txBody>
          </xdr:sp>
          <xdr:sp macro="" textlink="">
            <xdr:nvSpPr>
              <xdr:cNvPr id="2058" name="Option Button 10" hidden="1">
                <a:extLst>
                  <a:ext uri="{63B3BB69-23CF-44E3-9099-C40C66FF867C}">
                    <a14:compatExt spid="_x0000_s2058"/>
                  </a:ext>
                  <a:ext uri="{FF2B5EF4-FFF2-40B4-BE49-F238E27FC236}">
                    <a16:creationId xmlns:a16="http://schemas.microsoft.com/office/drawing/2014/main" id="{00000000-0008-0000-0000-00000A080000}"/>
                  </a:ext>
                </a:extLst>
              </xdr:cNvPr>
              <xdr:cNvSpPr/>
            </xdr:nvSpPr>
            <xdr:spPr bwMode="auto">
              <a:xfrm>
                <a:off x="9285035" y="1385690"/>
                <a:ext cx="1080000" cy="36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a-DK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Inaktive anlæg</a:t>
                </a:r>
              </a:p>
            </xdr:txBody>
          </xdr:sp>
          <xdr:sp macro="" textlink="">
            <xdr:nvSpPr>
              <xdr:cNvPr id="2059" name="Option Button 11" hidden="1">
                <a:extLst>
                  <a:ext uri="{63B3BB69-23CF-44E3-9099-C40C66FF867C}">
                    <a14:compatExt spid="_x0000_s2059"/>
                  </a:ext>
                  <a:ext uri="{FF2B5EF4-FFF2-40B4-BE49-F238E27FC236}">
                    <a16:creationId xmlns:a16="http://schemas.microsoft.com/office/drawing/2014/main" id="{00000000-0008-0000-0000-00000B080000}"/>
                  </a:ext>
                </a:extLst>
              </xdr:cNvPr>
              <xdr:cNvSpPr/>
            </xdr:nvSpPr>
            <xdr:spPr bwMode="auto">
              <a:xfrm>
                <a:off x="9285035" y="1740477"/>
                <a:ext cx="1080000" cy="36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a-DK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Alle anlæg</a:t>
                </a:r>
              </a:p>
            </xdr:txBody>
          </xdr:sp>
          <xdr:sp macro="" textlink="">
            <xdr:nvSpPr>
              <xdr:cNvPr id="2060" name="Group Box 12" hidden="1">
                <a:extLst>
                  <a:ext uri="{63B3BB69-23CF-44E3-9099-C40C66FF867C}">
                    <a14:compatExt spid="_x0000_s2060"/>
                  </a:ext>
                  <a:ext uri="{FF2B5EF4-FFF2-40B4-BE49-F238E27FC236}">
                    <a16:creationId xmlns:a16="http://schemas.microsoft.com/office/drawing/2014/main" id="{00000000-0008-0000-0000-00000C080000}"/>
                  </a:ext>
                </a:extLst>
              </xdr:cNvPr>
              <xdr:cNvSpPr/>
            </xdr:nvSpPr>
            <xdr:spPr bwMode="auto">
              <a:xfrm>
                <a:off x="9134706" y="923926"/>
                <a:ext cx="1352549" cy="13335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a-DK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Anlægs status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</xdr:row>
          <xdr:rowOff>9525</xdr:rowOff>
        </xdr:from>
        <xdr:to>
          <xdr:col>12</xdr:col>
          <xdr:colOff>247650</xdr:colOff>
          <xdr:row>3</xdr:row>
          <xdr:rowOff>66675</xdr:rowOff>
        </xdr:to>
        <xdr:sp macro="" textlink="">
          <xdr:nvSpPr>
            <xdr:cNvPr id="2063" name="ComboBox2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18</xdr:row>
          <xdr:rowOff>9525</xdr:rowOff>
        </xdr:from>
        <xdr:to>
          <xdr:col>4</xdr:col>
          <xdr:colOff>561975</xdr:colOff>
          <xdr:row>20</xdr:row>
          <xdr:rowOff>28575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95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Ryd alle felter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152399</xdr:rowOff>
    </xdr:from>
    <xdr:to>
      <xdr:col>4</xdr:col>
      <xdr:colOff>496800</xdr:colOff>
      <xdr:row>31</xdr:row>
      <xdr:rowOff>81374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285062</xdr:colOff>
      <xdr:row>97</xdr:row>
      <xdr:rowOff>83841</xdr:rowOff>
    </xdr:from>
    <xdr:to>
      <xdr:col>10</xdr:col>
      <xdr:colOff>479303</xdr:colOff>
      <xdr:row>120</xdr:row>
      <xdr:rowOff>75547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708872</xdr:colOff>
      <xdr:row>97</xdr:row>
      <xdr:rowOff>83841</xdr:rowOff>
    </xdr:from>
    <xdr:to>
      <xdr:col>12</xdr:col>
      <xdr:colOff>3149892</xdr:colOff>
      <xdr:row>120</xdr:row>
      <xdr:rowOff>75547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57150</xdr:colOff>
      <xdr:row>97</xdr:row>
      <xdr:rowOff>83841</xdr:rowOff>
    </xdr:from>
    <xdr:to>
      <xdr:col>4</xdr:col>
      <xdr:colOff>569842</xdr:colOff>
      <xdr:row>120</xdr:row>
      <xdr:rowOff>75547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33</xdr:row>
      <xdr:rowOff>27321</xdr:rowOff>
    </xdr:from>
    <xdr:to>
      <xdr:col>4</xdr:col>
      <xdr:colOff>496800</xdr:colOff>
      <xdr:row>59</xdr:row>
      <xdr:rowOff>137271</xdr:rowOff>
    </xdr:to>
    <xdr:graphicFrame macro="">
      <xdr:nvGraphicFramePr>
        <xdr:cNvPr id="11" name="Chart 3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17318</xdr:colOff>
      <xdr:row>62</xdr:row>
      <xdr:rowOff>135183</xdr:rowOff>
    </xdr:from>
    <xdr:to>
      <xdr:col>12</xdr:col>
      <xdr:colOff>3414288</xdr:colOff>
      <xdr:row>97</xdr:row>
      <xdr:rowOff>39258</xdr:rowOff>
    </xdr:to>
    <xdr:graphicFrame macro="">
      <xdr:nvGraphicFramePr>
        <xdr:cNvPr id="14" name="Chart 1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122</xdr:row>
      <xdr:rowOff>1</xdr:rowOff>
    </xdr:from>
    <xdr:to>
      <xdr:col>8</xdr:col>
      <xdr:colOff>358765</xdr:colOff>
      <xdr:row>135</xdr:row>
      <xdr:rowOff>120530</xdr:rowOff>
    </xdr:to>
    <xdr:graphicFrame macro="">
      <xdr:nvGraphicFramePr>
        <xdr:cNvPr id="26" name="Chart 9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247650</xdr:colOff>
      <xdr:row>4</xdr:row>
      <xdr:rowOff>152399</xdr:rowOff>
    </xdr:from>
    <xdr:to>
      <xdr:col>9</xdr:col>
      <xdr:colOff>125325</xdr:colOff>
      <xdr:row>31</xdr:row>
      <xdr:rowOff>81374</xdr:rowOff>
    </xdr:to>
    <xdr:graphicFrame macro="">
      <xdr:nvGraphicFramePr>
        <xdr:cNvPr id="33" name="Chart 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66674</xdr:colOff>
      <xdr:row>31</xdr:row>
      <xdr:rowOff>47622</xdr:rowOff>
    </xdr:from>
    <xdr:to>
      <xdr:col>12</xdr:col>
      <xdr:colOff>2752049</xdr:colOff>
      <xdr:row>60</xdr:row>
      <xdr:rowOff>66674</xdr:rowOff>
    </xdr:to>
    <xdr:graphicFrame macro="">
      <xdr:nvGraphicFramePr>
        <xdr:cNvPr id="35" name="Chart 1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62</xdr:row>
      <xdr:rowOff>135183</xdr:rowOff>
    </xdr:from>
    <xdr:to>
      <xdr:col>9</xdr:col>
      <xdr:colOff>35206</xdr:colOff>
      <xdr:row>97</xdr:row>
      <xdr:rowOff>39258</xdr:rowOff>
    </xdr:to>
    <xdr:graphicFrame macro="">
      <xdr:nvGraphicFramePr>
        <xdr:cNvPr id="37" name="Chart 1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136</xdr:row>
      <xdr:rowOff>59765</xdr:rowOff>
    </xdr:from>
    <xdr:to>
      <xdr:col>8</xdr:col>
      <xdr:colOff>358765</xdr:colOff>
      <xdr:row>150</xdr:row>
      <xdr:rowOff>23412</xdr:rowOff>
    </xdr:to>
    <xdr:graphicFrame macro="">
      <xdr:nvGraphicFramePr>
        <xdr:cNvPr id="43" name="Chart 11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150</xdr:row>
      <xdr:rowOff>119529</xdr:rowOff>
    </xdr:from>
    <xdr:to>
      <xdr:col>8</xdr:col>
      <xdr:colOff>358765</xdr:colOff>
      <xdr:row>164</xdr:row>
      <xdr:rowOff>83176</xdr:rowOff>
    </xdr:to>
    <xdr:graphicFrame macro="">
      <xdr:nvGraphicFramePr>
        <xdr:cNvPr id="44" name="Chart 1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165</xdr:row>
      <xdr:rowOff>22412</xdr:rowOff>
    </xdr:from>
    <xdr:to>
      <xdr:col>8</xdr:col>
      <xdr:colOff>358765</xdr:colOff>
      <xdr:row>178</xdr:row>
      <xdr:rowOff>142941</xdr:rowOff>
    </xdr:to>
    <xdr:graphicFrame macro="">
      <xdr:nvGraphicFramePr>
        <xdr:cNvPr id="45" name="Chart 15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122</xdr:row>
      <xdr:rowOff>0</xdr:rowOff>
    </xdr:from>
    <xdr:to>
      <xdr:col>12</xdr:col>
      <xdr:colOff>3063865</xdr:colOff>
      <xdr:row>135</xdr:row>
      <xdr:rowOff>120529</xdr:rowOff>
    </xdr:to>
    <xdr:graphicFrame macro="">
      <xdr:nvGraphicFramePr>
        <xdr:cNvPr id="46" name="Chart 10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0</xdr:colOff>
      <xdr:row>136</xdr:row>
      <xdr:rowOff>59764</xdr:rowOff>
    </xdr:from>
    <xdr:to>
      <xdr:col>12</xdr:col>
      <xdr:colOff>3063865</xdr:colOff>
      <xdr:row>150</xdr:row>
      <xdr:rowOff>23411</xdr:rowOff>
    </xdr:to>
    <xdr:graphicFrame macro="">
      <xdr:nvGraphicFramePr>
        <xdr:cNvPr id="47" name="Chart 12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9</xdr:col>
      <xdr:colOff>0</xdr:colOff>
      <xdr:row>150</xdr:row>
      <xdr:rowOff>119528</xdr:rowOff>
    </xdr:from>
    <xdr:to>
      <xdr:col>12</xdr:col>
      <xdr:colOff>3063865</xdr:colOff>
      <xdr:row>164</xdr:row>
      <xdr:rowOff>83175</xdr:rowOff>
    </xdr:to>
    <xdr:graphicFrame macro="">
      <xdr:nvGraphicFramePr>
        <xdr:cNvPr id="48" name="Chart 14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</xdr:col>
      <xdr:colOff>0</xdr:colOff>
      <xdr:row>165</xdr:row>
      <xdr:rowOff>22411</xdr:rowOff>
    </xdr:from>
    <xdr:to>
      <xdr:col>12</xdr:col>
      <xdr:colOff>3063865</xdr:colOff>
      <xdr:row>178</xdr:row>
      <xdr:rowOff>142940</xdr:rowOff>
    </xdr:to>
    <xdr:graphicFrame macro="">
      <xdr:nvGraphicFramePr>
        <xdr:cNvPr id="49" name="Chart 16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0</xdr:colOff>
      <xdr:row>181</xdr:row>
      <xdr:rowOff>1</xdr:rowOff>
    </xdr:from>
    <xdr:to>
      <xdr:col>8</xdr:col>
      <xdr:colOff>358765</xdr:colOff>
      <xdr:row>194</xdr:row>
      <xdr:rowOff>120529</xdr:rowOff>
    </xdr:to>
    <xdr:graphicFrame macro="">
      <xdr:nvGraphicFramePr>
        <xdr:cNvPr id="50" name="Chart 17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195</xdr:row>
      <xdr:rowOff>59765</xdr:rowOff>
    </xdr:from>
    <xdr:to>
      <xdr:col>8</xdr:col>
      <xdr:colOff>358765</xdr:colOff>
      <xdr:row>209</xdr:row>
      <xdr:rowOff>23412</xdr:rowOff>
    </xdr:to>
    <xdr:graphicFrame macro="">
      <xdr:nvGraphicFramePr>
        <xdr:cNvPr id="51" name="Chart 19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0</xdr:colOff>
      <xdr:row>209</xdr:row>
      <xdr:rowOff>119529</xdr:rowOff>
    </xdr:from>
    <xdr:to>
      <xdr:col>8</xdr:col>
      <xdr:colOff>358765</xdr:colOff>
      <xdr:row>223</xdr:row>
      <xdr:rowOff>83175</xdr:rowOff>
    </xdr:to>
    <xdr:graphicFrame macro="">
      <xdr:nvGraphicFramePr>
        <xdr:cNvPr id="52" name="Chart 2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0</xdr:colOff>
      <xdr:row>224</xdr:row>
      <xdr:rowOff>22411</xdr:rowOff>
    </xdr:from>
    <xdr:to>
      <xdr:col>8</xdr:col>
      <xdr:colOff>358765</xdr:colOff>
      <xdr:row>237</xdr:row>
      <xdr:rowOff>142940</xdr:rowOff>
    </xdr:to>
    <xdr:graphicFrame macro="">
      <xdr:nvGraphicFramePr>
        <xdr:cNvPr id="53" name="Chart 23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</xdr:col>
      <xdr:colOff>0</xdr:colOff>
      <xdr:row>181</xdr:row>
      <xdr:rowOff>0</xdr:rowOff>
    </xdr:from>
    <xdr:to>
      <xdr:col>12</xdr:col>
      <xdr:colOff>3063865</xdr:colOff>
      <xdr:row>194</xdr:row>
      <xdr:rowOff>120528</xdr:rowOff>
    </xdr:to>
    <xdr:graphicFrame macro="">
      <xdr:nvGraphicFramePr>
        <xdr:cNvPr id="54" name="Chart 18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9</xdr:col>
      <xdr:colOff>0</xdr:colOff>
      <xdr:row>195</xdr:row>
      <xdr:rowOff>59764</xdr:rowOff>
    </xdr:from>
    <xdr:to>
      <xdr:col>12</xdr:col>
      <xdr:colOff>3063865</xdr:colOff>
      <xdr:row>209</xdr:row>
      <xdr:rowOff>23411</xdr:rowOff>
    </xdr:to>
    <xdr:graphicFrame macro="">
      <xdr:nvGraphicFramePr>
        <xdr:cNvPr id="55" name="Chart 20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9</xdr:col>
      <xdr:colOff>0</xdr:colOff>
      <xdr:row>209</xdr:row>
      <xdr:rowOff>119528</xdr:rowOff>
    </xdr:from>
    <xdr:to>
      <xdr:col>12</xdr:col>
      <xdr:colOff>3063865</xdr:colOff>
      <xdr:row>223</xdr:row>
      <xdr:rowOff>83174</xdr:rowOff>
    </xdr:to>
    <xdr:graphicFrame macro="">
      <xdr:nvGraphicFramePr>
        <xdr:cNvPr id="56" name="Chart 22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9</xdr:col>
      <xdr:colOff>0</xdr:colOff>
      <xdr:row>224</xdr:row>
      <xdr:rowOff>22410</xdr:rowOff>
    </xdr:from>
    <xdr:to>
      <xdr:col>12</xdr:col>
      <xdr:colOff>3063865</xdr:colOff>
      <xdr:row>237</xdr:row>
      <xdr:rowOff>142939</xdr:rowOff>
    </xdr:to>
    <xdr:graphicFrame macro="">
      <xdr:nvGraphicFramePr>
        <xdr:cNvPr id="57" name="Chart 24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0</xdr:colOff>
      <xdr:row>240</xdr:row>
      <xdr:rowOff>1</xdr:rowOff>
    </xdr:from>
    <xdr:to>
      <xdr:col>8</xdr:col>
      <xdr:colOff>358765</xdr:colOff>
      <xdr:row>253</xdr:row>
      <xdr:rowOff>120530</xdr:rowOff>
    </xdr:to>
    <xdr:graphicFrame macro="">
      <xdr:nvGraphicFramePr>
        <xdr:cNvPr id="58" name="Chart 25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0</xdr:colOff>
      <xdr:row>254</xdr:row>
      <xdr:rowOff>59765</xdr:rowOff>
    </xdr:from>
    <xdr:to>
      <xdr:col>8</xdr:col>
      <xdr:colOff>358765</xdr:colOff>
      <xdr:row>268</xdr:row>
      <xdr:rowOff>23412</xdr:rowOff>
    </xdr:to>
    <xdr:graphicFrame macro="">
      <xdr:nvGraphicFramePr>
        <xdr:cNvPr id="59" name="Chart 27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9</xdr:col>
      <xdr:colOff>0</xdr:colOff>
      <xdr:row>240</xdr:row>
      <xdr:rowOff>0</xdr:rowOff>
    </xdr:from>
    <xdr:to>
      <xdr:col>12</xdr:col>
      <xdr:colOff>3063865</xdr:colOff>
      <xdr:row>253</xdr:row>
      <xdr:rowOff>120529</xdr:rowOff>
    </xdr:to>
    <xdr:graphicFrame macro="">
      <xdr:nvGraphicFramePr>
        <xdr:cNvPr id="62" name="Chart 26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9</xdr:col>
      <xdr:colOff>0</xdr:colOff>
      <xdr:row>254</xdr:row>
      <xdr:rowOff>59764</xdr:rowOff>
    </xdr:from>
    <xdr:to>
      <xdr:col>12</xdr:col>
      <xdr:colOff>3063865</xdr:colOff>
      <xdr:row>268</xdr:row>
      <xdr:rowOff>23411</xdr:rowOff>
    </xdr:to>
    <xdr:graphicFrame macro="">
      <xdr:nvGraphicFramePr>
        <xdr:cNvPr id="63" name="Chart 28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28</xdr:col>
      <xdr:colOff>228600</xdr:colOff>
      <xdr:row>30</xdr:row>
      <xdr:rowOff>133350</xdr:rowOff>
    </xdr:from>
    <xdr:to>
      <xdr:col>32</xdr:col>
      <xdr:colOff>353925</xdr:colOff>
      <xdr:row>57</xdr:row>
      <xdr:rowOff>86418</xdr:rowOff>
    </xdr:to>
    <xdr:graphicFrame macro="">
      <xdr:nvGraphicFramePr>
        <xdr:cNvPr id="32" name="Chart 8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4</xdr:col>
      <xdr:colOff>247650</xdr:colOff>
      <xdr:row>33</xdr:row>
      <xdr:rowOff>22278</xdr:rowOff>
    </xdr:from>
    <xdr:to>
      <xdr:col>9</xdr:col>
      <xdr:colOff>125325</xdr:colOff>
      <xdr:row>59</xdr:row>
      <xdr:rowOff>137271</xdr:rowOff>
    </xdr:to>
    <xdr:graphicFrame macro="">
      <xdr:nvGraphicFramePr>
        <xdr:cNvPr id="10" name="Chart 4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23</xdr:col>
      <xdr:colOff>346075</xdr:colOff>
      <xdr:row>30</xdr:row>
      <xdr:rowOff>133350</xdr:rowOff>
    </xdr:from>
    <xdr:to>
      <xdr:col>28</xdr:col>
      <xdr:colOff>157075</xdr:colOff>
      <xdr:row>57</xdr:row>
      <xdr:rowOff>86418</xdr:rowOff>
    </xdr:to>
    <xdr:graphicFrame macro="">
      <xdr:nvGraphicFramePr>
        <xdr:cNvPr id="41" name="Chart 7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18</xdr:col>
      <xdr:colOff>654050</xdr:colOff>
      <xdr:row>30</xdr:row>
      <xdr:rowOff>133350</xdr:rowOff>
    </xdr:from>
    <xdr:to>
      <xdr:col>23</xdr:col>
      <xdr:colOff>274550</xdr:colOff>
      <xdr:row>57</xdr:row>
      <xdr:rowOff>86418</xdr:rowOff>
    </xdr:to>
    <xdr:graphicFrame macro="">
      <xdr:nvGraphicFramePr>
        <xdr:cNvPr id="42" name="Chart 6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14</xdr:col>
      <xdr:colOff>0</xdr:colOff>
      <xdr:row>30</xdr:row>
      <xdr:rowOff>133350</xdr:rowOff>
    </xdr:from>
    <xdr:to>
      <xdr:col>18</xdr:col>
      <xdr:colOff>582525</xdr:colOff>
      <xdr:row>57</xdr:row>
      <xdr:rowOff>86418</xdr:rowOff>
    </xdr:to>
    <xdr:graphicFrame macro="">
      <xdr:nvGraphicFramePr>
        <xdr:cNvPr id="60" name="Chart 5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13</xdr:col>
      <xdr:colOff>571500</xdr:colOff>
      <xdr:row>97</xdr:row>
      <xdr:rowOff>85725</xdr:rowOff>
    </xdr:from>
    <xdr:to>
      <xdr:col>18</xdr:col>
      <xdr:colOff>459820</xdr:colOff>
      <xdr:row>120</xdr:row>
      <xdr:rowOff>77431</xdr:rowOff>
    </xdr:to>
    <xdr:graphicFrame macro="">
      <xdr:nvGraphicFramePr>
        <xdr:cNvPr id="36" name="Chart 1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23</xdr:col>
      <xdr:colOff>546100</xdr:colOff>
      <xdr:row>97</xdr:row>
      <xdr:rowOff>92075</xdr:rowOff>
    </xdr:from>
    <xdr:to>
      <xdr:col>28</xdr:col>
      <xdr:colOff>351870</xdr:colOff>
      <xdr:row>120</xdr:row>
      <xdr:rowOff>83781</xdr:rowOff>
    </xdr:to>
    <xdr:graphicFrame macro="">
      <xdr:nvGraphicFramePr>
        <xdr:cNvPr id="38" name="Chart 1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29</xdr:col>
      <xdr:colOff>28575</xdr:colOff>
      <xdr:row>97</xdr:row>
      <xdr:rowOff>85725</xdr:rowOff>
    </xdr:from>
    <xdr:to>
      <xdr:col>32</xdr:col>
      <xdr:colOff>834470</xdr:colOff>
      <xdr:row>120</xdr:row>
      <xdr:rowOff>77431</xdr:rowOff>
    </xdr:to>
    <xdr:graphicFrame macro="">
      <xdr:nvGraphicFramePr>
        <xdr:cNvPr id="61" name="Chart 1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23</xdr:col>
      <xdr:colOff>552450</xdr:colOff>
      <xdr:row>121</xdr:row>
      <xdr:rowOff>152400</xdr:rowOff>
    </xdr:from>
    <xdr:to>
      <xdr:col>28</xdr:col>
      <xdr:colOff>358220</xdr:colOff>
      <xdr:row>144</xdr:row>
      <xdr:rowOff>144106</xdr:rowOff>
    </xdr:to>
    <xdr:graphicFrame macro="">
      <xdr:nvGraphicFramePr>
        <xdr:cNvPr id="40" name="Chart 1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18</xdr:col>
      <xdr:colOff>723900</xdr:colOff>
      <xdr:row>97</xdr:row>
      <xdr:rowOff>66675</xdr:rowOff>
    </xdr:from>
    <xdr:to>
      <xdr:col>23</xdr:col>
      <xdr:colOff>339170</xdr:colOff>
      <xdr:row>120</xdr:row>
      <xdr:rowOff>58381</xdr:rowOff>
    </xdr:to>
    <xdr:graphicFrame macro="">
      <xdr:nvGraphicFramePr>
        <xdr:cNvPr id="65" name="Chart 1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29</xdr:col>
      <xdr:colOff>0</xdr:colOff>
      <xdr:row>122</xdr:row>
      <xdr:rowOff>0</xdr:rowOff>
    </xdr:from>
    <xdr:to>
      <xdr:col>32</xdr:col>
      <xdr:colOff>805895</xdr:colOff>
      <xdr:row>144</xdr:row>
      <xdr:rowOff>153631</xdr:rowOff>
    </xdr:to>
    <xdr:graphicFrame macro="">
      <xdr:nvGraphicFramePr>
        <xdr:cNvPr id="66" name="Chart 1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13</xdr:col>
      <xdr:colOff>542925</xdr:colOff>
      <xdr:row>121</xdr:row>
      <xdr:rowOff>152400</xdr:rowOff>
    </xdr:from>
    <xdr:to>
      <xdr:col>18</xdr:col>
      <xdr:colOff>431245</xdr:colOff>
      <xdr:row>144</xdr:row>
      <xdr:rowOff>144106</xdr:rowOff>
    </xdr:to>
    <xdr:graphicFrame macro="">
      <xdr:nvGraphicFramePr>
        <xdr:cNvPr id="70" name="Chart 1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18</xdr:col>
      <xdr:colOff>714375</xdr:colOff>
      <xdr:row>121</xdr:row>
      <xdr:rowOff>142875</xdr:rowOff>
    </xdr:from>
    <xdr:to>
      <xdr:col>23</xdr:col>
      <xdr:colOff>329645</xdr:colOff>
      <xdr:row>144</xdr:row>
      <xdr:rowOff>134581</xdr:rowOff>
    </xdr:to>
    <xdr:graphicFrame macro="">
      <xdr:nvGraphicFramePr>
        <xdr:cNvPr id="64" name="Chart 1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666750</xdr:colOff>
          <xdr:row>1</xdr:row>
          <xdr:rowOff>0</xdr:rowOff>
        </xdr:from>
        <xdr:to>
          <xdr:col>5</xdr:col>
          <xdr:colOff>9525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95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Indstil tidsserier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1</xdr:row>
          <xdr:rowOff>9525</xdr:rowOff>
        </xdr:from>
        <xdr:to>
          <xdr:col>16</xdr:col>
          <xdr:colOff>381000</xdr:colOff>
          <xdr:row>2</xdr:row>
          <xdr:rowOff>28575</xdr:rowOff>
        </xdr:to>
        <xdr:sp macro="" textlink="">
          <xdr:nvSpPr>
            <xdr:cNvPr id="6145" name="Drop Dow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lundborg">
  <a:themeElements>
    <a:clrScheme name="Kalundborg">
      <a:dk1>
        <a:sysClr val="windowText" lastClr="000000"/>
      </a:dk1>
      <a:lt1>
        <a:sysClr val="window" lastClr="FFFFFF"/>
      </a:lt1>
      <a:dk2>
        <a:srgbClr val="464F5E"/>
      </a:dk2>
      <a:lt2>
        <a:srgbClr val="E9EAEC"/>
      </a:lt2>
      <a:accent1>
        <a:srgbClr val="BC4D31"/>
      </a:accent1>
      <a:accent2>
        <a:srgbClr val="64ADD7"/>
      </a:accent2>
      <a:accent3>
        <a:srgbClr val="ACA588"/>
      </a:accent3>
      <a:accent4>
        <a:srgbClr val="9CD33B"/>
      </a:accent4>
      <a:accent5>
        <a:srgbClr val="E5BC2C"/>
      </a:accent5>
      <a:accent6>
        <a:srgbClr val="ED752D"/>
      </a:accent6>
      <a:hlink>
        <a:srgbClr val="0000FF"/>
      </a:hlink>
      <a:folHlink>
        <a:srgbClr val="FE19FF"/>
      </a:folHlink>
    </a:clrScheme>
    <a:fontScheme name="Kalundborg">
      <a:majorFont>
        <a:latin typeface="Verdana"/>
        <a:ea typeface=""/>
        <a:cs typeface=""/>
      </a:majorFont>
      <a:minorFont>
        <a:latin typeface="Verdana"/>
        <a:ea typeface=""/>
        <a:cs typeface=""/>
      </a:minorFont>
    </a:fontScheme>
    <a:fmtScheme name="Kalundborg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0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3"/>
  <dimension ref="A1:M21"/>
  <sheetViews>
    <sheetView tabSelected="1" zoomScaleNormal="100" workbookViewId="0">
      <selection activeCell="C2" sqref="C2"/>
    </sheetView>
  </sheetViews>
  <sheetFormatPr defaultColWidth="9" defaultRowHeight="12.75" x14ac:dyDescent="0.2"/>
  <cols>
    <col min="1" max="1" width="9" style="5"/>
    <col min="2" max="2" width="15.25" style="5" bestFit="1" customWidth="1"/>
    <col min="3" max="3" width="36.125" style="5" customWidth="1"/>
    <col min="4" max="5" width="9" style="5"/>
    <col min="6" max="6" width="8.625" style="5" customWidth="1"/>
    <col min="7" max="9" width="9" style="5"/>
    <col min="10" max="10" width="12.875" style="5" customWidth="1"/>
    <col min="11" max="11" width="27" style="5" customWidth="1"/>
    <col min="12" max="16384" width="9" style="5"/>
  </cols>
  <sheetData>
    <row r="1" spans="1:13" x14ac:dyDescent="0.2">
      <c r="A1" s="55"/>
      <c r="B1" s="56"/>
      <c r="C1" s="56"/>
      <c r="D1" s="56"/>
      <c r="E1" s="57"/>
      <c r="I1" s="55"/>
      <c r="J1" s="56" t="s">
        <v>116</v>
      </c>
      <c r="K1" s="56"/>
      <c r="L1" s="56"/>
      <c r="M1" s="57"/>
    </row>
    <row r="2" spans="1:13" x14ac:dyDescent="0.2">
      <c r="A2" s="58"/>
      <c r="B2" s="64" t="s">
        <v>113</v>
      </c>
      <c r="C2" s="53"/>
      <c r="D2" s="54"/>
      <c r="E2" s="60"/>
      <c r="G2" s="6"/>
      <c r="I2" s="58"/>
      <c r="J2" s="54"/>
      <c r="K2" s="54"/>
      <c r="L2" s="54"/>
      <c r="M2" s="60"/>
    </row>
    <row r="3" spans="1:13" x14ac:dyDescent="0.2">
      <c r="A3" s="58"/>
      <c r="B3" s="54" t="s">
        <v>114</v>
      </c>
      <c r="C3" s="54"/>
      <c r="D3" s="54"/>
      <c r="E3" s="60"/>
      <c r="G3" s="6"/>
      <c r="I3" s="58"/>
      <c r="J3" s="54"/>
      <c r="K3" s="54"/>
      <c r="L3" s="54"/>
      <c r="M3" s="60"/>
    </row>
    <row r="4" spans="1:13" x14ac:dyDescent="0.2">
      <c r="A4" s="58"/>
      <c r="B4" s="65" t="s">
        <v>115</v>
      </c>
      <c r="C4" s="53"/>
      <c r="D4" s="54"/>
      <c r="E4" s="60"/>
      <c r="G4" s="6"/>
      <c r="I4" s="58"/>
      <c r="J4" s="54"/>
      <c r="K4" s="54"/>
      <c r="L4" s="54"/>
      <c r="M4" s="60"/>
    </row>
    <row r="5" spans="1:13" x14ac:dyDescent="0.2">
      <c r="A5" s="58"/>
      <c r="B5" s="54"/>
      <c r="C5" s="54"/>
      <c r="D5" s="54"/>
      <c r="E5" s="60"/>
      <c r="G5" s="6"/>
      <c r="I5" s="58"/>
      <c r="J5" s="54" t="s">
        <v>106</v>
      </c>
      <c r="K5" s="54"/>
      <c r="L5" s="54"/>
      <c r="M5" s="60"/>
    </row>
    <row r="6" spans="1:13" x14ac:dyDescent="0.2">
      <c r="A6" s="58"/>
      <c r="B6" s="54" t="s">
        <v>117</v>
      </c>
      <c r="C6" s="54"/>
      <c r="D6" s="54"/>
      <c r="E6" s="60"/>
      <c r="G6" s="6"/>
      <c r="I6" s="58"/>
      <c r="J6" s="54" t="s">
        <v>113</v>
      </c>
      <c r="K6" s="59" t="str">
        <f ca="1">'##'!G4</f>
        <v>Intet vandværk er valgt</v>
      </c>
      <c r="L6" s="54"/>
      <c r="M6" s="60"/>
    </row>
    <row r="7" spans="1:13" x14ac:dyDescent="0.2">
      <c r="A7" s="58"/>
      <c r="B7" s="54"/>
      <c r="C7" s="54"/>
      <c r="D7" s="54"/>
      <c r="E7" s="60"/>
      <c r="G7" s="6"/>
      <c r="I7" s="58"/>
      <c r="J7" s="54" t="s">
        <v>115</v>
      </c>
      <c r="K7" s="59" t="str">
        <f ca="1">'##'!G3</f>
        <v>Intet vandværk er valgt</v>
      </c>
      <c r="L7" s="54"/>
      <c r="M7" s="60"/>
    </row>
    <row r="8" spans="1:13" ht="13.5" thickBot="1" x14ac:dyDescent="0.25">
      <c r="A8" s="58"/>
      <c r="B8" s="54" t="s">
        <v>118</v>
      </c>
      <c r="C8" s="54"/>
      <c r="D8" s="54"/>
      <c r="E8" s="60"/>
      <c r="G8" s="6"/>
      <c r="I8" s="61"/>
      <c r="J8" s="62"/>
      <c r="K8" s="62"/>
      <c r="L8" s="62"/>
      <c r="M8" s="63"/>
    </row>
    <row r="9" spans="1:13" x14ac:dyDescent="0.2">
      <c r="A9" s="58"/>
      <c r="B9" s="54"/>
      <c r="C9" s="54"/>
      <c r="D9" s="54"/>
      <c r="E9" s="60"/>
      <c r="G9" s="6"/>
    </row>
    <row r="10" spans="1:13" x14ac:dyDescent="0.2">
      <c r="A10" s="58"/>
      <c r="B10" s="54"/>
      <c r="C10" s="54"/>
      <c r="D10" s="54"/>
      <c r="E10" s="60"/>
      <c r="G10" s="6"/>
    </row>
    <row r="11" spans="1:13" x14ac:dyDescent="0.2">
      <c r="A11" s="58"/>
      <c r="B11" s="54"/>
      <c r="C11" s="54"/>
      <c r="D11" s="54"/>
      <c r="E11" s="60"/>
      <c r="G11" s="6"/>
    </row>
    <row r="12" spans="1:13" x14ac:dyDescent="0.2">
      <c r="A12" s="58"/>
      <c r="B12" s="54"/>
      <c r="C12" s="54"/>
      <c r="D12" s="54"/>
      <c r="E12" s="60"/>
      <c r="G12" s="6"/>
    </row>
    <row r="13" spans="1:13" x14ac:dyDescent="0.2">
      <c r="A13" s="58"/>
      <c r="B13" s="54"/>
      <c r="C13" s="54"/>
      <c r="D13" s="54"/>
      <c r="E13" s="60"/>
      <c r="G13" s="6"/>
    </row>
    <row r="14" spans="1:13" x14ac:dyDescent="0.2">
      <c r="A14" s="58"/>
      <c r="B14" s="54"/>
      <c r="C14" s="54"/>
      <c r="D14" s="54"/>
      <c r="E14" s="60"/>
      <c r="G14" s="6"/>
    </row>
    <row r="15" spans="1:13" x14ac:dyDescent="0.2">
      <c r="A15" s="58"/>
      <c r="B15" s="65" t="s">
        <v>200</v>
      </c>
      <c r="C15" s="66"/>
      <c r="D15" s="54"/>
      <c r="E15" s="60"/>
      <c r="G15" s="6"/>
    </row>
    <row r="16" spans="1:13" x14ac:dyDescent="0.2">
      <c r="A16" s="58"/>
      <c r="B16" s="54"/>
      <c r="C16" s="54"/>
      <c r="D16" s="54"/>
      <c r="E16" s="60"/>
      <c r="G16" s="6"/>
    </row>
    <row r="17" spans="1:5" x14ac:dyDescent="0.2">
      <c r="A17" s="58"/>
      <c r="B17" s="54" t="s">
        <v>203</v>
      </c>
      <c r="C17" s="54"/>
      <c r="D17" s="54"/>
      <c r="E17" s="60"/>
    </row>
    <row r="18" spans="1:5" x14ac:dyDescent="0.2">
      <c r="A18" s="58"/>
      <c r="B18" s="54" t="s">
        <v>202</v>
      </c>
      <c r="C18" s="54"/>
      <c r="D18" s="54"/>
      <c r="E18" s="60"/>
    </row>
    <row r="19" spans="1:5" x14ac:dyDescent="0.2">
      <c r="A19" s="58"/>
      <c r="B19" s="54" t="s">
        <v>201</v>
      </c>
      <c r="C19" s="54"/>
      <c r="D19" s="54"/>
      <c r="E19" s="60"/>
    </row>
    <row r="20" spans="1:5" x14ac:dyDescent="0.2">
      <c r="A20" s="58"/>
      <c r="B20" s="54"/>
      <c r="C20" s="54"/>
      <c r="D20" s="54"/>
      <c r="E20" s="60"/>
    </row>
    <row r="21" spans="1:5" ht="13.5" thickBot="1" x14ac:dyDescent="0.25">
      <c r="A21" s="61"/>
      <c r="B21" s="62"/>
      <c r="C21" s="62"/>
      <c r="D21" s="62"/>
      <c r="E21" s="63"/>
    </row>
  </sheetData>
  <dataConsolidate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3" r:id="rId4" name="ComboBox2">
          <controlPr defaultSize="0" autoLine="0" linkedCell="'##'!G2" listFillRange="sogvv" r:id="rId5">
            <anchor moveWithCells="1">
              <from>
                <xdr:col>9</xdr:col>
                <xdr:colOff>9525</xdr:colOff>
                <xdr:row>2</xdr:row>
                <xdr:rowOff>9525</xdr:rowOff>
              </from>
              <to>
                <xdr:col>12</xdr:col>
                <xdr:colOff>247650</xdr:colOff>
                <xdr:row>3</xdr:row>
                <xdr:rowOff>66675</xdr:rowOff>
              </to>
            </anchor>
          </controlPr>
        </control>
      </mc:Choice>
      <mc:Fallback>
        <control shapeId="2063" r:id="rId4" name="ComboBox2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Button2_Click">
            <anchor moveWithCells="1" sizeWithCells="1">
              <from>
                <xdr:col>11</xdr:col>
                <xdr:colOff>142875</xdr:colOff>
                <xdr:row>4</xdr:row>
                <xdr:rowOff>133350</xdr:rowOff>
              </from>
              <to>
                <xdr:col>12</xdr:col>
                <xdr:colOff>466725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3" r:id="rId7" name="Button 5">
          <controlPr defaultSize="0" print="0" autoFill="0" autoPict="0" macro="[0]!Sog_vandvaerk">
            <anchor moveWithCells="1" sizeWithCells="1">
              <from>
                <xdr:col>3</xdr:col>
                <xdr:colOff>238125</xdr:colOff>
                <xdr:row>1</xdr:row>
                <xdr:rowOff>76200</xdr:rowOff>
              </from>
              <to>
                <xdr:col>4</xdr:col>
                <xdr:colOff>561975</xdr:colOff>
                <xdr:row>3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4" r:id="rId8" name="Drop Down 6">
          <controlPr defaultSize="0" autoLine="0" autoPict="0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4</xdr:col>
                <xdr:colOff>523875</xdr:colOff>
                <xdr:row>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7" r:id="rId9" name="Option Button 9">
          <controlPr defaultSize="0" autoFill="0" autoLine="0" autoPict="0">
            <anchor moveWithCells="1">
              <from>
                <xdr:col>2</xdr:col>
                <xdr:colOff>133350</xdr:colOff>
                <xdr:row>7</xdr:row>
                <xdr:rowOff>85725</xdr:rowOff>
              </from>
              <to>
                <xdr:col>2</xdr:col>
                <xdr:colOff>1133475</xdr:colOff>
                <xdr:row>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8" r:id="rId10" name="Option Button 10">
          <controlPr defaultSize="0" autoFill="0" autoLine="0" autoPict="0">
            <anchor moveWithCells="1">
              <from>
                <xdr:col>2</xdr:col>
                <xdr:colOff>133350</xdr:colOff>
                <xdr:row>9</xdr:row>
                <xdr:rowOff>19050</xdr:rowOff>
              </from>
              <to>
                <xdr:col>2</xdr:col>
                <xdr:colOff>1133475</xdr:colOff>
                <xdr:row>10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9" r:id="rId11" name="Option Button 11">
          <controlPr defaultSize="0" autoFill="0" autoLine="0" autoPict="0">
            <anchor moveWithCells="1">
              <from>
                <xdr:col>2</xdr:col>
                <xdr:colOff>133350</xdr:colOff>
                <xdr:row>10</xdr:row>
                <xdr:rowOff>133350</xdr:rowOff>
              </from>
              <to>
                <xdr:col>2</xdr:col>
                <xdr:colOff>1133475</xdr:colOff>
                <xdr:row>12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0" r:id="rId12" name="Group Box 12">
          <controlPr defaultSize="0" autoFill="0" autoPict="0">
            <anchor moveWithCells="1">
              <from>
                <xdr:col>1</xdr:col>
                <xdr:colOff>1152525</xdr:colOff>
                <xdr:row>7</xdr:row>
                <xdr:rowOff>0</xdr:rowOff>
              </from>
              <to>
                <xdr:col>2</xdr:col>
                <xdr:colOff>1247775</xdr:colOff>
                <xdr:row>13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4" r:id="rId13" name="Button 16">
          <controlPr defaultSize="0" print="0" autoFill="0" autoPict="0" macro="[0]!Clear_all_alt">
            <anchor moveWithCells="1" sizeWithCells="1">
              <from>
                <xdr:col>3</xdr:col>
                <xdr:colOff>238125</xdr:colOff>
                <xdr:row>18</xdr:row>
                <xdr:rowOff>9525</xdr:rowOff>
              </from>
              <to>
                <xdr:col>4</xdr:col>
                <xdr:colOff>561975</xdr:colOff>
                <xdr:row>20</xdr:row>
                <xdr:rowOff>28575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5"/>
  <dimension ref="A1:AJ96"/>
  <sheetViews>
    <sheetView zoomScaleNormal="100" workbookViewId="0"/>
  </sheetViews>
  <sheetFormatPr defaultColWidth="9" defaultRowHeight="12.75" x14ac:dyDescent="0.2"/>
  <cols>
    <col min="2" max="2" width="10.625" bestFit="1" customWidth="1"/>
    <col min="7" max="7" width="8.125" bestFit="1" customWidth="1"/>
    <col min="10" max="10" width="14" customWidth="1"/>
    <col min="11" max="11" width="11.25" customWidth="1"/>
    <col min="12" max="12" width="10.375" bestFit="1" customWidth="1"/>
    <col min="13" max="13" width="45.625" customWidth="1"/>
    <col min="16" max="18" width="8.625" bestFit="1" customWidth="1"/>
    <col min="19" max="19" width="9.875" bestFit="1" customWidth="1"/>
    <col min="20" max="20" width="8.625" bestFit="1" customWidth="1"/>
    <col min="21" max="21" width="9.875" bestFit="1" customWidth="1"/>
    <col min="23" max="23" width="10.125" customWidth="1"/>
    <col min="25" max="25" width="9" customWidth="1"/>
    <col min="31" max="31" width="13.875" customWidth="1"/>
    <col min="33" max="33" width="11.75" customWidth="1"/>
    <col min="34" max="34" width="12.5" customWidth="1"/>
    <col min="35" max="35" width="14.625" customWidth="1"/>
  </cols>
  <sheetData>
    <row r="1" spans="1:29" x14ac:dyDescent="0.2">
      <c r="A1" s="69"/>
      <c r="B1" s="70"/>
      <c r="C1" s="70"/>
      <c r="D1" s="70"/>
      <c r="E1" s="70"/>
      <c r="F1" s="71"/>
    </row>
    <row r="2" spans="1:29" x14ac:dyDescent="0.2">
      <c r="A2" s="72" t="s">
        <v>212</v>
      </c>
      <c r="B2" s="68">
        <v>36526</v>
      </c>
      <c r="C2" s="54"/>
      <c r="D2" s="54"/>
      <c r="E2" s="54"/>
      <c r="F2" s="73"/>
    </row>
    <row r="3" spans="1:29" x14ac:dyDescent="0.2">
      <c r="A3" s="72" t="s">
        <v>213</v>
      </c>
      <c r="B3" s="68">
        <v>44562</v>
      </c>
      <c r="C3" s="54"/>
      <c r="D3" s="54"/>
      <c r="E3" s="54"/>
      <c r="F3" s="73"/>
    </row>
    <row r="4" spans="1:29" x14ac:dyDescent="0.2">
      <c r="A4" s="74"/>
      <c r="B4" s="75"/>
      <c r="C4" s="76"/>
      <c r="D4" s="76"/>
      <c r="E4" s="76"/>
      <c r="F4" s="77"/>
    </row>
    <row r="5" spans="1:29" x14ac:dyDescent="0.2">
      <c r="A5" s="17" t="s">
        <v>190</v>
      </c>
      <c r="K5" s="17"/>
      <c r="O5" s="17" t="s">
        <v>139</v>
      </c>
    </row>
    <row r="6" spans="1:29" x14ac:dyDescent="0.2">
      <c r="J6" s="51" t="s">
        <v>140</v>
      </c>
      <c r="K6" s="51" t="str">
        <f>INDEX(INDEX(dd,,2),MATCH(1,bnr,0))</f>
        <v/>
      </c>
      <c r="L6" s="51"/>
      <c r="M6" s="52" t="str">
        <f>IF(K6="","","DGU "&amp;b_1&amp;" - "&amp;INDEX(JupData!C:C,MATCH(b_1,JupData!D:D,0)))</f>
        <v/>
      </c>
      <c r="O6" s="39"/>
      <c r="P6" s="36" t="s">
        <v>175</v>
      </c>
      <c r="Q6" s="36"/>
      <c r="R6" s="36"/>
      <c r="S6" s="36"/>
      <c r="T6" s="42"/>
      <c r="U6" s="37"/>
      <c r="W6" s="42" t="s">
        <v>182</v>
      </c>
      <c r="X6" s="36"/>
      <c r="Y6" s="37"/>
    </row>
    <row r="7" spans="1:29" x14ac:dyDescent="0.2">
      <c r="J7" s="51" t="s">
        <v>141</v>
      </c>
      <c r="K7" s="51" t="str">
        <f>INDEX(INDEX(dd,,2),MATCH(2,bnr,0))</f>
        <v/>
      </c>
      <c r="L7" s="51"/>
      <c r="M7" s="52" t="str">
        <f>IF(K7="","","DGU "&amp;b_2&amp;" - "&amp;INDEX(JupData!C:C,MATCH(b_2,JupData!D:D,0)))</f>
        <v/>
      </c>
      <c r="O7" s="40" t="s">
        <v>177</v>
      </c>
      <c r="P7" s="32"/>
      <c r="T7" s="40"/>
      <c r="U7" s="34"/>
      <c r="W7" s="43" t="s">
        <v>183</v>
      </c>
      <c r="X7">
        <v>50</v>
      </c>
      <c r="Y7" s="34">
        <v>70</v>
      </c>
    </row>
    <row r="8" spans="1:29" x14ac:dyDescent="0.2">
      <c r="J8" s="51" t="s">
        <v>144</v>
      </c>
      <c r="K8" s="51" t="str">
        <f>INDEX(INDEX(dd,,2),MATCH(3,bnr,0))</f>
        <v/>
      </c>
      <c r="L8" s="51"/>
      <c r="M8" s="52" t="str">
        <f>IF(K8="","","DGU "&amp;b_3&amp;" - "&amp;INDEX(JupData!C:C,MATCH(b_3,JupData!D:D,0)))</f>
        <v/>
      </c>
      <c r="O8" s="41" t="s">
        <v>178</v>
      </c>
      <c r="P8" s="33"/>
      <c r="Q8" s="38"/>
      <c r="R8" s="33" t="s">
        <v>181</v>
      </c>
      <c r="S8" s="33"/>
      <c r="T8" s="41" t="s">
        <v>5</v>
      </c>
      <c r="U8" s="35"/>
      <c r="W8" s="40"/>
      <c r="X8" t="s">
        <v>143</v>
      </c>
      <c r="Y8" s="34" t="s">
        <v>143</v>
      </c>
    </row>
    <row r="9" spans="1:29" x14ac:dyDescent="0.2">
      <c r="J9" s="51" t="s">
        <v>145</v>
      </c>
      <c r="K9" s="51" t="str">
        <f>INDEX(INDEX(dd,,2),MATCH(4,bnr,0))</f>
        <v/>
      </c>
      <c r="L9" s="51"/>
      <c r="M9" s="52" t="str">
        <f>IF(K9="","","DGU "&amp;b_4&amp;" - "&amp;INDEX(JupData!C:C,MATCH(b_4,JupData!D:D,0)))</f>
        <v/>
      </c>
      <c r="O9" s="40"/>
      <c r="P9" s="36"/>
      <c r="Q9" s="34"/>
      <c r="T9" s="42"/>
      <c r="U9" s="37"/>
      <c r="W9" s="40"/>
      <c r="X9">
        <f>X$7/96.06</f>
        <v>0.52050801582344364</v>
      </c>
      <c r="Y9" s="34">
        <f>Y$7/96.06</f>
        <v>0.72871122215282114</v>
      </c>
    </row>
    <row r="10" spans="1:29" x14ac:dyDescent="0.2">
      <c r="J10" s="51" t="s">
        <v>146</v>
      </c>
      <c r="K10" s="51" t="str">
        <f>INDEX(INDEX(dd,,2),MATCH(5,bnr,0))</f>
        <v/>
      </c>
      <c r="L10" s="51"/>
      <c r="M10" s="52" t="str">
        <f>IF(K10="","","DGU "&amp;b_5&amp;" - "&amp;INDEX(JupData!C:C,MATCH(b_5,JupData!D:D,0)))</f>
        <v/>
      </c>
      <c r="O10" s="40" t="s">
        <v>184</v>
      </c>
      <c r="Q10" s="34"/>
      <c r="R10" t="s">
        <v>142</v>
      </c>
      <c r="S10" t="s">
        <v>143</v>
      </c>
      <c r="T10" s="40" t="s">
        <v>142</v>
      </c>
      <c r="U10" s="34" t="s">
        <v>143</v>
      </c>
      <c r="W10" s="41"/>
      <c r="X10" s="33">
        <f>X$7/96.06</f>
        <v>0.52050801582344364</v>
      </c>
      <c r="Y10" s="35">
        <f>Y$7/96.06</f>
        <v>0.72871122215282114</v>
      </c>
    </row>
    <row r="11" spans="1:29" x14ac:dyDescent="0.2">
      <c r="J11" s="51" t="s">
        <v>147</v>
      </c>
      <c r="K11" s="51" t="str">
        <f>INDEX(INDEX(dd,,2),MATCH(6,bnr,0))</f>
        <v/>
      </c>
      <c r="L11" s="51"/>
      <c r="M11" s="52" t="str">
        <f>IF(K11="","","DGU "&amp;b_6&amp;" - "&amp;INDEX(JupData!C:C,MATCH(b_6,JupData!D:D,0)))</f>
        <v/>
      </c>
      <c r="O11" s="40" t="s">
        <v>185</v>
      </c>
      <c r="Q11" s="34"/>
      <c r="R11" s="10">
        <f>K30/40.08</f>
        <v>2.2455089820359282</v>
      </c>
      <c r="S11" s="10">
        <f>L30/96.06</f>
        <v>0.20820320632937747</v>
      </c>
      <c r="T11" s="49">
        <f>R11</f>
        <v>2.2455089820359282</v>
      </c>
      <c r="U11" s="50">
        <f>S11</f>
        <v>0.20820320632937747</v>
      </c>
    </row>
    <row r="12" spans="1:29" x14ac:dyDescent="0.2">
      <c r="J12" s="51" t="s">
        <v>148</v>
      </c>
      <c r="K12" s="51" t="str">
        <f>INDEX(INDEX(dd,,2),MATCH(7,bnr,0))</f>
        <v/>
      </c>
      <c r="L12" s="51"/>
      <c r="M12" s="52" t="str">
        <f>IF(K12="","","DGU "&amp;b_7&amp;" - "&amp;INDEX(JupData!C:C,MATCH(b_7,JupData!D:D,0)))</f>
        <v/>
      </c>
      <c r="O12" s="40" t="s">
        <v>176</v>
      </c>
      <c r="Q12" s="34"/>
      <c r="R12" s="10">
        <v>6</v>
      </c>
      <c r="S12" s="10">
        <f>S11+(R12-R11)</f>
        <v>3.9626942242934491</v>
      </c>
      <c r="T12" s="49">
        <f>R12</f>
        <v>6</v>
      </c>
      <c r="U12" s="50">
        <f>U11+(T12-T11)*4</f>
        <v>15.226167278185665</v>
      </c>
      <c r="W12" s="45" t="s">
        <v>156</v>
      </c>
      <c r="X12" s="46"/>
      <c r="Y12" s="46"/>
      <c r="Z12" s="46"/>
      <c r="AA12" s="46"/>
      <c r="AB12" s="46"/>
      <c r="AC12" s="46"/>
    </row>
    <row r="13" spans="1:29" x14ac:dyDescent="0.2">
      <c r="J13" s="51" t="s">
        <v>149</v>
      </c>
      <c r="K13" s="51" t="str">
        <f>INDEX(INDEX(dd,,2),MATCH(8,bnr,0))</f>
        <v/>
      </c>
      <c r="L13" s="51"/>
      <c r="M13" s="52" t="str">
        <f>IF(K13="","","DGU "&amp;b_8&amp;" - "&amp;INDEX(JupData!C:C,MATCH(b_8,JupData!D:D,0)))</f>
        <v/>
      </c>
      <c r="O13" s="41"/>
      <c r="P13" s="33"/>
      <c r="Q13" s="35"/>
      <c r="R13" s="33"/>
      <c r="S13" s="33"/>
      <c r="T13" s="41"/>
      <c r="U13" s="35"/>
      <c r="W13" s="46" t="s">
        <v>157</v>
      </c>
      <c r="X13" s="46" t="s">
        <v>158</v>
      </c>
      <c r="Y13" s="46"/>
      <c r="Z13" s="46" t="s">
        <v>159</v>
      </c>
      <c r="AA13" s="46" t="s">
        <v>160</v>
      </c>
      <c r="AB13" s="46" t="s">
        <v>161</v>
      </c>
      <c r="AC13" s="46" t="s">
        <v>162</v>
      </c>
    </row>
    <row r="14" spans="1:29" x14ac:dyDescent="0.2">
      <c r="J14" s="51" t="s">
        <v>150</v>
      </c>
      <c r="K14" s="51" t="str">
        <f>INDEX(INDEX(dd,,2),MATCH(9,bnr,0))</f>
        <v/>
      </c>
      <c r="L14" s="51"/>
      <c r="M14" s="52" t="str">
        <f>IF(K14="","","DGU "&amp;b_9&amp;" - "&amp;INDEX(JupData!C:C,MATCH(b_9,JupData!D:D,0)))</f>
        <v/>
      </c>
      <c r="O14" s="40" t="s">
        <v>186</v>
      </c>
      <c r="Q14" s="34"/>
      <c r="T14" s="40"/>
      <c r="U14" s="34"/>
      <c r="W14" s="46">
        <v>0</v>
      </c>
      <c r="X14" s="46">
        <v>0</v>
      </c>
      <c r="Y14" s="46">
        <v>0</v>
      </c>
      <c r="Z14" s="46">
        <v>1.5</v>
      </c>
      <c r="AA14" s="46">
        <v>0</v>
      </c>
      <c r="AB14" s="46">
        <v>1.5</v>
      </c>
      <c r="AC14" s="46">
        <v>0</v>
      </c>
    </row>
    <row r="15" spans="1:29" x14ac:dyDescent="0.2">
      <c r="J15" s="51" t="s">
        <v>151</v>
      </c>
      <c r="K15" s="51" t="str">
        <f>INDEX(INDEX(dd,,2),MATCH(10,bnr,0))</f>
        <v/>
      </c>
      <c r="L15" s="51"/>
      <c r="M15" s="52" t="str">
        <f>IF(K15="","","DGU "&amp;b_10&amp;" - "&amp;INDEX(JupData!C:C,MATCH(b_10,JupData!D:D,0)))</f>
        <v/>
      </c>
      <c r="O15" s="40" t="s">
        <v>187</v>
      </c>
      <c r="Q15" s="34"/>
      <c r="R15" t="s">
        <v>142</v>
      </c>
      <c r="S15" t="s">
        <v>143</v>
      </c>
      <c r="T15" s="40" t="s">
        <v>142</v>
      </c>
      <c r="U15" s="34" t="s">
        <v>143</v>
      </c>
      <c r="W15" s="46">
        <v>0.35</v>
      </c>
      <c r="X15" s="46">
        <v>350</v>
      </c>
      <c r="Y15" s="46">
        <v>0</v>
      </c>
      <c r="Z15" s="46">
        <v>1</v>
      </c>
      <c r="AA15" s="46">
        <v>0</v>
      </c>
      <c r="AB15" s="46">
        <v>2</v>
      </c>
      <c r="AC15" s="46">
        <v>0</v>
      </c>
    </row>
    <row r="16" spans="1:29" x14ac:dyDescent="0.2">
      <c r="J16" s="51" t="s">
        <v>152</v>
      </c>
      <c r="K16" s="51" t="str">
        <f>INDEX(INDEX(dd,,2),MATCH(11,bnr,0))</f>
        <v/>
      </c>
      <c r="L16" s="51"/>
      <c r="M16" s="52" t="str">
        <f>IF(K16="","","DGU "&amp;b_11&amp;" - "&amp;INDEX(JupData!C:C,MATCH(b_11,JupData!D:D,0)))</f>
        <v/>
      </c>
      <c r="O16" s="40" t="s">
        <v>179</v>
      </c>
      <c r="Q16" s="34"/>
      <c r="R16" s="10">
        <f>R11</f>
        <v>2.2455089820359282</v>
      </c>
      <c r="S16" s="10">
        <f>S11</f>
        <v>0.20820320632937747</v>
      </c>
      <c r="T16" s="49">
        <f>R11</f>
        <v>2.2455089820359282</v>
      </c>
      <c r="U16" s="50">
        <f>S11</f>
        <v>0.20820320632937747</v>
      </c>
      <c r="W16" s="46">
        <v>0.35</v>
      </c>
      <c r="X16" s="46">
        <v>350</v>
      </c>
      <c r="Y16" s="46">
        <v>0</v>
      </c>
      <c r="Z16" s="46">
        <v>0</v>
      </c>
      <c r="AA16" s="46">
        <v>1</v>
      </c>
      <c r="AB16" s="46">
        <v>2</v>
      </c>
      <c r="AC16" s="46">
        <v>0</v>
      </c>
    </row>
    <row r="17" spans="10:29" x14ac:dyDescent="0.2">
      <c r="J17" s="51" t="s">
        <v>153</v>
      </c>
      <c r="K17" s="51" t="str">
        <f>INDEX(INDEX(dd,,2),MATCH(12,bnr,0))</f>
        <v/>
      </c>
      <c r="L17" s="51"/>
      <c r="M17" s="52" t="str">
        <f>IF(K17="","","DGU "&amp;b_12&amp;" - "&amp;INDEX(JupData!C:C,MATCH(b_12,JupData!D:D,0)))</f>
        <v/>
      </c>
      <c r="O17" s="40" t="s">
        <v>180</v>
      </c>
      <c r="Q17" s="34"/>
      <c r="R17" s="10">
        <f>R12</f>
        <v>6</v>
      </c>
      <c r="S17" s="10">
        <f>S16+(R17-R16)/2</f>
        <v>2.0854487153114132</v>
      </c>
      <c r="T17" s="49">
        <f>R12</f>
        <v>6</v>
      </c>
      <c r="U17" s="50">
        <f>U16+(T17-T16)*2</f>
        <v>7.7171852422575213</v>
      </c>
      <c r="W17" s="46">
        <v>0.65</v>
      </c>
      <c r="X17" s="46">
        <v>650</v>
      </c>
      <c r="Y17" s="46">
        <v>0</v>
      </c>
      <c r="Z17" s="46">
        <v>0</v>
      </c>
      <c r="AA17" s="46">
        <v>1</v>
      </c>
      <c r="AB17" s="46">
        <v>2</v>
      </c>
      <c r="AC17" s="46">
        <v>0</v>
      </c>
    </row>
    <row r="18" spans="10:29" x14ac:dyDescent="0.2">
      <c r="J18" s="51" t="s">
        <v>154</v>
      </c>
      <c r="K18" s="51" t="str">
        <f>INDEX(INDEX(dd,,2),MATCH(13,bnr,0))</f>
        <v/>
      </c>
      <c r="L18" s="51"/>
      <c r="M18" s="52" t="str">
        <f>IF(K18="","","DGU "&amp;b_13&amp;" - "&amp;INDEX(JupData!C:C,MATCH(b_13,JupData!D:D,0)))</f>
        <v/>
      </c>
      <c r="O18" s="41"/>
      <c r="P18" s="33"/>
      <c r="Q18" s="35"/>
      <c r="R18" s="33"/>
      <c r="S18" s="33"/>
      <c r="T18" s="41"/>
      <c r="U18" s="35"/>
      <c r="W18" s="46">
        <v>0.65</v>
      </c>
      <c r="X18" s="46">
        <v>650</v>
      </c>
      <c r="Y18" s="46">
        <v>0</v>
      </c>
      <c r="Z18" s="46">
        <v>0</v>
      </c>
      <c r="AA18" s="46">
        <v>1</v>
      </c>
      <c r="AB18" s="46">
        <v>0</v>
      </c>
      <c r="AC18" s="46">
        <v>2</v>
      </c>
    </row>
    <row r="19" spans="10:29" x14ac:dyDescent="0.2">
      <c r="J19" s="51" t="s">
        <v>155</v>
      </c>
      <c r="K19" s="51" t="str">
        <f>INDEX(INDEX(dd,,2),MATCH(14,bnr,0))</f>
        <v/>
      </c>
      <c r="L19" s="51"/>
      <c r="M19" s="52" t="str">
        <f>IF(K19="","","DGU "&amp;b_14&amp;" - "&amp;INDEX(JupData!C:C,MATCH(b_14,JupData!D:D,0)))</f>
        <v/>
      </c>
      <c r="W19" s="46">
        <v>1</v>
      </c>
      <c r="X19" s="46">
        <v>1000</v>
      </c>
      <c r="Y19" s="46">
        <v>0</v>
      </c>
      <c r="Z19" s="46">
        <v>0</v>
      </c>
      <c r="AA19" s="46">
        <v>0.5</v>
      </c>
      <c r="AB19" s="46">
        <v>0</v>
      </c>
      <c r="AC19" s="46">
        <v>2.5</v>
      </c>
    </row>
    <row r="20" spans="10:29" x14ac:dyDescent="0.2">
      <c r="J20" s="51" t="s">
        <v>164</v>
      </c>
      <c r="K20" s="51" t="str">
        <f>INDEX(INDEX(dd,,2),MATCH(15,bnr,0))</f>
        <v/>
      </c>
      <c r="L20" s="51"/>
      <c r="M20" s="52" t="str">
        <f>IF(K20="","","DGU "&amp;b_15&amp;" - "&amp;INDEX(JupData!C:C,MATCH(b_15,JupData!D:D,0)))</f>
        <v/>
      </c>
    </row>
    <row r="21" spans="10:29" x14ac:dyDescent="0.2">
      <c r="J21" s="51" t="s">
        <v>165</v>
      </c>
      <c r="K21" s="51" t="str">
        <f>INDEX(INDEX(dd,,2),MATCH(16,bnr,0))</f>
        <v/>
      </c>
      <c r="L21" s="51"/>
      <c r="M21" s="52" t="str">
        <f>IF(K21="","","DGU "&amp;b_16&amp;" - "&amp;INDEX(JupData!C:C,MATCH(b_16,JupData!D:D,0)))</f>
        <v/>
      </c>
    </row>
    <row r="22" spans="10:29" x14ac:dyDescent="0.2">
      <c r="J22" s="51" t="s">
        <v>166</v>
      </c>
      <c r="K22" s="51" t="str">
        <f>INDEX(INDEX(dd,,2),MATCH(17,bnr,0))</f>
        <v/>
      </c>
      <c r="L22" s="51"/>
      <c r="M22" s="52" t="str">
        <f>IF(K22="","","DGU "&amp;b_17&amp;" - "&amp;INDEX(JupData!C:C,MATCH(b_17,JupData!D:D,0)))</f>
        <v/>
      </c>
      <c r="O22" t="s">
        <v>157</v>
      </c>
      <c r="P22" t="s">
        <v>195</v>
      </c>
      <c r="Q22" t="s">
        <v>196</v>
      </c>
      <c r="R22" t="s">
        <v>197</v>
      </c>
      <c r="W22" s="45" t="s">
        <v>163</v>
      </c>
      <c r="X22" s="46"/>
      <c r="Y22" s="46"/>
      <c r="Z22" s="46"/>
    </row>
    <row r="23" spans="10:29" x14ac:dyDescent="0.2">
      <c r="J23" s="51" t="s">
        <v>167</v>
      </c>
      <c r="K23" s="51" t="str">
        <f>INDEX(INDEX(dd,,2),MATCH(18,bnr,0))</f>
        <v/>
      </c>
      <c r="L23" s="51"/>
      <c r="M23" s="52" t="str">
        <f>IF(K23="","","DGU "&amp;b_18&amp;" - "&amp;INDEX(JupData!C:C,MATCH(b_18,JupData!D:D,0)))</f>
        <v/>
      </c>
      <c r="O23">
        <v>0</v>
      </c>
      <c r="P23">
        <v>0</v>
      </c>
      <c r="Q23">
        <v>0.52</v>
      </c>
      <c r="R23">
        <v>0.73</v>
      </c>
      <c r="W23" s="46">
        <v>0</v>
      </c>
      <c r="X23" s="46">
        <v>0</v>
      </c>
      <c r="Y23" s="46"/>
      <c r="Z23" s="46"/>
    </row>
    <row r="24" spans="10:29" x14ac:dyDescent="0.2">
      <c r="J24" s="51" t="s">
        <v>168</v>
      </c>
      <c r="K24" s="51" t="str">
        <f>INDEX(INDEX(dd,,2),MATCH(19,bnr,0))</f>
        <v/>
      </c>
      <c r="L24" s="51"/>
      <c r="M24" s="52" t="str">
        <f>IF(K24="","","DGU "&amp;b_19&amp;" - "&amp;INDEX(JupData!C:C,MATCH(b_19,JupData!D:D,0)))</f>
        <v/>
      </c>
      <c r="O24">
        <v>6</v>
      </c>
      <c r="P24">
        <v>600</v>
      </c>
      <c r="Q24">
        <v>0.52</v>
      </c>
      <c r="R24">
        <v>0.73</v>
      </c>
      <c r="W24" s="46">
        <v>500</v>
      </c>
      <c r="X24" s="46">
        <v>3500</v>
      </c>
      <c r="Y24" s="46"/>
      <c r="Z24" s="46"/>
    </row>
    <row r="25" spans="10:29" x14ac:dyDescent="0.2">
      <c r="J25" s="51" t="s">
        <v>169</v>
      </c>
      <c r="K25" s="51" t="str">
        <f>INDEX(INDEX(dd,,2),MATCH(20,bnr,0))</f>
        <v/>
      </c>
      <c r="L25" s="51"/>
      <c r="M25" s="52" t="str">
        <f>IF(K25="","","DGU "&amp;b_20&amp;" - "&amp;INDEX(JupData!C:C,MATCH(b_20,JupData!D:D,0)))</f>
        <v/>
      </c>
    </row>
    <row r="27" spans="10:29" x14ac:dyDescent="0.2">
      <c r="J27" s="17" t="s">
        <v>171</v>
      </c>
      <c r="M27" s="29"/>
    </row>
    <row r="28" spans="10:29" x14ac:dyDescent="0.2">
      <c r="J28" t="s">
        <v>172</v>
      </c>
      <c r="M28" s="47"/>
      <c r="N28" s="29"/>
    </row>
    <row r="29" spans="10:29" x14ac:dyDescent="0.2">
      <c r="K29" s="31" t="s">
        <v>173</v>
      </c>
      <c r="L29" s="31" t="s">
        <v>174</v>
      </c>
      <c r="M29" s="48" t="s">
        <v>188</v>
      </c>
    </row>
    <row r="30" spans="10:29" x14ac:dyDescent="0.2">
      <c r="K30" s="31">
        <v>90</v>
      </c>
      <c r="L30" s="31">
        <v>20</v>
      </c>
      <c r="M30" s="48" t="s">
        <v>189</v>
      </c>
      <c r="O30" s="17" t="s">
        <v>199</v>
      </c>
    </row>
    <row r="32" spans="10:29" x14ac:dyDescent="0.2">
      <c r="N32" s="30"/>
    </row>
    <row r="33" spans="1:1" x14ac:dyDescent="0.2">
      <c r="A33" s="17" t="s">
        <v>191</v>
      </c>
    </row>
    <row r="52" spans="1:22" x14ac:dyDescent="0.2">
      <c r="S52" s="17"/>
    </row>
    <row r="54" spans="1:22" x14ac:dyDescent="0.2">
      <c r="J54" s="44"/>
    </row>
    <row r="56" spans="1:22" x14ac:dyDescent="0.2">
      <c r="S56" s="17"/>
    </row>
    <row r="57" spans="1:22" x14ac:dyDescent="0.2">
      <c r="J57" s="44"/>
    </row>
    <row r="58" spans="1:22" x14ac:dyDescent="0.2">
      <c r="J58" s="44"/>
    </row>
    <row r="63" spans="1:22" x14ac:dyDescent="0.2">
      <c r="A63" s="17" t="s">
        <v>193</v>
      </c>
      <c r="J63" s="17" t="s">
        <v>192</v>
      </c>
      <c r="S63" s="16"/>
      <c r="T63" s="16"/>
      <c r="U63" s="16"/>
      <c r="V63" s="16"/>
    </row>
    <row r="65" spans="15:19" x14ac:dyDescent="0.2">
      <c r="S65" s="15"/>
    </row>
    <row r="66" spans="15:19" x14ac:dyDescent="0.2">
      <c r="S66" s="15"/>
    </row>
    <row r="67" spans="15:19" x14ac:dyDescent="0.2">
      <c r="S67" s="15"/>
    </row>
    <row r="73" spans="15:19" x14ac:dyDescent="0.2">
      <c r="O73" s="17"/>
    </row>
    <row r="87" spans="15:36" x14ac:dyDescent="0.2">
      <c r="AF87" s="46" t="s">
        <v>209</v>
      </c>
      <c r="AG87" s="46"/>
      <c r="AH87" s="46"/>
      <c r="AI87" s="46"/>
      <c r="AJ87" s="46"/>
    </row>
    <row r="88" spans="15:36" x14ac:dyDescent="0.2">
      <c r="AF88" s="67" t="s">
        <v>204</v>
      </c>
      <c r="AG88" s="67" t="s">
        <v>205</v>
      </c>
      <c r="AH88" s="67" t="s">
        <v>206</v>
      </c>
      <c r="AI88" s="67" t="s">
        <v>207</v>
      </c>
      <c r="AJ88" s="67" t="s">
        <v>208</v>
      </c>
    </row>
    <row r="89" spans="15:36" x14ac:dyDescent="0.2">
      <c r="AF89" s="67">
        <v>0</v>
      </c>
      <c r="AG89" s="67">
        <v>0</v>
      </c>
      <c r="AH89" s="67">
        <v>0</v>
      </c>
      <c r="AI89" s="67">
        <v>0</v>
      </c>
      <c r="AJ89" s="67">
        <v>0</v>
      </c>
    </row>
    <row r="90" spans="15:36" x14ac:dyDescent="0.2">
      <c r="AF90" s="67">
        <v>19400</v>
      </c>
      <c r="AG90" s="67">
        <v>4500</v>
      </c>
      <c r="AH90" s="67">
        <v>7900</v>
      </c>
      <c r="AI90" s="67">
        <v>1250</v>
      </c>
      <c r="AJ90" s="67">
        <v>1.3</v>
      </c>
    </row>
    <row r="94" spans="15:36" x14ac:dyDescent="0.2">
      <c r="O94" s="17" t="s">
        <v>211</v>
      </c>
    </row>
    <row r="95" spans="15:36" x14ac:dyDescent="0.2">
      <c r="O95" t="s">
        <v>210</v>
      </c>
    </row>
    <row r="96" spans="15:36" x14ac:dyDescent="0.2">
      <c r="O96" t="s">
        <v>215</v>
      </c>
      <c r="P96" s="78" t="str">
        <f>HYPERLINK("https://jupiter.geus.dk/Rapportdb/Grundvandsrapport.seam?grundvandsrapportRapportid=86808","Strontium i grundvand &amp; drikkevand i Roskilde Amt")</f>
        <v>Strontium i grundvand &amp; drikkevand i Roskilde Amt</v>
      </c>
      <c r="Q96" s="78"/>
      <c r="R96" s="78"/>
      <c r="S96" s="78"/>
      <c r="T96" s="78"/>
      <c r="U96" s="78" t="str">
        <f>HYPERLINK("https://jupiter.geus.dk/Rapportdb/Grundvandsrapport.seam?grundvandsrapportRapportid=87071","Bor i grundvand og drikkevand i Roskilde Amt")</f>
        <v>Bor i grundvand og drikkevand i Roskilde Amt</v>
      </c>
      <c r="V96" s="78"/>
      <c r="W96" s="78"/>
      <c r="X96" s="78"/>
      <c r="Y96" s="78"/>
    </row>
  </sheetData>
  <mergeCells count="2">
    <mergeCell ref="P96:T96"/>
    <mergeCell ref="U96:Y96"/>
  </mergeCells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&amp;L&amp;F&amp;R&amp;P / &amp;N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dstil_tidsserier">
                <anchor moveWithCells="1" sizeWithCells="1">
                  <from>
                    <xdr:col>2</xdr:col>
                    <xdr:colOff>666750</xdr:colOff>
                    <xdr:row>1</xdr:row>
                    <xdr:rowOff>0</xdr:rowOff>
                  </from>
                  <to>
                    <xdr:col>5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4"/>
  <dimension ref="A1:AO7919"/>
  <sheetViews>
    <sheetView zoomScaleNormal="100" workbookViewId="0">
      <pane xSplit="3" ySplit="2" topLeftCell="M144" activePane="bottomRight" state="frozen"/>
      <selection pane="topRight" activeCell="D1" sqref="D1"/>
      <selection pane="bottomLeft" activeCell="A3" sqref="A3"/>
      <selection pane="bottomRight" activeCell="B166" sqref="B166"/>
    </sheetView>
  </sheetViews>
  <sheetFormatPr defaultColWidth="9" defaultRowHeight="12.75" x14ac:dyDescent="0.2"/>
  <cols>
    <col min="1" max="1" width="10.875" style="11" customWidth="1"/>
    <col min="3" max="4" width="10.75" customWidth="1"/>
    <col min="5" max="5" width="12" bestFit="1" customWidth="1"/>
    <col min="6" max="6" width="12.625" customWidth="1"/>
    <col min="7" max="7" width="9" customWidth="1"/>
    <col min="37" max="37" width="14.375" customWidth="1"/>
  </cols>
  <sheetData>
    <row r="1" spans="1:41" ht="39" customHeight="1" x14ac:dyDescent="0.2">
      <c r="A1" s="12" t="s">
        <v>123</v>
      </c>
      <c r="B1" s="8" t="s">
        <v>122</v>
      </c>
      <c r="C1" s="8" t="s">
        <v>124</v>
      </c>
      <c r="D1" s="8" t="s">
        <v>121</v>
      </c>
      <c r="E1" s="24" t="s">
        <v>1</v>
      </c>
      <c r="F1" s="24" t="s">
        <v>0</v>
      </c>
      <c r="G1" s="24" t="s">
        <v>20</v>
      </c>
      <c r="H1" s="23" t="s">
        <v>9</v>
      </c>
      <c r="I1" s="23" t="s">
        <v>14</v>
      </c>
      <c r="J1" s="23" t="s">
        <v>16</v>
      </c>
      <c r="K1" s="23" t="s">
        <v>13</v>
      </c>
      <c r="L1" s="21" t="s">
        <v>12</v>
      </c>
      <c r="M1" s="21" t="s">
        <v>15</v>
      </c>
      <c r="N1" s="21" t="s">
        <v>7</v>
      </c>
      <c r="O1" s="21" t="s">
        <v>17</v>
      </c>
      <c r="P1" s="22" t="s">
        <v>8</v>
      </c>
      <c r="Q1" s="22" t="s">
        <v>194</v>
      </c>
      <c r="R1" s="19" t="s">
        <v>2</v>
      </c>
      <c r="S1" s="20" t="s">
        <v>18</v>
      </c>
      <c r="T1" s="20" t="s">
        <v>10</v>
      </c>
      <c r="U1" s="20" t="s">
        <v>11</v>
      </c>
      <c r="V1" s="19" t="s">
        <v>6</v>
      </c>
      <c r="W1" s="18" t="s">
        <v>5</v>
      </c>
      <c r="X1" s="18" t="s">
        <v>4</v>
      </c>
      <c r="Y1" s="18" t="s">
        <v>125</v>
      </c>
      <c r="Z1" s="25" t="s">
        <v>3</v>
      </c>
      <c r="AA1" s="25" t="s">
        <v>198</v>
      </c>
      <c r="AB1" s="26" t="s">
        <v>19</v>
      </c>
      <c r="AC1" s="27" t="s">
        <v>126</v>
      </c>
      <c r="AD1" s="27" t="s">
        <v>127</v>
      </c>
      <c r="AE1" s="28" t="s">
        <v>128</v>
      </c>
      <c r="AF1" s="28" t="s">
        <v>129</v>
      </c>
      <c r="AG1" s="28" t="s">
        <v>130</v>
      </c>
      <c r="AH1" s="28" t="s">
        <v>131</v>
      </c>
      <c r="AI1" s="28" t="s">
        <v>132</v>
      </c>
      <c r="AJ1" s="28" t="s">
        <v>133</v>
      </c>
      <c r="AK1" s="28" t="s">
        <v>134</v>
      </c>
      <c r="AL1" s="28" t="s">
        <v>170</v>
      </c>
    </row>
    <row r="2" spans="1:41" ht="19.5" customHeight="1" x14ac:dyDescent="0.2">
      <c r="A2" s="12"/>
      <c r="B2" s="8"/>
      <c r="C2" s="8"/>
      <c r="D2" s="8"/>
      <c r="E2" s="8"/>
      <c r="F2" s="8"/>
      <c r="G2" s="8" t="s">
        <v>135</v>
      </c>
      <c r="H2" s="8" t="s">
        <v>136</v>
      </c>
      <c r="I2" s="8" t="s">
        <v>136</v>
      </c>
      <c r="J2" s="8" t="s">
        <v>136</v>
      </c>
      <c r="K2" s="8" t="s">
        <v>136</v>
      </c>
      <c r="L2" s="8" t="s">
        <v>136</v>
      </c>
      <c r="M2" s="8" t="s">
        <v>136</v>
      </c>
      <c r="N2" s="8" t="s">
        <v>137</v>
      </c>
      <c r="O2" s="8" t="s">
        <v>137</v>
      </c>
      <c r="P2" s="8" t="s">
        <v>137</v>
      </c>
      <c r="Q2" s="8" t="s">
        <v>137</v>
      </c>
      <c r="R2" s="8" t="s">
        <v>136</v>
      </c>
      <c r="S2" s="8" t="s">
        <v>136</v>
      </c>
      <c r="T2" s="8" t="s">
        <v>136</v>
      </c>
      <c r="U2" s="8" t="s">
        <v>136</v>
      </c>
      <c r="V2" s="8" t="s">
        <v>136</v>
      </c>
      <c r="W2" s="8" t="s">
        <v>136</v>
      </c>
      <c r="X2" s="8" t="s">
        <v>136</v>
      </c>
      <c r="Y2" s="8" t="s">
        <v>136</v>
      </c>
      <c r="Z2" s="8" t="s">
        <v>136</v>
      </c>
      <c r="AA2" s="8" t="s">
        <v>136</v>
      </c>
      <c r="AB2" s="8" t="s">
        <v>136</v>
      </c>
      <c r="AC2" s="8"/>
      <c r="AD2" s="8"/>
      <c r="AE2" s="8"/>
      <c r="AF2" s="8"/>
      <c r="AG2" s="8"/>
      <c r="AH2" s="8"/>
      <c r="AI2" s="8" t="s">
        <v>138</v>
      </c>
      <c r="AJ2" s="8" t="s">
        <v>138</v>
      </c>
      <c r="AK2" s="8"/>
      <c r="AL2" s="8"/>
    </row>
    <row r="3" spans="1:41" x14ac:dyDescent="0.2">
      <c r="A3"/>
      <c r="B3" t="str">
        <f>IF($A3="","",VLOOKUP($A3,JupData!$A$2:$I$10000,4,FALSE))</f>
        <v/>
      </c>
      <c r="C3" s="7">
        <f>IF($A3="",IF(N(D3),0,""),VLOOKUP($A3,JupData!$A$2:$I$10000,7,FALSE))</f>
        <v>0</v>
      </c>
      <c r="D3">
        <f>IF(A3="",IF(D2&lt;20,D2+1,""),IF(B2="",1,IF(B2=B3,D2,D2+1)))</f>
        <v>1</v>
      </c>
      <c r="E3" t="str" cm="1">
        <f t="array" ref="E3">IF($A3="","",INDEX(JupData!$A$2:$K$10000,MATCH($A3&amp;E$1,JupData!$A$2:$A$10000&amp;JupData!$J$2:$J$10000,0),11))</f>
        <v/>
      </c>
      <c r="F3" t="str">
        <f t="array" ref="F3">IF($A3="","",INDEX(JupData!$A$2:$K$10000,MATCH($A3&amp;F$1,JupData!$A$2:$A$10000&amp;JupData!$J$2:$J$10000,0),11))</f>
        <v/>
      </c>
      <c r="G3" t="str">
        <f t="array" ref="G3">IF($A3="","",INDEX(JupData!$A$2:$K$10000,MATCH($A3&amp;G$1,JupData!$A$2:$A$10000&amp;JupData!$J$2:$J$10000,0),11))</f>
        <v/>
      </c>
      <c r="H3" t="str">
        <f t="array" ref="H3">IF($A3="","",INDEX(JupData!$A$2:$K$10000,MATCH($A3&amp;H$1,JupData!$A$2:$A$10000&amp;JupData!$J$2:$J$10000,0),11))</f>
        <v/>
      </c>
      <c r="I3" t="str">
        <f t="array" ref="I3">IF($A3="","",INDEX(JupData!$A$2:$K$10000,MATCH($A3&amp;I$1,JupData!$A$2:$A$10000&amp;JupData!$J$2:$J$10000,0),11))</f>
        <v/>
      </c>
      <c r="J3" t="str">
        <f t="array" ref="J3">IF($A3="","",INDEX(JupData!$A$2:$K$10000,MATCH($A3&amp;J$1,JupData!$A$2:$A$10000&amp;JupData!$J$2:$J$10000,0),11))</f>
        <v/>
      </c>
      <c r="K3" t="str">
        <f t="array" ref="K3">IF($A3="","",INDEX(JupData!$A$2:$K$10000,MATCH($A3&amp;K$1,JupData!$A$2:$A$10000&amp;JupData!$J$2:$J$10000,0),11))</f>
        <v/>
      </c>
      <c r="L3" t="str">
        <f t="array" ref="L3">IF($A3="","",INDEX(JupData!$A$2:$K$10000,MATCH($A3&amp;L$1,JupData!$A$2:$A$10000&amp;JupData!$J$2:$J$10000,0),11))</f>
        <v/>
      </c>
      <c r="M3" t="str">
        <f t="array" ref="M3">IF($A3="","",INDEX(JupData!$A$2:$K$10000,MATCH($A3&amp;M$1,JupData!$A$2:$A$10000&amp;JupData!$J$2:$J$10000,0),11))</f>
        <v/>
      </c>
      <c r="N3" t="str">
        <f t="array" ref="N3">IF($A3="","",INDEX(JupData!$A$2:$K$10000,MATCH($A3&amp;N$1,JupData!$A$2:$A$10000&amp;JupData!$J$2:$J$10000,0),11))</f>
        <v/>
      </c>
      <c r="O3" t="str">
        <f t="array" ref="O3">IF($A3="","",INDEX(JupData!$A$2:$K$10000,MATCH($A3&amp;O$1,JupData!$A$2:$A$10000&amp;JupData!$J$2:$J$10000,0),11))</f>
        <v/>
      </c>
      <c r="P3" t="str">
        <f t="array" ref="P3">IF($A3="","",INDEX(JupData!$A$2:$K$10000,MATCH($A3&amp;P$1,JupData!$A$2:$A$10000&amp;JupData!$J$2:$J$10000,0),11))</f>
        <v/>
      </c>
      <c r="Q3" t="str">
        <f t="array" ref="Q3">IF($A3="","",INDEX(JupData!$A$2:$K$10000,MATCH($A3&amp;Q$1,JupData!$A$2:$A$10000&amp;JupData!$J$2:$J$10000,0),11))</f>
        <v/>
      </c>
      <c r="R3" t="str">
        <f t="array" ref="R3">IF($A3="","",INDEX(JupData!$A$2:$K$10000,MATCH($A3&amp;R$1,JupData!$A$2:$A$10000&amp;JupData!$J$2:$J$10000,0),11))</f>
        <v/>
      </c>
      <c r="S3" t="str">
        <f t="array" ref="S3">IF($A3="","",INDEX(JupData!$A$2:$K$10000,MATCH($A3&amp;S$1,JupData!$A$2:$A$10000&amp;JupData!$J$2:$J$10000,0),11))</f>
        <v/>
      </c>
      <c r="T3" t="str">
        <f t="array" ref="T3">IF($A3="","",INDEX(JupData!$A$2:$K$10000,MATCH($A3&amp;T$1,JupData!$A$2:$A$10000&amp;JupData!$J$2:$J$10000,0),11))</f>
        <v/>
      </c>
      <c r="U3" t="str">
        <f t="array" ref="U3">IF($A3="","",INDEX(JupData!$A$2:$K$10000,MATCH($A3&amp;U$1,JupData!$A$2:$A$10000&amp;JupData!$J$2:$J$10000,0),11))</f>
        <v/>
      </c>
      <c r="V3" t="str">
        <f t="array" ref="V3">IF($A3="","",INDEX(JupData!$A$2:$K$10000,MATCH($A3&amp;V$1,JupData!$A$2:$A$10000&amp;JupData!$J$2:$J$10000,0),11))</f>
        <v/>
      </c>
      <c r="W3" t="str">
        <f t="array" ref="W3">IF($A3="","",INDEX(JupData!$A$2:$K$10000,MATCH($A3&amp;W$1,JupData!$A$2:$A$10000&amp;JupData!$J$2:$J$10000,0),11))</f>
        <v/>
      </c>
      <c r="X3" t="str">
        <f t="array" ref="X3">IF($A3="","",INDEX(JupData!$A$2:$K$10000,MATCH($A3&amp;X$1,JupData!$A$2:$A$10000&amp;JupData!$J$2:$J$10000,0),11))</f>
        <v/>
      </c>
      <c r="Y3" t="str">
        <f t="array" ref="Y3">IF($A3="","",INDEX(JupData!$A$2:$K$10000,MATCH($A3&amp;Y$1,JupData!$A$2:$A$10000&amp;JupData!$J$2:$J$10000,0),11))</f>
        <v/>
      </c>
      <c r="Z3" t="str">
        <f t="array" ref="Z3">IF($A3="","",INDEX(JupData!$A$2:$K$10000,MATCH($A3&amp;Z$1,JupData!$A$2:$A$10000&amp;JupData!$J$2:$J$10000,0),11))</f>
        <v/>
      </c>
      <c r="AA3" t="str">
        <f t="array" ref="AA3">IF($A3="","",INDEX(JupData!$A$2:$K$10000,MATCH($A3&amp;AA$1,JupData!$A$2:$A$10000&amp;JupData!$J$2:$J$10000,0),11))</f>
        <v/>
      </c>
      <c r="AB3" t="str">
        <f t="array" ref="AB3">IF($A3="","",INDEX(JupData!$A$2:$K$10000,MATCH($A3&amp;AB$1,JupData!$A$2:$A$10000&amp;JupData!$J$2:$J$10000,0),11))</f>
        <v/>
      </c>
      <c r="AC3" s="10" t="str">
        <f t="shared" ref="AC3:AC66" si="0">IF(A3="","",2*H3/40.08+2*I3/24.3+J3/22.99+K3/39.1+Y3/18.04)</f>
        <v/>
      </c>
      <c r="AD3" s="10" t="str">
        <f t="shared" ref="AD3:AD66" si="1">IF(A3="","",R3/61.02+2*S3/96.06+T3/35.45+U3/19+W3/62)</f>
        <v/>
      </c>
      <c r="AE3" s="9" t="str">
        <f t="shared" ref="AE3:AE66" si="2">IF(A3="","",IF(AD3&lt;0,((AC3+AD3)/(AC3-AD3)),((AC3-AD3)/(AC3+AD3))))</f>
        <v/>
      </c>
      <c r="AF3" s="10" t="str">
        <f t="shared" ref="AF3:AF66" si="3">IF(A3="","",(J3/22.99)/(T3/35.45))</f>
        <v/>
      </c>
      <c r="AG3" s="10" t="str">
        <f t="shared" ref="AG3:AG66" si="4">IF(A3="","",2*((H3/40.08)+(I3/24.3))/(R3/61.02))</f>
        <v/>
      </c>
      <c r="AH3" s="10" t="str">
        <f t="shared" ref="AH3:AH66" si="5">IF(A3="","",(J3/22.99)/((J3/22.99)+2*(H3/40.08)))</f>
        <v/>
      </c>
      <c r="AI3" s="10" t="str">
        <f t="shared" ref="AI3:AI66" si="6">IF(A3="","",H3/40.08)</f>
        <v/>
      </c>
      <c r="AJ3" s="10" t="str">
        <f t="shared" ref="AJ3:AJ66" si="7">IF(A3="","",S3/96.06)</f>
        <v/>
      </c>
      <c r="AK3" s="10" t="str">
        <f t="shared" ref="AK3:AK66" si="8">IF(A3="","",IF(W3&gt;=1,IF(L3&lt;0.2,IF(G3&gt;1,"A","B"),"X1"),IF(L3&gt;=0.2,IF(S3&gt;=20,IF(S3&gt;70,"C2","C1"),IF(AG3&lt;=1,"D","X3")),"X2")))</f>
        <v/>
      </c>
      <c r="AL3" s="14" t="str">
        <f t="shared" ref="AL3:AL66" si="9">IF(F3="","",(H3/40.1+I3/24.3)*5.6)</f>
        <v/>
      </c>
      <c r="AO3" s="13"/>
    </row>
    <row r="4" spans="1:41" x14ac:dyDescent="0.2">
      <c r="A4"/>
      <c r="B4" t="str">
        <f>IF($A4="","",VLOOKUP($A4,JupData!$A$2:$I$10000,4,FALSE))</f>
        <v/>
      </c>
      <c r="C4" s="7">
        <f>IF($A4="",IF(N(D4),0,""),VLOOKUP($A4,JupData!$A$2:$I$10000,7,FALSE))</f>
        <v>0</v>
      </c>
      <c r="D4">
        <f t="shared" ref="D4:D67" si="10">IF(A4="",IF(D3&lt;20,D3+1,""),IF(B3="",1,IF(B3=B4,D3,D3+1)))</f>
        <v>2</v>
      </c>
      <c r="E4" t="str">
        <f t="array" ref="E4">IF($A4="","",INDEX(JupData!$A$2:$K$10000,MATCH($A4&amp;E$1,JupData!$A$2:$A$10000&amp;JupData!$J$2:$J$10000,0),11))</f>
        <v/>
      </c>
      <c r="F4" t="str">
        <f t="array" ref="F4">IF($A4="","",INDEX(JupData!$A$2:$K$10000,MATCH($A4&amp;F$1,JupData!$A$2:$A$10000&amp;JupData!$J$2:$J$10000,0),11))</f>
        <v/>
      </c>
      <c r="G4" t="str">
        <f t="array" ref="G4">IF($A4="","",INDEX(JupData!$A$2:$K$10000,MATCH($A4&amp;G$1,JupData!$A$2:$A$10000&amp;JupData!$J$2:$J$10000,0),11))</f>
        <v/>
      </c>
      <c r="H4" t="str">
        <f t="array" ref="H4">IF($A4="","",INDEX(JupData!$A$2:$K$10000,MATCH($A4&amp;H$1,JupData!$A$2:$A$10000&amp;JupData!$J$2:$J$10000,0),11))</f>
        <v/>
      </c>
      <c r="I4" t="str">
        <f t="array" ref="I4">IF($A4="","",INDEX(JupData!$A$2:$K$10000,MATCH($A4&amp;I$1,JupData!$A$2:$A$10000&amp;JupData!$J$2:$J$10000,0),11))</f>
        <v/>
      </c>
      <c r="J4" t="str">
        <f t="array" ref="J4">IF($A4="","",INDEX(JupData!$A$2:$K$10000,MATCH($A4&amp;J$1,JupData!$A$2:$A$10000&amp;JupData!$J$2:$J$10000,0),11))</f>
        <v/>
      </c>
      <c r="K4" t="str">
        <f t="array" ref="K4">IF($A4="","",INDEX(JupData!$A$2:$K$10000,MATCH($A4&amp;K$1,JupData!$A$2:$A$10000&amp;JupData!$J$2:$J$10000,0),11))</f>
        <v/>
      </c>
      <c r="L4" t="str">
        <f t="array" ref="L4">IF($A4="","",INDEX(JupData!$A$2:$K$10000,MATCH($A4&amp;L$1,JupData!$A$2:$A$10000&amp;JupData!$J$2:$J$10000,0),11))</f>
        <v/>
      </c>
      <c r="M4" t="str">
        <f t="array" ref="M4">IF($A4="","",INDEX(JupData!$A$2:$K$10000,MATCH($A4&amp;M$1,JupData!$A$2:$A$10000&amp;JupData!$J$2:$J$10000,0),11))</f>
        <v/>
      </c>
      <c r="N4" t="str">
        <f t="array" ref="N4">IF($A4="","",INDEX(JupData!$A$2:$K$10000,MATCH($A4&amp;N$1,JupData!$A$2:$A$10000&amp;JupData!$J$2:$J$10000,0),11))</f>
        <v/>
      </c>
      <c r="O4" t="str">
        <f t="array" ref="O4">IF($A4="","",INDEX(JupData!$A$2:$K$10000,MATCH($A4&amp;O$1,JupData!$A$2:$A$10000&amp;JupData!$J$2:$J$10000,0),11))</f>
        <v/>
      </c>
      <c r="P4" t="str">
        <f t="array" ref="P4">IF($A4="","",INDEX(JupData!$A$2:$K$10000,MATCH($A4&amp;P$1,JupData!$A$2:$A$10000&amp;JupData!$J$2:$J$10000,0),11))</f>
        <v/>
      </c>
      <c r="Q4" t="str">
        <f t="array" ref="Q4">IF($A4="","",INDEX(JupData!$A$2:$K$10000,MATCH($A4&amp;Q$1,JupData!$A$2:$A$10000&amp;JupData!$J$2:$J$10000,0),11))</f>
        <v/>
      </c>
      <c r="R4" t="str">
        <f t="array" ref="R4">IF($A4="","",INDEX(JupData!$A$2:$K$10000,MATCH($A4&amp;R$1,JupData!$A$2:$A$10000&amp;JupData!$J$2:$J$10000,0),11))</f>
        <v/>
      </c>
      <c r="S4" t="str">
        <f t="array" ref="S4">IF($A4="","",INDEX(JupData!$A$2:$K$10000,MATCH($A4&amp;S$1,JupData!$A$2:$A$10000&amp;JupData!$J$2:$J$10000,0),11))</f>
        <v/>
      </c>
      <c r="T4" t="str">
        <f t="array" ref="T4">IF($A4="","",INDEX(JupData!$A$2:$K$10000,MATCH($A4&amp;T$1,JupData!$A$2:$A$10000&amp;JupData!$J$2:$J$10000,0),11))</f>
        <v/>
      </c>
      <c r="U4" t="str">
        <f t="array" ref="U4">IF($A4="","",INDEX(JupData!$A$2:$K$10000,MATCH($A4&amp;U$1,JupData!$A$2:$A$10000&amp;JupData!$J$2:$J$10000,0),11))</f>
        <v/>
      </c>
      <c r="V4" t="str">
        <f t="array" ref="V4">IF($A4="","",INDEX(JupData!$A$2:$K$10000,MATCH($A4&amp;V$1,JupData!$A$2:$A$10000&amp;JupData!$J$2:$J$10000,0),11))</f>
        <v/>
      </c>
      <c r="W4" t="str">
        <f t="array" ref="W4">IF($A4="","",INDEX(JupData!$A$2:$K$10000,MATCH($A4&amp;W$1,JupData!$A$2:$A$10000&amp;JupData!$J$2:$J$10000,0),11))</f>
        <v/>
      </c>
      <c r="X4" t="str">
        <f t="array" ref="X4">IF($A4="","",INDEX(JupData!$A$2:$K$10000,MATCH($A4&amp;X$1,JupData!$A$2:$A$10000&amp;JupData!$J$2:$J$10000,0),11))</f>
        <v/>
      </c>
      <c r="Y4" t="str">
        <f t="array" ref="Y4">IF($A4="","",INDEX(JupData!$A$2:$K$10000,MATCH($A4&amp;Y$1,JupData!$A$2:$A$10000&amp;JupData!$J$2:$J$10000,0),11))</f>
        <v/>
      </c>
      <c r="Z4" t="str">
        <f t="array" ref="Z4">IF($A4="","",INDEX(JupData!$A$2:$K$10000,MATCH($A4&amp;Z$1,JupData!$A$2:$A$10000&amp;JupData!$J$2:$J$10000,0),11))</f>
        <v/>
      </c>
      <c r="AA4" t="str">
        <f t="array" ref="AA4">IF($A4="","",INDEX(JupData!$A$2:$K$10000,MATCH($A4&amp;AA$1,JupData!$A$2:$A$10000&amp;JupData!$J$2:$J$10000,0),11))</f>
        <v/>
      </c>
      <c r="AB4" t="str">
        <f t="array" ref="AB4">IF($A4="","",INDEX(JupData!$A$2:$K$10000,MATCH($A4&amp;AB$1,JupData!$A$2:$A$10000&amp;JupData!$J$2:$J$10000,0),11))</f>
        <v/>
      </c>
      <c r="AC4" s="10" t="str">
        <f t="shared" si="0"/>
        <v/>
      </c>
      <c r="AD4" s="10" t="str">
        <f t="shared" si="1"/>
        <v/>
      </c>
      <c r="AE4" s="9" t="str">
        <f t="shared" si="2"/>
        <v/>
      </c>
      <c r="AF4" s="10" t="str">
        <f t="shared" si="3"/>
        <v/>
      </c>
      <c r="AG4" s="10" t="str">
        <f t="shared" si="4"/>
        <v/>
      </c>
      <c r="AH4" s="10" t="str">
        <f t="shared" si="5"/>
        <v/>
      </c>
      <c r="AI4" s="10" t="str">
        <f t="shared" si="6"/>
        <v/>
      </c>
      <c r="AJ4" s="10" t="str">
        <f t="shared" si="7"/>
        <v/>
      </c>
      <c r="AK4" s="10" t="str">
        <f t="shared" si="8"/>
        <v/>
      </c>
      <c r="AL4" s="14" t="str">
        <f t="shared" si="9"/>
        <v/>
      </c>
    </row>
    <row r="5" spans="1:41" x14ac:dyDescent="0.2">
      <c r="A5"/>
      <c r="B5" t="str">
        <f>IF($A5="","",VLOOKUP($A5,JupData!$A$2:$I$10000,4,FALSE))</f>
        <v/>
      </c>
      <c r="C5" s="7">
        <f>IF($A5="",IF(N(D5),0,""),VLOOKUP($A5,JupData!$A$2:$I$10000,7,FALSE))</f>
        <v>0</v>
      </c>
      <c r="D5">
        <f t="shared" si="10"/>
        <v>3</v>
      </c>
      <c r="E5" t="str">
        <f t="array" ref="E5">IF($A5="","",INDEX(JupData!$A$2:$K$10000,MATCH($A5&amp;E$1,JupData!$A$2:$A$10000&amp;JupData!$J$2:$J$10000,0),11))</f>
        <v/>
      </c>
      <c r="F5" t="str">
        <f t="array" ref="F5">IF($A5="","",INDEX(JupData!$A$2:$K$10000,MATCH($A5&amp;F$1,JupData!$A$2:$A$10000&amp;JupData!$J$2:$J$10000,0),11))</f>
        <v/>
      </c>
      <c r="G5" t="str">
        <f t="array" ref="G5">IF($A5="","",INDEX(JupData!$A$2:$K$10000,MATCH($A5&amp;G$1,JupData!$A$2:$A$10000&amp;JupData!$J$2:$J$10000,0),11))</f>
        <v/>
      </c>
      <c r="H5" t="str">
        <f t="array" ref="H5">IF($A5="","",INDEX(JupData!$A$2:$K$10000,MATCH($A5&amp;H$1,JupData!$A$2:$A$10000&amp;JupData!$J$2:$J$10000,0),11))</f>
        <v/>
      </c>
      <c r="I5" t="str">
        <f t="array" ref="I5">IF($A5="","",INDEX(JupData!$A$2:$K$10000,MATCH($A5&amp;I$1,JupData!$A$2:$A$10000&amp;JupData!$J$2:$J$10000,0),11))</f>
        <v/>
      </c>
      <c r="J5" t="str">
        <f t="array" ref="J5">IF($A5="","",INDEX(JupData!$A$2:$K$10000,MATCH($A5&amp;J$1,JupData!$A$2:$A$10000&amp;JupData!$J$2:$J$10000,0),11))</f>
        <v/>
      </c>
      <c r="K5" t="str">
        <f t="array" ref="K5">IF($A5="","",INDEX(JupData!$A$2:$K$10000,MATCH($A5&amp;K$1,JupData!$A$2:$A$10000&amp;JupData!$J$2:$J$10000,0),11))</f>
        <v/>
      </c>
      <c r="L5" t="str">
        <f t="array" ref="L5">IF($A5="","",INDEX(JupData!$A$2:$K$10000,MATCH($A5&amp;L$1,JupData!$A$2:$A$10000&amp;JupData!$J$2:$J$10000,0),11))</f>
        <v/>
      </c>
      <c r="M5" t="str">
        <f t="array" ref="M5">IF($A5="","",INDEX(JupData!$A$2:$K$10000,MATCH($A5&amp;M$1,JupData!$A$2:$A$10000&amp;JupData!$J$2:$J$10000,0),11))</f>
        <v/>
      </c>
      <c r="N5" t="str">
        <f t="array" ref="N5">IF($A5="","",INDEX(JupData!$A$2:$K$10000,MATCH($A5&amp;N$1,JupData!$A$2:$A$10000&amp;JupData!$J$2:$J$10000,0),11))</f>
        <v/>
      </c>
      <c r="O5" t="str">
        <f t="array" ref="O5">IF($A5="","",INDEX(JupData!$A$2:$K$10000,MATCH($A5&amp;O$1,JupData!$A$2:$A$10000&amp;JupData!$J$2:$J$10000,0),11))</f>
        <v/>
      </c>
      <c r="P5" t="str">
        <f t="array" ref="P5">IF($A5="","",INDEX(JupData!$A$2:$K$10000,MATCH($A5&amp;P$1,JupData!$A$2:$A$10000&amp;JupData!$J$2:$J$10000,0),11))</f>
        <v/>
      </c>
      <c r="Q5" t="str">
        <f t="array" ref="Q5">IF($A5="","",INDEX(JupData!$A$2:$K$10000,MATCH($A5&amp;Q$1,JupData!$A$2:$A$10000&amp;JupData!$J$2:$J$10000,0),11))</f>
        <v/>
      </c>
      <c r="R5" t="str">
        <f t="array" ref="R5">IF($A5="","",INDEX(JupData!$A$2:$K$10000,MATCH($A5&amp;R$1,JupData!$A$2:$A$10000&amp;JupData!$J$2:$J$10000,0),11))</f>
        <v/>
      </c>
      <c r="S5" t="str">
        <f t="array" ref="S5">IF($A5="","",INDEX(JupData!$A$2:$K$10000,MATCH($A5&amp;S$1,JupData!$A$2:$A$10000&amp;JupData!$J$2:$J$10000,0),11))</f>
        <v/>
      </c>
      <c r="T5" t="str">
        <f t="array" ref="T5">IF($A5="","",INDEX(JupData!$A$2:$K$10000,MATCH($A5&amp;T$1,JupData!$A$2:$A$10000&amp;JupData!$J$2:$J$10000,0),11))</f>
        <v/>
      </c>
      <c r="U5" t="str">
        <f t="array" ref="U5">IF($A5="","",INDEX(JupData!$A$2:$K$10000,MATCH($A5&amp;U$1,JupData!$A$2:$A$10000&amp;JupData!$J$2:$J$10000,0),11))</f>
        <v/>
      </c>
      <c r="V5" t="str">
        <f t="array" ref="V5">IF($A5="","",INDEX(JupData!$A$2:$K$10000,MATCH($A5&amp;V$1,JupData!$A$2:$A$10000&amp;JupData!$J$2:$J$10000,0),11))</f>
        <v/>
      </c>
      <c r="W5" t="str">
        <f t="array" ref="W5">IF($A5="","",INDEX(JupData!$A$2:$K$10000,MATCH($A5&amp;W$1,JupData!$A$2:$A$10000&amp;JupData!$J$2:$J$10000,0),11))</f>
        <v/>
      </c>
      <c r="X5" t="str">
        <f t="array" ref="X5">IF($A5="","",INDEX(JupData!$A$2:$K$10000,MATCH($A5&amp;X$1,JupData!$A$2:$A$10000&amp;JupData!$J$2:$J$10000,0),11))</f>
        <v/>
      </c>
      <c r="Y5" t="str">
        <f t="array" ref="Y5">IF($A5="","",INDEX(JupData!$A$2:$K$10000,MATCH($A5&amp;Y$1,JupData!$A$2:$A$10000&amp;JupData!$J$2:$J$10000,0),11))</f>
        <v/>
      </c>
      <c r="Z5" t="str">
        <f t="array" ref="Z5">IF($A5="","",INDEX(JupData!$A$2:$K$10000,MATCH($A5&amp;Z$1,JupData!$A$2:$A$10000&amp;JupData!$J$2:$J$10000,0),11))</f>
        <v/>
      </c>
      <c r="AA5" t="str">
        <f t="array" ref="AA5">IF($A5="","",INDEX(JupData!$A$2:$K$10000,MATCH($A5&amp;AA$1,JupData!$A$2:$A$10000&amp;JupData!$J$2:$J$10000,0),11))</f>
        <v/>
      </c>
      <c r="AB5" t="str">
        <f t="array" ref="AB5">IF($A5="","",INDEX(JupData!$A$2:$K$10000,MATCH($A5&amp;AB$1,JupData!$A$2:$A$10000&amp;JupData!$J$2:$J$10000,0),11))</f>
        <v/>
      </c>
      <c r="AC5" s="10" t="str">
        <f t="shared" si="0"/>
        <v/>
      </c>
      <c r="AD5" s="10" t="str">
        <f t="shared" si="1"/>
        <v/>
      </c>
      <c r="AE5" s="9" t="str">
        <f t="shared" si="2"/>
        <v/>
      </c>
      <c r="AF5" s="10" t="str">
        <f t="shared" si="3"/>
        <v/>
      </c>
      <c r="AG5" s="10" t="str">
        <f t="shared" si="4"/>
        <v/>
      </c>
      <c r="AH5" s="10" t="str">
        <f t="shared" si="5"/>
        <v/>
      </c>
      <c r="AI5" s="10" t="str">
        <f t="shared" si="6"/>
        <v/>
      </c>
      <c r="AJ5" s="10" t="str">
        <f t="shared" si="7"/>
        <v/>
      </c>
      <c r="AK5" s="10" t="str">
        <f t="shared" si="8"/>
        <v/>
      </c>
      <c r="AL5" s="14" t="str">
        <f t="shared" si="9"/>
        <v/>
      </c>
    </row>
    <row r="6" spans="1:41" x14ac:dyDescent="0.2">
      <c r="A6"/>
      <c r="B6" t="str">
        <f>IF($A6="","",VLOOKUP($A6,JupData!$A$2:$I$10000,4,FALSE))</f>
        <v/>
      </c>
      <c r="C6" s="7">
        <f>IF($A6="",IF(N(D6),0,""),VLOOKUP($A6,JupData!$A$2:$I$10000,7,FALSE))</f>
        <v>0</v>
      </c>
      <c r="D6">
        <f t="shared" si="10"/>
        <v>4</v>
      </c>
      <c r="E6" t="str">
        <f t="array" ref="E6">IF($A6="","",INDEX(JupData!$A$2:$K$10000,MATCH($A6&amp;E$1,JupData!$A$2:$A$10000&amp;JupData!$J$2:$J$10000,0),11))</f>
        <v/>
      </c>
      <c r="F6" t="str">
        <f t="array" ref="F6">IF($A6="","",INDEX(JupData!$A$2:$K$10000,MATCH($A6&amp;F$1,JupData!$A$2:$A$10000&amp;JupData!$J$2:$J$10000,0),11))</f>
        <v/>
      </c>
      <c r="G6" t="str">
        <f t="array" ref="G6">IF($A6="","",INDEX(JupData!$A$2:$K$10000,MATCH($A6&amp;G$1,JupData!$A$2:$A$10000&amp;JupData!$J$2:$J$10000,0),11))</f>
        <v/>
      </c>
      <c r="H6" t="str">
        <f t="array" ref="H6">IF($A6="","",INDEX(JupData!$A$2:$K$10000,MATCH($A6&amp;H$1,JupData!$A$2:$A$10000&amp;JupData!$J$2:$J$10000,0),11))</f>
        <v/>
      </c>
      <c r="I6" t="str">
        <f t="array" ref="I6">IF($A6="","",INDEX(JupData!$A$2:$K$10000,MATCH($A6&amp;I$1,JupData!$A$2:$A$10000&amp;JupData!$J$2:$J$10000,0),11))</f>
        <v/>
      </c>
      <c r="J6" t="str">
        <f t="array" ref="J6">IF($A6="","",INDEX(JupData!$A$2:$K$10000,MATCH($A6&amp;J$1,JupData!$A$2:$A$10000&amp;JupData!$J$2:$J$10000,0),11))</f>
        <v/>
      </c>
      <c r="K6" t="str">
        <f t="array" ref="K6">IF($A6="","",INDEX(JupData!$A$2:$K$10000,MATCH($A6&amp;K$1,JupData!$A$2:$A$10000&amp;JupData!$J$2:$J$10000,0),11))</f>
        <v/>
      </c>
      <c r="L6" t="str">
        <f t="array" ref="L6">IF($A6="","",INDEX(JupData!$A$2:$K$10000,MATCH($A6&amp;L$1,JupData!$A$2:$A$10000&amp;JupData!$J$2:$J$10000,0),11))</f>
        <v/>
      </c>
      <c r="M6" t="str">
        <f t="array" ref="M6">IF($A6="","",INDEX(JupData!$A$2:$K$10000,MATCH($A6&amp;M$1,JupData!$A$2:$A$10000&amp;JupData!$J$2:$J$10000,0),11))</f>
        <v/>
      </c>
      <c r="N6" t="str">
        <f t="array" ref="N6">IF($A6="","",INDEX(JupData!$A$2:$K$10000,MATCH($A6&amp;N$1,JupData!$A$2:$A$10000&amp;JupData!$J$2:$J$10000,0),11))</f>
        <v/>
      </c>
      <c r="O6" t="str">
        <f t="array" ref="O6">IF($A6="","",INDEX(JupData!$A$2:$K$10000,MATCH($A6&amp;O$1,JupData!$A$2:$A$10000&amp;JupData!$J$2:$J$10000,0),11))</f>
        <v/>
      </c>
      <c r="P6" t="str">
        <f t="array" ref="P6">IF($A6="","",INDEX(JupData!$A$2:$K$10000,MATCH($A6&amp;P$1,JupData!$A$2:$A$10000&amp;JupData!$J$2:$J$10000,0),11))</f>
        <v/>
      </c>
      <c r="Q6" t="str">
        <f t="array" ref="Q6">IF($A6="","",INDEX(JupData!$A$2:$K$10000,MATCH($A6&amp;Q$1,JupData!$A$2:$A$10000&amp;JupData!$J$2:$J$10000,0),11))</f>
        <v/>
      </c>
      <c r="R6" t="str">
        <f t="array" ref="R6">IF($A6="","",INDEX(JupData!$A$2:$K$10000,MATCH($A6&amp;R$1,JupData!$A$2:$A$10000&amp;JupData!$J$2:$J$10000,0),11))</f>
        <v/>
      </c>
      <c r="S6" t="str">
        <f t="array" ref="S6">IF($A6="","",INDEX(JupData!$A$2:$K$10000,MATCH($A6&amp;S$1,JupData!$A$2:$A$10000&amp;JupData!$J$2:$J$10000,0),11))</f>
        <v/>
      </c>
      <c r="T6" t="str">
        <f t="array" ref="T6">IF($A6="","",INDEX(JupData!$A$2:$K$10000,MATCH($A6&amp;T$1,JupData!$A$2:$A$10000&amp;JupData!$J$2:$J$10000,0),11))</f>
        <v/>
      </c>
      <c r="U6" t="str">
        <f t="array" ref="U6">IF($A6="","",INDEX(JupData!$A$2:$K$10000,MATCH($A6&amp;U$1,JupData!$A$2:$A$10000&amp;JupData!$J$2:$J$10000,0),11))</f>
        <v/>
      </c>
      <c r="V6" t="str">
        <f t="array" ref="V6">IF($A6="","",INDEX(JupData!$A$2:$K$10000,MATCH($A6&amp;V$1,JupData!$A$2:$A$10000&amp;JupData!$J$2:$J$10000,0),11))</f>
        <v/>
      </c>
      <c r="W6" t="str">
        <f t="array" ref="W6">IF($A6="","",INDEX(JupData!$A$2:$K$10000,MATCH($A6&amp;W$1,JupData!$A$2:$A$10000&amp;JupData!$J$2:$J$10000,0),11))</f>
        <v/>
      </c>
      <c r="X6" t="str">
        <f t="array" ref="X6">IF($A6="","",INDEX(JupData!$A$2:$K$10000,MATCH($A6&amp;X$1,JupData!$A$2:$A$10000&amp;JupData!$J$2:$J$10000,0),11))</f>
        <v/>
      </c>
      <c r="Y6" t="str">
        <f t="array" ref="Y6">IF($A6="","",INDEX(JupData!$A$2:$K$10000,MATCH($A6&amp;Y$1,JupData!$A$2:$A$10000&amp;JupData!$J$2:$J$10000,0),11))</f>
        <v/>
      </c>
      <c r="Z6" t="str">
        <f t="array" ref="Z6">IF($A6="","",INDEX(JupData!$A$2:$K$10000,MATCH($A6&amp;Z$1,JupData!$A$2:$A$10000&amp;JupData!$J$2:$J$10000,0),11))</f>
        <v/>
      </c>
      <c r="AA6" t="str">
        <f t="array" ref="AA6">IF($A6="","",INDEX(JupData!$A$2:$K$10000,MATCH($A6&amp;AA$1,JupData!$A$2:$A$10000&amp;JupData!$J$2:$J$10000,0),11))</f>
        <v/>
      </c>
      <c r="AB6" t="str">
        <f t="array" ref="AB6">IF($A6="","",INDEX(JupData!$A$2:$K$10000,MATCH($A6&amp;AB$1,JupData!$A$2:$A$10000&amp;JupData!$J$2:$J$10000,0),11))</f>
        <v/>
      </c>
      <c r="AC6" s="10" t="str">
        <f t="shared" si="0"/>
        <v/>
      </c>
      <c r="AD6" s="10" t="str">
        <f t="shared" si="1"/>
        <v/>
      </c>
      <c r="AE6" s="9" t="str">
        <f t="shared" si="2"/>
        <v/>
      </c>
      <c r="AF6" s="10" t="str">
        <f t="shared" si="3"/>
        <v/>
      </c>
      <c r="AG6" s="10" t="str">
        <f t="shared" si="4"/>
        <v/>
      </c>
      <c r="AH6" s="10" t="str">
        <f t="shared" si="5"/>
        <v/>
      </c>
      <c r="AI6" s="10" t="str">
        <f t="shared" si="6"/>
        <v/>
      </c>
      <c r="AJ6" s="10" t="str">
        <f t="shared" si="7"/>
        <v/>
      </c>
      <c r="AK6" s="10" t="str">
        <f t="shared" si="8"/>
        <v/>
      </c>
      <c r="AL6" s="14" t="str">
        <f t="shared" si="9"/>
        <v/>
      </c>
    </row>
    <row r="7" spans="1:41" x14ac:dyDescent="0.2">
      <c r="A7"/>
      <c r="B7" t="str">
        <f>IF($A7="","",VLOOKUP($A7,JupData!$A$2:$I$10000,4,FALSE))</f>
        <v/>
      </c>
      <c r="C7" s="7">
        <f>IF($A7="",IF(N(D7),0,""),VLOOKUP($A7,JupData!$A$2:$I$10000,7,FALSE))</f>
        <v>0</v>
      </c>
      <c r="D7">
        <f t="shared" si="10"/>
        <v>5</v>
      </c>
      <c r="E7" t="str">
        <f t="array" ref="E7">IF($A7="","",INDEX(JupData!$A$2:$K$10000,MATCH($A7&amp;E$1,JupData!$A$2:$A$10000&amp;JupData!$J$2:$J$10000,0),11))</f>
        <v/>
      </c>
      <c r="F7" t="str">
        <f t="array" ref="F7">IF($A7="","",INDEX(JupData!$A$2:$K$10000,MATCH($A7&amp;F$1,JupData!$A$2:$A$10000&amp;JupData!$J$2:$J$10000,0),11))</f>
        <v/>
      </c>
      <c r="G7" t="str">
        <f t="array" ref="G7">IF($A7="","",INDEX(JupData!$A$2:$K$10000,MATCH($A7&amp;G$1,JupData!$A$2:$A$10000&amp;JupData!$J$2:$J$10000,0),11))</f>
        <v/>
      </c>
      <c r="H7" t="str">
        <f t="array" ref="H7">IF($A7="","",INDEX(JupData!$A$2:$K$10000,MATCH($A7&amp;H$1,JupData!$A$2:$A$10000&amp;JupData!$J$2:$J$10000,0),11))</f>
        <v/>
      </c>
      <c r="I7" t="str">
        <f t="array" ref="I7">IF($A7="","",INDEX(JupData!$A$2:$K$10000,MATCH($A7&amp;I$1,JupData!$A$2:$A$10000&amp;JupData!$J$2:$J$10000,0),11))</f>
        <v/>
      </c>
      <c r="J7" t="str">
        <f t="array" ref="J7">IF($A7="","",INDEX(JupData!$A$2:$K$10000,MATCH($A7&amp;J$1,JupData!$A$2:$A$10000&amp;JupData!$J$2:$J$10000,0),11))</f>
        <v/>
      </c>
      <c r="K7" t="str">
        <f t="array" ref="K7">IF($A7="","",INDEX(JupData!$A$2:$K$10000,MATCH($A7&amp;K$1,JupData!$A$2:$A$10000&amp;JupData!$J$2:$J$10000,0),11))</f>
        <v/>
      </c>
      <c r="L7" t="str">
        <f t="array" ref="L7">IF($A7="","",INDEX(JupData!$A$2:$K$10000,MATCH($A7&amp;L$1,JupData!$A$2:$A$10000&amp;JupData!$J$2:$J$10000,0),11))</f>
        <v/>
      </c>
      <c r="M7" t="str">
        <f t="array" ref="M7">IF($A7="","",INDEX(JupData!$A$2:$K$10000,MATCH($A7&amp;M$1,JupData!$A$2:$A$10000&amp;JupData!$J$2:$J$10000,0),11))</f>
        <v/>
      </c>
      <c r="N7" t="str">
        <f t="array" ref="N7">IF($A7="","",INDEX(JupData!$A$2:$K$10000,MATCH($A7&amp;N$1,JupData!$A$2:$A$10000&amp;JupData!$J$2:$J$10000,0),11))</f>
        <v/>
      </c>
      <c r="O7" t="str">
        <f t="array" ref="O7">IF($A7="","",INDEX(JupData!$A$2:$K$10000,MATCH($A7&amp;O$1,JupData!$A$2:$A$10000&amp;JupData!$J$2:$J$10000,0),11))</f>
        <v/>
      </c>
      <c r="P7" t="str">
        <f t="array" ref="P7">IF($A7="","",INDEX(JupData!$A$2:$K$10000,MATCH($A7&amp;P$1,JupData!$A$2:$A$10000&amp;JupData!$J$2:$J$10000,0),11))</f>
        <v/>
      </c>
      <c r="Q7" t="str">
        <f t="array" ref="Q7">IF($A7="","",INDEX(JupData!$A$2:$K$10000,MATCH($A7&amp;Q$1,JupData!$A$2:$A$10000&amp;JupData!$J$2:$J$10000,0),11))</f>
        <v/>
      </c>
      <c r="R7" t="str">
        <f t="array" ref="R7">IF($A7="","",INDEX(JupData!$A$2:$K$10000,MATCH($A7&amp;R$1,JupData!$A$2:$A$10000&amp;JupData!$J$2:$J$10000,0),11))</f>
        <v/>
      </c>
      <c r="S7" t="str">
        <f t="array" ref="S7">IF($A7="","",INDEX(JupData!$A$2:$K$10000,MATCH($A7&amp;S$1,JupData!$A$2:$A$10000&amp;JupData!$J$2:$J$10000,0),11))</f>
        <v/>
      </c>
      <c r="T7" t="str">
        <f t="array" ref="T7">IF($A7="","",INDEX(JupData!$A$2:$K$10000,MATCH($A7&amp;T$1,JupData!$A$2:$A$10000&amp;JupData!$J$2:$J$10000,0),11))</f>
        <v/>
      </c>
      <c r="U7" t="str">
        <f t="array" ref="U7">IF($A7="","",INDEX(JupData!$A$2:$K$10000,MATCH($A7&amp;U$1,JupData!$A$2:$A$10000&amp;JupData!$J$2:$J$10000,0),11))</f>
        <v/>
      </c>
      <c r="V7" t="str">
        <f t="array" ref="V7">IF($A7="","",INDEX(JupData!$A$2:$K$10000,MATCH($A7&amp;V$1,JupData!$A$2:$A$10000&amp;JupData!$J$2:$J$10000,0),11))</f>
        <v/>
      </c>
      <c r="W7" t="str">
        <f t="array" ref="W7">IF($A7="","",INDEX(JupData!$A$2:$K$10000,MATCH($A7&amp;W$1,JupData!$A$2:$A$10000&amp;JupData!$J$2:$J$10000,0),11))</f>
        <v/>
      </c>
      <c r="X7" t="str">
        <f t="array" ref="X7">IF($A7="","",INDEX(JupData!$A$2:$K$10000,MATCH($A7&amp;X$1,JupData!$A$2:$A$10000&amp;JupData!$J$2:$J$10000,0),11))</f>
        <v/>
      </c>
      <c r="Y7" t="str">
        <f t="array" ref="Y7">IF($A7="","",INDEX(JupData!$A$2:$K$10000,MATCH($A7&amp;Y$1,JupData!$A$2:$A$10000&amp;JupData!$J$2:$J$10000,0),11))</f>
        <v/>
      </c>
      <c r="Z7" t="str">
        <f t="array" ref="Z7">IF($A7="","",INDEX(JupData!$A$2:$K$10000,MATCH($A7&amp;Z$1,JupData!$A$2:$A$10000&amp;JupData!$J$2:$J$10000,0),11))</f>
        <v/>
      </c>
      <c r="AA7" t="str">
        <f t="array" ref="AA7">IF($A7="","",INDEX(JupData!$A$2:$K$10000,MATCH($A7&amp;AA$1,JupData!$A$2:$A$10000&amp;JupData!$J$2:$J$10000,0),11))</f>
        <v/>
      </c>
      <c r="AB7" t="str">
        <f t="array" ref="AB7">IF($A7="","",INDEX(JupData!$A$2:$K$10000,MATCH($A7&amp;AB$1,JupData!$A$2:$A$10000&amp;JupData!$J$2:$J$10000,0),11))</f>
        <v/>
      </c>
      <c r="AC7" s="10" t="str">
        <f t="shared" si="0"/>
        <v/>
      </c>
      <c r="AD7" s="10" t="str">
        <f t="shared" si="1"/>
        <v/>
      </c>
      <c r="AE7" s="9" t="str">
        <f t="shared" si="2"/>
        <v/>
      </c>
      <c r="AF7" s="10" t="str">
        <f t="shared" si="3"/>
        <v/>
      </c>
      <c r="AG7" s="10" t="str">
        <f t="shared" si="4"/>
        <v/>
      </c>
      <c r="AH7" s="10" t="str">
        <f t="shared" si="5"/>
        <v/>
      </c>
      <c r="AI7" s="10" t="str">
        <f t="shared" si="6"/>
        <v/>
      </c>
      <c r="AJ7" s="10" t="str">
        <f t="shared" si="7"/>
        <v/>
      </c>
      <c r="AK7" s="10" t="str">
        <f t="shared" si="8"/>
        <v/>
      </c>
      <c r="AL7" s="14" t="str">
        <f t="shared" si="9"/>
        <v/>
      </c>
    </row>
    <row r="8" spans="1:41" x14ac:dyDescent="0.2">
      <c r="A8"/>
      <c r="B8" t="str">
        <f>IF($A8="","",VLOOKUP($A8,JupData!$A$2:$I$10000,4,FALSE))</f>
        <v/>
      </c>
      <c r="C8" s="7">
        <f>IF($A8="",IF(N(D8),0,""),VLOOKUP($A8,JupData!$A$2:$I$10000,7,FALSE))</f>
        <v>0</v>
      </c>
      <c r="D8">
        <f t="shared" si="10"/>
        <v>6</v>
      </c>
      <c r="E8" t="str">
        <f t="array" ref="E8">IF($A8="","",INDEX(JupData!$A$2:$K$10000,MATCH($A8&amp;E$1,JupData!$A$2:$A$10000&amp;JupData!$J$2:$J$10000,0),11))</f>
        <v/>
      </c>
      <c r="F8" t="str">
        <f t="array" ref="F8">IF($A8="","",INDEX(JupData!$A$2:$K$10000,MATCH($A8&amp;F$1,JupData!$A$2:$A$10000&amp;JupData!$J$2:$J$10000,0),11))</f>
        <v/>
      </c>
      <c r="G8" t="str">
        <f t="array" ref="G8">IF($A8="","",INDEX(JupData!$A$2:$K$10000,MATCH($A8&amp;G$1,JupData!$A$2:$A$10000&amp;JupData!$J$2:$J$10000,0),11))</f>
        <v/>
      </c>
      <c r="H8" t="str">
        <f t="array" ref="H8">IF($A8="","",INDEX(JupData!$A$2:$K$10000,MATCH($A8&amp;H$1,JupData!$A$2:$A$10000&amp;JupData!$J$2:$J$10000,0),11))</f>
        <v/>
      </c>
      <c r="I8" t="str">
        <f t="array" ref="I8">IF($A8="","",INDEX(JupData!$A$2:$K$10000,MATCH($A8&amp;I$1,JupData!$A$2:$A$10000&amp;JupData!$J$2:$J$10000,0),11))</f>
        <v/>
      </c>
      <c r="J8" t="str">
        <f t="array" ref="J8">IF($A8="","",INDEX(JupData!$A$2:$K$10000,MATCH($A8&amp;J$1,JupData!$A$2:$A$10000&amp;JupData!$J$2:$J$10000,0),11))</f>
        <v/>
      </c>
      <c r="K8" t="str">
        <f t="array" ref="K8">IF($A8="","",INDEX(JupData!$A$2:$K$10000,MATCH($A8&amp;K$1,JupData!$A$2:$A$10000&amp;JupData!$J$2:$J$10000,0),11))</f>
        <v/>
      </c>
      <c r="L8" t="str">
        <f t="array" ref="L8">IF($A8="","",INDEX(JupData!$A$2:$K$10000,MATCH($A8&amp;L$1,JupData!$A$2:$A$10000&amp;JupData!$J$2:$J$10000,0),11))</f>
        <v/>
      </c>
      <c r="M8" t="str">
        <f t="array" ref="M8">IF($A8="","",INDEX(JupData!$A$2:$K$10000,MATCH($A8&amp;M$1,JupData!$A$2:$A$10000&amp;JupData!$J$2:$J$10000,0),11))</f>
        <v/>
      </c>
      <c r="N8" t="str">
        <f t="array" ref="N8">IF($A8="","",INDEX(JupData!$A$2:$K$10000,MATCH($A8&amp;N$1,JupData!$A$2:$A$10000&amp;JupData!$J$2:$J$10000,0),11))</f>
        <v/>
      </c>
      <c r="O8" t="str">
        <f t="array" ref="O8">IF($A8="","",INDEX(JupData!$A$2:$K$10000,MATCH($A8&amp;O$1,JupData!$A$2:$A$10000&amp;JupData!$J$2:$J$10000,0),11))</f>
        <v/>
      </c>
      <c r="P8" t="str">
        <f t="array" ref="P8">IF($A8="","",INDEX(JupData!$A$2:$K$10000,MATCH($A8&amp;P$1,JupData!$A$2:$A$10000&amp;JupData!$J$2:$J$10000,0),11))</f>
        <v/>
      </c>
      <c r="Q8" t="str">
        <f t="array" ref="Q8">IF($A8="","",INDEX(JupData!$A$2:$K$10000,MATCH($A8&amp;Q$1,JupData!$A$2:$A$10000&amp;JupData!$J$2:$J$10000,0),11))</f>
        <v/>
      </c>
      <c r="R8" t="str">
        <f t="array" ref="R8">IF($A8="","",INDEX(JupData!$A$2:$K$10000,MATCH($A8&amp;R$1,JupData!$A$2:$A$10000&amp;JupData!$J$2:$J$10000,0),11))</f>
        <v/>
      </c>
      <c r="S8" t="str">
        <f t="array" ref="S8">IF($A8="","",INDEX(JupData!$A$2:$K$10000,MATCH($A8&amp;S$1,JupData!$A$2:$A$10000&amp;JupData!$J$2:$J$10000,0),11))</f>
        <v/>
      </c>
      <c r="T8" t="str">
        <f t="array" ref="T8">IF($A8="","",INDEX(JupData!$A$2:$K$10000,MATCH($A8&amp;T$1,JupData!$A$2:$A$10000&amp;JupData!$J$2:$J$10000,0),11))</f>
        <v/>
      </c>
      <c r="U8" t="str">
        <f t="array" ref="U8">IF($A8="","",INDEX(JupData!$A$2:$K$10000,MATCH($A8&amp;U$1,JupData!$A$2:$A$10000&amp;JupData!$J$2:$J$10000,0),11))</f>
        <v/>
      </c>
      <c r="V8" t="str">
        <f t="array" ref="V8">IF($A8="","",INDEX(JupData!$A$2:$K$10000,MATCH($A8&amp;V$1,JupData!$A$2:$A$10000&amp;JupData!$J$2:$J$10000,0),11))</f>
        <v/>
      </c>
      <c r="W8" t="str">
        <f t="array" ref="W8">IF($A8="","",INDEX(JupData!$A$2:$K$10000,MATCH($A8&amp;W$1,JupData!$A$2:$A$10000&amp;JupData!$J$2:$J$10000,0),11))</f>
        <v/>
      </c>
      <c r="X8" t="str">
        <f t="array" ref="X8">IF($A8="","",INDEX(JupData!$A$2:$K$10000,MATCH($A8&amp;X$1,JupData!$A$2:$A$10000&amp;JupData!$J$2:$J$10000,0),11))</f>
        <v/>
      </c>
      <c r="Y8" t="str">
        <f t="array" ref="Y8">IF($A8="","",INDEX(JupData!$A$2:$K$10000,MATCH($A8&amp;Y$1,JupData!$A$2:$A$10000&amp;JupData!$J$2:$J$10000,0),11))</f>
        <v/>
      </c>
      <c r="Z8" t="str">
        <f t="array" ref="Z8">IF($A8="","",INDEX(JupData!$A$2:$K$10000,MATCH($A8&amp;Z$1,JupData!$A$2:$A$10000&amp;JupData!$J$2:$J$10000,0),11))</f>
        <v/>
      </c>
      <c r="AA8" t="str">
        <f t="array" ref="AA8">IF($A8="","",INDEX(JupData!$A$2:$K$10000,MATCH($A8&amp;AA$1,JupData!$A$2:$A$10000&amp;JupData!$J$2:$J$10000,0),11))</f>
        <v/>
      </c>
      <c r="AB8" t="str">
        <f t="array" ref="AB8">IF($A8="","",INDEX(JupData!$A$2:$K$10000,MATCH($A8&amp;AB$1,JupData!$A$2:$A$10000&amp;JupData!$J$2:$J$10000,0),11))</f>
        <v/>
      </c>
      <c r="AC8" s="10" t="str">
        <f t="shared" si="0"/>
        <v/>
      </c>
      <c r="AD8" s="10" t="str">
        <f t="shared" si="1"/>
        <v/>
      </c>
      <c r="AE8" s="9" t="str">
        <f t="shared" si="2"/>
        <v/>
      </c>
      <c r="AF8" s="10" t="str">
        <f t="shared" si="3"/>
        <v/>
      </c>
      <c r="AG8" s="10" t="str">
        <f t="shared" si="4"/>
        <v/>
      </c>
      <c r="AH8" s="10" t="str">
        <f t="shared" si="5"/>
        <v/>
      </c>
      <c r="AI8" s="10" t="str">
        <f t="shared" si="6"/>
        <v/>
      </c>
      <c r="AJ8" s="10" t="str">
        <f t="shared" si="7"/>
        <v/>
      </c>
      <c r="AK8" s="10" t="str">
        <f t="shared" si="8"/>
        <v/>
      </c>
      <c r="AL8" s="14" t="str">
        <f t="shared" si="9"/>
        <v/>
      </c>
    </row>
    <row r="9" spans="1:41" x14ac:dyDescent="0.2">
      <c r="A9"/>
      <c r="B9" t="str">
        <f>IF($A9="","",VLOOKUP($A9,JupData!$A$2:$I$10000,4,FALSE))</f>
        <v/>
      </c>
      <c r="C9" s="7">
        <f>IF($A9="",IF(N(D9),0,""),VLOOKUP($A9,JupData!$A$2:$I$10000,7,FALSE))</f>
        <v>0</v>
      </c>
      <c r="D9">
        <f t="shared" si="10"/>
        <v>7</v>
      </c>
      <c r="E9" t="str">
        <f t="array" ref="E9">IF($A9="","",INDEX(JupData!$A$2:$K$10000,MATCH($A9&amp;E$1,JupData!$A$2:$A$10000&amp;JupData!$J$2:$J$10000,0),11))</f>
        <v/>
      </c>
      <c r="F9" t="str">
        <f t="array" ref="F9">IF($A9="","",INDEX(JupData!$A$2:$K$10000,MATCH($A9&amp;F$1,JupData!$A$2:$A$10000&amp;JupData!$J$2:$J$10000,0),11))</f>
        <v/>
      </c>
      <c r="G9" t="str">
        <f t="array" ref="G9">IF($A9="","",INDEX(JupData!$A$2:$K$10000,MATCH($A9&amp;G$1,JupData!$A$2:$A$10000&amp;JupData!$J$2:$J$10000,0),11))</f>
        <v/>
      </c>
      <c r="H9" t="str">
        <f t="array" ref="H9">IF($A9="","",INDEX(JupData!$A$2:$K$10000,MATCH($A9&amp;H$1,JupData!$A$2:$A$10000&amp;JupData!$J$2:$J$10000,0),11))</f>
        <v/>
      </c>
      <c r="I9" t="str">
        <f t="array" ref="I9">IF($A9="","",INDEX(JupData!$A$2:$K$10000,MATCH($A9&amp;I$1,JupData!$A$2:$A$10000&amp;JupData!$J$2:$J$10000,0),11))</f>
        <v/>
      </c>
      <c r="J9" t="str">
        <f t="array" ref="J9">IF($A9="","",INDEX(JupData!$A$2:$K$10000,MATCH($A9&amp;J$1,JupData!$A$2:$A$10000&amp;JupData!$J$2:$J$10000,0),11))</f>
        <v/>
      </c>
      <c r="K9" t="str">
        <f t="array" ref="K9">IF($A9="","",INDEX(JupData!$A$2:$K$10000,MATCH($A9&amp;K$1,JupData!$A$2:$A$10000&amp;JupData!$J$2:$J$10000,0),11))</f>
        <v/>
      </c>
      <c r="L9" t="str">
        <f t="array" ref="L9">IF($A9="","",INDEX(JupData!$A$2:$K$10000,MATCH($A9&amp;L$1,JupData!$A$2:$A$10000&amp;JupData!$J$2:$J$10000,0),11))</f>
        <v/>
      </c>
      <c r="M9" t="str">
        <f t="array" ref="M9">IF($A9="","",INDEX(JupData!$A$2:$K$10000,MATCH($A9&amp;M$1,JupData!$A$2:$A$10000&amp;JupData!$J$2:$J$10000,0),11))</f>
        <v/>
      </c>
      <c r="N9" t="str">
        <f t="array" ref="N9">IF($A9="","",INDEX(JupData!$A$2:$K$10000,MATCH($A9&amp;N$1,JupData!$A$2:$A$10000&amp;JupData!$J$2:$J$10000,0),11))</f>
        <v/>
      </c>
      <c r="O9" t="str">
        <f t="array" ref="O9">IF($A9="","",INDEX(JupData!$A$2:$K$10000,MATCH($A9&amp;O$1,JupData!$A$2:$A$10000&amp;JupData!$J$2:$J$10000,0),11))</f>
        <v/>
      </c>
      <c r="P9" t="str">
        <f t="array" ref="P9">IF($A9="","",INDEX(JupData!$A$2:$K$10000,MATCH($A9&amp;P$1,JupData!$A$2:$A$10000&amp;JupData!$J$2:$J$10000,0),11))</f>
        <v/>
      </c>
      <c r="Q9" t="str">
        <f t="array" ref="Q9">IF($A9="","",INDEX(JupData!$A$2:$K$10000,MATCH($A9&amp;Q$1,JupData!$A$2:$A$10000&amp;JupData!$J$2:$J$10000,0),11))</f>
        <v/>
      </c>
      <c r="R9" t="str">
        <f t="array" ref="R9">IF($A9="","",INDEX(JupData!$A$2:$K$10000,MATCH($A9&amp;R$1,JupData!$A$2:$A$10000&amp;JupData!$J$2:$J$10000,0),11))</f>
        <v/>
      </c>
      <c r="S9" t="str">
        <f t="array" ref="S9">IF($A9="","",INDEX(JupData!$A$2:$K$10000,MATCH($A9&amp;S$1,JupData!$A$2:$A$10000&amp;JupData!$J$2:$J$10000,0),11))</f>
        <v/>
      </c>
      <c r="T9" t="str">
        <f t="array" ref="T9">IF($A9="","",INDEX(JupData!$A$2:$K$10000,MATCH($A9&amp;T$1,JupData!$A$2:$A$10000&amp;JupData!$J$2:$J$10000,0),11))</f>
        <v/>
      </c>
      <c r="U9" t="str">
        <f t="array" ref="U9">IF($A9="","",INDEX(JupData!$A$2:$K$10000,MATCH($A9&amp;U$1,JupData!$A$2:$A$10000&amp;JupData!$J$2:$J$10000,0),11))</f>
        <v/>
      </c>
      <c r="V9" t="str">
        <f t="array" ref="V9">IF($A9="","",INDEX(JupData!$A$2:$K$10000,MATCH($A9&amp;V$1,JupData!$A$2:$A$10000&amp;JupData!$J$2:$J$10000,0),11))</f>
        <v/>
      </c>
      <c r="W9" t="str">
        <f t="array" ref="W9">IF($A9="","",INDEX(JupData!$A$2:$K$10000,MATCH($A9&amp;W$1,JupData!$A$2:$A$10000&amp;JupData!$J$2:$J$10000,0),11))</f>
        <v/>
      </c>
      <c r="X9" t="str">
        <f t="array" ref="X9">IF($A9="","",INDEX(JupData!$A$2:$K$10000,MATCH($A9&amp;X$1,JupData!$A$2:$A$10000&amp;JupData!$J$2:$J$10000,0),11))</f>
        <v/>
      </c>
      <c r="Y9" t="str">
        <f t="array" ref="Y9">IF($A9="","",INDEX(JupData!$A$2:$K$10000,MATCH($A9&amp;Y$1,JupData!$A$2:$A$10000&amp;JupData!$J$2:$J$10000,0),11))</f>
        <v/>
      </c>
      <c r="Z9" t="str">
        <f t="array" ref="Z9">IF($A9="","",INDEX(JupData!$A$2:$K$10000,MATCH($A9&amp;Z$1,JupData!$A$2:$A$10000&amp;JupData!$J$2:$J$10000,0),11))</f>
        <v/>
      </c>
      <c r="AA9" t="str">
        <f t="array" ref="AA9">IF($A9="","",INDEX(JupData!$A$2:$K$10000,MATCH($A9&amp;AA$1,JupData!$A$2:$A$10000&amp;JupData!$J$2:$J$10000,0),11))</f>
        <v/>
      </c>
      <c r="AB9" t="str">
        <f t="array" ref="AB9">IF($A9="","",INDEX(JupData!$A$2:$K$10000,MATCH($A9&amp;AB$1,JupData!$A$2:$A$10000&amp;JupData!$J$2:$J$10000,0),11))</f>
        <v/>
      </c>
      <c r="AC9" s="10" t="str">
        <f t="shared" si="0"/>
        <v/>
      </c>
      <c r="AD9" s="10" t="str">
        <f t="shared" si="1"/>
        <v/>
      </c>
      <c r="AE9" s="9" t="str">
        <f t="shared" si="2"/>
        <v/>
      </c>
      <c r="AF9" s="10" t="str">
        <f t="shared" si="3"/>
        <v/>
      </c>
      <c r="AG9" s="10" t="str">
        <f t="shared" si="4"/>
        <v/>
      </c>
      <c r="AH9" s="10" t="str">
        <f t="shared" si="5"/>
        <v/>
      </c>
      <c r="AI9" s="10" t="str">
        <f t="shared" si="6"/>
        <v/>
      </c>
      <c r="AJ9" s="10" t="str">
        <f t="shared" si="7"/>
        <v/>
      </c>
      <c r="AK9" s="10" t="str">
        <f t="shared" si="8"/>
        <v/>
      </c>
      <c r="AL9" s="14" t="str">
        <f t="shared" si="9"/>
        <v/>
      </c>
    </row>
    <row r="10" spans="1:41" x14ac:dyDescent="0.2">
      <c r="A10"/>
      <c r="B10" t="str">
        <f>IF($A10="","",VLOOKUP($A10,JupData!$A$2:$I$10000,4,FALSE))</f>
        <v/>
      </c>
      <c r="C10" s="7">
        <f>IF($A10="",IF(N(D10),0,""),VLOOKUP($A10,JupData!$A$2:$I$10000,7,FALSE))</f>
        <v>0</v>
      </c>
      <c r="D10">
        <f t="shared" si="10"/>
        <v>8</v>
      </c>
      <c r="E10" t="str">
        <f t="array" ref="E10">IF($A10="","",INDEX(JupData!$A$2:$K$10000,MATCH($A10&amp;E$1,JupData!$A$2:$A$10000&amp;JupData!$J$2:$J$10000,0),11))</f>
        <v/>
      </c>
      <c r="F10" t="str">
        <f t="array" ref="F10">IF($A10="","",INDEX(JupData!$A$2:$K$10000,MATCH($A10&amp;F$1,JupData!$A$2:$A$10000&amp;JupData!$J$2:$J$10000,0),11))</f>
        <v/>
      </c>
      <c r="G10" t="str">
        <f t="array" ref="G10">IF($A10="","",INDEX(JupData!$A$2:$K$10000,MATCH($A10&amp;G$1,JupData!$A$2:$A$10000&amp;JupData!$J$2:$J$10000,0),11))</f>
        <v/>
      </c>
      <c r="H10" t="str">
        <f t="array" ref="H10">IF($A10="","",INDEX(JupData!$A$2:$K$10000,MATCH($A10&amp;H$1,JupData!$A$2:$A$10000&amp;JupData!$J$2:$J$10000,0),11))</f>
        <v/>
      </c>
      <c r="I10" t="str">
        <f t="array" ref="I10">IF($A10="","",INDEX(JupData!$A$2:$K$10000,MATCH($A10&amp;I$1,JupData!$A$2:$A$10000&amp;JupData!$J$2:$J$10000,0),11))</f>
        <v/>
      </c>
      <c r="J10" t="str">
        <f t="array" ref="J10">IF($A10="","",INDEX(JupData!$A$2:$K$10000,MATCH($A10&amp;J$1,JupData!$A$2:$A$10000&amp;JupData!$J$2:$J$10000,0),11))</f>
        <v/>
      </c>
      <c r="K10" t="str">
        <f t="array" ref="K10">IF($A10="","",INDEX(JupData!$A$2:$K$10000,MATCH($A10&amp;K$1,JupData!$A$2:$A$10000&amp;JupData!$J$2:$J$10000,0),11))</f>
        <v/>
      </c>
      <c r="L10" t="str">
        <f t="array" ref="L10">IF($A10="","",INDEX(JupData!$A$2:$K$10000,MATCH($A10&amp;L$1,JupData!$A$2:$A$10000&amp;JupData!$J$2:$J$10000,0),11))</f>
        <v/>
      </c>
      <c r="M10" t="str">
        <f t="array" ref="M10">IF($A10="","",INDEX(JupData!$A$2:$K$10000,MATCH($A10&amp;M$1,JupData!$A$2:$A$10000&amp;JupData!$J$2:$J$10000,0),11))</f>
        <v/>
      </c>
      <c r="N10" t="str">
        <f t="array" ref="N10">IF($A10="","",INDEX(JupData!$A$2:$K$10000,MATCH($A10&amp;N$1,JupData!$A$2:$A$10000&amp;JupData!$J$2:$J$10000,0),11))</f>
        <v/>
      </c>
      <c r="O10" t="str">
        <f t="array" ref="O10">IF($A10="","",INDEX(JupData!$A$2:$K$10000,MATCH($A10&amp;O$1,JupData!$A$2:$A$10000&amp;JupData!$J$2:$J$10000,0),11))</f>
        <v/>
      </c>
      <c r="P10" t="str">
        <f t="array" ref="P10">IF($A10="","",INDEX(JupData!$A$2:$K$10000,MATCH($A10&amp;P$1,JupData!$A$2:$A$10000&amp;JupData!$J$2:$J$10000,0),11))</f>
        <v/>
      </c>
      <c r="Q10" t="str">
        <f t="array" ref="Q10">IF($A10="","",INDEX(JupData!$A$2:$K$10000,MATCH($A10&amp;Q$1,JupData!$A$2:$A$10000&amp;JupData!$J$2:$J$10000,0),11))</f>
        <v/>
      </c>
      <c r="R10" t="str">
        <f t="array" ref="R10">IF($A10="","",INDEX(JupData!$A$2:$K$10000,MATCH($A10&amp;R$1,JupData!$A$2:$A$10000&amp;JupData!$J$2:$J$10000,0),11))</f>
        <v/>
      </c>
      <c r="S10" t="str">
        <f t="array" ref="S10">IF($A10="","",INDEX(JupData!$A$2:$K$10000,MATCH($A10&amp;S$1,JupData!$A$2:$A$10000&amp;JupData!$J$2:$J$10000,0),11))</f>
        <v/>
      </c>
      <c r="T10" t="str">
        <f t="array" ref="T10">IF($A10="","",INDEX(JupData!$A$2:$K$10000,MATCH($A10&amp;T$1,JupData!$A$2:$A$10000&amp;JupData!$J$2:$J$10000,0),11))</f>
        <v/>
      </c>
      <c r="U10" t="str">
        <f t="array" ref="U10">IF($A10="","",INDEX(JupData!$A$2:$K$10000,MATCH($A10&amp;U$1,JupData!$A$2:$A$10000&amp;JupData!$J$2:$J$10000,0),11))</f>
        <v/>
      </c>
      <c r="V10" t="str">
        <f t="array" ref="V10">IF($A10="","",INDEX(JupData!$A$2:$K$10000,MATCH($A10&amp;V$1,JupData!$A$2:$A$10000&amp;JupData!$J$2:$J$10000,0),11))</f>
        <v/>
      </c>
      <c r="W10" t="str">
        <f t="array" ref="W10">IF($A10="","",INDEX(JupData!$A$2:$K$10000,MATCH($A10&amp;W$1,JupData!$A$2:$A$10000&amp;JupData!$J$2:$J$10000,0),11))</f>
        <v/>
      </c>
      <c r="X10" t="str">
        <f t="array" ref="X10">IF($A10="","",INDEX(JupData!$A$2:$K$10000,MATCH($A10&amp;X$1,JupData!$A$2:$A$10000&amp;JupData!$J$2:$J$10000,0),11))</f>
        <v/>
      </c>
      <c r="Y10" t="str">
        <f t="array" ref="Y10">IF($A10="","",INDEX(JupData!$A$2:$K$10000,MATCH($A10&amp;Y$1,JupData!$A$2:$A$10000&amp;JupData!$J$2:$J$10000,0),11))</f>
        <v/>
      </c>
      <c r="Z10" t="str">
        <f t="array" ref="Z10">IF($A10="","",INDEX(JupData!$A$2:$K$10000,MATCH($A10&amp;Z$1,JupData!$A$2:$A$10000&amp;JupData!$J$2:$J$10000,0),11))</f>
        <v/>
      </c>
      <c r="AA10" t="str">
        <f t="array" ref="AA10">IF($A10="","",INDEX(JupData!$A$2:$K$10000,MATCH($A10&amp;AA$1,JupData!$A$2:$A$10000&amp;JupData!$J$2:$J$10000,0),11))</f>
        <v/>
      </c>
      <c r="AB10" t="str">
        <f t="array" ref="AB10">IF($A10="","",INDEX(JupData!$A$2:$K$10000,MATCH($A10&amp;AB$1,JupData!$A$2:$A$10000&amp;JupData!$J$2:$J$10000,0),11))</f>
        <v/>
      </c>
      <c r="AC10" s="10" t="str">
        <f t="shared" si="0"/>
        <v/>
      </c>
      <c r="AD10" s="10" t="str">
        <f t="shared" si="1"/>
        <v/>
      </c>
      <c r="AE10" s="9" t="str">
        <f t="shared" si="2"/>
        <v/>
      </c>
      <c r="AF10" s="10" t="str">
        <f t="shared" si="3"/>
        <v/>
      </c>
      <c r="AG10" s="10" t="str">
        <f t="shared" si="4"/>
        <v/>
      </c>
      <c r="AH10" s="10" t="str">
        <f t="shared" si="5"/>
        <v/>
      </c>
      <c r="AI10" s="10" t="str">
        <f t="shared" si="6"/>
        <v/>
      </c>
      <c r="AJ10" s="10" t="str">
        <f t="shared" si="7"/>
        <v/>
      </c>
      <c r="AK10" s="10" t="str">
        <f t="shared" si="8"/>
        <v/>
      </c>
      <c r="AL10" s="14" t="str">
        <f t="shared" si="9"/>
        <v/>
      </c>
    </row>
    <row r="11" spans="1:41" x14ac:dyDescent="0.2">
      <c r="A11"/>
      <c r="B11" t="str">
        <f>IF($A11="","",VLOOKUP($A11,JupData!$A$2:$I$10000,4,FALSE))</f>
        <v/>
      </c>
      <c r="C11" s="7">
        <f>IF($A11="",IF(N(D11),0,""),VLOOKUP($A11,JupData!$A$2:$I$10000,7,FALSE))</f>
        <v>0</v>
      </c>
      <c r="D11">
        <f t="shared" si="10"/>
        <v>9</v>
      </c>
      <c r="E11" t="str">
        <f t="array" ref="E11">IF($A11="","",INDEX(JupData!$A$2:$K$10000,MATCH($A11&amp;E$1,JupData!$A$2:$A$10000&amp;JupData!$J$2:$J$10000,0),11))</f>
        <v/>
      </c>
      <c r="F11" t="str">
        <f t="array" ref="F11">IF($A11="","",INDEX(JupData!$A$2:$K$10000,MATCH($A11&amp;F$1,JupData!$A$2:$A$10000&amp;JupData!$J$2:$J$10000,0),11))</f>
        <v/>
      </c>
      <c r="G11" t="str">
        <f t="array" ref="G11">IF($A11="","",INDEX(JupData!$A$2:$K$10000,MATCH($A11&amp;G$1,JupData!$A$2:$A$10000&amp;JupData!$J$2:$J$10000,0),11))</f>
        <v/>
      </c>
      <c r="H11" t="str">
        <f t="array" ref="H11">IF($A11="","",INDEX(JupData!$A$2:$K$10000,MATCH($A11&amp;H$1,JupData!$A$2:$A$10000&amp;JupData!$J$2:$J$10000,0),11))</f>
        <v/>
      </c>
      <c r="I11" t="str">
        <f t="array" ref="I11">IF($A11="","",INDEX(JupData!$A$2:$K$10000,MATCH($A11&amp;I$1,JupData!$A$2:$A$10000&amp;JupData!$J$2:$J$10000,0),11))</f>
        <v/>
      </c>
      <c r="J11" t="str">
        <f t="array" ref="J11">IF($A11="","",INDEX(JupData!$A$2:$K$10000,MATCH($A11&amp;J$1,JupData!$A$2:$A$10000&amp;JupData!$J$2:$J$10000,0),11))</f>
        <v/>
      </c>
      <c r="K11" t="str">
        <f t="array" ref="K11">IF($A11="","",INDEX(JupData!$A$2:$K$10000,MATCH($A11&amp;K$1,JupData!$A$2:$A$10000&amp;JupData!$J$2:$J$10000,0),11))</f>
        <v/>
      </c>
      <c r="L11" t="str">
        <f t="array" ref="L11">IF($A11="","",INDEX(JupData!$A$2:$K$10000,MATCH($A11&amp;L$1,JupData!$A$2:$A$10000&amp;JupData!$J$2:$J$10000,0),11))</f>
        <v/>
      </c>
      <c r="M11" t="str">
        <f t="array" ref="M11">IF($A11="","",INDEX(JupData!$A$2:$K$10000,MATCH($A11&amp;M$1,JupData!$A$2:$A$10000&amp;JupData!$J$2:$J$10000,0),11))</f>
        <v/>
      </c>
      <c r="N11" t="str">
        <f t="array" ref="N11">IF($A11="","",INDEX(JupData!$A$2:$K$10000,MATCH($A11&amp;N$1,JupData!$A$2:$A$10000&amp;JupData!$J$2:$J$10000,0),11))</f>
        <v/>
      </c>
      <c r="O11" t="str">
        <f t="array" ref="O11">IF($A11="","",INDEX(JupData!$A$2:$K$10000,MATCH($A11&amp;O$1,JupData!$A$2:$A$10000&amp;JupData!$J$2:$J$10000,0),11))</f>
        <v/>
      </c>
      <c r="P11" t="str">
        <f t="array" ref="P11">IF($A11="","",INDEX(JupData!$A$2:$K$10000,MATCH($A11&amp;P$1,JupData!$A$2:$A$10000&amp;JupData!$J$2:$J$10000,0),11))</f>
        <v/>
      </c>
      <c r="Q11" t="str">
        <f t="array" ref="Q11">IF($A11="","",INDEX(JupData!$A$2:$K$10000,MATCH($A11&amp;Q$1,JupData!$A$2:$A$10000&amp;JupData!$J$2:$J$10000,0),11))</f>
        <v/>
      </c>
      <c r="R11" t="str">
        <f t="array" ref="R11">IF($A11="","",INDEX(JupData!$A$2:$K$10000,MATCH($A11&amp;R$1,JupData!$A$2:$A$10000&amp;JupData!$J$2:$J$10000,0),11))</f>
        <v/>
      </c>
      <c r="S11" t="str">
        <f t="array" ref="S11">IF($A11="","",INDEX(JupData!$A$2:$K$10000,MATCH($A11&amp;S$1,JupData!$A$2:$A$10000&amp;JupData!$J$2:$J$10000,0),11))</f>
        <v/>
      </c>
      <c r="T11" t="str">
        <f t="array" ref="T11">IF($A11="","",INDEX(JupData!$A$2:$K$10000,MATCH($A11&amp;T$1,JupData!$A$2:$A$10000&amp;JupData!$J$2:$J$10000,0),11))</f>
        <v/>
      </c>
      <c r="U11" t="str">
        <f t="array" ref="U11">IF($A11="","",INDEX(JupData!$A$2:$K$10000,MATCH($A11&amp;U$1,JupData!$A$2:$A$10000&amp;JupData!$J$2:$J$10000,0),11))</f>
        <v/>
      </c>
      <c r="V11" t="str">
        <f t="array" ref="V11">IF($A11="","",INDEX(JupData!$A$2:$K$10000,MATCH($A11&amp;V$1,JupData!$A$2:$A$10000&amp;JupData!$J$2:$J$10000,0),11))</f>
        <v/>
      </c>
      <c r="W11" t="str">
        <f t="array" ref="W11">IF($A11="","",INDEX(JupData!$A$2:$K$10000,MATCH($A11&amp;W$1,JupData!$A$2:$A$10000&amp;JupData!$J$2:$J$10000,0),11))</f>
        <v/>
      </c>
      <c r="X11" t="str">
        <f t="array" ref="X11">IF($A11="","",INDEX(JupData!$A$2:$K$10000,MATCH($A11&amp;X$1,JupData!$A$2:$A$10000&amp;JupData!$J$2:$J$10000,0),11))</f>
        <v/>
      </c>
      <c r="Y11" t="str">
        <f t="array" ref="Y11">IF($A11="","",INDEX(JupData!$A$2:$K$10000,MATCH($A11&amp;Y$1,JupData!$A$2:$A$10000&amp;JupData!$J$2:$J$10000,0),11))</f>
        <v/>
      </c>
      <c r="Z11" t="str">
        <f t="array" ref="Z11">IF($A11="","",INDEX(JupData!$A$2:$K$10000,MATCH($A11&amp;Z$1,JupData!$A$2:$A$10000&amp;JupData!$J$2:$J$10000,0),11))</f>
        <v/>
      </c>
      <c r="AA11" t="str">
        <f t="array" ref="AA11">IF($A11="","",INDEX(JupData!$A$2:$K$10000,MATCH($A11&amp;AA$1,JupData!$A$2:$A$10000&amp;JupData!$J$2:$J$10000,0),11))</f>
        <v/>
      </c>
      <c r="AB11" t="str">
        <f t="array" ref="AB11">IF($A11="","",INDEX(JupData!$A$2:$K$10000,MATCH($A11&amp;AB$1,JupData!$A$2:$A$10000&amp;JupData!$J$2:$J$10000,0),11))</f>
        <v/>
      </c>
      <c r="AC11" s="10" t="str">
        <f t="shared" si="0"/>
        <v/>
      </c>
      <c r="AD11" s="10" t="str">
        <f t="shared" si="1"/>
        <v/>
      </c>
      <c r="AE11" s="9" t="str">
        <f t="shared" si="2"/>
        <v/>
      </c>
      <c r="AF11" s="10" t="str">
        <f t="shared" si="3"/>
        <v/>
      </c>
      <c r="AG11" s="10" t="str">
        <f t="shared" si="4"/>
        <v/>
      </c>
      <c r="AH11" s="10" t="str">
        <f t="shared" si="5"/>
        <v/>
      </c>
      <c r="AI11" s="10" t="str">
        <f t="shared" si="6"/>
        <v/>
      </c>
      <c r="AJ11" s="10" t="str">
        <f t="shared" si="7"/>
        <v/>
      </c>
      <c r="AK11" s="10" t="str">
        <f t="shared" si="8"/>
        <v/>
      </c>
      <c r="AL11" s="14" t="str">
        <f t="shared" si="9"/>
        <v/>
      </c>
    </row>
    <row r="12" spans="1:41" x14ac:dyDescent="0.2">
      <c r="A12"/>
      <c r="B12" t="str">
        <f>IF($A12="","",VLOOKUP($A12,JupData!$A$2:$I$10000,4,FALSE))</f>
        <v/>
      </c>
      <c r="C12" s="7">
        <f>IF($A12="",IF(N(D12),0,""),VLOOKUP($A12,JupData!$A$2:$I$10000,7,FALSE))</f>
        <v>0</v>
      </c>
      <c r="D12">
        <f t="shared" si="10"/>
        <v>10</v>
      </c>
      <c r="E12" t="str">
        <f t="array" ref="E12">IF($A12="","",INDEX(JupData!$A$2:$K$10000,MATCH($A12&amp;E$1,JupData!$A$2:$A$10000&amp;JupData!$J$2:$J$10000,0),11))</f>
        <v/>
      </c>
      <c r="F12" t="str">
        <f t="array" ref="F12">IF($A12="","",INDEX(JupData!$A$2:$K$10000,MATCH($A12&amp;F$1,JupData!$A$2:$A$10000&amp;JupData!$J$2:$J$10000,0),11))</f>
        <v/>
      </c>
      <c r="G12" t="str">
        <f t="array" ref="G12">IF($A12="","",INDEX(JupData!$A$2:$K$10000,MATCH($A12&amp;G$1,JupData!$A$2:$A$10000&amp;JupData!$J$2:$J$10000,0),11))</f>
        <v/>
      </c>
      <c r="H12" t="str">
        <f t="array" ref="H12">IF($A12="","",INDEX(JupData!$A$2:$K$10000,MATCH($A12&amp;H$1,JupData!$A$2:$A$10000&amp;JupData!$J$2:$J$10000,0),11))</f>
        <v/>
      </c>
      <c r="I12" t="str">
        <f t="array" ref="I12">IF($A12="","",INDEX(JupData!$A$2:$K$10000,MATCH($A12&amp;I$1,JupData!$A$2:$A$10000&amp;JupData!$J$2:$J$10000,0),11))</f>
        <v/>
      </c>
      <c r="J12" t="str">
        <f t="array" ref="J12">IF($A12="","",INDEX(JupData!$A$2:$K$10000,MATCH($A12&amp;J$1,JupData!$A$2:$A$10000&amp;JupData!$J$2:$J$10000,0),11))</f>
        <v/>
      </c>
      <c r="K12" t="str">
        <f t="array" ref="K12">IF($A12="","",INDEX(JupData!$A$2:$K$10000,MATCH($A12&amp;K$1,JupData!$A$2:$A$10000&amp;JupData!$J$2:$J$10000,0),11))</f>
        <v/>
      </c>
      <c r="L12" t="str">
        <f t="array" ref="L12">IF($A12="","",INDEX(JupData!$A$2:$K$10000,MATCH($A12&amp;L$1,JupData!$A$2:$A$10000&amp;JupData!$J$2:$J$10000,0),11))</f>
        <v/>
      </c>
      <c r="M12" t="str">
        <f t="array" ref="M12">IF($A12="","",INDEX(JupData!$A$2:$K$10000,MATCH($A12&amp;M$1,JupData!$A$2:$A$10000&amp;JupData!$J$2:$J$10000,0),11))</f>
        <v/>
      </c>
      <c r="N12" t="str">
        <f t="array" ref="N12">IF($A12="","",INDEX(JupData!$A$2:$K$10000,MATCH($A12&amp;N$1,JupData!$A$2:$A$10000&amp;JupData!$J$2:$J$10000,0),11))</f>
        <v/>
      </c>
      <c r="O12" t="str">
        <f t="array" ref="O12">IF($A12="","",INDEX(JupData!$A$2:$K$10000,MATCH($A12&amp;O$1,JupData!$A$2:$A$10000&amp;JupData!$J$2:$J$10000,0),11))</f>
        <v/>
      </c>
      <c r="P12" t="str">
        <f t="array" ref="P12">IF($A12="","",INDEX(JupData!$A$2:$K$10000,MATCH($A12&amp;P$1,JupData!$A$2:$A$10000&amp;JupData!$J$2:$J$10000,0),11))</f>
        <v/>
      </c>
      <c r="Q12" t="str">
        <f t="array" ref="Q12">IF($A12="","",INDEX(JupData!$A$2:$K$10000,MATCH($A12&amp;Q$1,JupData!$A$2:$A$10000&amp;JupData!$J$2:$J$10000,0),11))</f>
        <v/>
      </c>
      <c r="R12" t="str">
        <f t="array" ref="R12">IF($A12="","",INDEX(JupData!$A$2:$K$10000,MATCH($A12&amp;R$1,JupData!$A$2:$A$10000&amp;JupData!$J$2:$J$10000,0),11))</f>
        <v/>
      </c>
      <c r="S12" t="str">
        <f t="array" ref="S12">IF($A12="","",INDEX(JupData!$A$2:$K$10000,MATCH($A12&amp;S$1,JupData!$A$2:$A$10000&amp;JupData!$J$2:$J$10000,0),11))</f>
        <v/>
      </c>
      <c r="T12" t="str">
        <f t="array" ref="T12">IF($A12="","",INDEX(JupData!$A$2:$K$10000,MATCH($A12&amp;T$1,JupData!$A$2:$A$10000&amp;JupData!$J$2:$J$10000,0),11))</f>
        <v/>
      </c>
      <c r="U12" t="str">
        <f t="array" ref="U12">IF($A12="","",INDEX(JupData!$A$2:$K$10000,MATCH($A12&amp;U$1,JupData!$A$2:$A$10000&amp;JupData!$J$2:$J$10000,0),11))</f>
        <v/>
      </c>
      <c r="V12" t="str">
        <f t="array" ref="V12">IF($A12="","",INDEX(JupData!$A$2:$K$10000,MATCH($A12&amp;V$1,JupData!$A$2:$A$10000&amp;JupData!$J$2:$J$10000,0),11))</f>
        <v/>
      </c>
      <c r="W12" t="str">
        <f t="array" ref="W12">IF($A12="","",INDEX(JupData!$A$2:$K$10000,MATCH($A12&amp;W$1,JupData!$A$2:$A$10000&amp;JupData!$J$2:$J$10000,0),11))</f>
        <v/>
      </c>
      <c r="X12" t="str">
        <f t="array" ref="X12">IF($A12="","",INDEX(JupData!$A$2:$K$10000,MATCH($A12&amp;X$1,JupData!$A$2:$A$10000&amp;JupData!$J$2:$J$10000,0),11))</f>
        <v/>
      </c>
      <c r="Y12" t="str">
        <f t="array" ref="Y12">IF($A12="","",INDEX(JupData!$A$2:$K$10000,MATCH($A12&amp;Y$1,JupData!$A$2:$A$10000&amp;JupData!$J$2:$J$10000,0),11))</f>
        <v/>
      </c>
      <c r="Z12" t="str">
        <f t="array" ref="Z12">IF($A12="","",INDEX(JupData!$A$2:$K$10000,MATCH($A12&amp;Z$1,JupData!$A$2:$A$10000&amp;JupData!$J$2:$J$10000,0),11))</f>
        <v/>
      </c>
      <c r="AA12" t="str">
        <f t="array" ref="AA12">IF($A12="","",INDEX(JupData!$A$2:$K$10000,MATCH($A12&amp;AA$1,JupData!$A$2:$A$10000&amp;JupData!$J$2:$J$10000,0),11))</f>
        <v/>
      </c>
      <c r="AB12" t="str">
        <f t="array" ref="AB12">IF($A12="","",INDEX(JupData!$A$2:$K$10000,MATCH($A12&amp;AB$1,JupData!$A$2:$A$10000&amp;JupData!$J$2:$J$10000,0),11))</f>
        <v/>
      </c>
      <c r="AC12" s="10" t="str">
        <f t="shared" si="0"/>
        <v/>
      </c>
      <c r="AD12" s="10" t="str">
        <f t="shared" si="1"/>
        <v/>
      </c>
      <c r="AE12" s="9" t="str">
        <f t="shared" si="2"/>
        <v/>
      </c>
      <c r="AF12" s="10" t="str">
        <f t="shared" si="3"/>
        <v/>
      </c>
      <c r="AG12" s="10" t="str">
        <f t="shared" si="4"/>
        <v/>
      </c>
      <c r="AH12" s="10" t="str">
        <f t="shared" si="5"/>
        <v/>
      </c>
      <c r="AI12" s="10" t="str">
        <f t="shared" si="6"/>
        <v/>
      </c>
      <c r="AJ12" s="10" t="str">
        <f t="shared" si="7"/>
        <v/>
      </c>
      <c r="AK12" s="10" t="str">
        <f t="shared" si="8"/>
        <v/>
      </c>
      <c r="AL12" s="14" t="str">
        <f t="shared" si="9"/>
        <v/>
      </c>
    </row>
    <row r="13" spans="1:41" x14ac:dyDescent="0.2">
      <c r="A13"/>
      <c r="B13" t="str">
        <f>IF($A13="","",VLOOKUP($A13,JupData!$A$2:$I$10000,4,FALSE))</f>
        <v/>
      </c>
      <c r="C13" s="7">
        <f>IF($A13="",IF(N(D13),0,""),VLOOKUP($A13,JupData!$A$2:$I$10000,7,FALSE))</f>
        <v>0</v>
      </c>
      <c r="D13">
        <f t="shared" si="10"/>
        <v>11</v>
      </c>
      <c r="E13" t="str">
        <f t="array" ref="E13">IF($A13="","",INDEX(JupData!$A$2:$K$10000,MATCH($A13&amp;E$1,JupData!$A$2:$A$10000&amp;JupData!$J$2:$J$10000,0),11))</f>
        <v/>
      </c>
      <c r="F13" t="str">
        <f t="array" ref="F13">IF($A13="","",INDEX(JupData!$A$2:$K$10000,MATCH($A13&amp;F$1,JupData!$A$2:$A$10000&amp;JupData!$J$2:$J$10000,0),11))</f>
        <v/>
      </c>
      <c r="G13" t="str">
        <f t="array" ref="G13">IF($A13="","",INDEX(JupData!$A$2:$K$10000,MATCH($A13&amp;G$1,JupData!$A$2:$A$10000&amp;JupData!$J$2:$J$10000,0),11))</f>
        <v/>
      </c>
      <c r="H13" t="str">
        <f t="array" ref="H13">IF($A13="","",INDEX(JupData!$A$2:$K$10000,MATCH($A13&amp;H$1,JupData!$A$2:$A$10000&amp;JupData!$J$2:$J$10000,0),11))</f>
        <v/>
      </c>
      <c r="I13" t="str">
        <f t="array" ref="I13">IF($A13="","",INDEX(JupData!$A$2:$K$10000,MATCH($A13&amp;I$1,JupData!$A$2:$A$10000&amp;JupData!$J$2:$J$10000,0),11))</f>
        <v/>
      </c>
      <c r="J13" t="str">
        <f t="array" ref="J13">IF($A13="","",INDEX(JupData!$A$2:$K$10000,MATCH($A13&amp;J$1,JupData!$A$2:$A$10000&amp;JupData!$J$2:$J$10000,0),11))</f>
        <v/>
      </c>
      <c r="K13" t="str">
        <f t="array" ref="K13">IF($A13="","",INDEX(JupData!$A$2:$K$10000,MATCH($A13&amp;K$1,JupData!$A$2:$A$10000&amp;JupData!$J$2:$J$10000,0),11))</f>
        <v/>
      </c>
      <c r="L13" t="str">
        <f t="array" ref="L13">IF($A13="","",INDEX(JupData!$A$2:$K$10000,MATCH($A13&amp;L$1,JupData!$A$2:$A$10000&amp;JupData!$J$2:$J$10000,0),11))</f>
        <v/>
      </c>
      <c r="M13" t="str">
        <f t="array" ref="M13">IF($A13="","",INDEX(JupData!$A$2:$K$10000,MATCH($A13&amp;M$1,JupData!$A$2:$A$10000&amp;JupData!$J$2:$J$10000,0),11))</f>
        <v/>
      </c>
      <c r="N13" t="str">
        <f t="array" ref="N13">IF($A13="","",INDEX(JupData!$A$2:$K$10000,MATCH($A13&amp;N$1,JupData!$A$2:$A$10000&amp;JupData!$J$2:$J$10000,0),11))</f>
        <v/>
      </c>
      <c r="O13" t="str">
        <f t="array" ref="O13">IF($A13="","",INDEX(JupData!$A$2:$K$10000,MATCH($A13&amp;O$1,JupData!$A$2:$A$10000&amp;JupData!$J$2:$J$10000,0),11))</f>
        <v/>
      </c>
      <c r="P13" t="str">
        <f t="array" ref="P13">IF($A13="","",INDEX(JupData!$A$2:$K$10000,MATCH($A13&amp;P$1,JupData!$A$2:$A$10000&amp;JupData!$J$2:$J$10000,0),11))</f>
        <v/>
      </c>
      <c r="Q13" t="str">
        <f t="array" ref="Q13">IF($A13="","",INDEX(JupData!$A$2:$K$10000,MATCH($A13&amp;Q$1,JupData!$A$2:$A$10000&amp;JupData!$J$2:$J$10000,0),11))</f>
        <v/>
      </c>
      <c r="R13" t="str">
        <f t="array" ref="R13">IF($A13="","",INDEX(JupData!$A$2:$K$10000,MATCH($A13&amp;R$1,JupData!$A$2:$A$10000&amp;JupData!$J$2:$J$10000,0),11))</f>
        <v/>
      </c>
      <c r="S13" t="str">
        <f t="array" ref="S13">IF($A13="","",INDEX(JupData!$A$2:$K$10000,MATCH($A13&amp;S$1,JupData!$A$2:$A$10000&amp;JupData!$J$2:$J$10000,0),11))</f>
        <v/>
      </c>
      <c r="T13" t="str">
        <f t="array" ref="T13">IF($A13="","",INDEX(JupData!$A$2:$K$10000,MATCH($A13&amp;T$1,JupData!$A$2:$A$10000&amp;JupData!$J$2:$J$10000,0),11))</f>
        <v/>
      </c>
      <c r="U13" t="str">
        <f t="array" ref="U13">IF($A13="","",INDEX(JupData!$A$2:$K$10000,MATCH($A13&amp;U$1,JupData!$A$2:$A$10000&amp;JupData!$J$2:$J$10000,0),11))</f>
        <v/>
      </c>
      <c r="V13" t="str">
        <f t="array" ref="V13">IF($A13="","",INDEX(JupData!$A$2:$K$10000,MATCH($A13&amp;V$1,JupData!$A$2:$A$10000&amp;JupData!$J$2:$J$10000,0),11))</f>
        <v/>
      </c>
      <c r="W13" t="str">
        <f t="array" ref="W13">IF($A13="","",INDEX(JupData!$A$2:$K$10000,MATCH($A13&amp;W$1,JupData!$A$2:$A$10000&amp;JupData!$J$2:$J$10000,0),11))</f>
        <v/>
      </c>
      <c r="X13" t="str">
        <f t="array" ref="X13">IF($A13="","",INDEX(JupData!$A$2:$K$10000,MATCH($A13&amp;X$1,JupData!$A$2:$A$10000&amp;JupData!$J$2:$J$10000,0),11))</f>
        <v/>
      </c>
      <c r="Y13" t="str">
        <f t="array" ref="Y13">IF($A13="","",INDEX(JupData!$A$2:$K$10000,MATCH($A13&amp;Y$1,JupData!$A$2:$A$10000&amp;JupData!$J$2:$J$10000,0),11))</f>
        <v/>
      </c>
      <c r="Z13" t="str">
        <f t="array" ref="Z13">IF($A13="","",INDEX(JupData!$A$2:$K$10000,MATCH($A13&amp;Z$1,JupData!$A$2:$A$10000&amp;JupData!$J$2:$J$10000,0),11))</f>
        <v/>
      </c>
      <c r="AA13" t="str">
        <f t="array" ref="AA13">IF($A13="","",INDEX(JupData!$A$2:$K$10000,MATCH($A13&amp;AA$1,JupData!$A$2:$A$10000&amp;JupData!$J$2:$J$10000,0),11))</f>
        <v/>
      </c>
      <c r="AB13" t="str">
        <f t="array" ref="AB13">IF($A13="","",INDEX(JupData!$A$2:$K$10000,MATCH($A13&amp;AB$1,JupData!$A$2:$A$10000&amp;JupData!$J$2:$J$10000,0),11))</f>
        <v/>
      </c>
      <c r="AC13" s="10" t="str">
        <f t="shared" si="0"/>
        <v/>
      </c>
      <c r="AD13" s="10" t="str">
        <f t="shared" si="1"/>
        <v/>
      </c>
      <c r="AE13" s="9" t="str">
        <f t="shared" si="2"/>
        <v/>
      </c>
      <c r="AF13" s="10" t="str">
        <f t="shared" si="3"/>
        <v/>
      </c>
      <c r="AG13" s="10" t="str">
        <f t="shared" si="4"/>
        <v/>
      </c>
      <c r="AH13" s="10" t="str">
        <f t="shared" si="5"/>
        <v/>
      </c>
      <c r="AI13" s="10" t="str">
        <f t="shared" si="6"/>
        <v/>
      </c>
      <c r="AJ13" s="10" t="str">
        <f t="shared" si="7"/>
        <v/>
      </c>
      <c r="AK13" s="10" t="str">
        <f t="shared" si="8"/>
        <v/>
      </c>
      <c r="AL13" s="14" t="str">
        <f t="shared" si="9"/>
        <v/>
      </c>
    </row>
    <row r="14" spans="1:41" x14ac:dyDescent="0.2">
      <c r="A14"/>
      <c r="B14" t="str">
        <f>IF($A14="","",VLOOKUP($A14,JupData!$A$2:$I$10000,4,FALSE))</f>
        <v/>
      </c>
      <c r="C14" s="7">
        <f>IF($A14="",IF(N(D14),0,""),VLOOKUP($A14,JupData!$A$2:$I$10000,7,FALSE))</f>
        <v>0</v>
      </c>
      <c r="D14">
        <f t="shared" si="10"/>
        <v>12</v>
      </c>
      <c r="E14" t="str">
        <f t="array" ref="E14">IF($A14="","",INDEX(JupData!$A$2:$K$10000,MATCH($A14&amp;E$1,JupData!$A$2:$A$10000&amp;JupData!$J$2:$J$10000,0),11))</f>
        <v/>
      </c>
      <c r="F14" t="str">
        <f t="array" ref="F14">IF($A14="","",INDEX(JupData!$A$2:$K$10000,MATCH($A14&amp;F$1,JupData!$A$2:$A$10000&amp;JupData!$J$2:$J$10000,0),11))</f>
        <v/>
      </c>
      <c r="G14" t="str">
        <f t="array" ref="G14">IF($A14="","",INDEX(JupData!$A$2:$K$10000,MATCH($A14&amp;G$1,JupData!$A$2:$A$10000&amp;JupData!$J$2:$J$10000,0),11))</f>
        <v/>
      </c>
      <c r="H14" t="str">
        <f t="array" ref="H14">IF($A14="","",INDEX(JupData!$A$2:$K$10000,MATCH($A14&amp;H$1,JupData!$A$2:$A$10000&amp;JupData!$J$2:$J$10000,0),11))</f>
        <v/>
      </c>
      <c r="I14" t="str">
        <f t="array" ref="I14">IF($A14="","",INDEX(JupData!$A$2:$K$10000,MATCH($A14&amp;I$1,JupData!$A$2:$A$10000&amp;JupData!$J$2:$J$10000,0),11))</f>
        <v/>
      </c>
      <c r="J14" t="str">
        <f t="array" ref="J14">IF($A14="","",INDEX(JupData!$A$2:$K$10000,MATCH($A14&amp;J$1,JupData!$A$2:$A$10000&amp;JupData!$J$2:$J$10000,0),11))</f>
        <v/>
      </c>
      <c r="K14" t="str">
        <f t="array" ref="K14">IF($A14="","",INDEX(JupData!$A$2:$K$10000,MATCH($A14&amp;K$1,JupData!$A$2:$A$10000&amp;JupData!$J$2:$J$10000,0),11))</f>
        <v/>
      </c>
      <c r="L14" t="str">
        <f t="array" ref="L14">IF($A14="","",INDEX(JupData!$A$2:$K$10000,MATCH($A14&amp;L$1,JupData!$A$2:$A$10000&amp;JupData!$J$2:$J$10000,0),11))</f>
        <v/>
      </c>
      <c r="M14" t="str">
        <f t="array" ref="M14">IF($A14="","",INDEX(JupData!$A$2:$K$10000,MATCH($A14&amp;M$1,JupData!$A$2:$A$10000&amp;JupData!$J$2:$J$10000,0),11))</f>
        <v/>
      </c>
      <c r="N14" t="str">
        <f t="array" ref="N14">IF($A14="","",INDEX(JupData!$A$2:$K$10000,MATCH($A14&amp;N$1,JupData!$A$2:$A$10000&amp;JupData!$J$2:$J$10000,0),11))</f>
        <v/>
      </c>
      <c r="O14" t="str">
        <f t="array" ref="O14">IF($A14="","",INDEX(JupData!$A$2:$K$10000,MATCH($A14&amp;O$1,JupData!$A$2:$A$10000&amp;JupData!$J$2:$J$10000,0),11))</f>
        <v/>
      </c>
      <c r="P14" t="str">
        <f t="array" ref="P14">IF($A14="","",INDEX(JupData!$A$2:$K$10000,MATCH($A14&amp;P$1,JupData!$A$2:$A$10000&amp;JupData!$J$2:$J$10000,0),11))</f>
        <v/>
      </c>
      <c r="Q14" t="str">
        <f t="array" ref="Q14">IF($A14="","",INDEX(JupData!$A$2:$K$10000,MATCH($A14&amp;Q$1,JupData!$A$2:$A$10000&amp;JupData!$J$2:$J$10000,0),11))</f>
        <v/>
      </c>
      <c r="R14" t="str">
        <f t="array" ref="R14">IF($A14="","",INDEX(JupData!$A$2:$K$10000,MATCH($A14&amp;R$1,JupData!$A$2:$A$10000&amp;JupData!$J$2:$J$10000,0),11))</f>
        <v/>
      </c>
      <c r="S14" t="str">
        <f t="array" ref="S14">IF($A14="","",INDEX(JupData!$A$2:$K$10000,MATCH($A14&amp;S$1,JupData!$A$2:$A$10000&amp;JupData!$J$2:$J$10000,0),11))</f>
        <v/>
      </c>
      <c r="T14" t="str">
        <f t="array" ref="T14">IF($A14="","",INDEX(JupData!$A$2:$K$10000,MATCH($A14&amp;T$1,JupData!$A$2:$A$10000&amp;JupData!$J$2:$J$10000,0),11))</f>
        <v/>
      </c>
      <c r="U14" t="str">
        <f t="array" ref="U14">IF($A14="","",INDEX(JupData!$A$2:$K$10000,MATCH($A14&amp;U$1,JupData!$A$2:$A$10000&amp;JupData!$J$2:$J$10000,0),11))</f>
        <v/>
      </c>
      <c r="V14" t="str">
        <f t="array" ref="V14">IF($A14="","",INDEX(JupData!$A$2:$K$10000,MATCH($A14&amp;V$1,JupData!$A$2:$A$10000&amp;JupData!$J$2:$J$10000,0),11))</f>
        <v/>
      </c>
      <c r="W14" t="str">
        <f t="array" ref="W14">IF($A14="","",INDEX(JupData!$A$2:$K$10000,MATCH($A14&amp;W$1,JupData!$A$2:$A$10000&amp;JupData!$J$2:$J$10000,0),11))</f>
        <v/>
      </c>
      <c r="X14" t="str">
        <f t="array" ref="X14">IF($A14="","",INDEX(JupData!$A$2:$K$10000,MATCH($A14&amp;X$1,JupData!$A$2:$A$10000&amp;JupData!$J$2:$J$10000,0),11))</f>
        <v/>
      </c>
      <c r="Y14" t="str">
        <f t="array" ref="Y14">IF($A14="","",INDEX(JupData!$A$2:$K$10000,MATCH($A14&amp;Y$1,JupData!$A$2:$A$10000&amp;JupData!$J$2:$J$10000,0),11))</f>
        <v/>
      </c>
      <c r="Z14" t="str">
        <f t="array" ref="Z14">IF($A14="","",INDEX(JupData!$A$2:$K$10000,MATCH($A14&amp;Z$1,JupData!$A$2:$A$10000&amp;JupData!$J$2:$J$10000,0),11))</f>
        <v/>
      </c>
      <c r="AA14" t="str">
        <f t="array" ref="AA14">IF($A14="","",INDEX(JupData!$A$2:$K$10000,MATCH($A14&amp;AA$1,JupData!$A$2:$A$10000&amp;JupData!$J$2:$J$10000,0),11))</f>
        <v/>
      </c>
      <c r="AB14" t="str">
        <f t="array" ref="AB14">IF($A14="","",INDEX(JupData!$A$2:$K$10000,MATCH($A14&amp;AB$1,JupData!$A$2:$A$10000&amp;JupData!$J$2:$J$10000,0),11))</f>
        <v/>
      </c>
      <c r="AC14" s="10" t="str">
        <f t="shared" si="0"/>
        <v/>
      </c>
      <c r="AD14" s="10" t="str">
        <f t="shared" si="1"/>
        <v/>
      </c>
      <c r="AE14" s="9" t="str">
        <f t="shared" si="2"/>
        <v/>
      </c>
      <c r="AF14" s="10" t="str">
        <f t="shared" si="3"/>
        <v/>
      </c>
      <c r="AG14" s="10" t="str">
        <f t="shared" si="4"/>
        <v/>
      </c>
      <c r="AH14" s="10" t="str">
        <f t="shared" si="5"/>
        <v/>
      </c>
      <c r="AI14" s="10" t="str">
        <f t="shared" si="6"/>
        <v/>
      </c>
      <c r="AJ14" s="10" t="str">
        <f t="shared" si="7"/>
        <v/>
      </c>
      <c r="AK14" s="10" t="str">
        <f t="shared" si="8"/>
        <v/>
      </c>
      <c r="AL14" s="14" t="str">
        <f t="shared" si="9"/>
        <v/>
      </c>
    </row>
    <row r="15" spans="1:41" x14ac:dyDescent="0.2">
      <c r="A15"/>
      <c r="B15" t="str">
        <f>IF($A15="","",VLOOKUP($A15,JupData!$A$2:$I$10000,4,FALSE))</f>
        <v/>
      </c>
      <c r="C15" s="7">
        <f>IF($A15="",IF(N(D15),0,""),VLOOKUP($A15,JupData!$A$2:$I$10000,7,FALSE))</f>
        <v>0</v>
      </c>
      <c r="D15">
        <f t="shared" si="10"/>
        <v>13</v>
      </c>
      <c r="E15" t="str">
        <f t="array" ref="E15">IF($A15="","",INDEX(JupData!$A$2:$K$10000,MATCH($A15&amp;E$1,JupData!$A$2:$A$10000&amp;JupData!$J$2:$J$10000,0),11))</f>
        <v/>
      </c>
      <c r="F15" t="str">
        <f t="array" ref="F15">IF($A15="","",INDEX(JupData!$A$2:$K$10000,MATCH($A15&amp;F$1,JupData!$A$2:$A$10000&amp;JupData!$J$2:$J$10000,0),11))</f>
        <v/>
      </c>
      <c r="G15" t="str">
        <f t="array" ref="G15">IF($A15="","",INDEX(JupData!$A$2:$K$10000,MATCH($A15&amp;G$1,JupData!$A$2:$A$10000&amp;JupData!$J$2:$J$10000,0),11))</f>
        <v/>
      </c>
      <c r="H15" t="str">
        <f t="array" ref="H15">IF($A15="","",INDEX(JupData!$A$2:$K$10000,MATCH($A15&amp;H$1,JupData!$A$2:$A$10000&amp;JupData!$J$2:$J$10000,0),11))</f>
        <v/>
      </c>
      <c r="I15" t="str">
        <f t="array" ref="I15">IF($A15="","",INDEX(JupData!$A$2:$K$10000,MATCH($A15&amp;I$1,JupData!$A$2:$A$10000&amp;JupData!$J$2:$J$10000,0),11))</f>
        <v/>
      </c>
      <c r="J15" t="str">
        <f t="array" ref="J15">IF($A15="","",INDEX(JupData!$A$2:$K$10000,MATCH($A15&amp;J$1,JupData!$A$2:$A$10000&amp;JupData!$J$2:$J$10000,0),11))</f>
        <v/>
      </c>
      <c r="K15" t="str">
        <f t="array" ref="K15">IF($A15="","",INDEX(JupData!$A$2:$K$10000,MATCH($A15&amp;K$1,JupData!$A$2:$A$10000&amp;JupData!$J$2:$J$10000,0),11))</f>
        <v/>
      </c>
      <c r="L15" t="str">
        <f t="array" ref="L15">IF($A15="","",INDEX(JupData!$A$2:$K$10000,MATCH($A15&amp;L$1,JupData!$A$2:$A$10000&amp;JupData!$J$2:$J$10000,0),11))</f>
        <v/>
      </c>
      <c r="M15" t="str">
        <f t="array" ref="M15">IF($A15="","",INDEX(JupData!$A$2:$K$10000,MATCH($A15&amp;M$1,JupData!$A$2:$A$10000&amp;JupData!$J$2:$J$10000,0),11))</f>
        <v/>
      </c>
      <c r="N15" t="str">
        <f t="array" ref="N15">IF($A15="","",INDEX(JupData!$A$2:$K$10000,MATCH($A15&amp;N$1,JupData!$A$2:$A$10000&amp;JupData!$J$2:$J$10000,0),11))</f>
        <v/>
      </c>
      <c r="O15" t="str">
        <f t="array" ref="O15">IF($A15="","",INDEX(JupData!$A$2:$K$10000,MATCH($A15&amp;O$1,JupData!$A$2:$A$10000&amp;JupData!$J$2:$J$10000,0),11))</f>
        <v/>
      </c>
      <c r="P15" t="str">
        <f t="array" ref="P15">IF($A15="","",INDEX(JupData!$A$2:$K$10000,MATCH($A15&amp;P$1,JupData!$A$2:$A$10000&amp;JupData!$J$2:$J$10000,0),11))</f>
        <v/>
      </c>
      <c r="Q15" t="str">
        <f t="array" ref="Q15">IF($A15="","",INDEX(JupData!$A$2:$K$10000,MATCH($A15&amp;Q$1,JupData!$A$2:$A$10000&amp;JupData!$J$2:$J$10000,0),11))</f>
        <v/>
      </c>
      <c r="R15" t="str">
        <f t="array" ref="R15">IF($A15="","",INDEX(JupData!$A$2:$K$10000,MATCH($A15&amp;R$1,JupData!$A$2:$A$10000&amp;JupData!$J$2:$J$10000,0),11))</f>
        <v/>
      </c>
      <c r="S15" t="str">
        <f t="array" ref="S15">IF($A15="","",INDEX(JupData!$A$2:$K$10000,MATCH($A15&amp;S$1,JupData!$A$2:$A$10000&amp;JupData!$J$2:$J$10000,0),11))</f>
        <v/>
      </c>
      <c r="T15" t="str">
        <f t="array" ref="T15">IF($A15="","",INDEX(JupData!$A$2:$K$10000,MATCH($A15&amp;T$1,JupData!$A$2:$A$10000&amp;JupData!$J$2:$J$10000,0),11))</f>
        <v/>
      </c>
      <c r="U15" t="str">
        <f t="array" ref="U15">IF($A15="","",INDEX(JupData!$A$2:$K$10000,MATCH($A15&amp;U$1,JupData!$A$2:$A$10000&amp;JupData!$J$2:$J$10000,0),11))</f>
        <v/>
      </c>
      <c r="V15" t="str">
        <f t="array" ref="V15">IF($A15="","",INDEX(JupData!$A$2:$K$10000,MATCH($A15&amp;V$1,JupData!$A$2:$A$10000&amp;JupData!$J$2:$J$10000,0),11))</f>
        <v/>
      </c>
      <c r="W15" t="str">
        <f t="array" ref="W15">IF($A15="","",INDEX(JupData!$A$2:$K$10000,MATCH($A15&amp;W$1,JupData!$A$2:$A$10000&amp;JupData!$J$2:$J$10000,0),11))</f>
        <v/>
      </c>
      <c r="X15" t="str">
        <f t="array" ref="X15">IF($A15="","",INDEX(JupData!$A$2:$K$10000,MATCH($A15&amp;X$1,JupData!$A$2:$A$10000&amp;JupData!$J$2:$J$10000,0),11))</f>
        <v/>
      </c>
      <c r="Y15" t="str">
        <f t="array" ref="Y15">IF($A15="","",INDEX(JupData!$A$2:$K$10000,MATCH($A15&amp;Y$1,JupData!$A$2:$A$10000&amp;JupData!$J$2:$J$10000,0),11))</f>
        <v/>
      </c>
      <c r="Z15" t="str">
        <f t="array" ref="Z15">IF($A15="","",INDEX(JupData!$A$2:$K$10000,MATCH($A15&amp;Z$1,JupData!$A$2:$A$10000&amp;JupData!$J$2:$J$10000,0),11))</f>
        <v/>
      </c>
      <c r="AA15" t="str">
        <f t="array" ref="AA15">IF($A15="","",INDEX(JupData!$A$2:$K$10000,MATCH($A15&amp;AA$1,JupData!$A$2:$A$10000&amp;JupData!$J$2:$J$10000,0),11))</f>
        <v/>
      </c>
      <c r="AB15" t="str">
        <f t="array" ref="AB15">IF($A15="","",INDEX(JupData!$A$2:$K$10000,MATCH($A15&amp;AB$1,JupData!$A$2:$A$10000&amp;JupData!$J$2:$J$10000,0),11))</f>
        <v/>
      </c>
      <c r="AC15" s="10" t="str">
        <f t="shared" si="0"/>
        <v/>
      </c>
      <c r="AD15" s="10" t="str">
        <f t="shared" si="1"/>
        <v/>
      </c>
      <c r="AE15" s="9" t="str">
        <f t="shared" si="2"/>
        <v/>
      </c>
      <c r="AF15" s="10" t="str">
        <f t="shared" si="3"/>
        <v/>
      </c>
      <c r="AG15" s="10" t="str">
        <f t="shared" si="4"/>
        <v/>
      </c>
      <c r="AH15" s="10" t="str">
        <f t="shared" si="5"/>
        <v/>
      </c>
      <c r="AI15" s="10" t="str">
        <f t="shared" si="6"/>
        <v/>
      </c>
      <c r="AJ15" s="10" t="str">
        <f t="shared" si="7"/>
        <v/>
      </c>
      <c r="AK15" s="10" t="str">
        <f t="shared" si="8"/>
        <v/>
      </c>
      <c r="AL15" s="14" t="str">
        <f t="shared" si="9"/>
        <v/>
      </c>
    </row>
    <row r="16" spans="1:41" x14ac:dyDescent="0.2">
      <c r="A16"/>
      <c r="B16" t="str">
        <f>IF($A16="","",VLOOKUP($A16,JupData!$A$2:$I$10000,4,FALSE))</f>
        <v/>
      </c>
      <c r="C16" s="7">
        <f>IF($A16="",IF(N(D16),0,""),VLOOKUP($A16,JupData!$A$2:$I$10000,7,FALSE))</f>
        <v>0</v>
      </c>
      <c r="D16">
        <f t="shared" si="10"/>
        <v>14</v>
      </c>
      <c r="E16" t="str">
        <f t="array" ref="E16">IF($A16="","",INDEX(JupData!$A$2:$K$10000,MATCH($A16&amp;E$1,JupData!$A$2:$A$10000&amp;JupData!$J$2:$J$10000,0),11))</f>
        <v/>
      </c>
      <c r="F16" t="str">
        <f t="array" ref="F16">IF($A16="","",INDEX(JupData!$A$2:$K$10000,MATCH($A16&amp;F$1,JupData!$A$2:$A$10000&amp;JupData!$J$2:$J$10000,0),11))</f>
        <v/>
      </c>
      <c r="G16" t="str">
        <f t="array" ref="G16">IF($A16="","",INDEX(JupData!$A$2:$K$10000,MATCH($A16&amp;G$1,JupData!$A$2:$A$10000&amp;JupData!$J$2:$J$10000,0),11))</f>
        <v/>
      </c>
      <c r="H16" t="str">
        <f t="array" ref="H16">IF($A16="","",INDEX(JupData!$A$2:$K$10000,MATCH($A16&amp;H$1,JupData!$A$2:$A$10000&amp;JupData!$J$2:$J$10000,0),11))</f>
        <v/>
      </c>
      <c r="I16" t="str">
        <f t="array" ref="I16">IF($A16="","",INDEX(JupData!$A$2:$K$10000,MATCH($A16&amp;I$1,JupData!$A$2:$A$10000&amp;JupData!$J$2:$J$10000,0),11))</f>
        <v/>
      </c>
      <c r="J16" t="str">
        <f t="array" ref="J16">IF($A16="","",INDEX(JupData!$A$2:$K$10000,MATCH($A16&amp;J$1,JupData!$A$2:$A$10000&amp;JupData!$J$2:$J$10000,0),11))</f>
        <v/>
      </c>
      <c r="K16" t="str">
        <f t="array" ref="K16">IF($A16="","",INDEX(JupData!$A$2:$K$10000,MATCH($A16&amp;K$1,JupData!$A$2:$A$10000&amp;JupData!$J$2:$J$10000,0),11))</f>
        <v/>
      </c>
      <c r="L16" t="str">
        <f t="array" ref="L16">IF($A16="","",INDEX(JupData!$A$2:$K$10000,MATCH($A16&amp;L$1,JupData!$A$2:$A$10000&amp;JupData!$J$2:$J$10000,0),11))</f>
        <v/>
      </c>
      <c r="M16" t="str">
        <f t="array" ref="M16">IF($A16="","",INDEX(JupData!$A$2:$K$10000,MATCH($A16&amp;M$1,JupData!$A$2:$A$10000&amp;JupData!$J$2:$J$10000,0),11))</f>
        <v/>
      </c>
      <c r="N16" t="str">
        <f t="array" ref="N16">IF($A16="","",INDEX(JupData!$A$2:$K$10000,MATCH($A16&amp;N$1,JupData!$A$2:$A$10000&amp;JupData!$J$2:$J$10000,0),11))</f>
        <v/>
      </c>
      <c r="O16" t="str">
        <f t="array" ref="O16">IF($A16="","",INDEX(JupData!$A$2:$K$10000,MATCH($A16&amp;O$1,JupData!$A$2:$A$10000&amp;JupData!$J$2:$J$10000,0),11))</f>
        <v/>
      </c>
      <c r="P16" t="str">
        <f t="array" ref="P16">IF($A16="","",INDEX(JupData!$A$2:$K$10000,MATCH($A16&amp;P$1,JupData!$A$2:$A$10000&amp;JupData!$J$2:$J$10000,0),11))</f>
        <v/>
      </c>
      <c r="Q16" t="str">
        <f t="array" ref="Q16">IF($A16="","",INDEX(JupData!$A$2:$K$10000,MATCH($A16&amp;Q$1,JupData!$A$2:$A$10000&amp;JupData!$J$2:$J$10000,0),11))</f>
        <v/>
      </c>
      <c r="R16" t="str">
        <f t="array" ref="R16">IF($A16="","",INDEX(JupData!$A$2:$K$10000,MATCH($A16&amp;R$1,JupData!$A$2:$A$10000&amp;JupData!$J$2:$J$10000,0),11))</f>
        <v/>
      </c>
      <c r="S16" t="str">
        <f t="array" ref="S16">IF($A16="","",INDEX(JupData!$A$2:$K$10000,MATCH($A16&amp;S$1,JupData!$A$2:$A$10000&amp;JupData!$J$2:$J$10000,0),11))</f>
        <v/>
      </c>
      <c r="T16" t="str">
        <f t="array" ref="T16">IF($A16="","",INDEX(JupData!$A$2:$K$10000,MATCH($A16&amp;T$1,JupData!$A$2:$A$10000&amp;JupData!$J$2:$J$10000,0),11))</f>
        <v/>
      </c>
      <c r="U16" t="str">
        <f t="array" ref="U16">IF($A16="","",INDEX(JupData!$A$2:$K$10000,MATCH($A16&amp;U$1,JupData!$A$2:$A$10000&amp;JupData!$J$2:$J$10000,0),11))</f>
        <v/>
      </c>
      <c r="V16" t="str">
        <f t="array" ref="V16">IF($A16="","",INDEX(JupData!$A$2:$K$10000,MATCH($A16&amp;V$1,JupData!$A$2:$A$10000&amp;JupData!$J$2:$J$10000,0),11))</f>
        <v/>
      </c>
      <c r="W16" t="str">
        <f t="array" ref="W16">IF($A16="","",INDEX(JupData!$A$2:$K$10000,MATCH($A16&amp;W$1,JupData!$A$2:$A$10000&amp;JupData!$J$2:$J$10000,0),11))</f>
        <v/>
      </c>
      <c r="X16" t="str">
        <f t="array" ref="X16">IF($A16="","",INDEX(JupData!$A$2:$K$10000,MATCH($A16&amp;X$1,JupData!$A$2:$A$10000&amp;JupData!$J$2:$J$10000,0),11))</f>
        <v/>
      </c>
      <c r="Y16" t="str">
        <f t="array" ref="Y16">IF($A16="","",INDEX(JupData!$A$2:$K$10000,MATCH($A16&amp;Y$1,JupData!$A$2:$A$10000&amp;JupData!$J$2:$J$10000,0),11))</f>
        <v/>
      </c>
      <c r="Z16" t="str">
        <f t="array" ref="Z16">IF($A16="","",INDEX(JupData!$A$2:$K$10000,MATCH($A16&amp;Z$1,JupData!$A$2:$A$10000&amp;JupData!$J$2:$J$10000,0),11))</f>
        <v/>
      </c>
      <c r="AA16" t="str">
        <f t="array" ref="AA16">IF($A16="","",INDEX(JupData!$A$2:$K$10000,MATCH($A16&amp;AA$1,JupData!$A$2:$A$10000&amp;JupData!$J$2:$J$10000,0),11))</f>
        <v/>
      </c>
      <c r="AB16" t="str">
        <f t="array" ref="AB16">IF($A16="","",INDEX(JupData!$A$2:$K$10000,MATCH($A16&amp;AB$1,JupData!$A$2:$A$10000&amp;JupData!$J$2:$J$10000,0),11))</f>
        <v/>
      </c>
      <c r="AC16" s="10" t="str">
        <f t="shared" si="0"/>
        <v/>
      </c>
      <c r="AD16" s="10" t="str">
        <f t="shared" si="1"/>
        <v/>
      </c>
      <c r="AE16" s="9" t="str">
        <f t="shared" si="2"/>
        <v/>
      </c>
      <c r="AF16" s="10" t="str">
        <f t="shared" si="3"/>
        <v/>
      </c>
      <c r="AG16" s="10" t="str">
        <f t="shared" si="4"/>
        <v/>
      </c>
      <c r="AH16" s="10" t="str">
        <f t="shared" si="5"/>
        <v/>
      </c>
      <c r="AI16" s="10" t="str">
        <f t="shared" si="6"/>
        <v/>
      </c>
      <c r="AJ16" s="10" t="str">
        <f t="shared" si="7"/>
        <v/>
      </c>
      <c r="AK16" s="10" t="str">
        <f t="shared" si="8"/>
        <v/>
      </c>
      <c r="AL16" s="14" t="str">
        <f t="shared" si="9"/>
        <v/>
      </c>
    </row>
    <row r="17" spans="1:38" x14ac:dyDescent="0.2">
      <c r="A17"/>
      <c r="B17" t="str">
        <f>IF($A17="","",VLOOKUP($A17,JupData!$A$2:$I$10000,4,FALSE))</f>
        <v/>
      </c>
      <c r="C17" s="7">
        <f>IF($A17="",IF(N(D17),0,""),VLOOKUP($A17,JupData!$A$2:$I$10000,7,FALSE))</f>
        <v>0</v>
      </c>
      <c r="D17">
        <f t="shared" si="10"/>
        <v>15</v>
      </c>
      <c r="E17" t="str">
        <f t="array" ref="E17">IF($A17="","",INDEX(JupData!$A$2:$K$10000,MATCH($A17&amp;E$1,JupData!$A$2:$A$10000&amp;JupData!$J$2:$J$10000,0),11))</f>
        <v/>
      </c>
      <c r="F17" t="str">
        <f t="array" ref="F17">IF($A17="","",INDEX(JupData!$A$2:$K$10000,MATCH($A17&amp;F$1,JupData!$A$2:$A$10000&amp;JupData!$J$2:$J$10000,0),11))</f>
        <v/>
      </c>
      <c r="G17" t="str">
        <f t="array" ref="G17">IF($A17="","",INDEX(JupData!$A$2:$K$10000,MATCH($A17&amp;G$1,JupData!$A$2:$A$10000&amp;JupData!$J$2:$J$10000,0),11))</f>
        <v/>
      </c>
      <c r="H17" t="str">
        <f t="array" ref="H17">IF($A17="","",INDEX(JupData!$A$2:$K$10000,MATCH($A17&amp;H$1,JupData!$A$2:$A$10000&amp;JupData!$J$2:$J$10000,0),11))</f>
        <v/>
      </c>
      <c r="I17" t="str">
        <f t="array" ref="I17">IF($A17="","",INDEX(JupData!$A$2:$K$10000,MATCH($A17&amp;I$1,JupData!$A$2:$A$10000&amp;JupData!$J$2:$J$10000,0),11))</f>
        <v/>
      </c>
      <c r="J17" t="str">
        <f t="array" ref="J17">IF($A17="","",INDEX(JupData!$A$2:$K$10000,MATCH($A17&amp;J$1,JupData!$A$2:$A$10000&amp;JupData!$J$2:$J$10000,0),11))</f>
        <v/>
      </c>
      <c r="K17" t="str">
        <f t="array" ref="K17">IF($A17="","",INDEX(JupData!$A$2:$K$10000,MATCH($A17&amp;K$1,JupData!$A$2:$A$10000&amp;JupData!$J$2:$J$10000,0),11))</f>
        <v/>
      </c>
      <c r="L17" t="str">
        <f t="array" ref="L17">IF($A17="","",INDEX(JupData!$A$2:$K$10000,MATCH($A17&amp;L$1,JupData!$A$2:$A$10000&amp;JupData!$J$2:$J$10000,0),11))</f>
        <v/>
      </c>
      <c r="M17" t="str">
        <f t="array" ref="M17">IF($A17="","",INDEX(JupData!$A$2:$K$10000,MATCH($A17&amp;M$1,JupData!$A$2:$A$10000&amp;JupData!$J$2:$J$10000,0),11))</f>
        <v/>
      </c>
      <c r="N17" t="str">
        <f t="array" ref="N17">IF($A17="","",INDEX(JupData!$A$2:$K$10000,MATCH($A17&amp;N$1,JupData!$A$2:$A$10000&amp;JupData!$J$2:$J$10000,0),11))</f>
        <v/>
      </c>
      <c r="O17" t="str">
        <f t="array" ref="O17">IF($A17="","",INDEX(JupData!$A$2:$K$10000,MATCH($A17&amp;O$1,JupData!$A$2:$A$10000&amp;JupData!$J$2:$J$10000,0),11))</f>
        <v/>
      </c>
      <c r="P17" t="str">
        <f t="array" ref="P17">IF($A17="","",INDEX(JupData!$A$2:$K$10000,MATCH($A17&amp;P$1,JupData!$A$2:$A$10000&amp;JupData!$J$2:$J$10000,0),11))</f>
        <v/>
      </c>
      <c r="Q17" t="str">
        <f t="array" ref="Q17">IF($A17="","",INDEX(JupData!$A$2:$K$10000,MATCH($A17&amp;Q$1,JupData!$A$2:$A$10000&amp;JupData!$J$2:$J$10000,0),11))</f>
        <v/>
      </c>
      <c r="R17" t="str">
        <f t="array" ref="R17">IF($A17="","",INDEX(JupData!$A$2:$K$10000,MATCH($A17&amp;R$1,JupData!$A$2:$A$10000&amp;JupData!$J$2:$J$10000,0),11))</f>
        <v/>
      </c>
      <c r="S17" t="str">
        <f t="array" ref="S17">IF($A17="","",INDEX(JupData!$A$2:$K$10000,MATCH($A17&amp;S$1,JupData!$A$2:$A$10000&amp;JupData!$J$2:$J$10000,0),11))</f>
        <v/>
      </c>
      <c r="T17" t="str">
        <f t="array" ref="T17">IF($A17="","",INDEX(JupData!$A$2:$K$10000,MATCH($A17&amp;T$1,JupData!$A$2:$A$10000&amp;JupData!$J$2:$J$10000,0),11))</f>
        <v/>
      </c>
      <c r="U17" t="str">
        <f t="array" ref="U17">IF($A17="","",INDEX(JupData!$A$2:$K$10000,MATCH($A17&amp;U$1,JupData!$A$2:$A$10000&amp;JupData!$J$2:$J$10000,0),11))</f>
        <v/>
      </c>
      <c r="V17" t="str">
        <f t="array" ref="V17">IF($A17="","",INDEX(JupData!$A$2:$K$10000,MATCH($A17&amp;V$1,JupData!$A$2:$A$10000&amp;JupData!$J$2:$J$10000,0),11))</f>
        <v/>
      </c>
      <c r="W17" t="str">
        <f t="array" ref="W17">IF($A17="","",INDEX(JupData!$A$2:$K$10000,MATCH($A17&amp;W$1,JupData!$A$2:$A$10000&amp;JupData!$J$2:$J$10000,0),11))</f>
        <v/>
      </c>
      <c r="X17" t="str">
        <f t="array" ref="X17">IF($A17="","",INDEX(JupData!$A$2:$K$10000,MATCH($A17&amp;X$1,JupData!$A$2:$A$10000&amp;JupData!$J$2:$J$10000,0),11))</f>
        <v/>
      </c>
      <c r="Y17" t="str">
        <f t="array" ref="Y17">IF($A17="","",INDEX(JupData!$A$2:$K$10000,MATCH($A17&amp;Y$1,JupData!$A$2:$A$10000&amp;JupData!$J$2:$J$10000,0),11))</f>
        <v/>
      </c>
      <c r="Z17" t="str">
        <f t="array" ref="Z17">IF($A17="","",INDEX(JupData!$A$2:$K$10000,MATCH($A17&amp;Z$1,JupData!$A$2:$A$10000&amp;JupData!$J$2:$J$10000,0),11))</f>
        <v/>
      </c>
      <c r="AA17" t="str">
        <f t="array" ref="AA17">IF($A17="","",INDEX(JupData!$A$2:$K$10000,MATCH($A17&amp;AA$1,JupData!$A$2:$A$10000&amp;JupData!$J$2:$J$10000,0),11))</f>
        <v/>
      </c>
      <c r="AB17" t="str">
        <f t="array" ref="AB17">IF($A17="","",INDEX(JupData!$A$2:$K$10000,MATCH($A17&amp;AB$1,JupData!$A$2:$A$10000&amp;JupData!$J$2:$J$10000,0),11))</f>
        <v/>
      </c>
      <c r="AC17" s="10" t="str">
        <f t="shared" si="0"/>
        <v/>
      </c>
      <c r="AD17" s="10" t="str">
        <f t="shared" si="1"/>
        <v/>
      </c>
      <c r="AE17" s="9" t="str">
        <f t="shared" si="2"/>
        <v/>
      </c>
      <c r="AF17" s="10" t="str">
        <f t="shared" si="3"/>
        <v/>
      </c>
      <c r="AG17" s="10" t="str">
        <f t="shared" si="4"/>
        <v/>
      </c>
      <c r="AH17" s="10" t="str">
        <f t="shared" si="5"/>
        <v/>
      </c>
      <c r="AI17" s="10" t="str">
        <f t="shared" si="6"/>
        <v/>
      </c>
      <c r="AJ17" s="10" t="str">
        <f t="shared" si="7"/>
        <v/>
      </c>
      <c r="AK17" s="10" t="str">
        <f t="shared" si="8"/>
        <v/>
      </c>
      <c r="AL17" s="14" t="str">
        <f t="shared" si="9"/>
        <v/>
      </c>
    </row>
    <row r="18" spans="1:38" x14ac:dyDescent="0.2">
      <c r="A18"/>
      <c r="B18" t="str">
        <f>IF($A18="","",VLOOKUP($A18,JupData!$A$2:$I$10000,4,FALSE))</f>
        <v/>
      </c>
      <c r="C18" s="7">
        <f>IF($A18="",IF(N(D18),0,""),VLOOKUP($A18,JupData!$A$2:$I$10000,7,FALSE))</f>
        <v>0</v>
      </c>
      <c r="D18">
        <f t="shared" si="10"/>
        <v>16</v>
      </c>
      <c r="E18" t="str">
        <f t="array" ref="E18">IF($A18="","",INDEX(JupData!$A$2:$K$10000,MATCH($A18&amp;E$1,JupData!$A$2:$A$10000&amp;JupData!$J$2:$J$10000,0),11))</f>
        <v/>
      </c>
      <c r="F18" t="str">
        <f t="array" ref="F18">IF($A18="","",INDEX(JupData!$A$2:$K$10000,MATCH($A18&amp;F$1,JupData!$A$2:$A$10000&amp;JupData!$J$2:$J$10000,0),11))</f>
        <v/>
      </c>
      <c r="G18" t="str">
        <f t="array" ref="G18">IF($A18="","",INDEX(JupData!$A$2:$K$10000,MATCH($A18&amp;G$1,JupData!$A$2:$A$10000&amp;JupData!$J$2:$J$10000,0),11))</f>
        <v/>
      </c>
      <c r="H18" t="str">
        <f t="array" ref="H18">IF($A18="","",INDEX(JupData!$A$2:$K$10000,MATCH($A18&amp;H$1,JupData!$A$2:$A$10000&amp;JupData!$J$2:$J$10000,0),11))</f>
        <v/>
      </c>
      <c r="I18" t="str">
        <f t="array" ref="I18">IF($A18="","",INDEX(JupData!$A$2:$K$10000,MATCH($A18&amp;I$1,JupData!$A$2:$A$10000&amp;JupData!$J$2:$J$10000,0),11))</f>
        <v/>
      </c>
      <c r="J18" t="str">
        <f t="array" ref="J18">IF($A18="","",INDEX(JupData!$A$2:$K$10000,MATCH($A18&amp;J$1,JupData!$A$2:$A$10000&amp;JupData!$J$2:$J$10000,0),11))</f>
        <v/>
      </c>
      <c r="K18" t="str">
        <f t="array" ref="K18">IF($A18="","",INDEX(JupData!$A$2:$K$10000,MATCH($A18&amp;K$1,JupData!$A$2:$A$10000&amp;JupData!$J$2:$J$10000,0),11))</f>
        <v/>
      </c>
      <c r="L18" t="str">
        <f t="array" ref="L18">IF($A18="","",INDEX(JupData!$A$2:$K$10000,MATCH($A18&amp;L$1,JupData!$A$2:$A$10000&amp;JupData!$J$2:$J$10000,0),11))</f>
        <v/>
      </c>
      <c r="M18" t="str">
        <f t="array" ref="M18">IF($A18="","",INDEX(JupData!$A$2:$K$10000,MATCH($A18&amp;M$1,JupData!$A$2:$A$10000&amp;JupData!$J$2:$J$10000,0),11))</f>
        <v/>
      </c>
      <c r="N18" t="str">
        <f t="array" ref="N18">IF($A18="","",INDEX(JupData!$A$2:$K$10000,MATCH($A18&amp;N$1,JupData!$A$2:$A$10000&amp;JupData!$J$2:$J$10000,0),11))</f>
        <v/>
      </c>
      <c r="O18" t="str">
        <f t="array" ref="O18">IF($A18="","",INDEX(JupData!$A$2:$K$10000,MATCH($A18&amp;O$1,JupData!$A$2:$A$10000&amp;JupData!$J$2:$J$10000,0),11))</f>
        <v/>
      </c>
      <c r="P18" t="str">
        <f t="array" ref="P18">IF($A18="","",INDEX(JupData!$A$2:$K$10000,MATCH($A18&amp;P$1,JupData!$A$2:$A$10000&amp;JupData!$J$2:$J$10000,0),11))</f>
        <v/>
      </c>
      <c r="Q18" t="str">
        <f t="array" ref="Q18">IF($A18="","",INDEX(JupData!$A$2:$K$10000,MATCH($A18&amp;Q$1,JupData!$A$2:$A$10000&amp;JupData!$J$2:$J$10000,0),11))</f>
        <v/>
      </c>
      <c r="R18" t="str">
        <f t="array" ref="R18">IF($A18="","",INDEX(JupData!$A$2:$K$10000,MATCH($A18&amp;R$1,JupData!$A$2:$A$10000&amp;JupData!$J$2:$J$10000,0),11))</f>
        <v/>
      </c>
      <c r="S18" t="str">
        <f t="array" ref="S18">IF($A18="","",INDEX(JupData!$A$2:$K$10000,MATCH($A18&amp;S$1,JupData!$A$2:$A$10000&amp;JupData!$J$2:$J$10000,0),11))</f>
        <v/>
      </c>
      <c r="T18" t="str">
        <f t="array" ref="T18">IF($A18="","",INDEX(JupData!$A$2:$K$10000,MATCH($A18&amp;T$1,JupData!$A$2:$A$10000&amp;JupData!$J$2:$J$10000,0),11))</f>
        <v/>
      </c>
      <c r="U18" t="str">
        <f t="array" ref="U18">IF($A18="","",INDEX(JupData!$A$2:$K$10000,MATCH($A18&amp;U$1,JupData!$A$2:$A$10000&amp;JupData!$J$2:$J$10000,0),11))</f>
        <v/>
      </c>
      <c r="V18" t="str">
        <f t="array" ref="V18">IF($A18="","",INDEX(JupData!$A$2:$K$10000,MATCH($A18&amp;V$1,JupData!$A$2:$A$10000&amp;JupData!$J$2:$J$10000,0),11))</f>
        <v/>
      </c>
      <c r="W18" t="str">
        <f t="array" ref="W18">IF($A18="","",INDEX(JupData!$A$2:$K$10000,MATCH($A18&amp;W$1,JupData!$A$2:$A$10000&amp;JupData!$J$2:$J$10000,0),11))</f>
        <v/>
      </c>
      <c r="X18" t="str">
        <f t="array" ref="X18">IF($A18="","",INDEX(JupData!$A$2:$K$10000,MATCH($A18&amp;X$1,JupData!$A$2:$A$10000&amp;JupData!$J$2:$J$10000,0),11))</f>
        <v/>
      </c>
      <c r="Y18" t="str">
        <f t="array" ref="Y18">IF($A18="","",INDEX(JupData!$A$2:$K$10000,MATCH($A18&amp;Y$1,JupData!$A$2:$A$10000&amp;JupData!$J$2:$J$10000,0),11))</f>
        <v/>
      </c>
      <c r="Z18" t="str">
        <f t="array" ref="Z18">IF($A18="","",INDEX(JupData!$A$2:$K$10000,MATCH($A18&amp;Z$1,JupData!$A$2:$A$10000&amp;JupData!$J$2:$J$10000,0),11))</f>
        <v/>
      </c>
      <c r="AA18" t="str">
        <f t="array" ref="AA18">IF($A18="","",INDEX(JupData!$A$2:$K$10000,MATCH($A18&amp;AA$1,JupData!$A$2:$A$10000&amp;JupData!$J$2:$J$10000,0),11))</f>
        <v/>
      </c>
      <c r="AB18" t="str">
        <f t="array" ref="AB18">IF($A18="","",INDEX(JupData!$A$2:$K$10000,MATCH($A18&amp;AB$1,JupData!$A$2:$A$10000&amp;JupData!$J$2:$J$10000,0),11))</f>
        <v/>
      </c>
      <c r="AC18" s="10" t="str">
        <f t="shared" si="0"/>
        <v/>
      </c>
      <c r="AD18" s="10" t="str">
        <f t="shared" si="1"/>
        <v/>
      </c>
      <c r="AE18" s="9" t="str">
        <f t="shared" si="2"/>
        <v/>
      </c>
      <c r="AF18" s="10" t="str">
        <f t="shared" si="3"/>
        <v/>
      </c>
      <c r="AG18" s="10" t="str">
        <f t="shared" si="4"/>
        <v/>
      </c>
      <c r="AH18" s="10" t="str">
        <f t="shared" si="5"/>
        <v/>
      </c>
      <c r="AI18" s="10" t="str">
        <f t="shared" si="6"/>
        <v/>
      </c>
      <c r="AJ18" s="10" t="str">
        <f t="shared" si="7"/>
        <v/>
      </c>
      <c r="AK18" s="10" t="str">
        <f t="shared" si="8"/>
        <v/>
      </c>
      <c r="AL18" s="14" t="str">
        <f t="shared" si="9"/>
        <v/>
      </c>
    </row>
    <row r="19" spans="1:38" x14ac:dyDescent="0.2">
      <c r="A19"/>
      <c r="B19" t="str">
        <f>IF($A19="","",VLOOKUP($A19,JupData!$A$2:$I$10000,4,FALSE))</f>
        <v/>
      </c>
      <c r="C19" s="7">
        <f>IF($A19="",IF(N(D19),0,""),VLOOKUP($A19,JupData!$A$2:$I$10000,7,FALSE))</f>
        <v>0</v>
      </c>
      <c r="D19">
        <f t="shared" si="10"/>
        <v>17</v>
      </c>
      <c r="E19" t="str">
        <f t="array" ref="E19">IF($A19="","",INDEX(JupData!$A$2:$K$10000,MATCH($A19&amp;E$1,JupData!$A$2:$A$10000&amp;JupData!$J$2:$J$10000,0),11))</f>
        <v/>
      </c>
      <c r="F19" t="str">
        <f t="array" ref="F19">IF($A19="","",INDEX(JupData!$A$2:$K$10000,MATCH($A19&amp;F$1,JupData!$A$2:$A$10000&amp;JupData!$J$2:$J$10000,0),11))</f>
        <v/>
      </c>
      <c r="G19" t="str">
        <f t="array" ref="G19">IF($A19="","",INDEX(JupData!$A$2:$K$10000,MATCH($A19&amp;G$1,JupData!$A$2:$A$10000&amp;JupData!$J$2:$J$10000,0),11))</f>
        <v/>
      </c>
      <c r="H19" t="str">
        <f t="array" ref="H19">IF($A19="","",INDEX(JupData!$A$2:$K$10000,MATCH($A19&amp;H$1,JupData!$A$2:$A$10000&amp;JupData!$J$2:$J$10000,0),11))</f>
        <v/>
      </c>
      <c r="I19" t="str">
        <f t="array" ref="I19">IF($A19="","",INDEX(JupData!$A$2:$K$10000,MATCH($A19&amp;I$1,JupData!$A$2:$A$10000&amp;JupData!$J$2:$J$10000,0),11))</f>
        <v/>
      </c>
      <c r="J19" t="str">
        <f t="array" ref="J19">IF($A19="","",INDEX(JupData!$A$2:$K$10000,MATCH($A19&amp;J$1,JupData!$A$2:$A$10000&amp;JupData!$J$2:$J$10000,0),11))</f>
        <v/>
      </c>
      <c r="K19" t="str">
        <f t="array" ref="K19">IF($A19="","",INDEX(JupData!$A$2:$K$10000,MATCH($A19&amp;K$1,JupData!$A$2:$A$10000&amp;JupData!$J$2:$J$10000,0),11))</f>
        <v/>
      </c>
      <c r="L19" t="str">
        <f t="array" ref="L19">IF($A19="","",INDEX(JupData!$A$2:$K$10000,MATCH($A19&amp;L$1,JupData!$A$2:$A$10000&amp;JupData!$J$2:$J$10000,0),11))</f>
        <v/>
      </c>
      <c r="M19" t="str">
        <f t="array" ref="M19">IF($A19="","",INDEX(JupData!$A$2:$K$10000,MATCH($A19&amp;M$1,JupData!$A$2:$A$10000&amp;JupData!$J$2:$J$10000,0),11))</f>
        <v/>
      </c>
      <c r="N19" t="str">
        <f t="array" ref="N19">IF($A19="","",INDEX(JupData!$A$2:$K$10000,MATCH($A19&amp;N$1,JupData!$A$2:$A$10000&amp;JupData!$J$2:$J$10000,0),11))</f>
        <v/>
      </c>
      <c r="O19" t="str">
        <f t="array" ref="O19">IF($A19="","",INDEX(JupData!$A$2:$K$10000,MATCH($A19&amp;O$1,JupData!$A$2:$A$10000&amp;JupData!$J$2:$J$10000,0),11))</f>
        <v/>
      </c>
      <c r="P19" t="str">
        <f t="array" ref="P19">IF($A19="","",INDEX(JupData!$A$2:$K$10000,MATCH($A19&amp;P$1,JupData!$A$2:$A$10000&amp;JupData!$J$2:$J$10000,0),11))</f>
        <v/>
      </c>
      <c r="Q19" t="str">
        <f t="array" ref="Q19">IF($A19="","",INDEX(JupData!$A$2:$K$10000,MATCH($A19&amp;Q$1,JupData!$A$2:$A$10000&amp;JupData!$J$2:$J$10000,0),11))</f>
        <v/>
      </c>
      <c r="R19" t="str">
        <f t="array" ref="R19">IF($A19="","",INDEX(JupData!$A$2:$K$10000,MATCH($A19&amp;R$1,JupData!$A$2:$A$10000&amp;JupData!$J$2:$J$10000,0),11))</f>
        <v/>
      </c>
      <c r="S19" t="str">
        <f t="array" ref="S19">IF($A19="","",INDEX(JupData!$A$2:$K$10000,MATCH($A19&amp;S$1,JupData!$A$2:$A$10000&amp;JupData!$J$2:$J$10000,0),11))</f>
        <v/>
      </c>
      <c r="T19" t="str">
        <f t="array" ref="T19">IF($A19="","",INDEX(JupData!$A$2:$K$10000,MATCH($A19&amp;T$1,JupData!$A$2:$A$10000&amp;JupData!$J$2:$J$10000,0),11))</f>
        <v/>
      </c>
      <c r="U19" t="str">
        <f t="array" ref="U19">IF($A19="","",INDEX(JupData!$A$2:$K$10000,MATCH($A19&amp;U$1,JupData!$A$2:$A$10000&amp;JupData!$J$2:$J$10000,0),11))</f>
        <v/>
      </c>
      <c r="V19" t="str">
        <f t="array" ref="V19">IF($A19="","",INDEX(JupData!$A$2:$K$10000,MATCH($A19&amp;V$1,JupData!$A$2:$A$10000&amp;JupData!$J$2:$J$10000,0),11))</f>
        <v/>
      </c>
      <c r="W19" t="str">
        <f t="array" ref="W19">IF($A19="","",INDEX(JupData!$A$2:$K$10000,MATCH($A19&amp;W$1,JupData!$A$2:$A$10000&amp;JupData!$J$2:$J$10000,0),11))</f>
        <v/>
      </c>
      <c r="X19" t="str">
        <f t="array" ref="X19">IF($A19="","",INDEX(JupData!$A$2:$K$10000,MATCH($A19&amp;X$1,JupData!$A$2:$A$10000&amp;JupData!$J$2:$J$10000,0),11))</f>
        <v/>
      </c>
      <c r="Y19" t="str">
        <f t="array" ref="Y19">IF($A19="","",INDEX(JupData!$A$2:$K$10000,MATCH($A19&amp;Y$1,JupData!$A$2:$A$10000&amp;JupData!$J$2:$J$10000,0),11))</f>
        <v/>
      </c>
      <c r="Z19" t="str">
        <f t="array" ref="Z19">IF($A19="","",INDEX(JupData!$A$2:$K$10000,MATCH($A19&amp;Z$1,JupData!$A$2:$A$10000&amp;JupData!$J$2:$J$10000,0),11))</f>
        <v/>
      </c>
      <c r="AA19" t="str">
        <f t="array" ref="AA19">IF($A19="","",INDEX(JupData!$A$2:$K$10000,MATCH($A19&amp;AA$1,JupData!$A$2:$A$10000&amp;JupData!$J$2:$J$10000,0),11))</f>
        <v/>
      </c>
      <c r="AB19" t="str">
        <f t="array" ref="AB19">IF($A19="","",INDEX(JupData!$A$2:$K$10000,MATCH($A19&amp;AB$1,JupData!$A$2:$A$10000&amp;JupData!$J$2:$J$10000,0),11))</f>
        <v/>
      </c>
      <c r="AC19" s="10" t="str">
        <f t="shared" si="0"/>
        <v/>
      </c>
      <c r="AD19" s="10" t="str">
        <f t="shared" si="1"/>
        <v/>
      </c>
      <c r="AE19" s="9" t="str">
        <f t="shared" si="2"/>
        <v/>
      </c>
      <c r="AF19" s="10" t="str">
        <f t="shared" si="3"/>
        <v/>
      </c>
      <c r="AG19" s="10" t="str">
        <f t="shared" si="4"/>
        <v/>
      </c>
      <c r="AH19" s="10" t="str">
        <f t="shared" si="5"/>
        <v/>
      </c>
      <c r="AI19" s="10" t="str">
        <f t="shared" si="6"/>
        <v/>
      </c>
      <c r="AJ19" s="10" t="str">
        <f t="shared" si="7"/>
        <v/>
      </c>
      <c r="AK19" s="10" t="str">
        <f t="shared" si="8"/>
        <v/>
      </c>
      <c r="AL19" s="14" t="str">
        <f t="shared" si="9"/>
        <v/>
      </c>
    </row>
    <row r="20" spans="1:38" x14ac:dyDescent="0.2">
      <c r="A20"/>
      <c r="B20" t="str">
        <f>IF($A20="","",VLOOKUP($A20,JupData!$A$2:$I$10000,4,FALSE))</f>
        <v/>
      </c>
      <c r="C20" s="7">
        <f>IF($A20="",IF(N(D20),0,""),VLOOKUP($A20,JupData!$A$2:$I$10000,7,FALSE))</f>
        <v>0</v>
      </c>
      <c r="D20">
        <f t="shared" si="10"/>
        <v>18</v>
      </c>
      <c r="E20" t="str">
        <f t="array" ref="E20">IF($A20="","",INDEX(JupData!$A$2:$K$10000,MATCH($A20&amp;E$1,JupData!$A$2:$A$10000&amp;JupData!$J$2:$J$10000,0),11))</f>
        <v/>
      </c>
      <c r="F20" t="str">
        <f t="array" ref="F20">IF($A20="","",INDEX(JupData!$A$2:$K$10000,MATCH($A20&amp;F$1,JupData!$A$2:$A$10000&amp;JupData!$J$2:$J$10000,0),11))</f>
        <v/>
      </c>
      <c r="G20" t="str">
        <f t="array" ref="G20">IF($A20="","",INDEX(JupData!$A$2:$K$10000,MATCH($A20&amp;G$1,JupData!$A$2:$A$10000&amp;JupData!$J$2:$J$10000,0),11))</f>
        <v/>
      </c>
      <c r="H20" t="str">
        <f t="array" ref="H20">IF($A20="","",INDEX(JupData!$A$2:$K$10000,MATCH($A20&amp;H$1,JupData!$A$2:$A$10000&amp;JupData!$J$2:$J$10000,0),11))</f>
        <v/>
      </c>
      <c r="I20" t="str">
        <f t="array" ref="I20">IF($A20="","",INDEX(JupData!$A$2:$K$10000,MATCH($A20&amp;I$1,JupData!$A$2:$A$10000&amp;JupData!$J$2:$J$10000,0),11))</f>
        <v/>
      </c>
      <c r="J20" t="str">
        <f t="array" ref="J20">IF($A20="","",INDEX(JupData!$A$2:$K$10000,MATCH($A20&amp;J$1,JupData!$A$2:$A$10000&amp;JupData!$J$2:$J$10000,0),11))</f>
        <v/>
      </c>
      <c r="K20" t="str">
        <f t="array" ref="K20">IF($A20="","",INDEX(JupData!$A$2:$K$10000,MATCH($A20&amp;K$1,JupData!$A$2:$A$10000&amp;JupData!$J$2:$J$10000,0),11))</f>
        <v/>
      </c>
      <c r="L20" t="str">
        <f t="array" ref="L20">IF($A20="","",INDEX(JupData!$A$2:$K$10000,MATCH($A20&amp;L$1,JupData!$A$2:$A$10000&amp;JupData!$J$2:$J$10000,0),11))</f>
        <v/>
      </c>
      <c r="M20" t="str">
        <f t="array" ref="M20">IF($A20="","",INDEX(JupData!$A$2:$K$10000,MATCH($A20&amp;M$1,JupData!$A$2:$A$10000&amp;JupData!$J$2:$J$10000,0),11))</f>
        <v/>
      </c>
      <c r="N20" t="str">
        <f t="array" ref="N20">IF($A20="","",INDEX(JupData!$A$2:$K$10000,MATCH($A20&amp;N$1,JupData!$A$2:$A$10000&amp;JupData!$J$2:$J$10000,0),11))</f>
        <v/>
      </c>
      <c r="O20" t="str">
        <f t="array" ref="O20">IF($A20="","",INDEX(JupData!$A$2:$K$10000,MATCH($A20&amp;O$1,JupData!$A$2:$A$10000&amp;JupData!$J$2:$J$10000,0),11))</f>
        <v/>
      </c>
      <c r="P20" t="str">
        <f t="array" ref="P20">IF($A20="","",INDEX(JupData!$A$2:$K$10000,MATCH($A20&amp;P$1,JupData!$A$2:$A$10000&amp;JupData!$J$2:$J$10000,0),11))</f>
        <v/>
      </c>
      <c r="Q20" t="str">
        <f t="array" ref="Q20">IF($A20="","",INDEX(JupData!$A$2:$K$10000,MATCH($A20&amp;Q$1,JupData!$A$2:$A$10000&amp;JupData!$J$2:$J$10000,0),11))</f>
        <v/>
      </c>
      <c r="R20" t="str">
        <f t="array" ref="R20">IF($A20="","",INDEX(JupData!$A$2:$K$10000,MATCH($A20&amp;R$1,JupData!$A$2:$A$10000&amp;JupData!$J$2:$J$10000,0),11))</f>
        <v/>
      </c>
      <c r="S20" t="str">
        <f t="array" ref="S20">IF($A20="","",INDEX(JupData!$A$2:$K$10000,MATCH($A20&amp;S$1,JupData!$A$2:$A$10000&amp;JupData!$J$2:$J$10000,0),11))</f>
        <v/>
      </c>
      <c r="T20" t="str">
        <f t="array" ref="T20">IF($A20="","",INDEX(JupData!$A$2:$K$10000,MATCH($A20&amp;T$1,JupData!$A$2:$A$10000&amp;JupData!$J$2:$J$10000,0),11))</f>
        <v/>
      </c>
      <c r="U20" t="str">
        <f t="array" ref="U20">IF($A20="","",INDEX(JupData!$A$2:$K$10000,MATCH($A20&amp;U$1,JupData!$A$2:$A$10000&amp;JupData!$J$2:$J$10000,0),11))</f>
        <v/>
      </c>
      <c r="V20" t="str">
        <f t="array" ref="V20">IF($A20="","",INDEX(JupData!$A$2:$K$10000,MATCH($A20&amp;V$1,JupData!$A$2:$A$10000&amp;JupData!$J$2:$J$10000,0),11))</f>
        <v/>
      </c>
      <c r="W20" t="str">
        <f t="array" ref="W20">IF($A20="","",INDEX(JupData!$A$2:$K$10000,MATCH($A20&amp;W$1,JupData!$A$2:$A$10000&amp;JupData!$J$2:$J$10000,0),11))</f>
        <v/>
      </c>
      <c r="X20" t="str">
        <f t="array" ref="X20">IF($A20="","",INDEX(JupData!$A$2:$K$10000,MATCH($A20&amp;X$1,JupData!$A$2:$A$10000&amp;JupData!$J$2:$J$10000,0),11))</f>
        <v/>
      </c>
      <c r="Y20" t="str">
        <f t="array" ref="Y20">IF($A20="","",INDEX(JupData!$A$2:$K$10000,MATCH($A20&amp;Y$1,JupData!$A$2:$A$10000&amp;JupData!$J$2:$J$10000,0),11))</f>
        <v/>
      </c>
      <c r="Z20" t="str">
        <f t="array" ref="Z20">IF($A20="","",INDEX(JupData!$A$2:$K$10000,MATCH($A20&amp;Z$1,JupData!$A$2:$A$10000&amp;JupData!$J$2:$J$10000,0),11))</f>
        <v/>
      </c>
      <c r="AA20" t="str">
        <f t="array" ref="AA20">IF($A20="","",INDEX(JupData!$A$2:$K$10000,MATCH($A20&amp;AA$1,JupData!$A$2:$A$10000&amp;JupData!$J$2:$J$10000,0),11))</f>
        <v/>
      </c>
      <c r="AB20" t="str">
        <f t="array" ref="AB20">IF($A20="","",INDEX(JupData!$A$2:$K$10000,MATCH($A20&amp;AB$1,JupData!$A$2:$A$10000&amp;JupData!$J$2:$J$10000,0),11))</f>
        <v/>
      </c>
      <c r="AC20" s="10" t="str">
        <f t="shared" si="0"/>
        <v/>
      </c>
      <c r="AD20" s="10" t="str">
        <f t="shared" si="1"/>
        <v/>
      </c>
      <c r="AE20" s="9" t="str">
        <f t="shared" si="2"/>
        <v/>
      </c>
      <c r="AF20" s="10" t="str">
        <f t="shared" si="3"/>
        <v/>
      </c>
      <c r="AG20" s="10" t="str">
        <f t="shared" si="4"/>
        <v/>
      </c>
      <c r="AH20" s="10" t="str">
        <f t="shared" si="5"/>
        <v/>
      </c>
      <c r="AI20" s="10" t="str">
        <f t="shared" si="6"/>
        <v/>
      </c>
      <c r="AJ20" s="10" t="str">
        <f t="shared" si="7"/>
        <v/>
      </c>
      <c r="AK20" s="10" t="str">
        <f t="shared" si="8"/>
        <v/>
      </c>
      <c r="AL20" s="14" t="str">
        <f t="shared" si="9"/>
        <v/>
      </c>
    </row>
    <row r="21" spans="1:38" x14ac:dyDescent="0.2">
      <c r="A21"/>
      <c r="B21" t="str">
        <f>IF($A21="","",VLOOKUP($A21,JupData!$A$2:$I$10000,4,FALSE))</f>
        <v/>
      </c>
      <c r="C21" s="7">
        <f>IF($A21="",IF(N(D21),0,""),VLOOKUP($A21,JupData!$A$2:$I$10000,7,FALSE))</f>
        <v>0</v>
      </c>
      <c r="D21">
        <f t="shared" si="10"/>
        <v>19</v>
      </c>
      <c r="E21" t="str">
        <f t="array" ref="E21">IF($A21="","",INDEX(JupData!$A$2:$K$10000,MATCH($A21&amp;E$1,JupData!$A$2:$A$10000&amp;JupData!$J$2:$J$10000,0),11))</f>
        <v/>
      </c>
      <c r="F21" t="str">
        <f t="array" ref="F21">IF($A21="","",INDEX(JupData!$A$2:$K$10000,MATCH($A21&amp;F$1,JupData!$A$2:$A$10000&amp;JupData!$J$2:$J$10000,0),11))</f>
        <v/>
      </c>
      <c r="G21" t="str">
        <f t="array" ref="G21">IF($A21="","",INDEX(JupData!$A$2:$K$10000,MATCH($A21&amp;G$1,JupData!$A$2:$A$10000&amp;JupData!$J$2:$J$10000,0),11))</f>
        <v/>
      </c>
      <c r="H21" t="str">
        <f t="array" ref="H21">IF($A21="","",INDEX(JupData!$A$2:$K$10000,MATCH($A21&amp;H$1,JupData!$A$2:$A$10000&amp;JupData!$J$2:$J$10000,0),11))</f>
        <v/>
      </c>
      <c r="I21" t="str">
        <f t="array" ref="I21">IF($A21="","",INDEX(JupData!$A$2:$K$10000,MATCH($A21&amp;I$1,JupData!$A$2:$A$10000&amp;JupData!$J$2:$J$10000,0),11))</f>
        <v/>
      </c>
      <c r="J21" t="str">
        <f t="array" ref="J21">IF($A21="","",INDEX(JupData!$A$2:$K$10000,MATCH($A21&amp;J$1,JupData!$A$2:$A$10000&amp;JupData!$J$2:$J$10000,0),11))</f>
        <v/>
      </c>
      <c r="K21" t="str">
        <f t="array" ref="K21">IF($A21="","",INDEX(JupData!$A$2:$K$10000,MATCH($A21&amp;K$1,JupData!$A$2:$A$10000&amp;JupData!$J$2:$J$10000,0),11))</f>
        <v/>
      </c>
      <c r="L21" t="str">
        <f t="array" ref="L21">IF($A21="","",INDEX(JupData!$A$2:$K$10000,MATCH($A21&amp;L$1,JupData!$A$2:$A$10000&amp;JupData!$J$2:$J$10000,0),11))</f>
        <v/>
      </c>
      <c r="M21" t="str">
        <f t="array" ref="M21">IF($A21="","",INDEX(JupData!$A$2:$K$10000,MATCH($A21&amp;M$1,JupData!$A$2:$A$10000&amp;JupData!$J$2:$J$10000,0),11))</f>
        <v/>
      </c>
      <c r="N21" t="str">
        <f t="array" ref="N21">IF($A21="","",INDEX(JupData!$A$2:$K$10000,MATCH($A21&amp;N$1,JupData!$A$2:$A$10000&amp;JupData!$J$2:$J$10000,0),11))</f>
        <v/>
      </c>
      <c r="O21" t="str">
        <f t="array" ref="O21">IF($A21="","",INDEX(JupData!$A$2:$K$10000,MATCH($A21&amp;O$1,JupData!$A$2:$A$10000&amp;JupData!$J$2:$J$10000,0),11))</f>
        <v/>
      </c>
      <c r="P21" t="str">
        <f t="array" ref="P21">IF($A21="","",INDEX(JupData!$A$2:$K$10000,MATCH($A21&amp;P$1,JupData!$A$2:$A$10000&amp;JupData!$J$2:$J$10000,0),11))</f>
        <v/>
      </c>
      <c r="Q21" t="str">
        <f t="array" ref="Q21">IF($A21="","",INDEX(JupData!$A$2:$K$10000,MATCH($A21&amp;Q$1,JupData!$A$2:$A$10000&amp;JupData!$J$2:$J$10000,0),11))</f>
        <v/>
      </c>
      <c r="R21" t="str">
        <f t="array" ref="R21">IF($A21="","",INDEX(JupData!$A$2:$K$10000,MATCH($A21&amp;R$1,JupData!$A$2:$A$10000&amp;JupData!$J$2:$J$10000,0),11))</f>
        <v/>
      </c>
      <c r="S21" t="str">
        <f t="array" ref="S21">IF($A21="","",INDEX(JupData!$A$2:$K$10000,MATCH($A21&amp;S$1,JupData!$A$2:$A$10000&amp;JupData!$J$2:$J$10000,0),11))</f>
        <v/>
      </c>
      <c r="T21" t="str">
        <f t="array" ref="T21">IF($A21="","",INDEX(JupData!$A$2:$K$10000,MATCH($A21&amp;T$1,JupData!$A$2:$A$10000&amp;JupData!$J$2:$J$10000,0),11))</f>
        <v/>
      </c>
      <c r="U21" t="str">
        <f t="array" ref="U21">IF($A21="","",INDEX(JupData!$A$2:$K$10000,MATCH($A21&amp;U$1,JupData!$A$2:$A$10000&amp;JupData!$J$2:$J$10000,0),11))</f>
        <v/>
      </c>
      <c r="V21" t="str">
        <f t="array" ref="V21">IF($A21="","",INDEX(JupData!$A$2:$K$10000,MATCH($A21&amp;V$1,JupData!$A$2:$A$10000&amp;JupData!$J$2:$J$10000,0),11))</f>
        <v/>
      </c>
      <c r="W21" t="str">
        <f t="array" ref="W21">IF($A21="","",INDEX(JupData!$A$2:$K$10000,MATCH($A21&amp;W$1,JupData!$A$2:$A$10000&amp;JupData!$J$2:$J$10000,0),11))</f>
        <v/>
      </c>
      <c r="X21" t="str">
        <f t="array" ref="X21">IF($A21="","",INDEX(JupData!$A$2:$K$10000,MATCH($A21&amp;X$1,JupData!$A$2:$A$10000&amp;JupData!$J$2:$J$10000,0),11))</f>
        <v/>
      </c>
      <c r="Y21" t="str">
        <f t="array" ref="Y21">IF($A21="","",INDEX(JupData!$A$2:$K$10000,MATCH($A21&amp;Y$1,JupData!$A$2:$A$10000&amp;JupData!$J$2:$J$10000,0),11))</f>
        <v/>
      </c>
      <c r="Z21" t="str">
        <f t="array" ref="Z21">IF($A21="","",INDEX(JupData!$A$2:$K$10000,MATCH($A21&amp;Z$1,JupData!$A$2:$A$10000&amp;JupData!$J$2:$J$10000,0),11))</f>
        <v/>
      </c>
      <c r="AA21" t="str">
        <f t="array" ref="AA21">IF($A21="","",INDEX(JupData!$A$2:$K$10000,MATCH($A21&amp;AA$1,JupData!$A$2:$A$10000&amp;JupData!$J$2:$J$10000,0),11))</f>
        <v/>
      </c>
      <c r="AB21" t="str">
        <f t="array" ref="AB21">IF($A21="","",INDEX(JupData!$A$2:$K$10000,MATCH($A21&amp;AB$1,JupData!$A$2:$A$10000&amp;JupData!$J$2:$J$10000,0),11))</f>
        <v/>
      </c>
      <c r="AC21" s="10" t="str">
        <f t="shared" si="0"/>
        <v/>
      </c>
      <c r="AD21" s="10" t="str">
        <f t="shared" si="1"/>
        <v/>
      </c>
      <c r="AE21" s="9" t="str">
        <f t="shared" si="2"/>
        <v/>
      </c>
      <c r="AF21" s="10" t="str">
        <f t="shared" si="3"/>
        <v/>
      </c>
      <c r="AG21" s="10" t="str">
        <f t="shared" si="4"/>
        <v/>
      </c>
      <c r="AH21" s="10" t="str">
        <f t="shared" si="5"/>
        <v/>
      </c>
      <c r="AI21" s="10" t="str">
        <f t="shared" si="6"/>
        <v/>
      </c>
      <c r="AJ21" s="10" t="str">
        <f t="shared" si="7"/>
        <v/>
      </c>
      <c r="AK21" s="10" t="str">
        <f t="shared" si="8"/>
        <v/>
      </c>
      <c r="AL21" s="14" t="str">
        <f t="shared" si="9"/>
        <v/>
      </c>
    </row>
    <row r="22" spans="1:38" x14ac:dyDescent="0.2">
      <c r="A22"/>
      <c r="B22" t="str">
        <f>IF($A22="","",VLOOKUP($A22,JupData!$A$2:$I$10000,4,FALSE))</f>
        <v/>
      </c>
      <c r="C22" s="7">
        <f>IF($A22="",IF(N(D22),0,""),VLOOKUP($A22,JupData!$A$2:$I$10000,7,FALSE))</f>
        <v>0</v>
      </c>
      <c r="D22">
        <f t="shared" si="10"/>
        <v>20</v>
      </c>
      <c r="E22" t="str">
        <f t="array" ref="E22">IF($A22="","",INDEX(JupData!$A$2:$K$10000,MATCH($A22&amp;E$1,JupData!$A$2:$A$10000&amp;JupData!$J$2:$J$10000,0),11))</f>
        <v/>
      </c>
      <c r="F22" t="str">
        <f t="array" ref="F22">IF($A22="","",INDEX(JupData!$A$2:$K$10000,MATCH($A22&amp;F$1,JupData!$A$2:$A$10000&amp;JupData!$J$2:$J$10000,0),11))</f>
        <v/>
      </c>
      <c r="G22" t="str">
        <f t="array" ref="G22">IF($A22="","",INDEX(JupData!$A$2:$K$10000,MATCH($A22&amp;G$1,JupData!$A$2:$A$10000&amp;JupData!$J$2:$J$10000,0),11))</f>
        <v/>
      </c>
      <c r="H22" t="str">
        <f t="array" ref="H22">IF($A22="","",INDEX(JupData!$A$2:$K$10000,MATCH($A22&amp;H$1,JupData!$A$2:$A$10000&amp;JupData!$J$2:$J$10000,0),11))</f>
        <v/>
      </c>
      <c r="I22" t="str">
        <f t="array" ref="I22">IF($A22="","",INDEX(JupData!$A$2:$K$10000,MATCH($A22&amp;I$1,JupData!$A$2:$A$10000&amp;JupData!$J$2:$J$10000,0),11))</f>
        <v/>
      </c>
      <c r="J22" t="str">
        <f t="array" ref="J22">IF($A22="","",INDEX(JupData!$A$2:$K$10000,MATCH($A22&amp;J$1,JupData!$A$2:$A$10000&amp;JupData!$J$2:$J$10000,0),11))</f>
        <v/>
      </c>
      <c r="K22" t="str">
        <f t="array" ref="K22">IF($A22="","",INDEX(JupData!$A$2:$K$10000,MATCH($A22&amp;K$1,JupData!$A$2:$A$10000&amp;JupData!$J$2:$J$10000,0),11))</f>
        <v/>
      </c>
      <c r="L22" t="str">
        <f t="array" ref="L22">IF($A22="","",INDEX(JupData!$A$2:$K$10000,MATCH($A22&amp;L$1,JupData!$A$2:$A$10000&amp;JupData!$J$2:$J$10000,0),11))</f>
        <v/>
      </c>
      <c r="M22" t="str">
        <f t="array" ref="M22">IF($A22="","",INDEX(JupData!$A$2:$K$10000,MATCH($A22&amp;M$1,JupData!$A$2:$A$10000&amp;JupData!$J$2:$J$10000,0),11))</f>
        <v/>
      </c>
      <c r="N22" t="str">
        <f t="array" ref="N22">IF($A22="","",INDEX(JupData!$A$2:$K$10000,MATCH($A22&amp;N$1,JupData!$A$2:$A$10000&amp;JupData!$J$2:$J$10000,0),11))</f>
        <v/>
      </c>
      <c r="O22" t="str">
        <f t="array" ref="O22">IF($A22="","",INDEX(JupData!$A$2:$K$10000,MATCH($A22&amp;O$1,JupData!$A$2:$A$10000&amp;JupData!$J$2:$J$10000,0),11))</f>
        <v/>
      </c>
      <c r="P22" t="str">
        <f t="array" ref="P22">IF($A22="","",INDEX(JupData!$A$2:$K$10000,MATCH($A22&amp;P$1,JupData!$A$2:$A$10000&amp;JupData!$J$2:$J$10000,0),11))</f>
        <v/>
      </c>
      <c r="Q22" t="str">
        <f t="array" ref="Q22">IF($A22="","",INDEX(JupData!$A$2:$K$10000,MATCH($A22&amp;Q$1,JupData!$A$2:$A$10000&amp;JupData!$J$2:$J$10000,0),11))</f>
        <v/>
      </c>
      <c r="R22" t="str">
        <f t="array" ref="R22">IF($A22="","",INDEX(JupData!$A$2:$K$10000,MATCH($A22&amp;R$1,JupData!$A$2:$A$10000&amp;JupData!$J$2:$J$10000,0),11))</f>
        <v/>
      </c>
      <c r="S22" t="str">
        <f t="array" ref="S22">IF($A22="","",INDEX(JupData!$A$2:$K$10000,MATCH($A22&amp;S$1,JupData!$A$2:$A$10000&amp;JupData!$J$2:$J$10000,0),11))</f>
        <v/>
      </c>
      <c r="T22" t="str">
        <f t="array" ref="T22">IF($A22="","",INDEX(JupData!$A$2:$K$10000,MATCH($A22&amp;T$1,JupData!$A$2:$A$10000&amp;JupData!$J$2:$J$10000,0),11))</f>
        <v/>
      </c>
      <c r="U22" t="str">
        <f t="array" ref="U22">IF($A22="","",INDEX(JupData!$A$2:$K$10000,MATCH($A22&amp;U$1,JupData!$A$2:$A$10000&amp;JupData!$J$2:$J$10000,0),11))</f>
        <v/>
      </c>
      <c r="V22" t="str">
        <f t="array" ref="V22">IF($A22="","",INDEX(JupData!$A$2:$K$10000,MATCH($A22&amp;V$1,JupData!$A$2:$A$10000&amp;JupData!$J$2:$J$10000,0),11))</f>
        <v/>
      </c>
      <c r="W22" t="str">
        <f t="array" ref="W22">IF($A22="","",INDEX(JupData!$A$2:$K$10000,MATCH($A22&amp;W$1,JupData!$A$2:$A$10000&amp;JupData!$J$2:$J$10000,0),11))</f>
        <v/>
      </c>
      <c r="X22" t="str">
        <f t="array" ref="X22">IF($A22="","",INDEX(JupData!$A$2:$K$10000,MATCH($A22&amp;X$1,JupData!$A$2:$A$10000&amp;JupData!$J$2:$J$10000,0),11))</f>
        <v/>
      </c>
      <c r="Y22" t="str">
        <f t="array" ref="Y22">IF($A22="","",INDEX(JupData!$A$2:$K$10000,MATCH($A22&amp;Y$1,JupData!$A$2:$A$10000&amp;JupData!$J$2:$J$10000,0),11))</f>
        <v/>
      </c>
      <c r="Z22" t="str">
        <f t="array" ref="Z22">IF($A22="","",INDEX(JupData!$A$2:$K$10000,MATCH($A22&amp;Z$1,JupData!$A$2:$A$10000&amp;JupData!$J$2:$J$10000,0),11))</f>
        <v/>
      </c>
      <c r="AA22" t="str">
        <f t="array" ref="AA22">IF($A22="","",INDEX(JupData!$A$2:$K$10000,MATCH($A22&amp;AA$1,JupData!$A$2:$A$10000&amp;JupData!$J$2:$J$10000,0),11))</f>
        <v/>
      </c>
      <c r="AB22" t="str">
        <f t="array" ref="AB22">IF($A22="","",INDEX(JupData!$A$2:$K$10000,MATCH($A22&amp;AB$1,JupData!$A$2:$A$10000&amp;JupData!$J$2:$J$10000,0),11))</f>
        <v/>
      </c>
      <c r="AC22" s="10" t="str">
        <f t="shared" si="0"/>
        <v/>
      </c>
      <c r="AD22" s="10" t="str">
        <f t="shared" si="1"/>
        <v/>
      </c>
      <c r="AE22" s="9" t="str">
        <f t="shared" si="2"/>
        <v/>
      </c>
      <c r="AF22" s="10" t="str">
        <f t="shared" si="3"/>
        <v/>
      </c>
      <c r="AG22" s="10" t="str">
        <f t="shared" si="4"/>
        <v/>
      </c>
      <c r="AH22" s="10" t="str">
        <f t="shared" si="5"/>
        <v/>
      </c>
      <c r="AI22" s="10" t="str">
        <f t="shared" si="6"/>
        <v/>
      </c>
      <c r="AJ22" s="10" t="str">
        <f t="shared" si="7"/>
        <v/>
      </c>
      <c r="AK22" s="10" t="str">
        <f t="shared" si="8"/>
        <v/>
      </c>
      <c r="AL22" s="14" t="str">
        <f t="shared" si="9"/>
        <v/>
      </c>
    </row>
    <row r="23" spans="1:38" x14ac:dyDescent="0.2">
      <c r="A23"/>
      <c r="B23" t="str">
        <f>IF($A23="","",VLOOKUP($A23,JupData!$A$2:$I$10000,4,FALSE))</f>
        <v/>
      </c>
      <c r="C23" s="7" t="str">
        <f>IF($A23="",IF(N(D23),0,""),VLOOKUP($A23,JupData!$A$2:$I$10000,7,FALSE))</f>
        <v/>
      </c>
      <c r="D23" t="str">
        <f t="shared" si="10"/>
        <v/>
      </c>
      <c r="E23" t="str">
        <f t="array" ref="E23">IF($A23="","",INDEX(JupData!$A$2:$K$10000,MATCH($A23&amp;E$1,JupData!$A$2:$A$10000&amp;JupData!$J$2:$J$10000,0),11))</f>
        <v/>
      </c>
      <c r="F23" t="str">
        <f t="array" ref="F23">IF($A23="","",INDEX(JupData!$A$2:$K$10000,MATCH($A23&amp;F$1,JupData!$A$2:$A$10000&amp;JupData!$J$2:$J$10000,0),11))</f>
        <v/>
      </c>
      <c r="G23" t="str">
        <f t="array" ref="G23">IF($A23="","",INDEX(JupData!$A$2:$K$10000,MATCH($A23&amp;G$1,JupData!$A$2:$A$10000&amp;JupData!$J$2:$J$10000,0),11))</f>
        <v/>
      </c>
      <c r="H23" t="str">
        <f t="array" ref="H23">IF($A23="","",INDEX(JupData!$A$2:$K$10000,MATCH($A23&amp;H$1,JupData!$A$2:$A$10000&amp;JupData!$J$2:$J$10000,0),11))</f>
        <v/>
      </c>
      <c r="I23" t="str">
        <f t="array" ref="I23">IF($A23="","",INDEX(JupData!$A$2:$K$10000,MATCH($A23&amp;I$1,JupData!$A$2:$A$10000&amp;JupData!$J$2:$J$10000,0),11))</f>
        <v/>
      </c>
      <c r="J23" t="str">
        <f t="array" ref="J23">IF($A23="","",INDEX(JupData!$A$2:$K$10000,MATCH($A23&amp;J$1,JupData!$A$2:$A$10000&amp;JupData!$J$2:$J$10000,0),11))</f>
        <v/>
      </c>
      <c r="K23" t="str">
        <f t="array" ref="K23">IF($A23="","",INDEX(JupData!$A$2:$K$10000,MATCH($A23&amp;K$1,JupData!$A$2:$A$10000&amp;JupData!$J$2:$J$10000,0),11))</f>
        <v/>
      </c>
      <c r="L23" t="str">
        <f t="array" ref="L23">IF($A23="","",INDEX(JupData!$A$2:$K$10000,MATCH($A23&amp;L$1,JupData!$A$2:$A$10000&amp;JupData!$J$2:$J$10000,0),11))</f>
        <v/>
      </c>
      <c r="M23" t="str">
        <f t="array" ref="M23">IF($A23="","",INDEX(JupData!$A$2:$K$10000,MATCH($A23&amp;M$1,JupData!$A$2:$A$10000&amp;JupData!$J$2:$J$10000,0),11))</f>
        <v/>
      </c>
      <c r="N23" t="str">
        <f t="array" ref="N23">IF($A23="","",INDEX(JupData!$A$2:$K$10000,MATCH($A23&amp;N$1,JupData!$A$2:$A$10000&amp;JupData!$J$2:$J$10000,0),11))</f>
        <v/>
      </c>
      <c r="O23" t="str">
        <f t="array" ref="O23">IF($A23="","",INDEX(JupData!$A$2:$K$10000,MATCH($A23&amp;O$1,JupData!$A$2:$A$10000&amp;JupData!$J$2:$J$10000,0),11))</f>
        <v/>
      </c>
      <c r="P23" t="str">
        <f t="array" ref="P23">IF($A23="","",INDEX(JupData!$A$2:$K$10000,MATCH($A23&amp;P$1,JupData!$A$2:$A$10000&amp;JupData!$J$2:$J$10000,0),11))</f>
        <v/>
      </c>
      <c r="Q23" t="str">
        <f t="array" ref="Q23">IF($A23="","",INDEX(JupData!$A$2:$K$10000,MATCH($A23&amp;Q$1,JupData!$A$2:$A$10000&amp;JupData!$J$2:$J$10000,0),11))</f>
        <v/>
      </c>
      <c r="R23" t="str">
        <f t="array" ref="R23">IF($A23="","",INDEX(JupData!$A$2:$K$10000,MATCH($A23&amp;R$1,JupData!$A$2:$A$10000&amp;JupData!$J$2:$J$10000,0),11))</f>
        <v/>
      </c>
      <c r="S23" t="str">
        <f t="array" ref="S23">IF($A23="","",INDEX(JupData!$A$2:$K$10000,MATCH($A23&amp;S$1,JupData!$A$2:$A$10000&amp;JupData!$J$2:$J$10000,0),11))</f>
        <v/>
      </c>
      <c r="T23" t="str">
        <f t="array" ref="T23">IF($A23="","",INDEX(JupData!$A$2:$K$10000,MATCH($A23&amp;T$1,JupData!$A$2:$A$10000&amp;JupData!$J$2:$J$10000,0),11))</f>
        <v/>
      </c>
      <c r="U23" t="str">
        <f t="array" ref="U23">IF($A23="","",INDEX(JupData!$A$2:$K$10000,MATCH($A23&amp;U$1,JupData!$A$2:$A$10000&amp;JupData!$J$2:$J$10000,0),11))</f>
        <v/>
      </c>
      <c r="V23" t="str">
        <f t="array" ref="V23">IF($A23="","",INDEX(JupData!$A$2:$K$10000,MATCH($A23&amp;V$1,JupData!$A$2:$A$10000&amp;JupData!$J$2:$J$10000,0),11))</f>
        <v/>
      </c>
      <c r="W23" t="str">
        <f t="array" ref="W23">IF($A23="","",INDEX(JupData!$A$2:$K$10000,MATCH($A23&amp;W$1,JupData!$A$2:$A$10000&amp;JupData!$J$2:$J$10000,0),11))</f>
        <v/>
      </c>
      <c r="X23" t="str">
        <f t="array" ref="X23">IF($A23="","",INDEX(JupData!$A$2:$K$10000,MATCH($A23&amp;X$1,JupData!$A$2:$A$10000&amp;JupData!$J$2:$J$10000,0),11))</f>
        <v/>
      </c>
      <c r="Y23" t="str">
        <f t="array" ref="Y23">IF($A23="","",INDEX(JupData!$A$2:$K$10000,MATCH($A23&amp;Y$1,JupData!$A$2:$A$10000&amp;JupData!$J$2:$J$10000,0),11))</f>
        <v/>
      </c>
      <c r="Z23" t="str">
        <f t="array" ref="Z23">IF($A23="","",INDEX(JupData!$A$2:$K$10000,MATCH($A23&amp;Z$1,JupData!$A$2:$A$10000&amp;JupData!$J$2:$J$10000,0),11))</f>
        <v/>
      </c>
      <c r="AA23" t="str">
        <f t="array" ref="AA23">IF($A23="","",INDEX(JupData!$A$2:$K$10000,MATCH($A23&amp;AA$1,JupData!$A$2:$A$10000&amp;JupData!$J$2:$J$10000,0),11))</f>
        <v/>
      </c>
      <c r="AB23" t="str">
        <f t="array" ref="AB23">IF($A23="","",INDEX(JupData!$A$2:$K$10000,MATCH($A23&amp;AB$1,JupData!$A$2:$A$10000&amp;JupData!$J$2:$J$10000,0),11))</f>
        <v/>
      </c>
      <c r="AC23" s="10" t="str">
        <f t="shared" si="0"/>
        <v/>
      </c>
      <c r="AD23" s="10" t="str">
        <f t="shared" si="1"/>
        <v/>
      </c>
      <c r="AE23" s="9" t="str">
        <f t="shared" si="2"/>
        <v/>
      </c>
      <c r="AF23" s="10" t="str">
        <f t="shared" si="3"/>
        <v/>
      </c>
      <c r="AG23" s="10" t="str">
        <f t="shared" si="4"/>
        <v/>
      </c>
      <c r="AH23" s="10" t="str">
        <f t="shared" si="5"/>
        <v/>
      </c>
      <c r="AI23" s="10" t="str">
        <f t="shared" si="6"/>
        <v/>
      </c>
      <c r="AJ23" s="10" t="str">
        <f t="shared" si="7"/>
        <v/>
      </c>
      <c r="AK23" s="10" t="str">
        <f t="shared" si="8"/>
        <v/>
      </c>
      <c r="AL23" s="14" t="str">
        <f t="shared" si="9"/>
        <v/>
      </c>
    </row>
    <row r="24" spans="1:38" x14ac:dyDescent="0.2">
      <c r="A24"/>
      <c r="B24" t="str">
        <f>IF($A24="","",VLOOKUP($A24,JupData!$A$2:$I$10000,4,FALSE))</f>
        <v/>
      </c>
      <c r="C24" s="7" t="str">
        <f>IF($A24="",IF(N(D24),0,""),VLOOKUP($A24,JupData!$A$2:$I$10000,7,FALSE))</f>
        <v/>
      </c>
      <c r="D24" t="str">
        <f t="shared" si="10"/>
        <v/>
      </c>
      <c r="E24" t="str">
        <f t="array" ref="E24">IF($A24="","",INDEX(JupData!$A$2:$K$10000,MATCH($A24&amp;E$1,JupData!$A$2:$A$10000&amp;JupData!$J$2:$J$10000,0),11))</f>
        <v/>
      </c>
      <c r="F24" t="str">
        <f t="array" ref="F24">IF($A24="","",INDEX(JupData!$A$2:$K$10000,MATCH($A24&amp;F$1,JupData!$A$2:$A$10000&amp;JupData!$J$2:$J$10000,0),11))</f>
        <v/>
      </c>
      <c r="G24" t="str">
        <f t="array" ref="G24">IF($A24="","",INDEX(JupData!$A$2:$K$10000,MATCH($A24&amp;G$1,JupData!$A$2:$A$10000&amp;JupData!$J$2:$J$10000,0),11))</f>
        <v/>
      </c>
      <c r="H24" t="str">
        <f t="array" ref="H24">IF($A24="","",INDEX(JupData!$A$2:$K$10000,MATCH($A24&amp;H$1,JupData!$A$2:$A$10000&amp;JupData!$J$2:$J$10000,0),11))</f>
        <v/>
      </c>
      <c r="I24" t="str">
        <f t="array" ref="I24">IF($A24="","",INDEX(JupData!$A$2:$K$10000,MATCH($A24&amp;I$1,JupData!$A$2:$A$10000&amp;JupData!$J$2:$J$10000,0),11))</f>
        <v/>
      </c>
      <c r="J24" t="str">
        <f t="array" ref="J24">IF($A24="","",INDEX(JupData!$A$2:$K$10000,MATCH($A24&amp;J$1,JupData!$A$2:$A$10000&amp;JupData!$J$2:$J$10000,0),11))</f>
        <v/>
      </c>
      <c r="K24" t="str">
        <f t="array" ref="K24">IF($A24="","",INDEX(JupData!$A$2:$K$10000,MATCH($A24&amp;K$1,JupData!$A$2:$A$10000&amp;JupData!$J$2:$J$10000,0),11))</f>
        <v/>
      </c>
      <c r="L24" t="str">
        <f t="array" ref="L24">IF($A24="","",INDEX(JupData!$A$2:$K$10000,MATCH($A24&amp;L$1,JupData!$A$2:$A$10000&amp;JupData!$J$2:$J$10000,0),11))</f>
        <v/>
      </c>
      <c r="M24" t="str">
        <f t="array" ref="M24">IF($A24="","",INDEX(JupData!$A$2:$K$10000,MATCH($A24&amp;M$1,JupData!$A$2:$A$10000&amp;JupData!$J$2:$J$10000,0),11))</f>
        <v/>
      </c>
      <c r="N24" t="str">
        <f t="array" ref="N24">IF($A24="","",INDEX(JupData!$A$2:$K$10000,MATCH($A24&amp;N$1,JupData!$A$2:$A$10000&amp;JupData!$J$2:$J$10000,0),11))</f>
        <v/>
      </c>
      <c r="O24" t="str">
        <f t="array" ref="O24">IF($A24="","",INDEX(JupData!$A$2:$K$10000,MATCH($A24&amp;O$1,JupData!$A$2:$A$10000&amp;JupData!$J$2:$J$10000,0),11))</f>
        <v/>
      </c>
      <c r="P24" t="str">
        <f t="array" ref="P24">IF($A24="","",INDEX(JupData!$A$2:$K$10000,MATCH($A24&amp;P$1,JupData!$A$2:$A$10000&amp;JupData!$J$2:$J$10000,0),11))</f>
        <v/>
      </c>
      <c r="Q24" t="str">
        <f t="array" ref="Q24">IF($A24="","",INDEX(JupData!$A$2:$K$10000,MATCH($A24&amp;Q$1,JupData!$A$2:$A$10000&amp;JupData!$J$2:$J$10000,0),11))</f>
        <v/>
      </c>
      <c r="R24" t="str">
        <f t="array" ref="R24">IF($A24="","",INDEX(JupData!$A$2:$K$10000,MATCH($A24&amp;R$1,JupData!$A$2:$A$10000&amp;JupData!$J$2:$J$10000,0),11))</f>
        <v/>
      </c>
      <c r="S24" t="str">
        <f t="array" ref="S24">IF($A24="","",INDEX(JupData!$A$2:$K$10000,MATCH($A24&amp;S$1,JupData!$A$2:$A$10000&amp;JupData!$J$2:$J$10000,0),11))</f>
        <v/>
      </c>
      <c r="T24" t="str">
        <f t="array" ref="T24">IF($A24="","",INDEX(JupData!$A$2:$K$10000,MATCH($A24&amp;T$1,JupData!$A$2:$A$10000&amp;JupData!$J$2:$J$10000,0),11))</f>
        <v/>
      </c>
      <c r="U24" t="str">
        <f t="array" ref="U24">IF($A24="","",INDEX(JupData!$A$2:$K$10000,MATCH($A24&amp;U$1,JupData!$A$2:$A$10000&amp;JupData!$J$2:$J$10000,0),11))</f>
        <v/>
      </c>
      <c r="V24" t="str">
        <f t="array" ref="V24">IF($A24="","",INDEX(JupData!$A$2:$K$10000,MATCH($A24&amp;V$1,JupData!$A$2:$A$10000&amp;JupData!$J$2:$J$10000,0),11))</f>
        <v/>
      </c>
      <c r="W24" t="str">
        <f t="array" ref="W24">IF($A24="","",INDEX(JupData!$A$2:$K$10000,MATCH($A24&amp;W$1,JupData!$A$2:$A$10000&amp;JupData!$J$2:$J$10000,0),11))</f>
        <v/>
      </c>
      <c r="X24" t="str">
        <f t="array" ref="X24">IF($A24="","",INDEX(JupData!$A$2:$K$10000,MATCH($A24&amp;X$1,JupData!$A$2:$A$10000&amp;JupData!$J$2:$J$10000,0),11))</f>
        <v/>
      </c>
      <c r="Y24" t="str">
        <f t="array" ref="Y24">IF($A24="","",INDEX(JupData!$A$2:$K$10000,MATCH($A24&amp;Y$1,JupData!$A$2:$A$10000&amp;JupData!$J$2:$J$10000,0),11))</f>
        <v/>
      </c>
      <c r="Z24" t="str">
        <f t="array" ref="Z24">IF($A24="","",INDEX(JupData!$A$2:$K$10000,MATCH($A24&amp;Z$1,JupData!$A$2:$A$10000&amp;JupData!$J$2:$J$10000,0),11))</f>
        <v/>
      </c>
      <c r="AA24" t="str">
        <f t="array" ref="AA24">IF($A24="","",INDEX(JupData!$A$2:$K$10000,MATCH($A24&amp;AA$1,JupData!$A$2:$A$10000&amp;JupData!$J$2:$J$10000,0),11))</f>
        <v/>
      </c>
      <c r="AB24" t="str">
        <f t="array" ref="AB24">IF($A24="","",INDEX(JupData!$A$2:$K$10000,MATCH($A24&amp;AB$1,JupData!$A$2:$A$10000&amp;JupData!$J$2:$J$10000,0),11))</f>
        <v/>
      </c>
      <c r="AC24" s="10" t="str">
        <f t="shared" si="0"/>
        <v/>
      </c>
      <c r="AD24" s="10" t="str">
        <f t="shared" si="1"/>
        <v/>
      </c>
      <c r="AE24" s="9" t="str">
        <f t="shared" si="2"/>
        <v/>
      </c>
      <c r="AF24" s="10" t="str">
        <f t="shared" si="3"/>
        <v/>
      </c>
      <c r="AG24" s="10" t="str">
        <f t="shared" si="4"/>
        <v/>
      </c>
      <c r="AH24" s="10" t="str">
        <f t="shared" si="5"/>
        <v/>
      </c>
      <c r="AI24" s="10" t="str">
        <f t="shared" si="6"/>
        <v/>
      </c>
      <c r="AJ24" s="10" t="str">
        <f t="shared" si="7"/>
        <v/>
      </c>
      <c r="AK24" s="10" t="str">
        <f t="shared" si="8"/>
        <v/>
      </c>
      <c r="AL24" s="14" t="str">
        <f t="shared" si="9"/>
        <v/>
      </c>
    </row>
    <row r="25" spans="1:38" x14ac:dyDescent="0.2">
      <c r="A25"/>
      <c r="B25" t="str">
        <f>IF($A25="","",VLOOKUP($A25,JupData!$A$2:$I$10000,4,FALSE))</f>
        <v/>
      </c>
      <c r="C25" s="7" t="str">
        <f>IF($A25="",IF(N(D25),0,""),VLOOKUP($A25,JupData!$A$2:$I$10000,7,FALSE))</f>
        <v/>
      </c>
      <c r="D25" t="str">
        <f t="shared" si="10"/>
        <v/>
      </c>
      <c r="E25" t="str">
        <f t="array" ref="E25">IF($A25="","",INDEX(JupData!$A$2:$K$10000,MATCH($A25&amp;E$1,JupData!$A$2:$A$10000&amp;JupData!$J$2:$J$10000,0),11))</f>
        <v/>
      </c>
      <c r="F25" t="str">
        <f t="array" ref="F25">IF($A25="","",INDEX(JupData!$A$2:$K$10000,MATCH($A25&amp;F$1,JupData!$A$2:$A$10000&amp;JupData!$J$2:$J$10000,0),11))</f>
        <v/>
      </c>
      <c r="G25" t="str">
        <f t="array" ref="G25">IF($A25="","",INDEX(JupData!$A$2:$K$10000,MATCH($A25&amp;G$1,JupData!$A$2:$A$10000&amp;JupData!$J$2:$J$10000,0),11))</f>
        <v/>
      </c>
      <c r="H25" t="str">
        <f t="array" ref="H25">IF($A25="","",INDEX(JupData!$A$2:$K$10000,MATCH($A25&amp;H$1,JupData!$A$2:$A$10000&amp;JupData!$J$2:$J$10000,0),11))</f>
        <v/>
      </c>
      <c r="I25" t="str">
        <f t="array" ref="I25">IF($A25="","",INDEX(JupData!$A$2:$K$10000,MATCH($A25&amp;I$1,JupData!$A$2:$A$10000&amp;JupData!$J$2:$J$10000,0),11))</f>
        <v/>
      </c>
      <c r="J25" t="str">
        <f t="array" ref="J25">IF($A25="","",INDEX(JupData!$A$2:$K$10000,MATCH($A25&amp;J$1,JupData!$A$2:$A$10000&amp;JupData!$J$2:$J$10000,0),11))</f>
        <v/>
      </c>
      <c r="K25" t="str">
        <f t="array" ref="K25">IF($A25="","",INDEX(JupData!$A$2:$K$10000,MATCH($A25&amp;K$1,JupData!$A$2:$A$10000&amp;JupData!$J$2:$J$10000,0),11))</f>
        <v/>
      </c>
      <c r="L25" t="str">
        <f t="array" ref="L25">IF($A25="","",INDEX(JupData!$A$2:$K$10000,MATCH($A25&amp;L$1,JupData!$A$2:$A$10000&amp;JupData!$J$2:$J$10000,0),11))</f>
        <v/>
      </c>
      <c r="M25" t="str">
        <f t="array" ref="M25">IF($A25="","",INDEX(JupData!$A$2:$K$10000,MATCH($A25&amp;M$1,JupData!$A$2:$A$10000&amp;JupData!$J$2:$J$10000,0),11))</f>
        <v/>
      </c>
      <c r="N25" t="str">
        <f t="array" ref="N25">IF($A25="","",INDEX(JupData!$A$2:$K$10000,MATCH($A25&amp;N$1,JupData!$A$2:$A$10000&amp;JupData!$J$2:$J$10000,0),11))</f>
        <v/>
      </c>
      <c r="O25" t="str">
        <f t="array" ref="O25">IF($A25="","",INDEX(JupData!$A$2:$K$10000,MATCH($A25&amp;O$1,JupData!$A$2:$A$10000&amp;JupData!$J$2:$J$10000,0),11))</f>
        <v/>
      </c>
      <c r="P25" t="str">
        <f t="array" ref="P25">IF($A25="","",INDEX(JupData!$A$2:$K$10000,MATCH($A25&amp;P$1,JupData!$A$2:$A$10000&amp;JupData!$J$2:$J$10000,0),11))</f>
        <v/>
      </c>
      <c r="Q25" t="str">
        <f t="array" ref="Q25">IF($A25="","",INDEX(JupData!$A$2:$K$10000,MATCH($A25&amp;Q$1,JupData!$A$2:$A$10000&amp;JupData!$J$2:$J$10000,0),11))</f>
        <v/>
      </c>
      <c r="R25" t="str">
        <f t="array" ref="R25">IF($A25="","",INDEX(JupData!$A$2:$K$10000,MATCH($A25&amp;R$1,JupData!$A$2:$A$10000&amp;JupData!$J$2:$J$10000,0),11))</f>
        <v/>
      </c>
      <c r="S25" t="str">
        <f t="array" ref="S25">IF($A25="","",INDEX(JupData!$A$2:$K$10000,MATCH($A25&amp;S$1,JupData!$A$2:$A$10000&amp;JupData!$J$2:$J$10000,0),11))</f>
        <v/>
      </c>
      <c r="T25" t="str">
        <f t="array" ref="T25">IF($A25="","",INDEX(JupData!$A$2:$K$10000,MATCH($A25&amp;T$1,JupData!$A$2:$A$10000&amp;JupData!$J$2:$J$10000,0),11))</f>
        <v/>
      </c>
      <c r="U25" t="str">
        <f t="array" ref="U25">IF($A25="","",INDEX(JupData!$A$2:$K$10000,MATCH($A25&amp;U$1,JupData!$A$2:$A$10000&amp;JupData!$J$2:$J$10000,0),11))</f>
        <v/>
      </c>
      <c r="V25" t="str">
        <f t="array" ref="V25">IF($A25="","",INDEX(JupData!$A$2:$K$10000,MATCH($A25&amp;V$1,JupData!$A$2:$A$10000&amp;JupData!$J$2:$J$10000,0),11))</f>
        <v/>
      </c>
      <c r="W25" t="str">
        <f t="array" ref="W25">IF($A25="","",INDEX(JupData!$A$2:$K$10000,MATCH($A25&amp;W$1,JupData!$A$2:$A$10000&amp;JupData!$J$2:$J$10000,0),11))</f>
        <v/>
      </c>
      <c r="X25" t="str">
        <f t="array" ref="X25">IF($A25="","",INDEX(JupData!$A$2:$K$10000,MATCH($A25&amp;X$1,JupData!$A$2:$A$10000&amp;JupData!$J$2:$J$10000,0),11))</f>
        <v/>
      </c>
      <c r="Y25" t="str">
        <f t="array" ref="Y25">IF($A25="","",INDEX(JupData!$A$2:$K$10000,MATCH($A25&amp;Y$1,JupData!$A$2:$A$10000&amp;JupData!$J$2:$J$10000,0),11))</f>
        <v/>
      </c>
      <c r="Z25" t="str">
        <f t="array" ref="Z25">IF($A25="","",INDEX(JupData!$A$2:$K$10000,MATCH($A25&amp;Z$1,JupData!$A$2:$A$10000&amp;JupData!$J$2:$J$10000,0),11))</f>
        <v/>
      </c>
      <c r="AA25" t="str">
        <f t="array" ref="AA25">IF($A25="","",INDEX(JupData!$A$2:$K$10000,MATCH($A25&amp;AA$1,JupData!$A$2:$A$10000&amp;JupData!$J$2:$J$10000,0),11))</f>
        <v/>
      </c>
      <c r="AB25" t="str">
        <f t="array" ref="AB25">IF($A25="","",INDEX(JupData!$A$2:$K$10000,MATCH($A25&amp;AB$1,JupData!$A$2:$A$10000&amp;JupData!$J$2:$J$10000,0),11))</f>
        <v/>
      </c>
      <c r="AC25" s="10" t="str">
        <f t="shared" si="0"/>
        <v/>
      </c>
      <c r="AD25" s="10" t="str">
        <f t="shared" si="1"/>
        <v/>
      </c>
      <c r="AE25" s="9" t="str">
        <f t="shared" si="2"/>
        <v/>
      </c>
      <c r="AF25" s="10" t="str">
        <f t="shared" si="3"/>
        <v/>
      </c>
      <c r="AG25" s="10" t="str">
        <f t="shared" si="4"/>
        <v/>
      </c>
      <c r="AH25" s="10" t="str">
        <f t="shared" si="5"/>
        <v/>
      </c>
      <c r="AI25" s="10" t="str">
        <f t="shared" si="6"/>
        <v/>
      </c>
      <c r="AJ25" s="10" t="str">
        <f t="shared" si="7"/>
        <v/>
      </c>
      <c r="AK25" s="10" t="str">
        <f t="shared" si="8"/>
        <v/>
      </c>
      <c r="AL25" s="14" t="str">
        <f t="shared" si="9"/>
        <v/>
      </c>
    </row>
    <row r="26" spans="1:38" x14ac:dyDescent="0.2">
      <c r="A26"/>
      <c r="B26" t="str">
        <f>IF($A26="","",VLOOKUP($A26,JupData!$A$2:$I$10000,4,FALSE))</f>
        <v/>
      </c>
      <c r="C26" s="7" t="str">
        <f>IF($A26="",IF(N(D26),0,""),VLOOKUP($A26,JupData!$A$2:$I$10000,7,FALSE))</f>
        <v/>
      </c>
      <c r="D26" t="str">
        <f t="shared" si="10"/>
        <v/>
      </c>
      <c r="E26" t="str">
        <f t="array" ref="E26">IF($A26="","",INDEX(JupData!$A$2:$K$10000,MATCH($A26&amp;E$1,JupData!$A$2:$A$10000&amp;JupData!$J$2:$J$10000,0),11))</f>
        <v/>
      </c>
      <c r="F26" t="str">
        <f t="array" ref="F26">IF($A26="","",INDEX(JupData!$A$2:$K$10000,MATCH($A26&amp;F$1,JupData!$A$2:$A$10000&amp;JupData!$J$2:$J$10000,0),11))</f>
        <v/>
      </c>
      <c r="G26" t="str">
        <f t="array" ref="G26">IF($A26="","",INDEX(JupData!$A$2:$K$10000,MATCH($A26&amp;G$1,JupData!$A$2:$A$10000&amp;JupData!$J$2:$J$10000,0),11))</f>
        <v/>
      </c>
      <c r="H26" t="str">
        <f t="array" ref="H26">IF($A26="","",INDEX(JupData!$A$2:$K$10000,MATCH($A26&amp;H$1,JupData!$A$2:$A$10000&amp;JupData!$J$2:$J$10000,0),11))</f>
        <v/>
      </c>
      <c r="I26" t="str">
        <f t="array" ref="I26">IF($A26="","",INDEX(JupData!$A$2:$K$10000,MATCH($A26&amp;I$1,JupData!$A$2:$A$10000&amp;JupData!$J$2:$J$10000,0),11))</f>
        <v/>
      </c>
      <c r="J26" t="str">
        <f t="array" ref="J26">IF($A26="","",INDEX(JupData!$A$2:$K$10000,MATCH($A26&amp;J$1,JupData!$A$2:$A$10000&amp;JupData!$J$2:$J$10000,0),11))</f>
        <v/>
      </c>
      <c r="K26" t="str">
        <f t="array" ref="K26">IF($A26="","",INDEX(JupData!$A$2:$K$10000,MATCH($A26&amp;K$1,JupData!$A$2:$A$10000&amp;JupData!$J$2:$J$10000,0),11))</f>
        <v/>
      </c>
      <c r="L26" t="str">
        <f t="array" ref="L26">IF($A26="","",INDEX(JupData!$A$2:$K$10000,MATCH($A26&amp;L$1,JupData!$A$2:$A$10000&amp;JupData!$J$2:$J$10000,0),11))</f>
        <v/>
      </c>
      <c r="M26" t="str">
        <f t="array" ref="M26">IF($A26="","",INDEX(JupData!$A$2:$K$10000,MATCH($A26&amp;M$1,JupData!$A$2:$A$10000&amp;JupData!$J$2:$J$10000,0),11))</f>
        <v/>
      </c>
      <c r="N26" t="str">
        <f t="array" ref="N26">IF($A26="","",INDEX(JupData!$A$2:$K$10000,MATCH($A26&amp;N$1,JupData!$A$2:$A$10000&amp;JupData!$J$2:$J$10000,0),11))</f>
        <v/>
      </c>
      <c r="O26" t="str">
        <f t="array" ref="O26">IF($A26="","",INDEX(JupData!$A$2:$K$10000,MATCH($A26&amp;O$1,JupData!$A$2:$A$10000&amp;JupData!$J$2:$J$10000,0),11))</f>
        <v/>
      </c>
      <c r="P26" t="str">
        <f t="array" ref="P26">IF($A26="","",INDEX(JupData!$A$2:$K$10000,MATCH($A26&amp;P$1,JupData!$A$2:$A$10000&amp;JupData!$J$2:$J$10000,0),11))</f>
        <v/>
      </c>
      <c r="Q26" t="str">
        <f t="array" ref="Q26">IF($A26="","",INDEX(JupData!$A$2:$K$10000,MATCH($A26&amp;Q$1,JupData!$A$2:$A$10000&amp;JupData!$J$2:$J$10000,0),11))</f>
        <v/>
      </c>
      <c r="R26" t="str">
        <f t="array" ref="R26">IF($A26="","",INDEX(JupData!$A$2:$K$10000,MATCH($A26&amp;R$1,JupData!$A$2:$A$10000&amp;JupData!$J$2:$J$10000,0),11))</f>
        <v/>
      </c>
      <c r="S26" t="str">
        <f t="array" ref="S26">IF($A26="","",INDEX(JupData!$A$2:$K$10000,MATCH($A26&amp;S$1,JupData!$A$2:$A$10000&amp;JupData!$J$2:$J$10000,0),11))</f>
        <v/>
      </c>
      <c r="T26" t="str">
        <f t="array" ref="T26">IF($A26="","",INDEX(JupData!$A$2:$K$10000,MATCH($A26&amp;T$1,JupData!$A$2:$A$10000&amp;JupData!$J$2:$J$10000,0),11))</f>
        <v/>
      </c>
      <c r="U26" t="str">
        <f t="array" ref="U26">IF($A26="","",INDEX(JupData!$A$2:$K$10000,MATCH($A26&amp;U$1,JupData!$A$2:$A$10000&amp;JupData!$J$2:$J$10000,0),11))</f>
        <v/>
      </c>
      <c r="V26" t="str">
        <f t="array" ref="V26">IF($A26="","",INDEX(JupData!$A$2:$K$10000,MATCH($A26&amp;V$1,JupData!$A$2:$A$10000&amp;JupData!$J$2:$J$10000,0),11))</f>
        <v/>
      </c>
      <c r="W26" t="str">
        <f t="array" ref="W26">IF($A26="","",INDEX(JupData!$A$2:$K$10000,MATCH($A26&amp;W$1,JupData!$A$2:$A$10000&amp;JupData!$J$2:$J$10000,0),11))</f>
        <v/>
      </c>
      <c r="X26" t="str">
        <f t="array" ref="X26">IF($A26="","",INDEX(JupData!$A$2:$K$10000,MATCH($A26&amp;X$1,JupData!$A$2:$A$10000&amp;JupData!$J$2:$J$10000,0),11))</f>
        <v/>
      </c>
      <c r="Y26" t="str">
        <f t="array" ref="Y26">IF($A26="","",INDEX(JupData!$A$2:$K$10000,MATCH($A26&amp;Y$1,JupData!$A$2:$A$10000&amp;JupData!$J$2:$J$10000,0),11))</f>
        <v/>
      </c>
      <c r="Z26" t="str">
        <f t="array" ref="Z26">IF($A26="","",INDEX(JupData!$A$2:$K$10000,MATCH($A26&amp;Z$1,JupData!$A$2:$A$10000&amp;JupData!$J$2:$J$10000,0),11))</f>
        <v/>
      </c>
      <c r="AA26" t="str">
        <f t="array" ref="AA26">IF($A26="","",INDEX(JupData!$A$2:$K$10000,MATCH($A26&amp;AA$1,JupData!$A$2:$A$10000&amp;JupData!$J$2:$J$10000,0),11))</f>
        <v/>
      </c>
      <c r="AB26" t="str">
        <f t="array" ref="AB26">IF($A26="","",INDEX(JupData!$A$2:$K$10000,MATCH($A26&amp;AB$1,JupData!$A$2:$A$10000&amp;JupData!$J$2:$J$10000,0),11))</f>
        <v/>
      </c>
      <c r="AC26" s="10" t="str">
        <f t="shared" si="0"/>
        <v/>
      </c>
      <c r="AD26" s="10" t="str">
        <f t="shared" si="1"/>
        <v/>
      </c>
      <c r="AE26" s="9" t="str">
        <f t="shared" si="2"/>
        <v/>
      </c>
      <c r="AF26" s="10" t="str">
        <f t="shared" si="3"/>
        <v/>
      </c>
      <c r="AG26" s="10" t="str">
        <f t="shared" si="4"/>
        <v/>
      </c>
      <c r="AH26" s="10" t="str">
        <f t="shared" si="5"/>
        <v/>
      </c>
      <c r="AI26" s="10" t="str">
        <f t="shared" si="6"/>
        <v/>
      </c>
      <c r="AJ26" s="10" t="str">
        <f t="shared" si="7"/>
        <v/>
      </c>
      <c r="AK26" s="10" t="str">
        <f t="shared" si="8"/>
        <v/>
      </c>
      <c r="AL26" s="14" t="str">
        <f t="shared" si="9"/>
        <v/>
      </c>
    </row>
    <row r="27" spans="1:38" x14ac:dyDescent="0.2">
      <c r="A27"/>
      <c r="B27" t="str">
        <f>IF($A27="","",VLOOKUP($A27,JupData!$A$2:$I$10000,4,FALSE))</f>
        <v/>
      </c>
      <c r="C27" s="7" t="str">
        <f>IF($A27="",IF(N(D27),0,""),VLOOKUP($A27,JupData!$A$2:$I$10000,7,FALSE))</f>
        <v/>
      </c>
      <c r="D27" t="str">
        <f t="shared" si="10"/>
        <v/>
      </c>
      <c r="E27" t="str">
        <f t="array" ref="E27">IF($A27="","",INDEX(JupData!$A$2:$K$10000,MATCH($A27&amp;E$1,JupData!$A$2:$A$10000&amp;JupData!$J$2:$J$10000,0),11))</f>
        <v/>
      </c>
      <c r="F27" t="str">
        <f t="array" ref="F27">IF($A27="","",INDEX(JupData!$A$2:$K$10000,MATCH($A27&amp;F$1,JupData!$A$2:$A$10000&amp;JupData!$J$2:$J$10000,0),11))</f>
        <v/>
      </c>
      <c r="G27" t="str">
        <f t="array" ref="G27">IF($A27="","",INDEX(JupData!$A$2:$K$10000,MATCH($A27&amp;G$1,JupData!$A$2:$A$10000&amp;JupData!$J$2:$J$10000,0),11))</f>
        <v/>
      </c>
      <c r="H27" t="str">
        <f t="array" ref="H27">IF($A27="","",INDEX(JupData!$A$2:$K$10000,MATCH($A27&amp;H$1,JupData!$A$2:$A$10000&amp;JupData!$J$2:$J$10000,0),11))</f>
        <v/>
      </c>
      <c r="I27" t="str">
        <f t="array" ref="I27">IF($A27="","",INDEX(JupData!$A$2:$K$10000,MATCH($A27&amp;I$1,JupData!$A$2:$A$10000&amp;JupData!$J$2:$J$10000,0),11))</f>
        <v/>
      </c>
      <c r="J27" t="str">
        <f t="array" ref="J27">IF($A27="","",INDEX(JupData!$A$2:$K$10000,MATCH($A27&amp;J$1,JupData!$A$2:$A$10000&amp;JupData!$J$2:$J$10000,0),11))</f>
        <v/>
      </c>
      <c r="K27" t="str">
        <f t="array" ref="K27">IF($A27="","",INDEX(JupData!$A$2:$K$10000,MATCH($A27&amp;K$1,JupData!$A$2:$A$10000&amp;JupData!$J$2:$J$10000,0),11))</f>
        <v/>
      </c>
      <c r="L27" t="str">
        <f t="array" ref="L27">IF($A27="","",INDEX(JupData!$A$2:$K$10000,MATCH($A27&amp;L$1,JupData!$A$2:$A$10000&amp;JupData!$J$2:$J$10000,0),11))</f>
        <v/>
      </c>
      <c r="M27" t="str">
        <f t="array" ref="M27">IF($A27="","",INDEX(JupData!$A$2:$K$10000,MATCH($A27&amp;M$1,JupData!$A$2:$A$10000&amp;JupData!$J$2:$J$10000,0),11))</f>
        <v/>
      </c>
      <c r="N27" t="str">
        <f t="array" ref="N27">IF($A27="","",INDEX(JupData!$A$2:$K$10000,MATCH($A27&amp;N$1,JupData!$A$2:$A$10000&amp;JupData!$J$2:$J$10000,0),11))</f>
        <v/>
      </c>
      <c r="O27" t="str">
        <f t="array" ref="O27">IF($A27="","",INDEX(JupData!$A$2:$K$10000,MATCH($A27&amp;O$1,JupData!$A$2:$A$10000&amp;JupData!$J$2:$J$10000,0),11))</f>
        <v/>
      </c>
      <c r="P27" t="str">
        <f t="array" ref="P27">IF($A27="","",INDEX(JupData!$A$2:$K$10000,MATCH($A27&amp;P$1,JupData!$A$2:$A$10000&amp;JupData!$J$2:$J$10000,0),11))</f>
        <v/>
      </c>
      <c r="Q27" t="str">
        <f t="array" ref="Q27">IF($A27="","",INDEX(JupData!$A$2:$K$10000,MATCH($A27&amp;Q$1,JupData!$A$2:$A$10000&amp;JupData!$J$2:$J$10000,0),11))</f>
        <v/>
      </c>
      <c r="R27" t="str">
        <f t="array" ref="R27">IF($A27="","",INDEX(JupData!$A$2:$K$10000,MATCH($A27&amp;R$1,JupData!$A$2:$A$10000&amp;JupData!$J$2:$J$10000,0),11))</f>
        <v/>
      </c>
      <c r="S27" t="str">
        <f t="array" ref="S27">IF($A27="","",INDEX(JupData!$A$2:$K$10000,MATCH($A27&amp;S$1,JupData!$A$2:$A$10000&amp;JupData!$J$2:$J$10000,0),11))</f>
        <v/>
      </c>
      <c r="T27" t="str">
        <f t="array" ref="T27">IF($A27="","",INDEX(JupData!$A$2:$K$10000,MATCH($A27&amp;T$1,JupData!$A$2:$A$10000&amp;JupData!$J$2:$J$10000,0),11))</f>
        <v/>
      </c>
      <c r="U27" t="str">
        <f t="array" ref="U27">IF($A27="","",INDEX(JupData!$A$2:$K$10000,MATCH($A27&amp;U$1,JupData!$A$2:$A$10000&amp;JupData!$J$2:$J$10000,0),11))</f>
        <v/>
      </c>
      <c r="V27" t="str">
        <f t="array" ref="V27">IF($A27="","",INDEX(JupData!$A$2:$K$10000,MATCH($A27&amp;V$1,JupData!$A$2:$A$10000&amp;JupData!$J$2:$J$10000,0),11))</f>
        <v/>
      </c>
      <c r="W27" t="str">
        <f t="array" ref="W27">IF($A27="","",INDEX(JupData!$A$2:$K$10000,MATCH($A27&amp;W$1,JupData!$A$2:$A$10000&amp;JupData!$J$2:$J$10000,0),11))</f>
        <v/>
      </c>
      <c r="X27" t="str">
        <f t="array" ref="X27">IF($A27="","",INDEX(JupData!$A$2:$K$10000,MATCH($A27&amp;X$1,JupData!$A$2:$A$10000&amp;JupData!$J$2:$J$10000,0),11))</f>
        <v/>
      </c>
      <c r="Y27" t="str">
        <f t="array" ref="Y27">IF($A27="","",INDEX(JupData!$A$2:$K$10000,MATCH($A27&amp;Y$1,JupData!$A$2:$A$10000&amp;JupData!$J$2:$J$10000,0),11))</f>
        <v/>
      </c>
      <c r="Z27" t="str">
        <f t="array" ref="Z27">IF($A27="","",INDEX(JupData!$A$2:$K$10000,MATCH($A27&amp;Z$1,JupData!$A$2:$A$10000&amp;JupData!$J$2:$J$10000,0),11))</f>
        <v/>
      </c>
      <c r="AA27" t="str">
        <f t="array" ref="AA27">IF($A27="","",INDEX(JupData!$A$2:$K$10000,MATCH($A27&amp;AA$1,JupData!$A$2:$A$10000&amp;JupData!$J$2:$J$10000,0),11))</f>
        <v/>
      </c>
      <c r="AB27" t="str">
        <f t="array" ref="AB27">IF($A27="","",INDEX(JupData!$A$2:$K$10000,MATCH($A27&amp;AB$1,JupData!$A$2:$A$10000&amp;JupData!$J$2:$J$10000,0),11))</f>
        <v/>
      </c>
      <c r="AC27" s="10" t="str">
        <f t="shared" si="0"/>
        <v/>
      </c>
      <c r="AD27" s="10" t="str">
        <f t="shared" si="1"/>
        <v/>
      </c>
      <c r="AE27" s="9" t="str">
        <f t="shared" si="2"/>
        <v/>
      </c>
      <c r="AF27" s="10" t="str">
        <f t="shared" si="3"/>
        <v/>
      </c>
      <c r="AG27" s="10" t="str">
        <f t="shared" si="4"/>
        <v/>
      </c>
      <c r="AH27" s="10" t="str">
        <f t="shared" si="5"/>
        <v/>
      </c>
      <c r="AI27" s="10" t="str">
        <f t="shared" si="6"/>
        <v/>
      </c>
      <c r="AJ27" s="10" t="str">
        <f t="shared" si="7"/>
        <v/>
      </c>
      <c r="AK27" s="10" t="str">
        <f t="shared" si="8"/>
        <v/>
      </c>
      <c r="AL27" s="14" t="str">
        <f t="shared" si="9"/>
        <v/>
      </c>
    </row>
    <row r="28" spans="1:38" x14ac:dyDescent="0.2">
      <c r="A28"/>
      <c r="B28" t="str">
        <f>IF($A28="","",VLOOKUP($A28,JupData!$A$2:$I$10000,4,FALSE))</f>
        <v/>
      </c>
      <c r="C28" s="7" t="str">
        <f>IF($A28="",IF(N(D28),0,""),VLOOKUP($A28,JupData!$A$2:$I$10000,7,FALSE))</f>
        <v/>
      </c>
      <c r="D28" t="str">
        <f t="shared" si="10"/>
        <v/>
      </c>
      <c r="E28" t="str">
        <f t="array" ref="E28">IF($A28="","",INDEX(JupData!$A$2:$K$10000,MATCH($A28&amp;E$1,JupData!$A$2:$A$10000&amp;JupData!$J$2:$J$10000,0),11))</f>
        <v/>
      </c>
      <c r="F28" t="str">
        <f t="array" ref="F28">IF($A28="","",INDEX(JupData!$A$2:$K$10000,MATCH($A28&amp;F$1,JupData!$A$2:$A$10000&amp;JupData!$J$2:$J$10000,0),11))</f>
        <v/>
      </c>
      <c r="G28" t="str">
        <f t="array" ref="G28">IF($A28="","",INDEX(JupData!$A$2:$K$10000,MATCH($A28&amp;G$1,JupData!$A$2:$A$10000&amp;JupData!$J$2:$J$10000,0),11))</f>
        <v/>
      </c>
      <c r="H28" t="str">
        <f t="array" ref="H28">IF($A28="","",INDEX(JupData!$A$2:$K$10000,MATCH($A28&amp;H$1,JupData!$A$2:$A$10000&amp;JupData!$J$2:$J$10000,0),11))</f>
        <v/>
      </c>
      <c r="I28" t="str">
        <f t="array" ref="I28">IF($A28="","",INDEX(JupData!$A$2:$K$10000,MATCH($A28&amp;I$1,JupData!$A$2:$A$10000&amp;JupData!$J$2:$J$10000,0),11))</f>
        <v/>
      </c>
      <c r="J28" t="str">
        <f t="array" ref="J28">IF($A28="","",INDEX(JupData!$A$2:$K$10000,MATCH($A28&amp;J$1,JupData!$A$2:$A$10000&amp;JupData!$J$2:$J$10000,0),11))</f>
        <v/>
      </c>
      <c r="K28" t="str">
        <f t="array" ref="K28">IF($A28="","",INDEX(JupData!$A$2:$K$10000,MATCH($A28&amp;K$1,JupData!$A$2:$A$10000&amp;JupData!$J$2:$J$10000,0),11))</f>
        <v/>
      </c>
      <c r="L28" t="str">
        <f t="array" ref="L28">IF($A28="","",INDEX(JupData!$A$2:$K$10000,MATCH($A28&amp;L$1,JupData!$A$2:$A$10000&amp;JupData!$J$2:$J$10000,0),11))</f>
        <v/>
      </c>
      <c r="M28" t="str">
        <f t="array" ref="M28">IF($A28="","",INDEX(JupData!$A$2:$K$10000,MATCH($A28&amp;M$1,JupData!$A$2:$A$10000&amp;JupData!$J$2:$J$10000,0),11))</f>
        <v/>
      </c>
      <c r="N28" t="str">
        <f t="array" ref="N28">IF($A28="","",INDEX(JupData!$A$2:$K$10000,MATCH($A28&amp;N$1,JupData!$A$2:$A$10000&amp;JupData!$J$2:$J$10000,0),11))</f>
        <v/>
      </c>
      <c r="O28" t="str">
        <f t="array" ref="O28">IF($A28="","",INDEX(JupData!$A$2:$K$10000,MATCH($A28&amp;O$1,JupData!$A$2:$A$10000&amp;JupData!$J$2:$J$10000,0),11))</f>
        <v/>
      </c>
      <c r="P28" t="str">
        <f t="array" ref="P28">IF($A28="","",INDEX(JupData!$A$2:$K$10000,MATCH($A28&amp;P$1,JupData!$A$2:$A$10000&amp;JupData!$J$2:$J$10000,0),11))</f>
        <v/>
      </c>
      <c r="Q28" t="str">
        <f t="array" ref="Q28">IF($A28="","",INDEX(JupData!$A$2:$K$10000,MATCH($A28&amp;Q$1,JupData!$A$2:$A$10000&amp;JupData!$J$2:$J$10000,0),11))</f>
        <v/>
      </c>
      <c r="R28" t="str">
        <f t="array" ref="R28">IF($A28="","",INDEX(JupData!$A$2:$K$10000,MATCH($A28&amp;R$1,JupData!$A$2:$A$10000&amp;JupData!$J$2:$J$10000,0),11))</f>
        <v/>
      </c>
      <c r="S28" t="str">
        <f t="array" ref="S28">IF($A28="","",INDEX(JupData!$A$2:$K$10000,MATCH($A28&amp;S$1,JupData!$A$2:$A$10000&amp;JupData!$J$2:$J$10000,0),11))</f>
        <v/>
      </c>
      <c r="T28" t="str">
        <f t="array" ref="T28">IF($A28="","",INDEX(JupData!$A$2:$K$10000,MATCH($A28&amp;T$1,JupData!$A$2:$A$10000&amp;JupData!$J$2:$J$10000,0),11))</f>
        <v/>
      </c>
      <c r="U28" t="str">
        <f t="array" ref="U28">IF($A28="","",INDEX(JupData!$A$2:$K$10000,MATCH($A28&amp;U$1,JupData!$A$2:$A$10000&amp;JupData!$J$2:$J$10000,0),11))</f>
        <v/>
      </c>
      <c r="V28" t="str">
        <f t="array" ref="V28">IF($A28="","",INDEX(JupData!$A$2:$K$10000,MATCH($A28&amp;V$1,JupData!$A$2:$A$10000&amp;JupData!$J$2:$J$10000,0),11))</f>
        <v/>
      </c>
      <c r="W28" t="str">
        <f t="array" ref="W28">IF($A28="","",INDEX(JupData!$A$2:$K$10000,MATCH($A28&amp;W$1,JupData!$A$2:$A$10000&amp;JupData!$J$2:$J$10000,0),11))</f>
        <v/>
      </c>
      <c r="X28" t="str">
        <f t="array" ref="X28">IF($A28="","",INDEX(JupData!$A$2:$K$10000,MATCH($A28&amp;X$1,JupData!$A$2:$A$10000&amp;JupData!$J$2:$J$10000,0),11))</f>
        <v/>
      </c>
      <c r="Y28" t="str">
        <f t="array" ref="Y28">IF($A28="","",INDEX(JupData!$A$2:$K$10000,MATCH($A28&amp;Y$1,JupData!$A$2:$A$10000&amp;JupData!$J$2:$J$10000,0),11))</f>
        <v/>
      </c>
      <c r="Z28" t="str">
        <f t="array" ref="Z28">IF($A28="","",INDEX(JupData!$A$2:$K$10000,MATCH($A28&amp;Z$1,JupData!$A$2:$A$10000&amp;JupData!$J$2:$J$10000,0),11))</f>
        <v/>
      </c>
      <c r="AA28" t="str">
        <f t="array" ref="AA28">IF($A28="","",INDEX(JupData!$A$2:$K$10000,MATCH($A28&amp;AA$1,JupData!$A$2:$A$10000&amp;JupData!$J$2:$J$10000,0),11))</f>
        <v/>
      </c>
      <c r="AB28" t="str">
        <f t="array" ref="AB28">IF($A28="","",INDEX(JupData!$A$2:$K$10000,MATCH($A28&amp;AB$1,JupData!$A$2:$A$10000&amp;JupData!$J$2:$J$10000,0),11))</f>
        <v/>
      </c>
      <c r="AC28" s="10" t="str">
        <f t="shared" si="0"/>
        <v/>
      </c>
      <c r="AD28" s="10" t="str">
        <f t="shared" si="1"/>
        <v/>
      </c>
      <c r="AE28" s="9" t="str">
        <f t="shared" si="2"/>
        <v/>
      </c>
      <c r="AF28" s="10" t="str">
        <f t="shared" si="3"/>
        <v/>
      </c>
      <c r="AG28" s="10" t="str">
        <f t="shared" si="4"/>
        <v/>
      </c>
      <c r="AH28" s="10" t="str">
        <f t="shared" si="5"/>
        <v/>
      </c>
      <c r="AI28" s="10" t="str">
        <f t="shared" si="6"/>
        <v/>
      </c>
      <c r="AJ28" s="10" t="str">
        <f t="shared" si="7"/>
        <v/>
      </c>
      <c r="AK28" s="10" t="str">
        <f t="shared" si="8"/>
        <v/>
      </c>
      <c r="AL28" s="14" t="str">
        <f t="shared" si="9"/>
        <v/>
      </c>
    </row>
    <row r="29" spans="1:38" x14ac:dyDescent="0.2">
      <c r="A29"/>
      <c r="B29" t="str">
        <f>IF($A29="","",VLOOKUP($A29,JupData!$A$2:$I$10000,4,FALSE))</f>
        <v/>
      </c>
      <c r="C29" s="7" t="str">
        <f>IF($A29="",IF(N(D29),0,""),VLOOKUP($A29,JupData!$A$2:$I$10000,7,FALSE))</f>
        <v/>
      </c>
      <c r="D29" t="str">
        <f t="shared" si="10"/>
        <v/>
      </c>
      <c r="E29" t="str">
        <f t="array" ref="E29">IF($A29="","",INDEX(JupData!$A$2:$K$10000,MATCH($A29&amp;E$1,JupData!$A$2:$A$10000&amp;JupData!$J$2:$J$10000,0),11))</f>
        <v/>
      </c>
      <c r="F29" t="str">
        <f t="array" ref="F29">IF($A29="","",INDEX(JupData!$A$2:$K$10000,MATCH($A29&amp;F$1,JupData!$A$2:$A$10000&amp;JupData!$J$2:$J$10000,0),11))</f>
        <v/>
      </c>
      <c r="G29" t="str">
        <f t="array" ref="G29">IF($A29="","",INDEX(JupData!$A$2:$K$10000,MATCH($A29&amp;G$1,JupData!$A$2:$A$10000&amp;JupData!$J$2:$J$10000,0),11))</f>
        <v/>
      </c>
      <c r="H29" t="str">
        <f t="array" ref="H29">IF($A29="","",INDEX(JupData!$A$2:$K$10000,MATCH($A29&amp;H$1,JupData!$A$2:$A$10000&amp;JupData!$J$2:$J$10000,0),11))</f>
        <v/>
      </c>
      <c r="I29" t="str">
        <f t="array" ref="I29">IF($A29="","",INDEX(JupData!$A$2:$K$10000,MATCH($A29&amp;I$1,JupData!$A$2:$A$10000&amp;JupData!$J$2:$J$10000,0),11))</f>
        <v/>
      </c>
      <c r="J29" t="str">
        <f t="array" ref="J29">IF($A29="","",INDEX(JupData!$A$2:$K$10000,MATCH($A29&amp;J$1,JupData!$A$2:$A$10000&amp;JupData!$J$2:$J$10000,0),11))</f>
        <v/>
      </c>
      <c r="K29" t="str">
        <f t="array" ref="K29">IF($A29="","",INDEX(JupData!$A$2:$K$10000,MATCH($A29&amp;K$1,JupData!$A$2:$A$10000&amp;JupData!$J$2:$J$10000,0),11))</f>
        <v/>
      </c>
      <c r="L29" t="str">
        <f t="array" ref="L29">IF($A29="","",INDEX(JupData!$A$2:$K$10000,MATCH($A29&amp;L$1,JupData!$A$2:$A$10000&amp;JupData!$J$2:$J$10000,0),11))</f>
        <v/>
      </c>
      <c r="M29" t="str">
        <f t="array" ref="M29">IF($A29="","",INDEX(JupData!$A$2:$K$10000,MATCH($A29&amp;M$1,JupData!$A$2:$A$10000&amp;JupData!$J$2:$J$10000,0),11))</f>
        <v/>
      </c>
      <c r="N29" t="str">
        <f t="array" ref="N29">IF($A29="","",INDEX(JupData!$A$2:$K$10000,MATCH($A29&amp;N$1,JupData!$A$2:$A$10000&amp;JupData!$J$2:$J$10000,0),11))</f>
        <v/>
      </c>
      <c r="O29" t="str">
        <f t="array" ref="O29">IF($A29="","",INDEX(JupData!$A$2:$K$10000,MATCH($A29&amp;O$1,JupData!$A$2:$A$10000&amp;JupData!$J$2:$J$10000,0),11))</f>
        <v/>
      </c>
      <c r="P29" t="str">
        <f t="array" ref="P29">IF($A29="","",INDEX(JupData!$A$2:$K$10000,MATCH($A29&amp;P$1,JupData!$A$2:$A$10000&amp;JupData!$J$2:$J$10000,0),11))</f>
        <v/>
      </c>
      <c r="Q29" t="str">
        <f t="array" ref="Q29">IF($A29="","",INDEX(JupData!$A$2:$K$10000,MATCH($A29&amp;Q$1,JupData!$A$2:$A$10000&amp;JupData!$J$2:$J$10000,0),11))</f>
        <v/>
      </c>
      <c r="R29" t="str">
        <f t="array" ref="R29">IF($A29="","",INDEX(JupData!$A$2:$K$10000,MATCH($A29&amp;R$1,JupData!$A$2:$A$10000&amp;JupData!$J$2:$J$10000,0),11))</f>
        <v/>
      </c>
      <c r="S29" t="str">
        <f t="array" ref="S29">IF($A29="","",INDEX(JupData!$A$2:$K$10000,MATCH($A29&amp;S$1,JupData!$A$2:$A$10000&amp;JupData!$J$2:$J$10000,0),11))</f>
        <v/>
      </c>
      <c r="T29" t="str">
        <f t="array" ref="T29">IF($A29="","",INDEX(JupData!$A$2:$K$10000,MATCH($A29&amp;T$1,JupData!$A$2:$A$10000&amp;JupData!$J$2:$J$10000,0),11))</f>
        <v/>
      </c>
      <c r="U29" t="str">
        <f t="array" ref="U29">IF($A29="","",INDEX(JupData!$A$2:$K$10000,MATCH($A29&amp;U$1,JupData!$A$2:$A$10000&amp;JupData!$J$2:$J$10000,0),11))</f>
        <v/>
      </c>
      <c r="V29" t="str">
        <f t="array" ref="V29">IF($A29="","",INDEX(JupData!$A$2:$K$10000,MATCH($A29&amp;V$1,JupData!$A$2:$A$10000&amp;JupData!$J$2:$J$10000,0),11))</f>
        <v/>
      </c>
      <c r="W29" t="str">
        <f t="array" ref="W29">IF($A29="","",INDEX(JupData!$A$2:$K$10000,MATCH($A29&amp;W$1,JupData!$A$2:$A$10000&amp;JupData!$J$2:$J$10000,0),11))</f>
        <v/>
      </c>
      <c r="X29" t="str">
        <f t="array" ref="X29">IF($A29="","",INDEX(JupData!$A$2:$K$10000,MATCH($A29&amp;X$1,JupData!$A$2:$A$10000&amp;JupData!$J$2:$J$10000,0),11))</f>
        <v/>
      </c>
      <c r="Y29" t="str">
        <f t="array" ref="Y29">IF($A29="","",INDEX(JupData!$A$2:$K$10000,MATCH($A29&amp;Y$1,JupData!$A$2:$A$10000&amp;JupData!$J$2:$J$10000,0),11))</f>
        <v/>
      </c>
      <c r="Z29" t="str">
        <f t="array" ref="Z29">IF($A29="","",INDEX(JupData!$A$2:$K$10000,MATCH($A29&amp;Z$1,JupData!$A$2:$A$10000&amp;JupData!$J$2:$J$10000,0),11))</f>
        <v/>
      </c>
      <c r="AA29" t="str">
        <f t="array" ref="AA29">IF($A29="","",INDEX(JupData!$A$2:$K$10000,MATCH($A29&amp;AA$1,JupData!$A$2:$A$10000&amp;JupData!$J$2:$J$10000,0),11))</f>
        <v/>
      </c>
      <c r="AB29" t="str">
        <f t="array" ref="AB29">IF($A29="","",INDEX(JupData!$A$2:$K$10000,MATCH($A29&amp;AB$1,JupData!$A$2:$A$10000&amp;JupData!$J$2:$J$10000,0),11))</f>
        <v/>
      </c>
      <c r="AC29" s="10" t="str">
        <f t="shared" si="0"/>
        <v/>
      </c>
      <c r="AD29" s="10" t="str">
        <f t="shared" si="1"/>
        <v/>
      </c>
      <c r="AE29" s="9" t="str">
        <f t="shared" si="2"/>
        <v/>
      </c>
      <c r="AF29" s="10" t="str">
        <f t="shared" si="3"/>
        <v/>
      </c>
      <c r="AG29" s="10" t="str">
        <f t="shared" si="4"/>
        <v/>
      </c>
      <c r="AH29" s="10" t="str">
        <f t="shared" si="5"/>
        <v/>
      </c>
      <c r="AI29" s="10" t="str">
        <f t="shared" si="6"/>
        <v/>
      </c>
      <c r="AJ29" s="10" t="str">
        <f t="shared" si="7"/>
        <v/>
      </c>
      <c r="AK29" s="10" t="str">
        <f t="shared" si="8"/>
        <v/>
      </c>
      <c r="AL29" s="14" t="str">
        <f t="shared" si="9"/>
        <v/>
      </c>
    </row>
    <row r="30" spans="1:38" x14ac:dyDescent="0.2">
      <c r="A30"/>
      <c r="B30" t="str">
        <f>IF($A30="","",VLOOKUP($A30,JupData!$A$2:$I$10000,4,FALSE))</f>
        <v/>
      </c>
      <c r="C30" s="7" t="str">
        <f>IF($A30="",IF(N(D30),0,""),VLOOKUP($A30,JupData!$A$2:$I$10000,7,FALSE))</f>
        <v/>
      </c>
      <c r="D30" t="str">
        <f t="shared" si="10"/>
        <v/>
      </c>
      <c r="E30" t="str">
        <f t="array" ref="E30">IF($A30="","",INDEX(JupData!$A$2:$K$10000,MATCH($A30&amp;E$1,JupData!$A$2:$A$10000&amp;JupData!$J$2:$J$10000,0),11))</f>
        <v/>
      </c>
      <c r="F30" t="str">
        <f t="array" ref="F30">IF($A30="","",INDEX(JupData!$A$2:$K$10000,MATCH($A30&amp;F$1,JupData!$A$2:$A$10000&amp;JupData!$J$2:$J$10000,0),11))</f>
        <v/>
      </c>
      <c r="G30" t="str">
        <f t="array" ref="G30">IF($A30="","",INDEX(JupData!$A$2:$K$10000,MATCH($A30&amp;G$1,JupData!$A$2:$A$10000&amp;JupData!$J$2:$J$10000,0),11))</f>
        <v/>
      </c>
      <c r="H30" t="str">
        <f t="array" ref="H30">IF($A30="","",INDEX(JupData!$A$2:$K$10000,MATCH($A30&amp;H$1,JupData!$A$2:$A$10000&amp;JupData!$J$2:$J$10000,0),11))</f>
        <v/>
      </c>
      <c r="I30" t="str">
        <f t="array" ref="I30">IF($A30="","",INDEX(JupData!$A$2:$K$10000,MATCH($A30&amp;I$1,JupData!$A$2:$A$10000&amp;JupData!$J$2:$J$10000,0),11))</f>
        <v/>
      </c>
      <c r="J30" t="str">
        <f t="array" ref="J30">IF($A30="","",INDEX(JupData!$A$2:$K$10000,MATCH($A30&amp;J$1,JupData!$A$2:$A$10000&amp;JupData!$J$2:$J$10000,0),11))</f>
        <v/>
      </c>
      <c r="K30" t="str">
        <f t="array" ref="K30">IF($A30="","",INDEX(JupData!$A$2:$K$10000,MATCH($A30&amp;K$1,JupData!$A$2:$A$10000&amp;JupData!$J$2:$J$10000,0),11))</f>
        <v/>
      </c>
      <c r="L30" t="str">
        <f t="array" ref="L30">IF($A30="","",INDEX(JupData!$A$2:$K$10000,MATCH($A30&amp;L$1,JupData!$A$2:$A$10000&amp;JupData!$J$2:$J$10000,0),11))</f>
        <v/>
      </c>
      <c r="M30" t="str">
        <f t="array" ref="M30">IF($A30="","",INDEX(JupData!$A$2:$K$10000,MATCH($A30&amp;M$1,JupData!$A$2:$A$10000&amp;JupData!$J$2:$J$10000,0),11))</f>
        <v/>
      </c>
      <c r="N30" t="str">
        <f t="array" ref="N30">IF($A30="","",INDEX(JupData!$A$2:$K$10000,MATCH($A30&amp;N$1,JupData!$A$2:$A$10000&amp;JupData!$J$2:$J$10000,0),11))</f>
        <v/>
      </c>
      <c r="O30" t="str">
        <f t="array" ref="O30">IF($A30="","",INDEX(JupData!$A$2:$K$10000,MATCH($A30&amp;O$1,JupData!$A$2:$A$10000&amp;JupData!$J$2:$J$10000,0),11))</f>
        <v/>
      </c>
      <c r="P30" t="str">
        <f t="array" ref="P30">IF($A30="","",INDEX(JupData!$A$2:$K$10000,MATCH($A30&amp;P$1,JupData!$A$2:$A$10000&amp;JupData!$J$2:$J$10000,0),11))</f>
        <v/>
      </c>
      <c r="Q30" t="str">
        <f t="array" ref="Q30">IF($A30="","",INDEX(JupData!$A$2:$K$10000,MATCH($A30&amp;Q$1,JupData!$A$2:$A$10000&amp;JupData!$J$2:$J$10000,0),11))</f>
        <v/>
      </c>
      <c r="R30" t="str">
        <f t="array" ref="R30">IF($A30="","",INDEX(JupData!$A$2:$K$10000,MATCH($A30&amp;R$1,JupData!$A$2:$A$10000&amp;JupData!$J$2:$J$10000,0),11))</f>
        <v/>
      </c>
      <c r="S30" t="str">
        <f t="array" ref="S30">IF($A30="","",INDEX(JupData!$A$2:$K$10000,MATCH($A30&amp;S$1,JupData!$A$2:$A$10000&amp;JupData!$J$2:$J$10000,0),11))</f>
        <v/>
      </c>
      <c r="T30" t="str">
        <f t="array" ref="T30">IF($A30="","",INDEX(JupData!$A$2:$K$10000,MATCH($A30&amp;T$1,JupData!$A$2:$A$10000&amp;JupData!$J$2:$J$10000,0),11))</f>
        <v/>
      </c>
      <c r="U30" t="str">
        <f t="array" ref="U30">IF($A30="","",INDEX(JupData!$A$2:$K$10000,MATCH($A30&amp;U$1,JupData!$A$2:$A$10000&amp;JupData!$J$2:$J$10000,0),11))</f>
        <v/>
      </c>
      <c r="V30" t="str">
        <f t="array" ref="V30">IF($A30="","",INDEX(JupData!$A$2:$K$10000,MATCH($A30&amp;V$1,JupData!$A$2:$A$10000&amp;JupData!$J$2:$J$10000,0),11))</f>
        <v/>
      </c>
      <c r="W30" t="str">
        <f t="array" ref="W30">IF($A30="","",INDEX(JupData!$A$2:$K$10000,MATCH($A30&amp;W$1,JupData!$A$2:$A$10000&amp;JupData!$J$2:$J$10000,0),11))</f>
        <v/>
      </c>
      <c r="X30" t="str">
        <f t="array" ref="X30">IF($A30="","",INDEX(JupData!$A$2:$K$10000,MATCH($A30&amp;X$1,JupData!$A$2:$A$10000&amp;JupData!$J$2:$J$10000,0),11))</f>
        <v/>
      </c>
      <c r="Y30" t="str">
        <f t="array" ref="Y30">IF($A30="","",INDEX(JupData!$A$2:$K$10000,MATCH($A30&amp;Y$1,JupData!$A$2:$A$10000&amp;JupData!$J$2:$J$10000,0),11))</f>
        <v/>
      </c>
      <c r="Z30" t="str">
        <f t="array" ref="Z30">IF($A30="","",INDEX(JupData!$A$2:$K$10000,MATCH($A30&amp;Z$1,JupData!$A$2:$A$10000&amp;JupData!$J$2:$J$10000,0),11))</f>
        <v/>
      </c>
      <c r="AA30" t="str">
        <f t="array" ref="AA30">IF($A30="","",INDEX(JupData!$A$2:$K$10000,MATCH($A30&amp;AA$1,JupData!$A$2:$A$10000&amp;JupData!$J$2:$J$10000,0),11))</f>
        <v/>
      </c>
      <c r="AB30" t="str">
        <f t="array" ref="AB30">IF($A30="","",INDEX(JupData!$A$2:$K$10000,MATCH($A30&amp;AB$1,JupData!$A$2:$A$10000&amp;JupData!$J$2:$J$10000,0),11))</f>
        <v/>
      </c>
      <c r="AC30" s="10" t="str">
        <f t="shared" si="0"/>
        <v/>
      </c>
      <c r="AD30" s="10" t="str">
        <f t="shared" si="1"/>
        <v/>
      </c>
      <c r="AE30" s="9" t="str">
        <f t="shared" si="2"/>
        <v/>
      </c>
      <c r="AF30" s="10" t="str">
        <f t="shared" si="3"/>
        <v/>
      </c>
      <c r="AG30" s="10" t="str">
        <f t="shared" si="4"/>
        <v/>
      </c>
      <c r="AH30" s="10" t="str">
        <f t="shared" si="5"/>
        <v/>
      </c>
      <c r="AI30" s="10" t="str">
        <f t="shared" si="6"/>
        <v/>
      </c>
      <c r="AJ30" s="10" t="str">
        <f t="shared" si="7"/>
        <v/>
      </c>
      <c r="AK30" s="10" t="str">
        <f t="shared" si="8"/>
        <v/>
      </c>
      <c r="AL30" s="14" t="str">
        <f t="shared" si="9"/>
        <v/>
      </c>
    </row>
    <row r="31" spans="1:38" x14ac:dyDescent="0.2">
      <c r="A31"/>
      <c r="B31" t="str">
        <f>IF($A31="","",VLOOKUP($A31,JupData!$A$2:$I$10000,4,FALSE))</f>
        <v/>
      </c>
      <c r="C31" s="7" t="str">
        <f>IF($A31="",IF(N(D31),0,""),VLOOKUP($A31,JupData!$A$2:$I$10000,7,FALSE))</f>
        <v/>
      </c>
      <c r="D31" t="str">
        <f t="shared" si="10"/>
        <v/>
      </c>
      <c r="E31" t="str">
        <f t="array" ref="E31">IF($A31="","",INDEX(JupData!$A$2:$K$10000,MATCH($A31&amp;E$1,JupData!$A$2:$A$10000&amp;JupData!$J$2:$J$10000,0),11))</f>
        <v/>
      </c>
      <c r="F31" t="str">
        <f t="array" ref="F31">IF($A31="","",INDEX(JupData!$A$2:$K$10000,MATCH($A31&amp;F$1,JupData!$A$2:$A$10000&amp;JupData!$J$2:$J$10000,0),11))</f>
        <v/>
      </c>
      <c r="G31" t="str">
        <f t="array" ref="G31">IF($A31="","",INDEX(JupData!$A$2:$K$10000,MATCH($A31&amp;G$1,JupData!$A$2:$A$10000&amp;JupData!$J$2:$J$10000,0),11))</f>
        <v/>
      </c>
      <c r="H31" t="str">
        <f t="array" ref="H31">IF($A31="","",INDEX(JupData!$A$2:$K$10000,MATCH($A31&amp;H$1,JupData!$A$2:$A$10000&amp;JupData!$J$2:$J$10000,0),11))</f>
        <v/>
      </c>
      <c r="I31" t="str">
        <f t="array" ref="I31">IF($A31="","",INDEX(JupData!$A$2:$K$10000,MATCH($A31&amp;I$1,JupData!$A$2:$A$10000&amp;JupData!$J$2:$J$10000,0),11))</f>
        <v/>
      </c>
      <c r="J31" t="str">
        <f t="array" ref="J31">IF($A31="","",INDEX(JupData!$A$2:$K$10000,MATCH($A31&amp;J$1,JupData!$A$2:$A$10000&amp;JupData!$J$2:$J$10000,0),11))</f>
        <v/>
      </c>
      <c r="K31" t="str">
        <f t="array" ref="K31">IF($A31="","",INDEX(JupData!$A$2:$K$10000,MATCH($A31&amp;K$1,JupData!$A$2:$A$10000&amp;JupData!$J$2:$J$10000,0),11))</f>
        <v/>
      </c>
      <c r="L31" t="str">
        <f t="array" ref="L31">IF($A31="","",INDEX(JupData!$A$2:$K$10000,MATCH($A31&amp;L$1,JupData!$A$2:$A$10000&amp;JupData!$J$2:$J$10000,0),11))</f>
        <v/>
      </c>
      <c r="M31" t="str">
        <f t="array" ref="M31">IF($A31="","",INDEX(JupData!$A$2:$K$10000,MATCH($A31&amp;M$1,JupData!$A$2:$A$10000&amp;JupData!$J$2:$J$10000,0),11))</f>
        <v/>
      </c>
      <c r="N31" t="str">
        <f t="array" ref="N31">IF($A31="","",INDEX(JupData!$A$2:$K$10000,MATCH($A31&amp;N$1,JupData!$A$2:$A$10000&amp;JupData!$J$2:$J$10000,0),11))</f>
        <v/>
      </c>
      <c r="O31" t="str">
        <f t="array" ref="O31">IF($A31="","",INDEX(JupData!$A$2:$K$10000,MATCH($A31&amp;O$1,JupData!$A$2:$A$10000&amp;JupData!$J$2:$J$10000,0),11))</f>
        <v/>
      </c>
      <c r="P31" t="str">
        <f t="array" ref="P31">IF($A31="","",INDEX(JupData!$A$2:$K$10000,MATCH($A31&amp;P$1,JupData!$A$2:$A$10000&amp;JupData!$J$2:$J$10000,0),11))</f>
        <v/>
      </c>
      <c r="Q31" t="str">
        <f t="array" ref="Q31">IF($A31="","",INDEX(JupData!$A$2:$K$10000,MATCH($A31&amp;Q$1,JupData!$A$2:$A$10000&amp;JupData!$J$2:$J$10000,0),11))</f>
        <v/>
      </c>
      <c r="R31" t="str">
        <f t="array" ref="R31">IF($A31="","",INDEX(JupData!$A$2:$K$10000,MATCH($A31&amp;R$1,JupData!$A$2:$A$10000&amp;JupData!$J$2:$J$10000,0),11))</f>
        <v/>
      </c>
      <c r="S31" t="str">
        <f t="array" ref="S31">IF($A31="","",INDEX(JupData!$A$2:$K$10000,MATCH($A31&amp;S$1,JupData!$A$2:$A$10000&amp;JupData!$J$2:$J$10000,0),11))</f>
        <v/>
      </c>
      <c r="T31" t="str">
        <f t="array" ref="T31">IF($A31="","",INDEX(JupData!$A$2:$K$10000,MATCH($A31&amp;T$1,JupData!$A$2:$A$10000&amp;JupData!$J$2:$J$10000,0),11))</f>
        <v/>
      </c>
      <c r="U31" t="str">
        <f t="array" ref="U31">IF($A31="","",INDEX(JupData!$A$2:$K$10000,MATCH($A31&amp;U$1,JupData!$A$2:$A$10000&amp;JupData!$J$2:$J$10000,0),11))</f>
        <v/>
      </c>
      <c r="V31" t="str">
        <f t="array" ref="V31">IF($A31="","",INDEX(JupData!$A$2:$K$10000,MATCH($A31&amp;V$1,JupData!$A$2:$A$10000&amp;JupData!$J$2:$J$10000,0),11))</f>
        <v/>
      </c>
      <c r="W31" t="str">
        <f t="array" ref="W31">IF($A31="","",INDEX(JupData!$A$2:$K$10000,MATCH($A31&amp;W$1,JupData!$A$2:$A$10000&amp;JupData!$J$2:$J$10000,0),11))</f>
        <v/>
      </c>
      <c r="X31" t="str">
        <f t="array" ref="X31">IF($A31="","",INDEX(JupData!$A$2:$K$10000,MATCH($A31&amp;X$1,JupData!$A$2:$A$10000&amp;JupData!$J$2:$J$10000,0),11))</f>
        <v/>
      </c>
      <c r="Y31" t="str">
        <f t="array" ref="Y31">IF($A31="","",INDEX(JupData!$A$2:$K$10000,MATCH($A31&amp;Y$1,JupData!$A$2:$A$10000&amp;JupData!$J$2:$J$10000,0),11))</f>
        <v/>
      </c>
      <c r="Z31" t="str">
        <f t="array" ref="Z31">IF($A31="","",INDEX(JupData!$A$2:$K$10000,MATCH($A31&amp;Z$1,JupData!$A$2:$A$10000&amp;JupData!$J$2:$J$10000,0),11))</f>
        <v/>
      </c>
      <c r="AA31" t="str">
        <f t="array" ref="AA31">IF($A31="","",INDEX(JupData!$A$2:$K$10000,MATCH($A31&amp;AA$1,JupData!$A$2:$A$10000&amp;JupData!$J$2:$J$10000,0),11))</f>
        <v/>
      </c>
      <c r="AB31" t="str">
        <f t="array" ref="AB31">IF($A31="","",INDEX(JupData!$A$2:$K$10000,MATCH($A31&amp;AB$1,JupData!$A$2:$A$10000&amp;JupData!$J$2:$J$10000,0),11))</f>
        <v/>
      </c>
      <c r="AC31" s="10" t="str">
        <f t="shared" si="0"/>
        <v/>
      </c>
      <c r="AD31" s="10" t="str">
        <f t="shared" si="1"/>
        <v/>
      </c>
      <c r="AE31" s="9" t="str">
        <f t="shared" si="2"/>
        <v/>
      </c>
      <c r="AF31" s="10" t="str">
        <f t="shared" si="3"/>
        <v/>
      </c>
      <c r="AG31" s="10" t="str">
        <f t="shared" si="4"/>
        <v/>
      </c>
      <c r="AH31" s="10" t="str">
        <f t="shared" si="5"/>
        <v/>
      </c>
      <c r="AI31" s="10" t="str">
        <f t="shared" si="6"/>
        <v/>
      </c>
      <c r="AJ31" s="10" t="str">
        <f t="shared" si="7"/>
        <v/>
      </c>
      <c r="AK31" s="10" t="str">
        <f t="shared" si="8"/>
        <v/>
      </c>
      <c r="AL31" s="14" t="str">
        <f t="shared" si="9"/>
        <v/>
      </c>
    </row>
    <row r="32" spans="1:38" x14ac:dyDescent="0.2">
      <c r="A32"/>
      <c r="B32" t="str">
        <f>IF($A32="","",VLOOKUP($A32,JupData!$A$2:$I$10000,4,FALSE))</f>
        <v/>
      </c>
      <c r="C32" s="7" t="str">
        <f>IF($A32="",IF(N(D32),0,""),VLOOKUP($A32,JupData!$A$2:$I$10000,7,FALSE))</f>
        <v/>
      </c>
      <c r="D32" t="str">
        <f t="shared" si="10"/>
        <v/>
      </c>
      <c r="E32" t="str">
        <f t="array" ref="E32">IF($A32="","",INDEX(JupData!$A$2:$K$10000,MATCH($A32&amp;E$1,JupData!$A$2:$A$10000&amp;JupData!$J$2:$J$10000,0),11))</f>
        <v/>
      </c>
      <c r="F32" t="str">
        <f t="array" ref="F32">IF($A32="","",INDEX(JupData!$A$2:$K$10000,MATCH($A32&amp;F$1,JupData!$A$2:$A$10000&amp;JupData!$J$2:$J$10000,0),11))</f>
        <v/>
      </c>
      <c r="G32" t="str">
        <f t="array" ref="G32">IF($A32="","",INDEX(JupData!$A$2:$K$10000,MATCH($A32&amp;G$1,JupData!$A$2:$A$10000&amp;JupData!$J$2:$J$10000,0),11))</f>
        <v/>
      </c>
      <c r="H32" t="str">
        <f t="array" ref="H32">IF($A32="","",INDEX(JupData!$A$2:$K$10000,MATCH($A32&amp;H$1,JupData!$A$2:$A$10000&amp;JupData!$J$2:$J$10000,0),11))</f>
        <v/>
      </c>
      <c r="I32" t="str">
        <f t="array" ref="I32">IF($A32="","",INDEX(JupData!$A$2:$K$10000,MATCH($A32&amp;I$1,JupData!$A$2:$A$10000&amp;JupData!$J$2:$J$10000,0),11))</f>
        <v/>
      </c>
      <c r="J32" t="str">
        <f t="array" ref="J32">IF($A32="","",INDEX(JupData!$A$2:$K$10000,MATCH($A32&amp;J$1,JupData!$A$2:$A$10000&amp;JupData!$J$2:$J$10000,0),11))</f>
        <v/>
      </c>
      <c r="K32" t="str">
        <f t="array" ref="K32">IF($A32="","",INDEX(JupData!$A$2:$K$10000,MATCH($A32&amp;K$1,JupData!$A$2:$A$10000&amp;JupData!$J$2:$J$10000,0),11))</f>
        <v/>
      </c>
      <c r="L32" t="str">
        <f t="array" ref="L32">IF($A32="","",INDEX(JupData!$A$2:$K$10000,MATCH($A32&amp;L$1,JupData!$A$2:$A$10000&amp;JupData!$J$2:$J$10000,0),11))</f>
        <v/>
      </c>
      <c r="M32" t="str">
        <f t="array" ref="M32">IF($A32="","",INDEX(JupData!$A$2:$K$10000,MATCH($A32&amp;M$1,JupData!$A$2:$A$10000&amp;JupData!$J$2:$J$10000,0),11))</f>
        <v/>
      </c>
      <c r="N32" t="str">
        <f t="array" ref="N32">IF($A32="","",INDEX(JupData!$A$2:$K$10000,MATCH($A32&amp;N$1,JupData!$A$2:$A$10000&amp;JupData!$J$2:$J$10000,0),11))</f>
        <v/>
      </c>
      <c r="O32" t="str">
        <f t="array" ref="O32">IF($A32="","",INDEX(JupData!$A$2:$K$10000,MATCH($A32&amp;O$1,JupData!$A$2:$A$10000&amp;JupData!$J$2:$J$10000,0),11))</f>
        <v/>
      </c>
      <c r="P32" t="str">
        <f t="array" ref="P32">IF($A32="","",INDEX(JupData!$A$2:$K$10000,MATCH($A32&amp;P$1,JupData!$A$2:$A$10000&amp;JupData!$J$2:$J$10000,0),11))</f>
        <v/>
      </c>
      <c r="Q32" t="str">
        <f t="array" ref="Q32">IF($A32="","",INDEX(JupData!$A$2:$K$10000,MATCH($A32&amp;Q$1,JupData!$A$2:$A$10000&amp;JupData!$J$2:$J$10000,0),11))</f>
        <v/>
      </c>
      <c r="R32" t="str">
        <f t="array" ref="R32">IF($A32="","",INDEX(JupData!$A$2:$K$10000,MATCH($A32&amp;R$1,JupData!$A$2:$A$10000&amp;JupData!$J$2:$J$10000,0),11))</f>
        <v/>
      </c>
      <c r="S32" t="str">
        <f t="array" ref="S32">IF($A32="","",INDEX(JupData!$A$2:$K$10000,MATCH($A32&amp;S$1,JupData!$A$2:$A$10000&amp;JupData!$J$2:$J$10000,0),11))</f>
        <v/>
      </c>
      <c r="T32" t="str">
        <f t="array" ref="T32">IF($A32="","",INDEX(JupData!$A$2:$K$10000,MATCH($A32&amp;T$1,JupData!$A$2:$A$10000&amp;JupData!$J$2:$J$10000,0),11))</f>
        <v/>
      </c>
      <c r="U32" t="str">
        <f t="array" ref="U32">IF($A32="","",INDEX(JupData!$A$2:$K$10000,MATCH($A32&amp;U$1,JupData!$A$2:$A$10000&amp;JupData!$J$2:$J$10000,0),11))</f>
        <v/>
      </c>
      <c r="V32" t="str">
        <f t="array" ref="V32">IF($A32="","",INDEX(JupData!$A$2:$K$10000,MATCH($A32&amp;V$1,JupData!$A$2:$A$10000&amp;JupData!$J$2:$J$10000,0),11))</f>
        <v/>
      </c>
      <c r="W32" t="str">
        <f t="array" ref="W32">IF($A32="","",INDEX(JupData!$A$2:$K$10000,MATCH($A32&amp;W$1,JupData!$A$2:$A$10000&amp;JupData!$J$2:$J$10000,0),11))</f>
        <v/>
      </c>
      <c r="X32" t="str">
        <f t="array" ref="X32">IF($A32="","",INDEX(JupData!$A$2:$K$10000,MATCH($A32&amp;X$1,JupData!$A$2:$A$10000&amp;JupData!$J$2:$J$10000,0),11))</f>
        <v/>
      </c>
      <c r="Y32" t="str">
        <f t="array" ref="Y32">IF($A32="","",INDEX(JupData!$A$2:$K$10000,MATCH($A32&amp;Y$1,JupData!$A$2:$A$10000&amp;JupData!$J$2:$J$10000,0),11))</f>
        <v/>
      </c>
      <c r="Z32" t="str">
        <f t="array" ref="Z32">IF($A32="","",INDEX(JupData!$A$2:$K$10000,MATCH($A32&amp;Z$1,JupData!$A$2:$A$10000&amp;JupData!$J$2:$J$10000,0),11))</f>
        <v/>
      </c>
      <c r="AA32" t="str">
        <f t="array" ref="AA32">IF($A32="","",INDEX(JupData!$A$2:$K$10000,MATCH($A32&amp;AA$1,JupData!$A$2:$A$10000&amp;JupData!$J$2:$J$10000,0),11))</f>
        <v/>
      </c>
      <c r="AB32" t="str">
        <f t="array" ref="AB32">IF($A32="","",INDEX(JupData!$A$2:$K$10000,MATCH($A32&amp;AB$1,JupData!$A$2:$A$10000&amp;JupData!$J$2:$J$10000,0),11))</f>
        <v/>
      </c>
      <c r="AC32" s="10" t="str">
        <f t="shared" si="0"/>
        <v/>
      </c>
      <c r="AD32" s="10" t="str">
        <f t="shared" si="1"/>
        <v/>
      </c>
      <c r="AE32" s="9" t="str">
        <f t="shared" si="2"/>
        <v/>
      </c>
      <c r="AF32" s="10" t="str">
        <f t="shared" si="3"/>
        <v/>
      </c>
      <c r="AG32" s="10" t="str">
        <f t="shared" si="4"/>
        <v/>
      </c>
      <c r="AH32" s="10" t="str">
        <f t="shared" si="5"/>
        <v/>
      </c>
      <c r="AI32" s="10" t="str">
        <f t="shared" si="6"/>
        <v/>
      </c>
      <c r="AJ32" s="10" t="str">
        <f t="shared" si="7"/>
        <v/>
      </c>
      <c r="AK32" s="10" t="str">
        <f t="shared" si="8"/>
        <v/>
      </c>
      <c r="AL32" s="14" t="str">
        <f t="shared" si="9"/>
        <v/>
      </c>
    </row>
    <row r="33" spans="1:38" x14ac:dyDescent="0.2">
      <c r="A33"/>
      <c r="B33" t="str">
        <f>IF($A33="","",VLOOKUP($A33,JupData!$A$2:$I$10000,4,FALSE))</f>
        <v/>
      </c>
      <c r="C33" s="7" t="str">
        <f>IF($A33="",IF(N(D33),0,""),VLOOKUP($A33,JupData!$A$2:$I$10000,7,FALSE))</f>
        <v/>
      </c>
      <c r="D33" t="str">
        <f t="shared" si="10"/>
        <v/>
      </c>
      <c r="E33" t="str">
        <f t="array" ref="E33">IF($A33="","",INDEX(JupData!$A$2:$K$10000,MATCH($A33&amp;E$1,JupData!$A$2:$A$10000&amp;JupData!$J$2:$J$10000,0),11))</f>
        <v/>
      </c>
      <c r="F33" t="str">
        <f t="array" ref="F33">IF($A33="","",INDEX(JupData!$A$2:$K$10000,MATCH($A33&amp;F$1,JupData!$A$2:$A$10000&amp;JupData!$J$2:$J$10000,0),11))</f>
        <v/>
      </c>
      <c r="G33" t="str">
        <f t="array" ref="G33">IF($A33="","",INDEX(JupData!$A$2:$K$10000,MATCH($A33&amp;G$1,JupData!$A$2:$A$10000&amp;JupData!$J$2:$J$10000,0),11))</f>
        <v/>
      </c>
      <c r="H33" t="str">
        <f t="array" ref="H33">IF($A33="","",INDEX(JupData!$A$2:$K$10000,MATCH($A33&amp;H$1,JupData!$A$2:$A$10000&amp;JupData!$J$2:$J$10000,0),11))</f>
        <v/>
      </c>
      <c r="I33" t="str">
        <f t="array" ref="I33">IF($A33="","",INDEX(JupData!$A$2:$K$10000,MATCH($A33&amp;I$1,JupData!$A$2:$A$10000&amp;JupData!$J$2:$J$10000,0),11))</f>
        <v/>
      </c>
      <c r="J33" t="str">
        <f t="array" ref="J33">IF($A33="","",INDEX(JupData!$A$2:$K$10000,MATCH($A33&amp;J$1,JupData!$A$2:$A$10000&amp;JupData!$J$2:$J$10000,0),11))</f>
        <v/>
      </c>
      <c r="K33" t="str">
        <f t="array" ref="K33">IF($A33="","",INDEX(JupData!$A$2:$K$10000,MATCH($A33&amp;K$1,JupData!$A$2:$A$10000&amp;JupData!$J$2:$J$10000,0),11))</f>
        <v/>
      </c>
      <c r="L33" t="str">
        <f t="array" ref="L33">IF($A33="","",INDEX(JupData!$A$2:$K$10000,MATCH($A33&amp;L$1,JupData!$A$2:$A$10000&amp;JupData!$J$2:$J$10000,0),11))</f>
        <v/>
      </c>
      <c r="M33" t="str">
        <f t="array" ref="M33">IF($A33="","",INDEX(JupData!$A$2:$K$10000,MATCH($A33&amp;M$1,JupData!$A$2:$A$10000&amp;JupData!$J$2:$J$10000,0),11))</f>
        <v/>
      </c>
      <c r="N33" t="str">
        <f t="array" ref="N33">IF($A33="","",INDEX(JupData!$A$2:$K$10000,MATCH($A33&amp;N$1,JupData!$A$2:$A$10000&amp;JupData!$J$2:$J$10000,0),11))</f>
        <v/>
      </c>
      <c r="O33" t="str">
        <f t="array" ref="O33">IF($A33="","",INDEX(JupData!$A$2:$K$10000,MATCH($A33&amp;O$1,JupData!$A$2:$A$10000&amp;JupData!$J$2:$J$10000,0),11))</f>
        <v/>
      </c>
      <c r="P33" t="str">
        <f t="array" ref="P33">IF($A33="","",INDEX(JupData!$A$2:$K$10000,MATCH($A33&amp;P$1,JupData!$A$2:$A$10000&amp;JupData!$J$2:$J$10000,0),11))</f>
        <v/>
      </c>
      <c r="Q33" t="str">
        <f t="array" ref="Q33">IF($A33="","",INDEX(JupData!$A$2:$K$10000,MATCH($A33&amp;Q$1,JupData!$A$2:$A$10000&amp;JupData!$J$2:$J$10000,0),11))</f>
        <v/>
      </c>
      <c r="R33" t="str">
        <f t="array" ref="R33">IF($A33="","",INDEX(JupData!$A$2:$K$10000,MATCH($A33&amp;R$1,JupData!$A$2:$A$10000&amp;JupData!$J$2:$J$10000,0),11))</f>
        <v/>
      </c>
      <c r="S33" t="str">
        <f t="array" ref="S33">IF($A33="","",INDEX(JupData!$A$2:$K$10000,MATCH($A33&amp;S$1,JupData!$A$2:$A$10000&amp;JupData!$J$2:$J$10000,0),11))</f>
        <v/>
      </c>
      <c r="T33" t="str">
        <f t="array" ref="T33">IF($A33="","",INDEX(JupData!$A$2:$K$10000,MATCH($A33&amp;T$1,JupData!$A$2:$A$10000&amp;JupData!$J$2:$J$10000,0),11))</f>
        <v/>
      </c>
      <c r="U33" t="str">
        <f t="array" ref="U33">IF($A33="","",INDEX(JupData!$A$2:$K$10000,MATCH($A33&amp;U$1,JupData!$A$2:$A$10000&amp;JupData!$J$2:$J$10000,0),11))</f>
        <v/>
      </c>
      <c r="V33" t="str">
        <f t="array" ref="V33">IF($A33="","",INDEX(JupData!$A$2:$K$10000,MATCH($A33&amp;V$1,JupData!$A$2:$A$10000&amp;JupData!$J$2:$J$10000,0),11))</f>
        <v/>
      </c>
      <c r="W33" t="str">
        <f t="array" ref="W33">IF($A33="","",INDEX(JupData!$A$2:$K$10000,MATCH($A33&amp;W$1,JupData!$A$2:$A$10000&amp;JupData!$J$2:$J$10000,0),11))</f>
        <v/>
      </c>
      <c r="X33" t="str">
        <f t="array" ref="X33">IF($A33="","",INDEX(JupData!$A$2:$K$10000,MATCH($A33&amp;X$1,JupData!$A$2:$A$10000&amp;JupData!$J$2:$J$10000,0),11))</f>
        <v/>
      </c>
      <c r="Y33" t="str">
        <f t="array" ref="Y33">IF($A33="","",INDEX(JupData!$A$2:$K$10000,MATCH($A33&amp;Y$1,JupData!$A$2:$A$10000&amp;JupData!$J$2:$J$10000,0),11))</f>
        <v/>
      </c>
      <c r="Z33" t="str">
        <f t="array" ref="Z33">IF($A33="","",INDEX(JupData!$A$2:$K$10000,MATCH($A33&amp;Z$1,JupData!$A$2:$A$10000&amp;JupData!$J$2:$J$10000,0),11))</f>
        <v/>
      </c>
      <c r="AA33" t="str">
        <f t="array" ref="AA33">IF($A33="","",INDEX(JupData!$A$2:$K$10000,MATCH($A33&amp;AA$1,JupData!$A$2:$A$10000&amp;JupData!$J$2:$J$10000,0),11))</f>
        <v/>
      </c>
      <c r="AB33" t="str">
        <f t="array" ref="AB33">IF($A33="","",INDEX(JupData!$A$2:$K$10000,MATCH($A33&amp;AB$1,JupData!$A$2:$A$10000&amp;JupData!$J$2:$J$10000,0),11))</f>
        <v/>
      </c>
      <c r="AC33" s="10" t="str">
        <f t="shared" si="0"/>
        <v/>
      </c>
      <c r="AD33" s="10" t="str">
        <f t="shared" si="1"/>
        <v/>
      </c>
      <c r="AE33" s="9" t="str">
        <f t="shared" si="2"/>
        <v/>
      </c>
      <c r="AF33" s="10" t="str">
        <f t="shared" si="3"/>
        <v/>
      </c>
      <c r="AG33" s="10" t="str">
        <f t="shared" si="4"/>
        <v/>
      </c>
      <c r="AH33" s="10" t="str">
        <f t="shared" si="5"/>
        <v/>
      </c>
      <c r="AI33" s="10" t="str">
        <f t="shared" si="6"/>
        <v/>
      </c>
      <c r="AJ33" s="10" t="str">
        <f t="shared" si="7"/>
        <v/>
      </c>
      <c r="AK33" s="10" t="str">
        <f t="shared" si="8"/>
        <v/>
      </c>
      <c r="AL33" s="14" t="str">
        <f t="shared" si="9"/>
        <v/>
      </c>
    </row>
    <row r="34" spans="1:38" x14ac:dyDescent="0.2">
      <c r="A34"/>
      <c r="B34" t="str">
        <f>IF($A34="","",VLOOKUP($A34,JupData!$A$2:$I$10000,4,FALSE))</f>
        <v/>
      </c>
      <c r="C34" s="7" t="str">
        <f>IF($A34="",IF(N(D34),0,""),VLOOKUP($A34,JupData!$A$2:$I$10000,7,FALSE))</f>
        <v/>
      </c>
      <c r="D34" t="str">
        <f t="shared" si="10"/>
        <v/>
      </c>
      <c r="E34" t="str">
        <f t="array" ref="E34">IF($A34="","",INDEX(JupData!$A$2:$K$10000,MATCH($A34&amp;E$1,JupData!$A$2:$A$10000&amp;JupData!$J$2:$J$10000,0),11))</f>
        <v/>
      </c>
      <c r="F34" t="str">
        <f t="array" ref="F34">IF($A34="","",INDEX(JupData!$A$2:$K$10000,MATCH($A34&amp;F$1,JupData!$A$2:$A$10000&amp;JupData!$J$2:$J$10000,0),11))</f>
        <v/>
      </c>
      <c r="G34" t="str">
        <f t="array" ref="G34">IF($A34="","",INDEX(JupData!$A$2:$K$10000,MATCH($A34&amp;G$1,JupData!$A$2:$A$10000&amp;JupData!$J$2:$J$10000,0),11))</f>
        <v/>
      </c>
      <c r="H34" t="str">
        <f t="array" ref="H34">IF($A34="","",INDEX(JupData!$A$2:$K$10000,MATCH($A34&amp;H$1,JupData!$A$2:$A$10000&amp;JupData!$J$2:$J$10000,0),11))</f>
        <v/>
      </c>
      <c r="I34" t="str">
        <f t="array" ref="I34">IF($A34="","",INDEX(JupData!$A$2:$K$10000,MATCH($A34&amp;I$1,JupData!$A$2:$A$10000&amp;JupData!$J$2:$J$10000,0),11))</f>
        <v/>
      </c>
      <c r="J34" t="str">
        <f t="array" ref="J34">IF($A34="","",INDEX(JupData!$A$2:$K$10000,MATCH($A34&amp;J$1,JupData!$A$2:$A$10000&amp;JupData!$J$2:$J$10000,0),11))</f>
        <v/>
      </c>
      <c r="K34" t="str">
        <f t="array" ref="K34">IF($A34="","",INDEX(JupData!$A$2:$K$10000,MATCH($A34&amp;K$1,JupData!$A$2:$A$10000&amp;JupData!$J$2:$J$10000,0),11))</f>
        <v/>
      </c>
      <c r="L34" t="str">
        <f t="array" ref="L34">IF($A34="","",INDEX(JupData!$A$2:$K$10000,MATCH($A34&amp;L$1,JupData!$A$2:$A$10000&amp;JupData!$J$2:$J$10000,0),11))</f>
        <v/>
      </c>
      <c r="M34" t="str">
        <f t="array" ref="M34">IF($A34="","",INDEX(JupData!$A$2:$K$10000,MATCH($A34&amp;M$1,JupData!$A$2:$A$10000&amp;JupData!$J$2:$J$10000,0),11))</f>
        <v/>
      </c>
      <c r="N34" t="str">
        <f t="array" ref="N34">IF($A34="","",INDEX(JupData!$A$2:$K$10000,MATCH($A34&amp;N$1,JupData!$A$2:$A$10000&amp;JupData!$J$2:$J$10000,0),11))</f>
        <v/>
      </c>
      <c r="O34" t="str">
        <f t="array" ref="O34">IF($A34="","",INDEX(JupData!$A$2:$K$10000,MATCH($A34&amp;O$1,JupData!$A$2:$A$10000&amp;JupData!$J$2:$J$10000,0),11))</f>
        <v/>
      </c>
      <c r="P34" t="str">
        <f t="array" ref="P34">IF($A34="","",INDEX(JupData!$A$2:$K$10000,MATCH($A34&amp;P$1,JupData!$A$2:$A$10000&amp;JupData!$J$2:$J$10000,0),11))</f>
        <v/>
      </c>
      <c r="Q34" t="str">
        <f t="array" ref="Q34">IF($A34="","",INDEX(JupData!$A$2:$K$10000,MATCH($A34&amp;Q$1,JupData!$A$2:$A$10000&amp;JupData!$J$2:$J$10000,0),11))</f>
        <v/>
      </c>
      <c r="R34" t="str">
        <f t="array" ref="R34">IF($A34="","",INDEX(JupData!$A$2:$K$10000,MATCH($A34&amp;R$1,JupData!$A$2:$A$10000&amp;JupData!$J$2:$J$10000,0),11))</f>
        <v/>
      </c>
      <c r="S34" t="str">
        <f t="array" ref="S34">IF($A34="","",INDEX(JupData!$A$2:$K$10000,MATCH($A34&amp;S$1,JupData!$A$2:$A$10000&amp;JupData!$J$2:$J$10000,0),11))</f>
        <v/>
      </c>
      <c r="T34" t="str">
        <f t="array" ref="T34">IF($A34="","",INDEX(JupData!$A$2:$K$10000,MATCH($A34&amp;T$1,JupData!$A$2:$A$10000&amp;JupData!$J$2:$J$10000,0),11))</f>
        <v/>
      </c>
      <c r="U34" t="str">
        <f t="array" ref="U34">IF($A34="","",INDEX(JupData!$A$2:$K$10000,MATCH($A34&amp;U$1,JupData!$A$2:$A$10000&amp;JupData!$J$2:$J$10000,0),11))</f>
        <v/>
      </c>
      <c r="V34" t="str">
        <f t="array" ref="V34">IF($A34="","",INDEX(JupData!$A$2:$K$10000,MATCH($A34&amp;V$1,JupData!$A$2:$A$10000&amp;JupData!$J$2:$J$10000,0),11))</f>
        <v/>
      </c>
      <c r="W34" t="str">
        <f t="array" ref="W34">IF($A34="","",INDEX(JupData!$A$2:$K$10000,MATCH($A34&amp;W$1,JupData!$A$2:$A$10000&amp;JupData!$J$2:$J$10000,0),11))</f>
        <v/>
      </c>
      <c r="X34" t="str">
        <f t="array" ref="X34">IF($A34="","",INDEX(JupData!$A$2:$K$10000,MATCH($A34&amp;X$1,JupData!$A$2:$A$10000&amp;JupData!$J$2:$J$10000,0),11))</f>
        <v/>
      </c>
      <c r="Y34" t="str">
        <f t="array" ref="Y34">IF($A34="","",INDEX(JupData!$A$2:$K$10000,MATCH($A34&amp;Y$1,JupData!$A$2:$A$10000&amp;JupData!$J$2:$J$10000,0),11))</f>
        <v/>
      </c>
      <c r="Z34" t="str">
        <f t="array" ref="Z34">IF($A34="","",INDEX(JupData!$A$2:$K$10000,MATCH($A34&amp;Z$1,JupData!$A$2:$A$10000&amp;JupData!$J$2:$J$10000,0),11))</f>
        <v/>
      </c>
      <c r="AA34" t="str">
        <f t="array" ref="AA34">IF($A34="","",INDEX(JupData!$A$2:$K$10000,MATCH($A34&amp;AA$1,JupData!$A$2:$A$10000&amp;JupData!$J$2:$J$10000,0),11))</f>
        <v/>
      </c>
      <c r="AB34" t="str">
        <f t="array" ref="AB34">IF($A34="","",INDEX(JupData!$A$2:$K$10000,MATCH($A34&amp;AB$1,JupData!$A$2:$A$10000&amp;JupData!$J$2:$J$10000,0),11))</f>
        <v/>
      </c>
      <c r="AC34" s="10" t="str">
        <f t="shared" si="0"/>
        <v/>
      </c>
      <c r="AD34" s="10" t="str">
        <f t="shared" si="1"/>
        <v/>
      </c>
      <c r="AE34" s="9" t="str">
        <f t="shared" si="2"/>
        <v/>
      </c>
      <c r="AF34" s="10" t="str">
        <f t="shared" si="3"/>
        <v/>
      </c>
      <c r="AG34" s="10" t="str">
        <f t="shared" si="4"/>
        <v/>
      </c>
      <c r="AH34" s="10" t="str">
        <f t="shared" si="5"/>
        <v/>
      </c>
      <c r="AI34" s="10" t="str">
        <f t="shared" si="6"/>
        <v/>
      </c>
      <c r="AJ34" s="10" t="str">
        <f t="shared" si="7"/>
        <v/>
      </c>
      <c r="AK34" s="10" t="str">
        <f t="shared" si="8"/>
        <v/>
      </c>
      <c r="AL34" s="14" t="str">
        <f t="shared" si="9"/>
        <v/>
      </c>
    </row>
    <row r="35" spans="1:38" x14ac:dyDescent="0.2">
      <c r="A35"/>
      <c r="B35" t="str">
        <f>IF($A35="","",VLOOKUP($A35,JupData!$A$2:$I$10000,4,FALSE))</f>
        <v/>
      </c>
      <c r="C35" s="7" t="str">
        <f>IF($A35="",IF(N(D35),0,""),VLOOKUP($A35,JupData!$A$2:$I$10000,7,FALSE))</f>
        <v/>
      </c>
      <c r="D35" t="str">
        <f t="shared" si="10"/>
        <v/>
      </c>
      <c r="E35" t="str">
        <f t="array" ref="E35">IF($A35="","",INDEX(JupData!$A$2:$K$10000,MATCH($A35&amp;E$1,JupData!$A$2:$A$10000&amp;JupData!$J$2:$J$10000,0),11))</f>
        <v/>
      </c>
      <c r="F35" t="str">
        <f t="array" ref="F35">IF($A35="","",INDEX(JupData!$A$2:$K$10000,MATCH($A35&amp;F$1,JupData!$A$2:$A$10000&amp;JupData!$J$2:$J$10000,0),11))</f>
        <v/>
      </c>
      <c r="G35" t="str">
        <f t="array" ref="G35">IF($A35="","",INDEX(JupData!$A$2:$K$10000,MATCH($A35&amp;G$1,JupData!$A$2:$A$10000&amp;JupData!$J$2:$J$10000,0),11))</f>
        <v/>
      </c>
      <c r="H35" t="str">
        <f t="array" ref="H35">IF($A35="","",INDEX(JupData!$A$2:$K$10000,MATCH($A35&amp;H$1,JupData!$A$2:$A$10000&amp;JupData!$J$2:$J$10000,0),11))</f>
        <v/>
      </c>
      <c r="I35" t="str">
        <f t="array" ref="I35">IF($A35="","",INDEX(JupData!$A$2:$K$10000,MATCH($A35&amp;I$1,JupData!$A$2:$A$10000&amp;JupData!$J$2:$J$10000,0),11))</f>
        <v/>
      </c>
      <c r="J35" t="str">
        <f t="array" ref="J35">IF($A35="","",INDEX(JupData!$A$2:$K$10000,MATCH($A35&amp;J$1,JupData!$A$2:$A$10000&amp;JupData!$J$2:$J$10000,0),11))</f>
        <v/>
      </c>
      <c r="K35" t="str">
        <f t="array" ref="K35">IF($A35="","",INDEX(JupData!$A$2:$K$10000,MATCH($A35&amp;K$1,JupData!$A$2:$A$10000&amp;JupData!$J$2:$J$10000,0),11))</f>
        <v/>
      </c>
      <c r="L35" t="str">
        <f t="array" ref="L35">IF($A35="","",INDEX(JupData!$A$2:$K$10000,MATCH($A35&amp;L$1,JupData!$A$2:$A$10000&amp;JupData!$J$2:$J$10000,0),11))</f>
        <v/>
      </c>
      <c r="M35" t="str">
        <f t="array" ref="M35">IF($A35="","",INDEX(JupData!$A$2:$K$10000,MATCH($A35&amp;M$1,JupData!$A$2:$A$10000&amp;JupData!$J$2:$J$10000,0),11))</f>
        <v/>
      </c>
      <c r="N35" t="str">
        <f t="array" ref="N35">IF($A35="","",INDEX(JupData!$A$2:$K$10000,MATCH($A35&amp;N$1,JupData!$A$2:$A$10000&amp;JupData!$J$2:$J$10000,0),11))</f>
        <v/>
      </c>
      <c r="O35" t="str">
        <f t="array" ref="O35">IF($A35="","",INDEX(JupData!$A$2:$K$10000,MATCH($A35&amp;O$1,JupData!$A$2:$A$10000&amp;JupData!$J$2:$J$10000,0),11))</f>
        <v/>
      </c>
      <c r="P35" t="str">
        <f t="array" ref="P35">IF($A35="","",INDEX(JupData!$A$2:$K$10000,MATCH($A35&amp;P$1,JupData!$A$2:$A$10000&amp;JupData!$J$2:$J$10000,0),11))</f>
        <v/>
      </c>
      <c r="Q35" t="str">
        <f t="array" ref="Q35">IF($A35="","",INDEX(JupData!$A$2:$K$10000,MATCH($A35&amp;Q$1,JupData!$A$2:$A$10000&amp;JupData!$J$2:$J$10000,0),11))</f>
        <v/>
      </c>
      <c r="R35" t="str">
        <f t="array" ref="R35">IF($A35="","",INDEX(JupData!$A$2:$K$10000,MATCH($A35&amp;R$1,JupData!$A$2:$A$10000&amp;JupData!$J$2:$J$10000,0),11))</f>
        <v/>
      </c>
      <c r="S35" t="str">
        <f t="array" ref="S35">IF($A35="","",INDEX(JupData!$A$2:$K$10000,MATCH($A35&amp;S$1,JupData!$A$2:$A$10000&amp;JupData!$J$2:$J$10000,0),11))</f>
        <v/>
      </c>
      <c r="T35" t="str">
        <f t="array" ref="T35">IF($A35="","",INDEX(JupData!$A$2:$K$10000,MATCH($A35&amp;T$1,JupData!$A$2:$A$10000&amp;JupData!$J$2:$J$10000,0),11))</f>
        <v/>
      </c>
      <c r="U35" t="str">
        <f t="array" ref="U35">IF($A35="","",INDEX(JupData!$A$2:$K$10000,MATCH($A35&amp;U$1,JupData!$A$2:$A$10000&amp;JupData!$J$2:$J$10000,0),11))</f>
        <v/>
      </c>
      <c r="V35" t="str">
        <f t="array" ref="V35">IF($A35="","",INDEX(JupData!$A$2:$K$10000,MATCH($A35&amp;V$1,JupData!$A$2:$A$10000&amp;JupData!$J$2:$J$10000,0),11))</f>
        <v/>
      </c>
      <c r="W35" t="str">
        <f t="array" ref="W35">IF($A35="","",INDEX(JupData!$A$2:$K$10000,MATCH($A35&amp;W$1,JupData!$A$2:$A$10000&amp;JupData!$J$2:$J$10000,0),11))</f>
        <v/>
      </c>
      <c r="X35" t="str">
        <f t="array" ref="X35">IF($A35="","",INDEX(JupData!$A$2:$K$10000,MATCH($A35&amp;X$1,JupData!$A$2:$A$10000&amp;JupData!$J$2:$J$10000,0),11))</f>
        <v/>
      </c>
      <c r="Y35" t="str">
        <f t="array" ref="Y35">IF($A35="","",INDEX(JupData!$A$2:$K$10000,MATCH($A35&amp;Y$1,JupData!$A$2:$A$10000&amp;JupData!$J$2:$J$10000,0),11))</f>
        <v/>
      </c>
      <c r="Z35" t="str">
        <f t="array" ref="Z35">IF($A35="","",INDEX(JupData!$A$2:$K$10000,MATCH($A35&amp;Z$1,JupData!$A$2:$A$10000&amp;JupData!$J$2:$J$10000,0),11))</f>
        <v/>
      </c>
      <c r="AA35" t="str">
        <f t="array" ref="AA35">IF($A35="","",INDEX(JupData!$A$2:$K$10000,MATCH($A35&amp;AA$1,JupData!$A$2:$A$10000&amp;JupData!$J$2:$J$10000,0),11))</f>
        <v/>
      </c>
      <c r="AB35" t="str">
        <f t="array" ref="AB35">IF($A35="","",INDEX(JupData!$A$2:$K$10000,MATCH($A35&amp;AB$1,JupData!$A$2:$A$10000&amp;JupData!$J$2:$J$10000,0),11))</f>
        <v/>
      </c>
      <c r="AC35" s="10" t="str">
        <f t="shared" si="0"/>
        <v/>
      </c>
      <c r="AD35" s="10" t="str">
        <f t="shared" si="1"/>
        <v/>
      </c>
      <c r="AE35" s="9" t="str">
        <f t="shared" si="2"/>
        <v/>
      </c>
      <c r="AF35" s="10" t="str">
        <f t="shared" si="3"/>
        <v/>
      </c>
      <c r="AG35" s="10" t="str">
        <f t="shared" si="4"/>
        <v/>
      </c>
      <c r="AH35" s="10" t="str">
        <f t="shared" si="5"/>
        <v/>
      </c>
      <c r="AI35" s="10" t="str">
        <f t="shared" si="6"/>
        <v/>
      </c>
      <c r="AJ35" s="10" t="str">
        <f t="shared" si="7"/>
        <v/>
      </c>
      <c r="AK35" s="10" t="str">
        <f t="shared" si="8"/>
        <v/>
      </c>
      <c r="AL35" s="14" t="str">
        <f t="shared" si="9"/>
        <v/>
      </c>
    </row>
    <row r="36" spans="1:38" x14ac:dyDescent="0.2">
      <c r="A36"/>
      <c r="B36" t="str">
        <f>IF($A36="","",VLOOKUP($A36,JupData!$A$2:$I$10000,4,FALSE))</f>
        <v/>
      </c>
      <c r="C36" s="7" t="str">
        <f>IF($A36="",IF(N(D36),0,""),VLOOKUP($A36,JupData!$A$2:$I$10000,7,FALSE))</f>
        <v/>
      </c>
      <c r="D36" t="str">
        <f t="shared" si="10"/>
        <v/>
      </c>
      <c r="E36" t="str">
        <f t="array" ref="E36">IF($A36="","",INDEX(JupData!$A$2:$K$10000,MATCH($A36&amp;E$1,JupData!$A$2:$A$10000&amp;JupData!$J$2:$J$10000,0),11))</f>
        <v/>
      </c>
      <c r="F36" t="str">
        <f t="array" ref="F36">IF($A36="","",INDEX(JupData!$A$2:$K$10000,MATCH($A36&amp;F$1,JupData!$A$2:$A$10000&amp;JupData!$J$2:$J$10000,0),11))</f>
        <v/>
      </c>
      <c r="G36" t="str">
        <f t="array" ref="G36">IF($A36="","",INDEX(JupData!$A$2:$K$10000,MATCH($A36&amp;G$1,JupData!$A$2:$A$10000&amp;JupData!$J$2:$J$10000,0),11))</f>
        <v/>
      </c>
      <c r="H36" t="str">
        <f t="array" ref="H36">IF($A36="","",INDEX(JupData!$A$2:$K$10000,MATCH($A36&amp;H$1,JupData!$A$2:$A$10000&amp;JupData!$J$2:$J$10000,0),11))</f>
        <v/>
      </c>
      <c r="I36" t="str">
        <f t="array" ref="I36">IF($A36="","",INDEX(JupData!$A$2:$K$10000,MATCH($A36&amp;I$1,JupData!$A$2:$A$10000&amp;JupData!$J$2:$J$10000,0),11))</f>
        <v/>
      </c>
      <c r="J36" t="str">
        <f t="array" ref="J36">IF($A36="","",INDEX(JupData!$A$2:$K$10000,MATCH($A36&amp;J$1,JupData!$A$2:$A$10000&amp;JupData!$J$2:$J$10000,0),11))</f>
        <v/>
      </c>
      <c r="K36" t="str">
        <f t="array" ref="K36">IF($A36="","",INDEX(JupData!$A$2:$K$10000,MATCH($A36&amp;K$1,JupData!$A$2:$A$10000&amp;JupData!$J$2:$J$10000,0),11))</f>
        <v/>
      </c>
      <c r="L36" t="str">
        <f t="array" ref="L36">IF($A36="","",INDEX(JupData!$A$2:$K$10000,MATCH($A36&amp;L$1,JupData!$A$2:$A$10000&amp;JupData!$J$2:$J$10000,0),11))</f>
        <v/>
      </c>
      <c r="M36" t="str">
        <f t="array" ref="M36">IF($A36="","",INDEX(JupData!$A$2:$K$10000,MATCH($A36&amp;M$1,JupData!$A$2:$A$10000&amp;JupData!$J$2:$J$10000,0),11))</f>
        <v/>
      </c>
      <c r="N36" t="str">
        <f t="array" ref="N36">IF($A36="","",INDEX(JupData!$A$2:$K$10000,MATCH($A36&amp;N$1,JupData!$A$2:$A$10000&amp;JupData!$J$2:$J$10000,0),11))</f>
        <v/>
      </c>
      <c r="O36" t="str">
        <f t="array" ref="O36">IF($A36="","",INDEX(JupData!$A$2:$K$10000,MATCH($A36&amp;O$1,JupData!$A$2:$A$10000&amp;JupData!$J$2:$J$10000,0),11))</f>
        <v/>
      </c>
      <c r="P36" t="str">
        <f t="array" ref="P36">IF($A36="","",INDEX(JupData!$A$2:$K$10000,MATCH($A36&amp;P$1,JupData!$A$2:$A$10000&amp;JupData!$J$2:$J$10000,0),11))</f>
        <v/>
      </c>
      <c r="Q36" t="str">
        <f t="array" ref="Q36">IF($A36="","",INDEX(JupData!$A$2:$K$10000,MATCH($A36&amp;Q$1,JupData!$A$2:$A$10000&amp;JupData!$J$2:$J$10000,0),11))</f>
        <v/>
      </c>
      <c r="R36" t="str">
        <f t="array" ref="R36">IF($A36="","",INDEX(JupData!$A$2:$K$10000,MATCH($A36&amp;R$1,JupData!$A$2:$A$10000&amp;JupData!$J$2:$J$10000,0),11))</f>
        <v/>
      </c>
      <c r="S36" t="str">
        <f t="array" ref="S36">IF($A36="","",INDEX(JupData!$A$2:$K$10000,MATCH($A36&amp;S$1,JupData!$A$2:$A$10000&amp;JupData!$J$2:$J$10000,0),11))</f>
        <v/>
      </c>
      <c r="T36" t="str">
        <f t="array" ref="T36">IF($A36="","",INDEX(JupData!$A$2:$K$10000,MATCH($A36&amp;T$1,JupData!$A$2:$A$10000&amp;JupData!$J$2:$J$10000,0),11))</f>
        <v/>
      </c>
      <c r="U36" t="str">
        <f t="array" ref="U36">IF($A36="","",INDEX(JupData!$A$2:$K$10000,MATCH($A36&amp;U$1,JupData!$A$2:$A$10000&amp;JupData!$J$2:$J$10000,0),11))</f>
        <v/>
      </c>
      <c r="V36" t="str">
        <f t="array" ref="V36">IF($A36="","",INDEX(JupData!$A$2:$K$10000,MATCH($A36&amp;V$1,JupData!$A$2:$A$10000&amp;JupData!$J$2:$J$10000,0),11))</f>
        <v/>
      </c>
      <c r="W36" t="str">
        <f t="array" ref="W36">IF($A36="","",INDEX(JupData!$A$2:$K$10000,MATCH($A36&amp;W$1,JupData!$A$2:$A$10000&amp;JupData!$J$2:$J$10000,0),11))</f>
        <v/>
      </c>
      <c r="X36" t="str">
        <f t="array" ref="X36">IF($A36="","",INDEX(JupData!$A$2:$K$10000,MATCH($A36&amp;X$1,JupData!$A$2:$A$10000&amp;JupData!$J$2:$J$10000,0),11))</f>
        <v/>
      </c>
      <c r="Y36" t="str">
        <f t="array" ref="Y36">IF($A36="","",INDEX(JupData!$A$2:$K$10000,MATCH($A36&amp;Y$1,JupData!$A$2:$A$10000&amp;JupData!$J$2:$J$10000,0),11))</f>
        <v/>
      </c>
      <c r="Z36" t="str">
        <f t="array" ref="Z36">IF($A36="","",INDEX(JupData!$A$2:$K$10000,MATCH($A36&amp;Z$1,JupData!$A$2:$A$10000&amp;JupData!$J$2:$J$10000,0),11))</f>
        <v/>
      </c>
      <c r="AA36" t="str">
        <f t="array" ref="AA36">IF($A36="","",INDEX(JupData!$A$2:$K$10000,MATCH($A36&amp;AA$1,JupData!$A$2:$A$10000&amp;JupData!$J$2:$J$10000,0),11))</f>
        <v/>
      </c>
      <c r="AB36" t="str">
        <f t="array" ref="AB36">IF($A36="","",INDEX(JupData!$A$2:$K$10000,MATCH($A36&amp;AB$1,JupData!$A$2:$A$10000&amp;JupData!$J$2:$J$10000,0),11))</f>
        <v/>
      </c>
      <c r="AC36" s="10" t="str">
        <f t="shared" si="0"/>
        <v/>
      </c>
      <c r="AD36" s="10" t="str">
        <f t="shared" si="1"/>
        <v/>
      </c>
      <c r="AE36" s="9" t="str">
        <f t="shared" si="2"/>
        <v/>
      </c>
      <c r="AF36" s="10" t="str">
        <f t="shared" si="3"/>
        <v/>
      </c>
      <c r="AG36" s="10" t="str">
        <f t="shared" si="4"/>
        <v/>
      </c>
      <c r="AH36" s="10" t="str">
        <f t="shared" si="5"/>
        <v/>
      </c>
      <c r="AI36" s="10" t="str">
        <f t="shared" si="6"/>
        <v/>
      </c>
      <c r="AJ36" s="10" t="str">
        <f t="shared" si="7"/>
        <v/>
      </c>
      <c r="AK36" s="10" t="str">
        <f t="shared" si="8"/>
        <v/>
      </c>
      <c r="AL36" s="14" t="str">
        <f t="shared" si="9"/>
        <v/>
      </c>
    </row>
    <row r="37" spans="1:38" x14ac:dyDescent="0.2">
      <c r="A37"/>
      <c r="B37" t="str">
        <f>IF($A37="","",VLOOKUP($A37,JupData!$A$2:$I$10000,4,FALSE))</f>
        <v/>
      </c>
      <c r="C37" s="7" t="str">
        <f>IF($A37="",IF(N(D37),0,""),VLOOKUP($A37,JupData!$A$2:$I$10000,7,FALSE))</f>
        <v/>
      </c>
      <c r="D37" t="str">
        <f t="shared" si="10"/>
        <v/>
      </c>
      <c r="E37" t="str">
        <f t="array" ref="E37">IF($A37="","",INDEX(JupData!$A$2:$K$10000,MATCH($A37&amp;E$1,JupData!$A$2:$A$10000&amp;JupData!$J$2:$J$10000,0),11))</f>
        <v/>
      </c>
      <c r="F37" t="str">
        <f t="array" ref="F37">IF($A37="","",INDEX(JupData!$A$2:$K$10000,MATCH($A37&amp;F$1,JupData!$A$2:$A$10000&amp;JupData!$J$2:$J$10000,0),11))</f>
        <v/>
      </c>
      <c r="G37" t="str">
        <f t="array" ref="G37">IF($A37="","",INDEX(JupData!$A$2:$K$10000,MATCH($A37&amp;G$1,JupData!$A$2:$A$10000&amp;JupData!$J$2:$J$10000,0),11))</f>
        <v/>
      </c>
      <c r="H37" t="str">
        <f t="array" ref="H37">IF($A37="","",INDEX(JupData!$A$2:$K$10000,MATCH($A37&amp;H$1,JupData!$A$2:$A$10000&amp;JupData!$J$2:$J$10000,0),11))</f>
        <v/>
      </c>
      <c r="I37" t="str">
        <f t="array" ref="I37">IF($A37="","",INDEX(JupData!$A$2:$K$10000,MATCH($A37&amp;I$1,JupData!$A$2:$A$10000&amp;JupData!$J$2:$J$10000,0),11))</f>
        <v/>
      </c>
      <c r="J37" t="str">
        <f t="array" ref="J37">IF($A37="","",INDEX(JupData!$A$2:$K$10000,MATCH($A37&amp;J$1,JupData!$A$2:$A$10000&amp;JupData!$J$2:$J$10000,0),11))</f>
        <v/>
      </c>
      <c r="K37" t="str">
        <f t="array" ref="K37">IF($A37="","",INDEX(JupData!$A$2:$K$10000,MATCH($A37&amp;K$1,JupData!$A$2:$A$10000&amp;JupData!$J$2:$J$10000,0),11))</f>
        <v/>
      </c>
      <c r="L37" t="str">
        <f t="array" ref="L37">IF($A37="","",INDEX(JupData!$A$2:$K$10000,MATCH($A37&amp;L$1,JupData!$A$2:$A$10000&amp;JupData!$J$2:$J$10000,0),11))</f>
        <v/>
      </c>
      <c r="M37" t="str">
        <f t="array" ref="M37">IF($A37="","",INDEX(JupData!$A$2:$K$10000,MATCH($A37&amp;M$1,JupData!$A$2:$A$10000&amp;JupData!$J$2:$J$10000,0),11))</f>
        <v/>
      </c>
      <c r="N37" t="str">
        <f t="array" ref="N37">IF($A37="","",INDEX(JupData!$A$2:$K$10000,MATCH($A37&amp;N$1,JupData!$A$2:$A$10000&amp;JupData!$J$2:$J$10000,0),11))</f>
        <v/>
      </c>
      <c r="O37" t="str">
        <f t="array" ref="O37">IF($A37="","",INDEX(JupData!$A$2:$K$10000,MATCH($A37&amp;O$1,JupData!$A$2:$A$10000&amp;JupData!$J$2:$J$10000,0),11))</f>
        <v/>
      </c>
      <c r="P37" t="str">
        <f t="array" ref="P37">IF($A37="","",INDEX(JupData!$A$2:$K$10000,MATCH($A37&amp;P$1,JupData!$A$2:$A$10000&amp;JupData!$J$2:$J$10000,0),11))</f>
        <v/>
      </c>
      <c r="Q37" t="str">
        <f t="array" ref="Q37">IF($A37="","",INDEX(JupData!$A$2:$K$10000,MATCH($A37&amp;Q$1,JupData!$A$2:$A$10000&amp;JupData!$J$2:$J$10000,0),11))</f>
        <v/>
      </c>
      <c r="R37" t="str">
        <f t="array" ref="R37">IF($A37="","",INDEX(JupData!$A$2:$K$10000,MATCH($A37&amp;R$1,JupData!$A$2:$A$10000&amp;JupData!$J$2:$J$10000,0),11))</f>
        <v/>
      </c>
      <c r="S37" t="str">
        <f t="array" ref="S37">IF($A37="","",INDEX(JupData!$A$2:$K$10000,MATCH($A37&amp;S$1,JupData!$A$2:$A$10000&amp;JupData!$J$2:$J$10000,0),11))</f>
        <v/>
      </c>
      <c r="T37" t="str">
        <f t="array" ref="T37">IF($A37="","",INDEX(JupData!$A$2:$K$10000,MATCH($A37&amp;T$1,JupData!$A$2:$A$10000&amp;JupData!$J$2:$J$10000,0),11))</f>
        <v/>
      </c>
      <c r="U37" t="str">
        <f t="array" ref="U37">IF($A37="","",INDEX(JupData!$A$2:$K$10000,MATCH($A37&amp;U$1,JupData!$A$2:$A$10000&amp;JupData!$J$2:$J$10000,0),11))</f>
        <v/>
      </c>
      <c r="V37" t="str">
        <f t="array" ref="V37">IF($A37="","",INDEX(JupData!$A$2:$K$10000,MATCH($A37&amp;V$1,JupData!$A$2:$A$10000&amp;JupData!$J$2:$J$10000,0),11))</f>
        <v/>
      </c>
      <c r="W37" t="str">
        <f t="array" ref="W37">IF($A37="","",INDEX(JupData!$A$2:$K$10000,MATCH($A37&amp;W$1,JupData!$A$2:$A$10000&amp;JupData!$J$2:$J$10000,0),11))</f>
        <v/>
      </c>
      <c r="X37" t="str">
        <f t="array" ref="X37">IF($A37="","",INDEX(JupData!$A$2:$K$10000,MATCH($A37&amp;X$1,JupData!$A$2:$A$10000&amp;JupData!$J$2:$J$10000,0),11))</f>
        <v/>
      </c>
      <c r="Y37" t="str">
        <f t="array" ref="Y37">IF($A37="","",INDEX(JupData!$A$2:$K$10000,MATCH($A37&amp;Y$1,JupData!$A$2:$A$10000&amp;JupData!$J$2:$J$10000,0),11))</f>
        <v/>
      </c>
      <c r="Z37" t="str">
        <f t="array" ref="Z37">IF($A37="","",INDEX(JupData!$A$2:$K$10000,MATCH($A37&amp;Z$1,JupData!$A$2:$A$10000&amp;JupData!$J$2:$J$10000,0),11))</f>
        <v/>
      </c>
      <c r="AA37" t="str">
        <f t="array" ref="AA37">IF($A37="","",INDEX(JupData!$A$2:$K$10000,MATCH($A37&amp;AA$1,JupData!$A$2:$A$10000&amp;JupData!$J$2:$J$10000,0),11))</f>
        <v/>
      </c>
      <c r="AB37" t="str">
        <f t="array" ref="AB37">IF($A37="","",INDEX(JupData!$A$2:$K$10000,MATCH($A37&amp;AB$1,JupData!$A$2:$A$10000&amp;JupData!$J$2:$J$10000,0),11))</f>
        <v/>
      </c>
      <c r="AC37" s="10" t="str">
        <f t="shared" si="0"/>
        <v/>
      </c>
      <c r="AD37" s="10" t="str">
        <f t="shared" si="1"/>
        <v/>
      </c>
      <c r="AE37" s="9" t="str">
        <f t="shared" si="2"/>
        <v/>
      </c>
      <c r="AF37" s="10" t="str">
        <f t="shared" si="3"/>
        <v/>
      </c>
      <c r="AG37" s="10" t="str">
        <f t="shared" si="4"/>
        <v/>
      </c>
      <c r="AH37" s="10" t="str">
        <f t="shared" si="5"/>
        <v/>
      </c>
      <c r="AI37" s="10" t="str">
        <f t="shared" si="6"/>
        <v/>
      </c>
      <c r="AJ37" s="10" t="str">
        <f t="shared" si="7"/>
        <v/>
      </c>
      <c r="AK37" s="10" t="str">
        <f t="shared" si="8"/>
        <v/>
      </c>
      <c r="AL37" s="14" t="str">
        <f t="shared" si="9"/>
        <v/>
      </c>
    </row>
    <row r="38" spans="1:38" x14ac:dyDescent="0.2">
      <c r="A38"/>
      <c r="B38" t="str">
        <f>IF($A38="","",VLOOKUP($A38,JupData!$A$2:$I$10000,4,FALSE))</f>
        <v/>
      </c>
      <c r="C38" s="7" t="str">
        <f>IF($A38="",IF(N(D38),0,""),VLOOKUP($A38,JupData!$A$2:$I$10000,7,FALSE))</f>
        <v/>
      </c>
      <c r="D38" t="str">
        <f t="shared" si="10"/>
        <v/>
      </c>
      <c r="E38" t="str">
        <f t="array" ref="E38">IF($A38="","",INDEX(JupData!$A$2:$K$10000,MATCH($A38&amp;E$1,JupData!$A$2:$A$10000&amp;JupData!$J$2:$J$10000,0),11))</f>
        <v/>
      </c>
      <c r="F38" t="str">
        <f t="array" ref="F38">IF($A38="","",INDEX(JupData!$A$2:$K$10000,MATCH($A38&amp;F$1,JupData!$A$2:$A$10000&amp;JupData!$J$2:$J$10000,0),11))</f>
        <v/>
      </c>
      <c r="G38" t="str">
        <f t="array" ref="G38">IF($A38="","",INDEX(JupData!$A$2:$K$10000,MATCH($A38&amp;G$1,JupData!$A$2:$A$10000&amp;JupData!$J$2:$J$10000,0),11))</f>
        <v/>
      </c>
      <c r="H38" t="str">
        <f t="array" ref="H38">IF($A38="","",INDEX(JupData!$A$2:$K$10000,MATCH($A38&amp;H$1,JupData!$A$2:$A$10000&amp;JupData!$J$2:$J$10000,0),11))</f>
        <v/>
      </c>
      <c r="I38" t="str">
        <f t="array" ref="I38">IF($A38="","",INDEX(JupData!$A$2:$K$10000,MATCH($A38&amp;I$1,JupData!$A$2:$A$10000&amp;JupData!$J$2:$J$10000,0),11))</f>
        <v/>
      </c>
      <c r="J38" t="str">
        <f t="array" ref="J38">IF($A38="","",INDEX(JupData!$A$2:$K$10000,MATCH($A38&amp;J$1,JupData!$A$2:$A$10000&amp;JupData!$J$2:$J$10000,0),11))</f>
        <v/>
      </c>
      <c r="K38" t="str">
        <f t="array" ref="K38">IF($A38="","",INDEX(JupData!$A$2:$K$10000,MATCH($A38&amp;K$1,JupData!$A$2:$A$10000&amp;JupData!$J$2:$J$10000,0),11))</f>
        <v/>
      </c>
      <c r="L38" t="str">
        <f t="array" ref="L38">IF($A38="","",INDEX(JupData!$A$2:$K$10000,MATCH($A38&amp;L$1,JupData!$A$2:$A$10000&amp;JupData!$J$2:$J$10000,0),11))</f>
        <v/>
      </c>
      <c r="M38" t="str">
        <f t="array" ref="M38">IF($A38="","",INDEX(JupData!$A$2:$K$10000,MATCH($A38&amp;M$1,JupData!$A$2:$A$10000&amp;JupData!$J$2:$J$10000,0),11))</f>
        <v/>
      </c>
      <c r="N38" t="str">
        <f t="array" ref="N38">IF($A38="","",INDEX(JupData!$A$2:$K$10000,MATCH($A38&amp;N$1,JupData!$A$2:$A$10000&amp;JupData!$J$2:$J$10000,0),11))</f>
        <v/>
      </c>
      <c r="O38" t="str">
        <f t="array" ref="O38">IF($A38="","",INDEX(JupData!$A$2:$K$10000,MATCH($A38&amp;O$1,JupData!$A$2:$A$10000&amp;JupData!$J$2:$J$10000,0),11))</f>
        <v/>
      </c>
      <c r="P38" t="str">
        <f t="array" ref="P38">IF($A38="","",INDEX(JupData!$A$2:$K$10000,MATCH($A38&amp;P$1,JupData!$A$2:$A$10000&amp;JupData!$J$2:$J$10000,0),11))</f>
        <v/>
      </c>
      <c r="Q38" t="str">
        <f t="array" ref="Q38">IF($A38="","",INDEX(JupData!$A$2:$K$10000,MATCH($A38&amp;Q$1,JupData!$A$2:$A$10000&amp;JupData!$J$2:$J$10000,0),11))</f>
        <v/>
      </c>
      <c r="R38" t="str">
        <f t="array" ref="R38">IF($A38="","",INDEX(JupData!$A$2:$K$10000,MATCH($A38&amp;R$1,JupData!$A$2:$A$10000&amp;JupData!$J$2:$J$10000,0),11))</f>
        <v/>
      </c>
      <c r="S38" t="str">
        <f t="array" ref="S38">IF($A38="","",INDEX(JupData!$A$2:$K$10000,MATCH($A38&amp;S$1,JupData!$A$2:$A$10000&amp;JupData!$J$2:$J$10000,0),11))</f>
        <v/>
      </c>
      <c r="T38" t="str">
        <f t="array" ref="T38">IF($A38="","",INDEX(JupData!$A$2:$K$10000,MATCH($A38&amp;T$1,JupData!$A$2:$A$10000&amp;JupData!$J$2:$J$10000,0),11))</f>
        <v/>
      </c>
      <c r="U38" t="str">
        <f t="array" ref="U38">IF($A38="","",INDEX(JupData!$A$2:$K$10000,MATCH($A38&amp;U$1,JupData!$A$2:$A$10000&amp;JupData!$J$2:$J$10000,0),11))</f>
        <v/>
      </c>
      <c r="V38" t="str">
        <f t="array" ref="V38">IF($A38="","",INDEX(JupData!$A$2:$K$10000,MATCH($A38&amp;V$1,JupData!$A$2:$A$10000&amp;JupData!$J$2:$J$10000,0),11))</f>
        <v/>
      </c>
      <c r="W38" t="str">
        <f t="array" ref="W38">IF($A38="","",INDEX(JupData!$A$2:$K$10000,MATCH($A38&amp;W$1,JupData!$A$2:$A$10000&amp;JupData!$J$2:$J$10000,0),11))</f>
        <v/>
      </c>
      <c r="X38" t="str">
        <f t="array" ref="X38">IF($A38="","",INDEX(JupData!$A$2:$K$10000,MATCH($A38&amp;X$1,JupData!$A$2:$A$10000&amp;JupData!$J$2:$J$10000,0),11))</f>
        <v/>
      </c>
      <c r="Y38" t="str">
        <f t="array" ref="Y38">IF($A38="","",INDEX(JupData!$A$2:$K$10000,MATCH($A38&amp;Y$1,JupData!$A$2:$A$10000&amp;JupData!$J$2:$J$10000,0),11))</f>
        <v/>
      </c>
      <c r="Z38" t="str">
        <f t="array" ref="Z38">IF($A38="","",INDEX(JupData!$A$2:$K$10000,MATCH($A38&amp;Z$1,JupData!$A$2:$A$10000&amp;JupData!$J$2:$J$10000,0),11))</f>
        <v/>
      </c>
      <c r="AA38" t="str">
        <f t="array" ref="AA38">IF($A38="","",INDEX(JupData!$A$2:$K$10000,MATCH($A38&amp;AA$1,JupData!$A$2:$A$10000&amp;JupData!$J$2:$J$10000,0),11))</f>
        <v/>
      </c>
      <c r="AB38" t="str">
        <f t="array" ref="AB38">IF($A38="","",INDEX(JupData!$A$2:$K$10000,MATCH($A38&amp;AB$1,JupData!$A$2:$A$10000&amp;JupData!$J$2:$J$10000,0),11))</f>
        <v/>
      </c>
      <c r="AC38" s="10" t="str">
        <f t="shared" si="0"/>
        <v/>
      </c>
      <c r="AD38" s="10" t="str">
        <f t="shared" si="1"/>
        <v/>
      </c>
      <c r="AE38" s="9" t="str">
        <f t="shared" si="2"/>
        <v/>
      </c>
      <c r="AF38" s="10" t="str">
        <f t="shared" si="3"/>
        <v/>
      </c>
      <c r="AG38" s="10" t="str">
        <f t="shared" si="4"/>
        <v/>
      </c>
      <c r="AH38" s="10" t="str">
        <f t="shared" si="5"/>
        <v/>
      </c>
      <c r="AI38" s="10" t="str">
        <f t="shared" si="6"/>
        <v/>
      </c>
      <c r="AJ38" s="10" t="str">
        <f t="shared" si="7"/>
        <v/>
      </c>
      <c r="AK38" s="10" t="str">
        <f t="shared" si="8"/>
        <v/>
      </c>
      <c r="AL38" s="14" t="str">
        <f t="shared" si="9"/>
        <v/>
      </c>
    </row>
    <row r="39" spans="1:38" x14ac:dyDescent="0.2">
      <c r="A39"/>
      <c r="B39" t="str">
        <f>IF($A39="","",VLOOKUP($A39,JupData!$A$2:$I$10000,4,FALSE))</f>
        <v/>
      </c>
      <c r="C39" s="7" t="str">
        <f>IF($A39="",IF(N(D39),0,""),VLOOKUP($A39,JupData!$A$2:$I$10000,7,FALSE))</f>
        <v/>
      </c>
      <c r="D39" t="str">
        <f t="shared" si="10"/>
        <v/>
      </c>
      <c r="E39" t="str">
        <f t="array" ref="E39">IF($A39="","",INDEX(JupData!$A$2:$K$10000,MATCH($A39&amp;E$1,JupData!$A$2:$A$10000&amp;JupData!$J$2:$J$10000,0),11))</f>
        <v/>
      </c>
      <c r="F39" t="str">
        <f t="array" ref="F39">IF($A39="","",INDEX(JupData!$A$2:$K$10000,MATCH($A39&amp;F$1,JupData!$A$2:$A$10000&amp;JupData!$J$2:$J$10000,0),11))</f>
        <v/>
      </c>
      <c r="G39" t="str">
        <f t="array" ref="G39">IF($A39="","",INDEX(JupData!$A$2:$K$10000,MATCH($A39&amp;G$1,JupData!$A$2:$A$10000&amp;JupData!$J$2:$J$10000,0),11))</f>
        <v/>
      </c>
      <c r="H39" t="str">
        <f t="array" ref="H39">IF($A39="","",INDEX(JupData!$A$2:$K$10000,MATCH($A39&amp;H$1,JupData!$A$2:$A$10000&amp;JupData!$J$2:$J$10000,0),11))</f>
        <v/>
      </c>
      <c r="I39" t="str">
        <f t="array" ref="I39">IF($A39="","",INDEX(JupData!$A$2:$K$10000,MATCH($A39&amp;I$1,JupData!$A$2:$A$10000&amp;JupData!$J$2:$J$10000,0),11))</f>
        <v/>
      </c>
      <c r="J39" t="str">
        <f t="array" ref="J39">IF($A39="","",INDEX(JupData!$A$2:$K$10000,MATCH($A39&amp;J$1,JupData!$A$2:$A$10000&amp;JupData!$J$2:$J$10000,0),11))</f>
        <v/>
      </c>
      <c r="K39" t="str">
        <f t="array" ref="K39">IF($A39="","",INDEX(JupData!$A$2:$K$10000,MATCH($A39&amp;K$1,JupData!$A$2:$A$10000&amp;JupData!$J$2:$J$10000,0),11))</f>
        <v/>
      </c>
      <c r="L39" t="str">
        <f t="array" ref="L39">IF($A39="","",INDEX(JupData!$A$2:$K$10000,MATCH($A39&amp;L$1,JupData!$A$2:$A$10000&amp;JupData!$J$2:$J$10000,0),11))</f>
        <v/>
      </c>
      <c r="M39" t="str">
        <f t="array" ref="M39">IF($A39="","",INDEX(JupData!$A$2:$K$10000,MATCH($A39&amp;M$1,JupData!$A$2:$A$10000&amp;JupData!$J$2:$J$10000,0),11))</f>
        <v/>
      </c>
      <c r="N39" t="str">
        <f t="array" ref="N39">IF($A39="","",INDEX(JupData!$A$2:$K$10000,MATCH($A39&amp;N$1,JupData!$A$2:$A$10000&amp;JupData!$J$2:$J$10000,0),11))</f>
        <v/>
      </c>
      <c r="O39" t="str">
        <f t="array" ref="O39">IF($A39="","",INDEX(JupData!$A$2:$K$10000,MATCH($A39&amp;O$1,JupData!$A$2:$A$10000&amp;JupData!$J$2:$J$10000,0),11))</f>
        <v/>
      </c>
      <c r="P39" t="str">
        <f t="array" ref="P39">IF($A39="","",INDEX(JupData!$A$2:$K$10000,MATCH($A39&amp;P$1,JupData!$A$2:$A$10000&amp;JupData!$J$2:$J$10000,0),11))</f>
        <v/>
      </c>
      <c r="Q39" t="str">
        <f t="array" ref="Q39">IF($A39="","",INDEX(JupData!$A$2:$K$10000,MATCH($A39&amp;Q$1,JupData!$A$2:$A$10000&amp;JupData!$J$2:$J$10000,0),11))</f>
        <v/>
      </c>
      <c r="R39" t="str">
        <f t="array" ref="R39">IF($A39="","",INDEX(JupData!$A$2:$K$10000,MATCH($A39&amp;R$1,JupData!$A$2:$A$10000&amp;JupData!$J$2:$J$10000,0),11))</f>
        <v/>
      </c>
      <c r="S39" t="str">
        <f t="array" ref="S39">IF($A39="","",INDEX(JupData!$A$2:$K$10000,MATCH($A39&amp;S$1,JupData!$A$2:$A$10000&amp;JupData!$J$2:$J$10000,0),11))</f>
        <v/>
      </c>
      <c r="T39" t="str">
        <f t="array" ref="T39">IF($A39="","",INDEX(JupData!$A$2:$K$10000,MATCH($A39&amp;T$1,JupData!$A$2:$A$10000&amp;JupData!$J$2:$J$10000,0),11))</f>
        <v/>
      </c>
      <c r="U39" t="str">
        <f t="array" ref="U39">IF($A39="","",INDEX(JupData!$A$2:$K$10000,MATCH($A39&amp;U$1,JupData!$A$2:$A$10000&amp;JupData!$J$2:$J$10000,0),11))</f>
        <v/>
      </c>
      <c r="V39" t="str">
        <f t="array" ref="V39">IF($A39="","",INDEX(JupData!$A$2:$K$10000,MATCH($A39&amp;V$1,JupData!$A$2:$A$10000&amp;JupData!$J$2:$J$10000,0),11))</f>
        <v/>
      </c>
      <c r="W39" t="str">
        <f t="array" ref="W39">IF($A39="","",INDEX(JupData!$A$2:$K$10000,MATCH($A39&amp;W$1,JupData!$A$2:$A$10000&amp;JupData!$J$2:$J$10000,0),11))</f>
        <v/>
      </c>
      <c r="X39" t="str">
        <f t="array" ref="X39">IF($A39="","",INDEX(JupData!$A$2:$K$10000,MATCH($A39&amp;X$1,JupData!$A$2:$A$10000&amp;JupData!$J$2:$J$10000,0),11))</f>
        <v/>
      </c>
      <c r="Y39" t="str">
        <f t="array" ref="Y39">IF($A39="","",INDEX(JupData!$A$2:$K$10000,MATCH($A39&amp;Y$1,JupData!$A$2:$A$10000&amp;JupData!$J$2:$J$10000,0),11))</f>
        <v/>
      </c>
      <c r="Z39" t="str">
        <f t="array" ref="Z39">IF($A39="","",INDEX(JupData!$A$2:$K$10000,MATCH($A39&amp;Z$1,JupData!$A$2:$A$10000&amp;JupData!$J$2:$J$10000,0),11))</f>
        <v/>
      </c>
      <c r="AA39" t="str">
        <f t="array" ref="AA39">IF($A39="","",INDEX(JupData!$A$2:$K$10000,MATCH($A39&amp;AA$1,JupData!$A$2:$A$10000&amp;JupData!$J$2:$J$10000,0),11))</f>
        <v/>
      </c>
      <c r="AB39" t="str">
        <f t="array" ref="AB39">IF($A39="","",INDEX(JupData!$A$2:$K$10000,MATCH($A39&amp;AB$1,JupData!$A$2:$A$10000&amp;JupData!$J$2:$J$10000,0),11))</f>
        <v/>
      </c>
      <c r="AC39" s="10" t="str">
        <f t="shared" si="0"/>
        <v/>
      </c>
      <c r="AD39" s="10" t="str">
        <f t="shared" si="1"/>
        <v/>
      </c>
      <c r="AE39" s="9" t="str">
        <f t="shared" si="2"/>
        <v/>
      </c>
      <c r="AF39" s="10" t="str">
        <f t="shared" si="3"/>
        <v/>
      </c>
      <c r="AG39" s="10" t="str">
        <f t="shared" si="4"/>
        <v/>
      </c>
      <c r="AH39" s="10" t="str">
        <f t="shared" si="5"/>
        <v/>
      </c>
      <c r="AI39" s="10" t="str">
        <f t="shared" si="6"/>
        <v/>
      </c>
      <c r="AJ39" s="10" t="str">
        <f t="shared" si="7"/>
        <v/>
      </c>
      <c r="AK39" s="10" t="str">
        <f t="shared" si="8"/>
        <v/>
      </c>
      <c r="AL39" s="14" t="str">
        <f t="shared" si="9"/>
        <v/>
      </c>
    </row>
    <row r="40" spans="1:38" x14ac:dyDescent="0.2">
      <c r="A40"/>
      <c r="B40" t="str">
        <f>IF($A40="","",VLOOKUP($A40,JupData!$A$2:$I$10000,4,FALSE))</f>
        <v/>
      </c>
      <c r="C40" s="7" t="str">
        <f>IF($A40="",IF(N(D40),0,""),VLOOKUP($A40,JupData!$A$2:$I$10000,7,FALSE))</f>
        <v/>
      </c>
      <c r="D40" t="str">
        <f t="shared" si="10"/>
        <v/>
      </c>
      <c r="E40" t="str">
        <f t="array" ref="E40">IF($A40="","",INDEX(JupData!$A$2:$K$10000,MATCH($A40&amp;E$1,JupData!$A$2:$A$10000&amp;JupData!$J$2:$J$10000,0),11))</f>
        <v/>
      </c>
      <c r="F40" t="str">
        <f t="array" ref="F40">IF($A40="","",INDEX(JupData!$A$2:$K$10000,MATCH($A40&amp;F$1,JupData!$A$2:$A$10000&amp;JupData!$J$2:$J$10000,0),11))</f>
        <v/>
      </c>
      <c r="G40" t="str">
        <f t="array" ref="G40">IF($A40="","",INDEX(JupData!$A$2:$K$10000,MATCH($A40&amp;G$1,JupData!$A$2:$A$10000&amp;JupData!$J$2:$J$10000,0),11))</f>
        <v/>
      </c>
      <c r="H40" t="str">
        <f t="array" ref="H40">IF($A40="","",INDEX(JupData!$A$2:$K$10000,MATCH($A40&amp;H$1,JupData!$A$2:$A$10000&amp;JupData!$J$2:$J$10000,0),11))</f>
        <v/>
      </c>
      <c r="I40" t="str">
        <f t="array" ref="I40">IF($A40="","",INDEX(JupData!$A$2:$K$10000,MATCH($A40&amp;I$1,JupData!$A$2:$A$10000&amp;JupData!$J$2:$J$10000,0),11))</f>
        <v/>
      </c>
      <c r="J40" t="str">
        <f t="array" ref="J40">IF($A40="","",INDEX(JupData!$A$2:$K$10000,MATCH($A40&amp;J$1,JupData!$A$2:$A$10000&amp;JupData!$J$2:$J$10000,0),11))</f>
        <v/>
      </c>
      <c r="K40" t="str">
        <f t="array" ref="K40">IF($A40="","",INDEX(JupData!$A$2:$K$10000,MATCH($A40&amp;K$1,JupData!$A$2:$A$10000&amp;JupData!$J$2:$J$10000,0),11))</f>
        <v/>
      </c>
      <c r="L40" t="str">
        <f t="array" ref="L40">IF($A40="","",INDEX(JupData!$A$2:$K$10000,MATCH($A40&amp;L$1,JupData!$A$2:$A$10000&amp;JupData!$J$2:$J$10000,0),11))</f>
        <v/>
      </c>
      <c r="M40" t="str">
        <f t="array" ref="M40">IF($A40="","",INDEX(JupData!$A$2:$K$10000,MATCH($A40&amp;M$1,JupData!$A$2:$A$10000&amp;JupData!$J$2:$J$10000,0),11))</f>
        <v/>
      </c>
      <c r="N40" t="str">
        <f t="array" ref="N40">IF($A40="","",INDEX(JupData!$A$2:$K$10000,MATCH($A40&amp;N$1,JupData!$A$2:$A$10000&amp;JupData!$J$2:$J$10000,0),11))</f>
        <v/>
      </c>
      <c r="O40" t="str">
        <f t="array" ref="O40">IF($A40="","",INDEX(JupData!$A$2:$K$10000,MATCH($A40&amp;O$1,JupData!$A$2:$A$10000&amp;JupData!$J$2:$J$10000,0),11))</f>
        <v/>
      </c>
      <c r="P40" t="str">
        <f t="array" ref="P40">IF($A40="","",INDEX(JupData!$A$2:$K$10000,MATCH($A40&amp;P$1,JupData!$A$2:$A$10000&amp;JupData!$J$2:$J$10000,0),11))</f>
        <v/>
      </c>
      <c r="Q40" t="str">
        <f t="array" ref="Q40">IF($A40="","",INDEX(JupData!$A$2:$K$10000,MATCH($A40&amp;Q$1,JupData!$A$2:$A$10000&amp;JupData!$J$2:$J$10000,0),11))</f>
        <v/>
      </c>
      <c r="R40" t="str">
        <f t="array" ref="R40">IF($A40="","",INDEX(JupData!$A$2:$K$10000,MATCH($A40&amp;R$1,JupData!$A$2:$A$10000&amp;JupData!$J$2:$J$10000,0),11))</f>
        <v/>
      </c>
      <c r="S40" t="str">
        <f t="array" ref="S40">IF($A40="","",INDEX(JupData!$A$2:$K$10000,MATCH($A40&amp;S$1,JupData!$A$2:$A$10000&amp;JupData!$J$2:$J$10000,0),11))</f>
        <v/>
      </c>
      <c r="T40" t="str">
        <f t="array" ref="T40">IF($A40="","",INDEX(JupData!$A$2:$K$10000,MATCH($A40&amp;T$1,JupData!$A$2:$A$10000&amp;JupData!$J$2:$J$10000,0),11))</f>
        <v/>
      </c>
      <c r="U40" t="str">
        <f t="array" ref="U40">IF($A40="","",INDEX(JupData!$A$2:$K$10000,MATCH($A40&amp;U$1,JupData!$A$2:$A$10000&amp;JupData!$J$2:$J$10000,0),11))</f>
        <v/>
      </c>
      <c r="V40" t="str">
        <f t="array" ref="V40">IF($A40="","",INDEX(JupData!$A$2:$K$10000,MATCH($A40&amp;V$1,JupData!$A$2:$A$10000&amp;JupData!$J$2:$J$10000,0),11))</f>
        <v/>
      </c>
      <c r="W40" t="str">
        <f t="array" ref="W40">IF($A40="","",INDEX(JupData!$A$2:$K$10000,MATCH($A40&amp;W$1,JupData!$A$2:$A$10000&amp;JupData!$J$2:$J$10000,0),11))</f>
        <v/>
      </c>
      <c r="X40" t="str">
        <f t="array" ref="X40">IF($A40="","",INDEX(JupData!$A$2:$K$10000,MATCH($A40&amp;X$1,JupData!$A$2:$A$10000&amp;JupData!$J$2:$J$10000,0),11))</f>
        <v/>
      </c>
      <c r="Y40" t="str">
        <f t="array" ref="Y40">IF($A40="","",INDEX(JupData!$A$2:$K$10000,MATCH($A40&amp;Y$1,JupData!$A$2:$A$10000&amp;JupData!$J$2:$J$10000,0),11))</f>
        <v/>
      </c>
      <c r="Z40" t="str">
        <f t="array" ref="Z40">IF($A40="","",INDEX(JupData!$A$2:$K$10000,MATCH($A40&amp;Z$1,JupData!$A$2:$A$10000&amp;JupData!$J$2:$J$10000,0),11))</f>
        <v/>
      </c>
      <c r="AA40" t="str">
        <f t="array" ref="AA40">IF($A40="","",INDEX(JupData!$A$2:$K$10000,MATCH($A40&amp;AA$1,JupData!$A$2:$A$10000&amp;JupData!$J$2:$J$10000,0),11))</f>
        <v/>
      </c>
      <c r="AB40" t="str">
        <f t="array" ref="AB40">IF($A40="","",INDEX(JupData!$A$2:$K$10000,MATCH($A40&amp;AB$1,JupData!$A$2:$A$10000&amp;JupData!$J$2:$J$10000,0),11))</f>
        <v/>
      </c>
      <c r="AC40" s="10" t="str">
        <f t="shared" si="0"/>
        <v/>
      </c>
      <c r="AD40" s="10" t="str">
        <f t="shared" si="1"/>
        <v/>
      </c>
      <c r="AE40" s="9" t="str">
        <f t="shared" si="2"/>
        <v/>
      </c>
      <c r="AF40" s="10" t="str">
        <f t="shared" si="3"/>
        <v/>
      </c>
      <c r="AG40" s="10" t="str">
        <f t="shared" si="4"/>
        <v/>
      </c>
      <c r="AH40" s="10" t="str">
        <f t="shared" si="5"/>
        <v/>
      </c>
      <c r="AI40" s="10" t="str">
        <f t="shared" si="6"/>
        <v/>
      </c>
      <c r="AJ40" s="10" t="str">
        <f t="shared" si="7"/>
        <v/>
      </c>
      <c r="AK40" s="10" t="str">
        <f t="shared" si="8"/>
        <v/>
      </c>
      <c r="AL40" s="14" t="str">
        <f t="shared" si="9"/>
        <v/>
      </c>
    </row>
    <row r="41" spans="1:38" x14ac:dyDescent="0.2">
      <c r="A41"/>
      <c r="B41" t="str">
        <f>IF($A41="","",VLOOKUP($A41,JupData!$A$2:$I$10000,4,FALSE))</f>
        <v/>
      </c>
      <c r="C41" s="7" t="str">
        <f>IF($A41="",IF(N(D41),0,""),VLOOKUP($A41,JupData!$A$2:$I$10000,7,FALSE))</f>
        <v/>
      </c>
      <c r="D41" t="str">
        <f t="shared" si="10"/>
        <v/>
      </c>
      <c r="E41" t="str">
        <f t="array" ref="E41">IF($A41="","",INDEX(JupData!$A$2:$K$10000,MATCH($A41&amp;E$1,JupData!$A$2:$A$10000&amp;JupData!$J$2:$J$10000,0),11))</f>
        <v/>
      </c>
      <c r="F41" t="str">
        <f t="array" ref="F41">IF($A41="","",INDEX(JupData!$A$2:$K$10000,MATCH($A41&amp;F$1,JupData!$A$2:$A$10000&amp;JupData!$J$2:$J$10000,0),11))</f>
        <v/>
      </c>
      <c r="G41" t="str">
        <f t="array" ref="G41">IF($A41="","",INDEX(JupData!$A$2:$K$10000,MATCH($A41&amp;G$1,JupData!$A$2:$A$10000&amp;JupData!$J$2:$J$10000,0),11))</f>
        <v/>
      </c>
      <c r="H41" t="str">
        <f t="array" ref="H41">IF($A41="","",INDEX(JupData!$A$2:$K$10000,MATCH($A41&amp;H$1,JupData!$A$2:$A$10000&amp;JupData!$J$2:$J$10000,0),11))</f>
        <v/>
      </c>
      <c r="I41" t="str">
        <f t="array" ref="I41">IF($A41="","",INDEX(JupData!$A$2:$K$10000,MATCH($A41&amp;I$1,JupData!$A$2:$A$10000&amp;JupData!$J$2:$J$10000,0),11))</f>
        <v/>
      </c>
      <c r="J41" t="str">
        <f t="array" ref="J41">IF($A41="","",INDEX(JupData!$A$2:$K$10000,MATCH($A41&amp;J$1,JupData!$A$2:$A$10000&amp;JupData!$J$2:$J$10000,0),11))</f>
        <v/>
      </c>
      <c r="K41" t="str">
        <f t="array" ref="K41">IF($A41="","",INDEX(JupData!$A$2:$K$10000,MATCH($A41&amp;K$1,JupData!$A$2:$A$10000&amp;JupData!$J$2:$J$10000,0),11))</f>
        <v/>
      </c>
      <c r="L41" t="str">
        <f t="array" ref="L41">IF($A41="","",INDEX(JupData!$A$2:$K$10000,MATCH($A41&amp;L$1,JupData!$A$2:$A$10000&amp;JupData!$J$2:$J$10000,0),11))</f>
        <v/>
      </c>
      <c r="M41" t="str">
        <f t="array" ref="M41">IF($A41="","",INDEX(JupData!$A$2:$K$10000,MATCH($A41&amp;M$1,JupData!$A$2:$A$10000&amp;JupData!$J$2:$J$10000,0),11))</f>
        <v/>
      </c>
      <c r="N41" t="str">
        <f t="array" ref="N41">IF($A41="","",INDEX(JupData!$A$2:$K$10000,MATCH($A41&amp;N$1,JupData!$A$2:$A$10000&amp;JupData!$J$2:$J$10000,0),11))</f>
        <v/>
      </c>
      <c r="O41" t="str">
        <f t="array" ref="O41">IF($A41="","",INDEX(JupData!$A$2:$K$10000,MATCH($A41&amp;O$1,JupData!$A$2:$A$10000&amp;JupData!$J$2:$J$10000,0),11))</f>
        <v/>
      </c>
      <c r="P41" t="str">
        <f t="array" ref="P41">IF($A41="","",INDEX(JupData!$A$2:$K$10000,MATCH($A41&amp;P$1,JupData!$A$2:$A$10000&amp;JupData!$J$2:$J$10000,0),11))</f>
        <v/>
      </c>
      <c r="Q41" t="str">
        <f t="array" ref="Q41">IF($A41="","",INDEX(JupData!$A$2:$K$10000,MATCH($A41&amp;Q$1,JupData!$A$2:$A$10000&amp;JupData!$J$2:$J$10000,0),11))</f>
        <v/>
      </c>
      <c r="R41" t="str">
        <f t="array" ref="R41">IF($A41="","",INDEX(JupData!$A$2:$K$10000,MATCH($A41&amp;R$1,JupData!$A$2:$A$10000&amp;JupData!$J$2:$J$10000,0),11))</f>
        <v/>
      </c>
      <c r="S41" t="str">
        <f t="array" ref="S41">IF($A41="","",INDEX(JupData!$A$2:$K$10000,MATCH($A41&amp;S$1,JupData!$A$2:$A$10000&amp;JupData!$J$2:$J$10000,0),11))</f>
        <v/>
      </c>
      <c r="T41" t="str">
        <f t="array" ref="T41">IF($A41="","",INDEX(JupData!$A$2:$K$10000,MATCH($A41&amp;T$1,JupData!$A$2:$A$10000&amp;JupData!$J$2:$J$10000,0),11))</f>
        <v/>
      </c>
      <c r="U41" t="str">
        <f t="array" ref="U41">IF($A41="","",INDEX(JupData!$A$2:$K$10000,MATCH($A41&amp;U$1,JupData!$A$2:$A$10000&amp;JupData!$J$2:$J$10000,0),11))</f>
        <v/>
      </c>
      <c r="V41" t="str">
        <f t="array" ref="V41">IF($A41="","",INDEX(JupData!$A$2:$K$10000,MATCH($A41&amp;V$1,JupData!$A$2:$A$10000&amp;JupData!$J$2:$J$10000,0),11))</f>
        <v/>
      </c>
      <c r="W41" t="str">
        <f t="array" ref="W41">IF($A41="","",INDEX(JupData!$A$2:$K$10000,MATCH($A41&amp;W$1,JupData!$A$2:$A$10000&amp;JupData!$J$2:$J$10000,0),11))</f>
        <v/>
      </c>
      <c r="X41" t="str">
        <f t="array" ref="X41">IF($A41="","",INDEX(JupData!$A$2:$K$10000,MATCH($A41&amp;X$1,JupData!$A$2:$A$10000&amp;JupData!$J$2:$J$10000,0),11))</f>
        <v/>
      </c>
      <c r="Y41" t="str">
        <f t="array" ref="Y41">IF($A41="","",INDEX(JupData!$A$2:$K$10000,MATCH($A41&amp;Y$1,JupData!$A$2:$A$10000&amp;JupData!$J$2:$J$10000,0),11))</f>
        <v/>
      </c>
      <c r="Z41" t="str">
        <f t="array" ref="Z41">IF($A41="","",INDEX(JupData!$A$2:$K$10000,MATCH($A41&amp;Z$1,JupData!$A$2:$A$10000&amp;JupData!$J$2:$J$10000,0),11))</f>
        <v/>
      </c>
      <c r="AA41" t="str">
        <f t="array" ref="AA41">IF($A41="","",INDEX(JupData!$A$2:$K$10000,MATCH($A41&amp;AA$1,JupData!$A$2:$A$10000&amp;JupData!$J$2:$J$10000,0),11))</f>
        <v/>
      </c>
      <c r="AB41" t="str">
        <f t="array" ref="AB41">IF($A41="","",INDEX(JupData!$A$2:$K$10000,MATCH($A41&amp;AB$1,JupData!$A$2:$A$10000&amp;JupData!$J$2:$J$10000,0),11))</f>
        <v/>
      </c>
      <c r="AC41" s="10" t="str">
        <f t="shared" si="0"/>
        <v/>
      </c>
      <c r="AD41" s="10" t="str">
        <f t="shared" si="1"/>
        <v/>
      </c>
      <c r="AE41" s="9" t="str">
        <f t="shared" si="2"/>
        <v/>
      </c>
      <c r="AF41" s="10" t="str">
        <f t="shared" si="3"/>
        <v/>
      </c>
      <c r="AG41" s="10" t="str">
        <f t="shared" si="4"/>
        <v/>
      </c>
      <c r="AH41" s="10" t="str">
        <f t="shared" si="5"/>
        <v/>
      </c>
      <c r="AI41" s="10" t="str">
        <f t="shared" si="6"/>
        <v/>
      </c>
      <c r="AJ41" s="10" t="str">
        <f t="shared" si="7"/>
        <v/>
      </c>
      <c r="AK41" s="10" t="str">
        <f t="shared" si="8"/>
        <v/>
      </c>
      <c r="AL41" s="14" t="str">
        <f t="shared" si="9"/>
        <v/>
      </c>
    </row>
    <row r="42" spans="1:38" x14ac:dyDescent="0.2">
      <c r="A42"/>
      <c r="B42" t="str">
        <f>IF($A42="","",VLOOKUP($A42,JupData!$A$2:$I$10000,4,FALSE))</f>
        <v/>
      </c>
      <c r="C42" s="7" t="str">
        <f>IF($A42="",IF(N(D42),0,""),VLOOKUP($A42,JupData!$A$2:$I$10000,7,FALSE))</f>
        <v/>
      </c>
      <c r="D42" t="str">
        <f t="shared" si="10"/>
        <v/>
      </c>
      <c r="E42" t="str">
        <f t="array" ref="E42">IF($A42="","",INDEX(JupData!$A$2:$K$10000,MATCH($A42&amp;E$1,JupData!$A$2:$A$10000&amp;JupData!$J$2:$J$10000,0),11))</f>
        <v/>
      </c>
      <c r="F42" t="str">
        <f t="array" ref="F42">IF($A42="","",INDEX(JupData!$A$2:$K$10000,MATCH($A42&amp;F$1,JupData!$A$2:$A$10000&amp;JupData!$J$2:$J$10000,0),11))</f>
        <v/>
      </c>
      <c r="G42" t="str">
        <f t="array" ref="G42">IF($A42="","",INDEX(JupData!$A$2:$K$10000,MATCH($A42&amp;G$1,JupData!$A$2:$A$10000&amp;JupData!$J$2:$J$10000,0),11))</f>
        <v/>
      </c>
      <c r="H42" t="str">
        <f t="array" ref="H42">IF($A42="","",INDEX(JupData!$A$2:$K$10000,MATCH($A42&amp;H$1,JupData!$A$2:$A$10000&amp;JupData!$J$2:$J$10000,0),11))</f>
        <v/>
      </c>
      <c r="I42" t="str">
        <f t="array" ref="I42">IF($A42="","",INDEX(JupData!$A$2:$K$10000,MATCH($A42&amp;I$1,JupData!$A$2:$A$10000&amp;JupData!$J$2:$J$10000,0),11))</f>
        <v/>
      </c>
      <c r="J42" t="str">
        <f t="array" ref="J42">IF($A42="","",INDEX(JupData!$A$2:$K$10000,MATCH($A42&amp;J$1,JupData!$A$2:$A$10000&amp;JupData!$J$2:$J$10000,0),11))</f>
        <v/>
      </c>
      <c r="K42" t="str">
        <f t="array" ref="K42">IF($A42="","",INDEX(JupData!$A$2:$K$10000,MATCH($A42&amp;K$1,JupData!$A$2:$A$10000&amp;JupData!$J$2:$J$10000,0),11))</f>
        <v/>
      </c>
      <c r="L42" t="str">
        <f t="array" ref="L42">IF($A42="","",INDEX(JupData!$A$2:$K$10000,MATCH($A42&amp;L$1,JupData!$A$2:$A$10000&amp;JupData!$J$2:$J$10000,0),11))</f>
        <v/>
      </c>
      <c r="M42" t="str">
        <f t="array" ref="M42">IF($A42="","",INDEX(JupData!$A$2:$K$10000,MATCH($A42&amp;M$1,JupData!$A$2:$A$10000&amp;JupData!$J$2:$J$10000,0),11))</f>
        <v/>
      </c>
      <c r="N42" t="str">
        <f t="array" ref="N42">IF($A42="","",INDEX(JupData!$A$2:$K$10000,MATCH($A42&amp;N$1,JupData!$A$2:$A$10000&amp;JupData!$J$2:$J$10000,0),11))</f>
        <v/>
      </c>
      <c r="O42" t="str">
        <f t="array" ref="O42">IF($A42="","",INDEX(JupData!$A$2:$K$10000,MATCH($A42&amp;O$1,JupData!$A$2:$A$10000&amp;JupData!$J$2:$J$10000,0),11))</f>
        <v/>
      </c>
      <c r="P42" t="str">
        <f t="array" ref="P42">IF($A42="","",INDEX(JupData!$A$2:$K$10000,MATCH($A42&amp;P$1,JupData!$A$2:$A$10000&amp;JupData!$J$2:$J$10000,0),11))</f>
        <v/>
      </c>
      <c r="Q42" t="str">
        <f t="array" ref="Q42">IF($A42="","",INDEX(JupData!$A$2:$K$10000,MATCH($A42&amp;Q$1,JupData!$A$2:$A$10000&amp;JupData!$J$2:$J$10000,0),11))</f>
        <v/>
      </c>
      <c r="R42" t="str">
        <f t="array" ref="R42">IF($A42="","",INDEX(JupData!$A$2:$K$10000,MATCH($A42&amp;R$1,JupData!$A$2:$A$10000&amp;JupData!$J$2:$J$10000,0),11))</f>
        <v/>
      </c>
      <c r="S42" t="str">
        <f t="array" ref="S42">IF($A42="","",INDEX(JupData!$A$2:$K$10000,MATCH($A42&amp;S$1,JupData!$A$2:$A$10000&amp;JupData!$J$2:$J$10000,0),11))</f>
        <v/>
      </c>
      <c r="T42" t="str">
        <f t="array" ref="T42">IF($A42="","",INDEX(JupData!$A$2:$K$10000,MATCH($A42&amp;T$1,JupData!$A$2:$A$10000&amp;JupData!$J$2:$J$10000,0),11))</f>
        <v/>
      </c>
      <c r="U42" t="str">
        <f t="array" ref="U42">IF($A42="","",INDEX(JupData!$A$2:$K$10000,MATCH($A42&amp;U$1,JupData!$A$2:$A$10000&amp;JupData!$J$2:$J$10000,0),11))</f>
        <v/>
      </c>
      <c r="V42" t="str">
        <f t="array" ref="V42">IF($A42="","",INDEX(JupData!$A$2:$K$10000,MATCH($A42&amp;V$1,JupData!$A$2:$A$10000&amp;JupData!$J$2:$J$10000,0),11))</f>
        <v/>
      </c>
      <c r="W42" t="str">
        <f t="array" ref="W42">IF($A42="","",INDEX(JupData!$A$2:$K$10000,MATCH($A42&amp;W$1,JupData!$A$2:$A$10000&amp;JupData!$J$2:$J$10000,0),11))</f>
        <v/>
      </c>
      <c r="X42" t="str">
        <f t="array" ref="X42">IF($A42="","",INDEX(JupData!$A$2:$K$10000,MATCH($A42&amp;X$1,JupData!$A$2:$A$10000&amp;JupData!$J$2:$J$10000,0),11))</f>
        <v/>
      </c>
      <c r="Y42" t="str">
        <f t="array" ref="Y42">IF($A42="","",INDEX(JupData!$A$2:$K$10000,MATCH($A42&amp;Y$1,JupData!$A$2:$A$10000&amp;JupData!$J$2:$J$10000,0),11))</f>
        <v/>
      </c>
      <c r="Z42" t="str">
        <f t="array" ref="Z42">IF($A42="","",INDEX(JupData!$A$2:$K$10000,MATCH($A42&amp;Z$1,JupData!$A$2:$A$10000&amp;JupData!$J$2:$J$10000,0),11))</f>
        <v/>
      </c>
      <c r="AA42" t="str">
        <f t="array" ref="AA42">IF($A42="","",INDEX(JupData!$A$2:$K$10000,MATCH($A42&amp;AA$1,JupData!$A$2:$A$10000&amp;JupData!$J$2:$J$10000,0),11))</f>
        <v/>
      </c>
      <c r="AB42" t="str">
        <f t="array" ref="AB42">IF($A42="","",INDEX(JupData!$A$2:$K$10000,MATCH($A42&amp;AB$1,JupData!$A$2:$A$10000&amp;JupData!$J$2:$J$10000,0),11))</f>
        <v/>
      </c>
      <c r="AC42" s="10" t="str">
        <f t="shared" si="0"/>
        <v/>
      </c>
      <c r="AD42" s="10" t="str">
        <f t="shared" si="1"/>
        <v/>
      </c>
      <c r="AE42" s="9" t="str">
        <f t="shared" si="2"/>
        <v/>
      </c>
      <c r="AF42" s="10" t="str">
        <f t="shared" si="3"/>
        <v/>
      </c>
      <c r="AG42" s="10" t="str">
        <f t="shared" si="4"/>
        <v/>
      </c>
      <c r="AH42" s="10" t="str">
        <f t="shared" si="5"/>
        <v/>
      </c>
      <c r="AI42" s="10" t="str">
        <f t="shared" si="6"/>
        <v/>
      </c>
      <c r="AJ42" s="10" t="str">
        <f t="shared" si="7"/>
        <v/>
      </c>
      <c r="AK42" s="10" t="str">
        <f t="shared" si="8"/>
        <v/>
      </c>
      <c r="AL42" s="14" t="str">
        <f t="shared" si="9"/>
        <v/>
      </c>
    </row>
    <row r="43" spans="1:38" x14ac:dyDescent="0.2">
      <c r="A43"/>
      <c r="B43" t="str">
        <f>IF($A43="","",VLOOKUP($A43,JupData!$A$2:$I$10000,4,FALSE))</f>
        <v/>
      </c>
      <c r="C43" s="7" t="str">
        <f>IF($A43="",IF(N(D43),0,""),VLOOKUP($A43,JupData!$A$2:$I$10000,7,FALSE))</f>
        <v/>
      </c>
      <c r="D43" t="str">
        <f t="shared" si="10"/>
        <v/>
      </c>
      <c r="E43" t="str">
        <f t="array" ref="E43">IF($A43="","",INDEX(JupData!$A$2:$K$10000,MATCH($A43&amp;E$1,JupData!$A$2:$A$10000&amp;JupData!$J$2:$J$10000,0),11))</f>
        <v/>
      </c>
      <c r="F43" t="str">
        <f t="array" ref="F43">IF($A43="","",INDEX(JupData!$A$2:$K$10000,MATCH($A43&amp;F$1,JupData!$A$2:$A$10000&amp;JupData!$J$2:$J$10000,0),11))</f>
        <v/>
      </c>
      <c r="G43" t="str">
        <f t="array" ref="G43">IF($A43="","",INDEX(JupData!$A$2:$K$10000,MATCH($A43&amp;G$1,JupData!$A$2:$A$10000&amp;JupData!$J$2:$J$10000,0),11))</f>
        <v/>
      </c>
      <c r="H43" t="str">
        <f t="array" ref="H43">IF($A43="","",INDEX(JupData!$A$2:$K$10000,MATCH($A43&amp;H$1,JupData!$A$2:$A$10000&amp;JupData!$J$2:$J$10000,0),11))</f>
        <v/>
      </c>
      <c r="I43" t="str">
        <f t="array" ref="I43">IF($A43="","",INDEX(JupData!$A$2:$K$10000,MATCH($A43&amp;I$1,JupData!$A$2:$A$10000&amp;JupData!$J$2:$J$10000,0),11))</f>
        <v/>
      </c>
      <c r="J43" t="str">
        <f t="array" ref="J43">IF($A43="","",INDEX(JupData!$A$2:$K$10000,MATCH($A43&amp;J$1,JupData!$A$2:$A$10000&amp;JupData!$J$2:$J$10000,0),11))</f>
        <v/>
      </c>
      <c r="K43" t="str">
        <f t="array" ref="K43">IF($A43="","",INDEX(JupData!$A$2:$K$10000,MATCH($A43&amp;K$1,JupData!$A$2:$A$10000&amp;JupData!$J$2:$J$10000,0),11))</f>
        <v/>
      </c>
      <c r="L43" t="str">
        <f t="array" ref="L43">IF($A43="","",INDEX(JupData!$A$2:$K$10000,MATCH($A43&amp;L$1,JupData!$A$2:$A$10000&amp;JupData!$J$2:$J$10000,0),11))</f>
        <v/>
      </c>
      <c r="M43" t="str">
        <f t="array" ref="M43">IF($A43="","",INDEX(JupData!$A$2:$K$10000,MATCH($A43&amp;M$1,JupData!$A$2:$A$10000&amp;JupData!$J$2:$J$10000,0),11))</f>
        <v/>
      </c>
      <c r="N43" t="str">
        <f t="array" ref="N43">IF($A43="","",INDEX(JupData!$A$2:$K$10000,MATCH($A43&amp;N$1,JupData!$A$2:$A$10000&amp;JupData!$J$2:$J$10000,0),11))</f>
        <v/>
      </c>
      <c r="O43" t="str">
        <f t="array" ref="O43">IF($A43="","",INDEX(JupData!$A$2:$K$10000,MATCH($A43&amp;O$1,JupData!$A$2:$A$10000&amp;JupData!$J$2:$J$10000,0),11))</f>
        <v/>
      </c>
      <c r="P43" t="str">
        <f t="array" ref="P43">IF($A43="","",INDEX(JupData!$A$2:$K$10000,MATCH($A43&amp;P$1,JupData!$A$2:$A$10000&amp;JupData!$J$2:$J$10000,0),11))</f>
        <v/>
      </c>
      <c r="Q43" t="str">
        <f t="array" ref="Q43">IF($A43="","",INDEX(JupData!$A$2:$K$10000,MATCH($A43&amp;Q$1,JupData!$A$2:$A$10000&amp;JupData!$J$2:$J$10000,0),11))</f>
        <v/>
      </c>
      <c r="R43" t="str">
        <f t="array" ref="R43">IF($A43="","",INDEX(JupData!$A$2:$K$10000,MATCH($A43&amp;R$1,JupData!$A$2:$A$10000&amp;JupData!$J$2:$J$10000,0),11))</f>
        <v/>
      </c>
      <c r="S43" t="str">
        <f t="array" ref="S43">IF($A43="","",INDEX(JupData!$A$2:$K$10000,MATCH($A43&amp;S$1,JupData!$A$2:$A$10000&amp;JupData!$J$2:$J$10000,0),11))</f>
        <v/>
      </c>
      <c r="T43" t="str">
        <f t="array" ref="T43">IF($A43="","",INDEX(JupData!$A$2:$K$10000,MATCH($A43&amp;T$1,JupData!$A$2:$A$10000&amp;JupData!$J$2:$J$10000,0),11))</f>
        <v/>
      </c>
      <c r="U43" t="str">
        <f t="array" ref="U43">IF($A43="","",INDEX(JupData!$A$2:$K$10000,MATCH($A43&amp;U$1,JupData!$A$2:$A$10000&amp;JupData!$J$2:$J$10000,0),11))</f>
        <v/>
      </c>
      <c r="V43" t="str">
        <f t="array" ref="V43">IF($A43="","",INDEX(JupData!$A$2:$K$10000,MATCH($A43&amp;V$1,JupData!$A$2:$A$10000&amp;JupData!$J$2:$J$10000,0),11))</f>
        <v/>
      </c>
      <c r="W43" t="str">
        <f t="array" ref="W43">IF($A43="","",INDEX(JupData!$A$2:$K$10000,MATCH($A43&amp;W$1,JupData!$A$2:$A$10000&amp;JupData!$J$2:$J$10000,0),11))</f>
        <v/>
      </c>
      <c r="X43" t="str">
        <f t="array" ref="X43">IF($A43="","",INDEX(JupData!$A$2:$K$10000,MATCH($A43&amp;X$1,JupData!$A$2:$A$10000&amp;JupData!$J$2:$J$10000,0),11))</f>
        <v/>
      </c>
      <c r="Y43" t="str">
        <f t="array" ref="Y43">IF($A43="","",INDEX(JupData!$A$2:$K$10000,MATCH($A43&amp;Y$1,JupData!$A$2:$A$10000&amp;JupData!$J$2:$J$10000,0),11))</f>
        <v/>
      </c>
      <c r="Z43" t="str">
        <f t="array" ref="Z43">IF($A43="","",INDEX(JupData!$A$2:$K$10000,MATCH($A43&amp;Z$1,JupData!$A$2:$A$10000&amp;JupData!$J$2:$J$10000,0),11))</f>
        <v/>
      </c>
      <c r="AA43" t="str">
        <f t="array" ref="AA43">IF($A43="","",INDEX(JupData!$A$2:$K$10000,MATCH($A43&amp;AA$1,JupData!$A$2:$A$10000&amp;JupData!$J$2:$J$10000,0),11))</f>
        <v/>
      </c>
      <c r="AB43" t="str">
        <f t="array" ref="AB43">IF($A43="","",INDEX(JupData!$A$2:$K$10000,MATCH($A43&amp;AB$1,JupData!$A$2:$A$10000&amp;JupData!$J$2:$J$10000,0),11))</f>
        <v/>
      </c>
      <c r="AC43" s="10" t="str">
        <f t="shared" si="0"/>
        <v/>
      </c>
      <c r="AD43" s="10" t="str">
        <f t="shared" si="1"/>
        <v/>
      </c>
      <c r="AE43" s="9" t="str">
        <f t="shared" si="2"/>
        <v/>
      </c>
      <c r="AF43" s="10" t="str">
        <f t="shared" si="3"/>
        <v/>
      </c>
      <c r="AG43" s="10" t="str">
        <f t="shared" si="4"/>
        <v/>
      </c>
      <c r="AH43" s="10" t="str">
        <f t="shared" si="5"/>
        <v/>
      </c>
      <c r="AI43" s="10" t="str">
        <f t="shared" si="6"/>
        <v/>
      </c>
      <c r="AJ43" s="10" t="str">
        <f t="shared" si="7"/>
        <v/>
      </c>
      <c r="AK43" s="10" t="str">
        <f t="shared" si="8"/>
        <v/>
      </c>
      <c r="AL43" s="14" t="str">
        <f t="shared" si="9"/>
        <v/>
      </c>
    </row>
    <row r="44" spans="1:38" x14ac:dyDescent="0.2">
      <c r="A44"/>
      <c r="B44" t="str">
        <f>IF($A44="","",VLOOKUP($A44,JupData!$A$2:$I$10000,4,FALSE))</f>
        <v/>
      </c>
      <c r="C44" s="7" t="str">
        <f>IF($A44="",IF(N(D44),0,""),VLOOKUP($A44,JupData!$A$2:$I$10000,7,FALSE))</f>
        <v/>
      </c>
      <c r="D44" t="str">
        <f t="shared" si="10"/>
        <v/>
      </c>
      <c r="E44" t="str">
        <f t="array" ref="E44">IF($A44="","",INDEX(JupData!$A$2:$K$10000,MATCH($A44&amp;E$1,JupData!$A$2:$A$10000&amp;JupData!$J$2:$J$10000,0),11))</f>
        <v/>
      </c>
      <c r="F44" t="str">
        <f t="array" ref="F44">IF($A44="","",INDEX(JupData!$A$2:$K$10000,MATCH($A44&amp;F$1,JupData!$A$2:$A$10000&amp;JupData!$J$2:$J$10000,0),11))</f>
        <v/>
      </c>
      <c r="G44" t="str">
        <f t="array" ref="G44">IF($A44="","",INDEX(JupData!$A$2:$K$10000,MATCH($A44&amp;G$1,JupData!$A$2:$A$10000&amp;JupData!$J$2:$J$10000,0),11))</f>
        <v/>
      </c>
      <c r="H44" t="str">
        <f t="array" ref="H44">IF($A44="","",INDEX(JupData!$A$2:$K$10000,MATCH($A44&amp;H$1,JupData!$A$2:$A$10000&amp;JupData!$J$2:$J$10000,0),11))</f>
        <v/>
      </c>
      <c r="I44" t="str">
        <f t="array" ref="I44">IF($A44="","",INDEX(JupData!$A$2:$K$10000,MATCH($A44&amp;I$1,JupData!$A$2:$A$10000&amp;JupData!$J$2:$J$10000,0),11))</f>
        <v/>
      </c>
      <c r="J44" t="str">
        <f t="array" ref="J44">IF($A44="","",INDEX(JupData!$A$2:$K$10000,MATCH($A44&amp;J$1,JupData!$A$2:$A$10000&amp;JupData!$J$2:$J$10000,0),11))</f>
        <v/>
      </c>
      <c r="K44" t="str">
        <f t="array" ref="K44">IF($A44="","",INDEX(JupData!$A$2:$K$10000,MATCH($A44&amp;K$1,JupData!$A$2:$A$10000&amp;JupData!$J$2:$J$10000,0),11))</f>
        <v/>
      </c>
      <c r="L44" t="str">
        <f t="array" ref="L44">IF($A44="","",INDEX(JupData!$A$2:$K$10000,MATCH($A44&amp;L$1,JupData!$A$2:$A$10000&amp;JupData!$J$2:$J$10000,0),11))</f>
        <v/>
      </c>
      <c r="M44" t="str">
        <f t="array" ref="M44">IF($A44="","",INDEX(JupData!$A$2:$K$10000,MATCH($A44&amp;M$1,JupData!$A$2:$A$10000&amp;JupData!$J$2:$J$10000,0),11))</f>
        <v/>
      </c>
      <c r="N44" t="str">
        <f t="array" ref="N44">IF($A44="","",INDEX(JupData!$A$2:$K$10000,MATCH($A44&amp;N$1,JupData!$A$2:$A$10000&amp;JupData!$J$2:$J$10000,0),11))</f>
        <v/>
      </c>
      <c r="O44" t="str">
        <f t="array" ref="O44">IF($A44="","",INDEX(JupData!$A$2:$K$10000,MATCH($A44&amp;O$1,JupData!$A$2:$A$10000&amp;JupData!$J$2:$J$10000,0),11))</f>
        <v/>
      </c>
      <c r="P44" t="str">
        <f t="array" ref="P44">IF($A44="","",INDEX(JupData!$A$2:$K$10000,MATCH($A44&amp;P$1,JupData!$A$2:$A$10000&amp;JupData!$J$2:$J$10000,0),11))</f>
        <v/>
      </c>
      <c r="Q44" t="str">
        <f t="array" ref="Q44">IF($A44="","",INDEX(JupData!$A$2:$K$10000,MATCH($A44&amp;Q$1,JupData!$A$2:$A$10000&amp;JupData!$J$2:$J$10000,0),11))</f>
        <v/>
      </c>
      <c r="R44" t="str">
        <f t="array" ref="R44">IF($A44="","",INDEX(JupData!$A$2:$K$10000,MATCH($A44&amp;R$1,JupData!$A$2:$A$10000&amp;JupData!$J$2:$J$10000,0),11))</f>
        <v/>
      </c>
      <c r="S44" t="str">
        <f t="array" ref="S44">IF($A44="","",INDEX(JupData!$A$2:$K$10000,MATCH($A44&amp;S$1,JupData!$A$2:$A$10000&amp;JupData!$J$2:$J$10000,0),11))</f>
        <v/>
      </c>
      <c r="T44" t="str">
        <f t="array" ref="T44">IF($A44="","",INDEX(JupData!$A$2:$K$10000,MATCH($A44&amp;T$1,JupData!$A$2:$A$10000&amp;JupData!$J$2:$J$10000,0),11))</f>
        <v/>
      </c>
      <c r="U44" t="str">
        <f t="array" ref="U44">IF($A44="","",INDEX(JupData!$A$2:$K$10000,MATCH($A44&amp;U$1,JupData!$A$2:$A$10000&amp;JupData!$J$2:$J$10000,0),11))</f>
        <v/>
      </c>
      <c r="V44" t="str">
        <f t="array" ref="V44">IF($A44="","",INDEX(JupData!$A$2:$K$10000,MATCH($A44&amp;V$1,JupData!$A$2:$A$10000&amp;JupData!$J$2:$J$10000,0),11))</f>
        <v/>
      </c>
      <c r="W44" t="str">
        <f t="array" ref="W44">IF($A44="","",INDEX(JupData!$A$2:$K$10000,MATCH($A44&amp;W$1,JupData!$A$2:$A$10000&amp;JupData!$J$2:$J$10000,0),11))</f>
        <v/>
      </c>
      <c r="X44" t="str">
        <f t="array" ref="X44">IF($A44="","",INDEX(JupData!$A$2:$K$10000,MATCH($A44&amp;X$1,JupData!$A$2:$A$10000&amp;JupData!$J$2:$J$10000,0),11))</f>
        <v/>
      </c>
      <c r="Y44" t="str">
        <f t="array" ref="Y44">IF($A44="","",INDEX(JupData!$A$2:$K$10000,MATCH($A44&amp;Y$1,JupData!$A$2:$A$10000&amp;JupData!$J$2:$J$10000,0),11))</f>
        <v/>
      </c>
      <c r="Z44" t="str">
        <f t="array" ref="Z44">IF($A44="","",INDEX(JupData!$A$2:$K$10000,MATCH($A44&amp;Z$1,JupData!$A$2:$A$10000&amp;JupData!$J$2:$J$10000,0),11))</f>
        <v/>
      </c>
      <c r="AA44" t="str">
        <f t="array" ref="AA44">IF($A44="","",INDEX(JupData!$A$2:$K$10000,MATCH($A44&amp;AA$1,JupData!$A$2:$A$10000&amp;JupData!$J$2:$J$10000,0),11))</f>
        <v/>
      </c>
      <c r="AB44" t="str">
        <f t="array" ref="AB44">IF($A44="","",INDEX(JupData!$A$2:$K$10000,MATCH($A44&amp;AB$1,JupData!$A$2:$A$10000&amp;JupData!$J$2:$J$10000,0),11))</f>
        <v/>
      </c>
      <c r="AC44" s="10" t="str">
        <f t="shared" si="0"/>
        <v/>
      </c>
      <c r="AD44" s="10" t="str">
        <f t="shared" si="1"/>
        <v/>
      </c>
      <c r="AE44" s="9" t="str">
        <f t="shared" si="2"/>
        <v/>
      </c>
      <c r="AF44" s="10" t="str">
        <f t="shared" si="3"/>
        <v/>
      </c>
      <c r="AG44" s="10" t="str">
        <f t="shared" si="4"/>
        <v/>
      </c>
      <c r="AH44" s="10" t="str">
        <f t="shared" si="5"/>
        <v/>
      </c>
      <c r="AI44" s="10" t="str">
        <f t="shared" si="6"/>
        <v/>
      </c>
      <c r="AJ44" s="10" t="str">
        <f t="shared" si="7"/>
        <v/>
      </c>
      <c r="AK44" s="10" t="str">
        <f t="shared" si="8"/>
        <v/>
      </c>
      <c r="AL44" s="14" t="str">
        <f t="shared" si="9"/>
        <v/>
      </c>
    </row>
    <row r="45" spans="1:38" x14ac:dyDescent="0.2">
      <c r="A45"/>
      <c r="B45" t="str">
        <f>IF($A45="","",VLOOKUP($A45,JupData!$A$2:$I$10000,4,FALSE))</f>
        <v/>
      </c>
      <c r="C45" s="7" t="str">
        <f>IF($A45="",IF(N(D45),0,""),VLOOKUP($A45,JupData!$A$2:$I$10000,7,FALSE))</f>
        <v/>
      </c>
      <c r="D45" t="str">
        <f t="shared" si="10"/>
        <v/>
      </c>
      <c r="E45" t="str">
        <f t="array" ref="E45">IF($A45="","",INDEX(JupData!$A$2:$K$10000,MATCH($A45&amp;E$1,JupData!$A$2:$A$10000&amp;JupData!$J$2:$J$10000,0),11))</f>
        <v/>
      </c>
      <c r="F45" t="str">
        <f t="array" ref="F45">IF($A45="","",INDEX(JupData!$A$2:$K$10000,MATCH($A45&amp;F$1,JupData!$A$2:$A$10000&amp;JupData!$J$2:$J$10000,0),11))</f>
        <v/>
      </c>
      <c r="G45" t="str">
        <f t="array" ref="G45">IF($A45="","",INDEX(JupData!$A$2:$K$10000,MATCH($A45&amp;G$1,JupData!$A$2:$A$10000&amp;JupData!$J$2:$J$10000,0),11))</f>
        <v/>
      </c>
      <c r="H45" t="str">
        <f t="array" ref="H45">IF($A45="","",INDEX(JupData!$A$2:$K$10000,MATCH($A45&amp;H$1,JupData!$A$2:$A$10000&amp;JupData!$J$2:$J$10000,0),11))</f>
        <v/>
      </c>
      <c r="I45" t="str">
        <f t="array" ref="I45">IF($A45="","",INDEX(JupData!$A$2:$K$10000,MATCH($A45&amp;I$1,JupData!$A$2:$A$10000&amp;JupData!$J$2:$J$10000,0),11))</f>
        <v/>
      </c>
      <c r="J45" t="str">
        <f t="array" ref="J45">IF($A45="","",INDEX(JupData!$A$2:$K$10000,MATCH($A45&amp;J$1,JupData!$A$2:$A$10000&amp;JupData!$J$2:$J$10000,0),11))</f>
        <v/>
      </c>
      <c r="K45" t="str">
        <f t="array" ref="K45">IF($A45="","",INDEX(JupData!$A$2:$K$10000,MATCH($A45&amp;K$1,JupData!$A$2:$A$10000&amp;JupData!$J$2:$J$10000,0),11))</f>
        <v/>
      </c>
      <c r="L45" t="str">
        <f t="array" ref="L45">IF($A45="","",INDEX(JupData!$A$2:$K$10000,MATCH($A45&amp;L$1,JupData!$A$2:$A$10000&amp;JupData!$J$2:$J$10000,0),11))</f>
        <v/>
      </c>
      <c r="M45" t="str">
        <f t="array" ref="M45">IF($A45="","",INDEX(JupData!$A$2:$K$10000,MATCH($A45&amp;M$1,JupData!$A$2:$A$10000&amp;JupData!$J$2:$J$10000,0),11))</f>
        <v/>
      </c>
      <c r="N45" t="str">
        <f t="array" ref="N45">IF($A45="","",INDEX(JupData!$A$2:$K$10000,MATCH($A45&amp;N$1,JupData!$A$2:$A$10000&amp;JupData!$J$2:$J$10000,0),11))</f>
        <v/>
      </c>
      <c r="O45" t="str">
        <f t="array" ref="O45">IF($A45="","",INDEX(JupData!$A$2:$K$10000,MATCH($A45&amp;O$1,JupData!$A$2:$A$10000&amp;JupData!$J$2:$J$10000,0),11))</f>
        <v/>
      </c>
      <c r="P45" t="str">
        <f t="array" ref="P45">IF($A45="","",INDEX(JupData!$A$2:$K$10000,MATCH($A45&amp;P$1,JupData!$A$2:$A$10000&amp;JupData!$J$2:$J$10000,0),11))</f>
        <v/>
      </c>
      <c r="Q45" t="str">
        <f t="array" ref="Q45">IF($A45="","",INDEX(JupData!$A$2:$K$10000,MATCH($A45&amp;Q$1,JupData!$A$2:$A$10000&amp;JupData!$J$2:$J$10000,0),11))</f>
        <v/>
      </c>
      <c r="R45" t="str">
        <f t="array" ref="R45">IF($A45="","",INDEX(JupData!$A$2:$K$10000,MATCH($A45&amp;R$1,JupData!$A$2:$A$10000&amp;JupData!$J$2:$J$10000,0),11))</f>
        <v/>
      </c>
      <c r="S45" t="str">
        <f t="array" ref="S45">IF($A45="","",INDEX(JupData!$A$2:$K$10000,MATCH($A45&amp;S$1,JupData!$A$2:$A$10000&amp;JupData!$J$2:$J$10000,0),11))</f>
        <v/>
      </c>
      <c r="T45" t="str">
        <f t="array" ref="T45">IF($A45="","",INDEX(JupData!$A$2:$K$10000,MATCH($A45&amp;T$1,JupData!$A$2:$A$10000&amp;JupData!$J$2:$J$10000,0),11))</f>
        <v/>
      </c>
      <c r="U45" t="str">
        <f t="array" ref="U45">IF($A45="","",INDEX(JupData!$A$2:$K$10000,MATCH($A45&amp;U$1,JupData!$A$2:$A$10000&amp;JupData!$J$2:$J$10000,0),11))</f>
        <v/>
      </c>
      <c r="V45" t="str">
        <f t="array" ref="V45">IF($A45="","",INDEX(JupData!$A$2:$K$10000,MATCH($A45&amp;V$1,JupData!$A$2:$A$10000&amp;JupData!$J$2:$J$10000,0),11))</f>
        <v/>
      </c>
      <c r="W45" t="str">
        <f t="array" ref="W45">IF($A45="","",INDEX(JupData!$A$2:$K$10000,MATCH($A45&amp;W$1,JupData!$A$2:$A$10000&amp;JupData!$J$2:$J$10000,0),11))</f>
        <v/>
      </c>
      <c r="X45" t="str">
        <f t="array" ref="X45">IF($A45="","",INDEX(JupData!$A$2:$K$10000,MATCH($A45&amp;X$1,JupData!$A$2:$A$10000&amp;JupData!$J$2:$J$10000,0),11))</f>
        <v/>
      </c>
      <c r="Y45" t="str">
        <f t="array" ref="Y45">IF($A45="","",INDEX(JupData!$A$2:$K$10000,MATCH($A45&amp;Y$1,JupData!$A$2:$A$10000&amp;JupData!$J$2:$J$10000,0),11))</f>
        <v/>
      </c>
      <c r="Z45" t="str">
        <f t="array" ref="Z45">IF($A45="","",INDEX(JupData!$A$2:$K$10000,MATCH($A45&amp;Z$1,JupData!$A$2:$A$10000&amp;JupData!$J$2:$J$10000,0),11))</f>
        <v/>
      </c>
      <c r="AA45" t="str">
        <f t="array" ref="AA45">IF($A45="","",INDEX(JupData!$A$2:$K$10000,MATCH($A45&amp;AA$1,JupData!$A$2:$A$10000&amp;JupData!$J$2:$J$10000,0),11))</f>
        <v/>
      </c>
      <c r="AB45" t="str">
        <f t="array" ref="AB45">IF($A45="","",INDEX(JupData!$A$2:$K$10000,MATCH($A45&amp;AB$1,JupData!$A$2:$A$10000&amp;JupData!$J$2:$J$10000,0),11))</f>
        <v/>
      </c>
      <c r="AC45" s="10" t="str">
        <f t="shared" si="0"/>
        <v/>
      </c>
      <c r="AD45" s="10" t="str">
        <f t="shared" si="1"/>
        <v/>
      </c>
      <c r="AE45" s="9" t="str">
        <f t="shared" si="2"/>
        <v/>
      </c>
      <c r="AF45" s="10" t="str">
        <f t="shared" si="3"/>
        <v/>
      </c>
      <c r="AG45" s="10" t="str">
        <f t="shared" si="4"/>
        <v/>
      </c>
      <c r="AH45" s="10" t="str">
        <f t="shared" si="5"/>
        <v/>
      </c>
      <c r="AI45" s="10" t="str">
        <f t="shared" si="6"/>
        <v/>
      </c>
      <c r="AJ45" s="10" t="str">
        <f t="shared" si="7"/>
        <v/>
      </c>
      <c r="AK45" s="10" t="str">
        <f t="shared" si="8"/>
        <v/>
      </c>
      <c r="AL45" s="14" t="str">
        <f t="shared" si="9"/>
        <v/>
      </c>
    </row>
    <row r="46" spans="1:38" x14ac:dyDescent="0.2">
      <c r="A46"/>
      <c r="B46" t="str">
        <f>IF($A46="","",VLOOKUP($A46,JupData!$A$2:$I$10000,4,FALSE))</f>
        <v/>
      </c>
      <c r="C46" s="7" t="str">
        <f>IF($A46="",IF(N(D46),0,""),VLOOKUP($A46,JupData!$A$2:$I$10000,7,FALSE))</f>
        <v/>
      </c>
      <c r="D46" t="str">
        <f t="shared" si="10"/>
        <v/>
      </c>
      <c r="E46" t="str">
        <f t="array" ref="E46">IF($A46="","",INDEX(JupData!$A$2:$K$10000,MATCH($A46&amp;E$1,JupData!$A$2:$A$10000&amp;JupData!$J$2:$J$10000,0),11))</f>
        <v/>
      </c>
      <c r="F46" t="str">
        <f t="array" ref="F46">IF($A46="","",INDEX(JupData!$A$2:$K$10000,MATCH($A46&amp;F$1,JupData!$A$2:$A$10000&amp;JupData!$J$2:$J$10000,0),11))</f>
        <v/>
      </c>
      <c r="G46" t="str">
        <f t="array" ref="G46">IF($A46="","",INDEX(JupData!$A$2:$K$10000,MATCH($A46&amp;G$1,JupData!$A$2:$A$10000&amp;JupData!$J$2:$J$10000,0),11))</f>
        <v/>
      </c>
      <c r="H46" t="str">
        <f t="array" ref="H46">IF($A46="","",INDEX(JupData!$A$2:$K$10000,MATCH($A46&amp;H$1,JupData!$A$2:$A$10000&amp;JupData!$J$2:$J$10000,0),11))</f>
        <v/>
      </c>
      <c r="I46" t="str">
        <f t="array" ref="I46">IF($A46="","",INDEX(JupData!$A$2:$K$10000,MATCH($A46&amp;I$1,JupData!$A$2:$A$10000&amp;JupData!$J$2:$J$10000,0),11))</f>
        <v/>
      </c>
      <c r="J46" t="str">
        <f t="array" ref="J46">IF($A46="","",INDEX(JupData!$A$2:$K$10000,MATCH($A46&amp;J$1,JupData!$A$2:$A$10000&amp;JupData!$J$2:$J$10000,0),11))</f>
        <v/>
      </c>
      <c r="K46" t="str">
        <f t="array" ref="K46">IF($A46="","",INDEX(JupData!$A$2:$K$10000,MATCH($A46&amp;K$1,JupData!$A$2:$A$10000&amp;JupData!$J$2:$J$10000,0),11))</f>
        <v/>
      </c>
      <c r="L46" t="str">
        <f t="array" ref="L46">IF($A46="","",INDEX(JupData!$A$2:$K$10000,MATCH($A46&amp;L$1,JupData!$A$2:$A$10000&amp;JupData!$J$2:$J$10000,0),11))</f>
        <v/>
      </c>
      <c r="M46" t="str">
        <f t="array" ref="M46">IF($A46="","",INDEX(JupData!$A$2:$K$10000,MATCH($A46&amp;M$1,JupData!$A$2:$A$10000&amp;JupData!$J$2:$J$10000,0),11))</f>
        <v/>
      </c>
      <c r="N46" t="str">
        <f t="array" ref="N46">IF($A46="","",INDEX(JupData!$A$2:$K$10000,MATCH($A46&amp;N$1,JupData!$A$2:$A$10000&amp;JupData!$J$2:$J$10000,0),11))</f>
        <v/>
      </c>
      <c r="O46" t="str">
        <f t="array" ref="O46">IF($A46="","",INDEX(JupData!$A$2:$K$10000,MATCH($A46&amp;O$1,JupData!$A$2:$A$10000&amp;JupData!$J$2:$J$10000,0),11))</f>
        <v/>
      </c>
      <c r="P46" t="str">
        <f t="array" ref="P46">IF($A46="","",INDEX(JupData!$A$2:$K$10000,MATCH($A46&amp;P$1,JupData!$A$2:$A$10000&amp;JupData!$J$2:$J$10000,0),11))</f>
        <v/>
      </c>
      <c r="Q46" t="str">
        <f t="array" ref="Q46">IF($A46="","",INDEX(JupData!$A$2:$K$10000,MATCH($A46&amp;Q$1,JupData!$A$2:$A$10000&amp;JupData!$J$2:$J$10000,0),11))</f>
        <v/>
      </c>
      <c r="R46" t="str">
        <f t="array" ref="R46">IF($A46="","",INDEX(JupData!$A$2:$K$10000,MATCH($A46&amp;R$1,JupData!$A$2:$A$10000&amp;JupData!$J$2:$J$10000,0),11))</f>
        <v/>
      </c>
      <c r="S46" t="str">
        <f t="array" ref="S46">IF($A46="","",INDEX(JupData!$A$2:$K$10000,MATCH($A46&amp;S$1,JupData!$A$2:$A$10000&amp;JupData!$J$2:$J$10000,0),11))</f>
        <v/>
      </c>
      <c r="T46" t="str">
        <f t="array" ref="T46">IF($A46="","",INDEX(JupData!$A$2:$K$10000,MATCH($A46&amp;T$1,JupData!$A$2:$A$10000&amp;JupData!$J$2:$J$10000,0),11))</f>
        <v/>
      </c>
      <c r="U46" t="str">
        <f t="array" ref="U46">IF($A46="","",INDEX(JupData!$A$2:$K$10000,MATCH($A46&amp;U$1,JupData!$A$2:$A$10000&amp;JupData!$J$2:$J$10000,0),11))</f>
        <v/>
      </c>
      <c r="V46" t="str">
        <f t="array" ref="V46">IF($A46="","",INDEX(JupData!$A$2:$K$10000,MATCH($A46&amp;V$1,JupData!$A$2:$A$10000&amp;JupData!$J$2:$J$10000,0),11))</f>
        <v/>
      </c>
      <c r="W46" t="str">
        <f t="array" ref="W46">IF($A46="","",INDEX(JupData!$A$2:$K$10000,MATCH($A46&amp;W$1,JupData!$A$2:$A$10000&amp;JupData!$J$2:$J$10000,0),11))</f>
        <v/>
      </c>
      <c r="X46" t="str">
        <f t="array" ref="X46">IF($A46="","",INDEX(JupData!$A$2:$K$10000,MATCH($A46&amp;X$1,JupData!$A$2:$A$10000&amp;JupData!$J$2:$J$10000,0),11))</f>
        <v/>
      </c>
      <c r="Y46" t="str">
        <f t="array" ref="Y46">IF($A46="","",INDEX(JupData!$A$2:$K$10000,MATCH($A46&amp;Y$1,JupData!$A$2:$A$10000&amp;JupData!$J$2:$J$10000,0),11))</f>
        <v/>
      </c>
      <c r="Z46" t="str">
        <f t="array" ref="Z46">IF($A46="","",INDEX(JupData!$A$2:$K$10000,MATCH($A46&amp;Z$1,JupData!$A$2:$A$10000&amp;JupData!$J$2:$J$10000,0),11))</f>
        <v/>
      </c>
      <c r="AA46" t="str">
        <f t="array" ref="AA46">IF($A46="","",INDEX(JupData!$A$2:$K$10000,MATCH($A46&amp;AA$1,JupData!$A$2:$A$10000&amp;JupData!$J$2:$J$10000,0),11))</f>
        <v/>
      </c>
      <c r="AB46" t="str">
        <f t="array" ref="AB46">IF($A46="","",INDEX(JupData!$A$2:$K$10000,MATCH($A46&amp;AB$1,JupData!$A$2:$A$10000&amp;JupData!$J$2:$J$10000,0),11))</f>
        <v/>
      </c>
      <c r="AC46" s="10" t="str">
        <f t="shared" si="0"/>
        <v/>
      </c>
      <c r="AD46" s="10" t="str">
        <f t="shared" si="1"/>
        <v/>
      </c>
      <c r="AE46" s="9" t="str">
        <f t="shared" si="2"/>
        <v/>
      </c>
      <c r="AF46" s="10" t="str">
        <f t="shared" si="3"/>
        <v/>
      </c>
      <c r="AG46" s="10" t="str">
        <f t="shared" si="4"/>
        <v/>
      </c>
      <c r="AH46" s="10" t="str">
        <f t="shared" si="5"/>
        <v/>
      </c>
      <c r="AI46" s="10" t="str">
        <f t="shared" si="6"/>
        <v/>
      </c>
      <c r="AJ46" s="10" t="str">
        <f t="shared" si="7"/>
        <v/>
      </c>
      <c r="AK46" s="10" t="str">
        <f t="shared" si="8"/>
        <v/>
      </c>
      <c r="AL46" s="14" t="str">
        <f t="shared" si="9"/>
        <v/>
      </c>
    </row>
    <row r="47" spans="1:38" x14ac:dyDescent="0.2">
      <c r="A47"/>
      <c r="B47" t="str">
        <f>IF($A47="","",VLOOKUP($A47,JupData!$A$2:$I$10000,4,FALSE))</f>
        <v/>
      </c>
      <c r="C47" s="7" t="str">
        <f>IF($A47="",IF(N(D47),0,""),VLOOKUP($A47,JupData!$A$2:$I$10000,7,FALSE))</f>
        <v/>
      </c>
      <c r="D47" t="str">
        <f t="shared" si="10"/>
        <v/>
      </c>
      <c r="E47" t="str">
        <f t="array" ref="E47">IF($A47="","",INDEX(JupData!$A$2:$K$10000,MATCH($A47&amp;E$1,JupData!$A$2:$A$10000&amp;JupData!$J$2:$J$10000,0),11))</f>
        <v/>
      </c>
      <c r="F47" t="str">
        <f t="array" ref="F47">IF($A47="","",INDEX(JupData!$A$2:$K$10000,MATCH($A47&amp;F$1,JupData!$A$2:$A$10000&amp;JupData!$J$2:$J$10000,0),11))</f>
        <v/>
      </c>
      <c r="G47" t="str">
        <f t="array" ref="G47">IF($A47="","",INDEX(JupData!$A$2:$K$10000,MATCH($A47&amp;G$1,JupData!$A$2:$A$10000&amp;JupData!$J$2:$J$10000,0),11))</f>
        <v/>
      </c>
      <c r="H47" t="str">
        <f t="array" ref="H47">IF($A47="","",INDEX(JupData!$A$2:$K$10000,MATCH($A47&amp;H$1,JupData!$A$2:$A$10000&amp;JupData!$J$2:$J$10000,0),11))</f>
        <v/>
      </c>
      <c r="I47" t="str">
        <f t="array" ref="I47">IF($A47="","",INDEX(JupData!$A$2:$K$10000,MATCH($A47&amp;I$1,JupData!$A$2:$A$10000&amp;JupData!$J$2:$J$10000,0),11))</f>
        <v/>
      </c>
      <c r="J47" t="str">
        <f t="array" ref="J47">IF($A47="","",INDEX(JupData!$A$2:$K$10000,MATCH($A47&amp;J$1,JupData!$A$2:$A$10000&amp;JupData!$J$2:$J$10000,0),11))</f>
        <v/>
      </c>
      <c r="K47" t="str">
        <f t="array" ref="K47">IF($A47="","",INDEX(JupData!$A$2:$K$10000,MATCH($A47&amp;K$1,JupData!$A$2:$A$10000&amp;JupData!$J$2:$J$10000,0),11))</f>
        <v/>
      </c>
      <c r="L47" t="str">
        <f t="array" ref="L47">IF($A47="","",INDEX(JupData!$A$2:$K$10000,MATCH($A47&amp;L$1,JupData!$A$2:$A$10000&amp;JupData!$J$2:$J$10000,0),11))</f>
        <v/>
      </c>
      <c r="M47" t="str">
        <f t="array" ref="M47">IF($A47="","",INDEX(JupData!$A$2:$K$10000,MATCH($A47&amp;M$1,JupData!$A$2:$A$10000&amp;JupData!$J$2:$J$10000,0),11))</f>
        <v/>
      </c>
      <c r="N47" t="str">
        <f t="array" ref="N47">IF($A47="","",INDEX(JupData!$A$2:$K$10000,MATCH($A47&amp;N$1,JupData!$A$2:$A$10000&amp;JupData!$J$2:$J$10000,0),11))</f>
        <v/>
      </c>
      <c r="O47" t="str">
        <f t="array" ref="O47">IF($A47="","",INDEX(JupData!$A$2:$K$10000,MATCH($A47&amp;O$1,JupData!$A$2:$A$10000&amp;JupData!$J$2:$J$10000,0),11))</f>
        <v/>
      </c>
      <c r="P47" t="str">
        <f t="array" ref="P47">IF($A47="","",INDEX(JupData!$A$2:$K$10000,MATCH($A47&amp;P$1,JupData!$A$2:$A$10000&amp;JupData!$J$2:$J$10000,0),11))</f>
        <v/>
      </c>
      <c r="Q47" t="str">
        <f t="array" ref="Q47">IF($A47="","",INDEX(JupData!$A$2:$K$10000,MATCH($A47&amp;Q$1,JupData!$A$2:$A$10000&amp;JupData!$J$2:$J$10000,0),11))</f>
        <v/>
      </c>
      <c r="R47" t="str">
        <f t="array" ref="R47">IF($A47="","",INDEX(JupData!$A$2:$K$10000,MATCH($A47&amp;R$1,JupData!$A$2:$A$10000&amp;JupData!$J$2:$J$10000,0),11))</f>
        <v/>
      </c>
      <c r="S47" t="str">
        <f t="array" ref="S47">IF($A47="","",INDEX(JupData!$A$2:$K$10000,MATCH($A47&amp;S$1,JupData!$A$2:$A$10000&amp;JupData!$J$2:$J$10000,0),11))</f>
        <v/>
      </c>
      <c r="T47" t="str">
        <f t="array" ref="T47">IF($A47="","",INDEX(JupData!$A$2:$K$10000,MATCH($A47&amp;T$1,JupData!$A$2:$A$10000&amp;JupData!$J$2:$J$10000,0),11))</f>
        <v/>
      </c>
      <c r="U47" t="str">
        <f t="array" ref="U47">IF($A47="","",INDEX(JupData!$A$2:$K$10000,MATCH($A47&amp;U$1,JupData!$A$2:$A$10000&amp;JupData!$J$2:$J$10000,0),11))</f>
        <v/>
      </c>
      <c r="V47" t="str">
        <f t="array" ref="V47">IF($A47="","",INDEX(JupData!$A$2:$K$10000,MATCH($A47&amp;V$1,JupData!$A$2:$A$10000&amp;JupData!$J$2:$J$10000,0),11))</f>
        <v/>
      </c>
      <c r="W47" t="str">
        <f t="array" ref="W47">IF($A47="","",INDEX(JupData!$A$2:$K$10000,MATCH($A47&amp;W$1,JupData!$A$2:$A$10000&amp;JupData!$J$2:$J$10000,0),11))</f>
        <v/>
      </c>
      <c r="X47" t="str">
        <f t="array" ref="X47">IF($A47="","",INDEX(JupData!$A$2:$K$10000,MATCH($A47&amp;X$1,JupData!$A$2:$A$10000&amp;JupData!$J$2:$J$10000,0),11))</f>
        <v/>
      </c>
      <c r="Y47" t="str">
        <f t="array" ref="Y47">IF($A47="","",INDEX(JupData!$A$2:$K$10000,MATCH($A47&amp;Y$1,JupData!$A$2:$A$10000&amp;JupData!$J$2:$J$10000,0),11))</f>
        <v/>
      </c>
      <c r="Z47" t="str">
        <f t="array" ref="Z47">IF($A47="","",INDEX(JupData!$A$2:$K$10000,MATCH($A47&amp;Z$1,JupData!$A$2:$A$10000&amp;JupData!$J$2:$J$10000,0),11))</f>
        <v/>
      </c>
      <c r="AA47" t="str">
        <f t="array" ref="AA47">IF($A47="","",INDEX(JupData!$A$2:$K$10000,MATCH($A47&amp;AA$1,JupData!$A$2:$A$10000&amp;JupData!$J$2:$J$10000,0),11))</f>
        <v/>
      </c>
      <c r="AB47" t="str">
        <f t="array" ref="AB47">IF($A47="","",INDEX(JupData!$A$2:$K$10000,MATCH($A47&amp;AB$1,JupData!$A$2:$A$10000&amp;JupData!$J$2:$J$10000,0),11))</f>
        <v/>
      </c>
      <c r="AC47" s="10" t="str">
        <f t="shared" si="0"/>
        <v/>
      </c>
      <c r="AD47" s="10" t="str">
        <f t="shared" si="1"/>
        <v/>
      </c>
      <c r="AE47" s="9" t="str">
        <f t="shared" si="2"/>
        <v/>
      </c>
      <c r="AF47" s="10" t="str">
        <f t="shared" si="3"/>
        <v/>
      </c>
      <c r="AG47" s="10" t="str">
        <f t="shared" si="4"/>
        <v/>
      </c>
      <c r="AH47" s="10" t="str">
        <f t="shared" si="5"/>
        <v/>
      </c>
      <c r="AI47" s="10" t="str">
        <f t="shared" si="6"/>
        <v/>
      </c>
      <c r="AJ47" s="10" t="str">
        <f t="shared" si="7"/>
        <v/>
      </c>
      <c r="AK47" s="10" t="str">
        <f t="shared" si="8"/>
        <v/>
      </c>
      <c r="AL47" s="14" t="str">
        <f t="shared" si="9"/>
        <v/>
      </c>
    </row>
    <row r="48" spans="1:38" x14ac:dyDescent="0.2">
      <c r="A48"/>
      <c r="B48" t="str">
        <f>IF($A48="","",VLOOKUP($A48,JupData!$A$2:$I$10000,4,FALSE))</f>
        <v/>
      </c>
      <c r="C48" s="7" t="str">
        <f>IF($A48="",IF(N(D48),0,""),VLOOKUP($A48,JupData!$A$2:$I$10000,7,FALSE))</f>
        <v/>
      </c>
      <c r="D48" t="str">
        <f t="shared" si="10"/>
        <v/>
      </c>
      <c r="E48" t="str">
        <f t="array" ref="E48">IF($A48="","",INDEX(JupData!$A$2:$K$10000,MATCH($A48&amp;E$1,JupData!$A$2:$A$10000&amp;JupData!$J$2:$J$10000,0),11))</f>
        <v/>
      </c>
      <c r="F48" t="str">
        <f t="array" ref="F48">IF($A48="","",INDEX(JupData!$A$2:$K$10000,MATCH($A48&amp;F$1,JupData!$A$2:$A$10000&amp;JupData!$J$2:$J$10000,0),11))</f>
        <v/>
      </c>
      <c r="G48" t="str">
        <f t="array" ref="G48">IF($A48="","",INDEX(JupData!$A$2:$K$10000,MATCH($A48&amp;G$1,JupData!$A$2:$A$10000&amp;JupData!$J$2:$J$10000,0),11))</f>
        <v/>
      </c>
      <c r="H48" t="str">
        <f t="array" ref="H48">IF($A48="","",INDEX(JupData!$A$2:$K$10000,MATCH($A48&amp;H$1,JupData!$A$2:$A$10000&amp;JupData!$J$2:$J$10000,0),11))</f>
        <v/>
      </c>
      <c r="I48" t="str">
        <f t="array" ref="I48">IF($A48="","",INDEX(JupData!$A$2:$K$10000,MATCH($A48&amp;I$1,JupData!$A$2:$A$10000&amp;JupData!$J$2:$J$10000,0),11))</f>
        <v/>
      </c>
      <c r="J48" t="str">
        <f t="array" ref="J48">IF($A48="","",INDEX(JupData!$A$2:$K$10000,MATCH($A48&amp;J$1,JupData!$A$2:$A$10000&amp;JupData!$J$2:$J$10000,0),11))</f>
        <v/>
      </c>
      <c r="K48" t="str">
        <f t="array" ref="K48">IF($A48="","",INDEX(JupData!$A$2:$K$10000,MATCH($A48&amp;K$1,JupData!$A$2:$A$10000&amp;JupData!$J$2:$J$10000,0),11))</f>
        <v/>
      </c>
      <c r="L48" t="str">
        <f t="array" ref="L48">IF($A48="","",INDEX(JupData!$A$2:$K$10000,MATCH($A48&amp;L$1,JupData!$A$2:$A$10000&amp;JupData!$J$2:$J$10000,0),11))</f>
        <v/>
      </c>
      <c r="M48" t="str">
        <f t="array" ref="M48">IF($A48="","",INDEX(JupData!$A$2:$K$10000,MATCH($A48&amp;M$1,JupData!$A$2:$A$10000&amp;JupData!$J$2:$J$10000,0),11))</f>
        <v/>
      </c>
      <c r="N48" t="str">
        <f t="array" ref="N48">IF($A48="","",INDEX(JupData!$A$2:$K$10000,MATCH($A48&amp;N$1,JupData!$A$2:$A$10000&amp;JupData!$J$2:$J$10000,0),11))</f>
        <v/>
      </c>
      <c r="O48" t="str">
        <f t="array" ref="O48">IF($A48="","",INDEX(JupData!$A$2:$K$10000,MATCH($A48&amp;O$1,JupData!$A$2:$A$10000&amp;JupData!$J$2:$J$10000,0),11))</f>
        <v/>
      </c>
      <c r="P48" t="str">
        <f t="array" ref="P48">IF($A48="","",INDEX(JupData!$A$2:$K$10000,MATCH($A48&amp;P$1,JupData!$A$2:$A$10000&amp;JupData!$J$2:$J$10000,0),11))</f>
        <v/>
      </c>
      <c r="Q48" t="str">
        <f t="array" ref="Q48">IF($A48="","",INDEX(JupData!$A$2:$K$10000,MATCH($A48&amp;Q$1,JupData!$A$2:$A$10000&amp;JupData!$J$2:$J$10000,0),11))</f>
        <v/>
      </c>
      <c r="R48" t="str">
        <f t="array" ref="R48">IF($A48="","",INDEX(JupData!$A$2:$K$10000,MATCH($A48&amp;R$1,JupData!$A$2:$A$10000&amp;JupData!$J$2:$J$10000,0),11))</f>
        <v/>
      </c>
      <c r="S48" t="str">
        <f t="array" ref="S48">IF($A48="","",INDEX(JupData!$A$2:$K$10000,MATCH($A48&amp;S$1,JupData!$A$2:$A$10000&amp;JupData!$J$2:$J$10000,0),11))</f>
        <v/>
      </c>
      <c r="T48" t="str">
        <f t="array" ref="T48">IF($A48="","",INDEX(JupData!$A$2:$K$10000,MATCH($A48&amp;T$1,JupData!$A$2:$A$10000&amp;JupData!$J$2:$J$10000,0),11))</f>
        <v/>
      </c>
      <c r="U48" t="str">
        <f t="array" ref="U48">IF($A48="","",INDEX(JupData!$A$2:$K$10000,MATCH($A48&amp;U$1,JupData!$A$2:$A$10000&amp;JupData!$J$2:$J$10000,0),11))</f>
        <v/>
      </c>
      <c r="V48" t="str">
        <f t="array" ref="V48">IF($A48="","",INDEX(JupData!$A$2:$K$10000,MATCH($A48&amp;V$1,JupData!$A$2:$A$10000&amp;JupData!$J$2:$J$10000,0),11))</f>
        <v/>
      </c>
      <c r="W48" t="str">
        <f t="array" ref="W48">IF($A48="","",INDEX(JupData!$A$2:$K$10000,MATCH($A48&amp;W$1,JupData!$A$2:$A$10000&amp;JupData!$J$2:$J$10000,0),11))</f>
        <v/>
      </c>
      <c r="X48" t="str">
        <f t="array" ref="X48">IF($A48="","",INDEX(JupData!$A$2:$K$10000,MATCH($A48&amp;X$1,JupData!$A$2:$A$10000&amp;JupData!$J$2:$J$10000,0),11))</f>
        <v/>
      </c>
      <c r="Y48" t="str">
        <f t="array" ref="Y48">IF($A48="","",INDEX(JupData!$A$2:$K$10000,MATCH($A48&amp;Y$1,JupData!$A$2:$A$10000&amp;JupData!$J$2:$J$10000,0),11))</f>
        <v/>
      </c>
      <c r="Z48" t="str">
        <f t="array" ref="Z48">IF($A48="","",INDEX(JupData!$A$2:$K$10000,MATCH($A48&amp;Z$1,JupData!$A$2:$A$10000&amp;JupData!$J$2:$J$10000,0),11))</f>
        <v/>
      </c>
      <c r="AA48" t="str">
        <f t="array" ref="AA48">IF($A48="","",INDEX(JupData!$A$2:$K$10000,MATCH($A48&amp;AA$1,JupData!$A$2:$A$10000&amp;JupData!$J$2:$J$10000,0),11))</f>
        <v/>
      </c>
      <c r="AB48" t="str">
        <f t="array" ref="AB48">IF($A48="","",INDEX(JupData!$A$2:$K$10000,MATCH($A48&amp;AB$1,JupData!$A$2:$A$10000&amp;JupData!$J$2:$J$10000,0),11))</f>
        <v/>
      </c>
      <c r="AC48" s="10" t="str">
        <f t="shared" si="0"/>
        <v/>
      </c>
      <c r="AD48" s="10" t="str">
        <f t="shared" si="1"/>
        <v/>
      </c>
      <c r="AE48" s="9" t="str">
        <f t="shared" si="2"/>
        <v/>
      </c>
      <c r="AF48" s="10" t="str">
        <f t="shared" si="3"/>
        <v/>
      </c>
      <c r="AG48" s="10" t="str">
        <f t="shared" si="4"/>
        <v/>
      </c>
      <c r="AH48" s="10" t="str">
        <f t="shared" si="5"/>
        <v/>
      </c>
      <c r="AI48" s="10" t="str">
        <f t="shared" si="6"/>
        <v/>
      </c>
      <c r="AJ48" s="10" t="str">
        <f t="shared" si="7"/>
        <v/>
      </c>
      <c r="AK48" s="10" t="str">
        <f t="shared" si="8"/>
        <v/>
      </c>
      <c r="AL48" s="14" t="str">
        <f t="shared" si="9"/>
        <v/>
      </c>
    </row>
    <row r="49" spans="1:38" x14ac:dyDescent="0.2">
      <c r="A49"/>
      <c r="B49" t="str">
        <f>IF($A49="","",VLOOKUP($A49,JupData!$A$2:$I$10000,4,FALSE))</f>
        <v/>
      </c>
      <c r="C49" s="7" t="str">
        <f>IF($A49="",IF(N(D49),0,""),VLOOKUP($A49,JupData!$A$2:$I$10000,7,FALSE))</f>
        <v/>
      </c>
      <c r="D49" t="str">
        <f t="shared" si="10"/>
        <v/>
      </c>
      <c r="E49" t="str">
        <f t="array" ref="E49">IF($A49="","",INDEX(JupData!$A$2:$K$10000,MATCH($A49&amp;E$1,JupData!$A$2:$A$10000&amp;JupData!$J$2:$J$10000,0),11))</f>
        <v/>
      </c>
      <c r="F49" t="str">
        <f t="array" ref="F49">IF($A49="","",INDEX(JupData!$A$2:$K$10000,MATCH($A49&amp;F$1,JupData!$A$2:$A$10000&amp;JupData!$J$2:$J$10000,0),11))</f>
        <v/>
      </c>
      <c r="G49" t="str">
        <f t="array" ref="G49">IF($A49="","",INDEX(JupData!$A$2:$K$10000,MATCH($A49&amp;G$1,JupData!$A$2:$A$10000&amp;JupData!$J$2:$J$10000,0),11))</f>
        <v/>
      </c>
      <c r="H49" t="str">
        <f t="array" ref="H49">IF($A49="","",INDEX(JupData!$A$2:$K$10000,MATCH($A49&amp;H$1,JupData!$A$2:$A$10000&amp;JupData!$J$2:$J$10000,0),11))</f>
        <v/>
      </c>
      <c r="I49" t="str">
        <f t="array" ref="I49">IF($A49="","",INDEX(JupData!$A$2:$K$10000,MATCH($A49&amp;I$1,JupData!$A$2:$A$10000&amp;JupData!$J$2:$J$10000,0),11))</f>
        <v/>
      </c>
      <c r="J49" t="str">
        <f t="array" ref="J49">IF($A49="","",INDEX(JupData!$A$2:$K$10000,MATCH($A49&amp;J$1,JupData!$A$2:$A$10000&amp;JupData!$J$2:$J$10000,0),11))</f>
        <v/>
      </c>
      <c r="K49" t="str">
        <f t="array" ref="K49">IF($A49="","",INDEX(JupData!$A$2:$K$10000,MATCH($A49&amp;K$1,JupData!$A$2:$A$10000&amp;JupData!$J$2:$J$10000,0),11))</f>
        <v/>
      </c>
      <c r="L49" t="str">
        <f t="array" ref="L49">IF($A49="","",INDEX(JupData!$A$2:$K$10000,MATCH($A49&amp;L$1,JupData!$A$2:$A$10000&amp;JupData!$J$2:$J$10000,0),11))</f>
        <v/>
      </c>
      <c r="M49" t="str">
        <f t="array" ref="M49">IF($A49="","",INDEX(JupData!$A$2:$K$10000,MATCH($A49&amp;M$1,JupData!$A$2:$A$10000&amp;JupData!$J$2:$J$10000,0),11))</f>
        <v/>
      </c>
      <c r="N49" t="str">
        <f t="array" ref="N49">IF($A49="","",INDEX(JupData!$A$2:$K$10000,MATCH($A49&amp;N$1,JupData!$A$2:$A$10000&amp;JupData!$J$2:$J$10000,0),11))</f>
        <v/>
      </c>
      <c r="O49" t="str">
        <f t="array" ref="O49">IF($A49="","",INDEX(JupData!$A$2:$K$10000,MATCH($A49&amp;O$1,JupData!$A$2:$A$10000&amp;JupData!$J$2:$J$10000,0),11))</f>
        <v/>
      </c>
      <c r="P49" t="str">
        <f t="array" ref="P49">IF($A49="","",INDEX(JupData!$A$2:$K$10000,MATCH($A49&amp;P$1,JupData!$A$2:$A$10000&amp;JupData!$J$2:$J$10000,0),11))</f>
        <v/>
      </c>
      <c r="Q49" t="str">
        <f t="array" ref="Q49">IF($A49="","",INDEX(JupData!$A$2:$K$10000,MATCH($A49&amp;Q$1,JupData!$A$2:$A$10000&amp;JupData!$J$2:$J$10000,0),11))</f>
        <v/>
      </c>
      <c r="R49" t="str">
        <f t="array" ref="R49">IF($A49="","",INDEX(JupData!$A$2:$K$10000,MATCH($A49&amp;R$1,JupData!$A$2:$A$10000&amp;JupData!$J$2:$J$10000,0),11))</f>
        <v/>
      </c>
      <c r="S49" t="str">
        <f t="array" ref="S49">IF($A49="","",INDEX(JupData!$A$2:$K$10000,MATCH($A49&amp;S$1,JupData!$A$2:$A$10000&amp;JupData!$J$2:$J$10000,0),11))</f>
        <v/>
      </c>
      <c r="T49" t="str">
        <f t="array" ref="T49">IF($A49="","",INDEX(JupData!$A$2:$K$10000,MATCH($A49&amp;T$1,JupData!$A$2:$A$10000&amp;JupData!$J$2:$J$10000,0),11))</f>
        <v/>
      </c>
      <c r="U49" t="str">
        <f t="array" ref="U49">IF($A49="","",INDEX(JupData!$A$2:$K$10000,MATCH($A49&amp;U$1,JupData!$A$2:$A$10000&amp;JupData!$J$2:$J$10000,0),11))</f>
        <v/>
      </c>
      <c r="V49" t="str">
        <f t="array" ref="V49">IF($A49="","",INDEX(JupData!$A$2:$K$10000,MATCH($A49&amp;V$1,JupData!$A$2:$A$10000&amp;JupData!$J$2:$J$10000,0),11))</f>
        <v/>
      </c>
      <c r="W49" t="str">
        <f t="array" ref="W49">IF($A49="","",INDEX(JupData!$A$2:$K$10000,MATCH($A49&amp;W$1,JupData!$A$2:$A$10000&amp;JupData!$J$2:$J$10000,0),11))</f>
        <v/>
      </c>
      <c r="X49" t="str">
        <f t="array" ref="X49">IF($A49="","",INDEX(JupData!$A$2:$K$10000,MATCH($A49&amp;X$1,JupData!$A$2:$A$10000&amp;JupData!$J$2:$J$10000,0),11))</f>
        <v/>
      </c>
      <c r="Y49" t="str">
        <f t="array" ref="Y49">IF($A49="","",INDEX(JupData!$A$2:$K$10000,MATCH($A49&amp;Y$1,JupData!$A$2:$A$10000&amp;JupData!$J$2:$J$10000,0),11))</f>
        <v/>
      </c>
      <c r="Z49" t="str">
        <f t="array" ref="Z49">IF($A49="","",INDEX(JupData!$A$2:$K$10000,MATCH($A49&amp;Z$1,JupData!$A$2:$A$10000&amp;JupData!$J$2:$J$10000,0),11))</f>
        <v/>
      </c>
      <c r="AA49" t="str">
        <f t="array" ref="AA49">IF($A49="","",INDEX(JupData!$A$2:$K$10000,MATCH($A49&amp;AA$1,JupData!$A$2:$A$10000&amp;JupData!$J$2:$J$10000,0),11))</f>
        <v/>
      </c>
      <c r="AB49" t="str">
        <f t="array" ref="AB49">IF($A49="","",INDEX(JupData!$A$2:$K$10000,MATCH($A49&amp;AB$1,JupData!$A$2:$A$10000&amp;JupData!$J$2:$J$10000,0),11))</f>
        <v/>
      </c>
      <c r="AC49" s="10" t="str">
        <f t="shared" si="0"/>
        <v/>
      </c>
      <c r="AD49" s="10" t="str">
        <f t="shared" si="1"/>
        <v/>
      </c>
      <c r="AE49" s="9" t="str">
        <f t="shared" si="2"/>
        <v/>
      </c>
      <c r="AF49" s="10" t="str">
        <f t="shared" si="3"/>
        <v/>
      </c>
      <c r="AG49" s="10" t="str">
        <f t="shared" si="4"/>
        <v/>
      </c>
      <c r="AH49" s="10" t="str">
        <f t="shared" si="5"/>
        <v/>
      </c>
      <c r="AI49" s="10" t="str">
        <f t="shared" si="6"/>
        <v/>
      </c>
      <c r="AJ49" s="10" t="str">
        <f t="shared" si="7"/>
        <v/>
      </c>
      <c r="AK49" s="10" t="str">
        <f t="shared" si="8"/>
        <v/>
      </c>
      <c r="AL49" s="14" t="str">
        <f t="shared" si="9"/>
        <v/>
      </c>
    </row>
    <row r="50" spans="1:38" x14ac:dyDescent="0.2">
      <c r="A50"/>
      <c r="B50" t="str">
        <f>IF($A50="","",VLOOKUP($A50,JupData!$A$2:$I$10000,4,FALSE))</f>
        <v/>
      </c>
      <c r="C50" s="7" t="str">
        <f>IF($A50="",IF(N(D50),0,""),VLOOKUP($A50,JupData!$A$2:$I$10000,7,FALSE))</f>
        <v/>
      </c>
      <c r="D50" t="str">
        <f t="shared" si="10"/>
        <v/>
      </c>
      <c r="E50" t="str">
        <f t="array" ref="E50">IF($A50="","",INDEX(JupData!$A$2:$K$10000,MATCH($A50&amp;E$1,JupData!$A$2:$A$10000&amp;JupData!$J$2:$J$10000,0),11))</f>
        <v/>
      </c>
      <c r="F50" t="str">
        <f t="array" ref="F50">IF($A50="","",INDEX(JupData!$A$2:$K$10000,MATCH($A50&amp;F$1,JupData!$A$2:$A$10000&amp;JupData!$J$2:$J$10000,0),11))</f>
        <v/>
      </c>
      <c r="G50" t="str">
        <f t="array" ref="G50">IF($A50="","",INDEX(JupData!$A$2:$K$10000,MATCH($A50&amp;G$1,JupData!$A$2:$A$10000&amp;JupData!$J$2:$J$10000,0),11))</f>
        <v/>
      </c>
      <c r="H50" t="str">
        <f t="array" ref="H50">IF($A50="","",INDEX(JupData!$A$2:$K$10000,MATCH($A50&amp;H$1,JupData!$A$2:$A$10000&amp;JupData!$J$2:$J$10000,0),11))</f>
        <v/>
      </c>
      <c r="I50" t="str">
        <f t="array" ref="I50">IF($A50="","",INDEX(JupData!$A$2:$K$10000,MATCH($A50&amp;I$1,JupData!$A$2:$A$10000&amp;JupData!$J$2:$J$10000,0),11))</f>
        <v/>
      </c>
      <c r="J50" t="str">
        <f t="array" ref="J50">IF($A50="","",INDEX(JupData!$A$2:$K$10000,MATCH($A50&amp;J$1,JupData!$A$2:$A$10000&amp;JupData!$J$2:$J$10000,0),11))</f>
        <v/>
      </c>
      <c r="K50" t="str">
        <f t="array" ref="K50">IF($A50="","",INDEX(JupData!$A$2:$K$10000,MATCH($A50&amp;K$1,JupData!$A$2:$A$10000&amp;JupData!$J$2:$J$10000,0),11))</f>
        <v/>
      </c>
      <c r="L50" t="str">
        <f t="array" ref="L50">IF($A50="","",INDEX(JupData!$A$2:$K$10000,MATCH($A50&amp;L$1,JupData!$A$2:$A$10000&amp;JupData!$J$2:$J$10000,0),11))</f>
        <v/>
      </c>
      <c r="M50" t="str">
        <f t="array" ref="M50">IF($A50="","",INDEX(JupData!$A$2:$K$10000,MATCH($A50&amp;M$1,JupData!$A$2:$A$10000&amp;JupData!$J$2:$J$10000,0),11))</f>
        <v/>
      </c>
      <c r="N50" t="str">
        <f t="array" ref="N50">IF($A50="","",INDEX(JupData!$A$2:$K$10000,MATCH($A50&amp;N$1,JupData!$A$2:$A$10000&amp;JupData!$J$2:$J$10000,0),11))</f>
        <v/>
      </c>
      <c r="O50" t="str">
        <f t="array" ref="O50">IF($A50="","",INDEX(JupData!$A$2:$K$10000,MATCH($A50&amp;O$1,JupData!$A$2:$A$10000&amp;JupData!$J$2:$J$10000,0),11))</f>
        <v/>
      </c>
      <c r="P50" t="str">
        <f t="array" ref="P50">IF($A50="","",INDEX(JupData!$A$2:$K$10000,MATCH($A50&amp;P$1,JupData!$A$2:$A$10000&amp;JupData!$J$2:$J$10000,0),11))</f>
        <v/>
      </c>
      <c r="Q50" t="str">
        <f t="array" ref="Q50">IF($A50="","",INDEX(JupData!$A$2:$K$10000,MATCH($A50&amp;Q$1,JupData!$A$2:$A$10000&amp;JupData!$J$2:$J$10000,0),11))</f>
        <v/>
      </c>
      <c r="R50" t="str">
        <f t="array" ref="R50">IF($A50="","",INDEX(JupData!$A$2:$K$10000,MATCH($A50&amp;R$1,JupData!$A$2:$A$10000&amp;JupData!$J$2:$J$10000,0),11))</f>
        <v/>
      </c>
      <c r="S50" t="str">
        <f t="array" ref="S50">IF($A50="","",INDEX(JupData!$A$2:$K$10000,MATCH($A50&amp;S$1,JupData!$A$2:$A$10000&amp;JupData!$J$2:$J$10000,0),11))</f>
        <v/>
      </c>
      <c r="T50" t="str">
        <f t="array" ref="T50">IF($A50="","",INDEX(JupData!$A$2:$K$10000,MATCH($A50&amp;T$1,JupData!$A$2:$A$10000&amp;JupData!$J$2:$J$10000,0),11))</f>
        <v/>
      </c>
      <c r="U50" t="str">
        <f t="array" ref="U50">IF($A50="","",INDEX(JupData!$A$2:$K$10000,MATCH($A50&amp;U$1,JupData!$A$2:$A$10000&amp;JupData!$J$2:$J$10000,0),11))</f>
        <v/>
      </c>
      <c r="V50" t="str">
        <f t="array" ref="V50">IF($A50="","",INDEX(JupData!$A$2:$K$10000,MATCH($A50&amp;V$1,JupData!$A$2:$A$10000&amp;JupData!$J$2:$J$10000,0),11))</f>
        <v/>
      </c>
      <c r="W50" t="str">
        <f t="array" ref="W50">IF($A50="","",INDEX(JupData!$A$2:$K$10000,MATCH($A50&amp;W$1,JupData!$A$2:$A$10000&amp;JupData!$J$2:$J$10000,0),11))</f>
        <v/>
      </c>
      <c r="X50" t="str">
        <f t="array" ref="X50">IF($A50="","",INDEX(JupData!$A$2:$K$10000,MATCH($A50&amp;X$1,JupData!$A$2:$A$10000&amp;JupData!$J$2:$J$10000,0),11))</f>
        <v/>
      </c>
      <c r="Y50" t="str">
        <f t="array" ref="Y50">IF($A50="","",INDEX(JupData!$A$2:$K$10000,MATCH($A50&amp;Y$1,JupData!$A$2:$A$10000&amp;JupData!$J$2:$J$10000,0),11))</f>
        <v/>
      </c>
      <c r="Z50" t="str">
        <f t="array" ref="Z50">IF($A50="","",INDEX(JupData!$A$2:$K$10000,MATCH($A50&amp;Z$1,JupData!$A$2:$A$10000&amp;JupData!$J$2:$J$10000,0),11))</f>
        <v/>
      </c>
      <c r="AA50" t="str">
        <f t="array" ref="AA50">IF($A50="","",INDEX(JupData!$A$2:$K$10000,MATCH($A50&amp;AA$1,JupData!$A$2:$A$10000&amp;JupData!$J$2:$J$10000,0),11))</f>
        <v/>
      </c>
      <c r="AB50" t="str">
        <f t="array" ref="AB50">IF($A50="","",INDEX(JupData!$A$2:$K$10000,MATCH($A50&amp;AB$1,JupData!$A$2:$A$10000&amp;JupData!$J$2:$J$10000,0),11))</f>
        <v/>
      </c>
      <c r="AC50" s="10" t="str">
        <f t="shared" si="0"/>
        <v/>
      </c>
      <c r="AD50" s="10" t="str">
        <f t="shared" si="1"/>
        <v/>
      </c>
      <c r="AE50" s="9" t="str">
        <f t="shared" si="2"/>
        <v/>
      </c>
      <c r="AF50" s="10" t="str">
        <f t="shared" si="3"/>
        <v/>
      </c>
      <c r="AG50" s="10" t="str">
        <f t="shared" si="4"/>
        <v/>
      </c>
      <c r="AH50" s="10" t="str">
        <f t="shared" si="5"/>
        <v/>
      </c>
      <c r="AI50" s="10" t="str">
        <f t="shared" si="6"/>
        <v/>
      </c>
      <c r="AJ50" s="10" t="str">
        <f t="shared" si="7"/>
        <v/>
      </c>
      <c r="AK50" s="10" t="str">
        <f t="shared" si="8"/>
        <v/>
      </c>
      <c r="AL50" s="14" t="str">
        <f t="shared" si="9"/>
        <v/>
      </c>
    </row>
    <row r="51" spans="1:38" x14ac:dyDescent="0.2">
      <c r="A51"/>
      <c r="B51" t="str">
        <f>IF($A51="","",VLOOKUP($A51,JupData!$A$2:$I$10000,4,FALSE))</f>
        <v/>
      </c>
      <c r="C51" s="7" t="str">
        <f>IF($A51="",IF(N(D51),0,""),VLOOKUP($A51,JupData!$A$2:$I$10000,7,FALSE))</f>
        <v/>
      </c>
      <c r="D51" t="str">
        <f t="shared" si="10"/>
        <v/>
      </c>
      <c r="E51" t="str">
        <f t="array" ref="E51">IF($A51="","",INDEX(JupData!$A$2:$K$10000,MATCH($A51&amp;E$1,JupData!$A$2:$A$10000&amp;JupData!$J$2:$J$10000,0),11))</f>
        <v/>
      </c>
      <c r="F51" t="str">
        <f t="array" ref="F51">IF($A51="","",INDEX(JupData!$A$2:$K$10000,MATCH($A51&amp;F$1,JupData!$A$2:$A$10000&amp;JupData!$J$2:$J$10000,0),11))</f>
        <v/>
      </c>
      <c r="G51" t="str">
        <f t="array" ref="G51">IF($A51="","",INDEX(JupData!$A$2:$K$10000,MATCH($A51&amp;G$1,JupData!$A$2:$A$10000&amp;JupData!$J$2:$J$10000,0),11))</f>
        <v/>
      </c>
      <c r="H51" t="str">
        <f t="array" ref="H51">IF($A51="","",INDEX(JupData!$A$2:$K$10000,MATCH($A51&amp;H$1,JupData!$A$2:$A$10000&amp;JupData!$J$2:$J$10000,0),11))</f>
        <v/>
      </c>
      <c r="I51" t="str">
        <f t="array" ref="I51">IF($A51="","",INDEX(JupData!$A$2:$K$10000,MATCH($A51&amp;I$1,JupData!$A$2:$A$10000&amp;JupData!$J$2:$J$10000,0),11))</f>
        <v/>
      </c>
      <c r="J51" t="str">
        <f t="array" ref="J51">IF($A51="","",INDEX(JupData!$A$2:$K$10000,MATCH($A51&amp;J$1,JupData!$A$2:$A$10000&amp;JupData!$J$2:$J$10000,0),11))</f>
        <v/>
      </c>
      <c r="K51" t="str">
        <f t="array" ref="K51">IF($A51="","",INDEX(JupData!$A$2:$K$10000,MATCH($A51&amp;K$1,JupData!$A$2:$A$10000&amp;JupData!$J$2:$J$10000,0),11))</f>
        <v/>
      </c>
      <c r="L51" t="str">
        <f t="array" ref="L51">IF($A51="","",INDEX(JupData!$A$2:$K$10000,MATCH($A51&amp;L$1,JupData!$A$2:$A$10000&amp;JupData!$J$2:$J$10000,0),11))</f>
        <v/>
      </c>
      <c r="M51" t="str">
        <f t="array" ref="M51">IF($A51="","",INDEX(JupData!$A$2:$K$10000,MATCH($A51&amp;M$1,JupData!$A$2:$A$10000&amp;JupData!$J$2:$J$10000,0),11))</f>
        <v/>
      </c>
      <c r="N51" t="str">
        <f t="array" ref="N51">IF($A51="","",INDEX(JupData!$A$2:$K$10000,MATCH($A51&amp;N$1,JupData!$A$2:$A$10000&amp;JupData!$J$2:$J$10000,0),11))</f>
        <v/>
      </c>
      <c r="O51" t="str">
        <f t="array" ref="O51">IF($A51="","",INDEX(JupData!$A$2:$K$10000,MATCH($A51&amp;O$1,JupData!$A$2:$A$10000&amp;JupData!$J$2:$J$10000,0),11))</f>
        <v/>
      </c>
      <c r="P51" t="str">
        <f t="array" ref="P51">IF($A51="","",INDEX(JupData!$A$2:$K$10000,MATCH($A51&amp;P$1,JupData!$A$2:$A$10000&amp;JupData!$J$2:$J$10000,0),11))</f>
        <v/>
      </c>
      <c r="Q51" t="str">
        <f t="array" ref="Q51">IF($A51="","",INDEX(JupData!$A$2:$K$10000,MATCH($A51&amp;Q$1,JupData!$A$2:$A$10000&amp;JupData!$J$2:$J$10000,0),11))</f>
        <v/>
      </c>
      <c r="R51" t="str">
        <f t="array" ref="R51">IF($A51="","",INDEX(JupData!$A$2:$K$10000,MATCH($A51&amp;R$1,JupData!$A$2:$A$10000&amp;JupData!$J$2:$J$10000,0),11))</f>
        <v/>
      </c>
      <c r="S51" t="str">
        <f t="array" ref="S51">IF($A51="","",INDEX(JupData!$A$2:$K$10000,MATCH($A51&amp;S$1,JupData!$A$2:$A$10000&amp;JupData!$J$2:$J$10000,0),11))</f>
        <v/>
      </c>
      <c r="T51" t="str">
        <f t="array" ref="T51">IF($A51="","",INDEX(JupData!$A$2:$K$10000,MATCH($A51&amp;T$1,JupData!$A$2:$A$10000&amp;JupData!$J$2:$J$10000,0),11))</f>
        <v/>
      </c>
      <c r="U51" t="str">
        <f t="array" ref="U51">IF($A51="","",INDEX(JupData!$A$2:$K$10000,MATCH($A51&amp;U$1,JupData!$A$2:$A$10000&amp;JupData!$J$2:$J$10000,0),11))</f>
        <v/>
      </c>
      <c r="V51" t="str">
        <f t="array" ref="V51">IF($A51="","",INDEX(JupData!$A$2:$K$10000,MATCH($A51&amp;V$1,JupData!$A$2:$A$10000&amp;JupData!$J$2:$J$10000,0),11))</f>
        <v/>
      </c>
      <c r="W51" t="str">
        <f t="array" ref="W51">IF($A51="","",INDEX(JupData!$A$2:$K$10000,MATCH($A51&amp;W$1,JupData!$A$2:$A$10000&amp;JupData!$J$2:$J$10000,0),11))</f>
        <v/>
      </c>
      <c r="X51" t="str">
        <f t="array" ref="X51">IF($A51="","",INDEX(JupData!$A$2:$K$10000,MATCH($A51&amp;X$1,JupData!$A$2:$A$10000&amp;JupData!$J$2:$J$10000,0),11))</f>
        <v/>
      </c>
      <c r="Y51" t="str">
        <f t="array" ref="Y51">IF($A51="","",INDEX(JupData!$A$2:$K$10000,MATCH($A51&amp;Y$1,JupData!$A$2:$A$10000&amp;JupData!$J$2:$J$10000,0),11))</f>
        <v/>
      </c>
      <c r="Z51" t="str">
        <f t="array" ref="Z51">IF($A51="","",INDEX(JupData!$A$2:$K$10000,MATCH($A51&amp;Z$1,JupData!$A$2:$A$10000&amp;JupData!$J$2:$J$10000,0),11))</f>
        <v/>
      </c>
      <c r="AA51" t="str">
        <f t="array" ref="AA51">IF($A51="","",INDEX(JupData!$A$2:$K$10000,MATCH($A51&amp;AA$1,JupData!$A$2:$A$10000&amp;JupData!$J$2:$J$10000,0),11))</f>
        <v/>
      </c>
      <c r="AB51" t="str">
        <f t="array" ref="AB51">IF($A51="","",INDEX(JupData!$A$2:$K$10000,MATCH($A51&amp;AB$1,JupData!$A$2:$A$10000&amp;JupData!$J$2:$J$10000,0),11))</f>
        <v/>
      </c>
      <c r="AC51" s="10" t="str">
        <f t="shared" si="0"/>
        <v/>
      </c>
      <c r="AD51" s="10" t="str">
        <f t="shared" si="1"/>
        <v/>
      </c>
      <c r="AE51" s="9" t="str">
        <f t="shared" si="2"/>
        <v/>
      </c>
      <c r="AF51" s="10" t="str">
        <f t="shared" si="3"/>
        <v/>
      </c>
      <c r="AG51" s="10" t="str">
        <f t="shared" si="4"/>
        <v/>
      </c>
      <c r="AH51" s="10" t="str">
        <f t="shared" si="5"/>
        <v/>
      </c>
      <c r="AI51" s="10" t="str">
        <f t="shared" si="6"/>
        <v/>
      </c>
      <c r="AJ51" s="10" t="str">
        <f t="shared" si="7"/>
        <v/>
      </c>
      <c r="AK51" s="10" t="str">
        <f t="shared" si="8"/>
        <v/>
      </c>
      <c r="AL51" s="14" t="str">
        <f t="shared" si="9"/>
        <v/>
      </c>
    </row>
    <row r="52" spans="1:38" x14ac:dyDescent="0.2">
      <c r="A52"/>
      <c r="B52" t="str">
        <f>IF($A52="","",VLOOKUP($A52,JupData!$A$2:$I$10000,4,FALSE))</f>
        <v/>
      </c>
      <c r="C52" s="7" t="str">
        <f>IF($A52="",IF(N(D52),0,""),VLOOKUP($A52,JupData!$A$2:$I$10000,7,FALSE))</f>
        <v/>
      </c>
      <c r="D52" t="str">
        <f t="shared" si="10"/>
        <v/>
      </c>
      <c r="E52" t="str">
        <f t="array" ref="E52">IF($A52="","",INDEX(JupData!$A$2:$K$10000,MATCH($A52&amp;E$1,JupData!$A$2:$A$10000&amp;JupData!$J$2:$J$10000,0),11))</f>
        <v/>
      </c>
      <c r="F52" t="str">
        <f t="array" ref="F52">IF($A52="","",INDEX(JupData!$A$2:$K$10000,MATCH($A52&amp;F$1,JupData!$A$2:$A$10000&amp;JupData!$J$2:$J$10000,0),11))</f>
        <v/>
      </c>
      <c r="G52" t="str">
        <f t="array" ref="G52">IF($A52="","",INDEX(JupData!$A$2:$K$10000,MATCH($A52&amp;G$1,JupData!$A$2:$A$10000&amp;JupData!$J$2:$J$10000,0),11))</f>
        <v/>
      </c>
      <c r="H52" t="str">
        <f t="array" ref="H52">IF($A52="","",INDEX(JupData!$A$2:$K$10000,MATCH($A52&amp;H$1,JupData!$A$2:$A$10000&amp;JupData!$J$2:$J$10000,0),11))</f>
        <v/>
      </c>
      <c r="I52" t="str">
        <f t="array" ref="I52">IF($A52="","",INDEX(JupData!$A$2:$K$10000,MATCH($A52&amp;I$1,JupData!$A$2:$A$10000&amp;JupData!$J$2:$J$10000,0),11))</f>
        <v/>
      </c>
      <c r="J52" t="str">
        <f t="array" ref="J52">IF($A52="","",INDEX(JupData!$A$2:$K$10000,MATCH($A52&amp;J$1,JupData!$A$2:$A$10000&amp;JupData!$J$2:$J$10000,0),11))</f>
        <v/>
      </c>
      <c r="K52" t="str">
        <f t="array" ref="K52">IF($A52="","",INDEX(JupData!$A$2:$K$10000,MATCH($A52&amp;K$1,JupData!$A$2:$A$10000&amp;JupData!$J$2:$J$10000,0),11))</f>
        <v/>
      </c>
      <c r="L52" t="str">
        <f t="array" ref="L52">IF($A52="","",INDEX(JupData!$A$2:$K$10000,MATCH($A52&amp;L$1,JupData!$A$2:$A$10000&amp;JupData!$J$2:$J$10000,0),11))</f>
        <v/>
      </c>
      <c r="M52" t="str">
        <f t="array" ref="M52">IF($A52="","",INDEX(JupData!$A$2:$K$10000,MATCH($A52&amp;M$1,JupData!$A$2:$A$10000&amp;JupData!$J$2:$J$10000,0),11))</f>
        <v/>
      </c>
      <c r="N52" t="str">
        <f t="array" ref="N52">IF($A52="","",INDEX(JupData!$A$2:$K$10000,MATCH($A52&amp;N$1,JupData!$A$2:$A$10000&amp;JupData!$J$2:$J$10000,0),11))</f>
        <v/>
      </c>
      <c r="O52" t="str">
        <f t="array" ref="O52">IF($A52="","",INDEX(JupData!$A$2:$K$10000,MATCH($A52&amp;O$1,JupData!$A$2:$A$10000&amp;JupData!$J$2:$J$10000,0),11))</f>
        <v/>
      </c>
      <c r="P52" t="str">
        <f t="array" ref="P52">IF($A52="","",INDEX(JupData!$A$2:$K$10000,MATCH($A52&amp;P$1,JupData!$A$2:$A$10000&amp;JupData!$J$2:$J$10000,0),11))</f>
        <v/>
      </c>
      <c r="Q52" t="str">
        <f t="array" ref="Q52">IF($A52="","",INDEX(JupData!$A$2:$K$10000,MATCH($A52&amp;Q$1,JupData!$A$2:$A$10000&amp;JupData!$J$2:$J$10000,0),11))</f>
        <v/>
      </c>
      <c r="R52" t="str">
        <f t="array" ref="R52">IF($A52="","",INDEX(JupData!$A$2:$K$10000,MATCH($A52&amp;R$1,JupData!$A$2:$A$10000&amp;JupData!$J$2:$J$10000,0),11))</f>
        <v/>
      </c>
      <c r="S52" t="str">
        <f t="array" ref="S52">IF($A52="","",INDEX(JupData!$A$2:$K$10000,MATCH($A52&amp;S$1,JupData!$A$2:$A$10000&amp;JupData!$J$2:$J$10000,0),11))</f>
        <v/>
      </c>
      <c r="T52" t="str">
        <f t="array" ref="T52">IF($A52="","",INDEX(JupData!$A$2:$K$10000,MATCH($A52&amp;T$1,JupData!$A$2:$A$10000&amp;JupData!$J$2:$J$10000,0),11))</f>
        <v/>
      </c>
      <c r="U52" t="str">
        <f t="array" ref="U52">IF($A52="","",INDEX(JupData!$A$2:$K$10000,MATCH($A52&amp;U$1,JupData!$A$2:$A$10000&amp;JupData!$J$2:$J$10000,0),11))</f>
        <v/>
      </c>
      <c r="V52" t="str">
        <f t="array" ref="V52">IF($A52="","",INDEX(JupData!$A$2:$K$10000,MATCH($A52&amp;V$1,JupData!$A$2:$A$10000&amp;JupData!$J$2:$J$10000,0),11))</f>
        <v/>
      </c>
      <c r="W52" t="str">
        <f t="array" ref="W52">IF($A52="","",INDEX(JupData!$A$2:$K$10000,MATCH($A52&amp;W$1,JupData!$A$2:$A$10000&amp;JupData!$J$2:$J$10000,0),11))</f>
        <v/>
      </c>
      <c r="X52" t="str">
        <f t="array" ref="X52">IF($A52="","",INDEX(JupData!$A$2:$K$10000,MATCH($A52&amp;X$1,JupData!$A$2:$A$10000&amp;JupData!$J$2:$J$10000,0),11))</f>
        <v/>
      </c>
      <c r="Y52" t="str">
        <f t="array" ref="Y52">IF($A52="","",INDEX(JupData!$A$2:$K$10000,MATCH($A52&amp;Y$1,JupData!$A$2:$A$10000&amp;JupData!$J$2:$J$10000,0),11))</f>
        <v/>
      </c>
      <c r="Z52" t="str">
        <f t="array" ref="Z52">IF($A52="","",INDEX(JupData!$A$2:$K$10000,MATCH($A52&amp;Z$1,JupData!$A$2:$A$10000&amp;JupData!$J$2:$J$10000,0),11))</f>
        <v/>
      </c>
      <c r="AA52" t="str">
        <f t="array" ref="AA52">IF($A52="","",INDEX(JupData!$A$2:$K$10000,MATCH($A52&amp;AA$1,JupData!$A$2:$A$10000&amp;JupData!$J$2:$J$10000,0),11))</f>
        <v/>
      </c>
      <c r="AB52" t="str">
        <f t="array" ref="AB52">IF($A52="","",INDEX(JupData!$A$2:$K$10000,MATCH($A52&amp;AB$1,JupData!$A$2:$A$10000&amp;JupData!$J$2:$J$10000,0),11))</f>
        <v/>
      </c>
      <c r="AC52" s="10" t="str">
        <f t="shared" si="0"/>
        <v/>
      </c>
      <c r="AD52" s="10" t="str">
        <f t="shared" si="1"/>
        <v/>
      </c>
      <c r="AE52" s="9" t="str">
        <f t="shared" si="2"/>
        <v/>
      </c>
      <c r="AF52" s="10" t="str">
        <f t="shared" si="3"/>
        <v/>
      </c>
      <c r="AG52" s="10" t="str">
        <f t="shared" si="4"/>
        <v/>
      </c>
      <c r="AH52" s="10" t="str">
        <f t="shared" si="5"/>
        <v/>
      </c>
      <c r="AI52" s="10" t="str">
        <f t="shared" si="6"/>
        <v/>
      </c>
      <c r="AJ52" s="10" t="str">
        <f t="shared" si="7"/>
        <v/>
      </c>
      <c r="AK52" s="10" t="str">
        <f t="shared" si="8"/>
        <v/>
      </c>
      <c r="AL52" s="14" t="str">
        <f t="shared" si="9"/>
        <v/>
      </c>
    </row>
    <row r="53" spans="1:38" x14ac:dyDescent="0.2">
      <c r="A53"/>
      <c r="B53" t="str">
        <f>IF($A53="","",VLOOKUP($A53,JupData!$A$2:$I$10000,4,FALSE))</f>
        <v/>
      </c>
      <c r="C53" s="7" t="str">
        <f>IF($A53="",IF(N(D53),0,""),VLOOKUP($A53,JupData!$A$2:$I$10000,7,FALSE))</f>
        <v/>
      </c>
      <c r="D53" t="str">
        <f t="shared" si="10"/>
        <v/>
      </c>
      <c r="E53" t="str">
        <f t="array" ref="E53">IF($A53="","",INDEX(JupData!$A$2:$K$10000,MATCH($A53&amp;E$1,JupData!$A$2:$A$10000&amp;JupData!$J$2:$J$10000,0),11))</f>
        <v/>
      </c>
      <c r="F53" t="str">
        <f t="array" ref="F53">IF($A53="","",INDEX(JupData!$A$2:$K$10000,MATCH($A53&amp;F$1,JupData!$A$2:$A$10000&amp;JupData!$J$2:$J$10000,0),11))</f>
        <v/>
      </c>
      <c r="G53" t="str">
        <f t="array" ref="G53">IF($A53="","",INDEX(JupData!$A$2:$K$10000,MATCH($A53&amp;G$1,JupData!$A$2:$A$10000&amp;JupData!$J$2:$J$10000,0),11))</f>
        <v/>
      </c>
      <c r="H53" t="str">
        <f t="array" ref="H53">IF($A53="","",INDEX(JupData!$A$2:$K$10000,MATCH($A53&amp;H$1,JupData!$A$2:$A$10000&amp;JupData!$J$2:$J$10000,0),11))</f>
        <v/>
      </c>
      <c r="I53" t="str">
        <f t="array" ref="I53">IF($A53="","",INDEX(JupData!$A$2:$K$10000,MATCH($A53&amp;I$1,JupData!$A$2:$A$10000&amp;JupData!$J$2:$J$10000,0),11))</f>
        <v/>
      </c>
      <c r="J53" t="str">
        <f t="array" ref="J53">IF($A53="","",INDEX(JupData!$A$2:$K$10000,MATCH($A53&amp;J$1,JupData!$A$2:$A$10000&amp;JupData!$J$2:$J$10000,0),11))</f>
        <v/>
      </c>
      <c r="K53" t="str">
        <f t="array" ref="K53">IF($A53="","",INDEX(JupData!$A$2:$K$10000,MATCH($A53&amp;K$1,JupData!$A$2:$A$10000&amp;JupData!$J$2:$J$10000,0),11))</f>
        <v/>
      </c>
      <c r="L53" t="str">
        <f t="array" ref="L53">IF($A53="","",INDEX(JupData!$A$2:$K$10000,MATCH($A53&amp;L$1,JupData!$A$2:$A$10000&amp;JupData!$J$2:$J$10000,0),11))</f>
        <v/>
      </c>
      <c r="M53" t="str">
        <f t="array" ref="M53">IF($A53="","",INDEX(JupData!$A$2:$K$10000,MATCH($A53&amp;M$1,JupData!$A$2:$A$10000&amp;JupData!$J$2:$J$10000,0),11))</f>
        <v/>
      </c>
      <c r="N53" t="str">
        <f t="array" ref="N53">IF($A53="","",INDEX(JupData!$A$2:$K$10000,MATCH($A53&amp;N$1,JupData!$A$2:$A$10000&amp;JupData!$J$2:$J$10000,0),11))</f>
        <v/>
      </c>
      <c r="O53" t="str">
        <f t="array" ref="O53">IF($A53="","",INDEX(JupData!$A$2:$K$10000,MATCH($A53&amp;O$1,JupData!$A$2:$A$10000&amp;JupData!$J$2:$J$10000,0),11))</f>
        <v/>
      </c>
      <c r="P53" t="str">
        <f t="array" ref="P53">IF($A53="","",INDEX(JupData!$A$2:$K$10000,MATCH($A53&amp;P$1,JupData!$A$2:$A$10000&amp;JupData!$J$2:$J$10000,0),11))</f>
        <v/>
      </c>
      <c r="Q53" t="str">
        <f t="array" ref="Q53">IF($A53="","",INDEX(JupData!$A$2:$K$10000,MATCH($A53&amp;Q$1,JupData!$A$2:$A$10000&amp;JupData!$J$2:$J$10000,0),11))</f>
        <v/>
      </c>
      <c r="R53" t="str">
        <f t="array" ref="R53">IF($A53="","",INDEX(JupData!$A$2:$K$10000,MATCH($A53&amp;R$1,JupData!$A$2:$A$10000&amp;JupData!$J$2:$J$10000,0),11))</f>
        <v/>
      </c>
      <c r="S53" t="str">
        <f t="array" ref="S53">IF($A53="","",INDEX(JupData!$A$2:$K$10000,MATCH($A53&amp;S$1,JupData!$A$2:$A$10000&amp;JupData!$J$2:$J$10000,0),11))</f>
        <v/>
      </c>
      <c r="T53" t="str">
        <f t="array" ref="T53">IF($A53="","",INDEX(JupData!$A$2:$K$10000,MATCH($A53&amp;T$1,JupData!$A$2:$A$10000&amp;JupData!$J$2:$J$10000,0),11))</f>
        <v/>
      </c>
      <c r="U53" t="str">
        <f t="array" ref="U53">IF($A53="","",INDEX(JupData!$A$2:$K$10000,MATCH($A53&amp;U$1,JupData!$A$2:$A$10000&amp;JupData!$J$2:$J$10000,0),11))</f>
        <v/>
      </c>
      <c r="V53" t="str">
        <f t="array" ref="V53">IF($A53="","",INDEX(JupData!$A$2:$K$10000,MATCH($A53&amp;V$1,JupData!$A$2:$A$10000&amp;JupData!$J$2:$J$10000,0),11))</f>
        <v/>
      </c>
      <c r="W53" t="str">
        <f t="array" ref="W53">IF($A53="","",INDEX(JupData!$A$2:$K$10000,MATCH($A53&amp;W$1,JupData!$A$2:$A$10000&amp;JupData!$J$2:$J$10000,0),11))</f>
        <v/>
      </c>
      <c r="X53" t="str">
        <f t="array" ref="X53">IF($A53="","",INDEX(JupData!$A$2:$K$10000,MATCH($A53&amp;X$1,JupData!$A$2:$A$10000&amp;JupData!$J$2:$J$10000,0),11))</f>
        <v/>
      </c>
      <c r="Y53" t="str">
        <f t="array" ref="Y53">IF($A53="","",INDEX(JupData!$A$2:$K$10000,MATCH($A53&amp;Y$1,JupData!$A$2:$A$10000&amp;JupData!$J$2:$J$10000,0),11))</f>
        <v/>
      </c>
      <c r="Z53" t="str">
        <f t="array" ref="Z53">IF($A53="","",INDEX(JupData!$A$2:$K$10000,MATCH($A53&amp;Z$1,JupData!$A$2:$A$10000&amp;JupData!$J$2:$J$10000,0),11))</f>
        <v/>
      </c>
      <c r="AA53" t="str">
        <f t="array" ref="AA53">IF($A53="","",INDEX(JupData!$A$2:$K$10000,MATCH($A53&amp;AA$1,JupData!$A$2:$A$10000&amp;JupData!$J$2:$J$10000,0),11))</f>
        <v/>
      </c>
      <c r="AB53" t="str">
        <f t="array" ref="AB53">IF($A53="","",INDEX(JupData!$A$2:$K$10000,MATCH($A53&amp;AB$1,JupData!$A$2:$A$10000&amp;JupData!$J$2:$J$10000,0),11))</f>
        <v/>
      </c>
      <c r="AC53" s="10" t="str">
        <f t="shared" si="0"/>
        <v/>
      </c>
      <c r="AD53" s="10" t="str">
        <f t="shared" si="1"/>
        <v/>
      </c>
      <c r="AE53" s="9" t="str">
        <f t="shared" si="2"/>
        <v/>
      </c>
      <c r="AF53" s="10" t="str">
        <f t="shared" si="3"/>
        <v/>
      </c>
      <c r="AG53" s="10" t="str">
        <f t="shared" si="4"/>
        <v/>
      </c>
      <c r="AH53" s="10" t="str">
        <f t="shared" si="5"/>
        <v/>
      </c>
      <c r="AI53" s="10" t="str">
        <f t="shared" si="6"/>
        <v/>
      </c>
      <c r="AJ53" s="10" t="str">
        <f t="shared" si="7"/>
        <v/>
      </c>
      <c r="AK53" s="10" t="str">
        <f t="shared" si="8"/>
        <v/>
      </c>
      <c r="AL53" s="14" t="str">
        <f t="shared" si="9"/>
        <v/>
      </c>
    </row>
    <row r="54" spans="1:38" x14ac:dyDescent="0.2">
      <c r="A54"/>
      <c r="B54" t="str">
        <f>IF($A54="","",VLOOKUP($A54,JupData!$A$2:$I$10000,4,FALSE))</f>
        <v/>
      </c>
      <c r="C54" s="7" t="str">
        <f>IF($A54="",IF(N(D54),0,""),VLOOKUP($A54,JupData!$A$2:$I$10000,7,FALSE))</f>
        <v/>
      </c>
      <c r="D54" t="str">
        <f t="shared" si="10"/>
        <v/>
      </c>
      <c r="E54" t="str">
        <f t="array" ref="E54">IF($A54="","",INDEX(JupData!$A$2:$K$10000,MATCH($A54&amp;E$1,JupData!$A$2:$A$10000&amp;JupData!$J$2:$J$10000,0),11))</f>
        <v/>
      </c>
      <c r="F54" t="str">
        <f t="array" ref="F54">IF($A54="","",INDEX(JupData!$A$2:$K$10000,MATCH($A54&amp;F$1,JupData!$A$2:$A$10000&amp;JupData!$J$2:$J$10000,0),11))</f>
        <v/>
      </c>
      <c r="G54" t="str">
        <f t="array" ref="G54">IF($A54="","",INDEX(JupData!$A$2:$K$10000,MATCH($A54&amp;G$1,JupData!$A$2:$A$10000&amp;JupData!$J$2:$J$10000,0),11))</f>
        <v/>
      </c>
      <c r="H54" t="str">
        <f t="array" ref="H54">IF($A54="","",INDEX(JupData!$A$2:$K$10000,MATCH($A54&amp;H$1,JupData!$A$2:$A$10000&amp;JupData!$J$2:$J$10000,0),11))</f>
        <v/>
      </c>
      <c r="I54" t="str">
        <f t="array" ref="I54">IF($A54="","",INDEX(JupData!$A$2:$K$10000,MATCH($A54&amp;I$1,JupData!$A$2:$A$10000&amp;JupData!$J$2:$J$10000,0),11))</f>
        <v/>
      </c>
      <c r="J54" t="str">
        <f t="array" ref="J54">IF($A54="","",INDEX(JupData!$A$2:$K$10000,MATCH($A54&amp;J$1,JupData!$A$2:$A$10000&amp;JupData!$J$2:$J$10000,0),11))</f>
        <v/>
      </c>
      <c r="K54" t="str">
        <f t="array" ref="K54">IF($A54="","",INDEX(JupData!$A$2:$K$10000,MATCH($A54&amp;K$1,JupData!$A$2:$A$10000&amp;JupData!$J$2:$J$10000,0),11))</f>
        <v/>
      </c>
      <c r="L54" t="str">
        <f t="array" ref="L54">IF($A54="","",INDEX(JupData!$A$2:$K$10000,MATCH($A54&amp;L$1,JupData!$A$2:$A$10000&amp;JupData!$J$2:$J$10000,0),11))</f>
        <v/>
      </c>
      <c r="M54" t="str">
        <f t="array" ref="M54">IF($A54="","",INDEX(JupData!$A$2:$K$10000,MATCH($A54&amp;M$1,JupData!$A$2:$A$10000&amp;JupData!$J$2:$J$10000,0),11))</f>
        <v/>
      </c>
      <c r="N54" t="str">
        <f t="array" ref="N54">IF($A54="","",INDEX(JupData!$A$2:$K$10000,MATCH($A54&amp;N$1,JupData!$A$2:$A$10000&amp;JupData!$J$2:$J$10000,0),11))</f>
        <v/>
      </c>
      <c r="O54" t="str">
        <f t="array" ref="O54">IF($A54="","",INDEX(JupData!$A$2:$K$10000,MATCH($A54&amp;O$1,JupData!$A$2:$A$10000&amp;JupData!$J$2:$J$10000,0),11))</f>
        <v/>
      </c>
      <c r="P54" t="str">
        <f t="array" ref="P54">IF($A54="","",INDEX(JupData!$A$2:$K$10000,MATCH($A54&amp;P$1,JupData!$A$2:$A$10000&amp;JupData!$J$2:$J$10000,0),11))</f>
        <v/>
      </c>
      <c r="Q54" t="str">
        <f t="array" ref="Q54">IF($A54="","",INDEX(JupData!$A$2:$K$10000,MATCH($A54&amp;Q$1,JupData!$A$2:$A$10000&amp;JupData!$J$2:$J$10000,0),11))</f>
        <v/>
      </c>
      <c r="R54" t="str">
        <f t="array" ref="R54">IF($A54="","",INDEX(JupData!$A$2:$K$10000,MATCH($A54&amp;R$1,JupData!$A$2:$A$10000&amp;JupData!$J$2:$J$10000,0),11))</f>
        <v/>
      </c>
      <c r="S54" t="str">
        <f t="array" ref="S54">IF($A54="","",INDEX(JupData!$A$2:$K$10000,MATCH($A54&amp;S$1,JupData!$A$2:$A$10000&amp;JupData!$J$2:$J$10000,0),11))</f>
        <v/>
      </c>
      <c r="T54" t="str">
        <f t="array" ref="T54">IF($A54="","",INDEX(JupData!$A$2:$K$10000,MATCH($A54&amp;T$1,JupData!$A$2:$A$10000&amp;JupData!$J$2:$J$10000,0),11))</f>
        <v/>
      </c>
      <c r="U54" t="str">
        <f t="array" ref="U54">IF($A54="","",INDEX(JupData!$A$2:$K$10000,MATCH($A54&amp;U$1,JupData!$A$2:$A$10000&amp;JupData!$J$2:$J$10000,0),11))</f>
        <v/>
      </c>
      <c r="V54" t="str">
        <f t="array" ref="V54">IF($A54="","",INDEX(JupData!$A$2:$K$10000,MATCH($A54&amp;V$1,JupData!$A$2:$A$10000&amp;JupData!$J$2:$J$10000,0),11))</f>
        <v/>
      </c>
      <c r="W54" t="str">
        <f t="array" ref="W54">IF($A54="","",INDEX(JupData!$A$2:$K$10000,MATCH($A54&amp;W$1,JupData!$A$2:$A$10000&amp;JupData!$J$2:$J$10000,0),11))</f>
        <v/>
      </c>
      <c r="X54" t="str">
        <f t="array" ref="X54">IF($A54="","",INDEX(JupData!$A$2:$K$10000,MATCH($A54&amp;X$1,JupData!$A$2:$A$10000&amp;JupData!$J$2:$J$10000,0),11))</f>
        <v/>
      </c>
      <c r="Y54" t="str">
        <f t="array" ref="Y54">IF($A54="","",INDEX(JupData!$A$2:$K$10000,MATCH($A54&amp;Y$1,JupData!$A$2:$A$10000&amp;JupData!$J$2:$J$10000,0),11))</f>
        <v/>
      </c>
      <c r="Z54" t="str">
        <f t="array" ref="Z54">IF($A54="","",INDEX(JupData!$A$2:$K$10000,MATCH($A54&amp;Z$1,JupData!$A$2:$A$10000&amp;JupData!$J$2:$J$10000,0),11))</f>
        <v/>
      </c>
      <c r="AA54" t="str">
        <f t="array" ref="AA54">IF($A54="","",INDEX(JupData!$A$2:$K$10000,MATCH($A54&amp;AA$1,JupData!$A$2:$A$10000&amp;JupData!$J$2:$J$10000,0),11))</f>
        <v/>
      </c>
      <c r="AB54" t="str">
        <f t="array" ref="AB54">IF($A54="","",INDEX(JupData!$A$2:$K$10000,MATCH($A54&amp;AB$1,JupData!$A$2:$A$10000&amp;JupData!$J$2:$J$10000,0),11))</f>
        <v/>
      </c>
      <c r="AC54" s="10" t="str">
        <f t="shared" si="0"/>
        <v/>
      </c>
      <c r="AD54" s="10" t="str">
        <f t="shared" si="1"/>
        <v/>
      </c>
      <c r="AE54" s="9" t="str">
        <f t="shared" si="2"/>
        <v/>
      </c>
      <c r="AF54" s="10" t="str">
        <f t="shared" si="3"/>
        <v/>
      </c>
      <c r="AG54" s="10" t="str">
        <f t="shared" si="4"/>
        <v/>
      </c>
      <c r="AH54" s="10" t="str">
        <f t="shared" si="5"/>
        <v/>
      </c>
      <c r="AI54" s="10" t="str">
        <f t="shared" si="6"/>
        <v/>
      </c>
      <c r="AJ54" s="10" t="str">
        <f t="shared" si="7"/>
        <v/>
      </c>
      <c r="AK54" s="10" t="str">
        <f t="shared" si="8"/>
        <v/>
      </c>
      <c r="AL54" s="14" t="str">
        <f t="shared" si="9"/>
        <v/>
      </c>
    </row>
    <row r="55" spans="1:38" x14ac:dyDescent="0.2">
      <c r="A55"/>
      <c r="B55" t="str">
        <f>IF($A55="","",VLOOKUP($A55,JupData!$A$2:$I$10000,4,FALSE))</f>
        <v/>
      </c>
      <c r="C55" s="7" t="str">
        <f>IF($A55="",IF(N(D55),0,""),VLOOKUP($A55,JupData!$A$2:$I$10000,7,FALSE))</f>
        <v/>
      </c>
      <c r="D55" t="str">
        <f t="shared" si="10"/>
        <v/>
      </c>
      <c r="E55" t="str">
        <f t="array" ref="E55">IF($A55="","",INDEX(JupData!$A$2:$K$10000,MATCH($A55&amp;E$1,JupData!$A$2:$A$10000&amp;JupData!$J$2:$J$10000,0),11))</f>
        <v/>
      </c>
      <c r="F55" t="str">
        <f t="array" ref="F55">IF($A55="","",INDEX(JupData!$A$2:$K$10000,MATCH($A55&amp;F$1,JupData!$A$2:$A$10000&amp;JupData!$J$2:$J$10000,0),11))</f>
        <v/>
      </c>
      <c r="G55" t="str">
        <f t="array" ref="G55">IF($A55="","",INDEX(JupData!$A$2:$K$10000,MATCH($A55&amp;G$1,JupData!$A$2:$A$10000&amp;JupData!$J$2:$J$10000,0),11))</f>
        <v/>
      </c>
      <c r="H55" t="str">
        <f t="array" ref="H55">IF($A55="","",INDEX(JupData!$A$2:$K$10000,MATCH($A55&amp;H$1,JupData!$A$2:$A$10000&amp;JupData!$J$2:$J$10000,0),11))</f>
        <v/>
      </c>
      <c r="I55" t="str">
        <f t="array" ref="I55">IF($A55="","",INDEX(JupData!$A$2:$K$10000,MATCH($A55&amp;I$1,JupData!$A$2:$A$10000&amp;JupData!$J$2:$J$10000,0),11))</f>
        <v/>
      </c>
      <c r="J55" t="str">
        <f t="array" ref="J55">IF($A55="","",INDEX(JupData!$A$2:$K$10000,MATCH($A55&amp;J$1,JupData!$A$2:$A$10000&amp;JupData!$J$2:$J$10000,0),11))</f>
        <v/>
      </c>
      <c r="K55" t="str">
        <f t="array" ref="K55">IF($A55="","",INDEX(JupData!$A$2:$K$10000,MATCH($A55&amp;K$1,JupData!$A$2:$A$10000&amp;JupData!$J$2:$J$10000,0),11))</f>
        <v/>
      </c>
      <c r="L55" t="str">
        <f t="array" ref="L55">IF($A55="","",INDEX(JupData!$A$2:$K$10000,MATCH($A55&amp;L$1,JupData!$A$2:$A$10000&amp;JupData!$J$2:$J$10000,0),11))</f>
        <v/>
      </c>
      <c r="M55" t="str">
        <f t="array" ref="M55">IF($A55="","",INDEX(JupData!$A$2:$K$10000,MATCH($A55&amp;M$1,JupData!$A$2:$A$10000&amp;JupData!$J$2:$J$10000,0),11))</f>
        <v/>
      </c>
      <c r="N55" t="str">
        <f t="array" ref="N55">IF($A55="","",INDEX(JupData!$A$2:$K$10000,MATCH($A55&amp;N$1,JupData!$A$2:$A$10000&amp;JupData!$J$2:$J$10000,0),11))</f>
        <v/>
      </c>
      <c r="O55" t="str">
        <f t="array" ref="O55">IF($A55="","",INDEX(JupData!$A$2:$K$10000,MATCH($A55&amp;O$1,JupData!$A$2:$A$10000&amp;JupData!$J$2:$J$10000,0),11))</f>
        <v/>
      </c>
      <c r="P55" t="str">
        <f t="array" ref="P55">IF($A55="","",INDEX(JupData!$A$2:$K$10000,MATCH($A55&amp;P$1,JupData!$A$2:$A$10000&amp;JupData!$J$2:$J$10000,0),11))</f>
        <v/>
      </c>
      <c r="Q55" t="str">
        <f t="array" ref="Q55">IF($A55="","",INDEX(JupData!$A$2:$K$10000,MATCH($A55&amp;Q$1,JupData!$A$2:$A$10000&amp;JupData!$J$2:$J$10000,0),11))</f>
        <v/>
      </c>
      <c r="R55" t="str">
        <f t="array" ref="R55">IF($A55="","",INDEX(JupData!$A$2:$K$10000,MATCH($A55&amp;R$1,JupData!$A$2:$A$10000&amp;JupData!$J$2:$J$10000,0),11))</f>
        <v/>
      </c>
      <c r="S55" t="str">
        <f t="array" ref="S55">IF($A55="","",INDEX(JupData!$A$2:$K$10000,MATCH($A55&amp;S$1,JupData!$A$2:$A$10000&amp;JupData!$J$2:$J$10000,0),11))</f>
        <v/>
      </c>
      <c r="T55" t="str">
        <f t="array" ref="T55">IF($A55="","",INDEX(JupData!$A$2:$K$10000,MATCH($A55&amp;T$1,JupData!$A$2:$A$10000&amp;JupData!$J$2:$J$10000,0),11))</f>
        <v/>
      </c>
      <c r="U55" t="str">
        <f t="array" ref="U55">IF($A55="","",INDEX(JupData!$A$2:$K$10000,MATCH($A55&amp;U$1,JupData!$A$2:$A$10000&amp;JupData!$J$2:$J$10000,0),11))</f>
        <v/>
      </c>
      <c r="V55" t="str">
        <f t="array" ref="V55">IF($A55="","",INDEX(JupData!$A$2:$K$10000,MATCH($A55&amp;V$1,JupData!$A$2:$A$10000&amp;JupData!$J$2:$J$10000,0),11))</f>
        <v/>
      </c>
      <c r="W55" t="str">
        <f t="array" ref="W55">IF($A55="","",INDEX(JupData!$A$2:$K$10000,MATCH($A55&amp;W$1,JupData!$A$2:$A$10000&amp;JupData!$J$2:$J$10000,0),11))</f>
        <v/>
      </c>
      <c r="X55" t="str">
        <f t="array" ref="X55">IF($A55="","",INDEX(JupData!$A$2:$K$10000,MATCH($A55&amp;X$1,JupData!$A$2:$A$10000&amp;JupData!$J$2:$J$10000,0),11))</f>
        <v/>
      </c>
      <c r="Y55" t="str">
        <f t="array" ref="Y55">IF($A55="","",INDEX(JupData!$A$2:$K$10000,MATCH($A55&amp;Y$1,JupData!$A$2:$A$10000&amp;JupData!$J$2:$J$10000,0),11))</f>
        <v/>
      </c>
      <c r="Z55" t="str">
        <f t="array" ref="Z55">IF($A55="","",INDEX(JupData!$A$2:$K$10000,MATCH($A55&amp;Z$1,JupData!$A$2:$A$10000&amp;JupData!$J$2:$J$10000,0),11))</f>
        <v/>
      </c>
      <c r="AA55" t="str">
        <f t="array" ref="AA55">IF($A55="","",INDEX(JupData!$A$2:$K$10000,MATCH($A55&amp;AA$1,JupData!$A$2:$A$10000&amp;JupData!$J$2:$J$10000,0),11))</f>
        <v/>
      </c>
      <c r="AB55" t="str">
        <f t="array" ref="AB55">IF($A55="","",INDEX(JupData!$A$2:$K$10000,MATCH($A55&amp;AB$1,JupData!$A$2:$A$10000&amp;JupData!$J$2:$J$10000,0),11))</f>
        <v/>
      </c>
      <c r="AC55" s="10" t="str">
        <f t="shared" si="0"/>
        <v/>
      </c>
      <c r="AD55" s="10" t="str">
        <f t="shared" si="1"/>
        <v/>
      </c>
      <c r="AE55" s="9" t="str">
        <f t="shared" si="2"/>
        <v/>
      </c>
      <c r="AF55" s="10" t="str">
        <f t="shared" si="3"/>
        <v/>
      </c>
      <c r="AG55" s="10" t="str">
        <f t="shared" si="4"/>
        <v/>
      </c>
      <c r="AH55" s="10" t="str">
        <f t="shared" si="5"/>
        <v/>
      </c>
      <c r="AI55" s="10" t="str">
        <f t="shared" si="6"/>
        <v/>
      </c>
      <c r="AJ55" s="10" t="str">
        <f t="shared" si="7"/>
        <v/>
      </c>
      <c r="AK55" s="10" t="str">
        <f t="shared" si="8"/>
        <v/>
      </c>
      <c r="AL55" s="14" t="str">
        <f t="shared" si="9"/>
        <v/>
      </c>
    </row>
    <row r="56" spans="1:38" x14ac:dyDescent="0.2">
      <c r="A56"/>
      <c r="B56" t="str">
        <f>IF($A56="","",VLOOKUP($A56,JupData!$A$2:$I$10000,4,FALSE))</f>
        <v/>
      </c>
      <c r="C56" s="7" t="str">
        <f>IF($A56="",IF(N(D56),0,""),VLOOKUP($A56,JupData!$A$2:$I$10000,7,FALSE))</f>
        <v/>
      </c>
      <c r="D56" t="str">
        <f t="shared" si="10"/>
        <v/>
      </c>
      <c r="E56" t="str">
        <f t="array" ref="E56">IF($A56="","",INDEX(JupData!$A$2:$K$10000,MATCH($A56&amp;E$1,JupData!$A$2:$A$10000&amp;JupData!$J$2:$J$10000,0),11))</f>
        <v/>
      </c>
      <c r="F56" t="str">
        <f t="array" ref="F56">IF($A56="","",INDEX(JupData!$A$2:$K$10000,MATCH($A56&amp;F$1,JupData!$A$2:$A$10000&amp;JupData!$J$2:$J$10000,0),11))</f>
        <v/>
      </c>
      <c r="G56" t="str">
        <f t="array" ref="G56">IF($A56="","",INDEX(JupData!$A$2:$K$10000,MATCH($A56&amp;G$1,JupData!$A$2:$A$10000&amp;JupData!$J$2:$J$10000,0),11))</f>
        <v/>
      </c>
      <c r="H56" t="str">
        <f t="array" ref="H56">IF($A56="","",INDEX(JupData!$A$2:$K$10000,MATCH($A56&amp;H$1,JupData!$A$2:$A$10000&amp;JupData!$J$2:$J$10000,0),11))</f>
        <v/>
      </c>
      <c r="I56" t="str">
        <f t="array" ref="I56">IF($A56="","",INDEX(JupData!$A$2:$K$10000,MATCH($A56&amp;I$1,JupData!$A$2:$A$10000&amp;JupData!$J$2:$J$10000,0),11))</f>
        <v/>
      </c>
      <c r="J56" t="str">
        <f t="array" ref="J56">IF($A56="","",INDEX(JupData!$A$2:$K$10000,MATCH($A56&amp;J$1,JupData!$A$2:$A$10000&amp;JupData!$J$2:$J$10000,0),11))</f>
        <v/>
      </c>
      <c r="K56" t="str">
        <f t="array" ref="K56">IF($A56="","",INDEX(JupData!$A$2:$K$10000,MATCH($A56&amp;K$1,JupData!$A$2:$A$10000&amp;JupData!$J$2:$J$10000,0),11))</f>
        <v/>
      </c>
      <c r="L56" t="str">
        <f t="array" ref="L56">IF($A56="","",INDEX(JupData!$A$2:$K$10000,MATCH($A56&amp;L$1,JupData!$A$2:$A$10000&amp;JupData!$J$2:$J$10000,0),11))</f>
        <v/>
      </c>
      <c r="M56" t="str">
        <f t="array" ref="M56">IF($A56="","",INDEX(JupData!$A$2:$K$10000,MATCH($A56&amp;M$1,JupData!$A$2:$A$10000&amp;JupData!$J$2:$J$10000,0),11))</f>
        <v/>
      </c>
      <c r="N56" t="str">
        <f t="array" ref="N56">IF($A56="","",INDEX(JupData!$A$2:$K$10000,MATCH($A56&amp;N$1,JupData!$A$2:$A$10000&amp;JupData!$J$2:$J$10000,0),11))</f>
        <v/>
      </c>
      <c r="O56" t="str">
        <f t="array" ref="O56">IF($A56="","",INDEX(JupData!$A$2:$K$10000,MATCH($A56&amp;O$1,JupData!$A$2:$A$10000&amp;JupData!$J$2:$J$10000,0),11))</f>
        <v/>
      </c>
      <c r="P56" t="str">
        <f t="array" ref="P56">IF($A56="","",INDEX(JupData!$A$2:$K$10000,MATCH($A56&amp;P$1,JupData!$A$2:$A$10000&amp;JupData!$J$2:$J$10000,0),11))</f>
        <v/>
      </c>
      <c r="Q56" t="str">
        <f t="array" ref="Q56">IF($A56="","",INDEX(JupData!$A$2:$K$10000,MATCH($A56&amp;Q$1,JupData!$A$2:$A$10000&amp;JupData!$J$2:$J$10000,0),11))</f>
        <v/>
      </c>
      <c r="R56" t="str">
        <f t="array" ref="R56">IF($A56="","",INDEX(JupData!$A$2:$K$10000,MATCH($A56&amp;R$1,JupData!$A$2:$A$10000&amp;JupData!$J$2:$J$10000,0),11))</f>
        <v/>
      </c>
      <c r="S56" t="str">
        <f t="array" ref="S56">IF($A56="","",INDEX(JupData!$A$2:$K$10000,MATCH($A56&amp;S$1,JupData!$A$2:$A$10000&amp;JupData!$J$2:$J$10000,0),11))</f>
        <v/>
      </c>
      <c r="T56" t="str">
        <f t="array" ref="T56">IF($A56="","",INDEX(JupData!$A$2:$K$10000,MATCH($A56&amp;T$1,JupData!$A$2:$A$10000&amp;JupData!$J$2:$J$10000,0),11))</f>
        <v/>
      </c>
      <c r="U56" t="str">
        <f t="array" ref="U56">IF($A56="","",INDEX(JupData!$A$2:$K$10000,MATCH($A56&amp;U$1,JupData!$A$2:$A$10000&amp;JupData!$J$2:$J$10000,0),11))</f>
        <v/>
      </c>
      <c r="V56" t="str">
        <f t="array" ref="V56">IF($A56="","",INDEX(JupData!$A$2:$K$10000,MATCH($A56&amp;V$1,JupData!$A$2:$A$10000&amp;JupData!$J$2:$J$10000,0),11))</f>
        <v/>
      </c>
      <c r="W56" t="str">
        <f t="array" ref="W56">IF($A56="","",INDEX(JupData!$A$2:$K$10000,MATCH($A56&amp;W$1,JupData!$A$2:$A$10000&amp;JupData!$J$2:$J$10000,0),11))</f>
        <v/>
      </c>
      <c r="X56" t="str">
        <f t="array" ref="X56">IF($A56="","",INDEX(JupData!$A$2:$K$10000,MATCH($A56&amp;X$1,JupData!$A$2:$A$10000&amp;JupData!$J$2:$J$10000,0),11))</f>
        <v/>
      </c>
      <c r="Y56" t="str">
        <f t="array" ref="Y56">IF($A56="","",INDEX(JupData!$A$2:$K$10000,MATCH($A56&amp;Y$1,JupData!$A$2:$A$10000&amp;JupData!$J$2:$J$10000,0),11))</f>
        <v/>
      </c>
      <c r="Z56" t="str">
        <f t="array" ref="Z56">IF($A56="","",INDEX(JupData!$A$2:$K$10000,MATCH($A56&amp;Z$1,JupData!$A$2:$A$10000&amp;JupData!$J$2:$J$10000,0),11))</f>
        <v/>
      </c>
      <c r="AA56" t="str">
        <f t="array" ref="AA56">IF($A56="","",INDEX(JupData!$A$2:$K$10000,MATCH($A56&amp;AA$1,JupData!$A$2:$A$10000&amp;JupData!$J$2:$J$10000,0),11))</f>
        <v/>
      </c>
      <c r="AB56" t="str">
        <f t="array" ref="AB56">IF($A56="","",INDEX(JupData!$A$2:$K$10000,MATCH($A56&amp;AB$1,JupData!$A$2:$A$10000&amp;JupData!$J$2:$J$10000,0),11))</f>
        <v/>
      </c>
      <c r="AC56" s="10" t="str">
        <f t="shared" si="0"/>
        <v/>
      </c>
      <c r="AD56" s="10" t="str">
        <f t="shared" si="1"/>
        <v/>
      </c>
      <c r="AE56" s="9" t="str">
        <f t="shared" si="2"/>
        <v/>
      </c>
      <c r="AF56" s="10" t="str">
        <f t="shared" si="3"/>
        <v/>
      </c>
      <c r="AG56" s="10" t="str">
        <f t="shared" si="4"/>
        <v/>
      </c>
      <c r="AH56" s="10" t="str">
        <f t="shared" si="5"/>
        <v/>
      </c>
      <c r="AI56" s="10" t="str">
        <f t="shared" si="6"/>
        <v/>
      </c>
      <c r="AJ56" s="10" t="str">
        <f t="shared" si="7"/>
        <v/>
      </c>
      <c r="AK56" s="10" t="str">
        <f t="shared" si="8"/>
        <v/>
      </c>
      <c r="AL56" s="14" t="str">
        <f t="shared" si="9"/>
        <v/>
      </c>
    </row>
    <row r="57" spans="1:38" x14ac:dyDescent="0.2">
      <c r="A57"/>
      <c r="B57" t="str">
        <f>IF($A57="","",VLOOKUP($A57,JupData!$A$2:$I$10000,4,FALSE))</f>
        <v/>
      </c>
      <c r="C57" s="7" t="str">
        <f>IF($A57="",IF(N(D57),0,""),VLOOKUP($A57,JupData!$A$2:$I$10000,7,FALSE))</f>
        <v/>
      </c>
      <c r="D57" t="str">
        <f t="shared" si="10"/>
        <v/>
      </c>
      <c r="E57" t="str">
        <f t="array" ref="E57">IF($A57="","",INDEX(JupData!$A$2:$K$10000,MATCH($A57&amp;E$1,JupData!$A$2:$A$10000&amp;JupData!$J$2:$J$10000,0),11))</f>
        <v/>
      </c>
      <c r="F57" t="str">
        <f t="array" ref="F57">IF($A57="","",INDEX(JupData!$A$2:$K$10000,MATCH($A57&amp;F$1,JupData!$A$2:$A$10000&amp;JupData!$J$2:$J$10000,0),11))</f>
        <v/>
      </c>
      <c r="G57" t="str">
        <f t="array" ref="G57">IF($A57="","",INDEX(JupData!$A$2:$K$10000,MATCH($A57&amp;G$1,JupData!$A$2:$A$10000&amp;JupData!$J$2:$J$10000,0),11))</f>
        <v/>
      </c>
      <c r="H57" t="str">
        <f t="array" ref="H57">IF($A57="","",INDEX(JupData!$A$2:$K$10000,MATCH($A57&amp;H$1,JupData!$A$2:$A$10000&amp;JupData!$J$2:$J$10000,0),11))</f>
        <v/>
      </c>
      <c r="I57" t="str">
        <f t="array" ref="I57">IF($A57="","",INDEX(JupData!$A$2:$K$10000,MATCH($A57&amp;I$1,JupData!$A$2:$A$10000&amp;JupData!$J$2:$J$10000,0),11))</f>
        <v/>
      </c>
      <c r="J57" t="str">
        <f t="array" ref="J57">IF($A57="","",INDEX(JupData!$A$2:$K$10000,MATCH($A57&amp;J$1,JupData!$A$2:$A$10000&amp;JupData!$J$2:$J$10000,0),11))</f>
        <v/>
      </c>
      <c r="K57" t="str">
        <f t="array" ref="K57">IF($A57="","",INDEX(JupData!$A$2:$K$10000,MATCH($A57&amp;K$1,JupData!$A$2:$A$10000&amp;JupData!$J$2:$J$10000,0),11))</f>
        <v/>
      </c>
      <c r="L57" t="str">
        <f t="array" ref="L57">IF($A57="","",INDEX(JupData!$A$2:$K$10000,MATCH($A57&amp;L$1,JupData!$A$2:$A$10000&amp;JupData!$J$2:$J$10000,0),11))</f>
        <v/>
      </c>
      <c r="M57" t="str">
        <f t="array" ref="M57">IF($A57="","",INDEX(JupData!$A$2:$K$10000,MATCH($A57&amp;M$1,JupData!$A$2:$A$10000&amp;JupData!$J$2:$J$10000,0),11))</f>
        <v/>
      </c>
      <c r="N57" t="str">
        <f t="array" ref="N57">IF($A57="","",INDEX(JupData!$A$2:$K$10000,MATCH($A57&amp;N$1,JupData!$A$2:$A$10000&amp;JupData!$J$2:$J$10000,0),11))</f>
        <v/>
      </c>
      <c r="O57" t="str">
        <f t="array" ref="O57">IF($A57="","",INDEX(JupData!$A$2:$K$10000,MATCH($A57&amp;O$1,JupData!$A$2:$A$10000&amp;JupData!$J$2:$J$10000,0),11))</f>
        <v/>
      </c>
      <c r="P57" t="str">
        <f t="array" ref="P57">IF($A57="","",INDEX(JupData!$A$2:$K$10000,MATCH($A57&amp;P$1,JupData!$A$2:$A$10000&amp;JupData!$J$2:$J$10000,0),11))</f>
        <v/>
      </c>
      <c r="Q57" t="str">
        <f t="array" ref="Q57">IF($A57="","",INDEX(JupData!$A$2:$K$10000,MATCH($A57&amp;Q$1,JupData!$A$2:$A$10000&amp;JupData!$J$2:$J$10000,0),11))</f>
        <v/>
      </c>
      <c r="R57" t="str">
        <f t="array" ref="R57">IF($A57="","",INDEX(JupData!$A$2:$K$10000,MATCH($A57&amp;R$1,JupData!$A$2:$A$10000&amp;JupData!$J$2:$J$10000,0),11))</f>
        <v/>
      </c>
      <c r="S57" t="str">
        <f t="array" ref="S57">IF($A57="","",INDEX(JupData!$A$2:$K$10000,MATCH($A57&amp;S$1,JupData!$A$2:$A$10000&amp;JupData!$J$2:$J$10000,0),11))</f>
        <v/>
      </c>
      <c r="T57" t="str">
        <f t="array" ref="T57">IF($A57="","",INDEX(JupData!$A$2:$K$10000,MATCH($A57&amp;T$1,JupData!$A$2:$A$10000&amp;JupData!$J$2:$J$10000,0),11))</f>
        <v/>
      </c>
      <c r="U57" t="str">
        <f t="array" ref="U57">IF($A57="","",INDEX(JupData!$A$2:$K$10000,MATCH($A57&amp;U$1,JupData!$A$2:$A$10000&amp;JupData!$J$2:$J$10000,0),11))</f>
        <v/>
      </c>
      <c r="V57" t="str">
        <f t="array" ref="V57">IF($A57="","",INDEX(JupData!$A$2:$K$10000,MATCH($A57&amp;V$1,JupData!$A$2:$A$10000&amp;JupData!$J$2:$J$10000,0),11))</f>
        <v/>
      </c>
      <c r="W57" t="str">
        <f t="array" ref="W57">IF($A57="","",INDEX(JupData!$A$2:$K$10000,MATCH($A57&amp;W$1,JupData!$A$2:$A$10000&amp;JupData!$J$2:$J$10000,0),11))</f>
        <v/>
      </c>
      <c r="X57" t="str">
        <f t="array" ref="X57">IF($A57="","",INDEX(JupData!$A$2:$K$10000,MATCH($A57&amp;X$1,JupData!$A$2:$A$10000&amp;JupData!$J$2:$J$10000,0),11))</f>
        <v/>
      </c>
      <c r="Y57" t="str">
        <f t="array" ref="Y57">IF($A57="","",INDEX(JupData!$A$2:$K$10000,MATCH($A57&amp;Y$1,JupData!$A$2:$A$10000&amp;JupData!$J$2:$J$10000,0),11))</f>
        <v/>
      </c>
      <c r="Z57" t="str">
        <f t="array" ref="Z57">IF($A57="","",INDEX(JupData!$A$2:$K$10000,MATCH($A57&amp;Z$1,JupData!$A$2:$A$10000&amp;JupData!$J$2:$J$10000,0),11))</f>
        <v/>
      </c>
      <c r="AA57" t="str">
        <f t="array" ref="AA57">IF($A57="","",INDEX(JupData!$A$2:$K$10000,MATCH($A57&amp;AA$1,JupData!$A$2:$A$10000&amp;JupData!$J$2:$J$10000,0),11))</f>
        <v/>
      </c>
      <c r="AB57" t="str">
        <f t="array" ref="AB57">IF($A57="","",INDEX(JupData!$A$2:$K$10000,MATCH($A57&amp;AB$1,JupData!$A$2:$A$10000&amp;JupData!$J$2:$J$10000,0),11))</f>
        <v/>
      </c>
      <c r="AC57" s="10" t="str">
        <f t="shared" si="0"/>
        <v/>
      </c>
      <c r="AD57" s="10" t="str">
        <f t="shared" si="1"/>
        <v/>
      </c>
      <c r="AE57" s="9" t="str">
        <f t="shared" si="2"/>
        <v/>
      </c>
      <c r="AF57" s="10" t="str">
        <f t="shared" si="3"/>
        <v/>
      </c>
      <c r="AG57" s="10" t="str">
        <f t="shared" si="4"/>
        <v/>
      </c>
      <c r="AH57" s="10" t="str">
        <f t="shared" si="5"/>
        <v/>
      </c>
      <c r="AI57" s="10" t="str">
        <f t="shared" si="6"/>
        <v/>
      </c>
      <c r="AJ57" s="10" t="str">
        <f t="shared" si="7"/>
        <v/>
      </c>
      <c r="AK57" s="10" t="str">
        <f t="shared" si="8"/>
        <v/>
      </c>
      <c r="AL57" s="14" t="str">
        <f t="shared" si="9"/>
        <v/>
      </c>
    </row>
    <row r="58" spans="1:38" x14ac:dyDescent="0.2">
      <c r="A58"/>
      <c r="B58" t="str">
        <f>IF($A58="","",VLOOKUP($A58,JupData!$A$2:$I$10000,4,FALSE))</f>
        <v/>
      </c>
      <c r="C58" s="7" t="str">
        <f>IF($A58="",IF(N(D58),0,""),VLOOKUP($A58,JupData!$A$2:$I$10000,7,FALSE))</f>
        <v/>
      </c>
      <c r="D58" t="str">
        <f t="shared" si="10"/>
        <v/>
      </c>
      <c r="E58" t="str">
        <f t="array" ref="E58">IF($A58="","",INDEX(JupData!$A$2:$K$10000,MATCH($A58&amp;E$1,JupData!$A$2:$A$10000&amp;JupData!$J$2:$J$10000,0),11))</f>
        <v/>
      </c>
      <c r="F58" t="str">
        <f t="array" ref="F58">IF($A58="","",INDEX(JupData!$A$2:$K$10000,MATCH($A58&amp;F$1,JupData!$A$2:$A$10000&amp;JupData!$J$2:$J$10000,0),11))</f>
        <v/>
      </c>
      <c r="G58" t="str">
        <f t="array" ref="G58">IF($A58="","",INDEX(JupData!$A$2:$K$10000,MATCH($A58&amp;G$1,JupData!$A$2:$A$10000&amp;JupData!$J$2:$J$10000,0),11))</f>
        <v/>
      </c>
      <c r="H58" t="str">
        <f t="array" ref="H58">IF($A58="","",INDEX(JupData!$A$2:$K$10000,MATCH($A58&amp;H$1,JupData!$A$2:$A$10000&amp;JupData!$J$2:$J$10000,0),11))</f>
        <v/>
      </c>
      <c r="I58" t="str">
        <f t="array" ref="I58">IF($A58="","",INDEX(JupData!$A$2:$K$10000,MATCH($A58&amp;I$1,JupData!$A$2:$A$10000&amp;JupData!$J$2:$J$10000,0),11))</f>
        <v/>
      </c>
      <c r="J58" t="str">
        <f t="array" ref="J58">IF($A58="","",INDEX(JupData!$A$2:$K$10000,MATCH($A58&amp;J$1,JupData!$A$2:$A$10000&amp;JupData!$J$2:$J$10000,0),11))</f>
        <v/>
      </c>
      <c r="K58" t="str">
        <f t="array" ref="K58">IF($A58="","",INDEX(JupData!$A$2:$K$10000,MATCH($A58&amp;K$1,JupData!$A$2:$A$10000&amp;JupData!$J$2:$J$10000,0),11))</f>
        <v/>
      </c>
      <c r="L58" t="str">
        <f t="array" ref="L58">IF($A58="","",INDEX(JupData!$A$2:$K$10000,MATCH($A58&amp;L$1,JupData!$A$2:$A$10000&amp;JupData!$J$2:$J$10000,0),11))</f>
        <v/>
      </c>
      <c r="M58" t="str">
        <f t="array" ref="M58">IF($A58="","",INDEX(JupData!$A$2:$K$10000,MATCH($A58&amp;M$1,JupData!$A$2:$A$10000&amp;JupData!$J$2:$J$10000,0),11))</f>
        <v/>
      </c>
      <c r="N58" t="str">
        <f t="array" ref="N58">IF($A58="","",INDEX(JupData!$A$2:$K$10000,MATCH($A58&amp;N$1,JupData!$A$2:$A$10000&amp;JupData!$J$2:$J$10000,0),11))</f>
        <v/>
      </c>
      <c r="O58" t="str">
        <f t="array" ref="O58">IF($A58="","",INDEX(JupData!$A$2:$K$10000,MATCH($A58&amp;O$1,JupData!$A$2:$A$10000&amp;JupData!$J$2:$J$10000,0),11))</f>
        <v/>
      </c>
      <c r="P58" t="str">
        <f t="array" ref="P58">IF($A58="","",INDEX(JupData!$A$2:$K$10000,MATCH($A58&amp;P$1,JupData!$A$2:$A$10000&amp;JupData!$J$2:$J$10000,0),11))</f>
        <v/>
      </c>
      <c r="Q58" t="str">
        <f t="array" ref="Q58">IF($A58="","",INDEX(JupData!$A$2:$K$10000,MATCH($A58&amp;Q$1,JupData!$A$2:$A$10000&amp;JupData!$J$2:$J$10000,0),11))</f>
        <v/>
      </c>
      <c r="R58" t="str">
        <f t="array" ref="R58">IF($A58="","",INDEX(JupData!$A$2:$K$10000,MATCH($A58&amp;R$1,JupData!$A$2:$A$10000&amp;JupData!$J$2:$J$10000,0),11))</f>
        <v/>
      </c>
      <c r="S58" t="str">
        <f t="array" ref="S58">IF($A58="","",INDEX(JupData!$A$2:$K$10000,MATCH($A58&amp;S$1,JupData!$A$2:$A$10000&amp;JupData!$J$2:$J$10000,0),11))</f>
        <v/>
      </c>
      <c r="T58" t="str">
        <f t="array" ref="T58">IF($A58="","",INDEX(JupData!$A$2:$K$10000,MATCH($A58&amp;T$1,JupData!$A$2:$A$10000&amp;JupData!$J$2:$J$10000,0),11))</f>
        <v/>
      </c>
      <c r="U58" t="str">
        <f t="array" ref="U58">IF($A58="","",INDEX(JupData!$A$2:$K$10000,MATCH($A58&amp;U$1,JupData!$A$2:$A$10000&amp;JupData!$J$2:$J$10000,0),11))</f>
        <v/>
      </c>
      <c r="V58" t="str">
        <f t="array" ref="V58">IF($A58="","",INDEX(JupData!$A$2:$K$10000,MATCH($A58&amp;V$1,JupData!$A$2:$A$10000&amp;JupData!$J$2:$J$10000,0),11))</f>
        <v/>
      </c>
      <c r="W58" t="str">
        <f t="array" ref="W58">IF($A58="","",INDEX(JupData!$A$2:$K$10000,MATCH($A58&amp;W$1,JupData!$A$2:$A$10000&amp;JupData!$J$2:$J$10000,0),11))</f>
        <v/>
      </c>
      <c r="X58" t="str">
        <f t="array" ref="X58">IF($A58="","",INDEX(JupData!$A$2:$K$10000,MATCH($A58&amp;X$1,JupData!$A$2:$A$10000&amp;JupData!$J$2:$J$10000,0),11))</f>
        <v/>
      </c>
      <c r="Y58" t="str">
        <f t="array" ref="Y58">IF($A58="","",INDEX(JupData!$A$2:$K$10000,MATCH($A58&amp;Y$1,JupData!$A$2:$A$10000&amp;JupData!$J$2:$J$10000,0),11))</f>
        <v/>
      </c>
      <c r="Z58" t="str">
        <f t="array" ref="Z58">IF($A58="","",INDEX(JupData!$A$2:$K$10000,MATCH($A58&amp;Z$1,JupData!$A$2:$A$10000&amp;JupData!$J$2:$J$10000,0),11))</f>
        <v/>
      </c>
      <c r="AA58" t="str">
        <f t="array" ref="AA58">IF($A58="","",INDEX(JupData!$A$2:$K$10000,MATCH($A58&amp;AA$1,JupData!$A$2:$A$10000&amp;JupData!$J$2:$J$10000,0),11))</f>
        <v/>
      </c>
      <c r="AB58" t="str">
        <f t="array" ref="AB58">IF($A58="","",INDEX(JupData!$A$2:$K$10000,MATCH($A58&amp;AB$1,JupData!$A$2:$A$10000&amp;JupData!$J$2:$J$10000,0),11))</f>
        <v/>
      </c>
      <c r="AC58" s="10" t="str">
        <f t="shared" si="0"/>
        <v/>
      </c>
      <c r="AD58" s="10" t="str">
        <f t="shared" si="1"/>
        <v/>
      </c>
      <c r="AE58" s="9" t="str">
        <f t="shared" si="2"/>
        <v/>
      </c>
      <c r="AF58" s="10" t="str">
        <f t="shared" si="3"/>
        <v/>
      </c>
      <c r="AG58" s="10" t="str">
        <f t="shared" si="4"/>
        <v/>
      </c>
      <c r="AH58" s="10" t="str">
        <f t="shared" si="5"/>
        <v/>
      </c>
      <c r="AI58" s="10" t="str">
        <f t="shared" si="6"/>
        <v/>
      </c>
      <c r="AJ58" s="10" t="str">
        <f t="shared" si="7"/>
        <v/>
      </c>
      <c r="AK58" s="10" t="str">
        <f t="shared" si="8"/>
        <v/>
      </c>
      <c r="AL58" s="14" t="str">
        <f t="shared" si="9"/>
        <v/>
      </c>
    </row>
    <row r="59" spans="1:38" x14ac:dyDescent="0.2">
      <c r="A59"/>
      <c r="B59" t="str">
        <f>IF($A59="","",VLOOKUP($A59,JupData!$A$2:$I$10000,4,FALSE))</f>
        <v/>
      </c>
      <c r="C59" s="7" t="str">
        <f>IF($A59="",IF(N(D59),0,""),VLOOKUP($A59,JupData!$A$2:$I$10000,7,FALSE))</f>
        <v/>
      </c>
      <c r="D59" t="str">
        <f t="shared" si="10"/>
        <v/>
      </c>
      <c r="E59" t="str">
        <f t="array" ref="E59">IF($A59="","",INDEX(JupData!$A$2:$K$10000,MATCH($A59&amp;E$1,JupData!$A$2:$A$10000&amp;JupData!$J$2:$J$10000,0),11))</f>
        <v/>
      </c>
      <c r="F59" t="str">
        <f t="array" ref="F59">IF($A59="","",INDEX(JupData!$A$2:$K$10000,MATCH($A59&amp;F$1,JupData!$A$2:$A$10000&amp;JupData!$J$2:$J$10000,0),11))</f>
        <v/>
      </c>
      <c r="G59" t="str">
        <f t="array" ref="G59">IF($A59="","",INDEX(JupData!$A$2:$K$10000,MATCH($A59&amp;G$1,JupData!$A$2:$A$10000&amp;JupData!$J$2:$J$10000,0),11))</f>
        <v/>
      </c>
      <c r="H59" t="str">
        <f t="array" ref="H59">IF($A59="","",INDEX(JupData!$A$2:$K$10000,MATCH($A59&amp;H$1,JupData!$A$2:$A$10000&amp;JupData!$J$2:$J$10000,0),11))</f>
        <v/>
      </c>
      <c r="I59" t="str">
        <f t="array" ref="I59">IF($A59="","",INDEX(JupData!$A$2:$K$10000,MATCH($A59&amp;I$1,JupData!$A$2:$A$10000&amp;JupData!$J$2:$J$10000,0),11))</f>
        <v/>
      </c>
      <c r="J59" t="str">
        <f t="array" ref="J59">IF($A59="","",INDEX(JupData!$A$2:$K$10000,MATCH($A59&amp;J$1,JupData!$A$2:$A$10000&amp;JupData!$J$2:$J$10000,0),11))</f>
        <v/>
      </c>
      <c r="K59" t="str">
        <f t="array" ref="K59">IF($A59="","",INDEX(JupData!$A$2:$K$10000,MATCH($A59&amp;K$1,JupData!$A$2:$A$10000&amp;JupData!$J$2:$J$10000,0),11))</f>
        <v/>
      </c>
      <c r="L59" t="str">
        <f t="array" ref="L59">IF($A59="","",INDEX(JupData!$A$2:$K$10000,MATCH($A59&amp;L$1,JupData!$A$2:$A$10000&amp;JupData!$J$2:$J$10000,0),11))</f>
        <v/>
      </c>
      <c r="M59" t="str">
        <f t="array" ref="M59">IF($A59="","",INDEX(JupData!$A$2:$K$10000,MATCH($A59&amp;M$1,JupData!$A$2:$A$10000&amp;JupData!$J$2:$J$10000,0),11))</f>
        <v/>
      </c>
      <c r="N59" t="str">
        <f t="array" ref="N59">IF($A59="","",INDEX(JupData!$A$2:$K$10000,MATCH($A59&amp;N$1,JupData!$A$2:$A$10000&amp;JupData!$J$2:$J$10000,0),11))</f>
        <v/>
      </c>
      <c r="O59" t="str">
        <f t="array" ref="O59">IF($A59="","",INDEX(JupData!$A$2:$K$10000,MATCH($A59&amp;O$1,JupData!$A$2:$A$10000&amp;JupData!$J$2:$J$10000,0),11))</f>
        <v/>
      </c>
      <c r="P59" t="str">
        <f t="array" ref="P59">IF($A59="","",INDEX(JupData!$A$2:$K$10000,MATCH($A59&amp;P$1,JupData!$A$2:$A$10000&amp;JupData!$J$2:$J$10000,0),11))</f>
        <v/>
      </c>
      <c r="Q59" t="str">
        <f t="array" ref="Q59">IF($A59="","",INDEX(JupData!$A$2:$K$10000,MATCH($A59&amp;Q$1,JupData!$A$2:$A$10000&amp;JupData!$J$2:$J$10000,0),11))</f>
        <v/>
      </c>
      <c r="R59" t="str">
        <f t="array" ref="R59">IF($A59="","",INDEX(JupData!$A$2:$K$10000,MATCH($A59&amp;R$1,JupData!$A$2:$A$10000&amp;JupData!$J$2:$J$10000,0),11))</f>
        <v/>
      </c>
      <c r="S59" t="str">
        <f t="array" ref="S59">IF($A59="","",INDEX(JupData!$A$2:$K$10000,MATCH($A59&amp;S$1,JupData!$A$2:$A$10000&amp;JupData!$J$2:$J$10000,0),11))</f>
        <v/>
      </c>
      <c r="T59" t="str">
        <f t="array" ref="T59">IF($A59="","",INDEX(JupData!$A$2:$K$10000,MATCH($A59&amp;T$1,JupData!$A$2:$A$10000&amp;JupData!$J$2:$J$10000,0),11))</f>
        <v/>
      </c>
      <c r="U59" t="str">
        <f t="array" ref="U59">IF($A59="","",INDEX(JupData!$A$2:$K$10000,MATCH($A59&amp;U$1,JupData!$A$2:$A$10000&amp;JupData!$J$2:$J$10000,0),11))</f>
        <v/>
      </c>
      <c r="V59" t="str">
        <f t="array" ref="V59">IF($A59="","",INDEX(JupData!$A$2:$K$10000,MATCH($A59&amp;V$1,JupData!$A$2:$A$10000&amp;JupData!$J$2:$J$10000,0),11))</f>
        <v/>
      </c>
      <c r="W59" t="str">
        <f t="array" ref="W59">IF($A59="","",INDEX(JupData!$A$2:$K$10000,MATCH($A59&amp;W$1,JupData!$A$2:$A$10000&amp;JupData!$J$2:$J$10000,0),11))</f>
        <v/>
      </c>
      <c r="X59" t="str">
        <f t="array" ref="X59">IF($A59="","",INDEX(JupData!$A$2:$K$10000,MATCH($A59&amp;X$1,JupData!$A$2:$A$10000&amp;JupData!$J$2:$J$10000,0),11))</f>
        <v/>
      </c>
      <c r="Y59" t="str">
        <f t="array" ref="Y59">IF($A59="","",INDEX(JupData!$A$2:$K$10000,MATCH($A59&amp;Y$1,JupData!$A$2:$A$10000&amp;JupData!$J$2:$J$10000,0),11))</f>
        <v/>
      </c>
      <c r="Z59" t="str">
        <f t="array" ref="Z59">IF($A59="","",INDEX(JupData!$A$2:$K$10000,MATCH($A59&amp;Z$1,JupData!$A$2:$A$10000&amp;JupData!$J$2:$J$10000,0),11))</f>
        <v/>
      </c>
      <c r="AA59" t="str">
        <f t="array" ref="AA59">IF($A59="","",INDEX(JupData!$A$2:$K$10000,MATCH($A59&amp;AA$1,JupData!$A$2:$A$10000&amp;JupData!$J$2:$J$10000,0),11))</f>
        <v/>
      </c>
      <c r="AB59" t="str">
        <f t="array" ref="AB59">IF($A59="","",INDEX(JupData!$A$2:$K$10000,MATCH($A59&amp;AB$1,JupData!$A$2:$A$10000&amp;JupData!$J$2:$J$10000,0),11))</f>
        <v/>
      </c>
      <c r="AC59" s="10" t="str">
        <f t="shared" si="0"/>
        <v/>
      </c>
      <c r="AD59" s="10" t="str">
        <f t="shared" si="1"/>
        <v/>
      </c>
      <c r="AE59" s="9" t="str">
        <f t="shared" si="2"/>
        <v/>
      </c>
      <c r="AF59" s="10" t="str">
        <f t="shared" si="3"/>
        <v/>
      </c>
      <c r="AG59" s="10" t="str">
        <f t="shared" si="4"/>
        <v/>
      </c>
      <c r="AH59" s="10" t="str">
        <f t="shared" si="5"/>
        <v/>
      </c>
      <c r="AI59" s="10" t="str">
        <f t="shared" si="6"/>
        <v/>
      </c>
      <c r="AJ59" s="10" t="str">
        <f t="shared" si="7"/>
        <v/>
      </c>
      <c r="AK59" s="10" t="str">
        <f t="shared" si="8"/>
        <v/>
      </c>
      <c r="AL59" s="14" t="str">
        <f t="shared" si="9"/>
        <v/>
      </c>
    </row>
    <row r="60" spans="1:38" x14ac:dyDescent="0.2">
      <c r="A60"/>
      <c r="B60" t="str">
        <f>IF($A60="","",VLOOKUP($A60,JupData!$A$2:$I$10000,4,FALSE))</f>
        <v/>
      </c>
      <c r="C60" s="7" t="str">
        <f>IF($A60="",IF(N(D60),0,""),VLOOKUP($A60,JupData!$A$2:$I$10000,7,FALSE))</f>
        <v/>
      </c>
      <c r="D60" t="str">
        <f t="shared" si="10"/>
        <v/>
      </c>
      <c r="E60" t="str">
        <f t="array" ref="E60">IF($A60="","",INDEX(JupData!$A$2:$K$10000,MATCH($A60&amp;E$1,JupData!$A$2:$A$10000&amp;JupData!$J$2:$J$10000,0),11))</f>
        <v/>
      </c>
      <c r="F60" t="str">
        <f t="array" ref="F60">IF($A60="","",INDEX(JupData!$A$2:$K$10000,MATCH($A60&amp;F$1,JupData!$A$2:$A$10000&amp;JupData!$J$2:$J$10000,0),11))</f>
        <v/>
      </c>
      <c r="G60" t="str">
        <f t="array" ref="G60">IF($A60="","",INDEX(JupData!$A$2:$K$10000,MATCH($A60&amp;G$1,JupData!$A$2:$A$10000&amp;JupData!$J$2:$J$10000,0),11))</f>
        <v/>
      </c>
      <c r="H60" t="str">
        <f t="array" ref="H60">IF($A60="","",INDEX(JupData!$A$2:$K$10000,MATCH($A60&amp;H$1,JupData!$A$2:$A$10000&amp;JupData!$J$2:$J$10000,0),11))</f>
        <v/>
      </c>
      <c r="I60" t="str">
        <f t="array" ref="I60">IF($A60="","",INDEX(JupData!$A$2:$K$10000,MATCH($A60&amp;I$1,JupData!$A$2:$A$10000&amp;JupData!$J$2:$J$10000,0),11))</f>
        <v/>
      </c>
      <c r="J60" t="str">
        <f t="array" ref="J60">IF($A60="","",INDEX(JupData!$A$2:$K$10000,MATCH($A60&amp;J$1,JupData!$A$2:$A$10000&amp;JupData!$J$2:$J$10000,0),11))</f>
        <v/>
      </c>
      <c r="K60" t="str">
        <f t="array" ref="K60">IF($A60="","",INDEX(JupData!$A$2:$K$10000,MATCH($A60&amp;K$1,JupData!$A$2:$A$10000&amp;JupData!$J$2:$J$10000,0),11))</f>
        <v/>
      </c>
      <c r="L60" t="str">
        <f t="array" ref="L60">IF($A60="","",INDEX(JupData!$A$2:$K$10000,MATCH($A60&amp;L$1,JupData!$A$2:$A$10000&amp;JupData!$J$2:$J$10000,0),11))</f>
        <v/>
      </c>
      <c r="M60" t="str">
        <f t="array" ref="M60">IF($A60="","",INDEX(JupData!$A$2:$K$10000,MATCH($A60&amp;M$1,JupData!$A$2:$A$10000&amp;JupData!$J$2:$J$10000,0),11))</f>
        <v/>
      </c>
      <c r="N60" t="str">
        <f t="array" ref="N60">IF($A60="","",INDEX(JupData!$A$2:$K$10000,MATCH($A60&amp;N$1,JupData!$A$2:$A$10000&amp;JupData!$J$2:$J$10000,0),11))</f>
        <v/>
      </c>
      <c r="O60" t="str">
        <f t="array" ref="O60">IF($A60="","",INDEX(JupData!$A$2:$K$10000,MATCH($A60&amp;O$1,JupData!$A$2:$A$10000&amp;JupData!$J$2:$J$10000,0),11))</f>
        <v/>
      </c>
      <c r="P60" t="str">
        <f t="array" ref="P60">IF($A60="","",INDEX(JupData!$A$2:$K$10000,MATCH($A60&amp;P$1,JupData!$A$2:$A$10000&amp;JupData!$J$2:$J$10000,0),11))</f>
        <v/>
      </c>
      <c r="Q60" t="str">
        <f t="array" ref="Q60">IF($A60="","",INDEX(JupData!$A$2:$K$10000,MATCH($A60&amp;Q$1,JupData!$A$2:$A$10000&amp;JupData!$J$2:$J$10000,0),11))</f>
        <v/>
      </c>
      <c r="R60" t="str">
        <f t="array" ref="R60">IF($A60="","",INDEX(JupData!$A$2:$K$10000,MATCH($A60&amp;R$1,JupData!$A$2:$A$10000&amp;JupData!$J$2:$J$10000,0),11))</f>
        <v/>
      </c>
      <c r="S60" t="str">
        <f t="array" ref="S60">IF($A60="","",INDEX(JupData!$A$2:$K$10000,MATCH($A60&amp;S$1,JupData!$A$2:$A$10000&amp;JupData!$J$2:$J$10000,0),11))</f>
        <v/>
      </c>
      <c r="T60" t="str">
        <f t="array" ref="T60">IF($A60="","",INDEX(JupData!$A$2:$K$10000,MATCH($A60&amp;T$1,JupData!$A$2:$A$10000&amp;JupData!$J$2:$J$10000,0),11))</f>
        <v/>
      </c>
      <c r="U60" t="str">
        <f t="array" ref="U60">IF($A60="","",INDEX(JupData!$A$2:$K$10000,MATCH($A60&amp;U$1,JupData!$A$2:$A$10000&amp;JupData!$J$2:$J$10000,0),11))</f>
        <v/>
      </c>
      <c r="V60" t="str">
        <f t="array" ref="V60">IF($A60="","",INDEX(JupData!$A$2:$K$10000,MATCH($A60&amp;V$1,JupData!$A$2:$A$10000&amp;JupData!$J$2:$J$10000,0),11))</f>
        <v/>
      </c>
      <c r="W60" t="str">
        <f t="array" ref="W60">IF($A60="","",INDEX(JupData!$A$2:$K$10000,MATCH($A60&amp;W$1,JupData!$A$2:$A$10000&amp;JupData!$J$2:$J$10000,0),11))</f>
        <v/>
      </c>
      <c r="X60" t="str">
        <f t="array" ref="X60">IF($A60="","",INDEX(JupData!$A$2:$K$10000,MATCH($A60&amp;X$1,JupData!$A$2:$A$10000&amp;JupData!$J$2:$J$10000,0),11))</f>
        <v/>
      </c>
      <c r="Y60" t="str">
        <f t="array" ref="Y60">IF($A60="","",INDEX(JupData!$A$2:$K$10000,MATCH($A60&amp;Y$1,JupData!$A$2:$A$10000&amp;JupData!$J$2:$J$10000,0),11))</f>
        <v/>
      </c>
      <c r="Z60" t="str">
        <f t="array" ref="Z60">IF($A60="","",INDEX(JupData!$A$2:$K$10000,MATCH($A60&amp;Z$1,JupData!$A$2:$A$10000&amp;JupData!$J$2:$J$10000,0),11))</f>
        <v/>
      </c>
      <c r="AA60" t="str">
        <f t="array" ref="AA60">IF($A60="","",INDEX(JupData!$A$2:$K$10000,MATCH($A60&amp;AA$1,JupData!$A$2:$A$10000&amp;JupData!$J$2:$J$10000,0),11))</f>
        <v/>
      </c>
      <c r="AB60" t="str">
        <f t="array" ref="AB60">IF($A60="","",INDEX(JupData!$A$2:$K$10000,MATCH($A60&amp;AB$1,JupData!$A$2:$A$10000&amp;JupData!$J$2:$J$10000,0),11))</f>
        <v/>
      </c>
      <c r="AC60" s="10" t="str">
        <f t="shared" si="0"/>
        <v/>
      </c>
      <c r="AD60" s="10" t="str">
        <f t="shared" si="1"/>
        <v/>
      </c>
      <c r="AE60" s="9" t="str">
        <f t="shared" si="2"/>
        <v/>
      </c>
      <c r="AF60" s="10" t="str">
        <f t="shared" si="3"/>
        <v/>
      </c>
      <c r="AG60" s="10" t="str">
        <f t="shared" si="4"/>
        <v/>
      </c>
      <c r="AH60" s="10" t="str">
        <f t="shared" si="5"/>
        <v/>
      </c>
      <c r="AI60" s="10" t="str">
        <f t="shared" si="6"/>
        <v/>
      </c>
      <c r="AJ60" s="10" t="str">
        <f t="shared" si="7"/>
        <v/>
      </c>
      <c r="AK60" s="10" t="str">
        <f t="shared" si="8"/>
        <v/>
      </c>
      <c r="AL60" s="14" t="str">
        <f t="shared" si="9"/>
        <v/>
      </c>
    </row>
    <row r="61" spans="1:38" x14ac:dyDescent="0.2">
      <c r="A61"/>
      <c r="B61" t="str">
        <f>IF($A61="","",VLOOKUP($A61,JupData!$A$2:$I$10000,4,FALSE))</f>
        <v/>
      </c>
      <c r="C61" s="7" t="str">
        <f>IF($A61="",IF(N(D61),0,""),VLOOKUP($A61,JupData!$A$2:$I$10000,7,FALSE))</f>
        <v/>
      </c>
      <c r="D61" t="str">
        <f t="shared" si="10"/>
        <v/>
      </c>
      <c r="E61" t="str">
        <f t="array" ref="E61">IF($A61="","",INDEX(JupData!$A$2:$K$10000,MATCH($A61&amp;E$1,JupData!$A$2:$A$10000&amp;JupData!$J$2:$J$10000,0),11))</f>
        <v/>
      </c>
      <c r="F61" t="str">
        <f t="array" ref="F61">IF($A61="","",INDEX(JupData!$A$2:$K$10000,MATCH($A61&amp;F$1,JupData!$A$2:$A$10000&amp;JupData!$J$2:$J$10000,0),11))</f>
        <v/>
      </c>
      <c r="G61" t="str">
        <f t="array" ref="G61">IF($A61="","",INDEX(JupData!$A$2:$K$10000,MATCH($A61&amp;G$1,JupData!$A$2:$A$10000&amp;JupData!$J$2:$J$10000,0),11))</f>
        <v/>
      </c>
      <c r="H61" t="str">
        <f t="array" ref="H61">IF($A61="","",INDEX(JupData!$A$2:$K$10000,MATCH($A61&amp;H$1,JupData!$A$2:$A$10000&amp;JupData!$J$2:$J$10000,0),11))</f>
        <v/>
      </c>
      <c r="I61" t="str">
        <f t="array" ref="I61">IF($A61="","",INDEX(JupData!$A$2:$K$10000,MATCH($A61&amp;I$1,JupData!$A$2:$A$10000&amp;JupData!$J$2:$J$10000,0),11))</f>
        <v/>
      </c>
      <c r="J61" t="str">
        <f t="array" ref="J61">IF($A61="","",INDEX(JupData!$A$2:$K$10000,MATCH($A61&amp;J$1,JupData!$A$2:$A$10000&amp;JupData!$J$2:$J$10000,0),11))</f>
        <v/>
      </c>
      <c r="K61" t="str">
        <f t="array" ref="K61">IF($A61="","",INDEX(JupData!$A$2:$K$10000,MATCH($A61&amp;K$1,JupData!$A$2:$A$10000&amp;JupData!$J$2:$J$10000,0),11))</f>
        <v/>
      </c>
      <c r="L61" t="str">
        <f t="array" ref="L61">IF($A61="","",INDEX(JupData!$A$2:$K$10000,MATCH($A61&amp;L$1,JupData!$A$2:$A$10000&amp;JupData!$J$2:$J$10000,0),11))</f>
        <v/>
      </c>
      <c r="M61" t="str">
        <f t="array" ref="M61">IF($A61="","",INDEX(JupData!$A$2:$K$10000,MATCH($A61&amp;M$1,JupData!$A$2:$A$10000&amp;JupData!$J$2:$J$10000,0),11))</f>
        <v/>
      </c>
      <c r="N61" t="str">
        <f t="array" ref="N61">IF($A61="","",INDEX(JupData!$A$2:$K$10000,MATCH($A61&amp;N$1,JupData!$A$2:$A$10000&amp;JupData!$J$2:$J$10000,0),11))</f>
        <v/>
      </c>
      <c r="O61" t="str">
        <f t="array" ref="O61">IF($A61="","",INDEX(JupData!$A$2:$K$10000,MATCH($A61&amp;O$1,JupData!$A$2:$A$10000&amp;JupData!$J$2:$J$10000,0),11))</f>
        <v/>
      </c>
      <c r="P61" t="str">
        <f t="array" ref="P61">IF($A61="","",INDEX(JupData!$A$2:$K$10000,MATCH($A61&amp;P$1,JupData!$A$2:$A$10000&amp;JupData!$J$2:$J$10000,0),11))</f>
        <v/>
      </c>
      <c r="Q61" t="str">
        <f t="array" ref="Q61">IF($A61="","",INDEX(JupData!$A$2:$K$10000,MATCH($A61&amp;Q$1,JupData!$A$2:$A$10000&amp;JupData!$J$2:$J$10000,0),11))</f>
        <v/>
      </c>
      <c r="R61" t="str">
        <f t="array" ref="R61">IF($A61="","",INDEX(JupData!$A$2:$K$10000,MATCH($A61&amp;R$1,JupData!$A$2:$A$10000&amp;JupData!$J$2:$J$10000,0),11))</f>
        <v/>
      </c>
      <c r="S61" t="str">
        <f t="array" ref="S61">IF($A61="","",INDEX(JupData!$A$2:$K$10000,MATCH($A61&amp;S$1,JupData!$A$2:$A$10000&amp;JupData!$J$2:$J$10000,0),11))</f>
        <v/>
      </c>
      <c r="T61" t="str">
        <f t="array" ref="T61">IF($A61="","",INDEX(JupData!$A$2:$K$10000,MATCH($A61&amp;T$1,JupData!$A$2:$A$10000&amp;JupData!$J$2:$J$10000,0),11))</f>
        <v/>
      </c>
      <c r="U61" t="str">
        <f t="array" ref="U61">IF($A61="","",INDEX(JupData!$A$2:$K$10000,MATCH($A61&amp;U$1,JupData!$A$2:$A$10000&amp;JupData!$J$2:$J$10000,0),11))</f>
        <v/>
      </c>
      <c r="V61" t="str">
        <f t="array" ref="V61">IF($A61="","",INDEX(JupData!$A$2:$K$10000,MATCH($A61&amp;V$1,JupData!$A$2:$A$10000&amp;JupData!$J$2:$J$10000,0),11))</f>
        <v/>
      </c>
      <c r="W61" t="str">
        <f t="array" ref="W61">IF($A61="","",INDEX(JupData!$A$2:$K$10000,MATCH($A61&amp;W$1,JupData!$A$2:$A$10000&amp;JupData!$J$2:$J$10000,0),11))</f>
        <v/>
      </c>
      <c r="X61" t="str">
        <f t="array" ref="X61">IF($A61="","",INDEX(JupData!$A$2:$K$10000,MATCH($A61&amp;X$1,JupData!$A$2:$A$10000&amp;JupData!$J$2:$J$10000,0),11))</f>
        <v/>
      </c>
      <c r="Y61" t="str">
        <f t="array" ref="Y61">IF($A61="","",INDEX(JupData!$A$2:$K$10000,MATCH($A61&amp;Y$1,JupData!$A$2:$A$10000&amp;JupData!$J$2:$J$10000,0),11))</f>
        <v/>
      </c>
      <c r="Z61" t="str">
        <f t="array" ref="Z61">IF($A61="","",INDEX(JupData!$A$2:$K$10000,MATCH($A61&amp;Z$1,JupData!$A$2:$A$10000&amp;JupData!$J$2:$J$10000,0),11))</f>
        <v/>
      </c>
      <c r="AA61" t="str">
        <f t="array" ref="AA61">IF($A61="","",INDEX(JupData!$A$2:$K$10000,MATCH($A61&amp;AA$1,JupData!$A$2:$A$10000&amp;JupData!$J$2:$J$10000,0),11))</f>
        <v/>
      </c>
      <c r="AB61" t="str">
        <f t="array" ref="AB61">IF($A61="","",INDEX(JupData!$A$2:$K$10000,MATCH($A61&amp;AB$1,JupData!$A$2:$A$10000&amp;JupData!$J$2:$J$10000,0),11))</f>
        <v/>
      </c>
      <c r="AC61" s="10" t="str">
        <f t="shared" si="0"/>
        <v/>
      </c>
      <c r="AD61" s="10" t="str">
        <f t="shared" si="1"/>
        <v/>
      </c>
      <c r="AE61" s="9" t="str">
        <f t="shared" si="2"/>
        <v/>
      </c>
      <c r="AF61" s="10" t="str">
        <f t="shared" si="3"/>
        <v/>
      </c>
      <c r="AG61" s="10" t="str">
        <f t="shared" si="4"/>
        <v/>
      </c>
      <c r="AH61" s="10" t="str">
        <f t="shared" si="5"/>
        <v/>
      </c>
      <c r="AI61" s="10" t="str">
        <f t="shared" si="6"/>
        <v/>
      </c>
      <c r="AJ61" s="10" t="str">
        <f t="shared" si="7"/>
        <v/>
      </c>
      <c r="AK61" s="10" t="str">
        <f t="shared" si="8"/>
        <v/>
      </c>
      <c r="AL61" s="14" t="str">
        <f t="shared" si="9"/>
        <v/>
      </c>
    </row>
    <row r="62" spans="1:38" x14ac:dyDescent="0.2">
      <c r="A62"/>
      <c r="B62" t="str">
        <f>IF($A62="","",VLOOKUP($A62,JupData!$A$2:$I$10000,4,FALSE))</f>
        <v/>
      </c>
      <c r="C62" s="7" t="str">
        <f>IF($A62="",IF(N(D62),0,""),VLOOKUP($A62,JupData!$A$2:$I$10000,7,FALSE))</f>
        <v/>
      </c>
      <c r="D62" t="str">
        <f t="shared" si="10"/>
        <v/>
      </c>
      <c r="E62" t="str">
        <f t="array" ref="E62">IF($A62="","",INDEX(JupData!$A$2:$K$10000,MATCH($A62&amp;E$1,JupData!$A$2:$A$10000&amp;JupData!$J$2:$J$10000,0),11))</f>
        <v/>
      </c>
      <c r="F62" t="str">
        <f t="array" ref="F62">IF($A62="","",INDEX(JupData!$A$2:$K$10000,MATCH($A62&amp;F$1,JupData!$A$2:$A$10000&amp;JupData!$J$2:$J$10000,0),11))</f>
        <v/>
      </c>
      <c r="G62" t="str">
        <f t="array" ref="G62">IF($A62="","",INDEX(JupData!$A$2:$K$10000,MATCH($A62&amp;G$1,JupData!$A$2:$A$10000&amp;JupData!$J$2:$J$10000,0),11))</f>
        <v/>
      </c>
      <c r="H62" t="str">
        <f t="array" ref="H62">IF($A62="","",INDEX(JupData!$A$2:$K$10000,MATCH($A62&amp;H$1,JupData!$A$2:$A$10000&amp;JupData!$J$2:$J$10000,0),11))</f>
        <v/>
      </c>
      <c r="I62" t="str">
        <f t="array" ref="I62">IF($A62="","",INDEX(JupData!$A$2:$K$10000,MATCH($A62&amp;I$1,JupData!$A$2:$A$10000&amp;JupData!$J$2:$J$10000,0),11))</f>
        <v/>
      </c>
      <c r="J62" t="str">
        <f t="array" ref="J62">IF($A62="","",INDEX(JupData!$A$2:$K$10000,MATCH($A62&amp;J$1,JupData!$A$2:$A$10000&amp;JupData!$J$2:$J$10000,0),11))</f>
        <v/>
      </c>
      <c r="K62" t="str">
        <f t="array" ref="K62">IF($A62="","",INDEX(JupData!$A$2:$K$10000,MATCH($A62&amp;K$1,JupData!$A$2:$A$10000&amp;JupData!$J$2:$J$10000,0),11))</f>
        <v/>
      </c>
      <c r="L62" t="str">
        <f t="array" ref="L62">IF($A62="","",INDEX(JupData!$A$2:$K$10000,MATCH($A62&amp;L$1,JupData!$A$2:$A$10000&amp;JupData!$J$2:$J$10000,0),11))</f>
        <v/>
      </c>
      <c r="M62" t="str">
        <f t="array" ref="M62">IF($A62="","",INDEX(JupData!$A$2:$K$10000,MATCH($A62&amp;M$1,JupData!$A$2:$A$10000&amp;JupData!$J$2:$J$10000,0),11))</f>
        <v/>
      </c>
      <c r="N62" t="str">
        <f t="array" ref="N62">IF($A62="","",INDEX(JupData!$A$2:$K$10000,MATCH($A62&amp;N$1,JupData!$A$2:$A$10000&amp;JupData!$J$2:$J$10000,0),11))</f>
        <v/>
      </c>
      <c r="O62" t="str">
        <f t="array" ref="O62">IF($A62="","",INDEX(JupData!$A$2:$K$10000,MATCH($A62&amp;O$1,JupData!$A$2:$A$10000&amp;JupData!$J$2:$J$10000,0),11))</f>
        <v/>
      </c>
      <c r="P62" t="str">
        <f t="array" ref="P62">IF($A62="","",INDEX(JupData!$A$2:$K$10000,MATCH($A62&amp;P$1,JupData!$A$2:$A$10000&amp;JupData!$J$2:$J$10000,0),11))</f>
        <v/>
      </c>
      <c r="Q62" t="str">
        <f t="array" ref="Q62">IF($A62="","",INDEX(JupData!$A$2:$K$10000,MATCH($A62&amp;Q$1,JupData!$A$2:$A$10000&amp;JupData!$J$2:$J$10000,0),11))</f>
        <v/>
      </c>
      <c r="R62" t="str">
        <f t="array" ref="R62">IF($A62="","",INDEX(JupData!$A$2:$K$10000,MATCH($A62&amp;R$1,JupData!$A$2:$A$10000&amp;JupData!$J$2:$J$10000,0),11))</f>
        <v/>
      </c>
      <c r="S62" t="str">
        <f t="array" ref="S62">IF($A62="","",INDEX(JupData!$A$2:$K$10000,MATCH($A62&amp;S$1,JupData!$A$2:$A$10000&amp;JupData!$J$2:$J$10000,0),11))</f>
        <v/>
      </c>
      <c r="T62" t="str">
        <f t="array" ref="T62">IF($A62="","",INDEX(JupData!$A$2:$K$10000,MATCH($A62&amp;T$1,JupData!$A$2:$A$10000&amp;JupData!$J$2:$J$10000,0),11))</f>
        <v/>
      </c>
      <c r="U62" t="str">
        <f t="array" ref="U62">IF($A62="","",INDEX(JupData!$A$2:$K$10000,MATCH($A62&amp;U$1,JupData!$A$2:$A$10000&amp;JupData!$J$2:$J$10000,0),11))</f>
        <v/>
      </c>
      <c r="V62" t="str">
        <f t="array" ref="V62">IF($A62="","",INDEX(JupData!$A$2:$K$10000,MATCH($A62&amp;V$1,JupData!$A$2:$A$10000&amp;JupData!$J$2:$J$10000,0),11))</f>
        <v/>
      </c>
      <c r="W62" t="str">
        <f t="array" ref="W62">IF($A62="","",INDEX(JupData!$A$2:$K$10000,MATCH($A62&amp;W$1,JupData!$A$2:$A$10000&amp;JupData!$J$2:$J$10000,0),11))</f>
        <v/>
      </c>
      <c r="X62" t="str">
        <f t="array" ref="X62">IF($A62="","",INDEX(JupData!$A$2:$K$10000,MATCH($A62&amp;X$1,JupData!$A$2:$A$10000&amp;JupData!$J$2:$J$10000,0),11))</f>
        <v/>
      </c>
      <c r="Y62" t="str">
        <f t="array" ref="Y62">IF($A62="","",INDEX(JupData!$A$2:$K$10000,MATCH($A62&amp;Y$1,JupData!$A$2:$A$10000&amp;JupData!$J$2:$J$10000,0),11))</f>
        <v/>
      </c>
      <c r="Z62" t="str">
        <f t="array" ref="Z62">IF($A62="","",INDEX(JupData!$A$2:$K$10000,MATCH($A62&amp;Z$1,JupData!$A$2:$A$10000&amp;JupData!$J$2:$J$10000,0),11))</f>
        <v/>
      </c>
      <c r="AA62" t="str">
        <f t="array" ref="AA62">IF($A62="","",INDEX(JupData!$A$2:$K$10000,MATCH($A62&amp;AA$1,JupData!$A$2:$A$10000&amp;JupData!$J$2:$J$10000,0),11))</f>
        <v/>
      </c>
      <c r="AB62" t="str">
        <f t="array" ref="AB62">IF($A62="","",INDEX(JupData!$A$2:$K$10000,MATCH($A62&amp;AB$1,JupData!$A$2:$A$10000&amp;JupData!$J$2:$J$10000,0),11))</f>
        <v/>
      </c>
      <c r="AC62" s="10" t="str">
        <f t="shared" si="0"/>
        <v/>
      </c>
      <c r="AD62" s="10" t="str">
        <f t="shared" si="1"/>
        <v/>
      </c>
      <c r="AE62" s="9" t="str">
        <f t="shared" si="2"/>
        <v/>
      </c>
      <c r="AF62" s="10" t="str">
        <f t="shared" si="3"/>
        <v/>
      </c>
      <c r="AG62" s="10" t="str">
        <f t="shared" si="4"/>
        <v/>
      </c>
      <c r="AH62" s="10" t="str">
        <f t="shared" si="5"/>
        <v/>
      </c>
      <c r="AI62" s="10" t="str">
        <f t="shared" si="6"/>
        <v/>
      </c>
      <c r="AJ62" s="10" t="str">
        <f t="shared" si="7"/>
        <v/>
      </c>
      <c r="AK62" s="10" t="str">
        <f t="shared" si="8"/>
        <v/>
      </c>
      <c r="AL62" s="14" t="str">
        <f t="shared" si="9"/>
        <v/>
      </c>
    </row>
    <row r="63" spans="1:38" x14ac:dyDescent="0.2">
      <c r="A63"/>
      <c r="B63" t="str">
        <f>IF($A63="","",VLOOKUP($A63,JupData!$A$2:$I$10000,4,FALSE))</f>
        <v/>
      </c>
      <c r="C63" s="7" t="str">
        <f>IF($A63="",IF(N(D63),0,""),VLOOKUP($A63,JupData!$A$2:$I$10000,7,FALSE))</f>
        <v/>
      </c>
      <c r="D63" t="str">
        <f t="shared" si="10"/>
        <v/>
      </c>
      <c r="E63" t="str">
        <f t="array" ref="E63">IF($A63="","",INDEX(JupData!$A$2:$K$10000,MATCH($A63&amp;E$1,JupData!$A$2:$A$10000&amp;JupData!$J$2:$J$10000,0),11))</f>
        <v/>
      </c>
      <c r="F63" t="str">
        <f t="array" ref="F63">IF($A63="","",INDEX(JupData!$A$2:$K$10000,MATCH($A63&amp;F$1,JupData!$A$2:$A$10000&amp;JupData!$J$2:$J$10000,0),11))</f>
        <v/>
      </c>
      <c r="G63" t="str">
        <f t="array" ref="G63">IF($A63="","",INDEX(JupData!$A$2:$K$10000,MATCH($A63&amp;G$1,JupData!$A$2:$A$10000&amp;JupData!$J$2:$J$10000,0),11))</f>
        <v/>
      </c>
      <c r="H63" t="str">
        <f t="array" ref="H63">IF($A63="","",INDEX(JupData!$A$2:$K$10000,MATCH($A63&amp;H$1,JupData!$A$2:$A$10000&amp;JupData!$J$2:$J$10000,0),11))</f>
        <v/>
      </c>
      <c r="I63" t="str">
        <f t="array" ref="I63">IF($A63="","",INDEX(JupData!$A$2:$K$10000,MATCH($A63&amp;I$1,JupData!$A$2:$A$10000&amp;JupData!$J$2:$J$10000,0),11))</f>
        <v/>
      </c>
      <c r="J63" t="str">
        <f t="array" ref="J63">IF($A63="","",INDEX(JupData!$A$2:$K$10000,MATCH($A63&amp;J$1,JupData!$A$2:$A$10000&amp;JupData!$J$2:$J$10000,0),11))</f>
        <v/>
      </c>
      <c r="K63" t="str">
        <f t="array" ref="K63">IF($A63="","",INDEX(JupData!$A$2:$K$10000,MATCH($A63&amp;K$1,JupData!$A$2:$A$10000&amp;JupData!$J$2:$J$10000,0),11))</f>
        <v/>
      </c>
      <c r="L63" t="str">
        <f t="array" ref="L63">IF($A63="","",INDEX(JupData!$A$2:$K$10000,MATCH($A63&amp;L$1,JupData!$A$2:$A$10000&amp;JupData!$J$2:$J$10000,0),11))</f>
        <v/>
      </c>
      <c r="M63" t="str">
        <f t="array" ref="M63">IF($A63="","",INDEX(JupData!$A$2:$K$10000,MATCH($A63&amp;M$1,JupData!$A$2:$A$10000&amp;JupData!$J$2:$J$10000,0),11))</f>
        <v/>
      </c>
      <c r="N63" t="str">
        <f t="array" ref="N63">IF($A63="","",INDEX(JupData!$A$2:$K$10000,MATCH($A63&amp;N$1,JupData!$A$2:$A$10000&amp;JupData!$J$2:$J$10000,0),11))</f>
        <v/>
      </c>
      <c r="O63" t="str">
        <f t="array" ref="O63">IF($A63="","",INDEX(JupData!$A$2:$K$10000,MATCH($A63&amp;O$1,JupData!$A$2:$A$10000&amp;JupData!$J$2:$J$10000,0),11))</f>
        <v/>
      </c>
      <c r="P63" t="str">
        <f t="array" ref="P63">IF($A63="","",INDEX(JupData!$A$2:$K$10000,MATCH($A63&amp;P$1,JupData!$A$2:$A$10000&amp;JupData!$J$2:$J$10000,0),11))</f>
        <v/>
      </c>
      <c r="Q63" t="str">
        <f t="array" ref="Q63">IF($A63="","",INDEX(JupData!$A$2:$K$10000,MATCH($A63&amp;Q$1,JupData!$A$2:$A$10000&amp;JupData!$J$2:$J$10000,0),11))</f>
        <v/>
      </c>
      <c r="R63" t="str">
        <f t="array" ref="R63">IF($A63="","",INDEX(JupData!$A$2:$K$10000,MATCH($A63&amp;R$1,JupData!$A$2:$A$10000&amp;JupData!$J$2:$J$10000,0),11))</f>
        <v/>
      </c>
      <c r="S63" t="str">
        <f t="array" ref="S63">IF($A63="","",INDEX(JupData!$A$2:$K$10000,MATCH($A63&amp;S$1,JupData!$A$2:$A$10000&amp;JupData!$J$2:$J$10000,0),11))</f>
        <v/>
      </c>
      <c r="T63" t="str">
        <f t="array" ref="T63">IF($A63="","",INDEX(JupData!$A$2:$K$10000,MATCH($A63&amp;T$1,JupData!$A$2:$A$10000&amp;JupData!$J$2:$J$10000,0),11))</f>
        <v/>
      </c>
      <c r="U63" t="str">
        <f t="array" ref="U63">IF($A63="","",INDEX(JupData!$A$2:$K$10000,MATCH($A63&amp;U$1,JupData!$A$2:$A$10000&amp;JupData!$J$2:$J$10000,0),11))</f>
        <v/>
      </c>
      <c r="V63" t="str">
        <f t="array" ref="V63">IF($A63="","",INDEX(JupData!$A$2:$K$10000,MATCH($A63&amp;V$1,JupData!$A$2:$A$10000&amp;JupData!$J$2:$J$10000,0),11))</f>
        <v/>
      </c>
      <c r="W63" t="str">
        <f t="array" ref="W63">IF($A63="","",INDEX(JupData!$A$2:$K$10000,MATCH($A63&amp;W$1,JupData!$A$2:$A$10000&amp;JupData!$J$2:$J$10000,0),11))</f>
        <v/>
      </c>
      <c r="X63" t="str">
        <f t="array" ref="X63">IF($A63="","",INDEX(JupData!$A$2:$K$10000,MATCH($A63&amp;X$1,JupData!$A$2:$A$10000&amp;JupData!$J$2:$J$10000,0),11))</f>
        <v/>
      </c>
      <c r="Y63" t="str">
        <f t="array" ref="Y63">IF($A63="","",INDEX(JupData!$A$2:$K$10000,MATCH($A63&amp;Y$1,JupData!$A$2:$A$10000&amp;JupData!$J$2:$J$10000,0),11))</f>
        <v/>
      </c>
      <c r="Z63" t="str">
        <f t="array" ref="Z63">IF($A63="","",INDEX(JupData!$A$2:$K$10000,MATCH($A63&amp;Z$1,JupData!$A$2:$A$10000&amp;JupData!$J$2:$J$10000,0),11))</f>
        <v/>
      </c>
      <c r="AA63" t="str">
        <f t="array" ref="AA63">IF($A63="","",INDEX(JupData!$A$2:$K$10000,MATCH($A63&amp;AA$1,JupData!$A$2:$A$10000&amp;JupData!$J$2:$J$10000,0),11))</f>
        <v/>
      </c>
      <c r="AB63" t="str">
        <f t="array" ref="AB63">IF($A63="","",INDEX(JupData!$A$2:$K$10000,MATCH($A63&amp;AB$1,JupData!$A$2:$A$10000&amp;JupData!$J$2:$J$10000,0),11))</f>
        <v/>
      </c>
      <c r="AC63" s="10" t="str">
        <f t="shared" si="0"/>
        <v/>
      </c>
      <c r="AD63" s="10" t="str">
        <f t="shared" si="1"/>
        <v/>
      </c>
      <c r="AE63" s="9" t="str">
        <f t="shared" si="2"/>
        <v/>
      </c>
      <c r="AF63" s="10" t="str">
        <f t="shared" si="3"/>
        <v/>
      </c>
      <c r="AG63" s="10" t="str">
        <f t="shared" si="4"/>
        <v/>
      </c>
      <c r="AH63" s="10" t="str">
        <f t="shared" si="5"/>
        <v/>
      </c>
      <c r="AI63" s="10" t="str">
        <f t="shared" si="6"/>
        <v/>
      </c>
      <c r="AJ63" s="10" t="str">
        <f t="shared" si="7"/>
        <v/>
      </c>
      <c r="AK63" s="10" t="str">
        <f t="shared" si="8"/>
        <v/>
      </c>
      <c r="AL63" s="14" t="str">
        <f t="shared" si="9"/>
        <v/>
      </c>
    </row>
    <row r="64" spans="1:38" x14ac:dyDescent="0.2">
      <c r="A64"/>
      <c r="B64" t="str">
        <f>IF($A64="","",VLOOKUP($A64,JupData!$A$2:$I$10000,4,FALSE))</f>
        <v/>
      </c>
      <c r="C64" s="7" t="str">
        <f>IF($A64="",IF(N(D64),0,""),VLOOKUP($A64,JupData!$A$2:$I$10000,7,FALSE))</f>
        <v/>
      </c>
      <c r="D64" t="str">
        <f t="shared" si="10"/>
        <v/>
      </c>
      <c r="E64" t="str">
        <f t="array" ref="E64">IF($A64="","",INDEX(JupData!$A$2:$K$10000,MATCH($A64&amp;E$1,JupData!$A$2:$A$10000&amp;JupData!$J$2:$J$10000,0),11))</f>
        <v/>
      </c>
      <c r="F64" t="str">
        <f t="array" ref="F64">IF($A64="","",INDEX(JupData!$A$2:$K$10000,MATCH($A64&amp;F$1,JupData!$A$2:$A$10000&amp;JupData!$J$2:$J$10000,0),11))</f>
        <v/>
      </c>
      <c r="G64" t="str">
        <f t="array" ref="G64">IF($A64="","",INDEX(JupData!$A$2:$K$10000,MATCH($A64&amp;G$1,JupData!$A$2:$A$10000&amp;JupData!$J$2:$J$10000,0),11))</f>
        <v/>
      </c>
      <c r="H64" t="str">
        <f t="array" ref="H64">IF($A64="","",INDEX(JupData!$A$2:$K$10000,MATCH($A64&amp;H$1,JupData!$A$2:$A$10000&amp;JupData!$J$2:$J$10000,0),11))</f>
        <v/>
      </c>
      <c r="I64" t="str">
        <f t="array" ref="I64">IF($A64="","",INDEX(JupData!$A$2:$K$10000,MATCH($A64&amp;I$1,JupData!$A$2:$A$10000&amp;JupData!$J$2:$J$10000,0),11))</f>
        <v/>
      </c>
      <c r="J64" t="str">
        <f t="array" ref="J64">IF($A64="","",INDEX(JupData!$A$2:$K$10000,MATCH($A64&amp;J$1,JupData!$A$2:$A$10000&amp;JupData!$J$2:$J$10000,0),11))</f>
        <v/>
      </c>
      <c r="K64" t="str">
        <f t="array" ref="K64">IF($A64="","",INDEX(JupData!$A$2:$K$10000,MATCH($A64&amp;K$1,JupData!$A$2:$A$10000&amp;JupData!$J$2:$J$10000,0),11))</f>
        <v/>
      </c>
      <c r="L64" t="str">
        <f t="array" ref="L64">IF($A64="","",INDEX(JupData!$A$2:$K$10000,MATCH($A64&amp;L$1,JupData!$A$2:$A$10000&amp;JupData!$J$2:$J$10000,0),11))</f>
        <v/>
      </c>
      <c r="M64" t="str">
        <f t="array" ref="M64">IF($A64="","",INDEX(JupData!$A$2:$K$10000,MATCH($A64&amp;M$1,JupData!$A$2:$A$10000&amp;JupData!$J$2:$J$10000,0),11))</f>
        <v/>
      </c>
      <c r="N64" t="str">
        <f t="array" ref="N64">IF($A64="","",INDEX(JupData!$A$2:$K$10000,MATCH($A64&amp;N$1,JupData!$A$2:$A$10000&amp;JupData!$J$2:$J$10000,0),11))</f>
        <v/>
      </c>
      <c r="O64" t="str">
        <f t="array" ref="O64">IF($A64="","",INDEX(JupData!$A$2:$K$10000,MATCH($A64&amp;O$1,JupData!$A$2:$A$10000&amp;JupData!$J$2:$J$10000,0),11))</f>
        <v/>
      </c>
      <c r="P64" t="str">
        <f t="array" ref="P64">IF($A64="","",INDEX(JupData!$A$2:$K$10000,MATCH($A64&amp;P$1,JupData!$A$2:$A$10000&amp;JupData!$J$2:$J$10000,0),11))</f>
        <v/>
      </c>
      <c r="Q64" t="str">
        <f t="array" ref="Q64">IF($A64="","",INDEX(JupData!$A$2:$K$10000,MATCH($A64&amp;Q$1,JupData!$A$2:$A$10000&amp;JupData!$J$2:$J$10000,0),11))</f>
        <v/>
      </c>
      <c r="R64" t="str">
        <f t="array" ref="R64">IF($A64="","",INDEX(JupData!$A$2:$K$10000,MATCH($A64&amp;R$1,JupData!$A$2:$A$10000&amp;JupData!$J$2:$J$10000,0),11))</f>
        <v/>
      </c>
      <c r="S64" t="str">
        <f t="array" ref="S64">IF($A64="","",INDEX(JupData!$A$2:$K$10000,MATCH($A64&amp;S$1,JupData!$A$2:$A$10000&amp;JupData!$J$2:$J$10000,0),11))</f>
        <v/>
      </c>
      <c r="T64" t="str">
        <f t="array" ref="T64">IF($A64="","",INDEX(JupData!$A$2:$K$10000,MATCH($A64&amp;T$1,JupData!$A$2:$A$10000&amp;JupData!$J$2:$J$10000,0),11))</f>
        <v/>
      </c>
      <c r="U64" t="str">
        <f t="array" ref="U64">IF($A64="","",INDEX(JupData!$A$2:$K$10000,MATCH($A64&amp;U$1,JupData!$A$2:$A$10000&amp;JupData!$J$2:$J$10000,0),11))</f>
        <v/>
      </c>
      <c r="V64" t="str">
        <f t="array" ref="V64">IF($A64="","",INDEX(JupData!$A$2:$K$10000,MATCH($A64&amp;V$1,JupData!$A$2:$A$10000&amp;JupData!$J$2:$J$10000,0),11))</f>
        <v/>
      </c>
      <c r="W64" t="str">
        <f t="array" ref="W64">IF($A64="","",INDEX(JupData!$A$2:$K$10000,MATCH($A64&amp;W$1,JupData!$A$2:$A$10000&amp;JupData!$J$2:$J$10000,0),11))</f>
        <v/>
      </c>
      <c r="X64" t="str">
        <f t="array" ref="X64">IF($A64="","",INDEX(JupData!$A$2:$K$10000,MATCH($A64&amp;X$1,JupData!$A$2:$A$10000&amp;JupData!$J$2:$J$10000,0),11))</f>
        <v/>
      </c>
      <c r="Y64" t="str">
        <f t="array" ref="Y64">IF($A64="","",INDEX(JupData!$A$2:$K$10000,MATCH($A64&amp;Y$1,JupData!$A$2:$A$10000&amp;JupData!$J$2:$J$10000,0),11))</f>
        <v/>
      </c>
      <c r="Z64" t="str">
        <f t="array" ref="Z64">IF($A64="","",INDEX(JupData!$A$2:$K$10000,MATCH($A64&amp;Z$1,JupData!$A$2:$A$10000&amp;JupData!$J$2:$J$10000,0),11))</f>
        <v/>
      </c>
      <c r="AA64" t="str">
        <f t="array" ref="AA64">IF($A64="","",INDEX(JupData!$A$2:$K$10000,MATCH($A64&amp;AA$1,JupData!$A$2:$A$10000&amp;JupData!$J$2:$J$10000,0),11))</f>
        <v/>
      </c>
      <c r="AB64" t="str">
        <f t="array" ref="AB64">IF($A64="","",INDEX(JupData!$A$2:$K$10000,MATCH($A64&amp;AB$1,JupData!$A$2:$A$10000&amp;JupData!$J$2:$J$10000,0),11))</f>
        <v/>
      </c>
      <c r="AC64" s="10" t="str">
        <f t="shared" si="0"/>
        <v/>
      </c>
      <c r="AD64" s="10" t="str">
        <f t="shared" si="1"/>
        <v/>
      </c>
      <c r="AE64" s="9" t="str">
        <f t="shared" si="2"/>
        <v/>
      </c>
      <c r="AF64" s="10" t="str">
        <f t="shared" si="3"/>
        <v/>
      </c>
      <c r="AG64" s="10" t="str">
        <f t="shared" si="4"/>
        <v/>
      </c>
      <c r="AH64" s="10" t="str">
        <f t="shared" si="5"/>
        <v/>
      </c>
      <c r="AI64" s="10" t="str">
        <f t="shared" si="6"/>
        <v/>
      </c>
      <c r="AJ64" s="10" t="str">
        <f t="shared" si="7"/>
        <v/>
      </c>
      <c r="AK64" s="10" t="str">
        <f t="shared" si="8"/>
        <v/>
      </c>
      <c r="AL64" s="14" t="str">
        <f t="shared" si="9"/>
        <v/>
      </c>
    </row>
    <row r="65" spans="1:38" x14ac:dyDescent="0.2">
      <c r="A65"/>
      <c r="B65" t="str">
        <f>IF($A65="","",VLOOKUP($A65,JupData!$A$2:$I$10000,4,FALSE))</f>
        <v/>
      </c>
      <c r="C65" s="7" t="str">
        <f>IF($A65="",IF(N(D65),0,""),VLOOKUP($A65,JupData!$A$2:$I$10000,7,FALSE))</f>
        <v/>
      </c>
      <c r="D65" t="str">
        <f t="shared" si="10"/>
        <v/>
      </c>
      <c r="E65" t="str">
        <f t="array" ref="E65">IF($A65="","",INDEX(JupData!$A$2:$K$10000,MATCH($A65&amp;E$1,JupData!$A$2:$A$10000&amp;JupData!$J$2:$J$10000,0),11))</f>
        <v/>
      </c>
      <c r="F65" t="str">
        <f t="array" ref="F65">IF($A65="","",INDEX(JupData!$A$2:$K$10000,MATCH($A65&amp;F$1,JupData!$A$2:$A$10000&amp;JupData!$J$2:$J$10000,0),11))</f>
        <v/>
      </c>
      <c r="G65" t="str">
        <f t="array" ref="G65">IF($A65="","",INDEX(JupData!$A$2:$K$10000,MATCH($A65&amp;G$1,JupData!$A$2:$A$10000&amp;JupData!$J$2:$J$10000,0),11))</f>
        <v/>
      </c>
      <c r="H65" t="str">
        <f t="array" ref="H65">IF($A65="","",INDEX(JupData!$A$2:$K$10000,MATCH($A65&amp;H$1,JupData!$A$2:$A$10000&amp;JupData!$J$2:$J$10000,0),11))</f>
        <v/>
      </c>
      <c r="I65" t="str">
        <f t="array" ref="I65">IF($A65="","",INDEX(JupData!$A$2:$K$10000,MATCH($A65&amp;I$1,JupData!$A$2:$A$10000&amp;JupData!$J$2:$J$10000,0),11))</f>
        <v/>
      </c>
      <c r="J65" t="str">
        <f t="array" ref="J65">IF($A65="","",INDEX(JupData!$A$2:$K$10000,MATCH($A65&amp;J$1,JupData!$A$2:$A$10000&amp;JupData!$J$2:$J$10000,0),11))</f>
        <v/>
      </c>
      <c r="K65" t="str">
        <f t="array" ref="K65">IF($A65="","",INDEX(JupData!$A$2:$K$10000,MATCH($A65&amp;K$1,JupData!$A$2:$A$10000&amp;JupData!$J$2:$J$10000,0),11))</f>
        <v/>
      </c>
      <c r="L65" t="str">
        <f t="array" ref="L65">IF($A65="","",INDEX(JupData!$A$2:$K$10000,MATCH($A65&amp;L$1,JupData!$A$2:$A$10000&amp;JupData!$J$2:$J$10000,0),11))</f>
        <v/>
      </c>
      <c r="M65" t="str">
        <f t="array" ref="M65">IF($A65="","",INDEX(JupData!$A$2:$K$10000,MATCH($A65&amp;M$1,JupData!$A$2:$A$10000&amp;JupData!$J$2:$J$10000,0),11))</f>
        <v/>
      </c>
      <c r="N65" t="str">
        <f t="array" ref="N65">IF($A65="","",INDEX(JupData!$A$2:$K$10000,MATCH($A65&amp;N$1,JupData!$A$2:$A$10000&amp;JupData!$J$2:$J$10000,0),11))</f>
        <v/>
      </c>
      <c r="O65" t="str">
        <f t="array" ref="O65">IF($A65="","",INDEX(JupData!$A$2:$K$10000,MATCH($A65&amp;O$1,JupData!$A$2:$A$10000&amp;JupData!$J$2:$J$10000,0),11))</f>
        <v/>
      </c>
      <c r="P65" t="str">
        <f t="array" ref="P65">IF($A65="","",INDEX(JupData!$A$2:$K$10000,MATCH($A65&amp;P$1,JupData!$A$2:$A$10000&amp;JupData!$J$2:$J$10000,0),11))</f>
        <v/>
      </c>
      <c r="Q65" t="str">
        <f t="array" ref="Q65">IF($A65="","",INDEX(JupData!$A$2:$K$10000,MATCH($A65&amp;Q$1,JupData!$A$2:$A$10000&amp;JupData!$J$2:$J$10000,0),11))</f>
        <v/>
      </c>
      <c r="R65" t="str">
        <f t="array" ref="R65">IF($A65="","",INDEX(JupData!$A$2:$K$10000,MATCH($A65&amp;R$1,JupData!$A$2:$A$10000&amp;JupData!$J$2:$J$10000,0),11))</f>
        <v/>
      </c>
      <c r="S65" t="str">
        <f t="array" ref="S65">IF($A65="","",INDEX(JupData!$A$2:$K$10000,MATCH($A65&amp;S$1,JupData!$A$2:$A$10000&amp;JupData!$J$2:$J$10000,0),11))</f>
        <v/>
      </c>
      <c r="T65" t="str">
        <f t="array" ref="T65">IF($A65="","",INDEX(JupData!$A$2:$K$10000,MATCH($A65&amp;T$1,JupData!$A$2:$A$10000&amp;JupData!$J$2:$J$10000,0),11))</f>
        <v/>
      </c>
      <c r="U65" t="str">
        <f t="array" ref="U65">IF($A65="","",INDEX(JupData!$A$2:$K$10000,MATCH($A65&amp;U$1,JupData!$A$2:$A$10000&amp;JupData!$J$2:$J$10000,0),11))</f>
        <v/>
      </c>
      <c r="V65" t="str">
        <f t="array" ref="V65">IF($A65="","",INDEX(JupData!$A$2:$K$10000,MATCH($A65&amp;V$1,JupData!$A$2:$A$10000&amp;JupData!$J$2:$J$10000,0),11))</f>
        <v/>
      </c>
      <c r="W65" t="str">
        <f t="array" ref="W65">IF($A65="","",INDEX(JupData!$A$2:$K$10000,MATCH($A65&amp;W$1,JupData!$A$2:$A$10000&amp;JupData!$J$2:$J$10000,0),11))</f>
        <v/>
      </c>
      <c r="X65" t="str">
        <f t="array" ref="X65">IF($A65="","",INDEX(JupData!$A$2:$K$10000,MATCH($A65&amp;X$1,JupData!$A$2:$A$10000&amp;JupData!$J$2:$J$10000,0),11))</f>
        <v/>
      </c>
      <c r="Y65" t="str">
        <f t="array" ref="Y65">IF($A65="","",INDEX(JupData!$A$2:$K$10000,MATCH($A65&amp;Y$1,JupData!$A$2:$A$10000&amp;JupData!$J$2:$J$10000,0),11))</f>
        <v/>
      </c>
      <c r="Z65" t="str">
        <f t="array" ref="Z65">IF($A65="","",INDEX(JupData!$A$2:$K$10000,MATCH($A65&amp;Z$1,JupData!$A$2:$A$10000&amp;JupData!$J$2:$J$10000,0),11))</f>
        <v/>
      </c>
      <c r="AA65" t="str">
        <f t="array" ref="AA65">IF($A65="","",INDEX(JupData!$A$2:$K$10000,MATCH($A65&amp;AA$1,JupData!$A$2:$A$10000&amp;JupData!$J$2:$J$10000,0),11))</f>
        <v/>
      </c>
      <c r="AB65" t="str">
        <f t="array" ref="AB65">IF($A65="","",INDEX(JupData!$A$2:$K$10000,MATCH($A65&amp;AB$1,JupData!$A$2:$A$10000&amp;JupData!$J$2:$J$10000,0),11))</f>
        <v/>
      </c>
      <c r="AC65" s="10" t="str">
        <f t="shared" si="0"/>
        <v/>
      </c>
      <c r="AD65" s="10" t="str">
        <f t="shared" si="1"/>
        <v/>
      </c>
      <c r="AE65" s="9" t="str">
        <f t="shared" si="2"/>
        <v/>
      </c>
      <c r="AF65" s="10" t="str">
        <f t="shared" si="3"/>
        <v/>
      </c>
      <c r="AG65" s="10" t="str">
        <f t="shared" si="4"/>
        <v/>
      </c>
      <c r="AH65" s="10" t="str">
        <f t="shared" si="5"/>
        <v/>
      </c>
      <c r="AI65" s="10" t="str">
        <f t="shared" si="6"/>
        <v/>
      </c>
      <c r="AJ65" s="10" t="str">
        <f t="shared" si="7"/>
        <v/>
      </c>
      <c r="AK65" s="10" t="str">
        <f t="shared" si="8"/>
        <v/>
      </c>
      <c r="AL65" s="14" t="str">
        <f t="shared" si="9"/>
        <v/>
      </c>
    </row>
    <row r="66" spans="1:38" x14ac:dyDescent="0.2">
      <c r="A66"/>
      <c r="B66" t="str">
        <f>IF($A66="","",VLOOKUP($A66,JupData!$A$2:$I$10000,4,FALSE))</f>
        <v/>
      </c>
      <c r="C66" s="7" t="str">
        <f>IF($A66="",IF(N(D66),0,""),VLOOKUP($A66,JupData!$A$2:$I$10000,7,FALSE))</f>
        <v/>
      </c>
      <c r="D66" t="str">
        <f t="shared" si="10"/>
        <v/>
      </c>
      <c r="E66" t="str">
        <f t="array" ref="E66">IF($A66="","",INDEX(JupData!$A$2:$K$10000,MATCH($A66&amp;E$1,JupData!$A$2:$A$10000&amp;JupData!$J$2:$J$10000,0),11))</f>
        <v/>
      </c>
      <c r="F66" t="str">
        <f t="array" ref="F66">IF($A66="","",INDEX(JupData!$A$2:$K$10000,MATCH($A66&amp;F$1,JupData!$A$2:$A$10000&amp;JupData!$J$2:$J$10000,0),11))</f>
        <v/>
      </c>
      <c r="G66" t="str">
        <f t="array" ref="G66">IF($A66="","",INDEX(JupData!$A$2:$K$10000,MATCH($A66&amp;G$1,JupData!$A$2:$A$10000&amp;JupData!$J$2:$J$10000,0),11))</f>
        <v/>
      </c>
      <c r="H66" t="str">
        <f t="array" ref="H66">IF($A66="","",INDEX(JupData!$A$2:$K$10000,MATCH($A66&amp;H$1,JupData!$A$2:$A$10000&amp;JupData!$J$2:$J$10000,0),11))</f>
        <v/>
      </c>
      <c r="I66" t="str">
        <f t="array" ref="I66">IF($A66="","",INDEX(JupData!$A$2:$K$10000,MATCH($A66&amp;I$1,JupData!$A$2:$A$10000&amp;JupData!$J$2:$J$10000,0),11))</f>
        <v/>
      </c>
      <c r="J66" t="str">
        <f t="array" ref="J66">IF($A66="","",INDEX(JupData!$A$2:$K$10000,MATCH($A66&amp;J$1,JupData!$A$2:$A$10000&amp;JupData!$J$2:$J$10000,0),11))</f>
        <v/>
      </c>
      <c r="K66" t="str">
        <f t="array" ref="K66">IF($A66="","",INDEX(JupData!$A$2:$K$10000,MATCH($A66&amp;K$1,JupData!$A$2:$A$10000&amp;JupData!$J$2:$J$10000,0),11))</f>
        <v/>
      </c>
      <c r="L66" t="str">
        <f t="array" ref="L66">IF($A66="","",INDEX(JupData!$A$2:$K$10000,MATCH($A66&amp;L$1,JupData!$A$2:$A$10000&amp;JupData!$J$2:$J$10000,0),11))</f>
        <v/>
      </c>
      <c r="M66" t="str">
        <f t="array" ref="M66">IF($A66="","",INDEX(JupData!$A$2:$K$10000,MATCH($A66&amp;M$1,JupData!$A$2:$A$10000&amp;JupData!$J$2:$J$10000,0),11))</f>
        <v/>
      </c>
      <c r="N66" t="str">
        <f t="array" ref="N66">IF($A66="","",INDEX(JupData!$A$2:$K$10000,MATCH($A66&amp;N$1,JupData!$A$2:$A$10000&amp;JupData!$J$2:$J$10000,0),11))</f>
        <v/>
      </c>
      <c r="O66" t="str">
        <f t="array" ref="O66">IF($A66="","",INDEX(JupData!$A$2:$K$10000,MATCH($A66&amp;O$1,JupData!$A$2:$A$10000&amp;JupData!$J$2:$J$10000,0),11))</f>
        <v/>
      </c>
      <c r="P66" t="str">
        <f t="array" ref="P66">IF($A66="","",INDEX(JupData!$A$2:$K$10000,MATCH($A66&amp;P$1,JupData!$A$2:$A$10000&amp;JupData!$J$2:$J$10000,0),11))</f>
        <v/>
      </c>
      <c r="Q66" t="str">
        <f t="array" ref="Q66">IF($A66="","",INDEX(JupData!$A$2:$K$10000,MATCH($A66&amp;Q$1,JupData!$A$2:$A$10000&amp;JupData!$J$2:$J$10000,0),11))</f>
        <v/>
      </c>
      <c r="R66" t="str">
        <f t="array" ref="R66">IF($A66="","",INDEX(JupData!$A$2:$K$10000,MATCH($A66&amp;R$1,JupData!$A$2:$A$10000&amp;JupData!$J$2:$J$10000,0),11))</f>
        <v/>
      </c>
      <c r="S66" t="str">
        <f t="array" ref="S66">IF($A66="","",INDEX(JupData!$A$2:$K$10000,MATCH($A66&amp;S$1,JupData!$A$2:$A$10000&amp;JupData!$J$2:$J$10000,0),11))</f>
        <v/>
      </c>
      <c r="T66" t="str">
        <f t="array" ref="T66">IF($A66="","",INDEX(JupData!$A$2:$K$10000,MATCH($A66&amp;T$1,JupData!$A$2:$A$10000&amp;JupData!$J$2:$J$10000,0),11))</f>
        <v/>
      </c>
      <c r="U66" t="str">
        <f t="array" ref="U66">IF($A66="","",INDEX(JupData!$A$2:$K$10000,MATCH($A66&amp;U$1,JupData!$A$2:$A$10000&amp;JupData!$J$2:$J$10000,0),11))</f>
        <v/>
      </c>
      <c r="V66" t="str">
        <f t="array" ref="V66">IF($A66="","",INDEX(JupData!$A$2:$K$10000,MATCH($A66&amp;V$1,JupData!$A$2:$A$10000&amp;JupData!$J$2:$J$10000,0),11))</f>
        <v/>
      </c>
      <c r="W66" t="str">
        <f t="array" ref="W66">IF($A66="","",INDEX(JupData!$A$2:$K$10000,MATCH($A66&amp;W$1,JupData!$A$2:$A$10000&amp;JupData!$J$2:$J$10000,0),11))</f>
        <v/>
      </c>
      <c r="X66" t="str">
        <f t="array" ref="X66">IF($A66="","",INDEX(JupData!$A$2:$K$10000,MATCH($A66&amp;X$1,JupData!$A$2:$A$10000&amp;JupData!$J$2:$J$10000,0),11))</f>
        <v/>
      </c>
      <c r="Y66" t="str">
        <f t="array" ref="Y66">IF($A66="","",INDEX(JupData!$A$2:$K$10000,MATCH($A66&amp;Y$1,JupData!$A$2:$A$10000&amp;JupData!$J$2:$J$10000,0),11))</f>
        <v/>
      </c>
      <c r="Z66" t="str">
        <f t="array" ref="Z66">IF($A66="","",INDEX(JupData!$A$2:$K$10000,MATCH($A66&amp;Z$1,JupData!$A$2:$A$10000&amp;JupData!$J$2:$J$10000,0),11))</f>
        <v/>
      </c>
      <c r="AA66" t="str">
        <f t="array" ref="AA66">IF($A66="","",INDEX(JupData!$A$2:$K$10000,MATCH($A66&amp;AA$1,JupData!$A$2:$A$10000&amp;JupData!$J$2:$J$10000,0),11))</f>
        <v/>
      </c>
      <c r="AB66" t="str">
        <f t="array" ref="AB66">IF($A66="","",INDEX(JupData!$A$2:$K$10000,MATCH($A66&amp;AB$1,JupData!$A$2:$A$10000&amp;JupData!$J$2:$J$10000,0),11))</f>
        <v/>
      </c>
      <c r="AC66" s="10" t="str">
        <f t="shared" si="0"/>
        <v/>
      </c>
      <c r="AD66" s="10" t="str">
        <f t="shared" si="1"/>
        <v/>
      </c>
      <c r="AE66" s="9" t="str">
        <f t="shared" si="2"/>
        <v/>
      </c>
      <c r="AF66" s="10" t="str">
        <f t="shared" si="3"/>
        <v/>
      </c>
      <c r="AG66" s="10" t="str">
        <f t="shared" si="4"/>
        <v/>
      </c>
      <c r="AH66" s="10" t="str">
        <f t="shared" si="5"/>
        <v/>
      </c>
      <c r="AI66" s="10" t="str">
        <f t="shared" si="6"/>
        <v/>
      </c>
      <c r="AJ66" s="10" t="str">
        <f t="shared" si="7"/>
        <v/>
      </c>
      <c r="AK66" s="10" t="str">
        <f t="shared" si="8"/>
        <v/>
      </c>
      <c r="AL66" s="14" t="str">
        <f t="shared" si="9"/>
        <v/>
      </c>
    </row>
    <row r="67" spans="1:38" x14ac:dyDescent="0.2">
      <c r="A67"/>
      <c r="B67" t="str">
        <f>IF($A67="","",VLOOKUP($A67,JupData!$A$2:$I$10000,4,FALSE))</f>
        <v/>
      </c>
      <c r="C67" s="7" t="str">
        <f>IF($A67="",IF(N(D67),0,""),VLOOKUP($A67,JupData!$A$2:$I$10000,7,FALSE))</f>
        <v/>
      </c>
      <c r="D67" t="str">
        <f t="shared" si="10"/>
        <v/>
      </c>
      <c r="E67" t="str">
        <f t="array" ref="E67">IF($A67="","",INDEX(JupData!$A$2:$K$10000,MATCH($A67&amp;E$1,JupData!$A$2:$A$10000&amp;JupData!$J$2:$J$10000,0),11))</f>
        <v/>
      </c>
      <c r="F67" t="str">
        <f t="array" ref="F67">IF($A67="","",INDEX(JupData!$A$2:$K$10000,MATCH($A67&amp;F$1,JupData!$A$2:$A$10000&amp;JupData!$J$2:$J$10000,0),11))</f>
        <v/>
      </c>
      <c r="G67" t="str">
        <f t="array" ref="G67">IF($A67="","",INDEX(JupData!$A$2:$K$10000,MATCH($A67&amp;G$1,JupData!$A$2:$A$10000&amp;JupData!$J$2:$J$10000,0),11))</f>
        <v/>
      </c>
      <c r="H67" t="str">
        <f t="array" ref="H67">IF($A67="","",INDEX(JupData!$A$2:$K$10000,MATCH($A67&amp;H$1,JupData!$A$2:$A$10000&amp;JupData!$J$2:$J$10000,0),11))</f>
        <v/>
      </c>
      <c r="I67" t="str">
        <f t="array" ref="I67">IF($A67="","",INDEX(JupData!$A$2:$K$10000,MATCH($A67&amp;I$1,JupData!$A$2:$A$10000&amp;JupData!$J$2:$J$10000,0),11))</f>
        <v/>
      </c>
      <c r="J67" t="str">
        <f t="array" ref="J67">IF($A67="","",INDEX(JupData!$A$2:$K$10000,MATCH($A67&amp;J$1,JupData!$A$2:$A$10000&amp;JupData!$J$2:$J$10000,0),11))</f>
        <v/>
      </c>
      <c r="K67" t="str">
        <f t="array" ref="K67">IF($A67="","",INDEX(JupData!$A$2:$K$10000,MATCH($A67&amp;K$1,JupData!$A$2:$A$10000&amp;JupData!$J$2:$J$10000,0),11))</f>
        <v/>
      </c>
      <c r="L67" t="str">
        <f t="array" ref="L67">IF($A67="","",INDEX(JupData!$A$2:$K$10000,MATCH($A67&amp;L$1,JupData!$A$2:$A$10000&amp;JupData!$J$2:$J$10000,0),11))</f>
        <v/>
      </c>
      <c r="M67" t="str">
        <f t="array" ref="M67">IF($A67="","",INDEX(JupData!$A$2:$K$10000,MATCH($A67&amp;M$1,JupData!$A$2:$A$10000&amp;JupData!$J$2:$J$10000,0),11))</f>
        <v/>
      </c>
      <c r="N67" t="str">
        <f t="array" ref="N67">IF($A67="","",INDEX(JupData!$A$2:$K$10000,MATCH($A67&amp;N$1,JupData!$A$2:$A$10000&amp;JupData!$J$2:$J$10000,0),11))</f>
        <v/>
      </c>
      <c r="O67" t="str">
        <f t="array" ref="O67">IF($A67="","",INDEX(JupData!$A$2:$K$10000,MATCH($A67&amp;O$1,JupData!$A$2:$A$10000&amp;JupData!$J$2:$J$10000,0),11))</f>
        <v/>
      </c>
      <c r="P67" t="str">
        <f t="array" ref="P67">IF($A67="","",INDEX(JupData!$A$2:$K$10000,MATCH($A67&amp;P$1,JupData!$A$2:$A$10000&amp;JupData!$J$2:$J$10000,0),11))</f>
        <v/>
      </c>
      <c r="Q67" t="str">
        <f t="array" ref="Q67">IF($A67="","",INDEX(JupData!$A$2:$K$10000,MATCH($A67&amp;Q$1,JupData!$A$2:$A$10000&amp;JupData!$J$2:$J$10000,0),11))</f>
        <v/>
      </c>
      <c r="R67" t="str">
        <f t="array" ref="R67">IF($A67="","",INDEX(JupData!$A$2:$K$10000,MATCH($A67&amp;R$1,JupData!$A$2:$A$10000&amp;JupData!$J$2:$J$10000,0),11))</f>
        <v/>
      </c>
      <c r="S67" t="str">
        <f t="array" ref="S67">IF($A67="","",INDEX(JupData!$A$2:$K$10000,MATCH($A67&amp;S$1,JupData!$A$2:$A$10000&amp;JupData!$J$2:$J$10000,0),11))</f>
        <v/>
      </c>
      <c r="T67" t="str">
        <f t="array" ref="T67">IF($A67="","",INDEX(JupData!$A$2:$K$10000,MATCH($A67&amp;T$1,JupData!$A$2:$A$10000&amp;JupData!$J$2:$J$10000,0),11))</f>
        <v/>
      </c>
      <c r="U67" t="str">
        <f t="array" ref="U67">IF($A67="","",INDEX(JupData!$A$2:$K$10000,MATCH($A67&amp;U$1,JupData!$A$2:$A$10000&amp;JupData!$J$2:$J$10000,0),11))</f>
        <v/>
      </c>
      <c r="V67" t="str">
        <f t="array" ref="V67">IF($A67="","",INDEX(JupData!$A$2:$K$10000,MATCH($A67&amp;V$1,JupData!$A$2:$A$10000&amp;JupData!$J$2:$J$10000,0),11))</f>
        <v/>
      </c>
      <c r="W67" t="str">
        <f t="array" ref="W67">IF($A67="","",INDEX(JupData!$A$2:$K$10000,MATCH($A67&amp;W$1,JupData!$A$2:$A$10000&amp;JupData!$J$2:$J$10000,0),11))</f>
        <v/>
      </c>
      <c r="X67" t="str">
        <f t="array" ref="X67">IF($A67="","",INDEX(JupData!$A$2:$K$10000,MATCH($A67&amp;X$1,JupData!$A$2:$A$10000&amp;JupData!$J$2:$J$10000,0),11))</f>
        <v/>
      </c>
      <c r="Y67" t="str">
        <f t="array" ref="Y67">IF($A67="","",INDEX(JupData!$A$2:$K$10000,MATCH($A67&amp;Y$1,JupData!$A$2:$A$10000&amp;JupData!$J$2:$J$10000,0),11))</f>
        <v/>
      </c>
      <c r="Z67" t="str">
        <f t="array" ref="Z67">IF($A67="","",INDEX(JupData!$A$2:$K$10000,MATCH($A67&amp;Z$1,JupData!$A$2:$A$10000&amp;JupData!$J$2:$J$10000,0),11))</f>
        <v/>
      </c>
      <c r="AA67" t="str">
        <f t="array" ref="AA67">IF($A67="","",INDEX(JupData!$A$2:$K$10000,MATCH($A67&amp;AA$1,JupData!$A$2:$A$10000&amp;JupData!$J$2:$J$10000,0),11))</f>
        <v/>
      </c>
      <c r="AB67" t="str">
        <f t="array" ref="AB67">IF($A67="","",INDEX(JupData!$A$2:$K$10000,MATCH($A67&amp;AB$1,JupData!$A$2:$A$10000&amp;JupData!$J$2:$J$10000,0),11))</f>
        <v/>
      </c>
      <c r="AC67" s="10" t="str">
        <f t="shared" ref="AC67:AC130" si="11">IF(A67="","",2*H67/40.08+2*I67/24.3+J67/22.99+K67/39.1+Y67/18.04)</f>
        <v/>
      </c>
      <c r="AD67" s="10" t="str">
        <f t="shared" ref="AD67:AD130" si="12">IF(A67="","",R67/61.02+2*S67/96.06+T67/35.45+U67/19+W67/62)</f>
        <v/>
      </c>
      <c r="AE67" s="9" t="str">
        <f t="shared" ref="AE67:AE130" si="13">IF(A67="","",IF(AD67&lt;0,((AC67+AD67)/(AC67-AD67)),((AC67-AD67)/(AC67+AD67))))</f>
        <v/>
      </c>
      <c r="AF67" s="10" t="str">
        <f t="shared" ref="AF67:AF130" si="14">IF(A67="","",(J67/22.99)/(T67/35.45))</f>
        <v/>
      </c>
      <c r="AG67" s="10" t="str">
        <f t="shared" ref="AG67:AG130" si="15">IF(A67="","",2*((H67/40.08)+(I67/24.3))/(R67/61.02))</f>
        <v/>
      </c>
      <c r="AH67" s="10" t="str">
        <f t="shared" ref="AH67:AH130" si="16">IF(A67="","",(J67/22.99)/((J67/22.99)+2*(H67/40.08)))</f>
        <v/>
      </c>
      <c r="AI67" s="10" t="str">
        <f t="shared" ref="AI67:AI130" si="17">IF(A67="","",H67/40.08)</f>
        <v/>
      </c>
      <c r="AJ67" s="10" t="str">
        <f t="shared" ref="AJ67:AJ130" si="18">IF(A67="","",S67/96.06)</f>
        <v/>
      </c>
      <c r="AK67" s="10" t="str">
        <f t="shared" ref="AK67:AK130" si="19">IF(A67="","",IF(W67&gt;=1,IF(L67&lt;0.2,IF(G67&gt;1,"A","B"),"X1"),IF(L67&gt;=0.2,IF(S67&gt;=20,IF(S67&gt;70,"C2","C1"),IF(AG67&lt;=1,"D","X3")),"X2")))</f>
        <v/>
      </c>
      <c r="AL67" s="14" t="str">
        <f t="shared" ref="AL67:AL130" si="20">IF(F67="","",(H67/40.1+I67/24.3)*5.6)</f>
        <v/>
      </c>
    </row>
    <row r="68" spans="1:38" x14ac:dyDescent="0.2">
      <c r="A68"/>
      <c r="B68" t="str">
        <f>IF($A68="","",VLOOKUP($A68,JupData!$A$2:$I$10000,4,FALSE))</f>
        <v/>
      </c>
      <c r="C68" s="7" t="str">
        <f>IF($A68="",IF(N(D68),0,""),VLOOKUP($A68,JupData!$A$2:$I$10000,7,FALSE))</f>
        <v/>
      </c>
      <c r="D68" t="str">
        <f t="shared" ref="D68:D131" si="21">IF(A68="",IF(D67&lt;20,D67+1,""),IF(B67="",1,IF(B67=B68,D67,D67+1)))</f>
        <v/>
      </c>
      <c r="E68" t="str">
        <f t="array" ref="E68">IF($A68="","",INDEX(JupData!$A$2:$K$10000,MATCH($A68&amp;E$1,JupData!$A$2:$A$10000&amp;JupData!$J$2:$J$10000,0),11))</f>
        <v/>
      </c>
      <c r="F68" t="str">
        <f t="array" ref="F68">IF($A68="","",INDEX(JupData!$A$2:$K$10000,MATCH($A68&amp;F$1,JupData!$A$2:$A$10000&amp;JupData!$J$2:$J$10000,0),11))</f>
        <v/>
      </c>
      <c r="G68" t="str">
        <f t="array" ref="G68">IF($A68="","",INDEX(JupData!$A$2:$K$10000,MATCH($A68&amp;G$1,JupData!$A$2:$A$10000&amp;JupData!$J$2:$J$10000,0),11))</f>
        <v/>
      </c>
      <c r="H68" t="str">
        <f t="array" ref="H68">IF($A68="","",INDEX(JupData!$A$2:$K$10000,MATCH($A68&amp;H$1,JupData!$A$2:$A$10000&amp;JupData!$J$2:$J$10000,0),11))</f>
        <v/>
      </c>
      <c r="I68" t="str">
        <f t="array" ref="I68">IF($A68="","",INDEX(JupData!$A$2:$K$10000,MATCH($A68&amp;I$1,JupData!$A$2:$A$10000&amp;JupData!$J$2:$J$10000,0),11))</f>
        <v/>
      </c>
      <c r="J68" t="str">
        <f t="array" ref="J68">IF($A68="","",INDEX(JupData!$A$2:$K$10000,MATCH($A68&amp;J$1,JupData!$A$2:$A$10000&amp;JupData!$J$2:$J$10000,0),11))</f>
        <v/>
      </c>
      <c r="K68" t="str">
        <f t="array" ref="K68">IF($A68="","",INDEX(JupData!$A$2:$K$10000,MATCH($A68&amp;K$1,JupData!$A$2:$A$10000&amp;JupData!$J$2:$J$10000,0),11))</f>
        <v/>
      </c>
      <c r="L68" t="str">
        <f t="array" ref="L68">IF($A68="","",INDEX(JupData!$A$2:$K$10000,MATCH($A68&amp;L$1,JupData!$A$2:$A$10000&amp;JupData!$J$2:$J$10000,0),11))</f>
        <v/>
      </c>
      <c r="M68" t="str">
        <f t="array" ref="M68">IF($A68="","",INDEX(JupData!$A$2:$K$10000,MATCH($A68&amp;M$1,JupData!$A$2:$A$10000&amp;JupData!$J$2:$J$10000,0),11))</f>
        <v/>
      </c>
      <c r="N68" t="str">
        <f t="array" ref="N68">IF($A68="","",INDEX(JupData!$A$2:$K$10000,MATCH($A68&amp;N$1,JupData!$A$2:$A$10000&amp;JupData!$J$2:$J$10000,0),11))</f>
        <v/>
      </c>
      <c r="O68" t="str">
        <f t="array" ref="O68">IF($A68="","",INDEX(JupData!$A$2:$K$10000,MATCH($A68&amp;O$1,JupData!$A$2:$A$10000&amp;JupData!$J$2:$J$10000,0),11))</f>
        <v/>
      </c>
      <c r="P68" t="str">
        <f t="array" ref="P68">IF($A68="","",INDEX(JupData!$A$2:$K$10000,MATCH($A68&amp;P$1,JupData!$A$2:$A$10000&amp;JupData!$J$2:$J$10000,0),11))</f>
        <v/>
      </c>
      <c r="Q68" t="str">
        <f t="array" ref="Q68">IF($A68="","",INDEX(JupData!$A$2:$K$10000,MATCH($A68&amp;Q$1,JupData!$A$2:$A$10000&amp;JupData!$J$2:$J$10000,0),11))</f>
        <v/>
      </c>
      <c r="R68" t="str">
        <f t="array" ref="R68">IF($A68="","",INDEX(JupData!$A$2:$K$10000,MATCH($A68&amp;R$1,JupData!$A$2:$A$10000&amp;JupData!$J$2:$J$10000,0),11))</f>
        <v/>
      </c>
      <c r="S68" t="str">
        <f t="array" ref="S68">IF($A68="","",INDEX(JupData!$A$2:$K$10000,MATCH($A68&amp;S$1,JupData!$A$2:$A$10000&amp;JupData!$J$2:$J$10000,0),11))</f>
        <v/>
      </c>
      <c r="T68" t="str">
        <f t="array" ref="T68">IF($A68="","",INDEX(JupData!$A$2:$K$10000,MATCH($A68&amp;T$1,JupData!$A$2:$A$10000&amp;JupData!$J$2:$J$10000,0),11))</f>
        <v/>
      </c>
      <c r="U68" t="str">
        <f t="array" ref="U68">IF($A68="","",INDEX(JupData!$A$2:$K$10000,MATCH($A68&amp;U$1,JupData!$A$2:$A$10000&amp;JupData!$J$2:$J$10000,0),11))</f>
        <v/>
      </c>
      <c r="V68" t="str">
        <f t="array" ref="V68">IF($A68="","",INDEX(JupData!$A$2:$K$10000,MATCH($A68&amp;V$1,JupData!$A$2:$A$10000&amp;JupData!$J$2:$J$10000,0),11))</f>
        <v/>
      </c>
      <c r="W68" t="str">
        <f t="array" ref="W68">IF($A68="","",INDEX(JupData!$A$2:$K$10000,MATCH($A68&amp;W$1,JupData!$A$2:$A$10000&amp;JupData!$J$2:$J$10000,0),11))</f>
        <v/>
      </c>
      <c r="X68" t="str">
        <f t="array" ref="X68">IF($A68="","",INDEX(JupData!$A$2:$K$10000,MATCH($A68&amp;X$1,JupData!$A$2:$A$10000&amp;JupData!$J$2:$J$10000,0),11))</f>
        <v/>
      </c>
      <c r="Y68" t="str">
        <f t="array" ref="Y68">IF($A68="","",INDEX(JupData!$A$2:$K$10000,MATCH($A68&amp;Y$1,JupData!$A$2:$A$10000&amp;JupData!$J$2:$J$10000,0),11))</f>
        <v/>
      </c>
      <c r="Z68" t="str">
        <f t="array" ref="Z68">IF($A68="","",INDEX(JupData!$A$2:$K$10000,MATCH($A68&amp;Z$1,JupData!$A$2:$A$10000&amp;JupData!$J$2:$J$10000,0),11))</f>
        <v/>
      </c>
      <c r="AA68" t="str">
        <f t="array" ref="AA68">IF($A68="","",INDEX(JupData!$A$2:$K$10000,MATCH($A68&amp;AA$1,JupData!$A$2:$A$10000&amp;JupData!$J$2:$J$10000,0),11))</f>
        <v/>
      </c>
      <c r="AB68" t="str">
        <f t="array" ref="AB68">IF($A68="","",INDEX(JupData!$A$2:$K$10000,MATCH($A68&amp;AB$1,JupData!$A$2:$A$10000&amp;JupData!$J$2:$J$10000,0),11))</f>
        <v/>
      </c>
      <c r="AC68" s="10" t="str">
        <f t="shared" si="11"/>
        <v/>
      </c>
      <c r="AD68" s="10" t="str">
        <f t="shared" si="12"/>
        <v/>
      </c>
      <c r="AE68" s="9" t="str">
        <f t="shared" si="13"/>
        <v/>
      </c>
      <c r="AF68" s="10" t="str">
        <f t="shared" si="14"/>
        <v/>
      </c>
      <c r="AG68" s="10" t="str">
        <f t="shared" si="15"/>
        <v/>
      </c>
      <c r="AH68" s="10" t="str">
        <f t="shared" si="16"/>
        <v/>
      </c>
      <c r="AI68" s="10" t="str">
        <f t="shared" si="17"/>
        <v/>
      </c>
      <c r="AJ68" s="10" t="str">
        <f t="shared" si="18"/>
        <v/>
      </c>
      <c r="AK68" s="10" t="str">
        <f t="shared" si="19"/>
        <v/>
      </c>
      <c r="AL68" s="14" t="str">
        <f t="shared" si="20"/>
        <v/>
      </c>
    </row>
    <row r="69" spans="1:38" x14ac:dyDescent="0.2">
      <c r="A69"/>
      <c r="B69" t="str">
        <f>IF($A69="","",VLOOKUP($A69,JupData!$A$2:$I$10000,4,FALSE))</f>
        <v/>
      </c>
      <c r="C69" s="7" t="str">
        <f>IF($A69="",IF(N(D69),0,""),VLOOKUP($A69,JupData!$A$2:$I$10000,7,FALSE))</f>
        <v/>
      </c>
      <c r="D69" t="str">
        <f t="shared" si="21"/>
        <v/>
      </c>
      <c r="E69" t="str">
        <f t="array" ref="E69">IF($A69="","",INDEX(JupData!$A$2:$K$10000,MATCH($A69&amp;E$1,JupData!$A$2:$A$10000&amp;JupData!$J$2:$J$10000,0),11))</f>
        <v/>
      </c>
      <c r="F69" t="str">
        <f t="array" ref="F69">IF($A69="","",INDEX(JupData!$A$2:$K$10000,MATCH($A69&amp;F$1,JupData!$A$2:$A$10000&amp;JupData!$J$2:$J$10000,0),11))</f>
        <v/>
      </c>
      <c r="G69" t="str">
        <f t="array" ref="G69">IF($A69="","",INDEX(JupData!$A$2:$K$10000,MATCH($A69&amp;G$1,JupData!$A$2:$A$10000&amp;JupData!$J$2:$J$10000,0),11))</f>
        <v/>
      </c>
      <c r="H69" t="str">
        <f t="array" ref="H69">IF($A69="","",INDEX(JupData!$A$2:$K$10000,MATCH($A69&amp;H$1,JupData!$A$2:$A$10000&amp;JupData!$J$2:$J$10000,0),11))</f>
        <v/>
      </c>
      <c r="I69" t="str">
        <f t="array" ref="I69">IF($A69="","",INDEX(JupData!$A$2:$K$10000,MATCH($A69&amp;I$1,JupData!$A$2:$A$10000&amp;JupData!$J$2:$J$10000,0),11))</f>
        <v/>
      </c>
      <c r="J69" t="str">
        <f t="array" ref="J69">IF($A69="","",INDEX(JupData!$A$2:$K$10000,MATCH($A69&amp;J$1,JupData!$A$2:$A$10000&amp;JupData!$J$2:$J$10000,0),11))</f>
        <v/>
      </c>
      <c r="K69" t="str">
        <f t="array" ref="K69">IF($A69="","",INDEX(JupData!$A$2:$K$10000,MATCH($A69&amp;K$1,JupData!$A$2:$A$10000&amp;JupData!$J$2:$J$10000,0),11))</f>
        <v/>
      </c>
      <c r="L69" t="str">
        <f t="array" ref="L69">IF($A69="","",INDEX(JupData!$A$2:$K$10000,MATCH($A69&amp;L$1,JupData!$A$2:$A$10000&amp;JupData!$J$2:$J$10000,0),11))</f>
        <v/>
      </c>
      <c r="M69" t="str">
        <f t="array" ref="M69">IF($A69="","",INDEX(JupData!$A$2:$K$10000,MATCH($A69&amp;M$1,JupData!$A$2:$A$10000&amp;JupData!$J$2:$J$10000,0),11))</f>
        <v/>
      </c>
      <c r="N69" t="str">
        <f t="array" ref="N69">IF($A69="","",INDEX(JupData!$A$2:$K$10000,MATCH($A69&amp;N$1,JupData!$A$2:$A$10000&amp;JupData!$J$2:$J$10000,0),11))</f>
        <v/>
      </c>
      <c r="O69" t="str">
        <f t="array" ref="O69">IF($A69="","",INDEX(JupData!$A$2:$K$10000,MATCH($A69&amp;O$1,JupData!$A$2:$A$10000&amp;JupData!$J$2:$J$10000,0),11))</f>
        <v/>
      </c>
      <c r="P69" t="str">
        <f t="array" ref="P69">IF($A69="","",INDEX(JupData!$A$2:$K$10000,MATCH($A69&amp;P$1,JupData!$A$2:$A$10000&amp;JupData!$J$2:$J$10000,0),11))</f>
        <v/>
      </c>
      <c r="Q69" t="str">
        <f t="array" ref="Q69">IF($A69="","",INDEX(JupData!$A$2:$K$10000,MATCH($A69&amp;Q$1,JupData!$A$2:$A$10000&amp;JupData!$J$2:$J$10000,0),11))</f>
        <v/>
      </c>
      <c r="R69" t="str">
        <f t="array" ref="R69">IF($A69="","",INDEX(JupData!$A$2:$K$10000,MATCH($A69&amp;R$1,JupData!$A$2:$A$10000&amp;JupData!$J$2:$J$10000,0),11))</f>
        <v/>
      </c>
      <c r="S69" t="str">
        <f t="array" ref="S69">IF($A69="","",INDEX(JupData!$A$2:$K$10000,MATCH($A69&amp;S$1,JupData!$A$2:$A$10000&amp;JupData!$J$2:$J$10000,0),11))</f>
        <v/>
      </c>
      <c r="T69" t="str">
        <f t="array" ref="T69">IF($A69="","",INDEX(JupData!$A$2:$K$10000,MATCH($A69&amp;T$1,JupData!$A$2:$A$10000&amp;JupData!$J$2:$J$10000,0),11))</f>
        <v/>
      </c>
      <c r="U69" t="str">
        <f t="array" ref="U69">IF($A69="","",INDEX(JupData!$A$2:$K$10000,MATCH($A69&amp;U$1,JupData!$A$2:$A$10000&amp;JupData!$J$2:$J$10000,0),11))</f>
        <v/>
      </c>
      <c r="V69" t="str">
        <f t="array" ref="V69">IF($A69="","",INDEX(JupData!$A$2:$K$10000,MATCH($A69&amp;V$1,JupData!$A$2:$A$10000&amp;JupData!$J$2:$J$10000,0),11))</f>
        <v/>
      </c>
      <c r="W69" t="str">
        <f t="array" ref="W69">IF($A69="","",INDEX(JupData!$A$2:$K$10000,MATCH($A69&amp;W$1,JupData!$A$2:$A$10000&amp;JupData!$J$2:$J$10000,0),11))</f>
        <v/>
      </c>
      <c r="X69" t="str">
        <f t="array" ref="X69">IF($A69="","",INDEX(JupData!$A$2:$K$10000,MATCH($A69&amp;X$1,JupData!$A$2:$A$10000&amp;JupData!$J$2:$J$10000,0),11))</f>
        <v/>
      </c>
      <c r="Y69" t="str">
        <f t="array" ref="Y69">IF($A69="","",INDEX(JupData!$A$2:$K$10000,MATCH($A69&amp;Y$1,JupData!$A$2:$A$10000&amp;JupData!$J$2:$J$10000,0),11))</f>
        <v/>
      </c>
      <c r="Z69" t="str">
        <f t="array" ref="Z69">IF($A69="","",INDEX(JupData!$A$2:$K$10000,MATCH($A69&amp;Z$1,JupData!$A$2:$A$10000&amp;JupData!$J$2:$J$10000,0),11))</f>
        <v/>
      </c>
      <c r="AA69" t="str">
        <f t="array" ref="AA69">IF($A69="","",INDEX(JupData!$A$2:$K$10000,MATCH($A69&amp;AA$1,JupData!$A$2:$A$10000&amp;JupData!$J$2:$J$10000,0),11))</f>
        <v/>
      </c>
      <c r="AB69" t="str">
        <f t="array" ref="AB69">IF($A69="","",INDEX(JupData!$A$2:$K$10000,MATCH($A69&amp;AB$1,JupData!$A$2:$A$10000&amp;JupData!$J$2:$J$10000,0),11))</f>
        <v/>
      </c>
      <c r="AC69" s="10" t="str">
        <f t="shared" si="11"/>
        <v/>
      </c>
      <c r="AD69" s="10" t="str">
        <f t="shared" si="12"/>
        <v/>
      </c>
      <c r="AE69" s="9" t="str">
        <f t="shared" si="13"/>
        <v/>
      </c>
      <c r="AF69" s="10" t="str">
        <f t="shared" si="14"/>
        <v/>
      </c>
      <c r="AG69" s="10" t="str">
        <f t="shared" si="15"/>
        <v/>
      </c>
      <c r="AH69" s="10" t="str">
        <f t="shared" si="16"/>
        <v/>
      </c>
      <c r="AI69" s="10" t="str">
        <f t="shared" si="17"/>
        <v/>
      </c>
      <c r="AJ69" s="10" t="str">
        <f t="shared" si="18"/>
        <v/>
      </c>
      <c r="AK69" s="10" t="str">
        <f t="shared" si="19"/>
        <v/>
      </c>
      <c r="AL69" s="14" t="str">
        <f t="shared" si="20"/>
        <v/>
      </c>
    </row>
    <row r="70" spans="1:38" x14ac:dyDescent="0.2">
      <c r="A70"/>
      <c r="B70" t="str">
        <f>IF($A70="","",VLOOKUP($A70,JupData!$A$2:$I$10000,4,FALSE))</f>
        <v/>
      </c>
      <c r="C70" s="7" t="str">
        <f>IF($A70="",IF(N(D70),0,""),VLOOKUP($A70,JupData!$A$2:$I$10000,7,FALSE))</f>
        <v/>
      </c>
      <c r="D70" t="str">
        <f t="shared" si="21"/>
        <v/>
      </c>
      <c r="E70" t="str">
        <f t="array" ref="E70">IF($A70="","",INDEX(JupData!$A$2:$K$10000,MATCH($A70&amp;E$1,JupData!$A$2:$A$10000&amp;JupData!$J$2:$J$10000,0),11))</f>
        <v/>
      </c>
      <c r="F70" t="str">
        <f t="array" ref="F70">IF($A70="","",INDEX(JupData!$A$2:$K$10000,MATCH($A70&amp;F$1,JupData!$A$2:$A$10000&amp;JupData!$J$2:$J$10000,0),11))</f>
        <v/>
      </c>
      <c r="G70" t="str">
        <f t="array" ref="G70">IF($A70="","",INDEX(JupData!$A$2:$K$10000,MATCH($A70&amp;G$1,JupData!$A$2:$A$10000&amp;JupData!$J$2:$J$10000,0),11))</f>
        <v/>
      </c>
      <c r="H70" t="str">
        <f t="array" ref="H70">IF($A70="","",INDEX(JupData!$A$2:$K$10000,MATCH($A70&amp;H$1,JupData!$A$2:$A$10000&amp;JupData!$J$2:$J$10000,0),11))</f>
        <v/>
      </c>
      <c r="I70" t="str">
        <f t="array" ref="I70">IF($A70="","",INDEX(JupData!$A$2:$K$10000,MATCH($A70&amp;I$1,JupData!$A$2:$A$10000&amp;JupData!$J$2:$J$10000,0),11))</f>
        <v/>
      </c>
      <c r="J70" t="str">
        <f t="array" ref="J70">IF($A70="","",INDEX(JupData!$A$2:$K$10000,MATCH($A70&amp;J$1,JupData!$A$2:$A$10000&amp;JupData!$J$2:$J$10000,0),11))</f>
        <v/>
      </c>
      <c r="K70" t="str">
        <f t="array" ref="K70">IF($A70="","",INDEX(JupData!$A$2:$K$10000,MATCH($A70&amp;K$1,JupData!$A$2:$A$10000&amp;JupData!$J$2:$J$10000,0),11))</f>
        <v/>
      </c>
      <c r="L70" t="str">
        <f t="array" ref="L70">IF($A70="","",INDEX(JupData!$A$2:$K$10000,MATCH($A70&amp;L$1,JupData!$A$2:$A$10000&amp;JupData!$J$2:$J$10000,0),11))</f>
        <v/>
      </c>
      <c r="M70" t="str">
        <f t="array" ref="M70">IF($A70="","",INDEX(JupData!$A$2:$K$10000,MATCH($A70&amp;M$1,JupData!$A$2:$A$10000&amp;JupData!$J$2:$J$10000,0),11))</f>
        <v/>
      </c>
      <c r="N70" t="str">
        <f t="array" ref="N70">IF($A70="","",INDEX(JupData!$A$2:$K$10000,MATCH($A70&amp;N$1,JupData!$A$2:$A$10000&amp;JupData!$J$2:$J$10000,0),11))</f>
        <v/>
      </c>
      <c r="O70" t="str">
        <f t="array" ref="O70">IF($A70="","",INDEX(JupData!$A$2:$K$10000,MATCH($A70&amp;O$1,JupData!$A$2:$A$10000&amp;JupData!$J$2:$J$10000,0),11))</f>
        <v/>
      </c>
      <c r="P70" t="str">
        <f t="array" ref="P70">IF($A70="","",INDEX(JupData!$A$2:$K$10000,MATCH($A70&amp;P$1,JupData!$A$2:$A$10000&amp;JupData!$J$2:$J$10000,0),11))</f>
        <v/>
      </c>
      <c r="Q70" t="str">
        <f t="array" ref="Q70">IF($A70="","",INDEX(JupData!$A$2:$K$10000,MATCH($A70&amp;Q$1,JupData!$A$2:$A$10000&amp;JupData!$J$2:$J$10000,0),11))</f>
        <v/>
      </c>
      <c r="R70" t="str">
        <f t="array" ref="R70">IF($A70="","",INDEX(JupData!$A$2:$K$10000,MATCH($A70&amp;R$1,JupData!$A$2:$A$10000&amp;JupData!$J$2:$J$10000,0),11))</f>
        <v/>
      </c>
      <c r="S70" t="str">
        <f t="array" ref="S70">IF($A70="","",INDEX(JupData!$A$2:$K$10000,MATCH($A70&amp;S$1,JupData!$A$2:$A$10000&amp;JupData!$J$2:$J$10000,0),11))</f>
        <v/>
      </c>
      <c r="T70" t="str">
        <f t="array" ref="T70">IF($A70="","",INDEX(JupData!$A$2:$K$10000,MATCH($A70&amp;T$1,JupData!$A$2:$A$10000&amp;JupData!$J$2:$J$10000,0),11))</f>
        <v/>
      </c>
      <c r="U70" t="str">
        <f t="array" ref="U70">IF($A70="","",INDEX(JupData!$A$2:$K$10000,MATCH($A70&amp;U$1,JupData!$A$2:$A$10000&amp;JupData!$J$2:$J$10000,0),11))</f>
        <v/>
      </c>
      <c r="V70" t="str">
        <f t="array" ref="V70">IF($A70="","",INDEX(JupData!$A$2:$K$10000,MATCH($A70&amp;V$1,JupData!$A$2:$A$10000&amp;JupData!$J$2:$J$10000,0),11))</f>
        <v/>
      </c>
      <c r="W70" t="str">
        <f t="array" ref="W70">IF($A70="","",INDEX(JupData!$A$2:$K$10000,MATCH($A70&amp;W$1,JupData!$A$2:$A$10000&amp;JupData!$J$2:$J$10000,0),11))</f>
        <v/>
      </c>
      <c r="X70" t="str">
        <f t="array" ref="X70">IF($A70="","",INDEX(JupData!$A$2:$K$10000,MATCH($A70&amp;X$1,JupData!$A$2:$A$10000&amp;JupData!$J$2:$J$10000,0),11))</f>
        <v/>
      </c>
      <c r="Y70" t="str">
        <f t="array" ref="Y70">IF($A70="","",INDEX(JupData!$A$2:$K$10000,MATCH($A70&amp;Y$1,JupData!$A$2:$A$10000&amp;JupData!$J$2:$J$10000,0),11))</f>
        <v/>
      </c>
      <c r="Z70" t="str">
        <f t="array" ref="Z70">IF($A70="","",INDEX(JupData!$A$2:$K$10000,MATCH($A70&amp;Z$1,JupData!$A$2:$A$10000&amp;JupData!$J$2:$J$10000,0),11))</f>
        <v/>
      </c>
      <c r="AA70" t="str">
        <f t="array" ref="AA70">IF($A70="","",INDEX(JupData!$A$2:$K$10000,MATCH($A70&amp;AA$1,JupData!$A$2:$A$10000&amp;JupData!$J$2:$J$10000,0),11))</f>
        <v/>
      </c>
      <c r="AB70" t="str">
        <f t="array" ref="AB70">IF($A70="","",INDEX(JupData!$A$2:$K$10000,MATCH($A70&amp;AB$1,JupData!$A$2:$A$10000&amp;JupData!$J$2:$J$10000,0),11))</f>
        <v/>
      </c>
      <c r="AC70" s="10" t="str">
        <f t="shared" si="11"/>
        <v/>
      </c>
      <c r="AD70" s="10" t="str">
        <f t="shared" si="12"/>
        <v/>
      </c>
      <c r="AE70" s="9" t="str">
        <f t="shared" si="13"/>
        <v/>
      </c>
      <c r="AF70" s="10" t="str">
        <f t="shared" si="14"/>
        <v/>
      </c>
      <c r="AG70" s="10" t="str">
        <f t="shared" si="15"/>
        <v/>
      </c>
      <c r="AH70" s="10" t="str">
        <f t="shared" si="16"/>
        <v/>
      </c>
      <c r="AI70" s="10" t="str">
        <f t="shared" si="17"/>
        <v/>
      </c>
      <c r="AJ70" s="10" t="str">
        <f t="shared" si="18"/>
        <v/>
      </c>
      <c r="AK70" s="10" t="str">
        <f t="shared" si="19"/>
        <v/>
      </c>
      <c r="AL70" s="14" t="str">
        <f t="shared" si="20"/>
        <v/>
      </c>
    </row>
    <row r="71" spans="1:38" x14ac:dyDescent="0.2">
      <c r="A71"/>
      <c r="B71" t="str">
        <f>IF($A71="","",VLOOKUP($A71,JupData!$A$2:$I$10000,4,FALSE))</f>
        <v/>
      </c>
      <c r="C71" s="7" t="str">
        <f>IF($A71="",IF(N(D71),0,""),VLOOKUP($A71,JupData!$A$2:$I$10000,7,FALSE))</f>
        <v/>
      </c>
      <c r="D71" t="str">
        <f t="shared" si="21"/>
        <v/>
      </c>
      <c r="E71" t="str">
        <f t="array" ref="E71">IF($A71="","",INDEX(JupData!$A$2:$K$10000,MATCH($A71&amp;E$1,JupData!$A$2:$A$10000&amp;JupData!$J$2:$J$10000,0),11))</f>
        <v/>
      </c>
      <c r="F71" t="str">
        <f t="array" ref="F71">IF($A71="","",INDEX(JupData!$A$2:$K$10000,MATCH($A71&amp;F$1,JupData!$A$2:$A$10000&amp;JupData!$J$2:$J$10000,0),11))</f>
        <v/>
      </c>
      <c r="G71" t="str">
        <f t="array" ref="G71">IF($A71="","",INDEX(JupData!$A$2:$K$10000,MATCH($A71&amp;G$1,JupData!$A$2:$A$10000&amp;JupData!$J$2:$J$10000,0),11))</f>
        <v/>
      </c>
      <c r="H71" t="str">
        <f t="array" ref="H71">IF($A71="","",INDEX(JupData!$A$2:$K$10000,MATCH($A71&amp;H$1,JupData!$A$2:$A$10000&amp;JupData!$J$2:$J$10000,0),11))</f>
        <v/>
      </c>
      <c r="I71" t="str">
        <f t="array" ref="I71">IF($A71="","",INDEX(JupData!$A$2:$K$10000,MATCH($A71&amp;I$1,JupData!$A$2:$A$10000&amp;JupData!$J$2:$J$10000,0),11))</f>
        <v/>
      </c>
      <c r="J71" t="str">
        <f t="array" ref="J71">IF($A71="","",INDEX(JupData!$A$2:$K$10000,MATCH($A71&amp;J$1,JupData!$A$2:$A$10000&amp;JupData!$J$2:$J$10000,0),11))</f>
        <v/>
      </c>
      <c r="K71" t="str">
        <f t="array" ref="K71">IF($A71="","",INDEX(JupData!$A$2:$K$10000,MATCH($A71&amp;K$1,JupData!$A$2:$A$10000&amp;JupData!$J$2:$J$10000,0),11))</f>
        <v/>
      </c>
      <c r="L71" t="str">
        <f t="array" ref="L71">IF($A71="","",INDEX(JupData!$A$2:$K$10000,MATCH($A71&amp;L$1,JupData!$A$2:$A$10000&amp;JupData!$J$2:$J$10000,0),11))</f>
        <v/>
      </c>
      <c r="M71" t="str">
        <f t="array" ref="M71">IF($A71="","",INDEX(JupData!$A$2:$K$10000,MATCH($A71&amp;M$1,JupData!$A$2:$A$10000&amp;JupData!$J$2:$J$10000,0),11))</f>
        <v/>
      </c>
      <c r="N71" t="str">
        <f t="array" ref="N71">IF($A71="","",INDEX(JupData!$A$2:$K$10000,MATCH($A71&amp;N$1,JupData!$A$2:$A$10000&amp;JupData!$J$2:$J$10000,0),11))</f>
        <v/>
      </c>
      <c r="O71" t="str">
        <f t="array" ref="O71">IF($A71="","",INDEX(JupData!$A$2:$K$10000,MATCH($A71&amp;O$1,JupData!$A$2:$A$10000&amp;JupData!$J$2:$J$10000,0),11))</f>
        <v/>
      </c>
      <c r="P71" t="str">
        <f t="array" ref="P71">IF($A71="","",INDEX(JupData!$A$2:$K$10000,MATCH($A71&amp;P$1,JupData!$A$2:$A$10000&amp;JupData!$J$2:$J$10000,0),11))</f>
        <v/>
      </c>
      <c r="Q71" t="str">
        <f t="array" ref="Q71">IF($A71="","",INDEX(JupData!$A$2:$K$10000,MATCH($A71&amp;Q$1,JupData!$A$2:$A$10000&amp;JupData!$J$2:$J$10000,0),11))</f>
        <v/>
      </c>
      <c r="R71" t="str">
        <f t="array" ref="R71">IF($A71="","",INDEX(JupData!$A$2:$K$10000,MATCH($A71&amp;R$1,JupData!$A$2:$A$10000&amp;JupData!$J$2:$J$10000,0),11))</f>
        <v/>
      </c>
      <c r="S71" t="str">
        <f t="array" ref="S71">IF($A71="","",INDEX(JupData!$A$2:$K$10000,MATCH($A71&amp;S$1,JupData!$A$2:$A$10000&amp;JupData!$J$2:$J$10000,0),11))</f>
        <v/>
      </c>
      <c r="T71" t="str">
        <f t="array" ref="T71">IF($A71="","",INDEX(JupData!$A$2:$K$10000,MATCH($A71&amp;T$1,JupData!$A$2:$A$10000&amp;JupData!$J$2:$J$10000,0),11))</f>
        <v/>
      </c>
      <c r="U71" t="str">
        <f t="array" ref="U71">IF($A71="","",INDEX(JupData!$A$2:$K$10000,MATCH($A71&amp;U$1,JupData!$A$2:$A$10000&amp;JupData!$J$2:$J$10000,0),11))</f>
        <v/>
      </c>
      <c r="V71" t="str">
        <f t="array" ref="V71">IF($A71="","",INDEX(JupData!$A$2:$K$10000,MATCH($A71&amp;V$1,JupData!$A$2:$A$10000&amp;JupData!$J$2:$J$10000,0),11))</f>
        <v/>
      </c>
      <c r="W71" t="str">
        <f t="array" ref="W71">IF($A71="","",INDEX(JupData!$A$2:$K$10000,MATCH($A71&amp;W$1,JupData!$A$2:$A$10000&amp;JupData!$J$2:$J$10000,0),11))</f>
        <v/>
      </c>
      <c r="X71" t="str">
        <f t="array" ref="X71">IF($A71="","",INDEX(JupData!$A$2:$K$10000,MATCH($A71&amp;X$1,JupData!$A$2:$A$10000&amp;JupData!$J$2:$J$10000,0),11))</f>
        <v/>
      </c>
      <c r="Y71" t="str">
        <f t="array" ref="Y71">IF($A71="","",INDEX(JupData!$A$2:$K$10000,MATCH($A71&amp;Y$1,JupData!$A$2:$A$10000&amp;JupData!$J$2:$J$10000,0),11))</f>
        <v/>
      </c>
      <c r="Z71" t="str">
        <f t="array" ref="Z71">IF($A71="","",INDEX(JupData!$A$2:$K$10000,MATCH($A71&amp;Z$1,JupData!$A$2:$A$10000&amp;JupData!$J$2:$J$10000,0),11))</f>
        <v/>
      </c>
      <c r="AA71" t="str">
        <f t="array" ref="AA71">IF($A71="","",INDEX(JupData!$A$2:$K$10000,MATCH($A71&amp;AA$1,JupData!$A$2:$A$10000&amp;JupData!$J$2:$J$10000,0),11))</f>
        <v/>
      </c>
      <c r="AB71" t="str">
        <f t="array" ref="AB71">IF($A71="","",INDEX(JupData!$A$2:$K$10000,MATCH($A71&amp;AB$1,JupData!$A$2:$A$10000&amp;JupData!$J$2:$J$10000,0),11))</f>
        <v/>
      </c>
      <c r="AC71" s="10" t="str">
        <f t="shared" si="11"/>
        <v/>
      </c>
      <c r="AD71" s="10" t="str">
        <f t="shared" si="12"/>
        <v/>
      </c>
      <c r="AE71" s="9" t="str">
        <f t="shared" si="13"/>
        <v/>
      </c>
      <c r="AF71" s="10" t="str">
        <f t="shared" si="14"/>
        <v/>
      </c>
      <c r="AG71" s="10" t="str">
        <f t="shared" si="15"/>
        <v/>
      </c>
      <c r="AH71" s="10" t="str">
        <f t="shared" si="16"/>
        <v/>
      </c>
      <c r="AI71" s="10" t="str">
        <f t="shared" si="17"/>
        <v/>
      </c>
      <c r="AJ71" s="10" t="str">
        <f t="shared" si="18"/>
        <v/>
      </c>
      <c r="AK71" s="10" t="str">
        <f t="shared" si="19"/>
        <v/>
      </c>
      <c r="AL71" s="14" t="str">
        <f t="shared" si="20"/>
        <v/>
      </c>
    </row>
    <row r="72" spans="1:38" x14ac:dyDescent="0.2">
      <c r="A72"/>
      <c r="B72" t="str">
        <f>IF($A72="","",VLOOKUP($A72,JupData!$A$2:$I$10000,4,FALSE))</f>
        <v/>
      </c>
      <c r="C72" s="7" t="str">
        <f>IF($A72="",IF(N(D72),0,""),VLOOKUP($A72,JupData!$A$2:$I$10000,7,FALSE))</f>
        <v/>
      </c>
      <c r="D72" t="str">
        <f t="shared" si="21"/>
        <v/>
      </c>
      <c r="E72" t="str">
        <f t="array" ref="E72">IF($A72="","",INDEX(JupData!$A$2:$K$10000,MATCH($A72&amp;E$1,JupData!$A$2:$A$10000&amp;JupData!$J$2:$J$10000,0),11))</f>
        <v/>
      </c>
      <c r="F72" t="str">
        <f t="array" ref="F72">IF($A72="","",INDEX(JupData!$A$2:$K$10000,MATCH($A72&amp;F$1,JupData!$A$2:$A$10000&amp;JupData!$J$2:$J$10000,0),11))</f>
        <v/>
      </c>
      <c r="G72" t="str">
        <f t="array" ref="G72">IF($A72="","",INDEX(JupData!$A$2:$K$10000,MATCH($A72&amp;G$1,JupData!$A$2:$A$10000&amp;JupData!$J$2:$J$10000,0),11))</f>
        <v/>
      </c>
      <c r="H72" t="str">
        <f t="array" ref="H72">IF($A72="","",INDEX(JupData!$A$2:$K$10000,MATCH($A72&amp;H$1,JupData!$A$2:$A$10000&amp;JupData!$J$2:$J$10000,0),11))</f>
        <v/>
      </c>
      <c r="I72" t="str">
        <f t="array" ref="I72">IF($A72="","",INDEX(JupData!$A$2:$K$10000,MATCH($A72&amp;I$1,JupData!$A$2:$A$10000&amp;JupData!$J$2:$J$10000,0),11))</f>
        <v/>
      </c>
      <c r="J72" t="str">
        <f t="array" ref="J72">IF($A72="","",INDEX(JupData!$A$2:$K$10000,MATCH($A72&amp;J$1,JupData!$A$2:$A$10000&amp;JupData!$J$2:$J$10000,0),11))</f>
        <v/>
      </c>
      <c r="K72" t="str">
        <f t="array" ref="K72">IF($A72="","",INDEX(JupData!$A$2:$K$10000,MATCH($A72&amp;K$1,JupData!$A$2:$A$10000&amp;JupData!$J$2:$J$10000,0),11))</f>
        <v/>
      </c>
      <c r="L72" t="str">
        <f t="array" ref="L72">IF($A72="","",INDEX(JupData!$A$2:$K$10000,MATCH($A72&amp;L$1,JupData!$A$2:$A$10000&amp;JupData!$J$2:$J$10000,0),11))</f>
        <v/>
      </c>
      <c r="M72" t="str">
        <f t="array" ref="M72">IF($A72="","",INDEX(JupData!$A$2:$K$10000,MATCH($A72&amp;M$1,JupData!$A$2:$A$10000&amp;JupData!$J$2:$J$10000,0),11))</f>
        <v/>
      </c>
      <c r="N72" t="str">
        <f t="array" ref="N72">IF($A72="","",INDEX(JupData!$A$2:$K$10000,MATCH($A72&amp;N$1,JupData!$A$2:$A$10000&amp;JupData!$J$2:$J$10000,0),11))</f>
        <v/>
      </c>
      <c r="O72" t="str">
        <f t="array" ref="O72">IF($A72="","",INDEX(JupData!$A$2:$K$10000,MATCH($A72&amp;O$1,JupData!$A$2:$A$10000&amp;JupData!$J$2:$J$10000,0),11))</f>
        <v/>
      </c>
      <c r="P72" t="str">
        <f t="array" ref="P72">IF($A72="","",INDEX(JupData!$A$2:$K$10000,MATCH($A72&amp;P$1,JupData!$A$2:$A$10000&amp;JupData!$J$2:$J$10000,0),11))</f>
        <v/>
      </c>
      <c r="Q72" t="str">
        <f t="array" ref="Q72">IF($A72="","",INDEX(JupData!$A$2:$K$10000,MATCH($A72&amp;Q$1,JupData!$A$2:$A$10000&amp;JupData!$J$2:$J$10000,0),11))</f>
        <v/>
      </c>
      <c r="R72" t="str">
        <f t="array" ref="R72">IF($A72="","",INDEX(JupData!$A$2:$K$10000,MATCH($A72&amp;R$1,JupData!$A$2:$A$10000&amp;JupData!$J$2:$J$10000,0),11))</f>
        <v/>
      </c>
      <c r="S72" t="str">
        <f t="array" ref="S72">IF($A72="","",INDEX(JupData!$A$2:$K$10000,MATCH($A72&amp;S$1,JupData!$A$2:$A$10000&amp;JupData!$J$2:$J$10000,0),11))</f>
        <v/>
      </c>
      <c r="T72" t="str">
        <f t="array" ref="T72">IF($A72="","",INDEX(JupData!$A$2:$K$10000,MATCH($A72&amp;T$1,JupData!$A$2:$A$10000&amp;JupData!$J$2:$J$10000,0),11))</f>
        <v/>
      </c>
      <c r="U72" t="str">
        <f t="array" ref="U72">IF($A72="","",INDEX(JupData!$A$2:$K$10000,MATCH($A72&amp;U$1,JupData!$A$2:$A$10000&amp;JupData!$J$2:$J$10000,0),11))</f>
        <v/>
      </c>
      <c r="V72" t="str">
        <f t="array" ref="V72">IF($A72="","",INDEX(JupData!$A$2:$K$10000,MATCH($A72&amp;V$1,JupData!$A$2:$A$10000&amp;JupData!$J$2:$J$10000,0),11))</f>
        <v/>
      </c>
      <c r="W72" t="str">
        <f t="array" ref="W72">IF($A72="","",INDEX(JupData!$A$2:$K$10000,MATCH($A72&amp;W$1,JupData!$A$2:$A$10000&amp;JupData!$J$2:$J$10000,0),11))</f>
        <v/>
      </c>
      <c r="X72" t="str">
        <f t="array" ref="X72">IF($A72="","",INDEX(JupData!$A$2:$K$10000,MATCH($A72&amp;X$1,JupData!$A$2:$A$10000&amp;JupData!$J$2:$J$10000,0),11))</f>
        <v/>
      </c>
      <c r="Y72" t="str">
        <f t="array" ref="Y72">IF($A72="","",INDEX(JupData!$A$2:$K$10000,MATCH($A72&amp;Y$1,JupData!$A$2:$A$10000&amp;JupData!$J$2:$J$10000,0),11))</f>
        <v/>
      </c>
      <c r="Z72" t="str">
        <f t="array" ref="Z72">IF($A72="","",INDEX(JupData!$A$2:$K$10000,MATCH($A72&amp;Z$1,JupData!$A$2:$A$10000&amp;JupData!$J$2:$J$10000,0),11))</f>
        <v/>
      </c>
      <c r="AA72" t="str">
        <f t="array" ref="AA72">IF($A72="","",INDEX(JupData!$A$2:$K$10000,MATCH($A72&amp;AA$1,JupData!$A$2:$A$10000&amp;JupData!$J$2:$J$10000,0),11))</f>
        <v/>
      </c>
      <c r="AB72" t="str">
        <f t="array" ref="AB72">IF($A72="","",INDEX(JupData!$A$2:$K$10000,MATCH($A72&amp;AB$1,JupData!$A$2:$A$10000&amp;JupData!$J$2:$J$10000,0),11))</f>
        <v/>
      </c>
      <c r="AC72" s="10" t="str">
        <f t="shared" si="11"/>
        <v/>
      </c>
      <c r="AD72" s="10" t="str">
        <f t="shared" si="12"/>
        <v/>
      </c>
      <c r="AE72" s="9" t="str">
        <f t="shared" si="13"/>
        <v/>
      </c>
      <c r="AF72" s="10" t="str">
        <f t="shared" si="14"/>
        <v/>
      </c>
      <c r="AG72" s="10" t="str">
        <f t="shared" si="15"/>
        <v/>
      </c>
      <c r="AH72" s="10" t="str">
        <f t="shared" si="16"/>
        <v/>
      </c>
      <c r="AI72" s="10" t="str">
        <f t="shared" si="17"/>
        <v/>
      </c>
      <c r="AJ72" s="10" t="str">
        <f t="shared" si="18"/>
        <v/>
      </c>
      <c r="AK72" s="10" t="str">
        <f t="shared" si="19"/>
        <v/>
      </c>
      <c r="AL72" s="14" t="str">
        <f t="shared" si="20"/>
        <v/>
      </c>
    </row>
    <row r="73" spans="1:38" x14ac:dyDescent="0.2">
      <c r="A73"/>
      <c r="B73" t="str">
        <f>IF($A73="","",VLOOKUP($A73,JupData!$A$2:$I$10000,4,FALSE))</f>
        <v/>
      </c>
      <c r="C73" s="7" t="str">
        <f>IF($A73="",IF(N(D73),0,""),VLOOKUP($A73,JupData!$A$2:$I$10000,7,FALSE))</f>
        <v/>
      </c>
      <c r="D73" t="str">
        <f t="shared" si="21"/>
        <v/>
      </c>
      <c r="E73" t="str">
        <f t="array" ref="E73">IF($A73="","",INDEX(JupData!$A$2:$K$10000,MATCH($A73&amp;E$1,JupData!$A$2:$A$10000&amp;JupData!$J$2:$J$10000,0),11))</f>
        <v/>
      </c>
      <c r="F73" t="str">
        <f t="array" ref="F73">IF($A73="","",INDEX(JupData!$A$2:$K$10000,MATCH($A73&amp;F$1,JupData!$A$2:$A$10000&amp;JupData!$J$2:$J$10000,0),11))</f>
        <v/>
      </c>
      <c r="G73" t="str">
        <f t="array" ref="G73">IF($A73="","",INDEX(JupData!$A$2:$K$10000,MATCH($A73&amp;G$1,JupData!$A$2:$A$10000&amp;JupData!$J$2:$J$10000,0),11))</f>
        <v/>
      </c>
      <c r="H73" t="str">
        <f t="array" ref="H73">IF($A73="","",INDEX(JupData!$A$2:$K$10000,MATCH($A73&amp;H$1,JupData!$A$2:$A$10000&amp;JupData!$J$2:$J$10000,0),11))</f>
        <v/>
      </c>
      <c r="I73" t="str">
        <f t="array" ref="I73">IF($A73="","",INDEX(JupData!$A$2:$K$10000,MATCH($A73&amp;I$1,JupData!$A$2:$A$10000&amp;JupData!$J$2:$J$10000,0),11))</f>
        <v/>
      </c>
      <c r="J73" t="str">
        <f t="array" ref="J73">IF($A73="","",INDEX(JupData!$A$2:$K$10000,MATCH($A73&amp;J$1,JupData!$A$2:$A$10000&amp;JupData!$J$2:$J$10000,0),11))</f>
        <v/>
      </c>
      <c r="K73" t="str">
        <f t="array" ref="K73">IF($A73="","",INDEX(JupData!$A$2:$K$10000,MATCH($A73&amp;K$1,JupData!$A$2:$A$10000&amp;JupData!$J$2:$J$10000,0),11))</f>
        <v/>
      </c>
      <c r="L73" t="str">
        <f t="array" ref="L73">IF($A73="","",INDEX(JupData!$A$2:$K$10000,MATCH($A73&amp;L$1,JupData!$A$2:$A$10000&amp;JupData!$J$2:$J$10000,0),11))</f>
        <v/>
      </c>
      <c r="M73" t="str">
        <f t="array" ref="M73">IF($A73="","",INDEX(JupData!$A$2:$K$10000,MATCH($A73&amp;M$1,JupData!$A$2:$A$10000&amp;JupData!$J$2:$J$10000,0),11))</f>
        <v/>
      </c>
      <c r="N73" t="str">
        <f t="array" ref="N73">IF($A73="","",INDEX(JupData!$A$2:$K$10000,MATCH($A73&amp;N$1,JupData!$A$2:$A$10000&amp;JupData!$J$2:$J$10000,0),11))</f>
        <v/>
      </c>
      <c r="O73" t="str">
        <f t="array" ref="O73">IF($A73="","",INDEX(JupData!$A$2:$K$10000,MATCH($A73&amp;O$1,JupData!$A$2:$A$10000&amp;JupData!$J$2:$J$10000,0),11))</f>
        <v/>
      </c>
      <c r="P73" t="str">
        <f t="array" ref="P73">IF($A73="","",INDEX(JupData!$A$2:$K$10000,MATCH($A73&amp;P$1,JupData!$A$2:$A$10000&amp;JupData!$J$2:$J$10000,0),11))</f>
        <v/>
      </c>
      <c r="Q73" t="str">
        <f t="array" ref="Q73">IF($A73="","",INDEX(JupData!$A$2:$K$10000,MATCH($A73&amp;Q$1,JupData!$A$2:$A$10000&amp;JupData!$J$2:$J$10000,0),11))</f>
        <v/>
      </c>
      <c r="R73" t="str">
        <f t="array" ref="R73">IF($A73="","",INDEX(JupData!$A$2:$K$10000,MATCH($A73&amp;R$1,JupData!$A$2:$A$10000&amp;JupData!$J$2:$J$10000,0),11))</f>
        <v/>
      </c>
      <c r="S73" t="str">
        <f t="array" ref="S73">IF($A73="","",INDEX(JupData!$A$2:$K$10000,MATCH($A73&amp;S$1,JupData!$A$2:$A$10000&amp;JupData!$J$2:$J$10000,0),11))</f>
        <v/>
      </c>
      <c r="T73" t="str">
        <f t="array" ref="T73">IF($A73="","",INDEX(JupData!$A$2:$K$10000,MATCH($A73&amp;T$1,JupData!$A$2:$A$10000&amp;JupData!$J$2:$J$10000,0),11))</f>
        <v/>
      </c>
      <c r="U73" t="str">
        <f t="array" ref="U73">IF($A73="","",INDEX(JupData!$A$2:$K$10000,MATCH($A73&amp;U$1,JupData!$A$2:$A$10000&amp;JupData!$J$2:$J$10000,0),11))</f>
        <v/>
      </c>
      <c r="V73" t="str">
        <f t="array" ref="V73">IF($A73="","",INDEX(JupData!$A$2:$K$10000,MATCH($A73&amp;V$1,JupData!$A$2:$A$10000&amp;JupData!$J$2:$J$10000,0),11))</f>
        <v/>
      </c>
      <c r="W73" t="str">
        <f t="array" ref="W73">IF($A73="","",INDEX(JupData!$A$2:$K$10000,MATCH($A73&amp;W$1,JupData!$A$2:$A$10000&amp;JupData!$J$2:$J$10000,0),11))</f>
        <v/>
      </c>
      <c r="X73" t="str">
        <f t="array" ref="X73">IF($A73="","",INDEX(JupData!$A$2:$K$10000,MATCH($A73&amp;X$1,JupData!$A$2:$A$10000&amp;JupData!$J$2:$J$10000,0),11))</f>
        <v/>
      </c>
      <c r="Y73" t="str">
        <f t="array" ref="Y73">IF($A73="","",INDEX(JupData!$A$2:$K$10000,MATCH($A73&amp;Y$1,JupData!$A$2:$A$10000&amp;JupData!$J$2:$J$10000,0),11))</f>
        <v/>
      </c>
      <c r="Z73" t="str">
        <f t="array" ref="Z73">IF($A73="","",INDEX(JupData!$A$2:$K$10000,MATCH($A73&amp;Z$1,JupData!$A$2:$A$10000&amp;JupData!$J$2:$J$10000,0),11))</f>
        <v/>
      </c>
      <c r="AA73" t="str">
        <f t="array" ref="AA73">IF($A73="","",INDEX(JupData!$A$2:$K$10000,MATCH($A73&amp;AA$1,JupData!$A$2:$A$10000&amp;JupData!$J$2:$J$10000,0),11))</f>
        <v/>
      </c>
      <c r="AB73" t="str">
        <f t="array" ref="AB73">IF($A73="","",INDEX(JupData!$A$2:$K$10000,MATCH($A73&amp;AB$1,JupData!$A$2:$A$10000&amp;JupData!$J$2:$J$10000,0),11))</f>
        <v/>
      </c>
      <c r="AC73" s="10" t="str">
        <f t="shared" si="11"/>
        <v/>
      </c>
      <c r="AD73" s="10" t="str">
        <f t="shared" si="12"/>
        <v/>
      </c>
      <c r="AE73" s="9" t="str">
        <f t="shared" si="13"/>
        <v/>
      </c>
      <c r="AF73" s="10" t="str">
        <f t="shared" si="14"/>
        <v/>
      </c>
      <c r="AG73" s="10" t="str">
        <f t="shared" si="15"/>
        <v/>
      </c>
      <c r="AH73" s="10" t="str">
        <f t="shared" si="16"/>
        <v/>
      </c>
      <c r="AI73" s="10" t="str">
        <f t="shared" si="17"/>
        <v/>
      </c>
      <c r="AJ73" s="10" t="str">
        <f t="shared" si="18"/>
        <v/>
      </c>
      <c r="AK73" s="10" t="str">
        <f t="shared" si="19"/>
        <v/>
      </c>
      <c r="AL73" s="14" t="str">
        <f t="shared" si="20"/>
        <v/>
      </c>
    </row>
    <row r="74" spans="1:38" x14ac:dyDescent="0.2">
      <c r="A74"/>
      <c r="B74" t="str">
        <f>IF($A74="","",VLOOKUP($A74,JupData!$A$2:$I$10000,4,FALSE))</f>
        <v/>
      </c>
      <c r="C74" s="7" t="str">
        <f>IF($A74="",IF(N(D74),0,""),VLOOKUP($A74,JupData!$A$2:$I$10000,7,FALSE))</f>
        <v/>
      </c>
      <c r="D74" t="str">
        <f t="shared" si="21"/>
        <v/>
      </c>
      <c r="E74" t="str">
        <f t="array" ref="E74">IF($A74="","",INDEX(JupData!$A$2:$K$10000,MATCH($A74&amp;E$1,JupData!$A$2:$A$10000&amp;JupData!$J$2:$J$10000,0),11))</f>
        <v/>
      </c>
      <c r="F74" t="str">
        <f t="array" ref="F74">IF($A74="","",INDEX(JupData!$A$2:$K$10000,MATCH($A74&amp;F$1,JupData!$A$2:$A$10000&amp;JupData!$J$2:$J$10000,0),11))</f>
        <v/>
      </c>
      <c r="G74" t="str">
        <f t="array" ref="G74">IF($A74="","",INDEX(JupData!$A$2:$K$10000,MATCH($A74&amp;G$1,JupData!$A$2:$A$10000&amp;JupData!$J$2:$J$10000,0),11))</f>
        <v/>
      </c>
      <c r="H74" t="str">
        <f t="array" ref="H74">IF($A74="","",INDEX(JupData!$A$2:$K$10000,MATCH($A74&amp;H$1,JupData!$A$2:$A$10000&amp;JupData!$J$2:$J$10000,0),11))</f>
        <v/>
      </c>
      <c r="I74" t="str">
        <f t="array" ref="I74">IF($A74="","",INDEX(JupData!$A$2:$K$10000,MATCH($A74&amp;I$1,JupData!$A$2:$A$10000&amp;JupData!$J$2:$J$10000,0),11))</f>
        <v/>
      </c>
      <c r="J74" t="str">
        <f t="array" ref="J74">IF($A74="","",INDEX(JupData!$A$2:$K$10000,MATCH($A74&amp;J$1,JupData!$A$2:$A$10000&amp;JupData!$J$2:$J$10000,0),11))</f>
        <v/>
      </c>
      <c r="K74" t="str">
        <f t="array" ref="K74">IF($A74="","",INDEX(JupData!$A$2:$K$10000,MATCH($A74&amp;K$1,JupData!$A$2:$A$10000&amp;JupData!$J$2:$J$10000,0),11))</f>
        <v/>
      </c>
      <c r="L74" t="str">
        <f t="array" ref="L74">IF($A74="","",INDEX(JupData!$A$2:$K$10000,MATCH($A74&amp;L$1,JupData!$A$2:$A$10000&amp;JupData!$J$2:$J$10000,0),11))</f>
        <v/>
      </c>
      <c r="M74" t="str">
        <f t="array" ref="M74">IF($A74="","",INDEX(JupData!$A$2:$K$10000,MATCH($A74&amp;M$1,JupData!$A$2:$A$10000&amp;JupData!$J$2:$J$10000,0),11))</f>
        <v/>
      </c>
      <c r="N74" t="str">
        <f t="array" ref="N74">IF($A74="","",INDEX(JupData!$A$2:$K$10000,MATCH($A74&amp;N$1,JupData!$A$2:$A$10000&amp;JupData!$J$2:$J$10000,0),11))</f>
        <v/>
      </c>
      <c r="O74" t="str">
        <f t="array" ref="O74">IF($A74="","",INDEX(JupData!$A$2:$K$10000,MATCH($A74&amp;O$1,JupData!$A$2:$A$10000&amp;JupData!$J$2:$J$10000,0),11))</f>
        <v/>
      </c>
      <c r="P74" t="str">
        <f t="array" ref="P74">IF($A74="","",INDEX(JupData!$A$2:$K$10000,MATCH($A74&amp;P$1,JupData!$A$2:$A$10000&amp;JupData!$J$2:$J$10000,0),11))</f>
        <v/>
      </c>
      <c r="Q74" t="str">
        <f t="array" ref="Q74">IF($A74="","",INDEX(JupData!$A$2:$K$10000,MATCH($A74&amp;Q$1,JupData!$A$2:$A$10000&amp;JupData!$J$2:$J$10000,0),11))</f>
        <v/>
      </c>
      <c r="R74" t="str">
        <f t="array" ref="R74">IF($A74="","",INDEX(JupData!$A$2:$K$10000,MATCH($A74&amp;R$1,JupData!$A$2:$A$10000&amp;JupData!$J$2:$J$10000,0),11))</f>
        <v/>
      </c>
      <c r="S74" t="str">
        <f t="array" ref="S74">IF($A74="","",INDEX(JupData!$A$2:$K$10000,MATCH($A74&amp;S$1,JupData!$A$2:$A$10000&amp;JupData!$J$2:$J$10000,0),11))</f>
        <v/>
      </c>
      <c r="T74" t="str">
        <f t="array" ref="T74">IF($A74="","",INDEX(JupData!$A$2:$K$10000,MATCH($A74&amp;T$1,JupData!$A$2:$A$10000&amp;JupData!$J$2:$J$10000,0),11))</f>
        <v/>
      </c>
      <c r="U74" t="str">
        <f t="array" ref="U74">IF($A74="","",INDEX(JupData!$A$2:$K$10000,MATCH($A74&amp;U$1,JupData!$A$2:$A$10000&amp;JupData!$J$2:$J$10000,0),11))</f>
        <v/>
      </c>
      <c r="V74" t="str">
        <f t="array" ref="V74">IF($A74="","",INDEX(JupData!$A$2:$K$10000,MATCH($A74&amp;V$1,JupData!$A$2:$A$10000&amp;JupData!$J$2:$J$10000,0),11))</f>
        <v/>
      </c>
      <c r="W74" t="str">
        <f t="array" ref="W74">IF($A74="","",INDEX(JupData!$A$2:$K$10000,MATCH($A74&amp;W$1,JupData!$A$2:$A$10000&amp;JupData!$J$2:$J$10000,0),11))</f>
        <v/>
      </c>
      <c r="X74" t="str">
        <f t="array" ref="X74">IF($A74="","",INDEX(JupData!$A$2:$K$10000,MATCH($A74&amp;X$1,JupData!$A$2:$A$10000&amp;JupData!$J$2:$J$10000,0),11))</f>
        <v/>
      </c>
      <c r="Y74" t="str">
        <f t="array" ref="Y74">IF($A74="","",INDEX(JupData!$A$2:$K$10000,MATCH($A74&amp;Y$1,JupData!$A$2:$A$10000&amp;JupData!$J$2:$J$10000,0),11))</f>
        <v/>
      </c>
      <c r="Z74" t="str">
        <f t="array" ref="Z74">IF($A74="","",INDEX(JupData!$A$2:$K$10000,MATCH($A74&amp;Z$1,JupData!$A$2:$A$10000&amp;JupData!$J$2:$J$10000,0),11))</f>
        <v/>
      </c>
      <c r="AA74" t="str">
        <f t="array" ref="AA74">IF($A74="","",INDEX(JupData!$A$2:$K$10000,MATCH($A74&amp;AA$1,JupData!$A$2:$A$10000&amp;JupData!$J$2:$J$10000,0),11))</f>
        <v/>
      </c>
      <c r="AB74" t="str">
        <f t="array" ref="AB74">IF($A74="","",INDEX(JupData!$A$2:$K$10000,MATCH($A74&amp;AB$1,JupData!$A$2:$A$10000&amp;JupData!$J$2:$J$10000,0),11))</f>
        <v/>
      </c>
      <c r="AC74" s="10" t="str">
        <f t="shared" si="11"/>
        <v/>
      </c>
      <c r="AD74" s="10" t="str">
        <f t="shared" si="12"/>
        <v/>
      </c>
      <c r="AE74" s="9" t="str">
        <f t="shared" si="13"/>
        <v/>
      </c>
      <c r="AF74" s="10" t="str">
        <f t="shared" si="14"/>
        <v/>
      </c>
      <c r="AG74" s="10" t="str">
        <f t="shared" si="15"/>
        <v/>
      </c>
      <c r="AH74" s="10" t="str">
        <f t="shared" si="16"/>
        <v/>
      </c>
      <c r="AI74" s="10" t="str">
        <f t="shared" si="17"/>
        <v/>
      </c>
      <c r="AJ74" s="10" t="str">
        <f t="shared" si="18"/>
        <v/>
      </c>
      <c r="AK74" s="10" t="str">
        <f t="shared" si="19"/>
        <v/>
      </c>
      <c r="AL74" s="14" t="str">
        <f t="shared" si="20"/>
        <v/>
      </c>
    </row>
    <row r="75" spans="1:38" x14ac:dyDescent="0.2">
      <c r="A75"/>
      <c r="B75" t="str">
        <f>IF($A75="","",VLOOKUP($A75,JupData!$A$2:$I$10000,4,FALSE))</f>
        <v/>
      </c>
      <c r="C75" s="7" t="str">
        <f>IF($A75="",IF(N(D75),0,""),VLOOKUP($A75,JupData!$A$2:$I$10000,7,FALSE))</f>
        <v/>
      </c>
      <c r="D75" t="str">
        <f t="shared" si="21"/>
        <v/>
      </c>
      <c r="E75" t="str">
        <f t="array" ref="E75">IF($A75="","",INDEX(JupData!$A$2:$K$10000,MATCH($A75&amp;E$1,JupData!$A$2:$A$10000&amp;JupData!$J$2:$J$10000,0),11))</f>
        <v/>
      </c>
      <c r="F75" t="str">
        <f t="array" ref="F75">IF($A75="","",INDEX(JupData!$A$2:$K$10000,MATCH($A75&amp;F$1,JupData!$A$2:$A$10000&amp;JupData!$J$2:$J$10000,0),11))</f>
        <v/>
      </c>
      <c r="G75" t="str">
        <f t="array" ref="G75">IF($A75="","",INDEX(JupData!$A$2:$K$10000,MATCH($A75&amp;G$1,JupData!$A$2:$A$10000&amp;JupData!$J$2:$J$10000,0),11))</f>
        <v/>
      </c>
      <c r="H75" t="str">
        <f t="array" ref="H75">IF($A75="","",INDEX(JupData!$A$2:$K$10000,MATCH($A75&amp;H$1,JupData!$A$2:$A$10000&amp;JupData!$J$2:$J$10000,0),11))</f>
        <v/>
      </c>
      <c r="I75" t="str">
        <f t="array" ref="I75">IF($A75="","",INDEX(JupData!$A$2:$K$10000,MATCH($A75&amp;I$1,JupData!$A$2:$A$10000&amp;JupData!$J$2:$J$10000,0),11))</f>
        <v/>
      </c>
      <c r="J75" t="str">
        <f t="array" ref="J75">IF($A75="","",INDEX(JupData!$A$2:$K$10000,MATCH($A75&amp;J$1,JupData!$A$2:$A$10000&amp;JupData!$J$2:$J$10000,0),11))</f>
        <v/>
      </c>
      <c r="K75" t="str">
        <f t="array" ref="K75">IF($A75="","",INDEX(JupData!$A$2:$K$10000,MATCH($A75&amp;K$1,JupData!$A$2:$A$10000&amp;JupData!$J$2:$J$10000,0),11))</f>
        <v/>
      </c>
      <c r="L75" t="str">
        <f t="array" ref="L75">IF($A75="","",INDEX(JupData!$A$2:$K$10000,MATCH($A75&amp;L$1,JupData!$A$2:$A$10000&amp;JupData!$J$2:$J$10000,0),11))</f>
        <v/>
      </c>
      <c r="M75" t="str">
        <f t="array" ref="M75">IF($A75="","",INDEX(JupData!$A$2:$K$10000,MATCH($A75&amp;M$1,JupData!$A$2:$A$10000&amp;JupData!$J$2:$J$10000,0),11))</f>
        <v/>
      </c>
      <c r="N75" t="str">
        <f t="array" ref="N75">IF($A75="","",INDEX(JupData!$A$2:$K$10000,MATCH($A75&amp;N$1,JupData!$A$2:$A$10000&amp;JupData!$J$2:$J$10000,0),11))</f>
        <v/>
      </c>
      <c r="O75" t="str">
        <f t="array" ref="O75">IF($A75="","",INDEX(JupData!$A$2:$K$10000,MATCH($A75&amp;O$1,JupData!$A$2:$A$10000&amp;JupData!$J$2:$J$10000,0),11))</f>
        <v/>
      </c>
      <c r="P75" t="str">
        <f t="array" ref="P75">IF($A75="","",INDEX(JupData!$A$2:$K$10000,MATCH($A75&amp;P$1,JupData!$A$2:$A$10000&amp;JupData!$J$2:$J$10000,0),11))</f>
        <v/>
      </c>
      <c r="Q75" t="str">
        <f t="array" ref="Q75">IF($A75="","",INDEX(JupData!$A$2:$K$10000,MATCH($A75&amp;Q$1,JupData!$A$2:$A$10000&amp;JupData!$J$2:$J$10000,0),11))</f>
        <v/>
      </c>
      <c r="R75" t="str">
        <f t="array" ref="R75">IF($A75="","",INDEX(JupData!$A$2:$K$10000,MATCH($A75&amp;R$1,JupData!$A$2:$A$10000&amp;JupData!$J$2:$J$10000,0),11))</f>
        <v/>
      </c>
      <c r="S75" t="str">
        <f t="array" ref="S75">IF($A75="","",INDEX(JupData!$A$2:$K$10000,MATCH($A75&amp;S$1,JupData!$A$2:$A$10000&amp;JupData!$J$2:$J$10000,0),11))</f>
        <v/>
      </c>
      <c r="T75" t="str">
        <f t="array" ref="T75">IF($A75="","",INDEX(JupData!$A$2:$K$10000,MATCH($A75&amp;T$1,JupData!$A$2:$A$10000&amp;JupData!$J$2:$J$10000,0),11))</f>
        <v/>
      </c>
      <c r="U75" t="str">
        <f t="array" ref="U75">IF($A75="","",INDEX(JupData!$A$2:$K$10000,MATCH($A75&amp;U$1,JupData!$A$2:$A$10000&amp;JupData!$J$2:$J$10000,0),11))</f>
        <v/>
      </c>
      <c r="V75" t="str">
        <f t="array" ref="V75">IF($A75="","",INDEX(JupData!$A$2:$K$10000,MATCH($A75&amp;V$1,JupData!$A$2:$A$10000&amp;JupData!$J$2:$J$10000,0),11))</f>
        <v/>
      </c>
      <c r="W75" t="str">
        <f t="array" ref="W75">IF($A75="","",INDEX(JupData!$A$2:$K$10000,MATCH($A75&amp;W$1,JupData!$A$2:$A$10000&amp;JupData!$J$2:$J$10000,0),11))</f>
        <v/>
      </c>
      <c r="X75" t="str">
        <f t="array" ref="X75">IF($A75="","",INDEX(JupData!$A$2:$K$10000,MATCH($A75&amp;X$1,JupData!$A$2:$A$10000&amp;JupData!$J$2:$J$10000,0),11))</f>
        <v/>
      </c>
      <c r="Y75" t="str">
        <f t="array" ref="Y75">IF($A75="","",INDEX(JupData!$A$2:$K$10000,MATCH($A75&amp;Y$1,JupData!$A$2:$A$10000&amp;JupData!$J$2:$J$10000,0),11))</f>
        <v/>
      </c>
      <c r="Z75" t="str">
        <f t="array" ref="Z75">IF($A75="","",INDEX(JupData!$A$2:$K$10000,MATCH($A75&amp;Z$1,JupData!$A$2:$A$10000&amp;JupData!$J$2:$J$10000,0),11))</f>
        <v/>
      </c>
      <c r="AA75" t="str">
        <f t="array" ref="AA75">IF($A75="","",INDEX(JupData!$A$2:$K$10000,MATCH($A75&amp;AA$1,JupData!$A$2:$A$10000&amp;JupData!$J$2:$J$10000,0),11))</f>
        <v/>
      </c>
      <c r="AB75" t="str">
        <f t="array" ref="AB75">IF($A75="","",INDEX(JupData!$A$2:$K$10000,MATCH($A75&amp;AB$1,JupData!$A$2:$A$10000&amp;JupData!$J$2:$J$10000,0),11))</f>
        <v/>
      </c>
      <c r="AC75" s="10" t="str">
        <f t="shared" si="11"/>
        <v/>
      </c>
      <c r="AD75" s="10" t="str">
        <f t="shared" si="12"/>
        <v/>
      </c>
      <c r="AE75" s="9" t="str">
        <f t="shared" si="13"/>
        <v/>
      </c>
      <c r="AF75" s="10" t="str">
        <f t="shared" si="14"/>
        <v/>
      </c>
      <c r="AG75" s="10" t="str">
        <f t="shared" si="15"/>
        <v/>
      </c>
      <c r="AH75" s="10" t="str">
        <f t="shared" si="16"/>
        <v/>
      </c>
      <c r="AI75" s="10" t="str">
        <f t="shared" si="17"/>
        <v/>
      </c>
      <c r="AJ75" s="10" t="str">
        <f t="shared" si="18"/>
        <v/>
      </c>
      <c r="AK75" s="10" t="str">
        <f t="shared" si="19"/>
        <v/>
      </c>
      <c r="AL75" s="14" t="str">
        <f t="shared" si="20"/>
        <v/>
      </c>
    </row>
    <row r="76" spans="1:38" x14ac:dyDescent="0.2">
      <c r="A76"/>
      <c r="B76" t="str">
        <f>IF($A76="","",VLOOKUP($A76,JupData!$A$2:$I$10000,4,FALSE))</f>
        <v/>
      </c>
      <c r="C76" s="7" t="str">
        <f>IF($A76="",IF(N(D76),0,""),VLOOKUP($A76,JupData!$A$2:$I$10000,7,FALSE))</f>
        <v/>
      </c>
      <c r="D76" t="str">
        <f t="shared" si="21"/>
        <v/>
      </c>
      <c r="E76" t="str">
        <f t="array" ref="E76">IF($A76="","",INDEX(JupData!$A$2:$K$10000,MATCH($A76&amp;E$1,JupData!$A$2:$A$10000&amp;JupData!$J$2:$J$10000,0),11))</f>
        <v/>
      </c>
      <c r="F76" t="str">
        <f t="array" ref="F76">IF($A76="","",INDEX(JupData!$A$2:$K$10000,MATCH($A76&amp;F$1,JupData!$A$2:$A$10000&amp;JupData!$J$2:$J$10000,0),11))</f>
        <v/>
      </c>
      <c r="G76" t="str">
        <f t="array" ref="G76">IF($A76="","",INDEX(JupData!$A$2:$K$10000,MATCH($A76&amp;G$1,JupData!$A$2:$A$10000&amp;JupData!$J$2:$J$10000,0),11))</f>
        <v/>
      </c>
      <c r="H76" t="str">
        <f t="array" ref="H76">IF($A76="","",INDEX(JupData!$A$2:$K$10000,MATCH($A76&amp;H$1,JupData!$A$2:$A$10000&amp;JupData!$J$2:$J$10000,0),11))</f>
        <v/>
      </c>
      <c r="I76" t="str">
        <f t="array" ref="I76">IF($A76="","",INDEX(JupData!$A$2:$K$10000,MATCH($A76&amp;I$1,JupData!$A$2:$A$10000&amp;JupData!$J$2:$J$10000,0),11))</f>
        <v/>
      </c>
      <c r="J76" t="str">
        <f t="array" ref="J76">IF($A76="","",INDEX(JupData!$A$2:$K$10000,MATCH($A76&amp;J$1,JupData!$A$2:$A$10000&amp;JupData!$J$2:$J$10000,0),11))</f>
        <v/>
      </c>
      <c r="K76" t="str">
        <f t="array" ref="K76">IF($A76="","",INDEX(JupData!$A$2:$K$10000,MATCH($A76&amp;K$1,JupData!$A$2:$A$10000&amp;JupData!$J$2:$J$10000,0),11))</f>
        <v/>
      </c>
      <c r="L76" t="str">
        <f t="array" ref="L76">IF($A76="","",INDEX(JupData!$A$2:$K$10000,MATCH($A76&amp;L$1,JupData!$A$2:$A$10000&amp;JupData!$J$2:$J$10000,0),11))</f>
        <v/>
      </c>
      <c r="M76" t="str">
        <f t="array" ref="M76">IF($A76="","",INDEX(JupData!$A$2:$K$10000,MATCH($A76&amp;M$1,JupData!$A$2:$A$10000&amp;JupData!$J$2:$J$10000,0),11))</f>
        <v/>
      </c>
      <c r="N76" t="str">
        <f t="array" ref="N76">IF($A76="","",INDEX(JupData!$A$2:$K$10000,MATCH($A76&amp;N$1,JupData!$A$2:$A$10000&amp;JupData!$J$2:$J$10000,0),11))</f>
        <v/>
      </c>
      <c r="O76" t="str">
        <f t="array" ref="O76">IF($A76="","",INDEX(JupData!$A$2:$K$10000,MATCH($A76&amp;O$1,JupData!$A$2:$A$10000&amp;JupData!$J$2:$J$10000,0),11))</f>
        <v/>
      </c>
      <c r="P76" t="str">
        <f t="array" ref="P76">IF($A76="","",INDEX(JupData!$A$2:$K$10000,MATCH($A76&amp;P$1,JupData!$A$2:$A$10000&amp;JupData!$J$2:$J$10000,0),11))</f>
        <v/>
      </c>
      <c r="Q76" t="str">
        <f t="array" ref="Q76">IF($A76="","",INDEX(JupData!$A$2:$K$10000,MATCH($A76&amp;Q$1,JupData!$A$2:$A$10000&amp;JupData!$J$2:$J$10000,0),11))</f>
        <v/>
      </c>
      <c r="R76" t="str">
        <f t="array" ref="R76">IF($A76="","",INDEX(JupData!$A$2:$K$10000,MATCH($A76&amp;R$1,JupData!$A$2:$A$10000&amp;JupData!$J$2:$J$10000,0),11))</f>
        <v/>
      </c>
      <c r="S76" t="str">
        <f t="array" ref="S76">IF($A76="","",INDEX(JupData!$A$2:$K$10000,MATCH($A76&amp;S$1,JupData!$A$2:$A$10000&amp;JupData!$J$2:$J$10000,0),11))</f>
        <v/>
      </c>
      <c r="T76" t="str">
        <f t="array" ref="T76">IF($A76="","",INDEX(JupData!$A$2:$K$10000,MATCH($A76&amp;T$1,JupData!$A$2:$A$10000&amp;JupData!$J$2:$J$10000,0),11))</f>
        <v/>
      </c>
      <c r="U76" t="str">
        <f t="array" ref="U76">IF($A76="","",INDEX(JupData!$A$2:$K$10000,MATCH($A76&amp;U$1,JupData!$A$2:$A$10000&amp;JupData!$J$2:$J$10000,0),11))</f>
        <v/>
      </c>
      <c r="V76" t="str">
        <f t="array" ref="V76">IF($A76="","",INDEX(JupData!$A$2:$K$10000,MATCH($A76&amp;V$1,JupData!$A$2:$A$10000&amp;JupData!$J$2:$J$10000,0),11))</f>
        <v/>
      </c>
      <c r="W76" t="str">
        <f t="array" ref="W76">IF($A76="","",INDEX(JupData!$A$2:$K$10000,MATCH($A76&amp;W$1,JupData!$A$2:$A$10000&amp;JupData!$J$2:$J$10000,0),11))</f>
        <v/>
      </c>
      <c r="X76" t="str">
        <f t="array" ref="X76">IF($A76="","",INDEX(JupData!$A$2:$K$10000,MATCH($A76&amp;X$1,JupData!$A$2:$A$10000&amp;JupData!$J$2:$J$10000,0),11))</f>
        <v/>
      </c>
      <c r="Y76" t="str">
        <f t="array" ref="Y76">IF($A76="","",INDEX(JupData!$A$2:$K$10000,MATCH($A76&amp;Y$1,JupData!$A$2:$A$10000&amp;JupData!$J$2:$J$10000,0),11))</f>
        <v/>
      </c>
      <c r="Z76" t="str">
        <f t="array" ref="Z76">IF($A76="","",INDEX(JupData!$A$2:$K$10000,MATCH($A76&amp;Z$1,JupData!$A$2:$A$10000&amp;JupData!$J$2:$J$10000,0),11))</f>
        <v/>
      </c>
      <c r="AA76" t="str">
        <f t="array" ref="AA76">IF($A76="","",INDEX(JupData!$A$2:$K$10000,MATCH($A76&amp;AA$1,JupData!$A$2:$A$10000&amp;JupData!$J$2:$J$10000,0),11))</f>
        <v/>
      </c>
      <c r="AB76" t="str">
        <f t="array" ref="AB76">IF($A76="","",INDEX(JupData!$A$2:$K$10000,MATCH($A76&amp;AB$1,JupData!$A$2:$A$10000&amp;JupData!$J$2:$J$10000,0),11))</f>
        <v/>
      </c>
      <c r="AC76" s="10" t="str">
        <f t="shared" si="11"/>
        <v/>
      </c>
      <c r="AD76" s="10" t="str">
        <f t="shared" si="12"/>
        <v/>
      </c>
      <c r="AE76" s="9" t="str">
        <f t="shared" si="13"/>
        <v/>
      </c>
      <c r="AF76" s="10" t="str">
        <f t="shared" si="14"/>
        <v/>
      </c>
      <c r="AG76" s="10" t="str">
        <f t="shared" si="15"/>
        <v/>
      </c>
      <c r="AH76" s="10" t="str">
        <f t="shared" si="16"/>
        <v/>
      </c>
      <c r="AI76" s="10" t="str">
        <f t="shared" si="17"/>
        <v/>
      </c>
      <c r="AJ76" s="10" t="str">
        <f t="shared" si="18"/>
        <v/>
      </c>
      <c r="AK76" s="10" t="str">
        <f t="shared" si="19"/>
        <v/>
      </c>
      <c r="AL76" s="14" t="str">
        <f t="shared" si="20"/>
        <v/>
      </c>
    </row>
    <row r="77" spans="1:38" x14ac:dyDescent="0.2">
      <c r="A77"/>
      <c r="B77" t="str">
        <f>IF($A77="","",VLOOKUP($A77,JupData!$A$2:$I$10000,4,FALSE))</f>
        <v/>
      </c>
      <c r="C77" s="7" t="str">
        <f>IF($A77="",IF(N(D77),0,""),VLOOKUP($A77,JupData!$A$2:$I$10000,7,FALSE))</f>
        <v/>
      </c>
      <c r="D77" t="str">
        <f t="shared" si="21"/>
        <v/>
      </c>
      <c r="E77" t="str">
        <f t="array" ref="E77">IF($A77="","",INDEX(JupData!$A$2:$K$10000,MATCH($A77&amp;E$1,JupData!$A$2:$A$10000&amp;JupData!$J$2:$J$10000,0),11))</f>
        <v/>
      </c>
      <c r="F77" t="str">
        <f t="array" ref="F77">IF($A77="","",INDEX(JupData!$A$2:$K$10000,MATCH($A77&amp;F$1,JupData!$A$2:$A$10000&amp;JupData!$J$2:$J$10000,0),11))</f>
        <v/>
      </c>
      <c r="G77" t="str">
        <f t="array" ref="G77">IF($A77="","",INDEX(JupData!$A$2:$K$10000,MATCH($A77&amp;G$1,JupData!$A$2:$A$10000&amp;JupData!$J$2:$J$10000,0),11))</f>
        <v/>
      </c>
      <c r="H77" t="str">
        <f t="array" ref="H77">IF($A77="","",INDEX(JupData!$A$2:$K$10000,MATCH($A77&amp;H$1,JupData!$A$2:$A$10000&amp;JupData!$J$2:$J$10000,0),11))</f>
        <v/>
      </c>
      <c r="I77" t="str">
        <f t="array" ref="I77">IF($A77="","",INDEX(JupData!$A$2:$K$10000,MATCH($A77&amp;I$1,JupData!$A$2:$A$10000&amp;JupData!$J$2:$J$10000,0),11))</f>
        <v/>
      </c>
      <c r="J77" t="str">
        <f t="array" ref="J77">IF($A77="","",INDEX(JupData!$A$2:$K$10000,MATCH($A77&amp;J$1,JupData!$A$2:$A$10000&amp;JupData!$J$2:$J$10000,0),11))</f>
        <v/>
      </c>
      <c r="K77" t="str">
        <f t="array" ref="K77">IF($A77="","",INDEX(JupData!$A$2:$K$10000,MATCH($A77&amp;K$1,JupData!$A$2:$A$10000&amp;JupData!$J$2:$J$10000,0),11))</f>
        <v/>
      </c>
      <c r="L77" t="str">
        <f t="array" ref="L77">IF($A77="","",INDEX(JupData!$A$2:$K$10000,MATCH($A77&amp;L$1,JupData!$A$2:$A$10000&amp;JupData!$J$2:$J$10000,0),11))</f>
        <v/>
      </c>
      <c r="M77" t="str">
        <f t="array" ref="M77">IF($A77="","",INDEX(JupData!$A$2:$K$10000,MATCH($A77&amp;M$1,JupData!$A$2:$A$10000&amp;JupData!$J$2:$J$10000,0),11))</f>
        <v/>
      </c>
      <c r="N77" t="str">
        <f t="array" ref="N77">IF($A77="","",INDEX(JupData!$A$2:$K$10000,MATCH($A77&amp;N$1,JupData!$A$2:$A$10000&amp;JupData!$J$2:$J$10000,0),11))</f>
        <v/>
      </c>
      <c r="O77" t="str">
        <f t="array" ref="O77">IF($A77="","",INDEX(JupData!$A$2:$K$10000,MATCH($A77&amp;O$1,JupData!$A$2:$A$10000&amp;JupData!$J$2:$J$10000,0),11))</f>
        <v/>
      </c>
      <c r="P77" t="str">
        <f t="array" ref="P77">IF($A77="","",INDEX(JupData!$A$2:$K$10000,MATCH($A77&amp;P$1,JupData!$A$2:$A$10000&amp;JupData!$J$2:$J$10000,0),11))</f>
        <v/>
      </c>
      <c r="Q77" t="str">
        <f t="array" ref="Q77">IF($A77="","",INDEX(JupData!$A$2:$K$10000,MATCH($A77&amp;Q$1,JupData!$A$2:$A$10000&amp;JupData!$J$2:$J$10000,0),11))</f>
        <v/>
      </c>
      <c r="R77" t="str">
        <f t="array" ref="R77">IF($A77="","",INDEX(JupData!$A$2:$K$10000,MATCH($A77&amp;R$1,JupData!$A$2:$A$10000&amp;JupData!$J$2:$J$10000,0),11))</f>
        <v/>
      </c>
      <c r="S77" t="str">
        <f t="array" ref="S77">IF($A77="","",INDEX(JupData!$A$2:$K$10000,MATCH($A77&amp;S$1,JupData!$A$2:$A$10000&amp;JupData!$J$2:$J$10000,0),11))</f>
        <v/>
      </c>
      <c r="T77" t="str">
        <f t="array" ref="T77">IF($A77="","",INDEX(JupData!$A$2:$K$10000,MATCH($A77&amp;T$1,JupData!$A$2:$A$10000&amp;JupData!$J$2:$J$10000,0),11))</f>
        <v/>
      </c>
      <c r="U77" t="str">
        <f t="array" ref="U77">IF($A77="","",INDEX(JupData!$A$2:$K$10000,MATCH($A77&amp;U$1,JupData!$A$2:$A$10000&amp;JupData!$J$2:$J$10000,0),11))</f>
        <v/>
      </c>
      <c r="V77" t="str">
        <f t="array" ref="V77">IF($A77="","",INDEX(JupData!$A$2:$K$10000,MATCH($A77&amp;V$1,JupData!$A$2:$A$10000&amp;JupData!$J$2:$J$10000,0),11))</f>
        <v/>
      </c>
      <c r="W77" t="str">
        <f t="array" ref="W77">IF($A77="","",INDEX(JupData!$A$2:$K$10000,MATCH($A77&amp;W$1,JupData!$A$2:$A$10000&amp;JupData!$J$2:$J$10000,0),11))</f>
        <v/>
      </c>
      <c r="X77" t="str">
        <f t="array" ref="X77">IF($A77="","",INDEX(JupData!$A$2:$K$10000,MATCH($A77&amp;X$1,JupData!$A$2:$A$10000&amp;JupData!$J$2:$J$10000,0),11))</f>
        <v/>
      </c>
      <c r="Y77" t="str">
        <f t="array" ref="Y77">IF($A77="","",INDEX(JupData!$A$2:$K$10000,MATCH($A77&amp;Y$1,JupData!$A$2:$A$10000&amp;JupData!$J$2:$J$10000,0),11))</f>
        <v/>
      </c>
      <c r="Z77" t="str">
        <f t="array" ref="Z77">IF($A77="","",INDEX(JupData!$A$2:$K$10000,MATCH($A77&amp;Z$1,JupData!$A$2:$A$10000&amp;JupData!$J$2:$J$10000,0),11))</f>
        <v/>
      </c>
      <c r="AA77" t="str">
        <f t="array" ref="AA77">IF($A77="","",INDEX(JupData!$A$2:$K$10000,MATCH($A77&amp;AA$1,JupData!$A$2:$A$10000&amp;JupData!$J$2:$J$10000,0),11))</f>
        <v/>
      </c>
      <c r="AB77" t="str">
        <f t="array" ref="AB77">IF($A77="","",INDEX(JupData!$A$2:$K$10000,MATCH($A77&amp;AB$1,JupData!$A$2:$A$10000&amp;JupData!$J$2:$J$10000,0),11))</f>
        <v/>
      </c>
      <c r="AC77" s="10" t="str">
        <f t="shared" si="11"/>
        <v/>
      </c>
      <c r="AD77" s="10" t="str">
        <f t="shared" si="12"/>
        <v/>
      </c>
      <c r="AE77" s="9" t="str">
        <f t="shared" si="13"/>
        <v/>
      </c>
      <c r="AF77" s="10" t="str">
        <f t="shared" si="14"/>
        <v/>
      </c>
      <c r="AG77" s="10" t="str">
        <f t="shared" si="15"/>
        <v/>
      </c>
      <c r="AH77" s="10" t="str">
        <f t="shared" si="16"/>
        <v/>
      </c>
      <c r="AI77" s="10" t="str">
        <f t="shared" si="17"/>
        <v/>
      </c>
      <c r="AJ77" s="10" t="str">
        <f t="shared" si="18"/>
        <v/>
      </c>
      <c r="AK77" s="10" t="str">
        <f t="shared" si="19"/>
        <v/>
      </c>
      <c r="AL77" s="14" t="str">
        <f t="shared" si="20"/>
        <v/>
      </c>
    </row>
    <row r="78" spans="1:38" x14ac:dyDescent="0.2">
      <c r="A78"/>
      <c r="B78" t="str">
        <f>IF($A78="","",VLOOKUP($A78,JupData!$A$2:$I$10000,4,FALSE))</f>
        <v/>
      </c>
      <c r="C78" s="7" t="str">
        <f>IF($A78="",IF(N(D78),0,""),VLOOKUP($A78,JupData!$A$2:$I$10000,7,FALSE))</f>
        <v/>
      </c>
      <c r="D78" t="str">
        <f t="shared" si="21"/>
        <v/>
      </c>
      <c r="E78" t="str">
        <f t="array" ref="E78">IF($A78="","",INDEX(JupData!$A$2:$K$10000,MATCH($A78&amp;E$1,JupData!$A$2:$A$10000&amp;JupData!$J$2:$J$10000,0),11))</f>
        <v/>
      </c>
      <c r="F78" t="str">
        <f t="array" ref="F78">IF($A78="","",INDEX(JupData!$A$2:$K$10000,MATCH($A78&amp;F$1,JupData!$A$2:$A$10000&amp;JupData!$J$2:$J$10000,0),11))</f>
        <v/>
      </c>
      <c r="G78" t="str">
        <f t="array" ref="G78">IF($A78="","",INDEX(JupData!$A$2:$K$10000,MATCH($A78&amp;G$1,JupData!$A$2:$A$10000&amp;JupData!$J$2:$J$10000,0),11))</f>
        <v/>
      </c>
      <c r="H78" t="str">
        <f t="array" ref="H78">IF($A78="","",INDEX(JupData!$A$2:$K$10000,MATCH($A78&amp;H$1,JupData!$A$2:$A$10000&amp;JupData!$J$2:$J$10000,0),11))</f>
        <v/>
      </c>
      <c r="I78" t="str">
        <f t="array" ref="I78">IF($A78="","",INDEX(JupData!$A$2:$K$10000,MATCH($A78&amp;I$1,JupData!$A$2:$A$10000&amp;JupData!$J$2:$J$10000,0),11))</f>
        <v/>
      </c>
      <c r="J78" t="str">
        <f t="array" ref="J78">IF($A78="","",INDEX(JupData!$A$2:$K$10000,MATCH($A78&amp;J$1,JupData!$A$2:$A$10000&amp;JupData!$J$2:$J$10000,0),11))</f>
        <v/>
      </c>
      <c r="K78" t="str">
        <f t="array" ref="K78">IF($A78="","",INDEX(JupData!$A$2:$K$10000,MATCH($A78&amp;K$1,JupData!$A$2:$A$10000&amp;JupData!$J$2:$J$10000,0),11))</f>
        <v/>
      </c>
      <c r="L78" t="str">
        <f t="array" ref="L78">IF($A78="","",INDEX(JupData!$A$2:$K$10000,MATCH($A78&amp;L$1,JupData!$A$2:$A$10000&amp;JupData!$J$2:$J$10000,0),11))</f>
        <v/>
      </c>
      <c r="M78" t="str">
        <f t="array" ref="M78">IF($A78="","",INDEX(JupData!$A$2:$K$10000,MATCH($A78&amp;M$1,JupData!$A$2:$A$10000&amp;JupData!$J$2:$J$10000,0),11))</f>
        <v/>
      </c>
      <c r="N78" t="str">
        <f t="array" ref="N78">IF($A78="","",INDEX(JupData!$A$2:$K$10000,MATCH($A78&amp;N$1,JupData!$A$2:$A$10000&amp;JupData!$J$2:$J$10000,0),11))</f>
        <v/>
      </c>
      <c r="O78" t="str">
        <f t="array" ref="O78">IF($A78="","",INDEX(JupData!$A$2:$K$10000,MATCH($A78&amp;O$1,JupData!$A$2:$A$10000&amp;JupData!$J$2:$J$10000,0),11))</f>
        <v/>
      </c>
      <c r="P78" t="str">
        <f t="array" ref="P78">IF($A78="","",INDEX(JupData!$A$2:$K$10000,MATCH($A78&amp;P$1,JupData!$A$2:$A$10000&amp;JupData!$J$2:$J$10000,0),11))</f>
        <v/>
      </c>
      <c r="Q78" t="str">
        <f t="array" ref="Q78">IF($A78="","",INDEX(JupData!$A$2:$K$10000,MATCH($A78&amp;Q$1,JupData!$A$2:$A$10000&amp;JupData!$J$2:$J$10000,0),11))</f>
        <v/>
      </c>
      <c r="R78" t="str">
        <f t="array" ref="R78">IF($A78="","",INDEX(JupData!$A$2:$K$10000,MATCH($A78&amp;R$1,JupData!$A$2:$A$10000&amp;JupData!$J$2:$J$10000,0),11))</f>
        <v/>
      </c>
      <c r="S78" t="str">
        <f t="array" ref="S78">IF($A78="","",INDEX(JupData!$A$2:$K$10000,MATCH($A78&amp;S$1,JupData!$A$2:$A$10000&amp;JupData!$J$2:$J$10000,0),11))</f>
        <v/>
      </c>
      <c r="T78" t="str">
        <f t="array" ref="T78">IF($A78="","",INDEX(JupData!$A$2:$K$10000,MATCH($A78&amp;T$1,JupData!$A$2:$A$10000&amp;JupData!$J$2:$J$10000,0),11))</f>
        <v/>
      </c>
      <c r="U78" t="str">
        <f t="array" ref="U78">IF($A78="","",INDEX(JupData!$A$2:$K$10000,MATCH($A78&amp;U$1,JupData!$A$2:$A$10000&amp;JupData!$J$2:$J$10000,0),11))</f>
        <v/>
      </c>
      <c r="V78" t="str">
        <f t="array" ref="V78">IF($A78="","",INDEX(JupData!$A$2:$K$10000,MATCH($A78&amp;V$1,JupData!$A$2:$A$10000&amp;JupData!$J$2:$J$10000,0),11))</f>
        <v/>
      </c>
      <c r="W78" t="str">
        <f t="array" ref="W78">IF($A78="","",INDEX(JupData!$A$2:$K$10000,MATCH($A78&amp;W$1,JupData!$A$2:$A$10000&amp;JupData!$J$2:$J$10000,0),11))</f>
        <v/>
      </c>
      <c r="X78" t="str">
        <f t="array" ref="X78">IF($A78="","",INDEX(JupData!$A$2:$K$10000,MATCH($A78&amp;X$1,JupData!$A$2:$A$10000&amp;JupData!$J$2:$J$10000,0),11))</f>
        <v/>
      </c>
      <c r="Y78" t="str">
        <f t="array" ref="Y78">IF($A78="","",INDEX(JupData!$A$2:$K$10000,MATCH($A78&amp;Y$1,JupData!$A$2:$A$10000&amp;JupData!$J$2:$J$10000,0),11))</f>
        <v/>
      </c>
      <c r="Z78" t="str">
        <f t="array" ref="Z78">IF($A78="","",INDEX(JupData!$A$2:$K$10000,MATCH($A78&amp;Z$1,JupData!$A$2:$A$10000&amp;JupData!$J$2:$J$10000,0),11))</f>
        <v/>
      </c>
      <c r="AA78" t="str">
        <f t="array" ref="AA78">IF($A78="","",INDEX(JupData!$A$2:$K$10000,MATCH($A78&amp;AA$1,JupData!$A$2:$A$10000&amp;JupData!$J$2:$J$10000,0),11))</f>
        <v/>
      </c>
      <c r="AB78" t="str">
        <f t="array" ref="AB78">IF($A78="","",INDEX(JupData!$A$2:$K$10000,MATCH($A78&amp;AB$1,JupData!$A$2:$A$10000&amp;JupData!$J$2:$J$10000,0),11))</f>
        <v/>
      </c>
      <c r="AC78" s="10" t="str">
        <f t="shared" si="11"/>
        <v/>
      </c>
      <c r="AD78" s="10" t="str">
        <f t="shared" si="12"/>
        <v/>
      </c>
      <c r="AE78" s="9" t="str">
        <f t="shared" si="13"/>
        <v/>
      </c>
      <c r="AF78" s="10" t="str">
        <f t="shared" si="14"/>
        <v/>
      </c>
      <c r="AG78" s="10" t="str">
        <f t="shared" si="15"/>
        <v/>
      </c>
      <c r="AH78" s="10" t="str">
        <f t="shared" si="16"/>
        <v/>
      </c>
      <c r="AI78" s="10" t="str">
        <f t="shared" si="17"/>
        <v/>
      </c>
      <c r="AJ78" s="10" t="str">
        <f t="shared" si="18"/>
        <v/>
      </c>
      <c r="AK78" s="10" t="str">
        <f t="shared" si="19"/>
        <v/>
      </c>
      <c r="AL78" s="14" t="str">
        <f t="shared" si="20"/>
        <v/>
      </c>
    </row>
    <row r="79" spans="1:38" x14ac:dyDescent="0.2">
      <c r="A79"/>
      <c r="B79" t="str">
        <f>IF($A79="","",VLOOKUP($A79,JupData!$A$2:$I$10000,4,FALSE))</f>
        <v/>
      </c>
      <c r="C79" s="7" t="str">
        <f>IF($A79="",IF(N(D79),0,""),VLOOKUP($A79,JupData!$A$2:$I$10000,7,FALSE))</f>
        <v/>
      </c>
      <c r="D79" t="str">
        <f t="shared" si="21"/>
        <v/>
      </c>
      <c r="E79" t="str">
        <f t="array" ref="E79">IF($A79="","",INDEX(JupData!$A$2:$K$10000,MATCH($A79&amp;E$1,JupData!$A$2:$A$10000&amp;JupData!$J$2:$J$10000,0),11))</f>
        <v/>
      </c>
      <c r="F79" t="str">
        <f t="array" ref="F79">IF($A79="","",INDEX(JupData!$A$2:$K$10000,MATCH($A79&amp;F$1,JupData!$A$2:$A$10000&amp;JupData!$J$2:$J$10000,0),11))</f>
        <v/>
      </c>
      <c r="G79" t="str">
        <f t="array" ref="G79">IF($A79="","",INDEX(JupData!$A$2:$K$10000,MATCH($A79&amp;G$1,JupData!$A$2:$A$10000&amp;JupData!$J$2:$J$10000,0),11))</f>
        <v/>
      </c>
      <c r="H79" t="str">
        <f t="array" ref="H79">IF($A79="","",INDEX(JupData!$A$2:$K$10000,MATCH($A79&amp;H$1,JupData!$A$2:$A$10000&amp;JupData!$J$2:$J$10000,0),11))</f>
        <v/>
      </c>
      <c r="I79" t="str">
        <f t="array" ref="I79">IF($A79="","",INDEX(JupData!$A$2:$K$10000,MATCH($A79&amp;I$1,JupData!$A$2:$A$10000&amp;JupData!$J$2:$J$10000,0),11))</f>
        <v/>
      </c>
      <c r="J79" t="str">
        <f t="array" ref="J79">IF($A79="","",INDEX(JupData!$A$2:$K$10000,MATCH($A79&amp;J$1,JupData!$A$2:$A$10000&amp;JupData!$J$2:$J$10000,0),11))</f>
        <v/>
      </c>
      <c r="K79" t="str">
        <f t="array" ref="K79">IF($A79="","",INDEX(JupData!$A$2:$K$10000,MATCH($A79&amp;K$1,JupData!$A$2:$A$10000&amp;JupData!$J$2:$J$10000,0),11))</f>
        <v/>
      </c>
      <c r="L79" t="str">
        <f t="array" ref="L79">IF($A79="","",INDEX(JupData!$A$2:$K$10000,MATCH($A79&amp;L$1,JupData!$A$2:$A$10000&amp;JupData!$J$2:$J$10000,0),11))</f>
        <v/>
      </c>
      <c r="M79" t="str">
        <f t="array" ref="M79">IF($A79="","",INDEX(JupData!$A$2:$K$10000,MATCH($A79&amp;M$1,JupData!$A$2:$A$10000&amp;JupData!$J$2:$J$10000,0),11))</f>
        <v/>
      </c>
      <c r="N79" t="str">
        <f t="array" ref="N79">IF($A79="","",INDEX(JupData!$A$2:$K$10000,MATCH($A79&amp;N$1,JupData!$A$2:$A$10000&amp;JupData!$J$2:$J$10000,0),11))</f>
        <v/>
      </c>
      <c r="O79" t="str">
        <f t="array" ref="O79">IF($A79="","",INDEX(JupData!$A$2:$K$10000,MATCH($A79&amp;O$1,JupData!$A$2:$A$10000&amp;JupData!$J$2:$J$10000,0),11))</f>
        <v/>
      </c>
      <c r="P79" t="str">
        <f t="array" ref="P79">IF($A79="","",INDEX(JupData!$A$2:$K$10000,MATCH($A79&amp;P$1,JupData!$A$2:$A$10000&amp;JupData!$J$2:$J$10000,0),11))</f>
        <v/>
      </c>
      <c r="Q79" t="str">
        <f t="array" ref="Q79">IF($A79="","",INDEX(JupData!$A$2:$K$10000,MATCH($A79&amp;Q$1,JupData!$A$2:$A$10000&amp;JupData!$J$2:$J$10000,0),11))</f>
        <v/>
      </c>
      <c r="R79" t="str">
        <f t="array" ref="R79">IF($A79="","",INDEX(JupData!$A$2:$K$10000,MATCH($A79&amp;R$1,JupData!$A$2:$A$10000&amp;JupData!$J$2:$J$10000,0),11))</f>
        <v/>
      </c>
      <c r="S79" t="str">
        <f t="array" ref="S79">IF($A79="","",INDEX(JupData!$A$2:$K$10000,MATCH($A79&amp;S$1,JupData!$A$2:$A$10000&amp;JupData!$J$2:$J$10000,0),11))</f>
        <v/>
      </c>
      <c r="T79" t="str">
        <f t="array" ref="T79">IF($A79="","",INDEX(JupData!$A$2:$K$10000,MATCH($A79&amp;T$1,JupData!$A$2:$A$10000&amp;JupData!$J$2:$J$10000,0),11))</f>
        <v/>
      </c>
      <c r="U79" t="str">
        <f t="array" ref="U79">IF($A79="","",INDEX(JupData!$A$2:$K$10000,MATCH($A79&amp;U$1,JupData!$A$2:$A$10000&amp;JupData!$J$2:$J$10000,0),11))</f>
        <v/>
      </c>
      <c r="V79" t="str">
        <f t="array" ref="V79">IF($A79="","",INDEX(JupData!$A$2:$K$10000,MATCH($A79&amp;V$1,JupData!$A$2:$A$10000&amp;JupData!$J$2:$J$10000,0),11))</f>
        <v/>
      </c>
      <c r="W79" t="str">
        <f t="array" ref="W79">IF($A79="","",INDEX(JupData!$A$2:$K$10000,MATCH($A79&amp;W$1,JupData!$A$2:$A$10000&amp;JupData!$J$2:$J$10000,0),11))</f>
        <v/>
      </c>
      <c r="X79" t="str">
        <f t="array" ref="X79">IF($A79="","",INDEX(JupData!$A$2:$K$10000,MATCH($A79&amp;X$1,JupData!$A$2:$A$10000&amp;JupData!$J$2:$J$10000,0),11))</f>
        <v/>
      </c>
      <c r="Y79" t="str">
        <f t="array" ref="Y79">IF($A79="","",INDEX(JupData!$A$2:$K$10000,MATCH($A79&amp;Y$1,JupData!$A$2:$A$10000&amp;JupData!$J$2:$J$10000,0),11))</f>
        <v/>
      </c>
      <c r="Z79" t="str">
        <f t="array" ref="Z79">IF($A79="","",INDEX(JupData!$A$2:$K$10000,MATCH($A79&amp;Z$1,JupData!$A$2:$A$10000&amp;JupData!$J$2:$J$10000,0),11))</f>
        <v/>
      </c>
      <c r="AA79" t="str">
        <f t="array" ref="AA79">IF($A79="","",INDEX(JupData!$A$2:$K$10000,MATCH($A79&amp;AA$1,JupData!$A$2:$A$10000&amp;JupData!$J$2:$J$10000,0),11))</f>
        <v/>
      </c>
      <c r="AB79" t="str">
        <f t="array" ref="AB79">IF($A79="","",INDEX(JupData!$A$2:$K$10000,MATCH($A79&amp;AB$1,JupData!$A$2:$A$10000&amp;JupData!$J$2:$J$10000,0),11))</f>
        <v/>
      </c>
      <c r="AC79" s="10" t="str">
        <f t="shared" si="11"/>
        <v/>
      </c>
      <c r="AD79" s="10" t="str">
        <f t="shared" si="12"/>
        <v/>
      </c>
      <c r="AE79" s="9" t="str">
        <f t="shared" si="13"/>
        <v/>
      </c>
      <c r="AF79" s="10" t="str">
        <f t="shared" si="14"/>
        <v/>
      </c>
      <c r="AG79" s="10" t="str">
        <f t="shared" si="15"/>
        <v/>
      </c>
      <c r="AH79" s="10" t="str">
        <f t="shared" si="16"/>
        <v/>
      </c>
      <c r="AI79" s="10" t="str">
        <f t="shared" si="17"/>
        <v/>
      </c>
      <c r="AJ79" s="10" t="str">
        <f t="shared" si="18"/>
        <v/>
      </c>
      <c r="AK79" s="10" t="str">
        <f t="shared" si="19"/>
        <v/>
      </c>
      <c r="AL79" s="14" t="str">
        <f t="shared" si="20"/>
        <v/>
      </c>
    </row>
    <row r="80" spans="1:38" x14ac:dyDescent="0.2">
      <c r="A80"/>
      <c r="B80" t="str">
        <f>IF($A80="","",VLOOKUP($A80,JupData!$A$2:$I$10000,4,FALSE))</f>
        <v/>
      </c>
      <c r="C80" s="7" t="str">
        <f>IF($A80="",IF(N(D80),0,""),VLOOKUP($A80,JupData!$A$2:$I$10000,7,FALSE))</f>
        <v/>
      </c>
      <c r="D80" t="str">
        <f t="shared" si="21"/>
        <v/>
      </c>
      <c r="E80" t="str">
        <f t="array" ref="E80">IF($A80="","",INDEX(JupData!$A$2:$K$10000,MATCH($A80&amp;E$1,JupData!$A$2:$A$10000&amp;JupData!$J$2:$J$10000,0),11))</f>
        <v/>
      </c>
      <c r="F80" t="str">
        <f t="array" ref="F80">IF($A80="","",INDEX(JupData!$A$2:$K$10000,MATCH($A80&amp;F$1,JupData!$A$2:$A$10000&amp;JupData!$J$2:$J$10000,0),11))</f>
        <v/>
      </c>
      <c r="G80" t="str">
        <f t="array" ref="G80">IF($A80="","",INDEX(JupData!$A$2:$K$10000,MATCH($A80&amp;G$1,JupData!$A$2:$A$10000&amp;JupData!$J$2:$J$10000,0),11))</f>
        <v/>
      </c>
      <c r="H80" t="str">
        <f t="array" ref="H80">IF($A80="","",INDEX(JupData!$A$2:$K$10000,MATCH($A80&amp;H$1,JupData!$A$2:$A$10000&amp;JupData!$J$2:$J$10000,0),11))</f>
        <v/>
      </c>
      <c r="I80" t="str">
        <f t="array" ref="I80">IF($A80="","",INDEX(JupData!$A$2:$K$10000,MATCH($A80&amp;I$1,JupData!$A$2:$A$10000&amp;JupData!$J$2:$J$10000,0),11))</f>
        <v/>
      </c>
      <c r="J80" t="str">
        <f t="array" ref="J80">IF($A80="","",INDEX(JupData!$A$2:$K$10000,MATCH($A80&amp;J$1,JupData!$A$2:$A$10000&amp;JupData!$J$2:$J$10000,0),11))</f>
        <v/>
      </c>
      <c r="K80" t="str">
        <f t="array" ref="K80">IF($A80="","",INDEX(JupData!$A$2:$K$10000,MATCH($A80&amp;K$1,JupData!$A$2:$A$10000&amp;JupData!$J$2:$J$10000,0),11))</f>
        <v/>
      </c>
      <c r="L80" t="str">
        <f t="array" ref="L80">IF($A80="","",INDEX(JupData!$A$2:$K$10000,MATCH($A80&amp;L$1,JupData!$A$2:$A$10000&amp;JupData!$J$2:$J$10000,0),11))</f>
        <v/>
      </c>
      <c r="M80" t="str">
        <f t="array" ref="M80">IF($A80="","",INDEX(JupData!$A$2:$K$10000,MATCH($A80&amp;M$1,JupData!$A$2:$A$10000&amp;JupData!$J$2:$J$10000,0),11))</f>
        <v/>
      </c>
      <c r="N80" t="str">
        <f t="array" ref="N80">IF($A80="","",INDEX(JupData!$A$2:$K$10000,MATCH($A80&amp;N$1,JupData!$A$2:$A$10000&amp;JupData!$J$2:$J$10000,0),11))</f>
        <v/>
      </c>
      <c r="O80" t="str">
        <f t="array" ref="O80">IF($A80="","",INDEX(JupData!$A$2:$K$10000,MATCH($A80&amp;O$1,JupData!$A$2:$A$10000&amp;JupData!$J$2:$J$10000,0),11))</f>
        <v/>
      </c>
      <c r="P80" t="str">
        <f t="array" ref="P80">IF($A80="","",INDEX(JupData!$A$2:$K$10000,MATCH($A80&amp;P$1,JupData!$A$2:$A$10000&amp;JupData!$J$2:$J$10000,0),11))</f>
        <v/>
      </c>
      <c r="Q80" t="str">
        <f t="array" ref="Q80">IF($A80="","",INDEX(JupData!$A$2:$K$10000,MATCH($A80&amp;Q$1,JupData!$A$2:$A$10000&amp;JupData!$J$2:$J$10000,0),11))</f>
        <v/>
      </c>
      <c r="R80" t="str">
        <f t="array" ref="R80">IF($A80="","",INDEX(JupData!$A$2:$K$10000,MATCH($A80&amp;R$1,JupData!$A$2:$A$10000&amp;JupData!$J$2:$J$10000,0),11))</f>
        <v/>
      </c>
      <c r="S80" t="str">
        <f t="array" ref="S80">IF($A80="","",INDEX(JupData!$A$2:$K$10000,MATCH($A80&amp;S$1,JupData!$A$2:$A$10000&amp;JupData!$J$2:$J$10000,0),11))</f>
        <v/>
      </c>
      <c r="T80" t="str">
        <f t="array" ref="T80">IF($A80="","",INDEX(JupData!$A$2:$K$10000,MATCH($A80&amp;T$1,JupData!$A$2:$A$10000&amp;JupData!$J$2:$J$10000,0),11))</f>
        <v/>
      </c>
      <c r="U80" t="str">
        <f t="array" ref="U80">IF($A80="","",INDEX(JupData!$A$2:$K$10000,MATCH($A80&amp;U$1,JupData!$A$2:$A$10000&amp;JupData!$J$2:$J$10000,0),11))</f>
        <v/>
      </c>
      <c r="V80" t="str">
        <f t="array" ref="V80">IF($A80="","",INDEX(JupData!$A$2:$K$10000,MATCH($A80&amp;V$1,JupData!$A$2:$A$10000&amp;JupData!$J$2:$J$10000,0),11))</f>
        <v/>
      </c>
      <c r="W80" t="str">
        <f t="array" ref="W80">IF($A80="","",INDEX(JupData!$A$2:$K$10000,MATCH($A80&amp;W$1,JupData!$A$2:$A$10000&amp;JupData!$J$2:$J$10000,0),11))</f>
        <v/>
      </c>
      <c r="X80" t="str">
        <f t="array" ref="X80">IF($A80="","",INDEX(JupData!$A$2:$K$10000,MATCH($A80&amp;X$1,JupData!$A$2:$A$10000&amp;JupData!$J$2:$J$10000,0),11))</f>
        <v/>
      </c>
      <c r="Y80" t="str">
        <f t="array" ref="Y80">IF($A80="","",INDEX(JupData!$A$2:$K$10000,MATCH($A80&amp;Y$1,JupData!$A$2:$A$10000&amp;JupData!$J$2:$J$10000,0),11))</f>
        <v/>
      </c>
      <c r="Z80" t="str">
        <f t="array" ref="Z80">IF($A80="","",INDEX(JupData!$A$2:$K$10000,MATCH($A80&amp;Z$1,JupData!$A$2:$A$10000&amp;JupData!$J$2:$J$10000,0),11))</f>
        <v/>
      </c>
      <c r="AA80" t="str">
        <f t="array" ref="AA80">IF($A80="","",INDEX(JupData!$A$2:$K$10000,MATCH($A80&amp;AA$1,JupData!$A$2:$A$10000&amp;JupData!$J$2:$J$10000,0),11))</f>
        <v/>
      </c>
      <c r="AB80" t="str">
        <f t="array" ref="AB80">IF($A80="","",INDEX(JupData!$A$2:$K$10000,MATCH($A80&amp;AB$1,JupData!$A$2:$A$10000&amp;JupData!$J$2:$J$10000,0),11))</f>
        <v/>
      </c>
      <c r="AC80" s="10" t="str">
        <f t="shared" si="11"/>
        <v/>
      </c>
      <c r="AD80" s="10" t="str">
        <f t="shared" si="12"/>
        <v/>
      </c>
      <c r="AE80" s="9" t="str">
        <f t="shared" si="13"/>
        <v/>
      </c>
      <c r="AF80" s="10" t="str">
        <f t="shared" si="14"/>
        <v/>
      </c>
      <c r="AG80" s="10" t="str">
        <f t="shared" si="15"/>
        <v/>
      </c>
      <c r="AH80" s="10" t="str">
        <f t="shared" si="16"/>
        <v/>
      </c>
      <c r="AI80" s="10" t="str">
        <f t="shared" si="17"/>
        <v/>
      </c>
      <c r="AJ80" s="10" t="str">
        <f t="shared" si="18"/>
        <v/>
      </c>
      <c r="AK80" s="10" t="str">
        <f t="shared" si="19"/>
        <v/>
      </c>
      <c r="AL80" s="14" t="str">
        <f t="shared" si="20"/>
        <v/>
      </c>
    </row>
    <row r="81" spans="1:38" x14ac:dyDescent="0.2">
      <c r="A81"/>
      <c r="B81" t="str">
        <f>IF($A81="","",VLOOKUP($A81,JupData!$A$2:$I$10000,4,FALSE))</f>
        <v/>
      </c>
      <c r="C81" s="7" t="str">
        <f>IF($A81="",IF(N(D81),0,""),VLOOKUP($A81,JupData!$A$2:$I$10000,7,FALSE))</f>
        <v/>
      </c>
      <c r="D81" t="str">
        <f t="shared" si="21"/>
        <v/>
      </c>
      <c r="E81" t="str">
        <f t="array" ref="E81">IF($A81="","",INDEX(JupData!$A$2:$K$10000,MATCH($A81&amp;E$1,JupData!$A$2:$A$10000&amp;JupData!$J$2:$J$10000,0),11))</f>
        <v/>
      </c>
      <c r="F81" t="str">
        <f t="array" ref="F81">IF($A81="","",INDEX(JupData!$A$2:$K$10000,MATCH($A81&amp;F$1,JupData!$A$2:$A$10000&amp;JupData!$J$2:$J$10000,0),11))</f>
        <v/>
      </c>
      <c r="G81" t="str">
        <f t="array" ref="G81">IF($A81="","",INDEX(JupData!$A$2:$K$10000,MATCH($A81&amp;G$1,JupData!$A$2:$A$10000&amp;JupData!$J$2:$J$10000,0),11))</f>
        <v/>
      </c>
      <c r="H81" t="str">
        <f t="array" ref="H81">IF($A81="","",INDEX(JupData!$A$2:$K$10000,MATCH($A81&amp;H$1,JupData!$A$2:$A$10000&amp;JupData!$J$2:$J$10000,0),11))</f>
        <v/>
      </c>
      <c r="I81" t="str">
        <f t="array" ref="I81">IF($A81="","",INDEX(JupData!$A$2:$K$10000,MATCH($A81&amp;I$1,JupData!$A$2:$A$10000&amp;JupData!$J$2:$J$10000,0),11))</f>
        <v/>
      </c>
      <c r="J81" t="str">
        <f t="array" ref="J81">IF($A81="","",INDEX(JupData!$A$2:$K$10000,MATCH($A81&amp;J$1,JupData!$A$2:$A$10000&amp;JupData!$J$2:$J$10000,0),11))</f>
        <v/>
      </c>
      <c r="K81" t="str">
        <f t="array" ref="K81">IF($A81="","",INDEX(JupData!$A$2:$K$10000,MATCH($A81&amp;K$1,JupData!$A$2:$A$10000&amp;JupData!$J$2:$J$10000,0),11))</f>
        <v/>
      </c>
      <c r="L81" t="str">
        <f t="array" ref="L81">IF($A81="","",INDEX(JupData!$A$2:$K$10000,MATCH($A81&amp;L$1,JupData!$A$2:$A$10000&amp;JupData!$J$2:$J$10000,0),11))</f>
        <v/>
      </c>
      <c r="M81" t="str">
        <f t="array" ref="M81">IF($A81="","",INDEX(JupData!$A$2:$K$10000,MATCH($A81&amp;M$1,JupData!$A$2:$A$10000&amp;JupData!$J$2:$J$10000,0),11))</f>
        <v/>
      </c>
      <c r="N81" t="str">
        <f t="array" ref="N81">IF($A81="","",INDEX(JupData!$A$2:$K$10000,MATCH($A81&amp;N$1,JupData!$A$2:$A$10000&amp;JupData!$J$2:$J$10000,0),11))</f>
        <v/>
      </c>
      <c r="O81" t="str">
        <f t="array" ref="O81">IF($A81="","",INDEX(JupData!$A$2:$K$10000,MATCH($A81&amp;O$1,JupData!$A$2:$A$10000&amp;JupData!$J$2:$J$10000,0),11))</f>
        <v/>
      </c>
      <c r="P81" t="str">
        <f t="array" ref="P81">IF($A81="","",INDEX(JupData!$A$2:$K$10000,MATCH($A81&amp;P$1,JupData!$A$2:$A$10000&amp;JupData!$J$2:$J$10000,0),11))</f>
        <v/>
      </c>
      <c r="Q81" t="str">
        <f t="array" ref="Q81">IF($A81="","",INDEX(JupData!$A$2:$K$10000,MATCH($A81&amp;Q$1,JupData!$A$2:$A$10000&amp;JupData!$J$2:$J$10000,0),11))</f>
        <v/>
      </c>
      <c r="R81" t="str">
        <f t="array" ref="R81">IF($A81="","",INDEX(JupData!$A$2:$K$10000,MATCH($A81&amp;R$1,JupData!$A$2:$A$10000&amp;JupData!$J$2:$J$10000,0),11))</f>
        <v/>
      </c>
      <c r="S81" t="str">
        <f t="array" ref="S81">IF($A81="","",INDEX(JupData!$A$2:$K$10000,MATCH($A81&amp;S$1,JupData!$A$2:$A$10000&amp;JupData!$J$2:$J$10000,0),11))</f>
        <v/>
      </c>
      <c r="T81" t="str">
        <f t="array" ref="T81">IF($A81="","",INDEX(JupData!$A$2:$K$10000,MATCH($A81&amp;T$1,JupData!$A$2:$A$10000&amp;JupData!$J$2:$J$10000,0),11))</f>
        <v/>
      </c>
      <c r="U81" t="str">
        <f t="array" ref="U81">IF($A81="","",INDEX(JupData!$A$2:$K$10000,MATCH($A81&amp;U$1,JupData!$A$2:$A$10000&amp;JupData!$J$2:$J$10000,0),11))</f>
        <v/>
      </c>
      <c r="V81" t="str">
        <f t="array" ref="V81">IF($A81="","",INDEX(JupData!$A$2:$K$10000,MATCH($A81&amp;V$1,JupData!$A$2:$A$10000&amp;JupData!$J$2:$J$10000,0),11))</f>
        <v/>
      </c>
      <c r="W81" t="str">
        <f t="array" ref="W81">IF($A81="","",INDEX(JupData!$A$2:$K$10000,MATCH($A81&amp;W$1,JupData!$A$2:$A$10000&amp;JupData!$J$2:$J$10000,0),11))</f>
        <v/>
      </c>
      <c r="X81" t="str">
        <f t="array" ref="X81">IF($A81="","",INDEX(JupData!$A$2:$K$10000,MATCH($A81&amp;X$1,JupData!$A$2:$A$10000&amp;JupData!$J$2:$J$10000,0),11))</f>
        <v/>
      </c>
      <c r="Y81" t="str">
        <f t="array" ref="Y81">IF($A81="","",INDEX(JupData!$A$2:$K$10000,MATCH($A81&amp;Y$1,JupData!$A$2:$A$10000&amp;JupData!$J$2:$J$10000,0),11))</f>
        <v/>
      </c>
      <c r="Z81" t="str">
        <f t="array" ref="Z81">IF($A81="","",INDEX(JupData!$A$2:$K$10000,MATCH($A81&amp;Z$1,JupData!$A$2:$A$10000&amp;JupData!$J$2:$J$10000,0),11))</f>
        <v/>
      </c>
      <c r="AA81" t="str">
        <f t="array" ref="AA81">IF($A81="","",INDEX(JupData!$A$2:$K$10000,MATCH($A81&amp;AA$1,JupData!$A$2:$A$10000&amp;JupData!$J$2:$J$10000,0),11))</f>
        <v/>
      </c>
      <c r="AB81" t="str">
        <f t="array" ref="AB81">IF($A81="","",INDEX(JupData!$A$2:$K$10000,MATCH($A81&amp;AB$1,JupData!$A$2:$A$10000&amp;JupData!$J$2:$J$10000,0),11))</f>
        <v/>
      </c>
      <c r="AC81" s="10" t="str">
        <f t="shared" si="11"/>
        <v/>
      </c>
      <c r="AD81" s="10" t="str">
        <f t="shared" si="12"/>
        <v/>
      </c>
      <c r="AE81" s="9" t="str">
        <f t="shared" si="13"/>
        <v/>
      </c>
      <c r="AF81" s="10" t="str">
        <f t="shared" si="14"/>
        <v/>
      </c>
      <c r="AG81" s="10" t="str">
        <f t="shared" si="15"/>
        <v/>
      </c>
      <c r="AH81" s="10" t="str">
        <f t="shared" si="16"/>
        <v/>
      </c>
      <c r="AI81" s="10" t="str">
        <f t="shared" si="17"/>
        <v/>
      </c>
      <c r="AJ81" s="10" t="str">
        <f t="shared" si="18"/>
        <v/>
      </c>
      <c r="AK81" s="10" t="str">
        <f t="shared" si="19"/>
        <v/>
      </c>
      <c r="AL81" s="14" t="str">
        <f t="shared" si="20"/>
        <v/>
      </c>
    </row>
    <row r="82" spans="1:38" x14ac:dyDescent="0.2">
      <c r="A82"/>
      <c r="B82" t="str">
        <f>IF($A82="","",VLOOKUP($A82,JupData!$A$2:$I$10000,4,FALSE))</f>
        <v/>
      </c>
      <c r="C82" s="7" t="str">
        <f>IF($A82="",IF(N(D82),0,""),VLOOKUP($A82,JupData!$A$2:$I$10000,7,FALSE))</f>
        <v/>
      </c>
      <c r="D82" t="str">
        <f t="shared" si="21"/>
        <v/>
      </c>
      <c r="E82" t="str">
        <f t="array" ref="E82">IF($A82="","",INDEX(JupData!$A$2:$K$10000,MATCH($A82&amp;E$1,JupData!$A$2:$A$10000&amp;JupData!$J$2:$J$10000,0),11))</f>
        <v/>
      </c>
      <c r="F82" t="str">
        <f t="array" ref="F82">IF($A82="","",INDEX(JupData!$A$2:$K$10000,MATCH($A82&amp;F$1,JupData!$A$2:$A$10000&amp;JupData!$J$2:$J$10000,0),11))</f>
        <v/>
      </c>
      <c r="G82" t="str">
        <f t="array" ref="G82">IF($A82="","",INDEX(JupData!$A$2:$K$10000,MATCH($A82&amp;G$1,JupData!$A$2:$A$10000&amp;JupData!$J$2:$J$10000,0),11))</f>
        <v/>
      </c>
      <c r="H82" t="str">
        <f t="array" ref="H82">IF($A82="","",INDEX(JupData!$A$2:$K$10000,MATCH($A82&amp;H$1,JupData!$A$2:$A$10000&amp;JupData!$J$2:$J$10000,0),11))</f>
        <v/>
      </c>
      <c r="I82" t="str">
        <f t="array" ref="I82">IF($A82="","",INDEX(JupData!$A$2:$K$10000,MATCH($A82&amp;I$1,JupData!$A$2:$A$10000&amp;JupData!$J$2:$J$10000,0),11))</f>
        <v/>
      </c>
      <c r="J82" t="str">
        <f t="array" ref="J82">IF($A82="","",INDEX(JupData!$A$2:$K$10000,MATCH($A82&amp;J$1,JupData!$A$2:$A$10000&amp;JupData!$J$2:$J$10000,0),11))</f>
        <v/>
      </c>
      <c r="K82" t="str">
        <f t="array" ref="K82">IF($A82="","",INDEX(JupData!$A$2:$K$10000,MATCH($A82&amp;K$1,JupData!$A$2:$A$10000&amp;JupData!$J$2:$J$10000,0),11))</f>
        <v/>
      </c>
      <c r="L82" t="str">
        <f t="array" ref="L82">IF($A82="","",INDEX(JupData!$A$2:$K$10000,MATCH($A82&amp;L$1,JupData!$A$2:$A$10000&amp;JupData!$J$2:$J$10000,0),11))</f>
        <v/>
      </c>
      <c r="M82" t="str">
        <f t="array" ref="M82">IF($A82="","",INDEX(JupData!$A$2:$K$10000,MATCH($A82&amp;M$1,JupData!$A$2:$A$10000&amp;JupData!$J$2:$J$10000,0),11))</f>
        <v/>
      </c>
      <c r="N82" t="str">
        <f t="array" ref="N82">IF($A82="","",INDEX(JupData!$A$2:$K$10000,MATCH($A82&amp;N$1,JupData!$A$2:$A$10000&amp;JupData!$J$2:$J$10000,0),11))</f>
        <v/>
      </c>
      <c r="O82" t="str">
        <f t="array" ref="O82">IF($A82="","",INDEX(JupData!$A$2:$K$10000,MATCH($A82&amp;O$1,JupData!$A$2:$A$10000&amp;JupData!$J$2:$J$10000,0),11))</f>
        <v/>
      </c>
      <c r="P82" t="str">
        <f t="array" ref="P82">IF($A82="","",INDEX(JupData!$A$2:$K$10000,MATCH($A82&amp;P$1,JupData!$A$2:$A$10000&amp;JupData!$J$2:$J$10000,0),11))</f>
        <v/>
      </c>
      <c r="Q82" t="str">
        <f t="array" ref="Q82">IF($A82="","",INDEX(JupData!$A$2:$K$10000,MATCH($A82&amp;Q$1,JupData!$A$2:$A$10000&amp;JupData!$J$2:$J$10000,0),11))</f>
        <v/>
      </c>
      <c r="R82" t="str">
        <f t="array" ref="R82">IF($A82="","",INDEX(JupData!$A$2:$K$10000,MATCH($A82&amp;R$1,JupData!$A$2:$A$10000&amp;JupData!$J$2:$J$10000,0),11))</f>
        <v/>
      </c>
      <c r="S82" t="str">
        <f t="array" ref="S82">IF($A82="","",INDEX(JupData!$A$2:$K$10000,MATCH($A82&amp;S$1,JupData!$A$2:$A$10000&amp;JupData!$J$2:$J$10000,0),11))</f>
        <v/>
      </c>
      <c r="T82" t="str">
        <f t="array" ref="T82">IF($A82="","",INDEX(JupData!$A$2:$K$10000,MATCH($A82&amp;T$1,JupData!$A$2:$A$10000&amp;JupData!$J$2:$J$10000,0),11))</f>
        <v/>
      </c>
      <c r="U82" t="str">
        <f t="array" ref="U82">IF($A82="","",INDEX(JupData!$A$2:$K$10000,MATCH($A82&amp;U$1,JupData!$A$2:$A$10000&amp;JupData!$J$2:$J$10000,0),11))</f>
        <v/>
      </c>
      <c r="V82" t="str">
        <f t="array" ref="V82">IF($A82="","",INDEX(JupData!$A$2:$K$10000,MATCH($A82&amp;V$1,JupData!$A$2:$A$10000&amp;JupData!$J$2:$J$10000,0),11))</f>
        <v/>
      </c>
      <c r="W82" t="str">
        <f t="array" ref="W82">IF($A82="","",INDEX(JupData!$A$2:$K$10000,MATCH($A82&amp;W$1,JupData!$A$2:$A$10000&amp;JupData!$J$2:$J$10000,0),11))</f>
        <v/>
      </c>
      <c r="X82" t="str">
        <f t="array" ref="X82">IF($A82="","",INDEX(JupData!$A$2:$K$10000,MATCH($A82&amp;X$1,JupData!$A$2:$A$10000&amp;JupData!$J$2:$J$10000,0),11))</f>
        <v/>
      </c>
      <c r="Y82" t="str">
        <f t="array" ref="Y82">IF($A82="","",INDEX(JupData!$A$2:$K$10000,MATCH($A82&amp;Y$1,JupData!$A$2:$A$10000&amp;JupData!$J$2:$J$10000,0),11))</f>
        <v/>
      </c>
      <c r="Z82" t="str">
        <f t="array" ref="Z82">IF($A82="","",INDEX(JupData!$A$2:$K$10000,MATCH($A82&amp;Z$1,JupData!$A$2:$A$10000&amp;JupData!$J$2:$J$10000,0),11))</f>
        <v/>
      </c>
      <c r="AA82" t="str">
        <f t="array" ref="AA82">IF($A82="","",INDEX(JupData!$A$2:$K$10000,MATCH($A82&amp;AA$1,JupData!$A$2:$A$10000&amp;JupData!$J$2:$J$10000,0),11))</f>
        <v/>
      </c>
      <c r="AB82" t="str">
        <f t="array" ref="AB82">IF($A82="","",INDEX(JupData!$A$2:$K$10000,MATCH($A82&amp;AB$1,JupData!$A$2:$A$10000&amp;JupData!$J$2:$J$10000,0),11))</f>
        <v/>
      </c>
      <c r="AC82" s="10" t="str">
        <f t="shared" si="11"/>
        <v/>
      </c>
      <c r="AD82" s="10" t="str">
        <f t="shared" si="12"/>
        <v/>
      </c>
      <c r="AE82" s="9" t="str">
        <f t="shared" si="13"/>
        <v/>
      </c>
      <c r="AF82" s="10" t="str">
        <f t="shared" si="14"/>
        <v/>
      </c>
      <c r="AG82" s="10" t="str">
        <f t="shared" si="15"/>
        <v/>
      </c>
      <c r="AH82" s="10" t="str">
        <f t="shared" si="16"/>
        <v/>
      </c>
      <c r="AI82" s="10" t="str">
        <f t="shared" si="17"/>
        <v/>
      </c>
      <c r="AJ82" s="10" t="str">
        <f t="shared" si="18"/>
        <v/>
      </c>
      <c r="AK82" s="10" t="str">
        <f t="shared" si="19"/>
        <v/>
      </c>
      <c r="AL82" s="14" t="str">
        <f t="shared" si="20"/>
        <v/>
      </c>
    </row>
    <row r="83" spans="1:38" x14ac:dyDescent="0.2">
      <c r="A83"/>
      <c r="B83" t="str">
        <f>IF($A83="","",VLOOKUP($A83,JupData!$A$2:$I$10000,4,FALSE))</f>
        <v/>
      </c>
      <c r="C83" s="7" t="str">
        <f>IF($A83="",IF(N(D83),0,""),VLOOKUP($A83,JupData!$A$2:$I$10000,7,FALSE))</f>
        <v/>
      </c>
      <c r="D83" t="str">
        <f t="shared" si="21"/>
        <v/>
      </c>
      <c r="E83" t="str">
        <f t="array" ref="E83">IF($A83="","",INDEX(JupData!$A$2:$K$10000,MATCH($A83&amp;E$1,JupData!$A$2:$A$10000&amp;JupData!$J$2:$J$10000,0),11))</f>
        <v/>
      </c>
      <c r="F83" t="str">
        <f t="array" ref="F83">IF($A83="","",INDEX(JupData!$A$2:$K$10000,MATCH($A83&amp;F$1,JupData!$A$2:$A$10000&amp;JupData!$J$2:$J$10000,0),11))</f>
        <v/>
      </c>
      <c r="G83" t="str">
        <f t="array" ref="G83">IF($A83="","",INDEX(JupData!$A$2:$K$10000,MATCH($A83&amp;G$1,JupData!$A$2:$A$10000&amp;JupData!$J$2:$J$10000,0),11))</f>
        <v/>
      </c>
      <c r="H83" t="str">
        <f t="array" ref="H83">IF($A83="","",INDEX(JupData!$A$2:$K$10000,MATCH($A83&amp;H$1,JupData!$A$2:$A$10000&amp;JupData!$J$2:$J$10000,0),11))</f>
        <v/>
      </c>
      <c r="I83" t="str">
        <f t="array" ref="I83">IF($A83="","",INDEX(JupData!$A$2:$K$10000,MATCH($A83&amp;I$1,JupData!$A$2:$A$10000&amp;JupData!$J$2:$J$10000,0),11))</f>
        <v/>
      </c>
      <c r="J83" t="str">
        <f t="array" ref="J83">IF($A83="","",INDEX(JupData!$A$2:$K$10000,MATCH($A83&amp;J$1,JupData!$A$2:$A$10000&amp;JupData!$J$2:$J$10000,0),11))</f>
        <v/>
      </c>
      <c r="K83" t="str">
        <f t="array" ref="K83">IF($A83="","",INDEX(JupData!$A$2:$K$10000,MATCH($A83&amp;K$1,JupData!$A$2:$A$10000&amp;JupData!$J$2:$J$10000,0),11))</f>
        <v/>
      </c>
      <c r="L83" t="str">
        <f t="array" ref="L83">IF($A83="","",INDEX(JupData!$A$2:$K$10000,MATCH($A83&amp;L$1,JupData!$A$2:$A$10000&amp;JupData!$J$2:$J$10000,0),11))</f>
        <v/>
      </c>
      <c r="M83" t="str">
        <f t="array" ref="M83">IF($A83="","",INDEX(JupData!$A$2:$K$10000,MATCH($A83&amp;M$1,JupData!$A$2:$A$10000&amp;JupData!$J$2:$J$10000,0),11))</f>
        <v/>
      </c>
      <c r="N83" t="str">
        <f t="array" ref="N83">IF($A83="","",INDEX(JupData!$A$2:$K$10000,MATCH($A83&amp;N$1,JupData!$A$2:$A$10000&amp;JupData!$J$2:$J$10000,0),11))</f>
        <v/>
      </c>
      <c r="O83" t="str">
        <f t="array" ref="O83">IF($A83="","",INDEX(JupData!$A$2:$K$10000,MATCH($A83&amp;O$1,JupData!$A$2:$A$10000&amp;JupData!$J$2:$J$10000,0),11))</f>
        <v/>
      </c>
      <c r="P83" t="str">
        <f t="array" ref="P83">IF($A83="","",INDEX(JupData!$A$2:$K$10000,MATCH($A83&amp;P$1,JupData!$A$2:$A$10000&amp;JupData!$J$2:$J$10000,0),11))</f>
        <v/>
      </c>
      <c r="Q83" t="str">
        <f t="array" ref="Q83">IF($A83="","",INDEX(JupData!$A$2:$K$10000,MATCH($A83&amp;Q$1,JupData!$A$2:$A$10000&amp;JupData!$J$2:$J$10000,0),11))</f>
        <v/>
      </c>
      <c r="R83" t="str">
        <f t="array" ref="R83">IF($A83="","",INDEX(JupData!$A$2:$K$10000,MATCH($A83&amp;R$1,JupData!$A$2:$A$10000&amp;JupData!$J$2:$J$10000,0),11))</f>
        <v/>
      </c>
      <c r="S83" t="str">
        <f t="array" ref="S83">IF($A83="","",INDEX(JupData!$A$2:$K$10000,MATCH($A83&amp;S$1,JupData!$A$2:$A$10000&amp;JupData!$J$2:$J$10000,0),11))</f>
        <v/>
      </c>
      <c r="T83" t="str">
        <f t="array" ref="T83">IF($A83="","",INDEX(JupData!$A$2:$K$10000,MATCH($A83&amp;T$1,JupData!$A$2:$A$10000&amp;JupData!$J$2:$J$10000,0),11))</f>
        <v/>
      </c>
      <c r="U83" t="str">
        <f t="array" ref="U83">IF($A83="","",INDEX(JupData!$A$2:$K$10000,MATCH($A83&amp;U$1,JupData!$A$2:$A$10000&amp;JupData!$J$2:$J$10000,0),11))</f>
        <v/>
      </c>
      <c r="V83" t="str">
        <f t="array" ref="V83">IF($A83="","",INDEX(JupData!$A$2:$K$10000,MATCH($A83&amp;V$1,JupData!$A$2:$A$10000&amp;JupData!$J$2:$J$10000,0),11))</f>
        <v/>
      </c>
      <c r="W83" t="str">
        <f t="array" ref="W83">IF($A83="","",INDEX(JupData!$A$2:$K$10000,MATCH($A83&amp;W$1,JupData!$A$2:$A$10000&amp;JupData!$J$2:$J$10000,0),11))</f>
        <v/>
      </c>
      <c r="X83" t="str">
        <f t="array" ref="X83">IF($A83="","",INDEX(JupData!$A$2:$K$10000,MATCH($A83&amp;X$1,JupData!$A$2:$A$10000&amp;JupData!$J$2:$J$10000,0),11))</f>
        <v/>
      </c>
      <c r="Y83" t="str">
        <f t="array" ref="Y83">IF($A83="","",INDEX(JupData!$A$2:$K$10000,MATCH($A83&amp;Y$1,JupData!$A$2:$A$10000&amp;JupData!$J$2:$J$10000,0),11))</f>
        <v/>
      </c>
      <c r="Z83" t="str">
        <f t="array" ref="Z83">IF($A83="","",INDEX(JupData!$A$2:$K$10000,MATCH($A83&amp;Z$1,JupData!$A$2:$A$10000&amp;JupData!$J$2:$J$10000,0),11))</f>
        <v/>
      </c>
      <c r="AA83" t="str">
        <f t="array" ref="AA83">IF($A83="","",INDEX(JupData!$A$2:$K$10000,MATCH($A83&amp;AA$1,JupData!$A$2:$A$10000&amp;JupData!$J$2:$J$10000,0),11))</f>
        <v/>
      </c>
      <c r="AB83" t="str">
        <f t="array" ref="AB83">IF($A83="","",INDEX(JupData!$A$2:$K$10000,MATCH($A83&amp;AB$1,JupData!$A$2:$A$10000&amp;JupData!$J$2:$J$10000,0),11))</f>
        <v/>
      </c>
      <c r="AC83" s="10" t="str">
        <f t="shared" si="11"/>
        <v/>
      </c>
      <c r="AD83" s="10" t="str">
        <f t="shared" si="12"/>
        <v/>
      </c>
      <c r="AE83" s="9" t="str">
        <f t="shared" si="13"/>
        <v/>
      </c>
      <c r="AF83" s="10" t="str">
        <f t="shared" si="14"/>
        <v/>
      </c>
      <c r="AG83" s="10" t="str">
        <f t="shared" si="15"/>
        <v/>
      </c>
      <c r="AH83" s="10" t="str">
        <f t="shared" si="16"/>
        <v/>
      </c>
      <c r="AI83" s="10" t="str">
        <f t="shared" si="17"/>
        <v/>
      </c>
      <c r="AJ83" s="10" t="str">
        <f t="shared" si="18"/>
        <v/>
      </c>
      <c r="AK83" s="10" t="str">
        <f t="shared" si="19"/>
        <v/>
      </c>
      <c r="AL83" s="14" t="str">
        <f t="shared" si="20"/>
        <v/>
      </c>
    </row>
    <row r="84" spans="1:38" x14ac:dyDescent="0.2">
      <c r="A84"/>
      <c r="B84" t="str">
        <f>IF($A84="","",VLOOKUP($A84,JupData!$A$2:$I$10000,4,FALSE))</f>
        <v/>
      </c>
      <c r="C84" s="7" t="str">
        <f>IF($A84="",IF(N(D84),0,""),VLOOKUP($A84,JupData!$A$2:$I$10000,7,FALSE))</f>
        <v/>
      </c>
      <c r="D84" t="str">
        <f t="shared" si="21"/>
        <v/>
      </c>
      <c r="E84" t="str">
        <f t="array" ref="E84">IF($A84="","",INDEX(JupData!$A$2:$K$10000,MATCH($A84&amp;E$1,JupData!$A$2:$A$10000&amp;JupData!$J$2:$J$10000,0),11))</f>
        <v/>
      </c>
      <c r="F84" t="str">
        <f t="array" ref="F84">IF($A84="","",INDEX(JupData!$A$2:$K$10000,MATCH($A84&amp;F$1,JupData!$A$2:$A$10000&amp;JupData!$J$2:$J$10000,0),11))</f>
        <v/>
      </c>
      <c r="G84" t="str">
        <f t="array" ref="G84">IF($A84="","",INDEX(JupData!$A$2:$K$10000,MATCH($A84&amp;G$1,JupData!$A$2:$A$10000&amp;JupData!$J$2:$J$10000,0),11))</f>
        <v/>
      </c>
      <c r="H84" t="str">
        <f t="array" ref="H84">IF($A84="","",INDEX(JupData!$A$2:$K$10000,MATCH($A84&amp;H$1,JupData!$A$2:$A$10000&amp;JupData!$J$2:$J$10000,0),11))</f>
        <v/>
      </c>
      <c r="I84" t="str">
        <f t="array" ref="I84">IF($A84="","",INDEX(JupData!$A$2:$K$10000,MATCH($A84&amp;I$1,JupData!$A$2:$A$10000&amp;JupData!$J$2:$J$10000,0),11))</f>
        <v/>
      </c>
      <c r="J84" t="str">
        <f t="array" ref="J84">IF($A84="","",INDEX(JupData!$A$2:$K$10000,MATCH($A84&amp;J$1,JupData!$A$2:$A$10000&amp;JupData!$J$2:$J$10000,0),11))</f>
        <v/>
      </c>
      <c r="K84" t="str">
        <f t="array" ref="K84">IF($A84="","",INDEX(JupData!$A$2:$K$10000,MATCH($A84&amp;K$1,JupData!$A$2:$A$10000&amp;JupData!$J$2:$J$10000,0),11))</f>
        <v/>
      </c>
      <c r="L84" t="str">
        <f t="array" ref="L84">IF($A84="","",INDEX(JupData!$A$2:$K$10000,MATCH($A84&amp;L$1,JupData!$A$2:$A$10000&amp;JupData!$J$2:$J$10000,0),11))</f>
        <v/>
      </c>
      <c r="M84" t="str">
        <f t="array" ref="M84">IF($A84="","",INDEX(JupData!$A$2:$K$10000,MATCH($A84&amp;M$1,JupData!$A$2:$A$10000&amp;JupData!$J$2:$J$10000,0),11))</f>
        <v/>
      </c>
      <c r="N84" t="str">
        <f t="array" ref="N84">IF($A84="","",INDEX(JupData!$A$2:$K$10000,MATCH($A84&amp;N$1,JupData!$A$2:$A$10000&amp;JupData!$J$2:$J$10000,0),11))</f>
        <v/>
      </c>
      <c r="O84" t="str">
        <f t="array" ref="O84">IF($A84="","",INDEX(JupData!$A$2:$K$10000,MATCH($A84&amp;O$1,JupData!$A$2:$A$10000&amp;JupData!$J$2:$J$10000,0),11))</f>
        <v/>
      </c>
      <c r="P84" t="str">
        <f t="array" ref="P84">IF($A84="","",INDEX(JupData!$A$2:$K$10000,MATCH($A84&amp;P$1,JupData!$A$2:$A$10000&amp;JupData!$J$2:$J$10000,0),11))</f>
        <v/>
      </c>
      <c r="Q84" t="str">
        <f t="array" ref="Q84">IF($A84="","",INDEX(JupData!$A$2:$K$10000,MATCH($A84&amp;Q$1,JupData!$A$2:$A$10000&amp;JupData!$J$2:$J$10000,0),11))</f>
        <v/>
      </c>
      <c r="R84" t="str">
        <f t="array" ref="R84">IF($A84="","",INDEX(JupData!$A$2:$K$10000,MATCH($A84&amp;R$1,JupData!$A$2:$A$10000&amp;JupData!$J$2:$J$10000,0),11))</f>
        <v/>
      </c>
      <c r="S84" t="str">
        <f t="array" ref="S84">IF($A84="","",INDEX(JupData!$A$2:$K$10000,MATCH($A84&amp;S$1,JupData!$A$2:$A$10000&amp;JupData!$J$2:$J$10000,0),11))</f>
        <v/>
      </c>
      <c r="T84" t="str">
        <f t="array" ref="T84">IF($A84="","",INDEX(JupData!$A$2:$K$10000,MATCH($A84&amp;T$1,JupData!$A$2:$A$10000&amp;JupData!$J$2:$J$10000,0),11))</f>
        <v/>
      </c>
      <c r="U84" t="str">
        <f t="array" ref="U84">IF($A84="","",INDEX(JupData!$A$2:$K$10000,MATCH($A84&amp;U$1,JupData!$A$2:$A$10000&amp;JupData!$J$2:$J$10000,0),11))</f>
        <v/>
      </c>
      <c r="V84" t="str">
        <f t="array" ref="V84">IF($A84="","",INDEX(JupData!$A$2:$K$10000,MATCH($A84&amp;V$1,JupData!$A$2:$A$10000&amp;JupData!$J$2:$J$10000,0),11))</f>
        <v/>
      </c>
      <c r="W84" t="str">
        <f t="array" ref="W84">IF($A84="","",INDEX(JupData!$A$2:$K$10000,MATCH($A84&amp;W$1,JupData!$A$2:$A$10000&amp;JupData!$J$2:$J$10000,0),11))</f>
        <v/>
      </c>
      <c r="X84" t="str">
        <f t="array" ref="X84">IF($A84="","",INDEX(JupData!$A$2:$K$10000,MATCH($A84&amp;X$1,JupData!$A$2:$A$10000&amp;JupData!$J$2:$J$10000,0),11))</f>
        <v/>
      </c>
      <c r="Y84" t="str">
        <f t="array" ref="Y84">IF($A84="","",INDEX(JupData!$A$2:$K$10000,MATCH($A84&amp;Y$1,JupData!$A$2:$A$10000&amp;JupData!$J$2:$J$10000,0),11))</f>
        <v/>
      </c>
      <c r="Z84" t="str">
        <f t="array" ref="Z84">IF($A84="","",INDEX(JupData!$A$2:$K$10000,MATCH($A84&amp;Z$1,JupData!$A$2:$A$10000&amp;JupData!$J$2:$J$10000,0),11))</f>
        <v/>
      </c>
      <c r="AA84" t="str">
        <f t="array" ref="AA84">IF($A84="","",INDEX(JupData!$A$2:$K$10000,MATCH($A84&amp;AA$1,JupData!$A$2:$A$10000&amp;JupData!$J$2:$J$10000,0),11))</f>
        <v/>
      </c>
      <c r="AB84" t="str">
        <f t="array" ref="AB84">IF($A84="","",INDEX(JupData!$A$2:$K$10000,MATCH($A84&amp;AB$1,JupData!$A$2:$A$10000&amp;JupData!$J$2:$J$10000,0),11))</f>
        <v/>
      </c>
      <c r="AC84" s="10" t="str">
        <f t="shared" si="11"/>
        <v/>
      </c>
      <c r="AD84" s="10" t="str">
        <f t="shared" si="12"/>
        <v/>
      </c>
      <c r="AE84" s="9" t="str">
        <f t="shared" si="13"/>
        <v/>
      </c>
      <c r="AF84" s="10" t="str">
        <f t="shared" si="14"/>
        <v/>
      </c>
      <c r="AG84" s="10" t="str">
        <f t="shared" si="15"/>
        <v/>
      </c>
      <c r="AH84" s="10" t="str">
        <f t="shared" si="16"/>
        <v/>
      </c>
      <c r="AI84" s="10" t="str">
        <f t="shared" si="17"/>
        <v/>
      </c>
      <c r="AJ84" s="10" t="str">
        <f t="shared" si="18"/>
        <v/>
      </c>
      <c r="AK84" s="10" t="str">
        <f t="shared" si="19"/>
        <v/>
      </c>
      <c r="AL84" s="14" t="str">
        <f t="shared" si="20"/>
        <v/>
      </c>
    </row>
    <row r="85" spans="1:38" x14ac:dyDescent="0.2">
      <c r="A85"/>
      <c r="B85" t="str">
        <f>IF($A85="","",VLOOKUP($A85,JupData!$A$2:$I$10000,4,FALSE))</f>
        <v/>
      </c>
      <c r="C85" s="7" t="str">
        <f>IF($A85="",IF(N(D85),0,""),VLOOKUP($A85,JupData!$A$2:$I$10000,7,FALSE))</f>
        <v/>
      </c>
      <c r="D85" t="str">
        <f t="shared" si="21"/>
        <v/>
      </c>
      <c r="E85" t="str">
        <f t="array" ref="E85">IF($A85="","",INDEX(JupData!$A$2:$K$10000,MATCH($A85&amp;E$1,JupData!$A$2:$A$10000&amp;JupData!$J$2:$J$10000,0),11))</f>
        <v/>
      </c>
      <c r="F85" t="str">
        <f t="array" ref="F85">IF($A85="","",INDEX(JupData!$A$2:$K$10000,MATCH($A85&amp;F$1,JupData!$A$2:$A$10000&amp;JupData!$J$2:$J$10000,0),11))</f>
        <v/>
      </c>
      <c r="G85" t="str">
        <f t="array" ref="G85">IF($A85="","",INDEX(JupData!$A$2:$K$10000,MATCH($A85&amp;G$1,JupData!$A$2:$A$10000&amp;JupData!$J$2:$J$10000,0),11))</f>
        <v/>
      </c>
      <c r="H85" t="str">
        <f t="array" ref="H85">IF($A85="","",INDEX(JupData!$A$2:$K$10000,MATCH($A85&amp;H$1,JupData!$A$2:$A$10000&amp;JupData!$J$2:$J$10000,0),11))</f>
        <v/>
      </c>
      <c r="I85" t="str">
        <f t="array" ref="I85">IF($A85="","",INDEX(JupData!$A$2:$K$10000,MATCH($A85&amp;I$1,JupData!$A$2:$A$10000&amp;JupData!$J$2:$J$10000,0),11))</f>
        <v/>
      </c>
      <c r="J85" t="str">
        <f t="array" ref="J85">IF($A85="","",INDEX(JupData!$A$2:$K$10000,MATCH($A85&amp;J$1,JupData!$A$2:$A$10000&amp;JupData!$J$2:$J$10000,0),11))</f>
        <v/>
      </c>
      <c r="K85" t="str">
        <f t="array" ref="K85">IF($A85="","",INDEX(JupData!$A$2:$K$10000,MATCH($A85&amp;K$1,JupData!$A$2:$A$10000&amp;JupData!$J$2:$J$10000,0),11))</f>
        <v/>
      </c>
      <c r="L85" t="str">
        <f t="array" ref="L85">IF($A85="","",INDEX(JupData!$A$2:$K$10000,MATCH($A85&amp;L$1,JupData!$A$2:$A$10000&amp;JupData!$J$2:$J$10000,0),11))</f>
        <v/>
      </c>
      <c r="M85" t="str">
        <f t="array" ref="M85">IF($A85="","",INDEX(JupData!$A$2:$K$10000,MATCH($A85&amp;M$1,JupData!$A$2:$A$10000&amp;JupData!$J$2:$J$10000,0),11))</f>
        <v/>
      </c>
      <c r="N85" t="str">
        <f t="array" ref="N85">IF($A85="","",INDEX(JupData!$A$2:$K$10000,MATCH($A85&amp;N$1,JupData!$A$2:$A$10000&amp;JupData!$J$2:$J$10000,0),11))</f>
        <v/>
      </c>
      <c r="O85" t="str">
        <f t="array" ref="O85">IF($A85="","",INDEX(JupData!$A$2:$K$10000,MATCH($A85&amp;O$1,JupData!$A$2:$A$10000&amp;JupData!$J$2:$J$10000,0),11))</f>
        <v/>
      </c>
      <c r="P85" t="str">
        <f t="array" ref="P85">IF($A85="","",INDEX(JupData!$A$2:$K$10000,MATCH($A85&amp;P$1,JupData!$A$2:$A$10000&amp;JupData!$J$2:$J$10000,0),11))</f>
        <v/>
      </c>
      <c r="Q85" t="str">
        <f t="array" ref="Q85">IF($A85="","",INDEX(JupData!$A$2:$K$10000,MATCH($A85&amp;Q$1,JupData!$A$2:$A$10000&amp;JupData!$J$2:$J$10000,0),11))</f>
        <v/>
      </c>
      <c r="R85" t="str">
        <f t="array" ref="R85">IF($A85="","",INDEX(JupData!$A$2:$K$10000,MATCH($A85&amp;R$1,JupData!$A$2:$A$10000&amp;JupData!$J$2:$J$10000,0),11))</f>
        <v/>
      </c>
      <c r="S85" t="str">
        <f t="array" ref="S85">IF($A85="","",INDEX(JupData!$A$2:$K$10000,MATCH($A85&amp;S$1,JupData!$A$2:$A$10000&amp;JupData!$J$2:$J$10000,0),11))</f>
        <v/>
      </c>
      <c r="T85" t="str">
        <f t="array" ref="T85">IF($A85="","",INDEX(JupData!$A$2:$K$10000,MATCH($A85&amp;T$1,JupData!$A$2:$A$10000&amp;JupData!$J$2:$J$10000,0),11))</f>
        <v/>
      </c>
      <c r="U85" t="str">
        <f t="array" ref="U85">IF($A85="","",INDEX(JupData!$A$2:$K$10000,MATCH($A85&amp;U$1,JupData!$A$2:$A$10000&amp;JupData!$J$2:$J$10000,0),11))</f>
        <v/>
      </c>
      <c r="V85" t="str">
        <f t="array" ref="V85">IF($A85="","",INDEX(JupData!$A$2:$K$10000,MATCH($A85&amp;V$1,JupData!$A$2:$A$10000&amp;JupData!$J$2:$J$10000,0),11))</f>
        <v/>
      </c>
      <c r="W85" t="str">
        <f t="array" ref="W85">IF($A85="","",INDEX(JupData!$A$2:$K$10000,MATCH($A85&amp;W$1,JupData!$A$2:$A$10000&amp;JupData!$J$2:$J$10000,0),11))</f>
        <v/>
      </c>
      <c r="X85" t="str">
        <f t="array" ref="X85">IF($A85="","",INDEX(JupData!$A$2:$K$10000,MATCH($A85&amp;X$1,JupData!$A$2:$A$10000&amp;JupData!$J$2:$J$10000,0),11))</f>
        <v/>
      </c>
      <c r="Y85" t="str">
        <f t="array" ref="Y85">IF($A85="","",INDEX(JupData!$A$2:$K$10000,MATCH($A85&amp;Y$1,JupData!$A$2:$A$10000&amp;JupData!$J$2:$J$10000,0),11))</f>
        <v/>
      </c>
      <c r="Z85" t="str">
        <f t="array" ref="Z85">IF($A85="","",INDEX(JupData!$A$2:$K$10000,MATCH($A85&amp;Z$1,JupData!$A$2:$A$10000&amp;JupData!$J$2:$J$10000,0),11))</f>
        <v/>
      </c>
      <c r="AA85" t="str">
        <f t="array" ref="AA85">IF($A85="","",INDEX(JupData!$A$2:$K$10000,MATCH($A85&amp;AA$1,JupData!$A$2:$A$10000&amp;JupData!$J$2:$J$10000,0),11))</f>
        <v/>
      </c>
      <c r="AB85" t="str">
        <f t="array" ref="AB85">IF($A85="","",INDEX(JupData!$A$2:$K$10000,MATCH($A85&amp;AB$1,JupData!$A$2:$A$10000&amp;JupData!$J$2:$J$10000,0),11))</f>
        <v/>
      </c>
      <c r="AC85" s="10" t="str">
        <f t="shared" si="11"/>
        <v/>
      </c>
      <c r="AD85" s="10" t="str">
        <f t="shared" si="12"/>
        <v/>
      </c>
      <c r="AE85" s="9" t="str">
        <f t="shared" si="13"/>
        <v/>
      </c>
      <c r="AF85" s="10" t="str">
        <f t="shared" si="14"/>
        <v/>
      </c>
      <c r="AG85" s="10" t="str">
        <f t="shared" si="15"/>
        <v/>
      </c>
      <c r="AH85" s="10" t="str">
        <f t="shared" si="16"/>
        <v/>
      </c>
      <c r="AI85" s="10" t="str">
        <f t="shared" si="17"/>
        <v/>
      </c>
      <c r="AJ85" s="10" t="str">
        <f t="shared" si="18"/>
        <v/>
      </c>
      <c r="AK85" s="10" t="str">
        <f t="shared" si="19"/>
        <v/>
      </c>
      <c r="AL85" s="14" t="str">
        <f t="shared" si="20"/>
        <v/>
      </c>
    </row>
    <row r="86" spans="1:38" x14ac:dyDescent="0.2">
      <c r="A86"/>
      <c r="B86" t="str">
        <f>IF($A86="","",VLOOKUP($A86,JupData!$A$2:$I$10000,4,FALSE))</f>
        <v/>
      </c>
      <c r="C86" s="7" t="str">
        <f>IF($A86="",IF(N(D86),0,""),VLOOKUP($A86,JupData!$A$2:$I$10000,7,FALSE))</f>
        <v/>
      </c>
      <c r="D86" t="str">
        <f t="shared" si="21"/>
        <v/>
      </c>
      <c r="E86" t="str">
        <f t="array" ref="E86">IF($A86="","",INDEX(JupData!$A$2:$K$10000,MATCH($A86&amp;E$1,JupData!$A$2:$A$10000&amp;JupData!$J$2:$J$10000,0),11))</f>
        <v/>
      </c>
      <c r="F86" t="str">
        <f t="array" ref="F86">IF($A86="","",INDEX(JupData!$A$2:$K$10000,MATCH($A86&amp;F$1,JupData!$A$2:$A$10000&amp;JupData!$J$2:$J$10000,0),11))</f>
        <v/>
      </c>
      <c r="G86" t="str">
        <f t="array" ref="G86">IF($A86="","",INDEX(JupData!$A$2:$K$10000,MATCH($A86&amp;G$1,JupData!$A$2:$A$10000&amp;JupData!$J$2:$J$10000,0),11))</f>
        <v/>
      </c>
      <c r="H86" t="str">
        <f t="array" ref="H86">IF($A86="","",INDEX(JupData!$A$2:$K$10000,MATCH($A86&amp;H$1,JupData!$A$2:$A$10000&amp;JupData!$J$2:$J$10000,0),11))</f>
        <v/>
      </c>
      <c r="I86" t="str">
        <f t="array" ref="I86">IF($A86="","",INDEX(JupData!$A$2:$K$10000,MATCH($A86&amp;I$1,JupData!$A$2:$A$10000&amp;JupData!$J$2:$J$10000,0),11))</f>
        <v/>
      </c>
      <c r="J86" t="str">
        <f t="array" ref="J86">IF($A86="","",INDEX(JupData!$A$2:$K$10000,MATCH($A86&amp;J$1,JupData!$A$2:$A$10000&amp;JupData!$J$2:$J$10000,0),11))</f>
        <v/>
      </c>
      <c r="K86" t="str">
        <f t="array" ref="K86">IF($A86="","",INDEX(JupData!$A$2:$K$10000,MATCH($A86&amp;K$1,JupData!$A$2:$A$10000&amp;JupData!$J$2:$J$10000,0),11))</f>
        <v/>
      </c>
      <c r="L86" t="str">
        <f t="array" ref="L86">IF($A86="","",INDEX(JupData!$A$2:$K$10000,MATCH($A86&amp;L$1,JupData!$A$2:$A$10000&amp;JupData!$J$2:$J$10000,0),11))</f>
        <v/>
      </c>
      <c r="M86" t="str">
        <f t="array" ref="M86">IF($A86="","",INDEX(JupData!$A$2:$K$10000,MATCH($A86&amp;M$1,JupData!$A$2:$A$10000&amp;JupData!$J$2:$J$10000,0),11))</f>
        <v/>
      </c>
      <c r="N86" t="str">
        <f t="array" ref="N86">IF($A86="","",INDEX(JupData!$A$2:$K$10000,MATCH($A86&amp;N$1,JupData!$A$2:$A$10000&amp;JupData!$J$2:$J$10000,0),11))</f>
        <v/>
      </c>
      <c r="O86" t="str">
        <f t="array" ref="O86">IF($A86="","",INDEX(JupData!$A$2:$K$10000,MATCH($A86&amp;O$1,JupData!$A$2:$A$10000&amp;JupData!$J$2:$J$10000,0),11))</f>
        <v/>
      </c>
      <c r="P86" t="str">
        <f t="array" ref="P86">IF($A86="","",INDEX(JupData!$A$2:$K$10000,MATCH($A86&amp;P$1,JupData!$A$2:$A$10000&amp;JupData!$J$2:$J$10000,0),11))</f>
        <v/>
      </c>
      <c r="Q86" t="str">
        <f t="array" ref="Q86">IF($A86="","",INDEX(JupData!$A$2:$K$10000,MATCH($A86&amp;Q$1,JupData!$A$2:$A$10000&amp;JupData!$J$2:$J$10000,0),11))</f>
        <v/>
      </c>
      <c r="R86" t="str">
        <f t="array" ref="R86">IF($A86="","",INDEX(JupData!$A$2:$K$10000,MATCH($A86&amp;R$1,JupData!$A$2:$A$10000&amp;JupData!$J$2:$J$10000,0),11))</f>
        <v/>
      </c>
      <c r="S86" t="str">
        <f t="array" ref="S86">IF($A86="","",INDEX(JupData!$A$2:$K$10000,MATCH($A86&amp;S$1,JupData!$A$2:$A$10000&amp;JupData!$J$2:$J$10000,0),11))</f>
        <v/>
      </c>
      <c r="T86" t="str">
        <f t="array" ref="T86">IF($A86="","",INDEX(JupData!$A$2:$K$10000,MATCH($A86&amp;T$1,JupData!$A$2:$A$10000&amp;JupData!$J$2:$J$10000,0),11))</f>
        <v/>
      </c>
      <c r="U86" t="str">
        <f t="array" ref="U86">IF($A86="","",INDEX(JupData!$A$2:$K$10000,MATCH($A86&amp;U$1,JupData!$A$2:$A$10000&amp;JupData!$J$2:$J$10000,0),11))</f>
        <v/>
      </c>
      <c r="V86" t="str">
        <f t="array" ref="V86">IF($A86="","",INDEX(JupData!$A$2:$K$10000,MATCH($A86&amp;V$1,JupData!$A$2:$A$10000&amp;JupData!$J$2:$J$10000,0),11))</f>
        <v/>
      </c>
      <c r="W86" t="str">
        <f t="array" ref="W86">IF($A86="","",INDEX(JupData!$A$2:$K$10000,MATCH($A86&amp;W$1,JupData!$A$2:$A$10000&amp;JupData!$J$2:$J$10000,0),11))</f>
        <v/>
      </c>
      <c r="X86" t="str">
        <f t="array" ref="X86">IF($A86="","",INDEX(JupData!$A$2:$K$10000,MATCH($A86&amp;X$1,JupData!$A$2:$A$10000&amp;JupData!$J$2:$J$10000,0),11))</f>
        <v/>
      </c>
      <c r="Y86" t="str">
        <f t="array" ref="Y86">IF($A86="","",INDEX(JupData!$A$2:$K$10000,MATCH($A86&amp;Y$1,JupData!$A$2:$A$10000&amp;JupData!$J$2:$J$10000,0),11))</f>
        <v/>
      </c>
      <c r="Z86" t="str">
        <f t="array" ref="Z86">IF($A86="","",INDEX(JupData!$A$2:$K$10000,MATCH($A86&amp;Z$1,JupData!$A$2:$A$10000&amp;JupData!$J$2:$J$10000,0),11))</f>
        <v/>
      </c>
      <c r="AA86" t="str">
        <f t="array" ref="AA86">IF($A86="","",INDEX(JupData!$A$2:$K$10000,MATCH($A86&amp;AA$1,JupData!$A$2:$A$10000&amp;JupData!$J$2:$J$10000,0),11))</f>
        <v/>
      </c>
      <c r="AB86" t="str">
        <f t="array" ref="AB86">IF($A86="","",INDEX(JupData!$A$2:$K$10000,MATCH($A86&amp;AB$1,JupData!$A$2:$A$10000&amp;JupData!$J$2:$J$10000,0),11))</f>
        <v/>
      </c>
      <c r="AC86" s="10" t="str">
        <f t="shared" si="11"/>
        <v/>
      </c>
      <c r="AD86" s="10" t="str">
        <f t="shared" si="12"/>
        <v/>
      </c>
      <c r="AE86" s="9" t="str">
        <f t="shared" si="13"/>
        <v/>
      </c>
      <c r="AF86" s="10" t="str">
        <f t="shared" si="14"/>
        <v/>
      </c>
      <c r="AG86" s="10" t="str">
        <f t="shared" si="15"/>
        <v/>
      </c>
      <c r="AH86" s="10" t="str">
        <f t="shared" si="16"/>
        <v/>
      </c>
      <c r="AI86" s="10" t="str">
        <f t="shared" si="17"/>
        <v/>
      </c>
      <c r="AJ86" s="10" t="str">
        <f t="shared" si="18"/>
        <v/>
      </c>
      <c r="AK86" s="10" t="str">
        <f t="shared" si="19"/>
        <v/>
      </c>
      <c r="AL86" s="14" t="str">
        <f t="shared" si="20"/>
        <v/>
      </c>
    </row>
    <row r="87" spans="1:38" x14ac:dyDescent="0.2">
      <c r="A87"/>
      <c r="B87" t="str">
        <f>IF($A87="","",VLOOKUP($A87,JupData!$A$2:$I$10000,4,FALSE))</f>
        <v/>
      </c>
      <c r="C87" s="7" t="str">
        <f>IF($A87="",IF(N(D87),0,""),VLOOKUP($A87,JupData!$A$2:$I$10000,7,FALSE))</f>
        <v/>
      </c>
      <c r="D87" t="str">
        <f t="shared" si="21"/>
        <v/>
      </c>
      <c r="E87" t="str">
        <f t="array" ref="E87">IF($A87="","",INDEX(JupData!$A$2:$K$10000,MATCH($A87&amp;E$1,JupData!$A$2:$A$10000&amp;JupData!$J$2:$J$10000,0),11))</f>
        <v/>
      </c>
      <c r="F87" t="str">
        <f t="array" ref="F87">IF($A87="","",INDEX(JupData!$A$2:$K$10000,MATCH($A87&amp;F$1,JupData!$A$2:$A$10000&amp;JupData!$J$2:$J$10000,0),11))</f>
        <v/>
      </c>
      <c r="G87" t="str">
        <f t="array" ref="G87">IF($A87="","",INDEX(JupData!$A$2:$K$10000,MATCH($A87&amp;G$1,JupData!$A$2:$A$10000&amp;JupData!$J$2:$J$10000,0),11))</f>
        <v/>
      </c>
      <c r="H87" t="str">
        <f t="array" ref="H87">IF($A87="","",INDEX(JupData!$A$2:$K$10000,MATCH($A87&amp;H$1,JupData!$A$2:$A$10000&amp;JupData!$J$2:$J$10000,0),11))</f>
        <v/>
      </c>
      <c r="I87" t="str">
        <f t="array" ref="I87">IF($A87="","",INDEX(JupData!$A$2:$K$10000,MATCH($A87&amp;I$1,JupData!$A$2:$A$10000&amp;JupData!$J$2:$J$10000,0),11))</f>
        <v/>
      </c>
      <c r="J87" t="str">
        <f t="array" ref="J87">IF($A87="","",INDEX(JupData!$A$2:$K$10000,MATCH($A87&amp;J$1,JupData!$A$2:$A$10000&amp;JupData!$J$2:$J$10000,0),11))</f>
        <v/>
      </c>
      <c r="K87" t="str">
        <f t="array" ref="K87">IF($A87="","",INDEX(JupData!$A$2:$K$10000,MATCH($A87&amp;K$1,JupData!$A$2:$A$10000&amp;JupData!$J$2:$J$10000,0),11))</f>
        <v/>
      </c>
      <c r="L87" t="str">
        <f t="array" ref="L87">IF($A87="","",INDEX(JupData!$A$2:$K$10000,MATCH($A87&amp;L$1,JupData!$A$2:$A$10000&amp;JupData!$J$2:$J$10000,0),11))</f>
        <v/>
      </c>
      <c r="M87" t="str">
        <f t="array" ref="M87">IF($A87="","",INDEX(JupData!$A$2:$K$10000,MATCH($A87&amp;M$1,JupData!$A$2:$A$10000&amp;JupData!$J$2:$J$10000,0),11))</f>
        <v/>
      </c>
      <c r="N87" t="str">
        <f t="array" ref="N87">IF($A87="","",INDEX(JupData!$A$2:$K$10000,MATCH($A87&amp;N$1,JupData!$A$2:$A$10000&amp;JupData!$J$2:$J$10000,0),11))</f>
        <v/>
      </c>
      <c r="O87" t="str">
        <f t="array" ref="O87">IF($A87="","",INDEX(JupData!$A$2:$K$10000,MATCH($A87&amp;O$1,JupData!$A$2:$A$10000&amp;JupData!$J$2:$J$10000,0),11))</f>
        <v/>
      </c>
      <c r="P87" t="str">
        <f t="array" ref="P87">IF($A87="","",INDEX(JupData!$A$2:$K$10000,MATCH($A87&amp;P$1,JupData!$A$2:$A$10000&amp;JupData!$J$2:$J$10000,0),11))</f>
        <v/>
      </c>
      <c r="Q87" t="str">
        <f t="array" ref="Q87">IF($A87="","",INDEX(JupData!$A$2:$K$10000,MATCH($A87&amp;Q$1,JupData!$A$2:$A$10000&amp;JupData!$J$2:$J$10000,0),11))</f>
        <v/>
      </c>
      <c r="R87" t="str">
        <f t="array" ref="R87">IF($A87="","",INDEX(JupData!$A$2:$K$10000,MATCH($A87&amp;R$1,JupData!$A$2:$A$10000&amp;JupData!$J$2:$J$10000,0),11))</f>
        <v/>
      </c>
      <c r="S87" t="str">
        <f t="array" ref="S87">IF($A87="","",INDEX(JupData!$A$2:$K$10000,MATCH($A87&amp;S$1,JupData!$A$2:$A$10000&amp;JupData!$J$2:$J$10000,0),11))</f>
        <v/>
      </c>
      <c r="T87" t="str">
        <f t="array" ref="T87">IF($A87="","",INDEX(JupData!$A$2:$K$10000,MATCH($A87&amp;T$1,JupData!$A$2:$A$10000&amp;JupData!$J$2:$J$10000,0),11))</f>
        <v/>
      </c>
      <c r="U87" t="str">
        <f t="array" ref="U87">IF($A87="","",INDEX(JupData!$A$2:$K$10000,MATCH($A87&amp;U$1,JupData!$A$2:$A$10000&amp;JupData!$J$2:$J$10000,0),11))</f>
        <v/>
      </c>
      <c r="V87" t="str">
        <f t="array" ref="V87">IF($A87="","",INDEX(JupData!$A$2:$K$10000,MATCH($A87&amp;V$1,JupData!$A$2:$A$10000&amp;JupData!$J$2:$J$10000,0),11))</f>
        <v/>
      </c>
      <c r="W87" t="str">
        <f t="array" ref="W87">IF($A87="","",INDEX(JupData!$A$2:$K$10000,MATCH($A87&amp;W$1,JupData!$A$2:$A$10000&amp;JupData!$J$2:$J$10000,0),11))</f>
        <v/>
      </c>
      <c r="X87" t="str">
        <f t="array" ref="X87">IF($A87="","",INDEX(JupData!$A$2:$K$10000,MATCH($A87&amp;X$1,JupData!$A$2:$A$10000&amp;JupData!$J$2:$J$10000,0),11))</f>
        <v/>
      </c>
      <c r="Y87" t="str">
        <f t="array" ref="Y87">IF($A87="","",INDEX(JupData!$A$2:$K$10000,MATCH($A87&amp;Y$1,JupData!$A$2:$A$10000&amp;JupData!$J$2:$J$10000,0),11))</f>
        <v/>
      </c>
      <c r="Z87" t="str">
        <f t="array" ref="Z87">IF($A87="","",INDEX(JupData!$A$2:$K$10000,MATCH($A87&amp;Z$1,JupData!$A$2:$A$10000&amp;JupData!$J$2:$J$10000,0),11))</f>
        <v/>
      </c>
      <c r="AA87" t="str">
        <f t="array" ref="AA87">IF($A87="","",INDEX(JupData!$A$2:$K$10000,MATCH($A87&amp;AA$1,JupData!$A$2:$A$10000&amp;JupData!$J$2:$J$10000,0),11))</f>
        <v/>
      </c>
      <c r="AB87" t="str">
        <f t="array" ref="AB87">IF($A87="","",INDEX(JupData!$A$2:$K$10000,MATCH($A87&amp;AB$1,JupData!$A$2:$A$10000&amp;JupData!$J$2:$J$10000,0),11))</f>
        <v/>
      </c>
      <c r="AC87" s="10" t="str">
        <f t="shared" si="11"/>
        <v/>
      </c>
      <c r="AD87" s="10" t="str">
        <f t="shared" si="12"/>
        <v/>
      </c>
      <c r="AE87" s="9" t="str">
        <f t="shared" si="13"/>
        <v/>
      </c>
      <c r="AF87" s="10" t="str">
        <f t="shared" si="14"/>
        <v/>
      </c>
      <c r="AG87" s="10" t="str">
        <f t="shared" si="15"/>
        <v/>
      </c>
      <c r="AH87" s="10" t="str">
        <f t="shared" si="16"/>
        <v/>
      </c>
      <c r="AI87" s="10" t="str">
        <f t="shared" si="17"/>
        <v/>
      </c>
      <c r="AJ87" s="10" t="str">
        <f t="shared" si="18"/>
        <v/>
      </c>
      <c r="AK87" s="10" t="str">
        <f t="shared" si="19"/>
        <v/>
      </c>
      <c r="AL87" s="14" t="str">
        <f t="shared" si="20"/>
        <v/>
      </c>
    </row>
    <row r="88" spans="1:38" x14ac:dyDescent="0.2">
      <c r="A88"/>
      <c r="B88" t="str">
        <f>IF($A88="","",VLOOKUP($A88,JupData!$A$2:$I$10000,4,FALSE))</f>
        <v/>
      </c>
      <c r="C88" s="7" t="str">
        <f>IF($A88="",IF(N(D88),0,""),VLOOKUP($A88,JupData!$A$2:$I$10000,7,FALSE))</f>
        <v/>
      </c>
      <c r="D88" t="str">
        <f t="shared" si="21"/>
        <v/>
      </c>
      <c r="E88" t="str">
        <f t="array" ref="E88">IF($A88="","",INDEX(JupData!$A$2:$K$10000,MATCH($A88&amp;E$1,JupData!$A$2:$A$10000&amp;JupData!$J$2:$J$10000,0),11))</f>
        <v/>
      </c>
      <c r="F88" t="str">
        <f t="array" ref="F88">IF($A88="","",INDEX(JupData!$A$2:$K$10000,MATCH($A88&amp;F$1,JupData!$A$2:$A$10000&amp;JupData!$J$2:$J$10000,0),11))</f>
        <v/>
      </c>
      <c r="G88" t="str">
        <f t="array" ref="G88">IF($A88="","",INDEX(JupData!$A$2:$K$10000,MATCH($A88&amp;G$1,JupData!$A$2:$A$10000&amp;JupData!$J$2:$J$10000,0),11))</f>
        <v/>
      </c>
      <c r="H88" t="str">
        <f t="array" ref="H88">IF($A88="","",INDEX(JupData!$A$2:$K$10000,MATCH($A88&amp;H$1,JupData!$A$2:$A$10000&amp;JupData!$J$2:$J$10000,0),11))</f>
        <v/>
      </c>
      <c r="I88" t="str">
        <f t="array" ref="I88">IF($A88="","",INDEX(JupData!$A$2:$K$10000,MATCH($A88&amp;I$1,JupData!$A$2:$A$10000&amp;JupData!$J$2:$J$10000,0),11))</f>
        <v/>
      </c>
      <c r="J88" t="str">
        <f t="array" ref="J88">IF($A88="","",INDEX(JupData!$A$2:$K$10000,MATCH($A88&amp;J$1,JupData!$A$2:$A$10000&amp;JupData!$J$2:$J$10000,0),11))</f>
        <v/>
      </c>
      <c r="K88" t="str">
        <f t="array" ref="K88">IF($A88="","",INDEX(JupData!$A$2:$K$10000,MATCH($A88&amp;K$1,JupData!$A$2:$A$10000&amp;JupData!$J$2:$J$10000,0),11))</f>
        <v/>
      </c>
      <c r="L88" t="str">
        <f t="array" ref="L88">IF($A88="","",INDEX(JupData!$A$2:$K$10000,MATCH($A88&amp;L$1,JupData!$A$2:$A$10000&amp;JupData!$J$2:$J$10000,0),11))</f>
        <v/>
      </c>
      <c r="M88" t="str">
        <f t="array" ref="M88">IF($A88="","",INDEX(JupData!$A$2:$K$10000,MATCH($A88&amp;M$1,JupData!$A$2:$A$10000&amp;JupData!$J$2:$J$10000,0),11))</f>
        <v/>
      </c>
      <c r="N88" t="str">
        <f t="array" ref="N88">IF($A88="","",INDEX(JupData!$A$2:$K$10000,MATCH($A88&amp;N$1,JupData!$A$2:$A$10000&amp;JupData!$J$2:$J$10000,0),11))</f>
        <v/>
      </c>
      <c r="O88" t="str">
        <f t="array" ref="O88">IF($A88="","",INDEX(JupData!$A$2:$K$10000,MATCH($A88&amp;O$1,JupData!$A$2:$A$10000&amp;JupData!$J$2:$J$10000,0),11))</f>
        <v/>
      </c>
      <c r="P88" t="str">
        <f t="array" ref="P88">IF($A88="","",INDEX(JupData!$A$2:$K$10000,MATCH($A88&amp;P$1,JupData!$A$2:$A$10000&amp;JupData!$J$2:$J$10000,0),11))</f>
        <v/>
      </c>
      <c r="Q88" t="str">
        <f t="array" ref="Q88">IF($A88="","",INDEX(JupData!$A$2:$K$10000,MATCH($A88&amp;Q$1,JupData!$A$2:$A$10000&amp;JupData!$J$2:$J$10000,0),11))</f>
        <v/>
      </c>
      <c r="R88" t="str">
        <f t="array" ref="R88">IF($A88="","",INDEX(JupData!$A$2:$K$10000,MATCH($A88&amp;R$1,JupData!$A$2:$A$10000&amp;JupData!$J$2:$J$10000,0),11))</f>
        <v/>
      </c>
      <c r="S88" t="str">
        <f t="array" ref="S88">IF($A88="","",INDEX(JupData!$A$2:$K$10000,MATCH($A88&amp;S$1,JupData!$A$2:$A$10000&amp;JupData!$J$2:$J$10000,0),11))</f>
        <v/>
      </c>
      <c r="T88" t="str">
        <f t="array" ref="T88">IF($A88="","",INDEX(JupData!$A$2:$K$10000,MATCH($A88&amp;T$1,JupData!$A$2:$A$10000&amp;JupData!$J$2:$J$10000,0),11))</f>
        <v/>
      </c>
      <c r="U88" t="str">
        <f t="array" ref="U88">IF($A88="","",INDEX(JupData!$A$2:$K$10000,MATCH($A88&amp;U$1,JupData!$A$2:$A$10000&amp;JupData!$J$2:$J$10000,0),11))</f>
        <v/>
      </c>
      <c r="V88" t="str">
        <f t="array" ref="V88">IF($A88="","",INDEX(JupData!$A$2:$K$10000,MATCH($A88&amp;V$1,JupData!$A$2:$A$10000&amp;JupData!$J$2:$J$10000,0),11))</f>
        <v/>
      </c>
      <c r="W88" t="str">
        <f t="array" ref="W88">IF($A88="","",INDEX(JupData!$A$2:$K$10000,MATCH($A88&amp;W$1,JupData!$A$2:$A$10000&amp;JupData!$J$2:$J$10000,0),11))</f>
        <v/>
      </c>
      <c r="X88" t="str">
        <f t="array" ref="X88">IF($A88="","",INDEX(JupData!$A$2:$K$10000,MATCH($A88&amp;X$1,JupData!$A$2:$A$10000&amp;JupData!$J$2:$J$10000,0),11))</f>
        <v/>
      </c>
      <c r="Y88" t="str">
        <f t="array" ref="Y88">IF($A88="","",INDEX(JupData!$A$2:$K$10000,MATCH($A88&amp;Y$1,JupData!$A$2:$A$10000&amp;JupData!$J$2:$J$10000,0),11))</f>
        <v/>
      </c>
      <c r="Z88" t="str">
        <f t="array" ref="Z88">IF($A88="","",INDEX(JupData!$A$2:$K$10000,MATCH($A88&amp;Z$1,JupData!$A$2:$A$10000&amp;JupData!$J$2:$J$10000,0),11))</f>
        <v/>
      </c>
      <c r="AA88" t="str">
        <f t="array" ref="AA88">IF($A88="","",INDEX(JupData!$A$2:$K$10000,MATCH($A88&amp;AA$1,JupData!$A$2:$A$10000&amp;JupData!$J$2:$J$10000,0),11))</f>
        <v/>
      </c>
      <c r="AB88" t="str">
        <f t="array" ref="AB88">IF($A88="","",INDEX(JupData!$A$2:$K$10000,MATCH($A88&amp;AB$1,JupData!$A$2:$A$10000&amp;JupData!$J$2:$J$10000,0),11))</f>
        <v/>
      </c>
      <c r="AC88" s="10" t="str">
        <f t="shared" si="11"/>
        <v/>
      </c>
      <c r="AD88" s="10" t="str">
        <f t="shared" si="12"/>
        <v/>
      </c>
      <c r="AE88" s="9" t="str">
        <f t="shared" si="13"/>
        <v/>
      </c>
      <c r="AF88" s="10" t="str">
        <f t="shared" si="14"/>
        <v/>
      </c>
      <c r="AG88" s="10" t="str">
        <f t="shared" si="15"/>
        <v/>
      </c>
      <c r="AH88" s="10" t="str">
        <f t="shared" si="16"/>
        <v/>
      </c>
      <c r="AI88" s="10" t="str">
        <f t="shared" si="17"/>
        <v/>
      </c>
      <c r="AJ88" s="10" t="str">
        <f t="shared" si="18"/>
        <v/>
      </c>
      <c r="AK88" s="10" t="str">
        <f t="shared" si="19"/>
        <v/>
      </c>
      <c r="AL88" s="14" t="str">
        <f t="shared" si="20"/>
        <v/>
      </c>
    </row>
    <row r="89" spans="1:38" x14ac:dyDescent="0.2">
      <c r="A89"/>
      <c r="B89" t="str">
        <f>IF($A89="","",VLOOKUP($A89,JupData!$A$2:$I$10000,4,FALSE))</f>
        <v/>
      </c>
      <c r="C89" s="7" t="str">
        <f>IF($A89="",IF(N(D89),0,""),VLOOKUP($A89,JupData!$A$2:$I$10000,7,FALSE))</f>
        <v/>
      </c>
      <c r="D89" t="str">
        <f t="shared" si="21"/>
        <v/>
      </c>
      <c r="E89" t="str">
        <f t="array" ref="E89">IF($A89="","",INDEX(JupData!$A$2:$K$10000,MATCH($A89&amp;E$1,JupData!$A$2:$A$10000&amp;JupData!$J$2:$J$10000,0),11))</f>
        <v/>
      </c>
      <c r="F89" t="str">
        <f t="array" ref="F89">IF($A89="","",INDEX(JupData!$A$2:$K$10000,MATCH($A89&amp;F$1,JupData!$A$2:$A$10000&amp;JupData!$J$2:$J$10000,0),11))</f>
        <v/>
      </c>
      <c r="G89" t="str">
        <f t="array" ref="G89">IF($A89="","",INDEX(JupData!$A$2:$K$10000,MATCH($A89&amp;G$1,JupData!$A$2:$A$10000&amp;JupData!$J$2:$J$10000,0),11))</f>
        <v/>
      </c>
      <c r="H89" t="str">
        <f t="array" ref="H89">IF($A89="","",INDEX(JupData!$A$2:$K$10000,MATCH($A89&amp;H$1,JupData!$A$2:$A$10000&amp;JupData!$J$2:$J$10000,0),11))</f>
        <v/>
      </c>
      <c r="I89" t="str">
        <f t="array" ref="I89">IF($A89="","",INDEX(JupData!$A$2:$K$10000,MATCH($A89&amp;I$1,JupData!$A$2:$A$10000&amp;JupData!$J$2:$J$10000,0),11))</f>
        <v/>
      </c>
      <c r="J89" t="str">
        <f t="array" ref="J89">IF($A89="","",INDEX(JupData!$A$2:$K$10000,MATCH($A89&amp;J$1,JupData!$A$2:$A$10000&amp;JupData!$J$2:$J$10000,0),11))</f>
        <v/>
      </c>
      <c r="K89" t="str">
        <f t="array" ref="K89">IF($A89="","",INDEX(JupData!$A$2:$K$10000,MATCH($A89&amp;K$1,JupData!$A$2:$A$10000&amp;JupData!$J$2:$J$10000,0),11))</f>
        <v/>
      </c>
      <c r="L89" t="str">
        <f t="array" ref="L89">IF($A89="","",INDEX(JupData!$A$2:$K$10000,MATCH($A89&amp;L$1,JupData!$A$2:$A$10000&amp;JupData!$J$2:$J$10000,0),11))</f>
        <v/>
      </c>
      <c r="M89" t="str">
        <f t="array" ref="M89">IF($A89="","",INDEX(JupData!$A$2:$K$10000,MATCH($A89&amp;M$1,JupData!$A$2:$A$10000&amp;JupData!$J$2:$J$10000,0),11))</f>
        <v/>
      </c>
      <c r="N89" t="str">
        <f t="array" ref="N89">IF($A89="","",INDEX(JupData!$A$2:$K$10000,MATCH($A89&amp;N$1,JupData!$A$2:$A$10000&amp;JupData!$J$2:$J$10000,0),11))</f>
        <v/>
      </c>
      <c r="O89" t="str">
        <f t="array" ref="O89">IF($A89="","",INDEX(JupData!$A$2:$K$10000,MATCH($A89&amp;O$1,JupData!$A$2:$A$10000&amp;JupData!$J$2:$J$10000,0),11))</f>
        <v/>
      </c>
      <c r="P89" t="str">
        <f t="array" ref="P89">IF($A89="","",INDEX(JupData!$A$2:$K$10000,MATCH($A89&amp;P$1,JupData!$A$2:$A$10000&amp;JupData!$J$2:$J$10000,0),11))</f>
        <v/>
      </c>
      <c r="Q89" t="str">
        <f t="array" ref="Q89">IF($A89="","",INDEX(JupData!$A$2:$K$10000,MATCH($A89&amp;Q$1,JupData!$A$2:$A$10000&amp;JupData!$J$2:$J$10000,0),11))</f>
        <v/>
      </c>
      <c r="R89" t="str">
        <f t="array" ref="R89">IF($A89="","",INDEX(JupData!$A$2:$K$10000,MATCH($A89&amp;R$1,JupData!$A$2:$A$10000&amp;JupData!$J$2:$J$10000,0),11))</f>
        <v/>
      </c>
      <c r="S89" t="str">
        <f t="array" ref="S89">IF($A89="","",INDEX(JupData!$A$2:$K$10000,MATCH($A89&amp;S$1,JupData!$A$2:$A$10000&amp;JupData!$J$2:$J$10000,0),11))</f>
        <v/>
      </c>
      <c r="T89" t="str">
        <f t="array" ref="T89">IF($A89="","",INDEX(JupData!$A$2:$K$10000,MATCH($A89&amp;T$1,JupData!$A$2:$A$10000&amp;JupData!$J$2:$J$10000,0),11))</f>
        <v/>
      </c>
      <c r="U89" t="str">
        <f t="array" ref="U89">IF($A89="","",INDEX(JupData!$A$2:$K$10000,MATCH($A89&amp;U$1,JupData!$A$2:$A$10000&amp;JupData!$J$2:$J$10000,0),11))</f>
        <v/>
      </c>
      <c r="V89" t="str">
        <f t="array" ref="V89">IF($A89="","",INDEX(JupData!$A$2:$K$10000,MATCH($A89&amp;V$1,JupData!$A$2:$A$10000&amp;JupData!$J$2:$J$10000,0),11))</f>
        <v/>
      </c>
      <c r="W89" t="str">
        <f t="array" ref="W89">IF($A89="","",INDEX(JupData!$A$2:$K$10000,MATCH($A89&amp;W$1,JupData!$A$2:$A$10000&amp;JupData!$J$2:$J$10000,0),11))</f>
        <v/>
      </c>
      <c r="X89" t="str">
        <f t="array" ref="X89">IF($A89="","",INDEX(JupData!$A$2:$K$10000,MATCH($A89&amp;X$1,JupData!$A$2:$A$10000&amp;JupData!$J$2:$J$10000,0),11))</f>
        <v/>
      </c>
      <c r="Y89" t="str">
        <f t="array" ref="Y89">IF($A89="","",INDEX(JupData!$A$2:$K$10000,MATCH($A89&amp;Y$1,JupData!$A$2:$A$10000&amp;JupData!$J$2:$J$10000,0),11))</f>
        <v/>
      </c>
      <c r="Z89" t="str">
        <f t="array" ref="Z89">IF($A89="","",INDEX(JupData!$A$2:$K$10000,MATCH($A89&amp;Z$1,JupData!$A$2:$A$10000&amp;JupData!$J$2:$J$10000,0),11))</f>
        <v/>
      </c>
      <c r="AA89" t="str">
        <f t="array" ref="AA89">IF($A89="","",INDEX(JupData!$A$2:$K$10000,MATCH($A89&amp;AA$1,JupData!$A$2:$A$10000&amp;JupData!$J$2:$J$10000,0),11))</f>
        <v/>
      </c>
      <c r="AB89" t="str">
        <f t="array" ref="AB89">IF($A89="","",INDEX(JupData!$A$2:$K$10000,MATCH($A89&amp;AB$1,JupData!$A$2:$A$10000&amp;JupData!$J$2:$J$10000,0),11))</f>
        <v/>
      </c>
      <c r="AC89" s="10" t="str">
        <f t="shared" si="11"/>
        <v/>
      </c>
      <c r="AD89" s="10" t="str">
        <f t="shared" si="12"/>
        <v/>
      </c>
      <c r="AE89" s="9" t="str">
        <f t="shared" si="13"/>
        <v/>
      </c>
      <c r="AF89" s="10" t="str">
        <f t="shared" si="14"/>
        <v/>
      </c>
      <c r="AG89" s="10" t="str">
        <f t="shared" si="15"/>
        <v/>
      </c>
      <c r="AH89" s="10" t="str">
        <f t="shared" si="16"/>
        <v/>
      </c>
      <c r="AI89" s="10" t="str">
        <f t="shared" si="17"/>
        <v/>
      </c>
      <c r="AJ89" s="10" t="str">
        <f t="shared" si="18"/>
        <v/>
      </c>
      <c r="AK89" s="10" t="str">
        <f t="shared" si="19"/>
        <v/>
      </c>
      <c r="AL89" s="14" t="str">
        <f t="shared" si="20"/>
        <v/>
      </c>
    </row>
    <row r="90" spans="1:38" x14ac:dyDescent="0.2">
      <c r="A90"/>
      <c r="B90" t="str">
        <f>IF($A90="","",VLOOKUP($A90,JupData!$A$2:$I$10000,4,FALSE))</f>
        <v/>
      </c>
      <c r="C90" s="7" t="str">
        <f>IF($A90="",IF(N(D90),0,""),VLOOKUP($A90,JupData!$A$2:$I$10000,7,FALSE))</f>
        <v/>
      </c>
      <c r="D90" t="str">
        <f t="shared" si="21"/>
        <v/>
      </c>
      <c r="E90" t="str">
        <f t="array" ref="E90">IF($A90="","",INDEX(JupData!$A$2:$K$10000,MATCH($A90&amp;E$1,JupData!$A$2:$A$10000&amp;JupData!$J$2:$J$10000,0),11))</f>
        <v/>
      </c>
      <c r="F90" t="str">
        <f t="array" ref="F90">IF($A90="","",INDEX(JupData!$A$2:$K$10000,MATCH($A90&amp;F$1,JupData!$A$2:$A$10000&amp;JupData!$J$2:$J$10000,0),11))</f>
        <v/>
      </c>
      <c r="G90" t="str">
        <f t="array" ref="G90">IF($A90="","",INDEX(JupData!$A$2:$K$10000,MATCH($A90&amp;G$1,JupData!$A$2:$A$10000&amp;JupData!$J$2:$J$10000,0),11))</f>
        <v/>
      </c>
      <c r="H90" t="str">
        <f t="array" ref="H90">IF($A90="","",INDEX(JupData!$A$2:$K$10000,MATCH($A90&amp;H$1,JupData!$A$2:$A$10000&amp;JupData!$J$2:$J$10000,0),11))</f>
        <v/>
      </c>
      <c r="I90" t="str">
        <f t="array" ref="I90">IF($A90="","",INDEX(JupData!$A$2:$K$10000,MATCH($A90&amp;I$1,JupData!$A$2:$A$10000&amp;JupData!$J$2:$J$10000,0),11))</f>
        <v/>
      </c>
      <c r="J90" t="str">
        <f t="array" ref="J90">IF($A90="","",INDEX(JupData!$A$2:$K$10000,MATCH($A90&amp;J$1,JupData!$A$2:$A$10000&amp;JupData!$J$2:$J$10000,0),11))</f>
        <v/>
      </c>
      <c r="K90" t="str">
        <f t="array" ref="K90">IF($A90="","",INDEX(JupData!$A$2:$K$10000,MATCH($A90&amp;K$1,JupData!$A$2:$A$10000&amp;JupData!$J$2:$J$10000,0),11))</f>
        <v/>
      </c>
      <c r="L90" t="str">
        <f t="array" ref="L90">IF($A90="","",INDEX(JupData!$A$2:$K$10000,MATCH($A90&amp;L$1,JupData!$A$2:$A$10000&amp;JupData!$J$2:$J$10000,0),11))</f>
        <v/>
      </c>
      <c r="M90" t="str">
        <f t="array" ref="M90">IF($A90="","",INDEX(JupData!$A$2:$K$10000,MATCH($A90&amp;M$1,JupData!$A$2:$A$10000&amp;JupData!$J$2:$J$10000,0),11))</f>
        <v/>
      </c>
      <c r="N90" t="str">
        <f t="array" ref="N90">IF($A90="","",INDEX(JupData!$A$2:$K$10000,MATCH($A90&amp;N$1,JupData!$A$2:$A$10000&amp;JupData!$J$2:$J$10000,0),11))</f>
        <v/>
      </c>
      <c r="O90" t="str">
        <f t="array" ref="O90">IF($A90="","",INDEX(JupData!$A$2:$K$10000,MATCH($A90&amp;O$1,JupData!$A$2:$A$10000&amp;JupData!$J$2:$J$10000,0),11))</f>
        <v/>
      </c>
      <c r="P90" t="str">
        <f t="array" ref="P90">IF($A90="","",INDEX(JupData!$A$2:$K$10000,MATCH($A90&amp;P$1,JupData!$A$2:$A$10000&amp;JupData!$J$2:$J$10000,0),11))</f>
        <v/>
      </c>
      <c r="Q90" t="str">
        <f t="array" ref="Q90">IF($A90="","",INDEX(JupData!$A$2:$K$10000,MATCH($A90&amp;Q$1,JupData!$A$2:$A$10000&amp;JupData!$J$2:$J$10000,0),11))</f>
        <v/>
      </c>
      <c r="R90" t="str">
        <f t="array" ref="R90">IF($A90="","",INDEX(JupData!$A$2:$K$10000,MATCH($A90&amp;R$1,JupData!$A$2:$A$10000&amp;JupData!$J$2:$J$10000,0),11))</f>
        <v/>
      </c>
      <c r="S90" t="str">
        <f t="array" ref="S90">IF($A90="","",INDEX(JupData!$A$2:$K$10000,MATCH($A90&amp;S$1,JupData!$A$2:$A$10000&amp;JupData!$J$2:$J$10000,0),11))</f>
        <v/>
      </c>
      <c r="T90" t="str">
        <f t="array" ref="T90">IF($A90="","",INDEX(JupData!$A$2:$K$10000,MATCH($A90&amp;T$1,JupData!$A$2:$A$10000&amp;JupData!$J$2:$J$10000,0),11))</f>
        <v/>
      </c>
      <c r="U90" t="str">
        <f t="array" ref="U90">IF($A90="","",INDEX(JupData!$A$2:$K$10000,MATCH($A90&amp;U$1,JupData!$A$2:$A$10000&amp;JupData!$J$2:$J$10000,0),11))</f>
        <v/>
      </c>
      <c r="V90" t="str">
        <f t="array" ref="V90">IF($A90="","",INDEX(JupData!$A$2:$K$10000,MATCH($A90&amp;V$1,JupData!$A$2:$A$10000&amp;JupData!$J$2:$J$10000,0),11))</f>
        <v/>
      </c>
      <c r="W90" t="str">
        <f t="array" ref="W90">IF($A90="","",INDEX(JupData!$A$2:$K$10000,MATCH($A90&amp;W$1,JupData!$A$2:$A$10000&amp;JupData!$J$2:$J$10000,0),11))</f>
        <v/>
      </c>
      <c r="X90" t="str">
        <f t="array" ref="X90">IF($A90="","",INDEX(JupData!$A$2:$K$10000,MATCH($A90&amp;X$1,JupData!$A$2:$A$10000&amp;JupData!$J$2:$J$10000,0),11))</f>
        <v/>
      </c>
      <c r="Y90" t="str">
        <f t="array" ref="Y90">IF($A90="","",INDEX(JupData!$A$2:$K$10000,MATCH($A90&amp;Y$1,JupData!$A$2:$A$10000&amp;JupData!$J$2:$J$10000,0),11))</f>
        <v/>
      </c>
      <c r="Z90" t="str">
        <f t="array" ref="Z90">IF($A90="","",INDEX(JupData!$A$2:$K$10000,MATCH($A90&amp;Z$1,JupData!$A$2:$A$10000&amp;JupData!$J$2:$J$10000,0),11))</f>
        <v/>
      </c>
      <c r="AA90" t="str">
        <f t="array" ref="AA90">IF($A90="","",INDEX(JupData!$A$2:$K$10000,MATCH($A90&amp;AA$1,JupData!$A$2:$A$10000&amp;JupData!$J$2:$J$10000,0),11))</f>
        <v/>
      </c>
      <c r="AB90" t="str">
        <f t="array" ref="AB90">IF($A90="","",INDEX(JupData!$A$2:$K$10000,MATCH($A90&amp;AB$1,JupData!$A$2:$A$10000&amp;JupData!$J$2:$J$10000,0),11))</f>
        <v/>
      </c>
      <c r="AC90" s="10" t="str">
        <f t="shared" si="11"/>
        <v/>
      </c>
      <c r="AD90" s="10" t="str">
        <f t="shared" si="12"/>
        <v/>
      </c>
      <c r="AE90" s="9" t="str">
        <f t="shared" si="13"/>
        <v/>
      </c>
      <c r="AF90" s="10" t="str">
        <f t="shared" si="14"/>
        <v/>
      </c>
      <c r="AG90" s="10" t="str">
        <f t="shared" si="15"/>
        <v/>
      </c>
      <c r="AH90" s="10" t="str">
        <f t="shared" si="16"/>
        <v/>
      </c>
      <c r="AI90" s="10" t="str">
        <f t="shared" si="17"/>
        <v/>
      </c>
      <c r="AJ90" s="10" t="str">
        <f t="shared" si="18"/>
        <v/>
      </c>
      <c r="AK90" s="10" t="str">
        <f t="shared" si="19"/>
        <v/>
      </c>
      <c r="AL90" s="14" t="str">
        <f t="shared" si="20"/>
        <v/>
      </c>
    </row>
    <row r="91" spans="1:38" x14ac:dyDescent="0.2">
      <c r="A91"/>
      <c r="B91" t="str">
        <f>IF($A91="","",VLOOKUP($A91,JupData!$A$2:$I$10000,4,FALSE))</f>
        <v/>
      </c>
      <c r="C91" s="7" t="str">
        <f>IF($A91="",IF(N(D91),0,""),VLOOKUP($A91,JupData!$A$2:$I$10000,7,FALSE))</f>
        <v/>
      </c>
      <c r="D91" t="str">
        <f t="shared" si="21"/>
        <v/>
      </c>
      <c r="E91" t="str">
        <f t="array" ref="E91">IF($A91="","",INDEX(JupData!$A$2:$K$10000,MATCH($A91&amp;E$1,JupData!$A$2:$A$10000&amp;JupData!$J$2:$J$10000,0),11))</f>
        <v/>
      </c>
      <c r="F91" t="str">
        <f t="array" ref="F91">IF($A91="","",INDEX(JupData!$A$2:$K$10000,MATCH($A91&amp;F$1,JupData!$A$2:$A$10000&amp;JupData!$J$2:$J$10000,0),11))</f>
        <v/>
      </c>
      <c r="G91" t="str">
        <f t="array" ref="G91">IF($A91="","",INDEX(JupData!$A$2:$K$10000,MATCH($A91&amp;G$1,JupData!$A$2:$A$10000&amp;JupData!$J$2:$J$10000,0),11))</f>
        <v/>
      </c>
      <c r="H91" t="str">
        <f t="array" ref="H91">IF($A91="","",INDEX(JupData!$A$2:$K$10000,MATCH($A91&amp;H$1,JupData!$A$2:$A$10000&amp;JupData!$J$2:$J$10000,0),11))</f>
        <v/>
      </c>
      <c r="I91" t="str">
        <f t="array" ref="I91">IF($A91="","",INDEX(JupData!$A$2:$K$10000,MATCH($A91&amp;I$1,JupData!$A$2:$A$10000&amp;JupData!$J$2:$J$10000,0),11))</f>
        <v/>
      </c>
      <c r="J91" t="str">
        <f t="array" ref="J91">IF($A91="","",INDEX(JupData!$A$2:$K$10000,MATCH($A91&amp;J$1,JupData!$A$2:$A$10000&amp;JupData!$J$2:$J$10000,0),11))</f>
        <v/>
      </c>
      <c r="K91" t="str">
        <f t="array" ref="K91">IF($A91="","",INDEX(JupData!$A$2:$K$10000,MATCH($A91&amp;K$1,JupData!$A$2:$A$10000&amp;JupData!$J$2:$J$10000,0),11))</f>
        <v/>
      </c>
      <c r="L91" t="str">
        <f t="array" ref="L91">IF($A91="","",INDEX(JupData!$A$2:$K$10000,MATCH($A91&amp;L$1,JupData!$A$2:$A$10000&amp;JupData!$J$2:$J$10000,0),11))</f>
        <v/>
      </c>
      <c r="M91" t="str">
        <f t="array" ref="M91">IF($A91="","",INDEX(JupData!$A$2:$K$10000,MATCH($A91&amp;M$1,JupData!$A$2:$A$10000&amp;JupData!$J$2:$J$10000,0),11))</f>
        <v/>
      </c>
      <c r="N91" t="str">
        <f t="array" ref="N91">IF($A91="","",INDEX(JupData!$A$2:$K$10000,MATCH($A91&amp;N$1,JupData!$A$2:$A$10000&amp;JupData!$J$2:$J$10000,0),11))</f>
        <v/>
      </c>
      <c r="O91" t="str">
        <f t="array" ref="O91">IF($A91="","",INDEX(JupData!$A$2:$K$10000,MATCH($A91&amp;O$1,JupData!$A$2:$A$10000&amp;JupData!$J$2:$J$10000,0),11))</f>
        <v/>
      </c>
      <c r="P91" t="str">
        <f t="array" ref="P91">IF($A91="","",INDEX(JupData!$A$2:$K$10000,MATCH($A91&amp;P$1,JupData!$A$2:$A$10000&amp;JupData!$J$2:$J$10000,0),11))</f>
        <v/>
      </c>
      <c r="Q91" t="str">
        <f t="array" ref="Q91">IF($A91="","",INDEX(JupData!$A$2:$K$10000,MATCH($A91&amp;Q$1,JupData!$A$2:$A$10000&amp;JupData!$J$2:$J$10000,0),11))</f>
        <v/>
      </c>
      <c r="R91" t="str">
        <f t="array" ref="R91">IF($A91="","",INDEX(JupData!$A$2:$K$10000,MATCH($A91&amp;R$1,JupData!$A$2:$A$10000&amp;JupData!$J$2:$J$10000,0),11))</f>
        <v/>
      </c>
      <c r="S91" t="str">
        <f t="array" ref="S91">IF($A91="","",INDEX(JupData!$A$2:$K$10000,MATCH($A91&amp;S$1,JupData!$A$2:$A$10000&amp;JupData!$J$2:$J$10000,0),11))</f>
        <v/>
      </c>
      <c r="T91" t="str">
        <f t="array" ref="T91">IF($A91="","",INDEX(JupData!$A$2:$K$10000,MATCH($A91&amp;T$1,JupData!$A$2:$A$10000&amp;JupData!$J$2:$J$10000,0),11))</f>
        <v/>
      </c>
      <c r="U91" t="str">
        <f t="array" ref="U91">IF($A91="","",INDEX(JupData!$A$2:$K$10000,MATCH($A91&amp;U$1,JupData!$A$2:$A$10000&amp;JupData!$J$2:$J$10000,0),11))</f>
        <v/>
      </c>
      <c r="V91" t="str">
        <f t="array" ref="V91">IF($A91="","",INDEX(JupData!$A$2:$K$10000,MATCH($A91&amp;V$1,JupData!$A$2:$A$10000&amp;JupData!$J$2:$J$10000,0),11))</f>
        <v/>
      </c>
      <c r="W91" t="str">
        <f t="array" ref="W91">IF($A91="","",INDEX(JupData!$A$2:$K$10000,MATCH($A91&amp;W$1,JupData!$A$2:$A$10000&amp;JupData!$J$2:$J$10000,0),11))</f>
        <v/>
      </c>
      <c r="X91" t="str">
        <f t="array" ref="X91">IF($A91="","",INDEX(JupData!$A$2:$K$10000,MATCH($A91&amp;X$1,JupData!$A$2:$A$10000&amp;JupData!$J$2:$J$10000,0),11))</f>
        <v/>
      </c>
      <c r="Y91" t="str">
        <f t="array" ref="Y91">IF($A91="","",INDEX(JupData!$A$2:$K$10000,MATCH($A91&amp;Y$1,JupData!$A$2:$A$10000&amp;JupData!$J$2:$J$10000,0),11))</f>
        <v/>
      </c>
      <c r="Z91" t="str">
        <f t="array" ref="Z91">IF($A91="","",INDEX(JupData!$A$2:$K$10000,MATCH($A91&amp;Z$1,JupData!$A$2:$A$10000&amp;JupData!$J$2:$J$10000,0),11))</f>
        <v/>
      </c>
      <c r="AA91" t="str">
        <f t="array" ref="AA91">IF($A91="","",INDEX(JupData!$A$2:$K$10000,MATCH($A91&amp;AA$1,JupData!$A$2:$A$10000&amp;JupData!$J$2:$J$10000,0),11))</f>
        <v/>
      </c>
      <c r="AB91" t="str">
        <f t="array" ref="AB91">IF($A91="","",INDEX(JupData!$A$2:$K$10000,MATCH($A91&amp;AB$1,JupData!$A$2:$A$10000&amp;JupData!$J$2:$J$10000,0),11))</f>
        <v/>
      </c>
      <c r="AC91" s="10" t="str">
        <f t="shared" si="11"/>
        <v/>
      </c>
      <c r="AD91" s="10" t="str">
        <f t="shared" si="12"/>
        <v/>
      </c>
      <c r="AE91" s="9" t="str">
        <f t="shared" si="13"/>
        <v/>
      </c>
      <c r="AF91" s="10" t="str">
        <f t="shared" si="14"/>
        <v/>
      </c>
      <c r="AG91" s="10" t="str">
        <f t="shared" si="15"/>
        <v/>
      </c>
      <c r="AH91" s="10" t="str">
        <f t="shared" si="16"/>
        <v/>
      </c>
      <c r="AI91" s="10" t="str">
        <f t="shared" si="17"/>
        <v/>
      </c>
      <c r="AJ91" s="10" t="str">
        <f t="shared" si="18"/>
        <v/>
      </c>
      <c r="AK91" s="10" t="str">
        <f t="shared" si="19"/>
        <v/>
      </c>
      <c r="AL91" s="14" t="str">
        <f t="shared" si="20"/>
        <v/>
      </c>
    </row>
    <row r="92" spans="1:38" x14ac:dyDescent="0.2">
      <c r="A92"/>
      <c r="B92" t="str">
        <f>IF($A92="","",VLOOKUP($A92,JupData!$A$2:$I$10000,4,FALSE))</f>
        <v/>
      </c>
      <c r="C92" s="7" t="str">
        <f>IF($A92="",IF(N(D92),0,""),VLOOKUP($A92,JupData!$A$2:$I$10000,7,FALSE))</f>
        <v/>
      </c>
      <c r="D92" t="str">
        <f t="shared" si="21"/>
        <v/>
      </c>
      <c r="E92" t="str">
        <f t="array" ref="E92">IF($A92="","",INDEX(JupData!$A$2:$K$10000,MATCH($A92&amp;E$1,JupData!$A$2:$A$10000&amp;JupData!$J$2:$J$10000,0),11))</f>
        <v/>
      </c>
      <c r="F92" t="str">
        <f t="array" ref="F92">IF($A92="","",INDEX(JupData!$A$2:$K$10000,MATCH($A92&amp;F$1,JupData!$A$2:$A$10000&amp;JupData!$J$2:$J$10000,0),11))</f>
        <v/>
      </c>
      <c r="G92" t="str">
        <f t="array" ref="G92">IF($A92="","",INDEX(JupData!$A$2:$K$10000,MATCH($A92&amp;G$1,JupData!$A$2:$A$10000&amp;JupData!$J$2:$J$10000,0),11))</f>
        <v/>
      </c>
      <c r="H92" t="str">
        <f t="array" ref="H92">IF($A92="","",INDEX(JupData!$A$2:$K$10000,MATCH($A92&amp;H$1,JupData!$A$2:$A$10000&amp;JupData!$J$2:$J$10000,0),11))</f>
        <v/>
      </c>
      <c r="I92" t="str">
        <f t="array" ref="I92">IF($A92="","",INDEX(JupData!$A$2:$K$10000,MATCH($A92&amp;I$1,JupData!$A$2:$A$10000&amp;JupData!$J$2:$J$10000,0),11))</f>
        <v/>
      </c>
      <c r="J92" t="str">
        <f t="array" ref="J92">IF($A92="","",INDEX(JupData!$A$2:$K$10000,MATCH($A92&amp;J$1,JupData!$A$2:$A$10000&amp;JupData!$J$2:$J$10000,0),11))</f>
        <v/>
      </c>
      <c r="K92" t="str">
        <f t="array" ref="K92">IF($A92="","",INDEX(JupData!$A$2:$K$10000,MATCH($A92&amp;K$1,JupData!$A$2:$A$10000&amp;JupData!$J$2:$J$10000,0),11))</f>
        <v/>
      </c>
      <c r="L92" t="str">
        <f t="array" ref="L92">IF($A92="","",INDEX(JupData!$A$2:$K$10000,MATCH($A92&amp;L$1,JupData!$A$2:$A$10000&amp;JupData!$J$2:$J$10000,0),11))</f>
        <v/>
      </c>
      <c r="M92" t="str">
        <f t="array" ref="M92">IF($A92="","",INDEX(JupData!$A$2:$K$10000,MATCH($A92&amp;M$1,JupData!$A$2:$A$10000&amp;JupData!$J$2:$J$10000,0),11))</f>
        <v/>
      </c>
      <c r="N92" t="str">
        <f t="array" ref="N92">IF($A92="","",INDEX(JupData!$A$2:$K$10000,MATCH($A92&amp;N$1,JupData!$A$2:$A$10000&amp;JupData!$J$2:$J$10000,0),11))</f>
        <v/>
      </c>
      <c r="O92" t="str">
        <f t="array" ref="O92">IF($A92="","",INDEX(JupData!$A$2:$K$10000,MATCH($A92&amp;O$1,JupData!$A$2:$A$10000&amp;JupData!$J$2:$J$10000,0),11))</f>
        <v/>
      </c>
      <c r="P92" t="str">
        <f t="array" ref="P92">IF($A92="","",INDEX(JupData!$A$2:$K$10000,MATCH($A92&amp;P$1,JupData!$A$2:$A$10000&amp;JupData!$J$2:$J$10000,0),11))</f>
        <v/>
      </c>
      <c r="Q92" t="str">
        <f t="array" ref="Q92">IF($A92="","",INDEX(JupData!$A$2:$K$10000,MATCH($A92&amp;Q$1,JupData!$A$2:$A$10000&amp;JupData!$J$2:$J$10000,0),11))</f>
        <v/>
      </c>
      <c r="R92" t="str">
        <f t="array" ref="R92">IF($A92="","",INDEX(JupData!$A$2:$K$10000,MATCH($A92&amp;R$1,JupData!$A$2:$A$10000&amp;JupData!$J$2:$J$10000,0),11))</f>
        <v/>
      </c>
      <c r="S92" t="str">
        <f t="array" ref="S92">IF($A92="","",INDEX(JupData!$A$2:$K$10000,MATCH($A92&amp;S$1,JupData!$A$2:$A$10000&amp;JupData!$J$2:$J$10000,0),11))</f>
        <v/>
      </c>
      <c r="T92" t="str">
        <f t="array" ref="T92">IF($A92="","",INDEX(JupData!$A$2:$K$10000,MATCH($A92&amp;T$1,JupData!$A$2:$A$10000&amp;JupData!$J$2:$J$10000,0),11))</f>
        <v/>
      </c>
      <c r="U92" t="str">
        <f t="array" ref="U92">IF($A92="","",INDEX(JupData!$A$2:$K$10000,MATCH($A92&amp;U$1,JupData!$A$2:$A$10000&amp;JupData!$J$2:$J$10000,0),11))</f>
        <v/>
      </c>
      <c r="V92" t="str">
        <f t="array" ref="V92">IF($A92="","",INDEX(JupData!$A$2:$K$10000,MATCH($A92&amp;V$1,JupData!$A$2:$A$10000&amp;JupData!$J$2:$J$10000,0),11))</f>
        <v/>
      </c>
      <c r="W92" t="str">
        <f t="array" ref="W92">IF($A92="","",INDEX(JupData!$A$2:$K$10000,MATCH($A92&amp;W$1,JupData!$A$2:$A$10000&amp;JupData!$J$2:$J$10000,0),11))</f>
        <v/>
      </c>
      <c r="X92" t="str">
        <f t="array" ref="X92">IF($A92="","",INDEX(JupData!$A$2:$K$10000,MATCH($A92&amp;X$1,JupData!$A$2:$A$10000&amp;JupData!$J$2:$J$10000,0),11))</f>
        <v/>
      </c>
      <c r="Y92" t="str">
        <f t="array" ref="Y92">IF($A92="","",INDEX(JupData!$A$2:$K$10000,MATCH($A92&amp;Y$1,JupData!$A$2:$A$10000&amp;JupData!$J$2:$J$10000,0),11))</f>
        <v/>
      </c>
      <c r="Z92" t="str">
        <f t="array" ref="Z92">IF($A92="","",INDEX(JupData!$A$2:$K$10000,MATCH($A92&amp;Z$1,JupData!$A$2:$A$10000&amp;JupData!$J$2:$J$10000,0),11))</f>
        <v/>
      </c>
      <c r="AA92" t="str">
        <f t="array" ref="AA92">IF($A92="","",INDEX(JupData!$A$2:$K$10000,MATCH($A92&amp;AA$1,JupData!$A$2:$A$10000&amp;JupData!$J$2:$J$10000,0),11))</f>
        <v/>
      </c>
      <c r="AB92" t="str">
        <f t="array" ref="AB92">IF($A92="","",INDEX(JupData!$A$2:$K$10000,MATCH($A92&amp;AB$1,JupData!$A$2:$A$10000&amp;JupData!$J$2:$J$10000,0),11))</f>
        <v/>
      </c>
      <c r="AC92" s="10" t="str">
        <f t="shared" si="11"/>
        <v/>
      </c>
      <c r="AD92" s="10" t="str">
        <f t="shared" si="12"/>
        <v/>
      </c>
      <c r="AE92" s="9" t="str">
        <f t="shared" si="13"/>
        <v/>
      </c>
      <c r="AF92" s="10" t="str">
        <f t="shared" si="14"/>
        <v/>
      </c>
      <c r="AG92" s="10" t="str">
        <f t="shared" si="15"/>
        <v/>
      </c>
      <c r="AH92" s="10" t="str">
        <f t="shared" si="16"/>
        <v/>
      </c>
      <c r="AI92" s="10" t="str">
        <f t="shared" si="17"/>
        <v/>
      </c>
      <c r="AJ92" s="10" t="str">
        <f t="shared" si="18"/>
        <v/>
      </c>
      <c r="AK92" s="10" t="str">
        <f t="shared" si="19"/>
        <v/>
      </c>
      <c r="AL92" s="14" t="str">
        <f t="shared" si="20"/>
        <v/>
      </c>
    </row>
    <row r="93" spans="1:38" x14ac:dyDescent="0.2">
      <c r="A93"/>
      <c r="B93" t="str">
        <f>IF($A93="","",VLOOKUP($A93,JupData!$A$2:$I$10000,4,FALSE))</f>
        <v/>
      </c>
      <c r="C93" s="7" t="str">
        <f>IF($A93="",IF(N(D93),0,""),VLOOKUP($A93,JupData!$A$2:$I$10000,7,FALSE))</f>
        <v/>
      </c>
      <c r="D93" t="str">
        <f t="shared" si="21"/>
        <v/>
      </c>
      <c r="E93" t="str">
        <f t="array" ref="E93">IF($A93="","",INDEX(JupData!$A$2:$K$10000,MATCH($A93&amp;E$1,JupData!$A$2:$A$10000&amp;JupData!$J$2:$J$10000,0),11))</f>
        <v/>
      </c>
      <c r="F93" t="str">
        <f t="array" ref="F93">IF($A93="","",INDEX(JupData!$A$2:$K$10000,MATCH($A93&amp;F$1,JupData!$A$2:$A$10000&amp;JupData!$J$2:$J$10000,0),11))</f>
        <v/>
      </c>
      <c r="G93" t="str">
        <f t="array" ref="G93">IF($A93="","",INDEX(JupData!$A$2:$K$10000,MATCH($A93&amp;G$1,JupData!$A$2:$A$10000&amp;JupData!$J$2:$J$10000,0),11))</f>
        <v/>
      </c>
      <c r="H93" t="str">
        <f t="array" ref="H93">IF($A93="","",INDEX(JupData!$A$2:$K$10000,MATCH($A93&amp;H$1,JupData!$A$2:$A$10000&amp;JupData!$J$2:$J$10000,0),11))</f>
        <v/>
      </c>
      <c r="I93" t="str">
        <f t="array" ref="I93">IF($A93="","",INDEX(JupData!$A$2:$K$10000,MATCH($A93&amp;I$1,JupData!$A$2:$A$10000&amp;JupData!$J$2:$J$10000,0),11))</f>
        <v/>
      </c>
      <c r="J93" t="str">
        <f t="array" ref="J93">IF($A93="","",INDEX(JupData!$A$2:$K$10000,MATCH($A93&amp;J$1,JupData!$A$2:$A$10000&amp;JupData!$J$2:$J$10000,0),11))</f>
        <v/>
      </c>
      <c r="K93" t="str">
        <f t="array" ref="K93">IF($A93="","",INDEX(JupData!$A$2:$K$10000,MATCH($A93&amp;K$1,JupData!$A$2:$A$10000&amp;JupData!$J$2:$J$10000,0),11))</f>
        <v/>
      </c>
      <c r="L93" t="str">
        <f t="array" ref="L93">IF($A93="","",INDEX(JupData!$A$2:$K$10000,MATCH($A93&amp;L$1,JupData!$A$2:$A$10000&amp;JupData!$J$2:$J$10000,0),11))</f>
        <v/>
      </c>
      <c r="M93" t="str">
        <f t="array" ref="M93">IF($A93="","",INDEX(JupData!$A$2:$K$10000,MATCH($A93&amp;M$1,JupData!$A$2:$A$10000&amp;JupData!$J$2:$J$10000,0),11))</f>
        <v/>
      </c>
      <c r="N93" t="str">
        <f t="array" ref="N93">IF($A93="","",INDEX(JupData!$A$2:$K$10000,MATCH($A93&amp;N$1,JupData!$A$2:$A$10000&amp;JupData!$J$2:$J$10000,0),11))</f>
        <v/>
      </c>
      <c r="O93" t="str">
        <f t="array" ref="O93">IF($A93="","",INDEX(JupData!$A$2:$K$10000,MATCH($A93&amp;O$1,JupData!$A$2:$A$10000&amp;JupData!$J$2:$J$10000,0),11))</f>
        <v/>
      </c>
      <c r="P93" t="str">
        <f t="array" ref="P93">IF($A93="","",INDEX(JupData!$A$2:$K$10000,MATCH($A93&amp;P$1,JupData!$A$2:$A$10000&amp;JupData!$J$2:$J$10000,0),11))</f>
        <v/>
      </c>
      <c r="Q93" t="str">
        <f t="array" ref="Q93">IF($A93="","",INDEX(JupData!$A$2:$K$10000,MATCH($A93&amp;Q$1,JupData!$A$2:$A$10000&amp;JupData!$J$2:$J$10000,0),11))</f>
        <v/>
      </c>
      <c r="R93" t="str">
        <f t="array" ref="R93">IF($A93="","",INDEX(JupData!$A$2:$K$10000,MATCH($A93&amp;R$1,JupData!$A$2:$A$10000&amp;JupData!$J$2:$J$10000,0),11))</f>
        <v/>
      </c>
      <c r="S93" t="str">
        <f t="array" ref="S93">IF($A93="","",INDEX(JupData!$A$2:$K$10000,MATCH($A93&amp;S$1,JupData!$A$2:$A$10000&amp;JupData!$J$2:$J$10000,0),11))</f>
        <v/>
      </c>
      <c r="T93" t="str">
        <f t="array" ref="T93">IF($A93="","",INDEX(JupData!$A$2:$K$10000,MATCH($A93&amp;T$1,JupData!$A$2:$A$10000&amp;JupData!$J$2:$J$10000,0),11))</f>
        <v/>
      </c>
      <c r="U93" t="str">
        <f t="array" ref="U93">IF($A93="","",INDEX(JupData!$A$2:$K$10000,MATCH($A93&amp;U$1,JupData!$A$2:$A$10000&amp;JupData!$J$2:$J$10000,0),11))</f>
        <v/>
      </c>
      <c r="V93" t="str">
        <f t="array" ref="V93">IF($A93="","",INDEX(JupData!$A$2:$K$10000,MATCH($A93&amp;V$1,JupData!$A$2:$A$10000&amp;JupData!$J$2:$J$10000,0),11))</f>
        <v/>
      </c>
      <c r="W93" t="str">
        <f t="array" ref="W93">IF($A93="","",INDEX(JupData!$A$2:$K$10000,MATCH($A93&amp;W$1,JupData!$A$2:$A$10000&amp;JupData!$J$2:$J$10000,0),11))</f>
        <v/>
      </c>
      <c r="X93" t="str">
        <f t="array" ref="X93">IF($A93="","",INDEX(JupData!$A$2:$K$10000,MATCH($A93&amp;X$1,JupData!$A$2:$A$10000&amp;JupData!$J$2:$J$10000,0),11))</f>
        <v/>
      </c>
      <c r="Y93" t="str">
        <f t="array" ref="Y93">IF($A93="","",INDEX(JupData!$A$2:$K$10000,MATCH($A93&amp;Y$1,JupData!$A$2:$A$10000&amp;JupData!$J$2:$J$10000,0),11))</f>
        <v/>
      </c>
      <c r="Z93" t="str">
        <f t="array" ref="Z93">IF($A93="","",INDEX(JupData!$A$2:$K$10000,MATCH($A93&amp;Z$1,JupData!$A$2:$A$10000&amp;JupData!$J$2:$J$10000,0),11))</f>
        <v/>
      </c>
      <c r="AA93" t="str">
        <f t="array" ref="AA93">IF($A93="","",INDEX(JupData!$A$2:$K$10000,MATCH($A93&amp;AA$1,JupData!$A$2:$A$10000&amp;JupData!$J$2:$J$10000,0),11))</f>
        <v/>
      </c>
      <c r="AB93" t="str">
        <f t="array" ref="AB93">IF($A93="","",INDEX(JupData!$A$2:$K$10000,MATCH($A93&amp;AB$1,JupData!$A$2:$A$10000&amp;JupData!$J$2:$J$10000,0),11))</f>
        <v/>
      </c>
      <c r="AC93" s="10" t="str">
        <f t="shared" si="11"/>
        <v/>
      </c>
      <c r="AD93" s="10" t="str">
        <f t="shared" si="12"/>
        <v/>
      </c>
      <c r="AE93" s="9" t="str">
        <f t="shared" si="13"/>
        <v/>
      </c>
      <c r="AF93" s="10" t="str">
        <f t="shared" si="14"/>
        <v/>
      </c>
      <c r="AG93" s="10" t="str">
        <f t="shared" si="15"/>
        <v/>
      </c>
      <c r="AH93" s="10" t="str">
        <f t="shared" si="16"/>
        <v/>
      </c>
      <c r="AI93" s="10" t="str">
        <f t="shared" si="17"/>
        <v/>
      </c>
      <c r="AJ93" s="10" t="str">
        <f t="shared" si="18"/>
        <v/>
      </c>
      <c r="AK93" s="10" t="str">
        <f t="shared" si="19"/>
        <v/>
      </c>
      <c r="AL93" s="14" t="str">
        <f t="shared" si="20"/>
        <v/>
      </c>
    </row>
    <row r="94" spans="1:38" x14ac:dyDescent="0.2">
      <c r="A94"/>
      <c r="B94" t="str">
        <f>IF($A94="","",VLOOKUP($A94,JupData!$A$2:$I$10000,4,FALSE))</f>
        <v/>
      </c>
      <c r="C94" s="7" t="str">
        <f>IF($A94="",IF(N(D94),0,""),VLOOKUP($A94,JupData!$A$2:$I$10000,7,FALSE))</f>
        <v/>
      </c>
      <c r="D94" t="str">
        <f t="shared" si="21"/>
        <v/>
      </c>
      <c r="E94" t="str">
        <f t="array" ref="E94">IF($A94="","",INDEX(JupData!$A$2:$K$10000,MATCH($A94&amp;E$1,JupData!$A$2:$A$10000&amp;JupData!$J$2:$J$10000,0),11))</f>
        <v/>
      </c>
      <c r="F94" t="str">
        <f t="array" ref="F94">IF($A94="","",INDEX(JupData!$A$2:$K$10000,MATCH($A94&amp;F$1,JupData!$A$2:$A$10000&amp;JupData!$J$2:$J$10000,0),11))</f>
        <v/>
      </c>
      <c r="G94" t="str">
        <f t="array" ref="G94">IF($A94="","",INDEX(JupData!$A$2:$K$10000,MATCH($A94&amp;G$1,JupData!$A$2:$A$10000&amp;JupData!$J$2:$J$10000,0),11))</f>
        <v/>
      </c>
      <c r="H94" t="str">
        <f t="array" ref="H94">IF($A94="","",INDEX(JupData!$A$2:$K$10000,MATCH($A94&amp;H$1,JupData!$A$2:$A$10000&amp;JupData!$J$2:$J$10000,0),11))</f>
        <v/>
      </c>
      <c r="I94" t="str">
        <f t="array" ref="I94">IF($A94="","",INDEX(JupData!$A$2:$K$10000,MATCH($A94&amp;I$1,JupData!$A$2:$A$10000&amp;JupData!$J$2:$J$10000,0),11))</f>
        <v/>
      </c>
      <c r="J94" t="str">
        <f t="array" ref="J94">IF($A94="","",INDEX(JupData!$A$2:$K$10000,MATCH($A94&amp;J$1,JupData!$A$2:$A$10000&amp;JupData!$J$2:$J$10000,0),11))</f>
        <v/>
      </c>
      <c r="K94" t="str">
        <f t="array" ref="K94">IF($A94="","",INDEX(JupData!$A$2:$K$10000,MATCH($A94&amp;K$1,JupData!$A$2:$A$10000&amp;JupData!$J$2:$J$10000,0),11))</f>
        <v/>
      </c>
      <c r="L94" t="str">
        <f t="array" ref="L94">IF($A94="","",INDEX(JupData!$A$2:$K$10000,MATCH($A94&amp;L$1,JupData!$A$2:$A$10000&amp;JupData!$J$2:$J$10000,0),11))</f>
        <v/>
      </c>
      <c r="M94" t="str">
        <f t="array" ref="M94">IF($A94="","",INDEX(JupData!$A$2:$K$10000,MATCH($A94&amp;M$1,JupData!$A$2:$A$10000&amp;JupData!$J$2:$J$10000,0),11))</f>
        <v/>
      </c>
      <c r="N94" t="str">
        <f t="array" ref="N94">IF($A94="","",INDEX(JupData!$A$2:$K$10000,MATCH($A94&amp;N$1,JupData!$A$2:$A$10000&amp;JupData!$J$2:$J$10000,0),11))</f>
        <v/>
      </c>
      <c r="O94" t="str">
        <f t="array" ref="O94">IF($A94="","",INDEX(JupData!$A$2:$K$10000,MATCH($A94&amp;O$1,JupData!$A$2:$A$10000&amp;JupData!$J$2:$J$10000,0),11))</f>
        <v/>
      </c>
      <c r="P94" t="str">
        <f t="array" ref="P94">IF($A94="","",INDEX(JupData!$A$2:$K$10000,MATCH($A94&amp;P$1,JupData!$A$2:$A$10000&amp;JupData!$J$2:$J$10000,0),11))</f>
        <v/>
      </c>
      <c r="Q94" t="str">
        <f t="array" ref="Q94">IF($A94="","",INDEX(JupData!$A$2:$K$10000,MATCH($A94&amp;Q$1,JupData!$A$2:$A$10000&amp;JupData!$J$2:$J$10000,0),11))</f>
        <v/>
      </c>
      <c r="R94" t="str">
        <f t="array" ref="R94">IF($A94="","",INDEX(JupData!$A$2:$K$10000,MATCH($A94&amp;R$1,JupData!$A$2:$A$10000&amp;JupData!$J$2:$J$10000,0),11))</f>
        <v/>
      </c>
      <c r="S94" t="str">
        <f t="array" ref="S94">IF($A94="","",INDEX(JupData!$A$2:$K$10000,MATCH($A94&amp;S$1,JupData!$A$2:$A$10000&amp;JupData!$J$2:$J$10000,0),11))</f>
        <v/>
      </c>
      <c r="T94" t="str">
        <f t="array" ref="T94">IF($A94="","",INDEX(JupData!$A$2:$K$10000,MATCH($A94&amp;T$1,JupData!$A$2:$A$10000&amp;JupData!$J$2:$J$10000,0),11))</f>
        <v/>
      </c>
      <c r="U94" t="str">
        <f t="array" ref="U94">IF($A94="","",INDEX(JupData!$A$2:$K$10000,MATCH($A94&amp;U$1,JupData!$A$2:$A$10000&amp;JupData!$J$2:$J$10000,0),11))</f>
        <v/>
      </c>
      <c r="V94" t="str">
        <f t="array" ref="V94">IF($A94="","",INDEX(JupData!$A$2:$K$10000,MATCH($A94&amp;V$1,JupData!$A$2:$A$10000&amp;JupData!$J$2:$J$10000,0),11))</f>
        <v/>
      </c>
      <c r="W94" t="str">
        <f t="array" ref="W94">IF($A94="","",INDEX(JupData!$A$2:$K$10000,MATCH($A94&amp;W$1,JupData!$A$2:$A$10000&amp;JupData!$J$2:$J$10000,0),11))</f>
        <v/>
      </c>
      <c r="X94" t="str">
        <f t="array" ref="X94">IF($A94="","",INDEX(JupData!$A$2:$K$10000,MATCH($A94&amp;X$1,JupData!$A$2:$A$10000&amp;JupData!$J$2:$J$10000,0),11))</f>
        <v/>
      </c>
      <c r="Y94" t="str">
        <f t="array" ref="Y94">IF($A94="","",INDEX(JupData!$A$2:$K$10000,MATCH($A94&amp;Y$1,JupData!$A$2:$A$10000&amp;JupData!$J$2:$J$10000,0),11))</f>
        <v/>
      </c>
      <c r="Z94" t="str">
        <f t="array" ref="Z94">IF($A94="","",INDEX(JupData!$A$2:$K$10000,MATCH($A94&amp;Z$1,JupData!$A$2:$A$10000&amp;JupData!$J$2:$J$10000,0),11))</f>
        <v/>
      </c>
      <c r="AA94" t="str">
        <f t="array" ref="AA94">IF($A94="","",INDEX(JupData!$A$2:$K$10000,MATCH($A94&amp;AA$1,JupData!$A$2:$A$10000&amp;JupData!$J$2:$J$10000,0),11))</f>
        <v/>
      </c>
      <c r="AB94" t="str">
        <f t="array" ref="AB94">IF($A94="","",INDEX(JupData!$A$2:$K$10000,MATCH($A94&amp;AB$1,JupData!$A$2:$A$10000&amp;JupData!$J$2:$J$10000,0),11))</f>
        <v/>
      </c>
      <c r="AC94" s="10" t="str">
        <f t="shared" si="11"/>
        <v/>
      </c>
      <c r="AD94" s="10" t="str">
        <f t="shared" si="12"/>
        <v/>
      </c>
      <c r="AE94" s="9" t="str">
        <f t="shared" si="13"/>
        <v/>
      </c>
      <c r="AF94" s="10" t="str">
        <f t="shared" si="14"/>
        <v/>
      </c>
      <c r="AG94" s="10" t="str">
        <f t="shared" si="15"/>
        <v/>
      </c>
      <c r="AH94" s="10" t="str">
        <f t="shared" si="16"/>
        <v/>
      </c>
      <c r="AI94" s="10" t="str">
        <f t="shared" si="17"/>
        <v/>
      </c>
      <c r="AJ94" s="10" t="str">
        <f t="shared" si="18"/>
        <v/>
      </c>
      <c r="AK94" s="10" t="str">
        <f t="shared" si="19"/>
        <v/>
      </c>
      <c r="AL94" s="14" t="str">
        <f t="shared" si="20"/>
        <v/>
      </c>
    </row>
    <row r="95" spans="1:38" x14ac:dyDescent="0.2">
      <c r="A95"/>
      <c r="B95" t="str">
        <f>IF($A95="","",VLOOKUP($A95,JupData!$A$2:$I$10000,4,FALSE))</f>
        <v/>
      </c>
      <c r="C95" s="7" t="str">
        <f>IF($A95="",IF(N(D95),0,""),VLOOKUP($A95,JupData!$A$2:$I$10000,7,FALSE))</f>
        <v/>
      </c>
      <c r="D95" t="str">
        <f t="shared" si="21"/>
        <v/>
      </c>
      <c r="E95" t="str">
        <f t="array" ref="E95">IF($A95="","",INDEX(JupData!$A$2:$K$10000,MATCH($A95&amp;E$1,JupData!$A$2:$A$10000&amp;JupData!$J$2:$J$10000,0),11))</f>
        <v/>
      </c>
      <c r="F95" t="str">
        <f t="array" ref="F95">IF($A95="","",INDEX(JupData!$A$2:$K$10000,MATCH($A95&amp;F$1,JupData!$A$2:$A$10000&amp;JupData!$J$2:$J$10000,0),11))</f>
        <v/>
      </c>
      <c r="G95" t="str">
        <f t="array" ref="G95">IF($A95="","",INDEX(JupData!$A$2:$K$10000,MATCH($A95&amp;G$1,JupData!$A$2:$A$10000&amp;JupData!$J$2:$J$10000,0),11))</f>
        <v/>
      </c>
      <c r="H95" t="str">
        <f t="array" ref="H95">IF($A95="","",INDEX(JupData!$A$2:$K$10000,MATCH($A95&amp;H$1,JupData!$A$2:$A$10000&amp;JupData!$J$2:$J$10000,0),11))</f>
        <v/>
      </c>
      <c r="I95" t="str">
        <f t="array" ref="I95">IF($A95="","",INDEX(JupData!$A$2:$K$10000,MATCH($A95&amp;I$1,JupData!$A$2:$A$10000&amp;JupData!$J$2:$J$10000,0),11))</f>
        <v/>
      </c>
      <c r="J95" t="str">
        <f t="array" ref="J95">IF($A95="","",INDEX(JupData!$A$2:$K$10000,MATCH($A95&amp;J$1,JupData!$A$2:$A$10000&amp;JupData!$J$2:$J$10000,0),11))</f>
        <v/>
      </c>
      <c r="K95" t="str">
        <f t="array" ref="K95">IF($A95="","",INDEX(JupData!$A$2:$K$10000,MATCH($A95&amp;K$1,JupData!$A$2:$A$10000&amp;JupData!$J$2:$J$10000,0),11))</f>
        <v/>
      </c>
      <c r="L95" t="str">
        <f t="array" ref="L95">IF($A95="","",INDEX(JupData!$A$2:$K$10000,MATCH($A95&amp;L$1,JupData!$A$2:$A$10000&amp;JupData!$J$2:$J$10000,0),11))</f>
        <v/>
      </c>
      <c r="M95" t="str">
        <f t="array" ref="M95">IF($A95="","",INDEX(JupData!$A$2:$K$10000,MATCH($A95&amp;M$1,JupData!$A$2:$A$10000&amp;JupData!$J$2:$J$10000,0),11))</f>
        <v/>
      </c>
      <c r="N95" t="str">
        <f t="array" ref="N95">IF($A95="","",INDEX(JupData!$A$2:$K$10000,MATCH($A95&amp;N$1,JupData!$A$2:$A$10000&amp;JupData!$J$2:$J$10000,0),11))</f>
        <v/>
      </c>
      <c r="O95" t="str">
        <f t="array" ref="O95">IF($A95="","",INDEX(JupData!$A$2:$K$10000,MATCH($A95&amp;O$1,JupData!$A$2:$A$10000&amp;JupData!$J$2:$J$10000,0),11))</f>
        <v/>
      </c>
      <c r="P95" t="str">
        <f t="array" ref="P95">IF($A95="","",INDEX(JupData!$A$2:$K$10000,MATCH($A95&amp;P$1,JupData!$A$2:$A$10000&amp;JupData!$J$2:$J$10000,0),11))</f>
        <v/>
      </c>
      <c r="Q95" t="str">
        <f t="array" ref="Q95">IF($A95="","",INDEX(JupData!$A$2:$K$10000,MATCH($A95&amp;Q$1,JupData!$A$2:$A$10000&amp;JupData!$J$2:$J$10000,0),11))</f>
        <v/>
      </c>
      <c r="R95" t="str">
        <f t="array" ref="R95">IF($A95="","",INDEX(JupData!$A$2:$K$10000,MATCH($A95&amp;R$1,JupData!$A$2:$A$10000&amp;JupData!$J$2:$J$10000,0),11))</f>
        <v/>
      </c>
      <c r="S95" t="str">
        <f t="array" ref="S95">IF($A95="","",INDEX(JupData!$A$2:$K$10000,MATCH($A95&amp;S$1,JupData!$A$2:$A$10000&amp;JupData!$J$2:$J$10000,0),11))</f>
        <v/>
      </c>
      <c r="T95" t="str">
        <f t="array" ref="T95">IF($A95="","",INDEX(JupData!$A$2:$K$10000,MATCH($A95&amp;T$1,JupData!$A$2:$A$10000&amp;JupData!$J$2:$J$10000,0),11))</f>
        <v/>
      </c>
      <c r="U95" t="str">
        <f t="array" ref="U95">IF($A95="","",INDEX(JupData!$A$2:$K$10000,MATCH($A95&amp;U$1,JupData!$A$2:$A$10000&amp;JupData!$J$2:$J$10000,0),11))</f>
        <v/>
      </c>
      <c r="V95" t="str">
        <f t="array" ref="V95">IF($A95="","",INDEX(JupData!$A$2:$K$10000,MATCH($A95&amp;V$1,JupData!$A$2:$A$10000&amp;JupData!$J$2:$J$10000,0),11))</f>
        <v/>
      </c>
      <c r="W95" t="str">
        <f t="array" ref="W95">IF($A95="","",INDEX(JupData!$A$2:$K$10000,MATCH($A95&amp;W$1,JupData!$A$2:$A$10000&amp;JupData!$J$2:$J$10000,0),11))</f>
        <v/>
      </c>
      <c r="X95" t="str">
        <f t="array" ref="X95">IF($A95="","",INDEX(JupData!$A$2:$K$10000,MATCH($A95&amp;X$1,JupData!$A$2:$A$10000&amp;JupData!$J$2:$J$10000,0),11))</f>
        <v/>
      </c>
      <c r="Y95" t="str">
        <f t="array" ref="Y95">IF($A95="","",INDEX(JupData!$A$2:$K$10000,MATCH($A95&amp;Y$1,JupData!$A$2:$A$10000&amp;JupData!$J$2:$J$10000,0),11))</f>
        <v/>
      </c>
      <c r="Z95" t="str">
        <f t="array" ref="Z95">IF($A95="","",INDEX(JupData!$A$2:$K$10000,MATCH($A95&amp;Z$1,JupData!$A$2:$A$10000&amp;JupData!$J$2:$J$10000,0),11))</f>
        <v/>
      </c>
      <c r="AA95" t="str">
        <f t="array" ref="AA95">IF($A95="","",INDEX(JupData!$A$2:$K$10000,MATCH($A95&amp;AA$1,JupData!$A$2:$A$10000&amp;JupData!$J$2:$J$10000,0),11))</f>
        <v/>
      </c>
      <c r="AB95" t="str">
        <f t="array" ref="AB95">IF($A95="","",INDEX(JupData!$A$2:$K$10000,MATCH($A95&amp;AB$1,JupData!$A$2:$A$10000&amp;JupData!$J$2:$J$10000,0),11))</f>
        <v/>
      </c>
      <c r="AC95" s="10" t="str">
        <f t="shared" si="11"/>
        <v/>
      </c>
      <c r="AD95" s="10" t="str">
        <f t="shared" si="12"/>
        <v/>
      </c>
      <c r="AE95" s="9" t="str">
        <f t="shared" si="13"/>
        <v/>
      </c>
      <c r="AF95" s="10" t="str">
        <f t="shared" si="14"/>
        <v/>
      </c>
      <c r="AG95" s="10" t="str">
        <f t="shared" si="15"/>
        <v/>
      </c>
      <c r="AH95" s="10" t="str">
        <f t="shared" si="16"/>
        <v/>
      </c>
      <c r="AI95" s="10" t="str">
        <f t="shared" si="17"/>
        <v/>
      </c>
      <c r="AJ95" s="10" t="str">
        <f t="shared" si="18"/>
        <v/>
      </c>
      <c r="AK95" s="10" t="str">
        <f t="shared" si="19"/>
        <v/>
      </c>
      <c r="AL95" s="14" t="str">
        <f t="shared" si="20"/>
        <v/>
      </c>
    </row>
    <row r="96" spans="1:38" x14ac:dyDescent="0.2">
      <c r="A96"/>
      <c r="B96" t="str">
        <f>IF($A96="","",VLOOKUP($A96,JupData!$A$2:$I$10000,4,FALSE))</f>
        <v/>
      </c>
      <c r="C96" s="7" t="str">
        <f>IF($A96="",IF(N(D96),0,""),VLOOKUP($A96,JupData!$A$2:$I$10000,7,FALSE))</f>
        <v/>
      </c>
      <c r="D96" t="str">
        <f t="shared" si="21"/>
        <v/>
      </c>
      <c r="E96" t="str">
        <f t="array" ref="E96">IF($A96="","",INDEX(JupData!$A$2:$K$10000,MATCH($A96&amp;E$1,JupData!$A$2:$A$10000&amp;JupData!$J$2:$J$10000,0),11))</f>
        <v/>
      </c>
      <c r="F96" t="str">
        <f t="array" ref="F96">IF($A96="","",INDEX(JupData!$A$2:$K$10000,MATCH($A96&amp;F$1,JupData!$A$2:$A$10000&amp;JupData!$J$2:$J$10000,0),11))</f>
        <v/>
      </c>
      <c r="G96" t="str">
        <f t="array" ref="G96">IF($A96="","",INDEX(JupData!$A$2:$K$10000,MATCH($A96&amp;G$1,JupData!$A$2:$A$10000&amp;JupData!$J$2:$J$10000,0),11))</f>
        <v/>
      </c>
      <c r="H96" t="str">
        <f t="array" ref="H96">IF($A96="","",INDEX(JupData!$A$2:$K$10000,MATCH($A96&amp;H$1,JupData!$A$2:$A$10000&amp;JupData!$J$2:$J$10000,0),11))</f>
        <v/>
      </c>
      <c r="I96" t="str">
        <f t="array" ref="I96">IF($A96="","",INDEX(JupData!$A$2:$K$10000,MATCH($A96&amp;I$1,JupData!$A$2:$A$10000&amp;JupData!$J$2:$J$10000,0),11))</f>
        <v/>
      </c>
      <c r="J96" t="str">
        <f t="array" ref="J96">IF($A96="","",INDEX(JupData!$A$2:$K$10000,MATCH($A96&amp;J$1,JupData!$A$2:$A$10000&amp;JupData!$J$2:$J$10000,0),11))</f>
        <v/>
      </c>
      <c r="K96" t="str">
        <f t="array" ref="K96">IF($A96="","",INDEX(JupData!$A$2:$K$10000,MATCH($A96&amp;K$1,JupData!$A$2:$A$10000&amp;JupData!$J$2:$J$10000,0),11))</f>
        <v/>
      </c>
      <c r="L96" t="str">
        <f t="array" ref="L96">IF($A96="","",INDEX(JupData!$A$2:$K$10000,MATCH($A96&amp;L$1,JupData!$A$2:$A$10000&amp;JupData!$J$2:$J$10000,0),11))</f>
        <v/>
      </c>
      <c r="M96" t="str">
        <f t="array" ref="M96">IF($A96="","",INDEX(JupData!$A$2:$K$10000,MATCH($A96&amp;M$1,JupData!$A$2:$A$10000&amp;JupData!$J$2:$J$10000,0),11))</f>
        <v/>
      </c>
      <c r="N96" t="str">
        <f t="array" ref="N96">IF($A96="","",INDEX(JupData!$A$2:$K$10000,MATCH($A96&amp;N$1,JupData!$A$2:$A$10000&amp;JupData!$J$2:$J$10000,0),11))</f>
        <v/>
      </c>
      <c r="O96" t="str">
        <f t="array" ref="O96">IF($A96="","",INDEX(JupData!$A$2:$K$10000,MATCH($A96&amp;O$1,JupData!$A$2:$A$10000&amp;JupData!$J$2:$J$10000,0),11))</f>
        <v/>
      </c>
      <c r="P96" t="str">
        <f t="array" ref="P96">IF($A96="","",INDEX(JupData!$A$2:$K$10000,MATCH($A96&amp;P$1,JupData!$A$2:$A$10000&amp;JupData!$J$2:$J$10000,0),11))</f>
        <v/>
      </c>
      <c r="Q96" t="str">
        <f t="array" ref="Q96">IF($A96="","",INDEX(JupData!$A$2:$K$10000,MATCH($A96&amp;Q$1,JupData!$A$2:$A$10000&amp;JupData!$J$2:$J$10000,0),11))</f>
        <v/>
      </c>
      <c r="R96" t="str">
        <f t="array" ref="R96">IF($A96="","",INDEX(JupData!$A$2:$K$10000,MATCH($A96&amp;R$1,JupData!$A$2:$A$10000&amp;JupData!$J$2:$J$10000,0),11))</f>
        <v/>
      </c>
      <c r="S96" t="str">
        <f t="array" ref="S96">IF($A96="","",INDEX(JupData!$A$2:$K$10000,MATCH($A96&amp;S$1,JupData!$A$2:$A$10000&amp;JupData!$J$2:$J$10000,0),11))</f>
        <v/>
      </c>
      <c r="T96" t="str">
        <f t="array" ref="T96">IF($A96="","",INDEX(JupData!$A$2:$K$10000,MATCH($A96&amp;T$1,JupData!$A$2:$A$10000&amp;JupData!$J$2:$J$10000,0),11))</f>
        <v/>
      </c>
      <c r="U96" t="str">
        <f t="array" ref="U96">IF($A96="","",INDEX(JupData!$A$2:$K$10000,MATCH($A96&amp;U$1,JupData!$A$2:$A$10000&amp;JupData!$J$2:$J$10000,0),11))</f>
        <v/>
      </c>
      <c r="V96" t="str">
        <f t="array" ref="V96">IF($A96="","",INDEX(JupData!$A$2:$K$10000,MATCH($A96&amp;V$1,JupData!$A$2:$A$10000&amp;JupData!$J$2:$J$10000,0),11))</f>
        <v/>
      </c>
      <c r="W96" t="str">
        <f t="array" ref="W96">IF($A96="","",INDEX(JupData!$A$2:$K$10000,MATCH($A96&amp;W$1,JupData!$A$2:$A$10000&amp;JupData!$J$2:$J$10000,0),11))</f>
        <v/>
      </c>
      <c r="X96" t="str">
        <f t="array" ref="X96">IF($A96="","",INDEX(JupData!$A$2:$K$10000,MATCH($A96&amp;X$1,JupData!$A$2:$A$10000&amp;JupData!$J$2:$J$10000,0),11))</f>
        <v/>
      </c>
      <c r="Y96" t="str">
        <f t="array" ref="Y96">IF($A96="","",INDEX(JupData!$A$2:$K$10000,MATCH($A96&amp;Y$1,JupData!$A$2:$A$10000&amp;JupData!$J$2:$J$10000,0),11))</f>
        <v/>
      </c>
      <c r="Z96" t="str">
        <f t="array" ref="Z96">IF($A96="","",INDEX(JupData!$A$2:$K$10000,MATCH($A96&amp;Z$1,JupData!$A$2:$A$10000&amp;JupData!$J$2:$J$10000,0),11))</f>
        <v/>
      </c>
      <c r="AA96" t="str">
        <f t="array" ref="AA96">IF($A96="","",INDEX(JupData!$A$2:$K$10000,MATCH($A96&amp;AA$1,JupData!$A$2:$A$10000&amp;JupData!$J$2:$J$10000,0),11))</f>
        <v/>
      </c>
      <c r="AB96" t="str">
        <f t="array" ref="AB96">IF($A96="","",INDEX(JupData!$A$2:$K$10000,MATCH($A96&amp;AB$1,JupData!$A$2:$A$10000&amp;JupData!$J$2:$J$10000,0),11))</f>
        <v/>
      </c>
      <c r="AC96" s="10" t="str">
        <f t="shared" si="11"/>
        <v/>
      </c>
      <c r="AD96" s="10" t="str">
        <f t="shared" si="12"/>
        <v/>
      </c>
      <c r="AE96" s="9" t="str">
        <f t="shared" si="13"/>
        <v/>
      </c>
      <c r="AF96" s="10" t="str">
        <f t="shared" si="14"/>
        <v/>
      </c>
      <c r="AG96" s="10" t="str">
        <f t="shared" si="15"/>
        <v/>
      </c>
      <c r="AH96" s="10" t="str">
        <f t="shared" si="16"/>
        <v/>
      </c>
      <c r="AI96" s="10" t="str">
        <f t="shared" si="17"/>
        <v/>
      </c>
      <c r="AJ96" s="10" t="str">
        <f t="shared" si="18"/>
        <v/>
      </c>
      <c r="AK96" s="10" t="str">
        <f t="shared" si="19"/>
        <v/>
      </c>
      <c r="AL96" s="14" t="str">
        <f t="shared" si="20"/>
        <v/>
      </c>
    </row>
    <row r="97" spans="1:38" x14ac:dyDescent="0.2">
      <c r="A97"/>
      <c r="B97" t="str">
        <f>IF($A97="","",VLOOKUP($A97,JupData!$A$2:$I$10000,4,FALSE))</f>
        <v/>
      </c>
      <c r="C97" s="7" t="str">
        <f>IF($A97="",IF(N(D97),0,""),VLOOKUP($A97,JupData!$A$2:$I$10000,7,FALSE))</f>
        <v/>
      </c>
      <c r="D97" t="str">
        <f t="shared" si="21"/>
        <v/>
      </c>
      <c r="E97" t="str">
        <f t="array" ref="E97">IF($A97="","",INDEX(JupData!$A$2:$K$10000,MATCH($A97&amp;E$1,JupData!$A$2:$A$10000&amp;JupData!$J$2:$J$10000,0),11))</f>
        <v/>
      </c>
      <c r="F97" t="str">
        <f t="array" ref="F97">IF($A97="","",INDEX(JupData!$A$2:$K$10000,MATCH($A97&amp;F$1,JupData!$A$2:$A$10000&amp;JupData!$J$2:$J$10000,0),11))</f>
        <v/>
      </c>
      <c r="G97" t="str">
        <f t="array" ref="G97">IF($A97="","",INDEX(JupData!$A$2:$K$10000,MATCH($A97&amp;G$1,JupData!$A$2:$A$10000&amp;JupData!$J$2:$J$10000,0),11))</f>
        <v/>
      </c>
      <c r="H97" t="str">
        <f t="array" ref="H97">IF($A97="","",INDEX(JupData!$A$2:$K$10000,MATCH($A97&amp;H$1,JupData!$A$2:$A$10000&amp;JupData!$J$2:$J$10000,0),11))</f>
        <v/>
      </c>
      <c r="I97" t="str">
        <f t="array" ref="I97">IF($A97="","",INDEX(JupData!$A$2:$K$10000,MATCH($A97&amp;I$1,JupData!$A$2:$A$10000&amp;JupData!$J$2:$J$10000,0),11))</f>
        <v/>
      </c>
      <c r="J97" t="str">
        <f t="array" ref="J97">IF($A97="","",INDEX(JupData!$A$2:$K$10000,MATCH($A97&amp;J$1,JupData!$A$2:$A$10000&amp;JupData!$J$2:$J$10000,0),11))</f>
        <v/>
      </c>
      <c r="K97" t="str">
        <f t="array" ref="K97">IF($A97="","",INDEX(JupData!$A$2:$K$10000,MATCH($A97&amp;K$1,JupData!$A$2:$A$10000&amp;JupData!$J$2:$J$10000,0),11))</f>
        <v/>
      </c>
      <c r="L97" t="str">
        <f t="array" ref="L97">IF($A97="","",INDEX(JupData!$A$2:$K$10000,MATCH($A97&amp;L$1,JupData!$A$2:$A$10000&amp;JupData!$J$2:$J$10000,0),11))</f>
        <v/>
      </c>
      <c r="M97" t="str">
        <f t="array" ref="M97">IF($A97="","",INDEX(JupData!$A$2:$K$10000,MATCH($A97&amp;M$1,JupData!$A$2:$A$10000&amp;JupData!$J$2:$J$10000,0),11))</f>
        <v/>
      </c>
      <c r="N97" t="str">
        <f t="array" ref="N97">IF($A97="","",INDEX(JupData!$A$2:$K$10000,MATCH($A97&amp;N$1,JupData!$A$2:$A$10000&amp;JupData!$J$2:$J$10000,0),11))</f>
        <v/>
      </c>
      <c r="O97" t="str">
        <f t="array" ref="O97">IF($A97="","",INDEX(JupData!$A$2:$K$10000,MATCH($A97&amp;O$1,JupData!$A$2:$A$10000&amp;JupData!$J$2:$J$10000,0),11))</f>
        <v/>
      </c>
      <c r="P97" t="str">
        <f t="array" ref="P97">IF($A97="","",INDEX(JupData!$A$2:$K$10000,MATCH($A97&amp;P$1,JupData!$A$2:$A$10000&amp;JupData!$J$2:$J$10000,0),11))</f>
        <v/>
      </c>
      <c r="Q97" t="str">
        <f t="array" ref="Q97">IF($A97="","",INDEX(JupData!$A$2:$K$10000,MATCH($A97&amp;Q$1,JupData!$A$2:$A$10000&amp;JupData!$J$2:$J$10000,0),11))</f>
        <v/>
      </c>
      <c r="R97" t="str">
        <f t="array" ref="R97">IF($A97="","",INDEX(JupData!$A$2:$K$10000,MATCH($A97&amp;R$1,JupData!$A$2:$A$10000&amp;JupData!$J$2:$J$10000,0),11))</f>
        <v/>
      </c>
      <c r="S97" t="str">
        <f t="array" ref="S97">IF($A97="","",INDEX(JupData!$A$2:$K$10000,MATCH($A97&amp;S$1,JupData!$A$2:$A$10000&amp;JupData!$J$2:$J$10000,0),11))</f>
        <v/>
      </c>
      <c r="T97" t="str">
        <f t="array" ref="T97">IF($A97="","",INDEX(JupData!$A$2:$K$10000,MATCH($A97&amp;T$1,JupData!$A$2:$A$10000&amp;JupData!$J$2:$J$10000,0),11))</f>
        <v/>
      </c>
      <c r="U97" t="str">
        <f t="array" ref="U97">IF($A97="","",INDEX(JupData!$A$2:$K$10000,MATCH($A97&amp;U$1,JupData!$A$2:$A$10000&amp;JupData!$J$2:$J$10000,0),11))</f>
        <v/>
      </c>
      <c r="V97" t="str">
        <f t="array" ref="V97">IF($A97="","",INDEX(JupData!$A$2:$K$10000,MATCH($A97&amp;V$1,JupData!$A$2:$A$10000&amp;JupData!$J$2:$J$10000,0),11))</f>
        <v/>
      </c>
      <c r="W97" t="str">
        <f t="array" ref="W97">IF($A97="","",INDEX(JupData!$A$2:$K$10000,MATCH($A97&amp;W$1,JupData!$A$2:$A$10000&amp;JupData!$J$2:$J$10000,0),11))</f>
        <v/>
      </c>
      <c r="X97" t="str">
        <f t="array" ref="X97">IF($A97="","",INDEX(JupData!$A$2:$K$10000,MATCH($A97&amp;X$1,JupData!$A$2:$A$10000&amp;JupData!$J$2:$J$10000,0),11))</f>
        <v/>
      </c>
      <c r="Y97" t="str">
        <f t="array" ref="Y97">IF($A97="","",INDEX(JupData!$A$2:$K$10000,MATCH($A97&amp;Y$1,JupData!$A$2:$A$10000&amp;JupData!$J$2:$J$10000,0),11))</f>
        <v/>
      </c>
      <c r="Z97" t="str">
        <f t="array" ref="Z97">IF($A97="","",INDEX(JupData!$A$2:$K$10000,MATCH($A97&amp;Z$1,JupData!$A$2:$A$10000&amp;JupData!$J$2:$J$10000,0),11))</f>
        <v/>
      </c>
      <c r="AA97" t="str">
        <f t="array" ref="AA97">IF($A97="","",INDEX(JupData!$A$2:$K$10000,MATCH($A97&amp;AA$1,JupData!$A$2:$A$10000&amp;JupData!$J$2:$J$10000,0),11))</f>
        <v/>
      </c>
      <c r="AB97" t="str">
        <f t="array" ref="AB97">IF($A97="","",INDEX(JupData!$A$2:$K$10000,MATCH($A97&amp;AB$1,JupData!$A$2:$A$10000&amp;JupData!$J$2:$J$10000,0),11))</f>
        <v/>
      </c>
      <c r="AC97" s="10" t="str">
        <f t="shared" si="11"/>
        <v/>
      </c>
      <c r="AD97" s="10" t="str">
        <f t="shared" si="12"/>
        <v/>
      </c>
      <c r="AE97" s="9" t="str">
        <f t="shared" si="13"/>
        <v/>
      </c>
      <c r="AF97" s="10" t="str">
        <f t="shared" si="14"/>
        <v/>
      </c>
      <c r="AG97" s="10" t="str">
        <f t="shared" si="15"/>
        <v/>
      </c>
      <c r="AH97" s="10" t="str">
        <f t="shared" si="16"/>
        <v/>
      </c>
      <c r="AI97" s="10" t="str">
        <f t="shared" si="17"/>
        <v/>
      </c>
      <c r="AJ97" s="10" t="str">
        <f t="shared" si="18"/>
        <v/>
      </c>
      <c r="AK97" s="10" t="str">
        <f t="shared" si="19"/>
        <v/>
      </c>
      <c r="AL97" s="14" t="str">
        <f t="shared" si="20"/>
        <v/>
      </c>
    </row>
    <row r="98" spans="1:38" x14ac:dyDescent="0.2">
      <c r="A98"/>
      <c r="B98" t="str">
        <f>IF($A98="","",VLOOKUP($A98,JupData!$A$2:$I$10000,4,FALSE))</f>
        <v/>
      </c>
      <c r="C98" s="7" t="str">
        <f>IF($A98="",IF(N(D98),0,""),VLOOKUP($A98,JupData!$A$2:$I$10000,7,FALSE))</f>
        <v/>
      </c>
      <c r="D98" t="str">
        <f t="shared" si="21"/>
        <v/>
      </c>
      <c r="E98" t="str">
        <f t="array" ref="E98">IF($A98="","",INDEX(JupData!$A$2:$K$10000,MATCH($A98&amp;E$1,JupData!$A$2:$A$10000&amp;JupData!$J$2:$J$10000,0),11))</f>
        <v/>
      </c>
      <c r="F98" t="str">
        <f t="array" ref="F98">IF($A98="","",INDEX(JupData!$A$2:$K$10000,MATCH($A98&amp;F$1,JupData!$A$2:$A$10000&amp;JupData!$J$2:$J$10000,0),11))</f>
        <v/>
      </c>
      <c r="G98" t="str">
        <f t="array" ref="G98">IF($A98="","",INDEX(JupData!$A$2:$K$10000,MATCH($A98&amp;G$1,JupData!$A$2:$A$10000&amp;JupData!$J$2:$J$10000,0),11))</f>
        <v/>
      </c>
      <c r="H98" t="str">
        <f t="array" ref="H98">IF($A98="","",INDEX(JupData!$A$2:$K$10000,MATCH($A98&amp;H$1,JupData!$A$2:$A$10000&amp;JupData!$J$2:$J$10000,0),11))</f>
        <v/>
      </c>
      <c r="I98" t="str">
        <f t="array" ref="I98">IF($A98="","",INDEX(JupData!$A$2:$K$10000,MATCH($A98&amp;I$1,JupData!$A$2:$A$10000&amp;JupData!$J$2:$J$10000,0),11))</f>
        <v/>
      </c>
      <c r="J98" t="str">
        <f t="array" ref="J98">IF($A98="","",INDEX(JupData!$A$2:$K$10000,MATCH($A98&amp;J$1,JupData!$A$2:$A$10000&amp;JupData!$J$2:$J$10000,0),11))</f>
        <v/>
      </c>
      <c r="K98" t="str">
        <f t="array" ref="K98">IF($A98="","",INDEX(JupData!$A$2:$K$10000,MATCH($A98&amp;K$1,JupData!$A$2:$A$10000&amp;JupData!$J$2:$J$10000,0),11))</f>
        <v/>
      </c>
      <c r="L98" t="str">
        <f t="array" ref="L98">IF($A98="","",INDEX(JupData!$A$2:$K$10000,MATCH($A98&amp;L$1,JupData!$A$2:$A$10000&amp;JupData!$J$2:$J$10000,0),11))</f>
        <v/>
      </c>
      <c r="M98" t="str">
        <f t="array" ref="M98">IF($A98="","",INDEX(JupData!$A$2:$K$10000,MATCH($A98&amp;M$1,JupData!$A$2:$A$10000&amp;JupData!$J$2:$J$10000,0),11))</f>
        <v/>
      </c>
      <c r="N98" t="str">
        <f t="array" ref="N98">IF($A98="","",INDEX(JupData!$A$2:$K$10000,MATCH($A98&amp;N$1,JupData!$A$2:$A$10000&amp;JupData!$J$2:$J$10000,0),11))</f>
        <v/>
      </c>
      <c r="O98" t="str">
        <f t="array" ref="O98">IF($A98="","",INDEX(JupData!$A$2:$K$10000,MATCH($A98&amp;O$1,JupData!$A$2:$A$10000&amp;JupData!$J$2:$J$10000,0),11))</f>
        <v/>
      </c>
      <c r="P98" t="str">
        <f t="array" ref="P98">IF($A98="","",INDEX(JupData!$A$2:$K$10000,MATCH($A98&amp;P$1,JupData!$A$2:$A$10000&amp;JupData!$J$2:$J$10000,0),11))</f>
        <v/>
      </c>
      <c r="Q98" t="str">
        <f t="array" ref="Q98">IF($A98="","",INDEX(JupData!$A$2:$K$10000,MATCH($A98&amp;Q$1,JupData!$A$2:$A$10000&amp;JupData!$J$2:$J$10000,0),11))</f>
        <v/>
      </c>
      <c r="R98" t="str">
        <f t="array" ref="R98">IF($A98="","",INDEX(JupData!$A$2:$K$10000,MATCH($A98&amp;R$1,JupData!$A$2:$A$10000&amp;JupData!$J$2:$J$10000,0),11))</f>
        <v/>
      </c>
      <c r="S98" t="str">
        <f t="array" ref="S98">IF($A98="","",INDEX(JupData!$A$2:$K$10000,MATCH($A98&amp;S$1,JupData!$A$2:$A$10000&amp;JupData!$J$2:$J$10000,0),11))</f>
        <v/>
      </c>
      <c r="T98" t="str">
        <f t="array" ref="T98">IF($A98="","",INDEX(JupData!$A$2:$K$10000,MATCH($A98&amp;T$1,JupData!$A$2:$A$10000&amp;JupData!$J$2:$J$10000,0),11))</f>
        <v/>
      </c>
      <c r="U98" t="str">
        <f t="array" ref="U98">IF($A98="","",INDEX(JupData!$A$2:$K$10000,MATCH($A98&amp;U$1,JupData!$A$2:$A$10000&amp;JupData!$J$2:$J$10000,0),11))</f>
        <v/>
      </c>
      <c r="V98" t="str">
        <f t="array" ref="V98">IF($A98="","",INDEX(JupData!$A$2:$K$10000,MATCH($A98&amp;V$1,JupData!$A$2:$A$10000&amp;JupData!$J$2:$J$10000,0),11))</f>
        <v/>
      </c>
      <c r="W98" t="str">
        <f t="array" ref="W98">IF($A98="","",INDEX(JupData!$A$2:$K$10000,MATCH($A98&amp;W$1,JupData!$A$2:$A$10000&amp;JupData!$J$2:$J$10000,0),11))</f>
        <v/>
      </c>
      <c r="X98" t="str">
        <f t="array" ref="X98">IF($A98="","",INDEX(JupData!$A$2:$K$10000,MATCH($A98&amp;X$1,JupData!$A$2:$A$10000&amp;JupData!$J$2:$J$10000,0),11))</f>
        <v/>
      </c>
      <c r="Y98" t="str">
        <f t="array" ref="Y98">IF($A98="","",INDEX(JupData!$A$2:$K$10000,MATCH($A98&amp;Y$1,JupData!$A$2:$A$10000&amp;JupData!$J$2:$J$10000,0),11))</f>
        <v/>
      </c>
      <c r="Z98" t="str">
        <f t="array" ref="Z98">IF($A98="","",INDEX(JupData!$A$2:$K$10000,MATCH($A98&amp;Z$1,JupData!$A$2:$A$10000&amp;JupData!$J$2:$J$10000,0),11))</f>
        <v/>
      </c>
      <c r="AA98" t="str">
        <f t="array" ref="AA98">IF($A98="","",INDEX(JupData!$A$2:$K$10000,MATCH($A98&amp;AA$1,JupData!$A$2:$A$10000&amp;JupData!$J$2:$J$10000,0),11))</f>
        <v/>
      </c>
      <c r="AB98" t="str">
        <f t="array" ref="AB98">IF($A98="","",INDEX(JupData!$A$2:$K$10000,MATCH($A98&amp;AB$1,JupData!$A$2:$A$10000&amp;JupData!$J$2:$J$10000,0),11))</f>
        <v/>
      </c>
      <c r="AC98" s="10" t="str">
        <f t="shared" si="11"/>
        <v/>
      </c>
      <c r="AD98" s="10" t="str">
        <f t="shared" si="12"/>
        <v/>
      </c>
      <c r="AE98" s="9" t="str">
        <f t="shared" si="13"/>
        <v/>
      </c>
      <c r="AF98" s="10" t="str">
        <f t="shared" si="14"/>
        <v/>
      </c>
      <c r="AG98" s="10" t="str">
        <f t="shared" si="15"/>
        <v/>
      </c>
      <c r="AH98" s="10" t="str">
        <f t="shared" si="16"/>
        <v/>
      </c>
      <c r="AI98" s="10" t="str">
        <f t="shared" si="17"/>
        <v/>
      </c>
      <c r="AJ98" s="10" t="str">
        <f t="shared" si="18"/>
        <v/>
      </c>
      <c r="AK98" s="10" t="str">
        <f t="shared" si="19"/>
        <v/>
      </c>
      <c r="AL98" s="14" t="str">
        <f t="shared" si="20"/>
        <v/>
      </c>
    </row>
    <row r="99" spans="1:38" x14ac:dyDescent="0.2">
      <c r="A99"/>
      <c r="B99" t="str">
        <f>IF($A99="","",VLOOKUP($A99,JupData!$A$2:$I$10000,4,FALSE))</f>
        <v/>
      </c>
      <c r="C99" s="7" t="str">
        <f>IF($A99="",IF(N(D99),0,""),VLOOKUP($A99,JupData!$A$2:$I$10000,7,FALSE))</f>
        <v/>
      </c>
      <c r="D99" t="str">
        <f t="shared" si="21"/>
        <v/>
      </c>
      <c r="E99" t="str">
        <f t="array" ref="E99">IF($A99="","",INDEX(JupData!$A$2:$K$10000,MATCH($A99&amp;E$1,JupData!$A$2:$A$10000&amp;JupData!$J$2:$J$10000,0),11))</f>
        <v/>
      </c>
      <c r="F99" t="str">
        <f t="array" ref="F99">IF($A99="","",INDEX(JupData!$A$2:$K$10000,MATCH($A99&amp;F$1,JupData!$A$2:$A$10000&amp;JupData!$J$2:$J$10000,0),11))</f>
        <v/>
      </c>
      <c r="G99" t="str">
        <f t="array" ref="G99">IF($A99="","",INDEX(JupData!$A$2:$K$10000,MATCH($A99&amp;G$1,JupData!$A$2:$A$10000&amp;JupData!$J$2:$J$10000,0),11))</f>
        <v/>
      </c>
      <c r="H99" t="str">
        <f t="array" ref="H99">IF($A99="","",INDEX(JupData!$A$2:$K$10000,MATCH($A99&amp;H$1,JupData!$A$2:$A$10000&amp;JupData!$J$2:$J$10000,0),11))</f>
        <v/>
      </c>
      <c r="I99" t="str">
        <f t="array" ref="I99">IF($A99="","",INDEX(JupData!$A$2:$K$10000,MATCH($A99&amp;I$1,JupData!$A$2:$A$10000&amp;JupData!$J$2:$J$10000,0),11))</f>
        <v/>
      </c>
      <c r="J99" t="str">
        <f t="array" ref="J99">IF($A99="","",INDEX(JupData!$A$2:$K$10000,MATCH($A99&amp;J$1,JupData!$A$2:$A$10000&amp;JupData!$J$2:$J$10000,0),11))</f>
        <v/>
      </c>
      <c r="K99" t="str">
        <f t="array" ref="K99">IF($A99="","",INDEX(JupData!$A$2:$K$10000,MATCH($A99&amp;K$1,JupData!$A$2:$A$10000&amp;JupData!$J$2:$J$10000,0),11))</f>
        <v/>
      </c>
      <c r="L99" t="str">
        <f t="array" ref="L99">IF($A99="","",INDEX(JupData!$A$2:$K$10000,MATCH($A99&amp;L$1,JupData!$A$2:$A$10000&amp;JupData!$J$2:$J$10000,0),11))</f>
        <v/>
      </c>
      <c r="M99" t="str">
        <f t="array" ref="M99">IF($A99="","",INDEX(JupData!$A$2:$K$10000,MATCH($A99&amp;M$1,JupData!$A$2:$A$10000&amp;JupData!$J$2:$J$10000,0),11))</f>
        <v/>
      </c>
      <c r="N99" t="str">
        <f t="array" ref="N99">IF($A99="","",INDEX(JupData!$A$2:$K$10000,MATCH($A99&amp;N$1,JupData!$A$2:$A$10000&amp;JupData!$J$2:$J$10000,0),11))</f>
        <v/>
      </c>
      <c r="O99" t="str">
        <f t="array" ref="O99">IF($A99="","",INDEX(JupData!$A$2:$K$10000,MATCH($A99&amp;O$1,JupData!$A$2:$A$10000&amp;JupData!$J$2:$J$10000,0),11))</f>
        <v/>
      </c>
      <c r="P99" t="str">
        <f t="array" ref="P99">IF($A99="","",INDEX(JupData!$A$2:$K$10000,MATCH($A99&amp;P$1,JupData!$A$2:$A$10000&amp;JupData!$J$2:$J$10000,0),11))</f>
        <v/>
      </c>
      <c r="Q99" t="str">
        <f t="array" ref="Q99">IF($A99="","",INDEX(JupData!$A$2:$K$10000,MATCH($A99&amp;Q$1,JupData!$A$2:$A$10000&amp;JupData!$J$2:$J$10000,0),11))</f>
        <v/>
      </c>
      <c r="R99" t="str">
        <f t="array" ref="R99">IF($A99="","",INDEX(JupData!$A$2:$K$10000,MATCH($A99&amp;R$1,JupData!$A$2:$A$10000&amp;JupData!$J$2:$J$10000,0),11))</f>
        <v/>
      </c>
      <c r="S99" t="str">
        <f t="array" ref="S99">IF($A99="","",INDEX(JupData!$A$2:$K$10000,MATCH($A99&amp;S$1,JupData!$A$2:$A$10000&amp;JupData!$J$2:$J$10000,0),11))</f>
        <v/>
      </c>
      <c r="T99" t="str">
        <f t="array" ref="T99">IF($A99="","",INDEX(JupData!$A$2:$K$10000,MATCH($A99&amp;T$1,JupData!$A$2:$A$10000&amp;JupData!$J$2:$J$10000,0),11))</f>
        <v/>
      </c>
      <c r="U99" t="str">
        <f t="array" ref="U99">IF($A99="","",INDEX(JupData!$A$2:$K$10000,MATCH($A99&amp;U$1,JupData!$A$2:$A$10000&amp;JupData!$J$2:$J$10000,0),11))</f>
        <v/>
      </c>
      <c r="V99" t="str">
        <f t="array" ref="V99">IF($A99="","",INDEX(JupData!$A$2:$K$10000,MATCH($A99&amp;V$1,JupData!$A$2:$A$10000&amp;JupData!$J$2:$J$10000,0),11))</f>
        <v/>
      </c>
      <c r="W99" t="str">
        <f t="array" ref="W99">IF($A99="","",INDEX(JupData!$A$2:$K$10000,MATCH($A99&amp;W$1,JupData!$A$2:$A$10000&amp;JupData!$J$2:$J$10000,0),11))</f>
        <v/>
      </c>
      <c r="X99" t="str">
        <f t="array" ref="X99">IF($A99="","",INDEX(JupData!$A$2:$K$10000,MATCH($A99&amp;X$1,JupData!$A$2:$A$10000&amp;JupData!$J$2:$J$10000,0),11))</f>
        <v/>
      </c>
      <c r="Y99" t="str">
        <f t="array" ref="Y99">IF($A99="","",INDEX(JupData!$A$2:$K$10000,MATCH($A99&amp;Y$1,JupData!$A$2:$A$10000&amp;JupData!$J$2:$J$10000,0),11))</f>
        <v/>
      </c>
      <c r="Z99" t="str">
        <f t="array" ref="Z99">IF($A99="","",INDEX(JupData!$A$2:$K$10000,MATCH($A99&amp;Z$1,JupData!$A$2:$A$10000&amp;JupData!$J$2:$J$10000,0),11))</f>
        <v/>
      </c>
      <c r="AA99" t="str">
        <f t="array" ref="AA99">IF($A99="","",INDEX(JupData!$A$2:$K$10000,MATCH($A99&amp;AA$1,JupData!$A$2:$A$10000&amp;JupData!$J$2:$J$10000,0),11))</f>
        <v/>
      </c>
      <c r="AB99" t="str">
        <f t="array" ref="AB99">IF($A99="","",INDEX(JupData!$A$2:$K$10000,MATCH($A99&amp;AB$1,JupData!$A$2:$A$10000&amp;JupData!$J$2:$J$10000,0),11))</f>
        <v/>
      </c>
      <c r="AC99" s="10" t="str">
        <f t="shared" si="11"/>
        <v/>
      </c>
      <c r="AD99" s="10" t="str">
        <f t="shared" si="12"/>
        <v/>
      </c>
      <c r="AE99" s="9" t="str">
        <f t="shared" si="13"/>
        <v/>
      </c>
      <c r="AF99" s="10" t="str">
        <f t="shared" si="14"/>
        <v/>
      </c>
      <c r="AG99" s="10" t="str">
        <f t="shared" si="15"/>
        <v/>
      </c>
      <c r="AH99" s="10" t="str">
        <f t="shared" si="16"/>
        <v/>
      </c>
      <c r="AI99" s="10" t="str">
        <f t="shared" si="17"/>
        <v/>
      </c>
      <c r="AJ99" s="10" t="str">
        <f t="shared" si="18"/>
        <v/>
      </c>
      <c r="AK99" s="10" t="str">
        <f t="shared" si="19"/>
        <v/>
      </c>
      <c r="AL99" s="14" t="str">
        <f t="shared" si="20"/>
        <v/>
      </c>
    </row>
    <row r="100" spans="1:38" x14ac:dyDescent="0.2">
      <c r="A100"/>
      <c r="B100" t="str">
        <f>IF($A100="","",VLOOKUP($A100,JupData!$A$2:$I$10000,4,FALSE))</f>
        <v/>
      </c>
      <c r="C100" s="7" t="str">
        <f>IF($A100="",IF(N(D100),0,""),VLOOKUP($A100,JupData!$A$2:$I$10000,7,FALSE))</f>
        <v/>
      </c>
      <c r="D100" t="str">
        <f t="shared" si="21"/>
        <v/>
      </c>
      <c r="E100" t="str">
        <f t="array" ref="E100">IF($A100="","",INDEX(JupData!$A$2:$K$10000,MATCH($A100&amp;E$1,JupData!$A$2:$A$10000&amp;JupData!$J$2:$J$10000,0),11))</f>
        <v/>
      </c>
      <c r="F100" t="str">
        <f t="array" ref="F100">IF($A100="","",INDEX(JupData!$A$2:$K$10000,MATCH($A100&amp;F$1,JupData!$A$2:$A$10000&amp;JupData!$J$2:$J$10000,0),11))</f>
        <v/>
      </c>
      <c r="G100" t="str">
        <f t="array" ref="G100">IF($A100="","",INDEX(JupData!$A$2:$K$10000,MATCH($A100&amp;G$1,JupData!$A$2:$A$10000&amp;JupData!$J$2:$J$10000,0),11))</f>
        <v/>
      </c>
      <c r="H100" t="str">
        <f t="array" ref="H100">IF($A100="","",INDEX(JupData!$A$2:$K$10000,MATCH($A100&amp;H$1,JupData!$A$2:$A$10000&amp;JupData!$J$2:$J$10000,0),11))</f>
        <v/>
      </c>
      <c r="I100" t="str">
        <f t="array" ref="I100">IF($A100="","",INDEX(JupData!$A$2:$K$10000,MATCH($A100&amp;I$1,JupData!$A$2:$A$10000&amp;JupData!$J$2:$J$10000,0),11))</f>
        <v/>
      </c>
      <c r="J100" t="str">
        <f t="array" ref="J100">IF($A100="","",INDEX(JupData!$A$2:$K$10000,MATCH($A100&amp;J$1,JupData!$A$2:$A$10000&amp;JupData!$J$2:$J$10000,0),11))</f>
        <v/>
      </c>
      <c r="K100" t="str">
        <f t="array" ref="K100">IF($A100="","",INDEX(JupData!$A$2:$K$10000,MATCH($A100&amp;K$1,JupData!$A$2:$A$10000&amp;JupData!$J$2:$J$10000,0),11))</f>
        <v/>
      </c>
      <c r="L100" t="str">
        <f t="array" ref="L100">IF($A100="","",INDEX(JupData!$A$2:$K$10000,MATCH($A100&amp;L$1,JupData!$A$2:$A$10000&amp;JupData!$J$2:$J$10000,0),11))</f>
        <v/>
      </c>
      <c r="M100" t="str">
        <f t="array" ref="M100">IF($A100="","",INDEX(JupData!$A$2:$K$10000,MATCH($A100&amp;M$1,JupData!$A$2:$A$10000&amp;JupData!$J$2:$J$10000,0),11))</f>
        <v/>
      </c>
      <c r="N100" t="str">
        <f t="array" ref="N100">IF($A100="","",INDEX(JupData!$A$2:$K$10000,MATCH($A100&amp;N$1,JupData!$A$2:$A$10000&amp;JupData!$J$2:$J$10000,0),11))</f>
        <v/>
      </c>
      <c r="O100" t="str">
        <f t="array" ref="O100">IF($A100="","",INDEX(JupData!$A$2:$K$10000,MATCH($A100&amp;O$1,JupData!$A$2:$A$10000&amp;JupData!$J$2:$J$10000,0),11))</f>
        <v/>
      </c>
      <c r="P100" t="str">
        <f t="array" ref="P100">IF($A100="","",INDEX(JupData!$A$2:$K$10000,MATCH($A100&amp;P$1,JupData!$A$2:$A$10000&amp;JupData!$J$2:$J$10000,0),11))</f>
        <v/>
      </c>
      <c r="Q100" t="str">
        <f t="array" ref="Q100">IF($A100="","",INDEX(JupData!$A$2:$K$10000,MATCH($A100&amp;Q$1,JupData!$A$2:$A$10000&amp;JupData!$J$2:$J$10000,0),11))</f>
        <v/>
      </c>
      <c r="R100" t="str">
        <f t="array" ref="R100">IF($A100="","",INDEX(JupData!$A$2:$K$10000,MATCH($A100&amp;R$1,JupData!$A$2:$A$10000&amp;JupData!$J$2:$J$10000,0),11))</f>
        <v/>
      </c>
      <c r="S100" t="str">
        <f t="array" ref="S100">IF($A100="","",INDEX(JupData!$A$2:$K$10000,MATCH($A100&amp;S$1,JupData!$A$2:$A$10000&amp;JupData!$J$2:$J$10000,0),11))</f>
        <v/>
      </c>
      <c r="T100" t="str">
        <f t="array" ref="T100">IF($A100="","",INDEX(JupData!$A$2:$K$10000,MATCH($A100&amp;T$1,JupData!$A$2:$A$10000&amp;JupData!$J$2:$J$10000,0),11))</f>
        <v/>
      </c>
      <c r="U100" t="str">
        <f t="array" ref="U100">IF($A100="","",INDEX(JupData!$A$2:$K$10000,MATCH($A100&amp;U$1,JupData!$A$2:$A$10000&amp;JupData!$J$2:$J$10000,0),11))</f>
        <v/>
      </c>
      <c r="V100" t="str">
        <f t="array" ref="V100">IF($A100="","",INDEX(JupData!$A$2:$K$10000,MATCH($A100&amp;V$1,JupData!$A$2:$A$10000&amp;JupData!$J$2:$J$10000,0),11))</f>
        <v/>
      </c>
      <c r="W100" t="str">
        <f t="array" ref="W100">IF($A100="","",INDEX(JupData!$A$2:$K$10000,MATCH($A100&amp;W$1,JupData!$A$2:$A$10000&amp;JupData!$J$2:$J$10000,0),11))</f>
        <v/>
      </c>
      <c r="X100" t="str">
        <f t="array" ref="X100">IF($A100="","",INDEX(JupData!$A$2:$K$10000,MATCH($A100&amp;X$1,JupData!$A$2:$A$10000&amp;JupData!$J$2:$J$10000,0),11))</f>
        <v/>
      </c>
      <c r="Y100" t="str">
        <f t="array" ref="Y100">IF($A100="","",INDEX(JupData!$A$2:$K$10000,MATCH($A100&amp;Y$1,JupData!$A$2:$A$10000&amp;JupData!$J$2:$J$10000,0),11))</f>
        <v/>
      </c>
      <c r="Z100" t="str">
        <f t="array" ref="Z100">IF($A100="","",INDEX(JupData!$A$2:$K$10000,MATCH($A100&amp;Z$1,JupData!$A$2:$A$10000&amp;JupData!$J$2:$J$10000,0),11))</f>
        <v/>
      </c>
      <c r="AA100" t="str">
        <f t="array" ref="AA100">IF($A100="","",INDEX(JupData!$A$2:$K$10000,MATCH($A100&amp;AA$1,JupData!$A$2:$A$10000&amp;JupData!$J$2:$J$10000,0),11))</f>
        <v/>
      </c>
      <c r="AB100" t="str">
        <f t="array" ref="AB100">IF($A100="","",INDEX(JupData!$A$2:$K$10000,MATCH($A100&amp;AB$1,JupData!$A$2:$A$10000&amp;JupData!$J$2:$J$10000,0),11))</f>
        <v/>
      </c>
      <c r="AC100" s="10" t="str">
        <f t="shared" si="11"/>
        <v/>
      </c>
      <c r="AD100" s="10" t="str">
        <f t="shared" si="12"/>
        <v/>
      </c>
      <c r="AE100" s="9" t="str">
        <f t="shared" si="13"/>
        <v/>
      </c>
      <c r="AF100" s="10" t="str">
        <f t="shared" si="14"/>
        <v/>
      </c>
      <c r="AG100" s="10" t="str">
        <f t="shared" si="15"/>
        <v/>
      </c>
      <c r="AH100" s="10" t="str">
        <f t="shared" si="16"/>
        <v/>
      </c>
      <c r="AI100" s="10" t="str">
        <f t="shared" si="17"/>
        <v/>
      </c>
      <c r="AJ100" s="10" t="str">
        <f t="shared" si="18"/>
        <v/>
      </c>
      <c r="AK100" s="10" t="str">
        <f t="shared" si="19"/>
        <v/>
      </c>
      <c r="AL100" s="14" t="str">
        <f t="shared" si="20"/>
        <v/>
      </c>
    </row>
    <row r="101" spans="1:38" x14ac:dyDescent="0.2">
      <c r="A101"/>
      <c r="B101" t="str">
        <f>IF($A101="","",VLOOKUP($A101,JupData!$A$2:$I$10000,4,FALSE))</f>
        <v/>
      </c>
      <c r="C101" s="7" t="str">
        <f>IF($A101="",IF(N(D101),0,""),VLOOKUP($A101,JupData!$A$2:$I$10000,7,FALSE))</f>
        <v/>
      </c>
      <c r="D101" t="str">
        <f t="shared" si="21"/>
        <v/>
      </c>
      <c r="E101" t="str">
        <f t="array" ref="E101">IF($A101="","",INDEX(JupData!$A$2:$K$10000,MATCH($A101&amp;E$1,JupData!$A$2:$A$10000&amp;JupData!$J$2:$J$10000,0),11))</f>
        <v/>
      </c>
      <c r="F101" t="str">
        <f t="array" ref="F101">IF($A101="","",INDEX(JupData!$A$2:$K$10000,MATCH($A101&amp;F$1,JupData!$A$2:$A$10000&amp;JupData!$J$2:$J$10000,0),11))</f>
        <v/>
      </c>
      <c r="G101" t="str">
        <f t="array" ref="G101">IF($A101="","",INDEX(JupData!$A$2:$K$10000,MATCH($A101&amp;G$1,JupData!$A$2:$A$10000&amp;JupData!$J$2:$J$10000,0),11))</f>
        <v/>
      </c>
      <c r="H101" t="str">
        <f t="array" ref="H101">IF($A101="","",INDEX(JupData!$A$2:$K$10000,MATCH($A101&amp;H$1,JupData!$A$2:$A$10000&amp;JupData!$J$2:$J$10000,0),11))</f>
        <v/>
      </c>
      <c r="I101" t="str">
        <f t="array" ref="I101">IF($A101="","",INDEX(JupData!$A$2:$K$10000,MATCH($A101&amp;I$1,JupData!$A$2:$A$10000&amp;JupData!$J$2:$J$10000,0),11))</f>
        <v/>
      </c>
      <c r="J101" t="str">
        <f t="array" ref="J101">IF($A101="","",INDEX(JupData!$A$2:$K$10000,MATCH($A101&amp;J$1,JupData!$A$2:$A$10000&amp;JupData!$J$2:$J$10000,0),11))</f>
        <v/>
      </c>
      <c r="K101" t="str">
        <f t="array" ref="K101">IF($A101="","",INDEX(JupData!$A$2:$K$10000,MATCH($A101&amp;K$1,JupData!$A$2:$A$10000&amp;JupData!$J$2:$J$10000,0),11))</f>
        <v/>
      </c>
      <c r="L101" t="str">
        <f t="array" ref="L101">IF($A101="","",INDEX(JupData!$A$2:$K$10000,MATCH($A101&amp;L$1,JupData!$A$2:$A$10000&amp;JupData!$J$2:$J$10000,0),11))</f>
        <v/>
      </c>
      <c r="M101" t="str">
        <f t="array" ref="M101">IF($A101="","",INDEX(JupData!$A$2:$K$10000,MATCH($A101&amp;M$1,JupData!$A$2:$A$10000&amp;JupData!$J$2:$J$10000,0),11))</f>
        <v/>
      </c>
      <c r="N101" t="str">
        <f t="array" ref="N101">IF($A101="","",INDEX(JupData!$A$2:$K$10000,MATCH($A101&amp;N$1,JupData!$A$2:$A$10000&amp;JupData!$J$2:$J$10000,0),11))</f>
        <v/>
      </c>
      <c r="O101" t="str">
        <f t="array" ref="O101">IF($A101="","",INDEX(JupData!$A$2:$K$10000,MATCH($A101&amp;O$1,JupData!$A$2:$A$10000&amp;JupData!$J$2:$J$10000,0),11))</f>
        <v/>
      </c>
      <c r="P101" t="str">
        <f t="array" ref="P101">IF($A101="","",INDEX(JupData!$A$2:$K$10000,MATCH($A101&amp;P$1,JupData!$A$2:$A$10000&amp;JupData!$J$2:$J$10000,0),11))</f>
        <v/>
      </c>
      <c r="Q101" t="str">
        <f t="array" ref="Q101">IF($A101="","",INDEX(JupData!$A$2:$K$10000,MATCH($A101&amp;Q$1,JupData!$A$2:$A$10000&amp;JupData!$J$2:$J$10000,0),11))</f>
        <v/>
      </c>
      <c r="R101" t="str">
        <f t="array" ref="R101">IF($A101="","",INDEX(JupData!$A$2:$K$10000,MATCH($A101&amp;R$1,JupData!$A$2:$A$10000&amp;JupData!$J$2:$J$10000,0),11))</f>
        <v/>
      </c>
      <c r="S101" t="str">
        <f t="array" ref="S101">IF($A101="","",INDEX(JupData!$A$2:$K$10000,MATCH($A101&amp;S$1,JupData!$A$2:$A$10000&amp;JupData!$J$2:$J$10000,0),11))</f>
        <v/>
      </c>
      <c r="T101" t="str">
        <f t="array" ref="T101">IF($A101="","",INDEX(JupData!$A$2:$K$10000,MATCH($A101&amp;T$1,JupData!$A$2:$A$10000&amp;JupData!$J$2:$J$10000,0),11))</f>
        <v/>
      </c>
      <c r="U101" t="str">
        <f t="array" ref="U101">IF($A101="","",INDEX(JupData!$A$2:$K$10000,MATCH($A101&amp;U$1,JupData!$A$2:$A$10000&amp;JupData!$J$2:$J$10000,0),11))</f>
        <v/>
      </c>
      <c r="V101" t="str">
        <f t="array" ref="V101">IF($A101="","",INDEX(JupData!$A$2:$K$10000,MATCH($A101&amp;V$1,JupData!$A$2:$A$10000&amp;JupData!$J$2:$J$10000,0),11))</f>
        <v/>
      </c>
      <c r="W101" t="str">
        <f t="array" ref="W101">IF($A101="","",INDEX(JupData!$A$2:$K$10000,MATCH($A101&amp;W$1,JupData!$A$2:$A$10000&amp;JupData!$J$2:$J$10000,0),11))</f>
        <v/>
      </c>
      <c r="X101" t="str">
        <f t="array" ref="X101">IF($A101="","",INDEX(JupData!$A$2:$K$10000,MATCH($A101&amp;X$1,JupData!$A$2:$A$10000&amp;JupData!$J$2:$J$10000,0),11))</f>
        <v/>
      </c>
      <c r="Y101" t="str">
        <f t="array" ref="Y101">IF($A101="","",INDEX(JupData!$A$2:$K$10000,MATCH($A101&amp;Y$1,JupData!$A$2:$A$10000&amp;JupData!$J$2:$J$10000,0),11))</f>
        <v/>
      </c>
      <c r="Z101" t="str">
        <f t="array" ref="Z101">IF($A101="","",INDEX(JupData!$A$2:$K$10000,MATCH($A101&amp;Z$1,JupData!$A$2:$A$10000&amp;JupData!$J$2:$J$10000,0),11))</f>
        <v/>
      </c>
      <c r="AA101" t="str">
        <f t="array" ref="AA101">IF($A101="","",INDEX(JupData!$A$2:$K$10000,MATCH($A101&amp;AA$1,JupData!$A$2:$A$10000&amp;JupData!$J$2:$J$10000,0),11))</f>
        <v/>
      </c>
      <c r="AB101" t="str">
        <f t="array" ref="AB101">IF($A101="","",INDEX(JupData!$A$2:$K$10000,MATCH($A101&amp;AB$1,JupData!$A$2:$A$10000&amp;JupData!$J$2:$J$10000,0),11))</f>
        <v/>
      </c>
      <c r="AC101" s="10" t="str">
        <f t="shared" si="11"/>
        <v/>
      </c>
      <c r="AD101" s="10" t="str">
        <f t="shared" si="12"/>
        <v/>
      </c>
      <c r="AE101" s="9" t="str">
        <f t="shared" si="13"/>
        <v/>
      </c>
      <c r="AF101" s="10" t="str">
        <f t="shared" si="14"/>
        <v/>
      </c>
      <c r="AG101" s="10" t="str">
        <f t="shared" si="15"/>
        <v/>
      </c>
      <c r="AH101" s="10" t="str">
        <f t="shared" si="16"/>
        <v/>
      </c>
      <c r="AI101" s="10" t="str">
        <f t="shared" si="17"/>
        <v/>
      </c>
      <c r="AJ101" s="10" t="str">
        <f t="shared" si="18"/>
        <v/>
      </c>
      <c r="AK101" s="10" t="str">
        <f t="shared" si="19"/>
        <v/>
      </c>
      <c r="AL101" s="14" t="str">
        <f t="shared" si="20"/>
        <v/>
      </c>
    </row>
    <row r="102" spans="1:38" x14ac:dyDescent="0.2">
      <c r="A102"/>
      <c r="B102" t="str">
        <f>IF($A102="","",VLOOKUP($A102,JupData!$A$2:$I$10000,4,FALSE))</f>
        <v/>
      </c>
      <c r="C102" s="7" t="str">
        <f>IF($A102="",IF(N(D102),0,""),VLOOKUP($A102,JupData!$A$2:$I$10000,7,FALSE))</f>
        <v/>
      </c>
      <c r="D102" t="str">
        <f t="shared" si="21"/>
        <v/>
      </c>
      <c r="E102" t="str">
        <f t="array" ref="E102">IF($A102="","",INDEX(JupData!$A$2:$K$10000,MATCH($A102&amp;E$1,JupData!$A$2:$A$10000&amp;JupData!$J$2:$J$10000,0),11))</f>
        <v/>
      </c>
      <c r="F102" t="str">
        <f t="array" ref="F102">IF($A102="","",INDEX(JupData!$A$2:$K$10000,MATCH($A102&amp;F$1,JupData!$A$2:$A$10000&amp;JupData!$J$2:$J$10000,0),11))</f>
        <v/>
      </c>
      <c r="G102" t="str">
        <f t="array" ref="G102">IF($A102="","",INDEX(JupData!$A$2:$K$10000,MATCH($A102&amp;G$1,JupData!$A$2:$A$10000&amp;JupData!$J$2:$J$10000,0),11))</f>
        <v/>
      </c>
      <c r="H102" t="str">
        <f t="array" ref="H102">IF($A102="","",INDEX(JupData!$A$2:$K$10000,MATCH($A102&amp;H$1,JupData!$A$2:$A$10000&amp;JupData!$J$2:$J$10000,0),11))</f>
        <v/>
      </c>
      <c r="I102" t="str">
        <f t="array" ref="I102">IF($A102="","",INDEX(JupData!$A$2:$K$10000,MATCH($A102&amp;I$1,JupData!$A$2:$A$10000&amp;JupData!$J$2:$J$10000,0),11))</f>
        <v/>
      </c>
      <c r="J102" t="str">
        <f t="array" ref="J102">IF($A102="","",INDEX(JupData!$A$2:$K$10000,MATCH($A102&amp;J$1,JupData!$A$2:$A$10000&amp;JupData!$J$2:$J$10000,0),11))</f>
        <v/>
      </c>
      <c r="K102" t="str">
        <f t="array" ref="K102">IF($A102="","",INDEX(JupData!$A$2:$K$10000,MATCH($A102&amp;K$1,JupData!$A$2:$A$10000&amp;JupData!$J$2:$J$10000,0),11))</f>
        <v/>
      </c>
      <c r="L102" t="str">
        <f t="array" ref="L102">IF($A102="","",INDEX(JupData!$A$2:$K$10000,MATCH($A102&amp;L$1,JupData!$A$2:$A$10000&amp;JupData!$J$2:$J$10000,0),11))</f>
        <v/>
      </c>
      <c r="M102" t="str">
        <f t="array" ref="M102">IF($A102="","",INDEX(JupData!$A$2:$K$10000,MATCH($A102&amp;M$1,JupData!$A$2:$A$10000&amp;JupData!$J$2:$J$10000,0),11))</f>
        <v/>
      </c>
      <c r="N102" t="str">
        <f t="array" ref="N102">IF($A102="","",INDEX(JupData!$A$2:$K$10000,MATCH($A102&amp;N$1,JupData!$A$2:$A$10000&amp;JupData!$J$2:$J$10000,0),11))</f>
        <v/>
      </c>
      <c r="O102" t="str">
        <f t="array" ref="O102">IF($A102="","",INDEX(JupData!$A$2:$K$10000,MATCH($A102&amp;O$1,JupData!$A$2:$A$10000&amp;JupData!$J$2:$J$10000,0),11))</f>
        <v/>
      </c>
      <c r="P102" t="str">
        <f t="array" ref="P102">IF($A102="","",INDEX(JupData!$A$2:$K$10000,MATCH($A102&amp;P$1,JupData!$A$2:$A$10000&amp;JupData!$J$2:$J$10000,0),11))</f>
        <v/>
      </c>
      <c r="Q102" t="str">
        <f t="array" ref="Q102">IF($A102="","",INDEX(JupData!$A$2:$K$10000,MATCH($A102&amp;Q$1,JupData!$A$2:$A$10000&amp;JupData!$J$2:$J$10000,0),11))</f>
        <v/>
      </c>
      <c r="R102" t="str">
        <f t="array" ref="R102">IF($A102="","",INDEX(JupData!$A$2:$K$10000,MATCH($A102&amp;R$1,JupData!$A$2:$A$10000&amp;JupData!$J$2:$J$10000,0),11))</f>
        <v/>
      </c>
      <c r="S102" t="str">
        <f t="array" ref="S102">IF($A102="","",INDEX(JupData!$A$2:$K$10000,MATCH($A102&amp;S$1,JupData!$A$2:$A$10000&amp;JupData!$J$2:$J$10000,0),11))</f>
        <v/>
      </c>
      <c r="T102" t="str">
        <f t="array" ref="T102">IF($A102="","",INDEX(JupData!$A$2:$K$10000,MATCH($A102&amp;T$1,JupData!$A$2:$A$10000&amp;JupData!$J$2:$J$10000,0),11))</f>
        <v/>
      </c>
      <c r="U102" t="str">
        <f t="array" ref="U102">IF($A102="","",INDEX(JupData!$A$2:$K$10000,MATCH($A102&amp;U$1,JupData!$A$2:$A$10000&amp;JupData!$J$2:$J$10000,0),11))</f>
        <v/>
      </c>
      <c r="V102" t="str">
        <f t="array" ref="V102">IF($A102="","",INDEX(JupData!$A$2:$K$10000,MATCH($A102&amp;V$1,JupData!$A$2:$A$10000&amp;JupData!$J$2:$J$10000,0),11))</f>
        <v/>
      </c>
      <c r="W102" t="str">
        <f t="array" ref="W102">IF($A102="","",INDEX(JupData!$A$2:$K$10000,MATCH($A102&amp;W$1,JupData!$A$2:$A$10000&amp;JupData!$J$2:$J$10000,0),11))</f>
        <v/>
      </c>
      <c r="X102" t="str">
        <f t="array" ref="X102">IF($A102="","",INDEX(JupData!$A$2:$K$10000,MATCH($A102&amp;X$1,JupData!$A$2:$A$10000&amp;JupData!$J$2:$J$10000,0),11))</f>
        <v/>
      </c>
      <c r="Y102" t="str">
        <f t="array" ref="Y102">IF($A102="","",INDEX(JupData!$A$2:$K$10000,MATCH($A102&amp;Y$1,JupData!$A$2:$A$10000&amp;JupData!$J$2:$J$10000,0),11))</f>
        <v/>
      </c>
      <c r="Z102" t="str">
        <f t="array" ref="Z102">IF($A102="","",INDEX(JupData!$A$2:$K$10000,MATCH($A102&amp;Z$1,JupData!$A$2:$A$10000&amp;JupData!$J$2:$J$10000,0),11))</f>
        <v/>
      </c>
      <c r="AA102" t="str">
        <f t="array" ref="AA102">IF($A102="","",INDEX(JupData!$A$2:$K$10000,MATCH($A102&amp;AA$1,JupData!$A$2:$A$10000&amp;JupData!$J$2:$J$10000,0),11))</f>
        <v/>
      </c>
      <c r="AB102" t="str">
        <f t="array" ref="AB102">IF($A102="","",INDEX(JupData!$A$2:$K$10000,MATCH($A102&amp;AB$1,JupData!$A$2:$A$10000&amp;JupData!$J$2:$J$10000,0),11))</f>
        <v/>
      </c>
      <c r="AC102" s="10" t="str">
        <f t="shared" si="11"/>
        <v/>
      </c>
      <c r="AD102" s="10" t="str">
        <f t="shared" si="12"/>
        <v/>
      </c>
      <c r="AE102" s="9" t="str">
        <f t="shared" si="13"/>
        <v/>
      </c>
      <c r="AF102" s="10" t="str">
        <f t="shared" si="14"/>
        <v/>
      </c>
      <c r="AG102" s="10" t="str">
        <f t="shared" si="15"/>
        <v/>
      </c>
      <c r="AH102" s="10" t="str">
        <f t="shared" si="16"/>
        <v/>
      </c>
      <c r="AI102" s="10" t="str">
        <f t="shared" si="17"/>
        <v/>
      </c>
      <c r="AJ102" s="10" t="str">
        <f t="shared" si="18"/>
        <v/>
      </c>
      <c r="AK102" s="10" t="str">
        <f t="shared" si="19"/>
        <v/>
      </c>
      <c r="AL102" s="14" t="str">
        <f t="shared" si="20"/>
        <v/>
      </c>
    </row>
    <row r="103" spans="1:38" x14ac:dyDescent="0.2">
      <c r="A103"/>
      <c r="B103" t="str">
        <f>IF($A103="","",VLOOKUP($A103,JupData!$A$2:$I$10000,4,FALSE))</f>
        <v/>
      </c>
      <c r="C103" s="7" t="str">
        <f>IF($A103="",IF(N(D103),0,""),VLOOKUP($A103,JupData!$A$2:$I$10000,7,FALSE))</f>
        <v/>
      </c>
      <c r="D103" t="str">
        <f t="shared" si="21"/>
        <v/>
      </c>
      <c r="E103" t="str">
        <f t="array" ref="E103">IF($A103="","",INDEX(JupData!$A$2:$K$10000,MATCH($A103&amp;E$1,JupData!$A$2:$A$10000&amp;JupData!$J$2:$J$10000,0),11))</f>
        <v/>
      </c>
      <c r="F103" t="str">
        <f t="array" ref="F103">IF($A103="","",INDEX(JupData!$A$2:$K$10000,MATCH($A103&amp;F$1,JupData!$A$2:$A$10000&amp;JupData!$J$2:$J$10000,0),11))</f>
        <v/>
      </c>
      <c r="G103" t="str">
        <f t="array" ref="G103">IF($A103="","",INDEX(JupData!$A$2:$K$10000,MATCH($A103&amp;G$1,JupData!$A$2:$A$10000&amp;JupData!$J$2:$J$10000,0),11))</f>
        <v/>
      </c>
      <c r="H103" t="str">
        <f t="array" ref="H103">IF($A103="","",INDEX(JupData!$A$2:$K$10000,MATCH($A103&amp;H$1,JupData!$A$2:$A$10000&amp;JupData!$J$2:$J$10000,0),11))</f>
        <v/>
      </c>
      <c r="I103" t="str">
        <f t="array" ref="I103">IF($A103="","",INDEX(JupData!$A$2:$K$10000,MATCH($A103&amp;I$1,JupData!$A$2:$A$10000&amp;JupData!$J$2:$J$10000,0),11))</f>
        <v/>
      </c>
      <c r="J103" t="str">
        <f t="array" ref="J103">IF($A103="","",INDEX(JupData!$A$2:$K$10000,MATCH($A103&amp;J$1,JupData!$A$2:$A$10000&amp;JupData!$J$2:$J$10000,0),11))</f>
        <v/>
      </c>
      <c r="K103" t="str">
        <f t="array" ref="K103">IF($A103="","",INDEX(JupData!$A$2:$K$10000,MATCH($A103&amp;K$1,JupData!$A$2:$A$10000&amp;JupData!$J$2:$J$10000,0),11))</f>
        <v/>
      </c>
      <c r="L103" t="str">
        <f t="array" ref="L103">IF($A103="","",INDEX(JupData!$A$2:$K$10000,MATCH($A103&amp;L$1,JupData!$A$2:$A$10000&amp;JupData!$J$2:$J$10000,0),11))</f>
        <v/>
      </c>
      <c r="M103" t="str">
        <f t="array" ref="M103">IF($A103="","",INDEX(JupData!$A$2:$K$10000,MATCH($A103&amp;M$1,JupData!$A$2:$A$10000&amp;JupData!$J$2:$J$10000,0),11))</f>
        <v/>
      </c>
      <c r="N103" t="str">
        <f t="array" ref="N103">IF($A103="","",INDEX(JupData!$A$2:$K$10000,MATCH($A103&amp;N$1,JupData!$A$2:$A$10000&amp;JupData!$J$2:$J$10000,0),11))</f>
        <v/>
      </c>
      <c r="O103" t="str">
        <f t="array" ref="O103">IF($A103="","",INDEX(JupData!$A$2:$K$10000,MATCH($A103&amp;O$1,JupData!$A$2:$A$10000&amp;JupData!$J$2:$J$10000,0),11))</f>
        <v/>
      </c>
      <c r="P103" t="str">
        <f t="array" ref="P103">IF($A103="","",INDEX(JupData!$A$2:$K$10000,MATCH($A103&amp;P$1,JupData!$A$2:$A$10000&amp;JupData!$J$2:$J$10000,0),11))</f>
        <v/>
      </c>
      <c r="Q103" t="str">
        <f t="array" ref="Q103">IF($A103="","",INDEX(JupData!$A$2:$K$10000,MATCH($A103&amp;Q$1,JupData!$A$2:$A$10000&amp;JupData!$J$2:$J$10000,0),11))</f>
        <v/>
      </c>
      <c r="R103" t="str">
        <f t="array" ref="R103">IF($A103="","",INDEX(JupData!$A$2:$K$10000,MATCH($A103&amp;R$1,JupData!$A$2:$A$10000&amp;JupData!$J$2:$J$10000,0),11))</f>
        <v/>
      </c>
      <c r="S103" t="str">
        <f t="array" ref="S103">IF($A103="","",INDEX(JupData!$A$2:$K$10000,MATCH($A103&amp;S$1,JupData!$A$2:$A$10000&amp;JupData!$J$2:$J$10000,0),11))</f>
        <v/>
      </c>
      <c r="T103" t="str">
        <f t="array" ref="T103">IF($A103="","",INDEX(JupData!$A$2:$K$10000,MATCH($A103&amp;T$1,JupData!$A$2:$A$10000&amp;JupData!$J$2:$J$10000,0),11))</f>
        <v/>
      </c>
      <c r="U103" t="str">
        <f t="array" ref="U103">IF($A103="","",INDEX(JupData!$A$2:$K$10000,MATCH($A103&amp;U$1,JupData!$A$2:$A$10000&amp;JupData!$J$2:$J$10000,0),11))</f>
        <v/>
      </c>
      <c r="V103" t="str">
        <f t="array" ref="V103">IF($A103="","",INDEX(JupData!$A$2:$K$10000,MATCH($A103&amp;V$1,JupData!$A$2:$A$10000&amp;JupData!$J$2:$J$10000,0),11))</f>
        <v/>
      </c>
      <c r="W103" t="str">
        <f t="array" ref="W103">IF($A103="","",INDEX(JupData!$A$2:$K$10000,MATCH($A103&amp;W$1,JupData!$A$2:$A$10000&amp;JupData!$J$2:$J$10000,0),11))</f>
        <v/>
      </c>
      <c r="X103" t="str">
        <f t="array" ref="X103">IF($A103="","",INDEX(JupData!$A$2:$K$10000,MATCH($A103&amp;X$1,JupData!$A$2:$A$10000&amp;JupData!$J$2:$J$10000,0),11))</f>
        <v/>
      </c>
      <c r="Y103" t="str">
        <f t="array" ref="Y103">IF($A103="","",INDEX(JupData!$A$2:$K$10000,MATCH($A103&amp;Y$1,JupData!$A$2:$A$10000&amp;JupData!$J$2:$J$10000,0),11))</f>
        <v/>
      </c>
      <c r="Z103" t="str">
        <f t="array" ref="Z103">IF($A103="","",INDEX(JupData!$A$2:$K$10000,MATCH($A103&amp;Z$1,JupData!$A$2:$A$10000&amp;JupData!$J$2:$J$10000,0),11))</f>
        <v/>
      </c>
      <c r="AA103" t="str">
        <f t="array" ref="AA103">IF($A103="","",INDEX(JupData!$A$2:$K$10000,MATCH($A103&amp;AA$1,JupData!$A$2:$A$10000&amp;JupData!$J$2:$J$10000,0),11))</f>
        <v/>
      </c>
      <c r="AB103" t="str">
        <f t="array" ref="AB103">IF($A103="","",INDEX(JupData!$A$2:$K$10000,MATCH($A103&amp;AB$1,JupData!$A$2:$A$10000&amp;JupData!$J$2:$J$10000,0),11))</f>
        <v/>
      </c>
      <c r="AC103" s="10" t="str">
        <f t="shared" si="11"/>
        <v/>
      </c>
      <c r="AD103" s="10" t="str">
        <f t="shared" si="12"/>
        <v/>
      </c>
      <c r="AE103" s="9" t="str">
        <f t="shared" si="13"/>
        <v/>
      </c>
      <c r="AF103" s="10" t="str">
        <f t="shared" si="14"/>
        <v/>
      </c>
      <c r="AG103" s="10" t="str">
        <f t="shared" si="15"/>
        <v/>
      </c>
      <c r="AH103" s="10" t="str">
        <f t="shared" si="16"/>
        <v/>
      </c>
      <c r="AI103" s="10" t="str">
        <f t="shared" si="17"/>
        <v/>
      </c>
      <c r="AJ103" s="10" t="str">
        <f t="shared" si="18"/>
        <v/>
      </c>
      <c r="AK103" s="10" t="str">
        <f t="shared" si="19"/>
        <v/>
      </c>
      <c r="AL103" s="14" t="str">
        <f t="shared" si="20"/>
        <v/>
      </c>
    </row>
    <row r="104" spans="1:38" x14ac:dyDescent="0.2">
      <c r="A104"/>
      <c r="B104" t="str">
        <f>IF($A104="","",VLOOKUP($A104,JupData!$A$2:$I$10000,4,FALSE))</f>
        <v/>
      </c>
      <c r="C104" s="7" t="str">
        <f>IF($A104="",IF(N(D104),0,""),VLOOKUP($A104,JupData!$A$2:$I$10000,7,FALSE))</f>
        <v/>
      </c>
      <c r="D104" t="str">
        <f t="shared" si="21"/>
        <v/>
      </c>
      <c r="E104" t="str">
        <f t="array" ref="E104">IF($A104="","",INDEX(JupData!$A$2:$K$10000,MATCH($A104&amp;E$1,JupData!$A$2:$A$10000&amp;JupData!$J$2:$J$10000,0),11))</f>
        <v/>
      </c>
      <c r="F104" t="str">
        <f t="array" ref="F104">IF($A104="","",INDEX(JupData!$A$2:$K$10000,MATCH($A104&amp;F$1,JupData!$A$2:$A$10000&amp;JupData!$J$2:$J$10000,0),11))</f>
        <v/>
      </c>
      <c r="G104" t="str">
        <f t="array" ref="G104">IF($A104="","",INDEX(JupData!$A$2:$K$10000,MATCH($A104&amp;G$1,JupData!$A$2:$A$10000&amp;JupData!$J$2:$J$10000,0),11))</f>
        <v/>
      </c>
      <c r="H104" t="str">
        <f t="array" ref="H104">IF($A104="","",INDEX(JupData!$A$2:$K$10000,MATCH($A104&amp;H$1,JupData!$A$2:$A$10000&amp;JupData!$J$2:$J$10000,0),11))</f>
        <v/>
      </c>
      <c r="I104" t="str">
        <f t="array" ref="I104">IF($A104="","",INDEX(JupData!$A$2:$K$10000,MATCH($A104&amp;I$1,JupData!$A$2:$A$10000&amp;JupData!$J$2:$J$10000,0),11))</f>
        <v/>
      </c>
      <c r="J104" t="str">
        <f t="array" ref="J104">IF($A104="","",INDEX(JupData!$A$2:$K$10000,MATCH($A104&amp;J$1,JupData!$A$2:$A$10000&amp;JupData!$J$2:$J$10000,0),11))</f>
        <v/>
      </c>
      <c r="K104" t="str">
        <f t="array" ref="K104">IF($A104="","",INDEX(JupData!$A$2:$K$10000,MATCH($A104&amp;K$1,JupData!$A$2:$A$10000&amp;JupData!$J$2:$J$10000,0),11))</f>
        <v/>
      </c>
      <c r="L104" t="str">
        <f t="array" ref="L104">IF($A104="","",INDEX(JupData!$A$2:$K$10000,MATCH($A104&amp;L$1,JupData!$A$2:$A$10000&amp;JupData!$J$2:$J$10000,0),11))</f>
        <v/>
      </c>
      <c r="M104" t="str">
        <f t="array" ref="M104">IF($A104="","",INDEX(JupData!$A$2:$K$10000,MATCH($A104&amp;M$1,JupData!$A$2:$A$10000&amp;JupData!$J$2:$J$10000,0),11))</f>
        <v/>
      </c>
      <c r="N104" t="str">
        <f t="array" ref="N104">IF($A104="","",INDEX(JupData!$A$2:$K$10000,MATCH($A104&amp;N$1,JupData!$A$2:$A$10000&amp;JupData!$J$2:$J$10000,0),11))</f>
        <v/>
      </c>
      <c r="O104" t="str">
        <f t="array" ref="O104">IF($A104="","",INDEX(JupData!$A$2:$K$10000,MATCH($A104&amp;O$1,JupData!$A$2:$A$10000&amp;JupData!$J$2:$J$10000,0),11))</f>
        <v/>
      </c>
      <c r="P104" t="str">
        <f t="array" ref="P104">IF($A104="","",INDEX(JupData!$A$2:$K$10000,MATCH($A104&amp;P$1,JupData!$A$2:$A$10000&amp;JupData!$J$2:$J$10000,0),11))</f>
        <v/>
      </c>
      <c r="Q104" t="str">
        <f t="array" ref="Q104">IF($A104="","",INDEX(JupData!$A$2:$K$10000,MATCH($A104&amp;Q$1,JupData!$A$2:$A$10000&amp;JupData!$J$2:$J$10000,0),11))</f>
        <v/>
      </c>
      <c r="R104" t="str">
        <f t="array" ref="R104">IF($A104="","",INDEX(JupData!$A$2:$K$10000,MATCH($A104&amp;R$1,JupData!$A$2:$A$10000&amp;JupData!$J$2:$J$10000,0),11))</f>
        <v/>
      </c>
      <c r="S104" t="str">
        <f t="array" ref="S104">IF($A104="","",INDEX(JupData!$A$2:$K$10000,MATCH($A104&amp;S$1,JupData!$A$2:$A$10000&amp;JupData!$J$2:$J$10000,0),11))</f>
        <v/>
      </c>
      <c r="T104" t="str">
        <f t="array" ref="T104">IF($A104="","",INDEX(JupData!$A$2:$K$10000,MATCH($A104&amp;T$1,JupData!$A$2:$A$10000&amp;JupData!$J$2:$J$10000,0),11))</f>
        <v/>
      </c>
      <c r="U104" t="str">
        <f t="array" ref="U104">IF($A104="","",INDEX(JupData!$A$2:$K$10000,MATCH($A104&amp;U$1,JupData!$A$2:$A$10000&amp;JupData!$J$2:$J$10000,0),11))</f>
        <v/>
      </c>
      <c r="V104" t="str">
        <f t="array" ref="V104">IF($A104="","",INDEX(JupData!$A$2:$K$10000,MATCH($A104&amp;V$1,JupData!$A$2:$A$10000&amp;JupData!$J$2:$J$10000,0),11))</f>
        <v/>
      </c>
      <c r="W104" t="str">
        <f t="array" ref="W104">IF($A104="","",INDEX(JupData!$A$2:$K$10000,MATCH($A104&amp;W$1,JupData!$A$2:$A$10000&amp;JupData!$J$2:$J$10000,0),11))</f>
        <v/>
      </c>
      <c r="X104" t="str">
        <f t="array" ref="X104">IF($A104="","",INDEX(JupData!$A$2:$K$10000,MATCH($A104&amp;X$1,JupData!$A$2:$A$10000&amp;JupData!$J$2:$J$10000,0),11))</f>
        <v/>
      </c>
      <c r="Y104" t="str">
        <f t="array" ref="Y104">IF($A104="","",INDEX(JupData!$A$2:$K$10000,MATCH($A104&amp;Y$1,JupData!$A$2:$A$10000&amp;JupData!$J$2:$J$10000,0),11))</f>
        <v/>
      </c>
      <c r="Z104" t="str">
        <f t="array" ref="Z104">IF($A104="","",INDEX(JupData!$A$2:$K$10000,MATCH($A104&amp;Z$1,JupData!$A$2:$A$10000&amp;JupData!$J$2:$J$10000,0),11))</f>
        <v/>
      </c>
      <c r="AA104" t="str">
        <f t="array" ref="AA104">IF($A104="","",INDEX(JupData!$A$2:$K$10000,MATCH($A104&amp;AA$1,JupData!$A$2:$A$10000&amp;JupData!$J$2:$J$10000,0),11))</f>
        <v/>
      </c>
      <c r="AB104" t="str">
        <f t="array" ref="AB104">IF($A104="","",INDEX(JupData!$A$2:$K$10000,MATCH($A104&amp;AB$1,JupData!$A$2:$A$10000&amp;JupData!$J$2:$J$10000,0),11))</f>
        <v/>
      </c>
      <c r="AC104" s="10" t="str">
        <f t="shared" si="11"/>
        <v/>
      </c>
      <c r="AD104" s="10" t="str">
        <f t="shared" si="12"/>
        <v/>
      </c>
      <c r="AE104" s="9" t="str">
        <f t="shared" si="13"/>
        <v/>
      </c>
      <c r="AF104" s="10" t="str">
        <f t="shared" si="14"/>
        <v/>
      </c>
      <c r="AG104" s="10" t="str">
        <f t="shared" si="15"/>
        <v/>
      </c>
      <c r="AH104" s="10" t="str">
        <f t="shared" si="16"/>
        <v/>
      </c>
      <c r="AI104" s="10" t="str">
        <f t="shared" si="17"/>
        <v/>
      </c>
      <c r="AJ104" s="10" t="str">
        <f t="shared" si="18"/>
        <v/>
      </c>
      <c r="AK104" s="10" t="str">
        <f t="shared" si="19"/>
        <v/>
      </c>
      <c r="AL104" s="14" t="str">
        <f t="shared" si="20"/>
        <v/>
      </c>
    </row>
    <row r="105" spans="1:38" x14ac:dyDescent="0.2">
      <c r="A105"/>
      <c r="B105" t="str">
        <f>IF($A105="","",VLOOKUP($A105,JupData!$A$2:$I$10000,4,FALSE))</f>
        <v/>
      </c>
      <c r="C105" s="7" t="str">
        <f>IF($A105="",IF(N(D105),0,""),VLOOKUP($A105,JupData!$A$2:$I$10000,7,FALSE))</f>
        <v/>
      </c>
      <c r="D105" t="str">
        <f t="shared" si="21"/>
        <v/>
      </c>
      <c r="E105" t="str">
        <f t="array" ref="E105">IF($A105="","",INDEX(JupData!$A$2:$K$10000,MATCH($A105&amp;E$1,JupData!$A$2:$A$10000&amp;JupData!$J$2:$J$10000,0),11))</f>
        <v/>
      </c>
      <c r="F105" t="str">
        <f t="array" ref="F105">IF($A105="","",INDEX(JupData!$A$2:$K$10000,MATCH($A105&amp;F$1,JupData!$A$2:$A$10000&amp;JupData!$J$2:$J$10000,0),11))</f>
        <v/>
      </c>
      <c r="G105" t="str">
        <f t="array" ref="G105">IF($A105="","",INDEX(JupData!$A$2:$K$10000,MATCH($A105&amp;G$1,JupData!$A$2:$A$10000&amp;JupData!$J$2:$J$10000,0),11))</f>
        <v/>
      </c>
      <c r="H105" t="str">
        <f t="array" ref="H105">IF($A105="","",INDEX(JupData!$A$2:$K$10000,MATCH($A105&amp;H$1,JupData!$A$2:$A$10000&amp;JupData!$J$2:$J$10000,0),11))</f>
        <v/>
      </c>
      <c r="I105" t="str">
        <f t="array" ref="I105">IF($A105="","",INDEX(JupData!$A$2:$K$10000,MATCH($A105&amp;I$1,JupData!$A$2:$A$10000&amp;JupData!$J$2:$J$10000,0),11))</f>
        <v/>
      </c>
      <c r="J105" t="str">
        <f t="array" ref="J105">IF($A105="","",INDEX(JupData!$A$2:$K$10000,MATCH($A105&amp;J$1,JupData!$A$2:$A$10000&amp;JupData!$J$2:$J$10000,0),11))</f>
        <v/>
      </c>
      <c r="K105" t="str">
        <f t="array" ref="K105">IF($A105="","",INDEX(JupData!$A$2:$K$10000,MATCH($A105&amp;K$1,JupData!$A$2:$A$10000&amp;JupData!$J$2:$J$10000,0),11))</f>
        <v/>
      </c>
      <c r="L105" t="str">
        <f t="array" ref="L105">IF($A105="","",INDEX(JupData!$A$2:$K$10000,MATCH($A105&amp;L$1,JupData!$A$2:$A$10000&amp;JupData!$J$2:$J$10000,0),11))</f>
        <v/>
      </c>
      <c r="M105" t="str">
        <f t="array" ref="M105">IF($A105="","",INDEX(JupData!$A$2:$K$10000,MATCH($A105&amp;M$1,JupData!$A$2:$A$10000&amp;JupData!$J$2:$J$10000,0),11))</f>
        <v/>
      </c>
      <c r="N105" t="str">
        <f t="array" ref="N105">IF($A105="","",INDEX(JupData!$A$2:$K$10000,MATCH($A105&amp;N$1,JupData!$A$2:$A$10000&amp;JupData!$J$2:$J$10000,0),11))</f>
        <v/>
      </c>
      <c r="O105" t="str">
        <f t="array" ref="O105">IF($A105="","",INDEX(JupData!$A$2:$K$10000,MATCH($A105&amp;O$1,JupData!$A$2:$A$10000&amp;JupData!$J$2:$J$10000,0),11))</f>
        <v/>
      </c>
      <c r="P105" t="str">
        <f t="array" ref="P105">IF($A105="","",INDEX(JupData!$A$2:$K$10000,MATCH($A105&amp;P$1,JupData!$A$2:$A$10000&amp;JupData!$J$2:$J$10000,0),11))</f>
        <v/>
      </c>
      <c r="Q105" t="str">
        <f t="array" ref="Q105">IF($A105="","",INDEX(JupData!$A$2:$K$10000,MATCH($A105&amp;Q$1,JupData!$A$2:$A$10000&amp;JupData!$J$2:$J$10000,0),11))</f>
        <v/>
      </c>
      <c r="R105" t="str">
        <f t="array" ref="R105">IF($A105="","",INDEX(JupData!$A$2:$K$10000,MATCH($A105&amp;R$1,JupData!$A$2:$A$10000&amp;JupData!$J$2:$J$10000,0),11))</f>
        <v/>
      </c>
      <c r="S105" t="str">
        <f t="array" ref="S105">IF($A105="","",INDEX(JupData!$A$2:$K$10000,MATCH($A105&amp;S$1,JupData!$A$2:$A$10000&amp;JupData!$J$2:$J$10000,0),11))</f>
        <v/>
      </c>
      <c r="T105" t="str">
        <f t="array" ref="T105">IF($A105="","",INDEX(JupData!$A$2:$K$10000,MATCH($A105&amp;T$1,JupData!$A$2:$A$10000&amp;JupData!$J$2:$J$10000,0),11))</f>
        <v/>
      </c>
      <c r="U105" t="str">
        <f t="array" ref="U105">IF($A105="","",INDEX(JupData!$A$2:$K$10000,MATCH($A105&amp;U$1,JupData!$A$2:$A$10000&amp;JupData!$J$2:$J$10000,0),11))</f>
        <v/>
      </c>
      <c r="V105" t="str">
        <f t="array" ref="V105">IF($A105="","",INDEX(JupData!$A$2:$K$10000,MATCH($A105&amp;V$1,JupData!$A$2:$A$10000&amp;JupData!$J$2:$J$10000,0),11))</f>
        <v/>
      </c>
      <c r="W105" t="str">
        <f t="array" ref="W105">IF($A105="","",INDEX(JupData!$A$2:$K$10000,MATCH($A105&amp;W$1,JupData!$A$2:$A$10000&amp;JupData!$J$2:$J$10000,0),11))</f>
        <v/>
      </c>
      <c r="X105" t="str">
        <f t="array" ref="X105">IF($A105="","",INDEX(JupData!$A$2:$K$10000,MATCH($A105&amp;X$1,JupData!$A$2:$A$10000&amp;JupData!$J$2:$J$10000,0),11))</f>
        <v/>
      </c>
      <c r="Y105" t="str">
        <f t="array" ref="Y105">IF($A105="","",INDEX(JupData!$A$2:$K$10000,MATCH($A105&amp;Y$1,JupData!$A$2:$A$10000&amp;JupData!$J$2:$J$10000,0),11))</f>
        <v/>
      </c>
      <c r="Z105" t="str">
        <f t="array" ref="Z105">IF($A105="","",INDEX(JupData!$A$2:$K$10000,MATCH($A105&amp;Z$1,JupData!$A$2:$A$10000&amp;JupData!$J$2:$J$10000,0),11))</f>
        <v/>
      </c>
      <c r="AA105" t="str">
        <f t="array" ref="AA105">IF($A105="","",INDEX(JupData!$A$2:$K$10000,MATCH($A105&amp;AA$1,JupData!$A$2:$A$10000&amp;JupData!$J$2:$J$10000,0),11))</f>
        <v/>
      </c>
      <c r="AB105" t="str">
        <f t="array" ref="AB105">IF($A105="","",INDEX(JupData!$A$2:$K$10000,MATCH($A105&amp;AB$1,JupData!$A$2:$A$10000&amp;JupData!$J$2:$J$10000,0),11))</f>
        <v/>
      </c>
      <c r="AC105" s="10" t="str">
        <f t="shared" si="11"/>
        <v/>
      </c>
      <c r="AD105" s="10" t="str">
        <f t="shared" si="12"/>
        <v/>
      </c>
      <c r="AE105" s="9" t="str">
        <f t="shared" si="13"/>
        <v/>
      </c>
      <c r="AF105" s="10" t="str">
        <f t="shared" si="14"/>
        <v/>
      </c>
      <c r="AG105" s="10" t="str">
        <f t="shared" si="15"/>
        <v/>
      </c>
      <c r="AH105" s="10" t="str">
        <f t="shared" si="16"/>
        <v/>
      </c>
      <c r="AI105" s="10" t="str">
        <f t="shared" si="17"/>
        <v/>
      </c>
      <c r="AJ105" s="10" t="str">
        <f t="shared" si="18"/>
        <v/>
      </c>
      <c r="AK105" s="10" t="str">
        <f t="shared" si="19"/>
        <v/>
      </c>
      <c r="AL105" s="14" t="str">
        <f t="shared" si="20"/>
        <v/>
      </c>
    </row>
    <row r="106" spans="1:38" x14ac:dyDescent="0.2">
      <c r="A106"/>
      <c r="B106" t="str">
        <f>IF($A106="","",VLOOKUP($A106,JupData!$A$2:$I$10000,4,FALSE))</f>
        <v/>
      </c>
      <c r="C106" s="7" t="str">
        <f>IF($A106="",IF(N(D106),0,""),VLOOKUP($A106,JupData!$A$2:$I$10000,7,FALSE))</f>
        <v/>
      </c>
      <c r="D106" t="str">
        <f t="shared" si="21"/>
        <v/>
      </c>
      <c r="E106" t="str">
        <f t="array" ref="E106">IF($A106="","",INDEX(JupData!$A$2:$K$10000,MATCH($A106&amp;E$1,JupData!$A$2:$A$10000&amp;JupData!$J$2:$J$10000,0),11))</f>
        <v/>
      </c>
      <c r="F106" t="str">
        <f t="array" ref="F106">IF($A106="","",INDEX(JupData!$A$2:$K$10000,MATCH($A106&amp;F$1,JupData!$A$2:$A$10000&amp;JupData!$J$2:$J$10000,0),11))</f>
        <v/>
      </c>
      <c r="G106" t="str">
        <f t="array" ref="G106">IF($A106="","",INDEX(JupData!$A$2:$K$10000,MATCH($A106&amp;G$1,JupData!$A$2:$A$10000&amp;JupData!$J$2:$J$10000,0),11))</f>
        <v/>
      </c>
      <c r="H106" t="str">
        <f t="array" ref="H106">IF($A106="","",INDEX(JupData!$A$2:$K$10000,MATCH($A106&amp;H$1,JupData!$A$2:$A$10000&amp;JupData!$J$2:$J$10000,0),11))</f>
        <v/>
      </c>
      <c r="I106" t="str">
        <f t="array" ref="I106">IF($A106="","",INDEX(JupData!$A$2:$K$10000,MATCH($A106&amp;I$1,JupData!$A$2:$A$10000&amp;JupData!$J$2:$J$10000,0),11))</f>
        <v/>
      </c>
      <c r="J106" t="str">
        <f t="array" ref="J106">IF($A106="","",INDEX(JupData!$A$2:$K$10000,MATCH($A106&amp;J$1,JupData!$A$2:$A$10000&amp;JupData!$J$2:$J$10000,0),11))</f>
        <v/>
      </c>
      <c r="K106" t="str">
        <f t="array" ref="K106">IF($A106="","",INDEX(JupData!$A$2:$K$10000,MATCH($A106&amp;K$1,JupData!$A$2:$A$10000&amp;JupData!$J$2:$J$10000,0),11))</f>
        <v/>
      </c>
      <c r="L106" t="str">
        <f t="array" ref="L106">IF($A106="","",INDEX(JupData!$A$2:$K$10000,MATCH($A106&amp;L$1,JupData!$A$2:$A$10000&amp;JupData!$J$2:$J$10000,0),11))</f>
        <v/>
      </c>
      <c r="M106" t="str">
        <f t="array" ref="M106">IF($A106="","",INDEX(JupData!$A$2:$K$10000,MATCH($A106&amp;M$1,JupData!$A$2:$A$10000&amp;JupData!$J$2:$J$10000,0),11))</f>
        <v/>
      </c>
      <c r="N106" t="str">
        <f t="array" ref="N106">IF($A106="","",INDEX(JupData!$A$2:$K$10000,MATCH($A106&amp;N$1,JupData!$A$2:$A$10000&amp;JupData!$J$2:$J$10000,0),11))</f>
        <v/>
      </c>
      <c r="O106" t="str">
        <f t="array" ref="O106">IF($A106="","",INDEX(JupData!$A$2:$K$10000,MATCH($A106&amp;O$1,JupData!$A$2:$A$10000&amp;JupData!$J$2:$J$10000,0),11))</f>
        <v/>
      </c>
      <c r="P106" t="str">
        <f t="array" ref="P106">IF($A106="","",INDEX(JupData!$A$2:$K$10000,MATCH($A106&amp;P$1,JupData!$A$2:$A$10000&amp;JupData!$J$2:$J$10000,0),11))</f>
        <v/>
      </c>
      <c r="Q106" t="str">
        <f t="array" ref="Q106">IF($A106="","",INDEX(JupData!$A$2:$K$10000,MATCH($A106&amp;Q$1,JupData!$A$2:$A$10000&amp;JupData!$J$2:$J$10000,0),11))</f>
        <v/>
      </c>
      <c r="R106" t="str">
        <f t="array" ref="R106">IF($A106="","",INDEX(JupData!$A$2:$K$10000,MATCH($A106&amp;R$1,JupData!$A$2:$A$10000&amp;JupData!$J$2:$J$10000,0),11))</f>
        <v/>
      </c>
      <c r="S106" t="str">
        <f t="array" ref="S106">IF($A106="","",INDEX(JupData!$A$2:$K$10000,MATCH($A106&amp;S$1,JupData!$A$2:$A$10000&amp;JupData!$J$2:$J$10000,0),11))</f>
        <v/>
      </c>
      <c r="T106" t="str">
        <f t="array" ref="T106">IF($A106="","",INDEX(JupData!$A$2:$K$10000,MATCH($A106&amp;T$1,JupData!$A$2:$A$10000&amp;JupData!$J$2:$J$10000,0),11))</f>
        <v/>
      </c>
      <c r="U106" t="str">
        <f t="array" ref="U106">IF($A106="","",INDEX(JupData!$A$2:$K$10000,MATCH($A106&amp;U$1,JupData!$A$2:$A$10000&amp;JupData!$J$2:$J$10000,0),11))</f>
        <v/>
      </c>
      <c r="V106" t="str">
        <f t="array" ref="V106">IF($A106="","",INDEX(JupData!$A$2:$K$10000,MATCH($A106&amp;V$1,JupData!$A$2:$A$10000&amp;JupData!$J$2:$J$10000,0),11))</f>
        <v/>
      </c>
      <c r="W106" t="str">
        <f t="array" ref="W106">IF($A106="","",INDEX(JupData!$A$2:$K$10000,MATCH($A106&amp;W$1,JupData!$A$2:$A$10000&amp;JupData!$J$2:$J$10000,0),11))</f>
        <v/>
      </c>
      <c r="X106" t="str">
        <f t="array" ref="X106">IF($A106="","",INDEX(JupData!$A$2:$K$10000,MATCH($A106&amp;X$1,JupData!$A$2:$A$10000&amp;JupData!$J$2:$J$10000,0),11))</f>
        <v/>
      </c>
      <c r="Y106" t="str">
        <f t="array" ref="Y106">IF($A106="","",INDEX(JupData!$A$2:$K$10000,MATCH($A106&amp;Y$1,JupData!$A$2:$A$10000&amp;JupData!$J$2:$J$10000,0),11))</f>
        <v/>
      </c>
      <c r="Z106" t="str">
        <f t="array" ref="Z106">IF($A106="","",INDEX(JupData!$A$2:$K$10000,MATCH($A106&amp;Z$1,JupData!$A$2:$A$10000&amp;JupData!$J$2:$J$10000,0),11))</f>
        <v/>
      </c>
      <c r="AA106" t="str">
        <f t="array" ref="AA106">IF($A106="","",INDEX(JupData!$A$2:$K$10000,MATCH($A106&amp;AA$1,JupData!$A$2:$A$10000&amp;JupData!$J$2:$J$10000,0),11))</f>
        <v/>
      </c>
      <c r="AB106" t="str">
        <f t="array" ref="AB106">IF($A106="","",INDEX(JupData!$A$2:$K$10000,MATCH($A106&amp;AB$1,JupData!$A$2:$A$10000&amp;JupData!$J$2:$J$10000,0),11))</f>
        <v/>
      </c>
      <c r="AC106" s="10" t="str">
        <f t="shared" si="11"/>
        <v/>
      </c>
      <c r="AD106" s="10" t="str">
        <f t="shared" si="12"/>
        <v/>
      </c>
      <c r="AE106" s="9" t="str">
        <f t="shared" si="13"/>
        <v/>
      </c>
      <c r="AF106" s="10" t="str">
        <f t="shared" si="14"/>
        <v/>
      </c>
      <c r="AG106" s="10" t="str">
        <f t="shared" si="15"/>
        <v/>
      </c>
      <c r="AH106" s="10" t="str">
        <f t="shared" si="16"/>
        <v/>
      </c>
      <c r="AI106" s="10" t="str">
        <f t="shared" si="17"/>
        <v/>
      </c>
      <c r="AJ106" s="10" t="str">
        <f t="shared" si="18"/>
        <v/>
      </c>
      <c r="AK106" s="10" t="str">
        <f t="shared" si="19"/>
        <v/>
      </c>
      <c r="AL106" s="14" t="str">
        <f t="shared" si="20"/>
        <v/>
      </c>
    </row>
    <row r="107" spans="1:38" x14ac:dyDescent="0.2">
      <c r="A107"/>
      <c r="B107" t="str">
        <f>IF($A107="","",VLOOKUP($A107,JupData!$A$2:$I$10000,4,FALSE))</f>
        <v/>
      </c>
      <c r="C107" s="7" t="str">
        <f>IF($A107="",IF(N(D107),0,""),VLOOKUP($A107,JupData!$A$2:$I$10000,7,FALSE))</f>
        <v/>
      </c>
      <c r="D107" t="str">
        <f t="shared" si="21"/>
        <v/>
      </c>
      <c r="E107" t="str">
        <f t="array" ref="E107">IF($A107="","",INDEX(JupData!$A$2:$K$10000,MATCH($A107&amp;E$1,JupData!$A$2:$A$10000&amp;JupData!$J$2:$J$10000,0),11))</f>
        <v/>
      </c>
      <c r="F107" t="str">
        <f t="array" ref="F107">IF($A107="","",INDEX(JupData!$A$2:$K$10000,MATCH($A107&amp;F$1,JupData!$A$2:$A$10000&amp;JupData!$J$2:$J$10000,0),11))</f>
        <v/>
      </c>
      <c r="G107" t="str">
        <f t="array" ref="G107">IF($A107="","",INDEX(JupData!$A$2:$K$10000,MATCH($A107&amp;G$1,JupData!$A$2:$A$10000&amp;JupData!$J$2:$J$10000,0),11))</f>
        <v/>
      </c>
      <c r="H107" t="str">
        <f t="array" ref="H107">IF($A107="","",INDEX(JupData!$A$2:$K$10000,MATCH($A107&amp;H$1,JupData!$A$2:$A$10000&amp;JupData!$J$2:$J$10000,0),11))</f>
        <v/>
      </c>
      <c r="I107" t="str">
        <f t="array" ref="I107">IF($A107="","",INDEX(JupData!$A$2:$K$10000,MATCH($A107&amp;I$1,JupData!$A$2:$A$10000&amp;JupData!$J$2:$J$10000,0),11))</f>
        <v/>
      </c>
      <c r="J107" t="str">
        <f t="array" ref="J107">IF($A107="","",INDEX(JupData!$A$2:$K$10000,MATCH($A107&amp;J$1,JupData!$A$2:$A$10000&amp;JupData!$J$2:$J$10000,0),11))</f>
        <v/>
      </c>
      <c r="K107" t="str">
        <f t="array" ref="K107">IF($A107="","",INDEX(JupData!$A$2:$K$10000,MATCH($A107&amp;K$1,JupData!$A$2:$A$10000&amp;JupData!$J$2:$J$10000,0),11))</f>
        <v/>
      </c>
      <c r="L107" t="str">
        <f t="array" ref="L107">IF($A107="","",INDEX(JupData!$A$2:$K$10000,MATCH($A107&amp;L$1,JupData!$A$2:$A$10000&amp;JupData!$J$2:$J$10000,0),11))</f>
        <v/>
      </c>
      <c r="M107" t="str">
        <f t="array" ref="M107">IF($A107="","",INDEX(JupData!$A$2:$K$10000,MATCH($A107&amp;M$1,JupData!$A$2:$A$10000&amp;JupData!$J$2:$J$10000,0),11))</f>
        <v/>
      </c>
      <c r="N107" t="str">
        <f t="array" ref="N107">IF($A107="","",INDEX(JupData!$A$2:$K$10000,MATCH($A107&amp;N$1,JupData!$A$2:$A$10000&amp;JupData!$J$2:$J$10000,0),11))</f>
        <v/>
      </c>
      <c r="O107" t="str">
        <f t="array" ref="O107">IF($A107="","",INDEX(JupData!$A$2:$K$10000,MATCH($A107&amp;O$1,JupData!$A$2:$A$10000&amp;JupData!$J$2:$J$10000,0),11))</f>
        <v/>
      </c>
      <c r="P107" t="str">
        <f t="array" ref="P107">IF($A107="","",INDEX(JupData!$A$2:$K$10000,MATCH($A107&amp;P$1,JupData!$A$2:$A$10000&amp;JupData!$J$2:$J$10000,0),11))</f>
        <v/>
      </c>
      <c r="Q107" t="str">
        <f t="array" ref="Q107">IF($A107="","",INDEX(JupData!$A$2:$K$10000,MATCH($A107&amp;Q$1,JupData!$A$2:$A$10000&amp;JupData!$J$2:$J$10000,0),11))</f>
        <v/>
      </c>
      <c r="R107" t="str">
        <f t="array" ref="R107">IF($A107="","",INDEX(JupData!$A$2:$K$10000,MATCH($A107&amp;R$1,JupData!$A$2:$A$10000&amp;JupData!$J$2:$J$10000,0),11))</f>
        <v/>
      </c>
      <c r="S107" t="str">
        <f t="array" ref="S107">IF($A107="","",INDEX(JupData!$A$2:$K$10000,MATCH($A107&amp;S$1,JupData!$A$2:$A$10000&amp;JupData!$J$2:$J$10000,0),11))</f>
        <v/>
      </c>
      <c r="T107" t="str">
        <f t="array" ref="T107">IF($A107="","",INDEX(JupData!$A$2:$K$10000,MATCH($A107&amp;T$1,JupData!$A$2:$A$10000&amp;JupData!$J$2:$J$10000,0),11))</f>
        <v/>
      </c>
      <c r="U107" t="str">
        <f t="array" ref="U107">IF($A107="","",INDEX(JupData!$A$2:$K$10000,MATCH($A107&amp;U$1,JupData!$A$2:$A$10000&amp;JupData!$J$2:$J$10000,0),11))</f>
        <v/>
      </c>
      <c r="V107" t="str">
        <f t="array" ref="V107">IF($A107="","",INDEX(JupData!$A$2:$K$10000,MATCH($A107&amp;V$1,JupData!$A$2:$A$10000&amp;JupData!$J$2:$J$10000,0),11))</f>
        <v/>
      </c>
      <c r="W107" t="str">
        <f t="array" ref="W107">IF($A107="","",INDEX(JupData!$A$2:$K$10000,MATCH($A107&amp;W$1,JupData!$A$2:$A$10000&amp;JupData!$J$2:$J$10000,0),11))</f>
        <v/>
      </c>
      <c r="X107" t="str">
        <f t="array" ref="X107">IF($A107="","",INDEX(JupData!$A$2:$K$10000,MATCH($A107&amp;X$1,JupData!$A$2:$A$10000&amp;JupData!$J$2:$J$10000,0),11))</f>
        <v/>
      </c>
      <c r="Y107" t="str">
        <f t="array" ref="Y107">IF($A107="","",INDEX(JupData!$A$2:$K$10000,MATCH($A107&amp;Y$1,JupData!$A$2:$A$10000&amp;JupData!$J$2:$J$10000,0),11))</f>
        <v/>
      </c>
      <c r="Z107" t="str">
        <f t="array" ref="Z107">IF($A107="","",INDEX(JupData!$A$2:$K$10000,MATCH($A107&amp;Z$1,JupData!$A$2:$A$10000&amp;JupData!$J$2:$J$10000,0),11))</f>
        <v/>
      </c>
      <c r="AA107" t="str">
        <f t="array" ref="AA107">IF($A107="","",INDEX(JupData!$A$2:$K$10000,MATCH($A107&amp;AA$1,JupData!$A$2:$A$10000&amp;JupData!$J$2:$J$10000,0),11))</f>
        <v/>
      </c>
      <c r="AB107" t="str">
        <f t="array" ref="AB107">IF($A107="","",INDEX(JupData!$A$2:$K$10000,MATCH($A107&amp;AB$1,JupData!$A$2:$A$10000&amp;JupData!$J$2:$J$10000,0),11))</f>
        <v/>
      </c>
      <c r="AC107" s="10" t="str">
        <f t="shared" si="11"/>
        <v/>
      </c>
      <c r="AD107" s="10" t="str">
        <f t="shared" si="12"/>
        <v/>
      </c>
      <c r="AE107" s="9" t="str">
        <f t="shared" si="13"/>
        <v/>
      </c>
      <c r="AF107" s="10" t="str">
        <f t="shared" si="14"/>
        <v/>
      </c>
      <c r="AG107" s="10" t="str">
        <f t="shared" si="15"/>
        <v/>
      </c>
      <c r="AH107" s="10" t="str">
        <f t="shared" si="16"/>
        <v/>
      </c>
      <c r="AI107" s="10" t="str">
        <f t="shared" si="17"/>
        <v/>
      </c>
      <c r="AJ107" s="10" t="str">
        <f t="shared" si="18"/>
        <v/>
      </c>
      <c r="AK107" s="10" t="str">
        <f t="shared" si="19"/>
        <v/>
      </c>
      <c r="AL107" s="14" t="str">
        <f t="shared" si="20"/>
        <v/>
      </c>
    </row>
    <row r="108" spans="1:38" x14ac:dyDescent="0.2">
      <c r="A108"/>
      <c r="B108" t="str">
        <f>IF($A108="","",VLOOKUP($A108,JupData!$A$2:$I$10000,4,FALSE))</f>
        <v/>
      </c>
      <c r="C108" s="7" t="str">
        <f>IF($A108="",IF(N(D108),0,""),VLOOKUP($A108,JupData!$A$2:$I$10000,7,FALSE))</f>
        <v/>
      </c>
      <c r="D108" t="str">
        <f t="shared" si="21"/>
        <v/>
      </c>
      <c r="E108" t="str">
        <f t="array" ref="E108">IF($A108="","",INDEX(JupData!$A$2:$K$10000,MATCH($A108&amp;E$1,JupData!$A$2:$A$10000&amp;JupData!$J$2:$J$10000,0),11))</f>
        <v/>
      </c>
      <c r="F108" t="str">
        <f t="array" ref="F108">IF($A108="","",INDEX(JupData!$A$2:$K$10000,MATCH($A108&amp;F$1,JupData!$A$2:$A$10000&amp;JupData!$J$2:$J$10000,0),11))</f>
        <v/>
      </c>
      <c r="G108" t="str">
        <f t="array" ref="G108">IF($A108="","",INDEX(JupData!$A$2:$K$10000,MATCH($A108&amp;G$1,JupData!$A$2:$A$10000&amp;JupData!$J$2:$J$10000,0),11))</f>
        <v/>
      </c>
      <c r="H108" t="str">
        <f t="array" ref="H108">IF($A108="","",INDEX(JupData!$A$2:$K$10000,MATCH($A108&amp;H$1,JupData!$A$2:$A$10000&amp;JupData!$J$2:$J$10000,0),11))</f>
        <v/>
      </c>
      <c r="I108" t="str">
        <f t="array" ref="I108">IF($A108="","",INDEX(JupData!$A$2:$K$10000,MATCH($A108&amp;I$1,JupData!$A$2:$A$10000&amp;JupData!$J$2:$J$10000,0),11))</f>
        <v/>
      </c>
      <c r="J108" t="str">
        <f t="array" ref="J108">IF($A108="","",INDEX(JupData!$A$2:$K$10000,MATCH($A108&amp;J$1,JupData!$A$2:$A$10000&amp;JupData!$J$2:$J$10000,0),11))</f>
        <v/>
      </c>
      <c r="K108" t="str">
        <f t="array" ref="K108">IF($A108="","",INDEX(JupData!$A$2:$K$10000,MATCH($A108&amp;K$1,JupData!$A$2:$A$10000&amp;JupData!$J$2:$J$10000,0),11))</f>
        <v/>
      </c>
      <c r="L108" t="str">
        <f t="array" ref="L108">IF($A108="","",INDEX(JupData!$A$2:$K$10000,MATCH($A108&amp;L$1,JupData!$A$2:$A$10000&amp;JupData!$J$2:$J$10000,0),11))</f>
        <v/>
      </c>
      <c r="M108" t="str">
        <f t="array" ref="M108">IF($A108="","",INDEX(JupData!$A$2:$K$10000,MATCH($A108&amp;M$1,JupData!$A$2:$A$10000&amp;JupData!$J$2:$J$10000,0),11))</f>
        <v/>
      </c>
      <c r="N108" t="str">
        <f t="array" ref="N108">IF($A108="","",INDEX(JupData!$A$2:$K$10000,MATCH($A108&amp;N$1,JupData!$A$2:$A$10000&amp;JupData!$J$2:$J$10000,0),11))</f>
        <v/>
      </c>
      <c r="O108" t="str">
        <f t="array" ref="O108">IF($A108="","",INDEX(JupData!$A$2:$K$10000,MATCH($A108&amp;O$1,JupData!$A$2:$A$10000&amp;JupData!$J$2:$J$10000,0),11))</f>
        <v/>
      </c>
      <c r="P108" t="str">
        <f t="array" ref="P108">IF($A108="","",INDEX(JupData!$A$2:$K$10000,MATCH($A108&amp;P$1,JupData!$A$2:$A$10000&amp;JupData!$J$2:$J$10000,0),11))</f>
        <v/>
      </c>
      <c r="Q108" t="str">
        <f t="array" ref="Q108">IF($A108="","",INDEX(JupData!$A$2:$K$10000,MATCH($A108&amp;Q$1,JupData!$A$2:$A$10000&amp;JupData!$J$2:$J$10000,0),11))</f>
        <v/>
      </c>
      <c r="R108" t="str">
        <f t="array" ref="R108">IF($A108="","",INDEX(JupData!$A$2:$K$10000,MATCH($A108&amp;R$1,JupData!$A$2:$A$10000&amp;JupData!$J$2:$J$10000,0),11))</f>
        <v/>
      </c>
      <c r="S108" t="str">
        <f t="array" ref="S108">IF($A108="","",INDEX(JupData!$A$2:$K$10000,MATCH($A108&amp;S$1,JupData!$A$2:$A$10000&amp;JupData!$J$2:$J$10000,0),11))</f>
        <v/>
      </c>
      <c r="T108" t="str">
        <f t="array" ref="T108">IF($A108="","",INDEX(JupData!$A$2:$K$10000,MATCH($A108&amp;T$1,JupData!$A$2:$A$10000&amp;JupData!$J$2:$J$10000,0),11))</f>
        <v/>
      </c>
      <c r="U108" t="str">
        <f t="array" ref="U108">IF($A108="","",INDEX(JupData!$A$2:$K$10000,MATCH($A108&amp;U$1,JupData!$A$2:$A$10000&amp;JupData!$J$2:$J$10000,0),11))</f>
        <v/>
      </c>
      <c r="V108" t="str">
        <f t="array" ref="V108">IF($A108="","",INDEX(JupData!$A$2:$K$10000,MATCH($A108&amp;V$1,JupData!$A$2:$A$10000&amp;JupData!$J$2:$J$10000,0),11))</f>
        <v/>
      </c>
      <c r="W108" t="str">
        <f t="array" ref="W108">IF($A108="","",INDEX(JupData!$A$2:$K$10000,MATCH($A108&amp;W$1,JupData!$A$2:$A$10000&amp;JupData!$J$2:$J$10000,0),11))</f>
        <v/>
      </c>
      <c r="X108" t="str">
        <f t="array" ref="X108">IF($A108="","",INDEX(JupData!$A$2:$K$10000,MATCH($A108&amp;X$1,JupData!$A$2:$A$10000&amp;JupData!$J$2:$J$10000,0),11))</f>
        <v/>
      </c>
      <c r="Y108" t="str">
        <f t="array" ref="Y108">IF($A108="","",INDEX(JupData!$A$2:$K$10000,MATCH($A108&amp;Y$1,JupData!$A$2:$A$10000&amp;JupData!$J$2:$J$10000,0),11))</f>
        <v/>
      </c>
      <c r="Z108" t="str">
        <f t="array" ref="Z108">IF($A108="","",INDEX(JupData!$A$2:$K$10000,MATCH($A108&amp;Z$1,JupData!$A$2:$A$10000&amp;JupData!$J$2:$J$10000,0),11))</f>
        <v/>
      </c>
      <c r="AA108" t="str">
        <f t="array" ref="AA108">IF($A108="","",INDEX(JupData!$A$2:$K$10000,MATCH($A108&amp;AA$1,JupData!$A$2:$A$10000&amp;JupData!$J$2:$J$10000,0),11))</f>
        <v/>
      </c>
      <c r="AB108" t="str">
        <f t="array" ref="AB108">IF($A108="","",INDEX(JupData!$A$2:$K$10000,MATCH($A108&amp;AB$1,JupData!$A$2:$A$10000&amp;JupData!$J$2:$J$10000,0),11))</f>
        <v/>
      </c>
      <c r="AC108" s="10" t="str">
        <f t="shared" si="11"/>
        <v/>
      </c>
      <c r="AD108" s="10" t="str">
        <f t="shared" si="12"/>
        <v/>
      </c>
      <c r="AE108" s="9" t="str">
        <f t="shared" si="13"/>
        <v/>
      </c>
      <c r="AF108" s="10" t="str">
        <f t="shared" si="14"/>
        <v/>
      </c>
      <c r="AG108" s="10" t="str">
        <f t="shared" si="15"/>
        <v/>
      </c>
      <c r="AH108" s="10" t="str">
        <f t="shared" si="16"/>
        <v/>
      </c>
      <c r="AI108" s="10" t="str">
        <f t="shared" si="17"/>
        <v/>
      </c>
      <c r="AJ108" s="10" t="str">
        <f t="shared" si="18"/>
        <v/>
      </c>
      <c r="AK108" s="10" t="str">
        <f t="shared" si="19"/>
        <v/>
      </c>
      <c r="AL108" s="14" t="str">
        <f t="shared" si="20"/>
        <v/>
      </c>
    </row>
    <row r="109" spans="1:38" x14ac:dyDescent="0.2">
      <c r="A109"/>
      <c r="B109" t="str">
        <f>IF($A109="","",VLOOKUP($A109,JupData!$A$2:$I$10000,4,FALSE))</f>
        <v/>
      </c>
      <c r="C109" s="7" t="str">
        <f>IF($A109="",IF(N(D109),0,""),VLOOKUP($A109,JupData!$A$2:$I$10000,7,FALSE))</f>
        <v/>
      </c>
      <c r="D109" t="str">
        <f t="shared" si="21"/>
        <v/>
      </c>
      <c r="E109" t="str">
        <f t="array" ref="E109">IF($A109="","",INDEX(JupData!$A$2:$K$10000,MATCH($A109&amp;E$1,JupData!$A$2:$A$10000&amp;JupData!$J$2:$J$10000,0),11))</f>
        <v/>
      </c>
      <c r="F109" t="str">
        <f t="array" ref="F109">IF($A109="","",INDEX(JupData!$A$2:$K$10000,MATCH($A109&amp;F$1,JupData!$A$2:$A$10000&amp;JupData!$J$2:$J$10000,0),11))</f>
        <v/>
      </c>
      <c r="G109" t="str">
        <f t="array" ref="G109">IF($A109="","",INDEX(JupData!$A$2:$K$10000,MATCH($A109&amp;G$1,JupData!$A$2:$A$10000&amp;JupData!$J$2:$J$10000,0),11))</f>
        <v/>
      </c>
      <c r="H109" t="str">
        <f t="array" ref="H109">IF($A109="","",INDEX(JupData!$A$2:$K$10000,MATCH($A109&amp;H$1,JupData!$A$2:$A$10000&amp;JupData!$J$2:$J$10000,0),11))</f>
        <v/>
      </c>
      <c r="I109" t="str">
        <f t="array" ref="I109">IF($A109="","",INDEX(JupData!$A$2:$K$10000,MATCH($A109&amp;I$1,JupData!$A$2:$A$10000&amp;JupData!$J$2:$J$10000,0),11))</f>
        <v/>
      </c>
      <c r="J109" t="str">
        <f t="array" ref="J109">IF($A109="","",INDEX(JupData!$A$2:$K$10000,MATCH($A109&amp;J$1,JupData!$A$2:$A$10000&amp;JupData!$J$2:$J$10000,0),11))</f>
        <v/>
      </c>
      <c r="K109" t="str">
        <f t="array" ref="K109">IF($A109="","",INDEX(JupData!$A$2:$K$10000,MATCH($A109&amp;K$1,JupData!$A$2:$A$10000&amp;JupData!$J$2:$J$10000,0),11))</f>
        <v/>
      </c>
      <c r="L109" t="str">
        <f t="array" ref="L109">IF($A109="","",INDEX(JupData!$A$2:$K$10000,MATCH($A109&amp;L$1,JupData!$A$2:$A$10000&amp;JupData!$J$2:$J$10000,0),11))</f>
        <v/>
      </c>
      <c r="M109" t="str">
        <f t="array" ref="M109">IF($A109="","",INDEX(JupData!$A$2:$K$10000,MATCH($A109&amp;M$1,JupData!$A$2:$A$10000&amp;JupData!$J$2:$J$10000,0),11))</f>
        <v/>
      </c>
      <c r="N109" t="str">
        <f t="array" ref="N109">IF($A109="","",INDEX(JupData!$A$2:$K$10000,MATCH($A109&amp;N$1,JupData!$A$2:$A$10000&amp;JupData!$J$2:$J$10000,0),11))</f>
        <v/>
      </c>
      <c r="O109" t="str">
        <f t="array" ref="O109">IF($A109="","",INDEX(JupData!$A$2:$K$10000,MATCH($A109&amp;O$1,JupData!$A$2:$A$10000&amp;JupData!$J$2:$J$10000,0),11))</f>
        <v/>
      </c>
      <c r="P109" t="str">
        <f t="array" ref="P109">IF($A109="","",INDEX(JupData!$A$2:$K$10000,MATCH($A109&amp;P$1,JupData!$A$2:$A$10000&amp;JupData!$J$2:$J$10000,0),11))</f>
        <v/>
      </c>
      <c r="Q109" t="str">
        <f t="array" ref="Q109">IF($A109="","",INDEX(JupData!$A$2:$K$10000,MATCH($A109&amp;Q$1,JupData!$A$2:$A$10000&amp;JupData!$J$2:$J$10000,0),11))</f>
        <v/>
      </c>
      <c r="R109" t="str">
        <f t="array" ref="R109">IF($A109="","",INDEX(JupData!$A$2:$K$10000,MATCH($A109&amp;R$1,JupData!$A$2:$A$10000&amp;JupData!$J$2:$J$10000,0),11))</f>
        <v/>
      </c>
      <c r="S109" t="str">
        <f t="array" ref="S109">IF($A109="","",INDEX(JupData!$A$2:$K$10000,MATCH($A109&amp;S$1,JupData!$A$2:$A$10000&amp;JupData!$J$2:$J$10000,0),11))</f>
        <v/>
      </c>
      <c r="T109" t="str">
        <f t="array" ref="T109">IF($A109="","",INDEX(JupData!$A$2:$K$10000,MATCH($A109&amp;T$1,JupData!$A$2:$A$10000&amp;JupData!$J$2:$J$10000,0),11))</f>
        <v/>
      </c>
      <c r="U109" t="str">
        <f t="array" ref="U109">IF($A109="","",INDEX(JupData!$A$2:$K$10000,MATCH($A109&amp;U$1,JupData!$A$2:$A$10000&amp;JupData!$J$2:$J$10000,0),11))</f>
        <v/>
      </c>
      <c r="V109" t="str">
        <f t="array" ref="V109">IF($A109="","",INDEX(JupData!$A$2:$K$10000,MATCH($A109&amp;V$1,JupData!$A$2:$A$10000&amp;JupData!$J$2:$J$10000,0),11))</f>
        <v/>
      </c>
      <c r="W109" t="str">
        <f t="array" ref="W109">IF($A109="","",INDEX(JupData!$A$2:$K$10000,MATCH($A109&amp;W$1,JupData!$A$2:$A$10000&amp;JupData!$J$2:$J$10000,0),11))</f>
        <v/>
      </c>
      <c r="X109" t="str">
        <f t="array" ref="X109">IF($A109="","",INDEX(JupData!$A$2:$K$10000,MATCH($A109&amp;X$1,JupData!$A$2:$A$10000&amp;JupData!$J$2:$J$10000,0),11))</f>
        <v/>
      </c>
      <c r="Y109" t="str">
        <f t="array" ref="Y109">IF($A109="","",INDEX(JupData!$A$2:$K$10000,MATCH($A109&amp;Y$1,JupData!$A$2:$A$10000&amp;JupData!$J$2:$J$10000,0),11))</f>
        <v/>
      </c>
      <c r="Z109" t="str">
        <f t="array" ref="Z109">IF($A109="","",INDEX(JupData!$A$2:$K$10000,MATCH($A109&amp;Z$1,JupData!$A$2:$A$10000&amp;JupData!$J$2:$J$10000,0),11))</f>
        <v/>
      </c>
      <c r="AA109" t="str">
        <f t="array" ref="AA109">IF($A109="","",INDEX(JupData!$A$2:$K$10000,MATCH($A109&amp;AA$1,JupData!$A$2:$A$10000&amp;JupData!$J$2:$J$10000,0),11))</f>
        <v/>
      </c>
      <c r="AB109" t="str">
        <f t="array" ref="AB109">IF($A109="","",INDEX(JupData!$A$2:$K$10000,MATCH($A109&amp;AB$1,JupData!$A$2:$A$10000&amp;JupData!$J$2:$J$10000,0),11))</f>
        <v/>
      </c>
      <c r="AC109" s="10" t="str">
        <f t="shared" si="11"/>
        <v/>
      </c>
      <c r="AD109" s="10" t="str">
        <f t="shared" si="12"/>
        <v/>
      </c>
      <c r="AE109" s="9" t="str">
        <f t="shared" si="13"/>
        <v/>
      </c>
      <c r="AF109" s="10" t="str">
        <f t="shared" si="14"/>
        <v/>
      </c>
      <c r="AG109" s="10" t="str">
        <f t="shared" si="15"/>
        <v/>
      </c>
      <c r="AH109" s="10" t="str">
        <f t="shared" si="16"/>
        <v/>
      </c>
      <c r="AI109" s="10" t="str">
        <f t="shared" si="17"/>
        <v/>
      </c>
      <c r="AJ109" s="10" t="str">
        <f t="shared" si="18"/>
        <v/>
      </c>
      <c r="AK109" s="10" t="str">
        <f t="shared" si="19"/>
        <v/>
      </c>
      <c r="AL109" s="14" t="str">
        <f t="shared" si="20"/>
        <v/>
      </c>
    </row>
    <row r="110" spans="1:38" x14ac:dyDescent="0.2">
      <c r="A110"/>
      <c r="B110" t="str">
        <f>IF($A110="","",VLOOKUP($A110,JupData!$A$2:$I$10000,4,FALSE))</f>
        <v/>
      </c>
      <c r="C110" s="7" t="str">
        <f>IF($A110="",IF(N(D110),0,""),VLOOKUP($A110,JupData!$A$2:$I$10000,7,FALSE))</f>
        <v/>
      </c>
      <c r="D110" t="str">
        <f t="shared" si="21"/>
        <v/>
      </c>
      <c r="E110" t="str">
        <f t="array" ref="E110">IF($A110="","",INDEX(JupData!$A$2:$K$10000,MATCH($A110&amp;E$1,JupData!$A$2:$A$10000&amp;JupData!$J$2:$J$10000,0),11))</f>
        <v/>
      </c>
      <c r="F110" t="str">
        <f t="array" ref="F110">IF($A110="","",INDEX(JupData!$A$2:$K$10000,MATCH($A110&amp;F$1,JupData!$A$2:$A$10000&amp;JupData!$J$2:$J$10000,0),11))</f>
        <v/>
      </c>
      <c r="G110" t="str">
        <f t="array" ref="G110">IF($A110="","",INDEX(JupData!$A$2:$K$10000,MATCH($A110&amp;G$1,JupData!$A$2:$A$10000&amp;JupData!$J$2:$J$10000,0),11))</f>
        <v/>
      </c>
      <c r="H110" t="str">
        <f t="array" ref="H110">IF($A110="","",INDEX(JupData!$A$2:$K$10000,MATCH($A110&amp;H$1,JupData!$A$2:$A$10000&amp;JupData!$J$2:$J$10000,0),11))</f>
        <v/>
      </c>
      <c r="I110" t="str">
        <f t="array" ref="I110">IF($A110="","",INDEX(JupData!$A$2:$K$10000,MATCH($A110&amp;I$1,JupData!$A$2:$A$10000&amp;JupData!$J$2:$J$10000,0),11))</f>
        <v/>
      </c>
      <c r="J110" t="str">
        <f t="array" ref="J110">IF($A110="","",INDEX(JupData!$A$2:$K$10000,MATCH($A110&amp;J$1,JupData!$A$2:$A$10000&amp;JupData!$J$2:$J$10000,0),11))</f>
        <v/>
      </c>
      <c r="K110" t="str">
        <f t="array" ref="K110">IF($A110="","",INDEX(JupData!$A$2:$K$10000,MATCH($A110&amp;K$1,JupData!$A$2:$A$10000&amp;JupData!$J$2:$J$10000,0),11))</f>
        <v/>
      </c>
      <c r="L110" t="str">
        <f t="array" ref="L110">IF($A110="","",INDEX(JupData!$A$2:$K$10000,MATCH($A110&amp;L$1,JupData!$A$2:$A$10000&amp;JupData!$J$2:$J$10000,0),11))</f>
        <v/>
      </c>
      <c r="M110" t="str">
        <f t="array" ref="M110">IF($A110="","",INDEX(JupData!$A$2:$K$10000,MATCH($A110&amp;M$1,JupData!$A$2:$A$10000&amp;JupData!$J$2:$J$10000,0),11))</f>
        <v/>
      </c>
      <c r="N110" t="str">
        <f t="array" ref="N110">IF($A110="","",INDEX(JupData!$A$2:$K$10000,MATCH($A110&amp;N$1,JupData!$A$2:$A$10000&amp;JupData!$J$2:$J$10000,0),11))</f>
        <v/>
      </c>
      <c r="O110" t="str">
        <f t="array" ref="O110">IF($A110="","",INDEX(JupData!$A$2:$K$10000,MATCH($A110&amp;O$1,JupData!$A$2:$A$10000&amp;JupData!$J$2:$J$10000,0),11))</f>
        <v/>
      </c>
      <c r="P110" t="str">
        <f t="array" ref="P110">IF($A110="","",INDEX(JupData!$A$2:$K$10000,MATCH($A110&amp;P$1,JupData!$A$2:$A$10000&amp;JupData!$J$2:$J$10000,0),11))</f>
        <v/>
      </c>
      <c r="Q110" t="str">
        <f t="array" ref="Q110">IF($A110="","",INDEX(JupData!$A$2:$K$10000,MATCH($A110&amp;Q$1,JupData!$A$2:$A$10000&amp;JupData!$J$2:$J$10000,0),11))</f>
        <v/>
      </c>
      <c r="R110" t="str">
        <f t="array" ref="R110">IF($A110="","",INDEX(JupData!$A$2:$K$10000,MATCH($A110&amp;R$1,JupData!$A$2:$A$10000&amp;JupData!$J$2:$J$10000,0),11))</f>
        <v/>
      </c>
      <c r="S110" t="str">
        <f t="array" ref="S110">IF($A110="","",INDEX(JupData!$A$2:$K$10000,MATCH($A110&amp;S$1,JupData!$A$2:$A$10000&amp;JupData!$J$2:$J$10000,0),11))</f>
        <v/>
      </c>
      <c r="T110" t="str">
        <f t="array" ref="T110">IF($A110="","",INDEX(JupData!$A$2:$K$10000,MATCH($A110&amp;T$1,JupData!$A$2:$A$10000&amp;JupData!$J$2:$J$10000,0),11))</f>
        <v/>
      </c>
      <c r="U110" t="str">
        <f t="array" ref="U110">IF($A110="","",INDEX(JupData!$A$2:$K$10000,MATCH($A110&amp;U$1,JupData!$A$2:$A$10000&amp;JupData!$J$2:$J$10000,0),11))</f>
        <v/>
      </c>
      <c r="V110" t="str">
        <f t="array" ref="V110">IF($A110="","",INDEX(JupData!$A$2:$K$10000,MATCH($A110&amp;V$1,JupData!$A$2:$A$10000&amp;JupData!$J$2:$J$10000,0),11))</f>
        <v/>
      </c>
      <c r="W110" t="str">
        <f t="array" ref="W110">IF($A110="","",INDEX(JupData!$A$2:$K$10000,MATCH($A110&amp;W$1,JupData!$A$2:$A$10000&amp;JupData!$J$2:$J$10000,0),11))</f>
        <v/>
      </c>
      <c r="X110" t="str">
        <f t="array" ref="X110">IF($A110="","",INDEX(JupData!$A$2:$K$10000,MATCH($A110&amp;X$1,JupData!$A$2:$A$10000&amp;JupData!$J$2:$J$10000,0),11))</f>
        <v/>
      </c>
      <c r="Y110" t="str">
        <f t="array" ref="Y110">IF($A110="","",INDEX(JupData!$A$2:$K$10000,MATCH($A110&amp;Y$1,JupData!$A$2:$A$10000&amp;JupData!$J$2:$J$10000,0),11))</f>
        <v/>
      </c>
      <c r="Z110" t="str">
        <f t="array" ref="Z110">IF($A110="","",INDEX(JupData!$A$2:$K$10000,MATCH($A110&amp;Z$1,JupData!$A$2:$A$10000&amp;JupData!$J$2:$J$10000,0),11))</f>
        <v/>
      </c>
      <c r="AA110" t="str">
        <f t="array" ref="AA110">IF($A110="","",INDEX(JupData!$A$2:$K$10000,MATCH($A110&amp;AA$1,JupData!$A$2:$A$10000&amp;JupData!$J$2:$J$10000,0),11))</f>
        <v/>
      </c>
      <c r="AB110" t="str">
        <f t="array" ref="AB110">IF($A110="","",INDEX(JupData!$A$2:$K$10000,MATCH($A110&amp;AB$1,JupData!$A$2:$A$10000&amp;JupData!$J$2:$J$10000,0),11))</f>
        <v/>
      </c>
      <c r="AC110" s="10" t="str">
        <f t="shared" si="11"/>
        <v/>
      </c>
      <c r="AD110" s="10" t="str">
        <f t="shared" si="12"/>
        <v/>
      </c>
      <c r="AE110" s="9" t="str">
        <f t="shared" si="13"/>
        <v/>
      </c>
      <c r="AF110" s="10" t="str">
        <f t="shared" si="14"/>
        <v/>
      </c>
      <c r="AG110" s="10" t="str">
        <f t="shared" si="15"/>
        <v/>
      </c>
      <c r="AH110" s="10" t="str">
        <f t="shared" si="16"/>
        <v/>
      </c>
      <c r="AI110" s="10" t="str">
        <f t="shared" si="17"/>
        <v/>
      </c>
      <c r="AJ110" s="10" t="str">
        <f t="shared" si="18"/>
        <v/>
      </c>
      <c r="AK110" s="10" t="str">
        <f t="shared" si="19"/>
        <v/>
      </c>
      <c r="AL110" s="14" t="str">
        <f t="shared" si="20"/>
        <v/>
      </c>
    </row>
    <row r="111" spans="1:38" x14ac:dyDescent="0.2">
      <c r="A111"/>
      <c r="B111" t="str">
        <f>IF($A111="","",VLOOKUP($A111,JupData!$A$2:$I$10000,4,FALSE))</f>
        <v/>
      </c>
      <c r="C111" s="7" t="str">
        <f>IF($A111="",IF(N(D111),0,""),VLOOKUP($A111,JupData!$A$2:$I$10000,7,FALSE))</f>
        <v/>
      </c>
      <c r="D111" t="str">
        <f t="shared" si="21"/>
        <v/>
      </c>
      <c r="E111" t="str">
        <f t="array" ref="E111">IF($A111="","",INDEX(JupData!$A$2:$K$10000,MATCH($A111&amp;E$1,JupData!$A$2:$A$10000&amp;JupData!$J$2:$J$10000,0),11))</f>
        <v/>
      </c>
      <c r="F111" t="str">
        <f t="array" ref="F111">IF($A111="","",INDEX(JupData!$A$2:$K$10000,MATCH($A111&amp;F$1,JupData!$A$2:$A$10000&amp;JupData!$J$2:$J$10000,0),11))</f>
        <v/>
      </c>
      <c r="G111" t="str">
        <f t="array" ref="G111">IF($A111="","",INDEX(JupData!$A$2:$K$10000,MATCH($A111&amp;G$1,JupData!$A$2:$A$10000&amp;JupData!$J$2:$J$10000,0),11))</f>
        <v/>
      </c>
      <c r="H111" t="str">
        <f t="array" ref="H111">IF($A111="","",INDEX(JupData!$A$2:$K$10000,MATCH($A111&amp;H$1,JupData!$A$2:$A$10000&amp;JupData!$J$2:$J$10000,0),11))</f>
        <v/>
      </c>
      <c r="I111" t="str">
        <f t="array" ref="I111">IF($A111="","",INDEX(JupData!$A$2:$K$10000,MATCH($A111&amp;I$1,JupData!$A$2:$A$10000&amp;JupData!$J$2:$J$10000,0),11))</f>
        <v/>
      </c>
      <c r="J111" t="str">
        <f t="array" ref="J111">IF($A111="","",INDEX(JupData!$A$2:$K$10000,MATCH($A111&amp;J$1,JupData!$A$2:$A$10000&amp;JupData!$J$2:$J$10000,0),11))</f>
        <v/>
      </c>
      <c r="K111" t="str">
        <f t="array" ref="K111">IF($A111="","",INDEX(JupData!$A$2:$K$10000,MATCH($A111&amp;K$1,JupData!$A$2:$A$10000&amp;JupData!$J$2:$J$10000,0),11))</f>
        <v/>
      </c>
      <c r="L111" t="str">
        <f t="array" ref="L111">IF($A111="","",INDEX(JupData!$A$2:$K$10000,MATCH($A111&amp;L$1,JupData!$A$2:$A$10000&amp;JupData!$J$2:$J$10000,0),11))</f>
        <v/>
      </c>
      <c r="M111" t="str">
        <f t="array" ref="M111">IF($A111="","",INDEX(JupData!$A$2:$K$10000,MATCH($A111&amp;M$1,JupData!$A$2:$A$10000&amp;JupData!$J$2:$J$10000,0),11))</f>
        <v/>
      </c>
      <c r="N111" t="str">
        <f t="array" ref="N111">IF($A111="","",INDEX(JupData!$A$2:$K$10000,MATCH($A111&amp;N$1,JupData!$A$2:$A$10000&amp;JupData!$J$2:$J$10000,0),11))</f>
        <v/>
      </c>
      <c r="O111" t="str">
        <f t="array" ref="O111">IF($A111="","",INDEX(JupData!$A$2:$K$10000,MATCH($A111&amp;O$1,JupData!$A$2:$A$10000&amp;JupData!$J$2:$J$10000,0),11))</f>
        <v/>
      </c>
      <c r="P111" t="str">
        <f t="array" ref="P111">IF($A111="","",INDEX(JupData!$A$2:$K$10000,MATCH($A111&amp;P$1,JupData!$A$2:$A$10000&amp;JupData!$J$2:$J$10000,0),11))</f>
        <v/>
      </c>
      <c r="Q111" t="str">
        <f t="array" ref="Q111">IF($A111="","",INDEX(JupData!$A$2:$K$10000,MATCH($A111&amp;Q$1,JupData!$A$2:$A$10000&amp;JupData!$J$2:$J$10000,0),11))</f>
        <v/>
      </c>
      <c r="R111" t="str">
        <f t="array" ref="R111">IF($A111="","",INDEX(JupData!$A$2:$K$10000,MATCH($A111&amp;R$1,JupData!$A$2:$A$10000&amp;JupData!$J$2:$J$10000,0),11))</f>
        <v/>
      </c>
      <c r="S111" t="str">
        <f t="array" ref="S111">IF($A111="","",INDEX(JupData!$A$2:$K$10000,MATCH($A111&amp;S$1,JupData!$A$2:$A$10000&amp;JupData!$J$2:$J$10000,0),11))</f>
        <v/>
      </c>
      <c r="T111" t="str">
        <f t="array" ref="T111">IF($A111="","",INDEX(JupData!$A$2:$K$10000,MATCH($A111&amp;T$1,JupData!$A$2:$A$10000&amp;JupData!$J$2:$J$10000,0),11))</f>
        <v/>
      </c>
      <c r="U111" t="str">
        <f t="array" ref="U111">IF($A111="","",INDEX(JupData!$A$2:$K$10000,MATCH($A111&amp;U$1,JupData!$A$2:$A$10000&amp;JupData!$J$2:$J$10000,0),11))</f>
        <v/>
      </c>
      <c r="V111" t="str">
        <f t="array" ref="V111">IF($A111="","",INDEX(JupData!$A$2:$K$10000,MATCH($A111&amp;V$1,JupData!$A$2:$A$10000&amp;JupData!$J$2:$J$10000,0),11))</f>
        <v/>
      </c>
      <c r="W111" t="str">
        <f t="array" ref="W111">IF($A111="","",INDEX(JupData!$A$2:$K$10000,MATCH($A111&amp;W$1,JupData!$A$2:$A$10000&amp;JupData!$J$2:$J$10000,0),11))</f>
        <v/>
      </c>
      <c r="X111" t="str">
        <f t="array" ref="X111">IF($A111="","",INDEX(JupData!$A$2:$K$10000,MATCH($A111&amp;X$1,JupData!$A$2:$A$10000&amp;JupData!$J$2:$J$10000,0),11))</f>
        <v/>
      </c>
      <c r="Y111" t="str">
        <f t="array" ref="Y111">IF($A111="","",INDEX(JupData!$A$2:$K$10000,MATCH($A111&amp;Y$1,JupData!$A$2:$A$10000&amp;JupData!$J$2:$J$10000,0),11))</f>
        <v/>
      </c>
      <c r="Z111" t="str">
        <f t="array" ref="Z111">IF($A111="","",INDEX(JupData!$A$2:$K$10000,MATCH($A111&amp;Z$1,JupData!$A$2:$A$10000&amp;JupData!$J$2:$J$10000,0),11))</f>
        <v/>
      </c>
      <c r="AA111" t="str">
        <f t="array" ref="AA111">IF($A111="","",INDEX(JupData!$A$2:$K$10000,MATCH($A111&amp;AA$1,JupData!$A$2:$A$10000&amp;JupData!$J$2:$J$10000,0),11))</f>
        <v/>
      </c>
      <c r="AB111" t="str">
        <f t="array" ref="AB111">IF($A111="","",INDEX(JupData!$A$2:$K$10000,MATCH($A111&amp;AB$1,JupData!$A$2:$A$10000&amp;JupData!$J$2:$J$10000,0),11))</f>
        <v/>
      </c>
      <c r="AC111" s="10" t="str">
        <f t="shared" si="11"/>
        <v/>
      </c>
      <c r="AD111" s="10" t="str">
        <f t="shared" si="12"/>
        <v/>
      </c>
      <c r="AE111" s="9" t="str">
        <f t="shared" si="13"/>
        <v/>
      </c>
      <c r="AF111" s="10" t="str">
        <f t="shared" si="14"/>
        <v/>
      </c>
      <c r="AG111" s="10" t="str">
        <f t="shared" si="15"/>
        <v/>
      </c>
      <c r="AH111" s="10" t="str">
        <f t="shared" si="16"/>
        <v/>
      </c>
      <c r="AI111" s="10" t="str">
        <f t="shared" si="17"/>
        <v/>
      </c>
      <c r="AJ111" s="10" t="str">
        <f t="shared" si="18"/>
        <v/>
      </c>
      <c r="AK111" s="10" t="str">
        <f t="shared" si="19"/>
        <v/>
      </c>
      <c r="AL111" s="14" t="str">
        <f t="shared" si="20"/>
        <v/>
      </c>
    </row>
    <row r="112" spans="1:38" x14ac:dyDescent="0.2">
      <c r="A112"/>
      <c r="B112" t="str">
        <f>IF($A112="","",VLOOKUP($A112,JupData!$A$2:$I$10000,4,FALSE))</f>
        <v/>
      </c>
      <c r="C112" s="7" t="str">
        <f>IF($A112="",IF(N(D112),0,""),VLOOKUP($A112,JupData!$A$2:$I$10000,7,FALSE))</f>
        <v/>
      </c>
      <c r="D112" t="str">
        <f t="shared" si="21"/>
        <v/>
      </c>
      <c r="E112" t="str">
        <f t="array" ref="E112">IF($A112="","",INDEX(JupData!$A$2:$K$10000,MATCH($A112&amp;E$1,JupData!$A$2:$A$10000&amp;JupData!$J$2:$J$10000,0),11))</f>
        <v/>
      </c>
      <c r="F112" t="str">
        <f t="array" ref="F112">IF($A112="","",INDEX(JupData!$A$2:$K$10000,MATCH($A112&amp;F$1,JupData!$A$2:$A$10000&amp;JupData!$J$2:$J$10000,0),11))</f>
        <v/>
      </c>
      <c r="G112" t="str">
        <f t="array" ref="G112">IF($A112="","",INDEX(JupData!$A$2:$K$10000,MATCH($A112&amp;G$1,JupData!$A$2:$A$10000&amp;JupData!$J$2:$J$10000,0),11))</f>
        <v/>
      </c>
      <c r="H112" t="str">
        <f t="array" ref="H112">IF($A112="","",INDEX(JupData!$A$2:$K$10000,MATCH($A112&amp;H$1,JupData!$A$2:$A$10000&amp;JupData!$J$2:$J$10000,0),11))</f>
        <v/>
      </c>
      <c r="I112" t="str">
        <f t="array" ref="I112">IF($A112="","",INDEX(JupData!$A$2:$K$10000,MATCH($A112&amp;I$1,JupData!$A$2:$A$10000&amp;JupData!$J$2:$J$10000,0),11))</f>
        <v/>
      </c>
      <c r="J112" t="str">
        <f t="array" ref="J112">IF($A112="","",INDEX(JupData!$A$2:$K$10000,MATCH($A112&amp;J$1,JupData!$A$2:$A$10000&amp;JupData!$J$2:$J$10000,0),11))</f>
        <v/>
      </c>
      <c r="K112" t="str">
        <f t="array" ref="K112">IF($A112="","",INDEX(JupData!$A$2:$K$10000,MATCH($A112&amp;K$1,JupData!$A$2:$A$10000&amp;JupData!$J$2:$J$10000,0),11))</f>
        <v/>
      </c>
      <c r="L112" t="str">
        <f t="array" ref="L112">IF($A112="","",INDEX(JupData!$A$2:$K$10000,MATCH($A112&amp;L$1,JupData!$A$2:$A$10000&amp;JupData!$J$2:$J$10000,0),11))</f>
        <v/>
      </c>
      <c r="M112" t="str">
        <f t="array" ref="M112">IF($A112="","",INDEX(JupData!$A$2:$K$10000,MATCH($A112&amp;M$1,JupData!$A$2:$A$10000&amp;JupData!$J$2:$J$10000,0),11))</f>
        <v/>
      </c>
      <c r="N112" t="str">
        <f t="array" ref="N112">IF($A112="","",INDEX(JupData!$A$2:$K$10000,MATCH($A112&amp;N$1,JupData!$A$2:$A$10000&amp;JupData!$J$2:$J$10000,0),11))</f>
        <v/>
      </c>
      <c r="O112" t="str">
        <f t="array" ref="O112">IF($A112="","",INDEX(JupData!$A$2:$K$10000,MATCH($A112&amp;O$1,JupData!$A$2:$A$10000&amp;JupData!$J$2:$J$10000,0),11))</f>
        <v/>
      </c>
      <c r="P112" t="str">
        <f t="array" ref="P112">IF($A112="","",INDEX(JupData!$A$2:$K$10000,MATCH($A112&amp;P$1,JupData!$A$2:$A$10000&amp;JupData!$J$2:$J$10000,0),11))</f>
        <v/>
      </c>
      <c r="Q112" t="str">
        <f t="array" ref="Q112">IF($A112="","",INDEX(JupData!$A$2:$K$10000,MATCH($A112&amp;Q$1,JupData!$A$2:$A$10000&amp;JupData!$J$2:$J$10000,0),11))</f>
        <v/>
      </c>
      <c r="R112" t="str">
        <f t="array" ref="R112">IF($A112="","",INDEX(JupData!$A$2:$K$10000,MATCH($A112&amp;R$1,JupData!$A$2:$A$10000&amp;JupData!$J$2:$J$10000,0),11))</f>
        <v/>
      </c>
      <c r="S112" t="str">
        <f t="array" ref="S112">IF($A112="","",INDEX(JupData!$A$2:$K$10000,MATCH($A112&amp;S$1,JupData!$A$2:$A$10000&amp;JupData!$J$2:$J$10000,0),11))</f>
        <v/>
      </c>
      <c r="T112" t="str">
        <f t="array" ref="T112">IF($A112="","",INDEX(JupData!$A$2:$K$10000,MATCH($A112&amp;T$1,JupData!$A$2:$A$10000&amp;JupData!$J$2:$J$10000,0),11))</f>
        <v/>
      </c>
      <c r="U112" t="str">
        <f t="array" ref="U112">IF($A112="","",INDEX(JupData!$A$2:$K$10000,MATCH($A112&amp;U$1,JupData!$A$2:$A$10000&amp;JupData!$J$2:$J$10000,0),11))</f>
        <v/>
      </c>
      <c r="V112" t="str">
        <f t="array" ref="V112">IF($A112="","",INDEX(JupData!$A$2:$K$10000,MATCH($A112&amp;V$1,JupData!$A$2:$A$10000&amp;JupData!$J$2:$J$10000,0),11))</f>
        <v/>
      </c>
      <c r="W112" t="str">
        <f t="array" ref="W112">IF($A112="","",INDEX(JupData!$A$2:$K$10000,MATCH($A112&amp;W$1,JupData!$A$2:$A$10000&amp;JupData!$J$2:$J$10000,0),11))</f>
        <v/>
      </c>
      <c r="X112" t="str">
        <f t="array" ref="X112">IF($A112="","",INDEX(JupData!$A$2:$K$10000,MATCH($A112&amp;X$1,JupData!$A$2:$A$10000&amp;JupData!$J$2:$J$10000,0),11))</f>
        <v/>
      </c>
      <c r="Y112" t="str">
        <f t="array" ref="Y112">IF($A112="","",INDEX(JupData!$A$2:$K$10000,MATCH($A112&amp;Y$1,JupData!$A$2:$A$10000&amp;JupData!$J$2:$J$10000,0),11))</f>
        <v/>
      </c>
      <c r="Z112" t="str">
        <f t="array" ref="Z112">IF($A112="","",INDEX(JupData!$A$2:$K$10000,MATCH($A112&amp;Z$1,JupData!$A$2:$A$10000&amp;JupData!$J$2:$J$10000,0),11))</f>
        <v/>
      </c>
      <c r="AA112" t="str">
        <f t="array" ref="AA112">IF($A112="","",INDEX(JupData!$A$2:$K$10000,MATCH($A112&amp;AA$1,JupData!$A$2:$A$10000&amp;JupData!$J$2:$J$10000,0),11))</f>
        <v/>
      </c>
      <c r="AB112" t="str">
        <f t="array" ref="AB112">IF($A112="","",INDEX(JupData!$A$2:$K$10000,MATCH($A112&amp;AB$1,JupData!$A$2:$A$10000&amp;JupData!$J$2:$J$10000,0),11))</f>
        <v/>
      </c>
      <c r="AC112" s="10" t="str">
        <f t="shared" si="11"/>
        <v/>
      </c>
      <c r="AD112" s="10" t="str">
        <f t="shared" si="12"/>
        <v/>
      </c>
      <c r="AE112" s="9" t="str">
        <f t="shared" si="13"/>
        <v/>
      </c>
      <c r="AF112" s="10" t="str">
        <f t="shared" si="14"/>
        <v/>
      </c>
      <c r="AG112" s="10" t="str">
        <f t="shared" si="15"/>
        <v/>
      </c>
      <c r="AH112" s="10" t="str">
        <f t="shared" si="16"/>
        <v/>
      </c>
      <c r="AI112" s="10" t="str">
        <f t="shared" si="17"/>
        <v/>
      </c>
      <c r="AJ112" s="10" t="str">
        <f t="shared" si="18"/>
        <v/>
      </c>
      <c r="AK112" s="10" t="str">
        <f t="shared" si="19"/>
        <v/>
      </c>
      <c r="AL112" s="14" t="str">
        <f t="shared" si="20"/>
        <v/>
      </c>
    </row>
    <row r="113" spans="1:38" x14ac:dyDescent="0.2">
      <c r="A113"/>
      <c r="B113" t="str">
        <f>IF($A113="","",VLOOKUP($A113,JupData!$A$2:$I$10000,4,FALSE))</f>
        <v/>
      </c>
      <c r="C113" s="7" t="str">
        <f>IF($A113="",IF(N(D113),0,""),VLOOKUP($A113,JupData!$A$2:$I$10000,7,FALSE))</f>
        <v/>
      </c>
      <c r="D113" t="str">
        <f t="shared" si="21"/>
        <v/>
      </c>
      <c r="E113" t="str">
        <f t="array" ref="E113">IF($A113="","",INDEX(JupData!$A$2:$K$10000,MATCH($A113&amp;E$1,JupData!$A$2:$A$10000&amp;JupData!$J$2:$J$10000,0),11))</f>
        <v/>
      </c>
      <c r="F113" t="str">
        <f t="array" ref="F113">IF($A113="","",INDEX(JupData!$A$2:$K$10000,MATCH($A113&amp;F$1,JupData!$A$2:$A$10000&amp;JupData!$J$2:$J$10000,0),11))</f>
        <v/>
      </c>
      <c r="G113" t="str">
        <f t="array" ref="G113">IF($A113="","",INDEX(JupData!$A$2:$K$10000,MATCH($A113&amp;G$1,JupData!$A$2:$A$10000&amp;JupData!$J$2:$J$10000,0),11))</f>
        <v/>
      </c>
      <c r="H113" t="str">
        <f t="array" ref="H113">IF($A113="","",INDEX(JupData!$A$2:$K$10000,MATCH($A113&amp;H$1,JupData!$A$2:$A$10000&amp;JupData!$J$2:$J$10000,0),11))</f>
        <v/>
      </c>
      <c r="I113" t="str">
        <f t="array" ref="I113">IF($A113="","",INDEX(JupData!$A$2:$K$10000,MATCH($A113&amp;I$1,JupData!$A$2:$A$10000&amp;JupData!$J$2:$J$10000,0),11))</f>
        <v/>
      </c>
      <c r="J113" t="str">
        <f t="array" ref="J113">IF($A113="","",INDEX(JupData!$A$2:$K$10000,MATCH($A113&amp;J$1,JupData!$A$2:$A$10000&amp;JupData!$J$2:$J$10000,0),11))</f>
        <v/>
      </c>
      <c r="K113" t="str">
        <f t="array" ref="K113">IF($A113="","",INDEX(JupData!$A$2:$K$10000,MATCH($A113&amp;K$1,JupData!$A$2:$A$10000&amp;JupData!$J$2:$J$10000,0),11))</f>
        <v/>
      </c>
      <c r="L113" t="str">
        <f t="array" ref="L113">IF($A113="","",INDEX(JupData!$A$2:$K$10000,MATCH($A113&amp;L$1,JupData!$A$2:$A$10000&amp;JupData!$J$2:$J$10000,0),11))</f>
        <v/>
      </c>
      <c r="M113" t="str">
        <f t="array" ref="M113">IF($A113="","",INDEX(JupData!$A$2:$K$10000,MATCH($A113&amp;M$1,JupData!$A$2:$A$10000&amp;JupData!$J$2:$J$10000,0),11))</f>
        <v/>
      </c>
      <c r="N113" t="str">
        <f t="array" ref="N113">IF($A113="","",INDEX(JupData!$A$2:$K$10000,MATCH($A113&amp;N$1,JupData!$A$2:$A$10000&amp;JupData!$J$2:$J$10000,0),11))</f>
        <v/>
      </c>
      <c r="O113" t="str">
        <f t="array" ref="O113">IF($A113="","",INDEX(JupData!$A$2:$K$10000,MATCH($A113&amp;O$1,JupData!$A$2:$A$10000&amp;JupData!$J$2:$J$10000,0),11))</f>
        <v/>
      </c>
      <c r="P113" t="str">
        <f t="array" ref="P113">IF($A113="","",INDEX(JupData!$A$2:$K$10000,MATCH($A113&amp;P$1,JupData!$A$2:$A$10000&amp;JupData!$J$2:$J$10000,0),11))</f>
        <v/>
      </c>
      <c r="Q113" t="str">
        <f t="array" ref="Q113">IF($A113="","",INDEX(JupData!$A$2:$K$10000,MATCH($A113&amp;Q$1,JupData!$A$2:$A$10000&amp;JupData!$J$2:$J$10000,0),11))</f>
        <v/>
      </c>
      <c r="R113" t="str">
        <f t="array" ref="R113">IF($A113="","",INDEX(JupData!$A$2:$K$10000,MATCH($A113&amp;R$1,JupData!$A$2:$A$10000&amp;JupData!$J$2:$J$10000,0),11))</f>
        <v/>
      </c>
      <c r="S113" t="str">
        <f t="array" ref="S113">IF($A113="","",INDEX(JupData!$A$2:$K$10000,MATCH($A113&amp;S$1,JupData!$A$2:$A$10000&amp;JupData!$J$2:$J$10000,0),11))</f>
        <v/>
      </c>
      <c r="T113" t="str">
        <f t="array" ref="T113">IF($A113="","",INDEX(JupData!$A$2:$K$10000,MATCH($A113&amp;T$1,JupData!$A$2:$A$10000&amp;JupData!$J$2:$J$10000,0),11))</f>
        <v/>
      </c>
      <c r="U113" t="str">
        <f t="array" ref="U113">IF($A113="","",INDEX(JupData!$A$2:$K$10000,MATCH($A113&amp;U$1,JupData!$A$2:$A$10000&amp;JupData!$J$2:$J$10000,0),11))</f>
        <v/>
      </c>
      <c r="V113" t="str">
        <f t="array" ref="V113">IF($A113="","",INDEX(JupData!$A$2:$K$10000,MATCH($A113&amp;V$1,JupData!$A$2:$A$10000&amp;JupData!$J$2:$J$10000,0),11))</f>
        <v/>
      </c>
      <c r="W113" t="str">
        <f t="array" ref="W113">IF($A113="","",INDEX(JupData!$A$2:$K$10000,MATCH($A113&amp;W$1,JupData!$A$2:$A$10000&amp;JupData!$J$2:$J$10000,0),11))</f>
        <v/>
      </c>
      <c r="X113" t="str">
        <f t="array" ref="X113">IF($A113="","",INDEX(JupData!$A$2:$K$10000,MATCH($A113&amp;X$1,JupData!$A$2:$A$10000&amp;JupData!$J$2:$J$10000,0),11))</f>
        <v/>
      </c>
      <c r="Y113" t="str">
        <f t="array" ref="Y113">IF($A113="","",INDEX(JupData!$A$2:$K$10000,MATCH($A113&amp;Y$1,JupData!$A$2:$A$10000&amp;JupData!$J$2:$J$10000,0),11))</f>
        <v/>
      </c>
      <c r="Z113" t="str">
        <f t="array" ref="Z113">IF($A113="","",INDEX(JupData!$A$2:$K$10000,MATCH($A113&amp;Z$1,JupData!$A$2:$A$10000&amp;JupData!$J$2:$J$10000,0),11))</f>
        <v/>
      </c>
      <c r="AA113" t="str">
        <f t="array" ref="AA113">IF($A113="","",INDEX(JupData!$A$2:$K$10000,MATCH($A113&amp;AA$1,JupData!$A$2:$A$10000&amp;JupData!$J$2:$J$10000,0),11))</f>
        <v/>
      </c>
      <c r="AB113" t="str">
        <f t="array" ref="AB113">IF($A113="","",INDEX(JupData!$A$2:$K$10000,MATCH($A113&amp;AB$1,JupData!$A$2:$A$10000&amp;JupData!$J$2:$J$10000,0),11))</f>
        <v/>
      </c>
      <c r="AC113" s="10" t="str">
        <f t="shared" si="11"/>
        <v/>
      </c>
      <c r="AD113" s="10" t="str">
        <f t="shared" si="12"/>
        <v/>
      </c>
      <c r="AE113" s="9" t="str">
        <f t="shared" si="13"/>
        <v/>
      </c>
      <c r="AF113" s="10" t="str">
        <f t="shared" si="14"/>
        <v/>
      </c>
      <c r="AG113" s="10" t="str">
        <f t="shared" si="15"/>
        <v/>
      </c>
      <c r="AH113" s="10" t="str">
        <f t="shared" si="16"/>
        <v/>
      </c>
      <c r="AI113" s="10" t="str">
        <f t="shared" si="17"/>
        <v/>
      </c>
      <c r="AJ113" s="10" t="str">
        <f t="shared" si="18"/>
        <v/>
      </c>
      <c r="AK113" s="10" t="str">
        <f t="shared" si="19"/>
        <v/>
      </c>
      <c r="AL113" s="14" t="str">
        <f t="shared" si="20"/>
        <v/>
      </c>
    </row>
    <row r="114" spans="1:38" x14ac:dyDescent="0.2">
      <c r="A114"/>
      <c r="B114" t="str">
        <f>IF($A114="","",VLOOKUP($A114,JupData!$A$2:$I$10000,4,FALSE))</f>
        <v/>
      </c>
      <c r="C114" s="7" t="str">
        <f>IF($A114="",IF(N(D114),0,""),VLOOKUP($A114,JupData!$A$2:$I$10000,7,FALSE))</f>
        <v/>
      </c>
      <c r="D114" t="str">
        <f t="shared" si="21"/>
        <v/>
      </c>
      <c r="E114" t="str">
        <f t="array" ref="E114">IF($A114="","",INDEX(JupData!$A$2:$K$10000,MATCH($A114&amp;E$1,JupData!$A$2:$A$10000&amp;JupData!$J$2:$J$10000,0),11))</f>
        <v/>
      </c>
      <c r="F114" t="str">
        <f t="array" ref="F114">IF($A114="","",INDEX(JupData!$A$2:$K$10000,MATCH($A114&amp;F$1,JupData!$A$2:$A$10000&amp;JupData!$J$2:$J$10000,0),11))</f>
        <v/>
      </c>
      <c r="G114" t="str">
        <f t="array" ref="G114">IF($A114="","",INDEX(JupData!$A$2:$K$10000,MATCH($A114&amp;G$1,JupData!$A$2:$A$10000&amp;JupData!$J$2:$J$10000,0),11))</f>
        <v/>
      </c>
      <c r="H114" t="str">
        <f t="array" ref="H114">IF($A114="","",INDEX(JupData!$A$2:$K$10000,MATCH($A114&amp;H$1,JupData!$A$2:$A$10000&amp;JupData!$J$2:$J$10000,0),11))</f>
        <v/>
      </c>
      <c r="I114" t="str">
        <f t="array" ref="I114">IF($A114="","",INDEX(JupData!$A$2:$K$10000,MATCH($A114&amp;I$1,JupData!$A$2:$A$10000&amp;JupData!$J$2:$J$10000,0),11))</f>
        <v/>
      </c>
      <c r="J114" t="str">
        <f t="array" ref="J114">IF($A114="","",INDEX(JupData!$A$2:$K$10000,MATCH($A114&amp;J$1,JupData!$A$2:$A$10000&amp;JupData!$J$2:$J$10000,0),11))</f>
        <v/>
      </c>
      <c r="K114" t="str">
        <f t="array" ref="K114">IF($A114="","",INDEX(JupData!$A$2:$K$10000,MATCH($A114&amp;K$1,JupData!$A$2:$A$10000&amp;JupData!$J$2:$J$10000,0),11))</f>
        <v/>
      </c>
      <c r="L114" t="str">
        <f t="array" ref="L114">IF($A114="","",INDEX(JupData!$A$2:$K$10000,MATCH($A114&amp;L$1,JupData!$A$2:$A$10000&amp;JupData!$J$2:$J$10000,0),11))</f>
        <v/>
      </c>
      <c r="M114" t="str">
        <f t="array" ref="M114">IF($A114="","",INDEX(JupData!$A$2:$K$10000,MATCH($A114&amp;M$1,JupData!$A$2:$A$10000&amp;JupData!$J$2:$J$10000,0),11))</f>
        <v/>
      </c>
      <c r="N114" t="str">
        <f t="array" ref="N114">IF($A114="","",INDEX(JupData!$A$2:$K$10000,MATCH($A114&amp;N$1,JupData!$A$2:$A$10000&amp;JupData!$J$2:$J$10000,0),11))</f>
        <v/>
      </c>
      <c r="O114" t="str">
        <f t="array" ref="O114">IF($A114="","",INDEX(JupData!$A$2:$K$10000,MATCH($A114&amp;O$1,JupData!$A$2:$A$10000&amp;JupData!$J$2:$J$10000,0),11))</f>
        <v/>
      </c>
      <c r="P114" t="str">
        <f t="array" ref="P114">IF($A114="","",INDEX(JupData!$A$2:$K$10000,MATCH($A114&amp;P$1,JupData!$A$2:$A$10000&amp;JupData!$J$2:$J$10000,0),11))</f>
        <v/>
      </c>
      <c r="Q114" t="str">
        <f t="array" ref="Q114">IF($A114="","",INDEX(JupData!$A$2:$K$10000,MATCH($A114&amp;Q$1,JupData!$A$2:$A$10000&amp;JupData!$J$2:$J$10000,0),11))</f>
        <v/>
      </c>
      <c r="R114" t="str">
        <f t="array" ref="R114">IF($A114="","",INDEX(JupData!$A$2:$K$10000,MATCH($A114&amp;R$1,JupData!$A$2:$A$10000&amp;JupData!$J$2:$J$10000,0),11))</f>
        <v/>
      </c>
      <c r="S114" t="str">
        <f t="array" ref="S114">IF($A114="","",INDEX(JupData!$A$2:$K$10000,MATCH($A114&amp;S$1,JupData!$A$2:$A$10000&amp;JupData!$J$2:$J$10000,0),11))</f>
        <v/>
      </c>
      <c r="T114" t="str">
        <f t="array" ref="T114">IF($A114="","",INDEX(JupData!$A$2:$K$10000,MATCH($A114&amp;T$1,JupData!$A$2:$A$10000&amp;JupData!$J$2:$J$10000,0),11))</f>
        <v/>
      </c>
      <c r="U114" t="str">
        <f t="array" ref="U114">IF($A114="","",INDEX(JupData!$A$2:$K$10000,MATCH($A114&amp;U$1,JupData!$A$2:$A$10000&amp;JupData!$J$2:$J$10000,0),11))</f>
        <v/>
      </c>
      <c r="V114" t="str">
        <f t="array" ref="V114">IF($A114="","",INDEX(JupData!$A$2:$K$10000,MATCH($A114&amp;V$1,JupData!$A$2:$A$10000&amp;JupData!$J$2:$J$10000,0),11))</f>
        <v/>
      </c>
      <c r="W114" t="str">
        <f t="array" ref="W114">IF($A114="","",INDEX(JupData!$A$2:$K$10000,MATCH($A114&amp;W$1,JupData!$A$2:$A$10000&amp;JupData!$J$2:$J$10000,0),11))</f>
        <v/>
      </c>
      <c r="X114" t="str">
        <f t="array" ref="X114">IF($A114="","",INDEX(JupData!$A$2:$K$10000,MATCH($A114&amp;X$1,JupData!$A$2:$A$10000&amp;JupData!$J$2:$J$10000,0),11))</f>
        <v/>
      </c>
      <c r="Y114" t="str">
        <f t="array" ref="Y114">IF($A114="","",INDEX(JupData!$A$2:$K$10000,MATCH($A114&amp;Y$1,JupData!$A$2:$A$10000&amp;JupData!$J$2:$J$10000,0),11))</f>
        <v/>
      </c>
      <c r="Z114" t="str">
        <f t="array" ref="Z114">IF($A114="","",INDEX(JupData!$A$2:$K$10000,MATCH($A114&amp;Z$1,JupData!$A$2:$A$10000&amp;JupData!$J$2:$J$10000,0),11))</f>
        <v/>
      </c>
      <c r="AA114" t="str">
        <f t="array" ref="AA114">IF($A114="","",INDEX(JupData!$A$2:$K$10000,MATCH($A114&amp;AA$1,JupData!$A$2:$A$10000&amp;JupData!$J$2:$J$10000,0),11))</f>
        <v/>
      </c>
      <c r="AB114" t="str">
        <f t="array" ref="AB114">IF($A114="","",INDEX(JupData!$A$2:$K$10000,MATCH($A114&amp;AB$1,JupData!$A$2:$A$10000&amp;JupData!$J$2:$J$10000,0),11))</f>
        <v/>
      </c>
      <c r="AC114" s="10" t="str">
        <f t="shared" si="11"/>
        <v/>
      </c>
      <c r="AD114" s="10" t="str">
        <f t="shared" si="12"/>
        <v/>
      </c>
      <c r="AE114" s="9" t="str">
        <f t="shared" si="13"/>
        <v/>
      </c>
      <c r="AF114" s="10" t="str">
        <f t="shared" si="14"/>
        <v/>
      </c>
      <c r="AG114" s="10" t="str">
        <f t="shared" si="15"/>
        <v/>
      </c>
      <c r="AH114" s="10" t="str">
        <f t="shared" si="16"/>
        <v/>
      </c>
      <c r="AI114" s="10" t="str">
        <f t="shared" si="17"/>
        <v/>
      </c>
      <c r="AJ114" s="10" t="str">
        <f t="shared" si="18"/>
        <v/>
      </c>
      <c r="AK114" s="10" t="str">
        <f t="shared" si="19"/>
        <v/>
      </c>
      <c r="AL114" s="14" t="str">
        <f t="shared" si="20"/>
        <v/>
      </c>
    </row>
    <row r="115" spans="1:38" x14ac:dyDescent="0.2">
      <c r="A115"/>
      <c r="B115" t="str">
        <f>IF($A115="","",VLOOKUP($A115,JupData!$A$2:$I$10000,4,FALSE))</f>
        <v/>
      </c>
      <c r="C115" s="7" t="str">
        <f>IF($A115="",IF(N(D115),0,""),VLOOKUP($A115,JupData!$A$2:$I$10000,7,FALSE))</f>
        <v/>
      </c>
      <c r="D115" t="str">
        <f t="shared" si="21"/>
        <v/>
      </c>
      <c r="E115" t="str">
        <f t="array" ref="E115">IF($A115="","",INDEX(JupData!$A$2:$K$10000,MATCH($A115&amp;E$1,JupData!$A$2:$A$10000&amp;JupData!$J$2:$J$10000,0),11))</f>
        <v/>
      </c>
      <c r="F115" t="str">
        <f t="array" ref="F115">IF($A115="","",INDEX(JupData!$A$2:$K$10000,MATCH($A115&amp;F$1,JupData!$A$2:$A$10000&amp;JupData!$J$2:$J$10000,0),11))</f>
        <v/>
      </c>
      <c r="G115" t="str">
        <f t="array" ref="G115">IF($A115="","",INDEX(JupData!$A$2:$K$10000,MATCH($A115&amp;G$1,JupData!$A$2:$A$10000&amp;JupData!$J$2:$J$10000,0),11))</f>
        <v/>
      </c>
      <c r="H115" t="str">
        <f t="array" ref="H115">IF($A115="","",INDEX(JupData!$A$2:$K$10000,MATCH($A115&amp;H$1,JupData!$A$2:$A$10000&amp;JupData!$J$2:$J$10000,0),11))</f>
        <v/>
      </c>
      <c r="I115" t="str">
        <f t="array" ref="I115">IF($A115="","",INDEX(JupData!$A$2:$K$10000,MATCH($A115&amp;I$1,JupData!$A$2:$A$10000&amp;JupData!$J$2:$J$10000,0),11))</f>
        <v/>
      </c>
      <c r="J115" t="str">
        <f t="array" ref="J115">IF($A115="","",INDEX(JupData!$A$2:$K$10000,MATCH($A115&amp;J$1,JupData!$A$2:$A$10000&amp;JupData!$J$2:$J$10000,0),11))</f>
        <v/>
      </c>
      <c r="K115" t="str">
        <f t="array" ref="K115">IF($A115="","",INDEX(JupData!$A$2:$K$10000,MATCH($A115&amp;K$1,JupData!$A$2:$A$10000&amp;JupData!$J$2:$J$10000,0),11))</f>
        <v/>
      </c>
      <c r="L115" t="str">
        <f t="array" ref="L115">IF($A115="","",INDEX(JupData!$A$2:$K$10000,MATCH($A115&amp;L$1,JupData!$A$2:$A$10000&amp;JupData!$J$2:$J$10000,0),11))</f>
        <v/>
      </c>
      <c r="M115" t="str">
        <f t="array" ref="M115">IF($A115="","",INDEX(JupData!$A$2:$K$10000,MATCH($A115&amp;M$1,JupData!$A$2:$A$10000&amp;JupData!$J$2:$J$10000,0),11))</f>
        <v/>
      </c>
      <c r="N115" t="str">
        <f t="array" ref="N115">IF($A115="","",INDEX(JupData!$A$2:$K$10000,MATCH($A115&amp;N$1,JupData!$A$2:$A$10000&amp;JupData!$J$2:$J$10000,0),11))</f>
        <v/>
      </c>
      <c r="O115" t="str">
        <f t="array" ref="O115">IF($A115="","",INDEX(JupData!$A$2:$K$10000,MATCH($A115&amp;O$1,JupData!$A$2:$A$10000&amp;JupData!$J$2:$J$10000,0),11))</f>
        <v/>
      </c>
      <c r="P115" t="str">
        <f t="array" ref="P115">IF($A115="","",INDEX(JupData!$A$2:$K$10000,MATCH($A115&amp;P$1,JupData!$A$2:$A$10000&amp;JupData!$J$2:$J$10000,0),11))</f>
        <v/>
      </c>
      <c r="Q115" t="str">
        <f t="array" ref="Q115">IF($A115="","",INDEX(JupData!$A$2:$K$10000,MATCH($A115&amp;Q$1,JupData!$A$2:$A$10000&amp;JupData!$J$2:$J$10000,0),11))</f>
        <v/>
      </c>
      <c r="R115" t="str">
        <f t="array" ref="R115">IF($A115="","",INDEX(JupData!$A$2:$K$10000,MATCH($A115&amp;R$1,JupData!$A$2:$A$10000&amp;JupData!$J$2:$J$10000,0),11))</f>
        <v/>
      </c>
      <c r="S115" t="str">
        <f t="array" ref="S115">IF($A115="","",INDEX(JupData!$A$2:$K$10000,MATCH($A115&amp;S$1,JupData!$A$2:$A$10000&amp;JupData!$J$2:$J$10000,0),11))</f>
        <v/>
      </c>
      <c r="T115" t="str">
        <f t="array" ref="T115">IF($A115="","",INDEX(JupData!$A$2:$K$10000,MATCH($A115&amp;T$1,JupData!$A$2:$A$10000&amp;JupData!$J$2:$J$10000,0),11))</f>
        <v/>
      </c>
      <c r="U115" t="str">
        <f t="array" ref="U115">IF($A115="","",INDEX(JupData!$A$2:$K$10000,MATCH($A115&amp;U$1,JupData!$A$2:$A$10000&amp;JupData!$J$2:$J$10000,0),11))</f>
        <v/>
      </c>
      <c r="V115" t="str">
        <f t="array" ref="V115">IF($A115="","",INDEX(JupData!$A$2:$K$10000,MATCH($A115&amp;V$1,JupData!$A$2:$A$10000&amp;JupData!$J$2:$J$10000,0),11))</f>
        <v/>
      </c>
      <c r="W115" t="str">
        <f t="array" ref="W115">IF($A115="","",INDEX(JupData!$A$2:$K$10000,MATCH($A115&amp;W$1,JupData!$A$2:$A$10000&amp;JupData!$J$2:$J$10000,0),11))</f>
        <v/>
      </c>
      <c r="X115" t="str">
        <f t="array" ref="X115">IF($A115="","",INDEX(JupData!$A$2:$K$10000,MATCH($A115&amp;X$1,JupData!$A$2:$A$10000&amp;JupData!$J$2:$J$10000,0),11))</f>
        <v/>
      </c>
      <c r="Y115" t="str">
        <f t="array" ref="Y115">IF($A115="","",INDEX(JupData!$A$2:$K$10000,MATCH($A115&amp;Y$1,JupData!$A$2:$A$10000&amp;JupData!$J$2:$J$10000,0),11))</f>
        <v/>
      </c>
      <c r="Z115" t="str">
        <f t="array" ref="Z115">IF($A115="","",INDEX(JupData!$A$2:$K$10000,MATCH($A115&amp;Z$1,JupData!$A$2:$A$10000&amp;JupData!$J$2:$J$10000,0),11))</f>
        <v/>
      </c>
      <c r="AA115" t="str">
        <f t="array" ref="AA115">IF($A115="","",INDEX(JupData!$A$2:$K$10000,MATCH($A115&amp;AA$1,JupData!$A$2:$A$10000&amp;JupData!$J$2:$J$10000,0),11))</f>
        <v/>
      </c>
      <c r="AB115" t="str">
        <f t="array" ref="AB115">IF($A115="","",INDEX(JupData!$A$2:$K$10000,MATCH($A115&amp;AB$1,JupData!$A$2:$A$10000&amp;JupData!$J$2:$J$10000,0),11))</f>
        <v/>
      </c>
      <c r="AC115" s="10" t="str">
        <f t="shared" si="11"/>
        <v/>
      </c>
      <c r="AD115" s="10" t="str">
        <f t="shared" si="12"/>
        <v/>
      </c>
      <c r="AE115" s="9" t="str">
        <f t="shared" si="13"/>
        <v/>
      </c>
      <c r="AF115" s="10" t="str">
        <f t="shared" si="14"/>
        <v/>
      </c>
      <c r="AG115" s="10" t="str">
        <f t="shared" si="15"/>
        <v/>
      </c>
      <c r="AH115" s="10" t="str">
        <f t="shared" si="16"/>
        <v/>
      </c>
      <c r="AI115" s="10" t="str">
        <f t="shared" si="17"/>
        <v/>
      </c>
      <c r="AJ115" s="10" t="str">
        <f t="shared" si="18"/>
        <v/>
      </c>
      <c r="AK115" s="10" t="str">
        <f t="shared" si="19"/>
        <v/>
      </c>
      <c r="AL115" s="14" t="str">
        <f t="shared" si="20"/>
        <v/>
      </c>
    </row>
    <row r="116" spans="1:38" x14ac:dyDescent="0.2">
      <c r="A116"/>
      <c r="B116" t="str">
        <f>IF($A116="","",VLOOKUP($A116,JupData!$A$2:$I$10000,4,FALSE))</f>
        <v/>
      </c>
      <c r="C116" s="7" t="str">
        <f>IF($A116="",IF(N(D116),0,""),VLOOKUP($A116,JupData!$A$2:$I$10000,7,FALSE))</f>
        <v/>
      </c>
      <c r="D116" t="str">
        <f t="shared" si="21"/>
        <v/>
      </c>
      <c r="E116" t="str">
        <f t="array" ref="E116">IF($A116="","",INDEX(JupData!$A$2:$K$10000,MATCH($A116&amp;E$1,JupData!$A$2:$A$10000&amp;JupData!$J$2:$J$10000,0),11))</f>
        <v/>
      </c>
      <c r="F116" t="str">
        <f t="array" ref="F116">IF($A116="","",INDEX(JupData!$A$2:$K$10000,MATCH($A116&amp;F$1,JupData!$A$2:$A$10000&amp;JupData!$J$2:$J$10000,0),11))</f>
        <v/>
      </c>
      <c r="G116" t="str">
        <f t="array" ref="G116">IF($A116="","",INDEX(JupData!$A$2:$K$10000,MATCH($A116&amp;G$1,JupData!$A$2:$A$10000&amp;JupData!$J$2:$J$10000,0),11))</f>
        <v/>
      </c>
      <c r="H116" t="str">
        <f t="array" ref="H116">IF($A116="","",INDEX(JupData!$A$2:$K$10000,MATCH($A116&amp;H$1,JupData!$A$2:$A$10000&amp;JupData!$J$2:$J$10000,0),11))</f>
        <v/>
      </c>
      <c r="I116" t="str">
        <f t="array" ref="I116">IF($A116="","",INDEX(JupData!$A$2:$K$10000,MATCH($A116&amp;I$1,JupData!$A$2:$A$10000&amp;JupData!$J$2:$J$10000,0),11))</f>
        <v/>
      </c>
      <c r="J116" t="str">
        <f t="array" ref="J116">IF($A116="","",INDEX(JupData!$A$2:$K$10000,MATCH($A116&amp;J$1,JupData!$A$2:$A$10000&amp;JupData!$J$2:$J$10000,0),11))</f>
        <v/>
      </c>
      <c r="K116" t="str">
        <f t="array" ref="K116">IF($A116="","",INDEX(JupData!$A$2:$K$10000,MATCH($A116&amp;K$1,JupData!$A$2:$A$10000&amp;JupData!$J$2:$J$10000,0),11))</f>
        <v/>
      </c>
      <c r="L116" t="str">
        <f t="array" ref="L116">IF($A116="","",INDEX(JupData!$A$2:$K$10000,MATCH($A116&amp;L$1,JupData!$A$2:$A$10000&amp;JupData!$J$2:$J$10000,0),11))</f>
        <v/>
      </c>
      <c r="M116" t="str">
        <f t="array" ref="M116">IF($A116="","",INDEX(JupData!$A$2:$K$10000,MATCH($A116&amp;M$1,JupData!$A$2:$A$10000&amp;JupData!$J$2:$J$10000,0),11))</f>
        <v/>
      </c>
      <c r="N116" t="str">
        <f t="array" ref="N116">IF($A116="","",INDEX(JupData!$A$2:$K$10000,MATCH($A116&amp;N$1,JupData!$A$2:$A$10000&amp;JupData!$J$2:$J$10000,0),11))</f>
        <v/>
      </c>
      <c r="O116" t="str">
        <f t="array" ref="O116">IF($A116="","",INDEX(JupData!$A$2:$K$10000,MATCH($A116&amp;O$1,JupData!$A$2:$A$10000&amp;JupData!$J$2:$J$10000,0),11))</f>
        <v/>
      </c>
      <c r="P116" t="str">
        <f t="array" ref="P116">IF($A116="","",INDEX(JupData!$A$2:$K$10000,MATCH($A116&amp;P$1,JupData!$A$2:$A$10000&amp;JupData!$J$2:$J$10000,0),11))</f>
        <v/>
      </c>
      <c r="Q116" t="str">
        <f t="array" ref="Q116">IF($A116="","",INDEX(JupData!$A$2:$K$10000,MATCH($A116&amp;Q$1,JupData!$A$2:$A$10000&amp;JupData!$J$2:$J$10000,0),11))</f>
        <v/>
      </c>
      <c r="R116" t="str">
        <f t="array" ref="R116">IF($A116="","",INDEX(JupData!$A$2:$K$10000,MATCH($A116&amp;R$1,JupData!$A$2:$A$10000&amp;JupData!$J$2:$J$10000,0),11))</f>
        <v/>
      </c>
      <c r="S116" t="str">
        <f t="array" ref="S116">IF($A116="","",INDEX(JupData!$A$2:$K$10000,MATCH($A116&amp;S$1,JupData!$A$2:$A$10000&amp;JupData!$J$2:$J$10000,0),11))</f>
        <v/>
      </c>
      <c r="T116" t="str">
        <f t="array" ref="T116">IF($A116="","",INDEX(JupData!$A$2:$K$10000,MATCH($A116&amp;T$1,JupData!$A$2:$A$10000&amp;JupData!$J$2:$J$10000,0),11))</f>
        <v/>
      </c>
      <c r="U116" t="str">
        <f t="array" ref="U116">IF($A116="","",INDEX(JupData!$A$2:$K$10000,MATCH($A116&amp;U$1,JupData!$A$2:$A$10000&amp;JupData!$J$2:$J$10000,0),11))</f>
        <v/>
      </c>
      <c r="V116" t="str">
        <f t="array" ref="V116">IF($A116="","",INDEX(JupData!$A$2:$K$10000,MATCH($A116&amp;V$1,JupData!$A$2:$A$10000&amp;JupData!$J$2:$J$10000,0),11))</f>
        <v/>
      </c>
      <c r="W116" t="str">
        <f t="array" ref="W116">IF($A116="","",INDEX(JupData!$A$2:$K$10000,MATCH($A116&amp;W$1,JupData!$A$2:$A$10000&amp;JupData!$J$2:$J$10000,0),11))</f>
        <v/>
      </c>
      <c r="X116" t="str">
        <f t="array" ref="X116">IF($A116="","",INDEX(JupData!$A$2:$K$10000,MATCH($A116&amp;X$1,JupData!$A$2:$A$10000&amp;JupData!$J$2:$J$10000,0),11))</f>
        <v/>
      </c>
      <c r="Y116" t="str">
        <f t="array" ref="Y116">IF($A116="","",INDEX(JupData!$A$2:$K$10000,MATCH($A116&amp;Y$1,JupData!$A$2:$A$10000&amp;JupData!$J$2:$J$10000,0),11))</f>
        <v/>
      </c>
      <c r="Z116" t="str">
        <f t="array" ref="Z116">IF($A116="","",INDEX(JupData!$A$2:$K$10000,MATCH($A116&amp;Z$1,JupData!$A$2:$A$10000&amp;JupData!$J$2:$J$10000,0),11))</f>
        <v/>
      </c>
      <c r="AA116" t="str">
        <f t="array" ref="AA116">IF($A116="","",INDEX(JupData!$A$2:$K$10000,MATCH($A116&amp;AA$1,JupData!$A$2:$A$10000&amp;JupData!$J$2:$J$10000,0),11))</f>
        <v/>
      </c>
      <c r="AB116" t="str">
        <f t="array" ref="AB116">IF($A116="","",INDEX(JupData!$A$2:$K$10000,MATCH($A116&amp;AB$1,JupData!$A$2:$A$10000&amp;JupData!$J$2:$J$10000,0),11))</f>
        <v/>
      </c>
      <c r="AC116" s="10" t="str">
        <f t="shared" si="11"/>
        <v/>
      </c>
      <c r="AD116" s="10" t="str">
        <f t="shared" si="12"/>
        <v/>
      </c>
      <c r="AE116" s="9" t="str">
        <f t="shared" si="13"/>
        <v/>
      </c>
      <c r="AF116" s="10" t="str">
        <f t="shared" si="14"/>
        <v/>
      </c>
      <c r="AG116" s="10" t="str">
        <f t="shared" si="15"/>
        <v/>
      </c>
      <c r="AH116" s="10" t="str">
        <f t="shared" si="16"/>
        <v/>
      </c>
      <c r="AI116" s="10" t="str">
        <f t="shared" si="17"/>
        <v/>
      </c>
      <c r="AJ116" s="10" t="str">
        <f t="shared" si="18"/>
        <v/>
      </c>
      <c r="AK116" s="10" t="str">
        <f t="shared" si="19"/>
        <v/>
      </c>
      <c r="AL116" s="14" t="str">
        <f t="shared" si="20"/>
        <v/>
      </c>
    </row>
    <row r="117" spans="1:38" x14ac:dyDescent="0.2">
      <c r="A117"/>
      <c r="B117" t="str">
        <f>IF($A117="","",VLOOKUP($A117,JupData!$A$2:$I$10000,4,FALSE))</f>
        <v/>
      </c>
      <c r="C117" s="7" t="str">
        <f>IF($A117="",IF(N(D117),0,""),VLOOKUP($A117,JupData!$A$2:$I$10000,7,FALSE))</f>
        <v/>
      </c>
      <c r="D117" t="str">
        <f t="shared" si="21"/>
        <v/>
      </c>
      <c r="E117" t="str">
        <f t="array" ref="E117">IF($A117="","",INDEX(JupData!$A$2:$K$10000,MATCH($A117&amp;E$1,JupData!$A$2:$A$10000&amp;JupData!$J$2:$J$10000,0),11))</f>
        <v/>
      </c>
      <c r="F117" t="str">
        <f t="array" ref="F117">IF($A117="","",INDEX(JupData!$A$2:$K$10000,MATCH($A117&amp;F$1,JupData!$A$2:$A$10000&amp;JupData!$J$2:$J$10000,0),11))</f>
        <v/>
      </c>
      <c r="G117" t="str">
        <f t="array" ref="G117">IF($A117="","",INDEX(JupData!$A$2:$K$10000,MATCH($A117&amp;G$1,JupData!$A$2:$A$10000&amp;JupData!$J$2:$J$10000,0),11))</f>
        <v/>
      </c>
      <c r="H117" t="str">
        <f t="array" ref="H117">IF($A117="","",INDEX(JupData!$A$2:$K$10000,MATCH($A117&amp;H$1,JupData!$A$2:$A$10000&amp;JupData!$J$2:$J$10000,0),11))</f>
        <v/>
      </c>
      <c r="I117" t="str">
        <f t="array" ref="I117">IF($A117="","",INDEX(JupData!$A$2:$K$10000,MATCH($A117&amp;I$1,JupData!$A$2:$A$10000&amp;JupData!$J$2:$J$10000,0),11))</f>
        <v/>
      </c>
      <c r="J117" t="str">
        <f t="array" ref="J117">IF($A117="","",INDEX(JupData!$A$2:$K$10000,MATCH($A117&amp;J$1,JupData!$A$2:$A$10000&amp;JupData!$J$2:$J$10000,0),11))</f>
        <v/>
      </c>
      <c r="K117" t="str">
        <f t="array" ref="K117">IF($A117="","",INDEX(JupData!$A$2:$K$10000,MATCH($A117&amp;K$1,JupData!$A$2:$A$10000&amp;JupData!$J$2:$J$10000,0),11))</f>
        <v/>
      </c>
      <c r="L117" t="str">
        <f t="array" ref="L117">IF($A117="","",INDEX(JupData!$A$2:$K$10000,MATCH($A117&amp;L$1,JupData!$A$2:$A$10000&amp;JupData!$J$2:$J$10000,0),11))</f>
        <v/>
      </c>
      <c r="M117" t="str">
        <f t="array" ref="M117">IF($A117="","",INDEX(JupData!$A$2:$K$10000,MATCH($A117&amp;M$1,JupData!$A$2:$A$10000&amp;JupData!$J$2:$J$10000,0),11))</f>
        <v/>
      </c>
      <c r="N117" t="str">
        <f t="array" ref="N117">IF($A117="","",INDEX(JupData!$A$2:$K$10000,MATCH($A117&amp;N$1,JupData!$A$2:$A$10000&amp;JupData!$J$2:$J$10000,0),11))</f>
        <v/>
      </c>
      <c r="O117" t="str">
        <f t="array" ref="O117">IF($A117="","",INDEX(JupData!$A$2:$K$10000,MATCH($A117&amp;O$1,JupData!$A$2:$A$10000&amp;JupData!$J$2:$J$10000,0),11))</f>
        <v/>
      </c>
      <c r="P117" t="str">
        <f t="array" ref="P117">IF($A117="","",INDEX(JupData!$A$2:$K$10000,MATCH($A117&amp;P$1,JupData!$A$2:$A$10000&amp;JupData!$J$2:$J$10000,0),11))</f>
        <v/>
      </c>
      <c r="Q117" t="str">
        <f t="array" ref="Q117">IF($A117="","",INDEX(JupData!$A$2:$K$10000,MATCH($A117&amp;Q$1,JupData!$A$2:$A$10000&amp;JupData!$J$2:$J$10000,0),11))</f>
        <v/>
      </c>
      <c r="R117" t="str">
        <f t="array" ref="R117">IF($A117="","",INDEX(JupData!$A$2:$K$10000,MATCH($A117&amp;R$1,JupData!$A$2:$A$10000&amp;JupData!$J$2:$J$10000,0),11))</f>
        <v/>
      </c>
      <c r="S117" t="str">
        <f t="array" ref="S117">IF($A117="","",INDEX(JupData!$A$2:$K$10000,MATCH($A117&amp;S$1,JupData!$A$2:$A$10000&amp;JupData!$J$2:$J$10000,0),11))</f>
        <v/>
      </c>
      <c r="T117" t="str">
        <f t="array" ref="T117">IF($A117="","",INDEX(JupData!$A$2:$K$10000,MATCH($A117&amp;T$1,JupData!$A$2:$A$10000&amp;JupData!$J$2:$J$10000,0),11))</f>
        <v/>
      </c>
      <c r="U117" t="str">
        <f t="array" ref="U117">IF($A117="","",INDEX(JupData!$A$2:$K$10000,MATCH($A117&amp;U$1,JupData!$A$2:$A$10000&amp;JupData!$J$2:$J$10000,0),11))</f>
        <v/>
      </c>
      <c r="V117" t="str">
        <f t="array" ref="V117">IF($A117="","",INDEX(JupData!$A$2:$K$10000,MATCH($A117&amp;V$1,JupData!$A$2:$A$10000&amp;JupData!$J$2:$J$10000,0),11))</f>
        <v/>
      </c>
      <c r="W117" t="str">
        <f t="array" ref="W117">IF($A117="","",INDEX(JupData!$A$2:$K$10000,MATCH($A117&amp;W$1,JupData!$A$2:$A$10000&amp;JupData!$J$2:$J$10000,0),11))</f>
        <v/>
      </c>
      <c r="X117" t="str">
        <f t="array" ref="X117">IF($A117="","",INDEX(JupData!$A$2:$K$10000,MATCH($A117&amp;X$1,JupData!$A$2:$A$10000&amp;JupData!$J$2:$J$10000,0),11))</f>
        <v/>
      </c>
      <c r="Y117" t="str">
        <f t="array" ref="Y117">IF($A117="","",INDEX(JupData!$A$2:$K$10000,MATCH($A117&amp;Y$1,JupData!$A$2:$A$10000&amp;JupData!$J$2:$J$10000,0),11))</f>
        <v/>
      </c>
      <c r="Z117" t="str">
        <f t="array" ref="Z117">IF($A117="","",INDEX(JupData!$A$2:$K$10000,MATCH($A117&amp;Z$1,JupData!$A$2:$A$10000&amp;JupData!$J$2:$J$10000,0),11))</f>
        <v/>
      </c>
      <c r="AA117" t="str">
        <f t="array" ref="AA117">IF($A117="","",INDEX(JupData!$A$2:$K$10000,MATCH($A117&amp;AA$1,JupData!$A$2:$A$10000&amp;JupData!$J$2:$J$10000,0),11))</f>
        <v/>
      </c>
      <c r="AB117" t="str">
        <f t="array" ref="AB117">IF($A117="","",INDEX(JupData!$A$2:$K$10000,MATCH($A117&amp;AB$1,JupData!$A$2:$A$10000&amp;JupData!$J$2:$J$10000,0),11))</f>
        <v/>
      </c>
      <c r="AC117" s="10" t="str">
        <f t="shared" si="11"/>
        <v/>
      </c>
      <c r="AD117" s="10" t="str">
        <f t="shared" si="12"/>
        <v/>
      </c>
      <c r="AE117" s="9" t="str">
        <f t="shared" si="13"/>
        <v/>
      </c>
      <c r="AF117" s="10" t="str">
        <f t="shared" si="14"/>
        <v/>
      </c>
      <c r="AG117" s="10" t="str">
        <f t="shared" si="15"/>
        <v/>
      </c>
      <c r="AH117" s="10" t="str">
        <f t="shared" si="16"/>
        <v/>
      </c>
      <c r="AI117" s="10" t="str">
        <f t="shared" si="17"/>
        <v/>
      </c>
      <c r="AJ117" s="10" t="str">
        <f t="shared" si="18"/>
        <v/>
      </c>
      <c r="AK117" s="10" t="str">
        <f t="shared" si="19"/>
        <v/>
      </c>
      <c r="AL117" s="14" t="str">
        <f t="shared" si="20"/>
        <v/>
      </c>
    </row>
    <row r="118" spans="1:38" x14ac:dyDescent="0.2">
      <c r="A118"/>
      <c r="B118" t="str">
        <f>IF($A118="","",VLOOKUP($A118,JupData!$A$2:$I$10000,4,FALSE))</f>
        <v/>
      </c>
      <c r="C118" s="7" t="str">
        <f>IF($A118="",IF(N(D118),0,""),VLOOKUP($A118,JupData!$A$2:$I$10000,7,FALSE))</f>
        <v/>
      </c>
      <c r="D118" t="str">
        <f t="shared" si="21"/>
        <v/>
      </c>
      <c r="E118" t="str">
        <f t="array" ref="E118">IF($A118="","",INDEX(JupData!$A$2:$K$10000,MATCH($A118&amp;E$1,JupData!$A$2:$A$10000&amp;JupData!$J$2:$J$10000,0),11))</f>
        <v/>
      </c>
      <c r="F118" t="str">
        <f t="array" ref="F118">IF($A118="","",INDEX(JupData!$A$2:$K$10000,MATCH($A118&amp;F$1,JupData!$A$2:$A$10000&amp;JupData!$J$2:$J$10000,0),11))</f>
        <v/>
      </c>
      <c r="G118" t="str">
        <f t="array" ref="G118">IF($A118="","",INDEX(JupData!$A$2:$K$10000,MATCH($A118&amp;G$1,JupData!$A$2:$A$10000&amp;JupData!$J$2:$J$10000,0),11))</f>
        <v/>
      </c>
      <c r="H118" t="str">
        <f t="array" ref="H118">IF($A118="","",INDEX(JupData!$A$2:$K$10000,MATCH($A118&amp;H$1,JupData!$A$2:$A$10000&amp;JupData!$J$2:$J$10000,0),11))</f>
        <v/>
      </c>
      <c r="I118" t="str">
        <f t="array" ref="I118">IF($A118="","",INDEX(JupData!$A$2:$K$10000,MATCH($A118&amp;I$1,JupData!$A$2:$A$10000&amp;JupData!$J$2:$J$10000,0),11))</f>
        <v/>
      </c>
      <c r="J118" t="str">
        <f t="array" ref="J118">IF($A118="","",INDEX(JupData!$A$2:$K$10000,MATCH($A118&amp;J$1,JupData!$A$2:$A$10000&amp;JupData!$J$2:$J$10000,0),11))</f>
        <v/>
      </c>
      <c r="K118" t="str">
        <f t="array" ref="K118">IF($A118="","",INDEX(JupData!$A$2:$K$10000,MATCH($A118&amp;K$1,JupData!$A$2:$A$10000&amp;JupData!$J$2:$J$10000,0),11))</f>
        <v/>
      </c>
      <c r="L118" t="str">
        <f t="array" ref="L118">IF($A118="","",INDEX(JupData!$A$2:$K$10000,MATCH($A118&amp;L$1,JupData!$A$2:$A$10000&amp;JupData!$J$2:$J$10000,0),11))</f>
        <v/>
      </c>
      <c r="M118" t="str">
        <f t="array" ref="M118">IF($A118="","",INDEX(JupData!$A$2:$K$10000,MATCH($A118&amp;M$1,JupData!$A$2:$A$10000&amp;JupData!$J$2:$J$10000,0),11))</f>
        <v/>
      </c>
      <c r="N118" t="str">
        <f t="array" ref="N118">IF($A118="","",INDEX(JupData!$A$2:$K$10000,MATCH($A118&amp;N$1,JupData!$A$2:$A$10000&amp;JupData!$J$2:$J$10000,0),11))</f>
        <v/>
      </c>
      <c r="O118" t="str">
        <f t="array" ref="O118">IF($A118="","",INDEX(JupData!$A$2:$K$10000,MATCH($A118&amp;O$1,JupData!$A$2:$A$10000&amp;JupData!$J$2:$J$10000,0),11))</f>
        <v/>
      </c>
      <c r="P118" t="str">
        <f t="array" ref="P118">IF($A118="","",INDEX(JupData!$A$2:$K$10000,MATCH($A118&amp;P$1,JupData!$A$2:$A$10000&amp;JupData!$J$2:$J$10000,0),11))</f>
        <v/>
      </c>
      <c r="Q118" t="str">
        <f t="array" ref="Q118">IF($A118="","",INDEX(JupData!$A$2:$K$10000,MATCH($A118&amp;Q$1,JupData!$A$2:$A$10000&amp;JupData!$J$2:$J$10000,0),11))</f>
        <v/>
      </c>
      <c r="R118" t="str">
        <f t="array" ref="R118">IF($A118="","",INDEX(JupData!$A$2:$K$10000,MATCH($A118&amp;R$1,JupData!$A$2:$A$10000&amp;JupData!$J$2:$J$10000,0),11))</f>
        <v/>
      </c>
      <c r="S118" t="str">
        <f t="array" ref="S118">IF($A118="","",INDEX(JupData!$A$2:$K$10000,MATCH($A118&amp;S$1,JupData!$A$2:$A$10000&amp;JupData!$J$2:$J$10000,0),11))</f>
        <v/>
      </c>
      <c r="T118" t="str">
        <f t="array" ref="T118">IF($A118="","",INDEX(JupData!$A$2:$K$10000,MATCH($A118&amp;T$1,JupData!$A$2:$A$10000&amp;JupData!$J$2:$J$10000,0),11))</f>
        <v/>
      </c>
      <c r="U118" t="str">
        <f t="array" ref="U118">IF($A118="","",INDEX(JupData!$A$2:$K$10000,MATCH($A118&amp;U$1,JupData!$A$2:$A$10000&amp;JupData!$J$2:$J$10000,0),11))</f>
        <v/>
      </c>
      <c r="V118" t="str">
        <f t="array" ref="V118">IF($A118="","",INDEX(JupData!$A$2:$K$10000,MATCH($A118&amp;V$1,JupData!$A$2:$A$10000&amp;JupData!$J$2:$J$10000,0),11))</f>
        <v/>
      </c>
      <c r="W118" t="str">
        <f t="array" ref="W118">IF($A118="","",INDEX(JupData!$A$2:$K$10000,MATCH($A118&amp;W$1,JupData!$A$2:$A$10000&amp;JupData!$J$2:$J$10000,0),11))</f>
        <v/>
      </c>
      <c r="X118" t="str">
        <f t="array" ref="X118">IF($A118="","",INDEX(JupData!$A$2:$K$10000,MATCH($A118&amp;X$1,JupData!$A$2:$A$10000&amp;JupData!$J$2:$J$10000,0),11))</f>
        <v/>
      </c>
      <c r="Y118" t="str">
        <f t="array" ref="Y118">IF($A118="","",INDEX(JupData!$A$2:$K$10000,MATCH($A118&amp;Y$1,JupData!$A$2:$A$10000&amp;JupData!$J$2:$J$10000,0),11))</f>
        <v/>
      </c>
      <c r="Z118" t="str">
        <f t="array" ref="Z118">IF($A118="","",INDEX(JupData!$A$2:$K$10000,MATCH($A118&amp;Z$1,JupData!$A$2:$A$10000&amp;JupData!$J$2:$J$10000,0),11))</f>
        <v/>
      </c>
      <c r="AA118" t="str">
        <f t="array" ref="AA118">IF($A118="","",INDEX(JupData!$A$2:$K$10000,MATCH($A118&amp;AA$1,JupData!$A$2:$A$10000&amp;JupData!$J$2:$J$10000,0),11))</f>
        <v/>
      </c>
      <c r="AB118" t="str">
        <f t="array" ref="AB118">IF($A118="","",INDEX(JupData!$A$2:$K$10000,MATCH($A118&amp;AB$1,JupData!$A$2:$A$10000&amp;JupData!$J$2:$J$10000,0),11))</f>
        <v/>
      </c>
      <c r="AC118" s="10" t="str">
        <f t="shared" si="11"/>
        <v/>
      </c>
      <c r="AD118" s="10" t="str">
        <f t="shared" si="12"/>
        <v/>
      </c>
      <c r="AE118" s="9" t="str">
        <f t="shared" si="13"/>
        <v/>
      </c>
      <c r="AF118" s="10" t="str">
        <f t="shared" si="14"/>
        <v/>
      </c>
      <c r="AG118" s="10" t="str">
        <f t="shared" si="15"/>
        <v/>
      </c>
      <c r="AH118" s="10" t="str">
        <f t="shared" si="16"/>
        <v/>
      </c>
      <c r="AI118" s="10" t="str">
        <f t="shared" si="17"/>
        <v/>
      </c>
      <c r="AJ118" s="10" t="str">
        <f t="shared" si="18"/>
        <v/>
      </c>
      <c r="AK118" s="10" t="str">
        <f t="shared" si="19"/>
        <v/>
      </c>
      <c r="AL118" s="14" t="str">
        <f t="shared" si="20"/>
        <v/>
      </c>
    </row>
    <row r="119" spans="1:38" x14ac:dyDescent="0.2">
      <c r="A119"/>
      <c r="B119" t="str">
        <f>IF($A119="","",VLOOKUP($A119,JupData!$A$2:$I$10000,4,FALSE))</f>
        <v/>
      </c>
      <c r="C119" s="7" t="str">
        <f>IF($A119="",IF(N(D119),0,""),VLOOKUP($A119,JupData!$A$2:$I$10000,7,FALSE))</f>
        <v/>
      </c>
      <c r="D119" t="str">
        <f t="shared" si="21"/>
        <v/>
      </c>
      <c r="E119" t="str">
        <f t="array" ref="E119">IF($A119="","",INDEX(JupData!$A$2:$K$10000,MATCH($A119&amp;E$1,JupData!$A$2:$A$10000&amp;JupData!$J$2:$J$10000,0),11))</f>
        <v/>
      </c>
      <c r="F119" t="str">
        <f t="array" ref="F119">IF($A119="","",INDEX(JupData!$A$2:$K$10000,MATCH($A119&amp;F$1,JupData!$A$2:$A$10000&amp;JupData!$J$2:$J$10000,0),11))</f>
        <v/>
      </c>
      <c r="G119" t="str">
        <f t="array" ref="G119">IF($A119="","",INDEX(JupData!$A$2:$K$10000,MATCH($A119&amp;G$1,JupData!$A$2:$A$10000&amp;JupData!$J$2:$J$10000,0),11))</f>
        <v/>
      </c>
      <c r="H119" t="str">
        <f t="array" ref="H119">IF($A119="","",INDEX(JupData!$A$2:$K$10000,MATCH($A119&amp;H$1,JupData!$A$2:$A$10000&amp;JupData!$J$2:$J$10000,0),11))</f>
        <v/>
      </c>
      <c r="I119" t="str">
        <f t="array" ref="I119">IF($A119="","",INDEX(JupData!$A$2:$K$10000,MATCH($A119&amp;I$1,JupData!$A$2:$A$10000&amp;JupData!$J$2:$J$10000,0),11))</f>
        <v/>
      </c>
      <c r="J119" t="str">
        <f t="array" ref="J119">IF($A119="","",INDEX(JupData!$A$2:$K$10000,MATCH($A119&amp;J$1,JupData!$A$2:$A$10000&amp;JupData!$J$2:$J$10000,0),11))</f>
        <v/>
      </c>
      <c r="K119" t="str">
        <f t="array" ref="K119">IF($A119="","",INDEX(JupData!$A$2:$K$10000,MATCH($A119&amp;K$1,JupData!$A$2:$A$10000&amp;JupData!$J$2:$J$10000,0),11))</f>
        <v/>
      </c>
      <c r="L119" t="str">
        <f t="array" ref="L119">IF($A119="","",INDEX(JupData!$A$2:$K$10000,MATCH($A119&amp;L$1,JupData!$A$2:$A$10000&amp;JupData!$J$2:$J$10000,0),11))</f>
        <v/>
      </c>
      <c r="M119" t="str">
        <f t="array" ref="M119">IF($A119="","",INDEX(JupData!$A$2:$K$10000,MATCH($A119&amp;M$1,JupData!$A$2:$A$10000&amp;JupData!$J$2:$J$10000,0),11))</f>
        <v/>
      </c>
      <c r="N119" t="str">
        <f t="array" ref="N119">IF($A119="","",INDEX(JupData!$A$2:$K$10000,MATCH($A119&amp;N$1,JupData!$A$2:$A$10000&amp;JupData!$J$2:$J$10000,0),11))</f>
        <v/>
      </c>
      <c r="O119" t="str">
        <f t="array" ref="O119">IF($A119="","",INDEX(JupData!$A$2:$K$10000,MATCH($A119&amp;O$1,JupData!$A$2:$A$10000&amp;JupData!$J$2:$J$10000,0),11))</f>
        <v/>
      </c>
      <c r="P119" t="str">
        <f t="array" ref="P119">IF($A119="","",INDEX(JupData!$A$2:$K$10000,MATCH($A119&amp;P$1,JupData!$A$2:$A$10000&amp;JupData!$J$2:$J$10000,0),11))</f>
        <v/>
      </c>
      <c r="Q119" t="str">
        <f t="array" ref="Q119">IF($A119="","",INDEX(JupData!$A$2:$K$10000,MATCH($A119&amp;Q$1,JupData!$A$2:$A$10000&amp;JupData!$J$2:$J$10000,0),11))</f>
        <v/>
      </c>
      <c r="R119" t="str">
        <f t="array" ref="R119">IF($A119="","",INDEX(JupData!$A$2:$K$10000,MATCH($A119&amp;R$1,JupData!$A$2:$A$10000&amp;JupData!$J$2:$J$10000,0),11))</f>
        <v/>
      </c>
      <c r="S119" t="str">
        <f t="array" ref="S119">IF($A119="","",INDEX(JupData!$A$2:$K$10000,MATCH($A119&amp;S$1,JupData!$A$2:$A$10000&amp;JupData!$J$2:$J$10000,0),11))</f>
        <v/>
      </c>
      <c r="T119" t="str">
        <f t="array" ref="T119">IF($A119="","",INDEX(JupData!$A$2:$K$10000,MATCH($A119&amp;T$1,JupData!$A$2:$A$10000&amp;JupData!$J$2:$J$10000,0),11))</f>
        <v/>
      </c>
      <c r="U119" t="str">
        <f t="array" ref="U119">IF($A119="","",INDEX(JupData!$A$2:$K$10000,MATCH($A119&amp;U$1,JupData!$A$2:$A$10000&amp;JupData!$J$2:$J$10000,0),11))</f>
        <v/>
      </c>
      <c r="V119" t="str">
        <f t="array" ref="V119">IF($A119="","",INDEX(JupData!$A$2:$K$10000,MATCH($A119&amp;V$1,JupData!$A$2:$A$10000&amp;JupData!$J$2:$J$10000,0),11))</f>
        <v/>
      </c>
      <c r="W119" t="str">
        <f t="array" ref="W119">IF($A119="","",INDEX(JupData!$A$2:$K$10000,MATCH($A119&amp;W$1,JupData!$A$2:$A$10000&amp;JupData!$J$2:$J$10000,0),11))</f>
        <v/>
      </c>
      <c r="X119" t="str">
        <f t="array" ref="X119">IF($A119="","",INDEX(JupData!$A$2:$K$10000,MATCH($A119&amp;X$1,JupData!$A$2:$A$10000&amp;JupData!$J$2:$J$10000,0),11))</f>
        <v/>
      </c>
      <c r="Y119" t="str">
        <f t="array" ref="Y119">IF($A119="","",INDEX(JupData!$A$2:$K$10000,MATCH($A119&amp;Y$1,JupData!$A$2:$A$10000&amp;JupData!$J$2:$J$10000,0),11))</f>
        <v/>
      </c>
      <c r="Z119" t="str">
        <f t="array" ref="Z119">IF($A119="","",INDEX(JupData!$A$2:$K$10000,MATCH($A119&amp;Z$1,JupData!$A$2:$A$10000&amp;JupData!$J$2:$J$10000,0),11))</f>
        <v/>
      </c>
      <c r="AA119" t="str">
        <f t="array" ref="AA119">IF($A119="","",INDEX(JupData!$A$2:$K$10000,MATCH($A119&amp;AA$1,JupData!$A$2:$A$10000&amp;JupData!$J$2:$J$10000,0),11))</f>
        <v/>
      </c>
      <c r="AB119" t="str">
        <f t="array" ref="AB119">IF($A119="","",INDEX(JupData!$A$2:$K$10000,MATCH($A119&amp;AB$1,JupData!$A$2:$A$10000&amp;JupData!$J$2:$J$10000,0),11))</f>
        <v/>
      </c>
      <c r="AC119" s="10" t="str">
        <f t="shared" si="11"/>
        <v/>
      </c>
      <c r="AD119" s="10" t="str">
        <f t="shared" si="12"/>
        <v/>
      </c>
      <c r="AE119" s="9" t="str">
        <f t="shared" si="13"/>
        <v/>
      </c>
      <c r="AF119" s="10" t="str">
        <f t="shared" si="14"/>
        <v/>
      </c>
      <c r="AG119" s="10" t="str">
        <f t="shared" si="15"/>
        <v/>
      </c>
      <c r="AH119" s="10" t="str">
        <f t="shared" si="16"/>
        <v/>
      </c>
      <c r="AI119" s="10" t="str">
        <f t="shared" si="17"/>
        <v/>
      </c>
      <c r="AJ119" s="10" t="str">
        <f t="shared" si="18"/>
        <v/>
      </c>
      <c r="AK119" s="10" t="str">
        <f t="shared" si="19"/>
        <v/>
      </c>
      <c r="AL119" s="14" t="str">
        <f t="shared" si="20"/>
        <v/>
      </c>
    </row>
    <row r="120" spans="1:38" x14ac:dyDescent="0.2">
      <c r="A120"/>
      <c r="B120" t="str">
        <f>IF($A120="","",VLOOKUP($A120,JupData!$A$2:$I$10000,4,FALSE))</f>
        <v/>
      </c>
      <c r="C120" s="7" t="str">
        <f>IF($A120="",IF(N(D120),0,""),VLOOKUP($A120,JupData!$A$2:$I$10000,7,FALSE))</f>
        <v/>
      </c>
      <c r="D120" t="str">
        <f t="shared" si="21"/>
        <v/>
      </c>
      <c r="E120" t="str">
        <f t="array" ref="E120">IF($A120="","",INDEX(JupData!$A$2:$K$10000,MATCH($A120&amp;E$1,JupData!$A$2:$A$10000&amp;JupData!$J$2:$J$10000,0),11))</f>
        <v/>
      </c>
      <c r="F120" t="str">
        <f t="array" ref="F120">IF($A120="","",INDEX(JupData!$A$2:$K$10000,MATCH($A120&amp;F$1,JupData!$A$2:$A$10000&amp;JupData!$J$2:$J$10000,0),11))</f>
        <v/>
      </c>
      <c r="G120" t="str">
        <f t="array" ref="G120">IF($A120="","",INDEX(JupData!$A$2:$K$10000,MATCH($A120&amp;G$1,JupData!$A$2:$A$10000&amp;JupData!$J$2:$J$10000,0),11))</f>
        <v/>
      </c>
      <c r="H120" t="str">
        <f t="array" ref="H120">IF($A120="","",INDEX(JupData!$A$2:$K$10000,MATCH($A120&amp;H$1,JupData!$A$2:$A$10000&amp;JupData!$J$2:$J$10000,0),11))</f>
        <v/>
      </c>
      <c r="I120" t="str">
        <f t="array" ref="I120">IF($A120="","",INDEX(JupData!$A$2:$K$10000,MATCH($A120&amp;I$1,JupData!$A$2:$A$10000&amp;JupData!$J$2:$J$10000,0),11))</f>
        <v/>
      </c>
      <c r="J120" t="str">
        <f t="array" ref="J120">IF($A120="","",INDEX(JupData!$A$2:$K$10000,MATCH($A120&amp;J$1,JupData!$A$2:$A$10000&amp;JupData!$J$2:$J$10000,0),11))</f>
        <v/>
      </c>
      <c r="K120" t="str">
        <f t="array" ref="K120">IF($A120="","",INDEX(JupData!$A$2:$K$10000,MATCH($A120&amp;K$1,JupData!$A$2:$A$10000&amp;JupData!$J$2:$J$10000,0),11))</f>
        <v/>
      </c>
      <c r="L120" t="str">
        <f t="array" ref="L120">IF($A120="","",INDEX(JupData!$A$2:$K$10000,MATCH($A120&amp;L$1,JupData!$A$2:$A$10000&amp;JupData!$J$2:$J$10000,0),11))</f>
        <v/>
      </c>
      <c r="M120" t="str">
        <f t="array" ref="M120">IF($A120="","",INDEX(JupData!$A$2:$K$10000,MATCH($A120&amp;M$1,JupData!$A$2:$A$10000&amp;JupData!$J$2:$J$10000,0),11))</f>
        <v/>
      </c>
      <c r="N120" t="str">
        <f t="array" ref="N120">IF($A120="","",INDEX(JupData!$A$2:$K$10000,MATCH($A120&amp;N$1,JupData!$A$2:$A$10000&amp;JupData!$J$2:$J$10000,0),11))</f>
        <v/>
      </c>
      <c r="O120" t="str">
        <f t="array" ref="O120">IF($A120="","",INDEX(JupData!$A$2:$K$10000,MATCH($A120&amp;O$1,JupData!$A$2:$A$10000&amp;JupData!$J$2:$J$10000,0),11))</f>
        <v/>
      </c>
      <c r="P120" t="str">
        <f t="array" ref="P120">IF($A120="","",INDEX(JupData!$A$2:$K$10000,MATCH($A120&amp;P$1,JupData!$A$2:$A$10000&amp;JupData!$J$2:$J$10000,0),11))</f>
        <v/>
      </c>
      <c r="Q120" t="str">
        <f t="array" ref="Q120">IF($A120="","",INDEX(JupData!$A$2:$K$10000,MATCH($A120&amp;Q$1,JupData!$A$2:$A$10000&amp;JupData!$J$2:$J$10000,0),11))</f>
        <v/>
      </c>
      <c r="R120" t="str">
        <f t="array" ref="R120">IF($A120="","",INDEX(JupData!$A$2:$K$10000,MATCH($A120&amp;R$1,JupData!$A$2:$A$10000&amp;JupData!$J$2:$J$10000,0),11))</f>
        <v/>
      </c>
      <c r="S120" t="str">
        <f t="array" ref="S120">IF($A120="","",INDEX(JupData!$A$2:$K$10000,MATCH($A120&amp;S$1,JupData!$A$2:$A$10000&amp;JupData!$J$2:$J$10000,0),11))</f>
        <v/>
      </c>
      <c r="T120" t="str">
        <f t="array" ref="T120">IF($A120="","",INDEX(JupData!$A$2:$K$10000,MATCH($A120&amp;T$1,JupData!$A$2:$A$10000&amp;JupData!$J$2:$J$10000,0),11))</f>
        <v/>
      </c>
      <c r="U120" t="str">
        <f t="array" ref="U120">IF($A120="","",INDEX(JupData!$A$2:$K$10000,MATCH($A120&amp;U$1,JupData!$A$2:$A$10000&amp;JupData!$J$2:$J$10000,0),11))</f>
        <v/>
      </c>
      <c r="V120" t="str">
        <f t="array" ref="V120">IF($A120="","",INDEX(JupData!$A$2:$K$10000,MATCH($A120&amp;V$1,JupData!$A$2:$A$10000&amp;JupData!$J$2:$J$10000,0),11))</f>
        <v/>
      </c>
      <c r="W120" t="str">
        <f t="array" ref="W120">IF($A120="","",INDEX(JupData!$A$2:$K$10000,MATCH($A120&amp;W$1,JupData!$A$2:$A$10000&amp;JupData!$J$2:$J$10000,0),11))</f>
        <v/>
      </c>
      <c r="X120" t="str">
        <f t="array" ref="X120">IF($A120="","",INDEX(JupData!$A$2:$K$10000,MATCH($A120&amp;X$1,JupData!$A$2:$A$10000&amp;JupData!$J$2:$J$10000,0),11))</f>
        <v/>
      </c>
      <c r="Y120" t="str">
        <f t="array" ref="Y120">IF($A120="","",INDEX(JupData!$A$2:$K$10000,MATCH($A120&amp;Y$1,JupData!$A$2:$A$10000&amp;JupData!$J$2:$J$10000,0),11))</f>
        <v/>
      </c>
      <c r="Z120" t="str">
        <f t="array" ref="Z120">IF($A120="","",INDEX(JupData!$A$2:$K$10000,MATCH($A120&amp;Z$1,JupData!$A$2:$A$10000&amp;JupData!$J$2:$J$10000,0),11))</f>
        <v/>
      </c>
      <c r="AA120" t="str">
        <f t="array" ref="AA120">IF($A120="","",INDEX(JupData!$A$2:$K$10000,MATCH($A120&amp;AA$1,JupData!$A$2:$A$10000&amp;JupData!$J$2:$J$10000,0),11))</f>
        <v/>
      </c>
      <c r="AB120" t="str">
        <f t="array" ref="AB120">IF($A120="","",INDEX(JupData!$A$2:$K$10000,MATCH($A120&amp;AB$1,JupData!$A$2:$A$10000&amp;JupData!$J$2:$J$10000,0),11))</f>
        <v/>
      </c>
      <c r="AC120" s="10" t="str">
        <f t="shared" si="11"/>
        <v/>
      </c>
      <c r="AD120" s="10" t="str">
        <f t="shared" si="12"/>
        <v/>
      </c>
      <c r="AE120" s="9" t="str">
        <f t="shared" si="13"/>
        <v/>
      </c>
      <c r="AF120" s="10" t="str">
        <f t="shared" si="14"/>
        <v/>
      </c>
      <c r="AG120" s="10" t="str">
        <f t="shared" si="15"/>
        <v/>
      </c>
      <c r="AH120" s="10" t="str">
        <f t="shared" si="16"/>
        <v/>
      </c>
      <c r="AI120" s="10" t="str">
        <f t="shared" si="17"/>
        <v/>
      </c>
      <c r="AJ120" s="10" t="str">
        <f t="shared" si="18"/>
        <v/>
      </c>
      <c r="AK120" s="10" t="str">
        <f t="shared" si="19"/>
        <v/>
      </c>
      <c r="AL120" s="14" t="str">
        <f t="shared" si="20"/>
        <v/>
      </c>
    </row>
    <row r="121" spans="1:38" x14ac:dyDescent="0.2">
      <c r="A121"/>
      <c r="B121" t="str">
        <f>IF($A121="","",VLOOKUP($A121,JupData!$A$2:$I$10000,4,FALSE))</f>
        <v/>
      </c>
      <c r="C121" s="7" t="str">
        <f>IF($A121="",IF(N(D121),0,""),VLOOKUP($A121,JupData!$A$2:$I$10000,7,FALSE))</f>
        <v/>
      </c>
      <c r="D121" t="str">
        <f t="shared" si="21"/>
        <v/>
      </c>
      <c r="E121" t="str">
        <f t="array" ref="E121">IF($A121="","",INDEX(JupData!$A$2:$K$10000,MATCH($A121&amp;E$1,JupData!$A$2:$A$10000&amp;JupData!$J$2:$J$10000,0),11))</f>
        <v/>
      </c>
      <c r="F121" t="str">
        <f t="array" ref="F121">IF($A121="","",INDEX(JupData!$A$2:$K$10000,MATCH($A121&amp;F$1,JupData!$A$2:$A$10000&amp;JupData!$J$2:$J$10000,0),11))</f>
        <v/>
      </c>
      <c r="G121" t="str">
        <f t="array" ref="G121">IF($A121="","",INDEX(JupData!$A$2:$K$10000,MATCH($A121&amp;G$1,JupData!$A$2:$A$10000&amp;JupData!$J$2:$J$10000,0),11))</f>
        <v/>
      </c>
      <c r="H121" t="str">
        <f t="array" ref="H121">IF($A121="","",INDEX(JupData!$A$2:$K$10000,MATCH($A121&amp;H$1,JupData!$A$2:$A$10000&amp;JupData!$J$2:$J$10000,0),11))</f>
        <v/>
      </c>
      <c r="I121" t="str">
        <f t="array" ref="I121">IF($A121="","",INDEX(JupData!$A$2:$K$10000,MATCH($A121&amp;I$1,JupData!$A$2:$A$10000&amp;JupData!$J$2:$J$10000,0),11))</f>
        <v/>
      </c>
      <c r="J121" t="str">
        <f t="array" ref="J121">IF($A121="","",INDEX(JupData!$A$2:$K$10000,MATCH($A121&amp;J$1,JupData!$A$2:$A$10000&amp;JupData!$J$2:$J$10000,0),11))</f>
        <v/>
      </c>
      <c r="K121" t="str">
        <f t="array" ref="K121">IF($A121="","",INDEX(JupData!$A$2:$K$10000,MATCH($A121&amp;K$1,JupData!$A$2:$A$10000&amp;JupData!$J$2:$J$10000,0),11))</f>
        <v/>
      </c>
      <c r="L121" t="str">
        <f t="array" ref="L121">IF($A121="","",INDEX(JupData!$A$2:$K$10000,MATCH($A121&amp;L$1,JupData!$A$2:$A$10000&amp;JupData!$J$2:$J$10000,0),11))</f>
        <v/>
      </c>
      <c r="M121" t="str">
        <f t="array" ref="M121">IF($A121="","",INDEX(JupData!$A$2:$K$10000,MATCH($A121&amp;M$1,JupData!$A$2:$A$10000&amp;JupData!$J$2:$J$10000,0),11))</f>
        <v/>
      </c>
      <c r="N121" t="str">
        <f t="array" ref="N121">IF($A121="","",INDEX(JupData!$A$2:$K$10000,MATCH($A121&amp;N$1,JupData!$A$2:$A$10000&amp;JupData!$J$2:$J$10000,0),11))</f>
        <v/>
      </c>
      <c r="O121" t="str">
        <f t="array" ref="O121">IF($A121="","",INDEX(JupData!$A$2:$K$10000,MATCH($A121&amp;O$1,JupData!$A$2:$A$10000&amp;JupData!$J$2:$J$10000,0),11))</f>
        <v/>
      </c>
      <c r="P121" t="str">
        <f t="array" ref="P121">IF($A121="","",INDEX(JupData!$A$2:$K$10000,MATCH($A121&amp;P$1,JupData!$A$2:$A$10000&amp;JupData!$J$2:$J$10000,0),11))</f>
        <v/>
      </c>
      <c r="Q121" t="str">
        <f t="array" ref="Q121">IF($A121="","",INDEX(JupData!$A$2:$K$10000,MATCH($A121&amp;Q$1,JupData!$A$2:$A$10000&amp;JupData!$J$2:$J$10000,0),11))</f>
        <v/>
      </c>
      <c r="R121" t="str">
        <f t="array" ref="R121">IF($A121="","",INDEX(JupData!$A$2:$K$10000,MATCH($A121&amp;R$1,JupData!$A$2:$A$10000&amp;JupData!$J$2:$J$10000,0),11))</f>
        <v/>
      </c>
      <c r="S121" t="str">
        <f t="array" ref="S121">IF($A121="","",INDEX(JupData!$A$2:$K$10000,MATCH($A121&amp;S$1,JupData!$A$2:$A$10000&amp;JupData!$J$2:$J$10000,0),11))</f>
        <v/>
      </c>
      <c r="T121" t="str">
        <f t="array" ref="T121">IF($A121="","",INDEX(JupData!$A$2:$K$10000,MATCH($A121&amp;T$1,JupData!$A$2:$A$10000&amp;JupData!$J$2:$J$10000,0),11))</f>
        <v/>
      </c>
      <c r="U121" t="str">
        <f t="array" ref="U121">IF($A121="","",INDEX(JupData!$A$2:$K$10000,MATCH($A121&amp;U$1,JupData!$A$2:$A$10000&amp;JupData!$J$2:$J$10000,0),11))</f>
        <v/>
      </c>
      <c r="V121" t="str">
        <f t="array" ref="V121">IF($A121="","",INDEX(JupData!$A$2:$K$10000,MATCH($A121&amp;V$1,JupData!$A$2:$A$10000&amp;JupData!$J$2:$J$10000,0),11))</f>
        <v/>
      </c>
      <c r="W121" t="str">
        <f t="array" ref="W121">IF($A121="","",INDEX(JupData!$A$2:$K$10000,MATCH($A121&amp;W$1,JupData!$A$2:$A$10000&amp;JupData!$J$2:$J$10000,0),11))</f>
        <v/>
      </c>
      <c r="X121" t="str">
        <f t="array" ref="X121">IF($A121="","",INDEX(JupData!$A$2:$K$10000,MATCH($A121&amp;X$1,JupData!$A$2:$A$10000&amp;JupData!$J$2:$J$10000,0),11))</f>
        <v/>
      </c>
      <c r="Y121" t="str">
        <f t="array" ref="Y121">IF($A121="","",INDEX(JupData!$A$2:$K$10000,MATCH($A121&amp;Y$1,JupData!$A$2:$A$10000&amp;JupData!$J$2:$J$10000,0),11))</f>
        <v/>
      </c>
      <c r="Z121" t="str">
        <f t="array" ref="Z121">IF($A121="","",INDEX(JupData!$A$2:$K$10000,MATCH($A121&amp;Z$1,JupData!$A$2:$A$10000&amp;JupData!$J$2:$J$10000,0),11))</f>
        <v/>
      </c>
      <c r="AA121" t="str">
        <f t="array" ref="AA121">IF($A121="","",INDEX(JupData!$A$2:$K$10000,MATCH($A121&amp;AA$1,JupData!$A$2:$A$10000&amp;JupData!$J$2:$J$10000,0),11))</f>
        <v/>
      </c>
      <c r="AB121" t="str">
        <f t="array" ref="AB121">IF($A121="","",INDEX(JupData!$A$2:$K$10000,MATCH($A121&amp;AB$1,JupData!$A$2:$A$10000&amp;JupData!$J$2:$J$10000,0),11))</f>
        <v/>
      </c>
      <c r="AC121" s="10" t="str">
        <f t="shared" si="11"/>
        <v/>
      </c>
      <c r="AD121" s="10" t="str">
        <f t="shared" si="12"/>
        <v/>
      </c>
      <c r="AE121" s="9" t="str">
        <f t="shared" si="13"/>
        <v/>
      </c>
      <c r="AF121" s="10" t="str">
        <f t="shared" si="14"/>
        <v/>
      </c>
      <c r="AG121" s="10" t="str">
        <f t="shared" si="15"/>
        <v/>
      </c>
      <c r="AH121" s="10" t="str">
        <f t="shared" si="16"/>
        <v/>
      </c>
      <c r="AI121" s="10" t="str">
        <f t="shared" si="17"/>
        <v/>
      </c>
      <c r="AJ121" s="10" t="str">
        <f t="shared" si="18"/>
        <v/>
      </c>
      <c r="AK121" s="10" t="str">
        <f t="shared" si="19"/>
        <v/>
      </c>
      <c r="AL121" s="14" t="str">
        <f t="shared" si="20"/>
        <v/>
      </c>
    </row>
    <row r="122" spans="1:38" x14ac:dyDescent="0.2">
      <c r="A122"/>
      <c r="B122" t="str">
        <f>IF($A122="","",VLOOKUP($A122,JupData!$A$2:$I$10000,4,FALSE))</f>
        <v/>
      </c>
      <c r="C122" s="7" t="str">
        <f>IF($A122="",IF(N(D122),0,""),VLOOKUP($A122,JupData!$A$2:$I$10000,7,FALSE))</f>
        <v/>
      </c>
      <c r="D122" t="str">
        <f t="shared" si="21"/>
        <v/>
      </c>
      <c r="E122" t="str">
        <f t="array" ref="E122">IF($A122="","",INDEX(JupData!$A$2:$K$10000,MATCH($A122&amp;E$1,JupData!$A$2:$A$10000&amp;JupData!$J$2:$J$10000,0),11))</f>
        <v/>
      </c>
      <c r="F122" t="str">
        <f t="array" ref="F122">IF($A122="","",INDEX(JupData!$A$2:$K$10000,MATCH($A122&amp;F$1,JupData!$A$2:$A$10000&amp;JupData!$J$2:$J$10000,0),11))</f>
        <v/>
      </c>
      <c r="G122" t="str">
        <f t="array" ref="G122">IF($A122="","",INDEX(JupData!$A$2:$K$10000,MATCH($A122&amp;G$1,JupData!$A$2:$A$10000&amp;JupData!$J$2:$J$10000,0),11))</f>
        <v/>
      </c>
      <c r="H122" t="str">
        <f t="array" ref="H122">IF($A122="","",INDEX(JupData!$A$2:$K$10000,MATCH($A122&amp;H$1,JupData!$A$2:$A$10000&amp;JupData!$J$2:$J$10000,0),11))</f>
        <v/>
      </c>
      <c r="I122" t="str">
        <f t="array" ref="I122">IF($A122="","",INDEX(JupData!$A$2:$K$10000,MATCH($A122&amp;I$1,JupData!$A$2:$A$10000&amp;JupData!$J$2:$J$10000,0),11))</f>
        <v/>
      </c>
      <c r="J122" t="str">
        <f t="array" ref="J122">IF($A122="","",INDEX(JupData!$A$2:$K$10000,MATCH($A122&amp;J$1,JupData!$A$2:$A$10000&amp;JupData!$J$2:$J$10000,0),11))</f>
        <v/>
      </c>
      <c r="K122" t="str">
        <f t="array" ref="K122">IF($A122="","",INDEX(JupData!$A$2:$K$10000,MATCH($A122&amp;K$1,JupData!$A$2:$A$10000&amp;JupData!$J$2:$J$10000,0),11))</f>
        <v/>
      </c>
      <c r="L122" t="str">
        <f t="array" ref="L122">IF($A122="","",INDEX(JupData!$A$2:$K$10000,MATCH($A122&amp;L$1,JupData!$A$2:$A$10000&amp;JupData!$J$2:$J$10000,0),11))</f>
        <v/>
      </c>
      <c r="M122" t="str">
        <f t="array" ref="M122">IF($A122="","",INDEX(JupData!$A$2:$K$10000,MATCH($A122&amp;M$1,JupData!$A$2:$A$10000&amp;JupData!$J$2:$J$10000,0),11))</f>
        <v/>
      </c>
      <c r="N122" t="str">
        <f t="array" ref="N122">IF($A122="","",INDEX(JupData!$A$2:$K$10000,MATCH($A122&amp;N$1,JupData!$A$2:$A$10000&amp;JupData!$J$2:$J$10000,0),11))</f>
        <v/>
      </c>
      <c r="O122" t="str">
        <f t="array" ref="O122">IF($A122="","",INDEX(JupData!$A$2:$K$10000,MATCH($A122&amp;O$1,JupData!$A$2:$A$10000&amp;JupData!$J$2:$J$10000,0),11))</f>
        <v/>
      </c>
      <c r="P122" t="str">
        <f t="array" ref="P122">IF($A122="","",INDEX(JupData!$A$2:$K$10000,MATCH($A122&amp;P$1,JupData!$A$2:$A$10000&amp;JupData!$J$2:$J$10000,0),11))</f>
        <v/>
      </c>
      <c r="Q122" t="str">
        <f t="array" ref="Q122">IF($A122="","",INDEX(JupData!$A$2:$K$10000,MATCH($A122&amp;Q$1,JupData!$A$2:$A$10000&amp;JupData!$J$2:$J$10000,0),11))</f>
        <v/>
      </c>
      <c r="R122" t="str">
        <f t="array" ref="R122">IF($A122="","",INDEX(JupData!$A$2:$K$10000,MATCH($A122&amp;R$1,JupData!$A$2:$A$10000&amp;JupData!$J$2:$J$10000,0),11))</f>
        <v/>
      </c>
      <c r="S122" t="str">
        <f t="array" ref="S122">IF($A122="","",INDEX(JupData!$A$2:$K$10000,MATCH($A122&amp;S$1,JupData!$A$2:$A$10000&amp;JupData!$J$2:$J$10000,0),11))</f>
        <v/>
      </c>
      <c r="T122" t="str">
        <f t="array" ref="T122">IF($A122="","",INDEX(JupData!$A$2:$K$10000,MATCH($A122&amp;T$1,JupData!$A$2:$A$10000&amp;JupData!$J$2:$J$10000,0),11))</f>
        <v/>
      </c>
      <c r="U122" t="str">
        <f t="array" ref="U122">IF($A122="","",INDEX(JupData!$A$2:$K$10000,MATCH($A122&amp;U$1,JupData!$A$2:$A$10000&amp;JupData!$J$2:$J$10000,0),11))</f>
        <v/>
      </c>
      <c r="V122" t="str">
        <f t="array" ref="V122">IF($A122="","",INDEX(JupData!$A$2:$K$10000,MATCH($A122&amp;V$1,JupData!$A$2:$A$10000&amp;JupData!$J$2:$J$10000,0),11))</f>
        <v/>
      </c>
      <c r="W122" t="str">
        <f t="array" ref="W122">IF($A122="","",INDEX(JupData!$A$2:$K$10000,MATCH($A122&amp;W$1,JupData!$A$2:$A$10000&amp;JupData!$J$2:$J$10000,0),11))</f>
        <v/>
      </c>
      <c r="X122" t="str">
        <f t="array" ref="X122">IF($A122="","",INDEX(JupData!$A$2:$K$10000,MATCH($A122&amp;X$1,JupData!$A$2:$A$10000&amp;JupData!$J$2:$J$10000,0),11))</f>
        <v/>
      </c>
      <c r="Y122" t="str">
        <f t="array" ref="Y122">IF($A122="","",INDEX(JupData!$A$2:$K$10000,MATCH($A122&amp;Y$1,JupData!$A$2:$A$10000&amp;JupData!$J$2:$J$10000,0),11))</f>
        <v/>
      </c>
      <c r="Z122" t="str">
        <f t="array" ref="Z122">IF($A122="","",INDEX(JupData!$A$2:$K$10000,MATCH($A122&amp;Z$1,JupData!$A$2:$A$10000&amp;JupData!$J$2:$J$10000,0),11))</f>
        <v/>
      </c>
      <c r="AA122" t="str">
        <f t="array" ref="AA122">IF($A122="","",INDEX(JupData!$A$2:$K$10000,MATCH($A122&amp;AA$1,JupData!$A$2:$A$10000&amp;JupData!$J$2:$J$10000,0),11))</f>
        <v/>
      </c>
      <c r="AB122" t="str">
        <f t="array" ref="AB122">IF($A122="","",INDEX(JupData!$A$2:$K$10000,MATCH($A122&amp;AB$1,JupData!$A$2:$A$10000&amp;JupData!$J$2:$J$10000,0),11))</f>
        <v/>
      </c>
      <c r="AC122" s="10" t="str">
        <f t="shared" si="11"/>
        <v/>
      </c>
      <c r="AD122" s="10" t="str">
        <f t="shared" si="12"/>
        <v/>
      </c>
      <c r="AE122" s="9" t="str">
        <f t="shared" si="13"/>
        <v/>
      </c>
      <c r="AF122" s="10" t="str">
        <f t="shared" si="14"/>
        <v/>
      </c>
      <c r="AG122" s="10" t="str">
        <f t="shared" si="15"/>
        <v/>
      </c>
      <c r="AH122" s="10" t="str">
        <f t="shared" si="16"/>
        <v/>
      </c>
      <c r="AI122" s="10" t="str">
        <f t="shared" si="17"/>
        <v/>
      </c>
      <c r="AJ122" s="10" t="str">
        <f t="shared" si="18"/>
        <v/>
      </c>
      <c r="AK122" s="10" t="str">
        <f t="shared" si="19"/>
        <v/>
      </c>
      <c r="AL122" s="14" t="str">
        <f t="shared" si="20"/>
        <v/>
      </c>
    </row>
    <row r="123" spans="1:38" x14ac:dyDescent="0.2">
      <c r="A123"/>
      <c r="B123" t="str">
        <f>IF($A123="","",VLOOKUP($A123,JupData!$A$2:$I$10000,4,FALSE))</f>
        <v/>
      </c>
      <c r="C123" s="7" t="str">
        <f>IF($A123="",IF(N(D123),0,""),VLOOKUP($A123,JupData!$A$2:$I$10000,7,FALSE))</f>
        <v/>
      </c>
      <c r="D123" t="str">
        <f t="shared" si="21"/>
        <v/>
      </c>
      <c r="E123" t="str">
        <f t="array" ref="E123">IF($A123="","",INDEX(JupData!$A$2:$K$10000,MATCH($A123&amp;E$1,JupData!$A$2:$A$10000&amp;JupData!$J$2:$J$10000,0),11))</f>
        <v/>
      </c>
      <c r="F123" t="str">
        <f t="array" ref="F123">IF($A123="","",INDEX(JupData!$A$2:$K$10000,MATCH($A123&amp;F$1,JupData!$A$2:$A$10000&amp;JupData!$J$2:$J$10000,0),11))</f>
        <v/>
      </c>
      <c r="G123" t="str">
        <f t="array" ref="G123">IF($A123="","",INDEX(JupData!$A$2:$K$10000,MATCH($A123&amp;G$1,JupData!$A$2:$A$10000&amp;JupData!$J$2:$J$10000,0),11))</f>
        <v/>
      </c>
      <c r="H123" t="str">
        <f t="array" ref="H123">IF($A123="","",INDEX(JupData!$A$2:$K$10000,MATCH($A123&amp;H$1,JupData!$A$2:$A$10000&amp;JupData!$J$2:$J$10000,0),11))</f>
        <v/>
      </c>
      <c r="I123" t="str">
        <f t="array" ref="I123">IF($A123="","",INDEX(JupData!$A$2:$K$10000,MATCH($A123&amp;I$1,JupData!$A$2:$A$10000&amp;JupData!$J$2:$J$10000,0),11))</f>
        <v/>
      </c>
      <c r="J123" t="str">
        <f t="array" ref="J123">IF($A123="","",INDEX(JupData!$A$2:$K$10000,MATCH($A123&amp;J$1,JupData!$A$2:$A$10000&amp;JupData!$J$2:$J$10000,0),11))</f>
        <v/>
      </c>
      <c r="K123" t="str">
        <f t="array" ref="K123">IF($A123="","",INDEX(JupData!$A$2:$K$10000,MATCH($A123&amp;K$1,JupData!$A$2:$A$10000&amp;JupData!$J$2:$J$10000,0),11))</f>
        <v/>
      </c>
      <c r="L123" t="str">
        <f t="array" ref="L123">IF($A123="","",INDEX(JupData!$A$2:$K$10000,MATCH($A123&amp;L$1,JupData!$A$2:$A$10000&amp;JupData!$J$2:$J$10000,0),11))</f>
        <v/>
      </c>
      <c r="M123" t="str">
        <f t="array" ref="M123">IF($A123="","",INDEX(JupData!$A$2:$K$10000,MATCH($A123&amp;M$1,JupData!$A$2:$A$10000&amp;JupData!$J$2:$J$10000,0),11))</f>
        <v/>
      </c>
      <c r="N123" t="str">
        <f t="array" ref="N123">IF($A123="","",INDEX(JupData!$A$2:$K$10000,MATCH($A123&amp;N$1,JupData!$A$2:$A$10000&amp;JupData!$J$2:$J$10000,0),11))</f>
        <v/>
      </c>
      <c r="O123" t="str">
        <f t="array" ref="O123">IF($A123="","",INDEX(JupData!$A$2:$K$10000,MATCH($A123&amp;O$1,JupData!$A$2:$A$10000&amp;JupData!$J$2:$J$10000,0),11))</f>
        <v/>
      </c>
      <c r="P123" t="str">
        <f t="array" ref="P123">IF($A123="","",INDEX(JupData!$A$2:$K$10000,MATCH($A123&amp;P$1,JupData!$A$2:$A$10000&amp;JupData!$J$2:$J$10000,0),11))</f>
        <v/>
      </c>
      <c r="Q123" t="str">
        <f t="array" ref="Q123">IF($A123="","",INDEX(JupData!$A$2:$K$10000,MATCH($A123&amp;Q$1,JupData!$A$2:$A$10000&amp;JupData!$J$2:$J$10000,0),11))</f>
        <v/>
      </c>
      <c r="R123" t="str">
        <f t="array" ref="R123">IF($A123="","",INDEX(JupData!$A$2:$K$10000,MATCH($A123&amp;R$1,JupData!$A$2:$A$10000&amp;JupData!$J$2:$J$10000,0),11))</f>
        <v/>
      </c>
      <c r="S123" t="str">
        <f t="array" ref="S123">IF($A123="","",INDEX(JupData!$A$2:$K$10000,MATCH($A123&amp;S$1,JupData!$A$2:$A$10000&amp;JupData!$J$2:$J$10000,0),11))</f>
        <v/>
      </c>
      <c r="T123" t="str">
        <f t="array" ref="T123">IF($A123="","",INDEX(JupData!$A$2:$K$10000,MATCH($A123&amp;T$1,JupData!$A$2:$A$10000&amp;JupData!$J$2:$J$10000,0),11))</f>
        <v/>
      </c>
      <c r="U123" t="str">
        <f t="array" ref="U123">IF($A123="","",INDEX(JupData!$A$2:$K$10000,MATCH($A123&amp;U$1,JupData!$A$2:$A$10000&amp;JupData!$J$2:$J$10000,0),11))</f>
        <v/>
      </c>
      <c r="V123" t="str">
        <f t="array" ref="V123">IF($A123="","",INDEX(JupData!$A$2:$K$10000,MATCH($A123&amp;V$1,JupData!$A$2:$A$10000&amp;JupData!$J$2:$J$10000,0),11))</f>
        <v/>
      </c>
      <c r="W123" t="str">
        <f t="array" ref="W123">IF($A123="","",INDEX(JupData!$A$2:$K$10000,MATCH($A123&amp;W$1,JupData!$A$2:$A$10000&amp;JupData!$J$2:$J$10000,0),11))</f>
        <v/>
      </c>
      <c r="X123" t="str">
        <f t="array" ref="X123">IF($A123="","",INDEX(JupData!$A$2:$K$10000,MATCH($A123&amp;X$1,JupData!$A$2:$A$10000&amp;JupData!$J$2:$J$10000,0),11))</f>
        <v/>
      </c>
      <c r="Y123" t="str">
        <f t="array" ref="Y123">IF($A123="","",INDEX(JupData!$A$2:$K$10000,MATCH($A123&amp;Y$1,JupData!$A$2:$A$10000&amp;JupData!$J$2:$J$10000,0),11))</f>
        <v/>
      </c>
      <c r="Z123" t="str">
        <f t="array" ref="Z123">IF($A123="","",INDEX(JupData!$A$2:$K$10000,MATCH($A123&amp;Z$1,JupData!$A$2:$A$10000&amp;JupData!$J$2:$J$10000,0),11))</f>
        <v/>
      </c>
      <c r="AA123" t="str">
        <f t="array" ref="AA123">IF($A123="","",INDEX(JupData!$A$2:$K$10000,MATCH($A123&amp;AA$1,JupData!$A$2:$A$10000&amp;JupData!$J$2:$J$10000,0),11))</f>
        <v/>
      </c>
      <c r="AB123" t="str">
        <f t="array" ref="AB123">IF($A123="","",INDEX(JupData!$A$2:$K$10000,MATCH($A123&amp;AB$1,JupData!$A$2:$A$10000&amp;JupData!$J$2:$J$10000,0),11))</f>
        <v/>
      </c>
      <c r="AC123" s="10" t="str">
        <f t="shared" si="11"/>
        <v/>
      </c>
      <c r="AD123" s="10" t="str">
        <f t="shared" si="12"/>
        <v/>
      </c>
      <c r="AE123" s="9" t="str">
        <f t="shared" si="13"/>
        <v/>
      </c>
      <c r="AF123" s="10" t="str">
        <f t="shared" si="14"/>
        <v/>
      </c>
      <c r="AG123" s="10" t="str">
        <f t="shared" si="15"/>
        <v/>
      </c>
      <c r="AH123" s="10" t="str">
        <f t="shared" si="16"/>
        <v/>
      </c>
      <c r="AI123" s="10" t="str">
        <f t="shared" si="17"/>
        <v/>
      </c>
      <c r="AJ123" s="10" t="str">
        <f t="shared" si="18"/>
        <v/>
      </c>
      <c r="AK123" s="10" t="str">
        <f t="shared" si="19"/>
        <v/>
      </c>
      <c r="AL123" s="14" t="str">
        <f t="shared" si="20"/>
        <v/>
      </c>
    </row>
    <row r="124" spans="1:38" x14ac:dyDescent="0.2">
      <c r="A124"/>
      <c r="B124" t="str">
        <f>IF($A124="","",VLOOKUP($A124,JupData!$A$2:$I$10000,4,FALSE))</f>
        <v/>
      </c>
      <c r="C124" s="7" t="str">
        <f>IF($A124="",IF(N(D124),0,""),VLOOKUP($A124,JupData!$A$2:$I$10000,7,FALSE))</f>
        <v/>
      </c>
      <c r="D124" t="str">
        <f t="shared" si="21"/>
        <v/>
      </c>
      <c r="E124" t="str">
        <f t="array" ref="E124">IF($A124="","",INDEX(JupData!$A$2:$K$10000,MATCH($A124&amp;E$1,JupData!$A$2:$A$10000&amp;JupData!$J$2:$J$10000,0),11))</f>
        <v/>
      </c>
      <c r="F124" t="str">
        <f t="array" ref="F124">IF($A124="","",INDEX(JupData!$A$2:$K$10000,MATCH($A124&amp;F$1,JupData!$A$2:$A$10000&amp;JupData!$J$2:$J$10000,0),11))</f>
        <v/>
      </c>
      <c r="G124" t="str">
        <f t="array" ref="G124">IF($A124="","",INDEX(JupData!$A$2:$K$10000,MATCH($A124&amp;G$1,JupData!$A$2:$A$10000&amp;JupData!$J$2:$J$10000,0),11))</f>
        <v/>
      </c>
      <c r="H124" t="str">
        <f t="array" ref="H124">IF($A124="","",INDEX(JupData!$A$2:$K$10000,MATCH($A124&amp;H$1,JupData!$A$2:$A$10000&amp;JupData!$J$2:$J$10000,0),11))</f>
        <v/>
      </c>
      <c r="I124" t="str">
        <f t="array" ref="I124">IF($A124="","",INDEX(JupData!$A$2:$K$10000,MATCH($A124&amp;I$1,JupData!$A$2:$A$10000&amp;JupData!$J$2:$J$10000,0),11))</f>
        <v/>
      </c>
      <c r="J124" t="str">
        <f t="array" ref="J124">IF($A124="","",INDEX(JupData!$A$2:$K$10000,MATCH($A124&amp;J$1,JupData!$A$2:$A$10000&amp;JupData!$J$2:$J$10000,0),11))</f>
        <v/>
      </c>
      <c r="K124" t="str">
        <f t="array" ref="K124">IF($A124="","",INDEX(JupData!$A$2:$K$10000,MATCH($A124&amp;K$1,JupData!$A$2:$A$10000&amp;JupData!$J$2:$J$10000,0),11))</f>
        <v/>
      </c>
      <c r="L124" t="str">
        <f t="array" ref="L124">IF($A124="","",INDEX(JupData!$A$2:$K$10000,MATCH($A124&amp;L$1,JupData!$A$2:$A$10000&amp;JupData!$J$2:$J$10000,0),11))</f>
        <v/>
      </c>
      <c r="M124" t="str">
        <f t="array" ref="M124">IF($A124="","",INDEX(JupData!$A$2:$K$10000,MATCH($A124&amp;M$1,JupData!$A$2:$A$10000&amp;JupData!$J$2:$J$10000,0),11))</f>
        <v/>
      </c>
      <c r="N124" t="str">
        <f t="array" ref="N124">IF($A124="","",INDEX(JupData!$A$2:$K$10000,MATCH($A124&amp;N$1,JupData!$A$2:$A$10000&amp;JupData!$J$2:$J$10000,0),11))</f>
        <v/>
      </c>
      <c r="O124" t="str">
        <f t="array" ref="O124">IF($A124="","",INDEX(JupData!$A$2:$K$10000,MATCH($A124&amp;O$1,JupData!$A$2:$A$10000&amp;JupData!$J$2:$J$10000,0),11))</f>
        <v/>
      </c>
      <c r="P124" t="str">
        <f t="array" ref="P124">IF($A124="","",INDEX(JupData!$A$2:$K$10000,MATCH($A124&amp;P$1,JupData!$A$2:$A$10000&amp;JupData!$J$2:$J$10000,0),11))</f>
        <v/>
      </c>
      <c r="Q124" t="str">
        <f t="array" ref="Q124">IF($A124="","",INDEX(JupData!$A$2:$K$10000,MATCH($A124&amp;Q$1,JupData!$A$2:$A$10000&amp;JupData!$J$2:$J$10000,0),11))</f>
        <v/>
      </c>
      <c r="R124" t="str">
        <f t="array" ref="R124">IF($A124="","",INDEX(JupData!$A$2:$K$10000,MATCH($A124&amp;R$1,JupData!$A$2:$A$10000&amp;JupData!$J$2:$J$10000,0),11))</f>
        <v/>
      </c>
      <c r="S124" t="str">
        <f t="array" ref="S124">IF($A124="","",INDEX(JupData!$A$2:$K$10000,MATCH($A124&amp;S$1,JupData!$A$2:$A$10000&amp;JupData!$J$2:$J$10000,0),11))</f>
        <v/>
      </c>
      <c r="T124" t="str">
        <f t="array" ref="T124">IF($A124="","",INDEX(JupData!$A$2:$K$10000,MATCH($A124&amp;T$1,JupData!$A$2:$A$10000&amp;JupData!$J$2:$J$10000,0),11))</f>
        <v/>
      </c>
      <c r="U124" t="str">
        <f t="array" ref="U124">IF($A124="","",INDEX(JupData!$A$2:$K$10000,MATCH($A124&amp;U$1,JupData!$A$2:$A$10000&amp;JupData!$J$2:$J$10000,0),11))</f>
        <v/>
      </c>
      <c r="V124" t="str">
        <f t="array" ref="V124">IF($A124="","",INDEX(JupData!$A$2:$K$10000,MATCH($A124&amp;V$1,JupData!$A$2:$A$10000&amp;JupData!$J$2:$J$10000,0),11))</f>
        <v/>
      </c>
      <c r="W124" t="str">
        <f t="array" ref="W124">IF($A124="","",INDEX(JupData!$A$2:$K$10000,MATCH($A124&amp;W$1,JupData!$A$2:$A$10000&amp;JupData!$J$2:$J$10000,0),11))</f>
        <v/>
      </c>
      <c r="X124" t="str">
        <f t="array" ref="X124">IF($A124="","",INDEX(JupData!$A$2:$K$10000,MATCH($A124&amp;X$1,JupData!$A$2:$A$10000&amp;JupData!$J$2:$J$10000,0),11))</f>
        <v/>
      </c>
      <c r="Y124" t="str">
        <f t="array" ref="Y124">IF($A124="","",INDEX(JupData!$A$2:$K$10000,MATCH($A124&amp;Y$1,JupData!$A$2:$A$10000&amp;JupData!$J$2:$J$10000,0),11))</f>
        <v/>
      </c>
      <c r="Z124" t="str">
        <f t="array" ref="Z124">IF($A124="","",INDEX(JupData!$A$2:$K$10000,MATCH($A124&amp;Z$1,JupData!$A$2:$A$10000&amp;JupData!$J$2:$J$10000,0),11))</f>
        <v/>
      </c>
      <c r="AA124" t="str">
        <f t="array" ref="AA124">IF($A124="","",INDEX(JupData!$A$2:$K$10000,MATCH($A124&amp;AA$1,JupData!$A$2:$A$10000&amp;JupData!$J$2:$J$10000,0),11))</f>
        <v/>
      </c>
      <c r="AB124" t="str">
        <f t="array" ref="AB124">IF($A124="","",INDEX(JupData!$A$2:$K$10000,MATCH($A124&amp;AB$1,JupData!$A$2:$A$10000&amp;JupData!$J$2:$J$10000,0),11))</f>
        <v/>
      </c>
      <c r="AC124" s="10" t="str">
        <f t="shared" si="11"/>
        <v/>
      </c>
      <c r="AD124" s="10" t="str">
        <f t="shared" si="12"/>
        <v/>
      </c>
      <c r="AE124" s="9" t="str">
        <f t="shared" si="13"/>
        <v/>
      </c>
      <c r="AF124" s="10" t="str">
        <f t="shared" si="14"/>
        <v/>
      </c>
      <c r="AG124" s="10" t="str">
        <f t="shared" si="15"/>
        <v/>
      </c>
      <c r="AH124" s="10" t="str">
        <f t="shared" si="16"/>
        <v/>
      </c>
      <c r="AI124" s="10" t="str">
        <f t="shared" si="17"/>
        <v/>
      </c>
      <c r="AJ124" s="10" t="str">
        <f t="shared" si="18"/>
        <v/>
      </c>
      <c r="AK124" s="10" t="str">
        <f t="shared" si="19"/>
        <v/>
      </c>
      <c r="AL124" s="14" t="str">
        <f t="shared" si="20"/>
        <v/>
      </c>
    </row>
    <row r="125" spans="1:38" x14ac:dyDescent="0.2">
      <c r="A125"/>
      <c r="B125" t="str">
        <f>IF($A125="","",VLOOKUP($A125,JupData!$A$2:$I$10000,4,FALSE))</f>
        <v/>
      </c>
      <c r="C125" s="7" t="str">
        <f>IF($A125="",IF(N(D125),0,""),VLOOKUP($A125,JupData!$A$2:$I$10000,7,FALSE))</f>
        <v/>
      </c>
      <c r="D125" t="str">
        <f t="shared" si="21"/>
        <v/>
      </c>
      <c r="E125" t="str">
        <f t="array" ref="E125">IF($A125="","",INDEX(JupData!$A$2:$K$10000,MATCH($A125&amp;E$1,JupData!$A$2:$A$10000&amp;JupData!$J$2:$J$10000,0),11))</f>
        <v/>
      </c>
      <c r="F125" t="str">
        <f t="array" ref="F125">IF($A125="","",INDEX(JupData!$A$2:$K$10000,MATCH($A125&amp;F$1,JupData!$A$2:$A$10000&amp;JupData!$J$2:$J$10000,0),11))</f>
        <v/>
      </c>
      <c r="G125" t="str">
        <f t="array" ref="G125">IF($A125="","",INDEX(JupData!$A$2:$K$10000,MATCH($A125&amp;G$1,JupData!$A$2:$A$10000&amp;JupData!$J$2:$J$10000,0),11))</f>
        <v/>
      </c>
      <c r="H125" t="str">
        <f t="array" ref="H125">IF($A125="","",INDEX(JupData!$A$2:$K$10000,MATCH($A125&amp;H$1,JupData!$A$2:$A$10000&amp;JupData!$J$2:$J$10000,0),11))</f>
        <v/>
      </c>
      <c r="I125" t="str">
        <f t="array" ref="I125">IF($A125="","",INDEX(JupData!$A$2:$K$10000,MATCH($A125&amp;I$1,JupData!$A$2:$A$10000&amp;JupData!$J$2:$J$10000,0),11))</f>
        <v/>
      </c>
      <c r="J125" t="str">
        <f t="array" ref="J125">IF($A125="","",INDEX(JupData!$A$2:$K$10000,MATCH($A125&amp;J$1,JupData!$A$2:$A$10000&amp;JupData!$J$2:$J$10000,0),11))</f>
        <v/>
      </c>
      <c r="K125" t="str">
        <f t="array" ref="K125">IF($A125="","",INDEX(JupData!$A$2:$K$10000,MATCH($A125&amp;K$1,JupData!$A$2:$A$10000&amp;JupData!$J$2:$J$10000,0),11))</f>
        <v/>
      </c>
      <c r="L125" t="str">
        <f t="array" ref="L125">IF($A125="","",INDEX(JupData!$A$2:$K$10000,MATCH($A125&amp;L$1,JupData!$A$2:$A$10000&amp;JupData!$J$2:$J$10000,0),11))</f>
        <v/>
      </c>
      <c r="M125" t="str">
        <f t="array" ref="M125">IF($A125="","",INDEX(JupData!$A$2:$K$10000,MATCH($A125&amp;M$1,JupData!$A$2:$A$10000&amp;JupData!$J$2:$J$10000,0),11))</f>
        <v/>
      </c>
      <c r="N125" t="str">
        <f t="array" ref="N125">IF($A125="","",INDEX(JupData!$A$2:$K$10000,MATCH($A125&amp;N$1,JupData!$A$2:$A$10000&amp;JupData!$J$2:$J$10000,0),11))</f>
        <v/>
      </c>
      <c r="O125" t="str">
        <f t="array" ref="O125">IF($A125="","",INDEX(JupData!$A$2:$K$10000,MATCH($A125&amp;O$1,JupData!$A$2:$A$10000&amp;JupData!$J$2:$J$10000,0),11))</f>
        <v/>
      </c>
      <c r="P125" t="str">
        <f t="array" ref="P125">IF($A125="","",INDEX(JupData!$A$2:$K$10000,MATCH($A125&amp;P$1,JupData!$A$2:$A$10000&amp;JupData!$J$2:$J$10000,0),11))</f>
        <v/>
      </c>
      <c r="Q125" t="str">
        <f t="array" ref="Q125">IF($A125="","",INDEX(JupData!$A$2:$K$10000,MATCH($A125&amp;Q$1,JupData!$A$2:$A$10000&amp;JupData!$J$2:$J$10000,0),11))</f>
        <v/>
      </c>
      <c r="R125" t="str">
        <f t="array" ref="R125">IF($A125="","",INDEX(JupData!$A$2:$K$10000,MATCH($A125&amp;R$1,JupData!$A$2:$A$10000&amp;JupData!$J$2:$J$10000,0),11))</f>
        <v/>
      </c>
      <c r="S125" t="str">
        <f t="array" ref="S125">IF($A125="","",INDEX(JupData!$A$2:$K$10000,MATCH($A125&amp;S$1,JupData!$A$2:$A$10000&amp;JupData!$J$2:$J$10000,0),11))</f>
        <v/>
      </c>
      <c r="T125" t="str">
        <f t="array" ref="T125">IF($A125="","",INDEX(JupData!$A$2:$K$10000,MATCH($A125&amp;T$1,JupData!$A$2:$A$10000&amp;JupData!$J$2:$J$10000,0),11))</f>
        <v/>
      </c>
      <c r="U125" t="str">
        <f t="array" ref="U125">IF($A125="","",INDEX(JupData!$A$2:$K$10000,MATCH($A125&amp;U$1,JupData!$A$2:$A$10000&amp;JupData!$J$2:$J$10000,0),11))</f>
        <v/>
      </c>
      <c r="V125" t="str">
        <f t="array" ref="V125">IF($A125="","",INDEX(JupData!$A$2:$K$10000,MATCH($A125&amp;V$1,JupData!$A$2:$A$10000&amp;JupData!$J$2:$J$10000,0),11))</f>
        <v/>
      </c>
      <c r="W125" t="str">
        <f t="array" ref="W125">IF($A125="","",INDEX(JupData!$A$2:$K$10000,MATCH($A125&amp;W$1,JupData!$A$2:$A$10000&amp;JupData!$J$2:$J$10000,0),11))</f>
        <v/>
      </c>
      <c r="X125" t="str">
        <f t="array" ref="X125">IF($A125="","",INDEX(JupData!$A$2:$K$10000,MATCH($A125&amp;X$1,JupData!$A$2:$A$10000&amp;JupData!$J$2:$J$10000,0),11))</f>
        <v/>
      </c>
      <c r="Y125" t="str">
        <f t="array" ref="Y125">IF($A125="","",INDEX(JupData!$A$2:$K$10000,MATCH($A125&amp;Y$1,JupData!$A$2:$A$10000&amp;JupData!$J$2:$J$10000,0),11))</f>
        <v/>
      </c>
      <c r="Z125" t="str">
        <f t="array" ref="Z125">IF($A125="","",INDEX(JupData!$A$2:$K$10000,MATCH($A125&amp;Z$1,JupData!$A$2:$A$10000&amp;JupData!$J$2:$J$10000,0),11))</f>
        <v/>
      </c>
      <c r="AA125" t="str">
        <f t="array" ref="AA125">IF($A125="","",INDEX(JupData!$A$2:$K$10000,MATCH($A125&amp;AA$1,JupData!$A$2:$A$10000&amp;JupData!$J$2:$J$10000,0),11))</f>
        <v/>
      </c>
      <c r="AB125" t="str">
        <f t="array" ref="AB125">IF($A125="","",INDEX(JupData!$A$2:$K$10000,MATCH($A125&amp;AB$1,JupData!$A$2:$A$10000&amp;JupData!$J$2:$J$10000,0),11))</f>
        <v/>
      </c>
      <c r="AC125" s="10" t="str">
        <f t="shared" si="11"/>
        <v/>
      </c>
      <c r="AD125" s="10" t="str">
        <f t="shared" si="12"/>
        <v/>
      </c>
      <c r="AE125" s="9" t="str">
        <f t="shared" si="13"/>
        <v/>
      </c>
      <c r="AF125" s="10" t="str">
        <f t="shared" si="14"/>
        <v/>
      </c>
      <c r="AG125" s="10" t="str">
        <f t="shared" si="15"/>
        <v/>
      </c>
      <c r="AH125" s="10" t="str">
        <f t="shared" si="16"/>
        <v/>
      </c>
      <c r="AI125" s="10" t="str">
        <f t="shared" si="17"/>
        <v/>
      </c>
      <c r="AJ125" s="10" t="str">
        <f t="shared" si="18"/>
        <v/>
      </c>
      <c r="AK125" s="10" t="str">
        <f t="shared" si="19"/>
        <v/>
      </c>
      <c r="AL125" s="14" t="str">
        <f t="shared" si="20"/>
        <v/>
      </c>
    </row>
    <row r="126" spans="1:38" x14ac:dyDescent="0.2">
      <c r="A126"/>
      <c r="B126" t="str">
        <f>IF($A126="","",VLOOKUP($A126,JupData!$A$2:$I$10000,4,FALSE))</f>
        <v/>
      </c>
      <c r="C126" s="7" t="str">
        <f>IF($A126="",IF(N(D126),0,""),VLOOKUP($A126,JupData!$A$2:$I$10000,7,FALSE))</f>
        <v/>
      </c>
      <c r="D126" t="str">
        <f t="shared" si="21"/>
        <v/>
      </c>
      <c r="E126" t="str">
        <f t="array" ref="E126">IF($A126="","",INDEX(JupData!$A$2:$K$10000,MATCH($A126&amp;E$1,JupData!$A$2:$A$10000&amp;JupData!$J$2:$J$10000,0),11))</f>
        <v/>
      </c>
      <c r="F126" t="str">
        <f t="array" ref="F126">IF($A126="","",INDEX(JupData!$A$2:$K$10000,MATCH($A126&amp;F$1,JupData!$A$2:$A$10000&amp;JupData!$J$2:$J$10000,0),11))</f>
        <v/>
      </c>
      <c r="G126" t="str">
        <f t="array" ref="G126">IF($A126="","",INDEX(JupData!$A$2:$K$10000,MATCH($A126&amp;G$1,JupData!$A$2:$A$10000&amp;JupData!$J$2:$J$10000,0),11))</f>
        <v/>
      </c>
      <c r="H126" t="str">
        <f t="array" ref="H126">IF($A126="","",INDEX(JupData!$A$2:$K$10000,MATCH($A126&amp;H$1,JupData!$A$2:$A$10000&amp;JupData!$J$2:$J$10000,0),11))</f>
        <v/>
      </c>
      <c r="I126" t="str">
        <f t="array" ref="I126">IF($A126="","",INDEX(JupData!$A$2:$K$10000,MATCH($A126&amp;I$1,JupData!$A$2:$A$10000&amp;JupData!$J$2:$J$10000,0),11))</f>
        <v/>
      </c>
      <c r="J126" t="str">
        <f t="array" ref="J126">IF($A126="","",INDEX(JupData!$A$2:$K$10000,MATCH($A126&amp;J$1,JupData!$A$2:$A$10000&amp;JupData!$J$2:$J$10000,0),11))</f>
        <v/>
      </c>
      <c r="K126" t="str">
        <f t="array" ref="K126">IF($A126="","",INDEX(JupData!$A$2:$K$10000,MATCH($A126&amp;K$1,JupData!$A$2:$A$10000&amp;JupData!$J$2:$J$10000,0),11))</f>
        <v/>
      </c>
      <c r="L126" t="str">
        <f t="array" ref="L126">IF($A126="","",INDEX(JupData!$A$2:$K$10000,MATCH($A126&amp;L$1,JupData!$A$2:$A$10000&amp;JupData!$J$2:$J$10000,0),11))</f>
        <v/>
      </c>
      <c r="M126" t="str">
        <f t="array" ref="M126">IF($A126="","",INDEX(JupData!$A$2:$K$10000,MATCH($A126&amp;M$1,JupData!$A$2:$A$10000&amp;JupData!$J$2:$J$10000,0),11))</f>
        <v/>
      </c>
      <c r="N126" t="str">
        <f t="array" ref="N126">IF($A126="","",INDEX(JupData!$A$2:$K$10000,MATCH($A126&amp;N$1,JupData!$A$2:$A$10000&amp;JupData!$J$2:$J$10000,0),11))</f>
        <v/>
      </c>
      <c r="O126" t="str">
        <f t="array" ref="O126">IF($A126="","",INDEX(JupData!$A$2:$K$10000,MATCH($A126&amp;O$1,JupData!$A$2:$A$10000&amp;JupData!$J$2:$J$10000,0),11))</f>
        <v/>
      </c>
      <c r="P126" t="str">
        <f t="array" ref="P126">IF($A126="","",INDEX(JupData!$A$2:$K$10000,MATCH($A126&amp;P$1,JupData!$A$2:$A$10000&amp;JupData!$J$2:$J$10000,0),11))</f>
        <v/>
      </c>
      <c r="Q126" t="str">
        <f t="array" ref="Q126">IF($A126="","",INDEX(JupData!$A$2:$K$10000,MATCH($A126&amp;Q$1,JupData!$A$2:$A$10000&amp;JupData!$J$2:$J$10000,0),11))</f>
        <v/>
      </c>
      <c r="R126" t="str">
        <f t="array" ref="R126">IF($A126="","",INDEX(JupData!$A$2:$K$10000,MATCH($A126&amp;R$1,JupData!$A$2:$A$10000&amp;JupData!$J$2:$J$10000,0),11))</f>
        <v/>
      </c>
      <c r="S126" t="str">
        <f t="array" ref="S126">IF($A126="","",INDEX(JupData!$A$2:$K$10000,MATCH($A126&amp;S$1,JupData!$A$2:$A$10000&amp;JupData!$J$2:$J$10000,0),11))</f>
        <v/>
      </c>
      <c r="T126" t="str">
        <f t="array" ref="T126">IF($A126="","",INDEX(JupData!$A$2:$K$10000,MATCH($A126&amp;T$1,JupData!$A$2:$A$10000&amp;JupData!$J$2:$J$10000,0),11))</f>
        <v/>
      </c>
      <c r="U126" t="str">
        <f t="array" ref="U126">IF($A126="","",INDEX(JupData!$A$2:$K$10000,MATCH($A126&amp;U$1,JupData!$A$2:$A$10000&amp;JupData!$J$2:$J$10000,0),11))</f>
        <v/>
      </c>
      <c r="V126" t="str">
        <f t="array" ref="V126">IF($A126="","",INDEX(JupData!$A$2:$K$10000,MATCH($A126&amp;V$1,JupData!$A$2:$A$10000&amp;JupData!$J$2:$J$10000,0),11))</f>
        <v/>
      </c>
      <c r="W126" t="str">
        <f t="array" ref="W126">IF($A126="","",INDEX(JupData!$A$2:$K$10000,MATCH($A126&amp;W$1,JupData!$A$2:$A$10000&amp;JupData!$J$2:$J$10000,0),11))</f>
        <v/>
      </c>
      <c r="X126" t="str">
        <f t="array" ref="X126">IF($A126="","",INDEX(JupData!$A$2:$K$10000,MATCH($A126&amp;X$1,JupData!$A$2:$A$10000&amp;JupData!$J$2:$J$10000,0),11))</f>
        <v/>
      </c>
      <c r="Y126" t="str">
        <f t="array" ref="Y126">IF($A126="","",INDEX(JupData!$A$2:$K$10000,MATCH($A126&amp;Y$1,JupData!$A$2:$A$10000&amp;JupData!$J$2:$J$10000,0),11))</f>
        <v/>
      </c>
      <c r="Z126" t="str">
        <f t="array" ref="Z126">IF($A126="","",INDEX(JupData!$A$2:$K$10000,MATCH($A126&amp;Z$1,JupData!$A$2:$A$10000&amp;JupData!$J$2:$J$10000,0),11))</f>
        <v/>
      </c>
      <c r="AA126" t="str">
        <f t="array" ref="AA126">IF($A126="","",INDEX(JupData!$A$2:$K$10000,MATCH($A126&amp;AA$1,JupData!$A$2:$A$10000&amp;JupData!$J$2:$J$10000,0),11))</f>
        <v/>
      </c>
      <c r="AB126" t="str">
        <f t="array" ref="AB126">IF($A126="","",INDEX(JupData!$A$2:$K$10000,MATCH($A126&amp;AB$1,JupData!$A$2:$A$10000&amp;JupData!$J$2:$J$10000,0),11))</f>
        <v/>
      </c>
      <c r="AC126" s="10" t="str">
        <f t="shared" si="11"/>
        <v/>
      </c>
      <c r="AD126" s="10" t="str">
        <f t="shared" si="12"/>
        <v/>
      </c>
      <c r="AE126" s="9" t="str">
        <f t="shared" si="13"/>
        <v/>
      </c>
      <c r="AF126" s="10" t="str">
        <f t="shared" si="14"/>
        <v/>
      </c>
      <c r="AG126" s="10" t="str">
        <f t="shared" si="15"/>
        <v/>
      </c>
      <c r="AH126" s="10" t="str">
        <f t="shared" si="16"/>
        <v/>
      </c>
      <c r="AI126" s="10" t="str">
        <f t="shared" si="17"/>
        <v/>
      </c>
      <c r="AJ126" s="10" t="str">
        <f t="shared" si="18"/>
        <v/>
      </c>
      <c r="AK126" s="10" t="str">
        <f t="shared" si="19"/>
        <v/>
      </c>
      <c r="AL126" s="14" t="str">
        <f t="shared" si="20"/>
        <v/>
      </c>
    </row>
    <row r="127" spans="1:38" x14ac:dyDescent="0.2">
      <c r="A127"/>
      <c r="B127" t="str">
        <f>IF($A127="","",VLOOKUP($A127,JupData!$A$2:$I$10000,4,FALSE))</f>
        <v/>
      </c>
      <c r="C127" s="7" t="str">
        <f>IF($A127="",IF(N(D127),0,""),VLOOKUP($A127,JupData!$A$2:$I$10000,7,FALSE))</f>
        <v/>
      </c>
      <c r="D127" t="str">
        <f t="shared" si="21"/>
        <v/>
      </c>
      <c r="E127" t="str">
        <f t="array" ref="E127">IF($A127="","",INDEX(JupData!$A$2:$K$10000,MATCH($A127&amp;E$1,JupData!$A$2:$A$10000&amp;JupData!$J$2:$J$10000,0),11))</f>
        <v/>
      </c>
      <c r="F127" t="str">
        <f t="array" ref="F127">IF($A127="","",INDEX(JupData!$A$2:$K$10000,MATCH($A127&amp;F$1,JupData!$A$2:$A$10000&amp;JupData!$J$2:$J$10000,0),11))</f>
        <v/>
      </c>
      <c r="G127" t="str">
        <f t="array" ref="G127">IF($A127="","",INDEX(JupData!$A$2:$K$10000,MATCH($A127&amp;G$1,JupData!$A$2:$A$10000&amp;JupData!$J$2:$J$10000,0),11))</f>
        <v/>
      </c>
      <c r="H127" t="str">
        <f t="array" ref="H127">IF($A127="","",INDEX(JupData!$A$2:$K$10000,MATCH($A127&amp;H$1,JupData!$A$2:$A$10000&amp;JupData!$J$2:$J$10000,0),11))</f>
        <v/>
      </c>
      <c r="I127" t="str">
        <f t="array" ref="I127">IF($A127="","",INDEX(JupData!$A$2:$K$10000,MATCH($A127&amp;I$1,JupData!$A$2:$A$10000&amp;JupData!$J$2:$J$10000,0),11))</f>
        <v/>
      </c>
      <c r="J127" t="str">
        <f t="array" ref="J127">IF($A127="","",INDEX(JupData!$A$2:$K$10000,MATCH($A127&amp;J$1,JupData!$A$2:$A$10000&amp;JupData!$J$2:$J$10000,0),11))</f>
        <v/>
      </c>
      <c r="K127" t="str">
        <f t="array" ref="K127">IF($A127="","",INDEX(JupData!$A$2:$K$10000,MATCH($A127&amp;K$1,JupData!$A$2:$A$10000&amp;JupData!$J$2:$J$10000,0),11))</f>
        <v/>
      </c>
      <c r="L127" t="str">
        <f t="array" ref="L127">IF($A127="","",INDEX(JupData!$A$2:$K$10000,MATCH($A127&amp;L$1,JupData!$A$2:$A$10000&amp;JupData!$J$2:$J$10000,0),11))</f>
        <v/>
      </c>
      <c r="M127" t="str">
        <f t="array" ref="M127">IF($A127="","",INDEX(JupData!$A$2:$K$10000,MATCH($A127&amp;M$1,JupData!$A$2:$A$10000&amp;JupData!$J$2:$J$10000,0),11))</f>
        <v/>
      </c>
      <c r="N127" t="str">
        <f t="array" ref="N127">IF($A127="","",INDEX(JupData!$A$2:$K$10000,MATCH($A127&amp;N$1,JupData!$A$2:$A$10000&amp;JupData!$J$2:$J$10000,0),11))</f>
        <v/>
      </c>
      <c r="O127" t="str">
        <f t="array" ref="O127">IF($A127="","",INDEX(JupData!$A$2:$K$10000,MATCH($A127&amp;O$1,JupData!$A$2:$A$10000&amp;JupData!$J$2:$J$10000,0),11))</f>
        <v/>
      </c>
      <c r="P127" t="str">
        <f t="array" ref="P127">IF($A127="","",INDEX(JupData!$A$2:$K$10000,MATCH($A127&amp;P$1,JupData!$A$2:$A$10000&amp;JupData!$J$2:$J$10000,0),11))</f>
        <v/>
      </c>
      <c r="Q127" t="str">
        <f t="array" ref="Q127">IF($A127="","",INDEX(JupData!$A$2:$K$10000,MATCH($A127&amp;Q$1,JupData!$A$2:$A$10000&amp;JupData!$J$2:$J$10000,0),11))</f>
        <v/>
      </c>
      <c r="R127" t="str">
        <f t="array" ref="R127">IF($A127="","",INDEX(JupData!$A$2:$K$10000,MATCH($A127&amp;R$1,JupData!$A$2:$A$10000&amp;JupData!$J$2:$J$10000,0),11))</f>
        <v/>
      </c>
      <c r="S127" t="str">
        <f t="array" ref="S127">IF($A127="","",INDEX(JupData!$A$2:$K$10000,MATCH($A127&amp;S$1,JupData!$A$2:$A$10000&amp;JupData!$J$2:$J$10000,0),11))</f>
        <v/>
      </c>
      <c r="T127" t="str">
        <f t="array" ref="T127">IF($A127="","",INDEX(JupData!$A$2:$K$10000,MATCH($A127&amp;T$1,JupData!$A$2:$A$10000&amp;JupData!$J$2:$J$10000,0),11))</f>
        <v/>
      </c>
      <c r="U127" t="str">
        <f t="array" ref="U127">IF($A127="","",INDEX(JupData!$A$2:$K$10000,MATCH($A127&amp;U$1,JupData!$A$2:$A$10000&amp;JupData!$J$2:$J$10000,0),11))</f>
        <v/>
      </c>
      <c r="V127" t="str">
        <f t="array" ref="V127">IF($A127="","",INDEX(JupData!$A$2:$K$10000,MATCH($A127&amp;V$1,JupData!$A$2:$A$10000&amp;JupData!$J$2:$J$10000,0),11))</f>
        <v/>
      </c>
      <c r="W127" t="str">
        <f t="array" ref="W127">IF($A127="","",INDEX(JupData!$A$2:$K$10000,MATCH($A127&amp;W$1,JupData!$A$2:$A$10000&amp;JupData!$J$2:$J$10000,0),11))</f>
        <v/>
      </c>
      <c r="X127" t="str">
        <f t="array" ref="X127">IF($A127="","",INDEX(JupData!$A$2:$K$10000,MATCH($A127&amp;X$1,JupData!$A$2:$A$10000&amp;JupData!$J$2:$J$10000,0),11))</f>
        <v/>
      </c>
      <c r="Y127" t="str">
        <f t="array" ref="Y127">IF($A127="","",INDEX(JupData!$A$2:$K$10000,MATCH($A127&amp;Y$1,JupData!$A$2:$A$10000&amp;JupData!$J$2:$J$10000,0),11))</f>
        <v/>
      </c>
      <c r="Z127" t="str">
        <f t="array" ref="Z127">IF($A127="","",INDEX(JupData!$A$2:$K$10000,MATCH($A127&amp;Z$1,JupData!$A$2:$A$10000&amp;JupData!$J$2:$J$10000,0),11))</f>
        <v/>
      </c>
      <c r="AA127" t="str">
        <f t="array" ref="AA127">IF($A127="","",INDEX(JupData!$A$2:$K$10000,MATCH($A127&amp;AA$1,JupData!$A$2:$A$10000&amp;JupData!$J$2:$J$10000,0),11))</f>
        <v/>
      </c>
      <c r="AB127" t="str">
        <f t="array" ref="AB127">IF($A127="","",INDEX(JupData!$A$2:$K$10000,MATCH($A127&amp;AB$1,JupData!$A$2:$A$10000&amp;JupData!$J$2:$J$10000,0),11))</f>
        <v/>
      </c>
      <c r="AC127" s="10" t="str">
        <f t="shared" si="11"/>
        <v/>
      </c>
      <c r="AD127" s="10" t="str">
        <f t="shared" si="12"/>
        <v/>
      </c>
      <c r="AE127" s="9" t="str">
        <f t="shared" si="13"/>
        <v/>
      </c>
      <c r="AF127" s="10" t="str">
        <f t="shared" si="14"/>
        <v/>
      </c>
      <c r="AG127" s="10" t="str">
        <f t="shared" si="15"/>
        <v/>
      </c>
      <c r="AH127" s="10" t="str">
        <f t="shared" si="16"/>
        <v/>
      </c>
      <c r="AI127" s="10" t="str">
        <f t="shared" si="17"/>
        <v/>
      </c>
      <c r="AJ127" s="10" t="str">
        <f t="shared" si="18"/>
        <v/>
      </c>
      <c r="AK127" s="10" t="str">
        <f t="shared" si="19"/>
        <v/>
      </c>
      <c r="AL127" s="14" t="str">
        <f t="shared" si="20"/>
        <v/>
      </c>
    </row>
    <row r="128" spans="1:38" x14ac:dyDescent="0.2">
      <c r="A128"/>
      <c r="B128" t="str">
        <f>IF($A128="","",VLOOKUP($A128,JupData!$A$2:$I$10000,4,FALSE))</f>
        <v/>
      </c>
      <c r="C128" s="7" t="str">
        <f>IF($A128="",IF(N(D128),0,""),VLOOKUP($A128,JupData!$A$2:$I$10000,7,FALSE))</f>
        <v/>
      </c>
      <c r="D128" t="str">
        <f t="shared" si="21"/>
        <v/>
      </c>
      <c r="E128" t="str">
        <f t="array" ref="E128">IF($A128="","",INDEX(JupData!$A$2:$K$10000,MATCH($A128&amp;E$1,JupData!$A$2:$A$10000&amp;JupData!$J$2:$J$10000,0),11))</f>
        <v/>
      </c>
      <c r="F128" t="str">
        <f t="array" ref="F128">IF($A128="","",INDEX(JupData!$A$2:$K$10000,MATCH($A128&amp;F$1,JupData!$A$2:$A$10000&amp;JupData!$J$2:$J$10000,0),11))</f>
        <v/>
      </c>
      <c r="G128" t="str">
        <f t="array" ref="G128">IF($A128="","",INDEX(JupData!$A$2:$K$10000,MATCH($A128&amp;G$1,JupData!$A$2:$A$10000&amp;JupData!$J$2:$J$10000,0),11))</f>
        <v/>
      </c>
      <c r="H128" t="str">
        <f t="array" ref="H128">IF($A128="","",INDEX(JupData!$A$2:$K$10000,MATCH($A128&amp;H$1,JupData!$A$2:$A$10000&amp;JupData!$J$2:$J$10000,0),11))</f>
        <v/>
      </c>
      <c r="I128" t="str">
        <f t="array" ref="I128">IF($A128="","",INDEX(JupData!$A$2:$K$10000,MATCH($A128&amp;I$1,JupData!$A$2:$A$10000&amp;JupData!$J$2:$J$10000,0),11))</f>
        <v/>
      </c>
      <c r="J128" t="str">
        <f t="array" ref="J128">IF($A128="","",INDEX(JupData!$A$2:$K$10000,MATCH($A128&amp;J$1,JupData!$A$2:$A$10000&amp;JupData!$J$2:$J$10000,0),11))</f>
        <v/>
      </c>
      <c r="K128" t="str">
        <f t="array" ref="K128">IF($A128="","",INDEX(JupData!$A$2:$K$10000,MATCH($A128&amp;K$1,JupData!$A$2:$A$10000&amp;JupData!$J$2:$J$10000,0),11))</f>
        <v/>
      </c>
      <c r="L128" t="str">
        <f t="array" ref="L128">IF($A128="","",INDEX(JupData!$A$2:$K$10000,MATCH($A128&amp;L$1,JupData!$A$2:$A$10000&amp;JupData!$J$2:$J$10000,0),11))</f>
        <v/>
      </c>
      <c r="M128" t="str">
        <f t="array" ref="M128">IF($A128="","",INDEX(JupData!$A$2:$K$10000,MATCH($A128&amp;M$1,JupData!$A$2:$A$10000&amp;JupData!$J$2:$J$10000,0),11))</f>
        <v/>
      </c>
      <c r="N128" t="str">
        <f t="array" ref="N128">IF($A128="","",INDEX(JupData!$A$2:$K$10000,MATCH($A128&amp;N$1,JupData!$A$2:$A$10000&amp;JupData!$J$2:$J$10000,0),11))</f>
        <v/>
      </c>
      <c r="O128" t="str">
        <f t="array" ref="O128">IF($A128="","",INDEX(JupData!$A$2:$K$10000,MATCH($A128&amp;O$1,JupData!$A$2:$A$10000&amp;JupData!$J$2:$J$10000,0),11))</f>
        <v/>
      </c>
      <c r="P128" t="str">
        <f t="array" ref="P128">IF($A128="","",INDEX(JupData!$A$2:$K$10000,MATCH($A128&amp;P$1,JupData!$A$2:$A$10000&amp;JupData!$J$2:$J$10000,0),11))</f>
        <v/>
      </c>
      <c r="Q128" t="str">
        <f t="array" ref="Q128">IF($A128="","",INDEX(JupData!$A$2:$K$10000,MATCH($A128&amp;Q$1,JupData!$A$2:$A$10000&amp;JupData!$J$2:$J$10000,0),11))</f>
        <v/>
      </c>
      <c r="R128" t="str">
        <f t="array" ref="R128">IF($A128="","",INDEX(JupData!$A$2:$K$10000,MATCH($A128&amp;R$1,JupData!$A$2:$A$10000&amp;JupData!$J$2:$J$10000,0),11))</f>
        <v/>
      </c>
      <c r="S128" t="str">
        <f t="array" ref="S128">IF($A128="","",INDEX(JupData!$A$2:$K$10000,MATCH($A128&amp;S$1,JupData!$A$2:$A$10000&amp;JupData!$J$2:$J$10000,0),11))</f>
        <v/>
      </c>
      <c r="T128" t="str">
        <f t="array" ref="T128">IF($A128="","",INDEX(JupData!$A$2:$K$10000,MATCH($A128&amp;T$1,JupData!$A$2:$A$10000&amp;JupData!$J$2:$J$10000,0),11))</f>
        <v/>
      </c>
      <c r="U128" t="str">
        <f t="array" ref="U128">IF($A128="","",INDEX(JupData!$A$2:$K$10000,MATCH($A128&amp;U$1,JupData!$A$2:$A$10000&amp;JupData!$J$2:$J$10000,0),11))</f>
        <v/>
      </c>
      <c r="V128" t="str">
        <f t="array" ref="V128">IF($A128="","",INDEX(JupData!$A$2:$K$10000,MATCH($A128&amp;V$1,JupData!$A$2:$A$10000&amp;JupData!$J$2:$J$10000,0),11))</f>
        <v/>
      </c>
      <c r="W128" t="str">
        <f t="array" ref="W128">IF($A128="","",INDEX(JupData!$A$2:$K$10000,MATCH($A128&amp;W$1,JupData!$A$2:$A$10000&amp;JupData!$J$2:$J$10000,0),11))</f>
        <v/>
      </c>
      <c r="X128" t="str">
        <f t="array" ref="X128">IF($A128="","",INDEX(JupData!$A$2:$K$10000,MATCH($A128&amp;X$1,JupData!$A$2:$A$10000&amp;JupData!$J$2:$J$10000,0),11))</f>
        <v/>
      </c>
      <c r="Y128" t="str">
        <f t="array" ref="Y128">IF($A128="","",INDEX(JupData!$A$2:$K$10000,MATCH($A128&amp;Y$1,JupData!$A$2:$A$10000&amp;JupData!$J$2:$J$10000,0),11))</f>
        <v/>
      </c>
      <c r="Z128" t="str">
        <f t="array" ref="Z128">IF($A128="","",INDEX(JupData!$A$2:$K$10000,MATCH($A128&amp;Z$1,JupData!$A$2:$A$10000&amp;JupData!$J$2:$J$10000,0),11))</f>
        <v/>
      </c>
      <c r="AA128" t="str">
        <f t="array" ref="AA128">IF($A128="","",INDEX(JupData!$A$2:$K$10000,MATCH($A128&amp;AA$1,JupData!$A$2:$A$10000&amp;JupData!$J$2:$J$10000,0),11))</f>
        <v/>
      </c>
      <c r="AB128" t="str">
        <f t="array" ref="AB128">IF($A128="","",INDEX(JupData!$A$2:$K$10000,MATCH($A128&amp;AB$1,JupData!$A$2:$A$10000&amp;JupData!$J$2:$J$10000,0),11))</f>
        <v/>
      </c>
      <c r="AC128" s="10" t="str">
        <f t="shared" si="11"/>
        <v/>
      </c>
      <c r="AD128" s="10" t="str">
        <f t="shared" si="12"/>
        <v/>
      </c>
      <c r="AE128" s="9" t="str">
        <f t="shared" si="13"/>
        <v/>
      </c>
      <c r="AF128" s="10" t="str">
        <f t="shared" si="14"/>
        <v/>
      </c>
      <c r="AG128" s="10" t="str">
        <f t="shared" si="15"/>
        <v/>
      </c>
      <c r="AH128" s="10" t="str">
        <f t="shared" si="16"/>
        <v/>
      </c>
      <c r="AI128" s="10" t="str">
        <f t="shared" si="17"/>
        <v/>
      </c>
      <c r="AJ128" s="10" t="str">
        <f t="shared" si="18"/>
        <v/>
      </c>
      <c r="AK128" s="10" t="str">
        <f t="shared" si="19"/>
        <v/>
      </c>
      <c r="AL128" s="14" t="str">
        <f t="shared" si="20"/>
        <v/>
      </c>
    </row>
    <row r="129" spans="1:38" x14ac:dyDescent="0.2">
      <c r="A129"/>
      <c r="B129" t="str">
        <f>IF($A129="","",VLOOKUP($A129,JupData!$A$2:$I$10000,4,FALSE))</f>
        <v/>
      </c>
      <c r="C129" s="7" t="str">
        <f>IF($A129="",IF(N(D129),0,""),VLOOKUP($A129,JupData!$A$2:$I$10000,7,FALSE))</f>
        <v/>
      </c>
      <c r="D129" t="str">
        <f t="shared" si="21"/>
        <v/>
      </c>
      <c r="E129" t="str">
        <f t="array" ref="E129">IF($A129="","",INDEX(JupData!$A$2:$K$10000,MATCH($A129&amp;E$1,JupData!$A$2:$A$10000&amp;JupData!$J$2:$J$10000,0),11))</f>
        <v/>
      </c>
      <c r="F129" t="str">
        <f t="array" ref="F129">IF($A129="","",INDEX(JupData!$A$2:$K$10000,MATCH($A129&amp;F$1,JupData!$A$2:$A$10000&amp;JupData!$J$2:$J$10000,0),11))</f>
        <v/>
      </c>
      <c r="G129" t="str">
        <f t="array" ref="G129">IF($A129="","",INDEX(JupData!$A$2:$K$10000,MATCH($A129&amp;G$1,JupData!$A$2:$A$10000&amp;JupData!$J$2:$J$10000,0),11))</f>
        <v/>
      </c>
      <c r="H129" t="str">
        <f t="array" ref="H129">IF($A129="","",INDEX(JupData!$A$2:$K$10000,MATCH($A129&amp;H$1,JupData!$A$2:$A$10000&amp;JupData!$J$2:$J$10000,0),11))</f>
        <v/>
      </c>
      <c r="I129" t="str">
        <f t="array" ref="I129">IF($A129="","",INDEX(JupData!$A$2:$K$10000,MATCH($A129&amp;I$1,JupData!$A$2:$A$10000&amp;JupData!$J$2:$J$10000,0),11))</f>
        <v/>
      </c>
      <c r="J129" t="str">
        <f t="array" ref="J129">IF($A129="","",INDEX(JupData!$A$2:$K$10000,MATCH($A129&amp;J$1,JupData!$A$2:$A$10000&amp;JupData!$J$2:$J$10000,0),11))</f>
        <v/>
      </c>
      <c r="K129" t="str">
        <f t="array" ref="K129">IF($A129="","",INDEX(JupData!$A$2:$K$10000,MATCH($A129&amp;K$1,JupData!$A$2:$A$10000&amp;JupData!$J$2:$J$10000,0),11))</f>
        <v/>
      </c>
      <c r="L129" t="str">
        <f t="array" ref="L129">IF($A129="","",INDEX(JupData!$A$2:$K$10000,MATCH($A129&amp;L$1,JupData!$A$2:$A$10000&amp;JupData!$J$2:$J$10000,0),11))</f>
        <v/>
      </c>
      <c r="M129" t="str">
        <f t="array" ref="M129">IF($A129="","",INDEX(JupData!$A$2:$K$10000,MATCH($A129&amp;M$1,JupData!$A$2:$A$10000&amp;JupData!$J$2:$J$10000,0),11))</f>
        <v/>
      </c>
      <c r="N129" t="str">
        <f t="array" ref="N129">IF($A129="","",INDEX(JupData!$A$2:$K$10000,MATCH($A129&amp;N$1,JupData!$A$2:$A$10000&amp;JupData!$J$2:$J$10000,0),11))</f>
        <v/>
      </c>
      <c r="O129" t="str">
        <f t="array" ref="O129">IF($A129="","",INDEX(JupData!$A$2:$K$10000,MATCH($A129&amp;O$1,JupData!$A$2:$A$10000&amp;JupData!$J$2:$J$10000,0),11))</f>
        <v/>
      </c>
      <c r="P129" t="str">
        <f t="array" ref="P129">IF($A129="","",INDEX(JupData!$A$2:$K$10000,MATCH($A129&amp;P$1,JupData!$A$2:$A$10000&amp;JupData!$J$2:$J$10000,0),11))</f>
        <v/>
      </c>
      <c r="Q129" t="str">
        <f t="array" ref="Q129">IF($A129="","",INDEX(JupData!$A$2:$K$10000,MATCH($A129&amp;Q$1,JupData!$A$2:$A$10000&amp;JupData!$J$2:$J$10000,0),11))</f>
        <v/>
      </c>
      <c r="R129" t="str">
        <f t="array" ref="R129">IF($A129="","",INDEX(JupData!$A$2:$K$10000,MATCH($A129&amp;R$1,JupData!$A$2:$A$10000&amp;JupData!$J$2:$J$10000,0),11))</f>
        <v/>
      </c>
      <c r="S129" t="str">
        <f t="array" ref="S129">IF($A129="","",INDEX(JupData!$A$2:$K$10000,MATCH($A129&amp;S$1,JupData!$A$2:$A$10000&amp;JupData!$J$2:$J$10000,0),11))</f>
        <v/>
      </c>
      <c r="T129" t="str">
        <f t="array" ref="T129">IF($A129="","",INDEX(JupData!$A$2:$K$10000,MATCH($A129&amp;T$1,JupData!$A$2:$A$10000&amp;JupData!$J$2:$J$10000,0),11))</f>
        <v/>
      </c>
      <c r="U129" t="str">
        <f t="array" ref="U129">IF($A129="","",INDEX(JupData!$A$2:$K$10000,MATCH($A129&amp;U$1,JupData!$A$2:$A$10000&amp;JupData!$J$2:$J$10000,0),11))</f>
        <v/>
      </c>
      <c r="V129" t="str">
        <f t="array" ref="V129">IF($A129="","",INDEX(JupData!$A$2:$K$10000,MATCH($A129&amp;V$1,JupData!$A$2:$A$10000&amp;JupData!$J$2:$J$10000,0),11))</f>
        <v/>
      </c>
      <c r="W129" t="str">
        <f t="array" ref="W129">IF($A129="","",INDEX(JupData!$A$2:$K$10000,MATCH($A129&amp;W$1,JupData!$A$2:$A$10000&amp;JupData!$J$2:$J$10000,0),11))</f>
        <v/>
      </c>
      <c r="X129" t="str">
        <f t="array" ref="X129">IF($A129="","",INDEX(JupData!$A$2:$K$10000,MATCH($A129&amp;X$1,JupData!$A$2:$A$10000&amp;JupData!$J$2:$J$10000,0),11))</f>
        <v/>
      </c>
      <c r="Y129" t="str">
        <f t="array" ref="Y129">IF($A129="","",INDEX(JupData!$A$2:$K$10000,MATCH($A129&amp;Y$1,JupData!$A$2:$A$10000&amp;JupData!$J$2:$J$10000,0),11))</f>
        <v/>
      </c>
      <c r="Z129" t="str">
        <f t="array" ref="Z129">IF($A129="","",INDEX(JupData!$A$2:$K$10000,MATCH($A129&amp;Z$1,JupData!$A$2:$A$10000&amp;JupData!$J$2:$J$10000,0),11))</f>
        <v/>
      </c>
      <c r="AA129" t="str">
        <f t="array" ref="AA129">IF($A129="","",INDEX(JupData!$A$2:$K$10000,MATCH($A129&amp;AA$1,JupData!$A$2:$A$10000&amp;JupData!$J$2:$J$10000,0),11))</f>
        <v/>
      </c>
      <c r="AB129" t="str">
        <f t="array" ref="AB129">IF($A129="","",INDEX(JupData!$A$2:$K$10000,MATCH($A129&amp;AB$1,JupData!$A$2:$A$10000&amp;JupData!$J$2:$J$10000,0),11))</f>
        <v/>
      </c>
      <c r="AC129" s="10" t="str">
        <f t="shared" si="11"/>
        <v/>
      </c>
      <c r="AD129" s="10" t="str">
        <f t="shared" si="12"/>
        <v/>
      </c>
      <c r="AE129" s="9" t="str">
        <f t="shared" si="13"/>
        <v/>
      </c>
      <c r="AF129" s="10" t="str">
        <f t="shared" si="14"/>
        <v/>
      </c>
      <c r="AG129" s="10" t="str">
        <f t="shared" si="15"/>
        <v/>
      </c>
      <c r="AH129" s="10" t="str">
        <f t="shared" si="16"/>
        <v/>
      </c>
      <c r="AI129" s="10" t="str">
        <f t="shared" si="17"/>
        <v/>
      </c>
      <c r="AJ129" s="10" t="str">
        <f t="shared" si="18"/>
        <v/>
      </c>
      <c r="AK129" s="10" t="str">
        <f t="shared" si="19"/>
        <v/>
      </c>
      <c r="AL129" s="14" t="str">
        <f t="shared" si="20"/>
        <v/>
      </c>
    </row>
    <row r="130" spans="1:38" x14ac:dyDescent="0.2">
      <c r="A130"/>
      <c r="B130" t="str">
        <f>IF($A130="","",VLOOKUP($A130,JupData!$A$2:$I$10000,4,FALSE))</f>
        <v/>
      </c>
      <c r="C130" s="7" t="str">
        <f>IF($A130="",IF(N(D130),0,""),VLOOKUP($A130,JupData!$A$2:$I$10000,7,FALSE))</f>
        <v/>
      </c>
      <c r="D130" t="str">
        <f t="shared" si="21"/>
        <v/>
      </c>
      <c r="E130" t="str">
        <f t="array" ref="E130">IF($A130="","",INDEX(JupData!$A$2:$K$10000,MATCH($A130&amp;E$1,JupData!$A$2:$A$10000&amp;JupData!$J$2:$J$10000,0),11))</f>
        <v/>
      </c>
      <c r="F130" t="str">
        <f t="array" ref="F130">IF($A130="","",INDEX(JupData!$A$2:$K$10000,MATCH($A130&amp;F$1,JupData!$A$2:$A$10000&amp;JupData!$J$2:$J$10000,0),11))</f>
        <v/>
      </c>
      <c r="G130" t="str">
        <f t="array" ref="G130">IF($A130="","",INDEX(JupData!$A$2:$K$10000,MATCH($A130&amp;G$1,JupData!$A$2:$A$10000&amp;JupData!$J$2:$J$10000,0),11))</f>
        <v/>
      </c>
      <c r="H130" t="str">
        <f t="array" ref="H130">IF($A130="","",INDEX(JupData!$A$2:$K$10000,MATCH($A130&amp;H$1,JupData!$A$2:$A$10000&amp;JupData!$J$2:$J$10000,0),11))</f>
        <v/>
      </c>
      <c r="I130" t="str">
        <f t="array" ref="I130">IF($A130="","",INDEX(JupData!$A$2:$K$10000,MATCH($A130&amp;I$1,JupData!$A$2:$A$10000&amp;JupData!$J$2:$J$10000,0),11))</f>
        <v/>
      </c>
      <c r="J130" t="str">
        <f t="array" ref="J130">IF($A130="","",INDEX(JupData!$A$2:$K$10000,MATCH($A130&amp;J$1,JupData!$A$2:$A$10000&amp;JupData!$J$2:$J$10000,0),11))</f>
        <v/>
      </c>
      <c r="K130" t="str">
        <f t="array" ref="K130">IF($A130="","",INDEX(JupData!$A$2:$K$10000,MATCH($A130&amp;K$1,JupData!$A$2:$A$10000&amp;JupData!$J$2:$J$10000,0),11))</f>
        <v/>
      </c>
      <c r="L130" t="str">
        <f t="array" ref="L130">IF($A130="","",INDEX(JupData!$A$2:$K$10000,MATCH($A130&amp;L$1,JupData!$A$2:$A$10000&amp;JupData!$J$2:$J$10000,0),11))</f>
        <v/>
      </c>
      <c r="M130" t="str">
        <f t="array" ref="M130">IF($A130="","",INDEX(JupData!$A$2:$K$10000,MATCH($A130&amp;M$1,JupData!$A$2:$A$10000&amp;JupData!$J$2:$J$10000,0),11))</f>
        <v/>
      </c>
      <c r="N130" t="str">
        <f t="array" ref="N130">IF($A130="","",INDEX(JupData!$A$2:$K$10000,MATCH($A130&amp;N$1,JupData!$A$2:$A$10000&amp;JupData!$J$2:$J$10000,0),11))</f>
        <v/>
      </c>
      <c r="O130" t="str">
        <f t="array" ref="O130">IF($A130="","",INDEX(JupData!$A$2:$K$10000,MATCH($A130&amp;O$1,JupData!$A$2:$A$10000&amp;JupData!$J$2:$J$10000,0),11))</f>
        <v/>
      </c>
      <c r="P130" t="str">
        <f t="array" ref="P130">IF($A130="","",INDEX(JupData!$A$2:$K$10000,MATCH($A130&amp;P$1,JupData!$A$2:$A$10000&amp;JupData!$J$2:$J$10000,0),11))</f>
        <v/>
      </c>
      <c r="Q130" t="str">
        <f t="array" ref="Q130">IF($A130="","",INDEX(JupData!$A$2:$K$10000,MATCH($A130&amp;Q$1,JupData!$A$2:$A$10000&amp;JupData!$J$2:$J$10000,0),11))</f>
        <v/>
      </c>
      <c r="R130" t="str">
        <f t="array" ref="R130">IF($A130="","",INDEX(JupData!$A$2:$K$10000,MATCH($A130&amp;R$1,JupData!$A$2:$A$10000&amp;JupData!$J$2:$J$10000,0),11))</f>
        <v/>
      </c>
      <c r="S130" t="str">
        <f t="array" ref="S130">IF($A130="","",INDEX(JupData!$A$2:$K$10000,MATCH($A130&amp;S$1,JupData!$A$2:$A$10000&amp;JupData!$J$2:$J$10000,0),11))</f>
        <v/>
      </c>
      <c r="T130" t="str">
        <f t="array" ref="T130">IF($A130="","",INDEX(JupData!$A$2:$K$10000,MATCH($A130&amp;T$1,JupData!$A$2:$A$10000&amp;JupData!$J$2:$J$10000,0),11))</f>
        <v/>
      </c>
      <c r="U130" t="str">
        <f t="array" ref="U130">IF($A130="","",INDEX(JupData!$A$2:$K$10000,MATCH($A130&amp;U$1,JupData!$A$2:$A$10000&amp;JupData!$J$2:$J$10000,0),11))</f>
        <v/>
      </c>
      <c r="V130" t="str">
        <f t="array" ref="V130">IF($A130="","",INDEX(JupData!$A$2:$K$10000,MATCH($A130&amp;V$1,JupData!$A$2:$A$10000&amp;JupData!$J$2:$J$10000,0),11))</f>
        <v/>
      </c>
      <c r="W130" t="str">
        <f t="array" ref="W130">IF($A130="","",INDEX(JupData!$A$2:$K$10000,MATCH($A130&amp;W$1,JupData!$A$2:$A$10000&amp;JupData!$J$2:$J$10000,0),11))</f>
        <v/>
      </c>
      <c r="X130" t="str">
        <f t="array" ref="X130">IF($A130="","",INDEX(JupData!$A$2:$K$10000,MATCH($A130&amp;X$1,JupData!$A$2:$A$10000&amp;JupData!$J$2:$J$10000,0),11))</f>
        <v/>
      </c>
      <c r="Y130" t="str">
        <f t="array" ref="Y130">IF($A130="","",INDEX(JupData!$A$2:$K$10000,MATCH($A130&amp;Y$1,JupData!$A$2:$A$10000&amp;JupData!$J$2:$J$10000,0),11))</f>
        <v/>
      </c>
      <c r="Z130" t="str">
        <f t="array" ref="Z130">IF($A130="","",INDEX(JupData!$A$2:$K$10000,MATCH($A130&amp;Z$1,JupData!$A$2:$A$10000&amp;JupData!$J$2:$J$10000,0),11))</f>
        <v/>
      </c>
      <c r="AA130" t="str">
        <f t="array" ref="AA130">IF($A130="","",INDEX(JupData!$A$2:$K$10000,MATCH($A130&amp;AA$1,JupData!$A$2:$A$10000&amp;JupData!$J$2:$J$10000,0),11))</f>
        <v/>
      </c>
      <c r="AB130" t="str">
        <f t="array" ref="AB130">IF($A130="","",INDEX(JupData!$A$2:$K$10000,MATCH($A130&amp;AB$1,JupData!$A$2:$A$10000&amp;JupData!$J$2:$J$10000,0),11))</f>
        <v/>
      </c>
      <c r="AC130" s="10" t="str">
        <f t="shared" si="11"/>
        <v/>
      </c>
      <c r="AD130" s="10" t="str">
        <f t="shared" si="12"/>
        <v/>
      </c>
      <c r="AE130" s="9" t="str">
        <f t="shared" si="13"/>
        <v/>
      </c>
      <c r="AF130" s="10" t="str">
        <f t="shared" si="14"/>
        <v/>
      </c>
      <c r="AG130" s="10" t="str">
        <f t="shared" si="15"/>
        <v/>
      </c>
      <c r="AH130" s="10" t="str">
        <f t="shared" si="16"/>
        <v/>
      </c>
      <c r="AI130" s="10" t="str">
        <f t="shared" si="17"/>
        <v/>
      </c>
      <c r="AJ130" s="10" t="str">
        <f t="shared" si="18"/>
        <v/>
      </c>
      <c r="AK130" s="10" t="str">
        <f t="shared" si="19"/>
        <v/>
      </c>
      <c r="AL130" s="14" t="str">
        <f t="shared" si="20"/>
        <v/>
      </c>
    </row>
    <row r="131" spans="1:38" x14ac:dyDescent="0.2">
      <c r="A131"/>
      <c r="B131" t="str">
        <f>IF($A131="","",VLOOKUP($A131,JupData!$A$2:$I$10000,4,FALSE))</f>
        <v/>
      </c>
      <c r="C131" s="7" t="str">
        <f>IF($A131="",IF(N(D131),0,""),VLOOKUP($A131,JupData!$A$2:$I$10000,7,FALSE))</f>
        <v/>
      </c>
      <c r="D131" t="str">
        <f t="shared" si="21"/>
        <v/>
      </c>
      <c r="E131" t="str">
        <f t="array" ref="E131">IF($A131="","",INDEX(JupData!$A$2:$K$10000,MATCH($A131&amp;E$1,JupData!$A$2:$A$10000&amp;JupData!$J$2:$J$10000,0),11))</f>
        <v/>
      </c>
      <c r="F131" t="str">
        <f t="array" ref="F131">IF($A131="","",INDEX(JupData!$A$2:$K$10000,MATCH($A131&amp;F$1,JupData!$A$2:$A$10000&amp;JupData!$J$2:$J$10000,0),11))</f>
        <v/>
      </c>
      <c r="G131" t="str">
        <f t="array" ref="G131">IF($A131="","",INDEX(JupData!$A$2:$K$10000,MATCH($A131&amp;G$1,JupData!$A$2:$A$10000&amp;JupData!$J$2:$J$10000,0),11))</f>
        <v/>
      </c>
      <c r="H131" t="str">
        <f t="array" ref="H131">IF($A131="","",INDEX(JupData!$A$2:$K$10000,MATCH($A131&amp;H$1,JupData!$A$2:$A$10000&amp;JupData!$J$2:$J$10000,0),11))</f>
        <v/>
      </c>
      <c r="I131" t="str">
        <f t="array" ref="I131">IF($A131="","",INDEX(JupData!$A$2:$K$10000,MATCH($A131&amp;I$1,JupData!$A$2:$A$10000&amp;JupData!$J$2:$J$10000,0),11))</f>
        <v/>
      </c>
      <c r="J131" t="str">
        <f t="array" ref="J131">IF($A131="","",INDEX(JupData!$A$2:$K$10000,MATCH($A131&amp;J$1,JupData!$A$2:$A$10000&amp;JupData!$J$2:$J$10000,0),11))</f>
        <v/>
      </c>
      <c r="K131" t="str">
        <f t="array" ref="K131">IF($A131="","",INDEX(JupData!$A$2:$K$10000,MATCH($A131&amp;K$1,JupData!$A$2:$A$10000&amp;JupData!$J$2:$J$10000,0),11))</f>
        <v/>
      </c>
      <c r="L131" t="str">
        <f t="array" ref="L131">IF($A131="","",INDEX(JupData!$A$2:$K$10000,MATCH($A131&amp;L$1,JupData!$A$2:$A$10000&amp;JupData!$J$2:$J$10000,0),11))</f>
        <v/>
      </c>
      <c r="M131" t="str">
        <f t="array" ref="M131">IF($A131="","",INDEX(JupData!$A$2:$K$10000,MATCH($A131&amp;M$1,JupData!$A$2:$A$10000&amp;JupData!$J$2:$J$10000,0),11))</f>
        <v/>
      </c>
      <c r="N131" t="str">
        <f t="array" ref="N131">IF($A131="","",INDEX(JupData!$A$2:$K$10000,MATCH($A131&amp;N$1,JupData!$A$2:$A$10000&amp;JupData!$J$2:$J$10000,0),11))</f>
        <v/>
      </c>
      <c r="O131" t="str">
        <f t="array" ref="O131">IF($A131="","",INDEX(JupData!$A$2:$K$10000,MATCH($A131&amp;O$1,JupData!$A$2:$A$10000&amp;JupData!$J$2:$J$10000,0),11))</f>
        <v/>
      </c>
      <c r="P131" t="str">
        <f t="array" ref="P131">IF($A131="","",INDEX(JupData!$A$2:$K$10000,MATCH($A131&amp;P$1,JupData!$A$2:$A$10000&amp;JupData!$J$2:$J$10000,0),11))</f>
        <v/>
      </c>
      <c r="Q131" t="str">
        <f t="array" ref="Q131">IF($A131="","",INDEX(JupData!$A$2:$K$10000,MATCH($A131&amp;Q$1,JupData!$A$2:$A$10000&amp;JupData!$J$2:$J$10000,0),11))</f>
        <v/>
      </c>
      <c r="R131" t="str">
        <f t="array" ref="R131">IF($A131="","",INDEX(JupData!$A$2:$K$10000,MATCH($A131&amp;R$1,JupData!$A$2:$A$10000&amp;JupData!$J$2:$J$10000,0),11))</f>
        <v/>
      </c>
      <c r="S131" t="str">
        <f t="array" ref="S131">IF($A131="","",INDEX(JupData!$A$2:$K$10000,MATCH($A131&amp;S$1,JupData!$A$2:$A$10000&amp;JupData!$J$2:$J$10000,0),11))</f>
        <v/>
      </c>
      <c r="T131" t="str">
        <f t="array" ref="T131">IF($A131="","",INDEX(JupData!$A$2:$K$10000,MATCH($A131&amp;T$1,JupData!$A$2:$A$10000&amp;JupData!$J$2:$J$10000,0),11))</f>
        <v/>
      </c>
      <c r="U131" t="str">
        <f t="array" ref="U131">IF($A131="","",INDEX(JupData!$A$2:$K$10000,MATCH($A131&amp;U$1,JupData!$A$2:$A$10000&amp;JupData!$J$2:$J$10000,0),11))</f>
        <v/>
      </c>
      <c r="V131" t="str">
        <f t="array" ref="V131">IF($A131="","",INDEX(JupData!$A$2:$K$10000,MATCH($A131&amp;V$1,JupData!$A$2:$A$10000&amp;JupData!$J$2:$J$10000,0),11))</f>
        <v/>
      </c>
      <c r="W131" t="str">
        <f t="array" ref="W131">IF($A131="","",INDEX(JupData!$A$2:$K$10000,MATCH($A131&amp;W$1,JupData!$A$2:$A$10000&amp;JupData!$J$2:$J$10000,0),11))</f>
        <v/>
      </c>
      <c r="X131" t="str">
        <f t="array" ref="X131">IF($A131="","",INDEX(JupData!$A$2:$K$10000,MATCH($A131&amp;X$1,JupData!$A$2:$A$10000&amp;JupData!$J$2:$J$10000,0),11))</f>
        <v/>
      </c>
      <c r="Y131" t="str">
        <f t="array" ref="Y131">IF($A131="","",INDEX(JupData!$A$2:$K$10000,MATCH($A131&amp;Y$1,JupData!$A$2:$A$10000&amp;JupData!$J$2:$J$10000,0),11))</f>
        <v/>
      </c>
      <c r="Z131" t="str">
        <f t="array" ref="Z131">IF($A131="","",INDEX(JupData!$A$2:$K$10000,MATCH($A131&amp;Z$1,JupData!$A$2:$A$10000&amp;JupData!$J$2:$J$10000,0),11))</f>
        <v/>
      </c>
      <c r="AA131" t="str">
        <f t="array" ref="AA131">IF($A131="","",INDEX(JupData!$A$2:$K$10000,MATCH($A131&amp;AA$1,JupData!$A$2:$A$10000&amp;JupData!$J$2:$J$10000,0),11))</f>
        <v/>
      </c>
      <c r="AB131" t="str">
        <f t="array" ref="AB131">IF($A131="","",INDEX(JupData!$A$2:$K$10000,MATCH($A131&amp;AB$1,JupData!$A$2:$A$10000&amp;JupData!$J$2:$J$10000,0),11))</f>
        <v/>
      </c>
      <c r="AC131" s="10" t="str">
        <f t="shared" ref="AC131:AC194" si="22">IF(A131="","",2*H131/40.08+2*I131/24.3+J131/22.99+K131/39.1+Y131/18.04)</f>
        <v/>
      </c>
      <c r="AD131" s="10" t="str">
        <f t="shared" ref="AD131:AD194" si="23">IF(A131="","",R131/61.02+2*S131/96.06+T131/35.45+U131/19+W131/62)</f>
        <v/>
      </c>
      <c r="AE131" s="9" t="str">
        <f t="shared" ref="AE131:AE194" si="24">IF(A131="","",IF(AD131&lt;0,((AC131+AD131)/(AC131-AD131)),((AC131-AD131)/(AC131+AD131))))</f>
        <v/>
      </c>
      <c r="AF131" s="10" t="str">
        <f t="shared" ref="AF131:AF194" si="25">IF(A131="","",(J131/22.99)/(T131/35.45))</f>
        <v/>
      </c>
      <c r="AG131" s="10" t="str">
        <f t="shared" ref="AG131:AG194" si="26">IF(A131="","",2*((H131/40.08)+(I131/24.3))/(R131/61.02))</f>
        <v/>
      </c>
      <c r="AH131" s="10" t="str">
        <f t="shared" ref="AH131:AH194" si="27">IF(A131="","",(J131/22.99)/((J131/22.99)+2*(H131/40.08)))</f>
        <v/>
      </c>
      <c r="AI131" s="10" t="str">
        <f t="shared" ref="AI131:AI194" si="28">IF(A131="","",H131/40.08)</f>
        <v/>
      </c>
      <c r="AJ131" s="10" t="str">
        <f t="shared" ref="AJ131:AJ194" si="29">IF(A131="","",S131/96.06)</f>
        <v/>
      </c>
      <c r="AK131" s="10" t="str">
        <f t="shared" ref="AK131:AK194" si="30">IF(A131="","",IF(W131&gt;=1,IF(L131&lt;0.2,IF(G131&gt;1,"A","B"),"X1"),IF(L131&gt;=0.2,IF(S131&gt;=20,IF(S131&gt;70,"C2","C1"),IF(AG131&lt;=1,"D","X3")),"X2")))</f>
        <v/>
      </c>
      <c r="AL131" s="14" t="str">
        <f t="shared" ref="AL131:AL194" si="31">IF(F131="","",(H131/40.1+I131/24.3)*5.6)</f>
        <v/>
      </c>
    </row>
    <row r="132" spans="1:38" x14ac:dyDescent="0.2">
      <c r="A132"/>
      <c r="B132" t="str">
        <f>IF($A132="","",VLOOKUP($A132,JupData!$A$2:$I$10000,4,FALSE))</f>
        <v/>
      </c>
      <c r="C132" s="7" t="str">
        <f>IF($A132="",IF(N(D132),0,""),VLOOKUP($A132,JupData!$A$2:$I$10000,7,FALSE))</f>
        <v/>
      </c>
      <c r="D132" t="str">
        <f t="shared" ref="D132:D195" si="32">IF(A132="",IF(D131&lt;20,D131+1,""),IF(B131="",1,IF(B131=B132,D131,D131+1)))</f>
        <v/>
      </c>
      <c r="E132" t="str">
        <f t="array" ref="E132">IF($A132="","",INDEX(JupData!$A$2:$K$10000,MATCH($A132&amp;E$1,JupData!$A$2:$A$10000&amp;JupData!$J$2:$J$10000,0),11))</f>
        <v/>
      </c>
      <c r="F132" t="str">
        <f t="array" ref="F132">IF($A132="","",INDEX(JupData!$A$2:$K$10000,MATCH($A132&amp;F$1,JupData!$A$2:$A$10000&amp;JupData!$J$2:$J$10000,0),11))</f>
        <v/>
      </c>
      <c r="G132" t="str">
        <f t="array" ref="G132">IF($A132="","",INDEX(JupData!$A$2:$K$10000,MATCH($A132&amp;G$1,JupData!$A$2:$A$10000&amp;JupData!$J$2:$J$10000,0),11))</f>
        <v/>
      </c>
      <c r="H132" t="str">
        <f t="array" ref="H132">IF($A132="","",INDEX(JupData!$A$2:$K$10000,MATCH($A132&amp;H$1,JupData!$A$2:$A$10000&amp;JupData!$J$2:$J$10000,0),11))</f>
        <v/>
      </c>
      <c r="I132" t="str">
        <f t="array" ref="I132">IF($A132="","",INDEX(JupData!$A$2:$K$10000,MATCH($A132&amp;I$1,JupData!$A$2:$A$10000&amp;JupData!$J$2:$J$10000,0),11))</f>
        <v/>
      </c>
      <c r="J132" t="str">
        <f t="array" ref="J132">IF($A132="","",INDEX(JupData!$A$2:$K$10000,MATCH($A132&amp;J$1,JupData!$A$2:$A$10000&amp;JupData!$J$2:$J$10000,0),11))</f>
        <v/>
      </c>
      <c r="K132" t="str">
        <f t="array" ref="K132">IF($A132="","",INDEX(JupData!$A$2:$K$10000,MATCH($A132&amp;K$1,JupData!$A$2:$A$10000&amp;JupData!$J$2:$J$10000,0),11))</f>
        <v/>
      </c>
      <c r="L132" t="str">
        <f t="array" ref="L132">IF($A132="","",INDEX(JupData!$A$2:$K$10000,MATCH($A132&amp;L$1,JupData!$A$2:$A$10000&amp;JupData!$J$2:$J$10000,0),11))</f>
        <v/>
      </c>
      <c r="M132" t="str">
        <f t="array" ref="M132">IF($A132="","",INDEX(JupData!$A$2:$K$10000,MATCH($A132&amp;M$1,JupData!$A$2:$A$10000&amp;JupData!$J$2:$J$10000,0),11))</f>
        <v/>
      </c>
      <c r="N132" t="str">
        <f t="array" ref="N132">IF($A132="","",INDEX(JupData!$A$2:$K$10000,MATCH($A132&amp;N$1,JupData!$A$2:$A$10000&amp;JupData!$J$2:$J$10000,0),11))</f>
        <v/>
      </c>
      <c r="O132" t="str">
        <f t="array" ref="O132">IF($A132="","",INDEX(JupData!$A$2:$K$10000,MATCH($A132&amp;O$1,JupData!$A$2:$A$10000&amp;JupData!$J$2:$J$10000,0),11))</f>
        <v/>
      </c>
      <c r="P132" t="str">
        <f t="array" ref="P132">IF($A132="","",INDEX(JupData!$A$2:$K$10000,MATCH($A132&amp;P$1,JupData!$A$2:$A$10000&amp;JupData!$J$2:$J$10000,0),11))</f>
        <v/>
      </c>
      <c r="Q132" t="str">
        <f t="array" ref="Q132">IF($A132="","",INDEX(JupData!$A$2:$K$10000,MATCH($A132&amp;Q$1,JupData!$A$2:$A$10000&amp;JupData!$J$2:$J$10000,0),11))</f>
        <v/>
      </c>
      <c r="R132" t="str">
        <f t="array" ref="R132">IF($A132="","",INDEX(JupData!$A$2:$K$10000,MATCH($A132&amp;R$1,JupData!$A$2:$A$10000&amp;JupData!$J$2:$J$10000,0),11))</f>
        <v/>
      </c>
      <c r="S132" t="str">
        <f t="array" ref="S132">IF($A132="","",INDEX(JupData!$A$2:$K$10000,MATCH($A132&amp;S$1,JupData!$A$2:$A$10000&amp;JupData!$J$2:$J$10000,0),11))</f>
        <v/>
      </c>
      <c r="T132" t="str">
        <f t="array" ref="T132">IF($A132="","",INDEX(JupData!$A$2:$K$10000,MATCH($A132&amp;T$1,JupData!$A$2:$A$10000&amp;JupData!$J$2:$J$10000,0),11))</f>
        <v/>
      </c>
      <c r="U132" t="str">
        <f t="array" ref="U132">IF($A132="","",INDEX(JupData!$A$2:$K$10000,MATCH($A132&amp;U$1,JupData!$A$2:$A$10000&amp;JupData!$J$2:$J$10000,0),11))</f>
        <v/>
      </c>
      <c r="V132" t="str">
        <f t="array" ref="V132">IF($A132="","",INDEX(JupData!$A$2:$K$10000,MATCH($A132&amp;V$1,JupData!$A$2:$A$10000&amp;JupData!$J$2:$J$10000,0),11))</f>
        <v/>
      </c>
      <c r="W132" t="str">
        <f t="array" ref="W132">IF($A132="","",INDEX(JupData!$A$2:$K$10000,MATCH($A132&amp;W$1,JupData!$A$2:$A$10000&amp;JupData!$J$2:$J$10000,0),11))</f>
        <v/>
      </c>
      <c r="X132" t="str">
        <f t="array" ref="X132">IF($A132="","",INDEX(JupData!$A$2:$K$10000,MATCH($A132&amp;X$1,JupData!$A$2:$A$10000&amp;JupData!$J$2:$J$10000,0),11))</f>
        <v/>
      </c>
      <c r="Y132" t="str">
        <f t="array" ref="Y132">IF($A132="","",INDEX(JupData!$A$2:$K$10000,MATCH($A132&amp;Y$1,JupData!$A$2:$A$10000&amp;JupData!$J$2:$J$10000,0),11))</f>
        <v/>
      </c>
      <c r="Z132" t="str">
        <f t="array" ref="Z132">IF($A132="","",INDEX(JupData!$A$2:$K$10000,MATCH($A132&amp;Z$1,JupData!$A$2:$A$10000&amp;JupData!$J$2:$J$10000,0),11))</f>
        <v/>
      </c>
      <c r="AA132" t="str">
        <f t="array" ref="AA132">IF($A132="","",INDEX(JupData!$A$2:$K$10000,MATCH($A132&amp;AA$1,JupData!$A$2:$A$10000&amp;JupData!$J$2:$J$10000,0),11))</f>
        <v/>
      </c>
      <c r="AB132" t="str">
        <f t="array" ref="AB132">IF($A132="","",INDEX(JupData!$A$2:$K$10000,MATCH($A132&amp;AB$1,JupData!$A$2:$A$10000&amp;JupData!$J$2:$J$10000,0),11))</f>
        <v/>
      </c>
      <c r="AC132" s="10" t="str">
        <f t="shared" si="22"/>
        <v/>
      </c>
      <c r="AD132" s="10" t="str">
        <f t="shared" si="23"/>
        <v/>
      </c>
      <c r="AE132" s="9" t="str">
        <f t="shared" si="24"/>
        <v/>
      </c>
      <c r="AF132" s="10" t="str">
        <f t="shared" si="25"/>
        <v/>
      </c>
      <c r="AG132" s="10" t="str">
        <f t="shared" si="26"/>
        <v/>
      </c>
      <c r="AH132" s="10" t="str">
        <f t="shared" si="27"/>
        <v/>
      </c>
      <c r="AI132" s="10" t="str">
        <f t="shared" si="28"/>
        <v/>
      </c>
      <c r="AJ132" s="10" t="str">
        <f t="shared" si="29"/>
        <v/>
      </c>
      <c r="AK132" s="10" t="str">
        <f t="shared" si="30"/>
        <v/>
      </c>
      <c r="AL132" s="14" t="str">
        <f t="shared" si="31"/>
        <v/>
      </c>
    </row>
    <row r="133" spans="1:38" x14ac:dyDescent="0.2">
      <c r="A133"/>
      <c r="B133" t="str">
        <f>IF($A133="","",VLOOKUP($A133,JupData!$A$2:$I$10000,4,FALSE))</f>
        <v/>
      </c>
      <c r="C133" s="7" t="str">
        <f>IF($A133="",IF(N(D133),0,""),VLOOKUP($A133,JupData!$A$2:$I$10000,7,FALSE))</f>
        <v/>
      </c>
      <c r="D133" t="str">
        <f t="shared" si="32"/>
        <v/>
      </c>
      <c r="E133" t="str">
        <f t="array" ref="E133">IF($A133="","",INDEX(JupData!$A$2:$K$10000,MATCH($A133&amp;E$1,JupData!$A$2:$A$10000&amp;JupData!$J$2:$J$10000,0),11))</f>
        <v/>
      </c>
      <c r="F133" t="str">
        <f t="array" ref="F133">IF($A133="","",INDEX(JupData!$A$2:$K$10000,MATCH($A133&amp;F$1,JupData!$A$2:$A$10000&amp;JupData!$J$2:$J$10000,0),11))</f>
        <v/>
      </c>
      <c r="G133" t="str">
        <f t="array" ref="G133">IF($A133="","",INDEX(JupData!$A$2:$K$10000,MATCH($A133&amp;G$1,JupData!$A$2:$A$10000&amp;JupData!$J$2:$J$10000,0),11))</f>
        <v/>
      </c>
      <c r="H133" t="str">
        <f t="array" ref="H133">IF($A133="","",INDEX(JupData!$A$2:$K$10000,MATCH($A133&amp;H$1,JupData!$A$2:$A$10000&amp;JupData!$J$2:$J$10000,0),11))</f>
        <v/>
      </c>
      <c r="I133" t="str">
        <f t="array" ref="I133">IF($A133="","",INDEX(JupData!$A$2:$K$10000,MATCH($A133&amp;I$1,JupData!$A$2:$A$10000&amp;JupData!$J$2:$J$10000,0),11))</f>
        <v/>
      </c>
      <c r="J133" t="str">
        <f t="array" ref="J133">IF($A133="","",INDEX(JupData!$A$2:$K$10000,MATCH($A133&amp;J$1,JupData!$A$2:$A$10000&amp;JupData!$J$2:$J$10000,0),11))</f>
        <v/>
      </c>
      <c r="K133" t="str">
        <f t="array" ref="K133">IF($A133="","",INDEX(JupData!$A$2:$K$10000,MATCH($A133&amp;K$1,JupData!$A$2:$A$10000&amp;JupData!$J$2:$J$10000,0),11))</f>
        <v/>
      </c>
      <c r="L133" t="str">
        <f t="array" ref="L133">IF($A133="","",INDEX(JupData!$A$2:$K$10000,MATCH($A133&amp;L$1,JupData!$A$2:$A$10000&amp;JupData!$J$2:$J$10000,0),11))</f>
        <v/>
      </c>
      <c r="M133" t="str">
        <f t="array" ref="M133">IF($A133="","",INDEX(JupData!$A$2:$K$10000,MATCH($A133&amp;M$1,JupData!$A$2:$A$10000&amp;JupData!$J$2:$J$10000,0),11))</f>
        <v/>
      </c>
      <c r="N133" t="str">
        <f t="array" ref="N133">IF($A133="","",INDEX(JupData!$A$2:$K$10000,MATCH($A133&amp;N$1,JupData!$A$2:$A$10000&amp;JupData!$J$2:$J$10000,0),11))</f>
        <v/>
      </c>
      <c r="O133" t="str">
        <f t="array" ref="O133">IF($A133="","",INDEX(JupData!$A$2:$K$10000,MATCH($A133&amp;O$1,JupData!$A$2:$A$10000&amp;JupData!$J$2:$J$10000,0),11))</f>
        <v/>
      </c>
      <c r="P133" t="str">
        <f t="array" ref="P133">IF($A133="","",INDEX(JupData!$A$2:$K$10000,MATCH($A133&amp;P$1,JupData!$A$2:$A$10000&amp;JupData!$J$2:$J$10000,0),11))</f>
        <v/>
      </c>
      <c r="Q133" t="str">
        <f t="array" ref="Q133">IF($A133="","",INDEX(JupData!$A$2:$K$10000,MATCH($A133&amp;Q$1,JupData!$A$2:$A$10000&amp;JupData!$J$2:$J$10000,0),11))</f>
        <v/>
      </c>
      <c r="R133" t="str">
        <f t="array" ref="R133">IF($A133="","",INDEX(JupData!$A$2:$K$10000,MATCH($A133&amp;R$1,JupData!$A$2:$A$10000&amp;JupData!$J$2:$J$10000,0),11))</f>
        <v/>
      </c>
      <c r="S133" t="str">
        <f t="array" ref="S133">IF($A133="","",INDEX(JupData!$A$2:$K$10000,MATCH($A133&amp;S$1,JupData!$A$2:$A$10000&amp;JupData!$J$2:$J$10000,0),11))</f>
        <v/>
      </c>
      <c r="T133" t="str">
        <f t="array" ref="T133">IF($A133="","",INDEX(JupData!$A$2:$K$10000,MATCH($A133&amp;T$1,JupData!$A$2:$A$10000&amp;JupData!$J$2:$J$10000,0),11))</f>
        <v/>
      </c>
      <c r="U133" t="str">
        <f t="array" ref="U133">IF($A133="","",INDEX(JupData!$A$2:$K$10000,MATCH($A133&amp;U$1,JupData!$A$2:$A$10000&amp;JupData!$J$2:$J$10000,0),11))</f>
        <v/>
      </c>
      <c r="V133" t="str">
        <f t="array" ref="V133">IF($A133="","",INDEX(JupData!$A$2:$K$10000,MATCH($A133&amp;V$1,JupData!$A$2:$A$10000&amp;JupData!$J$2:$J$10000,0),11))</f>
        <v/>
      </c>
      <c r="W133" t="str">
        <f t="array" ref="W133">IF($A133="","",INDEX(JupData!$A$2:$K$10000,MATCH($A133&amp;W$1,JupData!$A$2:$A$10000&amp;JupData!$J$2:$J$10000,0),11))</f>
        <v/>
      </c>
      <c r="X133" t="str">
        <f t="array" ref="X133">IF($A133="","",INDEX(JupData!$A$2:$K$10000,MATCH($A133&amp;X$1,JupData!$A$2:$A$10000&amp;JupData!$J$2:$J$10000,0),11))</f>
        <v/>
      </c>
      <c r="Y133" t="str">
        <f t="array" ref="Y133">IF($A133="","",INDEX(JupData!$A$2:$K$10000,MATCH($A133&amp;Y$1,JupData!$A$2:$A$10000&amp;JupData!$J$2:$J$10000,0),11))</f>
        <v/>
      </c>
      <c r="Z133" t="str">
        <f t="array" ref="Z133">IF($A133="","",INDEX(JupData!$A$2:$K$10000,MATCH($A133&amp;Z$1,JupData!$A$2:$A$10000&amp;JupData!$J$2:$J$10000,0),11))</f>
        <v/>
      </c>
      <c r="AA133" t="str">
        <f t="array" ref="AA133">IF($A133="","",INDEX(JupData!$A$2:$K$10000,MATCH($A133&amp;AA$1,JupData!$A$2:$A$10000&amp;JupData!$J$2:$J$10000,0),11))</f>
        <v/>
      </c>
      <c r="AB133" t="str">
        <f t="array" ref="AB133">IF($A133="","",INDEX(JupData!$A$2:$K$10000,MATCH($A133&amp;AB$1,JupData!$A$2:$A$10000&amp;JupData!$J$2:$J$10000,0),11))</f>
        <v/>
      </c>
      <c r="AC133" s="10" t="str">
        <f t="shared" si="22"/>
        <v/>
      </c>
      <c r="AD133" s="10" t="str">
        <f t="shared" si="23"/>
        <v/>
      </c>
      <c r="AE133" s="9" t="str">
        <f t="shared" si="24"/>
        <v/>
      </c>
      <c r="AF133" s="10" t="str">
        <f t="shared" si="25"/>
        <v/>
      </c>
      <c r="AG133" s="10" t="str">
        <f t="shared" si="26"/>
        <v/>
      </c>
      <c r="AH133" s="10" t="str">
        <f t="shared" si="27"/>
        <v/>
      </c>
      <c r="AI133" s="10" t="str">
        <f t="shared" si="28"/>
        <v/>
      </c>
      <c r="AJ133" s="10" t="str">
        <f t="shared" si="29"/>
        <v/>
      </c>
      <c r="AK133" s="10" t="str">
        <f t="shared" si="30"/>
        <v/>
      </c>
      <c r="AL133" s="14" t="str">
        <f t="shared" si="31"/>
        <v/>
      </c>
    </row>
    <row r="134" spans="1:38" x14ac:dyDescent="0.2">
      <c r="A134"/>
      <c r="B134" t="str">
        <f>IF($A134="","",VLOOKUP($A134,JupData!$A$2:$I$10000,4,FALSE))</f>
        <v/>
      </c>
      <c r="C134" s="7" t="str">
        <f>IF($A134="",IF(N(D134),0,""),VLOOKUP($A134,JupData!$A$2:$I$10000,7,FALSE))</f>
        <v/>
      </c>
      <c r="D134" t="str">
        <f t="shared" si="32"/>
        <v/>
      </c>
      <c r="E134" t="str">
        <f t="array" ref="E134">IF($A134="","",INDEX(JupData!$A$2:$K$10000,MATCH($A134&amp;E$1,JupData!$A$2:$A$10000&amp;JupData!$J$2:$J$10000,0),11))</f>
        <v/>
      </c>
      <c r="F134" t="str">
        <f t="array" ref="F134">IF($A134="","",INDEX(JupData!$A$2:$K$10000,MATCH($A134&amp;F$1,JupData!$A$2:$A$10000&amp;JupData!$J$2:$J$10000,0),11))</f>
        <v/>
      </c>
      <c r="G134" t="str">
        <f t="array" ref="G134">IF($A134="","",INDEX(JupData!$A$2:$K$10000,MATCH($A134&amp;G$1,JupData!$A$2:$A$10000&amp;JupData!$J$2:$J$10000,0),11))</f>
        <v/>
      </c>
      <c r="H134" t="str">
        <f t="array" ref="H134">IF($A134="","",INDEX(JupData!$A$2:$K$10000,MATCH($A134&amp;H$1,JupData!$A$2:$A$10000&amp;JupData!$J$2:$J$10000,0),11))</f>
        <v/>
      </c>
      <c r="I134" t="str">
        <f t="array" ref="I134">IF($A134="","",INDEX(JupData!$A$2:$K$10000,MATCH($A134&amp;I$1,JupData!$A$2:$A$10000&amp;JupData!$J$2:$J$10000,0),11))</f>
        <v/>
      </c>
      <c r="J134" t="str">
        <f t="array" ref="J134">IF($A134="","",INDEX(JupData!$A$2:$K$10000,MATCH($A134&amp;J$1,JupData!$A$2:$A$10000&amp;JupData!$J$2:$J$10000,0),11))</f>
        <v/>
      </c>
      <c r="K134" t="str">
        <f t="array" ref="K134">IF($A134="","",INDEX(JupData!$A$2:$K$10000,MATCH($A134&amp;K$1,JupData!$A$2:$A$10000&amp;JupData!$J$2:$J$10000,0),11))</f>
        <v/>
      </c>
      <c r="L134" t="str">
        <f t="array" ref="L134">IF($A134="","",INDEX(JupData!$A$2:$K$10000,MATCH($A134&amp;L$1,JupData!$A$2:$A$10000&amp;JupData!$J$2:$J$10000,0),11))</f>
        <v/>
      </c>
      <c r="M134" t="str">
        <f t="array" ref="M134">IF($A134="","",INDEX(JupData!$A$2:$K$10000,MATCH($A134&amp;M$1,JupData!$A$2:$A$10000&amp;JupData!$J$2:$J$10000,0),11))</f>
        <v/>
      </c>
      <c r="N134" t="str">
        <f t="array" ref="N134">IF($A134="","",INDEX(JupData!$A$2:$K$10000,MATCH($A134&amp;N$1,JupData!$A$2:$A$10000&amp;JupData!$J$2:$J$10000,0),11))</f>
        <v/>
      </c>
      <c r="O134" t="str">
        <f t="array" ref="O134">IF($A134="","",INDEX(JupData!$A$2:$K$10000,MATCH($A134&amp;O$1,JupData!$A$2:$A$10000&amp;JupData!$J$2:$J$10000,0),11))</f>
        <v/>
      </c>
      <c r="P134" t="str">
        <f t="array" ref="P134">IF($A134="","",INDEX(JupData!$A$2:$K$10000,MATCH($A134&amp;P$1,JupData!$A$2:$A$10000&amp;JupData!$J$2:$J$10000,0),11))</f>
        <v/>
      </c>
      <c r="Q134" t="str">
        <f t="array" ref="Q134">IF($A134="","",INDEX(JupData!$A$2:$K$10000,MATCH($A134&amp;Q$1,JupData!$A$2:$A$10000&amp;JupData!$J$2:$J$10000,0),11))</f>
        <v/>
      </c>
      <c r="R134" t="str">
        <f t="array" ref="R134">IF($A134="","",INDEX(JupData!$A$2:$K$10000,MATCH($A134&amp;R$1,JupData!$A$2:$A$10000&amp;JupData!$J$2:$J$10000,0),11))</f>
        <v/>
      </c>
      <c r="S134" t="str">
        <f t="array" ref="S134">IF($A134="","",INDEX(JupData!$A$2:$K$10000,MATCH($A134&amp;S$1,JupData!$A$2:$A$10000&amp;JupData!$J$2:$J$10000,0),11))</f>
        <v/>
      </c>
      <c r="T134" t="str">
        <f t="array" ref="T134">IF($A134="","",INDEX(JupData!$A$2:$K$10000,MATCH($A134&amp;T$1,JupData!$A$2:$A$10000&amp;JupData!$J$2:$J$10000,0),11))</f>
        <v/>
      </c>
      <c r="U134" t="str">
        <f t="array" ref="U134">IF($A134="","",INDEX(JupData!$A$2:$K$10000,MATCH($A134&amp;U$1,JupData!$A$2:$A$10000&amp;JupData!$J$2:$J$10000,0),11))</f>
        <v/>
      </c>
      <c r="V134" t="str">
        <f t="array" ref="V134">IF($A134="","",INDEX(JupData!$A$2:$K$10000,MATCH($A134&amp;V$1,JupData!$A$2:$A$10000&amp;JupData!$J$2:$J$10000,0),11))</f>
        <v/>
      </c>
      <c r="W134" t="str">
        <f t="array" ref="W134">IF($A134="","",INDEX(JupData!$A$2:$K$10000,MATCH($A134&amp;W$1,JupData!$A$2:$A$10000&amp;JupData!$J$2:$J$10000,0),11))</f>
        <v/>
      </c>
      <c r="X134" t="str">
        <f t="array" ref="X134">IF($A134="","",INDEX(JupData!$A$2:$K$10000,MATCH($A134&amp;X$1,JupData!$A$2:$A$10000&amp;JupData!$J$2:$J$10000,0),11))</f>
        <v/>
      </c>
      <c r="Y134" t="str">
        <f t="array" ref="Y134">IF($A134="","",INDEX(JupData!$A$2:$K$10000,MATCH($A134&amp;Y$1,JupData!$A$2:$A$10000&amp;JupData!$J$2:$J$10000,0),11))</f>
        <v/>
      </c>
      <c r="Z134" t="str">
        <f t="array" ref="Z134">IF($A134="","",INDEX(JupData!$A$2:$K$10000,MATCH($A134&amp;Z$1,JupData!$A$2:$A$10000&amp;JupData!$J$2:$J$10000,0),11))</f>
        <v/>
      </c>
      <c r="AA134" t="str">
        <f t="array" ref="AA134">IF($A134="","",INDEX(JupData!$A$2:$K$10000,MATCH($A134&amp;AA$1,JupData!$A$2:$A$10000&amp;JupData!$J$2:$J$10000,0),11))</f>
        <v/>
      </c>
      <c r="AB134" t="str">
        <f t="array" ref="AB134">IF($A134="","",INDEX(JupData!$A$2:$K$10000,MATCH($A134&amp;AB$1,JupData!$A$2:$A$10000&amp;JupData!$J$2:$J$10000,0),11))</f>
        <v/>
      </c>
      <c r="AC134" s="10" t="str">
        <f t="shared" si="22"/>
        <v/>
      </c>
      <c r="AD134" s="10" t="str">
        <f t="shared" si="23"/>
        <v/>
      </c>
      <c r="AE134" s="9" t="str">
        <f t="shared" si="24"/>
        <v/>
      </c>
      <c r="AF134" s="10" t="str">
        <f t="shared" si="25"/>
        <v/>
      </c>
      <c r="AG134" s="10" t="str">
        <f t="shared" si="26"/>
        <v/>
      </c>
      <c r="AH134" s="10" t="str">
        <f t="shared" si="27"/>
        <v/>
      </c>
      <c r="AI134" s="10" t="str">
        <f t="shared" si="28"/>
        <v/>
      </c>
      <c r="AJ134" s="10" t="str">
        <f t="shared" si="29"/>
        <v/>
      </c>
      <c r="AK134" s="10" t="str">
        <f t="shared" si="30"/>
        <v/>
      </c>
      <c r="AL134" s="14" t="str">
        <f t="shared" si="31"/>
        <v/>
      </c>
    </row>
    <row r="135" spans="1:38" x14ac:dyDescent="0.2">
      <c r="A135"/>
      <c r="B135" t="str">
        <f>IF($A135="","",VLOOKUP($A135,JupData!$A$2:$I$10000,4,FALSE))</f>
        <v/>
      </c>
      <c r="C135" s="7" t="str">
        <f>IF($A135="",IF(N(D135),0,""),VLOOKUP($A135,JupData!$A$2:$I$10000,7,FALSE))</f>
        <v/>
      </c>
      <c r="D135" t="str">
        <f t="shared" si="32"/>
        <v/>
      </c>
      <c r="E135" t="str">
        <f t="array" ref="E135">IF($A135="","",INDEX(JupData!$A$2:$K$10000,MATCH($A135&amp;E$1,JupData!$A$2:$A$10000&amp;JupData!$J$2:$J$10000,0),11))</f>
        <v/>
      </c>
      <c r="F135" t="str">
        <f t="array" ref="F135">IF($A135="","",INDEX(JupData!$A$2:$K$10000,MATCH($A135&amp;F$1,JupData!$A$2:$A$10000&amp;JupData!$J$2:$J$10000,0),11))</f>
        <v/>
      </c>
      <c r="G135" t="str">
        <f t="array" ref="G135">IF($A135="","",INDEX(JupData!$A$2:$K$10000,MATCH($A135&amp;G$1,JupData!$A$2:$A$10000&amp;JupData!$J$2:$J$10000,0),11))</f>
        <v/>
      </c>
      <c r="H135" t="str">
        <f t="array" ref="H135">IF($A135="","",INDEX(JupData!$A$2:$K$10000,MATCH($A135&amp;H$1,JupData!$A$2:$A$10000&amp;JupData!$J$2:$J$10000,0),11))</f>
        <v/>
      </c>
      <c r="I135" t="str">
        <f t="array" ref="I135">IF($A135="","",INDEX(JupData!$A$2:$K$10000,MATCH($A135&amp;I$1,JupData!$A$2:$A$10000&amp;JupData!$J$2:$J$10000,0),11))</f>
        <v/>
      </c>
      <c r="J135" t="str">
        <f t="array" ref="J135">IF($A135="","",INDEX(JupData!$A$2:$K$10000,MATCH($A135&amp;J$1,JupData!$A$2:$A$10000&amp;JupData!$J$2:$J$10000,0),11))</f>
        <v/>
      </c>
      <c r="K135" t="str">
        <f t="array" ref="K135">IF($A135="","",INDEX(JupData!$A$2:$K$10000,MATCH($A135&amp;K$1,JupData!$A$2:$A$10000&amp;JupData!$J$2:$J$10000,0),11))</f>
        <v/>
      </c>
      <c r="L135" t="str">
        <f t="array" ref="L135">IF($A135="","",INDEX(JupData!$A$2:$K$10000,MATCH($A135&amp;L$1,JupData!$A$2:$A$10000&amp;JupData!$J$2:$J$10000,0),11))</f>
        <v/>
      </c>
      <c r="M135" t="str">
        <f t="array" ref="M135">IF($A135="","",INDEX(JupData!$A$2:$K$10000,MATCH($A135&amp;M$1,JupData!$A$2:$A$10000&amp;JupData!$J$2:$J$10000,0),11))</f>
        <v/>
      </c>
      <c r="N135" t="str">
        <f t="array" ref="N135">IF($A135="","",INDEX(JupData!$A$2:$K$10000,MATCH($A135&amp;N$1,JupData!$A$2:$A$10000&amp;JupData!$J$2:$J$10000,0),11))</f>
        <v/>
      </c>
      <c r="O135" t="str">
        <f t="array" ref="O135">IF($A135="","",INDEX(JupData!$A$2:$K$10000,MATCH($A135&amp;O$1,JupData!$A$2:$A$10000&amp;JupData!$J$2:$J$10000,0),11))</f>
        <v/>
      </c>
      <c r="P135" t="str">
        <f t="array" ref="P135">IF($A135="","",INDEX(JupData!$A$2:$K$10000,MATCH($A135&amp;P$1,JupData!$A$2:$A$10000&amp;JupData!$J$2:$J$10000,0),11))</f>
        <v/>
      </c>
      <c r="Q135" t="str">
        <f t="array" ref="Q135">IF($A135="","",INDEX(JupData!$A$2:$K$10000,MATCH($A135&amp;Q$1,JupData!$A$2:$A$10000&amp;JupData!$J$2:$J$10000,0),11))</f>
        <v/>
      </c>
      <c r="R135" t="str">
        <f t="array" ref="R135">IF($A135="","",INDEX(JupData!$A$2:$K$10000,MATCH($A135&amp;R$1,JupData!$A$2:$A$10000&amp;JupData!$J$2:$J$10000,0),11))</f>
        <v/>
      </c>
      <c r="S135" t="str">
        <f t="array" ref="S135">IF($A135="","",INDEX(JupData!$A$2:$K$10000,MATCH($A135&amp;S$1,JupData!$A$2:$A$10000&amp;JupData!$J$2:$J$10000,0),11))</f>
        <v/>
      </c>
      <c r="T135" t="str">
        <f t="array" ref="T135">IF($A135="","",INDEX(JupData!$A$2:$K$10000,MATCH($A135&amp;T$1,JupData!$A$2:$A$10000&amp;JupData!$J$2:$J$10000,0),11))</f>
        <v/>
      </c>
      <c r="U135" t="str">
        <f t="array" ref="U135">IF($A135="","",INDEX(JupData!$A$2:$K$10000,MATCH($A135&amp;U$1,JupData!$A$2:$A$10000&amp;JupData!$J$2:$J$10000,0),11))</f>
        <v/>
      </c>
      <c r="V135" t="str">
        <f t="array" ref="V135">IF($A135="","",INDEX(JupData!$A$2:$K$10000,MATCH($A135&amp;V$1,JupData!$A$2:$A$10000&amp;JupData!$J$2:$J$10000,0),11))</f>
        <v/>
      </c>
      <c r="W135" t="str">
        <f t="array" ref="W135">IF($A135="","",INDEX(JupData!$A$2:$K$10000,MATCH($A135&amp;W$1,JupData!$A$2:$A$10000&amp;JupData!$J$2:$J$10000,0),11))</f>
        <v/>
      </c>
      <c r="X135" t="str">
        <f t="array" ref="X135">IF($A135="","",INDEX(JupData!$A$2:$K$10000,MATCH($A135&amp;X$1,JupData!$A$2:$A$10000&amp;JupData!$J$2:$J$10000,0),11))</f>
        <v/>
      </c>
      <c r="Y135" t="str">
        <f t="array" ref="Y135">IF($A135="","",INDEX(JupData!$A$2:$K$10000,MATCH($A135&amp;Y$1,JupData!$A$2:$A$10000&amp;JupData!$J$2:$J$10000,0),11))</f>
        <v/>
      </c>
      <c r="Z135" t="str">
        <f t="array" ref="Z135">IF($A135="","",INDEX(JupData!$A$2:$K$10000,MATCH($A135&amp;Z$1,JupData!$A$2:$A$10000&amp;JupData!$J$2:$J$10000,0),11))</f>
        <v/>
      </c>
      <c r="AA135" t="str">
        <f t="array" ref="AA135">IF($A135="","",INDEX(JupData!$A$2:$K$10000,MATCH($A135&amp;AA$1,JupData!$A$2:$A$10000&amp;JupData!$J$2:$J$10000,0),11))</f>
        <v/>
      </c>
      <c r="AB135" t="str">
        <f t="array" ref="AB135">IF($A135="","",INDEX(JupData!$A$2:$K$10000,MATCH($A135&amp;AB$1,JupData!$A$2:$A$10000&amp;JupData!$J$2:$J$10000,0),11))</f>
        <v/>
      </c>
      <c r="AC135" s="10" t="str">
        <f t="shared" si="22"/>
        <v/>
      </c>
      <c r="AD135" s="10" t="str">
        <f t="shared" si="23"/>
        <v/>
      </c>
      <c r="AE135" s="9" t="str">
        <f t="shared" si="24"/>
        <v/>
      </c>
      <c r="AF135" s="10" t="str">
        <f t="shared" si="25"/>
        <v/>
      </c>
      <c r="AG135" s="10" t="str">
        <f t="shared" si="26"/>
        <v/>
      </c>
      <c r="AH135" s="10" t="str">
        <f t="shared" si="27"/>
        <v/>
      </c>
      <c r="AI135" s="10" t="str">
        <f t="shared" si="28"/>
        <v/>
      </c>
      <c r="AJ135" s="10" t="str">
        <f t="shared" si="29"/>
        <v/>
      </c>
      <c r="AK135" s="10" t="str">
        <f t="shared" si="30"/>
        <v/>
      </c>
      <c r="AL135" s="14" t="str">
        <f t="shared" si="31"/>
        <v/>
      </c>
    </row>
    <row r="136" spans="1:38" x14ac:dyDescent="0.2">
      <c r="A136"/>
      <c r="B136" t="str">
        <f>IF($A136="","",VLOOKUP($A136,JupData!$A$2:$I$10000,4,FALSE))</f>
        <v/>
      </c>
      <c r="C136" s="7" t="str">
        <f>IF($A136="",IF(N(D136),0,""),VLOOKUP($A136,JupData!$A$2:$I$10000,7,FALSE))</f>
        <v/>
      </c>
      <c r="D136" t="str">
        <f t="shared" si="32"/>
        <v/>
      </c>
      <c r="E136" t="str">
        <f t="array" ref="E136">IF($A136="","",INDEX(JupData!$A$2:$K$10000,MATCH($A136&amp;E$1,JupData!$A$2:$A$10000&amp;JupData!$J$2:$J$10000,0),11))</f>
        <v/>
      </c>
      <c r="F136" t="str">
        <f t="array" ref="F136">IF($A136="","",INDEX(JupData!$A$2:$K$10000,MATCH($A136&amp;F$1,JupData!$A$2:$A$10000&amp;JupData!$J$2:$J$10000,0),11))</f>
        <v/>
      </c>
      <c r="G136" t="str">
        <f t="array" ref="G136">IF($A136="","",INDEX(JupData!$A$2:$K$10000,MATCH($A136&amp;G$1,JupData!$A$2:$A$10000&amp;JupData!$J$2:$J$10000,0),11))</f>
        <v/>
      </c>
      <c r="H136" t="str">
        <f t="array" ref="H136">IF($A136="","",INDEX(JupData!$A$2:$K$10000,MATCH($A136&amp;H$1,JupData!$A$2:$A$10000&amp;JupData!$J$2:$J$10000,0),11))</f>
        <v/>
      </c>
      <c r="I136" t="str">
        <f t="array" ref="I136">IF($A136="","",INDEX(JupData!$A$2:$K$10000,MATCH($A136&amp;I$1,JupData!$A$2:$A$10000&amp;JupData!$J$2:$J$10000,0),11))</f>
        <v/>
      </c>
      <c r="J136" t="str">
        <f t="array" ref="J136">IF($A136="","",INDEX(JupData!$A$2:$K$10000,MATCH($A136&amp;J$1,JupData!$A$2:$A$10000&amp;JupData!$J$2:$J$10000,0),11))</f>
        <v/>
      </c>
      <c r="K136" t="str">
        <f t="array" ref="K136">IF($A136="","",INDEX(JupData!$A$2:$K$10000,MATCH($A136&amp;K$1,JupData!$A$2:$A$10000&amp;JupData!$J$2:$J$10000,0),11))</f>
        <v/>
      </c>
      <c r="L136" t="str">
        <f t="array" ref="L136">IF($A136="","",INDEX(JupData!$A$2:$K$10000,MATCH($A136&amp;L$1,JupData!$A$2:$A$10000&amp;JupData!$J$2:$J$10000,0),11))</f>
        <v/>
      </c>
      <c r="M136" t="str">
        <f t="array" ref="M136">IF($A136="","",INDEX(JupData!$A$2:$K$10000,MATCH($A136&amp;M$1,JupData!$A$2:$A$10000&amp;JupData!$J$2:$J$10000,0),11))</f>
        <v/>
      </c>
      <c r="N136" t="str">
        <f t="array" ref="N136">IF($A136="","",INDEX(JupData!$A$2:$K$10000,MATCH($A136&amp;N$1,JupData!$A$2:$A$10000&amp;JupData!$J$2:$J$10000,0),11))</f>
        <v/>
      </c>
      <c r="O136" t="str">
        <f t="array" ref="O136">IF($A136="","",INDEX(JupData!$A$2:$K$10000,MATCH($A136&amp;O$1,JupData!$A$2:$A$10000&amp;JupData!$J$2:$J$10000,0),11))</f>
        <v/>
      </c>
      <c r="P136" t="str">
        <f t="array" ref="P136">IF($A136="","",INDEX(JupData!$A$2:$K$10000,MATCH($A136&amp;P$1,JupData!$A$2:$A$10000&amp;JupData!$J$2:$J$10000,0),11))</f>
        <v/>
      </c>
      <c r="Q136" t="str">
        <f t="array" ref="Q136">IF($A136="","",INDEX(JupData!$A$2:$K$10000,MATCH($A136&amp;Q$1,JupData!$A$2:$A$10000&amp;JupData!$J$2:$J$10000,0),11))</f>
        <v/>
      </c>
      <c r="R136" t="str">
        <f t="array" ref="R136">IF($A136="","",INDEX(JupData!$A$2:$K$10000,MATCH($A136&amp;R$1,JupData!$A$2:$A$10000&amp;JupData!$J$2:$J$10000,0),11))</f>
        <v/>
      </c>
      <c r="S136" t="str">
        <f t="array" ref="S136">IF($A136="","",INDEX(JupData!$A$2:$K$10000,MATCH($A136&amp;S$1,JupData!$A$2:$A$10000&amp;JupData!$J$2:$J$10000,0),11))</f>
        <v/>
      </c>
      <c r="T136" t="str">
        <f t="array" ref="T136">IF($A136="","",INDEX(JupData!$A$2:$K$10000,MATCH($A136&amp;T$1,JupData!$A$2:$A$10000&amp;JupData!$J$2:$J$10000,0),11))</f>
        <v/>
      </c>
      <c r="U136" t="str">
        <f t="array" ref="U136">IF($A136="","",INDEX(JupData!$A$2:$K$10000,MATCH($A136&amp;U$1,JupData!$A$2:$A$10000&amp;JupData!$J$2:$J$10000,0),11))</f>
        <v/>
      </c>
      <c r="V136" t="str">
        <f t="array" ref="V136">IF($A136="","",INDEX(JupData!$A$2:$K$10000,MATCH($A136&amp;V$1,JupData!$A$2:$A$10000&amp;JupData!$J$2:$J$10000,0),11))</f>
        <v/>
      </c>
      <c r="W136" t="str">
        <f t="array" ref="W136">IF($A136="","",INDEX(JupData!$A$2:$K$10000,MATCH($A136&amp;W$1,JupData!$A$2:$A$10000&amp;JupData!$J$2:$J$10000,0),11))</f>
        <v/>
      </c>
      <c r="X136" t="str">
        <f t="array" ref="X136">IF($A136="","",INDEX(JupData!$A$2:$K$10000,MATCH($A136&amp;X$1,JupData!$A$2:$A$10000&amp;JupData!$J$2:$J$10000,0),11))</f>
        <v/>
      </c>
      <c r="Y136" t="str">
        <f t="array" ref="Y136">IF($A136="","",INDEX(JupData!$A$2:$K$10000,MATCH($A136&amp;Y$1,JupData!$A$2:$A$10000&amp;JupData!$J$2:$J$10000,0),11))</f>
        <v/>
      </c>
      <c r="Z136" t="str">
        <f t="array" ref="Z136">IF($A136="","",INDEX(JupData!$A$2:$K$10000,MATCH($A136&amp;Z$1,JupData!$A$2:$A$10000&amp;JupData!$J$2:$J$10000,0),11))</f>
        <v/>
      </c>
      <c r="AA136" t="str">
        <f t="array" ref="AA136">IF($A136="","",INDEX(JupData!$A$2:$K$10000,MATCH($A136&amp;AA$1,JupData!$A$2:$A$10000&amp;JupData!$J$2:$J$10000,0),11))</f>
        <v/>
      </c>
      <c r="AB136" t="str">
        <f t="array" ref="AB136">IF($A136="","",INDEX(JupData!$A$2:$K$10000,MATCH($A136&amp;AB$1,JupData!$A$2:$A$10000&amp;JupData!$J$2:$J$10000,0),11))</f>
        <v/>
      </c>
      <c r="AC136" s="10" t="str">
        <f t="shared" si="22"/>
        <v/>
      </c>
      <c r="AD136" s="10" t="str">
        <f t="shared" si="23"/>
        <v/>
      </c>
      <c r="AE136" s="9" t="str">
        <f t="shared" si="24"/>
        <v/>
      </c>
      <c r="AF136" s="10" t="str">
        <f t="shared" si="25"/>
        <v/>
      </c>
      <c r="AG136" s="10" t="str">
        <f t="shared" si="26"/>
        <v/>
      </c>
      <c r="AH136" s="10" t="str">
        <f t="shared" si="27"/>
        <v/>
      </c>
      <c r="AI136" s="10" t="str">
        <f t="shared" si="28"/>
        <v/>
      </c>
      <c r="AJ136" s="10" t="str">
        <f t="shared" si="29"/>
        <v/>
      </c>
      <c r="AK136" s="10" t="str">
        <f t="shared" si="30"/>
        <v/>
      </c>
      <c r="AL136" s="14" t="str">
        <f t="shared" si="31"/>
        <v/>
      </c>
    </row>
    <row r="137" spans="1:38" x14ac:dyDescent="0.2">
      <c r="A137"/>
      <c r="B137" t="str">
        <f>IF($A137="","",VLOOKUP($A137,JupData!$A$2:$I$10000,4,FALSE))</f>
        <v/>
      </c>
      <c r="C137" s="7" t="str">
        <f>IF($A137="",IF(N(D137),0,""),VLOOKUP($A137,JupData!$A$2:$I$10000,7,FALSE))</f>
        <v/>
      </c>
      <c r="D137" t="str">
        <f t="shared" si="32"/>
        <v/>
      </c>
      <c r="E137" t="str">
        <f t="array" ref="E137">IF($A137="","",INDEX(JupData!$A$2:$K$10000,MATCH($A137&amp;E$1,JupData!$A$2:$A$10000&amp;JupData!$J$2:$J$10000,0),11))</f>
        <v/>
      </c>
      <c r="F137" t="str">
        <f t="array" ref="F137">IF($A137="","",INDEX(JupData!$A$2:$K$10000,MATCH($A137&amp;F$1,JupData!$A$2:$A$10000&amp;JupData!$J$2:$J$10000,0),11))</f>
        <v/>
      </c>
      <c r="G137" t="str">
        <f t="array" ref="G137">IF($A137="","",INDEX(JupData!$A$2:$K$10000,MATCH($A137&amp;G$1,JupData!$A$2:$A$10000&amp;JupData!$J$2:$J$10000,0),11))</f>
        <v/>
      </c>
      <c r="H137" t="str">
        <f t="array" ref="H137">IF($A137="","",INDEX(JupData!$A$2:$K$10000,MATCH($A137&amp;H$1,JupData!$A$2:$A$10000&amp;JupData!$J$2:$J$10000,0),11))</f>
        <v/>
      </c>
      <c r="I137" t="str">
        <f t="array" ref="I137">IF($A137="","",INDEX(JupData!$A$2:$K$10000,MATCH($A137&amp;I$1,JupData!$A$2:$A$10000&amp;JupData!$J$2:$J$10000,0),11))</f>
        <v/>
      </c>
      <c r="J137" t="str">
        <f t="array" ref="J137">IF($A137="","",INDEX(JupData!$A$2:$K$10000,MATCH($A137&amp;J$1,JupData!$A$2:$A$10000&amp;JupData!$J$2:$J$10000,0),11))</f>
        <v/>
      </c>
      <c r="K137" t="str">
        <f t="array" ref="K137">IF($A137="","",INDEX(JupData!$A$2:$K$10000,MATCH($A137&amp;K$1,JupData!$A$2:$A$10000&amp;JupData!$J$2:$J$10000,0),11))</f>
        <v/>
      </c>
      <c r="L137" t="str">
        <f t="array" ref="L137">IF($A137="","",INDEX(JupData!$A$2:$K$10000,MATCH($A137&amp;L$1,JupData!$A$2:$A$10000&amp;JupData!$J$2:$J$10000,0),11))</f>
        <v/>
      </c>
      <c r="M137" t="str">
        <f t="array" ref="M137">IF($A137="","",INDEX(JupData!$A$2:$K$10000,MATCH($A137&amp;M$1,JupData!$A$2:$A$10000&amp;JupData!$J$2:$J$10000,0),11))</f>
        <v/>
      </c>
      <c r="N137" t="str">
        <f t="array" ref="N137">IF($A137="","",INDEX(JupData!$A$2:$K$10000,MATCH($A137&amp;N$1,JupData!$A$2:$A$10000&amp;JupData!$J$2:$J$10000,0),11))</f>
        <v/>
      </c>
      <c r="O137" t="str">
        <f t="array" ref="O137">IF($A137="","",INDEX(JupData!$A$2:$K$10000,MATCH($A137&amp;O$1,JupData!$A$2:$A$10000&amp;JupData!$J$2:$J$10000,0),11))</f>
        <v/>
      </c>
      <c r="P137" t="str">
        <f t="array" ref="P137">IF($A137="","",INDEX(JupData!$A$2:$K$10000,MATCH($A137&amp;P$1,JupData!$A$2:$A$10000&amp;JupData!$J$2:$J$10000,0),11))</f>
        <v/>
      </c>
      <c r="Q137" t="str">
        <f t="array" ref="Q137">IF($A137="","",INDEX(JupData!$A$2:$K$10000,MATCH($A137&amp;Q$1,JupData!$A$2:$A$10000&amp;JupData!$J$2:$J$10000,0),11))</f>
        <v/>
      </c>
      <c r="R137" t="str">
        <f t="array" ref="R137">IF($A137="","",INDEX(JupData!$A$2:$K$10000,MATCH($A137&amp;R$1,JupData!$A$2:$A$10000&amp;JupData!$J$2:$J$10000,0),11))</f>
        <v/>
      </c>
      <c r="S137" t="str">
        <f t="array" ref="S137">IF($A137="","",INDEX(JupData!$A$2:$K$10000,MATCH($A137&amp;S$1,JupData!$A$2:$A$10000&amp;JupData!$J$2:$J$10000,0),11))</f>
        <v/>
      </c>
      <c r="T137" t="str">
        <f t="array" ref="T137">IF($A137="","",INDEX(JupData!$A$2:$K$10000,MATCH($A137&amp;T$1,JupData!$A$2:$A$10000&amp;JupData!$J$2:$J$10000,0),11))</f>
        <v/>
      </c>
      <c r="U137" t="str">
        <f t="array" ref="U137">IF($A137="","",INDEX(JupData!$A$2:$K$10000,MATCH($A137&amp;U$1,JupData!$A$2:$A$10000&amp;JupData!$J$2:$J$10000,0),11))</f>
        <v/>
      </c>
      <c r="V137" t="str">
        <f t="array" ref="V137">IF($A137="","",INDEX(JupData!$A$2:$K$10000,MATCH($A137&amp;V$1,JupData!$A$2:$A$10000&amp;JupData!$J$2:$J$10000,0),11))</f>
        <v/>
      </c>
      <c r="W137" t="str">
        <f t="array" ref="W137">IF($A137="","",INDEX(JupData!$A$2:$K$10000,MATCH($A137&amp;W$1,JupData!$A$2:$A$10000&amp;JupData!$J$2:$J$10000,0),11))</f>
        <v/>
      </c>
      <c r="X137" t="str">
        <f t="array" ref="X137">IF($A137="","",INDEX(JupData!$A$2:$K$10000,MATCH($A137&amp;X$1,JupData!$A$2:$A$10000&amp;JupData!$J$2:$J$10000,0),11))</f>
        <v/>
      </c>
      <c r="Y137" t="str">
        <f t="array" ref="Y137">IF($A137="","",INDEX(JupData!$A$2:$K$10000,MATCH($A137&amp;Y$1,JupData!$A$2:$A$10000&amp;JupData!$J$2:$J$10000,0),11))</f>
        <v/>
      </c>
      <c r="Z137" t="str">
        <f t="array" ref="Z137">IF($A137="","",INDEX(JupData!$A$2:$K$10000,MATCH($A137&amp;Z$1,JupData!$A$2:$A$10000&amp;JupData!$J$2:$J$10000,0),11))</f>
        <v/>
      </c>
      <c r="AA137" t="str">
        <f t="array" ref="AA137">IF($A137="","",INDEX(JupData!$A$2:$K$10000,MATCH($A137&amp;AA$1,JupData!$A$2:$A$10000&amp;JupData!$J$2:$J$10000,0),11))</f>
        <v/>
      </c>
      <c r="AB137" t="str">
        <f t="array" ref="AB137">IF($A137="","",INDEX(JupData!$A$2:$K$10000,MATCH($A137&amp;AB$1,JupData!$A$2:$A$10000&amp;JupData!$J$2:$J$10000,0),11))</f>
        <v/>
      </c>
      <c r="AC137" s="10" t="str">
        <f t="shared" si="22"/>
        <v/>
      </c>
      <c r="AD137" s="10" t="str">
        <f t="shared" si="23"/>
        <v/>
      </c>
      <c r="AE137" s="9" t="str">
        <f t="shared" si="24"/>
        <v/>
      </c>
      <c r="AF137" s="10" t="str">
        <f t="shared" si="25"/>
        <v/>
      </c>
      <c r="AG137" s="10" t="str">
        <f t="shared" si="26"/>
        <v/>
      </c>
      <c r="AH137" s="10" t="str">
        <f t="shared" si="27"/>
        <v/>
      </c>
      <c r="AI137" s="10" t="str">
        <f t="shared" si="28"/>
        <v/>
      </c>
      <c r="AJ137" s="10" t="str">
        <f t="shared" si="29"/>
        <v/>
      </c>
      <c r="AK137" s="10" t="str">
        <f t="shared" si="30"/>
        <v/>
      </c>
      <c r="AL137" s="14" t="str">
        <f t="shared" si="31"/>
        <v/>
      </c>
    </row>
    <row r="138" spans="1:38" x14ac:dyDescent="0.2">
      <c r="A138"/>
      <c r="B138" t="str">
        <f>IF($A138="","",VLOOKUP($A138,JupData!$A$2:$I$10000,4,FALSE))</f>
        <v/>
      </c>
      <c r="C138" s="7" t="str">
        <f>IF($A138="",IF(N(D138),0,""),VLOOKUP($A138,JupData!$A$2:$I$10000,7,FALSE))</f>
        <v/>
      </c>
      <c r="D138" t="str">
        <f t="shared" si="32"/>
        <v/>
      </c>
      <c r="E138" t="str">
        <f t="array" ref="E138">IF($A138="","",INDEX(JupData!$A$2:$K$10000,MATCH($A138&amp;E$1,JupData!$A$2:$A$10000&amp;JupData!$J$2:$J$10000,0),11))</f>
        <v/>
      </c>
      <c r="F138" t="str">
        <f t="array" ref="F138">IF($A138="","",INDEX(JupData!$A$2:$K$10000,MATCH($A138&amp;F$1,JupData!$A$2:$A$10000&amp;JupData!$J$2:$J$10000,0),11))</f>
        <v/>
      </c>
      <c r="G138" t="str">
        <f t="array" ref="G138">IF($A138="","",INDEX(JupData!$A$2:$K$10000,MATCH($A138&amp;G$1,JupData!$A$2:$A$10000&amp;JupData!$J$2:$J$10000,0),11))</f>
        <v/>
      </c>
      <c r="H138" t="str">
        <f t="array" ref="H138">IF($A138="","",INDEX(JupData!$A$2:$K$10000,MATCH($A138&amp;H$1,JupData!$A$2:$A$10000&amp;JupData!$J$2:$J$10000,0),11))</f>
        <v/>
      </c>
      <c r="I138" t="str">
        <f t="array" ref="I138">IF($A138="","",INDEX(JupData!$A$2:$K$10000,MATCH($A138&amp;I$1,JupData!$A$2:$A$10000&amp;JupData!$J$2:$J$10000,0),11))</f>
        <v/>
      </c>
      <c r="J138" t="str">
        <f t="array" ref="J138">IF($A138="","",INDEX(JupData!$A$2:$K$10000,MATCH($A138&amp;J$1,JupData!$A$2:$A$10000&amp;JupData!$J$2:$J$10000,0),11))</f>
        <v/>
      </c>
      <c r="K138" t="str">
        <f t="array" ref="K138">IF($A138="","",INDEX(JupData!$A$2:$K$10000,MATCH($A138&amp;K$1,JupData!$A$2:$A$10000&amp;JupData!$J$2:$J$10000,0),11))</f>
        <v/>
      </c>
      <c r="L138" t="str">
        <f t="array" ref="L138">IF($A138="","",INDEX(JupData!$A$2:$K$10000,MATCH($A138&amp;L$1,JupData!$A$2:$A$10000&amp;JupData!$J$2:$J$10000,0),11))</f>
        <v/>
      </c>
      <c r="M138" t="str">
        <f t="array" ref="M138">IF($A138="","",INDEX(JupData!$A$2:$K$10000,MATCH($A138&amp;M$1,JupData!$A$2:$A$10000&amp;JupData!$J$2:$J$10000,0),11))</f>
        <v/>
      </c>
      <c r="N138" t="str">
        <f t="array" ref="N138">IF($A138="","",INDEX(JupData!$A$2:$K$10000,MATCH($A138&amp;N$1,JupData!$A$2:$A$10000&amp;JupData!$J$2:$J$10000,0),11))</f>
        <v/>
      </c>
      <c r="O138" t="str">
        <f t="array" ref="O138">IF($A138="","",INDEX(JupData!$A$2:$K$10000,MATCH($A138&amp;O$1,JupData!$A$2:$A$10000&amp;JupData!$J$2:$J$10000,0),11))</f>
        <v/>
      </c>
      <c r="P138" t="str">
        <f t="array" ref="P138">IF($A138="","",INDEX(JupData!$A$2:$K$10000,MATCH($A138&amp;P$1,JupData!$A$2:$A$10000&amp;JupData!$J$2:$J$10000,0),11))</f>
        <v/>
      </c>
      <c r="Q138" t="str">
        <f t="array" ref="Q138">IF($A138="","",INDEX(JupData!$A$2:$K$10000,MATCH($A138&amp;Q$1,JupData!$A$2:$A$10000&amp;JupData!$J$2:$J$10000,0),11))</f>
        <v/>
      </c>
      <c r="R138" t="str">
        <f t="array" ref="R138">IF($A138="","",INDEX(JupData!$A$2:$K$10000,MATCH($A138&amp;R$1,JupData!$A$2:$A$10000&amp;JupData!$J$2:$J$10000,0),11))</f>
        <v/>
      </c>
      <c r="S138" t="str">
        <f t="array" ref="S138">IF($A138="","",INDEX(JupData!$A$2:$K$10000,MATCH($A138&amp;S$1,JupData!$A$2:$A$10000&amp;JupData!$J$2:$J$10000,0),11))</f>
        <v/>
      </c>
      <c r="T138" t="str">
        <f t="array" ref="T138">IF($A138="","",INDEX(JupData!$A$2:$K$10000,MATCH($A138&amp;T$1,JupData!$A$2:$A$10000&amp;JupData!$J$2:$J$10000,0),11))</f>
        <v/>
      </c>
      <c r="U138" t="str">
        <f t="array" ref="U138">IF($A138="","",INDEX(JupData!$A$2:$K$10000,MATCH($A138&amp;U$1,JupData!$A$2:$A$10000&amp;JupData!$J$2:$J$10000,0),11))</f>
        <v/>
      </c>
      <c r="V138" t="str">
        <f t="array" ref="V138">IF($A138="","",INDEX(JupData!$A$2:$K$10000,MATCH($A138&amp;V$1,JupData!$A$2:$A$10000&amp;JupData!$J$2:$J$10000,0),11))</f>
        <v/>
      </c>
      <c r="W138" t="str">
        <f t="array" ref="W138">IF($A138="","",INDEX(JupData!$A$2:$K$10000,MATCH($A138&amp;W$1,JupData!$A$2:$A$10000&amp;JupData!$J$2:$J$10000,0),11))</f>
        <v/>
      </c>
      <c r="X138" t="str">
        <f t="array" ref="X138">IF($A138="","",INDEX(JupData!$A$2:$K$10000,MATCH($A138&amp;X$1,JupData!$A$2:$A$10000&amp;JupData!$J$2:$J$10000,0),11))</f>
        <v/>
      </c>
      <c r="Y138" t="str">
        <f t="array" ref="Y138">IF($A138="","",INDEX(JupData!$A$2:$K$10000,MATCH($A138&amp;Y$1,JupData!$A$2:$A$10000&amp;JupData!$J$2:$J$10000,0),11))</f>
        <v/>
      </c>
      <c r="Z138" t="str">
        <f t="array" ref="Z138">IF($A138="","",INDEX(JupData!$A$2:$K$10000,MATCH($A138&amp;Z$1,JupData!$A$2:$A$10000&amp;JupData!$J$2:$J$10000,0),11))</f>
        <v/>
      </c>
      <c r="AA138" t="str">
        <f t="array" ref="AA138">IF($A138="","",INDEX(JupData!$A$2:$K$10000,MATCH($A138&amp;AA$1,JupData!$A$2:$A$10000&amp;JupData!$J$2:$J$10000,0),11))</f>
        <v/>
      </c>
      <c r="AB138" t="str">
        <f t="array" ref="AB138">IF($A138="","",INDEX(JupData!$A$2:$K$10000,MATCH($A138&amp;AB$1,JupData!$A$2:$A$10000&amp;JupData!$J$2:$J$10000,0),11))</f>
        <v/>
      </c>
      <c r="AC138" s="10" t="str">
        <f t="shared" si="22"/>
        <v/>
      </c>
      <c r="AD138" s="10" t="str">
        <f t="shared" si="23"/>
        <v/>
      </c>
      <c r="AE138" s="9" t="str">
        <f t="shared" si="24"/>
        <v/>
      </c>
      <c r="AF138" s="10" t="str">
        <f t="shared" si="25"/>
        <v/>
      </c>
      <c r="AG138" s="10" t="str">
        <f t="shared" si="26"/>
        <v/>
      </c>
      <c r="AH138" s="10" t="str">
        <f t="shared" si="27"/>
        <v/>
      </c>
      <c r="AI138" s="10" t="str">
        <f t="shared" si="28"/>
        <v/>
      </c>
      <c r="AJ138" s="10" t="str">
        <f t="shared" si="29"/>
        <v/>
      </c>
      <c r="AK138" s="10" t="str">
        <f t="shared" si="30"/>
        <v/>
      </c>
      <c r="AL138" s="14" t="str">
        <f t="shared" si="31"/>
        <v/>
      </c>
    </row>
    <row r="139" spans="1:38" x14ac:dyDescent="0.2">
      <c r="A139"/>
      <c r="B139" t="str">
        <f>IF($A139="","",VLOOKUP($A139,JupData!$A$2:$I$10000,4,FALSE))</f>
        <v/>
      </c>
      <c r="C139" s="7" t="str">
        <f>IF($A139="",IF(N(D139),0,""),VLOOKUP($A139,JupData!$A$2:$I$10000,7,FALSE))</f>
        <v/>
      </c>
      <c r="D139" t="str">
        <f t="shared" si="32"/>
        <v/>
      </c>
      <c r="E139" t="str">
        <f t="array" ref="E139">IF($A139="","",INDEX(JupData!$A$2:$K$10000,MATCH($A139&amp;E$1,JupData!$A$2:$A$10000&amp;JupData!$J$2:$J$10000,0),11))</f>
        <v/>
      </c>
      <c r="F139" t="str">
        <f t="array" ref="F139">IF($A139="","",INDEX(JupData!$A$2:$K$10000,MATCH($A139&amp;F$1,JupData!$A$2:$A$10000&amp;JupData!$J$2:$J$10000,0),11))</f>
        <v/>
      </c>
      <c r="G139" t="str">
        <f t="array" ref="G139">IF($A139="","",INDEX(JupData!$A$2:$K$10000,MATCH($A139&amp;G$1,JupData!$A$2:$A$10000&amp;JupData!$J$2:$J$10000,0),11))</f>
        <v/>
      </c>
      <c r="H139" t="str">
        <f t="array" ref="H139">IF($A139="","",INDEX(JupData!$A$2:$K$10000,MATCH($A139&amp;H$1,JupData!$A$2:$A$10000&amp;JupData!$J$2:$J$10000,0),11))</f>
        <v/>
      </c>
      <c r="I139" t="str">
        <f t="array" ref="I139">IF($A139="","",INDEX(JupData!$A$2:$K$10000,MATCH($A139&amp;I$1,JupData!$A$2:$A$10000&amp;JupData!$J$2:$J$10000,0),11))</f>
        <v/>
      </c>
      <c r="J139" t="str">
        <f t="array" ref="J139">IF($A139="","",INDEX(JupData!$A$2:$K$10000,MATCH($A139&amp;J$1,JupData!$A$2:$A$10000&amp;JupData!$J$2:$J$10000,0),11))</f>
        <v/>
      </c>
      <c r="K139" t="str">
        <f t="array" ref="K139">IF($A139="","",INDEX(JupData!$A$2:$K$10000,MATCH($A139&amp;K$1,JupData!$A$2:$A$10000&amp;JupData!$J$2:$J$10000,0),11))</f>
        <v/>
      </c>
      <c r="L139" t="str">
        <f t="array" ref="L139">IF($A139="","",INDEX(JupData!$A$2:$K$10000,MATCH($A139&amp;L$1,JupData!$A$2:$A$10000&amp;JupData!$J$2:$J$10000,0),11))</f>
        <v/>
      </c>
      <c r="M139" t="str">
        <f t="array" ref="M139">IF($A139="","",INDEX(JupData!$A$2:$K$10000,MATCH($A139&amp;M$1,JupData!$A$2:$A$10000&amp;JupData!$J$2:$J$10000,0),11))</f>
        <v/>
      </c>
      <c r="N139" t="str">
        <f t="array" ref="N139">IF($A139="","",INDEX(JupData!$A$2:$K$10000,MATCH($A139&amp;N$1,JupData!$A$2:$A$10000&amp;JupData!$J$2:$J$10000,0),11))</f>
        <v/>
      </c>
      <c r="O139" t="str">
        <f t="array" ref="O139">IF($A139="","",INDEX(JupData!$A$2:$K$10000,MATCH($A139&amp;O$1,JupData!$A$2:$A$10000&amp;JupData!$J$2:$J$10000,0),11))</f>
        <v/>
      </c>
      <c r="P139" t="str">
        <f t="array" ref="P139">IF($A139="","",INDEX(JupData!$A$2:$K$10000,MATCH($A139&amp;P$1,JupData!$A$2:$A$10000&amp;JupData!$J$2:$J$10000,0),11))</f>
        <v/>
      </c>
      <c r="Q139" t="str">
        <f t="array" ref="Q139">IF($A139="","",INDEX(JupData!$A$2:$K$10000,MATCH($A139&amp;Q$1,JupData!$A$2:$A$10000&amp;JupData!$J$2:$J$10000,0),11))</f>
        <v/>
      </c>
      <c r="R139" t="str">
        <f t="array" ref="R139">IF($A139="","",INDEX(JupData!$A$2:$K$10000,MATCH($A139&amp;R$1,JupData!$A$2:$A$10000&amp;JupData!$J$2:$J$10000,0),11))</f>
        <v/>
      </c>
      <c r="S139" t="str">
        <f t="array" ref="S139">IF($A139="","",INDEX(JupData!$A$2:$K$10000,MATCH($A139&amp;S$1,JupData!$A$2:$A$10000&amp;JupData!$J$2:$J$10000,0),11))</f>
        <v/>
      </c>
      <c r="T139" t="str">
        <f t="array" ref="T139">IF($A139="","",INDEX(JupData!$A$2:$K$10000,MATCH($A139&amp;T$1,JupData!$A$2:$A$10000&amp;JupData!$J$2:$J$10000,0),11))</f>
        <v/>
      </c>
      <c r="U139" t="str">
        <f t="array" ref="U139">IF($A139="","",INDEX(JupData!$A$2:$K$10000,MATCH($A139&amp;U$1,JupData!$A$2:$A$10000&amp;JupData!$J$2:$J$10000,0),11))</f>
        <v/>
      </c>
      <c r="V139" t="str">
        <f t="array" ref="V139">IF($A139="","",INDEX(JupData!$A$2:$K$10000,MATCH($A139&amp;V$1,JupData!$A$2:$A$10000&amp;JupData!$J$2:$J$10000,0),11))</f>
        <v/>
      </c>
      <c r="W139" t="str">
        <f t="array" ref="W139">IF($A139="","",INDEX(JupData!$A$2:$K$10000,MATCH($A139&amp;W$1,JupData!$A$2:$A$10000&amp;JupData!$J$2:$J$10000,0),11))</f>
        <v/>
      </c>
      <c r="X139" t="str">
        <f t="array" ref="X139">IF($A139="","",INDEX(JupData!$A$2:$K$10000,MATCH($A139&amp;X$1,JupData!$A$2:$A$10000&amp;JupData!$J$2:$J$10000,0),11))</f>
        <v/>
      </c>
      <c r="Y139" t="str">
        <f t="array" ref="Y139">IF($A139="","",INDEX(JupData!$A$2:$K$10000,MATCH($A139&amp;Y$1,JupData!$A$2:$A$10000&amp;JupData!$J$2:$J$10000,0),11))</f>
        <v/>
      </c>
      <c r="Z139" t="str">
        <f t="array" ref="Z139">IF($A139="","",INDEX(JupData!$A$2:$K$10000,MATCH($A139&amp;Z$1,JupData!$A$2:$A$10000&amp;JupData!$J$2:$J$10000,0),11))</f>
        <v/>
      </c>
      <c r="AA139" t="str">
        <f t="array" ref="AA139">IF($A139="","",INDEX(JupData!$A$2:$K$10000,MATCH($A139&amp;AA$1,JupData!$A$2:$A$10000&amp;JupData!$J$2:$J$10000,0),11))</f>
        <v/>
      </c>
      <c r="AB139" t="str">
        <f t="array" ref="AB139">IF($A139="","",INDEX(JupData!$A$2:$K$10000,MATCH($A139&amp;AB$1,JupData!$A$2:$A$10000&amp;JupData!$J$2:$J$10000,0),11))</f>
        <v/>
      </c>
      <c r="AC139" s="10" t="str">
        <f t="shared" si="22"/>
        <v/>
      </c>
      <c r="AD139" s="10" t="str">
        <f t="shared" si="23"/>
        <v/>
      </c>
      <c r="AE139" s="9" t="str">
        <f t="shared" si="24"/>
        <v/>
      </c>
      <c r="AF139" s="10" t="str">
        <f t="shared" si="25"/>
        <v/>
      </c>
      <c r="AG139" s="10" t="str">
        <f t="shared" si="26"/>
        <v/>
      </c>
      <c r="AH139" s="10" t="str">
        <f t="shared" si="27"/>
        <v/>
      </c>
      <c r="AI139" s="10" t="str">
        <f t="shared" si="28"/>
        <v/>
      </c>
      <c r="AJ139" s="10" t="str">
        <f t="shared" si="29"/>
        <v/>
      </c>
      <c r="AK139" s="10" t="str">
        <f t="shared" si="30"/>
        <v/>
      </c>
      <c r="AL139" s="14" t="str">
        <f t="shared" si="31"/>
        <v/>
      </c>
    </row>
    <row r="140" spans="1:38" x14ac:dyDescent="0.2">
      <c r="A140"/>
      <c r="B140" t="str">
        <f>IF($A140="","",VLOOKUP($A140,JupData!$A$2:$I$10000,4,FALSE))</f>
        <v/>
      </c>
      <c r="C140" s="7" t="str">
        <f>IF($A140="",IF(N(D140),0,""),VLOOKUP($A140,JupData!$A$2:$I$10000,7,FALSE))</f>
        <v/>
      </c>
      <c r="D140" t="str">
        <f t="shared" si="32"/>
        <v/>
      </c>
      <c r="E140" t="str">
        <f t="array" ref="E140">IF($A140="","",INDEX(JupData!$A$2:$K$10000,MATCH($A140&amp;E$1,JupData!$A$2:$A$10000&amp;JupData!$J$2:$J$10000,0),11))</f>
        <v/>
      </c>
      <c r="F140" t="str">
        <f t="array" ref="F140">IF($A140="","",INDEX(JupData!$A$2:$K$10000,MATCH($A140&amp;F$1,JupData!$A$2:$A$10000&amp;JupData!$J$2:$J$10000,0),11))</f>
        <v/>
      </c>
      <c r="G140" t="str">
        <f t="array" ref="G140">IF($A140="","",INDEX(JupData!$A$2:$K$10000,MATCH($A140&amp;G$1,JupData!$A$2:$A$10000&amp;JupData!$J$2:$J$10000,0),11))</f>
        <v/>
      </c>
      <c r="H140" t="str">
        <f t="array" ref="H140">IF($A140="","",INDEX(JupData!$A$2:$K$10000,MATCH($A140&amp;H$1,JupData!$A$2:$A$10000&amp;JupData!$J$2:$J$10000,0),11))</f>
        <v/>
      </c>
      <c r="I140" t="str">
        <f t="array" ref="I140">IF($A140="","",INDEX(JupData!$A$2:$K$10000,MATCH($A140&amp;I$1,JupData!$A$2:$A$10000&amp;JupData!$J$2:$J$10000,0),11))</f>
        <v/>
      </c>
      <c r="J140" t="str">
        <f t="array" ref="J140">IF($A140="","",INDEX(JupData!$A$2:$K$10000,MATCH($A140&amp;J$1,JupData!$A$2:$A$10000&amp;JupData!$J$2:$J$10000,0),11))</f>
        <v/>
      </c>
      <c r="K140" t="str">
        <f t="array" ref="K140">IF($A140="","",INDEX(JupData!$A$2:$K$10000,MATCH($A140&amp;K$1,JupData!$A$2:$A$10000&amp;JupData!$J$2:$J$10000,0),11))</f>
        <v/>
      </c>
      <c r="L140" t="str">
        <f t="array" ref="L140">IF($A140="","",INDEX(JupData!$A$2:$K$10000,MATCH($A140&amp;L$1,JupData!$A$2:$A$10000&amp;JupData!$J$2:$J$10000,0),11))</f>
        <v/>
      </c>
      <c r="M140" t="str">
        <f t="array" ref="M140">IF($A140="","",INDEX(JupData!$A$2:$K$10000,MATCH($A140&amp;M$1,JupData!$A$2:$A$10000&amp;JupData!$J$2:$J$10000,0),11))</f>
        <v/>
      </c>
      <c r="N140" t="str">
        <f t="array" ref="N140">IF($A140="","",INDEX(JupData!$A$2:$K$10000,MATCH($A140&amp;N$1,JupData!$A$2:$A$10000&amp;JupData!$J$2:$J$10000,0),11))</f>
        <v/>
      </c>
      <c r="O140" t="str">
        <f t="array" ref="O140">IF($A140="","",INDEX(JupData!$A$2:$K$10000,MATCH($A140&amp;O$1,JupData!$A$2:$A$10000&amp;JupData!$J$2:$J$10000,0),11))</f>
        <v/>
      </c>
      <c r="P140" t="str">
        <f t="array" ref="P140">IF($A140="","",INDEX(JupData!$A$2:$K$10000,MATCH($A140&amp;P$1,JupData!$A$2:$A$10000&amp;JupData!$J$2:$J$10000,0),11))</f>
        <v/>
      </c>
      <c r="Q140" t="str">
        <f t="array" ref="Q140">IF($A140="","",INDEX(JupData!$A$2:$K$10000,MATCH($A140&amp;Q$1,JupData!$A$2:$A$10000&amp;JupData!$J$2:$J$10000,0),11))</f>
        <v/>
      </c>
      <c r="R140" t="str">
        <f t="array" ref="R140">IF($A140="","",INDEX(JupData!$A$2:$K$10000,MATCH($A140&amp;R$1,JupData!$A$2:$A$10000&amp;JupData!$J$2:$J$10000,0),11))</f>
        <v/>
      </c>
      <c r="S140" t="str">
        <f t="array" ref="S140">IF($A140="","",INDEX(JupData!$A$2:$K$10000,MATCH($A140&amp;S$1,JupData!$A$2:$A$10000&amp;JupData!$J$2:$J$10000,0),11))</f>
        <v/>
      </c>
      <c r="T140" t="str">
        <f t="array" ref="T140">IF($A140="","",INDEX(JupData!$A$2:$K$10000,MATCH($A140&amp;T$1,JupData!$A$2:$A$10000&amp;JupData!$J$2:$J$10000,0),11))</f>
        <v/>
      </c>
      <c r="U140" t="str">
        <f t="array" ref="U140">IF($A140="","",INDEX(JupData!$A$2:$K$10000,MATCH($A140&amp;U$1,JupData!$A$2:$A$10000&amp;JupData!$J$2:$J$10000,0),11))</f>
        <v/>
      </c>
      <c r="V140" t="str">
        <f t="array" ref="V140">IF($A140="","",INDEX(JupData!$A$2:$K$10000,MATCH($A140&amp;V$1,JupData!$A$2:$A$10000&amp;JupData!$J$2:$J$10000,0),11))</f>
        <v/>
      </c>
      <c r="W140" t="str">
        <f t="array" ref="W140">IF($A140="","",INDEX(JupData!$A$2:$K$10000,MATCH($A140&amp;W$1,JupData!$A$2:$A$10000&amp;JupData!$J$2:$J$10000,0),11))</f>
        <v/>
      </c>
      <c r="X140" t="str">
        <f t="array" ref="X140">IF($A140="","",INDEX(JupData!$A$2:$K$10000,MATCH($A140&amp;X$1,JupData!$A$2:$A$10000&amp;JupData!$J$2:$J$10000,0),11))</f>
        <v/>
      </c>
      <c r="Y140" t="str">
        <f t="array" ref="Y140">IF($A140="","",INDEX(JupData!$A$2:$K$10000,MATCH($A140&amp;Y$1,JupData!$A$2:$A$10000&amp;JupData!$J$2:$J$10000,0),11))</f>
        <v/>
      </c>
      <c r="Z140" t="str">
        <f t="array" ref="Z140">IF($A140="","",INDEX(JupData!$A$2:$K$10000,MATCH($A140&amp;Z$1,JupData!$A$2:$A$10000&amp;JupData!$J$2:$J$10000,0),11))</f>
        <v/>
      </c>
      <c r="AA140" t="str">
        <f t="array" ref="AA140">IF($A140="","",INDEX(JupData!$A$2:$K$10000,MATCH($A140&amp;AA$1,JupData!$A$2:$A$10000&amp;JupData!$J$2:$J$10000,0),11))</f>
        <v/>
      </c>
      <c r="AB140" t="str">
        <f t="array" ref="AB140">IF($A140="","",INDEX(JupData!$A$2:$K$10000,MATCH($A140&amp;AB$1,JupData!$A$2:$A$10000&amp;JupData!$J$2:$J$10000,0),11))</f>
        <v/>
      </c>
      <c r="AC140" s="10" t="str">
        <f t="shared" si="22"/>
        <v/>
      </c>
      <c r="AD140" s="10" t="str">
        <f t="shared" si="23"/>
        <v/>
      </c>
      <c r="AE140" s="9" t="str">
        <f t="shared" si="24"/>
        <v/>
      </c>
      <c r="AF140" s="10" t="str">
        <f t="shared" si="25"/>
        <v/>
      </c>
      <c r="AG140" s="10" t="str">
        <f t="shared" si="26"/>
        <v/>
      </c>
      <c r="AH140" s="10" t="str">
        <f t="shared" si="27"/>
        <v/>
      </c>
      <c r="AI140" s="10" t="str">
        <f t="shared" si="28"/>
        <v/>
      </c>
      <c r="AJ140" s="10" t="str">
        <f t="shared" si="29"/>
        <v/>
      </c>
      <c r="AK140" s="10" t="str">
        <f t="shared" si="30"/>
        <v/>
      </c>
      <c r="AL140" s="14" t="str">
        <f t="shared" si="31"/>
        <v/>
      </c>
    </row>
    <row r="141" spans="1:38" x14ac:dyDescent="0.2">
      <c r="A141"/>
      <c r="B141" t="str">
        <f>IF($A141="","",VLOOKUP($A141,JupData!$A$2:$I$10000,4,FALSE))</f>
        <v/>
      </c>
      <c r="C141" s="7" t="str">
        <f>IF($A141="",IF(N(D141),0,""),VLOOKUP($A141,JupData!$A$2:$I$10000,7,FALSE))</f>
        <v/>
      </c>
      <c r="D141" t="str">
        <f t="shared" si="32"/>
        <v/>
      </c>
      <c r="E141" t="str">
        <f t="array" ref="E141">IF($A141="","",INDEX(JupData!$A$2:$K$10000,MATCH($A141&amp;E$1,JupData!$A$2:$A$10000&amp;JupData!$J$2:$J$10000,0),11))</f>
        <v/>
      </c>
      <c r="F141" t="str">
        <f t="array" ref="F141">IF($A141="","",INDEX(JupData!$A$2:$K$10000,MATCH($A141&amp;F$1,JupData!$A$2:$A$10000&amp;JupData!$J$2:$J$10000,0),11))</f>
        <v/>
      </c>
      <c r="G141" t="str">
        <f t="array" ref="G141">IF($A141="","",INDEX(JupData!$A$2:$K$10000,MATCH($A141&amp;G$1,JupData!$A$2:$A$10000&amp;JupData!$J$2:$J$10000,0),11))</f>
        <v/>
      </c>
      <c r="H141" t="str">
        <f t="array" ref="H141">IF($A141="","",INDEX(JupData!$A$2:$K$10000,MATCH($A141&amp;H$1,JupData!$A$2:$A$10000&amp;JupData!$J$2:$J$10000,0),11))</f>
        <v/>
      </c>
      <c r="I141" t="str">
        <f t="array" ref="I141">IF($A141="","",INDEX(JupData!$A$2:$K$10000,MATCH($A141&amp;I$1,JupData!$A$2:$A$10000&amp;JupData!$J$2:$J$10000,0),11))</f>
        <v/>
      </c>
      <c r="J141" t="str">
        <f t="array" ref="J141">IF($A141="","",INDEX(JupData!$A$2:$K$10000,MATCH($A141&amp;J$1,JupData!$A$2:$A$10000&amp;JupData!$J$2:$J$10000,0),11))</f>
        <v/>
      </c>
      <c r="K141" t="str">
        <f t="array" ref="K141">IF($A141="","",INDEX(JupData!$A$2:$K$10000,MATCH($A141&amp;K$1,JupData!$A$2:$A$10000&amp;JupData!$J$2:$J$10000,0),11))</f>
        <v/>
      </c>
      <c r="L141" t="str">
        <f t="array" ref="L141">IF($A141="","",INDEX(JupData!$A$2:$K$10000,MATCH($A141&amp;L$1,JupData!$A$2:$A$10000&amp;JupData!$J$2:$J$10000,0),11))</f>
        <v/>
      </c>
      <c r="M141" t="str">
        <f t="array" ref="M141">IF($A141="","",INDEX(JupData!$A$2:$K$10000,MATCH($A141&amp;M$1,JupData!$A$2:$A$10000&amp;JupData!$J$2:$J$10000,0),11))</f>
        <v/>
      </c>
      <c r="N141" t="str">
        <f t="array" ref="N141">IF($A141="","",INDEX(JupData!$A$2:$K$10000,MATCH($A141&amp;N$1,JupData!$A$2:$A$10000&amp;JupData!$J$2:$J$10000,0),11))</f>
        <v/>
      </c>
      <c r="O141" t="str">
        <f t="array" ref="O141">IF($A141="","",INDEX(JupData!$A$2:$K$10000,MATCH($A141&amp;O$1,JupData!$A$2:$A$10000&amp;JupData!$J$2:$J$10000,0),11))</f>
        <v/>
      </c>
      <c r="P141" t="str">
        <f t="array" ref="P141">IF($A141="","",INDEX(JupData!$A$2:$K$10000,MATCH($A141&amp;P$1,JupData!$A$2:$A$10000&amp;JupData!$J$2:$J$10000,0),11))</f>
        <v/>
      </c>
      <c r="Q141" t="str">
        <f t="array" ref="Q141">IF($A141="","",INDEX(JupData!$A$2:$K$10000,MATCH($A141&amp;Q$1,JupData!$A$2:$A$10000&amp;JupData!$J$2:$J$10000,0),11))</f>
        <v/>
      </c>
      <c r="R141" t="str">
        <f t="array" ref="R141">IF($A141="","",INDEX(JupData!$A$2:$K$10000,MATCH($A141&amp;R$1,JupData!$A$2:$A$10000&amp;JupData!$J$2:$J$10000,0),11))</f>
        <v/>
      </c>
      <c r="S141" t="str">
        <f t="array" ref="S141">IF($A141="","",INDEX(JupData!$A$2:$K$10000,MATCH($A141&amp;S$1,JupData!$A$2:$A$10000&amp;JupData!$J$2:$J$10000,0),11))</f>
        <v/>
      </c>
      <c r="T141" t="str">
        <f t="array" ref="T141">IF($A141="","",INDEX(JupData!$A$2:$K$10000,MATCH($A141&amp;T$1,JupData!$A$2:$A$10000&amp;JupData!$J$2:$J$10000,0),11))</f>
        <v/>
      </c>
      <c r="U141" t="str">
        <f t="array" ref="U141">IF($A141="","",INDEX(JupData!$A$2:$K$10000,MATCH($A141&amp;U$1,JupData!$A$2:$A$10000&amp;JupData!$J$2:$J$10000,0),11))</f>
        <v/>
      </c>
      <c r="V141" t="str">
        <f t="array" ref="V141">IF($A141="","",INDEX(JupData!$A$2:$K$10000,MATCH($A141&amp;V$1,JupData!$A$2:$A$10000&amp;JupData!$J$2:$J$10000,0),11))</f>
        <v/>
      </c>
      <c r="W141" t="str">
        <f t="array" ref="W141">IF($A141="","",INDEX(JupData!$A$2:$K$10000,MATCH($A141&amp;W$1,JupData!$A$2:$A$10000&amp;JupData!$J$2:$J$10000,0),11))</f>
        <v/>
      </c>
      <c r="X141" t="str">
        <f t="array" ref="X141">IF($A141="","",INDEX(JupData!$A$2:$K$10000,MATCH($A141&amp;X$1,JupData!$A$2:$A$10000&amp;JupData!$J$2:$J$10000,0),11))</f>
        <v/>
      </c>
      <c r="Y141" t="str">
        <f t="array" ref="Y141">IF($A141="","",INDEX(JupData!$A$2:$K$10000,MATCH($A141&amp;Y$1,JupData!$A$2:$A$10000&amp;JupData!$J$2:$J$10000,0),11))</f>
        <v/>
      </c>
      <c r="Z141" t="str">
        <f t="array" ref="Z141">IF($A141="","",INDEX(JupData!$A$2:$K$10000,MATCH($A141&amp;Z$1,JupData!$A$2:$A$10000&amp;JupData!$J$2:$J$10000,0),11))</f>
        <v/>
      </c>
      <c r="AA141" t="str">
        <f t="array" ref="AA141">IF($A141="","",INDEX(JupData!$A$2:$K$10000,MATCH($A141&amp;AA$1,JupData!$A$2:$A$10000&amp;JupData!$J$2:$J$10000,0),11))</f>
        <v/>
      </c>
      <c r="AB141" t="str">
        <f t="array" ref="AB141">IF($A141="","",INDEX(JupData!$A$2:$K$10000,MATCH($A141&amp;AB$1,JupData!$A$2:$A$10000&amp;JupData!$J$2:$J$10000,0),11))</f>
        <v/>
      </c>
      <c r="AC141" s="10" t="str">
        <f t="shared" si="22"/>
        <v/>
      </c>
      <c r="AD141" s="10" t="str">
        <f t="shared" si="23"/>
        <v/>
      </c>
      <c r="AE141" s="9" t="str">
        <f t="shared" si="24"/>
        <v/>
      </c>
      <c r="AF141" s="10" t="str">
        <f t="shared" si="25"/>
        <v/>
      </c>
      <c r="AG141" s="10" t="str">
        <f t="shared" si="26"/>
        <v/>
      </c>
      <c r="AH141" s="10" t="str">
        <f t="shared" si="27"/>
        <v/>
      </c>
      <c r="AI141" s="10" t="str">
        <f t="shared" si="28"/>
        <v/>
      </c>
      <c r="AJ141" s="10" t="str">
        <f t="shared" si="29"/>
        <v/>
      </c>
      <c r="AK141" s="10" t="str">
        <f t="shared" si="30"/>
        <v/>
      </c>
      <c r="AL141" s="14" t="str">
        <f t="shared" si="31"/>
        <v/>
      </c>
    </row>
    <row r="142" spans="1:38" x14ac:dyDescent="0.2">
      <c r="A142"/>
      <c r="B142" t="str">
        <f>IF($A142="","",VLOOKUP($A142,JupData!$A$2:$I$10000,4,FALSE))</f>
        <v/>
      </c>
      <c r="C142" s="7" t="str">
        <f>IF($A142="",IF(N(D142),0,""),VLOOKUP($A142,JupData!$A$2:$I$10000,7,FALSE))</f>
        <v/>
      </c>
      <c r="D142" t="str">
        <f t="shared" si="32"/>
        <v/>
      </c>
      <c r="E142" t="str">
        <f t="array" ref="E142">IF($A142="","",INDEX(JupData!$A$2:$K$10000,MATCH($A142&amp;E$1,JupData!$A$2:$A$10000&amp;JupData!$J$2:$J$10000,0),11))</f>
        <v/>
      </c>
      <c r="F142" t="str">
        <f t="array" ref="F142">IF($A142="","",INDEX(JupData!$A$2:$K$10000,MATCH($A142&amp;F$1,JupData!$A$2:$A$10000&amp;JupData!$J$2:$J$10000,0),11))</f>
        <v/>
      </c>
      <c r="G142" t="str">
        <f t="array" ref="G142">IF($A142="","",INDEX(JupData!$A$2:$K$10000,MATCH($A142&amp;G$1,JupData!$A$2:$A$10000&amp;JupData!$J$2:$J$10000,0),11))</f>
        <v/>
      </c>
      <c r="H142" t="str">
        <f t="array" ref="H142">IF($A142="","",INDEX(JupData!$A$2:$K$10000,MATCH($A142&amp;H$1,JupData!$A$2:$A$10000&amp;JupData!$J$2:$J$10000,0),11))</f>
        <v/>
      </c>
      <c r="I142" t="str">
        <f t="array" ref="I142">IF($A142="","",INDEX(JupData!$A$2:$K$10000,MATCH($A142&amp;I$1,JupData!$A$2:$A$10000&amp;JupData!$J$2:$J$10000,0),11))</f>
        <v/>
      </c>
      <c r="J142" t="str">
        <f t="array" ref="J142">IF($A142="","",INDEX(JupData!$A$2:$K$10000,MATCH($A142&amp;J$1,JupData!$A$2:$A$10000&amp;JupData!$J$2:$J$10000,0),11))</f>
        <v/>
      </c>
      <c r="K142" t="str">
        <f t="array" ref="K142">IF($A142="","",INDEX(JupData!$A$2:$K$10000,MATCH($A142&amp;K$1,JupData!$A$2:$A$10000&amp;JupData!$J$2:$J$10000,0),11))</f>
        <v/>
      </c>
      <c r="L142" t="str">
        <f t="array" ref="L142">IF($A142="","",INDEX(JupData!$A$2:$K$10000,MATCH($A142&amp;L$1,JupData!$A$2:$A$10000&amp;JupData!$J$2:$J$10000,0),11))</f>
        <v/>
      </c>
      <c r="M142" t="str">
        <f t="array" ref="M142">IF($A142="","",INDEX(JupData!$A$2:$K$10000,MATCH($A142&amp;M$1,JupData!$A$2:$A$10000&amp;JupData!$J$2:$J$10000,0),11))</f>
        <v/>
      </c>
      <c r="N142" t="str">
        <f t="array" ref="N142">IF($A142="","",INDEX(JupData!$A$2:$K$10000,MATCH($A142&amp;N$1,JupData!$A$2:$A$10000&amp;JupData!$J$2:$J$10000,0),11))</f>
        <v/>
      </c>
      <c r="O142" t="str">
        <f t="array" ref="O142">IF($A142="","",INDEX(JupData!$A$2:$K$10000,MATCH($A142&amp;O$1,JupData!$A$2:$A$10000&amp;JupData!$J$2:$J$10000,0),11))</f>
        <v/>
      </c>
      <c r="P142" t="str">
        <f t="array" ref="P142">IF($A142="","",INDEX(JupData!$A$2:$K$10000,MATCH($A142&amp;P$1,JupData!$A$2:$A$10000&amp;JupData!$J$2:$J$10000,0),11))</f>
        <v/>
      </c>
      <c r="Q142" t="str">
        <f t="array" ref="Q142">IF($A142="","",INDEX(JupData!$A$2:$K$10000,MATCH($A142&amp;Q$1,JupData!$A$2:$A$10000&amp;JupData!$J$2:$J$10000,0),11))</f>
        <v/>
      </c>
      <c r="R142" t="str">
        <f t="array" ref="R142">IF($A142="","",INDEX(JupData!$A$2:$K$10000,MATCH($A142&amp;R$1,JupData!$A$2:$A$10000&amp;JupData!$J$2:$J$10000,0),11))</f>
        <v/>
      </c>
      <c r="S142" t="str">
        <f t="array" ref="S142">IF($A142="","",INDEX(JupData!$A$2:$K$10000,MATCH($A142&amp;S$1,JupData!$A$2:$A$10000&amp;JupData!$J$2:$J$10000,0),11))</f>
        <v/>
      </c>
      <c r="T142" t="str">
        <f t="array" ref="T142">IF($A142="","",INDEX(JupData!$A$2:$K$10000,MATCH($A142&amp;T$1,JupData!$A$2:$A$10000&amp;JupData!$J$2:$J$10000,0),11))</f>
        <v/>
      </c>
      <c r="U142" t="str">
        <f t="array" ref="U142">IF($A142="","",INDEX(JupData!$A$2:$K$10000,MATCH($A142&amp;U$1,JupData!$A$2:$A$10000&amp;JupData!$J$2:$J$10000,0),11))</f>
        <v/>
      </c>
      <c r="V142" t="str">
        <f t="array" ref="V142">IF($A142="","",INDEX(JupData!$A$2:$K$10000,MATCH($A142&amp;V$1,JupData!$A$2:$A$10000&amp;JupData!$J$2:$J$10000,0),11))</f>
        <v/>
      </c>
      <c r="W142" t="str">
        <f t="array" ref="W142">IF($A142="","",INDEX(JupData!$A$2:$K$10000,MATCH($A142&amp;W$1,JupData!$A$2:$A$10000&amp;JupData!$J$2:$J$10000,0),11))</f>
        <v/>
      </c>
      <c r="X142" t="str">
        <f t="array" ref="X142">IF($A142="","",INDEX(JupData!$A$2:$K$10000,MATCH($A142&amp;X$1,JupData!$A$2:$A$10000&amp;JupData!$J$2:$J$10000,0),11))</f>
        <v/>
      </c>
      <c r="Y142" t="str">
        <f t="array" ref="Y142">IF($A142="","",INDEX(JupData!$A$2:$K$10000,MATCH($A142&amp;Y$1,JupData!$A$2:$A$10000&amp;JupData!$J$2:$J$10000,0),11))</f>
        <v/>
      </c>
      <c r="Z142" t="str">
        <f t="array" ref="Z142">IF($A142="","",INDEX(JupData!$A$2:$K$10000,MATCH($A142&amp;Z$1,JupData!$A$2:$A$10000&amp;JupData!$J$2:$J$10000,0),11))</f>
        <v/>
      </c>
      <c r="AA142" t="str">
        <f t="array" ref="AA142">IF($A142="","",INDEX(JupData!$A$2:$K$10000,MATCH($A142&amp;AA$1,JupData!$A$2:$A$10000&amp;JupData!$J$2:$J$10000,0),11))</f>
        <v/>
      </c>
      <c r="AB142" t="str">
        <f t="array" ref="AB142">IF($A142="","",INDEX(JupData!$A$2:$K$10000,MATCH($A142&amp;AB$1,JupData!$A$2:$A$10000&amp;JupData!$J$2:$J$10000,0),11))</f>
        <v/>
      </c>
      <c r="AC142" s="10" t="str">
        <f t="shared" si="22"/>
        <v/>
      </c>
      <c r="AD142" s="10" t="str">
        <f t="shared" si="23"/>
        <v/>
      </c>
      <c r="AE142" s="9" t="str">
        <f t="shared" si="24"/>
        <v/>
      </c>
      <c r="AF142" s="10" t="str">
        <f t="shared" si="25"/>
        <v/>
      </c>
      <c r="AG142" s="10" t="str">
        <f t="shared" si="26"/>
        <v/>
      </c>
      <c r="AH142" s="10" t="str">
        <f t="shared" si="27"/>
        <v/>
      </c>
      <c r="AI142" s="10" t="str">
        <f t="shared" si="28"/>
        <v/>
      </c>
      <c r="AJ142" s="10" t="str">
        <f t="shared" si="29"/>
        <v/>
      </c>
      <c r="AK142" s="10" t="str">
        <f t="shared" si="30"/>
        <v/>
      </c>
      <c r="AL142" s="14" t="str">
        <f t="shared" si="31"/>
        <v/>
      </c>
    </row>
    <row r="143" spans="1:38" x14ac:dyDescent="0.2">
      <c r="A143"/>
      <c r="B143" t="str">
        <f>IF($A143="","",VLOOKUP($A143,JupData!$A$2:$I$10000,4,FALSE))</f>
        <v/>
      </c>
      <c r="C143" s="7" t="str">
        <f>IF($A143="",IF(N(D143),0,""),VLOOKUP($A143,JupData!$A$2:$I$10000,7,FALSE))</f>
        <v/>
      </c>
      <c r="D143" t="str">
        <f t="shared" si="32"/>
        <v/>
      </c>
      <c r="E143" t="str">
        <f t="array" ref="E143">IF($A143="","",INDEX(JupData!$A$2:$K$10000,MATCH($A143&amp;E$1,JupData!$A$2:$A$10000&amp;JupData!$J$2:$J$10000,0),11))</f>
        <v/>
      </c>
      <c r="F143" t="str">
        <f t="array" ref="F143">IF($A143="","",INDEX(JupData!$A$2:$K$10000,MATCH($A143&amp;F$1,JupData!$A$2:$A$10000&amp;JupData!$J$2:$J$10000,0),11))</f>
        <v/>
      </c>
      <c r="G143" t="str">
        <f t="array" ref="G143">IF($A143="","",INDEX(JupData!$A$2:$K$10000,MATCH($A143&amp;G$1,JupData!$A$2:$A$10000&amp;JupData!$J$2:$J$10000,0),11))</f>
        <v/>
      </c>
      <c r="H143" t="str">
        <f t="array" ref="H143">IF($A143="","",INDEX(JupData!$A$2:$K$10000,MATCH($A143&amp;H$1,JupData!$A$2:$A$10000&amp;JupData!$J$2:$J$10000,0),11))</f>
        <v/>
      </c>
      <c r="I143" t="str">
        <f t="array" ref="I143">IF($A143="","",INDEX(JupData!$A$2:$K$10000,MATCH($A143&amp;I$1,JupData!$A$2:$A$10000&amp;JupData!$J$2:$J$10000,0),11))</f>
        <v/>
      </c>
      <c r="J143" t="str">
        <f t="array" ref="J143">IF($A143="","",INDEX(JupData!$A$2:$K$10000,MATCH($A143&amp;J$1,JupData!$A$2:$A$10000&amp;JupData!$J$2:$J$10000,0),11))</f>
        <v/>
      </c>
      <c r="K143" t="str">
        <f t="array" ref="K143">IF($A143="","",INDEX(JupData!$A$2:$K$10000,MATCH($A143&amp;K$1,JupData!$A$2:$A$10000&amp;JupData!$J$2:$J$10000,0),11))</f>
        <v/>
      </c>
      <c r="L143" t="str">
        <f t="array" ref="L143">IF($A143="","",INDEX(JupData!$A$2:$K$10000,MATCH($A143&amp;L$1,JupData!$A$2:$A$10000&amp;JupData!$J$2:$J$10000,0),11))</f>
        <v/>
      </c>
      <c r="M143" t="str">
        <f t="array" ref="M143">IF($A143="","",INDEX(JupData!$A$2:$K$10000,MATCH($A143&amp;M$1,JupData!$A$2:$A$10000&amp;JupData!$J$2:$J$10000,0),11))</f>
        <v/>
      </c>
      <c r="N143" t="str">
        <f t="array" ref="N143">IF($A143="","",INDEX(JupData!$A$2:$K$10000,MATCH($A143&amp;N$1,JupData!$A$2:$A$10000&amp;JupData!$J$2:$J$10000,0),11))</f>
        <v/>
      </c>
      <c r="O143" t="str">
        <f t="array" ref="O143">IF($A143="","",INDEX(JupData!$A$2:$K$10000,MATCH($A143&amp;O$1,JupData!$A$2:$A$10000&amp;JupData!$J$2:$J$10000,0),11))</f>
        <v/>
      </c>
      <c r="P143" t="str">
        <f t="array" ref="P143">IF($A143="","",INDEX(JupData!$A$2:$K$10000,MATCH($A143&amp;P$1,JupData!$A$2:$A$10000&amp;JupData!$J$2:$J$10000,0),11))</f>
        <v/>
      </c>
      <c r="Q143" t="str">
        <f t="array" ref="Q143">IF($A143="","",INDEX(JupData!$A$2:$K$10000,MATCH($A143&amp;Q$1,JupData!$A$2:$A$10000&amp;JupData!$J$2:$J$10000,0),11))</f>
        <v/>
      </c>
      <c r="R143" t="str">
        <f t="array" ref="R143">IF($A143="","",INDEX(JupData!$A$2:$K$10000,MATCH($A143&amp;R$1,JupData!$A$2:$A$10000&amp;JupData!$J$2:$J$10000,0),11))</f>
        <v/>
      </c>
      <c r="S143" t="str">
        <f t="array" ref="S143">IF($A143="","",INDEX(JupData!$A$2:$K$10000,MATCH($A143&amp;S$1,JupData!$A$2:$A$10000&amp;JupData!$J$2:$J$10000,0),11))</f>
        <v/>
      </c>
      <c r="T143" t="str">
        <f t="array" ref="T143">IF($A143="","",INDEX(JupData!$A$2:$K$10000,MATCH($A143&amp;T$1,JupData!$A$2:$A$10000&amp;JupData!$J$2:$J$10000,0),11))</f>
        <v/>
      </c>
      <c r="U143" t="str">
        <f t="array" ref="U143">IF($A143="","",INDEX(JupData!$A$2:$K$10000,MATCH($A143&amp;U$1,JupData!$A$2:$A$10000&amp;JupData!$J$2:$J$10000,0),11))</f>
        <v/>
      </c>
      <c r="V143" t="str">
        <f t="array" ref="V143">IF($A143="","",INDEX(JupData!$A$2:$K$10000,MATCH($A143&amp;V$1,JupData!$A$2:$A$10000&amp;JupData!$J$2:$J$10000,0),11))</f>
        <v/>
      </c>
      <c r="W143" t="str">
        <f t="array" ref="W143">IF($A143="","",INDEX(JupData!$A$2:$K$10000,MATCH($A143&amp;W$1,JupData!$A$2:$A$10000&amp;JupData!$J$2:$J$10000,0),11))</f>
        <v/>
      </c>
      <c r="X143" t="str">
        <f t="array" ref="X143">IF($A143="","",INDEX(JupData!$A$2:$K$10000,MATCH($A143&amp;X$1,JupData!$A$2:$A$10000&amp;JupData!$J$2:$J$10000,0),11))</f>
        <v/>
      </c>
      <c r="Y143" t="str">
        <f t="array" ref="Y143">IF($A143="","",INDEX(JupData!$A$2:$K$10000,MATCH($A143&amp;Y$1,JupData!$A$2:$A$10000&amp;JupData!$J$2:$J$10000,0),11))</f>
        <v/>
      </c>
      <c r="Z143" t="str">
        <f t="array" ref="Z143">IF($A143="","",INDEX(JupData!$A$2:$K$10000,MATCH($A143&amp;Z$1,JupData!$A$2:$A$10000&amp;JupData!$J$2:$J$10000,0),11))</f>
        <v/>
      </c>
      <c r="AA143" t="str">
        <f t="array" ref="AA143">IF($A143="","",INDEX(JupData!$A$2:$K$10000,MATCH($A143&amp;AA$1,JupData!$A$2:$A$10000&amp;JupData!$J$2:$J$10000,0),11))</f>
        <v/>
      </c>
      <c r="AB143" t="str">
        <f t="array" ref="AB143">IF($A143="","",INDEX(JupData!$A$2:$K$10000,MATCH($A143&amp;AB$1,JupData!$A$2:$A$10000&amp;JupData!$J$2:$J$10000,0),11))</f>
        <v/>
      </c>
      <c r="AC143" s="10" t="str">
        <f t="shared" si="22"/>
        <v/>
      </c>
      <c r="AD143" s="10" t="str">
        <f t="shared" si="23"/>
        <v/>
      </c>
      <c r="AE143" s="9" t="str">
        <f t="shared" si="24"/>
        <v/>
      </c>
      <c r="AF143" s="10" t="str">
        <f t="shared" si="25"/>
        <v/>
      </c>
      <c r="AG143" s="10" t="str">
        <f t="shared" si="26"/>
        <v/>
      </c>
      <c r="AH143" s="10" t="str">
        <f t="shared" si="27"/>
        <v/>
      </c>
      <c r="AI143" s="10" t="str">
        <f t="shared" si="28"/>
        <v/>
      </c>
      <c r="AJ143" s="10" t="str">
        <f t="shared" si="29"/>
        <v/>
      </c>
      <c r="AK143" s="10" t="str">
        <f t="shared" si="30"/>
        <v/>
      </c>
      <c r="AL143" s="14" t="str">
        <f t="shared" si="31"/>
        <v/>
      </c>
    </row>
    <row r="144" spans="1:38" x14ac:dyDescent="0.2">
      <c r="A144"/>
      <c r="B144" t="str">
        <f>IF($A144="","",VLOOKUP($A144,JupData!$A$2:$I$10000,4,FALSE))</f>
        <v/>
      </c>
      <c r="C144" s="7" t="str">
        <f>IF($A144="",IF(N(D144),0,""),VLOOKUP($A144,JupData!$A$2:$I$10000,7,FALSE))</f>
        <v/>
      </c>
      <c r="D144" t="str">
        <f t="shared" si="32"/>
        <v/>
      </c>
      <c r="E144" t="str">
        <f t="array" ref="E144">IF($A144="","",INDEX(JupData!$A$2:$K$10000,MATCH($A144&amp;E$1,JupData!$A$2:$A$10000&amp;JupData!$J$2:$J$10000,0),11))</f>
        <v/>
      </c>
      <c r="F144" t="str">
        <f t="array" ref="F144">IF($A144="","",INDEX(JupData!$A$2:$K$10000,MATCH($A144&amp;F$1,JupData!$A$2:$A$10000&amp;JupData!$J$2:$J$10000,0),11))</f>
        <v/>
      </c>
      <c r="G144" t="str">
        <f t="array" ref="G144">IF($A144="","",INDEX(JupData!$A$2:$K$10000,MATCH($A144&amp;G$1,JupData!$A$2:$A$10000&amp;JupData!$J$2:$J$10000,0),11))</f>
        <v/>
      </c>
      <c r="H144" t="str">
        <f t="array" ref="H144">IF($A144="","",INDEX(JupData!$A$2:$K$10000,MATCH($A144&amp;H$1,JupData!$A$2:$A$10000&amp;JupData!$J$2:$J$10000,0),11))</f>
        <v/>
      </c>
      <c r="I144" t="str">
        <f t="array" ref="I144">IF($A144="","",INDEX(JupData!$A$2:$K$10000,MATCH($A144&amp;I$1,JupData!$A$2:$A$10000&amp;JupData!$J$2:$J$10000,0),11))</f>
        <v/>
      </c>
      <c r="J144" t="str">
        <f t="array" ref="J144">IF($A144="","",INDEX(JupData!$A$2:$K$10000,MATCH($A144&amp;J$1,JupData!$A$2:$A$10000&amp;JupData!$J$2:$J$10000,0),11))</f>
        <v/>
      </c>
      <c r="K144" t="str">
        <f t="array" ref="K144">IF($A144="","",INDEX(JupData!$A$2:$K$10000,MATCH($A144&amp;K$1,JupData!$A$2:$A$10000&amp;JupData!$J$2:$J$10000,0),11))</f>
        <v/>
      </c>
      <c r="L144" t="str">
        <f t="array" ref="L144">IF($A144="","",INDEX(JupData!$A$2:$K$10000,MATCH($A144&amp;L$1,JupData!$A$2:$A$10000&amp;JupData!$J$2:$J$10000,0),11))</f>
        <v/>
      </c>
      <c r="M144" t="str">
        <f t="array" ref="M144">IF($A144="","",INDEX(JupData!$A$2:$K$10000,MATCH($A144&amp;M$1,JupData!$A$2:$A$10000&amp;JupData!$J$2:$J$10000,0),11))</f>
        <v/>
      </c>
      <c r="N144" t="str">
        <f t="array" ref="N144">IF($A144="","",INDEX(JupData!$A$2:$K$10000,MATCH($A144&amp;N$1,JupData!$A$2:$A$10000&amp;JupData!$J$2:$J$10000,0),11))</f>
        <v/>
      </c>
      <c r="O144" t="str">
        <f t="array" ref="O144">IF($A144="","",INDEX(JupData!$A$2:$K$10000,MATCH($A144&amp;O$1,JupData!$A$2:$A$10000&amp;JupData!$J$2:$J$10000,0),11))</f>
        <v/>
      </c>
      <c r="P144" t="str">
        <f t="array" ref="P144">IF($A144="","",INDEX(JupData!$A$2:$K$10000,MATCH($A144&amp;P$1,JupData!$A$2:$A$10000&amp;JupData!$J$2:$J$10000,0),11))</f>
        <v/>
      </c>
      <c r="Q144" t="str">
        <f t="array" ref="Q144">IF($A144="","",INDEX(JupData!$A$2:$K$10000,MATCH($A144&amp;Q$1,JupData!$A$2:$A$10000&amp;JupData!$J$2:$J$10000,0),11))</f>
        <v/>
      </c>
      <c r="R144" t="str">
        <f t="array" ref="R144">IF($A144="","",INDEX(JupData!$A$2:$K$10000,MATCH($A144&amp;R$1,JupData!$A$2:$A$10000&amp;JupData!$J$2:$J$10000,0),11))</f>
        <v/>
      </c>
      <c r="S144" t="str">
        <f t="array" ref="S144">IF($A144="","",INDEX(JupData!$A$2:$K$10000,MATCH($A144&amp;S$1,JupData!$A$2:$A$10000&amp;JupData!$J$2:$J$10000,0),11))</f>
        <v/>
      </c>
      <c r="T144" t="str">
        <f t="array" ref="T144">IF($A144="","",INDEX(JupData!$A$2:$K$10000,MATCH($A144&amp;T$1,JupData!$A$2:$A$10000&amp;JupData!$J$2:$J$10000,0),11))</f>
        <v/>
      </c>
      <c r="U144" t="str">
        <f t="array" ref="U144">IF($A144="","",INDEX(JupData!$A$2:$K$10000,MATCH($A144&amp;U$1,JupData!$A$2:$A$10000&amp;JupData!$J$2:$J$10000,0),11))</f>
        <v/>
      </c>
      <c r="V144" t="str">
        <f t="array" ref="V144">IF($A144="","",INDEX(JupData!$A$2:$K$10000,MATCH($A144&amp;V$1,JupData!$A$2:$A$10000&amp;JupData!$J$2:$J$10000,0),11))</f>
        <v/>
      </c>
      <c r="W144" t="str">
        <f t="array" ref="W144">IF($A144="","",INDEX(JupData!$A$2:$K$10000,MATCH($A144&amp;W$1,JupData!$A$2:$A$10000&amp;JupData!$J$2:$J$10000,0),11))</f>
        <v/>
      </c>
      <c r="X144" t="str">
        <f t="array" ref="X144">IF($A144="","",INDEX(JupData!$A$2:$K$10000,MATCH($A144&amp;X$1,JupData!$A$2:$A$10000&amp;JupData!$J$2:$J$10000,0),11))</f>
        <v/>
      </c>
      <c r="Y144" t="str">
        <f t="array" ref="Y144">IF($A144="","",INDEX(JupData!$A$2:$K$10000,MATCH($A144&amp;Y$1,JupData!$A$2:$A$10000&amp;JupData!$J$2:$J$10000,0),11))</f>
        <v/>
      </c>
      <c r="Z144" t="str">
        <f t="array" ref="Z144">IF($A144="","",INDEX(JupData!$A$2:$K$10000,MATCH($A144&amp;Z$1,JupData!$A$2:$A$10000&amp;JupData!$J$2:$J$10000,0),11))</f>
        <v/>
      </c>
      <c r="AA144" t="str">
        <f t="array" ref="AA144">IF($A144="","",INDEX(JupData!$A$2:$K$10000,MATCH($A144&amp;AA$1,JupData!$A$2:$A$10000&amp;JupData!$J$2:$J$10000,0),11))</f>
        <v/>
      </c>
      <c r="AB144" t="str">
        <f t="array" ref="AB144">IF($A144="","",INDEX(JupData!$A$2:$K$10000,MATCH($A144&amp;AB$1,JupData!$A$2:$A$10000&amp;JupData!$J$2:$J$10000,0),11))</f>
        <v/>
      </c>
      <c r="AC144" s="10" t="str">
        <f t="shared" si="22"/>
        <v/>
      </c>
      <c r="AD144" s="10" t="str">
        <f t="shared" si="23"/>
        <v/>
      </c>
      <c r="AE144" s="9" t="str">
        <f t="shared" si="24"/>
        <v/>
      </c>
      <c r="AF144" s="10" t="str">
        <f t="shared" si="25"/>
        <v/>
      </c>
      <c r="AG144" s="10" t="str">
        <f t="shared" si="26"/>
        <v/>
      </c>
      <c r="AH144" s="10" t="str">
        <f t="shared" si="27"/>
        <v/>
      </c>
      <c r="AI144" s="10" t="str">
        <f t="shared" si="28"/>
        <v/>
      </c>
      <c r="AJ144" s="10" t="str">
        <f t="shared" si="29"/>
        <v/>
      </c>
      <c r="AK144" s="10" t="str">
        <f t="shared" si="30"/>
        <v/>
      </c>
      <c r="AL144" s="14" t="str">
        <f t="shared" si="31"/>
        <v/>
      </c>
    </row>
    <row r="145" spans="1:38" x14ac:dyDescent="0.2">
      <c r="A145"/>
      <c r="B145" t="str">
        <f>IF($A145="","",VLOOKUP($A145,JupData!$A$2:$I$10000,4,FALSE))</f>
        <v/>
      </c>
      <c r="C145" s="7" t="str">
        <f>IF($A145="",IF(N(D145),0,""),VLOOKUP($A145,JupData!$A$2:$I$10000,7,FALSE))</f>
        <v/>
      </c>
      <c r="D145" t="str">
        <f t="shared" si="32"/>
        <v/>
      </c>
      <c r="E145" t="str">
        <f t="array" ref="E145">IF($A145="","",INDEX(JupData!$A$2:$K$10000,MATCH($A145&amp;E$1,JupData!$A$2:$A$10000&amp;JupData!$J$2:$J$10000,0),11))</f>
        <v/>
      </c>
      <c r="F145" t="str">
        <f t="array" ref="F145">IF($A145="","",INDEX(JupData!$A$2:$K$10000,MATCH($A145&amp;F$1,JupData!$A$2:$A$10000&amp;JupData!$J$2:$J$10000,0),11))</f>
        <v/>
      </c>
      <c r="G145" t="str">
        <f t="array" ref="G145">IF($A145="","",INDEX(JupData!$A$2:$K$10000,MATCH($A145&amp;G$1,JupData!$A$2:$A$10000&amp;JupData!$J$2:$J$10000,0),11))</f>
        <v/>
      </c>
      <c r="H145" t="str">
        <f t="array" ref="H145">IF($A145="","",INDEX(JupData!$A$2:$K$10000,MATCH($A145&amp;H$1,JupData!$A$2:$A$10000&amp;JupData!$J$2:$J$10000,0),11))</f>
        <v/>
      </c>
      <c r="I145" t="str">
        <f t="array" ref="I145">IF($A145="","",INDEX(JupData!$A$2:$K$10000,MATCH($A145&amp;I$1,JupData!$A$2:$A$10000&amp;JupData!$J$2:$J$10000,0),11))</f>
        <v/>
      </c>
      <c r="J145" t="str">
        <f t="array" ref="J145">IF($A145="","",INDEX(JupData!$A$2:$K$10000,MATCH($A145&amp;J$1,JupData!$A$2:$A$10000&amp;JupData!$J$2:$J$10000,0),11))</f>
        <v/>
      </c>
      <c r="K145" t="str">
        <f t="array" ref="K145">IF($A145="","",INDEX(JupData!$A$2:$K$10000,MATCH($A145&amp;K$1,JupData!$A$2:$A$10000&amp;JupData!$J$2:$J$10000,0),11))</f>
        <v/>
      </c>
      <c r="L145" t="str">
        <f t="array" ref="L145">IF($A145="","",INDEX(JupData!$A$2:$K$10000,MATCH($A145&amp;L$1,JupData!$A$2:$A$10000&amp;JupData!$J$2:$J$10000,0),11))</f>
        <v/>
      </c>
      <c r="M145" t="str">
        <f t="array" ref="M145">IF($A145="","",INDEX(JupData!$A$2:$K$10000,MATCH($A145&amp;M$1,JupData!$A$2:$A$10000&amp;JupData!$J$2:$J$10000,0),11))</f>
        <v/>
      </c>
      <c r="N145" t="str">
        <f t="array" ref="N145">IF($A145="","",INDEX(JupData!$A$2:$K$10000,MATCH($A145&amp;N$1,JupData!$A$2:$A$10000&amp;JupData!$J$2:$J$10000,0),11))</f>
        <v/>
      </c>
      <c r="O145" t="str">
        <f t="array" ref="O145">IF($A145="","",INDEX(JupData!$A$2:$K$10000,MATCH($A145&amp;O$1,JupData!$A$2:$A$10000&amp;JupData!$J$2:$J$10000,0),11))</f>
        <v/>
      </c>
      <c r="P145" t="str">
        <f t="array" ref="P145">IF($A145="","",INDEX(JupData!$A$2:$K$10000,MATCH($A145&amp;P$1,JupData!$A$2:$A$10000&amp;JupData!$J$2:$J$10000,0),11))</f>
        <v/>
      </c>
      <c r="Q145" t="str">
        <f t="array" ref="Q145">IF($A145="","",INDEX(JupData!$A$2:$K$10000,MATCH($A145&amp;Q$1,JupData!$A$2:$A$10000&amp;JupData!$J$2:$J$10000,0),11))</f>
        <v/>
      </c>
      <c r="R145" t="str">
        <f t="array" ref="R145">IF($A145="","",INDEX(JupData!$A$2:$K$10000,MATCH($A145&amp;R$1,JupData!$A$2:$A$10000&amp;JupData!$J$2:$J$10000,0),11))</f>
        <v/>
      </c>
      <c r="S145" t="str">
        <f t="array" ref="S145">IF($A145="","",INDEX(JupData!$A$2:$K$10000,MATCH($A145&amp;S$1,JupData!$A$2:$A$10000&amp;JupData!$J$2:$J$10000,0),11))</f>
        <v/>
      </c>
      <c r="T145" t="str">
        <f t="array" ref="T145">IF($A145="","",INDEX(JupData!$A$2:$K$10000,MATCH($A145&amp;T$1,JupData!$A$2:$A$10000&amp;JupData!$J$2:$J$10000,0),11))</f>
        <v/>
      </c>
      <c r="U145" t="str">
        <f t="array" ref="U145">IF($A145="","",INDEX(JupData!$A$2:$K$10000,MATCH($A145&amp;U$1,JupData!$A$2:$A$10000&amp;JupData!$J$2:$J$10000,0),11))</f>
        <v/>
      </c>
      <c r="V145" t="str">
        <f t="array" ref="V145">IF($A145="","",INDEX(JupData!$A$2:$K$10000,MATCH($A145&amp;V$1,JupData!$A$2:$A$10000&amp;JupData!$J$2:$J$10000,0),11))</f>
        <v/>
      </c>
      <c r="W145" t="str">
        <f t="array" ref="W145">IF($A145="","",INDEX(JupData!$A$2:$K$10000,MATCH($A145&amp;W$1,JupData!$A$2:$A$10000&amp;JupData!$J$2:$J$10000,0),11))</f>
        <v/>
      </c>
      <c r="X145" t="str">
        <f t="array" ref="X145">IF($A145="","",INDEX(JupData!$A$2:$K$10000,MATCH($A145&amp;X$1,JupData!$A$2:$A$10000&amp;JupData!$J$2:$J$10000,0),11))</f>
        <v/>
      </c>
      <c r="Y145" t="str">
        <f t="array" ref="Y145">IF($A145="","",INDEX(JupData!$A$2:$K$10000,MATCH($A145&amp;Y$1,JupData!$A$2:$A$10000&amp;JupData!$J$2:$J$10000,0),11))</f>
        <v/>
      </c>
      <c r="Z145" t="str">
        <f t="array" ref="Z145">IF($A145="","",INDEX(JupData!$A$2:$K$10000,MATCH($A145&amp;Z$1,JupData!$A$2:$A$10000&amp;JupData!$J$2:$J$10000,0),11))</f>
        <v/>
      </c>
      <c r="AA145" t="str">
        <f t="array" ref="AA145">IF($A145="","",INDEX(JupData!$A$2:$K$10000,MATCH($A145&amp;AA$1,JupData!$A$2:$A$10000&amp;JupData!$J$2:$J$10000,0),11))</f>
        <v/>
      </c>
      <c r="AB145" t="str">
        <f t="array" ref="AB145">IF($A145="","",INDEX(JupData!$A$2:$K$10000,MATCH($A145&amp;AB$1,JupData!$A$2:$A$10000&amp;JupData!$J$2:$J$10000,0),11))</f>
        <v/>
      </c>
      <c r="AC145" s="10" t="str">
        <f t="shared" si="22"/>
        <v/>
      </c>
      <c r="AD145" s="10" t="str">
        <f t="shared" si="23"/>
        <v/>
      </c>
      <c r="AE145" s="9" t="str">
        <f t="shared" si="24"/>
        <v/>
      </c>
      <c r="AF145" s="10" t="str">
        <f t="shared" si="25"/>
        <v/>
      </c>
      <c r="AG145" s="10" t="str">
        <f t="shared" si="26"/>
        <v/>
      </c>
      <c r="AH145" s="10" t="str">
        <f t="shared" si="27"/>
        <v/>
      </c>
      <c r="AI145" s="10" t="str">
        <f t="shared" si="28"/>
        <v/>
      </c>
      <c r="AJ145" s="10" t="str">
        <f t="shared" si="29"/>
        <v/>
      </c>
      <c r="AK145" s="10" t="str">
        <f t="shared" si="30"/>
        <v/>
      </c>
      <c r="AL145" s="14" t="str">
        <f t="shared" si="31"/>
        <v/>
      </c>
    </row>
    <row r="146" spans="1:38" x14ac:dyDescent="0.2">
      <c r="A146"/>
      <c r="B146" t="str">
        <f>IF($A146="","",VLOOKUP($A146,JupData!$A$2:$I$10000,4,FALSE))</f>
        <v/>
      </c>
      <c r="C146" s="7" t="str">
        <f>IF($A146="",IF(N(D146),0,""),VLOOKUP($A146,JupData!$A$2:$I$10000,7,FALSE))</f>
        <v/>
      </c>
      <c r="D146" t="str">
        <f t="shared" si="32"/>
        <v/>
      </c>
      <c r="E146" t="str">
        <f t="array" ref="E146">IF($A146="","",INDEX(JupData!$A$2:$K$10000,MATCH($A146&amp;E$1,JupData!$A$2:$A$10000&amp;JupData!$J$2:$J$10000,0),11))</f>
        <v/>
      </c>
      <c r="F146" t="str">
        <f t="array" ref="F146">IF($A146="","",INDEX(JupData!$A$2:$K$10000,MATCH($A146&amp;F$1,JupData!$A$2:$A$10000&amp;JupData!$J$2:$J$10000,0),11))</f>
        <v/>
      </c>
      <c r="G146" t="str">
        <f t="array" ref="G146">IF($A146="","",INDEX(JupData!$A$2:$K$10000,MATCH($A146&amp;G$1,JupData!$A$2:$A$10000&amp;JupData!$J$2:$J$10000,0),11))</f>
        <v/>
      </c>
      <c r="H146" t="str">
        <f t="array" ref="H146">IF($A146="","",INDEX(JupData!$A$2:$K$10000,MATCH($A146&amp;H$1,JupData!$A$2:$A$10000&amp;JupData!$J$2:$J$10000,0),11))</f>
        <v/>
      </c>
      <c r="I146" t="str">
        <f t="array" ref="I146">IF($A146="","",INDEX(JupData!$A$2:$K$10000,MATCH($A146&amp;I$1,JupData!$A$2:$A$10000&amp;JupData!$J$2:$J$10000,0),11))</f>
        <v/>
      </c>
      <c r="J146" t="str">
        <f t="array" ref="J146">IF($A146="","",INDEX(JupData!$A$2:$K$10000,MATCH($A146&amp;J$1,JupData!$A$2:$A$10000&amp;JupData!$J$2:$J$10000,0),11))</f>
        <v/>
      </c>
      <c r="K146" t="str">
        <f t="array" ref="K146">IF($A146="","",INDEX(JupData!$A$2:$K$10000,MATCH($A146&amp;K$1,JupData!$A$2:$A$10000&amp;JupData!$J$2:$J$10000,0),11))</f>
        <v/>
      </c>
      <c r="L146" t="str">
        <f t="array" ref="L146">IF($A146="","",INDEX(JupData!$A$2:$K$10000,MATCH($A146&amp;L$1,JupData!$A$2:$A$10000&amp;JupData!$J$2:$J$10000,0),11))</f>
        <v/>
      </c>
      <c r="M146" t="str">
        <f t="array" ref="M146">IF($A146="","",INDEX(JupData!$A$2:$K$10000,MATCH($A146&amp;M$1,JupData!$A$2:$A$10000&amp;JupData!$J$2:$J$10000,0),11))</f>
        <v/>
      </c>
      <c r="N146" t="str">
        <f t="array" ref="N146">IF($A146="","",INDEX(JupData!$A$2:$K$10000,MATCH($A146&amp;N$1,JupData!$A$2:$A$10000&amp;JupData!$J$2:$J$10000,0),11))</f>
        <v/>
      </c>
      <c r="O146" t="str">
        <f t="array" ref="O146">IF($A146="","",INDEX(JupData!$A$2:$K$10000,MATCH($A146&amp;O$1,JupData!$A$2:$A$10000&amp;JupData!$J$2:$J$10000,0),11))</f>
        <v/>
      </c>
      <c r="P146" t="str">
        <f t="array" ref="P146">IF($A146="","",INDEX(JupData!$A$2:$K$10000,MATCH($A146&amp;P$1,JupData!$A$2:$A$10000&amp;JupData!$J$2:$J$10000,0),11))</f>
        <v/>
      </c>
      <c r="Q146" t="str">
        <f t="array" ref="Q146">IF($A146="","",INDEX(JupData!$A$2:$K$10000,MATCH($A146&amp;Q$1,JupData!$A$2:$A$10000&amp;JupData!$J$2:$J$10000,0),11))</f>
        <v/>
      </c>
      <c r="R146" t="str">
        <f t="array" ref="R146">IF($A146="","",INDEX(JupData!$A$2:$K$10000,MATCH($A146&amp;R$1,JupData!$A$2:$A$10000&amp;JupData!$J$2:$J$10000,0),11))</f>
        <v/>
      </c>
      <c r="S146" t="str">
        <f t="array" ref="S146">IF($A146="","",INDEX(JupData!$A$2:$K$10000,MATCH($A146&amp;S$1,JupData!$A$2:$A$10000&amp;JupData!$J$2:$J$10000,0),11))</f>
        <v/>
      </c>
      <c r="T146" t="str">
        <f t="array" ref="T146">IF($A146="","",INDEX(JupData!$A$2:$K$10000,MATCH($A146&amp;T$1,JupData!$A$2:$A$10000&amp;JupData!$J$2:$J$10000,0),11))</f>
        <v/>
      </c>
      <c r="U146" t="str">
        <f t="array" ref="U146">IF($A146="","",INDEX(JupData!$A$2:$K$10000,MATCH($A146&amp;U$1,JupData!$A$2:$A$10000&amp;JupData!$J$2:$J$10000,0),11))</f>
        <v/>
      </c>
      <c r="V146" t="str">
        <f t="array" ref="V146">IF($A146="","",INDEX(JupData!$A$2:$K$10000,MATCH($A146&amp;V$1,JupData!$A$2:$A$10000&amp;JupData!$J$2:$J$10000,0),11))</f>
        <v/>
      </c>
      <c r="W146" t="str">
        <f t="array" ref="W146">IF($A146="","",INDEX(JupData!$A$2:$K$10000,MATCH($A146&amp;W$1,JupData!$A$2:$A$10000&amp;JupData!$J$2:$J$10000,0),11))</f>
        <v/>
      </c>
      <c r="X146" t="str">
        <f t="array" ref="X146">IF($A146="","",INDEX(JupData!$A$2:$K$10000,MATCH($A146&amp;X$1,JupData!$A$2:$A$10000&amp;JupData!$J$2:$J$10000,0),11))</f>
        <v/>
      </c>
      <c r="Y146" t="str">
        <f t="array" ref="Y146">IF($A146="","",INDEX(JupData!$A$2:$K$10000,MATCH($A146&amp;Y$1,JupData!$A$2:$A$10000&amp;JupData!$J$2:$J$10000,0),11))</f>
        <v/>
      </c>
      <c r="Z146" t="str">
        <f t="array" ref="Z146">IF($A146="","",INDEX(JupData!$A$2:$K$10000,MATCH($A146&amp;Z$1,JupData!$A$2:$A$10000&amp;JupData!$J$2:$J$10000,0),11))</f>
        <v/>
      </c>
      <c r="AA146" t="str">
        <f t="array" ref="AA146">IF($A146="","",INDEX(JupData!$A$2:$K$10000,MATCH($A146&amp;AA$1,JupData!$A$2:$A$10000&amp;JupData!$J$2:$J$10000,0),11))</f>
        <v/>
      </c>
      <c r="AB146" t="str">
        <f t="array" ref="AB146">IF($A146="","",INDEX(JupData!$A$2:$K$10000,MATCH($A146&amp;AB$1,JupData!$A$2:$A$10000&amp;JupData!$J$2:$J$10000,0),11))</f>
        <v/>
      </c>
      <c r="AC146" s="10" t="str">
        <f t="shared" si="22"/>
        <v/>
      </c>
      <c r="AD146" s="10" t="str">
        <f t="shared" si="23"/>
        <v/>
      </c>
      <c r="AE146" s="9" t="str">
        <f t="shared" si="24"/>
        <v/>
      </c>
      <c r="AF146" s="10" t="str">
        <f t="shared" si="25"/>
        <v/>
      </c>
      <c r="AG146" s="10" t="str">
        <f t="shared" si="26"/>
        <v/>
      </c>
      <c r="AH146" s="10" t="str">
        <f t="shared" si="27"/>
        <v/>
      </c>
      <c r="AI146" s="10" t="str">
        <f t="shared" si="28"/>
        <v/>
      </c>
      <c r="AJ146" s="10" t="str">
        <f t="shared" si="29"/>
        <v/>
      </c>
      <c r="AK146" s="10" t="str">
        <f t="shared" si="30"/>
        <v/>
      </c>
      <c r="AL146" s="14" t="str">
        <f t="shared" si="31"/>
        <v/>
      </c>
    </row>
    <row r="147" spans="1:38" x14ac:dyDescent="0.2">
      <c r="A147"/>
      <c r="B147" t="str">
        <f>IF($A147="","",VLOOKUP($A147,JupData!$A$2:$I$10000,4,FALSE))</f>
        <v/>
      </c>
      <c r="C147" s="7" t="str">
        <f>IF($A147="",IF(N(D147),0,""),VLOOKUP($A147,JupData!$A$2:$I$10000,7,FALSE))</f>
        <v/>
      </c>
      <c r="D147" t="str">
        <f t="shared" si="32"/>
        <v/>
      </c>
      <c r="E147" t="str">
        <f t="array" ref="E147">IF($A147="","",INDEX(JupData!$A$2:$K$10000,MATCH($A147&amp;E$1,JupData!$A$2:$A$10000&amp;JupData!$J$2:$J$10000,0),11))</f>
        <v/>
      </c>
      <c r="F147" t="str">
        <f t="array" ref="F147">IF($A147="","",INDEX(JupData!$A$2:$K$10000,MATCH($A147&amp;F$1,JupData!$A$2:$A$10000&amp;JupData!$J$2:$J$10000,0),11))</f>
        <v/>
      </c>
      <c r="G147" t="str">
        <f t="array" ref="G147">IF($A147="","",INDEX(JupData!$A$2:$K$10000,MATCH($A147&amp;G$1,JupData!$A$2:$A$10000&amp;JupData!$J$2:$J$10000,0),11))</f>
        <v/>
      </c>
      <c r="H147" t="str">
        <f t="array" ref="H147">IF($A147="","",INDEX(JupData!$A$2:$K$10000,MATCH($A147&amp;H$1,JupData!$A$2:$A$10000&amp;JupData!$J$2:$J$10000,0),11))</f>
        <v/>
      </c>
      <c r="I147" t="str">
        <f t="array" ref="I147">IF($A147="","",INDEX(JupData!$A$2:$K$10000,MATCH($A147&amp;I$1,JupData!$A$2:$A$10000&amp;JupData!$J$2:$J$10000,0),11))</f>
        <v/>
      </c>
      <c r="J147" t="str">
        <f t="array" ref="J147">IF($A147="","",INDEX(JupData!$A$2:$K$10000,MATCH($A147&amp;J$1,JupData!$A$2:$A$10000&amp;JupData!$J$2:$J$10000,0),11))</f>
        <v/>
      </c>
      <c r="K147" t="str">
        <f t="array" ref="K147">IF($A147="","",INDEX(JupData!$A$2:$K$10000,MATCH($A147&amp;K$1,JupData!$A$2:$A$10000&amp;JupData!$J$2:$J$10000,0),11))</f>
        <v/>
      </c>
      <c r="L147" t="str">
        <f t="array" ref="L147">IF($A147="","",INDEX(JupData!$A$2:$K$10000,MATCH($A147&amp;L$1,JupData!$A$2:$A$10000&amp;JupData!$J$2:$J$10000,0),11))</f>
        <v/>
      </c>
      <c r="M147" t="str">
        <f t="array" ref="M147">IF($A147="","",INDEX(JupData!$A$2:$K$10000,MATCH($A147&amp;M$1,JupData!$A$2:$A$10000&amp;JupData!$J$2:$J$10000,0),11))</f>
        <v/>
      </c>
      <c r="N147" t="str">
        <f t="array" ref="N147">IF($A147="","",INDEX(JupData!$A$2:$K$10000,MATCH($A147&amp;N$1,JupData!$A$2:$A$10000&amp;JupData!$J$2:$J$10000,0),11))</f>
        <v/>
      </c>
      <c r="O147" t="str">
        <f t="array" ref="O147">IF($A147="","",INDEX(JupData!$A$2:$K$10000,MATCH($A147&amp;O$1,JupData!$A$2:$A$10000&amp;JupData!$J$2:$J$10000,0),11))</f>
        <v/>
      </c>
      <c r="P147" t="str">
        <f t="array" ref="P147">IF($A147="","",INDEX(JupData!$A$2:$K$10000,MATCH($A147&amp;P$1,JupData!$A$2:$A$10000&amp;JupData!$J$2:$J$10000,0),11))</f>
        <v/>
      </c>
      <c r="Q147" t="str">
        <f t="array" ref="Q147">IF($A147="","",INDEX(JupData!$A$2:$K$10000,MATCH($A147&amp;Q$1,JupData!$A$2:$A$10000&amp;JupData!$J$2:$J$10000,0),11))</f>
        <v/>
      </c>
      <c r="R147" t="str">
        <f t="array" ref="R147">IF($A147="","",INDEX(JupData!$A$2:$K$10000,MATCH($A147&amp;R$1,JupData!$A$2:$A$10000&amp;JupData!$J$2:$J$10000,0),11))</f>
        <v/>
      </c>
      <c r="S147" t="str">
        <f t="array" ref="S147">IF($A147="","",INDEX(JupData!$A$2:$K$10000,MATCH($A147&amp;S$1,JupData!$A$2:$A$10000&amp;JupData!$J$2:$J$10000,0),11))</f>
        <v/>
      </c>
      <c r="T147" t="str">
        <f t="array" ref="T147">IF($A147="","",INDEX(JupData!$A$2:$K$10000,MATCH($A147&amp;T$1,JupData!$A$2:$A$10000&amp;JupData!$J$2:$J$10000,0),11))</f>
        <v/>
      </c>
      <c r="U147" t="str">
        <f t="array" ref="U147">IF($A147="","",INDEX(JupData!$A$2:$K$10000,MATCH($A147&amp;U$1,JupData!$A$2:$A$10000&amp;JupData!$J$2:$J$10000,0),11))</f>
        <v/>
      </c>
      <c r="V147" t="str">
        <f t="array" ref="V147">IF($A147="","",INDEX(JupData!$A$2:$K$10000,MATCH($A147&amp;V$1,JupData!$A$2:$A$10000&amp;JupData!$J$2:$J$10000,0),11))</f>
        <v/>
      </c>
      <c r="W147" t="str">
        <f t="array" ref="W147">IF($A147="","",INDEX(JupData!$A$2:$K$10000,MATCH($A147&amp;W$1,JupData!$A$2:$A$10000&amp;JupData!$J$2:$J$10000,0),11))</f>
        <v/>
      </c>
      <c r="X147" t="str">
        <f t="array" ref="X147">IF($A147="","",INDEX(JupData!$A$2:$K$10000,MATCH($A147&amp;X$1,JupData!$A$2:$A$10000&amp;JupData!$J$2:$J$10000,0),11))</f>
        <v/>
      </c>
      <c r="Y147" t="str">
        <f t="array" ref="Y147">IF($A147="","",INDEX(JupData!$A$2:$K$10000,MATCH($A147&amp;Y$1,JupData!$A$2:$A$10000&amp;JupData!$J$2:$J$10000,0),11))</f>
        <v/>
      </c>
      <c r="Z147" t="str">
        <f t="array" ref="Z147">IF($A147="","",INDEX(JupData!$A$2:$K$10000,MATCH($A147&amp;Z$1,JupData!$A$2:$A$10000&amp;JupData!$J$2:$J$10000,0),11))</f>
        <v/>
      </c>
      <c r="AA147" t="str">
        <f t="array" ref="AA147">IF($A147="","",INDEX(JupData!$A$2:$K$10000,MATCH($A147&amp;AA$1,JupData!$A$2:$A$10000&amp;JupData!$J$2:$J$10000,0),11))</f>
        <v/>
      </c>
      <c r="AB147" t="str">
        <f t="array" ref="AB147">IF($A147="","",INDEX(JupData!$A$2:$K$10000,MATCH($A147&amp;AB$1,JupData!$A$2:$A$10000&amp;JupData!$J$2:$J$10000,0),11))</f>
        <v/>
      </c>
      <c r="AC147" s="10" t="str">
        <f t="shared" si="22"/>
        <v/>
      </c>
      <c r="AD147" s="10" t="str">
        <f t="shared" si="23"/>
        <v/>
      </c>
      <c r="AE147" s="9" t="str">
        <f t="shared" si="24"/>
        <v/>
      </c>
      <c r="AF147" s="10" t="str">
        <f t="shared" si="25"/>
        <v/>
      </c>
      <c r="AG147" s="10" t="str">
        <f t="shared" si="26"/>
        <v/>
      </c>
      <c r="AH147" s="10" t="str">
        <f t="shared" si="27"/>
        <v/>
      </c>
      <c r="AI147" s="10" t="str">
        <f t="shared" si="28"/>
        <v/>
      </c>
      <c r="AJ147" s="10" t="str">
        <f t="shared" si="29"/>
        <v/>
      </c>
      <c r="AK147" s="10" t="str">
        <f t="shared" si="30"/>
        <v/>
      </c>
      <c r="AL147" s="14" t="str">
        <f t="shared" si="31"/>
        <v/>
      </c>
    </row>
    <row r="148" spans="1:38" x14ac:dyDescent="0.2">
      <c r="A148"/>
      <c r="B148" t="str">
        <f>IF($A148="","",VLOOKUP($A148,JupData!$A$2:$I$10000,4,FALSE))</f>
        <v/>
      </c>
      <c r="C148" s="7" t="str">
        <f>IF($A148="",IF(N(D148),0,""),VLOOKUP($A148,JupData!$A$2:$I$10000,7,FALSE))</f>
        <v/>
      </c>
      <c r="D148" t="str">
        <f t="shared" si="32"/>
        <v/>
      </c>
      <c r="E148" t="str">
        <f t="array" ref="E148">IF($A148="","",INDEX(JupData!$A$2:$K$10000,MATCH($A148&amp;E$1,JupData!$A$2:$A$10000&amp;JupData!$J$2:$J$10000,0),11))</f>
        <v/>
      </c>
      <c r="F148" t="str">
        <f t="array" ref="F148">IF($A148="","",INDEX(JupData!$A$2:$K$10000,MATCH($A148&amp;F$1,JupData!$A$2:$A$10000&amp;JupData!$J$2:$J$10000,0),11))</f>
        <v/>
      </c>
      <c r="G148" t="str">
        <f t="array" ref="G148">IF($A148="","",INDEX(JupData!$A$2:$K$10000,MATCH($A148&amp;G$1,JupData!$A$2:$A$10000&amp;JupData!$J$2:$J$10000,0),11))</f>
        <v/>
      </c>
      <c r="H148" t="str">
        <f t="array" ref="H148">IF($A148="","",INDEX(JupData!$A$2:$K$10000,MATCH($A148&amp;H$1,JupData!$A$2:$A$10000&amp;JupData!$J$2:$J$10000,0),11))</f>
        <v/>
      </c>
      <c r="I148" t="str">
        <f t="array" ref="I148">IF($A148="","",INDEX(JupData!$A$2:$K$10000,MATCH($A148&amp;I$1,JupData!$A$2:$A$10000&amp;JupData!$J$2:$J$10000,0),11))</f>
        <v/>
      </c>
      <c r="J148" t="str">
        <f t="array" ref="J148">IF($A148="","",INDEX(JupData!$A$2:$K$10000,MATCH($A148&amp;J$1,JupData!$A$2:$A$10000&amp;JupData!$J$2:$J$10000,0),11))</f>
        <v/>
      </c>
      <c r="K148" t="str">
        <f t="array" ref="K148">IF($A148="","",INDEX(JupData!$A$2:$K$10000,MATCH($A148&amp;K$1,JupData!$A$2:$A$10000&amp;JupData!$J$2:$J$10000,0),11))</f>
        <v/>
      </c>
      <c r="L148" t="str">
        <f t="array" ref="L148">IF($A148="","",INDEX(JupData!$A$2:$K$10000,MATCH($A148&amp;L$1,JupData!$A$2:$A$10000&amp;JupData!$J$2:$J$10000,0),11))</f>
        <v/>
      </c>
      <c r="M148" t="str">
        <f t="array" ref="M148">IF($A148="","",INDEX(JupData!$A$2:$K$10000,MATCH($A148&amp;M$1,JupData!$A$2:$A$10000&amp;JupData!$J$2:$J$10000,0),11))</f>
        <v/>
      </c>
      <c r="N148" t="str">
        <f t="array" ref="N148">IF($A148="","",INDEX(JupData!$A$2:$K$10000,MATCH($A148&amp;N$1,JupData!$A$2:$A$10000&amp;JupData!$J$2:$J$10000,0),11))</f>
        <v/>
      </c>
      <c r="O148" t="str">
        <f t="array" ref="O148">IF($A148="","",INDEX(JupData!$A$2:$K$10000,MATCH($A148&amp;O$1,JupData!$A$2:$A$10000&amp;JupData!$J$2:$J$10000,0),11))</f>
        <v/>
      </c>
      <c r="P148" t="str">
        <f t="array" ref="P148">IF($A148="","",INDEX(JupData!$A$2:$K$10000,MATCH($A148&amp;P$1,JupData!$A$2:$A$10000&amp;JupData!$J$2:$J$10000,0),11))</f>
        <v/>
      </c>
      <c r="Q148" t="str">
        <f t="array" ref="Q148">IF($A148="","",INDEX(JupData!$A$2:$K$10000,MATCH($A148&amp;Q$1,JupData!$A$2:$A$10000&amp;JupData!$J$2:$J$10000,0),11))</f>
        <v/>
      </c>
      <c r="R148" t="str">
        <f t="array" ref="R148">IF($A148="","",INDEX(JupData!$A$2:$K$10000,MATCH($A148&amp;R$1,JupData!$A$2:$A$10000&amp;JupData!$J$2:$J$10000,0),11))</f>
        <v/>
      </c>
      <c r="S148" t="str">
        <f t="array" ref="S148">IF($A148="","",INDEX(JupData!$A$2:$K$10000,MATCH($A148&amp;S$1,JupData!$A$2:$A$10000&amp;JupData!$J$2:$J$10000,0),11))</f>
        <v/>
      </c>
      <c r="T148" t="str">
        <f t="array" ref="T148">IF($A148="","",INDEX(JupData!$A$2:$K$10000,MATCH($A148&amp;T$1,JupData!$A$2:$A$10000&amp;JupData!$J$2:$J$10000,0),11))</f>
        <v/>
      </c>
      <c r="U148" t="str">
        <f t="array" ref="U148">IF($A148="","",INDEX(JupData!$A$2:$K$10000,MATCH($A148&amp;U$1,JupData!$A$2:$A$10000&amp;JupData!$J$2:$J$10000,0),11))</f>
        <v/>
      </c>
      <c r="V148" t="str">
        <f t="array" ref="V148">IF($A148="","",INDEX(JupData!$A$2:$K$10000,MATCH($A148&amp;V$1,JupData!$A$2:$A$10000&amp;JupData!$J$2:$J$10000,0),11))</f>
        <v/>
      </c>
      <c r="W148" t="str">
        <f t="array" ref="W148">IF($A148="","",INDEX(JupData!$A$2:$K$10000,MATCH($A148&amp;W$1,JupData!$A$2:$A$10000&amp;JupData!$J$2:$J$10000,0),11))</f>
        <v/>
      </c>
      <c r="X148" t="str">
        <f t="array" ref="X148">IF($A148="","",INDEX(JupData!$A$2:$K$10000,MATCH($A148&amp;X$1,JupData!$A$2:$A$10000&amp;JupData!$J$2:$J$10000,0),11))</f>
        <v/>
      </c>
      <c r="Y148" t="str">
        <f t="array" ref="Y148">IF($A148="","",INDEX(JupData!$A$2:$K$10000,MATCH($A148&amp;Y$1,JupData!$A$2:$A$10000&amp;JupData!$J$2:$J$10000,0),11))</f>
        <v/>
      </c>
      <c r="Z148" t="str">
        <f t="array" ref="Z148">IF($A148="","",INDEX(JupData!$A$2:$K$10000,MATCH($A148&amp;Z$1,JupData!$A$2:$A$10000&amp;JupData!$J$2:$J$10000,0),11))</f>
        <v/>
      </c>
      <c r="AA148" t="str">
        <f t="array" ref="AA148">IF($A148="","",INDEX(JupData!$A$2:$K$10000,MATCH($A148&amp;AA$1,JupData!$A$2:$A$10000&amp;JupData!$J$2:$J$10000,0),11))</f>
        <v/>
      </c>
      <c r="AB148" t="str">
        <f t="array" ref="AB148">IF($A148="","",INDEX(JupData!$A$2:$K$10000,MATCH($A148&amp;AB$1,JupData!$A$2:$A$10000&amp;JupData!$J$2:$J$10000,0),11))</f>
        <v/>
      </c>
      <c r="AC148" s="10" t="str">
        <f t="shared" si="22"/>
        <v/>
      </c>
      <c r="AD148" s="10" t="str">
        <f t="shared" si="23"/>
        <v/>
      </c>
      <c r="AE148" s="9" t="str">
        <f t="shared" si="24"/>
        <v/>
      </c>
      <c r="AF148" s="10" t="str">
        <f t="shared" si="25"/>
        <v/>
      </c>
      <c r="AG148" s="10" t="str">
        <f t="shared" si="26"/>
        <v/>
      </c>
      <c r="AH148" s="10" t="str">
        <f t="shared" si="27"/>
        <v/>
      </c>
      <c r="AI148" s="10" t="str">
        <f t="shared" si="28"/>
        <v/>
      </c>
      <c r="AJ148" s="10" t="str">
        <f t="shared" si="29"/>
        <v/>
      </c>
      <c r="AK148" s="10" t="str">
        <f t="shared" si="30"/>
        <v/>
      </c>
      <c r="AL148" s="14" t="str">
        <f t="shared" si="31"/>
        <v/>
      </c>
    </row>
    <row r="149" spans="1:38" x14ac:dyDescent="0.2">
      <c r="A149"/>
      <c r="B149" t="str">
        <f>IF($A149="","",VLOOKUP($A149,JupData!$A$2:$I$10000,4,FALSE))</f>
        <v/>
      </c>
      <c r="C149" s="7" t="str">
        <f>IF($A149="",IF(N(D149),0,""),VLOOKUP($A149,JupData!$A$2:$I$10000,7,FALSE))</f>
        <v/>
      </c>
      <c r="D149" t="str">
        <f t="shared" si="32"/>
        <v/>
      </c>
      <c r="E149" t="str">
        <f t="array" ref="E149">IF($A149="","",INDEX(JupData!$A$2:$K$10000,MATCH($A149&amp;E$1,JupData!$A$2:$A$10000&amp;JupData!$J$2:$J$10000,0),11))</f>
        <v/>
      </c>
      <c r="F149" t="str">
        <f t="array" ref="F149">IF($A149="","",INDEX(JupData!$A$2:$K$10000,MATCH($A149&amp;F$1,JupData!$A$2:$A$10000&amp;JupData!$J$2:$J$10000,0),11))</f>
        <v/>
      </c>
      <c r="G149" t="str">
        <f t="array" ref="G149">IF($A149="","",INDEX(JupData!$A$2:$K$10000,MATCH($A149&amp;G$1,JupData!$A$2:$A$10000&amp;JupData!$J$2:$J$10000,0),11))</f>
        <v/>
      </c>
      <c r="H149" t="str">
        <f t="array" ref="H149">IF($A149="","",INDEX(JupData!$A$2:$K$10000,MATCH($A149&amp;H$1,JupData!$A$2:$A$10000&amp;JupData!$J$2:$J$10000,0),11))</f>
        <v/>
      </c>
      <c r="I149" t="str">
        <f t="array" ref="I149">IF($A149="","",INDEX(JupData!$A$2:$K$10000,MATCH($A149&amp;I$1,JupData!$A$2:$A$10000&amp;JupData!$J$2:$J$10000,0),11))</f>
        <v/>
      </c>
      <c r="J149" t="str">
        <f t="array" ref="J149">IF($A149="","",INDEX(JupData!$A$2:$K$10000,MATCH($A149&amp;J$1,JupData!$A$2:$A$10000&amp;JupData!$J$2:$J$10000,0),11))</f>
        <v/>
      </c>
      <c r="K149" t="str">
        <f t="array" ref="K149">IF($A149="","",INDEX(JupData!$A$2:$K$10000,MATCH($A149&amp;K$1,JupData!$A$2:$A$10000&amp;JupData!$J$2:$J$10000,0),11))</f>
        <v/>
      </c>
      <c r="L149" t="str">
        <f t="array" ref="L149">IF($A149="","",INDEX(JupData!$A$2:$K$10000,MATCH($A149&amp;L$1,JupData!$A$2:$A$10000&amp;JupData!$J$2:$J$10000,0),11))</f>
        <v/>
      </c>
      <c r="M149" t="str">
        <f t="array" ref="M149">IF($A149="","",INDEX(JupData!$A$2:$K$10000,MATCH($A149&amp;M$1,JupData!$A$2:$A$10000&amp;JupData!$J$2:$J$10000,0),11))</f>
        <v/>
      </c>
      <c r="N149" t="str">
        <f t="array" ref="N149">IF($A149="","",INDEX(JupData!$A$2:$K$10000,MATCH($A149&amp;N$1,JupData!$A$2:$A$10000&amp;JupData!$J$2:$J$10000,0),11))</f>
        <v/>
      </c>
      <c r="O149" t="str">
        <f t="array" ref="O149">IF($A149="","",INDEX(JupData!$A$2:$K$10000,MATCH($A149&amp;O$1,JupData!$A$2:$A$10000&amp;JupData!$J$2:$J$10000,0),11))</f>
        <v/>
      </c>
      <c r="P149" t="str">
        <f t="array" ref="P149">IF($A149="","",INDEX(JupData!$A$2:$K$10000,MATCH($A149&amp;P$1,JupData!$A$2:$A$10000&amp;JupData!$J$2:$J$10000,0),11))</f>
        <v/>
      </c>
      <c r="Q149" t="str">
        <f t="array" ref="Q149">IF($A149="","",INDEX(JupData!$A$2:$K$10000,MATCH($A149&amp;Q$1,JupData!$A$2:$A$10000&amp;JupData!$J$2:$J$10000,0),11))</f>
        <v/>
      </c>
      <c r="R149" t="str">
        <f t="array" ref="R149">IF($A149="","",INDEX(JupData!$A$2:$K$10000,MATCH($A149&amp;R$1,JupData!$A$2:$A$10000&amp;JupData!$J$2:$J$10000,0),11))</f>
        <v/>
      </c>
      <c r="S149" t="str">
        <f t="array" ref="S149">IF($A149="","",INDEX(JupData!$A$2:$K$10000,MATCH($A149&amp;S$1,JupData!$A$2:$A$10000&amp;JupData!$J$2:$J$10000,0),11))</f>
        <v/>
      </c>
      <c r="T149" t="str">
        <f t="array" ref="T149">IF($A149="","",INDEX(JupData!$A$2:$K$10000,MATCH($A149&amp;T$1,JupData!$A$2:$A$10000&amp;JupData!$J$2:$J$10000,0),11))</f>
        <v/>
      </c>
      <c r="U149" t="str">
        <f t="array" ref="U149">IF($A149="","",INDEX(JupData!$A$2:$K$10000,MATCH($A149&amp;U$1,JupData!$A$2:$A$10000&amp;JupData!$J$2:$J$10000,0),11))</f>
        <v/>
      </c>
      <c r="V149" t="str">
        <f t="array" ref="V149">IF($A149="","",INDEX(JupData!$A$2:$K$10000,MATCH($A149&amp;V$1,JupData!$A$2:$A$10000&amp;JupData!$J$2:$J$10000,0),11))</f>
        <v/>
      </c>
      <c r="W149" t="str">
        <f t="array" ref="W149">IF($A149="","",INDEX(JupData!$A$2:$K$10000,MATCH($A149&amp;W$1,JupData!$A$2:$A$10000&amp;JupData!$J$2:$J$10000,0),11))</f>
        <v/>
      </c>
      <c r="X149" t="str">
        <f t="array" ref="X149">IF($A149="","",INDEX(JupData!$A$2:$K$10000,MATCH($A149&amp;X$1,JupData!$A$2:$A$10000&amp;JupData!$J$2:$J$10000,0),11))</f>
        <v/>
      </c>
      <c r="Y149" t="str">
        <f t="array" ref="Y149">IF($A149="","",INDEX(JupData!$A$2:$K$10000,MATCH($A149&amp;Y$1,JupData!$A$2:$A$10000&amp;JupData!$J$2:$J$10000,0),11))</f>
        <v/>
      </c>
      <c r="Z149" t="str">
        <f t="array" ref="Z149">IF($A149="","",INDEX(JupData!$A$2:$K$10000,MATCH($A149&amp;Z$1,JupData!$A$2:$A$10000&amp;JupData!$J$2:$J$10000,0),11))</f>
        <v/>
      </c>
      <c r="AA149" t="str">
        <f t="array" ref="AA149">IF($A149="","",INDEX(JupData!$A$2:$K$10000,MATCH($A149&amp;AA$1,JupData!$A$2:$A$10000&amp;JupData!$J$2:$J$10000,0),11))</f>
        <v/>
      </c>
      <c r="AB149" t="str">
        <f t="array" ref="AB149">IF($A149="","",INDEX(JupData!$A$2:$K$10000,MATCH($A149&amp;AB$1,JupData!$A$2:$A$10000&amp;JupData!$J$2:$J$10000,0),11))</f>
        <v/>
      </c>
      <c r="AC149" s="10" t="str">
        <f t="shared" si="22"/>
        <v/>
      </c>
      <c r="AD149" s="10" t="str">
        <f t="shared" si="23"/>
        <v/>
      </c>
      <c r="AE149" s="9" t="str">
        <f t="shared" si="24"/>
        <v/>
      </c>
      <c r="AF149" s="10" t="str">
        <f t="shared" si="25"/>
        <v/>
      </c>
      <c r="AG149" s="10" t="str">
        <f t="shared" si="26"/>
        <v/>
      </c>
      <c r="AH149" s="10" t="str">
        <f t="shared" si="27"/>
        <v/>
      </c>
      <c r="AI149" s="10" t="str">
        <f t="shared" si="28"/>
        <v/>
      </c>
      <c r="AJ149" s="10" t="str">
        <f t="shared" si="29"/>
        <v/>
      </c>
      <c r="AK149" s="10" t="str">
        <f t="shared" si="30"/>
        <v/>
      </c>
      <c r="AL149" s="14" t="str">
        <f t="shared" si="31"/>
        <v/>
      </c>
    </row>
    <row r="150" spans="1:38" x14ac:dyDescent="0.2">
      <c r="A150"/>
      <c r="B150" t="str">
        <f>IF($A150="","",VLOOKUP($A150,JupData!$A$2:$I$10000,4,FALSE))</f>
        <v/>
      </c>
      <c r="C150" s="7" t="str">
        <f>IF($A150="",IF(N(D150),0,""),VLOOKUP($A150,JupData!$A$2:$I$10000,7,FALSE))</f>
        <v/>
      </c>
      <c r="D150" t="str">
        <f t="shared" si="32"/>
        <v/>
      </c>
      <c r="E150" t="str">
        <f t="array" ref="E150">IF($A150="","",INDEX(JupData!$A$2:$K$10000,MATCH($A150&amp;E$1,JupData!$A$2:$A$10000&amp;JupData!$J$2:$J$10000,0),11))</f>
        <v/>
      </c>
      <c r="F150" t="str">
        <f t="array" ref="F150">IF($A150="","",INDEX(JupData!$A$2:$K$10000,MATCH($A150&amp;F$1,JupData!$A$2:$A$10000&amp;JupData!$J$2:$J$10000,0),11))</f>
        <v/>
      </c>
      <c r="G150" t="str">
        <f t="array" ref="G150">IF($A150="","",INDEX(JupData!$A$2:$K$10000,MATCH($A150&amp;G$1,JupData!$A$2:$A$10000&amp;JupData!$J$2:$J$10000,0),11))</f>
        <v/>
      </c>
      <c r="H150" t="str">
        <f t="array" ref="H150">IF($A150="","",INDEX(JupData!$A$2:$K$10000,MATCH($A150&amp;H$1,JupData!$A$2:$A$10000&amp;JupData!$J$2:$J$10000,0),11))</f>
        <v/>
      </c>
      <c r="I150" t="str">
        <f t="array" ref="I150">IF($A150="","",INDEX(JupData!$A$2:$K$10000,MATCH($A150&amp;I$1,JupData!$A$2:$A$10000&amp;JupData!$J$2:$J$10000,0),11))</f>
        <v/>
      </c>
      <c r="J150" t="str">
        <f t="array" ref="J150">IF($A150="","",INDEX(JupData!$A$2:$K$10000,MATCH($A150&amp;J$1,JupData!$A$2:$A$10000&amp;JupData!$J$2:$J$10000,0),11))</f>
        <v/>
      </c>
      <c r="K150" t="str">
        <f t="array" ref="K150">IF($A150="","",INDEX(JupData!$A$2:$K$10000,MATCH($A150&amp;K$1,JupData!$A$2:$A$10000&amp;JupData!$J$2:$J$10000,0),11))</f>
        <v/>
      </c>
      <c r="L150" t="str">
        <f t="array" ref="L150">IF($A150="","",INDEX(JupData!$A$2:$K$10000,MATCH($A150&amp;L$1,JupData!$A$2:$A$10000&amp;JupData!$J$2:$J$10000,0),11))</f>
        <v/>
      </c>
      <c r="M150" t="str">
        <f t="array" ref="M150">IF($A150="","",INDEX(JupData!$A$2:$K$10000,MATCH($A150&amp;M$1,JupData!$A$2:$A$10000&amp;JupData!$J$2:$J$10000,0),11))</f>
        <v/>
      </c>
      <c r="N150" t="str">
        <f t="array" ref="N150">IF($A150="","",INDEX(JupData!$A$2:$K$10000,MATCH($A150&amp;N$1,JupData!$A$2:$A$10000&amp;JupData!$J$2:$J$10000,0),11))</f>
        <v/>
      </c>
      <c r="O150" t="str">
        <f t="array" ref="O150">IF($A150="","",INDEX(JupData!$A$2:$K$10000,MATCH($A150&amp;O$1,JupData!$A$2:$A$10000&amp;JupData!$J$2:$J$10000,0),11))</f>
        <v/>
      </c>
      <c r="P150" t="str">
        <f t="array" ref="P150">IF($A150="","",INDEX(JupData!$A$2:$K$10000,MATCH($A150&amp;P$1,JupData!$A$2:$A$10000&amp;JupData!$J$2:$J$10000,0),11))</f>
        <v/>
      </c>
      <c r="Q150" t="str">
        <f t="array" ref="Q150">IF($A150="","",INDEX(JupData!$A$2:$K$10000,MATCH($A150&amp;Q$1,JupData!$A$2:$A$10000&amp;JupData!$J$2:$J$10000,0),11))</f>
        <v/>
      </c>
      <c r="R150" t="str">
        <f t="array" ref="R150">IF($A150="","",INDEX(JupData!$A$2:$K$10000,MATCH($A150&amp;R$1,JupData!$A$2:$A$10000&amp;JupData!$J$2:$J$10000,0),11))</f>
        <v/>
      </c>
      <c r="S150" t="str">
        <f t="array" ref="S150">IF($A150="","",INDEX(JupData!$A$2:$K$10000,MATCH($A150&amp;S$1,JupData!$A$2:$A$10000&amp;JupData!$J$2:$J$10000,0),11))</f>
        <v/>
      </c>
      <c r="T150" t="str">
        <f t="array" ref="T150">IF($A150="","",INDEX(JupData!$A$2:$K$10000,MATCH($A150&amp;T$1,JupData!$A$2:$A$10000&amp;JupData!$J$2:$J$10000,0),11))</f>
        <v/>
      </c>
      <c r="U150" t="str">
        <f t="array" ref="U150">IF($A150="","",INDEX(JupData!$A$2:$K$10000,MATCH($A150&amp;U$1,JupData!$A$2:$A$10000&amp;JupData!$J$2:$J$10000,0),11))</f>
        <v/>
      </c>
      <c r="V150" t="str">
        <f t="array" ref="V150">IF($A150="","",INDEX(JupData!$A$2:$K$10000,MATCH($A150&amp;V$1,JupData!$A$2:$A$10000&amp;JupData!$J$2:$J$10000,0),11))</f>
        <v/>
      </c>
      <c r="W150" t="str">
        <f t="array" ref="W150">IF($A150="","",INDEX(JupData!$A$2:$K$10000,MATCH($A150&amp;W$1,JupData!$A$2:$A$10000&amp;JupData!$J$2:$J$10000,0),11))</f>
        <v/>
      </c>
      <c r="X150" t="str">
        <f t="array" ref="X150">IF($A150="","",INDEX(JupData!$A$2:$K$10000,MATCH($A150&amp;X$1,JupData!$A$2:$A$10000&amp;JupData!$J$2:$J$10000,0),11))</f>
        <v/>
      </c>
      <c r="Y150" t="str">
        <f t="array" ref="Y150">IF($A150="","",INDEX(JupData!$A$2:$K$10000,MATCH($A150&amp;Y$1,JupData!$A$2:$A$10000&amp;JupData!$J$2:$J$10000,0),11))</f>
        <v/>
      </c>
      <c r="Z150" t="str">
        <f t="array" ref="Z150">IF($A150="","",INDEX(JupData!$A$2:$K$10000,MATCH($A150&amp;Z$1,JupData!$A$2:$A$10000&amp;JupData!$J$2:$J$10000,0),11))</f>
        <v/>
      </c>
      <c r="AA150" t="str">
        <f t="array" ref="AA150">IF($A150="","",INDEX(JupData!$A$2:$K$10000,MATCH($A150&amp;AA$1,JupData!$A$2:$A$10000&amp;JupData!$J$2:$J$10000,0),11))</f>
        <v/>
      </c>
      <c r="AB150" t="str">
        <f t="array" ref="AB150">IF($A150="","",INDEX(JupData!$A$2:$K$10000,MATCH($A150&amp;AB$1,JupData!$A$2:$A$10000&amp;JupData!$J$2:$J$10000,0),11))</f>
        <v/>
      </c>
      <c r="AC150" s="10" t="str">
        <f t="shared" si="22"/>
        <v/>
      </c>
      <c r="AD150" s="10" t="str">
        <f t="shared" si="23"/>
        <v/>
      </c>
      <c r="AE150" s="9" t="str">
        <f t="shared" si="24"/>
        <v/>
      </c>
      <c r="AF150" s="10" t="str">
        <f t="shared" si="25"/>
        <v/>
      </c>
      <c r="AG150" s="10" t="str">
        <f t="shared" si="26"/>
        <v/>
      </c>
      <c r="AH150" s="10" t="str">
        <f t="shared" si="27"/>
        <v/>
      </c>
      <c r="AI150" s="10" t="str">
        <f t="shared" si="28"/>
        <v/>
      </c>
      <c r="AJ150" s="10" t="str">
        <f t="shared" si="29"/>
        <v/>
      </c>
      <c r="AK150" s="10" t="str">
        <f t="shared" si="30"/>
        <v/>
      </c>
      <c r="AL150" s="14" t="str">
        <f t="shared" si="31"/>
        <v/>
      </c>
    </row>
    <row r="151" spans="1:38" x14ac:dyDescent="0.2">
      <c r="A151"/>
      <c r="B151" t="str">
        <f>IF($A151="","",VLOOKUP($A151,JupData!$A$2:$I$10000,4,FALSE))</f>
        <v/>
      </c>
      <c r="C151" s="7" t="str">
        <f>IF($A151="",IF(N(D151),0,""),VLOOKUP($A151,JupData!$A$2:$I$10000,7,FALSE))</f>
        <v/>
      </c>
      <c r="D151" t="str">
        <f t="shared" si="32"/>
        <v/>
      </c>
      <c r="E151" t="str">
        <f t="array" ref="E151">IF($A151="","",INDEX(JupData!$A$2:$K$10000,MATCH($A151&amp;E$1,JupData!$A$2:$A$10000&amp;JupData!$J$2:$J$10000,0),11))</f>
        <v/>
      </c>
      <c r="F151" t="str">
        <f t="array" ref="F151">IF($A151="","",INDEX(JupData!$A$2:$K$10000,MATCH($A151&amp;F$1,JupData!$A$2:$A$10000&amp;JupData!$J$2:$J$10000,0),11))</f>
        <v/>
      </c>
      <c r="G151" t="str">
        <f t="array" ref="G151">IF($A151="","",INDEX(JupData!$A$2:$K$10000,MATCH($A151&amp;G$1,JupData!$A$2:$A$10000&amp;JupData!$J$2:$J$10000,0),11))</f>
        <v/>
      </c>
      <c r="H151" t="str">
        <f t="array" ref="H151">IF($A151="","",INDEX(JupData!$A$2:$K$10000,MATCH($A151&amp;H$1,JupData!$A$2:$A$10000&amp;JupData!$J$2:$J$10000,0),11))</f>
        <v/>
      </c>
      <c r="I151" t="str">
        <f t="array" ref="I151">IF($A151="","",INDEX(JupData!$A$2:$K$10000,MATCH($A151&amp;I$1,JupData!$A$2:$A$10000&amp;JupData!$J$2:$J$10000,0),11))</f>
        <v/>
      </c>
      <c r="J151" t="str">
        <f t="array" ref="J151">IF($A151="","",INDEX(JupData!$A$2:$K$10000,MATCH($A151&amp;J$1,JupData!$A$2:$A$10000&amp;JupData!$J$2:$J$10000,0),11))</f>
        <v/>
      </c>
      <c r="K151" t="str">
        <f t="array" ref="K151">IF($A151="","",INDEX(JupData!$A$2:$K$10000,MATCH($A151&amp;K$1,JupData!$A$2:$A$10000&amp;JupData!$J$2:$J$10000,0),11))</f>
        <v/>
      </c>
      <c r="L151" t="str">
        <f t="array" ref="L151">IF($A151="","",INDEX(JupData!$A$2:$K$10000,MATCH($A151&amp;L$1,JupData!$A$2:$A$10000&amp;JupData!$J$2:$J$10000,0),11))</f>
        <v/>
      </c>
      <c r="M151" t="str">
        <f t="array" ref="M151">IF($A151="","",INDEX(JupData!$A$2:$K$10000,MATCH($A151&amp;M$1,JupData!$A$2:$A$10000&amp;JupData!$J$2:$J$10000,0),11))</f>
        <v/>
      </c>
      <c r="N151" t="str">
        <f t="array" ref="N151">IF($A151="","",INDEX(JupData!$A$2:$K$10000,MATCH($A151&amp;N$1,JupData!$A$2:$A$10000&amp;JupData!$J$2:$J$10000,0),11))</f>
        <v/>
      </c>
      <c r="O151" t="str">
        <f t="array" ref="O151">IF($A151="","",INDEX(JupData!$A$2:$K$10000,MATCH($A151&amp;O$1,JupData!$A$2:$A$10000&amp;JupData!$J$2:$J$10000,0),11))</f>
        <v/>
      </c>
      <c r="P151" t="str">
        <f t="array" ref="P151">IF($A151="","",INDEX(JupData!$A$2:$K$10000,MATCH($A151&amp;P$1,JupData!$A$2:$A$10000&amp;JupData!$J$2:$J$10000,0),11))</f>
        <v/>
      </c>
      <c r="Q151" t="str">
        <f t="array" ref="Q151">IF($A151="","",INDEX(JupData!$A$2:$K$10000,MATCH($A151&amp;Q$1,JupData!$A$2:$A$10000&amp;JupData!$J$2:$J$10000,0),11))</f>
        <v/>
      </c>
      <c r="R151" t="str">
        <f t="array" ref="R151">IF($A151="","",INDEX(JupData!$A$2:$K$10000,MATCH($A151&amp;R$1,JupData!$A$2:$A$10000&amp;JupData!$J$2:$J$10000,0),11))</f>
        <v/>
      </c>
      <c r="S151" t="str">
        <f t="array" ref="S151">IF($A151="","",INDEX(JupData!$A$2:$K$10000,MATCH($A151&amp;S$1,JupData!$A$2:$A$10000&amp;JupData!$J$2:$J$10000,0),11))</f>
        <v/>
      </c>
      <c r="T151" t="str">
        <f t="array" ref="T151">IF($A151="","",INDEX(JupData!$A$2:$K$10000,MATCH($A151&amp;T$1,JupData!$A$2:$A$10000&amp;JupData!$J$2:$J$10000,0),11))</f>
        <v/>
      </c>
      <c r="U151" t="str">
        <f t="array" ref="U151">IF($A151="","",INDEX(JupData!$A$2:$K$10000,MATCH($A151&amp;U$1,JupData!$A$2:$A$10000&amp;JupData!$J$2:$J$10000,0),11))</f>
        <v/>
      </c>
      <c r="V151" t="str">
        <f t="array" ref="V151">IF($A151="","",INDEX(JupData!$A$2:$K$10000,MATCH($A151&amp;V$1,JupData!$A$2:$A$10000&amp;JupData!$J$2:$J$10000,0),11))</f>
        <v/>
      </c>
      <c r="W151" t="str">
        <f t="array" ref="W151">IF($A151="","",INDEX(JupData!$A$2:$K$10000,MATCH($A151&amp;W$1,JupData!$A$2:$A$10000&amp;JupData!$J$2:$J$10000,0),11))</f>
        <v/>
      </c>
      <c r="X151" t="str">
        <f t="array" ref="X151">IF($A151="","",INDEX(JupData!$A$2:$K$10000,MATCH($A151&amp;X$1,JupData!$A$2:$A$10000&amp;JupData!$J$2:$J$10000,0),11))</f>
        <v/>
      </c>
      <c r="Y151" t="str">
        <f t="array" ref="Y151">IF($A151="","",INDEX(JupData!$A$2:$K$10000,MATCH($A151&amp;Y$1,JupData!$A$2:$A$10000&amp;JupData!$J$2:$J$10000,0),11))</f>
        <v/>
      </c>
      <c r="Z151" t="str">
        <f t="array" ref="Z151">IF($A151="","",INDEX(JupData!$A$2:$K$10000,MATCH($A151&amp;Z$1,JupData!$A$2:$A$10000&amp;JupData!$J$2:$J$10000,0),11))</f>
        <v/>
      </c>
      <c r="AA151" t="str">
        <f t="array" ref="AA151">IF($A151="","",INDEX(JupData!$A$2:$K$10000,MATCH($A151&amp;AA$1,JupData!$A$2:$A$10000&amp;JupData!$J$2:$J$10000,0),11))</f>
        <v/>
      </c>
      <c r="AB151" t="str">
        <f t="array" ref="AB151">IF($A151="","",INDEX(JupData!$A$2:$K$10000,MATCH($A151&amp;AB$1,JupData!$A$2:$A$10000&amp;JupData!$J$2:$J$10000,0),11))</f>
        <v/>
      </c>
      <c r="AC151" s="10" t="str">
        <f t="shared" si="22"/>
        <v/>
      </c>
      <c r="AD151" s="10" t="str">
        <f t="shared" si="23"/>
        <v/>
      </c>
      <c r="AE151" s="9" t="str">
        <f t="shared" si="24"/>
        <v/>
      </c>
      <c r="AF151" s="10" t="str">
        <f t="shared" si="25"/>
        <v/>
      </c>
      <c r="AG151" s="10" t="str">
        <f t="shared" si="26"/>
        <v/>
      </c>
      <c r="AH151" s="10" t="str">
        <f t="shared" si="27"/>
        <v/>
      </c>
      <c r="AI151" s="10" t="str">
        <f t="shared" si="28"/>
        <v/>
      </c>
      <c r="AJ151" s="10" t="str">
        <f t="shared" si="29"/>
        <v/>
      </c>
      <c r="AK151" s="10" t="str">
        <f t="shared" si="30"/>
        <v/>
      </c>
      <c r="AL151" s="14" t="str">
        <f t="shared" si="31"/>
        <v/>
      </c>
    </row>
    <row r="152" spans="1:38" x14ac:dyDescent="0.2">
      <c r="A152"/>
      <c r="B152" t="str">
        <f>IF($A152="","",VLOOKUP($A152,JupData!$A$2:$I$10000,4,FALSE))</f>
        <v/>
      </c>
      <c r="C152" s="7" t="str">
        <f>IF($A152="",IF(N(D152),0,""),VLOOKUP($A152,JupData!$A$2:$I$10000,7,FALSE))</f>
        <v/>
      </c>
      <c r="D152" t="str">
        <f t="shared" si="32"/>
        <v/>
      </c>
      <c r="E152" t="str">
        <f t="array" ref="E152">IF($A152="","",INDEX(JupData!$A$2:$K$10000,MATCH($A152&amp;E$1,JupData!$A$2:$A$10000&amp;JupData!$J$2:$J$10000,0),11))</f>
        <v/>
      </c>
      <c r="F152" t="str">
        <f t="array" ref="F152">IF($A152="","",INDEX(JupData!$A$2:$K$10000,MATCH($A152&amp;F$1,JupData!$A$2:$A$10000&amp;JupData!$J$2:$J$10000,0),11))</f>
        <v/>
      </c>
      <c r="G152" t="str">
        <f t="array" ref="G152">IF($A152="","",INDEX(JupData!$A$2:$K$10000,MATCH($A152&amp;G$1,JupData!$A$2:$A$10000&amp;JupData!$J$2:$J$10000,0),11))</f>
        <v/>
      </c>
      <c r="H152" t="str">
        <f t="array" ref="H152">IF($A152="","",INDEX(JupData!$A$2:$K$10000,MATCH($A152&amp;H$1,JupData!$A$2:$A$10000&amp;JupData!$J$2:$J$10000,0),11))</f>
        <v/>
      </c>
      <c r="I152" t="str">
        <f t="array" ref="I152">IF($A152="","",INDEX(JupData!$A$2:$K$10000,MATCH($A152&amp;I$1,JupData!$A$2:$A$10000&amp;JupData!$J$2:$J$10000,0),11))</f>
        <v/>
      </c>
      <c r="J152" t="str">
        <f t="array" ref="J152">IF($A152="","",INDEX(JupData!$A$2:$K$10000,MATCH($A152&amp;J$1,JupData!$A$2:$A$10000&amp;JupData!$J$2:$J$10000,0),11))</f>
        <v/>
      </c>
      <c r="K152" t="str">
        <f t="array" ref="K152">IF($A152="","",INDEX(JupData!$A$2:$K$10000,MATCH($A152&amp;K$1,JupData!$A$2:$A$10000&amp;JupData!$J$2:$J$10000,0),11))</f>
        <v/>
      </c>
      <c r="L152" t="str">
        <f t="array" ref="L152">IF($A152="","",INDEX(JupData!$A$2:$K$10000,MATCH($A152&amp;L$1,JupData!$A$2:$A$10000&amp;JupData!$J$2:$J$10000,0),11))</f>
        <v/>
      </c>
      <c r="M152" t="str">
        <f t="array" ref="M152">IF($A152="","",INDEX(JupData!$A$2:$K$10000,MATCH($A152&amp;M$1,JupData!$A$2:$A$10000&amp;JupData!$J$2:$J$10000,0),11))</f>
        <v/>
      </c>
      <c r="N152" t="str">
        <f t="array" ref="N152">IF($A152="","",INDEX(JupData!$A$2:$K$10000,MATCH($A152&amp;N$1,JupData!$A$2:$A$10000&amp;JupData!$J$2:$J$10000,0),11))</f>
        <v/>
      </c>
      <c r="O152" t="str">
        <f t="array" ref="O152">IF($A152="","",INDEX(JupData!$A$2:$K$10000,MATCH($A152&amp;O$1,JupData!$A$2:$A$10000&amp;JupData!$J$2:$J$10000,0),11))</f>
        <v/>
      </c>
      <c r="P152" t="str">
        <f t="array" ref="P152">IF($A152="","",INDEX(JupData!$A$2:$K$10000,MATCH($A152&amp;P$1,JupData!$A$2:$A$10000&amp;JupData!$J$2:$J$10000,0),11))</f>
        <v/>
      </c>
      <c r="Q152" t="str">
        <f t="array" ref="Q152">IF($A152="","",INDEX(JupData!$A$2:$K$10000,MATCH($A152&amp;Q$1,JupData!$A$2:$A$10000&amp;JupData!$J$2:$J$10000,0),11))</f>
        <v/>
      </c>
      <c r="R152" t="str">
        <f t="array" ref="R152">IF($A152="","",INDEX(JupData!$A$2:$K$10000,MATCH($A152&amp;R$1,JupData!$A$2:$A$10000&amp;JupData!$J$2:$J$10000,0),11))</f>
        <v/>
      </c>
      <c r="S152" t="str">
        <f t="array" ref="S152">IF($A152="","",INDEX(JupData!$A$2:$K$10000,MATCH($A152&amp;S$1,JupData!$A$2:$A$10000&amp;JupData!$J$2:$J$10000,0),11))</f>
        <v/>
      </c>
      <c r="T152" t="str">
        <f t="array" ref="T152">IF($A152="","",INDEX(JupData!$A$2:$K$10000,MATCH($A152&amp;T$1,JupData!$A$2:$A$10000&amp;JupData!$J$2:$J$10000,0),11))</f>
        <v/>
      </c>
      <c r="U152" t="str">
        <f t="array" ref="U152">IF($A152="","",INDEX(JupData!$A$2:$K$10000,MATCH($A152&amp;U$1,JupData!$A$2:$A$10000&amp;JupData!$J$2:$J$10000,0),11))</f>
        <v/>
      </c>
      <c r="V152" t="str">
        <f t="array" ref="V152">IF($A152="","",INDEX(JupData!$A$2:$K$10000,MATCH($A152&amp;V$1,JupData!$A$2:$A$10000&amp;JupData!$J$2:$J$10000,0),11))</f>
        <v/>
      </c>
      <c r="W152" t="str">
        <f t="array" ref="W152">IF($A152="","",INDEX(JupData!$A$2:$K$10000,MATCH($A152&amp;W$1,JupData!$A$2:$A$10000&amp;JupData!$J$2:$J$10000,0),11))</f>
        <v/>
      </c>
      <c r="X152" t="str">
        <f t="array" ref="X152">IF($A152="","",INDEX(JupData!$A$2:$K$10000,MATCH($A152&amp;X$1,JupData!$A$2:$A$10000&amp;JupData!$J$2:$J$10000,0),11))</f>
        <v/>
      </c>
      <c r="Y152" t="str">
        <f t="array" ref="Y152">IF($A152="","",INDEX(JupData!$A$2:$K$10000,MATCH($A152&amp;Y$1,JupData!$A$2:$A$10000&amp;JupData!$J$2:$J$10000,0),11))</f>
        <v/>
      </c>
      <c r="Z152" t="str">
        <f t="array" ref="Z152">IF($A152="","",INDEX(JupData!$A$2:$K$10000,MATCH($A152&amp;Z$1,JupData!$A$2:$A$10000&amp;JupData!$J$2:$J$10000,0),11))</f>
        <v/>
      </c>
      <c r="AA152" t="str">
        <f t="array" ref="AA152">IF($A152="","",INDEX(JupData!$A$2:$K$10000,MATCH($A152&amp;AA$1,JupData!$A$2:$A$10000&amp;JupData!$J$2:$J$10000,0),11))</f>
        <v/>
      </c>
      <c r="AB152" t="str">
        <f t="array" ref="AB152">IF($A152="","",INDEX(JupData!$A$2:$K$10000,MATCH($A152&amp;AB$1,JupData!$A$2:$A$10000&amp;JupData!$J$2:$J$10000,0),11))</f>
        <v/>
      </c>
      <c r="AC152" s="10" t="str">
        <f t="shared" si="22"/>
        <v/>
      </c>
      <c r="AD152" s="10" t="str">
        <f t="shared" si="23"/>
        <v/>
      </c>
      <c r="AE152" s="9" t="str">
        <f t="shared" si="24"/>
        <v/>
      </c>
      <c r="AF152" s="10" t="str">
        <f t="shared" si="25"/>
        <v/>
      </c>
      <c r="AG152" s="10" t="str">
        <f t="shared" si="26"/>
        <v/>
      </c>
      <c r="AH152" s="10" t="str">
        <f t="shared" si="27"/>
        <v/>
      </c>
      <c r="AI152" s="10" t="str">
        <f t="shared" si="28"/>
        <v/>
      </c>
      <c r="AJ152" s="10" t="str">
        <f t="shared" si="29"/>
        <v/>
      </c>
      <c r="AK152" s="10" t="str">
        <f t="shared" si="30"/>
        <v/>
      </c>
      <c r="AL152" s="14" t="str">
        <f t="shared" si="31"/>
        <v/>
      </c>
    </row>
    <row r="153" spans="1:38" x14ac:dyDescent="0.2">
      <c r="A153"/>
      <c r="B153" t="str">
        <f>IF($A153="","",VLOOKUP($A153,JupData!$A$2:$I$10000,4,FALSE))</f>
        <v/>
      </c>
      <c r="C153" s="7" t="str">
        <f>IF($A153="",IF(N(D153),0,""),VLOOKUP($A153,JupData!$A$2:$I$10000,7,FALSE))</f>
        <v/>
      </c>
      <c r="D153" t="str">
        <f t="shared" si="32"/>
        <v/>
      </c>
      <c r="E153" t="str">
        <f t="array" ref="E153">IF($A153="","",INDEX(JupData!$A$2:$K$10000,MATCH($A153&amp;E$1,JupData!$A$2:$A$10000&amp;JupData!$J$2:$J$10000,0),11))</f>
        <v/>
      </c>
      <c r="F153" t="str">
        <f t="array" ref="F153">IF($A153="","",INDEX(JupData!$A$2:$K$10000,MATCH($A153&amp;F$1,JupData!$A$2:$A$10000&amp;JupData!$J$2:$J$10000,0),11))</f>
        <v/>
      </c>
      <c r="G153" t="str">
        <f t="array" ref="G153">IF($A153="","",INDEX(JupData!$A$2:$K$10000,MATCH($A153&amp;G$1,JupData!$A$2:$A$10000&amp;JupData!$J$2:$J$10000,0),11))</f>
        <v/>
      </c>
      <c r="H153" t="str">
        <f t="array" ref="H153">IF($A153="","",INDEX(JupData!$A$2:$K$10000,MATCH($A153&amp;H$1,JupData!$A$2:$A$10000&amp;JupData!$J$2:$J$10000,0),11))</f>
        <v/>
      </c>
      <c r="I153" t="str">
        <f t="array" ref="I153">IF($A153="","",INDEX(JupData!$A$2:$K$10000,MATCH($A153&amp;I$1,JupData!$A$2:$A$10000&amp;JupData!$J$2:$J$10000,0),11))</f>
        <v/>
      </c>
      <c r="J153" t="str">
        <f t="array" ref="J153">IF($A153="","",INDEX(JupData!$A$2:$K$10000,MATCH($A153&amp;J$1,JupData!$A$2:$A$10000&amp;JupData!$J$2:$J$10000,0),11))</f>
        <v/>
      </c>
      <c r="K153" t="str">
        <f t="array" ref="K153">IF($A153="","",INDEX(JupData!$A$2:$K$10000,MATCH($A153&amp;K$1,JupData!$A$2:$A$10000&amp;JupData!$J$2:$J$10000,0),11))</f>
        <v/>
      </c>
      <c r="L153" t="str">
        <f t="array" ref="L153">IF($A153="","",INDEX(JupData!$A$2:$K$10000,MATCH($A153&amp;L$1,JupData!$A$2:$A$10000&amp;JupData!$J$2:$J$10000,0),11))</f>
        <v/>
      </c>
      <c r="M153" t="str">
        <f t="array" ref="M153">IF($A153="","",INDEX(JupData!$A$2:$K$10000,MATCH($A153&amp;M$1,JupData!$A$2:$A$10000&amp;JupData!$J$2:$J$10000,0),11))</f>
        <v/>
      </c>
      <c r="N153" t="str">
        <f t="array" ref="N153">IF($A153="","",INDEX(JupData!$A$2:$K$10000,MATCH($A153&amp;N$1,JupData!$A$2:$A$10000&amp;JupData!$J$2:$J$10000,0),11))</f>
        <v/>
      </c>
      <c r="O153" t="str">
        <f t="array" ref="O153">IF($A153="","",INDEX(JupData!$A$2:$K$10000,MATCH($A153&amp;O$1,JupData!$A$2:$A$10000&amp;JupData!$J$2:$J$10000,0),11))</f>
        <v/>
      </c>
      <c r="P153" t="str">
        <f t="array" ref="P153">IF($A153="","",INDEX(JupData!$A$2:$K$10000,MATCH($A153&amp;P$1,JupData!$A$2:$A$10000&amp;JupData!$J$2:$J$10000,0),11))</f>
        <v/>
      </c>
      <c r="Q153" t="str">
        <f t="array" ref="Q153">IF($A153="","",INDEX(JupData!$A$2:$K$10000,MATCH($A153&amp;Q$1,JupData!$A$2:$A$10000&amp;JupData!$J$2:$J$10000,0),11))</f>
        <v/>
      </c>
      <c r="R153" t="str">
        <f t="array" ref="R153">IF($A153="","",INDEX(JupData!$A$2:$K$10000,MATCH($A153&amp;R$1,JupData!$A$2:$A$10000&amp;JupData!$J$2:$J$10000,0),11))</f>
        <v/>
      </c>
      <c r="S153" t="str">
        <f t="array" ref="S153">IF($A153="","",INDEX(JupData!$A$2:$K$10000,MATCH($A153&amp;S$1,JupData!$A$2:$A$10000&amp;JupData!$J$2:$J$10000,0),11))</f>
        <v/>
      </c>
      <c r="T153" t="str">
        <f t="array" ref="T153">IF($A153="","",INDEX(JupData!$A$2:$K$10000,MATCH($A153&amp;T$1,JupData!$A$2:$A$10000&amp;JupData!$J$2:$J$10000,0),11))</f>
        <v/>
      </c>
      <c r="U153" t="str">
        <f t="array" ref="U153">IF($A153="","",INDEX(JupData!$A$2:$K$10000,MATCH($A153&amp;U$1,JupData!$A$2:$A$10000&amp;JupData!$J$2:$J$10000,0),11))</f>
        <v/>
      </c>
      <c r="V153" t="str">
        <f t="array" ref="V153">IF($A153="","",INDEX(JupData!$A$2:$K$10000,MATCH($A153&amp;V$1,JupData!$A$2:$A$10000&amp;JupData!$J$2:$J$10000,0),11))</f>
        <v/>
      </c>
      <c r="W153" t="str">
        <f t="array" ref="W153">IF($A153="","",INDEX(JupData!$A$2:$K$10000,MATCH($A153&amp;W$1,JupData!$A$2:$A$10000&amp;JupData!$J$2:$J$10000,0),11))</f>
        <v/>
      </c>
      <c r="X153" t="str">
        <f t="array" ref="X153">IF($A153="","",INDEX(JupData!$A$2:$K$10000,MATCH($A153&amp;X$1,JupData!$A$2:$A$10000&amp;JupData!$J$2:$J$10000,0),11))</f>
        <v/>
      </c>
      <c r="Y153" t="str">
        <f t="array" ref="Y153">IF($A153="","",INDEX(JupData!$A$2:$K$10000,MATCH($A153&amp;Y$1,JupData!$A$2:$A$10000&amp;JupData!$J$2:$J$10000,0),11))</f>
        <v/>
      </c>
      <c r="Z153" t="str">
        <f t="array" ref="Z153">IF($A153="","",INDEX(JupData!$A$2:$K$10000,MATCH($A153&amp;Z$1,JupData!$A$2:$A$10000&amp;JupData!$J$2:$J$10000,0),11))</f>
        <v/>
      </c>
      <c r="AA153" t="str">
        <f t="array" ref="AA153">IF($A153="","",INDEX(JupData!$A$2:$K$10000,MATCH($A153&amp;AA$1,JupData!$A$2:$A$10000&amp;JupData!$J$2:$J$10000,0),11))</f>
        <v/>
      </c>
      <c r="AB153" t="str">
        <f t="array" ref="AB153">IF($A153="","",INDEX(JupData!$A$2:$K$10000,MATCH($A153&amp;AB$1,JupData!$A$2:$A$10000&amp;JupData!$J$2:$J$10000,0),11))</f>
        <v/>
      </c>
      <c r="AC153" s="10" t="str">
        <f t="shared" si="22"/>
        <v/>
      </c>
      <c r="AD153" s="10" t="str">
        <f t="shared" si="23"/>
        <v/>
      </c>
      <c r="AE153" s="9" t="str">
        <f t="shared" si="24"/>
        <v/>
      </c>
      <c r="AF153" s="10" t="str">
        <f t="shared" si="25"/>
        <v/>
      </c>
      <c r="AG153" s="10" t="str">
        <f t="shared" si="26"/>
        <v/>
      </c>
      <c r="AH153" s="10" t="str">
        <f t="shared" si="27"/>
        <v/>
      </c>
      <c r="AI153" s="10" t="str">
        <f t="shared" si="28"/>
        <v/>
      </c>
      <c r="AJ153" s="10" t="str">
        <f t="shared" si="29"/>
        <v/>
      </c>
      <c r="AK153" s="10" t="str">
        <f t="shared" si="30"/>
        <v/>
      </c>
      <c r="AL153" s="14" t="str">
        <f t="shared" si="31"/>
        <v/>
      </c>
    </row>
    <row r="154" spans="1:38" x14ac:dyDescent="0.2">
      <c r="A154"/>
      <c r="B154" t="str">
        <f>IF($A154="","",VLOOKUP($A154,JupData!$A$2:$I$10000,4,FALSE))</f>
        <v/>
      </c>
      <c r="C154" s="7" t="str">
        <f>IF($A154="",IF(N(D154),0,""),VLOOKUP($A154,JupData!$A$2:$I$10000,7,FALSE))</f>
        <v/>
      </c>
      <c r="D154" t="str">
        <f t="shared" si="32"/>
        <v/>
      </c>
      <c r="E154" t="str">
        <f t="array" ref="E154">IF($A154="","",INDEX(JupData!$A$2:$K$10000,MATCH($A154&amp;E$1,JupData!$A$2:$A$10000&amp;JupData!$J$2:$J$10000,0),11))</f>
        <v/>
      </c>
      <c r="F154" t="str">
        <f t="array" ref="F154">IF($A154="","",INDEX(JupData!$A$2:$K$10000,MATCH($A154&amp;F$1,JupData!$A$2:$A$10000&amp;JupData!$J$2:$J$10000,0),11))</f>
        <v/>
      </c>
      <c r="G154" t="str">
        <f t="array" ref="G154">IF($A154="","",INDEX(JupData!$A$2:$K$10000,MATCH($A154&amp;G$1,JupData!$A$2:$A$10000&amp;JupData!$J$2:$J$10000,0),11))</f>
        <v/>
      </c>
      <c r="H154" t="str">
        <f t="array" ref="H154">IF($A154="","",INDEX(JupData!$A$2:$K$10000,MATCH($A154&amp;H$1,JupData!$A$2:$A$10000&amp;JupData!$J$2:$J$10000,0),11))</f>
        <v/>
      </c>
      <c r="I154" t="str">
        <f t="array" ref="I154">IF($A154="","",INDEX(JupData!$A$2:$K$10000,MATCH($A154&amp;I$1,JupData!$A$2:$A$10000&amp;JupData!$J$2:$J$10000,0),11))</f>
        <v/>
      </c>
      <c r="J154" t="str">
        <f t="array" ref="J154">IF($A154="","",INDEX(JupData!$A$2:$K$10000,MATCH($A154&amp;J$1,JupData!$A$2:$A$10000&amp;JupData!$J$2:$J$10000,0),11))</f>
        <v/>
      </c>
      <c r="K154" t="str">
        <f t="array" ref="K154">IF($A154="","",INDEX(JupData!$A$2:$K$10000,MATCH($A154&amp;K$1,JupData!$A$2:$A$10000&amp;JupData!$J$2:$J$10000,0),11))</f>
        <v/>
      </c>
      <c r="L154" t="str">
        <f t="array" ref="L154">IF($A154="","",INDEX(JupData!$A$2:$K$10000,MATCH($A154&amp;L$1,JupData!$A$2:$A$10000&amp;JupData!$J$2:$J$10000,0),11))</f>
        <v/>
      </c>
      <c r="M154" t="str">
        <f t="array" ref="M154">IF($A154="","",INDEX(JupData!$A$2:$K$10000,MATCH($A154&amp;M$1,JupData!$A$2:$A$10000&amp;JupData!$J$2:$J$10000,0),11))</f>
        <v/>
      </c>
      <c r="N154" t="str">
        <f t="array" ref="N154">IF($A154="","",INDEX(JupData!$A$2:$K$10000,MATCH($A154&amp;N$1,JupData!$A$2:$A$10000&amp;JupData!$J$2:$J$10000,0),11))</f>
        <v/>
      </c>
      <c r="O154" t="str">
        <f t="array" ref="O154">IF($A154="","",INDEX(JupData!$A$2:$K$10000,MATCH($A154&amp;O$1,JupData!$A$2:$A$10000&amp;JupData!$J$2:$J$10000,0),11))</f>
        <v/>
      </c>
      <c r="P154" t="str">
        <f t="array" ref="P154">IF($A154="","",INDEX(JupData!$A$2:$K$10000,MATCH($A154&amp;P$1,JupData!$A$2:$A$10000&amp;JupData!$J$2:$J$10000,0),11))</f>
        <v/>
      </c>
      <c r="Q154" t="str">
        <f t="array" ref="Q154">IF($A154="","",INDEX(JupData!$A$2:$K$10000,MATCH($A154&amp;Q$1,JupData!$A$2:$A$10000&amp;JupData!$J$2:$J$10000,0),11))</f>
        <v/>
      </c>
      <c r="R154" t="str">
        <f t="array" ref="R154">IF($A154="","",INDEX(JupData!$A$2:$K$10000,MATCH($A154&amp;R$1,JupData!$A$2:$A$10000&amp;JupData!$J$2:$J$10000,0),11))</f>
        <v/>
      </c>
      <c r="S154" t="str">
        <f t="array" ref="S154">IF($A154="","",INDEX(JupData!$A$2:$K$10000,MATCH($A154&amp;S$1,JupData!$A$2:$A$10000&amp;JupData!$J$2:$J$10000,0),11))</f>
        <v/>
      </c>
      <c r="T154" t="str">
        <f t="array" ref="T154">IF($A154="","",INDEX(JupData!$A$2:$K$10000,MATCH($A154&amp;T$1,JupData!$A$2:$A$10000&amp;JupData!$J$2:$J$10000,0),11))</f>
        <v/>
      </c>
      <c r="U154" t="str">
        <f t="array" ref="U154">IF($A154="","",INDEX(JupData!$A$2:$K$10000,MATCH($A154&amp;U$1,JupData!$A$2:$A$10000&amp;JupData!$J$2:$J$10000,0),11))</f>
        <v/>
      </c>
      <c r="V154" t="str">
        <f t="array" ref="V154">IF($A154="","",INDEX(JupData!$A$2:$K$10000,MATCH($A154&amp;V$1,JupData!$A$2:$A$10000&amp;JupData!$J$2:$J$10000,0),11))</f>
        <v/>
      </c>
      <c r="W154" t="str">
        <f t="array" ref="W154">IF($A154="","",INDEX(JupData!$A$2:$K$10000,MATCH($A154&amp;W$1,JupData!$A$2:$A$10000&amp;JupData!$J$2:$J$10000,0),11))</f>
        <v/>
      </c>
      <c r="X154" t="str">
        <f t="array" ref="X154">IF($A154="","",INDEX(JupData!$A$2:$K$10000,MATCH($A154&amp;X$1,JupData!$A$2:$A$10000&amp;JupData!$J$2:$J$10000,0),11))</f>
        <v/>
      </c>
      <c r="Y154" t="str">
        <f t="array" ref="Y154">IF($A154="","",INDEX(JupData!$A$2:$K$10000,MATCH($A154&amp;Y$1,JupData!$A$2:$A$10000&amp;JupData!$J$2:$J$10000,0),11))</f>
        <v/>
      </c>
      <c r="Z154" t="str">
        <f t="array" ref="Z154">IF($A154="","",INDEX(JupData!$A$2:$K$10000,MATCH($A154&amp;Z$1,JupData!$A$2:$A$10000&amp;JupData!$J$2:$J$10000,0),11))</f>
        <v/>
      </c>
      <c r="AA154" t="str">
        <f t="array" ref="AA154">IF($A154="","",INDEX(JupData!$A$2:$K$10000,MATCH($A154&amp;AA$1,JupData!$A$2:$A$10000&amp;JupData!$J$2:$J$10000,0),11))</f>
        <v/>
      </c>
      <c r="AB154" t="str">
        <f t="array" ref="AB154">IF($A154="","",INDEX(JupData!$A$2:$K$10000,MATCH($A154&amp;AB$1,JupData!$A$2:$A$10000&amp;JupData!$J$2:$J$10000,0),11))</f>
        <v/>
      </c>
      <c r="AC154" s="10" t="str">
        <f t="shared" si="22"/>
        <v/>
      </c>
      <c r="AD154" s="10" t="str">
        <f t="shared" si="23"/>
        <v/>
      </c>
      <c r="AE154" s="9" t="str">
        <f t="shared" si="24"/>
        <v/>
      </c>
      <c r="AF154" s="10" t="str">
        <f t="shared" si="25"/>
        <v/>
      </c>
      <c r="AG154" s="10" t="str">
        <f t="shared" si="26"/>
        <v/>
      </c>
      <c r="AH154" s="10" t="str">
        <f t="shared" si="27"/>
        <v/>
      </c>
      <c r="AI154" s="10" t="str">
        <f t="shared" si="28"/>
        <v/>
      </c>
      <c r="AJ154" s="10" t="str">
        <f t="shared" si="29"/>
        <v/>
      </c>
      <c r="AK154" s="10" t="str">
        <f t="shared" si="30"/>
        <v/>
      </c>
      <c r="AL154" s="14" t="str">
        <f t="shared" si="31"/>
        <v/>
      </c>
    </row>
    <row r="155" spans="1:38" x14ac:dyDescent="0.2">
      <c r="A155"/>
      <c r="B155" t="str">
        <f>IF($A155="","",VLOOKUP($A155,JupData!$A$2:$I$10000,4,FALSE))</f>
        <v/>
      </c>
      <c r="C155" s="7" t="str">
        <f>IF($A155="",IF(N(D155),0,""),VLOOKUP($A155,JupData!$A$2:$I$10000,7,FALSE))</f>
        <v/>
      </c>
      <c r="D155" t="str">
        <f t="shared" si="32"/>
        <v/>
      </c>
      <c r="E155" t="str">
        <f t="array" ref="E155">IF($A155="","",INDEX(JupData!$A$2:$K$10000,MATCH($A155&amp;E$1,JupData!$A$2:$A$10000&amp;JupData!$J$2:$J$10000,0),11))</f>
        <v/>
      </c>
      <c r="F155" t="str">
        <f t="array" ref="F155">IF($A155="","",INDEX(JupData!$A$2:$K$10000,MATCH($A155&amp;F$1,JupData!$A$2:$A$10000&amp;JupData!$J$2:$J$10000,0),11))</f>
        <v/>
      </c>
      <c r="G155" t="str">
        <f t="array" ref="G155">IF($A155="","",INDEX(JupData!$A$2:$K$10000,MATCH($A155&amp;G$1,JupData!$A$2:$A$10000&amp;JupData!$J$2:$J$10000,0),11))</f>
        <v/>
      </c>
      <c r="H155" t="str">
        <f t="array" ref="H155">IF($A155="","",INDEX(JupData!$A$2:$K$10000,MATCH($A155&amp;H$1,JupData!$A$2:$A$10000&amp;JupData!$J$2:$J$10000,0),11))</f>
        <v/>
      </c>
      <c r="I155" t="str">
        <f t="array" ref="I155">IF($A155="","",INDEX(JupData!$A$2:$K$10000,MATCH($A155&amp;I$1,JupData!$A$2:$A$10000&amp;JupData!$J$2:$J$10000,0),11))</f>
        <v/>
      </c>
      <c r="J155" t="str">
        <f t="array" ref="J155">IF($A155="","",INDEX(JupData!$A$2:$K$10000,MATCH($A155&amp;J$1,JupData!$A$2:$A$10000&amp;JupData!$J$2:$J$10000,0),11))</f>
        <v/>
      </c>
      <c r="K155" t="str">
        <f t="array" ref="K155">IF($A155="","",INDEX(JupData!$A$2:$K$10000,MATCH($A155&amp;K$1,JupData!$A$2:$A$10000&amp;JupData!$J$2:$J$10000,0),11))</f>
        <v/>
      </c>
      <c r="L155" t="str">
        <f t="array" ref="L155">IF($A155="","",INDEX(JupData!$A$2:$K$10000,MATCH($A155&amp;L$1,JupData!$A$2:$A$10000&amp;JupData!$J$2:$J$10000,0),11))</f>
        <v/>
      </c>
      <c r="M155" t="str">
        <f t="array" ref="M155">IF($A155="","",INDEX(JupData!$A$2:$K$10000,MATCH($A155&amp;M$1,JupData!$A$2:$A$10000&amp;JupData!$J$2:$J$10000,0),11))</f>
        <v/>
      </c>
      <c r="N155" t="str">
        <f t="array" ref="N155">IF($A155="","",INDEX(JupData!$A$2:$K$10000,MATCH($A155&amp;N$1,JupData!$A$2:$A$10000&amp;JupData!$J$2:$J$10000,0),11))</f>
        <v/>
      </c>
      <c r="O155" t="str">
        <f t="array" ref="O155">IF($A155="","",INDEX(JupData!$A$2:$K$10000,MATCH($A155&amp;O$1,JupData!$A$2:$A$10000&amp;JupData!$J$2:$J$10000,0),11))</f>
        <v/>
      </c>
      <c r="P155" t="str">
        <f t="array" ref="P155">IF($A155="","",INDEX(JupData!$A$2:$K$10000,MATCH($A155&amp;P$1,JupData!$A$2:$A$10000&amp;JupData!$J$2:$J$10000,0),11))</f>
        <v/>
      </c>
      <c r="Q155" t="str">
        <f t="array" ref="Q155">IF($A155="","",INDEX(JupData!$A$2:$K$10000,MATCH($A155&amp;Q$1,JupData!$A$2:$A$10000&amp;JupData!$J$2:$J$10000,0),11))</f>
        <v/>
      </c>
      <c r="R155" t="str">
        <f t="array" ref="R155">IF($A155="","",INDEX(JupData!$A$2:$K$10000,MATCH($A155&amp;R$1,JupData!$A$2:$A$10000&amp;JupData!$J$2:$J$10000,0),11))</f>
        <v/>
      </c>
      <c r="S155" t="str">
        <f t="array" ref="S155">IF($A155="","",INDEX(JupData!$A$2:$K$10000,MATCH($A155&amp;S$1,JupData!$A$2:$A$10000&amp;JupData!$J$2:$J$10000,0),11))</f>
        <v/>
      </c>
      <c r="T155" t="str">
        <f t="array" ref="T155">IF($A155="","",INDEX(JupData!$A$2:$K$10000,MATCH($A155&amp;T$1,JupData!$A$2:$A$10000&amp;JupData!$J$2:$J$10000,0),11))</f>
        <v/>
      </c>
      <c r="U155" t="str">
        <f t="array" ref="U155">IF($A155="","",INDEX(JupData!$A$2:$K$10000,MATCH($A155&amp;U$1,JupData!$A$2:$A$10000&amp;JupData!$J$2:$J$10000,0),11))</f>
        <v/>
      </c>
      <c r="V155" t="str">
        <f t="array" ref="V155">IF($A155="","",INDEX(JupData!$A$2:$K$10000,MATCH($A155&amp;V$1,JupData!$A$2:$A$10000&amp;JupData!$J$2:$J$10000,0),11))</f>
        <v/>
      </c>
      <c r="W155" t="str">
        <f t="array" ref="W155">IF($A155="","",INDEX(JupData!$A$2:$K$10000,MATCH($A155&amp;W$1,JupData!$A$2:$A$10000&amp;JupData!$J$2:$J$10000,0),11))</f>
        <v/>
      </c>
      <c r="X155" t="str">
        <f t="array" ref="X155">IF($A155="","",INDEX(JupData!$A$2:$K$10000,MATCH($A155&amp;X$1,JupData!$A$2:$A$10000&amp;JupData!$J$2:$J$10000,0),11))</f>
        <v/>
      </c>
      <c r="Y155" t="str">
        <f t="array" ref="Y155">IF($A155="","",INDEX(JupData!$A$2:$K$10000,MATCH($A155&amp;Y$1,JupData!$A$2:$A$10000&amp;JupData!$J$2:$J$10000,0),11))</f>
        <v/>
      </c>
      <c r="Z155" t="str">
        <f t="array" ref="Z155">IF($A155="","",INDEX(JupData!$A$2:$K$10000,MATCH($A155&amp;Z$1,JupData!$A$2:$A$10000&amp;JupData!$J$2:$J$10000,0),11))</f>
        <v/>
      </c>
      <c r="AA155" t="str">
        <f t="array" ref="AA155">IF($A155="","",INDEX(JupData!$A$2:$K$10000,MATCH($A155&amp;AA$1,JupData!$A$2:$A$10000&amp;JupData!$J$2:$J$10000,0),11))</f>
        <v/>
      </c>
      <c r="AB155" t="str">
        <f t="array" ref="AB155">IF($A155="","",INDEX(JupData!$A$2:$K$10000,MATCH($A155&amp;AB$1,JupData!$A$2:$A$10000&amp;JupData!$J$2:$J$10000,0),11))</f>
        <v/>
      </c>
      <c r="AC155" s="10" t="str">
        <f t="shared" si="22"/>
        <v/>
      </c>
      <c r="AD155" s="10" t="str">
        <f t="shared" si="23"/>
        <v/>
      </c>
      <c r="AE155" s="9" t="str">
        <f t="shared" si="24"/>
        <v/>
      </c>
      <c r="AF155" s="10" t="str">
        <f t="shared" si="25"/>
        <v/>
      </c>
      <c r="AG155" s="10" t="str">
        <f t="shared" si="26"/>
        <v/>
      </c>
      <c r="AH155" s="10" t="str">
        <f t="shared" si="27"/>
        <v/>
      </c>
      <c r="AI155" s="10" t="str">
        <f t="shared" si="28"/>
        <v/>
      </c>
      <c r="AJ155" s="10" t="str">
        <f t="shared" si="29"/>
        <v/>
      </c>
      <c r="AK155" s="10" t="str">
        <f t="shared" si="30"/>
        <v/>
      </c>
      <c r="AL155" s="14" t="str">
        <f t="shared" si="31"/>
        <v/>
      </c>
    </row>
    <row r="156" spans="1:38" x14ac:dyDescent="0.2">
      <c r="A156"/>
      <c r="B156" t="str">
        <f>IF($A156="","",VLOOKUP($A156,JupData!$A$2:$I$10000,4,FALSE))</f>
        <v/>
      </c>
      <c r="C156" s="7" t="str">
        <f>IF($A156="",IF(N(D156),0,""),VLOOKUP($A156,JupData!$A$2:$I$10000,7,FALSE))</f>
        <v/>
      </c>
      <c r="D156" t="str">
        <f t="shared" si="32"/>
        <v/>
      </c>
      <c r="E156" t="str">
        <f t="array" ref="E156">IF($A156="","",INDEX(JupData!$A$2:$K$10000,MATCH($A156&amp;E$1,JupData!$A$2:$A$10000&amp;JupData!$J$2:$J$10000,0),11))</f>
        <v/>
      </c>
      <c r="F156" t="str">
        <f t="array" ref="F156">IF($A156="","",INDEX(JupData!$A$2:$K$10000,MATCH($A156&amp;F$1,JupData!$A$2:$A$10000&amp;JupData!$J$2:$J$10000,0),11))</f>
        <v/>
      </c>
      <c r="G156" t="str">
        <f t="array" ref="G156">IF($A156="","",INDEX(JupData!$A$2:$K$10000,MATCH($A156&amp;G$1,JupData!$A$2:$A$10000&amp;JupData!$J$2:$J$10000,0),11))</f>
        <v/>
      </c>
      <c r="H156" t="str">
        <f t="array" ref="H156">IF($A156="","",INDEX(JupData!$A$2:$K$10000,MATCH($A156&amp;H$1,JupData!$A$2:$A$10000&amp;JupData!$J$2:$J$10000,0),11))</f>
        <v/>
      </c>
      <c r="I156" t="str">
        <f t="array" ref="I156">IF($A156="","",INDEX(JupData!$A$2:$K$10000,MATCH($A156&amp;I$1,JupData!$A$2:$A$10000&amp;JupData!$J$2:$J$10000,0),11))</f>
        <v/>
      </c>
      <c r="J156" t="str">
        <f t="array" ref="J156">IF($A156="","",INDEX(JupData!$A$2:$K$10000,MATCH($A156&amp;J$1,JupData!$A$2:$A$10000&amp;JupData!$J$2:$J$10000,0),11))</f>
        <v/>
      </c>
      <c r="K156" t="str">
        <f t="array" ref="K156">IF($A156="","",INDEX(JupData!$A$2:$K$10000,MATCH($A156&amp;K$1,JupData!$A$2:$A$10000&amp;JupData!$J$2:$J$10000,0),11))</f>
        <v/>
      </c>
      <c r="L156" t="str">
        <f t="array" ref="L156">IF($A156="","",INDEX(JupData!$A$2:$K$10000,MATCH($A156&amp;L$1,JupData!$A$2:$A$10000&amp;JupData!$J$2:$J$10000,0),11))</f>
        <v/>
      </c>
      <c r="M156" t="str">
        <f t="array" ref="M156">IF($A156="","",INDEX(JupData!$A$2:$K$10000,MATCH($A156&amp;M$1,JupData!$A$2:$A$10000&amp;JupData!$J$2:$J$10000,0),11))</f>
        <v/>
      </c>
      <c r="N156" t="str">
        <f t="array" ref="N156">IF($A156="","",INDEX(JupData!$A$2:$K$10000,MATCH($A156&amp;N$1,JupData!$A$2:$A$10000&amp;JupData!$J$2:$J$10000,0),11))</f>
        <v/>
      </c>
      <c r="O156" t="str">
        <f t="array" ref="O156">IF($A156="","",INDEX(JupData!$A$2:$K$10000,MATCH($A156&amp;O$1,JupData!$A$2:$A$10000&amp;JupData!$J$2:$J$10000,0),11))</f>
        <v/>
      </c>
      <c r="P156" t="str">
        <f t="array" ref="P156">IF($A156="","",INDEX(JupData!$A$2:$K$10000,MATCH($A156&amp;P$1,JupData!$A$2:$A$10000&amp;JupData!$J$2:$J$10000,0),11))</f>
        <v/>
      </c>
      <c r="Q156" t="str">
        <f t="array" ref="Q156">IF($A156="","",INDEX(JupData!$A$2:$K$10000,MATCH($A156&amp;Q$1,JupData!$A$2:$A$10000&amp;JupData!$J$2:$J$10000,0),11))</f>
        <v/>
      </c>
      <c r="R156" t="str">
        <f t="array" ref="R156">IF($A156="","",INDEX(JupData!$A$2:$K$10000,MATCH($A156&amp;R$1,JupData!$A$2:$A$10000&amp;JupData!$J$2:$J$10000,0),11))</f>
        <v/>
      </c>
      <c r="S156" t="str">
        <f t="array" ref="S156">IF($A156="","",INDEX(JupData!$A$2:$K$10000,MATCH($A156&amp;S$1,JupData!$A$2:$A$10000&amp;JupData!$J$2:$J$10000,0),11))</f>
        <v/>
      </c>
      <c r="T156" t="str">
        <f t="array" ref="T156">IF($A156="","",INDEX(JupData!$A$2:$K$10000,MATCH($A156&amp;T$1,JupData!$A$2:$A$10000&amp;JupData!$J$2:$J$10000,0),11))</f>
        <v/>
      </c>
      <c r="U156" t="str">
        <f t="array" ref="U156">IF($A156="","",INDEX(JupData!$A$2:$K$10000,MATCH($A156&amp;U$1,JupData!$A$2:$A$10000&amp;JupData!$J$2:$J$10000,0),11))</f>
        <v/>
      </c>
      <c r="V156" t="str">
        <f t="array" ref="V156">IF($A156="","",INDEX(JupData!$A$2:$K$10000,MATCH($A156&amp;V$1,JupData!$A$2:$A$10000&amp;JupData!$J$2:$J$10000,0),11))</f>
        <v/>
      </c>
      <c r="W156" t="str">
        <f t="array" ref="W156">IF($A156="","",INDEX(JupData!$A$2:$K$10000,MATCH($A156&amp;W$1,JupData!$A$2:$A$10000&amp;JupData!$J$2:$J$10000,0),11))</f>
        <v/>
      </c>
      <c r="X156" t="str">
        <f t="array" ref="X156">IF($A156="","",INDEX(JupData!$A$2:$K$10000,MATCH($A156&amp;X$1,JupData!$A$2:$A$10000&amp;JupData!$J$2:$J$10000,0),11))</f>
        <v/>
      </c>
      <c r="Y156" t="str">
        <f t="array" ref="Y156">IF($A156="","",INDEX(JupData!$A$2:$K$10000,MATCH($A156&amp;Y$1,JupData!$A$2:$A$10000&amp;JupData!$J$2:$J$10000,0),11))</f>
        <v/>
      </c>
      <c r="Z156" t="str">
        <f t="array" ref="Z156">IF($A156="","",INDEX(JupData!$A$2:$K$10000,MATCH($A156&amp;Z$1,JupData!$A$2:$A$10000&amp;JupData!$J$2:$J$10000,0),11))</f>
        <v/>
      </c>
      <c r="AA156" t="str">
        <f t="array" ref="AA156">IF($A156="","",INDEX(JupData!$A$2:$K$10000,MATCH($A156&amp;AA$1,JupData!$A$2:$A$10000&amp;JupData!$J$2:$J$10000,0),11))</f>
        <v/>
      </c>
      <c r="AB156" t="str">
        <f t="array" ref="AB156">IF($A156="","",INDEX(JupData!$A$2:$K$10000,MATCH($A156&amp;AB$1,JupData!$A$2:$A$10000&amp;JupData!$J$2:$J$10000,0),11))</f>
        <v/>
      </c>
      <c r="AC156" s="10" t="str">
        <f t="shared" si="22"/>
        <v/>
      </c>
      <c r="AD156" s="10" t="str">
        <f t="shared" si="23"/>
        <v/>
      </c>
      <c r="AE156" s="9" t="str">
        <f t="shared" si="24"/>
        <v/>
      </c>
      <c r="AF156" s="10" t="str">
        <f t="shared" si="25"/>
        <v/>
      </c>
      <c r="AG156" s="10" t="str">
        <f t="shared" si="26"/>
        <v/>
      </c>
      <c r="AH156" s="10" t="str">
        <f t="shared" si="27"/>
        <v/>
      </c>
      <c r="AI156" s="10" t="str">
        <f t="shared" si="28"/>
        <v/>
      </c>
      <c r="AJ156" s="10" t="str">
        <f t="shared" si="29"/>
        <v/>
      </c>
      <c r="AK156" s="10" t="str">
        <f t="shared" si="30"/>
        <v/>
      </c>
      <c r="AL156" s="14" t="str">
        <f t="shared" si="31"/>
        <v/>
      </c>
    </row>
    <row r="157" spans="1:38" x14ac:dyDescent="0.2">
      <c r="A157"/>
      <c r="B157" t="str">
        <f>IF($A157="","",VLOOKUP($A157,JupData!$A$2:$I$10000,4,FALSE))</f>
        <v/>
      </c>
      <c r="C157" s="7" t="str">
        <f>IF($A157="",IF(N(D157),0,""),VLOOKUP($A157,JupData!$A$2:$I$10000,7,FALSE))</f>
        <v/>
      </c>
      <c r="D157" t="str">
        <f t="shared" si="32"/>
        <v/>
      </c>
      <c r="E157" t="str">
        <f t="array" ref="E157">IF($A157="","",INDEX(JupData!$A$2:$K$10000,MATCH($A157&amp;E$1,JupData!$A$2:$A$10000&amp;JupData!$J$2:$J$10000,0),11))</f>
        <v/>
      </c>
      <c r="F157" t="str">
        <f t="array" ref="F157">IF($A157="","",INDEX(JupData!$A$2:$K$10000,MATCH($A157&amp;F$1,JupData!$A$2:$A$10000&amp;JupData!$J$2:$J$10000,0),11))</f>
        <v/>
      </c>
      <c r="G157" t="str">
        <f t="array" ref="G157">IF($A157="","",INDEX(JupData!$A$2:$K$10000,MATCH($A157&amp;G$1,JupData!$A$2:$A$10000&amp;JupData!$J$2:$J$10000,0),11))</f>
        <v/>
      </c>
      <c r="H157" t="str">
        <f t="array" ref="H157">IF($A157="","",INDEX(JupData!$A$2:$K$10000,MATCH($A157&amp;H$1,JupData!$A$2:$A$10000&amp;JupData!$J$2:$J$10000,0),11))</f>
        <v/>
      </c>
      <c r="I157" t="str">
        <f t="array" ref="I157">IF($A157="","",INDEX(JupData!$A$2:$K$10000,MATCH($A157&amp;I$1,JupData!$A$2:$A$10000&amp;JupData!$J$2:$J$10000,0),11))</f>
        <v/>
      </c>
      <c r="J157" t="str">
        <f t="array" ref="J157">IF($A157="","",INDEX(JupData!$A$2:$K$10000,MATCH($A157&amp;J$1,JupData!$A$2:$A$10000&amp;JupData!$J$2:$J$10000,0),11))</f>
        <v/>
      </c>
      <c r="K157" t="str">
        <f t="array" ref="K157">IF($A157="","",INDEX(JupData!$A$2:$K$10000,MATCH($A157&amp;K$1,JupData!$A$2:$A$10000&amp;JupData!$J$2:$J$10000,0),11))</f>
        <v/>
      </c>
      <c r="L157" t="str">
        <f t="array" ref="L157">IF($A157="","",INDEX(JupData!$A$2:$K$10000,MATCH($A157&amp;L$1,JupData!$A$2:$A$10000&amp;JupData!$J$2:$J$10000,0),11))</f>
        <v/>
      </c>
      <c r="M157" t="str">
        <f t="array" ref="M157">IF($A157="","",INDEX(JupData!$A$2:$K$10000,MATCH($A157&amp;M$1,JupData!$A$2:$A$10000&amp;JupData!$J$2:$J$10000,0),11))</f>
        <v/>
      </c>
      <c r="N157" t="str">
        <f t="array" ref="N157">IF($A157="","",INDEX(JupData!$A$2:$K$10000,MATCH($A157&amp;N$1,JupData!$A$2:$A$10000&amp;JupData!$J$2:$J$10000,0),11))</f>
        <v/>
      </c>
      <c r="O157" t="str">
        <f t="array" ref="O157">IF($A157="","",INDEX(JupData!$A$2:$K$10000,MATCH($A157&amp;O$1,JupData!$A$2:$A$10000&amp;JupData!$J$2:$J$10000,0),11))</f>
        <v/>
      </c>
      <c r="P157" t="str">
        <f t="array" ref="P157">IF($A157="","",INDEX(JupData!$A$2:$K$10000,MATCH($A157&amp;P$1,JupData!$A$2:$A$10000&amp;JupData!$J$2:$J$10000,0),11))</f>
        <v/>
      </c>
      <c r="Q157" t="str">
        <f t="array" ref="Q157">IF($A157="","",INDEX(JupData!$A$2:$K$10000,MATCH($A157&amp;Q$1,JupData!$A$2:$A$10000&amp;JupData!$J$2:$J$10000,0),11))</f>
        <v/>
      </c>
      <c r="R157" t="str">
        <f t="array" ref="R157">IF($A157="","",INDEX(JupData!$A$2:$K$10000,MATCH($A157&amp;R$1,JupData!$A$2:$A$10000&amp;JupData!$J$2:$J$10000,0),11))</f>
        <v/>
      </c>
      <c r="S157" t="str">
        <f t="array" ref="S157">IF($A157="","",INDEX(JupData!$A$2:$K$10000,MATCH($A157&amp;S$1,JupData!$A$2:$A$10000&amp;JupData!$J$2:$J$10000,0),11))</f>
        <v/>
      </c>
      <c r="T157" t="str">
        <f t="array" ref="T157">IF($A157="","",INDEX(JupData!$A$2:$K$10000,MATCH($A157&amp;T$1,JupData!$A$2:$A$10000&amp;JupData!$J$2:$J$10000,0),11))</f>
        <v/>
      </c>
      <c r="U157" t="str">
        <f t="array" ref="U157">IF($A157="","",INDEX(JupData!$A$2:$K$10000,MATCH($A157&amp;U$1,JupData!$A$2:$A$10000&amp;JupData!$J$2:$J$10000,0),11))</f>
        <v/>
      </c>
      <c r="V157" t="str">
        <f t="array" ref="V157">IF($A157="","",INDEX(JupData!$A$2:$K$10000,MATCH($A157&amp;V$1,JupData!$A$2:$A$10000&amp;JupData!$J$2:$J$10000,0),11))</f>
        <v/>
      </c>
      <c r="W157" t="str">
        <f t="array" ref="W157">IF($A157="","",INDEX(JupData!$A$2:$K$10000,MATCH($A157&amp;W$1,JupData!$A$2:$A$10000&amp;JupData!$J$2:$J$10000,0),11))</f>
        <v/>
      </c>
      <c r="X157" t="str">
        <f t="array" ref="X157">IF($A157="","",INDEX(JupData!$A$2:$K$10000,MATCH($A157&amp;X$1,JupData!$A$2:$A$10000&amp;JupData!$J$2:$J$10000,0),11))</f>
        <v/>
      </c>
      <c r="Y157" t="str">
        <f t="array" ref="Y157">IF($A157="","",INDEX(JupData!$A$2:$K$10000,MATCH($A157&amp;Y$1,JupData!$A$2:$A$10000&amp;JupData!$J$2:$J$10000,0),11))</f>
        <v/>
      </c>
      <c r="Z157" t="str">
        <f t="array" ref="Z157">IF($A157="","",INDEX(JupData!$A$2:$K$10000,MATCH($A157&amp;Z$1,JupData!$A$2:$A$10000&amp;JupData!$J$2:$J$10000,0),11))</f>
        <v/>
      </c>
      <c r="AA157" t="str">
        <f t="array" ref="AA157">IF($A157="","",INDEX(JupData!$A$2:$K$10000,MATCH($A157&amp;AA$1,JupData!$A$2:$A$10000&amp;JupData!$J$2:$J$10000,0),11))</f>
        <v/>
      </c>
      <c r="AB157" t="str">
        <f t="array" ref="AB157">IF($A157="","",INDEX(JupData!$A$2:$K$10000,MATCH($A157&amp;AB$1,JupData!$A$2:$A$10000&amp;JupData!$J$2:$J$10000,0),11))</f>
        <v/>
      </c>
      <c r="AC157" s="10" t="str">
        <f t="shared" si="22"/>
        <v/>
      </c>
      <c r="AD157" s="10" t="str">
        <f t="shared" si="23"/>
        <v/>
      </c>
      <c r="AE157" s="9" t="str">
        <f t="shared" si="24"/>
        <v/>
      </c>
      <c r="AF157" s="10" t="str">
        <f t="shared" si="25"/>
        <v/>
      </c>
      <c r="AG157" s="10" t="str">
        <f t="shared" si="26"/>
        <v/>
      </c>
      <c r="AH157" s="10" t="str">
        <f t="shared" si="27"/>
        <v/>
      </c>
      <c r="AI157" s="10" t="str">
        <f t="shared" si="28"/>
        <v/>
      </c>
      <c r="AJ157" s="10" t="str">
        <f t="shared" si="29"/>
        <v/>
      </c>
      <c r="AK157" s="10" t="str">
        <f t="shared" si="30"/>
        <v/>
      </c>
      <c r="AL157" s="14" t="str">
        <f t="shared" si="31"/>
        <v/>
      </c>
    </row>
    <row r="158" spans="1:38" x14ac:dyDescent="0.2">
      <c r="A158"/>
      <c r="B158" t="str">
        <f>IF($A158="","",VLOOKUP($A158,JupData!$A$2:$I$10000,4,FALSE))</f>
        <v/>
      </c>
      <c r="C158" s="7" t="str">
        <f>IF($A158="",IF(N(D158),0,""),VLOOKUP($A158,JupData!$A$2:$I$10000,7,FALSE))</f>
        <v/>
      </c>
      <c r="D158" t="str">
        <f t="shared" si="32"/>
        <v/>
      </c>
      <c r="E158" t="str">
        <f t="array" ref="E158">IF($A158="","",INDEX(JupData!$A$2:$K$10000,MATCH($A158&amp;E$1,JupData!$A$2:$A$10000&amp;JupData!$J$2:$J$10000,0),11))</f>
        <v/>
      </c>
      <c r="F158" t="str">
        <f t="array" ref="F158">IF($A158="","",INDEX(JupData!$A$2:$K$10000,MATCH($A158&amp;F$1,JupData!$A$2:$A$10000&amp;JupData!$J$2:$J$10000,0),11))</f>
        <v/>
      </c>
      <c r="G158" t="str">
        <f t="array" ref="G158">IF($A158="","",INDEX(JupData!$A$2:$K$10000,MATCH($A158&amp;G$1,JupData!$A$2:$A$10000&amp;JupData!$J$2:$J$10000,0),11))</f>
        <v/>
      </c>
      <c r="H158" t="str">
        <f t="array" ref="H158">IF($A158="","",INDEX(JupData!$A$2:$K$10000,MATCH($A158&amp;H$1,JupData!$A$2:$A$10000&amp;JupData!$J$2:$J$10000,0),11))</f>
        <v/>
      </c>
      <c r="I158" t="str">
        <f t="array" ref="I158">IF($A158="","",INDEX(JupData!$A$2:$K$10000,MATCH($A158&amp;I$1,JupData!$A$2:$A$10000&amp;JupData!$J$2:$J$10000,0),11))</f>
        <v/>
      </c>
      <c r="J158" t="str">
        <f t="array" ref="J158">IF($A158="","",INDEX(JupData!$A$2:$K$10000,MATCH($A158&amp;J$1,JupData!$A$2:$A$10000&amp;JupData!$J$2:$J$10000,0),11))</f>
        <v/>
      </c>
      <c r="K158" t="str">
        <f t="array" ref="K158">IF($A158="","",INDEX(JupData!$A$2:$K$10000,MATCH($A158&amp;K$1,JupData!$A$2:$A$10000&amp;JupData!$J$2:$J$10000,0),11))</f>
        <v/>
      </c>
      <c r="L158" t="str">
        <f t="array" ref="L158">IF($A158="","",INDEX(JupData!$A$2:$K$10000,MATCH($A158&amp;L$1,JupData!$A$2:$A$10000&amp;JupData!$J$2:$J$10000,0),11))</f>
        <v/>
      </c>
      <c r="M158" t="str">
        <f t="array" ref="M158">IF($A158="","",INDEX(JupData!$A$2:$K$10000,MATCH($A158&amp;M$1,JupData!$A$2:$A$10000&amp;JupData!$J$2:$J$10000,0),11))</f>
        <v/>
      </c>
      <c r="N158" t="str">
        <f t="array" ref="N158">IF($A158="","",INDEX(JupData!$A$2:$K$10000,MATCH($A158&amp;N$1,JupData!$A$2:$A$10000&amp;JupData!$J$2:$J$10000,0),11))</f>
        <v/>
      </c>
      <c r="O158" t="str">
        <f t="array" ref="O158">IF($A158="","",INDEX(JupData!$A$2:$K$10000,MATCH($A158&amp;O$1,JupData!$A$2:$A$10000&amp;JupData!$J$2:$J$10000,0),11))</f>
        <v/>
      </c>
      <c r="P158" t="str">
        <f t="array" ref="P158">IF($A158="","",INDEX(JupData!$A$2:$K$10000,MATCH($A158&amp;P$1,JupData!$A$2:$A$10000&amp;JupData!$J$2:$J$10000,0),11))</f>
        <v/>
      </c>
      <c r="Q158" t="str">
        <f t="array" ref="Q158">IF($A158="","",INDEX(JupData!$A$2:$K$10000,MATCH($A158&amp;Q$1,JupData!$A$2:$A$10000&amp;JupData!$J$2:$J$10000,0),11))</f>
        <v/>
      </c>
      <c r="R158" t="str">
        <f t="array" ref="R158">IF($A158="","",INDEX(JupData!$A$2:$K$10000,MATCH($A158&amp;R$1,JupData!$A$2:$A$10000&amp;JupData!$J$2:$J$10000,0),11))</f>
        <v/>
      </c>
      <c r="S158" t="str">
        <f t="array" ref="S158">IF($A158="","",INDEX(JupData!$A$2:$K$10000,MATCH($A158&amp;S$1,JupData!$A$2:$A$10000&amp;JupData!$J$2:$J$10000,0),11))</f>
        <v/>
      </c>
      <c r="T158" t="str">
        <f t="array" ref="T158">IF($A158="","",INDEX(JupData!$A$2:$K$10000,MATCH($A158&amp;T$1,JupData!$A$2:$A$10000&amp;JupData!$J$2:$J$10000,0),11))</f>
        <v/>
      </c>
      <c r="U158" t="str">
        <f t="array" ref="U158">IF($A158="","",INDEX(JupData!$A$2:$K$10000,MATCH($A158&amp;U$1,JupData!$A$2:$A$10000&amp;JupData!$J$2:$J$10000,0),11))</f>
        <v/>
      </c>
      <c r="V158" t="str">
        <f t="array" ref="V158">IF($A158="","",INDEX(JupData!$A$2:$K$10000,MATCH($A158&amp;V$1,JupData!$A$2:$A$10000&amp;JupData!$J$2:$J$10000,0),11))</f>
        <v/>
      </c>
      <c r="W158" t="str">
        <f t="array" ref="W158">IF($A158="","",INDEX(JupData!$A$2:$K$10000,MATCH($A158&amp;W$1,JupData!$A$2:$A$10000&amp;JupData!$J$2:$J$10000,0),11))</f>
        <v/>
      </c>
      <c r="X158" t="str">
        <f t="array" ref="X158">IF($A158="","",INDEX(JupData!$A$2:$K$10000,MATCH($A158&amp;X$1,JupData!$A$2:$A$10000&amp;JupData!$J$2:$J$10000,0),11))</f>
        <v/>
      </c>
      <c r="Y158" t="str">
        <f t="array" ref="Y158">IF($A158="","",INDEX(JupData!$A$2:$K$10000,MATCH($A158&amp;Y$1,JupData!$A$2:$A$10000&amp;JupData!$J$2:$J$10000,0),11))</f>
        <v/>
      </c>
      <c r="Z158" t="str">
        <f t="array" ref="Z158">IF($A158="","",INDEX(JupData!$A$2:$K$10000,MATCH($A158&amp;Z$1,JupData!$A$2:$A$10000&amp;JupData!$J$2:$J$10000,0),11))</f>
        <v/>
      </c>
      <c r="AA158" t="str">
        <f t="array" ref="AA158">IF($A158="","",INDEX(JupData!$A$2:$K$10000,MATCH($A158&amp;AA$1,JupData!$A$2:$A$10000&amp;JupData!$J$2:$J$10000,0),11))</f>
        <v/>
      </c>
      <c r="AB158" t="str">
        <f t="array" ref="AB158">IF($A158="","",INDEX(JupData!$A$2:$K$10000,MATCH($A158&amp;AB$1,JupData!$A$2:$A$10000&amp;JupData!$J$2:$J$10000,0),11))</f>
        <v/>
      </c>
      <c r="AC158" s="10" t="str">
        <f t="shared" si="22"/>
        <v/>
      </c>
      <c r="AD158" s="10" t="str">
        <f t="shared" si="23"/>
        <v/>
      </c>
      <c r="AE158" s="9" t="str">
        <f t="shared" si="24"/>
        <v/>
      </c>
      <c r="AF158" s="10" t="str">
        <f t="shared" si="25"/>
        <v/>
      </c>
      <c r="AG158" s="10" t="str">
        <f t="shared" si="26"/>
        <v/>
      </c>
      <c r="AH158" s="10" t="str">
        <f t="shared" si="27"/>
        <v/>
      </c>
      <c r="AI158" s="10" t="str">
        <f t="shared" si="28"/>
        <v/>
      </c>
      <c r="AJ158" s="10" t="str">
        <f t="shared" si="29"/>
        <v/>
      </c>
      <c r="AK158" s="10" t="str">
        <f t="shared" si="30"/>
        <v/>
      </c>
      <c r="AL158" s="14" t="str">
        <f t="shared" si="31"/>
        <v/>
      </c>
    </row>
    <row r="159" spans="1:38" x14ac:dyDescent="0.2">
      <c r="A159"/>
      <c r="B159" t="str">
        <f>IF($A159="","",VLOOKUP($A159,JupData!$A$2:$I$10000,4,FALSE))</f>
        <v/>
      </c>
      <c r="C159" s="7" t="str">
        <f>IF($A159="",IF(N(D159),0,""),VLOOKUP($A159,JupData!$A$2:$I$10000,7,FALSE))</f>
        <v/>
      </c>
      <c r="D159" t="str">
        <f t="shared" si="32"/>
        <v/>
      </c>
      <c r="E159" t="str">
        <f t="array" ref="E159">IF($A159="","",INDEX(JupData!$A$2:$K$10000,MATCH($A159&amp;E$1,JupData!$A$2:$A$10000&amp;JupData!$J$2:$J$10000,0),11))</f>
        <v/>
      </c>
      <c r="F159" t="str">
        <f t="array" ref="F159">IF($A159="","",INDEX(JupData!$A$2:$K$10000,MATCH($A159&amp;F$1,JupData!$A$2:$A$10000&amp;JupData!$J$2:$J$10000,0),11))</f>
        <v/>
      </c>
      <c r="G159" t="str">
        <f t="array" ref="G159">IF($A159="","",INDEX(JupData!$A$2:$K$10000,MATCH($A159&amp;G$1,JupData!$A$2:$A$10000&amp;JupData!$J$2:$J$10000,0),11))</f>
        <v/>
      </c>
      <c r="H159" t="str">
        <f t="array" ref="H159">IF($A159="","",INDEX(JupData!$A$2:$K$10000,MATCH($A159&amp;H$1,JupData!$A$2:$A$10000&amp;JupData!$J$2:$J$10000,0),11))</f>
        <v/>
      </c>
      <c r="I159" t="str">
        <f t="array" ref="I159">IF($A159="","",INDEX(JupData!$A$2:$K$10000,MATCH($A159&amp;I$1,JupData!$A$2:$A$10000&amp;JupData!$J$2:$J$10000,0),11))</f>
        <v/>
      </c>
      <c r="J159" t="str">
        <f t="array" ref="J159">IF($A159="","",INDEX(JupData!$A$2:$K$10000,MATCH($A159&amp;J$1,JupData!$A$2:$A$10000&amp;JupData!$J$2:$J$10000,0),11))</f>
        <v/>
      </c>
      <c r="K159" t="str">
        <f t="array" ref="K159">IF($A159="","",INDEX(JupData!$A$2:$K$10000,MATCH($A159&amp;K$1,JupData!$A$2:$A$10000&amp;JupData!$J$2:$J$10000,0),11))</f>
        <v/>
      </c>
      <c r="L159" t="str">
        <f t="array" ref="L159">IF($A159="","",INDEX(JupData!$A$2:$K$10000,MATCH($A159&amp;L$1,JupData!$A$2:$A$10000&amp;JupData!$J$2:$J$10000,0),11))</f>
        <v/>
      </c>
      <c r="M159" t="str">
        <f t="array" ref="M159">IF($A159="","",INDEX(JupData!$A$2:$K$10000,MATCH($A159&amp;M$1,JupData!$A$2:$A$10000&amp;JupData!$J$2:$J$10000,0),11))</f>
        <v/>
      </c>
      <c r="N159" t="str">
        <f t="array" ref="N159">IF($A159="","",INDEX(JupData!$A$2:$K$10000,MATCH($A159&amp;N$1,JupData!$A$2:$A$10000&amp;JupData!$J$2:$J$10000,0),11))</f>
        <v/>
      </c>
      <c r="O159" t="str">
        <f t="array" ref="O159">IF($A159="","",INDEX(JupData!$A$2:$K$10000,MATCH($A159&amp;O$1,JupData!$A$2:$A$10000&amp;JupData!$J$2:$J$10000,0),11))</f>
        <v/>
      </c>
      <c r="P159" t="str">
        <f t="array" ref="P159">IF($A159="","",INDEX(JupData!$A$2:$K$10000,MATCH($A159&amp;P$1,JupData!$A$2:$A$10000&amp;JupData!$J$2:$J$10000,0),11))</f>
        <v/>
      </c>
      <c r="Q159" t="str">
        <f t="array" ref="Q159">IF($A159="","",INDEX(JupData!$A$2:$K$10000,MATCH($A159&amp;Q$1,JupData!$A$2:$A$10000&amp;JupData!$J$2:$J$10000,0),11))</f>
        <v/>
      </c>
      <c r="R159" t="str">
        <f t="array" ref="R159">IF($A159="","",INDEX(JupData!$A$2:$K$10000,MATCH($A159&amp;R$1,JupData!$A$2:$A$10000&amp;JupData!$J$2:$J$10000,0),11))</f>
        <v/>
      </c>
      <c r="S159" t="str">
        <f t="array" ref="S159">IF($A159="","",INDEX(JupData!$A$2:$K$10000,MATCH($A159&amp;S$1,JupData!$A$2:$A$10000&amp;JupData!$J$2:$J$10000,0),11))</f>
        <v/>
      </c>
      <c r="T159" t="str">
        <f t="array" ref="T159">IF($A159="","",INDEX(JupData!$A$2:$K$10000,MATCH($A159&amp;T$1,JupData!$A$2:$A$10000&amp;JupData!$J$2:$J$10000,0),11))</f>
        <v/>
      </c>
      <c r="U159" t="str">
        <f t="array" ref="U159">IF($A159="","",INDEX(JupData!$A$2:$K$10000,MATCH($A159&amp;U$1,JupData!$A$2:$A$10000&amp;JupData!$J$2:$J$10000,0),11))</f>
        <v/>
      </c>
      <c r="V159" t="str">
        <f t="array" ref="V159">IF($A159="","",INDEX(JupData!$A$2:$K$10000,MATCH($A159&amp;V$1,JupData!$A$2:$A$10000&amp;JupData!$J$2:$J$10000,0),11))</f>
        <v/>
      </c>
      <c r="W159" t="str">
        <f t="array" ref="W159">IF($A159="","",INDEX(JupData!$A$2:$K$10000,MATCH($A159&amp;W$1,JupData!$A$2:$A$10000&amp;JupData!$J$2:$J$10000,0),11))</f>
        <v/>
      </c>
      <c r="X159" t="str">
        <f t="array" ref="X159">IF($A159="","",INDEX(JupData!$A$2:$K$10000,MATCH($A159&amp;X$1,JupData!$A$2:$A$10000&amp;JupData!$J$2:$J$10000,0),11))</f>
        <v/>
      </c>
      <c r="Y159" t="str">
        <f t="array" ref="Y159">IF($A159="","",INDEX(JupData!$A$2:$K$10000,MATCH($A159&amp;Y$1,JupData!$A$2:$A$10000&amp;JupData!$J$2:$J$10000,0),11))</f>
        <v/>
      </c>
      <c r="Z159" t="str">
        <f t="array" ref="Z159">IF($A159="","",INDEX(JupData!$A$2:$K$10000,MATCH($A159&amp;Z$1,JupData!$A$2:$A$10000&amp;JupData!$J$2:$J$10000,0),11))</f>
        <v/>
      </c>
      <c r="AA159" t="str">
        <f t="array" ref="AA159">IF($A159="","",INDEX(JupData!$A$2:$K$10000,MATCH($A159&amp;AA$1,JupData!$A$2:$A$10000&amp;JupData!$J$2:$J$10000,0),11))</f>
        <v/>
      </c>
      <c r="AB159" t="str">
        <f t="array" ref="AB159">IF($A159="","",INDEX(JupData!$A$2:$K$10000,MATCH($A159&amp;AB$1,JupData!$A$2:$A$10000&amp;JupData!$J$2:$J$10000,0),11))</f>
        <v/>
      </c>
      <c r="AC159" s="10" t="str">
        <f t="shared" si="22"/>
        <v/>
      </c>
      <c r="AD159" s="10" t="str">
        <f t="shared" si="23"/>
        <v/>
      </c>
      <c r="AE159" s="9" t="str">
        <f t="shared" si="24"/>
        <v/>
      </c>
      <c r="AF159" s="10" t="str">
        <f t="shared" si="25"/>
        <v/>
      </c>
      <c r="AG159" s="10" t="str">
        <f t="shared" si="26"/>
        <v/>
      </c>
      <c r="AH159" s="10" t="str">
        <f t="shared" si="27"/>
        <v/>
      </c>
      <c r="AI159" s="10" t="str">
        <f t="shared" si="28"/>
        <v/>
      </c>
      <c r="AJ159" s="10" t="str">
        <f t="shared" si="29"/>
        <v/>
      </c>
      <c r="AK159" s="10" t="str">
        <f t="shared" si="30"/>
        <v/>
      </c>
      <c r="AL159" s="14" t="str">
        <f t="shared" si="31"/>
        <v/>
      </c>
    </row>
    <row r="160" spans="1:38" x14ac:dyDescent="0.2">
      <c r="A160"/>
      <c r="B160" t="str">
        <f>IF($A160="","",VLOOKUP($A160,JupData!$A$2:$I$10000,4,FALSE))</f>
        <v/>
      </c>
      <c r="C160" s="7" t="str">
        <f>IF($A160="",IF(N(D160),0,""),VLOOKUP($A160,JupData!$A$2:$I$10000,7,FALSE))</f>
        <v/>
      </c>
      <c r="D160" t="str">
        <f t="shared" si="32"/>
        <v/>
      </c>
      <c r="E160" t="str">
        <f t="array" ref="E160">IF($A160="","",INDEX(JupData!$A$2:$K$10000,MATCH($A160&amp;E$1,JupData!$A$2:$A$10000&amp;JupData!$J$2:$J$10000,0),11))</f>
        <v/>
      </c>
      <c r="F160" t="str">
        <f t="array" ref="F160">IF($A160="","",INDEX(JupData!$A$2:$K$10000,MATCH($A160&amp;F$1,JupData!$A$2:$A$10000&amp;JupData!$J$2:$J$10000,0),11))</f>
        <v/>
      </c>
      <c r="G160" t="str">
        <f t="array" ref="G160">IF($A160="","",INDEX(JupData!$A$2:$K$10000,MATCH($A160&amp;G$1,JupData!$A$2:$A$10000&amp;JupData!$J$2:$J$10000,0),11))</f>
        <v/>
      </c>
      <c r="H160" t="str">
        <f t="array" ref="H160">IF($A160="","",INDEX(JupData!$A$2:$K$10000,MATCH($A160&amp;H$1,JupData!$A$2:$A$10000&amp;JupData!$J$2:$J$10000,0),11))</f>
        <v/>
      </c>
      <c r="I160" t="str">
        <f t="array" ref="I160">IF($A160="","",INDEX(JupData!$A$2:$K$10000,MATCH($A160&amp;I$1,JupData!$A$2:$A$10000&amp;JupData!$J$2:$J$10000,0),11))</f>
        <v/>
      </c>
      <c r="J160" t="str">
        <f t="array" ref="J160">IF($A160="","",INDEX(JupData!$A$2:$K$10000,MATCH($A160&amp;J$1,JupData!$A$2:$A$10000&amp;JupData!$J$2:$J$10000,0),11))</f>
        <v/>
      </c>
      <c r="K160" t="str">
        <f t="array" ref="K160">IF($A160="","",INDEX(JupData!$A$2:$K$10000,MATCH($A160&amp;K$1,JupData!$A$2:$A$10000&amp;JupData!$J$2:$J$10000,0),11))</f>
        <v/>
      </c>
      <c r="L160" t="str">
        <f t="array" ref="L160">IF($A160="","",INDEX(JupData!$A$2:$K$10000,MATCH($A160&amp;L$1,JupData!$A$2:$A$10000&amp;JupData!$J$2:$J$10000,0),11))</f>
        <v/>
      </c>
      <c r="M160" t="str">
        <f t="array" ref="M160">IF($A160="","",INDEX(JupData!$A$2:$K$10000,MATCH($A160&amp;M$1,JupData!$A$2:$A$10000&amp;JupData!$J$2:$J$10000,0),11))</f>
        <v/>
      </c>
      <c r="N160" t="str">
        <f t="array" ref="N160">IF($A160="","",INDEX(JupData!$A$2:$K$10000,MATCH($A160&amp;N$1,JupData!$A$2:$A$10000&amp;JupData!$J$2:$J$10000,0),11))</f>
        <v/>
      </c>
      <c r="O160" t="str">
        <f t="array" ref="O160">IF($A160="","",INDEX(JupData!$A$2:$K$10000,MATCH($A160&amp;O$1,JupData!$A$2:$A$10000&amp;JupData!$J$2:$J$10000,0),11))</f>
        <v/>
      </c>
      <c r="P160" t="str">
        <f t="array" ref="P160">IF($A160="","",INDEX(JupData!$A$2:$K$10000,MATCH($A160&amp;P$1,JupData!$A$2:$A$10000&amp;JupData!$J$2:$J$10000,0),11))</f>
        <v/>
      </c>
      <c r="Q160" t="str">
        <f t="array" ref="Q160">IF($A160="","",INDEX(JupData!$A$2:$K$10000,MATCH($A160&amp;Q$1,JupData!$A$2:$A$10000&amp;JupData!$J$2:$J$10000,0),11))</f>
        <v/>
      </c>
      <c r="R160" t="str">
        <f t="array" ref="R160">IF($A160="","",INDEX(JupData!$A$2:$K$10000,MATCH($A160&amp;R$1,JupData!$A$2:$A$10000&amp;JupData!$J$2:$J$10000,0),11))</f>
        <v/>
      </c>
      <c r="S160" t="str">
        <f t="array" ref="S160">IF($A160="","",INDEX(JupData!$A$2:$K$10000,MATCH($A160&amp;S$1,JupData!$A$2:$A$10000&amp;JupData!$J$2:$J$10000,0),11))</f>
        <v/>
      </c>
      <c r="T160" t="str">
        <f t="array" ref="T160">IF($A160="","",INDEX(JupData!$A$2:$K$10000,MATCH($A160&amp;T$1,JupData!$A$2:$A$10000&amp;JupData!$J$2:$J$10000,0),11))</f>
        <v/>
      </c>
      <c r="U160" t="str">
        <f t="array" ref="U160">IF($A160="","",INDEX(JupData!$A$2:$K$10000,MATCH($A160&amp;U$1,JupData!$A$2:$A$10000&amp;JupData!$J$2:$J$10000,0),11))</f>
        <v/>
      </c>
      <c r="V160" t="str">
        <f t="array" ref="V160">IF($A160="","",INDEX(JupData!$A$2:$K$10000,MATCH($A160&amp;V$1,JupData!$A$2:$A$10000&amp;JupData!$J$2:$J$10000,0),11))</f>
        <v/>
      </c>
      <c r="W160" t="str">
        <f t="array" ref="W160">IF($A160="","",INDEX(JupData!$A$2:$K$10000,MATCH($A160&amp;W$1,JupData!$A$2:$A$10000&amp;JupData!$J$2:$J$10000,0),11))</f>
        <v/>
      </c>
      <c r="X160" t="str">
        <f t="array" ref="X160">IF($A160="","",INDEX(JupData!$A$2:$K$10000,MATCH($A160&amp;X$1,JupData!$A$2:$A$10000&amp;JupData!$J$2:$J$10000,0),11))</f>
        <v/>
      </c>
      <c r="Y160" t="str">
        <f t="array" ref="Y160">IF($A160="","",INDEX(JupData!$A$2:$K$10000,MATCH($A160&amp;Y$1,JupData!$A$2:$A$10000&amp;JupData!$J$2:$J$10000,0),11))</f>
        <v/>
      </c>
      <c r="Z160" t="str">
        <f t="array" ref="Z160">IF($A160="","",INDEX(JupData!$A$2:$K$10000,MATCH($A160&amp;Z$1,JupData!$A$2:$A$10000&amp;JupData!$J$2:$J$10000,0),11))</f>
        <v/>
      </c>
      <c r="AA160" t="str">
        <f t="array" ref="AA160">IF($A160="","",INDEX(JupData!$A$2:$K$10000,MATCH($A160&amp;AA$1,JupData!$A$2:$A$10000&amp;JupData!$J$2:$J$10000,0),11))</f>
        <v/>
      </c>
      <c r="AB160" t="str">
        <f t="array" ref="AB160">IF($A160="","",INDEX(JupData!$A$2:$K$10000,MATCH($A160&amp;AB$1,JupData!$A$2:$A$10000&amp;JupData!$J$2:$J$10000,0),11))</f>
        <v/>
      </c>
      <c r="AC160" s="10" t="str">
        <f t="shared" si="22"/>
        <v/>
      </c>
      <c r="AD160" s="10" t="str">
        <f t="shared" si="23"/>
        <v/>
      </c>
      <c r="AE160" s="9" t="str">
        <f t="shared" si="24"/>
        <v/>
      </c>
      <c r="AF160" s="10" t="str">
        <f t="shared" si="25"/>
        <v/>
      </c>
      <c r="AG160" s="10" t="str">
        <f t="shared" si="26"/>
        <v/>
      </c>
      <c r="AH160" s="10" t="str">
        <f t="shared" si="27"/>
        <v/>
      </c>
      <c r="AI160" s="10" t="str">
        <f t="shared" si="28"/>
        <v/>
      </c>
      <c r="AJ160" s="10" t="str">
        <f t="shared" si="29"/>
        <v/>
      </c>
      <c r="AK160" s="10" t="str">
        <f t="shared" si="30"/>
        <v/>
      </c>
      <c r="AL160" s="14" t="str">
        <f t="shared" si="31"/>
        <v/>
      </c>
    </row>
    <row r="161" spans="1:38" x14ac:dyDescent="0.2">
      <c r="A161"/>
      <c r="B161" t="str">
        <f>IF($A161="","",VLOOKUP($A161,JupData!$A$2:$I$10000,4,FALSE))</f>
        <v/>
      </c>
      <c r="C161" s="7" t="str">
        <f>IF($A161="",IF(N(D161),0,""),VLOOKUP($A161,JupData!$A$2:$I$10000,7,FALSE))</f>
        <v/>
      </c>
      <c r="D161" t="str">
        <f t="shared" si="32"/>
        <v/>
      </c>
      <c r="E161" t="str">
        <f t="array" ref="E161">IF($A161="","",INDEX(JupData!$A$2:$K$10000,MATCH($A161&amp;E$1,JupData!$A$2:$A$10000&amp;JupData!$J$2:$J$10000,0),11))</f>
        <v/>
      </c>
      <c r="F161" t="str">
        <f t="array" ref="F161">IF($A161="","",INDEX(JupData!$A$2:$K$10000,MATCH($A161&amp;F$1,JupData!$A$2:$A$10000&amp;JupData!$J$2:$J$10000,0),11))</f>
        <v/>
      </c>
      <c r="G161" t="str">
        <f t="array" ref="G161">IF($A161="","",INDEX(JupData!$A$2:$K$10000,MATCH($A161&amp;G$1,JupData!$A$2:$A$10000&amp;JupData!$J$2:$J$10000,0),11))</f>
        <v/>
      </c>
      <c r="H161" t="str">
        <f t="array" ref="H161">IF($A161="","",INDEX(JupData!$A$2:$K$10000,MATCH($A161&amp;H$1,JupData!$A$2:$A$10000&amp;JupData!$J$2:$J$10000,0),11))</f>
        <v/>
      </c>
      <c r="I161" t="str">
        <f t="array" ref="I161">IF($A161="","",INDEX(JupData!$A$2:$K$10000,MATCH($A161&amp;I$1,JupData!$A$2:$A$10000&amp;JupData!$J$2:$J$10000,0),11))</f>
        <v/>
      </c>
      <c r="J161" t="str">
        <f t="array" ref="J161">IF($A161="","",INDEX(JupData!$A$2:$K$10000,MATCH($A161&amp;J$1,JupData!$A$2:$A$10000&amp;JupData!$J$2:$J$10000,0),11))</f>
        <v/>
      </c>
      <c r="K161" t="str">
        <f t="array" ref="K161">IF($A161="","",INDEX(JupData!$A$2:$K$10000,MATCH($A161&amp;K$1,JupData!$A$2:$A$10000&amp;JupData!$J$2:$J$10000,0),11))</f>
        <v/>
      </c>
      <c r="L161" t="str">
        <f t="array" ref="L161">IF($A161="","",INDEX(JupData!$A$2:$K$10000,MATCH($A161&amp;L$1,JupData!$A$2:$A$10000&amp;JupData!$J$2:$J$10000,0),11))</f>
        <v/>
      </c>
      <c r="M161" t="str">
        <f t="array" ref="M161">IF($A161="","",INDEX(JupData!$A$2:$K$10000,MATCH($A161&amp;M$1,JupData!$A$2:$A$10000&amp;JupData!$J$2:$J$10000,0),11))</f>
        <v/>
      </c>
      <c r="N161" t="str">
        <f t="array" ref="N161">IF($A161="","",INDEX(JupData!$A$2:$K$10000,MATCH($A161&amp;N$1,JupData!$A$2:$A$10000&amp;JupData!$J$2:$J$10000,0),11))</f>
        <v/>
      </c>
      <c r="O161" t="str">
        <f t="array" ref="O161">IF($A161="","",INDEX(JupData!$A$2:$K$10000,MATCH($A161&amp;O$1,JupData!$A$2:$A$10000&amp;JupData!$J$2:$J$10000,0),11))</f>
        <v/>
      </c>
      <c r="P161" t="str">
        <f t="array" ref="P161">IF($A161="","",INDEX(JupData!$A$2:$K$10000,MATCH($A161&amp;P$1,JupData!$A$2:$A$10000&amp;JupData!$J$2:$J$10000,0),11))</f>
        <v/>
      </c>
      <c r="Q161" t="str">
        <f t="array" ref="Q161">IF($A161="","",INDEX(JupData!$A$2:$K$10000,MATCH($A161&amp;Q$1,JupData!$A$2:$A$10000&amp;JupData!$J$2:$J$10000,0),11))</f>
        <v/>
      </c>
      <c r="R161" t="str">
        <f t="array" ref="R161">IF($A161="","",INDEX(JupData!$A$2:$K$10000,MATCH($A161&amp;R$1,JupData!$A$2:$A$10000&amp;JupData!$J$2:$J$10000,0),11))</f>
        <v/>
      </c>
      <c r="S161" t="str">
        <f t="array" ref="S161">IF($A161="","",INDEX(JupData!$A$2:$K$10000,MATCH($A161&amp;S$1,JupData!$A$2:$A$10000&amp;JupData!$J$2:$J$10000,0),11))</f>
        <v/>
      </c>
      <c r="T161" t="str">
        <f t="array" ref="T161">IF($A161="","",INDEX(JupData!$A$2:$K$10000,MATCH($A161&amp;T$1,JupData!$A$2:$A$10000&amp;JupData!$J$2:$J$10000,0),11))</f>
        <v/>
      </c>
      <c r="U161" t="str">
        <f t="array" ref="U161">IF($A161="","",INDEX(JupData!$A$2:$K$10000,MATCH($A161&amp;U$1,JupData!$A$2:$A$10000&amp;JupData!$J$2:$J$10000,0),11))</f>
        <v/>
      </c>
      <c r="V161" t="str">
        <f t="array" ref="V161">IF($A161="","",INDEX(JupData!$A$2:$K$10000,MATCH($A161&amp;V$1,JupData!$A$2:$A$10000&amp;JupData!$J$2:$J$10000,0),11))</f>
        <v/>
      </c>
      <c r="W161" t="str">
        <f t="array" ref="W161">IF($A161="","",INDEX(JupData!$A$2:$K$10000,MATCH($A161&amp;W$1,JupData!$A$2:$A$10000&amp;JupData!$J$2:$J$10000,0),11))</f>
        <v/>
      </c>
      <c r="X161" t="str">
        <f t="array" ref="X161">IF($A161="","",INDEX(JupData!$A$2:$K$10000,MATCH($A161&amp;X$1,JupData!$A$2:$A$10000&amp;JupData!$J$2:$J$10000,0),11))</f>
        <v/>
      </c>
      <c r="Y161" t="str">
        <f t="array" ref="Y161">IF($A161="","",INDEX(JupData!$A$2:$K$10000,MATCH($A161&amp;Y$1,JupData!$A$2:$A$10000&amp;JupData!$J$2:$J$10000,0),11))</f>
        <v/>
      </c>
      <c r="Z161" t="str">
        <f t="array" ref="Z161">IF($A161="","",INDEX(JupData!$A$2:$K$10000,MATCH($A161&amp;Z$1,JupData!$A$2:$A$10000&amp;JupData!$J$2:$J$10000,0),11))</f>
        <v/>
      </c>
      <c r="AA161" t="str">
        <f t="array" ref="AA161">IF($A161="","",INDEX(JupData!$A$2:$K$10000,MATCH($A161&amp;AA$1,JupData!$A$2:$A$10000&amp;JupData!$J$2:$J$10000,0),11))</f>
        <v/>
      </c>
      <c r="AB161" t="str">
        <f t="array" ref="AB161">IF($A161="","",INDEX(JupData!$A$2:$K$10000,MATCH($A161&amp;AB$1,JupData!$A$2:$A$10000&amp;JupData!$J$2:$J$10000,0),11))</f>
        <v/>
      </c>
      <c r="AC161" s="10" t="str">
        <f t="shared" si="22"/>
        <v/>
      </c>
      <c r="AD161" s="10" t="str">
        <f t="shared" si="23"/>
        <v/>
      </c>
      <c r="AE161" s="9" t="str">
        <f t="shared" si="24"/>
        <v/>
      </c>
      <c r="AF161" s="10" t="str">
        <f t="shared" si="25"/>
        <v/>
      </c>
      <c r="AG161" s="10" t="str">
        <f t="shared" si="26"/>
        <v/>
      </c>
      <c r="AH161" s="10" t="str">
        <f t="shared" si="27"/>
        <v/>
      </c>
      <c r="AI161" s="10" t="str">
        <f t="shared" si="28"/>
        <v/>
      </c>
      <c r="AJ161" s="10" t="str">
        <f t="shared" si="29"/>
        <v/>
      </c>
      <c r="AK161" s="10" t="str">
        <f t="shared" si="30"/>
        <v/>
      </c>
      <c r="AL161" s="14" t="str">
        <f t="shared" si="31"/>
        <v/>
      </c>
    </row>
    <row r="162" spans="1:38" x14ac:dyDescent="0.2">
      <c r="A162"/>
      <c r="B162" t="str">
        <f>IF($A162="","",VLOOKUP($A162,JupData!$A$2:$I$10000,4,FALSE))</f>
        <v/>
      </c>
      <c r="C162" s="7" t="str">
        <f>IF($A162="",IF(N(D162),0,""),VLOOKUP($A162,JupData!$A$2:$I$10000,7,FALSE))</f>
        <v/>
      </c>
      <c r="D162" t="str">
        <f t="shared" si="32"/>
        <v/>
      </c>
      <c r="E162" t="str">
        <f t="array" ref="E162">IF($A162="","",INDEX(JupData!$A$2:$K$10000,MATCH($A162&amp;E$1,JupData!$A$2:$A$10000&amp;JupData!$J$2:$J$10000,0),11))</f>
        <v/>
      </c>
      <c r="F162" t="str">
        <f t="array" ref="F162">IF($A162="","",INDEX(JupData!$A$2:$K$10000,MATCH($A162&amp;F$1,JupData!$A$2:$A$10000&amp;JupData!$J$2:$J$10000,0),11))</f>
        <v/>
      </c>
      <c r="G162" t="str">
        <f t="array" ref="G162">IF($A162="","",INDEX(JupData!$A$2:$K$10000,MATCH($A162&amp;G$1,JupData!$A$2:$A$10000&amp;JupData!$J$2:$J$10000,0),11))</f>
        <v/>
      </c>
      <c r="H162" t="str">
        <f t="array" ref="H162">IF($A162="","",INDEX(JupData!$A$2:$K$10000,MATCH($A162&amp;H$1,JupData!$A$2:$A$10000&amp;JupData!$J$2:$J$10000,0),11))</f>
        <v/>
      </c>
      <c r="I162" t="str">
        <f t="array" ref="I162">IF($A162="","",INDEX(JupData!$A$2:$K$10000,MATCH($A162&amp;I$1,JupData!$A$2:$A$10000&amp;JupData!$J$2:$J$10000,0),11))</f>
        <v/>
      </c>
      <c r="J162" t="str">
        <f t="array" ref="J162">IF($A162="","",INDEX(JupData!$A$2:$K$10000,MATCH($A162&amp;J$1,JupData!$A$2:$A$10000&amp;JupData!$J$2:$J$10000,0),11))</f>
        <v/>
      </c>
      <c r="K162" t="str">
        <f t="array" ref="K162">IF($A162="","",INDEX(JupData!$A$2:$K$10000,MATCH($A162&amp;K$1,JupData!$A$2:$A$10000&amp;JupData!$J$2:$J$10000,0),11))</f>
        <v/>
      </c>
      <c r="L162" t="str">
        <f t="array" ref="L162">IF($A162="","",INDEX(JupData!$A$2:$K$10000,MATCH($A162&amp;L$1,JupData!$A$2:$A$10000&amp;JupData!$J$2:$J$10000,0),11))</f>
        <v/>
      </c>
      <c r="M162" t="str">
        <f t="array" ref="M162">IF($A162="","",INDEX(JupData!$A$2:$K$10000,MATCH($A162&amp;M$1,JupData!$A$2:$A$10000&amp;JupData!$J$2:$J$10000,0),11))</f>
        <v/>
      </c>
      <c r="N162" t="str">
        <f t="array" ref="N162">IF($A162="","",INDEX(JupData!$A$2:$K$10000,MATCH($A162&amp;N$1,JupData!$A$2:$A$10000&amp;JupData!$J$2:$J$10000,0),11))</f>
        <v/>
      </c>
      <c r="O162" t="str">
        <f t="array" ref="O162">IF($A162="","",INDEX(JupData!$A$2:$K$10000,MATCH($A162&amp;O$1,JupData!$A$2:$A$10000&amp;JupData!$J$2:$J$10000,0),11))</f>
        <v/>
      </c>
      <c r="P162" t="str">
        <f t="array" ref="P162">IF($A162="","",INDEX(JupData!$A$2:$K$10000,MATCH($A162&amp;P$1,JupData!$A$2:$A$10000&amp;JupData!$J$2:$J$10000,0),11))</f>
        <v/>
      </c>
      <c r="Q162" t="str">
        <f t="array" ref="Q162">IF($A162="","",INDEX(JupData!$A$2:$K$10000,MATCH($A162&amp;Q$1,JupData!$A$2:$A$10000&amp;JupData!$J$2:$J$10000,0),11))</f>
        <v/>
      </c>
      <c r="R162" t="str">
        <f t="array" ref="R162">IF($A162="","",INDEX(JupData!$A$2:$K$10000,MATCH($A162&amp;R$1,JupData!$A$2:$A$10000&amp;JupData!$J$2:$J$10000,0),11))</f>
        <v/>
      </c>
      <c r="S162" t="str">
        <f t="array" ref="S162">IF($A162="","",INDEX(JupData!$A$2:$K$10000,MATCH($A162&amp;S$1,JupData!$A$2:$A$10000&amp;JupData!$J$2:$J$10000,0),11))</f>
        <v/>
      </c>
      <c r="T162" t="str">
        <f t="array" ref="T162">IF($A162="","",INDEX(JupData!$A$2:$K$10000,MATCH($A162&amp;T$1,JupData!$A$2:$A$10000&amp;JupData!$J$2:$J$10000,0),11))</f>
        <v/>
      </c>
      <c r="U162" t="str">
        <f t="array" ref="U162">IF($A162="","",INDEX(JupData!$A$2:$K$10000,MATCH($A162&amp;U$1,JupData!$A$2:$A$10000&amp;JupData!$J$2:$J$10000,0),11))</f>
        <v/>
      </c>
      <c r="V162" t="str">
        <f t="array" ref="V162">IF($A162="","",INDEX(JupData!$A$2:$K$10000,MATCH($A162&amp;V$1,JupData!$A$2:$A$10000&amp;JupData!$J$2:$J$10000,0),11))</f>
        <v/>
      </c>
      <c r="W162" t="str">
        <f t="array" ref="W162">IF($A162="","",INDEX(JupData!$A$2:$K$10000,MATCH($A162&amp;W$1,JupData!$A$2:$A$10000&amp;JupData!$J$2:$J$10000,0),11))</f>
        <v/>
      </c>
      <c r="X162" t="str">
        <f t="array" ref="X162">IF($A162="","",INDEX(JupData!$A$2:$K$10000,MATCH($A162&amp;X$1,JupData!$A$2:$A$10000&amp;JupData!$J$2:$J$10000,0),11))</f>
        <v/>
      </c>
      <c r="Y162" t="str">
        <f t="array" ref="Y162">IF($A162="","",INDEX(JupData!$A$2:$K$10000,MATCH($A162&amp;Y$1,JupData!$A$2:$A$10000&amp;JupData!$J$2:$J$10000,0),11))</f>
        <v/>
      </c>
      <c r="Z162" t="str">
        <f t="array" ref="Z162">IF($A162="","",INDEX(JupData!$A$2:$K$10000,MATCH($A162&amp;Z$1,JupData!$A$2:$A$10000&amp;JupData!$J$2:$J$10000,0),11))</f>
        <v/>
      </c>
      <c r="AA162" t="str">
        <f t="array" ref="AA162">IF($A162="","",INDEX(JupData!$A$2:$K$10000,MATCH($A162&amp;AA$1,JupData!$A$2:$A$10000&amp;JupData!$J$2:$J$10000,0),11))</f>
        <v/>
      </c>
      <c r="AB162" t="str">
        <f t="array" ref="AB162">IF($A162="","",INDEX(JupData!$A$2:$K$10000,MATCH($A162&amp;AB$1,JupData!$A$2:$A$10000&amp;JupData!$J$2:$J$10000,0),11))</f>
        <v/>
      </c>
      <c r="AC162" s="10" t="str">
        <f t="shared" si="22"/>
        <v/>
      </c>
      <c r="AD162" s="10" t="str">
        <f t="shared" si="23"/>
        <v/>
      </c>
      <c r="AE162" s="9" t="str">
        <f t="shared" si="24"/>
        <v/>
      </c>
      <c r="AF162" s="10" t="str">
        <f t="shared" si="25"/>
        <v/>
      </c>
      <c r="AG162" s="10" t="str">
        <f t="shared" si="26"/>
        <v/>
      </c>
      <c r="AH162" s="10" t="str">
        <f t="shared" si="27"/>
        <v/>
      </c>
      <c r="AI162" s="10" t="str">
        <f t="shared" si="28"/>
        <v/>
      </c>
      <c r="AJ162" s="10" t="str">
        <f t="shared" si="29"/>
        <v/>
      </c>
      <c r="AK162" s="10" t="str">
        <f t="shared" si="30"/>
        <v/>
      </c>
      <c r="AL162" s="14" t="str">
        <f t="shared" si="31"/>
        <v/>
      </c>
    </row>
    <row r="163" spans="1:38" x14ac:dyDescent="0.2">
      <c r="A163"/>
      <c r="B163" t="str">
        <f>IF($A163="","",VLOOKUP($A163,JupData!$A$2:$I$10000,4,FALSE))</f>
        <v/>
      </c>
      <c r="C163" s="7" t="str">
        <f>IF($A163="",IF(N(D163),0,""),VLOOKUP($A163,JupData!$A$2:$I$10000,7,FALSE))</f>
        <v/>
      </c>
      <c r="D163" t="str">
        <f t="shared" si="32"/>
        <v/>
      </c>
      <c r="E163" t="str">
        <f t="array" ref="E163">IF($A163="","",INDEX(JupData!$A$2:$K$10000,MATCH($A163&amp;E$1,JupData!$A$2:$A$10000&amp;JupData!$J$2:$J$10000,0),11))</f>
        <v/>
      </c>
      <c r="F163" t="str">
        <f t="array" ref="F163">IF($A163="","",INDEX(JupData!$A$2:$K$10000,MATCH($A163&amp;F$1,JupData!$A$2:$A$10000&amp;JupData!$J$2:$J$10000,0),11))</f>
        <v/>
      </c>
      <c r="G163" t="str">
        <f t="array" ref="G163">IF($A163="","",INDEX(JupData!$A$2:$K$10000,MATCH($A163&amp;G$1,JupData!$A$2:$A$10000&amp;JupData!$J$2:$J$10000,0),11))</f>
        <v/>
      </c>
      <c r="H163" t="str">
        <f t="array" ref="H163">IF($A163="","",INDEX(JupData!$A$2:$K$10000,MATCH($A163&amp;H$1,JupData!$A$2:$A$10000&amp;JupData!$J$2:$J$10000,0),11))</f>
        <v/>
      </c>
      <c r="I163" t="str">
        <f t="array" ref="I163">IF($A163="","",INDEX(JupData!$A$2:$K$10000,MATCH($A163&amp;I$1,JupData!$A$2:$A$10000&amp;JupData!$J$2:$J$10000,0),11))</f>
        <v/>
      </c>
      <c r="J163" t="str">
        <f t="array" ref="J163">IF($A163="","",INDEX(JupData!$A$2:$K$10000,MATCH($A163&amp;J$1,JupData!$A$2:$A$10000&amp;JupData!$J$2:$J$10000,0),11))</f>
        <v/>
      </c>
      <c r="K163" t="str">
        <f t="array" ref="K163">IF($A163="","",INDEX(JupData!$A$2:$K$10000,MATCH($A163&amp;K$1,JupData!$A$2:$A$10000&amp;JupData!$J$2:$J$10000,0),11))</f>
        <v/>
      </c>
      <c r="L163" t="str">
        <f t="array" ref="L163">IF($A163="","",INDEX(JupData!$A$2:$K$10000,MATCH($A163&amp;L$1,JupData!$A$2:$A$10000&amp;JupData!$J$2:$J$10000,0),11))</f>
        <v/>
      </c>
      <c r="M163" t="str">
        <f t="array" ref="M163">IF($A163="","",INDEX(JupData!$A$2:$K$10000,MATCH($A163&amp;M$1,JupData!$A$2:$A$10000&amp;JupData!$J$2:$J$10000,0),11))</f>
        <v/>
      </c>
      <c r="N163" t="str">
        <f t="array" ref="N163">IF($A163="","",INDEX(JupData!$A$2:$K$10000,MATCH($A163&amp;N$1,JupData!$A$2:$A$10000&amp;JupData!$J$2:$J$10000,0),11))</f>
        <v/>
      </c>
      <c r="O163" t="str">
        <f t="array" ref="O163">IF($A163="","",INDEX(JupData!$A$2:$K$10000,MATCH($A163&amp;O$1,JupData!$A$2:$A$10000&amp;JupData!$J$2:$J$10000,0),11))</f>
        <v/>
      </c>
      <c r="P163" t="str">
        <f t="array" ref="P163">IF($A163="","",INDEX(JupData!$A$2:$K$10000,MATCH($A163&amp;P$1,JupData!$A$2:$A$10000&amp;JupData!$J$2:$J$10000,0),11))</f>
        <v/>
      </c>
      <c r="Q163" t="str">
        <f t="array" ref="Q163">IF($A163="","",INDEX(JupData!$A$2:$K$10000,MATCH($A163&amp;Q$1,JupData!$A$2:$A$10000&amp;JupData!$J$2:$J$10000,0),11))</f>
        <v/>
      </c>
      <c r="R163" t="str">
        <f t="array" ref="R163">IF($A163="","",INDEX(JupData!$A$2:$K$10000,MATCH($A163&amp;R$1,JupData!$A$2:$A$10000&amp;JupData!$J$2:$J$10000,0),11))</f>
        <v/>
      </c>
      <c r="S163" t="str">
        <f t="array" ref="S163">IF($A163="","",INDEX(JupData!$A$2:$K$10000,MATCH($A163&amp;S$1,JupData!$A$2:$A$10000&amp;JupData!$J$2:$J$10000,0),11))</f>
        <v/>
      </c>
      <c r="T163" t="str">
        <f t="array" ref="T163">IF($A163="","",INDEX(JupData!$A$2:$K$10000,MATCH($A163&amp;T$1,JupData!$A$2:$A$10000&amp;JupData!$J$2:$J$10000,0),11))</f>
        <v/>
      </c>
      <c r="U163" t="str">
        <f t="array" ref="U163">IF($A163="","",INDEX(JupData!$A$2:$K$10000,MATCH($A163&amp;U$1,JupData!$A$2:$A$10000&amp;JupData!$J$2:$J$10000,0),11))</f>
        <v/>
      </c>
      <c r="V163" t="str">
        <f t="array" ref="V163">IF($A163="","",INDEX(JupData!$A$2:$K$10000,MATCH($A163&amp;V$1,JupData!$A$2:$A$10000&amp;JupData!$J$2:$J$10000,0),11))</f>
        <v/>
      </c>
      <c r="W163" t="str">
        <f t="array" ref="W163">IF($A163="","",INDEX(JupData!$A$2:$K$10000,MATCH($A163&amp;W$1,JupData!$A$2:$A$10000&amp;JupData!$J$2:$J$10000,0),11))</f>
        <v/>
      </c>
      <c r="X163" t="str">
        <f t="array" ref="X163">IF($A163="","",INDEX(JupData!$A$2:$K$10000,MATCH($A163&amp;X$1,JupData!$A$2:$A$10000&amp;JupData!$J$2:$J$10000,0),11))</f>
        <v/>
      </c>
      <c r="Y163" t="str">
        <f t="array" ref="Y163">IF($A163="","",INDEX(JupData!$A$2:$K$10000,MATCH($A163&amp;Y$1,JupData!$A$2:$A$10000&amp;JupData!$J$2:$J$10000,0),11))</f>
        <v/>
      </c>
      <c r="Z163" t="str">
        <f t="array" ref="Z163">IF($A163="","",INDEX(JupData!$A$2:$K$10000,MATCH($A163&amp;Z$1,JupData!$A$2:$A$10000&amp;JupData!$J$2:$J$10000,0),11))</f>
        <v/>
      </c>
      <c r="AA163" t="str">
        <f t="array" ref="AA163">IF($A163="","",INDEX(JupData!$A$2:$K$10000,MATCH($A163&amp;AA$1,JupData!$A$2:$A$10000&amp;JupData!$J$2:$J$10000,0),11))</f>
        <v/>
      </c>
      <c r="AB163" t="str">
        <f t="array" ref="AB163">IF($A163="","",INDEX(JupData!$A$2:$K$10000,MATCH($A163&amp;AB$1,JupData!$A$2:$A$10000&amp;JupData!$J$2:$J$10000,0),11))</f>
        <v/>
      </c>
      <c r="AC163" s="10" t="str">
        <f t="shared" si="22"/>
        <v/>
      </c>
      <c r="AD163" s="10" t="str">
        <f t="shared" si="23"/>
        <v/>
      </c>
      <c r="AE163" s="9" t="str">
        <f t="shared" si="24"/>
        <v/>
      </c>
      <c r="AF163" s="10" t="str">
        <f t="shared" si="25"/>
        <v/>
      </c>
      <c r="AG163" s="10" t="str">
        <f t="shared" si="26"/>
        <v/>
      </c>
      <c r="AH163" s="10" t="str">
        <f t="shared" si="27"/>
        <v/>
      </c>
      <c r="AI163" s="10" t="str">
        <f t="shared" si="28"/>
        <v/>
      </c>
      <c r="AJ163" s="10" t="str">
        <f t="shared" si="29"/>
        <v/>
      </c>
      <c r="AK163" s="10" t="str">
        <f t="shared" si="30"/>
        <v/>
      </c>
      <c r="AL163" s="14" t="str">
        <f t="shared" si="31"/>
        <v/>
      </c>
    </row>
    <row r="164" spans="1:38" x14ac:dyDescent="0.2">
      <c r="A164"/>
      <c r="B164" t="str">
        <f>IF($A164="","",VLOOKUP($A164,JupData!$A$2:$I$10000,4,FALSE))</f>
        <v/>
      </c>
      <c r="C164" s="7" t="str">
        <f>IF($A164="",IF(N(D164),0,""),VLOOKUP($A164,JupData!$A$2:$I$10000,7,FALSE))</f>
        <v/>
      </c>
      <c r="D164" t="str">
        <f t="shared" si="32"/>
        <v/>
      </c>
      <c r="E164" t="str">
        <f t="array" ref="E164">IF($A164="","",INDEX(JupData!$A$2:$K$10000,MATCH($A164&amp;E$1,JupData!$A$2:$A$10000&amp;JupData!$J$2:$J$10000,0),11))</f>
        <v/>
      </c>
      <c r="F164" t="str">
        <f t="array" ref="F164">IF($A164="","",INDEX(JupData!$A$2:$K$10000,MATCH($A164&amp;F$1,JupData!$A$2:$A$10000&amp;JupData!$J$2:$J$10000,0),11))</f>
        <v/>
      </c>
      <c r="G164" t="str">
        <f t="array" ref="G164">IF($A164="","",INDEX(JupData!$A$2:$K$10000,MATCH($A164&amp;G$1,JupData!$A$2:$A$10000&amp;JupData!$J$2:$J$10000,0),11))</f>
        <v/>
      </c>
      <c r="H164" t="str">
        <f t="array" ref="H164">IF($A164="","",INDEX(JupData!$A$2:$K$10000,MATCH($A164&amp;H$1,JupData!$A$2:$A$10000&amp;JupData!$J$2:$J$10000,0),11))</f>
        <v/>
      </c>
      <c r="I164" t="str">
        <f t="array" ref="I164">IF($A164="","",INDEX(JupData!$A$2:$K$10000,MATCH($A164&amp;I$1,JupData!$A$2:$A$10000&amp;JupData!$J$2:$J$10000,0),11))</f>
        <v/>
      </c>
      <c r="J164" t="str">
        <f t="array" ref="J164">IF($A164="","",INDEX(JupData!$A$2:$K$10000,MATCH($A164&amp;J$1,JupData!$A$2:$A$10000&amp;JupData!$J$2:$J$10000,0),11))</f>
        <v/>
      </c>
      <c r="K164" t="str">
        <f t="array" ref="K164">IF($A164="","",INDEX(JupData!$A$2:$K$10000,MATCH($A164&amp;K$1,JupData!$A$2:$A$10000&amp;JupData!$J$2:$J$10000,0),11))</f>
        <v/>
      </c>
      <c r="L164" t="str">
        <f t="array" ref="L164">IF($A164="","",INDEX(JupData!$A$2:$K$10000,MATCH($A164&amp;L$1,JupData!$A$2:$A$10000&amp;JupData!$J$2:$J$10000,0),11))</f>
        <v/>
      </c>
      <c r="M164" t="str">
        <f t="array" ref="M164">IF($A164="","",INDEX(JupData!$A$2:$K$10000,MATCH($A164&amp;M$1,JupData!$A$2:$A$10000&amp;JupData!$J$2:$J$10000,0),11))</f>
        <v/>
      </c>
      <c r="N164" t="str">
        <f t="array" ref="N164">IF($A164="","",INDEX(JupData!$A$2:$K$10000,MATCH($A164&amp;N$1,JupData!$A$2:$A$10000&amp;JupData!$J$2:$J$10000,0),11))</f>
        <v/>
      </c>
      <c r="O164" t="str">
        <f t="array" ref="O164">IF($A164="","",INDEX(JupData!$A$2:$K$10000,MATCH($A164&amp;O$1,JupData!$A$2:$A$10000&amp;JupData!$J$2:$J$10000,0),11))</f>
        <v/>
      </c>
      <c r="P164" t="str">
        <f t="array" ref="P164">IF($A164="","",INDEX(JupData!$A$2:$K$10000,MATCH($A164&amp;P$1,JupData!$A$2:$A$10000&amp;JupData!$J$2:$J$10000,0),11))</f>
        <v/>
      </c>
      <c r="Q164" t="str">
        <f t="array" ref="Q164">IF($A164="","",INDEX(JupData!$A$2:$K$10000,MATCH($A164&amp;Q$1,JupData!$A$2:$A$10000&amp;JupData!$J$2:$J$10000,0),11))</f>
        <v/>
      </c>
      <c r="R164" t="str">
        <f t="array" ref="R164">IF($A164="","",INDEX(JupData!$A$2:$K$10000,MATCH($A164&amp;R$1,JupData!$A$2:$A$10000&amp;JupData!$J$2:$J$10000,0),11))</f>
        <v/>
      </c>
      <c r="S164" t="str">
        <f t="array" ref="S164">IF($A164="","",INDEX(JupData!$A$2:$K$10000,MATCH($A164&amp;S$1,JupData!$A$2:$A$10000&amp;JupData!$J$2:$J$10000,0),11))</f>
        <v/>
      </c>
      <c r="T164" t="str">
        <f t="array" ref="T164">IF($A164="","",INDEX(JupData!$A$2:$K$10000,MATCH($A164&amp;T$1,JupData!$A$2:$A$10000&amp;JupData!$J$2:$J$10000,0),11))</f>
        <v/>
      </c>
      <c r="U164" t="str">
        <f t="array" ref="U164">IF($A164="","",INDEX(JupData!$A$2:$K$10000,MATCH($A164&amp;U$1,JupData!$A$2:$A$10000&amp;JupData!$J$2:$J$10000,0),11))</f>
        <v/>
      </c>
      <c r="V164" t="str">
        <f t="array" ref="V164">IF($A164="","",INDEX(JupData!$A$2:$K$10000,MATCH($A164&amp;V$1,JupData!$A$2:$A$10000&amp;JupData!$J$2:$J$10000,0),11))</f>
        <v/>
      </c>
      <c r="W164" t="str">
        <f t="array" ref="W164">IF($A164="","",INDEX(JupData!$A$2:$K$10000,MATCH($A164&amp;W$1,JupData!$A$2:$A$10000&amp;JupData!$J$2:$J$10000,0),11))</f>
        <v/>
      </c>
      <c r="X164" t="str">
        <f t="array" ref="X164">IF($A164="","",INDEX(JupData!$A$2:$K$10000,MATCH($A164&amp;X$1,JupData!$A$2:$A$10000&amp;JupData!$J$2:$J$10000,0),11))</f>
        <v/>
      </c>
      <c r="Y164" t="str">
        <f t="array" ref="Y164">IF($A164="","",INDEX(JupData!$A$2:$K$10000,MATCH($A164&amp;Y$1,JupData!$A$2:$A$10000&amp;JupData!$J$2:$J$10000,0),11))</f>
        <v/>
      </c>
      <c r="Z164" t="str">
        <f t="array" ref="Z164">IF($A164="","",INDEX(JupData!$A$2:$K$10000,MATCH($A164&amp;Z$1,JupData!$A$2:$A$10000&amp;JupData!$J$2:$J$10000,0),11))</f>
        <v/>
      </c>
      <c r="AA164" t="str">
        <f t="array" ref="AA164">IF($A164="","",INDEX(JupData!$A$2:$K$10000,MATCH($A164&amp;AA$1,JupData!$A$2:$A$10000&amp;JupData!$J$2:$J$10000,0),11))</f>
        <v/>
      </c>
      <c r="AB164" t="str">
        <f t="array" ref="AB164">IF($A164="","",INDEX(JupData!$A$2:$K$10000,MATCH($A164&amp;AB$1,JupData!$A$2:$A$10000&amp;JupData!$J$2:$J$10000,0),11))</f>
        <v/>
      </c>
      <c r="AC164" s="10" t="str">
        <f t="shared" si="22"/>
        <v/>
      </c>
      <c r="AD164" s="10" t="str">
        <f t="shared" si="23"/>
        <v/>
      </c>
      <c r="AE164" s="9" t="str">
        <f t="shared" si="24"/>
        <v/>
      </c>
      <c r="AF164" s="10" t="str">
        <f t="shared" si="25"/>
        <v/>
      </c>
      <c r="AG164" s="10" t="str">
        <f t="shared" si="26"/>
        <v/>
      </c>
      <c r="AH164" s="10" t="str">
        <f t="shared" si="27"/>
        <v/>
      </c>
      <c r="AI164" s="10" t="str">
        <f t="shared" si="28"/>
        <v/>
      </c>
      <c r="AJ164" s="10" t="str">
        <f t="shared" si="29"/>
        <v/>
      </c>
      <c r="AK164" s="10" t="str">
        <f t="shared" si="30"/>
        <v/>
      </c>
      <c r="AL164" s="14" t="str">
        <f t="shared" si="31"/>
        <v/>
      </c>
    </row>
    <row r="165" spans="1:38" x14ac:dyDescent="0.2">
      <c r="A165"/>
      <c r="B165" t="str">
        <f>IF($A165="","",VLOOKUP($A165,JupData!$A$2:$I$10000,4,FALSE))</f>
        <v/>
      </c>
      <c r="C165" s="7" t="str">
        <f>IF($A165="",IF(N(D165),0,""),VLOOKUP($A165,JupData!$A$2:$I$10000,7,FALSE))</f>
        <v/>
      </c>
      <c r="D165" t="str">
        <f t="shared" si="32"/>
        <v/>
      </c>
      <c r="E165" t="str">
        <f t="array" ref="E165">IF($A165="","",INDEX(JupData!$A$2:$K$10000,MATCH($A165&amp;E$1,JupData!$A$2:$A$10000&amp;JupData!$J$2:$J$10000,0),11))</f>
        <v/>
      </c>
      <c r="F165" t="str">
        <f t="array" ref="F165">IF($A165="","",INDEX(JupData!$A$2:$K$10000,MATCH($A165&amp;F$1,JupData!$A$2:$A$10000&amp;JupData!$J$2:$J$10000,0),11))</f>
        <v/>
      </c>
      <c r="G165" t="str">
        <f t="array" ref="G165">IF($A165="","",INDEX(JupData!$A$2:$K$10000,MATCH($A165&amp;G$1,JupData!$A$2:$A$10000&amp;JupData!$J$2:$J$10000,0),11))</f>
        <v/>
      </c>
      <c r="H165" t="str">
        <f t="array" ref="H165">IF($A165="","",INDEX(JupData!$A$2:$K$10000,MATCH($A165&amp;H$1,JupData!$A$2:$A$10000&amp;JupData!$J$2:$J$10000,0),11))</f>
        <v/>
      </c>
      <c r="I165" t="str">
        <f t="array" ref="I165">IF($A165="","",INDEX(JupData!$A$2:$K$10000,MATCH($A165&amp;I$1,JupData!$A$2:$A$10000&amp;JupData!$J$2:$J$10000,0),11))</f>
        <v/>
      </c>
      <c r="J165" t="str">
        <f t="array" ref="J165">IF($A165="","",INDEX(JupData!$A$2:$K$10000,MATCH($A165&amp;J$1,JupData!$A$2:$A$10000&amp;JupData!$J$2:$J$10000,0),11))</f>
        <v/>
      </c>
      <c r="K165" t="str">
        <f t="array" ref="K165">IF($A165="","",INDEX(JupData!$A$2:$K$10000,MATCH($A165&amp;K$1,JupData!$A$2:$A$10000&amp;JupData!$J$2:$J$10000,0),11))</f>
        <v/>
      </c>
      <c r="L165" t="str">
        <f t="array" ref="L165">IF($A165="","",INDEX(JupData!$A$2:$K$10000,MATCH($A165&amp;L$1,JupData!$A$2:$A$10000&amp;JupData!$J$2:$J$10000,0),11))</f>
        <v/>
      </c>
      <c r="M165" t="str">
        <f t="array" ref="M165">IF($A165="","",INDEX(JupData!$A$2:$K$10000,MATCH($A165&amp;M$1,JupData!$A$2:$A$10000&amp;JupData!$J$2:$J$10000,0),11))</f>
        <v/>
      </c>
      <c r="N165" t="str">
        <f t="array" ref="N165">IF($A165="","",INDEX(JupData!$A$2:$K$10000,MATCH($A165&amp;N$1,JupData!$A$2:$A$10000&amp;JupData!$J$2:$J$10000,0),11))</f>
        <v/>
      </c>
      <c r="O165" t="str">
        <f t="array" ref="O165">IF($A165="","",INDEX(JupData!$A$2:$K$10000,MATCH($A165&amp;O$1,JupData!$A$2:$A$10000&amp;JupData!$J$2:$J$10000,0),11))</f>
        <v/>
      </c>
      <c r="P165" t="str">
        <f t="array" ref="P165">IF($A165="","",INDEX(JupData!$A$2:$K$10000,MATCH($A165&amp;P$1,JupData!$A$2:$A$10000&amp;JupData!$J$2:$J$10000,0),11))</f>
        <v/>
      </c>
      <c r="Q165" t="str">
        <f t="array" ref="Q165">IF($A165="","",INDEX(JupData!$A$2:$K$10000,MATCH($A165&amp;Q$1,JupData!$A$2:$A$10000&amp;JupData!$J$2:$J$10000,0),11))</f>
        <v/>
      </c>
      <c r="R165" t="str">
        <f t="array" ref="R165">IF($A165="","",INDEX(JupData!$A$2:$K$10000,MATCH($A165&amp;R$1,JupData!$A$2:$A$10000&amp;JupData!$J$2:$J$10000,0),11))</f>
        <v/>
      </c>
      <c r="S165" t="str">
        <f t="array" ref="S165">IF($A165="","",INDEX(JupData!$A$2:$K$10000,MATCH($A165&amp;S$1,JupData!$A$2:$A$10000&amp;JupData!$J$2:$J$10000,0),11))</f>
        <v/>
      </c>
      <c r="T165" t="str">
        <f t="array" ref="T165">IF($A165="","",INDEX(JupData!$A$2:$K$10000,MATCH($A165&amp;T$1,JupData!$A$2:$A$10000&amp;JupData!$J$2:$J$10000,0),11))</f>
        <v/>
      </c>
      <c r="U165" t="str">
        <f t="array" ref="U165">IF($A165="","",INDEX(JupData!$A$2:$K$10000,MATCH($A165&amp;U$1,JupData!$A$2:$A$10000&amp;JupData!$J$2:$J$10000,0),11))</f>
        <v/>
      </c>
      <c r="V165" t="str">
        <f t="array" ref="V165">IF($A165="","",INDEX(JupData!$A$2:$K$10000,MATCH($A165&amp;V$1,JupData!$A$2:$A$10000&amp;JupData!$J$2:$J$10000,0),11))</f>
        <v/>
      </c>
      <c r="W165" t="str">
        <f t="array" ref="W165">IF($A165="","",INDEX(JupData!$A$2:$K$10000,MATCH($A165&amp;W$1,JupData!$A$2:$A$10000&amp;JupData!$J$2:$J$10000,0),11))</f>
        <v/>
      </c>
      <c r="X165" t="str">
        <f t="array" ref="X165">IF($A165="","",INDEX(JupData!$A$2:$K$10000,MATCH($A165&amp;X$1,JupData!$A$2:$A$10000&amp;JupData!$J$2:$J$10000,0),11))</f>
        <v/>
      </c>
      <c r="Y165" t="str">
        <f t="array" ref="Y165">IF($A165="","",INDEX(JupData!$A$2:$K$10000,MATCH($A165&amp;Y$1,JupData!$A$2:$A$10000&amp;JupData!$J$2:$J$10000,0),11))</f>
        <v/>
      </c>
      <c r="Z165" t="str">
        <f t="array" ref="Z165">IF($A165="","",INDEX(JupData!$A$2:$K$10000,MATCH($A165&amp;Z$1,JupData!$A$2:$A$10000&amp;JupData!$J$2:$J$10000,0),11))</f>
        <v/>
      </c>
      <c r="AA165" t="str">
        <f t="array" ref="AA165">IF($A165="","",INDEX(JupData!$A$2:$K$10000,MATCH($A165&amp;AA$1,JupData!$A$2:$A$10000&amp;JupData!$J$2:$J$10000,0),11))</f>
        <v/>
      </c>
      <c r="AB165" t="str">
        <f t="array" ref="AB165">IF($A165="","",INDEX(JupData!$A$2:$K$10000,MATCH($A165&amp;AB$1,JupData!$A$2:$A$10000&amp;JupData!$J$2:$J$10000,0),11))</f>
        <v/>
      </c>
      <c r="AC165" s="10" t="str">
        <f t="shared" si="22"/>
        <v/>
      </c>
      <c r="AD165" s="10" t="str">
        <f t="shared" si="23"/>
        <v/>
      </c>
      <c r="AE165" s="9" t="str">
        <f t="shared" si="24"/>
        <v/>
      </c>
      <c r="AF165" s="10" t="str">
        <f t="shared" si="25"/>
        <v/>
      </c>
      <c r="AG165" s="10" t="str">
        <f t="shared" si="26"/>
        <v/>
      </c>
      <c r="AH165" s="10" t="str">
        <f t="shared" si="27"/>
        <v/>
      </c>
      <c r="AI165" s="10" t="str">
        <f t="shared" si="28"/>
        <v/>
      </c>
      <c r="AJ165" s="10" t="str">
        <f t="shared" si="29"/>
        <v/>
      </c>
      <c r="AK165" s="10" t="str">
        <f t="shared" si="30"/>
        <v/>
      </c>
      <c r="AL165" s="14" t="str">
        <f t="shared" si="31"/>
        <v/>
      </c>
    </row>
    <row r="166" spans="1:38" x14ac:dyDescent="0.2">
      <c r="A166"/>
      <c r="B166" t="str">
        <f>IF($A166="","",VLOOKUP($A166,JupData!$A$2:$I$10000,4,FALSE))</f>
        <v/>
      </c>
      <c r="C166" s="7" t="str">
        <f>IF($A166="",IF(N(D166),0,""),VLOOKUP($A166,JupData!$A$2:$I$10000,7,FALSE))</f>
        <v/>
      </c>
      <c r="D166" t="str">
        <f t="shared" si="32"/>
        <v/>
      </c>
      <c r="E166" t="str">
        <f t="array" ref="E166">IF($A166="","",INDEX(JupData!$A$2:$K$10000,MATCH($A166&amp;E$1,JupData!$A$2:$A$10000&amp;JupData!$J$2:$J$10000,0),11))</f>
        <v/>
      </c>
      <c r="F166" t="str">
        <f t="array" ref="F166">IF($A166="","",INDEX(JupData!$A$2:$K$10000,MATCH($A166&amp;F$1,JupData!$A$2:$A$10000&amp;JupData!$J$2:$J$10000,0),11))</f>
        <v/>
      </c>
      <c r="G166" t="str">
        <f t="array" ref="G166">IF($A166="","",INDEX(JupData!$A$2:$K$10000,MATCH($A166&amp;G$1,JupData!$A$2:$A$10000&amp;JupData!$J$2:$J$10000,0),11))</f>
        <v/>
      </c>
      <c r="H166" t="str">
        <f t="array" ref="H166">IF($A166="","",INDEX(JupData!$A$2:$K$10000,MATCH($A166&amp;H$1,JupData!$A$2:$A$10000&amp;JupData!$J$2:$J$10000,0),11))</f>
        <v/>
      </c>
      <c r="I166" t="str">
        <f t="array" ref="I166">IF($A166="","",INDEX(JupData!$A$2:$K$10000,MATCH($A166&amp;I$1,JupData!$A$2:$A$10000&amp;JupData!$J$2:$J$10000,0),11))</f>
        <v/>
      </c>
      <c r="J166" t="str">
        <f t="array" ref="J166">IF($A166="","",INDEX(JupData!$A$2:$K$10000,MATCH($A166&amp;J$1,JupData!$A$2:$A$10000&amp;JupData!$J$2:$J$10000,0),11))</f>
        <v/>
      </c>
      <c r="K166" t="str">
        <f t="array" ref="K166">IF($A166="","",INDEX(JupData!$A$2:$K$10000,MATCH($A166&amp;K$1,JupData!$A$2:$A$10000&amp;JupData!$J$2:$J$10000,0),11))</f>
        <v/>
      </c>
      <c r="L166" t="str">
        <f t="array" ref="L166">IF($A166="","",INDEX(JupData!$A$2:$K$10000,MATCH($A166&amp;L$1,JupData!$A$2:$A$10000&amp;JupData!$J$2:$J$10000,0),11))</f>
        <v/>
      </c>
      <c r="M166" t="str">
        <f t="array" ref="M166">IF($A166="","",INDEX(JupData!$A$2:$K$10000,MATCH($A166&amp;M$1,JupData!$A$2:$A$10000&amp;JupData!$J$2:$J$10000,0),11))</f>
        <v/>
      </c>
      <c r="N166" t="str">
        <f t="array" ref="N166">IF($A166="","",INDEX(JupData!$A$2:$K$10000,MATCH($A166&amp;N$1,JupData!$A$2:$A$10000&amp;JupData!$J$2:$J$10000,0),11))</f>
        <v/>
      </c>
      <c r="O166" t="str">
        <f t="array" ref="O166">IF($A166="","",INDEX(JupData!$A$2:$K$10000,MATCH($A166&amp;O$1,JupData!$A$2:$A$10000&amp;JupData!$J$2:$J$10000,0),11))</f>
        <v/>
      </c>
      <c r="P166" t="str">
        <f t="array" ref="P166">IF($A166="","",INDEX(JupData!$A$2:$K$10000,MATCH($A166&amp;P$1,JupData!$A$2:$A$10000&amp;JupData!$J$2:$J$10000,0),11))</f>
        <v/>
      </c>
      <c r="Q166" t="str">
        <f t="array" ref="Q166">IF($A166="","",INDEX(JupData!$A$2:$K$10000,MATCH($A166&amp;Q$1,JupData!$A$2:$A$10000&amp;JupData!$J$2:$J$10000,0),11))</f>
        <v/>
      </c>
      <c r="R166" t="str">
        <f t="array" ref="R166">IF($A166="","",INDEX(JupData!$A$2:$K$10000,MATCH($A166&amp;R$1,JupData!$A$2:$A$10000&amp;JupData!$J$2:$J$10000,0),11))</f>
        <v/>
      </c>
      <c r="S166" t="str">
        <f t="array" ref="S166">IF($A166="","",INDEX(JupData!$A$2:$K$10000,MATCH($A166&amp;S$1,JupData!$A$2:$A$10000&amp;JupData!$J$2:$J$10000,0),11))</f>
        <v/>
      </c>
      <c r="T166" t="str">
        <f t="array" ref="T166">IF($A166="","",INDEX(JupData!$A$2:$K$10000,MATCH($A166&amp;T$1,JupData!$A$2:$A$10000&amp;JupData!$J$2:$J$10000,0),11))</f>
        <v/>
      </c>
      <c r="U166" t="str">
        <f t="array" ref="U166">IF($A166="","",INDEX(JupData!$A$2:$K$10000,MATCH($A166&amp;U$1,JupData!$A$2:$A$10000&amp;JupData!$J$2:$J$10000,0),11))</f>
        <v/>
      </c>
      <c r="V166" t="str">
        <f t="array" ref="V166">IF($A166="","",INDEX(JupData!$A$2:$K$10000,MATCH($A166&amp;V$1,JupData!$A$2:$A$10000&amp;JupData!$J$2:$J$10000,0),11))</f>
        <v/>
      </c>
      <c r="W166" t="str">
        <f t="array" ref="W166">IF($A166="","",INDEX(JupData!$A$2:$K$10000,MATCH($A166&amp;W$1,JupData!$A$2:$A$10000&amp;JupData!$J$2:$J$10000,0),11))</f>
        <v/>
      </c>
      <c r="X166" t="str">
        <f t="array" ref="X166">IF($A166="","",INDEX(JupData!$A$2:$K$10000,MATCH($A166&amp;X$1,JupData!$A$2:$A$10000&amp;JupData!$J$2:$J$10000,0),11))</f>
        <v/>
      </c>
      <c r="Y166" t="str">
        <f t="array" ref="Y166">IF($A166="","",INDEX(JupData!$A$2:$K$10000,MATCH($A166&amp;Y$1,JupData!$A$2:$A$10000&amp;JupData!$J$2:$J$10000,0),11))</f>
        <v/>
      </c>
      <c r="Z166" t="str">
        <f t="array" ref="Z166">IF($A166="","",INDEX(JupData!$A$2:$K$10000,MATCH($A166&amp;Z$1,JupData!$A$2:$A$10000&amp;JupData!$J$2:$J$10000,0),11))</f>
        <v/>
      </c>
      <c r="AA166" t="str">
        <f t="array" ref="AA166">IF($A166="","",INDEX(JupData!$A$2:$K$10000,MATCH($A166&amp;AA$1,JupData!$A$2:$A$10000&amp;JupData!$J$2:$J$10000,0),11))</f>
        <v/>
      </c>
      <c r="AB166" t="str">
        <f t="array" ref="AB166">IF($A166="","",INDEX(JupData!$A$2:$K$10000,MATCH($A166&amp;AB$1,JupData!$A$2:$A$10000&amp;JupData!$J$2:$J$10000,0),11))</f>
        <v/>
      </c>
      <c r="AC166" s="10" t="str">
        <f t="shared" si="22"/>
        <v/>
      </c>
      <c r="AD166" s="10" t="str">
        <f t="shared" si="23"/>
        <v/>
      </c>
      <c r="AE166" s="9" t="str">
        <f t="shared" si="24"/>
        <v/>
      </c>
      <c r="AF166" s="10" t="str">
        <f t="shared" si="25"/>
        <v/>
      </c>
      <c r="AG166" s="10" t="str">
        <f t="shared" si="26"/>
        <v/>
      </c>
      <c r="AH166" s="10" t="str">
        <f t="shared" si="27"/>
        <v/>
      </c>
      <c r="AI166" s="10" t="str">
        <f t="shared" si="28"/>
        <v/>
      </c>
      <c r="AJ166" s="10" t="str">
        <f t="shared" si="29"/>
        <v/>
      </c>
      <c r="AK166" s="10" t="str">
        <f t="shared" si="30"/>
        <v/>
      </c>
      <c r="AL166" s="14" t="str">
        <f t="shared" si="31"/>
        <v/>
      </c>
    </row>
    <row r="167" spans="1:38" x14ac:dyDescent="0.2">
      <c r="A167"/>
      <c r="B167" t="str">
        <f>IF($A167="","",VLOOKUP($A167,JupData!$A$2:$I$10000,4,FALSE))</f>
        <v/>
      </c>
      <c r="C167" s="7" t="str">
        <f>IF($A167="",IF(N(D167),0,""),VLOOKUP($A167,JupData!$A$2:$I$10000,7,FALSE))</f>
        <v/>
      </c>
      <c r="D167" t="str">
        <f t="shared" si="32"/>
        <v/>
      </c>
      <c r="E167" t="str">
        <f t="array" ref="E167">IF($A167="","",INDEX(JupData!$A$2:$K$10000,MATCH($A167&amp;E$1,JupData!$A$2:$A$10000&amp;JupData!$J$2:$J$10000,0),11))</f>
        <v/>
      </c>
      <c r="F167" t="str">
        <f t="array" ref="F167">IF($A167="","",INDEX(JupData!$A$2:$K$10000,MATCH($A167&amp;F$1,JupData!$A$2:$A$10000&amp;JupData!$J$2:$J$10000,0),11))</f>
        <v/>
      </c>
      <c r="G167" t="str">
        <f t="array" ref="G167">IF($A167="","",INDEX(JupData!$A$2:$K$10000,MATCH($A167&amp;G$1,JupData!$A$2:$A$10000&amp;JupData!$J$2:$J$10000,0),11))</f>
        <v/>
      </c>
      <c r="H167" t="str">
        <f t="array" ref="H167">IF($A167="","",INDEX(JupData!$A$2:$K$10000,MATCH($A167&amp;H$1,JupData!$A$2:$A$10000&amp;JupData!$J$2:$J$10000,0),11))</f>
        <v/>
      </c>
      <c r="I167" t="str">
        <f t="array" ref="I167">IF($A167="","",INDEX(JupData!$A$2:$K$10000,MATCH($A167&amp;I$1,JupData!$A$2:$A$10000&amp;JupData!$J$2:$J$10000,0),11))</f>
        <v/>
      </c>
      <c r="J167" t="str">
        <f t="array" ref="J167">IF($A167="","",INDEX(JupData!$A$2:$K$10000,MATCH($A167&amp;J$1,JupData!$A$2:$A$10000&amp;JupData!$J$2:$J$10000,0),11))</f>
        <v/>
      </c>
      <c r="K167" t="str">
        <f t="array" ref="K167">IF($A167="","",INDEX(JupData!$A$2:$K$10000,MATCH($A167&amp;K$1,JupData!$A$2:$A$10000&amp;JupData!$J$2:$J$10000,0),11))</f>
        <v/>
      </c>
      <c r="L167" t="str">
        <f t="array" ref="L167">IF($A167="","",INDEX(JupData!$A$2:$K$10000,MATCH($A167&amp;L$1,JupData!$A$2:$A$10000&amp;JupData!$J$2:$J$10000,0),11))</f>
        <v/>
      </c>
      <c r="M167" t="str">
        <f t="array" ref="M167">IF($A167="","",INDEX(JupData!$A$2:$K$10000,MATCH($A167&amp;M$1,JupData!$A$2:$A$10000&amp;JupData!$J$2:$J$10000,0),11))</f>
        <v/>
      </c>
      <c r="N167" t="str">
        <f t="array" ref="N167">IF($A167="","",INDEX(JupData!$A$2:$K$10000,MATCH($A167&amp;N$1,JupData!$A$2:$A$10000&amp;JupData!$J$2:$J$10000,0),11))</f>
        <v/>
      </c>
      <c r="O167" t="str">
        <f t="array" ref="O167">IF($A167="","",INDEX(JupData!$A$2:$K$10000,MATCH($A167&amp;O$1,JupData!$A$2:$A$10000&amp;JupData!$J$2:$J$10000,0),11))</f>
        <v/>
      </c>
      <c r="P167" t="str">
        <f t="array" ref="P167">IF($A167="","",INDEX(JupData!$A$2:$K$10000,MATCH($A167&amp;P$1,JupData!$A$2:$A$10000&amp;JupData!$J$2:$J$10000,0),11))</f>
        <v/>
      </c>
      <c r="Q167" t="str">
        <f t="array" ref="Q167">IF($A167="","",INDEX(JupData!$A$2:$K$10000,MATCH($A167&amp;Q$1,JupData!$A$2:$A$10000&amp;JupData!$J$2:$J$10000,0),11))</f>
        <v/>
      </c>
      <c r="R167" t="str">
        <f t="array" ref="R167">IF($A167="","",INDEX(JupData!$A$2:$K$10000,MATCH($A167&amp;R$1,JupData!$A$2:$A$10000&amp;JupData!$J$2:$J$10000,0),11))</f>
        <v/>
      </c>
      <c r="S167" t="str">
        <f t="array" ref="S167">IF($A167="","",INDEX(JupData!$A$2:$K$10000,MATCH($A167&amp;S$1,JupData!$A$2:$A$10000&amp;JupData!$J$2:$J$10000,0),11))</f>
        <v/>
      </c>
      <c r="T167" t="str">
        <f t="array" ref="T167">IF($A167="","",INDEX(JupData!$A$2:$K$10000,MATCH($A167&amp;T$1,JupData!$A$2:$A$10000&amp;JupData!$J$2:$J$10000,0),11))</f>
        <v/>
      </c>
      <c r="U167" t="str">
        <f t="array" ref="U167">IF($A167="","",INDEX(JupData!$A$2:$K$10000,MATCH($A167&amp;U$1,JupData!$A$2:$A$10000&amp;JupData!$J$2:$J$10000,0),11))</f>
        <v/>
      </c>
      <c r="V167" t="str">
        <f t="array" ref="V167">IF($A167="","",INDEX(JupData!$A$2:$K$10000,MATCH($A167&amp;V$1,JupData!$A$2:$A$10000&amp;JupData!$J$2:$J$10000,0),11))</f>
        <v/>
      </c>
      <c r="W167" t="str">
        <f t="array" ref="W167">IF($A167="","",INDEX(JupData!$A$2:$K$10000,MATCH($A167&amp;W$1,JupData!$A$2:$A$10000&amp;JupData!$J$2:$J$10000,0),11))</f>
        <v/>
      </c>
      <c r="X167" t="str">
        <f t="array" ref="X167">IF($A167="","",INDEX(JupData!$A$2:$K$10000,MATCH($A167&amp;X$1,JupData!$A$2:$A$10000&amp;JupData!$J$2:$J$10000,0),11))</f>
        <v/>
      </c>
      <c r="Y167" t="str">
        <f t="array" ref="Y167">IF($A167="","",INDEX(JupData!$A$2:$K$10000,MATCH($A167&amp;Y$1,JupData!$A$2:$A$10000&amp;JupData!$J$2:$J$10000,0),11))</f>
        <v/>
      </c>
      <c r="Z167" t="str">
        <f t="array" ref="Z167">IF($A167="","",INDEX(JupData!$A$2:$K$10000,MATCH($A167&amp;Z$1,JupData!$A$2:$A$10000&amp;JupData!$J$2:$J$10000,0),11))</f>
        <v/>
      </c>
      <c r="AA167" t="str">
        <f t="array" ref="AA167">IF($A167="","",INDEX(JupData!$A$2:$K$10000,MATCH($A167&amp;AA$1,JupData!$A$2:$A$10000&amp;JupData!$J$2:$J$10000,0),11))</f>
        <v/>
      </c>
      <c r="AB167" t="str">
        <f t="array" ref="AB167">IF($A167="","",INDEX(JupData!$A$2:$K$10000,MATCH($A167&amp;AB$1,JupData!$A$2:$A$10000&amp;JupData!$J$2:$J$10000,0),11))</f>
        <v/>
      </c>
      <c r="AC167" s="10" t="str">
        <f t="shared" si="22"/>
        <v/>
      </c>
      <c r="AD167" s="10" t="str">
        <f t="shared" si="23"/>
        <v/>
      </c>
      <c r="AE167" s="9" t="str">
        <f t="shared" si="24"/>
        <v/>
      </c>
      <c r="AF167" s="10" t="str">
        <f t="shared" si="25"/>
        <v/>
      </c>
      <c r="AG167" s="10" t="str">
        <f t="shared" si="26"/>
        <v/>
      </c>
      <c r="AH167" s="10" t="str">
        <f t="shared" si="27"/>
        <v/>
      </c>
      <c r="AI167" s="10" t="str">
        <f t="shared" si="28"/>
        <v/>
      </c>
      <c r="AJ167" s="10" t="str">
        <f t="shared" si="29"/>
        <v/>
      </c>
      <c r="AK167" s="10" t="str">
        <f t="shared" si="30"/>
        <v/>
      </c>
      <c r="AL167" s="14" t="str">
        <f t="shared" si="31"/>
        <v/>
      </c>
    </row>
    <row r="168" spans="1:38" x14ac:dyDescent="0.2">
      <c r="A168"/>
      <c r="B168" t="str">
        <f>IF($A168="","",VLOOKUP($A168,JupData!$A$2:$I$10000,4,FALSE))</f>
        <v/>
      </c>
      <c r="C168" s="7" t="str">
        <f>IF($A168="",IF(N(D168),0,""),VLOOKUP($A168,JupData!$A$2:$I$10000,7,FALSE))</f>
        <v/>
      </c>
      <c r="D168" t="str">
        <f t="shared" si="32"/>
        <v/>
      </c>
      <c r="E168" t="str">
        <f t="array" ref="E168">IF($A168="","",INDEX(JupData!$A$2:$K$10000,MATCH($A168&amp;E$1,JupData!$A$2:$A$10000&amp;JupData!$J$2:$J$10000,0),11))</f>
        <v/>
      </c>
      <c r="F168" t="str">
        <f t="array" ref="F168">IF($A168="","",INDEX(JupData!$A$2:$K$10000,MATCH($A168&amp;F$1,JupData!$A$2:$A$10000&amp;JupData!$J$2:$J$10000,0),11))</f>
        <v/>
      </c>
      <c r="G168" t="str">
        <f t="array" ref="G168">IF($A168="","",INDEX(JupData!$A$2:$K$10000,MATCH($A168&amp;G$1,JupData!$A$2:$A$10000&amp;JupData!$J$2:$J$10000,0),11))</f>
        <v/>
      </c>
      <c r="H168" t="str">
        <f t="array" ref="H168">IF($A168="","",INDEX(JupData!$A$2:$K$10000,MATCH($A168&amp;H$1,JupData!$A$2:$A$10000&amp;JupData!$J$2:$J$10000,0),11))</f>
        <v/>
      </c>
      <c r="I168" t="str">
        <f t="array" ref="I168">IF($A168="","",INDEX(JupData!$A$2:$K$10000,MATCH($A168&amp;I$1,JupData!$A$2:$A$10000&amp;JupData!$J$2:$J$10000,0),11))</f>
        <v/>
      </c>
      <c r="J168" t="str">
        <f t="array" ref="J168">IF($A168="","",INDEX(JupData!$A$2:$K$10000,MATCH($A168&amp;J$1,JupData!$A$2:$A$10000&amp;JupData!$J$2:$J$10000,0),11))</f>
        <v/>
      </c>
      <c r="K168" t="str">
        <f t="array" ref="K168">IF($A168="","",INDEX(JupData!$A$2:$K$10000,MATCH($A168&amp;K$1,JupData!$A$2:$A$10000&amp;JupData!$J$2:$J$10000,0),11))</f>
        <v/>
      </c>
      <c r="L168" t="str">
        <f t="array" ref="L168">IF($A168="","",INDEX(JupData!$A$2:$K$10000,MATCH($A168&amp;L$1,JupData!$A$2:$A$10000&amp;JupData!$J$2:$J$10000,0),11))</f>
        <v/>
      </c>
      <c r="M168" t="str">
        <f t="array" ref="M168">IF($A168="","",INDEX(JupData!$A$2:$K$10000,MATCH($A168&amp;M$1,JupData!$A$2:$A$10000&amp;JupData!$J$2:$J$10000,0),11))</f>
        <v/>
      </c>
      <c r="N168" t="str">
        <f t="array" ref="N168">IF($A168="","",INDEX(JupData!$A$2:$K$10000,MATCH($A168&amp;N$1,JupData!$A$2:$A$10000&amp;JupData!$J$2:$J$10000,0),11))</f>
        <v/>
      </c>
      <c r="O168" t="str">
        <f t="array" ref="O168">IF($A168="","",INDEX(JupData!$A$2:$K$10000,MATCH($A168&amp;O$1,JupData!$A$2:$A$10000&amp;JupData!$J$2:$J$10000,0),11))</f>
        <v/>
      </c>
      <c r="P168" t="str">
        <f t="array" ref="P168">IF($A168="","",INDEX(JupData!$A$2:$K$10000,MATCH($A168&amp;P$1,JupData!$A$2:$A$10000&amp;JupData!$J$2:$J$10000,0),11))</f>
        <v/>
      </c>
      <c r="Q168" t="str">
        <f t="array" ref="Q168">IF($A168="","",INDEX(JupData!$A$2:$K$10000,MATCH($A168&amp;Q$1,JupData!$A$2:$A$10000&amp;JupData!$J$2:$J$10000,0),11))</f>
        <v/>
      </c>
      <c r="R168" t="str">
        <f t="array" ref="R168">IF($A168="","",INDEX(JupData!$A$2:$K$10000,MATCH($A168&amp;R$1,JupData!$A$2:$A$10000&amp;JupData!$J$2:$J$10000,0),11))</f>
        <v/>
      </c>
      <c r="S168" t="str">
        <f t="array" ref="S168">IF($A168="","",INDEX(JupData!$A$2:$K$10000,MATCH($A168&amp;S$1,JupData!$A$2:$A$10000&amp;JupData!$J$2:$J$10000,0),11))</f>
        <v/>
      </c>
      <c r="T168" t="str">
        <f t="array" ref="T168">IF($A168="","",INDEX(JupData!$A$2:$K$10000,MATCH($A168&amp;T$1,JupData!$A$2:$A$10000&amp;JupData!$J$2:$J$10000,0),11))</f>
        <v/>
      </c>
      <c r="U168" t="str">
        <f t="array" ref="U168">IF($A168="","",INDEX(JupData!$A$2:$K$10000,MATCH($A168&amp;U$1,JupData!$A$2:$A$10000&amp;JupData!$J$2:$J$10000,0),11))</f>
        <v/>
      </c>
      <c r="V168" t="str">
        <f t="array" ref="V168">IF($A168="","",INDEX(JupData!$A$2:$K$10000,MATCH($A168&amp;V$1,JupData!$A$2:$A$10000&amp;JupData!$J$2:$J$10000,0),11))</f>
        <v/>
      </c>
      <c r="W168" t="str">
        <f t="array" ref="W168">IF($A168="","",INDEX(JupData!$A$2:$K$10000,MATCH($A168&amp;W$1,JupData!$A$2:$A$10000&amp;JupData!$J$2:$J$10000,0),11))</f>
        <v/>
      </c>
      <c r="X168" t="str">
        <f t="array" ref="X168">IF($A168="","",INDEX(JupData!$A$2:$K$10000,MATCH($A168&amp;X$1,JupData!$A$2:$A$10000&amp;JupData!$J$2:$J$10000,0),11))</f>
        <v/>
      </c>
      <c r="Y168" t="str">
        <f t="array" ref="Y168">IF($A168="","",INDEX(JupData!$A$2:$K$10000,MATCH($A168&amp;Y$1,JupData!$A$2:$A$10000&amp;JupData!$J$2:$J$10000,0),11))</f>
        <v/>
      </c>
      <c r="Z168" t="str">
        <f t="array" ref="Z168">IF($A168="","",INDEX(JupData!$A$2:$K$10000,MATCH($A168&amp;Z$1,JupData!$A$2:$A$10000&amp;JupData!$J$2:$J$10000,0),11))</f>
        <v/>
      </c>
      <c r="AA168" t="str">
        <f t="array" ref="AA168">IF($A168="","",INDEX(JupData!$A$2:$K$10000,MATCH($A168&amp;AA$1,JupData!$A$2:$A$10000&amp;JupData!$J$2:$J$10000,0),11))</f>
        <v/>
      </c>
      <c r="AB168" t="str">
        <f t="array" ref="AB168">IF($A168="","",INDEX(JupData!$A$2:$K$10000,MATCH($A168&amp;AB$1,JupData!$A$2:$A$10000&amp;JupData!$J$2:$J$10000,0),11))</f>
        <v/>
      </c>
      <c r="AC168" s="10" t="str">
        <f t="shared" si="22"/>
        <v/>
      </c>
      <c r="AD168" s="10" t="str">
        <f t="shared" si="23"/>
        <v/>
      </c>
      <c r="AE168" s="9" t="str">
        <f t="shared" si="24"/>
        <v/>
      </c>
      <c r="AF168" s="10" t="str">
        <f t="shared" si="25"/>
        <v/>
      </c>
      <c r="AG168" s="10" t="str">
        <f t="shared" si="26"/>
        <v/>
      </c>
      <c r="AH168" s="10" t="str">
        <f t="shared" si="27"/>
        <v/>
      </c>
      <c r="AI168" s="10" t="str">
        <f t="shared" si="28"/>
        <v/>
      </c>
      <c r="AJ168" s="10" t="str">
        <f t="shared" si="29"/>
        <v/>
      </c>
      <c r="AK168" s="10" t="str">
        <f t="shared" si="30"/>
        <v/>
      </c>
      <c r="AL168" s="14" t="str">
        <f t="shared" si="31"/>
        <v/>
      </c>
    </row>
    <row r="169" spans="1:38" x14ac:dyDescent="0.2">
      <c r="A169"/>
      <c r="B169" t="str">
        <f>IF($A169="","",VLOOKUP($A169,JupData!$A$2:$I$10000,4,FALSE))</f>
        <v/>
      </c>
      <c r="C169" s="7" t="str">
        <f>IF($A169="",IF(N(D169),0,""),VLOOKUP($A169,JupData!$A$2:$I$10000,7,FALSE))</f>
        <v/>
      </c>
      <c r="D169" t="str">
        <f t="shared" si="32"/>
        <v/>
      </c>
      <c r="E169" t="str">
        <f t="array" ref="E169">IF($A169="","",INDEX(JupData!$A$2:$K$10000,MATCH($A169&amp;E$1,JupData!$A$2:$A$10000&amp;JupData!$J$2:$J$10000,0),11))</f>
        <v/>
      </c>
      <c r="F169" t="str">
        <f t="array" ref="F169">IF($A169="","",INDEX(JupData!$A$2:$K$10000,MATCH($A169&amp;F$1,JupData!$A$2:$A$10000&amp;JupData!$J$2:$J$10000,0),11))</f>
        <v/>
      </c>
      <c r="G169" t="str">
        <f t="array" ref="G169">IF($A169="","",INDEX(JupData!$A$2:$K$10000,MATCH($A169&amp;G$1,JupData!$A$2:$A$10000&amp;JupData!$J$2:$J$10000,0),11))</f>
        <v/>
      </c>
      <c r="H169" t="str">
        <f t="array" ref="H169">IF($A169="","",INDEX(JupData!$A$2:$K$10000,MATCH($A169&amp;H$1,JupData!$A$2:$A$10000&amp;JupData!$J$2:$J$10000,0),11))</f>
        <v/>
      </c>
      <c r="I169" t="str">
        <f t="array" ref="I169">IF($A169="","",INDEX(JupData!$A$2:$K$10000,MATCH($A169&amp;I$1,JupData!$A$2:$A$10000&amp;JupData!$J$2:$J$10000,0),11))</f>
        <v/>
      </c>
      <c r="J169" t="str">
        <f t="array" ref="J169">IF($A169="","",INDEX(JupData!$A$2:$K$10000,MATCH($A169&amp;J$1,JupData!$A$2:$A$10000&amp;JupData!$J$2:$J$10000,0),11))</f>
        <v/>
      </c>
      <c r="K169" t="str">
        <f t="array" ref="K169">IF($A169="","",INDEX(JupData!$A$2:$K$10000,MATCH($A169&amp;K$1,JupData!$A$2:$A$10000&amp;JupData!$J$2:$J$10000,0),11))</f>
        <v/>
      </c>
      <c r="L169" t="str">
        <f t="array" ref="L169">IF($A169="","",INDEX(JupData!$A$2:$K$10000,MATCH($A169&amp;L$1,JupData!$A$2:$A$10000&amp;JupData!$J$2:$J$10000,0),11))</f>
        <v/>
      </c>
      <c r="M169" t="str">
        <f t="array" ref="M169">IF($A169="","",INDEX(JupData!$A$2:$K$10000,MATCH($A169&amp;M$1,JupData!$A$2:$A$10000&amp;JupData!$J$2:$J$10000,0),11))</f>
        <v/>
      </c>
      <c r="N169" t="str">
        <f t="array" ref="N169">IF($A169="","",INDEX(JupData!$A$2:$K$10000,MATCH($A169&amp;N$1,JupData!$A$2:$A$10000&amp;JupData!$J$2:$J$10000,0),11))</f>
        <v/>
      </c>
      <c r="O169" t="str">
        <f t="array" ref="O169">IF($A169="","",INDEX(JupData!$A$2:$K$10000,MATCH($A169&amp;O$1,JupData!$A$2:$A$10000&amp;JupData!$J$2:$J$10000,0),11))</f>
        <v/>
      </c>
      <c r="P169" t="str">
        <f t="array" ref="P169">IF($A169="","",INDEX(JupData!$A$2:$K$10000,MATCH($A169&amp;P$1,JupData!$A$2:$A$10000&amp;JupData!$J$2:$J$10000,0),11))</f>
        <v/>
      </c>
      <c r="Q169" t="str">
        <f t="array" ref="Q169">IF($A169="","",INDEX(JupData!$A$2:$K$10000,MATCH($A169&amp;Q$1,JupData!$A$2:$A$10000&amp;JupData!$J$2:$J$10000,0),11))</f>
        <v/>
      </c>
      <c r="R169" t="str">
        <f t="array" ref="R169">IF($A169="","",INDEX(JupData!$A$2:$K$10000,MATCH($A169&amp;R$1,JupData!$A$2:$A$10000&amp;JupData!$J$2:$J$10000,0),11))</f>
        <v/>
      </c>
      <c r="S169" t="str">
        <f t="array" ref="S169">IF($A169="","",INDEX(JupData!$A$2:$K$10000,MATCH($A169&amp;S$1,JupData!$A$2:$A$10000&amp;JupData!$J$2:$J$10000,0),11))</f>
        <v/>
      </c>
      <c r="T169" t="str">
        <f t="array" ref="T169">IF($A169="","",INDEX(JupData!$A$2:$K$10000,MATCH($A169&amp;T$1,JupData!$A$2:$A$10000&amp;JupData!$J$2:$J$10000,0),11))</f>
        <v/>
      </c>
      <c r="U169" t="str">
        <f t="array" ref="U169">IF($A169="","",INDEX(JupData!$A$2:$K$10000,MATCH($A169&amp;U$1,JupData!$A$2:$A$10000&amp;JupData!$J$2:$J$10000,0),11))</f>
        <v/>
      </c>
      <c r="V169" t="str">
        <f t="array" ref="V169">IF($A169="","",INDEX(JupData!$A$2:$K$10000,MATCH($A169&amp;V$1,JupData!$A$2:$A$10000&amp;JupData!$J$2:$J$10000,0),11))</f>
        <v/>
      </c>
      <c r="W169" t="str">
        <f t="array" ref="W169">IF($A169="","",INDEX(JupData!$A$2:$K$10000,MATCH($A169&amp;W$1,JupData!$A$2:$A$10000&amp;JupData!$J$2:$J$10000,0),11))</f>
        <v/>
      </c>
      <c r="X169" t="str">
        <f t="array" ref="X169">IF($A169="","",INDEX(JupData!$A$2:$K$10000,MATCH($A169&amp;X$1,JupData!$A$2:$A$10000&amp;JupData!$J$2:$J$10000,0),11))</f>
        <v/>
      </c>
      <c r="Y169" t="str">
        <f t="array" ref="Y169">IF($A169="","",INDEX(JupData!$A$2:$K$10000,MATCH($A169&amp;Y$1,JupData!$A$2:$A$10000&amp;JupData!$J$2:$J$10000,0),11))</f>
        <v/>
      </c>
      <c r="Z169" t="str">
        <f t="array" ref="Z169">IF($A169="","",INDEX(JupData!$A$2:$K$10000,MATCH($A169&amp;Z$1,JupData!$A$2:$A$10000&amp;JupData!$J$2:$J$10000,0),11))</f>
        <v/>
      </c>
      <c r="AA169" t="str">
        <f t="array" ref="AA169">IF($A169="","",INDEX(JupData!$A$2:$K$10000,MATCH($A169&amp;AA$1,JupData!$A$2:$A$10000&amp;JupData!$J$2:$J$10000,0),11))</f>
        <v/>
      </c>
      <c r="AB169" t="str">
        <f t="array" ref="AB169">IF($A169="","",INDEX(JupData!$A$2:$K$10000,MATCH($A169&amp;AB$1,JupData!$A$2:$A$10000&amp;JupData!$J$2:$J$10000,0),11))</f>
        <v/>
      </c>
      <c r="AC169" s="10" t="str">
        <f t="shared" si="22"/>
        <v/>
      </c>
      <c r="AD169" s="10" t="str">
        <f t="shared" si="23"/>
        <v/>
      </c>
      <c r="AE169" s="9" t="str">
        <f t="shared" si="24"/>
        <v/>
      </c>
      <c r="AF169" s="10" t="str">
        <f t="shared" si="25"/>
        <v/>
      </c>
      <c r="AG169" s="10" t="str">
        <f t="shared" si="26"/>
        <v/>
      </c>
      <c r="AH169" s="10" t="str">
        <f t="shared" si="27"/>
        <v/>
      </c>
      <c r="AI169" s="10" t="str">
        <f t="shared" si="28"/>
        <v/>
      </c>
      <c r="AJ169" s="10" t="str">
        <f t="shared" si="29"/>
        <v/>
      </c>
      <c r="AK169" s="10" t="str">
        <f t="shared" si="30"/>
        <v/>
      </c>
      <c r="AL169" s="14" t="str">
        <f t="shared" si="31"/>
        <v/>
      </c>
    </row>
    <row r="170" spans="1:38" x14ac:dyDescent="0.2">
      <c r="A170"/>
      <c r="B170" t="str">
        <f>IF($A170="","",VLOOKUP($A170,JupData!$A$2:$I$10000,4,FALSE))</f>
        <v/>
      </c>
      <c r="C170" s="7" t="str">
        <f>IF($A170="",IF(N(D170),0,""),VLOOKUP($A170,JupData!$A$2:$I$10000,7,FALSE))</f>
        <v/>
      </c>
      <c r="D170" t="str">
        <f t="shared" si="32"/>
        <v/>
      </c>
      <c r="E170" t="str">
        <f t="array" ref="E170">IF($A170="","",INDEX(JupData!$A$2:$K$10000,MATCH($A170&amp;E$1,JupData!$A$2:$A$10000&amp;JupData!$J$2:$J$10000,0),11))</f>
        <v/>
      </c>
      <c r="F170" t="str">
        <f t="array" ref="F170">IF($A170="","",INDEX(JupData!$A$2:$K$10000,MATCH($A170&amp;F$1,JupData!$A$2:$A$10000&amp;JupData!$J$2:$J$10000,0),11))</f>
        <v/>
      </c>
      <c r="G170" t="str">
        <f t="array" ref="G170">IF($A170="","",INDEX(JupData!$A$2:$K$10000,MATCH($A170&amp;G$1,JupData!$A$2:$A$10000&amp;JupData!$J$2:$J$10000,0),11))</f>
        <v/>
      </c>
      <c r="H170" t="str">
        <f t="array" ref="H170">IF($A170="","",INDEX(JupData!$A$2:$K$10000,MATCH($A170&amp;H$1,JupData!$A$2:$A$10000&amp;JupData!$J$2:$J$10000,0),11))</f>
        <v/>
      </c>
      <c r="I170" t="str">
        <f t="array" ref="I170">IF($A170="","",INDEX(JupData!$A$2:$K$10000,MATCH($A170&amp;I$1,JupData!$A$2:$A$10000&amp;JupData!$J$2:$J$10000,0),11))</f>
        <v/>
      </c>
      <c r="J170" t="str">
        <f t="array" ref="J170">IF($A170="","",INDEX(JupData!$A$2:$K$10000,MATCH($A170&amp;J$1,JupData!$A$2:$A$10000&amp;JupData!$J$2:$J$10000,0),11))</f>
        <v/>
      </c>
      <c r="K170" t="str">
        <f t="array" ref="K170">IF($A170="","",INDEX(JupData!$A$2:$K$10000,MATCH($A170&amp;K$1,JupData!$A$2:$A$10000&amp;JupData!$J$2:$J$10000,0),11))</f>
        <v/>
      </c>
      <c r="L170" t="str">
        <f t="array" ref="L170">IF($A170="","",INDEX(JupData!$A$2:$K$10000,MATCH($A170&amp;L$1,JupData!$A$2:$A$10000&amp;JupData!$J$2:$J$10000,0),11))</f>
        <v/>
      </c>
      <c r="M170" t="str">
        <f t="array" ref="M170">IF($A170="","",INDEX(JupData!$A$2:$K$10000,MATCH($A170&amp;M$1,JupData!$A$2:$A$10000&amp;JupData!$J$2:$J$10000,0),11))</f>
        <v/>
      </c>
      <c r="N170" t="str">
        <f t="array" ref="N170">IF($A170="","",INDEX(JupData!$A$2:$K$10000,MATCH($A170&amp;N$1,JupData!$A$2:$A$10000&amp;JupData!$J$2:$J$10000,0),11))</f>
        <v/>
      </c>
      <c r="O170" t="str">
        <f t="array" ref="O170">IF($A170="","",INDEX(JupData!$A$2:$K$10000,MATCH($A170&amp;O$1,JupData!$A$2:$A$10000&amp;JupData!$J$2:$J$10000,0),11))</f>
        <v/>
      </c>
      <c r="P170" t="str">
        <f t="array" ref="P170">IF($A170="","",INDEX(JupData!$A$2:$K$10000,MATCH($A170&amp;P$1,JupData!$A$2:$A$10000&amp;JupData!$J$2:$J$10000,0),11))</f>
        <v/>
      </c>
      <c r="Q170" t="str">
        <f t="array" ref="Q170">IF($A170="","",INDEX(JupData!$A$2:$K$10000,MATCH($A170&amp;Q$1,JupData!$A$2:$A$10000&amp;JupData!$J$2:$J$10000,0),11))</f>
        <v/>
      </c>
      <c r="R170" t="str">
        <f t="array" ref="R170">IF($A170="","",INDEX(JupData!$A$2:$K$10000,MATCH($A170&amp;R$1,JupData!$A$2:$A$10000&amp;JupData!$J$2:$J$10000,0),11))</f>
        <v/>
      </c>
      <c r="S170" t="str">
        <f t="array" ref="S170">IF($A170="","",INDEX(JupData!$A$2:$K$10000,MATCH($A170&amp;S$1,JupData!$A$2:$A$10000&amp;JupData!$J$2:$J$10000,0),11))</f>
        <v/>
      </c>
      <c r="T170" t="str">
        <f t="array" ref="T170">IF($A170="","",INDEX(JupData!$A$2:$K$10000,MATCH($A170&amp;T$1,JupData!$A$2:$A$10000&amp;JupData!$J$2:$J$10000,0),11))</f>
        <v/>
      </c>
      <c r="U170" t="str">
        <f t="array" ref="U170">IF($A170="","",INDEX(JupData!$A$2:$K$10000,MATCH($A170&amp;U$1,JupData!$A$2:$A$10000&amp;JupData!$J$2:$J$10000,0),11))</f>
        <v/>
      </c>
      <c r="V170" t="str">
        <f t="array" ref="V170">IF($A170="","",INDEX(JupData!$A$2:$K$10000,MATCH($A170&amp;V$1,JupData!$A$2:$A$10000&amp;JupData!$J$2:$J$10000,0),11))</f>
        <v/>
      </c>
      <c r="W170" t="str">
        <f t="array" ref="W170">IF($A170="","",INDEX(JupData!$A$2:$K$10000,MATCH($A170&amp;W$1,JupData!$A$2:$A$10000&amp;JupData!$J$2:$J$10000,0),11))</f>
        <v/>
      </c>
      <c r="X170" t="str">
        <f t="array" ref="X170">IF($A170="","",INDEX(JupData!$A$2:$K$10000,MATCH($A170&amp;X$1,JupData!$A$2:$A$10000&amp;JupData!$J$2:$J$10000,0),11))</f>
        <v/>
      </c>
      <c r="Y170" t="str">
        <f t="array" ref="Y170">IF($A170="","",INDEX(JupData!$A$2:$K$10000,MATCH($A170&amp;Y$1,JupData!$A$2:$A$10000&amp;JupData!$J$2:$J$10000,0),11))</f>
        <v/>
      </c>
      <c r="Z170" t="str">
        <f t="array" ref="Z170">IF($A170="","",INDEX(JupData!$A$2:$K$10000,MATCH($A170&amp;Z$1,JupData!$A$2:$A$10000&amp;JupData!$J$2:$J$10000,0),11))</f>
        <v/>
      </c>
      <c r="AA170" t="str">
        <f t="array" ref="AA170">IF($A170="","",INDEX(JupData!$A$2:$K$10000,MATCH($A170&amp;AA$1,JupData!$A$2:$A$10000&amp;JupData!$J$2:$J$10000,0),11))</f>
        <v/>
      </c>
      <c r="AB170" t="str">
        <f t="array" ref="AB170">IF($A170="","",INDEX(JupData!$A$2:$K$10000,MATCH($A170&amp;AB$1,JupData!$A$2:$A$10000&amp;JupData!$J$2:$J$10000,0),11))</f>
        <v/>
      </c>
      <c r="AC170" s="10" t="str">
        <f t="shared" si="22"/>
        <v/>
      </c>
      <c r="AD170" s="10" t="str">
        <f t="shared" si="23"/>
        <v/>
      </c>
      <c r="AE170" s="9" t="str">
        <f t="shared" si="24"/>
        <v/>
      </c>
      <c r="AF170" s="10" t="str">
        <f t="shared" si="25"/>
        <v/>
      </c>
      <c r="AG170" s="10" t="str">
        <f t="shared" si="26"/>
        <v/>
      </c>
      <c r="AH170" s="10" t="str">
        <f t="shared" si="27"/>
        <v/>
      </c>
      <c r="AI170" s="10" t="str">
        <f t="shared" si="28"/>
        <v/>
      </c>
      <c r="AJ170" s="10" t="str">
        <f t="shared" si="29"/>
        <v/>
      </c>
      <c r="AK170" s="10" t="str">
        <f t="shared" si="30"/>
        <v/>
      </c>
      <c r="AL170" s="14" t="str">
        <f t="shared" si="31"/>
        <v/>
      </c>
    </row>
    <row r="171" spans="1:38" x14ac:dyDescent="0.2">
      <c r="A171"/>
      <c r="B171" t="str">
        <f>IF($A171="","",VLOOKUP($A171,JupData!$A$2:$I$10000,4,FALSE))</f>
        <v/>
      </c>
      <c r="C171" s="7" t="str">
        <f>IF($A171="",IF(N(D171),0,""),VLOOKUP($A171,JupData!$A$2:$I$10000,7,FALSE))</f>
        <v/>
      </c>
      <c r="D171" t="str">
        <f t="shared" si="32"/>
        <v/>
      </c>
      <c r="E171" t="str">
        <f t="array" ref="E171">IF($A171="","",INDEX(JupData!$A$2:$K$10000,MATCH($A171&amp;E$1,JupData!$A$2:$A$10000&amp;JupData!$J$2:$J$10000,0),11))</f>
        <v/>
      </c>
      <c r="F171" t="str">
        <f t="array" ref="F171">IF($A171="","",INDEX(JupData!$A$2:$K$10000,MATCH($A171&amp;F$1,JupData!$A$2:$A$10000&amp;JupData!$J$2:$J$10000,0),11))</f>
        <v/>
      </c>
      <c r="G171" t="str">
        <f t="array" ref="G171">IF($A171="","",INDEX(JupData!$A$2:$K$10000,MATCH($A171&amp;G$1,JupData!$A$2:$A$10000&amp;JupData!$J$2:$J$10000,0),11))</f>
        <v/>
      </c>
      <c r="H171" t="str">
        <f t="array" ref="H171">IF($A171="","",INDEX(JupData!$A$2:$K$10000,MATCH($A171&amp;H$1,JupData!$A$2:$A$10000&amp;JupData!$J$2:$J$10000,0),11))</f>
        <v/>
      </c>
      <c r="I171" t="str">
        <f t="array" ref="I171">IF($A171="","",INDEX(JupData!$A$2:$K$10000,MATCH($A171&amp;I$1,JupData!$A$2:$A$10000&amp;JupData!$J$2:$J$10000,0),11))</f>
        <v/>
      </c>
      <c r="J171" t="str">
        <f t="array" ref="J171">IF($A171="","",INDEX(JupData!$A$2:$K$10000,MATCH($A171&amp;J$1,JupData!$A$2:$A$10000&amp;JupData!$J$2:$J$10000,0),11))</f>
        <v/>
      </c>
      <c r="K171" t="str">
        <f t="array" ref="K171">IF($A171="","",INDEX(JupData!$A$2:$K$10000,MATCH($A171&amp;K$1,JupData!$A$2:$A$10000&amp;JupData!$J$2:$J$10000,0),11))</f>
        <v/>
      </c>
      <c r="L171" t="str">
        <f t="array" ref="L171">IF($A171="","",INDEX(JupData!$A$2:$K$10000,MATCH($A171&amp;L$1,JupData!$A$2:$A$10000&amp;JupData!$J$2:$J$10000,0),11))</f>
        <v/>
      </c>
      <c r="M171" t="str">
        <f t="array" ref="M171">IF($A171="","",INDEX(JupData!$A$2:$K$10000,MATCH($A171&amp;M$1,JupData!$A$2:$A$10000&amp;JupData!$J$2:$J$10000,0),11))</f>
        <v/>
      </c>
      <c r="N171" t="str">
        <f t="array" ref="N171">IF($A171="","",INDEX(JupData!$A$2:$K$10000,MATCH($A171&amp;N$1,JupData!$A$2:$A$10000&amp;JupData!$J$2:$J$10000,0),11))</f>
        <v/>
      </c>
      <c r="O171" t="str">
        <f t="array" ref="O171">IF($A171="","",INDEX(JupData!$A$2:$K$10000,MATCH($A171&amp;O$1,JupData!$A$2:$A$10000&amp;JupData!$J$2:$J$10000,0),11))</f>
        <v/>
      </c>
      <c r="P171" t="str">
        <f t="array" ref="P171">IF($A171="","",INDEX(JupData!$A$2:$K$10000,MATCH($A171&amp;P$1,JupData!$A$2:$A$10000&amp;JupData!$J$2:$J$10000,0),11))</f>
        <v/>
      </c>
      <c r="Q171" t="str">
        <f t="array" ref="Q171">IF($A171="","",INDEX(JupData!$A$2:$K$10000,MATCH($A171&amp;Q$1,JupData!$A$2:$A$10000&amp;JupData!$J$2:$J$10000,0),11))</f>
        <v/>
      </c>
      <c r="R171" t="str">
        <f t="array" ref="R171">IF($A171="","",INDEX(JupData!$A$2:$K$10000,MATCH($A171&amp;R$1,JupData!$A$2:$A$10000&amp;JupData!$J$2:$J$10000,0),11))</f>
        <v/>
      </c>
      <c r="S171" t="str">
        <f t="array" ref="S171">IF($A171="","",INDEX(JupData!$A$2:$K$10000,MATCH($A171&amp;S$1,JupData!$A$2:$A$10000&amp;JupData!$J$2:$J$10000,0),11))</f>
        <v/>
      </c>
      <c r="T171" t="str">
        <f t="array" ref="T171">IF($A171="","",INDEX(JupData!$A$2:$K$10000,MATCH($A171&amp;T$1,JupData!$A$2:$A$10000&amp;JupData!$J$2:$J$10000,0),11))</f>
        <v/>
      </c>
      <c r="U171" t="str">
        <f t="array" ref="U171">IF($A171="","",INDEX(JupData!$A$2:$K$10000,MATCH($A171&amp;U$1,JupData!$A$2:$A$10000&amp;JupData!$J$2:$J$10000,0),11))</f>
        <v/>
      </c>
      <c r="V171" t="str">
        <f t="array" ref="V171">IF($A171="","",INDEX(JupData!$A$2:$K$10000,MATCH($A171&amp;V$1,JupData!$A$2:$A$10000&amp;JupData!$J$2:$J$10000,0),11))</f>
        <v/>
      </c>
      <c r="W171" t="str">
        <f t="array" ref="W171">IF($A171="","",INDEX(JupData!$A$2:$K$10000,MATCH($A171&amp;W$1,JupData!$A$2:$A$10000&amp;JupData!$J$2:$J$10000,0),11))</f>
        <v/>
      </c>
      <c r="X171" t="str">
        <f t="array" ref="X171">IF($A171="","",INDEX(JupData!$A$2:$K$10000,MATCH($A171&amp;X$1,JupData!$A$2:$A$10000&amp;JupData!$J$2:$J$10000,0),11))</f>
        <v/>
      </c>
      <c r="Y171" t="str">
        <f t="array" ref="Y171">IF($A171="","",INDEX(JupData!$A$2:$K$10000,MATCH($A171&amp;Y$1,JupData!$A$2:$A$10000&amp;JupData!$J$2:$J$10000,0),11))</f>
        <v/>
      </c>
      <c r="Z171" t="str">
        <f t="array" ref="Z171">IF($A171="","",INDEX(JupData!$A$2:$K$10000,MATCH($A171&amp;Z$1,JupData!$A$2:$A$10000&amp;JupData!$J$2:$J$10000,0),11))</f>
        <v/>
      </c>
      <c r="AA171" t="str">
        <f t="array" ref="AA171">IF($A171="","",INDEX(JupData!$A$2:$K$10000,MATCH($A171&amp;AA$1,JupData!$A$2:$A$10000&amp;JupData!$J$2:$J$10000,0),11))</f>
        <v/>
      </c>
      <c r="AB171" t="str">
        <f t="array" ref="AB171">IF($A171="","",INDEX(JupData!$A$2:$K$10000,MATCH($A171&amp;AB$1,JupData!$A$2:$A$10000&amp;JupData!$J$2:$J$10000,0),11))</f>
        <v/>
      </c>
      <c r="AC171" s="10" t="str">
        <f t="shared" si="22"/>
        <v/>
      </c>
      <c r="AD171" s="10" t="str">
        <f t="shared" si="23"/>
        <v/>
      </c>
      <c r="AE171" s="9" t="str">
        <f t="shared" si="24"/>
        <v/>
      </c>
      <c r="AF171" s="10" t="str">
        <f t="shared" si="25"/>
        <v/>
      </c>
      <c r="AG171" s="10" t="str">
        <f t="shared" si="26"/>
        <v/>
      </c>
      <c r="AH171" s="10" t="str">
        <f t="shared" si="27"/>
        <v/>
      </c>
      <c r="AI171" s="10" t="str">
        <f t="shared" si="28"/>
        <v/>
      </c>
      <c r="AJ171" s="10" t="str">
        <f t="shared" si="29"/>
        <v/>
      </c>
      <c r="AK171" s="10" t="str">
        <f t="shared" si="30"/>
        <v/>
      </c>
      <c r="AL171" s="14" t="str">
        <f t="shared" si="31"/>
        <v/>
      </c>
    </row>
    <row r="172" spans="1:38" x14ac:dyDescent="0.2">
      <c r="A172"/>
      <c r="B172" t="str">
        <f>IF($A172="","",VLOOKUP($A172,JupData!$A$2:$I$10000,4,FALSE))</f>
        <v/>
      </c>
      <c r="C172" s="7" t="str">
        <f>IF($A172="",IF(N(D172),0,""),VLOOKUP($A172,JupData!$A$2:$I$10000,7,FALSE))</f>
        <v/>
      </c>
      <c r="D172" t="str">
        <f t="shared" si="32"/>
        <v/>
      </c>
      <c r="E172" t="str">
        <f t="array" ref="E172">IF($A172="","",INDEX(JupData!$A$2:$K$10000,MATCH($A172&amp;E$1,JupData!$A$2:$A$10000&amp;JupData!$J$2:$J$10000,0),11))</f>
        <v/>
      </c>
      <c r="F172" t="str">
        <f t="array" ref="F172">IF($A172="","",INDEX(JupData!$A$2:$K$10000,MATCH($A172&amp;F$1,JupData!$A$2:$A$10000&amp;JupData!$J$2:$J$10000,0),11))</f>
        <v/>
      </c>
      <c r="G172" t="str">
        <f t="array" ref="G172">IF($A172="","",INDEX(JupData!$A$2:$K$10000,MATCH($A172&amp;G$1,JupData!$A$2:$A$10000&amp;JupData!$J$2:$J$10000,0),11))</f>
        <v/>
      </c>
      <c r="H172" t="str">
        <f t="array" ref="H172">IF($A172="","",INDEX(JupData!$A$2:$K$10000,MATCH($A172&amp;H$1,JupData!$A$2:$A$10000&amp;JupData!$J$2:$J$10000,0),11))</f>
        <v/>
      </c>
      <c r="I172" t="str">
        <f t="array" ref="I172">IF($A172="","",INDEX(JupData!$A$2:$K$10000,MATCH($A172&amp;I$1,JupData!$A$2:$A$10000&amp;JupData!$J$2:$J$10000,0),11))</f>
        <v/>
      </c>
      <c r="J172" t="str">
        <f t="array" ref="J172">IF($A172="","",INDEX(JupData!$A$2:$K$10000,MATCH($A172&amp;J$1,JupData!$A$2:$A$10000&amp;JupData!$J$2:$J$10000,0),11))</f>
        <v/>
      </c>
      <c r="K172" t="str">
        <f t="array" ref="K172">IF($A172="","",INDEX(JupData!$A$2:$K$10000,MATCH($A172&amp;K$1,JupData!$A$2:$A$10000&amp;JupData!$J$2:$J$10000,0),11))</f>
        <v/>
      </c>
      <c r="L172" t="str">
        <f t="array" ref="L172">IF($A172="","",INDEX(JupData!$A$2:$K$10000,MATCH($A172&amp;L$1,JupData!$A$2:$A$10000&amp;JupData!$J$2:$J$10000,0),11))</f>
        <v/>
      </c>
      <c r="M172" t="str">
        <f t="array" ref="M172">IF($A172="","",INDEX(JupData!$A$2:$K$10000,MATCH($A172&amp;M$1,JupData!$A$2:$A$10000&amp;JupData!$J$2:$J$10000,0),11))</f>
        <v/>
      </c>
      <c r="N172" t="str">
        <f t="array" ref="N172">IF($A172="","",INDEX(JupData!$A$2:$K$10000,MATCH($A172&amp;N$1,JupData!$A$2:$A$10000&amp;JupData!$J$2:$J$10000,0),11))</f>
        <v/>
      </c>
      <c r="O172" t="str">
        <f t="array" ref="O172">IF($A172="","",INDEX(JupData!$A$2:$K$10000,MATCH($A172&amp;O$1,JupData!$A$2:$A$10000&amp;JupData!$J$2:$J$10000,0),11))</f>
        <v/>
      </c>
      <c r="P172" t="str">
        <f t="array" ref="P172">IF($A172="","",INDEX(JupData!$A$2:$K$10000,MATCH($A172&amp;P$1,JupData!$A$2:$A$10000&amp;JupData!$J$2:$J$10000,0),11))</f>
        <v/>
      </c>
      <c r="Q172" t="str">
        <f t="array" ref="Q172">IF($A172="","",INDEX(JupData!$A$2:$K$10000,MATCH($A172&amp;Q$1,JupData!$A$2:$A$10000&amp;JupData!$J$2:$J$10000,0),11))</f>
        <v/>
      </c>
      <c r="R172" t="str">
        <f t="array" ref="R172">IF($A172="","",INDEX(JupData!$A$2:$K$10000,MATCH($A172&amp;R$1,JupData!$A$2:$A$10000&amp;JupData!$J$2:$J$10000,0),11))</f>
        <v/>
      </c>
      <c r="S172" t="str">
        <f t="array" ref="S172">IF($A172="","",INDEX(JupData!$A$2:$K$10000,MATCH($A172&amp;S$1,JupData!$A$2:$A$10000&amp;JupData!$J$2:$J$10000,0),11))</f>
        <v/>
      </c>
      <c r="T172" t="str">
        <f t="array" ref="T172">IF($A172="","",INDEX(JupData!$A$2:$K$10000,MATCH($A172&amp;T$1,JupData!$A$2:$A$10000&amp;JupData!$J$2:$J$10000,0),11))</f>
        <v/>
      </c>
      <c r="U172" t="str">
        <f t="array" ref="U172">IF($A172="","",INDEX(JupData!$A$2:$K$10000,MATCH($A172&amp;U$1,JupData!$A$2:$A$10000&amp;JupData!$J$2:$J$10000,0),11))</f>
        <v/>
      </c>
      <c r="V172" t="str">
        <f t="array" ref="V172">IF($A172="","",INDEX(JupData!$A$2:$K$10000,MATCH($A172&amp;V$1,JupData!$A$2:$A$10000&amp;JupData!$J$2:$J$10000,0),11))</f>
        <v/>
      </c>
      <c r="W172" t="str">
        <f t="array" ref="W172">IF($A172="","",INDEX(JupData!$A$2:$K$10000,MATCH($A172&amp;W$1,JupData!$A$2:$A$10000&amp;JupData!$J$2:$J$10000,0),11))</f>
        <v/>
      </c>
      <c r="X172" t="str">
        <f t="array" ref="X172">IF($A172="","",INDEX(JupData!$A$2:$K$10000,MATCH($A172&amp;X$1,JupData!$A$2:$A$10000&amp;JupData!$J$2:$J$10000,0),11))</f>
        <v/>
      </c>
      <c r="Y172" t="str">
        <f t="array" ref="Y172">IF($A172="","",INDEX(JupData!$A$2:$K$10000,MATCH($A172&amp;Y$1,JupData!$A$2:$A$10000&amp;JupData!$J$2:$J$10000,0),11))</f>
        <v/>
      </c>
      <c r="Z172" t="str">
        <f t="array" ref="Z172">IF($A172="","",INDEX(JupData!$A$2:$K$10000,MATCH($A172&amp;Z$1,JupData!$A$2:$A$10000&amp;JupData!$J$2:$J$10000,0),11))</f>
        <v/>
      </c>
      <c r="AA172" t="str">
        <f t="array" ref="AA172">IF($A172="","",INDEX(JupData!$A$2:$K$10000,MATCH($A172&amp;AA$1,JupData!$A$2:$A$10000&amp;JupData!$J$2:$J$10000,0),11))</f>
        <v/>
      </c>
      <c r="AB172" t="str">
        <f t="array" ref="AB172">IF($A172="","",INDEX(JupData!$A$2:$K$10000,MATCH($A172&amp;AB$1,JupData!$A$2:$A$10000&amp;JupData!$J$2:$J$10000,0),11))</f>
        <v/>
      </c>
      <c r="AC172" s="10" t="str">
        <f t="shared" si="22"/>
        <v/>
      </c>
      <c r="AD172" s="10" t="str">
        <f t="shared" si="23"/>
        <v/>
      </c>
      <c r="AE172" s="9" t="str">
        <f t="shared" si="24"/>
        <v/>
      </c>
      <c r="AF172" s="10" t="str">
        <f t="shared" si="25"/>
        <v/>
      </c>
      <c r="AG172" s="10" t="str">
        <f t="shared" si="26"/>
        <v/>
      </c>
      <c r="AH172" s="10" t="str">
        <f t="shared" si="27"/>
        <v/>
      </c>
      <c r="AI172" s="10" t="str">
        <f t="shared" si="28"/>
        <v/>
      </c>
      <c r="AJ172" s="10" t="str">
        <f t="shared" si="29"/>
        <v/>
      </c>
      <c r="AK172" s="10" t="str">
        <f t="shared" si="30"/>
        <v/>
      </c>
      <c r="AL172" s="14" t="str">
        <f t="shared" si="31"/>
        <v/>
      </c>
    </row>
    <row r="173" spans="1:38" x14ac:dyDescent="0.2">
      <c r="A173"/>
      <c r="B173" t="str">
        <f>IF($A173="","",VLOOKUP($A173,JupData!$A$2:$I$10000,4,FALSE))</f>
        <v/>
      </c>
      <c r="C173" s="7" t="str">
        <f>IF($A173="",IF(N(D173),0,""),VLOOKUP($A173,JupData!$A$2:$I$10000,7,FALSE))</f>
        <v/>
      </c>
      <c r="D173" t="str">
        <f t="shared" si="32"/>
        <v/>
      </c>
      <c r="E173" t="str">
        <f t="array" ref="E173">IF($A173="","",INDEX(JupData!$A$2:$K$10000,MATCH($A173&amp;E$1,JupData!$A$2:$A$10000&amp;JupData!$J$2:$J$10000,0),11))</f>
        <v/>
      </c>
      <c r="F173" t="str">
        <f t="array" ref="F173">IF($A173="","",INDEX(JupData!$A$2:$K$10000,MATCH($A173&amp;F$1,JupData!$A$2:$A$10000&amp;JupData!$J$2:$J$10000,0),11))</f>
        <v/>
      </c>
      <c r="G173" t="str">
        <f t="array" ref="G173">IF($A173="","",INDEX(JupData!$A$2:$K$10000,MATCH($A173&amp;G$1,JupData!$A$2:$A$10000&amp;JupData!$J$2:$J$10000,0),11))</f>
        <v/>
      </c>
      <c r="H173" t="str">
        <f t="array" ref="H173">IF($A173="","",INDEX(JupData!$A$2:$K$10000,MATCH($A173&amp;H$1,JupData!$A$2:$A$10000&amp;JupData!$J$2:$J$10000,0),11))</f>
        <v/>
      </c>
      <c r="I173" t="str">
        <f t="array" ref="I173">IF($A173="","",INDEX(JupData!$A$2:$K$10000,MATCH($A173&amp;I$1,JupData!$A$2:$A$10000&amp;JupData!$J$2:$J$10000,0),11))</f>
        <v/>
      </c>
      <c r="J173" t="str">
        <f t="array" ref="J173">IF($A173="","",INDEX(JupData!$A$2:$K$10000,MATCH($A173&amp;J$1,JupData!$A$2:$A$10000&amp;JupData!$J$2:$J$10000,0),11))</f>
        <v/>
      </c>
      <c r="K173" t="str">
        <f t="array" ref="K173">IF($A173="","",INDEX(JupData!$A$2:$K$10000,MATCH($A173&amp;K$1,JupData!$A$2:$A$10000&amp;JupData!$J$2:$J$10000,0),11))</f>
        <v/>
      </c>
      <c r="L173" t="str">
        <f t="array" ref="L173">IF($A173="","",INDEX(JupData!$A$2:$K$10000,MATCH($A173&amp;L$1,JupData!$A$2:$A$10000&amp;JupData!$J$2:$J$10000,0),11))</f>
        <v/>
      </c>
      <c r="M173" t="str">
        <f t="array" ref="M173">IF($A173="","",INDEX(JupData!$A$2:$K$10000,MATCH($A173&amp;M$1,JupData!$A$2:$A$10000&amp;JupData!$J$2:$J$10000,0),11))</f>
        <v/>
      </c>
      <c r="N173" t="str">
        <f t="array" ref="N173">IF($A173="","",INDEX(JupData!$A$2:$K$10000,MATCH($A173&amp;N$1,JupData!$A$2:$A$10000&amp;JupData!$J$2:$J$10000,0),11))</f>
        <v/>
      </c>
      <c r="O173" t="str">
        <f t="array" ref="O173">IF($A173="","",INDEX(JupData!$A$2:$K$10000,MATCH($A173&amp;O$1,JupData!$A$2:$A$10000&amp;JupData!$J$2:$J$10000,0),11))</f>
        <v/>
      </c>
      <c r="P173" t="str">
        <f t="array" ref="P173">IF($A173="","",INDEX(JupData!$A$2:$K$10000,MATCH($A173&amp;P$1,JupData!$A$2:$A$10000&amp;JupData!$J$2:$J$10000,0),11))</f>
        <v/>
      </c>
      <c r="Q173" t="str">
        <f t="array" ref="Q173">IF($A173="","",INDEX(JupData!$A$2:$K$10000,MATCH($A173&amp;Q$1,JupData!$A$2:$A$10000&amp;JupData!$J$2:$J$10000,0),11))</f>
        <v/>
      </c>
      <c r="R173" t="str">
        <f t="array" ref="R173">IF($A173="","",INDEX(JupData!$A$2:$K$10000,MATCH($A173&amp;R$1,JupData!$A$2:$A$10000&amp;JupData!$J$2:$J$10000,0),11))</f>
        <v/>
      </c>
      <c r="S173" t="str">
        <f t="array" ref="S173">IF($A173="","",INDEX(JupData!$A$2:$K$10000,MATCH($A173&amp;S$1,JupData!$A$2:$A$10000&amp;JupData!$J$2:$J$10000,0),11))</f>
        <v/>
      </c>
      <c r="T173" t="str">
        <f t="array" ref="T173">IF($A173="","",INDEX(JupData!$A$2:$K$10000,MATCH($A173&amp;T$1,JupData!$A$2:$A$10000&amp;JupData!$J$2:$J$10000,0),11))</f>
        <v/>
      </c>
      <c r="U173" t="str">
        <f t="array" ref="U173">IF($A173="","",INDEX(JupData!$A$2:$K$10000,MATCH($A173&amp;U$1,JupData!$A$2:$A$10000&amp;JupData!$J$2:$J$10000,0),11))</f>
        <v/>
      </c>
      <c r="V173" t="str">
        <f t="array" ref="V173">IF($A173="","",INDEX(JupData!$A$2:$K$10000,MATCH($A173&amp;V$1,JupData!$A$2:$A$10000&amp;JupData!$J$2:$J$10000,0),11))</f>
        <v/>
      </c>
      <c r="W173" t="str">
        <f t="array" ref="W173">IF($A173="","",INDEX(JupData!$A$2:$K$10000,MATCH($A173&amp;W$1,JupData!$A$2:$A$10000&amp;JupData!$J$2:$J$10000,0),11))</f>
        <v/>
      </c>
      <c r="X173" t="str">
        <f t="array" ref="X173">IF($A173="","",INDEX(JupData!$A$2:$K$10000,MATCH($A173&amp;X$1,JupData!$A$2:$A$10000&amp;JupData!$J$2:$J$10000,0),11))</f>
        <v/>
      </c>
      <c r="Y173" t="str">
        <f t="array" ref="Y173">IF($A173="","",INDEX(JupData!$A$2:$K$10000,MATCH($A173&amp;Y$1,JupData!$A$2:$A$10000&amp;JupData!$J$2:$J$10000,0),11))</f>
        <v/>
      </c>
      <c r="Z173" t="str">
        <f t="array" ref="Z173">IF($A173="","",INDEX(JupData!$A$2:$K$10000,MATCH($A173&amp;Z$1,JupData!$A$2:$A$10000&amp;JupData!$J$2:$J$10000,0),11))</f>
        <v/>
      </c>
      <c r="AA173" t="str">
        <f t="array" ref="AA173">IF($A173="","",INDEX(JupData!$A$2:$K$10000,MATCH($A173&amp;AA$1,JupData!$A$2:$A$10000&amp;JupData!$J$2:$J$10000,0),11))</f>
        <v/>
      </c>
      <c r="AB173" t="str">
        <f t="array" ref="AB173">IF($A173="","",INDEX(JupData!$A$2:$K$10000,MATCH($A173&amp;AB$1,JupData!$A$2:$A$10000&amp;JupData!$J$2:$J$10000,0),11))</f>
        <v/>
      </c>
      <c r="AC173" s="10" t="str">
        <f t="shared" si="22"/>
        <v/>
      </c>
      <c r="AD173" s="10" t="str">
        <f t="shared" si="23"/>
        <v/>
      </c>
      <c r="AE173" s="9" t="str">
        <f t="shared" si="24"/>
        <v/>
      </c>
      <c r="AF173" s="10" t="str">
        <f t="shared" si="25"/>
        <v/>
      </c>
      <c r="AG173" s="10" t="str">
        <f t="shared" si="26"/>
        <v/>
      </c>
      <c r="AH173" s="10" t="str">
        <f t="shared" si="27"/>
        <v/>
      </c>
      <c r="AI173" s="10" t="str">
        <f t="shared" si="28"/>
        <v/>
      </c>
      <c r="AJ173" s="10" t="str">
        <f t="shared" si="29"/>
        <v/>
      </c>
      <c r="AK173" s="10" t="str">
        <f t="shared" si="30"/>
        <v/>
      </c>
      <c r="AL173" s="14" t="str">
        <f t="shared" si="31"/>
        <v/>
      </c>
    </row>
    <row r="174" spans="1:38" x14ac:dyDescent="0.2">
      <c r="A174"/>
      <c r="B174" t="str">
        <f>IF($A174="","",VLOOKUP($A174,JupData!$A$2:$I$10000,4,FALSE))</f>
        <v/>
      </c>
      <c r="C174" s="7" t="str">
        <f>IF($A174="",IF(N(D174),0,""),VLOOKUP($A174,JupData!$A$2:$I$10000,7,FALSE))</f>
        <v/>
      </c>
      <c r="D174" t="str">
        <f t="shared" si="32"/>
        <v/>
      </c>
      <c r="E174" t="str">
        <f t="array" ref="E174">IF($A174="","",INDEX(JupData!$A$2:$K$10000,MATCH($A174&amp;E$1,JupData!$A$2:$A$10000&amp;JupData!$J$2:$J$10000,0),11))</f>
        <v/>
      </c>
      <c r="F174" t="str">
        <f t="array" ref="F174">IF($A174="","",INDEX(JupData!$A$2:$K$10000,MATCH($A174&amp;F$1,JupData!$A$2:$A$10000&amp;JupData!$J$2:$J$10000,0),11))</f>
        <v/>
      </c>
      <c r="G174" t="str">
        <f t="array" ref="G174">IF($A174="","",INDEX(JupData!$A$2:$K$10000,MATCH($A174&amp;G$1,JupData!$A$2:$A$10000&amp;JupData!$J$2:$J$10000,0),11))</f>
        <v/>
      </c>
      <c r="H174" t="str">
        <f t="array" ref="H174">IF($A174="","",INDEX(JupData!$A$2:$K$10000,MATCH($A174&amp;H$1,JupData!$A$2:$A$10000&amp;JupData!$J$2:$J$10000,0),11))</f>
        <v/>
      </c>
      <c r="I174" t="str">
        <f t="array" ref="I174">IF($A174="","",INDEX(JupData!$A$2:$K$10000,MATCH($A174&amp;I$1,JupData!$A$2:$A$10000&amp;JupData!$J$2:$J$10000,0),11))</f>
        <v/>
      </c>
      <c r="J174" t="str">
        <f t="array" ref="J174">IF($A174="","",INDEX(JupData!$A$2:$K$10000,MATCH($A174&amp;J$1,JupData!$A$2:$A$10000&amp;JupData!$J$2:$J$10000,0),11))</f>
        <v/>
      </c>
      <c r="K174" t="str">
        <f t="array" ref="K174">IF($A174="","",INDEX(JupData!$A$2:$K$10000,MATCH($A174&amp;K$1,JupData!$A$2:$A$10000&amp;JupData!$J$2:$J$10000,0),11))</f>
        <v/>
      </c>
      <c r="L174" t="str">
        <f t="array" ref="L174">IF($A174="","",INDEX(JupData!$A$2:$K$10000,MATCH($A174&amp;L$1,JupData!$A$2:$A$10000&amp;JupData!$J$2:$J$10000,0),11))</f>
        <v/>
      </c>
      <c r="M174" t="str">
        <f t="array" ref="M174">IF($A174="","",INDEX(JupData!$A$2:$K$10000,MATCH($A174&amp;M$1,JupData!$A$2:$A$10000&amp;JupData!$J$2:$J$10000,0),11))</f>
        <v/>
      </c>
      <c r="N174" t="str">
        <f t="array" ref="N174">IF($A174="","",INDEX(JupData!$A$2:$K$10000,MATCH($A174&amp;N$1,JupData!$A$2:$A$10000&amp;JupData!$J$2:$J$10000,0),11))</f>
        <v/>
      </c>
      <c r="O174" t="str">
        <f t="array" ref="O174">IF($A174="","",INDEX(JupData!$A$2:$K$10000,MATCH($A174&amp;O$1,JupData!$A$2:$A$10000&amp;JupData!$J$2:$J$10000,0),11))</f>
        <v/>
      </c>
      <c r="P174" t="str">
        <f t="array" ref="P174">IF($A174="","",INDEX(JupData!$A$2:$K$10000,MATCH($A174&amp;P$1,JupData!$A$2:$A$10000&amp;JupData!$J$2:$J$10000,0),11))</f>
        <v/>
      </c>
      <c r="Q174" t="str">
        <f t="array" ref="Q174">IF($A174="","",INDEX(JupData!$A$2:$K$10000,MATCH($A174&amp;Q$1,JupData!$A$2:$A$10000&amp;JupData!$J$2:$J$10000,0),11))</f>
        <v/>
      </c>
      <c r="R174" t="str">
        <f t="array" ref="R174">IF($A174="","",INDEX(JupData!$A$2:$K$10000,MATCH($A174&amp;R$1,JupData!$A$2:$A$10000&amp;JupData!$J$2:$J$10000,0),11))</f>
        <v/>
      </c>
      <c r="S174" t="str">
        <f t="array" ref="S174">IF($A174="","",INDEX(JupData!$A$2:$K$10000,MATCH($A174&amp;S$1,JupData!$A$2:$A$10000&amp;JupData!$J$2:$J$10000,0),11))</f>
        <v/>
      </c>
      <c r="T174" t="str">
        <f t="array" ref="T174">IF($A174="","",INDEX(JupData!$A$2:$K$10000,MATCH($A174&amp;T$1,JupData!$A$2:$A$10000&amp;JupData!$J$2:$J$10000,0),11))</f>
        <v/>
      </c>
      <c r="U174" t="str">
        <f t="array" ref="U174">IF($A174="","",INDEX(JupData!$A$2:$K$10000,MATCH($A174&amp;U$1,JupData!$A$2:$A$10000&amp;JupData!$J$2:$J$10000,0),11))</f>
        <v/>
      </c>
      <c r="V174" t="str">
        <f t="array" ref="V174">IF($A174="","",INDEX(JupData!$A$2:$K$10000,MATCH($A174&amp;V$1,JupData!$A$2:$A$10000&amp;JupData!$J$2:$J$10000,0),11))</f>
        <v/>
      </c>
      <c r="W174" t="str">
        <f t="array" ref="W174">IF($A174="","",INDEX(JupData!$A$2:$K$10000,MATCH($A174&amp;W$1,JupData!$A$2:$A$10000&amp;JupData!$J$2:$J$10000,0),11))</f>
        <v/>
      </c>
      <c r="X174" t="str">
        <f t="array" ref="X174">IF($A174="","",INDEX(JupData!$A$2:$K$10000,MATCH($A174&amp;X$1,JupData!$A$2:$A$10000&amp;JupData!$J$2:$J$10000,0),11))</f>
        <v/>
      </c>
      <c r="Y174" t="str">
        <f t="array" ref="Y174">IF($A174="","",INDEX(JupData!$A$2:$K$10000,MATCH($A174&amp;Y$1,JupData!$A$2:$A$10000&amp;JupData!$J$2:$J$10000,0),11))</f>
        <v/>
      </c>
      <c r="Z174" t="str">
        <f t="array" ref="Z174">IF($A174="","",INDEX(JupData!$A$2:$K$10000,MATCH($A174&amp;Z$1,JupData!$A$2:$A$10000&amp;JupData!$J$2:$J$10000,0),11))</f>
        <v/>
      </c>
      <c r="AA174" t="str">
        <f t="array" ref="AA174">IF($A174="","",INDEX(JupData!$A$2:$K$10000,MATCH($A174&amp;AA$1,JupData!$A$2:$A$10000&amp;JupData!$J$2:$J$10000,0),11))</f>
        <v/>
      </c>
      <c r="AB174" t="str">
        <f t="array" ref="AB174">IF($A174="","",INDEX(JupData!$A$2:$K$10000,MATCH($A174&amp;AB$1,JupData!$A$2:$A$10000&amp;JupData!$J$2:$J$10000,0),11))</f>
        <v/>
      </c>
      <c r="AC174" s="10" t="str">
        <f t="shared" si="22"/>
        <v/>
      </c>
      <c r="AD174" s="10" t="str">
        <f t="shared" si="23"/>
        <v/>
      </c>
      <c r="AE174" s="9" t="str">
        <f t="shared" si="24"/>
        <v/>
      </c>
      <c r="AF174" s="10" t="str">
        <f t="shared" si="25"/>
        <v/>
      </c>
      <c r="AG174" s="10" t="str">
        <f t="shared" si="26"/>
        <v/>
      </c>
      <c r="AH174" s="10" t="str">
        <f t="shared" si="27"/>
        <v/>
      </c>
      <c r="AI174" s="10" t="str">
        <f t="shared" si="28"/>
        <v/>
      </c>
      <c r="AJ174" s="10" t="str">
        <f t="shared" si="29"/>
        <v/>
      </c>
      <c r="AK174" s="10" t="str">
        <f t="shared" si="30"/>
        <v/>
      </c>
      <c r="AL174" s="14" t="str">
        <f t="shared" si="31"/>
        <v/>
      </c>
    </row>
    <row r="175" spans="1:38" x14ac:dyDescent="0.2">
      <c r="A175"/>
      <c r="B175" t="str">
        <f>IF($A175="","",VLOOKUP($A175,JupData!$A$2:$I$10000,4,FALSE))</f>
        <v/>
      </c>
      <c r="C175" s="7" t="str">
        <f>IF($A175="",IF(N(D175),0,""),VLOOKUP($A175,JupData!$A$2:$I$10000,7,FALSE))</f>
        <v/>
      </c>
      <c r="D175" t="str">
        <f t="shared" si="32"/>
        <v/>
      </c>
      <c r="E175" t="str">
        <f t="array" ref="E175">IF($A175="","",INDEX(JupData!$A$2:$K$10000,MATCH($A175&amp;E$1,JupData!$A$2:$A$10000&amp;JupData!$J$2:$J$10000,0),11))</f>
        <v/>
      </c>
      <c r="F175" t="str">
        <f t="array" ref="F175">IF($A175="","",INDEX(JupData!$A$2:$K$10000,MATCH($A175&amp;F$1,JupData!$A$2:$A$10000&amp;JupData!$J$2:$J$10000,0),11))</f>
        <v/>
      </c>
      <c r="G175" t="str">
        <f t="array" ref="G175">IF($A175="","",INDEX(JupData!$A$2:$K$10000,MATCH($A175&amp;G$1,JupData!$A$2:$A$10000&amp;JupData!$J$2:$J$10000,0),11))</f>
        <v/>
      </c>
      <c r="H175" t="str">
        <f t="array" ref="H175">IF($A175="","",INDEX(JupData!$A$2:$K$10000,MATCH($A175&amp;H$1,JupData!$A$2:$A$10000&amp;JupData!$J$2:$J$10000,0),11))</f>
        <v/>
      </c>
      <c r="I175" t="str">
        <f t="array" ref="I175">IF($A175="","",INDEX(JupData!$A$2:$K$10000,MATCH($A175&amp;I$1,JupData!$A$2:$A$10000&amp;JupData!$J$2:$J$10000,0),11))</f>
        <v/>
      </c>
      <c r="J175" t="str">
        <f t="array" ref="J175">IF($A175="","",INDEX(JupData!$A$2:$K$10000,MATCH($A175&amp;J$1,JupData!$A$2:$A$10000&amp;JupData!$J$2:$J$10000,0),11))</f>
        <v/>
      </c>
      <c r="K175" t="str">
        <f t="array" ref="K175">IF($A175="","",INDEX(JupData!$A$2:$K$10000,MATCH($A175&amp;K$1,JupData!$A$2:$A$10000&amp;JupData!$J$2:$J$10000,0),11))</f>
        <v/>
      </c>
      <c r="L175" t="str">
        <f t="array" ref="L175">IF($A175="","",INDEX(JupData!$A$2:$K$10000,MATCH($A175&amp;L$1,JupData!$A$2:$A$10000&amp;JupData!$J$2:$J$10000,0),11))</f>
        <v/>
      </c>
      <c r="M175" t="str">
        <f t="array" ref="M175">IF($A175="","",INDEX(JupData!$A$2:$K$10000,MATCH($A175&amp;M$1,JupData!$A$2:$A$10000&amp;JupData!$J$2:$J$10000,0),11))</f>
        <v/>
      </c>
      <c r="N175" t="str">
        <f t="array" ref="N175">IF($A175="","",INDEX(JupData!$A$2:$K$10000,MATCH($A175&amp;N$1,JupData!$A$2:$A$10000&amp;JupData!$J$2:$J$10000,0),11))</f>
        <v/>
      </c>
      <c r="O175" t="str">
        <f t="array" ref="O175">IF($A175="","",INDEX(JupData!$A$2:$K$10000,MATCH($A175&amp;O$1,JupData!$A$2:$A$10000&amp;JupData!$J$2:$J$10000,0),11))</f>
        <v/>
      </c>
      <c r="P175" t="str">
        <f t="array" ref="P175">IF($A175="","",INDEX(JupData!$A$2:$K$10000,MATCH($A175&amp;P$1,JupData!$A$2:$A$10000&amp;JupData!$J$2:$J$10000,0),11))</f>
        <v/>
      </c>
      <c r="Q175" t="str">
        <f t="array" ref="Q175">IF($A175="","",INDEX(JupData!$A$2:$K$10000,MATCH($A175&amp;Q$1,JupData!$A$2:$A$10000&amp;JupData!$J$2:$J$10000,0),11))</f>
        <v/>
      </c>
      <c r="R175" t="str">
        <f t="array" ref="R175">IF($A175="","",INDEX(JupData!$A$2:$K$10000,MATCH($A175&amp;R$1,JupData!$A$2:$A$10000&amp;JupData!$J$2:$J$10000,0),11))</f>
        <v/>
      </c>
      <c r="S175" t="str">
        <f t="array" ref="S175">IF($A175="","",INDEX(JupData!$A$2:$K$10000,MATCH($A175&amp;S$1,JupData!$A$2:$A$10000&amp;JupData!$J$2:$J$10000,0),11))</f>
        <v/>
      </c>
      <c r="T175" t="str">
        <f t="array" ref="T175">IF($A175="","",INDEX(JupData!$A$2:$K$10000,MATCH($A175&amp;T$1,JupData!$A$2:$A$10000&amp;JupData!$J$2:$J$10000,0),11))</f>
        <v/>
      </c>
      <c r="U175" t="str">
        <f t="array" ref="U175">IF($A175="","",INDEX(JupData!$A$2:$K$10000,MATCH($A175&amp;U$1,JupData!$A$2:$A$10000&amp;JupData!$J$2:$J$10000,0),11))</f>
        <v/>
      </c>
      <c r="V175" t="str">
        <f t="array" ref="V175">IF($A175="","",INDEX(JupData!$A$2:$K$10000,MATCH($A175&amp;V$1,JupData!$A$2:$A$10000&amp;JupData!$J$2:$J$10000,0),11))</f>
        <v/>
      </c>
      <c r="W175" t="str">
        <f t="array" ref="W175">IF($A175="","",INDEX(JupData!$A$2:$K$10000,MATCH($A175&amp;W$1,JupData!$A$2:$A$10000&amp;JupData!$J$2:$J$10000,0),11))</f>
        <v/>
      </c>
      <c r="X175" t="str">
        <f t="array" ref="X175">IF($A175="","",INDEX(JupData!$A$2:$K$10000,MATCH($A175&amp;X$1,JupData!$A$2:$A$10000&amp;JupData!$J$2:$J$10000,0),11))</f>
        <v/>
      </c>
      <c r="Y175" t="str">
        <f t="array" ref="Y175">IF($A175="","",INDEX(JupData!$A$2:$K$10000,MATCH($A175&amp;Y$1,JupData!$A$2:$A$10000&amp;JupData!$J$2:$J$10000,0),11))</f>
        <v/>
      </c>
      <c r="Z175" t="str">
        <f t="array" ref="Z175">IF($A175="","",INDEX(JupData!$A$2:$K$10000,MATCH($A175&amp;Z$1,JupData!$A$2:$A$10000&amp;JupData!$J$2:$J$10000,0),11))</f>
        <v/>
      </c>
      <c r="AA175" t="str">
        <f t="array" ref="AA175">IF($A175="","",INDEX(JupData!$A$2:$K$10000,MATCH($A175&amp;AA$1,JupData!$A$2:$A$10000&amp;JupData!$J$2:$J$10000,0),11))</f>
        <v/>
      </c>
      <c r="AB175" t="str">
        <f t="array" ref="AB175">IF($A175="","",INDEX(JupData!$A$2:$K$10000,MATCH($A175&amp;AB$1,JupData!$A$2:$A$10000&amp;JupData!$J$2:$J$10000,0),11))</f>
        <v/>
      </c>
      <c r="AC175" s="10" t="str">
        <f t="shared" si="22"/>
        <v/>
      </c>
      <c r="AD175" s="10" t="str">
        <f t="shared" si="23"/>
        <v/>
      </c>
      <c r="AE175" s="9" t="str">
        <f t="shared" si="24"/>
        <v/>
      </c>
      <c r="AF175" s="10" t="str">
        <f t="shared" si="25"/>
        <v/>
      </c>
      <c r="AG175" s="10" t="str">
        <f t="shared" si="26"/>
        <v/>
      </c>
      <c r="AH175" s="10" t="str">
        <f t="shared" si="27"/>
        <v/>
      </c>
      <c r="AI175" s="10" t="str">
        <f t="shared" si="28"/>
        <v/>
      </c>
      <c r="AJ175" s="10" t="str">
        <f t="shared" si="29"/>
        <v/>
      </c>
      <c r="AK175" s="10" t="str">
        <f t="shared" si="30"/>
        <v/>
      </c>
      <c r="AL175" s="14" t="str">
        <f t="shared" si="31"/>
        <v/>
      </c>
    </row>
    <row r="176" spans="1:38" x14ac:dyDescent="0.2">
      <c r="A176"/>
      <c r="B176" t="str">
        <f>IF($A176="","",VLOOKUP($A176,JupData!$A$2:$I$10000,4,FALSE))</f>
        <v/>
      </c>
      <c r="C176" s="7" t="str">
        <f>IF($A176="",IF(N(D176),0,""),VLOOKUP($A176,JupData!$A$2:$I$10000,7,FALSE))</f>
        <v/>
      </c>
      <c r="D176" t="str">
        <f t="shared" si="32"/>
        <v/>
      </c>
      <c r="E176" t="str">
        <f t="array" ref="E176">IF($A176="","",INDEX(JupData!$A$2:$K$10000,MATCH($A176&amp;E$1,JupData!$A$2:$A$10000&amp;JupData!$J$2:$J$10000,0),11))</f>
        <v/>
      </c>
      <c r="F176" t="str">
        <f t="array" ref="F176">IF($A176="","",INDEX(JupData!$A$2:$K$10000,MATCH($A176&amp;F$1,JupData!$A$2:$A$10000&amp;JupData!$J$2:$J$10000,0),11))</f>
        <v/>
      </c>
      <c r="G176" t="str">
        <f t="array" ref="G176">IF($A176="","",INDEX(JupData!$A$2:$K$10000,MATCH($A176&amp;G$1,JupData!$A$2:$A$10000&amp;JupData!$J$2:$J$10000,0),11))</f>
        <v/>
      </c>
      <c r="H176" t="str">
        <f t="array" ref="H176">IF($A176="","",INDEX(JupData!$A$2:$K$10000,MATCH($A176&amp;H$1,JupData!$A$2:$A$10000&amp;JupData!$J$2:$J$10000,0),11))</f>
        <v/>
      </c>
      <c r="I176" t="str">
        <f t="array" ref="I176">IF($A176="","",INDEX(JupData!$A$2:$K$10000,MATCH($A176&amp;I$1,JupData!$A$2:$A$10000&amp;JupData!$J$2:$J$10000,0),11))</f>
        <v/>
      </c>
      <c r="J176" t="str">
        <f t="array" ref="J176">IF($A176="","",INDEX(JupData!$A$2:$K$10000,MATCH($A176&amp;J$1,JupData!$A$2:$A$10000&amp;JupData!$J$2:$J$10000,0),11))</f>
        <v/>
      </c>
      <c r="K176" t="str">
        <f t="array" ref="K176">IF($A176="","",INDEX(JupData!$A$2:$K$10000,MATCH($A176&amp;K$1,JupData!$A$2:$A$10000&amp;JupData!$J$2:$J$10000,0),11))</f>
        <v/>
      </c>
      <c r="L176" t="str">
        <f t="array" ref="L176">IF($A176="","",INDEX(JupData!$A$2:$K$10000,MATCH($A176&amp;L$1,JupData!$A$2:$A$10000&amp;JupData!$J$2:$J$10000,0),11))</f>
        <v/>
      </c>
      <c r="M176" t="str">
        <f t="array" ref="M176">IF($A176="","",INDEX(JupData!$A$2:$K$10000,MATCH($A176&amp;M$1,JupData!$A$2:$A$10000&amp;JupData!$J$2:$J$10000,0),11))</f>
        <v/>
      </c>
      <c r="N176" t="str">
        <f t="array" ref="N176">IF($A176="","",INDEX(JupData!$A$2:$K$10000,MATCH($A176&amp;N$1,JupData!$A$2:$A$10000&amp;JupData!$J$2:$J$10000,0),11))</f>
        <v/>
      </c>
      <c r="O176" t="str">
        <f t="array" ref="O176">IF($A176="","",INDEX(JupData!$A$2:$K$10000,MATCH($A176&amp;O$1,JupData!$A$2:$A$10000&amp;JupData!$J$2:$J$10000,0),11))</f>
        <v/>
      </c>
      <c r="P176" t="str">
        <f t="array" ref="P176">IF($A176="","",INDEX(JupData!$A$2:$K$10000,MATCH($A176&amp;P$1,JupData!$A$2:$A$10000&amp;JupData!$J$2:$J$10000,0),11))</f>
        <v/>
      </c>
      <c r="Q176" t="str">
        <f t="array" ref="Q176">IF($A176="","",INDEX(JupData!$A$2:$K$10000,MATCH($A176&amp;Q$1,JupData!$A$2:$A$10000&amp;JupData!$J$2:$J$10000,0),11))</f>
        <v/>
      </c>
      <c r="R176" t="str">
        <f t="array" ref="R176">IF($A176="","",INDEX(JupData!$A$2:$K$10000,MATCH($A176&amp;R$1,JupData!$A$2:$A$10000&amp;JupData!$J$2:$J$10000,0),11))</f>
        <v/>
      </c>
      <c r="S176" t="str">
        <f t="array" ref="S176">IF($A176="","",INDEX(JupData!$A$2:$K$10000,MATCH($A176&amp;S$1,JupData!$A$2:$A$10000&amp;JupData!$J$2:$J$10000,0),11))</f>
        <v/>
      </c>
      <c r="T176" t="str">
        <f t="array" ref="T176">IF($A176="","",INDEX(JupData!$A$2:$K$10000,MATCH($A176&amp;T$1,JupData!$A$2:$A$10000&amp;JupData!$J$2:$J$10000,0),11))</f>
        <v/>
      </c>
      <c r="U176" t="str">
        <f t="array" ref="U176">IF($A176="","",INDEX(JupData!$A$2:$K$10000,MATCH($A176&amp;U$1,JupData!$A$2:$A$10000&amp;JupData!$J$2:$J$10000,0),11))</f>
        <v/>
      </c>
      <c r="V176" t="str">
        <f t="array" ref="V176">IF($A176="","",INDEX(JupData!$A$2:$K$10000,MATCH($A176&amp;V$1,JupData!$A$2:$A$10000&amp;JupData!$J$2:$J$10000,0),11))</f>
        <v/>
      </c>
      <c r="W176" t="str">
        <f t="array" ref="W176">IF($A176="","",INDEX(JupData!$A$2:$K$10000,MATCH($A176&amp;W$1,JupData!$A$2:$A$10000&amp;JupData!$J$2:$J$10000,0),11))</f>
        <v/>
      </c>
      <c r="X176" t="str">
        <f t="array" ref="X176">IF($A176="","",INDEX(JupData!$A$2:$K$10000,MATCH($A176&amp;X$1,JupData!$A$2:$A$10000&amp;JupData!$J$2:$J$10000,0),11))</f>
        <v/>
      </c>
      <c r="Y176" t="str">
        <f t="array" ref="Y176">IF($A176="","",INDEX(JupData!$A$2:$K$10000,MATCH($A176&amp;Y$1,JupData!$A$2:$A$10000&amp;JupData!$J$2:$J$10000,0),11))</f>
        <v/>
      </c>
      <c r="Z176" t="str">
        <f t="array" ref="Z176">IF($A176="","",INDEX(JupData!$A$2:$K$10000,MATCH($A176&amp;Z$1,JupData!$A$2:$A$10000&amp;JupData!$J$2:$J$10000,0),11))</f>
        <v/>
      </c>
      <c r="AA176" t="str">
        <f t="array" ref="AA176">IF($A176="","",INDEX(JupData!$A$2:$K$10000,MATCH($A176&amp;AA$1,JupData!$A$2:$A$10000&amp;JupData!$J$2:$J$10000,0),11))</f>
        <v/>
      </c>
      <c r="AB176" t="str">
        <f t="array" ref="AB176">IF($A176="","",INDEX(JupData!$A$2:$K$10000,MATCH($A176&amp;AB$1,JupData!$A$2:$A$10000&amp;JupData!$J$2:$J$10000,0),11))</f>
        <v/>
      </c>
      <c r="AC176" s="10" t="str">
        <f t="shared" si="22"/>
        <v/>
      </c>
      <c r="AD176" s="10" t="str">
        <f t="shared" si="23"/>
        <v/>
      </c>
      <c r="AE176" s="9" t="str">
        <f t="shared" si="24"/>
        <v/>
      </c>
      <c r="AF176" s="10" t="str">
        <f t="shared" si="25"/>
        <v/>
      </c>
      <c r="AG176" s="10" t="str">
        <f t="shared" si="26"/>
        <v/>
      </c>
      <c r="AH176" s="10" t="str">
        <f t="shared" si="27"/>
        <v/>
      </c>
      <c r="AI176" s="10" t="str">
        <f t="shared" si="28"/>
        <v/>
      </c>
      <c r="AJ176" s="10" t="str">
        <f t="shared" si="29"/>
        <v/>
      </c>
      <c r="AK176" s="10" t="str">
        <f t="shared" si="30"/>
        <v/>
      </c>
      <c r="AL176" s="14" t="str">
        <f t="shared" si="31"/>
        <v/>
      </c>
    </row>
    <row r="177" spans="1:38" x14ac:dyDescent="0.2">
      <c r="A177"/>
      <c r="B177" t="str">
        <f>IF($A177="","",VLOOKUP($A177,JupData!$A$2:$I$10000,4,FALSE))</f>
        <v/>
      </c>
      <c r="C177" s="7" t="str">
        <f>IF($A177="",IF(N(D177),0,""),VLOOKUP($A177,JupData!$A$2:$I$10000,7,FALSE))</f>
        <v/>
      </c>
      <c r="D177" t="str">
        <f t="shared" si="32"/>
        <v/>
      </c>
      <c r="E177" t="str">
        <f t="array" ref="E177">IF($A177="","",INDEX(JupData!$A$2:$K$10000,MATCH($A177&amp;E$1,JupData!$A$2:$A$10000&amp;JupData!$J$2:$J$10000,0),11))</f>
        <v/>
      </c>
      <c r="F177" t="str">
        <f t="array" ref="F177">IF($A177="","",INDEX(JupData!$A$2:$K$10000,MATCH($A177&amp;F$1,JupData!$A$2:$A$10000&amp;JupData!$J$2:$J$10000,0),11))</f>
        <v/>
      </c>
      <c r="G177" t="str">
        <f t="array" ref="G177">IF($A177="","",INDEX(JupData!$A$2:$K$10000,MATCH($A177&amp;G$1,JupData!$A$2:$A$10000&amp;JupData!$J$2:$J$10000,0),11))</f>
        <v/>
      </c>
      <c r="H177" t="str">
        <f t="array" ref="H177">IF($A177="","",INDEX(JupData!$A$2:$K$10000,MATCH($A177&amp;H$1,JupData!$A$2:$A$10000&amp;JupData!$J$2:$J$10000,0),11))</f>
        <v/>
      </c>
      <c r="I177" t="str">
        <f t="array" ref="I177">IF($A177="","",INDEX(JupData!$A$2:$K$10000,MATCH($A177&amp;I$1,JupData!$A$2:$A$10000&amp;JupData!$J$2:$J$10000,0),11))</f>
        <v/>
      </c>
      <c r="J177" t="str">
        <f t="array" ref="J177">IF($A177="","",INDEX(JupData!$A$2:$K$10000,MATCH($A177&amp;J$1,JupData!$A$2:$A$10000&amp;JupData!$J$2:$J$10000,0),11))</f>
        <v/>
      </c>
      <c r="K177" t="str">
        <f t="array" ref="K177">IF($A177="","",INDEX(JupData!$A$2:$K$10000,MATCH($A177&amp;K$1,JupData!$A$2:$A$10000&amp;JupData!$J$2:$J$10000,0),11))</f>
        <v/>
      </c>
      <c r="L177" t="str">
        <f t="array" ref="L177">IF($A177="","",INDEX(JupData!$A$2:$K$10000,MATCH($A177&amp;L$1,JupData!$A$2:$A$10000&amp;JupData!$J$2:$J$10000,0),11))</f>
        <v/>
      </c>
      <c r="M177" t="str">
        <f t="array" ref="M177">IF($A177="","",INDEX(JupData!$A$2:$K$10000,MATCH($A177&amp;M$1,JupData!$A$2:$A$10000&amp;JupData!$J$2:$J$10000,0),11))</f>
        <v/>
      </c>
      <c r="N177" t="str">
        <f t="array" ref="N177">IF($A177="","",INDEX(JupData!$A$2:$K$10000,MATCH($A177&amp;N$1,JupData!$A$2:$A$10000&amp;JupData!$J$2:$J$10000,0),11))</f>
        <v/>
      </c>
      <c r="O177" t="str">
        <f t="array" ref="O177">IF($A177="","",INDEX(JupData!$A$2:$K$10000,MATCH($A177&amp;O$1,JupData!$A$2:$A$10000&amp;JupData!$J$2:$J$10000,0),11))</f>
        <v/>
      </c>
      <c r="P177" t="str">
        <f t="array" ref="P177">IF($A177="","",INDEX(JupData!$A$2:$K$10000,MATCH($A177&amp;P$1,JupData!$A$2:$A$10000&amp;JupData!$J$2:$J$10000,0),11))</f>
        <v/>
      </c>
      <c r="Q177" t="str">
        <f t="array" ref="Q177">IF($A177="","",INDEX(JupData!$A$2:$K$10000,MATCH($A177&amp;Q$1,JupData!$A$2:$A$10000&amp;JupData!$J$2:$J$10000,0),11))</f>
        <v/>
      </c>
      <c r="R177" t="str">
        <f t="array" ref="R177">IF($A177="","",INDEX(JupData!$A$2:$K$10000,MATCH($A177&amp;R$1,JupData!$A$2:$A$10000&amp;JupData!$J$2:$J$10000,0),11))</f>
        <v/>
      </c>
      <c r="S177" t="str">
        <f t="array" ref="S177">IF($A177="","",INDEX(JupData!$A$2:$K$10000,MATCH($A177&amp;S$1,JupData!$A$2:$A$10000&amp;JupData!$J$2:$J$10000,0),11))</f>
        <v/>
      </c>
      <c r="T177" t="str">
        <f t="array" ref="T177">IF($A177="","",INDEX(JupData!$A$2:$K$10000,MATCH($A177&amp;T$1,JupData!$A$2:$A$10000&amp;JupData!$J$2:$J$10000,0),11))</f>
        <v/>
      </c>
      <c r="U177" t="str">
        <f t="array" ref="U177">IF($A177="","",INDEX(JupData!$A$2:$K$10000,MATCH($A177&amp;U$1,JupData!$A$2:$A$10000&amp;JupData!$J$2:$J$10000,0),11))</f>
        <v/>
      </c>
      <c r="V177" t="str">
        <f t="array" ref="V177">IF($A177="","",INDEX(JupData!$A$2:$K$10000,MATCH($A177&amp;V$1,JupData!$A$2:$A$10000&amp;JupData!$J$2:$J$10000,0),11))</f>
        <v/>
      </c>
      <c r="W177" t="str">
        <f t="array" ref="W177">IF($A177="","",INDEX(JupData!$A$2:$K$10000,MATCH($A177&amp;W$1,JupData!$A$2:$A$10000&amp;JupData!$J$2:$J$10000,0),11))</f>
        <v/>
      </c>
      <c r="X177" t="str">
        <f t="array" ref="X177">IF($A177="","",INDEX(JupData!$A$2:$K$10000,MATCH($A177&amp;X$1,JupData!$A$2:$A$10000&amp;JupData!$J$2:$J$10000,0),11))</f>
        <v/>
      </c>
      <c r="Y177" t="str">
        <f t="array" ref="Y177">IF($A177="","",INDEX(JupData!$A$2:$K$10000,MATCH($A177&amp;Y$1,JupData!$A$2:$A$10000&amp;JupData!$J$2:$J$10000,0),11))</f>
        <v/>
      </c>
      <c r="Z177" t="str">
        <f t="array" ref="Z177">IF($A177="","",INDEX(JupData!$A$2:$K$10000,MATCH($A177&amp;Z$1,JupData!$A$2:$A$10000&amp;JupData!$J$2:$J$10000,0),11))</f>
        <v/>
      </c>
      <c r="AA177" t="str">
        <f t="array" ref="AA177">IF($A177="","",INDEX(JupData!$A$2:$K$10000,MATCH($A177&amp;AA$1,JupData!$A$2:$A$10000&amp;JupData!$J$2:$J$10000,0),11))</f>
        <v/>
      </c>
      <c r="AB177" t="str">
        <f t="array" ref="AB177">IF($A177="","",INDEX(JupData!$A$2:$K$10000,MATCH($A177&amp;AB$1,JupData!$A$2:$A$10000&amp;JupData!$J$2:$J$10000,0),11))</f>
        <v/>
      </c>
      <c r="AC177" s="10" t="str">
        <f t="shared" si="22"/>
        <v/>
      </c>
      <c r="AD177" s="10" t="str">
        <f t="shared" si="23"/>
        <v/>
      </c>
      <c r="AE177" s="9" t="str">
        <f t="shared" si="24"/>
        <v/>
      </c>
      <c r="AF177" s="10" t="str">
        <f t="shared" si="25"/>
        <v/>
      </c>
      <c r="AG177" s="10" t="str">
        <f t="shared" si="26"/>
        <v/>
      </c>
      <c r="AH177" s="10" t="str">
        <f t="shared" si="27"/>
        <v/>
      </c>
      <c r="AI177" s="10" t="str">
        <f t="shared" si="28"/>
        <v/>
      </c>
      <c r="AJ177" s="10" t="str">
        <f t="shared" si="29"/>
        <v/>
      </c>
      <c r="AK177" s="10" t="str">
        <f t="shared" si="30"/>
        <v/>
      </c>
      <c r="AL177" s="14" t="str">
        <f t="shared" si="31"/>
        <v/>
      </c>
    </row>
    <row r="178" spans="1:38" x14ac:dyDescent="0.2">
      <c r="A178"/>
      <c r="B178" t="str">
        <f>IF($A178="","",VLOOKUP($A178,JupData!$A$2:$I$10000,4,FALSE))</f>
        <v/>
      </c>
      <c r="C178" s="7" t="str">
        <f>IF($A178="",IF(N(D178),0,""),VLOOKUP($A178,JupData!$A$2:$I$10000,7,FALSE))</f>
        <v/>
      </c>
      <c r="D178" t="str">
        <f t="shared" si="32"/>
        <v/>
      </c>
      <c r="E178" t="str">
        <f t="array" ref="E178">IF($A178="","",INDEX(JupData!$A$2:$K$10000,MATCH($A178&amp;E$1,JupData!$A$2:$A$10000&amp;JupData!$J$2:$J$10000,0),11))</f>
        <v/>
      </c>
      <c r="F178" t="str">
        <f t="array" ref="F178">IF($A178="","",INDEX(JupData!$A$2:$K$10000,MATCH($A178&amp;F$1,JupData!$A$2:$A$10000&amp;JupData!$J$2:$J$10000,0),11))</f>
        <v/>
      </c>
      <c r="G178" t="str">
        <f t="array" ref="G178">IF($A178="","",INDEX(JupData!$A$2:$K$10000,MATCH($A178&amp;G$1,JupData!$A$2:$A$10000&amp;JupData!$J$2:$J$10000,0),11))</f>
        <v/>
      </c>
      <c r="H178" t="str">
        <f t="array" ref="H178">IF($A178="","",INDEX(JupData!$A$2:$K$10000,MATCH($A178&amp;H$1,JupData!$A$2:$A$10000&amp;JupData!$J$2:$J$10000,0),11))</f>
        <v/>
      </c>
      <c r="I178" t="str">
        <f t="array" ref="I178">IF($A178="","",INDEX(JupData!$A$2:$K$10000,MATCH($A178&amp;I$1,JupData!$A$2:$A$10000&amp;JupData!$J$2:$J$10000,0),11))</f>
        <v/>
      </c>
      <c r="J178" t="str">
        <f t="array" ref="J178">IF($A178="","",INDEX(JupData!$A$2:$K$10000,MATCH($A178&amp;J$1,JupData!$A$2:$A$10000&amp;JupData!$J$2:$J$10000,0),11))</f>
        <v/>
      </c>
      <c r="K178" t="str">
        <f t="array" ref="K178">IF($A178="","",INDEX(JupData!$A$2:$K$10000,MATCH($A178&amp;K$1,JupData!$A$2:$A$10000&amp;JupData!$J$2:$J$10000,0),11))</f>
        <v/>
      </c>
      <c r="L178" t="str">
        <f t="array" ref="L178">IF($A178="","",INDEX(JupData!$A$2:$K$10000,MATCH($A178&amp;L$1,JupData!$A$2:$A$10000&amp;JupData!$J$2:$J$10000,0),11))</f>
        <v/>
      </c>
      <c r="M178" t="str">
        <f t="array" ref="M178">IF($A178="","",INDEX(JupData!$A$2:$K$10000,MATCH($A178&amp;M$1,JupData!$A$2:$A$10000&amp;JupData!$J$2:$J$10000,0),11))</f>
        <v/>
      </c>
      <c r="N178" t="str">
        <f t="array" ref="N178">IF($A178="","",INDEX(JupData!$A$2:$K$10000,MATCH($A178&amp;N$1,JupData!$A$2:$A$10000&amp;JupData!$J$2:$J$10000,0),11))</f>
        <v/>
      </c>
      <c r="O178" t="str">
        <f t="array" ref="O178">IF($A178="","",INDEX(JupData!$A$2:$K$10000,MATCH($A178&amp;O$1,JupData!$A$2:$A$10000&amp;JupData!$J$2:$J$10000,0),11))</f>
        <v/>
      </c>
      <c r="P178" t="str">
        <f t="array" ref="P178">IF($A178="","",INDEX(JupData!$A$2:$K$10000,MATCH($A178&amp;P$1,JupData!$A$2:$A$10000&amp;JupData!$J$2:$J$10000,0),11))</f>
        <v/>
      </c>
      <c r="Q178" t="str">
        <f t="array" ref="Q178">IF($A178="","",INDEX(JupData!$A$2:$K$10000,MATCH($A178&amp;Q$1,JupData!$A$2:$A$10000&amp;JupData!$J$2:$J$10000,0),11))</f>
        <v/>
      </c>
      <c r="R178" t="str">
        <f t="array" ref="R178">IF($A178="","",INDEX(JupData!$A$2:$K$10000,MATCH($A178&amp;R$1,JupData!$A$2:$A$10000&amp;JupData!$J$2:$J$10000,0),11))</f>
        <v/>
      </c>
      <c r="S178" t="str">
        <f t="array" ref="S178">IF($A178="","",INDEX(JupData!$A$2:$K$10000,MATCH($A178&amp;S$1,JupData!$A$2:$A$10000&amp;JupData!$J$2:$J$10000,0),11))</f>
        <v/>
      </c>
      <c r="T178" t="str">
        <f t="array" ref="T178">IF($A178="","",INDEX(JupData!$A$2:$K$10000,MATCH($A178&amp;T$1,JupData!$A$2:$A$10000&amp;JupData!$J$2:$J$10000,0),11))</f>
        <v/>
      </c>
      <c r="U178" t="str">
        <f t="array" ref="U178">IF($A178="","",INDEX(JupData!$A$2:$K$10000,MATCH($A178&amp;U$1,JupData!$A$2:$A$10000&amp;JupData!$J$2:$J$10000,0),11))</f>
        <v/>
      </c>
      <c r="V178" t="str">
        <f t="array" ref="V178">IF($A178="","",INDEX(JupData!$A$2:$K$10000,MATCH($A178&amp;V$1,JupData!$A$2:$A$10000&amp;JupData!$J$2:$J$10000,0),11))</f>
        <v/>
      </c>
      <c r="W178" t="str">
        <f t="array" ref="W178">IF($A178="","",INDEX(JupData!$A$2:$K$10000,MATCH($A178&amp;W$1,JupData!$A$2:$A$10000&amp;JupData!$J$2:$J$10000,0),11))</f>
        <v/>
      </c>
      <c r="X178" t="str">
        <f t="array" ref="X178">IF($A178="","",INDEX(JupData!$A$2:$K$10000,MATCH($A178&amp;X$1,JupData!$A$2:$A$10000&amp;JupData!$J$2:$J$10000,0),11))</f>
        <v/>
      </c>
      <c r="Y178" t="str">
        <f t="array" ref="Y178">IF($A178="","",INDEX(JupData!$A$2:$K$10000,MATCH($A178&amp;Y$1,JupData!$A$2:$A$10000&amp;JupData!$J$2:$J$10000,0),11))</f>
        <v/>
      </c>
      <c r="Z178" t="str">
        <f t="array" ref="Z178">IF($A178="","",INDEX(JupData!$A$2:$K$10000,MATCH($A178&amp;Z$1,JupData!$A$2:$A$10000&amp;JupData!$J$2:$J$10000,0),11))</f>
        <v/>
      </c>
      <c r="AA178" t="str">
        <f t="array" ref="AA178">IF($A178="","",INDEX(JupData!$A$2:$K$10000,MATCH($A178&amp;AA$1,JupData!$A$2:$A$10000&amp;JupData!$J$2:$J$10000,0),11))</f>
        <v/>
      </c>
      <c r="AB178" t="str">
        <f t="array" ref="AB178">IF($A178="","",INDEX(JupData!$A$2:$K$10000,MATCH($A178&amp;AB$1,JupData!$A$2:$A$10000&amp;JupData!$J$2:$J$10000,0),11))</f>
        <v/>
      </c>
      <c r="AC178" s="10" t="str">
        <f t="shared" si="22"/>
        <v/>
      </c>
      <c r="AD178" s="10" t="str">
        <f t="shared" si="23"/>
        <v/>
      </c>
      <c r="AE178" s="9" t="str">
        <f t="shared" si="24"/>
        <v/>
      </c>
      <c r="AF178" s="10" t="str">
        <f t="shared" si="25"/>
        <v/>
      </c>
      <c r="AG178" s="10" t="str">
        <f t="shared" si="26"/>
        <v/>
      </c>
      <c r="AH178" s="10" t="str">
        <f t="shared" si="27"/>
        <v/>
      </c>
      <c r="AI178" s="10" t="str">
        <f t="shared" si="28"/>
        <v/>
      </c>
      <c r="AJ178" s="10" t="str">
        <f t="shared" si="29"/>
        <v/>
      </c>
      <c r="AK178" s="10" t="str">
        <f t="shared" si="30"/>
        <v/>
      </c>
      <c r="AL178" s="14" t="str">
        <f t="shared" si="31"/>
        <v/>
      </c>
    </row>
    <row r="179" spans="1:38" x14ac:dyDescent="0.2">
      <c r="A179"/>
      <c r="B179" t="str">
        <f>IF($A179="","",VLOOKUP($A179,JupData!$A$2:$I$10000,4,FALSE))</f>
        <v/>
      </c>
      <c r="C179" s="7" t="str">
        <f>IF($A179="",IF(N(D179),0,""),VLOOKUP($A179,JupData!$A$2:$I$10000,7,FALSE))</f>
        <v/>
      </c>
      <c r="D179" t="str">
        <f t="shared" si="32"/>
        <v/>
      </c>
      <c r="E179" t="str">
        <f t="array" ref="E179">IF($A179="","",INDEX(JupData!$A$2:$K$10000,MATCH($A179&amp;E$1,JupData!$A$2:$A$10000&amp;JupData!$J$2:$J$10000,0),11))</f>
        <v/>
      </c>
      <c r="F179" t="str">
        <f t="array" ref="F179">IF($A179="","",INDEX(JupData!$A$2:$K$10000,MATCH($A179&amp;F$1,JupData!$A$2:$A$10000&amp;JupData!$J$2:$J$10000,0),11))</f>
        <v/>
      </c>
      <c r="G179" t="str">
        <f t="array" ref="G179">IF($A179="","",INDEX(JupData!$A$2:$K$10000,MATCH($A179&amp;G$1,JupData!$A$2:$A$10000&amp;JupData!$J$2:$J$10000,0),11))</f>
        <v/>
      </c>
      <c r="H179" t="str">
        <f t="array" ref="H179">IF($A179="","",INDEX(JupData!$A$2:$K$10000,MATCH($A179&amp;H$1,JupData!$A$2:$A$10000&amp;JupData!$J$2:$J$10000,0),11))</f>
        <v/>
      </c>
      <c r="I179" t="str">
        <f t="array" ref="I179">IF($A179="","",INDEX(JupData!$A$2:$K$10000,MATCH($A179&amp;I$1,JupData!$A$2:$A$10000&amp;JupData!$J$2:$J$10000,0),11))</f>
        <v/>
      </c>
      <c r="J179" t="str">
        <f t="array" ref="J179">IF($A179="","",INDEX(JupData!$A$2:$K$10000,MATCH($A179&amp;J$1,JupData!$A$2:$A$10000&amp;JupData!$J$2:$J$10000,0),11))</f>
        <v/>
      </c>
      <c r="K179" t="str">
        <f t="array" ref="K179">IF($A179="","",INDEX(JupData!$A$2:$K$10000,MATCH($A179&amp;K$1,JupData!$A$2:$A$10000&amp;JupData!$J$2:$J$10000,0),11))</f>
        <v/>
      </c>
      <c r="L179" t="str">
        <f t="array" ref="L179">IF($A179="","",INDEX(JupData!$A$2:$K$10000,MATCH($A179&amp;L$1,JupData!$A$2:$A$10000&amp;JupData!$J$2:$J$10000,0),11))</f>
        <v/>
      </c>
      <c r="M179" t="str">
        <f t="array" ref="M179">IF($A179="","",INDEX(JupData!$A$2:$K$10000,MATCH($A179&amp;M$1,JupData!$A$2:$A$10000&amp;JupData!$J$2:$J$10000,0),11))</f>
        <v/>
      </c>
      <c r="N179" t="str">
        <f t="array" ref="N179">IF($A179="","",INDEX(JupData!$A$2:$K$10000,MATCH($A179&amp;N$1,JupData!$A$2:$A$10000&amp;JupData!$J$2:$J$10000,0),11))</f>
        <v/>
      </c>
      <c r="O179" t="str">
        <f t="array" ref="O179">IF($A179="","",INDEX(JupData!$A$2:$K$10000,MATCH($A179&amp;O$1,JupData!$A$2:$A$10000&amp;JupData!$J$2:$J$10000,0),11))</f>
        <v/>
      </c>
      <c r="P179" t="str">
        <f t="array" ref="P179">IF($A179="","",INDEX(JupData!$A$2:$K$10000,MATCH($A179&amp;P$1,JupData!$A$2:$A$10000&amp;JupData!$J$2:$J$10000,0),11))</f>
        <v/>
      </c>
      <c r="Q179" t="str">
        <f t="array" ref="Q179">IF($A179="","",INDEX(JupData!$A$2:$K$10000,MATCH($A179&amp;Q$1,JupData!$A$2:$A$10000&amp;JupData!$J$2:$J$10000,0),11))</f>
        <v/>
      </c>
      <c r="R179" t="str">
        <f t="array" ref="R179">IF($A179="","",INDEX(JupData!$A$2:$K$10000,MATCH($A179&amp;R$1,JupData!$A$2:$A$10000&amp;JupData!$J$2:$J$10000,0),11))</f>
        <v/>
      </c>
      <c r="S179" t="str">
        <f t="array" ref="S179">IF($A179="","",INDEX(JupData!$A$2:$K$10000,MATCH($A179&amp;S$1,JupData!$A$2:$A$10000&amp;JupData!$J$2:$J$10000,0),11))</f>
        <v/>
      </c>
      <c r="T179" t="str">
        <f t="array" ref="T179">IF($A179="","",INDEX(JupData!$A$2:$K$10000,MATCH($A179&amp;T$1,JupData!$A$2:$A$10000&amp;JupData!$J$2:$J$10000,0),11))</f>
        <v/>
      </c>
      <c r="U179" t="str">
        <f t="array" ref="U179">IF($A179="","",INDEX(JupData!$A$2:$K$10000,MATCH($A179&amp;U$1,JupData!$A$2:$A$10000&amp;JupData!$J$2:$J$10000,0),11))</f>
        <v/>
      </c>
      <c r="V179" t="str">
        <f t="array" ref="V179">IF($A179="","",INDEX(JupData!$A$2:$K$10000,MATCH($A179&amp;V$1,JupData!$A$2:$A$10000&amp;JupData!$J$2:$J$10000,0),11))</f>
        <v/>
      </c>
      <c r="W179" t="str">
        <f t="array" ref="W179">IF($A179="","",INDEX(JupData!$A$2:$K$10000,MATCH($A179&amp;W$1,JupData!$A$2:$A$10000&amp;JupData!$J$2:$J$10000,0),11))</f>
        <v/>
      </c>
      <c r="X179" t="str">
        <f t="array" ref="X179">IF($A179="","",INDEX(JupData!$A$2:$K$10000,MATCH($A179&amp;X$1,JupData!$A$2:$A$10000&amp;JupData!$J$2:$J$10000,0),11))</f>
        <v/>
      </c>
      <c r="Y179" t="str">
        <f t="array" ref="Y179">IF($A179="","",INDEX(JupData!$A$2:$K$10000,MATCH($A179&amp;Y$1,JupData!$A$2:$A$10000&amp;JupData!$J$2:$J$10000,0),11))</f>
        <v/>
      </c>
      <c r="Z179" t="str">
        <f t="array" ref="Z179">IF($A179="","",INDEX(JupData!$A$2:$K$10000,MATCH($A179&amp;Z$1,JupData!$A$2:$A$10000&amp;JupData!$J$2:$J$10000,0),11))</f>
        <v/>
      </c>
      <c r="AA179" t="str">
        <f t="array" ref="AA179">IF($A179="","",INDEX(JupData!$A$2:$K$10000,MATCH($A179&amp;AA$1,JupData!$A$2:$A$10000&amp;JupData!$J$2:$J$10000,0),11))</f>
        <v/>
      </c>
      <c r="AB179" t="str">
        <f t="array" ref="AB179">IF($A179="","",INDEX(JupData!$A$2:$K$10000,MATCH($A179&amp;AB$1,JupData!$A$2:$A$10000&amp;JupData!$J$2:$J$10000,0),11))</f>
        <v/>
      </c>
      <c r="AC179" s="10" t="str">
        <f t="shared" si="22"/>
        <v/>
      </c>
      <c r="AD179" s="10" t="str">
        <f t="shared" si="23"/>
        <v/>
      </c>
      <c r="AE179" s="9" t="str">
        <f t="shared" si="24"/>
        <v/>
      </c>
      <c r="AF179" s="10" t="str">
        <f t="shared" si="25"/>
        <v/>
      </c>
      <c r="AG179" s="10" t="str">
        <f t="shared" si="26"/>
        <v/>
      </c>
      <c r="AH179" s="10" t="str">
        <f t="shared" si="27"/>
        <v/>
      </c>
      <c r="AI179" s="10" t="str">
        <f t="shared" si="28"/>
        <v/>
      </c>
      <c r="AJ179" s="10" t="str">
        <f t="shared" si="29"/>
        <v/>
      </c>
      <c r="AK179" s="10" t="str">
        <f t="shared" si="30"/>
        <v/>
      </c>
      <c r="AL179" s="14" t="str">
        <f t="shared" si="31"/>
        <v/>
      </c>
    </row>
    <row r="180" spans="1:38" x14ac:dyDescent="0.2">
      <c r="A180"/>
      <c r="B180" t="str">
        <f>IF($A180="","",VLOOKUP($A180,JupData!$A$2:$I$10000,4,FALSE))</f>
        <v/>
      </c>
      <c r="C180" s="7" t="str">
        <f>IF($A180="",IF(N(D180),0,""),VLOOKUP($A180,JupData!$A$2:$I$10000,7,FALSE))</f>
        <v/>
      </c>
      <c r="D180" t="str">
        <f t="shared" si="32"/>
        <v/>
      </c>
      <c r="E180" t="str">
        <f t="array" ref="E180">IF($A180="","",INDEX(JupData!$A$2:$K$10000,MATCH($A180&amp;E$1,JupData!$A$2:$A$10000&amp;JupData!$J$2:$J$10000,0),11))</f>
        <v/>
      </c>
      <c r="F180" t="str">
        <f t="array" ref="F180">IF($A180="","",INDEX(JupData!$A$2:$K$10000,MATCH($A180&amp;F$1,JupData!$A$2:$A$10000&amp;JupData!$J$2:$J$10000,0),11))</f>
        <v/>
      </c>
      <c r="G180" t="str">
        <f t="array" ref="G180">IF($A180="","",INDEX(JupData!$A$2:$K$10000,MATCH($A180&amp;G$1,JupData!$A$2:$A$10000&amp;JupData!$J$2:$J$10000,0),11))</f>
        <v/>
      </c>
      <c r="H180" t="str">
        <f t="array" ref="H180">IF($A180="","",INDEX(JupData!$A$2:$K$10000,MATCH($A180&amp;H$1,JupData!$A$2:$A$10000&amp;JupData!$J$2:$J$10000,0),11))</f>
        <v/>
      </c>
      <c r="I180" t="str">
        <f t="array" ref="I180">IF($A180="","",INDEX(JupData!$A$2:$K$10000,MATCH($A180&amp;I$1,JupData!$A$2:$A$10000&amp;JupData!$J$2:$J$10000,0),11))</f>
        <v/>
      </c>
      <c r="J180" t="str">
        <f t="array" ref="J180">IF($A180="","",INDEX(JupData!$A$2:$K$10000,MATCH($A180&amp;J$1,JupData!$A$2:$A$10000&amp;JupData!$J$2:$J$10000,0),11))</f>
        <v/>
      </c>
      <c r="K180" t="str">
        <f t="array" ref="K180">IF($A180="","",INDEX(JupData!$A$2:$K$10000,MATCH($A180&amp;K$1,JupData!$A$2:$A$10000&amp;JupData!$J$2:$J$10000,0),11))</f>
        <v/>
      </c>
      <c r="L180" t="str">
        <f t="array" ref="L180">IF($A180="","",INDEX(JupData!$A$2:$K$10000,MATCH($A180&amp;L$1,JupData!$A$2:$A$10000&amp;JupData!$J$2:$J$10000,0),11))</f>
        <v/>
      </c>
      <c r="M180" t="str">
        <f t="array" ref="M180">IF($A180="","",INDEX(JupData!$A$2:$K$10000,MATCH($A180&amp;M$1,JupData!$A$2:$A$10000&amp;JupData!$J$2:$J$10000,0),11))</f>
        <v/>
      </c>
      <c r="N180" t="str">
        <f t="array" ref="N180">IF($A180="","",INDEX(JupData!$A$2:$K$10000,MATCH($A180&amp;N$1,JupData!$A$2:$A$10000&amp;JupData!$J$2:$J$10000,0),11))</f>
        <v/>
      </c>
      <c r="O180" t="str">
        <f t="array" ref="O180">IF($A180="","",INDEX(JupData!$A$2:$K$10000,MATCH($A180&amp;O$1,JupData!$A$2:$A$10000&amp;JupData!$J$2:$J$10000,0),11))</f>
        <v/>
      </c>
      <c r="P180" t="str">
        <f t="array" ref="P180">IF($A180="","",INDEX(JupData!$A$2:$K$10000,MATCH($A180&amp;P$1,JupData!$A$2:$A$10000&amp;JupData!$J$2:$J$10000,0),11))</f>
        <v/>
      </c>
      <c r="Q180" t="str">
        <f t="array" ref="Q180">IF($A180="","",INDEX(JupData!$A$2:$K$10000,MATCH($A180&amp;Q$1,JupData!$A$2:$A$10000&amp;JupData!$J$2:$J$10000,0),11))</f>
        <v/>
      </c>
      <c r="R180" t="str">
        <f t="array" ref="R180">IF($A180="","",INDEX(JupData!$A$2:$K$10000,MATCH($A180&amp;R$1,JupData!$A$2:$A$10000&amp;JupData!$J$2:$J$10000,0),11))</f>
        <v/>
      </c>
      <c r="S180" t="str">
        <f t="array" ref="S180">IF($A180="","",INDEX(JupData!$A$2:$K$10000,MATCH($A180&amp;S$1,JupData!$A$2:$A$10000&amp;JupData!$J$2:$J$10000,0),11))</f>
        <v/>
      </c>
      <c r="T180" t="str">
        <f t="array" ref="T180">IF($A180="","",INDEX(JupData!$A$2:$K$10000,MATCH($A180&amp;T$1,JupData!$A$2:$A$10000&amp;JupData!$J$2:$J$10000,0),11))</f>
        <v/>
      </c>
      <c r="U180" t="str">
        <f t="array" ref="U180">IF($A180="","",INDEX(JupData!$A$2:$K$10000,MATCH($A180&amp;U$1,JupData!$A$2:$A$10000&amp;JupData!$J$2:$J$10000,0),11))</f>
        <v/>
      </c>
      <c r="V180" t="str">
        <f t="array" ref="V180">IF($A180="","",INDEX(JupData!$A$2:$K$10000,MATCH($A180&amp;V$1,JupData!$A$2:$A$10000&amp;JupData!$J$2:$J$10000,0),11))</f>
        <v/>
      </c>
      <c r="W180" t="str">
        <f t="array" ref="W180">IF($A180="","",INDEX(JupData!$A$2:$K$10000,MATCH($A180&amp;W$1,JupData!$A$2:$A$10000&amp;JupData!$J$2:$J$10000,0),11))</f>
        <v/>
      </c>
      <c r="X180" t="str">
        <f t="array" ref="X180">IF($A180="","",INDEX(JupData!$A$2:$K$10000,MATCH($A180&amp;X$1,JupData!$A$2:$A$10000&amp;JupData!$J$2:$J$10000,0),11))</f>
        <v/>
      </c>
      <c r="Y180" t="str">
        <f t="array" ref="Y180">IF($A180="","",INDEX(JupData!$A$2:$K$10000,MATCH($A180&amp;Y$1,JupData!$A$2:$A$10000&amp;JupData!$J$2:$J$10000,0),11))</f>
        <v/>
      </c>
      <c r="Z180" t="str">
        <f t="array" ref="Z180">IF($A180="","",INDEX(JupData!$A$2:$K$10000,MATCH($A180&amp;Z$1,JupData!$A$2:$A$10000&amp;JupData!$J$2:$J$10000,0),11))</f>
        <v/>
      </c>
      <c r="AA180" t="str">
        <f t="array" ref="AA180">IF($A180="","",INDEX(JupData!$A$2:$K$10000,MATCH($A180&amp;AA$1,JupData!$A$2:$A$10000&amp;JupData!$J$2:$J$10000,0),11))</f>
        <v/>
      </c>
      <c r="AB180" t="str">
        <f t="array" ref="AB180">IF($A180="","",INDEX(JupData!$A$2:$K$10000,MATCH($A180&amp;AB$1,JupData!$A$2:$A$10000&amp;JupData!$J$2:$J$10000,0),11))</f>
        <v/>
      </c>
      <c r="AC180" s="10" t="str">
        <f t="shared" si="22"/>
        <v/>
      </c>
      <c r="AD180" s="10" t="str">
        <f t="shared" si="23"/>
        <v/>
      </c>
      <c r="AE180" s="9" t="str">
        <f t="shared" si="24"/>
        <v/>
      </c>
      <c r="AF180" s="10" t="str">
        <f t="shared" si="25"/>
        <v/>
      </c>
      <c r="AG180" s="10" t="str">
        <f t="shared" si="26"/>
        <v/>
      </c>
      <c r="AH180" s="10" t="str">
        <f t="shared" si="27"/>
        <v/>
      </c>
      <c r="AI180" s="10" t="str">
        <f t="shared" si="28"/>
        <v/>
      </c>
      <c r="AJ180" s="10" t="str">
        <f t="shared" si="29"/>
        <v/>
      </c>
      <c r="AK180" s="10" t="str">
        <f t="shared" si="30"/>
        <v/>
      </c>
      <c r="AL180" s="14" t="str">
        <f t="shared" si="31"/>
        <v/>
      </c>
    </row>
    <row r="181" spans="1:38" x14ac:dyDescent="0.2">
      <c r="A181"/>
      <c r="B181" t="str">
        <f>IF($A181="","",VLOOKUP($A181,JupData!$A$2:$I$10000,4,FALSE))</f>
        <v/>
      </c>
      <c r="C181" s="7" t="str">
        <f>IF($A181="",IF(N(D181),0,""),VLOOKUP($A181,JupData!$A$2:$I$10000,7,FALSE))</f>
        <v/>
      </c>
      <c r="D181" t="str">
        <f t="shared" si="32"/>
        <v/>
      </c>
      <c r="E181" t="str">
        <f t="array" ref="E181">IF($A181="","",INDEX(JupData!$A$2:$K$10000,MATCH($A181&amp;E$1,JupData!$A$2:$A$10000&amp;JupData!$J$2:$J$10000,0),11))</f>
        <v/>
      </c>
      <c r="F181" t="str">
        <f t="array" ref="F181">IF($A181="","",INDEX(JupData!$A$2:$K$10000,MATCH($A181&amp;F$1,JupData!$A$2:$A$10000&amp;JupData!$J$2:$J$10000,0),11))</f>
        <v/>
      </c>
      <c r="G181" t="str">
        <f t="array" ref="G181">IF($A181="","",INDEX(JupData!$A$2:$K$10000,MATCH($A181&amp;G$1,JupData!$A$2:$A$10000&amp;JupData!$J$2:$J$10000,0),11))</f>
        <v/>
      </c>
      <c r="H181" t="str">
        <f t="array" ref="H181">IF($A181="","",INDEX(JupData!$A$2:$K$10000,MATCH($A181&amp;H$1,JupData!$A$2:$A$10000&amp;JupData!$J$2:$J$10000,0),11))</f>
        <v/>
      </c>
      <c r="I181" t="str">
        <f t="array" ref="I181">IF($A181="","",INDEX(JupData!$A$2:$K$10000,MATCH($A181&amp;I$1,JupData!$A$2:$A$10000&amp;JupData!$J$2:$J$10000,0),11))</f>
        <v/>
      </c>
      <c r="J181" t="str">
        <f t="array" ref="J181">IF($A181="","",INDEX(JupData!$A$2:$K$10000,MATCH($A181&amp;J$1,JupData!$A$2:$A$10000&amp;JupData!$J$2:$J$10000,0),11))</f>
        <v/>
      </c>
      <c r="K181" t="str">
        <f t="array" ref="K181">IF($A181="","",INDEX(JupData!$A$2:$K$10000,MATCH($A181&amp;K$1,JupData!$A$2:$A$10000&amp;JupData!$J$2:$J$10000,0),11))</f>
        <v/>
      </c>
      <c r="L181" t="str">
        <f t="array" ref="L181">IF($A181="","",INDEX(JupData!$A$2:$K$10000,MATCH($A181&amp;L$1,JupData!$A$2:$A$10000&amp;JupData!$J$2:$J$10000,0),11))</f>
        <v/>
      </c>
      <c r="M181" t="str">
        <f t="array" ref="M181">IF($A181="","",INDEX(JupData!$A$2:$K$10000,MATCH($A181&amp;M$1,JupData!$A$2:$A$10000&amp;JupData!$J$2:$J$10000,0),11))</f>
        <v/>
      </c>
      <c r="N181" t="str">
        <f t="array" ref="N181">IF($A181="","",INDEX(JupData!$A$2:$K$10000,MATCH($A181&amp;N$1,JupData!$A$2:$A$10000&amp;JupData!$J$2:$J$10000,0),11))</f>
        <v/>
      </c>
      <c r="O181" t="str">
        <f t="array" ref="O181">IF($A181="","",INDEX(JupData!$A$2:$K$10000,MATCH($A181&amp;O$1,JupData!$A$2:$A$10000&amp;JupData!$J$2:$J$10000,0),11))</f>
        <v/>
      </c>
      <c r="P181" t="str">
        <f t="array" ref="P181">IF($A181="","",INDEX(JupData!$A$2:$K$10000,MATCH($A181&amp;P$1,JupData!$A$2:$A$10000&amp;JupData!$J$2:$J$10000,0),11))</f>
        <v/>
      </c>
      <c r="Q181" t="str">
        <f t="array" ref="Q181">IF($A181="","",INDEX(JupData!$A$2:$K$10000,MATCH($A181&amp;Q$1,JupData!$A$2:$A$10000&amp;JupData!$J$2:$J$10000,0),11))</f>
        <v/>
      </c>
      <c r="R181" t="str">
        <f t="array" ref="R181">IF($A181="","",INDEX(JupData!$A$2:$K$10000,MATCH($A181&amp;R$1,JupData!$A$2:$A$10000&amp;JupData!$J$2:$J$10000,0),11))</f>
        <v/>
      </c>
      <c r="S181" t="str">
        <f t="array" ref="S181">IF($A181="","",INDEX(JupData!$A$2:$K$10000,MATCH($A181&amp;S$1,JupData!$A$2:$A$10000&amp;JupData!$J$2:$J$10000,0),11))</f>
        <v/>
      </c>
      <c r="T181" t="str">
        <f t="array" ref="T181">IF($A181="","",INDEX(JupData!$A$2:$K$10000,MATCH($A181&amp;T$1,JupData!$A$2:$A$10000&amp;JupData!$J$2:$J$10000,0),11))</f>
        <v/>
      </c>
      <c r="U181" t="str">
        <f t="array" ref="U181">IF($A181="","",INDEX(JupData!$A$2:$K$10000,MATCH($A181&amp;U$1,JupData!$A$2:$A$10000&amp;JupData!$J$2:$J$10000,0),11))</f>
        <v/>
      </c>
      <c r="V181" t="str">
        <f t="array" ref="V181">IF($A181="","",INDEX(JupData!$A$2:$K$10000,MATCH($A181&amp;V$1,JupData!$A$2:$A$10000&amp;JupData!$J$2:$J$10000,0),11))</f>
        <v/>
      </c>
      <c r="W181" t="str">
        <f t="array" ref="W181">IF($A181="","",INDEX(JupData!$A$2:$K$10000,MATCH($A181&amp;W$1,JupData!$A$2:$A$10000&amp;JupData!$J$2:$J$10000,0),11))</f>
        <v/>
      </c>
      <c r="X181" t="str">
        <f t="array" ref="X181">IF($A181="","",INDEX(JupData!$A$2:$K$10000,MATCH($A181&amp;X$1,JupData!$A$2:$A$10000&amp;JupData!$J$2:$J$10000,0),11))</f>
        <v/>
      </c>
      <c r="Y181" t="str">
        <f t="array" ref="Y181">IF($A181="","",INDEX(JupData!$A$2:$K$10000,MATCH($A181&amp;Y$1,JupData!$A$2:$A$10000&amp;JupData!$J$2:$J$10000,0),11))</f>
        <v/>
      </c>
      <c r="Z181" t="str">
        <f t="array" ref="Z181">IF($A181="","",INDEX(JupData!$A$2:$K$10000,MATCH($A181&amp;Z$1,JupData!$A$2:$A$10000&amp;JupData!$J$2:$J$10000,0),11))</f>
        <v/>
      </c>
      <c r="AA181" t="str">
        <f t="array" ref="AA181">IF($A181="","",INDEX(JupData!$A$2:$K$10000,MATCH($A181&amp;AA$1,JupData!$A$2:$A$10000&amp;JupData!$J$2:$J$10000,0),11))</f>
        <v/>
      </c>
      <c r="AB181" t="str">
        <f t="array" ref="AB181">IF($A181="","",INDEX(JupData!$A$2:$K$10000,MATCH($A181&amp;AB$1,JupData!$A$2:$A$10000&amp;JupData!$J$2:$J$10000,0),11))</f>
        <v/>
      </c>
      <c r="AC181" s="10" t="str">
        <f t="shared" si="22"/>
        <v/>
      </c>
      <c r="AD181" s="10" t="str">
        <f t="shared" si="23"/>
        <v/>
      </c>
      <c r="AE181" s="9" t="str">
        <f t="shared" si="24"/>
        <v/>
      </c>
      <c r="AF181" s="10" t="str">
        <f t="shared" si="25"/>
        <v/>
      </c>
      <c r="AG181" s="10" t="str">
        <f t="shared" si="26"/>
        <v/>
      </c>
      <c r="AH181" s="10" t="str">
        <f t="shared" si="27"/>
        <v/>
      </c>
      <c r="AI181" s="10" t="str">
        <f t="shared" si="28"/>
        <v/>
      </c>
      <c r="AJ181" s="10" t="str">
        <f t="shared" si="29"/>
        <v/>
      </c>
      <c r="AK181" s="10" t="str">
        <f t="shared" si="30"/>
        <v/>
      </c>
      <c r="AL181" s="14" t="str">
        <f t="shared" si="31"/>
        <v/>
      </c>
    </row>
    <row r="182" spans="1:38" x14ac:dyDescent="0.2">
      <c r="A182"/>
      <c r="B182" t="str">
        <f>IF($A182="","",VLOOKUP($A182,JupData!$A$2:$I$10000,4,FALSE))</f>
        <v/>
      </c>
      <c r="C182" s="7" t="str">
        <f>IF($A182="",IF(N(D182),0,""),VLOOKUP($A182,JupData!$A$2:$I$10000,7,FALSE))</f>
        <v/>
      </c>
      <c r="D182" t="str">
        <f t="shared" si="32"/>
        <v/>
      </c>
      <c r="E182" t="str">
        <f t="array" ref="E182">IF($A182="","",INDEX(JupData!$A$2:$K$10000,MATCH($A182&amp;E$1,JupData!$A$2:$A$10000&amp;JupData!$J$2:$J$10000,0),11))</f>
        <v/>
      </c>
      <c r="F182" t="str">
        <f t="array" ref="F182">IF($A182="","",INDEX(JupData!$A$2:$K$10000,MATCH($A182&amp;F$1,JupData!$A$2:$A$10000&amp;JupData!$J$2:$J$10000,0),11))</f>
        <v/>
      </c>
      <c r="G182" t="str">
        <f t="array" ref="G182">IF($A182="","",INDEX(JupData!$A$2:$K$10000,MATCH($A182&amp;G$1,JupData!$A$2:$A$10000&amp;JupData!$J$2:$J$10000,0),11))</f>
        <v/>
      </c>
      <c r="H182" t="str">
        <f t="array" ref="H182">IF($A182="","",INDEX(JupData!$A$2:$K$10000,MATCH($A182&amp;H$1,JupData!$A$2:$A$10000&amp;JupData!$J$2:$J$10000,0),11))</f>
        <v/>
      </c>
      <c r="I182" t="str">
        <f t="array" ref="I182">IF($A182="","",INDEX(JupData!$A$2:$K$10000,MATCH($A182&amp;I$1,JupData!$A$2:$A$10000&amp;JupData!$J$2:$J$10000,0),11))</f>
        <v/>
      </c>
      <c r="J182" t="str">
        <f t="array" ref="J182">IF($A182="","",INDEX(JupData!$A$2:$K$10000,MATCH($A182&amp;J$1,JupData!$A$2:$A$10000&amp;JupData!$J$2:$J$10000,0),11))</f>
        <v/>
      </c>
      <c r="K182" t="str">
        <f t="array" ref="K182">IF($A182="","",INDEX(JupData!$A$2:$K$10000,MATCH($A182&amp;K$1,JupData!$A$2:$A$10000&amp;JupData!$J$2:$J$10000,0),11))</f>
        <v/>
      </c>
      <c r="L182" t="str">
        <f t="array" ref="L182">IF($A182="","",INDEX(JupData!$A$2:$K$10000,MATCH($A182&amp;L$1,JupData!$A$2:$A$10000&amp;JupData!$J$2:$J$10000,0),11))</f>
        <v/>
      </c>
      <c r="M182" t="str">
        <f t="array" ref="M182">IF($A182="","",INDEX(JupData!$A$2:$K$10000,MATCH($A182&amp;M$1,JupData!$A$2:$A$10000&amp;JupData!$J$2:$J$10000,0),11))</f>
        <v/>
      </c>
      <c r="N182" t="str">
        <f t="array" ref="N182">IF($A182="","",INDEX(JupData!$A$2:$K$10000,MATCH($A182&amp;N$1,JupData!$A$2:$A$10000&amp;JupData!$J$2:$J$10000,0),11))</f>
        <v/>
      </c>
      <c r="O182" t="str">
        <f t="array" ref="O182">IF($A182="","",INDEX(JupData!$A$2:$K$10000,MATCH($A182&amp;O$1,JupData!$A$2:$A$10000&amp;JupData!$J$2:$J$10000,0),11))</f>
        <v/>
      </c>
      <c r="P182" t="str">
        <f t="array" ref="P182">IF($A182="","",INDEX(JupData!$A$2:$K$10000,MATCH($A182&amp;P$1,JupData!$A$2:$A$10000&amp;JupData!$J$2:$J$10000,0),11))</f>
        <v/>
      </c>
      <c r="Q182" t="str">
        <f t="array" ref="Q182">IF($A182="","",INDEX(JupData!$A$2:$K$10000,MATCH($A182&amp;Q$1,JupData!$A$2:$A$10000&amp;JupData!$J$2:$J$10000,0),11))</f>
        <v/>
      </c>
      <c r="R182" t="str">
        <f t="array" ref="R182">IF($A182="","",INDEX(JupData!$A$2:$K$10000,MATCH($A182&amp;R$1,JupData!$A$2:$A$10000&amp;JupData!$J$2:$J$10000,0),11))</f>
        <v/>
      </c>
      <c r="S182" t="str">
        <f t="array" ref="S182">IF($A182="","",INDEX(JupData!$A$2:$K$10000,MATCH($A182&amp;S$1,JupData!$A$2:$A$10000&amp;JupData!$J$2:$J$10000,0),11))</f>
        <v/>
      </c>
      <c r="T182" t="str">
        <f t="array" ref="T182">IF($A182="","",INDEX(JupData!$A$2:$K$10000,MATCH($A182&amp;T$1,JupData!$A$2:$A$10000&amp;JupData!$J$2:$J$10000,0),11))</f>
        <v/>
      </c>
      <c r="U182" t="str">
        <f t="array" ref="U182">IF($A182="","",INDEX(JupData!$A$2:$K$10000,MATCH($A182&amp;U$1,JupData!$A$2:$A$10000&amp;JupData!$J$2:$J$10000,0),11))</f>
        <v/>
      </c>
      <c r="V182" t="str">
        <f t="array" ref="V182">IF($A182="","",INDEX(JupData!$A$2:$K$10000,MATCH($A182&amp;V$1,JupData!$A$2:$A$10000&amp;JupData!$J$2:$J$10000,0),11))</f>
        <v/>
      </c>
      <c r="W182" t="str">
        <f t="array" ref="W182">IF($A182="","",INDEX(JupData!$A$2:$K$10000,MATCH($A182&amp;W$1,JupData!$A$2:$A$10000&amp;JupData!$J$2:$J$10000,0),11))</f>
        <v/>
      </c>
      <c r="X182" t="str">
        <f t="array" ref="X182">IF($A182="","",INDEX(JupData!$A$2:$K$10000,MATCH($A182&amp;X$1,JupData!$A$2:$A$10000&amp;JupData!$J$2:$J$10000,0),11))</f>
        <v/>
      </c>
      <c r="Y182" t="str">
        <f t="array" ref="Y182">IF($A182="","",INDEX(JupData!$A$2:$K$10000,MATCH($A182&amp;Y$1,JupData!$A$2:$A$10000&amp;JupData!$J$2:$J$10000,0),11))</f>
        <v/>
      </c>
      <c r="Z182" t="str">
        <f t="array" ref="Z182">IF($A182="","",INDEX(JupData!$A$2:$K$10000,MATCH($A182&amp;Z$1,JupData!$A$2:$A$10000&amp;JupData!$J$2:$J$10000,0),11))</f>
        <v/>
      </c>
      <c r="AA182" t="str">
        <f t="array" ref="AA182">IF($A182="","",INDEX(JupData!$A$2:$K$10000,MATCH($A182&amp;AA$1,JupData!$A$2:$A$10000&amp;JupData!$J$2:$J$10000,0),11))</f>
        <v/>
      </c>
      <c r="AB182" t="str">
        <f t="array" ref="AB182">IF($A182="","",INDEX(JupData!$A$2:$K$10000,MATCH($A182&amp;AB$1,JupData!$A$2:$A$10000&amp;JupData!$J$2:$J$10000,0),11))</f>
        <v/>
      </c>
      <c r="AC182" s="10" t="str">
        <f t="shared" si="22"/>
        <v/>
      </c>
      <c r="AD182" s="10" t="str">
        <f t="shared" si="23"/>
        <v/>
      </c>
      <c r="AE182" s="9" t="str">
        <f t="shared" si="24"/>
        <v/>
      </c>
      <c r="AF182" s="10" t="str">
        <f t="shared" si="25"/>
        <v/>
      </c>
      <c r="AG182" s="10" t="str">
        <f t="shared" si="26"/>
        <v/>
      </c>
      <c r="AH182" s="10" t="str">
        <f t="shared" si="27"/>
        <v/>
      </c>
      <c r="AI182" s="10" t="str">
        <f t="shared" si="28"/>
        <v/>
      </c>
      <c r="AJ182" s="10" t="str">
        <f t="shared" si="29"/>
        <v/>
      </c>
      <c r="AK182" s="10" t="str">
        <f t="shared" si="30"/>
        <v/>
      </c>
      <c r="AL182" s="14" t="str">
        <f t="shared" si="31"/>
        <v/>
      </c>
    </row>
    <row r="183" spans="1:38" x14ac:dyDescent="0.2">
      <c r="A183"/>
      <c r="B183" t="str">
        <f>IF($A183="","",VLOOKUP($A183,JupData!$A$2:$I$10000,4,FALSE))</f>
        <v/>
      </c>
      <c r="C183" s="7" t="str">
        <f>IF($A183="",IF(N(D183),0,""),VLOOKUP($A183,JupData!$A$2:$I$10000,7,FALSE))</f>
        <v/>
      </c>
      <c r="D183" t="str">
        <f t="shared" si="32"/>
        <v/>
      </c>
      <c r="E183" t="str">
        <f t="array" ref="E183">IF($A183="","",INDEX(JupData!$A$2:$K$10000,MATCH($A183&amp;E$1,JupData!$A$2:$A$10000&amp;JupData!$J$2:$J$10000,0),11))</f>
        <v/>
      </c>
      <c r="F183" t="str">
        <f t="array" ref="F183">IF($A183="","",INDEX(JupData!$A$2:$K$10000,MATCH($A183&amp;F$1,JupData!$A$2:$A$10000&amp;JupData!$J$2:$J$10000,0),11))</f>
        <v/>
      </c>
      <c r="G183" t="str">
        <f t="array" ref="G183">IF($A183="","",INDEX(JupData!$A$2:$K$10000,MATCH($A183&amp;G$1,JupData!$A$2:$A$10000&amp;JupData!$J$2:$J$10000,0),11))</f>
        <v/>
      </c>
      <c r="H183" t="str">
        <f t="array" ref="H183">IF($A183="","",INDEX(JupData!$A$2:$K$10000,MATCH($A183&amp;H$1,JupData!$A$2:$A$10000&amp;JupData!$J$2:$J$10000,0),11))</f>
        <v/>
      </c>
      <c r="I183" t="str">
        <f t="array" ref="I183">IF($A183="","",INDEX(JupData!$A$2:$K$10000,MATCH($A183&amp;I$1,JupData!$A$2:$A$10000&amp;JupData!$J$2:$J$10000,0),11))</f>
        <v/>
      </c>
      <c r="J183" t="str">
        <f t="array" ref="J183">IF($A183="","",INDEX(JupData!$A$2:$K$10000,MATCH($A183&amp;J$1,JupData!$A$2:$A$10000&amp;JupData!$J$2:$J$10000,0),11))</f>
        <v/>
      </c>
      <c r="K183" t="str">
        <f t="array" ref="K183">IF($A183="","",INDEX(JupData!$A$2:$K$10000,MATCH($A183&amp;K$1,JupData!$A$2:$A$10000&amp;JupData!$J$2:$J$10000,0),11))</f>
        <v/>
      </c>
      <c r="L183" t="str">
        <f t="array" ref="L183">IF($A183="","",INDEX(JupData!$A$2:$K$10000,MATCH($A183&amp;L$1,JupData!$A$2:$A$10000&amp;JupData!$J$2:$J$10000,0),11))</f>
        <v/>
      </c>
      <c r="M183" t="str">
        <f t="array" ref="M183">IF($A183="","",INDEX(JupData!$A$2:$K$10000,MATCH($A183&amp;M$1,JupData!$A$2:$A$10000&amp;JupData!$J$2:$J$10000,0),11))</f>
        <v/>
      </c>
      <c r="N183" t="str">
        <f t="array" ref="N183">IF($A183="","",INDEX(JupData!$A$2:$K$10000,MATCH($A183&amp;N$1,JupData!$A$2:$A$10000&amp;JupData!$J$2:$J$10000,0),11))</f>
        <v/>
      </c>
      <c r="O183" t="str">
        <f t="array" ref="O183">IF($A183="","",INDEX(JupData!$A$2:$K$10000,MATCH($A183&amp;O$1,JupData!$A$2:$A$10000&amp;JupData!$J$2:$J$10000,0),11))</f>
        <v/>
      </c>
      <c r="P183" t="str">
        <f t="array" ref="P183">IF($A183="","",INDEX(JupData!$A$2:$K$10000,MATCH($A183&amp;P$1,JupData!$A$2:$A$10000&amp;JupData!$J$2:$J$10000,0),11))</f>
        <v/>
      </c>
      <c r="Q183" t="str">
        <f t="array" ref="Q183">IF($A183="","",INDEX(JupData!$A$2:$K$10000,MATCH($A183&amp;Q$1,JupData!$A$2:$A$10000&amp;JupData!$J$2:$J$10000,0),11))</f>
        <v/>
      </c>
      <c r="R183" t="str">
        <f t="array" ref="R183">IF($A183="","",INDEX(JupData!$A$2:$K$10000,MATCH($A183&amp;R$1,JupData!$A$2:$A$10000&amp;JupData!$J$2:$J$10000,0),11))</f>
        <v/>
      </c>
      <c r="S183" t="str">
        <f t="array" ref="S183">IF($A183="","",INDEX(JupData!$A$2:$K$10000,MATCH($A183&amp;S$1,JupData!$A$2:$A$10000&amp;JupData!$J$2:$J$10000,0),11))</f>
        <v/>
      </c>
      <c r="T183" t="str">
        <f t="array" ref="T183">IF($A183="","",INDEX(JupData!$A$2:$K$10000,MATCH($A183&amp;T$1,JupData!$A$2:$A$10000&amp;JupData!$J$2:$J$10000,0),11))</f>
        <v/>
      </c>
      <c r="U183" t="str">
        <f t="array" ref="U183">IF($A183="","",INDEX(JupData!$A$2:$K$10000,MATCH($A183&amp;U$1,JupData!$A$2:$A$10000&amp;JupData!$J$2:$J$10000,0),11))</f>
        <v/>
      </c>
      <c r="V183" t="str">
        <f t="array" ref="V183">IF($A183="","",INDEX(JupData!$A$2:$K$10000,MATCH($A183&amp;V$1,JupData!$A$2:$A$10000&amp;JupData!$J$2:$J$10000,0),11))</f>
        <v/>
      </c>
      <c r="W183" t="str">
        <f t="array" ref="W183">IF($A183="","",INDEX(JupData!$A$2:$K$10000,MATCH($A183&amp;W$1,JupData!$A$2:$A$10000&amp;JupData!$J$2:$J$10000,0),11))</f>
        <v/>
      </c>
      <c r="X183" t="str">
        <f t="array" ref="X183">IF($A183="","",INDEX(JupData!$A$2:$K$10000,MATCH($A183&amp;X$1,JupData!$A$2:$A$10000&amp;JupData!$J$2:$J$10000,0),11))</f>
        <v/>
      </c>
      <c r="Y183" t="str">
        <f t="array" ref="Y183">IF($A183="","",INDEX(JupData!$A$2:$K$10000,MATCH($A183&amp;Y$1,JupData!$A$2:$A$10000&amp;JupData!$J$2:$J$10000,0),11))</f>
        <v/>
      </c>
      <c r="Z183" t="str">
        <f t="array" ref="Z183">IF($A183="","",INDEX(JupData!$A$2:$K$10000,MATCH($A183&amp;Z$1,JupData!$A$2:$A$10000&amp;JupData!$J$2:$J$10000,0),11))</f>
        <v/>
      </c>
      <c r="AA183" t="str">
        <f t="array" ref="AA183">IF($A183="","",INDEX(JupData!$A$2:$K$10000,MATCH($A183&amp;AA$1,JupData!$A$2:$A$10000&amp;JupData!$J$2:$J$10000,0),11))</f>
        <v/>
      </c>
      <c r="AB183" t="str">
        <f t="array" ref="AB183">IF($A183="","",INDEX(JupData!$A$2:$K$10000,MATCH($A183&amp;AB$1,JupData!$A$2:$A$10000&amp;JupData!$J$2:$J$10000,0),11))</f>
        <v/>
      </c>
      <c r="AC183" s="10" t="str">
        <f t="shared" si="22"/>
        <v/>
      </c>
      <c r="AD183" s="10" t="str">
        <f t="shared" si="23"/>
        <v/>
      </c>
      <c r="AE183" s="9" t="str">
        <f t="shared" si="24"/>
        <v/>
      </c>
      <c r="AF183" s="10" t="str">
        <f t="shared" si="25"/>
        <v/>
      </c>
      <c r="AG183" s="10" t="str">
        <f t="shared" si="26"/>
        <v/>
      </c>
      <c r="AH183" s="10" t="str">
        <f t="shared" si="27"/>
        <v/>
      </c>
      <c r="AI183" s="10" t="str">
        <f t="shared" si="28"/>
        <v/>
      </c>
      <c r="AJ183" s="10" t="str">
        <f t="shared" si="29"/>
        <v/>
      </c>
      <c r="AK183" s="10" t="str">
        <f t="shared" si="30"/>
        <v/>
      </c>
      <c r="AL183" s="14" t="str">
        <f t="shared" si="31"/>
        <v/>
      </c>
    </row>
    <row r="184" spans="1:38" x14ac:dyDescent="0.2">
      <c r="A184"/>
      <c r="B184" t="str">
        <f>IF($A184="","",VLOOKUP($A184,JupData!$A$2:$I$10000,4,FALSE))</f>
        <v/>
      </c>
      <c r="C184" s="7" t="str">
        <f>IF($A184="",IF(N(D184),0,""),VLOOKUP($A184,JupData!$A$2:$I$10000,7,FALSE))</f>
        <v/>
      </c>
      <c r="D184" t="str">
        <f t="shared" si="32"/>
        <v/>
      </c>
      <c r="E184" t="str">
        <f t="array" ref="E184">IF($A184="","",INDEX(JupData!$A$2:$K$10000,MATCH($A184&amp;E$1,JupData!$A$2:$A$10000&amp;JupData!$J$2:$J$10000,0),11))</f>
        <v/>
      </c>
      <c r="F184" t="str">
        <f t="array" ref="F184">IF($A184="","",INDEX(JupData!$A$2:$K$10000,MATCH($A184&amp;F$1,JupData!$A$2:$A$10000&amp;JupData!$J$2:$J$10000,0),11))</f>
        <v/>
      </c>
      <c r="G184" t="str">
        <f t="array" ref="G184">IF($A184="","",INDEX(JupData!$A$2:$K$10000,MATCH($A184&amp;G$1,JupData!$A$2:$A$10000&amp;JupData!$J$2:$J$10000,0),11))</f>
        <v/>
      </c>
      <c r="H184" t="str">
        <f t="array" ref="H184">IF($A184="","",INDEX(JupData!$A$2:$K$10000,MATCH($A184&amp;H$1,JupData!$A$2:$A$10000&amp;JupData!$J$2:$J$10000,0),11))</f>
        <v/>
      </c>
      <c r="I184" t="str">
        <f t="array" ref="I184">IF($A184="","",INDEX(JupData!$A$2:$K$10000,MATCH($A184&amp;I$1,JupData!$A$2:$A$10000&amp;JupData!$J$2:$J$10000,0),11))</f>
        <v/>
      </c>
      <c r="J184" t="str">
        <f t="array" ref="J184">IF($A184="","",INDEX(JupData!$A$2:$K$10000,MATCH($A184&amp;J$1,JupData!$A$2:$A$10000&amp;JupData!$J$2:$J$10000,0),11))</f>
        <v/>
      </c>
      <c r="K184" t="str">
        <f t="array" ref="K184">IF($A184="","",INDEX(JupData!$A$2:$K$10000,MATCH($A184&amp;K$1,JupData!$A$2:$A$10000&amp;JupData!$J$2:$J$10000,0),11))</f>
        <v/>
      </c>
      <c r="L184" t="str">
        <f t="array" ref="L184">IF($A184="","",INDEX(JupData!$A$2:$K$10000,MATCH($A184&amp;L$1,JupData!$A$2:$A$10000&amp;JupData!$J$2:$J$10000,0),11))</f>
        <v/>
      </c>
      <c r="M184" t="str">
        <f t="array" ref="M184">IF($A184="","",INDEX(JupData!$A$2:$K$10000,MATCH($A184&amp;M$1,JupData!$A$2:$A$10000&amp;JupData!$J$2:$J$10000,0),11))</f>
        <v/>
      </c>
      <c r="N184" t="str">
        <f t="array" ref="N184">IF($A184="","",INDEX(JupData!$A$2:$K$10000,MATCH($A184&amp;N$1,JupData!$A$2:$A$10000&amp;JupData!$J$2:$J$10000,0),11))</f>
        <v/>
      </c>
      <c r="O184" t="str">
        <f t="array" ref="O184">IF($A184="","",INDEX(JupData!$A$2:$K$10000,MATCH($A184&amp;O$1,JupData!$A$2:$A$10000&amp;JupData!$J$2:$J$10000,0),11))</f>
        <v/>
      </c>
      <c r="P184" t="str">
        <f t="array" ref="P184">IF($A184="","",INDEX(JupData!$A$2:$K$10000,MATCH($A184&amp;P$1,JupData!$A$2:$A$10000&amp;JupData!$J$2:$J$10000,0),11))</f>
        <v/>
      </c>
      <c r="Q184" t="str">
        <f t="array" ref="Q184">IF($A184="","",INDEX(JupData!$A$2:$K$10000,MATCH($A184&amp;Q$1,JupData!$A$2:$A$10000&amp;JupData!$J$2:$J$10000,0),11))</f>
        <v/>
      </c>
      <c r="R184" t="str">
        <f t="array" ref="R184">IF($A184="","",INDEX(JupData!$A$2:$K$10000,MATCH($A184&amp;R$1,JupData!$A$2:$A$10000&amp;JupData!$J$2:$J$10000,0),11))</f>
        <v/>
      </c>
      <c r="S184" t="str">
        <f t="array" ref="S184">IF($A184="","",INDEX(JupData!$A$2:$K$10000,MATCH($A184&amp;S$1,JupData!$A$2:$A$10000&amp;JupData!$J$2:$J$10000,0),11))</f>
        <v/>
      </c>
      <c r="T184" t="str">
        <f t="array" ref="T184">IF($A184="","",INDEX(JupData!$A$2:$K$10000,MATCH($A184&amp;T$1,JupData!$A$2:$A$10000&amp;JupData!$J$2:$J$10000,0),11))</f>
        <v/>
      </c>
      <c r="U184" t="str">
        <f t="array" ref="U184">IF($A184="","",INDEX(JupData!$A$2:$K$10000,MATCH($A184&amp;U$1,JupData!$A$2:$A$10000&amp;JupData!$J$2:$J$10000,0),11))</f>
        <v/>
      </c>
      <c r="V184" t="str">
        <f t="array" ref="V184">IF($A184="","",INDEX(JupData!$A$2:$K$10000,MATCH($A184&amp;V$1,JupData!$A$2:$A$10000&amp;JupData!$J$2:$J$10000,0),11))</f>
        <v/>
      </c>
      <c r="W184" t="str">
        <f t="array" ref="W184">IF($A184="","",INDEX(JupData!$A$2:$K$10000,MATCH($A184&amp;W$1,JupData!$A$2:$A$10000&amp;JupData!$J$2:$J$10000,0),11))</f>
        <v/>
      </c>
      <c r="X184" t="str">
        <f t="array" ref="X184">IF($A184="","",INDEX(JupData!$A$2:$K$10000,MATCH($A184&amp;X$1,JupData!$A$2:$A$10000&amp;JupData!$J$2:$J$10000,0),11))</f>
        <v/>
      </c>
      <c r="Y184" t="str">
        <f t="array" ref="Y184">IF($A184="","",INDEX(JupData!$A$2:$K$10000,MATCH($A184&amp;Y$1,JupData!$A$2:$A$10000&amp;JupData!$J$2:$J$10000,0),11))</f>
        <v/>
      </c>
      <c r="Z184" t="str">
        <f t="array" ref="Z184">IF($A184="","",INDEX(JupData!$A$2:$K$10000,MATCH($A184&amp;Z$1,JupData!$A$2:$A$10000&amp;JupData!$J$2:$J$10000,0),11))</f>
        <v/>
      </c>
      <c r="AA184" t="str">
        <f t="array" ref="AA184">IF($A184="","",INDEX(JupData!$A$2:$K$10000,MATCH($A184&amp;AA$1,JupData!$A$2:$A$10000&amp;JupData!$J$2:$J$10000,0),11))</f>
        <v/>
      </c>
      <c r="AB184" t="str">
        <f t="array" ref="AB184">IF($A184="","",INDEX(JupData!$A$2:$K$10000,MATCH($A184&amp;AB$1,JupData!$A$2:$A$10000&amp;JupData!$J$2:$J$10000,0),11))</f>
        <v/>
      </c>
      <c r="AC184" s="10" t="str">
        <f t="shared" si="22"/>
        <v/>
      </c>
      <c r="AD184" s="10" t="str">
        <f t="shared" si="23"/>
        <v/>
      </c>
      <c r="AE184" s="9" t="str">
        <f t="shared" si="24"/>
        <v/>
      </c>
      <c r="AF184" s="10" t="str">
        <f t="shared" si="25"/>
        <v/>
      </c>
      <c r="AG184" s="10" t="str">
        <f t="shared" si="26"/>
        <v/>
      </c>
      <c r="AH184" s="10" t="str">
        <f t="shared" si="27"/>
        <v/>
      </c>
      <c r="AI184" s="10" t="str">
        <f t="shared" si="28"/>
        <v/>
      </c>
      <c r="AJ184" s="10" t="str">
        <f t="shared" si="29"/>
        <v/>
      </c>
      <c r="AK184" s="10" t="str">
        <f t="shared" si="30"/>
        <v/>
      </c>
      <c r="AL184" s="14" t="str">
        <f t="shared" si="31"/>
        <v/>
      </c>
    </row>
    <row r="185" spans="1:38" x14ac:dyDescent="0.2">
      <c r="A185"/>
      <c r="B185" t="str">
        <f>IF($A185="","",VLOOKUP($A185,JupData!$A$2:$I$10000,4,FALSE))</f>
        <v/>
      </c>
      <c r="C185" s="7" t="str">
        <f>IF($A185="",IF(N(D185),0,""),VLOOKUP($A185,JupData!$A$2:$I$10000,7,FALSE))</f>
        <v/>
      </c>
      <c r="D185" t="str">
        <f t="shared" si="32"/>
        <v/>
      </c>
      <c r="E185" t="str">
        <f t="array" ref="E185">IF($A185="","",INDEX(JupData!$A$2:$K$10000,MATCH($A185&amp;E$1,JupData!$A$2:$A$10000&amp;JupData!$J$2:$J$10000,0),11))</f>
        <v/>
      </c>
      <c r="F185" t="str">
        <f t="array" ref="F185">IF($A185="","",INDEX(JupData!$A$2:$K$10000,MATCH($A185&amp;F$1,JupData!$A$2:$A$10000&amp;JupData!$J$2:$J$10000,0),11))</f>
        <v/>
      </c>
      <c r="G185" t="str">
        <f t="array" ref="G185">IF($A185="","",INDEX(JupData!$A$2:$K$10000,MATCH($A185&amp;G$1,JupData!$A$2:$A$10000&amp;JupData!$J$2:$J$10000,0),11))</f>
        <v/>
      </c>
      <c r="H185" t="str">
        <f t="array" ref="H185">IF($A185="","",INDEX(JupData!$A$2:$K$10000,MATCH($A185&amp;H$1,JupData!$A$2:$A$10000&amp;JupData!$J$2:$J$10000,0),11))</f>
        <v/>
      </c>
      <c r="I185" t="str">
        <f t="array" ref="I185">IF($A185="","",INDEX(JupData!$A$2:$K$10000,MATCH($A185&amp;I$1,JupData!$A$2:$A$10000&amp;JupData!$J$2:$J$10000,0),11))</f>
        <v/>
      </c>
      <c r="J185" t="str">
        <f t="array" ref="J185">IF($A185="","",INDEX(JupData!$A$2:$K$10000,MATCH($A185&amp;J$1,JupData!$A$2:$A$10000&amp;JupData!$J$2:$J$10000,0),11))</f>
        <v/>
      </c>
      <c r="K185" t="str">
        <f t="array" ref="K185">IF($A185="","",INDEX(JupData!$A$2:$K$10000,MATCH($A185&amp;K$1,JupData!$A$2:$A$10000&amp;JupData!$J$2:$J$10000,0),11))</f>
        <v/>
      </c>
      <c r="L185" t="str">
        <f t="array" ref="L185">IF($A185="","",INDEX(JupData!$A$2:$K$10000,MATCH($A185&amp;L$1,JupData!$A$2:$A$10000&amp;JupData!$J$2:$J$10000,0),11))</f>
        <v/>
      </c>
      <c r="M185" t="str">
        <f t="array" ref="M185">IF($A185="","",INDEX(JupData!$A$2:$K$10000,MATCH($A185&amp;M$1,JupData!$A$2:$A$10000&amp;JupData!$J$2:$J$10000,0),11))</f>
        <v/>
      </c>
      <c r="N185" t="str">
        <f t="array" ref="N185">IF($A185="","",INDEX(JupData!$A$2:$K$10000,MATCH($A185&amp;N$1,JupData!$A$2:$A$10000&amp;JupData!$J$2:$J$10000,0),11))</f>
        <v/>
      </c>
      <c r="O185" t="str">
        <f t="array" ref="O185">IF($A185="","",INDEX(JupData!$A$2:$K$10000,MATCH($A185&amp;O$1,JupData!$A$2:$A$10000&amp;JupData!$J$2:$J$10000,0),11))</f>
        <v/>
      </c>
      <c r="P185" t="str">
        <f t="array" ref="P185">IF($A185="","",INDEX(JupData!$A$2:$K$10000,MATCH($A185&amp;P$1,JupData!$A$2:$A$10000&amp;JupData!$J$2:$J$10000,0),11))</f>
        <v/>
      </c>
      <c r="Q185" t="str">
        <f t="array" ref="Q185">IF($A185="","",INDEX(JupData!$A$2:$K$10000,MATCH($A185&amp;Q$1,JupData!$A$2:$A$10000&amp;JupData!$J$2:$J$10000,0),11))</f>
        <v/>
      </c>
      <c r="R185" t="str">
        <f t="array" ref="R185">IF($A185="","",INDEX(JupData!$A$2:$K$10000,MATCH($A185&amp;R$1,JupData!$A$2:$A$10000&amp;JupData!$J$2:$J$10000,0),11))</f>
        <v/>
      </c>
      <c r="S185" t="str">
        <f t="array" ref="S185">IF($A185="","",INDEX(JupData!$A$2:$K$10000,MATCH($A185&amp;S$1,JupData!$A$2:$A$10000&amp;JupData!$J$2:$J$10000,0),11))</f>
        <v/>
      </c>
      <c r="T185" t="str">
        <f t="array" ref="T185">IF($A185="","",INDEX(JupData!$A$2:$K$10000,MATCH($A185&amp;T$1,JupData!$A$2:$A$10000&amp;JupData!$J$2:$J$10000,0),11))</f>
        <v/>
      </c>
      <c r="U185" t="str">
        <f t="array" ref="U185">IF($A185="","",INDEX(JupData!$A$2:$K$10000,MATCH($A185&amp;U$1,JupData!$A$2:$A$10000&amp;JupData!$J$2:$J$10000,0),11))</f>
        <v/>
      </c>
      <c r="V185" t="str">
        <f t="array" ref="V185">IF($A185="","",INDEX(JupData!$A$2:$K$10000,MATCH($A185&amp;V$1,JupData!$A$2:$A$10000&amp;JupData!$J$2:$J$10000,0),11))</f>
        <v/>
      </c>
      <c r="W185" t="str">
        <f t="array" ref="W185">IF($A185="","",INDEX(JupData!$A$2:$K$10000,MATCH($A185&amp;W$1,JupData!$A$2:$A$10000&amp;JupData!$J$2:$J$10000,0),11))</f>
        <v/>
      </c>
      <c r="X185" t="str">
        <f t="array" ref="X185">IF($A185="","",INDEX(JupData!$A$2:$K$10000,MATCH($A185&amp;X$1,JupData!$A$2:$A$10000&amp;JupData!$J$2:$J$10000,0),11))</f>
        <v/>
      </c>
      <c r="Y185" t="str">
        <f t="array" ref="Y185">IF($A185="","",INDEX(JupData!$A$2:$K$10000,MATCH($A185&amp;Y$1,JupData!$A$2:$A$10000&amp;JupData!$J$2:$J$10000,0),11))</f>
        <v/>
      </c>
      <c r="Z185" t="str">
        <f t="array" ref="Z185">IF($A185="","",INDEX(JupData!$A$2:$K$10000,MATCH($A185&amp;Z$1,JupData!$A$2:$A$10000&amp;JupData!$J$2:$J$10000,0),11))</f>
        <v/>
      </c>
      <c r="AA185" t="str">
        <f t="array" ref="AA185">IF($A185="","",INDEX(JupData!$A$2:$K$10000,MATCH($A185&amp;AA$1,JupData!$A$2:$A$10000&amp;JupData!$J$2:$J$10000,0),11))</f>
        <v/>
      </c>
      <c r="AB185" t="str">
        <f t="array" ref="AB185">IF($A185="","",INDEX(JupData!$A$2:$K$10000,MATCH($A185&amp;AB$1,JupData!$A$2:$A$10000&amp;JupData!$J$2:$J$10000,0),11))</f>
        <v/>
      </c>
      <c r="AC185" s="10" t="str">
        <f t="shared" si="22"/>
        <v/>
      </c>
      <c r="AD185" s="10" t="str">
        <f t="shared" si="23"/>
        <v/>
      </c>
      <c r="AE185" s="9" t="str">
        <f t="shared" si="24"/>
        <v/>
      </c>
      <c r="AF185" s="10" t="str">
        <f t="shared" si="25"/>
        <v/>
      </c>
      <c r="AG185" s="10" t="str">
        <f t="shared" si="26"/>
        <v/>
      </c>
      <c r="AH185" s="10" t="str">
        <f t="shared" si="27"/>
        <v/>
      </c>
      <c r="AI185" s="10" t="str">
        <f t="shared" si="28"/>
        <v/>
      </c>
      <c r="AJ185" s="10" t="str">
        <f t="shared" si="29"/>
        <v/>
      </c>
      <c r="AK185" s="10" t="str">
        <f t="shared" si="30"/>
        <v/>
      </c>
      <c r="AL185" s="14" t="str">
        <f t="shared" si="31"/>
        <v/>
      </c>
    </row>
    <row r="186" spans="1:38" x14ac:dyDescent="0.2">
      <c r="A186"/>
      <c r="B186" t="str">
        <f>IF($A186="","",VLOOKUP($A186,JupData!$A$2:$I$10000,4,FALSE))</f>
        <v/>
      </c>
      <c r="C186" s="7" t="str">
        <f>IF($A186="",IF(N(D186),0,""),VLOOKUP($A186,JupData!$A$2:$I$10000,7,FALSE))</f>
        <v/>
      </c>
      <c r="D186" t="str">
        <f t="shared" si="32"/>
        <v/>
      </c>
      <c r="E186" t="str">
        <f t="array" ref="E186">IF($A186="","",INDEX(JupData!$A$2:$K$10000,MATCH($A186&amp;E$1,JupData!$A$2:$A$10000&amp;JupData!$J$2:$J$10000,0),11))</f>
        <v/>
      </c>
      <c r="F186" t="str">
        <f t="array" ref="F186">IF($A186="","",INDEX(JupData!$A$2:$K$10000,MATCH($A186&amp;F$1,JupData!$A$2:$A$10000&amp;JupData!$J$2:$J$10000,0),11))</f>
        <v/>
      </c>
      <c r="G186" t="str">
        <f t="array" ref="G186">IF($A186="","",INDEX(JupData!$A$2:$K$10000,MATCH($A186&amp;G$1,JupData!$A$2:$A$10000&amp;JupData!$J$2:$J$10000,0),11))</f>
        <v/>
      </c>
      <c r="H186" t="str">
        <f t="array" ref="H186">IF($A186="","",INDEX(JupData!$A$2:$K$10000,MATCH($A186&amp;H$1,JupData!$A$2:$A$10000&amp;JupData!$J$2:$J$10000,0),11))</f>
        <v/>
      </c>
      <c r="I186" t="str">
        <f t="array" ref="I186">IF($A186="","",INDEX(JupData!$A$2:$K$10000,MATCH($A186&amp;I$1,JupData!$A$2:$A$10000&amp;JupData!$J$2:$J$10000,0),11))</f>
        <v/>
      </c>
      <c r="J186" t="str">
        <f t="array" ref="J186">IF($A186="","",INDEX(JupData!$A$2:$K$10000,MATCH($A186&amp;J$1,JupData!$A$2:$A$10000&amp;JupData!$J$2:$J$10000,0),11))</f>
        <v/>
      </c>
      <c r="K186" t="str">
        <f t="array" ref="K186">IF($A186="","",INDEX(JupData!$A$2:$K$10000,MATCH($A186&amp;K$1,JupData!$A$2:$A$10000&amp;JupData!$J$2:$J$10000,0),11))</f>
        <v/>
      </c>
      <c r="L186" t="str">
        <f t="array" ref="L186">IF($A186="","",INDEX(JupData!$A$2:$K$10000,MATCH($A186&amp;L$1,JupData!$A$2:$A$10000&amp;JupData!$J$2:$J$10000,0),11))</f>
        <v/>
      </c>
      <c r="M186" t="str">
        <f t="array" ref="M186">IF($A186="","",INDEX(JupData!$A$2:$K$10000,MATCH($A186&amp;M$1,JupData!$A$2:$A$10000&amp;JupData!$J$2:$J$10000,0),11))</f>
        <v/>
      </c>
      <c r="N186" t="str">
        <f t="array" ref="N186">IF($A186="","",INDEX(JupData!$A$2:$K$10000,MATCH($A186&amp;N$1,JupData!$A$2:$A$10000&amp;JupData!$J$2:$J$10000,0),11))</f>
        <v/>
      </c>
      <c r="O186" t="str">
        <f t="array" ref="O186">IF($A186="","",INDEX(JupData!$A$2:$K$10000,MATCH($A186&amp;O$1,JupData!$A$2:$A$10000&amp;JupData!$J$2:$J$10000,0),11))</f>
        <v/>
      </c>
      <c r="P186" t="str">
        <f t="array" ref="P186">IF($A186="","",INDEX(JupData!$A$2:$K$10000,MATCH($A186&amp;P$1,JupData!$A$2:$A$10000&amp;JupData!$J$2:$J$10000,0),11))</f>
        <v/>
      </c>
      <c r="Q186" t="str">
        <f t="array" ref="Q186">IF($A186="","",INDEX(JupData!$A$2:$K$10000,MATCH($A186&amp;Q$1,JupData!$A$2:$A$10000&amp;JupData!$J$2:$J$10000,0),11))</f>
        <v/>
      </c>
      <c r="R186" t="str">
        <f t="array" ref="R186">IF($A186="","",INDEX(JupData!$A$2:$K$10000,MATCH($A186&amp;R$1,JupData!$A$2:$A$10000&amp;JupData!$J$2:$J$10000,0),11))</f>
        <v/>
      </c>
      <c r="S186" t="str">
        <f t="array" ref="S186">IF($A186="","",INDEX(JupData!$A$2:$K$10000,MATCH($A186&amp;S$1,JupData!$A$2:$A$10000&amp;JupData!$J$2:$J$10000,0),11))</f>
        <v/>
      </c>
      <c r="T186" t="str">
        <f t="array" ref="T186">IF($A186="","",INDEX(JupData!$A$2:$K$10000,MATCH($A186&amp;T$1,JupData!$A$2:$A$10000&amp;JupData!$J$2:$J$10000,0),11))</f>
        <v/>
      </c>
      <c r="U186" t="str">
        <f t="array" ref="U186">IF($A186="","",INDEX(JupData!$A$2:$K$10000,MATCH($A186&amp;U$1,JupData!$A$2:$A$10000&amp;JupData!$J$2:$J$10000,0),11))</f>
        <v/>
      </c>
      <c r="V186" t="str">
        <f t="array" ref="V186">IF($A186="","",INDEX(JupData!$A$2:$K$10000,MATCH($A186&amp;V$1,JupData!$A$2:$A$10000&amp;JupData!$J$2:$J$10000,0),11))</f>
        <v/>
      </c>
      <c r="W186" t="str">
        <f t="array" ref="W186">IF($A186="","",INDEX(JupData!$A$2:$K$10000,MATCH($A186&amp;W$1,JupData!$A$2:$A$10000&amp;JupData!$J$2:$J$10000,0),11))</f>
        <v/>
      </c>
      <c r="X186" t="str">
        <f t="array" ref="X186">IF($A186="","",INDEX(JupData!$A$2:$K$10000,MATCH($A186&amp;X$1,JupData!$A$2:$A$10000&amp;JupData!$J$2:$J$10000,0),11))</f>
        <v/>
      </c>
      <c r="Y186" t="str">
        <f t="array" ref="Y186">IF($A186="","",INDEX(JupData!$A$2:$K$10000,MATCH($A186&amp;Y$1,JupData!$A$2:$A$10000&amp;JupData!$J$2:$J$10000,0),11))</f>
        <v/>
      </c>
      <c r="Z186" t="str">
        <f t="array" ref="Z186">IF($A186="","",INDEX(JupData!$A$2:$K$10000,MATCH($A186&amp;Z$1,JupData!$A$2:$A$10000&amp;JupData!$J$2:$J$10000,0),11))</f>
        <v/>
      </c>
      <c r="AA186" t="str">
        <f t="array" ref="AA186">IF($A186="","",INDEX(JupData!$A$2:$K$10000,MATCH($A186&amp;AA$1,JupData!$A$2:$A$10000&amp;JupData!$J$2:$J$10000,0),11))</f>
        <v/>
      </c>
      <c r="AB186" t="str">
        <f t="array" ref="AB186">IF($A186="","",INDEX(JupData!$A$2:$K$10000,MATCH($A186&amp;AB$1,JupData!$A$2:$A$10000&amp;JupData!$J$2:$J$10000,0),11))</f>
        <v/>
      </c>
      <c r="AC186" s="10" t="str">
        <f t="shared" si="22"/>
        <v/>
      </c>
      <c r="AD186" s="10" t="str">
        <f t="shared" si="23"/>
        <v/>
      </c>
      <c r="AE186" s="9" t="str">
        <f t="shared" si="24"/>
        <v/>
      </c>
      <c r="AF186" s="10" t="str">
        <f t="shared" si="25"/>
        <v/>
      </c>
      <c r="AG186" s="10" t="str">
        <f t="shared" si="26"/>
        <v/>
      </c>
      <c r="AH186" s="10" t="str">
        <f t="shared" si="27"/>
        <v/>
      </c>
      <c r="AI186" s="10" t="str">
        <f t="shared" si="28"/>
        <v/>
      </c>
      <c r="AJ186" s="10" t="str">
        <f t="shared" si="29"/>
        <v/>
      </c>
      <c r="AK186" s="10" t="str">
        <f t="shared" si="30"/>
        <v/>
      </c>
      <c r="AL186" s="14" t="str">
        <f t="shared" si="31"/>
        <v/>
      </c>
    </row>
    <row r="187" spans="1:38" x14ac:dyDescent="0.2">
      <c r="A187"/>
      <c r="B187" t="str">
        <f>IF($A187="","",VLOOKUP($A187,JupData!$A$2:$I$10000,4,FALSE))</f>
        <v/>
      </c>
      <c r="C187" s="7" t="str">
        <f>IF($A187="",IF(N(D187),0,""),VLOOKUP($A187,JupData!$A$2:$I$10000,7,FALSE))</f>
        <v/>
      </c>
      <c r="D187" t="str">
        <f t="shared" si="32"/>
        <v/>
      </c>
      <c r="E187" t="str">
        <f t="array" ref="E187">IF($A187="","",INDEX(JupData!$A$2:$K$10000,MATCH($A187&amp;E$1,JupData!$A$2:$A$10000&amp;JupData!$J$2:$J$10000,0),11))</f>
        <v/>
      </c>
      <c r="F187" t="str">
        <f t="array" ref="F187">IF($A187="","",INDEX(JupData!$A$2:$K$10000,MATCH($A187&amp;F$1,JupData!$A$2:$A$10000&amp;JupData!$J$2:$J$10000,0),11))</f>
        <v/>
      </c>
      <c r="G187" t="str">
        <f t="array" ref="G187">IF($A187="","",INDEX(JupData!$A$2:$K$10000,MATCH($A187&amp;G$1,JupData!$A$2:$A$10000&amp;JupData!$J$2:$J$10000,0),11))</f>
        <v/>
      </c>
      <c r="H187" t="str">
        <f t="array" ref="H187">IF($A187="","",INDEX(JupData!$A$2:$K$10000,MATCH($A187&amp;H$1,JupData!$A$2:$A$10000&amp;JupData!$J$2:$J$10000,0),11))</f>
        <v/>
      </c>
      <c r="I187" t="str">
        <f t="array" ref="I187">IF($A187="","",INDEX(JupData!$A$2:$K$10000,MATCH($A187&amp;I$1,JupData!$A$2:$A$10000&amp;JupData!$J$2:$J$10000,0),11))</f>
        <v/>
      </c>
      <c r="J187" t="str">
        <f t="array" ref="J187">IF($A187="","",INDEX(JupData!$A$2:$K$10000,MATCH($A187&amp;J$1,JupData!$A$2:$A$10000&amp;JupData!$J$2:$J$10000,0),11))</f>
        <v/>
      </c>
      <c r="K187" t="str">
        <f t="array" ref="K187">IF($A187="","",INDEX(JupData!$A$2:$K$10000,MATCH($A187&amp;K$1,JupData!$A$2:$A$10000&amp;JupData!$J$2:$J$10000,0),11))</f>
        <v/>
      </c>
      <c r="L187" t="str">
        <f t="array" ref="L187">IF($A187="","",INDEX(JupData!$A$2:$K$10000,MATCH($A187&amp;L$1,JupData!$A$2:$A$10000&amp;JupData!$J$2:$J$10000,0),11))</f>
        <v/>
      </c>
      <c r="M187" t="str">
        <f t="array" ref="M187">IF($A187="","",INDEX(JupData!$A$2:$K$10000,MATCH($A187&amp;M$1,JupData!$A$2:$A$10000&amp;JupData!$J$2:$J$10000,0),11))</f>
        <v/>
      </c>
      <c r="N187" t="str">
        <f t="array" ref="N187">IF($A187="","",INDEX(JupData!$A$2:$K$10000,MATCH($A187&amp;N$1,JupData!$A$2:$A$10000&amp;JupData!$J$2:$J$10000,0),11))</f>
        <v/>
      </c>
      <c r="O187" t="str">
        <f t="array" ref="O187">IF($A187="","",INDEX(JupData!$A$2:$K$10000,MATCH($A187&amp;O$1,JupData!$A$2:$A$10000&amp;JupData!$J$2:$J$10000,0),11))</f>
        <v/>
      </c>
      <c r="P187" t="str">
        <f t="array" ref="P187">IF($A187="","",INDEX(JupData!$A$2:$K$10000,MATCH($A187&amp;P$1,JupData!$A$2:$A$10000&amp;JupData!$J$2:$J$10000,0),11))</f>
        <v/>
      </c>
      <c r="Q187" t="str">
        <f t="array" ref="Q187">IF($A187="","",INDEX(JupData!$A$2:$K$10000,MATCH($A187&amp;Q$1,JupData!$A$2:$A$10000&amp;JupData!$J$2:$J$10000,0),11))</f>
        <v/>
      </c>
      <c r="R187" t="str">
        <f t="array" ref="R187">IF($A187="","",INDEX(JupData!$A$2:$K$10000,MATCH($A187&amp;R$1,JupData!$A$2:$A$10000&amp;JupData!$J$2:$J$10000,0),11))</f>
        <v/>
      </c>
      <c r="S187" t="str">
        <f t="array" ref="S187">IF($A187="","",INDEX(JupData!$A$2:$K$10000,MATCH($A187&amp;S$1,JupData!$A$2:$A$10000&amp;JupData!$J$2:$J$10000,0),11))</f>
        <v/>
      </c>
      <c r="T187" t="str">
        <f t="array" ref="T187">IF($A187="","",INDEX(JupData!$A$2:$K$10000,MATCH($A187&amp;T$1,JupData!$A$2:$A$10000&amp;JupData!$J$2:$J$10000,0),11))</f>
        <v/>
      </c>
      <c r="U187" t="str">
        <f t="array" ref="U187">IF($A187="","",INDEX(JupData!$A$2:$K$10000,MATCH($A187&amp;U$1,JupData!$A$2:$A$10000&amp;JupData!$J$2:$J$10000,0),11))</f>
        <v/>
      </c>
      <c r="V187" t="str">
        <f t="array" ref="V187">IF($A187="","",INDEX(JupData!$A$2:$K$10000,MATCH($A187&amp;V$1,JupData!$A$2:$A$10000&amp;JupData!$J$2:$J$10000,0),11))</f>
        <v/>
      </c>
      <c r="W187" t="str">
        <f t="array" ref="W187">IF($A187="","",INDEX(JupData!$A$2:$K$10000,MATCH($A187&amp;W$1,JupData!$A$2:$A$10000&amp;JupData!$J$2:$J$10000,0),11))</f>
        <v/>
      </c>
      <c r="X187" t="str">
        <f t="array" ref="X187">IF($A187="","",INDEX(JupData!$A$2:$K$10000,MATCH($A187&amp;X$1,JupData!$A$2:$A$10000&amp;JupData!$J$2:$J$10000,0),11))</f>
        <v/>
      </c>
      <c r="Y187" t="str">
        <f t="array" ref="Y187">IF($A187="","",INDEX(JupData!$A$2:$K$10000,MATCH($A187&amp;Y$1,JupData!$A$2:$A$10000&amp;JupData!$J$2:$J$10000,0),11))</f>
        <v/>
      </c>
      <c r="Z187" t="str">
        <f t="array" ref="Z187">IF($A187="","",INDEX(JupData!$A$2:$K$10000,MATCH($A187&amp;Z$1,JupData!$A$2:$A$10000&amp;JupData!$J$2:$J$10000,0),11))</f>
        <v/>
      </c>
      <c r="AA187" t="str">
        <f t="array" ref="AA187">IF($A187="","",INDEX(JupData!$A$2:$K$10000,MATCH($A187&amp;AA$1,JupData!$A$2:$A$10000&amp;JupData!$J$2:$J$10000,0),11))</f>
        <v/>
      </c>
      <c r="AB187" t="str">
        <f t="array" ref="AB187">IF($A187="","",INDEX(JupData!$A$2:$K$10000,MATCH($A187&amp;AB$1,JupData!$A$2:$A$10000&amp;JupData!$J$2:$J$10000,0),11))</f>
        <v/>
      </c>
      <c r="AC187" s="10" t="str">
        <f t="shared" si="22"/>
        <v/>
      </c>
      <c r="AD187" s="10" t="str">
        <f t="shared" si="23"/>
        <v/>
      </c>
      <c r="AE187" s="9" t="str">
        <f t="shared" si="24"/>
        <v/>
      </c>
      <c r="AF187" s="10" t="str">
        <f t="shared" si="25"/>
        <v/>
      </c>
      <c r="AG187" s="10" t="str">
        <f t="shared" si="26"/>
        <v/>
      </c>
      <c r="AH187" s="10" t="str">
        <f t="shared" si="27"/>
        <v/>
      </c>
      <c r="AI187" s="10" t="str">
        <f t="shared" si="28"/>
        <v/>
      </c>
      <c r="AJ187" s="10" t="str">
        <f t="shared" si="29"/>
        <v/>
      </c>
      <c r="AK187" s="10" t="str">
        <f t="shared" si="30"/>
        <v/>
      </c>
      <c r="AL187" s="14" t="str">
        <f t="shared" si="31"/>
        <v/>
      </c>
    </row>
    <row r="188" spans="1:38" x14ac:dyDescent="0.2">
      <c r="A188"/>
      <c r="B188" t="str">
        <f>IF($A188="","",VLOOKUP($A188,JupData!$A$2:$I$10000,4,FALSE))</f>
        <v/>
      </c>
      <c r="C188" s="7" t="str">
        <f>IF($A188="",IF(N(D188),0,""),VLOOKUP($A188,JupData!$A$2:$I$10000,7,FALSE))</f>
        <v/>
      </c>
      <c r="D188" t="str">
        <f t="shared" si="32"/>
        <v/>
      </c>
      <c r="E188" t="str">
        <f t="array" ref="E188">IF($A188="","",INDEX(JupData!$A$2:$K$10000,MATCH($A188&amp;E$1,JupData!$A$2:$A$10000&amp;JupData!$J$2:$J$10000,0),11))</f>
        <v/>
      </c>
      <c r="F188" t="str">
        <f t="array" ref="F188">IF($A188="","",INDEX(JupData!$A$2:$K$10000,MATCH($A188&amp;F$1,JupData!$A$2:$A$10000&amp;JupData!$J$2:$J$10000,0),11))</f>
        <v/>
      </c>
      <c r="G188" t="str">
        <f t="array" ref="G188">IF($A188="","",INDEX(JupData!$A$2:$K$10000,MATCH($A188&amp;G$1,JupData!$A$2:$A$10000&amp;JupData!$J$2:$J$10000,0),11))</f>
        <v/>
      </c>
      <c r="H188" t="str">
        <f t="array" ref="H188">IF($A188="","",INDEX(JupData!$A$2:$K$10000,MATCH($A188&amp;H$1,JupData!$A$2:$A$10000&amp;JupData!$J$2:$J$10000,0),11))</f>
        <v/>
      </c>
      <c r="I188" t="str">
        <f t="array" ref="I188">IF($A188="","",INDEX(JupData!$A$2:$K$10000,MATCH($A188&amp;I$1,JupData!$A$2:$A$10000&amp;JupData!$J$2:$J$10000,0),11))</f>
        <v/>
      </c>
      <c r="J188" t="str">
        <f t="array" ref="J188">IF($A188="","",INDEX(JupData!$A$2:$K$10000,MATCH($A188&amp;J$1,JupData!$A$2:$A$10000&amp;JupData!$J$2:$J$10000,0),11))</f>
        <v/>
      </c>
      <c r="K188" t="str">
        <f t="array" ref="K188">IF($A188="","",INDEX(JupData!$A$2:$K$10000,MATCH($A188&amp;K$1,JupData!$A$2:$A$10000&amp;JupData!$J$2:$J$10000,0),11))</f>
        <v/>
      </c>
      <c r="L188" t="str">
        <f t="array" ref="L188">IF($A188="","",INDEX(JupData!$A$2:$K$10000,MATCH($A188&amp;L$1,JupData!$A$2:$A$10000&amp;JupData!$J$2:$J$10000,0),11))</f>
        <v/>
      </c>
      <c r="M188" t="str">
        <f t="array" ref="M188">IF($A188="","",INDEX(JupData!$A$2:$K$10000,MATCH($A188&amp;M$1,JupData!$A$2:$A$10000&amp;JupData!$J$2:$J$10000,0),11))</f>
        <v/>
      </c>
      <c r="N188" t="str">
        <f t="array" ref="N188">IF($A188="","",INDEX(JupData!$A$2:$K$10000,MATCH($A188&amp;N$1,JupData!$A$2:$A$10000&amp;JupData!$J$2:$J$10000,0),11))</f>
        <v/>
      </c>
      <c r="O188" t="str">
        <f t="array" ref="O188">IF($A188="","",INDEX(JupData!$A$2:$K$10000,MATCH($A188&amp;O$1,JupData!$A$2:$A$10000&amp;JupData!$J$2:$J$10000,0),11))</f>
        <v/>
      </c>
      <c r="P188" t="str">
        <f t="array" ref="P188">IF($A188="","",INDEX(JupData!$A$2:$K$10000,MATCH($A188&amp;P$1,JupData!$A$2:$A$10000&amp;JupData!$J$2:$J$10000,0),11))</f>
        <v/>
      </c>
      <c r="Q188" t="str">
        <f t="array" ref="Q188">IF($A188="","",INDEX(JupData!$A$2:$K$10000,MATCH($A188&amp;Q$1,JupData!$A$2:$A$10000&amp;JupData!$J$2:$J$10000,0),11))</f>
        <v/>
      </c>
      <c r="R188" t="str">
        <f t="array" ref="R188">IF($A188="","",INDEX(JupData!$A$2:$K$10000,MATCH($A188&amp;R$1,JupData!$A$2:$A$10000&amp;JupData!$J$2:$J$10000,0),11))</f>
        <v/>
      </c>
      <c r="S188" t="str">
        <f t="array" ref="S188">IF($A188="","",INDEX(JupData!$A$2:$K$10000,MATCH($A188&amp;S$1,JupData!$A$2:$A$10000&amp;JupData!$J$2:$J$10000,0),11))</f>
        <v/>
      </c>
      <c r="T188" t="str">
        <f t="array" ref="T188">IF($A188="","",INDEX(JupData!$A$2:$K$10000,MATCH($A188&amp;T$1,JupData!$A$2:$A$10000&amp;JupData!$J$2:$J$10000,0),11))</f>
        <v/>
      </c>
      <c r="U188" t="str">
        <f t="array" ref="U188">IF($A188="","",INDEX(JupData!$A$2:$K$10000,MATCH($A188&amp;U$1,JupData!$A$2:$A$10000&amp;JupData!$J$2:$J$10000,0),11))</f>
        <v/>
      </c>
      <c r="V188" t="str">
        <f t="array" ref="V188">IF($A188="","",INDEX(JupData!$A$2:$K$10000,MATCH($A188&amp;V$1,JupData!$A$2:$A$10000&amp;JupData!$J$2:$J$10000,0),11))</f>
        <v/>
      </c>
      <c r="W188" t="str">
        <f t="array" ref="W188">IF($A188="","",INDEX(JupData!$A$2:$K$10000,MATCH($A188&amp;W$1,JupData!$A$2:$A$10000&amp;JupData!$J$2:$J$10000,0),11))</f>
        <v/>
      </c>
      <c r="X188" t="str">
        <f t="array" ref="X188">IF($A188="","",INDEX(JupData!$A$2:$K$10000,MATCH($A188&amp;X$1,JupData!$A$2:$A$10000&amp;JupData!$J$2:$J$10000,0),11))</f>
        <v/>
      </c>
      <c r="Y188" t="str">
        <f t="array" ref="Y188">IF($A188="","",INDEX(JupData!$A$2:$K$10000,MATCH($A188&amp;Y$1,JupData!$A$2:$A$10000&amp;JupData!$J$2:$J$10000,0),11))</f>
        <v/>
      </c>
      <c r="Z188" t="str">
        <f t="array" ref="Z188">IF($A188="","",INDEX(JupData!$A$2:$K$10000,MATCH($A188&amp;Z$1,JupData!$A$2:$A$10000&amp;JupData!$J$2:$J$10000,0),11))</f>
        <v/>
      </c>
      <c r="AA188" t="str">
        <f t="array" ref="AA188">IF($A188="","",INDEX(JupData!$A$2:$K$10000,MATCH($A188&amp;AA$1,JupData!$A$2:$A$10000&amp;JupData!$J$2:$J$10000,0),11))</f>
        <v/>
      </c>
      <c r="AB188" t="str">
        <f t="array" ref="AB188">IF($A188="","",INDEX(JupData!$A$2:$K$10000,MATCH($A188&amp;AB$1,JupData!$A$2:$A$10000&amp;JupData!$J$2:$J$10000,0),11))</f>
        <v/>
      </c>
      <c r="AC188" s="10" t="str">
        <f t="shared" si="22"/>
        <v/>
      </c>
      <c r="AD188" s="10" t="str">
        <f t="shared" si="23"/>
        <v/>
      </c>
      <c r="AE188" s="9" t="str">
        <f t="shared" si="24"/>
        <v/>
      </c>
      <c r="AF188" s="10" t="str">
        <f t="shared" si="25"/>
        <v/>
      </c>
      <c r="AG188" s="10" t="str">
        <f t="shared" si="26"/>
        <v/>
      </c>
      <c r="AH188" s="10" t="str">
        <f t="shared" si="27"/>
        <v/>
      </c>
      <c r="AI188" s="10" t="str">
        <f t="shared" si="28"/>
        <v/>
      </c>
      <c r="AJ188" s="10" t="str">
        <f t="shared" si="29"/>
        <v/>
      </c>
      <c r="AK188" s="10" t="str">
        <f t="shared" si="30"/>
        <v/>
      </c>
      <c r="AL188" s="14" t="str">
        <f t="shared" si="31"/>
        <v/>
      </c>
    </row>
    <row r="189" spans="1:38" x14ac:dyDescent="0.2">
      <c r="A189"/>
      <c r="B189" t="str">
        <f>IF($A189="","",VLOOKUP($A189,JupData!$A$2:$I$10000,4,FALSE))</f>
        <v/>
      </c>
      <c r="C189" s="7" t="str">
        <f>IF($A189="",IF(N(D189),0,""),VLOOKUP($A189,JupData!$A$2:$I$10000,7,FALSE))</f>
        <v/>
      </c>
      <c r="D189" t="str">
        <f t="shared" si="32"/>
        <v/>
      </c>
      <c r="E189" t="str">
        <f t="array" ref="E189">IF($A189="","",INDEX(JupData!$A$2:$K$10000,MATCH($A189&amp;E$1,JupData!$A$2:$A$10000&amp;JupData!$J$2:$J$10000,0),11))</f>
        <v/>
      </c>
      <c r="F189" t="str">
        <f t="array" ref="F189">IF($A189="","",INDEX(JupData!$A$2:$K$10000,MATCH($A189&amp;F$1,JupData!$A$2:$A$10000&amp;JupData!$J$2:$J$10000,0),11))</f>
        <v/>
      </c>
      <c r="G189" t="str">
        <f t="array" ref="G189">IF($A189="","",INDEX(JupData!$A$2:$K$10000,MATCH($A189&amp;G$1,JupData!$A$2:$A$10000&amp;JupData!$J$2:$J$10000,0),11))</f>
        <v/>
      </c>
      <c r="H189" t="str">
        <f t="array" ref="H189">IF($A189="","",INDEX(JupData!$A$2:$K$10000,MATCH($A189&amp;H$1,JupData!$A$2:$A$10000&amp;JupData!$J$2:$J$10000,0),11))</f>
        <v/>
      </c>
      <c r="I189" t="str">
        <f t="array" ref="I189">IF($A189="","",INDEX(JupData!$A$2:$K$10000,MATCH($A189&amp;I$1,JupData!$A$2:$A$10000&amp;JupData!$J$2:$J$10000,0),11))</f>
        <v/>
      </c>
      <c r="J189" t="str">
        <f t="array" ref="J189">IF($A189="","",INDEX(JupData!$A$2:$K$10000,MATCH($A189&amp;J$1,JupData!$A$2:$A$10000&amp;JupData!$J$2:$J$10000,0),11))</f>
        <v/>
      </c>
      <c r="K189" t="str">
        <f t="array" ref="K189">IF($A189="","",INDEX(JupData!$A$2:$K$10000,MATCH($A189&amp;K$1,JupData!$A$2:$A$10000&amp;JupData!$J$2:$J$10000,0),11))</f>
        <v/>
      </c>
      <c r="L189" t="str">
        <f t="array" ref="L189">IF($A189="","",INDEX(JupData!$A$2:$K$10000,MATCH($A189&amp;L$1,JupData!$A$2:$A$10000&amp;JupData!$J$2:$J$10000,0),11))</f>
        <v/>
      </c>
      <c r="M189" t="str">
        <f t="array" ref="M189">IF($A189="","",INDEX(JupData!$A$2:$K$10000,MATCH($A189&amp;M$1,JupData!$A$2:$A$10000&amp;JupData!$J$2:$J$10000,0),11))</f>
        <v/>
      </c>
      <c r="N189" t="str">
        <f t="array" ref="N189">IF($A189="","",INDEX(JupData!$A$2:$K$10000,MATCH($A189&amp;N$1,JupData!$A$2:$A$10000&amp;JupData!$J$2:$J$10000,0),11))</f>
        <v/>
      </c>
      <c r="O189" t="str">
        <f t="array" ref="O189">IF($A189="","",INDEX(JupData!$A$2:$K$10000,MATCH($A189&amp;O$1,JupData!$A$2:$A$10000&amp;JupData!$J$2:$J$10000,0),11))</f>
        <v/>
      </c>
      <c r="P189" t="str">
        <f t="array" ref="P189">IF($A189="","",INDEX(JupData!$A$2:$K$10000,MATCH($A189&amp;P$1,JupData!$A$2:$A$10000&amp;JupData!$J$2:$J$10000,0),11))</f>
        <v/>
      </c>
      <c r="Q189" t="str">
        <f t="array" ref="Q189">IF($A189="","",INDEX(JupData!$A$2:$K$10000,MATCH($A189&amp;Q$1,JupData!$A$2:$A$10000&amp;JupData!$J$2:$J$10000,0),11))</f>
        <v/>
      </c>
      <c r="R189" t="str">
        <f t="array" ref="R189">IF($A189="","",INDEX(JupData!$A$2:$K$10000,MATCH($A189&amp;R$1,JupData!$A$2:$A$10000&amp;JupData!$J$2:$J$10000,0),11))</f>
        <v/>
      </c>
      <c r="S189" t="str">
        <f t="array" ref="S189">IF($A189="","",INDEX(JupData!$A$2:$K$10000,MATCH($A189&amp;S$1,JupData!$A$2:$A$10000&amp;JupData!$J$2:$J$10000,0),11))</f>
        <v/>
      </c>
      <c r="T189" t="str">
        <f t="array" ref="T189">IF($A189="","",INDEX(JupData!$A$2:$K$10000,MATCH($A189&amp;T$1,JupData!$A$2:$A$10000&amp;JupData!$J$2:$J$10000,0),11))</f>
        <v/>
      </c>
      <c r="U189" t="str">
        <f t="array" ref="U189">IF($A189="","",INDEX(JupData!$A$2:$K$10000,MATCH($A189&amp;U$1,JupData!$A$2:$A$10000&amp;JupData!$J$2:$J$10000,0),11))</f>
        <v/>
      </c>
      <c r="V189" t="str">
        <f t="array" ref="V189">IF($A189="","",INDEX(JupData!$A$2:$K$10000,MATCH($A189&amp;V$1,JupData!$A$2:$A$10000&amp;JupData!$J$2:$J$10000,0),11))</f>
        <v/>
      </c>
      <c r="W189" t="str">
        <f t="array" ref="W189">IF($A189="","",INDEX(JupData!$A$2:$K$10000,MATCH($A189&amp;W$1,JupData!$A$2:$A$10000&amp;JupData!$J$2:$J$10000,0),11))</f>
        <v/>
      </c>
      <c r="X189" t="str">
        <f t="array" ref="X189">IF($A189="","",INDEX(JupData!$A$2:$K$10000,MATCH($A189&amp;X$1,JupData!$A$2:$A$10000&amp;JupData!$J$2:$J$10000,0),11))</f>
        <v/>
      </c>
      <c r="Y189" t="str">
        <f t="array" ref="Y189">IF($A189="","",INDEX(JupData!$A$2:$K$10000,MATCH($A189&amp;Y$1,JupData!$A$2:$A$10000&amp;JupData!$J$2:$J$10000,0),11))</f>
        <v/>
      </c>
      <c r="Z189" t="str">
        <f t="array" ref="Z189">IF($A189="","",INDEX(JupData!$A$2:$K$10000,MATCH($A189&amp;Z$1,JupData!$A$2:$A$10000&amp;JupData!$J$2:$J$10000,0),11))</f>
        <v/>
      </c>
      <c r="AA189" t="str">
        <f t="array" ref="AA189">IF($A189="","",INDEX(JupData!$A$2:$K$10000,MATCH($A189&amp;AA$1,JupData!$A$2:$A$10000&amp;JupData!$J$2:$J$10000,0),11))</f>
        <v/>
      </c>
      <c r="AB189" t="str">
        <f t="array" ref="AB189">IF($A189="","",INDEX(JupData!$A$2:$K$10000,MATCH($A189&amp;AB$1,JupData!$A$2:$A$10000&amp;JupData!$J$2:$J$10000,0),11))</f>
        <v/>
      </c>
      <c r="AC189" s="10" t="str">
        <f t="shared" si="22"/>
        <v/>
      </c>
      <c r="AD189" s="10" t="str">
        <f t="shared" si="23"/>
        <v/>
      </c>
      <c r="AE189" s="9" t="str">
        <f t="shared" si="24"/>
        <v/>
      </c>
      <c r="AF189" s="10" t="str">
        <f t="shared" si="25"/>
        <v/>
      </c>
      <c r="AG189" s="10" t="str">
        <f t="shared" si="26"/>
        <v/>
      </c>
      <c r="AH189" s="10" t="str">
        <f t="shared" si="27"/>
        <v/>
      </c>
      <c r="AI189" s="10" t="str">
        <f t="shared" si="28"/>
        <v/>
      </c>
      <c r="AJ189" s="10" t="str">
        <f t="shared" si="29"/>
        <v/>
      </c>
      <c r="AK189" s="10" t="str">
        <f t="shared" si="30"/>
        <v/>
      </c>
      <c r="AL189" s="14" t="str">
        <f t="shared" si="31"/>
        <v/>
      </c>
    </row>
    <row r="190" spans="1:38" x14ac:dyDescent="0.2">
      <c r="A190"/>
      <c r="B190" t="str">
        <f>IF($A190="","",VLOOKUP($A190,JupData!$A$2:$I$10000,4,FALSE))</f>
        <v/>
      </c>
      <c r="C190" s="7" t="str">
        <f>IF($A190="",IF(N(D190),0,""),VLOOKUP($A190,JupData!$A$2:$I$10000,7,FALSE))</f>
        <v/>
      </c>
      <c r="D190" t="str">
        <f t="shared" si="32"/>
        <v/>
      </c>
      <c r="E190" t="str">
        <f t="array" ref="E190">IF($A190="","",INDEX(JupData!$A$2:$K$10000,MATCH($A190&amp;E$1,JupData!$A$2:$A$10000&amp;JupData!$J$2:$J$10000,0),11))</f>
        <v/>
      </c>
      <c r="F190" t="str">
        <f t="array" ref="F190">IF($A190="","",INDEX(JupData!$A$2:$K$10000,MATCH($A190&amp;F$1,JupData!$A$2:$A$10000&amp;JupData!$J$2:$J$10000,0),11))</f>
        <v/>
      </c>
      <c r="G190" t="str">
        <f t="array" ref="G190">IF($A190="","",INDEX(JupData!$A$2:$K$10000,MATCH($A190&amp;G$1,JupData!$A$2:$A$10000&amp;JupData!$J$2:$J$10000,0),11))</f>
        <v/>
      </c>
      <c r="H190" t="str">
        <f t="array" ref="H190">IF($A190="","",INDEX(JupData!$A$2:$K$10000,MATCH($A190&amp;H$1,JupData!$A$2:$A$10000&amp;JupData!$J$2:$J$10000,0),11))</f>
        <v/>
      </c>
      <c r="I190" t="str">
        <f t="array" ref="I190">IF($A190="","",INDEX(JupData!$A$2:$K$10000,MATCH($A190&amp;I$1,JupData!$A$2:$A$10000&amp;JupData!$J$2:$J$10000,0),11))</f>
        <v/>
      </c>
      <c r="J190" t="str">
        <f t="array" ref="J190">IF($A190="","",INDEX(JupData!$A$2:$K$10000,MATCH($A190&amp;J$1,JupData!$A$2:$A$10000&amp;JupData!$J$2:$J$10000,0),11))</f>
        <v/>
      </c>
      <c r="K190" t="str">
        <f t="array" ref="K190">IF($A190="","",INDEX(JupData!$A$2:$K$10000,MATCH($A190&amp;K$1,JupData!$A$2:$A$10000&amp;JupData!$J$2:$J$10000,0),11))</f>
        <v/>
      </c>
      <c r="L190" t="str">
        <f t="array" ref="L190">IF($A190="","",INDEX(JupData!$A$2:$K$10000,MATCH($A190&amp;L$1,JupData!$A$2:$A$10000&amp;JupData!$J$2:$J$10000,0),11))</f>
        <v/>
      </c>
      <c r="M190" t="str">
        <f t="array" ref="M190">IF($A190="","",INDEX(JupData!$A$2:$K$10000,MATCH($A190&amp;M$1,JupData!$A$2:$A$10000&amp;JupData!$J$2:$J$10000,0),11))</f>
        <v/>
      </c>
      <c r="N190" t="str">
        <f t="array" ref="N190">IF($A190="","",INDEX(JupData!$A$2:$K$10000,MATCH($A190&amp;N$1,JupData!$A$2:$A$10000&amp;JupData!$J$2:$J$10000,0),11))</f>
        <v/>
      </c>
      <c r="O190" t="str">
        <f t="array" ref="O190">IF($A190="","",INDEX(JupData!$A$2:$K$10000,MATCH($A190&amp;O$1,JupData!$A$2:$A$10000&amp;JupData!$J$2:$J$10000,0),11))</f>
        <v/>
      </c>
      <c r="P190" t="str">
        <f t="array" ref="P190">IF($A190="","",INDEX(JupData!$A$2:$K$10000,MATCH($A190&amp;P$1,JupData!$A$2:$A$10000&amp;JupData!$J$2:$J$10000,0),11))</f>
        <v/>
      </c>
      <c r="Q190" t="str">
        <f t="array" ref="Q190">IF($A190="","",INDEX(JupData!$A$2:$K$10000,MATCH($A190&amp;Q$1,JupData!$A$2:$A$10000&amp;JupData!$J$2:$J$10000,0),11))</f>
        <v/>
      </c>
      <c r="R190" t="str">
        <f t="array" ref="R190">IF($A190="","",INDEX(JupData!$A$2:$K$10000,MATCH($A190&amp;R$1,JupData!$A$2:$A$10000&amp;JupData!$J$2:$J$10000,0),11))</f>
        <v/>
      </c>
      <c r="S190" t="str">
        <f t="array" ref="S190">IF($A190="","",INDEX(JupData!$A$2:$K$10000,MATCH($A190&amp;S$1,JupData!$A$2:$A$10000&amp;JupData!$J$2:$J$10000,0),11))</f>
        <v/>
      </c>
      <c r="T190" t="str">
        <f t="array" ref="T190">IF($A190="","",INDEX(JupData!$A$2:$K$10000,MATCH($A190&amp;T$1,JupData!$A$2:$A$10000&amp;JupData!$J$2:$J$10000,0),11))</f>
        <v/>
      </c>
      <c r="U190" t="str">
        <f t="array" ref="U190">IF($A190="","",INDEX(JupData!$A$2:$K$10000,MATCH($A190&amp;U$1,JupData!$A$2:$A$10000&amp;JupData!$J$2:$J$10000,0),11))</f>
        <v/>
      </c>
      <c r="V190" t="str">
        <f t="array" ref="V190">IF($A190="","",INDEX(JupData!$A$2:$K$10000,MATCH($A190&amp;V$1,JupData!$A$2:$A$10000&amp;JupData!$J$2:$J$10000,0),11))</f>
        <v/>
      </c>
      <c r="W190" t="str">
        <f t="array" ref="W190">IF($A190="","",INDEX(JupData!$A$2:$K$10000,MATCH($A190&amp;W$1,JupData!$A$2:$A$10000&amp;JupData!$J$2:$J$10000,0),11))</f>
        <v/>
      </c>
      <c r="X190" t="str">
        <f t="array" ref="X190">IF($A190="","",INDEX(JupData!$A$2:$K$10000,MATCH($A190&amp;X$1,JupData!$A$2:$A$10000&amp;JupData!$J$2:$J$10000,0),11))</f>
        <v/>
      </c>
      <c r="Y190" t="str">
        <f t="array" ref="Y190">IF($A190="","",INDEX(JupData!$A$2:$K$10000,MATCH($A190&amp;Y$1,JupData!$A$2:$A$10000&amp;JupData!$J$2:$J$10000,0),11))</f>
        <v/>
      </c>
      <c r="Z190" t="str">
        <f t="array" ref="Z190">IF($A190="","",INDEX(JupData!$A$2:$K$10000,MATCH($A190&amp;Z$1,JupData!$A$2:$A$10000&amp;JupData!$J$2:$J$10000,0),11))</f>
        <v/>
      </c>
      <c r="AA190" t="str">
        <f t="array" ref="AA190">IF($A190="","",INDEX(JupData!$A$2:$K$10000,MATCH($A190&amp;AA$1,JupData!$A$2:$A$10000&amp;JupData!$J$2:$J$10000,0),11))</f>
        <v/>
      </c>
      <c r="AB190" t="str">
        <f t="array" ref="AB190">IF($A190="","",INDEX(JupData!$A$2:$K$10000,MATCH($A190&amp;AB$1,JupData!$A$2:$A$10000&amp;JupData!$J$2:$J$10000,0),11))</f>
        <v/>
      </c>
      <c r="AC190" s="10" t="str">
        <f t="shared" si="22"/>
        <v/>
      </c>
      <c r="AD190" s="10" t="str">
        <f t="shared" si="23"/>
        <v/>
      </c>
      <c r="AE190" s="9" t="str">
        <f t="shared" si="24"/>
        <v/>
      </c>
      <c r="AF190" s="10" t="str">
        <f t="shared" si="25"/>
        <v/>
      </c>
      <c r="AG190" s="10" t="str">
        <f t="shared" si="26"/>
        <v/>
      </c>
      <c r="AH190" s="10" t="str">
        <f t="shared" si="27"/>
        <v/>
      </c>
      <c r="AI190" s="10" t="str">
        <f t="shared" si="28"/>
        <v/>
      </c>
      <c r="AJ190" s="10" t="str">
        <f t="shared" si="29"/>
        <v/>
      </c>
      <c r="AK190" s="10" t="str">
        <f t="shared" si="30"/>
        <v/>
      </c>
      <c r="AL190" s="14" t="str">
        <f t="shared" si="31"/>
        <v/>
      </c>
    </row>
    <row r="191" spans="1:38" x14ac:dyDescent="0.2">
      <c r="A191"/>
      <c r="B191" t="str">
        <f>IF($A191="","",VLOOKUP($A191,JupData!$A$2:$I$10000,4,FALSE))</f>
        <v/>
      </c>
      <c r="C191" s="7" t="str">
        <f>IF($A191="",IF(N(D191),0,""),VLOOKUP($A191,JupData!$A$2:$I$10000,7,FALSE))</f>
        <v/>
      </c>
      <c r="D191" t="str">
        <f t="shared" si="32"/>
        <v/>
      </c>
      <c r="E191" t="str">
        <f t="array" ref="E191">IF($A191="","",INDEX(JupData!$A$2:$K$10000,MATCH($A191&amp;E$1,JupData!$A$2:$A$10000&amp;JupData!$J$2:$J$10000,0),11))</f>
        <v/>
      </c>
      <c r="F191" t="str">
        <f t="array" ref="F191">IF($A191="","",INDEX(JupData!$A$2:$K$10000,MATCH($A191&amp;F$1,JupData!$A$2:$A$10000&amp;JupData!$J$2:$J$10000,0),11))</f>
        <v/>
      </c>
      <c r="G191" t="str">
        <f t="array" ref="G191">IF($A191="","",INDEX(JupData!$A$2:$K$10000,MATCH($A191&amp;G$1,JupData!$A$2:$A$10000&amp;JupData!$J$2:$J$10000,0),11))</f>
        <v/>
      </c>
      <c r="H191" t="str">
        <f t="array" ref="H191">IF($A191="","",INDEX(JupData!$A$2:$K$10000,MATCH($A191&amp;H$1,JupData!$A$2:$A$10000&amp;JupData!$J$2:$J$10000,0),11))</f>
        <v/>
      </c>
      <c r="I191" t="str">
        <f t="array" ref="I191">IF($A191="","",INDEX(JupData!$A$2:$K$10000,MATCH($A191&amp;I$1,JupData!$A$2:$A$10000&amp;JupData!$J$2:$J$10000,0),11))</f>
        <v/>
      </c>
      <c r="J191" t="str">
        <f t="array" ref="J191">IF($A191="","",INDEX(JupData!$A$2:$K$10000,MATCH($A191&amp;J$1,JupData!$A$2:$A$10000&amp;JupData!$J$2:$J$10000,0),11))</f>
        <v/>
      </c>
      <c r="K191" t="str">
        <f t="array" ref="K191">IF($A191="","",INDEX(JupData!$A$2:$K$10000,MATCH($A191&amp;K$1,JupData!$A$2:$A$10000&amp;JupData!$J$2:$J$10000,0),11))</f>
        <v/>
      </c>
      <c r="L191" t="str">
        <f t="array" ref="L191">IF($A191="","",INDEX(JupData!$A$2:$K$10000,MATCH($A191&amp;L$1,JupData!$A$2:$A$10000&amp;JupData!$J$2:$J$10000,0),11))</f>
        <v/>
      </c>
      <c r="M191" t="str">
        <f t="array" ref="M191">IF($A191="","",INDEX(JupData!$A$2:$K$10000,MATCH($A191&amp;M$1,JupData!$A$2:$A$10000&amp;JupData!$J$2:$J$10000,0),11))</f>
        <v/>
      </c>
      <c r="N191" t="str">
        <f t="array" ref="N191">IF($A191="","",INDEX(JupData!$A$2:$K$10000,MATCH($A191&amp;N$1,JupData!$A$2:$A$10000&amp;JupData!$J$2:$J$10000,0),11))</f>
        <v/>
      </c>
      <c r="O191" t="str">
        <f t="array" ref="O191">IF($A191="","",INDEX(JupData!$A$2:$K$10000,MATCH($A191&amp;O$1,JupData!$A$2:$A$10000&amp;JupData!$J$2:$J$10000,0),11))</f>
        <v/>
      </c>
      <c r="P191" t="str">
        <f t="array" ref="P191">IF($A191="","",INDEX(JupData!$A$2:$K$10000,MATCH($A191&amp;P$1,JupData!$A$2:$A$10000&amp;JupData!$J$2:$J$10000,0),11))</f>
        <v/>
      </c>
      <c r="Q191" t="str">
        <f t="array" ref="Q191">IF($A191="","",INDEX(JupData!$A$2:$K$10000,MATCH($A191&amp;Q$1,JupData!$A$2:$A$10000&amp;JupData!$J$2:$J$10000,0),11))</f>
        <v/>
      </c>
      <c r="R191" t="str">
        <f t="array" ref="R191">IF($A191="","",INDEX(JupData!$A$2:$K$10000,MATCH($A191&amp;R$1,JupData!$A$2:$A$10000&amp;JupData!$J$2:$J$10000,0),11))</f>
        <v/>
      </c>
      <c r="S191" t="str">
        <f t="array" ref="S191">IF($A191="","",INDEX(JupData!$A$2:$K$10000,MATCH($A191&amp;S$1,JupData!$A$2:$A$10000&amp;JupData!$J$2:$J$10000,0),11))</f>
        <v/>
      </c>
      <c r="T191" t="str">
        <f t="array" ref="T191">IF($A191="","",INDEX(JupData!$A$2:$K$10000,MATCH($A191&amp;T$1,JupData!$A$2:$A$10000&amp;JupData!$J$2:$J$10000,0),11))</f>
        <v/>
      </c>
      <c r="U191" t="str">
        <f t="array" ref="U191">IF($A191="","",INDEX(JupData!$A$2:$K$10000,MATCH($A191&amp;U$1,JupData!$A$2:$A$10000&amp;JupData!$J$2:$J$10000,0),11))</f>
        <v/>
      </c>
      <c r="V191" t="str">
        <f t="array" ref="V191">IF($A191="","",INDEX(JupData!$A$2:$K$10000,MATCH($A191&amp;V$1,JupData!$A$2:$A$10000&amp;JupData!$J$2:$J$10000,0),11))</f>
        <v/>
      </c>
      <c r="W191" t="str">
        <f t="array" ref="W191">IF($A191="","",INDEX(JupData!$A$2:$K$10000,MATCH($A191&amp;W$1,JupData!$A$2:$A$10000&amp;JupData!$J$2:$J$10000,0),11))</f>
        <v/>
      </c>
      <c r="X191" t="str">
        <f t="array" ref="X191">IF($A191="","",INDEX(JupData!$A$2:$K$10000,MATCH($A191&amp;X$1,JupData!$A$2:$A$10000&amp;JupData!$J$2:$J$10000,0),11))</f>
        <v/>
      </c>
      <c r="Y191" t="str">
        <f t="array" ref="Y191">IF($A191="","",INDEX(JupData!$A$2:$K$10000,MATCH($A191&amp;Y$1,JupData!$A$2:$A$10000&amp;JupData!$J$2:$J$10000,0),11))</f>
        <v/>
      </c>
      <c r="Z191" t="str">
        <f t="array" ref="Z191">IF($A191="","",INDEX(JupData!$A$2:$K$10000,MATCH($A191&amp;Z$1,JupData!$A$2:$A$10000&amp;JupData!$J$2:$J$10000,0),11))</f>
        <v/>
      </c>
      <c r="AA191" t="str">
        <f t="array" ref="AA191">IF($A191="","",INDEX(JupData!$A$2:$K$10000,MATCH($A191&amp;AA$1,JupData!$A$2:$A$10000&amp;JupData!$J$2:$J$10000,0),11))</f>
        <v/>
      </c>
      <c r="AB191" t="str">
        <f t="array" ref="AB191">IF($A191="","",INDEX(JupData!$A$2:$K$10000,MATCH($A191&amp;AB$1,JupData!$A$2:$A$10000&amp;JupData!$J$2:$J$10000,0),11))</f>
        <v/>
      </c>
      <c r="AC191" s="10" t="str">
        <f t="shared" si="22"/>
        <v/>
      </c>
      <c r="AD191" s="10" t="str">
        <f t="shared" si="23"/>
        <v/>
      </c>
      <c r="AE191" s="9" t="str">
        <f t="shared" si="24"/>
        <v/>
      </c>
      <c r="AF191" s="10" t="str">
        <f t="shared" si="25"/>
        <v/>
      </c>
      <c r="AG191" s="10" t="str">
        <f t="shared" si="26"/>
        <v/>
      </c>
      <c r="AH191" s="10" t="str">
        <f t="shared" si="27"/>
        <v/>
      </c>
      <c r="AI191" s="10" t="str">
        <f t="shared" si="28"/>
        <v/>
      </c>
      <c r="AJ191" s="10" t="str">
        <f t="shared" si="29"/>
        <v/>
      </c>
      <c r="AK191" s="10" t="str">
        <f t="shared" si="30"/>
        <v/>
      </c>
      <c r="AL191" s="14" t="str">
        <f t="shared" si="31"/>
        <v/>
      </c>
    </row>
    <row r="192" spans="1:38" x14ac:dyDescent="0.2">
      <c r="A192"/>
      <c r="B192" t="str">
        <f>IF($A192="","",VLOOKUP($A192,JupData!$A$2:$I$10000,4,FALSE))</f>
        <v/>
      </c>
      <c r="C192" s="7" t="str">
        <f>IF($A192="",IF(N(D192),0,""),VLOOKUP($A192,JupData!$A$2:$I$10000,7,FALSE))</f>
        <v/>
      </c>
      <c r="D192" t="str">
        <f t="shared" si="32"/>
        <v/>
      </c>
      <c r="E192" t="str">
        <f t="array" ref="E192">IF($A192="","",INDEX(JupData!$A$2:$K$10000,MATCH($A192&amp;E$1,JupData!$A$2:$A$10000&amp;JupData!$J$2:$J$10000,0),11))</f>
        <v/>
      </c>
      <c r="F192" t="str">
        <f t="array" ref="F192">IF($A192="","",INDEX(JupData!$A$2:$K$10000,MATCH($A192&amp;F$1,JupData!$A$2:$A$10000&amp;JupData!$J$2:$J$10000,0),11))</f>
        <v/>
      </c>
      <c r="G192" t="str">
        <f t="array" ref="G192">IF($A192="","",INDEX(JupData!$A$2:$K$10000,MATCH($A192&amp;G$1,JupData!$A$2:$A$10000&amp;JupData!$J$2:$J$10000,0),11))</f>
        <v/>
      </c>
      <c r="H192" t="str">
        <f t="array" ref="H192">IF($A192="","",INDEX(JupData!$A$2:$K$10000,MATCH($A192&amp;H$1,JupData!$A$2:$A$10000&amp;JupData!$J$2:$J$10000,0),11))</f>
        <v/>
      </c>
      <c r="I192" t="str">
        <f t="array" ref="I192">IF($A192="","",INDEX(JupData!$A$2:$K$10000,MATCH($A192&amp;I$1,JupData!$A$2:$A$10000&amp;JupData!$J$2:$J$10000,0),11))</f>
        <v/>
      </c>
      <c r="J192" t="str">
        <f t="array" ref="J192">IF($A192="","",INDEX(JupData!$A$2:$K$10000,MATCH($A192&amp;J$1,JupData!$A$2:$A$10000&amp;JupData!$J$2:$J$10000,0),11))</f>
        <v/>
      </c>
      <c r="K192" t="str">
        <f t="array" ref="K192">IF($A192="","",INDEX(JupData!$A$2:$K$10000,MATCH($A192&amp;K$1,JupData!$A$2:$A$10000&amp;JupData!$J$2:$J$10000,0),11))</f>
        <v/>
      </c>
      <c r="L192" t="str">
        <f t="array" ref="L192">IF($A192="","",INDEX(JupData!$A$2:$K$10000,MATCH($A192&amp;L$1,JupData!$A$2:$A$10000&amp;JupData!$J$2:$J$10000,0),11))</f>
        <v/>
      </c>
      <c r="M192" t="str">
        <f t="array" ref="M192">IF($A192="","",INDEX(JupData!$A$2:$K$10000,MATCH($A192&amp;M$1,JupData!$A$2:$A$10000&amp;JupData!$J$2:$J$10000,0),11))</f>
        <v/>
      </c>
      <c r="N192" t="str">
        <f t="array" ref="N192">IF($A192="","",INDEX(JupData!$A$2:$K$10000,MATCH($A192&amp;N$1,JupData!$A$2:$A$10000&amp;JupData!$J$2:$J$10000,0),11))</f>
        <v/>
      </c>
      <c r="O192" t="str">
        <f t="array" ref="O192">IF($A192="","",INDEX(JupData!$A$2:$K$10000,MATCH($A192&amp;O$1,JupData!$A$2:$A$10000&amp;JupData!$J$2:$J$10000,0),11))</f>
        <v/>
      </c>
      <c r="P192" t="str">
        <f t="array" ref="P192">IF($A192="","",INDEX(JupData!$A$2:$K$10000,MATCH($A192&amp;P$1,JupData!$A$2:$A$10000&amp;JupData!$J$2:$J$10000,0),11))</f>
        <v/>
      </c>
      <c r="Q192" t="str">
        <f t="array" ref="Q192">IF($A192="","",INDEX(JupData!$A$2:$K$10000,MATCH($A192&amp;Q$1,JupData!$A$2:$A$10000&amp;JupData!$J$2:$J$10000,0),11))</f>
        <v/>
      </c>
      <c r="R192" t="str">
        <f t="array" ref="R192">IF($A192="","",INDEX(JupData!$A$2:$K$10000,MATCH($A192&amp;R$1,JupData!$A$2:$A$10000&amp;JupData!$J$2:$J$10000,0),11))</f>
        <v/>
      </c>
      <c r="S192" t="str">
        <f t="array" ref="S192">IF($A192="","",INDEX(JupData!$A$2:$K$10000,MATCH($A192&amp;S$1,JupData!$A$2:$A$10000&amp;JupData!$J$2:$J$10000,0),11))</f>
        <v/>
      </c>
      <c r="T192" t="str">
        <f t="array" ref="T192">IF($A192="","",INDEX(JupData!$A$2:$K$10000,MATCH($A192&amp;T$1,JupData!$A$2:$A$10000&amp;JupData!$J$2:$J$10000,0),11))</f>
        <v/>
      </c>
      <c r="U192" t="str">
        <f t="array" ref="U192">IF($A192="","",INDEX(JupData!$A$2:$K$10000,MATCH($A192&amp;U$1,JupData!$A$2:$A$10000&amp;JupData!$J$2:$J$10000,0),11))</f>
        <v/>
      </c>
      <c r="V192" t="str">
        <f t="array" ref="V192">IF($A192="","",INDEX(JupData!$A$2:$K$10000,MATCH($A192&amp;V$1,JupData!$A$2:$A$10000&amp;JupData!$J$2:$J$10000,0),11))</f>
        <v/>
      </c>
      <c r="W192" t="str">
        <f t="array" ref="W192">IF($A192="","",INDEX(JupData!$A$2:$K$10000,MATCH($A192&amp;W$1,JupData!$A$2:$A$10000&amp;JupData!$J$2:$J$10000,0),11))</f>
        <v/>
      </c>
      <c r="X192" t="str">
        <f t="array" ref="X192">IF($A192="","",INDEX(JupData!$A$2:$K$10000,MATCH($A192&amp;X$1,JupData!$A$2:$A$10000&amp;JupData!$J$2:$J$10000,0),11))</f>
        <v/>
      </c>
      <c r="Y192" t="str">
        <f t="array" ref="Y192">IF($A192="","",INDEX(JupData!$A$2:$K$10000,MATCH($A192&amp;Y$1,JupData!$A$2:$A$10000&amp;JupData!$J$2:$J$10000,0),11))</f>
        <v/>
      </c>
      <c r="Z192" t="str">
        <f t="array" ref="Z192">IF($A192="","",INDEX(JupData!$A$2:$K$10000,MATCH($A192&amp;Z$1,JupData!$A$2:$A$10000&amp;JupData!$J$2:$J$10000,0),11))</f>
        <v/>
      </c>
      <c r="AA192" t="str">
        <f t="array" ref="AA192">IF($A192="","",INDEX(JupData!$A$2:$K$10000,MATCH($A192&amp;AA$1,JupData!$A$2:$A$10000&amp;JupData!$J$2:$J$10000,0),11))</f>
        <v/>
      </c>
      <c r="AB192" t="str">
        <f t="array" ref="AB192">IF($A192="","",INDEX(JupData!$A$2:$K$10000,MATCH($A192&amp;AB$1,JupData!$A$2:$A$10000&amp;JupData!$J$2:$J$10000,0),11))</f>
        <v/>
      </c>
      <c r="AC192" s="10" t="str">
        <f t="shared" si="22"/>
        <v/>
      </c>
      <c r="AD192" s="10" t="str">
        <f t="shared" si="23"/>
        <v/>
      </c>
      <c r="AE192" s="9" t="str">
        <f t="shared" si="24"/>
        <v/>
      </c>
      <c r="AF192" s="10" t="str">
        <f t="shared" si="25"/>
        <v/>
      </c>
      <c r="AG192" s="10" t="str">
        <f t="shared" si="26"/>
        <v/>
      </c>
      <c r="AH192" s="10" t="str">
        <f t="shared" si="27"/>
        <v/>
      </c>
      <c r="AI192" s="10" t="str">
        <f t="shared" si="28"/>
        <v/>
      </c>
      <c r="AJ192" s="10" t="str">
        <f t="shared" si="29"/>
        <v/>
      </c>
      <c r="AK192" s="10" t="str">
        <f t="shared" si="30"/>
        <v/>
      </c>
      <c r="AL192" s="14" t="str">
        <f t="shared" si="31"/>
        <v/>
      </c>
    </row>
    <row r="193" spans="1:38" x14ac:dyDescent="0.2">
      <c r="A193"/>
      <c r="B193" t="str">
        <f>IF($A193="","",VLOOKUP($A193,JupData!$A$2:$I$10000,4,FALSE))</f>
        <v/>
      </c>
      <c r="C193" s="7" t="str">
        <f>IF($A193="",IF(N(D193),0,""),VLOOKUP($A193,JupData!$A$2:$I$10000,7,FALSE))</f>
        <v/>
      </c>
      <c r="D193" t="str">
        <f t="shared" si="32"/>
        <v/>
      </c>
      <c r="E193" t="str">
        <f t="array" ref="E193">IF($A193="","",INDEX(JupData!$A$2:$K$10000,MATCH($A193&amp;E$1,JupData!$A$2:$A$10000&amp;JupData!$J$2:$J$10000,0),11))</f>
        <v/>
      </c>
      <c r="F193" t="str">
        <f t="array" ref="F193">IF($A193="","",INDEX(JupData!$A$2:$K$10000,MATCH($A193&amp;F$1,JupData!$A$2:$A$10000&amp;JupData!$J$2:$J$10000,0),11))</f>
        <v/>
      </c>
      <c r="G193" t="str">
        <f t="array" ref="G193">IF($A193="","",INDEX(JupData!$A$2:$K$10000,MATCH($A193&amp;G$1,JupData!$A$2:$A$10000&amp;JupData!$J$2:$J$10000,0),11))</f>
        <v/>
      </c>
      <c r="H193" t="str">
        <f t="array" ref="H193">IF($A193="","",INDEX(JupData!$A$2:$K$10000,MATCH($A193&amp;H$1,JupData!$A$2:$A$10000&amp;JupData!$J$2:$J$10000,0),11))</f>
        <v/>
      </c>
      <c r="I193" t="str">
        <f t="array" ref="I193">IF($A193="","",INDEX(JupData!$A$2:$K$10000,MATCH($A193&amp;I$1,JupData!$A$2:$A$10000&amp;JupData!$J$2:$J$10000,0),11))</f>
        <v/>
      </c>
      <c r="J193" t="str">
        <f t="array" ref="J193">IF($A193="","",INDEX(JupData!$A$2:$K$10000,MATCH($A193&amp;J$1,JupData!$A$2:$A$10000&amp;JupData!$J$2:$J$10000,0),11))</f>
        <v/>
      </c>
      <c r="K193" t="str">
        <f t="array" ref="K193">IF($A193="","",INDEX(JupData!$A$2:$K$10000,MATCH($A193&amp;K$1,JupData!$A$2:$A$10000&amp;JupData!$J$2:$J$10000,0),11))</f>
        <v/>
      </c>
      <c r="L193" t="str">
        <f t="array" ref="L193">IF($A193="","",INDEX(JupData!$A$2:$K$10000,MATCH($A193&amp;L$1,JupData!$A$2:$A$10000&amp;JupData!$J$2:$J$10000,0),11))</f>
        <v/>
      </c>
      <c r="M193" t="str">
        <f t="array" ref="M193">IF($A193="","",INDEX(JupData!$A$2:$K$10000,MATCH($A193&amp;M$1,JupData!$A$2:$A$10000&amp;JupData!$J$2:$J$10000,0),11))</f>
        <v/>
      </c>
      <c r="N193" t="str">
        <f t="array" ref="N193">IF($A193="","",INDEX(JupData!$A$2:$K$10000,MATCH($A193&amp;N$1,JupData!$A$2:$A$10000&amp;JupData!$J$2:$J$10000,0),11))</f>
        <v/>
      </c>
      <c r="O193" t="str">
        <f t="array" ref="O193">IF($A193="","",INDEX(JupData!$A$2:$K$10000,MATCH($A193&amp;O$1,JupData!$A$2:$A$10000&amp;JupData!$J$2:$J$10000,0),11))</f>
        <v/>
      </c>
      <c r="P193" t="str">
        <f t="array" ref="P193">IF($A193="","",INDEX(JupData!$A$2:$K$10000,MATCH($A193&amp;P$1,JupData!$A$2:$A$10000&amp;JupData!$J$2:$J$10000,0),11))</f>
        <v/>
      </c>
      <c r="Q193" t="str">
        <f t="array" ref="Q193">IF($A193="","",INDEX(JupData!$A$2:$K$10000,MATCH($A193&amp;Q$1,JupData!$A$2:$A$10000&amp;JupData!$J$2:$J$10000,0),11))</f>
        <v/>
      </c>
      <c r="R193" t="str">
        <f t="array" ref="R193">IF($A193="","",INDEX(JupData!$A$2:$K$10000,MATCH($A193&amp;R$1,JupData!$A$2:$A$10000&amp;JupData!$J$2:$J$10000,0),11))</f>
        <v/>
      </c>
      <c r="S193" t="str">
        <f t="array" ref="S193">IF($A193="","",INDEX(JupData!$A$2:$K$10000,MATCH($A193&amp;S$1,JupData!$A$2:$A$10000&amp;JupData!$J$2:$J$10000,0),11))</f>
        <v/>
      </c>
      <c r="T193" t="str">
        <f t="array" ref="T193">IF($A193="","",INDEX(JupData!$A$2:$K$10000,MATCH($A193&amp;T$1,JupData!$A$2:$A$10000&amp;JupData!$J$2:$J$10000,0),11))</f>
        <v/>
      </c>
      <c r="U193" t="str">
        <f t="array" ref="U193">IF($A193="","",INDEX(JupData!$A$2:$K$10000,MATCH($A193&amp;U$1,JupData!$A$2:$A$10000&amp;JupData!$J$2:$J$10000,0),11))</f>
        <v/>
      </c>
      <c r="V193" t="str">
        <f t="array" ref="V193">IF($A193="","",INDEX(JupData!$A$2:$K$10000,MATCH($A193&amp;V$1,JupData!$A$2:$A$10000&amp;JupData!$J$2:$J$10000,0),11))</f>
        <v/>
      </c>
      <c r="W193" t="str">
        <f t="array" ref="W193">IF($A193="","",INDEX(JupData!$A$2:$K$10000,MATCH($A193&amp;W$1,JupData!$A$2:$A$10000&amp;JupData!$J$2:$J$10000,0),11))</f>
        <v/>
      </c>
      <c r="X193" t="str">
        <f t="array" ref="X193">IF($A193="","",INDEX(JupData!$A$2:$K$10000,MATCH($A193&amp;X$1,JupData!$A$2:$A$10000&amp;JupData!$J$2:$J$10000,0),11))</f>
        <v/>
      </c>
      <c r="Y193" t="str">
        <f t="array" ref="Y193">IF($A193="","",INDEX(JupData!$A$2:$K$10000,MATCH($A193&amp;Y$1,JupData!$A$2:$A$10000&amp;JupData!$J$2:$J$10000,0),11))</f>
        <v/>
      </c>
      <c r="Z193" t="str">
        <f t="array" ref="Z193">IF($A193="","",INDEX(JupData!$A$2:$K$10000,MATCH($A193&amp;Z$1,JupData!$A$2:$A$10000&amp;JupData!$J$2:$J$10000,0),11))</f>
        <v/>
      </c>
      <c r="AA193" t="str">
        <f t="array" ref="AA193">IF($A193="","",INDEX(JupData!$A$2:$K$10000,MATCH($A193&amp;AA$1,JupData!$A$2:$A$10000&amp;JupData!$J$2:$J$10000,0),11))</f>
        <v/>
      </c>
      <c r="AB193" t="str">
        <f t="array" ref="AB193">IF($A193="","",INDEX(JupData!$A$2:$K$10000,MATCH($A193&amp;AB$1,JupData!$A$2:$A$10000&amp;JupData!$J$2:$J$10000,0),11))</f>
        <v/>
      </c>
      <c r="AC193" s="10" t="str">
        <f t="shared" si="22"/>
        <v/>
      </c>
      <c r="AD193" s="10" t="str">
        <f t="shared" si="23"/>
        <v/>
      </c>
      <c r="AE193" s="9" t="str">
        <f t="shared" si="24"/>
        <v/>
      </c>
      <c r="AF193" s="10" t="str">
        <f t="shared" si="25"/>
        <v/>
      </c>
      <c r="AG193" s="10" t="str">
        <f t="shared" si="26"/>
        <v/>
      </c>
      <c r="AH193" s="10" t="str">
        <f t="shared" si="27"/>
        <v/>
      </c>
      <c r="AI193" s="10" t="str">
        <f t="shared" si="28"/>
        <v/>
      </c>
      <c r="AJ193" s="10" t="str">
        <f t="shared" si="29"/>
        <v/>
      </c>
      <c r="AK193" s="10" t="str">
        <f t="shared" si="30"/>
        <v/>
      </c>
      <c r="AL193" s="14" t="str">
        <f t="shared" si="31"/>
        <v/>
      </c>
    </row>
    <row r="194" spans="1:38" x14ac:dyDescent="0.2">
      <c r="A194"/>
      <c r="B194" t="str">
        <f>IF($A194="","",VLOOKUP($A194,JupData!$A$2:$I$10000,4,FALSE))</f>
        <v/>
      </c>
      <c r="C194" s="7" t="str">
        <f>IF($A194="",IF(N(D194),0,""),VLOOKUP($A194,JupData!$A$2:$I$10000,7,FALSE))</f>
        <v/>
      </c>
      <c r="D194" t="str">
        <f t="shared" si="32"/>
        <v/>
      </c>
      <c r="E194" t="str">
        <f t="array" ref="E194">IF($A194="","",INDEX(JupData!$A$2:$K$10000,MATCH($A194&amp;E$1,JupData!$A$2:$A$10000&amp;JupData!$J$2:$J$10000,0),11))</f>
        <v/>
      </c>
      <c r="F194" t="str">
        <f t="array" ref="F194">IF($A194="","",INDEX(JupData!$A$2:$K$10000,MATCH($A194&amp;F$1,JupData!$A$2:$A$10000&amp;JupData!$J$2:$J$10000,0),11))</f>
        <v/>
      </c>
      <c r="G194" t="str">
        <f t="array" ref="G194">IF($A194="","",INDEX(JupData!$A$2:$K$10000,MATCH($A194&amp;G$1,JupData!$A$2:$A$10000&amp;JupData!$J$2:$J$10000,0),11))</f>
        <v/>
      </c>
      <c r="H194" t="str">
        <f t="array" ref="H194">IF($A194="","",INDEX(JupData!$A$2:$K$10000,MATCH($A194&amp;H$1,JupData!$A$2:$A$10000&amp;JupData!$J$2:$J$10000,0),11))</f>
        <v/>
      </c>
      <c r="I194" t="str">
        <f t="array" ref="I194">IF($A194="","",INDEX(JupData!$A$2:$K$10000,MATCH($A194&amp;I$1,JupData!$A$2:$A$10000&amp;JupData!$J$2:$J$10000,0),11))</f>
        <v/>
      </c>
      <c r="J194" t="str">
        <f t="array" ref="J194">IF($A194="","",INDEX(JupData!$A$2:$K$10000,MATCH($A194&amp;J$1,JupData!$A$2:$A$10000&amp;JupData!$J$2:$J$10000,0),11))</f>
        <v/>
      </c>
      <c r="K194" t="str">
        <f t="array" ref="K194">IF($A194="","",INDEX(JupData!$A$2:$K$10000,MATCH($A194&amp;K$1,JupData!$A$2:$A$10000&amp;JupData!$J$2:$J$10000,0),11))</f>
        <v/>
      </c>
      <c r="L194" t="str">
        <f t="array" ref="L194">IF($A194="","",INDEX(JupData!$A$2:$K$10000,MATCH($A194&amp;L$1,JupData!$A$2:$A$10000&amp;JupData!$J$2:$J$10000,0),11))</f>
        <v/>
      </c>
      <c r="M194" t="str">
        <f t="array" ref="M194">IF($A194="","",INDEX(JupData!$A$2:$K$10000,MATCH($A194&amp;M$1,JupData!$A$2:$A$10000&amp;JupData!$J$2:$J$10000,0),11))</f>
        <v/>
      </c>
      <c r="N194" t="str">
        <f t="array" ref="N194">IF($A194="","",INDEX(JupData!$A$2:$K$10000,MATCH($A194&amp;N$1,JupData!$A$2:$A$10000&amp;JupData!$J$2:$J$10000,0),11))</f>
        <v/>
      </c>
      <c r="O194" t="str">
        <f t="array" ref="O194">IF($A194="","",INDEX(JupData!$A$2:$K$10000,MATCH($A194&amp;O$1,JupData!$A$2:$A$10000&amp;JupData!$J$2:$J$10000,0),11))</f>
        <v/>
      </c>
      <c r="P194" t="str">
        <f t="array" ref="P194">IF($A194="","",INDEX(JupData!$A$2:$K$10000,MATCH($A194&amp;P$1,JupData!$A$2:$A$10000&amp;JupData!$J$2:$J$10000,0),11))</f>
        <v/>
      </c>
      <c r="Q194" t="str">
        <f t="array" ref="Q194">IF($A194="","",INDEX(JupData!$A$2:$K$10000,MATCH($A194&amp;Q$1,JupData!$A$2:$A$10000&amp;JupData!$J$2:$J$10000,0),11))</f>
        <v/>
      </c>
      <c r="R194" t="str">
        <f t="array" ref="R194">IF($A194="","",INDEX(JupData!$A$2:$K$10000,MATCH($A194&amp;R$1,JupData!$A$2:$A$10000&amp;JupData!$J$2:$J$10000,0),11))</f>
        <v/>
      </c>
      <c r="S194" t="str">
        <f t="array" ref="S194">IF($A194="","",INDEX(JupData!$A$2:$K$10000,MATCH($A194&amp;S$1,JupData!$A$2:$A$10000&amp;JupData!$J$2:$J$10000,0),11))</f>
        <v/>
      </c>
      <c r="T194" t="str">
        <f t="array" ref="T194">IF($A194="","",INDEX(JupData!$A$2:$K$10000,MATCH($A194&amp;T$1,JupData!$A$2:$A$10000&amp;JupData!$J$2:$J$10000,0),11))</f>
        <v/>
      </c>
      <c r="U194" t="str">
        <f t="array" ref="U194">IF($A194="","",INDEX(JupData!$A$2:$K$10000,MATCH($A194&amp;U$1,JupData!$A$2:$A$10000&amp;JupData!$J$2:$J$10000,0),11))</f>
        <v/>
      </c>
      <c r="V194" t="str">
        <f t="array" ref="V194">IF($A194="","",INDEX(JupData!$A$2:$K$10000,MATCH($A194&amp;V$1,JupData!$A$2:$A$10000&amp;JupData!$J$2:$J$10000,0),11))</f>
        <v/>
      </c>
      <c r="W194" t="str">
        <f t="array" ref="W194">IF($A194="","",INDEX(JupData!$A$2:$K$10000,MATCH($A194&amp;W$1,JupData!$A$2:$A$10000&amp;JupData!$J$2:$J$10000,0),11))</f>
        <v/>
      </c>
      <c r="X194" t="str">
        <f t="array" ref="X194">IF($A194="","",INDEX(JupData!$A$2:$K$10000,MATCH($A194&amp;X$1,JupData!$A$2:$A$10000&amp;JupData!$J$2:$J$10000,0),11))</f>
        <v/>
      </c>
      <c r="Y194" t="str">
        <f t="array" ref="Y194">IF($A194="","",INDEX(JupData!$A$2:$K$10000,MATCH($A194&amp;Y$1,JupData!$A$2:$A$10000&amp;JupData!$J$2:$J$10000,0),11))</f>
        <v/>
      </c>
      <c r="Z194" t="str">
        <f t="array" ref="Z194">IF($A194="","",INDEX(JupData!$A$2:$K$10000,MATCH($A194&amp;Z$1,JupData!$A$2:$A$10000&amp;JupData!$J$2:$J$10000,0),11))</f>
        <v/>
      </c>
      <c r="AA194" t="str">
        <f t="array" ref="AA194">IF($A194="","",INDEX(JupData!$A$2:$K$10000,MATCH($A194&amp;AA$1,JupData!$A$2:$A$10000&amp;JupData!$J$2:$J$10000,0),11))</f>
        <v/>
      </c>
      <c r="AB194" t="str">
        <f t="array" ref="AB194">IF($A194="","",INDEX(JupData!$A$2:$K$10000,MATCH($A194&amp;AB$1,JupData!$A$2:$A$10000&amp;JupData!$J$2:$J$10000,0),11))</f>
        <v/>
      </c>
      <c r="AC194" s="10" t="str">
        <f t="shared" si="22"/>
        <v/>
      </c>
      <c r="AD194" s="10" t="str">
        <f t="shared" si="23"/>
        <v/>
      </c>
      <c r="AE194" s="9" t="str">
        <f t="shared" si="24"/>
        <v/>
      </c>
      <c r="AF194" s="10" t="str">
        <f t="shared" si="25"/>
        <v/>
      </c>
      <c r="AG194" s="10" t="str">
        <f t="shared" si="26"/>
        <v/>
      </c>
      <c r="AH194" s="10" t="str">
        <f t="shared" si="27"/>
        <v/>
      </c>
      <c r="AI194" s="10" t="str">
        <f t="shared" si="28"/>
        <v/>
      </c>
      <c r="AJ194" s="10" t="str">
        <f t="shared" si="29"/>
        <v/>
      </c>
      <c r="AK194" s="10" t="str">
        <f t="shared" si="30"/>
        <v/>
      </c>
      <c r="AL194" s="14" t="str">
        <f t="shared" si="31"/>
        <v/>
      </c>
    </row>
    <row r="195" spans="1:38" x14ac:dyDescent="0.2">
      <c r="A195"/>
      <c r="B195" t="str">
        <f>IF($A195="","",VLOOKUP($A195,JupData!$A$2:$I$10000,4,FALSE))</f>
        <v/>
      </c>
      <c r="C195" s="7" t="str">
        <f>IF($A195="",IF(N(D195),0,""),VLOOKUP($A195,JupData!$A$2:$I$10000,7,FALSE))</f>
        <v/>
      </c>
      <c r="D195" t="str">
        <f t="shared" si="32"/>
        <v/>
      </c>
      <c r="E195" t="str">
        <f t="array" ref="E195">IF($A195="","",INDEX(JupData!$A$2:$K$10000,MATCH($A195&amp;E$1,JupData!$A$2:$A$10000&amp;JupData!$J$2:$J$10000,0),11))</f>
        <v/>
      </c>
      <c r="F195" t="str">
        <f t="array" ref="F195">IF($A195="","",INDEX(JupData!$A$2:$K$10000,MATCH($A195&amp;F$1,JupData!$A$2:$A$10000&amp;JupData!$J$2:$J$10000,0),11))</f>
        <v/>
      </c>
      <c r="G195" t="str">
        <f t="array" ref="G195">IF($A195="","",INDEX(JupData!$A$2:$K$10000,MATCH($A195&amp;G$1,JupData!$A$2:$A$10000&amp;JupData!$J$2:$J$10000,0),11))</f>
        <v/>
      </c>
      <c r="H195" t="str">
        <f t="array" ref="H195">IF($A195="","",INDEX(JupData!$A$2:$K$10000,MATCH($A195&amp;H$1,JupData!$A$2:$A$10000&amp;JupData!$J$2:$J$10000,0),11))</f>
        <v/>
      </c>
      <c r="I195" t="str">
        <f t="array" ref="I195">IF($A195="","",INDEX(JupData!$A$2:$K$10000,MATCH($A195&amp;I$1,JupData!$A$2:$A$10000&amp;JupData!$J$2:$J$10000,0),11))</f>
        <v/>
      </c>
      <c r="J195" t="str">
        <f t="array" ref="J195">IF($A195="","",INDEX(JupData!$A$2:$K$10000,MATCH($A195&amp;J$1,JupData!$A$2:$A$10000&amp;JupData!$J$2:$J$10000,0),11))</f>
        <v/>
      </c>
      <c r="K195" t="str">
        <f t="array" ref="K195">IF($A195="","",INDEX(JupData!$A$2:$K$10000,MATCH($A195&amp;K$1,JupData!$A$2:$A$10000&amp;JupData!$J$2:$J$10000,0),11))</f>
        <v/>
      </c>
      <c r="L195" t="str">
        <f t="array" ref="L195">IF($A195="","",INDEX(JupData!$A$2:$K$10000,MATCH($A195&amp;L$1,JupData!$A$2:$A$10000&amp;JupData!$J$2:$J$10000,0),11))</f>
        <v/>
      </c>
      <c r="M195" t="str">
        <f t="array" ref="M195">IF($A195="","",INDEX(JupData!$A$2:$K$10000,MATCH($A195&amp;M$1,JupData!$A$2:$A$10000&amp;JupData!$J$2:$J$10000,0),11))</f>
        <v/>
      </c>
      <c r="N195" t="str">
        <f t="array" ref="N195">IF($A195="","",INDEX(JupData!$A$2:$K$10000,MATCH($A195&amp;N$1,JupData!$A$2:$A$10000&amp;JupData!$J$2:$J$10000,0),11))</f>
        <v/>
      </c>
      <c r="O195" t="str">
        <f t="array" ref="O195">IF($A195="","",INDEX(JupData!$A$2:$K$10000,MATCH($A195&amp;O$1,JupData!$A$2:$A$10000&amp;JupData!$J$2:$J$10000,0),11))</f>
        <v/>
      </c>
      <c r="P195" t="str">
        <f t="array" ref="P195">IF($A195="","",INDEX(JupData!$A$2:$K$10000,MATCH($A195&amp;P$1,JupData!$A$2:$A$10000&amp;JupData!$J$2:$J$10000,0),11))</f>
        <v/>
      </c>
      <c r="Q195" t="str">
        <f t="array" ref="Q195">IF($A195="","",INDEX(JupData!$A$2:$K$10000,MATCH($A195&amp;Q$1,JupData!$A$2:$A$10000&amp;JupData!$J$2:$J$10000,0),11))</f>
        <v/>
      </c>
      <c r="R195" t="str">
        <f t="array" ref="R195">IF($A195="","",INDEX(JupData!$A$2:$K$10000,MATCH($A195&amp;R$1,JupData!$A$2:$A$10000&amp;JupData!$J$2:$J$10000,0),11))</f>
        <v/>
      </c>
      <c r="S195" t="str">
        <f t="array" ref="S195">IF($A195="","",INDEX(JupData!$A$2:$K$10000,MATCH($A195&amp;S$1,JupData!$A$2:$A$10000&amp;JupData!$J$2:$J$10000,0),11))</f>
        <v/>
      </c>
      <c r="T195" t="str">
        <f t="array" ref="T195">IF($A195="","",INDEX(JupData!$A$2:$K$10000,MATCH($A195&amp;T$1,JupData!$A$2:$A$10000&amp;JupData!$J$2:$J$10000,0),11))</f>
        <v/>
      </c>
      <c r="U195" t="str">
        <f t="array" ref="U195">IF($A195="","",INDEX(JupData!$A$2:$K$10000,MATCH($A195&amp;U$1,JupData!$A$2:$A$10000&amp;JupData!$J$2:$J$10000,0),11))</f>
        <v/>
      </c>
      <c r="V195" t="str">
        <f t="array" ref="V195">IF($A195="","",INDEX(JupData!$A$2:$K$10000,MATCH($A195&amp;V$1,JupData!$A$2:$A$10000&amp;JupData!$J$2:$J$10000,0),11))</f>
        <v/>
      </c>
      <c r="W195" t="str">
        <f t="array" ref="W195">IF($A195="","",INDEX(JupData!$A$2:$K$10000,MATCH($A195&amp;W$1,JupData!$A$2:$A$10000&amp;JupData!$J$2:$J$10000,0),11))</f>
        <v/>
      </c>
      <c r="X195" t="str">
        <f t="array" ref="X195">IF($A195="","",INDEX(JupData!$A$2:$K$10000,MATCH($A195&amp;X$1,JupData!$A$2:$A$10000&amp;JupData!$J$2:$J$10000,0),11))</f>
        <v/>
      </c>
      <c r="Y195" t="str">
        <f t="array" ref="Y195">IF($A195="","",INDEX(JupData!$A$2:$K$10000,MATCH($A195&amp;Y$1,JupData!$A$2:$A$10000&amp;JupData!$J$2:$J$10000,0),11))</f>
        <v/>
      </c>
      <c r="Z195" t="str">
        <f t="array" ref="Z195">IF($A195="","",INDEX(JupData!$A$2:$K$10000,MATCH($A195&amp;Z$1,JupData!$A$2:$A$10000&amp;JupData!$J$2:$J$10000,0),11))</f>
        <v/>
      </c>
      <c r="AA195" t="str">
        <f t="array" ref="AA195">IF($A195="","",INDEX(JupData!$A$2:$K$10000,MATCH($A195&amp;AA$1,JupData!$A$2:$A$10000&amp;JupData!$J$2:$J$10000,0),11))</f>
        <v/>
      </c>
      <c r="AB195" t="str">
        <f t="array" ref="AB195">IF($A195="","",INDEX(JupData!$A$2:$K$10000,MATCH($A195&amp;AB$1,JupData!$A$2:$A$10000&amp;JupData!$J$2:$J$10000,0),11))</f>
        <v/>
      </c>
      <c r="AC195" s="10" t="str">
        <f t="shared" ref="AC195:AC258" si="33">IF(A195="","",2*H195/40.08+2*I195/24.3+J195/22.99+K195/39.1+Y195/18.04)</f>
        <v/>
      </c>
      <c r="AD195" s="10" t="str">
        <f t="shared" ref="AD195:AD258" si="34">IF(A195="","",R195/61.02+2*S195/96.06+T195/35.45+U195/19+W195/62)</f>
        <v/>
      </c>
      <c r="AE195" s="9" t="str">
        <f t="shared" ref="AE195:AE258" si="35">IF(A195="","",IF(AD195&lt;0,((AC195+AD195)/(AC195-AD195)),((AC195-AD195)/(AC195+AD195))))</f>
        <v/>
      </c>
      <c r="AF195" s="10" t="str">
        <f t="shared" ref="AF195:AF258" si="36">IF(A195="","",(J195/22.99)/(T195/35.45))</f>
        <v/>
      </c>
      <c r="AG195" s="10" t="str">
        <f t="shared" ref="AG195:AG258" si="37">IF(A195="","",2*((H195/40.08)+(I195/24.3))/(R195/61.02))</f>
        <v/>
      </c>
      <c r="AH195" s="10" t="str">
        <f t="shared" ref="AH195:AH258" si="38">IF(A195="","",(J195/22.99)/((J195/22.99)+2*(H195/40.08)))</f>
        <v/>
      </c>
      <c r="AI195" s="10" t="str">
        <f t="shared" ref="AI195:AI258" si="39">IF(A195="","",H195/40.08)</f>
        <v/>
      </c>
      <c r="AJ195" s="10" t="str">
        <f t="shared" ref="AJ195:AJ258" si="40">IF(A195="","",S195/96.06)</f>
        <v/>
      </c>
      <c r="AK195" s="10" t="str">
        <f t="shared" ref="AK195:AK258" si="41">IF(A195="","",IF(W195&gt;=1,IF(L195&lt;0.2,IF(G195&gt;1,"A","B"),"X1"),IF(L195&gt;=0.2,IF(S195&gt;=20,IF(S195&gt;70,"C2","C1"),IF(AG195&lt;=1,"D","X3")),"X2")))</f>
        <v/>
      </c>
      <c r="AL195" s="14" t="str">
        <f t="shared" ref="AL195:AL258" si="42">IF(F195="","",(H195/40.1+I195/24.3)*5.6)</f>
        <v/>
      </c>
    </row>
    <row r="196" spans="1:38" x14ac:dyDescent="0.2">
      <c r="A196"/>
      <c r="B196" t="str">
        <f>IF($A196="","",VLOOKUP($A196,JupData!$A$2:$I$10000,4,FALSE))</f>
        <v/>
      </c>
      <c r="C196" s="7" t="str">
        <f>IF($A196="",IF(N(D196),0,""),VLOOKUP($A196,JupData!$A$2:$I$10000,7,FALSE))</f>
        <v/>
      </c>
      <c r="D196" t="str">
        <f t="shared" ref="D196:D259" si="43">IF(A196="",IF(D195&lt;20,D195+1,""),IF(B195="",1,IF(B195=B196,D195,D195+1)))</f>
        <v/>
      </c>
      <c r="E196" t="str">
        <f t="array" ref="E196">IF($A196="","",INDEX(JupData!$A$2:$K$10000,MATCH($A196&amp;E$1,JupData!$A$2:$A$10000&amp;JupData!$J$2:$J$10000,0),11))</f>
        <v/>
      </c>
      <c r="F196" t="str">
        <f t="array" ref="F196">IF($A196="","",INDEX(JupData!$A$2:$K$10000,MATCH($A196&amp;F$1,JupData!$A$2:$A$10000&amp;JupData!$J$2:$J$10000,0),11))</f>
        <v/>
      </c>
      <c r="G196" t="str">
        <f t="array" ref="G196">IF($A196="","",INDEX(JupData!$A$2:$K$10000,MATCH($A196&amp;G$1,JupData!$A$2:$A$10000&amp;JupData!$J$2:$J$10000,0),11))</f>
        <v/>
      </c>
      <c r="H196" t="str">
        <f t="array" ref="H196">IF($A196="","",INDEX(JupData!$A$2:$K$10000,MATCH($A196&amp;H$1,JupData!$A$2:$A$10000&amp;JupData!$J$2:$J$10000,0),11))</f>
        <v/>
      </c>
      <c r="I196" t="str">
        <f t="array" ref="I196">IF($A196="","",INDEX(JupData!$A$2:$K$10000,MATCH($A196&amp;I$1,JupData!$A$2:$A$10000&amp;JupData!$J$2:$J$10000,0),11))</f>
        <v/>
      </c>
      <c r="J196" t="str">
        <f t="array" ref="J196">IF($A196="","",INDEX(JupData!$A$2:$K$10000,MATCH($A196&amp;J$1,JupData!$A$2:$A$10000&amp;JupData!$J$2:$J$10000,0),11))</f>
        <v/>
      </c>
      <c r="K196" t="str">
        <f t="array" ref="K196">IF($A196="","",INDEX(JupData!$A$2:$K$10000,MATCH($A196&amp;K$1,JupData!$A$2:$A$10000&amp;JupData!$J$2:$J$10000,0),11))</f>
        <v/>
      </c>
      <c r="L196" t="str">
        <f t="array" ref="L196">IF($A196="","",INDEX(JupData!$A$2:$K$10000,MATCH($A196&amp;L$1,JupData!$A$2:$A$10000&amp;JupData!$J$2:$J$10000,0),11))</f>
        <v/>
      </c>
      <c r="M196" t="str">
        <f t="array" ref="M196">IF($A196="","",INDEX(JupData!$A$2:$K$10000,MATCH($A196&amp;M$1,JupData!$A$2:$A$10000&amp;JupData!$J$2:$J$10000,0),11))</f>
        <v/>
      </c>
      <c r="N196" t="str">
        <f t="array" ref="N196">IF($A196="","",INDEX(JupData!$A$2:$K$10000,MATCH($A196&amp;N$1,JupData!$A$2:$A$10000&amp;JupData!$J$2:$J$10000,0),11))</f>
        <v/>
      </c>
      <c r="O196" t="str">
        <f t="array" ref="O196">IF($A196="","",INDEX(JupData!$A$2:$K$10000,MATCH($A196&amp;O$1,JupData!$A$2:$A$10000&amp;JupData!$J$2:$J$10000,0),11))</f>
        <v/>
      </c>
      <c r="P196" t="str">
        <f t="array" ref="P196">IF($A196="","",INDEX(JupData!$A$2:$K$10000,MATCH($A196&amp;P$1,JupData!$A$2:$A$10000&amp;JupData!$J$2:$J$10000,0),11))</f>
        <v/>
      </c>
      <c r="Q196" t="str">
        <f t="array" ref="Q196">IF($A196="","",INDEX(JupData!$A$2:$K$10000,MATCH($A196&amp;Q$1,JupData!$A$2:$A$10000&amp;JupData!$J$2:$J$10000,0),11))</f>
        <v/>
      </c>
      <c r="R196" t="str">
        <f t="array" ref="R196">IF($A196="","",INDEX(JupData!$A$2:$K$10000,MATCH($A196&amp;R$1,JupData!$A$2:$A$10000&amp;JupData!$J$2:$J$10000,0),11))</f>
        <v/>
      </c>
      <c r="S196" t="str">
        <f t="array" ref="S196">IF($A196="","",INDEX(JupData!$A$2:$K$10000,MATCH($A196&amp;S$1,JupData!$A$2:$A$10000&amp;JupData!$J$2:$J$10000,0),11))</f>
        <v/>
      </c>
      <c r="T196" t="str">
        <f t="array" ref="T196">IF($A196="","",INDEX(JupData!$A$2:$K$10000,MATCH($A196&amp;T$1,JupData!$A$2:$A$10000&amp;JupData!$J$2:$J$10000,0),11))</f>
        <v/>
      </c>
      <c r="U196" t="str">
        <f t="array" ref="U196">IF($A196="","",INDEX(JupData!$A$2:$K$10000,MATCH($A196&amp;U$1,JupData!$A$2:$A$10000&amp;JupData!$J$2:$J$10000,0),11))</f>
        <v/>
      </c>
      <c r="V196" t="str">
        <f t="array" ref="V196">IF($A196="","",INDEX(JupData!$A$2:$K$10000,MATCH($A196&amp;V$1,JupData!$A$2:$A$10000&amp;JupData!$J$2:$J$10000,0),11))</f>
        <v/>
      </c>
      <c r="W196" t="str">
        <f t="array" ref="W196">IF($A196="","",INDEX(JupData!$A$2:$K$10000,MATCH($A196&amp;W$1,JupData!$A$2:$A$10000&amp;JupData!$J$2:$J$10000,0),11))</f>
        <v/>
      </c>
      <c r="X196" t="str">
        <f t="array" ref="X196">IF($A196="","",INDEX(JupData!$A$2:$K$10000,MATCH($A196&amp;X$1,JupData!$A$2:$A$10000&amp;JupData!$J$2:$J$10000,0),11))</f>
        <v/>
      </c>
      <c r="Y196" t="str">
        <f t="array" ref="Y196">IF($A196="","",INDEX(JupData!$A$2:$K$10000,MATCH($A196&amp;Y$1,JupData!$A$2:$A$10000&amp;JupData!$J$2:$J$10000,0),11))</f>
        <v/>
      </c>
      <c r="Z196" t="str">
        <f t="array" ref="Z196">IF($A196="","",INDEX(JupData!$A$2:$K$10000,MATCH($A196&amp;Z$1,JupData!$A$2:$A$10000&amp;JupData!$J$2:$J$10000,0),11))</f>
        <v/>
      </c>
      <c r="AA196" t="str">
        <f t="array" ref="AA196">IF($A196="","",INDEX(JupData!$A$2:$K$10000,MATCH($A196&amp;AA$1,JupData!$A$2:$A$10000&amp;JupData!$J$2:$J$10000,0),11))</f>
        <v/>
      </c>
      <c r="AB196" t="str">
        <f t="array" ref="AB196">IF($A196="","",INDEX(JupData!$A$2:$K$10000,MATCH($A196&amp;AB$1,JupData!$A$2:$A$10000&amp;JupData!$J$2:$J$10000,0),11))</f>
        <v/>
      </c>
      <c r="AC196" s="10" t="str">
        <f t="shared" si="33"/>
        <v/>
      </c>
      <c r="AD196" s="10" t="str">
        <f t="shared" si="34"/>
        <v/>
      </c>
      <c r="AE196" s="9" t="str">
        <f t="shared" si="35"/>
        <v/>
      </c>
      <c r="AF196" s="10" t="str">
        <f t="shared" si="36"/>
        <v/>
      </c>
      <c r="AG196" s="10" t="str">
        <f t="shared" si="37"/>
        <v/>
      </c>
      <c r="AH196" s="10" t="str">
        <f t="shared" si="38"/>
        <v/>
      </c>
      <c r="AI196" s="10" t="str">
        <f t="shared" si="39"/>
        <v/>
      </c>
      <c r="AJ196" s="10" t="str">
        <f t="shared" si="40"/>
        <v/>
      </c>
      <c r="AK196" s="10" t="str">
        <f t="shared" si="41"/>
        <v/>
      </c>
      <c r="AL196" s="14" t="str">
        <f t="shared" si="42"/>
        <v/>
      </c>
    </row>
    <row r="197" spans="1:38" x14ac:dyDescent="0.2">
      <c r="A197"/>
      <c r="B197" t="str">
        <f>IF($A197="","",VLOOKUP($A197,JupData!$A$2:$I$10000,4,FALSE))</f>
        <v/>
      </c>
      <c r="C197" s="7" t="str">
        <f>IF($A197="",IF(N(D197),0,""),VLOOKUP($A197,JupData!$A$2:$I$10000,7,FALSE))</f>
        <v/>
      </c>
      <c r="D197" t="str">
        <f t="shared" si="43"/>
        <v/>
      </c>
      <c r="E197" t="str">
        <f t="array" ref="E197">IF($A197="","",INDEX(JupData!$A$2:$K$10000,MATCH($A197&amp;E$1,JupData!$A$2:$A$10000&amp;JupData!$J$2:$J$10000,0),11))</f>
        <v/>
      </c>
      <c r="F197" t="str">
        <f t="array" ref="F197">IF($A197="","",INDEX(JupData!$A$2:$K$10000,MATCH($A197&amp;F$1,JupData!$A$2:$A$10000&amp;JupData!$J$2:$J$10000,0),11))</f>
        <v/>
      </c>
      <c r="G197" t="str">
        <f t="array" ref="G197">IF($A197="","",INDEX(JupData!$A$2:$K$10000,MATCH($A197&amp;G$1,JupData!$A$2:$A$10000&amp;JupData!$J$2:$J$10000,0),11))</f>
        <v/>
      </c>
      <c r="H197" t="str">
        <f t="array" ref="H197">IF($A197="","",INDEX(JupData!$A$2:$K$10000,MATCH($A197&amp;H$1,JupData!$A$2:$A$10000&amp;JupData!$J$2:$J$10000,0),11))</f>
        <v/>
      </c>
      <c r="I197" t="str">
        <f t="array" ref="I197">IF($A197="","",INDEX(JupData!$A$2:$K$10000,MATCH($A197&amp;I$1,JupData!$A$2:$A$10000&amp;JupData!$J$2:$J$10000,0),11))</f>
        <v/>
      </c>
      <c r="J197" t="str">
        <f t="array" ref="J197">IF($A197="","",INDEX(JupData!$A$2:$K$10000,MATCH($A197&amp;J$1,JupData!$A$2:$A$10000&amp;JupData!$J$2:$J$10000,0),11))</f>
        <v/>
      </c>
      <c r="K197" t="str">
        <f t="array" ref="K197">IF($A197="","",INDEX(JupData!$A$2:$K$10000,MATCH($A197&amp;K$1,JupData!$A$2:$A$10000&amp;JupData!$J$2:$J$10000,0),11))</f>
        <v/>
      </c>
      <c r="L197" t="str">
        <f t="array" ref="L197">IF($A197="","",INDEX(JupData!$A$2:$K$10000,MATCH($A197&amp;L$1,JupData!$A$2:$A$10000&amp;JupData!$J$2:$J$10000,0),11))</f>
        <v/>
      </c>
      <c r="M197" t="str">
        <f t="array" ref="M197">IF($A197="","",INDEX(JupData!$A$2:$K$10000,MATCH($A197&amp;M$1,JupData!$A$2:$A$10000&amp;JupData!$J$2:$J$10000,0),11))</f>
        <v/>
      </c>
      <c r="N197" t="str">
        <f t="array" ref="N197">IF($A197="","",INDEX(JupData!$A$2:$K$10000,MATCH($A197&amp;N$1,JupData!$A$2:$A$10000&amp;JupData!$J$2:$J$10000,0),11))</f>
        <v/>
      </c>
      <c r="O197" t="str">
        <f t="array" ref="O197">IF($A197="","",INDEX(JupData!$A$2:$K$10000,MATCH($A197&amp;O$1,JupData!$A$2:$A$10000&amp;JupData!$J$2:$J$10000,0),11))</f>
        <v/>
      </c>
      <c r="P197" t="str">
        <f t="array" ref="P197">IF($A197="","",INDEX(JupData!$A$2:$K$10000,MATCH($A197&amp;P$1,JupData!$A$2:$A$10000&amp;JupData!$J$2:$J$10000,0),11))</f>
        <v/>
      </c>
      <c r="Q197" t="str">
        <f t="array" ref="Q197">IF($A197="","",INDEX(JupData!$A$2:$K$10000,MATCH($A197&amp;Q$1,JupData!$A$2:$A$10000&amp;JupData!$J$2:$J$10000,0),11))</f>
        <v/>
      </c>
      <c r="R197" t="str">
        <f t="array" ref="R197">IF($A197="","",INDEX(JupData!$A$2:$K$10000,MATCH($A197&amp;R$1,JupData!$A$2:$A$10000&amp;JupData!$J$2:$J$10000,0),11))</f>
        <v/>
      </c>
      <c r="S197" t="str">
        <f t="array" ref="S197">IF($A197="","",INDEX(JupData!$A$2:$K$10000,MATCH($A197&amp;S$1,JupData!$A$2:$A$10000&amp;JupData!$J$2:$J$10000,0),11))</f>
        <v/>
      </c>
      <c r="T197" t="str">
        <f t="array" ref="T197">IF($A197="","",INDEX(JupData!$A$2:$K$10000,MATCH($A197&amp;T$1,JupData!$A$2:$A$10000&amp;JupData!$J$2:$J$10000,0),11))</f>
        <v/>
      </c>
      <c r="U197" t="str">
        <f t="array" ref="U197">IF($A197="","",INDEX(JupData!$A$2:$K$10000,MATCH($A197&amp;U$1,JupData!$A$2:$A$10000&amp;JupData!$J$2:$J$10000,0),11))</f>
        <v/>
      </c>
      <c r="V197" t="str">
        <f t="array" ref="V197">IF($A197="","",INDEX(JupData!$A$2:$K$10000,MATCH($A197&amp;V$1,JupData!$A$2:$A$10000&amp;JupData!$J$2:$J$10000,0),11))</f>
        <v/>
      </c>
      <c r="W197" t="str">
        <f t="array" ref="W197">IF($A197="","",INDEX(JupData!$A$2:$K$10000,MATCH($A197&amp;W$1,JupData!$A$2:$A$10000&amp;JupData!$J$2:$J$10000,0),11))</f>
        <v/>
      </c>
      <c r="X197" t="str">
        <f t="array" ref="X197">IF($A197="","",INDEX(JupData!$A$2:$K$10000,MATCH($A197&amp;X$1,JupData!$A$2:$A$10000&amp;JupData!$J$2:$J$10000,0),11))</f>
        <v/>
      </c>
      <c r="Y197" t="str">
        <f t="array" ref="Y197">IF($A197="","",INDEX(JupData!$A$2:$K$10000,MATCH($A197&amp;Y$1,JupData!$A$2:$A$10000&amp;JupData!$J$2:$J$10000,0),11))</f>
        <v/>
      </c>
      <c r="Z197" t="str">
        <f t="array" ref="Z197">IF($A197="","",INDEX(JupData!$A$2:$K$10000,MATCH($A197&amp;Z$1,JupData!$A$2:$A$10000&amp;JupData!$J$2:$J$10000,0),11))</f>
        <v/>
      </c>
      <c r="AA197" t="str">
        <f t="array" ref="AA197">IF($A197="","",INDEX(JupData!$A$2:$K$10000,MATCH($A197&amp;AA$1,JupData!$A$2:$A$10000&amp;JupData!$J$2:$J$10000,0),11))</f>
        <v/>
      </c>
      <c r="AB197" t="str">
        <f t="array" ref="AB197">IF($A197="","",INDEX(JupData!$A$2:$K$10000,MATCH($A197&amp;AB$1,JupData!$A$2:$A$10000&amp;JupData!$J$2:$J$10000,0),11))</f>
        <v/>
      </c>
      <c r="AC197" s="10" t="str">
        <f t="shared" si="33"/>
        <v/>
      </c>
      <c r="AD197" s="10" t="str">
        <f t="shared" si="34"/>
        <v/>
      </c>
      <c r="AE197" s="9" t="str">
        <f t="shared" si="35"/>
        <v/>
      </c>
      <c r="AF197" s="10" t="str">
        <f t="shared" si="36"/>
        <v/>
      </c>
      <c r="AG197" s="10" t="str">
        <f t="shared" si="37"/>
        <v/>
      </c>
      <c r="AH197" s="10" t="str">
        <f t="shared" si="38"/>
        <v/>
      </c>
      <c r="AI197" s="10" t="str">
        <f t="shared" si="39"/>
        <v/>
      </c>
      <c r="AJ197" s="10" t="str">
        <f t="shared" si="40"/>
        <v/>
      </c>
      <c r="AK197" s="10" t="str">
        <f t="shared" si="41"/>
        <v/>
      </c>
      <c r="AL197" s="14" t="str">
        <f t="shared" si="42"/>
        <v/>
      </c>
    </row>
    <row r="198" spans="1:38" x14ac:dyDescent="0.2">
      <c r="A198"/>
      <c r="B198" t="str">
        <f>IF($A198="","",VLOOKUP($A198,JupData!$A$2:$I$10000,4,FALSE))</f>
        <v/>
      </c>
      <c r="C198" s="7" t="str">
        <f>IF($A198="",IF(N(D198),0,""),VLOOKUP($A198,JupData!$A$2:$I$10000,7,FALSE))</f>
        <v/>
      </c>
      <c r="D198" t="str">
        <f t="shared" si="43"/>
        <v/>
      </c>
      <c r="E198" t="str">
        <f t="array" ref="E198">IF($A198="","",INDEX(JupData!$A$2:$K$10000,MATCH($A198&amp;E$1,JupData!$A$2:$A$10000&amp;JupData!$J$2:$J$10000,0),11))</f>
        <v/>
      </c>
      <c r="F198" t="str">
        <f t="array" ref="F198">IF($A198="","",INDEX(JupData!$A$2:$K$10000,MATCH($A198&amp;F$1,JupData!$A$2:$A$10000&amp;JupData!$J$2:$J$10000,0),11))</f>
        <v/>
      </c>
      <c r="G198" t="str">
        <f t="array" ref="G198">IF($A198="","",INDEX(JupData!$A$2:$K$10000,MATCH($A198&amp;G$1,JupData!$A$2:$A$10000&amp;JupData!$J$2:$J$10000,0),11))</f>
        <v/>
      </c>
      <c r="H198" t="str">
        <f t="array" ref="H198">IF($A198="","",INDEX(JupData!$A$2:$K$10000,MATCH($A198&amp;H$1,JupData!$A$2:$A$10000&amp;JupData!$J$2:$J$10000,0),11))</f>
        <v/>
      </c>
      <c r="I198" t="str">
        <f t="array" ref="I198">IF($A198="","",INDEX(JupData!$A$2:$K$10000,MATCH($A198&amp;I$1,JupData!$A$2:$A$10000&amp;JupData!$J$2:$J$10000,0),11))</f>
        <v/>
      </c>
      <c r="J198" t="str">
        <f t="array" ref="J198">IF($A198="","",INDEX(JupData!$A$2:$K$10000,MATCH($A198&amp;J$1,JupData!$A$2:$A$10000&amp;JupData!$J$2:$J$10000,0),11))</f>
        <v/>
      </c>
      <c r="K198" t="str">
        <f t="array" ref="K198">IF($A198="","",INDEX(JupData!$A$2:$K$10000,MATCH($A198&amp;K$1,JupData!$A$2:$A$10000&amp;JupData!$J$2:$J$10000,0),11))</f>
        <v/>
      </c>
      <c r="L198" t="str">
        <f t="array" ref="L198">IF($A198="","",INDEX(JupData!$A$2:$K$10000,MATCH($A198&amp;L$1,JupData!$A$2:$A$10000&amp;JupData!$J$2:$J$10000,0),11))</f>
        <v/>
      </c>
      <c r="M198" t="str">
        <f t="array" ref="M198">IF($A198="","",INDEX(JupData!$A$2:$K$10000,MATCH($A198&amp;M$1,JupData!$A$2:$A$10000&amp;JupData!$J$2:$J$10000,0),11))</f>
        <v/>
      </c>
      <c r="N198" t="str">
        <f t="array" ref="N198">IF($A198="","",INDEX(JupData!$A$2:$K$10000,MATCH($A198&amp;N$1,JupData!$A$2:$A$10000&amp;JupData!$J$2:$J$10000,0),11))</f>
        <v/>
      </c>
      <c r="O198" t="str">
        <f t="array" ref="O198">IF($A198="","",INDEX(JupData!$A$2:$K$10000,MATCH($A198&amp;O$1,JupData!$A$2:$A$10000&amp;JupData!$J$2:$J$10000,0),11))</f>
        <v/>
      </c>
      <c r="P198" t="str">
        <f t="array" ref="P198">IF($A198="","",INDEX(JupData!$A$2:$K$10000,MATCH($A198&amp;P$1,JupData!$A$2:$A$10000&amp;JupData!$J$2:$J$10000,0),11))</f>
        <v/>
      </c>
      <c r="Q198" t="str">
        <f t="array" ref="Q198">IF($A198="","",INDEX(JupData!$A$2:$K$10000,MATCH($A198&amp;Q$1,JupData!$A$2:$A$10000&amp;JupData!$J$2:$J$10000,0),11))</f>
        <v/>
      </c>
      <c r="R198" t="str">
        <f t="array" ref="R198">IF($A198="","",INDEX(JupData!$A$2:$K$10000,MATCH($A198&amp;R$1,JupData!$A$2:$A$10000&amp;JupData!$J$2:$J$10000,0),11))</f>
        <v/>
      </c>
      <c r="S198" t="str">
        <f t="array" ref="S198">IF($A198="","",INDEX(JupData!$A$2:$K$10000,MATCH($A198&amp;S$1,JupData!$A$2:$A$10000&amp;JupData!$J$2:$J$10000,0),11))</f>
        <v/>
      </c>
      <c r="T198" t="str">
        <f t="array" ref="T198">IF($A198="","",INDEX(JupData!$A$2:$K$10000,MATCH($A198&amp;T$1,JupData!$A$2:$A$10000&amp;JupData!$J$2:$J$10000,0),11))</f>
        <v/>
      </c>
      <c r="U198" t="str">
        <f t="array" ref="U198">IF($A198="","",INDEX(JupData!$A$2:$K$10000,MATCH($A198&amp;U$1,JupData!$A$2:$A$10000&amp;JupData!$J$2:$J$10000,0),11))</f>
        <v/>
      </c>
      <c r="V198" t="str">
        <f t="array" ref="V198">IF($A198="","",INDEX(JupData!$A$2:$K$10000,MATCH($A198&amp;V$1,JupData!$A$2:$A$10000&amp;JupData!$J$2:$J$10000,0),11))</f>
        <v/>
      </c>
      <c r="W198" t="str">
        <f t="array" ref="W198">IF($A198="","",INDEX(JupData!$A$2:$K$10000,MATCH($A198&amp;W$1,JupData!$A$2:$A$10000&amp;JupData!$J$2:$J$10000,0),11))</f>
        <v/>
      </c>
      <c r="X198" t="str">
        <f t="array" ref="X198">IF($A198="","",INDEX(JupData!$A$2:$K$10000,MATCH($A198&amp;X$1,JupData!$A$2:$A$10000&amp;JupData!$J$2:$J$10000,0),11))</f>
        <v/>
      </c>
      <c r="Y198" t="str">
        <f t="array" ref="Y198">IF($A198="","",INDEX(JupData!$A$2:$K$10000,MATCH($A198&amp;Y$1,JupData!$A$2:$A$10000&amp;JupData!$J$2:$J$10000,0),11))</f>
        <v/>
      </c>
      <c r="Z198" t="str">
        <f t="array" ref="Z198">IF($A198="","",INDEX(JupData!$A$2:$K$10000,MATCH($A198&amp;Z$1,JupData!$A$2:$A$10000&amp;JupData!$J$2:$J$10000,0),11))</f>
        <v/>
      </c>
      <c r="AA198" t="str">
        <f t="array" ref="AA198">IF($A198="","",INDEX(JupData!$A$2:$K$10000,MATCH($A198&amp;AA$1,JupData!$A$2:$A$10000&amp;JupData!$J$2:$J$10000,0),11))</f>
        <v/>
      </c>
      <c r="AB198" t="str">
        <f t="array" ref="AB198">IF($A198="","",INDEX(JupData!$A$2:$K$10000,MATCH($A198&amp;AB$1,JupData!$A$2:$A$10000&amp;JupData!$J$2:$J$10000,0),11))</f>
        <v/>
      </c>
      <c r="AC198" s="10" t="str">
        <f t="shared" si="33"/>
        <v/>
      </c>
      <c r="AD198" s="10" t="str">
        <f t="shared" si="34"/>
        <v/>
      </c>
      <c r="AE198" s="9" t="str">
        <f t="shared" si="35"/>
        <v/>
      </c>
      <c r="AF198" s="10" t="str">
        <f t="shared" si="36"/>
        <v/>
      </c>
      <c r="AG198" s="10" t="str">
        <f t="shared" si="37"/>
        <v/>
      </c>
      <c r="AH198" s="10" t="str">
        <f t="shared" si="38"/>
        <v/>
      </c>
      <c r="AI198" s="10" t="str">
        <f t="shared" si="39"/>
        <v/>
      </c>
      <c r="AJ198" s="10" t="str">
        <f t="shared" si="40"/>
        <v/>
      </c>
      <c r="AK198" s="10" t="str">
        <f t="shared" si="41"/>
        <v/>
      </c>
      <c r="AL198" s="14" t="str">
        <f t="shared" si="42"/>
        <v/>
      </c>
    </row>
    <row r="199" spans="1:38" x14ac:dyDescent="0.2">
      <c r="A199"/>
      <c r="B199" t="str">
        <f>IF($A199="","",VLOOKUP($A199,JupData!$A$2:$I$10000,4,FALSE))</f>
        <v/>
      </c>
      <c r="C199" s="7" t="str">
        <f>IF($A199="",IF(N(D199),0,""),VLOOKUP($A199,JupData!$A$2:$I$10000,7,FALSE))</f>
        <v/>
      </c>
      <c r="D199" t="str">
        <f t="shared" si="43"/>
        <v/>
      </c>
      <c r="E199" t="str">
        <f t="array" ref="E199">IF($A199="","",INDEX(JupData!$A$2:$K$10000,MATCH($A199&amp;E$1,JupData!$A$2:$A$10000&amp;JupData!$J$2:$J$10000,0),11))</f>
        <v/>
      </c>
      <c r="F199" t="str">
        <f t="array" ref="F199">IF($A199="","",INDEX(JupData!$A$2:$K$10000,MATCH($A199&amp;F$1,JupData!$A$2:$A$10000&amp;JupData!$J$2:$J$10000,0),11))</f>
        <v/>
      </c>
      <c r="G199" t="str">
        <f t="array" ref="G199">IF($A199="","",INDEX(JupData!$A$2:$K$10000,MATCH($A199&amp;G$1,JupData!$A$2:$A$10000&amp;JupData!$J$2:$J$10000,0),11))</f>
        <v/>
      </c>
      <c r="H199" t="str">
        <f t="array" ref="H199">IF($A199="","",INDEX(JupData!$A$2:$K$10000,MATCH($A199&amp;H$1,JupData!$A$2:$A$10000&amp;JupData!$J$2:$J$10000,0),11))</f>
        <v/>
      </c>
      <c r="I199" t="str">
        <f t="array" ref="I199">IF($A199="","",INDEX(JupData!$A$2:$K$10000,MATCH($A199&amp;I$1,JupData!$A$2:$A$10000&amp;JupData!$J$2:$J$10000,0),11))</f>
        <v/>
      </c>
      <c r="J199" t="str">
        <f t="array" ref="J199">IF($A199="","",INDEX(JupData!$A$2:$K$10000,MATCH($A199&amp;J$1,JupData!$A$2:$A$10000&amp;JupData!$J$2:$J$10000,0),11))</f>
        <v/>
      </c>
      <c r="K199" t="str">
        <f t="array" ref="K199">IF($A199="","",INDEX(JupData!$A$2:$K$10000,MATCH($A199&amp;K$1,JupData!$A$2:$A$10000&amp;JupData!$J$2:$J$10000,0),11))</f>
        <v/>
      </c>
      <c r="L199" t="str">
        <f t="array" ref="L199">IF($A199="","",INDEX(JupData!$A$2:$K$10000,MATCH($A199&amp;L$1,JupData!$A$2:$A$10000&amp;JupData!$J$2:$J$10000,0),11))</f>
        <v/>
      </c>
      <c r="M199" t="str">
        <f t="array" ref="M199">IF($A199="","",INDEX(JupData!$A$2:$K$10000,MATCH($A199&amp;M$1,JupData!$A$2:$A$10000&amp;JupData!$J$2:$J$10000,0),11))</f>
        <v/>
      </c>
      <c r="N199" t="str">
        <f t="array" ref="N199">IF($A199="","",INDEX(JupData!$A$2:$K$10000,MATCH($A199&amp;N$1,JupData!$A$2:$A$10000&amp;JupData!$J$2:$J$10000,0),11))</f>
        <v/>
      </c>
      <c r="O199" t="str">
        <f t="array" ref="O199">IF($A199="","",INDEX(JupData!$A$2:$K$10000,MATCH($A199&amp;O$1,JupData!$A$2:$A$10000&amp;JupData!$J$2:$J$10000,0),11))</f>
        <v/>
      </c>
      <c r="P199" t="str">
        <f t="array" ref="P199">IF($A199="","",INDEX(JupData!$A$2:$K$10000,MATCH($A199&amp;P$1,JupData!$A$2:$A$10000&amp;JupData!$J$2:$J$10000,0),11))</f>
        <v/>
      </c>
      <c r="Q199" t="str">
        <f t="array" ref="Q199">IF($A199="","",INDEX(JupData!$A$2:$K$10000,MATCH($A199&amp;Q$1,JupData!$A$2:$A$10000&amp;JupData!$J$2:$J$10000,0),11))</f>
        <v/>
      </c>
      <c r="R199" t="str">
        <f t="array" ref="R199">IF($A199="","",INDEX(JupData!$A$2:$K$10000,MATCH($A199&amp;R$1,JupData!$A$2:$A$10000&amp;JupData!$J$2:$J$10000,0),11))</f>
        <v/>
      </c>
      <c r="S199" t="str">
        <f t="array" ref="S199">IF($A199="","",INDEX(JupData!$A$2:$K$10000,MATCH($A199&amp;S$1,JupData!$A$2:$A$10000&amp;JupData!$J$2:$J$10000,0),11))</f>
        <v/>
      </c>
      <c r="T199" t="str">
        <f t="array" ref="T199">IF($A199="","",INDEX(JupData!$A$2:$K$10000,MATCH($A199&amp;T$1,JupData!$A$2:$A$10000&amp;JupData!$J$2:$J$10000,0),11))</f>
        <v/>
      </c>
      <c r="U199" t="str">
        <f t="array" ref="U199">IF($A199="","",INDEX(JupData!$A$2:$K$10000,MATCH($A199&amp;U$1,JupData!$A$2:$A$10000&amp;JupData!$J$2:$J$10000,0),11))</f>
        <v/>
      </c>
      <c r="V199" t="str">
        <f t="array" ref="V199">IF($A199="","",INDEX(JupData!$A$2:$K$10000,MATCH($A199&amp;V$1,JupData!$A$2:$A$10000&amp;JupData!$J$2:$J$10000,0),11))</f>
        <v/>
      </c>
      <c r="W199" t="str">
        <f t="array" ref="W199">IF($A199="","",INDEX(JupData!$A$2:$K$10000,MATCH($A199&amp;W$1,JupData!$A$2:$A$10000&amp;JupData!$J$2:$J$10000,0),11))</f>
        <v/>
      </c>
      <c r="X199" t="str">
        <f t="array" ref="X199">IF($A199="","",INDEX(JupData!$A$2:$K$10000,MATCH($A199&amp;X$1,JupData!$A$2:$A$10000&amp;JupData!$J$2:$J$10000,0),11))</f>
        <v/>
      </c>
      <c r="Y199" t="str">
        <f t="array" ref="Y199">IF($A199="","",INDEX(JupData!$A$2:$K$10000,MATCH($A199&amp;Y$1,JupData!$A$2:$A$10000&amp;JupData!$J$2:$J$10000,0),11))</f>
        <v/>
      </c>
      <c r="Z199" t="str">
        <f t="array" ref="Z199">IF($A199="","",INDEX(JupData!$A$2:$K$10000,MATCH($A199&amp;Z$1,JupData!$A$2:$A$10000&amp;JupData!$J$2:$J$10000,0),11))</f>
        <v/>
      </c>
      <c r="AA199" t="str">
        <f t="array" ref="AA199">IF($A199="","",INDEX(JupData!$A$2:$K$10000,MATCH($A199&amp;AA$1,JupData!$A$2:$A$10000&amp;JupData!$J$2:$J$10000,0),11))</f>
        <v/>
      </c>
      <c r="AB199" t="str">
        <f t="array" ref="AB199">IF($A199="","",INDEX(JupData!$A$2:$K$10000,MATCH($A199&amp;AB$1,JupData!$A$2:$A$10000&amp;JupData!$J$2:$J$10000,0),11))</f>
        <v/>
      </c>
      <c r="AC199" s="10" t="str">
        <f t="shared" si="33"/>
        <v/>
      </c>
      <c r="AD199" s="10" t="str">
        <f t="shared" si="34"/>
        <v/>
      </c>
      <c r="AE199" s="9" t="str">
        <f t="shared" si="35"/>
        <v/>
      </c>
      <c r="AF199" s="10" t="str">
        <f t="shared" si="36"/>
        <v/>
      </c>
      <c r="AG199" s="10" t="str">
        <f t="shared" si="37"/>
        <v/>
      </c>
      <c r="AH199" s="10" t="str">
        <f t="shared" si="38"/>
        <v/>
      </c>
      <c r="AI199" s="10" t="str">
        <f t="shared" si="39"/>
        <v/>
      </c>
      <c r="AJ199" s="10" t="str">
        <f t="shared" si="40"/>
        <v/>
      </c>
      <c r="AK199" s="10" t="str">
        <f t="shared" si="41"/>
        <v/>
      </c>
      <c r="AL199" s="14" t="str">
        <f t="shared" si="42"/>
        <v/>
      </c>
    </row>
    <row r="200" spans="1:38" x14ac:dyDescent="0.2">
      <c r="A200"/>
      <c r="B200" t="str">
        <f>IF($A200="","",VLOOKUP($A200,JupData!$A$2:$I$10000,4,FALSE))</f>
        <v/>
      </c>
      <c r="C200" s="7" t="str">
        <f>IF($A200="",IF(N(D200),0,""),VLOOKUP($A200,JupData!$A$2:$I$10000,7,FALSE))</f>
        <v/>
      </c>
      <c r="D200" t="str">
        <f t="shared" si="43"/>
        <v/>
      </c>
      <c r="E200" t="str">
        <f t="array" ref="E200">IF($A200="","",INDEX(JupData!$A$2:$K$10000,MATCH($A200&amp;E$1,JupData!$A$2:$A$10000&amp;JupData!$J$2:$J$10000,0),11))</f>
        <v/>
      </c>
      <c r="F200" t="str">
        <f t="array" ref="F200">IF($A200="","",INDEX(JupData!$A$2:$K$10000,MATCH($A200&amp;F$1,JupData!$A$2:$A$10000&amp;JupData!$J$2:$J$10000,0),11))</f>
        <v/>
      </c>
      <c r="G200" t="str">
        <f t="array" ref="G200">IF($A200="","",INDEX(JupData!$A$2:$K$10000,MATCH($A200&amp;G$1,JupData!$A$2:$A$10000&amp;JupData!$J$2:$J$10000,0),11))</f>
        <v/>
      </c>
      <c r="H200" t="str">
        <f t="array" ref="H200">IF($A200="","",INDEX(JupData!$A$2:$K$10000,MATCH($A200&amp;H$1,JupData!$A$2:$A$10000&amp;JupData!$J$2:$J$10000,0),11))</f>
        <v/>
      </c>
      <c r="I200" t="str">
        <f t="array" ref="I200">IF($A200="","",INDEX(JupData!$A$2:$K$10000,MATCH($A200&amp;I$1,JupData!$A$2:$A$10000&amp;JupData!$J$2:$J$10000,0),11))</f>
        <v/>
      </c>
      <c r="J200" t="str">
        <f t="array" ref="J200">IF($A200="","",INDEX(JupData!$A$2:$K$10000,MATCH($A200&amp;J$1,JupData!$A$2:$A$10000&amp;JupData!$J$2:$J$10000,0),11))</f>
        <v/>
      </c>
      <c r="K200" t="str">
        <f t="array" ref="K200">IF($A200="","",INDEX(JupData!$A$2:$K$10000,MATCH($A200&amp;K$1,JupData!$A$2:$A$10000&amp;JupData!$J$2:$J$10000,0),11))</f>
        <v/>
      </c>
      <c r="L200" t="str">
        <f t="array" ref="L200">IF($A200="","",INDEX(JupData!$A$2:$K$10000,MATCH($A200&amp;L$1,JupData!$A$2:$A$10000&amp;JupData!$J$2:$J$10000,0),11))</f>
        <v/>
      </c>
      <c r="M200" t="str">
        <f t="array" ref="M200">IF($A200="","",INDEX(JupData!$A$2:$K$10000,MATCH($A200&amp;M$1,JupData!$A$2:$A$10000&amp;JupData!$J$2:$J$10000,0),11))</f>
        <v/>
      </c>
      <c r="N200" t="str">
        <f t="array" ref="N200">IF($A200="","",INDEX(JupData!$A$2:$K$10000,MATCH($A200&amp;N$1,JupData!$A$2:$A$10000&amp;JupData!$J$2:$J$10000,0),11))</f>
        <v/>
      </c>
      <c r="O200" t="str">
        <f t="array" ref="O200">IF($A200="","",INDEX(JupData!$A$2:$K$10000,MATCH($A200&amp;O$1,JupData!$A$2:$A$10000&amp;JupData!$J$2:$J$10000,0),11))</f>
        <v/>
      </c>
      <c r="P200" t="str">
        <f t="array" ref="P200">IF($A200="","",INDEX(JupData!$A$2:$K$10000,MATCH($A200&amp;P$1,JupData!$A$2:$A$10000&amp;JupData!$J$2:$J$10000,0),11))</f>
        <v/>
      </c>
      <c r="Q200" t="str">
        <f t="array" ref="Q200">IF($A200="","",INDEX(JupData!$A$2:$K$10000,MATCH($A200&amp;Q$1,JupData!$A$2:$A$10000&amp;JupData!$J$2:$J$10000,0),11))</f>
        <v/>
      </c>
      <c r="R200" t="str">
        <f t="array" ref="R200">IF($A200="","",INDEX(JupData!$A$2:$K$10000,MATCH($A200&amp;R$1,JupData!$A$2:$A$10000&amp;JupData!$J$2:$J$10000,0),11))</f>
        <v/>
      </c>
      <c r="S200" t="str">
        <f t="array" ref="S200">IF($A200="","",INDEX(JupData!$A$2:$K$10000,MATCH($A200&amp;S$1,JupData!$A$2:$A$10000&amp;JupData!$J$2:$J$10000,0),11))</f>
        <v/>
      </c>
      <c r="T200" t="str">
        <f t="array" ref="T200">IF($A200="","",INDEX(JupData!$A$2:$K$10000,MATCH($A200&amp;T$1,JupData!$A$2:$A$10000&amp;JupData!$J$2:$J$10000,0),11))</f>
        <v/>
      </c>
      <c r="U200" t="str">
        <f t="array" ref="U200">IF($A200="","",INDEX(JupData!$A$2:$K$10000,MATCH($A200&amp;U$1,JupData!$A$2:$A$10000&amp;JupData!$J$2:$J$10000,0),11))</f>
        <v/>
      </c>
      <c r="V200" t="str">
        <f t="array" ref="V200">IF($A200="","",INDEX(JupData!$A$2:$K$10000,MATCH($A200&amp;V$1,JupData!$A$2:$A$10000&amp;JupData!$J$2:$J$10000,0),11))</f>
        <v/>
      </c>
      <c r="W200" t="str">
        <f t="array" ref="W200">IF($A200="","",INDEX(JupData!$A$2:$K$10000,MATCH($A200&amp;W$1,JupData!$A$2:$A$10000&amp;JupData!$J$2:$J$10000,0),11))</f>
        <v/>
      </c>
      <c r="X200" t="str">
        <f t="array" ref="X200">IF($A200="","",INDEX(JupData!$A$2:$K$10000,MATCH($A200&amp;X$1,JupData!$A$2:$A$10000&amp;JupData!$J$2:$J$10000,0),11))</f>
        <v/>
      </c>
      <c r="Y200" t="str">
        <f t="array" ref="Y200">IF($A200="","",INDEX(JupData!$A$2:$K$10000,MATCH($A200&amp;Y$1,JupData!$A$2:$A$10000&amp;JupData!$J$2:$J$10000,0),11))</f>
        <v/>
      </c>
      <c r="Z200" t="str">
        <f t="array" ref="Z200">IF($A200="","",INDEX(JupData!$A$2:$K$10000,MATCH($A200&amp;Z$1,JupData!$A$2:$A$10000&amp;JupData!$J$2:$J$10000,0),11))</f>
        <v/>
      </c>
      <c r="AA200" t="str">
        <f t="array" ref="AA200">IF($A200="","",INDEX(JupData!$A$2:$K$10000,MATCH($A200&amp;AA$1,JupData!$A$2:$A$10000&amp;JupData!$J$2:$J$10000,0),11))</f>
        <v/>
      </c>
      <c r="AB200" t="str">
        <f t="array" ref="AB200">IF($A200="","",INDEX(JupData!$A$2:$K$10000,MATCH($A200&amp;AB$1,JupData!$A$2:$A$10000&amp;JupData!$J$2:$J$10000,0),11))</f>
        <v/>
      </c>
      <c r="AC200" s="10" t="str">
        <f t="shared" si="33"/>
        <v/>
      </c>
      <c r="AD200" s="10" t="str">
        <f t="shared" si="34"/>
        <v/>
      </c>
      <c r="AE200" s="9" t="str">
        <f t="shared" si="35"/>
        <v/>
      </c>
      <c r="AF200" s="10" t="str">
        <f t="shared" si="36"/>
        <v/>
      </c>
      <c r="AG200" s="10" t="str">
        <f t="shared" si="37"/>
        <v/>
      </c>
      <c r="AH200" s="10" t="str">
        <f t="shared" si="38"/>
        <v/>
      </c>
      <c r="AI200" s="10" t="str">
        <f t="shared" si="39"/>
        <v/>
      </c>
      <c r="AJ200" s="10" t="str">
        <f t="shared" si="40"/>
        <v/>
      </c>
      <c r="AK200" s="10" t="str">
        <f t="shared" si="41"/>
        <v/>
      </c>
      <c r="AL200" s="14" t="str">
        <f t="shared" si="42"/>
        <v/>
      </c>
    </row>
    <row r="201" spans="1:38" x14ac:dyDescent="0.2">
      <c r="A201"/>
      <c r="B201" t="str">
        <f>IF($A201="","",VLOOKUP($A201,JupData!$A$2:$I$10000,4,FALSE))</f>
        <v/>
      </c>
      <c r="C201" s="7" t="str">
        <f>IF($A201="",IF(N(D201),0,""),VLOOKUP($A201,JupData!$A$2:$I$10000,7,FALSE))</f>
        <v/>
      </c>
      <c r="D201" t="str">
        <f t="shared" si="43"/>
        <v/>
      </c>
      <c r="E201" t="str">
        <f t="array" ref="E201">IF($A201="","",INDEX(JupData!$A$2:$K$10000,MATCH($A201&amp;E$1,JupData!$A$2:$A$10000&amp;JupData!$J$2:$J$10000,0),11))</f>
        <v/>
      </c>
      <c r="F201" t="str">
        <f t="array" ref="F201">IF($A201="","",INDEX(JupData!$A$2:$K$10000,MATCH($A201&amp;F$1,JupData!$A$2:$A$10000&amp;JupData!$J$2:$J$10000,0),11))</f>
        <v/>
      </c>
      <c r="G201" t="str">
        <f t="array" ref="G201">IF($A201="","",INDEX(JupData!$A$2:$K$10000,MATCH($A201&amp;G$1,JupData!$A$2:$A$10000&amp;JupData!$J$2:$J$10000,0),11))</f>
        <v/>
      </c>
      <c r="H201" t="str">
        <f t="array" ref="H201">IF($A201="","",INDEX(JupData!$A$2:$K$10000,MATCH($A201&amp;H$1,JupData!$A$2:$A$10000&amp;JupData!$J$2:$J$10000,0),11))</f>
        <v/>
      </c>
      <c r="I201" t="str">
        <f t="array" ref="I201">IF($A201="","",INDEX(JupData!$A$2:$K$10000,MATCH($A201&amp;I$1,JupData!$A$2:$A$10000&amp;JupData!$J$2:$J$10000,0),11))</f>
        <v/>
      </c>
      <c r="J201" t="str">
        <f t="array" ref="J201">IF($A201="","",INDEX(JupData!$A$2:$K$10000,MATCH($A201&amp;J$1,JupData!$A$2:$A$10000&amp;JupData!$J$2:$J$10000,0),11))</f>
        <v/>
      </c>
      <c r="K201" t="str">
        <f t="array" ref="K201">IF($A201="","",INDEX(JupData!$A$2:$K$10000,MATCH($A201&amp;K$1,JupData!$A$2:$A$10000&amp;JupData!$J$2:$J$10000,0),11))</f>
        <v/>
      </c>
      <c r="L201" t="str">
        <f t="array" ref="L201">IF($A201="","",INDEX(JupData!$A$2:$K$10000,MATCH($A201&amp;L$1,JupData!$A$2:$A$10000&amp;JupData!$J$2:$J$10000,0),11))</f>
        <v/>
      </c>
      <c r="M201" t="str">
        <f t="array" ref="M201">IF($A201="","",INDEX(JupData!$A$2:$K$10000,MATCH($A201&amp;M$1,JupData!$A$2:$A$10000&amp;JupData!$J$2:$J$10000,0),11))</f>
        <v/>
      </c>
      <c r="N201" t="str">
        <f t="array" ref="N201">IF($A201="","",INDEX(JupData!$A$2:$K$10000,MATCH($A201&amp;N$1,JupData!$A$2:$A$10000&amp;JupData!$J$2:$J$10000,0),11))</f>
        <v/>
      </c>
      <c r="O201" t="str">
        <f t="array" ref="O201">IF($A201="","",INDEX(JupData!$A$2:$K$10000,MATCH($A201&amp;O$1,JupData!$A$2:$A$10000&amp;JupData!$J$2:$J$10000,0),11))</f>
        <v/>
      </c>
      <c r="P201" t="str">
        <f t="array" ref="P201">IF($A201="","",INDEX(JupData!$A$2:$K$10000,MATCH($A201&amp;P$1,JupData!$A$2:$A$10000&amp;JupData!$J$2:$J$10000,0),11))</f>
        <v/>
      </c>
      <c r="Q201" t="str">
        <f t="array" ref="Q201">IF($A201="","",INDEX(JupData!$A$2:$K$10000,MATCH($A201&amp;Q$1,JupData!$A$2:$A$10000&amp;JupData!$J$2:$J$10000,0),11))</f>
        <v/>
      </c>
      <c r="R201" t="str">
        <f t="array" ref="R201">IF($A201="","",INDEX(JupData!$A$2:$K$10000,MATCH($A201&amp;R$1,JupData!$A$2:$A$10000&amp;JupData!$J$2:$J$10000,0),11))</f>
        <v/>
      </c>
      <c r="S201" t="str">
        <f t="array" ref="S201">IF($A201="","",INDEX(JupData!$A$2:$K$10000,MATCH($A201&amp;S$1,JupData!$A$2:$A$10000&amp;JupData!$J$2:$J$10000,0),11))</f>
        <v/>
      </c>
      <c r="T201" t="str">
        <f t="array" ref="T201">IF($A201="","",INDEX(JupData!$A$2:$K$10000,MATCH($A201&amp;T$1,JupData!$A$2:$A$10000&amp;JupData!$J$2:$J$10000,0),11))</f>
        <v/>
      </c>
      <c r="U201" t="str">
        <f t="array" ref="U201">IF($A201="","",INDEX(JupData!$A$2:$K$10000,MATCH($A201&amp;U$1,JupData!$A$2:$A$10000&amp;JupData!$J$2:$J$10000,0),11))</f>
        <v/>
      </c>
      <c r="V201" t="str">
        <f t="array" ref="V201">IF($A201="","",INDEX(JupData!$A$2:$K$10000,MATCH($A201&amp;V$1,JupData!$A$2:$A$10000&amp;JupData!$J$2:$J$10000,0),11))</f>
        <v/>
      </c>
      <c r="W201" t="str">
        <f t="array" ref="W201">IF($A201="","",INDEX(JupData!$A$2:$K$10000,MATCH($A201&amp;W$1,JupData!$A$2:$A$10000&amp;JupData!$J$2:$J$10000,0),11))</f>
        <v/>
      </c>
      <c r="X201" t="str">
        <f t="array" ref="X201">IF($A201="","",INDEX(JupData!$A$2:$K$10000,MATCH($A201&amp;X$1,JupData!$A$2:$A$10000&amp;JupData!$J$2:$J$10000,0),11))</f>
        <v/>
      </c>
      <c r="Y201" t="str">
        <f t="array" ref="Y201">IF($A201="","",INDEX(JupData!$A$2:$K$10000,MATCH($A201&amp;Y$1,JupData!$A$2:$A$10000&amp;JupData!$J$2:$J$10000,0),11))</f>
        <v/>
      </c>
      <c r="Z201" t="str">
        <f t="array" ref="Z201">IF($A201="","",INDEX(JupData!$A$2:$K$10000,MATCH($A201&amp;Z$1,JupData!$A$2:$A$10000&amp;JupData!$J$2:$J$10000,0),11))</f>
        <v/>
      </c>
      <c r="AA201" t="str">
        <f t="array" ref="AA201">IF($A201="","",INDEX(JupData!$A$2:$K$10000,MATCH($A201&amp;AA$1,JupData!$A$2:$A$10000&amp;JupData!$J$2:$J$10000,0),11))</f>
        <v/>
      </c>
      <c r="AB201" t="str">
        <f t="array" ref="AB201">IF($A201="","",INDEX(JupData!$A$2:$K$10000,MATCH($A201&amp;AB$1,JupData!$A$2:$A$10000&amp;JupData!$J$2:$J$10000,0),11))</f>
        <v/>
      </c>
      <c r="AC201" s="10" t="str">
        <f t="shared" si="33"/>
        <v/>
      </c>
      <c r="AD201" s="10" t="str">
        <f t="shared" si="34"/>
        <v/>
      </c>
      <c r="AE201" s="9" t="str">
        <f t="shared" si="35"/>
        <v/>
      </c>
      <c r="AF201" s="10" t="str">
        <f t="shared" si="36"/>
        <v/>
      </c>
      <c r="AG201" s="10" t="str">
        <f t="shared" si="37"/>
        <v/>
      </c>
      <c r="AH201" s="10" t="str">
        <f t="shared" si="38"/>
        <v/>
      </c>
      <c r="AI201" s="10" t="str">
        <f t="shared" si="39"/>
        <v/>
      </c>
      <c r="AJ201" s="10" t="str">
        <f t="shared" si="40"/>
        <v/>
      </c>
      <c r="AK201" s="10" t="str">
        <f t="shared" si="41"/>
        <v/>
      </c>
      <c r="AL201" s="14" t="str">
        <f t="shared" si="42"/>
        <v/>
      </c>
    </row>
    <row r="202" spans="1:38" x14ac:dyDescent="0.2">
      <c r="A202"/>
      <c r="B202" t="str">
        <f>IF($A202="","",VLOOKUP($A202,JupData!$A$2:$I$10000,4,FALSE))</f>
        <v/>
      </c>
      <c r="C202" s="7" t="str">
        <f>IF($A202="",IF(N(D202),0,""),VLOOKUP($A202,JupData!$A$2:$I$10000,7,FALSE))</f>
        <v/>
      </c>
      <c r="D202" t="str">
        <f t="shared" si="43"/>
        <v/>
      </c>
      <c r="E202" t="str">
        <f t="array" ref="E202">IF($A202="","",INDEX(JupData!$A$2:$K$10000,MATCH($A202&amp;E$1,JupData!$A$2:$A$10000&amp;JupData!$J$2:$J$10000,0),11))</f>
        <v/>
      </c>
      <c r="F202" t="str">
        <f t="array" ref="F202">IF($A202="","",INDEX(JupData!$A$2:$K$10000,MATCH($A202&amp;F$1,JupData!$A$2:$A$10000&amp;JupData!$J$2:$J$10000,0),11))</f>
        <v/>
      </c>
      <c r="G202" t="str">
        <f t="array" ref="G202">IF($A202="","",INDEX(JupData!$A$2:$K$10000,MATCH($A202&amp;G$1,JupData!$A$2:$A$10000&amp;JupData!$J$2:$J$10000,0),11))</f>
        <v/>
      </c>
      <c r="H202" t="str">
        <f t="array" ref="H202">IF($A202="","",INDEX(JupData!$A$2:$K$10000,MATCH($A202&amp;H$1,JupData!$A$2:$A$10000&amp;JupData!$J$2:$J$10000,0),11))</f>
        <v/>
      </c>
      <c r="I202" t="str">
        <f t="array" ref="I202">IF($A202="","",INDEX(JupData!$A$2:$K$10000,MATCH($A202&amp;I$1,JupData!$A$2:$A$10000&amp;JupData!$J$2:$J$10000,0),11))</f>
        <v/>
      </c>
      <c r="J202" t="str">
        <f t="array" ref="J202">IF($A202="","",INDEX(JupData!$A$2:$K$10000,MATCH($A202&amp;J$1,JupData!$A$2:$A$10000&amp;JupData!$J$2:$J$10000,0),11))</f>
        <v/>
      </c>
      <c r="K202" t="str">
        <f t="array" ref="K202">IF($A202="","",INDEX(JupData!$A$2:$K$10000,MATCH($A202&amp;K$1,JupData!$A$2:$A$10000&amp;JupData!$J$2:$J$10000,0),11))</f>
        <v/>
      </c>
      <c r="L202" t="str">
        <f t="array" ref="L202">IF($A202="","",INDEX(JupData!$A$2:$K$10000,MATCH($A202&amp;L$1,JupData!$A$2:$A$10000&amp;JupData!$J$2:$J$10000,0),11))</f>
        <v/>
      </c>
      <c r="M202" t="str">
        <f t="array" ref="M202">IF($A202="","",INDEX(JupData!$A$2:$K$10000,MATCH($A202&amp;M$1,JupData!$A$2:$A$10000&amp;JupData!$J$2:$J$10000,0),11))</f>
        <v/>
      </c>
      <c r="N202" t="str">
        <f t="array" ref="N202">IF($A202="","",INDEX(JupData!$A$2:$K$10000,MATCH($A202&amp;N$1,JupData!$A$2:$A$10000&amp;JupData!$J$2:$J$10000,0),11))</f>
        <v/>
      </c>
      <c r="O202" t="str">
        <f t="array" ref="O202">IF($A202="","",INDEX(JupData!$A$2:$K$10000,MATCH($A202&amp;O$1,JupData!$A$2:$A$10000&amp;JupData!$J$2:$J$10000,0),11))</f>
        <v/>
      </c>
      <c r="P202" t="str">
        <f t="array" ref="P202">IF($A202="","",INDEX(JupData!$A$2:$K$10000,MATCH($A202&amp;P$1,JupData!$A$2:$A$10000&amp;JupData!$J$2:$J$10000,0),11))</f>
        <v/>
      </c>
      <c r="Q202" t="str">
        <f t="array" ref="Q202">IF($A202="","",INDEX(JupData!$A$2:$K$10000,MATCH($A202&amp;Q$1,JupData!$A$2:$A$10000&amp;JupData!$J$2:$J$10000,0),11))</f>
        <v/>
      </c>
      <c r="R202" t="str">
        <f t="array" ref="R202">IF($A202="","",INDEX(JupData!$A$2:$K$10000,MATCH($A202&amp;R$1,JupData!$A$2:$A$10000&amp;JupData!$J$2:$J$10000,0),11))</f>
        <v/>
      </c>
      <c r="S202" t="str">
        <f t="array" ref="S202">IF($A202="","",INDEX(JupData!$A$2:$K$10000,MATCH($A202&amp;S$1,JupData!$A$2:$A$10000&amp;JupData!$J$2:$J$10000,0),11))</f>
        <v/>
      </c>
      <c r="T202" t="str">
        <f t="array" ref="T202">IF($A202="","",INDEX(JupData!$A$2:$K$10000,MATCH($A202&amp;T$1,JupData!$A$2:$A$10000&amp;JupData!$J$2:$J$10000,0),11))</f>
        <v/>
      </c>
      <c r="U202" t="str">
        <f t="array" ref="U202">IF($A202="","",INDEX(JupData!$A$2:$K$10000,MATCH($A202&amp;U$1,JupData!$A$2:$A$10000&amp;JupData!$J$2:$J$10000,0),11))</f>
        <v/>
      </c>
      <c r="V202" t="str">
        <f t="array" ref="V202">IF($A202="","",INDEX(JupData!$A$2:$K$10000,MATCH($A202&amp;V$1,JupData!$A$2:$A$10000&amp;JupData!$J$2:$J$10000,0),11))</f>
        <v/>
      </c>
      <c r="W202" t="str">
        <f t="array" ref="W202">IF($A202="","",INDEX(JupData!$A$2:$K$10000,MATCH($A202&amp;W$1,JupData!$A$2:$A$10000&amp;JupData!$J$2:$J$10000,0),11))</f>
        <v/>
      </c>
      <c r="X202" t="str">
        <f t="array" ref="X202">IF($A202="","",INDEX(JupData!$A$2:$K$10000,MATCH($A202&amp;X$1,JupData!$A$2:$A$10000&amp;JupData!$J$2:$J$10000,0),11))</f>
        <v/>
      </c>
      <c r="Y202" t="str">
        <f t="array" ref="Y202">IF($A202="","",INDEX(JupData!$A$2:$K$10000,MATCH($A202&amp;Y$1,JupData!$A$2:$A$10000&amp;JupData!$J$2:$J$10000,0),11))</f>
        <v/>
      </c>
      <c r="Z202" t="str">
        <f t="array" ref="Z202">IF($A202="","",INDEX(JupData!$A$2:$K$10000,MATCH($A202&amp;Z$1,JupData!$A$2:$A$10000&amp;JupData!$J$2:$J$10000,0),11))</f>
        <v/>
      </c>
      <c r="AA202" t="str">
        <f t="array" ref="AA202">IF($A202="","",INDEX(JupData!$A$2:$K$10000,MATCH($A202&amp;AA$1,JupData!$A$2:$A$10000&amp;JupData!$J$2:$J$10000,0),11))</f>
        <v/>
      </c>
      <c r="AB202" t="str">
        <f t="array" ref="AB202">IF($A202="","",INDEX(JupData!$A$2:$K$10000,MATCH($A202&amp;AB$1,JupData!$A$2:$A$10000&amp;JupData!$J$2:$J$10000,0),11))</f>
        <v/>
      </c>
      <c r="AC202" s="10" t="str">
        <f t="shared" si="33"/>
        <v/>
      </c>
      <c r="AD202" s="10" t="str">
        <f t="shared" si="34"/>
        <v/>
      </c>
      <c r="AE202" s="9" t="str">
        <f t="shared" si="35"/>
        <v/>
      </c>
      <c r="AF202" s="10" t="str">
        <f t="shared" si="36"/>
        <v/>
      </c>
      <c r="AG202" s="10" t="str">
        <f t="shared" si="37"/>
        <v/>
      </c>
      <c r="AH202" s="10" t="str">
        <f t="shared" si="38"/>
        <v/>
      </c>
      <c r="AI202" s="10" t="str">
        <f t="shared" si="39"/>
        <v/>
      </c>
      <c r="AJ202" s="10" t="str">
        <f t="shared" si="40"/>
        <v/>
      </c>
      <c r="AK202" s="10" t="str">
        <f t="shared" si="41"/>
        <v/>
      </c>
      <c r="AL202" s="14" t="str">
        <f t="shared" si="42"/>
        <v/>
      </c>
    </row>
    <row r="203" spans="1:38" x14ac:dyDescent="0.2">
      <c r="A203"/>
      <c r="B203" t="str">
        <f>IF($A203="","",VLOOKUP($A203,JupData!$A$2:$I$10000,4,FALSE))</f>
        <v/>
      </c>
      <c r="C203" s="7" t="str">
        <f>IF($A203="",IF(N(D203),0,""),VLOOKUP($A203,JupData!$A$2:$I$10000,7,FALSE))</f>
        <v/>
      </c>
      <c r="D203" t="str">
        <f t="shared" si="43"/>
        <v/>
      </c>
      <c r="E203" t="str">
        <f t="array" ref="E203">IF($A203="","",INDEX(JupData!$A$2:$K$10000,MATCH($A203&amp;E$1,JupData!$A$2:$A$10000&amp;JupData!$J$2:$J$10000,0),11))</f>
        <v/>
      </c>
      <c r="F203" t="str">
        <f t="array" ref="F203">IF($A203="","",INDEX(JupData!$A$2:$K$10000,MATCH($A203&amp;F$1,JupData!$A$2:$A$10000&amp;JupData!$J$2:$J$10000,0),11))</f>
        <v/>
      </c>
      <c r="G203" t="str">
        <f t="array" ref="G203">IF($A203="","",INDEX(JupData!$A$2:$K$10000,MATCH($A203&amp;G$1,JupData!$A$2:$A$10000&amp;JupData!$J$2:$J$10000,0),11))</f>
        <v/>
      </c>
      <c r="H203" t="str">
        <f t="array" ref="H203">IF($A203="","",INDEX(JupData!$A$2:$K$10000,MATCH($A203&amp;H$1,JupData!$A$2:$A$10000&amp;JupData!$J$2:$J$10000,0),11))</f>
        <v/>
      </c>
      <c r="I203" t="str">
        <f t="array" ref="I203">IF($A203="","",INDEX(JupData!$A$2:$K$10000,MATCH($A203&amp;I$1,JupData!$A$2:$A$10000&amp;JupData!$J$2:$J$10000,0),11))</f>
        <v/>
      </c>
      <c r="J203" t="str">
        <f t="array" ref="J203">IF($A203="","",INDEX(JupData!$A$2:$K$10000,MATCH($A203&amp;J$1,JupData!$A$2:$A$10000&amp;JupData!$J$2:$J$10000,0),11))</f>
        <v/>
      </c>
      <c r="K203" t="str">
        <f t="array" ref="K203">IF($A203="","",INDEX(JupData!$A$2:$K$10000,MATCH($A203&amp;K$1,JupData!$A$2:$A$10000&amp;JupData!$J$2:$J$10000,0),11))</f>
        <v/>
      </c>
      <c r="L203" t="str">
        <f t="array" ref="L203">IF($A203="","",INDEX(JupData!$A$2:$K$10000,MATCH($A203&amp;L$1,JupData!$A$2:$A$10000&amp;JupData!$J$2:$J$10000,0),11))</f>
        <v/>
      </c>
      <c r="M203" t="str">
        <f t="array" ref="M203">IF($A203="","",INDEX(JupData!$A$2:$K$10000,MATCH($A203&amp;M$1,JupData!$A$2:$A$10000&amp;JupData!$J$2:$J$10000,0),11))</f>
        <v/>
      </c>
      <c r="N203" t="str">
        <f t="array" ref="N203">IF($A203="","",INDEX(JupData!$A$2:$K$10000,MATCH($A203&amp;N$1,JupData!$A$2:$A$10000&amp;JupData!$J$2:$J$10000,0),11))</f>
        <v/>
      </c>
      <c r="O203" t="str">
        <f t="array" ref="O203">IF($A203="","",INDEX(JupData!$A$2:$K$10000,MATCH($A203&amp;O$1,JupData!$A$2:$A$10000&amp;JupData!$J$2:$J$10000,0),11))</f>
        <v/>
      </c>
      <c r="P203" t="str">
        <f t="array" ref="P203">IF($A203="","",INDEX(JupData!$A$2:$K$10000,MATCH($A203&amp;P$1,JupData!$A$2:$A$10000&amp;JupData!$J$2:$J$10000,0),11))</f>
        <v/>
      </c>
      <c r="Q203" t="str">
        <f t="array" ref="Q203">IF($A203="","",INDEX(JupData!$A$2:$K$10000,MATCH($A203&amp;Q$1,JupData!$A$2:$A$10000&amp;JupData!$J$2:$J$10000,0),11))</f>
        <v/>
      </c>
      <c r="R203" t="str">
        <f t="array" ref="R203">IF($A203="","",INDEX(JupData!$A$2:$K$10000,MATCH($A203&amp;R$1,JupData!$A$2:$A$10000&amp;JupData!$J$2:$J$10000,0),11))</f>
        <v/>
      </c>
      <c r="S203" t="str">
        <f t="array" ref="S203">IF($A203="","",INDEX(JupData!$A$2:$K$10000,MATCH($A203&amp;S$1,JupData!$A$2:$A$10000&amp;JupData!$J$2:$J$10000,0),11))</f>
        <v/>
      </c>
      <c r="T203" t="str">
        <f t="array" ref="T203">IF($A203="","",INDEX(JupData!$A$2:$K$10000,MATCH($A203&amp;T$1,JupData!$A$2:$A$10000&amp;JupData!$J$2:$J$10000,0),11))</f>
        <v/>
      </c>
      <c r="U203" t="str">
        <f t="array" ref="U203">IF($A203="","",INDEX(JupData!$A$2:$K$10000,MATCH($A203&amp;U$1,JupData!$A$2:$A$10000&amp;JupData!$J$2:$J$10000,0),11))</f>
        <v/>
      </c>
      <c r="V203" t="str">
        <f t="array" ref="V203">IF($A203="","",INDEX(JupData!$A$2:$K$10000,MATCH($A203&amp;V$1,JupData!$A$2:$A$10000&amp;JupData!$J$2:$J$10000,0),11))</f>
        <v/>
      </c>
      <c r="W203" t="str">
        <f t="array" ref="W203">IF($A203="","",INDEX(JupData!$A$2:$K$10000,MATCH($A203&amp;W$1,JupData!$A$2:$A$10000&amp;JupData!$J$2:$J$10000,0),11))</f>
        <v/>
      </c>
      <c r="X203" t="str">
        <f t="array" ref="X203">IF($A203="","",INDEX(JupData!$A$2:$K$10000,MATCH($A203&amp;X$1,JupData!$A$2:$A$10000&amp;JupData!$J$2:$J$10000,0),11))</f>
        <v/>
      </c>
      <c r="Y203" t="str">
        <f t="array" ref="Y203">IF($A203="","",INDEX(JupData!$A$2:$K$10000,MATCH($A203&amp;Y$1,JupData!$A$2:$A$10000&amp;JupData!$J$2:$J$10000,0),11))</f>
        <v/>
      </c>
      <c r="Z203" t="str">
        <f t="array" ref="Z203">IF($A203="","",INDEX(JupData!$A$2:$K$10000,MATCH($A203&amp;Z$1,JupData!$A$2:$A$10000&amp;JupData!$J$2:$J$10000,0),11))</f>
        <v/>
      </c>
      <c r="AA203" t="str">
        <f t="array" ref="AA203">IF($A203="","",INDEX(JupData!$A$2:$K$10000,MATCH($A203&amp;AA$1,JupData!$A$2:$A$10000&amp;JupData!$J$2:$J$10000,0),11))</f>
        <v/>
      </c>
      <c r="AB203" t="str">
        <f t="array" ref="AB203">IF($A203="","",INDEX(JupData!$A$2:$K$10000,MATCH($A203&amp;AB$1,JupData!$A$2:$A$10000&amp;JupData!$J$2:$J$10000,0),11))</f>
        <v/>
      </c>
      <c r="AC203" s="10" t="str">
        <f t="shared" si="33"/>
        <v/>
      </c>
      <c r="AD203" s="10" t="str">
        <f t="shared" si="34"/>
        <v/>
      </c>
      <c r="AE203" s="9" t="str">
        <f t="shared" si="35"/>
        <v/>
      </c>
      <c r="AF203" s="10" t="str">
        <f t="shared" si="36"/>
        <v/>
      </c>
      <c r="AG203" s="10" t="str">
        <f t="shared" si="37"/>
        <v/>
      </c>
      <c r="AH203" s="10" t="str">
        <f t="shared" si="38"/>
        <v/>
      </c>
      <c r="AI203" s="10" t="str">
        <f t="shared" si="39"/>
        <v/>
      </c>
      <c r="AJ203" s="10" t="str">
        <f t="shared" si="40"/>
        <v/>
      </c>
      <c r="AK203" s="10" t="str">
        <f t="shared" si="41"/>
        <v/>
      </c>
      <c r="AL203" s="14" t="str">
        <f t="shared" si="42"/>
        <v/>
      </c>
    </row>
    <row r="204" spans="1:38" x14ac:dyDescent="0.2">
      <c r="A204"/>
      <c r="B204" t="str">
        <f>IF($A204="","",VLOOKUP($A204,JupData!$A$2:$I$10000,4,FALSE))</f>
        <v/>
      </c>
      <c r="C204" s="7" t="str">
        <f>IF($A204="",IF(N(D204),0,""),VLOOKUP($A204,JupData!$A$2:$I$10000,7,FALSE))</f>
        <v/>
      </c>
      <c r="D204" t="str">
        <f t="shared" si="43"/>
        <v/>
      </c>
      <c r="E204" t="str">
        <f t="array" ref="E204">IF($A204="","",INDEX(JupData!$A$2:$K$10000,MATCH($A204&amp;E$1,JupData!$A$2:$A$10000&amp;JupData!$J$2:$J$10000,0),11))</f>
        <v/>
      </c>
      <c r="F204" t="str">
        <f t="array" ref="F204">IF($A204="","",INDEX(JupData!$A$2:$K$10000,MATCH($A204&amp;F$1,JupData!$A$2:$A$10000&amp;JupData!$J$2:$J$10000,0),11))</f>
        <v/>
      </c>
      <c r="G204" t="str">
        <f t="array" ref="G204">IF($A204="","",INDEX(JupData!$A$2:$K$10000,MATCH($A204&amp;G$1,JupData!$A$2:$A$10000&amp;JupData!$J$2:$J$10000,0),11))</f>
        <v/>
      </c>
      <c r="H204" t="str">
        <f t="array" ref="H204">IF($A204="","",INDEX(JupData!$A$2:$K$10000,MATCH($A204&amp;H$1,JupData!$A$2:$A$10000&amp;JupData!$J$2:$J$10000,0),11))</f>
        <v/>
      </c>
      <c r="I204" t="str">
        <f t="array" ref="I204">IF($A204="","",INDEX(JupData!$A$2:$K$10000,MATCH($A204&amp;I$1,JupData!$A$2:$A$10000&amp;JupData!$J$2:$J$10000,0),11))</f>
        <v/>
      </c>
      <c r="J204" t="str">
        <f t="array" ref="J204">IF($A204="","",INDEX(JupData!$A$2:$K$10000,MATCH($A204&amp;J$1,JupData!$A$2:$A$10000&amp;JupData!$J$2:$J$10000,0),11))</f>
        <v/>
      </c>
      <c r="K204" t="str">
        <f t="array" ref="K204">IF($A204="","",INDEX(JupData!$A$2:$K$10000,MATCH($A204&amp;K$1,JupData!$A$2:$A$10000&amp;JupData!$J$2:$J$10000,0),11))</f>
        <v/>
      </c>
      <c r="L204" t="str">
        <f t="array" ref="L204">IF($A204="","",INDEX(JupData!$A$2:$K$10000,MATCH($A204&amp;L$1,JupData!$A$2:$A$10000&amp;JupData!$J$2:$J$10000,0),11))</f>
        <v/>
      </c>
      <c r="M204" t="str">
        <f t="array" ref="M204">IF($A204="","",INDEX(JupData!$A$2:$K$10000,MATCH($A204&amp;M$1,JupData!$A$2:$A$10000&amp;JupData!$J$2:$J$10000,0),11))</f>
        <v/>
      </c>
      <c r="N204" t="str">
        <f t="array" ref="N204">IF($A204="","",INDEX(JupData!$A$2:$K$10000,MATCH($A204&amp;N$1,JupData!$A$2:$A$10000&amp;JupData!$J$2:$J$10000,0),11))</f>
        <v/>
      </c>
      <c r="O204" t="str">
        <f t="array" ref="O204">IF($A204="","",INDEX(JupData!$A$2:$K$10000,MATCH($A204&amp;O$1,JupData!$A$2:$A$10000&amp;JupData!$J$2:$J$10000,0),11))</f>
        <v/>
      </c>
      <c r="P204" t="str">
        <f t="array" ref="P204">IF($A204="","",INDEX(JupData!$A$2:$K$10000,MATCH($A204&amp;P$1,JupData!$A$2:$A$10000&amp;JupData!$J$2:$J$10000,0),11))</f>
        <v/>
      </c>
      <c r="Q204" t="str">
        <f t="array" ref="Q204">IF($A204="","",INDEX(JupData!$A$2:$K$10000,MATCH($A204&amp;Q$1,JupData!$A$2:$A$10000&amp;JupData!$J$2:$J$10000,0),11))</f>
        <v/>
      </c>
      <c r="R204" t="str">
        <f t="array" ref="R204">IF($A204="","",INDEX(JupData!$A$2:$K$10000,MATCH($A204&amp;R$1,JupData!$A$2:$A$10000&amp;JupData!$J$2:$J$10000,0),11))</f>
        <v/>
      </c>
      <c r="S204" t="str">
        <f t="array" ref="S204">IF($A204="","",INDEX(JupData!$A$2:$K$10000,MATCH($A204&amp;S$1,JupData!$A$2:$A$10000&amp;JupData!$J$2:$J$10000,0),11))</f>
        <v/>
      </c>
      <c r="T204" t="str">
        <f t="array" ref="T204">IF($A204="","",INDEX(JupData!$A$2:$K$10000,MATCH($A204&amp;T$1,JupData!$A$2:$A$10000&amp;JupData!$J$2:$J$10000,0),11))</f>
        <v/>
      </c>
      <c r="U204" t="str">
        <f t="array" ref="U204">IF($A204="","",INDEX(JupData!$A$2:$K$10000,MATCH($A204&amp;U$1,JupData!$A$2:$A$10000&amp;JupData!$J$2:$J$10000,0),11))</f>
        <v/>
      </c>
      <c r="V204" t="str">
        <f t="array" ref="V204">IF($A204="","",INDEX(JupData!$A$2:$K$10000,MATCH($A204&amp;V$1,JupData!$A$2:$A$10000&amp;JupData!$J$2:$J$10000,0),11))</f>
        <v/>
      </c>
      <c r="W204" t="str">
        <f t="array" ref="W204">IF($A204="","",INDEX(JupData!$A$2:$K$10000,MATCH($A204&amp;W$1,JupData!$A$2:$A$10000&amp;JupData!$J$2:$J$10000,0),11))</f>
        <v/>
      </c>
      <c r="X204" t="str">
        <f t="array" ref="X204">IF($A204="","",INDEX(JupData!$A$2:$K$10000,MATCH($A204&amp;X$1,JupData!$A$2:$A$10000&amp;JupData!$J$2:$J$10000,0),11))</f>
        <v/>
      </c>
      <c r="Y204" t="str">
        <f t="array" ref="Y204">IF($A204="","",INDEX(JupData!$A$2:$K$10000,MATCH($A204&amp;Y$1,JupData!$A$2:$A$10000&amp;JupData!$J$2:$J$10000,0),11))</f>
        <v/>
      </c>
      <c r="Z204" t="str">
        <f t="array" ref="Z204">IF($A204="","",INDEX(JupData!$A$2:$K$10000,MATCH($A204&amp;Z$1,JupData!$A$2:$A$10000&amp;JupData!$J$2:$J$10000,0),11))</f>
        <v/>
      </c>
      <c r="AA204" t="str">
        <f t="array" ref="AA204">IF($A204="","",INDEX(JupData!$A$2:$K$10000,MATCH($A204&amp;AA$1,JupData!$A$2:$A$10000&amp;JupData!$J$2:$J$10000,0),11))</f>
        <v/>
      </c>
      <c r="AB204" t="str">
        <f t="array" ref="AB204">IF($A204="","",INDEX(JupData!$A$2:$K$10000,MATCH($A204&amp;AB$1,JupData!$A$2:$A$10000&amp;JupData!$J$2:$J$10000,0),11))</f>
        <v/>
      </c>
      <c r="AC204" s="10" t="str">
        <f t="shared" si="33"/>
        <v/>
      </c>
      <c r="AD204" s="10" t="str">
        <f t="shared" si="34"/>
        <v/>
      </c>
      <c r="AE204" s="9" t="str">
        <f t="shared" si="35"/>
        <v/>
      </c>
      <c r="AF204" s="10" t="str">
        <f t="shared" si="36"/>
        <v/>
      </c>
      <c r="AG204" s="10" t="str">
        <f t="shared" si="37"/>
        <v/>
      </c>
      <c r="AH204" s="10" t="str">
        <f t="shared" si="38"/>
        <v/>
      </c>
      <c r="AI204" s="10" t="str">
        <f t="shared" si="39"/>
        <v/>
      </c>
      <c r="AJ204" s="10" t="str">
        <f t="shared" si="40"/>
        <v/>
      </c>
      <c r="AK204" s="10" t="str">
        <f t="shared" si="41"/>
        <v/>
      </c>
      <c r="AL204" s="14" t="str">
        <f t="shared" si="42"/>
        <v/>
      </c>
    </row>
    <row r="205" spans="1:38" x14ac:dyDescent="0.2">
      <c r="A205"/>
      <c r="B205" t="str">
        <f>IF($A205="","",VLOOKUP($A205,JupData!$A$2:$I$10000,4,FALSE))</f>
        <v/>
      </c>
      <c r="C205" s="7" t="str">
        <f>IF($A205="",IF(N(D205),0,""),VLOOKUP($A205,JupData!$A$2:$I$10000,7,FALSE))</f>
        <v/>
      </c>
      <c r="D205" t="str">
        <f t="shared" si="43"/>
        <v/>
      </c>
      <c r="E205" t="str">
        <f t="array" ref="E205">IF($A205="","",INDEX(JupData!$A$2:$K$10000,MATCH($A205&amp;E$1,JupData!$A$2:$A$10000&amp;JupData!$J$2:$J$10000,0),11))</f>
        <v/>
      </c>
      <c r="F205" t="str">
        <f t="array" ref="F205">IF($A205="","",INDEX(JupData!$A$2:$K$10000,MATCH($A205&amp;F$1,JupData!$A$2:$A$10000&amp;JupData!$J$2:$J$10000,0),11))</f>
        <v/>
      </c>
      <c r="G205" t="str">
        <f t="array" ref="G205">IF($A205="","",INDEX(JupData!$A$2:$K$10000,MATCH($A205&amp;G$1,JupData!$A$2:$A$10000&amp;JupData!$J$2:$J$10000,0),11))</f>
        <v/>
      </c>
      <c r="H205" t="str">
        <f t="array" ref="H205">IF($A205="","",INDEX(JupData!$A$2:$K$10000,MATCH($A205&amp;H$1,JupData!$A$2:$A$10000&amp;JupData!$J$2:$J$10000,0),11))</f>
        <v/>
      </c>
      <c r="I205" t="str">
        <f t="array" ref="I205">IF($A205="","",INDEX(JupData!$A$2:$K$10000,MATCH($A205&amp;I$1,JupData!$A$2:$A$10000&amp;JupData!$J$2:$J$10000,0),11))</f>
        <v/>
      </c>
      <c r="J205" t="str">
        <f t="array" ref="J205">IF($A205="","",INDEX(JupData!$A$2:$K$10000,MATCH($A205&amp;J$1,JupData!$A$2:$A$10000&amp;JupData!$J$2:$J$10000,0),11))</f>
        <v/>
      </c>
      <c r="K205" t="str">
        <f t="array" ref="K205">IF($A205="","",INDEX(JupData!$A$2:$K$10000,MATCH($A205&amp;K$1,JupData!$A$2:$A$10000&amp;JupData!$J$2:$J$10000,0),11))</f>
        <v/>
      </c>
      <c r="L205" t="str">
        <f t="array" ref="L205">IF($A205="","",INDEX(JupData!$A$2:$K$10000,MATCH($A205&amp;L$1,JupData!$A$2:$A$10000&amp;JupData!$J$2:$J$10000,0),11))</f>
        <v/>
      </c>
      <c r="M205" t="str">
        <f t="array" ref="M205">IF($A205="","",INDEX(JupData!$A$2:$K$10000,MATCH($A205&amp;M$1,JupData!$A$2:$A$10000&amp;JupData!$J$2:$J$10000,0),11))</f>
        <v/>
      </c>
      <c r="N205" t="str">
        <f t="array" ref="N205">IF($A205="","",INDEX(JupData!$A$2:$K$10000,MATCH($A205&amp;N$1,JupData!$A$2:$A$10000&amp;JupData!$J$2:$J$10000,0),11))</f>
        <v/>
      </c>
      <c r="O205" t="str">
        <f t="array" ref="O205">IF($A205="","",INDEX(JupData!$A$2:$K$10000,MATCH($A205&amp;O$1,JupData!$A$2:$A$10000&amp;JupData!$J$2:$J$10000,0),11))</f>
        <v/>
      </c>
      <c r="P205" t="str">
        <f t="array" ref="P205">IF($A205="","",INDEX(JupData!$A$2:$K$10000,MATCH($A205&amp;P$1,JupData!$A$2:$A$10000&amp;JupData!$J$2:$J$10000,0),11))</f>
        <v/>
      </c>
      <c r="Q205" t="str">
        <f t="array" ref="Q205">IF($A205="","",INDEX(JupData!$A$2:$K$10000,MATCH($A205&amp;Q$1,JupData!$A$2:$A$10000&amp;JupData!$J$2:$J$10000,0),11))</f>
        <v/>
      </c>
      <c r="R205" t="str">
        <f t="array" ref="R205">IF($A205="","",INDEX(JupData!$A$2:$K$10000,MATCH($A205&amp;R$1,JupData!$A$2:$A$10000&amp;JupData!$J$2:$J$10000,0),11))</f>
        <v/>
      </c>
      <c r="S205" t="str">
        <f t="array" ref="S205">IF($A205="","",INDEX(JupData!$A$2:$K$10000,MATCH($A205&amp;S$1,JupData!$A$2:$A$10000&amp;JupData!$J$2:$J$10000,0),11))</f>
        <v/>
      </c>
      <c r="T205" t="str">
        <f t="array" ref="T205">IF($A205="","",INDEX(JupData!$A$2:$K$10000,MATCH($A205&amp;T$1,JupData!$A$2:$A$10000&amp;JupData!$J$2:$J$10000,0),11))</f>
        <v/>
      </c>
      <c r="U205" t="str">
        <f t="array" ref="U205">IF($A205="","",INDEX(JupData!$A$2:$K$10000,MATCH($A205&amp;U$1,JupData!$A$2:$A$10000&amp;JupData!$J$2:$J$10000,0),11))</f>
        <v/>
      </c>
      <c r="V205" t="str">
        <f t="array" ref="V205">IF($A205="","",INDEX(JupData!$A$2:$K$10000,MATCH($A205&amp;V$1,JupData!$A$2:$A$10000&amp;JupData!$J$2:$J$10000,0),11))</f>
        <v/>
      </c>
      <c r="W205" t="str">
        <f t="array" ref="W205">IF($A205="","",INDEX(JupData!$A$2:$K$10000,MATCH($A205&amp;W$1,JupData!$A$2:$A$10000&amp;JupData!$J$2:$J$10000,0),11))</f>
        <v/>
      </c>
      <c r="X205" t="str">
        <f t="array" ref="X205">IF($A205="","",INDEX(JupData!$A$2:$K$10000,MATCH($A205&amp;X$1,JupData!$A$2:$A$10000&amp;JupData!$J$2:$J$10000,0),11))</f>
        <v/>
      </c>
      <c r="Y205" t="str">
        <f t="array" ref="Y205">IF($A205="","",INDEX(JupData!$A$2:$K$10000,MATCH($A205&amp;Y$1,JupData!$A$2:$A$10000&amp;JupData!$J$2:$J$10000,0),11))</f>
        <v/>
      </c>
      <c r="Z205" t="str">
        <f t="array" ref="Z205">IF($A205="","",INDEX(JupData!$A$2:$K$10000,MATCH($A205&amp;Z$1,JupData!$A$2:$A$10000&amp;JupData!$J$2:$J$10000,0),11))</f>
        <v/>
      </c>
      <c r="AA205" t="str">
        <f t="array" ref="AA205">IF($A205="","",INDEX(JupData!$A$2:$K$10000,MATCH($A205&amp;AA$1,JupData!$A$2:$A$10000&amp;JupData!$J$2:$J$10000,0),11))</f>
        <v/>
      </c>
      <c r="AB205" t="str">
        <f t="array" ref="AB205">IF($A205="","",INDEX(JupData!$A$2:$K$10000,MATCH($A205&amp;AB$1,JupData!$A$2:$A$10000&amp;JupData!$J$2:$J$10000,0),11))</f>
        <v/>
      </c>
      <c r="AC205" s="10" t="str">
        <f t="shared" si="33"/>
        <v/>
      </c>
      <c r="AD205" s="10" t="str">
        <f t="shared" si="34"/>
        <v/>
      </c>
      <c r="AE205" s="9" t="str">
        <f t="shared" si="35"/>
        <v/>
      </c>
      <c r="AF205" s="10" t="str">
        <f t="shared" si="36"/>
        <v/>
      </c>
      <c r="AG205" s="10" t="str">
        <f t="shared" si="37"/>
        <v/>
      </c>
      <c r="AH205" s="10" t="str">
        <f t="shared" si="38"/>
        <v/>
      </c>
      <c r="AI205" s="10" t="str">
        <f t="shared" si="39"/>
        <v/>
      </c>
      <c r="AJ205" s="10" t="str">
        <f t="shared" si="40"/>
        <v/>
      </c>
      <c r="AK205" s="10" t="str">
        <f t="shared" si="41"/>
        <v/>
      </c>
      <c r="AL205" s="14" t="str">
        <f t="shared" si="42"/>
        <v/>
      </c>
    </row>
    <row r="206" spans="1:38" x14ac:dyDescent="0.2">
      <c r="A206"/>
      <c r="B206" t="str">
        <f>IF($A206="","",VLOOKUP($A206,JupData!$A$2:$I$10000,4,FALSE))</f>
        <v/>
      </c>
      <c r="C206" s="7" t="str">
        <f>IF($A206="",IF(N(D206),0,""),VLOOKUP($A206,JupData!$A$2:$I$10000,7,FALSE))</f>
        <v/>
      </c>
      <c r="D206" t="str">
        <f t="shared" si="43"/>
        <v/>
      </c>
      <c r="E206" t="str">
        <f t="array" ref="E206">IF($A206="","",INDEX(JupData!$A$2:$K$10000,MATCH($A206&amp;E$1,JupData!$A$2:$A$10000&amp;JupData!$J$2:$J$10000,0),11))</f>
        <v/>
      </c>
      <c r="F206" t="str">
        <f t="array" ref="F206">IF($A206="","",INDEX(JupData!$A$2:$K$10000,MATCH($A206&amp;F$1,JupData!$A$2:$A$10000&amp;JupData!$J$2:$J$10000,0),11))</f>
        <v/>
      </c>
      <c r="G206" t="str">
        <f t="array" ref="G206">IF($A206="","",INDEX(JupData!$A$2:$K$10000,MATCH($A206&amp;G$1,JupData!$A$2:$A$10000&amp;JupData!$J$2:$J$10000,0),11))</f>
        <v/>
      </c>
      <c r="H206" t="str">
        <f t="array" ref="H206">IF($A206="","",INDEX(JupData!$A$2:$K$10000,MATCH($A206&amp;H$1,JupData!$A$2:$A$10000&amp;JupData!$J$2:$J$10000,0),11))</f>
        <v/>
      </c>
      <c r="I206" t="str">
        <f t="array" ref="I206">IF($A206="","",INDEX(JupData!$A$2:$K$10000,MATCH($A206&amp;I$1,JupData!$A$2:$A$10000&amp;JupData!$J$2:$J$10000,0),11))</f>
        <v/>
      </c>
      <c r="J206" t="str">
        <f t="array" ref="J206">IF($A206="","",INDEX(JupData!$A$2:$K$10000,MATCH($A206&amp;J$1,JupData!$A$2:$A$10000&amp;JupData!$J$2:$J$10000,0),11))</f>
        <v/>
      </c>
      <c r="K206" t="str">
        <f t="array" ref="K206">IF($A206="","",INDEX(JupData!$A$2:$K$10000,MATCH($A206&amp;K$1,JupData!$A$2:$A$10000&amp;JupData!$J$2:$J$10000,0),11))</f>
        <v/>
      </c>
      <c r="L206" t="str">
        <f t="array" ref="L206">IF($A206="","",INDEX(JupData!$A$2:$K$10000,MATCH($A206&amp;L$1,JupData!$A$2:$A$10000&amp;JupData!$J$2:$J$10000,0),11))</f>
        <v/>
      </c>
      <c r="M206" t="str">
        <f t="array" ref="M206">IF($A206="","",INDEX(JupData!$A$2:$K$10000,MATCH($A206&amp;M$1,JupData!$A$2:$A$10000&amp;JupData!$J$2:$J$10000,0),11))</f>
        <v/>
      </c>
      <c r="N206" t="str">
        <f t="array" ref="N206">IF($A206="","",INDEX(JupData!$A$2:$K$10000,MATCH($A206&amp;N$1,JupData!$A$2:$A$10000&amp;JupData!$J$2:$J$10000,0),11))</f>
        <v/>
      </c>
      <c r="O206" t="str">
        <f t="array" ref="O206">IF($A206="","",INDEX(JupData!$A$2:$K$10000,MATCH($A206&amp;O$1,JupData!$A$2:$A$10000&amp;JupData!$J$2:$J$10000,0),11))</f>
        <v/>
      </c>
      <c r="P206" t="str">
        <f t="array" ref="P206">IF($A206="","",INDEX(JupData!$A$2:$K$10000,MATCH($A206&amp;P$1,JupData!$A$2:$A$10000&amp;JupData!$J$2:$J$10000,0),11))</f>
        <v/>
      </c>
      <c r="Q206" t="str">
        <f t="array" ref="Q206">IF($A206="","",INDEX(JupData!$A$2:$K$10000,MATCH($A206&amp;Q$1,JupData!$A$2:$A$10000&amp;JupData!$J$2:$J$10000,0),11))</f>
        <v/>
      </c>
      <c r="R206" t="str">
        <f t="array" ref="R206">IF($A206="","",INDEX(JupData!$A$2:$K$10000,MATCH($A206&amp;R$1,JupData!$A$2:$A$10000&amp;JupData!$J$2:$J$10000,0),11))</f>
        <v/>
      </c>
      <c r="S206" t="str">
        <f t="array" ref="S206">IF($A206="","",INDEX(JupData!$A$2:$K$10000,MATCH($A206&amp;S$1,JupData!$A$2:$A$10000&amp;JupData!$J$2:$J$10000,0),11))</f>
        <v/>
      </c>
      <c r="T206" t="str">
        <f t="array" ref="T206">IF($A206="","",INDEX(JupData!$A$2:$K$10000,MATCH($A206&amp;T$1,JupData!$A$2:$A$10000&amp;JupData!$J$2:$J$10000,0),11))</f>
        <v/>
      </c>
      <c r="U206" t="str">
        <f t="array" ref="U206">IF($A206="","",INDEX(JupData!$A$2:$K$10000,MATCH($A206&amp;U$1,JupData!$A$2:$A$10000&amp;JupData!$J$2:$J$10000,0),11))</f>
        <v/>
      </c>
      <c r="V206" t="str">
        <f t="array" ref="V206">IF($A206="","",INDEX(JupData!$A$2:$K$10000,MATCH($A206&amp;V$1,JupData!$A$2:$A$10000&amp;JupData!$J$2:$J$10000,0),11))</f>
        <v/>
      </c>
      <c r="W206" t="str">
        <f t="array" ref="W206">IF($A206="","",INDEX(JupData!$A$2:$K$10000,MATCH($A206&amp;W$1,JupData!$A$2:$A$10000&amp;JupData!$J$2:$J$10000,0),11))</f>
        <v/>
      </c>
      <c r="X206" t="str">
        <f t="array" ref="X206">IF($A206="","",INDEX(JupData!$A$2:$K$10000,MATCH($A206&amp;X$1,JupData!$A$2:$A$10000&amp;JupData!$J$2:$J$10000,0),11))</f>
        <v/>
      </c>
      <c r="Y206" t="str">
        <f t="array" ref="Y206">IF($A206="","",INDEX(JupData!$A$2:$K$10000,MATCH($A206&amp;Y$1,JupData!$A$2:$A$10000&amp;JupData!$J$2:$J$10000,0),11))</f>
        <v/>
      </c>
      <c r="Z206" t="str">
        <f t="array" ref="Z206">IF($A206="","",INDEX(JupData!$A$2:$K$10000,MATCH($A206&amp;Z$1,JupData!$A$2:$A$10000&amp;JupData!$J$2:$J$10000,0),11))</f>
        <v/>
      </c>
      <c r="AA206" t="str">
        <f t="array" ref="AA206">IF($A206="","",INDEX(JupData!$A$2:$K$10000,MATCH($A206&amp;AA$1,JupData!$A$2:$A$10000&amp;JupData!$J$2:$J$10000,0),11))</f>
        <v/>
      </c>
      <c r="AB206" t="str">
        <f t="array" ref="AB206">IF($A206="","",INDEX(JupData!$A$2:$K$10000,MATCH($A206&amp;AB$1,JupData!$A$2:$A$10000&amp;JupData!$J$2:$J$10000,0),11))</f>
        <v/>
      </c>
      <c r="AC206" s="10" t="str">
        <f t="shared" si="33"/>
        <v/>
      </c>
      <c r="AD206" s="10" t="str">
        <f t="shared" si="34"/>
        <v/>
      </c>
      <c r="AE206" s="9" t="str">
        <f t="shared" si="35"/>
        <v/>
      </c>
      <c r="AF206" s="10" t="str">
        <f t="shared" si="36"/>
        <v/>
      </c>
      <c r="AG206" s="10" t="str">
        <f t="shared" si="37"/>
        <v/>
      </c>
      <c r="AH206" s="10" t="str">
        <f t="shared" si="38"/>
        <v/>
      </c>
      <c r="AI206" s="10" t="str">
        <f t="shared" si="39"/>
        <v/>
      </c>
      <c r="AJ206" s="10" t="str">
        <f t="shared" si="40"/>
        <v/>
      </c>
      <c r="AK206" s="10" t="str">
        <f t="shared" si="41"/>
        <v/>
      </c>
      <c r="AL206" s="14" t="str">
        <f t="shared" si="42"/>
        <v/>
      </c>
    </row>
    <row r="207" spans="1:38" x14ac:dyDescent="0.2">
      <c r="A207"/>
      <c r="B207" t="str">
        <f>IF($A207="","",VLOOKUP($A207,JupData!$A$2:$I$10000,4,FALSE))</f>
        <v/>
      </c>
      <c r="C207" s="7" t="str">
        <f>IF($A207="",IF(N(D207),0,""),VLOOKUP($A207,JupData!$A$2:$I$10000,7,FALSE))</f>
        <v/>
      </c>
      <c r="D207" t="str">
        <f t="shared" si="43"/>
        <v/>
      </c>
      <c r="E207" t="str">
        <f t="array" ref="E207">IF($A207="","",INDEX(JupData!$A$2:$K$10000,MATCH($A207&amp;E$1,JupData!$A$2:$A$10000&amp;JupData!$J$2:$J$10000,0),11))</f>
        <v/>
      </c>
      <c r="F207" t="str">
        <f t="array" ref="F207">IF($A207="","",INDEX(JupData!$A$2:$K$10000,MATCH($A207&amp;F$1,JupData!$A$2:$A$10000&amp;JupData!$J$2:$J$10000,0),11))</f>
        <v/>
      </c>
      <c r="G207" t="str">
        <f t="array" ref="G207">IF($A207="","",INDEX(JupData!$A$2:$K$10000,MATCH($A207&amp;G$1,JupData!$A$2:$A$10000&amp;JupData!$J$2:$J$10000,0),11))</f>
        <v/>
      </c>
      <c r="H207" t="str">
        <f t="array" ref="H207">IF($A207="","",INDEX(JupData!$A$2:$K$10000,MATCH($A207&amp;H$1,JupData!$A$2:$A$10000&amp;JupData!$J$2:$J$10000,0),11))</f>
        <v/>
      </c>
      <c r="I207" t="str">
        <f t="array" ref="I207">IF($A207="","",INDEX(JupData!$A$2:$K$10000,MATCH($A207&amp;I$1,JupData!$A$2:$A$10000&amp;JupData!$J$2:$J$10000,0),11))</f>
        <v/>
      </c>
      <c r="J207" t="str">
        <f t="array" ref="J207">IF($A207="","",INDEX(JupData!$A$2:$K$10000,MATCH($A207&amp;J$1,JupData!$A$2:$A$10000&amp;JupData!$J$2:$J$10000,0),11))</f>
        <v/>
      </c>
      <c r="K207" t="str">
        <f t="array" ref="K207">IF($A207="","",INDEX(JupData!$A$2:$K$10000,MATCH($A207&amp;K$1,JupData!$A$2:$A$10000&amp;JupData!$J$2:$J$10000,0),11))</f>
        <v/>
      </c>
      <c r="L207" t="str">
        <f t="array" ref="L207">IF($A207="","",INDEX(JupData!$A$2:$K$10000,MATCH($A207&amp;L$1,JupData!$A$2:$A$10000&amp;JupData!$J$2:$J$10000,0),11))</f>
        <v/>
      </c>
      <c r="M207" t="str">
        <f t="array" ref="M207">IF($A207="","",INDEX(JupData!$A$2:$K$10000,MATCH($A207&amp;M$1,JupData!$A$2:$A$10000&amp;JupData!$J$2:$J$10000,0),11))</f>
        <v/>
      </c>
      <c r="N207" t="str">
        <f t="array" ref="N207">IF($A207="","",INDEX(JupData!$A$2:$K$10000,MATCH($A207&amp;N$1,JupData!$A$2:$A$10000&amp;JupData!$J$2:$J$10000,0),11))</f>
        <v/>
      </c>
      <c r="O207" t="str">
        <f t="array" ref="O207">IF($A207="","",INDEX(JupData!$A$2:$K$10000,MATCH($A207&amp;O$1,JupData!$A$2:$A$10000&amp;JupData!$J$2:$J$10000,0),11))</f>
        <v/>
      </c>
      <c r="P207" t="str">
        <f t="array" ref="P207">IF($A207="","",INDEX(JupData!$A$2:$K$10000,MATCH($A207&amp;P$1,JupData!$A$2:$A$10000&amp;JupData!$J$2:$J$10000,0),11))</f>
        <v/>
      </c>
      <c r="Q207" t="str">
        <f t="array" ref="Q207">IF($A207="","",INDEX(JupData!$A$2:$K$10000,MATCH($A207&amp;Q$1,JupData!$A$2:$A$10000&amp;JupData!$J$2:$J$10000,0),11))</f>
        <v/>
      </c>
      <c r="R207" t="str">
        <f t="array" ref="R207">IF($A207="","",INDEX(JupData!$A$2:$K$10000,MATCH($A207&amp;R$1,JupData!$A$2:$A$10000&amp;JupData!$J$2:$J$10000,0),11))</f>
        <v/>
      </c>
      <c r="S207" t="str">
        <f t="array" ref="S207">IF($A207="","",INDEX(JupData!$A$2:$K$10000,MATCH($A207&amp;S$1,JupData!$A$2:$A$10000&amp;JupData!$J$2:$J$10000,0),11))</f>
        <v/>
      </c>
      <c r="T207" t="str">
        <f t="array" ref="T207">IF($A207="","",INDEX(JupData!$A$2:$K$10000,MATCH($A207&amp;T$1,JupData!$A$2:$A$10000&amp;JupData!$J$2:$J$10000,0),11))</f>
        <v/>
      </c>
      <c r="U207" t="str">
        <f t="array" ref="U207">IF($A207="","",INDEX(JupData!$A$2:$K$10000,MATCH($A207&amp;U$1,JupData!$A$2:$A$10000&amp;JupData!$J$2:$J$10000,0),11))</f>
        <v/>
      </c>
      <c r="V207" t="str">
        <f t="array" ref="V207">IF($A207="","",INDEX(JupData!$A$2:$K$10000,MATCH($A207&amp;V$1,JupData!$A$2:$A$10000&amp;JupData!$J$2:$J$10000,0),11))</f>
        <v/>
      </c>
      <c r="W207" t="str">
        <f t="array" ref="W207">IF($A207="","",INDEX(JupData!$A$2:$K$10000,MATCH($A207&amp;W$1,JupData!$A$2:$A$10000&amp;JupData!$J$2:$J$10000,0),11))</f>
        <v/>
      </c>
      <c r="X207" t="str">
        <f t="array" ref="X207">IF($A207="","",INDEX(JupData!$A$2:$K$10000,MATCH($A207&amp;X$1,JupData!$A$2:$A$10000&amp;JupData!$J$2:$J$10000,0),11))</f>
        <v/>
      </c>
      <c r="Y207" t="str">
        <f t="array" ref="Y207">IF($A207="","",INDEX(JupData!$A$2:$K$10000,MATCH($A207&amp;Y$1,JupData!$A$2:$A$10000&amp;JupData!$J$2:$J$10000,0),11))</f>
        <v/>
      </c>
      <c r="Z207" t="str">
        <f t="array" ref="Z207">IF($A207="","",INDEX(JupData!$A$2:$K$10000,MATCH($A207&amp;Z$1,JupData!$A$2:$A$10000&amp;JupData!$J$2:$J$10000,0),11))</f>
        <v/>
      </c>
      <c r="AA207" t="str">
        <f t="array" ref="AA207">IF($A207="","",INDEX(JupData!$A$2:$K$10000,MATCH($A207&amp;AA$1,JupData!$A$2:$A$10000&amp;JupData!$J$2:$J$10000,0),11))</f>
        <v/>
      </c>
      <c r="AB207" t="str">
        <f t="array" ref="AB207">IF($A207="","",INDEX(JupData!$A$2:$K$10000,MATCH($A207&amp;AB$1,JupData!$A$2:$A$10000&amp;JupData!$J$2:$J$10000,0),11))</f>
        <v/>
      </c>
      <c r="AC207" s="10" t="str">
        <f t="shared" si="33"/>
        <v/>
      </c>
      <c r="AD207" s="10" t="str">
        <f t="shared" si="34"/>
        <v/>
      </c>
      <c r="AE207" s="9" t="str">
        <f t="shared" si="35"/>
        <v/>
      </c>
      <c r="AF207" s="10" t="str">
        <f t="shared" si="36"/>
        <v/>
      </c>
      <c r="AG207" s="10" t="str">
        <f t="shared" si="37"/>
        <v/>
      </c>
      <c r="AH207" s="10" t="str">
        <f t="shared" si="38"/>
        <v/>
      </c>
      <c r="AI207" s="10" t="str">
        <f t="shared" si="39"/>
        <v/>
      </c>
      <c r="AJ207" s="10" t="str">
        <f t="shared" si="40"/>
        <v/>
      </c>
      <c r="AK207" s="10" t="str">
        <f t="shared" si="41"/>
        <v/>
      </c>
      <c r="AL207" s="14" t="str">
        <f t="shared" si="42"/>
        <v/>
      </c>
    </row>
    <row r="208" spans="1:38" x14ac:dyDescent="0.2">
      <c r="A208"/>
      <c r="B208" t="str">
        <f>IF($A208="","",VLOOKUP($A208,JupData!$A$2:$I$10000,4,FALSE))</f>
        <v/>
      </c>
      <c r="C208" s="7" t="str">
        <f>IF($A208="",IF(N(D208),0,""),VLOOKUP($A208,JupData!$A$2:$I$10000,7,FALSE))</f>
        <v/>
      </c>
      <c r="D208" t="str">
        <f t="shared" si="43"/>
        <v/>
      </c>
      <c r="E208" t="str">
        <f t="array" ref="E208">IF($A208="","",INDEX(JupData!$A$2:$K$10000,MATCH($A208&amp;E$1,JupData!$A$2:$A$10000&amp;JupData!$J$2:$J$10000,0),11))</f>
        <v/>
      </c>
      <c r="F208" t="str">
        <f t="array" ref="F208">IF($A208="","",INDEX(JupData!$A$2:$K$10000,MATCH($A208&amp;F$1,JupData!$A$2:$A$10000&amp;JupData!$J$2:$J$10000,0),11))</f>
        <v/>
      </c>
      <c r="G208" t="str">
        <f t="array" ref="G208">IF($A208="","",INDEX(JupData!$A$2:$K$10000,MATCH($A208&amp;G$1,JupData!$A$2:$A$10000&amp;JupData!$J$2:$J$10000,0),11))</f>
        <v/>
      </c>
      <c r="H208" t="str">
        <f t="array" ref="H208">IF($A208="","",INDEX(JupData!$A$2:$K$10000,MATCH($A208&amp;H$1,JupData!$A$2:$A$10000&amp;JupData!$J$2:$J$10000,0),11))</f>
        <v/>
      </c>
      <c r="I208" t="str">
        <f t="array" ref="I208">IF($A208="","",INDEX(JupData!$A$2:$K$10000,MATCH($A208&amp;I$1,JupData!$A$2:$A$10000&amp;JupData!$J$2:$J$10000,0),11))</f>
        <v/>
      </c>
      <c r="J208" t="str">
        <f t="array" ref="J208">IF($A208="","",INDEX(JupData!$A$2:$K$10000,MATCH($A208&amp;J$1,JupData!$A$2:$A$10000&amp;JupData!$J$2:$J$10000,0),11))</f>
        <v/>
      </c>
      <c r="K208" t="str">
        <f t="array" ref="K208">IF($A208="","",INDEX(JupData!$A$2:$K$10000,MATCH($A208&amp;K$1,JupData!$A$2:$A$10000&amp;JupData!$J$2:$J$10000,0),11))</f>
        <v/>
      </c>
      <c r="L208" t="str">
        <f t="array" ref="L208">IF($A208="","",INDEX(JupData!$A$2:$K$10000,MATCH($A208&amp;L$1,JupData!$A$2:$A$10000&amp;JupData!$J$2:$J$10000,0),11))</f>
        <v/>
      </c>
      <c r="M208" t="str">
        <f t="array" ref="M208">IF($A208="","",INDEX(JupData!$A$2:$K$10000,MATCH($A208&amp;M$1,JupData!$A$2:$A$10000&amp;JupData!$J$2:$J$10000,0),11))</f>
        <v/>
      </c>
      <c r="N208" t="str">
        <f t="array" ref="N208">IF($A208="","",INDEX(JupData!$A$2:$K$10000,MATCH($A208&amp;N$1,JupData!$A$2:$A$10000&amp;JupData!$J$2:$J$10000,0),11))</f>
        <v/>
      </c>
      <c r="O208" t="str">
        <f t="array" ref="O208">IF($A208="","",INDEX(JupData!$A$2:$K$10000,MATCH($A208&amp;O$1,JupData!$A$2:$A$10000&amp;JupData!$J$2:$J$10000,0),11))</f>
        <v/>
      </c>
      <c r="P208" t="str">
        <f t="array" ref="P208">IF($A208="","",INDEX(JupData!$A$2:$K$10000,MATCH($A208&amp;P$1,JupData!$A$2:$A$10000&amp;JupData!$J$2:$J$10000,0),11))</f>
        <v/>
      </c>
      <c r="Q208" t="str">
        <f t="array" ref="Q208">IF($A208="","",INDEX(JupData!$A$2:$K$10000,MATCH($A208&amp;Q$1,JupData!$A$2:$A$10000&amp;JupData!$J$2:$J$10000,0),11))</f>
        <v/>
      </c>
      <c r="R208" t="str">
        <f t="array" ref="R208">IF($A208="","",INDEX(JupData!$A$2:$K$10000,MATCH($A208&amp;R$1,JupData!$A$2:$A$10000&amp;JupData!$J$2:$J$10000,0),11))</f>
        <v/>
      </c>
      <c r="S208" t="str">
        <f t="array" ref="S208">IF($A208="","",INDEX(JupData!$A$2:$K$10000,MATCH($A208&amp;S$1,JupData!$A$2:$A$10000&amp;JupData!$J$2:$J$10000,0),11))</f>
        <v/>
      </c>
      <c r="T208" t="str">
        <f t="array" ref="T208">IF($A208="","",INDEX(JupData!$A$2:$K$10000,MATCH($A208&amp;T$1,JupData!$A$2:$A$10000&amp;JupData!$J$2:$J$10000,0),11))</f>
        <v/>
      </c>
      <c r="U208" t="str">
        <f t="array" ref="U208">IF($A208="","",INDEX(JupData!$A$2:$K$10000,MATCH($A208&amp;U$1,JupData!$A$2:$A$10000&amp;JupData!$J$2:$J$10000,0),11))</f>
        <v/>
      </c>
      <c r="V208" t="str">
        <f t="array" ref="V208">IF($A208="","",INDEX(JupData!$A$2:$K$10000,MATCH($A208&amp;V$1,JupData!$A$2:$A$10000&amp;JupData!$J$2:$J$10000,0),11))</f>
        <v/>
      </c>
      <c r="W208" t="str">
        <f t="array" ref="W208">IF($A208="","",INDEX(JupData!$A$2:$K$10000,MATCH($A208&amp;W$1,JupData!$A$2:$A$10000&amp;JupData!$J$2:$J$10000,0),11))</f>
        <v/>
      </c>
      <c r="X208" t="str">
        <f t="array" ref="X208">IF($A208="","",INDEX(JupData!$A$2:$K$10000,MATCH($A208&amp;X$1,JupData!$A$2:$A$10000&amp;JupData!$J$2:$J$10000,0),11))</f>
        <v/>
      </c>
      <c r="Y208" t="str">
        <f t="array" ref="Y208">IF($A208="","",INDEX(JupData!$A$2:$K$10000,MATCH($A208&amp;Y$1,JupData!$A$2:$A$10000&amp;JupData!$J$2:$J$10000,0),11))</f>
        <v/>
      </c>
      <c r="Z208" t="str">
        <f t="array" ref="Z208">IF($A208="","",INDEX(JupData!$A$2:$K$10000,MATCH($A208&amp;Z$1,JupData!$A$2:$A$10000&amp;JupData!$J$2:$J$10000,0),11))</f>
        <v/>
      </c>
      <c r="AA208" t="str">
        <f t="array" ref="AA208">IF($A208="","",INDEX(JupData!$A$2:$K$10000,MATCH($A208&amp;AA$1,JupData!$A$2:$A$10000&amp;JupData!$J$2:$J$10000,0),11))</f>
        <v/>
      </c>
      <c r="AB208" t="str">
        <f t="array" ref="AB208">IF($A208="","",INDEX(JupData!$A$2:$K$10000,MATCH($A208&amp;AB$1,JupData!$A$2:$A$10000&amp;JupData!$J$2:$J$10000,0),11))</f>
        <v/>
      </c>
      <c r="AC208" s="10" t="str">
        <f t="shared" si="33"/>
        <v/>
      </c>
      <c r="AD208" s="10" t="str">
        <f t="shared" si="34"/>
        <v/>
      </c>
      <c r="AE208" s="9" t="str">
        <f t="shared" si="35"/>
        <v/>
      </c>
      <c r="AF208" s="10" t="str">
        <f t="shared" si="36"/>
        <v/>
      </c>
      <c r="AG208" s="10" t="str">
        <f t="shared" si="37"/>
        <v/>
      </c>
      <c r="AH208" s="10" t="str">
        <f t="shared" si="38"/>
        <v/>
      </c>
      <c r="AI208" s="10" t="str">
        <f t="shared" si="39"/>
        <v/>
      </c>
      <c r="AJ208" s="10" t="str">
        <f t="shared" si="40"/>
        <v/>
      </c>
      <c r="AK208" s="10" t="str">
        <f t="shared" si="41"/>
        <v/>
      </c>
      <c r="AL208" s="14" t="str">
        <f t="shared" si="42"/>
        <v/>
      </c>
    </row>
    <row r="209" spans="1:38" x14ac:dyDescent="0.2">
      <c r="A209"/>
      <c r="B209" t="str">
        <f>IF($A209="","",VLOOKUP($A209,JupData!$A$2:$I$10000,4,FALSE))</f>
        <v/>
      </c>
      <c r="C209" s="7" t="str">
        <f>IF($A209="",IF(N(D209),0,""),VLOOKUP($A209,JupData!$A$2:$I$10000,7,FALSE))</f>
        <v/>
      </c>
      <c r="D209" t="str">
        <f t="shared" si="43"/>
        <v/>
      </c>
      <c r="E209" t="str">
        <f t="array" ref="E209">IF($A209="","",INDEX(JupData!$A$2:$K$10000,MATCH($A209&amp;E$1,JupData!$A$2:$A$10000&amp;JupData!$J$2:$J$10000,0),11))</f>
        <v/>
      </c>
      <c r="F209" t="str">
        <f t="array" ref="F209">IF($A209="","",INDEX(JupData!$A$2:$K$10000,MATCH($A209&amp;F$1,JupData!$A$2:$A$10000&amp;JupData!$J$2:$J$10000,0),11))</f>
        <v/>
      </c>
      <c r="G209" t="str">
        <f t="array" ref="G209">IF($A209="","",INDEX(JupData!$A$2:$K$10000,MATCH($A209&amp;G$1,JupData!$A$2:$A$10000&amp;JupData!$J$2:$J$10000,0),11))</f>
        <v/>
      </c>
      <c r="H209" t="str">
        <f t="array" ref="H209">IF($A209="","",INDEX(JupData!$A$2:$K$10000,MATCH($A209&amp;H$1,JupData!$A$2:$A$10000&amp;JupData!$J$2:$J$10000,0),11))</f>
        <v/>
      </c>
      <c r="I209" t="str">
        <f t="array" ref="I209">IF($A209="","",INDEX(JupData!$A$2:$K$10000,MATCH($A209&amp;I$1,JupData!$A$2:$A$10000&amp;JupData!$J$2:$J$10000,0),11))</f>
        <v/>
      </c>
      <c r="J209" t="str">
        <f t="array" ref="J209">IF($A209="","",INDEX(JupData!$A$2:$K$10000,MATCH($A209&amp;J$1,JupData!$A$2:$A$10000&amp;JupData!$J$2:$J$10000,0),11))</f>
        <v/>
      </c>
      <c r="K209" t="str">
        <f t="array" ref="K209">IF($A209="","",INDEX(JupData!$A$2:$K$10000,MATCH($A209&amp;K$1,JupData!$A$2:$A$10000&amp;JupData!$J$2:$J$10000,0),11))</f>
        <v/>
      </c>
      <c r="L209" t="str">
        <f t="array" ref="L209">IF($A209="","",INDEX(JupData!$A$2:$K$10000,MATCH($A209&amp;L$1,JupData!$A$2:$A$10000&amp;JupData!$J$2:$J$10000,0),11))</f>
        <v/>
      </c>
      <c r="M209" t="str">
        <f t="array" ref="M209">IF($A209="","",INDEX(JupData!$A$2:$K$10000,MATCH($A209&amp;M$1,JupData!$A$2:$A$10000&amp;JupData!$J$2:$J$10000,0),11))</f>
        <v/>
      </c>
      <c r="N209" t="str">
        <f t="array" ref="N209">IF($A209="","",INDEX(JupData!$A$2:$K$10000,MATCH($A209&amp;N$1,JupData!$A$2:$A$10000&amp;JupData!$J$2:$J$10000,0),11))</f>
        <v/>
      </c>
      <c r="O209" t="str">
        <f t="array" ref="O209">IF($A209="","",INDEX(JupData!$A$2:$K$10000,MATCH($A209&amp;O$1,JupData!$A$2:$A$10000&amp;JupData!$J$2:$J$10000,0),11))</f>
        <v/>
      </c>
      <c r="P209" t="str">
        <f t="array" ref="P209">IF($A209="","",INDEX(JupData!$A$2:$K$10000,MATCH($A209&amp;P$1,JupData!$A$2:$A$10000&amp;JupData!$J$2:$J$10000,0),11))</f>
        <v/>
      </c>
      <c r="Q209" t="str">
        <f t="array" ref="Q209">IF($A209="","",INDEX(JupData!$A$2:$K$10000,MATCH($A209&amp;Q$1,JupData!$A$2:$A$10000&amp;JupData!$J$2:$J$10000,0),11))</f>
        <v/>
      </c>
      <c r="R209" t="str">
        <f t="array" ref="R209">IF($A209="","",INDEX(JupData!$A$2:$K$10000,MATCH($A209&amp;R$1,JupData!$A$2:$A$10000&amp;JupData!$J$2:$J$10000,0),11))</f>
        <v/>
      </c>
      <c r="S209" t="str">
        <f t="array" ref="S209">IF($A209="","",INDEX(JupData!$A$2:$K$10000,MATCH($A209&amp;S$1,JupData!$A$2:$A$10000&amp;JupData!$J$2:$J$10000,0),11))</f>
        <v/>
      </c>
      <c r="T209" t="str">
        <f t="array" ref="T209">IF($A209="","",INDEX(JupData!$A$2:$K$10000,MATCH($A209&amp;T$1,JupData!$A$2:$A$10000&amp;JupData!$J$2:$J$10000,0),11))</f>
        <v/>
      </c>
      <c r="U209" t="str">
        <f t="array" ref="U209">IF($A209="","",INDEX(JupData!$A$2:$K$10000,MATCH($A209&amp;U$1,JupData!$A$2:$A$10000&amp;JupData!$J$2:$J$10000,0),11))</f>
        <v/>
      </c>
      <c r="V209" t="str">
        <f t="array" ref="V209">IF($A209="","",INDEX(JupData!$A$2:$K$10000,MATCH($A209&amp;V$1,JupData!$A$2:$A$10000&amp;JupData!$J$2:$J$10000,0),11))</f>
        <v/>
      </c>
      <c r="W209" t="str">
        <f t="array" ref="W209">IF($A209="","",INDEX(JupData!$A$2:$K$10000,MATCH($A209&amp;W$1,JupData!$A$2:$A$10000&amp;JupData!$J$2:$J$10000,0),11))</f>
        <v/>
      </c>
      <c r="X209" t="str">
        <f t="array" ref="X209">IF($A209="","",INDEX(JupData!$A$2:$K$10000,MATCH($A209&amp;X$1,JupData!$A$2:$A$10000&amp;JupData!$J$2:$J$10000,0),11))</f>
        <v/>
      </c>
      <c r="Y209" t="str">
        <f t="array" ref="Y209">IF($A209="","",INDEX(JupData!$A$2:$K$10000,MATCH($A209&amp;Y$1,JupData!$A$2:$A$10000&amp;JupData!$J$2:$J$10000,0),11))</f>
        <v/>
      </c>
      <c r="Z209" t="str">
        <f t="array" ref="Z209">IF($A209="","",INDEX(JupData!$A$2:$K$10000,MATCH($A209&amp;Z$1,JupData!$A$2:$A$10000&amp;JupData!$J$2:$J$10000,0),11))</f>
        <v/>
      </c>
      <c r="AA209" t="str">
        <f t="array" ref="AA209">IF($A209="","",INDEX(JupData!$A$2:$K$10000,MATCH($A209&amp;AA$1,JupData!$A$2:$A$10000&amp;JupData!$J$2:$J$10000,0),11))</f>
        <v/>
      </c>
      <c r="AB209" t="str">
        <f t="array" ref="AB209">IF($A209="","",INDEX(JupData!$A$2:$K$10000,MATCH($A209&amp;AB$1,JupData!$A$2:$A$10000&amp;JupData!$J$2:$J$10000,0),11))</f>
        <v/>
      </c>
      <c r="AC209" s="10" t="str">
        <f t="shared" si="33"/>
        <v/>
      </c>
      <c r="AD209" s="10" t="str">
        <f t="shared" si="34"/>
        <v/>
      </c>
      <c r="AE209" s="9" t="str">
        <f t="shared" si="35"/>
        <v/>
      </c>
      <c r="AF209" s="10" t="str">
        <f t="shared" si="36"/>
        <v/>
      </c>
      <c r="AG209" s="10" t="str">
        <f t="shared" si="37"/>
        <v/>
      </c>
      <c r="AH209" s="10" t="str">
        <f t="shared" si="38"/>
        <v/>
      </c>
      <c r="AI209" s="10" t="str">
        <f t="shared" si="39"/>
        <v/>
      </c>
      <c r="AJ209" s="10" t="str">
        <f t="shared" si="40"/>
        <v/>
      </c>
      <c r="AK209" s="10" t="str">
        <f t="shared" si="41"/>
        <v/>
      </c>
      <c r="AL209" s="14" t="str">
        <f t="shared" si="42"/>
        <v/>
      </c>
    </row>
    <row r="210" spans="1:38" x14ac:dyDescent="0.2">
      <c r="A210"/>
      <c r="B210" t="str">
        <f>IF($A210="","",VLOOKUP($A210,JupData!$A$2:$I$10000,4,FALSE))</f>
        <v/>
      </c>
      <c r="C210" s="7" t="str">
        <f>IF($A210="",IF(N(D210),0,""),VLOOKUP($A210,JupData!$A$2:$I$10000,7,FALSE))</f>
        <v/>
      </c>
      <c r="D210" t="str">
        <f t="shared" si="43"/>
        <v/>
      </c>
      <c r="E210" t="str">
        <f t="array" ref="E210">IF($A210="","",INDEX(JupData!$A$2:$K$10000,MATCH($A210&amp;E$1,JupData!$A$2:$A$10000&amp;JupData!$J$2:$J$10000,0),11))</f>
        <v/>
      </c>
      <c r="F210" t="str">
        <f t="array" ref="F210">IF($A210="","",INDEX(JupData!$A$2:$K$10000,MATCH($A210&amp;F$1,JupData!$A$2:$A$10000&amp;JupData!$J$2:$J$10000,0),11))</f>
        <v/>
      </c>
      <c r="G210" t="str">
        <f t="array" ref="G210">IF($A210="","",INDEX(JupData!$A$2:$K$10000,MATCH($A210&amp;G$1,JupData!$A$2:$A$10000&amp;JupData!$J$2:$J$10000,0),11))</f>
        <v/>
      </c>
      <c r="H210" t="str">
        <f t="array" ref="H210">IF($A210="","",INDEX(JupData!$A$2:$K$10000,MATCH($A210&amp;H$1,JupData!$A$2:$A$10000&amp;JupData!$J$2:$J$10000,0),11))</f>
        <v/>
      </c>
      <c r="I210" t="str">
        <f t="array" ref="I210">IF($A210="","",INDEX(JupData!$A$2:$K$10000,MATCH($A210&amp;I$1,JupData!$A$2:$A$10000&amp;JupData!$J$2:$J$10000,0),11))</f>
        <v/>
      </c>
      <c r="J210" t="str">
        <f t="array" ref="J210">IF($A210="","",INDEX(JupData!$A$2:$K$10000,MATCH($A210&amp;J$1,JupData!$A$2:$A$10000&amp;JupData!$J$2:$J$10000,0),11))</f>
        <v/>
      </c>
      <c r="K210" t="str">
        <f t="array" ref="K210">IF($A210="","",INDEX(JupData!$A$2:$K$10000,MATCH($A210&amp;K$1,JupData!$A$2:$A$10000&amp;JupData!$J$2:$J$10000,0),11))</f>
        <v/>
      </c>
      <c r="L210" t="str">
        <f t="array" ref="L210">IF($A210="","",INDEX(JupData!$A$2:$K$10000,MATCH($A210&amp;L$1,JupData!$A$2:$A$10000&amp;JupData!$J$2:$J$10000,0),11))</f>
        <v/>
      </c>
      <c r="M210" t="str">
        <f t="array" ref="M210">IF($A210="","",INDEX(JupData!$A$2:$K$10000,MATCH($A210&amp;M$1,JupData!$A$2:$A$10000&amp;JupData!$J$2:$J$10000,0),11))</f>
        <v/>
      </c>
      <c r="N210" t="str">
        <f t="array" ref="N210">IF($A210="","",INDEX(JupData!$A$2:$K$10000,MATCH($A210&amp;N$1,JupData!$A$2:$A$10000&amp;JupData!$J$2:$J$10000,0),11))</f>
        <v/>
      </c>
      <c r="O210" t="str">
        <f t="array" ref="O210">IF($A210="","",INDEX(JupData!$A$2:$K$10000,MATCH($A210&amp;O$1,JupData!$A$2:$A$10000&amp;JupData!$J$2:$J$10000,0),11))</f>
        <v/>
      </c>
      <c r="P210" t="str">
        <f t="array" ref="P210">IF($A210="","",INDEX(JupData!$A$2:$K$10000,MATCH($A210&amp;P$1,JupData!$A$2:$A$10000&amp;JupData!$J$2:$J$10000,0),11))</f>
        <v/>
      </c>
      <c r="Q210" t="str">
        <f t="array" ref="Q210">IF($A210="","",INDEX(JupData!$A$2:$K$10000,MATCH($A210&amp;Q$1,JupData!$A$2:$A$10000&amp;JupData!$J$2:$J$10000,0),11))</f>
        <v/>
      </c>
      <c r="R210" t="str">
        <f t="array" ref="R210">IF($A210="","",INDEX(JupData!$A$2:$K$10000,MATCH($A210&amp;R$1,JupData!$A$2:$A$10000&amp;JupData!$J$2:$J$10000,0),11))</f>
        <v/>
      </c>
      <c r="S210" t="str">
        <f t="array" ref="S210">IF($A210="","",INDEX(JupData!$A$2:$K$10000,MATCH($A210&amp;S$1,JupData!$A$2:$A$10000&amp;JupData!$J$2:$J$10000,0),11))</f>
        <v/>
      </c>
      <c r="T210" t="str">
        <f t="array" ref="T210">IF($A210="","",INDEX(JupData!$A$2:$K$10000,MATCH($A210&amp;T$1,JupData!$A$2:$A$10000&amp;JupData!$J$2:$J$10000,0),11))</f>
        <v/>
      </c>
      <c r="U210" t="str">
        <f t="array" ref="U210">IF($A210="","",INDEX(JupData!$A$2:$K$10000,MATCH($A210&amp;U$1,JupData!$A$2:$A$10000&amp;JupData!$J$2:$J$10000,0),11))</f>
        <v/>
      </c>
      <c r="V210" t="str">
        <f t="array" ref="V210">IF($A210="","",INDEX(JupData!$A$2:$K$10000,MATCH($A210&amp;V$1,JupData!$A$2:$A$10000&amp;JupData!$J$2:$J$10000,0),11))</f>
        <v/>
      </c>
      <c r="W210" t="str">
        <f t="array" ref="W210">IF($A210="","",INDEX(JupData!$A$2:$K$10000,MATCH($A210&amp;W$1,JupData!$A$2:$A$10000&amp;JupData!$J$2:$J$10000,0),11))</f>
        <v/>
      </c>
      <c r="X210" t="str">
        <f t="array" ref="X210">IF($A210="","",INDEX(JupData!$A$2:$K$10000,MATCH($A210&amp;X$1,JupData!$A$2:$A$10000&amp;JupData!$J$2:$J$10000,0),11))</f>
        <v/>
      </c>
      <c r="Y210" t="str">
        <f t="array" ref="Y210">IF($A210="","",INDEX(JupData!$A$2:$K$10000,MATCH($A210&amp;Y$1,JupData!$A$2:$A$10000&amp;JupData!$J$2:$J$10000,0),11))</f>
        <v/>
      </c>
      <c r="Z210" t="str">
        <f t="array" ref="Z210">IF($A210="","",INDEX(JupData!$A$2:$K$10000,MATCH($A210&amp;Z$1,JupData!$A$2:$A$10000&amp;JupData!$J$2:$J$10000,0),11))</f>
        <v/>
      </c>
      <c r="AA210" t="str">
        <f t="array" ref="AA210">IF($A210="","",INDEX(JupData!$A$2:$K$10000,MATCH($A210&amp;AA$1,JupData!$A$2:$A$10000&amp;JupData!$J$2:$J$10000,0),11))</f>
        <v/>
      </c>
      <c r="AB210" t="str">
        <f t="array" ref="AB210">IF($A210="","",INDEX(JupData!$A$2:$K$10000,MATCH($A210&amp;AB$1,JupData!$A$2:$A$10000&amp;JupData!$J$2:$J$10000,0),11))</f>
        <v/>
      </c>
      <c r="AC210" s="10" t="str">
        <f t="shared" si="33"/>
        <v/>
      </c>
      <c r="AD210" s="10" t="str">
        <f t="shared" si="34"/>
        <v/>
      </c>
      <c r="AE210" s="9" t="str">
        <f t="shared" si="35"/>
        <v/>
      </c>
      <c r="AF210" s="10" t="str">
        <f t="shared" si="36"/>
        <v/>
      </c>
      <c r="AG210" s="10" t="str">
        <f t="shared" si="37"/>
        <v/>
      </c>
      <c r="AH210" s="10" t="str">
        <f t="shared" si="38"/>
        <v/>
      </c>
      <c r="AI210" s="10" t="str">
        <f t="shared" si="39"/>
        <v/>
      </c>
      <c r="AJ210" s="10" t="str">
        <f t="shared" si="40"/>
        <v/>
      </c>
      <c r="AK210" s="10" t="str">
        <f t="shared" si="41"/>
        <v/>
      </c>
      <c r="AL210" s="14" t="str">
        <f t="shared" si="42"/>
        <v/>
      </c>
    </row>
    <row r="211" spans="1:38" x14ac:dyDescent="0.2">
      <c r="A211"/>
      <c r="B211" t="str">
        <f>IF($A211="","",VLOOKUP($A211,JupData!$A$2:$I$10000,4,FALSE))</f>
        <v/>
      </c>
      <c r="C211" s="7" t="str">
        <f>IF($A211="",IF(N(D211),0,""),VLOOKUP($A211,JupData!$A$2:$I$10000,7,FALSE))</f>
        <v/>
      </c>
      <c r="D211" t="str">
        <f t="shared" si="43"/>
        <v/>
      </c>
      <c r="E211" t="str">
        <f t="array" ref="E211">IF($A211="","",INDEX(JupData!$A$2:$K$10000,MATCH($A211&amp;E$1,JupData!$A$2:$A$10000&amp;JupData!$J$2:$J$10000,0),11))</f>
        <v/>
      </c>
      <c r="F211" t="str">
        <f t="array" ref="F211">IF($A211="","",INDEX(JupData!$A$2:$K$10000,MATCH($A211&amp;F$1,JupData!$A$2:$A$10000&amp;JupData!$J$2:$J$10000,0),11))</f>
        <v/>
      </c>
      <c r="G211" t="str">
        <f t="array" ref="G211">IF($A211="","",INDEX(JupData!$A$2:$K$10000,MATCH($A211&amp;G$1,JupData!$A$2:$A$10000&amp;JupData!$J$2:$J$10000,0),11))</f>
        <v/>
      </c>
      <c r="H211" t="str">
        <f t="array" ref="H211">IF($A211="","",INDEX(JupData!$A$2:$K$10000,MATCH($A211&amp;H$1,JupData!$A$2:$A$10000&amp;JupData!$J$2:$J$10000,0),11))</f>
        <v/>
      </c>
      <c r="I211" t="str">
        <f t="array" ref="I211">IF($A211="","",INDEX(JupData!$A$2:$K$10000,MATCH($A211&amp;I$1,JupData!$A$2:$A$10000&amp;JupData!$J$2:$J$10000,0),11))</f>
        <v/>
      </c>
      <c r="J211" t="str">
        <f t="array" ref="J211">IF($A211="","",INDEX(JupData!$A$2:$K$10000,MATCH($A211&amp;J$1,JupData!$A$2:$A$10000&amp;JupData!$J$2:$J$10000,0),11))</f>
        <v/>
      </c>
      <c r="K211" t="str">
        <f t="array" ref="K211">IF($A211="","",INDEX(JupData!$A$2:$K$10000,MATCH($A211&amp;K$1,JupData!$A$2:$A$10000&amp;JupData!$J$2:$J$10000,0),11))</f>
        <v/>
      </c>
      <c r="L211" t="str">
        <f t="array" ref="L211">IF($A211="","",INDEX(JupData!$A$2:$K$10000,MATCH($A211&amp;L$1,JupData!$A$2:$A$10000&amp;JupData!$J$2:$J$10000,0),11))</f>
        <v/>
      </c>
      <c r="M211" t="str">
        <f t="array" ref="M211">IF($A211="","",INDEX(JupData!$A$2:$K$10000,MATCH($A211&amp;M$1,JupData!$A$2:$A$10000&amp;JupData!$J$2:$J$10000,0),11))</f>
        <v/>
      </c>
      <c r="N211" t="str">
        <f t="array" ref="N211">IF($A211="","",INDEX(JupData!$A$2:$K$10000,MATCH($A211&amp;N$1,JupData!$A$2:$A$10000&amp;JupData!$J$2:$J$10000,0),11))</f>
        <v/>
      </c>
      <c r="O211" t="str">
        <f t="array" ref="O211">IF($A211="","",INDEX(JupData!$A$2:$K$10000,MATCH($A211&amp;O$1,JupData!$A$2:$A$10000&amp;JupData!$J$2:$J$10000,0),11))</f>
        <v/>
      </c>
      <c r="P211" t="str">
        <f t="array" ref="P211">IF($A211="","",INDEX(JupData!$A$2:$K$10000,MATCH($A211&amp;P$1,JupData!$A$2:$A$10000&amp;JupData!$J$2:$J$10000,0),11))</f>
        <v/>
      </c>
      <c r="Q211" t="str">
        <f t="array" ref="Q211">IF($A211="","",INDEX(JupData!$A$2:$K$10000,MATCH($A211&amp;Q$1,JupData!$A$2:$A$10000&amp;JupData!$J$2:$J$10000,0),11))</f>
        <v/>
      </c>
      <c r="R211" t="str">
        <f t="array" ref="R211">IF($A211="","",INDEX(JupData!$A$2:$K$10000,MATCH($A211&amp;R$1,JupData!$A$2:$A$10000&amp;JupData!$J$2:$J$10000,0),11))</f>
        <v/>
      </c>
      <c r="S211" t="str">
        <f t="array" ref="S211">IF($A211="","",INDEX(JupData!$A$2:$K$10000,MATCH($A211&amp;S$1,JupData!$A$2:$A$10000&amp;JupData!$J$2:$J$10000,0),11))</f>
        <v/>
      </c>
      <c r="T211" t="str">
        <f t="array" ref="T211">IF($A211="","",INDEX(JupData!$A$2:$K$10000,MATCH($A211&amp;T$1,JupData!$A$2:$A$10000&amp;JupData!$J$2:$J$10000,0),11))</f>
        <v/>
      </c>
      <c r="U211" t="str">
        <f t="array" ref="U211">IF($A211="","",INDEX(JupData!$A$2:$K$10000,MATCH($A211&amp;U$1,JupData!$A$2:$A$10000&amp;JupData!$J$2:$J$10000,0),11))</f>
        <v/>
      </c>
      <c r="V211" t="str">
        <f t="array" ref="V211">IF($A211="","",INDEX(JupData!$A$2:$K$10000,MATCH($A211&amp;V$1,JupData!$A$2:$A$10000&amp;JupData!$J$2:$J$10000,0),11))</f>
        <v/>
      </c>
      <c r="W211" t="str">
        <f t="array" ref="W211">IF($A211="","",INDEX(JupData!$A$2:$K$10000,MATCH($A211&amp;W$1,JupData!$A$2:$A$10000&amp;JupData!$J$2:$J$10000,0),11))</f>
        <v/>
      </c>
      <c r="X211" t="str">
        <f t="array" ref="X211">IF($A211="","",INDEX(JupData!$A$2:$K$10000,MATCH($A211&amp;X$1,JupData!$A$2:$A$10000&amp;JupData!$J$2:$J$10000,0),11))</f>
        <v/>
      </c>
      <c r="Y211" t="str">
        <f t="array" ref="Y211">IF($A211="","",INDEX(JupData!$A$2:$K$10000,MATCH($A211&amp;Y$1,JupData!$A$2:$A$10000&amp;JupData!$J$2:$J$10000,0),11))</f>
        <v/>
      </c>
      <c r="Z211" t="str">
        <f t="array" ref="Z211">IF($A211="","",INDEX(JupData!$A$2:$K$10000,MATCH($A211&amp;Z$1,JupData!$A$2:$A$10000&amp;JupData!$J$2:$J$10000,0),11))</f>
        <v/>
      </c>
      <c r="AA211" t="str">
        <f t="array" ref="AA211">IF($A211="","",INDEX(JupData!$A$2:$K$10000,MATCH($A211&amp;AA$1,JupData!$A$2:$A$10000&amp;JupData!$J$2:$J$10000,0),11))</f>
        <v/>
      </c>
      <c r="AB211" t="str">
        <f t="array" ref="AB211">IF($A211="","",INDEX(JupData!$A$2:$K$10000,MATCH($A211&amp;AB$1,JupData!$A$2:$A$10000&amp;JupData!$J$2:$J$10000,0),11))</f>
        <v/>
      </c>
      <c r="AC211" s="10" t="str">
        <f t="shared" si="33"/>
        <v/>
      </c>
      <c r="AD211" s="10" t="str">
        <f t="shared" si="34"/>
        <v/>
      </c>
      <c r="AE211" s="9" t="str">
        <f t="shared" si="35"/>
        <v/>
      </c>
      <c r="AF211" s="10" t="str">
        <f t="shared" si="36"/>
        <v/>
      </c>
      <c r="AG211" s="10" t="str">
        <f t="shared" si="37"/>
        <v/>
      </c>
      <c r="AH211" s="10" t="str">
        <f t="shared" si="38"/>
        <v/>
      </c>
      <c r="AI211" s="10" t="str">
        <f t="shared" si="39"/>
        <v/>
      </c>
      <c r="AJ211" s="10" t="str">
        <f t="shared" si="40"/>
        <v/>
      </c>
      <c r="AK211" s="10" t="str">
        <f t="shared" si="41"/>
        <v/>
      </c>
      <c r="AL211" s="14" t="str">
        <f t="shared" si="42"/>
        <v/>
      </c>
    </row>
    <row r="212" spans="1:38" x14ac:dyDescent="0.2">
      <c r="A212"/>
      <c r="B212" t="str">
        <f>IF($A212="","",VLOOKUP($A212,JupData!$A$2:$I$10000,4,FALSE))</f>
        <v/>
      </c>
      <c r="C212" s="7" t="str">
        <f>IF($A212="",IF(N(D212),0,""),VLOOKUP($A212,JupData!$A$2:$I$10000,7,FALSE))</f>
        <v/>
      </c>
      <c r="D212" t="str">
        <f t="shared" si="43"/>
        <v/>
      </c>
      <c r="E212" t="str">
        <f t="array" ref="E212">IF($A212="","",INDEX(JupData!$A$2:$K$10000,MATCH($A212&amp;E$1,JupData!$A$2:$A$10000&amp;JupData!$J$2:$J$10000,0),11))</f>
        <v/>
      </c>
      <c r="F212" t="str">
        <f t="array" ref="F212">IF($A212="","",INDEX(JupData!$A$2:$K$10000,MATCH($A212&amp;F$1,JupData!$A$2:$A$10000&amp;JupData!$J$2:$J$10000,0),11))</f>
        <v/>
      </c>
      <c r="G212" t="str">
        <f t="array" ref="G212">IF($A212="","",INDEX(JupData!$A$2:$K$10000,MATCH($A212&amp;G$1,JupData!$A$2:$A$10000&amp;JupData!$J$2:$J$10000,0),11))</f>
        <v/>
      </c>
      <c r="H212" t="str">
        <f t="array" ref="H212">IF($A212="","",INDEX(JupData!$A$2:$K$10000,MATCH($A212&amp;H$1,JupData!$A$2:$A$10000&amp;JupData!$J$2:$J$10000,0),11))</f>
        <v/>
      </c>
      <c r="I212" t="str">
        <f t="array" ref="I212">IF($A212="","",INDEX(JupData!$A$2:$K$10000,MATCH($A212&amp;I$1,JupData!$A$2:$A$10000&amp;JupData!$J$2:$J$10000,0),11))</f>
        <v/>
      </c>
      <c r="J212" t="str">
        <f t="array" ref="J212">IF($A212="","",INDEX(JupData!$A$2:$K$10000,MATCH($A212&amp;J$1,JupData!$A$2:$A$10000&amp;JupData!$J$2:$J$10000,0),11))</f>
        <v/>
      </c>
      <c r="K212" t="str">
        <f t="array" ref="K212">IF($A212="","",INDEX(JupData!$A$2:$K$10000,MATCH($A212&amp;K$1,JupData!$A$2:$A$10000&amp;JupData!$J$2:$J$10000,0),11))</f>
        <v/>
      </c>
      <c r="L212" t="str">
        <f t="array" ref="L212">IF($A212="","",INDEX(JupData!$A$2:$K$10000,MATCH($A212&amp;L$1,JupData!$A$2:$A$10000&amp;JupData!$J$2:$J$10000,0),11))</f>
        <v/>
      </c>
      <c r="M212" t="str">
        <f t="array" ref="M212">IF($A212="","",INDEX(JupData!$A$2:$K$10000,MATCH($A212&amp;M$1,JupData!$A$2:$A$10000&amp;JupData!$J$2:$J$10000,0),11))</f>
        <v/>
      </c>
      <c r="N212" t="str">
        <f t="array" ref="N212">IF($A212="","",INDEX(JupData!$A$2:$K$10000,MATCH($A212&amp;N$1,JupData!$A$2:$A$10000&amp;JupData!$J$2:$J$10000,0),11))</f>
        <v/>
      </c>
      <c r="O212" t="str">
        <f t="array" ref="O212">IF($A212="","",INDEX(JupData!$A$2:$K$10000,MATCH($A212&amp;O$1,JupData!$A$2:$A$10000&amp;JupData!$J$2:$J$10000,0),11))</f>
        <v/>
      </c>
      <c r="P212" t="str">
        <f t="array" ref="P212">IF($A212="","",INDEX(JupData!$A$2:$K$10000,MATCH($A212&amp;P$1,JupData!$A$2:$A$10000&amp;JupData!$J$2:$J$10000,0),11))</f>
        <v/>
      </c>
      <c r="Q212" t="str">
        <f t="array" ref="Q212">IF($A212="","",INDEX(JupData!$A$2:$K$10000,MATCH($A212&amp;Q$1,JupData!$A$2:$A$10000&amp;JupData!$J$2:$J$10000,0),11))</f>
        <v/>
      </c>
      <c r="R212" t="str">
        <f t="array" ref="R212">IF($A212="","",INDEX(JupData!$A$2:$K$10000,MATCH($A212&amp;R$1,JupData!$A$2:$A$10000&amp;JupData!$J$2:$J$10000,0),11))</f>
        <v/>
      </c>
      <c r="S212" t="str">
        <f t="array" ref="S212">IF($A212="","",INDEX(JupData!$A$2:$K$10000,MATCH($A212&amp;S$1,JupData!$A$2:$A$10000&amp;JupData!$J$2:$J$10000,0),11))</f>
        <v/>
      </c>
      <c r="T212" t="str">
        <f t="array" ref="T212">IF($A212="","",INDEX(JupData!$A$2:$K$10000,MATCH($A212&amp;T$1,JupData!$A$2:$A$10000&amp;JupData!$J$2:$J$10000,0),11))</f>
        <v/>
      </c>
      <c r="U212" t="str">
        <f t="array" ref="U212">IF($A212="","",INDEX(JupData!$A$2:$K$10000,MATCH($A212&amp;U$1,JupData!$A$2:$A$10000&amp;JupData!$J$2:$J$10000,0),11))</f>
        <v/>
      </c>
      <c r="V212" t="str">
        <f t="array" ref="V212">IF($A212="","",INDEX(JupData!$A$2:$K$10000,MATCH($A212&amp;V$1,JupData!$A$2:$A$10000&amp;JupData!$J$2:$J$10000,0),11))</f>
        <v/>
      </c>
      <c r="W212" t="str">
        <f t="array" ref="W212">IF($A212="","",INDEX(JupData!$A$2:$K$10000,MATCH($A212&amp;W$1,JupData!$A$2:$A$10000&amp;JupData!$J$2:$J$10000,0),11))</f>
        <v/>
      </c>
      <c r="X212" t="str">
        <f t="array" ref="X212">IF($A212="","",INDEX(JupData!$A$2:$K$10000,MATCH($A212&amp;X$1,JupData!$A$2:$A$10000&amp;JupData!$J$2:$J$10000,0),11))</f>
        <v/>
      </c>
      <c r="Y212" t="str">
        <f t="array" ref="Y212">IF($A212="","",INDEX(JupData!$A$2:$K$10000,MATCH($A212&amp;Y$1,JupData!$A$2:$A$10000&amp;JupData!$J$2:$J$10000,0),11))</f>
        <v/>
      </c>
      <c r="Z212" t="str">
        <f t="array" ref="Z212">IF($A212="","",INDEX(JupData!$A$2:$K$10000,MATCH($A212&amp;Z$1,JupData!$A$2:$A$10000&amp;JupData!$J$2:$J$10000,0),11))</f>
        <v/>
      </c>
      <c r="AA212" t="str">
        <f t="array" ref="AA212">IF($A212="","",INDEX(JupData!$A$2:$K$10000,MATCH($A212&amp;AA$1,JupData!$A$2:$A$10000&amp;JupData!$J$2:$J$10000,0),11))</f>
        <v/>
      </c>
      <c r="AB212" t="str">
        <f t="array" ref="AB212">IF($A212="","",INDEX(JupData!$A$2:$K$10000,MATCH($A212&amp;AB$1,JupData!$A$2:$A$10000&amp;JupData!$J$2:$J$10000,0),11))</f>
        <v/>
      </c>
      <c r="AC212" s="10" t="str">
        <f t="shared" si="33"/>
        <v/>
      </c>
      <c r="AD212" s="10" t="str">
        <f t="shared" si="34"/>
        <v/>
      </c>
      <c r="AE212" s="9" t="str">
        <f t="shared" si="35"/>
        <v/>
      </c>
      <c r="AF212" s="10" t="str">
        <f t="shared" si="36"/>
        <v/>
      </c>
      <c r="AG212" s="10" t="str">
        <f t="shared" si="37"/>
        <v/>
      </c>
      <c r="AH212" s="10" t="str">
        <f t="shared" si="38"/>
        <v/>
      </c>
      <c r="AI212" s="10" t="str">
        <f t="shared" si="39"/>
        <v/>
      </c>
      <c r="AJ212" s="10" t="str">
        <f t="shared" si="40"/>
        <v/>
      </c>
      <c r="AK212" s="10" t="str">
        <f t="shared" si="41"/>
        <v/>
      </c>
      <c r="AL212" s="14" t="str">
        <f t="shared" si="42"/>
        <v/>
      </c>
    </row>
    <row r="213" spans="1:38" x14ac:dyDescent="0.2">
      <c r="A213"/>
      <c r="B213" t="str">
        <f>IF($A213="","",VLOOKUP($A213,JupData!$A$2:$I$10000,4,FALSE))</f>
        <v/>
      </c>
      <c r="C213" s="7" t="str">
        <f>IF($A213="",IF(N(D213),0,""),VLOOKUP($A213,JupData!$A$2:$I$10000,7,FALSE))</f>
        <v/>
      </c>
      <c r="D213" t="str">
        <f t="shared" si="43"/>
        <v/>
      </c>
      <c r="E213" t="str">
        <f t="array" ref="E213">IF($A213="","",INDEX(JupData!$A$2:$K$10000,MATCH($A213&amp;E$1,JupData!$A$2:$A$10000&amp;JupData!$J$2:$J$10000,0),11))</f>
        <v/>
      </c>
      <c r="F213" t="str">
        <f t="array" ref="F213">IF($A213="","",INDEX(JupData!$A$2:$K$10000,MATCH($A213&amp;F$1,JupData!$A$2:$A$10000&amp;JupData!$J$2:$J$10000,0),11))</f>
        <v/>
      </c>
      <c r="G213" t="str">
        <f t="array" ref="G213">IF($A213="","",INDEX(JupData!$A$2:$K$10000,MATCH($A213&amp;G$1,JupData!$A$2:$A$10000&amp;JupData!$J$2:$J$10000,0),11))</f>
        <v/>
      </c>
      <c r="H213" t="str">
        <f t="array" ref="H213">IF($A213="","",INDEX(JupData!$A$2:$K$10000,MATCH($A213&amp;H$1,JupData!$A$2:$A$10000&amp;JupData!$J$2:$J$10000,0),11))</f>
        <v/>
      </c>
      <c r="I213" t="str">
        <f t="array" ref="I213">IF($A213="","",INDEX(JupData!$A$2:$K$10000,MATCH($A213&amp;I$1,JupData!$A$2:$A$10000&amp;JupData!$J$2:$J$10000,0),11))</f>
        <v/>
      </c>
      <c r="J213" t="str">
        <f t="array" ref="J213">IF($A213="","",INDEX(JupData!$A$2:$K$10000,MATCH($A213&amp;J$1,JupData!$A$2:$A$10000&amp;JupData!$J$2:$J$10000,0),11))</f>
        <v/>
      </c>
      <c r="K213" t="str">
        <f t="array" ref="K213">IF($A213="","",INDEX(JupData!$A$2:$K$10000,MATCH($A213&amp;K$1,JupData!$A$2:$A$10000&amp;JupData!$J$2:$J$10000,0),11))</f>
        <v/>
      </c>
      <c r="L213" t="str">
        <f t="array" ref="L213">IF($A213="","",INDEX(JupData!$A$2:$K$10000,MATCH($A213&amp;L$1,JupData!$A$2:$A$10000&amp;JupData!$J$2:$J$10000,0),11))</f>
        <v/>
      </c>
      <c r="M213" t="str">
        <f t="array" ref="M213">IF($A213="","",INDEX(JupData!$A$2:$K$10000,MATCH($A213&amp;M$1,JupData!$A$2:$A$10000&amp;JupData!$J$2:$J$10000,0),11))</f>
        <v/>
      </c>
      <c r="N213" t="str">
        <f t="array" ref="N213">IF($A213="","",INDEX(JupData!$A$2:$K$10000,MATCH($A213&amp;N$1,JupData!$A$2:$A$10000&amp;JupData!$J$2:$J$10000,0),11))</f>
        <v/>
      </c>
      <c r="O213" t="str">
        <f t="array" ref="O213">IF($A213="","",INDEX(JupData!$A$2:$K$10000,MATCH($A213&amp;O$1,JupData!$A$2:$A$10000&amp;JupData!$J$2:$J$10000,0),11))</f>
        <v/>
      </c>
      <c r="P213" t="str">
        <f t="array" ref="P213">IF($A213="","",INDEX(JupData!$A$2:$K$10000,MATCH($A213&amp;P$1,JupData!$A$2:$A$10000&amp;JupData!$J$2:$J$10000,0),11))</f>
        <v/>
      </c>
      <c r="Q213" t="str">
        <f t="array" ref="Q213">IF($A213="","",INDEX(JupData!$A$2:$K$10000,MATCH($A213&amp;Q$1,JupData!$A$2:$A$10000&amp;JupData!$J$2:$J$10000,0),11))</f>
        <v/>
      </c>
      <c r="R213" t="str">
        <f t="array" ref="R213">IF($A213="","",INDEX(JupData!$A$2:$K$10000,MATCH($A213&amp;R$1,JupData!$A$2:$A$10000&amp;JupData!$J$2:$J$10000,0),11))</f>
        <v/>
      </c>
      <c r="S213" t="str">
        <f t="array" ref="S213">IF($A213="","",INDEX(JupData!$A$2:$K$10000,MATCH($A213&amp;S$1,JupData!$A$2:$A$10000&amp;JupData!$J$2:$J$10000,0),11))</f>
        <v/>
      </c>
      <c r="T213" t="str">
        <f t="array" ref="T213">IF($A213="","",INDEX(JupData!$A$2:$K$10000,MATCH($A213&amp;T$1,JupData!$A$2:$A$10000&amp;JupData!$J$2:$J$10000,0),11))</f>
        <v/>
      </c>
      <c r="U213" t="str">
        <f t="array" ref="U213">IF($A213="","",INDEX(JupData!$A$2:$K$10000,MATCH($A213&amp;U$1,JupData!$A$2:$A$10000&amp;JupData!$J$2:$J$10000,0),11))</f>
        <v/>
      </c>
      <c r="V213" t="str">
        <f t="array" ref="V213">IF($A213="","",INDEX(JupData!$A$2:$K$10000,MATCH($A213&amp;V$1,JupData!$A$2:$A$10000&amp;JupData!$J$2:$J$10000,0),11))</f>
        <v/>
      </c>
      <c r="W213" t="str">
        <f t="array" ref="W213">IF($A213="","",INDEX(JupData!$A$2:$K$10000,MATCH($A213&amp;W$1,JupData!$A$2:$A$10000&amp;JupData!$J$2:$J$10000,0),11))</f>
        <v/>
      </c>
      <c r="X213" t="str">
        <f t="array" ref="X213">IF($A213="","",INDEX(JupData!$A$2:$K$10000,MATCH($A213&amp;X$1,JupData!$A$2:$A$10000&amp;JupData!$J$2:$J$10000,0),11))</f>
        <v/>
      </c>
      <c r="Y213" t="str">
        <f t="array" ref="Y213">IF($A213="","",INDEX(JupData!$A$2:$K$10000,MATCH($A213&amp;Y$1,JupData!$A$2:$A$10000&amp;JupData!$J$2:$J$10000,0),11))</f>
        <v/>
      </c>
      <c r="Z213" t="str">
        <f t="array" ref="Z213">IF($A213="","",INDEX(JupData!$A$2:$K$10000,MATCH($A213&amp;Z$1,JupData!$A$2:$A$10000&amp;JupData!$J$2:$J$10000,0),11))</f>
        <v/>
      </c>
      <c r="AA213" t="str">
        <f t="array" ref="AA213">IF($A213="","",INDEX(JupData!$A$2:$K$10000,MATCH($A213&amp;AA$1,JupData!$A$2:$A$10000&amp;JupData!$J$2:$J$10000,0),11))</f>
        <v/>
      </c>
      <c r="AB213" t="str">
        <f t="array" ref="AB213">IF($A213="","",INDEX(JupData!$A$2:$K$10000,MATCH($A213&amp;AB$1,JupData!$A$2:$A$10000&amp;JupData!$J$2:$J$10000,0),11))</f>
        <v/>
      </c>
      <c r="AC213" s="10" t="str">
        <f t="shared" si="33"/>
        <v/>
      </c>
      <c r="AD213" s="10" t="str">
        <f t="shared" si="34"/>
        <v/>
      </c>
      <c r="AE213" s="9" t="str">
        <f t="shared" si="35"/>
        <v/>
      </c>
      <c r="AF213" s="10" t="str">
        <f t="shared" si="36"/>
        <v/>
      </c>
      <c r="AG213" s="10" t="str">
        <f t="shared" si="37"/>
        <v/>
      </c>
      <c r="AH213" s="10" t="str">
        <f t="shared" si="38"/>
        <v/>
      </c>
      <c r="AI213" s="10" t="str">
        <f t="shared" si="39"/>
        <v/>
      </c>
      <c r="AJ213" s="10" t="str">
        <f t="shared" si="40"/>
        <v/>
      </c>
      <c r="AK213" s="10" t="str">
        <f t="shared" si="41"/>
        <v/>
      </c>
      <c r="AL213" s="14" t="str">
        <f t="shared" si="42"/>
        <v/>
      </c>
    </row>
    <row r="214" spans="1:38" x14ac:dyDescent="0.2">
      <c r="A214"/>
      <c r="B214" t="str">
        <f>IF($A214="","",VLOOKUP($A214,JupData!$A$2:$I$10000,4,FALSE))</f>
        <v/>
      </c>
      <c r="C214" s="7" t="str">
        <f>IF($A214="",IF(N(D214),0,""),VLOOKUP($A214,JupData!$A$2:$I$10000,7,FALSE))</f>
        <v/>
      </c>
      <c r="D214" t="str">
        <f t="shared" si="43"/>
        <v/>
      </c>
      <c r="E214" t="str">
        <f t="array" ref="E214">IF($A214="","",INDEX(JupData!$A$2:$K$10000,MATCH($A214&amp;E$1,JupData!$A$2:$A$10000&amp;JupData!$J$2:$J$10000,0),11))</f>
        <v/>
      </c>
      <c r="F214" t="str">
        <f t="array" ref="F214">IF($A214="","",INDEX(JupData!$A$2:$K$10000,MATCH($A214&amp;F$1,JupData!$A$2:$A$10000&amp;JupData!$J$2:$J$10000,0),11))</f>
        <v/>
      </c>
      <c r="G214" t="str">
        <f t="array" ref="G214">IF($A214="","",INDEX(JupData!$A$2:$K$10000,MATCH($A214&amp;G$1,JupData!$A$2:$A$10000&amp;JupData!$J$2:$J$10000,0),11))</f>
        <v/>
      </c>
      <c r="H214" t="str">
        <f t="array" ref="H214">IF($A214="","",INDEX(JupData!$A$2:$K$10000,MATCH($A214&amp;H$1,JupData!$A$2:$A$10000&amp;JupData!$J$2:$J$10000,0),11))</f>
        <v/>
      </c>
      <c r="I214" t="str">
        <f t="array" ref="I214">IF($A214="","",INDEX(JupData!$A$2:$K$10000,MATCH($A214&amp;I$1,JupData!$A$2:$A$10000&amp;JupData!$J$2:$J$10000,0),11))</f>
        <v/>
      </c>
      <c r="J214" t="str">
        <f t="array" ref="J214">IF($A214="","",INDEX(JupData!$A$2:$K$10000,MATCH($A214&amp;J$1,JupData!$A$2:$A$10000&amp;JupData!$J$2:$J$10000,0),11))</f>
        <v/>
      </c>
      <c r="K214" t="str">
        <f t="array" ref="K214">IF($A214="","",INDEX(JupData!$A$2:$K$10000,MATCH($A214&amp;K$1,JupData!$A$2:$A$10000&amp;JupData!$J$2:$J$10000,0),11))</f>
        <v/>
      </c>
      <c r="L214" t="str">
        <f t="array" ref="L214">IF($A214="","",INDEX(JupData!$A$2:$K$10000,MATCH($A214&amp;L$1,JupData!$A$2:$A$10000&amp;JupData!$J$2:$J$10000,0),11))</f>
        <v/>
      </c>
      <c r="M214" t="str">
        <f t="array" ref="M214">IF($A214="","",INDEX(JupData!$A$2:$K$10000,MATCH($A214&amp;M$1,JupData!$A$2:$A$10000&amp;JupData!$J$2:$J$10000,0),11))</f>
        <v/>
      </c>
      <c r="N214" t="str">
        <f t="array" ref="N214">IF($A214="","",INDEX(JupData!$A$2:$K$10000,MATCH($A214&amp;N$1,JupData!$A$2:$A$10000&amp;JupData!$J$2:$J$10000,0),11))</f>
        <v/>
      </c>
      <c r="O214" t="str">
        <f t="array" ref="O214">IF($A214="","",INDEX(JupData!$A$2:$K$10000,MATCH($A214&amp;O$1,JupData!$A$2:$A$10000&amp;JupData!$J$2:$J$10000,0),11))</f>
        <v/>
      </c>
      <c r="P214" t="str">
        <f t="array" ref="P214">IF($A214="","",INDEX(JupData!$A$2:$K$10000,MATCH($A214&amp;P$1,JupData!$A$2:$A$10000&amp;JupData!$J$2:$J$10000,0),11))</f>
        <v/>
      </c>
      <c r="Q214" t="str">
        <f t="array" ref="Q214">IF($A214="","",INDEX(JupData!$A$2:$K$10000,MATCH($A214&amp;Q$1,JupData!$A$2:$A$10000&amp;JupData!$J$2:$J$10000,0),11))</f>
        <v/>
      </c>
      <c r="R214" t="str">
        <f t="array" ref="R214">IF($A214="","",INDEX(JupData!$A$2:$K$10000,MATCH($A214&amp;R$1,JupData!$A$2:$A$10000&amp;JupData!$J$2:$J$10000,0),11))</f>
        <v/>
      </c>
      <c r="S214" t="str">
        <f t="array" ref="S214">IF($A214="","",INDEX(JupData!$A$2:$K$10000,MATCH($A214&amp;S$1,JupData!$A$2:$A$10000&amp;JupData!$J$2:$J$10000,0),11))</f>
        <v/>
      </c>
      <c r="T214" t="str">
        <f t="array" ref="T214">IF($A214="","",INDEX(JupData!$A$2:$K$10000,MATCH($A214&amp;T$1,JupData!$A$2:$A$10000&amp;JupData!$J$2:$J$10000,0),11))</f>
        <v/>
      </c>
      <c r="U214" t="str">
        <f t="array" ref="U214">IF($A214="","",INDEX(JupData!$A$2:$K$10000,MATCH($A214&amp;U$1,JupData!$A$2:$A$10000&amp;JupData!$J$2:$J$10000,0),11))</f>
        <v/>
      </c>
      <c r="V214" t="str">
        <f t="array" ref="V214">IF($A214="","",INDEX(JupData!$A$2:$K$10000,MATCH($A214&amp;V$1,JupData!$A$2:$A$10000&amp;JupData!$J$2:$J$10000,0),11))</f>
        <v/>
      </c>
      <c r="W214" t="str">
        <f t="array" ref="W214">IF($A214="","",INDEX(JupData!$A$2:$K$10000,MATCH($A214&amp;W$1,JupData!$A$2:$A$10000&amp;JupData!$J$2:$J$10000,0),11))</f>
        <v/>
      </c>
      <c r="X214" t="str">
        <f t="array" ref="X214">IF($A214="","",INDEX(JupData!$A$2:$K$10000,MATCH($A214&amp;X$1,JupData!$A$2:$A$10000&amp;JupData!$J$2:$J$10000,0),11))</f>
        <v/>
      </c>
      <c r="Y214" t="str">
        <f t="array" ref="Y214">IF($A214="","",INDEX(JupData!$A$2:$K$10000,MATCH($A214&amp;Y$1,JupData!$A$2:$A$10000&amp;JupData!$J$2:$J$10000,0),11))</f>
        <v/>
      </c>
      <c r="Z214" t="str">
        <f t="array" ref="Z214">IF($A214="","",INDEX(JupData!$A$2:$K$10000,MATCH($A214&amp;Z$1,JupData!$A$2:$A$10000&amp;JupData!$J$2:$J$10000,0),11))</f>
        <v/>
      </c>
      <c r="AA214" t="str">
        <f t="array" ref="AA214">IF($A214="","",INDEX(JupData!$A$2:$K$10000,MATCH($A214&amp;AA$1,JupData!$A$2:$A$10000&amp;JupData!$J$2:$J$10000,0),11))</f>
        <v/>
      </c>
      <c r="AB214" t="str">
        <f t="array" ref="AB214">IF($A214="","",INDEX(JupData!$A$2:$K$10000,MATCH($A214&amp;AB$1,JupData!$A$2:$A$10000&amp;JupData!$J$2:$J$10000,0),11))</f>
        <v/>
      </c>
      <c r="AC214" s="10" t="str">
        <f t="shared" si="33"/>
        <v/>
      </c>
      <c r="AD214" s="10" t="str">
        <f t="shared" si="34"/>
        <v/>
      </c>
      <c r="AE214" s="9" t="str">
        <f t="shared" si="35"/>
        <v/>
      </c>
      <c r="AF214" s="10" t="str">
        <f t="shared" si="36"/>
        <v/>
      </c>
      <c r="AG214" s="10" t="str">
        <f t="shared" si="37"/>
        <v/>
      </c>
      <c r="AH214" s="10" t="str">
        <f t="shared" si="38"/>
        <v/>
      </c>
      <c r="AI214" s="10" t="str">
        <f t="shared" si="39"/>
        <v/>
      </c>
      <c r="AJ214" s="10" t="str">
        <f t="shared" si="40"/>
        <v/>
      </c>
      <c r="AK214" s="10" t="str">
        <f t="shared" si="41"/>
        <v/>
      </c>
      <c r="AL214" s="14" t="str">
        <f t="shared" si="42"/>
        <v/>
      </c>
    </row>
    <row r="215" spans="1:38" x14ac:dyDescent="0.2">
      <c r="A215"/>
      <c r="B215" t="str">
        <f>IF($A215="","",VLOOKUP($A215,JupData!$A$2:$I$10000,4,FALSE))</f>
        <v/>
      </c>
      <c r="C215" s="7" t="str">
        <f>IF($A215="",IF(N(D215),0,""),VLOOKUP($A215,JupData!$A$2:$I$10000,7,FALSE))</f>
        <v/>
      </c>
      <c r="D215" t="str">
        <f t="shared" si="43"/>
        <v/>
      </c>
      <c r="E215" t="str">
        <f t="array" ref="E215">IF($A215="","",INDEX(JupData!$A$2:$K$10000,MATCH($A215&amp;E$1,JupData!$A$2:$A$10000&amp;JupData!$J$2:$J$10000,0),11))</f>
        <v/>
      </c>
      <c r="F215" t="str">
        <f t="array" ref="F215">IF($A215="","",INDEX(JupData!$A$2:$K$10000,MATCH($A215&amp;F$1,JupData!$A$2:$A$10000&amp;JupData!$J$2:$J$10000,0),11))</f>
        <v/>
      </c>
      <c r="G215" t="str">
        <f t="array" ref="G215">IF($A215="","",INDEX(JupData!$A$2:$K$10000,MATCH($A215&amp;G$1,JupData!$A$2:$A$10000&amp;JupData!$J$2:$J$10000,0),11))</f>
        <v/>
      </c>
      <c r="H215" t="str">
        <f t="array" ref="H215">IF($A215="","",INDEX(JupData!$A$2:$K$10000,MATCH($A215&amp;H$1,JupData!$A$2:$A$10000&amp;JupData!$J$2:$J$10000,0),11))</f>
        <v/>
      </c>
      <c r="I215" t="str">
        <f t="array" ref="I215">IF($A215="","",INDEX(JupData!$A$2:$K$10000,MATCH($A215&amp;I$1,JupData!$A$2:$A$10000&amp;JupData!$J$2:$J$10000,0),11))</f>
        <v/>
      </c>
      <c r="J215" t="str">
        <f t="array" ref="J215">IF($A215="","",INDEX(JupData!$A$2:$K$10000,MATCH($A215&amp;J$1,JupData!$A$2:$A$10000&amp;JupData!$J$2:$J$10000,0),11))</f>
        <v/>
      </c>
      <c r="K215" t="str">
        <f t="array" ref="K215">IF($A215="","",INDEX(JupData!$A$2:$K$10000,MATCH($A215&amp;K$1,JupData!$A$2:$A$10000&amp;JupData!$J$2:$J$10000,0),11))</f>
        <v/>
      </c>
      <c r="L215" t="str">
        <f t="array" ref="L215">IF($A215="","",INDEX(JupData!$A$2:$K$10000,MATCH($A215&amp;L$1,JupData!$A$2:$A$10000&amp;JupData!$J$2:$J$10000,0),11))</f>
        <v/>
      </c>
      <c r="M215" t="str">
        <f t="array" ref="M215">IF($A215="","",INDEX(JupData!$A$2:$K$10000,MATCH($A215&amp;M$1,JupData!$A$2:$A$10000&amp;JupData!$J$2:$J$10000,0),11))</f>
        <v/>
      </c>
      <c r="N215" t="str">
        <f t="array" ref="N215">IF($A215="","",INDEX(JupData!$A$2:$K$10000,MATCH($A215&amp;N$1,JupData!$A$2:$A$10000&amp;JupData!$J$2:$J$10000,0),11))</f>
        <v/>
      </c>
      <c r="O215" t="str">
        <f t="array" ref="O215">IF($A215="","",INDEX(JupData!$A$2:$K$10000,MATCH($A215&amp;O$1,JupData!$A$2:$A$10000&amp;JupData!$J$2:$J$10000,0),11))</f>
        <v/>
      </c>
      <c r="P215" t="str">
        <f t="array" ref="P215">IF($A215="","",INDEX(JupData!$A$2:$K$10000,MATCH($A215&amp;P$1,JupData!$A$2:$A$10000&amp;JupData!$J$2:$J$10000,0),11))</f>
        <v/>
      </c>
      <c r="Q215" t="str">
        <f t="array" ref="Q215">IF($A215="","",INDEX(JupData!$A$2:$K$10000,MATCH($A215&amp;Q$1,JupData!$A$2:$A$10000&amp;JupData!$J$2:$J$10000,0),11))</f>
        <v/>
      </c>
      <c r="R215" t="str">
        <f t="array" ref="R215">IF($A215="","",INDEX(JupData!$A$2:$K$10000,MATCH($A215&amp;R$1,JupData!$A$2:$A$10000&amp;JupData!$J$2:$J$10000,0),11))</f>
        <v/>
      </c>
      <c r="S215" t="str">
        <f t="array" ref="S215">IF($A215="","",INDEX(JupData!$A$2:$K$10000,MATCH($A215&amp;S$1,JupData!$A$2:$A$10000&amp;JupData!$J$2:$J$10000,0),11))</f>
        <v/>
      </c>
      <c r="T215" t="str">
        <f t="array" ref="T215">IF($A215="","",INDEX(JupData!$A$2:$K$10000,MATCH($A215&amp;T$1,JupData!$A$2:$A$10000&amp;JupData!$J$2:$J$10000,0),11))</f>
        <v/>
      </c>
      <c r="U215" t="str">
        <f t="array" ref="U215">IF($A215="","",INDEX(JupData!$A$2:$K$10000,MATCH($A215&amp;U$1,JupData!$A$2:$A$10000&amp;JupData!$J$2:$J$10000,0),11))</f>
        <v/>
      </c>
      <c r="V215" t="str">
        <f t="array" ref="V215">IF($A215="","",INDEX(JupData!$A$2:$K$10000,MATCH($A215&amp;V$1,JupData!$A$2:$A$10000&amp;JupData!$J$2:$J$10000,0),11))</f>
        <v/>
      </c>
      <c r="W215" t="str">
        <f t="array" ref="W215">IF($A215="","",INDEX(JupData!$A$2:$K$10000,MATCH($A215&amp;W$1,JupData!$A$2:$A$10000&amp;JupData!$J$2:$J$10000,0),11))</f>
        <v/>
      </c>
      <c r="X215" t="str">
        <f t="array" ref="X215">IF($A215="","",INDEX(JupData!$A$2:$K$10000,MATCH($A215&amp;X$1,JupData!$A$2:$A$10000&amp;JupData!$J$2:$J$10000,0),11))</f>
        <v/>
      </c>
      <c r="Y215" t="str">
        <f t="array" ref="Y215">IF($A215="","",INDEX(JupData!$A$2:$K$10000,MATCH($A215&amp;Y$1,JupData!$A$2:$A$10000&amp;JupData!$J$2:$J$10000,0),11))</f>
        <v/>
      </c>
      <c r="Z215" t="str">
        <f t="array" ref="Z215">IF($A215="","",INDEX(JupData!$A$2:$K$10000,MATCH($A215&amp;Z$1,JupData!$A$2:$A$10000&amp;JupData!$J$2:$J$10000,0),11))</f>
        <v/>
      </c>
      <c r="AA215" t="str">
        <f t="array" ref="AA215">IF($A215="","",INDEX(JupData!$A$2:$K$10000,MATCH($A215&amp;AA$1,JupData!$A$2:$A$10000&amp;JupData!$J$2:$J$10000,0),11))</f>
        <v/>
      </c>
      <c r="AB215" t="str">
        <f t="array" ref="AB215">IF($A215="","",INDEX(JupData!$A$2:$K$10000,MATCH($A215&amp;AB$1,JupData!$A$2:$A$10000&amp;JupData!$J$2:$J$10000,0),11))</f>
        <v/>
      </c>
      <c r="AC215" s="10" t="str">
        <f t="shared" si="33"/>
        <v/>
      </c>
      <c r="AD215" s="10" t="str">
        <f t="shared" si="34"/>
        <v/>
      </c>
      <c r="AE215" s="9" t="str">
        <f t="shared" si="35"/>
        <v/>
      </c>
      <c r="AF215" s="10" t="str">
        <f t="shared" si="36"/>
        <v/>
      </c>
      <c r="AG215" s="10" t="str">
        <f t="shared" si="37"/>
        <v/>
      </c>
      <c r="AH215" s="10" t="str">
        <f t="shared" si="38"/>
        <v/>
      </c>
      <c r="AI215" s="10" t="str">
        <f t="shared" si="39"/>
        <v/>
      </c>
      <c r="AJ215" s="10" t="str">
        <f t="shared" si="40"/>
        <v/>
      </c>
      <c r="AK215" s="10" t="str">
        <f t="shared" si="41"/>
        <v/>
      </c>
      <c r="AL215" s="14" t="str">
        <f t="shared" si="42"/>
        <v/>
      </c>
    </row>
    <row r="216" spans="1:38" x14ac:dyDescent="0.2">
      <c r="A216"/>
      <c r="B216" t="str">
        <f>IF($A216="","",VLOOKUP($A216,JupData!$A$2:$I$10000,4,FALSE))</f>
        <v/>
      </c>
      <c r="C216" s="7" t="str">
        <f>IF($A216="",IF(N(D216),0,""),VLOOKUP($A216,JupData!$A$2:$I$10000,7,FALSE))</f>
        <v/>
      </c>
      <c r="D216" t="str">
        <f t="shared" si="43"/>
        <v/>
      </c>
      <c r="E216" t="str">
        <f t="array" ref="E216">IF($A216="","",INDEX(JupData!$A$2:$K$10000,MATCH($A216&amp;E$1,JupData!$A$2:$A$10000&amp;JupData!$J$2:$J$10000,0),11))</f>
        <v/>
      </c>
      <c r="F216" t="str">
        <f t="array" ref="F216">IF($A216="","",INDEX(JupData!$A$2:$K$10000,MATCH($A216&amp;F$1,JupData!$A$2:$A$10000&amp;JupData!$J$2:$J$10000,0),11))</f>
        <v/>
      </c>
      <c r="G216" t="str">
        <f t="array" ref="G216">IF($A216="","",INDEX(JupData!$A$2:$K$10000,MATCH($A216&amp;G$1,JupData!$A$2:$A$10000&amp;JupData!$J$2:$J$10000,0),11))</f>
        <v/>
      </c>
      <c r="H216" t="str">
        <f t="array" ref="H216">IF($A216="","",INDEX(JupData!$A$2:$K$10000,MATCH($A216&amp;H$1,JupData!$A$2:$A$10000&amp;JupData!$J$2:$J$10000,0),11))</f>
        <v/>
      </c>
      <c r="I216" t="str">
        <f t="array" ref="I216">IF($A216="","",INDEX(JupData!$A$2:$K$10000,MATCH($A216&amp;I$1,JupData!$A$2:$A$10000&amp;JupData!$J$2:$J$10000,0),11))</f>
        <v/>
      </c>
      <c r="J216" t="str">
        <f t="array" ref="J216">IF($A216="","",INDEX(JupData!$A$2:$K$10000,MATCH($A216&amp;J$1,JupData!$A$2:$A$10000&amp;JupData!$J$2:$J$10000,0),11))</f>
        <v/>
      </c>
      <c r="K216" t="str">
        <f t="array" ref="K216">IF($A216="","",INDEX(JupData!$A$2:$K$10000,MATCH($A216&amp;K$1,JupData!$A$2:$A$10000&amp;JupData!$J$2:$J$10000,0),11))</f>
        <v/>
      </c>
      <c r="L216" t="str">
        <f t="array" ref="L216">IF($A216="","",INDEX(JupData!$A$2:$K$10000,MATCH($A216&amp;L$1,JupData!$A$2:$A$10000&amp;JupData!$J$2:$J$10000,0),11))</f>
        <v/>
      </c>
      <c r="M216" t="str">
        <f t="array" ref="M216">IF($A216="","",INDEX(JupData!$A$2:$K$10000,MATCH($A216&amp;M$1,JupData!$A$2:$A$10000&amp;JupData!$J$2:$J$10000,0),11))</f>
        <v/>
      </c>
      <c r="N216" t="str">
        <f t="array" ref="N216">IF($A216="","",INDEX(JupData!$A$2:$K$10000,MATCH($A216&amp;N$1,JupData!$A$2:$A$10000&amp;JupData!$J$2:$J$10000,0),11))</f>
        <v/>
      </c>
      <c r="O216" t="str">
        <f t="array" ref="O216">IF($A216="","",INDEX(JupData!$A$2:$K$10000,MATCH($A216&amp;O$1,JupData!$A$2:$A$10000&amp;JupData!$J$2:$J$10000,0),11))</f>
        <v/>
      </c>
      <c r="P216" t="str">
        <f t="array" ref="P216">IF($A216="","",INDEX(JupData!$A$2:$K$10000,MATCH($A216&amp;P$1,JupData!$A$2:$A$10000&amp;JupData!$J$2:$J$10000,0),11))</f>
        <v/>
      </c>
      <c r="Q216" t="str">
        <f t="array" ref="Q216">IF($A216="","",INDEX(JupData!$A$2:$K$10000,MATCH($A216&amp;Q$1,JupData!$A$2:$A$10000&amp;JupData!$J$2:$J$10000,0),11))</f>
        <v/>
      </c>
      <c r="R216" t="str">
        <f t="array" ref="R216">IF($A216="","",INDEX(JupData!$A$2:$K$10000,MATCH($A216&amp;R$1,JupData!$A$2:$A$10000&amp;JupData!$J$2:$J$10000,0),11))</f>
        <v/>
      </c>
      <c r="S216" t="str">
        <f t="array" ref="S216">IF($A216="","",INDEX(JupData!$A$2:$K$10000,MATCH($A216&amp;S$1,JupData!$A$2:$A$10000&amp;JupData!$J$2:$J$10000,0),11))</f>
        <v/>
      </c>
      <c r="T216" t="str">
        <f t="array" ref="T216">IF($A216="","",INDEX(JupData!$A$2:$K$10000,MATCH($A216&amp;T$1,JupData!$A$2:$A$10000&amp;JupData!$J$2:$J$10000,0),11))</f>
        <v/>
      </c>
      <c r="U216" t="str">
        <f t="array" ref="U216">IF($A216="","",INDEX(JupData!$A$2:$K$10000,MATCH($A216&amp;U$1,JupData!$A$2:$A$10000&amp;JupData!$J$2:$J$10000,0),11))</f>
        <v/>
      </c>
      <c r="V216" t="str">
        <f t="array" ref="V216">IF($A216="","",INDEX(JupData!$A$2:$K$10000,MATCH($A216&amp;V$1,JupData!$A$2:$A$10000&amp;JupData!$J$2:$J$10000,0),11))</f>
        <v/>
      </c>
      <c r="W216" t="str">
        <f t="array" ref="W216">IF($A216="","",INDEX(JupData!$A$2:$K$10000,MATCH($A216&amp;W$1,JupData!$A$2:$A$10000&amp;JupData!$J$2:$J$10000,0),11))</f>
        <v/>
      </c>
      <c r="X216" t="str">
        <f t="array" ref="X216">IF($A216="","",INDEX(JupData!$A$2:$K$10000,MATCH($A216&amp;X$1,JupData!$A$2:$A$10000&amp;JupData!$J$2:$J$10000,0),11))</f>
        <v/>
      </c>
      <c r="Y216" t="str">
        <f t="array" ref="Y216">IF($A216="","",INDEX(JupData!$A$2:$K$10000,MATCH($A216&amp;Y$1,JupData!$A$2:$A$10000&amp;JupData!$J$2:$J$10000,0),11))</f>
        <v/>
      </c>
      <c r="Z216" t="str">
        <f t="array" ref="Z216">IF($A216="","",INDEX(JupData!$A$2:$K$10000,MATCH($A216&amp;Z$1,JupData!$A$2:$A$10000&amp;JupData!$J$2:$J$10000,0),11))</f>
        <v/>
      </c>
      <c r="AA216" t="str">
        <f t="array" ref="AA216">IF($A216="","",INDEX(JupData!$A$2:$K$10000,MATCH($A216&amp;AA$1,JupData!$A$2:$A$10000&amp;JupData!$J$2:$J$10000,0),11))</f>
        <v/>
      </c>
      <c r="AB216" t="str">
        <f t="array" ref="AB216">IF($A216="","",INDEX(JupData!$A$2:$K$10000,MATCH($A216&amp;AB$1,JupData!$A$2:$A$10000&amp;JupData!$J$2:$J$10000,0),11))</f>
        <v/>
      </c>
      <c r="AC216" s="10" t="str">
        <f t="shared" si="33"/>
        <v/>
      </c>
      <c r="AD216" s="10" t="str">
        <f t="shared" si="34"/>
        <v/>
      </c>
      <c r="AE216" s="9" t="str">
        <f t="shared" si="35"/>
        <v/>
      </c>
      <c r="AF216" s="10" t="str">
        <f t="shared" si="36"/>
        <v/>
      </c>
      <c r="AG216" s="10" t="str">
        <f t="shared" si="37"/>
        <v/>
      </c>
      <c r="AH216" s="10" t="str">
        <f t="shared" si="38"/>
        <v/>
      </c>
      <c r="AI216" s="10" t="str">
        <f t="shared" si="39"/>
        <v/>
      </c>
      <c r="AJ216" s="10" t="str">
        <f t="shared" si="40"/>
        <v/>
      </c>
      <c r="AK216" s="10" t="str">
        <f t="shared" si="41"/>
        <v/>
      </c>
      <c r="AL216" s="14" t="str">
        <f t="shared" si="42"/>
        <v/>
      </c>
    </row>
    <row r="217" spans="1:38" x14ac:dyDescent="0.2">
      <c r="A217"/>
      <c r="B217" t="str">
        <f>IF($A217="","",VLOOKUP($A217,JupData!$A$2:$I$10000,4,FALSE))</f>
        <v/>
      </c>
      <c r="C217" s="7" t="str">
        <f>IF($A217="",IF(N(D217),0,""),VLOOKUP($A217,JupData!$A$2:$I$10000,7,FALSE))</f>
        <v/>
      </c>
      <c r="D217" t="str">
        <f t="shared" si="43"/>
        <v/>
      </c>
      <c r="E217" t="str">
        <f t="array" ref="E217">IF($A217="","",INDEX(JupData!$A$2:$K$10000,MATCH($A217&amp;E$1,JupData!$A$2:$A$10000&amp;JupData!$J$2:$J$10000,0),11))</f>
        <v/>
      </c>
      <c r="F217" t="str">
        <f t="array" ref="F217">IF($A217="","",INDEX(JupData!$A$2:$K$10000,MATCH($A217&amp;F$1,JupData!$A$2:$A$10000&amp;JupData!$J$2:$J$10000,0),11))</f>
        <v/>
      </c>
      <c r="G217" t="str">
        <f t="array" ref="G217">IF($A217="","",INDEX(JupData!$A$2:$K$10000,MATCH($A217&amp;G$1,JupData!$A$2:$A$10000&amp;JupData!$J$2:$J$10000,0),11))</f>
        <v/>
      </c>
      <c r="H217" t="str">
        <f t="array" ref="H217">IF($A217="","",INDEX(JupData!$A$2:$K$10000,MATCH($A217&amp;H$1,JupData!$A$2:$A$10000&amp;JupData!$J$2:$J$10000,0),11))</f>
        <v/>
      </c>
      <c r="I217" t="str">
        <f t="array" ref="I217">IF($A217="","",INDEX(JupData!$A$2:$K$10000,MATCH($A217&amp;I$1,JupData!$A$2:$A$10000&amp;JupData!$J$2:$J$10000,0),11))</f>
        <v/>
      </c>
      <c r="J217" t="str">
        <f t="array" ref="J217">IF($A217="","",INDEX(JupData!$A$2:$K$10000,MATCH($A217&amp;J$1,JupData!$A$2:$A$10000&amp;JupData!$J$2:$J$10000,0),11))</f>
        <v/>
      </c>
      <c r="K217" t="str">
        <f t="array" ref="K217">IF($A217="","",INDEX(JupData!$A$2:$K$10000,MATCH($A217&amp;K$1,JupData!$A$2:$A$10000&amp;JupData!$J$2:$J$10000,0),11))</f>
        <v/>
      </c>
      <c r="L217" t="str">
        <f t="array" ref="L217">IF($A217="","",INDEX(JupData!$A$2:$K$10000,MATCH($A217&amp;L$1,JupData!$A$2:$A$10000&amp;JupData!$J$2:$J$10000,0),11))</f>
        <v/>
      </c>
      <c r="M217" t="str">
        <f t="array" ref="M217">IF($A217="","",INDEX(JupData!$A$2:$K$10000,MATCH($A217&amp;M$1,JupData!$A$2:$A$10000&amp;JupData!$J$2:$J$10000,0),11))</f>
        <v/>
      </c>
      <c r="N217" t="str">
        <f t="array" ref="N217">IF($A217="","",INDEX(JupData!$A$2:$K$10000,MATCH($A217&amp;N$1,JupData!$A$2:$A$10000&amp;JupData!$J$2:$J$10000,0),11))</f>
        <v/>
      </c>
      <c r="O217" t="str">
        <f t="array" ref="O217">IF($A217="","",INDEX(JupData!$A$2:$K$10000,MATCH($A217&amp;O$1,JupData!$A$2:$A$10000&amp;JupData!$J$2:$J$10000,0),11))</f>
        <v/>
      </c>
      <c r="P217" t="str">
        <f t="array" ref="P217">IF($A217="","",INDEX(JupData!$A$2:$K$10000,MATCH($A217&amp;P$1,JupData!$A$2:$A$10000&amp;JupData!$J$2:$J$10000,0),11))</f>
        <v/>
      </c>
      <c r="Q217" t="str">
        <f t="array" ref="Q217">IF($A217="","",INDEX(JupData!$A$2:$K$10000,MATCH($A217&amp;Q$1,JupData!$A$2:$A$10000&amp;JupData!$J$2:$J$10000,0),11))</f>
        <v/>
      </c>
      <c r="R217" t="str">
        <f t="array" ref="R217">IF($A217="","",INDEX(JupData!$A$2:$K$10000,MATCH($A217&amp;R$1,JupData!$A$2:$A$10000&amp;JupData!$J$2:$J$10000,0),11))</f>
        <v/>
      </c>
      <c r="S217" t="str">
        <f t="array" ref="S217">IF($A217="","",INDEX(JupData!$A$2:$K$10000,MATCH($A217&amp;S$1,JupData!$A$2:$A$10000&amp;JupData!$J$2:$J$10000,0),11))</f>
        <v/>
      </c>
      <c r="T217" t="str">
        <f t="array" ref="T217">IF($A217="","",INDEX(JupData!$A$2:$K$10000,MATCH($A217&amp;T$1,JupData!$A$2:$A$10000&amp;JupData!$J$2:$J$10000,0),11))</f>
        <v/>
      </c>
      <c r="U217" t="str">
        <f t="array" ref="U217">IF($A217="","",INDEX(JupData!$A$2:$K$10000,MATCH($A217&amp;U$1,JupData!$A$2:$A$10000&amp;JupData!$J$2:$J$10000,0),11))</f>
        <v/>
      </c>
      <c r="V217" t="str">
        <f t="array" ref="V217">IF($A217="","",INDEX(JupData!$A$2:$K$10000,MATCH($A217&amp;V$1,JupData!$A$2:$A$10000&amp;JupData!$J$2:$J$10000,0),11))</f>
        <v/>
      </c>
      <c r="W217" t="str">
        <f t="array" ref="W217">IF($A217="","",INDEX(JupData!$A$2:$K$10000,MATCH($A217&amp;W$1,JupData!$A$2:$A$10000&amp;JupData!$J$2:$J$10000,0),11))</f>
        <v/>
      </c>
      <c r="X217" t="str">
        <f t="array" ref="X217">IF($A217="","",INDEX(JupData!$A$2:$K$10000,MATCH($A217&amp;X$1,JupData!$A$2:$A$10000&amp;JupData!$J$2:$J$10000,0),11))</f>
        <v/>
      </c>
      <c r="Y217" t="str">
        <f t="array" ref="Y217">IF($A217="","",INDEX(JupData!$A$2:$K$10000,MATCH($A217&amp;Y$1,JupData!$A$2:$A$10000&amp;JupData!$J$2:$J$10000,0),11))</f>
        <v/>
      </c>
      <c r="Z217" t="str">
        <f t="array" ref="Z217">IF($A217="","",INDEX(JupData!$A$2:$K$10000,MATCH($A217&amp;Z$1,JupData!$A$2:$A$10000&amp;JupData!$J$2:$J$10000,0),11))</f>
        <v/>
      </c>
      <c r="AA217" t="str">
        <f t="array" ref="AA217">IF($A217="","",INDEX(JupData!$A$2:$K$10000,MATCH($A217&amp;AA$1,JupData!$A$2:$A$10000&amp;JupData!$J$2:$J$10000,0),11))</f>
        <v/>
      </c>
      <c r="AB217" t="str">
        <f t="array" ref="AB217">IF($A217="","",INDEX(JupData!$A$2:$K$10000,MATCH($A217&amp;AB$1,JupData!$A$2:$A$10000&amp;JupData!$J$2:$J$10000,0),11))</f>
        <v/>
      </c>
      <c r="AC217" s="10" t="str">
        <f t="shared" si="33"/>
        <v/>
      </c>
      <c r="AD217" s="10" t="str">
        <f t="shared" si="34"/>
        <v/>
      </c>
      <c r="AE217" s="9" t="str">
        <f t="shared" si="35"/>
        <v/>
      </c>
      <c r="AF217" s="10" t="str">
        <f t="shared" si="36"/>
        <v/>
      </c>
      <c r="AG217" s="10" t="str">
        <f t="shared" si="37"/>
        <v/>
      </c>
      <c r="AH217" s="10" t="str">
        <f t="shared" si="38"/>
        <v/>
      </c>
      <c r="AI217" s="10" t="str">
        <f t="shared" si="39"/>
        <v/>
      </c>
      <c r="AJ217" s="10" t="str">
        <f t="shared" si="40"/>
        <v/>
      </c>
      <c r="AK217" s="10" t="str">
        <f t="shared" si="41"/>
        <v/>
      </c>
      <c r="AL217" s="14" t="str">
        <f t="shared" si="42"/>
        <v/>
      </c>
    </row>
    <row r="218" spans="1:38" x14ac:dyDescent="0.2">
      <c r="A218"/>
      <c r="B218" t="str">
        <f>IF($A218="","",VLOOKUP($A218,JupData!$A$2:$I$10000,4,FALSE))</f>
        <v/>
      </c>
      <c r="C218" s="7" t="str">
        <f>IF($A218="",IF(N(D218),0,""),VLOOKUP($A218,JupData!$A$2:$I$10000,7,FALSE))</f>
        <v/>
      </c>
      <c r="D218" t="str">
        <f t="shared" si="43"/>
        <v/>
      </c>
      <c r="E218" t="str">
        <f t="array" ref="E218">IF($A218="","",INDEX(JupData!$A$2:$K$10000,MATCH($A218&amp;E$1,JupData!$A$2:$A$10000&amp;JupData!$J$2:$J$10000,0),11))</f>
        <v/>
      </c>
      <c r="F218" t="str">
        <f t="array" ref="F218">IF($A218="","",INDEX(JupData!$A$2:$K$10000,MATCH($A218&amp;F$1,JupData!$A$2:$A$10000&amp;JupData!$J$2:$J$10000,0),11))</f>
        <v/>
      </c>
      <c r="G218" t="str">
        <f t="array" ref="G218">IF($A218="","",INDEX(JupData!$A$2:$K$10000,MATCH($A218&amp;G$1,JupData!$A$2:$A$10000&amp;JupData!$J$2:$J$10000,0),11))</f>
        <v/>
      </c>
      <c r="H218" t="str">
        <f t="array" ref="H218">IF($A218="","",INDEX(JupData!$A$2:$K$10000,MATCH($A218&amp;H$1,JupData!$A$2:$A$10000&amp;JupData!$J$2:$J$10000,0),11))</f>
        <v/>
      </c>
      <c r="I218" t="str">
        <f t="array" ref="I218">IF($A218="","",INDEX(JupData!$A$2:$K$10000,MATCH($A218&amp;I$1,JupData!$A$2:$A$10000&amp;JupData!$J$2:$J$10000,0),11))</f>
        <v/>
      </c>
      <c r="J218" t="str">
        <f t="array" ref="J218">IF($A218="","",INDEX(JupData!$A$2:$K$10000,MATCH($A218&amp;J$1,JupData!$A$2:$A$10000&amp;JupData!$J$2:$J$10000,0),11))</f>
        <v/>
      </c>
      <c r="K218" t="str">
        <f t="array" ref="K218">IF($A218="","",INDEX(JupData!$A$2:$K$10000,MATCH($A218&amp;K$1,JupData!$A$2:$A$10000&amp;JupData!$J$2:$J$10000,0),11))</f>
        <v/>
      </c>
      <c r="L218" t="str">
        <f t="array" ref="L218">IF($A218="","",INDEX(JupData!$A$2:$K$10000,MATCH($A218&amp;L$1,JupData!$A$2:$A$10000&amp;JupData!$J$2:$J$10000,0),11))</f>
        <v/>
      </c>
      <c r="M218" t="str">
        <f t="array" ref="M218">IF($A218="","",INDEX(JupData!$A$2:$K$10000,MATCH($A218&amp;M$1,JupData!$A$2:$A$10000&amp;JupData!$J$2:$J$10000,0),11))</f>
        <v/>
      </c>
      <c r="N218" t="str">
        <f t="array" ref="N218">IF($A218="","",INDEX(JupData!$A$2:$K$10000,MATCH($A218&amp;N$1,JupData!$A$2:$A$10000&amp;JupData!$J$2:$J$10000,0),11))</f>
        <v/>
      </c>
      <c r="O218" t="str">
        <f t="array" ref="O218">IF($A218="","",INDEX(JupData!$A$2:$K$10000,MATCH($A218&amp;O$1,JupData!$A$2:$A$10000&amp;JupData!$J$2:$J$10000,0),11))</f>
        <v/>
      </c>
      <c r="P218" t="str">
        <f t="array" ref="P218">IF($A218="","",INDEX(JupData!$A$2:$K$10000,MATCH($A218&amp;P$1,JupData!$A$2:$A$10000&amp;JupData!$J$2:$J$10000,0),11))</f>
        <v/>
      </c>
      <c r="Q218" t="str">
        <f t="array" ref="Q218">IF($A218="","",INDEX(JupData!$A$2:$K$10000,MATCH($A218&amp;Q$1,JupData!$A$2:$A$10000&amp;JupData!$J$2:$J$10000,0),11))</f>
        <v/>
      </c>
      <c r="R218" t="str">
        <f t="array" ref="R218">IF($A218="","",INDEX(JupData!$A$2:$K$10000,MATCH($A218&amp;R$1,JupData!$A$2:$A$10000&amp;JupData!$J$2:$J$10000,0),11))</f>
        <v/>
      </c>
      <c r="S218" t="str">
        <f t="array" ref="S218">IF($A218="","",INDEX(JupData!$A$2:$K$10000,MATCH($A218&amp;S$1,JupData!$A$2:$A$10000&amp;JupData!$J$2:$J$10000,0),11))</f>
        <v/>
      </c>
      <c r="T218" t="str">
        <f t="array" ref="T218">IF($A218="","",INDEX(JupData!$A$2:$K$10000,MATCH($A218&amp;T$1,JupData!$A$2:$A$10000&amp;JupData!$J$2:$J$10000,0),11))</f>
        <v/>
      </c>
      <c r="U218" t="str">
        <f t="array" ref="U218">IF($A218="","",INDEX(JupData!$A$2:$K$10000,MATCH($A218&amp;U$1,JupData!$A$2:$A$10000&amp;JupData!$J$2:$J$10000,0),11))</f>
        <v/>
      </c>
      <c r="V218" t="str">
        <f t="array" ref="V218">IF($A218="","",INDEX(JupData!$A$2:$K$10000,MATCH($A218&amp;V$1,JupData!$A$2:$A$10000&amp;JupData!$J$2:$J$10000,0),11))</f>
        <v/>
      </c>
      <c r="W218" t="str">
        <f t="array" ref="W218">IF($A218="","",INDEX(JupData!$A$2:$K$10000,MATCH($A218&amp;W$1,JupData!$A$2:$A$10000&amp;JupData!$J$2:$J$10000,0),11))</f>
        <v/>
      </c>
      <c r="X218" t="str">
        <f t="array" ref="X218">IF($A218="","",INDEX(JupData!$A$2:$K$10000,MATCH($A218&amp;X$1,JupData!$A$2:$A$10000&amp;JupData!$J$2:$J$10000,0),11))</f>
        <v/>
      </c>
      <c r="Y218" t="str">
        <f t="array" ref="Y218">IF($A218="","",INDEX(JupData!$A$2:$K$10000,MATCH($A218&amp;Y$1,JupData!$A$2:$A$10000&amp;JupData!$J$2:$J$10000,0),11))</f>
        <v/>
      </c>
      <c r="Z218" t="str">
        <f t="array" ref="Z218">IF($A218="","",INDEX(JupData!$A$2:$K$10000,MATCH($A218&amp;Z$1,JupData!$A$2:$A$10000&amp;JupData!$J$2:$J$10000,0),11))</f>
        <v/>
      </c>
      <c r="AA218" t="str">
        <f t="array" ref="AA218">IF($A218="","",INDEX(JupData!$A$2:$K$10000,MATCH($A218&amp;AA$1,JupData!$A$2:$A$10000&amp;JupData!$J$2:$J$10000,0),11))</f>
        <v/>
      </c>
      <c r="AB218" t="str">
        <f t="array" ref="AB218">IF($A218="","",INDEX(JupData!$A$2:$K$10000,MATCH($A218&amp;AB$1,JupData!$A$2:$A$10000&amp;JupData!$J$2:$J$10000,0),11))</f>
        <v/>
      </c>
      <c r="AC218" s="10" t="str">
        <f t="shared" si="33"/>
        <v/>
      </c>
      <c r="AD218" s="10" t="str">
        <f t="shared" si="34"/>
        <v/>
      </c>
      <c r="AE218" s="9" t="str">
        <f t="shared" si="35"/>
        <v/>
      </c>
      <c r="AF218" s="10" t="str">
        <f t="shared" si="36"/>
        <v/>
      </c>
      <c r="AG218" s="10" t="str">
        <f t="shared" si="37"/>
        <v/>
      </c>
      <c r="AH218" s="10" t="str">
        <f t="shared" si="38"/>
        <v/>
      </c>
      <c r="AI218" s="10" t="str">
        <f t="shared" si="39"/>
        <v/>
      </c>
      <c r="AJ218" s="10" t="str">
        <f t="shared" si="40"/>
        <v/>
      </c>
      <c r="AK218" s="10" t="str">
        <f t="shared" si="41"/>
        <v/>
      </c>
      <c r="AL218" s="14" t="str">
        <f t="shared" si="42"/>
        <v/>
      </c>
    </row>
    <row r="219" spans="1:38" x14ac:dyDescent="0.2">
      <c r="A219"/>
      <c r="B219" t="str">
        <f>IF($A219="","",VLOOKUP($A219,JupData!$A$2:$I$10000,4,FALSE))</f>
        <v/>
      </c>
      <c r="C219" s="7" t="str">
        <f>IF($A219="",IF(N(D219),0,""),VLOOKUP($A219,JupData!$A$2:$I$10000,7,FALSE))</f>
        <v/>
      </c>
      <c r="D219" t="str">
        <f t="shared" si="43"/>
        <v/>
      </c>
      <c r="E219" t="str">
        <f t="array" ref="E219">IF($A219="","",INDEX(JupData!$A$2:$K$10000,MATCH($A219&amp;E$1,JupData!$A$2:$A$10000&amp;JupData!$J$2:$J$10000,0),11))</f>
        <v/>
      </c>
      <c r="F219" t="str">
        <f t="array" ref="F219">IF($A219="","",INDEX(JupData!$A$2:$K$10000,MATCH($A219&amp;F$1,JupData!$A$2:$A$10000&amp;JupData!$J$2:$J$10000,0),11))</f>
        <v/>
      </c>
      <c r="G219" t="str">
        <f t="array" ref="G219">IF($A219="","",INDEX(JupData!$A$2:$K$10000,MATCH($A219&amp;G$1,JupData!$A$2:$A$10000&amp;JupData!$J$2:$J$10000,0),11))</f>
        <v/>
      </c>
      <c r="H219" t="str">
        <f t="array" ref="H219">IF($A219="","",INDEX(JupData!$A$2:$K$10000,MATCH($A219&amp;H$1,JupData!$A$2:$A$10000&amp;JupData!$J$2:$J$10000,0),11))</f>
        <v/>
      </c>
      <c r="I219" t="str">
        <f t="array" ref="I219">IF($A219="","",INDEX(JupData!$A$2:$K$10000,MATCH($A219&amp;I$1,JupData!$A$2:$A$10000&amp;JupData!$J$2:$J$10000,0),11))</f>
        <v/>
      </c>
      <c r="J219" t="str">
        <f t="array" ref="J219">IF($A219="","",INDEX(JupData!$A$2:$K$10000,MATCH($A219&amp;J$1,JupData!$A$2:$A$10000&amp;JupData!$J$2:$J$10000,0),11))</f>
        <v/>
      </c>
      <c r="K219" t="str">
        <f t="array" ref="K219">IF($A219="","",INDEX(JupData!$A$2:$K$10000,MATCH($A219&amp;K$1,JupData!$A$2:$A$10000&amp;JupData!$J$2:$J$10000,0),11))</f>
        <v/>
      </c>
      <c r="L219" t="str">
        <f t="array" ref="L219">IF($A219="","",INDEX(JupData!$A$2:$K$10000,MATCH($A219&amp;L$1,JupData!$A$2:$A$10000&amp;JupData!$J$2:$J$10000,0),11))</f>
        <v/>
      </c>
      <c r="M219" t="str">
        <f t="array" ref="M219">IF($A219="","",INDEX(JupData!$A$2:$K$10000,MATCH($A219&amp;M$1,JupData!$A$2:$A$10000&amp;JupData!$J$2:$J$10000,0),11))</f>
        <v/>
      </c>
      <c r="N219" t="str">
        <f t="array" ref="N219">IF($A219="","",INDEX(JupData!$A$2:$K$10000,MATCH($A219&amp;N$1,JupData!$A$2:$A$10000&amp;JupData!$J$2:$J$10000,0),11))</f>
        <v/>
      </c>
      <c r="O219" t="str">
        <f t="array" ref="O219">IF($A219="","",INDEX(JupData!$A$2:$K$10000,MATCH($A219&amp;O$1,JupData!$A$2:$A$10000&amp;JupData!$J$2:$J$10000,0),11))</f>
        <v/>
      </c>
      <c r="P219" t="str">
        <f t="array" ref="P219">IF($A219="","",INDEX(JupData!$A$2:$K$10000,MATCH($A219&amp;P$1,JupData!$A$2:$A$10000&amp;JupData!$J$2:$J$10000,0),11))</f>
        <v/>
      </c>
      <c r="Q219" t="str">
        <f t="array" ref="Q219">IF($A219="","",INDEX(JupData!$A$2:$K$10000,MATCH($A219&amp;Q$1,JupData!$A$2:$A$10000&amp;JupData!$J$2:$J$10000,0),11))</f>
        <v/>
      </c>
      <c r="R219" t="str">
        <f t="array" ref="R219">IF($A219="","",INDEX(JupData!$A$2:$K$10000,MATCH($A219&amp;R$1,JupData!$A$2:$A$10000&amp;JupData!$J$2:$J$10000,0),11))</f>
        <v/>
      </c>
      <c r="S219" t="str">
        <f t="array" ref="S219">IF($A219="","",INDEX(JupData!$A$2:$K$10000,MATCH($A219&amp;S$1,JupData!$A$2:$A$10000&amp;JupData!$J$2:$J$10000,0),11))</f>
        <v/>
      </c>
      <c r="T219" t="str">
        <f t="array" ref="T219">IF($A219="","",INDEX(JupData!$A$2:$K$10000,MATCH($A219&amp;T$1,JupData!$A$2:$A$10000&amp;JupData!$J$2:$J$10000,0),11))</f>
        <v/>
      </c>
      <c r="U219" t="str">
        <f t="array" ref="U219">IF($A219="","",INDEX(JupData!$A$2:$K$10000,MATCH($A219&amp;U$1,JupData!$A$2:$A$10000&amp;JupData!$J$2:$J$10000,0),11))</f>
        <v/>
      </c>
      <c r="V219" t="str">
        <f t="array" ref="V219">IF($A219="","",INDEX(JupData!$A$2:$K$10000,MATCH($A219&amp;V$1,JupData!$A$2:$A$10000&amp;JupData!$J$2:$J$10000,0),11))</f>
        <v/>
      </c>
      <c r="W219" t="str">
        <f t="array" ref="W219">IF($A219="","",INDEX(JupData!$A$2:$K$10000,MATCH($A219&amp;W$1,JupData!$A$2:$A$10000&amp;JupData!$J$2:$J$10000,0),11))</f>
        <v/>
      </c>
      <c r="X219" t="str">
        <f t="array" ref="X219">IF($A219="","",INDEX(JupData!$A$2:$K$10000,MATCH($A219&amp;X$1,JupData!$A$2:$A$10000&amp;JupData!$J$2:$J$10000,0),11))</f>
        <v/>
      </c>
      <c r="Y219" t="str">
        <f t="array" ref="Y219">IF($A219="","",INDEX(JupData!$A$2:$K$10000,MATCH($A219&amp;Y$1,JupData!$A$2:$A$10000&amp;JupData!$J$2:$J$10000,0),11))</f>
        <v/>
      </c>
      <c r="Z219" t="str">
        <f t="array" ref="Z219">IF($A219="","",INDEX(JupData!$A$2:$K$10000,MATCH($A219&amp;Z$1,JupData!$A$2:$A$10000&amp;JupData!$J$2:$J$10000,0),11))</f>
        <v/>
      </c>
      <c r="AA219" t="str">
        <f t="array" ref="AA219">IF($A219="","",INDEX(JupData!$A$2:$K$10000,MATCH($A219&amp;AA$1,JupData!$A$2:$A$10000&amp;JupData!$J$2:$J$10000,0),11))</f>
        <v/>
      </c>
      <c r="AB219" t="str">
        <f t="array" ref="AB219">IF($A219="","",INDEX(JupData!$A$2:$K$10000,MATCH($A219&amp;AB$1,JupData!$A$2:$A$10000&amp;JupData!$J$2:$J$10000,0),11))</f>
        <v/>
      </c>
      <c r="AC219" s="10" t="str">
        <f t="shared" si="33"/>
        <v/>
      </c>
      <c r="AD219" s="10" t="str">
        <f t="shared" si="34"/>
        <v/>
      </c>
      <c r="AE219" s="9" t="str">
        <f t="shared" si="35"/>
        <v/>
      </c>
      <c r="AF219" s="10" t="str">
        <f t="shared" si="36"/>
        <v/>
      </c>
      <c r="AG219" s="10" t="str">
        <f t="shared" si="37"/>
        <v/>
      </c>
      <c r="AH219" s="10" t="str">
        <f t="shared" si="38"/>
        <v/>
      </c>
      <c r="AI219" s="10" t="str">
        <f t="shared" si="39"/>
        <v/>
      </c>
      <c r="AJ219" s="10" t="str">
        <f t="shared" si="40"/>
        <v/>
      </c>
      <c r="AK219" s="10" t="str">
        <f t="shared" si="41"/>
        <v/>
      </c>
      <c r="AL219" s="14" t="str">
        <f t="shared" si="42"/>
        <v/>
      </c>
    </row>
    <row r="220" spans="1:38" x14ac:dyDescent="0.2">
      <c r="A220"/>
      <c r="B220" t="str">
        <f>IF($A220="","",VLOOKUP($A220,JupData!$A$2:$I$10000,4,FALSE))</f>
        <v/>
      </c>
      <c r="C220" s="7" t="str">
        <f>IF($A220="",IF(N(D220),0,""),VLOOKUP($A220,JupData!$A$2:$I$10000,7,FALSE))</f>
        <v/>
      </c>
      <c r="D220" t="str">
        <f t="shared" si="43"/>
        <v/>
      </c>
      <c r="E220" t="str">
        <f t="array" ref="E220">IF($A220="","",INDEX(JupData!$A$2:$K$10000,MATCH($A220&amp;E$1,JupData!$A$2:$A$10000&amp;JupData!$J$2:$J$10000,0),11))</f>
        <v/>
      </c>
      <c r="F220" t="str">
        <f t="array" ref="F220">IF($A220="","",INDEX(JupData!$A$2:$K$10000,MATCH($A220&amp;F$1,JupData!$A$2:$A$10000&amp;JupData!$J$2:$J$10000,0),11))</f>
        <v/>
      </c>
      <c r="G220" t="str">
        <f t="array" ref="G220">IF($A220="","",INDEX(JupData!$A$2:$K$10000,MATCH($A220&amp;G$1,JupData!$A$2:$A$10000&amp;JupData!$J$2:$J$10000,0),11))</f>
        <v/>
      </c>
      <c r="H220" t="str">
        <f t="array" ref="H220">IF($A220="","",INDEX(JupData!$A$2:$K$10000,MATCH($A220&amp;H$1,JupData!$A$2:$A$10000&amp;JupData!$J$2:$J$10000,0),11))</f>
        <v/>
      </c>
      <c r="I220" t="str">
        <f t="array" ref="I220">IF($A220="","",INDEX(JupData!$A$2:$K$10000,MATCH($A220&amp;I$1,JupData!$A$2:$A$10000&amp;JupData!$J$2:$J$10000,0),11))</f>
        <v/>
      </c>
      <c r="J220" t="str">
        <f t="array" ref="J220">IF($A220="","",INDEX(JupData!$A$2:$K$10000,MATCH($A220&amp;J$1,JupData!$A$2:$A$10000&amp;JupData!$J$2:$J$10000,0),11))</f>
        <v/>
      </c>
      <c r="K220" t="str">
        <f t="array" ref="K220">IF($A220="","",INDEX(JupData!$A$2:$K$10000,MATCH($A220&amp;K$1,JupData!$A$2:$A$10000&amp;JupData!$J$2:$J$10000,0),11))</f>
        <v/>
      </c>
      <c r="L220" t="str">
        <f t="array" ref="L220">IF($A220="","",INDEX(JupData!$A$2:$K$10000,MATCH($A220&amp;L$1,JupData!$A$2:$A$10000&amp;JupData!$J$2:$J$10000,0),11))</f>
        <v/>
      </c>
      <c r="M220" t="str">
        <f t="array" ref="M220">IF($A220="","",INDEX(JupData!$A$2:$K$10000,MATCH($A220&amp;M$1,JupData!$A$2:$A$10000&amp;JupData!$J$2:$J$10000,0),11))</f>
        <v/>
      </c>
      <c r="N220" t="str">
        <f t="array" ref="N220">IF($A220="","",INDEX(JupData!$A$2:$K$10000,MATCH($A220&amp;N$1,JupData!$A$2:$A$10000&amp;JupData!$J$2:$J$10000,0),11))</f>
        <v/>
      </c>
      <c r="O220" t="str">
        <f t="array" ref="O220">IF($A220="","",INDEX(JupData!$A$2:$K$10000,MATCH($A220&amp;O$1,JupData!$A$2:$A$10000&amp;JupData!$J$2:$J$10000,0),11))</f>
        <v/>
      </c>
      <c r="P220" t="str">
        <f t="array" ref="P220">IF($A220="","",INDEX(JupData!$A$2:$K$10000,MATCH($A220&amp;P$1,JupData!$A$2:$A$10000&amp;JupData!$J$2:$J$10000,0),11))</f>
        <v/>
      </c>
      <c r="Q220" t="str">
        <f t="array" ref="Q220">IF($A220="","",INDEX(JupData!$A$2:$K$10000,MATCH($A220&amp;Q$1,JupData!$A$2:$A$10000&amp;JupData!$J$2:$J$10000,0),11))</f>
        <v/>
      </c>
      <c r="R220" t="str">
        <f t="array" ref="R220">IF($A220="","",INDEX(JupData!$A$2:$K$10000,MATCH($A220&amp;R$1,JupData!$A$2:$A$10000&amp;JupData!$J$2:$J$10000,0),11))</f>
        <v/>
      </c>
      <c r="S220" t="str">
        <f t="array" ref="S220">IF($A220="","",INDEX(JupData!$A$2:$K$10000,MATCH($A220&amp;S$1,JupData!$A$2:$A$10000&amp;JupData!$J$2:$J$10000,0),11))</f>
        <v/>
      </c>
      <c r="T220" t="str">
        <f t="array" ref="T220">IF($A220="","",INDEX(JupData!$A$2:$K$10000,MATCH($A220&amp;T$1,JupData!$A$2:$A$10000&amp;JupData!$J$2:$J$10000,0),11))</f>
        <v/>
      </c>
      <c r="U220" t="str">
        <f t="array" ref="U220">IF($A220="","",INDEX(JupData!$A$2:$K$10000,MATCH($A220&amp;U$1,JupData!$A$2:$A$10000&amp;JupData!$J$2:$J$10000,0),11))</f>
        <v/>
      </c>
      <c r="V220" t="str">
        <f t="array" ref="V220">IF($A220="","",INDEX(JupData!$A$2:$K$10000,MATCH($A220&amp;V$1,JupData!$A$2:$A$10000&amp;JupData!$J$2:$J$10000,0),11))</f>
        <v/>
      </c>
      <c r="W220" t="str">
        <f t="array" ref="W220">IF($A220="","",INDEX(JupData!$A$2:$K$10000,MATCH($A220&amp;W$1,JupData!$A$2:$A$10000&amp;JupData!$J$2:$J$10000,0),11))</f>
        <v/>
      </c>
      <c r="X220" t="str">
        <f t="array" ref="X220">IF($A220="","",INDEX(JupData!$A$2:$K$10000,MATCH($A220&amp;X$1,JupData!$A$2:$A$10000&amp;JupData!$J$2:$J$10000,0),11))</f>
        <v/>
      </c>
      <c r="Y220" t="str">
        <f t="array" ref="Y220">IF($A220="","",INDEX(JupData!$A$2:$K$10000,MATCH($A220&amp;Y$1,JupData!$A$2:$A$10000&amp;JupData!$J$2:$J$10000,0),11))</f>
        <v/>
      </c>
      <c r="Z220" t="str">
        <f t="array" ref="Z220">IF($A220="","",INDEX(JupData!$A$2:$K$10000,MATCH($A220&amp;Z$1,JupData!$A$2:$A$10000&amp;JupData!$J$2:$J$10000,0),11))</f>
        <v/>
      </c>
      <c r="AA220" t="str">
        <f t="array" ref="AA220">IF($A220="","",INDEX(JupData!$A$2:$K$10000,MATCH($A220&amp;AA$1,JupData!$A$2:$A$10000&amp;JupData!$J$2:$J$10000,0),11))</f>
        <v/>
      </c>
      <c r="AB220" t="str">
        <f t="array" ref="AB220">IF($A220="","",INDEX(JupData!$A$2:$K$10000,MATCH($A220&amp;AB$1,JupData!$A$2:$A$10000&amp;JupData!$J$2:$J$10000,0),11))</f>
        <v/>
      </c>
      <c r="AC220" s="10" t="str">
        <f t="shared" si="33"/>
        <v/>
      </c>
      <c r="AD220" s="10" t="str">
        <f t="shared" si="34"/>
        <v/>
      </c>
      <c r="AE220" s="9" t="str">
        <f t="shared" si="35"/>
        <v/>
      </c>
      <c r="AF220" s="10" t="str">
        <f t="shared" si="36"/>
        <v/>
      </c>
      <c r="AG220" s="10" t="str">
        <f t="shared" si="37"/>
        <v/>
      </c>
      <c r="AH220" s="10" t="str">
        <f t="shared" si="38"/>
        <v/>
      </c>
      <c r="AI220" s="10" t="str">
        <f t="shared" si="39"/>
        <v/>
      </c>
      <c r="AJ220" s="10" t="str">
        <f t="shared" si="40"/>
        <v/>
      </c>
      <c r="AK220" s="10" t="str">
        <f t="shared" si="41"/>
        <v/>
      </c>
      <c r="AL220" s="14" t="str">
        <f t="shared" si="42"/>
        <v/>
      </c>
    </row>
    <row r="221" spans="1:38" x14ac:dyDescent="0.2">
      <c r="A221"/>
      <c r="B221" t="str">
        <f>IF($A221="","",VLOOKUP($A221,JupData!$A$2:$I$10000,4,FALSE))</f>
        <v/>
      </c>
      <c r="C221" s="7" t="str">
        <f>IF($A221="",IF(N(D221),0,""),VLOOKUP($A221,JupData!$A$2:$I$10000,7,FALSE))</f>
        <v/>
      </c>
      <c r="D221" t="str">
        <f t="shared" si="43"/>
        <v/>
      </c>
      <c r="E221" t="str">
        <f t="array" ref="E221">IF($A221="","",INDEX(JupData!$A$2:$K$10000,MATCH($A221&amp;E$1,JupData!$A$2:$A$10000&amp;JupData!$J$2:$J$10000,0),11))</f>
        <v/>
      </c>
      <c r="F221" t="str">
        <f t="array" ref="F221">IF($A221="","",INDEX(JupData!$A$2:$K$10000,MATCH($A221&amp;F$1,JupData!$A$2:$A$10000&amp;JupData!$J$2:$J$10000,0),11))</f>
        <v/>
      </c>
      <c r="G221" t="str">
        <f t="array" ref="G221">IF($A221="","",INDEX(JupData!$A$2:$K$10000,MATCH($A221&amp;G$1,JupData!$A$2:$A$10000&amp;JupData!$J$2:$J$10000,0),11))</f>
        <v/>
      </c>
      <c r="H221" t="str">
        <f t="array" ref="H221">IF($A221="","",INDEX(JupData!$A$2:$K$10000,MATCH($A221&amp;H$1,JupData!$A$2:$A$10000&amp;JupData!$J$2:$J$10000,0),11))</f>
        <v/>
      </c>
      <c r="I221" t="str">
        <f t="array" ref="I221">IF($A221="","",INDEX(JupData!$A$2:$K$10000,MATCH($A221&amp;I$1,JupData!$A$2:$A$10000&amp;JupData!$J$2:$J$10000,0),11))</f>
        <v/>
      </c>
      <c r="J221" t="str">
        <f t="array" ref="J221">IF($A221="","",INDEX(JupData!$A$2:$K$10000,MATCH($A221&amp;J$1,JupData!$A$2:$A$10000&amp;JupData!$J$2:$J$10000,0),11))</f>
        <v/>
      </c>
      <c r="K221" t="str">
        <f t="array" ref="K221">IF($A221="","",INDEX(JupData!$A$2:$K$10000,MATCH($A221&amp;K$1,JupData!$A$2:$A$10000&amp;JupData!$J$2:$J$10000,0),11))</f>
        <v/>
      </c>
      <c r="L221" t="str">
        <f t="array" ref="L221">IF($A221="","",INDEX(JupData!$A$2:$K$10000,MATCH($A221&amp;L$1,JupData!$A$2:$A$10000&amp;JupData!$J$2:$J$10000,0),11))</f>
        <v/>
      </c>
      <c r="M221" t="str">
        <f t="array" ref="M221">IF($A221="","",INDEX(JupData!$A$2:$K$10000,MATCH($A221&amp;M$1,JupData!$A$2:$A$10000&amp;JupData!$J$2:$J$10000,0),11))</f>
        <v/>
      </c>
      <c r="N221" t="str">
        <f t="array" ref="N221">IF($A221="","",INDEX(JupData!$A$2:$K$10000,MATCH($A221&amp;N$1,JupData!$A$2:$A$10000&amp;JupData!$J$2:$J$10000,0),11))</f>
        <v/>
      </c>
      <c r="O221" t="str">
        <f t="array" ref="O221">IF($A221="","",INDEX(JupData!$A$2:$K$10000,MATCH($A221&amp;O$1,JupData!$A$2:$A$10000&amp;JupData!$J$2:$J$10000,0),11))</f>
        <v/>
      </c>
      <c r="P221" t="str">
        <f t="array" ref="P221">IF($A221="","",INDEX(JupData!$A$2:$K$10000,MATCH($A221&amp;P$1,JupData!$A$2:$A$10000&amp;JupData!$J$2:$J$10000,0),11))</f>
        <v/>
      </c>
      <c r="Q221" t="str">
        <f t="array" ref="Q221">IF($A221="","",INDEX(JupData!$A$2:$K$10000,MATCH($A221&amp;Q$1,JupData!$A$2:$A$10000&amp;JupData!$J$2:$J$10000,0),11))</f>
        <v/>
      </c>
      <c r="R221" t="str">
        <f t="array" ref="R221">IF($A221="","",INDEX(JupData!$A$2:$K$10000,MATCH($A221&amp;R$1,JupData!$A$2:$A$10000&amp;JupData!$J$2:$J$10000,0),11))</f>
        <v/>
      </c>
      <c r="S221" t="str">
        <f t="array" ref="S221">IF($A221="","",INDEX(JupData!$A$2:$K$10000,MATCH($A221&amp;S$1,JupData!$A$2:$A$10000&amp;JupData!$J$2:$J$10000,0),11))</f>
        <v/>
      </c>
      <c r="T221" t="str">
        <f t="array" ref="T221">IF($A221="","",INDEX(JupData!$A$2:$K$10000,MATCH($A221&amp;T$1,JupData!$A$2:$A$10000&amp;JupData!$J$2:$J$10000,0),11))</f>
        <v/>
      </c>
      <c r="U221" t="str">
        <f t="array" ref="U221">IF($A221="","",INDEX(JupData!$A$2:$K$10000,MATCH($A221&amp;U$1,JupData!$A$2:$A$10000&amp;JupData!$J$2:$J$10000,0),11))</f>
        <v/>
      </c>
      <c r="V221" t="str">
        <f t="array" ref="V221">IF($A221="","",INDEX(JupData!$A$2:$K$10000,MATCH($A221&amp;V$1,JupData!$A$2:$A$10000&amp;JupData!$J$2:$J$10000,0),11))</f>
        <v/>
      </c>
      <c r="W221" t="str">
        <f t="array" ref="W221">IF($A221="","",INDEX(JupData!$A$2:$K$10000,MATCH($A221&amp;W$1,JupData!$A$2:$A$10000&amp;JupData!$J$2:$J$10000,0),11))</f>
        <v/>
      </c>
      <c r="X221" t="str">
        <f t="array" ref="X221">IF($A221="","",INDEX(JupData!$A$2:$K$10000,MATCH($A221&amp;X$1,JupData!$A$2:$A$10000&amp;JupData!$J$2:$J$10000,0),11))</f>
        <v/>
      </c>
      <c r="Y221" t="str">
        <f t="array" ref="Y221">IF($A221="","",INDEX(JupData!$A$2:$K$10000,MATCH($A221&amp;Y$1,JupData!$A$2:$A$10000&amp;JupData!$J$2:$J$10000,0),11))</f>
        <v/>
      </c>
      <c r="Z221" t="str">
        <f t="array" ref="Z221">IF($A221="","",INDEX(JupData!$A$2:$K$10000,MATCH($A221&amp;Z$1,JupData!$A$2:$A$10000&amp;JupData!$J$2:$J$10000,0),11))</f>
        <v/>
      </c>
      <c r="AA221" t="str">
        <f t="array" ref="AA221">IF($A221="","",INDEX(JupData!$A$2:$K$10000,MATCH($A221&amp;AA$1,JupData!$A$2:$A$10000&amp;JupData!$J$2:$J$10000,0),11))</f>
        <v/>
      </c>
      <c r="AB221" t="str">
        <f t="array" ref="AB221">IF($A221="","",INDEX(JupData!$A$2:$K$10000,MATCH($A221&amp;AB$1,JupData!$A$2:$A$10000&amp;JupData!$J$2:$J$10000,0),11))</f>
        <v/>
      </c>
      <c r="AC221" s="10" t="str">
        <f t="shared" si="33"/>
        <v/>
      </c>
      <c r="AD221" s="10" t="str">
        <f t="shared" si="34"/>
        <v/>
      </c>
      <c r="AE221" s="9" t="str">
        <f t="shared" si="35"/>
        <v/>
      </c>
      <c r="AF221" s="10" t="str">
        <f t="shared" si="36"/>
        <v/>
      </c>
      <c r="AG221" s="10" t="str">
        <f t="shared" si="37"/>
        <v/>
      </c>
      <c r="AH221" s="10" t="str">
        <f t="shared" si="38"/>
        <v/>
      </c>
      <c r="AI221" s="10" t="str">
        <f t="shared" si="39"/>
        <v/>
      </c>
      <c r="AJ221" s="10" t="str">
        <f t="shared" si="40"/>
        <v/>
      </c>
      <c r="AK221" s="10" t="str">
        <f t="shared" si="41"/>
        <v/>
      </c>
      <c r="AL221" s="14" t="str">
        <f t="shared" si="42"/>
        <v/>
      </c>
    </row>
    <row r="222" spans="1:38" x14ac:dyDescent="0.2">
      <c r="A222"/>
      <c r="B222" t="str">
        <f>IF($A222="","",VLOOKUP($A222,JupData!$A$2:$I$10000,4,FALSE))</f>
        <v/>
      </c>
      <c r="C222" s="7" t="str">
        <f>IF($A222="",IF(N(D222),0,""),VLOOKUP($A222,JupData!$A$2:$I$10000,7,FALSE))</f>
        <v/>
      </c>
      <c r="D222" t="str">
        <f t="shared" si="43"/>
        <v/>
      </c>
      <c r="E222" t="str">
        <f t="array" ref="E222">IF($A222="","",INDEX(JupData!$A$2:$K$10000,MATCH($A222&amp;E$1,JupData!$A$2:$A$10000&amp;JupData!$J$2:$J$10000,0),11))</f>
        <v/>
      </c>
      <c r="F222" t="str">
        <f t="array" ref="F222">IF($A222="","",INDEX(JupData!$A$2:$K$10000,MATCH($A222&amp;F$1,JupData!$A$2:$A$10000&amp;JupData!$J$2:$J$10000,0),11))</f>
        <v/>
      </c>
      <c r="G222" t="str">
        <f t="array" ref="G222">IF($A222="","",INDEX(JupData!$A$2:$K$10000,MATCH($A222&amp;G$1,JupData!$A$2:$A$10000&amp;JupData!$J$2:$J$10000,0),11))</f>
        <v/>
      </c>
      <c r="H222" t="str">
        <f t="array" ref="H222">IF($A222="","",INDEX(JupData!$A$2:$K$10000,MATCH($A222&amp;H$1,JupData!$A$2:$A$10000&amp;JupData!$J$2:$J$10000,0),11))</f>
        <v/>
      </c>
      <c r="I222" t="str">
        <f t="array" ref="I222">IF($A222="","",INDEX(JupData!$A$2:$K$10000,MATCH($A222&amp;I$1,JupData!$A$2:$A$10000&amp;JupData!$J$2:$J$10000,0),11))</f>
        <v/>
      </c>
      <c r="J222" t="str">
        <f t="array" ref="J222">IF($A222="","",INDEX(JupData!$A$2:$K$10000,MATCH($A222&amp;J$1,JupData!$A$2:$A$10000&amp;JupData!$J$2:$J$10000,0),11))</f>
        <v/>
      </c>
      <c r="K222" t="str">
        <f t="array" ref="K222">IF($A222="","",INDEX(JupData!$A$2:$K$10000,MATCH($A222&amp;K$1,JupData!$A$2:$A$10000&amp;JupData!$J$2:$J$10000,0),11))</f>
        <v/>
      </c>
      <c r="L222" t="str">
        <f t="array" ref="L222">IF($A222="","",INDEX(JupData!$A$2:$K$10000,MATCH($A222&amp;L$1,JupData!$A$2:$A$10000&amp;JupData!$J$2:$J$10000,0),11))</f>
        <v/>
      </c>
      <c r="M222" t="str">
        <f t="array" ref="M222">IF($A222="","",INDEX(JupData!$A$2:$K$10000,MATCH($A222&amp;M$1,JupData!$A$2:$A$10000&amp;JupData!$J$2:$J$10000,0),11))</f>
        <v/>
      </c>
      <c r="N222" t="str">
        <f t="array" ref="N222">IF($A222="","",INDEX(JupData!$A$2:$K$10000,MATCH($A222&amp;N$1,JupData!$A$2:$A$10000&amp;JupData!$J$2:$J$10000,0),11))</f>
        <v/>
      </c>
      <c r="O222" t="str">
        <f t="array" ref="O222">IF($A222="","",INDEX(JupData!$A$2:$K$10000,MATCH($A222&amp;O$1,JupData!$A$2:$A$10000&amp;JupData!$J$2:$J$10000,0),11))</f>
        <v/>
      </c>
      <c r="P222" t="str">
        <f t="array" ref="P222">IF($A222="","",INDEX(JupData!$A$2:$K$10000,MATCH($A222&amp;P$1,JupData!$A$2:$A$10000&amp;JupData!$J$2:$J$10000,0),11))</f>
        <v/>
      </c>
      <c r="Q222" t="str">
        <f t="array" ref="Q222">IF($A222="","",INDEX(JupData!$A$2:$K$10000,MATCH($A222&amp;Q$1,JupData!$A$2:$A$10000&amp;JupData!$J$2:$J$10000,0),11))</f>
        <v/>
      </c>
      <c r="R222" t="str">
        <f t="array" ref="R222">IF($A222="","",INDEX(JupData!$A$2:$K$10000,MATCH($A222&amp;R$1,JupData!$A$2:$A$10000&amp;JupData!$J$2:$J$10000,0),11))</f>
        <v/>
      </c>
      <c r="S222" t="str">
        <f t="array" ref="S222">IF($A222="","",INDEX(JupData!$A$2:$K$10000,MATCH($A222&amp;S$1,JupData!$A$2:$A$10000&amp;JupData!$J$2:$J$10000,0),11))</f>
        <v/>
      </c>
      <c r="T222" t="str">
        <f t="array" ref="T222">IF($A222="","",INDEX(JupData!$A$2:$K$10000,MATCH($A222&amp;T$1,JupData!$A$2:$A$10000&amp;JupData!$J$2:$J$10000,0),11))</f>
        <v/>
      </c>
      <c r="U222" t="str">
        <f t="array" ref="U222">IF($A222="","",INDEX(JupData!$A$2:$K$10000,MATCH($A222&amp;U$1,JupData!$A$2:$A$10000&amp;JupData!$J$2:$J$10000,0),11))</f>
        <v/>
      </c>
      <c r="V222" t="str">
        <f t="array" ref="V222">IF($A222="","",INDEX(JupData!$A$2:$K$10000,MATCH($A222&amp;V$1,JupData!$A$2:$A$10000&amp;JupData!$J$2:$J$10000,0),11))</f>
        <v/>
      </c>
      <c r="W222" t="str">
        <f t="array" ref="W222">IF($A222="","",INDEX(JupData!$A$2:$K$10000,MATCH($A222&amp;W$1,JupData!$A$2:$A$10000&amp;JupData!$J$2:$J$10000,0),11))</f>
        <v/>
      </c>
      <c r="X222" t="str">
        <f t="array" ref="X222">IF($A222="","",INDEX(JupData!$A$2:$K$10000,MATCH($A222&amp;X$1,JupData!$A$2:$A$10000&amp;JupData!$J$2:$J$10000,0),11))</f>
        <v/>
      </c>
      <c r="Y222" t="str">
        <f t="array" ref="Y222">IF($A222="","",INDEX(JupData!$A$2:$K$10000,MATCH($A222&amp;Y$1,JupData!$A$2:$A$10000&amp;JupData!$J$2:$J$10000,0),11))</f>
        <v/>
      </c>
      <c r="Z222" t="str">
        <f t="array" ref="Z222">IF($A222="","",INDEX(JupData!$A$2:$K$10000,MATCH($A222&amp;Z$1,JupData!$A$2:$A$10000&amp;JupData!$J$2:$J$10000,0),11))</f>
        <v/>
      </c>
      <c r="AA222" t="str">
        <f t="array" ref="AA222">IF($A222="","",INDEX(JupData!$A$2:$K$10000,MATCH($A222&amp;AA$1,JupData!$A$2:$A$10000&amp;JupData!$J$2:$J$10000,0),11))</f>
        <v/>
      </c>
      <c r="AB222" t="str">
        <f t="array" ref="AB222">IF($A222="","",INDEX(JupData!$A$2:$K$10000,MATCH($A222&amp;AB$1,JupData!$A$2:$A$10000&amp;JupData!$J$2:$J$10000,0),11))</f>
        <v/>
      </c>
      <c r="AC222" s="10" t="str">
        <f t="shared" si="33"/>
        <v/>
      </c>
      <c r="AD222" s="10" t="str">
        <f t="shared" si="34"/>
        <v/>
      </c>
      <c r="AE222" s="9" t="str">
        <f t="shared" si="35"/>
        <v/>
      </c>
      <c r="AF222" s="10" t="str">
        <f t="shared" si="36"/>
        <v/>
      </c>
      <c r="AG222" s="10" t="str">
        <f t="shared" si="37"/>
        <v/>
      </c>
      <c r="AH222" s="10" t="str">
        <f t="shared" si="38"/>
        <v/>
      </c>
      <c r="AI222" s="10" t="str">
        <f t="shared" si="39"/>
        <v/>
      </c>
      <c r="AJ222" s="10" t="str">
        <f t="shared" si="40"/>
        <v/>
      </c>
      <c r="AK222" s="10" t="str">
        <f t="shared" si="41"/>
        <v/>
      </c>
      <c r="AL222" s="14" t="str">
        <f t="shared" si="42"/>
        <v/>
      </c>
    </row>
    <row r="223" spans="1:38" x14ac:dyDescent="0.2">
      <c r="A223"/>
      <c r="B223" t="str">
        <f>IF($A223="","",VLOOKUP($A223,JupData!$A$2:$I$10000,4,FALSE))</f>
        <v/>
      </c>
      <c r="C223" s="7" t="str">
        <f>IF($A223="",IF(N(D223),0,""),VLOOKUP($A223,JupData!$A$2:$I$10000,7,FALSE))</f>
        <v/>
      </c>
      <c r="D223" t="str">
        <f t="shared" si="43"/>
        <v/>
      </c>
      <c r="E223" t="str">
        <f t="array" ref="E223">IF($A223="","",INDEX(JupData!$A$2:$K$10000,MATCH($A223&amp;E$1,JupData!$A$2:$A$10000&amp;JupData!$J$2:$J$10000,0),11))</f>
        <v/>
      </c>
      <c r="F223" t="str">
        <f t="array" ref="F223">IF($A223="","",INDEX(JupData!$A$2:$K$10000,MATCH($A223&amp;F$1,JupData!$A$2:$A$10000&amp;JupData!$J$2:$J$10000,0),11))</f>
        <v/>
      </c>
      <c r="G223" t="str">
        <f t="array" ref="G223">IF($A223="","",INDEX(JupData!$A$2:$K$10000,MATCH($A223&amp;G$1,JupData!$A$2:$A$10000&amp;JupData!$J$2:$J$10000,0),11))</f>
        <v/>
      </c>
      <c r="H223" t="str">
        <f t="array" ref="H223">IF($A223="","",INDEX(JupData!$A$2:$K$10000,MATCH($A223&amp;H$1,JupData!$A$2:$A$10000&amp;JupData!$J$2:$J$10000,0),11))</f>
        <v/>
      </c>
      <c r="I223" t="str">
        <f t="array" ref="I223">IF($A223="","",INDEX(JupData!$A$2:$K$10000,MATCH($A223&amp;I$1,JupData!$A$2:$A$10000&amp;JupData!$J$2:$J$10000,0),11))</f>
        <v/>
      </c>
      <c r="J223" t="str">
        <f t="array" ref="J223">IF($A223="","",INDEX(JupData!$A$2:$K$10000,MATCH($A223&amp;J$1,JupData!$A$2:$A$10000&amp;JupData!$J$2:$J$10000,0),11))</f>
        <v/>
      </c>
      <c r="K223" t="str">
        <f t="array" ref="K223">IF($A223="","",INDEX(JupData!$A$2:$K$10000,MATCH($A223&amp;K$1,JupData!$A$2:$A$10000&amp;JupData!$J$2:$J$10000,0),11))</f>
        <v/>
      </c>
      <c r="L223" t="str">
        <f t="array" ref="L223">IF($A223="","",INDEX(JupData!$A$2:$K$10000,MATCH($A223&amp;L$1,JupData!$A$2:$A$10000&amp;JupData!$J$2:$J$10000,0),11))</f>
        <v/>
      </c>
      <c r="M223" t="str">
        <f t="array" ref="M223">IF($A223="","",INDEX(JupData!$A$2:$K$10000,MATCH($A223&amp;M$1,JupData!$A$2:$A$10000&amp;JupData!$J$2:$J$10000,0),11))</f>
        <v/>
      </c>
      <c r="N223" t="str">
        <f t="array" ref="N223">IF($A223="","",INDEX(JupData!$A$2:$K$10000,MATCH($A223&amp;N$1,JupData!$A$2:$A$10000&amp;JupData!$J$2:$J$10000,0),11))</f>
        <v/>
      </c>
      <c r="O223" t="str">
        <f t="array" ref="O223">IF($A223="","",INDEX(JupData!$A$2:$K$10000,MATCH($A223&amp;O$1,JupData!$A$2:$A$10000&amp;JupData!$J$2:$J$10000,0),11))</f>
        <v/>
      </c>
      <c r="P223" t="str">
        <f t="array" ref="P223">IF($A223="","",INDEX(JupData!$A$2:$K$10000,MATCH($A223&amp;P$1,JupData!$A$2:$A$10000&amp;JupData!$J$2:$J$10000,0),11))</f>
        <v/>
      </c>
      <c r="Q223" t="str">
        <f t="array" ref="Q223">IF($A223="","",INDEX(JupData!$A$2:$K$10000,MATCH($A223&amp;Q$1,JupData!$A$2:$A$10000&amp;JupData!$J$2:$J$10000,0),11))</f>
        <v/>
      </c>
      <c r="R223" t="str">
        <f t="array" ref="R223">IF($A223="","",INDEX(JupData!$A$2:$K$10000,MATCH($A223&amp;R$1,JupData!$A$2:$A$10000&amp;JupData!$J$2:$J$10000,0),11))</f>
        <v/>
      </c>
      <c r="S223" t="str">
        <f t="array" ref="S223">IF($A223="","",INDEX(JupData!$A$2:$K$10000,MATCH($A223&amp;S$1,JupData!$A$2:$A$10000&amp;JupData!$J$2:$J$10000,0),11))</f>
        <v/>
      </c>
      <c r="T223" t="str">
        <f t="array" ref="T223">IF($A223="","",INDEX(JupData!$A$2:$K$10000,MATCH($A223&amp;T$1,JupData!$A$2:$A$10000&amp;JupData!$J$2:$J$10000,0),11))</f>
        <v/>
      </c>
      <c r="U223" t="str">
        <f t="array" ref="U223">IF($A223="","",INDEX(JupData!$A$2:$K$10000,MATCH($A223&amp;U$1,JupData!$A$2:$A$10000&amp;JupData!$J$2:$J$10000,0),11))</f>
        <v/>
      </c>
      <c r="V223" t="str">
        <f t="array" ref="V223">IF($A223="","",INDEX(JupData!$A$2:$K$10000,MATCH($A223&amp;V$1,JupData!$A$2:$A$10000&amp;JupData!$J$2:$J$10000,0),11))</f>
        <v/>
      </c>
      <c r="W223" t="str">
        <f t="array" ref="W223">IF($A223="","",INDEX(JupData!$A$2:$K$10000,MATCH($A223&amp;W$1,JupData!$A$2:$A$10000&amp;JupData!$J$2:$J$10000,0),11))</f>
        <v/>
      </c>
      <c r="X223" t="str">
        <f t="array" ref="X223">IF($A223="","",INDEX(JupData!$A$2:$K$10000,MATCH($A223&amp;X$1,JupData!$A$2:$A$10000&amp;JupData!$J$2:$J$10000,0),11))</f>
        <v/>
      </c>
      <c r="Y223" t="str">
        <f t="array" ref="Y223">IF($A223="","",INDEX(JupData!$A$2:$K$10000,MATCH($A223&amp;Y$1,JupData!$A$2:$A$10000&amp;JupData!$J$2:$J$10000,0),11))</f>
        <v/>
      </c>
      <c r="Z223" t="str">
        <f t="array" ref="Z223">IF($A223="","",INDEX(JupData!$A$2:$K$10000,MATCH($A223&amp;Z$1,JupData!$A$2:$A$10000&amp;JupData!$J$2:$J$10000,0),11))</f>
        <v/>
      </c>
      <c r="AA223" t="str">
        <f t="array" ref="AA223">IF($A223="","",INDEX(JupData!$A$2:$K$10000,MATCH($A223&amp;AA$1,JupData!$A$2:$A$10000&amp;JupData!$J$2:$J$10000,0),11))</f>
        <v/>
      </c>
      <c r="AB223" t="str">
        <f t="array" ref="AB223">IF($A223="","",INDEX(JupData!$A$2:$K$10000,MATCH($A223&amp;AB$1,JupData!$A$2:$A$10000&amp;JupData!$J$2:$J$10000,0),11))</f>
        <v/>
      </c>
      <c r="AC223" s="10" t="str">
        <f t="shared" si="33"/>
        <v/>
      </c>
      <c r="AD223" s="10" t="str">
        <f t="shared" si="34"/>
        <v/>
      </c>
      <c r="AE223" s="9" t="str">
        <f t="shared" si="35"/>
        <v/>
      </c>
      <c r="AF223" s="10" t="str">
        <f t="shared" si="36"/>
        <v/>
      </c>
      <c r="AG223" s="10" t="str">
        <f t="shared" si="37"/>
        <v/>
      </c>
      <c r="AH223" s="10" t="str">
        <f t="shared" si="38"/>
        <v/>
      </c>
      <c r="AI223" s="10" t="str">
        <f t="shared" si="39"/>
        <v/>
      </c>
      <c r="AJ223" s="10" t="str">
        <f t="shared" si="40"/>
        <v/>
      </c>
      <c r="AK223" s="10" t="str">
        <f t="shared" si="41"/>
        <v/>
      </c>
      <c r="AL223" s="14" t="str">
        <f t="shared" si="42"/>
        <v/>
      </c>
    </row>
    <row r="224" spans="1:38" x14ac:dyDescent="0.2">
      <c r="A224"/>
      <c r="B224" t="str">
        <f>IF($A224="","",VLOOKUP($A224,JupData!$A$2:$I$10000,4,FALSE))</f>
        <v/>
      </c>
      <c r="C224" s="7" t="str">
        <f>IF($A224="",IF(N(D224),0,""),VLOOKUP($A224,JupData!$A$2:$I$10000,7,FALSE))</f>
        <v/>
      </c>
      <c r="D224" t="str">
        <f t="shared" si="43"/>
        <v/>
      </c>
      <c r="E224" t="str">
        <f t="array" ref="E224">IF($A224="","",INDEX(JupData!$A$2:$K$10000,MATCH($A224&amp;E$1,JupData!$A$2:$A$10000&amp;JupData!$J$2:$J$10000,0),11))</f>
        <v/>
      </c>
      <c r="F224" t="str">
        <f t="array" ref="F224">IF($A224="","",INDEX(JupData!$A$2:$K$10000,MATCH($A224&amp;F$1,JupData!$A$2:$A$10000&amp;JupData!$J$2:$J$10000,0),11))</f>
        <v/>
      </c>
      <c r="G224" t="str">
        <f t="array" ref="G224">IF($A224="","",INDEX(JupData!$A$2:$K$10000,MATCH($A224&amp;G$1,JupData!$A$2:$A$10000&amp;JupData!$J$2:$J$10000,0),11))</f>
        <v/>
      </c>
      <c r="H224" t="str">
        <f t="array" ref="H224">IF($A224="","",INDEX(JupData!$A$2:$K$10000,MATCH($A224&amp;H$1,JupData!$A$2:$A$10000&amp;JupData!$J$2:$J$10000,0),11))</f>
        <v/>
      </c>
      <c r="I224" t="str">
        <f t="array" ref="I224">IF($A224="","",INDEX(JupData!$A$2:$K$10000,MATCH($A224&amp;I$1,JupData!$A$2:$A$10000&amp;JupData!$J$2:$J$10000,0),11))</f>
        <v/>
      </c>
      <c r="J224" t="str">
        <f t="array" ref="J224">IF($A224="","",INDEX(JupData!$A$2:$K$10000,MATCH($A224&amp;J$1,JupData!$A$2:$A$10000&amp;JupData!$J$2:$J$10000,0),11))</f>
        <v/>
      </c>
      <c r="K224" t="str">
        <f t="array" ref="K224">IF($A224="","",INDEX(JupData!$A$2:$K$10000,MATCH($A224&amp;K$1,JupData!$A$2:$A$10000&amp;JupData!$J$2:$J$10000,0),11))</f>
        <v/>
      </c>
      <c r="L224" t="str">
        <f t="array" ref="L224">IF($A224="","",INDEX(JupData!$A$2:$K$10000,MATCH($A224&amp;L$1,JupData!$A$2:$A$10000&amp;JupData!$J$2:$J$10000,0),11))</f>
        <v/>
      </c>
      <c r="M224" t="str">
        <f t="array" ref="M224">IF($A224="","",INDEX(JupData!$A$2:$K$10000,MATCH($A224&amp;M$1,JupData!$A$2:$A$10000&amp;JupData!$J$2:$J$10000,0),11))</f>
        <v/>
      </c>
      <c r="N224" t="str">
        <f t="array" ref="N224">IF($A224="","",INDEX(JupData!$A$2:$K$10000,MATCH($A224&amp;N$1,JupData!$A$2:$A$10000&amp;JupData!$J$2:$J$10000,0),11))</f>
        <v/>
      </c>
      <c r="O224" t="str">
        <f t="array" ref="O224">IF($A224="","",INDEX(JupData!$A$2:$K$10000,MATCH($A224&amp;O$1,JupData!$A$2:$A$10000&amp;JupData!$J$2:$J$10000,0),11))</f>
        <v/>
      </c>
      <c r="P224" t="str">
        <f t="array" ref="P224">IF($A224="","",INDEX(JupData!$A$2:$K$10000,MATCH($A224&amp;P$1,JupData!$A$2:$A$10000&amp;JupData!$J$2:$J$10000,0),11))</f>
        <v/>
      </c>
      <c r="Q224" t="str">
        <f t="array" ref="Q224">IF($A224="","",INDEX(JupData!$A$2:$K$10000,MATCH($A224&amp;Q$1,JupData!$A$2:$A$10000&amp;JupData!$J$2:$J$10000,0),11))</f>
        <v/>
      </c>
      <c r="R224" t="str">
        <f t="array" ref="R224">IF($A224="","",INDEX(JupData!$A$2:$K$10000,MATCH($A224&amp;R$1,JupData!$A$2:$A$10000&amp;JupData!$J$2:$J$10000,0),11))</f>
        <v/>
      </c>
      <c r="S224" t="str">
        <f t="array" ref="S224">IF($A224="","",INDEX(JupData!$A$2:$K$10000,MATCH($A224&amp;S$1,JupData!$A$2:$A$10000&amp;JupData!$J$2:$J$10000,0),11))</f>
        <v/>
      </c>
      <c r="T224" t="str">
        <f t="array" ref="T224">IF($A224="","",INDEX(JupData!$A$2:$K$10000,MATCH($A224&amp;T$1,JupData!$A$2:$A$10000&amp;JupData!$J$2:$J$10000,0),11))</f>
        <v/>
      </c>
      <c r="U224" t="str">
        <f t="array" ref="U224">IF($A224="","",INDEX(JupData!$A$2:$K$10000,MATCH($A224&amp;U$1,JupData!$A$2:$A$10000&amp;JupData!$J$2:$J$10000,0),11))</f>
        <v/>
      </c>
      <c r="V224" t="str">
        <f t="array" ref="V224">IF($A224="","",INDEX(JupData!$A$2:$K$10000,MATCH($A224&amp;V$1,JupData!$A$2:$A$10000&amp;JupData!$J$2:$J$10000,0),11))</f>
        <v/>
      </c>
      <c r="W224" t="str">
        <f t="array" ref="W224">IF($A224="","",INDEX(JupData!$A$2:$K$10000,MATCH($A224&amp;W$1,JupData!$A$2:$A$10000&amp;JupData!$J$2:$J$10000,0),11))</f>
        <v/>
      </c>
      <c r="X224" t="str">
        <f t="array" ref="X224">IF($A224="","",INDEX(JupData!$A$2:$K$10000,MATCH($A224&amp;X$1,JupData!$A$2:$A$10000&amp;JupData!$J$2:$J$10000,0),11))</f>
        <v/>
      </c>
      <c r="Y224" t="str">
        <f t="array" ref="Y224">IF($A224="","",INDEX(JupData!$A$2:$K$10000,MATCH($A224&amp;Y$1,JupData!$A$2:$A$10000&amp;JupData!$J$2:$J$10000,0),11))</f>
        <v/>
      </c>
      <c r="Z224" t="str">
        <f t="array" ref="Z224">IF($A224="","",INDEX(JupData!$A$2:$K$10000,MATCH($A224&amp;Z$1,JupData!$A$2:$A$10000&amp;JupData!$J$2:$J$10000,0),11))</f>
        <v/>
      </c>
      <c r="AA224" t="str">
        <f t="array" ref="AA224">IF($A224="","",INDEX(JupData!$A$2:$K$10000,MATCH($A224&amp;AA$1,JupData!$A$2:$A$10000&amp;JupData!$J$2:$J$10000,0),11))</f>
        <v/>
      </c>
      <c r="AB224" t="str">
        <f t="array" ref="AB224">IF($A224="","",INDEX(JupData!$A$2:$K$10000,MATCH($A224&amp;AB$1,JupData!$A$2:$A$10000&amp;JupData!$J$2:$J$10000,0),11))</f>
        <v/>
      </c>
      <c r="AC224" s="10" t="str">
        <f t="shared" si="33"/>
        <v/>
      </c>
      <c r="AD224" s="10" t="str">
        <f t="shared" si="34"/>
        <v/>
      </c>
      <c r="AE224" s="9" t="str">
        <f t="shared" si="35"/>
        <v/>
      </c>
      <c r="AF224" s="10" t="str">
        <f t="shared" si="36"/>
        <v/>
      </c>
      <c r="AG224" s="10" t="str">
        <f t="shared" si="37"/>
        <v/>
      </c>
      <c r="AH224" s="10" t="str">
        <f t="shared" si="38"/>
        <v/>
      </c>
      <c r="AI224" s="10" t="str">
        <f t="shared" si="39"/>
        <v/>
      </c>
      <c r="AJ224" s="10" t="str">
        <f t="shared" si="40"/>
        <v/>
      </c>
      <c r="AK224" s="10" t="str">
        <f t="shared" si="41"/>
        <v/>
      </c>
      <c r="AL224" s="14" t="str">
        <f t="shared" si="42"/>
        <v/>
      </c>
    </row>
    <row r="225" spans="1:38" x14ac:dyDescent="0.2">
      <c r="A225"/>
      <c r="B225" t="str">
        <f>IF($A225="","",VLOOKUP($A225,JupData!$A$2:$I$10000,4,FALSE))</f>
        <v/>
      </c>
      <c r="C225" s="7" t="str">
        <f>IF($A225="",IF(N(D225),0,""),VLOOKUP($A225,JupData!$A$2:$I$10000,7,FALSE))</f>
        <v/>
      </c>
      <c r="D225" t="str">
        <f t="shared" si="43"/>
        <v/>
      </c>
      <c r="E225" t="str">
        <f t="array" ref="E225">IF($A225="","",INDEX(JupData!$A$2:$K$10000,MATCH($A225&amp;E$1,JupData!$A$2:$A$10000&amp;JupData!$J$2:$J$10000,0),11))</f>
        <v/>
      </c>
      <c r="F225" t="str">
        <f t="array" ref="F225">IF($A225="","",INDEX(JupData!$A$2:$K$10000,MATCH($A225&amp;F$1,JupData!$A$2:$A$10000&amp;JupData!$J$2:$J$10000,0),11))</f>
        <v/>
      </c>
      <c r="G225" t="str">
        <f t="array" ref="G225">IF($A225="","",INDEX(JupData!$A$2:$K$10000,MATCH($A225&amp;G$1,JupData!$A$2:$A$10000&amp;JupData!$J$2:$J$10000,0),11))</f>
        <v/>
      </c>
      <c r="H225" t="str">
        <f t="array" ref="H225">IF($A225="","",INDEX(JupData!$A$2:$K$10000,MATCH($A225&amp;H$1,JupData!$A$2:$A$10000&amp;JupData!$J$2:$J$10000,0),11))</f>
        <v/>
      </c>
      <c r="I225" t="str">
        <f t="array" ref="I225">IF($A225="","",INDEX(JupData!$A$2:$K$10000,MATCH($A225&amp;I$1,JupData!$A$2:$A$10000&amp;JupData!$J$2:$J$10000,0),11))</f>
        <v/>
      </c>
      <c r="J225" t="str">
        <f t="array" ref="J225">IF($A225="","",INDEX(JupData!$A$2:$K$10000,MATCH($A225&amp;J$1,JupData!$A$2:$A$10000&amp;JupData!$J$2:$J$10000,0),11))</f>
        <v/>
      </c>
      <c r="K225" t="str">
        <f t="array" ref="K225">IF($A225="","",INDEX(JupData!$A$2:$K$10000,MATCH($A225&amp;K$1,JupData!$A$2:$A$10000&amp;JupData!$J$2:$J$10000,0),11))</f>
        <v/>
      </c>
      <c r="L225" t="str">
        <f t="array" ref="L225">IF($A225="","",INDEX(JupData!$A$2:$K$10000,MATCH($A225&amp;L$1,JupData!$A$2:$A$10000&amp;JupData!$J$2:$J$10000,0),11))</f>
        <v/>
      </c>
      <c r="M225" t="str">
        <f t="array" ref="M225">IF($A225="","",INDEX(JupData!$A$2:$K$10000,MATCH($A225&amp;M$1,JupData!$A$2:$A$10000&amp;JupData!$J$2:$J$10000,0),11))</f>
        <v/>
      </c>
      <c r="N225" t="str">
        <f t="array" ref="N225">IF($A225="","",INDEX(JupData!$A$2:$K$10000,MATCH($A225&amp;N$1,JupData!$A$2:$A$10000&amp;JupData!$J$2:$J$10000,0),11))</f>
        <v/>
      </c>
      <c r="O225" t="str">
        <f t="array" ref="O225">IF($A225="","",INDEX(JupData!$A$2:$K$10000,MATCH($A225&amp;O$1,JupData!$A$2:$A$10000&amp;JupData!$J$2:$J$10000,0),11))</f>
        <v/>
      </c>
      <c r="P225" t="str">
        <f t="array" ref="P225">IF($A225="","",INDEX(JupData!$A$2:$K$10000,MATCH($A225&amp;P$1,JupData!$A$2:$A$10000&amp;JupData!$J$2:$J$10000,0),11))</f>
        <v/>
      </c>
      <c r="Q225" t="str">
        <f t="array" ref="Q225">IF($A225="","",INDEX(JupData!$A$2:$K$10000,MATCH($A225&amp;Q$1,JupData!$A$2:$A$10000&amp;JupData!$J$2:$J$10000,0),11))</f>
        <v/>
      </c>
      <c r="R225" t="str">
        <f t="array" ref="R225">IF($A225="","",INDEX(JupData!$A$2:$K$10000,MATCH($A225&amp;R$1,JupData!$A$2:$A$10000&amp;JupData!$J$2:$J$10000,0),11))</f>
        <v/>
      </c>
      <c r="S225" t="str">
        <f t="array" ref="S225">IF($A225="","",INDEX(JupData!$A$2:$K$10000,MATCH($A225&amp;S$1,JupData!$A$2:$A$10000&amp;JupData!$J$2:$J$10000,0),11))</f>
        <v/>
      </c>
      <c r="T225" t="str">
        <f t="array" ref="T225">IF($A225="","",INDEX(JupData!$A$2:$K$10000,MATCH($A225&amp;T$1,JupData!$A$2:$A$10000&amp;JupData!$J$2:$J$10000,0),11))</f>
        <v/>
      </c>
      <c r="U225" t="str">
        <f t="array" ref="U225">IF($A225="","",INDEX(JupData!$A$2:$K$10000,MATCH($A225&amp;U$1,JupData!$A$2:$A$10000&amp;JupData!$J$2:$J$10000,0),11))</f>
        <v/>
      </c>
      <c r="V225" t="str">
        <f t="array" ref="V225">IF($A225="","",INDEX(JupData!$A$2:$K$10000,MATCH($A225&amp;V$1,JupData!$A$2:$A$10000&amp;JupData!$J$2:$J$10000,0),11))</f>
        <v/>
      </c>
      <c r="W225" t="str">
        <f t="array" ref="W225">IF($A225="","",INDEX(JupData!$A$2:$K$10000,MATCH($A225&amp;W$1,JupData!$A$2:$A$10000&amp;JupData!$J$2:$J$10000,0),11))</f>
        <v/>
      </c>
      <c r="X225" t="str">
        <f t="array" ref="X225">IF($A225="","",INDEX(JupData!$A$2:$K$10000,MATCH($A225&amp;X$1,JupData!$A$2:$A$10000&amp;JupData!$J$2:$J$10000,0),11))</f>
        <v/>
      </c>
      <c r="Y225" t="str">
        <f t="array" ref="Y225">IF($A225="","",INDEX(JupData!$A$2:$K$10000,MATCH($A225&amp;Y$1,JupData!$A$2:$A$10000&amp;JupData!$J$2:$J$10000,0),11))</f>
        <v/>
      </c>
      <c r="Z225" t="str">
        <f t="array" ref="Z225">IF($A225="","",INDEX(JupData!$A$2:$K$10000,MATCH($A225&amp;Z$1,JupData!$A$2:$A$10000&amp;JupData!$J$2:$J$10000,0),11))</f>
        <v/>
      </c>
      <c r="AA225" t="str">
        <f t="array" ref="AA225">IF($A225="","",INDEX(JupData!$A$2:$K$10000,MATCH($A225&amp;AA$1,JupData!$A$2:$A$10000&amp;JupData!$J$2:$J$10000,0),11))</f>
        <v/>
      </c>
      <c r="AB225" t="str">
        <f t="array" ref="AB225">IF($A225="","",INDEX(JupData!$A$2:$K$10000,MATCH($A225&amp;AB$1,JupData!$A$2:$A$10000&amp;JupData!$J$2:$J$10000,0),11))</f>
        <v/>
      </c>
      <c r="AC225" s="10" t="str">
        <f t="shared" si="33"/>
        <v/>
      </c>
      <c r="AD225" s="10" t="str">
        <f t="shared" si="34"/>
        <v/>
      </c>
      <c r="AE225" s="9" t="str">
        <f t="shared" si="35"/>
        <v/>
      </c>
      <c r="AF225" s="10" t="str">
        <f t="shared" si="36"/>
        <v/>
      </c>
      <c r="AG225" s="10" t="str">
        <f t="shared" si="37"/>
        <v/>
      </c>
      <c r="AH225" s="10" t="str">
        <f t="shared" si="38"/>
        <v/>
      </c>
      <c r="AI225" s="10" t="str">
        <f t="shared" si="39"/>
        <v/>
      </c>
      <c r="AJ225" s="10" t="str">
        <f t="shared" si="40"/>
        <v/>
      </c>
      <c r="AK225" s="10" t="str">
        <f t="shared" si="41"/>
        <v/>
      </c>
      <c r="AL225" s="14" t="str">
        <f t="shared" si="42"/>
        <v/>
      </c>
    </row>
    <row r="226" spans="1:38" x14ac:dyDescent="0.2">
      <c r="A226"/>
      <c r="B226" t="str">
        <f>IF($A226="","",VLOOKUP($A226,JupData!$A$2:$I$10000,4,FALSE))</f>
        <v/>
      </c>
      <c r="C226" s="7" t="str">
        <f>IF($A226="",IF(N(D226),0,""),VLOOKUP($A226,JupData!$A$2:$I$10000,7,FALSE))</f>
        <v/>
      </c>
      <c r="D226" t="str">
        <f t="shared" si="43"/>
        <v/>
      </c>
      <c r="E226" t="str">
        <f t="array" ref="E226">IF($A226="","",INDEX(JupData!$A$2:$K$10000,MATCH($A226&amp;E$1,JupData!$A$2:$A$10000&amp;JupData!$J$2:$J$10000,0),11))</f>
        <v/>
      </c>
      <c r="F226" t="str">
        <f t="array" ref="F226">IF($A226="","",INDEX(JupData!$A$2:$K$10000,MATCH($A226&amp;F$1,JupData!$A$2:$A$10000&amp;JupData!$J$2:$J$10000,0),11))</f>
        <v/>
      </c>
      <c r="G226" t="str">
        <f t="array" ref="G226">IF($A226="","",INDEX(JupData!$A$2:$K$10000,MATCH($A226&amp;G$1,JupData!$A$2:$A$10000&amp;JupData!$J$2:$J$10000,0),11))</f>
        <v/>
      </c>
      <c r="H226" t="str">
        <f t="array" ref="H226">IF($A226="","",INDEX(JupData!$A$2:$K$10000,MATCH($A226&amp;H$1,JupData!$A$2:$A$10000&amp;JupData!$J$2:$J$10000,0),11))</f>
        <v/>
      </c>
      <c r="I226" t="str">
        <f t="array" ref="I226">IF($A226="","",INDEX(JupData!$A$2:$K$10000,MATCH($A226&amp;I$1,JupData!$A$2:$A$10000&amp;JupData!$J$2:$J$10000,0),11))</f>
        <v/>
      </c>
      <c r="J226" t="str">
        <f t="array" ref="J226">IF($A226="","",INDEX(JupData!$A$2:$K$10000,MATCH($A226&amp;J$1,JupData!$A$2:$A$10000&amp;JupData!$J$2:$J$10000,0),11))</f>
        <v/>
      </c>
      <c r="K226" t="str">
        <f t="array" ref="K226">IF($A226="","",INDEX(JupData!$A$2:$K$10000,MATCH($A226&amp;K$1,JupData!$A$2:$A$10000&amp;JupData!$J$2:$J$10000,0),11))</f>
        <v/>
      </c>
      <c r="L226" t="str">
        <f t="array" ref="L226">IF($A226="","",INDEX(JupData!$A$2:$K$10000,MATCH($A226&amp;L$1,JupData!$A$2:$A$10000&amp;JupData!$J$2:$J$10000,0),11))</f>
        <v/>
      </c>
      <c r="M226" t="str">
        <f t="array" ref="M226">IF($A226="","",INDEX(JupData!$A$2:$K$10000,MATCH($A226&amp;M$1,JupData!$A$2:$A$10000&amp;JupData!$J$2:$J$10000,0),11))</f>
        <v/>
      </c>
      <c r="N226" t="str">
        <f t="array" ref="N226">IF($A226="","",INDEX(JupData!$A$2:$K$10000,MATCH($A226&amp;N$1,JupData!$A$2:$A$10000&amp;JupData!$J$2:$J$10000,0),11))</f>
        <v/>
      </c>
      <c r="O226" t="str">
        <f t="array" ref="O226">IF($A226="","",INDEX(JupData!$A$2:$K$10000,MATCH($A226&amp;O$1,JupData!$A$2:$A$10000&amp;JupData!$J$2:$J$10000,0),11))</f>
        <v/>
      </c>
      <c r="P226" t="str">
        <f t="array" ref="P226">IF($A226="","",INDEX(JupData!$A$2:$K$10000,MATCH($A226&amp;P$1,JupData!$A$2:$A$10000&amp;JupData!$J$2:$J$10000,0),11))</f>
        <v/>
      </c>
      <c r="Q226" t="str">
        <f t="array" ref="Q226">IF($A226="","",INDEX(JupData!$A$2:$K$10000,MATCH($A226&amp;Q$1,JupData!$A$2:$A$10000&amp;JupData!$J$2:$J$10000,0),11))</f>
        <v/>
      </c>
      <c r="R226" t="str">
        <f t="array" ref="R226">IF($A226="","",INDEX(JupData!$A$2:$K$10000,MATCH($A226&amp;R$1,JupData!$A$2:$A$10000&amp;JupData!$J$2:$J$10000,0),11))</f>
        <v/>
      </c>
      <c r="S226" t="str">
        <f t="array" ref="S226">IF($A226="","",INDEX(JupData!$A$2:$K$10000,MATCH($A226&amp;S$1,JupData!$A$2:$A$10000&amp;JupData!$J$2:$J$10000,0),11))</f>
        <v/>
      </c>
      <c r="T226" t="str">
        <f t="array" ref="T226">IF($A226="","",INDEX(JupData!$A$2:$K$10000,MATCH($A226&amp;T$1,JupData!$A$2:$A$10000&amp;JupData!$J$2:$J$10000,0),11))</f>
        <v/>
      </c>
      <c r="U226" t="str">
        <f t="array" ref="U226">IF($A226="","",INDEX(JupData!$A$2:$K$10000,MATCH($A226&amp;U$1,JupData!$A$2:$A$10000&amp;JupData!$J$2:$J$10000,0),11))</f>
        <v/>
      </c>
      <c r="V226" t="str">
        <f t="array" ref="V226">IF($A226="","",INDEX(JupData!$A$2:$K$10000,MATCH($A226&amp;V$1,JupData!$A$2:$A$10000&amp;JupData!$J$2:$J$10000,0),11))</f>
        <v/>
      </c>
      <c r="W226" t="str">
        <f t="array" ref="W226">IF($A226="","",INDEX(JupData!$A$2:$K$10000,MATCH($A226&amp;W$1,JupData!$A$2:$A$10000&amp;JupData!$J$2:$J$10000,0),11))</f>
        <v/>
      </c>
      <c r="X226" t="str">
        <f t="array" ref="X226">IF($A226="","",INDEX(JupData!$A$2:$K$10000,MATCH($A226&amp;X$1,JupData!$A$2:$A$10000&amp;JupData!$J$2:$J$10000,0),11))</f>
        <v/>
      </c>
      <c r="Y226" t="str">
        <f t="array" ref="Y226">IF($A226="","",INDEX(JupData!$A$2:$K$10000,MATCH($A226&amp;Y$1,JupData!$A$2:$A$10000&amp;JupData!$J$2:$J$10000,0),11))</f>
        <v/>
      </c>
      <c r="Z226" t="str">
        <f t="array" ref="Z226">IF($A226="","",INDEX(JupData!$A$2:$K$10000,MATCH($A226&amp;Z$1,JupData!$A$2:$A$10000&amp;JupData!$J$2:$J$10000,0),11))</f>
        <v/>
      </c>
      <c r="AA226" t="str">
        <f t="array" ref="AA226">IF($A226="","",INDEX(JupData!$A$2:$K$10000,MATCH($A226&amp;AA$1,JupData!$A$2:$A$10000&amp;JupData!$J$2:$J$10000,0),11))</f>
        <v/>
      </c>
      <c r="AB226" t="str">
        <f t="array" ref="AB226">IF($A226="","",INDEX(JupData!$A$2:$K$10000,MATCH($A226&amp;AB$1,JupData!$A$2:$A$10000&amp;JupData!$J$2:$J$10000,0),11))</f>
        <v/>
      </c>
      <c r="AC226" s="10" t="str">
        <f t="shared" si="33"/>
        <v/>
      </c>
      <c r="AD226" s="10" t="str">
        <f t="shared" si="34"/>
        <v/>
      </c>
      <c r="AE226" s="9" t="str">
        <f t="shared" si="35"/>
        <v/>
      </c>
      <c r="AF226" s="10" t="str">
        <f t="shared" si="36"/>
        <v/>
      </c>
      <c r="AG226" s="10" t="str">
        <f t="shared" si="37"/>
        <v/>
      </c>
      <c r="AH226" s="10" t="str">
        <f t="shared" si="38"/>
        <v/>
      </c>
      <c r="AI226" s="10" t="str">
        <f t="shared" si="39"/>
        <v/>
      </c>
      <c r="AJ226" s="10" t="str">
        <f t="shared" si="40"/>
        <v/>
      </c>
      <c r="AK226" s="10" t="str">
        <f t="shared" si="41"/>
        <v/>
      </c>
      <c r="AL226" s="14" t="str">
        <f t="shared" si="42"/>
        <v/>
      </c>
    </row>
    <row r="227" spans="1:38" x14ac:dyDescent="0.2">
      <c r="A227"/>
      <c r="B227" t="str">
        <f>IF($A227="","",VLOOKUP($A227,JupData!$A$2:$I$10000,4,FALSE))</f>
        <v/>
      </c>
      <c r="C227" s="7" t="str">
        <f>IF($A227="",IF(N(D227),0,""),VLOOKUP($A227,JupData!$A$2:$I$10000,7,FALSE))</f>
        <v/>
      </c>
      <c r="D227" t="str">
        <f t="shared" si="43"/>
        <v/>
      </c>
      <c r="E227" t="str">
        <f t="array" ref="E227">IF($A227="","",INDEX(JupData!$A$2:$K$10000,MATCH($A227&amp;E$1,JupData!$A$2:$A$10000&amp;JupData!$J$2:$J$10000,0),11))</f>
        <v/>
      </c>
      <c r="F227" t="str">
        <f t="array" ref="F227">IF($A227="","",INDEX(JupData!$A$2:$K$10000,MATCH($A227&amp;F$1,JupData!$A$2:$A$10000&amp;JupData!$J$2:$J$10000,0),11))</f>
        <v/>
      </c>
      <c r="G227" t="str">
        <f t="array" ref="G227">IF($A227="","",INDEX(JupData!$A$2:$K$10000,MATCH($A227&amp;G$1,JupData!$A$2:$A$10000&amp;JupData!$J$2:$J$10000,0),11))</f>
        <v/>
      </c>
      <c r="H227" t="str">
        <f t="array" ref="H227">IF($A227="","",INDEX(JupData!$A$2:$K$10000,MATCH($A227&amp;H$1,JupData!$A$2:$A$10000&amp;JupData!$J$2:$J$10000,0),11))</f>
        <v/>
      </c>
      <c r="I227" t="str">
        <f t="array" ref="I227">IF($A227="","",INDEX(JupData!$A$2:$K$10000,MATCH($A227&amp;I$1,JupData!$A$2:$A$10000&amp;JupData!$J$2:$J$10000,0),11))</f>
        <v/>
      </c>
      <c r="J227" t="str">
        <f t="array" ref="J227">IF($A227="","",INDEX(JupData!$A$2:$K$10000,MATCH($A227&amp;J$1,JupData!$A$2:$A$10000&amp;JupData!$J$2:$J$10000,0),11))</f>
        <v/>
      </c>
      <c r="K227" t="str">
        <f t="array" ref="K227">IF($A227="","",INDEX(JupData!$A$2:$K$10000,MATCH($A227&amp;K$1,JupData!$A$2:$A$10000&amp;JupData!$J$2:$J$10000,0),11))</f>
        <v/>
      </c>
      <c r="L227" t="str">
        <f t="array" ref="L227">IF($A227="","",INDEX(JupData!$A$2:$K$10000,MATCH($A227&amp;L$1,JupData!$A$2:$A$10000&amp;JupData!$J$2:$J$10000,0),11))</f>
        <v/>
      </c>
      <c r="M227" t="str">
        <f t="array" ref="M227">IF($A227="","",INDEX(JupData!$A$2:$K$10000,MATCH($A227&amp;M$1,JupData!$A$2:$A$10000&amp;JupData!$J$2:$J$10000,0),11))</f>
        <v/>
      </c>
      <c r="N227" t="str">
        <f t="array" ref="N227">IF($A227="","",INDEX(JupData!$A$2:$K$10000,MATCH($A227&amp;N$1,JupData!$A$2:$A$10000&amp;JupData!$J$2:$J$10000,0),11))</f>
        <v/>
      </c>
      <c r="O227" t="str">
        <f t="array" ref="O227">IF($A227="","",INDEX(JupData!$A$2:$K$10000,MATCH($A227&amp;O$1,JupData!$A$2:$A$10000&amp;JupData!$J$2:$J$10000,0),11))</f>
        <v/>
      </c>
      <c r="P227" t="str">
        <f t="array" ref="P227">IF($A227="","",INDEX(JupData!$A$2:$K$10000,MATCH($A227&amp;P$1,JupData!$A$2:$A$10000&amp;JupData!$J$2:$J$10000,0),11))</f>
        <v/>
      </c>
      <c r="Q227" t="str">
        <f t="array" ref="Q227">IF($A227="","",INDEX(JupData!$A$2:$K$10000,MATCH($A227&amp;Q$1,JupData!$A$2:$A$10000&amp;JupData!$J$2:$J$10000,0),11))</f>
        <v/>
      </c>
      <c r="R227" t="str">
        <f t="array" ref="R227">IF($A227="","",INDEX(JupData!$A$2:$K$10000,MATCH($A227&amp;R$1,JupData!$A$2:$A$10000&amp;JupData!$J$2:$J$10000,0),11))</f>
        <v/>
      </c>
      <c r="S227" t="str">
        <f t="array" ref="S227">IF($A227="","",INDEX(JupData!$A$2:$K$10000,MATCH($A227&amp;S$1,JupData!$A$2:$A$10000&amp;JupData!$J$2:$J$10000,0),11))</f>
        <v/>
      </c>
      <c r="T227" t="str">
        <f t="array" ref="T227">IF($A227="","",INDEX(JupData!$A$2:$K$10000,MATCH($A227&amp;T$1,JupData!$A$2:$A$10000&amp;JupData!$J$2:$J$10000,0),11))</f>
        <v/>
      </c>
      <c r="U227" t="str">
        <f t="array" ref="U227">IF($A227="","",INDEX(JupData!$A$2:$K$10000,MATCH($A227&amp;U$1,JupData!$A$2:$A$10000&amp;JupData!$J$2:$J$10000,0),11))</f>
        <v/>
      </c>
      <c r="V227" t="str">
        <f t="array" ref="V227">IF($A227="","",INDEX(JupData!$A$2:$K$10000,MATCH($A227&amp;V$1,JupData!$A$2:$A$10000&amp;JupData!$J$2:$J$10000,0),11))</f>
        <v/>
      </c>
      <c r="W227" t="str">
        <f t="array" ref="W227">IF($A227="","",INDEX(JupData!$A$2:$K$10000,MATCH($A227&amp;W$1,JupData!$A$2:$A$10000&amp;JupData!$J$2:$J$10000,0),11))</f>
        <v/>
      </c>
      <c r="X227" t="str">
        <f t="array" ref="X227">IF($A227="","",INDEX(JupData!$A$2:$K$10000,MATCH($A227&amp;X$1,JupData!$A$2:$A$10000&amp;JupData!$J$2:$J$10000,0),11))</f>
        <v/>
      </c>
      <c r="Y227" t="str">
        <f t="array" ref="Y227">IF($A227="","",INDEX(JupData!$A$2:$K$10000,MATCH($A227&amp;Y$1,JupData!$A$2:$A$10000&amp;JupData!$J$2:$J$10000,0),11))</f>
        <v/>
      </c>
      <c r="Z227" t="str">
        <f t="array" ref="Z227">IF($A227="","",INDEX(JupData!$A$2:$K$10000,MATCH($A227&amp;Z$1,JupData!$A$2:$A$10000&amp;JupData!$J$2:$J$10000,0),11))</f>
        <v/>
      </c>
      <c r="AA227" t="str">
        <f t="array" ref="AA227">IF($A227="","",INDEX(JupData!$A$2:$K$10000,MATCH($A227&amp;AA$1,JupData!$A$2:$A$10000&amp;JupData!$J$2:$J$10000,0),11))</f>
        <v/>
      </c>
      <c r="AB227" t="str">
        <f t="array" ref="AB227">IF($A227="","",INDEX(JupData!$A$2:$K$10000,MATCH($A227&amp;AB$1,JupData!$A$2:$A$10000&amp;JupData!$J$2:$J$10000,0),11))</f>
        <v/>
      </c>
      <c r="AC227" s="10" t="str">
        <f t="shared" si="33"/>
        <v/>
      </c>
      <c r="AD227" s="10" t="str">
        <f t="shared" si="34"/>
        <v/>
      </c>
      <c r="AE227" s="9" t="str">
        <f t="shared" si="35"/>
        <v/>
      </c>
      <c r="AF227" s="10" t="str">
        <f t="shared" si="36"/>
        <v/>
      </c>
      <c r="AG227" s="10" t="str">
        <f t="shared" si="37"/>
        <v/>
      </c>
      <c r="AH227" s="10" t="str">
        <f t="shared" si="38"/>
        <v/>
      </c>
      <c r="AI227" s="10" t="str">
        <f t="shared" si="39"/>
        <v/>
      </c>
      <c r="AJ227" s="10" t="str">
        <f t="shared" si="40"/>
        <v/>
      </c>
      <c r="AK227" s="10" t="str">
        <f t="shared" si="41"/>
        <v/>
      </c>
      <c r="AL227" s="14" t="str">
        <f t="shared" si="42"/>
        <v/>
      </c>
    </row>
    <row r="228" spans="1:38" x14ac:dyDescent="0.2">
      <c r="A228"/>
      <c r="B228" t="str">
        <f>IF($A228="","",VLOOKUP($A228,JupData!$A$2:$I$10000,4,FALSE))</f>
        <v/>
      </c>
      <c r="C228" s="7" t="str">
        <f>IF($A228="",IF(N(D228),0,""),VLOOKUP($A228,JupData!$A$2:$I$10000,7,FALSE))</f>
        <v/>
      </c>
      <c r="D228" t="str">
        <f t="shared" si="43"/>
        <v/>
      </c>
      <c r="E228" t="str">
        <f t="array" ref="E228">IF($A228="","",INDEX(JupData!$A$2:$K$10000,MATCH($A228&amp;E$1,JupData!$A$2:$A$10000&amp;JupData!$J$2:$J$10000,0),11))</f>
        <v/>
      </c>
      <c r="F228" t="str">
        <f t="array" ref="F228">IF($A228="","",INDEX(JupData!$A$2:$K$10000,MATCH($A228&amp;F$1,JupData!$A$2:$A$10000&amp;JupData!$J$2:$J$10000,0),11))</f>
        <v/>
      </c>
      <c r="G228" t="str">
        <f t="array" ref="G228">IF($A228="","",INDEX(JupData!$A$2:$K$10000,MATCH($A228&amp;G$1,JupData!$A$2:$A$10000&amp;JupData!$J$2:$J$10000,0),11))</f>
        <v/>
      </c>
      <c r="H228" t="str">
        <f t="array" ref="H228">IF($A228="","",INDEX(JupData!$A$2:$K$10000,MATCH($A228&amp;H$1,JupData!$A$2:$A$10000&amp;JupData!$J$2:$J$10000,0),11))</f>
        <v/>
      </c>
      <c r="I228" t="str">
        <f t="array" ref="I228">IF($A228="","",INDEX(JupData!$A$2:$K$10000,MATCH($A228&amp;I$1,JupData!$A$2:$A$10000&amp;JupData!$J$2:$J$10000,0),11))</f>
        <v/>
      </c>
      <c r="J228" t="str">
        <f t="array" ref="J228">IF($A228="","",INDEX(JupData!$A$2:$K$10000,MATCH($A228&amp;J$1,JupData!$A$2:$A$10000&amp;JupData!$J$2:$J$10000,0),11))</f>
        <v/>
      </c>
      <c r="K228" t="str">
        <f t="array" ref="K228">IF($A228="","",INDEX(JupData!$A$2:$K$10000,MATCH($A228&amp;K$1,JupData!$A$2:$A$10000&amp;JupData!$J$2:$J$10000,0),11))</f>
        <v/>
      </c>
      <c r="L228" t="str">
        <f t="array" ref="L228">IF($A228="","",INDEX(JupData!$A$2:$K$10000,MATCH($A228&amp;L$1,JupData!$A$2:$A$10000&amp;JupData!$J$2:$J$10000,0),11))</f>
        <v/>
      </c>
      <c r="M228" t="str">
        <f t="array" ref="M228">IF($A228="","",INDEX(JupData!$A$2:$K$10000,MATCH($A228&amp;M$1,JupData!$A$2:$A$10000&amp;JupData!$J$2:$J$10000,0),11))</f>
        <v/>
      </c>
      <c r="N228" t="str">
        <f t="array" ref="N228">IF($A228="","",INDEX(JupData!$A$2:$K$10000,MATCH($A228&amp;N$1,JupData!$A$2:$A$10000&amp;JupData!$J$2:$J$10000,0),11))</f>
        <v/>
      </c>
      <c r="O228" t="str">
        <f t="array" ref="O228">IF($A228="","",INDEX(JupData!$A$2:$K$10000,MATCH($A228&amp;O$1,JupData!$A$2:$A$10000&amp;JupData!$J$2:$J$10000,0),11))</f>
        <v/>
      </c>
      <c r="P228" t="str">
        <f t="array" ref="P228">IF($A228="","",INDEX(JupData!$A$2:$K$10000,MATCH($A228&amp;P$1,JupData!$A$2:$A$10000&amp;JupData!$J$2:$J$10000,0),11))</f>
        <v/>
      </c>
      <c r="Q228" t="str">
        <f t="array" ref="Q228">IF($A228="","",INDEX(JupData!$A$2:$K$10000,MATCH($A228&amp;Q$1,JupData!$A$2:$A$10000&amp;JupData!$J$2:$J$10000,0),11))</f>
        <v/>
      </c>
      <c r="R228" t="str">
        <f t="array" ref="R228">IF($A228="","",INDEX(JupData!$A$2:$K$10000,MATCH($A228&amp;R$1,JupData!$A$2:$A$10000&amp;JupData!$J$2:$J$10000,0),11))</f>
        <v/>
      </c>
      <c r="S228" t="str">
        <f t="array" ref="S228">IF($A228="","",INDEX(JupData!$A$2:$K$10000,MATCH($A228&amp;S$1,JupData!$A$2:$A$10000&amp;JupData!$J$2:$J$10000,0),11))</f>
        <v/>
      </c>
      <c r="T228" t="str">
        <f t="array" ref="T228">IF($A228="","",INDEX(JupData!$A$2:$K$10000,MATCH($A228&amp;T$1,JupData!$A$2:$A$10000&amp;JupData!$J$2:$J$10000,0),11))</f>
        <v/>
      </c>
      <c r="U228" t="str">
        <f t="array" ref="U228">IF($A228="","",INDEX(JupData!$A$2:$K$10000,MATCH($A228&amp;U$1,JupData!$A$2:$A$10000&amp;JupData!$J$2:$J$10000,0),11))</f>
        <v/>
      </c>
      <c r="V228" t="str">
        <f t="array" ref="V228">IF($A228="","",INDEX(JupData!$A$2:$K$10000,MATCH($A228&amp;V$1,JupData!$A$2:$A$10000&amp;JupData!$J$2:$J$10000,0),11))</f>
        <v/>
      </c>
      <c r="W228" t="str">
        <f t="array" ref="W228">IF($A228="","",INDEX(JupData!$A$2:$K$10000,MATCH($A228&amp;W$1,JupData!$A$2:$A$10000&amp;JupData!$J$2:$J$10000,0),11))</f>
        <v/>
      </c>
      <c r="X228" t="str">
        <f t="array" ref="X228">IF($A228="","",INDEX(JupData!$A$2:$K$10000,MATCH($A228&amp;X$1,JupData!$A$2:$A$10000&amp;JupData!$J$2:$J$10000,0),11))</f>
        <v/>
      </c>
      <c r="Y228" t="str">
        <f t="array" ref="Y228">IF($A228="","",INDEX(JupData!$A$2:$K$10000,MATCH($A228&amp;Y$1,JupData!$A$2:$A$10000&amp;JupData!$J$2:$J$10000,0),11))</f>
        <v/>
      </c>
      <c r="Z228" t="str">
        <f t="array" ref="Z228">IF($A228="","",INDEX(JupData!$A$2:$K$10000,MATCH($A228&amp;Z$1,JupData!$A$2:$A$10000&amp;JupData!$J$2:$J$10000,0),11))</f>
        <v/>
      </c>
      <c r="AA228" t="str">
        <f t="array" ref="AA228">IF($A228="","",INDEX(JupData!$A$2:$K$10000,MATCH($A228&amp;AA$1,JupData!$A$2:$A$10000&amp;JupData!$J$2:$J$10000,0),11))</f>
        <v/>
      </c>
      <c r="AB228" t="str">
        <f t="array" ref="AB228">IF($A228="","",INDEX(JupData!$A$2:$K$10000,MATCH($A228&amp;AB$1,JupData!$A$2:$A$10000&amp;JupData!$J$2:$J$10000,0),11))</f>
        <v/>
      </c>
      <c r="AC228" s="10" t="str">
        <f t="shared" si="33"/>
        <v/>
      </c>
      <c r="AD228" s="10" t="str">
        <f t="shared" si="34"/>
        <v/>
      </c>
      <c r="AE228" s="9" t="str">
        <f t="shared" si="35"/>
        <v/>
      </c>
      <c r="AF228" s="10" t="str">
        <f t="shared" si="36"/>
        <v/>
      </c>
      <c r="AG228" s="10" t="str">
        <f t="shared" si="37"/>
        <v/>
      </c>
      <c r="AH228" s="10" t="str">
        <f t="shared" si="38"/>
        <v/>
      </c>
      <c r="AI228" s="10" t="str">
        <f t="shared" si="39"/>
        <v/>
      </c>
      <c r="AJ228" s="10" t="str">
        <f t="shared" si="40"/>
        <v/>
      </c>
      <c r="AK228" s="10" t="str">
        <f t="shared" si="41"/>
        <v/>
      </c>
      <c r="AL228" s="14" t="str">
        <f t="shared" si="42"/>
        <v/>
      </c>
    </row>
    <row r="229" spans="1:38" x14ac:dyDescent="0.2">
      <c r="A229"/>
      <c r="B229" t="str">
        <f>IF($A229="","",VLOOKUP($A229,JupData!$A$2:$I$10000,4,FALSE))</f>
        <v/>
      </c>
      <c r="C229" s="7" t="str">
        <f>IF($A229="",IF(N(D229),0,""),VLOOKUP($A229,JupData!$A$2:$I$10000,7,FALSE))</f>
        <v/>
      </c>
      <c r="D229" t="str">
        <f t="shared" si="43"/>
        <v/>
      </c>
      <c r="E229" t="str">
        <f t="array" ref="E229">IF($A229="","",INDEX(JupData!$A$2:$K$10000,MATCH($A229&amp;E$1,JupData!$A$2:$A$10000&amp;JupData!$J$2:$J$10000,0),11))</f>
        <v/>
      </c>
      <c r="F229" t="str">
        <f t="array" ref="F229">IF($A229="","",INDEX(JupData!$A$2:$K$10000,MATCH($A229&amp;F$1,JupData!$A$2:$A$10000&amp;JupData!$J$2:$J$10000,0),11))</f>
        <v/>
      </c>
      <c r="G229" t="str">
        <f t="array" ref="G229">IF($A229="","",INDEX(JupData!$A$2:$K$10000,MATCH($A229&amp;G$1,JupData!$A$2:$A$10000&amp;JupData!$J$2:$J$10000,0),11))</f>
        <v/>
      </c>
      <c r="H229" t="str">
        <f t="array" ref="H229">IF($A229="","",INDEX(JupData!$A$2:$K$10000,MATCH($A229&amp;H$1,JupData!$A$2:$A$10000&amp;JupData!$J$2:$J$10000,0),11))</f>
        <v/>
      </c>
      <c r="I229" t="str">
        <f t="array" ref="I229">IF($A229="","",INDEX(JupData!$A$2:$K$10000,MATCH($A229&amp;I$1,JupData!$A$2:$A$10000&amp;JupData!$J$2:$J$10000,0),11))</f>
        <v/>
      </c>
      <c r="J229" t="str">
        <f t="array" ref="J229">IF($A229="","",INDEX(JupData!$A$2:$K$10000,MATCH($A229&amp;J$1,JupData!$A$2:$A$10000&amp;JupData!$J$2:$J$10000,0),11))</f>
        <v/>
      </c>
      <c r="K229" t="str">
        <f t="array" ref="K229">IF($A229="","",INDEX(JupData!$A$2:$K$10000,MATCH($A229&amp;K$1,JupData!$A$2:$A$10000&amp;JupData!$J$2:$J$10000,0),11))</f>
        <v/>
      </c>
      <c r="L229" t="str">
        <f t="array" ref="L229">IF($A229="","",INDEX(JupData!$A$2:$K$10000,MATCH($A229&amp;L$1,JupData!$A$2:$A$10000&amp;JupData!$J$2:$J$10000,0),11))</f>
        <v/>
      </c>
      <c r="M229" t="str">
        <f t="array" ref="M229">IF($A229="","",INDEX(JupData!$A$2:$K$10000,MATCH($A229&amp;M$1,JupData!$A$2:$A$10000&amp;JupData!$J$2:$J$10000,0),11))</f>
        <v/>
      </c>
      <c r="N229" t="str">
        <f t="array" ref="N229">IF($A229="","",INDEX(JupData!$A$2:$K$10000,MATCH($A229&amp;N$1,JupData!$A$2:$A$10000&amp;JupData!$J$2:$J$10000,0),11))</f>
        <v/>
      </c>
      <c r="O229" t="str">
        <f t="array" ref="O229">IF($A229="","",INDEX(JupData!$A$2:$K$10000,MATCH($A229&amp;O$1,JupData!$A$2:$A$10000&amp;JupData!$J$2:$J$10000,0),11))</f>
        <v/>
      </c>
      <c r="P229" t="str">
        <f t="array" ref="P229">IF($A229="","",INDEX(JupData!$A$2:$K$10000,MATCH($A229&amp;P$1,JupData!$A$2:$A$10000&amp;JupData!$J$2:$J$10000,0),11))</f>
        <v/>
      </c>
      <c r="Q229" t="str">
        <f t="array" ref="Q229">IF($A229="","",INDEX(JupData!$A$2:$K$10000,MATCH($A229&amp;Q$1,JupData!$A$2:$A$10000&amp;JupData!$J$2:$J$10000,0),11))</f>
        <v/>
      </c>
      <c r="R229" t="str">
        <f t="array" ref="R229">IF($A229="","",INDEX(JupData!$A$2:$K$10000,MATCH($A229&amp;R$1,JupData!$A$2:$A$10000&amp;JupData!$J$2:$J$10000,0),11))</f>
        <v/>
      </c>
      <c r="S229" t="str">
        <f t="array" ref="S229">IF($A229="","",INDEX(JupData!$A$2:$K$10000,MATCH($A229&amp;S$1,JupData!$A$2:$A$10000&amp;JupData!$J$2:$J$10000,0),11))</f>
        <v/>
      </c>
      <c r="T229" t="str">
        <f t="array" ref="T229">IF($A229="","",INDEX(JupData!$A$2:$K$10000,MATCH($A229&amp;T$1,JupData!$A$2:$A$10000&amp;JupData!$J$2:$J$10000,0),11))</f>
        <v/>
      </c>
      <c r="U229" t="str">
        <f t="array" ref="U229">IF($A229="","",INDEX(JupData!$A$2:$K$10000,MATCH($A229&amp;U$1,JupData!$A$2:$A$10000&amp;JupData!$J$2:$J$10000,0),11))</f>
        <v/>
      </c>
      <c r="V229" t="str">
        <f t="array" ref="V229">IF($A229="","",INDEX(JupData!$A$2:$K$10000,MATCH($A229&amp;V$1,JupData!$A$2:$A$10000&amp;JupData!$J$2:$J$10000,0),11))</f>
        <v/>
      </c>
      <c r="W229" t="str">
        <f t="array" ref="W229">IF($A229="","",INDEX(JupData!$A$2:$K$10000,MATCH($A229&amp;W$1,JupData!$A$2:$A$10000&amp;JupData!$J$2:$J$10000,0),11))</f>
        <v/>
      </c>
      <c r="X229" t="str">
        <f t="array" ref="X229">IF($A229="","",INDEX(JupData!$A$2:$K$10000,MATCH($A229&amp;X$1,JupData!$A$2:$A$10000&amp;JupData!$J$2:$J$10000,0),11))</f>
        <v/>
      </c>
      <c r="Y229" t="str">
        <f t="array" ref="Y229">IF($A229="","",INDEX(JupData!$A$2:$K$10000,MATCH($A229&amp;Y$1,JupData!$A$2:$A$10000&amp;JupData!$J$2:$J$10000,0),11))</f>
        <v/>
      </c>
      <c r="Z229" t="str">
        <f t="array" ref="Z229">IF($A229="","",INDEX(JupData!$A$2:$K$10000,MATCH($A229&amp;Z$1,JupData!$A$2:$A$10000&amp;JupData!$J$2:$J$10000,0),11))</f>
        <v/>
      </c>
      <c r="AA229" t="str">
        <f t="array" ref="AA229">IF($A229="","",INDEX(JupData!$A$2:$K$10000,MATCH($A229&amp;AA$1,JupData!$A$2:$A$10000&amp;JupData!$J$2:$J$10000,0),11))</f>
        <v/>
      </c>
      <c r="AB229" t="str">
        <f t="array" ref="AB229">IF($A229="","",INDEX(JupData!$A$2:$K$10000,MATCH($A229&amp;AB$1,JupData!$A$2:$A$10000&amp;JupData!$J$2:$J$10000,0),11))</f>
        <v/>
      </c>
      <c r="AC229" s="10" t="str">
        <f t="shared" si="33"/>
        <v/>
      </c>
      <c r="AD229" s="10" t="str">
        <f t="shared" si="34"/>
        <v/>
      </c>
      <c r="AE229" s="9" t="str">
        <f t="shared" si="35"/>
        <v/>
      </c>
      <c r="AF229" s="10" t="str">
        <f t="shared" si="36"/>
        <v/>
      </c>
      <c r="AG229" s="10" t="str">
        <f t="shared" si="37"/>
        <v/>
      </c>
      <c r="AH229" s="10" t="str">
        <f t="shared" si="38"/>
        <v/>
      </c>
      <c r="AI229" s="10" t="str">
        <f t="shared" si="39"/>
        <v/>
      </c>
      <c r="AJ229" s="10" t="str">
        <f t="shared" si="40"/>
        <v/>
      </c>
      <c r="AK229" s="10" t="str">
        <f t="shared" si="41"/>
        <v/>
      </c>
      <c r="AL229" s="14" t="str">
        <f t="shared" si="42"/>
        <v/>
      </c>
    </row>
    <row r="230" spans="1:38" x14ac:dyDescent="0.2">
      <c r="A230"/>
      <c r="B230" t="str">
        <f>IF($A230="","",VLOOKUP($A230,JupData!$A$2:$I$10000,4,FALSE))</f>
        <v/>
      </c>
      <c r="C230" s="7" t="str">
        <f>IF($A230="",IF(N(D230),0,""),VLOOKUP($A230,JupData!$A$2:$I$10000,7,FALSE))</f>
        <v/>
      </c>
      <c r="D230" t="str">
        <f t="shared" si="43"/>
        <v/>
      </c>
      <c r="E230" t="str">
        <f t="array" ref="E230">IF($A230="","",INDEX(JupData!$A$2:$K$10000,MATCH($A230&amp;E$1,JupData!$A$2:$A$10000&amp;JupData!$J$2:$J$10000,0),11))</f>
        <v/>
      </c>
      <c r="F230" t="str">
        <f t="array" ref="F230">IF($A230="","",INDEX(JupData!$A$2:$K$10000,MATCH($A230&amp;F$1,JupData!$A$2:$A$10000&amp;JupData!$J$2:$J$10000,0),11))</f>
        <v/>
      </c>
      <c r="G230" t="str">
        <f t="array" ref="G230">IF($A230="","",INDEX(JupData!$A$2:$K$10000,MATCH($A230&amp;G$1,JupData!$A$2:$A$10000&amp;JupData!$J$2:$J$10000,0),11))</f>
        <v/>
      </c>
      <c r="H230" t="str">
        <f t="array" ref="H230">IF($A230="","",INDEX(JupData!$A$2:$K$10000,MATCH($A230&amp;H$1,JupData!$A$2:$A$10000&amp;JupData!$J$2:$J$10000,0),11))</f>
        <v/>
      </c>
      <c r="I230" t="str">
        <f t="array" ref="I230">IF($A230="","",INDEX(JupData!$A$2:$K$10000,MATCH($A230&amp;I$1,JupData!$A$2:$A$10000&amp;JupData!$J$2:$J$10000,0),11))</f>
        <v/>
      </c>
      <c r="J230" t="str">
        <f t="array" ref="J230">IF($A230="","",INDEX(JupData!$A$2:$K$10000,MATCH($A230&amp;J$1,JupData!$A$2:$A$10000&amp;JupData!$J$2:$J$10000,0),11))</f>
        <v/>
      </c>
      <c r="K230" t="str">
        <f t="array" ref="K230">IF($A230="","",INDEX(JupData!$A$2:$K$10000,MATCH($A230&amp;K$1,JupData!$A$2:$A$10000&amp;JupData!$J$2:$J$10000,0),11))</f>
        <v/>
      </c>
      <c r="L230" t="str">
        <f t="array" ref="L230">IF($A230="","",INDEX(JupData!$A$2:$K$10000,MATCH($A230&amp;L$1,JupData!$A$2:$A$10000&amp;JupData!$J$2:$J$10000,0),11))</f>
        <v/>
      </c>
      <c r="M230" t="str">
        <f t="array" ref="M230">IF($A230="","",INDEX(JupData!$A$2:$K$10000,MATCH($A230&amp;M$1,JupData!$A$2:$A$10000&amp;JupData!$J$2:$J$10000,0),11))</f>
        <v/>
      </c>
      <c r="N230" t="str">
        <f t="array" ref="N230">IF($A230="","",INDEX(JupData!$A$2:$K$10000,MATCH($A230&amp;N$1,JupData!$A$2:$A$10000&amp;JupData!$J$2:$J$10000,0),11))</f>
        <v/>
      </c>
      <c r="O230" t="str">
        <f t="array" ref="O230">IF($A230="","",INDEX(JupData!$A$2:$K$10000,MATCH($A230&amp;O$1,JupData!$A$2:$A$10000&amp;JupData!$J$2:$J$10000,0),11))</f>
        <v/>
      </c>
      <c r="P230" t="str">
        <f t="array" ref="P230">IF($A230="","",INDEX(JupData!$A$2:$K$10000,MATCH($A230&amp;P$1,JupData!$A$2:$A$10000&amp;JupData!$J$2:$J$10000,0),11))</f>
        <v/>
      </c>
      <c r="Q230" t="str">
        <f t="array" ref="Q230">IF($A230="","",INDEX(JupData!$A$2:$K$10000,MATCH($A230&amp;Q$1,JupData!$A$2:$A$10000&amp;JupData!$J$2:$J$10000,0),11))</f>
        <v/>
      </c>
      <c r="R230" t="str">
        <f t="array" ref="R230">IF($A230="","",INDEX(JupData!$A$2:$K$10000,MATCH($A230&amp;R$1,JupData!$A$2:$A$10000&amp;JupData!$J$2:$J$10000,0),11))</f>
        <v/>
      </c>
      <c r="S230" t="str">
        <f t="array" ref="S230">IF($A230="","",INDEX(JupData!$A$2:$K$10000,MATCH($A230&amp;S$1,JupData!$A$2:$A$10000&amp;JupData!$J$2:$J$10000,0),11))</f>
        <v/>
      </c>
      <c r="T230" t="str">
        <f t="array" ref="T230">IF($A230="","",INDEX(JupData!$A$2:$K$10000,MATCH($A230&amp;T$1,JupData!$A$2:$A$10000&amp;JupData!$J$2:$J$10000,0),11))</f>
        <v/>
      </c>
      <c r="U230" t="str">
        <f t="array" ref="U230">IF($A230="","",INDEX(JupData!$A$2:$K$10000,MATCH($A230&amp;U$1,JupData!$A$2:$A$10000&amp;JupData!$J$2:$J$10000,0),11))</f>
        <v/>
      </c>
      <c r="V230" t="str">
        <f t="array" ref="V230">IF($A230="","",INDEX(JupData!$A$2:$K$10000,MATCH($A230&amp;V$1,JupData!$A$2:$A$10000&amp;JupData!$J$2:$J$10000,0),11))</f>
        <v/>
      </c>
      <c r="W230" t="str">
        <f t="array" ref="W230">IF($A230="","",INDEX(JupData!$A$2:$K$10000,MATCH($A230&amp;W$1,JupData!$A$2:$A$10000&amp;JupData!$J$2:$J$10000,0),11))</f>
        <v/>
      </c>
      <c r="X230" t="str">
        <f t="array" ref="X230">IF($A230="","",INDEX(JupData!$A$2:$K$10000,MATCH($A230&amp;X$1,JupData!$A$2:$A$10000&amp;JupData!$J$2:$J$10000,0),11))</f>
        <v/>
      </c>
      <c r="Y230" t="str">
        <f t="array" ref="Y230">IF($A230="","",INDEX(JupData!$A$2:$K$10000,MATCH($A230&amp;Y$1,JupData!$A$2:$A$10000&amp;JupData!$J$2:$J$10000,0),11))</f>
        <v/>
      </c>
      <c r="Z230" t="str">
        <f t="array" ref="Z230">IF($A230="","",INDEX(JupData!$A$2:$K$10000,MATCH($A230&amp;Z$1,JupData!$A$2:$A$10000&amp;JupData!$J$2:$J$10000,0),11))</f>
        <v/>
      </c>
      <c r="AA230" t="str">
        <f t="array" ref="AA230">IF($A230="","",INDEX(JupData!$A$2:$K$10000,MATCH($A230&amp;AA$1,JupData!$A$2:$A$10000&amp;JupData!$J$2:$J$10000,0),11))</f>
        <v/>
      </c>
      <c r="AB230" t="str">
        <f t="array" ref="AB230">IF($A230="","",INDEX(JupData!$A$2:$K$10000,MATCH($A230&amp;AB$1,JupData!$A$2:$A$10000&amp;JupData!$J$2:$J$10000,0),11))</f>
        <v/>
      </c>
      <c r="AC230" s="10" t="str">
        <f t="shared" si="33"/>
        <v/>
      </c>
      <c r="AD230" s="10" t="str">
        <f t="shared" si="34"/>
        <v/>
      </c>
      <c r="AE230" s="9" t="str">
        <f t="shared" si="35"/>
        <v/>
      </c>
      <c r="AF230" s="10" t="str">
        <f t="shared" si="36"/>
        <v/>
      </c>
      <c r="AG230" s="10" t="str">
        <f t="shared" si="37"/>
        <v/>
      </c>
      <c r="AH230" s="10" t="str">
        <f t="shared" si="38"/>
        <v/>
      </c>
      <c r="AI230" s="10" t="str">
        <f t="shared" si="39"/>
        <v/>
      </c>
      <c r="AJ230" s="10" t="str">
        <f t="shared" si="40"/>
        <v/>
      </c>
      <c r="AK230" s="10" t="str">
        <f t="shared" si="41"/>
        <v/>
      </c>
      <c r="AL230" s="14" t="str">
        <f t="shared" si="42"/>
        <v/>
      </c>
    </row>
    <row r="231" spans="1:38" x14ac:dyDescent="0.2">
      <c r="A231"/>
      <c r="B231" t="str">
        <f>IF($A231="","",VLOOKUP($A231,JupData!$A$2:$I$10000,4,FALSE))</f>
        <v/>
      </c>
      <c r="C231" s="7" t="str">
        <f>IF($A231="",IF(N(D231),0,""),VLOOKUP($A231,JupData!$A$2:$I$10000,7,FALSE))</f>
        <v/>
      </c>
      <c r="D231" t="str">
        <f t="shared" si="43"/>
        <v/>
      </c>
      <c r="E231" t="str">
        <f t="array" ref="E231">IF($A231="","",INDEX(JupData!$A$2:$K$10000,MATCH($A231&amp;E$1,JupData!$A$2:$A$10000&amp;JupData!$J$2:$J$10000,0),11))</f>
        <v/>
      </c>
      <c r="F231" t="str">
        <f t="array" ref="F231">IF($A231="","",INDEX(JupData!$A$2:$K$10000,MATCH($A231&amp;F$1,JupData!$A$2:$A$10000&amp;JupData!$J$2:$J$10000,0),11))</f>
        <v/>
      </c>
      <c r="G231" t="str">
        <f t="array" ref="G231">IF($A231="","",INDEX(JupData!$A$2:$K$10000,MATCH($A231&amp;G$1,JupData!$A$2:$A$10000&amp;JupData!$J$2:$J$10000,0),11))</f>
        <v/>
      </c>
      <c r="H231" t="str">
        <f t="array" ref="H231">IF($A231="","",INDEX(JupData!$A$2:$K$10000,MATCH($A231&amp;H$1,JupData!$A$2:$A$10000&amp;JupData!$J$2:$J$10000,0),11))</f>
        <v/>
      </c>
      <c r="I231" t="str">
        <f t="array" ref="I231">IF($A231="","",INDEX(JupData!$A$2:$K$10000,MATCH($A231&amp;I$1,JupData!$A$2:$A$10000&amp;JupData!$J$2:$J$10000,0),11))</f>
        <v/>
      </c>
      <c r="J231" t="str">
        <f t="array" ref="J231">IF($A231="","",INDEX(JupData!$A$2:$K$10000,MATCH($A231&amp;J$1,JupData!$A$2:$A$10000&amp;JupData!$J$2:$J$10000,0),11))</f>
        <v/>
      </c>
      <c r="K231" t="str">
        <f t="array" ref="K231">IF($A231="","",INDEX(JupData!$A$2:$K$10000,MATCH($A231&amp;K$1,JupData!$A$2:$A$10000&amp;JupData!$J$2:$J$10000,0),11))</f>
        <v/>
      </c>
      <c r="L231" t="str">
        <f t="array" ref="L231">IF($A231="","",INDEX(JupData!$A$2:$K$10000,MATCH($A231&amp;L$1,JupData!$A$2:$A$10000&amp;JupData!$J$2:$J$10000,0),11))</f>
        <v/>
      </c>
      <c r="M231" t="str">
        <f t="array" ref="M231">IF($A231="","",INDEX(JupData!$A$2:$K$10000,MATCH($A231&amp;M$1,JupData!$A$2:$A$10000&amp;JupData!$J$2:$J$10000,0),11))</f>
        <v/>
      </c>
      <c r="N231" t="str">
        <f t="array" ref="N231">IF($A231="","",INDEX(JupData!$A$2:$K$10000,MATCH($A231&amp;N$1,JupData!$A$2:$A$10000&amp;JupData!$J$2:$J$10000,0),11))</f>
        <v/>
      </c>
      <c r="O231" t="str">
        <f t="array" ref="O231">IF($A231="","",INDEX(JupData!$A$2:$K$10000,MATCH($A231&amp;O$1,JupData!$A$2:$A$10000&amp;JupData!$J$2:$J$10000,0),11))</f>
        <v/>
      </c>
      <c r="P231" t="str">
        <f t="array" ref="P231">IF($A231="","",INDEX(JupData!$A$2:$K$10000,MATCH($A231&amp;P$1,JupData!$A$2:$A$10000&amp;JupData!$J$2:$J$10000,0),11))</f>
        <v/>
      </c>
      <c r="Q231" t="str">
        <f t="array" ref="Q231">IF($A231="","",INDEX(JupData!$A$2:$K$10000,MATCH($A231&amp;Q$1,JupData!$A$2:$A$10000&amp;JupData!$J$2:$J$10000,0),11))</f>
        <v/>
      </c>
      <c r="R231" t="str">
        <f t="array" ref="R231">IF($A231="","",INDEX(JupData!$A$2:$K$10000,MATCH($A231&amp;R$1,JupData!$A$2:$A$10000&amp;JupData!$J$2:$J$10000,0),11))</f>
        <v/>
      </c>
      <c r="S231" t="str">
        <f t="array" ref="S231">IF($A231="","",INDEX(JupData!$A$2:$K$10000,MATCH($A231&amp;S$1,JupData!$A$2:$A$10000&amp;JupData!$J$2:$J$10000,0),11))</f>
        <v/>
      </c>
      <c r="T231" t="str">
        <f t="array" ref="T231">IF($A231="","",INDEX(JupData!$A$2:$K$10000,MATCH($A231&amp;T$1,JupData!$A$2:$A$10000&amp;JupData!$J$2:$J$10000,0),11))</f>
        <v/>
      </c>
      <c r="U231" t="str">
        <f t="array" ref="U231">IF($A231="","",INDEX(JupData!$A$2:$K$10000,MATCH($A231&amp;U$1,JupData!$A$2:$A$10000&amp;JupData!$J$2:$J$10000,0),11))</f>
        <v/>
      </c>
      <c r="V231" t="str">
        <f t="array" ref="V231">IF($A231="","",INDEX(JupData!$A$2:$K$10000,MATCH($A231&amp;V$1,JupData!$A$2:$A$10000&amp;JupData!$J$2:$J$10000,0),11))</f>
        <v/>
      </c>
      <c r="W231" t="str">
        <f t="array" ref="W231">IF($A231="","",INDEX(JupData!$A$2:$K$10000,MATCH($A231&amp;W$1,JupData!$A$2:$A$10000&amp;JupData!$J$2:$J$10000,0),11))</f>
        <v/>
      </c>
      <c r="X231" t="str">
        <f t="array" ref="X231">IF($A231="","",INDEX(JupData!$A$2:$K$10000,MATCH($A231&amp;X$1,JupData!$A$2:$A$10000&amp;JupData!$J$2:$J$10000,0),11))</f>
        <v/>
      </c>
      <c r="Y231" t="str">
        <f t="array" ref="Y231">IF($A231="","",INDEX(JupData!$A$2:$K$10000,MATCH($A231&amp;Y$1,JupData!$A$2:$A$10000&amp;JupData!$J$2:$J$10000,0),11))</f>
        <v/>
      </c>
      <c r="Z231" t="str">
        <f t="array" ref="Z231">IF($A231="","",INDEX(JupData!$A$2:$K$10000,MATCH($A231&amp;Z$1,JupData!$A$2:$A$10000&amp;JupData!$J$2:$J$10000,0),11))</f>
        <v/>
      </c>
      <c r="AA231" t="str">
        <f t="array" ref="AA231">IF($A231="","",INDEX(JupData!$A$2:$K$10000,MATCH($A231&amp;AA$1,JupData!$A$2:$A$10000&amp;JupData!$J$2:$J$10000,0),11))</f>
        <v/>
      </c>
      <c r="AB231" t="str">
        <f t="array" ref="AB231">IF($A231="","",INDEX(JupData!$A$2:$K$10000,MATCH($A231&amp;AB$1,JupData!$A$2:$A$10000&amp;JupData!$J$2:$J$10000,0),11))</f>
        <v/>
      </c>
      <c r="AC231" s="10" t="str">
        <f t="shared" si="33"/>
        <v/>
      </c>
      <c r="AD231" s="10" t="str">
        <f t="shared" si="34"/>
        <v/>
      </c>
      <c r="AE231" s="9" t="str">
        <f t="shared" si="35"/>
        <v/>
      </c>
      <c r="AF231" s="10" t="str">
        <f t="shared" si="36"/>
        <v/>
      </c>
      <c r="AG231" s="10" t="str">
        <f t="shared" si="37"/>
        <v/>
      </c>
      <c r="AH231" s="10" t="str">
        <f t="shared" si="38"/>
        <v/>
      </c>
      <c r="AI231" s="10" t="str">
        <f t="shared" si="39"/>
        <v/>
      </c>
      <c r="AJ231" s="10" t="str">
        <f t="shared" si="40"/>
        <v/>
      </c>
      <c r="AK231" s="10" t="str">
        <f t="shared" si="41"/>
        <v/>
      </c>
      <c r="AL231" s="14" t="str">
        <f t="shared" si="42"/>
        <v/>
      </c>
    </row>
    <row r="232" spans="1:38" x14ac:dyDescent="0.2">
      <c r="A232"/>
      <c r="B232" t="str">
        <f>IF($A232="","",VLOOKUP($A232,JupData!$A$2:$I$10000,4,FALSE))</f>
        <v/>
      </c>
      <c r="C232" s="7" t="str">
        <f>IF($A232="",IF(N(D232),0,""),VLOOKUP($A232,JupData!$A$2:$I$10000,7,FALSE))</f>
        <v/>
      </c>
      <c r="D232" t="str">
        <f t="shared" si="43"/>
        <v/>
      </c>
      <c r="E232" t="str">
        <f t="array" ref="E232">IF($A232="","",INDEX(JupData!$A$2:$K$10000,MATCH($A232&amp;E$1,JupData!$A$2:$A$10000&amp;JupData!$J$2:$J$10000,0),11))</f>
        <v/>
      </c>
      <c r="F232" t="str">
        <f t="array" ref="F232">IF($A232="","",INDEX(JupData!$A$2:$K$10000,MATCH($A232&amp;F$1,JupData!$A$2:$A$10000&amp;JupData!$J$2:$J$10000,0),11))</f>
        <v/>
      </c>
      <c r="G232" t="str">
        <f t="array" ref="G232">IF($A232="","",INDEX(JupData!$A$2:$K$10000,MATCH($A232&amp;G$1,JupData!$A$2:$A$10000&amp;JupData!$J$2:$J$10000,0),11))</f>
        <v/>
      </c>
      <c r="H232" t="str">
        <f t="array" ref="H232">IF($A232="","",INDEX(JupData!$A$2:$K$10000,MATCH($A232&amp;H$1,JupData!$A$2:$A$10000&amp;JupData!$J$2:$J$10000,0),11))</f>
        <v/>
      </c>
      <c r="I232" t="str">
        <f t="array" ref="I232">IF($A232="","",INDEX(JupData!$A$2:$K$10000,MATCH($A232&amp;I$1,JupData!$A$2:$A$10000&amp;JupData!$J$2:$J$10000,0),11))</f>
        <v/>
      </c>
      <c r="J232" t="str">
        <f t="array" ref="J232">IF($A232="","",INDEX(JupData!$A$2:$K$10000,MATCH($A232&amp;J$1,JupData!$A$2:$A$10000&amp;JupData!$J$2:$J$10000,0),11))</f>
        <v/>
      </c>
      <c r="K232" t="str">
        <f t="array" ref="K232">IF($A232="","",INDEX(JupData!$A$2:$K$10000,MATCH($A232&amp;K$1,JupData!$A$2:$A$10000&amp;JupData!$J$2:$J$10000,0),11))</f>
        <v/>
      </c>
      <c r="L232" t="str">
        <f t="array" ref="L232">IF($A232="","",INDEX(JupData!$A$2:$K$10000,MATCH($A232&amp;L$1,JupData!$A$2:$A$10000&amp;JupData!$J$2:$J$10000,0),11))</f>
        <v/>
      </c>
      <c r="M232" t="str">
        <f t="array" ref="M232">IF($A232="","",INDEX(JupData!$A$2:$K$10000,MATCH($A232&amp;M$1,JupData!$A$2:$A$10000&amp;JupData!$J$2:$J$10000,0),11))</f>
        <v/>
      </c>
      <c r="N232" t="str">
        <f t="array" ref="N232">IF($A232="","",INDEX(JupData!$A$2:$K$10000,MATCH($A232&amp;N$1,JupData!$A$2:$A$10000&amp;JupData!$J$2:$J$10000,0),11))</f>
        <v/>
      </c>
      <c r="O232" t="str">
        <f t="array" ref="O232">IF($A232="","",INDEX(JupData!$A$2:$K$10000,MATCH($A232&amp;O$1,JupData!$A$2:$A$10000&amp;JupData!$J$2:$J$10000,0),11))</f>
        <v/>
      </c>
      <c r="P232" t="str">
        <f t="array" ref="P232">IF($A232="","",INDEX(JupData!$A$2:$K$10000,MATCH($A232&amp;P$1,JupData!$A$2:$A$10000&amp;JupData!$J$2:$J$10000,0),11))</f>
        <v/>
      </c>
      <c r="Q232" t="str">
        <f t="array" ref="Q232">IF($A232="","",INDEX(JupData!$A$2:$K$10000,MATCH($A232&amp;Q$1,JupData!$A$2:$A$10000&amp;JupData!$J$2:$J$10000,0),11))</f>
        <v/>
      </c>
      <c r="R232" t="str">
        <f t="array" ref="R232">IF($A232="","",INDEX(JupData!$A$2:$K$10000,MATCH($A232&amp;R$1,JupData!$A$2:$A$10000&amp;JupData!$J$2:$J$10000,0),11))</f>
        <v/>
      </c>
      <c r="S232" t="str">
        <f t="array" ref="S232">IF($A232="","",INDEX(JupData!$A$2:$K$10000,MATCH($A232&amp;S$1,JupData!$A$2:$A$10000&amp;JupData!$J$2:$J$10000,0),11))</f>
        <v/>
      </c>
      <c r="T232" t="str">
        <f t="array" ref="T232">IF($A232="","",INDEX(JupData!$A$2:$K$10000,MATCH($A232&amp;T$1,JupData!$A$2:$A$10000&amp;JupData!$J$2:$J$10000,0),11))</f>
        <v/>
      </c>
      <c r="U232" t="str">
        <f t="array" ref="U232">IF($A232="","",INDEX(JupData!$A$2:$K$10000,MATCH($A232&amp;U$1,JupData!$A$2:$A$10000&amp;JupData!$J$2:$J$10000,0),11))</f>
        <v/>
      </c>
      <c r="V232" t="str">
        <f t="array" ref="V232">IF($A232="","",INDEX(JupData!$A$2:$K$10000,MATCH($A232&amp;V$1,JupData!$A$2:$A$10000&amp;JupData!$J$2:$J$10000,0),11))</f>
        <v/>
      </c>
      <c r="W232" t="str">
        <f t="array" ref="W232">IF($A232="","",INDEX(JupData!$A$2:$K$10000,MATCH($A232&amp;W$1,JupData!$A$2:$A$10000&amp;JupData!$J$2:$J$10000,0),11))</f>
        <v/>
      </c>
      <c r="X232" t="str">
        <f t="array" ref="X232">IF($A232="","",INDEX(JupData!$A$2:$K$10000,MATCH($A232&amp;X$1,JupData!$A$2:$A$10000&amp;JupData!$J$2:$J$10000,0),11))</f>
        <v/>
      </c>
      <c r="Y232" t="str">
        <f t="array" ref="Y232">IF($A232="","",INDEX(JupData!$A$2:$K$10000,MATCH($A232&amp;Y$1,JupData!$A$2:$A$10000&amp;JupData!$J$2:$J$10000,0),11))</f>
        <v/>
      </c>
      <c r="Z232" t="str">
        <f t="array" ref="Z232">IF($A232="","",INDEX(JupData!$A$2:$K$10000,MATCH($A232&amp;Z$1,JupData!$A$2:$A$10000&amp;JupData!$J$2:$J$10000,0),11))</f>
        <v/>
      </c>
      <c r="AA232" t="str">
        <f t="array" ref="AA232">IF($A232="","",INDEX(JupData!$A$2:$K$10000,MATCH($A232&amp;AA$1,JupData!$A$2:$A$10000&amp;JupData!$J$2:$J$10000,0),11))</f>
        <v/>
      </c>
      <c r="AB232" t="str">
        <f t="array" ref="AB232">IF($A232="","",INDEX(JupData!$A$2:$K$10000,MATCH($A232&amp;AB$1,JupData!$A$2:$A$10000&amp;JupData!$J$2:$J$10000,0),11))</f>
        <v/>
      </c>
      <c r="AC232" s="10" t="str">
        <f t="shared" si="33"/>
        <v/>
      </c>
      <c r="AD232" s="10" t="str">
        <f t="shared" si="34"/>
        <v/>
      </c>
      <c r="AE232" s="9" t="str">
        <f t="shared" si="35"/>
        <v/>
      </c>
      <c r="AF232" s="10" t="str">
        <f t="shared" si="36"/>
        <v/>
      </c>
      <c r="AG232" s="10" t="str">
        <f t="shared" si="37"/>
        <v/>
      </c>
      <c r="AH232" s="10" t="str">
        <f t="shared" si="38"/>
        <v/>
      </c>
      <c r="AI232" s="10" t="str">
        <f t="shared" si="39"/>
        <v/>
      </c>
      <c r="AJ232" s="10" t="str">
        <f t="shared" si="40"/>
        <v/>
      </c>
      <c r="AK232" s="10" t="str">
        <f t="shared" si="41"/>
        <v/>
      </c>
      <c r="AL232" s="14" t="str">
        <f t="shared" si="42"/>
        <v/>
      </c>
    </row>
    <row r="233" spans="1:38" x14ac:dyDescent="0.2">
      <c r="A233"/>
      <c r="B233" t="str">
        <f>IF($A233="","",VLOOKUP($A233,JupData!$A$2:$I$10000,4,FALSE))</f>
        <v/>
      </c>
      <c r="C233" s="7" t="str">
        <f>IF($A233="",IF(N(D233),0,""),VLOOKUP($A233,JupData!$A$2:$I$10000,7,FALSE))</f>
        <v/>
      </c>
      <c r="D233" t="str">
        <f t="shared" si="43"/>
        <v/>
      </c>
      <c r="E233" t="str">
        <f t="array" ref="E233">IF($A233="","",INDEX(JupData!$A$2:$K$10000,MATCH($A233&amp;E$1,JupData!$A$2:$A$10000&amp;JupData!$J$2:$J$10000,0),11))</f>
        <v/>
      </c>
      <c r="F233" t="str">
        <f t="array" ref="F233">IF($A233="","",INDEX(JupData!$A$2:$K$10000,MATCH($A233&amp;F$1,JupData!$A$2:$A$10000&amp;JupData!$J$2:$J$10000,0),11))</f>
        <v/>
      </c>
      <c r="G233" t="str">
        <f t="array" ref="G233">IF($A233="","",INDEX(JupData!$A$2:$K$10000,MATCH($A233&amp;G$1,JupData!$A$2:$A$10000&amp;JupData!$J$2:$J$10000,0),11))</f>
        <v/>
      </c>
      <c r="H233" t="str">
        <f t="array" ref="H233">IF($A233="","",INDEX(JupData!$A$2:$K$10000,MATCH($A233&amp;H$1,JupData!$A$2:$A$10000&amp;JupData!$J$2:$J$10000,0),11))</f>
        <v/>
      </c>
      <c r="I233" t="str">
        <f t="array" ref="I233">IF($A233="","",INDEX(JupData!$A$2:$K$10000,MATCH($A233&amp;I$1,JupData!$A$2:$A$10000&amp;JupData!$J$2:$J$10000,0),11))</f>
        <v/>
      </c>
      <c r="J233" t="str">
        <f t="array" ref="J233">IF($A233="","",INDEX(JupData!$A$2:$K$10000,MATCH($A233&amp;J$1,JupData!$A$2:$A$10000&amp;JupData!$J$2:$J$10000,0),11))</f>
        <v/>
      </c>
      <c r="K233" t="str">
        <f t="array" ref="K233">IF($A233="","",INDEX(JupData!$A$2:$K$10000,MATCH($A233&amp;K$1,JupData!$A$2:$A$10000&amp;JupData!$J$2:$J$10000,0),11))</f>
        <v/>
      </c>
      <c r="L233" t="str">
        <f t="array" ref="L233">IF($A233="","",INDEX(JupData!$A$2:$K$10000,MATCH($A233&amp;L$1,JupData!$A$2:$A$10000&amp;JupData!$J$2:$J$10000,0),11))</f>
        <v/>
      </c>
      <c r="M233" t="str">
        <f t="array" ref="M233">IF($A233="","",INDEX(JupData!$A$2:$K$10000,MATCH($A233&amp;M$1,JupData!$A$2:$A$10000&amp;JupData!$J$2:$J$10000,0),11))</f>
        <v/>
      </c>
      <c r="N233" t="str">
        <f t="array" ref="N233">IF($A233="","",INDEX(JupData!$A$2:$K$10000,MATCH($A233&amp;N$1,JupData!$A$2:$A$10000&amp;JupData!$J$2:$J$10000,0),11))</f>
        <v/>
      </c>
      <c r="O233" t="str">
        <f t="array" ref="O233">IF($A233="","",INDEX(JupData!$A$2:$K$10000,MATCH($A233&amp;O$1,JupData!$A$2:$A$10000&amp;JupData!$J$2:$J$10000,0),11))</f>
        <v/>
      </c>
      <c r="P233" t="str">
        <f t="array" ref="P233">IF($A233="","",INDEX(JupData!$A$2:$K$10000,MATCH($A233&amp;P$1,JupData!$A$2:$A$10000&amp;JupData!$J$2:$J$10000,0),11))</f>
        <v/>
      </c>
      <c r="Q233" t="str">
        <f t="array" ref="Q233">IF($A233="","",INDEX(JupData!$A$2:$K$10000,MATCH($A233&amp;Q$1,JupData!$A$2:$A$10000&amp;JupData!$J$2:$J$10000,0),11))</f>
        <v/>
      </c>
      <c r="R233" t="str">
        <f t="array" ref="R233">IF($A233="","",INDEX(JupData!$A$2:$K$10000,MATCH($A233&amp;R$1,JupData!$A$2:$A$10000&amp;JupData!$J$2:$J$10000,0),11))</f>
        <v/>
      </c>
      <c r="S233" t="str">
        <f t="array" ref="S233">IF($A233="","",INDEX(JupData!$A$2:$K$10000,MATCH($A233&amp;S$1,JupData!$A$2:$A$10000&amp;JupData!$J$2:$J$10000,0),11))</f>
        <v/>
      </c>
      <c r="T233" t="str">
        <f t="array" ref="T233">IF($A233="","",INDEX(JupData!$A$2:$K$10000,MATCH($A233&amp;T$1,JupData!$A$2:$A$10000&amp;JupData!$J$2:$J$10000,0),11))</f>
        <v/>
      </c>
      <c r="U233" t="str">
        <f t="array" ref="U233">IF($A233="","",INDEX(JupData!$A$2:$K$10000,MATCH($A233&amp;U$1,JupData!$A$2:$A$10000&amp;JupData!$J$2:$J$10000,0),11))</f>
        <v/>
      </c>
      <c r="V233" t="str">
        <f t="array" ref="V233">IF($A233="","",INDEX(JupData!$A$2:$K$10000,MATCH($A233&amp;V$1,JupData!$A$2:$A$10000&amp;JupData!$J$2:$J$10000,0),11))</f>
        <v/>
      </c>
      <c r="W233" t="str">
        <f t="array" ref="W233">IF($A233="","",INDEX(JupData!$A$2:$K$10000,MATCH($A233&amp;W$1,JupData!$A$2:$A$10000&amp;JupData!$J$2:$J$10000,0),11))</f>
        <v/>
      </c>
      <c r="X233" t="str">
        <f t="array" ref="X233">IF($A233="","",INDEX(JupData!$A$2:$K$10000,MATCH($A233&amp;X$1,JupData!$A$2:$A$10000&amp;JupData!$J$2:$J$10000,0),11))</f>
        <v/>
      </c>
      <c r="Y233" t="str">
        <f t="array" ref="Y233">IF($A233="","",INDEX(JupData!$A$2:$K$10000,MATCH($A233&amp;Y$1,JupData!$A$2:$A$10000&amp;JupData!$J$2:$J$10000,0),11))</f>
        <v/>
      </c>
      <c r="Z233" t="str">
        <f t="array" ref="Z233">IF($A233="","",INDEX(JupData!$A$2:$K$10000,MATCH($A233&amp;Z$1,JupData!$A$2:$A$10000&amp;JupData!$J$2:$J$10000,0),11))</f>
        <v/>
      </c>
      <c r="AA233" t="str">
        <f t="array" ref="AA233">IF($A233="","",INDEX(JupData!$A$2:$K$10000,MATCH($A233&amp;AA$1,JupData!$A$2:$A$10000&amp;JupData!$J$2:$J$10000,0),11))</f>
        <v/>
      </c>
      <c r="AB233" t="str">
        <f t="array" ref="AB233">IF($A233="","",INDEX(JupData!$A$2:$K$10000,MATCH($A233&amp;AB$1,JupData!$A$2:$A$10000&amp;JupData!$J$2:$J$10000,0),11))</f>
        <v/>
      </c>
      <c r="AC233" s="10" t="str">
        <f t="shared" si="33"/>
        <v/>
      </c>
      <c r="AD233" s="10" t="str">
        <f t="shared" si="34"/>
        <v/>
      </c>
      <c r="AE233" s="9" t="str">
        <f t="shared" si="35"/>
        <v/>
      </c>
      <c r="AF233" s="10" t="str">
        <f t="shared" si="36"/>
        <v/>
      </c>
      <c r="AG233" s="10" t="str">
        <f t="shared" si="37"/>
        <v/>
      </c>
      <c r="AH233" s="10" t="str">
        <f t="shared" si="38"/>
        <v/>
      </c>
      <c r="AI233" s="10" t="str">
        <f t="shared" si="39"/>
        <v/>
      </c>
      <c r="AJ233" s="10" t="str">
        <f t="shared" si="40"/>
        <v/>
      </c>
      <c r="AK233" s="10" t="str">
        <f t="shared" si="41"/>
        <v/>
      </c>
      <c r="AL233" s="14" t="str">
        <f t="shared" si="42"/>
        <v/>
      </c>
    </row>
    <row r="234" spans="1:38" x14ac:dyDescent="0.2">
      <c r="A234"/>
      <c r="B234" t="str">
        <f>IF($A234="","",VLOOKUP($A234,JupData!$A$2:$I$10000,4,FALSE))</f>
        <v/>
      </c>
      <c r="C234" s="7" t="str">
        <f>IF($A234="",IF(N(D234),0,""),VLOOKUP($A234,JupData!$A$2:$I$10000,7,FALSE))</f>
        <v/>
      </c>
      <c r="D234" t="str">
        <f t="shared" si="43"/>
        <v/>
      </c>
      <c r="E234" t="str">
        <f t="array" ref="E234">IF($A234="","",INDEX(JupData!$A$2:$K$10000,MATCH($A234&amp;E$1,JupData!$A$2:$A$10000&amp;JupData!$J$2:$J$10000,0),11))</f>
        <v/>
      </c>
      <c r="F234" t="str">
        <f t="array" ref="F234">IF($A234="","",INDEX(JupData!$A$2:$K$10000,MATCH($A234&amp;F$1,JupData!$A$2:$A$10000&amp;JupData!$J$2:$J$10000,0),11))</f>
        <v/>
      </c>
      <c r="G234" t="str">
        <f t="array" ref="G234">IF($A234="","",INDEX(JupData!$A$2:$K$10000,MATCH($A234&amp;G$1,JupData!$A$2:$A$10000&amp;JupData!$J$2:$J$10000,0),11))</f>
        <v/>
      </c>
      <c r="H234" t="str">
        <f t="array" ref="H234">IF($A234="","",INDEX(JupData!$A$2:$K$10000,MATCH($A234&amp;H$1,JupData!$A$2:$A$10000&amp;JupData!$J$2:$J$10000,0),11))</f>
        <v/>
      </c>
      <c r="I234" t="str">
        <f t="array" ref="I234">IF($A234="","",INDEX(JupData!$A$2:$K$10000,MATCH($A234&amp;I$1,JupData!$A$2:$A$10000&amp;JupData!$J$2:$J$10000,0),11))</f>
        <v/>
      </c>
      <c r="J234" t="str">
        <f t="array" ref="J234">IF($A234="","",INDEX(JupData!$A$2:$K$10000,MATCH($A234&amp;J$1,JupData!$A$2:$A$10000&amp;JupData!$J$2:$J$10000,0),11))</f>
        <v/>
      </c>
      <c r="K234" t="str">
        <f t="array" ref="K234">IF($A234="","",INDEX(JupData!$A$2:$K$10000,MATCH($A234&amp;K$1,JupData!$A$2:$A$10000&amp;JupData!$J$2:$J$10000,0),11))</f>
        <v/>
      </c>
      <c r="L234" t="str">
        <f t="array" ref="L234">IF($A234="","",INDEX(JupData!$A$2:$K$10000,MATCH($A234&amp;L$1,JupData!$A$2:$A$10000&amp;JupData!$J$2:$J$10000,0),11))</f>
        <v/>
      </c>
      <c r="M234" t="str">
        <f t="array" ref="M234">IF($A234="","",INDEX(JupData!$A$2:$K$10000,MATCH($A234&amp;M$1,JupData!$A$2:$A$10000&amp;JupData!$J$2:$J$10000,0),11))</f>
        <v/>
      </c>
      <c r="N234" t="str">
        <f t="array" ref="N234">IF($A234="","",INDEX(JupData!$A$2:$K$10000,MATCH($A234&amp;N$1,JupData!$A$2:$A$10000&amp;JupData!$J$2:$J$10000,0),11))</f>
        <v/>
      </c>
      <c r="O234" t="str">
        <f t="array" ref="O234">IF($A234="","",INDEX(JupData!$A$2:$K$10000,MATCH($A234&amp;O$1,JupData!$A$2:$A$10000&amp;JupData!$J$2:$J$10000,0),11))</f>
        <v/>
      </c>
      <c r="P234" t="str">
        <f t="array" ref="P234">IF($A234="","",INDEX(JupData!$A$2:$K$10000,MATCH($A234&amp;P$1,JupData!$A$2:$A$10000&amp;JupData!$J$2:$J$10000,0),11))</f>
        <v/>
      </c>
      <c r="Q234" t="str">
        <f t="array" ref="Q234">IF($A234="","",INDEX(JupData!$A$2:$K$10000,MATCH($A234&amp;Q$1,JupData!$A$2:$A$10000&amp;JupData!$J$2:$J$10000,0),11))</f>
        <v/>
      </c>
      <c r="R234" t="str">
        <f t="array" ref="R234">IF($A234="","",INDEX(JupData!$A$2:$K$10000,MATCH($A234&amp;R$1,JupData!$A$2:$A$10000&amp;JupData!$J$2:$J$10000,0),11))</f>
        <v/>
      </c>
      <c r="S234" t="str">
        <f t="array" ref="S234">IF($A234="","",INDEX(JupData!$A$2:$K$10000,MATCH($A234&amp;S$1,JupData!$A$2:$A$10000&amp;JupData!$J$2:$J$10000,0),11))</f>
        <v/>
      </c>
      <c r="T234" t="str">
        <f t="array" ref="T234">IF($A234="","",INDEX(JupData!$A$2:$K$10000,MATCH($A234&amp;T$1,JupData!$A$2:$A$10000&amp;JupData!$J$2:$J$10000,0),11))</f>
        <v/>
      </c>
      <c r="U234" t="str">
        <f t="array" ref="U234">IF($A234="","",INDEX(JupData!$A$2:$K$10000,MATCH($A234&amp;U$1,JupData!$A$2:$A$10000&amp;JupData!$J$2:$J$10000,0),11))</f>
        <v/>
      </c>
      <c r="V234" t="str">
        <f t="array" ref="V234">IF($A234="","",INDEX(JupData!$A$2:$K$10000,MATCH($A234&amp;V$1,JupData!$A$2:$A$10000&amp;JupData!$J$2:$J$10000,0),11))</f>
        <v/>
      </c>
      <c r="W234" t="str">
        <f t="array" ref="W234">IF($A234="","",INDEX(JupData!$A$2:$K$10000,MATCH($A234&amp;W$1,JupData!$A$2:$A$10000&amp;JupData!$J$2:$J$10000,0),11))</f>
        <v/>
      </c>
      <c r="X234" t="str">
        <f t="array" ref="X234">IF($A234="","",INDEX(JupData!$A$2:$K$10000,MATCH($A234&amp;X$1,JupData!$A$2:$A$10000&amp;JupData!$J$2:$J$10000,0),11))</f>
        <v/>
      </c>
      <c r="Y234" t="str">
        <f t="array" ref="Y234">IF($A234="","",INDEX(JupData!$A$2:$K$10000,MATCH($A234&amp;Y$1,JupData!$A$2:$A$10000&amp;JupData!$J$2:$J$10000,0),11))</f>
        <v/>
      </c>
      <c r="Z234" t="str">
        <f t="array" ref="Z234">IF($A234="","",INDEX(JupData!$A$2:$K$10000,MATCH($A234&amp;Z$1,JupData!$A$2:$A$10000&amp;JupData!$J$2:$J$10000,0),11))</f>
        <v/>
      </c>
      <c r="AA234" t="str">
        <f t="array" ref="AA234">IF($A234="","",INDEX(JupData!$A$2:$K$10000,MATCH($A234&amp;AA$1,JupData!$A$2:$A$10000&amp;JupData!$J$2:$J$10000,0),11))</f>
        <v/>
      </c>
      <c r="AB234" t="str">
        <f t="array" ref="AB234">IF($A234="","",INDEX(JupData!$A$2:$K$10000,MATCH($A234&amp;AB$1,JupData!$A$2:$A$10000&amp;JupData!$J$2:$J$10000,0),11))</f>
        <v/>
      </c>
      <c r="AC234" s="10" t="str">
        <f t="shared" si="33"/>
        <v/>
      </c>
      <c r="AD234" s="10" t="str">
        <f t="shared" si="34"/>
        <v/>
      </c>
      <c r="AE234" s="9" t="str">
        <f t="shared" si="35"/>
        <v/>
      </c>
      <c r="AF234" s="10" t="str">
        <f t="shared" si="36"/>
        <v/>
      </c>
      <c r="AG234" s="10" t="str">
        <f t="shared" si="37"/>
        <v/>
      </c>
      <c r="AH234" s="10" t="str">
        <f t="shared" si="38"/>
        <v/>
      </c>
      <c r="AI234" s="10" t="str">
        <f t="shared" si="39"/>
        <v/>
      </c>
      <c r="AJ234" s="10" t="str">
        <f t="shared" si="40"/>
        <v/>
      </c>
      <c r="AK234" s="10" t="str">
        <f t="shared" si="41"/>
        <v/>
      </c>
      <c r="AL234" s="14" t="str">
        <f t="shared" si="42"/>
        <v/>
      </c>
    </row>
    <row r="235" spans="1:38" x14ac:dyDescent="0.2">
      <c r="A235"/>
      <c r="B235" t="str">
        <f>IF($A235="","",VLOOKUP($A235,JupData!$A$2:$I$10000,4,FALSE))</f>
        <v/>
      </c>
      <c r="C235" s="7" t="str">
        <f>IF($A235="",IF(N(D235),0,""),VLOOKUP($A235,JupData!$A$2:$I$10000,7,FALSE))</f>
        <v/>
      </c>
      <c r="D235" t="str">
        <f t="shared" si="43"/>
        <v/>
      </c>
      <c r="E235" t="str">
        <f t="array" ref="E235">IF($A235="","",INDEX(JupData!$A$2:$K$10000,MATCH($A235&amp;E$1,JupData!$A$2:$A$10000&amp;JupData!$J$2:$J$10000,0),11))</f>
        <v/>
      </c>
      <c r="F235" t="str">
        <f t="array" ref="F235">IF($A235="","",INDEX(JupData!$A$2:$K$10000,MATCH($A235&amp;F$1,JupData!$A$2:$A$10000&amp;JupData!$J$2:$J$10000,0),11))</f>
        <v/>
      </c>
      <c r="G235" t="str">
        <f t="array" ref="G235">IF($A235="","",INDEX(JupData!$A$2:$K$10000,MATCH($A235&amp;G$1,JupData!$A$2:$A$10000&amp;JupData!$J$2:$J$10000,0),11))</f>
        <v/>
      </c>
      <c r="H235" t="str">
        <f t="array" ref="H235">IF($A235="","",INDEX(JupData!$A$2:$K$10000,MATCH($A235&amp;H$1,JupData!$A$2:$A$10000&amp;JupData!$J$2:$J$10000,0),11))</f>
        <v/>
      </c>
      <c r="I235" t="str">
        <f t="array" ref="I235">IF($A235="","",INDEX(JupData!$A$2:$K$10000,MATCH($A235&amp;I$1,JupData!$A$2:$A$10000&amp;JupData!$J$2:$J$10000,0),11))</f>
        <v/>
      </c>
      <c r="J235" t="str">
        <f t="array" ref="J235">IF($A235="","",INDEX(JupData!$A$2:$K$10000,MATCH($A235&amp;J$1,JupData!$A$2:$A$10000&amp;JupData!$J$2:$J$10000,0),11))</f>
        <v/>
      </c>
      <c r="K235" t="str">
        <f t="array" ref="K235">IF($A235="","",INDEX(JupData!$A$2:$K$10000,MATCH($A235&amp;K$1,JupData!$A$2:$A$10000&amp;JupData!$J$2:$J$10000,0),11))</f>
        <v/>
      </c>
      <c r="L235" t="str">
        <f t="array" ref="L235">IF($A235="","",INDEX(JupData!$A$2:$K$10000,MATCH($A235&amp;L$1,JupData!$A$2:$A$10000&amp;JupData!$J$2:$J$10000,0),11))</f>
        <v/>
      </c>
      <c r="M235" t="str">
        <f t="array" ref="M235">IF($A235="","",INDEX(JupData!$A$2:$K$10000,MATCH($A235&amp;M$1,JupData!$A$2:$A$10000&amp;JupData!$J$2:$J$10000,0),11))</f>
        <v/>
      </c>
      <c r="N235" t="str">
        <f t="array" ref="N235">IF($A235="","",INDEX(JupData!$A$2:$K$10000,MATCH($A235&amp;N$1,JupData!$A$2:$A$10000&amp;JupData!$J$2:$J$10000,0),11))</f>
        <v/>
      </c>
      <c r="O235" t="str">
        <f t="array" ref="O235">IF($A235="","",INDEX(JupData!$A$2:$K$10000,MATCH($A235&amp;O$1,JupData!$A$2:$A$10000&amp;JupData!$J$2:$J$10000,0),11))</f>
        <v/>
      </c>
      <c r="P235" t="str">
        <f t="array" ref="P235">IF($A235="","",INDEX(JupData!$A$2:$K$10000,MATCH($A235&amp;P$1,JupData!$A$2:$A$10000&amp;JupData!$J$2:$J$10000,0),11))</f>
        <v/>
      </c>
      <c r="Q235" t="str">
        <f t="array" ref="Q235">IF($A235="","",INDEX(JupData!$A$2:$K$10000,MATCH($A235&amp;Q$1,JupData!$A$2:$A$10000&amp;JupData!$J$2:$J$10000,0),11))</f>
        <v/>
      </c>
      <c r="R235" t="str">
        <f t="array" ref="R235">IF($A235="","",INDEX(JupData!$A$2:$K$10000,MATCH($A235&amp;R$1,JupData!$A$2:$A$10000&amp;JupData!$J$2:$J$10000,0),11))</f>
        <v/>
      </c>
      <c r="S235" t="str">
        <f t="array" ref="S235">IF($A235="","",INDEX(JupData!$A$2:$K$10000,MATCH($A235&amp;S$1,JupData!$A$2:$A$10000&amp;JupData!$J$2:$J$10000,0),11))</f>
        <v/>
      </c>
      <c r="T235" t="str">
        <f t="array" ref="T235">IF($A235="","",INDEX(JupData!$A$2:$K$10000,MATCH($A235&amp;T$1,JupData!$A$2:$A$10000&amp;JupData!$J$2:$J$10000,0),11))</f>
        <v/>
      </c>
      <c r="U235" t="str">
        <f t="array" ref="U235">IF($A235="","",INDEX(JupData!$A$2:$K$10000,MATCH($A235&amp;U$1,JupData!$A$2:$A$10000&amp;JupData!$J$2:$J$10000,0),11))</f>
        <v/>
      </c>
      <c r="V235" t="str">
        <f t="array" ref="V235">IF($A235="","",INDEX(JupData!$A$2:$K$10000,MATCH($A235&amp;V$1,JupData!$A$2:$A$10000&amp;JupData!$J$2:$J$10000,0),11))</f>
        <v/>
      </c>
      <c r="W235" t="str">
        <f t="array" ref="W235">IF($A235="","",INDEX(JupData!$A$2:$K$10000,MATCH($A235&amp;W$1,JupData!$A$2:$A$10000&amp;JupData!$J$2:$J$10000,0),11))</f>
        <v/>
      </c>
      <c r="X235" t="str">
        <f t="array" ref="X235">IF($A235="","",INDEX(JupData!$A$2:$K$10000,MATCH($A235&amp;X$1,JupData!$A$2:$A$10000&amp;JupData!$J$2:$J$10000,0),11))</f>
        <v/>
      </c>
      <c r="Y235" t="str">
        <f t="array" ref="Y235">IF($A235="","",INDEX(JupData!$A$2:$K$10000,MATCH($A235&amp;Y$1,JupData!$A$2:$A$10000&amp;JupData!$J$2:$J$10000,0),11))</f>
        <v/>
      </c>
      <c r="Z235" t="str">
        <f t="array" ref="Z235">IF($A235="","",INDEX(JupData!$A$2:$K$10000,MATCH($A235&amp;Z$1,JupData!$A$2:$A$10000&amp;JupData!$J$2:$J$10000,0),11))</f>
        <v/>
      </c>
      <c r="AA235" t="str">
        <f t="array" ref="AA235">IF($A235="","",INDEX(JupData!$A$2:$K$10000,MATCH($A235&amp;AA$1,JupData!$A$2:$A$10000&amp;JupData!$J$2:$J$10000,0),11))</f>
        <v/>
      </c>
      <c r="AB235" t="str">
        <f t="array" ref="AB235">IF($A235="","",INDEX(JupData!$A$2:$K$10000,MATCH($A235&amp;AB$1,JupData!$A$2:$A$10000&amp;JupData!$J$2:$J$10000,0),11))</f>
        <v/>
      </c>
      <c r="AC235" s="10" t="str">
        <f t="shared" si="33"/>
        <v/>
      </c>
      <c r="AD235" s="10" t="str">
        <f t="shared" si="34"/>
        <v/>
      </c>
      <c r="AE235" s="9" t="str">
        <f t="shared" si="35"/>
        <v/>
      </c>
      <c r="AF235" s="10" t="str">
        <f t="shared" si="36"/>
        <v/>
      </c>
      <c r="AG235" s="10" t="str">
        <f t="shared" si="37"/>
        <v/>
      </c>
      <c r="AH235" s="10" t="str">
        <f t="shared" si="38"/>
        <v/>
      </c>
      <c r="AI235" s="10" t="str">
        <f t="shared" si="39"/>
        <v/>
      </c>
      <c r="AJ235" s="10" t="str">
        <f t="shared" si="40"/>
        <v/>
      </c>
      <c r="AK235" s="10" t="str">
        <f t="shared" si="41"/>
        <v/>
      </c>
      <c r="AL235" s="14" t="str">
        <f t="shared" si="42"/>
        <v/>
      </c>
    </row>
    <row r="236" spans="1:38" x14ac:dyDescent="0.2">
      <c r="A236"/>
      <c r="B236" t="str">
        <f>IF($A236="","",VLOOKUP($A236,JupData!$A$2:$I$10000,4,FALSE))</f>
        <v/>
      </c>
      <c r="C236" s="7" t="str">
        <f>IF($A236="",IF(N(D236),0,""),VLOOKUP($A236,JupData!$A$2:$I$10000,7,FALSE))</f>
        <v/>
      </c>
      <c r="D236" t="str">
        <f t="shared" si="43"/>
        <v/>
      </c>
      <c r="E236" t="str">
        <f t="array" ref="E236">IF($A236="","",INDEX(JupData!$A$2:$K$10000,MATCH($A236&amp;E$1,JupData!$A$2:$A$10000&amp;JupData!$J$2:$J$10000,0),11))</f>
        <v/>
      </c>
      <c r="F236" t="str">
        <f t="array" ref="F236">IF($A236="","",INDEX(JupData!$A$2:$K$10000,MATCH($A236&amp;F$1,JupData!$A$2:$A$10000&amp;JupData!$J$2:$J$10000,0),11))</f>
        <v/>
      </c>
      <c r="G236" t="str">
        <f t="array" ref="G236">IF($A236="","",INDEX(JupData!$A$2:$K$10000,MATCH($A236&amp;G$1,JupData!$A$2:$A$10000&amp;JupData!$J$2:$J$10000,0),11))</f>
        <v/>
      </c>
      <c r="H236" t="str">
        <f t="array" ref="H236">IF($A236="","",INDEX(JupData!$A$2:$K$10000,MATCH($A236&amp;H$1,JupData!$A$2:$A$10000&amp;JupData!$J$2:$J$10000,0),11))</f>
        <v/>
      </c>
      <c r="I236" t="str">
        <f t="array" ref="I236">IF($A236="","",INDEX(JupData!$A$2:$K$10000,MATCH($A236&amp;I$1,JupData!$A$2:$A$10000&amp;JupData!$J$2:$J$10000,0),11))</f>
        <v/>
      </c>
      <c r="J236" t="str">
        <f t="array" ref="J236">IF($A236="","",INDEX(JupData!$A$2:$K$10000,MATCH($A236&amp;J$1,JupData!$A$2:$A$10000&amp;JupData!$J$2:$J$10000,0),11))</f>
        <v/>
      </c>
      <c r="K236" t="str">
        <f t="array" ref="K236">IF($A236="","",INDEX(JupData!$A$2:$K$10000,MATCH($A236&amp;K$1,JupData!$A$2:$A$10000&amp;JupData!$J$2:$J$10000,0),11))</f>
        <v/>
      </c>
      <c r="L236" t="str">
        <f t="array" ref="L236">IF($A236="","",INDEX(JupData!$A$2:$K$10000,MATCH($A236&amp;L$1,JupData!$A$2:$A$10000&amp;JupData!$J$2:$J$10000,0),11))</f>
        <v/>
      </c>
      <c r="M236" t="str">
        <f t="array" ref="M236">IF($A236="","",INDEX(JupData!$A$2:$K$10000,MATCH($A236&amp;M$1,JupData!$A$2:$A$10000&amp;JupData!$J$2:$J$10000,0),11))</f>
        <v/>
      </c>
      <c r="N236" t="str">
        <f t="array" ref="N236">IF($A236="","",INDEX(JupData!$A$2:$K$10000,MATCH($A236&amp;N$1,JupData!$A$2:$A$10000&amp;JupData!$J$2:$J$10000,0),11))</f>
        <v/>
      </c>
      <c r="O236" t="str">
        <f t="array" ref="O236">IF($A236="","",INDEX(JupData!$A$2:$K$10000,MATCH($A236&amp;O$1,JupData!$A$2:$A$10000&amp;JupData!$J$2:$J$10000,0),11))</f>
        <v/>
      </c>
      <c r="P236" t="str">
        <f t="array" ref="P236">IF($A236="","",INDEX(JupData!$A$2:$K$10000,MATCH($A236&amp;P$1,JupData!$A$2:$A$10000&amp;JupData!$J$2:$J$10000,0),11))</f>
        <v/>
      </c>
      <c r="Q236" t="str">
        <f t="array" ref="Q236">IF($A236="","",INDEX(JupData!$A$2:$K$10000,MATCH($A236&amp;Q$1,JupData!$A$2:$A$10000&amp;JupData!$J$2:$J$10000,0),11))</f>
        <v/>
      </c>
      <c r="R236" t="str">
        <f t="array" ref="R236">IF($A236="","",INDEX(JupData!$A$2:$K$10000,MATCH($A236&amp;R$1,JupData!$A$2:$A$10000&amp;JupData!$J$2:$J$10000,0),11))</f>
        <v/>
      </c>
      <c r="S236" t="str">
        <f t="array" ref="S236">IF($A236="","",INDEX(JupData!$A$2:$K$10000,MATCH($A236&amp;S$1,JupData!$A$2:$A$10000&amp;JupData!$J$2:$J$10000,0),11))</f>
        <v/>
      </c>
      <c r="T236" t="str">
        <f t="array" ref="T236">IF($A236="","",INDEX(JupData!$A$2:$K$10000,MATCH($A236&amp;T$1,JupData!$A$2:$A$10000&amp;JupData!$J$2:$J$10000,0),11))</f>
        <v/>
      </c>
      <c r="U236" t="str">
        <f t="array" ref="U236">IF($A236="","",INDEX(JupData!$A$2:$K$10000,MATCH($A236&amp;U$1,JupData!$A$2:$A$10000&amp;JupData!$J$2:$J$10000,0),11))</f>
        <v/>
      </c>
      <c r="V236" t="str">
        <f t="array" ref="V236">IF($A236="","",INDEX(JupData!$A$2:$K$10000,MATCH($A236&amp;V$1,JupData!$A$2:$A$10000&amp;JupData!$J$2:$J$10000,0),11))</f>
        <v/>
      </c>
      <c r="W236" t="str">
        <f t="array" ref="W236">IF($A236="","",INDEX(JupData!$A$2:$K$10000,MATCH($A236&amp;W$1,JupData!$A$2:$A$10000&amp;JupData!$J$2:$J$10000,0),11))</f>
        <v/>
      </c>
      <c r="X236" t="str">
        <f t="array" ref="X236">IF($A236="","",INDEX(JupData!$A$2:$K$10000,MATCH($A236&amp;X$1,JupData!$A$2:$A$10000&amp;JupData!$J$2:$J$10000,0),11))</f>
        <v/>
      </c>
      <c r="Y236" t="str">
        <f t="array" ref="Y236">IF($A236="","",INDEX(JupData!$A$2:$K$10000,MATCH($A236&amp;Y$1,JupData!$A$2:$A$10000&amp;JupData!$J$2:$J$10000,0),11))</f>
        <v/>
      </c>
      <c r="Z236" t="str">
        <f t="array" ref="Z236">IF($A236="","",INDEX(JupData!$A$2:$K$10000,MATCH($A236&amp;Z$1,JupData!$A$2:$A$10000&amp;JupData!$J$2:$J$10000,0),11))</f>
        <v/>
      </c>
      <c r="AA236" t="str">
        <f t="array" ref="AA236">IF($A236="","",INDEX(JupData!$A$2:$K$10000,MATCH($A236&amp;AA$1,JupData!$A$2:$A$10000&amp;JupData!$J$2:$J$10000,0),11))</f>
        <v/>
      </c>
      <c r="AB236" t="str">
        <f t="array" ref="AB236">IF($A236="","",INDEX(JupData!$A$2:$K$10000,MATCH($A236&amp;AB$1,JupData!$A$2:$A$10000&amp;JupData!$J$2:$J$10000,0),11))</f>
        <v/>
      </c>
      <c r="AC236" s="10" t="str">
        <f t="shared" si="33"/>
        <v/>
      </c>
      <c r="AD236" s="10" t="str">
        <f t="shared" si="34"/>
        <v/>
      </c>
      <c r="AE236" s="9" t="str">
        <f t="shared" si="35"/>
        <v/>
      </c>
      <c r="AF236" s="10" t="str">
        <f t="shared" si="36"/>
        <v/>
      </c>
      <c r="AG236" s="10" t="str">
        <f t="shared" si="37"/>
        <v/>
      </c>
      <c r="AH236" s="10" t="str">
        <f t="shared" si="38"/>
        <v/>
      </c>
      <c r="AI236" s="10" t="str">
        <f t="shared" si="39"/>
        <v/>
      </c>
      <c r="AJ236" s="10" t="str">
        <f t="shared" si="40"/>
        <v/>
      </c>
      <c r="AK236" s="10" t="str">
        <f t="shared" si="41"/>
        <v/>
      </c>
      <c r="AL236" s="14" t="str">
        <f t="shared" si="42"/>
        <v/>
      </c>
    </row>
    <row r="237" spans="1:38" x14ac:dyDescent="0.2">
      <c r="A237"/>
      <c r="B237" t="str">
        <f>IF($A237="","",VLOOKUP($A237,JupData!$A$2:$I$10000,4,FALSE))</f>
        <v/>
      </c>
      <c r="C237" s="7" t="str">
        <f>IF($A237="",IF(N(D237),0,""),VLOOKUP($A237,JupData!$A$2:$I$10000,7,FALSE))</f>
        <v/>
      </c>
      <c r="D237" t="str">
        <f t="shared" si="43"/>
        <v/>
      </c>
      <c r="E237" t="str">
        <f t="array" ref="E237">IF($A237="","",INDEX(JupData!$A$2:$K$10000,MATCH($A237&amp;E$1,JupData!$A$2:$A$10000&amp;JupData!$J$2:$J$10000,0),11))</f>
        <v/>
      </c>
      <c r="F237" t="str">
        <f t="array" ref="F237">IF($A237="","",INDEX(JupData!$A$2:$K$10000,MATCH($A237&amp;F$1,JupData!$A$2:$A$10000&amp;JupData!$J$2:$J$10000,0),11))</f>
        <v/>
      </c>
      <c r="G237" t="str">
        <f t="array" ref="G237">IF($A237="","",INDEX(JupData!$A$2:$K$10000,MATCH($A237&amp;G$1,JupData!$A$2:$A$10000&amp;JupData!$J$2:$J$10000,0),11))</f>
        <v/>
      </c>
      <c r="H237" t="str">
        <f t="array" ref="H237">IF($A237="","",INDEX(JupData!$A$2:$K$10000,MATCH($A237&amp;H$1,JupData!$A$2:$A$10000&amp;JupData!$J$2:$J$10000,0),11))</f>
        <v/>
      </c>
      <c r="I237" t="str">
        <f t="array" ref="I237">IF($A237="","",INDEX(JupData!$A$2:$K$10000,MATCH($A237&amp;I$1,JupData!$A$2:$A$10000&amp;JupData!$J$2:$J$10000,0),11))</f>
        <v/>
      </c>
      <c r="J237" t="str">
        <f t="array" ref="J237">IF($A237="","",INDEX(JupData!$A$2:$K$10000,MATCH($A237&amp;J$1,JupData!$A$2:$A$10000&amp;JupData!$J$2:$J$10000,0),11))</f>
        <v/>
      </c>
      <c r="K237" t="str">
        <f t="array" ref="K237">IF($A237="","",INDEX(JupData!$A$2:$K$10000,MATCH($A237&amp;K$1,JupData!$A$2:$A$10000&amp;JupData!$J$2:$J$10000,0),11))</f>
        <v/>
      </c>
      <c r="L237" t="str">
        <f t="array" ref="L237">IF($A237="","",INDEX(JupData!$A$2:$K$10000,MATCH($A237&amp;L$1,JupData!$A$2:$A$10000&amp;JupData!$J$2:$J$10000,0),11))</f>
        <v/>
      </c>
      <c r="M237" t="str">
        <f t="array" ref="M237">IF($A237="","",INDEX(JupData!$A$2:$K$10000,MATCH($A237&amp;M$1,JupData!$A$2:$A$10000&amp;JupData!$J$2:$J$10000,0),11))</f>
        <v/>
      </c>
      <c r="N237" t="str">
        <f t="array" ref="N237">IF($A237="","",INDEX(JupData!$A$2:$K$10000,MATCH($A237&amp;N$1,JupData!$A$2:$A$10000&amp;JupData!$J$2:$J$10000,0),11))</f>
        <v/>
      </c>
      <c r="O237" t="str">
        <f t="array" ref="O237">IF($A237="","",INDEX(JupData!$A$2:$K$10000,MATCH($A237&amp;O$1,JupData!$A$2:$A$10000&amp;JupData!$J$2:$J$10000,0),11))</f>
        <v/>
      </c>
      <c r="P237" t="str">
        <f t="array" ref="P237">IF($A237="","",INDEX(JupData!$A$2:$K$10000,MATCH($A237&amp;P$1,JupData!$A$2:$A$10000&amp;JupData!$J$2:$J$10000,0),11))</f>
        <v/>
      </c>
      <c r="Q237" t="str">
        <f t="array" ref="Q237">IF($A237="","",INDEX(JupData!$A$2:$K$10000,MATCH($A237&amp;Q$1,JupData!$A$2:$A$10000&amp;JupData!$J$2:$J$10000,0),11))</f>
        <v/>
      </c>
      <c r="R237" t="str">
        <f t="array" ref="R237">IF($A237="","",INDEX(JupData!$A$2:$K$10000,MATCH($A237&amp;R$1,JupData!$A$2:$A$10000&amp;JupData!$J$2:$J$10000,0),11))</f>
        <v/>
      </c>
      <c r="S237" t="str">
        <f t="array" ref="S237">IF($A237="","",INDEX(JupData!$A$2:$K$10000,MATCH($A237&amp;S$1,JupData!$A$2:$A$10000&amp;JupData!$J$2:$J$10000,0),11))</f>
        <v/>
      </c>
      <c r="T237" t="str">
        <f t="array" ref="T237">IF($A237="","",INDEX(JupData!$A$2:$K$10000,MATCH($A237&amp;T$1,JupData!$A$2:$A$10000&amp;JupData!$J$2:$J$10000,0),11))</f>
        <v/>
      </c>
      <c r="U237" t="str">
        <f t="array" ref="U237">IF($A237="","",INDEX(JupData!$A$2:$K$10000,MATCH($A237&amp;U$1,JupData!$A$2:$A$10000&amp;JupData!$J$2:$J$10000,0),11))</f>
        <v/>
      </c>
      <c r="V237" t="str">
        <f t="array" ref="V237">IF($A237="","",INDEX(JupData!$A$2:$K$10000,MATCH($A237&amp;V$1,JupData!$A$2:$A$10000&amp;JupData!$J$2:$J$10000,0),11))</f>
        <v/>
      </c>
      <c r="W237" t="str">
        <f t="array" ref="W237">IF($A237="","",INDEX(JupData!$A$2:$K$10000,MATCH($A237&amp;W$1,JupData!$A$2:$A$10000&amp;JupData!$J$2:$J$10000,0),11))</f>
        <v/>
      </c>
      <c r="X237" t="str">
        <f t="array" ref="X237">IF($A237="","",INDEX(JupData!$A$2:$K$10000,MATCH($A237&amp;X$1,JupData!$A$2:$A$10000&amp;JupData!$J$2:$J$10000,0),11))</f>
        <v/>
      </c>
      <c r="Y237" t="str">
        <f t="array" ref="Y237">IF($A237="","",INDEX(JupData!$A$2:$K$10000,MATCH($A237&amp;Y$1,JupData!$A$2:$A$10000&amp;JupData!$J$2:$J$10000,0),11))</f>
        <v/>
      </c>
      <c r="Z237" t="str">
        <f t="array" ref="Z237">IF($A237="","",INDEX(JupData!$A$2:$K$10000,MATCH($A237&amp;Z$1,JupData!$A$2:$A$10000&amp;JupData!$J$2:$J$10000,0),11))</f>
        <v/>
      </c>
      <c r="AA237" t="str">
        <f t="array" ref="AA237">IF($A237="","",INDEX(JupData!$A$2:$K$10000,MATCH($A237&amp;AA$1,JupData!$A$2:$A$10000&amp;JupData!$J$2:$J$10000,0),11))</f>
        <v/>
      </c>
      <c r="AB237" t="str">
        <f t="array" ref="AB237">IF($A237="","",INDEX(JupData!$A$2:$K$10000,MATCH($A237&amp;AB$1,JupData!$A$2:$A$10000&amp;JupData!$J$2:$J$10000,0),11))</f>
        <v/>
      </c>
      <c r="AC237" s="10" t="str">
        <f t="shared" si="33"/>
        <v/>
      </c>
      <c r="AD237" s="10" t="str">
        <f t="shared" si="34"/>
        <v/>
      </c>
      <c r="AE237" s="9" t="str">
        <f t="shared" si="35"/>
        <v/>
      </c>
      <c r="AF237" s="10" t="str">
        <f t="shared" si="36"/>
        <v/>
      </c>
      <c r="AG237" s="10" t="str">
        <f t="shared" si="37"/>
        <v/>
      </c>
      <c r="AH237" s="10" t="str">
        <f t="shared" si="38"/>
        <v/>
      </c>
      <c r="AI237" s="10" t="str">
        <f t="shared" si="39"/>
        <v/>
      </c>
      <c r="AJ237" s="10" t="str">
        <f t="shared" si="40"/>
        <v/>
      </c>
      <c r="AK237" s="10" t="str">
        <f t="shared" si="41"/>
        <v/>
      </c>
      <c r="AL237" s="14" t="str">
        <f t="shared" si="42"/>
        <v/>
      </c>
    </row>
    <row r="238" spans="1:38" x14ac:dyDescent="0.2">
      <c r="A238"/>
      <c r="B238" t="str">
        <f>IF($A238="","",VLOOKUP($A238,JupData!$A$2:$I$10000,4,FALSE))</f>
        <v/>
      </c>
      <c r="C238" s="7" t="str">
        <f>IF($A238="",IF(N(D238),0,""),VLOOKUP($A238,JupData!$A$2:$I$10000,7,FALSE))</f>
        <v/>
      </c>
      <c r="D238" t="str">
        <f t="shared" si="43"/>
        <v/>
      </c>
      <c r="E238" t="str">
        <f t="array" ref="E238">IF($A238="","",INDEX(JupData!$A$2:$K$10000,MATCH($A238&amp;E$1,JupData!$A$2:$A$10000&amp;JupData!$J$2:$J$10000,0),11))</f>
        <v/>
      </c>
      <c r="F238" t="str">
        <f t="array" ref="F238">IF($A238="","",INDEX(JupData!$A$2:$K$10000,MATCH($A238&amp;F$1,JupData!$A$2:$A$10000&amp;JupData!$J$2:$J$10000,0),11))</f>
        <v/>
      </c>
      <c r="G238" t="str">
        <f t="array" ref="G238">IF($A238="","",INDEX(JupData!$A$2:$K$10000,MATCH($A238&amp;G$1,JupData!$A$2:$A$10000&amp;JupData!$J$2:$J$10000,0),11))</f>
        <v/>
      </c>
      <c r="H238" t="str">
        <f t="array" ref="H238">IF($A238="","",INDEX(JupData!$A$2:$K$10000,MATCH($A238&amp;H$1,JupData!$A$2:$A$10000&amp;JupData!$J$2:$J$10000,0),11))</f>
        <v/>
      </c>
      <c r="I238" t="str">
        <f t="array" ref="I238">IF($A238="","",INDEX(JupData!$A$2:$K$10000,MATCH($A238&amp;I$1,JupData!$A$2:$A$10000&amp;JupData!$J$2:$J$10000,0),11))</f>
        <v/>
      </c>
      <c r="J238" t="str">
        <f t="array" ref="J238">IF($A238="","",INDEX(JupData!$A$2:$K$10000,MATCH($A238&amp;J$1,JupData!$A$2:$A$10000&amp;JupData!$J$2:$J$10000,0),11))</f>
        <v/>
      </c>
      <c r="K238" t="str">
        <f t="array" ref="K238">IF($A238="","",INDEX(JupData!$A$2:$K$10000,MATCH($A238&amp;K$1,JupData!$A$2:$A$10000&amp;JupData!$J$2:$J$10000,0),11))</f>
        <v/>
      </c>
      <c r="L238" t="str">
        <f t="array" ref="L238">IF($A238="","",INDEX(JupData!$A$2:$K$10000,MATCH($A238&amp;L$1,JupData!$A$2:$A$10000&amp;JupData!$J$2:$J$10000,0),11))</f>
        <v/>
      </c>
      <c r="M238" t="str">
        <f t="array" ref="M238">IF($A238="","",INDEX(JupData!$A$2:$K$10000,MATCH($A238&amp;M$1,JupData!$A$2:$A$10000&amp;JupData!$J$2:$J$10000,0),11))</f>
        <v/>
      </c>
      <c r="N238" t="str">
        <f t="array" ref="N238">IF($A238="","",INDEX(JupData!$A$2:$K$10000,MATCH($A238&amp;N$1,JupData!$A$2:$A$10000&amp;JupData!$J$2:$J$10000,0),11))</f>
        <v/>
      </c>
      <c r="O238" t="str">
        <f t="array" ref="O238">IF($A238="","",INDEX(JupData!$A$2:$K$10000,MATCH($A238&amp;O$1,JupData!$A$2:$A$10000&amp;JupData!$J$2:$J$10000,0),11))</f>
        <v/>
      </c>
      <c r="P238" t="str">
        <f t="array" ref="P238">IF($A238="","",INDEX(JupData!$A$2:$K$10000,MATCH($A238&amp;P$1,JupData!$A$2:$A$10000&amp;JupData!$J$2:$J$10000,0),11))</f>
        <v/>
      </c>
      <c r="Q238" t="str">
        <f t="array" ref="Q238">IF($A238="","",INDEX(JupData!$A$2:$K$10000,MATCH($A238&amp;Q$1,JupData!$A$2:$A$10000&amp;JupData!$J$2:$J$10000,0),11))</f>
        <v/>
      </c>
      <c r="R238" t="str">
        <f t="array" ref="R238">IF($A238="","",INDEX(JupData!$A$2:$K$10000,MATCH($A238&amp;R$1,JupData!$A$2:$A$10000&amp;JupData!$J$2:$J$10000,0),11))</f>
        <v/>
      </c>
      <c r="S238" t="str">
        <f t="array" ref="S238">IF($A238="","",INDEX(JupData!$A$2:$K$10000,MATCH($A238&amp;S$1,JupData!$A$2:$A$10000&amp;JupData!$J$2:$J$10000,0),11))</f>
        <v/>
      </c>
      <c r="T238" t="str">
        <f t="array" ref="T238">IF($A238="","",INDEX(JupData!$A$2:$K$10000,MATCH($A238&amp;T$1,JupData!$A$2:$A$10000&amp;JupData!$J$2:$J$10000,0),11))</f>
        <v/>
      </c>
      <c r="U238" t="str">
        <f t="array" ref="U238">IF($A238="","",INDEX(JupData!$A$2:$K$10000,MATCH($A238&amp;U$1,JupData!$A$2:$A$10000&amp;JupData!$J$2:$J$10000,0),11))</f>
        <v/>
      </c>
      <c r="V238" t="str">
        <f t="array" ref="V238">IF($A238="","",INDEX(JupData!$A$2:$K$10000,MATCH($A238&amp;V$1,JupData!$A$2:$A$10000&amp;JupData!$J$2:$J$10000,0),11))</f>
        <v/>
      </c>
      <c r="W238" t="str">
        <f t="array" ref="W238">IF($A238="","",INDEX(JupData!$A$2:$K$10000,MATCH($A238&amp;W$1,JupData!$A$2:$A$10000&amp;JupData!$J$2:$J$10000,0),11))</f>
        <v/>
      </c>
      <c r="X238" t="str">
        <f t="array" ref="X238">IF($A238="","",INDEX(JupData!$A$2:$K$10000,MATCH($A238&amp;X$1,JupData!$A$2:$A$10000&amp;JupData!$J$2:$J$10000,0),11))</f>
        <v/>
      </c>
      <c r="Y238" t="str">
        <f t="array" ref="Y238">IF($A238="","",INDEX(JupData!$A$2:$K$10000,MATCH($A238&amp;Y$1,JupData!$A$2:$A$10000&amp;JupData!$J$2:$J$10000,0),11))</f>
        <v/>
      </c>
      <c r="Z238" t="str">
        <f t="array" ref="Z238">IF($A238="","",INDEX(JupData!$A$2:$K$10000,MATCH($A238&amp;Z$1,JupData!$A$2:$A$10000&amp;JupData!$J$2:$J$10000,0),11))</f>
        <v/>
      </c>
      <c r="AA238" t="str">
        <f t="array" ref="AA238">IF($A238="","",INDEX(JupData!$A$2:$K$10000,MATCH($A238&amp;AA$1,JupData!$A$2:$A$10000&amp;JupData!$J$2:$J$10000,0),11))</f>
        <v/>
      </c>
      <c r="AB238" t="str">
        <f t="array" ref="AB238">IF($A238="","",INDEX(JupData!$A$2:$K$10000,MATCH($A238&amp;AB$1,JupData!$A$2:$A$10000&amp;JupData!$J$2:$J$10000,0),11))</f>
        <v/>
      </c>
      <c r="AC238" s="10" t="str">
        <f t="shared" si="33"/>
        <v/>
      </c>
      <c r="AD238" s="10" t="str">
        <f t="shared" si="34"/>
        <v/>
      </c>
      <c r="AE238" s="9" t="str">
        <f t="shared" si="35"/>
        <v/>
      </c>
      <c r="AF238" s="10" t="str">
        <f t="shared" si="36"/>
        <v/>
      </c>
      <c r="AG238" s="10" t="str">
        <f t="shared" si="37"/>
        <v/>
      </c>
      <c r="AH238" s="10" t="str">
        <f t="shared" si="38"/>
        <v/>
      </c>
      <c r="AI238" s="10" t="str">
        <f t="shared" si="39"/>
        <v/>
      </c>
      <c r="AJ238" s="10" t="str">
        <f t="shared" si="40"/>
        <v/>
      </c>
      <c r="AK238" s="10" t="str">
        <f t="shared" si="41"/>
        <v/>
      </c>
      <c r="AL238" s="14" t="str">
        <f t="shared" si="42"/>
        <v/>
      </c>
    </row>
    <row r="239" spans="1:38" x14ac:dyDescent="0.2">
      <c r="A239"/>
      <c r="B239" t="str">
        <f>IF($A239="","",VLOOKUP($A239,JupData!$A$2:$I$10000,4,FALSE))</f>
        <v/>
      </c>
      <c r="C239" s="7" t="str">
        <f>IF($A239="",IF(N(D239),0,""),VLOOKUP($A239,JupData!$A$2:$I$10000,7,FALSE))</f>
        <v/>
      </c>
      <c r="D239" t="str">
        <f t="shared" si="43"/>
        <v/>
      </c>
      <c r="E239" t="str">
        <f t="array" ref="E239">IF($A239="","",INDEX(JupData!$A$2:$K$10000,MATCH($A239&amp;E$1,JupData!$A$2:$A$10000&amp;JupData!$J$2:$J$10000,0),11))</f>
        <v/>
      </c>
      <c r="F239" t="str">
        <f t="array" ref="F239">IF($A239="","",INDEX(JupData!$A$2:$K$10000,MATCH($A239&amp;F$1,JupData!$A$2:$A$10000&amp;JupData!$J$2:$J$10000,0),11))</f>
        <v/>
      </c>
      <c r="G239" t="str">
        <f t="array" ref="G239">IF($A239="","",INDEX(JupData!$A$2:$K$10000,MATCH($A239&amp;G$1,JupData!$A$2:$A$10000&amp;JupData!$J$2:$J$10000,0),11))</f>
        <v/>
      </c>
      <c r="H239" t="str">
        <f t="array" ref="H239">IF($A239="","",INDEX(JupData!$A$2:$K$10000,MATCH($A239&amp;H$1,JupData!$A$2:$A$10000&amp;JupData!$J$2:$J$10000,0),11))</f>
        <v/>
      </c>
      <c r="I239" t="str">
        <f t="array" ref="I239">IF($A239="","",INDEX(JupData!$A$2:$K$10000,MATCH($A239&amp;I$1,JupData!$A$2:$A$10000&amp;JupData!$J$2:$J$10000,0),11))</f>
        <v/>
      </c>
      <c r="J239" t="str">
        <f t="array" ref="J239">IF($A239="","",INDEX(JupData!$A$2:$K$10000,MATCH($A239&amp;J$1,JupData!$A$2:$A$10000&amp;JupData!$J$2:$J$10000,0),11))</f>
        <v/>
      </c>
      <c r="K239" t="str">
        <f t="array" ref="K239">IF($A239="","",INDEX(JupData!$A$2:$K$10000,MATCH($A239&amp;K$1,JupData!$A$2:$A$10000&amp;JupData!$J$2:$J$10000,0),11))</f>
        <v/>
      </c>
      <c r="L239" t="str">
        <f t="array" ref="L239">IF($A239="","",INDEX(JupData!$A$2:$K$10000,MATCH($A239&amp;L$1,JupData!$A$2:$A$10000&amp;JupData!$J$2:$J$10000,0),11))</f>
        <v/>
      </c>
      <c r="M239" t="str">
        <f t="array" ref="M239">IF($A239="","",INDEX(JupData!$A$2:$K$10000,MATCH($A239&amp;M$1,JupData!$A$2:$A$10000&amp;JupData!$J$2:$J$10000,0),11))</f>
        <v/>
      </c>
      <c r="N239" t="str">
        <f t="array" ref="N239">IF($A239="","",INDEX(JupData!$A$2:$K$10000,MATCH($A239&amp;N$1,JupData!$A$2:$A$10000&amp;JupData!$J$2:$J$10000,0),11))</f>
        <v/>
      </c>
      <c r="O239" t="str">
        <f t="array" ref="O239">IF($A239="","",INDEX(JupData!$A$2:$K$10000,MATCH($A239&amp;O$1,JupData!$A$2:$A$10000&amp;JupData!$J$2:$J$10000,0),11))</f>
        <v/>
      </c>
      <c r="P239" t="str">
        <f t="array" ref="P239">IF($A239="","",INDEX(JupData!$A$2:$K$10000,MATCH($A239&amp;P$1,JupData!$A$2:$A$10000&amp;JupData!$J$2:$J$10000,0),11))</f>
        <v/>
      </c>
      <c r="Q239" t="str">
        <f t="array" ref="Q239">IF($A239="","",INDEX(JupData!$A$2:$K$10000,MATCH($A239&amp;Q$1,JupData!$A$2:$A$10000&amp;JupData!$J$2:$J$10000,0),11))</f>
        <v/>
      </c>
      <c r="R239" t="str">
        <f t="array" ref="R239">IF($A239="","",INDEX(JupData!$A$2:$K$10000,MATCH($A239&amp;R$1,JupData!$A$2:$A$10000&amp;JupData!$J$2:$J$10000,0),11))</f>
        <v/>
      </c>
      <c r="S239" t="str">
        <f t="array" ref="S239">IF($A239="","",INDEX(JupData!$A$2:$K$10000,MATCH($A239&amp;S$1,JupData!$A$2:$A$10000&amp;JupData!$J$2:$J$10000,0),11))</f>
        <v/>
      </c>
      <c r="T239" t="str">
        <f t="array" ref="T239">IF($A239="","",INDEX(JupData!$A$2:$K$10000,MATCH($A239&amp;T$1,JupData!$A$2:$A$10000&amp;JupData!$J$2:$J$10000,0),11))</f>
        <v/>
      </c>
      <c r="U239" t="str">
        <f t="array" ref="U239">IF($A239="","",INDEX(JupData!$A$2:$K$10000,MATCH($A239&amp;U$1,JupData!$A$2:$A$10000&amp;JupData!$J$2:$J$10000,0),11))</f>
        <v/>
      </c>
      <c r="V239" t="str">
        <f t="array" ref="V239">IF($A239="","",INDEX(JupData!$A$2:$K$10000,MATCH($A239&amp;V$1,JupData!$A$2:$A$10000&amp;JupData!$J$2:$J$10000,0),11))</f>
        <v/>
      </c>
      <c r="W239" t="str">
        <f t="array" ref="W239">IF($A239="","",INDEX(JupData!$A$2:$K$10000,MATCH($A239&amp;W$1,JupData!$A$2:$A$10000&amp;JupData!$J$2:$J$10000,0),11))</f>
        <v/>
      </c>
      <c r="X239" t="str">
        <f t="array" ref="X239">IF($A239="","",INDEX(JupData!$A$2:$K$10000,MATCH($A239&amp;X$1,JupData!$A$2:$A$10000&amp;JupData!$J$2:$J$10000,0),11))</f>
        <v/>
      </c>
      <c r="Y239" t="str">
        <f t="array" ref="Y239">IF($A239="","",INDEX(JupData!$A$2:$K$10000,MATCH($A239&amp;Y$1,JupData!$A$2:$A$10000&amp;JupData!$J$2:$J$10000,0),11))</f>
        <v/>
      </c>
      <c r="Z239" t="str">
        <f t="array" ref="Z239">IF($A239="","",INDEX(JupData!$A$2:$K$10000,MATCH($A239&amp;Z$1,JupData!$A$2:$A$10000&amp;JupData!$J$2:$J$10000,0),11))</f>
        <v/>
      </c>
      <c r="AA239" t="str">
        <f t="array" ref="AA239">IF($A239="","",INDEX(JupData!$A$2:$K$10000,MATCH($A239&amp;AA$1,JupData!$A$2:$A$10000&amp;JupData!$J$2:$J$10000,0),11))</f>
        <v/>
      </c>
      <c r="AB239" t="str">
        <f t="array" ref="AB239">IF($A239="","",INDEX(JupData!$A$2:$K$10000,MATCH($A239&amp;AB$1,JupData!$A$2:$A$10000&amp;JupData!$J$2:$J$10000,0),11))</f>
        <v/>
      </c>
      <c r="AC239" s="10" t="str">
        <f t="shared" si="33"/>
        <v/>
      </c>
      <c r="AD239" s="10" t="str">
        <f t="shared" si="34"/>
        <v/>
      </c>
      <c r="AE239" s="9" t="str">
        <f t="shared" si="35"/>
        <v/>
      </c>
      <c r="AF239" s="10" t="str">
        <f t="shared" si="36"/>
        <v/>
      </c>
      <c r="AG239" s="10" t="str">
        <f t="shared" si="37"/>
        <v/>
      </c>
      <c r="AH239" s="10" t="str">
        <f t="shared" si="38"/>
        <v/>
      </c>
      <c r="AI239" s="10" t="str">
        <f t="shared" si="39"/>
        <v/>
      </c>
      <c r="AJ239" s="10" t="str">
        <f t="shared" si="40"/>
        <v/>
      </c>
      <c r="AK239" s="10" t="str">
        <f t="shared" si="41"/>
        <v/>
      </c>
      <c r="AL239" s="14" t="str">
        <f t="shared" si="42"/>
        <v/>
      </c>
    </row>
    <row r="240" spans="1:38" x14ac:dyDescent="0.2">
      <c r="A240"/>
      <c r="B240" t="str">
        <f>IF($A240="","",VLOOKUP($A240,JupData!$A$2:$I$10000,4,FALSE))</f>
        <v/>
      </c>
      <c r="C240" s="7" t="str">
        <f>IF($A240="",IF(N(D240),0,""),VLOOKUP($A240,JupData!$A$2:$I$10000,7,FALSE))</f>
        <v/>
      </c>
      <c r="D240" t="str">
        <f t="shared" si="43"/>
        <v/>
      </c>
      <c r="E240" t="str">
        <f t="array" ref="E240">IF($A240="","",INDEX(JupData!$A$2:$K$10000,MATCH($A240&amp;E$1,JupData!$A$2:$A$10000&amp;JupData!$J$2:$J$10000,0),11))</f>
        <v/>
      </c>
      <c r="F240" t="str">
        <f t="array" ref="F240">IF($A240="","",INDEX(JupData!$A$2:$K$10000,MATCH($A240&amp;F$1,JupData!$A$2:$A$10000&amp;JupData!$J$2:$J$10000,0),11))</f>
        <v/>
      </c>
      <c r="G240" t="str">
        <f t="array" ref="G240">IF($A240="","",INDEX(JupData!$A$2:$K$10000,MATCH($A240&amp;G$1,JupData!$A$2:$A$10000&amp;JupData!$J$2:$J$10000,0),11))</f>
        <v/>
      </c>
      <c r="H240" t="str">
        <f t="array" ref="H240">IF($A240="","",INDEX(JupData!$A$2:$K$10000,MATCH($A240&amp;H$1,JupData!$A$2:$A$10000&amp;JupData!$J$2:$J$10000,0),11))</f>
        <v/>
      </c>
      <c r="I240" t="str">
        <f t="array" ref="I240">IF($A240="","",INDEX(JupData!$A$2:$K$10000,MATCH($A240&amp;I$1,JupData!$A$2:$A$10000&amp;JupData!$J$2:$J$10000,0),11))</f>
        <v/>
      </c>
      <c r="J240" t="str">
        <f t="array" ref="J240">IF($A240="","",INDEX(JupData!$A$2:$K$10000,MATCH($A240&amp;J$1,JupData!$A$2:$A$10000&amp;JupData!$J$2:$J$10000,0),11))</f>
        <v/>
      </c>
      <c r="K240" t="str">
        <f t="array" ref="K240">IF($A240="","",INDEX(JupData!$A$2:$K$10000,MATCH($A240&amp;K$1,JupData!$A$2:$A$10000&amp;JupData!$J$2:$J$10000,0),11))</f>
        <v/>
      </c>
      <c r="L240" t="str">
        <f t="array" ref="L240">IF($A240="","",INDEX(JupData!$A$2:$K$10000,MATCH($A240&amp;L$1,JupData!$A$2:$A$10000&amp;JupData!$J$2:$J$10000,0),11))</f>
        <v/>
      </c>
      <c r="M240" t="str">
        <f t="array" ref="M240">IF($A240="","",INDEX(JupData!$A$2:$K$10000,MATCH($A240&amp;M$1,JupData!$A$2:$A$10000&amp;JupData!$J$2:$J$10000,0),11))</f>
        <v/>
      </c>
      <c r="N240" t="str">
        <f t="array" ref="N240">IF($A240="","",INDEX(JupData!$A$2:$K$10000,MATCH($A240&amp;N$1,JupData!$A$2:$A$10000&amp;JupData!$J$2:$J$10000,0),11))</f>
        <v/>
      </c>
      <c r="O240" t="str">
        <f t="array" ref="O240">IF($A240="","",INDEX(JupData!$A$2:$K$10000,MATCH($A240&amp;O$1,JupData!$A$2:$A$10000&amp;JupData!$J$2:$J$10000,0),11))</f>
        <v/>
      </c>
      <c r="P240" t="str">
        <f t="array" ref="P240">IF($A240="","",INDEX(JupData!$A$2:$K$10000,MATCH($A240&amp;P$1,JupData!$A$2:$A$10000&amp;JupData!$J$2:$J$10000,0),11))</f>
        <v/>
      </c>
      <c r="Q240" t="str">
        <f t="array" ref="Q240">IF($A240="","",INDEX(JupData!$A$2:$K$10000,MATCH($A240&amp;Q$1,JupData!$A$2:$A$10000&amp;JupData!$J$2:$J$10000,0),11))</f>
        <v/>
      </c>
      <c r="R240" t="str">
        <f t="array" ref="R240">IF($A240="","",INDEX(JupData!$A$2:$K$10000,MATCH($A240&amp;R$1,JupData!$A$2:$A$10000&amp;JupData!$J$2:$J$10000,0),11))</f>
        <v/>
      </c>
      <c r="S240" t="str">
        <f t="array" ref="S240">IF($A240="","",INDEX(JupData!$A$2:$K$10000,MATCH($A240&amp;S$1,JupData!$A$2:$A$10000&amp;JupData!$J$2:$J$10000,0),11))</f>
        <v/>
      </c>
      <c r="T240" t="str">
        <f t="array" ref="T240">IF($A240="","",INDEX(JupData!$A$2:$K$10000,MATCH($A240&amp;T$1,JupData!$A$2:$A$10000&amp;JupData!$J$2:$J$10000,0),11))</f>
        <v/>
      </c>
      <c r="U240" t="str">
        <f t="array" ref="U240">IF($A240="","",INDEX(JupData!$A$2:$K$10000,MATCH($A240&amp;U$1,JupData!$A$2:$A$10000&amp;JupData!$J$2:$J$10000,0),11))</f>
        <v/>
      </c>
      <c r="V240" t="str">
        <f t="array" ref="V240">IF($A240="","",INDEX(JupData!$A$2:$K$10000,MATCH($A240&amp;V$1,JupData!$A$2:$A$10000&amp;JupData!$J$2:$J$10000,0),11))</f>
        <v/>
      </c>
      <c r="W240" t="str">
        <f t="array" ref="W240">IF($A240="","",INDEX(JupData!$A$2:$K$10000,MATCH($A240&amp;W$1,JupData!$A$2:$A$10000&amp;JupData!$J$2:$J$10000,0),11))</f>
        <v/>
      </c>
      <c r="X240" t="str">
        <f t="array" ref="X240">IF($A240="","",INDEX(JupData!$A$2:$K$10000,MATCH($A240&amp;X$1,JupData!$A$2:$A$10000&amp;JupData!$J$2:$J$10000,0),11))</f>
        <v/>
      </c>
      <c r="Y240" t="str">
        <f t="array" ref="Y240">IF($A240="","",INDEX(JupData!$A$2:$K$10000,MATCH($A240&amp;Y$1,JupData!$A$2:$A$10000&amp;JupData!$J$2:$J$10000,0),11))</f>
        <v/>
      </c>
      <c r="Z240" t="str">
        <f t="array" ref="Z240">IF($A240="","",INDEX(JupData!$A$2:$K$10000,MATCH($A240&amp;Z$1,JupData!$A$2:$A$10000&amp;JupData!$J$2:$J$10000,0),11))</f>
        <v/>
      </c>
      <c r="AA240" t="str">
        <f t="array" ref="AA240">IF($A240="","",INDEX(JupData!$A$2:$K$10000,MATCH($A240&amp;AA$1,JupData!$A$2:$A$10000&amp;JupData!$J$2:$J$10000,0),11))</f>
        <v/>
      </c>
      <c r="AB240" t="str">
        <f t="array" ref="AB240">IF($A240="","",INDEX(JupData!$A$2:$K$10000,MATCH($A240&amp;AB$1,JupData!$A$2:$A$10000&amp;JupData!$J$2:$J$10000,0),11))</f>
        <v/>
      </c>
      <c r="AC240" s="10" t="str">
        <f t="shared" si="33"/>
        <v/>
      </c>
      <c r="AD240" s="10" t="str">
        <f t="shared" si="34"/>
        <v/>
      </c>
      <c r="AE240" s="9" t="str">
        <f t="shared" si="35"/>
        <v/>
      </c>
      <c r="AF240" s="10" t="str">
        <f t="shared" si="36"/>
        <v/>
      </c>
      <c r="AG240" s="10" t="str">
        <f t="shared" si="37"/>
        <v/>
      </c>
      <c r="AH240" s="10" t="str">
        <f t="shared" si="38"/>
        <v/>
      </c>
      <c r="AI240" s="10" t="str">
        <f t="shared" si="39"/>
        <v/>
      </c>
      <c r="AJ240" s="10" t="str">
        <f t="shared" si="40"/>
        <v/>
      </c>
      <c r="AK240" s="10" t="str">
        <f t="shared" si="41"/>
        <v/>
      </c>
      <c r="AL240" s="14" t="str">
        <f t="shared" si="42"/>
        <v/>
      </c>
    </row>
    <row r="241" spans="1:38" x14ac:dyDescent="0.2">
      <c r="A241"/>
      <c r="B241" t="str">
        <f>IF($A241="","",VLOOKUP($A241,JupData!$A$2:$I$10000,4,FALSE))</f>
        <v/>
      </c>
      <c r="C241" s="7" t="str">
        <f>IF($A241="",IF(N(D241),0,""),VLOOKUP($A241,JupData!$A$2:$I$10000,7,FALSE))</f>
        <v/>
      </c>
      <c r="D241" t="str">
        <f t="shared" si="43"/>
        <v/>
      </c>
      <c r="E241" t="str">
        <f t="array" ref="E241">IF($A241="","",INDEX(JupData!$A$2:$K$10000,MATCH($A241&amp;E$1,JupData!$A$2:$A$10000&amp;JupData!$J$2:$J$10000,0),11))</f>
        <v/>
      </c>
      <c r="F241" t="str">
        <f t="array" ref="F241">IF($A241="","",INDEX(JupData!$A$2:$K$10000,MATCH($A241&amp;F$1,JupData!$A$2:$A$10000&amp;JupData!$J$2:$J$10000,0),11))</f>
        <v/>
      </c>
      <c r="G241" t="str">
        <f t="array" ref="G241">IF($A241="","",INDEX(JupData!$A$2:$K$10000,MATCH($A241&amp;G$1,JupData!$A$2:$A$10000&amp;JupData!$J$2:$J$10000,0),11))</f>
        <v/>
      </c>
      <c r="H241" t="str">
        <f t="array" ref="H241">IF($A241="","",INDEX(JupData!$A$2:$K$10000,MATCH($A241&amp;H$1,JupData!$A$2:$A$10000&amp;JupData!$J$2:$J$10000,0),11))</f>
        <v/>
      </c>
      <c r="I241" t="str">
        <f t="array" ref="I241">IF($A241="","",INDEX(JupData!$A$2:$K$10000,MATCH($A241&amp;I$1,JupData!$A$2:$A$10000&amp;JupData!$J$2:$J$10000,0),11))</f>
        <v/>
      </c>
      <c r="J241" t="str">
        <f t="array" ref="J241">IF($A241="","",INDEX(JupData!$A$2:$K$10000,MATCH($A241&amp;J$1,JupData!$A$2:$A$10000&amp;JupData!$J$2:$J$10000,0),11))</f>
        <v/>
      </c>
      <c r="K241" t="str">
        <f t="array" ref="K241">IF($A241="","",INDEX(JupData!$A$2:$K$10000,MATCH($A241&amp;K$1,JupData!$A$2:$A$10000&amp;JupData!$J$2:$J$10000,0),11))</f>
        <v/>
      </c>
      <c r="L241" t="str">
        <f t="array" ref="L241">IF($A241="","",INDEX(JupData!$A$2:$K$10000,MATCH($A241&amp;L$1,JupData!$A$2:$A$10000&amp;JupData!$J$2:$J$10000,0),11))</f>
        <v/>
      </c>
      <c r="M241" t="str">
        <f t="array" ref="M241">IF($A241="","",INDEX(JupData!$A$2:$K$10000,MATCH($A241&amp;M$1,JupData!$A$2:$A$10000&amp;JupData!$J$2:$J$10000,0),11))</f>
        <v/>
      </c>
      <c r="N241" t="str">
        <f t="array" ref="N241">IF($A241="","",INDEX(JupData!$A$2:$K$10000,MATCH($A241&amp;N$1,JupData!$A$2:$A$10000&amp;JupData!$J$2:$J$10000,0),11))</f>
        <v/>
      </c>
      <c r="O241" t="str">
        <f t="array" ref="O241">IF($A241="","",INDEX(JupData!$A$2:$K$10000,MATCH($A241&amp;O$1,JupData!$A$2:$A$10000&amp;JupData!$J$2:$J$10000,0),11))</f>
        <v/>
      </c>
      <c r="P241" t="str">
        <f t="array" ref="P241">IF($A241="","",INDEX(JupData!$A$2:$K$10000,MATCH($A241&amp;P$1,JupData!$A$2:$A$10000&amp;JupData!$J$2:$J$10000,0),11))</f>
        <v/>
      </c>
      <c r="Q241" t="str">
        <f t="array" ref="Q241">IF($A241="","",INDEX(JupData!$A$2:$K$10000,MATCH($A241&amp;Q$1,JupData!$A$2:$A$10000&amp;JupData!$J$2:$J$10000,0),11))</f>
        <v/>
      </c>
      <c r="R241" t="str">
        <f t="array" ref="R241">IF($A241="","",INDEX(JupData!$A$2:$K$10000,MATCH($A241&amp;R$1,JupData!$A$2:$A$10000&amp;JupData!$J$2:$J$10000,0),11))</f>
        <v/>
      </c>
      <c r="S241" t="str">
        <f t="array" ref="S241">IF($A241="","",INDEX(JupData!$A$2:$K$10000,MATCH($A241&amp;S$1,JupData!$A$2:$A$10000&amp;JupData!$J$2:$J$10000,0),11))</f>
        <v/>
      </c>
      <c r="T241" t="str">
        <f t="array" ref="T241">IF($A241="","",INDEX(JupData!$A$2:$K$10000,MATCH($A241&amp;T$1,JupData!$A$2:$A$10000&amp;JupData!$J$2:$J$10000,0),11))</f>
        <v/>
      </c>
      <c r="U241" t="str">
        <f t="array" ref="U241">IF($A241="","",INDEX(JupData!$A$2:$K$10000,MATCH($A241&amp;U$1,JupData!$A$2:$A$10000&amp;JupData!$J$2:$J$10000,0),11))</f>
        <v/>
      </c>
      <c r="V241" t="str">
        <f t="array" ref="V241">IF($A241="","",INDEX(JupData!$A$2:$K$10000,MATCH($A241&amp;V$1,JupData!$A$2:$A$10000&amp;JupData!$J$2:$J$10000,0),11))</f>
        <v/>
      </c>
      <c r="W241" t="str">
        <f t="array" ref="W241">IF($A241="","",INDEX(JupData!$A$2:$K$10000,MATCH($A241&amp;W$1,JupData!$A$2:$A$10000&amp;JupData!$J$2:$J$10000,0),11))</f>
        <v/>
      </c>
      <c r="X241" t="str">
        <f t="array" ref="X241">IF($A241="","",INDEX(JupData!$A$2:$K$10000,MATCH($A241&amp;X$1,JupData!$A$2:$A$10000&amp;JupData!$J$2:$J$10000,0),11))</f>
        <v/>
      </c>
      <c r="Y241" t="str">
        <f t="array" ref="Y241">IF($A241="","",INDEX(JupData!$A$2:$K$10000,MATCH($A241&amp;Y$1,JupData!$A$2:$A$10000&amp;JupData!$J$2:$J$10000,0),11))</f>
        <v/>
      </c>
      <c r="Z241" t="str">
        <f t="array" ref="Z241">IF($A241="","",INDEX(JupData!$A$2:$K$10000,MATCH($A241&amp;Z$1,JupData!$A$2:$A$10000&amp;JupData!$J$2:$J$10000,0),11))</f>
        <v/>
      </c>
      <c r="AA241" t="str">
        <f t="array" ref="AA241">IF($A241="","",INDEX(JupData!$A$2:$K$10000,MATCH($A241&amp;AA$1,JupData!$A$2:$A$10000&amp;JupData!$J$2:$J$10000,0),11))</f>
        <v/>
      </c>
      <c r="AB241" t="str">
        <f t="array" ref="AB241">IF($A241="","",INDEX(JupData!$A$2:$K$10000,MATCH($A241&amp;AB$1,JupData!$A$2:$A$10000&amp;JupData!$J$2:$J$10000,0),11))</f>
        <v/>
      </c>
      <c r="AC241" s="10" t="str">
        <f t="shared" si="33"/>
        <v/>
      </c>
      <c r="AD241" s="10" t="str">
        <f t="shared" si="34"/>
        <v/>
      </c>
      <c r="AE241" s="9" t="str">
        <f t="shared" si="35"/>
        <v/>
      </c>
      <c r="AF241" s="10" t="str">
        <f t="shared" si="36"/>
        <v/>
      </c>
      <c r="AG241" s="10" t="str">
        <f t="shared" si="37"/>
        <v/>
      </c>
      <c r="AH241" s="10" t="str">
        <f t="shared" si="38"/>
        <v/>
      </c>
      <c r="AI241" s="10" t="str">
        <f t="shared" si="39"/>
        <v/>
      </c>
      <c r="AJ241" s="10" t="str">
        <f t="shared" si="40"/>
        <v/>
      </c>
      <c r="AK241" s="10" t="str">
        <f t="shared" si="41"/>
        <v/>
      </c>
      <c r="AL241" s="14" t="str">
        <f t="shared" si="42"/>
        <v/>
      </c>
    </row>
    <row r="242" spans="1:38" x14ac:dyDescent="0.2">
      <c r="A242"/>
      <c r="B242" t="str">
        <f>IF($A242="","",VLOOKUP($A242,JupData!$A$2:$I$10000,4,FALSE))</f>
        <v/>
      </c>
      <c r="C242" s="7" t="str">
        <f>IF($A242="",IF(N(D242),0,""),VLOOKUP($A242,JupData!$A$2:$I$10000,7,FALSE))</f>
        <v/>
      </c>
      <c r="D242" t="str">
        <f t="shared" si="43"/>
        <v/>
      </c>
      <c r="E242" t="str">
        <f t="array" ref="E242">IF($A242="","",INDEX(JupData!$A$2:$K$10000,MATCH($A242&amp;E$1,JupData!$A$2:$A$10000&amp;JupData!$J$2:$J$10000,0),11))</f>
        <v/>
      </c>
      <c r="F242" t="str">
        <f t="array" ref="F242">IF($A242="","",INDEX(JupData!$A$2:$K$10000,MATCH($A242&amp;F$1,JupData!$A$2:$A$10000&amp;JupData!$J$2:$J$10000,0),11))</f>
        <v/>
      </c>
      <c r="G242" t="str">
        <f t="array" ref="G242">IF($A242="","",INDEX(JupData!$A$2:$K$10000,MATCH($A242&amp;G$1,JupData!$A$2:$A$10000&amp;JupData!$J$2:$J$10000,0),11))</f>
        <v/>
      </c>
      <c r="H242" t="str">
        <f t="array" ref="H242">IF($A242="","",INDEX(JupData!$A$2:$K$10000,MATCH($A242&amp;H$1,JupData!$A$2:$A$10000&amp;JupData!$J$2:$J$10000,0),11))</f>
        <v/>
      </c>
      <c r="I242" t="str">
        <f t="array" ref="I242">IF($A242="","",INDEX(JupData!$A$2:$K$10000,MATCH($A242&amp;I$1,JupData!$A$2:$A$10000&amp;JupData!$J$2:$J$10000,0),11))</f>
        <v/>
      </c>
      <c r="J242" t="str">
        <f t="array" ref="J242">IF($A242="","",INDEX(JupData!$A$2:$K$10000,MATCH($A242&amp;J$1,JupData!$A$2:$A$10000&amp;JupData!$J$2:$J$10000,0),11))</f>
        <v/>
      </c>
      <c r="K242" t="str">
        <f t="array" ref="K242">IF($A242="","",INDEX(JupData!$A$2:$K$10000,MATCH($A242&amp;K$1,JupData!$A$2:$A$10000&amp;JupData!$J$2:$J$10000,0),11))</f>
        <v/>
      </c>
      <c r="L242" t="str">
        <f t="array" ref="L242">IF($A242="","",INDEX(JupData!$A$2:$K$10000,MATCH($A242&amp;L$1,JupData!$A$2:$A$10000&amp;JupData!$J$2:$J$10000,0),11))</f>
        <v/>
      </c>
      <c r="M242" t="str">
        <f t="array" ref="M242">IF($A242="","",INDEX(JupData!$A$2:$K$10000,MATCH($A242&amp;M$1,JupData!$A$2:$A$10000&amp;JupData!$J$2:$J$10000,0),11))</f>
        <v/>
      </c>
      <c r="N242" t="str">
        <f t="array" ref="N242">IF($A242="","",INDEX(JupData!$A$2:$K$10000,MATCH($A242&amp;N$1,JupData!$A$2:$A$10000&amp;JupData!$J$2:$J$10000,0),11))</f>
        <v/>
      </c>
      <c r="O242" t="str">
        <f t="array" ref="O242">IF($A242="","",INDEX(JupData!$A$2:$K$10000,MATCH($A242&amp;O$1,JupData!$A$2:$A$10000&amp;JupData!$J$2:$J$10000,0),11))</f>
        <v/>
      </c>
      <c r="P242" t="str">
        <f t="array" ref="P242">IF($A242="","",INDEX(JupData!$A$2:$K$10000,MATCH($A242&amp;P$1,JupData!$A$2:$A$10000&amp;JupData!$J$2:$J$10000,0),11))</f>
        <v/>
      </c>
      <c r="Q242" t="str">
        <f t="array" ref="Q242">IF($A242="","",INDEX(JupData!$A$2:$K$10000,MATCH($A242&amp;Q$1,JupData!$A$2:$A$10000&amp;JupData!$J$2:$J$10000,0),11))</f>
        <v/>
      </c>
      <c r="R242" t="str">
        <f t="array" ref="R242">IF($A242="","",INDEX(JupData!$A$2:$K$10000,MATCH($A242&amp;R$1,JupData!$A$2:$A$10000&amp;JupData!$J$2:$J$10000,0),11))</f>
        <v/>
      </c>
      <c r="S242" t="str">
        <f t="array" ref="S242">IF($A242="","",INDEX(JupData!$A$2:$K$10000,MATCH($A242&amp;S$1,JupData!$A$2:$A$10000&amp;JupData!$J$2:$J$10000,0),11))</f>
        <v/>
      </c>
      <c r="T242" t="str">
        <f t="array" ref="T242">IF($A242="","",INDEX(JupData!$A$2:$K$10000,MATCH($A242&amp;T$1,JupData!$A$2:$A$10000&amp;JupData!$J$2:$J$10000,0),11))</f>
        <v/>
      </c>
      <c r="U242" t="str">
        <f t="array" ref="U242">IF($A242="","",INDEX(JupData!$A$2:$K$10000,MATCH($A242&amp;U$1,JupData!$A$2:$A$10000&amp;JupData!$J$2:$J$10000,0),11))</f>
        <v/>
      </c>
      <c r="V242" t="str">
        <f t="array" ref="V242">IF($A242="","",INDEX(JupData!$A$2:$K$10000,MATCH($A242&amp;V$1,JupData!$A$2:$A$10000&amp;JupData!$J$2:$J$10000,0),11))</f>
        <v/>
      </c>
      <c r="W242" t="str">
        <f t="array" ref="W242">IF($A242="","",INDEX(JupData!$A$2:$K$10000,MATCH($A242&amp;W$1,JupData!$A$2:$A$10000&amp;JupData!$J$2:$J$10000,0),11))</f>
        <v/>
      </c>
      <c r="X242" t="str">
        <f t="array" ref="X242">IF($A242="","",INDEX(JupData!$A$2:$K$10000,MATCH($A242&amp;X$1,JupData!$A$2:$A$10000&amp;JupData!$J$2:$J$10000,0),11))</f>
        <v/>
      </c>
      <c r="Y242" t="str">
        <f t="array" ref="Y242">IF($A242="","",INDEX(JupData!$A$2:$K$10000,MATCH($A242&amp;Y$1,JupData!$A$2:$A$10000&amp;JupData!$J$2:$J$10000,0),11))</f>
        <v/>
      </c>
      <c r="Z242" t="str">
        <f t="array" ref="Z242">IF($A242="","",INDEX(JupData!$A$2:$K$10000,MATCH($A242&amp;Z$1,JupData!$A$2:$A$10000&amp;JupData!$J$2:$J$10000,0),11))</f>
        <v/>
      </c>
      <c r="AA242" t="str">
        <f t="array" ref="AA242">IF($A242="","",INDEX(JupData!$A$2:$K$10000,MATCH($A242&amp;AA$1,JupData!$A$2:$A$10000&amp;JupData!$J$2:$J$10000,0),11))</f>
        <v/>
      </c>
      <c r="AB242" t="str">
        <f t="array" ref="AB242">IF($A242="","",INDEX(JupData!$A$2:$K$10000,MATCH($A242&amp;AB$1,JupData!$A$2:$A$10000&amp;JupData!$J$2:$J$10000,0),11))</f>
        <v/>
      </c>
      <c r="AC242" s="10" t="str">
        <f t="shared" si="33"/>
        <v/>
      </c>
      <c r="AD242" s="10" t="str">
        <f t="shared" si="34"/>
        <v/>
      </c>
      <c r="AE242" s="9" t="str">
        <f t="shared" si="35"/>
        <v/>
      </c>
      <c r="AF242" s="10" t="str">
        <f t="shared" si="36"/>
        <v/>
      </c>
      <c r="AG242" s="10" t="str">
        <f t="shared" si="37"/>
        <v/>
      </c>
      <c r="AH242" s="10" t="str">
        <f t="shared" si="38"/>
        <v/>
      </c>
      <c r="AI242" s="10" t="str">
        <f t="shared" si="39"/>
        <v/>
      </c>
      <c r="AJ242" s="10" t="str">
        <f t="shared" si="40"/>
        <v/>
      </c>
      <c r="AK242" s="10" t="str">
        <f t="shared" si="41"/>
        <v/>
      </c>
      <c r="AL242" s="14" t="str">
        <f t="shared" si="42"/>
        <v/>
      </c>
    </row>
    <row r="243" spans="1:38" x14ac:dyDescent="0.2">
      <c r="A243"/>
      <c r="B243" t="str">
        <f>IF($A243="","",VLOOKUP($A243,JupData!$A$2:$I$10000,4,FALSE))</f>
        <v/>
      </c>
      <c r="C243" s="7" t="str">
        <f>IF($A243="",IF(N(D243),0,""),VLOOKUP($A243,JupData!$A$2:$I$10000,7,FALSE))</f>
        <v/>
      </c>
      <c r="D243" t="str">
        <f t="shared" si="43"/>
        <v/>
      </c>
      <c r="E243" t="str">
        <f t="array" ref="E243">IF($A243="","",INDEX(JupData!$A$2:$K$10000,MATCH($A243&amp;E$1,JupData!$A$2:$A$10000&amp;JupData!$J$2:$J$10000,0),11))</f>
        <v/>
      </c>
      <c r="F243" t="str">
        <f t="array" ref="F243">IF($A243="","",INDEX(JupData!$A$2:$K$10000,MATCH($A243&amp;F$1,JupData!$A$2:$A$10000&amp;JupData!$J$2:$J$10000,0),11))</f>
        <v/>
      </c>
      <c r="G243" t="str">
        <f t="array" ref="G243">IF($A243="","",INDEX(JupData!$A$2:$K$10000,MATCH($A243&amp;G$1,JupData!$A$2:$A$10000&amp;JupData!$J$2:$J$10000,0),11))</f>
        <v/>
      </c>
      <c r="H243" t="str">
        <f t="array" ref="H243">IF($A243="","",INDEX(JupData!$A$2:$K$10000,MATCH($A243&amp;H$1,JupData!$A$2:$A$10000&amp;JupData!$J$2:$J$10000,0),11))</f>
        <v/>
      </c>
      <c r="I243" t="str">
        <f t="array" ref="I243">IF($A243="","",INDEX(JupData!$A$2:$K$10000,MATCH($A243&amp;I$1,JupData!$A$2:$A$10000&amp;JupData!$J$2:$J$10000,0),11))</f>
        <v/>
      </c>
      <c r="J243" t="str">
        <f t="array" ref="J243">IF($A243="","",INDEX(JupData!$A$2:$K$10000,MATCH($A243&amp;J$1,JupData!$A$2:$A$10000&amp;JupData!$J$2:$J$10000,0),11))</f>
        <v/>
      </c>
      <c r="K243" t="str">
        <f t="array" ref="K243">IF($A243="","",INDEX(JupData!$A$2:$K$10000,MATCH($A243&amp;K$1,JupData!$A$2:$A$10000&amp;JupData!$J$2:$J$10000,0),11))</f>
        <v/>
      </c>
      <c r="L243" t="str">
        <f t="array" ref="L243">IF($A243="","",INDEX(JupData!$A$2:$K$10000,MATCH($A243&amp;L$1,JupData!$A$2:$A$10000&amp;JupData!$J$2:$J$10000,0),11))</f>
        <v/>
      </c>
      <c r="M243" t="str">
        <f t="array" ref="M243">IF($A243="","",INDEX(JupData!$A$2:$K$10000,MATCH($A243&amp;M$1,JupData!$A$2:$A$10000&amp;JupData!$J$2:$J$10000,0),11))</f>
        <v/>
      </c>
      <c r="N243" t="str">
        <f t="array" ref="N243">IF($A243="","",INDEX(JupData!$A$2:$K$10000,MATCH($A243&amp;N$1,JupData!$A$2:$A$10000&amp;JupData!$J$2:$J$10000,0),11))</f>
        <v/>
      </c>
      <c r="O243" t="str">
        <f t="array" ref="O243">IF($A243="","",INDEX(JupData!$A$2:$K$10000,MATCH($A243&amp;O$1,JupData!$A$2:$A$10000&amp;JupData!$J$2:$J$10000,0),11))</f>
        <v/>
      </c>
      <c r="P243" t="str">
        <f t="array" ref="P243">IF($A243="","",INDEX(JupData!$A$2:$K$10000,MATCH($A243&amp;P$1,JupData!$A$2:$A$10000&amp;JupData!$J$2:$J$10000,0),11))</f>
        <v/>
      </c>
      <c r="Q243" t="str">
        <f t="array" ref="Q243">IF($A243="","",INDEX(JupData!$A$2:$K$10000,MATCH($A243&amp;Q$1,JupData!$A$2:$A$10000&amp;JupData!$J$2:$J$10000,0),11))</f>
        <v/>
      </c>
      <c r="R243" t="str">
        <f t="array" ref="R243">IF($A243="","",INDEX(JupData!$A$2:$K$10000,MATCH($A243&amp;R$1,JupData!$A$2:$A$10000&amp;JupData!$J$2:$J$10000,0),11))</f>
        <v/>
      </c>
      <c r="S243" t="str">
        <f t="array" ref="S243">IF($A243="","",INDEX(JupData!$A$2:$K$10000,MATCH($A243&amp;S$1,JupData!$A$2:$A$10000&amp;JupData!$J$2:$J$10000,0),11))</f>
        <v/>
      </c>
      <c r="T243" t="str">
        <f t="array" ref="T243">IF($A243="","",INDEX(JupData!$A$2:$K$10000,MATCH($A243&amp;T$1,JupData!$A$2:$A$10000&amp;JupData!$J$2:$J$10000,0),11))</f>
        <v/>
      </c>
      <c r="U243" t="str">
        <f t="array" ref="U243">IF($A243="","",INDEX(JupData!$A$2:$K$10000,MATCH($A243&amp;U$1,JupData!$A$2:$A$10000&amp;JupData!$J$2:$J$10000,0),11))</f>
        <v/>
      </c>
      <c r="V243" t="str">
        <f t="array" ref="V243">IF($A243="","",INDEX(JupData!$A$2:$K$10000,MATCH($A243&amp;V$1,JupData!$A$2:$A$10000&amp;JupData!$J$2:$J$10000,0),11))</f>
        <v/>
      </c>
      <c r="W243" t="str">
        <f t="array" ref="W243">IF($A243="","",INDEX(JupData!$A$2:$K$10000,MATCH($A243&amp;W$1,JupData!$A$2:$A$10000&amp;JupData!$J$2:$J$10000,0),11))</f>
        <v/>
      </c>
      <c r="X243" t="str">
        <f t="array" ref="X243">IF($A243="","",INDEX(JupData!$A$2:$K$10000,MATCH($A243&amp;X$1,JupData!$A$2:$A$10000&amp;JupData!$J$2:$J$10000,0),11))</f>
        <v/>
      </c>
      <c r="Y243" t="str">
        <f t="array" ref="Y243">IF($A243="","",INDEX(JupData!$A$2:$K$10000,MATCH($A243&amp;Y$1,JupData!$A$2:$A$10000&amp;JupData!$J$2:$J$10000,0),11))</f>
        <v/>
      </c>
      <c r="Z243" t="str">
        <f t="array" ref="Z243">IF($A243="","",INDEX(JupData!$A$2:$K$10000,MATCH($A243&amp;Z$1,JupData!$A$2:$A$10000&amp;JupData!$J$2:$J$10000,0),11))</f>
        <v/>
      </c>
      <c r="AA243" t="str">
        <f t="array" ref="AA243">IF($A243="","",INDEX(JupData!$A$2:$K$10000,MATCH($A243&amp;AA$1,JupData!$A$2:$A$10000&amp;JupData!$J$2:$J$10000,0),11))</f>
        <v/>
      </c>
      <c r="AB243" t="str">
        <f t="array" ref="AB243">IF($A243="","",INDEX(JupData!$A$2:$K$10000,MATCH($A243&amp;AB$1,JupData!$A$2:$A$10000&amp;JupData!$J$2:$J$10000,0),11))</f>
        <v/>
      </c>
      <c r="AC243" s="10" t="str">
        <f t="shared" si="33"/>
        <v/>
      </c>
      <c r="AD243" s="10" t="str">
        <f t="shared" si="34"/>
        <v/>
      </c>
      <c r="AE243" s="9" t="str">
        <f t="shared" si="35"/>
        <v/>
      </c>
      <c r="AF243" s="10" t="str">
        <f t="shared" si="36"/>
        <v/>
      </c>
      <c r="AG243" s="10" t="str">
        <f t="shared" si="37"/>
        <v/>
      </c>
      <c r="AH243" s="10" t="str">
        <f t="shared" si="38"/>
        <v/>
      </c>
      <c r="AI243" s="10" t="str">
        <f t="shared" si="39"/>
        <v/>
      </c>
      <c r="AJ243" s="10" t="str">
        <f t="shared" si="40"/>
        <v/>
      </c>
      <c r="AK243" s="10" t="str">
        <f t="shared" si="41"/>
        <v/>
      </c>
      <c r="AL243" s="14" t="str">
        <f t="shared" si="42"/>
        <v/>
      </c>
    </row>
    <row r="244" spans="1:38" x14ac:dyDescent="0.2">
      <c r="A244"/>
      <c r="B244" t="str">
        <f>IF($A244="","",VLOOKUP($A244,JupData!$A$2:$I$10000,4,FALSE))</f>
        <v/>
      </c>
      <c r="C244" s="7" t="str">
        <f>IF($A244="",IF(N(D244),0,""),VLOOKUP($A244,JupData!$A$2:$I$10000,7,FALSE))</f>
        <v/>
      </c>
      <c r="D244" t="str">
        <f t="shared" si="43"/>
        <v/>
      </c>
      <c r="E244" t="str">
        <f t="array" ref="E244">IF($A244="","",INDEX(JupData!$A$2:$K$10000,MATCH($A244&amp;E$1,JupData!$A$2:$A$10000&amp;JupData!$J$2:$J$10000,0),11))</f>
        <v/>
      </c>
      <c r="F244" t="str">
        <f t="array" ref="F244">IF($A244="","",INDEX(JupData!$A$2:$K$10000,MATCH($A244&amp;F$1,JupData!$A$2:$A$10000&amp;JupData!$J$2:$J$10000,0),11))</f>
        <v/>
      </c>
      <c r="G244" t="str">
        <f t="array" ref="G244">IF($A244="","",INDEX(JupData!$A$2:$K$10000,MATCH($A244&amp;G$1,JupData!$A$2:$A$10000&amp;JupData!$J$2:$J$10000,0),11))</f>
        <v/>
      </c>
      <c r="H244" t="str">
        <f t="array" ref="H244">IF($A244="","",INDEX(JupData!$A$2:$K$10000,MATCH($A244&amp;H$1,JupData!$A$2:$A$10000&amp;JupData!$J$2:$J$10000,0),11))</f>
        <v/>
      </c>
      <c r="I244" t="str">
        <f t="array" ref="I244">IF($A244="","",INDEX(JupData!$A$2:$K$10000,MATCH($A244&amp;I$1,JupData!$A$2:$A$10000&amp;JupData!$J$2:$J$10000,0),11))</f>
        <v/>
      </c>
      <c r="J244" t="str">
        <f t="array" ref="J244">IF($A244="","",INDEX(JupData!$A$2:$K$10000,MATCH($A244&amp;J$1,JupData!$A$2:$A$10000&amp;JupData!$J$2:$J$10000,0),11))</f>
        <v/>
      </c>
      <c r="K244" t="str">
        <f t="array" ref="K244">IF($A244="","",INDEX(JupData!$A$2:$K$10000,MATCH($A244&amp;K$1,JupData!$A$2:$A$10000&amp;JupData!$J$2:$J$10000,0),11))</f>
        <v/>
      </c>
      <c r="L244" t="str">
        <f t="array" ref="L244">IF($A244="","",INDEX(JupData!$A$2:$K$10000,MATCH($A244&amp;L$1,JupData!$A$2:$A$10000&amp;JupData!$J$2:$J$10000,0),11))</f>
        <v/>
      </c>
      <c r="M244" t="str">
        <f t="array" ref="M244">IF($A244="","",INDEX(JupData!$A$2:$K$10000,MATCH($A244&amp;M$1,JupData!$A$2:$A$10000&amp;JupData!$J$2:$J$10000,0),11))</f>
        <v/>
      </c>
      <c r="N244" t="str">
        <f t="array" ref="N244">IF($A244="","",INDEX(JupData!$A$2:$K$10000,MATCH($A244&amp;N$1,JupData!$A$2:$A$10000&amp;JupData!$J$2:$J$10000,0),11))</f>
        <v/>
      </c>
      <c r="O244" t="str">
        <f t="array" ref="O244">IF($A244="","",INDEX(JupData!$A$2:$K$10000,MATCH($A244&amp;O$1,JupData!$A$2:$A$10000&amp;JupData!$J$2:$J$10000,0),11))</f>
        <v/>
      </c>
      <c r="P244" t="str">
        <f t="array" ref="P244">IF($A244="","",INDEX(JupData!$A$2:$K$10000,MATCH($A244&amp;P$1,JupData!$A$2:$A$10000&amp;JupData!$J$2:$J$10000,0),11))</f>
        <v/>
      </c>
      <c r="Q244" t="str">
        <f t="array" ref="Q244">IF($A244="","",INDEX(JupData!$A$2:$K$10000,MATCH($A244&amp;Q$1,JupData!$A$2:$A$10000&amp;JupData!$J$2:$J$10000,0),11))</f>
        <v/>
      </c>
      <c r="R244" t="str">
        <f t="array" ref="R244">IF($A244="","",INDEX(JupData!$A$2:$K$10000,MATCH($A244&amp;R$1,JupData!$A$2:$A$10000&amp;JupData!$J$2:$J$10000,0),11))</f>
        <v/>
      </c>
      <c r="S244" t="str">
        <f t="array" ref="S244">IF($A244="","",INDEX(JupData!$A$2:$K$10000,MATCH($A244&amp;S$1,JupData!$A$2:$A$10000&amp;JupData!$J$2:$J$10000,0),11))</f>
        <v/>
      </c>
      <c r="T244" t="str">
        <f t="array" ref="T244">IF($A244="","",INDEX(JupData!$A$2:$K$10000,MATCH($A244&amp;T$1,JupData!$A$2:$A$10000&amp;JupData!$J$2:$J$10000,0),11))</f>
        <v/>
      </c>
      <c r="U244" t="str">
        <f t="array" ref="U244">IF($A244="","",INDEX(JupData!$A$2:$K$10000,MATCH($A244&amp;U$1,JupData!$A$2:$A$10000&amp;JupData!$J$2:$J$10000,0),11))</f>
        <v/>
      </c>
      <c r="V244" t="str">
        <f t="array" ref="V244">IF($A244="","",INDEX(JupData!$A$2:$K$10000,MATCH($A244&amp;V$1,JupData!$A$2:$A$10000&amp;JupData!$J$2:$J$10000,0),11))</f>
        <v/>
      </c>
      <c r="W244" t="str">
        <f t="array" ref="W244">IF($A244="","",INDEX(JupData!$A$2:$K$10000,MATCH($A244&amp;W$1,JupData!$A$2:$A$10000&amp;JupData!$J$2:$J$10000,0),11))</f>
        <v/>
      </c>
      <c r="X244" t="str">
        <f t="array" ref="X244">IF($A244="","",INDEX(JupData!$A$2:$K$10000,MATCH($A244&amp;X$1,JupData!$A$2:$A$10000&amp;JupData!$J$2:$J$10000,0),11))</f>
        <v/>
      </c>
      <c r="Y244" t="str">
        <f t="array" ref="Y244">IF($A244="","",INDEX(JupData!$A$2:$K$10000,MATCH($A244&amp;Y$1,JupData!$A$2:$A$10000&amp;JupData!$J$2:$J$10000,0),11))</f>
        <v/>
      </c>
      <c r="Z244" t="str">
        <f t="array" ref="Z244">IF($A244="","",INDEX(JupData!$A$2:$K$10000,MATCH($A244&amp;Z$1,JupData!$A$2:$A$10000&amp;JupData!$J$2:$J$10000,0),11))</f>
        <v/>
      </c>
      <c r="AA244" t="str">
        <f t="array" ref="AA244">IF($A244="","",INDEX(JupData!$A$2:$K$10000,MATCH($A244&amp;AA$1,JupData!$A$2:$A$10000&amp;JupData!$J$2:$J$10000,0),11))</f>
        <v/>
      </c>
      <c r="AB244" t="str">
        <f t="array" ref="AB244">IF($A244="","",INDEX(JupData!$A$2:$K$10000,MATCH($A244&amp;AB$1,JupData!$A$2:$A$10000&amp;JupData!$J$2:$J$10000,0),11))</f>
        <v/>
      </c>
      <c r="AC244" s="10" t="str">
        <f t="shared" si="33"/>
        <v/>
      </c>
      <c r="AD244" s="10" t="str">
        <f t="shared" si="34"/>
        <v/>
      </c>
      <c r="AE244" s="9" t="str">
        <f t="shared" si="35"/>
        <v/>
      </c>
      <c r="AF244" s="10" t="str">
        <f t="shared" si="36"/>
        <v/>
      </c>
      <c r="AG244" s="10" t="str">
        <f t="shared" si="37"/>
        <v/>
      </c>
      <c r="AH244" s="10" t="str">
        <f t="shared" si="38"/>
        <v/>
      </c>
      <c r="AI244" s="10" t="str">
        <f t="shared" si="39"/>
        <v/>
      </c>
      <c r="AJ244" s="10" t="str">
        <f t="shared" si="40"/>
        <v/>
      </c>
      <c r="AK244" s="10" t="str">
        <f t="shared" si="41"/>
        <v/>
      </c>
      <c r="AL244" s="14" t="str">
        <f t="shared" si="42"/>
        <v/>
      </c>
    </row>
    <row r="245" spans="1:38" x14ac:dyDescent="0.2">
      <c r="A245"/>
      <c r="B245" t="str">
        <f>IF($A245="","",VLOOKUP($A245,JupData!$A$2:$I$10000,4,FALSE))</f>
        <v/>
      </c>
      <c r="C245" s="7" t="str">
        <f>IF($A245="",IF(N(D245),0,""),VLOOKUP($A245,JupData!$A$2:$I$10000,7,FALSE))</f>
        <v/>
      </c>
      <c r="D245" t="str">
        <f t="shared" si="43"/>
        <v/>
      </c>
      <c r="E245" t="str">
        <f t="array" ref="E245">IF($A245="","",INDEX(JupData!$A$2:$K$10000,MATCH($A245&amp;E$1,JupData!$A$2:$A$10000&amp;JupData!$J$2:$J$10000,0),11))</f>
        <v/>
      </c>
      <c r="F245" t="str">
        <f t="array" ref="F245">IF($A245="","",INDEX(JupData!$A$2:$K$10000,MATCH($A245&amp;F$1,JupData!$A$2:$A$10000&amp;JupData!$J$2:$J$10000,0),11))</f>
        <v/>
      </c>
      <c r="G245" t="str">
        <f t="array" ref="G245">IF($A245="","",INDEX(JupData!$A$2:$K$10000,MATCH($A245&amp;G$1,JupData!$A$2:$A$10000&amp;JupData!$J$2:$J$10000,0),11))</f>
        <v/>
      </c>
      <c r="H245" t="str">
        <f t="array" ref="H245">IF($A245="","",INDEX(JupData!$A$2:$K$10000,MATCH($A245&amp;H$1,JupData!$A$2:$A$10000&amp;JupData!$J$2:$J$10000,0),11))</f>
        <v/>
      </c>
      <c r="I245" t="str">
        <f t="array" ref="I245">IF($A245="","",INDEX(JupData!$A$2:$K$10000,MATCH($A245&amp;I$1,JupData!$A$2:$A$10000&amp;JupData!$J$2:$J$10000,0),11))</f>
        <v/>
      </c>
      <c r="J245" t="str">
        <f t="array" ref="J245">IF($A245="","",INDEX(JupData!$A$2:$K$10000,MATCH($A245&amp;J$1,JupData!$A$2:$A$10000&amp;JupData!$J$2:$J$10000,0),11))</f>
        <v/>
      </c>
      <c r="K245" t="str">
        <f t="array" ref="K245">IF($A245="","",INDEX(JupData!$A$2:$K$10000,MATCH($A245&amp;K$1,JupData!$A$2:$A$10000&amp;JupData!$J$2:$J$10000,0),11))</f>
        <v/>
      </c>
      <c r="L245" t="str">
        <f t="array" ref="L245">IF($A245="","",INDEX(JupData!$A$2:$K$10000,MATCH($A245&amp;L$1,JupData!$A$2:$A$10000&amp;JupData!$J$2:$J$10000,0),11))</f>
        <v/>
      </c>
      <c r="M245" t="str">
        <f t="array" ref="M245">IF($A245="","",INDEX(JupData!$A$2:$K$10000,MATCH($A245&amp;M$1,JupData!$A$2:$A$10000&amp;JupData!$J$2:$J$10000,0),11))</f>
        <v/>
      </c>
      <c r="N245" t="str">
        <f t="array" ref="N245">IF($A245="","",INDEX(JupData!$A$2:$K$10000,MATCH($A245&amp;N$1,JupData!$A$2:$A$10000&amp;JupData!$J$2:$J$10000,0),11))</f>
        <v/>
      </c>
      <c r="O245" t="str">
        <f t="array" ref="O245">IF($A245="","",INDEX(JupData!$A$2:$K$10000,MATCH($A245&amp;O$1,JupData!$A$2:$A$10000&amp;JupData!$J$2:$J$10000,0),11))</f>
        <v/>
      </c>
      <c r="P245" t="str">
        <f t="array" ref="P245">IF($A245="","",INDEX(JupData!$A$2:$K$10000,MATCH($A245&amp;P$1,JupData!$A$2:$A$10000&amp;JupData!$J$2:$J$10000,0),11))</f>
        <v/>
      </c>
      <c r="Q245" t="str">
        <f t="array" ref="Q245">IF($A245="","",INDEX(JupData!$A$2:$K$10000,MATCH($A245&amp;Q$1,JupData!$A$2:$A$10000&amp;JupData!$J$2:$J$10000,0),11))</f>
        <v/>
      </c>
      <c r="R245" t="str">
        <f t="array" ref="R245">IF($A245="","",INDEX(JupData!$A$2:$K$10000,MATCH($A245&amp;R$1,JupData!$A$2:$A$10000&amp;JupData!$J$2:$J$10000,0),11))</f>
        <v/>
      </c>
      <c r="S245" t="str">
        <f t="array" ref="S245">IF($A245="","",INDEX(JupData!$A$2:$K$10000,MATCH($A245&amp;S$1,JupData!$A$2:$A$10000&amp;JupData!$J$2:$J$10000,0),11))</f>
        <v/>
      </c>
      <c r="T245" t="str">
        <f t="array" ref="T245">IF($A245="","",INDEX(JupData!$A$2:$K$10000,MATCH($A245&amp;T$1,JupData!$A$2:$A$10000&amp;JupData!$J$2:$J$10000,0),11))</f>
        <v/>
      </c>
      <c r="U245" t="str">
        <f t="array" ref="U245">IF($A245="","",INDEX(JupData!$A$2:$K$10000,MATCH($A245&amp;U$1,JupData!$A$2:$A$10000&amp;JupData!$J$2:$J$10000,0),11))</f>
        <v/>
      </c>
      <c r="V245" t="str">
        <f t="array" ref="V245">IF($A245="","",INDEX(JupData!$A$2:$K$10000,MATCH($A245&amp;V$1,JupData!$A$2:$A$10000&amp;JupData!$J$2:$J$10000,0),11))</f>
        <v/>
      </c>
      <c r="W245" t="str">
        <f t="array" ref="W245">IF($A245="","",INDEX(JupData!$A$2:$K$10000,MATCH($A245&amp;W$1,JupData!$A$2:$A$10000&amp;JupData!$J$2:$J$10000,0),11))</f>
        <v/>
      </c>
      <c r="X245" t="str">
        <f t="array" ref="X245">IF($A245="","",INDEX(JupData!$A$2:$K$10000,MATCH($A245&amp;X$1,JupData!$A$2:$A$10000&amp;JupData!$J$2:$J$10000,0),11))</f>
        <v/>
      </c>
      <c r="Y245" t="str">
        <f t="array" ref="Y245">IF($A245="","",INDEX(JupData!$A$2:$K$10000,MATCH($A245&amp;Y$1,JupData!$A$2:$A$10000&amp;JupData!$J$2:$J$10000,0),11))</f>
        <v/>
      </c>
      <c r="Z245" t="str">
        <f t="array" ref="Z245">IF($A245="","",INDEX(JupData!$A$2:$K$10000,MATCH($A245&amp;Z$1,JupData!$A$2:$A$10000&amp;JupData!$J$2:$J$10000,0),11))</f>
        <v/>
      </c>
      <c r="AA245" t="str">
        <f t="array" ref="AA245">IF($A245="","",INDEX(JupData!$A$2:$K$10000,MATCH($A245&amp;AA$1,JupData!$A$2:$A$10000&amp;JupData!$J$2:$J$10000,0),11))</f>
        <v/>
      </c>
      <c r="AB245" t="str">
        <f t="array" ref="AB245">IF($A245="","",INDEX(JupData!$A$2:$K$10000,MATCH($A245&amp;AB$1,JupData!$A$2:$A$10000&amp;JupData!$J$2:$J$10000,0),11))</f>
        <v/>
      </c>
      <c r="AC245" s="10" t="str">
        <f t="shared" si="33"/>
        <v/>
      </c>
      <c r="AD245" s="10" t="str">
        <f t="shared" si="34"/>
        <v/>
      </c>
      <c r="AE245" s="9" t="str">
        <f t="shared" si="35"/>
        <v/>
      </c>
      <c r="AF245" s="10" t="str">
        <f t="shared" si="36"/>
        <v/>
      </c>
      <c r="AG245" s="10" t="str">
        <f t="shared" si="37"/>
        <v/>
      </c>
      <c r="AH245" s="10" t="str">
        <f t="shared" si="38"/>
        <v/>
      </c>
      <c r="AI245" s="10" t="str">
        <f t="shared" si="39"/>
        <v/>
      </c>
      <c r="AJ245" s="10" t="str">
        <f t="shared" si="40"/>
        <v/>
      </c>
      <c r="AK245" s="10" t="str">
        <f t="shared" si="41"/>
        <v/>
      </c>
      <c r="AL245" s="14" t="str">
        <f t="shared" si="42"/>
        <v/>
      </c>
    </row>
    <row r="246" spans="1:38" x14ac:dyDescent="0.2">
      <c r="A246"/>
      <c r="B246" t="str">
        <f>IF($A246="","",VLOOKUP($A246,JupData!$A$2:$I$10000,4,FALSE))</f>
        <v/>
      </c>
      <c r="C246" s="7" t="str">
        <f>IF($A246="",IF(N(D246),0,""),VLOOKUP($A246,JupData!$A$2:$I$10000,7,FALSE))</f>
        <v/>
      </c>
      <c r="D246" t="str">
        <f t="shared" si="43"/>
        <v/>
      </c>
      <c r="E246" t="str">
        <f t="array" ref="E246">IF($A246="","",INDEX(JupData!$A$2:$K$10000,MATCH($A246&amp;E$1,JupData!$A$2:$A$10000&amp;JupData!$J$2:$J$10000,0),11))</f>
        <v/>
      </c>
      <c r="F246" t="str">
        <f t="array" ref="F246">IF($A246="","",INDEX(JupData!$A$2:$K$10000,MATCH($A246&amp;F$1,JupData!$A$2:$A$10000&amp;JupData!$J$2:$J$10000,0),11))</f>
        <v/>
      </c>
      <c r="G246" t="str">
        <f t="array" ref="G246">IF($A246="","",INDEX(JupData!$A$2:$K$10000,MATCH($A246&amp;G$1,JupData!$A$2:$A$10000&amp;JupData!$J$2:$J$10000,0),11))</f>
        <v/>
      </c>
      <c r="H246" t="str">
        <f t="array" ref="H246">IF($A246="","",INDEX(JupData!$A$2:$K$10000,MATCH($A246&amp;H$1,JupData!$A$2:$A$10000&amp;JupData!$J$2:$J$10000,0),11))</f>
        <v/>
      </c>
      <c r="I246" t="str">
        <f t="array" ref="I246">IF($A246="","",INDEX(JupData!$A$2:$K$10000,MATCH($A246&amp;I$1,JupData!$A$2:$A$10000&amp;JupData!$J$2:$J$10000,0),11))</f>
        <v/>
      </c>
      <c r="J246" t="str">
        <f t="array" ref="J246">IF($A246="","",INDEX(JupData!$A$2:$K$10000,MATCH($A246&amp;J$1,JupData!$A$2:$A$10000&amp;JupData!$J$2:$J$10000,0),11))</f>
        <v/>
      </c>
      <c r="K246" t="str">
        <f t="array" ref="K246">IF($A246="","",INDEX(JupData!$A$2:$K$10000,MATCH($A246&amp;K$1,JupData!$A$2:$A$10000&amp;JupData!$J$2:$J$10000,0),11))</f>
        <v/>
      </c>
      <c r="L246" t="str">
        <f t="array" ref="L246">IF($A246="","",INDEX(JupData!$A$2:$K$10000,MATCH($A246&amp;L$1,JupData!$A$2:$A$10000&amp;JupData!$J$2:$J$10000,0),11))</f>
        <v/>
      </c>
      <c r="M246" t="str">
        <f t="array" ref="M246">IF($A246="","",INDEX(JupData!$A$2:$K$10000,MATCH($A246&amp;M$1,JupData!$A$2:$A$10000&amp;JupData!$J$2:$J$10000,0),11))</f>
        <v/>
      </c>
      <c r="N246" t="str">
        <f t="array" ref="N246">IF($A246="","",INDEX(JupData!$A$2:$K$10000,MATCH($A246&amp;N$1,JupData!$A$2:$A$10000&amp;JupData!$J$2:$J$10000,0),11))</f>
        <v/>
      </c>
      <c r="O246" t="str">
        <f t="array" ref="O246">IF($A246="","",INDEX(JupData!$A$2:$K$10000,MATCH($A246&amp;O$1,JupData!$A$2:$A$10000&amp;JupData!$J$2:$J$10000,0),11))</f>
        <v/>
      </c>
      <c r="P246" t="str">
        <f t="array" ref="P246">IF($A246="","",INDEX(JupData!$A$2:$K$10000,MATCH($A246&amp;P$1,JupData!$A$2:$A$10000&amp;JupData!$J$2:$J$10000,0),11))</f>
        <v/>
      </c>
      <c r="Q246" t="str">
        <f t="array" ref="Q246">IF($A246="","",INDEX(JupData!$A$2:$K$10000,MATCH($A246&amp;Q$1,JupData!$A$2:$A$10000&amp;JupData!$J$2:$J$10000,0),11))</f>
        <v/>
      </c>
      <c r="R246" t="str">
        <f t="array" ref="R246">IF($A246="","",INDEX(JupData!$A$2:$K$10000,MATCH($A246&amp;R$1,JupData!$A$2:$A$10000&amp;JupData!$J$2:$J$10000,0),11))</f>
        <v/>
      </c>
      <c r="S246" t="str">
        <f t="array" ref="S246">IF($A246="","",INDEX(JupData!$A$2:$K$10000,MATCH($A246&amp;S$1,JupData!$A$2:$A$10000&amp;JupData!$J$2:$J$10000,0),11))</f>
        <v/>
      </c>
      <c r="T246" t="str">
        <f t="array" ref="T246">IF($A246="","",INDEX(JupData!$A$2:$K$10000,MATCH($A246&amp;T$1,JupData!$A$2:$A$10000&amp;JupData!$J$2:$J$10000,0),11))</f>
        <v/>
      </c>
      <c r="U246" t="str">
        <f t="array" ref="U246">IF($A246="","",INDEX(JupData!$A$2:$K$10000,MATCH($A246&amp;U$1,JupData!$A$2:$A$10000&amp;JupData!$J$2:$J$10000,0),11))</f>
        <v/>
      </c>
      <c r="V246" t="str">
        <f t="array" ref="V246">IF($A246="","",INDEX(JupData!$A$2:$K$10000,MATCH($A246&amp;V$1,JupData!$A$2:$A$10000&amp;JupData!$J$2:$J$10000,0),11))</f>
        <v/>
      </c>
      <c r="W246" t="str">
        <f t="array" ref="W246">IF($A246="","",INDEX(JupData!$A$2:$K$10000,MATCH($A246&amp;W$1,JupData!$A$2:$A$10000&amp;JupData!$J$2:$J$10000,0),11))</f>
        <v/>
      </c>
      <c r="X246" t="str">
        <f t="array" ref="X246">IF($A246="","",INDEX(JupData!$A$2:$K$10000,MATCH($A246&amp;X$1,JupData!$A$2:$A$10000&amp;JupData!$J$2:$J$10000,0),11))</f>
        <v/>
      </c>
      <c r="Y246" t="str">
        <f t="array" ref="Y246">IF($A246="","",INDEX(JupData!$A$2:$K$10000,MATCH($A246&amp;Y$1,JupData!$A$2:$A$10000&amp;JupData!$J$2:$J$10000,0),11))</f>
        <v/>
      </c>
      <c r="Z246" t="str">
        <f t="array" ref="Z246">IF($A246="","",INDEX(JupData!$A$2:$K$10000,MATCH($A246&amp;Z$1,JupData!$A$2:$A$10000&amp;JupData!$J$2:$J$10000,0),11))</f>
        <v/>
      </c>
      <c r="AA246" t="str">
        <f t="array" ref="AA246">IF($A246="","",INDEX(JupData!$A$2:$K$10000,MATCH($A246&amp;AA$1,JupData!$A$2:$A$10000&amp;JupData!$J$2:$J$10000,0),11))</f>
        <v/>
      </c>
      <c r="AB246" t="str">
        <f t="array" ref="AB246">IF($A246="","",INDEX(JupData!$A$2:$K$10000,MATCH($A246&amp;AB$1,JupData!$A$2:$A$10000&amp;JupData!$J$2:$J$10000,0),11))</f>
        <v/>
      </c>
      <c r="AC246" s="10" t="str">
        <f t="shared" si="33"/>
        <v/>
      </c>
      <c r="AD246" s="10" t="str">
        <f t="shared" si="34"/>
        <v/>
      </c>
      <c r="AE246" s="9" t="str">
        <f t="shared" si="35"/>
        <v/>
      </c>
      <c r="AF246" s="10" t="str">
        <f t="shared" si="36"/>
        <v/>
      </c>
      <c r="AG246" s="10" t="str">
        <f t="shared" si="37"/>
        <v/>
      </c>
      <c r="AH246" s="10" t="str">
        <f t="shared" si="38"/>
        <v/>
      </c>
      <c r="AI246" s="10" t="str">
        <f t="shared" si="39"/>
        <v/>
      </c>
      <c r="AJ246" s="10" t="str">
        <f t="shared" si="40"/>
        <v/>
      </c>
      <c r="AK246" s="10" t="str">
        <f t="shared" si="41"/>
        <v/>
      </c>
      <c r="AL246" s="14" t="str">
        <f t="shared" si="42"/>
        <v/>
      </c>
    </row>
    <row r="247" spans="1:38" x14ac:dyDescent="0.2">
      <c r="A247"/>
      <c r="B247" t="str">
        <f>IF($A247="","",VLOOKUP($A247,JupData!$A$2:$I$10000,4,FALSE))</f>
        <v/>
      </c>
      <c r="C247" s="7" t="str">
        <f>IF($A247="",IF(N(D247),0,""),VLOOKUP($A247,JupData!$A$2:$I$10000,7,FALSE))</f>
        <v/>
      </c>
      <c r="D247" t="str">
        <f t="shared" si="43"/>
        <v/>
      </c>
      <c r="E247" t="str">
        <f t="array" ref="E247">IF($A247="","",INDEX(JupData!$A$2:$K$10000,MATCH($A247&amp;E$1,JupData!$A$2:$A$10000&amp;JupData!$J$2:$J$10000,0),11))</f>
        <v/>
      </c>
      <c r="F247" t="str">
        <f t="array" ref="F247">IF($A247="","",INDEX(JupData!$A$2:$K$10000,MATCH($A247&amp;F$1,JupData!$A$2:$A$10000&amp;JupData!$J$2:$J$10000,0),11))</f>
        <v/>
      </c>
      <c r="G247" t="str">
        <f t="array" ref="G247">IF($A247="","",INDEX(JupData!$A$2:$K$10000,MATCH($A247&amp;G$1,JupData!$A$2:$A$10000&amp;JupData!$J$2:$J$10000,0),11))</f>
        <v/>
      </c>
      <c r="H247" t="str">
        <f t="array" ref="H247">IF($A247="","",INDEX(JupData!$A$2:$K$10000,MATCH($A247&amp;H$1,JupData!$A$2:$A$10000&amp;JupData!$J$2:$J$10000,0),11))</f>
        <v/>
      </c>
      <c r="I247" t="str">
        <f t="array" ref="I247">IF($A247="","",INDEX(JupData!$A$2:$K$10000,MATCH($A247&amp;I$1,JupData!$A$2:$A$10000&amp;JupData!$J$2:$J$10000,0),11))</f>
        <v/>
      </c>
      <c r="J247" t="str">
        <f t="array" ref="J247">IF($A247="","",INDEX(JupData!$A$2:$K$10000,MATCH($A247&amp;J$1,JupData!$A$2:$A$10000&amp;JupData!$J$2:$J$10000,0),11))</f>
        <v/>
      </c>
      <c r="K247" t="str">
        <f t="array" ref="K247">IF($A247="","",INDEX(JupData!$A$2:$K$10000,MATCH($A247&amp;K$1,JupData!$A$2:$A$10000&amp;JupData!$J$2:$J$10000,0),11))</f>
        <v/>
      </c>
      <c r="L247" t="str">
        <f t="array" ref="L247">IF($A247="","",INDEX(JupData!$A$2:$K$10000,MATCH($A247&amp;L$1,JupData!$A$2:$A$10000&amp;JupData!$J$2:$J$10000,0),11))</f>
        <v/>
      </c>
      <c r="M247" t="str">
        <f t="array" ref="M247">IF($A247="","",INDEX(JupData!$A$2:$K$10000,MATCH($A247&amp;M$1,JupData!$A$2:$A$10000&amp;JupData!$J$2:$J$10000,0),11))</f>
        <v/>
      </c>
      <c r="N247" t="str">
        <f t="array" ref="N247">IF($A247="","",INDEX(JupData!$A$2:$K$10000,MATCH($A247&amp;N$1,JupData!$A$2:$A$10000&amp;JupData!$J$2:$J$10000,0),11))</f>
        <v/>
      </c>
      <c r="O247" t="str">
        <f t="array" ref="O247">IF($A247="","",INDEX(JupData!$A$2:$K$10000,MATCH($A247&amp;O$1,JupData!$A$2:$A$10000&amp;JupData!$J$2:$J$10000,0),11))</f>
        <v/>
      </c>
      <c r="P247" t="str">
        <f t="array" ref="P247">IF($A247="","",INDEX(JupData!$A$2:$K$10000,MATCH($A247&amp;P$1,JupData!$A$2:$A$10000&amp;JupData!$J$2:$J$10000,0),11))</f>
        <v/>
      </c>
      <c r="Q247" t="str">
        <f t="array" ref="Q247">IF($A247="","",INDEX(JupData!$A$2:$K$10000,MATCH($A247&amp;Q$1,JupData!$A$2:$A$10000&amp;JupData!$J$2:$J$10000,0),11))</f>
        <v/>
      </c>
      <c r="R247" t="str">
        <f t="array" ref="R247">IF($A247="","",INDEX(JupData!$A$2:$K$10000,MATCH($A247&amp;R$1,JupData!$A$2:$A$10000&amp;JupData!$J$2:$J$10000,0),11))</f>
        <v/>
      </c>
      <c r="S247" t="str">
        <f t="array" ref="S247">IF($A247="","",INDEX(JupData!$A$2:$K$10000,MATCH($A247&amp;S$1,JupData!$A$2:$A$10000&amp;JupData!$J$2:$J$10000,0),11))</f>
        <v/>
      </c>
      <c r="T247" t="str">
        <f t="array" ref="T247">IF($A247="","",INDEX(JupData!$A$2:$K$10000,MATCH($A247&amp;T$1,JupData!$A$2:$A$10000&amp;JupData!$J$2:$J$10000,0),11))</f>
        <v/>
      </c>
      <c r="U247" t="str">
        <f t="array" ref="U247">IF($A247="","",INDEX(JupData!$A$2:$K$10000,MATCH($A247&amp;U$1,JupData!$A$2:$A$10000&amp;JupData!$J$2:$J$10000,0),11))</f>
        <v/>
      </c>
      <c r="V247" t="str">
        <f t="array" ref="V247">IF($A247="","",INDEX(JupData!$A$2:$K$10000,MATCH($A247&amp;V$1,JupData!$A$2:$A$10000&amp;JupData!$J$2:$J$10000,0),11))</f>
        <v/>
      </c>
      <c r="W247" t="str">
        <f t="array" ref="W247">IF($A247="","",INDEX(JupData!$A$2:$K$10000,MATCH($A247&amp;W$1,JupData!$A$2:$A$10000&amp;JupData!$J$2:$J$10000,0),11))</f>
        <v/>
      </c>
      <c r="X247" t="str">
        <f t="array" ref="X247">IF($A247="","",INDEX(JupData!$A$2:$K$10000,MATCH($A247&amp;X$1,JupData!$A$2:$A$10000&amp;JupData!$J$2:$J$10000,0),11))</f>
        <v/>
      </c>
      <c r="Y247" t="str">
        <f t="array" ref="Y247">IF($A247="","",INDEX(JupData!$A$2:$K$10000,MATCH($A247&amp;Y$1,JupData!$A$2:$A$10000&amp;JupData!$J$2:$J$10000,0),11))</f>
        <v/>
      </c>
      <c r="Z247" t="str">
        <f t="array" ref="Z247">IF($A247="","",INDEX(JupData!$A$2:$K$10000,MATCH($A247&amp;Z$1,JupData!$A$2:$A$10000&amp;JupData!$J$2:$J$10000,0),11))</f>
        <v/>
      </c>
      <c r="AA247" t="str">
        <f t="array" ref="AA247">IF($A247="","",INDEX(JupData!$A$2:$K$10000,MATCH($A247&amp;AA$1,JupData!$A$2:$A$10000&amp;JupData!$J$2:$J$10000,0),11))</f>
        <v/>
      </c>
      <c r="AB247" t="str">
        <f t="array" ref="AB247">IF($A247="","",INDEX(JupData!$A$2:$K$10000,MATCH($A247&amp;AB$1,JupData!$A$2:$A$10000&amp;JupData!$J$2:$J$10000,0),11))</f>
        <v/>
      </c>
      <c r="AC247" s="10" t="str">
        <f t="shared" si="33"/>
        <v/>
      </c>
      <c r="AD247" s="10" t="str">
        <f t="shared" si="34"/>
        <v/>
      </c>
      <c r="AE247" s="9" t="str">
        <f t="shared" si="35"/>
        <v/>
      </c>
      <c r="AF247" s="10" t="str">
        <f t="shared" si="36"/>
        <v/>
      </c>
      <c r="AG247" s="10" t="str">
        <f t="shared" si="37"/>
        <v/>
      </c>
      <c r="AH247" s="10" t="str">
        <f t="shared" si="38"/>
        <v/>
      </c>
      <c r="AI247" s="10" t="str">
        <f t="shared" si="39"/>
        <v/>
      </c>
      <c r="AJ247" s="10" t="str">
        <f t="shared" si="40"/>
        <v/>
      </c>
      <c r="AK247" s="10" t="str">
        <f t="shared" si="41"/>
        <v/>
      </c>
      <c r="AL247" s="14" t="str">
        <f t="shared" si="42"/>
        <v/>
      </c>
    </row>
    <row r="248" spans="1:38" x14ac:dyDescent="0.2">
      <c r="A248"/>
      <c r="B248" t="str">
        <f>IF($A248="","",VLOOKUP($A248,JupData!$A$2:$I$10000,4,FALSE))</f>
        <v/>
      </c>
      <c r="C248" s="7" t="str">
        <f>IF($A248="",IF(N(D248),0,""),VLOOKUP($A248,JupData!$A$2:$I$10000,7,FALSE))</f>
        <v/>
      </c>
      <c r="D248" t="str">
        <f t="shared" si="43"/>
        <v/>
      </c>
      <c r="E248" t="str">
        <f t="array" ref="E248">IF($A248="","",INDEX(JupData!$A$2:$K$10000,MATCH($A248&amp;E$1,JupData!$A$2:$A$10000&amp;JupData!$J$2:$J$10000,0),11))</f>
        <v/>
      </c>
      <c r="F248" t="str">
        <f t="array" ref="F248">IF($A248="","",INDEX(JupData!$A$2:$K$10000,MATCH($A248&amp;F$1,JupData!$A$2:$A$10000&amp;JupData!$J$2:$J$10000,0),11))</f>
        <v/>
      </c>
      <c r="G248" t="str">
        <f t="array" ref="G248">IF($A248="","",INDEX(JupData!$A$2:$K$10000,MATCH($A248&amp;G$1,JupData!$A$2:$A$10000&amp;JupData!$J$2:$J$10000,0),11))</f>
        <v/>
      </c>
      <c r="H248" t="str">
        <f t="array" ref="H248">IF($A248="","",INDEX(JupData!$A$2:$K$10000,MATCH($A248&amp;H$1,JupData!$A$2:$A$10000&amp;JupData!$J$2:$J$10000,0),11))</f>
        <v/>
      </c>
      <c r="I248" t="str">
        <f t="array" ref="I248">IF($A248="","",INDEX(JupData!$A$2:$K$10000,MATCH($A248&amp;I$1,JupData!$A$2:$A$10000&amp;JupData!$J$2:$J$10000,0),11))</f>
        <v/>
      </c>
      <c r="J248" t="str">
        <f t="array" ref="J248">IF($A248="","",INDEX(JupData!$A$2:$K$10000,MATCH($A248&amp;J$1,JupData!$A$2:$A$10000&amp;JupData!$J$2:$J$10000,0),11))</f>
        <v/>
      </c>
      <c r="K248" t="str">
        <f t="array" ref="K248">IF($A248="","",INDEX(JupData!$A$2:$K$10000,MATCH($A248&amp;K$1,JupData!$A$2:$A$10000&amp;JupData!$J$2:$J$10000,0),11))</f>
        <v/>
      </c>
      <c r="L248" t="str">
        <f t="array" ref="L248">IF($A248="","",INDEX(JupData!$A$2:$K$10000,MATCH($A248&amp;L$1,JupData!$A$2:$A$10000&amp;JupData!$J$2:$J$10000,0),11))</f>
        <v/>
      </c>
      <c r="M248" t="str">
        <f t="array" ref="M248">IF($A248="","",INDEX(JupData!$A$2:$K$10000,MATCH($A248&amp;M$1,JupData!$A$2:$A$10000&amp;JupData!$J$2:$J$10000,0),11))</f>
        <v/>
      </c>
      <c r="N248" t="str">
        <f t="array" ref="N248">IF($A248="","",INDEX(JupData!$A$2:$K$10000,MATCH($A248&amp;N$1,JupData!$A$2:$A$10000&amp;JupData!$J$2:$J$10000,0),11))</f>
        <v/>
      </c>
      <c r="O248" t="str">
        <f t="array" ref="O248">IF($A248="","",INDEX(JupData!$A$2:$K$10000,MATCH($A248&amp;O$1,JupData!$A$2:$A$10000&amp;JupData!$J$2:$J$10000,0),11))</f>
        <v/>
      </c>
      <c r="P248" t="str">
        <f t="array" ref="P248">IF($A248="","",INDEX(JupData!$A$2:$K$10000,MATCH($A248&amp;P$1,JupData!$A$2:$A$10000&amp;JupData!$J$2:$J$10000,0),11))</f>
        <v/>
      </c>
      <c r="Q248" t="str">
        <f t="array" ref="Q248">IF($A248="","",INDEX(JupData!$A$2:$K$10000,MATCH($A248&amp;Q$1,JupData!$A$2:$A$10000&amp;JupData!$J$2:$J$10000,0),11))</f>
        <v/>
      </c>
      <c r="R248" t="str">
        <f t="array" ref="R248">IF($A248="","",INDEX(JupData!$A$2:$K$10000,MATCH($A248&amp;R$1,JupData!$A$2:$A$10000&amp;JupData!$J$2:$J$10000,0),11))</f>
        <v/>
      </c>
      <c r="S248" t="str">
        <f t="array" ref="S248">IF($A248="","",INDEX(JupData!$A$2:$K$10000,MATCH($A248&amp;S$1,JupData!$A$2:$A$10000&amp;JupData!$J$2:$J$10000,0),11))</f>
        <v/>
      </c>
      <c r="T248" t="str">
        <f t="array" ref="T248">IF($A248="","",INDEX(JupData!$A$2:$K$10000,MATCH($A248&amp;T$1,JupData!$A$2:$A$10000&amp;JupData!$J$2:$J$10000,0),11))</f>
        <v/>
      </c>
      <c r="U248" t="str">
        <f t="array" ref="U248">IF($A248="","",INDEX(JupData!$A$2:$K$10000,MATCH($A248&amp;U$1,JupData!$A$2:$A$10000&amp;JupData!$J$2:$J$10000,0),11))</f>
        <v/>
      </c>
      <c r="V248" t="str">
        <f t="array" ref="V248">IF($A248="","",INDEX(JupData!$A$2:$K$10000,MATCH($A248&amp;V$1,JupData!$A$2:$A$10000&amp;JupData!$J$2:$J$10000,0),11))</f>
        <v/>
      </c>
      <c r="W248" t="str">
        <f t="array" ref="W248">IF($A248="","",INDEX(JupData!$A$2:$K$10000,MATCH($A248&amp;W$1,JupData!$A$2:$A$10000&amp;JupData!$J$2:$J$10000,0),11))</f>
        <v/>
      </c>
      <c r="X248" t="str">
        <f t="array" ref="X248">IF($A248="","",INDEX(JupData!$A$2:$K$10000,MATCH($A248&amp;X$1,JupData!$A$2:$A$10000&amp;JupData!$J$2:$J$10000,0),11))</f>
        <v/>
      </c>
      <c r="Y248" t="str">
        <f t="array" ref="Y248">IF($A248="","",INDEX(JupData!$A$2:$K$10000,MATCH($A248&amp;Y$1,JupData!$A$2:$A$10000&amp;JupData!$J$2:$J$10000,0),11))</f>
        <v/>
      </c>
      <c r="Z248" t="str">
        <f t="array" ref="Z248">IF($A248="","",INDEX(JupData!$A$2:$K$10000,MATCH($A248&amp;Z$1,JupData!$A$2:$A$10000&amp;JupData!$J$2:$J$10000,0),11))</f>
        <v/>
      </c>
      <c r="AA248" t="str">
        <f t="array" ref="AA248">IF($A248="","",INDEX(JupData!$A$2:$K$10000,MATCH($A248&amp;AA$1,JupData!$A$2:$A$10000&amp;JupData!$J$2:$J$10000,0),11))</f>
        <v/>
      </c>
      <c r="AB248" t="str">
        <f t="array" ref="AB248">IF($A248="","",INDEX(JupData!$A$2:$K$10000,MATCH($A248&amp;AB$1,JupData!$A$2:$A$10000&amp;JupData!$J$2:$J$10000,0),11))</f>
        <v/>
      </c>
      <c r="AC248" s="10" t="str">
        <f t="shared" si="33"/>
        <v/>
      </c>
      <c r="AD248" s="10" t="str">
        <f t="shared" si="34"/>
        <v/>
      </c>
      <c r="AE248" s="9" t="str">
        <f t="shared" si="35"/>
        <v/>
      </c>
      <c r="AF248" s="10" t="str">
        <f t="shared" si="36"/>
        <v/>
      </c>
      <c r="AG248" s="10" t="str">
        <f t="shared" si="37"/>
        <v/>
      </c>
      <c r="AH248" s="10" t="str">
        <f t="shared" si="38"/>
        <v/>
      </c>
      <c r="AI248" s="10" t="str">
        <f t="shared" si="39"/>
        <v/>
      </c>
      <c r="AJ248" s="10" t="str">
        <f t="shared" si="40"/>
        <v/>
      </c>
      <c r="AK248" s="10" t="str">
        <f t="shared" si="41"/>
        <v/>
      </c>
      <c r="AL248" s="14" t="str">
        <f t="shared" si="42"/>
        <v/>
      </c>
    </row>
    <row r="249" spans="1:38" x14ac:dyDescent="0.2">
      <c r="A249"/>
      <c r="B249" t="str">
        <f>IF($A249="","",VLOOKUP($A249,JupData!$A$2:$I$10000,4,FALSE))</f>
        <v/>
      </c>
      <c r="C249" s="7" t="str">
        <f>IF($A249="",IF(N(D249),0,""),VLOOKUP($A249,JupData!$A$2:$I$10000,7,FALSE))</f>
        <v/>
      </c>
      <c r="D249" t="str">
        <f t="shared" si="43"/>
        <v/>
      </c>
      <c r="E249" t="str">
        <f t="array" ref="E249">IF($A249="","",INDEX(JupData!$A$2:$K$10000,MATCH($A249&amp;E$1,JupData!$A$2:$A$10000&amp;JupData!$J$2:$J$10000,0),11))</f>
        <v/>
      </c>
      <c r="F249" t="str">
        <f t="array" ref="F249">IF($A249="","",INDEX(JupData!$A$2:$K$10000,MATCH($A249&amp;F$1,JupData!$A$2:$A$10000&amp;JupData!$J$2:$J$10000,0),11))</f>
        <v/>
      </c>
      <c r="G249" t="str">
        <f t="array" ref="G249">IF($A249="","",INDEX(JupData!$A$2:$K$10000,MATCH($A249&amp;G$1,JupData!$A$2:$A$10000&amp;JupData!$J$2:$J$10000,0),11))</f>
        <v/>
      </c>
      <c r="H249" t="str">
        <f t="array" ref="H249">IF($A249="","",INDEX(JupData!$A$2:$K$10000,MATCH($A249&amp;H$1,JupData!$A$2:$A$10000&amp;JupData!$J$2:$J$10000,0),11))</f>
        <v/>
      </c>
      <c r="I249" t="str">
        <f t="array" ref="I249">IF($A249="","",INDEX(JupData!$A$2:$K$10000,MATCH($A249&amp;I$1,JupData!$A$2:$A$10000&amp;JupData!$J$2:$J$10000,0),11))</f>
        <v/>
      </c>
      <c r="J249" t="str">
        <f t="array" ref="J249">IF($A249="","",INDEX(JupData!$A$2:$K$10000,MATCH($A249&amp;J$1,JupData!$A$2:$A$10000&amp;JupData!$J$2:$J$10000,0),11))</f>
        <v/>
      </c>
      <c r="K249" t="str">
        <f t="array" ref="K249">IF($A249="","",INDEX(JupData!$A$2:$K$10000,MATCH($A249&amp;K$1,JupData!$A$2:$A$10000&amp;JupData!$J$2:$J$10000,0),11))</f>
        <v/>
      </c>
      <c r="L249" t="str">
        <f t="array" ref="L249">IF($A249="","",INDEX(JupData!$A$2:$K$10000,MATCH($A249&amp;L$1,JupData!$A$2:$A$10000&amp;JupData!$J$2:$J$10000,0),11))</f>
        <v/>
      </c>
      <c r="M249" t="str">
        <f t="array" ref="M249">IF($A249="","",INDEX(JupData!$A$2:$K$10000,MATCH($A249&amp;M$1,JupData!$A$2:$A$10000&amp;JupData!$J$2:$J$10000,0),11))</f>
        <v/>
      </c>
      <c r="N249" t="str">
        <f t="array" ref="N249">IF($A249="","",INDEX(JupData!$A$2:$K$10000,MATCH($A249&amp;N$1,JupData!$A$2:$A$10000&amp;JupData!$J$2:$J$10000,0),11))</f>
        <v/>
      </c>
      <c r="O249" t="str">
        <f t="array" ref="O249">IF($A249="","",INDEX(JupData!$A$2:$K$10000,MATCH($A249&amp;O$1,JupData!$A$2:$A$10000&amp;JupData!$J$2:$J$10000,0),11))</f>
        <v/>
      </c>
      <c r="P249" t="str">
        <f t="array" ref="P249">IF($A249="","",INDEX(JupData!$A$2:$K$10000,MATCH($A249&amp;P$1,JupData!$A$2:$A$10000&amp;JupData!$J$2:$J$10000,0),11))</f>
        <v/>
      </c>
      <c r="Q249" t="str">
        <f t="array" ref="Q249">IF($A249="","",INDEX(JupData!$A$2:$K$10000,MATCH($A249&amp;Q$1,JupData!$A$2:$A$10000&amp;JupData!$J$2:$J$10000,0),11))</f>
        <v/>
      </c>
      <c r="R249" t="str">
        <f t="array" ref="R249">IF($A249="","",INDEX(JupData!$A$2:$K$10000,MATCH($A249&amp;R$1,JupData!$A$2:$A$10000&amp;JupData!$J$2:$J$10000,0),11))</f>
        <v/>
      </c>
      <c r="S249" t="str">
        <f t="array" ref="S249">IF($A249="","",INDEX(JupData!$A$2:$K$10000,MATCH($A249&amp;S$1,JupData!$A$2:$A$10000&amp;JupData!$J$2:$J$10000,0),11))</f>
        <v/>
      </c>
      <c r="T249" t="str">
        <f t="array" ref="T249">IF($A249="","",INDEX(JupData!$A$2:$K$10000,MATCH($A249&amp;T$1,JupData!$A$2:$A$10000&amp;JupData!$J$2:$J$10000,0),11))</f>
        <v/>
      </c>
      <c r="U249" t="str">
        <f t="array" ref="U249">IF($A249="","",INDEX(JupData!$A$2:$K$10000,MATCH($A249&amp;U$1,JupData!$A$2:$A$10000&amp;JupData!$J$2:$J$10000,0),11))</f>
        <v/>
      </c>
      <c r="V249" t="str">
        <f t="array" ref="V249">IF($A249="","",INDEX(JupData!$A$2:$K$10000,MATCH($A249&amp;V$1,JupData!$A$2:$A$10000&amp;JupData!$J$2:$J$10000,0),11))</f>
        <v/>
      </c>
      <c r="W249" t="str">
        <f t="array" ref="W249">IF($A249="","",INDEX(JupData!$A$2:$K$10000,MATCH($A249&amp;W$1,JupData!$A$2:$A$10000&amp;JupData!$J$2:$J$10000,0),11))</f>
        <v/>
      </c>
      <c r="X249" t="str">
        <f t="array" ref="X249">IF($A249="","",INDEX(JupData!$A$2:$K$10000,MATCH($A249&amp;X$1,JupData!$A$2:$A$10000&amp;JupData!$J$2:$J$10000,0),11))</f>
        <v/>
      </c>
      <c r="Y249" t="str">
        <f t="array" ref="Y249">IF($A249="","",INDEX(JupData!$A$2:$K$10000,MATCH($A249&amp;Y$1,JupData!$A$2:$A$10000&amp;JupData!$J$2:$J$10000,0),11))</f>
        <v/>
      </c>
      <c r="Z249" t="str">
        <f t="array" ref="Z249">IF($A249="","",INDEX(JupData!$A$2:$K$10000,MATCH($A249&amp;Z$1,JupData!$A$2:$A$10000&amp;JupData!$J$2:$J$10000,0),11))</f>
        <v/>
      </c>
      <c r="AA249" t="str">
        <f t="array" ref="AA249">IF($A249="","",INDEX(JupData!$A$2:$K$10000,MATCH($A249&amp;AA$1,JupData!$A$2:$A$10000&amp;JupData!$J$2:$J$10000,0),11))</f>
        <v/>
      </c>
      <c r="AB249" t="str">
        <f t="array" ref="AB249">IF($A249="","",INDEX(JupData!$A$2:$K$10000,MATCH($A249&amp;AB$1,JupData!$A$2:$A$10000&amp;JupData!$J$2:$J$10000,0),11))</f>
        <v/>
      </c>
      <c r="AC249" s="10" t="str">
        <f t="shared" si="33"/>
        <v/>
      </c>
      <c r="AD249" s="10" t="str">
        <f t="shared" si="34"/>
        <v/>
      </c>
      <c r="AE249" s="9" t="str">
        <f t="shared" si="35"/>
        <v/>
      </c>
      <c r="AF249" s="10" t="str">
        <f t="shared" si="36"/>
        <v/>
      </c>
      <c r="AG249" s="10" t="str">
        <f t="shared" si="37"/>
        <v/>
      </c>
      <c r="AH249" s="10" t="str">
        <f t="shared" si="38"/>
        <v/>
      </c>
      <c r="AI249" s="10" t="str">
        <f t="shared" si="39"/>
        <v/>
      </c>
      <c r="AJ249" s="10" t="str">
        <f t="shared" si="40"/>
        <v/>
      </c>
      <c r="AK249" s="10" t="str">
        <f t="shared" si="41"/>
        <v/>
      </c>
      <c r="AL249" s="14" t="str">
        <f t="shared" si="42"/>
        <v/>
      </c>
    </row>
    <row r="250" spans="1:38" x14ac:dyDescent="0.2">
      <c r="A250"/>
      <c r="B250" t="str">
        <f>IF($A250="","",VLOOKUP($A250,JupData!$A$2:$I$10000,4,FALSE))</f>
        <v/>
      </c>
      <c r="C250" s="7" t="str">
        <f>IF($A250="",IF(N(D250),0,""),VLOOKUP($A250,JupData!$A$2:$I$10000,7,FALSE))</f>
        <v/>
      </c>
      <c r="D250" t="str">
        <f t="shared" si="43"/>
        <v/>
      </c>
      <c r="E250" t="str">
        <f t="array" ref="E250">IF($A250="","",INDEX(JupData!$A$2:$K$10000,MATCH($A250&amp;E$1,JupData!$A$2:$A$10000&amp;JupData!$J$2:$J$10000,0),11))</f>
        <v/>
      </c>
      <c r="F250" t="str">
        <f t="array" ref="F250">IF($A250="","",INDEX(JupData!$A$2:$K$10000,MATCH($A250&amp;F$1,JupData!$A$2:$A$10000&amp;JupData!$J$2:$J$10000,0),11))</f>
        <v/>
      </c>
      <c r="G250" t="str">
        <f t="array" ref="G250">IF($A250="","",INDEX(JupData!$A$2:$K$10000,MATCH($A250&amp;G$1,JupData!$A$2:$A$10000&amp;JupData!$J$2:$J$10000,0),11))</f>
        <v/>
      </c>
      <c r="H250" t="str">
        <f t="array" ref="H250">IF($A250="","",INDEX(JupData!$A$2:$K$10000,MATCH($A250&amp;H$1,JupData!$A$2:$A$10000&amp;JupData!$J$2:$J$10000,0),11))</f>
        <v/>
      </c>
      <c r="I250" t="str">
        <f t="array" ref="I250">IF($A250="","",INDEX(JupData!$A$2:$K$10000,MATCH($A250&amp;I$1,JupData!$A$2:$A$10000&amp;JupData!$J$2:$J$10000,0),11))</f>
        <v/>
      </c>
      <c r="J250" t="str">
        <f t="array" ref="J250">IF($A250="","",INDEX(JupData!$A$2:$K$10000,MATCH($A250&amp;J$1,JupData!$A$2:$A$10000&amp;JupData!$J$2:$J$10000,0),11))</f>
        <v/>
      </c>
      <c r="K250" t="str">
        <f t="array" ref="K250">IF($A250="","",INDEX(JupData!$A$2:$K$10000,MATCH($A250&amp;K$1,JupData!$A$2:$A$10000&amp;JupData!$J$2:$J$10000,0),11))</f>
        <v/>
      </c>
      <c r="L250" t="str">
        <f t="array" ref="L250">IF($A250="","",INDEX(JupData!$A$2:$K$10000,MATCH($A250&amp;L$1,JupData!$A$2:$A$10000&amp;JupData!$J$2:$J$10000,0),11))</f>
        <v/>
      </c>
      <c r="M250" t="str">
        <f t="array" ref="M250">IF($A250="","",INDEX(JupData!$A$2:$K$10000,MATCH($A250&amp;M$1,JupData!$A$2:$A$10000&amp;JupData!$J$2:$J$10000,0),11))</f>
        <v/>
      </c>
      <c r="N250" t="str">
        <f t="array" ref="N250">IF($A250="","",INDEX(JupData!$A$2:$K$10000,MATCH($A250&amp;N$1,JupData!$A$2:$A$10000&amp;JupData!$J$2:$J$10000,0),11))</f>
        <v/>
      </c>
      <c r="O250" t="str">
        <f t="array" ref="O250">IF($A250="","",INDEX(JupData!$A$2:$K$10000,MATCH($A250&amp;O$1,JupData!$A$2:$A$10000&amp;JupData!$J$2:$J$10000,0),11))</f>
        <v/>
      </c>
      <c r="P250" t="str">
        <f t="array" ref="P250">IF($A250="","",INDEX(JupData!$A$2:$K$10000,MATCH($A250&amp;P$1,JupData!$A$2:$A$10000&amp;JupData!$J$2:$J$10000,0),11))</f>
        <v/>
      </c>
      <c r="Q250" t="str">
        <f t="array" ref="Q250">IF($A250="","",INDEX(JupData!$A$2:$K$10000,MATCH($A250&amp;Q$1,JupData!$A$2:$A$10000&amp;JupData!$J$2:$J$10000,0),11))</f>
        <v/>
      </c>
      <c r="R250" t="str">
        <f t="array" ref="R250">IF($A250="","",INDEX(JupData!$A$2:$K$10000,MATCH($A250&amp;R$1,JupData!$A$2:$A$10000&amp;JupData!$J$2:$J$10000,0),11))</f>
        <v/>
      </c>
      <c r="S250" t="str">
        <f t="array" ref="S250">IF($A250="","",INDEX(JupData!$A$2:$K$10000,MATCH($A250&amp;S$1,JupData!$A$2:$A$10000&amp;JupData!$J$2:$J$10000,0),11))</f>
        <v/>
      </c>
      <c r="T250" t="str">
        <f t="array" ref="T250">IF($A250="","",INDEX(JupData!$A$2:$K$10000,MATCH($A250&amp;T$1,JupData!$A$2:$A$10000&amp;JupData!$J$2:$J$10000,0),11))</f>
        <v/>
      </c>
      <c r="U250" t="str">
        <f t="array" ref="U250">IF($A250="","",INDEX(JupData!$A$2:$K$10000,MATCH($A250&amp;U$1,JupData!$A$2:$A$10000&amp;JupData!$J$2:$J$10000,0),11))</f>
        <v/>
      </c>
      <c r="V250" t="str">
        <f t="array" ref="V250">IF($A250="","",INDEX(JupData!$A$2:$K$10000,MATCH($A250&amp;V$1,JupData!$A$2:$A$10000&amp;JupData!$J$2:$J$10000,0),11))</f>
        <v/>
      </c>
      <c r="W250" t="str">
        <f t="array" ref="W250">IF($A250="","",INDEX(JupData!$A$2:$K$10000,MATCH($A250&amp;W$1,JupData!$A$2:$A$10000&amp;JupData!$J$2:$J$10000,0),11))</f>
        <v/>
      </c>
      <c r="X250" t="str">
        <f t="array" ref="X250">IF($A250="","",INDEX(JupData!$A$2:$K$10000,MATCH($A250&amp;X$1,JupData!$A$2:$A$10000&amp;JupData!$J$2:$J$10000,0),11))</f>
        <v/>
      </c>
      <c r="Y250" t="str">
        <f t="array" ref="Y250">IF($A250="","",INDEX(JupData!$A$2:$K$10000,MATCH($A250&amp;Y$1,JupData!$A$2:$A$10000&amp;JupData!$J$2:$J$10000,0),11))</f>
        <v/>
      </c>
      <c r="Z250" t="str">
        <f t="array" ref="Z250">IF($A250="","",INDEX(JupData!$A$2:$K$10000,MATCH($A250&amp;Z$1,JupData!$A$2:$A$10000&amp;JupData!$J$2:$J$10000,0),11))</f>
        <v/>
      </c>
      <c r="AA250" t="str">
        <f t="array" ref="AA250">IF($A250="","",INDEX(JupData!$A$2:$K$10000,MATCH($A250&amp;AA$1,JupData!$A$2:$A$10000&amp;JupData!$J$2:$J$10000,0),11))</f>
        <v/>
      </c>
      <c r="AB250" t="str">
        <f t="array" ref="AB250">IF($A250="","",INDEX(JupData!$A$2:$K$10000,MATCH($A250&amp;AB$1,JupData!$A$2:$A$10000&amp;JupData!$J$2:$J$10000,0),11))</f>
        <v/>
      </c>
      <c r="AC250" s="10" t="str">
        <f t="shared" si="33"/>
        <v/>
      </c>
      <c r="AD250" s="10" t="str">
        <f t="shared" si="34"/>
        <v/>
      </c>
      <c r="AE250" s="9" t="str">
        <f t="shared" si="35"/>
        <v/>
      </c>
      <c r="AF250" s="10" t="str">
        <f t="shared" si="36"/>
        <v/>
      </c>
      <c r="AG250" s="10" t="str">
        <f t="shared" si="37"/>
        <v/>
      </c>
      <c r="AH250" s="10" t="str">
        <f t="shared" si="38"/>
        <v/>
      </c>
      <c r="AI250" s="10" t="str">
        <f t="shared" si="39"/>
        <v/>
      </c>
      <c r="AJ250" s="10" t="str">
        <f t="shared" si="40"/>
        <v/>
      </c>
      <c r="AK250" s="10" t="str">
        <f t="shared" si="41"/>
        <v/>
      </c>
      <c r="AL250" s="14" t="str">
        <f t="shared" si="42"/>
        <v/>
      </c>
    </row>
    <row r="251" spans="1:38" x14ac:dyDescent="0.2">
      <c r="A251"/>
      <c r="B251" t="str">
        <f>IF($A251="","",VLOOKUP($A251,JupData!$A$2:$I$10000,4,FALSE))</f>
        <v/>
      </c>
      <c r="C251" s="7" t="str">
        <f>IF($A251="",IF(N(D251),0,""),VLOOKUP($A251,JupData!$A$2:$I$10000,7,FALSE))</f>
        <v/>
      </c>
      <c r="D251" t="str">
        <f t="shared" si="43"/>
        <v/>
      </c>
      <c r="E251" t="str">
        <f t="array" ref="E251">IF($A251="","",INDEX(JupData!$A$2:$K$10000,MATCH($A251&amp;E$1,JupData!$A$2:$A$10000&amp;JupData!$J$2:$J$10000,0),11))</f>
        <v/>
      </c>
      <c r="F251" t="str">
        <f t="array" ref="F251">IF($A251="","",INDEX(JupData!$A$2:$K$10000,MATCH($A251&amp;F$1,JupData!$A$2:$A$10000&amp;JupData!$J$2:$J$10000,0),11))</f>
        <v/>
      </c>
      <c r="G251" t="str">
        <f t="array" ref="G251">IF($A251="","",INDEX(JupData!$A$2:$K$10000,MATCH($A251&amp;G$1,JupData!$A$2:$A$10000&amp;JupData!$J$2:$J$10000,0),11))</f>
        <v/>
      </c>
      <c r="H251" t="str">
        <f t="array" ref="H251">IF($A251="","",INDEX(JupData!$A$2:$K$10000,MATCH($A251&amp;H$1,JupData!$A$2:$A$10000&amp;JupData!$J$2:$J$10000,0),11))</f>
        <v/>
      </c>
      <c r="I251" t="str">
        <f t="array" ref="I251">IF($A251="","",INDEX(JupData!$A$2:$K$10000,MATCH($A251&amp;I$1,JupData!$A$2:$A$10000&amp;JupData!$J$2:$J$10000,0),11))</f>
        <v/>
      </c>
      <c r="J251" t="str">
        <f t="array" ref="J251">IF($A251="","",INDEX(JupData!$A$2:$K$10000,MATCH($A251&amp;J$1,JupData!$A$2:$A$10000&amp;JupData!$J$2:$J$10000,0),11))</f>
        <v/>
      </c>
      <c r="K251" t="str">
        <f t="array" ref="K251">IF($A251="","",INDEX(JupData!$A$2:$K$10000,MATCH($A251&amp;K$1,JupData!$A$2:$A$10000&amp;JupData!$J$2:$J$10000,0),11))</f>
        <v/>
      </c>
      <c r="L251" t="str">
        <f t="array" ref="L251">IF($A251="","",INDEX(JupData!$A$2:$K$10000,MATCH($A251&amp;L$1,JupData!$A$2:$A$10000&amp;JupData!$J$2:$J$10000,0),11))</f>
        <v/>
      </c>
      <c r="M251" t="str">
        <f t="array" ref="M251">IF($A251="","",INDEX(JupData!$A$2:$K$10000,MATCH($A251&amp;M$1,JupData!$A$2:$A$10000&amp;JupData!$J$2:$J$10000,0),11))</f>
        <v/>
      </c>
      <c r="N251" t="str">
        <f t="array" ref="N251">IF($A251="","",INDEX(JupData!$A$2:$K$10000,MATCH($A251&amp;N$1,JupData!$A$2:$A$10000&amp;JupData!$J$2:$J$10000,0),11))</f>
        <v/>
      </c>
      <c r="O251" t="str">
        <f t="array" ref="O251">IF($A251="","",INDEX(JupData!$A$2:$K$10000,MATCH($A251&amp;O$1,JupData!$A$2:$A$10000&amp;JupData!$J$2:$J$10000,0),11))</f>
        <v/>
      </c>
      <c r="P251" t="str">
        <f t="array" ref="P251">IF($A251="","",INDEX(JupData!$A$2:$K$10000,MATCH($A251&amp;P$1,JupData!$A$2:$A$10000&amp;JupData!$J$2:$J$10000,0),11))</f>
        <v/>
      </c>
      <c r="Q251" t="str">
        <f t="array" ref="Q251">IF($A251="","",INDEX(JupData!$A$2:$K$10000,MATCH($A251&amp;Q$1,JupData!$A$2:$A$10000&amp;JupData!$J$2:$J$10000,0),11))</f>
        <v/>
      </c>
      <c r="R251" t="str">
        <f t="array" ref="R251">IF($A251="","",INDEX(JupData!$A$2:$K$10000,MATCH($A251&amp;R$1,JupData!$A$2:$A$10000&amp;JupData!$J$2:$J$10000,0),11))</f>
        <v/>
      </c>
      <c r="S251" t="str">
        <f t="array" ref="S251">IF($A251="","",INDEX(JupData!$A$2:$K$10000,MATCH($A251&amp;S$1,JupData!$A$2:$A$10000&amp;JupData!$J$2:$J$10000,0),11))</f>
        <v/>
      </c>
      <c r="T251" t="str">
        <f t="array" ref="T251">IF($A251="","",INDEX(JupData!$A$2:$K$10000,MATCH($A251&amp;T$1,JupData!$A$2:$A$10000&amp;JupData!$J$2:$J$10000,0),11))</f>
        <v/>
      </c>
      <c r="U251" t="str">
        <f t="array" ref="U251">IF($A251="","",INDEX(JupData!$A$2:$K$10000,MATCH($A251&amp;U$1,JupData!$A$2:$A$10000&amp;JupData!$J$2:$J$10000,0),11))</f>
        <v/>
      </c>
      <c r="V251" t="str">
        <f t="array" ref="V251">IF($A251="","",INDEX(JupData!$A$2:$K$10000,MATCH($A251&amp;V$1,JupData!$A$2:$A$10000&amp;JupData!$J$2:$J$10000,0),11))</f>
        <v/>
      </c>
      <c r="W251" t="str">
        <f t="array" ref="W251">IF($A251="","",INDEX(JupData!$A$2:$K$10000,MATCH($A251&amp;W$1,JupData!$A$2:$A$10000&amp;JupData!$J$2:$J$10000,0),11))</f>
        <v/>
      </c>
      <c r="X251" t="str">
        <f t="array" ref="X251">IF($A251="","",INDEX(JupData!$A$2:$K$10000,MATCH($A251&amp;X$1,JupData!$A$2:$A$10000&amp;JupData!$J$2:$J$10000,0),11))</f>
        <v/>
      </c>
      <c r="Y251" t="str">
        <f t="array" ref="Y251">IF($A251="","",INDEX(JupData!$A$2:$K$10000,MATCH($A251&amp;Y$1,JupData!$A$2:$A$10000&amp;JupData!$J$2:$J$10000,0),11))</f>
        <v/>
      </c>
      <c r="Z251" t="str">
        <f t="array" ref="Z251">IF($A251="","",INDEX(JupData!$A$2:$K$10000,MATCH($A251&amp;Z$1,JupData!$A$2:$A$10000&amp;JupData!$J$2:$J$10000,0),11))</f>
        <v/>
      </c>
      <c r="AA251" t="str">
        <f t="array" ref="AA251">IF($A251="","",INDEX(JupData!$A$2:$K$10000,MATCH($A251&amp;AA$1,JupData!$A$2:$A$10000&amp;JupData!$J$2:$J$10000,0),11))</f>
        <v/>
      </c>
      <c r="AB251" t="str">
        <f t="array" ref="AB251">IF($A251="","",INDEX(JupData!$A$2:$K$10000,MATCH($A251&amp;AB$1,JupData!$A$2:$A$10000&amp;JupData!$J$2:$J$10000,0),11))</f>
        <v/>
      </c>
      <c r="AC251" s="10" t="str">
        <f t="shared" si="33"/>
        <v/>
      </c>
      <c r="AD251" s="10" t="str">
        <f t="shared" si="34"/>
        <v/>
      </c>
      <c r="AE251" s="9" t="str">
        <f t="shared" si="35"/>
        <v/>
      </c>
      <c r="AF251" s="10" t="str">
        <f t="shared" si="36"/>
        <v/>
      </c>
      <c r="AG251" s="10" t="str">
        <f t="shared" si="37"/>
        <v/>
      </c>
      <c r="AH251" s="10" t="str">
        <f t="shared" si="38"/>
        <v/>
      </c>
      <c r="AI251" s="10" t="str">
        <f t="shared" si="39"/>
        <v/>
      </c>
      <c r="AJ251" s="10" t="str">
        <f t="shared" si="40"/>
        <v/>
      </c>
      <c r="AK251" s="10" t="str">
        <f t="shared" si="41"/>
        <v/>
      </c>
      <c r="AL251" s="14" t="str">
        <f t="shared" si="42"/>
        <v/>
      </c>
    </row>
    <row r="252" spans="1:38" x14ac:dyDescent="0.2">
      <c r="A252"/>
      <c r="B252" t="str">
        <f>IF($A252="","",VLOOKUP($A252,JupData!$A$2:$I$10000,4,FALSE))</f>
        <v/>
      </c>
      <c r="C252" s="7" t="str">
        <f>IF($A252="",IF(N(D252),0,""),VLOOKUP($A252,JupData!$A$2:$I$10000,7,FALSE))</f>
        <v/>
      </c>
      <c r="D252" t="str">
        <f t="shared" si="43"/>
        <v/>
      </c>
      <c r="E252" t="str">
        <f t="array" ref="E252">IF($A252="","",INDEX(JupData!$A$2:$K$10000,MATCH($A252&amp;E$1,JupData!$A$2:$A$10000&amp;JupData!$J$2:$J$10000,0),11))</f>
        <v/>
      </c>
      <c r="F252" t="str">
        <f t="array" ref="F252">IF($A252="","",INDEX(JupData!$A$2:$K$10000,MATCH($A252&amp;F$1,JupData!$A$2:$A$10000&amp;JupData!$J$2:$J$10000,0),11))</f>
        <v/>
      </c>
      <c r="G252" t="str">
        <f t="array" ref="G252">IF($A252="","",INDEX(JupData!$A$2:$K$10000,MATCH($A252&amp;G$1,JupData!$A$2:$A$10000&amp;JupData!$J$2:$J$10000,0),11))</f>
        <v/>
      </c>
      <c r="H252" t="str">
        <f t="array" ref="H252">IF($A252="","",INDEX(JupData!$A$2:$K$10000,MATCH($A252&amp;H$1,JupData!$A$2:$A$10000&amp;JupData!$J$2:$J$10000,0),11))</f>
        <v/>
      </c>
      <c r="I252" t="str">
        <f t="array" ref="I252">IF($A252="","",INDEX(JupData!$A$2:$K$10000,MATCH($A252&amp;I$1,JupData!$A$2:$A$10000&amp;JupData!$J$2:$J$10000,0),11))</f>
        <v/>
      </c>
      <c r="J252" t="str">
        <f t="array" ref="J252">IF($A252="","",INDEX(JupData!$A$2:$K$10000,MATCH($A252&amp;J$1,JupData!$A$2:$A$10000&amp;JupData!$J$2:$J$10000,0),11))</f>
        <v/>
      </c>
      <c r="K252" t="str">
        <f t="array" ref="K252">IF($A252="","",INDEX(JupData!$A$2:$K$10000,MATCH($A252&amp;K$1,JupData!$A$2:$A$10000&amp;JupData!$J$2:$J$10000,0),11))</f>
        <v/>
      </c>
      <c r="L252" t="str">
        <f t="array" ref="L252">IF($A252="","",INDEX(JupData!$A$2:$K$10000,MATCH($A252&amp;L$1,JupData!$A$2:$A$10000&amp;JupData!$J$2:$J$10000,0),11))</f>
        <v/>
      </c>
      <c r="M252" t="str">
        <f t="array" ref="M252">IF($A252="","",INDEX(JupData!$A$2:$K$10000,MATCH($A252&amp;M$1,JupData!$A$2:$A$10000&amp;JupData!$J$2:$J$10000,0),11))</f>
        <v/>
      </c>
      <c r="N252" t="str">
        <f t="array" ref="N252">IF($A252="","",INDEX(JupData!$A$2:$K$10000,MATCH($A252&amp;N$1,JupData!$A$2:$A$10000&amp;JupData!$J$2:$J$10000,0),11))</f>
        <v/>
      </c>
      <c r="O252" t="str">
        <f t="array" ref="O252">IF($A252="","",INDEX(JupData!$A$2:$K$10000,MATCH($A252&amp;O$1,JupData!$A$2:$A$10000&amp;JupData!$J$2:$J$10000,0),11))</f>
        <v/>
      </c>
      <c r="P252" t="str">
        <f t="array" ref="P252">IF($A252="","",INDEX(JupData!$A$2:$K$10000,MATCH($A252&amp;P$1,JupData!$A$2:$A$10000&amp;JupData!$J$2:$J$10000,0),11))</f>
        <v/>
      </c>
      <c r="Q252" t="str">
        <f t="array" ref="Q252">IF($A252="","",INDEX(JupData!$A$2:$K$10000,MATCH($A252&amp;Q$1,JupData!$A$2:$A$10000&amp;JupData!$J$2:$J$10000,0),11))</f>
        <v/>
      </c>
      <c r="R252" t="str">
        <f t="array" ref="R252">IF($A252="","",INDEX(JupData!$A$2:$K$10000,MATCH($A252&amp;R$1,JupData!$A$2:$A$10000&amp;JupData!$J$2:$J$10000,0),11))</f>
        <v/>
      </c>
      <c r="S252" t="str">
        <f t="array" ref="S252">IF($A252="","",INDEX(JupData!$A$2:$K$10000,MATCH($A252&amp;S$1,JupData!$A$2:$A$10000&amp;JupData!$J$2:$J$10000,0),11))</f>
        <v/>
      </c>
      <c r="T252" t="str">
        <f t="array" ref="T252">IF($A252="","",INDEX(JupData!$A$2:$K$10000,MATCH($A252&amp;T$1,JupData!$A$2:$A$10000&amp;JupData!$J$2:$J$10000,0),11))</f>
        <v/>
      </c>
      <c r="U252" t="str">
        <f t="array" ref="U252">IF($A252="","",INDEX(JupData!$A$2:$K$10000,MATCH($A252&amp;U$1,JupData!$A$2:$A$10000&amp;JupData!$J$2:$J$10000,0),11))</f>
        <v/>
      </c>
      <c r="V252" t="str">
        <f t="array" ref="V252">IF($A252="","",INDEX(JupData!$A$2:$K$10000,MATCH($A252&amp;V$1,JupData!$A$2:$A$10000&amp;JupData!$J$2:$J$10000,0),11))</f>
        <v/>
      </c>
      <c r="W252" t="str">
        <f t="array" ref="W252">IF($A252="","",INDEX(JupData!$A$2:$K$10000,MATCH($A252&amp;W$1,JupData!$A$2:$A$10000&amp;JupData!$J$2:$J$10000,0),11))</f>
        <v/>
      </c>
      <c r="X252" t="str">
        <f t="array" ref="X252">IF($A252="","",INDEX(JupData!$A$2:$K$10000,MATCH($A252&amp;X$1,JupData!$A$2:$A$10000&amp;JupData!$J$2:$J$10000,0),11))</f>
        <v/>
      </c>
      <c r="Y252" t="str">
        <f t="array" ref="Y252">IF($A252="","",INDEX(JupData!$A$2:$K$10000,MATCH($A252&amp;Y$1,JupData!$A$2:$A$10000&amp;JupData!$J$2:$J$10000,0),11))</f>
        <v/>
      </c>
      <c r="Z252" t="str">
        <f t="array" ref="Z252">IF($A252="","",INDEX(JupData!$A$2:$K$10000,MATCH($A252&amp;Z$1,JupData!$A$2:$A$10000&amp;JupData!$J$2:$J$10000,0),11))</f>
        <v/>
      </c>
      <c r="AA252" t="str">
        <f t="array" ref="AA252">IF($A252="","",INDEX(JupData!$A$2:$K$10000,MATCH($A252&amp;AA$1,JupData!$A$2:$A$10000&amp;JupData!$J$2:$J$10000,0),11))</f>
        <v/>
      </c>
      <c r="AB252" t="str">
        <f t="array" ref="AB252">IF($A252="","",INDEX(JupData!$A$2:$K$10000,MATCH($A252&amp;AB$1,JupData!$A$2:$A$10000&amp;JupData!$J$2:$J$10000,0),11))</f>
        <v/>
      </c>
      <c r="AC252" s="10" t="str">
        <f t="shared" si="33"/>
        <v/>
      </c>
      <c r="AD252" s="10" t="str">
        <f t="shared" si="34"/>
        <v/>
      </c>
      <c r="AE252" s="9" t="str">
        <f t="shared" si="35"/>
        <v/>
      </c>
      <c r="AF252" s="10" t="str">
        <f t="shared" si="36"/>
        <v/>
      </c>
      <c r="AG252" s="10" t="str">
        <f t="shared" si="37"/>
        <v/>
      </c>
      <c r="AH252" s="10" t="str">
        <f t="shared" si="38"/>
        <v/>
      </c>
      <c r="AI252" s="10" t="str">
        <f t="shared" si="39"/>
        <v/>
      </c>
      <c r="AJ252" s="10" t="str">
        <f t="shared" si="40"/>
        <v/>
      </c>
      <c r="AK252" s="10" t="str">
        <f t="shared" si="41"/>
        <v/>
      </c>
      <c r="AL252" s="14" t="str">
        <f t="shared" si="42"/>
        <v/>
      </c>
    </row>
    <row r="253" spans="1:38" x14ac:dyDescent="0.2">
      <c r="A253"/>
      <c r="B253" t="str">
        <f>IF($A253="","",VLOOKUP($A253,JupData!$A$2:$I$10000,4,FALSE))</f>
        <v/>
      </c>
      <c r="C253" s="7" t="str">
        <f>IF($A253="",IF(N(D253),0,""),VLOOKUP($A253,JupData!$A$2:$I$10000,7,FALSE))</f>
        <v/>
      </c>
      <c r="D253" t="str">
        <f t="shared" si="43"/>
        <v/>
      </c>
      <c r="E253" t="str">
        <f t="array" ref="E253">IF($A253="","",INDEX(JupData!$A$2:$K$10000,MATCH($A253&amp;E$1,JupData!$A$2:$A$10000&amp;JupData!$J$2:$J$10000,0),11))</f>
        <v/>
      </c>
      <c r="F253" t="str">
        <f t="array" ref="F253">IF($A253="","",INDEX(JupData!$A$2:$K$10000,MATCH($A253&amp;F$1,JupData!$A$2:$A$10000&amp;JupData!$J$2:$J$10000,0),11))</f>
        <v/>
      </c>
      <c r="G253" t="str">
        <f t="array" ref="G253">IF($A253="","",INDEX(JupData!$A$2:$K$10000,MATCH($A253&amp;G$1,JupData!$A$2:$A$10000&amp;JupData!$J$2:$J$10000,0),11))</f>
        <v/>
      </c>
      <c r="H253" t="str">
        <f t="array" ref="H253">IF($A253="","",INDEX(JupData!$A$2:$K$10000,MATCH($A253&amp;H$1,JupData!$A$2:$A$10000&amp;JupData!$J$2:$J$10000,0),11))</f>
        <v/>
      </c>
      <c r="I253" t="str">
        <f t="array" ref="I253">IF($A253="","",INDEX(JupData!$A$2:$K$10000,MATCH($A253&amp;I$1,JupData!$A$2:$A$10000&amp;JupData!$J$2:$J$10000,0),11))</f>
        <v/>
      </c>
      <c r="J253" t="str">
        <f t="array" ref="J253">IF($A253="","",INDEX(JupData!$A$2:$K$10000,MATCH($A253&amp;J$1,JupData!$A$2:$A$10000&amp;JupData!$J$2:$J$10000,0),11))</f>
        <v/>
      </c>
      <c r="K253" t="str">
        <f t="array" ref="K253">IF($A253="","",INDEX(JupData!$A$2:$K$10000,MATCH($A253&amp;K$1,JupData!$A$2:$A$10000&amp;JupData!$J$2:$J$10000,0),11))</f>
        <v/>
      </c>
      <c r="L253" t="str">
        <f t="array" ref="L253">IF($A253="","",INDEX(JupData!$A$2:$K$10000,MATCH($A253&amp;L$1,JupData!$A$2:$A$10000&amp;JupData!$J$2:$J$10000,0),11))</f>
        <v/>
      </c>
      <c r="M253" t="str">
        <f t="array" ref="M253">IF($A253="","",INDEX(JupData!$A$2:$K$10000,MATCH($A253&amp;M$1,JupData!$A$2:$A$10000&amp;JupData!$J$2:$J$10000,0),11))</f>
        <v/>
      </c>
      <c r="N253" t="str">
        <f t="array" ref="N253">IF($A253="","",INDEX(JupData!$A$2:$K$10000,MATCH($A253&amp;N$1,JupData!$A$2:$A$10000&amp;JupData!$J$2:$J$10000,0),11))</f>
        <v/>
      </c>
      <c r="O253" t="str">
        <f t="array" ref="O253">IF($A253="","",INDEX(JupData!$A$2:$K$10000,MATCH($A253&amp;O$1,JupData!$A$2:$A$10000&amp;JupData!$J$2:$J$10000,0),11))</f>
        <v/>
      </c>
      <c r="P253" t="str">
        <f t="array" ref="P253">IF($A253="","",INDEX(JupData!$A$2:$K$10000,MATCH($A253&amp;P$1,JupData!$A$2:$A$10000&amp;JupData!$J$2:$J$10000,0),11))</f>
        <v/>
      </c>
      <c r="Q253" t="str">
        <f t="array" ref="Q253">IF($A253="","",INDEX(JupData!$A$2:$K$10000,MATCH($A253&amp;Q$1,JupData!$A$2:$A$10000&amp;JupData!$J$2:$J$10000,0),11))</f>
        <v/>
      </c>
      <c r="R253" t="str">
        <f t="array" ref="R253">IF($A253="","",INDEX(JupData!$A$2:$K$10000,MATCH($A253&amp;R$1,JupData!$A$2:$A$10000&amp;JupData!$J$2:$J$10000,0),11))</f>
        <v/>
      </c>
      <c r="S253" t="str">
        <f t="array" ref="S253">IF($A253="","",INDEX(JupData!$A$2:$K$10000,MATCH($A253&amp;S$1,JupData!$A$2:$A$10000&amp;JupData!$J$2:$J$10000,0),11))</f>
        <v/>
      </c>
      <c r="T253" t="str">
        <f t="array" ref="T253">IF($A253="","",INDEX(JupData!$A$2:$K$10000,MATCH($A253&amp;T$1,JupData!$A$2:$A$10000&amp;JupData!$J$2:$J$10000,0),11))</f>
        <v/>
      </c>
      <c r="U253" t="str">
        <f t="array" ref="U253">IF($A253="","",INDEX(JupData!$A$2:$K$10000,MATCH($A253&amp;U$1,JupData!$A$2:$A$10000&amp;JupData!$J$2:$J$10000,0),11))</f>
        <v/>
      </c>
      <c r="V253" t="str">
        <f t="array" ref="V253">IF($A253="","",INDEX(JupData!$A$2:$K$10000,MATCH($A253&amp;V$1,JupData!$A$2:$A$10000&amp;JupData!$J$2:$J$10000,0),11))</f>
        <v/>
      </c>
      <c r="W253" t="str">
        <f t="array" ref="W253">IF($A253="","",INDEX(JupData!$A$2:$K$10000,MATCH($A253&amp;W$1,JupData!$A$2:$A$10000&amp;JupData!$J$2:$J$10000,0),11))</f>
        <v/>
      </c>
      <c r="X253" t="str">
        <f t="array" ref="X253">IF($A253="","",INDEX(JupData!$A$2:$K$10000,MATCH($A253&amp;X$1,JupData!$A$2:$A$10000&amp;JupData!$J$2:$J$10000,0),11))</f>
        <v/>
      </c>
      <c r="Y253" t="str">
        <f t="array" ref="Y253">IF($A253="","",INDEX(JupData!$A$2:$K$10000,MATCH($A253&amp;Y$1,JupData!$A$2:$A$10000&amp;JupData!$J$2:$J$10000,0),11))</f>
        <v/>
      </c>
      <c r="Z253" t="str">
        <f t="array" ref="Z253">IF($A253="","",INDEX(JupData!$A$2:$K$10000,MATCH($A253&amp;Z$1,JupData!$A$2:$A$10000&amp;JupData!$J$2:$J$10000,0),11))</f>
        <v/>
      </c>
      <c r="AA253" t="str">
        <f t="array" ref="AA253">IF($A253="","",INDEX(JupData!$A$2:$K$10000,MATCH($A253&amp;AA$1,JupData!$A$2:$A$10000&amp;JupData!$J$2:$J$10000,0),11))</f>
        <v/>
      </c>
      <c r="AB253" t="str">
        <f t="array" ref="AB253">IF($A253="","",INDEX(JupData!$A$2:$K$10000,MATCH($A253&amp;AB$1,JupData!$A$2:$A$10000&amp;JupData!$J$2:$J$10000,0),11))</f>
        <v/>
      </c>
      <c r="AC253" s="10" t="str">
        <f t="shared" si="33"/>
        <v/>
      </c>
      <c r="AD253" s="10" t="str">
        <f t="shared" si="34"/>
        <v/>
      </c>
      <c r="AE253" s="9" t="str">
        <f t="shared" si="35"/>
        <v/>
      </c>
      <c r="AF253" s="10" t="str">
        <f t="shared" si="36"/>
        <v/>
      </c>
      <c r="AG253" s="10" t="str">
        <f t="shared" si="37"/>
        <v/>
      </c>
      <c r="AH253" s="10" t="str">
        <f t="shared" si="38"/>
        <v/>
      </c>
      <c r="AI253" s="10" t="str">
        <f t="shared" si="39"/>
        <v/>
      </c>
      <c r="AJ253" s="10" t="str">
        <f t="shared" si="40"/>
        <v/>
      </c>
      <c r="AK253" s="10" t="str">
        <f t="shared" si="41"/>
        <v/>
      </c>
      <c r="AL253" s="14" t="str">
        <f t="shared" si="42"/>
        <v/>
      </c>
    </row>
    <row r="254" spans="1:38" x14ac:dyDescent="0.2">
      <c r="A254"/>
      <c r="B254" t="str">
        <f>IF($A254="","",VLOOKUP($A254,JupData!$A$2:$I$10000,4,FALSE))</f>
        <v/>
      </c>
      <c r="C254" s="7" t="str">
        <f>IF($A254="",IF(N(D254),0,""),VLOOKUP($A254,JupData!$A$2:$I$10000,7,FALSE))</f>
        <v/>
      </c>
      <c r="D254" t="str">
        <f t="shared" si="43"/>
        <v/>
      </c>
      <c r="E254" t="str">
        <f t="array" ref="E254">IF($A254="","",INDEX(JupData!$A$2:$K$10000,MATCH($A254&amp;E$1,JupData!$A$2:$A$10000&amp;JupData!$J$2:$J$10000,0),11))</f>
        <v/>
      </c>
      <c r="F254" t="str">
        <f t="array" ref="F254">IF($A254="","",INDEX(JupData!$A$2:$K$10000,MATCH($A254&amp;F$1,JupData!$A$2:$A$10000&amp;JupData!$J$2:$J$10000,0),11))</f>
        <v/>
      </c>
      <c r="G254" t="str">
        <f t="array" ref="G254">IF($A254="","",INDEX(JupData!$A$2:$K$10000,MATCH($A254&amp;G$1,JupData!$A$2:$A$10000&amp;JupData!$J$2:$J$10000,0),11))</f>
        <v/>
      </c>
      <c r="H254" t="str">
        <f t="array" ref="H254">IF($A254="","",INDEX(JupData!$A$2:$K$10000,MATCH($A254&amp;H$1,JupData!$A$2:$A$10000&amp;JupData!$J$2:$J$10000,0),11))</f>
        <v/>
      </c>
      <c r="I254" t="str">
        <f t="array" ref="I254">IF($A254="","",INDEX(JupData!$A$2:$K$10000,MATCH($A254&amp;I$1,JupData!$A$2:$A$10000&amp;JupData!$J$2:$J$10000,0),11))</f>
        <v/>
      </c>
      <c r="J254" t="str">
        <f t="array" ref="J254">IF($A254="","",INDEX(JupData!$A$2:$K$10000,MATCH($A254&amp;J$1,JupData!$A$2:$A$10000&amp;JupData!$J$2:$J$10000,0),11))</f>
        <v/>
      </c>
      <c r="K254" t="str">
        <f t="array" ref="K254">IF($A254="","",INDEX(JupData!$A$2:$K$10000,MATCH($A254&amp;K$1,JupData!$A$2:$A$10000&amp;JupData!$J$2:$J$10000,0),11))</f>
        <v/>
      </c>
      <c r="L254" t="str">
        <f t="array" ref="L254">IF($A254="","",INDEX(JupData!$A$2:$K$10000,MATCH($A254&amp;L$1,JupData!$A$2:$A$10000&amp;JupData!$J$2:$J$10000,0),11))</f>
        <v/>
      </c>
      <c r="M254" t="str">
        <f t="array" ref="M254">IF($A254="","",INDEX(JupData!$A$2:$K$10000,MATCH($A254&amp;M$1,JupData!$A$2:$A$10000&amp;JupData!$J$2:$J$10000,0),11))</f>
        <v/>
      </c>
      <c r="N254" t="str">
        <f t="array" ref="N254">IF($A254="","",INDEX(JupData!$A$2:$K$10000,MATCH($A254&amp;N$1,JupData!$A$2:$A$10000&amp;JupData!$J$2:$J$10000,0),11))</f>
        <v/>
      </c>
      <c r="O254" t="str">
        <f t="array" ref="O254">IF($A254="","",INDEX(JupData!$A$2:$K$10000,MATCH($A254&amp;O$1,JupData!$A$2:$A$10000&amp;JupData!$J$2:$J$10000,0),11))</f>
        <v/>
      </c>
      <c r="P254" t="str">
        <f t="array" ref="P254">IF($A254="","",INDEX(JupData!$A$2:$K$10000,MATCH($A254&amp;P$1,JupData!$A$2:$A$10000&amp;JupData!$J$2:$J$10000,0),11))</f>
        <v/>
      </c>
      <c r="Q254" t="str">
        <f t="array" ref="Q254">IF($A254="","",INDEX(JupData!$A$2:$K$10000,MATCH($A254&amp;Q$1,JupData!$A$2:$A$10000&amp;JupData!$J$2:$J$10000,0),11))</f>
        <v/>
      </c>
      <c r="R254" t="str">
        <f t="array" ref="R254">IF($A254="","",INDEX(JupData!$A$2:$K$10000,MATCH($A254&amp;R$1,JupData!$A$2:$A$10000&amp;JupData!$J$2:$J$10000,0),11))</f>
        <v/>
      </c>
      <c r="S254" t="str">
        <f t="array" ref="S254">IF($A254="","",INDEX(JupData!$A$2:$K$10000,MATCH($A254&amp;S$1,JupData!$A$2:$A$10000&amp;JupData!$J$2:$J$10000,0),11))</f>
        <v/>
      </c>
      <c r="T254" t="str">
        <f t="array" ref="T254">IF($A254="","",INDEX(JupData!$A$2:$K$10000,MATCH($A254&amp;T$1,JupData!$A$2:$A$10000&amp;JupData!$J$2:$J$10000,0),11))</f>
        <v/>
      </c>
      <c r="U254" t="str">
        <f t="array" ref="U254">IF($A254="","",INDEX(JupData!$A$2:$K$10000,MATCH($A254&amp;U$1,JupData!$A$2:$A$10000&amp;JupData!$J$2:$J$10000,0),11))</f>
        <v/>
      </c>
      <c r="V254" t="str">
        <f t="array" ref="V254">IF($A254="","",INDEX(JupData!$A$2:$K$10000,MATCH($A254&amp;V$1,JupData!$A$2:$A$10000&amp;JupData!$J$2:$J$10000,0),11))</f>
        <v/>
      </c>
      <c r="W254" t="str">
        <f t="array" ref="W254">IF($A254="","",INDEX(JupData!$A$2:$K$10000,MATCH($A254&amp;W$1,JupData!$A$2:$A$10000&amp;JupData!$J$2:$J$10000,0),11))</f>
        <v/>
      </c>
      <c r="X254" t="str">
        <f t="array" ref="X254">IF($A254="","",INDEX(JupData!$A$2:$K$10000,MATCH($A254&amp;X$1,JupData!$A$2:$A$10000&amp;JupData!$J$2:$J$10000,0),11))</f>
        <v/>
      </c>
      <c r="Y254" t="str">
        <f t="array" ref="Y254">IF($A254="","",INDEX(JupData!$A$2:$K$10000,MATCH($A254&amp;Y$1,JupData!$A$2:$A$10000&amp;JupData!$J$2:$J$10000,0),11))</f>
        <v/>
      </c>
      <c r="Z254" t="str">
        <f t="array" ref="Z254">IF($A254="","",INDEX(JupData!$A$2:$K$10000,MATCH($A254&amp;Z$1,JupData!$A$2:$A$10000&amp;JupData!$J$2:$J$10000,0),11))</f>
        <v/>
      </c>
      <c r="AA254" t="str">
        <f t="array" ref="AA254">IF($A254="","",INDEX(JupData!$A$2:$K$10000,MATCH($A254&amp;AA$1,JupData!$A$2:$A$10000&amp;JupData!$J$2:$J$10000,0),11))</f>
        <v/>
      </c>
      <c r="AB254" t="str">
        <f t="array" ref="AB254">IF($A254="","",INDEX(JupData!$A$2:$K$10000,MATCH($A254&amp;AB$1,JupData!$A$2:$A$10000&amp;JupData!$J$2:$J$10000,0),11))</f>
        <v/>
      </c>
      <c r="AC254" s="10" t="str">
        <f t="shared" si="33"/>
        <v/>
      </c>
      <c r="AD254" s="10" t="str">
        <f t="shared" si="34"/>
        <v/>
      </c>
      <c r="AE254" s="9" t="str">
        <f t="shared" si="35"/>
        <v/>
      </c>
      <c r="AF254" s="10" t="str">
        <f t="shared" si="36"/>
        <v/>
      </c>
      <c r="AG254" s="10" t="str">
        <f t="shared" si="37"/>
        <v/>
      </c>
      <c r="AH254" s="10" t="str">
        <f t="shared" si="38"/>
        <v/>
      </c>
      <c r="AI254" s="10" t="str">
        <f t="shared" si="39"/>
        <v/>
      </c>
      <c r="AJ254" s="10" t="str">
        <f t="shared" si="40"/>
        <v/>
      </c>
      <c r="AK254" s="10" t="str">
        <f t="shared" si="41"/>
        <v/>
      </c>
      <c r="AL254" s="14" t="str">
        <f t="shared" si="42"/>
        <v/>
      </c>
    </row>
    <row r="255" spans="1:38" x14ac:dyDescent="0.2">
      <c r="A255"/>
      <c r="B255" t="str">
        <f>IF($A255="","",VLOOKUP($A255,JupData!$A$2:$I$10000,4,FALSE))</f>
        <v/>
      </c>
      <c r="C255" s="7" t="str">
        <f>IF($A255="",IF(N(D255),0,""),VLOOKUP($A255,JupData!$A$2:$I$10000,7,FALSE))</f>
        <v/>
      </c>
      <c r="D255" t="str">
        <f t="shared" si="43"/>
        <v/>
      </c>
      <c r="E255" t="str">
        <f t="array" ref="E255">IF($A255="","",INDEX(JupData!$A$2:$K$10000,MATCH($A255&amp;E$1,JupData!$A$2:$A$10000&amp;JupData!$J$2:$J$10000,0),11))</f>
        <v/>
      </c>
      <c r="F255" t="str">
        <f t="array" ref="F255">IF($A255="","",INDEX(JupData!$A$2:$K$10000,MATCH($A255&amp;F$1,JupData!$A$2:$A$10000&amp;JupData!$J$2:$J$10000,0),11))</f>
        <v/>
      </c>
      <c r="G255" t="str">
        <f t="array" ref="G255">IF($A255="","",INDEX(JupData!$A$2:$K$10000,MATCH($A255&amp;G$1,JupData!$A$2:$A$10000&amp;JupData!$J$2:$J$10000,0),11))</f>
        <v/>
      </c>
      <c r="H255" t="str">
        <f t="array" ref="H255">IF($A255="","",INDEX(JupData!$A$2:$K$10000,MATCH($A255&amp;H$1,JupData!$A$2:$A$10000&amp;JupData!$J$2:$J$10000,0),11))</f>
        <v/>
      </c>
      <c r="I255" t="str">
        <f t="array" ref="I255">IF($A255="","",INDEX(JupData!$A$2:$K$10000,MATCH($A255&amp;I$1,JupData!$A$2:$A$10000&amp;JupData!$J$2:$J$10000,0),11))</f>
        <v/>
      </c>
      <c r="J255" t="str">
        <f t="array" ref="J255">IF($A255="","",INDEX(JupData!$A$2:$K$10000,MATCH($A255&amp;J$1,JupData!$A$2:$A$10000&amp;JupData!$J$2:$J$10000,0),11))</f>
        <v/>
      </c>
      <c r="K255" t="str">
        <f t="array" ref="K255">IF($A255="","",INDEX(JupData!$A$2:$K$10000,MATCH($A255&amp;K$1,JupData!$A$2:$A$10000&amp;JupData!$J$2:$J$10000,0),11))</f>
        <v/>
      </c>
      <c r="L255" t="str">
        <f t="array" ref="L255">IF($A255="","",INDEX(JupData!$A$2:$K$10000,MATCH($A255&amp;L$1,JupData!$A$2:$A$10000&amp;JupData!$J$2:$J$10000,0),11))</f>
        <v/>
      </c>
      <c r="M255" t="str">
        <f t="array" ref="M255">IF($A255="","",INDEX(JupData!$A$2:$K$10000,MATCH($A255&amp;M$1,JupData!$A$2:$A$10000&amp;JupData!$J$2:$J$10000,0),11))</f>
        <v/>
      </c>
      <c r="N255" t="str">
        <f t="array" ref="N255">IF($A255="","",INDEX(JupData!$A$2:$K$10000,MATCH($A255&amp;N$1,JupData!$A$2:$A$10000&amp;JupData!$J$2:$J$10000,0),11))</f>
        <v/>
      </c>
      <c r="O255" t="str">
        <f t="array" ref="O255">IF($A255="","",INDEX(JupData!$A$2:$K$10000,MATCH($A255&amp;O$1,JupData!$A$2:$A$10000&amp;JupData!$J$2:$J$10000,0),11))</f>
        <v/>
      </c>
      <c r="P255" t="str">
        <f t="array" ref="P255">IF($A255="","",INDEX(JupData!$A$2:$K$10000,MATCH($A255&amp;P$1,JupData!$A$2:$A$10000&amp;JupData!$J$2:$J$10000,0),11))</f>
        <v/>
      </c>
      <c r="Q255" t="str">
        <f t="array" ref="Q255">IF($A255="","",INDEX(JupData!$A$2:$K$10000,MATCH($A255&amp;Q$1,JupData!$A$2:$A$10000&amp;JupData!$J$2:$J$10000,0),11))</f>
        <v/>
      </c>
      <c r="R255" t="str">
        <f t="array" ref="R255">IF($A255="","",INDEX(JupData!$A$2:$K$10000,MATCH($A255&amp;R$1,JupData!$A$2:$A$10000&amp;JupData!$J$2:$J$10000,0),11))</f>
        <v/>
      </c>
      <c r="S255" t="str">
        <f t="array" ref="S255">IF($A255="","",INDEX(JupData!$A$2:$K$10000,MATCH($A255&amp;S$1,JupData!$A$2:$A$10000&amp;JupData!$J$2:$J$10000,0),11))</f>
        <v/>
      </c>
      <c r="T255" t="str">
        <f t="array" ref="T255">IF($A255="","",INDEX(JupData!$A$2:$K$10000,MATCH($A255&amp;T$1,JupData!$A$2:$A$10000&amp;JupData!$J$2:$J$10000,0),11))</f>
        <v/>
      </c>
      <c r="U255" t="str">
        <f t="array" ref="U255">IF($A255="","",INDEX(JupData!$A$2:$K$10000,MATCH($A255&amp;U$1,JupData!$A$2:$A$10000&amp;JupData!$J$2:$J$10000,0),11))</f>
        <v/>
      </c>
      <c r="V255" t="str">
        <f t="array" ref="V255">IF($A255="","",INDEX(JupData!$A$2:$K$10000,MATCH($A255&amp;V$1,JupData!$A$2:$A$10000&amp;JupData!$J$2:$J$10000,0),11))</f>
        <v/>
      </c>
      <c r="W255" t="str">
        <f t="array" ref="W255">IF($A255="","",INDEX(JupData!$A$2:$K$10000,MATCH($A255&amp;W$1,JupData!$A$2:$A$10000&amp;JupData!$J$2:$J$10000,0),11))</f>
        <v/>
      </c>
      <c r="X255" t="str">
        <f t="array" ref="X255">IF($A255="","",INDEX(JupData!$A$2:$K$10000,MATCH($A255&amp;X$1,JupData!$A$2:$A$10000&amp;JupData!$J$2:$J$10000,0),11))</f>
        <v/>
      </c>
      <c r="Y255" t="str">
        <f t="array" ref="Y255">IF($A255="","",INDEX(JupData!$A$2:$K$10000,MATCH($A255&amp;Y$1,JupData!$A$2:$A$10000&amp;JupData!$J$2:$J$10000,0),11))</f>
        <v/>
      </c>
      <c r="Z255" t="str">
        <f t="array" ref="Z255">IF($A255="","",INDEX(JupData!$A$2:$K$10000,MATCH($A255&amp;Z$1,JupData!$A$2:$A$10000&amp;JupData!$J$2:$J$10000,0),11))</f>
        <v/>
      </c>
      <c r="AA255" t="str">
        <f t="array" ref="AA255">IF($A255="","",INDEX(JupData!$A$2:$K$10000,MATCH($A255&amp;AA$1,JupData!$A$2:$A$10000&amp;JupData!$J$2:$J$10000,0),11))</f>
        <v/>
      </c>
      <c r="AB255" t="str">
        <f t="array" ref="AB255">IF($A255="","",INDEX(JupData!$A$2:$K$10000,MATCH($A255&amp;AB$1,JupData!$A$2:$A$10000&amp;JupData!$J$2:$J$10000,0),11))</f>
        <v/>
      </c>
      <c r="AC255" s="10" t="str">
        <f t="shared" si="33"/>
        <v/>
      </c>
      <c r="AD255" s="10" t="str">
        <f t="shared" si="34"/>
        <v/>
      </c>
      <c r="AE255" s="9" t="str">
        <f t="shared" si="35"/>
        <v/>
      </c>
      <c r="AF255" s="10" t="str">
        <f t="shared" si="36"/>
        <v/>
      </c>
      <c r="AG255" s="10" t="str">
        <f t="shared" si="37"/>
        <v/>
      </c>
      <c r="AH255" s="10" t="str">
        <f t="shared" si="38"/>
        <v/>
      </c>
      <c r="AI255" s="10" t="str">
        <f t="shared" si="39"/>
        <v/>
      </c>
      <c r="AJ255" s="10" t="str">
        <f t="shared" si="40"/>
        <v/>
      </c>
      <c r="AK255" s="10" t="str">
        <f t="shared" si="41"/>
        <v/>
      </c>
      <c r="AL255" s="14" t="str">
        <f t="shared" si="42"/>
        <v/>
      </c>
    </row>
    <row r="256" spans="1:38" x14ac:dyDescent="0.2">
      <c r="A256"/>
      <c r="B256" t="str">
        <f>IF($A256="","",VLOOKUP($A256,JupData!$A$2:$I$10000,4,FALSE))</f>
        <v/>
      </c>
      <c r="C256" s="7" t="str">
        <f>IF($A256="",IF(N(D256),0,""),VLOOKUP($A256,JupData!$A$2:$I$10000,7,FALSE))</f>
        <v/>
      </c>
      <c r="D256" t="str">
        <f t="shared" si="43"/>
        <v/>
      </c>
      <c r="E256" t="str">
        <f t="array" ref="E256">IF($A256="","",INDEX(JupData!$A$2:$K$10000,MATCH($A256&amp;E$1,JupData!$A$2:$A$10000&amp;JupData!$J$2:$J$10000,0),11))</f>
        <v/>
      </c>
      <c r="F256" t="str">
        <f t="array" ref="F256">IF($A256="","",INDEX(JupData!$A$2:$K$10000,MATCH($A256&amp;F$1,JupData!$A$2:$A$10000&amp;JupData!$J$2:$J$10000,0),11))</f>
        <v/>
      </c>
      <c r="G256" t="str">
        <f t="array" ref="G256">IF($A256="","",INDEX(JupData!$A$2:$K$10000,MATCH($A256&amp;G$1,JupData!$A$2:$A$10000&amp;JupData!$J$2:$J$10000,0),11))</f>
        <v/>
      </c>
      <c r="H256" t="str">
        <f t="array" ref="H256">IF($A256="","",INDEX(JupData!$A$2:$K$10000,MATCH($A256&amp;H$1,JupData!$A$2:$A$10000&amp;JupData!$J$2:$J$10000,0),11))</f>
        <v/>
      </c>
      <c r="I256" t="str">
        <f t="array" ref="I256">IF($A256="","",INDEX(JupData!$A$2:$K$10000,MATCH($A256&amp;I$1,JupData!$A$2:$A$10000&amp;JupData!$J$2:$J$10000,0),11))</f>
        <v/>
      </c>
      <c r="J256" t="str">
        <f t="array" ref="J256">IF($A256="","",INDEX(JupData!$A$2:$K$10000,MATCH($A256&amp;J$1,JupData!$A$2:$A$10000&amp;JupData!$J$2:$J$10000,0),11))</f>
        <v/>
      </c>
      <c r="K256" t="str">
        <f t="array" ref="K256">IF($A256="","",INDEX(JupData!$A$2:$K$10000,MATCH($A256&amp;K$1,JupData!$A$2:$A$10000&amp;JupData!$J$2:$J$10000,0),11))</f>
        <v/>
      </c>
      <c r="L256" t="str">
        <f t="array" ref="L256">IF($A256="","",INDEX(JupData!$A$2:$K$10000,MATCH($A256&amp;L$1,JupData!$A$2:$A$10000&amp;JupData!$J$2:$J$10000,0),11))</f>
        <v/>
      </c>
      <c r="M256" t="str">
        <f t="array" ref="M256">IF($A256="","",INDEX(JupData!$A$2:$K$10000,MATCH($A256&amp;M$1,JupData!$A$2:$A$10000&amp;JupData!$J$2:$J$10000,0),11))</f>
        <v/>
      </c>
      <c r="N256" t="str">
        <f t="array" ref="N256">IF($A256="","",INDEX(JupData!$A$2:$K$10000,MATCH($A256&amp;N$1,JupData!$A$2:$A$10000&amp;JupData!$J$2:$J$10000,0),11))</f>
        <v/>
      </c>
      <c r="O256" t="str">
        <f t="array" ref="O256">IF($A256="","",INDEX(JupData!$A$2:$K$10000,MATCH($A256&amp;O$1,JupData!$A$2:$A$10000&amp;JupData!$J$2:$J$10000,0),11))</f>
        <v/>
      </c>
      <c r="P256" t="str">
        <f t="array" ref="P256">IF($A256="","",INDEX(JupData!$A$2:$K$10000,MATCH($A256&amp;P$1,JupData!$A$2:$A$10000&amp;JupData!$J$2:$J$10000,0),11))</f>
        <v/>
      </c>
      <c r="Q256" t="str">
        <f t="array" ref="Q256">IF($A256="","",INDEX(JupData!$A$2:$K$10000,MATCH($A256&amp;Q$1,JupData!$A$2:$A$10000&amp;JupData!$J$2:$J$10000,0),11))</f>
        <v/>
      </c>
      <c r="R256" t="str">
        <f t="array" ref="R256">IF($A256="","",INDEX(JupData!$A$2:$K$10000,MATCH($A256&amp;R$1,JupData!$A$2:$A$10000&amp;JupData!$J$2:$J$10000,0),11))</f>
        <v/>
      </c>
      <c r="S256" t="str">
        <f t="array" ref="S256">IF($A256="","",INDEX(JupData!$A$2:$K$10000,MATCH($A256&amp;S$1,JupData!$A$2:$A$10000&amp;JupData!$J$2:$J$10000,0),11))</f>
        <v/>
      </c>
      <c r="T256" t="str">
        <f t="array" ref="T256">IF($A256="","",INDEX(JupData!$A$2:$K$10000,MATCH($A256&amp;T$1,JupData!$A$2:$A$10000&amp;JupData!$J$2:$J$10000,0),11))</f>
        <v/>
      </c>
      <c r="U256" t="str">
        <f t="array" ref="U256">IF($A256="","",INDEX(JupData!$A$2:$K$10000,MATCH($A256&amp;U$1,JupData!$A$2:$A$10000&amp;JupData!$J$2:$J$10000,0),11))</f>
        <v/>
      </c>
      <c r="V256" t="str">
        <f t="array" ref="V256">IF($A256="","",INDEX(JupData!$A$2:$K$10000,MATCH($A256&amp;V$1,JupData!$A$2:$A$10000&amp;JupData!$J$2:$J$10000,0),11))</f>
        <v/>
      </c>
      <c r="W256" t="str">
        <f t="array" ref="W256">IF($A256="","",INDEX(JupData!$A$2:$K$10000,MATCH($A256&amp;W$1,JupData!$A$2:$A$10000&amp;JupData!$J$2:$J$10000,0),11))</f>
        <v/>
      </c>
      <c r="X256" t="str">
        <f t="array" ref="X256">IF($A256="","",INDEX(JupData!$A$2:$K$10000,MATCH($A256&amp;X$1,JupData!$A$2:$A$10000&amp;JupData!$J$2:$J$10000,0),11))</f>
        <v/>
      </c>
      <c r="Y256" t="str">
        <f t="array" ref="Y256">IF($A256="","",INDEX(JupData!$A$2:$K$10000,MATCH($A256&amp;Y$1,JupData!$A$2:$A$10000&amp;JupData!$J$2:$J$10000,0),11))</f>
        <v/>
      </c>
      <c r="Z256" t="str">
        <f t="array" ref="Z256">IF($A256="","",INDEX(JupData!$A$2:$K$10000,MATCH($A256&amp;Z$1,JupData!$A$2:$A$10000&amp;JupData!$J$2:$J$10000,0),11))</f>
        <v/>
      </c>
      <c r="AA256" t="str">
        <f t="array" ref="AA256">IF($A256="","",INDEX(JupData!$A$2:$K$10000,MATCH($A256&amp;AA$1,JupData!$A$2:$A$10000&amp;JupData!$J$2:$J$10000,0),11))</f>
        <v/>
      </c>
      <c r="AB256" t="str">
        <f t="array" ref="AB256">IF($A256="","",INDEX(JupData!$A$2:$K$10000,MATCH($A256&amp;AB$1,JupData!$A$2:$A$10000&amp;JupData!$J$2:$J$10000,0),11))</f>
        <v/>
      </c>
      <c r="AC256" s="10" t="str">
        <f t="shared" si="33"/>
        <v/>
      </c>
      <c r="AD256" s="10" t="str">
        <f t="shared" si="34"/>
        <v/>
      </c>
      <c r="AE256" s="9" t="str">
        <f t="shared" si="35"/>
        <v/>
      </c>
      <c r="AF256" s="10" t="str">
        <f t="shared" si="36"/>
        <v/>
      </c>
      <c r="AG256" s="10" t="str">
        <f t="shared" si="37"/>
        <v/>
      </c>
      <c r="AH256" s="10" t="str">
        <f t="shared" si="38"/>
        <v/>
      </c>
      <c r="AI256" s="10" t="str">
        <f t="shared" si="39"/>
        <v/>
      </c>
      <c r="AJ256" s="10" t="str">
        <f t="shared" si="40"/>
        <v/>
      </c>
      <c r="AK256" s="10" t="str">
        <f t="shared" si="41"/>
        <v/>
      </c>
      <c r="AL256" s="14" t="str">
        <f t="shared" si="42"/>
        <v/>
      </c>
    </row>
    <row r="257" spans="1:38" x14ac:dyDescent="0.2">
      <c r="A257"/>
      <c r="B257" t="str">
        <f>IF($A257="","",VLOOKUP($A257,JupData!$A$2:$I$10000,4,FALSE))</f>
        <v/>
      </c>
      <c r="C257" s="7" t="str">
        <f>IF($A257="",IF(N(D257),0,""),VLOOKUP($A257,JupData!$A$2:$I$10000,7,FALSE))</f>
        <v/>
      </c>
      <c r="D257" t="str">
        <f t="shared" si="43"/>
        <v/>
      </c>
      <c r="E257" t="str">
        <f t="array" ref="E257">IF($A257="","",INDEX(JupData!$A$2:$K$10000,MATCH($A257&amp;E$1,JupData!$A$2:$A$10000&amp;JupData!$J$2:$J$10000,0),11))</f>
        <v/>
      </c>
      <c r="F257" t="str">
        <f t="array" ref="F257">IF($A257="","",INDEX(JupData!$A$2:$K$10000,MATCH($A257&amp;F$1,JupData!$A$2:$A$10000&amp;JupData!$J$2:$J$10000,0),11))</f>
        <v/>
      </c>
      <c r="G257" t="str">
        <f t="array" ref="G257">IF($A257="","",INDEX(JupData!$A$2:$K$10000,MATCH($A257&amp;G$1,JupData!$A$2:$A$10000&amp;JupData!$J$2:$J$10000,0),11))</f>
        <v/>
      </c>
      <c r="H257" t="str">
        <f t="array" ref="H257">IF($A257="","",INDEX(JupData!$A$2:$K$10000,MATCH($A257&amp;H$1,JupData!$A$2:$A$10000&amp;JupData!$J$2:$J$10000,0),11))</f>
        <v/>
      </c>
      <c r="I257" t="str">
        <f t="array" ref="I257">IF($A257="","",INDEX(JupData!$A$2:$K$10000,MATCH($A257&amp;I$1,JupData!$A$2:$A$10000&amp;JupData!$J$2:$J$10000,0),11))</f>
        <v/>
      </c>
      <c r="J257" t="str">
        <f t="array" ref="J257">IF($A257="","",INDEX(JupData!$A$2:$K$10000,MATCH($A257&amp;J$1,JupData!$A$2:$A$10000&amp;JupData!$J$2:$J$10000,0),11))</f>
        <v/>
      </c>
      <c r="K257" t="str">
        <f t="array" ref="K257">IF($A257="","",INDEX(JupData!$A$2:$K$10000,MATCH($A257&amp;K$1,JupData!$A$2:$A$10000&amp;JupData!$J$2:$J$10000,0),11))</f>
        <v/>
      </c>
      <c r="L257" t="str">
        <f t="array" ref="L257">IF($A257="","",INDEX(JupData!$A$2:$K$10000,MATCH($A257&amp;L$1,JupData!$A$2:$A$10000&amp;JupData!$J$2:$J$10000,0),11))</f>
        <v/>
      </c>
      <c r="M257" t="str">
        <f t="array" ref="M257">IF($A257="","",INDEX(JupData!$A$2:$K$10000,MATCH($A257&amp;M$1,JupData!$A$2:$A$10000&amp;JupData!$J$2:$J$10000,0),11))</f>
        <v/>
      </c>
      <c r="N257" t="str">
        <f t="array" ref="N257">IF($A257="","",INDEX(JupData!$A$2:$K$10000,MATCH($A257&amp;N$1,JupData!$A$2:$A$10000&amp;JupData!$J$2:$J$10000,0),11))</f>
        <v/>
      </c>
      <c r="O257" t="str">
        <f t="array" ref="O257">IF($A257="","",INDEX(JupData!$A$2:$K$10000,MATCH($A257&amp;O$1,JupData!$A$2:$A$10000&amp;JupData!$J$2:$J$10000,0),11))</f>
        <v/>
      </c>
      <c r="P257" t="str">
        <f t="array" ref="P257">IF($A257="","",INDEX(JupData!$A$2:$K$10000,MATCH($A257&amp;P$1,JupData!$A$2:$A$10000&amp;JupData!$J$2:$J$10000,0),11))</f>
        <v/>
      </c>
      <c r="Q257" t="str">
        <f t="array" ref="Q257">IF($A257="","",INDEX(JupData!$A$2:$K$10000,MATCH($A257&amp;Q$1,JupData!$A$2:$A$10000&amp;JupData!$J$2:$J$10000,0),11))</f>
        <v/>
      </c>
      <c r="R257" t="str">
        <f t="array" ref="R257">IF($A257="","",INDEX(JupData!$A$2:$K$10000,MATCH($A257&amp;R$1,JupData!$A$2:$A$10000&amp;JupData!$J$2:$J$10000,0),11))</f>
        <v/>
      </c>
      <c r="S257" t="str">
        <f t="array" ref="S257">IF($A257="","",INDEX(JupData!$A$2:$K$10000,MATCH($A257&amp;S$1,JupData!$A$2:$A$10000&amp;JupData!$J$2:$J$10000,0),11))</f>
        <v/>
      </c>
      <c r="T257" t="str">
        <f t="array" ref="T257">IF($A257="","",INDEX(JupData!$A$2:$K$10000,MATCH($A257&amp;T$1,JupData!$A$2:$A$10000&amp;JupData!$J$2:$J$10000,0),11))</f>
        <v/>
      </c>
      <c r="U257" t="str">
        <f t="array" ref="U257">IF($A257="","",INDEX(JupData!$A$2:$K$10000,MATCH($A257&amp;U$1,JupData!$A$2:$A$10000&amp;JupData!$J$2:$J$10000,0),11))</f>
        <v/>
      </c>
      <c r="V257" t="str">
        <f t="array" ref="V257">IF($A257="","",INDEX(JupData!$A$2:$K$10000,MATCH($A257&amp;V$1,JupData!$A$2:$A$10000&amp;JupData!$J$2:$J$10000,0),11))</f>
        <v/>
      </c>
      <c r="W257" t="str">
        <f t="array" ref="W257">IF($A257="","",INDEX(JupData!$A$2:$K$10000,MATCH($A257&amp;W$1,JupData!$A$2:$A$10000&amp;JupData!$J$2:$J$10000,0),11))</f>
        <v/>
      </c>
      <c r="X257" t="str">
        <f t="array" ref="X257">IF($A257="","",INDEX(JupData!$A$2:$K$10000,MATCH($A257&amp;X$1,JupData!$A$2:$A$10000&amp;JupData!$J$2:$J$10000,0),11))</f>
        <v/>
      </c>
      <c r="Y257" t="str">
        <f t="array" ref="Y257">IF($A257="","",INDEX(JupData!$A$2:$K$10000,MATCH($A257&amp;Y$1,JupData!$A$2:$A$10000&amp;JupData!$J$2:$J$10000,0),11))</f>
        <v/>
      </c>
      <c r="Z257" t="str">
        <f t="array" ref="Z257">IF($A257="","",INDEX(JupData!$A$2:$K$10000,MATCH($A257&amp;Z$1,JupData!$A$2:$A$10000&amp;JupData!$J$2:$J$10000,0),11))</f>
        <v/>
      </c>
      <c r="AA257" t="str">
        <f t="array" ref="AA257">IF($A257="","",INDEX(JupData!$A$2:$K$10000,MATCH($A257&amp;AA$1,JupData!$A$2:$A$10000&amp;JupData!$J$2:$J$10000,0),11))</f>
        <v/>
      </c>
      <c r="AB257" t="str">
        <f t="array" ref="AB257">IF($A257="","",INDEX(JupData!$A$2:$K$10000,MATCH($A257&amp;AB$1,JupData!$A$2:$A$10000&amp;JupData!$J$2:$J$10000,0),11))</f>
        <v/>
      </c>
      <c r="AC257" s="10" t="str">
        <f t="shared" si="33"/>
        <v/>
      </c>
      <c r="AD257" s="10" t="str">
        <f t="shared" si="34"/>
        <v/>
      </c>
      <c r="AE257" s="9" t="str">
        <f t="shared" si="35"/>
        <v/>
      </c>
      <c r="AF257" s="10" t="str">
        <f t="shared" si="36"/>
        <v/>
      </c>
      <c r="AG257" s="10" t="str">
        <f t="shared" si="37"/>
        <v/>
      </c>
      <c r="AH257" s="10" t="str">
        <f t="shared" si="38"/>
        <v/>
      </c>
      <c r="AI257" s="10" t="str">
        <f t="shared" si="39"/>
        <v/>
      </c>
      <c r="AJ257" s="10" t="str">
        <f t="shared" si="40"/>
        <v/>
      </c>
      <c r="AK257" s="10" t="str">
        <f t="shared" si="41"/>
        <v/>
      </c>
      <c r="AL257" s="14" t="str">
        <f t="shared" si="42"/>
        <v/>
      </c>
    </row>
    <row r="258" spans="1:38" x14ac:dyDescent="0.2">
      <c r="A258"/>
      <c r="B258" t="str">
        <f>IF($A258="","",VLOOKUP($A258,JupData!$A$2:$I$10000,4,FALSE))</f>
        <v/>
      </c>
      <c r="C258" s="7" t="str">
        <f>IF($A258="",IF(N(D258),0,""),VLOOKUP($A258,JupData!$A$2:$I$10000,7,FALSE))</f>
        <v/>
      </c>
      <c r="D258" t="str">
        <f t="shared" si="43"/>
        <v/>
      </c>
      <c r="E258" t="str">
        <f t="array" ref="E258">IF($A258="","",INDEX(JupData!$A$2:$K$10000,MATCH($A258&amp;E$1,JupData!$A$2:$A$10000&amp;JupData!$J$2:$J$10000,0),11))</f>
        <v/>
      </c>
      <c r="F258" t="str">
        <f t="array" ref="F258">IF($A258="","",INDEX(JupData!$A$2:$K$10000,MATCH($A258&amp;F$1,JupData!$A$2:$A$10000&amp;JupData!$J$2:$J$10000,0),11))</f>
        <v/>
      </c>
      <c r="G258" t="str">
        <f t="array" ref="G258">IF($A258="","",INDEX(JupData!$A$2:$K$10000,MATCH($A258&amp;G$1,JupData!$A$2:$A$10000&amp;JupData!$J$2:$J$10000,0),11))</f>
        <v/>
      </c>
      <c r="H258" t="str">
        <f t="array" ref="H258">IF($A258="","",INDEX(JupData!$A$2:$K$10000,MATCH($A258&amp;H$1,JupData!$A$2:$A$10000&amp;JupData!$J$2:$J$10000,0),11))</f>
        <v/>
      </c>
      <c r="I258" t="str">
        <f t="array" ref="I258">IF($A258="","",INDEX(JupData!$A$2:$K$10000,MATCH($A258&amp;I$1,JupData!$A$2:$A$10000&amp;JupData!$J$2:$J$10000,0),11))</f>
        <v/>
      </c>
      <c r="J258" t="str">
        <f t="array" ref="J258">IF($A258="","",INDEX(JupData!$A$2:$K$10000,MATCH($A258&amp;J$1,JupData!$A$2:$A$10000&amp;JupData!$J$2:$J$10000,0),11))</f>
        <v/>
      </c>
      <c r="K258" t="str">
        <f t="array" ref="K258">IF($A258="","",INDEX(JupData!$A$2:$K$10000,MATCH($A258&amp;K$1,JupData!$A$2:$A$10000&amp;JupData!$J$2:$J$10000,0),11))</f>
        <v/>
      </c>
      <c r="L258" t="str">
        <f t="array" ref="L258">IF($A258="","",INDEX(JupData!$A$2:$K$10000,MATCH($A258&amp;L$1,JupData!$A$2:$A$10000&amp;JupData!$J$2:$J$10000,0),11))</f>
        <v/>
      </c>
      <c r="M258" t="str">
        <f t="array" ref="M258">IF($A258="","",INDEX(JupData!$A$2:$K$10000,MATCH($A258&amp;M$1,JupData!$A$2:$A$10000&amp;JupData!$J$2:$J$10000,0),11))</f>
        <v/>
      </c>
      <c r="N258" t="str">
        <f t="array" ref="N258">IF($A258="","",INDEX(JupData!$A$2:$K$10000,MATCH($A258&amp;N$1,JupData!$A$2:$A$10000&amp;JupData!$J$2:$J$10000,0),11))</f>
        <v/>
      </c>
      <c r="O258" t="str">
        <f t="array" ref="O258">IF($A258="","",INDEX(JupData!$A$2:$K$10000,MATCH($A258&amp;O$1,JupData!$A$2:$A$10000&amp;JupData!$J$2:$J$10000,0),11))</f>
        <v/>
      </c>
      <c r="P258" t="str">
        <f t="array" ref="P258">IF($A258="","",INDEX(JupData!$A$2:$K$10000,MATCH($A258&amp;P$1,JupData!$A$2:$A$10000&amp;JupData!$J$2:$J$10000,0),11))</f>
        <v/>
      </c>
      <c r="Q258" t="str">
        <f t="array" ref="Q258">IF($A258="","",INDEX(JupData!$A$2:$K$10000,MATCH($A258&amp;Q$1,JupData!$A$2:$A$10000&amp;JupData!$J$2:$J$10000,0),11))</f>
        <v/>
      </c>
      <c r="R258" t="str">
        <f t="array" ref="R258">IF($A258="","",INDEX(JupData!$A$2:$K$10000,MATCH($A258&amp;R$1,JupData!$A$2:$A$10000&amp;JupData!$J$2:$J$10000,0),11))</f>
        <v/>
      </c>
      <c r="S258" t="str">
        <f t="array" ref="S258">IF($A258="","",INDEX(JupData!$A$2:$K$10000,MATCH($A258&amp;S$1,JupData!$A$2:$A$10000&amp;JupData!$J$2:$J$10000,0),11))</f>
        <v/>
      </c>
      <c r="T258" t="str">
        <f t="array" ref="T258">IF($A258="","",INDEX(JupData!$A$2:$K$10000,MATCH($A258&amp;T$1,JupData!$A$2:$A$10000&amp;JupData!$J$2:$J$10000,0),11))</f>
        <v/>
      </c>
      <c r="U258" t="str">
        <f t="array" ref="U258">IF($A258="","",INDEX(JupData!$A$2:$K$10000,MATCH($A258&amp;U$1,JupData!$A$2:$A$10000&amp;JupData!$J$2:$J$10000,0),11))</f>
        <v/>
      </c>
      <c r="V258" t="str">
        <f t="array" ref="V258">IF($A258="","",INDEX(JupData!$A$2:$K$10000,MATCH($A258&amp;V$1,JupData!$A$2:$A$10000&amp;JupData!$J$2:$J$10000,0),11))</f>
        <v/>
      </c>
      <c r="W258" t="str">
        <f t="array" ref="W258">IF($A258="","",INDEX(JupData!$A$2:$K$10000,MATCH($A258&amp;W$1,JupData!$A$2:$A$10000&amp;JupData!$J$2:$J$10000,0),11))</f>
        <v/>
      </c>
      <c r="X258" t="str">
        <f t="array" ref="X258">IF($A258="","",INDEX(JupData!$A$2:$K$10000,MATCH($A258&amp;X$1,JupData!$A$2:$A$10000&amp;JupData!$J$2:$J$10000,0),11))</f>
        <v/>
      </c>
      <c r="Y258" t="str">
        <f t="array" ref="Y258">IF($A258="","",INDEX(JupData!$A$2:$K$10000,MATCH($A258&amp;Y$1,JupData!$A$2:$A$10000&amp;JupData!$J$2:$J$10000,0),11))</f>
        <v/>
      </c>
      <c r="Z258" t="str">
        <f t="array" ref="Z258">IF($A258="","",INDEX(JupData!$A$2:$K$10000,MATCH($A258&amp;Z$1,JupData!$A$2:$A$10000&amp;JupData!$J$2:$J$10000,0),11))</f>
        <v/>
      </c>
      <c r="AA258" t="str">
        <f t="array" ref="AA258">IF($A258="","",INDEX(JupData!$A$2:$K$10000,MATCH($A258&amp;AA$1,JupData!$A$2:$A$10000&amp;JupData!$J$2:$J$10000,0),11))</f>
        <v/>
      </c>
      <c r="AB258" t="str">
        <f t="array" ref="AB258">IF($A258="","",INDEX(JupData!$A$2:$K$10000,MATCH($A258&amp;AB$1,JupData!$A$2:$A$10000&amp;JupData!$J$2:$J$10000,0),11))</f>
        <v/>
      </c>
      <c r="AC258" s="10" t="str">
        <f t="shared" si="33"/>
        <v/>
      </c>
      <c r="AD258" s="10" t="str">
        <f t="shared" si="34"/>
        <v/>
      </c>
      <c r="AE258" s="9" t="str">
        <f t="shared" si="35"/>
        <v/>
      </c>
      <c r="AF258" s="10" t="str">
        <f t="shared" si="36"/>
        <v/>
      </c>
      <c r="AG258" s="10" t="str">
        <f t="shared" si="37"/>
        <v/>
      </c>
      <c r="AH258" s="10" t="str">
        <f t="shared" si="38"/>
        <v/>
      </c>
      <c r="AI258" s="10" t="str">
        <f t="shared" si="39"/>
        <v/>
      </c>
      <c r="AJ258" s="10" t="str">
        <f t="shared" si="40"/>
        <v/>
      </c>
      <c r="AK258" s="10" t="str">
        <f t="shared" si="41"/>
        <v/>
      </c>
      <c r="AL258" s="14" t="str">
        <f t="shared" si="42"/>
        <v/>
      </c>
    </row>
    <row r="259" spans="1:38" x14ac:dyDescent="0.2">
      <c r="A259"/>
      <c r="B259" t="str">
        <f>IF($A259="","",VLOOKUP($A259,JupData!$A$2:$I$10000,4,FALSE))</f>
        <v/>
      </c>
      <c r="C259" s="7" t="str">
        <f>IF($A259="",IF(N(D259),0,""),VLOOKUP($A259,JupData!$A$2:$I$10000,7,FALSE))</f>
        <v/>
      </c>
      <c r="D259" t="str">
        <f t="shared" si="43"/>
        <v/>
      </c>
      <c r="E259" t="str">
        <f t="array" ref="E259">IF($A259="","",INDEX(JupData!$A$2:$K$10000,MATCH($A259&amp;E$1,JupData!$A$2:$A$10000&amp;JupData!$J$2:$J$10000,0),11))</f>
        <v/>
      </c>
      <c r="F259" t="str">
        <f t="array" ref="F259">IF($A259="","",INDEX(JupData!$A$2:$K$10000,MATCH($A259&amp;F$1,JupData!$A$2:$A$10000&amp;JupData!$J$2:$J$10000,0),11))</f>
        <v/>
      </c>
      <c r="G259" t="str">
        <f t="array" ref="G259">IF($A259="","",INDEX(JupData!$A$2:$K$10000,MATCH($A259&amp;G$1,JupData!$A$2:$A$10000&amp;JupData!$J$2:$J$10000,0),11))</f>
        <v/>
      </c>
      <c r="H259" t="str">
        <f t="array" ref="H259">IF($A259="","",INDEX(JupData!$A$2:$K$10000,MATCH($A259&amp;H$1,JupData!$A$2:$A$10000&amp;JupData!$J$2:$J$10000,0),11))</f>
        <v/>
      </c>
      <c r="I259" t="str">
        <f t="array" ref="I259">IF($A259="","",INDEX(JupData!$A$2:$K$10000,MATCH($A259&amp;I$1,JupData!$A$2:$A$10000&amp;JupData!$J$2:$J$10000,0),11))</f>
        <v/>
      </c>
      <c r="J259" t="str">
        <f t="array" ref="J259">IF($A259="","",INDEX(JupData!$A$2:$K$10000,MATCH($A259&amp;J$1,JupData!$A$2:$A$10000&amp;JupData!$J$2:$J$10000,0),11))</f>
        <v/>
      </c>
      <c r="K259" t="str">
        <f t="array" ref="K259">IF($A259="","",INDEX(JupData!$A$2:$K$10000,MATCH($A259&amp;K$1,JupData!$A$2:$A$10000&amp;JupData!$J$2:$J$10000,0),11))</f>
        <v/>
      </c>
      <c r="L259" t="str">
        <f t="array" ref="L259">IF($A259="","",INDEX(JupData!$A$2:$K$10000,MATCH($A259&amp;L$1,JupData!$A$2:$A$10000&amp;JupData!$J$2:$J$10000,0),11))</f>
        <v/>
      </c>
      <c r="M259" t="str">
        <f t="array" ref="M259">IF($A259="","",INDEX(JupData!$A$2:$K$10000,MATCH($A259&amp;M$1,JupData!$A$2:$A$10000&amp;JupData!$J$2:$J$10000,0),11))</f>
        <v/>
      </c>
      <c r="N259" t="str">
        <f t="array" ref="N259">IF($A259="","",INDEX(JupData!$A$2:$K$10000,MATCH($A259&amp;N$1,JupData!$A$2:$A$10000&amp;JupData!$J$2:$J$10000,0),11))</f>
        <v/>
      </c>
      <c r="O259" t="str">
        <f t="array" ref="O259">IF($A259="","",INDEX(JupData!$A$2:$K$10000,MATCH($A259&amp;O$1,JupData!$A$2:$A$10000&amp;JupData!$J$2:$J$10000,0),11))</f>
        <v/>
      </c>
      <c r="P259" t="str">
        <f t="array" ref="P259">IF($A259="","",INDEX(JupData!$A$2:$K$10000,MATCH($A259&amp;P$1,JupData!$A$2:$A$10000&amp;JupData!$J$2:$J$10000,0),11))</f>
        <v/>
      </c>
      <c r="Q259" t="str">
        <f t="array" ref="Q259">IF($A259="","",INDEX(JupData!$A$2:$K$10000,MATCH($A259&amp;Q$1,JupData!$A$2:$A$10000&amp;JupData!$J$2:$J$10000,0),11))</f>
        <v/>
      </c>
      <c r="R259" t="str">
        <f t="array" ref="R259">IF($A259="","",INDEX(JupData!$A$2:$K$10000,MATCH($A259&amp;R$1,JupData!$A$2:$A$10000&amp;JupData!$J$2:$J$10000,0),11))</f>
        <v/>
      </c>
      <c r="S259" t="str">
        <f t="array" ref="S259">IF($A259="","",INDEX(JupData!$A$2:$K$10000,MATCH($A259&amp;S$1,JupData!$A$2:$A$10000&amp;JupData!$J$2:$J$10000,0),11))</f>
        <v/>
      </c>
      <c r="T259" t="str">
        <f t="array" ref="T259">IF($A259="","",INDEX(JupData!$A$2:$K$10000,MATCH($A259&amp;T$1,JupData!$A$2:$A$10000&amp;JupData!$J$2:$J$10000,0),11))</f>
        <v/>
      </c>
      <c r="U259" t="str">
        <f t="array" ref="U259">IF($A259="","",INDEX(JupData!$A$2:$K$10000,MATCH($A259&amp;U$1,JupData!$A$2:$A$10000&amp;JupData!$J$2:$J$10000,0),11))</f>
        <v/>
      </c>
      <c r="V259" t="str">
        <f t="array" ref="V259">IF($A259="","",INDEX(JupData!$A$2:$K$10000,MATCH($A259&amp;V$1,JupData!$A$2:$A$10000&amp;JupData!$J$2:$J$10000,0),11))</f>
        <v/>
      </c>
      <c r="W259" t="str">
        <f t="array" ref="W259">IF($A259="","",INDEX(JupData!$A$2:$K$10000,MATCH($A259&amp;W$1,JupData!$A$2:$A$10000&amp;JupData!$J$2:$J$10000,0),11))</f>
        <v/>
      </c>
      <c r="X259" t="str">
        <f t="array" ref="X259">IF($A259="","",INDEX(JupData!$A$2:$K$10000,MATCH($A259&amp;X$1,JupData!$A$2:$A$10000&amp;JupData!$J$2:$J$10000,0),11))</f>
        <v/>
      </c>
      <c r="Y259" t="str">
        <f t="array" ref="Y259">IF($A259="","",INDEX(JupData!$A$2:$K$10000,MATCH($A259&amp;Y$1,JupData!$A$2:$A$10000&amp;JupData!$J$2:$J$10000,0),11))</f>
        <v/>
      </c>
      <c r="Z259" t="str">
        <f t="array" ref="Z259">IF($A259="","",INDEX(JupData!$A$2:$K$10000,MATCH($A259&amp;Z$1,JupData!$A$2:$A$10000&amp;JupData!$J$2:$J$10000,0),11))</f>
        <v/>
      </c>
      <c r="AA259" t="str">
        <f t="array" ref="AA259">IF($A259="","",INDEX(JupData!$A$2:$K$10000,MATCH($A259&amp;AA$1,JupData!$A$2:$A$10000&amp;JupData!$J$2:$J$10000,0),11))</f>
        <v/>
      </c>
      <c r="AB259" t="str">
        <f t="array" ref="AB259">IF($A259="","",INDEX(JupData!$A$2:$K$10000,MATCH($A259&amp;AB$1,JupData!$A$2:$A$10000&amp;JupData!$J$2:$J$10000,0),11))</f>
        <v/>
      </c>
      <c r="AC259" s="10" t="str">
        <f t="shared" ref="AC259:AC322" si="44">IF(A259="","",2*H259/40.08+2*I259/24.3+J259/22.99+K259/39.1+Y259/18.04)</f>
        <v/>
      </c>
      <c r="AD259" s="10" t="str">
        <f t="shared" ref="AD259:AD322" si="45">IF(A259="","",R259/61.02+2*S259/96.06+T259/35.45+U259/19+W259/62)</f>
        <v/>
      </c>
      <c r="AE259" s="9" t="str">
        <f t="shared" ref="AE259:AE322" si="46">IF(A259="","",IF(AD259&lt;0,((AC259+AD259)/(AC259-AD259)),((AC259-AD259)/(AC259+AD259))))</f>
        <v/>
      </c>
      <c r="AF259" s="10" t="str">
        <f t="shared" ref="AF259:AF322" si="47">IF(A259="","",(J259/22.99)/(T259/35.45))</f>
        <v/>
      </c>
      <c r="AG259" s="10" t="str">
        <f t="shared" ref="AG259:AG322" si="48">IF(A259="","",2*((H259/40.08)+(I259/24.3))/(R259/61.02))</f>
        <v/>
      </c>
      <c r="AH259" s="10" t="str">
        <f t="shared" ref="AH259:AH322" si="49">IF(A259="","",(J259/22.99)/((J259/22.99)+2*(H259/40.08)))</f>
        <v/>
      </c>
      <c r="AI259" s="10" t="str">
        <f t="shared" ref="AI259:AI322" si="50">IF(A259="","",H259/40.08)</f>
        <v/>
      </c>
      <c r="AJ259" s="10" t="str">
        <f t="shared" ref="AJ259:AJ322" si="51">IF(A259="","",S259/96.06)</f>
        <v/>
      </c>
      <c r="AK259" s="10" t="str">
        <f t="shared" ref="AK259:AK322" si="52">IF(A259="","",IF(W259&gt;=1,IF(L259&lt;0.2,IF(G259&gt;1,"A","B"),"X1"),IF(L259&gt;=0.2,IF(S259&gt;=20,IF(S259&gt;70,"C2","C1"),IF(AG259&lt;=1,"D","X3")),"X2")))</f>
        <v/>
      </c>
      <c r="AL259" s="14" t="str">
        <f t="shared" ref="AL259:AL322" si="53">IF(F259="","",(H259/40.1+I259/24.3)*5.6)</f>
        <v/>
      </c>
    </row>
    <row r="260" spans="1:38" x14ac:dyDescent="0.2">
      <c r="A260"/>
      <c r="B260" t="str">
        <f>IF($A260="","",VLOOKUP($A260,JupData!$A$2:$I$10000,4,FALSE))</f>
        <v/>
      </c>
      <c r="C260" s="7" t="str">
        <f>IF($A260="",IF(N(D260),0,""),VLOOKUP($A260,JupData!$A$2:$I$10000,7,FALSE))</f>
        <v/>
      </c>
      <c r="D260" t="str">
        <f t="shared" ref="D260:D323" si="54">IF(A260="",IF(D259&lt;20,D259+1,""),IF(B259="",1,IF(B259=B260,D259,D259+1)))</f>
        <v/>
      </c>
      <c r="E260" t="str">
        <f t="array" ref="E260">IF($A260="","",INDEX(JupData!$A$2:$K$10000,MATCH($A260&amp;E$1,JupData!$A$2:$A$10000&amp;JupData!$J$2:$J$10000,0),11))</f>
        <v/>
      </c>
      <c r="F260" t="str">
        <f t="array" ref="F260">IF($A260="","",INDEX(JupData!$A$2:$K$10000,MATCH($A260&amp;F$1,JupData!$A$2:$A$10000&amp;JupData!$J$2:$J$10000,0),11))</f>
        <v/>
      </c>
      <c r="G260" t="str">
        <f t="array" ref="G260">IF($A260="","",INDEX(JupData!$A$2:$K$10000,MATCH($A260&amp;G$1,JupData!$A$2:$A$10000&amp;JupData!$J$2:$J$10000,0),11))</f>
        <v/>
      </c>
      <c r="H260" t="str">
        <f t="array" ref="H260">IF($A260="","",INDEX(JupData!$A$2:$K$10000,MATCH($A260&amp;H$1,JupData!$A$2:$A$10000&amp;JupData!$J$2:$J$10000,0),11))</f>
        <v/>
      </c>
      <c r="I260" t="str">
        <f t="array" ref="I260">IF($A260="","",INDEX(JupData!$A$2:$K$10000,MATCH($A260&amp;I$1,JupData!$A$2:$A$10000&amp;JupData!$J$2:$J$10000,0),11))</f>
        <v/>
      </c>
      <c r="J260" t="str">
        <f t="array" ref="J260">IF($A260="","",INDEX(JupData!$A$2:$K$10000,MATCH($A260&amp;J$1,JupData!$A$2:$A$10000&amp;JupData!$J$2:$J$10000,0),11))</f>
        <v/>
      </c>
      <c r="K260" t="str">
        <f t="array" ref="K260">IF($A260="","",INDEX(JupData!$A$2:$K$10000,MATCH($A260&amp;K$1,JupData!$A$2:$A$10000&amp;JupData!$J$2:$J$10000,0),11))</f>
        <v/>
      </c>
      <c r="L260" t="str">
        <f t="array" ref="L260">IF($A260="","",INDEX(JupData!$A$2:$K$10000,MATCH($A260&amp;L$1,JupData!$A$2:$A$10000&amp;JupData!$J$2:$J$10000,0),11))</f>
        <v/>
      </c>
      <c r="M260" t="str">
        <f t="array" ref="M260">IF($A260="","",INDEX(JupData!$A$2:$K$10000,MATCH($A260&amp;M$1,JupData!$A$2:$A$10000&amp;JupData!$J$2:$J$10000,0),11))</f>
        <v/>
      </c>
      <c r="N260" t="str">
        <f t="array" ref="N260">IF($A260="","",INDEX(JupData!$A$2:$K$10000,MATCH($A260&amp;N$1,JupData!$A$2:$A$10000&amp;JupData!$J$2:$J$10000,0),11))</f>
        <v/>
      </c>
      <c r="O260" t="str">
        <f t="array" ref="O260">IF($A260="","",INDEX(JupData!$A$2:$K$10000,MATCH($A260&amp;O$1,JupData!$A$2:$A$10000&amp;JupData!$J$2:$J$10000,0),11))</f>
        <v/>
      </c>
      <c r="P260" t="str">
        <f t="array" ref="P260">IF($A260="","",INDEX(JupData!$A$2:$K$10000,MATCH($A260&amp;P$1,JupData!$A$2:$A$10000&amp;JupData!$J$2:$J$10000,0),11))</f>
        <v/>
      </c>
      <c r="Q260" t="str">
        <f t="array" ref="Q260">IF($A260="","",INDEX(JupData!$A$2:$K$10000,MATCH($A260&amp;Q$1,JupData!$A$2:$A$10000&amp;JupData!$J$2:$J$10000,0),11))</f>
        <v/>
      </c>
      <c r="R260" t="str">
        <f t="array" ref="R260">IF($A260="","",INDEX(JupData!$A$2:$K$10000,MATCH($A260&amp;R$1,JupData!$A$2:$A$10000&amp;JupData!$J$2:$J$10000,0),11))</f>
        <v/>
      </c>
      <c r="S260" t="str">
        <f t="array" ref="S260">IF($A260="","",INDEX(JupData!$A$2:$K$10000,MATCH($A260&amp;S$1,JupData!$A$2:$A$10000&amp;JupData!$J$2:$J$10000,0),11))</f>
        <v/>
      </c>
      <c r="T260" t="str">
        <f t="array" ref="T260">IF($A260="","",INDEX(JupData!$A$2:$K$10000,MATCH($A260&amp;T$1,JupData!$A$2:$A$10000&amp;JupData!$J$2:$J$10000,0),11))</f>
        <v/>
      </c>
      <c r="U260" t="str">
        <f t="array" ref="U260">IF($A260="","",INDEX(JupData!$A$2:$K$10000,MATCH($A260&amp;U$1,JupData!$A$2:$A$10000&amp;JupData!$J$2:$J$10000,0),11))</f>
        <v/>
      </c>
      <c r="V260" t="str">
        <f t="array" ref="V260">IF($A260="","",INDEX(JupData!$A$2:$K$10000,MATCH($A260&amp;V$1,JupData!$A$2:$A$10000&amp;JupData!$J$2:$J$10000,0),11))</f>
        <v/>
      </c>
      <c r="W260" t="str">
        <f t="array" ref="W260">IF($A260="","",INDEX(JupData!$A$2:$K$10000,MATCH($A260&amp;W$1,JupData!$A$2:$A$10000&amp;JupData!$J$2:$J$10000,0),11))</f>
        <v/>
      </c>
      <c r="X260" t="str">
        <f t="array" ref="X260">IF($A260="","",INDEX(JupData!$A$2:$K$10000,MATCH($A260&amp;X$1,JupData!$A$2:$A$10000&amp;JupData!$J$2:$J$10000,0),11))</f>
        <v/>
      </c>
      <c r="Y260" t="str">
        <f t="array" ref="Y260">IF($A260="","",INDEX(JupData!$A$2:$K$10000,MATCH($A260&amp;Y$1,JupData!$A$2:$A$10000&amp;JupData!$J$2:$J$10000,0),11))</f>
        <v/>
      </c>
      <c r="Z260" t="str">
        <f t="array" ref="Z260">IF($A260="","",INDEX(JupData!$A$2:$K$10000,MATCH($A260&amp;Z$1,JupData!$A$2:$A$10000&amp;JupData!$J$2:$J$10000,0),11))</f>
        <v/>
      </c>
      <c r="AA260" t="str">
        <f t="array" ref="AA260">IF($A260="","",INDEX(JupData!$A$2:$K$10000,MATCH($A260&amp;AA$1,JupData!$A$2:$A$10000&amp;JupData!$J$2:$J$10000,0),11))</f>
        <v/>
      </c>
      <c r="AB260" t="str">
        <f t="array" ref="AB260">IF($A260="","",INDEX(JupData!$A$2:$K$10000,MATCH($A260&amp;AB$1,JupData!$A$2:$A$10000&amp;JupData!$J$2:$J$10000,0),11))</f>
        <v/>
      </c>
      <c r="AC260" s="10" t="str">
        <f t="shared" si="44"/>
        <v/>
      </c>
      <c r="AD260" s="10" t="str">
        <f t="shared" si="45"/>
        <v/>
      </c>
      <c r="AE260" s="9" t="str">
        <f t="shared" si="46"/>
        <v/>
      </c>
      <c r="AF260" s="10" t="str">
        <f t="shared" si="47"/>
        <v/>
      </c>
      <c r="AG260" s="10" t="str">
        <f t="shared" si="48"/>
        <v/>
      </c>
      <c r="AH260" s="10" t="str">
        <f t="shared" si="49"/>
        <v/>
      </c>
      <c r="AI260" s="10" t="str">
        <f t="shared" si="50"/>
        <v/>
      </c>
      <c r="AJ260" s="10" t="str">
        <f t="shared" si="51"/>
        <v/>
      </c>
      <c r="AK260" s="10" t="str">
        <f t="shared" si="52"/>
        <v/>
      </c>
      <c r="AL260" s="14" t="str">
        <f t="shared" si="53"/>
        <v/>
      </c>
    </row>
    <row r="261" spans="1:38" x14ac:dyDescent="0.2">
      <c r="A261"/>
      <c r="B261" t="str">
        <f>IF($A261="","",VLOOKUP($A261,JupData!$A$2:$I$10000,4,FALSE))</f>
        <v/>
      </c>
      <c r="C261" s="7" t="str">
        <f>IF($A261="",IF(N(D261),0,""),VLOOKUP($A261,JupData!$A$2:$I$10000,7,FALSE))</f>
        <v/>
      </c>
      <c r="D261" t="str">
        <f t="shared" si="54"/>
        <v/>
      </c>
      <c r="E261" t="str">
        <f t="array" ref="E261">IF($A261="","",INDEX(JupData!$A$2:$K$10000,MATCH($A261&amp;E$1,JupData!$A$2:$A$10000&amp;JupData!$J$2:$J$10000,0),11))</f>
        <v/>
      </c>
      <c r="F261" t="str">
        <f t="array" ref="F261">IF($A261="","",INDEX(JupData!$A$2:$K$10000,MATCH($A261&amp;F$1,JupData!$A$2:$A$10000&amp;JupData!$J$2:$J$10000,0),11))</f>
        <v/>
      </c>
      <c r="G261" t="str">
        <f t="array" ref="G261">IF($A261="","",INDEX(JupData!$A$2:$K$10000,MATCH($A261&amp;G$1,JupData!$A$2:$A$10000&amp;JupData!$J$2:$J$10000,0),11))</f>
        <v/>
      </c>
      <c r="H261" t="str">
        <f t="array" ref="H261">IF($A261="","",INDEX(JupData!$A$2:$K$10000,MATCH($A261&amp;H$1,JupData!$A$2:$A$10000&amp;JupData!$J$2:$J$10000,0),11))</f>
        <v/>
      </c>
      <c r="I261" t="str">
        <f t="array" ref="I261">IF($A261="","",INDEX(JupData!$A$2:$K$10000,MATCH($A261&amp;I$1,JupData!$A$2:$A$10000&amp;JupData!$J$2:$J$10000,0),11))</f>
        <v/>
      </c>
      <c r="J261" t="str">
        <f t="array" ref="J261">IF($A261="","",INDEX(JupData!$A$2:$K$10000,MATCH($A261&amp;J$1,JupData!$A$2:$A$10000&amp;JupData!$J$2:$J$10000,0),11))</f>
        <v/>
      </c>
      <c r="K261" t="str">
        <f t="array" ref="K261">IF($A261="","",INDEX(JupData!$A$2:$K$10000,MATCH($A261&amp;K$1,JupData!$A$2:$A$10000&amp;JupData!$J$2:$J$10000,0),11))</f>
        <v/>
      </c>
      <c r="L261" t="str">
        <f t="array" ref="L261">IF($A261="","",INDEX(JupData!$A$2:$K$10000,MATCH($A261&amp;L$1,JupData!$A$2:$A$10000&amp;JupData!$J$2:$J$10000,0),11))</f>
        <v/>
      </c>
      <c r="M261" t="str">
        <f t="array" ref="M261">IF($A261="","",INDEX(JupData!$A$2:$K$10000,MATCH($A261&amp;M$1,JupData!$A$2:$A$10000&amp;JupData!$J$2:$J$10000,0),11))</f>
        <v/>
      </c>
      <c r="N261" t="str">
        <f t="array" ref="N261">IF($A261="","",INDEX(JupData!$A$2:$K$10000,MATCH($A261&amp;N$1,JupData!$A$2:$A$10000&amp;JupData!$J$2:$J$10000,0),11))</f>
        <v/>
      </c>
      <c r="O261" t="str">
        <f t="array" ref="O261">IF($A261="","",INDEX(JupData!$A$2:$K$10000,MATCH($A261&amp;O$1,JupData!$A$2:$A$10000&amp;JupData!$J$2:$J$10000,0),11))</f>
        <v/>
      </c>
      <c r="P261" t="str">
        <f t="array" ref="P261">IF($A261="","",INDEX(JupData!$A$2:$K$10000,MATCH($A261&amp;P$1,JupData!$A$2:$A$10000&amp;JupData!$J$2:$J$10000,0),11))</f>
        <v/>
      </c>
      <c r="Q261" t="str">
        <f t="array" ref="Q261">IF($A261="","",INDEX(JupData!$A$2:$K$10000,MATCH($A261&amp;Q$1,JupData!$A$2:$A$10000&amp;JupData!$J$2:$J$10000,0),11))</f>
        <v/>
      </c>
      <c r="R261" t="str">
        <f t="array" ref="R261">IF($A261="","",INDEX(JupData!$A$2:$K$10000,MATCH($A261&amp;R$1,JupData!$A$2:$A$10000&amp;JupData!$J$2:$J$10000,0),11))</f>
        <v/>
      </c>
      <c r="S261" t="str">
        <f t="array" ref="S261">IF($A261="","",INDEX(JupData!$A$2:$K$10000,MATCH($A261&amp;S$1,JupData!$A$2:$A$10000&amp;JupData!$J$2:$J$10000,0),11))</f>
        <v/>
      </c>
      <c r="T261" t="str">
        <f t="array" ref="T261">IF($A261="","",INDEX(JupData!$A$2:$K$10000,MATCH($A261&amp;T$1,JupData!$A$2:$A$10000&amp;JupData!$J$2:$J$10000,0),11))</f>
        <v/>
      </c>
      <c r="U261" t="str">
        <f t="array" ref="U261">IF($A261="","",INDEX(JupData!$A$2:$K$10000,MATCH($A261&amp;U$1,JupData!$A$2:$A$10000&amp;JupData!$J$2:$J$10000,0),11))</f>
        <v/>
      </c>
      <c r="V261" t="str">
        <f t="array" ref="V261">IF($A261="","",INDEX(JupData!$A$2:$K$10000,MATCH($A261&amp;V$1,JupData!$A$2:$A$10000&amp;JupData!$J$2:$J$10000,0),11))</f>
        <v/>
      </c>
      <c r="W261" t="str">
        <f t="array" ref="W261">IF($A261="","",INDEX(JupData!$A$2:$K$10000,MATCH($A261&amp;W$1,JupData!$A$2:$A$10000&amp;JupData!$J$2:$J$10000,0),11))</f>
        <v/>
      </c>
      <c r="X261" t="str">
        <f t="array" ref="X261">IF($A261="","",INDEX(JupData!$A$2:$K$10000,MATCH($A261&amp;X$1,JupData!$A$2:$A$10000&amp;JupData!$J$2:$J$10000,0),11))</f>
        <v/>
      </c>
      <c r="Y261" t="str">
        <f t="array" ref="Y261">IF($A261="","",INDEX(JupData!$A$2:$K$10000,MATCH($A261&amp;Y$1,JupData!$A$2:$A$10000&amp;JupData!$J$2:$J$10000,0),11))</f>
        <v/>
      </c>
      <c r="Z261" t="str">
        <f t="array" ref="Z261">IF($A261="","",INDEX(JupData!$A$2:$K$10000,MATCH($A261&amp;Z$1,JupData!$A$2:$A$10000&amp;JupData!$J$2:$J$10000,0),11))</f>
        <v/>
      </c>
      <c r="AA261" t="str">
        <f t="array" ref="AA261">IF($A261="","",INDEX(JupData!$A$2:$K$10000,MATCH($A261&amp;AA$1,JupData!$A$2:$A$10000&amp;JupData!$J$2:$J$10000,0),11))</f>
        <v/>
      </c>
      <c r="AB261" t="str">
        <f t="array" ref="AB261">IF($A261="","",INDEX(JupData!$A$2:$K$10000,MATCH($A261&amp;AB$1,JupData!$A$2:$A$10000&amp;JupData!$J$2:$J$10000,0),11))</f>
        <v/>
      </c>
      <c r="AC261" s="10" t="str">
        <f t="shared" si="44"/>
        <v/>
      </c>
      <c r="AD261" s="10" t="str">
        <f t="shared" si="45"/>
        <v/>
      </c>
      <c r="AE261" s="9" t="str">
        <f t="shared" si="46"/>
        <v/>
      </c>
      <c r="AF261" s="10" t="str">
        <f t="shared" si="47"/>
        <v/>
      </c>
      <c r="AG261" s="10" t="str">
        <f t="shared" si="48"/>
        <v/>
      </c>
      <c r="AH261" s="10" t="str">
        <f t="shared" si="49"/>
        <v/>
      </c>
      <c r="AI261" s="10" t="str">
        <f t="shared" si="50"/>
        <v/>
      </c>
      <c r="AJ261" s="10" t="str">
        <f t="shared" si="51"/>
        <v/>
      </c>
      <c r="AK261" s="10" t="str">
        <f t="shared" si="52"/>
        <v/>
      </c>
      <c r="AL261" s="14" t="str">
        <f t="shared" si="53"/>
        <v/>
      </c>
    </row>
    <row r="262" spans="1:38" x14ac:dyDescent="0.2">
      <c r="A262"/>
      <c r="B262" t="str">
        <f>IF($A262="","",VLOOKUP($A262,JupData!$A$2:$I$10000,4,FALSE))</f>
        <v/>
      </c>
      <c r="C262" s="7" t="str">
        <f>IF($A262="",IF(N(D262),0,""),VLOOKUP($A262,JupData!$A$2:$I$10000,7,FALSE))</f>
        <v/>
      </c>
      <c r="D262" t="str">
        <f t="shared" si="54"/>
        <v/>
      </c>
      <c r="E262" t="str">
        <f t="array" ref="E262">IF($A262="","",INDEX(JupData!$A$2:$K$10000,MATCH($A262&amp;E$1,JupData!$A$2:$A$10000&amp;JupData!$J$2:$J$10000,0),11))</f>
        <v/>
      </c>
      <c r="F262" t="str">
        <f t="array" ref="F262">IF($A262="","",INDEX(JupData!$A$2:$K$10000,MATCH($A262&amp;F$1,JupData!$A$2:$A$10000&amp;JupData!$J$2:$J$10000,0),11))</f>
        <v/>
      </c>
      <c r="G262" t="str">
        <f t="array" ref="G262">IF($A262="","",INDEX(JupData!$A$2:$K$10000,MATCH($A262&amp;G$1,JupData!$A$2:$A$10000&amp;JupData!$J$2:$J$10000,0),11))</f>
        <v/>
      </c>
      <c r="H262" t="str">
        <f t="array" ref="H262">IF($A262="","",INDEX(JupData!$A$2:$K$10000,MATCH($A262&amp;H$1,JupData!$A$2:$A$10000&amp;JupData!$J$2:$J$10000,0),11))</f>
        <v/>
      </c>
      <c r="I262" t="str">
        <f t="array" ref="I262">IF($A262="","",INDEX(JupData!$A$2:$K$10000,MATCH($A262&amp;I$1,JupData!$A$2:$A$10000&amp;JupData!$J$2:$J$10000,0),11))</f>
        <v/>
      </c>
      <c r="J262" t="str">
        <f t="array" ref="J262">IF($A262="","",INDEX(JupData!$A$2:$K$10000,MATCH($A262&amp;J$1,JupData!$A$2:$A$10000&amp;JupData!$J$2:$J$10000,0),11))</f>
        <v/>
      </c>
      <c r="K262" t="str">
        <f t="array" ref="K262">IF($A262="","",INDEX(JupData!$A$2:$K$10000,MATCH($A262&amp;K$1,JupData!$A$2:$A$10000&amp;JupData!$J$2:$J$10000,0),11))</f>
        <v/>
      </c>
      <c r="L262" t="str">
        <f t="array" ref="L262">IF($A262="","",INDEX(JupData!$A$2:$K$10000,MATCH($A262&amp;L$1,JupData!$A$2:$A$10000&amp;JupData!$J$2:$J$10000,0),11))</f>
        <v/>
      </c>
      <c r="M262" t="str">
        <f t="array" ref="M262">IF($A262="","",INDEX(JupData!$A$2:$K$10000,MATCH($A262&amp;M$1,JupData!$A$2:$A$10000&amp;JupData!$J$2:$J$10000,0),11))</f>
        <v/>
      </c>
      <c r="N262" t="str">
        <f t="array" ref="N262">IF($A262="","",INDEX(JupData!$A$2:$K$10000,MATCH($A262&amp;N$1,JupData!$A$2:$A$10000&amp;JupData!$J$2:$J$10000,0),11))</f>
        <v/>
      </c>
      <c r="O262" t="str">
        <f t="array" ref="O262">IF($A262="","",INDEX(JupData!$A$2:$K$10000,MATCH($A262&amp;O$1,JupData!$A$2:$A$10000&amp;JupData!$J$2:$J$10000,0),11))</f>
        <v/>
      </c>
      <c r="P262" t="str">
        <f t="array" ref="P262">IF($A262="","",INDEX(JupData!$A$2:$K$10000,MATCH($A262&amp;P$1,JupData!$A$2:$A$10000&amp;JupData!$J$2:$J$10000,0),11))</f>
        <v/>
      </c>
      <c r="Q262" t="str">
        <f t="array" ref="Q262">IF($A262="","",INDEX(JupData!$A$2:$K$10000,MATCH($A262&amp;Q$1,JupData!$A$2:$A$10000&amp;JupData!$J$2:$J$10000,0),11))</f>
        <v/>
      </c>
      <c r="R262" t="str">
        <f t="array" ref="R262">IF($A262="","",INDEX(JupData!$A$2:$K$10000,MATCH($A262&amp;R$1,JupData!$A$2:$A$10000&amp;JupData!$J$2:$J$10000,0),11))</f>
        <v/>
      </c>
      <c r="S262" t="str">
        <f t="array" ref="S262">IF($A262="","",INDEX(JupData!$A$2:$K$10000,MATCH($A262&amp;S$1,JupData!$A$2:$A$10000&amp;JupData!$J$2:$J$10000,0),11))</f>
        <v/>
      </c>
      <c r="T262" t="str">
        <f t="array" ref="T262">IF($A262="","",INDEX(JupData!$A$2:$K$10000,MATCH($A262&amp;T$1,JupData!$A$2:$A$10000&amp;JupData!$J$2:$J$10000,0),11))</f>
        <v/>
      </c>
      <c r="U262" t="str">
        <f t="array" ref="U262">IF($A262="","",INDEX(JupData!$A$2:$K$10000,MATCH($A262&amp;U$1,JupData!$A$2:$A$10000&amp;JupData!$J$2:$J$10000,0),11))</f>
        <v/>
      </c>
      <c r="V262" t="str">
        <f t="array" ref="V262">IF($A262="","",INDEX(JupData!$A$2:$K$10000,MATCH($A262&amp;V$1,JupData!$A$2:$A$10000&amp;JupData!$J$2:$J$10000,0),11))</f>
        <v/>
      </c>
      <c r="W262" t="str">
        <f t="array" ref="W262">IF($A262="","",INDEX(JupData!$A$2:$K$10000,MATCH($A262&amp;W$1,JupData!$A$2:$A$10000&amp;JupData!$J$2:$J$10000,0),11))</f>
        <v/>
      </c>
      <c r="X262" t="str">
        <f t="array" ref="X262">IF($A262="","",INDEX(JupData!$A$2:$K$10000,MATCH($A262&amp;X$1,JupData!$A$2:$A$10000&amp;JupData!$J$2:$J$10000,0),11))</f>
        <v/>
      </c>
      <c r="Y262" t="str">
        <f t="array" ref="Y262">IF($A262="","",INDEX(JupData!$A$2:$K$10000,MATCH($A262&amp;Y$1,JupData!$A$2:$A$10000&amp;JupData!$J$2:$J$10000,0),11))</f>
        <v/>
      </c>
      <c r="Z262" t="str">
        <f t="array" ref="Z262">IF($A262="","",INDEX(JupData!$A$2:$K$10000,MATCH($A262&amp;Z$1,JupData!$A$2:$A$10000&amp;JupData!$J$2:$J$10000,0),11))</f>
        <v/>
      </c>
      <c r="AA262" t="str">
        <f t="array" ref="AA262">IF($A262="","",INDEX(JupData!$A$2:$K$10000,MATCH($A262&amp;AA$1,JupData!$A$2:$A$10000&amp;JupData!$J$2:$J$10000,0),11))</f>
        <v/>
      </c>
      <c r="AB262" t="str">
        <f t="array" ref="AB262">IF($A262="","",INDEX(JupData!$A$2:$K$10000,MATCH($A262&amp;AB$1,JupData!$A$2:$A$10000&amp;JupData!$J$2:$J$10000,0),11))</f>
        <v/>
      </c>
      <c r="AC262" s="10" t="str">
        <f t="shared" si="44"/>
        <v/>
      </c>
      <c r="AD262" s="10" t="str">
        <f t="shared" si="45"/>
        <v/>
      </c>
      <c r="AE262" s="9" t="str">
        <f t="shared" si="46"/>
        <v/>
      </c>
      <c r="AF262" s="10" t="str">
        <f t="shared" si="47"/>
        <v/>
      </c>
      <c r="AG262" s="10" t="str">
        <f t="shared" si="48"/>
        <v/>
      </c>
      <c r="AH262" s="10" t="str">
        <f t="shared" si="49"/>
        <v/>
      </c>
      <c r="AI262" s="10" t="str">
        <f t="shared" si="50"/>
        <v/>
      </c>
      <c r="AJ262" s="10" t="str">
        <f t="shared" si="51"/>
        <v/>
      </c>
      <c r="AK262" s="10" t="str">
        <f t="shared" si="52"/>
        <v/>
      </c>
      <c r="AL262" s="14" t="str">
        <f t="shared" si="53"/>
        <v/>
      </c>
    </row>
    <row r="263" spans="1:38" x14ac:dyDescent="0.2">
      <c r="A263"/>
      <c r="B263" t="str">
        <f>IF($A263="","",VLOOKUP($A263,JupData!$A$2:$I$10000,4,FALSE))</f>
        <v/>
      </c>
      <c r="C263" s="7" t="str">
        <f>IF($A263="",IF(N(D263),0,""),VLOOKUP($A263,JupData!$A$2:$I$10000,7,FALSE))</f>
        <v/>
      </c>
      <c r="D263" t="str">
        <f t="shared" si="54"/>
        <v/>
      </c>
      <c r="E263" t="str">
        <f t="array" ref="E263">IF($A263="","",INDEX(JupData!$A$2:$K$10000,MATCH($A263&amp;E$1,JupData!$A$2:$A$10000&amp;JupData!$J$2:$J$10000,0),11))</f>
        <v/>
      </c>
      <c r="F263" t="str">
        <f t="array" ref="F263">IF($A263="","",INDEX(JupData!$A$2:$K$10000,MATCH($A263&amp;F$1,JupData!$A$2:$A$10000&amp;JupData!$J$2:$J$10000,0),11))</f>
        <v/>
      </c>
      <c r="G263" t="str">
        <f t="array" ref="G263">IF($A263="","",INDEX(JupData!$A$2:$K$10000,MATCH($A263&amp;G$1,JupData!$A$2:$A$10000&amp;JupData!$J$2:$J$10000,0),11))</f>
        <v/>
      </c>
      <c r="H263" t="str">
        <f t="array" ref="H263">IF($A263="","",INDEX(JupData!$A$2:$K$10000,MATCH($A263&amp;H$1,JupData!$A$2:$A$10000&amp;JupData!$J$2:$J$10000,0),11))</f>
        <v/>
      </c>
      <c r="I263" t="str">
        <f t="array" ref="I263">IF($A263="","",INDEX(JupData!$A$2:$K$10000,MATCH($A263&amp;I$1,JupData!$A$2:$A$10000&amp;JupData!$J$2:$J$10000,0),11))</f>
        <v/>
      </c>
      <c r="J263" t="str">
        <f t="array" ref="J263">IF($A263="","",INDEX(JupData!$A$2:$K$10000,MATCH($A263&amp;J$1,JupData!$A$2:$A$10000&amp;JupData!$J$2:$J$10000,0),11))</f>
        <v/>
      </c>
      <c r="K263" t="str">
        <f t="array" ref="K263">IF($A263="","",INDEX(JupData!$A$2:$K$10000,MATCH($A263&amp;K$1,JupData!$A$2:$A$10000&amp;JupData!$J$2:$J$10000,0),11))</f>
        <v/>
      </c>
      <c r="L263" t="str">
        <f t="array" ref="L263">IF($A263="","",INDEX(JupData!$A$2:$K$10000,MATCH($A263&amp;L$1,JupData!$A$2:$A$10000&amp;JupData!$J$2:$J$10000,0),11))</f>
        <v/>
      </c>
      <c r="M263" t="str">
        <f t="array" ref="M263">IF($A263="","",INDEX(JupData!$A$2:$K$10000,MATCH($A263&amp;M$1,JupData!$A$2:$A$10000&amp;JupData!$J$2:$J$10000,0),11))</f>
        <v/>
      </c>
      <c r="N263" t="str">
        <f t="array" ref="N263">IF($A263="","",INDEX(JupData!$A$2:$K$10000,MATCH($A263&amp;N$1,JupData!$A$2:$A$10000&amp;JupData!$J$2:$J$10000,0),11))</f>
        <v/>
      </c>
      <c r="O263" t="str">
        <f t="array" ref="O263">IF($A263="","",INDEX(JupData!$A$2:$K$10000,MATCH($A263&amp;O$1,JupData!$A$2:$A$10000&amp;JupData!$J$2:$J$10000,0),11))</f>
        <v/>
      </c>
      <c r="P263" t="str">
        <f t="array" ref="P263">IF($A263="","",INDEX(JupData!$A$2:$K$10000,MATCH($A263&amp;P$1,JupData!$A$2:$A$10000&amp;JupData!$J$2:$J$10000,0),11))</f>
        <v/>
      </c>
      <c r="Q263" t="str">
        <f t="array" ref="Q263">IF($A263="","",INDEX(JupData!$A$2:$K$10000,MATCH($A263&amp;Q$1,JupData!$A$2:$A$10000&amp;JupData!$J$2:$J$10000,0),11))</f>
        <v/>
      </c>
      <c r="R263" t="str">
        <f t="array" ref="R263">IF($A263="","",INDEX(JupData!$A$2:$K$10000,MATCH($A263&amp;R$1,JupData!$A$2:$A$10000&amp;JupData!$J$2:$J$10000,0),11))</f>
        <v/>
      </c>
      <c r="S263" t="str">
        <f t="array" ref="S263">IF($A263="","",INDEX(JupData!$A$2:$K$10000,MATCH($A263&amp;S$1,JupData!$A$2:$A$10000&amp;JupData!$J$2:$J$10000,0),11))</f>
        <v/>
      </c>
      <c r="T263" t="str">
        <f t="array" ref="T263">IF($A263="","",INDEX(JupData!$A$2:$K$10000,MATCH($A263&amp;T$1,JupData!$A$2:$A$10000&amp;JupData!$J$2:$J$10000,0),11))</f>
        <v/>
      </c>
      <c r="U263" t="str">
        <f t="array" ref="U263">IF($A263="","",INDEX(JupData!$A$2:$K$10000,MATCH($A263&amp;U$1,JupData!$A$2:$A$10000&amp;JupData!$J$2:$J$10000,0),11))</f>
        <v/>
      </c>
      <c r="V263" t="str">
        <f t="array" ref="V263">IF($A263="","",INDEX(JupData!$A$2:$K$10000,MATCH($A263&amp;V$1,JupData!$A$2:$A$10000&amp;JupData!$J$2:$J$10000,0),11))</f>
        <v/>
      </c>
      <c r="W263" t="str">
        <f t="array" ref="W263">IF($A263="","",INDEX(JupData!$A$2:$K$10000,MATCH($A263&amp;W$1,JupData!$A$2:$A$10000&amp;JupData!$J$2:$J$10000,0),11))</f>
        <v/>
      </c>
      <c r="X263" t="str">
        <f t="array" ref="X263">IF($A263="","",INDEX(JupData!$A$2:$K$10000,MATCH($A263&amp;X$1,JupData!$A$2:$A$10000&amp;JupData!$J$2:$J$10000,0),11))</f>
        <v/>
      </c>
      <c r="Y263" t="str">
        <f t="array" ref="Y263">IF($A263="","",INDEX(JupData!$A$2:$K$10000,MATCH($A263&amp;Y$1,JupData!$A$2:$A$10000&amp;JupData!$J$2:$J$10000,0),11))</f>
        <v/>
      </c>
      <c r="Z263" t="str">
        <f t="array" ref="Z263">IF($A263="","",INDEX(JupData!$A$2:$K$10000,MATCH($A263&amp;Z$1,JupData!$A$2:$A$10000&amp;JupData!$J$2:$J$10000,0),11))</f>
        <v/>
      </c>
      <c r="AA263" t="str">
        <f t="array" ref="AA263">IF($A263="","",INDEX(JupData!$A$2:$K$10000,MATCH($A263&amp;AA$1,JupData!$A$2:$A$10000&amp;JupData!$J$2:$J$10000,0),11))</f>
        <v/>
      </c>
      <c r="AB263" t="str">
        <f t="array" ref="AB263">IF($A263="","",INDEX(JupData!$A$2:$K$10000,MATCH($A263&amp;AB$1,JupData!$A$2:$A$10000&amp;JupData!$J$2:$J$10000,0),11))</f>
        <v/>
      </c>
      <c r="AC263" s="10" t="str">
        <f t="shared" si="44"/>
        <v/>
      </c>
      <c r="AD263" s="10" t="str">
        <f t="shared" si="45"/>
        <v/>
      </c>
      <c r="AE263" s="9" t="str">
        <f t="shared" si="46"/>
        <v/>
      </c>
      <c r="AF263" s="10" t="str">
        <f t="shared" si="47"/>
        <v/>
      </c>
      <c r="AG263" s="10" t="str">
        <f t="shared" si="48"/>
        <v/>
      </c>
      <c r="AH263" s="10" t="str">
        <f t="shared" si="49"/>
        <v/>
      </c>
      <c r="AI263" s="10" t="str">
        <f t="shared" si="50"/>
        <v/>
      </c>
      <c r="AJ263" s="10" t="str">
        <f t="shared" si="51"/>
        <v/>
      </c>
      <c r="AK263" s="10" t="str">
        <f t="shared" si="52"/>
        <v/>
      </c>
      <c r="AL263" s="14" t="str">
        <f t="shared" si="53"/>
        <v/>
      </c>
    </row>
    <row r="264" spans="1:38" x14ac:dyDescent="0.2">
      <c r="A264"/>
      <c r="B264" t="str">
        <f>IF($A264="","",VLOOKUP($A264,JupData!$A$2:$I$10000,4,FALSE))</f>
        <v/>
      </c>
      <c r="C264" s="7" t="str">
        <f>IF($A264="",IF(N(D264),0,""),VLOOKUP($A264,JupData!$A$2:$I$10000,7,FALSE))</f>
        <v/>
      </c>
      <c r="D264" t="str">
        <f t="shared" si="54"/>
        <v/>
      </c>
      <c r="E264" t="str">
        <f t="array" ref="E264">IF($A264="","",INDEX(JupData!$A$2:$K$10000,MATCH($A264&amp;E$1,JupData!$A$2:$A$10000&amp;JupData!$J$2:$J$10000,0),11))</f>
        <v/>
      </c>
      <c r="F264" t="str">
        <f t="array" ref="F264">IF($A264="","",INDEX(JupData!$A$2:$K$10000,MATCH($A264&amp;F$1,JupData!$A$2:$A$10000&amp;JupData!$J$2:$J$10000,0),11))</f>
        <v/>
      </c>
      <c r="G264" t="str">
        <f t="array" ref="G264">IF($A264="","",INDEX(JupData!$A$2:$K$10000,MATCH($A264&amp;G$1,JupData!$A$2:$A$10000&amp;JupData!$J$2:$J$10000,0),11))</f>
        <v/>
      </c>
      <c r="H264" t="str">
        <f t="array" ref="H264">IF($A264="","",INDEX(JupData!$A$2:$K$10000,MATCH($A264&amp;H$1,JupData!$A$2:$A$10000&amp;JupData!$J$2:$J$10000,0),11))</f>
        <v/>
      </c>
      <c r="I264" t="str">
        <f t="array" ref="I264">IF($A264="","",INDEX(JupData!$A$2:$K$10000,MATCH($A264&amp;I$1,JupData!$A$2:$A$10000&amp;JupData!$J$2:$J$10000,0),11))</f>
        <v/>
      </c>
      <c r="J264" t="str">
        <f t="array" ref="J264">IF($A264="","",INDEX(JupData!$A$2:$K$10000,MATCH($A264&amp;J$1,JupData!$A$2:$A$10000&amp;JupData!$J$2:$J$10000,0),11))</f>
        <v/>
      </c>
      <c r="K264" t="str">
        <f t="array" ref="K264">IF($A264="","",INDEX(JupData!$A$2:$K$10000,MATCH($A264&amp;K$1,JupData!$A$2:$A$10000&amp;JupData!$J$2:$J$10000,0),11))</f>
        <v/>
      </c>
      <c r="L264" t="str">
        <f t="array" ref="L264">IF($A264="","",INDEX(JupData!$A$2:$K$10000,MATCH($A264&amp;L$1,JupData!$A$2:$A$10000&amp;JupData!$J$2:$J$10000,0),11))</f>
        <v/>
      </c>
      <c r="M264" t="str">
        <f t="array" ref="M264">IF($A264="","",INDEX(JupData!$A$2:$K$10000,MATCH($A264&amp;M$1,JupData!$A$2:$A$10000&amp;JupData!$J$2:$J$10000,0),11))</f>
        <v/>
      </c>
      <c r="N264" t="str">
        <f t="array" ref="N264">IF($A264="","",INDEX(JupData!$A$2:$K$10000,MATCH($A264&amp;N$1,JupData!$A$2:$A$10000&amp;JupData!$J$2:$J$10000,0),11))</f>
        <v/>
      </c>
      <c r="O264" t="str">
        <f t="array" ref="O264">IF($A264="","",INDEX(JupData!$A$2:$K$10000,MATCH($A264&amp;O$1,JupData!$A$2:$A$10000&amp;JupData!$J$2:$J$10000,0),11))</f>
        <v/>
      </c>
      <c r="P264" t="str">
        <f t="array" ref="P264">IF($A264="","",INDEX(JupData!$A$2:$K$10000,MATCH($A264&amp;P$1,JupData!$A$2:$A$10000&amp;JupData!$J$2:$J$10000,0),11))</f>
        <v/>
      </c>
      <c r="Q264" t="str">
        <f t="array" ref="Q264">IF($A264="","",INDEX(JupData!$A$2:$K$10000,MATCH($A264&amp;Q$1,JupData!$A$2:$A$10000&amp;JupData!$J$2:$J$10000,0),11))</f>
        <v/>
      </c>
      <c r="R264" t="str">
        <f t="array" ref="R264">IF($A264="","",INDEX(JupData!$A$2:$K$10000,MATCH($A264&amp;R$1,JupData!$A$2:$A$10000&amp;JupData!$J$2:$J$10000,0),11))</f>
        <v/>
      </c>
      <c r="S264" t="str">
        <f t="array" ref="S264">IF($A264="","",INDEX(JupData!$A$2:$K$10000,MATCH($A264&amp;S$1,JupData!$A$2:$A$10000&amp;JupData!$J$2:$J$10000,0),11))</f>
        <v/>
      </c>
      <c r="T264" t="str">
        <f t="array" ref="T264">IF($A264="","",INDEX(JupData!$A$2:$K$10000,MATCH($A264&amp;T$1,JupData!$A$2:$A$10000&amp;JupData!$J$2:$J$10000,0),11))</f>
        <v/>
      </c>
      <c r="U264" t="str">
        <f t="array" ref="U264">IF($A264="","",INDEX(JupData!$A$2:$K$10000,MATCH($A264&amp;U$1,JupData!$A$2:$A$10000&amp;JupData!$J$2:$J$10000,0),11))</f>
        <v/>
      </c>
      <c r="V264" t="str">
        <f t="array" ref="V264">IF($A264="","",INDEX(JupData!$A$2:$K$10000,MATCH($A264&amp;V$1,JupData!$A$2:$A$10000&amp;JupData!$J$2:$J$10000,0),11))</f>
        <v/>
      </c>
      <c r="W264" t="str">
        <f t="array" ref="W264">IF($A264="","",INDEX(JupData!$A$2:$K$10000,MATCH($A264&amp;W$1,JupData!$A$2:$A$10000&amp;JupData!$J$2:$J$10000,0),11))</f>
        <v/>
      </c>
      <c r="X264" t="str">
        <f t="array" ref="X264">IF($A264="","",INDEX(JupData!$A$2:$K$10000,MATCH($A264&amp;X$1,JupData!$A$2:$A$10000&amp;JupData!$J$2:$J$10000,0),11))</f>
        <v/>
      </c>
      <c r="Y264" t="str">
        <f t="array" ref="Y264">IF($A264="","",INDEX(JupData!$A$2:$K$10000,MATCH($A264&amp;Y$1,JupData!$A$2:$A$10000&amp;JupData!$J$2:$J$10000,0),11))</f>
        <v/>
      </c>
      <c r="Z264" t="str">
        <f t="array" ref="Z264">IF($A264="","",INDEX(JupData!$A$2:$K$10000,MATCH($A264&amp;Z$1,JupData!$A$2:$A$10000&amp;JupData!$J$2:$J$10000,0),11))</f>
        <v/>
      </c>
      <c r="AA264" t="str">
        <f t="array" ref="AA264">IF($A264="","",INDEX(JupData!$A$2:$K$10000,MATCH($A264&amp;AA$1,JupData!$A$2:$A$10000&amp;JupData!$J$2:$J$10000,0),11))</f>
        <v/>
      </c>
      <c r="AB264" t="str">
        <f t="array" ref="AB264">IF($A264="","",INDEX(JupData!$A$2:$K$10000,MATCH($A264&amp;AB$1,JupData!$A$2:$A$10000&amp;JupData!$J$2:$J$10000,0),11))</f>
        <v/>
      </c>
      <c r="AC264" s="10" t="str">
        <f t="shared" si="44"/>
        <v/>
      </c>
      <c r="AD264" s="10" t="str">
        <f t="shared" si="45"/>
        <v/>
      </c>
      <c r="AE264" s="9" t="str">
        <f t="shared" si="46"/>
        <v/>
      </c>
      <c r="AF264" s="10" t="str">
        <f t="shared" si="47"/>
        <v/>
      </c>
      <c r="AG264" s="10" t="str">
        <f t="shared" si="48"/>
        <v/>
      </c>
      <c r="AH264" s="10" t="str">
        <f t="shared" si="49"/>
        <v/>
      </c>
      <c r="AI264" s="10" t="str">
        <f t="shared" si="50"/>
        <v/>
      </c>
      <c r="AJ264" s="10" t="str">
        <f t="shared" si="51"/>
        <v/>
      </c>
      <c r="AK264" s="10" t="str">
        <f t="shared" si="52"/>
        <v/>
      </c>
      <c r="AL264" s="14" t="str">
        <f t="shared" si="53"/>
        <v/>
      </c>
    </row>
    <row r="265" spans="1:38" x14ac:dyDescent="0.2">
      <c r="A265"/>
      <c r="B265" t="str">
        <f>IF($A265="","",VLOOKUP($A265,JupData!$A$2:$I$10000,4,FALSE))</f>
        <v/>
      </c>
      <c r="C265" s="7" t="str">
        <f>IF($A265="",IF(N(D265),0,""),VLOOKUP($A265,JupData!$A$2:$I$10000,7,FALSE))</f>
        <v/>
      </c>
      <c r="D265" t="str">
        <f t="shared" si="54"/>
        <v/>
      </c>
      <c r="E265" t="str">
        <f t="array" ref="E265">IF($A265="","",INDEX(JupData!$A$2:$K$10000,MATCH($A265&amp;E$1,JupData!$A$2:$A$10000&amp;JupData!$J$2:$J$10000,0),11))</f>
        <v/>
      </c>
      <c r="F265" t="str">
        <f t="array" ref="F265">IF($A265="","",INDEX(JupData!$A$2:$K$10000,MATCH($A265&amp;F$1,JupData!$A$2:$A$10000&amp;JupData!$J$2:$J$10000,0),11))</f>
        <v/>
      </c>
      <c r="G265" t="str">
        <f t="array" ref="G265">IF($A265="","",INDEX(JupData!$A$2:$K$10000,MATCH($A265&amp;G$1,JupData!$A$2:$A$10000&amp;JupData!$J$2:$J$10000,0),11))</f>
        <v/>
      </c>
      <c r="H265" t="str">
        <f t="array" ref="H265">IF($A265="","",INDEX(JupData!$A$2:$K$10000,MATCH($A265&amp;H$1,JupData!$A$2:$A$10000&amp;JupData!$J$2:$J$10000,0),11))</f>
        <v/>
      </c>
      <c r="I265" t="str">
        <f t="array" ref="I265">IF($A265="","",INDEX(JupData!$A$2:$K$10000,MATCH($A265&amp;I$1,JupData!$A$2:$A$10000&amp;JupData!$J$2:$J$10000,0),11))</f>
        <v/>
      </c>
      <c r="J265" t="str">
        <f t="array" ref="J265">IF($A265="","",INDEX(JupData!$A$2:$K$10000,MATCH($A265&amp;J$1,JupData!$A$2:$A$10000&amp;JupData!$J$2:$J$10000,0),11))</f>
        <v/>
      </c>
      <c r="K265" t="str">
        <f t="array" ref="K265">IF($A265="","",INDEX(JupData!$A$2:$K$10000,MATCH($A265&amp;K$1,JupData!$A$2:$A$10000&amp;JupData!$J$2:$J$10000,0),11))</f>
        <v/>
      </c>
      <c r="L265" t="str">
        <f t="array" ref="L265">IF($A265="","",INDEX(JupData!$A$2:$K$10000,MATCH($A265&amp;L$1,JupData!$A$2:$A$10000&amp;JupData!$J$2:$J$10000,0),11))</f>
        <v/>
      </c>
      <c r="M265" t="str">
        <f t="array" ref="M265">IF($A265="","",INDEX(JupData!$A$2:$K$10000,MATCH($A265&amp;M$1,JupData!$A$2:$A$10000&amp;JupData!$J$2:$J$10000,0),11))</f>
        <v/>
      </c>
      <c r="N265" t="str">
        <f t="array" ref="N265">IF($A265="","",INDEX(JupData!$A$2:$K$10000,MATCH($A265&amp;N$1,JupData!$A$2:$A$10000&amp;JupData!$J$2:$J$10000,0),11))</f>
        <v/>
      </c>
      <c r="O265" t="str">
        <f t="array" ref="O265">IF($A265="","",INDEX(JupData!$A$2:$K$10000,MATCH($A265&amp;O$1,JupData!$A$2:$A$10000&amp;JupData!$J$2:$J$10000,0),11))</f>
        <v/>
      </c>
      <c r="P265" t="str">
        <f t="array" ref="P265">IF($A265="","",INDEX(JupData!$A$2:$K$10000,MATCH($A265&amp;P$1,JupData!$A$2:$A$10000&amp;JupData!$J$2:$J$10000,0),11))</f>
        <v/>
      </c>
      <c r="Q265" t="str">
        <f t="array" ref="Q265">IF($A265="","",INDEX(JupData!$A$2:$K$10000,MATCH($A265&amp;Q$1,JupData!$A$2:$A$10000&amp;JupData!$J$2:$J$10000,0),11))</f>
        <v/>
      </c>
      <c r="R265" t="str">
        <f t="array" ref="R265">IF($A265="","",INDEX(JupData!$A$2:$K$10000,MATCH($A265&amp;R$1,JupData!$A$2:$A$10000&amp;JupData!$J$2:$J$10000,0),11))</f>
        <v/>
      </c>
      <c r="S265" t="str">
        <f t="array" ref="S265">IF($A265="","",INDEX(JupData!$A$2:$K$10000,MATCH($A265&amp;S$1,JupData!$A$2:$A$10000&amp;JupData!$J$2:$J$10000,0),11))</f>
        <v/>
      </c>
      <c r="T265" t="str">
        <f t="array" ref="T265">IF($A265="","",INDEX(JupData!$A$2:$K$10000,MATCH($A265&amp;T$1,JupData!$A$2:$A$10000&amp;JupData!$J$2:$J$10000,0),11))</f>
        <v/>
      </c>
      <c r="U265" t="str">
        <f t="array" ref="U265">IF($A265="","",INDEX(JupData!$A$2:$K$10000,MATCH($A265&amp;U$1,JupData!$A$2:$A$10000&amp;JupData!$J$2:$J$10000,0),11))</f>
        <v/>
      </c>
      <c r="V265" t="str">
        <f t="array" ref="V265">IF($A265="","",INDEX(JupData!$A$2:$K$10000,MATCH($A265&amp;V$1,JupData!$A$2:$A$10000&amp;JupData!$J$2:$J$10000,0),11))</f>
        <v/>
      </c>
      <c r="W265" t="str">
        <f t="array" ref="W265">IF($A265="","",INDEX(JupData!$A$2:$K$10000,MATCH($A265&amp;W$1,JupData!$A$2:$A$10000&amp;JupData!$J$2:$J$10000,0),11))</f>
        <v/>
      </c>
      <c r="X265" t="str">
        <f t="array" ref="X265">IF($A265="","",INDEX(JupData!$A$2:$K$10000,MATCH($A265&amp;X$1,JupData!$A$2:$A$10000&amp;JupData!$J$2:$J$10000,0),11))</f>
        <v/>
      </c>
      <c r="Y265" t="str">
        <f t="array" ref="Y265">IF($A265="","",INDEX(JupData!$A$2:$K$10000,MATCH($A265&amp;Y$1,JupData!$A$2:$A$10000&amp;JupData!$J$2:$J$10000,0),11))</f>
        <v/>
      </c>
      <c r="Z265" t="str">
        <f t="array" ref="Z265">IF($A265="","",INDEX(JupData!$A$2:$K$10000,MATCH($A265&amp;Z$1,JupData!$A$2:$A$10000&amp;JupData!$J$2:$J$10000,0),11))</f>
        <v/>
      </c>
      <c r="AA265" t="str">
        <f t="array" ref="AA265">IF($A265="","",INDEX(JupData!$A$2:$K$10000,MATCH($A265&amp;AA$1,JupData!$A$2:$A$10000&amp;JupData!$J$2:$J$10000,0),11))</f>
        <v/>
      </c>
      <c r="AB265" t="str">
        <f t="array" ref="AB265">IF($A265="","",INDEX(JupData!$A$2:$K$10000,MATCH($A265&amp;AB$1,JupData!$A$2:$A$10000&amp;JupData!$J$2:$J$10000,0),11))</f>
        <v/>
      </c>
      <c r="AC265" s="10" t="str">
        <f t="shared" si="44"/>
        <v/>
      </c>
      <c r="AD265" s="10" t="str">
        <f t="shared" si="45"/>
        <v/>
      </c>
      <c r="AE265" s="9" t="str">
        <f t="shared" si="46"/>
        <v/>
      </c>
      <c r="AF265" s="10" t="str">
        <f t="shared" si="47"/>
        <v/>
      </c>
      <c r="AG265" s="10" t="str">
        <f t="shared" si="48"/>
        <v/>
      </c>
      <c r="AH265" s="10" t="str">
        <f t="shared" si="49"/>
        <v/>
      </c>
      <c r="AI265" s="10" t="str">
        <f t="shared" si="50"/>
        <v/>
      </c>
      <c r="AJ265" s="10" t="str">
        <f t="shared" si="51"/>
        <v/>
      </c>
      <c r="AK265" s="10" t="str">
        <f t="shared" si="52"/>
        <v/>
      </c>
      <c r="AL265" s="14" t="str">
        <f t="shared" si="53"/>
        <v/>
      </c>
    </row>
    <row r="266" spans="1:38" x14ac:dyDescent="0.2">
      <c r="A266"/>
      <c r="B266" t="str">
        <f>IF($A266="","",VLOOKUP($A266,JupData!$A$2:$I$10000,4,FALSE))</f>
        <v/>
      </c>
      <c r="C266" s="7" t="str">
        <f>IF($A266="",IF(N(D266),0,""),VLOOKUP($A266,JupData!$A$2:$I$10000,7,FALSE))</f>
        <v/>
      </c>
      <c r="D266" t="str">
        <f t="shared" si="54"/>
        <v/>
      </c>
      <c r="E266" t="str">
        <f t="array" ref="E266">IF($A266="","",INDEX(JupData!$A$2:$K$10000,MATCH($A266&amp;E$1,JupData!$A$2:$A$10000&amp;JupData!$J$2:$J$10000,0),11))</f>
        <v/>
      </c>
      <c r="F266" t="str">
        <f t="array" ref="F266">IF($A266="","",INDEX(JupData!$A$2:$K$10000,MATCH($A266&amp;F$1,JupData!$A$2:$A$10000&amp;JupData!$J$2:$J$10000,0),11))</f>
        <v/>
      </c>
      <c r="G266" t="str">
        <f t="array" ref="G266">IF($A266="","",INDEX(JupData!$A$2:$K$10000,MATCH($A266&amp;G$1,JupData!$A$2:$A$10000&amp;JupData!$J$2:$J$10000,0),11))</f>
        <v/>
      </c>
      <c r="H266" t="str">
        <f t="array" ref="H266">IF($A266="","",INDEX(JupData!$A$2:$K$10000,MATCH($A266&amp;H$1,JupData!$A$2:$A$10000&amp;JupData!$J$2:$J$10000,0),11))</f>
        <v/>
      </c>
      <c r="I266" t="str">
        <f t="array" ref="I266">IF($A266="","",INDEX(JupData!$A$2:$K$10000,MATCH($A266&amp;I$1,JupData!$A$2:$A$10000&amp;JupData!$J$2:$J$10000,0),11))</f>
        <v/>
      </c>
      <c r="J266" t="str">
        <f t="array" ref="J266">IF($A266="","",INDEX(JupData!$A$2:$K$10000,MATCH($A266&amp;J$1,JupData!$A$2:$A$10000&amp;JupData!$J$2:$J$10000,0),11))</f>
        <v/>
      </c>
      <c r="K266" t="str">
        <f t="array" ref="K266">IF($A266="","",INDEX(JupData!$A$2:$K$10000,MATCH($A266&amp;K$1,JupData!$A$2:$A$10000&amp;JupData!$J$2:$J$10000,0),11))</f>
        <v/>
      </c>
      <c r="L266" t="str">
        <f t="array" ref="L266">IF($A266="","",INDEX(JupData!$A$2:$K$10000,MATCH($A266&amp;L$1,JupData!$A$2:$A$10000&amp;JupData!$J$2:$J$10000,0),11))</f>
        <v/>
      </c>
      <c r="M266" t="str">
        <f t="array" ref="M266">IF($A266="","",INDEX(JupData!$A$2:$K$10000,MATCH($A266&amp;M$1,JupData!$A$2:$A$10000&amp;JupData!$J$2:$J$10000,0),11))</f>
        <v/>
      </c>
      <c r="N266" t="str">
        <f t="array" ref="N266">IF($A266="","",INDEX(JupData!$A$2:$K$10000,MATCH($A266&amp;N$1,JupData!$A$2:$A$10000&amp;JupData!$J$2:$J$10000,0),11))</f>
        <v/>
      </c>
      <c r="O266" t="str">
        <f t="array" ref="O266">IF($A266="","",INDEX(JupData!$A$2:$K$10000,MATCH($A266&amp;O$1,JupData!$A$2:$A$10000&amp;JupData!$J$2:$J$10000,0),11))</f>
        <v/>
      </c>
      <c r="P266" t="str">
        <f t="array" ref="P266">IF($A266="","",INDEX(JupData!$A$2:$K$10000,MATCH($A266&amp;P$1,JupData!$A$2:$A$10000&amp;JupData!$J$2:$J$10000,0),11))</f>
        <v/>
      </c>
      <c r="Q266" t="str">
        <f t="array" ref="Q266">IF($A266="","",INDEX(JupData!$A$2:$K$10000,MATCH($A266&amp;Q$1,JupData!$A$2:$A$10000&amp;JupData!$J$2:$J$10000,0),11))</f>
        <v/>
      </c>
      <c r="R266" t="str">
        <f t="array" ref="R266">IF($A266="","",INDEX(JupData!$A$2:$K$10000,MATCH($A266&amp;R$1,JupData!$A$2:$A$10000&amp;JupData!$J$2:$J$10000,0),11))</f>
        <v/>
      </c>
      <c r="S266" t="str">
        <f t="array" ref="S266">IF($A266="","",INDEX(JupData!$A$2:$K$10000,MATCH($A266&amp;S$1,JupData!$A$2:$A$10000&amp;JupData!$J$2:$J$10000,0),11))</f>
        <v/>
      </c>
      <c r="T266" t="str">
        <f t="array" ref="T266">IF($A266="","",INDEX(JupData!$A$2:$K$10000,MATCH($A266&amp;T$1,JupData!$A$2:$A$10000&amp;JupData!$J$2:$J$10000,0),11))</f>
        <v/>
      </c>
      <c r="U266" t="str">
        <f t="array" ref="U266">IF($A266="","",INDEX(JupData!$A$2:$K$10000,MATCH($A266&amp;U$1,JupData!$A$2:$A$10000&amp;JupData!$J$2:$J$10000,0),11))</f>
        <v/>
      </c>
      <c r="V266" t="str">
        <f t="array" ref="V266">IF($A266="","",INDEX(JupData!$A$2:$K$10000,MATCH($A266&amp;V$1,JupData!$A$2:$A$10000&amp;JupData!$J$2:$J$10000,0),11))</f>
        <v/>
      </c>
      <c r="W266" t="str">
        <f t="array" ref="W266">IF($A266="","",INDEX(JupData!$A$2:$K$10000,MATCH($A266&amp;W$1,JupData!$A$2:$A$10000&amp;JupData!$J$2:$J$10000,0),11))</f>
        <v/>
      </c>
      <c r="X266" t="str">
        <f t="array" ref="X266">IF($A266="","",INDEX(JupData!$A$2:$K$10000,MATCH($A266&amp;X$1,JupData!$A$2:$A$10000&amp;JupData!$J$2:$J$10000,0),11))</f>
        <v/>
      </c>
      <c r="Y266" t="str">
        <f t="array" ref="Y266">IF($A266="","",INDEX(JupData!$A$2:$K$10000,MATCH($A266&amp;Y$1,JupData!$A$2:$A$10000&amp;JupData!$J$2:$J$10000,0),11))</f>
        <v/>
      </c>
      <c r="Z266" t="str">
        <f t="array" ref="Z266">IF($A266="","",INDEX(JupData!$A$2:$K$10000,MATCH($A266&amp;Z$1,JupData!$A$2:$A$10000&amp;JupData!$J$2:$J$10000,0),11))</f>
        <v/>
      </c>
      <c r="AA266" t="str">
        <f t="array" ref="AA266">IF($A266="","",INDEX(JupData!$A$2:$K$10000,MATCH($A266&amp;AA$1,JupData!$A$2:$A$10000&amp;JupData!$J$2:$J$10000,0),11))</f>
        <v/>
      </c>
      <c r="AB266" t="str">
        <f t="array" ref="AB266">IF($A266="","",INDEX(JupData!$A$2:$K$10000,MATCH($A266&amp;AB$1,JupData!$A$2:$A$10000&amp;JupData!$J$2:$J$10000,0),11))</f>
        <v/>
      </c>
      <c r="AC266" s="10" t="str">
        <f t="shared" si="44"/>
        <v/>
      </c>
      <c r="AD266" s="10" t="str">
        <f t="shared" si="45"/>
        <v/>
      </c>
      <c r="AE266" s="9" t="str">
        <f t="shared" si="46"/>
        <v/>
      </c>
      <c r="AF266" s="10" t="str">
        <f t="shared" si="47"/>
        <v/>
      </c>
      <c r="AG266" s="10" t="str">
        <f t="shared" si="48"/>
        <v/>
      </c>
      <c r="AH266" s="10" t="str">
        <f t="shared" si="49"/>
        <v/>
      </c>
      <c r="AI266" s="10" t="str">
        <f t="shared" si="50"/>
        <v/>
      </c>
      <c r="AJ266" s="10" t="str">
        <f t="shared" si="51"/>
        <v/>
      </c>
      <c r="AK266" s="10" t="str">
        <f t="shared" si="52"/>
        <v/>
      </c>
      <c r="AL266" s="14" t="str">
        <f t="shared" si="53"/>
        <v/>
      </c>
    </row>
    <row r="267" spans="1:38" x14ac:dyDescent="0.2">
      <c r="A267"/>
      <c r="B267" t="str">
        <f>IF($A267="","",VLOOKUP($A267,JupData!$A$2:$I$10000,4,FALSE))</f>
        <v/>
      </c>
      <c r="C267" s="7" t="str">
        <f>IF($A267="",IF(N(D267),0,""),VLOOKUP($A267,JupData!$A$2:$I$10000,7,FALSE))</f>
        <v/>
      </c>
      <c r="D267" t="str">
        <f t="shared" si="54"/>
        <v/>
      </c>
      <c r="E267" t="str">
        <f t="array" ref="E267">IF($A267="","",INDEX(JupData!$A$2:$K$10000,MATCH($A267&amp;E$1,JupData!$A$2:$A$10000&amp;JupData!$J$2:$J$10000,0),11))</f>
        <v/>
      </c>
      <c r="F267" t="str">
        <f t="array" ref="F267">IF($A267="","",INDEX(JupData!$A$2:$K$10000,MATCH($A267&amp;F$1,JupData!$A$2:$A$10000&amp;JupData!$J$2:$J$10000,0),11))</f>
        <v/>
      </c>
      <c r="G267" t="str">
        <f t="array" ref="G267">IF($A267="","",INDEX(JupData!$A$2:$K$10000,MATCH($A267&amp;G$1,JupData!$A$2:$A$10000&amp;JupData!$J$2:$J$10000,0),11))</f>
        <v/>
      </c>
      <c r="H267" t="str">
        <f t="array" ref="H267">IF($A267="","",INDEX(JupData!$A$2:$K$10000,MATCH($A267&amp;H$1,JupData!$A$2:$A$10000&amp;JupData!$J$2:$J$10000,0),11))</f>
        <v/>
      </c>
      <c r="I267" t="str">
        <f t="array" ref="I267">IF($A267="","",INDEX(JupData!$A$2:$K$10000,MATCH($A267&amp;I$1,JupData!$A$2:$A$10000&amp;JupData!$J$2:$J$10000,0),11))</f>
        <v/>
      </c>
      <c r="J267" t="str">
        <f t="array" ref="J267">IF($A267="","",INDEX(JupData!$A$2:$K$10000,MATCH($A267&amp;J$1,JupData!$A$2:$A$10000&amp;JupData!$J$2:$J$10000,0),11))</f>
        <v/>
      </c>
      <c r="K267" t="str">
        <f t="array" ref="K267">IF($A267="","",INDEX(JupData!$A$2:$K$10000,MATCH($A267&amp;K$1,JupData!$A$2:$A$10000&amp;JupData!$J$2:$J$10000,0),11))</f>
        <v/>
      </c>
      <c r="L267" t="str">
        <f t="array" ref="L267">IF($A267="","",INDEX(JupData!$A$2:$K$10000,MATCH($A267&amp;L$1,JupData!$A$2:$A$10000&amp;JupData!$J$2:$J$10000,0),11))</f>
        <v/>
      </c>
      <c r="M267" t="str">
        <f t="array" ref="M267">IF($A267="","",INDEX(JupData!$A$2:$K$10000,MATCH($A267&amp;M$1,JupData!$A$2:$A$10000&amp;JupData!$J$2:$J$10000,0),11))</f>
        <v/>
      </c>
      <c r="N267" t="str">
        <f t="array" ref="N267">IF($A267="","",INDEX(JupData!$A$2:$K$10000,MATCH($A267&amp;N$1,JupData!$A$2:$A$10000&amp;JupData!$J$2:$J$10000,0),11))</f>
        <v/>
      </c>
      <c r="O267" t="str">
        <f t="array" ref="O267">IF($A267="","",INDEX(JupData!$A$2:$K$10000,MATCH($A267&amp;O$1,JupData!$A$2:$A$10000&amp;JupData!$J$2:$J$10000,0),11))</f>
        <v/>
      </c>
      <c r="P267" t="str">
        <f t="array" ref="P267">IF($A267="","",INDEX(JupData!$A$2:$K$10000,MATCH($A267&amp;P$1,JupData!$A$2:$A$10000&amp;JupData!$J$2:$J$10000,0),11))</f>
        <v/>
      </c>
      <c r="Q267" t="str">
        <f t="array" ref="Q267">IF($A267="","",INDEX(JupData!$A$2:$K$10000,MATCH($A267&amp;Q$1,JupData!$A$2:$A$10000&amp;JupData!$J$2:$J$10000,0),11))</f>
        <v/>
      </c>
      <c r="R267" t="str">
        <f t="array" ref="R267">IF($A267="","",INDEX(JupData!$A$2:$K$10000,MATCH($A267&amp;R$1,JupData!$A$2:$A$10000&amp;JupData!$J$2:$J$10000,0),11))</f>
        <v/>
      </c>
      <c r="S267" t="str">
        <f t="array" ref="S267">IF($A267="","",INDEX(JupData!$A$2:$K$10000,MATCH($A267&amp;S$1,JupData!$A$2:$A$10000&amp;JupData!$J$2:$J$10000,0),11))</f>
        <v/>
      </c>
      <c r="T267" t="str">
        <f t="array" ref="T267">IF($A267="","",INDEX(JupData!$A$2:$K$10000,MATCH($A267&amp;T$1,JupData!$A$2:$A$10000&amp;JupData!$J$2:$J$10000,0),11))</f>
        <v/>
      </c>
      <c r="U267" t="str">
        <f t="array" ref="U267">IF($A267="","",INDEX(JupData!$A$2:$K$10000,MATCH($A267&amp;U$1,JupData!$A$2:$A$10000&amp;JupData!$J$2:$J$10000,0),11))</f>
        <v/>
      </c>
      <c r="V267" t="str">
        <f t="array" ref="V267">IF($A267="","",INDEX(JupData!$A$2:$K$10000,MATCH($A267&amp;V$1,JupData!$A$2:$A$10000&amp;JupData!$J$2:$J$10000,0),11))</f>
        <v/>
      </c>
      <c r="W267" t="str">
        <f t="array" ref="W267">IF($A267="","",INDEX(JupData!$A$2:$K$10000,MATCH($A267&amp;W$1,JupData!$A$2:$A$10000&amp;JupData!$J$2:$J$10000,0),11))</f>
        <v/>
      </c>
      <c r="X267" t="str">
        <f t="array" ref="X267">IF($A267="","",INDEX(JupData!$A$2:$K$10000,MATCH($A267&amp;X$1,JupData!$A$2:$A$10000&amp;JupData!$J$2:$J$10000,0),11))</f>
        <v/>
      </c>
      <c r="Y267" t="str">
        <f t="array" ref="Y267">IF($A267="","",INDEX(JupData!$A$2:$K$10000,MATCH($A267&amp;Y$1,JupData!$A$2:$A$10000&amp;JupData!$J$2:$J$10000,0),11))</f>
        <v/>
      </c>
      <c r="Z267" t="str">
        <f t="array" ref="Z267">IF($A267="","",INDEX(JupData!$A$2:$K$10000,MATCH($A267&amp;Z$1,JupData!$A$2:$A$10000&amp;JupData!$J$2:$J$10000,0),11))</f>
        <v/>
      </c>
      <c r="AA267" t="str">
        <f t="array" ref="AA267">IF($A267="","",INDEX(JupData!$A$2:$K$10000,MATCH($A267&amp;AA$1,JupData!$A$2:$A$10000&amp;JupData!$J$2:$J$10000,0),11))</f>
        <v/>
      </c>
      <c r="AB267" t="str">
        <f t="array" ref="AB267">IF($A267="","",INDEX(JupData!$A$2:$K$10000,MATCH($A267&amp;AB$1,JupData!$A$2:$A$10000&amp;JupData!$J$2:$J$10000,0),11))</f>
        <v/>
      </c>
      <c r="AC267" s="10" t="str">
        <f t="shared" si="44"/>
        <v/>
      </c>
      <c r="AD267" s="10" t="str">
        <f t="shared" si="45"/>
        <v/>
      </c>
      <c r="AE267" s="9" t="str">
        <f t="shared" si="46"/>
        <v/>
      </c>
      <c r="AF267" s="10" t="str">
        <f t="shared" si="47"/>
        <v/>
      </c>
      <c r="AG267" s="10" t="str">
        <f t="shared" si="48"/>
        <v/>
      </c>
      <c r="AH267" s="10" t="str">
        <f t="shared" si="49"/>
        <v/>
      </c>
      <c r="AI267" s="10" t="str">
        <f t="shared" si="50"/>
        <v/>
      </c>
      <c r="AJ267" s="10" t="str">
        <f t="shared" si="51"/>
        <v/>
      </c>
      <c r="AK267" s="10" t="str">
        <f t="shared" si="52"/>
        <v/>
      </c>
      <c r="AL267" s="14" t="str">
        <f t="shared" si="53"/>
        <v/>
      </c>
    </row>
    <row r="268" spans="1:38" x14ac:dyDescent="0.2">
      <c r="A268"/>
      <c r="B268" t="str">
        <f>IF($A268="","",VLOOKUP($A268,JupData!$A$2:$I$10000,4,FALSE))</f>
        <v/>
      </c>
      <c r="C268" s="7" t="str">
        <f>IF($A268="",IF(N(D268),0,""),VLOOKUP($A268,JupData!$A$2:$I$10000,7,FALSE))</f>
        <v/>
      </c>
      <c r="D268" t="str">
        <f t="shared" si="54"/>
        <v/>
      </c>
      <c r="E268" t="str">
        <f t="array" ref="E268">IF($A268="","",INDEX(JupData!$A$2:$K$10000,MATCH($A268&amp;E$1,JupData!$A$2:$A$10000&amp;JupData!$J$2:$J$10000,0),11))</f>
        <v/>
      </c>
      <c r="F268" t="str">
        <f t="array" ref="F268">IF($A268="","",INDEX(JupData!$A$2:$K$10000,MATCH($A268&amp;F$1,JupData!$A$2:$A$10000&amp;JupData!$J$2:$J$10000,0),11))</f>
        <v/>
      </c>
      <c r="G268" t="str">
        <f t="array" ref="G268">IF($A268="","",INDEX(JupData!$A$2:$K$10000,MATCH($A268&amp;G$1,JupData!$A$2:$A$10000&amp;JupData!$J$2:$J$10000,0),11))</f>
        <v/>
      </c>
      <c r="H268" t="str">
        <f t="array" ref="H268">IF($A268="","",INDEX(JupData!$A$2:$K$10000,MATCH($A268&amp;H$1,JupData!$A$2:$A$10000&amp;JupData!$J$2:$J$10000,0),11))</f>
        <v/>
      </c>
      <c r="I268" t="str">
        <f t="array" ref="I268">IF($A268="","",INDEX(JupData!$A$2:$K$10000,MATCH($A268&amp;I$1,JupData!$A$2:$A$10000&amp;JupData!$J$2:$J$10000,0),11))</f>
        <v/>
      </c>
      <c r="J268" t="str">
        <f t="array" ref="J268">IF($A268="","",INDEX(JupData!$A$2:$K$10000,MATCH($A268&amp;J$1,JupData!$A$2:$A$10000&amp;JupData!$J$2:$J$10000,0),11))</f>
        <v/>
      </c>
      <c r="K268" t="str">
        <f t="array" ref="K268">IF($A268="","",INDEX(JupData!$A$2:$K$10000,MATCH($A268&amp;K$1,JupData!$A$2:$A$10000&amp;JupData!$J$2:$J$10000,0),11))</f>
        <v/>
      </c>
      <c r="L268" t="str">
        <f t="array" ref="L268">IF($A268="","",INDEX(JupData!$A$2:$K$10000,MATCH($A268&amp;L$1,JupData!$A$2:$A$10000&amp;JupData!$J$2:$J$10000,0),11))</f>
        <v/>
      </c>
      <c r="M268" t="str">
        <f t="array" ref="M268">IF($A268="","",INDEX(JupData!$A$2:$K$10000,MATCH($A268&amp;M$1,JupData!$A$2:$A$10000&amp;JupData!$J$2:$J$10000,0),11))</f>
        <v/>
      </c>
      <c r="N268" t="str">
        <f t="array" ref="N268">IF($A268="","",INDEX(JupData!$A$2:$K$10000,MATCH($A268&amp;N$1,JupData!$A$2:$A$10000&amp;JupData!$J$2:$J$10000,0),11))</f>
        <v/>
      </c>
      <c r="O268" t="str">
        <f t="array" ref="O268">IF($A268="","",INDEX(JupData!$A$2:$K$10000,MATCH($A268&amp;O$1,JupData!$A$2:$A$10000&amp;JupData!$J$2:$J$10000,0),11))</f>
        <v/>
      </c>
      <c r="P268" t="str">
        <f t="array" ref="P268">IF($A268="","",INDEX(JupData!$A$2:$K$10000,MATCH($A268&amp;P$1,JupData!$A$2:$A$10000&amp;JupData!$J$2:$J$10000,0),11))</f>
        <v/>
      </c>
      <c r="Q268" t="str">
        <f t="array" ref="Q268">IF($A268="","",INDEX(JupData!$A$2:$K$10000,MATCH($A268&amp;Q$1,JupData!$A$2:$A$10000&amp;JupData!$J$2:$J$10000,0),11))</f>
        <v/>
      </c>
      <c r="R268" t="str">
        <f t="array" ref="R268">IF($A268="","",INDEX(JupData!$A$2:$K$10000,MATCH($A268&amp;R$1,JupData!$A$2:$A$10000&amp;JupData!$J$2:$J$10000,0),11))</f>
        <v/>
      </c>
      <c r="S268" t="str">
        <f t="array" ref="S268">IF($A268="","",INDEX(JupData!$A$2:$K$10000,MATCH($A268&amp;S$1,JupData!$A$2:$A$10000&amp;JupData!$J$2:$J$10000,0),11))</f>
        <v/>
      </c>
      <c r="T268" t="str">
        <f t="array" ref="T268">IF($A268="","",INDEX(JupData!$A$2:$K$10000,MATCH($A268&amp;T$1,JupData!$A$2:$A$10000&amp;JupData!$J$2:$J$10000,0),11))</f>
        <v/>
      </c>
      <c r="U268" t="str">
        <f t="array" ref="U268">IF($A268="","",INDEX(JupData!$A$2:$K$10000,MATCH($A268&amp;U$1,JupData!$A$2:$A$10000&amp;JupData!$J$2:$J$10000,0),11))</f>
        <v/>
      </c>
      <c r="V268" t="str">
        <f t="array" ref="V268">IF($A268="","",INDEX(JupData!$A$2:$K$10000,MATCH($A268&amp;V$1,JupData!$A$2:$A$10000&amp;JupData!$J$2:$J$10000,0),11))</f>
        <v/>
      </c>
      <c r="W268" t="str">
        <f t="array" ref="W268">IF($A268="","",INDEX(JupData!$A$2:$K$10000,MATCH($A268&amp;W$1,JupData!$A$2:$A$10000&amp;JupData!$J$2:$J$10000,0),11))</f>
        <v/>
      </c>
      <c r="X268" t="str">
        <f t="array" ref="X268">IF($A268="","",INDEX(JupData!$A$2:$K$10000,MATCH($A268&amp;X$1,JupData!$A$2:$A$10000&amp;JupData!$J$2:$J$10000,0),11))</f>
        <v/>
      </c>
      <c r="Y268" t="str">
        <f t="array" ref="Y268">IF($A268="","",INDEX(JupData!$A$2:$K$10000,MATCH($A268&amp;Y$1,JupData!$A$2:$A$10000&amp;JupData!$J$2:$J$10000,0),11))</f>
        <v/>
      </c>
      <c r="Z268" t="str">
        <f t="array" ref="Z268">IF($A268="","",INDEX(JupData!$A$2:$K$10000,MATCH($A268&amp;Z$1,JupData!$A$2:$A$10000&amp;JupData!$J$2:$J$10000,0),11))</f>
        <v/>
      </c>
      <c r="AA268" t="str">
        <f t="array" ref="AA268">IF($A268="","",INDEX(JupData!$A$2:$K$10000,MATCH($A268&amp;AA$1,JupData!$A$2:$A$10000&amp;JupData!$J$2:$J$10000,0),11))</f>
        <v/>
      </c>
      <c r="AB268" t="str">
        <f t="array" ref="AB268">IF($A268="","",INDEX(JupData!$A$2:$K$10000,MATCH($A268&amp;AB$1,JupData!$A$2:$A$10000&amp;JupData!$J$2:$J$10000,0),11))</f>
        <v/>
      </c>
      <c r="AC268" s="10" t="str">
        <f t="shared" si="44"/>
        <v/>
      </c>
      <c r="AD268" s="10" t="str">
        <f t="shared" si="45"/>
        <v/>
      </c>
      <c r="AE268" s="9" t="str">
        <f t="shared" si="46"/>
        <v/>
      </c>
      <c r="AF268" s="10" t="str">
        <f t="shared" si="47"/>
        <v/>
      </c>
      <c r="AG268" s="10" t="str">
        <f t="shared" si="48"/>
        <v/>
      </c>
      <c r="AH268" s="10" t="str">
        <f t="shared" si="49"/>
        <v/>
      </c>
      <c r="AI268" s="10" t="str">
        <f t="shared" si="50"/>
        <v/>
      </c>
      <c r="AJ268" s="10" t="str">
        <f t="shared" si="51"/>
        <v/>
      </c>
      <c r="AK268" s="10" t="str">
        <f t="shared" si="52"/>
        <v/>
      </c>
      <c r="AL268" s="14" t="str">
        <f t="shared" si="53"/>
        <v/>
      </c>
    </row>
    <row r="269" spans="1:38" x14ac:dyDescent="0.2">
      <c r="A269"/>
      <c r="B269" t="str">
        <f>IF($A269="","",VLOOKUP($A269,JupData!$A$2:$I$10000,4,FALSE))</f>
        <v/>
      </c>
      <c r="C269" s="7" t="str">
        <f>IF($A269="",IF(N(D269),0,""),VLOOKUP($A269,JupData!$A$2:$I$10000,7,FALSE))</f>
        <v/>
      </c>
      <c r="D269" t="str">
        <f t="shared" si="54"/>
        <v/>
      </c>
      <c r="E269" t="str">
        <f t="array" ref="E269">IF($A269="","",INDEX(JupData!$A$2:$K$10000,MATCH($A269&amp;E$1,JupData!$A$2:$A$10000&amp;JupData!$J$2:$J$10000,0),11))</f>
        <v/>
      </c>
      <c r="F269" t="str">
        <f t="array" ref="F269">IF($A269="","",INDEX(JupData!$A$2:$K$10000,MATCH($A269&amp;F$1,JupData!$A$2:$A$10000&amp;JupData!$J$2:$J$10000,0),11))</f>
        <v/>
      </c>
      <c r="G269" t="str">
        <f t="array" ref="G269">IF($A269="","",INDEX(JupData!$A$2:$K$10000,MATCH($A269&amp;G$1,JupData!$A$2:$A$10000&amp;JupData!$J$2:$J$10000,0),11))</f>
        <v/>
      </c>
      <c r="H269" t="str">
        <f t="array" ref="H269">IF($A269="","",INDEX(JupData!$A$2:$K$10000,MATCH($A269&amp;H$1,JupData!$A$2:$A$10000&amp;JupData!$J$2:$J$10000,0),11))</f>
        <v/>
      </c>
      <c r="I269" t="str">
        <f t="array" ref="I269">IF($A269="","",INDEX(JupData!$A$2:$K$10000,MATCH($A269&amp;I$1,JupData!$A$2:$A$10000&amp;JupData!$J$2:$J$10000,0),11))</f>
        <v/>
      </c>
      <c r="J269" t="str">
        <f t="array" ref="J269">IF($A269="","",INDEX(JupData!$A$2:$K$10000,MATCH($A269&amp;J$1,JupData!$A$2:$A$10000&amp;JupData!$J$2:$J$10000,0),11))</f>
        <v/>
      </c>
      <c r="K269" t="str">
        <f t="array" ref="K269">IF($A269="","",INDEX(JupData!$A$2:$K$10000,MATCH($A269&amp;K$1,JupData!$A$2:$A$10000&amp;JupData!$J$2:$J$10000,0),11))</f>
        <v/>
      </c>
      <c r="L269" t="str">
        <f t="array" ref="L269">IF($A269="","",INDEX(JupData!$A$2:$K$10000,MATCH($A269&amp;L$1,JupData!$A$2:$A$10000&amp;JupData!$J$2:$J$10000,0),11))</f>
        <v/>
      </c>
      <c r="M269" t="str">
        <f t="array" ref="M269">IF($A269="","",INDEX(JupData!$A$2:$K$10000,MATCH($A269&amp;M$1,JupData!$A$2:$A$10000&amp;JupData!$J$2:$J$10000,0),11))</f>
        <v/>
      </c>
      <c r="N269" t="str">
        <f t="array" ref="N269">IF($A269="","",INDEX(JupData!$A$2:$K$10000,MATCH($A269&amp;N$1,JupData!$A$2:$A$10000&amp;JupData!$J$2:$J$10000,0),11))</f>
        <v/>
      </c>
      <c r="O269" t="str">
        <f t="array" ref="O269">IF($A269="","",INDEX(JupData!$A$2:$K$10000,MATCH($A269&amp;O$1,JupData!$A$2:$A$10000&amp;JupData!$J$2:$J$10000,0),11))</f>
        <v/>
      </c>
      <c r="P269" t="str">
        <f t="array" ref="P269">IF($A269="","",INDEX(JupData!$A$2:$K$10000,MATCH($A269&amp;P$1,JupData!$A$2:$A$10000&amp;JupData!$J$2:$J$10000,0),11))</f>
        <v/>
      </c>
      <c r="Q269" t="str">
        <f t="array" ref="Q269">IF($A269="","",INDEX(JupData!$A$2:$K$10000,MATCH($A269&amp;Q$1,JupData!$A$2:$A$10000&amp;JupData!$J$2:$J$10000,0),11))</f>
        <v/>
      </c>
      <c r="R269" t="str">
        <f t="array" ref="R269">IF($A269="","",INDEX(JupData!$A$2:$K$10000,MATCH($A269&amp;R$1,JupData!$A$2:$A$10000&amp;JupData!$J$2:$J$10000,0),11))</f>
        <v/>
      </c>
      <c r="S269" t="str">
        <f t="array" ref="S269">IF($A269="","",INDEX(JupData!$A$2:$K$10000,MATCH($A269&amp;S$1,JupData!$A$2:$A$10000&amp;JupData!$J$2:$J$10000,0),11))</f>
        <v/>
      </c>
      <c r="T269" t="str">
        <f t="array" ref="T269">IF($A269="","",INDEX(JupData!$A$2:$K$10000,MATCH($A269&amp;T$1,JupData!$A$2:$A$10000&amp;JupData!$J$2:$J$10000,0),11))</f>
        <v/>
      </c>
      <c r="U269" t="str">
        <f t="array" ref="U269">IF($A269="","",INDEX(JupData!$A$2:$K$10000,MATCH($A269&amp;U$1,JupData!$A$2:$A$10000&amp;JupData!$J$2:$J$10000,0),11))</f>
        <v/>
      </c>
      <c r="V269" t="str">
        <f t="array" ref="V269">IF($A269="","",INDEX(JupData!$A$2:$K$10000,MATCH($A269&amp;V$1,JupData!$A$2:$A$10000&amp;JupData!$J$2:$J$10000,0),11))</f>
        <v/>
      </c>
      <c r="W269" t="str">
        <f t="array" ref="W269">IF($A269="","",INDEX(JupData!$A$2:$K$10000,MATCH($A269&amp;W$1,JupData!$A$2:$A$10000&amp;JupData!$J$2:$J$10000,0),11))</f>
        <v/>
      </c>
      <c r="X269" t="str">
        <f t="array" ref="X269">IF($A269="","",INDEX(JupData!$A$2:$K$10000,MATCH($A269&amp;X$1,JupData!$A$2:$A$10000&amp;JupData!$J$2:$J$10000,0),11))</f>
        <v/>
      </c>
      <c r="Y269" t="str">
        <f t="array" ref="Y269">IF($A269="","",INDEX(JupData!$A$2:$K$10000,MATCH($A269&amp;Y$1,JupData!$A$2:$A$10000&amp;JupData!$J$2:$J$10000,0),11))</f>
        <v/>
      </c>
      <c r="Z269" t="str">
        <f t="array" ref="Z269">IF($A269="","",INDEX(JupData!$A$2:$K$10000,MATCH($A269&amp;Z$1,JupData!$A$2:$A$10000&amp;JupData!$J$2:$J$10000,0),11))</f>
        <v/>
      </c>
      <c r="AA269" t="str">
        <f t="array" ref="AA269">IF($A269="","",INDEX(JupData!$A$2:$K$10000,MATCH($A269&amp;AA$1,JupData!$A$2:$A$10000&amp;JupData!$J$2:$J$10000,0),11))</f>
        <v/>
      </c>
      <c r="AB269" t="str">
        <f t="array" ref="AB269">IF($A269="","",INDEX(JupData!$A$2:$K$10000,MATCH($A269&amp;AB$1,JupData!$A$2:$A$10000&amp;JupData!$J$2:$J$10000,0),11))</f>
        <v/>
      </c>
      <c r="AC269" s="10" t="str">
        <f t="shared" si="44"/>
        <v/>
      </c>
      <c r="AD269" s="10" t="str">
        <f t="shared" si="45"/>
        <v/>
      </c>
      <c r="AE269" s="9" t="str">
        <f t="shared" si="46"/>
        <v/>
      </c>
      <c r="AF269" s="10" t="str">
        <f t="shared" si="47"/>
        <v/>
      </c>
      <c r="AG269" s="10" t="str">
        <f t="shared" si="48"/>
        <v/>
      </c>
      <c r="AH269" s="10" t="str">
        <f t="shared" si="49"/>
        <v/>
      </c>
      <c r="AI269" s="10" t="str">
        <f t="shared" si="50"/>
        <v/>
      </c>
      <c r="AJ269" s="10" t="str">
        <f t="shared" si="51"/>
        <v/>
      </c>
      <c r="AK269" s="10" t="str">
        <f t="shared" si="52"/>
        <v/>
      </c>
      <c r="AL269" s="14" t="str">
        <f t="shared" si="53"/>
        <v/>
      </c>
    </row>
    <row r="270" spans="1:38" x14ac:dyDescent="0.2">
      <c r="A270"/>
      <c r="B270" t="str">
        <f>IF($A270="","",VLOOKUP($A270,JupData!$A$2:$I$10000,4,FALSE))</f>
        <v/>
      </c>
      <c r="C270" s="7" t="str">
        <f>IF($A270="",IF(N(D270),0,""),VLOOKUP($A270,JupData!$A$2:$I$10000,7,FALSE))</f>
        <v/>
      </c>
      <c r="D270" t="str">
        <f t="shared" si="54"/>
        <v/>
      </c>
      <c r="E270" t="str">
        <f t="array" ref="E270">IF($A270="","",INDEX(JupData!$A$2:$K$10000,MATCH($A270&amp;E$1,JupData!$A$2:$A$10000&amp;JupData!$J$2:$J$10000,0),11))</f>
        <v/>
      </c>
      <c r="F270" t="str">
        <f t="array" ref="F270">IF($A270="","",INDEX(JupData!$A$2:$K$10000,MATCH($A270&amp;F$1,JupData!$A$2:$A$10000&amp;JupData!$J$2:$J$10000,0),11))</f>
        <v/>
      </c>
      <c r="G270" t="str">
        <f t="array" ref="G270">IF($A270="","",INDEX(JupData!$A$2:$K$10000,MATCH($A270&amp;G$1,JupData!$A$2:$A$10000&amp;JupData!$J$2:$J$10000,0),11))</f>
        <v/>
      </c>
      <c r="H270" t="str">
        <f t="array" ref="H270">IF($A270="","",INDEX(JupData!$A$2:$K$10000,MATCH($A270&amp;H$1,JupData!$A$2:$A$10000&amp;JupData!$J$2:$J$10000,0),11))</f>
        <v/>
      </c>
      <c r="I270" t="str">
        <f t="array" ref="I270">IF($A270="","",INDEX(JupData!$A$2:$K$10000,MATCH($A270&amp;I$1,JupData!$A$2:$A$10000&amp;JupData!$J$2:$J$10000,0),11))</f>
        <v/>
      </c>
      <c r="J270" t="str">
        <f t="array" ref="J270">IF($A270="","",INDEX(JupData!$A$2:$K$10000,MATCH($A270&amp;J$1,JupData!$A$2:$A$10000&amp;JupData!$J$2:$J$10000,0),11))</f>
        <v/>
      </c>
      <c r="K270" t="str">
        <f t="array" ref="K270">IF($A270="","",INDEX(JupData!$A$2:$K$10000,MATCH($A270&amp;K$1,JupData!$A$2:$A$10000&amp;JupData!$J$2:$J$10000,0),11))</f>
        <v/>
      </c>
      <c r="L270" t="str">
        <f t="array" ref="L270">IF($A270="","",INDEX(JupData!$A$2:$K$10000,MATCH($A270&amp;L$1,JupData!$A$2:$A$10000&amp;JupData!$J$2:$J$10000,0),11))</f>
        <v/>
      </c>
      <c r="M270" t="str">
        <f t="array" ref="M270">IF($A270="","",INDEX(JupData!$A$2:$K$10000,MATCH($A270&amp;M$1,JupData!$A$2:$A$10000&amp;JupData!$J$2:$J$10000,0),11))</f>
        <v/>
      </c>
      <c r="N270" t="str">
        <f t="array" ref="N270">IF($A270="","",INDEX(JupData!$A$2:$K$10000,MATCH($A270&amp;N$1,JupData!$A$2:$A$10000&amp;JupData!$J$2:$J$10000,0),11))</f>
        <v/>
      </c>
      <c r="O270" t="str">
        <f t="array" ref="O270">IF($A270="","",INDEX(JupData!$A$2:$K$10000,MATCH($A270&amp;O$1,JupData!$A$2:$A$10000&amp;JupData!$J$2:$J$10000,0),11))</f>
        <v/>
      </c>
      <c r="P270" t="str">
        <f t="array" ref="P270">IF($A270="","",INDEX(JupData!$A$2:$K$10000,MATCH($A270&amp;P$1,JupData!$A$2:$A$10000&amp;JupData!$J$2:$J$10000,0),11))</f>
        <v/>
      </c>
      <c r="Q270" t="str">
        <f t="array" ref="Q270">IF($A270="","",INDEX(JupData!$A$2:$K$10000,MATCH($A270&amp;Q$1,JupData!$A$2:$A$10000&amp;JupData!$J$2:$J$10000,0),11))</f>
        <v/>
      </c>
      <c r="R270" t="str">
        <f t="array" ref="R270">IF($A270="","",INDEX(JupData!$A$2:$K$10000,MATCH($A270&amp;R$1,JupData!$A$2:$A$10000&amp;JupData!$J$2:$J$10000,0),11))</f>
        <v/>
      </c>
      <c r="S270" t="str">
        <f t="array" ref="S270">IF($A270="","",INDEX(JupData!$A$2:$K$10000,MATCH($A270&amp;S$1,JupData!$A$2:$A$10000&amp;JupData!$J$2:$J$10000,0),11))</f>
        <v/>
      </c>
      <c r="T270" t="str">
        <f t="array" ref="T270">IF($A270="","",INDEX(JupData!$A$2:$K$10000,MATCH($A270&amp;T$1,JupData!$A$2:$A$10000&amp;JupData!$J$2:$J$10000,0),11))</f>
        <v/>
      </c>
      <c r="U270" t="str">
        <f t="array" ref="U270">IF($A270="","",INDEX(JupData!$A$2:$K$10000,MATCH($A270&amp;U$1,JupData!$A$2:$A$10000&amp;JupData!$J$2:$J$10000,0),11))</f>
        <v/>
      </c>
      <c r="V270" t="str">
        <f t="array" ref="V270">IF($A270="","",INDEX(JupData!$A$2:$K$10000,MATCH($A270&amp;V$1,JupData!$A$2:$A$10000&amp;JupData!$J$2:$J$10000,0),11))</f>
        <v/>
      </c>
      <c r="W270" t="str">
        <f t="array" ref="W270">IF($A270="","",INDEX(JupData!$A$2:$K$10000,MATCH($A270&amp;W$1,JupData!$A$2:$A$10000&amp;JupData!$J$2:$J$10000,0),11))</f>
        <v/>
      </c>
      <c r="X270" t="str">
        <f t="array" ref="X270">IF($A270="","",INDEX(JupData!$A$2:$K$10000,MATCH($A270&amp;X$1,JupData!$A$2:$A$10000&amp;JupData!$J$2:$J$10000,0),11))</f>
        <v/>
      </c>
      <c r="Y270" t="str">
        <f t="array" ref="Y270">IF($A270="","",INDEX(JupData!$A$2:$K$10000,MATCH($A270&amp;Y$1,JupData!$A$2:$A$10000&amp;JupData!$J$2:$J$10000,0),11))</f>
        <v/>
      </c>
      <c r="Z270" t="str">
        <f t="array" ref="Z270">IF($A270="","",INDEX(JupData!$A$2:$K$10000,MATCH($A270&amp;Z$1,JupData!$A$2:$A$10000&amp;JupData!$J$2:$J$10000,0),11))</f>
        <v/>
      </c>
      <c r="AA270" t="str">
        <f t="array" ref="AA270">IF($A270="","",INDEX(JupData!$A$2:$K$10000,MATCH($A270&amp;AA$1,JupData!$A$2:$A$10000&amp;JupData!$J$2:$J$10000,0),11))</f>
        <v/>
      </c>
      <c r="AB270" t="str">
        <f t="array" ref="AB270">IF($A270="","",INDEX(JupData!$A$2:$K$10000,MATCH($A270&amp;AB$1,JupData!$A$2:$A$10000&amp;JupData!$J$2:$J$10000,0),11))</f>
        <v/>
      </c>
      <c r="AC270" s="10" t="str">
        <f t="shared" si="44"/>
        <v/>
      </c>
      <c r="AD270" s="10" t="str">
        <f t="shared" si="45"/>
        <v/>
      </c>
      <c r="AE270" s="9" t="str">
        <f t="shared" si="46"/>
        <v/>
      </c>
      <c r="AF270" s="10" t="str">
        <f t="shared" si="47"/>
        <v/>
      </c>
      <c r="AG270" s="10" t="str">
        <f t="shared" si="48"/>
        <v/>
      </c>
      <c r="AH270" s="10" t="str">
        <f t="shared" si="49"/>
        <v/>
      </c>
      <c r="AI270" s="10" t="str">
        <f t="shared" si="50"/>
        <v/>
      </c>
      <c r="AJ270" s="10" t="str">
        <f t="shared" si="51"/>
        <v/>
      </c>
      <c r="AK270" s="10" t="str">
        <f t="shared" si="52"/>
        <v/>
      </c>
      <c r="AL270" s="14" t="str">
        <f t="shared" si="53"/>
        <v/>
      </c>
    </row>
    <row r="271" spans="1:38" x14ac:dyDescent="0.2">
      <c r="A271"/>
      <c r="B271" t="str">
        <f>IF($A271="","",VLOOKUP($A271,JupData!$A$2:$I$10000,4,FALSE))</f>
        <v/>
      </c>
      <c r="C271" s="7" t="str">
        <f>IF($A271="",IF(N(D271),0,""),VLOOKUP($A271,JupData!$A$2:$I$10000,7,FALSE))</f>
        <v/>
      </c>
      <c r="D271" t="str">
        <f t="shared" si="54"/>
        <v/>
      </c>
      <c r="E271" t="str">
        <f t="array" ref="E271">IF($A271="","",INDEX(JupData!$A$2:$K$10000,MATCH($A271&amp;E$1,JupData!$A$2:$A$10000&amp;JupData!$J$2:$J$10000,0),11))</f>
        <v/>
      </c>
      <c r="F271" t="str">
        <f t="array" ref="F271">IF($A271="","",INDEX(JupData!$A$2:$K$10000,MATCH($A271&amp;F$1,JupData!$A$2:$A$10000&amp;JupData!$J$2:$J$10000,0),11))</f>
        <v/>
      </c>
      <c r="G271" t="str">
        <f t="array" ref="G271">IF($A271="","",INDEX(JupData!$A$2:$K$10000,MATCH($A271&amp;G$1,JupData!$A$2:$A$10000&amp;JupData!$J$2:$J$10000,0),11))</f>
        <v/>
      </c>
      <c r="H271" t="str">
        <f t="array" ref="H271">IF($A271="","",INDEX(JupData!$A$2:$K$10000,MATCH($A271&amp;H$1,JupData!$A$2:$A$10000&amp;JupData!$J$2:$J$10000,0),11))</f>
        <v/>
      </c>
      <c r="I271" t="str">
        <f t="array" ref="I271">IF($A271="","",INDEX(JupData!$A$2:$K$10000,MATCH($A271&amp;I$1,JupData!$A$2:$A$10000&amp;JupData!$J$2:$J$10000,0),11))</f>
        <v/>
      </c>
      <c r="J271" t="str">
        <f t="array" ref="J271">IF($A271="","",INDEX(JupData!$A$2:$K$10000,MATCH($A271&amp;J$1,JupData!$A$2:$A$10000&amp;JupData!$J$2:$J$10000,0),11))</f>
        <v/>
      </c>
      <c r="K271" t="str">
        <f t="array" ref="K271">IF($A271="","",INDEX(JupData!$A$2:$K$10000,MATCH($A271&amp;K$1,JupData!$A$2:$A$10000&amp;JupData!$J$2:$J$10000,0),11))</f>
        <v/>
      </c>
      <c r="L271" t="str">
        <f t="array" ref="L271">IF($A271="","",INDEX(JupData!$A$2:$K$10000,MATCH($A271&amp;L$1,JupData!$A$2:$A$10000&amp;JupData!$J$2:$J$10000,0),11))</f>
        <v/>
      </c>
      <c r="M271" t="str">
        <f t="array" ref="M271">IF($A271="","",INDEX(JupData!$A$2:$K$10000,MATCH($A271&amp;M$1,JupData!$A$2:$A$10000&amp;JupData!$J$2:$J$10000,0),11))</f>
        <v/>
      </c>
      <c r="N271" t="str">
        <f t="array" ref="N271">IF($A271="","",INDEX(JupData!$A$2:$K$10000,MATCH($A271&amp;N$1,JupData!$A$2:$A$10000&amp;JupData!$J$2:$J$10000,0),11))</f>
        <v/>
      </c>
      <c r="O271" t="str">
        <f t="array" ref="O271">IF($A271="","",INDEX(JupData!$A$2:$K$10000,MATCH($A271&amp;O$1,JupData!$A$2:$A$10000&amp;JupData!$J$2:$J$10000,0),11))</f>
        <v/>
      </c>
      <c r="P271" t="str">
        <f t="array" ref="P271">IF($A271="","",INDEX(JupData!$A$2:$K$10000,MATCH($A271&amp;P$1,JupData!$A$2:$A$10000&amp;JupData!$J$2:$J$10000,0),11))</f>
        <v/>
      </c>
      <c r="Q271" t="str">
        <f t="array" ref="Q271">IF($A271="","",INDEX(JupData!$A$2:$K$10000,MATCH($A271&amp;Q$1,JupData!$A$2:$A$10000&amp;JupData!$J$2:$J$10000,0),11))</f>
        <v/>
      </c>
      <c r="R271" t="str">
        <f t="array" ref="R271">IF($A271="","",INDEX(JupData!$A$2:$K$10000,MATCH($A271&amp;R$1,JupData!$A$2:$A$10000&amp;JupData!$J$2:$J$10000,0),11))</f>
        <v/>
      </c>
      <c r="S271" t="str">
        <f t="array" ref="S271">IF($A271="","",INDEX(JupData!$A$2:$K$10000,MATCH($A271&amp;S$1,JupData!$A$2:$A$10000&amp;JupData!$J$2:$J$10000,0),11))</f>
        <v/>
      </c>
      <c r="T271" t="str">
        <f t="array" ref="T271">IF($A271="","",INDEX(JupData!$A$2:$K$10000,MATCH($A271&amp;T$1,JupData!$A$2:$A$10000&amp;JupData!$J$2:$J$10000,0),11))</f>
        <v/>
      </c>
      <c r="U271" t="str">
        <f t="array" ref="U271">IF($A271="","",INDEX(JupData!$A$2:$K$10000,MATCH($A271&amp;U$1,JupData!$A$2:$A$10000&amp;JupData!$J$2:$J$10000,0),11))</f>
        <v/>
      </c>
      <c r="V271" t="str">
        <f t="array" ref="V271">IF($A271="","",INDEX(JupData!$A$2:$K$10000,MATCH($A271&amp;V$1,JupData!$A$2:$A$10000&amp;JupData!$J$2:$J$10000,0),11))</f>
        <v/>
      </c>
      <c r="W271" t="str">
        <f t="array" ref="W271">IF($A271="","",INDEX(JupData!$A$2:$K$10000,MATCH($A271&amp;W$1,JupData!$A$2:$A$10000&amp;JupData!$J$2:$J$10000,0),11))</f>
        <v/>
      </c>
      <c r="X271" t="str">
        <f t="array" ref="X271">IF($A271="","",INDEX(JupData!$A$2:$K$10000,MATCH($A271&amp;X$1,JupData!$A$2:$A$10000&amp;JupData!$J$2:$J$10000,0),11))</f>
        <v/>
      </c>
      <c r="Y271" t="str">
        <f t="array" ref="Y271">IF($A271="","",INDEX(JupData!$A$2:$K$10000,MATCH($A271&amp;Y$1,JupData!$A$2:$A$10000&amp;JupData!$J$2:$J$10000,0),11))</f>
        <v/>
      </c>
      <c r="Z271" t="str">
        <f t="array" ref="Z271">IF($A271="","",INDEX(JupData!$A$2:$K$10000,MATCH($A271&amp;Z$1,JupData!$A$2:$A$10000&amp;JupData!$J$2:$J$10000,0),11))</f>
        <v/>
      </c>
      <c r="AA271" t="str">
        <f t="array" ref="AA271">IF($A271="","",INDEX(JupData!$A$2:$K$10000,MATCH($A271&amp;AA$1,JupData!$A$2:$A$10000&amp;JupData!$J$2:$J$10000,0),11))</f>
        <v/>
      </c>
      <c r="AB271" t="str">
        <f t="array" ref="AB271">IF($A271="","",INDEX(JupData!$A$2:$K$10000,MATCH($A271&amp;AB$1,JupData!$A$2:$A$10000&amp;JupData!$J$2:$J$10000,0),11))</f>
        <v/>
      </c>
      <c r="AC271" s="10" t="str">
        <f t="shared" si="44"/>
        <v/>
      </c>
      <c r="AD271" s="10" t="str">
        <f t="shared" si="45"/>
        <v/>
      </c>
      <c r="AE271" s="9" t="str">
        <f t="shared" si="46"/>
        <v/>
      </c>
      <c r="AF271" s="10" t="str">
        <f t="shared" si="47"/>
        <v/>
      </c>
      <c r="AG271" s="10" t="str">
        <f t="shared" si="48"/>
        <v/>
      </c>
      <c r="AH271" s="10" t="str">
        <f t="shared" si="49"/>
        <v/>
      </c>
      <c r="AI271" s="10" t="str">
        <f t="shared" si="50"/>
        <v/>
      </c>
      <c r="AJ271" s="10" t="str">
        <f t="shared" si="51"/>
        <v/>
      </c>
      <c r="AK271" s="10" t="str">
        <f t="shared" si="52"/>
        <v/>
      </c>
      <c r="AL271" s="14" t="str">
        <f t="shared" si="53"/>
        <v/>
      </c>
    </row>
    <row r="272" spans="1:38" x14ac:dyDescent="0.2">
      <c r="A272"/>
      <c r="B272" t="str">
        <f>IF($A272="","",VLOOKUP($A272,JupData!$A$2:$I$10000,4,FALSE))</f>
        <v/>
      </c>
      <c r="C272" s="7" t="str">
        <f>IF($A272="",IF(N(D272),0,""),VLOOKUP($A272,JupData!$A$2:$I$10000,7,FALSE))</f>
        <v/>
      </c>
      <c r="D272" t="str">
        <f t="shared" si="54"/>
        <v/>
      </c>
      <c r="E272" t="str">
        <f t="array" ref="E272">IF($A272="","",INDEX(JupData!$A$2:$K$10000,MATCH($A272&amp;E$1,JupData!$A$2:$A$10000&amp;JupData!$J$2:$J$10000,0),11))</f>
        <v/>
      </c>
      <c r="F272" t="str">
        <f t="array" ref="F272">IF($A272="","",INDEX(JupData!$A$2:$K$10000,MATCH($A272&amp;F$1,JupData!$A$2:$A$10000&amp;JupData!$J$2:$J$10000,0),11))</f>
        <v/>
      </c>
      <c r="G272" t="str">
        <f t="array" ref="G272">IF($A272="","",INDEX(JupData!$A$2:$K$10000,MATCH($A272&amp;G$1,JupData!$A$2:$A$10000&amp;JupData!$J$2:$J$10000,0),11))</f>
        <v/>
      </c>
      <c r="H272" t="str">
        <f t="array" ref="H272">IF($A272="","",INDEX(JupData!$A$2:$K$10000,MATCH($A272&amp;H$1,JupData!$A$2:$A$10000&amp;JupData!$J$2:$J$10000,0),11))</f>
        <v/>
      </c>
      <c r="I272" t="str">
        <f t="array" ref="I272">IF($A272="","",INDEX(JupData!$A$2:$K$10000,MATCH($A272&amp;I$1,JupData!$A$2:$A$10000&amp;JupData!$J$2:$J$10000,0),11))</f>
        <v/>
      </c>
      <c r="J272" t="str">
        <f t="array" ref="J272">IF($A272="","",INDEX(JupData!$A$2:$K$10000,MATCH($A272&amp;J$1,JupData!$A$2:$A$10000&amp;JupData!$J$2:$J$10000,0),11))</f>
        <v/>
      </c>
      <c r="K272" t="str">
        <f t="array" ref="K272">IF($A272="","",INDEX(JupData!$A$2:$K$10000,MATCH($A272&amp;K$1,JupData!$A$2:$A$10000&amp;JupData!$J$2:$J$10000,0),11))</f>
        <v/>
      </c>
      <c r="L272" t="str">
        <f t="array" ref="L272">IF($A272="","",INDEX(JupData!$A$2:$K$10000,MATCH($A272&amp;L$1,JupData!$A$2:$A$10000&amp;JupData!$J$2:$J$10000,0),11))</f>
        <v/>
      </c>
      <c r="M272" t="str">
        <f t="array" ref="M272">IF($A272="","",INDEX(JupData!$A$2:$K$10000,MATCH($A272&amp;M$1,JupData!$A$2:$A$10000&amp;JupData!$J$2:$J$10000,0),11))</f>
        <v/>
      </c>
      <c r="N272" t="str">
        <f t="array" ref="N272">IF($A272="","",INDEX(JupData!$A$2:$K$10000,MATCH($A272&amp;N$1,JupData!$A$2:$A$10000&amp;JupData!$J$2:$J$10000,0),11))</f>
        <v/>
      </c>
      <c r="O272" t="str">
        <f t="array" ref="O272">IF($A272="","",INDEX(JupData!$A$2:$K$10000,MATCH($A272&amp;O$1,JupData!$A$2:$A$10000&amp;JupData!$J$2:$J$10000,0),11))</f>
        <v/>
      </c>
      <c r="P272" t="str">
        <f t="array" ref="P272">IF($A272="","",INDEX(JupData!$A$2:$K$10000,MATCH($A272&amp;P$1,JupData!$A$2:$A$10000&amp;JupData!$J$2:$J$10000,0),11))</f>
        <v/>
      </c>
      <c r="Q272" t="str">
        <f t="array" ref="Q272">IF($A272="","",INDEX(JupData!$A$2:$K$10000,MATCH($A272&amp;Q$1,JupData!$A$2:$A$10000&amp;JupData!$J$2:$J$10000,0),11))</f>
        <v/>
      </c>
      <c r="R272" t="str">
        <f t="array" ref="R272">IF($A272="","",INDEX(JupData!$A$2:$K$10000,MATCH($A272&amp;R$1,JupData!$A$2:$A$10000&amp;JupData!$J$2:$J$10000,0),11))</f>
        <v/>
      </c>
      <c r="S272" t="str">
        <f t="array" ref="S272">IF($A272="","",INDEX(JupData!$A$2:$K$10000,MATCH($A272&amp;S$1,JupData!$A$2:$A$10000&amp;JupData!$J$2:$J$10000,0),11))</f>
        <v/>
      </c>
      <c r="T272" t="str">
        <f t="array" ref="T272">IF($A272="","",INDEX(JupData!$A$2:$K$10000,MATCH($A272&amp;T$1,JupData!$A$2:$A$10000&amp;JupData!$J$2:$J$10000,0),11))</f>
        <v/>
      </c>
      <c r="U272" t="str">
        <f t="array" ref="U272">IF($A272="","",INDEX(JupData!$A$2:$K$10000,MATCH($A272&amp;U$1,JupData!$A$2:$A$10000&amp;JupData!$J$2:$J$10000,0),11))</f>
        <v/>
      </c>
      <c r="V272" t="str">
        <f t="array" ref="V272">IF($A272="","",INDEX(JupData!$A$2:$K$10000,MATCH($A272&amp;V$1,JupData!$A$2:$A$10000&amp;JupData!$J$2:$J$10000,0),11))</f>
        <v/>
      </c>
      <c r="W272" t="str">
        <f t="array" ref="W272">IF($A272="","",INDEX(JupData!$A$2:$K$10000,MATCH($A272&amp;W$1,JupData!$A$2:$A$10000&amp;JupData!$J$2:$J$10000,0),11))</f>
        <v/>
      </c>
      <c r="X272" t="str">
        <f t="array" ref="X272">IF($A272="","",INDEX(JupData!$A$2:$K$10000,MATCH($A272&amp;X$1,JupData!$A$2:$A$10000&amp;JupData!$J$2:$J$10000,0),11))</f>
        <v/>
      </c>
      <c r="Y272" t="str">
        <f t="array" ref="Y272">IF($A272="","",INDEX(JupData!$A$2:$K$10000,MATCH($A272&amp;Y$1,JupData!$A$2:$A$10000&amp;JupData!$J$2:$J$10000,0),11))</f>
        <v/>
      </c>
      <c r="Z272" t="str">
        <f t="array" ref="Z272">IF($A272="","",INDEX(JupData!$A$2:$K$10000,MATCH($A272&amp;Z$1,JupData!$A$2:$A$10000&amp;JupData!$J$2:$J$10000,0),11))</f>
        <v/>
      </c>
      <c r="AA272" t="str">
        <f t="array" ref="AA272">IF($A272="","",INDEX(JupData!$A$2:$K$10000,MATCH($A272&amp;AA$1,JupData!$A$2:$A$10000&amp;JupData!$J$2:$J$10000,0),11))</f>
        <v/>
      </c>
      <c r="AB272" t="str">
        <f t="array" ref="AB272">IF($A272="","",INDEX(JupData!$A$2:$K$10000,MATCH($A272&amp;AB$1,JupData!$A$2:$A$10000&amp;JupData!$J$2:$J$10000,0),11))</f>
        <v/>
      </c>
      <c r="AC272" s="10" t="str">
        <f t="shared" si="44"/>
        <v/>
      </c>
      <c r="AD272" s="10" t="str">
        <f t="shared" si="45"/>
        <v/>
      </c>
      <c r="AE272" s="9" t="str">
        <f t="shared" si="46"/>
        <v/>
      </c>
      <c r="AF272" s="10" t="str">
        <f t="shared" si="47"/>
        <v/>
      </c>
      <c r="AG272" s="10" t="str">
        <f t="shared" si="48"/>
        <v/>
      </c>
      <c r="AH272" s="10" t="str">
        <f t="shared" si="49"/>
        <v/>
      </c>
      <c r="AI272" s="10" t="str">
        <f t="shared" si="50"/>
        <v/>
      </c>
      <c r="AJ272" s="10" t="str">
        <f t="shared" si="51"/>
        <v/>
      </c>
      <c r="AK272" s="10" t="str">
        <f t="shared" si="52"/>
        <v/>
      </c>
      <c r="AL272" s="14" t="str">
        <f t="shared" si="53"/>
        <v/>
      </c>
    </row>
    <row r="273" spans="1:38" x14ac:dyDescent="0.2">
      <c r="A273"/>
      <c r="B273" t="str">
        <f>IF($A273="","",VLOOKUP($A273,JupData!$A$2:$I$10000,4,FALSE))</f>
        <v/>
      </c>
      <c r="C273" s="7" t="str">
        <f>IF($A273="",IF(N(D273),0,""),VLOOKUP($A273,JupData!$A$2:$I$10000,7,FALSE))</f>
        <v/>
      </c>
      <c r="D273" t="str">
        <f t="shared" si="54"/>
        <v/>
      </c>
      <c r="E273" t="str">
        <f t="array" ref="E273">IF($A273="","",INDEX(JupData!$A$2:$K$10000,MATCH($A273&amp;E$1,JupData!$A$2:$A$10000&amp;JupData!$J$2:$J$10000,0),11))</f>
        <v/>
      </c>
      <c r="F273" t="str">
        <f t="array" ref="F273">IF($A273="","",INDEX(JupData!$A$2:$K$10000,MATCH($A273&amp;F$1,JupData!$A$2:$A$10000&amp;JupData!$J$2:$J$10000,0),11))</f>
        <v/>
      </c>
      <c r="G273" t="str">
        <f t="array" ref="G273">IF($A273="","",INDEX(JupData!$A$2:$K$10000,MATCH($A273&amp;G$1,JupData!$A$2:$A$10000&amp;JupData!$J$2:$J$10000,0),11))</f>
        <v/>
      </c>
      <c r="H273" t="str">
        <f t="array" ref="H273">IF($A273="","",INDEX(JupData!$A$2:$K$10000,MATCH($A273&amp;H$1,JupData!$A$2:$A$10000&amp;JupData!$J$2:$J$10000,0),11))</f>
        <v/>
      </c>
      <c r="I273" t="str">
        <f t="array" ref="I273">IF($A273="","",INDEX(JupData!$A$2:$K$10000,MATCH($A273&amp;I$1,JupData!$A$2:$A$10000&amp;JupData!$J$2:$J$10000,0),11))</f>
        <v/>
      </c>
      <c r="J273" t="str">
        <f t="array" ref="J273">IF($A273="","",INDEX(JupData!$A$2:$K$10000,MATCH($A273&amp;J$1,JupData!$A$2:$A$10000&amp;JupData!$J$2:$J$10000,0),11))</f>
        <v/>
      </c>
      <c r="K273" t="str">
        <f t="array" ref="K273">IF($A273="","",INDEX(JupData!$A$2:$K$10000,MATCH($A273&amp;K$1,JupData!$A$2:$A$10000&amp;JupData!$J$2:$J$10000,0),11))</f>
        <v/>
      </c>
      <c r="L273" t="str">
        <f t="array" ref="L273">IF($A273="","",INDEX(JupData!$A$2:$K$10000,MATCH($A273&amp;L$1,JupData!$A$2:$A$10000&amp;JupData!$J$2:$J$10000,0),11))</f>
        <v/>
      </c>
      <c r="M273" t="str">
        <f t="array" ref="M273">IF($A273="","",INDEX(JupData!$A$2:$K$10000,MATCH($A273&amp;M$1,JupData!$A$2:$A$10000&amp;JupData!$J$2:$J$10000,0),11))</f>
        <v/>
      </c>
      <c r="N273" t="str">
        <f t="array" ref="N273">IF($A273="","",INDEX(JupData!$A$2:$K$10000,MATCH($A273&amp;N$1,JupData!$A$2:$A$10000&amp;JupData!$J$2:$J$10000,0),11))</f>
        <v/>
      </c>
      <c r="O273" t="str">
        <f t="array" ref="O273">IF($A273="","",INDEX(JupData!$A$2:$K$10000,MATCH($A273&amp;O$1,JupData!$A$2:$A$10000&amp;JupData!$J$2:$J$10000,0),11))</f>
        <v/>
      </c>
      <c r="P273" t="str">
        <f t="array" ref="P273">IF($A273="","",INDEX(JupData!$A$2:$K$10000,MATCH($A273&amp;P$1,JupData!$A$2:$A$10000&amp;JupData!$J$2:$J$10000,0),11))</f>
        <v/>
      </c>
      <c r="Q273" t="str">
        <f t="array" ref="Q273">IF($A273="","",INDEX(JupData!$A$2:$K$10000,MATCH($A273&amp;Q$1,JupData!$A$2:$A$10000&amp;JupData!$J$2:$J$10000,0),11))</f>
        <v/>
      </c>
      <c r="R273" t="str">
        <f t="array" ref="R273">IF($A273="","",INDEX(JupData!$A$2:$K$10000,MATCH($A273&amp;R$1,JupData!$A$2:$A$10000&amp;JupData!$J$2:$J$10000,0),11))</f>
        <v/>
      </c>
      <c r="S273" t="str">
        <f t="array" ref="S273">IF($A273="","",INDEX(JupData!$A$2:$K$10000,MATCH($A273&amp;S$1,JupData!$A$2:$A$10000&amp;JupData!$J$2:$J$10000,0),11))</f>
        <v/>
      </c>
      <c r="T273" t="str">
        <f t="array" ref="T273">IF($A273="","",INDEX(JupData!$A$2:$K$10000,MATCH($A273&amp;T$1,JupData!$A$2:$A$10000&amp;JupData!$J$2:$J$10000,0),11))</f>
        <v/>
      </c>
      <c r="U273" t="str">
        <f t="array" ref="U273">IF($A273="","",INDEX(JupData!$A$2:$K$10000,MATCH($A273&amp;U$1,JupData!$A$2:$A$10000&amp;JupData!$J$2:$J$10000,0),11))</f>
        <v/>
      </c>
      <c r="V273" t="str">
        <f t="array" ref="V273">IF($A273="","",INDEX(JupData!$A$2:$K$10000,MATCH($A273&amp;V$1,JupData!$A$2:$A$10000&amp;JupData!$J$2:$J$10000,0),11))</f>
        <v/>
      </c>
      <c r="W273" t="str">
        <f t="array" ref="W273">IF($A273="","",INDEX(JupData!$A$2:$K$10000,MATCH($A273&amp;W$1,JupData!$A$2:$A$10000&amp;JupData!$J$2:$J$10000,0),11))</f>
        <v/>
      </c>
      <c r="X273" t="str">
        <f t="array" ref="X273">IF($A273="","",INDEX(JupData!$A$2:$K$10000,MATCH($A273&amp;X$1,JupData!$A$2:$A$10000&amp;JupData!$J$2:$J$10000,0),11))</f>
        <v/>
      </c>
      <c r="Y273" t="str">
        <f t="array" ref="Y273">IF($A273="","",INDEX(JupData!$A$2:$K$10000,MATCH($A273&amp;Y$1,JupData!$A$2:$A$10000&amp;JupData!$J$2:$J$10000,0),11))</f>
        <v/>
      </c>
      <c r="Z273" t="str">
        <f t="array" ref="Z273">IF($A273="","",INDEX(JupData!$A$2:$K$10000,MATCH($A273&amp;Z$1,JupData!$A$2:$A$10000&amp;JupData!$J$2:$J$10000,0),11))</f>
        <v/>
      </c>
      <c r="AA273" t="str">
        <f t="array" ref="AA273">IF($A273="","",INDEX(JupData!$A$2:$K$10000,MATCH($A273&amp;AA$1,JupData!$A$2:$A$10000&amp;JupData!$J$2:$J$10000,0),11))</f>
        <v/>
      </c>
      <c r="AB273" t="str">
        <f t="array" ref="AB273">IF($A273="","",INDEX(JupData!$A$2:$K$10000,MATCH($A273&amp;AB$1,JupData!$A$2:$A$10000&amp;JupData!$J$2:$J$10000,0),11))</f>
        <v/>
      </c>
      <c r="AC273" s="10" t="str">
        <f t="shared" si="44"/>
        <v/>
      </c>
      <c r="AD273" s="10" t="str">
        <f t="shared" si="45"/>
        <v/>
      </c>
      <c r="AE273" s="9" t="str">
        <f t="shared" si="46"/>
        <v/>
      </c>
      <c r="AF273" s="10" t="str">
        <f t="shared" si="47"/>
        <v/>
      </c>
      <c r="AG273" s="10" t="str">
        <f t="shared" si="48"/>
        <v/>
      </c>
      <c r="AH273" s="10" t="str">
        <f t="shared" si="49"/>
        <v/>
      </c>
      <c r="AI273" s="10" t="str">
        <f t="shared" si="50"/>
        <v/>
      </c>
      <c r="AJ273" s="10" t="str">
        <f t="shared" si="51"/>
        <v/>
      </c>
      <c r="AK273" s="10" t="str">
        <f t="shared" si="52"/>
        <v/>
      </c>
      <c r="AL273" s="14" t="str">
        <f t="shared" si="53"/>
        <v/>
      </c>
    </row>
    <row r="274" spans="1:38" x14ac:dyDescent="0.2">
      <c r="A274"/>
      <c r="B274" t="str">
        <f>IF($A274="","",VLOOKUP($A274,JupData!$A$2:$I$10000,4,FALSE))</f>
        <v/>
      </c>
      <c r="C274" s="7" t="str">
        <f>IF($A274="",IF(N(D274),0,""),VLOOKUP($A274,JupData!$A$2:$I$10000,7,FALSE))</f>
        <v/>
      </c>
      <c r="D274" t="str">
        <f t="shared" si="54"/>
        <v/>
      </c>
      <c r="E274" t="str">
        <f t="array" ref="E274">IF($A274="","",INDEX(JupData!$A$2:$K$10000,MATCH($A274&amp;E$1,JupData!$A$2:$A$10000&amp;JupData!$J$2:$J$10000,0),11))</f>
        <v/>
      </c>
      <c r="F274" t="str">
        <f t="array" ref="F274">IF($A274="","",INDEX(JupData!$A$2:$K$10000,MATCH($A274&amp;F$1,JupData!$A$2:$A$10000&amp;JupData!$J$2:$J$10000,0),11))</f>
        <v/>
      </c>
      <c r="G274" t="str">
        <f t="array" ref="G274">IF($A274="","",INDEX(JupData!$A$2:$K$10000,MATCH($A274&amp;G$1,JupData!$A$2:$A$10000&amp;JupData!$J$2:$J$10000,0),11))</f>
        <v/>
      </c>
      <c r="H274" t="str">
        <f t="array" ref="H274">IF($A274="","",INDEX(JupData!$A$2:$K$10000,MATCH($A274&amp;H$1,JupData!$A$2:$A$10000&amp;JupData!$J$2:$J$10000,0),11))</f>
        <v/>
      </c>
      <c r="I274" t="str">
        <f t="array" ref="I274">IF($A274="","",INDEX(JupData!$A$2:$K$10000,MATCH($A274&amp;I$1,JupData!$A$2:$A$10000&amp;JupData!$J$2:$J$10000,0),11))</f>
        <v/>
      </c>
      <c r="J274" t="str">
        <f t="array" ref="J274">IF($A274="","",INDEX(JupData!$A$2:$K$10000,MATCH($A274&amp;J$1,JupData!$A$2:$A$10000&amp;JupData!$J$2:$J$10000,0),11))</f>
        <v/>
      </c>
      <c r="K274" t="str">
        <f t="array" ref="K274">IF($A274="","",INDEX(JupData!$A$2:$K$10000,MATCH($A274&amp;K$1,JupData!$A$2:$A$10000&amp;JupData!$J$2:$J$10000,0),11))</f>
        <v/>
      </c>
      <c r="L274" t="str">
        <f t="array" ref="L274">IF($A274="","",INDEX(JupData!$A$2:$K$10000,MATCH($A274&amp;L$1,JupData!$A$2:$A$10000&amp;JupData!$J$2:$J$10000,0),11))</f>
        <v/>
      </c>
      <c r="M274" t="str">
        <f t="array" ref="M274">IF($A274="","",INDEX(JupData!$A$2:$K$10000,MATCH($A274&amp;M$1,JupData!$A$2:$A$10000&amp;JupData!$J$2:$J$10000,0),11))</f>
        <v/>
      </c>
      <c r="N274" t="str">
        <f t="array" ref="N274">IF($A274="","",INDEX(JupData!$A$2:$K$10000,MATCH($A274&amp;N$1,JupData!$A$2:$A$10000&amp;JupData!$J$2:$J$10000,0),11))</f>
        <v/>
      </c>
      <c r="O274" t="str">
        <f t="array" ref="O274">IF($A274="","",INDEX(JupData!$A$2:$K$10000,MATCH($A274&amp;O$1,JupData!$A$2:$A$10000&amp;JupData!$J$2:$J$10000,0),11))</f>
        <v/>
      </c>
      <c r="P274" t="str">
        <f t="array" ref="P274">IF($A274="","",INDEX(JupData!$A$2:$K$10000,MATCH($A274&amp;P$1,JupData!$A$2:$A$10000&amp;JupData!$J$2:$J$10000,0),11))</f>
        <v/>
      </c>
      <c r="Q274" t="str">
        <f t="array" ref="Q274">IF($A274="","",INDEX(JupData!$A$2:$K$10000,MATCH($A274&amp;Q$1,JupData!$A$2:$A$10000&amp;JupData!$J$2:$J$10000,0),11))</f>
        <v/>
      </c>
      <c r="R274" t="str">
        <f t="array" ref="R274">IF($A274="","",INDEX(JupData!$A$2:$K$10000,MATCH($A274&amp;R$1,JupData!$A$2:$A$10000&amp;JupData!$J$2:$J$10000,0),11))</f>
        <v/>
      </c>
      <c r="S274" t="str">
        <f t="array" ref="S274">IF($A274="","",INDEX(JupData!$A$2:$K$10000,MATCH($A274&amp;S$1,JupData!$A$2:$A$10000&amp;JupData!$J$2:$J$10000,0),11))</f>
        <v/>
      </c>
      <c r="T274" t="str">
        <f t="array" ref="T274">IF($A274="","",INDEX(JupData!$A$2:$K$10000,MATCH($A274&amp;T$1,JupData!$A$2:$A$10000&amp;JupData!$J$2:$J$10000,0),11))</f>
        <v/>
      </c>
      <c r="U274" t="str">
        <f t="array" ref="U274">IF($A274="","",INDEX(JupData!$A$2:$K$10000,MATCH($A274&amp;U$1,JupData!$A$2:$A$10000&amp;JupData!$J$2:$J$10000,0),11))</f>
        <v/>
      </c>
      <c r="V274" t="str">
        <f t="array" ref="V274">IF($A274="","",INDEX(JupData!$A$2:$K$10000,MATCH($A274&amp;V$1,JupData!$A$2:$A$10000&amp;JupData!$J$2:$J$10000,0),11))</f>
        <v/>
      </c>
      <c r="W274" t="str">
        <f t="array" ref="W274">IF($A274="","",INDEX(JupData!$A$2:$K$10000,MATCH($A274&amp;W$1,JupData!$A$2:$A$10000&amp;JupData!$J$2:$J$10000,0),11))</f>
        <v/>
      </c>
      <c r="X274" t="str">
        <f t="array" ref="X274">IF($A274="","",INDEX(JupData!$A$2:$K$10000,MATCH($A274&amp;X$1,JupData!$A$2:$A$10000&amp;JupData!$J$2:$J$10000,0),11))</f>
        <v/>
      </c>
      <c r="Y274" t="str">
        <f t="array" ref="Y274">IF($A274="","",INDEX(JupData!$A$2:$K$10000,MATCH($A274&amp;Y$1,JupData!$A$2:$A$10000&amp;JupData!$J$2:$J$10000,0),11))</f>
        <v/>
      </c>
      <c r="Z274" t="str">
        <f t="array" ref="Z274">IF($A274="","",INDEX(JupData!$A$2:$K$10000,MATCH($A274&amp;Z$1,JupData!$A$2:$A$10000&amp;JupData!$J$2:$J$10000,0),11))</f>
        <v/>
      </c>
      <c r="AA274" t="str">
        <f t="array" ref="AA274">IF($A274="","",INDEX(JupData!$A$2:$K$10000,MATCH($A274&amp;AA$1,JupData!$A$2:$A$10000&amp;JupData!$J$2:$J$10000,0),11))</f>
        <v/>
      </c>
      <c r="AB274" t="str">
        <f t="array" ref="AB274">IF($A274="","",INDEX(JupData!$A$2:$K$10000,MATCH($A274&amp;AB$1,JupData!$A$2:$A$10000&amp;JupData!$J$2:$J$10000,0),11))</f>
        <v/>
      </c>
      <c r="AC274" s="10" t="str">
        <f t="shared" si="44"/>
        <v/>
      </c>
      <c r="AD274" s="10" t="str">
        <f t="shared" si="45"/>
        <v/>
      </c>
      <c r="AE274" s="9" t="str">
        <f t="shared" si="46"/>
        <v/>
      </c>
      <c r="AF274" s="10" t="str">
        <f t="shared" si="47"/>
        <v/>
      </c>
      <c r="AG274" s="10" t="str">
        <f t="shared" si="48"/>
        <v/>
      </c>
      <c r="AH274" s="10" t="str">
        <f t="shared" si="49"/>
        <v/>
      </c>
      <c r="AI274" s="10" t="str">
        <f t="shared" si="50"/>
        <v/>
      </c>
      <c r="AJ274" s="10" t="str">
        <f t="shared" si="51"/>
        <v/>
      </c>
      <c r="AK274" s="10" t="str">
        <f t="shared" si="52"/>
        <v/>
      </c>
      <c r="AL274" s="14" t="str">
        <f t="shared" si="53"/>
        <v/>
      </c>
    </row>
    <row r="275" spans="1:38" x14ac:dyDescent="0.2">
      <c r="A275"/>
      <c r="B275" t="str">
        <f>IF($A275="","",VLOOKUP($A275,JupData!$A$2:$I$10000,4,FALSE))</f>
        <v/>
      </c>
      <c r="C275" s="7" t="str">
        <f>IF($A275="",IF(N(D275),0,""),VLOOKUP($A275,JupData!$A$2:$I$10000,7,FALSE))</f>
        <v/>
      </c>
      <c r="D275" t="str">
        <f t="shared" si="54"/>
        <v/>
      </c>
      <c r="E275" t="str">
        <f t="array" ref="E275">IF($A275="","",INDEX(JupData!$A$2:$K$10000,MATCH($A275&amp;E$1,JupData!$A$2:$A$10000&amp;JupData!$J$2:$J$10000,0),11))</f>
        <v/>
      </c>
      <c r="F275" t="str">
        <f t="array" ref="F275">IF($A275="","",INDEX(JupData!$A$2:$K$10000,MATCH($A275&amp;F$1,JupData!$A$2:$A$10000&amp;JupData!$J$2:$J$10000,0),11))</f>
        <v/>
      </c>
      <c r="G275" t="str">
        <f t="array" ref="G275">IF($A275="","",INDEX(JupData!$A$2:$K$10000,MATCH($A275&amp;G$1,JupData!$A$2:$A$10000&amp;JupData!$J$2:$J$10000,0),11))</f>
        <v/>
      </c>
      <c r="H275" t="str">
        <f t="array" ref="H275">IF($A275="","",INDEX(JupData!$A$2:$K$10000,MATCH($A275&amp;H$1,JupData!$A$2:$A$10000&amp;JupData!$J$2:$J$10000,0),11))</f>
        <v/>
      </c>
      <c r="I275" t="str">
        <f t="array" ref="I275">IF($A275="","",INDEX(JupData!$A$2:$K$10000,MATCH($A275&amp;I$1,JupData!$A$2:$A$10000&amp;JupData!$J$2:$J$10000,0),11))</f>
        <v/>
      </c>
      <c r="J275" t="str">
        <f t="array" ref="J275">IF($A275="","",INDEX(JupData!$A$2:$K$10000,MATCH($A275&amp;J$1,JupData!$A$2:$A$10000&amp;JupData!$J$2:$J$10000,0),11))</f>
        <v/>
      </c>
      <c r="K275" t="str">
        <f t="array" ref="K275">IF($A275="","",INDEX(JupData!$A$2:$K$10000,MATCH($A275&amp;K$1,JupData!$A$2:$A$10000&amp;JupData!$J$2:$J$10000,0),11))</f>
        <v/>
      </c>
      <c r="L275" t="str">
        <f t="array" ref="L275">IF($A275="","",INDEX(JupData!$A$2:$K$10000,MATCH($A275&amp;L$1,JupData!$A$2:$A$10000&amp;JupData!$J$2:$J$10000,0),11))</f>
        <v/>
      </c>
      <c r="M275" t="str">
        <f t="array" ref="M275">IF($A275="","",INDEX(JupData!$A$2:$K$10000,MATCH($A275&amp;M$1,JupData!$A$2:$A$10000&amp;JupData!$J$2:$J$10000,0),11))</f>
        <v/>
      </c>
      <c r="N275" t="str">
        <f t="array" ref="N275">IF($A275="","",INDEX(JupData!$A$2:$K$10000,MATCH($A275&amp;N$1,JupData!$A$2:$A$10000&amp;JupData!$J$2:$J$10000,0),11))</f>
        <v/>
      </c>
      <c r="O275" t="str">
        <f t="array" ref="O275">IF($A275="","",INDEX(JupData!$A$2:$K$10000,MATCH($A275&amp;O$1,JupData!$A$2:$A$10000&amp;JupData!$J$2:$J$10000,0),11))</f>
        <v/>
      </c>
      <c r="P275" t="str">
        <f t="array" ref="P275">IF($A275="","",INDEX(JupData!$A$2:$K$10000,MATCH($A275&amp;P$1,JupData!$A$2:$A$10000&amp;JupData!$J$2:$J$10000,0),11))</f>
        <v/>
      </c>
      <c r="Q275" t="str">
        <f t="array" ref="Q275">IF($A275="","",INDEX(JupData!$A$2:$K$10000,MATCH($A275&amp;Q$1,JupData!$A$2:$A$10000&amp;JupData!$J$2:$J$10000,0),11))</f>
        <v/>
      </c>
      <c r="R275" t="str">
        <f t="array" ref="R275">IF($A275="","",INDEX(JupData!$A$2:$K$10000,MATCH($A275&amp;R$1,JupData!$A$2:$A$10000&amp;JupData!$J$2:$J$10000,0),11))</f>
        <v/>
      </c>
      <c r="S275" t="str">
        <f t="array" ref="S275">IF($A275="","",INDEX(JupData!$A$2:$K$10000,MATCH($A275&amp;S$1,JupData!$A$2:$A$10000&amp;JupData!$J$2:$J$10000,0),11))</f>
        <v/>
      </c>
      <c r="T275" t="str">
        <f t="array" ref="T275">IF($A275="","",INDEX(JupData!$A$2:$K$10000,MATCH($A275&amp;T$1,JupData!$A$2:$A$10000&amp;JupData!$J$2:$J$10000,0),11))</f>
        <v/>
      </c>
      <c r="U275" t="str">
        <f t="array" ref="U275">IF($A275="","",INDEX(JupData!$A$2:$K$10000,MATCH($A275&amp;U$1,JupData!$A$2:$A$10000&amp;JupData!$J$2:$J$10000,0),11))</f>
        <v/>
      </c>
      <c r="V275" t="str">
        <f t="array" ref="V275">IF($A275="","",INDEX(JupData!$A$2:$K$10000,MATCH($A275&amp;V$1,JupData!$A$2:$A$10000&amp;JupData!$J$2:$J$10000,0),11))</f>
        <v/>
      </c>
      <c r="W275" t="str">
        <f t="array" ref="W275">IF($A275="","",INDEX(JupData!$A$2:$K$10000,MATCH($A275&amp;W$1,JupData!$A$2:$A$10000&amp;JupData!$J$2:$J$10000,0),11))</f>
        <v/>
      </c>
      <c r="X275" t="str">
        <f t="array" ref="X275">IF($A275="","",INDEX(JupData!$A$2:$K$10000,MATCH($A275&amp;X$1,JupData!$A$2:$A$10000&amp;JupData!$J$2:$J$10000,0),11))</f>
        <v/>
      </c>
      <c r="Y275" t="str">
        <f t="array" ref="Y275">IF($A275="","",INDEX(JupData!$A$2:$K$10000,MATCH($A275&amp;Y$1,JupData!$A$2:$A$10000&amp;JupData!$J$2:$J$10000,0),11))</f>
        <v/>
      </c>
      <c r="Z275" t="str">
        <f t="array" ref="Z275">IF($A275="","",INDEX(JupData!$A$2:$K$10000,MATCH($A275&amp;Z$1,JupData!$A$2:$A$10000&amp;JupData!$J$2:$J$10000,0),11))</f>
        <v/>
      </c>
      <c r="AA275" t="str">
        <f t="array" ref="AA275">IF($A275="","",INDEX(JupData!$A$2:$K$10000,MATCH($A275&amp;AA$1,JupData!$A$2:$A$10000&amp;JupData!$J$2:$J$10000,0),11))</f>
        <v/>
      </c>
      <c r="AB275" t="str">
        <f t="array" ref="AB275">IF($A275="","",INDEX(JupData!$A$2:$K$10000,MATCH($A275&amp;AB$1,JupData!$A$2:$A$10000&amp;JupData!$J$2:$J$10000,0),11))</f>
        <v/>
      </c>
      <c r="AC275" s="10" t="str">
        <f t="shared" si="44"/>
        <v/>
      </c>
      <c r="AD275" s="10" t="str">
        <f t="shared" si="45"/>
        <v/>
      </c>
      <c r="AE275" s="9" t="str">
        <f t="shared" si="46"/>
        <v/>
      </c>
      <c r="AF275" s="10" t="str">
        <f t="shared" si="47"/>
        <v/>
      </c>
      <c r="AG275" s="10" t="str">
        <f t="shared" si="48"/>
        <v/>
      </c>
      <c r="AH275" s="10" t="str">
        <f t="shared" si="49"/>
        <v/>
      </c>
      <c r="AI275" s="10" t="str">
        <f t="shared" si="50"/>
        <v/>
      </c>
      <c r="AJ275" s="10" t="str">
        <f t="shared" si="51"/>
        <v/>
      </c>
      <c r="AK275" s="10" t="str">
        <f t="shared" si="52"/>
        <v/>
      </c>
      <c r="AL275" s="14" t="str">
        <f t="shared" si="53"/>
        <v/>
      </c>
    </row>
    <row r="276" spans="1:38" x14ac:dyDescent="0.2">
      <c r="A276"/>
      <c r="B276" t="str">
        <f>IF($A276="","",VLOOKUP($A276,JupData!$A$2:$I$10000,4,FALSE))</f>
        <v/>
      </c>
      <c r="C276" s="7" t="str">
        <f>IF($A276="",IF(N(D276),0,""),VLOOKUP($A276,JupData!$A$2:$I$10000,7,FALSE))</f>
        <v/>
      </c>
      <c r="D276" t="str">
        <f t="shared" si="54"/>
        <v/>
      </c>
      <c r="E276" t="str">
        <f t="array" ref="E276">IF($A276="","",INDEX(JupData!$A$2:$K$10000,MATCH($A276&amp;E$1,JupData!$A$2:$A$10000&amp;JupData!$J$2:$J$10000,0),11))</f>
        <v/>
      </c>
      <c r="F276" t="str">
        <f t="array" ref="F276">IF($A276="","",INDEX(JupData!$A$2:$K$10000,MATCH($A276&amp;F$1,JupData!$A$2:$A$10000&amp;JupData!$J$2:$J$10000,0),11))</f>
        <v/>
      </c>
      <c r="G276" t="str">
        <f t="array" ref="G276">IF($A276="","",INDEX(JupData!$A$2:$K$10000,MATCH($A276&amp;G$1,JupData!$A$2:$A$10000&amp;JupData!$J$2:$J$10000,0),11))</f>
        <v/>
      </c>
      <c r="H276" t="str">
        <f t="array" ref="H276">IF($A276="","",INDEX(JupData!$A$2:$K$10000,MATCH($A276&amp;H$1,JupData!$A$2:$A$10000&amp;JupData!$J$2:$J$10000,0),11))</f>
        <v/>
      </c>
      <c r="I276" t="str">
        <f t="array" ref="I276">IF($A276="","",INDEX(JupData!$A$2:$K$10000,MATCH($A276&amp;I$1,JupData!$A$2:$A$10000&amp;JupData!$J$2:$J$10000,0),11))</f>
        <v/>
      </c>
      <c r="J276" t="str">
        <f t="array" ref="J276">IF($A276="","",INDEX(JupData!$A$2:$K$10000,MATCH($A276&amp;J$1,JupData!$A$2:$A$10000&amp;JupData!$J$2:$J$10000,0),11))</f>
        <v/>
      </c>
      <c r="K276" t="str">
        <f t="array" ref="K276">IF($A276="","",INDEX(JupData!$A$2:$K$10000,MATCH($A276&amp;K$1,JupData!$A$2:$A$10000&amp;JupData!$J$2:$J$10000,0),11))</f>
        <v/>
      </c>
      <c r="L276" t="str">
        <f t="array" ref="L276">IF($A276="","",INDEX(JupData!$A$2:$K$10000,MATCH($A276&amp;L$1,JupData!$A$2:$A$10000&amp;JupData!$J$2:$J$10000,0),11))</f>
        <v/>
      </c>
      <c r="M276" t="str">
        <f t="array" ref="M276">IF($A276="","",INDEX(JupData!$A$2:$K$10000,MATCH($A276&amp;M$1,JupData!$A$2:$A$10000&amp;JupData!$J$2:$J$10000,0),11))</f>
        <v/>
      </c>
      <c r="N276" t="str">
        <f t="array" ref="N276">IF($A276="","",INDEX(JupData!$A$2:$K$10000,MATCH($A276&amp;N$1,JupData!$A$2:$A$10000&amp;JupData!$J$2:$J$10000,0),11))</f>
        <v/>
      </c>
      <c r="O276" t="str">
        <f t="array" ref="O276">IF($A276="","",INDEX(JupData!$A$2:$K$10000,MATCH($A276&amp;O$1,JupData!$A$2:$A$10000&amp;JupData!$J$2:$J$10000,0),11))</f>
        <v/>
      </c>
      <c r="P276" t="str">
        <f t="array" ref="P276">IF($A276="","",INDEX(JupData!$A$2:$K$10000,MATCH($A276&amp;P$1,JupData!$A$2:$A$10000&amp;JupData!$J$2:$J$10000,0),11))</f>
        <v/>
      </c>
      <c r="Q276" t="str">
        <f t="array" ref="Q276">IF($A276="","",INDEX(JupData!$A$2:$K$10000,MATCH($A276&amp;Q$1,JupData!$A$2:$A$10000&amp;JupData!$J$2:$J$10000,0),11))</f>
        <v/>
      </c>
      <c r="R276" t="str">
        <f t="array" ref="R276">IF($A276="","",INDEX(JupData!$A$2:$K$10000,MATCH($A276&amp;R$1,JupData!$A$2:$A$10000&amp;JupData!$J$2:$J$10000,0),11))</f>
        <v/>
      </c>
      <c r="S276" t="str">
        <f t="array" ref="S276">IF($A276="","",INDEX(JupData!$A$2:$K$10000,MATCH($A276&amp;S$1,JupData!$A$2:$A$10000&amp;JupData!$J$2:$J$10000,0),11))</f>
        <v/>
      </c>
      <c r="T276" t="str">
        <f t="array" ref="T276">IF($A276="","",INDEX(JupData!$A$2:$K$10000,MATCH($A276&amp;T$1,JupData!$A$2:$A$10000&amp;JupData!$J$2:$J$10000,0),11))</f>
        <v/>
      </c>
      <c r="U276" t="str">
        <f t="array" ref="U276">IF($A276="","",INDEX(JupData!$A$2:$K$10000,MATCH($A276&amp;U$1,JupData!$A$2:$A$10000&amp;JupData!$J$2:$J$10000,0),11))</f>
        <v/>
      </c>
      <c r="V276" t="str">
        <f t="array" ref="V276">IF($A276="","",INDEX(JupData!$A$2:$K$10000,MATCH($A276&amp;V$1,JupData!$A$2:$A$10000&amp;JupData!$J$2:$J$10000,0),11))</f>
        <v/>
      </c>
      <c r="W276" t="str">
        <f t="array" ref="W276">IF($A276="","",INDEX(JupData!$A$2:$K$10000,MATCH($A276&amp;W$1,JupData!$A$2:$A$10000&amp;JupData!$J$2:$J$10000,0),11))</f>
        <v/>
      </c>
      <c r="X276" t="str">
        <f t="array" ref="X276">IF($A276="","",INDEX(JupData!$A$2:$K$10000,MATCH($A276&amp;X$1,JupData!$A$2:$A$10000&amp;JupData!$J$2:$J$10000,0),11))</f>
        <v/>
      </c>
      <c r="Y276" t="str">
        <f t="array" ref="Y276">IF($A276="","",INDEX(JupData!$A$2:$K$10000,MATCH($A276&amp;Y$1,JupData!$A$2:$A$10000&amp;JupData!$J$2:$J$10000,0),11))</f>
        <v/>
      </c>
      <c r="Z276" t="str">
        <f t="array" ref="Z276">IF($A276="","",INDEX(JupData!$A$2:$K$10000,MATCH($A276&amp;Z$1,JupData!$A$2:$A$10000&amp;JupData!$J$2:$J$10000,0),11))</f>
        <v/>
      </c>
      <c r="AA276" t="str">
        <f t="array" ref="AA276">IF($A276="","",INDEX(JupData!$A$2:$K$10000,MATCH($A276&amp;AA$1,JupData!$A$2:$A$10000&amp;JupData!$J$2:$J$10000,0),11))</f>
        <v/>
      </c>
      <c r="AB276" t="str">
        <f t="array" ref="AB276">IF($A276="","",INDEX(JupData!$A$2:$K$10000,MATCH($A276&amp;AB$1,JupData!$A$2:$A$10000&amp;JupData!$J$2:$J$10000,0),11))</f>
        <v/>
      </c>
      <c r="AC276" s="10" t="str">
        <f t="shared" si="44"/>
        <v/>
      </c>
      <c r="AD276" s="10" t="str">
        <f t="shared" si="45"/>
        <v/>
      </c>
      <c r="AE276" s="9" t="str">
        <f t="shared" si="46"/>
        <v/>
      </c>
      <c r="AF276" s="10" t="str">
        <f t="shared" si="47"/>
        <v/>
      </c>
      <c r="AG276" s="10" t="str">
        <f t="shared" si="48"/>
        <v/>
      </c>
      <c r="AH276" s="10" t="str">
        <f t="shared" si="49"/>
        <v/>
      </c>
      <c r="AI276" s="10" t="str">
        <f t="shared" si="50"/>
        <v/>
      </c>
      <c r="AJ276" s="10" t="str">
        <f t="shared" si="51"/>
        <v/>
      </c>
      <c r="AK276" s="10" t="str">
        <f t="shared" si="52"/>
        <v/>
      </c>
      <c r="AL276" s="14" t="str">
        <f t="shared" si="53"/>
        <v/>
      </c>
    </row>
    <row r="277" spans="1:38" x14ac:dyDescent="0.2">
      <c r="A277"/>
      <c r="B277" t="str">
        <f>IF($A277="","",VLOOKUP($A277,JupData!$A$2:$I$10000,4,FALSE))</f>
        <v/>
      </c>
      <c r="C277" s="7" t="str">
        <f>IF($A277="",IF(N(D277),0,""),VLOOKUP($A277,JupData!$A$2:$I$10000,7,FALSE))</f>
        <v/>
      </c>
      <c r="D277" t="str">
        <f t="shared" si="54"/>
        <v/>
      </c>
      <c r="E277" t="str">
        <f t="array" ref="E277">IF($A277="","",INDEX(JupData!$A$2:$K$10000,MATCH($A277&amp;E$1,JupData!$A$2:$A$10000&amp;JupData!$J$2:$J$10000,0),11))</f>
        <v/>
      </c>
      <c r="F277" t="str">
        <f t="array" ref="F277">IF($A277="","",INDEX(JupData!$A$2:$K$10000,MATCH($A277&amp;F$1,JupData!$A$2:$A$10000&amp;JupData!$J$2:$J$10000,0),11))</f>
        <v/>
      </c>
      <c r="G277" t="str">
        <f t="array" ref="G277">IF($A277="","",INDEX(JupData!$A$2:$K$10000,MATCH($A277&amp;G$1,JupData!$A$2:$A$10000&amp;JupData!$J$2:$J$10000,0),11))</f>
        <v/>
      </c>
      <c r="H277" t="str">
        <f t="array" ref="H277">IF($A277="","",INDEX(JupData!$A$2:$K$10000,MATCH($A277&amp;H$1,JupData!$A$2:$A$10000&amp;JupData!$J$2:$J$10000,0),11))</f>
        <v/>
      </c>
      <c r="I277" t="str">
        <f t="array" ref="I277">IF($A277="","",INDEX(JupData!$A$2:$K$10000,MATCH($A277&amp;I$1,JupData!$A$2:$A$10000&amp;JupData!$J$2:$J$10000,0),11))</f>
        <v/>
      </c>
      <c r="J277" t="str">
        <f t="array" ref="J277">IF($A277="","",INDEX(JupData!$A$2:$K$10000,MATCH($A277&amp;J$1,JupData!$A$2:$A$10000&amp;JupData!$J$2:$J$10000,0),11))</f>
        <v/>
      </c>
      <c r="K277" t="str">
        <f t="array" ref="K277">IF($A277="","",INDEX(JupData!$A$2:$K$10000,MATCH($A277&amp;K$1,JupData!$A$2:$A$10000&amp;JupData!$J$2:$J$10000,0),11))</f>
        <v/>
      </c>
      <c r="L277" t="str">
        <f t="array" ref="L277">IF($A277="","",INDEX(JupData!$A$2:$K$10000,MATCH($A277&amp;L$1,JupData!$A$2:$A$10000&amp;JupData!$J$2:$J$10000,0),11))</f>
        <v/>
      </c>
      <c r="M277" t="str">
        <f t="array" ref="M277">IF($A277="","",INDEX(JupData!$A$2:$K$10000,MATCH($A277&amp;M$1,JupData!$A$2:$A$10000&amp;JupData!$J$2:$J$10000,0),11))</f>
        <v/>
      </c>
      <c r="N277" t="str">
        <f t="array" ref="N277">IF($A277="","",INDEX(JupData!$A$2:$K$10000,MATCH($A277&amp;N$1,JupData!$A$2:$A$10000&amp;JupData!$J$2:$J$10000,0),11))</f>
        <v/>
      </c>
      <c r="O277" t="str">
        <f t="array" ref="O277">IF($A277="","",INDEX(JupData!$A$2:$K$10000,MATCH($A277&amp;O$1,JupData!$A$2:$A$10000&amp;JupData!$J$2:$J$10000,0),11))</f>
        <v/>
      </c>
      <c r="P277" t="str">
        <f t="array" ref="P277">IF($A277="","",INDEX(JupData!$A$2:$K$10000,MATCH($A277&amp;P$1,JupData!$A$2:$A$10000&amp;JupData!$J$2:$J$10000,0),11))</f>
        <v/>
      </c>
      <c r="Q277" t="str">
        <f t="array" ref="Q277">IF($A277="","",INDEX(JupData!$A$2:$K$10000,MATCH($A277&amp;Q$1,JupData!$A$2:$A$10000&amp;JupData!$J$2:$J$10000,0),11))</f>
        <v/>
      </c>
      <c r="R277" t="str">
        <f t="array" ref="R277">IF($A277="","",INDEX(JupData!$A$2:$K$10000,MATCH($A277&amp;R$1,JupData!$A$2:$A$10000&amp;JupData!$J$2:$J$10000,0),11))</f>
        <v/>
      </c>
      <c r="S277" t="str">
        <f t="array" ref="S277">IF($A277="","",INDEX(JupData!$A$2:$K$10000,MATCH($A277&amp;S$1,JupData!$A$2:$A$10000&amp;JupData!$J$2:$J$10000,0),11))</f>
        <v/>
      </c>
      <c r="T277" t="str">
        <f t="array" ref="T277">IF($A277="","",INDEX(JupData!$A$2:$K$10000,MATCH($A277&amp;T$1,JupData!$A$2:$A$10000&amp;JupData!$J$2:$J$10000,0),11))</f>
        <v/>
      </c>
      <c r="U277" t="str">
        <f t="array" ref="U277">IF($A277="","",INDEX(JupData!$A$2:$K$10000,MATCH($A277&amp;U$1,JupData!$A$2:$A$10000&amp;JupData!$J$2:$J$10000,0),11))</f>
        <v/>
      </c>
      <c r="V277" t="str">
        <f t="array" ref="V277">IF($A277="","",INDEX(JupData!$A$2:$K$10000,MATCH($A277&amp;V$1,JupData!$A$2:$A$10000&amp;JupData!$J$2:$J$10000,0),11))</f>
        <v/>
      </c>
      <c r="W277" t="str">
        <f t="array" ref="W277">IF($A277="","",INDEX(JupData!$A$2:$K$10000,MATCH($A277&amp;W$1,JupData!$A$2:$A$10000&amp;JupData!$J$2:$J$10000,0),11))</f>
        <v/>
      </c>
      <c r="X277" t="str">
        <f t="array" ref="X277">IF($A277="","",INDEX(JupData!$A$2:$K$10000,MATCH($A277&amp;X$1,JupData!$A$2:$A$10000&amp;JupData!$J$2:$J$10000,0),11))</f>
        <v/>
      </c>
      <c r="Y277" t="str">
        <f t="array" ref="Y277">IF($A277="","",INDEX(JupData!$A$2:$K$10000,MATCH($A277&amp;Y$1,JupData!$A$2:$A$10000&amp;JupData!$J$2:$J$10000,0),11))</f>
        <v/>
      </c>
      <c r="Z277" t="str">
        <f t="array" ref="Z277">IF($A277="","",INDEX(JupData!$A$2:$K$10000,MATCH($A277&amp;Z$1,JupData!$A$2:$A$10000&amp;JupData!$J$2:$J$10000,0),11))</f>
        <v/>
      </c>
      <c r="AA277" t="str">
        <f t="array" ref="AA277">IF($A277="","",INDEX(JupData!$A$2:$K$10000,MATCH($A277&amp;AA$1,JupData!$A$2:$A$10000&amp;JupData!$J$2:$J$10000,0),11))</f>
        <v/>
      </c>
      <c r="AB277" t="str">
        <f t="array" ref="AB277">IF($A277="","",INDEX(JupData!$A$2:$K$10000,MATCH($A277&amp;AB$1,JupData!$A$2:$A$10000&amp;JupData!$J$2:$J$10000,0),11))</f>
        <v/>
      </c>
      <c r="AC277" s="10" t="str">
        <f t="shared" si="44"/>
        <v/>
      </c>
      <c r="AD277" s="10" t="str">
        <f t="shared" si="45"/>
        <v/>
      </c>
      <c r="AE277" s="9" t="str">
        <f t="shared" si="46"/>
        <v/>
      </c>
      <c r="AF277" s="10" t="str">
        <f t="shared" si="47"/>
        <v/>
      </c>
      <c r="AG277" s="10" t="str">
        <f t="shared" si="48"/>
        <v/>
      </c>
      <c r="AH277" s="10" t="str">
        <f t="shared" si="49"/>
        <v/>
      </c>
      <c r="AI277" s="10" t="str">
        <f t="shared" si="50"/>
        <v/>
      </c>
      <c r="AJ277" s="10" t="str">
        <f t="shared" si="51"/>
        <v/>
      </c>
      <c r="AK277" s="10" t="str">
        <f t="shared" si="52"/>
        <v/>
      </c>
      <c r="AL277" s="14" t="str">
        <f t="shared" si="53"/>
        <v/>
      </c>
    </row>
    <row r="278" spans="1:38" x14ac:dyDescent="0.2">
      <c r="A278"/>
      <c r="B278" t="str">
        <f>IF($A278="","",VLOOKUP($A278,JupData!$A$2:$I$10000,4,FALSE))</f>
        <v/>
      </c>
      <c r="C278" s="7" t="str">
        <f>IF($A278="",IF(N(D278),0,""),VLOOKUP($A278,JupData!$A$2:$I$10000,7,FALSE))</f>
        <v/>
      </c>
      <c r="D278" t="str">
        <f t="shared" si="54"/>
        <v/>
      </c>
      <c r="E278" t="str">
        <f t="array" ref="E278">IF($A278="","",INDEX(JupData!$A$2:$K$10000,MATCH($A278&amp;E$1,JupData!$A$2:$A$10000&amp;JupData!$J$2:$J$10000,0),11))</f>
        <v/>
      </c>
      <c r="F278" t="str">
        <f t="array" ref="F278">IF($A278="","",INDEX(JupData!$A$2:$K$10000,MATCH($A278&amp;F$1,JupData!$A$2:$A$10000&amp;JupData!$J$2:$J$10000,0),11))</f>
        <v/>
      </c>
      <c r="G278" t="str">
        <f t="array" ref="G278">IF($A278="","",INDEX(JupData!$A$2:$K$10000,MATCH($A278&amp;G$1,JupData!$A$2:$A$10000&amp;JupData!$J$2:$J$10000,0),11))</f>
        <v/>
      </c>
      <c r="H278" t="str">
        <f t="array" ref="H278">IF($A278="","",INDEX(JupData!$A$2:$K$10000,MATCH($A278&amp;H$1,JupData!$A$2:$A$10000&amp;JupData!$J$2:$J$10000,0),11))</f>
        <v/>
      </c>
      <c r="I278" t="str">
        <f t="array" ref="I278">IF($A278="","",INDEX(JupData!$A$2:$K$10000,MATCH($A278&amp;I$1,JupData!$A$2:$A$10000&amp;JupData!$J$2:$J$10000,0),11))</f>
        <v/>
      </c>
      <c r="J278" t="str">
        <f t="array" ref="J278">IF($A278="","",INDEX(JupData!$A$2:$K$10000,MATCH($A278&amp;J$1,JupData!$A$2:$A$10000&amp;JupData!$J$2:$J$10000,0),11))</f>
        <v/>
      </c>
      <c r="K278" t="str">
        <f t="array" ref="K278">IF($A278="","",INDEX(JupData!$A$2:$K$10000,MATCH($A278&amp;K$1,JupData!$A$2:$A$10000&amp;JupData!$J$2:$J$10000,0),11))</f>
        <v/>
      </c>
      <c r="L278" t="str">
        <f t="array" ref="L278">IF($A278="","",INDEX(JupData!$A$2:$K$10000,MATCH($A278&amp;L$1,JupData!$A$2:$A$10000&amp;JupData!$J$2:$J$10000,0),11))</f>
        <v/>
      </c>
      <c r="M278" t="str">
        <f t="array" ref="M278">IF($A278="","",INDEX(JupData!$A$2:$K$10000,MATCH($A278&amp;M$1,JupData!$A$2:$A$10000&amp;JupData!$J$2:$J$10000,0),11))</f>
        <v/>
      </c>
      <c r="N278" t="str">
        <f t="array" ref="N278">IF($A278="","",INDEX(JupData!$A$2:$K$10000,MATCH($A278&amp;N$1,JupData!$A$2:$A$10000&amp;JupData!$J$2:$J$10000,0),11))</f>
        <v/>
      </c>
      <c r="O278" t="str">
        <f t="array" ref="O278">IF($A278="","",INDEX(JupData!$A$2:$K$10000,MATCH($A278&amp;O$1,JupData!$A$2:$A$10000&amp;JupData!$J$2:$J$10000,0),11))</f>
        <v/>
      </c>
      <c r="P278" t="str">
        <f t="array" ref="P278">IF($A278="","",INDEX(JupData!$A$2:$K$10000,MATCH($A278&amp;P$1,JupData!$A$2:$A$10000&amp;JupData!$J$2:$J$10000,0),11))</f>
        <v/>
      </c>
      <c r="Q278" t="str">
        <f t="array" ref="Q278">IF($A278="","",INDEX(JupData!$A$2:$K$10000,MATCH($A278&amp;Q$1,JupData!$A$2:$A$10000&amp;JupData!$J$2:$J$10000,0),11))</f>
        <v/>
      </c>
      <c r="R278" t="str">
        <f t="array" ref="R278">IF($A278="","",INDEX(JupData!$A$2:$K$10000,MATCH($A278&amp;R$1,JupData!$A$2:$A$10000&amp;JupData!$J$2:$J$10000,0),11))</f>
        <v/>
      </c>
      <c r="S278" t="str">
        <f t="array" ref="S278">IF($A278="","",INDEX(JupData!$A$2:$K$10000,MATCH($A278&amp;S$1,JupData!$A$2:$A$10000&amp;JupData!$J$2:$J$10000,0),11))</f>
        <v/>
      </c>
      <c r="T278" t="str">
        <f t="array" ref="T278">IF($A278="","",INDEX(JupData!$A$2:$K$10000,MATCH($A278&amp;T$1,JupData!$A$2:$A$10000&amp;JupData!$J$2:$J$10000,0),11))</f>
        <v/>
      </c>
      <c r="U278" t="str">
        <f t="array" ref="U278">IF($A278="","",INDEX(JupData!$A$2:$K$10000,MATCH($A278&amp;U$1,JupData!$A$2:$A$10000&amp;JupData!$J$2:$J$10000,0),11))</f>
        <v/>
      </c>
      <c r="V278" t="str">
        <f t="array" ref="V278">IF($A278="","",INDEX(JupData!$A$2:$K$10000,MATCH($A278&amp;V$1,JupData!$A$2:$A$10000&amp;JupData!$J$2:$J$10000,0),11))</f>
        <v/>
      </c>
      <c r="W278" t="str">
        <f t="array" ref="W278">IF($A278="","",INDEX(JupData!$A$2:$K$10000,MATCH($A278&amp;W$1,JupData!$A$2:$A$10000&amp;JupData!$J$2:$J$10000,0),11))</f>
        <v/>
      </c>
      <c r="X278" t="str">
        <f t="array" ref="X278">IF($A278="","",INDEX(JupData!$A$2:$K$10000,MATCH($A278&amp;X$1,JupData!$A$2:$A$10000&amp;JupData!$J$2:$J$10000,0),11))</f>
        <v/>
      </c>
      <c r="Y278" t="str">
        <f t="array" ref="Y278">IF($A278="","",INDEX(JupData!$A$2:$K$10000,MATCH($A278&amp;Y$1,JupData!$A$2:$A$10000&amp;JupData!$J$2:$J$10000,0),11))</f>
        <v/>
      </c>
      <c r="Z278" t="str">
        <f t="array" ref="Z278">IF($A278="","",INDEX(JupData!$A$2:$K$10000,MATCH($A278&amp;Z$1,JupData!$A$2:$A$10000&amp;JupData!$J$2:$J$10000,0),11))</f>
        <v/>
      </c>
      <c r="AA278" t="str">
        <f t="array" ref="AA278">IF($A278="","",INDEX(JupData!$A$2:$K$10000,MATCH($A278&amp;AA$1,JupData!$A$2:$A$10000&amp;JupData!$J$2:$J$10000,0),11))</f>
        <v/>
      </c>
      <c r="AB278" t="str">
        <f t="array" ref="AB278">IF($A278="","",INDEX(JupData!$A$2:$K$10000,MATCH($A278&amp;AB$1,JupData!$A$2:$A$10000&amp;JupData!$J$2:$J$10000,0),11))</f>
        <v/>
      </c>
      <c r="AC278" s="10" t="str">
        <f t="shared" si="44"/>
        <v/>
      </c>
      <c r="AD278" s="10" t="str">
        <f t="shared" si="45"/>
        <v/>
      </c>
      <c r="AE278" s="9" t="str">
        <f t="shared" si="46"/>
        <v/>
      </c>
      <c r="AF278" s="10" t="str">
        <f t="shared" si="47"/>
        <v/>
      </c>
      <c r="AG278" s="10" t="str">
        <f t="shared" si="48"/>
        <v/>
      </c>
      <c r="AH278" s="10" t="str">
        <f t="shared" si="49"/>
        <v/>
      </c>
      <c r="AI278" s="10" t="str">
        <f t="shared" si="50"/>
        <v/>
      </c>
      <c r="AJ278" s="10" t="str">
        <f t="shared" si="51"/>
        <v/>
      </c>
      <c r="AK278" s="10" t="str">
        <f t="shared" si="52"/>
        <v/>
      </c>
      <c r="AL278" s="14" t="str">
        <f t="shared" si="53"/>
        <v/>
      </c>
    </row>
    <row r="279" spans="1:38" x14ac:dyDescent="0.2">
      <c r="A279"/>
      <c r="B279" t="str">
        <f>IF($A279="","",VLOOKUP($A279,JupData!$A$2:$I$10000,4,FALSE))</f>
        <v/>
      </c>
      <c r="C279" s="7" t="str">
        <f>IF($A279="",IF(N(D279),0,""),VLOOKUP($A279,JupData!$A$2:$I$10000,7,FALSE))</f>
        <v/>
      </c>
      <c r="D279" t="str">
        <f t="shared" si="54"/>
        <v/>
      </c>
      <c r="E279" t="str">
        <f t="array" ref="E279">IF($A279="","",INDEX(JupData!$A$2:$K$10000,MATCH($A279&amp;E$1,JupData!$A$2:$A$10000&amp;JupData!$J$2:$J$10000,0),11))</f>
        <v/>
      </c>
      <c r="F279" t="str">
        <f t="array" ref="F279">IF($A279="","",INDEX(JupData!$A$2:$K$10000,MATCH($A279&amp;F$1,JupData!$A$2:$A$10000&amp;JupData!$J$2:$J$10000,0),11))</f>
        <v/>
      </c>
      <c r="G279" t="str">
        <f t="array" ref="G279">IF($A279="","",INDEX(JupData!$A$2:$K$10000,MATCH($A279&amp;G$1,JupData!$A$2:$A$10000&amp;JupData!$J$2:$J$10000,0),11))</f>
        <v/>
      </c>
      <c r="H279" t="str">
        <f t="array" ref="H279">IF($A279="","",INDEX(JupData!$A$2:$K$10000,MATCH($A279&amp;H$1,JupData!$A$2:$A$10000&amp;JupData!$J$2:$J$10000,0),11))</f>
        <v/>
      </c>
      <c r="I279" t="str">
        <f t="array" ref="I279">IF($A279="","",INDEX(JupData!$A$2:$K$10000,MATCH($A279&amp;I$1,JupData!$A$2:$A$10000&amp;JupData!$J$2:$J$10000,0),11))</f>
        <v/>
      </c>
      <c r="J279" t="str">
        <f t="array" ref="J279">IF($A279="","",INDEX(JupData!$A$2:$K$10000,MATCH($A279&amp;J$1,JupData!$A$2:$A$10000&amp;JupData!$J$2:$J$10000,0),11))</f>
        <v/>
      </c>
      <c r="K279" t="str">
        <f t="array" ref="K279">IF($A279="","",INDEX(JupData!$A$2:$K$10000,MATCH($A279&amp;K$1,JupData!$A$2:$A$10000&amp;JupData!$J$2:$J$10000,0),11))</f>
        <v/>
      </c>
      <c r="L279" t="str">
        <f t="array" ref="L279">IF($A279="","",INDEX(JupData!$A$2:$K$10000,MATCH($A279&amp;L$1,JupData!$A$2:$A$10000&amp;JupData!$J$2:$J$10000,0),11))</f>
        <v/>
      </c>
      <c r="M279" t="str">
        <f t="array" ref="M279">IF($A279="","",INDEX(JupData!$A$2:$K$10000,MATCH($A279&amp;M$1,JupData!$A$2:$A$10000&amp;JupData!$J$2:$J$10000,0),11))</f>
        <v/>
      </c>
      <c r="N279" t="str">
        <f t="array" ref="N279">IF($A279="","",INDEX(JupData!$A$2:$K$10000,MATCH($A279&amp;N$1,JupData!$A$2:$A$10000&amp;JupData!$J$2:$J$10000,0),11))</f>
        <v/>
      </c>
      <c r="O279" t="str">
        <f t="array" ref="O279">IF($A279="","",INDEX(JupData!$A$2:$K$10000,MATCH($A279&amp;O$1,JupData!$A$2:$A$10000&amp;JupData!$J$2:$J$10000,0),11))</f>
        <v/>
      </c>
      <c r="P279" t="str">
        <f t="array" ref="P279">IF($A279="","",INDEX(JupData!$A$2:$K$10000,MATCH($A279&amp;P$1,JupData!$A$2:$A$10000&amp;JupData!$J$2:$J$10000,0),11))</f>
        <v/>
      </c>
      <c r="Q279" t="str">
        <f t="array" ref="Q279">IF($A279="","",INDEX(JupData!$A$2:$K$10000,MATCH($A279&amp;Q$1,JupData!$A$2:$A$10000&amp;JupData!$J$2:$J$10000,0),11))</f>
        <v/>
      </c>
      <c r="R279" t="str">
        <f t="array" ref="R279">IF($A279="","",INDEX(JupData!$A$2:$K$10000,MATCH($A279&amp;R$1,JupData!$A$2:$A$10000&amp;JupData!$J$2:$J$10000,0),11))</f>
        <v/>
      </c>
      <c r="S279" t="str">
        <f t="array" ref="S279">IF($A279="","",INDEX(JupData!$A$2:$K$10000,MATCH($A279&amp;S$1,JupData!$A$2:$A$10000&amp;JupData!$J$2:$J$10000,0),11))</f>
        <v/>
      </c>
      <c r="T279" t="str">
        <f t="array" ref="T279">IF($A279="","",INDEX(JupData!$A$2:$K$10000,MATCH($A279&amp;T$1,JupData!$A$2:$A$10000&amp;JupData!$J$2:$J$10000,0),11))</f>
        <v/>
      </c>
      <c r="U279" t="str">
        <f t="array" ref="U279">IF($A279="","",INDEX(JupData!$A$2:$K$10000,MATCH($A279&amp;U$1,JupData!$A$2:$A$10000&amp;JupData!$J$2:$J$10000,0),11))</f>
        <v/>
      </c>
      <c r="V279" t="str">
        <f t="array" ref="V279">IF($A279="","",INDEX(JupData!$A$2:$K$10000,MATCH($A279&amp;V$1,JupData!$A$2:$A$10000&amp;JupData!$J$2:$J$10000,0),11))</f>
        <v/>
      </c>
      <c r="W279" t="str">
        <f t="array" ref="W279">IF($A279="","",INDEX(JupData!$A$2:$K$10000,MATCH($A279&amp;W$1,JupData!$A$2:$A$10000&amp;JupData!$J$2:$J$10000,0),11))</f>
        <v/>
      </c>
      <c r="X279" t="str">
        <f t="array" ref="X279">IF($A279="","",INDEX(JupData!$A$2:$K$10000,MATCH($A279&amp;X$1,JupData!$A$2:$A$10000&amp;JupData!$J$2:$J$10000,0),11))</f>
        <v/>
      </c>
      <c r="Y279" t="str">
        <f t="array" ref="Y279">IF($A279="","",INDEX(JupData!$A$2:$K$10000,MATCH($A279&amp;Y$1,JupData!$A$2:$A$10000&amp;JupData!$J$2:$J$10000,0),11))</f>
        <v/>
      </c>
      <c r="Z279" t="str">
        <f t="array" ref="Z279">IF($A279="","",INDEX(JupData!$A$2:$K$10000,MATCH($A279&amp;Z$1,JupData!$A$2:$A$10000&amp;JupData!$J$2:$J$10000,0),11))</f>
        <v/>
      </c>
      <c r="AA279" t="str">
        <f t="array" ref="AA279">IF($A279="","",INDEX(JupData!$A$2:$K$10000,MATCH($A279&amp;AA$1,JupData!$A$2:$A$10000&amp;JupData!$J$2:$J$10000,0),11))</f>
        <v/>
      </c>
      <c r="AB279" t="str">
        <f t="array" ref="AB279">IF($A279="","",INDEX(JupData!$A$2:$K$10000,MATCH($A279&amp;AB$1,JupData!$A$2:$A$10000&amp;JupData!$J$2:$J$10000,0),11))</f>
        <v/>
      </c>
      <c r="AC279" s="10" t="str">
        <f t="shared" si="44"/>
        <v/>
      </c>
      <c r="AD279" s="10" t="str">
        <f t="shared" si="45"/>
        <v/>
      </c>
      <c r="AE279" s="9" t="str">
        <f t="shared" si="46"/>
        <v/>
      </c>
      <c r="AF279" s="10" t="str">
        <f t="shared" si="47"/>
        <v/>
      </c>
      <c r="AG279" s="10" t="str">
        <f t="shared" si="48"/>
        <v/>
      </c>
      <c r="AH279" s="10" t="str">
        <f t="shared" si="49"/>
        <v/>
      </c>
      <c r="AI279" s="10" t="str">
        <f t="shared" si="50"/>
        <v/>
      </c>
      <c r="AJ279" s="10" t="str">
        <f t="shared" si="51"/>
        <v/>
      </c>
      <c r="AK279" s="10" t="str">
        <f t="shared" si="52"/>
        <v/>
      </c>
      <c r="AL279" s="14" t="str">
        <f t="shared" si="53"/>
        <v/>
      </c>
    </row>
    <row r="280" spans="1:38" x14ac:dyDescent="0.2">
      <c r="A280"/>
      <c r="B280" t="str">
        <f>IF($A280="","",VLOOKUP($A280,JupData!$A$2:$I$10000,4,FALSE))</f>
        <v/>
      </c>
      <c r="C280" s="7" t="str">
        <f>IF($A280="",IF(N(D280),0,""),VLOOKUP($A280,JupData!$A$2:$I$10000,7,FALSE))</f>
        <v/>
      </c>
      <c r="D280" t="str">
        <f t="shared" si="54"/>
        <v/>
      </c>
      <c r="E280" t="str">
        <f t="array" ref="E280">IF($A280="","",INDEX(JupData!$A$2:$K$10000,MATCH($A280&amp;E$1,JupData!$A$2:$A$10000&amp;JupData!$J$2:$J$10000,0),11))</f>
        <v/>
      </c>
      <c r="F280" t="str">
        <f t="array" ref="F280">IF($A280="","",INDEX(JupData!$A$2:$K$10000,MATCH($A280&amp;F$1,JupData!$A$2:$A$10000&amp;JupData!$J$2:$J$10000,0),11))</f>
        <v/>
      </c>
      <c r="G280" t="str">
        <f t="array" ref="G280">IF($A280="","",INDEX(JupData!$A$2:$K$10000,MATCH($A280&amp;G$1,JupData!$A$2:$A$10000&amp;JupData!$J$2:$J$10000,0),11))</f>
        <v/>
      </c>
      <c r="H280" t="str">
        <f t="array" ref="H280">IF($A280="","",INDEX(JupData!$A$2:$K$10000,MATCH($A280&amp;H$1,JupData!$A$2:$A$10000&amp;JupData!$J$2:$J$10000,0),11))</f>
        <v/>
      </c>
      <c r="I280" t="str">
        <f t="array" ref="I280">IF($A280="","",INDEX(JupData!$A$2:$K$10000,MATCH($A280&amp;I$1,JupData!$A$2:$A$10000&amp;JupData!$J$2:$J$10000,0),11))</f>
        <v/>
      </c>
      <c r="J280" t="str">
        <f t="array" ref="J280">IF($A280="","",INDEX(JupData!$A$2:$K$10000,MATCH($A280&amp;J$1,JupData!$A$2:$A$10000&amp;JupData!$J$2:$J$10000,0),11))</f>
        <v/>
      </c>
      <c r="K280" t="str">
        <f t="array" ref="K280">IF($A280="","",INDEX(JupData!$A$2:$K$10000,MATCH($A280&amp;K$1,JupData!$A$2:$A$10000&amp;JupData!$J$2:$J$10000,0),11))</f>
        <v/>
      </c>
      <c r="L280" t="str">
        <f t="array" ref="L280">IF($A280="","",INDEX(JupData!$A$2:$K$10000,MATCH($A280&amp;L$1,JupData!$A$2:$A$10000&amp;JupData!$J$2:$J$10000,0),11))</f>
        <v/>
      </c>
      <c r="M280" t="str">
        <f t="array" ref="M280">IF($A280="","",INDEX(JupData!$A$2:$K$10000,MATCH($A280&amp;M$1,JupData!$A$2:$A$10000&amp;JupData!$J$2:$J$10000,0),11))</f>
        <v/>
      </c>
      <c r="N280" t="str">
        <f t="array" ref="N280">IF($A280="","",INDEX(JupData!$A$2:$K$10000,MATCH($A280&amp;N$1,JupData!$A$2:$A$10000&amp;JupData!$J$2:$J$10000,0),11))</f>
        <v/>
      </c>
      <c r="O280" t="str">
        <f t="array" ref="O280">IF($A280="","",INDEX(JupData!$A$2:$K$10000,MATCH($A280&amp;O$1,JupData!$A$2:$A$10000&amp;JupData!$J$2:$J$10000,0),11))</f>
        <v/>
      </c>
      <c r="P280" t="str">
        <f t="array" ref="P280">IF($A280="","",INDEX(JupData!$A$2:$K$10000,MATCH($A280&amp;P$1,JupData!$A$2:$A$10000&amp;JupData!$J$2:$J$10000,0),11))</f>
        <v/>
      </c>
      <c r="Q280" t="str">
        <f t="array" ref="Q280">IF($A280="","",INDEX(JupData!$A$2:$K$10000,MATCH($A280&amp;Q$1,JupData!$A$2:$A$10000&amp;JupData!$J$2:$J$10000,0),11))</f>
        <v/>
      </c>
      <c r="R280" t="str">
        <f t="array" ref="R280">IF($A280="","",INDEX(JupData!$A$2:$K$10000,MATCH($A280&amp;R$1,JupData!$A$2:$A$10000&amp;JupData!$J$2:$J$10000,0),11))</f>
        <v/>
      </c>
      <c r="S280" t="str">
        <f t="array" ref="S280">IF($A280="","",INDEX(JupData!$A$2:$K$10000,MATCH($A280&amp;S$1,JupData!$A$2:$A$10000&amp;JupData!$J$2:$J$10000,0),11))</f>
        <v/>
      </c>
      <c r="T280" t="str">
        <f t="array" ref="T280">IF($A280="","",INDEX(JupData!$A$2:$K$10000,MATCH($A280&amp;T$1,JupData!$A$2:$A$10000&amp;JupData!$J$2:$J$10000,0),11))</f>
        <v/>
      </c>
      <c r="U280" t="str">
        <f t="array" ref="U280">IF($A280="","",INDEX(JupData!$A$2:$K$10000,MATCH($A280&amp;U$1,JupData!$A$2:$A$10000&amp;JupData!$J$2:$J$10000,0),11))</f>
        <v/>
      </c>
      <c r="V280" t="str">
        <f t="array" ref="V280">IF($A280="","",INDEX(JupData!$A$2:$K$10000,MATCH($A280&amp;V$1,JupData!$A$2:$A$10000&amp;JupData!$J$2:$J$10000,0),11))</f>
        <v/>
      </c>
      <c r="W280" t="str">
        <f t="array" ref="W280">IF($A280="","",INDEX(JupData!$A$2:$K$10000,MATCH($A280&amp;W$1,JupData!$A$2:$A$10000&amp;JupData!$J$2:$J$10000,0),11))</f>
        <v/>
      </c>
      <c r="X280" t="str">
        <f t="array" ref="X280">IF($A280="","",INDEX(JupData!$A$2:$K$10000,MATCH($A280&amp;X$1,JupData!$A$2:$A$10000&amp;JupData!$J$2:$J$10000,0),11))</f>
        <v/>
      </c>
      <c r="Y280" t="str">
        <f t="array" ref="Y280">IF($A280="","",INDEX(JupData!$A$2:$K$10000,MATCH($A280&amp;Y$1,JupData!$A$2:$A$10000&amp;JupData!$J$2:$J$10000,0),11))</f>
        <v/>
      </c>
      <c r="Z280" t="str">
        <f t="array" ref="Z280">IF($A280="","",INDEX(JupData!$A$2:$K$10000,MATCH($A280&amp;Z$1,JupData!$A$2:$A$10000&amp;JupData!$J$2:$J$10000,0),11))</f>
        <v/>
      </c>
      <c r="AA280" t="str">
        <f t="array" ref="AA280">IF($A280="","",INDEX(JupData!$A$2:$K$10000,MATCH($A280&amp;AA$1,JupData!$A$2:$A$10000&amp;JupData!$J$2:$J$10000,0),11))</f>
        <v/>
      </c>
      <c r="AB280" t="str">
        <f t="array" ref="AB280">IF($A280="","",INDEX(JupData!$A$2:$K$10000,MATCH($A280&amp;AB$1,JupData!$A$2:$A$10000&amp;JupData!$J$2:$J$10000,0),11))</f>
        <v/>
      </c>
      <c r="AC280" s="10" t="str">
        <f t="shared" si="44"/>
        <v/>
      </c>
      <c r="AD280" s="10" t="str">
        <f t="shared" si="45"/>
        <v/>
      </c>
      <c r="AE280" s="9" t="str">
        <f t="shared" si="46"/>
        <v/>
      </c>
      <c r="AF280" s="10" t="str">
        <f t="shared" si="47"/>
        <v/>
      </c>
      <c r="AG280" s="10" t="str">
        <f t="shared" si="48"/>
        <v/>
      </c>
      <c r="AH280" s="10" t="str">
        <f t="shared" si="49"/>
        <v/>
      </c>
      <c r="AI280" s="10" t="str">
        <f t="shared" si="50"/>
        <v/>
      </c>
      <c r="AJ280" s="10" t="str">
        <f t="shared" si="51"/>
        <v/>
      </c>
      <c r="AK280" s="10" t="str">
        <f t="shared" si="52"/>
        <v/>
      </c>
      <c r="AL280" s="14" t="str">
        <f t="shared" si="53"/>
        <v/>
      </c>
    </row>
    <row r="281" spans="1:38" x14ac:dyDescent="0.2">
      <c r="A281"/>
      <c r="B281" t="str">
        <f>IF($A281="","",VLOOKUP($A281,JupData!$A$2:$I$10000,4,FALSE))</f>
        <v/>
      </c>
      <c r="C281" s="7" t="str">
        <f>IF($A281="",IF(N(D281),0,""),VLOOKUP($A281,JupData!$A$2:$I$10000,7,FALSE))</f>
        <v/>
      </c>
      <c r="D281" t="str">
        <f t="shared" si="54"/>
        <v/>
      </c>
      <c r="E281" t="str">
        <f t="array" ref="E281">IF($A281="","",INDEX(JupData!$A$2:$K$10000,MATCH($A281&amp;E$1,JupData!$A$2:$A$10000&amp;JupData!$J$2:$J$10000,0),11))</f>
        <v/>
      </c>
      <c r="F281" t="str">
        <f t="array" ref="F281">IF($A281="","",INDEX(JupData!$A$2:$K$10000,MATCH($A281&amp;F$1,JupData!$A$2:$A$10000&amp;JupData!$J$2:$J$10000,0),11))</f>
        <v/>
      </c>
      <c r="G281" t="str">
        <f t="array" ref="G281">IF($A281="","",INDEX(JupData!$A$2:$K$10000,MATCH($A281&amp;G$1,JupData!$A$2:$A$10000&amp;JupData!$J$2:$J$10000,0),11))</f>
        <v/>
      </c>
      <c r="H281" t="str">
        <f t="array" ref="H281">IF($A281="","",INDEX(JupData!$A$2:$K$10000,MATCH($A281&amp;H$1,JupData!$A$2:$A$10000&amp;JupData!$J$2:$J$10000,0),11))</f>
        <v/>
      </c>
      <c r="I281" t="str">
        <f t="array" ref="I281">IF($A281="","",INDEX(JupData!$A$2:$K$10000,MATCH($A281&amp;I$1,JupData!$A$2:$A$10000&amp;JupData!$J$2:$J$10000,0),11))</f>
        <v/>
      </c>
      <c r="J281" t="str">
        <f t="array" ref="J281">IF($A281="","",INDEX(JupData!$A$2:$K$10000,MATCH($A281&amp;J$1,JupData!$A$2:$A$10000&amp;JupData!$J$2:$J$10000,0),11))</f>
        <v/>
      </c>
      <c r="K281" t="str">
        <f t="array" ref="K281">IF($A281="","",INDEX(JupData!$A$2:$K$10000,MATCH($A281&amp;K$1,JupData!$A$2:$A$10000&amp;JupData!$J$2:$J$10000,0),11))</f>
        <v/>
      </c>
      <c r="L281" t="str">
        <f t="array" ref="L281">IF($A281="","",INDEX(JupData!$A$2:$K$10000,MATCH($A281&amp;L$1,JupData!$A$2:$A$10000&amp;JupData!$J$2:$J$10000,0),11))</f>
        <v/>
      </c>
      <c r="M281" t="str">
        <f t="array" ref="M281">IF($A281="","",INDEX(JupData!$A$2:$K$10000,MATCH($A281&amp;M$1,JupData!$A$2:$A$10000&amp;JupData!$J$2:$J$10000,0),11))</f>
        <v/>
      </c>
      <c r="N281" t="str">
        <f t="array" ref="N281">IF($A281="","",INDEX(JupData!$A$2:$K$10000,MATCH($A281&amp;N$1,JupData!$A$2:$A$10000&amp;JupData!$J$2:$J$10000,0),11))</f>
        <v/>
      </c>
      <c r="O281" t="str">
        <f t="array" ref="O281">IF($A281="","",INDEX(JupData!$A$2:$K$10000,MATCH($A281&amp;O$1,JupData!$A$2:$A$10000&amp;JupData!$J$2:$J$10000,0),11))</f>
        <v/>
      </c>
      <c r="P281" t="str">
        <f t="array" ref="P281">IF($A281="","",INDEX(JupData!$A$2:$K$10000,MATCH($A281&amp;P$1,JupData!$A$2:$A$10000&amp;JupData!$J$2:$J$10000,0),11))</f>
        <v/>
      </c>
      <c r="Q281" t="str">
        <f t="array" ref="Q281">IF($A281="","",INDEX(JupData!$A$2:$K$10000,MATCH($A281&amp;Q$1,JupData!$A$2:$A$10000&amp;JupData!$J$2:$J$10000,0),11))</f>
        <v/>
      </c>
      <c r="R281" t="str">
        <f t="array" ref="R281">IF($A281="","",INDEX(JupData!$A$2:$K$10000,MATCH($A281&amp;R$1,JupData!$A$2:$A$10000&amp;JupData!$J$2:$J$10000,0),11))</f>
        <v/>
      </c>
      <c r="S281" t="str">
        <f t="array" ref="S281">IF($A281="","",INDEX(JupData!$A$2:$K$10000,MATCH($A281&amp;S$1,JupData!$A$2:$A$10000&amp;JupData!$J$2:$J$10000,0),11))</f>
        <v/>
      </c>
      <c r="T281" t="str">
        <f t="array" ref="T281">IF($A281="","",INDEX(JupData!$A$2:$K$10000,MATCH($A281&amp;T$1,JupData!$A$2:$A$10000&amp;JupData!$J$2:$J$10000,0),11))</f>
        <v/>
      </c>
      <c r="U281" t="str">
        <f t="array" ref="U281">IF($A281="","",INDEX(JupData!$A$2:$K$10000,MATCH($A281&amp;U$1,JupData!$A$2:$A$10000&amp;JupData!$J$2:$J$10000,0),11))</f>
        <v/>
      </c>
      <c r="V281" t="str">
        <f t="array" ref="V281">IF($A281="","",INDEX(JupData!$A$2:$K$10000,MATCH($A281&amp;V$1,JupData!$A$2:$A$10000&amp;JupData!$J$2:$J$10000,0),11))</f>
        <v/>
      </c>
      <c r="W281" t="str">
        <f t="array" ref="W281">IF($A281="","",INDEX(JupData!$A$2:$K$10000,MATCH($A281&amp;W$1,JupData!$A$2:$A$10000&amp;JupData!$J$2:$J$10000,0),11))</f>
        <v/>
      </c>
      <c r="X281" t="str">
        <f t="array" ref="X281">IF($A281="","",INDEX(JupData!$A$2:$K$10000,MATCH($A281&amp;X$1,JupData!$A$2:$A$10000&amp;JupData!$J$2:$J$10000,0),11))</f>
        <v/>
      </c>
      <c r="Y281" t="str">
        <f t="array" ref="Y281">IF($A281="","",INDEX(JupData!$A$2:$K$10000,MATCH($A281&amp;Y$1,JupData!$A$2:$A$10000&amp;JupData!$J$2:$J$10000,0),11))</f>
        <v/>
      </c>
      <c r="Z281" t="str">
        <f t="array" ref="Z281">IF($A281="","",INDEX(JupData!$A$2:$K$10000,MATCH($A281&amp;Z$1,JupData!$A$2:$A$10000&amp;JupData!$J$2:$J$10000,0),11))</f>
        <v/>
      </c>
      <c r="AA281" t="str">
        <f t="array" ref="AA281">IF($A281="","",INDEX(JupData!$A$2:$K$10000,MATCH($A281&amp;AA$1,JupData!$A$2:$A$10000&amp;JupData!$J$2:$J$10000,0),11))</f>
        <v/>
      </c>
      <c r="AB281" t="str">
        <f t="array" ref="AB281">IF($A281="","",INDEX(JupData!$A$2:$K$10000,MATCH($A281&amp;AB$1,JupData!$A$2:$A$10000&amp;JupData!$J$2:$J$10000,0),11))</f>
        <v/>
      </c>
      <c r="AC281" s="10" t="str">
        <f t="shared" si="44"/>
        <v/>
      </c>
      <c r="AD281" s="10" t="str">
        <f t="shared" si="45"/>
        <v/>
      </c>
      <c r="AE281" s="9" t="str">
        <f t="shared" si="46"/>
        <v/>
      </c>
      <c r="AF281" s="10" t="str">
        <f t="shared" si="47"/>
        <v/>
      </c>
      <c r="AG281" s="10" t="str">
        <f t="shared" si="48"/>
        <v/>
      </c>
      <c r="AH281" s="10" t="str">
        <f t="shared" si="49"/>
        <v/>
      </c>
      <c r="AI281" s="10" t="str">
        <f t="shared" si="50"/>
        <v/>
      </c>
      <c r="AJ281" s="10" t="str">
        <f t="shared" si="51"/>
        <v/>
      </c>
      <c r="AK281" s="10" t="str">
        <f t="shared" si="52"/>
        <v/>
      </c>
      <c r="AL281" s="14" t="str">
        <f t="shared" si="53"/>
        <v/>
      </c>
    </row>
    <row r="282" spans="1:38" x14ac:dyDescent="0.2">
      <c r="A282"/>
      <c r="B282" t="str">
        <f>IF($A282="","",VLOOKUP($A282,JupData!$A$2:$I$10000,4,FALSE))</f>
        <v/>
      </c>
      <c r="C282" s="7" t="str">
        <f>IF($A282="",IF(N(D282),0,""),VLOOKUP($A282,JupData!$A$2:$I$10000,7,FALSE))</f>
        <v/>
      </c>
      <c r="D282" t="str">
        <f t="shared" si="54"/>
        <v/>
      </c>
      <c r="E282" t="str">
        <f t="array" ref="E282">IF($A282="","",INDEX(JupData!$A$2:$K$10000,MATCH($A282&amp;E$1,JupData!$A$2:$A$10000&amp;JupData!$J$2:$J$10000,0),11))</f>
        <v/>
      </c>
      <c r="F282" t="str">
        <f t="array" ref="F282">IF($A282="","",INDEX(JupData!$A$2:$K$10000,MATCH($A282&amp;F$1,JupData!$A$2:$A$10000&amp;JupData!$J$2:$J$10000,0),11))</f>
        <v/>
      </c>
      <c r="G282" t="str">
        <f t="array" ref="G282">IF($A282="","",INDEX(JupData!$A$2:$K$10000,MATCH($A282&amp;G$1,JupData!$A$2:$A$10000&amp;JupData!$J$2:$J$10000,0),11))</f>
        <v/>
      </c>
      <c r="H282" t="str">
        <f t="array" ref="H282">IF($A282="","",INDEX(JupData!$A$2:$K$10000,MATCH($A282&amp;H$1,JupData!$A$2:$A$10000&amp;JupData!$J$2:$J$10000,0),11))</f>
        <v/>
      </c>
      <c r="I282" t="str">
        <f t="array" ref="I282">IF($A282="","",INDEX(JupData!$A$2:$K$10000,MATCH($A282&amp;I$1,JupData!$A$2:$A$10000&amp;JupData!$J$2:$J$10000,0),11))</f>
        <v/>
      </c>
      <c r="J282" t="str">
        <f t="array" ref="J282">IF($A282="","",INDEX(JupData!$A$2:$K$10000,MATCH($A282&amp;J$1,JupData!$A$2:$A$10000&amp;JupData!$J$2:$J$10000,0),11))</f>
        <v/>
      </c>
      <c r="K282" t="str">
        <f t="array" ref="K282">IF($A282="","",INDEX(JupData!$A$2:$K$10000,MATCH($A282&amp;K$1,JupData!$A$2:$A$10000&amp;JupData!$J$2:$J$10000,0),11))</f>
        <v/>
      </c>
      <c r="L282" t="str">
        <f t="array" ref="L282">IF($A282="","",INDEX(JupData!$A$2:$K$10000,MATCH($A282&amp;L$1,JupData!$A$2:$A$10000&amp;JupData!$J$2:$J$10000,0),11))</f>
        <v/>
      </c>
      <c r="M282" t="str">
        <f t="array" ref="M282">IF($A282="","",INDEX(JupData!$A$2:$K$10000,MATCH($A282&amp;M$1,JupData!$A$2:$A$10000&amp;JupData!$J$2:$J$10000,0),11))</f>
        <v/>
      </c>
      <c r="N282" t="str">
        <f t="array" ref="N282">IF($A282="","",INDEX(JupData!$A$2:$K$10000,MATCH($A282&amp;N$1,JupData!$A$2:$A$10000&amp;JupData!$J$2:$J$10000,0),11))</f>
        <v/>
      </c>
      <c r="O282" t="str">
        <f t="array" ref="O282">IF($A282="","",INDEX(JupData!$A$2:$K$10000,MATCH($A282&amp;O$1,JupData!$A$2:$A$10000&amp;JupData!$J$2:$J$10000,0),11))</f>
        <v/>
      </c>
      <c r="P282" t="str">
        <f t="array" ref="P282">IF($A282="","",INDEX(JupData!$A$2:$K$10000,MATCH($A282&amp;P$1,JupData!$A$2:$A$10000&amp;JupData!$J$2:$J$10000,0),11))</f>
        <v/>
      </c>
      <c r="Q282" t="str">
        <f t="array" ref="Q282">IF($A282="","",INDEX(JupData!$A$2:$K$10000,MATCH($A282&amp;Q$1,JupData!$A$2:$A$10000&amp;JupData!$J$2:$J$10000,0),11))</f>
        <v/>
      </c>
      <c r="R282" t="str">
        <f t="array" ref="R282">IF($A282="","",INDEX(JupData!$A$2:$K$10000,MATCH($A282&amp;R$1,JupData!$A$2:$A$10000&amp;JupData!$J$2:$J$10000,0),11))</f>
        <v/>
      </c>
      <c r="S282" t="str">
        <f t="array" ref="S282">IF($A282="","",INDEX(JupData!$A$2:$K$10000,MATCH($A282&amp;S$1,JupData!$A$2:$A$10000&amp;JupData!$J$2:$J$10000,0),11))</f>
        <v/>
      </c>
      <c r="T282" t="str">
        <f t="array" ref="T282">IF($A282="","",INDEX(JupData!$A$2:$K$10000,MATCH($A282&amp;T$1,JupData!$A$2:$A$10000&amp;JupData!$J$2:$J$10000,0),11))</f>
        <v/>
      </c>
      <c r="U282" t="str">
        <f t="array" ref="U282">IF($A282="","",INDEX(JupData!$A$2:$K$10000,MATCH($A282&amp;U$1,JupData!$A$2:$A$10000&amp;JupData!$J$2:$J$10000,0),11))</f>
        <v/>
      </c>
      <c r="V282" t="str">
        <f t="array" ref="V282">IF($A282="","",INDEX(JupData!$A$2:$K$10000,MATCH($A282&amp;V$1,JupData!$A$2:$A$10000&amp;JupData!$J$2:$J$10000,0),11))</f>
        <v/>
      </c>
      <c r="W282" t="str">
        <f t="array" ref="W282">IF($A282="","",INDEX(JupData!$A$2:$K$10000,MATCH($A282&amp;W$1,JupData!$A$2:$A$10000&amp;JupData!$J$2:$J$10000,0),11))</f>
        <v/>
      </c>
      <c r="X282" t="str">
        <f t="array" ref="X282">IF($A282="","",INDEX(JupData!$A$2:$K$10000,MATCH($A282&amp;X$1,JupData!$A$2:$A$10000&amp;JupData!$J$2:$J$10000,0),11))</f>
        <v/>
      </c>
      <c r="Y282" t="str">
        <f t="array" ref="Y282">IF($A282="","",INDEX(JupData!$A$2:$K$10000,MATCH($A282&amp;Y$1,JupData!$A$2:$A$10000&amp;JupData!$J$2:$J$10000,0),11))</f>
        <v/>
      </c>
      <c r="Z282" t="str">
        <f t="array" ref="Z282">IF($A282="","",INDEX(JupData!$A$2:$K$10000,MATCH($A282&amp;Z$1,JupData!$A$2:$A$10000&amp;JupData!$J$2:$J$10000,0),11))</f>
        <v/>
      </c>
      <c r="AA282" t="str">
        <f t="array" ref="AA282">IF($A282="","",INDEX(JupData!$A$2:$K$10000,MATCH($A282&amp;AA$1,JupData!$A$2:$A$10000&amp;JupData!$J$2:$J$10000,0),11))</f>
        <v/>
      </c>
      <c r="AB282" t="str">
        <f t="array" ref="AB282">IF($A282="","",INDEX(JupData!$A$2:$K$10000,MATCH($A282&amp;AB$1,JupData!$A$2:$A$10000&amp;JupData!$J$2:$J$10000,0),11))</f>
        <v/>
      </c>
      <c r="AC282" s="10" t="str">
        <f t="shared" si="44"/>
        <v/>
      </c>
      <c r="AD282" s="10" t="str">
        <f t="shared" si="45"/>
        <v/>
      </c>
      <c r="AE282" s="9" t="str">
        <f t="shared" si="46"/>
        <v/>
      </c>
      <c r="AF282" s="10" t="str">
        <f t="shared" si="47"/>
        <v/>
      </c>
      <c r="AG282" s="10" t="str">
        <f t="shared" si="48"/>
        <v/>
      </c>
      <c r="AH282" s="10" t="str">
        <f t="shared" si="49"/>
        <v/>
      </c>
      <c r="AI282" s="10" t="str">
        <f t="shared" si="50"/>
        <v/>
      </c>
      <c r="AJ282" s="10" t="str">
        <f t="shared" si="51"/>
        <v/>
      </c>
      <c r="AK282" s="10" t="str">
        <f t="shared" si="52"/>
        <v/>
      </c>
      <c r="AL282" s="14" t="str">
        <f t="shared" si="53"/>
        <v/>
      </c>
    </row>
    <row r="283" spans="1:38" x14ac:dyDescent="0.2">
      <c r="A283"/>
      <c r="B283" t="str">
        <f>IF($A283="","",VLOOKUP($A283,JupData!$A$2:$I$10000,4,FALSE))</f>
        <v/>
      </c>
      <c r="C283" s="7" t="str">
        <f>IF($A283="",IF(N(D283),0,""),VLOOKUP($A283,JupData!$A$2:$I$10000,7,FALSE))</f>
        <v/>
      </c>
      <c r="D283" t="str">
        <f t="shared" si="54"/>
        <v/>
      </c>
      <c r="E283" t="str">
        <f t="array" ref="E283">IF($A283="","",INDEX(JupData!$A$2:$K$10000,MATCH($A283&amp;E$1,JupData!$A$2:$A$10000&amp;JupData!$J$2:$J$10000,0),11))</f>
        <v/>
      </c>
      <c r="F283" t="str">
        <f t="array" ref="F283">IF($A283="","",INDEX(JupData!$A$2:$K$10000,MATCH($A283&amp;F$1,JupData!$A$2:$A$10000&amp;JupData!$J$2:$J$10000,0),11))</f>
        <v/>
      </c>
      <c r="G283" t="str">
        <f t="array" ref="G283">IF($A283="","",INDEX(JupData!$A$2:$K$10000,MATCH($A283&amp;G$1,JupData!$A$2:$A$10000&amp;JupData!$J$2:$J$10000,0),11))</f>
        <v/>
      </c>
      <c r="H283" t="str">
        <f t="array" ref="H283">IF($A283="","",INDEX(JupData!$A$2:$K$10000,MATCH($A283&amp;H$1,JupData!$A$2:$A$10000&amp;JupData!$J$2:$J$10000,0),11))</f>
        <v/>
      </c>
      <c r="I283" t="str">
        <f t="array" ref="I283">IF($A283="","",INDEX(JupData!$A$2:$K$10000,MATCH($A283&amp;I$1,JupData!$A$2:$A$10000&amp;JupData!$J$2:$J$10000,0),11))</f>
        <v/>
      </c>
      <c r="J283" t="str">
        <f t="array" ref="J283">IF($A283="","",INDEX(JupData!$A$2:$K$10000,MATCH($A283&amp;J$1,JupData!$A$2:$A$10000&amp;JupData!$J$2:$J$10000,0),11))</f>
        <v/>
      </c>
      <c r="K283" t="str">
        <f t="array" ref="K283">IF($A283="","",INDEX(JupData!$A$2:$K$10000,MATCH($A283&amp;K$1,JupData!$A$2:$A$10000&amp;JupData!$J$2:$J$10000,0),11))</f>
        <v/>
      </c>
      <c r="L283" t="str">
        <f t="array" ref="L283">IF($A283="","",INDEX(JupData!$A$2:$K$10000,MATCH($A283&amp;L$1,JupData!$A$2:$A$10000&amp;JupData!$J$2:$J$10000,0),11))</f>
        <v/>
      </c>
      <c r="M283" t="str">
        <f t="array" ref="M283">IF($A283="","",INDEX(JupData!$A$2:$K$10000,MATCH($A283&amp;M$1,JupData!$A$2:$A$10000&amp;JupData!$J$2:$J$10000,0),11))</f>
        <v/>
      </c>
      <c r="N283" t="str">
        <f t="array" ref="N283">IF($A283="","",INDEX(JupData!$A$2:$K$10000,MATCH($A283&amp;N$1,JupData!$A$2:$A$10000&amp;JupData!$J$2:$J$10000,0),11))</f>
        <v/>
      </c>
      <c r="O283" t="str">
        <f t="array" ref="O283">IF($A283="","",INDEX(JupData!$A$2:$K$10000,MATCH($A283&amp;O$1,JupData!$A$2:$A$10000&amp;JupData!$J$2:$J$10000,0),11))</f>
        <v/>
      </c>
      <c r="P283" t="str">
        <f t="array" ref="P283">IF($A283="","",INDEX(JupData!$A$2:$K$10000,MATCH($A283&amp;P$1,JupData!$A$2:$A$10000&amp;JupData!$J$2:$J$10000,0),11))</f>
        <v/>
      </c>
      <c r="Q283" t="str">
        <f t="array" ref="Q283">IF($A283="","",INDEX(JupData!$A$2:$K$10000,MATCH($A283&amp;Q$1,JupData!$A$2:$A$10000&amp;JupData!$J$2:$J$10000,0),11))</f>
        <v/>
      </c>
      <c r="R283" t="str">
        <f t="array" ref="R283">IF($A283="","",INDEX(JupData!$A$2:$K$10000,MATCH($A283&amp;R$1,JupData!$A$2:$A$10000&amp;JupData!$J$2:$J$10000,0),11))</f>
        <v/>
      </c>
      <c r="S283" t="str">
        <f t="array" ref="S283">IF($A283="","",INDEX(JupData!$A$2:$K$10000,MATCH($A283&amp;S$1,JupData!$A$2:$A$10000&amp;JupData!$J$2:$J$10000,0),11))</f>
        <v/>
      </c>
      <c r="T283" t="str">
        <f t="array" ref="T283">IF($A283="","",INDEX(JupData!$A$2:$K$10000,MATCH($A283&amp;T$1,JupData!$A$2:$A$10000&amp;JupData!$J$2:$J$10000,0),11))</f>
        <v/>
      </c>
      <c r="U283" t="str">
        <f t="array" ref="U283">IF($A283="","",INDEX(JupData!$A$2:$K$10000,MATCH($A283&amp;U$1,JupData!$A$2:$A$10000&amp;JupData!$J$2:$J$10000,0),11))</f>
        <v/>
      </c>
      <c r="V283" t="str">
        <f t="array" ref="V283">IF($A283="","",INDEX(JupData!$A$2:$K$10000,MATCH($A283&amp;V$1,JupData!$A$2:$A$10000&amp;JupData!$J$2:$J$10000,0),11))</f>
        <v/>
      </c>
      <c r="W283" t="str">
        <f t="array" ref="W283">IF($A283="","",INDEX(JupData!$A$2:$K$10000,MATCH($A283&amp;W$1,JupData!$A$2:$A$10000&amp;JupData!$J$2:$J$10000,0),11))</f>
        <v/>
      </c>
      <c r="X283" t="str">
        <f t="array" ref="X283">IF($A283="","",INDEX(JupData!$A$2:$K$10000,MATCH($A283&amp;X$1,JupData!$A$2:$A$10000&amp;JupData!$J$2:$J$10000,0),11))</f>
        <v/>
      </c>
      <c r="Y283" t="str">
        <f t="array" ref="Y283">IF($A283="","",INDEX(JupData!$A$2:$K$10000,MATCH($A283&amp;Y$1,JupData!$A$2:$A$10000&amp;JupData!$J$2:$J$10000,0),11))</f>
        <v/>
      </c>
      <c r="Z283" t="str">
        <f t="array" ref="Z283">IF($A283="","",INDEX(JupData!$A$2:$K$10000,MATCH($A283&amp;Z$1,JupData!$A$2:$A$10000&amp;JupData!$J$2:$J$10000,0),11))</f>
        <v/>
      </c>
      <c r="AA283" t="str">
        <f t="array" ref="AA283">IF($A283="","",INDEX(JupData!$A$2:$K$10000,MATCH($A283&amp;AA$1,JupData!$A$2:$A$10000&amp;JupData!$J$2:$J$10000,0),11))</f>
        <v/>
      </c>
      <c r="AB283" t="str">
        <f t="array" ref="AB283">IF($A283="","",INDEX(JupData!$A$2:$K$10000,MATCH($A283&amp;AB$1,JupData!$A$2:$A$10000&amp;JupData!$J$2:$J$10000,0),11))</f>
        <v/>
      </c>
      <c r="AC283" s="10" t="str">
        <f t="shared" si="44"/>
        <v/>
      </c>
      <c r="AD283" s="10" t="str">
        <f t="shared" si="45"/>
        <v/>
      </c>
      <c r="AE283" s="9" t="str">
        <f t="shared" si="46"/>
        <v/>
      </c>
      <c r="AF283" s="10" t="str">
        <f t="shared" si="47"/>
        <v/>
      </c>
      <c r="AG283" s="10" t="str">
        <f t="shared" si="48"/>
        <v/>
      </c>
      <c r="AH283" s="10" t="str">
        <f t="shared" si="49"/>
        <v/>
      </c>
      <c r="AI283" s="10" t="str">
        <f t="shared" si="50"/>
        <v/>
      </c>
      <c r="AJ283" s="10" t="str">
        <f t="shared" si="51"/>
        <v/>
      </c>
      <c r="AK283" s="10" t="str">
        <f t="shared" si="52"/>
        <v/>
      </c>
      <c r="AL283" s="14" t="str">
        <f t="shared" si="53"/>
        <v/>
      </c>
    </row>
    <row r="284" spans="1:38" x14ac:dyDescent="0.2">
      <c r="A284"/>
      <c r="B284" t="str">
        <f>IF($A284="","",VLOOKUP($A284,JupData!$A$2:$I$10000,4,FALSE))</f>
        <v/>
      </c>
      <c r="C284" s="7" t="str">
        <f>IF($A284="",IF(N(D284),0,""),VLOOKUP($A284,JupData!$A$2:$I$10000,7,FALSE))</f>
        <v/>
      </c>
      <c r="D284" t="str">
        <f t="shared" si="54"/>
        <v/>
      </c>
      <c r="E284" t="str">
        <f t="array" ref="E284">IF($A284="","",INDEX(JupData!$A$2:$K$10000,MATCH($A284&amp;E$1,JupData!$A$2:$A$10000&amp;JupData!$J$2:$J$10000,0),11))</f>
        <v/>
      </c>
      <c r="F284" t="str">
        <f t="array" ref="F284">IF($A284="","",INDEX(JupData!$A$2:$K$10000,MATCH($A284&amp;F$1,JupData!$A$2:$A$10000&amp;JupData!$J$2:$J$10000,0),11))</f>
        <v/>
      </c>
      <c r="G284" t="str">
        <f t="array" ref="G284">IF($A284="","",INDEX(JupData!$A$2:$K$10000,MATCH($A284&amp;G$1,JupData!$A$2:$A$10000&amp;JupData!$J$2:$J$10000,0),11))</f>
        <v/>
      </c>
      <c r="H284" t="str">
        <f t="array" ref="H284">IF($A284="","",INDEX(JupData!$A$2:$K$10000,MATCH($A284&amp;H$1,JupData!$A$2:$A$10000&amp;JupData!$J$2:$J$10000,0),11))</f>
        <v/>
      </c>
      <c r="I284" t="str">
        <f t="array" ref="I284">IF($A284="","",INDEX(JupData!$A$2:$K$10000,MATCH($A284&amp;I$1,JupData!$A$2:$A$10000&amp;JupData!$J$2:$J$10000,0),11))</f>
        <v/>
      </c>
      <c r="J284" t="str">
        <f t="array" ref="J284">IF($A284="","",INDEX(JupData!$A$2:$K$10000,MATCH($A284&amp;J$1,JupData!$A$2:$A$10000&amp;JupData!$J$2:$J$10000,0),11))</f>
        <v/>
      </c>
      <c r="K284" t="str">
        <f t="array" ref="K284">IF($A284="","",INDEX(JupData!$A$2:$K$10000,MATCH($A284&amp;K$1,JupData!$A$2:$A$10000&amp;JupData!$J$2:$J$10000,0),11))</f>
        <v/>
      </c>
      <c r="L284" t="str">
        <f t="array" ref="L284">IF($A284="","",INDEX(JupData!$A$2:$K$10000,MATCH($A284&amp;L$1,JupData!$A$2:$A$10000&amp;JupData!$J$2:$J$10000,0),11))</f>
        <v/>
      </c>
      <c r="M284" t="str">
        <f t="array" ref="M284">IF($A284="","",INDEX(JupData!$A$2:$K$10000,MATCH($A284&amp;M$1,JupData!$A$2:$A$10000&amp;JupData!$J$2:$J$10000,0),11))</f>
        <v/>
      </c>
      <c r="N284" t="str">
        <f t="array" ref="N284">IF($A284="","",INDEX(JupData!$A$2:$K$10000,MATCH($A284&amp;N$1,JupData!$A$2:$A$10000&amp;JupData!$J$2:$J$10000,0),11))</f>
        <v/>
      </c>
      <c r="O284" t="str">
        <f t="array" ref="O284">IF($A284="","",INDEX(JupData!$A$2:$K$10000,MATCH($A284&amp;O$1,JupData!$A$2:$A$10000&amp;JupData!$J$2:$J$10000,0),11))</f>
        <v/>
      </c>
      <c r="P284" t="str">
        <f t="array" ref="P284">IF($A284="","",INDEX(JupData!$A$2:$K$10000,MATCH($A284&amp;P$1,JupData!$A$2:$A$10000&amp;JupData!$J$2:$J$10000,0),11))</f>
        <v/>
      </c>
      <c r="Q284" t="str">
        <f t="array" ref="Q284">IF($A284="","",INDEX(JupData!$A$2:$K$10000,MATCH($A284&amp;Q$1,JupData!$A$2:$A$10000&amp;JupData!$J$2:$J$10000,0),11))</f>
        <v/>
      </c>
      <c r="R284" t="str">
        <f t="array" ref="R284">IF($A284="","",INDEX(JupData!$A$2:$K$10000,MATCH($A284&amp;R$1,JupData!$A$2:$A$10000&amp;JupData!$J$2:$J$10000,0),11))</f>
        <v/>
      </c>
      <c r="S284" t="str">
        <f t="array" ref="S284">IF($A284="","",INDEX(JupData!$A$2:$K$10000,MATCH($A284&amp;S$1,JupData!$A$2:$A$10000&amp;JupData!$J$2:$J$10000,0),11))</f>
        <v/>
      </c>
      <c r="T284" t="str">
        <f t="array" ref="T284">IF($A284="","",INDEX(JupData!$A$2:$K$10000,MATCH($A284&amp;T$1,JupData!$A$2:$A$10000&amp;JupData!$J$2:$J$10000,0),11))</f>
        <v/>
      </c>
      <c r="U284" t="str">
        <f t="array" ref="U284">IF($A284="","",INDEX(JupData!$A$2:$K$10000,MATCH($A284&amp;U$1,JupData!$A$2:$A$10000&amp;JupData!$J$2:$J$10000,0),11))</f>
        <v/>
      </c>
      <c r="V284" t="str">
        <f t="array" ref="V284">IF($A284="","",INDEX(JupData!$A$2:$K$10000,MATCH($A284&amp;V$1,JupData!$A$2:$A$10000&amp;JupData!$J$2:$J$10000,0),11))</f>
        <v/>
      </c>
      <c r="W284" t="str">
        <f t="array" ref="W284">IF($A284="","",INDEX(JupData!$A$2:$K$10000,MATCH($A284&amp;W$1,JupData!$A$2:$A$10000&amp;JupData!$J$2:$J$10000,0),11))</f>
        <v/>
      </c>
      <c r="X284" t="str">
        <f t="array" ref="X284">IF($A284="","",INDEX(JupData!$A$2:$K$10000,MATCH($A284&amp;X$1,JupData!$A$2:$A$10000&amp;JupData!$J$2:$J$10000,0),11))</f>
        <v/>
      </c>
      <c r="Y284" t="str">
        <f t="array" ref="Y284">IF($A284="","",INDEX(JupData!$A$2:$K$10000,MATCH($A284&amp;Y$1,JupData!$A$2:$A$10000&amp;JupData!$J$2:$J$10000,0),11))</f>
        <v/>
      </c>
      <c r="Z284" t="str">
        <f t="array" ref="Z284">IF($A284="","",INDEX(JupData!$A$2:$K$10000,MATCH($A284&amp;Z$1,JupData!$A$2:$A$10000&amp;JupData!$J$2:$J$10000,0),11))</f>
        <v/>
      </c>
      <c r="AA284" t="str">
        <f t="array" ref="AA284">IF($A284="","",INDEX(JupData!$A$2:$K$10000,MATCH($A284&amp;AA$1,JupData!$A$2:$A$10000&amp;JupData!$J$2:$J$10000,0),11))</f>
        <v/>
      </c>
      <c r="AB284" t="str">
        <f t="array" ref="AB284">IF($A284="","",INDEX(JupData!$A$2:$K$10000,MATCH($A284&amp;AB$1,JupData!$A$2:$A$10000&amp;JupData!$J$2:$J$10000,0),11))</f>
        <v/>
      </c>
      <c r="AC284" s="10" t="str">
        <f t="shared" si="44"/>
        <v/>
      </c>
      <c r="AD284" s="10" t="str">
        <f t="shared" si="45"/>
        <v/>
      </c>
      <c r="AE284" s="9" t="str">
        <f t="shared" si="46"/>
        <v/>
      </c>
      <c r="AF284" s="10" t="str">
        <f t="shared" si="47"/>
        <v/>
      </c>
      <c r="AG284" s="10" t="str">
        <f t="shared" si="48"/>
        <v/>
      </c>
      <c r="AH284" s="10" t="str">
        <f t="shared" si="49"/>
        <v/>
      </c>
      <c r="AI284" s="10" t="str">
        <f t="shared" si="50"/>
        <v/>
      </c>
      <c r="AJ284" s="10" t="str">
        <f t="shared" si="51"/>
        <v/>
      </c>
      <c r="AK284" s="10" t="str">
        <f t="shared" si="52"/>
        <v/>
      </c>
      <c r="AL284" s="14" t="str">
        <f t="shared" si="53"/>
        <v/>
      </c>
    </row>
    <row r="285" spans="1:38" x14ac:dyDescent="0.2">
      <c r="A285"/>
      <c r="B285" t="str">
        <f>IF($A285="","",VLOOKUP($A285,JupData!$A$2:$I$10000,4,FALSE))</f>
        <v/>
      </c>
      <c r="C285" s="7" t="str">
        <f>IF($A285="",IF(N(D285),0,""),VLOOKUP($A285,JupData!$A$2:$I$10000,7,FALSE))</f>
        <v/>
      </c>
      <c r="D285" t="str">
        <f t="shared" si="54"/>
        <v/>
      </c>
      <c r="E285" t="str">
        <f t="array" ref="E285">IF($A285="","",INDEX(JupData!$A$2:$K$10000,MATCH($A285&amp;E$1,JupData!$A$2:$A$10000&amp;JupData!$J$2:$J$10000,0),11))</f>
        <v/>
      </c>
      <c r="F285" t="str">
        <f t="array" ref="F285">IF($A285="","",INDEX(JupData!$A$2:$K$10000,MATCH($A285&amp;F$1,JupData!$A$2:$A$10000&amp;JupData!$J$2:$J$10000,0),11))</f>
        <v/>
      </c>
      <c r="G285" t="str">
        <f t="array" ref="G285">IF($A285="","",INDEX(JupData!$A$2:$K$10000,MATCH($A285&amp;G$1,JupData!$A$2:$A$10000&amp;JupData!$J$2:$J$10000,0),11))</f>
        <v/>
      </c>
      <c r="H285" t="str">
        <f t="array" ref="H285">IF($A285="","",INDEX(JupData!$A$2:$K$10000,MATCH($A285&amp;H$1,JupData!$A$2:$A$10000&amp;JupData!$J$2:$J$10000,0),11))</f>
        <v/>
      </c>
      <c r="I285" t="str">
        <f t="array" ref="I285">IF($A285="","",INDEX(JupData!$A$2:$K$10000,MATCH($A285&amp;I$1,JupData!$A$2:$A$10000&amp;JupData!$J$2:$J$10000,0),11))</f>
        <v/>
      </c>
      <c r="J285" t="str">
        <f t="array" ref="J285">IF($A285="","",INDEX(JupData!$A$2:$K$10000,MATCH($A285&amp;J$1,JupData!$A$2:$A$10000&amp;JupData!$J$2:$J$10000,0),11))</f>
        <v/>
      </c>
      <c r="K285" t="str">
        <f t="array" ref="K285">IF($A285="","",INDEX(JupData!$A$2:$K$10000,MATCH($A285&amp;K$1,JupData!$A$2:$A$10000&amp;JupData!$J$2:$J$10000,0),11))</f>
        <v/>
      </c>
      <c r="L285" t="str">
        <f t="array" ref="L285">IF($A285="","",INDEX(JupData!$A$2:$K$10000,MATCH($A285&amp;L$1,JupData!$A$2:$A$10000&amp;JupData!$J$2:$J$10000,0),11))</f>
        <v/>
      </c>
      <c r="M285" t="str">
        <f t="array" ref="M285">IF($A285="","",INDEX(JupData!$A$2:$K$10000,MATCH($A285&amp;M$1,JupData!$A$2:$A$10000&amp;JupData!$J$2:$J$10000,0),11))</f>
        <v/>
      </c>
      <c r="N285" t="str">
        <f t="array" ref="N285">IF($A285="","",INDEX(JupData!$A$2:$K$10000,MATCH($A285&amp;N$1,JupData!$A$2:$A$10000&amp;JupData!$J$2:$J$10000,0),11))</f>
        <v/>
      </c>
      <c r="O285" t="str">
        <f t="array" ref="O285">IF($A285="","",INDEX(JupData!$A$2:$K$10000,MATCH($A285&amp;O$1,JupData!$A$2:$A$10000&amp;JupData!$J$2:$J$10000,0),11))</f>
        <v/>
      </c>
      <c r="P285" t="str">
        <f t="array" ref="P285">IF($A285="","",INDEX(JupData!$A$2:$K$10000,MATCH($A285&amp;P$1,JupData!$A$2:$A$10000&amp;JupData!$J$2:$J$10000,0),11))</f>
        <v/>
      </c>
      <c r="Q285" t="str">
        <f t="array" ref="Q285">IF($A285="","",INDEX(JupData!$A$2:$K$10000,MATCH($A285&amp;Q$1,JupData!$A$2:$A$10000&amp;JupData!$J$2:$J$10000,0),11))</f>
        <v/>
      </c>
      <c r="R285" t="str">
        <f t="array" ref="R285">IF($A285="","",INDEX(JupData!$A$2:$K$10000,MATCH($A285&amp;R$1,JupData!$A$2:$A$10000&amp;JupData!$J$2:$J$10000,0),11))</f>
        <v/>
      </c>
      <c r="S285" t="str">
        <f t="array" ref="S285">IF($A285="","",INDEX(JupData!$A$2:$K$10000,MATCH($A285&amp;S$1,JupData!$A$2:$A$10000&amp;JupData!$J$2:$J$10000,0),11))</f>
        <v/>
      </c>
      <c r="T285" t="str">
        <f t="array" ref="T285">IF($A285="","",INDEX(JupData!$A$2:$K$10000,MATCH($A285&amp;T$1,JupData!$A$2:$A$10000&amp;JupData!$J$2:$J$10000,0),11))</f>
        <v/>
      </c>
      <c r="U285" t="str">
        <f t="array" ref="U285">IF($A285="","",INDEX(JupData!$A$2:$K$10000,MATCH($A285&amp;U$1,JupData!$A$2:$A$10000&amp;JupData!$J$2:$J$10000,0),11))</f>
        <v/>
      </c>
      <c r="V285" t="str">
        <f t="array" ref="V285">IF($A285="","",INDEX(JupData!$A$2:$K$10000,MATCH($A285&amp;V$1,JupData!$A$2:$A$10000&amp;JupData!$J$2:$J$10000,0),11))</f>
        <v/>
      </c>
      <c r="W285" t="str">
        <f t="array" ref="W285">IF($A285="","",INDEX(JupData!$A$2:$K$10000,MATCH($A285&amp;W$1,JupData!$A$2:$A$10000&amp;JupData!$J$2:$J$10000,0),11))</f>
        <v/>
      </c>
      <c r="X285" t="str">
        <f t="array" ref="X285">IF($A285="","",INDEX(JupData!$A$2:$K$10000,MATCH($A285&amp;X$1,JupData!$A$2:$A$10000&amp;JupData!$J$2:$J$10000,0),11))</f>
        <v/>
      </c>
      <c r="Y285" t="str">
        <f t="array" ref="Y285">IF($A285="","",INDEX(JupData!$A$2:$K$10000,MATCH($A285&amp;Y$1,JupData!$A$2:$A$10000&amp;JupData!$J$2:$J$10000,0),11))</f>
        <v/>
      </c>
      <c r="Z285" t="str">
        <f t="array" ref="Z285">IF($A285="","",INDEX(JupData!$A$2:$K$10000,MATCH($A285&amp;Z$1,JupData!$A$2:$A$10000&amp;JupData!$J$2:$J$10000,0),11))</f>
        <v/>
      </c>
      <c r="AA285" t="str">
        <f t="array" ref="AA285">IF($A285="","",INDEX(JupData!$A$2:$K$10000,MATCH($A285&amp;AA$1,JupData!$A$2:$A$10000&amp;JupData!$J$2:$J$10000,0),11))</f>
        <v/>
      </c>
      <c r="AB285" t="str">
        <f t="array" ref="AB285">IF($A285="","",INDEX(JupData!$A$2:$K$10000,MATCH($A285&amp;AB$1,JupData!$A$2:$A$10000&amp;JupData!$J$2:$J$10000,0),11))</f>
        <v/>
      </c>
      <c r="AC285" s="10" t="str">
        <f t="shared" si="44"/>
        <v/>
      </c>
      <c r="AD285" s="10" t="str">
        <f t="shared" si="45"/>
        <v/>
      </c>
      <c r="AE285" s="9" t="str">
        <f t="shared" si="46"/>
        <v/>
      </c>
      <c r="AF285" s="10" t="str">
        <f t="shared" si="47"/>
        <v/>
      </c>
      <c r="AG285" s="10" t="str">
        <f t="shared" si="48"/>
        <v/>
      </c>
      <c r="AH285" s="10" t="str">
        <f t="shared" si="49"/>
        <v/>
      </c>
      <c r="AI285" s="10" t="str">
        <f t="shared" si="50"/>
        <v/>
      </c>
      <c r="AJ285" s="10" t="str">
        <f t="shared" si="51"/>
        <v/>
      </c>
      <c r="AK285" s="10" t="str">
        <f t="shared" si="52"/>
        <v/>
      </c>
      <c r="AL285" s="14" t="str">
        <f t="shared" si="53"/>
        <v/>
      </c>
    </row>
    <row r="286" spans="1:38" x14ac:dyDescent="0.2">
      <c r="A286"/>
      <c r="B286" t="str">
        <f>IF($A286="","",VLOOKUP($A286,JupData!$A$2:$I$10000,4,FALSE))</f>
        <v/>
      </c>
      <c r="C286" s="7" t="str">
        <f>IF($A286="",IF(N(D286),0,""),VLOOKUP($A286,JupData!$A$2:$I$10000,7,FALSE))</f>
        <v/>
      </c>
      <c r="D286" t="str">
        <f t="shared" si="54"/>
        <v/>
      </c>
      <c r="E286" t="str">
        <f t="array" ref="E286">IF($A286="","",INDEX(JupData!$A$2:$K$10000,MATCH($A286&amp;E$1,JupData!$A$2:$A$10000&amp;JupData!$J$2:$J$10000,0),11))</f>
        <v/>
      </c>
      <c r="F286" t="str">
        <f t="array" ref="F286">IF($A286="","",INDEX(JupData!$A$2:$K$10000,MATCH($A286&amp;F$1,JupData!$A$2:$A$10000&amp;JupData!$J$2:$J$10000,0),11))</f>
        <v/>
      </c>
      <c r="G286" t="str">
        <f t="array" ref="G286">IF($A286="","",INDEX(JupData!$A$2:$K$10000,MATCH($A286&amp;G$1,JupData!$A$2:$A$10000&amp;JupData!$J$2:$J$10000,0),11))</f>
        <v/>
      </c>
      <c r="H286" t="str">
        <f t="array" ref="H286">IF($A286="","",INDEX(JupData!$A$2:$K$10000,MATCH($A286&amp;H$1,JupData!$A$2:$A$10000&amp;JupData!$J$2:$J$10000,0),11))</f>
        <v/>
      </c>
      <c r="I286" t="str">
        <f t="array" ref="I286">IF($A286="","",INDEX(JupData!$A$2:$K$10000,MATCH($A286&amp;I$1,JupData!$A$2:$A$10000&amp;JupData!$J$2:$J$10000,0),11))</f>
        <v/>
      </c>
      <c r="J286" t="str">
        <f t="array" ref="J286">IF($A286="","",INDEX(JupData!$A$2:$K$10000,MATCH($A286&amp;J$1,JupData!$A$2:$A$10000&amp;JupData!$J$2:$J$10000,0),11))</f>
        <v/>
      </c>
      <c r="K286" t="str">
        <f t="array" ref="K286">IF($A286="","",INDEX(JupData!$A$2:$K$10000,MATCH($A286&amp;K$1,JupData!$A$2:$A$10000&amp;JupData!$J$2:$J$10000,0),11))</f>
        <v/>
      </c>
      <c r="L286" t="str">
        <f t="array" ref="L286">IF($A286="","",INDEX(JupData!$A$2:$K$10000,MATCH($A286&amp;L$1,JupData!$A$2:$A$10000&amp;JupData!$J$2:$J$10000,0),11))</f>
        <v/>
      </c>
      <c r="M286" t="str">
        <f t="array" ref="M286">IF($A286="","",INDEX(JupData!$A$2:$K$10000,MATCH($A286&amp;M$1,JupData!$A$2:$A$10000&amp;JupData!$J$2:$J$10000,0),11))</f>
        <v/>
      </c>
      <c r="N286" t="str">
        <f t="array" ref="N286">IF($A286="","",INDEX(JupData!$A$2:$K$10000,MATCH($A286&amp;N$1,JupData!$A$2:$A$10000&amp;JupData!$J$2:$J$10000,0),11))</f>
        <v/>
      </c>
      <c r="O286" t="str">
        <f t="array" ref="O286">IF($A286="","",INDEX(JupData!$A$2:$K$10000,MATCH($A286&amp;O$1,JupData!$A$2:$A$10000&amp;JupData!$J$2:$J$10000,0),11))</f>
        <v/>
      </c>
      <c r="P286" t="str">
        <f t="array" ref="P286">IF($A286="","",INDEX(JupData!$A$2:$K$10000,MATCH($A286&amp;P$1,JupData!$A$2:$A$10000&amp;JupData!$J$2:$J$10000,0),11))</f>
        <v/>
      </c>
      <c r="Q286" t="str">
        <f t="array" ref="Q286">IF($A286="","",INDEX(JupData!$A$2:$K$10000,MATCH($A286&amp;Q$1,JupData!$A$2:$A$10000&amp;JupData!$J$2:$J$10000,0),11))</f>
        <v/>
      </c>
      <c r="R286" t="str">
        <f t="array" ref="R286">IF($A286="","",INDEX(JupData!$A$2:$K$10000,MATCH($A286&amp;R$1,JupData!$A$2:$A$10000&amp;JupData!$J$2:$J$10000,0),11))</f>
        <v/>
      </c>
      <c r="S286" t="str">
        <f t="array" ref="S286">IF($A286="","",INDEX(JupData!$A$2:$K$10000,MATCH($A286&amp;S$1,JupData!$A$2:$A$10000&amp;JupData!$J$2:$J$10000,0),11))</f>
        <v/>
      </c>
      <c r="T286" t="str">
        <f t="array" ref="T286">IF($A286="","",INDEX(JupData!$A$2:$K$10000,MATCH($A286&amp;T$1,JupData!$A$2:$A$10000&amp;JupData!$J$2:$J$10000,0),11))</f>
        <v/>
      </c>
      <c r="U286" t="str">
        <f t="array" ref="U286">IF($A286="","",INDEX(JupData!$A$2:$K$10000,MATCH($A286&amp;U$1,JupData!$A$2:$A$10000&amp;JupData!$J$2:$J$10000,0),11))</f>
        <v/>
      </c>
      <c r="V286" t="str">
        <f t="array" ref="V286">IF($A286="","",INDEX(JupData!$A$2:$K$10000,MATCH($A286&amp;V$1,JupData!$A$2:$A$10000&amp;JupData!$J$2:$J$10000,0),11))</f>
        <v/>
      </c>
      <c r="W286" t="str">
        <f t="array" ref="W286">IF($A286="","",INDEX(JupData!$A$2:$K$10000,MATCH($A286&amp;W$1,JupData!$A$2:$A$10000&amp;JupData!$J$2:$J$10000,0),11))</f>
        <v/>
      </c>
      <c r="X286" t="str">
        <f t="array" ref="X286">IF($A286="","",INDEX(JupData!$A$2:$K$10000,MATCH($A286&amp;X$1,JupData!$A$2:$A$10000&amp;JupData!$J$2:$J$10000,0),11))</f>
        <v/>
      </c>
      <c r="Y286" t="str">
        <f t="array" ref="Y286">IF($A286="","",INDEX(JupData!$A$2:$K$10000,MATCH($A286&amp;Y$1,JupData!$A$2:$A$10000&amp;JupData!$J$2:$J$10000,0),11))</f>
        <v/>
      </c>
      <c r="Z286" t="str">
        <f t="array" ref="Z286">IF($A286="","",INDEX(JupData!$A$2:$K$10000,MATCH($A286&amp;Z$1,JupData!$A$2:$A$10000&amp;JupData!$J$2:$J$10000,0),11))</f>
        <v/>
      </c>
      <c r="AA286" t="str">
        <f t="array" ref="AA286">IF($A286="","",INDEX(JupData!$A$2:$K$10000,MATCH($A286&amp;AA$1,JupData!$A$2:$A$10000&amp;JupData!$J$2:$J$10000,0),11))</f>
        <v/>
      </c>
      <c r="AB286" t="str">
        <f t="array" ref="AB286">IF($A286="","",INDEX(JupData!$A$2:$K$10000,MATCH($A286&amp;AB$1,JupData!$A$2:$A$10000&amp;JupData!$J$2:$J$10000,0),11))</f>
        <v/>
      </c>
      <c r="AC286" s="10" t="str">
        <f t="shared" si="44"/>
        <v/>
      </c>
      <c r="AD286" s="10" t="str">
        <f t="shared" si="45"/>
        <v/>
      </c>
      <c r="AE286" s="9" t="str">
        <f t="shared" si="46"/>
        <v/>
      </c>
      <c r="AF286" s="10" t="str">
        <f t="shared" si="47"/>
        <v/>
      </c>
      <c r="AG286" s="10" t="str">
        <f t="shared" si="48"/>
        <v/>
      </c>
      <c r="AH286" s="10" t="str">
        <f t="shared" si="49"/>
        <v/>
      </c>
      <c r="AI286" s="10" t="str">
        <f t="shared" si="50"/>
        <v/>
      </c>
      <c r="AJ286" s="10" t="str">
        <f t="shared" si="51"/>
        <v/>
      </c>
      <c r="AK286" s="10" t="str">
        <f t="shared" si="52"/>
        <v/>
      </c>
      <c r="AL286" s="14" t="str">
        <f t="shared" si="53"/>
        <v/>
      </c>
    </row>
    <row r="287" spans="1:38" x14ac:dyDescent="0.2">
      <c r="A287"/>
      <c r="B287" t="str">
        <f>IF($A287="","",VLOOKUP($A287,JupData!$A$2:$I$10000,4,FALSE))</f>
        <v/>
      </c>
      <c r="C287" s="7" t="str">
        <f>IF($A287="",IF(N(D287),0,""),VLOOKUP($A287,JupData!$A$2:$I$10000,7,FALSE))</f>
        <v/>
      </c>
      <c r="D287" t="str">
        <f t="shared" si="54"/>
        <v/>
      </c>
      <c r="E287" t="str">
        <f t="array" ref="E287">IF($A287="","",INDEX(JupData!$A$2:$K$10000,MATCH($A287&amp;E$1,JupData!$A$2:$A$10000&amp;JupData!$J$2:$J$10000,0),11))</f>
        <v/>
      </c>
      <c r="F287" t="str">
        <f t="array" ref="F287">IF($A287="","",INDEX(JupData!$A$2:$K$10000,MATCH($A287&amp;F$1,JupData!$A$2:$A$10000&amp;JupData!$J$2:$J$10000,0),11))</f>
        <v/>
      </c>
      <c r="G287" t="str">
        <f t="array" ref="G287">IF($A287="","",INDEX(JupData!$A$2:$K$10000,MATCH($A287&amp;G$1,JupData!$A$2:$A$10000&amp;JupData!$J$2:$J$10000,0),11))</f>
        <v/>
      </c>
      <c r="H287" t="str">
        <f t="array" ref="H287">IF($A287="","",INDEX(JupData!$A$2:$K$10000,MATCH($A287&amp;H$1,JupData!$A$2:$A$10000&amp;JupData!$J$2:$J$10000,0),11))</f>
        <v/>
      </c>
      <c r="I287" t="str">
        <f t="array" ref="I287">IF($A287="","",INDEX(JupData!$A$2:$K$10000,MATCH($A287&amp;I$1,JupData!$A$2:$A$10000&amp;JupData!$J$2:$J$10000,0),11))</f>
        <v/>
      </c>
      <c r="J287" t="str">
        <f t="array" ref="J287">IF($A287="","",INDEX(JupData!$A$2:$K$10000,MATCH($A287&amp;J$1,JupData!$A$2:$A$10000&amp;JupData!$J$2:$J$10000,0),11))</f>
        <v/>
      </c>
      <c r="K287" t="str">
        <f t="array" ref="K287">IF($A287="","",INDEX(JupData!$A$2:$K$10000,MATCH($A287&amp;K$1,JupData!$A$2:$A$10000&amp;JupData!$J$2:$J$10000,0),11))</f>
        <v/>
      </c>
      <c r="L287" t="str">
        <f t="array" ref="L287">IF($A287="","",INDEX(JupData!$A$2:$K$10000,MATCH($A287&amp;L$1,JupData!$A$2:$A$10000&amp;JupData!$J$2:$J$10000,0),11))</f>
        <v/>
      </c>
      <c r="M287" t="str">
        <f t="array" ref="M287">IF($A287="","",INDEX(JupData!$A$2:$K$10000,MATCH($A287&amp;M$1,JupData!$A$2:$A$10000&amp;JupData!$J$2:$J$10000,0),11))</f>
        <v/>
      </c>
      <c r="N287" t="str">
        <f t="array" ref="N287">IF($A287="","",INDEX(JupData!$A$2:$K$10000,MATCH($A287&amp;N$1,JupData!$A$2:$A$10000&amp;JupData!$J$2:$J$10000,0),11))</f>
        <v/>
      </c>
      <c r="O287" t="str">
        <f t="array" ref="O287">IF($A287="","",INDEX(JupData!$A$2:$K$10000,MATCH($A287&amp;O$1,JupData!$A$2:$A$10000&amp;JupData!$J$2:$J$10000,0),11))</f>
        <v/>
      </c>
      <c r="P287" t="str">
        <f t="array" ref="P287">IF($A287="","",INDEX(JupData!$A$2:$K$10000,MATCH($A287&amp;P$1,JupData!$A$2:$A$10000&amp;JupData!$J$2:$J$10000,0),11))</f>
        <v/>
      </c>
      <c r="Q287" t="str">
        <f t="array" ref="Q287">IF($A287="","",INDEX(JupData!$A$2:$K$10000,MATCH($A287&amp;Q$1,JupData!$A$2:$A$10000&amp;JupData!$J$2:$J$10000,0),11))</f>
        <v/>
      </c>
      <c r="R287" t="str">
        <f t="array" ref="R287">IF($A287="","",INDEX(JupData!$A$2:$K$10000,MATCH($A287&amp;R$1,JupData!$A$2:$A$10000&amp;JupData!$J$2:$J$10000,0),11))</f>
        <v/>
      </c>
      <c r="S287" t="str">
        <f t="array" ref="S287">IF($A287="","",INDEX(JupData!$A$2:$K$10000,MATCH($A287&amp;S$1,JupData!$A$2:$A$10000&amp;JupData!$J$2:$J$10000,0),11))</f>
        <v/>
      </c>
      <c r="T287" t="str">
        <f t="array" ref="T287">IF($A287="","",INDEX(JupData!$A$2:$K$10000,MATCH($A287&amp;T$1,JupData!$A$2:$A$10000&amp;JupData!$J$2:$J$10000,0),11))</f>
        <v/>
      </c>
      <c r="U287" t="str">
        <f t="array" ref="U287">IF($A287="","",INDEX(JupData!$A$2:$K$10000,MATCH($A287&amp;U$1,JupData!$A$2:$A$10000&amp;JupData!$J$2:$J$10000,0),11))</f>
        <v/>
      </c>
      <c r="V287" t="str">
        <f t="array" ref="V287">IF($A287="","",INDEX(JupData!$A$2:$K$10000,MATCH($A287&amp;V$1,JupData!$A$2:$A$10000&amp;JupData!$J$2:$J$10000,0),11))</f>
        <v/>
      </c>
      <c r="W287" t="str">
        <f t="array" ref="W287">IF($A287="","",INDEX(JupData!$A$2:$K$10000,MATCH($A287&amp;W$1,JupData!$A$2:$A$10000&amp;JupData!$J$2:$J$10000,0),11))</f>
        <v/>
      </c>
      <c r="X287" t="str">
        <f t="array" ref="X287">IF($A287="","",INDEX(JupData!$A$2:$K$10000,MATCH($A287&amp;X$1,JupData!$A$2:$A$10000&amp;JupData!$J$2:$J$10000,0),11))</f>
        <v/>
      </c>
      <c r="Y287" t="str">
        <f t="array" ref="Y287">IF($A287="","",INDEX(JupData!$A$2:$K$10000,MATCH($A287&amp;Y$1,JupData!$A$2:$A$10000&amp;JupData!$J$2:$J$10000,0),11))</f>
        <v/>
      </c>
      <c r="Z287" t="str">
        <f t="array" ref="Z287">IF($A287="","",INDEX(JupData!$A$2:$K$10000,MATCH($A287&amp;Z$1,JupData!$A$2:$A$10000&amp;JupData!$J$2:$J$10000,0),11))</f>
        <v/>
      </c>
      <c r="AA287" t="str">
        <f t="array" ref="AA287">IF($A287="","",INDEX(JupData!$A$2:$K$10000,MATCH($A287&amp;AA$1,JupData!$A$2:$A$10000&amp;JupData!$J$2:$J$10000,0),11))</f>
        <v/>
      </c>
      <c r="AB287" t="str">
        <f t="array" ref="AB287">IF($A287="","",INDEX(JupData!$A$2:$K$10000,MATCH($A287&amp;AB$1,JupData!$A$2:$A$10000&amp;JupData!$J$2:$J$10000,0),11))</f>
        <v/>
      </c>
      <c r="AC287" s="10" t="str">
        <f t="shared" si="44"/>
        <v/>
      </c>
      <c r="AD287" s="10" t="str">
        <f t="shared" si="45"/>
        <v/>
      </c>
      <c r="AE287" s="9" t="str">
        <f t="shared" si="46"/>
        <v/>
      </c>
      <c r="AF287" s="10" t="str">
        <f t="shared" si="47"/>
        <v/>
      </c>
      <c r="AG287" s="10" t="str">
        <f t="shared" si="48"/>
        <v/>
      </c>
      <c r="AH287" s="10" t="str">
        <f t="shared" si="49"/>
        <v/>
      </c>
      <c r="AI287" s="10" t="str">
        <f t="shared" si="50"/>
        <v/>
      </c>
      <c r="AJ287" s="10" t="str">
        <f t="shared" si="51"/>
        <v/>
      </c>
      <c r="AK287" s="10" t="str">
        <f t="shared" si="52"/>
        <v/>
      </c>
      <c r="AL287" s="14" t="str">
        <f t="shared" si="53"/>
        <v/>
      </c>
    </row>
    <row r="288" spans="1:38" x14ac:dyDescent="0.2">
      <c r="A288"/>
      <c r="B288" t="str">
        <f>IF($A288="","",VLOOKUP($A288,JupData!$A$2:$I$10000,4,FALSE))</f>
        <v/>
      </c>
      <c r="C288" s="7" t="str">
        <f>IF($A288="",IF(N(D288),0,""),VLOOKUP($A288,JupData!$A$2:$I$10000,7,FALSE))</f>
        <v/>
      </c>
      <c r="D288" t="str">
        <f t="shared" si="54"/>
        <v/>
      </c>
      <c r="E288" t="str">
        <f t="array" ref="E288">IF($A288="","",INDEX(JupData!$A$2:$K$10000,MATCH($A288&amp;E$1,JupData!$A$2:$A$10000&amp;JupData!$J$2:$J$10000,0),11))</f>
        <v/>
      </c>
      <c r="F288" t="str">
        <f t="array" ref="F288">IF($A288="","",INDEX(JupData!$A$2:$K$10000,MATCH($A288&amp;F$1,JupData!$A$2:$A$10000&amp;JupData!$J$2:$J$10000,0),11))</f>
        <v/>
      </c>
      <c r="G288" t="str">
        <f t="array" ref="G288">IF($A288="","",INDEX(JupData!$A$2:$K$10000,MATCH($A288&amp;G$1,JupData!$A$2:$A$10000&amp;JupData!$J$2:$J$10000,0),11))</f>
        <v/>
      </c>
      <c r="H288" t="str">
        <f t="array" ref="H288">IF($A288="","",INDEX(JupData!$A$2:$K$10000,MATCH($A288&amp;H$1,JupData!$A$2:$A$10000&amp;JupData!$J$2:$J$10000,0),11))</f>
        <v/>
      </c>
      <c r="I288" t="str">
        <f t="array" ref="I288">IF($A288="","",INDEX(JupData!$A$2:$K$10000,MATCH($A288&amp;I$1,JupData!$A$2:$A$10000&amp;JupData!$J$2:$J$10000,0),11))</f>
        <v/>
      </c>
      <c r="J288" t="str">
        <f t="array" ref="J288">IF($A288="","",INDEX(JupData!$A$2:$K$10000,MATCH($A288&amp;J$1,JupData!$A$2:$A$10000&amp;JupData!$J$2:$J$10000,0),11))</f>
        <v/>
      </c>
      <c r="K288" t="str">
        <f t="array" ref="K288">IF($A288="","",INDEX(JupData!$A$2:$K$10000,MATCH($A288&amp;K$1,JupData!$A$2:$A$10000&amp;JupData!$J$2:$J$10000,0),11))</f>
        <v/>
      </c>
      <c r="L288" t="str">
        <f t="array" ref="L288">IF($A288="","",INDEX(JupData!$A$2:$K$10000,MATCH($A288&amp;L$1,JupData!$A$2:$A$10000&amp;JupData!$J$2:$J$10000,0),11))</f>
        <v/>
      </c>
      <c r="M288" t="str">
        <f t="array" ref="M288">IF($A288="","",INDEX(JupData!$A$2:$K$10000,MATCH($A288&amp;M$1,JupData!$A$2:$A$10000&amp;JupData!$J$2:$J$10000,0),11))</f>
        <v/>
      </c>
      <c r="N288" t="str">
        <f t="array" ref="N288">IF($A288="","",INDEX(JupData!$A$2:$K$10000,MATCH($A288&amp;N$1,JupData!$A$2:$A$10000&amp;JupData!$J$2:$J$10000,0),11))</f>
        <v/>
      </c>
      <c r="O288" t="str">
        <f t="array" ref="O288">IF($A288="","",INDEX(JupData!$A$2:$K$10000,MATCH($A288&amp;O$1,JupData!$A$2:$A$10000&amp;JupData!$J$2:$J$10000,0),11))</f>
        <v/>
      </c>
      <c r="P288" t="str">
        <f t="array" ref="P288">IF($A288="","",INDEX(JupData!$A$2:$K$10000,MATCH($A288&amp;P$1,JupData!$A$2:$A$10000&amp;JupData!$J$2:$J$10000,0),11))</f>
        <v/>
      </c>
      <c r="Q288" t="str">
        <f t="array" ref="Q288">IF($A288="","",INDEX(JupData!$A$2:$K$10000,MATCH($A288&amp;Q$1,JupData!$A$2:$A$10000&amp;JupData!$J$2:$J$10000,0),11))</f>
        <v/>
      </c>
      <c r="R288" t="str">
        <f t="array" ref="R288">IF($A288="","",INDEX(JupData!$A$2:$K$10000,MATCH($A288&amp;R$1,JupData!$A$2:$A$10000&amp;JupData!$J$2:$J$10000,0),11))</f>
        <v/>
      </c>
      <c r="S288" t="str">
        <f t="array" ref="S288">IF($A288="","",INDEX(JupData!$A$2:$K$10000,MATCH($A288&amp;S$1,JupData!$A$2:$A$10000&amp;JupData!$J$2:$J$10000,0),11))</f>
        <v/>
      </c>
      <c r="T288" t="str">
        <f t="array" ref="T288">IF($A288="","",INDEX(JupData!$A$2:$K$10000,MATCH($A288&amp;T$1,JupData!$A$2:$A$10000&amp;JupData!$J$2:$J$10000,0),11))</f>
        <v/>
      </c>
      <c r="U288" t="str">
        <f t="array" ref="U288">IF($A288="","",INDEX(JupData!$A$2:$K$10000,MATCH($A288&amp;U$1,JupData!$A$2:$A$10000&amp;JupData!$J$2:$J$10000,0),11))</f>
        <v/>
      </c>
      <c r="V288" t="str">
        <f t="array" ref="V288">IF($A288="","",INDEX(JupData!$A$2:$K$10000,MATCH($A288&amp;V$1,JupData!$A$2:$A$10000&amp;JupData!$J$2:$J$10000,0),11))</f>
        <v/>
      </c>
      <c r="W288" t="str">
        <f t="array" ref="W288">IF($A288="","",INDEX(JupData!$A$2:$K$10000,MATCH($A288&amp;W$1,JupData!$A$2:$A$10000&amp;JupData!$J$2:$J$10000,0),11))</f>
        <v/>
      </c>
      <c r="X288" t="str">
        <f t="array" ref="X288">IF($A288="","",INDEX(JupData!$A$2:$K$10000,MATCH($A288&amp;X$1,JupData!$A$2:$A$10000&amp;JupData!$J$2:$J$10000,0),11))</f>
        <v/>
      </c>
      <c r="Y288" t="str">
        <f t="array" ref="Y288">IF($A288="","",INDEX(JupData!$A$2:$K$10000,MATCH($A288&amp;Y$1,JupData!$A$2:$A$10000&amp;JupData!$J$2:$J$10000,0),11))</f>
        <v/>
      </c>
      <c r="Z288" t="str">
        <f t="array" ref="Z288">IF($A288="","",INDEX(JupData!$A$2:$K$10000,MATCH($A288&amp;Z$1,JupData!$A$2:$A$10000&amp;JupData!$J$2:$J$10000,0),11))</f>
        <v/>
      </c>
      <c r="AA288" t="str">
        <f t="array" ref="AA288">IF($A288="","",INDEX(JupData!$A$2:$K$10000,MATCH($A288&amp;AA$1,JupData!$A$2:$A$10000&amp;JupData!$J$2:$J$10000,0),11))</f>
        <v/>
      </c>
      <c r="AB288" t="str">
        <f t="array" ref="AB288">IF($A288="","",INDEX(JupData!$A$2:$K$10000,MATCH($A288&amp;AB$1,JupData!$A$2:$A$10000&amp;JupData!$J$2:$J$10000,0),11))</f>
        <v/>
      </c>
      <c r="AC288" s="10" t="str">
        <f t="shared" si="44"/>
        <v/>
      </c>
      <c r="AD288" s="10" t="str">
        <f t="shared" si="45"/>
        <v/>
      </c>
      <c r="AE288" s="9" t="str">
        <f t="shared" si="46"/>
        <v/>
      </c>
      <c r="AF288" s="10" t="str">
        <f t="shared" si="47"/>
        <v/>
      </c>
      <c r="AG288" s="10" t="str">
        <f t="shared" si="48"/>
        <v/>
      </c>
      <c r="AH288" s="10" t="str">
        <f t="shared" si="49"/>
        <v/>
      </c>
      <c r="AI288" s="10" t="str">
        <f t="shared" si="50"/>
        <v/>
      </c>
      <c r="AJ288" s="10" t="str">
        <f t="shared" si="51"/>
        <v/>
      </c>
      <c r="AK288" s="10" t="str">
        <f t="shared" si="52"/>
        <v/>
      </c>
      <c r="AL288" s="14" t="str">
        <f t="shared" si="53"/>
        <v/>
      </c>
    </row>
    <row r="289" spans="1:38" x14ac:dyDescent="0.2">
      <c r="A289"/>
      <c r="B289" t="str">
        <f>IF($A289="","",VLOOKUP($A289,JupData!$A$2:$I$10000,4,FALSE))</f>
        <v/>
      </c>
      <c r="C289" s="7" t="str">
        <f>IF($A289="",IF(N(D289),0,""),VLOOKUP($A289,JupData!$A$2:$I$10000,7,FALSE))</f>
        <v/>
      </c>
      <c r="D289" t="str">
        <f t="shared" si="54"/>
        <v/>
      </c>
      <c r="E289" t="str">
        <f t="array" ref="E289">IF($A289="","",INDEX(JupData!$A$2:$K$10000,MATCH($A289&amp;E$1,JupData!$A$2:$A$10000&amp;JupData!$J$2:$J$10000,0),11))</f>
        <v/>
      </c>
      <c r="F289" t="str">
        <f t="array" ref="F289">IF($A289="","",INDEX(JupData!$A$2:$K$10000,MATCH($A289&amp;F$1,JupData!$A$2:$A$10000&amp;JupData!$J$2:$J$10000,0),11))</f>
        <v/>
      </c>
      <c r="G289" t="str">
        <f t="array" ref="G289">IF($A289="","",INDEX(JupData!$A$2:$K$10000,MATCH($A289&amp;G$1,JupData!$A$2:$A$10000&amp;JupData!$J$2:$J$10000,0),11))</f>
        <v/>
      </c>
      <c r="H289" t="str">
        <f t="array" ref="H289">IF($A289="","",INDEX(JupData!$A$2:$K$10000,MATCH($A289&amp;H$1,JupData!$A$2:$A$10000&amp;JupData!$J$2:$J$10000,0),11))</f>
        <v/>
      </c>
      <c r="I289" t="str">
        <f t="array" ref="I289">IF($A289="","",INDEX(JupData!$A$2:$K$10000,MATCH($A289&amp;I$1,JupData!$A$2:$A$10000&amp;JupData!$J$2:$J$10000,0),11))</f>
        <v/>
      </c>
      <c r="J289" t="str">
        <f t="array" ref="J289">IF($A289="","",INDEX(JupData!$A$2:$K$10000,MATCH($A289&amp;J$1,JupData!$A$2:$A$10000&amp;JupData!$J$2:$J$10000,0),11))</f>
        <v/>
      </c>
      <c r="K289" t="str">
        <f t="array" ref="K289">IF($A289="","",INDEX(JupData!$A$2:$K$10000,MATCH($A289&amp;K$1,JupData!$A$2:$A$10000&amp;JupData!$J$2:$J$10000,0),11))</f>
        <v/>
      </c>
      <c r="L289" t="str">
        <f t="array" ref="L289">IF($A289="","",INDEX(JupData!$A$2:$K$10000,MATCH($A289&amp;L$1,JupData!$A$2:$A$10000&amp;JupData!$J$2:$J$10000,0),11))</f>
        <v/>
      </c>
      <c r="M289" t="str">
        <f t="array" ref="M289">IF($A289="","",INDEX(JupData!$A$2:$K$10000,MATCH($A289&amp;M$1,JupData!$A$2:$A$10000&amp;JupData!$J$2:$J$10000,0),11))</f>
        <v/>
      </c>
      <c r="N289" t="str">
        <f t="array" ref="N289">IF($A289="","",INDEX(JupData!$A$2:$K$10000,MATCH($A289&amp;N$1,JupData!$A$2:$A$10000&amp;JupData!$J$2:$J$10000,0),11))</f>
        <v/>
      </c>
      <c r="O289" t="str">
        <f t="array" ref="O289">IF($A289="","",INDEX(JupData!$A$2:$K$10000,MATCH($A289&amp;O$1,JupData!$A$2:$A$10000&amp;JupData!$J$2:$J$10000,0),11))</f>
        <v/>
      </c>
      <c r="P289" t="str">
        <f t="array" ref="P289">IF($A289="","",INDEX(JupData!$A$2:$K$10000,MATCH($A289&amp;P$1,JupData!$A$2:$A$10000&amp;JupData!$J$2:$J$10000,0),11))</f>
        <v/>
      </c>
      <c r="Q289" t="str">
        <f t="array" ref="Q289">IF($A289="","",INDEX(JupData!$A$2:$K$10000,MATCH($A289&amp;Q$1,JupData!$A$2:$A$10000&amp;JupData!$J$2:$J$10000,0),11))</f>
        <v/>
      </c>
      <c r="R289" t="str">
        <f t="array" ref="R289">IF($A289="","",INDEX(JupData!$A$2:$K$10000,MATCH($A289&amp;R$1,JupData!$A$2:$A$10000&amp;JupData!$J$2:$J$10000,0),11))</f>
        <v/>
      </c>
      <c r="S289" t="str">
        <f t="array" ref="S289">IF($A289="","",INDEX(JupData!$A$2:$K$10000,MATCH($A289&amp;S$1,JupData!$A$2:$A$10000&amp;JupData!$J$2:$J$10000,0),11))</f>
        <v/>
      </c>
      <c r="T289" t="str">
        <f t="array" ref="T289">IF($A289="","",INDEX(JupData!$A$2:$K$10000,MATCH($A289&amp;T$1,JupData!$A$2:$A$10000&amp;JupData!$J$2:$J$10000,0),11))</f>
        <v/>
      </c>
      <c r="U289" t="str">
        <f t="array" ref="U289">IF($A289="","",INDEX(JupData!$A$2:$K$10000,MATCH($A289&amp;U$1,JupData!$A$2:$A$10000&amp;JupData!$J$2:$J$10000,0),11))</f>
        <v/>
      </c>
      <c r="V289" t="str">
        <f t="array" ref="V289">IF($A289="","",INDEX(JupData!$A$2:$K$10000,MATCH($A289&amp;V$1,JupData!$A$2:$A$10000&amp;JupData!$J$2:$J$10000,0),11))</f>
        <v/>
      </c>
      <c r="W289" t="str">
        <f t="array" ref="W289">IF($A289="","",INDEX(JupData!$A$2:$K$10000,MATCH($A289&amp;W$1,JupData!$A$2:$A$10000&amp;JupData!$J$2:$J$10000,0),11))</f>
        <v/>
      </c>
      <c r="X289" t="str">
        <f t="array" ref="X289">IF($A289="","",INDEX(JupData!$A$2:$K$10000,MATCH($A289&amp;X$1,JupData!$A$2:$A$10000&amp;JupData!$J$2:$J$10000,0),11))</f>
        <v/>
      </c>
      <c r="Y289" t="str">
        <f t="array" ref="Y289">IF($A289="","",INDEX(JupData!$A$2:$K$10000,MATCH($A289&amp;Y$1,JupData!$A$2:$A$10000&amp;JupData!$J$2:$J$10000,0),11))</f>
        <v/>
      </c>
      <c r="Z289" t="str">
        <f t="array" ref="Z289">IF($A289="","",INDEX(JupData!$A$2:$K$10000,MATCH($A289&amp;Z$1,JupData!$A$2:$A$10000&amp;JupData!$J$2:$J$10000,0),11))</f>
        <v/>
      </c>
      <c r="AA289" t="str">
        <f t="array" ref="AA289">IF($A289="","",INDEX(JupData!$A$2:$K$10000,MATCH($A289&amp;AA$1,JupData!$A$2:$A$10000&amp;JupData!$J$2:$J$10000,0),11))</f>
        <v/>
      </c>
      <c r="AB289" t="str">
        <f t="array" ref="AB289">IF($A289="","",INDEX(JupData!$A$2:$K$10000,MATCH($A289&amp;AB$1,JupData!$A$2:$A$10000&amp;JupData!$J$2:$J$10000,0),11))</f>
        <v/>
      </c>
      <c r="AC289" s="10" t="str">
        <f t="shared" si="44"/>
        <v/>
      </c>
      <c r="AD289" s="10" t="str">
        <f t="shared" si="45"/>
        <v/>
      </c>
      <c r="AE289" s="9" t="str">
        <f t="shared" si="46"/>
        <v/>
      </c>
      <c r="AF289" s="10" t="str">
        <f t="shared" si="47"/>
        <v/>
      </c>
      <c r="AG289" s="10" t="str">
        <f t="shared" si="48"/>
        <v/>
      </c>
      <c r="AH289" s="10" t="str">
        <f t="shared" si="49"/>
        <v/>
      </c>
      <c r="AI289" s="10" t="str">
        <f t="shared" si="50"/>
        <v/>
      </c>
      <c r="AJ289" s="10" t="str">
        <f t="shared" si="51"/>
        <v/>
      </c>
      <c r="AK289" s="10" t="str">
        <f t="shared" si="52"/>
        <v/>
      </c>
      <c r="AL289" s="14" t="str">
        <f t="shared" si="53"/>
        <v/>
      </c>
    </row>
    <row r="290" spans="1:38" x14ac:dyDescent="0.2">
      <c r="A290"/>
      <c r="B290" t="str">
        <f>IF($A290="","",VLOOKUP($A290,JupData!$A$2:$I$10000,4,FALSE))</f>
        <v/>
      </c>
      <c r="C290" s="7" t="str">
        <f>IF($A290="",IF(N(D290),0,""),VLOOKUP($A290,JupData!$A$2:$I$10000,7,FALSE))</f>
        <v/>
      </c>
      <c r="D290" t="str">
        <f t="shared" si="54"/>
        <v/>
      </c>
      <c r="E290" t="str">
        <f t="array" ref="E290">IF($A290="","",INDEX(JupData!$A$2:$K$10000,MATCH($A290&amp;E$1,JupData!$A$2:$A$10000&amp;JupData!$J$2:$J$10000,0),11))</f>
        <v/>
      </c>
      <c r="F290" t="str">
        <f t="array" ref="F290">IF($A290="","",INDEX(JupData!$A$2:$K$10000,MATCH($A290&amp;F$1,JupData!$A$2:$A$10000&amp;JupData!$J$2:$J$10000,0),11))</f>
        <v/>
      </c>
      <c r="G290" t="str">
        <f t="array" ref="G290">IF($A290="","",INDEX(JupData!$A$2:$K$10000,MATCH($A290&amp;G$1,JupData!$A$2:$A$10000&amp;JupData!$J$2:$J$10000,0),11))</f>
        <v/>
      </c>
      <c r="H290" t="str">
        <f t="array" ref="H290">IF($A290="","",INDEX(JupData!$A$2:$K$10000,MATCH($A290&amp;H$1,JupData!$A$2:$A$10000&amp;JupData!$J$2:$J$10000,0),11))</f>
        <v/>
      </c>
      <c r="I290" t="str">
        <f t="array" ref="I290">IF($A290="","",INDEX(JupData!$A$2:$K$10000,MATCH($A290&amp;I$1,JupData!$A$2:$A$10000&amp;JupData!$J$2:$J$10000,0),11))</f>
        <v/>
      </c>
      <c r="J290" t="str">
        <f t="array" ref="J290">IF($A290="","",INDEX(JupData!$A$2:$K$10000,MATCH($A290&amp;J$1,JupData!$A$2:$A$10000&amp;JupData!$J$2:$J$10000,0),11))</f>
        <v/>
      </c>
      <c r="K290" t="str">
        <f t="array" ref="K290">IF($A290="","",INDEX(JupData!$A$2:$K$10000,MATCH($A290&amp;K$1,JupData!$A$2:$A$10000&amp;JupData!$J$2:$J$10000,0),11))</f>
        <v/>
      </c>
      <c r="L290" t="str">
        <f t="array" ref="L290">IF($A290="","",INDEX(JupData!$A$2:$K$10000,MATCH($A290&amp;L$1,JupData!$A$2:$A$10000&amp;JupData!$J$2:$J$10000,0),11))</f>
        <v/>
      </c>
      <c r="M290" t="str">
        <f t="array" ref="M290">IF($A290="","",INDEX(JupData!$A$2:$K$10000,MATCH($A290&amp;M$1,JupData!$A$2:$A$10000&amp;JupData!$J$2:$J$10000,0),11))</f>
        <v/>
      </c>
      <c r="N290" t="str">
        <f t="array" ref="N290">IF($A290="","",INDEX(JupData!$A$2:$K$10000,MATCH($A290&amp;N$1,JupData!$A$2:$A$10000&amp;JupData!$J$2:$J$10000,0),11))</f>
        <v/>
      </c>
      <c r="O290" t="str">
        <f t="array" ref="O290">IF($A290="","",INDEX(JupData!$A$2:$K$10000,MATCH($A290&amp;O$1,JupData!$A$2:$A$10000&amp;JupData!$J$2:$J$10000,0),11))</f>
        <v/>
      </c>
      <c r="P290" t="str">
        <f t="array" ref="P290">IF($A290="","",INDEX(JupData!$A$2:$K$10000,MATCH($A290&amp;P$1,JupData!$A$2:$A$10000&amp;JupData!$J$2:$J$10000,0),11))</f>
        <v/>
      </c>
      <c r="Q290" t="str">
        <f t="array" ref="Q290">IF($A290="","",INDEX(JupData!$A$2:$K$10000,MATCH($A290&amp;Q$1,JupData!$A$2:$A$10000&amp;JupData!$J$2:$J$10000,0),11))</f>
        <v/>
      </c>
      <c r="R290" t="str">
        <f t="array" ref="R290">IF($A290="","",INDEX(JupData!$A$2:$K$10000,MATCH($A290&amp;R$1,JupData!$A$2:$A$10000&amp;JupData!$J$2:$J$10000,0),11))</f>
        <v/>
      </c>
      <c r="S290" t="str">
        <f t="array" ref="S290">IF($A290="","",INDEX(JupData!$A$2:$K$10000,MATCH($A290&amp;S$1,JupData!$A$2:$A$10000&amp;JupData!$J$2:$J$10000,0),11))</f>
        <v/>
      </c>
      <c r="T290" t="str">
        <f t="array" ref="T290">IF($A290="","",INDEX(JupData!$A$2:$K$10000,MATCH($A290&amp;T$1,JupData!$A$2:$A$10000&amp;JupData!$J$2:$J$10000,0),11))</f>
        <v/>
      </c>
      <c r="U290" t="str">
        <f t="array" ref="U290">IF($A290="","",INDEX(JupData!$A$2:$K$10000,MATCH($A290&amp;U$1,JupData!$A$2:$A$10000&amp;JupData!$J$2:$J$10000,0),11))</f>
        <v/>
      </c>
      <c r="V290" t="str">
        <f t="array" ref="V290">IF($A290="","",INDEX(JupData!$A$2:$K$10000,MATCH($A290&amp;V$1,JupData!$A$2:$A$10000&amp;JupData!$J$2:$J$10000,0),11))</f>
        <v/>
      </c>
      <c r="W290" t="str">
        <f t="array" ref="W290">IF($A290="","",INDEX(JupData!$A$2:$K$10000,MATCH($A290&amp;W$1,JupData!$A$2:$A$10000&amp;JupData!$J$2:$J$10000,0),11))</f>
        <v/>
      </c>
      <c r="X290" t="str">
        <f t="array" ref="X290">IF($A290="","",INDEX(JupData!$A$2:$K$10000,MATCH($A290&amp;X$1,JupData!$A$2:$A$10000&amp;JupData!$J$2:$J$10000,0),11))</f>
        <v/>
      </c>
      <c r="Y290" t="str">
        <f t="array" ref="Y290">IF($A290="","",INDEX(JupData!$A$2:$K$10000,MATCH($A290&amp;Y$1,JupData!$A$2:$A$10000&amp;JupData!$J$2:$J$10000,0),11))</f>
        <v/>
      </c>
      <c r="Z290" t="str">
        <f t="array" ref="Z290">IF($A290="","",INDEX(JupData!$A$2:$K$10000,MATCH($A290&amp;Z$1,JupData!$A$2:$A$10000&amp;JupData!$J$2:$J$10000,0),11))</f>
        <v/>
      </c>
      <c r="AA290" t="str">
        <f t="array" ref="AA290">IF($A290="","",INDEX(JupData!$A$2:$K$10000,MATCH($A290&amp;AA$1,JupData!$A$2:$A$10000&amp;JupData!$J$2:$J$10000,0),11))</f>
        <v/>
      </c>
      <c r="AB290" t="str">
        <f t="array" ref="AB290">IF($A290="","",INDEX(JupData!$A$2:$K$10000,MATCH($A290&amp;AB$1,JupData!$A$2:$A$10000&amp;JupData!$J$2:$J$10000,0),11))</f>
        <v/>
      </c>
      <c r="AC290" s="10" t="str">
        <f t="shared" si="44"/>
        <v/>
      </c>
      <c r="AD290" s="10" t="str">
        <f t="shared" si="45"/>
        <v/>
      </c>
      <c r="AE290" s="9" t="str">
        <f t="shared" si="46"/>
        <v/>
      </c>
      <c r="AF290" s="10" t="str">
        <f t="shared" si="47"/>
        <v/>
      </c>
      <c r="AG290" s="10" t="str">
        <f t="shared" si="48"/>
        <v/>
      </c>
      <c r="AH290" s="10" t="str">
        <f t="shared" si="49"/>
        <v/>
      </c>
      <c r="AI290" s="10" t="str">
        <f t="shared" si="50"/>
        <v/>
      </c>
      <c r="AJ290" s="10" t="str">
        <f t="shared" si="51"/>
        <v/>
      </c>
      <c r="AK290" s="10" t="str">
        <f t="shared" si="52"/>
        <v/>
      </c>
      <c r="AL290" s="14" t="str">
        <f t="shared" si="53"/>
        <v/>
      </c>
    </row>
    <row r="291" spans="1:38" x14ac:dyDescent="0.2">
      <c r="A291"/>
      <c r="B291" t="str">
        <f>IF($A291="","",VLOOKUP($A291,JupData!$A$2:$I$10000,4,FALSE))</f>
        <v/>
      </c>
      <c r="C291" s="7" t="str">
        <f>IF($A291="",IF(N(D291),0,""),VLOOKUP($A291,JupData!$A$2:$I$10000,7,FALSE))</f>
        <v/>
      </c>
      <c r="D291" t="str">
        <f t="shared" si="54"/>
        <v/>
      </c>
      <c r="E291" t="str">
        <f t="array" ref="E291">IF($A291="","",INDEX(JupData!$A$2:$K$10000,MATCH($A291&amp;E$1,JupData!$A$2:$A$10000&amp;JupData!$J$2:$J$10000,0),11))</f>
        <v/>
      </c>
      <c r="F291" t="str">
        <f t="array" ref="F291">IF($A291="","",INDEX(JupData!$A$2:$K$10000,MATCH($A291&amp;F$1,JupData!$A$2:$A$10000&amp;JupData!$J$2:$J$10000,0),11))</f>
        <v/>
      </c>
      <c r="G291" t="str">
        <f t="array" ref="G291">IF($A291="","",INDEX(JupData!$A$2:$K$10000,MATCH($A291&amp;G$1,JupData!$A$2:$A$10000&amp;JupData!$J$2:$J$10000,0),11))</f>
        <v/>
      </c>
      <c r="H291" t="str">
        <f t="array" ref="H291">IF($A291="","",INDEX(JupData!$A$2:$K$10000,MATCH($A291&amp;H$1,JupData!$A$2:$A$10000&amp;JupData!$J$2:$J$10000,0),11))</f>
        <v/>
      </c>
      <c r="I291" t="str">
        <f t="array" ref="I291">IF($A291="","",INDEX(JupData!$A$2:$K$10000,MATCH($A291&amp;I$1,JupData!$A$2:$A$10000&amp;JupData!$J$2:$J$10000,0),11))</f>
        <v/>
      </c>
      <c r="J291" t="str">
        <f t="array" ref="J291">IF($A291="","",INDEX(JupData!$A$2:$K$10000,MATCH($A291&amp;J$1,JupData!$A$2:$A$10000&amp;JupData!$J$2:$J$10000,0),11))</f>
        <v/>
      </c>
      <c r="K291" t="str">
        <f t="array" ref="K291">IF($A291="","",INDEX(JupData!$A$2:$K$10000,MATCH($A291&amp;K$1,JupData!$A$2:$A$10000&amp;JupData!$J$2:$J$10000,0),11))</f>
        <v/>
      </c>
      <c r="L291" t="str">
        <f t="array" ref="L291">IF($A291="","",INDEX(JupData!$A$2:$K$10000,MATCH($A291&amp;L$1,JupData!$A$2:$A$10000&amp;JupData!$J$2:$J$10000,0),11))</f>
        <v/>
      </c>
      <c r="M291" t="str">
        <f t="array" ref="M291">IF($A291="","",INDEX(JupData!$A$2:$K$10000,MATCH($A291&amp;M$1,JupData!$A$2:$A$10000&amp;JupData!$J$2:$J$10000,0),11))</f>
        <v/>
      </c>
      <c r="N291" t="str">
        <f t="array" ref="N291">IF($A291="","",INDEX(JupData!$A$2:$K$10000,MATCH($A291&amp;N$1,JupData!$A$2:$A$10000&amp;JupData!$J$2:$J$10000,0),11))</f>
        <v/>
      </c>
      <c r="O291" t="str">
        <f t="array" ref="O291">IF($A291="","",INDEX(JupData!$A$2:$K$10000,MATCH($A291&amp;O$1,JupData!$A$2:$A$10000&amp;JupData!$J$2:$J$10000,0),11))</f>
        <v/>
      </c>
      <c r="P291" t="str">
        <f t="array" ref="P291">IF($A291="","",INDEX(JupData!$A$2:$K$10000,MATCH($A291&amp;P$1,JupData!$A$2:$A$10000&amp;JupData!$J$2:$J$10000,0),11))</f>
        <v/>
      </c>
      <c r="Q291" t="str">
        <f t="array" ref="Q291">IF($A291="","",INDEX(JupData!$A$2:$K$10000,MATCH($A291&amp;Q$1,JupData!$A$2:$A$10000&amp;JupData!$J$2:$J$10000,0),11))</f>
        <v/>
      </c>
      <c r="R291" t="str">
        <f t="array" ref="R291">IF($A291="","",INDEX(JupData!$A$2:$K$10000,MATCH($A291&amp;R$1,JupData!$A$2:$A$10000&amp;JupData!$J$2:$J$10000,0),11))</f>
        <v/>
      </c>
      <c r="S291" t="str">
        <f t="array" ref="S291">IF($A291="","",INDEX(JupData!$A$2:$K$10000,MATCH($A291&amp;S$1,JupData!$A$2:$A$10000&amp;JupData!$J$2:$J$10000,0),11))</f>
        <v/>
      </c>
      <c r="T291" t="str">
        <f t="array" ref="T291">IF($A291="","",INDEX(JupData!$A$2:$K$10000,MATCH($A291&amp;T$1,JupData!$A$2:$A$10000&amp;JupData!$J$2:$J$10000,0),11))</f>
        <v/>
      </c>
      <c r="U291" t="str">
        <f t="array" ref="U291">IF($A291="","",INDEX(JupData!$A$2:$K$10000,MATCH($A291&amp;U$1,JupData!$A$2:$A$10000&amp;JupData!$J$2:$J$10000,0),11))</f>
        <v/>
      </c>
      <c r="V291" t="str">
        <f t="array" ref="V291">IF($A291="","",INDEX(JupData!$A$2:$K$10000,MATCH($A291&amp;V$1,JupData!$A$2:$A$10000&amp;JupData!$J$2:$J$10000,0),11))</f>
        <v/>
      </c>
      <c r="W291" t="str">
        <f t="array" ref="W291">IF($A291="","",INDEX(JupData!$A$2:$K$10000,MATCH($A291&amp;W$1,JupData!$A$2:$A$10000&amp;JupData!$J$2:$J$10000,0),11))</f>
        <v/>
      </c>
      <c r="X291" t="str">
        <f t="array" ref="X291">IF($A291="","",INDEX(JupData!$A$2:$K$10000,MATCH($A291&amp;X$1,JupData!$A$2:$A$10000&amp;JupData!$J$2:$J$10000,0),11))</f>
        <v/>
      </c>
      <c r="Y291" t="str">
        <f t="array" ref="Y291">IF($A291="","",INDEX(JupData!$A$2:$K$10000,MATCH($A291&amp;Y$1,JupData!$A$2:$A$10000&amp;JupData!$J$2:$J$10000,0),11))</f>
        <v/>
      </c>
      <c r="Z291" t="str">
        <f t="array" ref="Z291">IF($A291="","",INDEX(JupData!$A$2:$K$10000,MATCH($A291&amp;Z$1,JupData!$A$2:$A$10000&amp;JupData!$J$2:$J$10000,0),11))</f>
        <v/>
      </c>
      <c r="AA291" t="str">
        <f t="array" ref="AA291">IF($A291="","",INDEX(JupData!$A$2:$K$10000,MATCH($A291&amp;AA$1,JupData!$A$2:$A$10000&amp;JupData!$J$2:$J$10000,0),11))</f>
        <v/>
      </c>
      <c r="AB291" t="str">
        <f t="array" ref="AB291">IF($A291="","",INDEX(JupData!$A$2:$K$10000,MATCH($A291&amp;AB$1,JupData!$A$2:$A$10000&amp;JupData!$J$2:$J$10000,0),11))</f>
        <v/>
      </c>
      <c r="AC291" s="10" t="str">
        <f t="shared" si="44"/>
        <v/>
      </c>
      <c r="AD291" s="10" t="str">
        <f t="shared" si="45"/>
        <v/>
      </c>
      <c r="AE291" s="9" t="str">
        <f t="shared" si="46"/>
        <v/>
      </c>
      <c r="AF291" s="10" t="str">
        <f t="shared" si="47"/>
        <v/>
      </c>
      <c r="AG291" s="10" t="str">
        <f t="shared" si="48"/>
        <v/>
      </c>
      <c r="AH291" s="10" t="str">
        <f t="shared" si="49"/>
        <v/>
      </c>
      <c r="AI291" s="10" t="str">
        <f t="shared" si="50"/>
        <v/>
      </c>
      <c r="AJ291" s="10" t="str">
        <f t="shared" si="51"/>
        <v/>
      </c>
      <c r="AK291" s="10" t="str">
        <f t="shared" si="52"/>
        <v/>
      </c>
      <c r="AL291" s="14" t="str">
        <f t="shared" si="53"/>
        <v/>
      </c>
    </row>
    <row r="292" spans="1:38" x14ac:dyDescent="0.2">
      <c r="A292"/>
      <c r="B292" t="str">
        <f>IF($A292="","",VLOOKUP($A292,JupData!$A$2:$I$10000,4,FALSE))</f>
        <v/>
      </c>
      <c r="C292" s="7" t="str">
        <f>IF($A292="",IF(N(D292),0,""),VLOOKUP($A292,JupData!$A$2:$I$10000,7,FALSE))</f>
        <v/>
      </c>
      <c r="D292" t="str">
        <f t="shared" si="54"/>
        <v/>
      </c>
      <c r="E292" t="str">
        <f t="array" ref="E292">IF($A292="","",INDEX(JupData!$A$2:$K$10000,MATCH($A292&amp;E$1,JupData!$A$2:$A$10000&amp;JupData!$J$2:$J$10000,0),11))</f>
        <v/>
      </c>
      <c r="F292" t="str">
        <f t="array" ref="F292">IF($A292="","",INDEX(JupData!$A$2:$K$10000,MATCH($A292&amp;F$1,JupData!$A$2:$A$10000&amp;JupData!$J$2:$J$10000,0),11))</f>
        <v/>
      </c>
      <c r="G292" t="str">
        <f t="array" ref="G292">IF($A292="","",INDEX(JupData!$A$2:$K$10000,MATCH($A292&amp;G$1,JupData!$A$2:$A$10000&amp;JupData!$J$2:$J$10000,0),11))</f>
        <v/>
      </c>
      <c r="H292" t="str">
        <f t="array" ref="H292">IF($A292="","",INDEX(JupData!$A$2:$K$10000,MATCH($A292&amp;H$1,JupData!$A$2:$A$10000&amp;JupData!$J$2:$J$10000,0),11))</f>
        <v/>
      </c>
      <c r="I292" t="str">
        <f t="array" ref="I292">IF($A292="","",INDEX(JupData!$A$2:$K$10000,MATCH($A292&amp;I$1,JupData!$A$2:$A$10000&amp;JupData!$J$2:$J$10000,0),11))</f>
        <v/>
      </c>
      <c r="J292" t="str">
        <f t="array" ref="J292">IF($A292="","",INDEX(JupData!$A$2:$K$10000,MATCH($A292&amp;J$1,JupData!$A$2:$A$10000&amp;JupData!$J$2:$J$10000,0),11))</f>
        <v/>
      </c>
      <c r="K292" t="str">
        <f t="array" ref="K292">IF($A292="","",INDEX(JupData!$A$2:$K$10000,MATCH($A292&amp;K$1,JupData!$A$2:$A$10000&amp;JupData!$J$2:$J$10000,0),11))</f>
        <v/>
      </c>
      <c r="L292" t="str">
        <f t="array" ref="L292">IF($A292="","",INDEX(JupData!$A$2:$K$10000,MATCH($A292&amp;L$1,JupData!$A$2:$A$10000&amp;JupData!$J$2:$J$10000,0),11))</f>
        <v/>
      </c>
      <c r="M292" t="str">
        <f t="array" ref="M292">IF($A292="","",INDEX(JupData!$A$2:$K$10000,MATCH($A292&amp;M$1,JupData!$A$2:$A$10000&amp;JupData!$J$2:$J$10000,0),11))</f>
        <v/>
      </c>
      <c r="N292" t="str">
        <f t="array" ref="N292">IF($A292="","",INDEX(JupData!$A$2:$K$10000,MATCH($A292&amp;N$1,JupData!$A$2:$A$10000&amp;JupData!$J$2:$J$10000,0),11))</f>
        <v/>
      </c>
      <c r="O292" t="str">
        <f t="array" ref="O292">IF($A292="","",INDEX(JupData!$A$2:$K$10000,MATCH($A292&amp;O$1,JupData!$A$2:$A$10000&amp;JupData!$J$2:$J$10000,0),11))</f>
        <v/>
      </c>
      <c r="P292" t="str">
        <f t="array" ref="P292">IF($A292="","",INDEX(JupData!$A$2:$K$10000,MATCH($A292&amp;P$1,JupData!$A$2:$A$10000&amp;JupData!$J$2:$J$10000,0),11))</f>
        <v/>
      </c>
      <c r="Q292" t="str">
        <f t="array" ref="Q292">IF($A292="","",INDEX(JupData!$A$2:$K$10000,MATCH($A292&amp;Q$1,JupData!$A$2:$A$10000&amp;JupData!$J$2:$J$10000,0),11))</f>
        <v/>
      </c>
      <c r="R292" t="str">
        <f t="array" ref="R292">IF($A292="","",INDEX(JupData!$A$2:$K$10000,MATCH($A292&amp;R$1,JupData!$A$2:$A$10000&amp;JupData!$J$2:$J$10000,0),11))</f>
        <v/>
      </c>
      <c r="S292" t="str">
        <f t="array" ref="S292">IF($A292="","",INDEX(JupData!$A$2:$K$10000,MATCH($A292&amp;S$1,JupData!$A$2:$A$10000&amp;JupData!$J$2:$J$10000,0),11))</f>
        <v/>
      </c>
      <c r="T292" t="str">
        <f t="array" ref="T292">IF($A292="","",INDEX(JupData!$A$2:$K$10000,MATCH($A292&amp;T$1,JupData!$A$2:$A$10000&amp;JupData!$J$2:$J$10000,0),11))</f>
        <v/>
      </c>
      <c r="U292" t="str">
        <f t="array" ref="U292">IF($A292="","",INDEX(JupData!$A$2:$K$10000,MATCH($A292&amp;U$1,JupData!$A$2:$A$10000&amp;JupData!$J$2:$J$10000,0),11))</f>
        <v/>
      </c>
      <c r="V292" t="str">
        <f t="array" ref="V292">IF($A292="","",INDEX(JupData!$A$2:$K$10000,MATCH($A292&amp;V$1,JupData!$A$2:$A$10000&amp;JupData!$J$2:$J$10000,0),11))</f>
        <v/>
      </c>
      <c r="W292" t="str">
        <f t="array" ref="W292">IF($A292="","",INDEX(JupData!$A$2:$K$10000,MATCH($A292&amp;W$1,JupData!$A$2:$A$10000&amp;JupData!$J$2:$J$10000,0),11))</f>
        <v/>
      </c>
      <c r="X292" t="str">
        <f t="array" ref="X292">IF($A292="","",INDEX(JupData!$A$2:$K$10000,MATCH($A292&amp;X$1,JupData!$A$2:$A$10000&amp;JupData!$J$2:$J$10000,0),11))</f>
        <v/>
      </c>
      <c r="Y292" t="str">
        <f t="array" ref="Y292">IF($A292="","",INDEX(JupData!$A$2:$K$10000,MATCH($A292&amp;Y$1,JupData!$A$2:$A$10000&amp;JupData!$J$2:$J$10000,0),11))</f>
        <v/>
      </c>
      <c r="Z292" t="str">
        <f t="array" ref="Z292">IF($A292="","",INDEX(JupData!$A$2:$K$10000,MATCH($A292&amp;Z$1,JupData!$A$2:$A$10000&amp;JupData!$J$2:$J$10000,0),11))</f>
        <v/>
      </c>
      <c r="AA292" t="str">
        <f t="array" ref="AA292">IF($A292="","",INDEX(JupData!$A$2:$K$10000,MATCH($A292&amp;AA$1,JupData!$A$2:$A$10000&amp;JupData!$J$2:$J$10000,0),11))</f>
        <v/>
      </c>
      <c r="AB292" t="str">
        <f t="array" ref="AB292">IF($A292="","",INDEX(JupData!$A$2:$K$10000,MATCH($A292&amp;AB$1,JupData!$A$2:$A$10000&amp;JupData!$J$2:$J$10000,0),11))</f>
        <v/>
      </c>
      <c r="AC292" s="10" t="str">
        <f t="shared" si="44"/>
        <v/>
      </c>
      <c r="AD292" s="10" t="str">
        <f t="shared" si="45"/>
        <v/>
      </c>
      <c r="AE292" s="9" t="str">
        <f t="shared" si="46"/>
        <v/>
      </c>
      <c r="AF292" s="10" t="str">
        <f t="shared" si="47"/>
        <v/>
      </c>
      <c r="AG292" s="10" t="str">
        <f t="shared" si="48"/>
        <v/>
      </c>
      <c r="AH292" s="10" t="str">
        <f t="shared" si="49"/>
        <v/>
      </c>
      <c r="AI292" s="10" t="str">
        <f t="shared" si="50"/>
        <v/>
      </c>
      <c r="AJ292" s="10" t="str">
        <f t="shared" si="51"/>
        <v/>
      </c>
      <c r="AK292" s="10" t="str">
        <f t="shared" si="52"/>
        <v/>
      </c>
      <c r="AL292" s="14" t="str">
        <f t="shared" si="53"/>
        <v/>
      </c>
    </row>
    <row r="293" spans="1:38" x14ac:dyDescent="0.2">
      <c r="A293"/>
      <c r="B293" t="str">
        <f>IF($A293="","",VLOOKUP($A293,JupData!$A$2:$I$10000,4,FALSE))</f>
        <v/>
      </c>
      <c r="C293" s="7" t="str">
        <f>IF($A293="",IF(N(D293),0,""),VLOOKUP($A293,JupData!$A$2:$I$10000,7,FALSE))</f>
        <v/>
      </c>
      <c r="D293" t="str">
        <f t="shared" si="54"/>
        <v/>
      </c>
      <c r="E293" t="str">
        <f t="array" ref="E293">IF($A293="","",INDEX(JupData!$A$2:$K$10000,MATCH($A293&amp;E$1,JupData!$A$2:$A$10000&amp;JupData!$J$2:$J$10000,0),11))</f>
        <v/>
      </c>
      <c r="F293" t="str">
        <f t="array" ref="F293">IF($A293="","",INDEX(JupData!$A$2:$K$10000,MATCH($A293&amp;F$1,JupData!$A$2:$A$10000&amp;JupData!$J$2:$J$10000,0),11))</f>
        <v/>
      </c>
      <c r="G293" t="str">
        <f t="array" ref="G293">IF($A293="","",INDEX(JupData!$A$2:$K$10000,MATCH($A293&amp;G$1,JupData!$A$2:$A$10000&amp;JupData!$J$2:$J$10000,0),11))</f>
        <v/>
      </c>
      <c r="H293" t="str">
        <f t="array" ref="H293">IF($A293="","",INDEX(JupData!$A$2:$K$10000,MATCH($A293&amp;H$1,JupData!$A$2:$A$10000&amp;JupData!$J$2:$J$10000,0),11))</f>
        <v/>
      </c>
      <c r="I293" t="str">
        <f t="array" ref="I293">IF($A293="","",INDEX(JupData!$A$2:$K$10000,MATCH($A293&amp;I$1,JupData!$A$2:$A$10000&amp;JupData!$J$2:$J$10000,0),11))</f>
        <v/>
      </c>
      <c r="J293" t="str">
        <f t="array" ref="J293">IF($A293="","",INDEX(JupData!$A$2:$K$10000,MATCH($A293&amp;J$1,JupData!$A$2:$A$10000&amp;JupData!$J$2:$J$10000,0),11))</f>
        <v/>
      </c>
      <c r="K293" t="str">
        <f t="array" ref="K293">IF($A293="","",INDEX(JupData!$A$2:$K$10000,MATCH($A293&amp;K$1,JupData!$A$2:$A$10000&amp;JupData!$J$2:$J$10000,0),11))</f>
        <v/>
      </c>
      <c r="L293" t="str">
        <f t="array" ref="L293">IF($A293="","",INDEX(JupData!$A$2:$K$10000,MATCH($A293&amp;L$1,JupData!$A$2:$A$10000&amp;JupData!$J$2:$J$10000,0),11))</f>
        <v/>
      </c>
      <c r="M293" t="str">
        <f t="array" ref="M293">IF($A293="","",INDEX(JupData!$A$2:$K$10000,MATCH($A293&amp;M$1,JupData!$A$2:$A$10000&amp;JupData!$J$2:$J$10000,0),11))</f>
        <v/>
      </c>
      <c r="N293" t="str">
        <f t="array" ref="N293">IF($A293="","",INDEX(JupData!$A$2:$K$10000,MATCH($A293&amp;N$1,JupData!$A$2:$A$10000&amp;JupData!$J$2:$J$10000,0),11))</f>
        <v/>
      </c>
      <c r="O293" t="str">
        <f t="array" ref="O293">IF($A293="","",INDEX(JupData!$A$2:$K$10000,MATCH($A293&amp;O$1,JupData!$A$2:$A$10000&amp;JupData!$J$2:$J$10000,0),11))</f>
        <v/>
      </c>
      <c r="P293" t="str">
        <f t="array" ref="P293">IF($A293="","",INDEX(JupData!$A$2:$K$10000,MATCH($A293&amp;P$1,JupData!$A$2:$A$10000&amp;JupData!$J$2:$J$10000,0),11))</f>
        <v/>
      </c>
      <c r="Q293" t="str">
        <f t="array" ref="Q293">IF($A293="","",INDEX(JupData!$A$2:$K$10000,MATCH($A293&amp;Q$1,JupData!$A$2:$A$10000&amp;JupData!$J$2:$J$10000,0),11))</f>
        <v/>
      </c>
      <c r="R293" t="str">
        <f t="array" ref="R293">IF($A293="","",INDEX(JupData!$A$2:$K$10000,MATCH($A293&amp;R$1,JupData!$A$2:$A$10000&amp;JupData!$J$2:$J$10000,0),11))</f>
        <v/>
      </c>
      <c r="S293" t="str">
        <f t="array" ref="S293">IF($A293="","",INDEX(JupData!$A$2:$K$10000,MATCH($A293&amp;S$1,JupData!$A$2:$A$10000&amp;JupData!$J$2:$J$10000,0),11))</f>
        <v/>
      </c>
      <c r="T293" t="str">
        <f t="array" ref="T293">IF($A293="","",INDEX(JupData!$A$2:$K$10000,MATCH($A293&amp;T$1,JupData!$A$2:$A$10000&amp;JupData!$J$2:$J$10000,0),11))</f>
        <v/>
      </c>
      <c r="U293" t="str">
        <f t="array" ref="U293">IF($A293="","",INDEX(JupData!$A$2:$K$10000,MATCH($A293&amp;U$1,JupData!$A$2:$A$10000&amp;JupData!$J$2:$J$10000,0),11))</f>
        <v/>
      </c>
      <c r="V293" t="str">
        <f t="array" ref="V293">IF($A293="","",INDEX(JupData!$A$2:$K$10000,MATCH($A293&amp;V$1,JupData!$A$2:$A$10000&amp;JupData!$J$2:$J$10000,0),11))</f>
        <v/>
      </c>
      <c r="W293" t="str">
        <f t="array" ref="W293">IF($A293="","",INDEX(JupData!$A$2:$K$10000,MATCH($A293&amp;W$1,JupData!$A$2:$A$10000&amp;JupData!$J$2:$J$10000,0),11))</f>
        <v/>
      </c>
      <c r="X293" t="str">
        <f t="array" ref="X293">IF($A293="","",INDEX(JupData!$A$2:$K$10000,MATCH($A293&amp;X$1,JupData!$A$2:$A$10000&amp;JupData!$J$2:$J$10000,0),11))</f>
        <v/>
      </c>
      <c r="Y293" t="str">
        <f t="array" ref="Y293">IF($A293="","",INDEX(JupData!$A$2:$K$10000,MATCH($A293&amp;Y$1,JupData!$A$2:$A$10000&amp;JupData!$J$2:$J$10000,0),11))</f>
        <v/>
      </c>
      <c r="Z293" t="str">
        <f t="array" ref="Z293">IF($A293="","",INDEX(JupData!$A$2:$K$10000,MATCH($A293&amp;Z$1,JupData!$A$2:$A$10000&amp;JupData!$J$2:$J$10000,0),11))</f>
        <v/>
      </c>
      <c r="AA293" t="str">
        <f t="array" ref="AA293">IF($A293="","",INDEX(JupData!$A$2:$K$10000,MATCH($A293&amp;AA$1,JupData!$A$2:$A$10000&amp;JupData!$J$2:$J$10000,0),11))</f>
        <v/>
      </c>
      <c r="AB293" t="str">
        <f t="array" ref="AB293">IF($A293="","",INDEX(JupData!$A$2:$K$10000,MATCH($A293&amp;AB$1,JupData!$A$2:$A$10000&amp;JupData!$J$2:$J$10000,0),11))</f>
        <v/>
      </c>
      <c r="AC293" s="10" t="str">
        <f t="shared" si="44"/>
        <v/>
      </c>
      <c r="AD293" s="10" t="str">
        <f t="shared" si="45"/>
        <v/>
      </c>
      <c r="AE293" s="9" t="str">
        <f t="shared" si="46"/>
        <v/>
      </c>
      <c r="AF293" s="10" t="str">
        <f t="shared" si="47"/>
        <v/>
      </c>
      <c r="AG293" s="10" t="str">
        <f t="shared" si="48"/>
        <v/>
      </c>
      <c r="AH293" s="10" t="str">
        <f t="shared" si="49"/>
        <v/>
      </c>
      <c r="AI293" s="10" t="str">
        <f t="shared" si="50"/>
        <v/>
      </c>
      <c r="AJ293" s="10" t="str">
        <f t="shared" si="51"/>
        <v/>
      </c>
      <c r="AK293" s="10" t="str">
        <f t="shared" si="52"/>
        <v/>
      </c>
      <c r="AL293" s="14" t="str">
        <f t="shared" si="53"/>
        <v/>
      </c>
    </row>
    <row r="294" spans="1:38" x14ac:dyDescent="0.2">
      <c r="A294"/>
      <c r="B294" t="str">
        <f>IF($A294="","",VLOOKUP($A294,JupData!$A$2:$I$10000,4,FALSE))</f>
        <v/>
      </c>
      <c r="C294" s="7" t="str">
        <f>IF($A294="",IF(N(D294),0,""),VLOOKUP($A294,JupData!$A$2:$I$10000,7,FALSE))</f>
        <v/>
      </c>
      <c r="D294" t="str">
        <f t="shared" si="54"/>
        <v/>
      </c>
      <c r="E294" t="str">
        <f t="array" ref="E294">IF($A294="","",INDEX(JupData!$A$2:$K$10000,MATCH($A294&amp;E$1,JupData!$A$2:$A$10000&amp;JupData!$J$2:$J$10000,0),11))</f>
        <v/>
      </c>
      <c r="F294" t="str">
        <f t="array" ref="F294">IF($A294="","",INDEX(JupData!$A$2:$K$10000,MATCH($A294&amp;F$1,JupData!$A$2:$A$10000&amp;JupData!$J$2:$J$10000,0),11))</f>
        <v/>
      </c>
      <c r="G294" t="str">
        <f t="array" ref="G294">IF($A294="","",INDEX(JupData!$A$2:$K$10000,MATCH($A294&amp;G$1,JupData!$A$2:$A$10000&amp;JupData!$J$2:$J$10000,0),11))</f>
        <v/>
      </c>
      <c r="H294" t="str">
        <f t="array" ref="H294">IF($A294="","",INDEX(JupData!$A$2:$K$10000,MATCH($A294&amp;H$1,JupData!$A$2:$A$10000&amp;JupData!$J$2:$J$10000,0),11))</f>
        <v/>
      </c>
      <c r="I294" t="str">
        <f t="array" ref="I294">IF($A294="","",INDEX(JupData!$A$2:$K$10000,MATCH($A294&amp;I$1,JupData!$A$2:$A$10000&amp;JupData!$J$2:$J$10000,0),11))</f>
        <v/>
      </c>
      <c r="J294" t="str">
        <f t="array" ref="J294">IF($A294="","",INDEX(JupData!$A$2:$K$10000,MATCH($A294&amp;J$1,JupData!$A$2:$A$10000&amp;JupData!$J$2:$J$10000,0),11))</f>
        <v/>
      </c>
      <c r="K294" t="str">
        <f t="array" ref="K294">IF($A294="","",INDEX(JupData!$A$2:$K$10000,MATCH($A294&amp;K$1,JupData!$A$2:$A$10000&amp;JupData!$J$2:$J$10000,0),11))</f>
        <v/>
      </c>
      <c r="L294" t="str">
        <f t="array" ref="L294">IF($A294="","",INDEX(JupData!$A$2:$K$10000,MATCH($A294&amp;L$1,JupData!$A$2:$A$10000&amp;JupData!$J$2:$J$10000,0),11))</f>
        <v/>
      </c>
      <c r="M294" t="str">
        <f t="array" ref="M294">IF($A294="","",INDEX(JupData!$A$2:$K$10000,MATCH($A294&amp;M$1,JupData!$A$2:$A$10000&amp;JupData!$J$2:$J$10000,0),11))</f>
        <v/>
      </c>
      <c r="N294" t="str">
        <f t="array" ref="N294">IF($A294="","",INDEX(JupData!$A$2:$K$10000,MATCH($A294&amp;N$1,JupData!$A$2:$A$10000&amp;JupData!$J$2:$J$10000,0),11))</f>
        <v/>
      </c>
      <c r="O294" t="str">
        <f t="array" ref="O294">IF($A294="","",INDEX(JupData!$A$2:$K$10000,MATCH($A294&amp;O$1,JupData!$A$2:$A$10000&amp;JupData!$J$2:$J$10000,0),11))</f>
        <v/>
      </c>
      <c r="P294" t="str">
        <f t="array" ref="P294">IF($A294="","",INDEX(JupData!$A$2:$K$10000,MATCH($A294&amp;P$1,JupData!$A$2:$A$10000&amp;JupData!$J$2:$J$10000,0),11))</f>
        <v/>
      </c>
      <c r="Q294" t="str">
        <f t="array" ref="Q294">IF($A294="","",INDEX(JupData!$A$2:$K$10000,MATCH($A294&amp;Q$1,JupData!$A$2:$A$10000&amp;JupData!$J$2:$J$10000,0),11))</f>
        <v/>
      </c>
      <c r="R294" t="str">
        <f t="array" ref="R294">IF($A294="","",INDEX(JupData!$A$2:$K$10000,MATCH($A294&amp;R$1,JupData!$A$2:$A$10000&amp;JupData!$J$2:$J$10000,0),11))</f>
        <v/>
      </c>
      <c r="S294" t="str">
        <f t="array" ref="S294">IF($A294="","",INDEX(JupData!$A$2:$K$10000,MATCH($A294&amp;S$1,JupData!$A$2:$A$10000&amp;JupData!$J$2:$J$10000,0),11))</f>
        <v/>
      </c>
      <c r="T294" t="str">
        <f t="array" ref="T294">IF($A294="","",INDEX(JupData!$A$2:$K$10000,MATCH($A294&amp;T$1,JupData!$A$2:$A$10000&amp;JupData!$J$2:$J$10000,0),11))</f>
        <v/>
      </c>
      <c r="U294" t="str">
        <f t="array" ref="U294">IF($A294="","",INDEX(JupData!$A$2:$K$10000,MATCH($A294&amp;U$1,JupData!$A$2:$A$10000&amp;JupData!$J$2:$J$10000,0),11))</f>
        <v/>
      </c>
      <c r="V294" t="str">
        <f t="array" ref="V294">IF($A294="","",INDEX(JupData!$A$2:$K$10000,MATCH($A294&amp;V$1,JupData!$A$2:$A$10000&amp;JupData!$J$2:$J$10000,0),11))</f>
        <v/>
      </c>
      <c r="W294" t="str">
        <f t="array" ref="W294">IF($A294="","",INDEX(JupData!$A$2:$K$10000,MATCH($A294&amp;W$1,JupData!$A$2:$A$10000&amp;JupData!$J$2:$J$10000,0),11))</f>
        <v/>
      </c>
      <c r="X294" t="str">
        <f t="array" ref="X294">IF($A294="","",INDEX(JupData!$A$2:$K$10000,MATCH($A294&amp;X$1,JupData!$A$2:$A$10000&amp;JupData!$J$2:$J$10000,0),11))</f>
        <v/>
      </c>
      <c r="Y294" t="str">
        <f t="array" ref="Y294">IF($A294="","",INDEX(JupData!$A$2:$K$10000,MATCH($A294&amp;Y$1,JupData!$A$2:$A$10000&amp;JupData!$J$2:$J$10000,0),11))</f>
        <v/>
      </c>
      <c r="Z294" t="str">
        <f t="array" ref="Z294">IF($A294="","",INDEX(JupData!$A$2:$K$10000,MATCH($A294&amp;Z$1,JupData!$A$2:$A$10000&amp;JupData!$J$2:$J$10000,0),11))</f>
        <v/>
      </c>
      <c r="AA294" t="str">
        <f t="array" ref="AA294">IF($A294="","",INDEX(JupData!$A$2:$K$10000,MATCH($A294&amp;AA$1,JupData!$A$2:$A$10000&amp;JupData!$J$2:$J$10000,0),11))</f>
        <v/>
      </c>
      <c r="AB294" t="str">
        <f t="array" ref="AB294">IF($A294="","",INDEX(JupData!$A$2:$K$10000,MATCH($A294&amp;AB$1,JupData!$A$2:$A$10000&amp;JupData!$J$2:$J$10000,0),11))</f>
        <v/>
      </c>
      <c r="AC294" s="10" t="str">
        <f t="shared" si="44"/>
        <v/>
      </c>
      <c r="AD294" s="10" t="str">
        <f t="shared" si="45"/>
        <v/>
      </c>
      <c r="AE294" s="9" t="str">
        <f t="shared" si="46"/>
        <v/>
      </c>
      <c r="AF294" s="10" t="str">
        <f t="shared" si="47"/>
        <v/>
      </c>
      <c r="AG294" s="10" t="str">
        <f t="shared" si="48"/>
        <v/>
      </c>
      <c r="AH294" s="10" t="str">
        <f t="shared" si="49"/>
        <v/>
      </c>
      <c r="AI294" s="10" t="str">
        <f t="shared" si="50"/>
        <v/>
      </c>
      <c r="AJ294" s="10" t="str">
        <f t="shared" si="51"/>
        <v/>
      </c>
      <c r="AK294" s="10" t="str">
        <f t="shared" si="52"/>
        <v/>
      </c>
      <c r="AL294" s="14" t="str">
        <f t="shared" si="53"/>
        <v/>
      </c>
    </row>
    <row r="295" spans="1:38" x14ac:dyDescent="0.2">
      <c r="A295"/>
      <c r="B295" t="str">
        <f>IF($A295="","",VLOOKUP($A295,JupData!$A$2:$I$10000,4,FALSE))</f>
        <v/>
      </c>
      <c r="C295" s="7" t="str">
        <f>IF($A295="",IF(N(D295),0,""),VLOOKUP($A295,JupData!$A$2:$I$10000,7,FALSE))</f>
        <v/>
      </c>
      <c r="D295" t="str">
        <f t="shared" si="54"/>
        <v/>
      </c>
      <c r="E295" t="str">
        <f t="array" ref="E295">IF($A295="","",INDEX(JupData!$A$2:$K$10000,MATCH($A295&amp;E$1,JupData!$A$2:$A$10000&amp;JupData!$J$2:$J$10000,0),11))</f>
        <v/>
      </c>
      <c r="F295" t="str">
        <f t="array" ref="F295">IF($A295="","",INDEX(JupData!$A$2:$K$10000,MATCH($A295&amp;F$1,JupData!$A$2:$A$10000&amp;JupData!$J$2:$J$10000,0),11))</f>
        <v/>
      </c>
      <c r="G295" t="str">
        <f t="array" ref="G295">IF($A295="","",INDEX(JupData!$A$2:$K$10000,MATCH($A295&amp;G$1,JupData!$A$2:$A$10000&amp;JupData!$J$2:$J$10000,0),11))</f>
        <v/>
      </c>
      <c r="H295" t="str">
        <f t="array" ref="H295">IF($A295="","",INDEX(JupData!$A$2:$K$10000,MATCH($A295&amp;H$1,JupData!$A$2:$A$10000&amp;JupData!$J$2:$J$10000,0),11))</f>
        <v/>
      </c>
      <c r="I295" t="str">
        <f t="array" ref="I295">IF($A295="","",INDEX(JupData!$A$2:$K$10000,MATCH($A295&amp;I$1,JupData!$A$2:$A$10000&amp;JupData!$J$2:$J$10000,0),11))</f>
        <v/>
      </c>
      <c r="J295" t="str">
        <f t="array" ref="J295">IF($A295="","",INDEX(JupData!$A$2:$K$10000,MATCH($A295&amp;J$1,JupData!$A$2:$A$10000&amp;JupData!$J$2:$J$10000,0),11))</f>
        <v/>
      </c>
      <c r="K295" t="str">
        <f t="array" ref="K295">IF($A295="","",INDEX(JupData!$A$2:$K$10000,MATCH($A295&amp;K$1,JupData!$A$2:$A$10000&amp;JupData!$J$2:$J$10000,0),11))</f>
        <v/>
      </c>
      <c r="L295" t="str">
        <f t="array" ref="L295">IF($A295="","",INDEX(JupData!$A$2:$K$10000,MATCH($A295&amp;L$1,JupData!$A$2:$A$10000&amp;JupData!$J$2:$J$10000,0),11))</f>
        <v/>
      </c>
      <c r="M295" t="str">
        <f t="array" ref="M295">IF($A295="","",INDEX(JupData!$A$2:$K$10000,MATCH($A295&amp;M$1,JupData!$A$2:$A$10000&amp;JupData!$J$2:$J$10000,0),11))</f>
        <v/>
      </c>
      <c r="N295" t="str">
        <f t="array" ref="N295">IF($A295="","",INDEX(JupData!$A$2:$K$10000,MATCH($A295&amp;N$1,JupData!$A$2:$A$10000&amp;JupData!$J$2:$J$10000,0),11))</f>
        <v/>
      </c>
      <c r="O295" t="str">
        <f t="array" ref="O295">IF($A295="","",INDEX(JupData!$A$2:$K$10000,MATCH($A295&amp;O$1,JupData!$A$2:$A$10000&amp;JupData!$J$2:$J$10000,0),11))</f>
        <v/>
      </c>
      <c r="P295" t="str">
        <f t="array" ref="P295">IF($A295="","",INDEX(JupData!$A$2:$K$10000,MATCH($A295&amp;P$1,JupData!$A$2:$A$10000&amp;JupData!$J$2:$J$10000,0),11))</f>
        <v/>
      </c>
      <c r="Q295" t="str">
        <f t="array" ref="Q295">IF($A295="","",INDEX(JupData!$A$2:$K$10000,MATCH($A295&amp;Q$1,JupData!$A$2:$A$10000&amp;JupData!$J$2:$J$10000,0),11))</f>
        <v/>
      </c>
      <c r="R295" t="str">
        <f t="array" ref="R295">IF($A295="","",INDEX(JupData!$A$2:$K$10000,MATCH($A295&amp;R$1,JupData!$A$2:$A$10000&amp;JupData!$J$2:$J$10000,0),11))</f>
        <v/>
      </c>
      <c r="S295" t="str">
        <f t="array" ref="S295">IF($A295="","",INDEX(JupData!$A$2:$K$10000,MATCH($A295&amp;S$1,JupData!$A$2:$A$10000&amp;JupData!$J$2:$J$10000,0),11))</f>
        <v/>
      </c>
      <c r="T295" t="str">
        <f t="array" ref="T295">IF($A295="","",INDEX(JupData!$A$2:$K$10000,MATCH($A295&amp;T$1,JupData!$A$2:$A$10000&amp;JupData!$J$2:$J$10000,0),11))</f>
        <v/>
      </c>
      <c r="U295" t="str">
        <f t="array" ref="U295">IF($A295="","",INDEX(JupData!$A$2:$K$10000,MATCH($A295&amp;U$1,JupData!$A$2:$A$10000&amp;JupData!$J$2:$J$10000,0),11))</f>
        <v/>
      </c>
      <c r="V295" t="str">
        <f t="array" ref="V295">IF($A295="","",INDEX(JupData!$A$2:$K$10000,MATCH($A295&amp;V$1,JupData!$A$2:$A$10000&amp;JupData!$J$2:$J$10000,0),11))</f>
        <v/>
      </c>
      <c r="W295" t="str">
        <f t="array" ref="W295">IF($A295="","",INDEX(JupData!$A$2:$K$10000,MATCH($A295&amp;W$1,JupData!$A$2:$A$10000&amp;JupData!$J$2:$J$10000,0),11))</f>
        <v/>
      </c>
      <c r="X295" t="str">
        <f t="array" ref="X295">IF($A295="","",INDEX(JupData!$A$2:$K$10000,MATCH($A295&amp;X$1,JupData!$A$2:$A$10000&amp;JupData!$J$2:$J$10000,0),11))</f>
        <v/>
      </c>
      <c r="Y295" t="str">
        <f t="array" ref="Y295">IF($A295="","",INDEX(JupData!$A$2:$K$10000,MATCH($A295&amp;Y$1,JupData!$A$2:$A$10000&amp;JupData!$J$2:$J$10000,0),11))</f>
        <v/>
      </c>
      <c r="Z295" t="str">
        <f t="array" ref="Z295">IF($A295="","",INDEX(JupData!$A$2:$K$10000,MATCH($A295&amp;Z$1,JupData!$A$2:$A$10000&amp;JupData!$J$2:$J$10000,0),11))</f>
        <v/>
      </c>
      <c r="AA295" t="str">
        <f t="array" ref="AA295">IF($A295="","",INDEX(JupData!$A$2:$K$10000,MATCH($A295&amp;AA$1,JupData!$A$2:$A$10000&amp;JupData!$J$2:$J$10000,0),11))</f>
        <v/>
      </c>
      <c r="AB295" t="str">
        <f t="array" ref="AB295">IF($A295="","",INDEX(JupData!$A$2:$K$10000,MATCH($A295&amp;AB$1,JupData!$A$2:$A$10000&amp;JupData!$J$2:$J$10000,0),11))</f>
        <v/>
      </c>
      <c r="AC295" s="10" t="str">
        <f t="shared" si="44"/>
        <v/>
      </c>
      <c r="AD295" s="10" t="str">
        <f t="shared" si="45"/>
        <v/>
      </c>
      <c r="AE295" s="9" t="str">
        <f t="shared" si="46"/>
        <v/>
      </c>
      <c r="AF295" s="10" t="str">
        <f t="shared" si="47"/>
        <v/>
      </c>
      <c r="AG295" s="10" t="str">
        <f t="shared" si="48"/>
        <v/>
      </c>
      <c r="AH295" s="10" t="str">
        <f t="shared" si="49"/>
        <v/>
      </c>
      <c r="AI295" s="10" t="str">
        <f t="shared" si="50"/>
        <v/>
      </c>
      <c r="AJ295" s="10" t="str">
        <f t="shared" si="51"/>
        <v/>
      </c>
      <c r="AK295" s="10" t="str">
        <f t="shared" si="52"/>
        <v/>
      </c>
      <c r="AL295" s="14" t="str">
        <f t="shared" si="53"/>
        <v/>
      </c>
    </row>
    <row r="296" spans="1:38" x14ac:dyDescent="0.2">
      <c r="A296"/>
      <c r="B296" t="str">
        <f>IF($A296="","",VLOOKUP($A296,JupData!$A$2:$I$10000,4,FALSE))</f>
        <v/>
      </c>
      <c r="C296" s="7" t="str">
        <f>IF($A296="",IF(N(D296),0,""),VLOOKUP($A296,JupData!$A$2:$I$10000,7,FALSE))</f>
        <v/>
      </c>
      <c r="D296" t="str">
        <f t="shared" si="54"/>
        <v/>
      </c>
      <c r="E296" t="str">
        <f t="array" ref="E296">IF($A296="","",INDEX(JupData!$A$2:$K$10000,MATCH($A296&amp;E$1,JupData!$A$2:$A$10000&amp;JupData!$J$2:$J$10000,0),11))</f>
        <v/>
      </c>
      <c r="F296" t="str">
        <f t="array" ref="F296">IF($A296="","",INDEX(JupData!$A$2:$K$10000,MATCH($A296&amp;F$1,JupData!$A$2:$A$10000&amp;JupData!$J$2:$J$10000,0),11))</f>
        <v/>
      </c>
      <c r="G296" t="str">
        <f t="array" ref="G296">IF($A296="","",INDEX(JupData!$A$2:$K$10000,MATCH($A296&amp;G$1,JupData!$A$2:$A$10000&amp;JupData!$J$2:$J$10000,0),11))</f>
        <v/>
      </c>
      <c r="H296" t="str">
        <f t="array" ref="H296">IF($A296="","",INDEX(JupData!$A$2:$K$10000,MATCH($A296&amp;H$1,JupData!$A$2:$A$10000&amp;JupData!$J$2:$J$10000,0),11))</f>
        <v/>
      </c>
      <c r="I296" t="str">
        <f t="array" ref="I296">IF($A296="","",INDEX(JupData!$A$2:$K$10000,MATCH($A296&amp;I$1,JupData!$A$2:$A$10000&amp;JupData!$J$2:$J$10000,0),11))</f>
        <v/>
      </c>
      <c r="J296" t="str">
        <f t="array" ref="J296">IF($A296="","",INDEX(JupData!$A$2:$K$10000,MATCH($A296&amp;J$1,JupData!$A$2:$A$10000&amp;JupData!$J$2:$J$10000,0),11))</f>
        <v/>
      </c>
      <c r="K296" t="str">
        <f t="array" ref="K296">IF($A296="","",INDEX(JupData!$A$2:$K$10000,MATCH($A296&amp;K$1,JupData!$A$2:$A$10000&amp;JupData!$J$2:$J$10000,0),11))</f>
        <v/>
      </c>
      <c r="L296" t="str">
        <f t="array" ref="L296">IF($A296="","",INDEX(JupData!$A$2:$K$10000,MATCH($A296&amp;L$1,JupData!$A$2:$A$10000&amp;JupData!$J$2:$J$10000,0),11))</f>
        <v/>
      </c>
      <c r="M296" t="str">
        <f t="array" ref="M296">IF($A296="","",INDEX(JupData!$A$2:$K$10000,MATCH($A296&amp;M$1,JupData!$A$2:$A$10000&amp;JupData!$J$2:$J$10000,0),11))</f>
        <v/>
      </c>
      <c r="N296" t="str">
        <f t="array" ref="N296">IF($A296="","",INDEX(JupData!$A$2:$K$10000,MATCH($A296&amp;N$1,JupData!$A$2:$A$10000&amp;JupData!$J$2:$J$10000,0),11))</f>
        <v/>
      </c>
      <c r="O296" t="str">
        <f t="array" ref="O296">IF($A296="","",INDEX(JupData!$A$2:$K$10000,MATCH($A296&amp;O$1,JupData!$A$2:$A$10000&amp;JupData!$J$2:$J$10000,0),11))</f>
        <v/>
      </c>
      <c r="P296" t="str">
        <f t="array" ref="P296">IF($A296="","",INDEX(JupData!$A$2:$K$10000,MATCH($A296&amp;P$1,JupData!$A$2:$A$10000&amp;JupData!$J$2:$J$10000,0),11))</f>
        <v/>
      </c>
      <c r="Q296" t="str">
        <f t="array" ref="Q296">IF($A296="","",INDEX(JupData!$A$2:$K$10000,MATCH($A296&amp;Q$1,JupData!$A$2:$A$10000&amp;JupData!$J$2:$J$10000,0),11))</f>
        <v/>
      </c>
      <c r="R296" t="str">
        <f t="array" ref="R296">IF($A296="","",INDEX(JupData!$A$2:$K$10000,MATCH($A296&amp;R$1,JupData!$A$2:$A$10000&amp;JupData!$J$2:$J$10000,0),11))</f>
        <v/>
      </c>
      <c r="S296" t="str">
        <f t="array" ref="S296">IF($A296="","",INDEX(JupData!$A$2:$K$10000,MATCH($A296&amp;S$1,JupData!$A$2:$A$10000&amp;JupData!$J$2:$J$10000,0),11))</f>
        <v/>
      </c>
      <c r="T296" t="str">
        <f t="array" ref="T296">IF($A296="","",INDEX(JupData!$A$2:$K$10000,MATCH($A296&amp;T$1,JupData!$A$2:$A$10000&amp;JupData!$J$2:$J$10000,0),11))</f>
        <v/>
      </c>
      <c r="U296" t="str">
        <f t="array" ref="U296">IF($A296="","",INDEX(JupData!$A$2:$K$10000,MATCH($A296&amp;U$1,JupData!$A$2:$A$10000&amp;JupData!$J$2:$J$10000,0),11))</f>
        <v/>
      </c>
      <c r="V296" t="str">
        <f t="array" ref="V296">IF($A296="","",INDEX(JupData!$A$2:$K$10000,MATCH($A296&amp;V$1,JupData!$A$2:$A$10000&amp;JupData!$J$2:$J$10000,0),11))</f>
        <v/>
      </c>
      <c r="W296" t="str">
        <f t="array" ref="W296">IF($A296="","",INDEX(JupData!$A$2:$K$10000,MATCH($A296&amp;W$1,JupData!$A$2:$A$10000&amp;JupData!$J$2:$J$10000,0),11))</f>
        <v/>
      </c>
      <c r="X296" t="str">
        <f t="array" ref="X296">IF($A296="","",INDEX(JupData!$A$2:$K$10000,MATCH($A296&amp;X$1,JupData!$A$2:$A$10000&amp;JupData!$J$2:$J$10000,0),11))</f>
        <v/>
      </c>
      <c r="Y296" t="str">
        <f t="array" ref="Y296">IF($A296="","",INDEX(JupData!$A$2:$K$10000,MATCH($A296&amp;Y$1,JupData!$A$2:$A$10000&amp;JupData!$J$2:$J$10000,0),11))</f>
        <v/>
      </c>
      <c r="Z296" t="str">
        <f t="array" ref="Z296">IF($A296="","",INDEX(JupData!$A$2:$K$10000,MATCH($A296&amp;Z$1,JupData!$A$2:$A$10000&amp;JupData!$J$2:$J$10000,0),11))</f>
        <v/>
      </c>
      <c r="AA296" t="str">
        <f t="array" ref="AA296">IF($A296="","",INDEX(JupData!$A$2:$K$10000,MATCH($A296&amp;AA$1,JupData!$A$2:$A$10000&amp;JupData!$J$2:$J$10000,0),11))</f>
        <v/>
      </c>
      <c r="AB296" t="str">
        <f t="array" ref="AB296">IF($A296="","",INDEX(JupData!$A$2:$K$10000,MATCH($A296&amp;AB$1,JupData!$A$2:$A$10000&amp;JupData!$J$2:$J$10000,0),11))</f>
        <v/>
      </c>
      <c r="AC296" s="10" t="str">
        <f t="shared" si="44"/>
        <v/>
      </c>
      <c r="AD296" s="10" t="str">
        <f t="shared" si="45"/>
        <v/>
      </c>
      <c r="AE296" s="9" t="str">
        <f t="shared" si="46"/>
        <v/>
      </c>
      <c r="AF296" s="10" t="str">
        <f t="shared" si="47"/>
        <v/>
      </c>
      <c r="AG296" s="10" t="str">
        <f t="shared" si="48"/>
        <v/>
      </c>
      <c r="AH296" s="10" t="str">
        <f t="shared" si="49"/>
        <v/>
      </c>
      <c r="AI296" s="10" t="str">
        <f t="shared" si="50"/>
        <v/>
      </c>
      <c r="AJ296" s="10" t="str">
        <f t="shared" si="51"/>
        <v/>
      </c>
      <c r="AK296" s="10" t="str">
        <f t="shared" si="52"/>
        <v/>
      </c>
      <c r="AL296" s="14" t="str">
        <f t="shared" si="53"/>
        <v/>
      </c>
    </row>
    <row r="297" spans="1:38" x14ac:dyDescent="0.2">
      <c r="A297"/>
      <c r="B297" t="str">
        <f>IF($A297="","",VLOOKUP($A297,JupData!$A$2:$I$10000,4,FALSE))</f>
        <v/>
      </c>
      <c r="C297" s="7" t="str">
        <f>IF($A297="",IF(N(D297),0,""),VLOOKUP($A297,JupData!$A$2:$I$10000,7,FALSE))</f>
        <v/>
      </c>
      <c r="D297" t="str">
        <f t="shared" si="54"/>
        <v/>
      </c>
      <c r="E297" t="str">
        <f t="array" ref="E297">IF($A297="","",INDEX(JupData!$A$2:$K$10000,MATCH($A297&amp;E$1,JupData!$A$2:$A$10000&amp;JupData!$J$2:$J$10000,0),11))</f>
        <v/>
      </c>
      <c r="F297" t="str">
        <f t="array" ref="F297">IF($A297="","",INDEX(JupData!$A$2:$K$10000,MATCH($A297&amp;F$1,JupData!$A$2:$A$10000&amp;JupData!$J$2:$J$10000,0),11))</f>
        <v/>
      </c>
      <c r="G297" t="str">
        <f t="array" ref="G297">IF($A297="","",INDEX(JupData!$A$2:$K$10000,MATCH($A297&amp;G$1,JupData!$A$2:$A$10000&amp;JupData!$J$2:$J$10000,0),11))</f>
        <v/>
      </c>
      <c r="H297" t="str">
        <f t="array" ref="H297">IF($A297="","",INDEX(JupData!$A$2:$K$10000,MATCH($A297&amp;H$1,JupData!$A$2:$A$10000&amp;JupData!$J$2:$J$10000,0),11))</f>
        <v/>
      </c>
      <c r="I297" t="str">
        <f t="array" ref="I297">IF($A297="","",INDEX(JupData!$A$2:$K$10000,MATCH($A297&amp;I$1,JupData!$A$2:$A$10000&amp;JupData!$J$2:$J$10000,0),11))</f>
        <v/>
      </c>
      <c r="J297" t="str">
        <f t="array" ref="J297">IF($A297="","",INDEX(JupData!$A$2:$K$10000,MATCH($A297&amp;J$1,JupData!$A$2:$A$10000&amp;JupData!$J$2:$J$10000,0),11))</f>
        <v/>
      </c>
      <c r="K297" t="str">
        <f t="array" ref="K297">IF($A297="","",INDEX(JupData!$A$2:$K$10000,MATCH($A297&amp;K$1,JupData!$A$2:$A$10000&amp;JupData!$J$2:$J$10000,0),11))</f>
        <v/>
      </c>
      <c r="L297" t="str">
        <f t="array" ref="L297">IF($A297="","",INDEX(JupData!$A$2:$K$10000,MATCH($A297&amp;L$1,JupData!$A$2:$A$10000&amp;JupData!$J$2:$J$10000,0),11))</f>
        <v/>
      </c>
      <c r="M297" t="str">
        <f t="array" ref="M297">IF($A297="","",INDEX(JupData!$A$2:$K$10000,MATCH($A297&amp;M$1,JupData!$A$2:$A$10000&amp;JupData!$J$2:$J$10000,0),11))</f>
        <v/>
      </c>
      <c r="N297" t="str">
        <f t="array" ref="N297">IF($A297="","",INDEX(JupData!$A$2:$K$10000,MATCH($A297&amp;N$1,JupData!$A$2:$A$10000&amp;JupData!$J$2:$J$10000,0),11))</f>
        <v/>
      </c>
      <c r="O297" t="str">
        <f t="array" ref="O297">IF($A297="","",INDEX(JupData!$A$2:$K$10000,MATCH($A297&amp;O$1,JupData!$A$2:$A$10000&amp;JupData!$J$2:$J$10000,0),11))</f>
        <v/>
      </c>
      <c r="P297" t="str">
        <f t="array" ref="P297">IF($A297="","",INDEX(JupData!$A$2:$K$10000,MATCH($A297&amp;P$1,JupData!$A$2:$A$10000&amp;JupData!$J$2:$J$10000,0),11))</f>
        <v/>
      </c>
      <c r="Q297" t="str">
        <f t="array" ref="Q297">IF($A297="","",INDEX(JupData!$A$2:$K$10000,MATCH($A297&amp;Q$1,JupData!$A$2:$A$10000&amp;JupData!$J$2:$J$10000,0),11))</f>
        <v/>
      </c>
      <c r="R297" t="str">
        <f t="array" ref="R297">IF($A297="","",INDEX(JupData!$A$2:$K$10000,MATCH($A297&amp;R$1,JupData!$A$2:$A$10000&amp;JupData!$J$2:$J$10000,0),11))</f>
        <v/>
      </c>
      <c r="S297" t="str">
        <f t="array" ref="S297">IF($A297="","",INDEX(JupData!$A$2:$K$10000,MATCH($A297&amp;S$1,JupData!$A$2:$A$10000&amp;JupData!$J$2:$J$10000,0),11))</f>
        <v/>
      </c>
      <c r="T297" t="str">
        <f t="array" ref="T297">IF($A297="","",INDEX(JupData!$A$2:$K$10000,MATCH($A297&amp;T$1,JupData!$A$2:$A$10000&amp;JupData!$J$2:$J$10000,0),11))</f>
        <v/>
      </c>
      <c r="U297" t="str">
        <f t="array" ref="U297">IF($A297="","",INDEX(JupData!$A$2:$K$10000,MATCH($A297&amp;U$1,JupData!$A$2:$A$10000&amp;JupData!$J$2:$J$10000,0),11))</f>
        <v/>
      </c>
      <c r="V297" t="str">
        <f t="array" ref="V297">IF($A297="","",INDEX(JupData!$A$2:$K$10000,MATCH($A297&amp;V$1,JupData!$A$2:$A$10000&amp;JupData!$J$2:$J$10000,0),11))</f>
        <v/>
      </c>
      <c r="W297" t="str">
        <f t="array" ref="W297">IF($A297="","",INDEX(JupData!$A$2:$K$10000,MATCH($A297&amp;W$1,JupData!$A$2:$A$10000&amp;JupData!$J$2:$J$10000,0),11))</f>
        <v/>
      </c>
      <c r="X297" t="str">
        <f t="array" ref="X297">IF($A297="","",INDEX(JupData!$A$2:$K$10000,MATCH($A297&amp;X$1,JupData!$A$2:$A$10000&amp;JupData!$J$2:$J$10000,0),11))</f>
        <v/>
      </c>
      <c r="Y297" t="str">
        <f t="array" ref="Y297">IF($A297="","",INDEX(JupData!$A$2:$K$10000,MATCH($A297&amp;Y$1,JupData!$A$2:$A$10000&amp;JupData!$J$2:$J$10000,0),11))</f>
        <v/>
      </c>
      <c r="Z297" t="str">
        <f t="array" ref="Z297">IF($A297="","",INDEX(JupData!$A$2:$K$10000,MATCH($A297&amp;Z$1,JupData!$A$2:$A$10000&amp;JupData!$J$2:$J$10000,0),11))</f>
        <v/>
      </c>
      <c r="AA297" t="str">
        <f t="array" ref="AA297">IF($A297="","",INDEX(JupData!$A$2:$K$10000,MATCH($A297&amp;AA$1,JupData!$A$2:$A$10000&amp;JupData!$J$2:$J$10000,0),11))</f>
        <v/>
      </c>
      <c r="AB297" t="str">
        <f t="array" ref="AB297">IF($A297="","",INDEX(JupData!$A$2:$K$10000,MATCH($A297&amp;AB$1,JupData!$A$2:$A$10000&amp;JupData!$J$2:$J$10000,0),11))</f>
        <v/>
      </c>
      <c r="AC297" s="10" t="str">
        <f t="shared" si="44"/>
        <v/>
      </c>
      <c r="AD297" s="10" t="str">
        <f t="shared" si="45"/>
        <v/>
      </c>
      <c r="AE297" s="9" t="str">
        <f t="shared" si="46"/>
        <v/>
      </c>
      <c r="AF297" s="10" t="str">
        <f t="shared" si="47"/>
        <v/>
      </c>
      <c r="AG297" s="10" t="str">
        <f t="shared" si="48"/>
        <v/>
      </c>
      <c r="AH297" s="10" t="str">
        <f t="shared" si="49"/>
        <v/>
      </c>
      <c r="AI297" s="10" t="str">
        <f t="shared" si="50"/>
        <v/>
      </c>
      <c r="AJ297" s="10" t="str">
        <f t="shared" si="51"/>
        <v/>
      </c>
      <c r="AK297" s="10" t="str">
        <f t="shared" si="52"/>
        <v/>
      </c>
      <c r="AL297" s="14" t="str">
        <f t="shared" si="53"/>
        <v/>
      </c>
    </row>
    <row r="298" spans="1:38" x14ac:dyDescent="0.2">
      <c r="A298"/>
      <c r="B298" t="str">
        <f>IF($A298="","",VLOOKUP($A298,JupData!$A$2:$I$10000,4,FALSE))</f>
        <v/>
      </c>
      <c r="C298" s="7" t="str">
        <f>IF($A298="",IF(N(D298),0,""),VLOOKUP($A298,JupData!$A$2:$I$10000,7,FALSE))</f>
        <v/>
      </c>
      <c r="D298" t="str">
        <f t="shared" si="54"/>
        <v/>
      </c>
      <c r="E298" t="str">
        <f t="array" ref="E298">IF($A298="","",INDEX(JupData!$A$2:$K$10000,MATCH($A298&amp;E$1,JupData!$A$2:$A$10000&amp;JupData!$J$2:$J$10000,0),11))</f>
        <v/>
      </c>
      <c r="F298" t="str">
        <f t="array" ref="F298">IF($A298="","",INDEX(JupData!$A$2:$K$10000,MATCH($A298&amp;F$1,JupData!$A$2:$A$10000&amp;JupData!$J$2:$J$10000,0),11))</f>
        <v/>
      </c>
      <c r="G298" t="str">
        <f t="array" ref="G298">IF($A298="","",INDEX(JupData!$A$2:$K$10000,MATCH($A298&amp;G$1,JupData!$A$2:$A$10000&amp;JupData!$J$2:$J$10000,0),11))</f>
        <v/>
      </c>
      <c r="H298" t="str">
        <f t="array" ref="H298">IF($A298="","",INDEX(JupData!$A$2:$K$10000,MATCH($A298&amp;H$1,JupData!$A$2:$A$10000&amp;JupData!$J$2:$J$10000,0),11))</f>
        <v/>
      </c>
      <c r="I298" t="str">
        <f t="array" ref="I298">IF($A298="","",INDEX(JupData!$A$2:$K$10000,MATCH($A298&amp;I$1,JupData!$A$2:$A$10000&amp;JupData!$J$2:$J$10000,0),11))</f>
        <v/>
      </c>
      <c r="J298" t="str">
        <f t="array" ref="J298">IF($A298="","",INDEX(JupData!$A$2:$K$10000,MATCH($A298&amp;J$1,JupData!$A$2:$A$10000&amp;JupData!$J$2:$J$10000,0),11))</f>
        <v/>
      </c>
      <c r="K298" t="str">
        <f t="array" ref="K298">IF($A298="","",INDEX(JupData!$A$2:$K$10000,MATCH($A298&amp;K$1,JupData!$A$2:$A$10000&amp;JupData!$J$2:$J$10000,0),11))</f>
        <v/>
      </c>
      <c r="L298" t="str">
        <f t="array" ref="L298">IF($A298="","",INDEX(JupData!$A$2:$K$10000,MATCH($A298&amp;L$1,JupData!$A$2:$A$10000&amp;JupData!$J$2:$J$10000,0),11))</f>
        <v/>
      </c>
      <c r="M298" t="str">
        <f t="array" ref="M298">IF($A298="","",INDEX(JupData!$A$2:$K$10000,MATCH($A298&amp;M$1,JupData!$A$2:$A$10000&amp;JupData!$J$2:$J$10000,0),11))</f>
        <v/>
      </c>
      <c r="N298" t="str">
        <f t="array" ref="N298">IF($A298="","",INDEX(JupData!$A$2:$K$10000,MATCH($A298&amp;N$1,JupData!$A$2:$A$10000&amp;JupData!$J$2:$J$10000,0),11))</f>
        <v/>
      </c>
      <c r="O298" t="str">
        <f t="array" ref="O298">IF($A298="","",INDEX(JupData!$A$2:$K$10000,MATCH($A298&amp;O$1,JupData!$A$2:$A$10000&amp;JupData!$J$2:$J$10000,0),11))</f>
        <v/>
      </c>
      <c r="P298" t="str">
        <f t="array" ref="P298">IF($A298="","",INDEX(JupData!$A$2:$K$10000,MATCH($A298&amp;P$1,JupData!$A$2:$A$10000&amp;JupData!$J$2:$J$10000,0),11))</f>
        <v/>
      </c>
      <c r="Q298" t="str">
        <f t="array" ref="Q298">IF($A298="","",INDEX(JupData!$A$2:$K$10000,MATCH($A298&amp;Q$1,JupData!$A$2:$A$10000&amp;JupData!$J$2:$J$10000,0),11))</f>
        <v/>
      </c>
      <c r="R298" t="str">
        <f t="array" ref="R298">IF($A298="","",INDEX(JupData!$A$2:$K$10000,MATCH($A298&amp;R$1,JupData!$A$2:$A$10000&amp;JupData!$J$2:$J$10000,0),11))</f>
        <v/>
      </c>
      <c r="S298" t="str">
        <f t="array" ref="S298">IF($A298="","",INDEX(JupData!$A$2:$K$10000,MATCH($A298&amp;S$1,JupData!$A$2:$A$10000&amp;JupData!$J$2:$J$10000,0),11))</f>
        <v/>
      </c>
      <c r="T298" t="str">
        <f t="array" ref="T298">IF($A298="","",INDEX(JupData!$A$2:$K$10000,MATCH($A298&amp;T$1,JupData!$A$2:$A$10000&amp;JupData!$J$2:$J$10000,0),11))</f>
        <v/>
      </c>
      <c r="U298" t="str">
        <f t="array" ref="U298">IF($A298="","",INDEX(JupData!$A$2:$K$10000,MATCH($A298&amp;U$1,JupData!$A$2:$A$10000&amp;JupData!$J$2:$J$10000,0),11))</f>
        <v/>
      </c>
      <c r="V298" t="str">
        <f t="array" ref="V298">IF($A298="","",INDEX(JupData!$A$2:$K$10000,MATCH($A298&amp;V$1,JupData!$A$2:$A$10000&amp;JupData!$J$2:$J$10000,0),11))</f>
        <v/>
      </c>
      <c r="W298" t="str">
        <f t="array" ref="W298">IF($A298="","",INDEX(JupData!$A$2:$K$10000,MATCH($A298&amp;W$1,JupData!$A$2:$A$10000&amp;JupData!$J$2:$J$10000,0),11))</f>
        <v/>
      </c>
      <c r="X298" t="str">
        <f t="array" ref="X298">IF($A298="","",INDEX(JupData!$A$2:$K$10000,MATCH($A298&amp;X$1,JupData!$A$2:$A$10000&amp;JupData!$J$2:$J$10000,0),11))</f>
        <v/>
      </c>
      <c r="Y298" t="str">
        <f t="array" ref="Y298">IF($A298="","",INDEX(JupData!$A$2:$K$10000,MATCH($A298&amp;Y$1,JupData!$A$2:$A$10000&amp;JupData!$J$2:$J$10000,0),11))</f>
        <v/>
      </c>
      <c r="Z298" t="str">
        <f t="array" ref="Z298">IF($A298="","",INDEX(JupData!$A$2:$K$10000,MATCH($A298&amp;Z$1,JupData!$A$2:$A$10000&amp;JupData!$J$2:$J$10000,0),11))</f>
        <v/>
      </c>
      <c r="AA298" t="str">
        <f t="array" ref="AA298">IF($A298="","",INDEX(JupData!$A$2:$K$10000,MATCH($A298&amp;AA$1,JupData!$A$2:$A$10000&amp;JupData!$J$2:$J$10000,0),11))</f>
        <v/>
      </c>
      <c r="AB298" t="str">
        <f t="array" ref="AB298">IF($A298="","",INDEX(JupData!$A$2:$K$10000,MATCH($A298&amp;AB$1,JupData!$A$2:$A$10000&amp;JupData!$J$2:$J$10000,0),11))</f>
        <v/>
      </c>
      <c r="AC298" s="10" t="str">
        <f t="shared" si="44"/>
        <v/>
      </c>
      <c r="AD298" s="10" t="str">
        <f t="shared" si="45"/>
        <v/>
      </c>
      <c r="AE298" s="9" t="str">
        <f t="shared" si="46"/>
        <v/>
      </c>
      <c r="AF298" s="10" t="str">
        <f t="shared" si="47"/>
        <v/>
      </c>
      <c r="AG298" s="10" t="str">
        <f t="shared" si="48"/>
        <v/>
      </c>
      <c r="AH298" s="10" t="str">
        <f t="shared" si="49"/>
        <v/>
      </c>
      <c r="AI298" s="10" t="str">
        <f t="shared" si="50"/>
        <v/>
      </c>
      <c r="AJ298" s="10" t="str">
        <f t="shared" si="51"/>
        <v/>
      </c>
      <c r="AK298" s="10" t="str">
        <f t="shared" si="52"/>
        <v/>
      </c>
      <c r="AL298" s="14" t="str">
        <f t="shared" si="53"/>
        <v/>
      </c>
    </row>
    <row r="299" spans="1:38" x14ac:dyDescent="0.2">
      <c r="A299"/>
      <c r="B299" t="str">
        <f>IF($A299="","",VLOOKUP($A299,JupData!$A$2:$I$10000,4,FALSE))</f>
        <v/>
      </c>
      <c r="C299" s="7" t="str">
        <f>IF($A299="",IF(N(D299),0,""),VLOOKUP($A299,JupData!$A$2:$I$10000,7,FALSE))</f>
        <v/>
      </c>
      <c r="D299" t="str">
        <f t="shared" si="54"/>
        <v/>
      </c>
      <c r="E299" t="str">
        <f t="array" ref="E299">IF($A299="","",INDEX(JupData!$A$2:$K$10000,MATCH($A299&amp;E$1,JupData!$A$2:$A$10000&amp;JupData!$J$2:$J$10000,0),11))</f>
        <v/>
      </c>
      <c r="F299" t="str">
        <f t="array" ref="F299">IF($A299="","",INDEX(JupData!$A$2:$K$10000,MATCH($A299&amp;F$1,JupData!$A$2:$A$10000&amp;JupData!$J$2:$J$10000,0),11))</f>
        <v/>
      </c>
      <c r="G299" t="str">
        <f t="array" ref="G299">IF($A299="","",INDEX(JupData!$A$2:$K$10000,MATCH($A299&amp;G$1,JupData!$A$2:$A$10000&amp;JupData!$J$2:$J$10000,0),11))</f>
        <v/>
      </c>
      <c r="H299" t="str">
        <f t="array" ref="H299">IF($A299="","",INDEX(JupData!$A$2:$K$10000,MATCH($A299&amp;H$1,JupData!$A$2:$A$10000&amp;JupData!$J$2:$J$10000,0),11))</f>
        <v/>
      </c>
      <c r="I299" t="str">
        <f t="array" ref="I299">IF($A299="","",INDEX(JupData!$A$2:$K$10000,MATCH($A299&amp;I$1,JupData!$A$2:$A$10000&amp;JupData!$J$2:$J$10000,0),11))</f>
        <v/>
      </c>
      <c r="J299" t="str">
        <f t="array" ref="J299">IF($A299="","",INDEX(JupData!$A$2:$K$10000,MATCH($A299&amp;J$1,JupData!$A$2:$A$10000&amp;JupData!$J$2:$J$10000,0),11))</f>
        <v/>
      </c>
      <c r="K299" t="str">
        <f t="array" ref="K299">IF($A299="","",INDEX(JupData!$A$2:$K$10000,MATCH($A299&amp;K$1,JupData!$A$2:$A$10000&amp;JupData!$J$2:$J$10000,0),11))</f>
        <v/>
      </c>
      <c r="L299" t="str">
        <f t="array" ref="L299">IF($A299="","",INDEX(JupData!$A$2:$K$10000,MATCH($A299&amp;L$1,JupData!$A$2:$A$10000&amp;JupData!$J$2:$J$10000,0),11))</f>
        <v/>
      </c>
      <c r="M299" t="str">
        <f t="array" ref="M299">IF($A299="","",INDEX(JupData!$A$2:$K$10000,MATCH($A299&amp;M$1,JupData!$A$2:$A$10000&amp;JupData!$J$2:$J$10000,0),11))</f>
        <v/>
      </c>
      <c r="N299" t="str">
        <f t="array" ref="N299">IF($A299="","",INDEX(JupData!$A$2:$K$10000,MATCH($A299&amp;N$1,JupData!$A$2:$A$10000&amp;JupData!$J$2:$J$10000,0),11))</f>
        <v/>
      </c>
      <c r="O299" t="str">
        <f t="array" ref="O299">IF($A299="","",INDEX(JupData!$A$2:$K$10000,MATCH($A299&amp;O$1,JupData!$A$2:$A$10000&amp;JupData!$J$2:$J$10000,0),11))</f>
        <v/>
      </c>
      <c r="P299" t="str">
        <f t="array" ref="P299">IF($A299="","",INDEX(JupData!$A$2:$K$10000,MATCH($A299&amp;P$1,JupData!$A$2:$A$10000&amp;JupData!$J$2:$J$10000,0),11))</f>
        <v/>
      </c>
      <c r="Q299" t="str">
        <f t="array" ref="Q299">IF($A299="","",INDEX(JupData!$A$2:$K$10000,MATCH($A299&amp;Q$1,JupData!$A$2:$A$10000&amp;JupData!$J$2:$J$10000,0),11))</f>
        <v/>
      </c>
      <c r="R299" t="str">
        <f t="array" ref="R299">IF($A299="","",INDEX(JupData!$A$2:$K$10000,MATCH($A299&amp;R$1,JupData!$A$2:$A$10000&amp;JupData!$J$2:$J$10000,0),11))</f>
        <v/>
      </c>
      <c r="S299" t="str">
        <f t="array" ref="S299">IF($A299="","",INDEX(JupData!$A$2:$K$10000,MATCH($A299&amp;S$1,JupData!$A$2:$A$10000&amp;JupData!$J$2:$J$10000,0),11))</f>
        <v/>
      </c>
      <c r="T299" t="str">
        <f t="array" ref="T299">IF($A299="","",INDEX(JupData!$A$2:$K$10000,MATCH($A299&amp;T$1,JupData!$A$2:$A$10000&amp;JupData!$J$2:$J$10000,0),11))</f>
        <v/>
      </c>
      <c r="U299" t="str">
        <f t="array" ref="U299">IF($A299="","",INDEX(JupData!$A$2:$K$10000,MATCH($A299&amp;U$1,JupData!$A$2:$A$10000&amp;JupData!$J$2:$J$10000,0),11))</f>
        <v/>
      </c>
      <c r="V299" t="str">
        <f t="array" ref="V299">IF($A299="","",INDEX(JupData!$A$2:$K$10000,MATCH($A299&amp;V$1,JupData!$A$2:$A$10000&amp;JupData!$J$2:$J$10000,0),11))</f>
        <v/>
      </c>
      <c r="W299" t="str">
        <f t="array" ref="W299">IF($A299="","",INDEX(JupData!$A$2:$K$10000,MATCH($A299&amp;W$1,JupData!$A$2:$A$10000&amp;JupData!$J$2:$J$10000,0),11))</f>
        <v/>
      </c>
      <c r="X299" t="str">
        <f t="array" ref="X299">IF($A299="","",INDEX(JupData!$A$2:$K$10000,MATCH($A299&amp;X$1,JupData!$A$2:$A$10000&amp;JupData!$J$2:$J$10000,0),11))</f>
        <v/>
      </c>
      <c r="Y299" t="str">
        <f t="array" ref="Y299">IF($A299="","",INDEX(JupData!$A$2:$K$10000,MATCH($A299&amp;Y$1,JupData!$A$2:$A$10000&amp;JupData!$J$2:$J$10000,0),11))</f>
        <v/>
      </c>
      <c r="Z299" t="str">
        <f t="array" ref="Z299">IF($A299="","",INDEX(JupData!$A$2:$K$10000,MATCH($A299&amp;Z$1,JupData!$A$2:$A$10000&amp;JupData!$J$2:$J$10000,0),11))</f>
        <v/>
      </c>
      <c r="AA299" t="str">
        <f t="array" ref="AA299">IF($A299="","",INDEX(JupData!$A$2:$K$10000,MATCH($A299&amp;AA$1,JupData!$A$2:$A$10000&amp;JupData!$J$2:$J$10000,0),11))</f>
        <v/>
      </c>
      <c r="AB299" t="str">
        <f t="array" ref="AB299">IF($A299="","",INDEX(JupData!$A$2:$K$10000,MATCH($A299&amp;AB$1,JupData!$A$2:$A$10000&amp;JupData!$J$2:$J$10000,0),11))</f>
        <v/>
      </c>
      <c r="AC299" s="10" t="str">
        <f t="shared" si="44"/>
        <v/>
      </c>
      <c r="AD299" s="10" t="str">
        <f t="shared" si="45"/>
        <v/>
      </c>
      <c r="AE299" s="9" t="str">
        <f t="shared" si="46"/>
        <v/>
      </c>
      <c r="AF299" s="10" t="str">
        <f t="shared" si="47"/>
        <v/>
      </c>
      <c r="AG299" s="10" t="str">
        <f t="shared" si="48"/>
        <v/>
      </c>
      <c r="AH299" s="10" t="str">
        <f t="shared" si="49"/>
        <v/>
      </c>
      <c r="AI299" s="10" t="str">
        <f t="shared" si="50"/>
        <v/>
      </c>
      <c r="AJ299" s="10" t="str">
        <f t="shared" si="51"/>
        <v/>
      </c>
      <c r="AK299" s="10" t="str">
        <f t="shared" si="52"/>
        <v/>
      </c>
      <c r="AL299" s="14" t="str">
        <f t="shared" si="53"/>
        <v/>
      </c>
    </row>
    <row r="300" spans="1:38" x14ac:dyDescent="0.2">
      <c r="A300"/>
      <c r="B300" t="str">
        <f>IF($A300="","",VLOOKUP($A300,JupData!$A$2:$I$10000,4,FALSE))</f>
        <v/>
      </c>
      <c r="C300" s="7" t="str">
        <f>IF($A300="",IF(N(D300),0,""),VLOOKUP($A300,JupData!$A$2:$I$10000,7,FALSE))</f>
        <v/>
      </c>
      <c r="D300" t="str">
        <f t="shared" si="54"/>
        <v/>
      </c>
      <c r="E300" t="str">
        <f t="array" ref="E300">IF($A300="","",INDEX(JupData!$A$2:$K$10000,MATCH($A300&amp;E$1,JupData!$A$2:$A$10000&amp;JupData!$J$2:$J$10000,0),11))</f>
        <v/>
      </c>
      <c r="F300" t="str">
        <f t="array" ref="F300">IF($A300="","",INDEX(JupData!$A$2:$K$10000,MATCH($A300&amp;F$1,JupData!$A$2:$A$10000&amp;JupData!$J$2:$J$10000,0),11))</f>
        <v/>
      </c>
      <c r="G300" t="str">
        <f t="array" ref="G300">IF($A300="","",INDEX(JupData!$A$2:$K$10000,MATCH($A300&amp;G$1,JupData!$A$2:$A$10000&amp;JupData!$J$2:$J$10000,0),11))</f>
        <v/>
      </c>
      <c r="H300" t="str">
        <f t="array" ref="H300">IF($A300="","",INDEX(JupData!$A$2:$K$10000,MATCH($A300&amp;H$1,JupData!$A$2:$A$10000&amp;JupData!$J$2:$J$10000,0),11))</f>
        <v/>
      </c>
      <c r="I300" t="str">
        <f t="array" ref="I300">IF($A300="","",INDEX(JupData!$A$2:$K$10000,MATCH($A300&amp;I$1,JupData!$A$2:$A$10000&amp;JupData!$J$2:$J$10000,0),11))</f>
        <v/>
      </c>
      <c r="J300" t="str">
        <f t="array" ref="J300">IF($A300="","",INDEX(JupData!$A$2:$K$10000,MATCH($A300&amp;J$1,JupData!$A$2:$A$10000&amp;JupData!$J$2:$J$10000,0),11))</f>
        <v/>
      </c>
      <c r="K300" t="str">
        <f t="array" ref="K300">IF($A300="","",INDEX(JupData!$A$2:$K$10000,MATCH($A300&amp;K$1,JupData!$A$2:$A$10000&amp;JupData!$J$2:$J$10000,0),11))</f>
        <v/>
      </c>
      <c r="L300" t="str">
        <f t="array" ref="L300">IF($A300="","",INDEX(JupData!$A$2:$K$10000,MATCH($A300&amp;L$1,JupData!$A$2:$A$10000&amp;JupData!$J$2:$J$10000,0),11))</f>
        <v/>
      </c>
      <c r="M300" t="str">
        <f t="array" ref="M300">IF($A300="","",INDEX(JupData!$A$2:$K$10000,MATCH($A300&amp;M$1,JupData!$A$2:$A$10000&amp;JupData!$J$2:$J$10000,0),11))</f>
        <v/>
      </c>
      <c r="N300" t="str">
        <f t="array" ref="N300">IF($A300="","",INDEX(JupData!$A$2:$K$10000,MATCH($A300&amp;N$1,JupData!$A$2:$A$10000&amp;JupData!$J$2:$J$10000,0),11))</f>
        <v/>
      </c>
      <c r="O300" t="str">
        <f t="array" ref="O300">IF($A300="","",INDEX(JupData!$A$2:$K$10000,MATCH($A300&amp;O$1,JupData!$A$2:$A$10000&amp;JupData!$J$2:$J$10000,0),11))</f>
        <v/>
      </c>
      <c r="P300" t="str">
        <f t="array" ref="P300">IF($A300="","",INDEX(JupData!$A$2:$K$10000,MATCH($A300&amp;P$1,JupData!$A$2:$A$10000&amp;JupData!$J$2:$J$10000,0),11))</f>
        <v/>
      </c>
      <c r="Q300" t="str">
        <f t="array" ref="Q300">IF($A300="","",INDEX(JupData!$A$2:$K$10000,MATCH($A300&amp;Q$1,JupData!$A$2:$A$10000&amp;JupData!$J$2:$J$10000,0),11))</f>
        <v/>
      </c>
      <c r="R300" t="str">
        <f t="array" ref="R300">IF($A300="","",INDEX(JupData!$A$2:$K$10000,MATCH($A300&amp;R$1,JupData!$A$2:$A$10000&amp;JupData!$J$2:$J$10000,0),11))</f>
        <v/>
      </c>
      <c r="S300" t="str">
        <f t="array" ref="S300">IF($A300="","",INDEX(JupData!$A$2:$K$10000,MATCH($A300&amp;S$1,JupData!$A$2:$A$10000&amp;JupData!$J$2:$J$10000,0),11))</f>
        <v/>
      </c>
      <c r="T300" t="str">
        <f t="array" ref="T300">IF($A300="","",INDEX(JupData!$A$2:$K$10000,MATCH($A300&amp;T$1,JupData!$A$2:$A$10000&amp;JupData!$J$2:$J$10000,0),11))</f>
        <v/>
      </c>
      <c r="U300" t="str">
        <f t="array" ref="U300">IF($A300="","",INDEX(JupData!$A$2:$K$10000,MATCH($A300&amp;U$1,JupData!$A$2:$A$10000&amp;JupData!$J$2:$J$10000,0),11))</f>
        <v/>
      </c>
      <c r="V300" t="str">
        <f t="array" ref="V300">IF($A300="","",INDEX(JupData!$A$2:$K$10000,MATCH($A300&amp;V$1,JupData!$A$2:$A$10000&amp;JupData!$J$2:$J$10000,0),11))</f>
        <v/>
      </c>
      <c r="W300" t="str">
        <f t="array" ref="W300">IF($A300="","",INDEX(JupData!$A$2:$K$10000,MATCH($A300&amp;W$1,JupData!$A$2:$A$10000&amp;JupData!$J$2:$J$10000,0),11))</f>
        <v/>
      </c>
      <c r="X300" t="str">
        <f t="array" ref="X300">IF($A300="","",INDEX(JupData!$A$2:$K$10000,MATCH($A300&amp;X$1,JupData!$A$2:$A$10000&amp;JupData!$J$2:$J$10000,0),11))</f>
        <v/>
      </c>
      <c r="Y300" t="str">
        <f t="array" ref="Y300">IF($A300="","",INDEX(JupData!$A$2:$K$10000,MATCH($A300&amp;Y$1,JupData!$A$2:$A$10000&amp;JupData!$J$2:$J$10000,0),11))</f>
        <v/>
      </c>
      <c r="Z300" t="str">
        <f t="array" ref="Z300">IF($A300="","",INDEX(JupData!$A$2:$K$10000,MATCH($A300&amp;Z$1,JupData!$A$2:$A$10000&amp;JupData!$J$2:$J$10000,0),11))</f>
        <v/>
      </c>
      <c r="AA300" t="str">
        <f t="array" ref="AA300">IF($A300="","",INDEX(JupData!$A$2:$K$10000,MATCH($A300&amp;AA$1,JupData!$A$2:$A$10000&amp;JupData!$J$2:$J$10000,0),11))</f>
        <v/>
      </c>
      <c r="AB300" t="str">
        <f t="array" ref="AB300">IF($A300="","",INDEX(JupData!$A$2:$K$10000,MATCH($A300&amp;AB$1,JupData!$A$2:$A$10000&amp;JupData!$J$2:$J$10000,0),11))</f>
        <v/>
      </c>
      <c r="AC300" s="10" t="str">
        <f t="shared" si="44"/>
        <v/>
      </c>
      <c r="AD300" s="10" t="str">
        <f t="shared" si="45"/>
        <v/>
      </c>
      <c r="AE300" s="9" t="str">
        <f t="shared" si="46"/>
        <v/>
      </c>
      <c r="AF300" s="10" t="str">
        <f t="shared" si="47"/>
        <v/>
      </c>
      <c r="AG300" s="10" t="str">
        <f t="shared" si="48"/>
        <v/>
      </c>
      <c r="AH300" s="10" t="str">
        <f t="shared" si="49"/>
        <v/>
      </c>
      <c r="AI300" s="10" t="str">
        <f t="shared" si="50"/>
        <v/>
      </c>
      <c r="AJ300" s="10" t="str">
        <f t="shared" si="51"/>
        <v/>
      </c>
      <c r="AK300" s="10" t="str">
        <f t="shared" si="52"/>
        <v/>
      </c>
      <c r="AL300" s="14" t="str">
        <f t="shared" si="53"/>
        <v/>
      </c>
    </row>
    <row r="301" spans="1:38" x14ac:dyDescent="0.2">
      <c r="A301"/>
      <c r="B301" t="str">
        <f>IF($A301="","",VLOOKUP($A301,JupData!$A$2:$I$10000,4,FALSE))</f>
        <v/>
      </c>
      <c r="C301" s="7" t="str">
        <f>IF($A301="",IF(N(D301),0,""),VLOOKUP($A301,JupData!$A$2:$I$10000,7,FALSE))</f>
        <v/>
      </c>
      <c r="D301" t="str">
        <f t="shared" si="54"/>
        <v/>
      </c>
      <c r="E301" t="str">
        <f t="array" ref="E301">IF($A301="","",INDEX(JupData!$A$2:$K$10000,MATCH($A301&amp;E$1,JupData!$A$2:$A$10000&amp;JupData!$J$2:$J$10000,0),11))</f>
        <v/>
      </c>
      <c r="F301" t="str">
        <f t="array" ref="F301">IF($A301="","",INDEX(JupData!$A$2:$K$10000,MATCH($A301&amp;F$1,JupData!$A$2:$A$10000&amp;JupData!$J$2:$J$10000,0),11))</f>
        <v/>
      </c>
      <c r="G301" t="str">
        <f t="array" ref="G301">IF($A301="","",INDEX(JupData!$A$2:$K$10000,MATCH($A301&amp;G$1,JupData!$A$2:$A$10000&amp;JupData!$J$2:$J$10000,0),11))</f>
        <v/>
      </c>
      <c r="H301" t="str">
        <f t="array" ref="H301">IF($A301="","",INDEX(JupData!$A$2:$K$10000,MATCH($A301&amp;H$1,JupData!$A$2:$A$10000&amp;JupData!$J$2:$J$10000,0),11))</f>
        <v/>
      </c>
      <c r="I301" t="str">
        <f t="array" ref="I301">IF($A301="","",INDEX(JupData!$A$2:$K$10000,MATCH($A301&amp;I$1,JupData!$A$2:$A$10000&amp;JupData!$J$2:$J$10000,0),11))</f>
        <v/>
      </c>
      <c r="J301" t="str">
        <f t="array" ref="J301">IF($A301="","",INDEX(JupData!$A$2:$K$10000,MATCH($A301&amp;J$1,JupData!$A$2:$A$10000&amp;JupData!$J$2:$J$10000,0),11))</f>
        <v/>
      </c>
      <c r="K301" t="str">
        <f t="array" ref="K301">IF($A301="","",INDEX(JupData!$A$2:$K$10000,MATCH($A301&amp;K$1,JupData!$A$2:$A$10000&amp;JupData!$J$2:$J$10000,0),11))</f>
        <v/>
      </c>
      <c r="L301" t="str">
        <f t="array" ref="L301">IF($A301="","",INDEX(JupData!$A$2:$K$10000,MATCH($A301&amp;L$1,JupData!$A$2:$A$10000&amp;JupData!$J$2:$J$10000,0),11))</f>
        <v/>
      </c>
      <c r="M301" t="str">
        <f t="array" ref="M301">IF($A301="","",INDEX(JupData!$A$2:$K$10000,MATCH($A301&amp;M$1,JupData!$A$2:$A$10000&amp;JupData!$J$2:$J$10000,0),11))</f>
        <v/>
      </c>
      <c r="N301" t="str">
        <f t="array" ref="N301">IF($A301="","",INDEX(JupData!$A$2:$K$10000,MATCH($A301&amp;N$1,JupData!$A$2:$A$10000&amp;JupData!$J$2:$J$10000,0),11))</f>
        <v/>
      </c>
      <c r="O301" t="str">
        <f t="array" ref="O301">IF($A301="","",INDEX(JupData!$A$2:$K$10000,MATCH($A301&amp;O$1,JupData!$A$2:$A$10000&amp;JupData!$J$2:$J$10000,0),11))</f>
        <v/>
      </c>
      <c r="P301" t="str">
        <f t="array" ref="P301">IF($A301="","",INDEX(JupData!$A$2:$K$10000,MATCH($A301&amp;P$1,JupData!$A$2:$A$10000&amp;JupData!$J$2:$J$10000,0),11))</f>
        <v/>
      </c>
      <c r="Q301" t="str">
        <f t="array" ref="Q301">IF($A301="","",INDEX(JupData!$A$2:$K$10000,MATCH($A301&amp;Q$1,JupData!$A$2:$A$10000&amp;JupData!$J$2:$J$10000,0),11))</f>
        <v/>
      </c>
      <c r="R301" t="str">
        <f t="array" ref="R301">IF($A301="","",INDEX(JupData!$A$2:$K$10000,MATCH($A301&amp;R$1,JupData!$A$2:$A$10000&amp;JupData!$J$2:$J$10000,0),11))</f>
        <v/>
      </c>
      <c r="S301" t="str">
        <f t="array" ref="S301">IF($A301="","",INDEX(JupData!$A$2:$K$10000,MATCH($A301&amp;S$1,JupData!$A$2:$A$10000&amp;JupData!$J$2:$J$10000,0),11))</f>
        <v/>
      </c>
      <c r="T301" t="str">
        <f t="array" ref="T301">IF($A301="","",INDEX(JupData!$A$2:$K$10000,MATCH($A301&amp;T$1,JupData!$A$2:$A$10000&amp;JupData!$J$2:$J$10000,0),11))</f>
        <v/>
      </c>
      <c r="U301" t="str">
        <f t="array" ref="U301">IF($A301="","",INDEX(JupData!$A$2:$K$10000,MATCH($A301&amp;U$1,JupData!$A$2:$A$10000&amp;JupData!$J$2:$J$10000,0),11))</f>
        <v/>
      </c>
      <c r="V301" t="str">
        <f t="array" ref="V301">IF($A301="","",INDEX(JupData!$A$2:$K$10000,MATCH($A301&amp;V$1,JupData!$A$2:$A$10000&amp;JupData!$J$2:$J$10000,0),11))</f>
        <v/>
      </c>
      <c r="W301" t="str">
        <f t="array" ref="W301">IF($A301="","",INDEX(JupData!$A$2:$K$10000,MATCH($A301&amp;W$1,JupData!$A$2:$A$10000&amp;JupData!$J$2:$J$10000,0),11))</f>
        <v/>
      </c>
      <c r="X301" t="str">
        <f t="array" ref="X301">IF($A301="","",INDEX(JupData!$A$2:$K$10000,MATCH($A301&amp;X$1,JupData!$A$2:$A$10000&amp;JupData!$J$2:$J$10000,0),11))</f>
        <v/>
      </c>
      <c r="Y301" t="str">
        <f t="array" ref="Y301">IF($A301="","",INDEX(JupData!$A$2:$K$10000,MATCH($A301&amp;Y$1,JupData!$A$2:$A$10000&amp;JupData!$J$2:$J$10000,0),11))</f>
        <v/>
      </c>
      <c r="Z301" t="str">
        <f t="array" ref="Z301">IF($A301="","",INDEX(JupData!$A$2:$K$10000,MATCH($A301&amp;Z$1,JupData!$A$2:$A$10000&amp;JupData!$J$2:$J$10000,0),11))</f>
        <v/>
      </c>
      <c r="AA301" t="str">
        <f t="array" ref="AA301">IF($A301="","",INDEX(JupData!$A$2:$K$10000,MATCH($A301&amp;AA$1,JupData!$A$2:$A$10000&amp;JupData!$J$2:$J$10000,0),11))</f>
        <v/>
      </c>
      <c r="AB301" t="str">
        <f t="array" ref="AB301">IF($A301="","",INDEX(JupData!$A$2:$K$10000,MATCH($A301&amp;AB$1,JupData!$A$2:$A$10000&amp;JupData!$J$2:$J$10000,0),11))</f>
        <v/>
      </c>
      <c r="AC301" s="10" t="str">
        <f t="shared" si="44"/>
        <v/>
      </c>
      <c r="AD301" s="10" t="str">
        <f t="shared" si="45"/>
        <v/>
      </c>
      <c r="AE301" s="9" t="str">
        <f t="shared" si="46"/>
        <v/>
      </c>
      <c r="AF301" s="10" t="str">
        <f t="shared" si="47"/>
        <v/>
      </c>
      <c r="AG301" s="10" t="str">
        <f t="shared" si="48"/>
        <v/>
      </c>
      <c r="AH301" s="10" t="str">
        <f t="shared" si="49"/>
        <v/>
      </c>
      <c r="AI301" s="10" t="str">
        <f t="shared" si="50"/>
        <v/>
      </c>
      <c r="AJ301" s="10" t="str">
        <f t="shared" si="51"/>
        <v/>
      </c>
      <c r="AK301" s="10" t="str">
        <f t="shared" si="52"/>
        <v/>
      </c>
      <c r="AL301" s="14" t="str">
        <f t="shared" si="53"/>
        <v/>
      </c>
    </row>
    <row r="302" spans="1:38" x14ac:dyDescent="0.2">
      <c r="A302"/>
      <c r="B302" t="str">
        <f>IF($A302="","",VLOOKUP($A302,JupData!$A$2:$I$10000,4,FALSE))</f>
        <v/>
      </c>
      <c r="C302" s="7" t="str">
        <f>IF($A302="",IF(N(D302),0,""),VLOOKUP($A302,JupData!$A$2:$I$10000,7,FALSE))</f>
        <v/>
      </c>
      <c r="D302" t="str">
        <f t="shared" si="54"/>
        <v/>
      </c>
      <c r="E302" t="str">
        <f t="array" ref="E302">IF($A302="","",INDEX(JupData!$A$2:$K$10000,MATCH($A302&amp;E$1,JupData!$A$2:$A$10000&amp;JupData!$J$2:$J$10000,0),11))</f>
        <v/>
      </c>
      <c r="F302" t="str">
        <f t="array" ref="F302">IF($A302="","",INDEX(JupData!$A$2:$K$10000,MATCH($A302&amp;F$1,JupData!$A$2:$A$10000&amp;JupData!$J$2:$J$10000,0),11))</f>
        <v/>
      </c>
      <c r="G302" t="str">
        <f t="array" ref="G302">IF($A302="","",INDEX(JupData!$A$2:$K$10000,MATCH($A302&amp;G$1,JupData!$A$2:$A$10000&amp;JupData!$J$2:$J$10000,0),11))</f>
        <v/>
      </c>
      <c r="H302" t="str">
        <f t="array" ref="H302">IF($A302="","",INDEX(JupData!$A$2:$K$10000,MATCH($A302&amp;H$1,JupData!$A$2:$A$10000&amp;JupData!$J$2:$J$10000,0),11))</f>
        <v/>
      </c>
      <c r="I302" t="str">
        <f t="array" ref="I302">IF($A302="","",INDEX(JupData!$A$2:$K$10000,MATCH($A302&amp;I$1,JupData!$A$2:$A$10000&amp;JupData!$J$2:$J$10000,0),11))</f>
        <v/>
      </c>
      <c r="J302" t="str">
        <f t="array" ref="J302">IF($A302="","",INDEX(JupData!$A$2:$K$10000,MATCH($A302&amp;J$1,JupData!$A$2:$A$10000&amp;JupData!$J$2:$J$10000,0),11))</f>
        <v/>
      </c>
      <c r="K302" t="str">
        <f t="array" ref="K302">IF($A302="","",INDEX(JupData!$A$2:$K$10000,MATCH($A302&amp;K$1,JupData!$A$2:$A$10000&amp;JupData!$J$2:$J$10000,0),11))</f>
        <v/>
      </c>
      <c r="L302" t="str">
        <f t="array" ref="L302">IF($A302="","",INDEX(JupData!$A$2:$K$10000,MATCH($A302&amp;L$1,JupData!$A$2:$A$10000&amp;JupData!$J$2:$J$10000,0),11))</f>
        <v/>
      </c>
      <c r="M302" t="str">
        <f t="array" ref="M302">IF($A302="","",INDEX(JupData!$A$2:$K$10000,MATCH($A302&amp;M$1,JupData!$A$2:$A$10000&amp;JupData!$J$2:$J$10000,0),11))</f>
        <v/>
      </c>
      <c r="N302" t="str">
        <f t="array" ref="N302">IF($A302="","",INDEX(JupData!$A$2:$K$10000,MATCH($A302&amp;N$1,JupData!$A$2:$A$10000&amp;JupData!$J$2:$J$10000,0),11))</f>
        <v/>
      </c>
      <c r="O302" t="str">
        <f t="array" ref="O302">IF($A302="","",INDEX(JupData!$A$2:$K$10000,MATCH($A302&amp;O$1,JupData!$A$2:$A$10000&amp;JupData!$J$2:$J$10000,0),11))</f>
        <v/>
      </c>
      <c r="P302" t="str">
        <f t="array" ref="P302">IF($A302="","",INDEX(JupData!$A$2:$K$10000,MATCH($A302&amp;P$1,JupData!$A$2:$A$10000&amp;JupData!$J$2:$J$10000,0),11))</f>
        <v/>
      </c>
      <c r="Q302" t="str">
        <f t="array" ref="Q302">IF($A302="","",INDEX(JupData!$A$2:$K$10000,MATCH($A302&amp;Q$1,JupData!$A$2:$A$10000&amp;JupData!$J$2:$J$10000,0),11))</f>
        <v/>
      </c>
      <c r="R302" t="str">
        <f t="array" ref="R302">IF($A302="","",INDEX(JupData!$A$2:$K$10000,MATCH($A302&amp;R$1,JupData!$A$2:$A$10000&amp;JupData!$J$2:$J$10000,0),11))</f>
        <v/>
      </c>
      <c r="S302" t="str">
        <f t="array" ref="S302">IF($A302="","",INDEX(JupData!$A$2:$K$10000,MATCH($A302&amp;S$1,JupData!$A$2:$A$10000&amp;JupData!$J$2:$J$10000,0),11))</f>
        <v/>
      </c>
      <c r="T302" t="str">
        <f t="array" ref="T302">IF($A302="","",INDEX(JupData!$A$2:$K$10000,MATCH($A302&amp;T$1,JupData!$A$2:$A$10000&amp;JupData!$J$2:$J$10000,0),11))</f>
        <v/>
      </c>
      <c r="U302" t="str">
        <f t="array" ref="U302">IF($A302="","",INDEX(JupData!$A$2:$K$10000,MATCH($A302&amp;U$1,JupData!$A$2:$A$10000&amp;JupData!$J$2:$J$10000,0),11))</f>
        <v/>
      </c>
      <c r="V302" t="str">
        <f t="array" ref="V302">IF($A302="","",INDEX(JupData!$A$2:$K$10000,MATCH($A302&amp;V$1,JupData!$A$2:$A$10000&amp;JupData!$J$2:$J$10000,0),11))</f>
        <v/>
      </c>
      <c r="W302" t="str">
        <f t="array" ref="W302">IF($A302="","",INDEX(JupData!$A$2:$K$10000,MATCH($A302&amp;W$1,JupData!$A$2:$A$10000&amp;JupData!$J$2:$J$10000,0),11))</f>
        <v/>
      </c>
      <c r="X302" t="str">
        <f t="array" ref="X302">IF($A302="","",INDEX(JupData!$A$2:$K$10000,MATCH($A302&amp;X$1,JupData!$A$2:$A$10000&amp;JupData!$J$2:$J$10000,0),11))</f>
        <v/>
      </c>
      <c r="Y302" t="str">
        <f t="array" ref="Y302">IF($A302="","",INDEX(JupData!$A$2:$K$10000,MATCH($A302&amp;Y$1,JupData!$A$2:$A$10000&amp;JupData!$J$2:$J$10000,0),11))</f>
        <v/>
      </c>
      <c r="Z302" t="str">
        <f t="array" ref="Z302">IF($A302="","",INDEX(JupData!$A$2:$K$10000,MATCH($A302&amp;Z$1,JupData!$A$2:$A$10000&amp;JupData!$J$2:$J$10000,0),11))</f>
        <v/>
      </c>
      <c r="AA302" t="str">
        <f t="array" ref="AA302">IF($A302="","",INDEX(JupData!$A$2:$K$10000,MATCH($A302&amp;AA$1,JupData!$A$2:$A$10000&amp;JupData!$J$2:$J$10000,0),11))</f>
        <v/>
      </c>
      <c r="AB302" t="str">
        <f t="array" ref="AB302">IF($A302="","",INDEX(JupData!$A$2:$K$10000,MATCH($A302&amp;AB$1,JupData!$A$2:$A$10000&amp;JupData!$J$2:$J$10000,0),11))</f>
        <v/>
      </c>
      <c r="AC302" s="10" t="str">
        <f t="shared" si="44"/>
        <v/>
      </c>
      <c r="AD302" s="10" t="str">
        <f t="shared" si="45"/>
        <v/>
      </c>
      <c r="AE302" s="9" t="str">
        <f t="shared" si="46"/>
        <v/>
      </c>
      <c r="AF302" s="10" t="str">
        <f t="shared" si="47"/>
        <v/>
      </c>
      <c r="AG302" s="10" t="str">
        <f t="shared" si="48"/>
        <v/>
      </c>
      <c r="AH302" s="10" t="str">
        <f t="shared" si="49"/>
        <v/>
      </c>
      <c r="AI302" s="10" t="str">
        <f t="shared" si="50"/>
        <v/>
      </c>
      <c r="AJ302" s="10" t="str">
        <f t="shared" si="51"/>
        <v/>
      </c>
      <c r="AK302" s="10" t="str">
        <f t="shared" si="52"/>
        <v/>
      </c>
      <c r="AL302" s="14" t="str">
        <f t="shared" si="53"/>
        <v/>
      </c>
    </row>
    <row r="303" spans="1:38" x14ac:dyDescent="0.2">
      <c r="A303"/>
      <c r="B303" t="str">
        <f>IF($A303="","",VLOOKUP($A303,JupData!$A$2:$I$10000,4,FALSE))</f>
        <v/>
      </c>
      <c r="C303" s="7" t="str">
        <f>IF($A303="",IF(N(D303),0,""),VLOOKUP($A303,JupData!$A$2:$I$10000,7,FALSE))</f>
        <v/>
      </c>
      <c r="D303" t="str">
        <f t="shared" si="54"/>
        <v/>
      </c>
      <c r="E303" t="str">
        <f t="array" ref="E303">IF($A303="","",INDEX(JupData!$A$2:$K$10000,MATCH($A303&amp;E$1,JupData!$A$2:$A$10000&amp;JupData!$J$2:$J$10000,0),11))</f>
        <v/>
      </c>
      <c r="F303" t="str">
        <f t="array" ref="F303">IF($A303="","",INDEX(JupData!$A$2:$K$10000,MATCH($A303&amp;F$1,JupData!$A$2:$A$10000&amp;JupData!$J$2:$J$10000,0),11))</f>
        <v/>
      </c>
      <c r="G303" t="str">
        <f t="array" ref="G303">IF($A303="","",INDEX(JupData!$A$2:$K$10000,MATCH($A303&amp;G$1,JupData!$A$2:$A$10000&amp;JupData!$J$2:$J$10000,0),11))</f>
        <v/>
      </c>
      <c r="H303" t="str">
        <f t="array" ref="H303">IF($A303="","",INDEX(JupData!$A$2:$K$10000,MATCH($A303&amp;H$1,JupData!$A$2:$A$10000&amp;JupData!$J$2:$J$10000,0),11))</f>
        <v/>
      </c>
      <c r="I303" t="str">
        <f t="array" ref="I303">IF($A303="","",INDEX(JupData!$A$2:$K$10000,MATCH($A303&amp;I$1,JupData!$A$2:$A$10000&amp;JupData!$J$2:$J$10000,0),11))</f>
        <v/>
      </c>
      <c r="J303" t="str">
        <f t="array" ref="J303">IF($A303="","",INDEX(JupData!$A$2:$K$10000,MATCH($A303&amp;J$1,JupData!$A$2:$A$10000&amp;JupData!$J$2:$J$10000,0),11))</f>
        <v/>
      </c>
      <c r="K303" t="str">
        <f t="array" ref="K303">IF($A303="","",INDEX(JupData!$A$2:$K$10000,MATCH($A303&amp;K$1,JupData!$A$2:$A$10000&amp;JupData!$J$2:$J$10000,0),11))</f>
        <v/>
      </c>
      <c r="L303" t="str">
        <f t="array" ref="L303">IF($A303="","",INDEX(JupData!$A$2:$K$10000,MATCH($A303&amp;L$1,JupData!$A$2:$A$10000&amp;JupData!$J$2:$J$10000,0),11))</f>
        <v/>
      </c>
      <c r="M303" t="str">
        <f t="array" ref="M303">IF($A303="","",INDEX(JupData!$A$2:$K$10000,MATCH($A303&amp;M$1,JupData!$A$2:$A$10000&amp;JupData!$J$2:$J$10000,0),11))</f>
        <v/>
      </c>
      <c r="N303" t="str">
        <f t="array" ref="N303">IF($A303="","",INDEX(JupData!$A$2:$K$10000,MATCH($A303&amp;N$1,JupData!$A$2:$A$10000&amp;JupData!$J$2:$J$10000,0),11))</f>
        <v/>
      </c>
      <c r="O303" t="str">
        <f t="array" ref="O303">IF($A303="","",INDEX(JupData!$A$2:$K$10000,MATCH($A303&amp;O$1,JupData!$A$2:$A$10000&amp;JupData!$J$2:$J$10000,0),11))</f>
        <v/>
      </c>
      <c r="P303" t="str">
        <f t="array" ref="P303">IF($A303="","",INDEX(JupData!$A$2:$K$10000,MATCH($A303&amp;P$1,JupData!$A$2:$A$10000&amp;JupData!$J$2:$J$10000,0),11))</f>
        <v/>
      </c>
      <c r="Q303" t="str">
        <f t="array" ref="Q303">IF($A303="","",INDEX(JupData!$A$2:$K$10000,MATCH($A303&amp;Q$1,JupData!$A$2:$A$10000&amp;JupData!$J$2:$J$10000,0),11))</f>
        <v/>
      </c>
      <c r="R303" t="str">
        <f t="array" ref="R303">IF($A303="","",INDEX(JupData!$A$2:$K$10000,MATCH($A303&amp;R$1,JupData!$A$2:$A$10000&amp;JupData!$J$2:$J$10000,0),11))</f>
        <v/>
      </c>
      <c r="S303" t="str">
        <f t="array" ref="S303">IF($A303="","",INDEX(JupData!$A$2:$K$10000,MATCH($A303&amp;S$1,JupData!$A$2:$A$10000&amp;JupData!$J$2:$J$10000,0),11))</f>
        <v/>
      </c>
      <c r="T303" t="str">
        <f t="array" ref="T303">IF($A303="","",INDEX(JupData!$A$2:$K$10000,MATCH($A303&amp;T$1,JupData!$A$2:$A$10000&amp;JupData!$J$2:$J$10000,0),11))</f>
        <v/>
      </c>
      <c r="U303" t="str">
        <f t="array" ref="U303">IF($A303="","",INDEX(JupData!$A$2:$K$10000,MATCH($A303&amp;U$1,JupData!$A$2:$A$10000&amp;JupData!$J$2:$J$10000,0),11))</f>
        <v/>
      </c>
      <c r="V303" t="str">
        <f t="array" ref="V303">IF($A303="","",INDEX(JupData!$A$2:$K$10000,MATCH($A303&amp;V$1,JupData!$A$2:$A$10000&amp;JupData!$J$2:$J$10000,0),11))</f>
        <v/>
      </c>
      <c r="W303" t="str">
        <f t="array" ref="W303">IF($A303="","",INDEX(JupData!$A$2:$K$10000,MATCH($A303&amp;W$1,JupData!$A$2:$A$10000&amp;JupData!$J$2:$J$10000,0),11))</f>
        <v/>
      </c>
      <c r="X303" t="str">
        <f t="array" ref="X303">IF($A303="","",INDEX(JupData!$A$2:$K$10000,MATCH($A303&amp;X$1,JupData!$A$2:$A$10000&amp;JupData!$J$2:$J$10000,0),11))</f>
        <v/>
      </c>
      <c r="Y303" t="str">
        <f t="array" ref="Y303">IF($A303="","",INDEX(JupData!$A$2:$K$10000,MATCH($A303&amp;Y$1,JupData!$A$2:$A$10000&amp;JupData!$J$2:$J$10000,0),11))</f>
        <v/>
      </c>
      <c r="Z303" t="str">
        <f t="array" ref="Z303">IF($A303="","",INDEX(JupData!$A$2:$K$10000,MATCH($A303&amp;Z$1,JupData!$A$2:$A$10000&amp;JupData!$J$2:$J$10000,0),11))</f>
        <v/>
      </c>
      <c r="AA303" t="str">
        <f t="array" ref="AA303">IF($A303="","",INDEX(JupData!$A$2:$K$10000,MATCH($A303&amp;AA$1,JupData!$A$2:$A$10000&amp;JupData!$J$2:$J$10000,0),11))</f>
        <v/>
      </c>
      <c r="AB303" t="str">
        <f t="array" ref="AB303">IF($A303="","",INDEX(JupData!$A$2:$K$10000,MATCH($A303&amp;AB$1,JupData!$A$2:$A$10000&amp;JupData!$J$2:$J$10000,0),11))</f>
        <v/>
      </c>
      <c r="AC303" s="10" t="str">
        <f t="shared" si="44"/>
        <v/>
      </c>
      <c r="AD303" s="10" t="str">
        <f t="shared" si="45"/>
        <v/>
      </c>
      <c r="AE303" s="9" t="str">
        <f t="shared" si="46"/>
        <v/>
      </c>
      <c r="AF303" s="10" t="str">
        <f t="shared" si="47"/>
        <v/>
      </c>
      <c r="AG303" s="10" t="str">
        <f t="shared" si="48"/>
        <v/>
      </c>
      <c r="AH303" s="10" t="str">
        <f t="shared" si="49"/>
        <v/>
      </c>
      <c r="AI303" s="10" t="str">
        <f t="shared" si="50"/>
        <v/>
      </c>
      <c r="AJ303" s="10" t="str">
        <f t="shared" si="51"/>
        <v/>
      </c>
      <c r="AK303" s="10" t="str">
        <f t="shared" si="52"/>
        <v/>
      </c>
      <c r="AL303" s="14" t="str">
        <f t="shared" si="53"/>
        <v/>
      </c>
    </row>
    <row r="304" spans="1:38" x14ac:dyDescent="0.2">
      <c r="A304"/>
      <c r="B304" t="str">
        <f>IF($A304="","",VLOOKUP($A304,JupData!$A$2:$I$10000,4,FALSE))</f>
        <v/>
      </c>
      <c r="C304" s="7" t="str">
        <f>IF($A304="",IF(N(D304),0,""),VLOOKUP($A304,JupData!$A$2:$I$10000,7,FALSE))</f>
        <v/>
      </c>
      <c r="D304" t="str">
        <f t="shared" si="54"/>
        <v/>
      </c>
      <c r="E304" t="str">
        <f t="array" ref="E304">IF($A304="","",INDEX(JupData!$A$2:$K$10000,MATCH($A304&amp;E$1,JupData!$A$2:$A$10000&amp;JupData!$J$2:$J$10000,0),11))</f>
        <v/>
      </c>
      <c r="F304" t="str">
        <f t="array" ref="F304">IF($A304="","",INDEX(JupData!$A$2:$K$10000,MATCH($A304&amp;F$1,JupData!$A$2:$A$10000&amp;JupData!$J$2:$J$10000,0),11))</f>
        <v/>
      </c>
      <c r="G304" t="str">
        <f t="array" ref="G304">IF($A304="","",INDEX(JupData!$A$2:$K$10000,MATCH($A304&amp;G$1,JupData!$A$2:$A$10000&amp;JupData!$J$2:$J$10000,0),11))</f>
        <v/>
      </c>
      <c r="H304" t="str">
        <f t="array" ref="H304">IF($A304="","",INDEX(JupData!$A$2:$K$10000,MATCH($A304&amp;H$1,JupData!$A$2:$A$10000&amp;JupData!$J$2:$J$10000,0),11))</f>
        <v/>
      </c>
      <c r="I304" t="str">
        <f t="array" ref="I304">IF($A304="","",INDEX(JupData!$A$2:$K$10000,MATCH($A304&amp;I$1,JupData!$A$2:$A$10000&amp;JupData!$J$2:$J$10000,0),11))</f>
        <v/>
      </c>
      <c r="J304" t="str">
        <f t="array" ref="J304">IF($A304="","",INDEX(JupData!$A$2:$K$10000,MATCH($A304&amp;J$1,JupData!$A$2:$A$10000&amp;JupData!$J$2:$J$10000,0),11))</f>
        <v/>
      </c>
      <c r="K304" t="str">
        <f t="array" ref="K304">IF($A304="","",INDEX(JupData!$A$2:$K$10000,MATCH($A304&amp;K$1,JupData!$A$2:$A$10000&amp;JupData!$J$2:$J$10000,0),11))</f>
        <v/>
      </c>
      <c r="L304" t="str">
        <f t="array" ref="L304">IF($A304="","",INDEX(JupData!$A$2:$K$10000,MATCH($A304&amp;L$1,JupData!$A$2:$A$10000&amp;JupData!$J$2:$J$10000,0),11))</f>
        <v/>
      </c>
      <c r="M304" t="str">
        <f t="array" ref="M304">IF($A304="","",INDEX(JupData!$A$2:$K$10000,MATCH($A304&amp;M$1,JupData!$A$2:$A$10000&amp;JupData!$J$2:$J$10000,0),11))</f>
        <v/>
      </c>
      <c r="N304" t="str">
        <f t="array" ref="N304">IF($A304="","",INDEX(JupData!$A$2:$K$10000,MATCH($A304&amp;N$1,JupData!$A$2:$A$10000&amp;JupData!$J$2:$J$10000,0),11))</f>
        <v/>
      </c>
      <c r="O304" t="str">
        <f t="array" ref="O304">IF($A304="","",INDEX(JupData!$A$2:$K$10000,MATCH($A304&amp;O$1,JupData!$A$2:$A$10000&amp;JupData!$J$2:$J$10000,0),11))</f>
        <v/>
      </c>
      <c r="P304" t="str">
        <f t="array" ref="P304">IF($A304="","",INDEX(JupData!$A$2:$K$10000,MATCH($A304&amp;P$1,JupData!$A$2:$A$10000&amp;JupData!$J$2:$J$10000,0),11))</f>
        <v/>
      </c>
      <c r="Q304" t="str">
        <f t="array" ref="Q304">IF($A304="","",INDEX(JupData!$A$2:$K$10000,MATCH($A304&amp;Q$1,JupData!$A$2:$A$10000&amp;JupData!$J$2:$J$10000,0),11))</f>
        <v/>
      </c>
      <c r="R304" t="str">
        <f t="array" ref="R304">IF($A304="","",INDEX(JupData!$A$2:$K$10000,MATCH($A304&amp;R$1,JupData!$A$2:$A$10000&amp;JupData!$J$2:$J$10000,0),11))</f>
        <v/>
      </c>
      <c r="S304" t="str">
        <f t="array" ref="S304">IF($A304="","",INDEX(JupData!$A$2:$K$10000,MATCH($A304&amp;S$1,JupData!$A$2:$A$10000&amp;JupData!$J$2:$J$10000,0),11))</f>
        <v/>
      </c>
      <c r="T304" t="str">
        <f t="array" ref="T304">IF($A304="","",INDEX(JupData!$A$2:$K$10000,MATCH($A304&amp;T$1,JupData!$A$2:$A$10000&amp;JupData!$J$2:$J$10000,0),11))</f>
        <v/>
      </c>
      <c r="U304" t="str">
        <f t="array" ref="U304">IF($A304="","",INDEX(JupData!$A$2:$K$10000,MATCH($A304&amp;U$1,JupData!$A$2:$A$10000&amp;JupData!$J$2:$J$10000,0),11))</f>
        <v/>
      </c>
      <c r="V304" t="str">
        <f t="array" ref="V304">IF($A304="","",INDEX(JupData!$A$2:$K$10000,MATCH($A304&amp;V$1,JupData!$A$2:$A$10000&amp;JupData!$J$2:$J$10000,0),11))</f>
        <v/>
      </c>
      <c r="W304" t="str">
        <f t="array" ref="W304">IF($A304="","",INDEX(JupData!$A$2:$K$10000,MATCH($A304&amp;W$1,JupData!$A$2:$A$10000&amp;JupData!$J$2:$J$10000,0),11))</f>
        <v/>
      </c>
      <c r="X304" t="str">
        <f t="array" ref="X304">IF($A304="","",INDEX(JupData!$A$2:$K$10000,MATCH($A304&amp;X$1,JupData!$A$2:$A$10000&amp;JupData!$J$2:$J$10000,0),11))</f>
        <v/>
      </c>
      <c r="Y304" t="str">
        <f t="array" ref="Y304">IF($A304="","",INDEX(JupData!$A$2:$K$10000,MATCH($A304&amp;Y$1,JupData!$A$2:$A$10000&amp;JupData!$J$2:$J$10000,0),11))</f>
        <v/>
      </c>
      <c r="Z304" t="str">
        <f t="array" ref="Z304">IF($A304="","",INDEX(JupData!$A$2:$K$10000,MATCH($A304&amp;Z$1,JupData!$A$2:$A$10000&amp;JupData!$J$2:$J$10000,0),11))</f>
        <v/>
      </c>
      <c r="AA304" t="str">
        <f t="array" ref="AA304">IF($A304="","",INDEX(JupData!$A$2:$K$10000,MATCH($A304&amp;AA$1,JupData!$A$2:$A$10000&amp;JupData!$J$2:$J$10000,0),11))</f>
        <v/>
      </c>
      <c r="AB304" t="str">
        <f t="array" ref="AB304">IF($A304="","",INDEX(JupData!$A$2:$K$10000,MATCH($A304&amp;AB$1,JupData!$A$2:$A$10000&amp;JupData!$J$2:$J$10000,0),11))</f>
        <v/>
      </c>
      <c r="AC304" s="10" t="str">
        <f t="shared" si="44"/>
        <v/>
      </c>
      <c r="AD304" s="10" t="str">
        <f t="shared" si="45"/>
        <v/>
      </c>
      <c r="AE304" s="9" t="str">
        <f t="shared" si="46"/>
        <v/>
      </c>
      <c r="AF304" s="10" t="str">
        <f t="shared" si="47"/>
        <v/>
      </c>
      <c r="AG304" s="10" t="str">
        <f t="shared" si="48"/>
        <v/>
      </c>
      <c r="AH304" s="10" t="str">
        <f t="shared" si="49"/>
        <v/>
      </c>
      <c r="AI304" s="10" t="str">
        <f t="shared" si="50"/>
        <v/>
      </c>
      <c r="AJ304" s="10" t="str">
        <f t="shared" si="51"/>
        <v/>
      </c>
      <c r="AK304" s="10" t="str">
        <f t="shared" si="52"/>
        <v/>
      </c>
      <c r="AL304" s="14" t="str">
        <f t="shared" si="53"/>
        <v/>
      </c>
    </row>
    <row r="305" spans="1:38" x14ac:dyDescent="0.2">
      <c r="A305"/>
      <c r="B305" t="str">
        <f>IF($A305="","",VLOOKUP($A305,JupData!$A$2:$I$10000,4,FALSE))</f>
        <v/>
      </c>
      <c r="C305" s="7" t="str">
        <f>IF($A305="",IF(N(D305),0,""),VLOOKUP($A305,JupData!$A$2:$I$10000,7,FALSE))</f>
        <v/>
      </c>
      <c r="D305" t="str">
        <f t="shared" si="54"/>
        <v/>
      </c>
      <c r="E305" t="str">
        <f t="array" ref="E305">IF($A305="","",INDEX(JupData!$A$2:$K$10000,MATCH($A305&amp;E$1,JupData!$A$2:$A$10000&amp;JupData!$J$2:$J$10000,0),11))</f>
        <v/>
      </c>
      <c r="F305" t="str">
        <f t="array" ref="F305">IF($A305="","",INDEX(JupData!$A$2:$K$10000,MATCH($A305&amp;F$1,JupData!$A$2:$A$10000&amp;JupData!$J$2:$J$10000,0),11))</f>
        <v/>
      </c>
      <c r="G305" t="str">
        <f t="array" ref="G305">IF($A305="","",INDEX(JupData!$A$2:$K$10000,MATCH($A305&amp;G$1,JupData!$A$2:$A$10000&amp;JupData!$J$2:$J$10000,0),11))</f>
        <v/>
      </c>
      <c r="H305" t="str">
        <f t="array" ref="H305">IF($A305="","",INDEX(JupData!$A$2:$K$10000,MATCH($A305&amp;H$1,JupData!$A$2:$A$10000&amp;JupData!$J$2:$J$10000,0),11))</f>
        <v/>
      </c>
      <c r="I305" t="str">
        <f t="array" ref="I305">IF($A305="","",INDEX(JupData!$A$2:$K$10000,MATCH($A305&amp;I$1,JupData!$A$2:$A$10000&amp;JupData!$J$2:$J$10000,0),11))</f>
        <v/>
      </c>
      <c r="J305" t="str">
        <f t="array" ref="J305">IF($A305="","",INDEX(JupData!$A$2:$K$10000,MATCH($A305&amp;J$1,JupData!$A$2:$A$10000&amp;JupData!$J$2:$J$10000,0),11))</f>
        <v/>
      </c>
      <c r="K305" t="str">
        <f t="array" ref="K305">IF($A305="","",INDEX(JupData!$A$2:$K$10000,MATCH($A305&amp;K$1,JupData!$A$2:$A$10000&amp;JupData!$J$2:$J$10000,0),11))</f>
        <v/>
      </c>
      <c r="L305" t="str">
        <f t="array" ref="L305">IF($A305="","",INDEX(JupData!$A$2:$K$10000,MATCH($A305&amp;L$1,JupData!$A$2:$A$10000&amp;JupData!$J$2:$J$10000,0),11))</f>
        <v/>
      </c>
      <c r="M305" t="str">
        <f t="array" ref="M305">IF($A305="","",INDEX(JupData!$A$2:$K$10000,MATCH($A305&amp;M$1,JupData!$A$2:$A$10000&amp;JupData!$J$2:$J$10000,0),11))</f>
        <v/>
      </c>
      <c r="N305" t="str">
        <f t="array" ref="N305">IF($A305="","",INDEX(JupData!$A$2:$K$10000,MATCH($A305&amp;N$1,JupData!$A$2:$A$10000&amp;JupData!$J$2:$J$10000,0),11))</f>
        <v/>
      </c>
      <c r="O305" t="str">
        <f t="array" ref="O305">IF($A305="","",INDEX(JupData!$A$2:$K$10000,MATCH($A305&amp;O$1,JupData!$A$2:$A$10000&amp;JupData!$J$2:$J$10000,0),11))</f>
        <v/>
      </c>
      <c r="P305" t="str">
        <f t="array" ref="P305">IF($A305="","",INDEX(JupData!$A$2:$K$10000,MATCH($A305&amp;P$1,JupData!$A$2:$A$10000&amp;JupData!$J$2:$J$10000,0),11))</f>
        <v/>
      </c>
      <c r="Q305" t="str">
        <f t="array" ref="Q305">IF($A305="","",INDEX(JupData!$A$2:$K$10000,MATCH($A305&amp;Q$1,JupData!$A$2:$A$10000&amp;JupData!$J$2:$J$10000,0),11))</f>
        <v/>
      </c>
      <c r="R305" t="str">
        <f t="array" ref="R305">IF($A305="","",INDEX(JupData!$A$2:$K$10000,MATCH($A305&amp;R$1,JupData!$A$2:$A$10000&amp;JupData!$J$2:$J$10000,0),11))</f>
        <v/>
      </c>
      <c r="S305" t="str">
        <f t="array" ref="S305">IF($A305="","",INDEX(JupData!$A$2:$K$10000,MATCH($A305&amp;S$1,JupData!$A$2:$A$10000&amp;JupData!$J$2:$J$10000,0),11))</f>
        <v/>
      </c>
      <c r="T305" t="str">
        <f t="array" ref="T305">IF($A305="","",INDEX(JupData!$A$2:$K$10000,MATCH($A305&amp;T$1,JupData!$A$2:$A$10000&amp;JupData!$J$2:$J$10000,0),11))</f>
        <v/>
      </c>
      <c r="U305" t="str">
        <f t="array" ref="U305">IF($A305="","",INDEX(JupData!$A$2:$K$10000,MATCH($A305&amp;U$1,JupData!$A$2:$A$10000&amp;JupData!$J$2:$J$10000,0),11))</f>
        <v/>
      </c>
      <c r="V305" t="str">
        <f t="array" ref="V305">IF($A305="","",INDEX(JupData!$A$2:$K$10000,MATCH($A305&amp;V$1,JupData!$A$2:$A$10000&amp;JupData!$J$2:$J$10000,0),11))</f>
        <v/>
      </c>
      <c r="W305" t="str">
        <f t="array" ref="W305">IF($A305="","",INDEX(JupData!$A$2:$K$10000,MATCH($A305&amp;W$1,JupData!$A$2:$A$10000&amp;JupData!$J$2:$J$10000,0),11))</f>
        <v/>
      </c>
      <c r="X305" t="str">
        <f t="array" ref="X305">IF($A305="","",INDEX(JupData!$A$2:$K$10000,MATCH($A305&amp;X$1,JupData!$A$2:$A$10000&amp;JupData!$J$2:$J$10000,0),11))</f>
        <v/>
      </c>
      <c r="Y305" t="str">
        <f t="array" ref="Y305">IF($A305="","",INDEX(JupData!$A$2:$K$10000,MATCH($A305&amp;Y$1,JupData!$A$2:$A$10000&amp;JupData!$J$2:$J$10000,0),11))</f>
        <v/>
      </c>
      <c r="Z305" t="str">
        <f t="array" ref="Z305">IF($A305="","",INDEX(JupData!$A$2:$K$10000,MATCH($A305&amp;Z$1,JupData!$A$2:$A$10000&amp;JupData!$J$2:$J$10000,0),11))</f>
        <v/>
      </c>
      <c r="AA305" t="str">
        <f t="array" ref="AA305">IF($A305="","",INDEX(JupData!$A$2:$K$10000,MATCH($A305&amp;AA$1,JupData!$A$2:$A$10000&amp;JupData!$J$2:$J$10000,0),11))</f>
        <v/>
      </c>
      <c r="AB305" t="str">
        <f t="array" ref="AB305">IF($A305="","",INDEX(JupData!$A$2:$K$10000,MATCH($A305&amp;AB$1,JupData!$A$2:$A$10000&amp;JupData!$J$2:$J$10000,0),11))</f>
        <v/>
      </c>
      <c r="AC305" s="10" t="str">
        <f t="shared" si="44"/>
        <v/>
      </c>
      <c r="AD305" s="10" t="str">
        <f t="shared" si="45"/>
        <v/>
      </c>
      <c r="AE305" s="9" t="str">
        <f t="shared" si="46"/>
        <v/>
      </c>
      <c r="AF305" s="10" t="str">
        <f t="shared" si="47"/>
        <v/>
      </c>
      <c r="AG305" s="10" t="str">
        <f t="shared" si="48"/>
        <v/>
      </c>
      <c r="AH305" s="10" t="str">
        <f t="shared" si="49"/>
        <v/>
      </c>
      <c r="AI305" s="10" t="str">
        <f t="shared" si="50"/>
        <v/>
      </c>
      <c r="AJ305" s="10" t="str">
        <f t="shared" si="51"/>
        <v/>
      </c>
      <c r="AK305" s="10" t="str">
        <f t="shared" si="52"/>
        <v/>
      </c>
      <c r="AL305" s="14" t="str">
        <f t="shared" si="53"/>
        <v/>
      </c>
    </row>
    <row r="306" spans="1:38" x14ac:dyDescent="0.2">
      <c r="A306"/>
      <c r="B306" t="str">
        <f>IF($A306="","",VLOOKUP($A306,JupData!$A$2:$I$10000,4,FALSE))</f>
        <v/>
      </c>
      <c r="C306" s="7" t="str">
        <f>IF($A306="",IF(N(D306),0,""),VLOOKUP($A306,JupData!$A$2:$I$10000,7,FALSE))</f>
        <v/>
      </c>
      <c r="D306" t="str">
        <f t="shared" si="54"/>
        <v/>
      </c>
      <c r="E306" t="str">
        <f t="array" ref="E306">IF($A306="","",INDEX(JupData!$A$2:$K$10000,MATCH($A306&amp;E$1,JupData!$A$2:$A$10000&amp;JupData!$J$2:$J$10000,0),11))</f>
        <v/>
      </c>
      <c r="F306" t="str">
        <f t="array" ref="F306">IF($A306="","",INDEX(JupData!$A$2:$K$10000,MATCH($A306&amp;F$1,JupData!$A$2:$A$10000&amp;JupData!$J$2:$J$10000,0),11))</f>
        <v/>
      </c>
      <c r="G306" t="str">
        <f t="array" ref="G306">IF($A306="","",INDEX(JupData!$A$2:$K$10000,MATCH($A306&amp;G$1,JupData!$A$2:$A$10000&amp;JupData!$J$2:$J$10000,0),11))</f>
        <v/>
      </c>
      <c r="H306" t="str">
        <f t="array" ref="H306">IF($A306="","",INDEX(JupData!$A$2:$K$10000,MATCH($A306&amp;H$1,JupData!$A$2:$A$10000&amp;JupData!$J$2:$J$10000,0),11))</f>
        <v/>
      </c>
      <c r="I306" t="str">
        <f t="array" ref="I306">IF($A306="","",INDEX(JupData!$A$2:$K$10000,MATCH($A306&amp;I$1,JupData!$A$2:$A$10000&amp;JupData!$J$2:$J$10000,0),11))</f>
        <v/>
      </c>
      <c r="J306" t="str">
        <f t="array" ref="J306">IF($A306="","",INDEX(JupData!$A$2:$K$10000,MATCH($A306&amp;J$1,JupData!$A$2:$A$10000&amp;JupData!$J$2:$J$10000,0),11))</f>
        <v/>
      </c>
      <c r="K306" t="str">
        <f t="array" ref="K306">IF($A306="","",INDEX(JupData!$A$2:$K$10000,MATCH($A306&amp;K$1,JupData!$A$2:$A$10000&amp;JupData!$J$2:$J$10000,0),11))</f>
        <v/>
      </c>
      <c r="L306" t="str">
        <f t="array" ref="L306">IF($A306="","",INDEX(JupData!$A$2:$K$10000,MATCH($A306&amp;L$1,JupData!$A$2:$A$10000&amp;JupData!$J$2:$J$10000,0),11))</f>
        <v/>
      </c>
      <c r="M306" t="str">
        <f t="array" ref="M306">IF($A306="","",INDEX(JupData!$A$2:$K$10000,MATCH($A306&amp;M$1,JupData!$A$2:$A$10000&amp;JupData!$J$2:$J$10000,0),11))</f>
        <v/>
      </c>
      <c r="N306" t="str">
        <f t="array" ref="N306">IF($A306="","",INDEX(JupData!$A$2:$K$10000,MATCH($A306&amp;N$1,JupData!$A$2:$A$10000&amp;JupData!$J$2:$J$10000,0),11))</f>
        <v/>
      </c>
      <c r="O306" t="str">
        <f t="array" ref="O306">IF($A306="","",INDEX(JupData!$A$2:$K$10000,MATCH($A306&amp;O$1,JupData!$A$2:$A$10000&amp;JupData!$J$2:$J$10000,0),11))</f>
        <v/>
      </c>
      <c r="P306" t="str">
        <f t="array" ref="P306">IF($A306="","",INDEX(JupData!$A$2:$K$10000,MATCH($A306&amp;P$1,JupData!$A$2:$A$10000&amp;JupData!$J$2:$J$10000,0),11))</f>
        <v/>
      </c>
      <c r="Q306" t="str">
        <f t="array" ref="Q306">IF($A306="","",INDEX(JupData!$A$2:$K$10000,MATCH($A306&amp;Q$1,JupData!$A$2:$A$10000&amp;JupData!$J$2:$J$10000,0),11))</f>
        <v/>
      </c>
      <c r="R306" t="str">
        <f t="array" ref="R306">IF($A306="","",INDEX(JupData!$A$2:$K$10000,MATCH($A306&amp;R$1,JupData!$A$2:$A$10000&amp;JupData!$J$2:$J$10000,0),11))</f>
        <v/>
      </c>
      <c r="S306" t="str">
        <f t="array" ref="S306">IF($A306="","",INDEX(JupData!$A$2:$K$10000,MATCH($A306&amp;S$1,JupData!$A$2:$A$10000&amp;JupData!$J$2:$J$10000,0),11))</f>
        <v/>
      </c>
      <c r="T306" t="str">
        <f t="array" ref="T306">IF($A306="","",INDEX(JupData!$A$2:$K$10000,MATCH($A306&amp;T$1,JupData!$A$2:$A$10000&amp;JupData!$J$2:$J$10000,0),11))</f>
        <v/>
      </c>
      <c r="U306" t="str">
        <f t="array" ref="U306">IF($A306="","",INDEX(JupData!$A$2:$K$10000,MATCH($A306&amp;U$1,JupData!$A$2:$A$10000&amp;JupData!$J$2:$J$10000,0),11))</f>
        <v/>
      </c>
      <c r="V306" t="str">
        <f t="array" ref="V306">IF($A306="","",INDEX(JupData!$A$2:$K$10000,MATCH($A306&amp;V$1,JupData!$A$2:$A$10000&amp;JupData!$J$2:$J$10000,0),11))</f>
        <v/>
      </c>
      <c r="W306" t="str">
        <f t="array" ref="W306">IF($A306="","",INDEX(JupData!$A$2:$K$10000,MATCH($A306&amp;W$1,JupData!$A$2:$A$10000&amp;JupData!$J$2:$J$10000,0),11))</f>
        <v/>
      </c>
      <c r="X306" t="str">
        <f t="array" ref="X306">IF($A306="","",INDEX(JupData!$A$2:$K$10000,MATCH($A306&amp;X$1,JupData!$A$2:$A$10000&amp;JupData!$J$2:$J$10000,0),11))</f>
        <v/>
      </c>
      <c r="Y306" t="str">
        <f t="array" ref="Y306">IF($A306="","",INDEX(JupData!$A$2:$K$10000,MATCH($A306&amp;Y$1,JupData!$A$2:$A$10000&amp;JupData!$J$2:$J$10000,0),11))</f>
        <v/>
      </c>
      <c r="Z306" t="str">
        <f t="array" ref="Z306">IF($A306="","",INDEX(JupData!$A$2:$K$10000,MATCH($A306&amp;Z$1,JupData!$A$2:$A$10000&amp;JupData!$J$2:$J$10000,0),11))</f>
        <v/>
      </c>
      <c r="AA306" t="str">
        <f t="array" ref="AA306">IF($A306="","",INDEX(JupData!$A$2:$K$10000,MATCH($A306&amp;AA$1,JupData!$A$2:$A$10000&amp;JupData!$J$2:$J$10000,0),11))</f>
        <v/>
      </c>
      <c r="AB306" t="str">
        <f t="array" ref="AB306">IF($A306="","",INDEX(JupData!$A$2:$K$10000,MATCH($A306&amp;AB$1,JupData!$A$2:$A$10000&amp;JupData!$J$2:$J$10000,0),11))</f>
        <v/>
      </c>
      <c r="AC306" s="10" t="str">
        <f t="shared" si="44"/>
        <v/>
      </c>
      <c r="AD306" s="10" t="str">
        <f t="shared" si="45"/>
        <v/>
      </c>
      <c r="AE306" s="9" t="str">
        <f t="shared" si="46"/>
        <v/>
      </c>
      <c r="AF306" s="10" t="str">
        <f t="shared" si="47"/>
        <v/>
      </c>
      <c r="AG306" s="10" t="str">
        <f t="shared" si="48"/>
        <v/>
      </c>
      <c r="AH306" s="10" t="str">
        <f t="shared" si="49"/>
        <v/>
      </c>
      <c r="AI306" s="10" t="str">
        <f t="shared" si="50"/>
        <v/>
      </c>
      <c r="AJ306" s="10" t="str">
        <f t="shared" si="51"/>
        <v/>
      </c>
      <c r="AK306" s="10" t="str">
        <f t="shared" si="52"/>
        <v/>
      </c>
      <c r="AL306" s="14" t="str">
        <f t="shared" si="53"/>
        <v/>
      </c>
    </row>
    <row r="307" spans="1:38" x14ac:dyDescent="0.2">
      <c r="A307"/>
      <c r="B307" t="str">
        <f>IF($A307="","",VLOOKUP($A307,JupData!$A$2:$I$10000,4,FALSE))</f>
        <v/>
      </c>
      <c r="C307" s="7" t="str">
        <f>IF($A307="",IF(N(D307),0,""),VLOOKUP($A307,JupData!$A$2:$I$10000,7,FALSE))</f>
        <v/>
      </c>
      <c r="D307" t="str">
        <f t="shared" si="54"/>
        <v/>
      </c>
      <c r="E307" t="str">
        <f t="array" ref="E307">IF($A307="","",INDEX(JupData!$A$2:$K$10000,MATCH($A307&amp;E$1,JupData!$A$2:$A$10000&amp;JupData!$J$2:$J$10000,0),11))</f>
        <v/>
      </c>
      <c r="F307" t="str">
        <f t="array" ref="F307">IF($A307="","",INDEX(JupData!$A$2:$K$10000,MATCH($A307&amp;F$1,JupData!$A$2:$A$10000&amp;JupData!$J$2:$J$10000,0),11))</f>
        <v/>
      </c>
      <c r="G307" t="str">
        <f t="array" ref="G307">IF($A307="","",INDEX(JupData!$A$2:$K$10000,MATCH($A307&amp;G$1,JupData!$A$2:$A$10000&amp;JupData!$J$2:$J$10000,0),11))</f>
        <v/>
      </c>
      <c r="H307" t="str">
        <f t="array" ref="H307">IF($A307="","",INDEX(JupData!$A$2:$K$10000,MATCH($A307&amp;H$1,JupData!$A$2:$A$10000&amp;JupData!$J$2:$J$10000,0),11))</f>
        <v/>
      </c>
      <c r="I307" t="str">
        <f t="array" ref="I307">IF($A307="","",INDEX(JupData!$A$2:$K$10000,MATCH($A307&amp;I$1,JupData!$A$2:$A$10000&amp;JupData!$J$2:$J$10000,0),11))</f>
        <v/>
      </c>
      <c r="J307" t="str">
        <f t="array" ref="J307">IF($A307="","",INDEX(JupData!$A$2:$K$10000,MATCH($A307&amp;J$1,JupData!$A$2:$A$10000&amp;JupData!$J$2:$J$10000,0),11))</f>
        <v/>
      </c>
      <c r="K307" t="str">
        <f t="array" ref="K307">IF($A307="","",INDEX(JupData!$A$2:$K$10000,MATCH($A307&amp;K$1,JupData!$A$2:$A$10000&amp;JupData!$J$2:$J$10000,0),11))</f>
        <v/>
      </c>
      <c r="L307" t="str">
        <f t="array" ref="L307">IF($A307="","",INDEX(JupData!$A$2:$K$10000,MATCH($A307&amp;L$1,JupData!$A$2:$A$10000&amp;JupData!$J$2:$J$10000,0),11))</f>
        <v/>
      </c>
      <c r="M307" t="str">
        <f t="array" ref="M307">IF($A307="","",INDEX(JupData!$A$2:$K$10000,MATCH($A307&amp;M$1,JupData!$A$2:$A$10000&amp;JupData!$J$2:$J$10000,0),11))</f>
        <v/>
      </c>
      <c r="N307" t="str">
        <f t="array" ref="N307">IF($A307="","",INDEX(JupData!$A$2:$K$10000,MATCH($A307&amp;N$1,JupData!$A$2:$A$10000&amp;JupData!$J$2:$J$10000,0),11))</f>
        <v/>
      </c>
      <c r="O307" t="str">
        <f t="array" ref="O307">IF($A307="","",INDEX(JupData!$A$2:$K$10000,MATCH($A307&amp;O$1,JupData!$A$2:$A$10000&amp;JupData!$J$2:$J$10000,0),11))</f>
        <v/>
      </c>
      <c r="P307" t="str">
        <f t="array" ref="P307">IF($A307="","",INDEX(JupData!$A$2:$K$10000,MATCH($A307&amp;P$1,JupData!$A$2:$A$10000&amp;JupData!$J$2:$J$10000,0),11))</f>
        <v/>
      </c>
      <c r="Q307" t="str">
        <f t="array" ref="Q307">IF($A307="","",INDEX(JupData!$A$2:$K$10000,MATCH($A307&amp;Q$1,JupData!$A$2:$A$10000&amp;JupData!$J$2:$J$10000,0),11))</f>
        <v/>
      </c>
      <c r="R307" t="str">
        <f t="array" ref="R307">IF($A307="","",INDEX(JupData!$A$2:$K$10000,MATCH($A307&amp;R$1,JupData!$A$2:$A$10000&amp;JupData!$J$2:$J$10000,0),11))</f>
        <v/>
      </c>
      <c r="S307" t="str">
        <f t="array" ref="S307">IF($A307="","",INDEX(JupData!$A$2:$K$10000,MATCH($A307&amp;S$1,JupData!$A$2:$A$10000&amp;JupData!$J$2:$J$10000,0),11))</f>
        <v/>
      </c>
      <c r="T307" t="str">
        <f t="array" ref="T307">IF($A307="","",INDEX(JupData!$A$2:$K$10000,MATCH($A307&amp;T$1,JupData!$A$2:$A$10000&amp;JupData!$J$2:$J$10000,0),11))</f>
        <v/>
      </c>
      <c r="U307" t="str">
        <f t="array" ref="U307">IF($A307="","",INDEX(JupData!$A$2:$K$10000,MATCH($A307&amp;U$1,JupData!$A$2:$A$10000&amp;JupData!$J$2:$J$10000,0),11))</f>
        <v/>
      </c>
      <c r="V307" t="str">
        <f t="array" ref="V307">IF($A307="","",INDEX(JupData!$A$2:$K$10000,MATCH($A307&amp;V$1,JupData!$A$2:$A$10000&amp;JupData!$J$2:$J$10000,0),11))</f>
        <v/>
      </c>
      <c r="W307" t="str">
        <f t="array" ref="W307">IF($A307="","",INDEX(JupData!$A$2:$K$10000,MATCH($A307&amp;W$1,JupData!$A$2:$A$10000&amp;JupData!$J$2:$J$10000,0),11))</f>
        <v/>
      </c>
      <c r="X307" t="str">
        <f t="array" ref="X307">IF($A307="","",INDEX(JupData!$A$2:$K$10000,MATCH($A307&amp;X$1,JupData!$A$2:$A$10000&amp;JupData!$J$2:$J$10000,0),11))</f>
        <v/>
      </c>
      <c r="Y307" t="str">
        <f t="array" ref="Y307">IF($A307="","",INDEX(JupData!$A$2:$K$10000,MATCH($A307&amp;Y$1,JupData!$A$2:$A$10000&amp;JupData!$J$2:$J$10000,0),11))</f>
        <v/>
      </c>
      <c r="Z307" t="str">
        <f t="array" ref="Z307">IF($A307="","",INDEX(JupData!$A$2:$K$10000,MATCH($A307&amp;Z$1,JupData!$A$2:$A$10000&amp;JupData!$J$2:$J$10000,0),11))</f>
        <v/>
      </c>
      <c r="AA307" t="str">
        <f t="array" ref="AA307">IF($A307="","",INDEX(JupData!$A$2:$K$10000,MATCH($A307&amp;AA$1,JupData!$A$2:$A$10000&amp;JupData!$J$2:$J$10000,0),11))</f>
        <v/>
      </c>
      <c r="AB307" t="str">
        <f t="array" ref="AB307">IF($A307="","",INDEX(JupData!$A$2:$K$10000,MATCH($A307&amp;AB$1,JupData!$A$2:$A$10000&amp;JupData!$J$2:$J$10000,0),11))</f>
        <v/>
      </c>
      <c r="AC307" s="10" t="str">
        <f t="shared" si="44"/>
        <v/>
      </c>
      <c r="AD307" s="10" t="str">
        <f t="shared" si="45"/>
        <v/>
      </c>
      <c r="AE307" s="9" t="str">
        <f t="shared" si="46"/>
        <v/>
      </c>
      <c r="AF307" s="10" t="str">
        <f t="shared" si="47"/>
        <v/>
      </c>
      <c r="AG307" s="10" t="str">
        <f t="shared" si="48"/>
        <v/>
      </c>
      <c r="AH307" s="10" t="str">
        <f t="shared" si="49"/>
        <v/>
      </c>
      <c r="AI307" s="10" t="str">
        <f t="shared" si="50"/>
        <v/>
      </c>
      <c r="AJ307" s="10" t="str">
        <f t="shared" si="51"/>
        <v/>
      </c>
      <c r="AK307" s="10" t="str">
        <f t="shared" si="52"/>
        <v/>
      </c>
      <c r="AL307" s="14" t="str">
        <f t="shared" si="53"/>
        <v/>
      </c>
    </row>
    <row r="308" spans="1:38" x14ac:dyDescent="0.2">
      <c r="A308"/>
      <c r="B308" t="str">
        <f>IF($A308="","",VLOOKUP($A308,JupData!$A$2:$I$10000,4,FALSE))</f>
        <v/>
      </c>
      <c r="C308" s="7" t="str">
        <f>IF($A308="",IF(N(D308),0,""),VLOOKUP($A308,JupData!$A$2:$I$10000,7,FALSE))</f>
        <v/>
      </c>
      <c r="D308" t="str">
        <f t="shared" si="54"/>
        <v/>
      </c>
      <c r="E308" t="str">
        <f t="array" ref="E308">IF($A308="","",INDEX(JupData!$A$2:$K$10000,MATCH($A308&amp;E$1,JupData!$A$2:$A$10000&amp;JupData!$J$2:$J$10000,0),11))</f>
        <v/>
      </c>
      <c r="F308" t="str">
        <f t="array" ref="F308">IF($A308="","",INDEX(JupData!$A$2:$K$10000,MATCH($A308&amp;F$1,JupData!$A$2:$A$10000&amp;JupData!$J$2:$J$10000,0),11))</f>
        <v/>
      </c>
      <c r="G308" t="str">
        <f t="array" ref="G308">IF($A308="","",INDEX(JupData!$A$2:$K$10000,MATCH($A308&amp;G$1,JupData!$A$2:$A$10000&amp;JupData!$J$2:$J$10000,0),11))</f>
        <v/>
      </c>
      <c r="H308" t="str">
        <f t="array" ref="H308">IF($A308="","",INDEX(JupData!$A$2:$K$10000,MATCH($A308&amp;H$1,JupData!$A$2:$A$10000&amp;JupData!$J$2:$J$10000,0),11))</f>
        <v/>
      </c>
      <c r="I308" t="str">
        <f t="array" ref="I308">IF($A308="","",INDEX(JupData!$A$2:$K$10000,MATCH($A308&amp;I$1,JupData!$A$2:$A$10000&amp;JupData!$J$2:$J$10000,0),11))</f>
        <v/>
      </c>
      <c r="J308" t="str">
        <f t="array" ref="J308">IF($A308="","",INDEX(JupData!$A$2:$K$10000,MATCH($A308&amp;J$1,JupData!$A$2:$A$10000&amp;JupData!$J$2:$J$10000,0),11))</f>
        <v/>
      </c>
      <c r="K308" t="str">
        <f t="array" ref="K308">IF($A308="","",INDEX(JupData!$A$2:$K$10000,MATCH($A308&amp;K$1,JupData!$A$2:$A$10000&amp;JupData!$J$2:$J$10000,0),11))</f>
        <v/>
      </c>
      <c r="L308" t="str">
        <f t="array" ref="L308">IF($A308="","",INDEX(JupData!$A$2:$K$10000,MATCH($A308&amp;L$1,JupData!$A$2:$A$10000&amp;JupData!$J$2:$J$10000,0),11))</f>
        <v/>
      </c>
      <c r="M308" t="str">
        <f t="array" ref="M308">IF($A308="","",INDEX(JupData!$A$2:$K$10000,MATCH($A308&amp;M$1,JupData!$A$2:$A$10000&amp;JupData!$J$2:$J$10000,0),11))</f>
        <v/>
      </c>
      <c r="N308" t="str">
        <f t="array" ref="N308">IF($A308="","",INDEX(JupData!$A$2:$K$10000,MATCH($A308&amp;N$1,JupData!$A$2:$A$10000&amp;JupData!$J$2:$J$10000,0),11))</f>
        <v/>
      </c>
      <c r="O308" t="str">
        <f t="array" ref="O308">IF($A308="","",INDEX(JupData!$A$2:$K$10000,MATCH($A308&amp;O$1,JupData!$A$2:$A$10000&amp;JupData!$J$2:$J$10000,0),11))</f>
        <v/>
      </c>
      <c r="P308" t="str">
        <f t="array" ref="P308">IF($A308="","",INDEX(JupData!$A$2:$K$10000,MATCH($A308&amp;P$1,JupData!$A$2:$A$10000&amp;JupData!$J$2:$J$10000,0),11))</f>
        <v/>
      </c>
      <c r="Q308" t="str">
        <f t="array" ref="Q308">IF($A308="","",INDEX(JupData!$A$2:$K$10000,MATCH($A308&amp;Q$1,JupData!$A$2:$A$10000&amp;JupData!$J$2:$J$10000,0),11))</f>
        <v/>
      </c>
      <c r="R308" t="str">
        <f t="array" ref="R308">IF($A308="","",INDEX(JupData!$A$2:$K$10000,MATCH($A308&amp;R$1,JupData!$A$2:$A$10000&amp;JupData!$J$2:$J$10000,0),11))</f>
        <v/>
      </c>
      <c r="S308" t="str">
        <f t="array" ref="S308">IF($A308="","",INDEX(JupData!$A$2:$K$10000,MATCH($A308&amp;S$1,JupData!$A$2:$A$10000&amp;JupData!$J$2:$J$10000,0),11))</f>
        <v/>
      </c>
      <c r="T308" t="str">
        <f t="array" ref="T308">IF($A308="","",INDEX(JupData!$A$2:$K$10000,MATCH($A308&amp;T$1,JupData!$A$2:$A$10000&amp;JupData!$J$2:$J$10000,0),11))</f>
        <v/>
      </c>
      <c r="U308" t="str">
        <f t="array" ref="U308">IF($A308="","",INDEX(JupData!$A$2:$K$10000,MATCH($A308&amp;U$1,JupData!$A$2:$A$10000&amp;JupData!$J$2:$J$10000,0),11))</f>
        <v/>
      </c>
      <c r="V308" t="str">
        <f t="array" ref="V308">IF($A308="","",INDEX(JupData!$A$2:$K$10000,MATCH($A308&amp;V$1,JupData!$A$2:$A$10000&amp;JupData!$J$2:$J$10000,0),11))</f>
        <v/>
      </c>
      <c r="W308" t="str">
        <f t="array" ref="W308">IF($A308="","",INDEX(JupData!$A$2:$K$10000,MATCH($A308&amp;W$1,JupData!$A$2:$A$10000&amp;JupData!$J$2:$J$10000,0),11))</f>
        <v/>
      </c>
      <c r="X308" t="str">
        <f t="array" ref="X308">IF($A308="","",INDEX(JupData!$A$2:$K$10000,MATCH($A308&amp;X$1,JupData!$A$2:$A$10000&amp;JupData!$J$2:$J$10000,0),11))</f>
        <v/>
      </c>
      <c r="Y308" t="str">
        <f t="array" ref="Y308">IF($A308="","",INDEX(JupData!$A$2:$K$10000,MATCH($A308&amp;Y$1,JupData!$A$2:$A$10000&amp;JupData!$J$2:$J$10000,0),11))</f>
        <v/>
      </c>
      <c r="Z308" t="str">
        <f t="array" ref="Z308">IF($A308="","",INDEX(JupData!$A$2:$K$10000,MATCH($A308&amp;Z$1,JupData!$A$2:$A$10000&amp;JupData!$J$2:$J$10000,0),11))</f>
        <v/>
      </c>
      <c r="AA308" t="str">
        <f t="array" ref="AA308">IF($A308="","",INDEX(JupData!$A$2:$K$10000,MATCH($A308&amp;AA$1,JupData!$A$2:$A$10000&amp;JupData!$J$2:$J$10000,0),11))</f>
        <v/>
      </c>
      <c r="AB308" t="str">
        <f t="array" ref="AB308">IF($A308="","",INDEX(JupData!$A$2:$K$10000,MATCH($A308&amp;AB$1,JupData!$A$2:$A$10000&amp;JupData!$J$2:$J$10000,0),11))</f>
        <v/>
      </c>
      <c r="AC308" s="10" t="str">
        <f t="shared" si="44"/>
        <v/>
      </c>
      <c r="AD308" s="10" t="str">
        <f t="shared" si="45"/>
        <v/>
      </c>
      <c r="AE308" s="9" t="str">
        <f t="shared" si="46"/>
        <v/>
      </c>
      <c r="AF308" s="10" t="str">
        <f t="shared" si="47"/>
        <v/>
      </c>
      <c r="AG308" s="10" t="str">
        <f t="shared" si="48"/>
        <v/>
      </c>
      <c r="AH308" s="10" t="str">
        <f t="shared" si="49"/>
        <v/>
      </c>
      <c r="AI308" s="10" t="str">
        <f t="shared" si="50"/>
        <v/>
      </c>
      <c r="AJ308" s="10" t="str">
        <f t="shared" si="51"/>
        <v/>
      </c>
      <c r="AK308" s="10" t="str">
        <f t="shared" si="52"/>
        <v/>
      </c>
      <c r="AL308" s="14" t="str">
        <f t="shared" si="53"/>
        <v/>
      </c>
    </row>
    <row r="309" spans="1:38" x14ac:dyDescent="0.2">
      <c r="A309"/>
      <c r="B309" t="str">
        <f>IF($A309="","",VLOOKUP($A309,JupData!$A$2:$I$10000,4,FALSE))</f>
        <v/>
      </c>
      <c r="C309" s="7" t="str">
        <f>IF($A309="",IF(N(D309),0,""),VLOOKUP($A309,JupData!$A$2:$I$10000,7,FALSE))</f>
        <v/>
      </c>
      <c r="D309" t="str">
        <f t="shared" si="54"/>
        <v/>
      </c>
      <c r="E309" t="str">
        <f t="array" ref="E309">IF($A309="","",INDEX(JupData!$A$2:$K$10000,MATCH($A309&amp;E$1,JupData!$A$2:$A$10000&amp;JupData!$J$2:$J$10000,0),11))</f>
        <v/>
      </c>
      <c r="F309" t="str">
        <f t="array" ref="F309">IF($A309="","",INDEX(JupData!$A$2:$K$10000,MATCH($A309&amp;F$1,JupData!$A$2:$A$10000&amp;JupData!$J$2:$J$10000,0),11))</f>
        <v/>
      </c>
      <c r="G309" t="str">
        <f t="array" ref="G309">IF($A309="","",INDEX(JupData!$A$2:$K$10000,MATCH($A309&amp;G$1,JupData!$A$2:$A$10000&amp;JupData!$J$2:$J$10000,0),11))</f>
        <v/>
      </c>
      <c r="H309" t="str">
        <f t="array" ref="H309">IF($A309="","",INDEX(JupData!$A$2:$K$10000,MATCH($A309&amp;H$1,JupData!$A$2:$A$10000&amp;JupData!$J$2:$J$10000,0),11))</f>
        <v/>
      </c>
      <c r="I309" t="str">
        <f t="array" ref="I309">IF($A309="","",INDEX(JupData!$A$2:$K$10000,MATCH($A309&amp;I$1,JupData!$A$2:$A$10000&amp;JupData!$J$2:$J$10000,0),11))</f>
        <v/>
      </c>
      <c r="J309" t="str">
        <f t="array" ref="J309">IF($A309="","",INDEX(JupData!$A$2:$K$10000,MATCH($A309&amp;J$1,JupData!$A$2:$A$10000&amp;JupData!$J$2:$J$10000,0),11))</f>
        <v/>
      </c>
      <c r="K309" t="str">
        <f t="array" ref="K309">IF($A309="","",INDEX(JupData!$A$2:$K$10000,MATCH($A309&amp;K$1,JupData!$A$2:$A$10000&amp;JupData!$J$2:$J$10000,0),11))</f>
        <v/>
      </c>
      <c r="L309" t="str">
        <f t="array" ref="L309">IF($A309="","",INDEX(JupData!$A$2:$K$10000,MATCH($A309&amp;L$1,JupData!$A$2:$A$10000&amp;JupData!$J$2:$J$10000,0),11))</f>
        <v/>
      </c>
      <c r="M309" t="str">
        <f t="array" ref="M309">IF($A309="","",INDEX(JupData!$A$2:$K$10000,MATCH($A309&amp;M$1,JupData!$A$2:$A$10000&amp;JupData!$J$2:$J$10000,0),11))</f>
        <v/>
      </c>
      <c r="N309" t="str">
        <f t="array" ref="N309">IF($A309="","",INDEX(JupData!$A$2:$K$10000,MATCH($A309&amp;N$1,JupData!$A$2:$A$10000&amp;JupData!$J$2:$J$10000,0),11))</f>
        <v/>
      </c>
      <c r="O309" t="str">
        <f t="array" ref="O309">IF($A309="","",INDEX(JupData!$A$2:$K$10000,MATCH($A309&amp;O$1,JupData!$A$2:$A$10000&amp;JupData!$J$2:$J$10000,0),11))</f>
        <v/>
      </c>
      <c r="P309" t="str">
        <f t="array" ref="P309">IF($A309="","",INDEX(JupData!$A$2:$K$10000,MATCH($A309&amp;P$1,JupData!$A$2:$A$10000&amp;JupData!$J$2:$J$10000,0),11))</f>
        <v/>
      </c>
      <c r="Q309" t="str">
        <f t="array" ref="Q309">IF($A309="","",INDEX(JupData!$A$2:$K$10000,MATCH($A309&amp;Q$1,JupData!$A$2:$A$10000&amp;JupData!$J$2:$J$10000,0),11))</f>
        <v/>
      </c>
      <c r="R309" t="str">
        <f t="array" ref="R309">IF($A309="","",INDEX(JupData!$A$2:$K$10000,MATCH($A309&amp;R$1,JupData!$A$2:$A$10000&amp;JupData!$J$2:$J$10000,0),11))</f>
        <v/>
      </c>
      <c r="S309" t="str">
        <f t="array" ref="S309">IF($A309="","",INDEX(JupData!$A$2:$K$10000,MATCH($A309&amp;S$1,JupData!$A$2:$A$10000&amp;JupData!$J$2:$J$10000,0),11))</f>
        <v/>
      </c>
      <c r="T309" t="str">
        <f t="array" ref="T309">IF($A309="","",INDEX(JupData!$A$2:$K$10000,MATCH($A309&amp;T$1,JupData!$A$2:$A$10000&amp;JupData!$J$2:$J$10000,0),11))</f>
        <v/>
      </c>
      <c r="U309" t="str">
        <f t="array" ref="U309">IF($A309="","",INDEX(JupData!$A$2:$K$10000,MATCH($A309&amp;U$1,JupData!$A$2:$A$10000&amp;JupData!$J$2:$J$10000,0),11))</f>
        <v/>
      </c>
      <c r="V309" t="str">
        <f t="array" ref="V309">IF($A309="","",INDEX(JupData!$A$2:$K$10000,MATCH($A309&amp;V$1,JupData!$A$2:$A$10000&amp;JupData!$J$2:$J$10000,0),11))</f>
        <v/>
      </c>
      <c r="W309" t="str">
        <f t="array" ref="W309">IF($A309="","",INDEX(JupData!$A$2:$K$10000,MATCH($A309&amp;W$1,JupData!$A$2:$A$10000&amp;JupData!$J$2:$J$10000,0),11))</f>
        <v/>
      </c>
      <c r="X309" t="str">
        <f t="array" ref="X309">IF($A309="","",INDEX(JupData!$A$2:$K$10000,MATCH($A309&amp;X$1,JupData!$A$2:$A$10000&amp;JupData!$J$2:$J$10000,0),11))</f>
        <v/>
      </c>
      <c r="Y309" t="str">
        <f t="array" ref="Y309">IF($A309="","",INDEX(JupData!$A$2:$K$10000,MATCH($A309&amp;Y$1,JupData!$A$2:$A$10000&amp;JupData!$J$2:$J$10000,0),11))</f>
        <v/>
      </c>
      <c r="Z309" t="str">
        <f t="array" ref="Z309">IF($A309="","",INDEX(JupData!$A$2:$K$10000,MATCH($A309&amp;Z$1,JupData!$A$2:$A$10000&amp;JupData!$J$2:$J$10000,0),11))</f>
        <v/>
      </c>
      <c r="AA309" t="str">
        <f t="array" ref="AA309">IF($A309="","",INDEX(JupData!$A$2:$K$10000,MATCH($A309&amp;AA$1,JupData!$A$2:$A$10000&amp;JupData!$J$2:$J$10000,0),11))</f>
        <v/>
      </c>
      <c r="AB309" t="str">
        <f t="array" ref="AB309">IF($A309="","",INDEX(JupData!$A$2:$K$10000,MATCH($A309&amp;AB$1,JupData!$A$2:$A$10000&amp;JupData!$J$2:$J$10000,0),11))</f>
        <v/>
      </c>
      <c r="AC309" s="10" t="str">
        <f t="shared" si="44"/>
        <v/>
      </c>
      <c r="AD309" s="10" t="str">
        <f t="shared" si="45"/>
        <v/>
      </c>
      <c r="AE309" s="9" t="str">
        <f t="shared" si="46"/>
        <v/>
      </c>
      <c r="AF309" s="10" t="str">
        <f t="shared" si="47"/>
        <v/>
      </c>
      <c r="AG309" s="10" t="str">
        <f t="shared" si="48"/>
        <v/>
      </c>
      <c r="AH309" s="10" t="str">
        <f t="shared" si="49"/>
        <v/>
      </c>
      <c r="AI309" s="10" t="str">
        <f t="shared" si="50"/>
        <v/>
      </c>
      <c r="AJ309" s="10" t="str">
        <f t="shared" si="51"/>
        <v/>
      </c>
      <c r="AK309" s="10" t="str">
        <f t="shared" si="52"/>
        <v/>
      </c>
      <c r="AL309" s="14" t="str">
        <f t="shared" si="53"/>
        <v/>
      </c>
    </row>
    <row r="310" spans="1:38" x14ac:dyDescent="0.2">
      <c r="A310"/>
      <c r="B310" t="str">
        <f>IF($A310="","",VLOOKUP($A310,JupData!$A$2:$I$10000,4,FALSE))</f>
        <v/>
      </c>
      <c r="C310" s="7" t="str">
        <f>IF($A310="",IF(N(D310),0,""),VLOOKUP($A310,JupData!$A$2:$I$10000,7,FALSE))</f>
        <v/>
      </c>
      <c r="D310" t="str">
        <f t="shared" si="54"/>
        <v/>
      </c>
      <c r="E310" t="str">
        <f t="array" ref="E310">IF($A310="","",INDEX(JupData!$A$2:$K$10000,MATCH($A310&amp;E$1,JupData!$A$2:$A$10000&amp;JupData!$J$2:$J$10000,0),11))</f>
        <v/>
      </c>
      <c r="F310" t="str">
        <f t="array" ref="F310">IF($A310="","",INDEX(JupData!$A$2:$K$10000,MATCH($A310&amp;F$1,JupData!$A$2:$A$10000&amp;JupData!$J$2:$J$10000,0),11))</f>
        <v/>
      </c>
      <c r="G310" t="str">
        <f t="array" ref="G310">IF($A310="","",INDEX(JupData!$A$2:$K$10000,MATCH($A310&amp;G$1,JupData!$A$2:$A$10000&amp;JupData!$J$2:$J$10000,0),11))</f>
        <v/>
      </c>
      <c r="H310" t="str">
        <f t="array" ref="H310">IF($A310="","",INDEX(JupData!$A$2:$K$10000,MATCH($A310&amp;H$1,JupData!$A$2:$A$10000&amp;JupData!$J$2:$J$10000,0),11))</f>
        <v/>
      </c>
      <c r="I310" t="str">
        <f t="array" ref="I310">IF($A310="","",INDEX(JupData!$A$2:$K$10000,MATCH($A310&amp;I$1,JupData!$A$2:$A$10000&amp;JupData!$J$2:$J$10000,0),11))</f>
        <v/>
      </c>
      <c r="J310" t="str">
        <f t="array" ref="J310">IF($A310="","",INDEX(JupData!$A$2:$K$10000,MATCH($A310&amp;J$1,JupData!$A$2:$A$10000&amp;JupData!$J$2:$J$10000,0),11))</f>
        <v/>
      </c>
      <c r="K310" t="str">
        <f t="array" ref="K310">IF($A310="","",INDEX(JupData!$A$2:$K$10000,MATCH($A310&amp;K$1,JupData!$A$2:$A$10000&amp;JupData!$J$2:$J$10000,0),11))</f>
        <v/>
      </c>
      <c r="L310" t="str">
        <f t="array" ref="L310">IF($A310="","",INDEX(JupData!$A$2:$K$10000,MATCH($A310&amp;L$1,JupData!$A$2:$A$10000&amp;JupData!$J$2:$J$10000,0),11))</f>
        <v/>
      </c>
      <c r="M310" t="str">
        <f t="array" ref="M310">IF($A310="","",INDEX(JupData!$A$2:$K$10000,MATCH($A310&amp;M$1,JupData!$A$2:$A$10000&amp;JupData!$J$2:$J$10000,0),11))</f>
        <v/>
      </c>
      <c r="N310" t="str">
        <f t="array" ref="N310">IF($A310="","",INDEX(JupData!$A$2:$K$10000,MATCH($A310&amp;N$1,JupData!$A$2:$A$10000&amp;JupData!$J$2:$J$10000,0),11))</f>
        <v/>
      </c>
      <c r="O310" t="str">
        <f t="array" ref="O310">IF($A310="","",INDEX(JupData!$A$2:$K$10000,MATCH($A310&amp;O$1,JupData!$A$2:$A$10000&amp;JupData!$J$2:$J$10000,0),11))</f>
        <v/>
      </c>
      <c r="P310" t="str">
        <f t="array" ref="P310">IF($A310="","",INDEX(JupData!$A$2:$K$10000,MATCH($A310&amp;P$1,JupData!$A$2:$A$10000&amp;JupData!$J$2:$J$10000,0),11))</f>
        <v/>
      </c>
      <c r="Q310" t="str">
        <f t="array" ref="Q310">IF($A310="","",INDEX(JupData!$A$2:$K$10000,MATCH($A310&amp;Q$1,JupData!$A$2:$A$10000&amp;JupData!$J$2:$J$10000,0),11))</f>
        <v/>
      </c>
      <c r="R310" t="str">
        <f t="array" ref="R310">IF($A310="","",INDEX(JupData!$A$2:$K$10000,MATCH($A310&amp;R$1,JupData!$A$2:$A$10000&amp;JupData!$J$2:$J$10000,0),11))</f>
        <v/>
      </c>
      <c r="S310" t="str">
        <f t="array" ref="S310">IF($A310="","",INDEX(JupData!$A$2:$K$10000,MATCH($A310&amp;S$1,JupData!$A$2:$A$10000&amp;JupData!$J$2:$J$10000,0),11))</f>
        <v/>
      </c>
      <c r="T310" t="str">
        <f t="array" ref="T310">IF($A310="","",INDEX(JupData!$A$2:$K$10000,MATCH($A310&amp;T$1,JupData!$A$2:$A$10000&amp;JupData!$J$2:$J$10000,0),11))</f>
        <v/>
      </c>
      <c r="U310" t="str">
        <f t="array" ref="U310">IF($A310="","",INDEX(JupData!$A$2:$K$10000,MATCH($A310&amp;U$1,JupData!$A$2:$A$10000&amp;JupData!$J$2:$J$10000,0),11))</f>
        <v/>
      </c>
      <c r="V310" t="str">
        <f t="array" ref="V310">IF($A310="","",INDEX(JupData!$A$2:$K$10000,MATCH($A310&amp;V$1,JupData!$A$2:$A$10000&amp;JupData!$J$2:$J$10000,0),11))</f>
        <v/>
      </c>
      <c r="W310" t="str">
        <f t="array" ref="W310">IF($A310="","",INDEX(JupData!$A$2:$K$10000,MATCH($A310&amp;W$1,JupData!$A$2:$A$10000&amp;JupData!$J$2:$J$10000,0),11))</f>
        <v/>
      </c>
      <c r="X310" t="str">
        <f t="array" ref="X310">IF($A310="","",INDEX(JupData!$A$2:$K$10000,MATCH($A310&amp;X$1,JupData!$A$2:$A$10000&amp;JupData!$J$2:$J$10000,0),11))</f>
        <v/>
      </c>
      <c r="Y310" t="str">
        <f t="array" ref="Y310">IF($A310="","",INDEX(JupData!$A$2:$K$10000,MATCH($A310&amp;Y$1,JupData!$A$2:$A$10000&amp;JupData!$J$2:$J$10000,0),11))</f>
        <v/>
      </c>
      <c r="Z310" t="str">
        <f t="array" ref="Z310">IF($A310="","",INDEX(JupData!$A$2:$K$10000,MATCH($A310&amp;Z$1,JupData!$A$2:$A$10000&amp;JupData!$J$2:$J$10000,0),11))</f>
        <v/>
      </c>
      <c r="AA310" t="str">
        <f t="array" ref="AA310">IF($A310="","",INDEX(JupData!$A$2:$K$10000,MATCH($A310&amp;AA$1,JupData!$A$2:$A$10000&amp;JupData!$J$2:$J$10000,0),11))</f>
        <v/>
      </c>
      <c r="AB310" t="str">
        <f t="array" ref="AB310">IF($A310="","",INDEX(JupData!$A$2:$K$10000,MATCH($A310&amp;AB$1,JupData!$A$2:$A$10000&amp;JupData!$J$2:$J$10000,0),11))</f>
        <v/>
      </c>
      <c r="AC310" s="10" t="str">
        <f t="shared" si="44"/>
        <v/>
      </c>
      <c r="AD310" s="10" t="str">
        <f t="shared" si="45"/>
        <v/>
      </c>
      <c r="AE310" s="9" t="str">
        <f t="shared" si="46"/>
        <v/>
      </c>
      <c r="AF310" s="10" t="str">
        <f t="shared" si="47"/>
        <v/>
      </c>
      <c r="AG310" s="10" t="str">
        <f t="shared" si="48"/>
        <v/>
      </c>
      <c r="AH310" s="10" t="str">
        <f t="shared" si="49"/>
        <v/>
      </c>
      <c r="AI310" s="10" t="str">
        <f t="shared" si="50"/>
        <v/>
      </c>
      <c r="AJ310" s="10" t="str">
        <f t="shared" si="51"/>
        <v/>
      </c>
      <c r="AK310" s="10" t="str">
        <f t="shared" si="52"/>
        <v/>
      </c>
      <c r="AL310" s="14" t="str">
        <f t="shared" si="53"/>
        <v/>
      </c>
    </row>
    <row r="311" spans="1:38" x14ac:dyDescent="0.2">
      <c r="A311"/>
      <c r="B311" t="str">
        <f>IF($A311="","",VLOOKUP($A311,JupData!$A$2:$I$10000,4,FALSE))</f>
        <v/>
      </c>
      <c r="C311" s="7" t="str">
        <f>IF($A311="",IF(N(D311),0,""),VLOOKUP($A311,JupData!$A$2:$I$10000,7,FALSE))</f>
        <v/>
      </c>
      <c r="D311" t="str">
        <f t="shared" si="54"/>
        <v/>
      </c>
      <c r="E311" t="str">
        <f t="array" ref="E311">IF($A311="","",INDEX(JupData!$A$2:$K$10000,MATCH($A311&amp;E$1,JupData!$A$2:$A$10000&amp;JupData!$J$2:$J$10000,0),11))</f>
        <v/>
      </c>
      <c r="F311" t="str">
        <f t="array" ref="F311">IF($A311="","",INDEX(JupData!$A$2:$K$10000,MATCH($A311&amp;F$1,JupData!$A$2:$A$10000&amp;JupData!$J$2:$J$10000,0),11))</f>
        <v/>
      </c>
      <c r="G311" t="str">
        <f t="array" ref="G311">IF($A311="","",INDEX(JupData!$A$2:$K$10000,MATCH($A311&amp;G$1,JupData!$A$2:$A$10000&amp;JupData!$J$2:$J$10000,0),11))</f>
        <v/>
      </c>
      <c r="H311" t="str">
        <f t="array" ref="H311">IF($A311="","",INDEX(JupData!$A$2:$K$10000,MATCH($A311&amp;H$1,JupData!$A$2:$A$10000&amp;JupData!$J$2:$J$10000,0),11))</f>
        <v/>
      </c>
      <c r="I311" t="str">
        <f t="array" ref="I311">IF($A311="","",INDEX(JupData!$A$2:$K$10000,MATCH($A311&amp;I$1,JupData!$A$2:$A$10000&amp;JupData!$J$2:$J$10000,0),11))</f>
        <v/>
      </c>
      <c r="J311" t="str">
        <f t="array" ref="J311">IF($A311="","",INDEX(JupData!$A$2:$K$10000,MATCH($A311&amp;J$1,JupData!$A$2:$A$10000&amp;JupData!$J$2:$J$10000,0),11))</f>
        <v/>
      </c>
      <c r="K311" t="str">
        <f t="array" ref="K311">IF($A311="","",INDEX(JupData!$A$2:$K$10000,MATCH($A311&amp;K$1,JupData!$A$2:$A$10000&amp;JupData!$J$2:$J$10000,0),11))</f>
        <v/>
      </c>
      <c r="L311" t="str">
        <f t="array" ref="L311">IF($A311="","",INDEX(JupData!$A$2:$K$10000,MATCH($A311&amp;L$1,JupData!$A$2:$A$10000&amp;JupData!$J$2:$J$10000,0),11))</f>
        <v/>
      </c>
      <c r="M311" t="str">
        <f t="array" ref="M311">IF($A311="","",INDEX(JupData!$A$2:$K$10000,MATCH($A311&amp;M$1,JupData!$A$2:$A$10000&amp;JupData!$J$2:$J$10000,0),11))</f>
        <v/>
      </c>
      <c r="N311" t="str">
        <f t="array" ref="N311">IF($A311="","",INDEX(JupData!$A$2:$K$10000,MATCH($A311&amp;N$1,JupData!$A$2:$A$10000&amp;JupData!$J$2:$J$10000,0),11))</f>
        <v/>
      </c>
      <c r="O311" t="str">
        <f t="array" ref="O311">IF($A311="","",INDEX(JupData!$A$2:$K$10000,MATCH($A311&amp;O$1,JupData!$A$2:$A$10000&amp;JupData!$J$2:$J$10000,0),11))</f>
        <v/>
      </c>
      <c r="P311" t="str">
        <f t="array" ref="P311">IF($A311="","",INDEX(JupData!$A$2:$K$10000,MATCH($A311&amp;P$1,JupData!$A$2:$A$10000&amp;JupData!$J$2:$J$10000,0),11))</f>
        <v/>
      </c>
      <c r="Q311" t="str">
        <f t="array" ref="Q311">IF($A311="","",INDEX(JupData!$A$2:$K$10000,MATCH($A311&amp;Q$1,JupData!$A$2:$A$10000&amp;JupData!$J$2:$J$10000,0),11))</f>
        <v/>
      </c>
      <c r="R311" t="str">
        <f t="array" ref="R311">IF($A311="","",INDEX(JupData!$A$2:$K$10000,MATCH($A311&amp;R$1,JupData!$A$2:$A$10000&amp;JupData!$J$2:$J$10000,0),11))</f>
        <v/>
      </c>
      <c r="S311" t="str">
        <f t="array" ref="S311">IF($A311="","",INDEX(JupData!$A$2:$K$10000,MATCH($A311&amp;S$1,JupData!$A$2:$A$10000&amp;JupData!$J$2:$J$10000,0),11))</f>
        <v/>
      </c>
      <c r="T311" t="str">
        <f t="array" ref="T311">IF($A311="","",INDEX(JupData!$A$2:$K$10000,MATCH($A311&amp;T$1,JupData!$A$2:$A$10000&amp;JupData!$J$2:$J$10000,0),11))</f>
        <v/>
      </c>
      <c r="U311" t="str">
        <f t="array" ref="U311">IF($A311="","",INDEX(JupData!$A$2:$K$10000,MATCH($A311&amp;U$1,JupData!$A$2:$A$10000&amp;JupData!$J$2:$J$10000,0),11))</f>
        <v/>
      </c>
      <c r="V311" t="str">
        <f t="array" ref="V311">IF($A311="","",INDEX(JupData!$A$2:$K$10000,MATCH($A311&amp;V$1,JupData!$A$2:$A$10000&amp;JupData!$J$2:$J$10000,0),11))</f>
        <v/>
      </c>
      <c r="W311" t="str">
        <f t="array" ref="W311">IF($A311="","",INDEX(JupData!$A$2:$K$10000,MATCH($A311&amp;W$1,JupData!$A$2:$A$10000&amp;JupData!$J$2:$J$10000,0),11))</f>
        <v/>
      </c>
      <c r="X311" t="str">
        <f t="array" ref="X311">IF($A311="","",INDEX(JupData!$A$2:$K$10000,MATCH($A311&amp;X$1,JupData!$A$2:$A$10000&amp;JupData!$J$2:$J$10000,0),11))</f>
        <v/>
      </c>
      <c r="Y311" t="str">
        <f t="array" ref="Y311">IF($A311="","",INDEX(JupData!$A$2:$K$10000,MATCH($A311&amp;Y$1,JupData!$A$2:$A$10000&amp;JupData!$J$2:$J$10000,0),11))</f>
        <v/>
      </c>
      <c r="Z311" t="str">
        <f t="array" ref="Z311">IF($A311="","",INDEX(JupData!$A$2:$K$10000,MATCH($A311&amp;Z$1,JupData!$A$2:$A$10000&amp;JupData!$J$2:$J$10000,0),11))</f>
        <v/>
      </c>
      <c r="AA311" t="str">
        <f t="array" ref="AA311">IF($A311="","",INDEX(JupData!$A$2:$K$10000,MATCH($A311&amp;AA$1,JupData!$A$2:$A$10000&amp;JupData!$J$2:$J$10000,0),11))</f>
        <v/>
      </c>
      <c r="AB311" t="str">
        <f t="array" ref="AB311">IF($A311="","",INDEX(JupData!$A$2:$K$10000,MATCH($A311&amp;AB$1,JupData!$A$2:$A$10000&amp;JupData!$J$2:$J$10000,0),11))</f>
        <v/>
      </c>
      <c r="AC311" s="10" t="str">
        <f t="shared" si="44"/>
        <v/>
      </c>
      <c r="AD311" s="10" t="str">
        <f t="shared" si="45"/>
        <v/>
      </c>
      <c r="AE311" s="9" t="str">
        <f t="shared" si="46"/>
        <v/>
      </c>
      <c r="AF311" s="10" t="str">
        <f t="shared" si="47"/>
        <v/>
      </c>
      <c r="AG311" s="10" t="str">
        <f t="shared" si="48"/>
        <v/>
      </c>
      <c r="AH311" s="10" t="str">
        <f t="shared" si="49"/>
        <v/>
      </c>
      <c r="AI311" s="10" t="str">
        <f t="shared" si="50"/>
        <v/>
      </c>
      <c r="AJ311" s="10" t="str">
        <f t="shared" si="51"/>
        <v/>
      </c>
      <c r="AK311" s="10" t="str">
        <f t="shared" si="52"/>
        <v/>
      </c>
      <c r="AL311" s="14" t="str">
        <f t="shared" si="53"/>
        <v/>
      </c>
    </row>
    <row r="312" spans="1:38" x14ac:dyDescent="0.2">
      <c r="A312"/>
      <c r="B312" t="str">
        <f>IF($A312="","",VLOOKUP($A312,JupData!$A$2:$I$10000,4,FALSE))</f>
        <v/>
      </c>
      <c r="C312" s="7" t="str">
        <f>IF($A312="",IF(N(D312),0,""),VLOOKUP($A312,JupData!$A$2:$I$10000,7,FALSE))</f>
        <v/>
      </c>
      <c r="D312" t="str">
        <f t="shared" si="54"/>
        <v/>
      </c>
      <c r="E312" t="str">
        <f t="array" ref="E312">IF($A312="","",INDEX(JupData!$A$2:$K$10000,MATCH($A312&amp;E$1,JupData!$A$2:$A$10000&amp;JupData!$J$2:$J$10000,0),11))</f>
        <v/>
      </c>
      <c r="F312" t="str">
        <f t="array" ref="F312">IF($A312="","",INDEX(JupData!$A$2:$K$10000,MATCH($A312&amp;F$1,JupData!$A$2:$A$10000&amp;JupData!$J$2:$J$10000,0),11))</f>
        <v/>
      </c>
      <c r="G312" t="str">
        <f t="array" ref="G312">IF($A312="","",INDEX(JupData!$A$2:$K$10000,MATCH($A312&amp;G$1,JupData!$A$2:$A$10000&amp;JupData!$J$2:$J$10000,0),11))</f>
        <v/>
      </c>
      <c r="H312" t="str">
        <f t="array" ref="H312">IF($A312="","",INDEX(JupData!$A$2:$K$10000,MATCH($A312&amp;H$1,JupData!$A$2:$A$10000&amp;JupData!$J$2:$J$10000,0),11))</f>
        <v/>
      </c>
      <c r="I312" t="str">
        <f t="array" ref="I312">IF($A312="","",INDEX(JupData!$A$2:$K$10000,MATCH($A312&amp;I$1,JupData!$A$2:$A$10000&amp;JupData!$J$2:$J$10000,0),11))</f>
        <v/>
      </c>
      <c r="J312" t="str">
        <f t="array" ref="J312">IF($A312="","",INDEX(JupData!$A$2:$K$10000,MATCH($A312&amp;J$1,JupData!$A$2:$A$10000&amp;JupData!$J$2:$J$10000,0),11))</f>
        <v/>
      </c>
      <c r="K312" t="str">
        <f t="array" ref="K312">IF($A312="","",INDEX(JupData!$A$2:$K$10000,MATCH($A312&amp;K$1,JupData!$A$2:$A$10000&amp;JupData!$J$2:$J$10000,0),11))</f>
        <v/>
      </c>
      <c r="L312" t="str">
        <f t="array" ref="L312">IF($A312="","",INDEX(JupData!$A$2:$K$10000,MATCH($A312&amp;L$1,JupData!$A$2:$A$10000&amp;JupData!$J$2:$J$10000,0),11))</f>
        <v/>
      </c>
      <c r="M312" t="str">
        <f t="array" ref="M312">IF($A312="","",INDEX(JupData!$A$2:$K$10000,MATCH($A312&amp;M$1,JupData!$A$2:$A$10000&amp;JupData!$J$2:$J$10000,0),11))</f>
        <v/>
      </c>
      <c r="N312" t="str">
        <f t="array" ref="N312">IF($A312="","",INDEX(JupData!$A$2:$K$10000,MATCH($A312&amp;N$1,JupData!$A$2:$A$10000&amp;JupData!$J$2:$J$10000,0),11))</f>
        <v/>
      </c>
      <c r="O312" t="str">
        <f t="array" ref="O312">IF($A312="","",INDEX(JupData!$A$2:$K$10000,MATCH($A312&amp;O$1,JupData!$A$2:$A$10000&amp;JupData!$J$2:$J$10000,0),11))</f>
        <v/>
      </c>
      <c r="P312" t="str">
        <f t="array" ref="P312">IF($A312="","",INDEX(JupData!$A$2:$K$10000,MATCH($A312&amp;P$1,JupData!$A$2:$A$10000&amp;JupData!$J$2:$J$10000,0),11))</f>
        <v/>
      </c>
      <c r="Q312" t="str">
        <f t="array" ref="Q312">IF($A312="","",INDEX(JupData!$A$2:$K$10000,MATCH($A312&amp;Q$1,JupData!$A$2:$A$10000&amp;JupData!$J$2:$J$10000,0),11))</f>
        <v/>
      </c>
      <c r="R312" t="str">
        <f t="array" ref="R312">IF($A312="","",INDEX(JupData!$A$2:$K$10000,MATCH($A312&amp;R$1,JupData!$A$2:$A$10000&amp;JupData!$J$2:$J$10000,0),11))</f>
        <v/>
      </c>
      <c r="S312" t="str">
        <f t="array" ref="S312">IF($A312="","",INDEX(JupData!$A$2:$K$10000,MATCH($A312&amp;S$1,JupData!$A$2:$A$10000&amp;JupData!$J$2:$J$10000,0),11))</f>
        <v/>
      </c>
      <c r="T312" t="str">
        <f t="array" ref="T312">IF($A312="","",INDEX(JupData!$A$2:$K$10000,MATCH($A312&amp;T$1,JupData!$A$2:$A$10000&amp;JupData!$J$2:$J$10000,0),11))</f>
        <v/>
      </c>
      <c r="U312" t="str">
        <f t="array" ref="U312">IF($A312="","",INDEX(JupData!$A$2:$K$10000,MATCH($A312&amp;U$1,JupData!$A$2:$A$10000&amp;JupData!$J$2:$J$10000,0),11))</f>
        <v/>
      </c>
      <c r="V312" t="str">
        <f t="array" ref="V312">IF($A312="","",INDEX(JupData!$A$2:$K$10000,MATCH($A312&amp;V$1,JupData!$A$2:$A$10000&amp;JupData!$J$2:$J$10000,0),11))</f>
        <v/>
      </c>
      <c r="W312" t="str">
        <f t="array" ref="W312">IF($A312="","",INDEX(JupData!$A$2:$K$10000,MATCH($A312&amp;W$1,JupData!$A$2:$A$10000&amp;JupData!$J$2:$J$10000,0),11))</f>
        <v/>
      </c>
      <c r="X312" t="str">
        <f t="array" ref="X312">IF($A312="","",INDEX(JupData!$A$2:$K$10000,MATCH($A312&amp;X$1,JupData!$A$2:$A$10000&amp;JupData!$J$2:$J$10000,0),11))</f>
        <v/>
      </c>
      <c r="Y312" t="str">
        <f t="array" ref="Y312">IF($A312="","",INDEX(JupData!$A$2:$K$10000,MATCH($A312&amp;Y$1,JupData!$A$2:$A$10000&amp;JupData!$J$2:$J$10000,0),11))</f>
        <v/>
      </c>
      <c r="Z312" t="str">
        <f t="array" ref="Z312">IF($A312="","",INDEX(JupData!$A$2:$K$10000,MATCH($A312&amp;Z$1,JupData!$A$2:$A$10000&amp;JupData!$J$2:$J$10000,0),11))</f>
        <v/>
      </c>
      <c r="AA312" t="str">
        <f t="array" ref="AA312">IF($A312="","",INDEX(JupData!$A$2:$K$10000,MATCH($A312&amp;AA$1,JupData!$A$2:$A$10000&amp;JupData!$J$2:$J$10000,0),11))</f>
        <v/>
      </c>
      <c r="AB312" t="str">
        <f t="array" ref="AB312">IF($A312="","",INDEX(JupData!$A$2:$K$10000,MATCH($A312&amp;AB$1,JupData!$A$2:$A$10000&amp;JupData!$J$2:$J$10000,0),11))</f>
        <v/>
      </c>
      <c r="AC312" s="10" t="str">
        <f t="shared" si="44"/>
        <v/>
      </c>
      <c r="AD312" s="10" t="str">
        <f t="shared" si="45"/>
        <v/>
      </c>
      <c r="AE312" s="9" t="str">
        <f t="shared" si="46"/>
        <v/>
      </c>
      <c r="AF312" s="10" t="str">
        <f t="shared" si="47"/>
        <v/>
      </c>
      <c r="AG312" s="10" t="str">
        <f t="shared" si="48"/>
        <v/>
      </c>
      <c r="AH312" s="10" t="str">
        <f t="shared" si="49"/>
        <v/>
      </c>
      <c r="AI312" s="10" t="str">
        <f t="shared" si="50"/>
        <v/>
      </c>
      <c r="AJ312" s="10" t="str">
        <f t="shared" si="51"/>
        <v/>
      </c>
      <c r="AK312" s="10" t="str">
        <f t="shared" si="52"/>
        <v/>
      </c>
      <c r="AL312" s="14" t="str">
        <f t="shared" si="53"/>
        <v/>
      </c>
    </row>
    <row r="313" spans="1:38" x14ac:dyDescent="0.2">
      <c r="A313"/>
      <c r="B313" t="str">
        <f>IF($A313="","",VLOOKUP($A313,JupData!$A$2:$I$10000,4,FALSE))</f>
        <v/>
      </c>
      <c r="C313" s="7" t="str">
        <f>IF($A313="",IF(N(D313),0,""),VLOOKUP($A313,JupData!$A$2:$I$10000,7,FALSE))</f>
        <v/>
      </c>
      <c r="D313" t="str">
        <f t="shared" si="54"/>
        <v/>
      </c>
      <c r="E313" t="str">
        <f t="array" ref="E313">IF($A313="","",INDEX(JupData!$A$2:$K$10000,MATCH($A313&amp;E$1,JupData!$A$2:$A$10000&amp;JupData!$J$2:$J$10000,0),11))</f>
        <v/>
      </c>
      <c r="F313" t="str">
        <f t="array" ref="F313">IF($A313="","",INDEX(JupData!$A$2:$K$10000,MATCH($A313&amp;F$1,JupData!$A$2:$A$10000&amp;JupData!$J$2:$J$10000,0),11))</f>
        <v/>
      </c>
      <c r="G313" t="str">
        <f t="array" ref="G313">IF($A313="","",INDEX(JupData!$A$2:$K$10000,MATCH($A313&amp;G$1,JupData!$A$2:$A$10000&amp;JupData!$J$2:$J$10000,0),11))</f>
        <v/>
      </c>
      <c r="H313" t="str">
        <f t="array" ref="H313">IF($A313="","",INDEX(JupData!$A$2:$K$10000,MATCH($A313&amp;H$1,JupData!$A$2:$A$10000&amp;JupData!$J$2:$J$10000,0),11))</f>
        <v/>
      </c>
      <c r="I313" t="str">
        <f t="array" ref="I313">IF($A313="","",INDEX(JupData!$A$2:$K$10000,MATCH($A313&amp;I$1,JupData!$A$2:$A$10000&amp;JupData!$J$2:$J$10000,0),11))</f>
        <v/>
      </c>
      <c r="J313" t="str">
        <f t="array" ref="J313">IF($A313="","",INDEX(JupData!$A$2:$K$10000,MATCH($A313&amp;J$1,JupData!$A$2:$A$10000&amp;JupData!$J$2:$J$10000,0),11))</f>
        <v/>
      </c>
      <c r="K313" t="str">
        <f t="array" ref="K313">IF($A313="","",INDEX(JupData!$A$2:$K$10000,MATCH($A313&amp;K$1,JupData!$A$2:$A$10000&amp;JupData!$J$2:$J$10000,0),11))</f>
        <v/>
      </c>
      <c r="L313" t="str">
        <f t="array" ref="L313">IF($A313="","",INDEX(JupData!$A$2:$K$10000,MATCH($A313&amp;L$1,JupData!$A$2:$A$10000&amp;JupData!$J$2:$J$10000,0),11))</f>
        <v/>
      </c>
      <c r="M313" t="str">
        <f t="array" ref="M313">IF($A313="","",INDEX(JupData!$A$2:$K$10000,MATCH($A313&amp;M$1,JupData!$A$2:$A$10000&amp;JupData!$J$2:$J$10000,0),11))</f>
        <v/>
      </c>
      <c r="N313" t="str">
        <f t="array" ref="N313">IF($A313="","",INDEX(JupData!$A$2:$K$10000,MATCH($A313&amp;N$1,JupData!$A$2:$A$10000&amp;JupData!$J$2:$J$10000,0),11))</f>
        <v/>
      </c>
      <c r="O313" t="str">
        <f t="array" ref="O313">IF($A313="","",INDEX(JupData!$A$2:$K$10000,MATCH($A313&amp;O$1,JupData!$A$2:$A$10000&amp;JupData!$J$2:$J$10000,0),11))</f>
        <v/>
      </c>
      <c r="P313" t="str">
        <f t="array" ref="P313">IF($A313="","",INDEX(JupData!$A$2:$K$10000,MATCH($A313&amp;P$1,JupData!$A$2:$A$10000&amp;JupData!$J$2:$J$10000,0),11))</f>
        <v/>
      </c>
      <c r="Q313" t="str">
        <f t="array" ref="Q313">IF($A313="","",INDEX(JupData!$A$2:$K$10000,MATCH($A313&amp;Q$1,JupData!$A$2:$A$10000&amp;JupData!$J$2:$J$10000,0),11))</f>
        <v/>
      </c>
      <c r="R313" t="str">
        <f t="array" ref="R313">IF($A313="","",INDEX(JupData!$A$2:$K$10000,MATCH($A313&amp;R$1,JupData!$A$2:$A$10000&amp;JupData!$J$2:$J$10000,0),11))</f>
        <v/>
      </c>
      <c r="S313" t="str">
        <f t="array" ref="S313">IF($A313="","",INDEX(JupData!$A$2:$K$10000,MATCH($A313&amp;S$1,JupData!$A$2:$A$10000&amp;JupData!$J$2:$J$10000,0),11))</f>
        <v/>
      </c>
      <c r="T313" t="str">
        <f t="array" ref="T313">IF($A313="","",INDEX(JupData!$A$2:$K$10000,MATCH($A313&amp;T$1,JupData!$A$2:$A$10000&amp;JupData!$J$2:$J$10000,0),11))</f>
        <v/>
      </c>
      <c r="U313" t="str">
        <f t="array" ref="U313">IF($A313="","",INDEX(JupData!$A$2:$K$10000,MATCH($A313&amp;U$1,JupData!$A$2:$A$10000&amp;JupData!$J$2:$J$10000,0),11))</f>
        <v/>
      </c>
      <c r="V313" t="str">
        <f t="array" ref="V313">IF($A313="","",INDEX(JupData!$A$2:$K$10000,MATCH($A313&amp;V$1,JupData!$A$2:$A$10000&amp;JupData!$J$2:$J$10000,0),11))</f>
        <v/>
      </c>
      <c r="W313" t="str">
        <f t="array" ref="W313">IF($A313="","",INDEX(JupData!$A$2:$K$10000,MATCH($A313&amp;W$1,JupData!$A$2:$A$10000&amp;JupData!$J$2:$J$10000,0),11))</f>
        <v/>
      </c>
      <c r="X313" t="str">
        <f t="array" ref="X313">IF($A313="","",INDEX(JupData!$A$2:$K$10000,MATCH($A313&amp;X$1,JupData!$A$2:$A$10000&amp;JupData!$J$2:$J$10000,0),11))</f>
        <v/>
      </c>
      <c r="Y313" t="str">
        <f t="array" ref="Y313">IF($A313="","",INDEX(JupData!$A$2:$K$10000,MATCH($A313&amp;Y$1,JupData!$A$2:$A$10000&amp;JupData!$J$2:$J$10000,0),11))</f>
        <v/>
      </c>
      <c r="Z313" t="str">
        <f t="array" ref="Z313">IF($A313="","",INDEX(JupData!$A$2:$K$10000,MATCH($A313&amp;Z$1,JupData!$A$2:$A$10000&amp;JupData!$J$2:$J$10000,0),11))</f>
        <v/>
      </c>
      <c r="AA313" t="str">
        <f t="array" ref="AA313">IF($A313="","",INDEX(JupData!$A$2:$K$10000,MATCH($A313&amp;AA$1,JupData!$A$2:$A$10000&amp;JupData!$J$2:$J$10000,0),11))</f>
        <v/>
      </c>
      <c r="AB313" t="str">
        <f t="array" ref="AB313">IF($A313="","",INDEX(JupData!$A$2:$K$10000,MATCH($A313&amp;AB$1,JupData!$A$2:$A$10000&amp;JupData!$J$2:$J$10000,0),11))</f>
        <v/>
      </c>
      <c r="AC313" s="10" t="str">
        <f t="shared" si="44"/>
        <v/>
      </c>
      <c r="AD313" s="10" t="str">
        <f t="shared" si="45"/>
        <v/>
      </c>
      <c r="AE313" s="9" t="str">
        <f t="shared" si="46"/>
        <v/>
      </c>
      <c r="AF313" s="10" t="str">
        <f t="shared" si="47"/>
        <v/>
      </c>
      <c r="AG313" s="10" t="str">
        <f t="shared" si="48"/>
        <v/>
      </c>
      <c r="AH313" s="10" t="str">
        <f t="shared" si="49"/>
        <v/>
      </c>
      <c r="AI313" s="10" t="str">
        <f t="shared" si="50"/>
        <v/>
      </c>
      <c r="AJ313" s="10" t="str">
        <f t="shared" si="51"/>
        <v/>
      </c>
      <c r="AK313" s="10" t="str">
        <f t="shared" si="52"/>
        <v/>
      </c>
      <c r="AL313" s="14" t="str">
        <f t="shared" si="53"/>
        <v/>
      </c>
    </row>
    <row r="314" spans="1:38" x14ac:dyDescent="0.2">
      <c r="A314"/>
      <c r="B314" t="str">
        <f>IF($A314="","",VLOOKUP($A314,JupData!$A$2:$I$10000,4,FALSE))</f>
        <v/>
      </c>
      <c r="C314" s="7" t="str">
        <f>IF($A314="",IF(N(D314),0,""),VLOOKUP($A314,JupData!$A$2:$I$10000,7,FALSE))</f>
        <v/>
      </c>
      <c r="D314" t="str">
        <f t="shared" si="54"/>
        <v/>
      </c>
      <c r="E314" t="str">
        <f t="array" ref="E314">IF($A314="","",INDEX(JupData!$A$2:$K$10000,MATCH($A314&amp;E$1,JupData!$A$2:$A$10000&amp;JupData!$J$2:$J$10000,0),11))</f>
        <v/>
      </c>
      <c r="F314" t="str">
        <f t="array" ref="F314">IF($A314="","",INDEX(JupData!$A$2:$K$10000,MATCH($A314&amp;F$1,JupData!$A$2:$A$10000&amp;JupData!$J$2:$J$10000,0),11))</f>
        <v/>
      </c>
      <c r="G314" t="str">
        <f t="array" ref="G314">IF($A314="","",INDEX(JupData!$A$2:$K$10000,MATCH($A314&amp;G$1,JupData!$A$2:$A$10000&amp;JupData!$J$2:$J$10000,0),11))</f>
        <v/>
      </c>
      <c r="H314" t="str">
        <f t="array" ref="H314">IF($A314="","",INDEX(JupData!$A$2:$K$10000,MATCH($A314&amp;H$1,JupData!$A$2:$A$10000&amp;JupData!$J$2:$J$10000,0),11))</f>
        <v/>
      </c>
      <c r="I314" t="str">
        <f t="array" ref="I314">IF($A314="","",INDEX(JupData!$A$2:$K$10000,MATCH($A314&amp;I$1,JupData!$A$2:$A$10000&amp;JupData!$J$2:$J$10000,0),11))</f>
        <v/>
      </c>
      <c r="J314" t="str">
        <f t="array" ref="J314">IF($A314="","",INDEX(JupData!$A$2:$K$10000,MATCH($A314&amp;J$1,JupData!$A$2:$A$10000&amp;JupData!$J$2:$J$10000,0),11))</f>
        <v/>
      </c>
      <c r="K314" t="str">
        <f t="array" ref="K314">IF($A314="","",INDEX(JupData!$A$2:$K$10000,MATCH($A314&amp;K$1,JupData!$A$2:$A$10000&amp;JupData!$J$2:$J$10000,0),11))</f>
        <v/>
      </c>
      <c r="L314" t="str">
        <f t="array" ref="L314">IF($A314="","",INDEX(JupData!$A$2:$K$10000,MATCH($A314&amp;L$1,JupData!$A$2:$A$10000&amp;JupData!$J$2:$J$10000,0),11))</f>
        <v/>
      </c>
      <c r="M314" t="str">
        <f t="array" ref="M314">IF($A314="","",INDEX(JupData!$A$2:$K$10000,MATCH($A314&amp;M$1,JupData!$A$2:$A$10000&amp;JupData!$J$2:$J$10000,0),11))</f>
        <v/>
      </c>
      <c r="N314" t="str">
        <f t="array" ref="N314">IF($A314="","",INDEX(JupData!$A$2:$K$10000,MATCH($A314&amp;N$1,JupData!$A$2:$A$10000&amp;JupData!$J$2:$J$10000,0),11))</f>
        <v/>
      </c>
      <c r="O314" t="str">
        <f t="array" ref="O314">IF($A314="","",INDEX(JupData!$A$2:$K$10000,MATCH($A314&amp;O$1,JupData!$A$2:$A$10000&amp;JupData!$J$2:$J$10000,0),11))</f>
        <v/>
      </c>
      <c r="P314" t="str">
        <f t="array" ref="P314">IF($A314="","",INDEX(JupData!$A$2:$K$10000,MATCH($A314&amp;P$1,JupData!$A$2:$A$10000&amp;JupData!$J$2:$J$10000,0),11))</f>
        <v/>
      </c>
      <c r="Q314" t="str">
        <f t="array" ref="Q314">IF($A314="","",INDEX(JupData!$A$2:$K$10000,MATCH($A314&amp;Q$1,JupData!$A$2:$A$10000&amp;JupData!$J$2:$J$10000,0),11))</f>
        <v/>
      </c>
      <c r="R314" t="str">
        <f t="array" ref="R314">IF($A314="","",INDEX(JupData!$A$2:$K$10000,MATCH($A314&amp;R$1,JupData!$A$2:$A$10000&amp;JupData!$J$2:$J$10000,0),11))</f>
        <v/>
      </c>
      <c r="S314" t="str">
        <f t="array" ref="S314">IF($A314="","",INDEX(JupData!$A$2:$K$10000,MATCH($A314&amp;S$1,JupData!$A$2:$A$10000&amp;JupData!$J$2:$J$10000,0),11))</f>
        <v/>
      </c>
      <c r="T314" t="str">
        <f t="array" ref="T314">IF($A314="","",INDEX(JupData!$A$2:$K$10000,MATCH($A314&amp;T$1,JupData!$A$2:$A$10000&amp;JupData!$J$2:$J$10000,0),11))</f>
        <v/>
      </c>
      <c r="U314" t="str">
        <f t="array" ref="U314">IF($A314="","",INDEX(JupData!$A$2:$K$10000,MATCH($A314&amp;U$1,JupData!$A$2:$A$10000&amp;JupData!$J$2:$J$10000,0),11))</f>
        <v/>
      </c>
      <c r="V314" t="str">
        <f t="array" ref="V314">IF($A314="","",INDEX(JupData!$A$2:$K$10000,MATCH($A314&amp;V$1,JupData!$A$2:$A$10000&amp;JupData!$J$2:$J$10000,0),11))</f>
        <v/>
      </c>
      <c r="W314" t="str">
        <f t="array" ref="W314">IF($A314="","",INDEX(JupData!$A$2:$K$10000,MATCH($A314&amp;W$1,JupData!$A$2:$A$10000&amp;JupData!$J$2:$J$10000,0),11))</f>
        <v/>
      </c>
      <c r="X314" t="str">
        <f t="array" ref="X314">IF($A314="","",INDEX(JupData!$A$2:$K$10000,MATCH($A314&amp;X$1,JupData!$A$2:$A$10000&amp;JupData!$J$2:$J$10000,0),11))</f>
        <v/>
      </c>
      <c r="Y314" t="str">
        <f t="array" ref="Y314">IF($A314="","",INDEX(JupData!$A$2:$K$10000,MATCH($A314&amp;Y$1,JupData!$A$2:$A$10000&amp;JupData!$J$2:$J$10000,0),11))</f>
        <v/>
      </c>
      <c r="Z314" t="str">
        <f t="array" ref="Z314">IF($A314="","",INDEX(JupData!$A$2:$K$10000,MATCH($A314&amp;Z$1,JupData!$A$2:$A$10000&amp;JupData!$J$2:$J$10000,0),11))</f>
        <v/>
      </c>
      <c r="AA314" t="str">
        <f t="array" ref="AA314">IF($A314="","",INDEX(JupData!$A$2:$K$10000,MATCH($A314&amp;AA$1,JupData!$A$2:$A$10000&amp;JupData!$J$2:$J$10000,0),11))</f>
        <v/>
      </c>
      <c r="AB314" t="str">
        <f t="array" ref="AB314">IF($A314="","",INDEX(JupData!$A$2:$K$10000,MATCH($A314&amp;AB$1,JupData!$A$2:$A$10000&amp;JupData!$J$2:$J$10000,0),11))</f>
        <v/>
      </c>
      <c r="AC314" s="10" t="str">
        <f t="shared" si="44"/>
        <v/>
      </c>
      <c r="AD314" s="10" t="str">
        <f t="shared" si="45"/>
        <v/>
      </c>
      <c r="AE314" s="9" t="str">
        <f t="shared" si="46"/>
        <v/>
      </c>
      <c r="AF314" s="10" t="str">
        <f t="shared" si="47"/>
        <v/>
      </c>
      <c r="AG314" s="10" t="str">
        <f t="shared" si="48"/>
        <v/>
      </c>
      <c r="AH314" s="10" t="str">
        <f t="shared" si="49"/>
        <v/>
      </c>
      <c r="AI314" s="10" t="str">
        <f t="shared" si="50"/>
        <v/>
      </c>
      <c r="AJ314" s="10" t="str">
        <f t="shared" si="51"/>
        <v/>
      </c>
      <c r="AK314" s="10" t="str">
        <f t="shared" si="52"/>
        <v/>
      </c>
      <c r="AL314" s="14" t="str">
        <f t="shared" si="53"/>
        <v/>
      </c>
    </row>
    <row r="315" spans="1:38" x14ac:dyDescent="0.2">
      <c r="A315"/>
      <c r="B315" t="str">
        <f>IF($A315="","",VLOOKUP($A315,JupData!$A$2:$I$10000,4,FALSE))</f>
        <v/>
      </c>
      <c r="C315" s="7" t="str">
        <f>IF($A315="",IF(N(D315),0,""),VLOOKUP($A315,JupData!$A$2:$I$10000,7,FALSE))</f>
        <v/>
      </c>
      <c r="D315" t="str">
        <f t="shared" si="54"/>
        <v/>
      </c>
      <c r="E315" t="str">
        <f t="array" ref="E315">IF($A315="","",INDEX(JupData!$A$2:$K$10000,MATCH($A315&amp;E$1,JupData!$A$2:$A$10000&amp;JupData!$J$2:$J$10000,0),11))</f>
        <v/>
      </c>
      <c r="F315" t="str">
        <f t="array" ref="F315">IF($A315="","",INDEX(JupData!$A$2:$K$10000,MATCH($A315&amp;F$1,JupData!$A$2:$A$10000&amp;JupData!$J$2:$J$10000,0),11))</f>
        <v/>
      </c>
      <c r="G315" t="str">
        <f t="array" ref="G315">IF($A315="","",INDEX(JupData!$A$2:$K$10000,MATCH($A315&amp;G$1,JupData!$A$2:$A$10000&amp;JupData!$J$2:$J$10000,0),11))</f>
        <v/>
      </c>
      <c r="H315" t="str">
        <f t="array" ref="H315">IF($A315="","",INDEX(JupData!$A$2:$K$10000,MATCH($A315&amp;H$1,JupData!$A$2:$A$10000&amp;JupData!$J$2:$J$10000,0),11))</f>
        <v/>
      </c>
      <c r="I315" t="str">
        <f t="array" ref="I315">IF($A315="","",INDEX(JupData!$A$2:$K$10000,MATCH($A315&amp;I$1,JupData!$A$2:$A$10000&amp;JupData!$J$2:$J$10000,0),11))</f>
        <v/>
      </c>
      <c r="J315" t="str">
        <f t="array" ref="J315">IF($A315="","",INDEX(JupData!$A$2:$K$10000,MATCH($A315&amp;J$1,JupData!$A$2:$A$10000&amp;JupData!$J$2:$J$10000,0),11))</f>
        <v/>
      </c>
      <c r="K315" t="str">
        <f t="array" ref="K315">IF($A315="","",INDEX(JupData!$A$2:$K$10000,MATCH($A315&amp;K$1,JupData!$A$2:$A$10000&amp;JupData!$J$2:$J$10000,0),11))</f>
        <v/>
      </c>
      <c r="L315" t="str">
        <f t="array" ref="L315">IF($A315="","",INDEX(JupData!$A$2:$K$10000,MATCH($A315&amp;L$1,JupData!$A$2:$A$10000&amp;JupData!$J$2:$J$10000,0),11))</f>
        <v/>
      </c>
      <c r="M315" t="str">
        <f t="array" ref="M315">IF($A315="","",INDEX(JupData!$A$2:$K$10000,MATCH($A315&amp;M$1,JupData!$A$2:$A$10000&amp;JupData!$J$2:$J$10000,0),11))</f>
        <v/>
      </c>
      <c r="N315" t="str">
        <f t="array" ref="N315">IF($A315="","",INDEX(JupData!$A$2:$K$10000,MATCH($A315&amp;N$1,JupData!$A$2:$A$10000&amp;JupData!$J$2:$J$10000,0),11))</f>
        <v/>
      </c>
      <c r="O315" t="str">
        <f t="array" ref="O315">IF($A315="","",INDEX(JupData!$A$2:$K$10000,MATCH($A315&amp;O$1,JupData!$A$2:$A$10000&amp;JupData!$J$2:$J$10000,0),11))</f>
        <v/>
      </c>
      <c r="P315" t="str">
        <f t="array" ref="P315">IF($A315="","",INDEX(JupData!$A$2:$K$10000,MATCH($A315&amp;P$1,JupData!$A$2:$A$10000&amp;JupData!$J$2:$J$10000,0),11))</f>
        <v/>
      </c>
      <c r="Q315" t="str">
        <f t="array" ref="Q315">IF($A315="","",INDEX(JupData!$A$2:$K$10000,MATCH($A315&amp;Q$1,JupData!$A$2:$A$10000&amp;JupData!$J$2:$J$10000,0),11))</f>
        <v/>
      </c>
      <c r="R315" t="str">
        <f t="array" ref="R315">IF($A315="","",INDEX(JupData!$A$2:$K$10000,MATCH($A315&amp;R$1,JupData!$A$2:$A$10000&amp;JupData!$J$2:$J$10000,0),11))</f>
        <v/>
      </c>
      <c r="S315" t="str">
        <f t="array" ref="S315">IF($A315="","",INDEX(JupData!$A$2:$K$10000,MATCH($A315&amp;S$1,JupData!$A$2:$A$10000&amp;JupData!$J$2:$J$10000,0),11))</f>
        <v/>
      </c>
      <c r="T315" t="str">
        <f t="array" ref="T315">IF($A315="","",INDEX(JupData!$A$2:$K$10000,MATCH($A315&amp;T$1,JupData!$A$2:$A$10000&amp;JupData!$J$2:$J$10000,0),11))</f>
        <v/>
      </c>
      <c r="U315" t="str">
        <f t="array" ref="U315">IF($A315="","",INDEX(JupData!$A$2:$K$10000,MATCH($A315&amp;U$1,JupData!$A$2:$A$10000&amp;JupData!$J$2:$J$10000,0),11))</f>
        <v/>
      </c>
      <c r="V315" t="str">
        <f t="array" ref="V315">IF($A315="","",INDEX(JupData!$A$2:$K$10000,MATCH($A315&amp;V$1,JupData!$A$2:$A$10000&amp;JupData!$J$2:$J$10000,0),11))</f>
        <v/>
      </c>
      <c r="W315" t="str">
        <f t="array" ref="W315">IF($A315="","",INDEX(JupData!$A$2:$K$10000,MATCH($A315&amp;W$1,JupData!$A$2:$A$10000&amp;JupData!$J$2:$J$10000,0),11))</f>
        <v/>
      </c>
      <c r="X315" t="str">
        <f t="array" ref="X315">IF($A315="","",INDEX(JupData!$A$2:$K$10000,MATCH($A315&amp;X$1,JupData!$A$2:$A$10000&amp;JupData!$J$2:$J$10000,0),11))</f>
        <v/>
      </c>
      <c r="Y315" t="str">
        <f t="array" ref="Y315">IF($A315="","",INDEX(JupData!$A$2:$K$10000,MATCH($A315&amp;Y$1,JupData!$A$2:$A$10000&amp;JupData!$J$2:$J$10000,0),11))</f>
        <v/>
      </c>
      <c r="Z315" t="str">
        <f t="array" ref="Z315">IF($A315="","",INDEX(JupData!$A$2:$K$10000,MATCH($A315&amp;Z$1,JupData!$A$2:$A$10000&amp;JupData!$J$2:$J$10000,0),11))</f>
        <v/>
      </c>
      <c r="AA315" t="str">
        <f t="array" ref="AA315">IF($A315="","",INDEX(JupData!$A$2:$K$10000,MATCH($A315&amp;AA$1,JupData!$A$2:$A$10000&amp;JupData!$J$2:$J$10000,0),11))</f>
        <v/>
      </c>
      <c r="AB315" t="str">
        <f t="array" ref="AB315">IF($A315="","",INDEX(JupData!$A$2:$K$10000,MATCH($A315&amp;AB$1,JupData!$A$2:$A$10000&amp;JupData!$J$2:$J$10000,0),11))</f>
        <v/>
      </c>
      <c r="AC315" s="10" t="str">
        <f t="shared" si="44"/>
        <v/>
      </c>
      <c r="AD315" s="10" t="str">
        <f t="shared" si="45"/>
        <v/>
      </c>
      <c r="AE315" s="9" t="str">
        <f t="shared" si="46"/>
        <v/>
      </c>
      <c r="AF315" s="10" t="str">
        <f t="shared" si="47"/>
        <v/>
      </c>
      <c r="AG315" s="10" t="str">
        <f t="shared" si="48"/>
        <v/>
      </c>
      <c r="AH315" s="10" t="str">
        <f t="shared" si="49"/>
        <v/>
      </c>
      <c r="AI315" s="10" t="str">
        <f t="shared" si="50"/>
        <v/>
      </c>
      <c r="AJ315" s="10" t="str">
        <f t="shared" si="51"/>
        <v/>
      </c>
      <c r="AK315" s="10" t="str">
        <f t="shared" si="52"/>
        <v/>
      </c>
      <c r="AL315" s="14" t="str">
        <f t="shared" si="53"/>
        <v/>
      </c>
    </row>
    <row r="316" spans="1:38" x14ac:dyDescent="0.2">
      <c r="A316"/>
      <c r="B316" t="str">
        <f>IF($A316="","",VLOOKUP($A316,JupData!$A$2:$I$10000,4,FALSE))</f>
        <v/>
      </c>
      <c r="C316" s="7" t="str">
        <f>IF($A316="",IF(N(D316),0,""),VLOOKUP($A316,JupData!$A$2:$I$10000,7,FALSE))</f>
        <v/>
      </c>
      <c r="D316" t="str">
        <f t="shared" si="54"/>
        <v/>
      </c>
      <c r="E316" t="str">
        <f t="array" ref="E316">IF($A316="","",INDEX(JupData!$A$2:$K$10000,MATCH($A316&amp;E$1,JupData!$A$2:$A$10000&amp;JupData!$J$2:$J$10000,0),11))</f>
        <v/>
      </c>
      <c r="F316" t="str">
        <f t="array" ref="F316">IF($A316="","",INDEX(JupData!$A$2:$K$10000,MATCH($A316&amp;F$1,JupData!$A$2:$A$10000&amp;JupData!$J$2:$J$10000,0),11))</f>
        <v/>
      </c>
      <c r="G316" t="str">
        <f t="array" ref="G316">IF($A316="","",INDEX(JupData!$A$2:$K$10000,MATCH($A316&amp;G$1,JupData!$A$2:$A$10000&amp;JupData!$J$2:$J$10000,0),11))</f>
        <v/>
      </c>
      <c r="H316" t="str">
        <f t="array" ref="H316">IF($A316="","",INDEX(JupData!$A$2:$K$10000,MATCH($A316&amp;H$1,JupData!$A$2:$A$10000&amp;JupData!$J$2:$J$10000,0),11))</f>
        <v/>
      </c>
      <c r="I316" t="str">
        <f t="array" ref="I316">IF($A316="","",INDEX(JupData!$A$2:$K$10000,MATCH($A316&amp;I$1,JupData!$A$2:$A$10000&amp;JupData!$J$2:$J$10000,0),11))</f>
        <v/>
      </c>
      <c r="J316" t="str">
        <f t="array" ref="J316">IF($A316="","",INDEX(JupData!$A$2:$K$10000,MATCH($A316&amp;J$1,JupData!$A$2:$A$10000&amp;JupData!$J$2:$J$10000,0),11))</f>
        <v/>
      </c>
      <c r="K316" t="str">
        <f t="array" ref="K316">IF($A316="","",INDEX(JupData!$A$2:$K$10000,MATCH($A316&amp;K$1,JupData!$A$2:$A$10000&amp;JupData!$J$2:$J$10000,0),11))</f>
        <v/>
      </c>
      <c r="L316" t="str">
        <f t="array" ref="L316">IF($A316="","",INDEX(JupData!$A$2:$K$10000,MATCH($A316&amp;L$1,JupData!$A$2:$A$10000&amp;JupData!$J$2:$J$10000,0),11))</f>
        <v/>
      </c>
      <c r="M316" t="str">
        <f t="array" ref="M316">IF($A316="","",INDEX(JupData!$A$2:$K$10000,MATCH($A316&amp;M$1,JupData!$A$2:$A$10000&amp;JupData!$J$2:$J$10000,0),11))</f>
        <v/>
      </c>
      <c r="N316" t="str">
        <f t="array" ref="N316">IF($A316="","",INDEX(JupData!$A$2:$K$10000,MATCH($A316&amp;N$1,JupData!$A$2:$A$10000&amp;JupData!$J$2:$J$10000,0),11))</f>
        <v/>
      </c>
      <c r="O316" t="str">
        <f t="array" ref="O316">IF($A316="","",INDEX(JupData!$A$2:$K$10000,MATCH($A316&amp;O$1,JupData!$A$2:$A$10000&amp;JupData!$J$2:$J$10000,0),11))</f>
        <v/>
      </c>
      <c r="P316" t="str">
        <f t="array" ref="P316">IF($A316="","",INDEX(JupData!$A$2:$K$10000,MATCH($A316&amp;P$1,JupData!$A$2:$A$10000&amp;JupData!$J$2:$J$10000,0),11))</f>
        <v/>
      </c>
      <c r="Q316" t="str">
        <f t="array" ref="Q316">IF($A316="","",INDEX(JupData!$A$2:$K$10000,MATCH($A316&amp;Q$1,JupData!$A$2:$A$10000&amp;JupData!$J$2:$J$10000,0),11))</f>
        <v/>
      </c>
      <c r="R316" t="str">
        <f t="array" ref="R316">IF($A316="","",INDEX(JupData!$A$2:$K$10000,MATCH($A316&amp;R$1,JupData!$A$2:$A$10000&amp;JupData!$J$2:$J$10000,0),11))</f>
        <v/>
      </c>
      <c r="S316" t="str">
        <f t="array" ref="S316">IF($A316="","",INDEX(JupData!$A$2:$K$10000,MATCH($A316&amp;S$1,JupData!$A$2:$A$10000&amp;JupData!$J$2:$J$10000,0),11))</f>
        <v/>
      </c>
      <c r="T316" t="str">
        <f t="array" ref="T316">IF($A316="","",INDEX(JupData!$A$2:$K$10000,MATCH($A316&amp;T$1,JupData!$A$2:$A$10000&amp;JupData!$J$2:$J$10000,0),11))</f>
        <v/>
      </c>
      <c r="U316" t="str">
        <f t="array" ref="U316">IF($A316="","",INDEX(JupData!$A$2:$K$10000,MATCH($A316&amp;U$1,JupData!$A$2:$A$10000&amp;JupData!$J$2:$J$10000,0),11))</f>
        <v/>
      </c>
      <c r="V316" t="str">
        <f t="array" ref="V316">IF($A316="","",INDEX(JupData!$A$2:$K$10000,MATCH($A316&amp;V$1,JupData!$A$2:$A$10000&amp;JupData!$J$2:$J$10000,0),11))</f>
        <v/>
      </c>
      <c r="W316" t="str">
        <f t="array" ref="W316">IF($A316="","",INDEX(JupData!$A$2:$K$10000,MATCH($A316&amp;W$1,JupData!$A$2:$A$10000&amp;JupData!$J$2:$J$10000,0),11))</f>
        <v/>
      </c>
      <c r="X316" t="str">
        <f t="array" ref="X316">IF($A316="","",INDEX(JupData!$A$2:$K$10000,MATCH($A316&amp;X$1,JupData!$A$2:$A$10000&amp;JupData!$J$2:$J$10000,0),11))</f>
        <v/>
      </c>
      <c r="Y316" t="str">
        <f t="array" ref="Y316">IF($A316="","",INDEX(JupData!$A$2:$K$10000,MATCH($A316&amp;Y$1,JupData!$A$2:$A$10000&amp;JupData!$J$2:$J$10000,0),11))</f>
        <v/>
      </c>
      <c r="Z316" t="str">
        <f t="array" ref="Z316">IF($A316="","",INDEX(JupData!$A$2:$K$10000,MATCH($A316&amp;Z$1,JupData!$A$2:$A$10000&amp;JupData!$J$2:$J$10000,0),11))</f>
        <v/>
      </c>
      <c r="AA316" t="str">
        <f t="array" ref="AA316">IF($A316="","",INDEX(JupData!$A$2:$K$10000,MATCH($A316&amp;AA$1,JupData!$A$2:$A$10000&amp;JupData!$J$2:$J$10000,0),11))</f>
        <v/>
      </c>
      <c r="AB316" t="str">
        <f t="array" ref="AB316">IF($A316="","",INDEX(JupData!$A$2:$K$10000,MATCH($A316&amp;AB$1,JupData!$A$2:$A$10000&amp;JupData!$J$2:$J$10000,0),11))</f>
        <v/>
      </c>
      <c r="AC316" s="10" t="str">
        <f t="shared" si="44"/>
        <v/>
      </c>
      <c r="AD316" s="10" t="str">
        <f t="shared" si="45"/>
        <v/>
      </c>
      <c r="AE316" s="9" t="str">
        <f t="shared" si="46"/>
        <v/>
      </c>
      <c r="AF316" s="10" t="str">
        <f t="shared" si="47"/>
        <v/>
      </c>
      <c r="AG316" s="10" t="str">
        <f t="shared" si="48"/>
        <v/>
      </c>
      <c r="AH316" s="10" t="str">
        <f t="shared" si="49"/>
        <v/>
      </c>
      <c r="AI316" s="10" t="str">
        <f t="shared" si="50"/>
        <v/>
      </c>
      <c r="AJ316" s="10" t="str">
        <f t="shared" si="51"/>
        <v/>
      </c>
      <c r="AK316" s="10" t="str">
        <f t="shared" si="52"/>
        <v/>
      </c>
      <c r="AL316" s="14" t="str">
        <f t="shared" si="53"/>
        <v/>
      </c>
    </row>
    <row r="317" spans="1:38" x14ac:dyDescent="0.2">
      <c r="A317"/>
      <c r="B317" t="str">
        <f>IF($A317="","",VLOOKUP($A317,JupData!$A$2:$I$10000,4,FALSE))</f>
        <v/>
      </c>
      <c r="C317" s="7" t="str">
        <f>IF($A317="",IF(N(D317),0,""),VLOOKUP($A317,JupData!$A$2:$I$10000,7,FALSE))</f>
        <v/>
      </c>
      <c r="D317" t="str">
        <f t="shared" si="54"/>
        <v/>
      </c>
      <c r="E317" t="str">
        <f t="array" ref="E317">IF($A317="","",INDEX(JupData!$A$2:$K$10000,MATCH($A317&amp;E$1,JupData!$A$2:$A$10000&amp;JupData!$J$2:$J$10000,0),11))</f>
        <v/>
      </c>
      <c r="F317" t="str">
        <f t="array" ref="F317">IF($A317="","",INDEX(JupData!$A$2:$K$10000,MATCH($A317&amp;F$1,JupData!$A$2:$A$10000&amp;JupData!$J$2:$J$10000,0),11))</f>
        <v/>
      </c>
      <c r="G317" t="str">
        <f t="array" ref="G317">IF($A317="","",INDEX(JupData!$A$2:$K$10000,MATCH($A317&amp;G$1,JupData!$A$2:$A$10000&amp;JupData!$J$2:$J$10000,0),11))</f>
        <v/>
      </c>
      <c r="H317" t="str">
        <f t="array" ref="H317">IF($A317="","",INDEX(JupData!$A$2:$K$10000,MATCH($A317&amp;H$1,JupData!$A$2:$A$10000&amp;JupData!$J$2:$J$10000,0),11))</f>
        <v/>
      </c>
      <c r="I317" t="str">
        <f t="array" ref="I317">IF($A317="","",INDEX(JupData!$A$2:$K$10000,MATCH($A317&amp;I$1,JupData!$A$2:$A$10000&amp;JupData!$J$2:$J$10000,0),11))</f>
        <v/>
      </c>
      <c r="J317" t="str">
        <f t="array" ref="J317">IF($A317="","",INDEX(JupData!$A$2:$K$10000,MATCH($A317&amp;J$1,JupData!$A$2:$A$10000&amp;JupData!$J$2:$J$10000,0),11))</f>
        <v/>
      </c>
      <c r="K317" t="str">
        <f t="array" ref="K317">IF($A317="","",INDEX(JupData!$A$2:$K$10000,MATCH($A317&amp;K$1,JupData!$A$2:$A$10000&amp;JupData!$J$2:$J$10000,0),11))</f>
        <v/>
      </c>
      <c r="L317" t="str">
        <f t="array" ref="L317">IF($A317="","",INDEX(JupData!$A$2:$K$10000,MATCH($A317&amp;L$1,JupData!$A$2:$A$10000&amp;JupData!$J$2:$J$10000,0),11))</f>
        <v/>
      </c>
      <c r="M317" t="str">
        <f t="array" ref="M317">IF($A317="","",INDEX(JupData!$A$2:$K$10000,MATCH($A317&amp;M$1,JupData!$A$2:$A$10000&amp;JupData!$J$2:$J$10000,0),11))</f>
        <v/>
      </c>
      <c r="N317" t="str">
        <f t="array" ref="N317">IF($A317="","",INDEX(JupData!$A$2:$K$10000,MATCH($A317&amp;N$1,JupData!$A$2:$A$10000&amp;JupData!$J$2:$J$10000,0),11))</f>
        <v/>
      </c>
      <c r="O317" t="str">
        <f t="array" ref="O317">IF($A317="","",INDEX(JupData!$A$2:$K$10000,MATCH($A317&amp;O$1,JupData!$A$2:$A$10000&amp;JupData!$J$2:$J$10000,0),11))</f>
        <v/>
      </c>
      <c r="P317" t="str">
        <f t="array" ref="P317">IF($A317="","",INDEX(JupData!$A$2:$K$10000,MATCH($A317&amp;P$1,JupData!$A$2:$A$10000&amp;JupData!$J$2:$J$10000,0),11))</f>
        <v/>
      </c>
      <c r="Q317" t="str">
        <f t="array" ref="Q317">IF($A317="","",INDEX(JupData!$A$2:$K$10000,MATCH($A317&amp;Q$1,JupData!$A$2:$A$10000&amp;JupData!$J$2:$J$10000,0),11))</f>
        <v/>
      </c>
      <c r="R317" t="str">
        <f t="array" ref="R317">IF($A317="","",INDEX(JupData!$A$2:$K$10000,MATCH($A317&amp;R$1,JupData!$A$2:$A$10000&amp;JupData!$J$2:$J$10000,0),11))</f>
        <v/>
      </c>
      <c r="S317" t="str">
        <f t="array" ref="S317">IF($A317="","",INDEX(JupData!$A$2:$K$10000,MATCH($A317&amp;S$1,JupData!$A$2:$A$10000&amp;JupData!$J$2:$J$10000,0),11))</f>
        <v/>
      </c>
      <c r="T317" t="str">
        <f t="array" ref="T317">IF($A317="","",INDEX(JupData!$A$2:$K$10000,MATCH($A317&amp;T$1,JupData!$A$2:$A$10000&amp;JupData!$J$2:$J$10000,0),11))</f>
        <v/>
      </c>
      <c r="U317" t="str">
        <f t="array" ref="U317">IF($A317="","",INDEX(JupData!$A$2:$K$10000,MATCH($A317&amp;U$1,JupData!$A$2:$A$10000&amp;JupData!$J$2:$J$10000,0),11))</f>
        <v/>
      </c>
      <c r="V317" t="str">
        <f t="array" ref="V317">IF($A317="","",INDEX(JupData!$A$2:$K$10000,MATCH($A317&amp;V$1,JupData!$A$2:$A$10000&amp;JupData!$J$2:$J$10000,0),11))</f>
        <v/>
      </c>
      <c r="W317" t="str">
        <f t="array" ref="W317">IF($A317="","",INDEX(JupData!$A$2:$K$10000,MATCH($A317&amp;W$1,JupData!$A$2:$A$10000&amp;JupData!$J$2:$J$10000,0),11))</f>
        <v/>
      </c>
      <c r="X317" t="str">
        <f t="array" ref="X317">IF($A317="","",INDEX(JupData!$A$2:$K$10000,MATCH($A317&amp;X$1,JupData!$A$2:$A$10000&amp;JupData!$J$2:$J$10000,0),11))</f>
        <v/>
      </c>
      <c r="Y317" t="str">
        <f t="array" ref="Y317">IF($A317="","",INDEX(JupData!$A$2:$K$10000,MATCH($A317&amp;Y$1,JupData!$A$2:$A$10000&amp;JupData!$J$2:$J$10000,0),11))</f>
        <v/>
      </c>
      <c r="Z317" t="str">
        <f t="array" ref="Z317">IF($A317="","",INDEX(JupData!$A$2:$K$10000,MATCH($A317&amp;Z$1,JupData!$A$2:$A$10000&amp;JupData!$J$2:$J$10000,0),11))</f>
        <v/>
      </c>
      <c r="AA317" t="str">
        <f t="array" ref="AA317">IF($A317="","",INDEX(JupData!$A$2:$K$10000,MATCH($A317&amp;AA$1,JupData!$A$2:$A$10000&amp;JupData!$J$2:$J$10000,0),11))</f>
        <v/>
      </c>
      <c r="AB317" t="str">
        <f t="array" ref="AB317">IF($A317="","",INDEX(JupData!$A$2:$K$10000,MATCH($A317&amp;AB$1,JupData!$A$2:$A$10000&amp;JupData!$J$2:$J$10000,0),11))</f>
        <v/>
      </c>
      <c r="AC317" s="10" t="str">
        <f t="shared" si="44"/>
        <v/>
      </c>
      <c r="AD317" s="10" t="str">
        <f t="shared" si="45"/>
        <v/>
      </c>
      <c r="AE317" s="9" t="str">
        <f t="shared" si="46"/>
        <v/>
      </c>
      <c r="AF317" s="10" t="str">
        <f t="shared" si="47"/>
        <v/>
      </c>
      <c r="AG317" s="10" t="str">
        <f t="shared" si="48"/>
        <v/>
      </c>
      <c r="AH317" s="10" t="str">
        <f t="shared" si="49"/>
        <v/>
      </c>
      <c r="AI317" s="10" t="str">
        <f t="shared" si="50"/>
        <v/>
      </c>
      <c r="AJ317" s="10" t="str">
        <f t="shared" si="51"/>
        <v/>
      </c>
      <c r="AK317" s="10" t="str">
        <f t="shared" si="52"/>
        <v/>
      </c>
      <c r="AL317" s="14" t="str">
        <f t="shared" si="53"/>
        <v/>
      </c>
    </row>
    <row r="318" spans="1:38" x14ac:dyDescent="0.2">
      <c r="A318"/>
      <c r="B318" t="str">
        <f>IF($A318="","",VLOOKUP($A318,JupData!$A$2:$I$10000,4,FALSE))</f>
        <v/>
      </c>
      <c r="C318" s="7" t="str">
        <f>IF($A318="",IF(N(D318),0,""),VLOOKUP($A318,JupData!$A$2:$I$10000,7,FALSE))</f>
        <v/>
      </c>
      <c r="D318" t="str">
        <f t="shared" si="54"/>
        <v/>
      </c>
      <c r="E318" t="str">
        <f t="array" ref="E318">IF($A318="","",INDEX(JupData!$A$2:$K$10000,MATCH($A318&amp;E$1,JupData!$A$2:$A$10000&amp;JupData!$J$2:$J$10000,0),11))</f>
        <v/>
      </c>
      <c r="F318" t="str">
        <f t="array" ref="F318">IF($A318="","",INDEX(JupData!$A$2:$K$10000,MATCH($A318&amp;F$1,JupData!$A$2:$A$10000&amp;JupData!$J$2:$J$10000,0),11))</f>
        <v/>
      </c>
      <c r="G318" t="str">
        <f t="array" ref="G318">IF($A318="","",INDEX(JupData!$A$2:$K$10000,MATCH($A318&amp;G$1,JupData!$A$2:$A$10000&amp;JupData!$J$2:$J$10000,0),11))</f>
        <v/>
      </c>
      <c r="H318" t="str">
        <f t="array" ref="H318">IF($A318="","",INDEX(JupData!$A$2:$K$10000,MATCH($A318&amp;H$1,JupData!$A$2:$A$10000&amp;JupData!$J$2:$J$10000,0),11))</f>
        <v/>
      </c>
      <c r="I318" t="str">
        <f t="array" ref="I318">IF($A318="","",INDEX(JupData!$A$2:$K$10000,MATCH($A318&amp;I$1,JupData!$A$2:$A$10000&amp;JupData!$J$2:$J$10000,0),11))</f>
        <v/>
      </c>
      <c r="J318" t="str">
        <f t="array" ref="J318">IF($A318="","",INDEX(JupData!$A$2:$K$10000,MATCH($A318&amp;J$1,JupData!$A$2:$A$10000&amp;JupData!$J$2:$J$10000,0),11))</f>
        <v/>
      </c>
      <c r="K318" t="str">
        <f t="array" ref="K318">IF($A318="","",INDEX(JupData!$A$2:$K$10000,MATCH($A318&amp;K$1,JupData!$A$2:$A$10000&amp;JupData!$J$2:$J$10000,0),11))</f>
        <v/>
      </c>
      <c r="L318" t="str">
        <f t="array" ref="L318">IF($A318="","",INDEX(JupData!$A$2:$K$10000,MATCH($A318&amp;L$1,JupData!$A$2:$A$10000&amp;JupData!$J$2:$J$10000,0),11))</f>
        <v/>
      </c>
      <c r="M318" t="str">
        <f t="array" ref="M318">IF($A318="","",INDEX(JupData!$A$2:$K$10000,MATCH($A318&amp;M$1,JupData!$A$2:$A$10000&amp;JupData!$J$2:$J$10000,0),11))</f>
        <v/>
      </c>
      <c r="N318" t="str">
        <f t="array" ref="N318">IF($A318="","",INDEX(JupData!$A$2:$K$10000,MATCH($A318&amp;N$1,JupData!$A$2:$A$10000&amp;JupData!$J$2:$J$10000,0),11))</f>
        <v/>
      </c>
      <c r="O318" t="str">
        <f t="array" ref="O318">IF($A318="","",INDEX(JupData!$A$2:$K$10000,MATCH($A318&amp;O$1,JupData!$A$2:$A$10000&amp;JupData!$J$2:$J$10000,0),11))</f>
        <v/>
      </c>
      <c r="P318" t="str">
        <f t="array" ref="P318">IF($A318="","",INDEX(JupData!$A$2:$K$10000,MATCH($A318&amp;P$1,JupData!$A$2:$A$10000&amp;JupData!$J$2:$J$10000,0),11))</f>
        <v/>
      </c>
      <c r="Q318" t="str">
        <f t="array" ref="Q318">IF($A318="","",INDEX(JupData!$A$2:$K$10000,MATCH($A318&amp;Q$1,JupData!$A$2:$A$10000&amp;JupData!$J$2:$J$10000,0),11))</f>
        <v/>
      </c>
      <c r="R318" t="str">
        <f t="array" ref="R318">IF($A318="","",INDEX(JupData!$A$2:$K$10000,MATCH($A318&amp;R$1,JupData!$A$2:$A$10000&amp;JupData!$J$2:$J$10000,0),11))</f>
        <v/>
      </c>
      <c r="S318" t="str">
        <f t="array" ref="S318">IF($A318="","",INDEX(JupData!$A$2:$K$10000,MATCH($A318&amp;S$1,JupData!$A$2:$A$10000&amp;JupData!$J$2:$J$10000,0),11))</f>
        <v/>
      </c>
      <c r="T318" t="str">
        <f t="array" ref="T318">IF($A318="","",INDEX(JupData!$A$2:$K$10000,MATCH($A318&amp;T$1,JupData!$A$2:$A$10000&amp;JupData!$J$2:$J$10000,0),11))</f>
        <v/>
      </c>
      <c r="U318" t="str">
        <f t="array" ref="U318">IF($A318="","",INDEX(JupData!$A$2:$K$10000,MATCH($A318&amp;U$1,JupData!$A$2:$A$10000&amp;JupData!$J$2:$J$10000,0),11))</f>
        <v/>
      </c>
      <c r="V318" t="str">
        <f t="array" ref="V318">IF($A318="","",INDEX(JupData!$A$2:$K$10000,MATCH($A318&amp;V$1,JupData!$A$2:$A$10000&amp;JupData!$J$2:$J$10000,0),11))</f>
        <v/>
      </c>
      <c r="W318" t="str">
        <f t="array" ref="W318">IF($A318="","",INDEX(JupData!$A$2:$K$10000,MATCH($A318&amp;W$1,JupData!$A$2:$A$10000&amp;JupData!$J$2:$J$10000,0),11))</f>
        <v/>
      </c>
      <c r="X318" t="str">
        <f t="array" ref="X318">IF($A318="","",INDEX(JupData!$A$2:$K$10000,MATCH($A318&amp;X$1,JupData!$A$2:$A$10000&amp;JupData!$J$2:$J$10000,0),11))</f>
        <v/>
      </c>
      <c r="Y318" t="str">
        <f t="array" ref="Y318">IF($A318="","",INDEX(JupData!$A$2:$K$10000,MATCH($A318&amp;Y$1,JupData!$A$2:$A$10000&amp;JupData!$J$2:$J$10000,0),11))</f>
        <v/>
      </c>
      <c r="Z318" t="str">
        <f t="array" ref="Z318">IF($A318="","",INDEX(JupData!$A$2:$K$10000,MATCH($A318&amp;Z$1,JupData!$A$2:$A$10000&amp;JupData!$J$2:$J$10000,0),11))</f>
        <v/>
      </c>
      <c r="AA318" t="str">
        <f t="array" ref="AA318">IF($A318="","",INDEX(JupData!$A$2:$K$10000,MATCH($A318&amp;AA$1,JupData!$A$2:$A$10000&amp;JupData!$J$2:$J$10000,0),11))</f>
        <v/>
      </c>
      <c r="AB318" t="str">
        <f t="array" ref="AB318">IF($A318="","",INDEX(JupData!$A$2:$K$10000,MATCH($A318&amp;AB$1,JupData!$A$2:$A$10000&amp;JupData!$J$2:$J$10000,0),11))</f>
        <v/>
      </c>
      <c r="AC318" s="10" t="str">
        <f t="shared" si="44"/>
        <v/>
      </c>
      <c r="AD318" s="10" t="str">
        <f t="shared" si="45"/>
        <v/>
      </c>
      <c r="AE318" s="9" t="str">
        <f t="shared" si="46"/>
        <v/>
      </c>
      <c r="AF318" s="10" t="str">
        <f t="shared" si="47"/>
        <v/>
      </c>
      <c r="AG318" s="10" t="str">
        <f t="shared" si="48"/>
        <v/>
      </c>
      <c r="AH318" s="10" t="str">
        <f t="shared" si="49"/>
        <v/>
      </c>
      <c r="AI318" s="10" t="str">
        <f t="shared" si="50"/>
        <v/>
      </c>
      <c r="AJ318" s="10" t="str">
        <f t="shared" si="51"/>
        <v/>
      </c>
      <c r="AK318" s="10" t="str">
        <f t="shared" si="52"/>
        <v/>
      </c>
      <c r="AL318" s="14" t="str">
        <f t="shared" si="53"/>
        <v/>
      </c>
    </row>
    <row r="319" spans="1:38" x14ac:dyDescent="0.2">
      <c r="A319"/>
      <c r="B319" t="str">
        <f>IF($A319="","",VLOOKUP($A319,JupData!$A$2:$I$10000,4,FALSE))</f>
        <v/>
      </c>
      <c r="C319" s="7" t="str">
        <f>IF($A319="",IF(N(D319),0,""),VLOOKUP($A319,JupData!$A$2:$I$10000,7,FALSE))</f>
        <v/>
      </c>
      <c r="D319" t="str">
        <f t="shared" si="54"/>
        <v/>
      </c>
      <c r="E319" t="str">
        <f t="array" ref="E319">IF($A319="","",INDEX(JupData!$A$2:$K$10000,MATCH($A319&amp;E$1,JupData!$A$2:$A$10000&amp;JupData!$J$2:$J$10000,0),11))</f>
        <v/>
      </c>
      <c r="F319" t="str">
        <f t="array" ref="F319">IF($A319="","",INDEX(JupData!$A$2:$K$10000,MATCH($A319&amp;F$1,JupData!$A$2:$A$10000&amp;JupData!$J$2:$J$10000,0),11))</f>
        <v/>
      </c>
      <c r="G319" t="str">
        <f t="array" ref="G319">IF($A319="","",INDEX(JupData!$A$2:$K$10000,MATCH($A319&amp;G$1,JupData!$A$2:$A$10000&amp;JupData!$J$2:$J$10000,0),11))</f>
        <v/>
      </c>
      <c r="H319" t="str">
        <f t="array" ref="H319">IF($A319="","",INDEX(JupData!$A$2:$K$10000,MATCH($A319&amp;H$1,JupData!$A$2:$A$10000&amp;JupData!$J$2:$J$10000,0),11))</f>
        <v/>
      </c>
      <c r="I319" t="str">
        <f t="array" ref="I319">IF($A319="","",INDEX(JupData!$A$2:$K$10000,MATCH($A319&amp;I$1,JupData!$A$2:$A$10000&amp;JupData!$J$2:$J$10000,0),11))</f>
        <v/>
      </c>
      <c r="J319" t="str">
        <f t="array" ref="J319">IF($A319="","",INDEX(JupData!$A$2:$K$10000,MATCH($A319&amp;J$1,JupData!$A$2:$A$10000&amp;JupData!$J$2:$J$10000,0),11))</f>
        <v/>
      </c>
      <c r="K319" t="str">
        <f t="array" ref="K319">IF($A319="","",INDEX(JupData!$A$2:$K$10000,MATCH($A319&amp;K$1,JupData!$A$2:$A$10000&amp;JupData!$J$2:$J$10000,0),11))</f>
        <v/>
      </c>
      <c r="L319" t="str">
        <f t="array" ref="L319">IF($A319="","",INDEX(JupData!$A$2:$K$10000,MATCH($A319&amp;L$1,JupData!$A$2:$A$10000&amp;JupData!$J$2:$J$10000,0),11))</f>
        <v/>
      </c>
      <c r="M319" t="str">
        <f t="array" ref="M319">IF($A319="","",INDEX(JupData!$A$2:$K$10000,MATCH($A319&amp;M$1,JupData!$A$2:$A$10000&amp;JupData!$J$2:$J$10000,0),11))</f>
        <v/>
      </c>
      <c r="N319" t="str">
        <f t="array" ref="N319">IF($A319="","",INDEX(JupData!$A$2:$K$10000,MATCH($A319&amp;N$1,JupData!$A$2:$A$10000&amp;JupData!$J$2:$J$10000,0),11))</f>
        <v/>
      </c>
      <c r="O319" t="str">
        <f t="array" ref="O319">IF($A319="","",INDEX(JupData!$A$2:$K$10000,MATCH($A319&amp;O$1,JupData!$A$2:$A$10000&amp;JupData!$J$2:$J$10000,0),11))</f>
        <v/>
      </c>
      <c r="P319" t="str">
        <f t="array" ref="P319">IF($A319="","",INDEX(JupData!$A$2:$K$10000,MATCH($A319&amp;P$1,JupData!$A$2:$A$10000&amp;JupData!$J$2:$J$10000,0),11))</f>
        <v/>
      </c>
      <c r="Q319" t="str">
        <f t="array" ref="Q319">IF($A319="","",INDEX(JupData!$A$2:$K$10000,MATCH($A319&amp;Q$1,JupData!$A$2:$A$10000&amp;JupData!$J$2:$J$10000,0),11))</f>
        <v/>
      </c>
      <c r="R319" t="str">
        <f t="array" ref="R319">IF($A319="","",INDEX(JupData!$A$2:$K$10000,MATCH($A319&amp;R$1,JupData!$A$2:$A$10000&amp;JupData!$J$2:$J$10000,0),11))</f>
        <v/>
      </c>
      <c r="S319" t="str">
        <f t="array" ref="S319">IF($A319="","",INDEX(JupData!$A$2:$K$10000,MATCH($A319&amp;S$1,JupData!$A$2:$A$10000&amp;JupData!$J$2:$J$10000,0),11))</f>
        <v/>
      </c>
      <c r="T319" t="str">
        <f t="array" ref="T319">IF($A319="","",INDEX(JupData!$A$2:$K$10000,MATCH($A319&amp;T$1,JupData!$A$2:$A$10000&amp;JupData!$J$2:$J$10000,0),11))</f>
        <v/>
      </c>
      <c r="U319" t="str">
        <f t="array" ref="U319">IF($A319="","",INDEX(JupData!$A$2:$K$10000,MATCH($A319&amp;U$1,JupData!$A$2:$A$10000&amp;JupData!$J$2:$J$10000,0),11))</f>
        <v/>
      </c>
      <c r="V319" t="str">
        <f t="array" ref="V319">IF($A319="","",INDEX(JupData!$A$2:$K$10000,MATCH($A319&amp;V$1,JupData!$A$2:$A$10000&amp;JupData!$J$2:$J$10000,0),11))</f>
        <v/>
      </c>
      <c r="W319" t="str">
        <f t="array" ref="W319">IF($A319="","",INDEX(JupData!$A$2:$K$10000,MATCH($A319&amp;W$1,JupData!$A$2:$A$10000&amp;JupData!$J$2:$J$10000,0),11))</f>
        <v/>
      </c>
      <c r="X319" t="str">
        <f t="array" ref="X319">IF($A319="","",INDEX(JupData!$A$2:$K$10000,MATCH($A319&amp;X$1,JupData!$A$2:$A$10000&amp;JupData!$J$2:$J$10000,0),11))</f>
        <v/>
      </c>
      <c r="Y319" t="str">
        <f t="array" ref="Y319">IF($A319="","",INDEX(JupData!$A$2:$K$10000,MATCH($A319&amp;Y$1,JupData!$A$2:$A$10000&amp;JupData!$J$2:$J$10000,0),11))</f>
        <v/>
      </c>
      <c r="Z319" t="str">
        <f t="array" ref="Z319">IF($A319="","",INDEX(JupData!$A$2:$K$10000,MATCH($A319&amp;Z$1,JupData!$A$2:$A$10000&amp;JupData!$J$2:$J$10000,0),11))</f>
        <v/>
      </c>
      <c r="AA319" t="str">
        <f t="array" ref="AA319">IF($A319="","",INDEX(JupData!$A$2:$K$10000,MATCH($A319&amp;AA$1,JupData!$A$2:$A$10000&amp;JupData!$J$2:$J$10000,0),11))</f>
        <v/>
      </c>
      <c r="AB319" t="str">
        <f t="array" ref="AB319">IF($A319="","",INDEX(JupData!$A$2:$K$10000,MATCH($A319&amp;AB$1,JupData!$A$2:$A$10000&amp;JupData!$J$2:$J$10000,0),11))</f>
        <v/>
      </c>
      <c r="AC319" s="10" t="str">
        <f t="shared" si="44"/>
        <v/>
      </c>
      <c r="AD319" s="10" t="str">
        <f t="shared" si="45"/>
        <v/>
      </c>
      <c r="AE319" s="9" t="str">
        <f t="shared" si="46"/>
        <v/>
      </c>
      <c r="AF319" s="10" t="str">
        <f t="shared" si="47"/>
        <v/>
      </c>
      <c r="AG319" s="10" t="str">
        <f t="shared" si="48"/>
        <v/>
      </c>
      <c r="AH319" s="10" t="str">
        <f t="shared" si="49"/>
        <v/>
      </c>
      <c r="AI319" s="10" t="str">
        <f t="shared" si="50"/>
        <v/>
      </c>
      <c r="AJ319" s="10" t="str">
        <f t="shared" si="51"/>
        <v/>
      </c>
      <c r="AK319" s="10" t="str">
        <f t="shared" si="52"/>
        <v/>
      </c>
      <c r="AL319" s="14" t="str">
        <f t="shared" si="53"/>
        <v/>
      </c>
    </row>
    <row r="320" spans="1:38" x14ac:dyDescent="0.2">
      <c r="A320"/>
      <c r="B320" t="str">
        <f>IF($A320="","",VLOOKUP($A320,JupData!$A$2:$I$10000,4,FALSE))</f>
        <v/>
      </c>
      <c r="C320" s="7" t="str">
        <f>IF($A320="",IF(N(D320),0,""),VLOOKUP($A320,JupData!$A$2:$I$10000,7,FALSE))</f>
        <v/>
      </c>
      <c r="D320" t="str">
        <f t="shared" si="54"/>
        <v/>
      </c>
      <c r="E320" t="str">
        <f t="array" ref="E320">IF($A320="","",INDEX(JupData!$A$2:$K$10000,MATCH($A320&amp;E$1,JupData!$A$2:$A$10000&amp;JupData!$J$2:$J$10000,0),11))</f>
        <v/>
      </c>
      <c r="F320" t="str">
        <f t="array" ref="F320">IF($A320="","",INDEX(JupData!$A$2:$K$10000,MATCH($A320&amp;F$1,JupData!$A$2:$A$10000&amp;JupData!$J$2:$J$10000,0),11))</f>
        <v/>
      </c>
      <c r="G320" t="str">
        <f t="array" ref="G320">IF($A320="","",INDEX(JupData!$A$2:$K$10000,MATCH($A320&amp;G$1,JupData!$A$2:$A$10000&amp;JupData!$J$2:$J$10000,0),11))</f>
        <v/>
      </c>
      <c r="H320" t="str">
        <f t="array" ref="H320">IF($A320="","",INDEX(JupData!$A$2:$K$10000,MATCH($A320&amp;H$1,JupData!$A$2:$A$10000&amp;JupData!$J$2:$J$10000,0),11))</f>
        <v/>
      </c>
      <c r="I320" t="str">
        <f t="array" ref="I320">IF($A320="","",INDEX(JupData!$A$2:$K$10000,MATCH($A320&amp;I$1,JupData!$A$2:$A$10000&amp;JupData!$J$2:$J$10000,0),11))</f>
        <v/>
      </c>
      <c r="J320" t="str">
        <f t="array" ref="J320">IF($A320="","",INDEX(JupData!$A$2:$K$10000,MATCH($A320&amp;J$1,JupData!$A$2:$A$10000&amp;JupData!$J$2:$J$10000,0),11))</f>
        <v/>
      </c>
      <c r="K320" t="str">
        <f t="array" ref="K320">IF($A320="","",INDEX(JupData!$A$2:$K$10000,MATCH($A320&amp;K$1,JupData!$A$2:$A$10000&amp;JupData!$J$2:$J$10000,0),11))</f>
        <v/>
      </c>
      <c r="L320" t="str">
        <f t="array" ref="L320">IF($A320="","",INDEX(JupData!$A$2:$K$10000,MATCH($A320&amp;L$1,JupData!$A$2:$A$10000&amp;JupData!$J$2:$J$10000,0),11))</f>
        <v/>
      </c>
      <c r="M320" t="str">
        <f t="array" ref="M320">IF($A320="","",INDEX(JupData!$A$2:$K$10000,MATCH($A320&amp;M$1,JupData!$A$2:$A$10000&amp;JupData!$J$2:$J$10000,0),11))</f>
        <v/>
      </c>
      <c r="N320" t="str">
        <f t="array" ref="N320">IF($A320="","",INDEX(JupData!$A$2:$K$10000,MATCH($A320&amp;N$1,JupData!$A$2:$A$10000&amp;JupData!$J$2:$J$10000,0),11))</f>
        <v/>
      </c>
      <c r="O320" t="str">
        <f t="array" ref="O320">IF($A320="","",INDEX(JupData!$A$2:$K$10000,MATCH($A320&amp;O$1,JupData!$A$2:$A$10000&amp;JupData!$J$2:$J$10000,0),11))</f>
        <v/>
      </c>
      <c r="P320" t="str">
        <f t="array" ref="P320">IF($A320="","",INDEX(JupData!$A$2:$K$10000,MATCH($A320&amp;P$1,JupData!$A$2:$A$10000&amp;JupData!$J$2:$J$10000,0),11))</f>
        <v/>
      </c>
      <c r="Q320" t="str">
        <f t="array" ref="Q320">IF($A320="","",INDEX(JupData!$A$2:$K$10000,MATCH($A320&amp;Q$1,JupData!$A$2:$A$10000&amp;JupData!$J$2:$J$10000,0),11))</f>
        <v/>
      </c>
      <c r="R320" t="str">
        <f t="array" ref="R320">IF($A320="","",INDEX(JupData!$A$2:$K$10000,MATCH($A320&amp;R$1,JupData!$A$2:$A$10000&amp;JupData!$J$2:$J$10000,0),11))</f>
        <v/>
      </c>
      <c r="S320" t="str">
        <f t="array" ref="S320">IF($A320="","",INDEX(JupData!$A$2:$K$10000,MATCH($A320&amp;S$1,JupData!$A$2:$A$10000&amp;JupData!$J$2:$J$10000,0),11))</f>
        <v/>
      </c>
      <c r="T320" t="str">
        <f t="array" ref="T320">IF($A320="","",INDEX(JupData!$A$2:$K$10000,MATCH($A320&amp;T$1,JupData!$A$2:$A$10000&amp;JupData!$J$2:$J$10000,0),11))</f>
        <v/>
      </c>
      <c r="U320" t="str">
        <f t="array" ref="U320">IF($A320="","",INDEX(JupData!$A$2:$K$10000,MATCH($A320&amp;U$1,JupData!$A$2:$A$10000&amp;JupData!$J$2:$J$10000,0),11))</f>
        <v/>
      </c>
      <c r="V320" t="str">
        <f t="array" ref="V320">IF($A320="","",INDEX(JupData!$A$2:$K$10000,MATCH($A320&amp;V$1,JupData!$A$2:$A$10000&amp;JupData!$J$2:$J$10000,0),11))</f>
        <v/>
      </c>
      <c r="W320" t="str">
        <f t="array" ref="W320">IF($A320="","",INDEX(JupData!$A$2:$K$10000,MATCH($A320&amp;W$1,JupData!$A$2:$A$10000&amp;JupData!$J$2:$J$10000,0),11))</f>
        <v/>
      </c>
      <c r="X320" t="str">
        <f t="array" ref="X320">IF($A320="","",INDEX(JupData!$A$2:$K$10000,MATCH($A320&amp;X$1,JupData!$A$2:$A$10000&amp;JupData!$J$2:$J$10000,0),11))</f>
        <v/>
      </c>
      <c r="Y320" t="str">
        <f t="array" ref="Y320">IF($A320="","",INDEX(JupData!$A$2:$K$10000,MATCH($A320&amp;Y$1,JupData!$A$2:$A$10000&amp;JupData!$J$2:$J$10000,0),11))</f>
        <v/>
      </c>
      <c r="Z320" t="str">
        <f t="array" ref="Z320">IF($A320="","",INDEX(JupData!$A$2:$K$10000,MATCH($A320&amp;Z$1,JupData!$A$2:$A$10000&amp;JupData!$J$2:$J$10000,0),11))</f>
        <v/>
      </c>
      <c r="AA320" t="str">
        <f t="array" ref="AA320">IF($A320="","",INDEX(JupData!$A$2:$K$10000,MATCH($A320&amp;AA$1,JupData!$A$2:$A$10000&amp;JupData!$J$2:$J$10000,0),11))</f>
        <v/>
      </c>
      <c r="AB320" t="str">
        <f t="array" ref="AB320">IF($A320="","",INDEX(JupData!$A$2:$K$10000,MATCH($A320&amp;AB$1,JupData!$A$2:$A$10000&amp;JupData!$J$2:$J$10000,0),11))</f>
        <v/>
      </c>
      <c r="AC320" s="10" t="str">
        <f t="shared" si="44"/>
        <v/>
      </c>
      <c r="AD320" s="10" t="str">
        <f t="shared" si="45"/>
        <v/>
      </c>
      <c r="AE320" s="9" t="str">
        <f t="shared" si="46"/>
        <v/>
      </c>
      <c r="AF320" s="10" t="str">
        <f t="shared" si="47"/>
        <v/>
      </c>
      <c r="AG320" s="10" t="str">
        <f t="shared" si="48"/>
        <v/>
      </c>
      <c r="AH320" s="10" t="str">
        <f t="shared" si="49"/>
        <v/>
      </c>
      <c r="AI320" s="10" t="str">
        <f t="shared" si="50"/>
        <v/>
      </c>
      <c r="AJ320" s="10" t="str">
        <f t="shared" si="51"/>
        <v/>
      </c>
      <c r="AK320" s="10" t="str">
        <f t="shared" si="52"/>
        <v/>
      </c>
      <c r="AL320" s="14" t="str">
        <f t="shared" si="53"/>
        <v/>
      </c>
    </row>
    <row r="321" spans="1:38" x14ac:dyDescent="0.2">
      <c r="A321"/>
      <c r="B321" t="str">
        <f>IF($A321="","",VLOOKUP($A321,JupData!$A$2:$I$10000,4,FALSE))</f>
        <v/>
      </c>
      <c r="C321" s="7" t="str">
        <f>IF($A321="",IF(N(D321),0,""),VLOOKUP($A321,JupData!$A$2:$I$10000,7,FALSE))</f>
        <v/>
      </c>
      <c r="D321" t="str">
        <f t="shared" si="54"/>
        <v/>
      </c>
      <c r="E321" t="str">
        <f t="array" ref="E321">IF($A321="","",INDEX(JupData!$A$2:$K$10000,MATCH($A321&amp;E$1,JupData!$A$2:$A$10000&amp;JupData!$J$2:$J$10000,0),11))</f>
        <v/>
      </c>
      <c r="F321" t="str">
        <f t="array" ref="F321">IF($A321="","",INDEX(JupData!$A$2:$K$10000,MATCH($A321&amp;F$1,JupData!$A$2:$A$10000&amp;JupData!$J$2:$J$10000,0),11))</f>
        <v/>
      </c>
      <c r="G321" t="str">
        <f t="array" ref="G321">IF($A321="","",INDEX(JupData!$A$2:$K$10000,MATCH($A321&amp;G$1,JupData!$A$2:$A$10000&amp;JupData!$J$2:$J$10000,0),11))</f>
        <v/>
      </c>
      <c r="H321" t="str">
        <f t="array" ref="H321">IF($A321="","",INDEX(JupData!$A$2:$K$10000,MATCH($A321&amp;H$1,JupData!$A$2:$A$10000&amp;JupData!$J$2:$J$10000,0),11))</f>
        <v/>
      </c>
      <c r="I321" t="str">
        <f t="array" ref="I321">IF($A321="","",INDEX(JupData!$A$2:$K$10000,MATCH($A321&amp;I$1,JupData!$A$2:$A$10000&amp;JupData!$J$2:$J$10000,0),11))</f>
        <v/>
      </c>
      <c r="J321" t="str">
        <f t="array" ref="J321">IF($A321="","",INDEX(JupData!$A$2:$K$10000,MATCH($A321&amp;J$1,JupData!$A$2:$A$10000&amp;JupData!$J$2:$J$10000,0),11))</f>
        <v/>
      </c>
      <c r="K321" t="str">
        <f t="array" ref="K321">IF($A321="","",INDEX(JupData!$A$2:$K$10000,MATCH($A321&amp;K$1,JupData!$A$2:$A$10000&amp;JupData!$J$2:$J$10000,0),11))</f>
        <v/>
      </c>
      <c r="L321" t="str">
        <f t="array" ref="L321">IF($A321="","",INDEX(JupData!$A$2:$K$10000,MATCH($A321&amp;L$1,JupData!$A$2:$A$10000&amp;JupData!$J$2:$J$10000,0),11))</f>
        <v/>
      </c>
      <c r="M321" t="str">
        <f t="array" ref="M321">IF($A321="","",INDEX(JupData!$A$2:$K$10000,MATCH($A321&amp;M$1,JupData!$A$2:$A$10000&amp;JupData!$J$2:$J$10000,0),11))</f>
        <v/>
      </c>
      <c r="N321" t="str">
        <f t="array" ref="N321">IF($A321="","",INDEX(JupData!$A$2:$K$10000,MATCH($A321&amp;N$1,JupData!$A$2:$A$10000&amp;JupData!$J$2:$J$10000,0),11))</f>
        <v/>
      </c>
      <c r="O321" t="str">
        <f t="array" ref="O321">IF($A321="","",INDEX(JupData!$A$2:$K$10000,MATCH($A321&amp;O$1,JupData!$A$2:$A$10000&amp;JupData!$J$2:$J$10000,0),11))</f>
        <v/>
      </c>
      <c r="P321" t="str">
        <f t="array" ref="P321">IF($A321="","",INDEX(JupData!$A$2:$K$10000,MATCH($A321&amp;P$1,JupData!$A$2:$A$10000&amp;JupData!$J$2:$J$10000,0),11))</f>
        <v/>
      </c>
      <c r="Q321" t="str">
        <f t="array" ref="Q321">IF($A321="","",INDEX(JupData!$A$2:$K$10000,MATCH($A321&amp;Q$1,JupData!$A$2:$A$10000&amp;JupData!$J$2:$J$10000,0),11))</f>
        <v/>
      </c>
      <c r="R321" t="str">
        <f t="array" ref="R321">IF($A321="","",INDEX(JupData!$A$2:$K$10000,MATCH($A321&amp;R$1,JupData!$A$2:$A$10000&amp;JupData!$J$2:$J$10000,0),11))</f>
        <v/>
      </c>
      <c r="S321" t="str">
        <f t="array" ref="S321">IF($A321="","",INDEX(JupData!$A$2:$K$10000,MATCH($A321&amp;S$1,JupData!$A$2:$A$10000&amp;JupData!$J$2:$J$10000,0),11))</f>
        <v/>
      </c>
      <c r="T321" t="str">
        <f t="array" ref="T321">IF($A321="","",INDEX(JupData!$A$2:$K$10000,MATCH($A321&amp;T$1,JupData!$A$2:$A$10000&amp;JupData!$J$2:$J$10000,0),11))</f>
        <v/>
      </c>
      <c r="U321" t="str">
        <f t="array" ref="U321">IF($A321="","",INDEX(JupData!$A$2:$K$10000,MATCH($A321&amp;U$1,JupData!$A$2:$A$10000&amp;JupData!$J$2:$J$10000,0),11))</f>
        <v/>
      </c>
      <c r="V321" t="str">
        <f t="array" ref="V321">IF($A321="","",INDEX(JupData!$A$2:$K$10000,MATCH($A321&amp;V$1,JupData!$A$2:$A$10000&amp;JupData!$J$2:$J$10000,0),11))</f>
        <v/>
      </c>
      <c r="W321" t="str">
        <f t="array" ref="W321">IF($A321="","",INDEX(JupData!$A$2:$K$10000,MATCH($A321&amp;W$1,JupData!$A$2:$A$10000&amp;JupData!$J$2:$J$10000,0),11))</f>
        <v/>
      </c>
      <c r="X321" t="str">
        <f t="array" ref="X321">IF($A321="","",INDEX(JupData!$A$2:$K$10000,MATCH($A321&amp;X$1,JupData!$A$2:$A$10000&amp;JupData!$J$2:$J$10000,0),11))</f>
        <v/>
      </c>
      <c r="Y321" t="str">
        <f t="array" ref="Y321">IF($A321="","",INDEX(JupData!$A$2:$K$10000,MATCH($A321&amp;Y$1,JupData!$A$2:$A$10000&amp;JupData!$J$2:$J$10000,0),11))</f>
        <v/>
      </c>
      <c r="Z321" t="str">
        <f t="array" ref="Z321">IF($A321="","",INDEX(JupData!$A$2:$K$10000,MATCH($A321&amp;Z$1,JupData!$A$2:$A$10000&amp;JupData!$J$2:$J$10000,0),11))</f>
        <v/>
      </c>
      <c r="AA321" t="str">
        <f t="array" ref="AA321">IF($A321="","",INDEX(JupData!$A$2:$K$10000,MATCH($A321&amp;AA$1,JupData!$A$2:$A$10000&amp;JupData!$J$2:$J$10000,0),11))</f>
        <v/>
      </c>
      <c r="AB321" t="str">
        <f t="array" ref="AB321">IF($A321="","",INDEX(JupData!$A$2:$K$10000,MATCH($A321&amp;AB$1,JupData!$A$2:$A$10000&amp;JupData!$J$2:$J$10000,0),11))</f>
        <v/>
      </c>
      <c r="AC321" s="10" t="str">
        <f t="shared" si="44"/>
        <v/>
      </c>
      <c r="AD321" s="10" t="str">
        <f t="shared" si="45"/>
        <v/>
      </c>
      <c r="AE321" s="9" t="str">
        <f t="shared" si="46"/>
        <v/>
      </c>
      <c r="AF321" s="10" t="str">
        <f t="shared" si="47"/>
        <v/>
      </c>
      <c r="AG321" s="10" t="str">
        <f t="shared" si="48"/>
        <v/>
      </c>
      <c r="AH321" s="10" t="str">
        <f t="shared" si="49"/>
        <v/>
      </c>
      <c r="AI321" s="10" t="str">
        <f t="shared" si="50"/>
        <v/>
      </c>
      <c r="AJ321" s="10" t="str">
        <f t="shared" si="51"/>
        <v/>
      </c>
      <c r="AK321" s="10" t="str">
        <f t="shared" si="52"/>
        <v/>
      </c>
      <c r="AL321" s="14" t="str">
        <f t="shared" si="53"/>
        <v/>
      </c>
    </row>
    <row r="322" spans="1:38" x14ac:dyDescent="0.2">
      <c r="A322"/>
      <c r="B322" t="str">
        <f>IF($A322="","",VLOOKUP($A322,JupData!$A$2:$I$10000,4,FALSE))</f>
        <v/>
      </c>
      <c r="C322" s="7" t="str">
        <f>IF($A322="",IF(N(D322),0,""),VLOOKUP($A322,JupData!$A$2:$I$10000,7,FALSE))</f>
        <v/>
      </c>
      <c r="D322" t="str">
        <f t="shared" si="54"/>
        <v/>
      </c>
      <c r="E322" t="str">
        <f t="array" ref="E322">IF($A322="","",INDEX(JupData!$A$2:$K$10000,MATCH($A322&amp;E$1,JupData!$A$2:$A$10000&amp;JupData!$J$2:$J$10000,0),11))</f>
        <v/>
      </c>
      <c r="F322" t="str">
        <f t="array" ref="F322">IF($A322="","",INDEX(JupData!$A$2:$K$10000,MATCH($A322&amp;F$1,JupData!$A$2:$A$10000&amp;JupData!$J$2:$J$10000,0),11))</f>
        <v/>
      </c>
      <c r="G322" t="str">
        <f t="array" ref="G322">IF($A322="","",INDEX(JupData!$A$2:$K$10000,MATCH($A322&amp;G$1,JupData!$A$2:$A$10000&amp;JupData!$J$2:$J$10000,0),11))</f>
        <v/>
      </c>
      <c r="H322" t="str">
        <f t="array" ref="H322">IF($A322="","",INDEX(JupData!$A$2:$K$10000,MATCH($A322&amp;H$1,JupData!$A$2:$A$10000&amp;JupData!$J$2:$J$10000,0),11))</f>
        <v/>
      </c>
      <c r="I322" t="str">
        <f t="array" ref="I322">IF($A322="","",INDEX(JupData!$A$2:$K$10000,MATCH($A322&amp;I$1,JupData!$A$2:$A$10000&amp;JupData!$J$2:$J$10000,0),11))</f>
        <v/>
      </c>
      <c r="J322" t="str">
        <f t="array" ref="J322">IF($A322="","",INDEX(JupData!$A$2:$K$10000,MATCH($A322&amp;J$1,JupData!$A$2:$A$10000&amp;JupData!$J$2:$J$10000,0),11))</f>
        <v/>
      </c>
      <c r="K322" t="str">
        <f t="array" ref="K322">IF($A322="","",INDEX(JupData!$A$2:$K$10000,MATCH($A322&amp;K$1,JupData!$A$2:$A$10000&amp;JupData!$J$2:$J$10000,0),11))</f>
        <v/>
      </c>
      <c r="L322" t="str">
        <f t="array" ref="L322">IF($A322="","",INDEX(JupData!$A$2:$K$10000,MATCH($A322&amp;L$1,JupData!$A$2:$A$10000&amp;JupData!$J$2:$J$10000,0),11))</f>
        <v/>
      </c>
      <c r="M322" t="str">
        <f t="array" ref="M322">IF($A322="","",INDEX(JupData!$A$2:$K$10000,MATCH($A322&amp;M$1,JupData!$A$2:$A$10000&amp;JupData!$J$2:$J$10000,0),11))</f>
        <v/>
      </c>
      <c r="N322" t="str">
        <f t="array" ref="N322">IF($A322="","",INDEX(JupData!$A$2:$K$10000,MATCH($A322&amp;N$1,JupData!$A$2:$A$10000&amp;JupData!$J$2:$J$10000,0),11))</f>
        <v/>
      </c>
      <c r="O322" t="str">
        <f t="array" ref="O322">IF($A322="","",INDEX(JupData!$A$2:$K$10000,MATCH($A322&amp;O$1,JupData!$A$2:$A$10000&amp;JupData!$J$2:$J$10000,0),11))</f>
        <v/>
      </c>
      <c r="P322" t="str">
        <f t="array" ref="P322">IF($A322="","",INDEX(JupData!$A$2:$K$10000,MATCH($A322&amp;P$1,JupData!$A$2:$A$10000&amp;JupData!$J$2:$J$10000,0),11))</f>
        <v/>
      </c>
      <c r="Q322" t="str">
        <f t="array" ref="Q322">IF($A322="","",INDEX(JupData!$A$2:$K$10000,MATCH($A322&amp;Q$1,JupData!$A$2:$A$10000&amp;JupData!$J$2:$J$10000,0),11))</f>
        <v/>
      </c>
      <c r="R322" t="str">
        <f t="array" ref="R322">IF($A322="","",INDEX(JupData!$A$2:$K$10000,MATCH($A322&amp;R$1,JupData!$A$2:$A$10000&amp;JupData!$J$2:$J$10000,0),11))</f>
        <v/>
      </c>
      <c r="S322" t="str">
        <f t="array" ref="S322">IF($A322="","",INDEX(JupData!$A$2:$K$10000,MATCH($A322&amp;S$1,JupData!$A$2:$A$10000&amp;JupData!$J$2:$J$10000,0),11))</f>
        <v/>
      </c>
      <c r="T322" t="str">
        <f t="array" ref="T322">IF($A322="","",INDEX(JupData!$A$2:$K$10000,MATCH($A322&amp;T$1,JupData!$A$2:$A$10000&amp;JupData!$J$2:$J$10000,0),11))</f>
        <v/>
      </c>
      <c r="U322" t="str">
        <f t="array" ref="U322">IF($A322="","",INDEX(JupData!$A$2:$K$10000,MATCH($A322&amp;U$1,JupData!$A$2:$A$10000&amp;JupData!$J$2:$J$10000,0),11))</f>
        <v/>
      </c>
      <c r="V322" t="str">
        <f t="array" ref="V322">IF($A322="","",INDEX(JupData!$A$2:$K$10000,MATCH($A322&amp;V$1,JupData!$A$2:$A$10000&amp;JupData!$J$2:$J$10000,0),11))</f>
        <v/>
      </c>
      <c r="W322" t="str">
        <f t="array" ref="W322">IF($A322="","",INDEX(JupData!$A$2:$K$10000,MATCH($A322&amp;W$1,JupData!$A$2:$A$10000&amp;JupData!$J$2:$J$10000,0),11))</f>
        <v/>
      </c>
      <c r="X322" t="str">
        <f t="array" ref="X322">IF($A322="","",INDEX(JupData!$A$2:$K$10000,MATCH($A322&amp;X$1,JupData!$A$2:$A$10000&amp;JupData!$J$2:$J$10000,0),11))</f>
        <v/>
      </c>
      <c r="Y322" t="str">
        <f t="array" ref="Y322">IF($A322="","",INDEX(JupData!$A$2:$K$10000,MATCH($A322&amp;Y$1,JupData!$A$2:$A$10000&amp;JupData!$J$2:$J$10000,0),11))</f>
        <v/>
      </c>
      <c r="Z322" t="str">
        <f t="array" ref="Z322">IF($A322="","",INDEX(JupData!$A$2:$K$10000,MATCH($A322&amp;Z$1,JupData!$A$2:$A$10000&amp;JupData!$J$2:$J$10000,0),11))</f>
        <v/>
      </c>
      <c r="AA322" t="str">
        <f t="array" ref="AA322">IF($A322="","",INDEX(JupData!$A$2:$K$10000,MATCH($A322&amp;AA$1,JupData!$A$2:$A$10000&amp;JupData!$J$2:$J$10000,0),11))</f>
        <v/>
      </c>
      <c r="AB322" t="str">
        <f t="array" ref="AB322">IF($A322="","",INDEX(JupData!$A$2:$K$10000,MATCH($A322&amp;AB$1,JupData!$A$2:$A$10000&amp;JupData!$J$2:$J$10000,0),11))</f>
        <v/>
      </c>
      <c r="AC322" s="10" t="str">
        <f t="shared" si="44"/>
        <v/>
      </c>
      <c r="AD322" s="10" t="str">
        <f t="shared" si="45"/>
        <v/>
      </c>
      <c r="AE322" s="9" t="str">
        <f t="shared" si="46"/>
        <v/>
      </c>
      <c r="AF322" s="10" t="str">
        <f t="shared" si="47"/>
        <v/>
      </c>
      <c r="AG322" s="10" t="str">
        <f t="shared" si="48"/>
        <v/>
      </c>
      <c r="AH322" s="10" t="str">
        <f t="shared" si="49"/>
        <v/>
      </c>
      <c r="AI322" s="10" t="str">
        <f t="shared" si="50"/>
        <v/>
      </c>
      <c r="AJ322" s="10" t="str">
        <f t="shared" si="51"/>
        <v/>
      </c>
      <c r="AK322" s="10" t="str">
        <f t="shared" si="52"/>
        <v/>
      </c>
      <c r="AL322" s="14" t="str">
        <f t="shared" si="53"/>
        <v/>
      </c>
    </row>
    <row r="323" spans="1:38" x14ac:dyDescent="0.2">
      <c r="A323"/>
      <c r="B323" t="str">
        <f>IF($A323="","",VLOOKUP($A323,JupData!$A$2:$I$10000,4,FALSE))</f>
        <v/>
      </c>
      <c r="C323" s="7" t="str">
        <f>IF($A323="",IF(N(D323),0,""),VLOOKUP($A323,JupData!$A$2:$I$10000,7,FALSE))</f>
        <v/>
      </c>
      <c r="D323" t="str">
        <f t="shared" si="54"/>
        <v/>
      </c>
      <c r="E323" t="str">
        <f t="array" ref="E323">IF($A323="","",INDEX(JupData!$A$2:$K$10000,MATCH($A323&amp;E$1,JupData!$A$2:$A$10000&amp;JupData!$J$2:$J$10000,0),11))</f>
        <v/>
      </c>
      <c r="F323" t="str">
        <f t="array" ref="F323">IF($A323="","",INDEX(JupData!$A$2:$K$10000,MATCH($A323&amp;F$1,JupData!$A$2:$A$10000&amp;JupData!$J$2:$J$10000,0),11))</f>
        <v/>
      </c>
      <c r="G323" t="str">
        <f t="array" ref="G323">IF($A323="","",INDEX(JupData!$A$2:$K$10000,MATCH($A323&amp;G$1,JupData!$A$2:$A$10000&amp;JupData!$J$2:$J$10000,0),11))</f>
        <v/>
      </c>
      <c r="H323" t="str">
        <f t="array" ref="H323">IF($A323="","",INDEX(JupData!$A$2:$K$10000,MATCH($A323&amp;H$1,JupData!$A$2:$A$10000&amp;JupData!$J$2:$J$10000,0),11))</f>
        <v/>
      </c>
      <c r="I323" t="str">
        <f t="array" ref="I323">IF($A323="","",INDEX(JupData!$A$2:$K$10000,MATCH($A323&amp;I$1,JupData!$A$2:$A$10000&amp;JupData!$J$2:$J$10000,0),11))</f>
        <v/>
      </c>
      <c r="J323" t="str">
        <f t="array" ref="J323">IF($A323="","",INDEX(JupData!$A$2:$K$10000,MATCH($A323&amp;J$1,JupData!$A$2:$A$10000&amp;JupData!$J$2:$J$10000,0),11))</f>
        <v/>
      </c>
      <c r="K323" t="str">
        <f t="array" ref="K323">IF($A323="","",INDEX(JupData!$A$2:$K$10000,MATCH($A323&amp;K$1,JupData!$A$2:$A$10000&amp;JupData!$J$2:$J$10000,0),11))</f>
        <v/>
      </c>
      <c r="L323" t="str">
        <f t="array" ref="L323">IF($A323="","",INDEX(JupData!$A$2:$K$10000,MATCH($A323&amp;L$1,JupData!$A$2:$A$10000&amp;JupData!$J$2:$J$10000,0),11))</f>
        <v/>
      </c>
      <c r="M323" t="str">
        <f t="array" ref="M323">IF($A323="","",INDEX(JupData!$A$2:$K$10000,MATCH($A323&amp;M$1,JupData!$A$2:$A$10000&amp;JupData!$J$2:$J$10000,0),11))</f>
        <v/>
      </c>
      <c r="N323" t="str">
        <f t="array" ref="N323">IF($A323="","",INDEX(JupData!$A$2:$K$10000,MATCH($A323&amp;N$1,JupData!$A$2:$A$10000&amp;JupData!$J$2:$J$10000,0),11))</f>
        <v/>
      </c>
      <c r="O323" t="str">
        <f t="array" ref="O323">IF($A323="","",INDEX(JupData!$A$2:$K$10000,MATCH($A323&amp;O$1,JupData!$A$2:$A$10000&amp;JupData!$J$2:$J$10000,0),11))</f>
        <v/>
      </c>
      <c r="P323" t="str">
        <f t="array" ref="P323">IF($A323="","",INDEX(JupData!$A$2:$K$10000,MATCH($A323&amp;P$1,JupData!$A$2:$A$10000&amp;JupData!$J$2:$J$10000,0),11))</f>
        <v/>
      </c>
      <c r="Q323" t="str">
        <f t="array" ref="Q323">IF($A323="","",INDEX(JupData!$A$2:$K$10000,MATCH($A323&amp;Q$1,JupData!$A$2:$A$10000&amp;JupData!$J$2:$J$10000,0),11))</f>
        <v/>
      </c>
      <c r="R323" t="str">
        <f t="array" ref="R323">IF($A323="","",INDEX(JupData!$A$2:$K$10000,MATCH($A323&amp;R$1,JupData!$A$2:$A$10000&amp;JupData!$J$2:$J$10000,0),11))</f>
        <v/>
      </c>
      <c r="S323" t="str">
        <f t="array" ref="S323">IF($A323="","",INDEX(JupData!$A$2:$K$10000,MATCH($A323&amp;S$1,JupData!$A$2:$A$10000&amp;JupData!$J$2:$J$10000,0),11))</f>
        <v/>
      </c>
      <c r="T323" t="str">
        <f t="array" ref="T323">IF($A323="","",INDEX(JupData!$A$2:$K$10000,MATCH($A323&amp;T$1,JupData!$A$2:$A$10000&amp;JupData!$J$2:$J$10000,0),11))</f>
        <v/>
      </c>
      <c r="U323" t="str">
        <f t="array" ref="U323">IF($A323="","",INDEX(JupData!$A$2:$K$10000,MATCH($A323&amp;U$1,JupData!$A$2:$A$10000&amp;JupData!$J$2:$J$10000,0),11))</f>
        <v/>
      </c>
      <c r="V323" t="str">
        <f t="array" ref="V323">IF($A323="","",INDEX(JupData!$A$2:$K$10000,MATCH($A323&amp;V$1,JupData!$A$2:$A$10000&amp;JupData!$J$2:$J$10000,0),11))</f>
        <v/>
      </c>
      <c r="W323" t="str">
        <f t="array" ref="W323">IF($A323="","",INDEX(JupData!$A$2:$K$10000,MATCH($A323&amp;W$1,JupData!$A$2:$A$10000&amp;JupData!$J$2:$J$10000,0),11))</f>
        <v/>
      </c>
      <c r="X323" t="str">
        <f t="array" ref="X323">IF($A323="","",INDEX(JupData!$A$2:$K$10000,MATCH($A323&amp;X$1,JupData!$A$2:$A$10000&amp;JupData!$J$2:$J$10000,0),11))</f>
        <v/>
      </c>
      <c r="Y323" t="str">
        <f t="array" ref="Y323">IF($A323="","",INDEX(JupData!$A$2:$K$10000,MATCH($A323&amp;Y$1,JupData!$A$2:$A$10000&amp;JupData!$J$2:$J$10000,0),11))</f>
        <v/>
      </c>
      <c r="Z323" t="str">
        <f t="array" ref="Z323">IF($A323="","",INDEX(JupData!$A$2:$K$10000,MATCH($A323&amp;Z$1,JupData!$A$2:$A$10000&amp;JupData!$J$2:$J$10000,0),11))</f>
        <v/>
      </c>
      <c r="AA323" t="str">
        <f t="array" ref="AA323">IF($A323="","",INDEX(JupData!$A$2:$K$10000,MATCH($A323&amp;AA$1,JupData!$A$2:$A$10000&amp;JupData!$J$2:$J$10000,0),11))</f>
        <v/>
      </c>
      <c r="AB323" t="str">
        <f t="array" ref="AB323">IF($A323="","",INDEX(JupData!$A$2:$K$10000,MATCH($A323&amp;AB$1,JupData!$A$2:$A$10000&amp;JupData!$J$2:$J$10000,0),11))</f>
        <v/>
      </c>
      <c r="AC323" s="10" t="str">
        <f t="shared" ref="AC323:AC386" si="55">IF(A323="","",2*H323/40.08+2*I323/24.3+J323/22.99+K323/39.1+Y323/18.04)</f>
        <v/>
      </c>
      <c r="AD323" s="10" t="str">
        <f t="shared" ref="AD323:AD386" si="56">IF(A323="","",R323/61.02+2*S323/96.06+T323/35.45+U323/19+W323/62)</f>
        <v/>
      </c>
      <c r="AE323" s="9" t="str">
        <f t="shared" ref="AE323:AE386" si="57">IF(A323="","",IF(AD323&lt;0,((AC323+AD323)/(AC323-AD323)),((AC323-AD323)/(AC323+AD323))))</f>
        <v/>
      </c>
      <c r="AF323" s="10" t="str">
        <f t="shared" ref="AF323:AF386" si="58">IF(A323="","",(J323/22.99)/(T323/35.45))</f>
        <v/>
      </c>
      <c r="AG323" s="10" t="str">
        <f t="shared" ref="AG323:AG386" si="59">IF(A323="","",2*((H323/40.08)+(I323/24.3))/(R323/61.02))</f>
        <v/>
      </c>
      <c r="AH323" s="10" t="str">
        <f t="shared" ref="AH323:AH386" si="60">IF(A323="","",(J323/22.99)/((J323/22.99)+2*(H323/40.08)))</f>
        <v/>
      </c>
      <c r="AI323" s="10" t="str">
        <f t="shared" ref="AI323:AI386" si="61">IF(A323="","",H323/40.08)</f>
        <v/>
      </c>
      <c r="AJ323" s="10" t="str">
        <f t="shared" ref="AJ323:AJ386" si="62">IF(A323="","",S323/96.06)</f>
        <v/>
      </c>
      <c r="AK323" s="10" t="str">
        <f t="shared" ref="AK323:AK386" si="63">IF(A323="","",IF(W323&gt;=1,IF(L323&lt;0.2,IF(G323&gt;1,"A","B"),"X1"),IF(L323&gt;=0.2,IF(S323&gt;=20,IF(S323&gt;70,"C2","C1"),IF(AG323&lt;=1,"D","X3")),"X2")))</f>
        <v/>
      </c>
      <c r="AL323" s="14" t="str">
        <f t="shared" ref="AL323:AL386" si="64">IF(F323="","",(H323/40.1+I323/24.3)*5.6)</f>
        <v/>
      </c>
    </row>
    <row r="324" spans="1:38" x14ac:dyDescent="0.2">
      <c r="A324"/>
      <c r="B324" t="str">
        <f>IF($A324="","",VLOOKUP($A324,JupData!$A$2:$I$10000,4,FALSE))</f>
        <v/>
      </c>
      <c r="C324" s="7" t="str">
        <f>IF($A324="",IF(N(D324),0,""),VLOOKUP($A324,JupData!$A$2:$I$10000,7,FALSE))</f>
        <v/>
      </c>
      <c r="D324" t="str">
        <f t="shared" ref="D324:D387" si="65">IF(A324="",IF(D323&lt;20,D323+1,""),IF(B323="",1,IF(B323=B324,D323,D323+1)))</f>
        <v/>
      </c>
      <c r="E324" t="str">
        <f t="array" ref="E324">IF($A324="","",INDEX(JupData!$A$2:$K$10000,MATCH($A324&amp;E$1,JupData!$A$2:$A$10000&amp;JupData!$J$2:$J$10000,0),11))</f>
        <v/>
      </c>
      <c r="F324" t="str">
        <f t="array" ref="F324">IF($A324="","",INDEX(JupData!$A$2:$K$10000,MATCH($A324&amp;F$1,JupData!$A$2:$A$10000&amp;JupData!$J$2:$J$10000,0),11))</f>
        <v/>
      </c>
      <c r="G324" t="str">
        <f t="array" ref="G324">IF($A324="","",INDEX(JupData!$A$2:$K$10000,MATCH($A324&amp;G$1,JupData!$A$2:$A$10000&amp;JupData!$J$2:$J$10000,0),11))</f>
        <v/>
      </c>
      <c r="H324" t="str">
        <f t="array" ref="H324">IF($A324="","",INDEX(JupData!$A$2:$K$10000,MATCH($A324&amp;H$1,JupData!$A$2:$A$10000&amp;JupData!$J$2:$J$10000,0),11))</f>
        <v/>
      </c>
      <c r="I324" t="str">
        <f t="array" ref="I324">IF($A324="","",INDEX(JupData!$A$2:$K$10000,MATCH($A324&amp;I$1,JupData!$A$2:$A$10000&amp;JupData!$J$2:$J$10000,0),11))</f>
        <v/>
      </c>
      <c r="J324" t="str">
        <f t="array" ref="J324">IF($A324="","",INDEX(JupData!$A$2:$K$10000,MATCH($A324&amp;J$1,JupData!$A$2:$A$10000&amp;JupData!$J$2:$J$10000,0),11))</f>
        <v/>
      </c>
      <c r="K324" t="str">
        <f t="array" ref="K324">IF($A324="","",INDEX(JupData!$A$2:$K$10000,MATCH($A324&amp;K$1,JupData!$A$2:$A$10000&amp;JupData!$J$2:$J$10000,0),11))</f>
        <v/>
      </c>
      <c r="L324" t="str">
        <f t="array" ref="L324">IF($A324="","",INDEX(JupData!$A$2:$K$10000,MATCH($A324&amp;L$1,JupData!$A$2:$A$10000&amp;JupData!$J$2:$J$10000,0),11))</f>
        <v/>
      </c>
      <c r="M324" t="str">
        <f t="array" ref="M324">IF($A324="","",INDEX(JupData!$A$2:$K$10000,MATCH($A324&amp;M$1,JupData!$A$2:$A$10000&amp;JupData!$J$2:$J$10000,0),11))</f>
        <v/>
      </c>
      <c r="N324" t="str">
        <f t="array" ref="N324">IF($A324="","",INDEX(JupData!$A$2:$K$10000,MATCH($A324&amp;N$1,JupData!$A$2:$A$10000&amp;JupData!$J$2:$J$10000,0),11))</f>
        <v/>
      </c>
      <c r="O324" t="str">
        <f t="array" ref="O324">IF($A324="","",INDEX(JupData!$A$2:$K$10000,MATCH($A324&amp;O$1,JupData!$A$2:$A$10000&amp;JupData!$J$2:$J$10000,0),11))</f>
        <v/>
      </c>
      <c r="P324" t="str">
        <f t="array" ref="P324">IF($A324="","",INDEX(JupData!$A$2:$K$10000,MATCH($A324&amp;P$1,JupData!$A$2:$A$10000&amp;JupData!$J$2:$J$10000,0),11))</f>
        <v/>
      </c>
      <c r="Q324" t="str">
        <f t="array" ref="Q324">IF($A324="","",INDEX(JupData!$A$2:$K$10000,MATCH($A324&amp;Q$1,JupData!$A$2:$A$10000&amp;JupData!$J$2:$J$10000,0),11))</f>
        <v/>
      </c>
      <c r="R324" t="str">
        <f t="array" ref="R324">IF($A324="","",INDEX(JupData!$A$2:$K$10000,MATCH($A324&amp;R$1,JupData!$A$2:$A$10000&amp;JupData!$J$2:$J$10000,0),11))</f>
        <v/>
      </c>
      <c r="S324" t="str">
        <f t="array" ref="S324">IF($A324="","",INDEX(JupData!$A$2:$K$10000,MATCH($A324&amp;S$1,JupData!$A$2:$A$10000&amp;JupData!$J$2:$J$10000,0),11))</f>
        <v/>
      </c>
      <c r="T324" t="str">
        <f t="array" ref="T324">IF($A324="","",INDEX(JupData!$A$2:$K$10000,MATCH($A324&amp;T$1,JupData!$A$2:$A$10000&amp;JupData!$J$2:$J$10000,0),11))</f>
        <v/>
      </c>
      <c r="U324" t="str">
        <f t="array" ref="U324">IF($A324="","",INDEX(JupData!$A$2:$K$10000,MATCH($A324&amp;U$1,JupData!$A$2:$A$10000&amp;JupData!$J$2:$J$10000,0),11))</f>
        <v/>
      </c>
      <c r="V324" t="str">
        <f t="array" ref="V324">IF($A324="","",INDEX(JupData!$A$2:$K$10000,MATCH($A324&amp;V$1,JupData!$A$2:$A$10000&amp;JupData!$J$2:$J$10000,0),11))</f>
        <v/>
      </c>
      <c r="W324" t="str">
        <f t="array" ref="W324">IF($A324="","",INDEX(JupData!$A$2:$K$10000,MATCH($A324&amp;W$1,JupData!$A$2:$A$10000&amp;JupData!$J$2:$J$10000,0),11))</f>
        <v/>
      </c>
      <c r="X324" t="str">
        <f t="array" ref="X324">IF($A324="","",INDEX(JupData!$A$2:$K$10000,MATCH($A324&amp;X$1,JupData!$A$2:$A$10000&amp;JupData!$J$2:$J$10000,0),11))</f>
        <v/>
      </c>
      <c r="Y324" t="str">
        <f t="array" ref="Y324">IF($A324="","",INDEX(JupData!$A$2:$K$10000,MATCH($A324&amp;Y$1,JupData!$A$2:$A$10000&amp;JupData!$J$2:$J$10000,0),11))</f>
        <v/>
      </c>
      <c r="Z324" t="str">
        <f t="array" ref="Z324">IF($A324="","",INDEX(JupData!$A$2:$K$10000,MATCH($A324&amp;Z$1,JupData!$A$2:$A$10000&amp;JupData!$J$2:$J$10000,0),11))</f>
        <v/>
      </c>
      <c r="AA324" t="str">
        <f t="array" ref="AA324">IF($A324="","",INDEX(JupData!$A$2:$K$10000,MATCH($A324&amp;AA$1,JupData!$A$2:$A$10000&amp;JupData!$J$2:$J$10000,0),11))</f>
        <v/>
      </c>
      <c r="AB324" t="str">
        <f t="array" ref="AB324">IF($A324="","",INDEX(JupData!$A$2:$K$10000,MATCH($A324&amp;AB$1,JupData!$A$2:$A$10000&amp;JupData!$J$2:$J$10000,0),11))</f>
        <v/>
      </c>
      <c r="AC324" s="10" t="str">
        <f t="shared" si="55"/>
        <v/>
      </c>
      <c r="AD324" s="10" t="str">
        <f t="shared" si="56"/>
        <v/>
      </c>
      <c r="AE324" s="9" t="str">
        <f t="shared" si="57"/>
        <v/>
      </c>
      <c r="AF324" s="10" t="str">
        <f t="shared" si="58"/>
        <v/>
      </c>
      <c r="AG324" s="10" t="str">
        <f t="shared" si="59"/>
        <v/>
      </c>
      <c r="AH324" s="10" t="str">
        <f t="shared" si="60"/>
        <v/>
      </c>
      <c r="AI324" s="10" t="str">
        <f t="shared" si="61"/>
        <v/>
      </c>
      <c r="AJ324" s="10" t="str">
        <f t="shared" si="62"/>
        <v/>
      </c>
      <c r="AK324" s="10" t="str">
        <f t="shared" si="63"/>
        <v/>
      </c>
      <c r="AL324" s="14" t="str">
        <f t="shared" si="64"/>
        <v/>
      </c>
    </row>
    <row r="325" spans="1:38" x14ac:dyDescent="0.2">
      <c r="A325"/>
      <c r="B325" t="str">
        <f>IF($A325="","",VLOOKUP($A325,JupData!$A$2:$I$10000,4,FALSE))</f>
        <v/>
      </c>
      <c r="C325" s="7" t="str">
        <f>IF($A325="",IF(N(D325),0,""),VLOOKUP($A325,JupData!$A$2:$I$10000,7,FALSE))</f>
        <v/>
      </c>
      <c r="D325" t="str">
        <f t="shared" si="65"/>
        <v/>
      </c>
      <c r="E325" t="str">
        <f t="array" ref="E325">IF($A325="","",INDEX(JupData!$A$2:$K$10000,MATCH($A325&amp;E$1,JupData!$A$2:$A$10000&amp;JupData!$J$2:$J$10000,0),11))</f>
        <v/>
      </c>
      <c r="F325" t="str">
        <f t="array" ref="F325">IF($A325="","",INDEX(JupData!$A$2:$K$10000,MATCH($A325&amp;F$1,JupData!$A$2:$A$10000&amp;JupData!$J$2:$J$10000,0),11))</f>
        <v/>
      </c>
      <c r="G325" t="str">
        <f t="array" ref="G325">IF($A325="","",INDEX(JupData!$A$2:$K$10000,MATCH($A325&amp;G$1,JupData!$A$2:$A$10000&amp;JupData!$J$2:$J$10000,0),11))</f>
        <v/>
      </c>
      <c r="H325" t="str">
        <f t="array" ref="H325">IF($A325="","",INDEX(JupData!$A$2:$K$10000,MATCH($A325&amp;H$1,JupData!$A$2:$A$10000&amp;JupData!$J$2:$J$10000,0),11))</f>
        <v/>
      </c>
      <c r="I325" t="str">
        <f t="array" ref="I325">IF($A325="","",INDEX(JupData!$A$2:$K$10000,MATCH($A325&amp;I$1,JupData!$A$2:$A$10000&amp;JupData!$J$2:$J$10000,0),11))</f>
        <v/>
      </c>
      <c r="J325" t="str">
        <f t="array" ref="J325">IF($A325="","",INDEX(JupData!$A$2:$K$10000,MATCH($A325&amp;J$1,JupData!$A$2:$A$10000&amp;JupData!$J$2:$J$10000,0),11))</f>
        <v/>
      </c>
      <c r="K325" t="str">
        <f t="array" ref="K325">IF($A325="","",INDEX(JupData!$A$2:$K$10000,MATCH($A325&amp;K$1,JupData!$A$2:$A$10000&amp;JupData!$J$2:$J$10000,0),11))</f>
        <v/>
      </c>
      <c r="L325" t="str">
        <f t="array" ref="L325">IF($A325="","",INDEX(JupData!$A$2:$K$10000,MATCH($A325&amp;L$1,JupData!$A$2:$A$10000&amp;JupData!$J$2:$J$10000,0),11))</f>
        <v/>
      </c>
      <c r="M325" t="str">
        <f t="array" ref="M325">IF($A325="","",INDEX(JupData!$A$2:$K$10000,MATCH($A325&amp;M$1,JupData!$A$2:$A$10000&amp;JupData!$J$2:$J$10000,0),11))</f>
        <v/>
      </c>
      <c r="N325" t="str">
        <f t="array" ref="N325">IF($A325="","",INDEX(JupData!$A$2:$K$10000,MATCH($A325&amp;N$1,JupData!$A$2:$A$10000&amp;JupData!$J$2:$J$10000,0),11))</f>
        <v/>
      </c>
      <c r="O325" t="str">
        <f t="array" ref="O325">IF($A325="","",INDEX(JupData!$A$2:$K$10000,MATCH($A325&amp;O$1,JupData!$A$2:$A$10000&amp;JupData!$J$2:$J$10000,0),11))</f>
        <v/>
      </c>
      <c r="P325" t="str">
        <f t="array" ref="P325">IF($A325="","",INDEX(JupData!$A$2:$K$10000,MATCH($A325&amp;P$1,JupData!$A$2:$A$10000&amp;JupData!$J$2:$J$10000,0),11))</f>
        <v/>
      </c>
      <c r="Q325" t="str">
        <f t="array" ref="Q325">IF($A325="","",INDEX(JupData!$A$2:$K$10000,MATCH($A325&amp;Q$1,JupData!$A$2:$A$10000&amp;JupData!$J$2:$J$10000,0),11))</f>
        <v/>
      </c>
      <c r="R325" t="str">
        <f t="array" ref="R325">IF($A325="","",INDEX(JupData!$A$2:$K$10000,MATCH($A325&amp;R$1,JupData!$A$2:$A$10000&amp;JupData!$J$2:$J$10000,0),11))</f>
        <v/>
      </c>
      <c r="S325" t="str">
        <f t="array" ref="S325">IF($A325="","",INDEX(JupData!$A$2:$K$10000,MATCH($A325&amp;S$1,JupData!$A$2:$A$10000&amp;JupData!$J$2:$J$10000,0),11))</f>
        <v/>
      </c>
      <c r="T325" t="str">
        <f t="array" ref="T325">IF($A325="","",INDEX(JupData!$A$2:$K$10000,MATCH($A325&amp;T$1,JupData!$A$2:$A$10000&amp;JupData!$J$2:$J$10000,0),11))</f>
        <v/>
      </c>
      <c r="U325" t="str">
        <f t="array" ref="U325">IF($A325="","",INDEX(JupData!$A$2:$K$10000,MATCH($A325&amp;U$1,JupData!$A$2:$A$10000&amp;JupData!$J$2:$J$10000,0),11))</f>
        <v/>
      </c>
      <c r="V325" t="str">
        <f t="array" ref="V325">IF($A325="","",INDEX(JupData!$A$2:$K$10000,MATCH($A325&amp;V$1,JupData!$A$2:$A$10000&amp;JupData!$J$2:$J$10000,0),11))</f>
        <v/>
      </c>
      <c r="W325" t="str">
        <f t="array" ref="W325">IF($A325="","",INDEX(JupData!$A$2:$K$10000,MATCH($A325&amp;W$1,JupData!$A$2:$A$10000&amp;JupData!$J$2:$J$10000,0),11))</f>
        <v/>
      </c>
      <c r="X325" t="str">
        <f t="array" ref="X325">IF($A325="","",INDEX(JupData!$A$2:$K$10000,MATCH($A325&amp;X$1,JupData!$A$2:$A$10000&amp;JupData!$J$2:$J$10000,0),11))</f>
        <v/>
      </c>
      <c r="Y325" t="str">
        <f t="array" ref="Y325">IF($A325="","",INDEX(JupData!$A$2:$K$10000,MATCH($A325&amp;Y$1,JupData!$A$2:$A$10000&amp;JupData!$J$2:$J$10000,0),11))</f>
        <v/>
      </c>
      <c r="Z325" t="str">
        <f t="array" ref="Z325">IF($A325="","",INDEX(JupData!$A$2:$K$10000,MATCH($A325&amp;Z$1,JupData!$A$2:$A$10000&amp;JupData!$J$2:$J$10000,0),11))</f>
        <v/>
      </c>
      <c r="AA325" t="str">
        <f t="array" ref="AA325">IF($A325="","",INDEX(JupData!$A$2:$K$10000,MATCH($A325&amp;AA$1,JupData!$A$2:$A$10000&amp;JupData!$J$2:$J$10000,0),11))</f>
        <v/>
      </c>
      <c r="AB325" t="str">
        <f t="array" ref="AB325">IF($A325="","",INDEX(JupData!$A$2:$K$10000,MATCH($A325&amp;AB$1,JupData!$A$2:$A$10000&amp;JupData!$J$2:$J$10000,0),11))</f>
        <v/>
      </c>
      <c r="AC325" s="10" t="str">
        <f t="shared" si="55"/>
        <v/>
      </c>
      <c r="AD325" s="10" t="str">
        <f t="shared" si="56"/>
        <v/>
      </c>
      <c r="AE325" s="9" t="str">
        <f t="shared" si="57"/>
        <v/>
      </c>
      <c r="AF325" s="10" t="str">
        <f t="shared" si="58"/>
        <v/>
      </c>
      <c r="AG325" s="10" t="str">
        <f t="shared" si="59"/>
        <v/>
      </c>
      <c r="AH325" s="10" t="str">
        <f t="shared" si="60"/>
        <v/>
      </c>
      <c r="AI325" s="10" t="str">
        <f t="shared" si="61"/>
        <v/>
      </c>
      <c r="AJ325" s="10" t="str">
        <f t="shared" si="62"/>
        <v/>
      </c>
      <c r="AK325" s="10" t="str">
        <f t="shared" si="63"/>
        <v/>
      </c>
      <c r="AL325" s="14" t="str">
        <f t="shared" si="64"/>
        <v/>
      </c>
    </row>
    <row r="326" spans="1:38" x14ac:dyDescent="0.2">
      <c r="A326"/>
      <c r="B326" t="str">
        <f>IF($A326="","",VLOOKUP($A326,JupData!$A$2:$I$10000,4,FALSE))</f>
        <v/>
      </c>
      <c r="C326" s="7" t="str">
        <f>IF($A326="",IF(N(D326),0,""),VLOOKUP($A326,JupData!$A$2:$I$10000,7,FALSE))</f>
        <v/>
      </c>
      <c r="D326" t="str">
        <f t="shared" si="65"/>
        <v/>
      </c>
      <c r="E326" t="str">
        <f t="array" ref="E326">IF($A326="","",INDEX(JupData!$A$2:$K$10000,MATCH($A326&amp;E$1,JupData!$A$2:$A$10000&amp;JupData!$J$2:$J$10000,0),11))</f>
        <v/>
      </c>
      <c r="F326" t="str">
        <f t="array" ref="F326">IF($A326="","",INDEX(JupData!$A$2:$K$10000,MATCH($A326&amp;F$1,JupData!$A$2:$A$10000&amp;JupData!$J$2:$J$10000,0),11))</f>
        <v/>
      </c>
      <c r="G326" t="str">
        <f t="array" ref="G326">IF($A326="","",INDEX(JupData!$A$2:$K$10000,MATCH($A326&amp;G$1,JupData!$A$2:$A$10000&amp;JupData!$J$2:$J$10000,0),11))</f>
        <v/>
      </c>
      <c r="H326" t="str">
        <f t="array" ref="H326">IF($A326="","",INDEX(JupData!$A$2:$K$10000,MATCH($A326&amp;H$1,JupData!$A$2:$A$10000&amp;JupData!$J$2:$J$10000,0),11))</f>
        <v/>
      </c>
      <c r="I326" t="str">
        <f t="array" ref="I326">IF($A326="","",INDEX(JupData!$A$2:$K$10000,MATCH($A326&amp;I$1,JupData!$A$2:$A$10000&amp;JupData!$J$2:$J$10000,0),11))</f>
        <v/>
      </c>
      <c r="J326" t="str">
        <f t="array" ref="J326">IF($A326="","",INDEX(JupData!$A$2:$K$10000,MATCH($A326&amp;J$1,JupData!$A$2:$A$10000&amp;JupData!$J$2:$J$10000,0),11))</f>
        <v/>
      </c>
      <c r="K326" t="str">
        <f t="array" ref="K326">IF($A326="","",INDEX(JupData!$A$2:$K$10000,MATCH($A326&amp;K$1,JupData!$A$2:$A$10000&amp;JupData!$J$2:$J$10000,0),11))</f>
        <v/>
      </c>
      <c r="L326" t="str">
        <f t="array" ref="L326">IF($A326="","",INDEX(JupData!$A$2:$K$10000,MATCH($A326&amp;L$1,JupData!$A$2:$A$10000&amp;JupData!$J$2:$J$10000,0),11))</f>
        <v/>
      </c>
      <c r="M326" t="str">
        <f t="array" ref="M326">IF($A326="","",INDEX(JupData!$A$2:$K$10000,MATCH($A326&amp;M$1,JupData!$A$2:$A$10000&amp;JupData!$J$2:$J$10000,0),11))</f>
        <v/>
      </c>
      <c r="N326" t="str">
        <f t="array" ref="N326">IF($A326="","",INDEX(JupData!$A$2:$K$10000,MATCH($A326&amp;N$1,JupData!$A$2:$A$10000&amp;JupData!$J$2:$J$10000,0),11))</f>
        <v/>
      </c>
      <c r="O326" t="str">
        <f t="array" ref="O326">IF($A326="","",INDEX(JupData!$A$2:$K$10000,MATCH($A326&amp;O$1,JupData!$A$2:$A$10000&amp;JupData!$J$2:$J$10000,0),11))</f>
        <v/>
      </c>
      <c r="P326" t="str">
        <f t="array" ref="P326">IF($A326="","",INDEX(JupData!$A$2:$K$10000,MATCH($A326&amp;P$1,JupData!$A$2:$A$10000&amp;JupData!$J$2:$J$10000,0),11))</f>
        <v/>
      </c>
      <c r="Q326" t="str">
        <f t="array" ref="Q326">IF($A326="","",INDEX(JupData!$A$2:$K$10000,MATCH($A326&amp;Q$1,JupData!$A$2:$A$10000&amp;JupData!$J$2:$J$10000,0),11))</f>
        <v/>
      </c>
      <c r="R326" t="str">
        <f t="array" ref="R326">IF($A326="","",INDEX(JupData!$A$2:$K$10000,MATCH($A326&amp;R$1,JupData!$A$2:$A$10000&amp;JupData!$J$2:$J$10000,0),11))</f>
        <v/>
      </c>
      <c r="S326" t="str">
        <f t="array" ref="S326">IF($A326="","",INDEX(JupData!$A$2:$K$10000,MATCH($A326&amp;S$1,JupData!$A$2:$A$10000&amp;JupData!$J$2:$J$10000,0),11))</f>
        <v/>
      </c>
      <c r="T326" t="str">
        <f t="array" ref="T326">IF($A326="","",INDEX(JupData!$A$2:$K$10000,MATCH($A326&amp;T$1,JupData!$A$2:$A$10000&amp;JupData!$J$2:$J$10000,0),11))</f>
        <v/>
      </c>
      <c r="U326" t="str">
        <f t="array" ref="U326">IF($A326="","",INDEX(JupData!$A$2:$K$10000,MATCH($A326&amp;U$1,JupData!$A$2:$A$10000&amp;JupData!$J$2:$J$10000,0),11))</f>
        <v/>
      </c>
      <c r="V326" t="str">
        <f t="array" ref="V326">IF($A326="","",INDEX(JupData!$A$2:$K$10000,MATCH($A326&amp;V$1,JupData!$A$2:$A$10000&amp;JupData!$J$2:$J$10000,0),11))</f>
        <v/>
      </c>
      <c r="W326" t="str">
        <f t="array" ref="W326">IF($A326="","",INDEX(JupData!$A$2:$K$10000,MATCH($A326&amp;W$1,JupData!$A$2:$A$10000&amp;JupData!$J$2:$J$10000,0),11))</f>
        <v/>
      </c>
      <c r="X326" t="str">
        <f t="array" ref="X326">IF($A326="","",INDEX(JupData!$A$2:$K$10000,MATCH($A326&amp;X$1,JupData!$A$2:$A$10000&amp;JupData!$J$2:$J$10000,0),11))</f>
        <v/>
      </c>
      <c r="Y326" t="str">
        <f t="array" ref="Y326">IF($A326="","",INDEX(JupData!$A$2:$K$10000,MATCH($A326&amp;Y$1,JupData!$A$2:$A$10000&amp;JupData!$J$2:$J$10000,0),11))</f>
        <v/>
      </c>
      <c r="Z326" t="str">
        <f t="array" ref="Z326">IF($A326="","",INDEX(JupData!$A$2:$K$10000,MATCH($A326&amp;Z$1,JupData!$A$2:$A$10000&amp;JupData!$J$2:$J$10000,0),11))</f>
        <v/>
      </c>
      <c r="AA326" t="str">
        <f t="array" ref="AA326">IF($A326="","",INDEX(JupData!$A$2:$K$10000,MATCH($A326&amp;AA$1,JupData!$A$2:$A$10000&amp;JupData!$J$2:$J$10000,0),11))</f>
        <v/>
      </c>
      <c r="AB326" t="str">
        <f t="array" ref="AB326">IF($A326="","",INDEX(JupData!$A$2:$K$10000,MATCH($A326&amp;AB$1,JupData!$A$2:$A$10000&amp;JupData!$J$2:$J$10000,0),11))</f>
        <v/>
      </c>
      <c r="AC326" s="10" t="str">
        <f t="shared" si="55"/>
        <v/>
      </c>
      <c r="AD326" s="10" t="str">
        <f t="shared" si="56"/>
        <v/>
      </c>
      <c r="AE326" s="9" t="str">
        <f t="shared" si="57"/>
        <v/>
      </c>
      <c r="AF326" s="10" t="str">
        <f t="shared" si="58"/>
        <v/>
      </c>
      <c r="AG326" s="10" t="str">
        <f t="shared" si="59"/>
        <v/>
      </c>
      <c r="AH326" s="10" t="str">
        <f t="shared" si="60"/>
        <v/>
      </c>
      <c r="AI326" s="10" t="str">
        <f t="shared" si="61"/>
        <v/>
      </c>
      <c r="AJ326" s="10" t="str">
        <f t="shared" si="62"/>
        <v/>
      </c>
      <c r="AK326" s="10" t="str">
        <f t="shared" si="63"/>
        <v/>
      </c>
      <c r="AL326" s="14" t="str">
        <f t="shared" si="64"/>
        <v/>
      </c>
    </row>
    <row r="327" spans="1:38" x14ac:dyDescent="0.2">
      <c r="A327"/>
      <c r="B327" t="str">
        <f>IF($A327="","",VLOOKUP($A327,JupData!$A$2:$I$10000,4,FALSE))</f>
        <v/>
      </c>
      <c r="C327" s="7" t="str">
        <f>IF($A327="",IF(N(D327),0,""),VLOOKUP($A327,JupData!$A$2:$I$10000,7,FALSE))</f>
        <v/>
      </c>
      <c r="D327" t="str">
        <f t="shared" si="65"/>
        <v/>
      </c>
      <c r="E327" t="str">
        <f t="array" ref="E327">IF($A327="","",INDEX(JupData!$A$2:$K$10000,MATCH($A327&amp;E$1,JupData!$A$2:$A$10000&amp;JupData!$J$2:$J$10000,0),11))</f>
        <v/>
      </c>
      <c r="F327" t="str">
        <f t="array" ref="F327">IF($A327="","",INDEX(JupData!$A$2:$K$10000,MATCH($A327&amp;F$1,JupData!$A$2:$A$10000&amp;JupData!$J$2:$J$10000,0),11))</f>
        <v/>
      </c>
      <c r="G327" t="str">
        <f t="array" ref="G327">IF($A327="","",INDEX(JupData!$A$2:$K$10000,MATCH($A327&amp;G$1,JupData!$A$2:$A$10000&amp;JupData!$J$2:$J$10000,0),11))</f>
        <v/>
      </c>
      <c r="H327" t="str">
        <f t="array" ref="H327">IF($A327="","",INDEX(JupData!$A$2:$K$10000,MATCH($A327&amp;H$1,JupData!$A$2:$A$10000&amp;JupData!$J$2:$J$10000,0),11))</f>
        <v/>
      </c>
      <c r="I327" t="str">
        <f t="array" ref="I327">IF($A327="","",INDEX(JupData!$A$2:$K$10000,MATCH($A327&amp;I$1,JupData!$A$2:$A$10000&amp;JupData!$J$2:$J$10000,0),11))</f>
        <v/>
      </c>
      <c r="J327" t="str">
        <f t="array" ref="J327">IF($A327="","",INDEX(JupData!$A$2:$K$10000,MATCH($A327&amp;J$1,JupData!$A$2:$A$10000&amp;JupData!$J$2:$J$10000,0),11))</f>
        <v/>
      </c>
      <c r="K327" t="str">
        <f t="array" ref="K327">IF($A327="","",INDEX(JupData!$A$2:$K$10000,MATCH($A327&amp;K$1,JupData!$A$2:$A$10000&amp;JupData!$J$2:$J$10000,0),11))</f>
        <v/>
      </c>
      <c r="L327" t="str">
        <f t="array" ref="L327">IF($A327="","",INDEX(JupData!$A$2:$K$10000,MATCH($A327&amp;L$1,JupData!$A$2:$A$10000&amp;JupData!$J$2:$J$10000,0),11))</f>
        <v/>
      </c>
      <c r="M327" t="str">
        <f t="array" ref="M327">IF($A327="","",INDEX(JupData!$A$2:$K$10000,MATCH($A327&amp;M$1,JupData!$A$2:$A$10000&amp;JupData!$J$2:$J$10000,0),11))</f>
        <v/>
      </c>
      <c r="N327" t="str">
        <f t="array" ref="N327">IF($A327="","",INDEX(JupData!$A$2:$K$10000,MATCH($A327&amp;N$1,JupData!$A$2:$A$10000&amp;JupData!$J$2:$J$10000,0),11))</f>
        <v/>
      </c>
      <c r="O327" t="str">
        <f t="array" ref="O327">IF($A327="","",INDEX(JupData!$A$2:$K$10000,MATCH($A327&amp;O$1,JupData!$A$2:$A$10000&amp;JupData!$J$2:$J$10000,0),11))</f>
        <v/>
      </c>
      <c r="P327" t="str">
        <f t="array" ref="P327">IF($A327="","",INDEX(JupData!$A$2:$K$10000,MATCH($A327&amp;P$1,JupData!$A$2:$A$10000&amp;JupData!$J$2:$J$10000,0),11))</f>
        <v/>
      </c>
      <c r="Q327" t="str">
        <f t="array" ref="Q327">IF($A327="","",INDEX(JupData!$A$2:$K$10000,MATCH($A327&amp;Q$1,JupData!$A$2:$A$10000&amp;JupData!$J$2:$J$10000,0),11))</f>
        <v/>
      </c>
      <c r="R327" t="str">
        <f t="array" ref="R327">IF($A327="","",INDEX(JupData!$A$2:$K$10000,MATCH($A327&amp;R$1,JupData!$A$2:$A$10000&amp;JupData!$J$2:$J$10000,0),11))</f>
        <v/>
      </c>
      <c r="S327" t="str">
        <f t="array" ref="S327">IF($A327="","",INDEX(JupData!$A$2:$K$10000,MATCH($A327&amp;S$1,JupData!$A$2:$A$10000&amp;JupData!$J$2:$J$10000,0),11))</f>
        <v/>
      </c>
      <c r="T327" t="str">
        <f t="array" ref="T327">IF($A327="","",INDEX(JupData!$A$2:$K$10000,MATCH($A327&amp;T$1,JupData!$A$2:$A$10000&amp;JupData!$J$2:$J$10000,0),11))</f>
        <v/>
      </c>
      <c r="U327" t="str">
        <f t="array" ref="U327">IF($A327="","",INDEX(JupData!$A$2:$K$10000,MATCH($A327&amp;U$1,JupData!$A$2:$A$10000&amp;JupData!$J$2:$J$10000,0),11))</f>
        <v/>
      </c>
      <c r="V327" t="str">
        <f t="array" ref="V327">IF($A327="","",INDEX(JupData!$A$2:$K$10000,MATCH($A327&amp;V$1,JupData!$A$2:$A$10000&amp;JupData!$J$2:$J$10000,0),11))</f>
        <v/>
      </c>
      <c r="W327" t="str">
        <f t="array" ref="W327">IF($A327="","",INDEX(JupData!$A$2:$K$10000,MATCH($A327&amp;W$1,JupData!$A$2:$A$10000&amp;JupData!$J$2:$J$10000,0),11))</f>
        <v/>
      </c>
      <c r="X327" t="str">
        <f t="array" ref="X327">IF($A327="","",INDEX(JupData!$A$2:$K$10000,MATCH($A327&amp;X$1,JupData!$A$2:$A$10000&amp;JupData!$J$2:$J$10000,0),11))</f>
        <v/>
      </c>
      <c r="Y327" t="str">
        <f t="array" ref="Y327">IF($A327="","",INDEX(JupData!$A$2:$K$10000,MATCH($A327&amp;Y$1,JupData!$A$2:$A$10000&amp;JupData!$J$2:$J$10000,0),11))</f>
        <v/>
      </c>
      <c r="Z327" t="str">
        <f t="array" ref="Z327">IF($A327="","",INDEX(JupData!$A$2:$K$10000,MATCH($A327&amp;Z$1,JupData!$A$2:$A$10000&amp;JupData!$J$2:$J$10000,0),11))</f>
        <v/>
      </c>
      <c r="AA327" t="str">
        <f t="array" ref="AA327">IF($A327="","",INDEX(JupData!$A$2:$K$10000,MATCH($A327&amp;AA$1,JupData!$A$2:$A$10000&amp;JupData!$J$2:$J$10000,0),11))</f>
        <v/>
      </c>
      <c r="AB327" t="str">
        <f t="array" ref="AB327">IF($A327="","",INDEX(JupData!$A$2:$K$10000,MATCH($A327&amp;AB$1,JupData!$A$2:$A$10000&amp;JupData!$J$2:$J$10000,0),11))</f>
        <v/>
      </c>
      <c r="AC327" s="10" t="str">
        <f t="shared" si="55"/>
        <v/>
      </c>
      <c r="AD327" s="10" t="str">
        <f t="shared" si="56"/>
        <v/>
      </c>
      <c r="AE327" s="9" t="str">
        <f t="shared" si="57"/>
        <v/>
      </c>
      <c r="AF327" s="10" t="str">
        <f t="shared" si="58"/>
        <v/>
      </c>
      <c r="AG327" s="10" t="str">
        <f t="shared" si="59"/>
        <v/>
      </c>
      <c r="AH327" s="10" t="str">
        <f t="shared" si="60"/>
        <v/>
      </c>
      <c r="AI327" s="10" t="str">
        <f t="shared" si="61"/>
        <v/>
      </c>
      <c r="AJ327" s="10" t="str">
        <f t="shared" si="62"/>
        <v/>
      </c>
      <c r="AK327" s="10" t="str">
        <f t="shared" si="63"/>
        <v/>
      </c>
      <c r="AL327" s="14" t="str">
        <f t="shared" si="64"/>
        <v/>
      </c>
    </row>
    <row r="328" spans="1:38" x14ac:dyDescent="0.2">
      <c r="A328"/>
      <c r="B328" t="str">
        <f>IF($A328="","",VLOOKUP($A328,JupData!$A$2:$I$10000,4,FALSE))</f>
        <v/>
      </c>
      <c r="C328" s="7" t="str">
        <f>IF($A328="",IF(N(D328),0,""),VLOOKUP($A328,JupData!$A$2:$I$10000,7,FALSE))</f>
        <v/>
      </c>
      <c r="D328" t="str">
        <f t="shared" si="65"/>
        <v/>
      </c>
      <c r="E328" t="str">
        <f t="array" ref="E328">IF($A328="","",INDEX(JupData!$A$2:$K$10000,MATCH($A328&amp;E$1,JupData!$A$2:$A$10000&amp;JupData!$J$2:$J$10000,0),11))</f>
        <v/>
      </c>
      <c r="F328" t="str">
        <f t="array" ref="F328">IF($A328="","",INDEX(JupData!$A$2:$K$10000,MATCH($A328&amp;F$1,JupData!$A$2:$A$10000&amp;JupData!$J$2:$J$10000,0),11))</f>
        <v/>
      </c>
      <c r="G328" t="str">
        <f t="array" ref="G328">IF($A328="","",INDEX(JupData!$A$2:$K$10000,MATCH($A328&amp;G$1,JupData!$A$2:$A$10000&amp;JupData!$J$2:$J$10000,0),11))</f>
        <v/>
      </c>
      <c r="H328" t="str">
        <f t="array" ref="H328">IF($A328="","",INDEX(JupData!$A$2:$K$10000,MATCH($A328&amp;H$1,JupData!$A$2:$A$10000&amp;JupData!$J$2:$J$10000,0),11))</f>
        <v/>
      </c>
      <c r="I328" t="str">
        <f t="array" ref="I328">IF($A328="","",INDEX(JupData!$A$2:$K$10000,MATCH($A328&amp;I$1,JupData!$A$2:$A$10000&amp;JupData!$J$2:$J$10000,0),11))</f>
        <v/>
      </c>
      <c r="J328" t="str">
        <f t="array" ref="J328">IF($A328="","",INDEX(JupData!$A$2:$K$10000,MATCH($A328&amp;J$1,JupData!$A$2:$A$10000&amp;JupData!$J$2:$J$10000,0),11))</f>
        <v/>
      </c>
      <c r="K328" t="str">
        <f t="array" ref="K328">IF($A328="","",INDEX(JupData!$A$2:$K$10000,MATCH($A328&amp;K$1,JupData!$A$2:$A$10000&amp;JupData!$J$2:$J$10000,0),11))</f>
        <v/>
      </c>
      <c r="L328" t="str">
        <f t="array" ref="L328">IF($A328="","",INDEX(JupData!$A$2:$K$10000,MATCH($A328&amp;L$1,JupData!$A$2:$A$10000&amp;JupData!$J$2:$J$10000,0),11))</f>
        <v/>
      </c>
      <c r="M328" t="str">
        <f t="array" ref="M328">IF($A328="","",INDEX(JupData!$A$2:$K$10000,MATCH($A328&amp;M$1,JupData!$A$2:$A$10000&amp;JupData!$J$2:$J$10000,0),11))</f>
        <v/>
      </c>
      <c r="N328" t="str">
        <f t="array" ref="N328">IF($A328="","",INDEX(JupData!$A$2:$K$10000,MATCH($A328&amp;N$1,JupData!$A$2:$A$10000&amp;JupData!$J$2:$J$10000,0),11))</f>
        <v/>
      </c>
      <c r="O328" t="str">
        <f t="array" ref="O328">IF($A328="","",INDEX(JupData!$A$2:$K$10000,MATCH($A328&amp;O$1,JupData!$A$2:$A$10000&amp;JupData!$J$2:$J$10000,0),11))</f>
        <v/>
      </c>
      <c r="P328" t="str">
        <f t="array" ref="P328">IF($A328="","",INDEX(JupData!$A$2:$K$10000,MATCH($A328&amp;P$1,JupData!$A$2:$A$10000&amp;JupData!$J$2:$J$10000,0),11))</f>
        <v/>
      </c>
      <c r="Q328" t="str">
        <f t="array" ref="Q328">IF($A328="","",INDEX(JupData!$A$2:$K$10000,MATCH($A328&amp;Q$1,JupData!$A$2:$A$10000&amp;JupData!$J$2:$J$10000,0),11))</f>
        <v/>
      </c>
      <c r="R328" t="str">
        <f t="array" ref="R328">IF($A328="","",INDEX(JupData!$A$2:$K$10000,MATCH($A328&amp;R$1,JupData!$A$2:$A$10000&amp;JupData!$J$2:$J$10000,0),11))</f>
        <v/>
      </c>
      <c r="S328" t="str">
        <f t="array" ref="S328">IF($A328="","",INDEX(JupData!$A$2:$K$10000,MATCH($A328&amp;S$1,JupData!$A$2:$A$10000&amp;JupData!$J$2:$J$10000,0),11))</f>
        <v/>
      </c>
      <c r="T328" t="str">
        <f t="array" ref="T328">IF($A328="","",INDEX(JupData!$A$2:$K$10000,MATCH($A328&amp;T$1,JupData!$A$2:$A$10000&amp;JupData!$J$2:$J$10000,0),11))</f>
        <v/>
      </c>
      <c r="U328" t="str">
        <f t="array" ref="U328">IF($A328="","",INDEX(JupData!$A$2:$K$10000,MATCH($A328&amp;U$1,JupData!$A$2:$A$10000&amp;JupData!$J$2:$J$10000,0),11))</f>
        <v/>
      </c>
      <c r="V328" t="str">
        <f t="array" ref="V328">IF($A328="","",INDEX(JupData!$A$2:$K$10000,MATCH($A328&amp;V$1,JupData!$A$2:$A$10000&amp;JupData!$J$2:$J$10000,0),11))</f>
        <v/>
      </c>
      <c r="W328" t="str">
        <f t="array" ref="W328">IF($A328="","",INDEX(JupData!$A$2:$K$10000,MATCH($A328&amp;W$1,JupData!$A$2:$A$10000&amp;JupData!$J$2:$J$10000,0),11))</f>
        <v/>
      </c>
      <c r="X328" t="str">
        <f t="array" ref="X328">IF($A328="","",INDEX(JupData!$A$2:$K$10000,MATCH($A328&amp;X$1,JupData!$A$2:$A$10000&amp;JupData!$J$2:$J$10000,0),11))</f>
        <v/>
      </c>
      <c r="Y328" t="str">
        <f t="array" ref="Y328">IF($A328="","",INDEX(JupData!$A$2:$K$10000,MATCH($A328&amp;Y$1,JupData!$A$2:$A$10000&amp;JupData!$J$2:$J$10000,0),11))</f>
        <v/>
      </c>
      <c r="Z328" t="str">
        <f t="array" ref="Z328">IF($A328="","",INDEX(JupData!$A$2:$K$10000,MATCH($A328&amp;Z$1,JupData!$A$2:$A$10000&amp;JupData!$J$2:$J$10000,0),11))</f>
        <v/>
      </c>
      <c r="AA328" t="str">
        <f t="array" ref="AA328">IF($A328="","",INDEX(JupData!$A$2:$K$10000,MATCH($A328&amp;AA$1,JupData!$A$2:$A$10000&amp;JupData!$J$2:$J$10000,0),11))</f>
        <v/>
      </c>
      <c r="AB328" t="str">
        <f t="array" ref="AB328">IF($A328="","",INDEX(JupData!$A$2:$K$10000,MATCH($A328&amp;AB$1,JupData!$A$2:$A$10000&amp;JupData!$J$2:$J$10000,0),11))</f>
        <v/>
      </c>
      <c r="AC328" s="10" t="str">
        <f t="shared" si="55"/>
        <v/>
      </c>
      <c r="AD328" s="10" t="str">
        <f t="shared" si="56"/>
        <v/>
      </c>
      <c r="AE328" s="9" t="str">
        <f t="shared" si="57"/>
        <v/>
      </c>
      <c r="AF328" s="10" t="str">
        <f t="shared" si="58"/>
        <v/>
      </c>
      <c r="AG328" s="10" t="str">
        <f t="shared" si="59"/>
        <v/>
      </c>
      <c r="AH328" s="10" t="str">
        <f t="shared" si="60"/>
        <v/>
      </c>
      <c r="AI328" s="10" t="str">
        <f t="shared" si="61"/>
        <v/>
      </c>
      <c r="AJ328" s="10" t="str">
        <f t="shared" si="62"/>
        <v/>
      </c>
      <c r="AK328" s="10" t="str">
        <f t="shared" si="63"/>
        <v/>
      </c>
      <c r="AL328" s="14" t="str">
        <f t="shared" si="64"/>
        <v/>
      </c>
    </row>
    <row r="329" spans="1:38" x14ac:dyDescent="0.2">
      <c r="A329"/>
      <c r="B329" t="str">
        <f>IF($A329="","",VLOOKUP($A329,JupData!$A$2:$I$10000,4,FALSE))</f>
        <v/>
      </c>
      <c r="C329" s="7" t="str">
        <f>IF($A329="",IF(N(D329),0,""),VLOOKUP($A329,JupData!$A$2:$I$10000,7,FALSE))</f>
        <v/>
      </c>
      <c r="D329" t="str">
        <f t="shared" si="65"/>
        <v/>
      </c>
      <c r="E329" t="str">
        <f t="array" ref="E329">IF($A329="","",INDEX(JupData!$A$2:$K$10000,MATCH($A329&amp;E$1,JupData!$A$2:$A$10000&amp;JupData!$J$2:$J$10000,0),11))</f>
        <v/>
      </c>
      <c r="F329" t="str">
        <f t="array" ref="F329">IF($A329="","",INDEX(JupData!$A$2:$K$10000,MATCH($A329&amp;F$1,JupData!$A$2:$A$10000&amp;JupData!$J$2:$J$10000,0),11))</f>
        <v/>
      </c>
      <c r="G329" t="str">
        <f t="array" ref="G329">IF($A329="","",INDEX(JupData!$A$2:$K$10000,MATCH($A329&amp;G$1,JupData!$A$2:$A$10000&amp;JupData!$J$2:$J$10000,0),11))</f>
        <v/>
      </c>
      <c r="H329" t="str">
        <f t="array" ref="H329">IF($A329="","",INDEX(JupData!$A$2:$K$10000,MATCH($A329&amp;H$1,JupData!$A$2:$A$10000&amp;JupData!$J$2:$J$10000,0),11))</f>
        <v/>
      </c>
      <c r="I329" t="str">
        <f t="array" ref="I329">IF($A329="","",INDEX(JupData!$A$2:$K$10000,MATCH($A329&amp;I$1,JupData!$A$2:$A$10000&amp;JupData!$J$2:$J$10000,0),11))</f>
        <v/>
      </c>
      <c r="J329" t="str">
        <f t="array" ref="J329">IF($A329="","",INDEX(JupData!$A$2:$K$10000,MATCH($A329&amp;J$1,JupData!$A$2:$A$10000&amp;JupData!$J$2:$J$10000,0),11))</f>
        <v/>
      </c>
      <c r="K329" t="str">
        <f t="array" ref="K329">IF($A329="","",INDEX(JupData!$A$2:$K$10000,MATCH($A329&amp;K$1,JupData!$A$2:$A$10000&amp;JupData!$J$2:$J$10000,0),11))</f>
        <v/>
      </c>
      <c r="L329" t="str">
        <f t="array" ref="L329">IF($A329="","",INDEX(JupData!$A$2:$K$10000,MATCH($A329&amp;L$1,JupData!$A$2:$A$10000&amp;JupData!$J$2:$J$10000,0),11))</f>
        <v/>
      </c>
      <c r="M329" t="str">
        <f t="array" ref="M329">IF($A329="","",INDEX(JupData!$A$2:$K$10000,MATCH($A329&amp;M$1,JupData!$A$2:$A$10000&amp;JupData!$J$2:$J$10000,0),11))</f>
        <v/>
      </c>
      <c r="N329" t="str">
        <f t="array" ref="N329">IF($A329="","",INDEX(JupData!$A$2:$K$10000,MATCH($A329&amp;N$1,JupData!$A$2:$A$10000&amp;JupData!$J$2:$J$10000,0),11))</f>
        <v/>
      </c>
      <c r="O329" t="str">
        <f t="array" ref="O329">IF($A329="","",INDEX(JupData!$A$2:$K$10000,MATCH($A329&amp;O$1,JupData!$A$2:$A$10000&amp;JupData!$J$2:$J$10000,0),11))</f>
        <v/>
      </c>
      <c r="P329" t="str">
        <f t="array" ref="P329">IF($A329="","",INDEX(JupData!$A$2:$K$10000,MATCH($A329&amp;P$1,JupData!$A$2:$A$10000&amp;JupData!$J$2:$J$10000,0),11))</f>
        <v/>
      </c>
      <c r="Q329" t="str">
        <f t="array" ref="Q329">IF($A329="","",INDEX(JupData!$A$2:$K$10000,MATCH($A329&amp;Q$1,JupData!$A$2:$A$10000&amp;JupData!$J$2:$J$10000,0),11))</f>
        <v/>
      </c>
      <c r="R329" t="str">
        <f t="array" ref="R329">IF($A329="","",INDEX(JupData!$A$2:$K$10000,MATCH($A329&amp;R$1,JupData!$A$2:$A$10000&amp;JupData!$J$2:$J$10000,0),11))</f>
        <v/>
      </c>
      <c r="S329" t="str">
        <f t="array" ref="S329">IF($A329="","",INDEX(JupData!$A$2:$K$10000,MATCH($A329&amp;S$1,JupData!$A$2:$A$10000&amp;JupData!$J$2:$J$10000,0),11))</f>
        <v/>
      </c>
      <c r="T329" t="str">
        <f t="array" ref="T329">IF($A329="","",INDEX(JupData!$A$2:$K$10000,MATCH($A329&amp;T$1,JupData!$A$2:$A$10000&amp;JupData!$J$2:$J$10000,0),11))</f>
        <v/>
      </c>
      <c r="U329" t="str">
        <f t="array" ref="U329">IF($A329="","",INDEX(JupData!$A$2:$K$10000,MATCH($A329&amp;U$1,JupData!$A$2:$A$10000&amp;JupData!$J$2:$J$10000,0),11))</f>
        <v/>
      </c>
      <c r="V329" t="str">
        <f t="array" ref="V329">IF($A329="","",INDEX(JupData!$A$2:$K$10000,MATCH($A329&amp;V$1,JupData!$A$2:$A$10000&amp;JupData!$J$2:$J$10000,0),11))</f>
        <v/>
      </c>
      <c r="W329" t="str">
        <f t="array" ref="W329">IF($A329="","",INDEX(JupData!$A$2:$K$10000,MATCH($A329&amp;W$1,JupData!$A$2:$A$10000&amp;JupData!$J$2:$J$10000,0),11))</f>
        <v/>
      </c>
      <c r="X329" t="str">
        <f t="array" ref="X329">IF($A329="","",INDEX(JupData!$A$2:$K$10000,MATCH($A329&amp;X$1,JupData!$A$2:$A$10000&amp;JupData!$J$2:$J$10000,0),11))</f>
        <v/>
      </c>
      <c r="Y329" t="str">
        <f t="array" ref="Y329">IF($A329="","",INDEX(JupData!$A$2:$K$10000,MATCH($A329&amp;Y$1,JupData!$A$2:$A$10000&amp;JupData!$J$2:$J$10000,0),11))</f>
        <v/>
      </c>
      <c r="Z329" t="str">
        <f t="array" ref="Z329">IF($A329="","",INDEX(JupData!$A$2:$K$10000,MATCH($A329&amp;Z$1,JupData!$A$2:$A$10000&amp;JupData!$J$2:$J$10000,0),11))</f>
        <v/>
      </c>
      <c r="AA329" t="str">
        <f t="array" ref="AA329">IF($A329="","",INDEX(JupData!$A$2:$K$10000,MATCH($A329&amp;AA$1,JupData!$A$2:$A$10000&amp;JupData!$J$2:$J$10000,0),11))</f>
        <v/>
      </c>
      <c r="AB329" t="str">
        <f t="array" ref="AB329">IF($A329="","",INDEX(JupData!$A$2:$K$10000,MATCH($A329&amp;AB$1,JupData!$A$2:$A$10000&amp;JupData!$J$2:$J$10000,0),11))</f>
        <v/>
      </c>
      <c r="AC329" s="10" t="str">
        <f t="shared" si="55"/>
        <v/>
      </c>
      <c r="AD329" s="10" t="str">
        <f t="shared" si="56"/>
        <v/>
      </c>
      <c r="AE329" s="9" t="str">
        <f t="shared" si="57"/>
        <v/>
      </c>
      <c r="AF329" s="10" t="str">
        <f t="shared" si="58"/>
        <v/>
      </c>
      <c r="AG329" s="10" t="str">
        <f t="shared" si="59"/>
        <v/>
      </c>
      <c r="AH329" s="10" t="str">
        <f t="shared" si="60"/>
        <v/>
      </c>
      <c r="AI329" s="10" t="str">
        <f t="shared" si="61"/>
        <v/>
      </c>
      <c r="AJ329" s="10" t="str">
        <f t="shared" si="62"/>
        <v/>
      </c>
      <c r="AK329" s="10" t="str">
        <f t="shared" si="63"/>
        <v/>
      </c>
      <c r="AL329" s="14" t="str">
        <f t="shared" si="64"/>
        <v/>
      </c>
    </row>
    <row r="330" spans="1:38" x14ac:dyDescent="0.2">
      <c r="A330"/>
      <c r="B330" t="str">
        <f>IF($A330="","",VLOOKUP($A330,JupData!$A$2:$I$10000,4,FALSE))</f>
        <v/>
      </c>
      <c r="C330" s="7" t="str">
        <f>IF($A330="",IF(N(D330),0,""),VLOOKUP($A330,JupData!$A$2:$I$10000,7,FALSE))</f>
        <v/>
      </c>
      <c r="D330" t="str">
        <f t="shared" si="65"/>
        <v/>
      </c>
      <c r="E330" t="str">
        <f t="array" ref="E330">IF($A330="","",INDEX(JupData!$A$2:$K$10000,MATCH($A330&amp;E$1,JupData!$A$2:$A$10000&amp;JupData!$J$2:$J$10000,0),11))</f>
        <v/>
      </c>
      <c r="F330" t="str">
        <f t="array" ref="F330">IF($A330="","",INDEX(JupData!$A$2:$K$10000,MATCH($A330&amp;F$1,JupData!$A$2:$A$10000&amp;JupData!$J$2:$J$10000,0),11))</f>
        <v/>
      </c>
      <c r="G330" t="str">
        <f t="array" ref="G330">IF($A330="","",INDEX(JupData!$A$2:$K$10000,MATCH($A330&amp;G$1,JupData!$A$2:$A$10000&amp;JupData!$J$2:$J$10000,0),11))</f>
        <v/>
      </c>
      <c r="H330" t="str">
        <f t="array" ref="H330">IF($A330="","",INDEX(JupData!$A$2:$K$10000,MATCH($A330&amp;H$1,JupData!$A$2:$A$10000&amp;JupData!$J$2:$J$10000,0),11))</f>
        <v/>
      </c>
      <c r="I330" t="str">
        <f t="array" ref="I330">IF($A330="","",INDEX(JupData!$A$2:$K$10000,MATCH($A330&amp;I$1,JupData!$A$2:$A$10000&amp;JupData!$J$2:$J$10000,0),11))</f>
        <v/>
      </c>
      <c r="J330" t="str">
        <f t="array" ref="J330">IF($A330="","",INDEX(JupData!$A$2:$K$10000,MATCH($A330&amp;J$1,JupData!$A$2:$A$10000&amp;JupData!$J$2:$J$10000,0),11))</f>
        <v/>
      </c>
      <c r="K330" t="str">
        <f t="array" ref="K330">IF($A330="","",INDEX(JupData!$A$2:$K$10000,MATCH($A330&amp;K$1,JupData!$A$2:$A$10000&amp;JupData!$J$2:$J$10000,0),11))</f>
        <v/>
      </c>
      <c r="L330" t="str">
        <f t="array" ref="L330">IF($A330="","",INDEX(JupData!$A$2:$K$10000,MATCH($A330&amp;L$1,JupData!$A$2:$A$10000&amp;JupData!$J$2:$J$10000,0),11))</f>
        <v/>
      </c>
      <c r="M330" t="str">
        <f t="array" ref="M330">IF($A330="","",INDEX(JupData!$A$2:$K$10000,MATCH($A330&amp;M$1,JupData!$A$2:$A$10000&amp;JupData!$J$2:$J$10000,0),11))</f>
        <v/>
      </c>
      <c r="N330" t="str">
        <f t="array" ref="N330">IF($A330="","",INDEX(JupData!$A$2:$K$10000,MATCH($A330&amp;N$1,JupData!$A$2:$A$10000&amp;JupData!$J$2:$J$10000,0),11))</f>
        <v/>
      </c>
      <c r="O330" t="str">
        <f t="array" ref="O330">IF($A330="","",INDEX(JupData!$A$2:$K$10000,MATCH($A330&amp;O$1,JupData!$A$2:$A$10000&amp;JupData!$J$2:$J$10000,0),11))</f>
        <v/>
      </c>
      <c r="P330" t="str">
        <f t="array" ref="P330">IF($A330="","",INDEX(JupData!$A$2:$K$10000,MATCH($A330&amp;P$1,JupData!$A$2:$A$10000&amp;JupData!$J$2:$J$10000,0),11))</f>
        <v/>
      </c>
      <c r="Q330" t="str">
        <f t="array" ref="Q330">IF($A330="","",INDEX(JupData!$A$2:$K$10000,MATCH($A330&amp;Q$1,JupData!$A$2:$A$10000&amp;JupData!$J$2:$J$10000,0),11))</f>
        <v/>
      </c>
      <c r="R330" t="str">
        <f t="array" ref="R330">IF($A330="","",INDEX(JupData!$A$2:$K$10000,MATCH($A330&amp;R$1,JupData!$A$2:$A$10000&amp;JupData!$J$2:$J$10000,0),11))</f>
        <v/>
      </c>
      <c r="S330" t="str">
        <f t="array" ref="S330">IF($A330="","",INDEX(JupData!$A$2:$K$10000,MATCH($A330&amp;S$1,JupData!$A$2:$A$10000&amp;JupData!$J$2:$J$10000,0),11))</f>
        <v/>
      </c>
      <c r="T330" t="str">
        <f t="array" ref="T330">IF($A330="","",INDEX(JupData!$A$2:$K$10000,MATCH($A330&amp;T$1,JupData!$A$2:$A$10000&amp;JupData!$J$2:$J$10000,0),11))</f>
        <v/>
      </c>
      <c r="U330" t="str">
        <f t="array" ref="U330">IF($A330="","",INDEX(JupData!$A$2:$K$10000,MATCH($A330&amp;U$1,JupData!$A$2:$A$10000&amp;JupData!$J$2:$J$10000,0),11))</f>
        <v/>
      </c>
      <c r="V330" t="str">
        <f t="array" ref="V330">IF($A330="","",INDEX(JupData!$A$2:$K$10000,MATCH($A330&amp;V$1,JupData!$A$2:$A$10000&amp;JupData!$J$2:$J$10000,0),11))</f>
        <v/>
      </c>
      <c r="W330" t="str">
        <f t="array" ref="W330">IF($A330="","",INDEX(JupData!$A$2:$K$10000,MATCH($A330&amp;W$1,JupData!$A$2:$A$10000&amp;JupData!$J$2:$J$10000,0),11))</f>
        <v/>
      </c>
      <c r="X330" t="str">
        <f t="array" ref="X330">IF($A330="","",INDEX(JupData!$A$2:$K$10000,MATCH($A330&amp;X$1,JupData!$A$2:$A$10000&amp;JupData!$J$2:$J$10000,0),11))</f>
        <v/>
      </c>
      <c r="Y330" t="str">
        <f t="array" ref="Y330">IF($A330="","",INDEX(JupData!$A$2:$K$10000,MATCH($A330&amp;Y$1,JupData!$A$2:$A$10000&amp;JupData!$J$2:$J$10000,0),11))</f>
        <v/>
      </c>
      <c r="Z330" t="str">
        <f t="array" ref="Z330">IF($A330="","",INDEX(JupData!$A$2:$K$10000,MATCH($A330&amp;Z$1,JupData!$A$2:$A$10000&amp;JupData!$J$2:$J$10000,0),11))</f>
        <v/>
      </c>
      <c r="AA330" t="str">
        <f t="array" ref="AA330">IF($A330="","",INDEX(JupData!$A$2:$K$10000,MATCH($A330&amp;AA$1,JupData!$A$2:$A$10000&amp;JupData!$J$2:$J$10000,0),11))</f>
        <v/>
      </c>
      <c r="AB330" t="str">
        <f t="array" ref="AB330">IF($A330="","",INDEX(JupData!$A$2:$K$10000,MATCH($A330&amp;AB$1,JupData!$A$2:$A$10000&amp;JupData!$J$2:$J$10000,0),11))</f>
        <v/>
      </c>
      <c r="AC330" s="10" t="str">
        <f t="shared" si="55"/>
        <v/>
      </c>
      <c r="AD330" s="10" t="str">
        <f t="shared" si="56"/>
        <v/>
      </c>
      <c r="AE330" s="9" t="str">
        <f t="shared" si="57"/>
        <v/>
      </c>
      <c r="AF330" s="10" t="str">
        <f t="shared" si="58"/>
        <v/>
      </c>
      <c r="AG330" s="10" t="str">
        <f t="shared" si="59"/>
        <v/>
      </c>
      <c r="AH330" s="10" t="str">
        <f t="shared" si="60"/>
        <v/>
      </c>
      <c r="AI330" s="10" t="str">
        <f t="shared" si="61"/>
        <v/>
      </c>
      <c r="AJ330" s="10" t="str">
        <f t="shared" si="62"/>
        <v/>
      </c>
      <c r="AK330" s="10" t="str">
        <f t="shared" si="63"/>
        <v/>
      </c>
      <c r="AL330" s="14" t="str">
        <f t="shared" si="64"/>
        <v/>
      </c>
    </row>
    <row r="331" spans="1:38" x14ac:dyDescent="0.2">
      <c r="A331"/>
      <c r="B331" t="str">
        <f>IF($A331="","",VLOOKUP($A331,JupData!$A$2:$I$10000,4,FALSE))</f>
        <v/>
      </c>
      <c r="C331" s="7" t="str">
        <f>IF($A331="",IF(N(D331),0,""),VLOOKUP($A331,JupData!$A$2:$I$10000,7,FALSE))</f>
        <v/>
      </c>
      <c r="D331" t="str">
        <f t="shared" si="65"/>
        <v/>
      </c>
      <c r="E331" t="str">
        <f t="array" ref="E331">IF($A331="","",INDEX(JupData!$A$2:$K$10000,MATCH($A331&amp;E$1,JupData!$A$2:$A$10000&amp;JupData!$J$2:$J$10000,0),11))</f>
        <v/>
      </c>
      <c r="F331" t="str">
        <f t="array" ref="F331">IF($A331="","",INDEX(JupData!$A$2:$K$10000,MATCH($A331&amp;F$1,JupData!$A$2:$A$10000&amp;JupData!$J$2:$J$10000,0),11))</f>
        <v/>
      </c>
      <c r="G331" t="str">
        <f t="array" ref="G331">IF($A331="","",INDEX(JupData!$A$2:$K$10000,MATCH($A331&amp;G$1,JupData!$A$2:$A$10000&amp;JupData!$J$2:$J$10000,0),11))</f>
        <v/>
      </c>
      <c r="H331" t="str">
        <f t="array" ref="H331">IF($A331="","",INDEX(JupData!$A$2:$K$10000,MATCH($A331&amp;H$1,JupData!$A$2:$A$10000&amp;JupData!$J$2:$J$10000,0),11))</f>
        <v/>
      </c>
      <c r="I331" t="str">
        <f t="array" ref="I331">IF($A331="","",INDEX(JupData!$A$2:$K$10000,MATCH($A331&amp;I$1,JupData!$A$2:$A$10000&amp;JupData!$J$2:$J$10000,0),11))</f>
        <v/>
      </c>
      <c r="J331" t="str">
        <f t="array" ref="J331">IF($A331="","",INDEX(JupData!$A$2:$K$10000,MATCH($A331&amp;J$1,JupData!$A$2:$A$10000&amp;JupData!$J$2:$J$10000,0),11))</f>
        <v/>
      </c>
      <c r="K331" t="str">
        <f t="array" ref="K331">IF($A331="","",INDEX(JupData!$A$2:$K$10000,MATCH($A331&amp;K$1,JupData!$A$2:$A$10000&amp;JupData!$J$2:$J$10000,0),11))</f>
        <v/>
      </c>
      <c r="L331" t="str">
        <f t="array" ref="L331">IF($A331="","",INDEX(JupData!$A$2:$K$10000,MATCH($A331&amp;L$1,JupData!$A$2:$A$10000&amp;JupData!$J$2:$J$10000,0),11))</f>
        <v/>
      </c>
      <c r="M331" t="str">
        <f t="array" ref="M331">IF($A331="","",INDEX(JupData!$A$2:$K$10000,MATCH($A331&amp;M$1,JupData!$A$2:$A$10000&amp;JupData!$J$2:$J$10000,0),11))</f>
        <v/>
      </c>
      <c r="N331" t="str">
        <f t="array" ref="N331">IF($A331="","",INDEX(JupData!$A$2:$K$10000,MATCH($A331&amp;N$1,JupData!$A$2:$A$10000&amp;JupData!$J$2:$J$10000,0),11))</f>
        <v/>
      </c>
      <c r="O331" t="str">
        <f t="array" ref="O331">IF($A331="","",INDEX(JupData!$A$2:$K$10000,MATCH($A331&amp;O$1,JupData!$A$2:$A$10000&amp;JupData!$J$2:$J$10000,0),11))</f>
        <v/>
      </c>
      <c r="P331" t="str">
        <f t="array" ref="P331">IF($A331="","",INDEX(JupData!$A$2:$K$10000,MATCH($A331&amp;P$1,JupData!$A$2:$A$10000&amp;JupData!$J$2:$J$10000,0),11))</f>
        <v/>
      </c>
      <c r="Q331" t="str">
        <f t="array" ref="Q331">IF($A331="","",INDEX(JupData!$A$2:$K$10000,MATCH($A331&amp;Q$1,JupData!$A$2:$A$10000&amp;JupData!$J$2:$J$10000,0),11))</f>
        <v/>
      </c>
      <c r="R331" t="str">
        <f t="array" ref="R331">IF($A331="","",INDEX(JupData!$A$2:$K$10000,MATCH($A331&amp;R$1,JupData!$A$2:$A$10000&amp;JupData!$J$2:$J$10000,0),11))</f>
        <v/>
      </c>
      <c r="S331" t="str">
        <f t="array" ref="S331">IF($A331="","",INDEX(JupData!$A$2:$K$10000,MATCH($A331&amp;S$1,JupData!$A$2:$A$10000&amp;JupData!$J$2:$J$10000,0),11))</f>
        <v/>
      </c>
      <c r="T331" t="str">
        <f t="array" ref="T331">IF($A331="","",INDEX(JupData!$A$2:$K$10000,MATCH($A331&amp;T$1,JupData!$A$2:$A$10000&amp;JupData!$J$2:$J$10000,0),11))</f>
        <v/>
      </c>
      <c r="U331" t="str">
        <f t="array" ref="U331">IF($A331="","",INDEX(JupData!$A$2:$K$10000,MATCH($A331&amp;U$1,JupData!$A$2:$A$10000&amp;JupData!$J$2:$J$10000,0),11))</f>
        <v/>
      </c>
      <c r="V331" t="str">
        <f t="array" ref="V331">IF($A331="","",INDEX(JupData!$A$2:$K$10000,MATCH($A331&amp;V$1,JupData!$A$2:$A$10000&amp;JupData!$J$2:$J$10000,0),11))</f>
        <v/>
      </c>
      <c r="W331" t="str">
        <f t="array" ref="W331">IF($A331="","",INDEX(JupData!$A$2:$K$10000,MATCH($A331&amp;W$1,JupData!$A$2:$A$10000&amp;JupData!$J$2:$J$10000,0),11))</f>
        <v/>
      </c>
      <c r="X331" t="str">
        <f t="array" ref="X331">IF($A331="","",INDEX(JupData!$A$2:$K$10000,MATCH($A331&amp;X$1,JupData!$A$2:$A$10000&amp;JupData!$J$2:$J$10000,0),11))</f>
        <v/>
      </c>
      <c r="Y331" t="str">
        <f t="array" ref="Y331">IF($A331="","",INDEX(JupData!$A$2:$K$10000,MATCH($A331&amp;Y$1,JupData!$A$2:$A$10000&amp;JupData!$J$2:$J$10000,0),11))</f>
        <v/>
      </c>
      <c r="Z331" t="str">
        <f t="array" ref="Z331">IF($A331="","",INDEX(JupData!$A$2:$K$10000,MATCH($A331&amp;Z$1,JupData!$A$2:$A$10000&amp;JupData!$J$2:$J$10000,0),11))</f>
        <v/>
      </c>
      <c r="AA331" t="str">
        <f t="array" ref="AA331">IF($A331="","",INDEX(JupData!$A$2:$K$10000,MATCH($A331&amp;AA$1,JupData!$A$2:$A$10000&amp;JupData!$J$2:$J$10000,0),11))</f>
        <v/>
      </c>
      <c r="AB331" t="str">
        <f t="array" ref="AB331">IF($A331="","",INDEX(JupData!$A$2:$K$10000,MATCH($A331&amp;AB$1,JupData!$A$2:$A$10000&amp;JupData!$J$2:$J$10000,0),11))</f>
        <v/>
      </c>
      <c r="AC331" s="10" t="str">
        <f t="shared" si="55"/>
        <v/>
      </c>
      <c r="AD331" s="10" t="str">
        <f t="shared" si="56"/>
        <v/>
      </c>
      <c r="AE331" s="9" t="str">
        <f t="shared" si="57"/>
        <v/>
      </c>
      <c r="AF331" s="10" t="str">
        <f t="shared" si="58"/>
        <v/>
      </c>
      <c r="AG331" s="10" t="str">
        <f t="shared" si="59"/>
        <v/>
      </c>
      <c r="AH331" s="10" t="str">
        <f t="shared" si="60"/>
        <v/>
      </c>
      <c r="AI331" s="10" t="str">
        <f t="shared" si="61"/>
        <v/>
      </c>
      <c r="AJ331" s="10" t="str">
        <f t="shared" si="62"/>
        <v/>
      </c>
      <c r="AK331" s="10" t="str">
        <f t="shared" si="63"/>
        <v/>
      </c>
      <c r="AL331" s="14" t="str">
        <f t="shared" si="64"/>
        <v/>
      </c>
    </row>
    <row r="332" spans="1:38" x14ac:dyDescent="0.2">
      <c r="A332"/>
      <c r="B332" t="str">
        <f>IF($A332="","",VLOOKUP($A332,JupData!$A$2:$I$10000,4,FALSE))</f>
        <v/>
      </c>
      <c r="C332" s="7" t="str">
        <f>IF($A332="",IF(N(D332),0,""),VLOOKUP($A332,JupData!$A$2:$I$10000,7,FALSE))</f>
        <v/>
      </c>
      <c r="D332" t="str">
        <f t="shared" si="65"/>
        <v/>
      </c>
      <c r="E332" t="str">
        <f t="array" ref="E332">IF($A332="","",INDEX(JupData!$A$2:$K$10000,MATCH($A332&amp;E$1,JupData!$A$2:$A$10000&amp;JupData!$J$2:$J$10000,0),11))</f>
        <v/>
      </c>
      <c r="F332" t="str">
        <f t="array" ref="F332">IF($A332="","",INDEX(JupData!$A$2:$K$10000,MATCH($A332&amp;F$1,JupData!$A$2:$A$10000&amp;JupData!$J$2:$J$10000,0),11))</f>
        <v/>
      </c>
      <c r="G332" t="str">
        <f t="array" ref="G332">IF($A332="","",INDEX(JupData!$A$2:$K$10000,MATCH($A332&amp;G$1,JupData!$A$2:$A$10000&amp;JupData!$J$2:$J$10000,0),11))</f>
        <v/>
      </c>
      <c r="H332" t="str">
        <f t="array" ref="H332">IF($A332="","",INDEX(JupData!$A$2:$K$10000,MATCH($A332&amp;H$1,JupData!$A$2:$A$10000&amp;JupData!$J$2:$J$10000,0),11))</f>
        <v/>
      </c>
      <c r="I332" t="str">
        <f t="array" ref="I332">IF($A332="","",INDEX(JupData!$A$2:$K$10000,MATCH($A332&amp;I$1,JupData!$A$2:$A$10000&amp;JupData!$J$2:$J$10000,0),11))</f>
        <v/>
      </c>
      <c r="J332" t="str">
        <f t="array" ref="J332">IF($A332="","",INDEX(JupData!$A$2:$K$10000,MATCH($A332&amp;J$1,JupData!$A$2:$A$10000&amp;JupData!$J$2:$J$10000,0),11))</f>
        <v/>
      </c>
      <c r="K332" t="str">
        <f t="array" ref="K332">IF($A332="","",INDEX(JupData!$A$2:$K$10000,MATCH($A332&amp;K$1,JupData!$A$2:$A$10000&amp;JupData!$J$2:$J$10000,0),11))</f>
        <v/>
      </c>
      <c r="L332" t="str">
        <f t="array" ref="L332">IF($A332="","",INDEX(JupData!$A$2:$K$10000,MATCH($A332&amp;L$1,JupData!$A$2:$A$10000&amp;JupData!$J$2:$J$10000,0),11))</f>
        <v/>
      </c>
      <c r="M332" t="str">
        <f t="array" ref="M332">IF($A332="","",INDEX(JupData!$A$2:$K$10000,MATCH($A332&amp;M$1,JupData!$A$2:$A$10000&amp;JupData!$J$2:$J$10000,0),11))</f>
        <v/>
      </c>
      <c r="N332" t="str">
        <f t="array" ref="N332">IF($A332="","",INDEX(JupData!$A$2:$K$10000,MATCH($A332&amp;N$1,JupData!$A$2:$A$10000&amp;JupData!$J$2:$J$10000,0),11))</f>
        <v/>
      </c>
      <c r="O332" t="str">
        <f t="array" ref="O332">IF($A332="","",INDEX(JupData!$A$2:$K$10000,MATCH($A332&amp;O$1,JupData!$A$2:$A$10000&amp;JupData!$J$2:$J$10000,0),11))</f>
        <v/>
      </c>
      <c r="P332" t="str">
        <f t="array" ref="P332">IF($A332="","",INDEX(JupData!$A$2:$K$10000,MATCH($A332&amp;P$1,JupData!$A$2:$A$10000&amp;JupData!$J$2:$J$10000,0),11))</f>
        <v/>
      </c>
      <c r="Q332" t="str">
        <f t="array" ref="Q332">IF($A332="","",INDEX(JupData!$A$2:$K$10000,MATCH($A332&amp;Q$1,JupData!$A$2:$A$10000&amp;JupData!$J$2:$J$10000,0),11))</f>
        <v/>
      </c>
      <c r="R332" t="str">
        <f t="array" ref="R332">IF($A332="","",INDEX(JupData!$A$2:$K$10000,MATCH($A332&amp;R$1,JupData!$A$2:$A$10000&amp;JupData!$J$2:$J$10000,0),11))</f>
        <v/>
      </c>
      <c r="S332" t="str">
        <f t="array" ref="S332">IF($A332="","",INDEX(JupData!$A$2:$K$10000,MATCH($A332&amp;S$1,JupData!$A$2:$A$10000&amp;JupData!$J$2:$J$10000,0),11))</f>
        <v/>
      </c>
      <c r="T332" t="str">
        <f t="array" ref="T332">IF($A332="","",INDEX(JupData!$A$2:$K$10000,MATCH($A332&amp;T$1,JupData!$A$2:$A$10000&amp;JupData!$J$2:$J$10000,0),11))</f>
        <v/>
      </c>
      <c r="U332" t="str">
        <f t="array" ref="U332">IF($A332="","",INDEX(JupData!$A$2:$K$10000,MATCH($A332&amp;U$1,JupData!$A$2:$A$10000&amp;JupData!$J$2:$J$10000,0),11))</f>
        <v/>
      </c>
      <c r="V332" t="str">
        <f t="array" ref="V332">IF($A332="","",INDEX(JupData!$A$2:$K$10000,MATCH($A332&amp;V$1,JupData!$A$2:$A$10000&amp;JupData!$J$2:$J$10000,0),11))</f>
        <v/>
      </c>
      <c r="W332" t="str">
        <f t="array" ref="W332">IF($A332="","",INDEX(JupData!$A$2:$K$10000,MATCH($A332&amp;W$1,JupData!$A$2:$A$10000&amp;JupData!$J$2:$J$10000,0),11))</f>
        <v/>
      </c>
      <c r="X332" t="str">
        <f t="array" ref="X332">IF($A332="","",INDEX(JupData!$A$2:$K$10000,MATCH($A332&amp;X$1,JupData!$A$2:$A$10000&amp;JupData!$J$2:$J$10000,0),11))</f>
        <v/>
      </c>
      <c r="Y332" t="str">
        <f t="array" ref="Y332">IF($A332="","",INDEX(JupData!$A$2:$K$10000,MATCH($A332&amp;Y$1,JupData!$A$2:$A$10000&amp;JupData!$J$2:$J$10000,0),11))</f>
        <v/>
      </c>
      <c r="Z332" t="str">
        <f t="array" ref="Z332">IF($A332="","",INDEX(JupData!$A$2:$K$10000,MATCH($A332&amp;Z$1,JupData!$A$2:$A$10000&amp;JupData!$J$2:$J$10000,0),11))</f>
        <v/>
      </c>
      <c r="AA332" t="str">
        <f t="array" ref="AA332">IF($A332="","",INDEX(JupData!$A$2:$K$10000,MATCH($A332&amp;AA$1,JupData!$A$2:$A$10000&amp;JupData!$J$2:$J$10000,0),11))</f>
        <v/>
      </c>
      <c r="AB332" t="str">
        <f t="array" ref="AB332">IF($A332="","",INDEX(JupData!$A$2:$K$10000,MATCH($A332&amp;AB$1,JupData!$A$2:$A$10000&amp;JupData!$J$2:$J$10000,0),11))</f>
        <v/>
      </c>
      <c r="AC332" s="10" t="str">
        <f t="shared" si="55"/>
        <v/>
      </c>
      <c r="AD332" s="10" t="str">
        <f t="shared" si="56"/>
        <v/>
      </c>
      <c r="AE332" s="9" t="str">
        <f t="shared" si="57"/>
        <v/>
      </c>
      <c r="AF332" s="10" t="str">
        <f t="shared" si="58"/>
        <v/>
      </c>
      <c r="AG332" s="10" t="str">
        <f t="shared" si="59"/>
        <v/>
      </c>
      <c r="AH332" s="10" t="str">
        <f t="shared" si="60"/>
        <v/>
      </c>
      <c r="AI332" s="10" t="str">
        <f t="shared" si="61"/>
        <v/>
      </c>
      <c r="AJ332" s="10" t="str">
        <f t="shared" si="62"/>
        <v/>
      </c>
      <c r="AK332" s="10" t="str">
        <f t="shared" si="63"/>
        <v/>
      </c>
      <c r="AL332" s="14" t="str">
        <f t="shared" si="64"/>
        <v/>
      </c>
    </row>
    <row r="333" spans="1:38" x14ac:dyDescent="0.2">
      <c r="A333"/>
      <c r="B333" t="str">
        <f>IF($A333="","",VLOOKUP($A333,JupData!$A$2:$I$10000,4,FALSE))</f>
        <v/>
      </c>
      <c r="C333" s="7" t="str">
        <f>IF($A333="",IF(N(D333),0,""),VLOOKUP($A333,JupData!$A$2:$I$10000,7,FALSE))</f>
        <v/>
      </c>
      <c r="D333" t="str">
        <f t="shared" si="65"/>
        <v/>
      </c>
      <c r="E333" t="str">
        <f t="array" ref="E333">IF($A333="","",INDEX(JupData!$A$2:$K$10000,MATCH($A333&amp;E$1,JupData!$A$2:$A$10000&amp;JupData!$J$2:$J$10000,0),11))</f>
        <v/>
      </c>
      <c r="F333" t="str">
        <f t="array" ref="F333">IF($A333="","",INDEX(JupData!$A$2:$K$10000,MATCH($A333&amp;F$1,JupData!$A$2:$A$10000&amp;JupData!$J$2:$J$10000,0),11))</f>
        <v/>
      </c>
      <c r="G333" t="str">
        <f t="array" ref="G333">IF($A333="","",INDEX(JupData!$A$2:$K$10000,MATCH($A333&amp;G$1,JupData!$A$2:$A$10000&amp;JupData!$J$2:$J$10000,0),11))</f>
        <v/>
      </c>
      <c r="H333" t="str">
        <f t="array" ref="H333">IF($A333="","",INDEX(JupData!$A$2:$K$10000,MATCH($A333&amp;H$1,JupData!$A$2:$A$10000&amp;JupData!$J$2:$J$10000,0),11))</f>
        <v/>
      </c>
      <c r="I333" t="str">
        <f t="array" ref="I333">IF($A333="","",INDEX(JupData!$A$2:$K$10000,MATCH($A333&amp;I$1,JupData!$A$2:$A$10000&amp;JupData!$J$2:$J$10000,0),11))</f>
        <v/>
      </c>
      <c r="J333" t="str">
        <f t="array" ref="J333">IF($A333="","",INDEX(JupData!$A$2:$K$10000,MATCH($A333&amp;J$1,JupData!$A$2:$A$10000&amp;JupData!$J$2:$J$10000,0),11))</f>
        <v/>
      </c>
      <c r="K333" t="str">
        <f t="array" ref="K333">IF($A333="","",INDEX(JupData!$A$2:$K$10000,MATCH($A333&amp;K$1,JupData!$A$2:$A$10000&amp;JupData!$J$2:$J$10000,0),11))</f>
        <v/>
      </c>
      <c r="L333" t="str">
        <f t="array" ref="L333">IF($A333="","",INDEX(JupData!$A$2:$K$10000,MATCH($A333&amp;L$1,JupData!$A$2:$A$10000&amp;JupData!$J$2:$J$10000,0),11))</f>
        <v/>
      </c>
      <c r="M333" t="str">
        <f t="array" ref="M333">IF($A333="","",INDEX(JupData!$A$2:$K$10000,MATCH($A333&amp;M$1,JupData!$A$2:$A$10000&amp;JupData!$J$2:$J$10000,0),11))</f>
        <v/>
      </c>
      <c r="N333" t="str">
        <f t="array" ref="N333">IF($A333="","",INDEX(JupData!$A$2:$K$10000,MATCH($A333&amp;N$1,JupData!$A$2:$A$10000&amp;JupData!$J$2:$J$10000,0),11))</f>
        <v/>
      </c>
      <c r="O333" t="str">
        <f t="array" ref="O333">IF($A333="","",INDEX(JupData!$A$2:$K$10000,MATCH($A333&amp;O$1,JupData!$A$2:$A$10000&amp;JupData!$J$2:$J$10000,0),11))</f>
        <v/>
      </c>
      <c r="P333" t="str">
        <f t="array" ref="P333">IF($A333="","",INDEX(JupData!$A$2:$K$10000,MATCH($A333&amp;P$1,JupData!$A$2:$A$10000&amp;JupData!$J$2:$J$10000,0),11))</f>
        <v/>
      </c>
      <c r="Q333" t="str">
        <f t="array" ref="Q333">IF($A333="","",INDEX(JupData!$A$2:$K$10000,MATCH($A333&amp;Q$1,JupData!$A$2:$A$10000&amp;JupData!$J$2:$J$10000,0),11))</f>
        <v/>
      </c>
      <c r="R333" t="str">
        <f t="array" ref="R333">IF($A333="","",INDEX(JupData!$A$2:$K$10000,MATCH($A333&amp;R$1,JupData!$A$2:$A$10000&amp;JupData!$J$2:$J$10000,0),11))</f>
        <v/>
      </c>
      <c r="S333" t="str">
        <f t="array" ref="S333">IF($A333="","",INDEX(JupData!$A$2:$K$10000,MATCH($A333&amp;S$1,JupData!$A$2:$A$10000&amp;JupData!$J$2:$J$10000,0),11))</f>
        <v/>
      </c>
      <c r="T333" t="str">
        <f t="array" ref="T333">IF($A333="","",INDEX(JupData!$A$2:$K$10000,MATCH($A333&amp;T$1,JupData!$A$2:$A$10000&amp;JupData!$J$2:$J$10000,0),11))</f>
        <v/>
      </c>
      <c r="U333" t="str">
        <f t="array" ref="U333">IF($A333="","",INDEX(JupData!$A$2:$K$10000,MATCH($A333&amp;U$1,JupData!$A$2:$A$10000&amp;JupData!$J$2:$J$10000,0),11))</f>
        <v/>
      </c>
      <c r="V333" t="str">
        <f t="array" ref="V333">IF($A333="","",INDEX(JupData!$A$2:$K$10000,MATCH($A333&amp;V$1,JupData!$A$2:$A$10000&amp;JupData!$J$2:$J$10000,0),11))</f>
        <v/>
      </c>
      <c r="W333" t="str">
        <f t="array" ref="W333">IF($A333="","",INDEX(JupData!$A$2:$K$10000,MATCH($A333&amp;W$1,JupData!$A$2:$A$10000&amp;JupData!$J$2:$J$10000,0),11))</f>
        <v/>
      </c>
      <c r="X333" t="str">
        <f t="array" ref="X333">IF($A333="","",INDEX(JupData!$A$2:$K$10000,MATCH($A333&amp;X$1,JupData!$A$2:$A$10000&amp;JupData!$J$2:$J$10000,0),11))</f>
        <v/>
      </c>
      <c r="Y333" t="str">
        <f t="array" ref="Y333">IF($A333="","",INDEX(JupData!$A$2:$K$10000,MATCH($A333&amp;Y$1,JupData!$A$2:$A$10000&amp;JupData!$J$2:$J$10000,0),11))</f>
        <v/>
      </c>
      <c r="Z333" t="str">
        <f t="array" ref="Z333">IF($A333="","",INDEX(JupData!$A$2:$K$10000,MATCH($A333&amp;Z$1,JupData!$A$2:$A$10000&amp;JupData!$J$2:$J$10000,0),11))</f>
        <v/>
      </c>
      <c r="AA333" t="str">
        <f t="array" ref="AA333">IF($A333="","",INDEX(JupData!$A$2:$K$10000,MATCH($A333&amp;AA$1,JupData!$A$2:$A$10000&amp;JupData!$J$2:$J$10000,0),11))</f>
        <v/>
      </c>
      <c r="AB333" t="str">
        <f t="array" ref="AB333">IF($A333="","",INDEX(JupData!$A$2:$K$10000,MATCH($A333&amp;AB$1,JupData!$A$2:$A$10000&amp;JupData!$J$2:$J$10000,0),11))</f>
        <v/>
      </c>
      <c r="AC333" s="10" t="str">
        <f t="shared" si="55"/>
        <v/>
      </c>
      <c r="AD333" s="10" t="str">
        <f t="shared" si="56"/>
        <v/>
      </c>
      <c r="AE333" s="9" t="str">
        <f t="shared" si="57"/>
        <v/>
      </c>
      <c r="AF333" s="10" t="str">
        <f t="shared" si="58"/>
        <v/>
      </c>
      <c r="AG333" s="10" t="str">
        <f t="shared" si="59"/>
        <v/>
      </c>
      <c r="AH333" s="10" t="str">
        <f t="shared" si="60"/>
        <v/>
      </c>
      <c r="AI333" s="10" t="str">
        <f t="shared" si="61"/>
        <v/>
      </c>
      <c r="AJ333" s="10" t="str">
        <f t="shared" si="62"/>
        <v/>
      </c>
      <c r="AK333" s="10" t="str">
        <f t="shared" si="63"/>
        <v/>
      </c>
      <c r="AL333" s="14" t="str">
        <f t="shared" si="64"/>
        <v/>
      </c>
    </row>
    <row r="334" spans="1:38" x14ac:dyDescent="0.2">
      <c r="A334"/>
      <c r="B334" t="str">
        <f>IF($A334="","",VLOOKUP($A334,JupData!$A$2:$I$10000,4,FALSE))</f>
        <v/>
      </c>
      <c r="C334" s="7" t="str">
        <f>IF($A334="",IF(N(D334),0,""),VLOOKUP($A334,JupData!$A$2:$I$10000,7,FALSE))</f>
        <v/>
      </c>
      <c r="D334" t="str">
        <f t="shared" si="65"/>
        <v/>
      </c>
      <c r="E334" t="str">
        <f t="array" ref="E334">IF($A334="","",INDEX(JupData!$A$2:$K$10000,MATCH($A334&amp;E$1,JupData!$A$2:$A$10000&amp;JupData!$J$2:$J$10000,0),11))</f>
        <v/>
      </c>
      <c r="F334" t="str">
        <f t="array" ref="F334">IF($A334="","",INDEX(JupData!$A$2:$K$10000,MATCH($A334&amp;F$1,JupData!$A$2:$A$10000&amp;JupData!$J$2:$J$10000,0),11))</f>
        <v/>
      </c>
      <c r="G334" t="str">
        <f t="array" ref="G334">IF($A334="","",INDEX(JupData!$A$2:$K$10000,MATCH($A334&amp;G$1,JupData!$A$2:$A$10000&amp;JupData!$J$2:$J$10000,0),11))</f>
        <v/>
      </c>
      <c r="H334" t="str">
        <f t="array" ref="H334">IF($A334="","",INDEX(JupData!$A$2:$K$10000,MATCH($A334&amp;H$1,JupData!$A$2:$A$10000&amp;JupData!$J$2:$J$10000,0),11))</f>
        <v/>
      </c>
      <c r="I334" t="str">
        <f t="array" ref="I334">IF($A334="","",INDEX(JupData!$A$2:$K$10000,MATCH($A334&amp;I$1,JupData!$A$2:$A$10000&amp;JupData!$J$2:$J$10000,0),11))</f>
        <v/>
      </c>
      <c r="J334" t="str">
        <f t="array" ref="J334">IF($A334="","",INDEX(JupData!$A$2:$K$10000,MATCH($A334&amp;J$1,JupData!$A$2:$A$10000&amp;JupData!$J$2:$J$10000,0),11))</f>
        <v/>
      </c>
      <c r="K334" t="str">
        <f t="array" ref="K334">IF($A334="","",INDEX(JupData!$A$2:$K$10000,MATCH($A334&amp;K$1,JupData!$A$2:$A$10000&amp;JupData!$J$2:$J$10000,0),11))</f>
        <v/>
      </c>
      <c r="L334" t="str">
        <f t="array" ref="L334">IF($A334="","",INDEX(JupData!$A$2:$K$10000,MATCH($A334&amp;L$1,JupData!$A$2:$A$10000&amp;JupData!$J$2:$J$10000,0),11))</f>
        <v/>
      </c>
      <c r="M334" t="str">
        <f t="array" ref="M334">IF($A334="","",INDEX(JupData!$A$2:$K$10000,MATCH($A334&amp;M$1,JupData!$A$2:$A$10000&amp;JupData!$J$2:$J$10000,0),11))</f>
        <v/>
      </c>
      <c r="N334" t="str">
        <f t="array" ref="N334">IF($A334="","",INDEX(JupData!$A$2:$K$10000,MATCH($A334&amp;N$1,JupData!$A$2:$A$10000&amp;JupData!$J$2:$J$10000,0),11))</f>
        <v/>
      </c>
      <c r="O334" t="str">
        <f t="array" ref="O334">IF($A334="","",INDEX(JupData!$A$2:$K$10000,MATCH($A334&amp;O$1,JupData!$A$2:$A$10000&amp;JupData!$J$2:$J$10000,0),11))</f>
        <v/>
      </c>
      <c r="P334" t="str">
        <f t="array" ref="P334">IF($A334="","",INDEX(JupData!$A$2:$K$10000,MATCH($A334&amp;P$1,JupData!$A$2:$A$10000&amp;JupData!$J$2:$J$10000,0),11))</f>
        <v/>
      </c>
      <c r="Q334" t="str">
        <f t="array" ref="Q334">IF($A334="","",INDEX(JupData!$A$2:$K$10000,MATCH($A334&amp;Q$1,JupData!$A$2:$A$10000&amp;JupData!$J$2:$J$10000,0),11))</f>
        <v/>
      </c>
      <c r="R334" t="str">
        <f t="array" ref="R334">IF($A334="","",INDEX(JupData!$A$2:$K$10000,MATCH($A334&amp;R$1,JupData!$A$2:$A$10000&amp;JupData!$J$2:$J$10000,0),11))</f>
        <v/>
      </c>
      <c r="S334" t="str">
        <f t="array" ref="S334">IF($A334="","",INDEX(JupData!$A$2:$K$10000,MATCH($A334&amp;S$1,JupData!$A$2:$A$10000&amp;JupData!$J$2:$J$10000,0),11))</f>
        <v/>
      </c>
      <c r="T334" t="str">
        <f t="array" ref="T334">IF($A334="","",INDEX(JupData!$A$2:$K$10000,MATCH($A334&amp;T$1,JupData!$A$2:$A$10000&amp;JupData!$J$2:$J$10000,0),11))</f>
        <v/>
      </c>
      <c r="U334" t="str">
        <f t="array" ref="U334">IF($A334="","",INDEX(JupData!$A$2:$K$10000,MATCH($A334&amp;U$1,JupData!$A$2:$A$10000&amp;JupData!$J$2:$J$10000,0),11))</f>
        <v/>
      </c>
      <c r="V334" t="str">
        <f t="array" ref="V334">IF($A334="","",INDEX(JupData!$A$2:$K$10000,MATCH($A334&amp;V$1,JupData!$A$2:$A$10000&amp;JupData!$J$2:$J$10000,0),11))</f>
        <v/>
      </c>
      <c r="W334" t="str">
        <f t="array" ref="W334">IF($A334="","",INDEX(JupData!$A$2:$K$10000,MATCH($A334&amp;W$1,JupData!$A$2:$A$10000&amp;JupData!$J$2:$J$10000,0),11))</f>
        <v/>
      </c>
      <c r="X334" t="str">
        <f t="array" ref="X334">IF($A334="","",INDEX(JupData!$A$2:$K$10000,MATCH($A334&amp;X$1,JupData!$A$2:$A$10000&amp;JupData!$J$2:$J$10000,0),11))</f>
        <v/>
      </c>
      <c r="Y334" t="str">
        <f t="array" ref="Y334">IF($A334="","",INDEX(JupData!$A$2:$K$10000,MATCH($A334&amp;Y$1,JupData!$A$2:$A$10000&amp;JupData!$J$2:$J$10000,0),11))</f>
        <v/>
      </c>
      <c r="Z334" t="str">
        <f t="array" ref="Z334">IF($A334="","",INDEX(JupData!$A$2:$K$10000,MATCH($A334&amp;Z$1,JupData!$A$2:$A$10000&amp;JupData!$J$2:$J$10000,0),11))</f>
        <v/>
      </c>
      <c r="AA334" t="str">
        <f t="array" ref="AA334">IF($A334="","",INDEX(JupData!$A$2:$K$10000,MATCH($A334&amp;AA$1,JupData!$A$2:$A$10000&amp;JupData!$J$2:$J$10000,0),11))</f>
        <v/>
      </c>
      <c r="AB334" t="str">
        <f t="array" ref="AB334">IF($A334="","",INDEX(JupData!$A$2:$K$10000,MATCH($A334&amp;AB$1,JupData!$A$2:$A$10000&amp;JupData!$J$2:$J$10000,0),11))</f>
        <v/>
      </c>
      <c r="AC334" s="10" t="str">
        <f t="shared" si="55"/>
        <v/>
      </c>
      <c r="AD334" s="10" t="str">
        <f t="shared" si="56"/>
        <v/>
      </c>
      <c r="AE334" s="9" t="str">
        <f t="shared" si="57"/>
        <v/>
      </c>
      <c r="AF334" s="10" t="str">
        <f t="shared" si="58"/>
        <v/>
      </c>
      <c r="AG334" s="10" t="str">
        <f t="shared" si="59"/>
        <v/>
      </c>
      <c r="AH334" s="10" t="str">
        <f t="shared" si="60"/>
        <v/>
      </c>
      <c r="AI334" s="10" t="str">
        <f t="shared" si="61"/>
        <v/>
      </c>
      <c r="AJ334" s="10" t="str">
        <f t="shared" si="62"/>
        <v/>
      </c>
      <c r="AK334" s="10" t="str">
        <f t="shared" si="63"/>
        <v/>
      </c>
      <c r="AL334" s="14" t="str">
        <f t="shared" si="64"/>
        <v/>
      </c>
    </row>
    <row r="335" spans="1:38" x14ac:dyDescent="0.2">
      <c r="A335"/>
      <c r="B335" t="str">
        <f>IF($A335="","",VLOOKUP($A335,JupData!$A$2:$I$10000,4,FALSE))</f>
        <v/>
      </c>
      <c r="C335" s="7" t="str">
        <f>IF($A335="",IF(N(D335),0,""),VLOOKUP($A335,JupData!$A$2:$I$10000,7,FALSE))</f>
        <v/>
      </c>
      <c r="D335" t="str">
        <f t="shared" si="65"/>
        <v/>
      </c>
      <c r="E335" t="str">
        <f t="array" ref="E335">IF($A335="","",INDEX(JupData!$A$2:$K$10000,MATCH($A335&amp;E$1,JupData!$A$2:$A$10000&amp;JupData!$J$2:$J$10000,0),11))</f>
        <v/>
      </c>
      <c r="F335" t="str">
        <f t="array" ref="F335">IF($A335="","",INDEX(JupData!$A$2:$K$10000,MATCH($A335&amp;F$1,JupData!$A$2:$A$10000&amp;JupData!$J$2:$J$10000,0),11))</f>
        <v/>
      </c>
      <c r="G335" t="str">
        <f t="array" ref="G335">IF($A335="","",INDEX(JupData!$A$2:$K$10000,MATCH($A335&amp;G$1,JupData!$A$2:$A$10000&amp;JupData!$J$2:$J$10000,0),11))</f>
        <v/>
      </c>
      <c r="H335" t="str">
        <f t="array" ref="H335">IF($A335="","",INDEX(JupData!$A$2:$K$10000,MATCH($A335&amp;H$1,JupData!$A$2:$A$10000&amp;JupData!$J$2:$J$10000,0),11))</f>
        <v/>
      </c>
      <c r="I335" t="str">
        <f t="array" ref="I335">IF($A335="","",INDEX(JupData!$A$2:$K$10000,MATCH($A335&amp;I$1,JupData!$A$2:$A$10000&amp;JupData!$J$2:$J$10000,0),11))</f>
        <v/>
      </c>
      <c r="J335" t="str">
        <f t="array" ref="J335">IF($A335="","",INDEX(JupData!$A$2:$K$10000,MATCH($A335&amp;J$1,JupData!$A$2:$A$10000&amp;JupData!$J$2:$J$10000,0),11))</f>
        <v/>
      </c>
      <c r="K335" t="str">
        <f t="array" ref="K335">IF($A335="","",INDEX(JupData!$A$2:$K$10000,MATCH($A335&amp;K$1,JupData!$A$2:$A$10000&amp;JupData!$J$2:$J$10000,0),11))</f>
        <v/>
      </c>
      <c r="L335" t="str">
        <f t="array" ref="L335">IF($A335="","",INDEX(JupData!$A$2:$K$10000,MATCH($A335&amp;L$1,JupData!$A$2:$A$10000&amp;JupData!$J$2:$J$10000,0),11))</f>
        <v/>
      </c>
      <c r="M335" t="str">
        <f t="array" ref="M335">IF($A335="","",INDEX(JupData!$A$2:$K$10000,MATCH($A335&amp;M$1,JupData!$A$2:$A$10000&amp;JupData!$J$2:$J$10000,0),11))</f>
        <v/>
      </c>
      <c r="N335" t="str">
        <f t="array" ref="N335">IF($A335="","",INDEX(JupData!$A$2:$K$10000,MATCH($A335&amp;N$1,JupData!$A$2:$A$10000&amp;JupData!$J$2:$J$10000,0),11))</f>
        <v/>
      </c>
      <c r="O335" t="str">
        <f t="array" ref="O335">IF($A335="","",INDEX(JupData!$A$2:$K$10000,MATCH($A335&amp;O$1,JupData!$A$2:$A$10000&amp;JupData!$J$2:$J$10000,0),11))</f>
        <v/>
      </c>
      <c r="P335" t="str">
        <f t="array" ref="P335">IF($A335="","",INDEX(JupData!$A$2:$K$10000,MATCH($A335&amp;P$1,JupData!$A$2:$A$10000&amp;JupData!$J$2:$J$10000,0),11))</f>
        <v/>
      </c>
      <c r="Q335" t="str">
        <f t="array" ref="Q335">IF($A335="","",INDEX(JupData!$A$2:$K$10000,MATCH($A335&amp;Q$1,JupData!$A$2:$A$10000&amp;JupData!$J$2:$J$10000,0),11))</f>
        <v/>
      </c>
      <c r="R335" t="str">
        <f t="array" ref="R335">IF($A335="","",INDEX(JupData!$A$2:$K$10000,MATCH($A335&amp;R$1,JupData!$A$2:$A$10000&amp;JupData!$J$2:$J$10000,0),11))</f>
        <v/>
      </c>
      <c r="S335" t="str">
        <f t="array" ref="S335">IF($A335="","",INDEX(JupData!$A$2:$K$10000,MATCH($A335&amp;S$1,JupData!$A$2:$A$10000&amp;JupData!$J$2:$J$10000,0),11))</f>
        <v/>
      </c>
      <c r="T335" t="str">
        <f t="array" ref="T335">IF($A335="","",INDEX(JupData!$A$2:$K$10000,MATCH($A335&amp;T$1,JupData!$A$2:$A$10000&amp;JupData!$J$2:$J$10000,0),11))</f>
        <v/>
      </c>
      <c r="U335" t="str">
        <f t="array" ref="U335">IF($A335="","",INDEX(JupData!$A$2:$K$10000,MATCH($A335&amp;U$1,JupData!$A$2:$A$10000&amp;JupData!$J$2:$J$10000,0),11))</f>
        <v/>
      </c>
      <c r="V335" t="str">
        <f t="array" ref="V335">IF($A335="","",INDEX(JupData!$A$2:$K$10000,MATCH($A335&amp;V$1,JupData!$A$2:$A$10000&amp;JupData!$J$2:$J$10000,0),11))</f>
        <v/>
      </c>
      <c r="W335" t="str">
        <f t="array" ref="W335">IF($A335="","",INDEX(JupData!$A$2:$K$10000,MATCH($A335&amp;W$1,JupData!$A$2:$A$10000&amp;JupData!$J$2:$J$10000,0),11))</f>
        <v/>
      </c>
      <c r="X335" t="str">
        <f t="array" ref="X335">IF($A335="","",INDEX(JupData!$A$2:$K$10000,MATCH($A335&amp;X$1,JupData!$A$2:$A$10000&amp;JupData!$J$2:$J$10000,0),11))</f>
        <v/>
      </c>
      <c r="Y335" t="str">
        <f t="array" ref="Y335">IF($A335="","",INDEX(JupData!$A$2:$K$10000,MATCH($A335&amp;Y$1,JupData!$A$2:$A$10000&amp;JupData!$J$2:$J$10000,0),11))</f>
        <v/>
      </c>
      <c r="Z335" t="str">
        <f t="array" ref="Z335">IF($A335="","",INDEX(JupData!$A$2:$K$10000,MATCH($A335&amp;Z$1,JupData!$A$2:$A$10000&amp;JupData!$J$2:$J$10000,0),11))</f>
        <v/>
      </c>
      <c r="AA335" t="str">
        <f t="array" ref="AA335">IF($A335="","",INDEX(JupData!$A$2:$K$10000,MATCH($A335&amp;AA$1,JupData!$A$2:$A$10000&amp;JupData!$J$2:$J$10000,0),11))</f>
        <v/>
      </c>
      <c r="AB335" t="str">
        <f t="array" ref="AB335">IF($A335="","",INDEX(JupData!$A$2:$K$10000,MATCH($A335&amp;AB$1,JupData!$A$2:$A$10000&amp;JupData!$J$2:$J$10000,0),11))</f>
        <v/>
      </c>
      <c r="AC335" s="10" t="str">
        <f t="shared" si="55"/>
        <v/>
      </c>
      <c r="AD335" s="10" t="str">
        <f t="shared" si="56"/>
        <v/>
      </c>
      <c r="AE335" s="9" t="str">
        <f t="shared" si="57"/>
        <v/>
      </c>
      <c r="AF335" s="10" t="str">
        <f t="shared" si="58"/>
        <v/>
      </c>
      <c r="AG335" s="10" t="str">
        <f t="shared" si="59"/>
        <v/>
      </c>
      <c r="AH335" s="10" t="str">
        <f t="shared" si="60"/>
        <v/>
      </c>
      <c r="AI335" s="10" t="str">
        <f t="shared" si="61"/>
        <v/>
      </c>
      <c r="AJ335" s="10" t="str">
        <f t="shared" si="62"/>
        <v/>
      </c>
      <c r="AK335" s="10" t="str">
        <f t="shared" si="63"/>
        <v/>
      </c>
      <c r="AL335" s="14" t="str">
        <f t="shared" si="64"/>
        <v/>
      </c>
    </row>
    <row r="336" spans="1:38" x14ac:dyDescent="0.2">
      <c r="A336"/>
      <c r="B336" t="str">
        <f>IF($A336="","",VLOOKUP($A336,JupData!$A$2:$I$10000,4,FALSE))</f>
        <v/>
      </c>
      <c r="C336" s="7" t="str">
        <f>IF($A336="",IF(N(D336),0,""),VLOOKUP($A336,JupData!$A$2:$I$10000,7,FALSE))</f>
        <v/>
      </c>
      <c r="D336" t="str">
        <f t="shared" si="65"/>
        <v/>
      </c>
      <c r="E336" t="str">
        <f t="array" ref="E336">IF($A336="","",INDEX(JupData!$A$2:$K$10000,MATCH($A336&amp;E$1,JupData!$A$2:$A$10000&amp;JupData!$J$2:$J$10000,0),11))</f>
        <v/>
      </c>
      <c r="F336" t="str">
        <f t="array" ref="F336">IF($A336="","",INDEX(JupData!$A$2:$K$10000,MATCH($A336&amp;F$1,JupData!$A$2:$A$10000&amp;JupData!$J$2:$J$10000,0),11))</f>
        <v/>
      </c>
      <c r="G336" t="str">
        <f t="array" ref="G336">IF($A336="","",INDEX(JupData!$A$2:$K$10000,MATCH($A336&amp;G$1,JupData!$A$2:$A$10000&amp;JupData!$J$2:$J$10000,0),11))</f>
        <v/>
      </c>
      <c r="H336" t="str">
        <f t="array" ref="H336">IF($A336="","",INDEX(JupData!$A$2:$K$10000,MATCH($A336&amp;H$1,JupData!$A$2:$A$10000&amp;JupData!$J$2:$J$10000,0),11))</f>
        <v/>
      </c>
      <c r="I336" t="str">
        <f t="array" ref="I336">IF($A336="","",INDEX(JupData!$A$2:$K$10000,MATCH($A336&amp;I$1,JupData!$A$2:$A$10000&amp;JupData!$J$2:$J$10000,0),11))</f>
        <v/>
      </c>
      <c r="J336" t="str">
        <f t="array" ref="J336">IF($A336="","",INDEX(JupData!$A$2:$K$10000,MATCH($A336&amp;J$1,JupData!$A$2:$A$10000&amp;JupData!$J$2:$J$10000,0),11))</f>
        <v/>
      </c>
      <c r="K336" t="str">
        <f t="array" ref="K336">IF($A336="","",INDEX(JupData!$A$2:$K$10000,MATCH($A336&amp;K$1,JupData!$A$2:$A$10000&amp;JupData!$J$2:$J$10000,0),11))</f>
        <v/>
      </c>
      <c r="L336" t="str">
        <f t="array" ref="L336">IF($A336="","",INDEX(JupData!$A$2:$K$10000,MATCH($A336&amp;L$1,JupData!$A$2:$A$10000&amp;JupData!$J$2:$J$10000,0),11))</f>
        <v/>
      </c>
      <c r="M336" t="str">
        <f t="array" ref="M336">IF($A336="","",INDEX(JupData!$A$2:$K$10000,MATCH($A336&amp;M$1,JupData!$A$2:$A$10000&amp;JupData!$J$2:$J$10000,0),11))</f>
        <v/>
      </c>
      <c r="N336" t="str">
        <f t="array" ref="N336">IF($A336="","",INDEX(JupData!$A$2:$K$10000,MATCH($A336&amp;N$1,JupData!$A$2:$A$10000&amp;JupData!$J$2:$J$10000,0),11))</f>
        <v/>
      </c>
      <c r="O336" t="str">
        <f t="array" ref="O336">IF($A336="","",INDEX(JupData!$A$2:$K$10000,MATCH($A336&amp;O$1,JupData!$A$2:$A$10000&amp;JupData!$J$2:$J$10000,0),11))</f>
        <v/>
      </c>
      <c r="P336" t="str">
        <f t="array" ref="P336">IF($A336="","",INDEX(JupData!$A$2:$K$10000,MATCH($A336&amp;P$1,JupData!$A$2:$A$10000&amp;JupData!$J$2:$J$10000,0),11))</f>
        <v/>
      </c>
      <c r="Q336" t="str">
        <f t="array" ref="Q336">IF($A336="","",INDEX(JupData!$A$2:$K$10000,MATCH($A336&amp;Q$1,JupData!$A$2:$A$10000&amp;JupData!$J$2:$J$10000,0),11))</f>
        <v/>
      </c>
      <c r="R336" t="str">
        <f t="array" ref="R336">IF($A336="","",INDEX(JupData!$A$2:$K$10000,MATCH($A336&amp;R$1,JupData!$A$2:$A$10000&amp;JupData!$J$2:$J$10000,0),11))</f>
        <v/>
      </c>
      <c r="S336" t="str">
        <f t="array" ref="S336">IF($A336="","",INDEX(JupData!$A$2:$K$10000,MATCH($A336&amp;S$1,JupData!$A$2:$A$10000&amp;JupData!$J$2:$J$10000,0),11))</f>
        <v/>
      </c>
      <c r="T336" t="str">
        <f t="array" ref="T336">IF($A336="","",INDEX(JupData!$A$2:$K$10000,MATCH($A336&amp;T$1,JupData!$A$2:$A$10000&amp;JupData!$J$2:$J$10000,0),11))</f>
        <v/>
      </c>
      <c r="U336" t="str">
        <f t="array" ref="U336">IF($A336="","",INDEX(JupData!$A$2:$K$10000,MATCH($A336&amp;U$1,JupData!$A$2:$A$10000&amp;JupData!$J$2:$J$10000,0),11))</f>
        <v/>
      </c>
      <c r="V336" t="str">
        <f t="array" ref="V336">IF($A336="","",INDEX(JupData!$A$2:$K$10000,MATCH($A336&amp;V$1,JupData!$A$2:$A$10000&amp;JupData!$J$2:$J$10000,0),11))</f>
        <v/>
      </c>
      <c r="W336" t="str">
        <f t="array" ref="W336">IF($A336="","",INDEX(JupData!$A$2:$K$10000,MATCH($A336&amp;W$1,JupData!$A$2:$A$10000&amp;JupData!$J$2:$J$10000,0),11))</f>
        <v/>
      </c>
      <c r="X336" t="str">
        <f t="array" ref="X336">IF($A336="","",INDEX(JupData!$A$2:$K$10000,MATCH($A336&amp;X$1,JupData!$A$2:$A$10000&amp;JupData!$J$2:$J$10000,0),11))</f>
        <v/>
      </c>
      <c r="Y336" t="str">
        <f t="array" ref="Y336">IF($A336="","",INDEX(JupData!$A$2:$K$10000,MATCH($A336&amp;Y$1,JupData!$A$2:$A$10000&amp;JupData!$J$2:$J$10000,0),11))</f>
        <v/>
      </c>
      <c r="Z336" t="str">
        <f t="array" ref="Z336">IF($A336="","",INDEX(JupData!$A$2:$K$10000,MATCH($A336&amp;Z$1,JupData!$A$2:$A$10000&amp;JupData!$J$2:$J$10000,0),11))</f>
        <v/>
      </c>
      <c r="AA336" t="str">
        <f t="array" ref="AA336">IF($A336="","",INDEX(JupData!$A$2:$K$10000,MATCH($A336&amp;AA$1,JupData!$A$2:$A$10000&amp;JupData!$J$2:$J$10000,0),11))</f>
        <v/>
      </c>
      <c r="AB336" t="str">
        <f t="array" ref="AB336">IF($A336="","",INDEX(JupData!$A$2:$K$10000,MATCH($A336&amp;AB$1,JupData!$A$2:$A$10000&amp;JupData!$J$2:$J$10000,0),11))</f>
        <v/>
      </c>
      <c r="AC336" s="10" t="str">
        <f t="shared" si="55"/>
        <v/>
      </c>
      <c r="AD336" s="10" t="str">
        <f t="shared" si="56"/>
        <v/>
      </c>
      <c r="AE336" s="9" t="str">
        <f t="shared" si="57"/>
        <v/>
      </c>
      <c r="AF336" s="10" t="str">
        <f t="shared" si="58"/>
        <v/>
      </c>
      <c r="AG336" s="10" t="str">
        <f t="shared" si="59"/>
        <v/>
      </c>
      <c r="AH336" s="10" t="str">
        <f t="shared" si="60"/>
        <v/>
      </c>
      <c r="AI336" s="10" t="str">
        <f t="shared" si="61"/>
        <v/>
      </c>
      <c r="AJ336" s="10" t="str">
        <f t="shared" si="62"/>
        <v/>
      </c>
      <c r="AK336" s="10" t="str">
        <f t="shared" si="63"/>
        <v/>
      </c>
      <c r="AL336" s="14" t="str">
        <f t="shared" si="64"/>
        <v/>
      </c>
    </row>
    <row r="337" spans="1:38" x14ac:dyDescent="0.2">
      <c r="A337"/>
      <c r="B337" t="str">
        <f>IF($A337="","",VLOOKUP($A337,JupData!$A$2:$I$10000,4,FALSE))</f>
        <v/>
      </c>
      <c r="C337" s="7" t="str">
        <f>IF($A337="",IF(N(D337),0,""),VLOOKUP($A337,JupData!$A$2:$I$10000,7,FALSE))</f>
        <v/>
      </c>
      <c r="D337" t="str">
        <f t="shared" si="65"/>
        <v/>
      </c>
      <c r="E337" t="str">
        <f t="array" ref="E337">IF($A337="","",INDEX(JupData!$A$2:$K$10000,MATCH($A337&amp;E$1,JupData!$A$2:$A$10000&amp;JupData!$J$2:$J$10000,0),11))</f>
        <v/>
      </c>
      <c r="F337" t="str">
        <f t="array" ref="F337">IF($A337="","",INDEX(JupData!$A$2:$K$10000,MATCH($A337&amp;F$1,JupData!$A$2:$A$10000&amp;JupData!$J$2:$J$10000,0),11))</f>
        <v/>
      </c>
      <c r="G337" t="str">
        <f t="array" ref="G337">IF($A337="","",INDEX(JupData!$A$2:$K$10000,MATCH($A337&amp;G$1,JupData!$A$2:$A$10000&amp;JupData!$J$2:$J$10000,0),11))</f>
        <v/>
      </c>
      <c r="H337" t="str">
        <f t="array" ref="H337">IF($A337="","",INDEX(JupData!$A$2:$K$10000,MATCH($A337&amp;H$1,JupData!$A$2:$A$10000&amp;JupData!$J$2:$J$10000,0),11))</f>
        <v/>
      </c>
      <c r="I337" t="str">
        <f t="array" ref="I337">IF($A337="","",INDEX(JupData!$A$2:$K$10000,MATCH($A337&amp;I$1,JupData!$A$2:$A$10000&amp;JupData!$J$2:$J$10000,0),11))</f>
        <v/>
      </c>
      <c r="J337" t="str">
        <f t="array" ref="J337">IF($A337="","",INDEX(JupData!$A$2:$K$10000,MATCH($A337&amp;J$1,JupData!$A$2:$A$10000&amp;JupData!$J$2:$J$10000,0),11))</f>
        <v/>
      </c>
      <c r="K337" t="str">
        <f t="array" ref="K337">IF($A337="","",INDEX(JupData!$A$2:$K$10000,MATCH($A337&amp;K$1,JupData!$A$2:$A$10000&amp;JupData!$J$2:$J$10000,0),11))</f>
        <v/>
      </c>
      <c r="L337" t="str">
        <f t="array" ref="L337">IF($A337="","",INDEX(JupData!$A$2:$K$10000,MATCH($A337&amp;L$1,JupData!$A$2:$A$10000&amp;JupData!$J$2:$J$10000,0),11))</f>
        <v/>
      </c>
      <c r="M337" t="str">
        <f t="array" ref="M337">IF($A337="","",INDEX(JupData!$A$2:$K$10000,MATCH($A337&amp;M$1,JupData!$A$2:$A$10000&amp;JupData!$J$2:$J$10000,0),11))</f>
        <v/>
      </c>
      <c r="N337" t="str">
        <f t="array" ref="N337">IF($A337="","",INDEX(JupData!$A$2:$K$10000,MATCH($A337&amp;N$1,JupData!$A$2:$A$10000&amp;JupData!$J$2:$J$10000,0),11))</f>
        <v/>
      </c>
      <c r="O337" t="str">
        <f t="array" ref="O337">IF($A337="","",INDEX(JupData!$A$2:$K$10000,MATCH($A337&amp;O$1,JupData!$A$2:$A$10000&amp;JupData!$J$2:$J$10000,0),11))</f>
        <v/>
      </c>
      <c r="P337" t="str">
        <f t="array" ref="P337">IF($A337="","",INDEX(JupData!$A$2:$K$10000,MATCH($A337&amp;P$1,JupData!$A$2:$A$10000&amp;JupData!$J$2:$J$10000,0),11))</f>
        <v/>
      </c>
      <c r="Q337" t="str">
        <f t="array" ref="Q337">IF($A337="","",INDEX(JupData!$A$2:$K$10000,MATCH($A337&amp;Q$1,JupData!$A$2:$A$10000&amp;JupData!$J$2:$J$10000,0),11))</f>
        <v/>
      </c>
      <c r="R337" t="str">
        <f t="array" ref="R337">IF($A337="","",INDEX(JupData!$A$2:$K$10000,MATCH($A337&amp;R$1,JupData!$A$2:$A$10000&amp;JupData!$J$2:$J$10000,0),11))</f>
        <v/>
      </c>
      <c r="S337" t="str">
        <f t="array" ref="S337">IF($A337="","",INDEX(JupData!$A$2:$K$10000,MATCH($A337&amp;S$1,JupData!$A$2:$A$10000&amp;JupData!$J$2:$J$10000,0),11))</f>
        <v/>
      </c>
      <c r="T337" t="str">
        <f t="array" ref="T337">IF($A337="","",INDEX(JupData!$A$2:$K$10000,MATCH($A337&amp;T$1,JupData!$A$2:$A$10000&amp;JupData!$J$2:$J$10000,0),11))</f>
        <v/>
      </c>
      <c r="U337" t="str">
        <f t="array" ref="U337">IF($A337="","",INDEX(JupData!$A$2:$K$10000,MATCH($A337&amp;U$1,JupData!$A$2:$A$10000&amp;JupData!$J$2:$J$10000,0),11))</f>
        <v/>
      </c>
      <c r="V337" t="str">
        <f t="array" ref="V337">IF($A337="","",INDEX(JupData!$A$2:$K$10000,MATCH($A337&amp;V$1,JupData!$A$2:$A$10000&amp;JupData!$J$2:$J$10000,0),11))</f>
        <v/>
      </c>
      <c r="W337" t="str">
        <f t="array" ref="W337">IF($A337="","",INDEX(JupData!$A$2:$K$10000,MATCH($A337&amp;W$1,JupData!$A$2:$A$10000&amp;JupData!$J$2:$J$10000,0),11))</f>
        <v/>
      </c>
      <c r="X337" t="str">
        <f t="array" ref="X337">IF($A337="","",INDEX(JupData!$A$2:$K$10000,MATCH($A337&amp;X$1,JupData!$A$2:$A$10000&amp;JupData!$J$2:$J$10000,0),11))</f>
        <v/>
      </c>
      <c r="Y337" t="str">
        <f t="array" ref="Y337">IF($A337="","",INDEX(JupData!$A$2:$K$10000,MATCH($A337&amp;Y$1,JupData!$A$2:$A$10000&amp;JupData!$J$2:$J$10000,0),11))</f>
        <v/>
      </c>
      <c r="Z337" t="str">
        <f t="array" ref="Z337">IF($A337="","",INDEX(JupData!$A$2:$K$10000,MATCH($A337&amp;Z$1,JupData!$A$2:$A$10000&amp;JupData!$J$2:$J$10000,0),11))</f>
        <v/>
      </c>
      <c r="AA337" t="str">
        <f t="array" ref="AA337">IF($A337="","",INDEX(JupData!$A$2:$K$10000,MATCH($A337&amp;AA$1,JupData!$A$2:$A$10000&amp;JupData!$J$2:$J$10000,0),11))</f>
        <v/>
      </c>
      <c r="AB337" t="str">
        <f t="array" ref="AB337">IF($A337="","",INDEX(JupData!$A$2:$K$10000,MATCH($A337&amp;AB$1,JupData!$A$2:$A$10000&amp;JupData!$J$2:$J$10000,0),11))</f>
        <v/>
      </c>
      <c r="AC337" s="10" t="str">
        <f t="shared" si="55"/>
        <v/>
      </c>
      <c r="AD337" s="10" t="str">
        <f t="shared" si="56"/>
        <v/>
      </c>
      <c r="AE337" s="9" t="str">
        <f t="shared" si="57"/>
        <v/>
      </c>
      <c r="AF337" s="10" t="str">
        <f t="shared" si="58"/>
        <v/>
      </c>
      <c r="AG337" s="10" t="str">
        <f t="shared" si="59"/>
        <v/>
      </c>
      <c r="AH337" s="10" t="str">
        <f t="shared" si="60"/>
        <v/>
      </c>
      <c r="AI337" s="10" t="str">
        <f t="shared" si="61"/>
        <v/>
      </c>
      <c r="AJ337" s="10" t="str">
        <f t="shared" si="62"/>
        <v/>
      </c>
      <c r="AK337" s="10" t="str">
        <f t="shared" si="63"/>
        <v/>
      </c>
      <c r="AL337" s="14" t="str">
        <f t="shared" si="64"/>
        <v/>
      </c>
    </row>
    <row r="338" spans="1:38" x14ac:dyDescent="0.2">
      <c r="A338"/>
      <c r="B338" t="str">
        <f>IF($A338="","",VLOOKUP($A338,JupData!$A$2:$I$10000,4,FALSE))</f>
        <v/>
      </c>
      <c r="C338" s="7" t="str">
        <f>IF($A338="",IF(N(D338),0,""),VLOOKUP($A338,JupData!$A$2:$I$10000,7,FALSE))</f>
        <v/>
      </c>
      <c r="D338" t="str">
        <f t="shared" si="65"/>
        <v/>
      </c>
      <c r="E338" t="str">
        <f t="array" ref="E338">IF($A338="","",INDEX(JupData!$A$2:$K$10000,MATCH($A338&amp;E$1,JupData!$A$2:$A$10000&amp;JupData!$J$2:$J$10000,0),11))</f>
        <v/>
      </c>
      <c r="F338" t="str">
        <f t="array" ref="F338">IF($A338="","",INDEX(JupData!$A$2:$K$10000,MATCH($A338&amp;F$1,JupData!$A$2:$A$10000&amp;JupData!$J$2:$J$10000,0),11))</f>
        <v/>
      </c>
      <c r="G338" t="str">
        <f t="array" ref="G338">IF($A338="","",INDEX(JupData!$A$2:$K$10000,MATCH($A338&amp;G$1,JupData!$A$2:$A$10000&amp;JupData!$J$2:$J$10000,0),11))</f>
        <v/>
      </c>
      <c r="H338" t="str">
        <f t="array" ref="H338">IF($A338="","",INDEX(JupData!$A$2:$K$10000,MATCH($A338&amp;H$1,JupData!$A$2:$A$10000&amp;JupData!$J$2:$J$10000,0),11))</f>
        <v/>
      </c>
      <c r="I338" t="str">
        <f t="array" ref="I338">IF($A338="","",INDEX(JupData!$A$2:$K$10000,MATCH($A338&amp;I$1,JupData!$A$2:$A$10000&amp;JupData!$J$2:$J$10000,0),11))</f>
        <v/>
      </c>
      <c r="J338" t="str">
        <f t="array" ref="J338">IF($A338="","",INDEX(JupData!$A$2:$K$10000,MATCH($A338&amp;J$1,JupData!$A$2:$A$10000&amp;JupData!$J$2:$J$10000,0),11))</f>
        <v/>
      </c>
      <c r="K338" t="str">
        <f t="array" ref="K338">IF($A338="","",INDEX(JupData!$A$2:$K$10000,MATCH($A338&amp;K$1,JupData!$A$2:$A$10000&amp;JupData!$J$2:$J$10000,0),11))</f>
        <v/>
      </c>
      <c r="L338" t="str">
        <f t="array" ref="L338">IF($A338="","",INDEX(JupData!$A$2:$K$10000,MATCH($A338&amp;L$1,JupData!$A$2:$A$10000&amp;JupData!$J$2:$J$10000,0),11))</f>
        <v/>
      </c>
      <c r="M338" t="str">
        <f t="array" ref="M338">IF($A338="","",INDEX(JupData!$A$2:$K$10000,MATCH($A338&amp;M$1,JupData!$A$2:$A$10000&amp;JupData!$J$2:$J$10000,0),11))</f>
        <v/>
      </c>
      <c r="N338" t="str">
        <f t="array" ref="N338">IF($A338="","",INDEX(JupData!$A$2:$K$10000,MATCH($A338&amp;N$1,JupData!$A$2:$A$10000&amp;JupData!$J$2:$J$10000,0),11))</f>
        <v/>
      </c>
      <c r="O338" t="str">
        <f t="array" ref="O338">IF($A338="","",INDEX(JupData!$A$2:$K$10000,MATCH($A338&amp;O$1,JupData!$A$2:$A$10000&amp;JupData!$J$2:$J$10000,0),11))</f>
        <v/>
      </c>
      <c r="P338" t="str">
        <f t="array" ref="P338">IF($A338="","",INDEX(JupData!$A$2:$K$10000,MATCH($A338&amp;P$1,JupData!$A$2:$A$10000&amp;JupData!$J$2:$J$10000,0),11))</f>
        <v/>
      </c>
      <c r="Q338" t="str">
        <f t="array" ref="Q338">IF($A338="","",INDEX(JupData!$A$2:$K$10000,MATCH($A338&amp;Q$1,JupData!$A$2:$A$10000&amp;JupData!$J$2:$J$10000,0),11))</f>
        <v/>
      </c>
      <c r="R338" t="str">
        <f t="array" ref="R338">IF($A338="","",INDEX(JupData!$A$2:$K$10000,MATCH($A338&amp;R$1,JupData!$A$2:$A$10000&amp;JupData!$J$2:$J$10000,0),11))</f>
        <v/>
      </c>
      <c r="S338" t="str">
        <f t="array" ref="S338">IF($A338="","",INDEX(JupData!$A$2:$K$10000,MATCH($A338&amp;S$1,JupData!$A$2:$A$10000&amp;JupData!$J$2:$J$10000,0),11))</f>
        <v/>
      </c>
      <c r="T338" t="str">
        <f t="array" ref="T338">IF($A338="","",INDEX(JupData!$A$2:$K$10000,MATCH($A338&amp;T$1,JupData!$A$2:$A$10000&amp;JupData!$J$2:$J$10000,0),11))</f>
        <v/>
      </c>
      <c r="U338" t="str">
        <f t="array" ref="U338">IF($A338="","",INDEX(JupData!$A$2:$K$10000,MATCH($A338&amp;U$1,JupData!$A$2:$A$10000&amp;JupData!$J$2:$J$10000,0),11))</f>
        <v/>
      </c>
      <c r="V338" t="str">
        <f t="array" ref="V338">IF($A338="","",INDEX(JupData!$A$2:$K$10000,MATCH($A338&amp;V$1,JupData!$A$2:$A$10000&amp;JupData!$J$2:$J$10000,0),11))</f>
        <v/>
      </c>
      <c r="W338" t="str">
        <f t="array" ref="W338">IF($A338="","",INDEX(JupData!$A$2:$K$10000,MATCH($A338&amp;W$1,JupData!$A$2:$A$10000&amp;JupData!$J$2:$J$10000,0),11))</f>
        <v/>
      </c>
      <c r="X338" t="str">
        <f t="array" ref="X338">IF($A338="","",INDEX(JupData!$A$2:$K$10000,MATCH($A338&amp;X$1,JupData!$A$2:$A$10000&amp;JupData!$J$2:$J$10000,0),11))</f>
        <v/>
      </c>
      <c r="Y338" t="str">
        <f t="array" ref="Y338">IF($A338="","",INDEX(JupData!$A$2:$K$10000,MATCH($A338&amp;Y$1,JupData!$A$2:$A$10000&amp;JupData!$J$2:$J$10000,0),11))</f>
        <v/>
      </c>
      <c r="Z338" t="str">
        <f t="array" ref="Z338">IF($A338="","",INDEX(JupData!$A$2:$K$10000,MATCH($A338&amp;Z$1,JupData!$A$2:$A$10000&amp;JupData!$J$2:$J$10000,0),11))</f>
        <v/>
      </c>
      <c r="AA338" t="str">
        <f t="array" ref="AA338">IF($A338="","",INDEX(JupData!$A$2:$K$10000,MATCH($A338&amp;AA$1,JupData!$A$2:$A$10000&amp;JupData!$J$2:$J$10000,0),11))</f>
        <v/>
      </c>
      <c r="AB338" t="str">
        <f t="array" ref="AB338">IF($A338="","",INDEX(JupData!$A$2:$K$10000,MATCH($A338&amp;AB$1,JupData!$A$2:$A$10000&amp;JupData!$J$2:$J$10000,0),11))</f>
        <v/>
      </c>
      <c r="AC338" s="10" t="str">
        <f t="shared" si="55"/>
        <v/>
      </c>
      <c r="AD338" s="10" t="str">
        <f t="shared" si="56"/>
        <v/>
      </c>
      <c r="AE338" s="9" t="str">
        <f t="shared" si="57"/>
        <v/>
      </c>
      <c r="AF338" s="10" t="str">
        <f t="shared" si="58"/>
        <v/>
      </c>
      <c r="AG338" s="10" t="str">
        <f t="shared" si="59"/>
        <v/>
      </c>
      <c r="AH338" s="10" t="str">
        <f t="shared" si="60"/>
        <v/>
      </c>
      <c r="AI338" s="10" t="str">
        <f t="shared" si="61"/>
        <v/>
      </c>
      <c r="AJ338" s="10" t="str">
        <f t="shared" si="62"/>
        <v/>
      </c>
      <c r="AK338" s="10" t="str">
        <f t="shared" si="63"/>
        <v/>
      </c>
      <c r="AL338" s="14" t="str">
        <f t="shared" si="64"/>
        <v/>
      </c>
    </row>
    <row r="339" spans="1:38" x14ac:dyDescent="0.2">
      <c r="A339"/>
      <c r="B339" t="str">
        <f>IF($A339="","",VLOOKUP($A339,JupData!$A$2:$I$10000,4,FALSE))</f>
        <v/>
      </c>
      <c r="C339" s="7" t="str">
        <f>IF($A339="",IF(N(D339),0,""),VLOOKUP($A339,JupData!$A$2:$I$10000,7,FALSE))</f>
        <v/>
      </c>
      <c r="D339" t="str">
        <f t="shared" si="65"/>
        <v/>
      </c>
      <c r="E339" t="str">
        <f t="array" ref="E339">IF($A339="","",INDEX(JupData!$A$2:$K$10000,MATCH($A339&amp;E$1,JupData!$A$2:$A$10000&amp;JupData!$J$2:$J$10000,0),11))</f>
        <v/>
      </c>
      <c r="F339" t="str">
        <f t="array" ref="F339">IF($A339="","",INDEX(JupData!$A$2:$K$10000,MATCH($A339&amp;F$1,JupData!$A$2:$A$10000&amp;JupData!$J$2:$J$10000,0),11))</f>
        <v/>
      </c>
      <c r="G339" t="str">
        <f t="array" ref="G339">IF($A339="","",INDEX(JupData!$A$2:$K$10000,MATCH($A339&amp;G$1,JupData!$A$2:$A$10000&amp;JupData!$J$2:$J$10000,0),11))</f>
        <v/>
      </c>
      <c r="H339" t="str">
        <f t="array" ref="H339">IF($A339="","",INDEX(JupData!$A$2:$K$10000,MATCH($A339&amp;H$1,JupData!$A$2:$A$10000&amp;JupData!$J$2:$J$10000,0),11))</f>
        <v/>
      </c>
      <c r="I339" t="str">
        <f t="array" ref="I339">IF($A339="","",INDEX(JupData!$A$2:$K$10000,MATCH($A339&amp;I$1,JupData!$A$2:$A$10000&amp;JupData!$J$2:$J$10000,0),11))</f>
        <v/>
      </c>
      <c r="J339" t="str">
        <f t="array" ref="J339">IF($A339="","",INDEX(JupData!$A$2:$K$10000,MATCH($A339&amp;J$1,JupData!$A$2:$A$10000&amp;JupData!$J$2:$J$10000,0),11))</f>
        <v/>
      </c>
      <c r="K339" t="str">
        <f t="array" ref="K339">IF($A339="","",INDEX(JupData!$A$2:$K$10000,MATCH($A339&amp;K$1,JupData!$A$2:$A$10000&amp;JupData!$J$2:$J$10000,0),11))</f>
        <v/>
      </c>
      <c r="L339" t="str">
        <f t="array" ref="L339">IF($A339="","",INDEX(JupData!$A$2:$K$10000,MATCH($A339&amp;L$1,JupData!$A$2:$A$10000&amp;JupData!$J$2:$J$10000,0),11))</f>
        <v/>
      </c>
      <c r="M339" t="str">
        <f t="array" ref="M339">IF($A339="","",INDEX(JupData!$A$2:$K$10000,MATCH($A339&amp;M$1,JupData!$A$2:$A$10000&amp;JupData!$J$2:$J$10000,0),11))</f>
        <v/>
      </c>
      <c r="N339" t="str">
        <f t="array" ref="N339">IF($A339="","",INDEX(JupData!$A$2:$K$10000,MATCH($A339&amp;N$1,JupData!$A$2:$A$10000&amp;JupData!$J$2:$J$10000,0),11))</f>
        <v/>
      </c>
      <c r="O339" t="str">
        <f t="array" ref="O339">IF($A339="","",INDEX(JupData!$A$2:$K$10000,MATCH($A339&amp;O$1,JupData!$A$2:$A$10000&amp;JupData!$J$2:$J$10000,0),11))</f>
        <v/>
      </c>
      <c r="P339" t="str">
        <f t="array" ref="P339">IF($A339="","",INDEX(JupData!$A$2:$K$10000,MATCH($A339&amp;P$1,JupData!$A$2:$A$10000&amp;JupData!$J$2:$J$10000,0),11))</f>
        <v/>
      </c>
      <c r="Q339" t="str">
        <f t="array" ref="Q339">IF($A339="","",INDEX(JupData!$A$2:$K$10000,MATCH($A339&amp;Q$1,JupData!$A$2:$A$10000&amp;JupData!$J$2:$J$10000,0),11))</f>
        <v/>
      </c>
      <c r="R339" t="str">
        <f t="array" ref="R339">IF($A339="","",INDEX(JupData!$A$2:$K$10000,MATCH($A339&amp;R$1,JupData!$A$2:$A$10000&amp;JupData!$J$2:$J$10000,0),11))</f>
        <v/>
      </c>
      <c r="S339" t="str">
        <f t="array" ref="S339">IF($A339="","",INDEX(JupData!$A$2:$K$10000,MATCH($A339&amp;S$1,JupData!$A$2:$A$10000&amp;JupData!$J$2:$J$10000,0),11))</f>
        <v/>
      </c>
      <c r="T339" t="str">
        <f t="array" ref="T339">IF($A339="","",INDEX(JupData!$A$2:$K$10000,MATCH($A339&amp;T$1,JupData!$A$2:$A$10000&amp;JupData!$J$2:$J$10000,0),11))</f>
        <v/>
      </c>
      <c r="U339" t="str">
        <f t="array" ref="U339">IF($A339="","",INDEX(JupData!$A$2:$K$10000,MATCH($A339&amp;U$1,JupData!$A$2:$A$10000&amp;JupData!$J$2:$J$10000,0),11))</f>
        <v/>
      </c>
      <c r="V339" t="str">
        <f t="array" ref="V339">IF($A339="","",INDEX(JupData!$A$2:$K$10000,MATCH($A339&amp;V$1,JupData!$A$2:$A$10000&amp;JupData!$J$2:$J$10000,0),11))</f>
        <v/>
      </c>
      <c r="W339" t="str">
        <f t="array" ref="W339">IF($A339="","",INDEX(JupData!$A$2:$K$10000,MATCH($A339&amp;W$1,JupData!$A$2:$A$10000&amp;JupData!$J$2:$J$10000,0),11))</f>
        <v/>
      </c>
      <c r="X339" t="str">
        <f t="array" ref="X339">IF($A339="","",INDEX(JupData!$A$2:$K$10000,MATCH($A339&amp;X$1,JupData!$A$2:$A$10000&amp;JupData!$J$2:$J$10000,0),11))</f>
        <v/>
      </c>
      <c r="Y339" t="str">
        <f t="array" ref="Y339">IF($A339="","",INDEX(JupData!$A$2:$K$10000,MATCH($A339&amp;Y$1,JupData!$A$2:$A$10000&amp;JupData!$J$2:$J$10000,0),11))</f>
        <v/>
      </c>
      <c r="Z339" t="str">
        <f t="array" ref="Z339">IF($A339="","",INDEX(JupData!$A$2:$K$10000,MATCH($A339&amp;Z$1,JupData!$A$2:$A$10000&amp;JupData!$J$2:$J$10000,0),11))</f>
        <v/>
      </c>
      <c r="AA339" t="str">
        <f t="array" ref="AA339">IF($A339="","",INDEX(JupData!$A$2:$K$10000,MATCH($A339&amp;AA$1,JupData!$A$2:$A$10000&amp;JupData!$J$2:$J$10000,0),11))</f>
        <v/>
      </c>
      <c r="AB339" t="str">
        <f t="array" ref="AB339">IF($A339="","",INDEX(JupData!$A$2:$K$10000,MATCH($A339&amp;AB$1,JupData!$A$2:$A$10000&amp;JupData!$J$2:$J$10000,0),11))</f>
        <v/>
      </c>
      <c r="AC339" s="10" t="str">
        <f t="shared" si="55"/>
        <v/>
      </c>
      <c r="AD339" s="10" t="str">
        <f t="shared" si="56"/>
        <v/>
      </c>
      <c r="AE339" s="9" t="str">
        <f t="shared" si="57"/>
        <v/>
      </c>
      <c r="AF339" s="10" t="str">
        <f t="shared" si="58"/>
        <v/>
      </c>
      <c r="AG339" s="10" t="str">
        <f t="shared" si="59"/>
        <v/>
      </c>
      <c r="AH339" s="10" t="str">
        <f t="shared" si="60"/>
        <v/>
      </c>
      <c r="AI339" s="10" t="str">
        <f t="shared" si="61"/>
        <v/>
      </c>
      <c r="AJ339" s="10" t="str">
        <f t="shared" si="62"/>
        <v/>
      </c>
      <c r="AK339" s="10" t="str">
        <f t="shared" si="63"/>
        <v/>
      </c>
      <c r="AL339" s="14" t="str">
        <f t="shared" si="64"/>
        <v/>
      </c>
    </row>
    <row r="340" spans="1:38" x14ac:dyDescent="0.2">
      <c r="A340"/>
      <c r="B340" t="str">
        <f>IF($A340="","",VLOOKUP($A340,JupData!$A$2:$I$10000,4,FALSE))</f>
        <v/>
      </c>
      <c r="C340" s="7" t="str">
        <f>IF($A340="",IF(N(D340),0,""),VLOOKUP($A340,JupData!$A$2:$I$10000,7,FALSE))</f>
        <v/>
      </c>
      <c r="D340" t="str">
        <f t="shared" si="65"/>
        <v/>
      </c>
      <c r="E340" t="str">
        <f t="array" ref="E340">IF($A340="","",INDEX(JupData!$A$2:$K$10000,MATCH($A340&amp;E$1,JupData!$A$2:$A$10000&amp;JupData!$J$2:$J$10000,0),11))</f>
        <v/>
      </c>
      <c r="F340" t="str">
        <f t="array" ref="F340">IF($A340="","",INDEX(JupData!$A$2:$K$10000,MATCH($A340&amp;F$1,JupData!$A$2:$A$10000&amp;JupData!$J$2:$J$10000,0),11))</f>
        <v/>
      </c>
      <c r="G340" t="str">
        <f t="array" ref="G340">IF($A340="","",INDEX(JupData!$A$2:$K$10000,MATCH($A340&amp;G$1,JupData!$A$2:$A$10000&amp;JupData!$J$2:$J$10000,0),11))</f>
        <v/>
      </c>
      <c r="H340" t="str">
        <f t="array" ref="H340">IF($A340="","",INDEX(JupData!$A$2:$K$10000,MATCH($A340&amp;H$1,JupData!$A$2:$A$10000&amp;JupData!$J$2:$J$10000,0),11))</f>
        <v/>
      </c>
      <c r="I340" t="str">
        <f t="array" ref="I340">IF($A340="","",INDEX(JupData!$A$2:$K$10000,MATCH($A340&amp;I$1,JupData!$A$2:$A$10000&amp;JupData!$J$2:$J$10000,0),11))</f>
        <v/>
      </c>
      <c r="J340" t="str">
        <f t="array" ref="J340">IF($A340="","",INDEX(JupData!$A$2:$K$10000,MATCH($A340&amp;J$1,JupData!$A$2:$A$10000&amp;JupData!$J$2:$J$10000,0),11))</f>
        <v/>
      </c>
      <c r="K340" t="str">
        <f t="array" ref="K340">IF($A340="","",INDEX(JupData!$A$2:$K$10000,MATCH($A340&amp;K$1,JupData!$A$2:$A$10000&amp;JupData!$J$2:$J$10000,0),11))</f>
        <v/>
      </c>
      <c r="L340" t="str">
        <f t="array" ref="L340">IF($A340="","",INDEX(JupData!$A$2:$K$10000,MATCH($A340&amp;L$1,JupData!$A$2:$A$10000&amp;JupData!$J$2:$J$10000,0),11))</f>
        <v/>
      </c>
      <c r="M340" t="str">
        <f t="array" ref="M340">IF($A340="","",INDEX(JupData!$A$2:$K$10000,MATCH($A340&amp;M$1,JupData!$A$2:$A$10000&amp;JupData!$J$2:$J$10000,0),11))</f>
        <v/>
      </c>
      <c r="N340" t="str">
        <f t="array" ref="N340">IF($A340="","",INDEX(JupData!$A$2:$K$10000,MATCH($A340&amp;N$1,JupData!$A$2:$A$10000&amp;JupData!$J$2:$J$10000,0),11))</f>
        <v/>
      </c>
      <c r="O340" t="str">
        <f t="array" ref="O340">IF($A340="","",INDEX(JupData!$A$2:$K$10000,MATCH($A340&amp;O$1,JupData!$A$2:$A$10000&amp;JupData!$J$2:$J$10000,0),11))</f>
        <v/>
      </c>
      <c r="P340" t="str">
        <f t="array" ref="P340">IF($A340="","",INDEX(JupData!$A$2:$K$10000,MATCH($A340&amp;P$1,JupData!$A$2:$A$10000&amp;JupData!$J$2:$J$10000,0),11))</f>
        <v/>
      </c>
      <c r="Q340" t="str">
        <f t="array" ref="Q340">IF($A340="","",INDEX(JupData!$A$2:$K$10000,MATCH($A340&amp;Q$1,JupData!$A$2:$A$10000&amp;JupData!$J$2:$J$10000,0),11))</f>
        <v/>
      </c>
      <c r="R340" t="str">
        <f t="array" ref="R340">IF($A340="","",INDEX(JupData!$A$2:$K$10000,MATCH($A340&amp;R$1,JupData!$A$2:$A$10000&amp;JupData!$J$2:$J$10000,0),11))</f>
        <v/>
      </c>
      <c r="S340" t="str">
        <f t="array" ref="S340">IF($A340="","",INDEX(JupData!$A$2:$K$10000,MATCH($A340&amp;S$1,JupData!$A$2:$A$10000&amp;JupData!$J$2:$J$10000,0),11))</f>
        <v/>
      </c>
      <c r="T340" t="str">
        <f t="array" ref="T340">IF($A340="","",INDEX(JupData!$A$2:$K$10000,MATCH($A340&amp;T$1,JupData!$A$2:$A$10000&amp;JupData!$J$2:$J$10000,0),11))</f>
        <v/>
      </c>
      <c r="U340" t="str">
        <f t="array" ref="U340">IF($A340="","",INDEX(JupData!$A$2:$K$10000,MATCH($A340&amp;U$1,JupData!$A$2:$A$10000&amp;JupData!$J$2:$J$10000,0),11))</f>
        <v/>
      </c>
      <c r="V340" t="str">
        <f t="array" ref="V340">IF($A340="","",INDEX(JupData!$A$2:$K$10000,MATCH($A340&amp;V$1,JupData!$A$2:$A$10000&amp;JupData!$J$2:$J$10000,0),11))</f>
        <v/>
      </c>
      <c r="W340" t="str">
        <f t="array" ref="W340">IF($A340="","",INDEX(JupData!$A$2:$K$10000,MATCH($A340&amp;W$1,JupData!$A$2:$A$10000&amp;JupData!$J$2:$J$10000,0),11))</f>
        <v/>
      </c>
      <c r="X340" t="str">
        <f t="array" ref="X340">IF($A340="","",INDEX(JupData!$A$2:$K$10000,MATCH($A340&amp;X$1,JupData!$A$2:$A$10000&amp;JupData!$J$2:$J$10000,0),11))</f>
        <v/>
      </c>
      <c r="Y340" t="str">
        <f t="array" ref="Y340">IF($A340="","",INDEX(JupData!$A$2:$K$10000,MATCH($A340&amp;Y$1,JupData!$A$2:$A$10000&amp;JupData!$J$2:$J$10000,0),11))</f>
        <v/>
      </c>
      <c r="Z340" t="str">
        <f t="array" ref="Z340">IF($A340="","",INDEX(JupData!$A$2:$K$10000,MATCH($A340&amp;Z$1,JupData!$A$2:$A$10000&amp;JupData!$J$2:$J$10000,0),11))</f>
        <v/>
      </c>
      <c r="AA340" t="str">
        <f t="array" ref="AA340">IF($A340="","",INDEX(JupData!$A$2:$K$10000,MATCH($A340&amp;AA$1,JupData!$A$2:$A$10000&amp;JupData!$J$2:$J$10000,0),11))</f>
        <v/>
      </c>
      <c r="AB340" t="str">
        <f t="array" ref="AB340">IF($A340="","",INDEX(JupData!$A$2:$K$10000,MATCH($A340&amp;AB$1,JupData!$A$2:$A$10000&amp;JupData!$J$2:$J$10000,0),11))</f>
        <v/>
      </c>
      <c r="AC340" s="10" t="str">
        <f t="shared" si="55"/>
        <v/>
      </c>
      <c r="AD340" s="10" t="str">
        <f t="shared" si="56"/>
        <v/>
      </c>
      <c r="AE340" s="9" t="str">
        <f t="shared" si="57"/>
        <v/>
      </c>
      <c r="AF340" s="10" t="str">
        <f t="shared" si="58"/>
        <v/>
      </c>
      <c r="AG340" s="10" t="str">
        <f t="shared" si="59"/>
        <v/>
      </c>
      <c r="AH340" s="10" t="str">
        <f t="shared" si="60"/>
        <v/>
      </c>
      <c r="AI340" s="10" t="str">
        <f t="shared" si="61"/>
        <v/>
      </c>
      <c r="AJ340" s="10" t="str">
        <f t="shared" si="62"/>
        <v/>
      </c>
      <c r="AK340" s="10" t="str">
        <f t="shared" si="63"/>
        <v/>
      </c>
      <c r="AL340" s="14" t="str">
        <f t="shared" si="64"/>
        <v/>
      </c>
    </row>
    <row r="341" spans="1:38" x14ac:dyDescent="0.2">
      <c r="A341"/>
      <c r="B341" t="str">
        <f>IF($A341="","",VLOOKUP($A341,JupData!$A$2:$I$10000,4,FALSE))</f>
        <v/>
      </c>
      <c r="C341" s="7" t="str">
        <f>IF($A341="",IF(N(D341),0,""),VLOOKUP($A341,JupData!$A$2:$I$10000,7,FALSE))</f>
        <v/>
      </c>
      <c r="D341" t="str">
        <f t="shared" si="65"/>
        <v/>
      </c>
      <c r="E341" t="str">
        <f t="array" ref="E341">IF($A341="","",INDEX(JupData!$A$2:$K$10000,MATCH($A341&amp;E$1,JupData!$A$2:$A$10000&amp;JupData!$J$2:$J$10000,0),11))</f>
        <v/>
      </c>
      <c r="F341" t="str">
        <f t="array" ref="F341">IF($A341="","",INDEX(JupData!$A$2:$K$10000,MATCH($A341&amp;F$1,JupData!$A$2:$A$10000&amp;JupData!$J$2:$J$10000,0),11))</f>
        <v/>
      </c>
      <c r="G341" t="str">
        <f t="array" ref="G341">IF($A341="","",INDEX(JupData!$A$2:$K$10000,MATCH($A341&amp;G$1,JupData!$A$2:$A$10000&amp;JupData!$J$2:$J$10000,0),11))</f>
        <v/>
      </c>
      <c r="H341" t="str">
        <f t="array" ref="H341">IF($A341="","",INDEX(JupData!$A$2:$K$10000,MATCH($A341&amp;H$1,JupData!$A$2:$A$10000&amp;JupData!$J$2:$J$10000,0),11))</f>
        <v/>
      </c>
      <c r="I341" t="str">
        <f t="array" ref="I341">IF($A341="","",INDEX(JupData!$A$2:$K$10000,MATCH($A341&amp;I$1,JupData!$A$2:$A$10000&amp;JupData!$J$2:$J$10000,0),11))</f>
        <v/>
      </c>
      <c r="J341" t="str">
        <f t="array" ref="J341">IF($A341="","",INDEX(JupData!$A$2:$K$10000,MATCH($A341&amp;J$1,JupData!$A$2:$A$10000&amp;JupData!$J$2:$J$10000,0),11))</f>
        <v/>
      </c>
      <c r="K341" t="str">
        <f t="array" ref="K341">IF($A341="","",INDEX(JupData!$A$2:$K$10000,MATCH($A341&amp;K$1,JupData!$A$2:$A$10000&amp;JupData!$J$2:$J$10000,0),11))</f>
        <v/>
      </c>
      <c r="L341" t="str">
        <f t="array" ref="L341">IF($A341="","",INDEX(JupData!$A$2:$K$10000,MATCH($A341&amp;L$1,JupData!$A$2:$A$10000&amp;JupData!$J$2:$J$10000,0),11))</f>
        <v/>
      </c>
      <c r="M341" t="str">
        <f t="array" ref="M341">IF($A341="","",INDEX(JupData!$A$2:$K$10000,MATCH($A341&amp;M$1,JupData!$A$2:$A$10000&amp;JupData!$J$2:$J$10000,0),11))</f>
        <v/>
      </c>
      <c r="N341" t="str">
        <f t="array" ref="N341">IF($A341="","",INDEX(JupData!$A$2:$K$10000,MATCH($A341&amp;N$1,JupData!$A$2:$A$10000&amp;JupData!$J$2:$J$10000,0),11))</f>
        <v/>
      </c>
      <c r="O341" t="str">
        <f t="array" ref="O341">IF($A341="","",INDEX(JupData!$A$2:$K$10000,MATCH($A341&amp;O$1,JupData!$A$2:$A$10000&amp;JupData!$J$2:$J$10000,0),11))</f>
        <v/>
      </c>
      <c r="P341" t="str">
        <f t="array" ref="P341">IF($A341="","",INDEX(JupData!$A$2:$K$10000,MATCH($A341&amp;P$1,JupData!$A$2:$A$10000&amp;JupData!$J$2:$J$10000,0),11))</f>
        <v/>
      </c>
      <c r="Q341" t="str">
        <f t="array" ref="Q341">IF($A341="","",INDEX(JupData!$A$2:$K$10000,MATCH($A341&amp;Q$1,JupData!$A$2:$A$10000&amp;JupData!$J$2:$J$10000,0),11))</f>
        <v/>
      </c>
      <c r="R341" t="str">
        <f t="array" ref="R341">IF($A341="","",INDEX(JupData!$A$2:$K$10000,MATCH($A341&amp;R$1,JupData!$A$2:$A$10000&amp;JupData!$J$2:$J$10000,0),11))</f>
        <v/>
      </c>
      <c r="S341" t="str">
        <f t="array" ref="S341">IF($A341="","",INDEX(JupData!$A$2:$K$10000,MATCH($A341&amp;S$1,JupData!$A$2:$A$10000&amp;JupData!$J$2:$J$10000,0),11))</f>
        <v/>
      </c>
      <c r="T341" t="str">
        <f t="array" ref="T341">IF($A341="","",INDEX(JupData!$A$2:$K$10000,MATCH($A341&amp;T$1,JupData!$A$2:$A$10000&amp;JupData!$J$2:$J$10000,0),11))</f>
        <v/>
      </c>
      <c r="U341" t="str">
        <f t="array" ref="U341">IF($A341="","",INDEX(JupData!$A$2:$K$10000,MATCH($A341&amp;U$1,JupData!$A$2:$A$10000&amp;JupData!$J$2:$J$10000,0),11))</f>
        <v/>
      </c>
      <c r="V341" t="str">
        <f t="array" ref="V341">IF($A341="","",INDEX(JupData!$A$2:$K$10000,MATCH($A341&amp;V$1,JupData!$A$2:$A$10000&amp;JupData!$J$2:$J$10000,0),11))</f>
        <v/>
      </c>
      <c r="W341" t="str">
        <f t="array" ref="W341">IF($A341="","",INDEX(JupData!$A$2:$K$10000,MATCH($A341&amp;W$1,JupData!$A$2:$A$10000&amp;JupData!$J$2:$J$10000,0),11))</f>
        <v/>
      </c>
      <c r="X341" t="str">
        <f t="array" ref="X341">IF($A341="","",INDEX(JupData!$A$2:$K$10000,MATCH($A341&amp;X$1,JupData!$A$2:$A$10000&amp;JupData!$J$2:$J$10000,0),11))</f>
        <v/>
      </c>
      <c r="Y341" t="str">
        <f t="array" ref="Y341">IF($A341="","",INDEX(JupData!$A$2:$K$10000,MATCH($A341&amp;Y$1,JupData!$A$2:$A$10000&amp;JupData!$J$2:$J$10000,0),11))</f>
        <v/>
      </c>
      <c r="Z341" t="str">
        <f t="array" ref="Z341">IF($A341="","",INDEX(JupData!$A$2:$K$10000,MATCH($A341&amp;Z$1,JupData!$A$2:$A$10000&amp;JupData!$J$2:$J$10000,0),11))</f>
        <v/>
      </c>
      <c r="AA341" t="str">
        <f t="array" ref="AA341">IF($A341="","",INDEX(JupData!$A$2:$K$10000,MATCH($A341&amp;AA$1,JupData!$A$2:$A$10000&amp;JupData!$J$2:$J$10000,0),11))</f>
        <v/>
      </c>
      <c r="AB341" t="str">
        <f t="array" ref="AB341">IF($A341="","",INDEX(JupData!$A$2:$K$10000,MATCH($A341&amp;AB$1,JupData!$A$2:$A$10000&amp;JupData!$J$2:$J$10000,0),11))</f>
        <v/>
      </c>
      <c r="AC341" s="10" t="str">
        <f t="shared" si="55"/>
        <v/>
      </c>
      <c r="AD341" s="10" t="str">
        <f t="shared" si="56"/>
        <v/>
      </c>
      <c r="AE341" s="9" t="str">
        <f t="shared" si="57"/>
        <v/>
      </c>
      <c r="AF341" s="10" t="str">
        <f t="shared" si="58"/>
        <v/>
      </c>
      <c r="AG341" s="10" t="str">
        <f t="shared" si="59"/>
        <v/>
      </c>
      <c r="AH341" s="10" t="str">
        <f t="shared" si="60"/>
        <v/>
      </c>
      <c r="AI341" s="10" t="str">
        <f t="shared" si="61"/>
        <v/>
      </c>
      <c r="AJ341" s="10" t="str">
        <f t="shared" si="62"/>
        <v/>
      </c>
      <c r="AK341" s="10" t="str">
        <f t="shared" si="63"/>
        <v/>
      </c>
      <c r="AL341" s="14" t="str">
        <f t="shared" si="64"/>
        <v/>
      </c>
    </row>
    <row r="342" spans="1:38" x14ac:dyDescent="0.2">
      <c r="A342"/>
      <c r="B342" t="str">
        <f>IF($A342="","",VLOOKUP($A342,JupData!$A$2:$I$10000,4,FALSE))</f>
        <v/>
      </c>
      <c r="C342" s="7" t="str">
        <f>IF($A342="",IF(N(D342),0,""),VLOOKUP($A342,JupData!$A$2:$I$10000,7,FALSE))</f>
        <v/>
      </c>
      <c r="D342" t="str">
        <f t="shared" si="65"/>
        <v/>
      </c>
      <c r="E342" t="str">
        <f t="array" ref="E342">IF($A342="","",INDEX(JupData!$A$2:$K$10000,MATCH($A342&amp;E$1,JupData!$A$2:$A$10000&amp;JupData!$J$2:$J$10000,0),11))</f>
        <v/>
      </c>
      <c r="F342" t="str">
        <f t="array" ref="F342">IF($A342="","",INDEX(JupData!$A$2:$K$10000,MATCH($A342&amp;F$1,JupData!$A$2:$A$10000&amp;JupData!$J$2:$J$10000,0),11))</f>
        <v/>
      </c>
      <c r="G342" t="str">
        <f t="array" ref="G342">IF($A342="","",INDEX(JupData!$A$2:$K$10000,MATCH($A342&amp;G$1,JupData!$A$2:$A$10000&amp;JupData!$J$2:$J$10000,0),11))</f>
        <v/>
      </c>
      <c r="H342" t="str">
        <f t="array" ref="H342">IF($A342="","",INDEX(JupData!$A$2:$K$10000,MATCH($A342&amp;H$1,JupData!$A$2:$A$10000&amp;JupData!$J$2:$J$10000,0),11))</f>
        <v/>
      </c>
      <c r="I342" t="str">
        <f t="array" ref="I342">IF($A342="","",INDEX(JupData!$A$2:$K$10000,MATCH($A342&amp;I$1,JupData!$A$2:$A$10000&amp;JupData!$J$2:$J$10000,0),11))</f>
        <v/>
      </c>
      <c r="J342" t="str">
        <f t="array" ref="J342">IF($A342="","",INDEX(JupData!$A$2:$K$10000,MATCH($A342&amp;J$1,JupData!$A$2:$A$10000&amp;JupData!$J$2:$J$10000,0),11))</f>
        <v/>
      </c>
      <c r="K342" t="str">
        <f t="array" ref="K342">IF($A342="","",INDEX(JupData!$A$2:$K$10000,MATCH($A342&amp;K$1,JupData!$A$2:$A$10000&amp;JupData!$J$2:$J$10000,0),11))</f>
        <v/>
      </c>
      <c r="L342" t="str">
        <f t="array" ref="L342">IF($A342="","",INDEX(JupData!$A$2:$K$10000,MATCH($A342&amp;L$1,JupData!$A$2:$A$10000&amp;JupData!$J$2:$J$10000,0),11))</f>
        <v/>
      </c>
      <c r="M342" t="str">
        <f t="array" ref="M342">IF($A342="","",INDEX(JupData!$A$2:$K$10000,MATCH($A342&amp;M$1,JupData!$A$2:$A$10000&amp;JupData!$J$2:$J$10000,0),11))</f>
        <v/>
      </c>
      <c r="N342" t="str">
        <f t="array" ref="N342">IF($A342="","",INDEX(JupData!$A$2:$K$10000,MATCH($A342&amp;N$1,JupData!$A$2:$A$10000&amp;JupData!$J$2:$J$10000,0),11))</f>
        <v/>
      </c>
      <c r="O342" t="str">
        <f t="array" ref="O342">IF($A342="","",INDEX(JupData!$A$2:$K$10000,MATCH($A342&amp;O$1,JupData!$A$2:$A$10000&amp;JupData!$J$2:$J$10000,0),11))</f>
        <v/>
      </c>
      <c r="P342" t="str">
        <f t="array" ref="P342">IF($A342="","",INDEX(JupData!$A$2:$K$10000,MATCH($A342&amp;P$1,JupData!$A$2:$A$10000&amp;JupData!$J$2:$J$10000,0),11))</f>
        <v/>
      </c>
      <c r="Q342" t="str">
        <f t="array" ref="Q342">IF($A342="","",INDEX(JupData!$A$2:$K$10000,MATCH($A342&amp;Q$1,JupData!$A$2:$A$10000&amp;JupData!$J$2:$J$10000,0),11))</f>
        <v/>
      </c>
      <c r="R342" t="str">
        <f t="array" ref="R342">IF($A342="","",INDEX(JupData!$A$2:$K$10000,MATCH($A342&amp;R$1,JupData!$A$2:$A$10000&amp;JupData!$J$2:$J$10000,0),11))</f>
        <v/>
      </c>
      <c r="S342" t="str">
        <f t="array" ref="S342">IF($A342="","",INDEX(JupData!$A$2:$K$10000,MATCH($A342&amp;S$1,JupData!$A$2:$A$10000&amp;JupData!$J$2:$J$10000,0),11))</f>
        <v/>
      </c>
      <c r="T342" t="str">
        <f t="array" ref="T342">IF($A342="","",INDEX(JupData!$A$2:$K$10000,MATCH($A342&amp;T$1,JupData!$A$2:$A$10000&amp;JupData!$J$2:$J$10000,0),11))</f>
        <v/>
      </c>
      <c r="U342" t="str">
        <f t="array" ref="U342">IF($A342="","",INDEX(JupData!$A$2:$K$10000,MATCH($A342&amp;U$1,JupData!$A$2:$A$10000&amp;JupData!$J$2:$J$10000,0),11))</f>
        <v/>
      </c>
      <c r="V342" t="str">
        <f t="array" ref="V342">IF($A342="","",INDEX(JupData!$A$2:$K$10000,MATCH($A342&amp;V$1,JupData!$A$2:$A$10000&amp;JupData!$J$2:$J$10000,0),11))</f>
        <v/>
      </c>
      <c r="W342" t="str">
        <f t="array" ref="W342">IF($A342="","",INDEX(JupData!$A$2:$K$10000,MATCH($A342&amp;W$1,JupData!$A$2:$A$10000&amp;JupData!$J$2:$J$10000,0),11))</f>
        <v/>
      </c>
      <c r="X342" t="str">
        <f t="array" ref="X342">IF($A342="","",INDEX(JupData!$A$2:$K$10000,MATCH($A342&amp;X$1,JupData!$A$2:$A$10000&amp;JupData!$J$2:$J$10000,0),11))</f>
        <v/>
      </c>
      <c r="Y342" t="str">
        <f t="array" ref="Y342">IF($A342="","",INDEX(JupData!$A$2:$K$10000,MATCH($A342&amp;Y$1,JupData!$A$2:$A$10000&amp;JupData!$J$2:$J$10000,0),11))</f>
        <v/>
      </c>
      <c r="Z342" t="str">
        <f t="array" ref="Z342">IF($A342="","",INDEX(JupData!$A$2:$K$10000,MATCH($A342&amp;Z$1,JupData!$A$2:$A$10000&amp;JupData!$J$2:$J$10000,0),11))</f>
        <v/>
      </c>
      <c r="AA342" t="str">
        <f t="array" ref="AA342">IF($A342="","",INDEX(JupData!$A$2:$K$10000,MATCH($A342&amp;AA$1,JupData!$A$2:$A$10000&amp;JupData!$J$2:$J$10000,0),11))</f>
        <v/>
      </c>
      <c r="AB342" t="str">
        <f t="array" ref="AB342">IF($A342="","",INDEX(JupData!$A$2:$K$10000,MATCH($A342&amp;AB$1,JupData!$A$2:$A$10000&amp;JupData!$J$2:$J$10000,0),11))</f>
        <v/>
      </c>
      <c r="AC342" s="10" t="str">
        <f t="shared" si="55"/>
        <v/>
      </c>
      <c r="AD342" s="10" t="str">
        <f t="shared" si="56"/>
        <v/>
      </c>
      <c r="AE342" s="9" t="str">
        <f t="shared" si="57"/>
        <v/>
      </c>
      <c r="AF342" s="10" t="str">
        <f t="shared" si="58"/>
        <v/>
      </c>
      <c r="AG342" s="10" t="str">
        <f t="shared" si="59"/>
        <v/>
      </c>
      <c r="AH342" s="10" t="str">
        <f t="shared" si="60"/>
        <v/>
      </c>
      <c r="AI342" s="10" t="str">
        <f t="shared" si="61"/>
        <v/>
      </c>
      <c r="AJ342" s="10" t="str">
        <f t="shared" si="62"/>
        <v/>
      </c>
      <c r="AK342" s="10" t="str">
        <f t="shared" si="63"/>
        <v/>
      </c>
      <c r="AL342" s="14" t="str">
        <f t="shared" si="64"/>
        <v/>
      </c>
    </row>
    <row r="343" spans="1:38" x14ac:dyDescent="0.2">
      <c r="A343"/>
      <c r="B343" t="str">
        <f>IF($A343="","",VLOOKUP($A343,JupData!$A$2:$I$10000,4,FALSE))</f>
        <v/>
      </c>
      <c r="C343" s="7" t="str">
        <f>IF($A343="",IF(N(D343),0,""),VLOOKUP($A343,JupData!$A$2:$I$10000,7,FALSE))</f>
        <v/>
      </c>
      <c r="D343" t="str">
        <f t="shared" si="65"/>
        <v/>
      </c>
      <c r="E343" t="str">
        <f t="array" ref="E343">IF($A343="","",INDEX(JupData!$A$2:$K$10000,MATCH($A343&amp;E$1,JupData!$A$2:$A$10000&amp;JupData!$J$2:$J$10000,0),11))</f>
        <v/>
      </c>
      <c r="F343" t="str">
        <f t="array" ref="F343">IF($A343="","",INDEX(JupData!$A$2:$K$10000,MATCH($A343&amp;F$1,JupData!$A$2:$A$10000&amp;JupData!$J$2:$J$10000,0),11))</f>
        <v/>
      </c>
      <c r="G343" t="str">
        <f t="array" ref="G343">IF($A343="","",INDEX(JupData!$A$2:$K$10000,MATCH($A343&amp;G$1,JupData!$A$2:$A$10000&amp;JupData!$J$2:$J$10000,0),11))</f>
        <v/>
      </c>
      <c r="H343" t="str">
        <f t="array" ref="H343">IF($A343="","",INDEX(JupData!$A$2:$K$10000,MATCH($A343&amp;H$1,JupData!$A$2:$A$10000&amp;JupData!$J$2:$J$10000,0),11))</f>
        <v/>
      </c>
      <c r="I343" t="str">
        <f t="array" ref="I343">IF($A343="","",INDEX(JupData!$A$2:$K$10000,MATCH($A343&amp;I$1,JupData!$A$2:$A$10000&amp;JupData!$J$2:$J$10000,0),11))</f>
        <v/>
      </c>
      <c r="J343" t="str">
        <f t="array" ref="J343">IF($A343="","",INDEX(JupData!$A$2:$K$10000,MATCH($A343&amp;J$1,JupData!$A$2:$A$10000&amp;JupData!$J$2:$J$10000,0),11))</f>
        <v/>
      </c>
      <c r="K343" t="str">
        <f t="array" ref="K343">IF($A343="","",INDEX(JupData!$A$2:$K$10000,MATCH($A343&amp;K$1,JupData!$A$2:$A$10000&amp;JupData!$J$2:$J$10000,0),11))</f>
        <v/>
      </c>
      <c r="L343" t="str">
        <f t="array" ref="L343">IF($A343="","",INDEX(JupData!$A$2:$K$10000,MATCH($A343&amp;L$1,JupData!$A$2:$A$10000&amp;JupData!$J$2:$J$10000,0),11))</f>
        <v/>
      </c>
      <c r="M343" t="str">
        <f t="array" ref="M343">IF($A343="","",INDEX(JupData!$A$2:$K$10000,MATCH($A343&amp;M$1,JupData!$A$2:$A$10000&amp;JupData!$J$2:$J$10000,0),11))</f>
        <v/>
      </c>
      <c r="N343" t="str">
        <f t="array" ref="N343">IF($A343="","",INDEX(JupData!$A$2:$K$10000,MATCH($A343&amp;N$1,JupData!$A$2:$A$10000&amp;JupData!$J$2:$J$10000,0),11))</f>
        <v/>
      </c>
      <c r="O343" t="str">
        <f t="array" ref="O343">IF($A343="","",INDEX(JupData!$A$2:$K$10000,MATCH($A343&amp;O$1,JupData!$A$2:$A$10000&amp;JupData!$J$2:$J$10000,0),11))</f>
        <v/>
      </c>
      <c r="P343" t="str">
        <f t="array" ref="P343">IF($A343="","",INDEX(JupData!$A$2:$K$10000,MATCH($A343&amp;P$1,JupData!$A$2:$A$10000&amp;JupData!$J$2:$J$10000,0),11))</f>
        <v/>
      </c>
      <c r="Q343" t="str">
        <f t="array" ref="Q343">IF($A343="","",INDEX(JupData!$A$2:$K$10000,MATCH($A343&amp;Q$1,JupData!$A$2:$A$10000&amp;JupData!$J$2:$J$10000,0),11))</f>
        <v/>
      </c>
      <c r="R343" t="str">
        <f t="array" ref="R343">IF($A343="","",INDEX(JupData!$A$2:$K$10000,MATCH($A343&amp;R$1,JupData!$A$2:$A$10000&amp;JupData!$J$2:$J$10000,0),11))</f>
        <v/>
      </c>
      <c r="S343" t="str">
        <f t="array" ref="S343">IF($A343="","",INDEX(JupData!$A$2:$K$10000,MATCH($A343&amp;S$1,JupData!$A$2:$A$10000&amp;JupData!$J$2:$J$10000,0),11))</f>
        <v/>
      </c>
      <c r="T343" t="str">
        <f t="array" ref="T343">IF($A343="","",INDEX(JupData!$A$2:$K$10000,MATCH($A343&amp;T$1,JupData!$A$2:$A$10000&amp;JupData!$J$2:$J$10000,0),11))</f>
        <v/>
      </c>
      <c r="U343" t="str">
        <f t="array" ref="U343">IF($A343="","",INDEX(JupData!$A$2:$K$10000,MATCH($A343&amp;U$1,JupData!$A$2:$A$10000&amp;JupData!$J$2:$J$10000,0),11))</f>
        <v/>
      </c>
      <c r="V343" t="str">
        <f t="array" ref="V343">IF($A343="","",INDEX(JupData!$A$2:$K$10000,MATCH($A343&amp;V$1,JupData!$A$2:$A$10000&amp;JupData!$J$2:$J$10000,0),11))</f>
        <v/>
      </c>
      <c r="W343" t="str">
        <f t="array" ref="W343">IF($A343="","",INDEX(JupData!$A$2:$K$10000,MATCH($A343&amp;W$1,JupData!$A$2:$A$10000&amp;JupData!$J$2:$J$10000,0),11))</f>
        <v/>
      </c>
      <c r="X343" t="str">
        <f t="array" ref="X343">IF($A343="","",INDEX(JupData!$A$2:$K$10000,MATCH($A343&amp;X$1,JupData!$A$2:$A$10000&amp;JupData!$J$2:$J$10000,0),11))</f>
        <v/>
      </c>
      <c r="Y343" t="str">
        <f t="array" ref="Y343">IF($A343="","",INDEX(JupData!$A$2:$K$10000,MATCH($A343&amp;Y$1,JupData!$A$2:$A$10000&amp;JupData!$J$2:$J$10000,0),11))</f>
        <v/>
      </c>
      <c r="Z343" t="str">
        <f t="array" ref="Z343">IF($A343="","",INDEX(JupData!$A$2:$K$10000,MATCH($A343&amp;Z$1,JupData!$A$2:$A$10000&amp;JupData!$J$2:$J$10000,0),11))</f>
        <v/>
      </c>
      <c r="AA343" t="str">
        <f t="array" ref="AA343">IF($A343="","",INDEX(JupData!$A$2:$K$10000,MATCH($A343&amp;AA$1,JupData!$A$2:$A$10000&amp;JupData!$J$2:$J$10000,0),11))</f>
        <v/>
      </c>
      <c r="AB343" t="str">
        <f t="array" ref="AB343">IF($A343="","",INDEX(JupData!$A$2:$K$10000,MATCH($A343&amp;AB$1,JupData!$A$2:$A$10000&amp;JupData!$J$2:$J$10000,0),11))</f>
        <v/>
      </c>
      <c r="AC343" s="10" t="str">
        <f t="shared" si="55"/>
        <v/>
      </c>
      <c r="AD343" s="10" t="str">
        <f t="shared" si="56"/>
        <v/>
      </c>
      <c r="AE343" s="9" t="str">
        <f t="shared" si="57"/>
        <v/>
      </c>
      <c r="AF343" s="10" t="str">
        <f t="shared" si="58"/>
        <v/>
      </c>
      <c r="AG343" s="10" t="str">
        <f t="shared" si="59"/>
        <v/>
      </c>
      <c r="AH343" s="10" t="str">
        <f t="shared" si="60"/>
        <v/>
      </c>
      <c r="AI343" s="10" t="str">
        <f t="shared" si="61"/>
        <v/>
      </c>
      <c r="AJ343" s="10" t="str">
        <f t="shared" si="62"/>
        <v/>
      </c>
      <c r="AK343" s="10" t="str">
        <f t="shared" si="63"/>
        <v/>
      </c>
      <c r="AL343" s="14" t="str">
        <f t="shared" si="64"/>
        <v/>
      </c>
    </row>
    <row r="344" spans="1:38" x14ac:dyDescent="0.2">
      <c r="A344"/>
      <c r="B344" t="str">
        <f>IF($A344="","",VLOOKUP($A344,JupData!$A$2:$I$10000,4,FALSE))</f>
        <v/>
      </c>
      <c r="C344" s="7" t="str">
        <f>IF($A344="",IF(N(D344),0,""),VLOOKUP($A344,JupData!$A$2:$I$10000,7,FALSE))</f>
        <v/>
      </c>
      <c r="D344" t="str">
        <f t="shared" si="65"/>
        <v/>
      </c>
      <c r="E344" t="str">
        <f t="array" ref="E344">IF($A344="","",INDEX(JupData!$A$2:$K$10000,MATCH($A344&amp;E$1,JupData!$A$2:$A$10000&amp;JupData!$J$2:$J$10000,0),11))</f>
        <v/>
      </c>
      <c r="F344" t="str">
        <f t="array" ref="F344">IF($A344="","",INDEX(JupData!$A$2:$K$10000,MATCH($A344&amp;F$1,JupData!$A$2:$A$10000&amp;JupData!$J$2:$J$10000,0),11))</f>
        <v/>
      </c>
      <c r="G344" t="str">
        <f t="array" ref="G344">IF($A344="","",INDEX(JupData!$A$2:$K$10000,MATCH($A344&amp;G$1,JupData!$A$2:$A$10000&amp;JupData!$J$2:$J$10000,0),11))</f>
        <v/>
      </c>
      <c r="H344" t="str">
        <f t="array" ref="H344">IF($A344="","",INDEX(JupData!$A$2:$K$10000,MATCH($A344&amp;H$1,JupData!$A$2:$A$10000&amp;JupData!$J$2:$J$10000,0),11))</f>
        <v/>
      </c>
      <c r="I344" t="str">
        <f t="array" ref="I344">IF($A344="","",INDEX(JupData!$A$2:$K$10000,MATCH($A344&amp;I$1,JupData!$A$2:$A$10000&amp;JupData!$J$2:$J$10000,0),11))</f>
        <v/>
      </c>
      <c r="J344" t="str">
        <f t="array" ref="J344">IF($A344="","",INDEX(JupData!$A$2:$K$10000,MATCH($A344&amp;J$1,JupData!$A$2:$A$10000&amp;JupData!$J$2:$J$10000,0),11))</f>
        <v/>
      </c>
      <c r="K344" t="str">
        <f t="array" ref="K344">IF($A344="","",INDEX(JupData!$A$2:$K$10000,MATCH($A344&amp;K$1,JupData!$A$2:$A$10000&amp;JupData!$J$2:$J$10000,0),11))</f>
        <v/>
      </c>
      <c r="L344" t="str">
        <f t="array" ref="L344">IF($A344="","",INDEX(JupData!$A$2:$K$10000,MATCH($A344&amp;L$1,JupData!$A$2:$A$10000&amp;JupData!$J$2:$J$10000,0),11))</f>
        <v/>
      </c>
      <c r="M344" t="str">
        <f t="array" ref="M344">IF($A344="","",INDEX(JupData!$A$2:$K$10000,MATCH($A344&amp;M$1,JupData!$A$2:$A$10000&amp;JupData!$J$2:$J$10000,0),11))</f>
        <v/>
      </c>
      <c r="N344" t="str">
        <f t="array" ref="N344">IF($A344="","",INDEX(JupData!$A$2:$K$10000,MATCH($A344&amp;N$1,JupData!$A$2:$A$10000&amp;JupData!$J$2:$J$10000,0),11))</f>
        <v/>
      </c>
      <c r="O344" t="str">
        <f t="array" ref="O344">IF($A344="","",INDEX(JupData!$A$2:$K$10000,MATCH($A344&amp;O$1,JupData!$A$2:$A$10000&amp;JupData!$J$2:$J$10000,0),11))</f>
        <v/>
      </c>
      <c r="P344" t="str">
        <f t="array" ref="P344">IF($A344="","",INDEX(JupData!$A$2:$K$10000,MATCH($A344&amp;P$1,JupData!$A$2:$A$10000&amp;JupData!$J$2:$J$10000,0),11))</f>
        <v/>
      </c>
      <c r="Q344" t="str">
        <f t="array" ref="Q344">IF($A344="","",INDEX(JupData!$A$2:$K$10000,MATCH($A344&amp;Q$1,JupData!$A$2:$A$10000&amp;JupData!$J$2:$J$10000,0),11))</f>
        <v/>
      </c>
      <c r="R344" t="str">
        <f t="array" ref="R344">IF($A344="","",INDEX(JupData!$A$2:$K$10000,MATCH($A344&amp;R$1,JupData!$A$2:$A$10000&amp;JupData!$J$2:$J$10000,0),11))</f>
        <v/>
      </c>
      <c r="S344" t="str">
        <f t="array" ref="S344">IF($A344="","",INDEX(JupData!$A$2:$K$10000,MATCH($A344&amp;S$1,JupData!$A$2:$A$10000&amp;JupData!$J$2:$J$10000,0),11))</f>
        <v/>
      </c>
      <c r="T344" t="str">
        <f t="array" ref="T344">IF($A344="","",INDEX(JupData!$A$2:$K$10000,MATCH($A344&amp;T$1,JupData!$A$2:$A$10000&amp;JupData!$J$2:$J$10000,0),11))</f>
        <v/>
      </c>
      <c r="U344" t="str">
        <f t="array" ref="U344">IF($A344="","",INDEX(JupData!$A$2:$K$10000,MATCH($A344&amp;U$1,JupData!$A$2:$A$10000&amp;JupData!$J$2:$J$10000,0),11))</f>
        <v/>
      </c>
      <c r="V344" t="str">
        <f t="array" ref="V344">IF($A344="","",INDEX(JupData!$A$2:$K$10000,MATCH($A344&amp;V$1,JupData!$A$2:$A$10000&amp;JupData!$J$2:$J$10000,0),11))</f>
        <v/>
      </c>
      <c r="W344" t="str">
        <f t="array" ref="W344">IF($A344="","",INDEX(JupData!$A$2:$K$10000,MATCH($A344&amp;W$1,JupData!$A$2:$A$10000&amp;JupData!$J$2:$J$10000,0),11))</f>
        <v/>
      </c>
      <c r="X344" t="str">
        <f t="array" ref="X344">IF($A344="","",INDEX(JupData!$A$2:$K$10000,MATCH($A344&amp;X$1,JupData!$A$2:$A$10000&amp;JupData!$J$2:$J$10000,0),11))</f>
        <v/>
      </c>
      <c r="Y344" t="str">
        <f t="array" ref="Y344">IF($A344="","",INDEX(JupData!$A$2:$K$10000,MATCH($A344&amp;Y$1,JupData!$A$2:$A$10000&amp;JupData!$J$2:$J$10000,0),11))</f>
        <v/>
      </c>
      <c r="Z344" t="str">
        <f t="array" ref="Z344">IF($A344="","",INDEX(JupData!$A$2:$K$10000,MATCH($A344&amp;Z$1,JupData!$A$2:$A$10000&amp;JupData!$J$2:$J$10000,0),11))</f>
        <v/>
      </c>
      <c r="AA344" t="str">
        <f t="array" ref="AA344">IF($A344="","",INDEX(JupData!$A$2:$K$10000,MATCH($A344&amp;AA$1,JupData!$A$2:$A$10000&amp;JupData!$J$2:$J$10000,0),11))</f>
        <v/>
      </c>
      <c r="AB344" t="str">
        <f t="array" ref="AB344">IF($A344="","",INDEX(JupData!$A$2:$K$10000,MATCH($A344&amp;AB$1,JupData!$A$2:$A$10000&amp;JupData!$J$2:$J$10000,0),11))</f>
        <v/>
      </c>
      <c r="AC344" s="10" t="str">
        <f t="shared" si="55"/>
        <v/>
      </c>
      <c r="AD344" s="10" t="str">
        <f t="shared" si="56"/>
        <v/>
      </c>
      <c r="AE344" s="9" t="str">
        <f t="shared" si="57"/>
        <v/>
      </c>
      <c r="AF344" s="10" t="str">
        <f t="shared" si="58"/>
        <v/>
      </c>
      <c r="AG344" s="10" t="str">
        <f t="shared" si="59"/>
        <v/>
      </c>
      <c r="AH344" s="10" t="str">
        <f t="shared" si="60"/>
        <v/>
      </c>
      <c r="AI344" s="10" t="str">
        <f t="shared" si="61"/>
        <v/>
      </c>
      <c r="AJ344" s="10" t="str">
        <f t="shared" si="62"/>
        <v/>
      </c>
      <c r="AK344" s="10" t="str">
        <f t="shared" si="63"/>
        <v/>
      </c>
      <c r="AL344" s="14" t="str">
        <f t="shared" si="64"/>
        <v/>
      </c>
    </row>
    <row r="345" spans="1:38" x14ac:dyDescent="0.2">
      <c r="A345"/>
      <c r="B345" t="str">
        <f>IF($A345="","",VLOOKUP($A345,JupData!$A$2:$I$10000,4,FALSE))</f>
        <v/>
      </c>
      <c r="C345" s="7" t="str">
        <f>IF($A345="",IF(N(D345),0,""),VLOOKUP($A345,JupData!$A$2:$I$10000,7,FALSE))</f>
        <v/>
      </c>
      <c r="D345" t="str">
        <f t="shared" si="65"/>
        <v/>
      </c>
      <c r="E345" t="str">
        <f t="array" ref="E345">IF($A345="","",INDEX(JupData!$A$2:$K$10000,MATCH($A345&amp;E$1,JupData!$A$2:$A$10000&amp;JupData!$J$2:$J$10000,0),11))</f>
        <v/>
      </c>
      <c r="F345" t="str">
        <f t="array" ref="F345">IF($A345="","",INDEX(JupData!$A$2:$K$10000,MATCH($A345&amp;F$1,JupData!$A$2:$A$10000&amp;JupData!$J$2:$J$10000,0),11))</f>
        <v/>
      </c>
      <c r="G345" t="str">
        <f t="array" ref="G345">IF($A345="","",INDEX(JupData!$A$2:$K$10000,MATCH($A345&amp;G$1,JupData!$A$2:$A$10000&amp;JupData!$J$2:$J$10000,0),11))</f>
        <v/>
      </c>
      <c r="H345" t="str">
        <f t="array" ref="H345">IF($A345="","",INDEX(JupData!$A$2:$K$10000,MATCH($A345&amp;H$1,JupData!$A$2:$A$10000&amp;JupData!$J$2:$J$10000,0),11))</f>
        <v/>
      </c>
      <c r="I345" t="str">
        <f t="array" ref="I345">IF($A345="","",INDEX(JupData!$A$2:$K$10000,MATCH($A345&amp;I$1,JupData!$A$2:$A$10000&amp;JupData!$J$2:$J$10000,0),11))</f>
        <v/>
      </c>
      <c r="J345" t="str">
        <f t="array" ref="J345">IF($A345="","",INDEX(JupData!$A$2:$K$10000,MATCH($A345&amp;J$1,JupData!$A$2:$A$10000&amp;JupData!$J$2:$J$10000,0),11))</f>
        <v/>
      </c>
      <c r="K345" t="str">
        <f t="array" ref="K345">IF($A345="","",INDEX(JupData!$A$2:$K$10000,MATCH($A345&amp;K$1,JupData!$A$2:$A$10000&amp;JupData!$J$2:$J$10000,0),11))</f>
        <v/>
      </c>
      <c r="L345" t="str">
        <f t="array" ref="L345">IF($A345="","",INDEX(JupData!$A$2:$K$10000,MATCH($A345&amp;L$1,JupData!$A$2:$A$10000&amp;JupData!$J$2:$J$10000,0),11))</f>
        <v/>
      </c>
      <c r="M345" t="str">
        <f t="array" ref="M345">IF($A345="","",INDEX(JupData!$A$2:$K$10000,MATCH($A345&amp;M$1,JupData!$A$2:$A$10000&amp;JupData!$J$2:$J$10000,0),11))</f>
        <v/>
      </c>
      <c r="N345" t="str">
        <f t="array" ref="N345">IF($A345="","",INDEX(JupData!$A$2:$K$10000,MATCH($A345&amp;N$1,JupData!$A$2:$A$10000&amp;JupData!$J$2:$J$10000,0),11))</f>
        <v/>
      </c>
      <c r="O345" t="str">
        <f t="array" ref="O345">IF($A345="","",INDEX(JupData!$A$2:$K$10000,MATCH($A345&amp;O$1,JupData!$A$2:$A$10000&amp;JupData!$J$2:$J$10000,0),11))</f>
        <v/>
      </c>
      <c r="P345" t="str">
        <f t="array" ref="P345">IF($A345="","",INDEX(JupData!$A$2:$K$10000,MATCH($A345&amp;P$1,JupData!$A$2:$A$10000&amp;JupData!$J$2:$J$10000,0),11))</f>
        <v/>
      </c>
      <c r="Q345" t="str">
        <f t="array" ref="Q345">IF($A345="","",INDEX(JupData!$A$2:$K$10000,MATCH($A345&amp;Q$1,JupData!$A$2:$A$10000&amp;JupData!$J$2:$J$10000,0),11))</f>
        <v/>
      </c>
      <c r="R345" t="str">
        <f t="array" ref="R345">IF($A345="","",INDEX(JupData!$A$2:$K$10000,MATCH($A345&amp;R$1,JupData!$A$2:$A$10000&amp;JupData!$J$2:$J$10000,0),11))</f>
        <v/>
      </c>
      <c r="S345" t="str">
        <f t="array" ref="S345">IF($A345="","",INDEX(JupData!$A$2:$K$10000,MATCH($A345&amp;S$1,JupData!$A$2:$A$10000&amp;JupData!$J$2:$J$10000,0),11))</f>
        <v/>
      </c>
      <c r="T345" t="str">
        <f t="array" ref="T345">IF($A345="","",INDEX(JupData!$A$2:$K$10000,MATCH($A345&amp;T$1,JupData!$A$2:$A$10000&amp;JupData!$J$2:$J$10000,0),11))</f>
        <v/>
      </c>
      <c r="U345" t="str">
        <f t="array" ref="U345">IF($A345="","",INDEX(JupData!$A$2:$K$10000,MATCH($A345&amp;U$1,JupData!$A$2:$A$10000&amp;JupData!$J$2:$J$10000,0),11))</f>
        <v/>
      </c>
      <c r="V345" t="str">
        <f t="array" ref="V345">IF($A345="","",INDEX(JupData!$A$2:$K$10000,MATCH($A345&amp;V$1,JupData!$A$2:$A$10000&amp;JupData!$J$2:$J$10000,0),11))</f>
        <v/>
      </c>
      <c r="W345" t="str">
        <f t="array" ref="W345">IF($A345="","",INDEX(JupData!$A$2:$K$10000,MATCH($A345&amp;W$1,JupData!$A$2:$A$10000&amp;JupData!$J$2:$J$10000,0),11))</f>
        <v/>
      </c>
      <c r="X345" t="str">
        <f t="array" ref="X345">IF($A345="","",INDEX(JupData!$A$2:$K$10000,MATCH($A345&amp;X$1,JupData!$A$2:$A$10000&amp;JupData!$J$2:$J$10000,0),11))</f>
        <v/>
      </c>
      <c r="Y345" t="str">
        <f t="array" ref="Y345">IF($A345="","",INDEX(JupData!$A$2:$K$10000,MATCH($A345&amp;Y$1,JupData!$A$2:$A$10000&amp;JupData!$J$2:$J$10000,0),11))</f>
        <v/>
      </c>
      <c r="Z345" t="str">
        <f t="array" ref="Z345">IF($A345="","",INDEX(JupData!$A$2:$K$10000,MATCH($A345&amp;Z$1,JupData!$A$2:$A$10000&amp;JupData!$J$2:$J$10000,0),11))</f>
        <v/>
      </c>
      <c r="AA345" t="str">
        <f t="array" ref="AA345">IF($A345="","",INDEX(JupData!$A$2:$K$10000,MATCH($A345&amp;AA$1,JupData!$A$2:$A$10000&amp;JupData!$J$2:$J$10000,0),11))</f>
        <v/>
      </c>
      <c r="AB345" t="str">
        <f t="array" ref="AB345">IF($A345="","",INDEX(JupData!$A$2:$K$10000,MATCH($A345&amp;AB$1,JupData!$A$2:$A$10000&amp;JupData!$J$2:$J$10000,0),11))</f>
        <v/>
      </c>
      <c r="AC345" s="10" t="str">
        <f t="shared" si="55"/>
        <v/>
      </c>
      <c r="AD345" s="10" t="str">
        <f t="shared" si="56"/>
        <v/>
      </c>
      <c r="AE345" s="9" t="str">
        <f t="shared" si="57"/>
        <v/>
      </c>
      <c r="AF345" s="10" t="str">
        <f t="shared" si="58"/>
        <v/>
      </c>
      <c r="AG345" s="10" t="str">
        <f t="shared" si="59"/>
        <v/>
      </c>
      <c r="AH345" s="10" t="str">
        <f t="shared" si="60"/>
        <v/>
      </c>
      <c r="AI345" s="10" t="str">
        <f t="shared" si="61"/>
        <v/>
      </c>
      <c r="AJ345" s="10" t="str">
        <f t="shared" si="62"/>
        <v/>
      </c>
      <c r="AK345" s="10" t="str">
        <f t="shared" si="63"/>
        <v/>
      </c>
      <c r="AL345" s="14" t="str">
        <f t="shared" si="64"/>
        <v/>
      </c>
    </row>
    <row r="346" spans="1:38" x14ac:dyDescent="0.2">
      <c r="A346"/>
      <c r="B346" t="str">
        <f>IF($A346="","",VLOOKUP($A346,JupData!$A$2:$I$10000,4,FALSE))</f>
        <v/>
      </c>
      <c r="C346" s="7" t="str">
        <f>IF($A346="",IF(N(D346),0,""),VLOOKUP($A346,JupData!$A$2:$I$10000,7,FALSE))</f>
        <v/>
      </c>
      <c r="D346" t="str">
        <f t="shared" si="65"/>
        <v/>
      </c>
      <c r="E346" t="str">
        <f t="array" ref="E346">IF($A346="","",INDEX(JupData!$A$2:$K$10000,MATCH($A346&amp;E$1,JupData!$A$2:$A$10000&amp;JupData!$J$2:$J$10000,0),11))</f>
        <v/>
      </c>
      <c r="F346" t="str">
        <f t="array" ref="F346">IF($A346="","",INDEX(JupData!$A$2:$K$10000,MATCH($A346&amp;F$1,JupData!$A$2:$A$10000&amp;JupData!$J$2:$J$10000,0),11))</f>
        <v/>
      </c>
      <c r="G346" t="str">
        <f t="array" ref="G346">IF($A346="","",INDEX(JupData!$A$2:$K$10000,MATCH($A346&amp;G$1,JupData!$A$2:$A$10000&amp;JupData!$J$2:$J$10000,0),11))</f>
        <v/>
      </c>
      <c r="H346" t="str">
        <f t="array" ref="H346">IF($A346="","",INDEX(JupData!$A$2:$K$10000,MATCH($A346&amp;H$1,JupData!$A$2:$A$10000&amp;JupData!$J$2:$J$10000,0),11))</f>
        <v/>
      </c>
      <c r="I346" t="str">
        <f t="array" ref="I346">IF($A346="","",INDEX(JupData!$A$2:$K$10000,MATCH($A346&amp;I$1,JupData!$A$2:$A$10000&amp;JupData!$J$2:$J$10000,0),11))</f>
        <v/>
      </c>
      <c r="J346" t="str">
        <f t="array" ref="J346">IF($A346="","",INDEX(JupData!$A$2:$K$10000,MATCH($A346&amp;J$1,JupData!$A$2:$A$10000&amp;JupData!$J$2:$J$10000,0),11))</f>
        <v/>
      </c>
      <c r="K346" t="str">
        <f t="array" ref="K346">IF($A346="","",INDEX(JupData!$A$2:$K$10000,MATCH($A346&amp;K$1,JupData!$A$2:$A$10000&amp;JupData!$J$2:$J$10000,0),11))</f>
        <v/>
      </c>
      <c r="L346" t="str">
        <f t="array" ref="L346">IF($A346="","",INDEX(JupData!$A$2:$K$10000,MATCH($A346&amp;L$1,JupData!$A$2:$A$10000&amp;JupData!$J$2:$J$10000,0),11))</f>
        <v/>
      </c>
      <c r="M346" t="str">
        <f t="array" ref="M346">IF($A346="","",INDEX(JupData!$A$2:$K$10000,MATCH($A346&amp;M$1,JupData!$A$2:$A$10000&amp;JupData!$J$2:$J$10000,0),11))</f>
        <v/>
      </c>
      <c r="N346" t="str">
        <f t="array" ref="N346">IF($A346="","",INDEX(JupData!$A$2:$K$10000,MATCH($A346&amp;N$1,JupData!$A$2:$A$10000&amp;JupData!$J$2:$J$10000,0),11))</f>
        <v/>
      </c>
      <c r="O346" t="str">
        <f t="array" ref="O346">IF($A346="","",INDEX(JupData!$A$2:$K$10000,MATCH($A346&amp;O$1,JupData!$A$2:$A$10000&amp;JupData!$J$2:$J$10000,0),11))</f>
        <v/>
      </c>
      <c r="P346" t="str">
        <f t="array" ref="P346">IF($A346="","",INDEX(JupData!$A$2:$K$10000,MATCH($A346&amp;P$1,JupData!$A$2:$A$10000&amp;JupData!$J$2:$J$10000,0),11))</f>
        <v/>
      </c>
      <c r="Q346" t="str">
        <f t="array" ref="Q346">IF($A346="","",INDEX(JupData!$A$2:$K$10000,MATCH($A346&amp;Q$1,JupData!$A$2:$A$10000&amp;JupData!$J$2:$J$10000,0),11))</f>
        <v/>
      </c>
      <c r="R346" t="str">
        <f t="array" ref="R346">IF($A346="","",INDEX(JupData!$A$2:$K$10000,MATCH($A346&amp;R$1,JupData!$A$2:$A$10000&amp;JupData!$J$2:$J$10000,0),11))</f>
        <v/>
      </c>
      <c r="S346" t="str">
        <f t="array" ref="S346">IF($A346="","",INDEX(JupData!$A$2:$K$10000,MATCH($A346&amp;S$1,JupData!$A$2:$A$10000&amp;JupData!$J$2:$J$10000,0),11))</f>
        <v/>
      </c>
      <c r="T346" t="str">
        <f t="array" ref="T346">IF($A346="","",INDEX(JupData!$A$2:$K$10000,MATCH($A346&amp;T$1,JupData!$A$2:$A$10000&amp;JupData!$J$2:$J$10000,0),11))</f>
        <v/>
      </c>
      <c r="U346" t="str">
        <f t="array" ref="U346">IF($A346="","",INDEX(JupData!$A$2:$K$10000,MATCH($A346&amp;U$1,JupData!$A$2:$A$10000&amp;JupData!$J$2:$J$10000,0),11))</f>
        <v/>
      </c>
      <c r="V346" t="str">
        <f t="array" ref="V346">IF($A346="","",INDEX(JupData!$A$2:$K$10000,MATCH($A346&amp;V$1,JupData!$A$2:$A$10000&amp;JupData!$J$2:$J$10000,0),11))</f>
        <v/>
      </c>
      <c r="W346" t="str">
        <f t="array" ref="W346">IF($A346="","",INDEX(JupData!$A$2:$K$10000,MATCH($A346&amp;W$1,JupData!$A$2:$A$10000&amp;JupData!$J$2:$J$10000,0),11))</f>
        <v/>
      </c>
      <c r="X346" t="str">
        <f t="array" ref="X346">IF($A346="","",INDEX(JupData!$A$2:$K$10000,MATCH($A346&amp;X$1,JupData!$A$2:$A$10000&amp;JupData!$J$2:$J$10000,0),11))</f>
        <v/>
      </c>
      <c r="Y346" t="str">
        <f t="array" ref="Y346">IF($A346="","",INDEX(JupData!$A$2:$K$10000,MATCH($A346&amp;Y$1,JupData!$A$2:$A$10000&amp;JupData!$J$2:$J$10000,0),11))</f>
        <v/>
      </c>
      <c r="Z346" t="str">
        <f t="array" ref="Z346">IF($A346="","",INDEX(JupData!$A$2:$K$10000,MATCH($A346&amp;Z$1,JupData!$A$2:$A$10000&amp;JupData!$J$2:$J$10000,0),11))</f>
        <v/>
      </c>
      <c r="AA346" t="str">
        <f t="array" ref="AA346">IF($A346="","",INDEX(JupData!$A$2:$K$10000,MATCH($A346&amp;AA$1,JupData!$A$2:$A$10000&amp;JupData!$J$2:$J$10000,0),11))</f>
        <v/>
      </c>
      <c r="AB346" t="str">
        <f t="array" ref="AB346">IF($A346="","",INDEX(JupData!$A$2:$K$10000,MATCH($A346&amp;AB$1,JupData!$A$2:$A$10000&amp;JupData!$J$2:$J$10000,0),11))</f>
        <v/>
      </c>
      <c r="AC346" s="10" t="str">
        <f t="shared" si="55"/>
        <v/>
      </c>
      <c r="AD346" s="10" t="str">
        <f t="shared" si="56"/>
        <v/>
      </c>
      <c r="AE346" s="9" t="str">
        <f t="shared" si="57"/>
        <v/>
      </c>
      <c r="AF346" s="10" t="str">
        <f t="shared" si="58"/>
        <v/>
      </c>
      <c r="AG346" s="10" t="str">
        <f t="shared" si="59"/>
        <v/>
      </c>
      <c r="AH346" s="10" t="str">
        <f t="shared" si="60"/>
        <v/>
      </c>
      <c r="AI346" s="10" t="str">
        <f t="shared" si="61"/>
        <v/>
      </c>
      <c r="AJ346" s="10" t="str">
        <f t="shared" si="62"/>
        <v/>
      </c>
      <c r="AK346" s="10" t="str">
        <f t="shared" si="63"/>
        <v/>
      </c>
      <c r="AL346" s="14" t="str">
        <f t="shared" si="64"/>
        <v/>
      </c>
    </row>
    <row r="347" spans="1:38" x14ac:dyDescent="0.2">
      <c r="A347"/>
      <c r="B347" t="str">
        <f>IF($A347="","",VLOOKUP($A347,JupData!$A$2:$I$10000,4,FALSE))</f>
        <v/>
      </c>
      <c r="C347" s="7" t="str">
        <f>IF($A347="",IF(N(D347),0,""),VLOOKUP($A347,JupData!$A$2:$I$10000,7,FALSE))</f>
        <v/>
      </c>
      <c r="D347" t="str">
        <f t="shared" si="65"/>
        <v/>
      </c>
      <c r="E347" t="str">
        <f t="array" ref="E347">IF($A347="","",INDEX(JupData!$A$2:$K$10000,MATCH($A347&amp;E$1,JupData!$A$2:$A$10000&amp;JupData!$J$2:$J$10000,0),11))</f>
        <v/>
      </c>
      <c r="F347" t="str">
        <f t="array" ref="F347">IF($A347="","",INDEX(JupData!$A$2:$K$10000,MATCH($A347&amp;F$1,JupData!$A$2:$A$10000&amp;JupData!$J$2:$J$10000,0),11))</f>
        <v/>
      </c>
      <c r="G347" t="str">
        <f t="array" ref="G347">IF($A347="","",INDEX(JupData!$A$2:$K$10000,MATCH($A347&amp;G$1,JupData!$A$2:$A$10000&amp;JupData!$J$2:$J$10000,0),11))</f>
        <v/>
      </c>
      <c r="H347" t="str">
        <f t="array" ref="H347">IF($A347="","",INDEX(JupData!$A$2:$K$10000,MATCH($A347&amp;H$1,JupData!$A$2:$A$10000&amp;JupData!$J$2:$J$10000,0),11))</f>
        <v/>
      </c>
      <c r="I347" t="str">
        <f t="array" ref="I347">IF($A347="","",INDEX(JupData!$A$2:$K$10000,MATCH($A347&amp;I$1,JupData!$A$2:$A$10000&amp;JupData!$J$2:$J$10000,0),11))</f>
        <v/>
      </c>
      <c r="J347" t="str">
        <f t="array" ref="J347">IF($A347="","",INDEX(JupData!$A$2:$K$10000,MATCH($A347&amp;J$1,JupData!$A$2:$A$10000&amp;JupData!$J$2:$J$10000,0),11))</f>
        <v/>
      </c>
      <c r="K347" t="str">
        <f t="array" ref="K347">IF($A347="","",INDEX(JupData!$A$2:$K$10000,MATCH($A347&amp;K$1,JupData!$A$2:$A$10000&amp;JupData!$J$2:$J$10000,0),11))</f>
        <v/>
      </c>
      <c r="L347" t="str">
        <f t="array" ref="L347">IF($A347="","",INDEX(JupData!$A$2:$K$10000,MATCH($A347&amp;L$1,JupData!$A$2:$A$10000&amp;JupData!$J$2:$J$10000,0),11))</f>
        <v/>
      </c>
      <c r="M347" t="str">
        <f t="array" ref="M347">IF($A347="","",INDEX(JupData!$A$2:$K$10000,MATCH($A347&amp;M$1,JupData!$A$2:$A$10000&amp;JupData!$J$2:$J$10000,0),11))</f>
        <v/>
      </c>
      <c r="N347" t="str">
        <f t="array" ref="N347">IF($A347="","",INDEX(JupData!$A$2:$K$10000,MATCH($A347&amp;N$1,JupData!$A$2:$A$10000&amp;JupData!$J$2:$J$10000,0),11))</f>
        <v/>
      </c>
      <c r="O347" t="str">
        <f t="array" ref="O347">IF($A347="","",INDEX(JupData!$A$2:$K$10000,MATCH($A347&amp;O$1,JupData!$A$2:$A$10000&amp;JupData!$J$2:$J$10000,0),11))</f>
        <v/>
      </c>
      <c r="P347" t="str">
        <f t="array" ref="P347">IF($A347="","",INDEX(JupData!$A$2:$K$10000,MATCH($A347&amp;P$1,JupData!$A$2:$A$10000&amp;JupData!$J$2:$J$10000,0),11))</f>
        <v/>
      </c>
      <c r="Q347" t="str">
        <f t="array" ref="Q347">IF($A347="","",INDEX(JupData!$A$2:$K$10000,MATCH($A347&amp;Q$1,JupData!$A$2:$A$10000&amp;JupData!$J$2:$J$10000,0),11))</f>
        <v/>
      </c>
      <c r="R347" t="str">
        <f t="array" ref="R347">IF($A347="","",INDEX(JupData!$A$2:$K$10000,MATCH($A347&amp;R$1,JupData!$A$2:$A$10000&amp;JupData!$J$2:$J$10000,0),11))</f>
        <v/>
      </c>
      <c r="S347" t="str">
        <f t="array" ref="S347">IF($A347="","",INDEX(JupData!$A$2:$K$10000,MATCH($A347&amp;S$1,JupData!$A$2:$A$10000&amp;JupData!$J$2:$J$10000,0),11))</f>
        <v/>
      </c>
      <c r="T347" t="str">
        <f t="array" ref="T347">IF($A347="","",INDEX(JupData!$A$2:$K$10000,MATCH($A347&amp;T$1,JupData!$A$2:$A$10000&amp;JupData!$J$2:$J$10000,0),11))</f>
        <v/>
      </c>
      <c r="U347" t="str">
        <f t="array" ref="U347">IF($A347="","",INDEX(JupData!$A$2:$K$10000,MATCH($A347&amp;U$1,JupData!$A$2:$A$10000&amp;JupData!$J$2:$J$10000,0),11))</f>
        <v/>
      </c>
      <c r="V347" t="str">
        <f t="array" ref="V347">IF($A347="","",INDEX(JupData!$A$2:$K$10000,MATCH($A347&amp;V$1,JupData!$A$2:$A$10000&amp;JupData!$J$2:$J$10000,0),11))</f>
        <v/>
      </c>
      <c r="W347" t="str">
        <f t="array" ref="W347">IF($A347="","",INDEX(JupData!$A$2:$K$10000,MATCH($A347&amp;W$1,JupData!$A$2:$A$10000&amp;JupData!$J$2:$J$10000,0),11))</f>
        <v/>
      </c>
      <c r="X347" t="str">
        <f t="array" ref="X347">IF($A347="","",INDEX(JupData!$A$2:$K$10000,MATCH($A347&amp;X$1,JupData!$A$2:$A$10000&amp;JupData!$J$2:$J$10000,0),11))</f>
        <v/>
      </c>
      <c r="Y347" t="str">
        <f t="array" ref="Y347">IF($A347="","",INDEX(JupData!$A$2:$K$10000,MATCH($A347&amp;Y$1,JupData!$A$2:$A$10000&amp;JupData!$J$2:$J$10000,0),11))</f>
        <v/>
      </c>
      <c r="Z347" t="str">
        <f t="array" ref="Z347">IF($A347="","",INDEX(JupData!$A$2:$K$10000,MATCH($A347&amp;Z$1,JupData!$A$2:$A$10000&amp;JupData!$J$2:$J$10000,0),11))</f>
        <v/>
      </c>
      <c r="AA347" t="str">
        <f t="array" ref="AA347">IF($A347="","",INDEX(JupData!$A$2:$K$10000,MATCH($A347&amp;AA$1,JupData!$A$2:$A$10000&amp;JupData!$J$2:$J$10000,0),11))</f>
        <v/>
      </c>
      <c r="AB347" t="str">
        <f t="array" ref="AB347">IF($A347="","",INDEX(JupData!$A$2:$K$10000,MATCH($A347&amp;AB$1,JupData!$A$2:$A$10000&amp;JupData!$J$2:$J$10000,0),11))</f>
        <v/>
      </c>
      <c r="AC347" s="10" t="str">
        <f t="shared" si="55"/>
        <v/>
      </c>
      <c r="AD347" s="10" t="str">
        <f t="shared" si="56"/>
        <v/>
      </c>
      <c r="AE347" s="9" t="str">
        <f t="shared" si="57"/>
        <v/>
      </c>
      <c r="AF347" s="10" t="str">
        <f t="shared" si="58"/>
        <v/>
      </c>
      <c r="AG347" s="10" t="str">
        <f t="shared" si="59"/>
        <v/>
      </c>
      <c r="AH347" s="10" t="str">
        <f t="shared" si="60"/>
        <v/>
      </c>
      <c r="AI347" s="10" t="str">
        <f t="shared" si="61"/>
        <v/>
      </c>
      <c r="AJ347" s="10" t="str">
        <f t="shared" si="62"/>
        <v/>
      </c>
      <c r="AK347" s="10" t="str">
        <f t="shared" si="63"/>
        <v/>
      </c>
      <c r="AL347" s="14" t="str">
        <f t="shared" si="64"/>
        <v/>
      </c>
    </row>
    <row r="348" spans="1:38" x14ac:dyDescent="0.2">
      <c r="A348"/>
      <c r="B348" t="str">
        <f>IF($A348="","",VLOOKUP($A348,JupData!$A$2:$I$10000,4,FALSE))</f>
        <v/>
      </c>
      <c r="C348" s="7" t="str">
        <f>IF($A348="",IF(N(D348),0,""),VLOOKUP($A348,JupData!$A$2:$I$10000,7,FALSE))</f>
        <v/>
      </c>
      <c r="D348" t="str">
        <f t="shared" si="65"/>
        <v/>
      </c>
      <c r="E348" t="str">
        <f t="array" ref="E348">IF($A348="","",INDEX(JupData!$A$2:$K$10000,MATCH($A348&amp;E$1,JupData!$A$2:$A$10000&amp;JupData!$J$2:$J$10000,0),11))</f>
        <v/>
      </c>
      <c r="F348" t="str">
        <f t="array" ref="F348">IF($A348="","",INDEX(JupData!$A$2:$K$10000,MATCH($A348&amp;F$1,JupData!$A$2:$A$10000&amp;JupData!$J$2:$J$10000,0),11))</f>
        <v/>
      </c>
      <c r="G348" t="str">
        <f t="array" ref="G348">IF($A348="","",INDEX(JupData!$A$2:$K$10000,MATCH($A348&amp;G$1,JupData!$A$2:$A$10000&amp;JupData!$J$2:$J$10000,0),11))</f>
        <v/>
      </c>
      <c r="H348" t="str">
        <f t="array" ref="H348">IF($A348="","",INDEX(JupData!$A$2:$K$10000,MATCH($A348&amp;H$1,JupData!$A$2:$A$10000&amp;JupData!$J$2:$J$10000,0),11))</f>
        <v/>
      </c>
      <c r="I348" t="str">
        <f t="array" ref="I348">IF($A348="","",INDEX(JupData!$A$2:$K$10000,MATCH($A348&amp;I$1,JupData!$A$2:$A$10000&amp;JupData!$J$2:$J$10000,0),11))</f>
        <v/>
      </c>
      <c r="J348" t="str">
        <f t="array" ref="J348">IF($A348="","",INDEX(JupData!$A$2:$K$10000,MATCH($A348&amp;J$1,JupData!$A$2:$A$10000&amp;JupData!$J$2:$J$10000,0),11))</f>
        <v/>
      </c>
      <c r="K348" t="str">
        <f t="array" ref="K348">IF($A348="","",INDEX(JupData!$A$2:$K$10000,MATCH($A348&amp;K$1,JupData!$A$2:$A$10000&amp;JupData!$J$2:$J$10000,0),11))</f>
        <v/>
      </c>
      <c r="L348" t="str">
        <f t="array" ref="L348">IF($A348="","",INDEX(JupData!$A$2:$K$10000,MATCH($A348&amp;L$1,JupData!$A$2:$A$10000&amp;JupData!$J$2:$J$10000,0),11))</f>
        <v/>
      </c>
      <c r="M348" t="str">
        <f t="array" ref="M348">IF($A348="","",INDEX(JupData!$A$2:$K$10000,MATCH($A348&amp;M$1,JupData!$A$2:$A$10000&amp;JupData!$J$2:$J$10000,0),11))</f>
        <v/>
      </c>
      <c r="N348" t="str">
        <f t="array" ref="N348">IF($A348="","",INDEX(JupData!$A$2:$K$10000,MATCH($A348&amp;N$1,JupData!$A$2:$A$10000&amp;JupData!$J$2:$J$10000,0),11))</f>
        <v/>
      </c>
      <c r="O348" t="str">
        <f t="array" ref="O348">IF($A348="","",INDEX(JupData!$A$2:$K$10000,MATCH($A348&amp;O$1,JupData!$A$2:$A$10000&amp;JupData!$J$2:$J$10000,0),11))</f>
        <v/>
      </c>
      <c r="P348" t="str">
        <f t="array" ref="P348">IF($A348="","",INDEX(JupData!$A$2:$K$10000,MATCH($A348&amp;P$1,JupData!$A$2:$A$10000&amp;JupData!$J$2:$J$10000,0),11))</f>
        <v/>
      </c>
      <c r="Q348" t="str">
        <f t="array" ref="Q348">IF($A348="","",INDEX(JupData!$A$2:$K$10000,MATCH($A348&amp;Q$1,JupData!$A$2:$A$10000&amp;JupData!$J$2:$J$10000,0),11))</f>
        <v/>
      </c>
      <c r="R348" t="str">
        <f t="array" ref="R348">IF($A348="","",INDEX(JupData!$A$2:$K$10000,MATCH($A348&amp;R$1,JupData!$A$2:$A$10000&amp;JupData!$J$2:$J$10000,0),11))</f>
        <v/>
      </c>
      <c r="S348" t="str">
        <f t="array" ref="S348">IF($A348="","",INDEX(JupData!$A$2:$K$10000,MATCH($A348&amp;S$1,JupData!$A$2:$A$10000&amp;JupData!$J$2:$J$10000,0),11))</f>
        <v/>
      </c>
      <c r="T348" t="str">
        <f t="array" ref="T348">IF($A348="","",INDEX(JupData!$A$2:$K$10000,MATCH($A348&amp;T$1,JupData!$A$2:$A$10000&amp;JupData!$J$2:$J$10000,0),11))</f>
        <v/>
      </c>
      <c r="U348" t="str">
        <f t="array" ref="U348">IF($A348="","",INDEX(JupData!$A$2:$K$10000,MATCH($A348&amp;U$1,JupData!$A$2:$A$10000&amp;JupData!$J$2:$J$10000,0),11))</f>
        <v/>
      </c>
      <c r="V348" t="str">
        <f t="array" ref="V348">IF($A348="","",INDEX(JupData!$A$2:$K$10000,MATCH($A348&amp;V$1,JupData!$A$2:$A$10000&amp;JupData!$J$2:$J$10000,0),11))</f>
        <v/>
      </c>
      <c r="W348" t="str">
        <f t="array" ref="W348">IF($A348="","",INDEX(JupData!$A$2:$K$10000,MATCH($A348&amp;W$1,JupData!$A$2:$A$10000&amp;JupData!$J$2:$J$10000,0),11))</f>
        <v/>
      </c>
      <c r="X348" t="str">
        <f t="array" ref="X348">IF($A348="","",INDEX(JupData!$A$2:$K$10000,MATCH($A348&amp;X$1,JupData!$A$2:$A$10000&amp;JupData!$J$2:$J$10000,0),11))</f>
        <v/>
      </c>
      <c r="Y348" t="str">
        <f t="array" ref="Y348">IF($A348="","",INDEX(JupData!$A$2:$K$10000,MATCH($A348&amp;Y$1,JupData!$A$2:$A$10000&amp;JupData!$J$2:$J$10000,0),11))</f>
        <v/>
      </c>
      <c r="Z348" t="str">
        <f t="array" ref="Z348">IF($A348="","",INDEX(JupData!$A$2:$K$10000,MATCH($A348&amp;Z$1,JupData!$A$2:$A$10000&amp;JupData!$J$2:$J$10000,0),11))</f>
        <v/>
      </c>
      <c r="AA348" t="str">
        <f t="array" ref="AA348">IF($A348="","",INDEX(JupData!$A$2:$K$10000,MATCH($A348&amp;AA$1,JupData!$A$2:$A$10000&amp;JupData!$J$2:$J$10000,0),11))</f>
        <v/>
      </c>
      <c r="AB348" t="str">
        <f t="array" ref="AB348">IF($A348="","",INDEX(JupData!$A$2:$K$10000,MATCH($A348&amp;AB$1,JupData!$A$2:$A$10000&amp;JupData!$J$2:$J$10000,0),11))</f>
        <v/>
      </c>
      <c r="AC348" s="10" t="str">
        <f t="shared" si="55"/>
        <v/>
      </c>
      <c r="AD348" s="10" t="str">
        <f t="shared" si="56"/>
        <v/>
      </c>
      <c r="AE348" s="9" t="str">
        <f t="shared" si="57"/>
        <v/>
      </c>
      <c r="AF348" s="10" t="str">
        <f t="shared" si="58"/>
        <v/>
      </c>
      <c r="AG348" s="10" t="str">
        <f t="shared" si="59"/>
        <v/>
      </c>
      <c r="AH348" s="10" t="str">
        <f t="shared" si="60"/>
        <v/>
      </c>
      <c r="AI348" s="10" t="str">
        <f t="shared" si="61"/>
        <v/>
      </c>
      <c r="AJ348" s="10" t="str">
        <f t="shared" si="62"/>
        <v/>
      </c>
      <c r="AK348" s="10" t="str">
        <f t="shared" si="63"/>
        <v/>
      </c>
      <c r="AL348" s="14" t="str">
        <f t="shared" si="64"/>
        <v/>
      </c>
    </row>
    <row r="349" spans="1:38" x14ac:dyDescent="0.2">
      <c r="A349"/>
      <c r="B349" t="str">
        <f>IF($A349="","",VLOOKUP($A349,JupData!$A$2:$I$10000,4,FALSE))</f>
        <v/>
      </c>
      <c r="C349" s="7" t="str">
        <f>IF($A349="",IF(N(D349),0,""),VLOOKUP($A349,JupData!$A$2:$I$10000,7,FALSE))</f>
        <v/>
      </c>
      <c r="D349" t="str">
        <f t="shared" si="65"/>
        <v/>
      </c>
      <c r="E349" t="str">
        <f t="array" ref="E349">IF($A349="","",INDEX(JupData!$A$2:$K$10000,MATCH($A349&amp;E$1,JupData!$A$2:$A$10000&amp;JupData!$J$2:$J$10000,0),11))</f>
        <v/>
      </c>
      <c r="F349" t="str">
        <f t="array" ref="F349">IF($A349="","",INDEX(JupData!$A$2:$K$10000,MATCH($A349&amp;F$1,JupData!$A$2:$A$10000&amp;JupData!$J$2:$J$10000,0),11))</f>
        <v/>
      </c>
      <c r="G349" t="str">
        <f t="array" ref="G349">IF($A349="","",INDEX(JupData!$A$2:$K$10000,MATCH($A349&amp;G$1,JupData!$A$2:$A$10000&amp;JupData!$J$2:$J$10000,0),11))</f>
        <v/>
      </c>
      <c r="H349" t="str">
        <f t="array" ref="H349">IF($A349="","",INDEX(JupData!$A$2:$K$10000,MATCH($A349&amp;H$1,JupData!$A$2:$A$10000&amp;JupData!$J$2:$J$10000,0),11))</f>
        <v/>
      </c>
      <c r="I349" t="str">
        <f t="array" ref="I349">IF($A349="","",INDEX(JupData!$A$2:$K$10000,MATCH($A349&amp;I$1,JupData!$A$2:$A$10000&amp;JupData!$J$2:$J$10000,0),11))</f>
        <v/>
      </c>
      <c r="J349" t="str">
        <f t="array" ref="J349">IF($A349="","",INDEX(JupData!$A$2:$K$10000,MATCH($A349&amp;J$1,JupData!$A$2:$A$10000&amp;JupData!$J$2:$J$10000,0),11))</f>
        <v/>
      </c>
      <c r="K349" t="str">
        <f t="array" ref="K349">IF($A349="","",INDEX(JupData!$A$2:$K$10000,MATCH($A349&amp;K$1,JupData!$A$2:$A$10000&amp;JupData!$J$2:$J$10000,0),11))</f>
        <v/>
      </c>
      <c r="L349" t="str">
        <f t="array" ref="L349">IF($A349="","",INDEX(JupData!$A$2:$K$10000,MATCH($A349&amp;L$1,JupData!$A$2:$A$10000&amp;JupData!$J$2:$J$10000,0),11))</f>
        <v/>
      </c>
      <c r="M349" t="str">
        <f t="array" ref="M349">IF($A349="","",INDEX(JupData!$A$2:$K$10000,MATCH($A349&amp;M$1,JupData!$A$2:$A$10000&amp;JupData!$J$2:$J$10000,0),11))</f>
        <v/>
      </c>
      <c r="N349" t="str">
        <f t="array" ref="N349">IF($A349="","",INDEX(JupData!$A$2:$K$10000,MATCH($A349&amp;N$1,JupData!$A$2:$A$10000&amp;JupData!$J$2:$J$10000,0),11))</f>
        <v/>
      </c>
      <c r="O349" t="str">
        <f t="array" ref="O349">IF($A349="","",INDEX(JupData!$A$2:$K$10000,MATCH($A349&amp;O$1,JupData!$A$2:$A$10000&amp;JupData!$J$2:$J$10000,0),11))</f>
        <v/>
      </c>
      <c r="P349" t="str">
        <f t="array" ref="P349">IF($A349="","",INDEX(JupData!$A$2:$K$10000,MATCH($A349&amp;P$1,JupData!$A$2:$A$10000&amp;JupData!$J$2:$J$10000,0),11))</f>
        <v/>
      </c>
      <c r="Q349" t="str">
        <f t="array" ref="Q349">IF($A349="","",INDEX(JupData!$A$2:$K$10000,MATCH($A349&amp;Q$1,JupData!$A$2:$A$10000&amp;JupData!$J$2:$J$10000,0),11))</f>
        <v/>
      </c>
      <c r="R349" t="str">
        <f t="array" ref="R349">IF($A349="","",INDEX(JupData!$A$2:$K$10000,MATCH($A349&amp;R$1,JupData!$A$2:$A$10000&amp;JupData!$J$2:$J$10000,0),11))</f>
        <v/>
      </c>
      <c r="S349" t="str">
        <f t="array" ref="S349">IF($A349="","",INDEX(JupData!$A$2:$K$10000,MATCH($A349&amp;S$1,JupData!$A$2:$A$10000&amp;JupData!$J$2:$J$10000,0),11))</f>
        <v/>
      </c>
      <c r="T349" t="str">
        <f t="array" ref="T349">IF($A349="","",INDEX(JupData!$A$2:$K$10000,MATCH($A349&amp;T$1,JupData!$A$2:$A$10000&amp;JupData!$J$2:$J$10000,0),11))</f>
        <v/>
      </c>
      <c r="U349" t="str">
        <f t="array" ref="U349">IF($A349="","",INDEX(JupData!$A$2:$K$10000,MATCH($A349&amp;U$1,JupData!$A$2:$A$10000&amp;JupData!$J$2:$J$10000,0),11))</f>
        <v/>
      </c>
      <c r="V349" t="str">
        <f t="array" ref="V349">IF($A349="","",INDEX(JupData!$A$2:$K$10000,MATCH($A349&amp;V$1,JupData!$A$2:$A$10000&amp;JupData!$J$2:$J$10000,0),11))</f>
        <v/>
      </c>
      <c r="W349" t="str">
        <f t="array" ref="W349">IF($A349="","",INDEX(JupData!$A$2:$K$10000,MATCH($A349&amp;W$1,JupData!$A$2:$A$10000&amp;JupData!$J$2:$J$10000,0),11))</f>
        <v/>
      </c>
      <c r="X349" t="str">
        <f t="array" ref="X349">IF($A349="","",INDEX(JupData!$A$2:$K$10000,MATCH($A349&amp;X$1,JupData!$A$2:$A$10000&amp;JupData!$J$2:$J$10000,0),11))</f>
        <v/>
      </c>
      <c r="Y349" t="str">
        <f t="array" ref="Y349">IF($A349="","",INDEX(JupData!$A$2:$K$10000,MATCH($A349&amp;Y$1,JupData!$A$2:$A$10000&amp;JupData!$J$2:$J$10000,0),11))</f>
        <v/>
      </c>
      <c r="Z349" t="str">
        <f t="array" ref="Z349">IF($A349="","",INDEX(JupData!$A$2:$K$10000,MATCH($A349&amp;Z$1,JupData!$A$2:$A$10000&amp;JupData!$J$2:$J$10000,0),11))</f>
        <v/>
      </c>
      <c r="AA349" t="str">
        <f t="array" ref="AA349">IF($A349="","",INDEX(JupData!$A$2:$K$10000,MATCH($A349&amp;AA$1,JupData!$A$2:$A$10000&amp;JupData!$J$2:$J$10000,0),11))</f>
        <v/>
      </c>
      <c r="AB349" t="str">
        <f t="array" ref="AB349">IF($A349="","",INDEX(JupData!$A$2:$K$10000,MATCH($A349&amp;AB$1,JupData!$A$2:$A$10000&amp;JupData!$J$2:$J$10000,0),11))</f>
        <v/>
      </c>
      <c r="AC349" s="10" t="str">
        <f t="shared" si="55"/>
        <v/>
      </c>
      <c r="AD349" s="10" t="str">
        <f t="shared" si="56"/>
        <v/>
      </c>
      <c r="AE349" s="9" t="str">
        <f t="shared" si="57"/>
        <v/>
      </c>
      <c r="AF349" s="10" t="str">
        <f t="shared" si="58"/>
        <v/>
      </c>
      <c r="AG349" s="10" t="str">
        <f t="shared" si="59"/>
        <v/>
      </c>
      <c r="AH349" s="10" t="str">
        <f t="shared" si="60"/>
        <v/>
      </c>
      <c r="AI349" s="10" t="str">
        <f t="shared" si="61"/>
        <v/>
      </c>
      <c r="AJ349" s="10" t="str">
        <f t="shared" si="62"/>
        <v/>
      </c>
      <c r="AK349" s="10" t="str">
        <f t="shared" si="63"/>
        <v/>
      </c>
      <c r="AL349" s="14" t="str">
        <f t="shared" si="64"/>
        <v/>
      </c>
    </row>
    <row r="350" spans="1:38" x14ac:dyDescent="0.2">
      <c r="A350"/>
      <c r="B350" t="str">
        <f>IF($A350="","",VLOOKUP($A350,JupData!$A$2:$I$10000,4,FALSE))</f>
        <v/>
      </c>
      <c r="C350" s="7" t="str">
        <f>IF($A350="",IF(N(D350),0,""),VLOOKUP($A350,JupData!$A$2:$I$10000,7,FALSE))</f>
        <v/>
      </c>
      <c r="D350" t="str">
        <f t="shared" si="65"/>
        <v/>
      </c>
      <c r="E350" t="str">
        <f t="array" ref="E350">IF($A350="","",INDEX(JupData!$A$2:$K$10000,MATCH($A350&amp;E$1,JupData!$A$2:$A$10000&amp;JupData!$J$2:$J$10000,0),11))</f>
        <v/>
      </c>
      <c r="F350" t="str">
        <f t="array" ref="F350">IF($A350="","",INDEX(JupData!$A$2:$K$10000,MATCH($A350&amp;F$1,JupData!$A$2:$A$10000&amp;JupData!$J$2:$J$10000,0),11))</f>
        <v/>
      </c>
      <c r="G350" t="str">
        <f t="array" ref="G350">IF($A350="","",INDEX(JupData!$A$2:$K$10000,MATCH($A350&amp;G$1,JupData!$A$2:$A$10000&amp;JupData!$J$2:$J$10000,0),11))</f>
        <v/>
      </c>
      <c r="H350" t="str">
        <f t="array" ref="H350">IF($A350="","",INDEX(JupData!$A$2:$K$10000,MATCH($A350&amp;H$1,JupData!$A$2:$A$10000&amp;JupData!$J$2:$J$10000,0),11))</f>
        <v/>
      </c>
      <c r="I350" t="str">
        <f t="array" ref="I350">IF($A350="","",INDEX(JupData!$A$2:$K$10000,MATCH($A350&amp;I$1,JupData!$A$2:$A$10000&amp;JupData!$J$2:$J$10000,0),11))</f>
        <v/>
      </c>
      <c r="J350" t="str">
        <f t="array" ref="J350">IF($A350="","",INDEX(JupData!$A$2:$K$10000,MATCH($A350&amp;J$1,JupData!$A$2:$A$10000&amp;JupData!$J$2:$J$10000,0),11))</f>
        <v/>
      </c>
      <c r="K350" t="str">
        <f t="array" ref="K350">IF($A350="","",INDEX(JupData!$A$2:$K$10000,MATCH($A350&amp;K$1,JupData!$A$2:$A$10000&amp;JupData!$J$2:$J$10000,0),11))</f>
        <v/>
      </c>
      <c r="L350" t="str">
        <f t="array" ref="L350">IF($A350="","",INDEX(JupData!$A$2:$K$10000,MATCH($A350&amp;L$1,JupData!$A$2:$A$10000&amp;JupData!$J$2:$J$10000,0),11))</f>
        <v/>
      </c>
      <c r="M350" t="str">
        <f t="array" ref="M350">IF($A350="","",INDEX(JupData!$A$2:$K$10000,MATCH($A350&amp;M$1,JupData!$A$2:$A$10000&amp;JupData!$J$2:$J$10000,0),11))</f>
        <v/>
      </c>
      <c r="N350" t="str">
        <f t="array" ref="N350">IF($A350="","",INDEX(JupData!$A$2:$K$10000,MATCH($A350&amp;N$1,JupData!$A$2:$A$10000&amp;JupData!$J$2:$J$10000,0),11))</f>
        <v/>
      </c>
      <c r="O350" t="str">
        <f t="array" ref="O350">IF($A350="","",INDEX(JupData!$A$2:$K$10000,MATCH($A350&amp;O$1,JupData!$A$2:$A$10000&amp;JupData!$J$2:$J$10000,0),11))</f>
        <v/>
      </c>
      <c r="P350" t="str">
        <f t="array" ref="P350">IF($A350="","",INDEX(JupData!$A$2:$K$10000,MATCH($A350&amp;P$1,JupData!$A$2:$A$10000&amp;JupData!$J$2:$J$10000,0),11))</f>
        <v/>
      </c>
      <c r="Q350" t="str">
        <f t="array" ref="Q350">IF($A350="","",INDEX(JupData!$A$2:$K$10000,MATCH($A350&amp;Q$1,JupData!$A$2:$A$10000&amp;JupData!$J$2:$J$10000,0),11))</f>
        <v/>
      </c>
      <c r="R350" t="str">
        <f t="array" ref="R350">IF($A350="","",INDEX(JupData!$A$2:$K$10000,MATCH($A350&amp;R$1,JupData!$A$2:$A$10000&amp;JupData!$J$2:$J$10000,0),11))</f>
        <v/>
      </c>
      <c r="S350" t="str">
        <f t="array" ref="S350">IF($A350="","",INDEX(JupData!$A$2:$K$10000,MATCH($A350&amp;S$1,JupData!$A$2:$A$10000&amp;JupData!$J$2:$J$10000,0),11))</f>
        <v/>
      </c>
      <c r="T350" t="str">
        <f t="array" ref="T350">IF($A350="","",INDEX(JupData!$A$2:$K$10000,MATCH($A350&amp;T$1,JupData!$A$2:$A$10000&amp;JupData!$J$2:$J$10000,0),11))</f>
        <v/>
      </c>
      <c r="U350" t="str">
        <f t="array" ref="U350">IF($A350="","",INDEX(JupData!$A$2:$K$10000,MATCH($A350&amp;U$1,JupData!$A$2:$A$10000&amp;JupData!$J$2:$J$10000,0),11))</f>
        <v/>
      </c>
      <c r="V350" t="str">
        <f t="array" ref="V350">IF($A350="","",INDEX(JupData!$A$2:$K$10000,MATCH($A350&amp;V$1,JupData!$A$2:$A$10000&amp;JupData!$J$2:$J$10000,0),11))</f>
        <v/>
      </c>
      <c r="W350" t="str">
        <f t="array" ref="W350">IF($A350="","",INDEX(JupData!$A$2:$K$10000,MATCH($A350&amp;W$1,JupData!$A$2:$A$10000&amp;JupData!$J$2:$J$10000,0),11))</f>
        <v/>
      </c>
      <c r="X350" t="str">
        <f t="array" ref="X350">IF($A350="","",INDEX(JupData!$A$2:$K$10000,MATCH($A350&amp;X$1,JupData!$A$2:$A$10000&amp;JupData!$J$2:$J$10000,0),11))</f>
        <v/>
      </c>
      <c r="Y350" t="str">
        <f t="array" ref="Y350">IF($A350="","",INDEX(JupData!$A$2:$K$10000,MATCH($A350&amp;Y$1,JupData!$A$2:$A$10000&amp;JupData!$J$2:$J$10000,0),11))</f>
        <v/>
      </c>
      <c r="Z350" t="str">
        <f t="array" ref="Z350">IF($A350="","",INDEX(JupData!$A$2:$K$10000,MATCH($A350&amp;Z$1,JupData!$A$2:$A$10000&amp;JupData!$J$2:$J$10000,0),11))</f>
        <v/>
      </c>
      <c r="AA350" t="str">
        <f t="array" ref="AA350">IF($A350="","",INDEX(JupData!$A$2:$K$10000,MATCH($A350&amp;AA$1,JupData!$A$2:$A$10000&amp;JupData!$J$2:$J$10000,0),11))</f>
        <v/>
      </c>
      <c r="AB350" t="str">
        <f t="array" ref="AB350">IF($A350="","",INDEX(JupData!$A$2:$K$10000,MATCH($A350&amp;AB$1,JupData!$A$2:$A$10000&amp;JupData!$J$2:$J$10000,0),11))</f>
        <v/>
      </c>
      <c r="AC350" s="10" t="str">
        <f t="shared" si="55"/>
        <v/>
      </c>
      <c r="AD350" s="10" t="str">
        <f t="shared" si="56"/>
        <v/>
      </c>
      <c r="AE350" s="9" t="str">
        <f t="shared" si="57"/>
        <v/>
      </c>
      <c r="AF350" s="10" t="str">
        <f t="shared" si="58"/>
        <v/>
      </c>
      <c r="AG350" s="10" t="str">
        <f t="shared" si="59"/>
        <v/>
      </c>
      <c r="AH350" s="10" t="str">
        <f t="shared" si="60"/>
        <v/>
      </c>
      <c r="AI350" s="10" t="str">
        <f t="shared" si="61"/>
        <v/>
      </c>
      <c r="AJ350" s="10" t="str">
        <f t="shared" si="62"/>
        <v/>
      </c>
      <c r="AK350" s="10" t="str">
        <f t="shared" si="63"/>
        <v/>
      </c>
      <c r="AL350" s="14" t="str">
        <f t="shared" si="64"/>
        <v/>
      </c>
    </row>
    <row r="351" spans="1:38" x14ac:dyDescent="0.2">
      <c r="A351"/>
      <c r="B351" t="str">
        <f>IF($A351="","",VLOOKUP($A351,JupData!$A$2:$I$10000,4,FALSE))</f>
        <v/>
      </c>
      <c r="C351" s="7" t="str">
        <f>IF($A351="",IF(N(D351),0,""),VLOOKUP($A351,JupData!$A$2:$I$10000,7,FALSE))</f>
        <v/>
      </c>
      <c r="D351" t="str">
        <f t="shared" si="65"/>
        <v/>
      </c>
      <c r="E351" t="str">
        <f t="array" ref="E351">IF($A351="","",INDEX(JupData!$A$2:$K$10000,MATCH($A351&amp;E$1,JupData!$A$2:$A$10000&amp;JupData!$J$2:$J$10000,0),11))</f>
        <v/>
      </c>
      <c r="F351" t="str">
        <f t="array" ref="F351">IF($A351="","",INDEX(JupData!$A$2:$K$10000,MATCH($A351&amp;F$1,JupData!$A$2:$A$10000&amp;JupData!$J$2:$J$10000,0),11))</f>
        <v/>
      </c>
      <c r="G351" t="str">
        <f t="array" ref="G351">IF($A351="","",INDEX(JupData!$A$2:$K$10000,MATCH($A351&amp;G$1,JupData!$A$2:$A$10000&amp;JupData!$J$2:$J$10000,0),11))</f>
        <v/>
      </c>
      <c r="H351" t="str">
        <f t="array" ref="H351">IF($A351="","",INDEX(JupData!$A$2:$K$10000,MATCH($A351&amp;H$1,JupData!$A$2:$A$10000&amp;JupData!$J$2:$J$10000,0),11))</f>
        <v/>
      </c>
      <c r="I351" t="str">
        <f t="array" ref="I351">IF($A351="","",INDEX(JupData!$A$2:$K$10000,MATCH($A351&amp;I$1,JupData!$A$2:$A$10000&amp;JupData!$J$2:$J$10000,0),11))</f>
        <v/>
      </c>
      <c r="J351" t="str">
        <f t="array" ref="J351">IF($A351="","",INDEX(JupData!$A$2:$K$10000,MATCH($A351&amp;J$1,JupData!$A$2:$A$10000&amp;JupData!$J$2:$J$10000,0),11))</f>
        <v/>
      </c>
      <c r="K351" t="str">
        <f t="array" ref="K351">IF($A351="","",INDEX(JupData!$A$2:$K$10000,MATCH($A351&amp;K$1,JupData!$A$2:$A$10000&amp;JupData!$J$2:$J$10000,0),11))</f>
        <v/>
      </c>
      <c r="L351" t="str">
        <f t="array" ref="L351">IF($A351="","",INDEX(JupData!$A$2:$K$10000,MATCH($A351&amp;L$1,JupData!$A$2:$A$10000&amp;JupData!$J$2:$J$10000,0),11))</f>
        <v/>
      </c>
      <c r="M351" t="str">
        <f t="array" ref="M351">IF($A351="","",INDEX(JupData!$A$2:$K$10000,MATCH($A351&amp;M$1,JupData!$A$2:$A$10000&amp;JupData!$J$2:$J$10000,0),11))</f>
        <v/>
      </c>
      <c r="N351" t="str">
        <f t="array" ref="N351">IF($A351="","",INDEX(JupData!$A$2:$K$10000,MATCH($A351&amp;N$1,JupData!$A$2:$A$10000&amp;JupData!$J$2:$J$10000,0),11))</f>
        <v/>
      </c>
      <c r="O351" t="str">
        <f t="array" ref="O351">IF($A351="","",INDEX(JupData!$A$2:$K$10000,MATCH($A351&amp;O$1,JupData!$A$2:$A$10000&amp;JupData!$J$2:$J$10000,0),11))</f>
        <v/>
      </c>
      <c r="P351" t="str">
        <f t="array" ref="P351">IF($A351="","",INDEX(JupData!$A$2:$K$10000,MATCH($A351&amp;P$1,JupData!$A$2:$A$10000&amp;JupData!$J$2:$J$10000,0),11))</f>
        <v/>
      </c>
      <c r="Q351" t="str">
        <f t="array" ref="Q351">IF($A351="","",INDEX(JupData!$A$2:$K$10000,MATCH($A351&amp;Q$1,JupData!$A$2:$A$10000&amp;JupData!$J$2:$J$10000,0),11))</f>
        <v/>
      </c>
      <c r="R351" t="str">
        <f t="array" ref="R351">IF($A351="","",INDEX(JupData!$A$2:$K$10000,MATCH($A351&amp;R$1,JupData!$A$2:$A$10000&amp;JupData!$J$2:$J$10000,0),11))</f>
        <v/>
      </c>
      <c r="S351" t="str">
        <f t="array" ref="S351">IF($A351="","",INDEX(JupData!$A$2:$K$10000,MATCH($A351&amp;S$1,JupData!$A$2:$A$10000&amp;JupData!$J$2:$J$10000,0),11))</f>
        <v/>
      </c>
      <c r="T351" t="str">
        <f t="array" ref="T351">IF($A351="","",INDEX(JupData!$A$2:$K$10000,MATCH($A351&amp;T$1,JupData!$A$2:$A$10000&amp;JupData!$J$2:$J$10000,0),11))</f>
        <v/>
      </c>
      <c r="U351" t="str">
        <f t="array" ref="U351">IF($A351="","",INDEX(JupData!$A$2:$K$10000,MATCH($A351&amp;U$1,JupData!$A$2:$A$10000&amp;JupData!$J$2:$J$10000,0),11))</f>
        <v/>
      </c>
      <c r="V351" t="str">
        <f t="array" ref="V351">IF($A351="","",INDEX(JupData!$A$2:$K$10000,MATCH($A351&amp;V$1,JupData!$A$2:$A$10000&amp;JupData!$J$2:$J$10000,0),11))</f>
        <v/>
      </c>
      <c r="W351" t="str">
        <f t="array" ref="W351">IF($A351="","",INDEX(JupData!$A$2:$K$10000,MATCH($A351&amp;W$1,JupData!$A$2:$A$10000&amp;JupData!$J$2:$J$10000,0),11))</f>
        <v/>
      </c>
      <c r="X351" t="str">
        <f t="array" ref="X351">IF($A351="","",INDEX(JupData!$A$2:$K$10000,MATCH($A351&amp;X$1,JupData!$A$2:$A$10000&amp;JupData!$J$2:$J$10000,0),11))</f>
        <v/>
      </c>
      <c r="Y351" t="str">
        <f t="array" ref="Y351">IF($A351="","",INDEX(JupData!$A$2:$K$10000,MATCH($A351&amp;Y$1,JupData!$A$2:$A$10000&amp;JupData!$J$2:$J$10000,0),11))</f>
        <v/>
      </c>
      <c r="Z351" t="str">
        <f t="array" ref="Z351">IF($A351="","",INDEX(JupData!$A$2:$K$10000,MATCH($A351&amp;Z$1,JupData!$A$2:$A$10000&amp;JupData!$J$2:$J$10000,0),11))</f>
        <v/>
      </c>
      <c r="AA351" t="str">
        <f t="array" ref="AA351">IF($A351="","",INDEX(JupData!$A$2:$K$10000,MATCH($A351&amp;AA$1,JupData!$A$2:$A$10000&amp;JupData!$J$2:$J$10000,0),11))</f>
        <v/>
      </c>
      <c r="AB351" t="str">
        <f t="array" ref="AB351">IF($A351="","",INDEX(JupData!$A$2:$K$10000,MATCH($A351&amp;AB$1,JupData!$A$2:$A$10000&amp;JupData!$J$2:$J$10000,0),11))</f>
        <v/>
      </c>
      <c r="AC351" s="10" t="str">
        <f t="shared" si="55"/>
        <v/>
      </c>
      <c r="AD351" s="10" t="str">
        <f t="shared" si="56"/>
        <v/>
      </c>
      <c r="AE351" s="9" t="str">
        <f t="shared" si="57"/>
        <v/>
      </c>
      <c r="AF351" s="10" t="str">
        <f t="shared" si="58"/>
        <v/>
      </c>
      <c r="AG351" s="10" t="str">
        <f t="shared" si="59"/>
        <v/>
      </c>
      <c r="AH351" s="10" t="str">
        <f t="shared" si="60"/>
        <v/>
      </c>
      <c r="AI351" s="10" t="str">
        <f t="shared" si="61"/>
        <v/>
      </c>
      <c r="AJ351" s="10" t="str">
        <f t="shared" si="62"/>
        <v/>
      </c>
      <c r="AK351" s="10" t="str">
        <f t="shared" si="63"/>
        <v/>
      </c>
      <c r="AL351" s="14" t="str">
        <f t="shared" si="64"/>
        <v/>
      </c>
    </row>
    <row r="352" spans="1:38" x14ac:dyDescent="0.2">
      <c r="A352"/>
      <c r="B352" t="str">
        <f>IF($A352="","",VLOOKUP($A352,JupData!$A$2:$I$10000,4,FALSE))</f>
        <v/>
      </c>
      <c r="C352" s="7" t="str">
        <f>IF($A352="",IF(N(D352),0,""),VLOOKUP($A352,JupData!$A$2:$I$10000,7,FALSE))</f>
        <v/>
      </c>
      <c r="D352" t="str">
        <f t="shared" si="65"/>
        <v/>
      </c>
      <c r="E352" t="str">
        <f t="array" ref="E352">IF($A352="","",INDEX(JupData!$A$2:$K$10000,MATCH($A352&amp;E$1,JupData!$A$2:$A$10000&amp;JupData!$J$2:$J$10000,0),11))</f>
        <v/>
      </c>
      <c r="F352" t="str">
        <f t="array" ref="F352">IF($A352="","",INDEX(JupData!$A$2:$K$10000,MATCH($A352&amp;F$1,JupData!$A$2:$A$10000&amp;JupData!$J$2:$J$10000,0),11))</f>
        <v/>
      </c>
      <c r="G352" t="str">
        <f t="array" ref="G352">IF($A352="","",INDEX(JupData!$A$2:$K$10000,MATCH($A352&amp;G$1,JupData!$A$2:$A$10000&amp;JupData!$J$2:$J$10000,0),11))</f>
        <v/>
      </c>
      <c r="H352" t="str">
        <f t="array" ref="H352">IF($A352="","",INDEX(JupData!$A$2:$K$10000,MATCH($A352&amp;H$1,JupData!$A$2:$A$10000&amp;JupData!$J$2:$J$10000,0),11))</f>
        <v/>
      </c>
      <c r="I352" t="str">
        <f t="array" ref="I352">IF($A352="","",INDEX(JupData!$A$2:$K$10000,MATCH($A352&amp;I$1,JupData!$A$2:$A$10000&amp;JupData!$J$2:$J$10000,0),11))</f>
        <v/>
      </c>
      <c r="J352" t="str">
        <f t="array" ref="J352">IF($A352="","",INDEX(JupData!$A$2:$K$10000,MATCH($A352&amp;J$1,JupData!$A$2:$A$10000&amp;JupData!$J$2:$J$10000,0),11))</f>
        <v/>
      </c>
      <c r="K352" t="str">
        <f t="array" ref="K352">IF($A352="","",INDEX(JupData!$A$2:$K$10000,MATCH($A352&amp;K$1,JupData!$A$2:$A$10000&amp;JupData!$J$2:$J$10000,0),11))</f>
        <v/>
      </c>
      <c r="L352" t="str">
        <f t="array" ref="L352">IF($A352="","",INDEX(JupData!$A$2:$K$10000,MATCH($A352&amp;L$1,JupData!$A$2:$A$10000&amp;JupData!$J$2:$J$10000,0),11))</f>
        <v/>
      </c>
      <c r="M352" t="str">
        <f t="array" ref="M352">IF($A352="","",INDEX(JupData!$A$2:$K$10000,MATCH($A352&amp;M$1,JupData!$A$2:$A$10000&amp;JupData!$J$2:$J$10000,0),11))</f>
        <v/>
      </c>
      <c r="N352" t="str">
        <f t="array" ref="N352">IF($A352="","",INDEX(JupData!$A$2:$K$10000,MATCH($A352&amp;N$1,JupData!$A$2:$A$10000&amp;JupData!$J$2:$J$10000,0),11))</f>
        <v/>
      </c>
      <c r="O352" t="str">
        <f t="array" ref="O352">IF($A352="","",INDEX(JupData!$A$2:$K$10000,MATCH($A352&amp;O$1,JupData!$A$2:$A$10000&amp;JupData!$J$2:$J$10000,0),11))</f>
        <v/>
      </c>
      <c r="P352" t="str">
        <f t="array" ref="P352">IF($A352="","",INDEX(JupData!$A$2:$K$10000,MATCH($A352&amp;P$1,JupData!$A$2:$A$10000&amp;JupData!$J$2:$J$10000,0),11))</f>
        <v/>
      </c>
      <c r="Q352" t="str">
        <f t="array" ref="Q352">IF($A352="","",INDEX(JupData!$A$2:$K$10000,MATCH($A352&amp;Q$1,JupData!$A$2:$A$10000&amp;JupData!$J$2:$J$10000,0),11))</f>
        <v/>
      </c>
      <c r="R352" t="str">
        <f t="array" ref="R352">IF($A352="","",INDEX(JupData!$A$2:$K$10000,MATCH($A352&amp;R$1,JupData!$A$2:$A$10000&amp;JupData!$J$2:$J$10000,0),11))</f>
        <v/>
      </c>
      <c r="S352" t="str">
        <f t="array" ref="S352">IF($A352="","",INDEX(JupData!$A$2:$K$10000,MATCH($A352&amp;S$1,JupData!$A$2:$A$10000&amp;JupData!$J$2:$J$10000,0),11))</f>
        <v/>
      </c>
      <c r="T352" t="str">
        <f t="array" ref="T352">IF($A352="","",INDEX(JupData!$A$2:$K$10000,MATCH($A352&amp;T$1,JupData!$A$2:$A$10000&amp;JupData!$J$2:$J$10000,0),11))</f>
        <v/>
      </c>
      <c r="U352" t="str">
        <f t="array" ref="U352">IF($A352="","",INDEX(JupData!$A$2:$K$10000,MATCH($A352&amp;U$1,JupData!$A$2:$A$10000&amp;JupData!$J$2:$J$10000,0),11))</f>
        <v/>
      </c>
      <c r="V352" t="str">
        <f t="array" ref="V352">IF($A352="","",INDEX(JupData!$A$2:$K$10000,MATCH($A352&amp;V$1,JupData!$A$2:$A$10000&amp;JupData!$J$2:$J$10000,0),11))</f>
        <v/>
      </c>
      <c r="W352" t="str">
        <f t="array" ref="W352">IF($A352="","",INDEX(JupData!$A$2:$K$10000,MATCH($A352&amp;W$1,JupData!$A$2:$A$10000&amp;JupData!$J$2:$J$10000,0),11))</f>
        <v/>
      </c>
      <c r="X352" t="str">
        <f t="array" ref="X352">IF($A352="","",INDEX(JupData!$A$2:$K$10000,MATCH($A352&amp;X$1,JupData!$A$2:$A$10000&amp;JupData!$J$2:$J$10000,0),11))</f>
        <v/>
      </c>
      <c r="Y352" t="str">
        <f t="array" ref="Y352">IF($A352="","",INDEX(JupData!$A$2:$K$10000,MATCH($A352&amp;Y$1,JupData!$A$2:$A$10000&amp;JupData!$J$2:$J$10000,0),11))</f>
        <v/>
      </c>
      <c r="Z352" t="str">
        <f t="array" ref="Z352">IF($A352="","",INDEX(JupData!$A$2:$K$10000,MATCH($A352&amp;Z$1,JupData!$A$2:$A$10000&amp;JupData!$J$2:$J$10000,0),11))</f>
        <v/>
      </c>
      <c r="AA352" t="str">
        <f t="array" ref="AA352">IF($A352="","",INDEX(JupData!$A$2:$K$10000,MATCH($A352&amp;AA$1,JupData!$A$2:$A$10000&amp;JupData!$J$2:$J$10000,0),11))</f>
        <v/>
      </c>
      <c r="AB352" t="str">
        <f t="array" ref="AB352">IF($A352="","",INDEX(JupData!$A$2:$K$10000,MATCH($A352&amp;AB$1,JupData!$A$2:$A$10000&amp;JupData!$J$2:$J$10000,0),11))</f>
        <v/>
      </c>
      <c r="AC352" s="10" t="str">
        <f t="shared" si="55"/>
        <v/>
      </c>
      <c r="AD352" s="10" t="str">
        <f t="shared" si="56"/>
        <v/>
      </c>
      <c r="AE352" s="9" t="str">
        <f t="shared" si="57"/>
        <v/>
      </c>
      <c r="AF352" s="10" t="str">
        <f t="shared" si="58"/>
        <v/>
      </c>
      <c r="AG352" s="10" t="str">
        <f t="shared" si="59"/>
        <v/>
      </c>
      <c r="AH352" s="10" t="str">
        <f t="shared" si="60"/>
        <v/>
      </c>
      <c r="AI352" s="10" t="str">
        <f t="shared" si="61"/>
        <v/>
      </c>
      <c r="AJ352" s="10" t="str">
        <f t="shared" si="62"/>
        <v/>
      </c>
      <c r="AK352" s="10" t="str">
        <f t="shared" si="63"/>
        <v/>
      </c>
      <c r="AL352" s="14" t="str">
        <f t="shared" si="64"/>
        <v/>
      </c>
    </row>
    <row r="353" spans="1:38" x14ac:dyDescent="0.2">
      <c r="A353"/>
      <c r="B353" t="str">
        <f>IF($A353="","",VLOOKUP($A353,JupData!$A$2:$I$10000,4,FALSE))</f>
        <v/>
      </c>
      <c r="C353" s="7" t="str">
        <f>IF($A353="",IF(N(D353),0,""),VLOOKUP($A353,JupData!$A$2:$I$10000,7,FALSE))</f>
        <v/>
      </c>
      <c r="D353" t="str">
        <f t="shared" si="65"/>
        <v/>
      </c>
      <c r="E353" t="str">
        <f t="array" ref="E353">IF($A353="","",INDEX(JupData!$A$2:$K$10000,MATCH($A353&amp;E$1,JupData!$A$2:$A$10000&amp;JupData!$J$2:$J$10000,0),11))</f>
        <v/>
      </c>
      <c r="F353" t="str">
        <f t="array" ref="F353">IF($A353="","",INDEX(JupData!$A$2:$K$10000,MATCH($A353&amp;F$1,JupData!$A$2:$A$10000&amp;JupData!$J$2:$J$10000,0),11))</f>
        <v/>
      </c>
      <c r="G353" t="str">
        <f t="array" ref="G353">IF($A353="","",INDEX(JupData!$A$2:$K$10000,MATCH($A353&amp;G$1,JupData!$A$2:$A$10000&amp;JupData!$J$2:$J$10000,0),11))</f>
        <v/>
      </c>
      <c r="H353" t="str">
        <f t="array" ref="H353">IF($A353="","",INDEX(JupData!$A$2:$K$10000,MATCH($A353&amp;H$1,JupData!$A$2:$A$10000&amp;JupData!$J$2:$J$10000,0),11))</f>
        <v/>
      </c>
      <c r="I353" t="str">
        <f t="array" ref="I353">IF($A353="","",INDEX(JupData!$A$2:$K$10000,MATCH($A353&amp;I$1,JupData!$A$2:$A$10000&amp;JupData!$J$2:$J$10000,0),11))</f>
        <v/>
      </c>
      <c r="J353" t="str">
        <f t="array" ref="J353">IF($A353="","",INDEX(JupData!$A$2:$K$10000,MATCH($A353&amp;J$1,JupData!$A$2:$A$10000&amp;JupData!$J$2:$J$10000,0),11))</f>
        <v/>
      </c>
      <c r="K353" t="str">
        <f t="array" ref="K353">IF($A353="","",INDEX(JupData!$A$2:$K$10000,MATCH($A353&amp;K$1,JupData!$A$2:$A$10000&amp;JupData!$J$2:$J$10000,0),11))</f>
        <v/>
      </c>
      <c r="L353" t="str">
        <f t="array" ref="L353">IF($A353="","",INDEX(JupData!$A$2:$K$10000,MATCH($A353&amp;L$1,JupData!$A$2:$A$10000&amp;JupData!$J$2:$J$10000,0),11))</f>
        <v/>
      </c>
      <c r="M353" t="str">
        <f t="array" ref="M353">IF($A353="","",INDEX(JupData!$A$2:$K$10000,MATCH($A353&amp;M$1,JupData!$A$2:$A$10000&amp;JupData!$J$2:$J$10000,0),11))</f>
        <v/>
      </c>
      <c r="N353" t="str">
        <f t="array" ref="N353">IF($A353="","",INDEX(JupData!$A$2:$K$10000,MATCH($A353&amp;N$1,JupData!$A$2:$A$10000&amp;JupData!$J$2:$J$10000,0),11))</f>
        <v/>
      </c>
      <c r="O353" t="str">
        <f t="array" ref="O353">IF($A353="","",INDEX(JupData!$A$2:$K$10000,MATCH($A353&amp;O$1,JupData!$A$2:$A$10000&amp;JupData!$J$2:$J$10000,0),11))</f>
        <v/>
      </c>
      <c r="P353" t="str">
        <f t="array" ref="P353">IF($A353="","",INDEX(JupData!$A$2:$K$10000,MATCH($A353&amp;P$1,JupData!$A$2:$A$10000&amp;JupData!$J$2:$J$10000,0),11))</f>
        <v/>
      </c>
      <c r="Q353" t="str">
        <f t="array" ref="Q353">IF($A353="","",INDEX(JupData!$A$2:$K$10000,MATCH($A353&amp;Q$1,JupData!$A$2:$A$10000&amp;JupData!$J$2:$J$10000,0),11))</f>
        <v/>
      </c>
      <c r="R353" t="str">
        <f t="array" ref="R353">IF($A353="","",INDEX(JupData!$A$2:$K$10000,MATCH($A353&amp;R$1,JupData!$A$2:$A$10000&amp;JupData!$J$2:$J$10000,0),11))</f>
        <v/>
      </c>
      <c r="S353" t="str">
        <f t="array" ref="S353">IF($A353="","",INDEX(JupData!$A$2:$K$10000,MATCH($A353&amp;S$1,JupData!$A$2:$A$10000&amp;JupData!$J$2:$J$10000,0),11))</f>
        <v/>
      </c>
      <c r="T353" t="str">
        <f t="array" ref="T353">IF($A353="","",INDEX(JupData!$A$2:$K$10000,MATCH($A353&amp;T$1,JupData!$A$2:$A$10000&amp;JupData!$J$2:$J$10000,0),11))</f>
        <v/>
      </c>
      <c r="U353" t="str">
        <f t="array" ref="U353">IF($A353="","",INDEX(JupData!$A$2:$K$10000,MATCH($A353&amp;U$1,JupData!$A$2:$A$10000&amp;JupData!$J$2:$J$10000,0),11))</f>
        <v/>
      </c>
      <c r="V353" t="str">
        <f t="array" ref="V353">IF($A353="","",INDEX(JupData!$A$2:$K$10000,MATCH($A353&amp;V$1,JupData!$A$2:$A$10000&amp;JupData!$J$2:$J$10000,0),11))</f>
        <v/>
      </c>
      <c r="W353" t="str">
        <f t="array" ref="W353">IF($A353="","",INDEX(JupData!$A$2:$K$10000,MATCH($A353&amp;W$1,JupData!$A$2:$A$10000&amp;JupData!$J$2:$J$10000,0),11))</f>
        <v/>
      </c>
      <c r="X353" t="str">
        <f t="array" ref="X353">IF($A353="","",INDEX(JupData!$A$2:$K$10000,MATCH($A353&amp;X$1,JupData!$A$2:$A$10000&amp;JupData!$J$2:$J$10000,0),11))</f>
        <v/>
      </c>
      <c r="Y353" t="str">
        <f t="array" ref="Y353">IF($A353="","",INDEX(JupData!$A$2:$K$10000,MATCH($A353&amp;Y$1,JupData!$A$2:$A$10000&amp;JupData!$J$2:$J$10000,0),11))</f>
        <v/>
      </c>
      <c r="Z353" t="str">
        <f t="array" ref="Z353">IF($A353="","",INDEX(JupData!$A$2:$K$10000,MATCH($A353&amp;Z$1,JupData!$A$2:$A$10000&amp;JupData!$J$2:$J$10000,0),11))</f>
        <v/>
      </c>
      <c r="AA353" t="str">
        <f t="array" ref="AA353">IF($A353="","",INDEX(JupData!$A$2:$K$10000,MATCH($A353&amp;AA$1,JupData!$A$2:$A$10000&amp;JupData!$J$2:$J$10000,0),11))</f>
        <v/>
      </c>
      <c r="AB353" t="str">
        <f t="array" ref="AB353">IF($A353="","",INDEX(JupData!$A$2:$K$10000,MATCH($A353&amp;AB$1,JupData!$A$2:$A$10000&amp;JupData!$J$2:$J$10000,0),11))</f>
        <v/>
      </c>
      <c r="AC353" s="10" t="str">
        <f t="shared" si="55"/>
        <v/>
      </c>
      <c r="AD353" s="10" t="str">
        <f t="shared" si="56"/>
        <v/>
      </c>
      <c r="AE353" s="9" t="str">
        <f t="shared" si="57"/>
        <v/>
      </c>
      <c r="AF353" s="10" t="str">
        <f t="shared" si="58"/>
        <v/>
      </c>
      <c r="AG353" s="10" t="str">
        <f t="shared" si="59"/>
        <v/>
      </c>
      <c r="AH353" s="10" t="str">
        <f t="shared" si="60"/>
        <v/>
      </c>
      <c r="AI353" s="10" t="str">
        <f t="shared" si="61"/>
        <v/>
      </c>
      <c r="AJ353" s="10" t="str">
        <f t="shared" si="62"/>
        <v/>
      </c>
      <c r="AK353" s="10" t="str">
        <f t="shared" si="63"/>
        <v/>
      </c>
      <c r="AL353" s="14" t="str">
        <f t="shared" si="64"/>
        <v/>
      </c>
    </row>
    <row r="354" spans="1:38" x14ac:dyDescent="0.2">
      <c r="A354"/>
      <c r="B354" t="str">
        <f>IF($A354="","",VLOOKUP($A354,JupData!$A$2:$I$10000,4,FALSE))</f>
        <v/>
      </c>
      <c r="C354" s="7" t="str">
        <f>IF($A354="",IF(N(D354),0,""),VLOOKUP($A354,JupData!$A$2:$I$10000,7,FALSE))</f>
        <v/>
      </c>
      <c r="D354" t="str">
        <f t="shared" si="65"/>
        <v/>
      </c>
      <c r="E354" t="str">
        <f t="array" ref="E354">IF($A354="","",INDEX(JupData!$A$2:$K$10000,MATCH($A354&amp;E$1,JupData!$A$2:$A$10000&amp;JupData!$J$2:$J$10000,0),11))</f>
        <v/>
      </c>
      <c r="F354" t="str">
        <f t="array" ref="F354">IF($A354="","",INDEX(JupData!$A$2:$K$10000,MATCH($A354&amp;F$1,JupData!$A$2:$A$10000&amp;JupData!$J$2:$J$10000,0),11))</f>
        <v/>
      </c>
      <c r="G354" t="str">
        <f t="array" ref="G354">IF($A354="","",INDEX(JupData!$A$2:$K$10000,MATCH($A354&amp;G$1,JupData!$A$2:$A$10000&amp;JupData!$J$2:$J$10000,0),11))</f>
        <v/>
      </c>
      <c r="H354" t="str">
        <f t="array" ref="H354">IF($A354="","",INDEX(JupData!$A$2:$K$10000,MATCH($A354&amp;H$1,JupData!$A$2:$A$10000&amp;JupData!$J$2:$J$10000,0),11))</f>
        <v/>
      </c>
      <c r="I354" t="str">
        <f t="array" ref="I354">IF($A354="","",INDEX(JupData!$A$2:$K$10000,MATCH($A354&amp;I$1,JupData!$A$2:$A$10000&amp;JupData!$J$2:$J$10000,0),11))</f>
        <v/>
      </c>
      <c r="J354" t="str">
        <f t="array" ref="J354">IF($A354="","",INDEX(JupData!$A$2:$K$10000,MATCH($A354&amp;J$1,JupData!$A$2:$A$10000&amp;JupData!$J$2:$J$10000,0),11))</f>
        <v/>
      </c>
      <c r="K354" t="str">
        <f t="array" ref="K354">IF($A354="","",INDEX(JupData!$A$2:$K$10000,MATCH($A354&amp;K$1,JupData!$A$2:$A$10000&amp;JupData!$J$2:$J$10000,0),11))</f>
        <v/>
      </c>
      <c r="L354" t="str">
        <f t="array" ref="L354">IF($A354="","",INDEX(JupData!$A$2:$K$10000,MATCH($A354&amp;L$1,JupData!$A$2:$A$10000&amp;JupData!$J$2:$J$10000,0),11))</f>
        <v/>
      </c>
      <c r="M354" t="str">
        <f t="array" ref="M354">IF($A354="","",INDEX(JupData!$A$2:$K$10000,MATCH($A354&amp;M$1,JupData!$A$2:$A$10000&amp;JupData!$J$2:$J$10000,0),11))</f>
        <v/>
      </c>
      <c r="N354" t="str">
        <f t="array" ref="N354">IF($A354="","",INDEX(JupData!$A$2:$K$10000,MATCH($A354&amp;N$1,JupData!$A$2:$A$10000&amp;JupData!$J$2:$J$10000,0),11))</f>
        <v/>
      </c>
      <c r="O354" t="str">
        <f t="array" ref="O354">IF($A354="","",INDEX(JupData!$A$2:$K$10000,MATCH($A354&amp;O$1,JupData!$A$2:$A$10000&amp;JupData!$J$2:$J$10000,0),11))</f>
        <v/>
      </c>
      <c r="P354" t="str">
        <f t="array" ref="P354">IF($A354="","",INDEX(JupData!$A$2:$K$10000,MATCH($A354&amp;P$1,JupData!$A$2:$A$10000&amp;JupData!$J$2:$J$10000,0),11))</f>
        <v/>
      </c>
      <c r="Q354" t="str">
        <f t="array" ref="Q354">IF($A354="","",INDEX(JupData!$A$2:$K$10000,MATCH($A354&amp;Q$1,JupData!$A$2:$A$10000&amp;JupData!$J$2:$J$10000,0),11))</f>
        <v/>
      </c>
      <c r="R354" t="str">
        <f t="array" ref="R354">IF($A354="","",INDEX(JupData!$A$2:$K$10000,MATCH($A354&amp;R$1,JupData!$A$2:$A$10000&amp;JupData!$J$2:$J$10000,0),11))</f>
        <v/>
      </c>
      <c r="S354" t="str">
        <f t="array" ref="S354">IF($A354="","",INDEX(JupData!$A$2:$K$10000,MATCH($A354&amp;S$1,JupData!$A$2:$A$10000&amp;JupData!$J$2:$J$10000,0),11))</f>
        <v/>
      </c>
      <c r="T354" t="str">
        <f t="array" ref="T354">IF($A354="","",INDEX(JupData!$A$2:$K$10000,MATCH($A354&amp;T$1,JupData!$A$2:$A$10000&amp;JupData!$J$2:$J$10000,0),11))</f>
        <v/>
      </c>
      <c r="U354" t="str">
        <f t="array" ref="U354">IF($A354="","",INDEX(JupData!$A$2:$K$10000,MATCH($A354&amp;U$1,JupData!$A$2:$A$10000&amp;JupData!$J$2:$J$10000,0),11))</f>
        <v/>
      </c>
      <c r="V354" t="str">
        <f t="array" ref="V354">IF($A354="","",INDEX(JupData!$A$2:$K$10000,MATCH($A354&amp;V$1,JupData!$A$2:$A$10000&amp;JupData!$J$2:$J$10000,0),11))</f>
        <v/>
      </c>
      <c r="W354" t="str">
        <f t="array" ref="W354">IF($A354="","",INDEX(JupData!$A$2:$K$10000,MATCH($A354&amp;W$1,JupData!$A$2:$A$10000&amp;JupData!$J$2:$J$10000,0),11))</f>
        <v/>
      </c>
      <c r="X354" t="str">
        <f t="array" ref="X354">IF($A354="","",INDEX(JupData!$A$2:$K$10000,MATCH($A354&amp;X$1,JupData!$A$2:$A$10000&amp;JupData!$J$2:$J$10000,0),11))</f>
        <v/>
      </c>
      <c r="Y354" t="str">
        <f t="array" ref="Y354">IF($A354="","",INDEX(JupData!$A$2:$K$10000,MATCH($A354&amp;Y$1,JupData!$A$2:$A$10000&amp;JupData!$J$2:$J$10000,0),11))</f>
        <v/>
      </c>
      <c r="Z354" t="str">
        <f t="array" ref="Z354">IF($A354="","",INDEX(JupData!$A$2:$K$10000,MATCH($A354&amp;Z$1,JupData!$A$2:$A$10000&amp;JupData!$J$2:$J$10000,0),11))</f>
        <v/>
      </c>
      <c r="AA354" t="str">
        <f t="array" ref="AA354">IF($A354="","",INDEX(JupData!$A$2:$K$10000,MATCH($A354&amp;AA$1,JupData!$A$2:$A$10000&amp;JupData!$J$2:$J$10000,0),11))</f>
        <v/>
      </c>
      <c r="AB354" t="str">
        <f t="array" ref="AB354">IF($A354="","",INDEX(JupData!$A$2:$K$10000,MATCH($A354&amp;AB$1,JupData!$A$2:$A$10000&amp;JupData!$J$2:$J$10000,0),11))</f>
        <v/>
      </c>
      <c r="AC354" s="10" t="str">
        <f t="shared" si="55"/>
        <v/>
      </c>
      <c r="AD354" s="10" t="str">
        <f t="shared" si="56"/>
        <v/>
      </c>
      <c r="AE354" s="9" t="str">
        <f t="shared" si="57"/>
        <v/>
      </c>
      <c r="AF354" s="10" t="str">
        <f t="shared" si="58"/>
        <v/>
      </c>
      <c r="AG354" s="10" t="str">
        <f t="shared" si="59"/>
        <v/>
      </c>
      <c r="AH354" s="10" t="str">
        <f t="shared" si="60"/>
        <v/>
      </c>
      <c r="AI354" s="10" t="str">
        <f t="shared" si="61"/>
        <v/>
      </c>
      <c r="AJ354" s="10" t="str">
        <f t="shared" si="62"/>
        <v/>
      </c>
      <c r="AK354" s="10" t="str">
        <f t="shared" si="63"/>
        <v/>
      </c>
      <c r="AL354" s="14" t="str">
        <f t="shared" si="64"/>
        <v/>
      </c>
    </row>
    <row r="355" spans="1:38" x14ac:dyDescent="0.2">
      <c r="A355"/>
      <c r="B355" t="str">
        <f>IF($A355="","",VLOOKUP($A355,JupData!$A$2:$I$10000,4,FALSE))</f>
        <v/>
      </c>
      <c r="C355" s="7" t="str">
        <f>IF($A355="",IF(N(D355),0,""),VLOOKUP($A355,JupData!$A$2:$I$10000,7,FALSE))</f>
        <v/>
      </c>
      <c r="D355" t="str">
        <f t="shared" si="65"/>
        <v/>
      </c>
      <c r="E355" t="str">
        <f t="array" ref="E355">IF($A355="","",INDEX(JupData!$A$2:$K$10000,MATCH($A355&amp;E$1,JupData!$A$2:$A$10000&amp;JupData!$J$2:$J$10000,0),11))</f>
        <v/>
      </c>
      <c r="F355" t="str">
        <f t="array" ref="F355">IF($A355="","",INDEX(JupData!$A$2:$K$10000,MATCH($A355&amp;F$1,JupData!$A$2:$A$10000&amp;JupData!$J$2:$J$10000,0),11))</f>
        <v/>
      </c>
      <c r="G355" t="str">
        <f t="array" ref="G355">IF($A355="","",INDEX(JupData!$A$2:$K$10000,MATCH($A355&amp;G$1,JupData!$A$2:$A$10000&amp;JupData!$J$2:$J$10000,0),11))</f>
        <v/>
      </c>
      <c r="H355" t="str">
        <f t="array" ref="H355">IF($A355="","",INDEX(JupData!$A$2:$K$10000,MATCH($A355&amp;H$1,JupData!$A$2:$A$10000&amp;JupData!$J$2:$J$10000,0),11))</f>
        <v/>
      </c>
      <c r="I355" t="str">
        <f t="array" ref="I355">IF($A355="","",INDEX(JupData!$A$2:$K$10000,MATCH($A355&amp;I$1,JupData!$A$2:$A$10000&amp;JupData!$J$2:$J$10000,0),11))</f>
        <v/>
      </c>
      <c r="J355" t="str">
        <f t="array" ref="J355">IF($A355="","",INDEX(JupData!$A$2:$K$10000,MATCH($A355&amp;J$1,JupData!$A$2:$A$10000&amp;JupData!$J$2:$J$10000,0),11))</f>
        <v/>
      </c>
      <c r="K355" t="str">
        <f t="array" ref="K355">IF($A355="","",INDEX(JupData!$A$2:$K$10000,MATCH($A355&amp;K$1,JupData!$A$2:$A$10000&amp;JupData!$J$2:$J$10000,0),11))</f>
        <v/>
      </c>
      <c r="L355" t="str">
        <f t="array" ref="L355">IF($A355="","",INDEX(JupData!$A$2:$K$10000,MATCH($A355&amp;L$1,JupData!$A$2:$A$10000&amp;JupData!$J$2:$J$10000,0),11))</f>
        <v/>
      </c>
      <c r="M355" t="str">
        <f t="array" ref="M355">IF($A355="","",INDEX(JupData!$A$2:$K$10000,MATCH($A355&amp;M$1,JupData!$A$2:$A$10000&amp;JupData!$J$2:$J$10000,0),11))</f>
        <v/>
      </c>
      <c r="N355" t="str">
        <f t="array" ref="N355">IF($A355="","",INDEX(JupData!$A$2:$K$10000,MATCH($A355&amp;N$1,JupData!$A$2:$A$10000&amp;JupData!$J$2:$J$10000,0),11))</f>
        <v/>
      </c>
      <c r="O355" t="str">
        <f t="array" ref="O355">IF($A355="","",INDEX(JupData!$A$2:$K$10000,MATCH($A355&amp;O$1,JupData!$A$2:$A$10000&amp;JupData!$J$2:$J$10000,0),11))</f>
        <v/>
      </c>
      <c r="P355" t="str">
        <f t="array" ref="P355">IF($A355="","",INDEX(JupData!$A$2:$K$10000,MATCH($A355&amp;P$1,JupData!$A$2:$A$10000&amp;JupData!$J$2:$J$10000,0),11))</f>
        <v/>
      </c>
      <c r="Q355" t="str">
        <f t="array" ref="Q355">IF($A355="","",INDEX(JupData!$A$2:$K$10000,MATCH($A355&amp;Q$1,JupData!$A$2:$A$10000&amp;JupData!$J$2:$J$10000,0),11))</f>
        <v/>
      </c>
      <c r="R355" t="str">
        <f t="array" ref="R355">IF($A355="","",INDEX(JupData!$A$2:$K$10000,MATCH($A355&amp;R$1,JupData!$A$2:$A$10000&amp;JupData!$J$2:$J$10000,0),11))</f>
        <v/>
      </c>
      <c r="S355" t="str">
        <f t="array" ref="S355">IF($A355="","",INDEX(JupData!$A$2:$K$10000,MATCH($A355&amp;S$1,JupData!$A$2:$A$10000&amp;JupData!$J$2:$J$10000,0),11))</f>
        <v/>
      </c>
      <c r="T355" t="str">
        <f t="array" ref="T355">IF($A355="","",INDEX(JupData!$A$2:$K$10000,MATCH($A355&amp;T$1,JupData!$A$2:$A$10000&amp;JupData!$J$2:$J$10000,0),11))</f>
        <v/>
      </c>
      <c r="U355" t="str">
        <f t="array" ref="U355">IF($A355="","",INDEX(JupData!$A$2:$K$10000,MATCH($A355&amp;U$1,JupData!$A$2:$A$10000&amp;JupData!$J$2:$J$10000,0),11))</f>
        <v/>
      </c>
      <c r="V355" t="str">
        <f t="array" ref="V355">IF($A355="","",INDEX(JupData!$A$2:$K$10000,MATCH($A355&amp;V$1,JupData!$A$2:$A$10000&amp;JupData!$J$2:$J$10000,0),11))</f>
        <v/>
      </c>
      <c r="W355" t="str">
        <f t="array" ref="W355">IF($A355="","",INDEX(JupData!$A$2:$K$10000,MATCH($A355&amp;W$1,JupData!$A$2:$A$10000&amp;JupData!$J$2:$J$10000,0),11))</f>
        <v/>
      </c>
      <c r="X355" t="str">
        <f t="array" ref="X355">IF($A355="","",INDEX(JupData!$A$2:$K$10000,MATCH($A355&amp;X$1,JupData!$A$2:$A$10000&amp;JupData!$J$2:$J$10000,0),11))</f>
        <v/>
      </c>
      <c r="Y355" t="str">
        <f t="array" ref="Y355">IF($A355="","",INDEX(JupData!$A$2:$K$10000,MATCH($A355&amp;Y$1,JupData!$A$2:$A$10000&amp;JupData!$J$2:$J$10000,0),11))</f>
        <v/>
      </c>
      <c r="Z355" t="str">
        <f t="array" ref="Z355">IF($A355="","",INDEX(JupData!$A$2:$K$10000,MATCH($A355&amp;Z$1,JupData!$A$2:$A$10000&amp;JupData!$J$2:$J$10000,0),11))</f>
        <v/>
      </c>
      <c r="AA355" t="str">
        <f t="array" ref="AA355">IF($A355="","",INDEX(JupData!$A$2:$K$10000,MATCH($A355&amp;AA$1,JupData!$A$2:$A$10000&amp;JupData!$J$2:$J$10000,0),11))</f>
        <v/>
      </c>
      <c r="AB355" t="str">
        <f t="array" ref="AB355">IF($A355="","",INDEX(JupData!$A$2:$K$10000,MATCH($A355&amp;AB$1,JupData!$A$2:$A$10000&amp;JupData!$J$2:$J$10000,0),11))</f>
        <v/>
      </c>
      <c r="AC355" s="10" t="str">
        <f t="shared" si="55"/>
        <v/>
      </c>
      <c r="AD355" s="10" t="str">
        <f t="shared" si="56"/>
        <v/>
      </c>
      <c r="AE355" s="9" t="str">
        <f t="shared" si="57"/>
        <v/>
      </c>
      <c r="AF355" s="10" t="str">
        <f t="shared" si="58"/>
        <v/>
      </c>
      <c r="AG355" s="10" t="str">
        <f t="shared" si="59"/>
        <v/>
      </c>
      <c r="AH355" s="10" t="str">
        <f t="shared" si="60"/>
        <v/>
      </c>
      <c r="AI355" s="10" t="str">
        <f t="shared" si="61"/>
        <v/>
      </c>
      <c r="AJ355" s="10" t="str">
        <f t="shared" si="62"/>
        <v/>
      </c>
      <c r="AK355" s="10" t="str">
        <f t="shared" si="63"/>
        <v/>
      </c>
      <c r="AL355" s="14" t="str">
        <f t="shared" si="64"/>
        <v/>
      </c>
    </row>
    <row r="356" spans="1:38" x14ac:dyDescent="0.2">
      <c r="A356"/>
      <c r="B356" t="str">
        <f>IF($A356="","",VLOOKUP($A356,JupData!$A$2:$I$10000,4,FALSE))</f>
        <v/>
      </c>
      <c r="C356" s="7" t="str">
        <f>IF($A356="",IF(N(D356),0,""),VLOOKUP($A356,JupData!$A$2:$I$10000,7,FALSE))</f>
        <v/>
      </c>
      <c r="D356" t="str">
        <f t="shared" si="65"/>
        <v/>
      </c>
      <c r="E356" t="str">
        <f t="array" ref="E356">IF($A356="","",INDEX(JupData!$A$2:$K$10000,MATCH($A356&amp;E$1,JupData!$A$2:$A$10000&amp;JupData!$J$2:$J$10000,0),11))</f>
        <v/>
      </c>
      <c r="F356" t="str">
        <f t="array" ref="F356">IF($A356="","",INDEX(JupData!$A$2:$K$10000,MATCH($A356&amp;F$1,JupData!$A$2:$A$10000&amp;JupData!$J$2:$J$10000,0),11))</f>
        <v/>
      </c>
      <c r="G356" t="str">
        <f t="array" ref="G356">IF($A356="","",INDEX(JupData!$A$2:$K$10000,MATCH($A356&amp;G$1,JupData!$A$2:$A$10000&amp;JupData!$J$2:$J$10000,0),11))</f>
        <v/>
      </c>
      <c r="H356" t="str">
        <f t="array" ref="H356">IF($A356="","",INDEX(JupData!$A$2:$K$10000,MATCH($A356&amp;H$1,JupData!$A$2:$A$10000&amp;JupData!$J$2:$J$10000,0),11))</f>
        <v/>
      </c>
      <c r="I356" t="str">
        <f t="array" ref="I356">IF($A356="","",INDEX(JupData!$A$2:$K$10000,MATCH($A356&amp;I$1,JupData!$A$2:$A$10000&amp;JupData!$J$2:$J$10000,0),11))</f>
        <v/>
      </c>
      <c r="J356" t="str">
        <f t="array" ref="J356">IF($A356="","",INDEX(JupData!$A$2:$K$10000,MATCH($A356&amp;J$1,JupData!$A$2:$A$10000&amp;JupData!$J$2:$J$10000,0),11))</f>
        <v/>
      </c>
      <c r="K356" t="str">
        <f t="array" ref="K356">IF($A356="","",INDEX(JupData!$A$2:$K$10000,MATCH($A356&amp;K$1,JupData!$A$2:$A$10000&amp;JupData!$J$2:$J$10000,0),11))</f>
        <v/>
      </c>
      <c r="L356" t="str">
        <f t="array" ref="L356">IF($A356="","",INDEX(JupData!$A$2:$K$10000,MATCH($A356&amp;L$1,JupData!$A$2:$A$10000&amp;JupData!$J$2:$J$10000,0),11))</f>
        <v/>
      </c>
      <c r="M356" t="str">
        <f t="array" ref="M356">IF($A356="","",INDEX(JupData!$A$2:$K$10000,MATCH($A356&amp;M$1,JupData!$A$2:$A$10000&amp;JupData!$J$2:$J$10000,0),11))</f>
        <v/>
      </c>
      <c r="N356" t="str">
        <f t="array" ref="N356">IF($A356="","",INDEX(JupData!$A$2:$K$10000,MATCH($A356&amp;N$1,JupData!$A$2:$A$10000&amp;JupData!$J$2:$J$10000,0),11))</f>
        <v/>
      </c>
      <c r="O356" t="str">
        <f t="array" ref="O356">IF($A356="","",INDEX(JupData!$A$2:$K$10000,MATCH($A356&amp;O$1,JupData!$A$2:$A$10000&amp;JupData!$J$2:$J$10000,0),11))</f>
        <v/>
      </c>
      <c r="P356" t="str">
        <f t="array" ref="P356">IF($A356="","",INDEX(JupData!$A$2:$K$10000,MATCH($A356&amp;P$1,JupData!$A$2:$A$10000&amp;JupData!$J$2:$J$10000,0),11))</f>
        <v/>
      </c>
      <c r="Q356" t="str">
        <f t="array" ref="Q356">IF($A356="","",INDEX(JupData!$A$2:$K$10000,MATCH($A356&amp;Q$1,JupData!$A$2:$A$10000&amp;JupData!$J$2:$J$10000,0),11))</f>
        <v/>
      </c>
      <c r="R356" t="str">
        <f t="array" ref="R356">IF($A356="","",INDEX(JupData!$A$2:$K$10000,MATCH($A356&amp;R$1,JupData!$A$2:$A$10000&amp;JupData!$J$2:$J$10000,0),11))</f>
        <v/>
      </c>
      <c r="S356" t="str">
        <f t="array" ref="S356">IF($A356="","",INDEX(JupData!$A$2:$K$10000,MATCH($A356&amp;S$1,JupData!$A$2:$A$10000&amp;JupData!$J$2:$J$10000,0),11))</f>
        <v/>
      </c>
      <c r="T356" t="str">
        <f t="array" ref="T356">IF($A356="","",INDEX(JupData!$A$2:$K$10000,MATCH($A356&amp;T$1,JupData!$A$2:$A$10000&amp;JupData!$J$2:$J$10000,0),11))</f>
        <v/>
      </c>
      <c r="U356" t="str">
        <f t="array" ref="U356">IF($A356="","",INDEX(JupData!$A$2:$K$10000,MATCH($A356&amp;U$1,JupData!$A$2:$A$10000&amp;JupData!$J$2:$J$10000,0),11))</f>
        <v/>
      </c>
      <c r="V356" t="str">
        <f t="array" ref="V356">IF($A356="","",INDEX(JupData!$A$2:$K$10000,MATCH($A356&amp;V$1,JupData!$A$2:$A$10000&amp;JupData!$J$2:$J$10000,0),11))</f>
        <v/>
      </c>
      <c r="W356" t="str">
        <f t="array" ref="W356">IF($A356="","",INDEX(JupData!$A$2:$K$10000,MATCH($A356&amp;W$1,JupData!$A$2:$A$10000&amp;JupData!$J$2:$J$10000,0),11))</f>
        <v/>
      </c>
      <c r="X356" t="str">
        <f t="array" ref="X356">IF($A356="","",INDEX(JupData!$A$2:$K$10000,MATCH($A356&amp;X$1,JupData!$A$2:$A$10000&amp;JupData!$J$2:$J$10000,0),11))</f>
        <v/>
      </c>
      <c r="Y356" t="str">
        <f t="array" ref="Y356">IF($A356="","",INDEX(JupData!$A$2:$K$10000,MATCH($A356&amp;Y$1,JupData!$A$2:$A$10000&amp;JupData!$J$2:$J$10000,0),11))</f>
        <v/>
      </c>
      <c r="Z356" t="str">
        <f t="array" ref="Z356">IF($A356="","",INDEX(JupData!$A$2:$K$10000,MATCH($A356&amp;Z$1,JupData!$A$2:$A$10000&amp;JupData!$J$2:$J$10000,0),11))</f>
        <v/>
      </c>
      <c r="AA356" t="str">
        <f t="array" ref="AA356">IF($A356="","",INDEX(JupData!$A$2:$K$10000,MATCH($A356&amp;AA$1,JupData!$A$2:$A$10000&amp;JupData!$J$2:$J$10000,0),11))</f>
        <v/>
      </c>
      <c r="AB356" t="str">
        <f t="array" ref="AB356">IF($A356="","",INDEX(JupData!$A$2:$K$10000,MATCH($A356&amp;AB$1,JupData!$A$2:$A$10000&amp;JupData!$J$2:$J$10000,0),11))</f>
        <v/>
      </c>
      <c r="AC356" s="10" t="str">
        <f t="shared" si="55"/>
        <v/>
      </c>
      <c r="AD356" s="10" t="str">
        <f t="shared" si="56"/>
        <v/>
      </c>
      <c r="AE356" s="9" t="str">
        <f t="shared" si="57"/>
        <v/>
      </c>
      <c r="AF356" s="10" t="str">
        <f t="shared" si="58"/>
        <v/>
      </c>
      <c r="AG356" s="10" t="str">
        <f t="shared" si="59"/>
        <v/>
      </c>
      <c r="AH356" s="10" t="str">
        <f t="shared" si="60"/>
        <v/>
      </c>
      <c r="AI356" s="10" t="str">
        <f t="shared" si="61"/>
        <v/>
      </c>
      <c r="AJ356" s="10" t="str">
        <f t="shared" si="62"/>
        <v/>
      </c>
      <c r="AK356" s="10" t="str">
        <f t="shared" si="63"/>
        <v/>
      </c>
      <c r="AL356" s="14" t="str">
        <f t="shared" si="64"/>
        <v/>
      </c>
    </row>
    <row r="357" spans="1:38" x14ac:dyDescent="0.2">
      <c r="A357"/>
      <c r="B357" t="str">
        <f>IF($A357="","",VLOOKUP($A357,JupData!$A$2:$I$10000,4,FALSE))</f>
        <v/>
      </c>
      <c r="C357" s="7" t="str">
        <f>IF($A357="",IF(N(D357),0,""),VLOOKUP($A357,JupData!$A$2:$I$10000,7,FALSE))</f>
        <v/>
      </c>
      <c r="D357" t="str">
        <f t="shared" si="65"/>
        <v/>
      </c>
      <c r="E357" t="str">
        <f t="array" ref="E357">IF($A357="","",INDEX(JupData!$A$2:$K$10000,MATCH($A357&amp;E$1,JupData!$A$2:$A$10000&amp;JupData!$J$2:$J$10000,0),11))</f>
        <v/>
      </c>
      <c r="F357" t="str">
        <f t="array" ref="F357">IF($A357="","",INDEX(JupData!$A$2:$K$10000,MATCH($A357&amp;F$1,JupData!$A$2:$A$10000&amp;JupData!$J$2:$J$10000,0),11))</f>
        <v/>
      </c>
      <c r="G357" t="str">
        <f t="array" ref="G357">IF($A357="","",INDEX(JupData!$A$2:$K$10000,MATCH($A357&amp;G$1,JupData!$A$2:$A$10000&amp;JupData!$J$2:$J$10000,0),11))</f>
        <v/>
      </c>
      <c r="H357" t="str">
        <f t="array" ref="H357">IF($A357="","",INDEX(JupData!$A$2:$K$10000,MATCH($A357&amp;H$1,JupData!$A$2:$A$10000&amp;JupData!$J$2:$J$10000,0),11))</f>
        <v/>
      </c>
      <c r="I357" t="str">
        <f t="array" ref="I357">IF($A357="","",INDEX(JupData!$A$2:$K$10000,MATCH($A357&amp;I$1,JupData!$A$2:$A$10000&amp;JupData!$J$2:$J$10000,0),11))</f>
        <v/>
      </c>
      <c r="J357" t="str">
        <f t="array" ref="J357">IF($A357="","",INDEX(JupData!$A$2:$K$10000,MATCH($A357&amp;J$1,JupData!$A$2:$A$10000&amp;JupData!$J$2:$J$10000,0),11))</f>
        <v/>
      </c>
      <c r="K357" t="str">
        <f t="array" ref="K357">IF($A357="","",INDEX(JupData!$A$2:$K$10000,MATCH($A357&amp;K$1,JupData!$A$2:$A$10000&amp;JupData!$J$2:$J$10000,0),11))</f>
        <v/>
      </c>
      <c r="L357" t="str">
        <f t="array" ref="L357">IF($A357="","",INDEX(JupData!$A$2:$K$10000,MATCH($A357&amp;L$1,JupData!$A$2:$A$10000&amp;JupData!$J$2:$J$10000,0),11))</f>
        <v/>
      </c>
      <c r="M357" t="str">
        <f t="array" ref="M357">IF($A357="","",INDEX(JupData!$A$2:$K$10000,MATCH($A357&amp;M$1,JupData!$A$2:$A$10000&amp;JupData!$J$2:$J$10000,0),11))</f>
        <v/>
      </c>
      <c r="N357" t="str">
        <f t="array" ref="N357">IF($A357="","",INDEX(JupData!$A$2:$K$10000,MATCH($A357&amp;N$1,JupData!$A$2:$A$10000&amp;JupData!$J$2:$J$10000,0),11))</f>
        <v/>
      </c>
      <c r="O357" t="str">
        <f t="array" ref="O357">IF($A357="","",INDEX(JupData!$A$2:$K$10000,MATCH($A357&amp;O$1,JupData!$A$2:$A$10000&amp;JupData!$J$2:$J$10000,0),11))</f>
        <v/>
      </c>
      <c r="P357" t="str">
        <f t="array" ref="P357">IF($A357="","",INDEX(JupData!$A$2:$K$10000,MATCH($A357&amp;P$1,JupData!$A$2:$A$10000&amp;JupData!$J$2:$J$10000,0),11))</f>
        <v/>
      </c>
      <c r="Q357" t="str">
        <f t="array" ref="Q357">IF($A357="","",INDEX(JupData!$A$2:$K$10000,MATCH($A357&amp;Q$1,JupData!$A$2:$A$10000&amp;JupData!$J$2:$J$10000,0),11))</f>
        <v/>
      </c>
      <c r="R357" t="str">
        <f t="array" ref="R357">IF($A357="","",INDEX(JupData!$A$2:$K$10000,MATCH($A357&amp;R$1,JupData!$A$2:$A$10000&amp;JupData!$J$2:$J$10000,0),11))</f>
        <v/>
      </c>
      <c r="S357" t="str">
        <f t="array" ref="S357">IF($A357="","",INDEX(JupData!$A$2:$K$10000,MATCH($A357&amp;S$1,JupData!$A$2:$A$10000&amp;JupData!$J$2:$J$10000,0),11))</f>
        <v/>
      </c>
      <c r="T357" t="str">
        <f t="array" ref="T357">IF($A357="","",INDEX(JupData!$A$2:$K$10000,MATCH($A357&amp;T$1,JupData!$A$2:$A$10000&amp;JupData!$J$2:$J$10000,0),11))</f>
        <v/>
      </c>
      <c r="U357" t="str">
        <f t="array" ref="U357">IF($A357="","",INDEX(JupData!$A$2:$K$10000,MATCH($A357&amp;U$1,JupData!$A$2:$A$10000&amp;JupData!$J$2:$J$10000,0),11))</f>
        <v/>
      </c>
      <c r="V357" t="str">
        <f t="array" ref="V357">IF($A357="","",INDEX(JupData!$A$2:$K$10000,MATCH($A357&amp;V$1,JupData!$A$2:$A$10000&amp;JupData!$J$2:$J$10000,0),11))</f>
        <v/>
      </c>
      <c r="W357" t="str">
        <f t="array" ref="W357">IF($A357="","",INDEX(JupData!$A$2:$K$10000,MATCH($A357&amp;W$1,JupData!$A$2:$A$10000&amp;JupData!$J$2:$J$10000,0),11))</f>
        <v/>
      </c>
      <c r="X357" t="str">
        <f t="array" ref="X357">IF($A357="","",INDEX(JupData!$A$2:$K$10000,MATCH($A357&amp;X$1,JupData!$A$2:$A$10000&amp;JupData!$J$2:$J$10000,0),11))</f>
        <v/>
      </c>
      <c r="Y357" t="str">
        <f t="array" ref="Y357">IF($A357="","",INDEX(JupData!$A$2:$K$10000,MATCH($A357&amp;Y$1,JupData!$A$2:$A$10000&amp;JupData!$J$2:$J$10000,0),11))</f>
        <v/>
      </c>
      <c r="Z357" t="str">
        <f t="array" ref="Z357">IF($A357="","",INDEX(JupData!$A$2:$K$10000,MATCH($A357&amp;Z$1,JupData!$A$2:$A$10000&amp;JupData!$J$2:$J$10000,0),11))</f>
        <v/>
      </c>
      <c r="AA357" t="str">
        <f t="array" ref="AA357">IF($A357="","",INDEX(JupData!$A$2:$K$10000,MATCH($A357&amp;AA$1,JupData!$A$2:$A$10000&amp;JupData!$J$2:$J$10000,0),11))</f>
        <v/>
      </c>
      <c r="AB357" t="str">
        <f t="array" ref="AB357">IF($A357="","",INDEX(JupData!$A$2:$K$10000,MATCH($A357&amp;AB$1,JupData!$A$2:$A$10000&amp;JupData!$J$2:$J$10000,0),11))</f>
        <v/>
      </c>
      <c r="AC357" s="10" t="str">
        <f t="shared" si="55"/>
        <v/>
      </c>
      <c r="AD357" s="10" t="str">
        <f t="shared" si="56"/>
        <v/>
      </c>
      <c r="AE357" s="9" t="str">
        <f t="shared" si="57"/>
        <v/>
      </c>
      <c r="AF357" s="10" t="str">
        <f t="shared" si="58"/>
        <v/>
      </c>
      <c r="AG357" s="10" t="str">
        <f t="shared" si="59"/>
        <v/>
      </c>
      <c r="AH357" s="10" t="str">
        <f t="shared" si="60"/>
        <v/>
      </c>
      <c r="AI357" s="10" t="str">
        <f t="shared" si="61"/>
        <v/>
      </c>
      <c r="AJ357" s="10" t="str">
        <f t="shared" si="62"/>
        <v/>
      </c>
      <c r="AK357" s="10" t="str">
        <f t="shared" si="63"/>
        <v/>
      </c>
      <c r="AL357" s="14" t="str">
        <f t="shared" si="64"/>
        <v/>
      </c>
    </row>
    <row r="358" spans="1:38" x14ac:dyDescent="0.2">
      <c r="A358"/>
      <c r="B358" t="str">
        <f>IF($A358="","",VLOOKUP($A358,JupData!$A$2:$I$10000,4,FALSE))</f>
        <v/>
      </c>
      <c r="C358" s="7" t="str">
        <f>IF($A358="",IF(N(D358),0,""),VLOOKUP($A358,JupData!$A$2:$I$10000,7,FALSE))</f>
        <v/>
      </c>
      <c r="D358" t="str">
        <f t="shared" si="65"/>
        <v/>
      </c>
      <c r="E358" t="str">
        <f t="array" ref="E358">IF($A358="","",INDEX(JupData!$A$2:$K$10000,MATCH($A358&amp;E$1,JupData!$A$2:$A$10000&amp;JupData!$J$2:$J$10000,0),11))</f>
        <v/>
      </c>
      <c r="F358" t="str">
        <f t="array" ref="F358">IF($A358="","",INDEX(JupData!$A$2:$K$10000,MATCH($A358&amp;F$1,JupData!$A$2:$A$10000&amp;JupData!$J$2:$J$10000,0),11))</f>
        <v/>
      </c>
      <c r="G358" t="str">
        <f t="array" ref="G358">IF($A358="","",INDEX(JupData!$A$2:$K$10000,MATCH($A358&amp;G$1,JupData!$A$2:$A$10000&amp;JupData!$J$2:$J$10000,0),11))</f>
        <v/>
      </c>
      <c r="H358" t="str">
        <f t="array" ref="H358">IF($A358="","",INDEX(JupData!$A$2:$K$10000,MATCH($A358&amp;H$1,JupData!$A$2:$A$10000&amp;JupData!$J$2:$J$10000,0),11))</f>
        <v/>
      </c>
      <c r="I358" t="str">
        <f t="array" ref="I358">IF($A358="","",INDEX(JupData!$A$2:$K$10000,MATCH($A358&amp;I$1,JupData!$A$2:$A$10000&amp;JupData!$J$2:$J$10000,0),11))</f>
        <v/>
      </c>
      <c r="J358" t="str">
        <f t="array" ref="J358">IF($A358="","",INDEX(JupData!$A$2:$K$10000,MATCH($A358&amp;J$1,JupData!$A$2:$A$10000&amp;JupData!$J$2:$J$10000,0),11))</f>
        <v/>
      </c>
      <c r="K358" t="str">
        <f t="array" ref="K358">IF($A358="","",INDEX(JupData!$A$2:$K$10000,MATCH($A358&amp;K$1,JupData!$A$2:$A$10000&amp;JupData!$J$2:$J$10000,0),11))</f>
        <v/>
      </c>
      <c r="L358" t="str">
        <f t="array" ref="L358">IF($A358="","",INDEX(JupData!$A$2:$K$10000,MATCH($A358&amp;L$1,JupData!$A$2:$A$10000&amp;JupData!$J$2:$J$10000,0),11))</f>
        <v/>
      </c>
      <c r="M358" t="str">
        <f t="array" ref="M358">IF($A358="","",INDEX(JupData!$A$2:$K$10000,MATCH($A358&amp;M$1,JupData!$A$2:$A$10000&amp;JupData!$J$2:$J$10000,0),11))</f>
        <v/>
      </c>
      <c r="N358" t="str">
        <f t="array" ref="N358">IF($A358="","",INDEX(JupData!$A$2:$K$10000,MATCH($A358&amp;N$1,JupData!$A$2:$A$10000&amp;JupData!$J$2:$J$10000,0),11))</f>
        <v/>
      </c>
      <c r="O358" t="str">
        <f t="array" ref="O358">IF($A358="","",INDEX(JupData!$A$2:$K$10000,MATCH($A358&amp;O$1,JupData!$A$2:$A$10000&amp;JupData!$J$2:$J$10000,0),11))</f>
        <v/>
      </c>
      <c r="P358" t="str">
        <f t="array" ref="P358">IF($A358="","",INDEX(JupData!$A$2:$K$10000,MATCH($A358&amp;P$1,JupData!$A$2:$A$10000&amp;JupData!$J$2:$J$10000,0),11))</f>
        <v/>
      </c>
      <c r="Q358" t="str">
        <f t="array" ref="Q358">IF($A358="","",INDEX(JupData!$A$2:$K$10000,MATCH($A358&amp;Q$1,JupData!$A$2:$A$10000&amp;JupData!$J$2:$J$10000,0),11))</f>
        <v/>
      </c>
      <c r="R358" t="str">
        <f t="array" ref="R358">IF($A358="","",INDEX(JupData!$A$2:$K$10000,MATCH($A358&amp;R$1,JupData!$A$2:$A$10000&amp;JupData!$J$2:$J$10000,0),11))</f>
        <v/>
      </c>
      <c r="S358" t="str">
        <f t="array" ref="S358">IF($A358="","",INDEX(JupData!$A$2:$K$10000,MATCH($A358&amp;S$1,JupData!$A$2:$A$10000&amp;JupData!$J$2:$J$10000,0),11))</f>
        <v/>
      </c>
      <c r="T358" t="str">
        <f t="array" ref="T358">IF($A358="","",INDEX(JupData!$A$2:$K$10000,MATCH($A358&amp;T$1,JupData!$A$2:$A$10000&amp;JupData!$J$2:$J$10000,0),11))</f>
        <v/>
      </c>
      <c r="U358" t="str">
        <f t="array" ref="U358">IF($A358="","",INDEX(JupData!$A$2:$K$10000,MATCH($A358&amp;U$1,JupData!$A$2:$A$10000&amp;JupData!$J$2:$J$10000,0),11))</f>
        <v/>
      </c>
      <c r="V358" t="str">
        <f t="array" ref="V358">IF($A358="","",INDEX(JupData!$A$2:$K$10000,MATCH($A358&amp;V$1,JupData!$A$2:$A$10000&amp;JupData!$J$2:$J$10000,0),11))</f>
        <v/>
      </c>
      <c r="W358" t="str">
        <f t="array" ref="W358">IF($A358="","",INDEX(JupData!$A$2:$K$10000,MATCH($A358&amp;W$1,JupData!$A$2:$A$10000&amp;JupData!$J$2:$J$10000,0),11))</f>
        <v/>
      </c>
      <c r="X358" t="str">
        <f t="array" ref="X358">IF($A358="","",INDEX(JupData!$A$2:$K$10000,MATCH($A358&amp;X$1,JupData!$A$2:$A$10000&amp;JupData!$J$2:$J$10000,0),11))</f>
        <v/>
      </c>
      <c r="Y358" t="str">
        <f t="array" ref="Y358">IF($A358="","",INDEX(JupData!$A$2:$K$10000,MATCH($A358&amp;Y$1,JupData!$A$2:$A$10000&amp;JupData!$J$2:$J$10000,0),11))</f>
        <v/>
      </c>
      <c r="Z358" t="str">
        <f t="array" ref="Z358">IF($A358="","",INDEX(JupData!$A$2:$K$10000,MATCH($A358&amp;Z$1,JupData!$A$2:$A$10000&amp;JupData!$J$2:$J$10000,0),11))</f>
        <v/>
      </c>
      <c r="AA358" t="str">
        <f t="array" ref="AA358">IF($A358="","",INDEX(JupData!$A$2:$K$10000,MATCH($A358&amp;AA$1,JupData!$A$2:$A$10000&amp;JupData!$J$2:$J$10000,0),11))</f>
        <v/>
      </c>
      <c r="AB358" t="str">
        <f t="array" ref="AB358">IF($A358="","",INDEX(JupData!$A$2:$K$10000,MATCH($A358&amp;AB$1,JupData!$A$2:$A$10000&amp;JupData!$J$2:$J$10000,0),11))</f>
        <v/>
      </c>
      <c r="AC358" s="10" t="str">
        <f t="shared" si="55"/>
        <v/>
      </c>
      <c r="AD358" s="10" t="str">
        <f t="shared" si="56"/>
        <v/>
      </c>
      <c r="AE358" s="9" t="str">
        <f t="shared" si="57"/>
        <v/>
      </c>
      <c r="AF358" s="10" t="str">
        <f t="shared" si="58"/>
        <v/>
      </c>
      <c r="AG358" s="10" t="str">
        <f t="shared" si="59"/>
        <v/>
      </c>
      <c r="AH358" s="10" t="str">
        <f t="shared" si="60"/>
        <v/>
      </c>
      <c r="AI358" s="10" t="str">
        <f t="shared" si="61"/>
        <v/>
      </c>
      <c r="AJ358" s="10" t="str">
        <f t="shared" si="62"/>
        <v/>
      </c>
      <c r="AK358" s="10" t="str">
        <f t="shared" si="63"/>
        <v/>
      </c>
      <c r="AL358" s="14" t="str">
        <f t="shared" si="64"/>
        <v/>
      </c>
    </row>
    <row r="359" spans="1:38" x14ac:dyDescent="0.2">
      <c r="A359"/>
      <c r="B359" t="str">
        <f>IF($A359="","",VLOOKUP($A359,JupData!$A$2:$I$10000,4,FALSE))</f>
        <v/>
      </c>
      <c r="C359" s="7" t="str">
        <f>IF($A359="",IF(N(D359),0,""),VLOOKUP($A359,JupData!$A$2:$I$10000,7,FALSE))</f>
        <v/>
      </c>
      <c r="D359" t="str">
        <f t="shared" si="65"/>
        <v/>
      </c>
      <c r="E359" t="str">
        <f t="array" ref="E359">IF($A359="","",INDEX(JupData!$A$2:$K$10000,MATCH($A359&amp;E$1,JupData!$A$2:$A$10000&amp;JupData!$J$2:$J$10000,0),11))</f>
        <v/>
      </c>
      <c r="F359" t="str">
        <f t="array" ref="F359">IF($A359="","",INDEX(JupData!$A$2:$K$10000,MATCH($A359&amp;F$1,JupData!$A$2:$A$10000&amp;JupData!$J$2:$J$10000,0),11))</f>
        <v/>
      </c>
      <c r="G359" t="str">
        <f t="array" ref="G359">IF($A359="","",INDEX(JupData!$A$2:$K$10000,MATCH($A359&amp;G$1,JupData!$A$2:$A$10000&amp;JupData!$J$2:$J$10000,0),11))</f>
        <v/>
      </c>
      <c r="H359" t="str">
        <f t="array" ref="H359">IF($A359="","",INDEX(JupData!$A$2:$K$10000,MATCH($A359&amp;H$1,JupData!$A$2:$A$10000&amp;JupData!$J$2:$J$10000,0),11))</f>
        <v/>
      </c>
      <c r="I359" t="str">
        <f t="array" ref="I359">IF($A359="","",INDEX(JupData!$A$2:$K$10000,MATCH($A359&amp;I$1,JupData!$A$2:$A$10000&amp;JupData!$J$2:$J$10000,0),11))</f>
        <v/>
      </c>
      <c r="J359" t="str">
        <f t="array" ref="J359">IF($A359="","",INDEX(JupData!$A$2:$K$10000,MATCH($A359&amp;J$1,JupData!$A$2:$A$10000&amp;JupData!$J$2:$J$10000,0),11))</f>
        <v/>
      </c>
      <c r="K359" t="str">
        <f t="array" ref="K359">IF($A359="","",INDEX(JupData!$A$2:$K$10000,MATCH($A359&amp;K$1,JupData!$A$2:$A$10000&amp;JupData!$J$2:$J$10000,0),11))</f>
        <v/>
      </c>
      <c r="L359" t="str">
        <f t="array" ref="L359">IF($A359="","",INDEX(JupData!$A$2:$K$10000,MATCH($A359&amp;L$1,JupData!$A$2:$A$10000&amp;JupData!$J$2:$J$10000,0),11))</f>
        <v/>
      </c>
      <c r="M359" t="str">
        <f t="array" ref="M359">IF($A359="","",INDEX(JupData!$A$2:$K$10000,MATCH($A359&amp;M$1,JupData!$A$2:$A$10000&amp;JupData!$J$2:$J$10000,0),11))</f>
        <v/>
      </c>
      <c r="N359" t="str">
        <f t="array" ref="N359">IF($A359="","",INDEX(JupData!$A$2:$K$10000,MATCH($A359&amp;N$1,JupData!$A$2:$A$10000&amp;JupData!$J$2:$J$10000,0),11))</f>
        <v/>
      </c>
      <c r="O359" t="str">
        <f t="array" ref="O359">IF($A359="","",INDEX(JupData!$A$2:$K$10000,MATCH($A359&amp;O$1,JupData!$A$2:$A$10000&amp;JupData!$J$2:$J$10000,0),11))</f>
        <v/>
      </c>
      <c r="P359" t="str">
        <f t="array" ref="P359">IF($A359="","",INDEX(JupData!$A$2:$K$10000,MATCH($A359&amp;P$1,JupData!$A$2:$A$10000&amp;JupData!$J$2:$J$10000,0),11))</f>
        <v/>
      </c>
      <c r="Q359" t="str">
        <f t="array" ref="Q359">IF($A359="","",INDEX(JupData!$A$2:$K$10000,MATCH($A359&amp;Q$1,JupData!$A$2:$A$10000&amp;JupData!$J$2:$J$10000,0),11))</f>
        <v/>
      </c>
      <c r="R359" t="str">
        <f t="array" ref="R359">IF($A359="","",INDEX(JupData!$A$2:$K$10000,MATCH($A359&amp;R$1,JupData!$A$2:$A$10000&amp;JupData!$J$2:$J$10000,0),11))</f>
        <v/>
      </c>
      <c r="S359" t="str">
        <f t="array" ref="S359">IF($A359="","",INDEX(JupData!$A$2:$K$10000,MATCH($A359&amp;S$1,JupData!$A$2:$A$10000&amp;JupData!$J$2:$J$10000,0),11))</f>
        <v/>
      </c>
      <c r="T359" t="str">
        <f t="array" ref="T359">IF($A359="","",INDEX(JupData!$A$2:$K$10000,MATCH($A359&amp;T$1,JupData!$A$2:$A$10000&amp;JupData!$J$2:$J$10000,0),11))</f>
        <v/>
      </c>
      <c r="U359" t="str">
        <f t="array" ref="U359">IF($A359="","",INDEX(JupData!$A$2:$K$10000,MATCH($A359&amp;U$1,JupData!$A$2:$A$10000&amp;JupData!$J$2:$J$10000,0),11))</f>
        <v/>
      </c>
      <c r="V359" t="str">
        <f t="array" ref="V359">IF($A359="","",INDEX(JupData!$A$2:$K$10000,MATCH($A359&amp;V$1,JupData!$A$2:$A$10000&amp;JupData!$J$2:$J$10000,0),11))</f>
        <v/>
      </c>
      <c r="W359" t="str">
        <f t="array" ref="W359">IF($A359="","",INDEX(JupData!$A$2:$K$10000,MATCH($A359&amp;W$1,JupData!$A$2:$A$10000&amp;JupData!$J$2:$J$10000,0),11))</f>
        <v/>
      </c>
      <c r="X359" t="str">
        <f t="array" ref="X359">IF($A359="","",INDEX(JupData!$A$2:$K$10000,MATCH($A359&amp;X$1,JupData!$A$2:$A$10000&amp;JupData!$J$2:$J$10000,0),11))</f>
        <v/>
      </c>
      <c r="Y359" t="str">
        <f t="array" ref="Y359">IF($A359="","",INDEX(JupData!$A$2:$K$10000,MATCH($A359&amp;Y$1,JupData!$A$2:$A$10000&amp;JupData!$J$2:$J$10000,0),11))</f>
        <v/>
      </c>
      <c r="Z359" t="str">
        <f t="array" ref="Z359">IF($A359="","",INDEX(JupData!$A$2:$K$10000,MATCH($A359&amp;Z$1,JupData!$A$2:$A$10000&amp;JupData!$J$2:$J$10000,0),11))</f>
        <v/>
      </c>
      <c r="AA359" t="str">
        <f t="array" ref="AA359">IF($A359="","",INDEX(JupData!$A$2:$K$10000,MATCH($A359&amp;AA$1,JupData!$A$2:$A$10000&amp;JupData!$J$2:$J$10000,0),11))</f>
        <v/>
      </c>
      <c r="AB359" t="str">
        <f t="array" ref="AB359">IF($A359="","",INDEX(JupData!$A$2:$K$10000,MATCH($A359&amp;AB$1,JupData!$A$2:$A$10000&amp;JupData!$J$2:$J$10000,0),11))</f>
        <v/>
      </c>
      <c r="AC359" s="10" t="str">
        <f t="shared" si="55"/>
        <v/>
      </c>
      <c r="AD359" s="10" t="str">
        <f t="shared" si="56"/>
        <v/>
      </c>
      <c r="AE359" s="9" t="str">
        <f t="shared" si="57"/>
        <v/>
      </c>
      <c r="AF359" s="10" t="str">
        <f t="shared" si="58"/>
        <v/>
      </c>
      <c r="AG359" s="10" t="str">
        <f t="shared" si="59"/>
        <v/>
      </c>
      <c r="AH359" s="10" t="str">
        <f t="shared" si="60"/>
        <v/>
      </c>
      <c r="AI359" s="10" t="str">
        <f t="shared" si="61"/>
        <v/>
      </c>
      <c r="AJ359" s="10" t="str">
        <f t="shared" si="62"/>
        <v/>
      </c>
      <c r="AK359" s="10" t="str">
        <f t="shared" si="63"/>
        <v/>
      </c>
      <c r="AL359" s="14" t="str">
        <f t="shared" si="64"/>
        <v/>
      </c>
    </row>
    <row r="360" spans="1:38" x14ac:dyDescent="0.2">
      <c r="A360"/>
      <c r="B360" t="str">
        <f>IF($A360="","",VLOOKUP($A360,JupData!$A$2:$I$10000,4,FALSE))</f>
        <v/>
      </c>
      <c r="C360" s="7" t="str">
        <f>IF($A360="",IF(N(D360),0,""),VLOOKUP($A360,JupData!$A$2:$I$10000,7,FALSE))</f>
        <v/>
      </c>
      <c r="D360" t="str">
        <f t="shared" si="65"/>
        <v/>
      </c>
      <c r="E360" t="str">
        <f t="array" ref="E360">IF($A360="","",INDEX(JupData!$A$2:$K$10000,MATCH($A360&amp;E$1,JupData!$A$2:$A$10000&amp;JupData!$J$2:$J$10000,0),11))</f>
        <v/>
      </c>
      <c r="F360" t="str">
        <f t="array" ref="F360">IF($A360="","",INDEX(JupData!$A$2:$K$10000,MATCH($A360&amp;F$1,JupData!$A$2:$A$10000&amp;JupData!$J$2:$J$10000,0),11))</f>
        <v/>
      </c>
      <c r="G360" t="str">
        <f t="array" ref="G360">IF($A360="","",INDEX(JupData!$A$2:$K$10000,MATCH($A360&amp;G$1,JupData!$A$2:$A$10000&amp;JupData!$J$2:$J$10000,0),11))</f>
        <v/>
      </c>
      <c r="H360" t="str">
        <f t="array" ref="H360">IF($A360="","",INDEX(JupData!$A$2:$K$10000,MATCH($A360&amp;H$1,JupData!$A$2:$A$10000&amp;JupData!$J$2:$J$10000,0),11))</f>
        <v/>
      </c>
      <c r="I360" t="str">
        <f t="array" ref="I360">IF($A360="","",INDEX(JupData!$A$2:$K$10000,MATCH($A360&amp;I$1,JupData!$A$2:$A$10000&amp;JupData!$J$2:$J$10000,0),11))</f>
        <v/>
      </c>
      <c r="J360" t="str">
        <f t="array" ref="J360">IF($A360="","",INDEX(JupData!$A$2:$K$10000,MATCH($A360&amp;J$1,JupData!$A$2:$A$10000&amp;JupData!$J$2:$J$10000,0),11))</f>
        <v/>
      </c>
      <c r="K360" t="str">
        <f t="array" ref="K360">IF($A360="","",INDEX(JupData!$A$2:$K$10000,MATCH($A360&amp;K$1,JupData!$A$2:$A$10000&amp;JupData!$J$2:$J$10000,0),11))</f>
        <v/>
      </c>
      <c r="L360" t="str">
        <f t="array" ref="L360">IF($A360="","",INDEX(JupData!$A$2:$K$10000,MATCH($A360&amp;L$1,JupData!$A$2:$A$10000&amp;JupData!$J$2:$J$10000,0),11))</f>
        <v/>
      </c>
      <c r="M360" t="str">
        <f t="array" ref="M360">IF($A360="","",INDEX(JupData!$A$2:$K$10000,MATCH($A360&amp;M$1,JupData!$A$2:$A$10000&amp;JupData!$J$2:$J$10000,0),11))</f>
        <v/>
      </c>
      <c r="N360" t="str">
        <f t="array" ref="N360">IF($A360="","",INDEX(JupData!$A$2:$K$10000,MATCH($A360&amp;N$1,JupData!$A$2:$A$10000&amp;JupData!$J$2:$J$10000,0),11))</f>
        <v/>
      </c>
      <c r="O360" t="str">
        <f t="array" ref="O360">IF($A360="","",INDEX(JupData!$A$2:$K$10000,MATCH($A360&amp;O$1,JupData!$A$2:$A$10000&amp;JupData!$J$2:$J$10000,0),11))</f>
        <v/>
      </c>
      <c r="P360" t="str">
        <f t="array" ref="P360">IF($A360="","",INDEX(JupData!$A$2:$K$10000,MATCH($A360&amp;P$1,JupData!$A$2:$A$10000&amp;JupData!$J$2:$J$10000,0),11))</f>
        <v/>
      </c>
      <c r="Q360" t="str">
        <f t="array" ref="Q360">IF($A360="","",INDEX(JupData!$A$2:$K$10000,MATCH($A360&amp;Q$1,JupData!$A$2:$A$10000&amp;JupData!$J$2:$J$10000,0),11))</f>
        <v/>
      </c>
      <c r="R360" t="str">
        <f t="array" ref="R360">IF($A360="","",INDEX(JupData!$A$2:$K$10000,MATCH($A360&amp;R$1,JupData!$A$2:$A$10000&amp;JupData!$J$2:$J$10000,0),11))</f>
        <v/>
      </c>
      <c r="S360" t="str">
        <f t="array" ref="S360">IF($A360="","",INDEX(JupData!$A$2:$K$10000,MATCH($A360&amp;S$1,JupData!$A$2:$A$10000&amp;JupData!$J$2:$J$10000,0),11))</f>
        <v/>
      </c>
      <c r="T360" t="str">
        <f t="array" ref="T360">IF($A360="","",INDEX(JupData!$A$2:$K$10000,MATCH($A360&amp;T$1,JupData!$A$2:$A$10000&amp;JupData!$J$2:$J$10000,0),11))</f>
        <v/>
      </c>
      <c r="U360" t="str">
        <f t="array" ref="U360">IF($A360="","",INDEX(JupData!$A$2:$K$10000,MATCH($A360&amp;U$1,JupData!$A$2:$A$10000&amp;JupData!$J$2:$J$10000,0),11))</f>
        <v/>
      </c>
      <c r="V360" t="str">
        <f t="array" ref="V360">IF($A360="","",INDEX(JupData!$A$2:$K$10000,MATCH($A360&amp;V$1,JupData!$A$2:$A$10000&amp;JupData!$J$2:$J$10000,0),11))</f>
        <v/>
      </c>
      <c r="W360" t="str">
        <f t="array" ref="W360">IF($A360="","",INDEX(JupData!$A$2:$K$10000,MATCH($A360&amp;W$1,JupData!$A$2:$A$10000&amp;JupData!$J$2:$J$10000,0),11))</f>
        <v/>
      </c>
      <c r="X360" t="str">
        <f t="array" ref="X360">IF($A360="","",INDEX(JupData!$A$2:$K$10000,MATCH($A360&amp;X$1,JupData!$A$2:$A$10000&amp;JupData!$J$2:$J$10000,0),11))</f>
        <v/>
      </c>
      <c r="Y360" t="str">
        <f t="array" ref="Y360">IF($A360="","",INDEX(JupData!$A$2:$K$10000,MATCH($A360&amp;Y$1,JupData!$A$2:$A$10000&amp;JupData!$J$2:$J$10000,0),11))</f>
        <v/>
      </c>
      <c r="Z360" t="str">
        <f t="array" ref="Z360">IF($A360="","",INDEX(JupData!$A$2:$K$10000,MATCH($A360&amp;Z$1,JupData!$A$2:$A$10000&amp;JupData!$J$2:$J$10000,0),11))</f>
        <v/>
      </c>
      <c r="AA360" t="str">
        <f t="array" ref="AA360">IF($A360="","",INDEX(JupData!$A$2:$K$10000,MATCH($A360&amp;AA$1,JupData!$A$2:$A$10000&amp;JupData!$J$2:$J$10000,0),11))</f>
        <v/>
      </c>
      <c r="AB360" t="str">
        <f t="array" ref="AB360">IF($A360="","",INDEX(JupData!$A$2:$K$10000,MATCH($A360&amp;AB$1,JupData!$A$2:$A$10000&amp;JupData!$J$2:$J$10000,0),11))</f>
        <v/>
      </c>
      <c r="AC360" s="10" t="str">
        <f t="shared" si="55"/>
        <v/>
      </c>
      <c r="AD360" s="10" t="str">
        <f t="shared" si="56"/>
        <v/>
      </c>
      <c r="AE360" s="9" t="str">
        <f t="shared" si="57"/>
        <v/>
      </c>
      <c r="AF360" s="10" t="str">
        <f t="shared" si="58"/>
        <v/>
      </c>
      <c r="AG360" s="10" t="str">
        <f t="shared" si="59"/>
        <v/>
      </c>
      <c r="AH360" s="10" t="str">
        <f t="shared" si="60"/>
        <v/>
      </c>
      <c r="AI360" s="10" t="str">
        <f t="shared" si="61"/>
        <v/>
      </c>
      <c r="AJ360" s="10" t="str">
        <f t="shared" si="62"/>
        <v/>
      </c>
      <c r="AK360" s="10" t="str">
        <f t="shared" si="63"/>
        <v/>
      </c>
      <c r="AL360" s="14" t="str">
        <f t="shared" si="64"/>
        <v/>
      </c>
    </row>
    <row r="361" spans="1:38" x14ac:dyDescent="0.2">
      <c r="A361"/>
      <c r="B361" t="str">
        <f>IF($A361="","",VLOOKUP($A361,JupData!$A$2:$I$10000,4,FALSE))</f>
        <v/>
      </c>
      <c r="C361" s="7" t="str">
        <f>IF($A361="",IF(N(D361),0,""),VLOOKUP($A361,JupData!$A$2:$I$10000,7,FALSE))</f>
        <v/>
      </c>
      <c r="D361" t="str">
        <f t="shared" si="65"/>
        <v/>
      </c>
      <c r="E361" t="str">
        <f t="array" ref="E361">IF($A361="","",INDEX(JupData!$A$2:$K$10000,MATCH($A361&amp;E$1,JupData!$A$2:$A$10000&amp;JupData!$J$2:$J$10000,0),11))</f>
        <v/>
      </c>
      <c r="F361" t="str">
        <f t="array" ref="F361">IF($A361="","",INDEX(JupData!$A$2:$K$10000,MATCH($A361&amp;F$1,JupData!$A$2:$A$10000&amp;JupData!$J$2:$J$10000,0),11))</f>
        <v/>
      </c>
      <c r="G361" t="str">
        <f t="array" ref="G361">IF($A361="","",INDEX(JupData!$A$2:$K$10000,MATCH($A361&amp;G$1,JupData!$A$2:$A$10000&amp;JupData!$J$2:$J$10000,0),11))</f>
        <v/>
      </c>
      <c r="H361" t="str">
        <f t="array" ref="H361">IF($A361="","",INDEX(JupData!$A$2:$K$10000,MATCH($A361&amp;H$1,JupData!$A$2:$A$10000&amp;JupData!$J$2:$J$10000,0),11))</f>
        <v/>
      </c>
      <c r="I361" t="str">
        <f t="array" ref="I361">IF($A361="","",INDEX(JupData!$A$2:$K$10000,MATCH($A361&amp;I$1,JupData!$A$2:$A$10000&amp;JupData!$J$2:$J$10000,0),11))</f>
        <v/>
      </c>
      <c r="J361" t="str">
        <f t="array" ref="J361">IF($A361="","",INDEX(JupData!$A$2:$K$10000,MATCH($A361&amp;J$1,JupData!$A$2:$A$10000&amp;JupData!$J$2:$J$10000,0),11))</f>
        <v/>
      </c>
      <c r="K361" t="str">
        <f t="array" ref="K361">IF($A361="","",INDEX(JupData!$A$2:$K$10000,MATCH($A361&amp;K$1,JupData!$A$2:$A$10000&amp;JupData!$J$2:$J$10000,0),11))</f>
        <v/>
      </c>
      <c r="L361" t="str">
        <f t="array" ref="L361">IF($A361="","",INDEX(JupData!$A$2:$K$10000,MATCH($A361&amp;L$1,JupData!$A$2:$A$10000&amp;JupData!$J$2:$J$10000,0),11))</f>
        <v/>
      </c>
      <c r="M361" t="str">
        <f t="array" ref="M361">IF($A361="","",INDEX(JupData!$A$2:$K$10000,MATCH($A361&amp;M$1,JupData!$A$2:$A$10000&amp;JupData!$J$2:$J$10000,0),11))</f>
        <v/>
      </c>
      <c r="N361" t="str">
        <f t="array" ref="N361">IF($A361="","",INDEX(JupData!$A$2:$K$10000,MATCH($A361&amp;N$1,JupData!$A$2:$A$10000&amp;JupData!$J$2:$J$10000,0),11))</f>
        <v/>
      </c>
      <c r="O361" t="str">
        <f t="array" ref="O361">IF($A361="","",INDEX(JupData!$A$2:$K$10000,MATCH($A361&amp;O$1,JupData!$A$2:$A$10000&amp;JupData!$J$2:$J$10000,0),11))</f>
        <v/>
      </c>
      <c r="P361" t="str">
        <f t="array" ref="P361">IF($A361="","",INDEX(JupData!$A$2:$K$10000,MATCH($A361&amp;P$1,JupData!$A$2:$A$10000&amp;JupData!$J$2:$J$10000,0),11))</f>
        <v/>
      </c>
      <c r="Q361" t="str">
        <f t="array" ref="Q361">IF($A361="","",INDEX(JupData!$A$2:$K$10000,MATCH($A361&amp;Q$1,JupData!$A$2:$A$10000&amp;JupData!$J$2:$J$10000,0),11))</f>
        <v/>
      </c>
      <c r="R361" t="str">
        <f t="array" ref="R361">IF($A361="","",INDEX(JupData!$A$2:$K$10000,MATCH($A361&amp;R$1,JupData!$A$2:$A$10000&amp;JupData!$J$2:$J$10000,0),11))</f>
        <v/>
      </c>
      <c r="S361" t="str">
        <f t="array" ref="S361">IF($A361="","",INDEX(JupData!$A$2:$K$10000,MATCH($A361&amp;S$1,JupData!$A$2:$A$10000&amp;JupData!$J$2:$J$10000,0),11))</f>
        <v/>
      </c>
      <c r="T361" t="str">
        <f t="array" ref="T361">IF($A361="","",INDEX(JupData!$A$2:$K$10000,MATCH($A361&amp;T$1,JupData!$A$2:$A$10000&amp;JupData!$J$2:$J$10000,0),11))</f>
        <v/>
      </c>
      <c r="U361" t="str">
        <f t="array" ref="U361">IF($A361="","",INDEX(JupData!$A$2:$K$10000,MATCH($A361&amp;U$1,JupData!$A$2:$A$10000&amp;JupData!$J$2:$J$10000,0),11))</f>
        <v/>
      </c>
      <c r="V361" t="str">
        <f t="array" ref="V361">IF($A361="","",INDEX(JupData!$A$2:$K$10000,MATCH($A361&amp;V$1,JupData!$A$2:$A$10000&amp;JupData!$J$2:$J$10000,0),11))</f>
        <v/>
      </c>
      <c r="W361" t="str">
        <f t="array" ref="W361">IF($A361="","",INDEX(JupData!$A$2:$K$10000,MATCH($A361&amp;W$1,JupData!$A$2:$A$10000&amp;JupData!$J$2:$J$10000,0),11))</f>
        <v/>
      </c>
      <c r="X361" t="str">
        <f t="array" ref="X361">IF($A361="","",INDEX(JupData!$A$2:$K$10000,MATCH($A361&amp;X$1,JupData!$A$2:$A$10000&amp;JupData!$J$2:$J$10000,0),11))</f>
        <v/>
      </c>
      <c r="Y361" t="str">
        <f t="array" ref="Y361">IF($A361="","",INDEX(JupData!$A$2:$K$10000,MATCH($A361&amp;Y$1,JupData!$A$2:$A$10000&amp;JupData!$J$2:$J$10000,0),11))</f>
        <v/>
      </c>
      <c r="Z361" t="str">
        <f t="array" ref="Z361">IF($A361="","",INDEX(JupData!$A$2:$K$10000,MATCH($A361&amp;Z$1,JupData!$A$2:$A$10000&amp;JupData!$J$2:$J$10000,0),11))</f>
        <v/>
      </c>
      <c r="AA361" t="str">
        <f t="array" ref="AA361">IF($A361="","",INDEX(JupData!$A$2:$K$10000,MATCH($A361&amp;AA$1,JupData!$A$2:$A$10000&amp;JupData!$J$2:$J$10000,0),11))</f>
        <v/>
      </c>
      <c r="AB361" t="str">
        <f t="array" ref="AB361">IF($A361="","",INDEX(JupData!$A$2:$K$10000,MATCH($A361&amp;AB$1,JupData!$A$2:$A$10000&amp;JupData!$J$2:$J$10000,0),11))</f>
        <v/>
      </c>
      <c r="AC361" s="10" t="str">
        <f t="shared" si="55"/>
        <v/>
      </c>
      <c r="AD361" s="10" t="str">
        <f t="shared" si="56"/>
        <v/>
      </c>
      <c r="AE361" s="9" t="str">
        <f t="shared" si="57"/>
        <v/>
      </c>
      <c r="AF361" s="10" t="str">
        <f t="shared" si="58"/>
        <v/>
      </c>
      <c r="AG361" s="10" t="str">
        <f t="shared" si="59"/>
        <v/>
      </c>
      <c r="AH361" s="10" t="str">
        <f t="shared" si="60"/>
        <v/>
      </c>
      <c r="AI361" s="10" t="str">
        <f t="shared" si="61"/>
        <v/>
      </c>
      <c r="AJ361" s="10" t="str">
        <f t="shared" si="62"/>
        <v/>
      </c>
      <c r="AK361" s="10" t="str">
        <f t="shared" si="63"/>
        <v/>
      </c>
      <c r="AL361" s="14" t="str">
        <f t="shared" si="64"/>
        <v/>
      </c>
    </row>
    <row r="362" spans="1:38" x14ac:dyDescent="0.2">
      <c r="A362"/>
      <c r="B362" t="str">
        <f>IF($A362="","",VLOOKUP($A362,JupData!$A$2:$I$10000,4,FALSE))</f>
        <v/>
      </c>
      <c r="C362" s="7" t="str">
        <f>IF($A362="",IF(N(D362),0,""),VLOOKUP($A362,JupData!$A$2:$I$10000,7,FALSE))</f>
        <v/>
      </c>
      <c r="D362" t="str">
        <f t="shared" si="65"/>
        <v/>
      </c>
      <c r="E362" t="str">
        <f t="array" ref="E362">IF($A362="","",INDEX(JupData!$A$2:$K$10000,MATCH($A362&amp;E$1,JupData!$A$2:$A$10000&amp;JupData!$J$2:$J$10000,0),11))</f>
        <v/>
      </c>
      <c r="F362" t="str">
        <f t="array" ref="F362">IF($A362="","",INDEX(JupData!$A$2:$K$10000,MATCH($A362&amp;F$1,JupData!$A$2:$A$10000&amp;JupData!$J$2:$J$10000,0),11))</f>
        <v/>
      </c>
      <c r="G362" t="str">
        <f t="array" ref="G362">IF($A362="","",INDEX(JupData!$A$2:$K$10000,MATCH($A362&amp;G$1,JupData!$A$2:$A$10000&amp;JupData!$J$2:$J$10000,0),11))</f>
        <v/>
      </c>
      <c r="H362" t="str">
        <f t="array" ref="H362">IF($A362="","",INDEX(JupData!$A$2:$K$10000,MATCH($A362&amp;H$1,JupData!$A$2:$A$10000&amp;JupData!$J$2:$J$10000,0),11))</f>
        <v/>
      </c>
      <c r="I362" t="str">
        <f t="array" ref="I362">IF($A362="","",INDEX(JupData!$A$2:$K$10000,MATCH($A362&amp;I$1,JupData!$A$2:$A$10000&amp;JupData!$J$2:$J$10000,0),11))</f>
        <v/>
      </c>
      <c r="J362" t="str">
        <f t="array" ref="J362">IF($A362="","",INDEX(JupData!$A$2:$K$10000,MATCH($A362&amp;J$1,JupData!$A$2:$A$10000&amp;JupData!$J$2:$J$10000,0),11))</f>
        <v/>
      </c>
      <c r="K362" t="str">
        <f t="array" ref="K362">IF($A362="","",INDEX(JupData!$A$2:$K$10000,MATCH($A362&amp;K$1,JupData!$A$2:$A$10000&amp;JupData!$J$2:$J$10000,0),11))</f>
        <v/>
      </c>
      <c r="L362" t="str">
        <f t="array" ref="L362">IF($A362="","",INDEX(JupData!$A$2:$K$10000,MATCH($A362&amp;L$1,JupData!$A$2:$A$10000&amp;JupData!$J$2:$J$10000,0),11))</f>
        <v/>
      </c>
      <c r="M362" t="str">
        <f t="array" ref="M362">IF($A362="","",INDEX(JupData!$A$2:$K$10000,MATCH($A362&amp;M$1,JupData!$A$2:$A$10000&amp;JupData!$J$2:$J$10000,0),11))</f>
        <v/>
      </c>
      <c r="N362" t="str">
        <f t="array" ref="N362">IF($A362="","",INDEX(JupData!$A$2:$K$10000,MATCH($A362&amp;N$1,JupData!$A$2:$A$10000&amp;JupData!$J$2:$J$10000,0),11))</f>
        <v/>
      </c>
      <c r="O362" t="str">
        <f t="array" ref="O362">IF($A362="","",INDEX(JupData!$A$2:$K$10000,MATCH($A362&amp;O$1,JupData!$A$2:$A$10000&amp;JupData!$J$2:$J$10000,0),11))</f>
        <v/>
      </c>
      <c r="P362" t="str">
        <f t="array" ref="P362">IF($A362="","",INDEX(JupData!$A$2:$K$10000,MATCH($A362&amp;P$1,JupData!$A$2:$A$10000&amp;JupData!$J$2:$J$10000,0),11))</f>
        <v/>
      </c>
      <c r="Q362" t="str">
        <f t="array" ref="Q362">IF($A362="","",INDEX(JupData!$A$2:$K$10000,MATCH($A362&amp;Q$1,JupData!$A$2:$A$10000&amp;JupData!$J$2:$J$10000,0),11))</f>
        <v/>
      </c>
      <c r="R362" t="str">
        <f t="array" ref="R362">IF($A362="","",INDEX(JupData!$A$2:$K$10000,MATCH($A362&amp;R$1,JupData!$A$2:$A$10000&amp;JupData!$J$2:$J$10000,0),11))</f>
        <v/>
      </c>
      <c r="S362" t="str">
        <f t="array" ref="S362">IF($A362="","",INDEX(JupData!$A$2:$K$10000,MATCH($A362&amp;S$1,JupData!$A$2:$A$10000&amp;JupData!$J$2:$J$10000,0),11))</f>
        <v/>
      </c>
      <c r="T362" t="str">
        <f t="array" ref="T362">IF($A362="","",INDEX(JupData!$A$2:$K$10000,MATCH($A362&amp;T$1,JupData!$A$2:$A$10000&amp;JupData!$J$2:$J$10000,0),11))</f>
        <v/>
      </c>
      <c r="U362" t="str">
        <f t="array" ref="U362">IF($A362="","",INDEX(JupData!$A$2:$K$10000,MATCH($A362&amp;U$1,JupData!$A$2:$A$10000&amp;JupData!$J$2:$J$10000,0),11))</f>
        <v/>
      </c>
      <c r="V362" t="str">
        <f t="array" ref="V362">IF($A362="","",INDEX(JupData!$A$2:$K$10000,MATCH($A362&amp;V$1,JupData!$A$2:$A$10000&amp;JupData!$J$2:$J$10000,0),11))</f>
        <v/>
      </c>
      <c r="W362" t="str">
        <f t="array" ref="W362">IF($A362="","",INDEX(JupData!$A$2:$K$10000,MATCH($A362&amp;W$1,JupData!$A$2:$A$10000&amp;JupData!$J$2:$J$10000,0),11))</f>
        <v/>
      </c>
      <c r="X362" t="str">
        <f t="array" ref="X362">IF($A362="","",INDEX(JupData!$A$2:$K$10000,MATCH($A362&amp;X$1,JupData!$A$2:$A$10000&amp;JupData!$J$2:$J$10000,0),11))</f>
        <v/>
      </c>
      <c r="Y362" t="str">
        <f t="array" ref="Y362">IF($A362="","",INDEX(JupData!$A$2:$K$10000,MATCH($A362&amp;Y$1,JupData!$A$2:$A$10000&amp;JupData!$J$2:$J$10000,0),11))</f>
        <v/>
      </c>
      <c r="Z362" t="str">
        <f t="array" ref="Z362">IF($A362="","",INDEX(JupData!$A$2:$K$10000,MATCH($A362&amp;Z$1,JupData!$A$2:$A$10000&amp;JupData!$J$2:$J$10000,0),11))</f>
        <v/>
      </c>
      <c r="AA362" t="str">
        <f t="array" ref="AA362">IF($A362="","",INDEX(JupData!$A$2:$K$10000,MATCH($A362&amp;AA$1,JupData!$A$2:$A$10000&amp;JupData!$J$2:$J$10000,0),11))</f>
        <v/>
      </c>
      <c r="AB362" t="str">
        <f t="array" ref="AB362">IF($A362="","",INDEX(JupData!$A$2:$K$10000,MATCH($A362&amp;AB$1,JupData!$A$2:$A$10000&amp;JupData!$J$2:$J$10000,0),11))</f>
        <v/>
      </c>
      <c r="AC362" s="10" t="str">
        <f t="shared" si="55"/>
        <v/>
      </c>
      <c r="AD362" s="10" t="str">
        <f t="shared" si="56"/>
        <v/>
      </c>
      <c r="AE362" s="9" t="str">
        <f t="shared" si="57"/>
        <v/>
      </c>
      <c r="AF362" s="10" t="str">
        <f t="shared" si="58"/>
        <v/>
      </c>
      <c r="AG362" s="10" t="str">
        <f t="shared" si="59"/>
        <v/>
      </c>
      <c r="AH362" s="10" t="str">
        <f t="shared" si="60"/>
        <v/>
      </c>
      <c r="AI362" s="10" t="str">
        <f t="shared" si="61"/>
        <v/>
      </c>
      <c r="AJ362" s="10" t="str">
        <f t="shared" si="62"/>
        <v/>
      </c>
      <c r="AK362" s="10" t="str">
        <f t="shared" si="63"/>
        <v/>
      </c>
      <c r="AL362" s="14" t="str">
        <f t="shared" si="64"/>
        <v/>
      </c>
    </row>
    <row r="363" spans="1:38" x14ac:dyDescent="0.2">
      <c r="A363"/>
      <c r="B363" t="str">
        <f>IF($A363="","",VLOOKUP($A363,JupData!$A$2:$I$10000,4,FALSE))</f>
        <v/>
      </c>
      <c r="C363" s="7" t="str">
        <f>IF($A363="",IF(N(D363),0,""),VLOOKUP($A363,JupData!$A$2:$I$10000,7,FALSE))</f>
        <v/>
      </c>
      <c r="D363" t="str">
        <f t="shared" si="65"/>
        <v/>
      </c>
      <c r="E363" t="str">
        <f t="array" ref="E363">IF($A363="","",INDEX(JupData!$A$2:$K$10000,MATCH($A363&amp;E$1,JupData!$A$2:$A$10000&amp;JupData!$J$2:$J$10000,0),11))</f>
        <v/>
      </c>
      <c r="F363" t="str">
        <f t="array" ref="F363">IF($A363="","",INDEX(JupData!$A$2:$K$10000,MATCH($A363&amp;F$1,JupData!$A$2:$A$10000&amp;JupData!$J$2:$J$10000,0),11))</f>
        <v/>
      </c>
      <c r="G363" t="str">
        <f t="array" ref="G363">IF($A363="","",INDEX(JupData!$A$2:$K$10000,MATCH($A363&amp;G$1,JupData!$A$2:$A$10000&amp;JupData!$J$2:$J$10000,0),11))</f>
        <v/>
      </c>
      <c r="H363" t="str">
        <f t="array" ref="H363">IF($A363="","",INDEX(JupData!$A$2:$K$10000,MATCH($A363&amp;H$1,JupData!$A$2:$A$10000&amp;JupData!$J$2:$J$10000,0),11))</f>
        <v/>
      </c>
      <c r="I363" t="str">
        <f t="array" ref="I363">IF($A363="","",INDEX(JupData!$A$2:$K$10000,MATCH($A363&amp;I$1,JupData!$A$2:$A$10000&amp;JupData!$J$2:$J$10000,0),11))</f>
        <v/>
      </c>
      <c r="J363" t="str">
        <f t="array" ref="J363">IF($A363="","",INDEX(JupData!$A$2:$K$10000,MATCH($A363&amp;J$1,JupData!$A$2:$A$10000&amp;JupData!$J$2:$J$10000,0),11))</f>
        <v/>
      </c>
      <c r="K363" t="str">
        <f t="array" ref="K363">IF($A363="","",INDEX(JupData!$A$2:$K$10000,MATCH($A363&amp;K$1,JupData!$A$2:$A$10000&amp;JupData!$J$2:$J$10000,0),11))</f>
        <v/>
      </c>
      <c r="L363" t="str">
        <f t="array" ref="L363">IF($A363="","",INDEX(JupData!$A$2:$K$10000,MATCH($A363&amp;L$1,JupData!$A$2:$A$10000&amp;JupData!$J$2:$J$10000,0),11))</f>
        <v/>
      </c>
      <c r="M363" t="str">
        <f t="array" ref="M363">IF($A363="","",INDEX(JupData!$A$2:$K$10000,MATCH($A363&amp;M$1,JupData!$A$2:$A$10000&amp;JupData!$J$2:$J$10000,0),11))</f>
        <v/>
      </c>
      <c r="N363" t="str">
        <f t="array" ref="N363">IF($A363="","",INDEX(JupData!$A$2:$K$10000,MATCH($A363&amp;N$1,JupData!$A$2:$A$10000&amp;JupData!$J$2:$J$10000,0),11))</f>
        <v/>
      </c>
      <c r="O363" t="str">
        <f t="array" ref="O363">IF($A363="","",INDEX(JupData!$A$2:$K$10000,MATCH($A363&amp;O$1,JupData!$A$2:$A$10000&amp;JupData!$J$2:$J$10000,0),11))</f>
        <v/>
      </c>
      <c r="P363" t="str">
        <f t="array" ref="P363">IF($A363="","",INDEX(JupData!$A$2:$K$10000,MATCH($A363&amp;P$1,JupData!$A$2:$A$10000&amp;JupData!$J$2:$J$10000,0),11))</f>
        <v/>
      </c>
      <c r="Q363" t="str">
        <f t="array" ref="Q363">IF($A363="","",INDEX(JupData!$A$2:$K$10000,MATCH($A363&amp;Q$1,JupData!$A$2:$A$10000&amp;JupData!$J$2:$J$10000,0),11))</f>
        <v/>
      </c>
      <c r="R363" t="str">
        <f t="array" ref="R363">IF($A363="","",INDEX(JupData!$A$2:$K$10000,MATCH($A363&amp;R$1,JupData!$A$2:$A$10000&amp;JupData!$J$2:$J$10000,0),11))</f>
        <v/>
      </c>
      <c r="S363" t="str">
        <f t="array" ref="S363">IF($A363="","",INDEX(JupData!$A$2:$K$10000,MATCH($A363&amp;S$1,JupData!$A$2:$A$10000&amp;JupData!$J$2:$J$10000,0),11))</f>
        <v/>
      </c>
      <c r="T363" t="str">
        <f t="array" ref="T363">IF($A363="","",INDEX(JupData!$A$2:$K$10000,MATCH($A363&amp;T$1,JupData!$A$2:$A$10000&amp;JupData!$J$2:$J$10000,0),11))</f>
        <v/>
      </c>
      <c r="U363" t="str">
        <f t="array" ref="U363">IF($A363="","",INDEX(JupData!$A$2:$K$10000,MATCH($A363&amp;U$1,JupData!$A$2:$A$10000&amp;JupData!$J$2:$J$10000,0),11))</f>
        <v/>
      </c>
      <c r="V363" t="str">
        <f t="array" ref="V363">IF($A363="","",INDEX(JupData!$A$2:$K$10000,MATCH($A363&amp;V$1,JupData!$A$2:$A$10000&amp;JupData!$J$2:$J$10000,0),11))</f>
        <v/>
      </c>
      <c r="W363" t="str">
        <f t="array" ref="W363">IF($A363="","",INDEX(JupData!$A$2:$K$10000,MATCH($A363&amp;W$1,JupData!$A$2:$A$10000&amp;JupData!$J$2:$J$10000,0),11))</f>
        <v/>
      </c>
      <c r="X363" t="str">
        <f t="array" ref="X363">IF($A363="","",INDEX(JupData!$A$2:$K$10000,MATCH($A363&amp;X$1,JupData!$A$2:$A$10000&amp;JupData!$J$2:$J$10000,0),11))</f>
        <v/>
      </c>
      <c r="Y363" t="str">
        <f t="array" ref="Y363">IF($A363="","",INDEX(JupData!$A$2:$K$10000,MATCH($A363&amp;Y$1,JupData!$A$2:$A$10000&amp;JupData!$J$2:$J$10000,0),11))</f>
        <v/>
      </c>
      <c r="Z363" t="str">
        <f t="array" ref="Z363">IF($A363="","",INDEX(JupData!$A$2:$K$10000,MATCH($A363&amp;Z$1,JupData!$A$2:$A$10000&amp;JupData!$J$2:$J$10000,0),11))</f>
        <v/>
      </c>
      <c r="AA363" t="str">
        <f t="array" ref="AA363">IF($A363="","",INDEX(JupData!$A$2:$K$10000,MATCH($A363&amp;AA$1,JupData!$A$2:$A$10000&amp;JupData!$J$2:$J$10000,0),11))</f>
        <v/>
      </c>
      <c r="AB363" t="str">
        <f t="array" ref="AB363">IF($A363="","",INDEX(JupData!$A$2:$K$10000,MATCH($A363&amp;AB$1,JupData!$A$2:$A$10000&amp;JupData!$J$2:$J$10000,0),11))</f>
        <v/>
      </c>
      <c r="AC363" s="10" t="str">
        <f t="shared" si="55"/>
        <v/>
      </c>
      <c r="AD363" s="10" t="str">
        <f t="shared" si="56"/>
        <v/>
      </c>
      <c r="AE363" s="9" t="str">
        <f t="shared" si="57"/>
        <v/>
      </c>
      <c r="AF363" s="10" t="str">
        <f t="shared" si="58"/>
        <v/>
      </c>
      <c r="AG363" s="10" t="str">
        <f t="shared" si="59"/>
        <v/>
      </c>
      <c r="AH363" s="10" t="str">
        <f t="shared" si="60"/>
        <v/>
      </c>
      <c r="AI363" s="10" t="str">
        <f t="shared" si="61"/>
        <v/>
      </c>
      <c r="AJ363" s="10" t="str">
        <f t="shared" si="62"/>
        <v/>
      </c>
      <c r="AK363" s="10" t="str">
        <f t="shared" si="63"/>
        <v/>
      </c>
      <c r="AL363" s="14" t="str">
        <f t="shared" si="64"/>
        <v/>
      </c>
    </row>
    <row r="364" spans="1:38" x14ac:dyDescent="0.2">
      <c r="A364"/>
      <c r="B364" t="str">
        <f>IF($A364="","",VLOOKUP($A364,JupData!$A$2:$I$10000,4,FALSE))</f>
        <v/>
      </c>
      <c r="C364" s="7" t="str">
        <f>IF($A364="",IF(N(D364),0,""),VLOOKUP($A364,JupData!$A$2:$I$10000,7,FALSE))</f>
        <v/>
      </c>
      <c r="D364" t="str">
        <f t="shared" si="65"/>
        <v/>
      </c>
      <c r="E364" t="str">
        <f t="array" ref="E364">IF($A364="","",INDEX(JupData!$A$2:$K$10000,MATCH($A364&amp;E$1,JupData!$A$2:$A$10000&amp;JupData!$J$2:$J$10000,0),11))</f>
        <v/>
      </c>
      <c r="F364" t="str">
        <f t="array" ref="F364">IF($A364="","",INDEX(JupData!$A$2:$K$10000,MATCH($A364&amp;F$1,JupData!$A$2:$A$10000&amp;JupData!$J$2:$J$10000,0),11))</f>
        <v/>
      </c>
      <c r="G364" t="str">
        <f t="array" ref="G364">IF($A364="","",INDEX(JupData!$A$2:$K$10000,MATCH($A364&amp;G$1,JupData!$A$2:$A$10000&amp;JupData!$J$2:$J$10000,0),11))</f>
        <v/>
      </c>
      <c r="H364" t="str">
        <f t="array" ref="H364">IF($A364="","",INDEX(JupData!$A$2:$K$10000,MATCH($A364&amp;H$1,JupData!$A$2:$A$10000&amp;JupData!$J$2:$J$10000,0),11))</f>
        <v/>
      </c>
      <c r="I364" t="str">
        <f t="array" ref="I364">IF($A364="","",INDEX(JupData!$A$2:$K$10000,MATCH($A364&amp;I$1,JupData!$A$2:$A$10000&amp;JupData!$J$2:$J$10000,0),11))</f>
        <v/>
      </c>
      <c r="J364" t="str">
        <f t="array" ref="J364">IF($A364="","",INDEX(JupData!$A$2:$K$10000,MATCH($A364&amp;J$1,JupData!$A$2:$A$10000&amp;JupData!$J$2:$J$10000,0),11))</f>
        <v/>
      </c>
      <c r="K364" t="str">
        <f t="array" ref="K364">IF($A364="","",INDEX(JupData!$A$2:$K$10000,MATCH($A364&amp;K$1,JupData!$A$2:$A$10000&amp;JupData!$J$2:$J$10000,0),11))</f>
        <v/>
      </c>
      <c r="L364" t="str">
        <f t="array" ref="L364">IF($A364="","",INDEX(JupData!$A$2:$K$10000,MATCH($A364&amp;L$1,JupData!$A$2:$A$10000&amp;JupData!$J$2:$J$10000,0),11))</f>
        <v/>
      </c>
      <c r="M364" t="str">
        <f t="array" ref="M364">IF($A364="","",INDEX(JupData!$A$2:$K$10000,MATCH($A364&amp;M$1,JupData!$A$2:$A$10000&amp;JupData!$J$2:$J$10000,0),11))</f>
        <v/>
      </c>
      <c r="N364" t="str">
        <f t="array" ref="N364">IF($A364="","",INDEX(JupData!$A$2:$K$10000,MATCH($A364&amp;N$1,JupData!$A$2:$A$10000&amp;JupData!$J$2:$J$10000,0),11))</f>
        <v/>
      </c>
      <c r="O364" t="str">
        <f t="array" ref="O364">IF($A364="","",INDEX(JupData!$A$2:$K$10000,MATCH($A364&amp;O$1,JupData!$A$2:$A$10000&amp;JupData!$J$2:$J$10000,0),11))</f>
        <v/>
      </c>
      <c r="P364" t="str">
        <f t="array" ref="P364">IF($A364="","",INDEX(JupData!$A$2:$K$10000,MATCH($A364&amp;P$1,JupData!$A$2:$A$10000&amp;JupData!$J$2:$J$10000,0),11))</f>
        <v/>
      </c>
      <c r="Q364" t="str">
        <f t="array" ref="Q364">IF($A364="","",INDEX(JupData!$A$2:$K$10000,MATCH($A364&amp;Q$1,JupData!$A$2:$A$10000&amp;JupData!$J$2:$J$10000,0),11))</f>
        <v/>
      </c>
      <c r="R364" t="str">
        <f t="array" ref="R364">IF($A364="","",INDEX(JupData!$A$2:$K$10000,MATCH($A364&amp;R$1,JupData!$A$2:$A$10000&amp;JupData!$J$2:$J$10000,0),11))</f>
        <v/>
      </c>
      <c r="S364" t="str">
        <f t="array" ref="S364">IF($A364="","",INDEX(JupData!$A$2:$K$10000,MATCH($A364&amp;S$1,JupData!$A$2:$A$10000&amp;JupData!$J$2:$J$10000,0),11))</f>
        <v/>
      </c>
      <c r="T364" t="str">
        <f t="array" ref="T364">IF($A364="","",INDEX(JupData!$A$2:$K$10000,MATCH($A364&amp;T$1,JupData!$A$2:$A$10000&amp;JupData!$J$2:$J$10000,0),11))</f>
        <v/>
      </c>
      <c r="U364" t="str">
        <f t="array" ref="U364">IF($A364="","",INDEX(JupData!$A$2:$K$10000,MATCH($A364&amp;U$1,JupData!$A$2:$A$10000&amp;JupData!$J$2:$J$10000,0),11))</f>
        <v/>
      </c>
      <c r="V364" t="str">
        <f t="array" ref="V364">IF($A364="","",INDEX(JupData!$A$2:$K$10000,MATCH($A364&amp;V$1,JupData!$A$2:$A$10000&amp;JupData!$J$2:$J$10000,0),11))</f>
        <v/>
      </c>
      <c r="W364" t="str">
        <f t="array" ref="W364">IF($A364="","",INDEX(JupData!$A$2:$K$10000,MATCH($A364&amp;W$1,JupData!$A$2:$A$10000&amp;JupData!$J$2:$J$10000,0),11))</f>
        <v/>
      </c>
      <c r="X364" t="str">
        <f t="array" ref="X364">IF($A364="","",INDEX(JupData!$A$2:$K$10000,MATCH($A364&amp;X$1,JupData!$A$2:$A$10000&amp;JupData!$J$2:$J$10000,0),11))</f>
        <v/>
      </c>
      <c r="Y364" t="str">
        <f t="array" ref="Y364">IF($A364="","",INDEX(JupData!$A$2:$K$10000,MATCH($A364&amp;Y$1,JupData!$A$2:$A$10000&amp;JupData!$J$2:$J$10000,0),11))</f>
        <v/>
      </c>
      <c r="Z364" t="str">
        <f t="array" ref="Z364">IF($A364="","",INDEX(JupData!$A$2:$K$10000,MATCH($A364&amp;Z$1,JupData!$A$2:$A$10000&amp;JupData!$J$2:$J$10000,0),11))</f>
        <v/>
      </c>
      <c r="AA364" t="str">
        <f t="array" ref="AA364">IF($A364="","",INDEX(JupData!$A$2:$K$10000,MATCH($A364&amp;AA$1,JupData!$A$2:$A$10000&amp;JupData!$J$2:$J$10000,0),11))</f>
        <v/>
      </c>
      <c r="AB364" t="str">
        <f t="array" ref="AB364">IF($A364="","",INDEX(JupData!$A$2:$K$10000,MATCH($A364&amp;AB$1,JupData!$A$2:$A$10000&amp;JupData!$J$2:$J$10000,0),11))</f>
        <v/>
      </c>
      <c r="AC364" s="10" t="str">
        <f t="shared" si="55"/>
        <v/>
      </c>
      <c r="AD364" s="10" t="str">
        <f t="shared" si="56"/>
        <v/>
      </c>
      <c r="AE364" s="9" t="str">
        <f t="shared" si="57"/>
        <v/>
      </c>
      <c r="AF364" s="10" t="str">
        <f t="shared" si="58"/>
        <v/>
      </c>
      <c r="AG364" s="10" t="str">
        <f t="shared" si="59"/>
        <v/>
      </c>
      <c r="AH364" s="10" t="str">
        <f t="shared" si="60"/>
        <v/>
      </c>
      <c r="AI364" s="10" t="str">
        <f t="shared" si="61"/>
        <v/>
      </c>
      <c r="AJ364" s="10" t="str">
        <f t="shared" si="62"/>
        <v/>
      </c>
      <c r="AK364" s="10" t="str">
        <f t="shared" si="63"/>
        <v/>
      </c>
      <c r="AL364" s="14" t="str">
        <f t="shared" si="64"/>
        <v/>
      </c>
    </row>
    <row r="365" spans="1:38" x14ac:dyDescent="0.2">
      <c r="A365"/>
      <c r="B365" t="str">
        <f>IF($A365="","",VLOOKUP($A365,JupData!$A$2:$I$10000,4,FALSE))</f>
        <v/>
      </c>
      <c r="C365" s="7" t="str">
        <f>IF($A365="",IF(N(D365),0,""),VLOOKUP($A365,JupData!$A$2:$I$10000,7,FALSE))</f>
        <v/>
      </c>
      <c r="D365" t="str">
        <f t="shared" si="65"/>
        <v/>
      </c>
      <c r="E365" t="str">
        <f t="array" ref="E365">IF($A365="","",INDEX(JupData!$A$2:$K$10000,MATCH($A365&amp;E$1,JupData!$A$2:$A$10000&amp;JupData!$J$2:$J$10000,0),11))</f>
        <v/>
      </c>
      <c r="F365" t="str">
        <f t="array" ref="F365">IF($A365="","",INDEX(JupData!$A$2:$K$10000,MATCH($A365&amp;F$1,JupData!$A$2:$A$10000&amp;JupData!$J$2:$J$10000,0),11))</f>
        <v/>
      </c>
      <c r="G365" t="str">
        <f t="array" ref="G365">IF($A365="","",INDEX(JupData!$A$2:$K$10000,MATCH($A365&amp;G$1,JupData!$A$2:$A$10000&amp;JupData!$J$2:$J$10000,0),11))</f>
        <v/>
      </c>
      <c r="H365" t="str">
        <f t="array" ref="H365">IF($A365="","",INDEX(JupData!$A$2:$K$10000,MATCH($A365&amp;H$1,JupData!$A$2:$A$10000&amp;JupData!$J$2:$J$10000,0),11))</f>
        <v/>
      </c>
      <c r="I365" t="str">
        <f t="array" ref="I365">IF($A365="","",INDEX(JupData!$A$2:$K$10000,MATCH($A365&amp;I$1,JupData!$A$2:$A$10000&amp;JupData!$J$2:$J$10000,0),11))</f>
        <v/>
      </c>
      <c r="J365" t="str">
        <f t="array" ref="J365">IF($A365="","",INDEX(JupData!$A$2:$K$10000,MATCH($A365&amp;J$1,JupData!$A$2:$A$10000&amp;JupData!$J$2:$J$10000,0),11))</f>
        <v/>
      </c>
      <c r="K365" t="str">
        <f t="array" ref="K365">IF($A365="","",INDEX(JupData!$A$2:$K$10000,MATCH($A365&amp;K$1,JupData!$A$2:$A$10000&amp;JupData!$J$2:$J$10000,0),11))</f>
        <v/>
      </c>
      <c r="L365" t="str">
        <f t="array" ref="L365">IF($A365="","",INDEX(JupData!$A$2:$K$10000,MATCH($A365&amp;L$1,JupData!$A$2:$A$10000&amp;JupData!$J$2:$J$10000,0),11))</f>
        <v/>
      </c>
      <c r="M365" t="str">
        <f t="array" ref="M365">IF($A365="","",INDEX(JupData!$A$2:$K$10000,MATCH($A365&amp;M$1,JupData!$A$2:$A$10000&amp;JupData!$J$2:$J$10000,0),11))</f>
        <v/>
      </c>
      <c r="N365" t="str">
        <f t="array" ref="N365">IF($A365="","",INDEX(JupData!$A$2:$K$10000,MATCH($A365&amp;N$1,JupData!$A$2:$A$10000&amp;JupData!$J$2:$J$10000,0),11))</f>
        <v/>
      </c>
      <c r="O365" t="str">
        <f t="array" ref="O365">IF($A365="","",INDEX(JupData!$A$2:$K$10000,MATCH($A365&amp;O$1,JupData!$A$2:$A$10000&amp;JupData!$J$2:$J$10000,0),11))</f>
        <v/>
      </c>
      <c r="P365" t="str">
        <f t="array" ref="P365">IF($A365="","",INDEX(JupData!$A$2:$K$10000,MATCH($A365&amp;P$1,JupData!$A$2:$A$10000&amp;JupData!$J$2:$J$10000,0),11))</f>
        <v/>
      </c>
      <c r="Q365" t="str">
        <f t="array" ref="Q365">IF($A365="","",INDEX(JupData!$A$2:$K$10000,MATCH($A365&amp;Q$1,JupData!$A$2:$A$10000&amp;JupData!$J$2:$J$10000,0),11))</f>
        <v/>
      </c>
      <c r="R365" t="str">
        <f t="array" ref="R365">IF($A365="","",INDEX(JupData!$A$2:$K$10000,MATCH($A365&amp;R$1,JupData!$A$2:$A$10000&amp;JupData!$J$2:$J$10000,0),11))</f>
        <v/>
      </c>
      <c r="S365" t="str">
        <f t="array" ref="S365">IF($A365="","",INDEX(JupData!$A$2:$K$10000,MATCH($A365&amp;S$1,JupData!$A$2:$A$10000&amp;JupData!$J$2:$J$10000,0),11))</f>
        <v/>
      </c>
      <c r="T365" t="str">
        <f t="array" ref="T365">IF($A365="","",INDEX(JupData!$A$2:$K$10000,MATCH($A365&amp;T$1,JupData!$A$2:$A$10000&amp;JupData!$J$2:$J$10000,0),11))</f>
        <v/>
      </c>
      <c r="U365" t="str">
        <f t="array" ref="U365">IF($A365="","",INDEX(JupData!$A$2:$K$10000,MATCH($A365&amp;U$1,JupData!$A$2:$A$10000&amp;JupData!$J$2:$J$10000,0),11))</f>
        <v/>
      </c>
      <c r="V365" t="str">
        <f t="array" ref="V365">IF($A365="","",INDEX(JupData!$A$2:$K$10000,MATCH($A365&amp;V$1,JupData!$A$2:$A$10000&amp;JupData!$J$2:$J$10000,0),11))</f>
        <v/>
      </c>
      <c r="W365" t="str">
        <f t="array" ref="W365">IF($A365="","",INDEX(JupData!$A$2:$K$10000,MATCH($A365&amp;W$1,JupData!$A$2:$A$10000&amp;JupData!$J$2:$J$10000,0),11))</f>
        <v/>
      </c>
      <c r="X365" t="str">
        <f t="array" ref="X365">IF($A365="","",INDEX(JupData!$A$2:$K$10000,MATCH($A365&amp;X$1,JupData!$A$2:$A$10000&amp;JupData!$J$2:$J$10000,0),11))</f>
        <v/>
      </c>
      <c r="Y365" t="str">
        <f t="array" ref="Y365">IF($A365="","",INDEX(JupData!$A$2:$K$10000,MATCH($A365&amp;Y$1,JupData!$A$2:$A$10000&amp;JupData!$J$2:$J$10000,0),11))</f>
        <v/>
      </c>
      <c r="Z365" t="str">
        <f t="array" ref="Z365">IF($A365="","",INDEX(JupData!$A$2:$K$10000,MATCH($A365&amp;Z$1,JupData!$A$2:$A$10000&amp;JupData!$J$2:$J$10000,0),11))</f>
        <v/>
      </c>
      <c r="AA365" t="str">
        <f t="array" ref="AA365">IF($A365="","",INDEX(JupData!$A$2:$K$10000,MATCH($A365&amp;AA$1,JupData!$A$2:$A$10000&amp;JupData!$J$2:$J$10000,0),11))</f>
        <v/>
      </c>
      <c r="AB365" t="str">
        <f t="array" ref="AB365">IF($A365="","",INDEX(JupData!$A$2:$K$10000,MATCH($A365&amp;AB$1,JupData!$A$2:$A$10000&amp;JupData!$J$2:$J$10000,0),11))</f>
        <v/>
      </c>
      <c r="AC365" s="10" t="str">
        <f t="shared" si="55"/>
        <v/>
      </c>
      <c r="AD365" s="10" t="str">
        <f t="shared" si="56"/>
        <v/>
      </c>
      <c r="AE365" s="9" t="str">
        <f t="shared" si="57"/>
        <v/>
      </c>
      <c r="AF365" s="10" t="str">
        <f t="shared" si="58"/>
        <v/>
      </c>
      <c r="AG365" s="10" t="str">
        <f t="shared" si="59"/>
        <v/>
      </c>
      <c r="AH365" s="10" t="str">
        <f t="shared" si="60"/>
        <v/>
      </c>
      <c r="AI365" s="10" t="str">
        <f t="shared" si="61"/>
        <v/>
      </c>
      <c r="AJ365" s="10" t="str">
        <f t="shared" si="62"/>
        <v/>
      </c>
      <c r="AK365" s="10" t="str">
        <f t="shared" si="63"/>
        <v/>
      </c>
      <c r="AL365" s="14" t="str">
        <f t="shared" si="64"/>
        <v/>
      </c>
    </row>
    <row r="366" spans="1:38" x14ac:dyDescent="0.2">
      <c r="A366"/>
      <c r="B366" t="str">
        <f>IF($A366="","",VLOOKUP($A366,JupData!$A$2:$I$10000,4,FALSE))</f>
        <v/>
      </c>
      <c r="C366" s="7" t="str">
        <f>IF($A366="",IF(N(D366),0,""),VLOOKUP($A366,JupData!$A$2:$I$10000,7,FALSE))</f>
        <v/>
      </c>
      <c r="D366" t="str">
        <f t="shared" si="65"/>
        <v/>
      </c>
      <c r="E366" t="str">
        <f t="array" ref="E366">IF($A366="","",INDEX(JupData!$A$2:$K$10000,MATCH($A366&amp;E$1,JupData!$A$2:$A$10000&amp;JupData!$J$2:$J$10000,0),11))</f>
        <v/>
      </c>
      <c r="F366" t="str">
        <f t="array" ref="F366">IF($A366="","",INDEX(JupData!$A$2:$K$10000,MATCH($A366&amp;F$1,JupData!$A$2:$A$10000&amp;JupData!$J$2:$J$10000,0),11))</f>
        <v/>
      </c>
      <c r="G366" t="str">
        <f t="array" ref="G366">IF($A366="","",INDEX(JupData!$A$2:$K$10000,MATCH($A366&amp;G$1,JupData!$A$2:$A$10000&amp;JupData!$J$2:$J$10000,0),11))</f>
        <v/>
      </c>
      <c r="H366" t="str">
        <f t="array" ref="H366">IF($A366="","",INDEX(JupData!$A$2:$K$10000,MATCH($A366&amp;H$1,JupData!$A$2:$A$10000&amp;JupData!$J$2:$J$10000,0),11))</f>
        <v/>
      </c>
      <c r="I366" t="str">
        <f t="array" ref="I366">IF($A366="","",INDEX(JupData!$A$2:$K$10000,MATCH($A366&amp;I$1,JupData!$A$2:$A$10000&amp;JupData!$J$2:$J$10000,0),11))</f>
        <v/>
      </c>
      <c r="J366" t="str">
        <f t="array" ref="J366">IF($A366="","",INDEX(JupData!$A$2:$K$10000,MATCH($A366&amp;J$1,JupData!$A$2:$A$10000&amp;JupData!$J$2:$J$10000,0),11))</f>
        <v/>
      </c>
      <c r="K366" t="str">
        <f t="array" ref="K366">IF($A366="","",INDEX(JupData!$A$2:$K$10000,MATCH($A366&amp;K$1,JupData!$A$2:$A$10000&amp;JupData!$J$2:$J$10000,0),11))</f>
        <v/>
      </c>
      <c r="L366" t="str">
        <f t="array" ref="L366">IF($A366="","",INDEX(JupData!$A$2:$K$10000,MATCH($A366&amp;L$1,JupData!$A$2:$A$10000&amp;JupData!$J$2:$J$10000,0),11))</f>
        <v/>
      </c>
      <c r="M366" t="str">
        <f t="array" ref="M366">IF($A366="","",INDEX(JupData!$A$2:$K$10000,MATCH($A366&amp;M$1,JupData!$A$2:$A$10000&amp;JupData!$J$2:$J$10000,0),11))</f>
        <v/>
      </c>
      <c r="N366" t="str">
        <f t="array" ref="N366">IF($A366="","",INDEX(JupData!$A$2:$K$10000,MATCH($A366&amp;N$1,JupData!$A$2:$A$10000&amp;JupData!$J$2:$J$10000,0),11))</f>
        <v/>
      </c>
      <c r="O366" t="str">
        <f t="array" ref="O366">IF($A366="","",INDEX(JupData!$A$2:$K$10000,MATCH($A366&amp;O$1,JupData!$A$2:$A$10000&amp;JupData!$J$2:$J$10000,0),11))</f>
        <v/>
      </c>
      <c r="P366" t="str">
        <f t="array" ref="P366">IF($A366="","",INDEX(JupData!$A$2:$K$10000,MATCH($A366&amp;P$1,JupData!$A$2:$A$10000&amp;JupData!$J$2:$J$10000,0),11))</f>
        <v/>
      </c>
      <c r="Q366" t="str">
        <f t="array" ref="Q366">IF($A366="","",INDEX(JupData!$A$2:$K$10000,MATCH($A366&amp;Q$1,JupData!$A$2:$A$10000&amp;JupData!$J$2:$J$10000,0),11))</f>
        <v/>
      </c>
      <c r="R366" t="str">
        <f t="array" ref="R366">IF($A366="","",INDEX(JupData!$A$2:$K$10000,MATCH($A366&amp;R$1,JupData!$A$2:$A$10000&amp;JupData!$J$2:$J$10000,0),11))</f>
        <v/>
      </c>
      <c r="S366" t="str">
        <f t="array" ref="S366">IF($A366="","",INDEX(JupData!$A$2:$K$10000,MATCH($A366&amp;S$1,JupData!$A$2:$A$10000&amp;JupData!$J$2:$J$10000,0),11))</f>
        <v/>
      </c>
      <c r="T366" t="str">
        <f t="array" ref="T366">IF($A366="","",INDEX(JupData!$A$2:$K$10000,MATCH($A366&amp;T$1,JupData!$A$2:$A$10000&amp;JupData!$J$2:$J$10000,0),11))</f>
        <v/>
      </c>
      <c r="U366" t="str">
        <f t="array" ref="U366">IF($A366="","",INDEX(JupData!$A$2:$K$10000,MATCH($A366&amp;U$1,JupData!$A$2:$A$10000&amp;JupData!$J$2:$J$10000,0),11))</f>
        <v/>
      </c>
      <c r="V366" t="str">
        <f t="array" ref="V366">IF($A366="","",INDEX(JupData!$A$2:$K$10000,MATCH($A366&amp;V$1,JupData!$A$2:$A$10000&amp;JupData!$J$2:$J$10000,0),11))</f>
        <v/>
      </c>
      <c r="W366" t="str">
        <f t="array" ref="W366">IF($A366="","",INDEX(JupData!$A$2:$K$10000,MATCH($A366&amp;W$1,JupData!$A$2:$A$10000&amp;JupData!$J$2:$J$10000,0),11))</f>
        <v/>
      </c>
      <c r="X366" t="str">
        <f t="array" ref="X366">IF($A366="","",INDEX(JupData!$A$2:$K$10000,MATCH($A366&amp;X$1,JupData!$A$2:$A$10000&amp;JupData!$J$2:$J$10000,0),11))</f>
        <v/>
      </c>
      <c r="Y366" t="str">
        <f t="array" ref="Y366">IF($A366="","",INDEX(JupData!$A$2:$K$10000,MATCH($A366&amp;Y$1,JupData!$A$2:$A$10000&amp;JupData!$J$2:$J$10000,0),11))</f>
        <v/>
      </c>
      <c r="Z366" t="str">
        <f t="array" ref="Z366">IF($A366="","",INDEX(JupData!$A$2:$K$10000,MATCH($A366&amp;Z$1,JupData!$A$2:$A$10000&amp;JupData!$J$2:$J$10000,0),11))</f>
        <v/>
      </c>
      <c r="AA366" t="str">
        <f t="array" ref="AA366">IF($A366="","",INDEX(JupData!$A$2:$K$10000,MATCH($A366&amp;AA$1,JupData!$A$2:$A$10000&amp;JupData!$J$2:$J$10000,0),11))</f>
        <v/>
      </c>
      <c r="AB366" t="str">
        <f t="array" ref="AB366">IF($A366="","",INDEX(JupData!$A$2:$K$10000,MATCH($A366&amp;AB$1,JupData!$A$2:$A$10000&amp;JupData!$J$2:$J$10000,0),11))</f>
        <v/>
      </c>
      <c r="AC366" s="10" t="str">
        <f t="shared" si="55"/>
        <v/>
      </c>
      <c r="AD366" s="10" t="str">
        <f t="shared" si="56"/>
        <v/>
      </c>
      <c r="AE366" s="9" t="str">
        <f t="shared" si="57"/>
        <v/>
      </c>
      <c r="AF366" s="10" t="str">
        <f t="shared" si="58"/>
        <v/>
      </c>
      <c r="AG366" s="10" t="str">
        <f t="shared" si="59"/>
        <v/>
      </c>
      <c r="AH366" s="10" t="str">
        <f t="shared" si="60"/>
        <v/>
      </c>
      <c r="AI366" s="10" t="str">
        <f t="shared" si="61"/>
        <v/>
      </c>
      <c r="AJ366" s="10" t="str">
        <f t="shared" si="62"/>
        <v/>
      </c>
      <c r="AK366" s="10" t="str">
        <f t="shared" si="63"/>
        <v/>
      </c>
      <c r="AL366" s="14" t="str">
        <f t="shared" si="64"/>
        <v/>
      </c>
    </row>
    <row r="367" spans="1:38" x14ac:dyDescent="0.2">
      <c r="A367"/>
      <c r="B367" t="str">
        <f>IF($A367="","",VLOOKUP($A367,JupData!$A$2:$I$10000,4,FALSE))</f>
        <v/>
      </c>
      <c r="C367" s="7" t="str">
        <f>IF($A367="",IF(N(D367),0,""),VLOOKUP($A367,JupData!$A$2:$I$10000,7,FALSE))</f>
        <v/>
      </c>
      <c r="D367" t="str">
        <f t="shared" si="65"/>
        <v/>
      </c>
      <c r="E367" t="str">
        <f t="array" ref="E367">IF($A367="","",INDEX(JupData!$A$2:$K$10000,MATCH($A367&amp;E$1,JupData!$A$2:$A$10000&amp;JupData!$J$2:$J$10000,0),11))</f>
        <v/>
      </c>
      <c r="F367" t="str">
        <f t="array" ref="F367">IF($A367="","",INDEX(JupData!$A$2:$K$10000,MATCH($A367&amp;F$1,JupData!$A$2:$A$10000&amp;JupData!$J$2:$J$10000,0),11))</f>
        <v/>
      </c>
      <c r="G367" t="str">
        <f t="array" ref="G367">IF($A367="","",INDEX(JupData!$A$2:$K$10000,MATCH($A367&amp;G$1,JupData!$A$2:$A$10000&amp;JupData!$J$2:$J$10000,0),11))</f>
        <v/>
      </c>
      <c r="H367" t="str">
        <f t="array" ref="H367">IF($A367="","",INDEX(JupData!$A$2:$K$10000,MATCH($A367&amp;H$1,JupData!$A$2:$A$10000&amp;JupData!$J$2:$J$10000,0),11))</f>
        <v/>
      </c>
      <c r="I367" t="str">
        <f t="array" ref="I367">IF($A367="","",INDEX(JupData!$A$2:$K$10000,MATCH($A367&amp;I$1,JupData!$A$2:$A$10000&amp;JupData!$J$2:$J$10000,0),11))</f>
        <v/>
      </c>
      <c r="J367" t="str">
        <f t="array" ref="J367">IF($A367="","",INDEX(JupData!$A$2:$K$10000,MATCH($A367&amp;J$1,JupData!$A$2:$A$10000&amp;JupData!$J$2:$J$10000,0),11))</f>
        <v/>
      </c>
      <c r="K367" t="str">
        <f t="array" ref="K367">IF($A367="","",INDEX(JupData!$A$2:$K$10000,MATCH($A367&amp;K$1,JupData!$A$2:$A$10000&amp;JupData!$J$2:$J$10000,0),11))</f>
        <v/>
      </c>
      <c r="L367" t="str">
        <f t="array" ref="L367">IF($A367="","",INDEX(JupData!$A$2:$K$10000,MATCH($A367&amp;L$1,JupData!$A$2:$A$10000&amp;JupData!$J$2:$J$10000,0),11))</f>
        <v/>
      </c>
      <c r="M367" t="str">
        <f t="array" ref="M367">IF($A367="","",INDEX(JupData!$A$2:$K$10000,MATCH($A367&amp;M$1,JupData!$A$2:$A$10000&amp;JupData!$J$2:$J$10000,0),11))</f>
        <v/>
      </c>
      <c r="N367" t="str">
        <f t="array" ref="N367">IF($A367="","",INDEX(JupData!$A$2:$K$10000,MATCH($A367&amp;N$1,JupData!$A$2:$A$10000&amp;JupData!$J$2:$J$10000,0),11))</f>
        <v/>
      </c>
      <c r="O367" t="str">
        <f t="array" ref="O367">IF($A367="","",INDEX(JupData!$A$2:$K$10000,MATCH($A367&amp;O$1,JupData!$A$2:$A$10000&amp;JupData!$J$2:$J$10000,0),11))</f>
        <v/>
      </c>
      <c r="P367" t="str">
        <f t="array" ref="P367">IF($A367="","",INDEX(JupData!$A$2:$K$10000,MATCH($A367&amp;P$1,JupData!$A$2:$A$10000&amp;JupData!$J$2:$J$10000,0),11))</f>
        <v/>
      </c>
      <c r="Q367" t="str">
        <f t="array" ref="Q367">IF($A367="","",INDEX(JupData!$A$2:$K$10000,MATCH($A367&amp;Q$1,JupData!$A$2:$A$10000&amp;JupData!$J$2:$J$10000,0),11))</f>
        <v/>
      </c>
      <c r="R367" t="str">
        <f t="array" ref="R367">IF($A367="","",INDEX(JupData!$A$2:$K$10000,MATCH($A367&amp;R$1,JupData!$A$2:$A$10000&amp;JupData!$J$2:$J$10000,0),11))</f>
        <v/>
      </c>
      <c r="S367" t="str">
        <f t="array" ref="S367">IF($A367="","",INDEX(JupData!$A$2:$K$10000,MATCH($A367&amp;S$1,JupData!$A$2:$A$10000&amp;JupData!$J$2:$J$10000,0),11))</f>
        <v/>
      </c>
      <c r="T367" t="str">
        <f t="array" ref="T367">IF($A367="","",INDEX(JupData!$A$2:$K$10000,MATCH($A367&amp;T$1,JupData!$A$2:$A$10000&amp;JupData!$J$2:$J$10000,0),11))</f>
        <v/>
      </c>
      <c r="U367" t="str">
        <f t="array" ref="U367">IF($A367="","",INDEX(JupData!$A$2:$K$10000,MATCH($A367&amp;U$1,JupData!$A$2:$A$10000&amp;JupData!$J$2:$J$10000,0),11))</f>
        <v/>
      </c>
      <c r="V367" t="str">
        <f t="array" ref="V367">IF($A367="","",INDEX(JupData!$A$2:$K$10000,MATCH($A367&amp;V$1,JupData!$A$2:$A$10000&amp;JupData!$J$2:$J$10000,0),11))</f>
        <v/>
      </c>
      <c r="W367" t="str">
        <f t="array" ref="W367">IF($A367="","",INDEX(JupData!$A$2:$K$10000,MATCH($A367&amp;W$1,JupData!$A$2:$A$10000&amp;JupData!$J$2:$J$10000,0),11))</f>
        <v/>
      </c>
      <c r="X367" t="str">
        <f t="array" ref="X367">IF($A367="","",INDEX(JupData!$A$2:$K$10000,MATCH($A367&amp;X$1,JupData!$A$2:$A$10000&amp;JupData!$J$2:$J$10000,0),11))</f>
        <v/>
      </c>
      <c r="Y367" t="str">
        <f t="array" ref="Y367">IF($A367="","",INDEX(JupData!$A$2:$K$10000,MATCH($A367&amp;Y$1,JupData!$A$2:$A$10000&amp;JupData!$J$2:$J$10000,0),11))</f>
        <v/>
      </c>
      <c r="Z367" t="str">
        <f t="array" ref="Z367">IF($A367="","",INDEX(JupData!$A$2:$K$10000,MATCH($A367&amp;Z$1,JupData!$A$2:$A$10000&amp;JupData!$J$2:$J$10000,0),11))</f>
        <v/>
      </c>
      <c r="AA367" t="str">
        <f t="array" ref="AA367">IF($A367="","",INDEX(JupData!$A$2:$K$10000,MATCH($A367&amp;AA$1,JupData!$A$2:$A$10000&amp;JupData!$J$2:$J$10000,0),11))</f>
        <v/>
      </c>
      <c r="AB367" t="str">
        <f t="array" ref="AB367">IF($A367="","",INDEX(JupData!$A$2:$K$10000,MATCH($A367&amp;AB$1,JupData!$A$2:$A$10000&amp;JupData!$J$2:$J$10000,0),11))</f>
        <v/>
      </c>
      <c r="AC367" s="10" t="str">
        <f t="shared" si="55"/>
        <v/>
      </c>
      <c r="AD367" s="10" t="str">
        <f t="shared" si="56"/>
        <v/>
      </c>
      <c r="AE367" s="9" t="str">
        <f t="shared" si="57"/>
        <v/>
      </c>
      <c r="AF367" s="10" t="str">
        <f t="shared" si="58"/>
        <v/>
      </c>
      <c r="AG367" s="10" t="str">
        <f t="shared" si="59"/>
        <v/>
      </c>
      <c r="AH367" s="10" t="str">
        <f t="shared" si="60"/>
        <v/>
      </c>
      <c r="AI367" s="10" t="str">
        <f t="shared" si="61"/>
        <v/>
      </c>
      <c r="AJ367" s="10" t="str">
        <f t="shared" si="62"/>
        <v/>
      </c>
      <c r="AK367" s="10" t="str">
        <f t="shared" si="63"/>
        <v/>
      </c>
      <c r="AL367" s="14" t="str">
        <f t="shared" si="64"/>
        <v/>
      </c>
    </row>
    <row r="368" spans="1:38" x14ac:dyDescent="0.2">
      <c r="A368"/>
      <c r="B368" t="str">
        <f>IF($A368="","",VLOOKUP($A368,JupData!$A$2:$I$10000,4,FALSE))</f>
        <v/>
      </c>
      <c r="C368" s="7" t="str">
        <f>IF($A368="",IF(N(D368),0,""),VLOOKUP($A368,JupData!$A$2:$I$10000,7,FALSE))</f>
        <v/>
      </c>
      <c r="D368" t="str">
        <f t="shared" si="65"/>
        <v/>
      </c>
      <c r="E368" t="str">
        <f t="array" ref="E368">IF($A368="","",INDEX(JupData!$A$2:$K$10000,MATCH($A368&amp;E$1,JupData!$A$2:$A$10000&amp;JupData!$J$2:$J$10000,0),11))</f>
        <v/>
      </c>
      <c r="F368" t="str">
        <f t="array" ref="F368">IF($A368="","",INDEX(JupData!$A$2:$K$10000,MATCH($A368&amp;F$1,JupData!$A$2:$A$10000&amp;JupData!$J$2:$J$10000,0),11))</f>
        <v/>
      </c>
      <c r="G368" t="str">
        <f t="array" ref="G368">IF($A368="","",INDEX(JupData!$A$2:$K$10000,MATCH($A368&amp;G$1,JupData!$A$2:$A$10000&amp;JupData!$J$2:$J$10000,0),11))</f>
        <v/>
      </c>
      <c r="H368" t="str">
        <f t="array" ref="H368">IF($A368="","",INDEX(JupData!$A$2:$K$10000,MATCH($A368&amp;H$1,JupData!$A$2:$A$10000&amp;JupData!$J$2:$J$10000,0),11))</f>
        <v/>
      </c>
      <c r="I368" t="str">
        <f t="array" ref="I368">IF($A368="","",INDEX(JupData!$A$2:$K$10000,MATCH($A368&amp;I$1,JupData!$A$2:$A$10000&amp;JupData!$J$2:$J$10000,0),11))</f>
        <v/>
      </c>
      <c r="J368" t="str">
        <f t="array" ref="J368">IF($A368="","",INDEX(JupData!$A$2:$K$10000,MATCH($A368&amp;J$1,JupData!$A$2:$A$10000&amp;JupData!$J$2:$J$10000,0),11))</f>
        <v/>
      </c>
      <c r="K368" t="str">
        <f t="array" ref="K368">IF($A368="","",INDEX(JupData!$A$2:$K$10000,MATCH($A368&amp;K$1,JupData!$A$2:$A$10000&amp;JupData!$J$2:$J$10000,0),11))</f>
        <v/>
      </c>
      <c r="L368" t="str">
        <f t="array" ref="L368">IF($A368="","",INDEX(JupData!$A$2:$K$10000,MATCH($A368&amp;L$1,JupData!$A$2:$A$10000&amp;JupData!$J$2:$J$10000,0),11))</f>
        <v/>
      </c>
      <c r="M368" t="str">
        <f t="array" ref="M368">IF($A368="","",INDEX(JupData!$A$2:$K$10000,MATCH($A368&amp;M$1,JupData!$A$2:$A$10000&amp;JupData!$J$2:$J$10000,0),11))</f>
        <v/>
      </c>
      <c r="N368" t="str">
        <f t="array" ref="N368">IF($A368="","",INDEX(JupData!$A$2:$K$10000,MATCH($A368&amp;N$1,JupData!$A$2:$A$10000&amp;JupData!$J$2:$J$10000,0),11))</f>
        <v/>
      </c>
      <c r="O368" t="str">
        <f t="array" ref="O368">IF($A368="","",INDEX(JupData!$A$2:$K$10000,MATCH($A368&amp;O$1,JupData!$A$2:$A$10000&amp;JupData!$J$2:$J$10000,0),11))</f>
        <v/>
      </c>
      <c r="P368" t="str">
        <f t="array" ref="P368">IF($A368="","",INDEX(JupData!$A$2:$K$10000,MATCH($A368&amp;P$1,JupData!$A$2:$A$10000&amp;JupData!$J$2:$J$10000,0),11))</f>
        <v/>
      </c>
      <c r="Q368" t="str">
        <f t="array" ref="Q368">IF($A368="","",INDEX(JupData!$A$2:$K$10000,MATCH($A368&amp;Q$1,JupData!$A$2:$A$10000&amp;JupData!$J$2:$J$10000,0),11))</f>
        <v/>
      </c>
      <c r="R368" t="str">
        <f t="array" ref="R368">IF($A368="","",INDEX(JupData!$A$2:$K$10000,MATCH($A368&amp;R$1,JupData!$A$2:$A$10000&amp;JupData!$J$2:$J$10000,0),11))</f>
        <v/>
      </c>
      <c r="S368" t="str">
        <f t="array" ref="S368">IF($A368="","",INDEX(JupData!$A$2:$K$10000,MATCH($A368&amp;S$1,JupData!$A$2:$A$10000&amp;JupData!$J$2:$J$10000,0),11))</f>
        <v/>
      </c>
      <c r="T368" t="str">
        <f t="array" ref="T368">IF($A368="","",INDEX(JupData!$A$2:$K$10000,MATCH($A368&amp;T$1,JupData!$A$2:$A$10000&amp;JupData!$J$2:$J$10000,0),11))</f>
        <v/>
      </c>
      <c r="U368" t="str">
        <f t="array" ref="U368">IF($A368="","",INDEX(JupData!$A$2:$K$10000,MATCH($A368&amp;U$1,JupData!$A$2:$A$10000&amp;JupData!$J$2:$J$10000,0),11))</f>
        <v/>
      </c>
      <c r="V368" t="str">
        <f t="array" ref="V368">IF($A368="","",INDEX(JupData!$A$2:$K$10000,MATCH($A368&amp;V$1,JupData!$A$2:$A$10000&amp;JupData!$J$2:$J$10000,0),11))</f>
        <v/>
      </c>
      <c r="W368" t="str">
        <f t="array" ref="W368">IF($A368="","",INDEX(JupData!$A$2:$K$10000,MATCH($A368&amp;W$1,JupData!$A$2:$A$10000&amp;JupData!$J$2:$J$10000,0),11))</f>
        <v/>
      </c>
      <c r="X368" t="str">
        <f t="array" ref="X368">IF($A368="","",INDEX(JupData!$A$2:$K$10000,MATCH($A368&amp;X$1,JupData!$A$2:$A$10000&amp;JupData!$J$2:$J$10000,0),11))</f>
        <v/>
      </c>
      <c r="Y368" t="str">
        <f t="array" ref="Y368">IF($A368="","",INDEX(JupData!$A$2:$K$10000,MATCH($A368&amp;Y$1,JupData!$A$2:$A$10000&amp;JupData!$J$2:$J$10000,0),11))</f>
        <v/>
      </c>
      <c r="Z368" t="str">
        <f t="array" ref="Z368">IF($A368="","",INDEX(JupData!$A$2:$K$10000,MATCH($A368&amp;Z$1,JupData!$A$2:$A$10000&amp;JupData!$J$2:$J$10000,0),11))</f>
        <v/>
      </c>
      <c r="AA368" t="str">
        <f t="array" ref="AA368">IF($A368="","",INDEX(JupData!$A$2:$K$10000,MATCH($A368&amp;AA$1,JupData!$A$2:$A$10000&amp;JupData!$J$2:$J$10000,0),11))</f>
        <v/>
      </c>
      <c r="AB368" t="str">
        <f t="array" ref="AB368">IF($A368="","",INDEX(JupData!$A$2:$K$10000,MATCH($A368&amp;AB$1,JupData!$A$2:$A$10000&amp;JupData!$J$2:$J$10000,0),11))</f>
        <v/>
      </c>
      <c r="AC368" s="10" t="str">
        <f t="shared" si="55"/>
        <v/>
      </c>
      <c r="AD368" s="10" t="str">
        <f t="shared" si="56"/>
        <v/>
      </c>
      <c r="AE368" s="9" t="str">
        <f t="shared" si="57"/>
        <v/>
      </c>
      <c r="AF368" s="10" t="str">
        <f t="shared" si="58"/>
        <v/>
      </c>
      <c r="AG368" s="10" t="str">
        <f t="shared" si="59"/>
        <v/>
      </c>
      <c r="AH368" s="10" t="str">
        <f t="shared" si="60"/>
        <v/>
      </c>
      <c r="AI368" s="10" t="str">
        <f t="shared" si="61"/>
        <v/>
      </c>
      <c r="AJ368" s="10" t="str">
        <f t="shared" si="62"/>
        <v/>
      </c>
      <c r="AK368" s="10" t="str">
        <f t="shared" si="63"/>
        <v/>
      </c>
      <c r="AL368" s="14" t="str">
        <f t="shared" si="64"/>
        <v/>
      </c>
    </row>
    <row r="369" spans="1:38" x14ac:dyDescent="0.2">
      <c r="A369"/>
      <c r="B369" t="str">
        <f>IF($A369="","",VLOOKUP($A369,JupData!$A$2:$I$10000,4,FALSE))</f>
        <v/>
      </c>
      <c r="C369" s="7" t="str">
        <f>IF($A369="",IF(N(D369),0,""),VLOOKUP($A369,JupData!$A$2:$I$10000,7,FALSE))</f>
        <v/>
      </c>
      <c r="D369" t="str">
        <f t="shared" si="65"/>
        <v/>
      </c>
      <c r="E369" t="str">
        <f t="array" ref="E369">IF($A369="","",INDEX(JupData!$A$2:$K$10000,MATCH($A369&amp;E$1,JupData!$A$2:$A$10000&amp;JupData!$J$2:$J$10000,0),11))</f>
        <v/>
      </c>
      <c r="F369" t="str">
        <f t="array" ref="F369">IF($A369="","",INDEX(JupData!$A$2:$K$10000,MATCH($A369&amp;F$1,JupData!$A$2:$A$10000&amp;JupData!$J$2:$J$10000,0),11))</f>
        <v/>
      </c>
      <c r="G369" t="str">
        <f t="array" ref="G369">IF($A369="","",INDEX(JupData!$A$2:$K$10000,MATCH($A369&amp;G$1,JupData!$A$2:$A$10000&amp;JupData!$J$2:$J$10000,0),11))</f>
        <v/>
      </c>
      <c r="H369" t="str">
        <f t="array" ref="H369">IF($A369="","",INDEX(JupData!$A$2:$K$10000,MATCH($A369&amp;H$1,JupData!$A$2:$A$10000&amp;JupData!$J$2:$J$10000,0),11))</f>
        <v/>
      </c>
      <c r="I369" t="str">
        <f t="array" ref="I369">IF($A369="","",INDEX(JupData!$A$2:$K$10000,MATCH($A369&amp;I$1,JupData!$A$2:$A$10000&amp;JupData!$J$2:$J$10000,0),11))</f>
        <v/>
      </c>
      <c r="J369" t="str">
        <f t="array" ref="J369">IF($A369="","",INDEX(JupData!$A$2:$K$10000,MATCH($A369&amp;J$1,JupData!$A$2:$A$10000&amp;JupData!$J$2:$J$10000,0),11))</f>
        <v/>
      </c>
      <c r="K369" t="str">
        <f t="array" ref="K369">IF($A369="","",INDEX(JupData!$A$2:$K$10000,MATCH($A369&amp;K$1,JupData!$A$2:$A$10000&amp;JupData!$J$2:$J$10000,0),11))</f>
        <v/>
      </c>
      <c r="L369" t="str">
        <f t="array" ref="L369">IF($A369="","",INDEX(JupData!$A$2:$K$10000,MATCH($A369&amp;L$1,JupData!$A$2:$A$10000&amp;JupData!$J$2:$J$10000,0),11))</f>
        <v/>
      </c>
      <c r="M369" t="str">
        <f t="array" ref="M369">IF($A369="","",INDEX(JupData!$A$2:$K$10000,MATCH($A369&amp;M$1,JupData!$A$2:$A$10000&amp;JupData!$J$2:$J$10000,0),11))</f>
        <v/>
      </c>
      <c r="N369" t="str">
        <f t="array" ref="N369">IF($A369="","",INDEX(JupData!$A$2:$K$10000,MATCH($A369&amp;N$1,JupData!$A$2:$A$10000&amp;JupData!$J$2:$J$10000,0),11))</f>
        <v/>
      </c>
      <c r="O369" t="str">
        <f t="array" ref="O369">IF($A369="","",INDEX(JupData!$A$2:$K$10000,MATCH($A369&amp;O$1,JupData!$A$2:$A$10000&amp;JupData!$J$2:$J$10000,0),11))</f>
        <v/>
      </c>
      <c r="P369" t="str">
        <f t="array" ref="P369">IF($A369="","",INDEX(JupData!$A$2:$K$10000,MATCH($A369&amp;P$1,JupData!$A$2:$A$10000&amp;JupData!$J$2:$J$10000,0),11))</f>
        <v/>
      </c>
      <c r="Q369" t="str">
        <f t="array" ref="Q369">IF($A369="","",INDEX(JupData!$A$2:$K$10000,MATCH($A369&amp;Q$1,JupData!$A$2:$A$10000&amp;JupData!$J$2:$J$10000,0),11))</f>
        <v/>
      </c>
      <c r="R369" t="str">
        <f t="array" ref="R369">IF($A369="","",INDEX(JupData!$A$2:$K$10000,MATCH($A369&amp;R$1,JupData!$A$2:$A$10000&amp;JupData!$J$2:$J$10000,0),11))</f>
        <v/>
      </c>
      <c r="S369" t="str">
        <f t="array" ref="S369">IF($A369="","",INDEX(JupData!$A$2:$K$10000,MATCH($A369&amp;S$1,JupData!$A$2:$A$10000&amp;JupData!$J$2:$J$10000,0),11))</f>
        <v/>
      </c>
      <c r="T369" t="str">
        <f t="array" ref="T369">IF($A369="","",INDEX(JupData!$A$2:$K$10000,MATCH($A369&amp;T$1,JupData!$A$2:$A$10000&amp;JupData!$J$2:$J$10000,0),11))</f>
        <v/>
      </c>
      <c r="U369" t="str">
        <f t="array" ref="U369">IF($A369="","",INDEX(JupData!$A$2:$K$10000,MATCH($A369&amp;U$1,JupData!$A$2:$A$10000&amp;JupData!$J$2:$J$10000,0),11))</f>
        <v/>
      </c>
      <c r="V369" t="str">
        <f t="array" ref="V369">IF($A369="","",INDEX(JupData!$A$2:$K$10000,MATCH($A369&amp;V$1,JupData!$A$2:$A$10000&amp;JupData!$J$2:$J$10000,0),11))</f>
        <v/>
      </c>
      <c r="W369" t="str">
        <f t="array" ref="W369">IF($A369="","",INDEX(JupData!$A$2:$K$10000,MATCH($A369&amp;W$1,JupData!$A$2:$A$10000&amp;JupData!$J$2:$J$10000,0),11))</f>
        <v/>
      </c>
      <c r="X369" t="str">
        <f t="array" ref="X369">IF($A369="","",INDEX(JupData!$A$2:$K$10000,MATCH($A369&amp;X$1,JupData!$A$2:$A$10000&amp;JupData!$J$2:$J$10000,0),11))</f>
        <v/>
      </c>
      <c r="Y369" t="str">
        <f t="array" ref="Y369">IF($A369="","",INDEX(JupData!$A$2:$K$10000,MATCH($A369&amp;Y$1,JupData!$A$2:$A$10000&amp;JupData!$J$2:$J$10000,0),11))</f>
        <v/>
      </c>
      <c r="Z369" t="str">
        <f t="array" ref="Z369">IF($A369="","",INDEX(JupData!$A$2:$K$10000,MATCH($A369&amp;Z$1,JupData!$A$2:$A$10000&amp;JupData!$J$2:$J$10000,0),11))</f>
        <v/>
      </c>
      <c r="AA369" t="str">
        <f t="array" ref="AA369">IF($A369="","",INDEX(JupData!$A$2:$K$10000,MATCH($A369&amp;AA$1,JupData!$A$2:$A$10000&amp;JupData!$J$2:$J$10000,0),11))</f>
        <v/>
      </c>
      <c r="AB369" t="str">
        <f t="array" ref="AB369">IF($A369="","",INDEX(JupData!$A$2:$K$10000,MATCH($A369&amp;AB$1,JupData!$A$2:$A$10000&amp;JupData!$J$2:$J$10000,0),11))</f>
        <v/>
      </c>
      <c r="AC369" s="10" t="str">
        <f t="shared" si="55"/>
        <v/>
      </c>
      <c r="AD369" s="10" t="str">
        <f t="shared" si="56"/>
        <v/>
      </c>
      <c r="AE369" s="9" t="str">
        <f t="shared" si="57"/>
        <v/>
      </c>
      <c r="AF369" s="10" t="str">
        <f t="shared" si="58"/>
        <v/>
      </c>
      <c r="AG369" s="10" t="str">
        <f t="shared" si="59"/>
        <v/>
      </c>
      <c r="AH369" s="10" t="str">
        <f t="shared" si="60"/>
        <v/>
      </c>
      <c r="AI369" s="10" t="str">
        <f t="shared" si="61"/>
        <v/>
      </c>
      <c r="AJ369" s="10" t="str">
        <f t="shared" si="62"/>
        <v/>
      </c>
      <c r="AK369" s="10" t="str">
        <f t="shared" si="63"/>
        <v/>
      </c>
      <c r="AL369" s="14" t="str">
        <f t="shared" si="64"/>
        <v/>
      </c>
    </row>
    <row r="370" spans="1:38" x14ac:dyDescent="0.2">
      <c r="A370"/>
      <c r="B370" t="str">
        <f>IF($A370="","",VLOOKUP($A370,JupData!$A$2:$I$10000,4,FALSE))</f>
        <v/>
      </c>
      <c r="C370" s="7" t="str">
        <f>IF($A370="",IF(N(D370),0,""),VLOOKUP($A370,JupData!$A$2:$I$10000,7,FALSE))</f>
        <v/>
      </c>
      <c r="D370" t="str">
        <f t="shared" si="65"/>
        <v/>
      </c>
      <c r="E370" t="str">
        <f t="array" ref="E370">IF($A370="","",INDEX(JupData!$A$2:$K$10000,MATCH($A370&amp;E$1,JupData!$A$2:$A$10000&amp;JupData!$J$2:$J$10000,0),11))</f>
        <v/>
      </c>
      <c r="F370" t="str">
        <f t="array" ref="F370">IF($A370="","",INDEX(JupData!$A$2:$K$10000,MATCH($A370&amp;F$1,JupData!$A$2:$A$10000&amp;JupData!$J$2:$J$10000,0),11))</f>
        <v/>
      </c>
      <c r="G370" t="str">
        <f t="array" ref="G370">IF($A370="","",INDEX(JupData!$A$2:$K$10000,MATCH($A370&amp;G$1,JupData!$A$2:$A$10000&amp;JupData!$J$2:$J$10000,0),11))</f>
        <v/>
      </c>
      <c r="H370" t="str">
        <f t="array" ref="H370">IF($A370="","",INDEX(JupData!$A$2:$K$10000,MATCH($A370&amp;H$1,JupData!$A$2:$A$10000&amp;JupData!$J$2:$J$10000,0),11))</f>
        <v/>
      </c>
      <c r="I370" t="str">
        <f t="array" ref="I370">IF($A370="","",INDEX(JupData!$A$2:$K$10000,MATCH($A370&amp;I$1,JupData!$A$2:$A$10000&amp;JupData!$J$2:$J$10000,0),11))</f>
        <v/>
      </c>
      <c r="J370" t="str">
        <f t="array" ref="J370">IF($A370="","",INDEX(JupData!$A$2:$K$10000,MATCH($A370&amp;J$1,JupData!$A$2:$A$10000&amp;JupData!$J$2:$J$10000,0),11))</f>
        <v/>
      </c>
      <c r="K370" t="str">
        <f t="array" ref="K370">IF($A370="","",INDEX(JupData!$A$2:$K$10000,MATCH($A370&amp;K$1,JupData!$A$2:$A$10000&amp;JupData!$J$2:$J$10000,0),11))</f>
        <v/>
      </c>
      <c r="L370" t="str">
        <f t="array" ref="L370">IF($A370="","",INDEX(JupData!$A$2:$K$10000,MATCH($A370&amp;L$1,JupData!$A$2:$A$10000&amp;JupData!$J$2:$J$10000,0),11))</f>
        <v/>
      </c>
      <c r="M370" t="str">
        <f t="array" ref="M370">IF($A370="","",INDEX(JupData!$A$2:$K$10000,MATCH($A370&amp;M$1,JupData!$A$2:$A$10000&amp;JupData!$J$2:$J$10000,0),11))</f>
        <v/>
      </c>
      <c r="N370" t="str">
        <f t="array" ref="N370">IF($A370="","",INDEX(JupData!$A$2:$K$10000,MATCH($A370&amp;N$1,JupData!$A$2:$A$10000&amp;JupData!$J$2:$J$10000,0),11))</f>
        <v/>
      </c>
      <c r="O370" t="str">
        <f t="array" ref="O370">IF($A370="","",INDEX(JupData!$A$2:$K$10000,MATCH($A370&amp;O$1,JupData!$A$2:$A$10000&amp;JupData!$J$2:$J$10000,0),11))</f>
        <v/>
      </c>
      <c r="P370" t="str">
        <f t="array" ref="P370">IF($A370="","",INDEX(JupData!$A$2:$K$10000,MATCH($A370&amp;P$1,JupData!$A$2:$A$10000&amp;JupData!$J$2:$J$10000,0),11))</f>
        <v/>
      </c>
      <c r="Q370" t="str">
        <f t="array" ref="Q370">IF($A370="","",INDEX(JupData!$A$2:$K$10000,MATCH($A370&amp;Q$1,JupData!$A$2:$A$10000&amp;JupData!$J$2:$J$10000,0),11))</f>
        <v/>
      </c>
      <c r="R370" t="str">
        <f t="array" ref="R370">IF($A370="","",INDEX(JupData!$A$2:$K$10000,MATCH($A370&amp;R$1,JupData!$A$2:$A$10000&amp;JupData!$J$2:$J$10000,0),11))</f>
        <v/>
      </c>
      <c r="S370" t="str">
        <f t="array" ref="S370">IF($A370="","",INDEX(JupData!$A$2:$K$10000,MATCH($A370&amp;S$1,JupData!$A$2:$A$10000&amp;JupData!$J$2:$J$10000,0),11))</f>
        <v/>
      </c>
      <c r="T370" t="str">
        <f t="array" ref="T370">IF($A370="","",INDEX(JupData!$A$2:$K$10000,MATCH($A370&amp;T$1,JupData!$A$2:$A$10000&amp;JupData!$J$2:$J$10000,0),11))</f>
        <v/>
      </c>
      <c r="U370" t="str">
        <f t="array" ref="U370">IF($A370="","",INDEX(JupData!$A$2:$K$10000,MATCH($A370&amp;U$1,JupData!$A$2:$A$10000&amp;JupData!$J$2:$J$10000,0),11))</f>
        <v/>
      </c>
      <c r="V370" t="str">
        <f t="array" ref="V370">IF($A370="","",INDEX(JupData!$A$2:$K$10000,MATCH($A370&amp;V$1,JupData!$A$2:$A$10000&amp;JupData!$J$2:$J$10000,0),11))</f>
        <v/>
      </c>
      <c r="W370" t="str">
        <f t="array" ref="W370">IF($A370="","",INDEX(JupData!$A$2:$K$10000,MATCH($A370&amp;W$1,JupData!$A$2:$A$10000&amp;JupData!$J$2:$J$10000,0),11))</f>
        <v/>
      </c>
      <c r="X370" t="str">
        <f t="array" ref="X370">IF($A370="","",INDEX(JupData!$A$2:$K$10000,MATCH($A370&amp;X$1,JupData!$A$2:$A$10000&amp;JupData!$J$2:$J$10000,0),11))</f>
        <v/>
      </c>
      <c r="Y370" t="str">
        <f t="array" ref="Y370">IF($A370="","",INDEX(JupData!$A$2:$K$10000,MATCH($A370&amp;Y$1,JupData!$A$2:$A$10000&amp;JupData!$J$2:$J$10000,0),11))</f>
        <v/>
      </c>
      <c r="Z370" t="str">
        <f t="array" ref="Z370">IF($A370="","",INDEX(JupData!$A$2:$K$10000,MATCH($A370&amp;Z$1,JupData!$A$2:$A$10000&amp;JupData!$J$2:$J$10000,0),11))</f>
        <v/>
      </c>
      <c r="AA370" t="str">
        <f t="array" ref="AA370">IF($A370="","",INDEX(JupData!$A$2:$K$10000,MATCH($A370&amp;AA$1,JupData!$A$2:$A$10000&amp;JupData!$J$2:$J$10000,0),11))</f>
        <v/>
      </c>
      <c r="AB370" t="str">
        <f t="array" ref="AB370">IF($A370="","",INDEX(JupData!$A$2:$K$10000,MATCH($A370&amp;AB$1,JupData!$A$2:$A$10000&amp;JupData!$J$2:$J$10000,0),11))</f>
        <v/>
      </c>
      <c r="AC370" s="10" t="str">
        <f t="shared" si="55"/>
        <v/>
      </c>
      <c r="AD370" s="10" t="str">
        <f t="shared" si="56"/>
        <v/>
      </c>
      <c r="AE370" s="9" t="str">
        <f t="shared" si="57"/>
        <v/>
      </c>
      <c r="AF370" s="10" t="str">
        <f t="shared" si="58"/>
        <v/>
      </c>
      <c r="AG370" s="10" t="str">
        <f t="shared" si="59"/>
        <v/>
      </c>
      <c r="AH370" s="10" t="str">
        <f t="shared" si="60"/>
        <v/>
      </c>
      <c r="AI370" s="10" t="str">
        <f t="shared" si="61"/>
        <v/>
      </c>
      <c r="AJ370" s="10" t="str">
        <f t="shared" si="62"/>
        <v/>
      </c>
      <c r="AK370" s="10" t="str">
        <f t="shared" si="63"/>
        <v/>
      </c>
      <c r="AL370" s="14" t="str">
        <f t="shared" si="64"/>
        <v/>
      </c>
    </row>
    <row r="371" spans="1:38" x14ac:dyDescent="0.2">
      <c r="A371"/>
      <c r="B371" t="str">
        <f>IF($A371="","",VLOOKUP($A371,JupData!$A$2:$I$10000,4,FALSE))</f>
        <v/>
      </c>
      <c r="C371" s="7" t="str">
        <f>IF($A371="",IF(N(D371),0,""),VLOOKUP($A371,JupData!$A$2:$I$10000,7,FALSE))</f>
        <v/>
      </c>
      <c r="D371" t="str">
        <f t="shared" si="65"/>
        <v/>
      </c>
      <c r="E371" t="str">
        <f t="array" ref="E371">IF($A371="","",INDEX(JupData!$A$2:$K$10000,MATCH($A371&amp;E$1,JupData!$A$2:$A$10000&amp;JupData!$J$2:$J$10000,0),11))</f>
        <v/>
      </c>
      <c r="F371" t="str">
        <f t="array" ref="F371">IF($A371="","",INDEX(JupData!$A$2:$K$10000,MATCH($A371&amp;F$1,JupData!$A$2:$A$10000&amp;JupData!$J$2:$J$10000,0),11))</f>
        <v/>
      </c>
      <c r="G371" t="str">
        <f t="array" ref="G371">IF($A371="","",INDEX(JupData!$A$2:$K$10000,MATCH($A371&amp;G$1,JupData!$A$2:$A$10000&amp;JupData!$J$2:$J$10000,0),11))</f>
        <v/>
      </c>
      <c r="H371" t="str">
        <f t="array" ref="H371">IF($A371="","",INDEX(JupData!$A$2:$K$10000,MATCH($A371&amp;H$1,JupData!$A$2:$A$10000&amp;JupData!$J$2:$J$10000,0),11))</f>
        <v/>
      </c>
      <c r="I371" t="str">
        <f t="array" ref="I371">IF($A371="","",INDEX(JupData!$A$2:$K$10000,MATCH($A371&amp;I$1,JupData!$A$2:$A$10000&amp;JupData!$J$2:$J$10000,0),11))</f>
        <v/>
      </c>
      <c r="J371" t="str">
        <f t="array" ref="J371">IF($A371="","",INDEX(JupData!$A$2:$K$10000,MATCH($A371&amp;J$1,JupData!$A$2:$A$10000&amp;JupData!$J$2:$J$10000,0),11))</f>
        <v/>
      </c>
      <c r="K371" t="str">
        <f t="array" ref="K371">IF($A371="","",INDEX(JupData!$A$2:$K$10000,MATCH($A371&amp;K$1,JupData!$A$2:$A$10000&amp;JupData!$J$2:$J$10000,0),11))</f>
        <v/>
      </c>
      <c r="L371" t="str">
        <f t="array" ref="L371">IF($A371="","",INDEX(JupData!$A$2:$K$10000,MATCH($A371&amp;L$1,JupData!$A$2:$A$10000&amp;JupData!$J$2:$J$10000,0),11))</f>
        <v/>
      </c>
      <c r="M371" t="str">
        <f t="array" ref="M371">IF($A371="","",INDEX(JupData!$A$2:$K$10000,MATCH($A371&amp;M$1,JupData!$A$2:$A$10000&amp;JupData!$J$2:$J$10000,0),11))</f>
        <v/>
      </c>
      <c r="N371" t="str">
        <f t="array" ref="N371">IF($A371="","",INDEX(JupData!$A$2:$K$10000,MATCH($A371&amp;N$1,JupData!$A$2:$A$10000&amp;JupData!$J$2:$J$10000,0),11))</f>
        <v/>
      </c>
      <c r="O371" t="str">
        <f t="array" ref="O371">IF($A371="","",INDEX(JupData!$A$2:$K$10000,MATCH($A371&amp;O$1,JupData!$A$2:$A$10000&amp;JupData!$J$2:$J$10000,0),11))</f>
        <v/>
      </c>
      <c r="P371" t="str">
        <f t="array" ref="P371">IF($A371="","",INDEX(JupData!$A$2:$K$10000,MATCH($A371&amp;P$1,JupData!$A$2:$A$10000&amp;JupData!$J$2:$J$10000,0),11))</f>
        <v/>
      </c>
      <c r="Q371" t="str">
        <f t="array" ref="Q371">IF($A371="","",INDEX(JupData!$A$2:$K$10000,MATCH($A371&amp;Q$1,JupData!$A$2:$A$10000&amp;JupData!$J$2:$J$10000,0),11))</f>
        <v/>
      </c>
      <c r="R371" t="str">
        <f t="array" ref="R371">IF($A371="","",INDEX(JupData!$A$2:$K$10000,MATCH($A371&amp;R$1,JupData!$A$2:$A$10000&amp;JupData!$J$2:$J$10000,0),11))</f>
        <v/>
      </c>
      <c r="S371" t="str">
        <f t="array" ref="S371">IF($A371="","",INDEX(JupData!$A$2:$K$10000,MATCH($A371&amp;S$1,JupData!$A$2:$A$10000&amp;JupData!$J$2:$J$10000,0),11))</f>
        <v/>
      </c>
      <c r="T371" t="str">
        <f t="array" ref="T371">IF($A371="","",INDEX(JupData!$A$2:$K$10000,MATCH($A371&amp;T$1,JupData!$A$2:$A$10000&amp;JupData!$J$2:$J$10000,0),11))</f>
        <v/>
      </c>
      <c r="U371" t="str">
        <f t="array" ref="U371">IF($A371="","",INDEX(JupData!$A$2:$K$10000,MATCH($A371&amp;U$1,JupData!$A$2:$A$10000&amp;JupData!$J$2:$J$10000,0),11))</f>
        <v/>
      </c>
      <c r="V371" t="str">
        <f t="array" ref="V371">IF($A371="","",INDEX(JupData!$A$2:$K$10000,MATCH($A371&amp;V$1,JupData!$A$2:$A$10000&amp;JupData!$J$2:$J$10000,0),11))</f>
        <v/>
      </c>
      <c r="W371" t="str">
        <f t="array" ref="W371">IF($A371="","",INDEX(JupData!$A$2:$K$10000,MATCH($A371&amp;W$1,JupData!$A$2:$A$10000&amp;JupData!$J$2:$J$10000,0),11))</f>
        <v/>
      </c>
      <c r="X371" t="str">
        <f t="array" ref="X371">IF($A371="","",INDEX(JupData!$A$2:$K$10000,MATCH($A371&amp;X$1,JupData!$A$2:$A$10000&amp;JupData!$J$2:$J$10000,0),11))</f>
        <v/>
      </c>
      <c r="Y371" t="str">
        <f t="array" ref="Y371">IF($A371="","",INDEX(JupData!$A$2:$K$10000,MATCH($A371&amp;Y$1,JupData!$A$2:$A$10000&amp;JupData!$J$2:$J$10000,0),11))</f>
        <v/>
      </c>
      <c r="Z371" t="str">
        <f t="array" ref="Z371">IF($A371="","",INDEX(JupData!$A$2:$K$10000,MATCH($A371&amp;Z$1,JupData!$A$2:$A$10000&amp;JupData!$J$2:$J$10000,0),11))</f>
        <v/>
      </c>
      <c r="AA371" t="str">
        <f t="array" ref="AA371">IF($A371="","",INDEX(JupData!$A$2:$K$10000,MATCH($A371&amp;AA$1,JupData!$A$2:$A$10000&amp;JupData!$J$2:$J$10000,0),11))</f>
        <v/>
      </c>
      <c r="AB371" t="str">
        <f t="array" ref="AB371">IF($A371="","",INDEX(JupData!$A$2:$K$10000,MATCH($A371&amp;AB$1,JupData!$A$2:$A$10000&amp;JupData!$J$2:$J$10000,0),11))</f>
        <v/>
      </c>
      <c r="AC371" s="10" t="str">
        <f t="shared" si="55"/>
        <v/>
      </c>
      <c r="AD371" s="10" t="str">
        <f t="shared" si="56"/>
        <v/>
      </c>
      <c r="AE371" s="9" t="str">
        <f t="shared" si="57"/>
        <v/>
      </c>
      <c r="AF371" s="10" t="str">
        <f t="shared" si="58"/>
        <v/>
      </c>
      <c r="AG371" s="10" t="str">
        <f t="shared" si="59"/>
        <v/>
      </c>
      <c r="AH371" s="10" t="str">
        <f t="shared" si="60"/>
        <v/>
      </c>
      <c r="AI371" s="10" t="str">
        <f t="shared" si="61"/>
        <v/>
      </c>
      <c r="AJ371" s="10" t="str">
        <f t="shared" si="62"/>
        <v/>
      </c>
      <c r="AK371" s="10" t="str">
        <f t="shared" si="63"/>
        <v/>
      </c>
      <c r="AL371" s="14" t="str">
        <f t="shared" si="64"/>
        <v/>
      </c>
    </row>
    <row r="372" spans="1:38" x14ac:dyDescent="0.2">
      <c r="A372"/>
      <c r="B372" t="str">
        <f>IF($A372="","",VLOOKUP($A372,JupData!$A$2:$I$10000,4,FALSE))</f>
        <v/>
      </c>
      <c r="C372" s="7" t="str">
        <f>IF($A372="",IF(N(D372),0,""),VLOOKUP($A372,JupData!$A$2:$I$10000,7,FALSE))</f>
        <v/>
      </c>
      <c r="D372" t="str">
        <f t="shared" si="65"/>
        <v/>
      </c>
      <c r="E372" t="str">
        <f t="array" ref="E372">IF($A372="","",INDEX(JupData!$A$2:$K$10000,MATCH($A372&amp;E$1,JupData!$A$2:$A$10000&amp;JupData!$J$2:$J$10000,0),11))</f>
        <v/>
      </c>
      <c r="F372" t="str">
        <f t="array" ref="F372">IF($A372="","",INDEX(JupData!$A$2:$K$10000,MATCH($A372&amp;F$1,JupData!$A$2:$A$10000&amp;JupData!$J$2:$J$10000,0),11))</f>
        <v/>
      </c>
      <c r="G372" t="str">
        <f t="array" ref="G372">IF($A372="","",INDEX(JupData!$A$2:$K$10000,MATCH($A372&amp;G$1,JupData!$A$2:$A$10000&amp;JupData!$J$2:$J$10000,0),11))</f>
        <v/>
      </c>
      <c r="H372" t="str">
        <f t="array" ref="H372">IF($A372="","",INDEX(JupData!$A$2:$K$10000,MATCH($A372&amp;H$1,JupData!$A$2:$A$10000&amp;JupData!$J$2:$J$10000,0),11))</f>
        <v/>
      </c>
      <c r="I372" t="str">
        <f t="array" ref="I372">IF($A372="","",INDEX(JupData!$A$2:$K$10000,MATCH($A372&amp;I$1,JupData!$A$2:$A$10000&amp;JupData!$J$2:$J$10000,0),11))</f>
        <v/>
      </c>
      <c r="J372" t="str">
        <f t="array" ref="J372">IF($A372="","",INDEX(JupData!$A$2:$K$10000,MATCH($A372&amp;J$1,JupData!$A$2:$A$10000&amp;JupData!$J$2:$J$10000,0),11))</f>
        <v/>
      </c>
      <c r="K372" t="str">
        <f t="array" ref="K372">IF($A372="","",INDEX(JupData!$A$2:$K$10000,MATCH($A372&amp;K$1,JupData!$A$2:$A$10000&amp;JupData!$J$2:$J$10000,0),11))</f>
        <v/>
      </c>
      <c r="L372" t="str">
        <f t="array" ref="L372">IF($A372="","",INDEX(JupData!$A$2:$K$10000,MATCH($A372&amp;L$1,JupData!$A$2:$A$10000&amp;JupData!$J$2:$J$10000,0),11))</f>
        <v/>
      </c>
      <c r="M372" t="str">
        <f t="array" ref="M372">IF($A372="","",INDEX(JupData!$A$2:$K$10000,MATCH($A372&amp;M$1,JupData!$A$2:$A$10000&amp;JupData!$J$2:$J$10000,0),11))</f>
        <v/>
      </c>
      <c r="N372" t="str">
        <f t="array" ref="N372">IF($A372="","",INDEX(JupData!$A$2:$K$10000,MATCH($A372&amp;N$1,JupData!$A$2:$A$10000&amp;JupData!$J$2:$J$10000,0),11))</f>
        <v/>
      </c>
      <c r="O372" t="str">
        <f t="array" ref="O372">IF($A372="","",INDEX(JupData!$A$2:$K$10000,MATCH($A372&amp;O$1,JupData!$A$2:$A$10000&amp;JupData!$J$2:$J$10000,0),11))</f>
        <v/>
      </c>
      <c r="P372" t="str">
        <f t="array" ref="P372">IF($A372="","",INDEX(JupData!$A$2:$K$10000,MATCH($A372&amp;P$1,JupData!$A$2:$A$10000&amp;JupData!$J$2:$J$10000,0),11))</f>
        <v/>
      </c>
      <c r="Q372" t="str">
        <f t="array" ref="Q372">IF($A372="","",INDEX(JupData!$A$2:$K$10000,MATCH($A372&amp;Q$1,JupData!$A$2:$A$10000&amp;JupData!$J$2:$J$10000,0),11))</f>
        <v/>
      </c>
      <c r="R372" t="str">
        <f t="array" ref="R372">IF($A372="","",INDEX(JupData!$A$2:$K$10000,MATCH($A372&amp;R$1,JupData!$A$2:$A$10000&amp;JupData!$J$2:$J$10000,0),11))</f>
        <v/>
      </c>
      <c r="S372" t="str">
        <f t="array" ref="S372">IF($A372="","",INDEX(JupData!$A$2:$K$10000,MATCH($A372&amp;S$1,JupData!$A$2:$A$10000&amp;JupData!$J$2:$J$10000,0),11))</f>
        <v/>
      </c>
      <c r="T372" t="str">
        <f t="array" ref="T372">IF($A372="","",INDEX(JupData!$A$2:$K$10000,MATCH($A372&amp;T$1,JupData!$A$2:$A$10000&amp;JupData!$J$2:$J$10000,0),11))</f>
        <v/>
      </c>
      <c r="U372" t="str">
        <f t="array" ref="U372">IF($A372="","",INDEX(JupData!$A$2:$K$10000,MATCH($A372&amp;U$1,JupData!$A$2:$A$10000&amp;JupData!$J$2:$J$10000,0),11))</f>
        <v/>
      </c>
      <c r="V372" t="str">
        <f t="array" ref="V372">IF($A372="","",INDEX(JupData!$A$2:$K$10000,MATCH($A372&amp;V$1,JupData!$A$2:$A$10000&amp;JupData!$J$2:$J$10000,0),11))</f>
        <v/>
      </c>
      <c r="W372" t="str">
        <f t="array" ref="W372">IF($A372="","",INDEX(JupData!$A$2:$K$10000,MATCH($A372&amp;W$1,JupData!$A$2:$A$10000&amp;JupData!$J$2:$J$10000,0),11))</f>
        <v/>
      </c>
      <c r="X372" t="str">
        <f t="array" ref="X372">IF($A372="","",INDEX(JupData!$A$2:$K$10000,MATCH($A372&amp;X$1,JupData!$A$2:$A$10000&amp;JupData!$J$2:$J$10000,0),11))</f>
        <v/>
      </c>
      <c r="Y372" t="str">
        <f t="array" ref="Y372">IF($A372="","",INDEX(JupData!$A$2:$K$10000,MATCH($A372&amp;Y$1,JupData!$A$2:$A$10000&amp;JupData!$J$2:$J$10000,0),11))</f>
        <v/>
      </c>
      <c r="Z372" t="str">
        <f t="array" ref="Z372">IF($A372="","",INDEX(JupData!$A$2:$K$10000,MATCH($A372&amp;Z$1,JupData!$A$2:$A$10000&amp;JupData!$J$2:$J$10000,0),11))</f>
        <v/>
      </c>
      <c r="AA372" t="str">
        <f t="array" ref="AA372">IF($A372="","",INDEX(JupData!$A$2:$K$10000,MATCH($A372&amp;AA$1,JupData!$A$2:$A$10000&amp;JupData!$J$2:$J$10000,0),11))</f>
        <v/>
      </c>
      <c r="AB372" t="str">
        <f t="array" ref="AB372">IF($A372="","",INDEX(JupData!$A$2:$K$10000,MATCH($A372&amp;AB$1,JupData!$A$2:$A$10000&amp;JupData!$J$2:$J$10000,0),11))</f>
        <v/>
      </c>
      <c r="AC372" s="10" t="str">
        <f t="shared" si="55"/>
        <v/>
      </c>
      <c r="AD372" s="10" t="str">
        <f t="shared" si="56"/>
        <v/>
      </c>
      <c r="AE372" s="9" t="str">
        <f t="shared" si="57"/>
        <v/>
      </c>
      <c r="AF372" s="10" t="str">
        <f t="shared" si="58"/>
        <v/>
      </c>
      <c r="AG372" s="10" t="str">
        <f t="shared" si="59"/>
        <v/>
      </c>
      <c r="AH372" s="10" t="str">
        <f t="shared" si="60"/>
        <v/>
      </c>
      <c r="AI372" s="10" t="str">
        <f t="shared" si="61"/>
        <v/>
      </c>
      <c r="AJ372" s="10" t="str">
        <f t="shared" si="62"/>
        <v/>
      </c>
      <c r="AK372" s="10" t="str">
        <f t="shared" si="63"/>
        <v/>
      </c>
      <c r="AL372" s="14" t="str">
        <f t="shared" si="64"/>
        <v/>
      </c>
    </row>
    <row r="373" spans="1:38" x14ac:dyDescent="0.2">
      <c r="A373"/>
      <c r="B373" t="str">
        <f>IF($A373="","",VLOOKUP($A373,JupData!$A$2:$I$10000,4,FALSE))</f>
        <v/>
      </c>
      <c r="C373" s="7" t="str">
        <f>IF($A373="",IF(N(D373),0,""),VLOOKUP($A373,JupData!$A$2:$I$10000,7,FALSE))</f>
        <v/>
      </c>
      <c r="D373" t="str">
        <f t="shared" si="65"/>
        <v/>
      </c>
      <c r="E373" t="str">
        <f t="array" ref="E373">IF($A373="","",INDEX(JupData!$A$2:$K$10000,MATCH($A373&amp;E$1,JupData!$A$2:$A$10000&amp;JupData!$J$2:$J$10000,0),11))</f>
        <v/>
      </c>
      <c r="F373" t="str">
        <f t="array" ref="F373">IF($A373="","",INDEX(JupData!$A$2:$K$10000,MATCH($A373&amp;F$1,JupData!$A$2:$A$10000&amp;JupData!$J$2:$J$10000,0),11))</f>
        <v/>
      </c>
      <c r="G373" t="str">
        <f t="array" ref="G373">IF($A373="","",INDEX(JupData!$A$2:$K$10000,MATCH($A373&amp;G$1,JupData!$A$2:$A$10000&amp;JupData!$J$2:$J$10000,0),11))</f>
        <v/>
      </c>
      <c r="H373" t="str">
        <f t="array" ref="H373">IF($A373="","",INDEX(JupData!$A$2:$K$10000,MATCH($A373&amp;H$1,JupData!$A$2:$A$10000&amp;JupData!$J$2:$J$10000,0),11))</f>
        <v/>
      </c>
      <c r="I373" t="str">
        <f t="array" ref="I373">IF($A373="","",INDEX(JupData!$A$2:$K$10000,MATCH($A373&amp;I$1,JupData!$A$2:$A$10000&amp;JupData!$J$2:$J$10000,0),11))</f>
        <v/>
      </c>
      <c r="J373" t="str">
        <f t="array" ref="J373">IF($A373="","",INDEX(JupData!$A$2:$K$10000,MATCH($A373&amp;J$1,JupData!$A$2:$A$10000&amp;JupData!$J$2:$J$10000,0),11))</f>
        <v/>
      </c>
      <c r="K373" t="str">
        <f t="array" ref="K373">IF($A373="","",INDEX(JupData!$A$2:$K$10000,MATCH($A373&amp;K$1,JupData!$A$2:$A$10000&amp;JupData!$J$2:$J$10000,0),11))</f>
        <v/>
      </c>
      <c r="L373" t="str">
        <f t="array" ref="L373">IF($A373="","",INDEX(JupData!$A$2:$K$10000,MATCH($A373&amp;L$1,JupData!$A$2:$A$10000&amp;JupData!$J$2:$J$10000,0),11))</f>
        <v/>
      </c>
      <c r="M373" t="str">
        <f t="array" ref="M373">IF($A373="","",INDEX(JupData!$A$2:$K$10000,MATCH($A373&amp;M$1,JupData!$A$2:$A$10000&amp;JupData!$J$2:$J$10000,0),11))</f>
        <v/>
      </c>
      <c r="N373" t="str">
        <f t="array" ref="N373">IF($A373="","",INDEX(JupData!$A$2:$K$10000,MATCH($A373&amp;N$1,JupData!$A$2:$A$10000&amp;JupData!$J$2:$J$10000,0),11))</f>
        <v/>
      </c>
      <c r="O373" t="str">
        <f t="array" ref="O373">IF($A373="","",INDEX(JupData!$A$2:$K$10000,MATCH($A373&amp;O$1,JupData!$A$2:$A$10000&amp;JupData!$J$2:$J$10000,0),11))</f>
        <v/>
      </c>
      <c r="P373" t="str">
        <f t="array" ref="P373">IF($A373="","",INDEX(JupData!$A$2:$K$10000,MATCH($A373&amp;P$1,JupData!$A$2:$A$10000&amp;JupData!$J$2:$J$10000,0),11))</f>
        <v/>
      </c>
      <c r="Q373" t="str">
        <f t="array" ref="Q373">IF($A373="","",INDEX(JupData!$A$2:$K$10000,MATCH($A373&amp;Q$1,JupData!$A$2:$A$10000&amp;JupData!$J$2:$J$10000,0),11))</f>
        <v/>
      </c>
      <c r="R373" t="str">
        <f t="array" ref="R373">IF($A373="","",INDEX(JupData!$A$2:$K$10000,MATCH($A373&amp;R$1,JupData!$A$2:$A$10000&amp;JupData!$J$2:$J$10000,0),11))</f>
        <v/>
      </c>
      <c r="S373" t="str">
        <f t="array" ref="S373">IF($A373="","",INDEX(JupData!$A$2:$K$10000,MATCH($A373&amp;S$1,JupData!$A$2:$A$10000&amp;JupData!$J$2:$J$10000,0),11))</f>
        <v/>
      </c>
      <c r="T373" t="str">
        <f t="array" ref="T373">IF($A373="","",INDEX(JupData!$A$2:$K$10000,MATCH($A373&amp;T$1,JupData!$A$2:$A$10000&amp;JupData!$J$2:$J$10000,0),11))</f>
        <v/>
      </c>
      <c r="U373" t="str">
        <f t="array" ref="U373">IF($A373="","",INDEX(JupData!$A$2:$K$10000,MATCH($A373&amp;U$1,JupData!$A$2:$A$10000&amp;JupData!$J$2:$J$10000,0),11))</f>
        <v/>
      </c>
      <c r="V373" t="str">
        <f t="array" ref="V373">IF($A373="","",INDEX(JupData!$A$2:$K$10000,MATCH($A373&amp;V$1,JupData!$A$2:$A$10000&amp;JupData!$J$2:$J$10000,0),11))</f>
        <v/>
      </c>
      <c r="W373" t="str">
        <f t="array" ref="W373">IF($A373="","",INDEX(JupData!$A$2:$K$10000,MATCH($A373&amp;W$1,JupData!$A$2:$A$10000&amp;JupData!$J$2:$J$10000,0),11))</f>
        <v/>
      </c>
      <c r="X373" t="str">
        <f t="array" ref="X373">IF($A373="","",INDEX(JupData!$A$2:$K$10000,MATCH($A373&amp;X$1,JupData!$A$2:$A$10000&amp;JupData!$J$2:$J$10000,0),11))</f>
        <v/>
      </c>
      <c r="Y373" t="str">
        <f t="array" ref="Y373">IF($A373="","",INDEX(JupData!$A$2:$K$10000,MATCH($A373&amp;Y$1,JupData!$A$2:$A$10000&amp;JupData!$J$2:$J$10000,0),11))</f>
        <v/>
      </c>
      <c r="Z373" t="str">
        <f t="array" ref="Z373">IF($A373="","",INDEX(JupData!$A$2:$K$10000,MATCH($A373&amp;Z$1,JupData!$A$2:$A$10000&amp;JupData!$J$2:$J$10000,0),11))</f>
        <v/>
      </c>
      <c r="AA373" t="str">
        <f t="array" ref="AA373">IF($A373="","",INDEX(JupData!$A$2:$K$10000,MATCH($A373&amp;AA$1,JupData!$A$2:$A$10000&amp;JupData!$J$2:$J$10000,0),11))</f>
        <v/>
      </c>
      <c r="AB373" t="str">
        <f t="array" ref="AB373">IF($A373="","",INDEX(JupData!$A$2:$K$10000,MATCH($A373&amp;AB$1,JupData!$A$2:$A$10000&amp;JupData!$J$2:$J$10000,0),11))</f>
        <v/>
      </c>
      <c r="AC373" s="10" t="str">
        <f t="shared" si="55"/>
        <v/>
      </c>
      <c r="AD373" s="10" t="str">
        <f t="shared" si="56"/>
        <v/>
      </c>
      <c r="AE373" s="9" t="str">
        <f t="shared" si="57"/>
        <v/>
      </c>
      <c r="AF373" s="10" t="str">
        <f t="shared" si="58"/>
        <v/>
      </c>
      <c r="AG373" s="10" t="str">
        <f t="shared" si="59"/>
        <v/>
      </c>
      <c r="AH373" s="10" t="str">
        <f t="shared" si="60"/>
        <v/>
      </c>
      <c r="AI373" s="10" t="str">
        <f t="shared" si="61"/>
        <v/>
      </c>
      <c r="AJ373" s="10" t="str">
        <f t="shared" si="62"/>
        <v/>
      </c>
      <c r="AK373" s="10" t="str">
        <f t="shared" si="63"/>
        <v/>
      </c>
      <c r="AL373" s="14" t="str">
        <f t="shared" si="64"/>
        <v/>
      </c>
    </row>
    <row r="374" spans="1:38" x14ac:dyDescent="0.2">
      <c r="A374"/>
      <c r="B374" t="str">
        <f>IF($A374="","",VLOOKUP($A374,JupData!$A$2:$I$10000,4,FALSE))</f>
        <v/>
      </c>
      <c r="C374" s="7" t="str">
        <f>IF($A374="",IF(N(D374),0,""),VLOOKUP($A374,JupData!$A$2:$I$10000,7,FALSE))</f>
        <v/>
      </c>
      <c r="D374" t="str">
        <f t="shared" si="65"/>
        <v/>
      </c>
      <c r="E374" t="str">
        <f t="array" ref="E374">IF($A374="","",INDEX(JupData!$A$2:$K$10000,MATCH($A374&amp;E$1,JupData!$A$2:$A$10000&amp;JupData!$J$2:$J$10000,0),11))</f>
        <v/>
      </c>
      <c r="F374" t="str">
        <f t="array" ref="F374">IF($A374="","",INDEX(JupData!$A$2:$K$10000,MATCH($A374&amp;F$1,JupData!$A$2:$A$10000&amp;JupData!$J$2:$J$10000,0),11))</f>
        <v/>
      </c>
      <c r="G374" t="str">
        <f t="array" ref="G374">IF($A374="","",INDEX(JupData!$A$2:$K$10000,MATCH($A374&amp;G$1,JupData!$A$2:$A$10000&amp;JupData!$J$2:$J$10000,0),11))</f>
        <v/>
      </c>
      <c r="H374" t="str">
        <f t="array" ref="H374">IF($A374="","",INDEX(JupData!$A$2:$K$10000,MATCH($A374&amp;H$1,JupData!$A$2:$A$10000&amp;JupData!$J$2:$J$10000,0),11))</f>
        <v/>
      </c>
      <c r="I374" t="str">
        <f t="array" ref="I374">IF($A374="","",INDEX(JupData!$A$2:$K$10000,MATCH($A374&amp;I$1,JupData!$A$2:$A$10000&amp;JupData!$J$2:$J$10000,0),11))</f>
        <v/>
      </c>
      <c r="J374" t="str">
        <f t="array" ref="J374">IF($A374="","",INDEX(JupData!$A$2:$K$10000,MATCH($A374&amp;J$1,JupData!$A$2:$A$10000&amp;JupData!$J$2:$J$10000,0),11))</f>
        <v/>
      </c>
      <c r="K374" t="str">
        <f t="array" ref="K374">IF($A374="","",INDEX(JupData!$A$2:$K$10000,MATCH($A374&amp;K$1,JupData!$A$2:$A$10000&amp;JupData!$J$2:$J$10000,0),11))</f>
        <v/>
      </c>
      <c r="L374" t="str">
        <f t="array" ref="L374">IF($A374="","",INDEX(JupData!$A$2:$K$10000,MATCH($A374&amp;L$1,JupData!$A$2:$A$10000&amp;JupData!$J$2:$J$10000,0),11))</f>
        <v/>
      </c>
      <c r="M374" t="str">
        <f t="array" ref="M374">IF($A374="","",INDEX(JupData!$A$2:$K$10000,MATCH($A374&amp;M$1,JupData!$A$2:$A$10000&amp;JupData!$J$2:$J$10000,0),11))</f>
        <v/>
      </c>
      <c r="N374" t="str">
        <f t="array" ref="N374">IF($A374="","",INDEX(JupData!$A$2:$K$10000,MATCH($A374&amp;N$1,JupData!$A$2:$A$10000&amp;JupData!$J$2:$J$10000,0),11))</f>
        <v/>
      </c>
      <c r="O374" t="str">
        <f t="array" ref="O374">IF($A374="","",INDEX(JupData!$A$2:$K$10000,MATCH($A374&amp;O$1,JupData!$A$2:$A$10000&amp;JupData!$J$2:$J$10000,0),11))</f>
        <v/>
      </c>
      <c r="P374" t="str">
        <f t="array" ref="P374">IF($A374="","",INDEX(JupData!$A$2:$K$10000,MATCH($A374&amp;P$1,JupData!$A$2:$A$10000&amp;JupData!$J$2:$J$10000,0),11))</f>
        <v/>
      </c>
      <c r="Q374" t="str">
        <f t="array" ref="Q374">IF($A374="","",INDEX(JupData!$A$2:$K$10000,MATCH($A374&amp;Q$1,JupData!$A$2:$A$10000&amp;JupData!$J$2:$J$10000,0),11))</f>
        <v/>
      </c>
      <c r="R374" t="str">
        <f t="array" ref="R374">IF($A374="","",INDEX(JupData!$A$2:$K$10000,MATCH($A374&amp;R$1,JupData!$A$2:$A$10000&amp;JupData!$J$2:$J$10000,0),11))</f>
        <v/>
      </c>
      <c r="S374" t="str">
        <f t="array" ref="S374">IF($A374="","",INDEX(JupData!$A$2:$K$10000,MATCH($A374&amp;S$1,JupData!$A$2:$A$10000&amp;JupData!$J$2:$J$10000,0),11))</f>
        <v/>
      </c>
      <c r="T374" t="str">
        <f t="array" ref="T374">IF($A374="","",INDEX(JupData!$A$2:$K$10000,MATCH($A374&amp;T$1,JupData!$A$2:$A$10000&amp;JupData!$J$2:$J$10000,0),11))</f>
        <v/>
      </c>
      <c r="U374" t="str">
        <f t="array" ref="U374">IF($A374="","",INDEX(JupData!$A$2:$K$10000,MATCH($A374&amp;U$1,JupData!$A$2:$A$10000&amp;JupData!$J$2:$J$10000,0),11))</f>
        <v/>
      </c>
      <c r="V374" t="str">
        <f t="array" ref="V374">IF($A374="","",INDEX(JupData!$A$2:$K$10000,MATCH($A374&amp;V$1,JupData!$A$2:$A$10000&amp;JupData!$J$2:$J$10000,0),11))</f>
        <v/>
      </c>
      <c r="W374" t="str">
        <f t="array" ref="W374">IF($A374="","",INDEX(JupData!$A$2:$K$10000,MATCH($A374&amp;W$1,JupData!$A$2:$A$10000&amp;JupData!$J$2:$J$10000,0),11))</f>
        <v/>
      </c>
      <c r="X374" t="str">
        <f t="array" ref="X374">IF($A374="","",INDEX(JupData!$A$2:$K$10000,MATCH($A374&amp;X$1,JupData!$A$2:$A$10000&amp;JupData!$J$2:$J$10000,0),11))</f>
        <v/>
      </c>
      <c r="Y374" t="str">
        <f t="array" ref="Y374">IF($A374="","",INDEX(JupData!$A$2:$K$10000,MATCH($A374&amp;Y$1,JupData!$A$2:$A$10000&amp;JupData!$J$2:$J$10000,0),11))</f>
        <v/>
      </c>
      <c r="Z374" t="str">
        <f t="array" ref="Z374">IF($A374="","",INDEX(JupData!$A$2:$K$10000,MATCH($A374&amp;Z$1,JupData!$A$2:$A$10000&amp;JupData!$J$2:$J$10000,0),11))</f>
        <v/>
      </c>
      <c r="AA374" t="str">
        <f t="array" ref="AA374">IF($A374="","",INDEX(JupData!$A$2:$K$10000,MATCH($A374&amp;AA$1,JupData!$A$2:$A$10000&amp;JupData!$J$2:$J$10000,0),11))</f>
        <v/>
      </c>
      <c r="AB374" t="str">
        <f t="array" ref="AB374">IF($A374="","",INDEX(JupData!$A$2:$K$10000,MATCH($A374&amp;AB$1,JupData!$A$2:$A$10000&amp;JupData!$J$2:$J$10000,0),11))</f>
        <v/>
      </c>
      <c r="AC374" s="10" t="str">
        <f t="shared" si="55"/>
        <v/>
      </c>
      <c r="AD374" s="10" t="str">
        <f t="shared" si="56"/>
        <v/>
      </c>
      <c r="AE374" s="9" t="str">
        <f t="shared" si="57"/>
        <v/>
      </c>
      <c r="AF374" s="10" t="str">
        <f t="shared" si="58"/>
        <v/>
      </c>
      <c r="AG374" s="10" t="str">
        <f t="shared" si="59"/>
        <v/>
      </c>
      <c r="AH374" s="10" t="str">
        <f t="shared" si="60"/>
        <v/>
      </c>
      <c r="AI374" s="10" t="str">
        <f t="shared" si="61"/>
        <v/>
      </c>
      <c r="AJ374" s="10" t="str">
        <f t="shared" si="62"/>
        <v/>
      </c>
      <c r="AK374" s="10" t="str">
        <f t="shared" si="63"/>
        <v/>
      </c>
      <c r="AL374" s="14" t="str">
        <f t="shared" si="64"/>
        <v/>
      </c>
    </row>
    <row r="375" spans="1:38" x14ac:dyDescent="0.2">
      <c r="A375"/>
      <c r="B375" t="str">
        <f>IF($A375="","",VLOOKUP($A375,JupData!$A$2:$I$10000,4,FALSE))</f>
        <v/>
      </c>
      <c r="C375" s="7" t="str">
        <f>IF($A375="",IF(N(D375),0,""),VLOOKUP($A375,JupData!$A$2:$I$10000,7,FALSE))</f>
        <v/>
      </c>
      <c r="D375" t="str">
        <f t="shared" si="65"/>
        <v/>
      </c>
      <c r="E375" t="str">
        <f t="array" ref="E375">IF($A375="","",INDEX(JupData!$A$2:$K$10000,MATCH($A375&amp;E$1,JupData!$A$2:$A$10000&amp;JupData!$J$2:$J$10000,0),11))</f>
        <v/>
      </c>
      <c r="F375" t="str">
        <f t="array" ref="F375">IF($A375="","",INDEX(JupData!$A$2:$K$10000,MATCH($A375&amp;F$1,JupData!$A$2:$A$10000&amp;JupData!$J$2:$J$10000,0),11))</f>
        <v/>
      </c>
      <c r="G375" t="str">
        <f t="array" ref="G375">IF($A375="","",INDEX(JupData!$A$2:$K$10000,MATCH($A375&amp;G$1,JupData!$A$2:$A$10000&amp;JupData!$J$2:$J$10000,0),11))</f>
        <v/>
      </c>
      <c r="H375" t="str">
        <f t="array" ref="H375">IF($A375="","",INDEX(JupData!$A$2:$K$10000,MATCH($A375&amp;H$1,JupData!$A$2:$A$10000&amp;JupData!$J$2:$J$10000,0),11))</f>
        <v/>
      </c>
      <c r="I375" t="str">
        <f t="array" ref="I375">IF($A375="","",INDEX(JupData!$A$2:$K$10000,MATCH($A375&amp;I$1,JupData!$A$2:$A$10000&amp;JupData!$J$2:$J$10000,0),11))</f>
        <v/>
      </c>
      <c r="J375" t="str">
        <f t="array" ref="J375">IF($A375="","",INDEX(JupData!$A$2:$K$10000,MATCH($A375&amp;J$1,JupData!$A$2:$A$10000&amp;JupData!$J$2:$J$10000,0),11))</f>
        <v/>
      </c>
      <c r="K375" t="str">
        <f t="array" ref="K375">IF($A375="","",INDEX(JupData!$A$2:$K$10000,MATCH($A375&amp;K$1,JupData!$A$2:$A$10000&amp;JupData!$J$2:$J$10000,0),11))</f>
        <v/>
      </c>
      <c r="L375" t="str">
        <f t="array" ref="L375">IF($A375="","",INDEX(JupData!$A$2:$K$10000,MATCH($A375&amp;L$1,JupData!$A$2:$A$10000&amp;JupData!$J$2:$J$10000,0),11))</f>
        <v/>
      </c>
      <c r="M375" t="str">
        <f t="array" ref="M375">IF($A375="","",INDEX(JupData!$A$2:$K$10000,MATCH($A375&amp;M$1,JupData!$A$2:$A$10000&amp;JupData!$J$2:$J$10000,0),11))</f>
        <v/>
      </c>
      <c r="N375" t="str">
        <f t="array" ref="N375">IF($A375="","",INDEX(JupData!$A$2:$K$10000,MATCH($A375&amp;N$1,JupData!$A$2:$A$10000&amp;JupData!$J$2:$J$10000,0),11))</f>
        <v/>
      </c>
      <c r="O375" t="str">
        <f t="array" ref="O375">IF($A375="","",INDEX(JupData!$A$2:$K$10000,MATCH($A375&amp;O$1,JupData!$A$2:$A$10000&amp;JupData!$J$2:$J$10000,0),11))</f>
        <v/>
      </c>
      <c r="P375" t="str">
        <f t="array" ref="P375">IF($A375="","",INDEX(JupData!$A$2:$K$10000,MATCH($A375&amp;P$1,JupData!$A$2:$A$10000&amp;JupData!$J$2:$J$10000,0),11))</f>
        <v/>
      </c>
      <c r="Q375" t="str">
        <f t="array" ref="Q375">IF($A375="","",INDEX(JupData!$A$2:$K$10000,MATCH($A375&amp;Q$1,JupData!$A$2:$A$10000&amp;JupData!$J$2:$J$10000,0),11))</f>
        <v/>
      </c>
      <c r="R375" t="str">
        <f t="array" ref="R375">IF($A375="","",INDEX(JupData!$A$2:$K$10000,MATCH($A375&amp;R$1,JupData!$A$2:$A$10000&amp;JupData!$J$2:$J$10000,0),11))</f>
        <v/>
      </c>
      <c r="S375" t="str">
        <f t="array" ref="S375">IF($A375="","",INDEX(JupData!$A$2:$K$10000,MATCH($A375&amp;S$1,JupData!$A$2:$A$10000&amp;JupData!$J$2:$J$10000,0),11))</f>
        <v/>
      </c>
      <c r="T375" t="str">
        <f t="array" ref="T375">IF($A375="","",INDEX(JupData!$A$2:$K$10000,MATCH($A375&amp;T$1,JupData!$A$2:$A$10000&amp;JupData!$J$2:$J$10000,0),11))</f>
        <v/>
      </c>
      <c r="U375" t="str">
        <f t="array" ref="U375">IF($A375="","",INDEX(JupData!$A$2:$K$10000,MATCH($A375&amp;U$1,JupData!$A$2:$A$10000&amp;JupData!$J$2:$J$10000,0),11))</f>
        <v/>
      </c>
      <c r="V375" t="str">
        <f t="array" ref="V375">IF($A375="","",INDEX(JupData!$A$2:$K$10000,MATCH($A375&amp;V$1,JupData!$A$2:$A$10000&amp;JupData!$J$2:$J$10000,0),11))</f>
        <v/>
      </c>
      <c r="W375" t="str">
        <f t="array" ref="W375">IF($A375="","",INDEX(JupData!$A$2:$K$10000,MATCH($A375&amp;W$1,JupData!$A$2:$A$10000&amp;JupData!$J$2:$J$10000,0),11))</f>
        <v/>
      </c>
      <c r="X375" t="str">
        <f t="array" ref="X375">IF($A375="","",INDEX(JupData!$A$2:$K$10000,MATCH($A375&amp;X$1,JupData!$A$2:$A$10000&amp;JupData!$J$2:$J$10000,0),11))</f>
        <v/>
      </c>
      <c r="Y375" t="str">
        <f t="array" ref="Y375">IF($A375="","",INDEX(JupData!$A$2:$K$10000,MATCH($A375&amp;Y$1,JupData!$A$2:$A$10000&amp;JupData!$J$2:$J$10000,0),11))</f>
        <v/>
      </c>
      <c r="Z375" t="str">
        <f t="array" ref="Z375">IF($A375="","",INDEX(JupData!$A$2:$K$10000,MATCH($A375&amp;Z$1,JupData!$A$2:$A$10000&amp;JupData!$J$2:$J$10000,0),11))</f>
        <v/>
      </c>
      <c r="AA375" t="str">
        <f t="array" ref="AA375">IF($A375="","",INDEX(JupData!$A$2:$K$10000,MATCH($A375&amp;AA$1,JupData!$A$2:$A$10000&amp;JupData!$J$2:$J$10000,0),11))</f>
        <v/>
      </c>
      <c r="AB375" t="str">
        <f t="array" ref="AB375">IF($A375="","",INDEX(JupData!$A$2:$K$10000,MATCH($A375&amp;AB$1,JupData!$A$2:$A$10000&amp;JupData!$J$2:$J$10000,0),11))</f>
        <v/>
      </c>
      <c r="AC375" s="10" t="str">
        <f t="shared" si="55"/>
        <v/>
      </c>
      <c r="AD375" s="10" t="str">
        <f t="shared" si="56"/>
        <v/>
      </c>
      <c r="AE375" s="9" t="str">
        <f t="shared" si="57"/>
        <v/>
      </c>
      <c r="AF375" s="10" t="str">
        <f t="shared" si="58"/>
        <v/>
      </c>
      <c r="AG375" s="10" t="str">
        <f t="shared" si="59"/>
        <v/>
      </c>
      <c r="AH375" s="10" t="str">
        <f t="shared" si="60"/>
        <v/>
      </c>
      <c r="AI375" s="10" t="str">
        <f t="shared" si="61"/>
        <v/>
      </c>
      <c r="AJ375" s="10" t="str">
        <f t="shared" si="62"/>
        <v/>
      </c>
      <c r="AK375" s="10" t="str">
        <f t="shared" si="63"/>
        <v/>
      </c>
      <c r="AL375" s="14" t="str">
        <f t="shared" si="64"/>
        <v/>
      </c>
    </row>
    <row r="376" spans="1:38" x14ac:dyDescent="0.2">
      <c r="A376"/>
      <c r="B376" t="str">
        <f>IF($A376="","",VLOOKUP($A376,JupData!$A$2:$I$10000,4,FALSE))</f>
        <v/>
      </c>
      <c r="C376" s="7" t="str">
        <f>IF($A376="",IF(N(D376),0,""),VLOOKUP($A376,JupData!$A$2:$I$10000,7,FALSE))</f>
        <v/>
      </c>
      <c r="D376" t="str">
        <f t="shared" si="65"/>
        <v/>
      </c>
      <c r="E376" t="str">
        <f t="array" ref="E376">IF($A376="","",INDEX(JupData!$A$2:$K$10000,MATCH($A376&amp;E$1,JupData!$A$2:$A$10000&amp;JupData!$J$2:$J$10000,0),11))</f>
        <v/>
      </c>
      <c r="F376" t="str">
        <f t="array" ref="F376">IF($A376="","",INDEX(JupData!$A$2:$K$10000,MATCH($A376&amp;F$1,JupData!$A$2:$A$10000&amp;JupData!$J$2:$J$10000,0),11))</f>
        <v/>
      </c>
      <c r="G376" t="str">
        <f t="array" ref="G376">IF($A376="","",INDEX(JupData!$A$2:$K$10000,MATCH($A376&amp;G$1,JupData!$A$2:$A$10000&amp;JupData!$J$2:$J$10000,0),11))</f>
        <v/>
      </c>
      <c r="H376" t="str">
        <f t="array" ref="H376">IF($A376="","",INDEX(JupData!$A$2:$K$10000,MATCH($A376&amp;H$1,JupData!$A$2:$A$10000&amp;JupData!$J$2:$J$10000,0),11))</f>
        <v/>
      </c>
      <c r="I376" t="str">
        <f t="array" ref="I376">IF($A376="","",INDEX(JupData!$A$2:$K$10000,MATCH($A376&amp;I$1,JupData!$A$2:$A$10000&amp;JupData!$J$2:$J$10000,0),11))</f>
        <v/>
      </c>
      <c r="J376" t="str">
        <f t="array" ref="J376">IF($A376="","",INDEX(JupData!$A$2:$K$10000,MATCH($A376&amp;J$1,JupData!$A$2:$A$10000&amp;JupData!$J$2:$J$10000,0),11))</f>
        <v/>
      </c>
      <c r="K376" t="str">
        <f t="array" ref="K376">IF($A376="","",INDEX(JupData!$A$2:$K$10000,MATCH($A376&amp;K$1,JupData!$A$2:$A$10000&amp;JupData!$J$2:$J$10000,0),11))</f>
        <v/>
      </c>
      <c r="L376" t="str">
        <f t="array" ref="L376">IF($A376="","",INDEX(JupData!$A$2:$K$10000,MATCH($A376&amp;L$1,JupData!$A$2:$A$10000&amp;JupData!$J$2:$J$10000,0),11))</f>
        <v/>
      </c>
      <c r="M376" t="str">
        <f t="array" ref="M376">IF($A376="","",INDEX(JupData!$A$2:$K$10000,MATCH($A376&amp;M$1,JupData!$A$2:$A$10000&amp;JupData!$J$2:$J$10000,0),11))</f>
        <v/>
      </c>
      <c r="N376" t="str">
        <f t="array" ref="N376">IF($A376="","",INDEX(JupData!$A$2:$K$10000,MATCH($A376&amp;N$1,JupData!$A$2:$A$10000&amp;JupData!$J$2:$J$10000,0),11))</f>
        <v/>
      </c>
      <c r="O376" t="str">
        <f t="array" ref="O376">IF($A376="","",INDEX(JupData!$A$2:$K$10000,MATCH($A376&amp;O$1,JupData!$A$2:$A$10000&amp;JupData!$J$2:$J$10000,0),11))</f>
        <v/>
      </c>
      <c r="P376" t="str">
        <f t="array" ref="P376">IF($A376="","",INDEX(JupData!$A$2:$K$10000,MATCH($A376&amp;P$1,JupData!$A$2:$A$10000&amp;JupData!$J$2:$J$10000,0),11))</f>
        <v/>
      </c>
      <c r="Q376" t="str">
        <f t="array" ref="Q376">IF($A376="","",INDEX(JupData!$A$2:$K$10000,MATCH($A376&amp;Q$1,JupData!$A$2:$A$10000&amp;JupData!$J$2:$J$10000,0),11))</f>
        <v/>
      </c>
      <c r="R376" t="str">
        <f t="array" ref="R376">IF($A376="","",INDEX(JupData!$A$2:$K$10000,MATCH($A376&amp;R$1,JupData!$A$2:$A$10000&amp;JupData!$J$2:$J$10000,0),11))</f>
        <v/>
      </c>
      <c r="S376" t="str">
        <f t="array" ref="S376">IF($A376="","",INDEX(JupData!$A$2:$K$10000,MATCH($A376&amp;S$1,JupData!$A$2:$A$10000&amp;JupData!$J$2:$J$10000,0),11))</f>
        <v/>
      </c>
      <c r="T376" t="str">
        <f t="array" ref="T376">IF($A376="","",INDEX(JupData!$A$2:$K$10000,MATCH($A376&amp;T$1,JupData!$A$2:$A$10000&amp;JupData!$J$2:$J$10000,0),11))</f>
        <v/>
      </c>
      <c r="U376" t="str">
        <f t="array" ref="U376">IF($A376="","",INDEX(JupData!$A$2:$K$10000,MATCH($A376&amp;U$1,JupData!$A$2:$A$10000&amp;JupData!$J$2:$J$10000,0),11))</f>
        <v/>
      </c>
      <c r="V376" t="str">
        <f t="array" ref="V376">IF($A376="","",INDEX(JupData!$A$2:$K$10000,MATCH($A376&amp;V$1,JupData!$A$2:$A$10000&amp;JupData!$J$2:$J$10000,0),11))</f>
        <v/>
      </c>
      <c r="W376" t="str">
        <f t="array" ref="W376">IF($A376="","",INDEX(JupData!$A$2:$K$10000,MATCH($A376&amp;W$1,JupData!$A$2:$A$10000&amp;JupData!$J$2:$J$10000,0),11))</f>
        <v/>
      </c>
      <c r="X376" t="str">
        <f t="array" ref="X376">IF($A376="","",INDEX(JupData!$A$2:$K$10000,MATCH($A376&amp;X$1,JupData!$A$2:$A$10000&amp;JupData!$J$2:$J$10000,0),11))</f>
        <v/>
      </c>
      <c r="Y376" t="str">
        <f t="array" ref="Y376">IF($A376="","",INDEX(JupData!$A$2:$K$10000,MATCH($A376&amp;Y$1,JupData!$A$2:$A$10000&amp;JupData!$J$2:$J$10000,0),11))</f>
        <v/>
      </c>
      <c r="Z376" t="str">
        <f t="array" ref="Z376">IF($A376="","",INDEX(JupData!$A$2:$K$10000,MATCH($A376&amp;Z$1,JupData!$A$2:$A$10000&amp;JupData!$J$2:$J$10000,0),11))</f>
        <v/>
      </c>
      <c r="AA376" t="str">
        <f t="array" ref="AA376">IF($A376="","",INDEX(JupData!$A$2:$K$10000,MATCH($A376&amp;AA$1,JupData!$A$2:$A$10000&amp;JupData!$J$2:$J$10000,0),11))</f>
        <v/>
      </c>
      <c r="AB376" t="str">
        <f t="array" ref="AB376">IF($A376="","",INDEX(JupData!$A$2:$K$10000,MATCH($A376&amp;AB$1,JupData!$A$2:$A$10000&amp;JupData!$J$2:$J$10000,0),11))</f>
        <v/>
      </c>
      <c r="AC376" s="10" t="str">
        <f t="shared" si="55"/>
        <v/>
      </c>
      <c r="AD376" s="10" t="str">
        <f t="shared" si="56"/>
        <v/>
      </c>
      <c r="AE376" s="9" t="str">
        <f t="shared" si="57"/>
        <v/>
      </c>
      <c r="AF376" s="10" t="str">
        <f t="shared" si="58"/>
        <v/>
      </c>
      <c r="AG376" s="10" t="str">
        <f t="shared" si="59"/>
        <v/>
      </c>
      <c r="AH376" s="10" t="str">
        <f t="shared" si="60"/>
        <v/>
      </c>
      <c r="AI376" s="10" t="str">
        <f t="shared" si="61"/>
        <v/>
      </c>
      <c r="AJ376" s="10" t="str">
        <f t="shared" si="62"/>
        <v/>
      </c>
      <c r="AK376" s="10" t="str">
        <f t="shared" si="63"/>
        <v/>
      </c>
      <c r="AL376" s="14" t="str">
        <f t="shared" si="64"/>
        <v/>
      </c>
    </row>
    <row r="377" spans="1:38" x14ac:dyDescent="0.2">
      <c r="A377"/>
      <c r="B377" t="str">
        <f>IF($A377="","",VLOOKUP($A377,JupData!$A$2:$I$10000,4,FALSE))</f>
        <v/>
      </c>
      <c r="C377" s="7" t="str">
        <f>IF($A377="",IF(N(D377),0,""),VLOOKUP($A377,JupData!$A$2:$I$10000,7,FALSE))</f>
        <v/>
      </c>
      <c r="D377" t="str">
        <f t="shared" si="65"/>
        <v/>
      </c>
      <c r="E377" t="str">
        <f t="array" ref="E377">IF($A377="","",INDEX(JupData!$A$2:$K$10000,MATCH($A377&amp;E$1,JupData!$A$2:$A$10000&amp;JupData!$J$2:$J$10000,0),11))</f>
        <v/>
      </c>
      <c r="F377" t="str">
        <f t="array" ref="F377">IF($A377="","",INDEX(JupData!$A$2:$K$10000,MATCH($A377&amp;F$1,JupData!$A$2:$A$10000&amp;JupData!$J$2:$J$10000,0),11))</f>
        <v/>
      </c>
      <c r="G377" t="str">
        <f t="array" ref="G377">IF($A377="","",INDEX(JupData!$A$2:$K$10000,MATCH($A377&amp;G$1,JupData!$A$2:$A$10000&amp;JupData!$J$2:$J$10000,0),11))</f>
        <v/>
      </c>
      <c r="H377" t="str">
        <f t="array" ref="H377">IF($A377="","",INDEX(JupData!$A$2:$K$10000,MATCH($A377&amp;H$1,JupData!$A$2:$A$10000&amp;JupData!$J$2:$J$10000,0),11))</f>
        <v/>
      </c>
      <c r="I377" t="str">
        <f t="array" ref="I377">IF($A377="","",INDEX(JupData!$A$2:$K$10000,MATCH($A377&amp;I$1,JupData!$A$2:$A$10000&amp;JupData!$J$2:$J$10000,0),11))</f>
        <v/>
      </c>
      <c r="J377" t="str">
        <f t="array" ref="J377">IF($A377="","",INDEX(JupData!$A$2:$K$10000,MATCH($A377&amp;J$1,JupData!$A$2:$A$10000&amp;JupData!$J$2:$J$10000,0),11))</f>
        <v/>
      </c>
      <c r="K377" t="str">
        <f t="array" ref="K377">IF($A377="","",INDEX(JupData!$A$2:$K$10000,MATCH($A377&amp;K$1,JupData!$A$2:$A$10000&amp;JupData!$J$2:$J$10000,0),11))</f>
        <v/>
      </c>
      <c r="L377" t="str">
        <f t="array" ref="L377">IF($A377="","",INDEX(JupData!$A$2:$K$10000,MATCH($A377&amp;L$1,JupData!$A$2:$A$10000&amp;JupData!$J$2:$J$10000,0),11))</f>
        <v/>
      </c>
      <c r="M377" t="str">
        <f t="array" ref="M377">IF($A377="","",INDEX(JupData!$A$2:$K$10000,MATCH($A377&amp;M$1,JupData!$A$2:$A$10000&amp;JupData!$J$2:$J$10000,0),11))</f>
        <v/>
      </c>
      <c r="N377" t="str">
        <f t="array" ref="N377">IF($A377="","",INDEX(JupData!$A$2:$K$10000,MATCH($A377&amp;N$1,JupData!$A$2:$A$10000&amp;JupData!$J$2:$J$10000,0),11))</f>
        <v/>
      </c>
      <c r="O377" t="str">
        <f t="array" ref="O377">IF($A377="","",INDEX(JupData!$A$2:$K$10000,MATCH($A377&amp;O$1,JupData!$A$2:$A$10000&amp;JupData!$J$2:$J$10000,0),11))</f>
        <v/>
      </c>
      <c r="P377" t="str">
        <f t="array" ref="P377">IF($A377="","",INDEX(JupData!$A$2:$K$10000,MATCH($A377&amp;P$1,JupData!$A$2:$A$10000&amp;JupData!$J$2:$J$10000,0),11))</f>
        <v/>
      </c>
      <c r="Q377" t="str">
        <f t="array" ref="Q377">IF($A377="","",INDEX(JupData!$A$2:$K$10000,MATCH($A377&amp;Q$1,JupData!$A$2:$A$10000&amp;JupData!$J$2:$J$10000,0),11))</f>
        <v/>
      </c>
      <c r="R377" t="str">
        <f t="array" ref="R377">IF($A377="","",INDEX(JupData!$A$2:$K$10000,MATCH($A377&amp;R$1,JupData!$A$2:$A$10000&amp;JupData!$J$2:$J$10000,0),11))</f>
        <v/>
      </c>
      <c r="S377" t="str">
        <f t="array" ref="S377">IF($A377="","",INDEX(JupData!$A$2:$K$10000,MATCH($A377&amp;S$1,JupData!$A$2:$A$10000&amp;JupData!$J$2:$J$10000,0),11))</f>
        <v/>
      </c>
      <c r="T377" t="str">
        <f t="array" ref="T377">IF($A377="","",INDEX(JupData!$A$2:$K$10000,MATCH($A377&amp;T$1,JupData!$A$2:$A$10000&amp;JupData!$J$2:$J$10000,0),11))</f>
        <v/>
      </c>
      <c r="U377" t="str">
        <f t="array" ref="U377">IF($A377="","",INDEX(JupData!$A$2:$K$10000,MATCH($A377&amp;U$1,JupData!$A$2:$A$10000&amp;JupData!$J$2:$J$10000,0),11))</f>
        <v/>
      </c>
      <c r="V377" t="str">
        <f t="array" ref="V377">IF($A377="","",INDEX(JupData!$A$2:$K$10000,MATCH($A377&amp;V$1,JupData!$A$2:$A$10000&amp;JupData!$J$2:$J$10000,0),11))</f>
        <v/>
      </c>
      <c r="W377" t="str">
        <f t="array" ref="W377">IF($A377="","",INDEX(JupData!$A$2:$K$10000,MATCH($A377&amp;W$1,JupData!$A$2:$A$10000&amp;JupData!$J$2:$J$10000,0),11))</f>
        <v/>
      </c>
      <c r="X377" t="str">
        <f t="array" ref="X377">IF($A377="","",INDEX(JupData!$A$2:$K$10000,MATCH($A377&amp;X$1,JupData!$A$2:$A$10000&amp;JupData!$J$2:$J$10000,0),11))</f>
        <v/>
      </c>
      <c r="Y377" t="str">
        <f t="array" ref="Y377">IF($A377="","",INDEX(JupData!$A$2:$K$10000,MATCH($A377&amp;Y$1,JupData!$A$2:$A$10000&amp;JupData!$J$2:$J$10000,0),11))</f>
        <v/>
      </c>
      <c r="Z377" t="str">
        <f t="array" ref="Z377">IF($A377="","",INDEX(JupData!$A$2:$K$10000,MATCH($A377&amp;Z$1,JupData!$A$2:$A$10000&amp;JupData!$J$2:$J$10000,0),11))</f>
        <v/>
      </c>
      <c r="AA377" t="str">
        <f t="array" ref="AA377">IF($A377="","",INDEX(JupData!$A$2:$K$10000,MATCH($A377&amp;AA$1,JupData!$A$2:$A$10000&amp;JupData!$J$2:$J$10000,0),11))</f>
        <v/>
      </c>
      <c r="AB377" t="str">
        <f t="array" ref="AB377">IF($A377="","",INDEX(JupData!$A$2:$K$10000,MATCH($A377&amp;AB$1,JupData!$A$2:$A$10000&amp;JupData!$J$2:$J$10000,0),11))</f>
        <v/>
      </c>
      <c r="AC377" s="10" t="str">
        <f t="shared" si="55"/>
        <v/>
      </c>
      <c r="AD377" s="10" t="str">
        <f t="shared" si="56"/>
        <v/>
      </c>
      <c r="AE377" s="9" t="str">
        <f t="shared" si="57"/>
        <v/>
      </c>
      <c r="AF377" s="10" t="str">
        <f t="shared" si="58"/>
        <v/>
      </c>
      <c r="AG377" s="10" t="str">
        <f t="shared" si="59"/>
        <v/>
      </c>
      <c r="AH377" s="10" t="str">
        <f t="shared" si="60"/>
        <v/>
      </c>
      <c r="AI377" s="10" t="str">
        <f t="shared" si="61"/>
        <v/>
      </c>
      <c r="AJ377" s="10" t="str">
        <f t="shared" si="62"/>
        <v/>
      </c>
      <c r="AK377" s="10" t="str">
        <f t="shared" si="63"/>
        <v/>
      </c>
      <c r="AL377" s="14" t="str">
        <f t="shared" si="64"/>
        <v/>
      </c>
    </row>
    <row r="378" spans="1:38" x14ac:dyDescent="0.2">
      <c r="A378"/>
      <c r="B378" t="str">
        <f>IF($A378="","",VLOOKUP($A378,JupData!$A$2:$I$10000,4,FALSE))</f>
        <v/>
      </c>
      <c r="C378" s="7" t="str">
        <f>IF($A378="",IF(N(D378),0,""),VLOOKUP($A378,JupData!$A$2:$I$10000,7,FALSE))</f>
        <v/>
      </c>
      <c r="D378" t="str">
        <f t="shared" si="65"/>
        <v/>
      </c>
      <c r="E378" t="str">
        <f t="array" ref="E378">IF($A378="","",INDEX(JupData!$A$2:$K$10000,MATCH($A378&amp;E$1,JupData!$A$2:$A$10000&amp;JupData!$J$2:$J$10000,0),11))</f>
        <v/>
      </c>
      <c r="F378" t="str">
        <f t="array" ref="F378">IF($A378="","",INDEX(JupData!$A$2:$K$10000,MATCH($A378&amp;F$1,JupData!$A$2:$A$10000&amp;JupData!$J$2:$J$10000,0),11))</f>
        <v/>
      </c>
      <c r="G378" t="str">
        <f t="array" ref="G378">IF($A378="","",INDEX(JupData!$A$2:$K$10000,MATCH($A378&amp;G$1,JupData!$A$2:$A$10000&amp;JupData!$J$2:$J$10000,0),11))</f>
        <v/>
      </c>
      <c r="H378" t="str">
        <f t="array" ref="H378">IF($A378="","",INDEX(JupData!$A$2:$K$10000,MATCH($A378&amp;H$1,JupData!$A$2:$A$10000&amp;JupData!$J$2:$J$10000,0),11))</f>
        <v/>
      </c>
      <c r="I378" t="str">
        <f t="array" ref="I378">IF($A378="","",INDEX(JupData!$A$2:$K$10000,MATCH($A378&amp;I$1,JupData!$A$2:$A$10000&amp;JupData!$J$2:$J$10000,0),11))</f>
        <v/>
      </c>
      <c r="J378" t="str">
        <f t="array" ref="J378">IF($A378="","",INDEX(JupData!$A$2:$K$10000,MATCH($A378&amp;J$1,JupData!$A$2:$A$10000&amp;JupData!$J$2:$J$10000,0),11))</f>
        <v/>
      </c>
      <c r="K378" t="str">
        <f t="array" ref="K378">IF($A378="","",INDEX(JupData!$A$2:$K$10000,MATCH($A378&amp;K$1,JupData!$A$2:$A$10000&amp;JupData!$J$2:$J$10000,0),11))</f>
        <v/>
      </c>
      <c r="L378" t="str">
        <f t="array" ref="L378">IF($A378="","",INDEX(JupData!$A$2:$K$10000,MATCH($A378&amp;L$1,JupData!$A$2:$A$10000&amp;JupData!$J$2:$J$10000,0),11))</f>
        <v/>
      </c>
      <c r="M378" t="str">
        <f t="array" ref="M378">IF($A378="","",INDEX(JupData!$A$2:$K$10000,MATCH($A378&amp;M$1,JupData!$A$2:$A$10000&amp;JupData!$J$2:$J$10000,0),11))</f>
        <v/>
      </c>
      <c r="N378" t="str">
        <f t="array" ref="N378">IF($A378="","",INDEX(JupData!$A$2:$K$10000,MATCH($A378&amp;N$1,JupData!$A$2:$A$10000&amp;JupData!$J$2:$J$10000,0),11))</f>
        <v/>
      </c>
      <c r="O378" t="str">
        <f t="array" ref="O378">IF($A378="","",INDEX(JupData!$A$2:$K$10000,MATCH($A378&amp;O$1,JupData!$A$2:$A$10000&amp;JupData!$J$2:$J$10000,0),11))</f>
        <v/>
      </c>
      <c r="P378" t="str">
        <f t="array" ref="P378">IF($A378="","",INDEX(JupData!$A$2:$K$10000,MATCH($A378&amp;P$1,JupData!$A$2:$A$10000&amp;JupData!$J$2:$J$10000,0),11))</f>
        <v/>
      </c>
      <c r="Q378" t="str">
        <f t="array" ref="Q378">IF($A378="","",INDEX(JupData!$A$2:$K$10000,MATCH($A378&amp;Q$1,JupData!$A$2:$A$10000&amp;JupData!$J$2:$J$10000,0),11))</f>
        <v/>
      </c>
      <c r="R378" t="str">
        <f t="array" ref="R378">IF($A378="","",INDEX(JupData!$A$2:$K$10000,MATCH($A378&amp;R$1,JupData!$A$2:$A$10000&amp;JupData!$J$2:$J$10000,0),11))</f>
        <v/>
      </c>
      <c r="S378" t="str">
        <f t="array" ref="S378">IF($A378="","",INDEX(JupData!$A$2:$K$10000,MATCH($A378&amp;S$1,JupData!$A$2:$A$10000&amp;JupData!$J$2:$J$10000,0),11))</f>
        <v/>
      </c>
      <c r="T378" t="str">
        <f t="array" ref="T378">IF($A378="","",INDEX(JupData!$A$2:$K$10000,MATCH($A378&amp;T$1,JupData!$A$2:$A$10000&amp;JupData!$J$2:$J$10000,0),11))</f>
        <v/>
      </c>
      <c r="U378" t="str">
        <f t="array" ref="U378">IF($A378="","",INDEX(JupData!$A$2:$K$10000,MATCH($A378&amp;U$1,JupData!$A$2:$A$10000&amp;JupData!$J$2:$J$10000,0),11))</f>
        <v/>
      </c>
      <c r="V378" t="str">
        <f t="array" ref="V378">IF($A378="","",INDEX(JupData!$A$2:$K$10000,MATCH($A378&amp;V$1,JupData!$A$2:$A$10000&amp;JupData!$J$2:$J$10000,0),11))</f>
        <v/>
      </c>
      <c r="W378" t="str">
        <f t="array" ref="W378">IF($A378="","",INDEX(JupData!$A$2:$K$10000,MATCH($A378&amp;W$1,JupData!$A$2:$A$10000&amp;JupData!$J$2:$J$10000,0),11))</f>
        <v/>
      </c>
      <c r="X378" t="str">
        <f t="array" ref="X378">IF($A378="","",INDEX(JupData!$A$2:$K$10000,MATCH($A378&amp;X$1,JupData!$A$2:$A$10000&amp;JupData!$J$2:$J$10000,0),11))</f>
        <v/>
      </c>
      <c r="Y378" t="str">
        <f t="array" ref="Y378">IF($A378="","",INDEX(JupData!$A$2:$K$10000,MATCH($A378&amp;Y$1,JupData!$A$2:$A$10000&amp;JupData!$J$2:$J$10000,0),11))</f>
        <v/>
      </c>
      <c r="Z378" t="str">
        <f t="array" ref="Z378">IF($A378="","",INDEX(JupData!$A$2:$K$10000,MATCH($A378&amp;Z$1,JupData!$A$2:$A$10000&amp;JupData!$J$2:$J$10000,0),11))</f>
        <v/>
      </c>
      <c r="AA378" t="str">
        <f t="array" ref="AA378">IF($A378="","",INDEX(JupData!$A$2:$K$10000,MATCH($A378&amp;AA$1,JupData!$A$2:$A$10000&amp;JupData!$J$2:$J$10000,0),11))</f>
        <v/>
      </c>
      <c r="AB378" t="str">
        <f t="array" ref="AB378">IF($A378="","",INDEX(JupData!$A$2:$K$10000,MATCH($A378&amp;AB$1,JupData!$A$2:$A$10000&amp;JupData!$J$2:$J$10000,0),11))</f>
        <v/>
      </c>
      <c r="AC378" s="10" t="str">
        <f t="shared" si="55"/>
        <v/>
      </c>
      <c r="AD378" s="10" t="str">
        <f t="shared" si="56"/>
        <v/>
      </c>
      <c r="AE378" s="9" t="str">
        <f t="shared" si="57"/>
        <v/>
      </c>
      <c r="AF378" s="10" t="str">
        <f t="shared" si="58"/>
        <v/>
      </c>
      <c r="AG378" s="10" t="str">
        <f t="shared" si="59"/>
        <v/>
      </c>
      <c r="AH378" s="10" t="str">
        <f t="shared" si="60"/>
        <v/>
      </c>
      <c r="AI378" s="10" t="str">
        <f t="shared" si="61"/>
        <v/>
      </c>
      <c r="AJ378" s="10" t="str">
        <f t="shared" si="62"/>
        <v/>
      </c>
      <c r="AK378" s="10" t="str">
        <f t="shared" si="63"/>
        <v/>
      </c>
      <c r="AL378" s="14" t="str">
        <f t="shared" si="64"/>
        <v/>
      </c>
    </row>
    <row r="379" spans="1:38" x14ac:dyDescent="0.2">
      <c r="A379"/>
      <c r="B379" t="str">
        <f>IF($A379="","",VLOOKUP($A379,JupData!$A$2:$I$10000,4,FALSE))</f>
        <v/>
      </c>
      <c r="C379" s="7" t="str">
        <f>IF($A379="",IF(N(D379),0,""),VLOOKUP($A379,JupData!$A$2:$I$10000,7,FALSE))</f>
        <v/>
      </c>
      <c r="D379" t="str">
        <f t="shared" si="65"/>
        <v/>
      </c>
      <c r="E379" t="str">
        <f t="array" ref="E379">IF($A379="","",INDEX(JupData!$A$2:$K$10000,MATCH($A379&amp;E$1,JupData!$A$2:$A$10000&amp;JupData!$J$2:$J$10000,0),11))</f>
        <v/>
      </c>
      <c r="F379" t="str">
        <f t="array" ref="F379">IF($A379="","",INDEX(JupData!$A$2:$K$10000,MATCH($A379&amp;F$1,JupData!$A$2:$A$10000&amp;JupData!$J$2:$J$10000,0),11))</f>
        <v/>
      </c>
      <c r="G379" t="str">
        <f t="array" ref="G379">IF($A379="","",INDEX(JupData!$A$2:$K$10000,MATCH($A379&amp;G$1,JupData!$A$2:$A$10000&amp;JupData!$J$2:$J$10000,0),11))</f>
        <v/>
      </c>
      <c r="H379" t="str">
        <f t="array" ref="H379">IF($A379="","",INDEX(JupData!$A$2:$K$10000,MATCH($A379&amp;H$1,JupData!$A$2:$A$10000&amp;JupData!$J$2:$J$10000,0),11))</f>
        <v/>
      </c>
      <c r="I379" t="str">
        <f t="array" ref="I379">IF($A379="","",INDEX(JupData!$A$2:$K$10000,MATCH($A379&amp;I$1,JupData!$A$2:$A$10000&amp;JupData!$J$2:$J$10000,0),11))</f>
        <v/>
      </c>
      <c r="J379" t="str">
        <f t="array" ref="J379">IF($A379="","",INDEX(JupData!$A$2:$K$10000,MATCH($A379&amp;J$1,JupData!$A$2:$A$10000&amp;JupData!$J$2:$J$10000,0),11))</f>
        <v/>
      </c>
      <c r="K379" t="str">
        <f t="array" ref="K379">IF($A379="","",INDEX(JupData!$A$2:$K$10000,MATCH($A379&amp;K$1,JupData!$A$2:$A$10000&amp;JupData!$J$2:$J$10000,0),11))</f>
        <v/>
      </c>
      <c r="L379" t="str">
        <f t="array" ref="L379">IF($A379="","",INDEX(JupData!$A$2:$K$10000,MATCH($A379&amp;L$1,JupData!$A$2:$A$10000&amp;JupData!$J$2:$J$10000,0),11))</f>
        <v/>
      </c>
      <c r="M379" t="str">
        <f t="array" ref="M379">IF($A379="","",INDEX(JupData!$A$2:$K$10000,MATCH($A379&amp;M$1,JupData!$A$2:$A$10000&amp;JupData!$J$2:$J$10000,0),11))</f>
        <v/>
      </c>
      <c r="N379" t="str">
        <f t="array" ref="N379">IF($A379="","",INDEX(JupData!$A$2:$K$10000,MATCH($A379&amp;N$1,JupData!$A$2:$A$10000&amp;JupData!$J$2:$J$10000,0),11))</f>
        <v/>
      </c>
      <c r="O379" t="str">
        <f t="array" ref="O379">IF($A379="","",INDEX(JupData!$A$2:$K$10000,MATCH($A379&amp;O$1,JupData!$A$2:$A$10000&amp;JupData!$J$2:$J$10000,0),11))</f>
        <v/>
      </c>
      <c r="P379" t="str">
        <f t="array" ref="P379">IF($A379="","",INDEX(JupData!$A$2:$K$10000,MATCH($A379&amp;P$1,JupData!$A$2:$A$10000&amp;JupData!$J$2:$J$10000,0),11))</f>
        <v/>
      </c>
      <c r="Q379" t="str">
        <f t="array" ref="Q379">IF($A379="","",INDEX(JupData!$A$2:$K$10000,MATCH($A379&amp;Q$1,JupData!$A$2:$A$10000&amp;JupData!$J$2:$J$10000,0),11))</f>
        <v/>
      </c>
      <c r="R379" t="str">
        <f t="array" ref="R379">IF($A379="","",INDEX(JupData!$A$2:$K$10000,MATCH($A379&amp;R$1,JupData!$A$2:$A$10000&amp;JupData!$J$2:$J$10000,0),11))</f>
        <v/>
      </c>
      <c r="S379" t="str">
        <f t="array" ref="S379">IF($A379="","",INDEX(JupData!$A$2:$K$10000,MATCH($A379&amp;S$1,JupData!$A$2:$A$10000&amp;JupData!$J$2:$J$10000,0),11))</f>
        <v/>
      </c>
      <c r="T379" t="str">
        <f t="array" ref="T379">IF($A379="","",INDEX(JupData!$A$2:$K$10000,MATCH($A379&amp;T$1,JupData!$A$2:$A$10000&amp;JupData!$J$2:$J$10000,0),11))</f>
        <v/>
      </c>
      <c r="U379" t="str">
        <f t="array" ref="U379">IF($A379="","",INDEX(JupData!$A$2:$K$10000,MATCH($A379&amp;U$1,JupData!$A$2:$A$10000&amp;JupData!$J$2:$J$10000,0),11))</f>
        <v/>
      </c>
      <c r="V379" t="str">
        <f t="array" ref="V379">IF($A379="","",INDEX(JupData!$A$2:$K$10000,MATCH($A379&amp;V$1,JupData!$A$2:$A$10000&amp;JupData!$J$2:$J$10000,0),11))</f>
        <v/>
      </c>
      <c r="W379" t="str">
        <f t="array" ref="W379">IF($A379="","",INDEX(JupData!$A$2:$K$10000,MATCH($A379&amp;W$1,JupData!$A$2:$A$10000&amp;JupData!$J$2:$J$10000,0),11))</f>
        <v/>
      </c>
      <c r="X379" t="str">
        <f t="array" ref="X379">IF($A379="","",INDEX(JupData!$A$2:$K$10000,MATCH($A379&amp;X$1,JupData!$A$2:$A$10000&amp;JupData!$J$2:$J$10000,0),11))</f>
        <v/>
      </c>
      <c r="Y379" t="str">
        <f t="array" ref="Y379">IF($A379="","",INDEX(JupData!$A$2:$K$10000,MATCH($A379&amp;Y$1,JupData!$A$2:$A$10000&amp;JupData!$J$2:$J$10000,0),11))</f>
        <v/>
      </c>
      <c r="Z379" t="str">
        <f t="array" ref="Z379">IF($A379="","",INDEX(JupData!$A$2:$K$10000,MATCH($A379&amp;Z$1,JupData!$A$2:$A$10000&amp;JupData!$J$2:$J$10000,0),11))</f>
        <v/>
      </c>
      <c r="AA379" t="str">
        <f t="array" ref="AA379">IF($A379="","",INDEX(JupData!$A$2:$K$10000,MATCH($A379&amp;AA$1,JupData!$A$2:$A$10000&amp;JupData!$J$2:$J$10000,0),11))</f>
        <v/>
      </c>
      <c r="AB379" t="str">
        <f t="array" ref="AB379">IF($A379="","",INDEX(JupData!$A$2:$K$10000,MATCH($A379&amp;AB$1,JupData!$A$2:$A$10000&amp;JupData!$J$2:$J$10000,0),11))</f>
        <v/>
      </c>
      <c r="AC379" s="10" t="str">
        <f t="shared" si="55"/>
        <v/>
      </c>
      <c r="AD379" s="10" t="str">
        <f t="shared" si="56"/>
        <v/>
      </c>
      <c r="AE379" s="9" t="str">
        <f t="shared" si="57"/>
        <v/>
      </c>
      <c r="AF379" s="10" t="str">
        <f t="shared" si="58"/>
        <v/>
      </c>
      <c r="AG379" s="10" t="str">
        <f t="shared" si="59"/>
        <v/>
      </c>
      <c r="AH379" s="10" t="str">
        <f t="shared" si="60"/>
        <v/>
      </c>
      <c r="AI379" s="10" t="str">
        <f t="shared" si="61"/>
        <v/>
      </c>
      <c r="AJ379" s="10" t="str">
        <f t="shared" si="62"/>
        <v/>
      </c>
      <c r="AK379" s="10" t="str">
        <f t="shared" si="63"/>
        <v/>
      </c>
      <c r="AL379" s="14" t="str">
        <f t="shared" si="64"/>
        <v/>
      </c>
    </row>
    <row r="380" spans="1:38" x14ac:dyDescent="0.2">
      <c r="A380"/>
      <c r="B380" t="str">
        <f>IF($A380="","",VLOOKUP($A380,JupData!$A$2:$I$10000,4,FALSE))</f>
        <v/>
      </c>
      <c r="C380" s="7" t="str">
        <f>IF($A380="",IF(N(D380),0,""),VLOOKUP($A380,JupData!$A$2:$I$10000,7,FALSE))</f>
        <v/>
      </c>
      <c r="D380" t="str">
        <f t="shared" si="65"/>
        <v/>
      </c>
      <c r="E380" t="str">
        <f t="array" ref="E380">IF($A380="","",INDEX(JupData!$A$2:$K$10000,MATCH($A380&amp;E$1,JupData!$A$2:$A$10000&amp;JupData!$J$2:$J$10000,0),11))</f>
        <v/>
      </c>
      <c r="F380" t="str">
        <f t="array" ref="F380">IF($A380="","",INDEX(JupData!$A$2:$K$10000,MATCH($A380&amp;F$1,JupData!$A$2:$A$10000&amp;JupData!$J$2:$J$10000,0),11))</f>
        <v/>
      </c>
      <c r="G380" t="str">
        <f t="array" ref="G380">IF($A380="","",INDEX(JupData!$A$2:$K$10000,MATCH($A380&amp;G$1,JupData!$A$2:$A$10000&amp;JupData!$J$2:$J$10000,0),11))</f>
        <v/>
      </c>
      <c r="H380" t="str">
        <f t="array" ref="H380">IF($A380="","",INDEX(JupData!$A$2:$K$10000,MATCH($A380&amp;H$1,JupData!$A$2:$A$10000&amp;JupData!$J$2:$J$10000,0),11))</f>
        <v/>
      </c>
      <c r="I380" t="str">
        <f t="array" ref="I380">IF($A380="","",INDEX(JupData!$A$2:$K$10000,MATCH($A380&amp;I$1,JupData!$A$2:$A$10000&amp;JupData!$J$2:$J$10000,0),11))</f>
        <v/>
      </c>
      <c r="J380" t="str">
        <f t="array" ref="J380">IF($A380="","",INDEX(JupData!$A$2:$K$10000,MATCH($A380&amp;J$1,JupData!$A$2:$A$10000&amp;JupData!$J$2:$J$10000,0),11))</f>
        <v/>
      </c>
      <c r="K380" t="str">
        <f t="array" ref="K380">IF($A380="","",INDEX(JupData!$A$2:$K$10000,MATCH($A380&amp;K$1,JupData!$A$2:$A$10000&amp;JupData!$J$2:$J$10000,0),11))</f>
        <v/>
      </c>
      <c r="L380" t="str">
        <f t="array" ref="L380">IF($A380="","",INDEX(JupData!$A$2:$K$10000,MATCH($A380&amp;L$1,JupData!$A$2:$A$10000&amp;JupData!$J$2:$J$10000,0),11))</f>
        <v/>
      </c>
      <c r="M380" t="str">
        <f t="array" ref="M380">IF($A380="","",INDEX(JupData!$A$2:$K$10000,MATCH($A380&amp;M$1,JupData!$A$2:$A$10000&amp;JupData!$J$2:$J$10000,0),11))</f>
        <v/>
      </c>
      <c r="N380" t="str">
        <f t="array" ref="N380">IF($A380="","",INDEX(JupData!$A$2:$K$10000,MATCH($A380&amp;N$1,JupData!$A$2:$A$10000&amp;JupData!$J$2:$J$10000,0),11))</f>
        <v/>
      </c>
      <c r="O380" t="str">
        <f t="array" ref="O380">IF($A380="","",INDEX(JupData!$A$2:$K$10000,MATCH($A380&amp;O$1,JupData!$A$2:$A$10000&amp;JupData!$J$2:$J$10000,0),11))</f>
        <v/>
      </c>
      <c r="P380" t="str">
        <f t="array" ref="P380">IF($A380="","",INDEX(JupData!$A$2:$K$10000,MATCH($A380&amp;P$1,JupData!$A$2:$A$10000&amp;JupData!$J$2:$J$10000,0),11))</f>
        <v/>
      </c>
      <c r="Q380" t="str">
        <f t="array" ref="Q380">IF($A380="","",INDEX(JupData!$A$2:$K$10000,MATCH($A380&amp;Q$1,JupData!$A$2:$A$10000&amp;JupData!$J$2:$J$10000,0),11))</f>
        <v/>
      </c>
      <c r="R380" t="str">
        <f t="array" ref="R380">IF($A380="","",INDEX(JupData!$A$2:$K$10000,MATCH($A380&amp;R$1,JupData!$A$2:$A$10000&amp;JupData!$J$2:$J$10000,0),11))</f>
        <v/>
      </c>
      <c r="S380" t="str">
        <f t="array" ref="S380">IF($A380="","",INDEX(JupData!$A$2:$K$10000,MATCH($A380&amp;S$1,JupData!$A$2:$A$10000&amp;JupData!$J$2:$J$10000,0),11))</f>
        <v/>
      </c>
      <c r="T380" t="str">
        <f t="array" ref="T380">IF($A380="","",INDEX(JupData!$A$2:$K$10000,MATCH($A380&amp;T$1,JupData!$A$2:$A$10000&amp;JupData!$J$2:$J$10000,0),11))</f>
        <v/>
      </c>
      <c r="U380" t="str">
        <f t="array" ref="U380">IF($A380="","",INDEX(JupData!$A$2:$K$10000,MATCH($A380&amp;U$1,JupData!$A$2:$A$10000&amp;JupData!$J$2:$J$10000,0),11))</f>
        <v/>
      </c>
      <c r="V380" t="str">
        <f t="array" ref="V380">IF($A380="","",INDEX(JupData!$A$2:$K$10000,MATCH($A380&amp;V$1,JupData!$A$2:$A$10000&amp;JupData!$J$2:$J$10000,0),11))</f>
        <v/>
      </c>
      <c r="W380" t="str">
        <f t="array" ref="W380">IF($A380="","",INDEX(JupData!$A$2:$K$10000,MATCH($A380&amp;W$1,JupData!$A$2:$A$10000&amp;JupData!$J$2:$J$10000,0),11))</f>
        <v/>
      </c>
      <c r="X380" t="str">
        <f t="array" ref="X380">IF($A380="","",INDEX(JupData!$A$2:$K$10000,MATCH($A380&amp;X$1,JupData!$A$2:$A$10000&amp;JupData!$J$2:$J$10000,0),11))</f>
        <v/>
      </c>
      <c r="Y380" t="str">
        <f t="array" ref="Y380">IF($A380="","",INDEX(JupData!$A$2:$K$10000,MATCH($A380&amp;Y$1,JupData!$A$2:$A$10000&amp;JupData!$J$2:$J$10000,0),11))</f>
        <v/>
      </c>
      <c r="Z380" t="str">
        <f t="array" ref="Z380">IF($A380="","",INDEX(JupData!$A$2:$K$10000,MATCH($A380&amp;Z$1,JupData!$A$2:$A$10000&amp;JupData!$J$2:$J$10000,0),11))</f>
        <v/>
      </c>
      <c r="AA380" t="str">
        <f t="array" ref="AA380">IF($A380="","",INDEX(JupData!$A$2:$K$10000,MATCH($A380&amp;AA$1,JupData!$A$2:$A$10000&amp;JupData!$J$2:$J$10000,0),11))</f>
        <v/>
      </c>
      <c r="AB380" t="str">
        <f t="array" ref="AB380">IF($A380="","",INDEX(JupData!$A$2:$K$10000,MATCH($A380&amp;AB$1,JupData!$A$2:$A$10000&amp;JupData!$J$2:$J$10000,0),11))</f>
        <v/>
      </c>
      <c r="AC380" s="10" t="str">
        <f t="shared" si="55"/>
        <v/>
      </c>
      <c r="AD380" s="10" t="str">
        <f t="shared" si="56"/>
        <v/>
      </c>
      <c r="AE380" s="9" t="str">
        <f t="shared" si="57"/>
        <v/>
      </c>
      <c r="AF380" s="10" t="str">
        <f t="shared" si="58"/>
        <v/>
      </c>
      <c r="AG380" s="10" t="str">
        <f t="shared" si="59"/>
        <v/>
      </c>
      <c r="AH380" s="10" t="str">
        <f t="shared" si="60"/>
        <v/>
      </c>
      <c r="AI380" s="10" t="str">
        <f t="shared" si="61"/>
        <v/>
      </c>
      <c r="AJ380" s="10" t="str">
        <f t="shared" si="62"/>
        <v/>
      </c>
      <c r="AK380" s="10" t="str">
        <f t="shared" si="63"/>
        <v/>
      </c>
      <c r="AL380" s="14" t="str">
        <f t="shared" si="64"/>
        <v/>
      </c>
    </row>
    <row r="381" spans="1:38" x14ac:dyDescent="0.2">
      <c r="A381"/>
      <c r="B381" t="str">
        <f>IF($A381="","",VLOOKUP($A381,JupData!$A$2:$I$10000,4,FALSE))</f>
        <v/>
      </c>
      <c r="C381" s="7" t="str">
        <f>IF($A381="",IF(N(D381),0,""),VLOOKUP($A381,JupData!$A$2:$I$10000,7,FALSE))</f>
        <v/>
      </c>
      <c r="D381" t="str">
        <f t="shared" si="65"/>
        <v/>
      </c>
      <c r="E381" t="str">
        <f t="array" ref="E381">IF($A381="","",INDEX(JupData!$A$2:$K$10000,MATCH($A381&amp;E$1,JupData!$A$2:$A$10000&amp;JupData!$J$2:$J$10000,0),11))</f>
        <v/>
      </c>
      <c r="F381" t="str">
        <f t="array" ref="F381">IF($A381="","",INDEX(JupData!$A$2:$K$10000,MATCH($A381&amp;F$1,JupData!$A$2:$A$10000&amp;JupData!$J$2:$J$10000,0),11))</f>
        <v/>
      </c>
      <c r="G381" t="str">
        <f t="array" ref="G381">IF($A381="","",INDEX(JupData!$A$2:$K$10000,MATCH($A381&amp;G$1,JupData!$A$2:$A$10000&amp;JupData!$J$2:$J$10000,0),11))</f>
        <v/>
      </c>
      <c r="H381" t="str">
        <f t="array" ref="H381">IF($A381="","",INDEX(JupData!$A$2:$K$10000,MATCH($A381&amp;H$1,JupData!$A$2:$A$10000&amp;JupData!$J$2:$J$10000,0),11))</f>
        <v/>
      </c>
      <c r="I381" t="str">
        <f t="array" ref="I381">IF($A381="","",INDEX(JupData!$A$2:$K$10000,MATCH($A381&amp;I$1,JupData!$A$2:$A$10000&amp;JupData!$J$2:$J$10000,0),11))</f>
        <v/>
      </c>
      <c r="J381" t="str">
        <f t="array" ref="J381">IF($A381="","",INDEX(JupData!$A$2:$K$10000,MATCH($A381&amp;J$1,JupData!$A$2:$A$10000&amp;JupData!$J$2:$J$10000,0),11))</f>
        <v/>
      </c>
      <c r="K381" t="str">
        <f t="array" ref="K381">IF($A381="","",INDEX(JupData!$A$2:$K$10000,MATCH($A381&amp;K$1,JupData!$A$2:$A$10000&amp;JupData!$J$2:$J$10000,0),11))</f>
        <v/>
      </c>
      <c r="L381" t="str">
        <f t="array" ref="L381">IF($A381="","",INDEX(JupData!$A$2:$K$10000,MATCH($A381&amp;L$1,JupData!$A$2:$A$10000&amp;JupData!$J$2:$J$10000,0),11))</f>
        <v/>
      </c>
      <c r="M381" t="str">
        <f t="array" ref="M381">IF($A381="","",INDEX(JupData!$A$2:$K$10000,MATCH($A381&amp;M$1,JupData!$A$2:$A$10000&amp;JupData!$J$2:$J$10000,0),11))</f>
        <v/>
      </c>
      <c r="N381" t="str">
        <f t="array" ref="N381">IF($A381="","",INDEX(JupData!$A$2:$K$10000,MATCH($A381&amp;N$1,JupData!$A$2:$A$10000&amp;JupData!$J$2:$J$10000,0),11))</f>
        <v/>
      </c>
      <c r="O381" t="str">
        <f t="array" ref="O381">IF($A381="","",INDEX(JupData!$A$2:$K$10000,MATCH($A381&amp;O$1,JupData!$A$2:$A$10000&amp;JupData!$J$2:$J$10000,0),11))</f>
        <v/>
      </c>
      <c r="P381" t="str">
        <f t="array" ref="P381">IF($A381="","",INDEX(JupData!$A$2:$K$10000,MATCH($A381&amp;P$1,JupData!$A$2:$A$10000&amp;JupData!$J$2:$J$10000,0),11))</f>
        <v/>
      </c>
      <c r="Q381" t="str">
        <f t="array" ref="Q381">IF($A381="","",INDEX(JupData!$A$2:$K$10000,MATCH($A381&amp;Q$1,JupData!$A$2:$A$10000&amp;JupData!$J$2:$J$10000,0),11))</f>
        <v/>
      </c>
      <c r="R381" t="str">
        <f t="array" ref="R381">IF($A381="","",INDEX(JupData!$A$2:$K$10000,MATCH($A381&amp;R$1,JupData!$A$2:$A$10000&amp;JupData!$J$2:$J$10000,0),11))</f>
        <v/>
      </c>
      <c r="S381" t="str">
        <f t="array" ref="S381">IF($A381="","",INDEX(JupData!$A$2:$K$10000,MATCH($A381&amp;S$1,JupData!$A$2:$A$10000&amp;JupData!$J$2:$J$10000,0),11))</f>
        <v/>
      </c>
      <c r="T381" t="str">
        <f t="array" ref="T381">IF($A381="","",INDEX(JupData!$A$2:$K$10000,MATCH($A381&amp;T$1,JupData!$A$2:$A$10000&amp;JupData!$J$2:$J$10000,0),11))</f>
        <v/>
      </c>
      <c r="U381" t="str">
        <f t="array" ref="U381">IF($A381="","",INDEX(JupData!$A$2:$K$10000,MATCH($A381&amp;U$1,JupData!$A$2:$A$10000&amp;JupData!$J$2:$J$10000,0),11))</f>
        <v/>
      </c>
      <c r="V381" t="str">
        <f t="array" ref="V381">IF($A381="","",INDEX(JupData!$A$2:$K$10000,MATCH($A381&amp;V$1,JupData!$A$2:$A$10000&amp;JupData!$J$2:$J$10000,0),11))</f>
        <v/>
      </c>
      <c r="W381" t="str">
        <f t="array" ref="W381">IF($A381="","",INDEX(JupData!$A$2:$K$10000,MATCH($A381&amp;W$1,JupData!$A$2:$A$10000&amp;JupData!$J$2:$J$10000,0),11))</f>
        <v/>
      </c>
      <c r="X381" t="str">
        <f t="array" ref="X381">IF($A381="","",INDEX(JupData!$A$2:$K$10000,MATCH($A381&amp;X$1,JupData!$A$2:$A$10000&amp;JupData!$J$2:$J$10000,0),11))</f>
        <v/>
      </c>
      <c r="Y381" t="str">
        <f t="array" ref="Y381">IF($A381="","",INDEX(JupData!$A$2:$K$10000,MATCH($A381&amp;Y$1,JupData!$A$2:$A$10000&amp;JupData!$J$2:$J$10000,0),11))</f>
        <v/>
      </c>
      <c r="Z381" t="str">
        <f t="array" ref="Z381">IF($A381="","",INDEX(JupData!$A$2:$K$10000,MATCH($A381&amp;Z$1,JupData!$A$2:$A$10000&amp;JupData!$J$2:$J$10000,0),11))</f>
        <v/>
      </c>
      <c r="AA381" t="str">
        <f t="array" ref="AA381">IF($A381="","",INDEX(JupData!$A$2:$K$10000,MATCH($A381&amp;AA$1,JupData!$A$2:$A$10000&amp;JupData!$J$2:$J$10000,0),11))</f>
        <v/>
      </c>
      <c r="AB381" t="str">
        <f t="array" ref="AB381">IF($A381="","",INDEX(JupData!$A$2:$K$10000,MATCH($A381&amp;AB$1,JupData!$A$2:$A$10000&amp;JupData!$J$2:$J$10000,0),11))</f>
        <v/>
      </c>
      <c r="AC381" s="10" t="str">
        <f t="shared" si="55"/>
        <v/>
      </c>
      <c r="AD381" s="10" t="str">
        <f t="shared" si="56"/>
        <v/>
      </c>
      <c r="AE381" s="9" t="str">
        <f t="shared" si="57"/>
        <v/>
      </c>
      <c r="AF381" s="10" t="str">
        <f t="shared" si="58"/>
        <v/>
      </c>
      <c r="AG381" s="10" t="str">
        <f t="shared" si="59"/>
        <v/>
      </c>
      <c r="AH381" s="10" t="str">
        <f t="shared" si="60"/>
        <v/>
      </c>
      <c r="AI381" s="10" t="str">
        <f t="shared" si="61"/>
        <v/>
      </c>
      <c r="AJ381" s="10" t="str">
        <f t="shared" si="62"/>
        <v/>
      </c>
      <c r="AK381" s="10" t="str">
        <f t="shared" si="63"/>
        <v/>
      </c>
      <c r="AL381" s="14" t="str">
        <f t="shared" si="64"/>
        <v/>
      </c>
    </row>
    <row r="382" spans="1:38" x14ac:dyDescent="0.2">
      <c r="A382"/>
      <c r="B382" t="str">
        <f>IF($A382="","",VLOOKUP($A382,JupData!$A$2:$I$10000,4,FALSE))</f>
        <v/>
      </c>
      <c r="C382" s="7" t="str">
        <f>IF($A382="",IF(N(D382),0,""),VLOOKUP($A382,JupData!$A$2:$I$10000,7,FALSE))</f>
        <v/>
      </c>
      <c r="D382" t="str">
        <f t="shared" si="65"/>
        <v/>
      </c>
      <c r="E382" t="str">
        <f t="array" ref="E382">IF($A382="","",INDEX(JupData!$A$2:$K$10000,MATCH($A382&amp;E$1,JupData!$A$2:$A$10000&amp;JupData!$J$2:$J$10000,0),11))</f>
        <v/>
      </c>
      <c r="F382" t="str">
        <f t="array" ref="F382">IF($A382="","",INDEX(JupData!$A$2:$K$10000,MATCH($A382&amp;F$1,JupData!$A$2:$A$10000&amp;JupData!$J$2:$J$10000,0),11))</f>
        <v/>
      </c>
      <c r="G382" t="str">
        <f t="array" ref="G382">IF($A382="","",INDEX(JupData!$A$2:$K$10000,MATCH($A382&amp;G$1,JupData!$A$2:$A$10000&amp;JupData!$J$2:$J$10000,0),11))</f>
        <v/>
      </c>
      <c r="H382" t="str">
        <f t="array" ref="H382">IF($A382="","",INDEX(JupData!$A$2:$K$10000,MATCH($A382&amp;H$1,JupData!$A$2:$A$10000&amp;JupData!$J$2:$J$10000,0),11))</f>
        <v/>
      </c>
      <c r="I382" t="str">
        <f t="array" ref="I382">IF($A382="","",INDEX(JupData!$A$2:$K$10000,MATCH($A382&amp;I$1,JupData!$A$2:$A$10000&amp;JupData!$J$2:$J$10000,0),11))</f>
        <v/>
      </c>
      <c r="J382" t="str">
        <f t="array" ref="J382">IF($A382="","",INDEX(JupData!$A$2:$K$10000,MATCH($A382&amp;J$1,JupData!$A$2:$A$10000&amp;JupData!$J$2:$J$10000,0),11))</f>
        <v/>
      </c>
      <c r="K382" t="str">
        <f t="array" ref="K382">IF($A382="","",INDEX(JupData!$A$2:$K$10000,MATCH($A382&amp;K$1,JupData!$A$2:$A$10000&amp;JupData!$J$2:$J$10000,0),11))</f>
        <v/>
      </c>
      <c r="L382" t="str">
        <f t="array" ref="L382">IF($A382="","",INDEX(JupData!$A$2:$K$10000,MATCH($A382&amp;L$1,JupData!$A$2:$A$10000&amp;JupData!$J$2:$J$10000,0),11))</f>
        <v/>
      </c>
      <c r="M382" t="str">
        <f t="array" ref="M382">IF($A382="","",INDEX(JupData!$A$2:$K$10000,MATCH($A382&amp;M$1,JupData!$A$2:$A$10000&amp;JupData!$J$2:$J$10000,0),11))</f>
        <v/>
      </c>
      <c r="N382" t="str">
        <f t="array" ref="N382">IF($A382="","",INDEX(JupData!$A$2:$K$10000,MATCH($A382&amp;N$1,JupData!$A$2:$A$10000&amp;JupData!$J$2:$J$10000,0),11))</f>
        <v/>
      </c>
      <c r="O382" t="str">
        <f t="array" ref="O382">IF($A382="","",INDEX(JupData!$A$2:$K$10000,MATCH($A382&amp;O$1,JupData!$A$2:$A$10000&amp;JupData!$J$2:$J$10000,0),11))</f>
        <v/>
      </c>
      <c r="P382" t="str">
        <f t="array" ref="P382">IF($A382="","",INDEX(JupData!$A$2:$K$10000,MATCH($A382&amp;P$1,JupData!$A$2:$A$10000&amp;JupData!$J$2:$J$10000,0),11))</f>
        <v/>
      </c>
      <c r="Q382" t="str">
        <f t="array" ref="Q382">IF($A382="","",INDEX(JupData!$A$2:$K$10000,MATCH($A382&amp;Q$1,JupData!$A$2:$A$10000&amp;JupData!$J$2:$J$10000,0),11))</f>
        <v/>
      </c>
      <c r="R382" t="str">
        <f t="array" ref="R382">IF($A382="","",INDEX(JupData!$A$2:$K$10000,MATCH($A382&amp;R$1,JupData!$A$2:$A$10000&amp;JupData!$J$2:$J$10000,0),11))</f>
        <v/>
      </c>
      <c r="S382" t="str">
        <f t="array" ref="S382">IF($A382="","",INDEX(JupData!$A$2:$K$10000,MATCH($A382&amp;S$1,JupData!$A$2:$A$10000&amp;JupData!$J$2:$J$10000,0),11))</f>
        <v/>
      </c>
      <c r="T382" t="str">
        <f t="array" ref="T382">IF($A382="","",INDEX(JupData!$A$2:$K$10000,MATCH($A382&amp;T$1,JupData!$A$2:$A$10000&amp;JupData!$J$2:$J$10000,0),11))</f>
        <v/>
      </c>
      <c r="U382" t="str">
        <f t="array" ref="U382">IF($A382="","",INDEX(JupData!$A$2:$K$10000,MATCH($A382&amp;U$1,JupData!$A$2:$A$10000&amp;JupData!$J$2:$J$10000,0),11))</f>
        <v/>
      </c>
      <c r="V382" t="str">
        <f t="array" ref="V382">IF($A382="","",INDEX(JupData!$A$2:$K$10000,MATCH($A382&amp;V$1,JupData!$A$2:$A$10000&amp;JupData!$J$2:$J$10000,0),11))</f>
        <v/>
      </c>
      <c r="W382" t="str">
        <f t="array" ref="W382">IF($A382="","",INDEX(JupData!$A$2:$K$10000,MATCH($A382&amp;W$1,JupData!$A$2:$A$10000&amp;JupData!$J$2:$J$10000,0),11))</f>
        <v/>
      </c>
      <c r="X382" t="str">
        <f t="array" ref="X382">IF($A382="","",INDEX(JupData!$A$2:$K$10000,MATCH($A382&amp;X$1,JupData!$A$2:$A$10000&amp;JupData!$J$2:$J$10000,0),11))</f>
        <v/>
      </c>
      <c r="Y382" t="str">
        <f t="array" ref="Y382">IF($A382="","",INDEX(JupData!$A$2:$K$10000,MATCH($A382&amp;Y$1,JupData!$A$2:$A$10000&amp;JupData!$J$2:$J$10000,0),11))</f>
        <v/>
      </c>
      <c r="Z382" t="str">
        <f t="array" ref="Z382">IF($A382="","",INDEX(JupData!$A$2:$K$10000,MATCH($A382&amp;Z$1,JupData!$A$2:$A$10000&amp;JupData!$J$2:$J$10000,0),11))</f>
        <v/>
      </c>
      <c r="AA382" t="str">
        <f t="array" ref="AA382">IF($A382="","",INDEX(JupData!$A$2:$K$10000,MATCH($A382&amp;AA$1,JupData!$A$2:$A$10000&amp;JupData!$J$2:$J$10000,0),11))</f>
        <v/>
      </c>
      <c r="AB382" t="str">
        <f t="array" ref="AB382">IF($A382="","",INDEX(JupData!$A$2:$K$10000,MATCH($A382&amp;AB$1,JupData!$A$2:$A$10000&amp;JupData!$J$2:$J$10000,0),11))</f>
        <v/>
      </c>
      <c r="AC382" s="10" t="str">
        <f t="shared" si="55"/>
        <v/>
      </c>
      <c r="AD382" s="10" t="str">
        <f t="shared" si="56"/>
        <v/>
      </c>
      <c r="AE382" s="9" t="str">
        <f t="shared" si="57"/>
        <v/>
      </c>
      <c r="AF382" s="10" t="str">
        <f t="shared" si="58"/>
        <v/>
      </c>
      <c r="AG382" s="10" t="str">
        <f t="shared" si="59"/>
        <v/>
      </c>
      <c r="AH382" s="10" t="str">
        <f t="shared" si="60"/>
        <v/>
      </c>
      <c r="AI382" s="10" t="str">
        <f t="shared" si="61"/>
        <v/>
      </c>
      <c r="AJ382" s="10" t="str">
        <f t="shared" si="62"/>
        <v/>
      </c>
      <c r="AK382" s="10" t="str">
        <f t="shared" si="63"/>
        <v/>
      </c>
      <c r="AL382" s="14" t="str">
        <f t="shared" si="64"/>
        <v/>
      </c>
    </row>
    <row r="383" spans="1:38" x14ac:dyDescent="0.2">
      <c r="A383"/>
      <c r="B383" t="str">
        <f>IF($A383="","",VLOOKUP($A383,JupData!$A$2:$I$10000,4,FALSE))</f>
        <v/>
      </c>
      <c r="C383" s="7" t="str">
        <f>IF($A383="",IF(N(D383),0,""),VLOOKUP($A383,JupData!$A$2:$I$10000,7,FALSE))</f>
        <v/>
      </c>
      <c r="D383" t="str">
        <f t="shared" si="65"/>
        <v/>
      </c>
      <c r="E383" t="str">
        <f t="array" ref="E383">IF($A383="","",INDEX(JupData!$A$2:$K$10000,MATCH($A383&amp;E$1,JupData!$A$2:$A$10000&amp;JupData!$J$2:$J$10000,0),11))</f>
        <v/>
      </c>
      <c r="F383" t="str">
        <f t="array" ref="F383">IF($A383="","",INDEX(JupData!$A$2:$K$10000,MATCH($A383&amp;F$1,JupData!$A$2:$A$10000&amp;JupData!$J$2:$J$10000,0),11))</f>
        <v/>
      </c>
      <c r="G383" t="str">
        <f t="array" ref="G383">IF($A383="","",INDEX(JupData!$A$2:$K$10000,MATCH($A383&amp;G$1,JupData!$A$2:$A$10000&amp;JupData!$J$2:$J$10000,0),11))</f>
        <v/>
      </c>
      <c r="H383" t="str">
        <f t="array" ref="H383">IF($A383="","",INDEX(JupData!$A$2:$K$10000,MATCH($A383&amp;H$1,JupData!$A$2:$A$10000&amp;JupData!$J$2:$J$10000,0),11))</f>
        <v/>
      </c>
      <c r="I383" t="str">
        <f t="array" ref="I383">IF($A383="","",INDEX(JupData!$A$2:$K$10000,MATCH($A383&amp;I$1,JupData!$A$2:$A$10000&amp;JupData!$J$2:$J$10000,0),11))</f>
        <v/>
      </c>
      <c r="J383" t="str">
        <f t="array" ref="J383">IF($A383="","",INDEX(JupData!$A$2:$K$10000,MATCH($A383&amp;J$1,JupData!$A$2:$A$10000&amp;JupData!$J$2:$J$10000,0),11))</f>
        <v/>
      </c>
      <c r="K383" t="str">
        <f t="array" ref="K383">IF($A383="","",INDEX(JupData!$A$2:$K$10000,MATCH($A383&amp;K$1,JupData!$A$2:$A$10000&amp;JupData!$J$2:$J$10000,0),11))</f>
        <v/>
      </c>
      <c r="L383" t="str">
        <f t="array" ref="L383">IF($A383="","",INDEX(JupData!$A$2:$K$10000,MATCH($A383&amp;L$1,JupData!$A$2:$A$10000&amp;JupData!$J$2:$J$10000,0),11))</f>
        <v/>
      </c>
      <c r="M383" t="str">
        <f t="array" ref="M383">IF($A383="","",INDEX(JupData!$A$2:$K$10000,MATCH($A383&amp;M$1,JupData!$A$2:$A$10000&amp;JupData!$J$2:$J$10000,0),11))</f>
        <v/>
      </c>
      <c r="N383" t="str">
        <f t="array" ref="N383">IF($A383="","",INDEX(JupData!$A$2:$K$10000,MATCH($A383&amp;N$1,JupData!$A$2:$A$10000&amp;JupData!$J$2:$J$10000,0),11))</f>
        <v/>
      </c>
      <c r="O383" t="str">
        <f t="array" ref="O383">IF($A383="","",INDEX(JupData!$A$2:$K$10000,MATCH($A383&amp;O$1,JupData!$A$2:$A$10000&amp;JupData!$J$2:$J$10000,0),11))</f>
        <v/>
      </c>
      <c r="P383" t="str">
        <f t="array" ref="P383">IF($A383="","",INDEX(JupData!$A$2:$K$10000,MATCH($A383&amp;P$1,JupData!$A$2:$A$10000&amp;JupData!$J$2:$J$10000,0),11))</f>
        <v/>
      </c>
      <c r="Q383" t="str">
        <f t="array" ref="Q383">IF($A383="","",INDEX(JupData!$A$2:$K$10000,MATCH($A383&amp;Q$1,JupData!$A$2:$A$10000&amp;JupData!$J$2:$J$10000,0),11))</f>
        <v/>
      </c>
      <c r="R383" t="str">
        <f t="array" ref="R383">IF($A383="","",INDEX(JupData!$A$2:$K$10000,MATCH($A383&amp;R$1,JupData!$A$2:$A$10000&amp;JupData!$J$2:$J$10000,0),11))</f>
        <v/>
      </c>
      <c r="S383" t="str">
        <f t="array" ref="S383">IF($A383="","",INDEX(JupData!$A$2:$K$10000,MATCH($A383&amp;S$1,JupData!$A$2:$A$10000&amp;JupData!$J$2:$J$10000,0),11))</f>
        <v/>
      </c>
      <c r="T383" t="str">
        <f t="array" ref="T383">IF($A383="","",INDEX(JupData!$A$2:$K$10000,MATCH($A383&amp;T$1,JupData!$A$2:$A$10000&amp;JupData!$J$2:$J$10000,0),11))</f>
        <v/>
      </c>
      <c r="U383" t="str">
        <f t="array" ref="U383">IF($A383="","",INDEX(JupData!$A$2:$K$10000,MATCH($A383&amp;U$1,JupData!$A$2:$A$10000&amp;JupData!$J$2:$J$10000,0),11))</f>
        <v/>
      </c>
      <c r="V383" t="str">
        <f t="array" ref="V383">IF($A383="","",INDEX(JupData!$A$2:$K$10000,MATCH($A383&amp;V$1,JupData!$A$2:$A$10000&amp;JupData!$J$2:$J$10000,0),11))</f>
        <v/>
      </c>
      <c r="W383" t="str">
        <f t="array" ref="W383">IF($A383="","",INDEX(JupData!$A$2:$K$10000,MATCH($A383&amp;W$1,JupData!$A$2:$A$10000&amp;JupData!$J$2:$J$10000,0),11))</f>
        <v/>
      </c>
      <c r="X383" t="str">
        <f t="array" ref="X383">IF($A383="","",INDEX(JupData!$A$2:$K$10000,MATCH($A383&amp;X$1,JupData!$A$2:$A$10000&amp;JupData!$J$2:$J$10000,0),11))</f>
        <v/>
      </c>
      <c r="Y383" t="str">
        <f t="array" ref="Y383">IF($A383="","",INDEX(JupData!$A$2:$K$10000,MATCH($A383&amp;Y$1,JupData!$A$2:$A$10000&amp;JupData!$J$2:$J$10000,0),11))</f>
        <v/>
      </c>
      <c r="Z383" t="str">
        <f t="array" ref="Z383">IF($A383="","",INDEX(JupData!$A$2:$K$10000,MATCH($A383&amp;Z$1,JupData!$A$2:$A$10000&amp;JupData!$J$2:$J$10000,0),11))</f>
        <v/>
      </c>
      <c r="AA383" t="str">
        <f t="array" ref="AA383">IF($A383="","",INDEX(JupData!$A$2:$K$10000,MATCH($A383&amp;AA$1,JupData!$A$2:$A$10000&amp;JupData!$J$2:$J$10000,0),11))</f>
        <v/>
      </c>
      <c r="AB383" t="str">
        <f t="array" ref="AB383">IF($A383="","",INDEX(JupData!$A$2:$K$10000,MATCH($A383&amp;AB$1,JupData!$A$2:$A$10000&amp;JupData!$J$2:$J$10000,0),11))</f>
        <v/>
      </c>
      <c r="AC383" s="10" t="str">
        <f t="shared" si="55"/>
        <v/>
      </c>
      <c r="AD383" s="10" t="str">
        <f t="shared" si="56"/>
        <v/>
      </c>
      <c r="AE383" s="9" t="str">
        <f t="shared" si="57"/>
        <v/>
      </c>
      <c r="AF383" s="10" t="str">
        <f t="shared" si="58"/>
        <v/>
      </c>
      <c r="AG383" s="10" t="str">
        <f t="shared" si="59"/>
        <v/>
      </c>
      <c r="AH383" s="10" t="str">
        <f t="shared" si="60"/>
        <v/>
      </c>
      <c r="AI383" s="10" t="str">
        <f t="shared" si="61"/>
        <v/>
      </c>
      <c r="AJ383" s="10" t="str">
        <f t="shared" si="62"/>
        <v/>
      </c>
      <c r="AK383" s="10" t="str">
        <f t="shared" si="63"/>
        <v/>
      </c>
      <c r="AL383" s="14" t="str">
        <f t="shared" si="64"/>
        <v/>
      </c>
    </row>
    <row r="384" spans="1:38" x14ac:dyDescent="0.2">
      <c r="A384"/>
      <c r="B384" t="str">
        <f>IF($A384="","",VLOOKUP($A384,JupData!$A$2:$I$10000,4,FALSE))</f>
        <v/>
      </c>
      <c r="C384" s="7" t="str">
        <f>IF($A384="",IF(N(D384),0,""),VLOOKUP($A384,JupData!$A$2:$I$10000,7,FALSE))</f>
        <v/>
      </c>
      <c r="D384" t="str">
        <f t="shared" si="65"/>
        <v/>
      </c>
      <c r="E384" t="str">
        <f t="array" ref="E384">IF($A384="","",INDEX(JupData!$A$2:$K$10000,MATCH($A384&amp;E$1,JupData!$A$2:$A$10000&amp;JupData!$J$2:$J$10000,0),11))</f>
        <v/>
      </c>
      <c r="F384" t="str">
        <f t="array" ref="F384">IF($A384="","",INDEX(JupData!$A$2:$K$10000,MATCH($A384&amp;F$1,JupData!$A$2:$A$10000&amp;JupData!$J$2:$J$10000,0),11))</f>
        <v/>
      </c>
      <c r="G384" t="str">
        <f t="array" ref="G384">IF($A384="","",INDEX(JupData!$A$2:$K$10000,MATCH($A384&amp;G$1,JupData!$A$2:$A$10000&amp;JupData!$J$2:$J$10000,0),11))</f>
        <v/>
      </c>
      <c r="H384" t="str">
        <f t="array" ref="H384">IF($A384="","",INDEX(JupData!$A$2:$K$10000,MATCH($A384&amp;H$1,JupData!$A$2:$A$10000&amp;JupData!$J$2:$J$10000,0),11))</f>
        <v/>
      </c>
      <c r="I384" t="str">
        <f t="array" ref="I384">IF($A384="","",INDEX(JupData!$A$2:$K$10000,MATCH($A384&amp;I$1,JupData!$A$2:$A$10000&amp;JupData!$J$2:$J$10000,0),11))</f>
        <v/>
      </c>
      <c r="J384" t="str">
        <f t="array" ref="J384">IF($A384="","",INDEX(JupData!$A$2:$K$10000,MATCH($A384&amp;J$1,JupData!$A$2:$A$10000&amp;JupData!$J$2:$J$10000,0),11))</f>
        <v/>
      </c>
      <c r="K384" t="str">
        <f t="array" ref="K384">IF($A384="","",INDEX(JupData!$A$2:$K$10000,MATCH($A384&amp;K$1,JupData!$A$2:$A$10000&amp;JupData!$J$2:$J$10000,0),11))</f>
        <v/>
      </c>
      <c r="L384" t="str">
        <f t="array" ref="L384">IF($A384="","",INDEX(JupData!$A$2:$K$10000,MATCH($A384&amp;L$1,JupData!$A$2:$A$10000&amp;JupData!$J$2:$J$10000,0),11))</f>
        <v/>
      </c>
      <c r="M384" t="str">
        <f t="array" ref="M384">IF($A384="","",INDEX(JupData!$A$2:$K$10000,MATCH($A384&amp;M$1,JupData!$A$2:$A$10000&amp;JupData!$J$2:$J$10000,0),11))</f>
        <v/>
      </c>
      <c r="N384" t="str">
        <f t="array" ref="N384">IF($A384="","",INDEX(JupData!$A$2:$K$10000,MATCH($A384&amp;N$1,JupData!$A$2:$A$10000&amp;JupData!$J$2:$J$10000,0),11))</f>
        <v/>
      </c>
      <c r="O384" t="str">
        <f t="array" ref="O384">IF($A384="","",INDEX(JupData!$A$2:$K$10000,MATCH($A384&amp;O$1,JupData!$A$2:$A$10000&amp;JupData!$J$2:$J$10000,0),11))</f>
        <v/>
      </c>
      <c r="P384" t="str">
        <f t="array" ref="P384">IF($A384="","",INDEX(JupData!$A$2:$K$10000,MATCH($A384&amp;P$1,JupData!$A$2:$A$10000&amp;JupData!$J$2:$J$10000,0),11))</f>
        <v/>
      </c>
      <c r="Q384" t="str">
        <f t="array" ref="Q384">IF($A384="","",INDEX(JupData!$A$2:$K$10000,MATCH($A384&amp;Q$1,JupData!$A$2:$A$10000&amp;JupData!$J$2:$J$10000,0),11))</f>
        <v/>
      </c>
      <c r="R384" t="str">
        <f t="array" ref="R384">IF($A384="","",INDEX(JupData!$A$2:$K$10000,MATCH($A384&amp;R$1,JupData!$A$2:$A$10000&amp;JupData!$J$2:$J$10000,0),11))</f>
        <v/>
      </c>
      <c r="S384" t="str">
        <f t="array" ref="S384">IF($A384="","",INDEX(JupData!$A$2:$K$10000,MATCH($A384&amp;S$1,JupData!$A$2:$A$10000&amp;JupData!$J$2:$J$10000,0),11))</f>
        <v/>
      </c>
      <c r="T384" t="str">
        <f t="array" ref="T384">IF($A384="","",INDEX(JupData!$A$2:$K$10000,MATCH($A384&amp;T$1,JupData!$A$2:$A$10000&amp;JupData!$J$2:$J$10000,0),11))</f>
        <v/>
      </c>
      <c r="U384" t="str">
        <f t="array" ref="U384">IF($A384="","",INDEX(JupData!$A$2:$K$10000,MATCH($A384&amp;U$1,JupData!$A$2:$A$10000&amp;JupData!$J$2:$J$10000,0),11))</f>
        <v/>
      </c>
      <c r="V384" t="str">
        <f t="array" ref="V384">IF($A384="","",INDEX(JupData!$A$2:$K$10000,MATCH($A384&amp;V$1,JupData!$A$2:$A$10000&amp;JupData!$J$2:$J$10000,0),11))</f>
        <v/>
      </c>
      <c r="W384" t="str">
        <f t="array" ref="W384">IF($A384="","",INDEX(JupData!$A$2:$K$10000,MATCH($A384&amp;W$1,JupData!$A$2:$A$10000&amp;JupData!$J$2:$J$10000,0),11))</f>
        <v/>
      </c>
      <c r="X384" t="str">
        <f t="array" ref="X384">IF($A384="","",INDEX(JupData!$A$2:$K$10000,MATCH($A384&amp;X$1,JupData!$A$2:$A$10000&amp;JupData!$J$2:$J$10000,0),11))</f>
        <v/>
      </c>
      <c r="Y384" t="str">
        <f t="array" ref="Y384">IF($A384="","",INDEX(JupData!$A$2:$K$10000,MATCH($A384&amp;Y$1,JupData!$A$2:$A$10000&amp;JupData!$J$2:$J$10000,0),11))</f>
        <v/>
      </c>
      <c r="Z384" t="str">
        <f t="array" ref="Z384">IF($A384="","",INDEX(JupData!$A$2:$K$10000,MATCH($A384&amp;Z$1,JupData!$A$2:$A$10000&amp;JupData!$J$2:$J$10000,0),11))</f>
        <v/>
      </c>
      <c r="AA384" t="str">
        <f t="array" ref="AA384">IF($A384="","",INDEX(JupData!$A$2:$K$10000,MATCH($A384&amp;AA$1,JupData!$A$2:$A$10000&amp;JupData!$J$2:$J$10000,0),11))</f>
        <v/>
      </c>
      <c r="AB384" t="str">
        <f t="array" ref="AB384">IF($A384="","",INDEX(JupData!$A$2:$K$10000,MATCH($A384&amp;AB$1,JupData!$A$2:$A$10000&amp;JupData!$J$2:$J$10000,0),11))</f>
        <v/>
      </c>
      <c r="AC384" s="10" t="str">
        <f t="shared" si="55"/>
        <v/>
      </c>
      <c r="AD384" s="10" t="str">
        <f t="shared" si="56"/>
        <v/>
      </c>
      <c r="AE384" s="9" t="str">
        <f t="shared" si="57"/>
        <v/>
      </c>
      <c r="AF384" s="10" t="str">
        <f t="shared" si="58"/>
        <v/>
      </c>
      <c r="AG384" s="10" t="str">
        <f t="shared" si="59"/>
        <v/>
      </c>
      <c r="AH384" s="10" t="str">
        <f t="shared" si="60"/>
        <v/>
      </c>
      <c r="AI384" s="10" t="str">
        <f t="shared" si="61"/>
        <v/>
      </c>
      <c r="AJ384" s="10" t="str">
        <f t="shared" si="62"/>
        <v/>
      </c>
      <c r="AK384" s="10" t="str">
        <f t="shared" si="63"/>
        <v/>
      </c>
      <c r="AL384" s="14" t="str">
        <f t="shared" si="64"/>
        <v/>
      </c>
    </row>
    <row r="385" spans="1:38" x14ac:dyDescent="0.2">
      <c r="A385"/>
      <c r="B385" t="str">
        <f>IF($A385="","",VLOOKUP($A385,JupData!$A$2:$I$10000,4,FALSE))</f>
        <v/>
      </c>
      <c r="C385" s="7" t="str">
        <f>IF($A385="",IF(N(D385),0,""),VLOOKUP($A385,JupData!$A$2:$I$10000,7,FALSE))</f>
        <v/>
      </c>
      <c r="D385" t="str">
        <f t="shared" si="65"/>
        <v/>
      </c>
      <c r="E385" t="str">
        <f t="array" ref="E385">IF($A385="","",INDEX(JupData!$A$2:$K$10000,MATCH($A385&amp;E$1,JupData!$A$2:$A$10000&amp;JupData!$J$2:$J$10000,0),11))</f>
        <v/>
      </c>
      <c r="F385" t="str">
        <f t="array" ref="F385">IF($A385="","",INDEX(JupData!$A$2:$K$10000,MATCH($A385&amp;F$1,JupData!$A$2:$A$10000&amp;JupData!$J$2:$J$10000,0),11))</f>
        <v/>
      </c>
      <c r="G385" t="str">
        <f t="array" ref="G385">IF($A385="","",INDEX(JupData!$A$2:$K$10000,MATCH($A385&amp;G$1,JupData!$A$2:$A$10000&amp;JupData!$J$2:$J$10000,0),11))</f>
        <v/>
      </c>
      <c r="H385" t="str">
        <f t="array" ref="H385">IF($A385="","",INDEX(JupData!$A$2:$K$10000,MATCH($A385&amp;H$1,JupData!$A$2:$A$10000&amp;JupData!$J$2:$J$10000,0),11))</f>
        <v/>
      </c>
      <c r="I385" t="str">
        <f t="array" ref="I385">IF($A385="","",INDEX(JupData!$A$2:$K$10000,MATCH($A385&amp;I$1,JupData!$A$2:$A$10000&amp;JupData!$J$2:$J$10000,0),11))</f>
        <v/>
      </c>
      <c r="J385" t="str">
        <f t="array" ref="J385">IF($A385="","",INDEX(JupData!$A$2:$K$10000,MATCH($A385&amp;J$1,JupData!$A$2:$A$10000&amp;JupData!$J$2:$J$10000,0),11))</f>
        <v/>
      </c>
      <c r="K385" t="str">
        <f t="array" ref="K385">IF($A385="","",INDEX(JupData!$A$2:$K$10000,MATCH($A385&amp;K$1,JupData!$A$2:$A$10000&amp;JupData!$J$2:$J$10000,0),11))</f>
        <v/>
      </c>
      <c r="L385" t="str">
        <f t="array" ref="L385">IF($A385="","",INDEX(JupData!$A$2:$K$10000,MATCH($A385&amp;L$1,JupData!$A$2:$A$10000&amp;JupData!$J$2:$J$10000,0),11))</f>
        <v/>
      </c>
      <c r="M385" t="str">
        <f t="array" ref="M385">IF($A385="","",INDEX(JupData!$A$2:$K$10000,MATCH($A385&amp;M$1,JupData!$A$2:$A$10000&amp;JupData!$J$2:$J$10000,0),11))</f>
        <v/>
      </c>
      <c r="N385" t="str">
        <f t="array" ref="N385">IF($A385="","",INDEX(JupData!$A$2:$K$10000,MATCH($A385&amp;N$1,JupData!$A$2:$A$10000&amp;JupData!$J$2:$J$10000,0),11))</f>
        <v/>
      </c>
      <c r="O385" t="str">
        <f t="array" ref="O385">IF($A385="","",INDEX(JupData!$A$2:$K$10000,MATCH($A385&amp;O$1,JupData!$A$2:$A$10000&amp;JupData!$J$2:$J$10000,0),11))</f>
        <v/>
      </c>
      <c r="P385" t="str">
        <f t="array" ref="P385">IF($A385="","",INDEX(JupData!$A$2:$K$10000,MATCH($A385&amp;P$1,JupData!$A$2:$A$10000&amp;JupData!$J$2:$J$10000,0),11))</f>
        <v/>
      </c>
      <c r="Q385" t="str">
        <f t="array" ref="Q385">IF($A385="","",INDEX(JupData!$A$2:$K$10000,MATCH($A385&amp;Q$1,JupData!$A$2:$A$10000&amp;JupData!$J$2:$J$10000,0),11))</f>
        <v/>
      </c>
      <c r="R385" t="str">
        <f t="array" ref="R385">IF($A385="","",INDEX(JupData!$A$2:$K$10000,MATCH($A385&amp;R$1,JupData!$A$2:$A$10000&amp;JupData!$J$2:$J$10000,0),11))</f>
        <v/>
      </c>
      <c r="S385" t="str">
        <f t="array" ref="S385">IF($A385="","",INDEX(JupData!$A$2:$K$10000,MATCH($A385&amp;S$1,JupData!$A$2:$A$10000&amp;JupData!$J$2:$J$10000,0),11))</f>
        <v/>
      </c>
      <c r="T385" t="str">
        <f t="array" ref="T385">IF($A385="","",INDEX(JupData!$A$2:$K$10000,MATCH($A385&amp;T$1,JupData!$A$2:$A$10000&amp;JupData!$J$2:$J$10000,0),11))</f>
        <v/>
      </c>
      <c r="U385" t="str">
        <f t="array" ref="U385">IF($A385="","",INDEX(JupData!$A$2:$K$10000,MATCH($A385&amp;U$1,JupData!$A$2:$A$10000&amp;JupData!$J$2:$J$10000,0),11))</f>
        <v/>
      </c>
      <c r="V385" t="str">
        <f t="array" ref="V385">IF($A385="","",INDEX(JupData!$A$2:$K$10000,MATCH($A385&amp;V$1,JupData!$A$2:$A$10000&amp;JupData!$J$2:$J$10000,0),11))</f>
        <v/>
      </c>
      <c r="W385" t="str">
        <f t="array" ref="W385">IF($A385="","",INDEX(JupData!$A$2:$K$10000,MATCH($A385&amp;W$1,JupData!$A$2:$A$10000&amp;JupData!$J$2:$J$10000,0),11))</f>
        <v/>
      </c>
      <c r="X385" t="str">
        <f t="array" ref="X385">IF($A385="","",INDEX(JupData!$A$2:$K$10000,MATCH($A385&amp;X$1,JupData!$A$2:$A$10000&amp;JupData!$J$2:$J$10000,0),11))</f>
        <v/>
      </c>
      <c r="Y385" t="str">
        <f t="array" ref="Y385">IF($A385="","",INDEX(JupData!$A$2:$K$10000,MATCH($A385&amp;Y$1,JupData!$A$2:$A$10000&amp;JupData!$J$2:$J$10000,0),11))</f>
        <v/>
      </c>
      <c r="Z385" t="str">
        <f t="array" ref="Z385">IF($A385="","",INDEX(JupData!$A$2:$K$10000,MATCH($A385&amp;Z$1,JupData!$A$2:$A$10000&amp;JupData!$J$2:$J$10000,0),11))</f>
        <v/>
      </c>
      <c r="AA385" t="str">
        <f t="array" ref="AA385">IF($A385="","",INDEX(JupData!$A$2:$K$10000,MATCH($A385&amp;AA$1,JupData!$A$2:$A$10000&amp;JupData!$J$2:$J$10000,0),11))</f>
        <v/>
      </c>
      <c r="AB385" t="str">
        <f t="array" ref="AB385">IF($A385="","",INDEX(JupData!$A$2:$K$10000,MATCH($A385&amp;AB$1,JupData!$A$2:$A$10000&amp;JupData!$J$2:$J$10000,0),11))</f>
        <v/>
      </c>
      <c r="AC385" s="10" t="str">
        <f t="shared" si="55"/>
        <v/>
      </c>
      <c r="AD385" s="10" t="str">
        <f t="shared" si="56"/>
        <v/>
      </c>
      <c r="AE385" s="9" t="str">
        <f t="shared" si="57"/>
        <v/>
      </c>
      <c r="AF385" s="10" t="str">
        <f t="shared" si="58"/>
        <v/>
      </c>
      <c r="AG385" s="10" t="str">
        <f t="shared" si="59"/>
        <v/>
      </c>
      <c r="AH385" s="10" t="str">
        <f t="shared" si="60"/>
        <v/>
      </c>
      <c r="AI385" s="10" t="str">
        <f t="shared" si="61"/>
        <v/>
      </c>
      <c r="AJ385" s="10" t="str">
        <f t="shared" si="62"/>
        <v/>
      </c>
      <c r="AK385" s="10" t="str">
        <f t="shared" si="63"/>
        <v/>
      </c>
      <c r="AL385" s="14" t="str">
        <f t="shared" si="64"/>
        <v/>
      </c>
    </row>
    <row r="386" spans="1:38" x14ac:dyDescent="0.2">
      <c r="A386"/>
      <c r="B386" t="str">
        <f>IF($A386="","",VLOOKUP($A386,JupData!$A$2:$I$10000,4,FALSE))</f>
        <v/>
      </c>
      <c r="C386" s="7" t="str">
        <f>IF($A386="",IF(N(D386),0,""),VLOOKUP($A386,JupData!$A$2:$I$10000,7,FALSE))</f>
        <v/>
      </c>
      <c r="D386" t="str">
        <f t="shared" si="65"/>
        <v/>
      </c>
      <c r="E386" t="str">
        <f t="array" ref="E386">IF($A386="","",INDEX(JupData!$A$2:$K$10000,MATCH($A386&amp;E$1,JupData!$A$2:$A$10000&amp;JupData!$J$2:$J$10000,0),11))</f>
        <v/>
      </c>
      <c r="F386" t="str">
        <f t="array" ref="F386">IF($A386="","",INDEX(JupData!$A$2:$K$10000,MATCH($A386&amp;F$1,JupData!$A$2:$A$10000&amp;JupData!$J$2:$J$10000,0),11))</f>
        <v/>
      </c>
      <c r="G386" t="str">
        <f t="array" ref="G386">IF($A386="","",INDEX(JupData!$A$2:$K$10000,MATCH($A386&amp;G$1,JupData!$A$2:$A$10000&amp;JupData!$J$2:$J$10000,0),11))</f>
        <v/>
      </c>
      <c r="H386" t="str">
        <f t="array" ref="H386">IF($A386="","",INDEX(JupData!$A$2:$K$10000,MATCH($A386&amp;H$1,JupData!$A$2:$A$10000&amp;JupData!$J$2:$J$10000,0),11))</f>
        <v/>
      </c>
      <c r="I386" t="str">
        <f t="array" ref="I386">IF($A386="","",INDEX(JupData!$A$2:$K$10000,MATCH($A386&amp;I$1,JupData!$A$2:$A$10000&amp;JupData!$J$2:$J$10000,0),11))</f>
        <v/>
      </c>
      <c r="J386" t="str">
        <f t="array" ref="J386">IF($A386="","",INDEX(JupData!$A$2:$K$10000,MATCH($A386&amp;J$1,JupData!$A$2:$A$10000&amp;JupData!$J$2:$J$10000,0),11))</f>
        <v/>
      </c>
      <c r="K386" t="str">
        <f t="array" ref="K386">IF($A386="","",INDEX(JupData!$A$2:$K$10000,MATCH($A386&amp;K$1,JupData!$A$2:$A$10000&amp;JupData!$J$2:$J$10000,0),11))</f>
        <v/>
      </c>
      <c r="L386" t="str">
        <f t="array" ref="L386">IF($A386="","",INDEX(JupData!$A$2:$K$10000,MATCH($A386&amp;L$1,JupData!$A$2:$A$10000&amp;JupData!$J$2:$J$10000,0),11))</f>
        <v/>
      </c>
      <c r="M386" t="str">
        <f t="array" ref="M386">IF($A386="","",INDEX(JupData!$A$2:$K$10000,MATCH($A386&amp;M$1,JupData!$A$2:$A$10000&amp;JupData!$J$2:$J$10000,0),11))</f>
        <v/>
      </c>
      <c r="N386" t="str">
        <f t="array" ref="N386">IF($A386="","",INDEX(JupData!$A$2:$K$10000,MATCH($A386&amp;N$1,JupData!$A$2:$A$10000&amp;JupData!$J$2:$J$10000,0),11))</f>
        <v/>
      </c>
      <c r="O386" t="str">
        <f t="array" ref="O386">IF($A386="","",INDEX(JupData!$A$2:$K$10000,MATCH($A386&amp;O$1,JupData!$A$2:$A$10000&amp;JupData!$J$2:$J$10000,0),11))</f>
        <v/>
      </c>
      <c r="P386" t="str">
        <f t="array" ref="P386">IF($A386="","",INDEX(JupData!$A$2:$K$10000,MATCH($A386&amp;P$1,JupData!$A$2:$A$10000&amp;JupData!$J$2:$J$10000,0),11))</f>
        <v/>
      </c>
      <c r="Q386" t="str">
        <f t="array" ref="Q386">IF($A386="","",INDEX(JupData!$A$2:$K$10000,MATCH($A386&amp;Q$1,JupData!$A$2:$A$10000&amp;JupData!$J$2:$J$10000,0),11))</f>
        <v/>
      </c>
      <c r="R386" t="str">
        <f t="array" ref="R386">IF($A386="","",INDEX(JupData!$A$2:$K$10000,MATCH($A386&amp;R$1,JupData!$A$2:$A$10000&amp;JupData!$J$2:$J$10000,0),11))</f>
        <v/>
      </c>
      <c r="S386" t="str">
        <f t="array" ref="S386">IF($A386="","",INDEX(JupData!$A$2:$K$10000,MATCH($A386&amp;S$1,JupData!$A$2:$A$10000&amp;JupData!$J$2:$J$10000,0),11))</f>
        <v/>
      </c>
      <c r="T386" t="str">
        <f t="array" ref="T386">IF($A386="","",INDEX(JupData!$A$2:$K$10000,MATCH($A386&amp;T$1,JupData!$A$2:$A$10000&amp;JupData!$J$2:$J$10000,0),11))</f>
        <v/>
      </c>
      <c r="U386" t="str">
        <f t="array" ref="U386">IF($A386="","",INDEX(JupData!$A$2:$K$10000,MATCH($A386&amp;U$1,JupData!$A$2:$A$10000&amp;JupData!$J$2:$J$10000,0),11))</f>
        <v/>
      </c>
      <c r="V386" t="str">
        <f t="array" ref="V386">IF($A386="","",INDEX(JupData!$A$2:$K$10000,MATCH($A386&amp;V$1,JupData!$A$2:$A$10000&amp;JupData!$J$2:$J$10000,0),11))</f>
        <v/>
      </c>
      <c r="W386" t="str">
        <f t="array" ref="W386">IF($A386="","",INDEX(JupData!$A$2:$K$10000,MATCH($A386&amp;W$1,JupData!$A$2:$A$10000&amp;JupData!$J$2:$J$10000,0),11))</f>
        <v/>
      </c>
      <c r="X386" t="str">
        <f t="array" ref="X386">IF($A386="","",INDEX(JupData!$A$2:$K$10000,MATCH($A386&amp;X$1,JupData!$A$2:$A$10000&amp;JupData!$J$2:$J$10000,0),11))</f>
        <v/>
      </c>
      <c r="Y386" t="str">
        <f t="array" ref="Y386">IF($A386="","",INDEX(JupData!$A$2:$K$10000,MATCH($A386&amp;Y$1,JupData!$A$2:$A$10000&amp;JupData!$J$2:$J$10000,0),11))</f>
        <v/>
      </c>
      <c r="Z386" t="str">
        <f t="array" ref="Z386">IF($A386="","",INDEX(JupData!$A$2:$K$10000,MATCH($A386&amp;Z$1,JupData!$A$2:$A$10000&amp;JupData!$J$2:$J$10000,0),11))</f>
        <v/>
      </c>
      <c r="AA386" t="str">
        <f t="array" ref="AA386">IF($A386="","",INDEX(JupData!$A$2:$K$10000,MATCH($A386&amp;AA$1,JupData!$A$2:$A$10000&amp;JupData!$J$2:$J$10000,0),11))</f>
        <v/>
      </c>
      <c r="AB386" t="str">
        <f t="array" ref="AB386">IF($A386="","",INDEX(JupData!$A$2:$K$10000,MATCH($A386&amp;AB$1,JupData!$A$2:$A$10000&amp;JupData!$J$2:$J$10000,0),11))</f>
        <v/>
      </c>
      <c r="AC386" s="10" t="str">
        <f t="shared" si="55"/>
        <v/>
      </c>
      <c r="AD386" s="10" t="str">
        <f t="shared" si="56"/>
        <v/>
      </c>
      <c r="AE386" s="9" t="str">
        <f t="shared" si="57"/>
        <v/>
      </c>
      <c r="AF386" s="10" t="str">
        <f t="shared" si="58"/>
        <v/>
      </c>
      <c r="AG386" s="10" t="str">
        <f t="shared" si="59"/>
        <v/>
      </c>
      <c r="AH386" s="10" t="str">
        <f t="shared" si="60"/>
        <v/>
      </c>
      <c r="AI386" s="10" t="str">
        <f t="shared" si="61"/>
        <v/>
      </c>
      <c r="AJ386" s="10" t="str">
        <f t="shared" si="62"/>
        <v/>
      </c>
      <c r="AK386" s="10" t="str">
        <f t="shared" si="63"/>
        <v/>
      </c>
      <c r="AL386" s="14" t="str">
        <f t="shared" si="64"/>
        <v/>
      </c>
    </row>
    <row r="387" spans="1:38" x14ac:dyDescent="0.2">
      <c r="A387"/>
      <c r="B387" t="str">
        <f>IF($A387="","",VLOOKUP($A387,JupData!$A$2:$I$10000,4,FALSE))</f>
        <v/>
      </c>
      <c r="C387" s="7" t="str">
        <f>IF($A387="",IF(N(D387),0,""),VLOOKUP($A387,JupData!$A$2:$I$10000,7,FALSE))</f>
        <v/>
      </c>
      <c r="D387" t="str">
        <f t="shared" si="65"/>
        <v/>
      </c>
      <c r="E387" t="str">
        <f t="array" ref="E387">IF($A387="","",INDEX(JupData!$A$2:$K$10000,MATCH($A387&amp;E$1,JupData!$A$2:$A$10000&amp;JupData!$J$2:$J$10000,0),11))</f>
        <v/>
      </c>
      <c r="F387" t="str">
        <f t="array" ref="F387">IF($A387="","",INDEX(JupData!$A$2:$K$10000,MATCH($A387&amp;F$1,JupData!$A$2:$A$10000&amp;JupData!$J$2:$J$10000,0),11))</f>
        <v/>
      </c>
      <c r="G387" t="str">
        <f t="array" ref="G387">IF($A387="","",INDEX(JupData!$A$2:$K$10000,MATCH($A387&amp;G$1,JupData!$A$2:$A$10000&amp;JupData!$J$2:$J$10000,0),11))</f>
        <v/>
      </c>
      <c r="H387" t="str">
        <f t="array" ref="H387">IF($A387="","",INDEX(JupData!$A$2:$K$10000,MATCH($A387&amp;H$1,JupData!$A$2:$A$10000&amp;JupData!$J$2:$J$10000,0),11))</f>
        <v/>
      </c>
      <c r="I387" t="str">
        <f t="array" ref="I387">IF($A387="","",INDEX(JupData!$A$2:$K$10000,MATCH($A387&amp;I$1,JupData!$A$2:$A$10000&amp;JupData!$J$2:$J$10000,0),11))</f>
        <v/>
      </c>
      <c r="J387" t="str">
        <f t="array" ref="J387">IF($A387="","",INDEX(JupData!$A$2:$K$10000,MATCH($A387&amp;J$1,JupData!$A$2:$A$10000&amp;JupData!$J$2:$J$10000,0),11))</f>
        <v/>
      </c>
      <c r="K387" t="str">
        <f t="array" ref="K387">IF($A387="","",INDEX(JupData!$A$2:$K$10000,MATCH($A387&amp;K$1,JupData!$A$2:$A$10000&amp;JupData!$J$2:$J$10000,0),11))</f>
        <v/>
      </c>
      <c r="L387" t="str">
        <f t="array" ref="L387">IF($A387="","",INDEX(JupData!$A$2:$K$10000,MATCH($A387&amp;L$1,JupData!$A$2:$A$10000&amp;JupData!$J$2:$J$10000,0),11))</f>
        <v/>
      </c>
      <c r="M387" t="str">
        <f t="array" ref="M387">IF($A387="","",INDEX(JupData!$A$2:$K$10000,MATCH($A387&amp;M$1,JupData!$A$2:$A$10000&amp;JupData!$J$2:$J$10000,0),11))</f>
        <v/>
      </c>
      <c r="N387" t="str">
        <f t="array" ref="N387">IF($A387="","",INDEX(JupData!$A$2:$K$10000,MATCH($A387&amp;N$1,JupData!$A$2:$A$10000&amp;JupData!$J$2:$J$10000,0),11))</f>
        <v/>
      </c>
      <c r="O387" t="str">
        <f t="array" ref="O387">IF($A387="","",INDEX(JupData!$A$2:$K$10000,MATCH($A387&amp;O$1,JupData!$A$2:$A$10000&amp;JupData!$J$2:$J$10000,0),11))</f>
        <v/>
      </c>
      <c r="P387" t="str">
        <f t="array" ref="P387">IF($A387="","",INDEX(JupData!$A$2:$K$10000,MATCH($A387&amp;P$1,JupData!$A$2:$A$10000&amp;JupData!$J$2:$J$10000,0),11))</f>
        <v/>
      </c>
      <c r="Q387" t="str">
        <f t="array" ref="Q387">IF($A387="","",INDEX(JupData!$A$2:$K$10000,MATCH($A387&amp;Q$1,JupData!$A$2:$A$10000&amp;JupData!$J$2:$J$10000,0),11))</f>
        <v/>
      </c>
      <c r="R387" t="str">
        <f t="array" ref="R387">IF($A387="","",INDEX(JupData!$A$2:$K$10000,MATCH($A387&amp;R$1,JupData!$A$2:$A$10000&amp;JupData!$J$2:$J$10000,0),11))</f>
        <v/>
      </c>
      <c r="S387" t="str">
        <f t="array" ref="S387">IF($A387="","",INDEX(JupData!$A$2:$K$10000,MATCH($A387&amp;S$1,JupData!$A$2:$A$10000&amp;JupData!$J$2:$J$10000,0),11))</f>
        <v/>
      </c>
      <c r="T387" t="str">
        <f t="array" ref="T387">IF($A387="","",INDEX(JupData!$A$2:$K$10000,MATCH($A387&amp;T$1,JupData!$A$2:$A$10000&amp;JupData!$J$2:$J$10000,0),11))</f>
        <v/>
      </c>
      <c r="U387" t="str">
        <f t="array" ref="U387">IF($A387="","",INDEX(JupData!$A$2:$K$10000,MATCH($A387&amp;U$1,JupData!$A$2:$A$10000&amp;JupData!$J$2:$J$10000,0),11))</f>
        <v/>
      </c>
      <c r="V387" t="str">
        <f t="array" ref="V387">IF($A387="","",INDEX(JupData!$A$2:$K$10000,MATCH($A387&amp;V$1,JupData!$A$2:$A$10000&amp;JupData!$J$2:$J$10000,0),11))</f>
        <v/>
      </c>
      <c r="W387" t="str">
        <f t="array" ref="W387">IF($A387="","",INDEX(JupData!$A$2:$K$10000,MATCH($A387&amp;W$1,JupData!$A$2:$A$10000&amp;JupData!$J$2:$J$10000,0),11))</f>
        <v/>
      </c>
      <c r="X387" t="str">
        <f t="array" ref="X387">IF($A387="","",INDEX(JupData!$A$2:$K$10000,MATCH($A387&amp;X$1,JupData!$A$2:$A$10000&amp;JupData!$J$2:$J$10000,0),11))</f>
        <v/>
      </c>
      <c r="Y387" t="str">
        <f t="array" ref="Y387">IF($A387="","",INDEX(JupData!$A$2:$K$10000,MATCH($A387&amp;Y$1,JupData!$A$2:$A$10000&amp;JupData!$J$2:$J$10000,0),11))</f>
        <v/>
      </c>
      <c r="Z387" t="str">
        <f t="array" ref="Z387">IF($A387="","",INDEX(JupData!$A$2:$K$10000,MATCH($A387&amp;Z$1,JupData!$A$2:$A$10000&amp;JupData!$J$2:$J$10000,0),11))</f>
        <v/>
      </c>
      <c r="AA387" t="str">
        <f t="array" ref="AA387">IF($A387="","",INDEX(JupData!$A$2:$K$10000,MATCH($A387&amp;AA$1,JupData!$A$2:$A$10000&amp;JupData!$J$2:$J$10000,0),11))</f>
        <v/>
      </c>
      <c r="AB387" t="str">
        <f t="array" ref="AB387">IF($A387="","",INDEX(JupData!$A$2:$K$10000,MATCH($A387&amp;AB$1,JupData!$A$2:$A$10000&amp;JupData!$J$2:$J$10000,0),11))</f>
        <v/>
      </c>
      <c r="AC387" s="10" t="str">
        <f t="shared" ref="AC387:AC450" si="66">IF(A387="","",2*H387/40.08+2*I387/24.3+J387/22.99+K387/39.1+Y387/18.04)</f>
        <v/>
      </c>
      <c r="AD387" s="10" t="str">
        <f t="shared" ref="AD387:AD450" si="67">IF(A387="","",R387/61.02+2*S387/96.06+T387/35.45+U387/19+W387/62)</f>
        <v/>
      </c>
      <c r="AE387" s="9" t="str">
        <f t="shared" ref="AE387:AE450" si="68">IF(A387="","",IF(AD387&lt;0,((AC387+AD387)/(AC387-AD387)),((AC387-AD387)/(AC387+AD387))))</f>
        <v/>
      </c>
      <c r="AF387" s="10" t="str">
        <f t="shared" ref="AF387:AF450" si="69">IF(A387="","",(J387/22.99)/(T387/35.45))</f>
        <v/>
      </c>
      <c r="AG387" s="10" t="str">
        <f t="shared" ref="AG387:AG450" si="70">IF(A387="","",2*((H387/40.08)+(I387/24.3))/(R387/61.02))</f>
        <v/>
      </c>
      <c r="AH387" s="10" t="str">
        <f t="shared" ref="AH387:AH450" si="71">IF(A387="","",(J387/22.99)/((J387/22.99)+2*(H387/40.08)))</f>
        <v/>
      </c>
      <c r="AI387" s="10" t="str">
        <f t="shared" ref="AI387:AI450" si="72">IF(A387="","",H387/40.08)</f>
        <v/>
      </c>
      <c r="AJ387" s="10" t="str">
        <f t="shared" ref="AJ387:AJ450" si="73">IF(A387="","",S387/96.06)</f>
        <v/>
      </c>
      <c r="AK387" s="10" t="str">
        <f t="shared" ref="AK387:AK450" si="74">IF(A387="","",IF(W387&gt;=1,IF(L387&lt;0.2,IF(G387&gt;1,"A","B"),"X1"),IF(L387&gt;=0.2,IF(S387&gt;=20,IF(S387&gt;70,"C2","C1"),IF(AG387&lt;=1,"D","X3")),"X2")))</f>
        <v/>
      </c>
      <c r="AL387" s="14" t="str">
        <f t="shared" ref="AL387:AL450" si="75">IF(F387="","",(H387/40.1+I387/24.3)*5.6)</f>
        <v/>
      </c>
    </row>
    <row r="388" spans="1:38" x14ac:dyDescent="0.2">
      <c r="A388"/>
      <c r="B388" t="str">
        <f>IF($A388="","",VLOOKUP($A388,JupData!$A$2:$I$10000,4,FALSE))</f>
        <v/>
      </c>
      <c r="C388" s="7" t="str">
        <f>IF($A388="",IF(N(D388),0,""),VLOOKUP($A388,JupData!$A$2:$I$10000,7,FALSE))</f>
        <v/>
      </c>
      <c r="D388" t="str">
        <f t="shared" ref="D388:D451" si="76">IF(A388="",IF(D387&lt;20,D387+1,""),IF(B387="",1,IF(B387=B388,D387,D387+1)))</f>
        <v/>
      </c>
      <c r="E388" t="str">
        <f t="array" ref="E388">IF($A388="","",INDEX(JupData!$A$2:$K$10000,MATCH($A388&amp;E$1,JupData!$A$2:$A$10000&amp;JupData!$J$2:$J$10000,0),11))</f>
        <v/>
      </c>
      <c r="F388" t="str">
        <f t="array" ref="F388">IF($A388="","",INDEX(JupData!$A$2:$K$10000,MATCH($A388&amp;F$1,JupData!$A$2:$A$10000&amp;JupData!$J$2:$J$10000,0),11))</f>
        <v/>
      </c>
      <c r="G388" t="str">
        <f t="array" ref="G388">IF($A388="","",INDEX(JupData!$A$2:$K$10000,MATCH($A388&amp;G$1,JupData!$A$2:$A$10000&amp;JupData!$J$2:$J$10000,0),11))</f>
        <v/>
      </c>
      <c r="H388" t="str">
        <f t="array" ref="H388">IF($A388="","",INDEX(JupData!$A$2:$K$10000,MATCH($A388&amp;H$1,JupData!$A$2:$A$10000&amp;JupData!$J$2:$J$10000,0),11))</f>
        <v/>
      </c>
      <c r="I388" t="str">
        <f t="array" ref="I388">IF($A388="","",INDEX(JupData!$A$2:$K$10000,MATCH($A388&amp;I$1,JupData!$A$2:$A$10000&amp;JupData!$J$2:$J$10000,0),11))</f>
        <v/>
      </c>
      <c r="J388" t="str">
        <f t="array" ref="J388">IF($A388="","",INDEX(JupData!$A$2:$K$10000,MATCH($A388&amp;J$1,JupData!$A$2:$A$10000&amp;JupData!$J$2:$J$10000,0),11))</f>
        <v/>
      </c>
      <c r="K388" t="str">
        <f t="array" ref="K388">IF($A388="","",INDEX(JupData!$A$2:$K$10000,MATCH($A388&amp;K$1,JupData!$A$2:$A$10000&amp;JupData!$J$2:$J$10000,0),11))</f>
        <v/>
      </c>
      <c r="L388" t="str">
        <f t="array" ref="L388">IF($A388="","",INDEX(JupData!$A$2:$K$10000,MATCH($A388&amp;L$1,JupData!$A$2:$A$10000&amp;JupData!$J$2:$J$10000,0),11))</f>
        <v/>
      </c>
      <c r="M388" t="str">
        <f t="array" ref="M388">IF($A388="","",INDEX(JupData!$A$2:$K$10000,MATCH($A388&amp;M$1,JupData!$A$2:$A$10000&amp;JupData!$J$2:$J$10000,0),11))</f>
        <v/>
      </c>
      <c r="N388" t="str">
        <f t="array" ref="N388">IF($A388="","",INDEX(JupData!$A$2:$K$10000,MATCH($A388&amp;N$1,JupData!$A$2:$A$10000&amp;JupData!$J$2:$J$10000,0),11))</f>
        <v/>
      </c>
      <c r="O388" t="str">
        <f t="array" ref="O388">IF($A388="","",INDEX(JupData!$A$2:$K$10000,MATCH($A388&amp;O$1,JupData!$A$2:$A$10000&amp;JupData!$J$2:$J$10000,0),11))</f>
        <v/>
      </c>
      <c r="P388" t="str">
        <f t="array" ref="P388">IF($A388="","",INDEX(JupData!$A$2:$K$10000,MATCH($A388&amp;P$1,JupData!$A$2:$A$10000&amp;JupData!$J$2:$J$10000,0),11))</f>
        <v/>
      </c>
      <c r="Q388" t="str">
        <f t="array" ref="Q388">IF($A388="","",INDEX(JupData!$A$2:$K$10000,MATCH($A388&amp;Q$1,JupData!$A$2:$A$10000&amp;JupData!$J$2:$J$10000,0),11))</f>
        <v/>
      </c>
      <c r="R388" t="str">
        <f t="array" ref="R388">IF($A388="","",INDEX(JupData!$A$2:$K$10000,MATCH($A388&amp;R$1,JupData!$A$2:$A$10000&amp;JupData!$J$2:$J$10000,0),11))</f>
        <v/>
      </c>
      <c r="S388" t="str">
        <f t="array" ref="S388">IF($A388="","",INDEX(JupData!$A$2:$K$10000,MATCH($A388&amp;S$1,JupData!$A$2:$A$10000&amp;JupData!$J$2:$J$10000,0),11))</f>
        <v/>
      </c>
      <c r="T388" t="str">
        <f t="array" ref="T388">IF($A388="","",INDEX(JupData!$A$2:$K$10000,MATCH($A388&amp;T$1,JupData!$A$2:$A$10000&amp;JupData!$J$2:$J$10000,0),11))</f>
        <v/>
      </c>
      <c r="U388" t="str">
        <f t="array" ref="U388">IF($A388="","",INDEX(JupData!$A$2:$K$10000,MATCH($A388&amp;U$1,JupData!$A$2:$A$10000&amp;JupData!$J$2:$J$10000,0),11))</f>
        <v/>
      </c>
      <c r="V388" t="str">
        <f t="array" ref="V388">IF($A388="","",INDEX(JupData!$A$2:$K$10000,MATCH($A388&amp;V$1,JupData!$A$2:$A$10000&amp;JupData!$J$2:$J$10000,0),11))</f>
        <v/>
      </c>
      <c r="W388" t="str">
        <f t="array" ref="W388">IF($A388="","",INDEX(JupData!$A$2:$K$10000,MATCH($A388&amp;W$1,JupData!$A$2:$A$10000&amp;JupData!$J$2:$J$10000,0),11))</f>
        <v/>
      </c>
      <c r="X388" t="str">
        <f t="array" ref="X388">IF($A388="","",INDEX(JupData!$A$2:$K$10000,MATCH($A388&amp;X$1,JupData!$A$2:$A$10000&amp;JupData!$J$2:$J$10000,0),11))</f>
        <v/>
      </c>
      <c r="Y388" t="str">
        <f t="array" ref="Y388">IF($A388="","",INDEX(JupData!$A$2:$K$10000,MATCH($A388&amp;Y$1,JupData!$A$2:$A$10000&amp;JupData!$J$2:$J$10000,0),11))</f>
        <v/>
      </c>
      <c r="Z388" t="str">
        <f t="array" ref="Z388">IF($A388="","",INDEX(JupData!$A$2:$K$10000,MATCH($A388&amp;Z$1,JupData!$A$2:$A$10000&amp;JupData!$J$2:$J$10000,0),11))</f>
        <v/>
      </c>
      <c r="AA388" t="str">
        <f t="array" ref="AA388">IF($A388="","",INDEX(JupData!$A$2:$K$10000,MATCH($A388&amp;AA$1,JupData!$A$2:$A$10000&amp;JupData!$J$2:$J$10000,0),11))</f>
        <v/>
      </c>
      <c r="AB388" t="str">
        <f t="array" ref="AB388">IF($A388="","",INDEX(JupData!$A$2:$K$10000,MATCH($A388&amp;AB$1,JupData!$A$2:$A$10000&amp;JupData!$J$2:$J$10000,0),11))</f>
        <v/>
      </c>
      <c r="AC388" s="10" t="str">
        <f t="shared" si="66"/>
        <v/>
      </c>
      <c r="AD388" s="10" t="str">
        <f t="shared" si="67"/>
        <v/>
      </c>
      <c r="AE388" s="9" t="str">
        <f t="shared" si="68"/>
        <v/>
      </c>
      <c r="AF388" s="10" t="str">
        <f t="shared" si="69"/>
        <v/>
      </c>
      <c r="AG388" s="10" t="str">
        <f t="shared" si="70"/>
        <v/>
      </c>
      <c r="AH388" s="10" t="str">
        <f t="shared" si="71"/>
        <v/>
      </c>
      <c r="AI388" s="10" t="str">
        <f t="shared" si="72"/>
        <v/>
      </c>
      <c r="AJ388" s="10" t="str">
        <f t="shared" si="73"/>
        <v/>
      </c>
      <c r="AK388" s="10" t="str">
        <f t="shared" si="74"/>
        <v/>
      </c>
      <c r="AL388" s="14" t="str">
        <f t="shared" si="75"/>
        <v/>
      </c>
    </row>
    <row r="389" spans="1:38" x14ac:dyDescent="0.2">
      <c r="A389"/>
      <c r="B389" t="str">
        <f>IF($A389="","",VLOOKUP($A389,JupData!$A$2:$I$10000,4,FALSE))</f>
        <v/>
      </c>
      <c r="C389" s="7" t="str">
        <f>IF($A389="",IF(N(D389),0,""),VLOOKUP($A389,JupData!$A$2:$I$10000,7,FALSE))</f>
        <v/>
      </c>
      <c r="D389" t="str">
        <f t="shared" si="76"/>
        <v/>
      </c>
      <c r="E389" t="str">
        <f t="array" ref="E389">IF($A389="","",INDEX(JupData!$A$2:$K$10000,MATCH($A389&amp;E$1,JupData!$A$2:$A$10000&amp;JupData!$J$2:$J$10000,0),11))</f>
        <v/>
      </c>
      <c r="F389" t="str">
        <f t="array" ref="F389">IF($A389="","",INDEX(JupData!$A$2:$K$10000,MATCH($A389&amp;F$1,JupData!$A$2:$A$10000&amp;JupData!$J$2:$J$10000,0),11))</f>
        <v/>
      </c>
      <c r="G389" t="str">
        <f t="array" ref="G389">IF($A389="","",INDEX(JupData!$A$2:$K$10000,MATCH($A389&amp;G$1,JupData!$A$2:$A$10000&amp;JupData!$J$2:$J$10000,0),11))</f>
        <v/>
      </c>
      <c r="H389" t="str">
        <f t="array" ref="H389">IF($A389="","",INDEX(JupData!$A$2:$K$10000,MATCH($A389&amp;H$1,JupData!$A$2:$A$10000&amp;JupData!$J$2:$J$10000,0),11))</f>
        <v/>
      </c>
      <c r="I389" t="str">
        <f t="array" ref="I389">IF($A389="","",INDEX(JupData!$A$2:$K$10000,MATCH($A389&amp;I$1,JupData!$A$2:$A$10000&amp;JupData!$J$2:$J$10000,0),11))</f>
        <v/>
      </c>
      <c r="J389" t="str">
        <f t="array" ref="J389">IF($A389="","",INDEX(JupData!$A$2:$K$10000,MATCH($A389&amp;J$1,JupData!$A$2:$A$10000&amp;JupData!$J$2:$J$10000,0),11))</f>
        <v/>
      </c>
      <c r="K389" t="str">
        <f t="array" ref="K389">IF($A389="","",INDEX(JupData!$A$2:$K$10000,MATCH($A389&amp;K$1,JupData!$A$2:$A$10000&amp;JupData!$J$2:$J$10000,0),11))</f>
        <v/>
      </c>
      <c r="L389" t="str">
        <f t="array" ref="L389">IF($A389="","",INDEX(JupData!$A$2:$K$10000,MATCH($A389&amp;L$1,JupData!$A$2:$A$10000&amp;JupData!$J$2:$J$10000,0),11))</f>
        <v/>
      </c>
      <c r="M389" t="str">
        <f t="array" ref="M389">IF($A389="","",INDEX(JupData!$A$2:$K$10000,MATCH($A389&amp;M$1,JupData!$A$2:$A$10000&amp;JupData!$J$2:$J$10000,0),11))</f>
        <v/>
      </c>
      <c r="N389" t="str">
        <f t="array" ref="N389">IF($A389="","",INDEX(JupData!$A$2:$K$10000,MATCH($A389&amp;N$1,JupData!$A$2:$A$10000&amp;JupData!$J$2:$J$10000,0),11))</f>
        <v/>
      </c>
      <c r="O389" t="str">
        <f t="array" ref="O389">IF($A389="","",INDEX(JupData!$A$2:$K$10000,MATCH($A389&amp;O$1,JupData!$A$2:$A$10000&amp;JupData!$J$2:$J$10000,0),11))</f>
        <v/>
      </c>
      <c r="P389" t="str">
        <f t="array" ref="P389">IF($A389="","",INDEX(JupData!$A$2:$K$10000,MATCH($A389&amp;P$1,JupData!$A$2:$A$10000&amp;JupData!$J$2:$J$10000,0),11))</f>
        <v/>
      </c>
      <c r="Q389" t="str">
        <f t="array" ref="Q389">IF($A389="","",INDEX(JupData!$A$2:$K$10000,MATCH($A389&amp;Q$1,JupData!$A$2:$A$10000&amp;JupData!$J$2:$J$10000,0),11))</f>
        <v/>
      </c>
      <c r="R389" t="str">
        <f t="array" ref="R389">IF($A389="","",INDEX(JupData!$A$2:$K$10000,MATCH($A389&amp;R$1,JupData!$A$2:$A$10000&amp;JupData!$J$2:$J$10000,0),11))</f>
        <v/>
      </c>
      <c r="S389" t="str">
        <f t="array" ref="S389">IF($A389="","",INDEX(JupData!$A$2:$K$10000,MATCH($A389&amp;S$1,JupData!$A$2:$A$10000&amp;JupData!$J$2:$J$10000,0),11))</f>
        <v/>
      </c>
      <c r="T389" t="str">
        <f t="array" ref="T389">IF($A389="","",INDEX(JupData!$A$2:$K$10000,MATCH($A389&amp;T$1,JupData!$A$2:$A$10000&amp;JupData!$J$2:$J$10000,0),11))</f>
        <v/>
      </c>
      <c r="U389" t="str">
        <f t="array" ref="U389">IF($A389="","",INDEX(JupData!$A$2:$K$10000,MATCH($A389&amp;U$1,JupData!$A$2:$A$10000&amp;JupData!$J$2:$J$10000,0),11))</f>
        <v/>
      </c>
      <c r="V389" t="str">
        <f t="array" ref="V389">IF($A389="","",INDEX(JupData!$A$2:$K$10000,MATCH($A389&amp;V$1,JupData!$A$2:$A$10000&amp;JupData!$J$2:$J$10000,0),11))</f>
        <v/>
      </c>
      <c r="W389" t="str">
        <f t="array" ref="W389">IF($A389="","",INDEX(JupData!$A$2:$K$10000,MATCH($A389&amp;W$1,JupData!$A$2:$A$10000&amp;JupData!$J$2:$J$10000,0),11))</f>
        <v/>
      </c>
      <c r="X389" t="str">
        <f t="array" ref="X389">IF($A389="","",INDEX(JupData!$A$2:$K$10000,MATCH($A389&amp;X$1,JupData!$A$2:$A$10000&amp;JupData!$J$2:$J$10000,0),11))</f>
        <v/>
      </c>
      <c r="Y389" t="str">
        <f t="array" ref="Y389">IF($A389="","",INDEX(JupData!$A$2:$K$10000,MATCH($A389&amp;Y$1,JupData!$A$2:$A$10000&amp;JupData!$J$2:$J$10000,0),11))</f>
        <v/>
      </c>
      <c r="Z389" t="str">
        <f t="array" ref="Z389">IF($A389="","",INDEX(JupData!$A$2:$K$10000,MATCH($A389&amp;Z$1,JupData!$A$2:$A$10000&amp;JupData!$J$2:$J$10000,0),11))</f>
        <v/>
      </c>
      <c r="AA389" t="str">
        <f t="array" ref="AA389">IF($A389="","",INDEX(JupData!$A$2:$K$10000,MATCH($A389&amp;AA$1,JupData!$A$2:$A$10000&amp;JupData!$J$2:$J$10000,0),11))</f>
        <v/>
      </c>
      <c r="AB389" t="str">
        <f t="array" ref="AB389">IF($A389="","",INDEX(JupData!$A$2:$K$10000,MATCH($A389&amp;AB$1,JupData!$A$2:$A$10000&amp;JupData!$J$2:$J$10000,0),11))</f>
        <v/>
      </c>
      <c r="AC389" s="10" t="str">
        <f t="shared" si="66"/>
        <v/>
      </c>
      <c r="AD389" s="10" t="str">
        <f t="shared" si="67"/>
        <v/>
      </c>
      <c r="AE389" s="9" t="str">
        <f t="shared" si="68"/>
        <v/>
      </c>
      <c r="AF389" s="10" t="str">
        <f t="shared" si="69"/>
        <v/>
      </c>
      <c r="AG389" s="10" t="str">
        <f t="shared" si="70"/>
        <v/>
      </c>
      <c r="AH389" s="10" t="str">
        <f t="shared" si="71"/>
        <v/>
      </c>
      <c r="AI389" s="10" t="str">
        <f t="shared" si="72"/>
        <v/>
      </c>
      <c r="AJ389" s="10" t="str">
        <f t="shared" si="73"/>
        <v/>
      </c>
      <c r="AK389" s="10" t="str">
        <f t="shared" si="74"/>
        <v/>
      </c>
      <c r="AL389" s="14" t="str">
        <f t="shared" si="75"/>
        <v/>
      </c>
    </row>
    <row r="390" spans="1:38" x14ac:dyDescent="0.2">
      <c r="A390"/>
      <c r="B390" t="str">
        <f>IF($A390="","",VLOOKUP($A390,JupData!$A$2:$I$10000,4,FALSE))</f>
        <v/>
      </c>
      <c r="C390" s="7" t="str">
        <f>IF($A390="",IF(N(D390),0,""),VLOOKUP($A390,JupData!$A$2:$I$10000,7,FALSE))</f>
        <v/>
      </c>
      <c r="D390" t="str">
        <f t="shared" si="76"/>
        <v/>
      </c>
      <c r="E390" t="str">
        <f t="array" ref="E390">IF($A390="","",INDEX(JupData!$A$2:$K$10000,MATCH($A390&amp;E$1,JupData!$A$2:$A$10000&amp;JupData!$J$2:$J$10000,0),11))</f>
        <v/>
      </c>
      <c r="F390" t="str">
        <f t="array" ref="F390">IF($A390="","",INDEX(JupData!$A$2:$K$10000,MATCH($A390&amp;F$1,JupData!$A$2:$A$10000&amp;JupData!$J$2:$J$10000,0),11))</f>
        <v/>
      </c>
      <c r="G390" t="str">
        <f t="array" ref="G390">IF($A390="","",INDEX(JupData!$A$2:$K$10000,MATCH($A390&amp;G$1,JupData!$A$2:$A$10000&amp;JupData!$J$2:$J$10000,0),11))</f>
        <v/>
      </c>
      <c r="H390" t="str">
        <f t="array" ref="H390">IF($A390="","",INDEX(JupData!$A$2:$K$10000,MATCH($A390&amp;H$1,JupData!$A$2:$A$10000&amp;JupData!$J$2:$J$10000,0),11))</f>
        <v/>
      </c>
      <c r="I390" t="str">
        <f t="array" ref="I390">IF($A390="","",INDEX(JupData!$A$2:$K$10000,MATCH($A390&amp;I$1,JupData!$A$2:$A$10000&amp;JupData!$J$2:$J$10000,0),11))</f>
        <v/>
      </c>
      <c r="J390" t="str">
        <f t="array" ref="J390">IF($A390="","",INDEX(JupData!$A$2:$K$10000,MATCH($A390&amp;J$1,JupData!$A$2:$A$10000&amp;JupData!$J$2:$J$10000,0),11))</f>
        <v/>
      </c>
      <c r="K390" t="str">
        <f t="array" ref="K390">IF($A390="","",INDEX(JupData!$A$2:$K$10000,MATCH($A390&amp;K$1,JupData!$A$2:$A$10000&amp;JupData!$J$2:$J$10000,0),11))</f>
        <v/>
      </c>
      <c r="L390" t="str">
        <f t="array" ref="L390">IF($A390="","",INDEX(JupData!$A$2:$K$10000,MATCH($A390&amp;L$1,JupData!$A$2:$A$10000&amp;JupData!$J$2:$J$10000,0),11))</f>
        <v/>
      </c>
      <c r="M390" t="str">
        <f t="array" ref="M390">IF($A390="","",INDEX(JupData!$A$2:$K$10000,MATCH($A390&amp;M$1,JupData!$A$2:$A$10000&amp;JupData!$J$2:$J$10000,0),11))</f>
        <v/>
      </c>
      <c r="N390" t="str">
        <f t="array" ref="N390">IF($A390="","",INDEX(JupData!$A$2:$K$10000,MATCH($A390&amp;N$1,JupData!$A$2:$A$10000&amp;JupData!$J$2:$J$10000,0),11))</f>
        <v/>
      </c>
      <c r="O390" t="str">
        <f t="array" ref="O390">IF($A390="","",INDEX(JupData!$A$2:$K$10000,MATCH($A390&amp;O$1,JupData!$A$2:$A$10000&amp;JupData!$J$2:$J$10000,0),11))</f>
        <v/>
      </c>
      <c r="P390" t="str">
        <f t="array" ref="P390">IF($A390="","",INDEX(JupData!$A$2:$K$10000,MATCH($A390&amp;P$1,JupData!$A$2:$A$10000&amp;JupData!$J$2:$J$10000,0),11))</f>
        <v/>
      </c>
      <c r="Q390" t="str">
        <f t="array" ref="Q390">IF($A390="","",INDEX(JupData!$A$2:$K$10000,MATCH($A390&amp;Q$1,JupData!$A$2:$A$10000&amp;JupData!$J$2:$J$10000,0),11))</f>
        <v/>
      </c>
      <c r="R390" t="str">
        <f t="array" ref="R390">IF($A390="","",INDEX(JupData!$A$2:$K$10000,MATCH($A390&amp;R$1,JupData!$A$2:$A$10000&amp;JupData!$J$2:$J$10000,0),11))</f>
        <v/>
      </c>
      <c r="S390" t="str">
        <f t="array" ref="S390">IF($A390="","",INDEX(JupData!$A$2:$K$10000,MATCH($A390&amp;S$1,JupData!$A$2:$A$10000&amp;JupData!$J$2:$J$10000,0),11))</f>
        <v/>
      </c>
      <c r="T390" t="str">
        <f t="array" ref="T390">IF($A390="","",INDEX(JupData!$A$2:$K$10000,MATCH($A390&amp;T$1,JupData!$A$2:$A$10000&amp;JupData!$J$2:$J$10000,0),11))</f>
        <v/>
      </c>
      <c r="U390" t="str">
        <f t="array" ref="U390">IF($A390="","",INDEX(JupData!$A$2:$K$10000,MATCH($A390&amp;U$1,JupData!$A$2:$A$10000&amp;JupData!$J$2:$J$10000,0),11))</f>
        <v/>
      </c>
      <c r="V390" t="str">
        <f t="array" ref="V390">IF($A390="","",INDEX(JupData!$A$2:$K$10000,MATCH($A390&amp;V$1,JupData!$A$2:$A$10000&amp;JupData!$J$2:$J$10000,0),11))</f>
        <v/>
      </c>
      <c r="W390" t="str">
        <f t="array" ref="W390">IF($A390="","",INDEX(JupData!$A$2:$K$10000,MATCH($A390&amp;W$1,JupData!$A$2:$A$10000&amp;JupData!$J$2:$J$10000,0),11))</f>
        <v/>
      </c>
      <c r="X390" t="str">
        <f t="array" ref="X390">IF($A390="","",INDEX(JupData!$A$2:$K$10000,MATCH($A390&amp;X$1,JupData!$A$2:$A$10000&amp;JupData!$J$2:$J$10000,0),11))</f>
        <v/>
      </c>
      <c r="Y390" t="str">
        <f t="array" ref="Y390">IF($A390="","",INDEX(JupData!$A$2:$K$10000,MATCH($A390&amp;Y$1,JupData!$A$2:$A$10000&amp;JupData!$J$2:$J$10000,0),11))</f>
        <v/>
      </c>
      <c r="Z390" t="str">
        <f t="array" ref="Z390">IF($A390="","",INDEX(JupData!$A$2:$K$10000,MATCH($A390&amp;Z$1,JupData!$A$2:$A$10000&amp;JupData!$J$2:$J$10000,0),11))</f>
        <v/>
      </c>
      <c r="AA390" t="str">
        <f t="array" ref="AA390">IF($A390="","",INDEX(JupData!$A$2:$K$10000,MATCH($A390&amp;AA$1,JupData!$A$2:$A$10000&amp;JupData!$J$2:$J$10000,0),11))</f>
        <v/>
      </c>
      <c r="AB390" t="str">
        <f t="array" ref="AB390">IF($A390="","",INDEX(JupData!$A$2:$K$10000,MATCH($A390&amp;AB$1,JupData!$A$2:$A$10000&amp;JupData!$J$2:$J$10000,0),11))</f>
        <v/>
      </c>
      <c r="AC390" s="10" t="str">
        <f t="shared" si="66"/>
        <v/>
      </c>
      <c r="AD390" s="10" t="str">
        <f t="shared" si="67"/>
        <v/>
      </c>
      <c r="AE390" s="9" t="str">
        <f t="shared" si="68"/>
        <v/>
      </c>
      <c r="AF390" s="10" t="str">
        <f t="shared" si="69"/>
        <v/>
      </c>
      <c r="AG390" s="10" t="str">
        <f t="shared" si="70"/>
        <v/>
      </c>
      <c r="AH390" s="10" t="str">
        <f t="shared" si="71"/>
        <v/>
      </c>
      <c r="AI390" s="10" t="str">
        <f t="shared" si="72"/>
        <v/>
      </c>
      <c r="AJ390" s="10" t="str">
        <f t="shared" si="73"/>
        <v/>
      </c>
      <c r="AK390" s="10" t="str">
        <f t="shared" si="74"/>
        <v/>
      </c>
      <c r="AL390" s="14" t="str">
        <f t="shared" si="75"/>
        <v/>
      </c>
    </row>
    <row r="391" spans="1:38" x14ac:dyDescent="0.2">
      <c r="A391"/>
      <c r="B391" t="str">
        <f>IF($A391="","",VLOOKUP($A391,JupData!$A$2:$I$10000,4,FALSE))</f>
        <v/>
      </c>
      <c r="C391" s="7" t="str">
        <f>IF($A391="",IF(N(D391),0,""),VLOOKUP($A391,JupData!$A$2:$I$10000,7,FALSE))</f>
        <v/>
      </c>
      <c r="D391" t="str">
        <f t="shared" si="76"/>
        <v/>
      </c>
      <c r="E391" t="str">
        <f t="array" ref="E391">IF($A391="","",INDEX(JupData!$A$2:$K$10000,MATCH($A391&amp;E$1,JupData!$A$2:$A$10000&amp;JupData!$J$2:$J$10000,0),11))</f>
        <v/>
      </c>
      <c r="F391" t="str">
        <f t="array" ref="F391">IF($A391="","",INDEX(JupData!$A$2:$K$10000,MATCH($A391&amp;F$1,JupData!$A$2:$A$10000&amp;JupData!$J$2:$J$10000,0),11))</f>
        <v/>
      </c>
      <c r="G391" t="str">
        <f t="array" ref="G391">IF($A391="","",INDEX(JupData!$A$2:$K$10000,MATCH($A391&amp;G$1,JupData!$A$2:$A$10000&amp;JupData!$J$2:$J$10000,0),11))</f>
        <v/>
      </c>
      <c r="H391" t="str">
        <f t="array" ref="H391">IF($A391="","",INDEX(JupData!$A$2:$K$10000,MATCH($A391&amp;H$1,JupData!$A$2:$A$10000&amp;JupData!$J$2:$J$10000,0),11))</f>
        <v/>
      </c>
      <c r="I391" t="str">
        <f t="array" ref="I391">IF($A391="","",INDEX(JupData!$A$2:$K$10000,MATCH($A391&amp;I$1,JupData!$A$2:$A$10000&amp;JupData!$J$2:$J$10000,0),11))</f>
        <v/>
      </c>
      <c r="J391" t="str">
        <f t="array" ref="J391">IF($A391="","",INDEX(JupData!$A$2:$K$10000,MATCH($A391&amp;J$1,JupData!$A$2:$A$10000&amp;JupData!$J$2:$J$10000,0),11))</f>
        <v/>
      </c>
      <c r="K391" t="str">
        <f t="array" ref="K391">IF($A391="","",INDEX(JupData!$A$2:$K$10000,MATCH($A391&amp;K$1,JupData!$A$2:$A$10000&amp;JupData!$J$2:$J$10000,0),11))</f>
        <v/>
      </c>
      <c r="L391" t="str">
        <f t="array" ref="L391">IF($A391="","",INDEX(JupData!$A$2:$K$10000,MATCH($A391&amp;L$1,JupData!$A$2:$A$10000&amp;JupData!$J$2:$J$10000,0),11))</f>
        <v/>
      </c>
      <c r="M391" t="str">
        <f t="array" ref="M391">IF($A391="","",INDEX(JupData!$A$2:$K$10000,MATCH($A391&amp;M$1,JupData!$A$2:$A$10000&amp;JupData!$J$2:$J$10000,0),11))</f>
        <v/>
      </c>
      <c r="N391" t="str">
        <f t="array" ref="N391">IF($A391="","",INDEX(JupData!$A$2:$K$10000,MATCH($A391&amp;N$1,JupData!$A$2:$A$10000&amp;JupData!$J$2:$J$10000,0),11))</f>
        <v/>
      </c>
      <c r="O391" t="str">
        <f t="array" ref="O391">IF($A391="","",INDEX(JupData!$A$2:$K$10000,MATCH($A391&amp;O$1,JupData!$A$2:$A$10000&amp;JupData!$J$2:$J$10000,0),11))</f>
        <v/>
      </c>
      <c r="P391" t="str">
        <f t="array" ref="P391">IF($A391="","",INDEX(JupData!$A$2:$K$10000,MATCH($A391&amp;P$1,JupData!$A$2:$A$10000&amp;JupData!$J$2:$J$10000,0),11))</f>
        <v/>
      </c>
      <c r="Q391" t="str">
        <f t="array" ref="Q391">IF($A391="","",INDEX(JupData!$A$2:$K$10000,MATCH($A391&amp;Q$1,JupData!$A$2:$A$10000&amp;JupData!$J$2:$J$10000,0),11))</f>
        <v/>
      </c>
      <c r="R391" t="str">
        <f t="array" ref="R391">IF($A391="","",INDEX(JupData!$A$2:$K$10000,MATCH($A391&amp;R$1,JupData!$A$2:$A$10000&amp;JupData!$J$2:$J$10000,0),11))</f>
        <v/>
      </c>
      <c r="S391" t="str">
        <f t="array" ref="S391">IF($A391="","",INDEX(JupData!$A$2:$K$10000,MATCH($A391&amp;S$1,JupData!$A$2:$A$10000&amp;JupData!$J$2:$J$10000,0),11))</f>
        <v/>
      </c>
      <c r="T391" t="str">
        <f t="array" ref="T391">IF($A391="","",INDEX(JupData!$A$2:$K$10000,MATCH($A391&amp;T$1,JupData!$A$2:$A$10000&amp;JupData!$J$2:$J$10000,0),11))</f>
        <v/>
      </c>
      <c r="U391" t="str">
        <f t="array" ref="U391">IF($A391="","",INDEX(JupData!$A$2:$K$10000,MATCH($A391&amp;U$1,JupData!$A$2:$A$10000&amp;JupData!$J$2:$J$10000,0),11))</f>
        <v/>
      </c>
      <c r="V391" t="str">
        <f t="array" ref="V391">IF($A391="","",INDEX(JupData!$A$2:$K$10000,MATCH($A391&amp;V$1,JupData!$A$2:$A$10000&amp;JupData!$J$2:$J$10000,0),11))</f>
        <v/>
      </c>
      <c r="W391" t="str">
        <f t="array" ref="W391">IF($A391="","",INDEX(JupData!$A$2:$K$10000,MATCH($A391&amp;W$1,JupData!$A$2:$A$10000&amp;JupData!$J$2:$J$10000,0),11))</f>
        <v/>
      </c>
      <c r="X391" t="str">
        <f t="array" ref="X391">IF($A391="","",INDEX(JupData!$A$2:$K$10000,MATCH($A391&amp;X$1,JupData!$A$2:$A$10000&amp;JupData!$J$2:$J$10000,0),11))</f>
        <v/>
      </c>
      <c r="Y391" t="str">
        <f t="array" ref="Y391">IF($A391="","",INDEX(JupData!$A$2:$K$10000,MATCH($A391&amp;Y$1,JupData!$A$2:$A$10000&amp;JupData!$J$2:$J$10000,0),11))</f>
        <v/>
      </c>
      <c r="Z391" t="str">
        <f t="array" ref="Z391">IF($A391="","",INDEX(JupData!$A$2:$K$10000,MATCH($A391&amp;Z$1,JupData!$A$2:$A$10000&amp;JupData!$J$2:$J$10000,0),11))</f>
        <v/>
      </c>
      <c r="AA391" t="str">
        <f t="array" ref="AA391">IF($A391="","",INDEX(JupData!$A$2:$K$10000,MATCH($A391&amp;AA$1,JupData!$A$2:$A$10000&amp;JupData!$J$2:$J$10000,0),11))</f>
        <v/>
      </c>
      <c r="AB391" t="str">
        <f t="array" ref="AB391">IF($A391="","",INDEX(JupData!$A$2:$K$10000,MATCH($A391&amp;AB$1,JupData!$A$2:$A$10000&amp;JupData!$J$2:$J$10000,0),11))</f>
        <v/>
      </c>
      <c r="AC391" s="10" t="str">
        <f t="shared" si="66"/>
        <v/>
      </c>
      <c r="AD391" s="10" t="str">
        <f t="shared" si="67"/>
        <v/>
      </c>
      <c r="AE391" s="9" t="str">
        <f t="shared" si="68"/>
        <v/>
      </c>
      <c r="AF391" s="10" t="str">
        <f t="shared" si="69"/>
        <v/>
      </c>
      <c r="AG391" s="10" t="str">
        <f t="shared" si="70"/>
        <v/>
      </c>
      <c r="AH391" s="10" t="str">
        <f t="shared" si="71"/>
        <v/>
      </c>
      <c r="AI391" s="10" t="str">
        <f t="shared" si="72"/>
        <v/>
      </c>
      <c r="AJ391" s="10" t="str">
        <f t="shared" si="73"/>
        <v/>
      </c>
      <c r="AK391" s="10" t="str">
        <f t="shared" si="74"/>
        <v/>
      </c>
      <c r="AL391" s="14" t="str">
        <f t="shared" si="75"/>
        <v/>
      </c>
    </row>
    <row r="392" spans="1:38" x14ac:dyDescent="0.2">
      <c r="A392"/>
      <c r="B392" t="str">
        <f>IF($A392="","",VLOOKUP($A392,JupData!$A$2:$I$10000,4,FALSE))</f>
        <v/>
      </c>
      <c r="C392" s="7" t="str">
        <f>IF($A392="",IF(N(D392),0,""),VLOOKUP($A392,JupData!$A$2:$I$10000,7,FALSE))</f>
        <v/>
      </c>
      <c r="D392" t="str">
        <f t="shared" si="76"/>
        <v/>
      </c>
      <c r="E392" t="str">
        <f t="array" ref="E392">IF($A392="","",INDEX(JupData!$A$2:$K$10000,MATCH($A392&amp;E$1,JupData!$A$2:$A$10000&amp;JupData!$J$2:$J$10000,0),11))</f>
        <v/>
      </c>
      <c r="F392" t="str">
        <f t="array" ref="F392">IF($A392="","",INDEX(JupData!$A$2:$K$10000,MATCH($A392&amp;F$1,JupData!$A$2:$A$10000&amp;JupData!$J$2:$J$10000,0),11))</f>
        <v/>
      </c>
      <c r="G392" t="str">
        <f t="array" ref="G392">IF($A392="","",INDEX(JupData!$A$2:$K$10000,MATCH($A392&amp;G$1,JupData!$A$2:$A$10000&amp;JupData!$J$2:$J$10000,0),11))</f>
        <v/>
      </c>
      <c r="H392" t="str">
        <f t="array" ref="H392">IF($A392="","",INDEX(JupData!$A$2:$K$10000,MATCH($A392&amp;H$1,JupData!$A$2:$A$10000&amp;JupData!$J$2:$J$10000,0),11))</f>
        <v/>
      </c>
      <c r="I392" t="str">
        <f t="array" ref="I392">IF($A392="","",INDEX(JupData!$A$2:$K$10000,MATCH($A392&amp;I$1,JupData!$A$2:$A$10000&amp;JupData!$J$2:$J$10000,0),11))</f>
        <v/>
      </c>
      <c r="J392" t="str">
        <f t="array" ref="J392">IF($A392="","",INDEX(JupData!$A$2:$K$10000,MATCH($A392&amp;J$1,JupData!$A$2:$A$10000&amp;JupData!$J$2:$J$10000,0),11))</f>
        <v/>
      </c>
      <c r="K392" t="str">
        <f t="array" ref="K392">IF($A392="","",INDEX(JupData!$A$2:$K$10000,MATCH($A392&amp;K$1,JupData!$A$2:$A$10000&amp;JupData!$J$2:$J$10000,0),11))</f>
        <v/>
      </c>
      <c r="L392" t="str">
        <f t="array" ref="L392">IF($A392="","",INDEX(JupData!$A$2:$K$10000,MATCH($A392&amp;L$1,JupData!$A$2:$A$10000&amp;JupData!$J$2:$J$10000,0),11))</f>
        <v/>
      </c>
      <c r="M392" t="str">
        <f t="array" ref="M392">IF($A392="","",INDEX(JupData!$A$2:$K$10000,MATCH($A392&amp;M$1,JupData!$A$2:$A$10000&amp;JupData!$J$2:$J$10000,0),11))</f>
        <v/>
      </c>
      <c r="N392" t="str">
        <f t="array" ref="N392">IF($A392="","",INDEX(JupData!$A$2:$K$10000,MATCH($A392&amp;N$1,JupData!$A$2:$A$10000&amp;JupData!$J$2:$J$10000,0),11))</f>
        <v/>
      </c>
      <c r="O392" t="str">
        <f t="array" ref="O392">IF($A392="","",INDEX(JupData!$A$2:$K$10000,MATCH($A392&amp;O$1,JupData!$A$2:$A$10000&amp;JupData!$J$2:$J$10000,0),11))</f>
        <v/>
      </c>
      <c r="P392" t="str">
        <f t="array" ref="P392">IF($A392="","",INDEX(JupData!$A$2:$K$10000,MATCH($A392&amp;P$1,JupData!$A$2:$A$10000&amp;JupData!$J$2:$J$10000,0),11))</f>
        <v/>
      </c>
      <c r="Q392" t="str">
        <f t="array" ref="Q392">IF($A392="","",INDEX(JupData!$A$2:$K$10000,MATCH($A392&amp;Q$1,JupData!$A$2:$A$10000&amp;JupData!$J$2:$J$10000,0),11))</f>
        <v/>
      </c>
      <c r="R392" t="str">
        <f t="array" ref="R392">IF($A392="","",INDEX(JupData!$A$2:$K$10000,MATCH($A392&amp;R$1,JupData!$A$2:$A$10000&amp;JupData!$J$2:$J$10000,0),11))</f>
        <v/>
      </c>
      <c r="S392" t="str">
        <f t="array" ref="S392">IF($A392="","",INDEX(JupData!$A$2:$K$10000,MATCH($A392&amp;S$1,JupData!$A$2:$A$10000&amp;JupData!$J$2:$J$10000,0),11))</f>
        <v/>
      </c>
      <c r="T392" t="str">
        <f t="array" ref="T392">IF($A392="","",INDEX(JupData!$A$2:$K$10000,MATCH($A392&amp;T$1,JupData!$A$2:$A$10000&amp;JupData!$J$2:$J$10000,0),11))</f>
        <v/>
      </c>
      <c r="U392" t="str">
        <f t="array" ref="U392">IF($A392="","",INDEX(JupData!$A$2:$K$10000,MATCH($A392&amp;U$1,JupData!$A$2:$A$10000&amp;JupData!$J$2:$J$10000,0),11))</f>
        <v/>
      </c>
      <c r="V392" t="str">
        <f t="array" ref="V392">IF($A392="","",INDEX(JupData!$A$2:$K$10000,MATCH($A392&amp;V$1,JupData!$A$2:$A$10000&amp;JupData!$J$2:$J$10000,0),11))</f>
        <v/>
      </c>
      <c r="W392" t="str">
        <f t="array" ref="W392">IF($A392="","",INDEX(JupData!$A$2:$K$10000,MATCH($A392&amp;W$1,JupData!$A$2:$A$10000&amp;JupData!$J$2:$J$10000,0),11))</f>
        <v/>
      </c>
      <c r="X392" t="str">
        <f t="array" ref="X392">IF($A392="","",INDEX(JupData!$A$2:$K$10000,MATCH($A392&amp;X$1,JupData!$A$2:$A$10000&amp;JupData!$J$2:$J$10000,0),11))</f>
        <v/>
      </c>
      <c r="Y392" t="str">
        <f t="array" ref="Y392">IF($A392="","",INDEX(JupData!$A$2:$K$10000,MATCH($A392&amp;Y$1,JupData!$A$2:$A$10000&amp;JupData!$J$2:$J$10000,0),11))</f>
        <v/>
      </c>
      <c r="Z392" t="str">
        <f t="array" ref="Z392">IF($A392="","",INDEX(JupData!$A$2:$K$10000,MATCH($A392&amp;Z$1,JupData!$A$2:$A$10000&amp;JupData!$J$2:$J$10000,0),11))</f>
        <v/>
      </c>
      <c r="AA392" t="str">
        <f t="array" ref="AA392">IF($A392="","",INDEX(JupData!$A$2:$K$10000,MATCH($A392&amp;AA$1,JupData!$A$2:$A$10000&amp;JupData!$J$2:$J$10000,0),11))</f>
        <v/>
      </c>
      <c r="AB392" t="str">
        <f t="array" ref="AB392">IF($A392="","",INDEX(JupData!$A$2:$K$10000,MATCH($A392&amp;AB$1,JupData!$A$2:$A$10000&amp;JupData!$J$2:$J$10000,0),11))</f>
        <v/>
      </c>
      <c r="AC392" s="10" t="str">
        <f t="shared" si="66"/>
        <v/>
      </c>
      <c r="AD392" s="10" t="str">
        <f t="shared" si="67"/>
        <v/>
      </c>
      <c r="AE392" s="9" t="str">
        <f t="shared" si="68"/>
        <v/>
      </c>
      <c r="AF392" s="10" t="str">
        <f t="shared" si="69"/>
        <v/>
      </c>
      <c r="AG392" s="10" t="str">
        <f t="shared" si="70"/>
        <v/>
      </c>
      <c r="AH392" s="10" t="str">
        <f t="shared" si="71"/>
        <v/>
      </c>
      <c r="AI392" s="10" t="str">
        <f t="shared" si="72"/>
        <v/>
      </c>
      <c r="AJ392" s="10" t="str">
        <f t="shared" si="73"/>
        <v/>
      </c>
      <c r="AK392" s="10" t="str">
        <f t="shared" si="74"/>
        <v/>
      </c>
      <c r="AL392" s="14" t="str">
        <f t="shared" si="75"/>
        <v/>
      </c>
    </row>
    <row r="393" spans="1:38" x14ac:dyDescent="0.2">
      <c r="A393"/>
      <c r="B393" t="str">
        <f>IF($A393="","",VLOOKUP($A393,JupData!$A$2:$I$10000,4,FALSE))</f>
        <v/>
      </c>
      <c r="C393" s="7" t="str">
        <f>IF($A393="",IF(N(D393),0,""),VLOOKUP($A393,JupData!$A$2:$I$10000,7,FALSE))</f>
        <v/>
      </c>
      <c r="D393" t="str">
        <f t="shared" si="76"/>
        <v/>
      </c>
      <c r="E393" t="str">
        <f t="array" ref="E393">IF($A393="","",INDEX(JupData!$A$2:$K$10000,MATCH($A393&amp;E$1,JupData!$A$2:$A$10000&amp;JupData!$J$2:$J$10000,0),11))</f>
        <v/>
      </c>
      <c r="F393" t="str">
        <f t="array" ref="F393">IF($A393="","",INDEX(JupData!$A$2:$K$10000,MATCH($A393&amp;F$1,JupData!$A$2:$A$10000&amp;JupData!$J$2:$J$10000,0),11))</f>
        <v/>
      </c>
      <c r="G393" t="str">
        <f t="array" ref="G393">IF($A393="","",INDEX(JupData!$A$2:$K$10000,MATCH($A393&amp;G$1,JupData!$A$2:$A$10000&amp;JupData!$J$2:$J$10000,0),11))</f>
        <v/>
      </c>
      <c r="H393" t="str">
        <f t="array" ref="H393">IF($A393="","",INDEX(JupData!$A$2:$K$10000,MATCH($A393&amp;H$1,JupData!$A$2:$A$10000&amp;JupData!$J$2:$J$10000,0),11))</f>
        <v/>
      </c>
      <c r="I393" t="str">
        <f t="array" ref="I393">IF($A393="","",INDEX(JupData!$A$2:$K$10000,MATCH($A393&amp;I$1,JupData!$A$2:$A$10000&amp;JupData!$J$2:$J$10000,0),11))</f>
        <v/>
      </c>
      <c r="J393" t="str">
        <f t="array" ref="J393">IF($A393="","",INDEX(JupData!$A$2:$K$10000,MATCH($A393&amp;J$1,JupData!$A$2:$A$10000&amp;JupData!$J$2:$J$10000,0),11))</f>
        <v/>
      </c>
      <c r="K393" t="str">
        <f t="array" ref="K393">IF($A393="","",INDEX(JupData!$A$2:$K$10000,MATCH($A393&amp;K$1,JupData!$A$2:$A$10000&amp;JupData!$J$2:$J$10000,0),11))</f>
        <v/>
      </c>
      <c r="L393" t="str">
        <f t="array" ref="L393">IF($A393="","",INDEX(JupData!$A$2:$K$10000,MATCH($A393&amp;L$1,JupData!$A$2:$A$10000&amp;JupData!$J$2:$J$10000,0),11))</f>
        <v/>
      </c>
      <c r="M393" t="str">
        <f t="array" ref="M393">IF($A393="","",INDEX(JupData!$A$2:$K$10000,MATCH($A393&amp;M$1,JupData!$A$2:$A$10000&amp;JupData!$J$2:$J$10000,0),11))</f>
        <v/>
      </c>
      <c r="N393" t="str">
        <f t="array" ref="N393">IF($A393="","",INDEX(JupData!$A$2:$K$10000,MATCH($A393&amp;N$1,JupData!$A$2:$A$10000&amp;JupData!$J$2:$J$10000,0),11))</f>
        <v/>
      </c>
      <c r="O393" t="str">
        <f t="array" ref="O393">IF($A393="","",INDEX(JupData!$A$2:$K$10000,MATCH($A393&amp;O$1,JupData!$A$2:$A$10000&amp;JupData!$J$2:$J$10000,0),11))</f>
        <v/>
      </c>
      <c r="P393" t="str">
        <f t="array" ref="P393">IF($A393="","",INDEX(JupData!$A$2:$K$10000,MATCH($A393&amp;P$1,JupData!$A$2:$A$10000&amp;JupData!$J$2:$J$10000,0),11))</f>
        <v/>
      </c>
      <c r="Q393" t="str">
        <f t="array" ref="Q393">IF($A393="","",INDEX(JupData!$A$2:$K$10000,MATCH($A393&amp;Q$1,JupData!$A$2:$A$10000&amp;JupData!$J$2:$J$10000,0),11))</f>
        <v/>
      </c>
      <c r="R393" t="str">
        <f t="array" ref="R393">IF($A393="","",INDEX(JupData!$A$2:$K$10000,MATCH($A393&amp;R$1,JupData!$A$2:$A$10000&amp;JupData!$J$2:$J$10000,0),11))</f>
        <v/>
      </c>
      <c r="S393" t="str">
        <f t="array" ref="S393">IF($A393="","",INDEX(JupData!$A$2:$K$10000,MATCH($A393&amp;S$1,JupData!$A$2:$A$10000&amp;JupData!$J$2:$J$10000,0),11))</f>
        <v/>
      </c>
      <c r="T393" t="str">
        <f t="array" ref="T393">IF($A393="","",INDEX(JupData!$A$2:$K$10000,MATCH($A393&amp;T$1,JupData!$A$2:$A$10000&amp;JupData!$J$2:$J$10000,0),11))</f>
        <v/>
      </c>
      <c r="U393" t="str">
        <f t="array" ref="U393">IF($A393="","",INDEX(JupData!$A$2:$K$10000,MATCH($A393&amp;U$1,JupData!$A$2:$A$10000&amp;JupData!$J$2:$J$10000,0),11))</f>
        <v/>
      </c>
      <c r="V393" t="str">
        <f t="array" ref="V393">IF($A393="","",INDEX(JupData!$A$2:$K$10000,MATCH($A393&amp;V$1,JupData!$A$2:$A$10000&amp;JupData!$J$2:$J$10000,0),11))</f>
        <v/>
      </c>
      <c r="W393" t="str">
        <f t="array" ref="W393">IF($A393="","",INDEX(JupData!$A$2:$K$10000,MATCH($A393&amp;W$1,JupData!$A$2:$A$10000&amp;JupData!$J$2:$J$10000,0),11))</f>
        <v/>
      </c>
      <c r="X393" t="str">
        <f t="array" ref="X393">IF($A393="","",INDEX(JupData!$A$2:$K$10000,MATCH($A393&amp;X$1,JupData!$A$2:$A$10000&amp;JupData!$J$2:$J$10000,0),11))</f>
        <v/>
      </c>
      <c r="Y393" t="str">
        <f t="array" ref="Y393">IF($A393="","",INDEX(JupData!$A$2:$K$10000,MATCH($A393&amp;Y$1,JupData!$A$2:$A$10000&amp;JupData!$J$2:$J$10000,0),11))</f>
        <v/>
      </c>
      <c r="Z393" t="str">
        <f t="array" ref="Z393">IF($A393="","",INDEX(JupData!$A$2:$K$10000,MATCH($A393&amp;Z$1,JupData!$A$2:$A$10000&amp;JupData!$J$2:$J$10000,0),11))</f>
        <v/>
      </c>
      <c r="AA393" t="str">
        <f t="array" ref="AA393">IF($A393="","",INDEX(JupData!$A$2:$K$10000,MATCH($A393&amp;AA$1,JupData!$A$2:$A$10000&amp;JupData!$J$2:$J$10000,0),11))</f>
        <v/>
      </c>
      <c r="AB393" t="str">
        <f t="array" ref="AB393">IF($A393="","",INDEX(JupData!$A$2:$K$10000,MATCH($A393&amp;AB$1,JupData!$A$2:$A$10000&amp;JupData!$J$2:$J$10000,0),11))</f>
        <v/>
      </c>
      <c r="AC393" s="10" t="str">
        <f t="shared" si="66"/>
        <v/>
      </c>
      <c r="AD393" s="10" t="str">
        <f t="shared" si="67"/>
        <v/>
      </c>
      <c r="AE393" s="9" t="str">
        <f t="shared" si="68"/>
        <v/>
      </c>
      <c r="AF393" s="10" t="str">
        <f t="shared" si="69"/>
        <v/>
      </c>
      <c r="AG393" s="10" t="str">
        <f t="shared" si="70"/>
        <v/>
      </c>
      <c r="AH393" s="10" t="str">
        <f t="shared" si="71"/>
        <v/>
      </c>
      <c r="AI393" s="10" t="str">
        <f t="shared" si="72"/>
        <v/>
      </c>
      <c r="AJ393" s="10" t="str">
        <f t="shared" si="73"/>
        <v/>
      </c>
      <c r="AK393" s="10" t="str">
        <f t="shared" si="74"/>
        <v/>
      </c>
      <c r="AL393" s="14" t="str">
        <f t="shared" si="75"/>
        <v/>
      </c>
    </row>
    <row r="394" spans="1:38" x14ac:dyDescent="0.2">
      <c r="A394"/>
      <c r="B394" t="str">
        <f>IF($A394="","",VLOOKUP($A394,JupData!$A$2:$I$10000,4,FALSE))</f>
        <v/>
      </c>
      <c r="C394" s="7" t="str">
        <f>IF($A394="",IF(N(D394),0,""),VLOOKUP($A394,JupData!$A$2:$I$10000,7,FALSE))</f>
        <v/>
      </c>
      <c r="D394" t="str">
        <f t="shared" si="76"/>
        <v/>
      </c>
      <c r="E394" t="str">
        <f t="array" ref="E394">IF($A394="","",INDEX(JupData!$A$2:$K$10000,MATCH($A394&amp;E$1,JupData!$A$2:$A$10000&amp;JupData!$J$2:$J$10000,0),11))</f>
        <v/>
      </c>
      <c r="F394" t="str">
        <f t="array" ref="F394">IF($A394="","",INDEX(JupData!$A$2:$K$10000,MATCH($A394&amp;F$1,JupData!$A$2:$A$10000&amp;JupData!$J$2:$J$10000,0),11))</f>
        <v/>
      </c>
      <c r="G394" t="str">
        <f t="array" ref="G394">IF($A394="","",INDEX(JupData!$A$2:$K$10000,MATCH($A394&amp;G$1,JupData!$A$2:$A$10000&amp;JupData!$J$2:$J$10000,0),11))</f>
        <v/>
      </c>
      <c r="H394" t="str">
        <f t="array" ref="H394">IF($A394="","",INDEX(JupData!$A$2:$K$10000,MATCH($A394&amp;H$1,JupData!$A$2:$A$10000&amp;JupData!$J$2:$J$10000,0),11))</f>
        <v/>
      </c>
      <c r="I394" t="str">
        <f t="array" ref="I394">IF($A394="","",INDEX(JupData!$A$2:$K$10000,MATCH($A394&amp;I$1,JupData!$A$2:$A$10000&amp;JupData!$J$2:$J$10000,0),11))</f>
        <v/>
      </c>
      <c r="J394" t="str">
        <f t="array" ref="J394">IF($A394="","",INDEX(JupData!$A$2:$K$10000,MATCH($A394&amp;J$1,JupData!$A$2:$A$10000&amp;JupData!$J$2:$J$10000,0),11))</f>
        <v/>
      </c>
      <c r="K394" t="str">
        <f t="array" ref="K394">IF($A394="","",INDEX(JupData!$A$2:$K$10000,MATCH($A394&amp;K$1,JupData!$A$2:$A$10000&amp;JupData!$J$2:$J$10000,0),11))</f>
        <v/>
      </c>
      <c r="L394" t="str">
        <f t="array" ref="L394">IF($A394="","",INDEX(JupData!$A$2:$K$10000,MATCH($A394&amp;L$1,JupData!$A$2:$A$10000&amp;JupData!$J$2:$J$10000,0),11))</f>
        <v/>
      </c>
      <c r="M394" t="str">
        <f t="array" ref="M394">IF($A394="","",INDEX(JupData!$A$2:$K$10000,MATCH($A394&amp;M$1,JupData!$A$2:$A$10000&amp;JupData!$J$2:$J$10000,0),11))</f>
        <v/>
      </c>
      <c r="N394" t="str">
        <f t="array" ref="N394">IF($A394="","",INDEX(JupData!$A$2:$K$10000,MATCH($A394&amp;N$1,JupData!$A$2:$A$10000&amp;JupData!$J$2:$J$10000,0),11))</f>
        <v/>
      </c>
      <c r="O394" t="str">
        <f t="array" ref="O394">IF($A394="","",INDEX(JupData!$A$2:$K$10000,MATCH($A394&amp;O$1,JupData!$A$2:$A$10000&amp;JupData!$J$2:$J$10000,0),11))</f>
        <v/>
      </c>
      <c r="P394" t="str">
        <f t="array" ref="P394">IF($A394="","",INDEX(JupData!$A$2:$K$10000,MATCH($A394&amp;P$1,JupData!$A$2:$A$10000&amp;JupData!$J$2:$J$10000,0),11))</f>
        <v/>
      </c>
      <c r="Q394" t="str">
        <f t="array" ref="Q394">IF($A394="","",INDEX(JupData!$A$2:$K$10000,MATCH($A394&amp;Q$1,JupData!$A$2:$A$10000&amp;JupData!$J$2:$J$10000,0),11))</f>
        <v/>
      </c>
      <c r="R394" t="str">
        <f t="array" ref="R394">IF($A394="","",INDEX(JupData!$A$2:$K$10000,MATCH($A394&amp;R$1,JupData!$A$2:$A$10000&amp;JupData!$J$2:$J$10000,0),11))</f>
        <v/>
      </c>
      <c r="S394" t="str">
        <f t="array" ref="S394">IF($A394="","",INDEX(JupData!$A$2:$K$10000,MATCH($A394&amp;S$1,JupData!$A$2:$A$10000&amp;JupData!$J$2:$J$10000,0),11))</f>
        <v/>
      </c>
      <c r="T394" t="str">
        <f t="array" ref="T394">IF($A394="","",INDEX(JupData!$A$2:$K$10000,MATCH($A394&amp;T$1,JupData!$A$2:$A$10000&amp;JupData!$J$2:$J$10000,0),11))</f>
        <v/>
      </c>
      <c r="U394" t="str">
        <f t="array" ref="U394">IF($A394="","",INDEX(JupData!$A$2:$K$10000,MATCH($A394&amp;U$1,JupData!$A$2:$A$10000&amp;JupData!$J$2:$J$10000,0),11))</f>
        <v/>
      </c>
      <c r="V394" t="str">
        <f t="array" ref="V394">IF($A394="","",INDEX(JupData!$A$2:$K$10000,MATCH($A394&amp;V$1,JupData!$A$2:$A$10000&amp;JupData!$J$2:$J$10000,0),11))</f>
        <v/>
      </c>
      <c r="W394" t="str">
        <f t="array" ref="W394">IF($A394="","",INDEX(JupData!$A$2:$K$10000,MATCH($A394&amp;W$1,JupData!$A$2:$A$10000&amp;JupData!$J$2:$J$10000,0),11))</f>
        <v/>
      </c>
      <c r="X394" t="str">
        <f t="array" ref="X394">IF($A394="","",INDEX(JupData!$A$2:$K$10000,MATCH($A394&amp;X$1,JupData!$A$2:$A$10000&amp;JupData!$J$2:$J$10000,0),11))</f>
        <v/>
      </c>
      <c r="Y394" t="str">
        <f t="array" ref="Y394">IF($A394="","",INDEX(JupData!$A$2:$K$10000,MATCH($A394&amp;Y$1,JupData!$A$2:$A$10000&amp;JupData!$J$2:$J$10000,0),11))</f>
        <v/>
      </c>
      <c r="Z394" t="str">
        <f t="array" ref="Z394">IF($A394="","",INDEX(JupData!$A$2:$K$10000,MATCH($A394&amp;Z$1,JupData!$A$2:$A$10000&amp;JupData!$J$2:$J$10000,0),11))</f>
        <v/>
      </c>
      <c r="AA394" t="str">
        <f t="array" ref="AA394">IF($A394="","",INDEX(JupData!$A$2:$K$10000,MATCH($A394&amp;AA$1,JupData!$A$2:$A$10000&amp;JupData!$J$2:$J$10000,0),11))</f>
        <v/>
      </c>
      <c r="AB394" t="str">
        <f t="array" ref="AB394">IF($A394="","",INDEX(JupData!$A$2:$K$10000,MATCH($A394&amp;AB$1,JupData!$A$2:$A$10000&amp;JupData!$J$2:$J$10000,0),11))</f>
        <v/>
      </c>
      <c r="AC394" s="10" t="str">
        <f t="shared" si="66"/>
        <v/>
      </c>
      <c r="AD394" s="10" t="str">
        <f t="shared" si="67"/>
        <v/>
      </c>
      <c r="AE394" s="9" t="str">
        <f t="shared" si="68"/>
        <v/>
      </c>
      <c r="AF394" s="10" t="str">
        <f t="shared" si="69"/>
        <v/>
      </c>
      <c r="AG394" s="10" t="str">
        <f t="shared" si="70"/>
        <v/>
      </c>
      <c r="AH394" s="10" t="str">
        <f t="shared" si="71"/>
        <v/>
      </c>
      <c r="AI394" s="10" t="str">
        <f t="shared" si="72"/>
        <v/>
      </c>
      <c r="AJ394" s="10" t="str">
        <f t="shared" si="73"/>
        <v/>
      </c>
      <c r="AK394" s="10" t="str">
        <f t="shared" si="74"/>
        <v/>
      </c>
      <c r="AL394" s="14" t="str">
        <f t="shared" si="75"/>
        <v/>
      </c>
    </row>
    <row r="395" spans="1:38" x14ac:dyDescent="0.2">
      <c r="A395"/>
      <c r="B395" t="str">
        <f>IF($A395="","",VLOOKUP($A395,JupData!$A$2:$I$10000,4,FALSE))</f>
        <v/>
      </c>
      <c r="C395" s="7" t="str">
        <f>IF($A395="",IF(N(D395),0,""),VLOOKUP($A395,JupData!$A$2:$I$10000,7,FALSE))</f>
        <v/>
      </c>
      <c r="D395" t="str">
        <f t="shared" si="76"/>
        <v/>
      </c>
      <c r="E395" t="str">
        <f t="array" ref="E395">IF($A395="","",INDEX(JupData!$A$2:$K$10000,MATCH($A395&amp;E$1,JupData!$A$2:$A$10000&amp;JupData!$J$2:$J$10000,0),11))</f>
        <v/>
      </c>
      <c r="F395" t="str">
        <f t="array" ref="F395">IF($A395="","",INDEX(JupData!$A$2:$K$10000,MATCH($A395&amp;F$1,JupData!$A$2:$A$10000&amp;JupData!$J$2:$J$10000,0),11))</f>
        <v/>
      </c>
      <c r="G395" t="str">
        <f t="array" ref="G395">IF($A395="","",INDEX(JupData!$A$2:$K$10000,MATCH($A395&amp;G$1,JupData!$A$2:$A$10000&amp;JupData!$J$2:$J$10000,0),11))</f>
        <v/>
      </c>
      <c r="H395" t="str">
        <f t="array" ref="H395">IF($A395="","",INDEX(JupData!$A$2:$K$10000,MATCH($A395&amp;H$1,JupData!$A$2:$A$10000&amp;JupData!$J$2:$J$10000,0),11))</f>
        <v/>
      </c>
      <c r="I395" t="str">
        <f t="array" ref="I395">IF($A395="","",INDEX(JupData!$A$2:$K$10000,MATCH($A395&amp;I$1,JupData!$A$2:$A$10000&amp;JupData!$J$2:$J$10000,0),11))</f>
        <v/>
      </c>
      <c r="J395" t="str">
        <f t="array" ref="J395">IF($A395="","",INDEX(JupData!$A$2:$K$10000,MATCH($A395&amp;J$1,JupData!$A$2:$A$10000&amp;JupData!$J$2:$J$10000,0),11))</f>
        <v/>
      </c>
      <c r="K395" t="str">
        <f t="array" ref="K395">IF($A395="","",INDEX(JupData!$A$2:$K$10000,MATCH($A395&amp;K$1,JupData!$A$2:$A$10000&amp;JupData!$J$2:$J$10000,0),11))</f>
        <v/>
      </c>
      <c r="L395" t="str">
        <f t="array" ref="L395">IF($A395="","",INDEX(JupData!$A$2:$K$10000,MATCH($A395&amp;L$1,JupData!$A$2:$A$10000&amp;JupData!$J$2:$J$10000,0),11))</f>
        <v/>
      </c>
      <c r="M395" t="str">
        <f t="array" ref="M395">IF($A395="","",INDEX(JupData!$A$2:$K$10000,MATCH($A395&amp;M$1,JupData!$A$2:$A$10000&amp;JupData!$J$2:$J$10000,0),11))</f>
        <v/>
      </c>
      <c r="N395" t="str">
        <f t="array" ref="N395">IF($A395="","",INDEX(JupData!$A$2:$K$10000,MATCH($A395&amp;N$1,JupData!$A$2:$A$10000&amp;JupData!$J$2:$J$10000,0),11))</f>
        <v/>
      </c>
      <c r="O395" t="str">
        <f t="array" ref="O395">IF($A395="","",INDEX(JupData!$A$2:$K$10000,MATCH($A395&amp;O$1,JupData!$A$2:$A$10000&amp;JupData!$J$2:$J$10000,0),11))</f>
        <v/>
      </c>
      <c r="P395" t="str">
        <f t="array" ref="P395">IF($A395="","",INDEX(JupData!$A$2:$K$10000,MATCH($A395&amp;P$1,JupData!$A$2:$A$10000&amp;JupData!$J$2:$J$10000,0),11))</f>
        <v/>
      </c>
      <c r="Q395" t="str">
        <f t="array" ref="Q395">IF($A395="","",INDEX(JupData!$A$2:$K$10000,MATCH($A395&amp;Q$1,JupData!$A$2:$A$10000&amp;JupData!$J$2:$J$10000,0),11))</f>
        <v/>
      </c>
      <c r="R395" t="str">
        <f t="array" ref="R395">IF($A395="","",INDEX(JupData!$A$2:$K$10000,MATCH($A395&amp;R$1,JupData!$A$2:$A$10000&amp;JupData!$J$2:$J$10000,0),11))</f>
        <v/>
      </c>
      <c r="S395" t="str">
        <f t="array" ref="S395">IF($A395="","",INDEX(JupData!$A$2:$K$10000,MATCH($A395&amp;S$1,JupData!$A$2:$A$10000&amp;JupData!$J$2:$J$10000,0),11))</f>
        <v/>
      </c>
      <c r="T395" t="str">
        <f t="array" ref="T395">IF($A395="","",INDEX(JupData!$A$2:$K$10000,MATCH($A395&amp;T$1,JupData!$A$2:$A$10000&amp;JupData!$J$2:$J$10000,0),11))</f>
        <v/>
      </c>
      <c r="U395" t="str">
        <f t="array" ref="U395">IF($A395="","",INDEX(JupData!$A$2:$K$10000,MATCH($A395&amp;U$1,JupData!$A$2:$A$10000&amp;JupData!$J$2:$J$10000,0),11))</f>
        <v/>
      </c>
      <c r="V395" t="str">
        <f t="array" ref="V395">IF($A395="","",INDEX(JupData!$A$2:$K$10000,MATCH($A395&amp;V$1,JupData!$A$2:$A$10000&amp;JupData!$J$2:$J$10000,0),11))</f>
        <v/>
      </c>
      <c r="W395" t="str">
        <f t="array" ref="W395">IF($A395="","",INDEX(JupData!$A$2:$K$10000,MATCH($A395&amp;W$1,JupData!$A$2:$A$10000&amp;JupData!$J$2:$J$10000,0),11))</f>
        <v/>
      </c>
      <c r="X395" t="str">
        <f t="array" ref="X395">IF($A395="","",INDEX(JupData!$A$2:$K$10000,MATCH($A395&amp;X$1,JupData!$A$2:$A$10000&amp;JupData!$J$2:$J$10000,0),11))</f>
        <v/>
      </c>
      <c r="Y395" t="str">
        <f t="array" ref="Y395">IF($A395="","",INDEX(JupData!$A$2:$K$10000,MATCH($A395&amp;Y$1,JupData!$A$2:$A$10000&amp;JupData!$J$2:$J$10000,0),11))</f>
        <v/>
      </c>
      <c r="Z395" t="str">
        <f t="array" ref="Z395">IF($A395="","",INDEX(JupData!$A$2:$K$10000,MATCH($A395&amp;Z$1,JupData!$A$2:$A$10000&amp;JupData!$J$2:$J$10000,0),11))</f>
        <v/>
      </c>
      <c r="AA395" t="str">
        <f t="array" ref="AA395">IF($A395="","",INDEX(JupData!$A$2:$K$10000,MATCH($A395&amp;AA$1,JupData!$A$2:$A$10000&amp;JupData!$J$2:$J$10000,0),11))</f>
        <v/>
      </c>
      <c r="AB395" t="str">
        <f t="array" ref="AB395">IF($A395="","",INDEX(JupData!$A$2:$K$10000,MATCH($A395&amp;AB$1,JupData!$A$2:$A$10000&amp;JupData!$J$2:$J$10000,0),11))</f>
        <v/>
      </c>
      <c r="AC395" s="10" t="str">
        <f t="shared" si="66"/>
        <v/>
      </c>
      <c r="AD395" s="10" t="str">
        <f t="shared" si="67"/>
        <v/>
      </c>
      <c r="AE395" s="9" t="str">
        <f t="shared" si="68"/>
        <v/>
      </c>
      <c r="AF395" s="10" t="str">
        <f t="shared" si="69"/>
        <v/>
      </c>
      <c r="AG395" s="10" t="str">
        <f t="shared" si="70"/>
        <v/>
      </c>
      <c r="AH395" s="10" t="str">
        <f t="shared" si="71"/>
        <v/>
      </c>
      <c r="AI395" s="10" t="str">
        <f t="shared" si="72"/>
        <v/>
      </c>
      <c r="AJ395" s="10" t="str">
        <f t="shared" si="73"/>
        <v/>
      </c>
      <c r="AK395" s="10" t="str">
        <f t="shared" si="74"/>
        <v/>
      </c>
      <c r="AL395" s="14" t="str">
        <f t="shared" si="75"/>
        <v/>
      </c>
    </row>
    <row r="396" spans="1:38" x14ac:dyDescent="0.2">
      <c r="A396"/>
      <c r="B396" t="str">
        <f>IF($A396="","",VLOOKUP($A396,JupData!$A$2:$I$10000,4,FALSE))</f>
        <v/>
      </c>
      <c r="C396" s="7" t="str">
        <f>IF($A396="",IF(N(D396),0,""),VLOOKUP($A396,JupData!$A$2:$I$10000,7,FALSE))</f>
        <v/>
      </c>
      <c r="D396" t="str">
        <f t="shared" si="76"/>
        <v/>
      </c>
      <c r="E396" t="str">
        <f t="array" ref="E396">IF($A396="","",INDEX(JupData!$A$2:$K$10000,MATCH($A396&amp;E$1,JupData!$A$2:$A$10000&amp;JupData!$J$2:$J$10000,0),11))</f>
        <v/>
      </c>
      <c r="F396" t="str">
        <f t="array" ref="F396">IF($A396="","",INDEX(JupData!$A$2:$K$10000,MATCH($A396&amp;F$1,JupData!$A$2:$A$10000&amp;JupData!$J$2:$J$10000,0),11))</f>
        <v/>
      </c>
      <c r="G396" t="str">
        <f t="array" ref="G396">IF($A396="","",INDEX(JupData!$A$2:$K$10000,MATCH($A396&amp;G$1,JupData!$A$2:$A$10000&amp;JupData!$J$2:$J$10000,0),11))</f>
        <v/>
      </c>
      <c r="H396" t="str">
        <f t="array" ref="H396">IF($A396="","",INDEX(JupData!$A$2:$K$10000,MATCH($A396&amp;H$1,JupData!$A$2:$A$10000&amp;JupData!$J$2:$J$10000,0),11))</f>
        <v/>
      </c>
      <c r="I396" t="str">
        <f t="array" ref="I396">IF($A396="","",INDEX(JupData!$A$2:$K$10000,MATCH($A396&amp;I$1,JupData!$A$2:$A$10000&amp;JupData!$J$2:$J$10000,0),11))</f>
        <v/>
      </c>
      <c r="J396" t="str">
        <f t="array" ref="J396">IF($A396="","",INDEX(JupData!$A$2:$K$10000,MATCH($A396&amp;J$1,JupData!$A$2:$A$10000&amp;JupData!$J$2:$J$10000,0),11))</f>
        <v/>
      </c>
      <c r="K396" t="str">
        <f t="array" ref="K396">IF($A396="","",INDEX(JupData!$A$2:$K$10000,MATCH($A396&amp;K$1,JupData!$A$2:$A$10000&amp;JupData!$J$2:$J$10000,0),11))</f>
        <v/>
      </c>
      <c r="L396" t="str">
        <f t="array" ref="L396">IF($A396="","",INDEX(JupData!$A$2:$K$10000,MATCH($A396&amp;L$1,JupData!$A$2:$A$10000&amp;JupData!$J$2:$J$10000,0),11))</f>
        <v/>
      </c>
      <c r="M396" t="str">
        <f t="array" ref="M396">IF($A396="","",INDEX(JupData!$A$2:$K$10000,MATCH($A396&amp;M$1,JupData!$A$2:$A$10000&amp;JupData!$J$2:$J$10000,0),11))</f>
        <v/>
      </c>
      <c r="N396" t="str">
        <f t="array" ref="N396">IF($A396="","",INDEX(JupData!$A$2:$K$10000,MATCH($A396&amp;N$1,JupData!$A$2:$A$10000&amp;JupData!$J$2:$J$10000,0),11))</f>
        <v/>
      </c>
      <c r="O396" t="str">
        <f t="array" ref="O396">IF($A396="","",INDEX(JupData!$A$2:$K$10000,MATCH($A396&amp;O$1,JupData!$A$2:$A$10000&amp;JupData!$J$2:$J$10000,0),11))</f>
        <v/>
      </c>
      <c r="P396" t="str">
        <f t="array" ref="P396">IF($A396="","",INDEX(JupData!$A$2:$K$10000,MATCH($A396&amp;P$1,JupData!$A$2:$A$10000&amp;JupData!$J$2:$J$10000,0),11))</f>
        <v/>
      </c>
      <c r="Q396" t="str">
        <f t="array" ref="Q396">IF($A396="","",INDEX(JupData!$A$2:$K$10000,MATCH($A396&amp;Q$1,JupData!$A$2:$A$10000&amp;JupData!$J$2:$J$10000,0),11))</f>
        <v/>
      </c>
      <c r="R396" t="str">
        <f t="array" ref="R396">IF($A396="","",INDEX(JupData!$A$2:$K$10000,MATCH($A396&amp;R$1,JupData!$A$2:$A$10000&amp;JupData!$J$2:$J$10000,0),11))</f>
        <v/>
      </c>
      <c r="S396" t="str">
        <f t="array" ref="S396">IF($A396="","",INDEX(JupData!$A$2:$K$10000,MATCH($A396&amp;S$1,JupData!$A$2:$A$10000&amp;JupData!$J$2:$J$10000,0),11))</f>
        <v/>
      </c>
      <c r="T396" t="str">
        <f t="array" ref="T396">IF($A396="","",INDEX(JupData!$A$2:$K$10000,MATCH($A396&amp;T$1,JupData!$A$2:$A$10000&amp;JupData!$J$2:$J$10000,0),11))</f>
        <v/>
      </c>
      <c r="U396" t="str">
        <f t="array" ref="U396">IF($A396="","",INDEX(JupData!$A$2:$K$10000,MATCH($A396&amp;U$1,JupData!$A$2:$A$10000&amp;JupData!$J$2:$J$10000,0),11))</f>
        <v/>
      </c>
      <c r="V396" t="str">
        <f t="array" ref="V396">IF($A396="","",INDEX(JupData!$A$2:$K$10000,MATCH($A396&amp;V$1,JupData!$A$2:$A$10000&amp;JupData!$J$2:$J$10000,0),11))</f>
        <v/>
      </c>
      <c r="W396" t="str">
        <f t="array" ref="W396">IF($A396="","",INDEX(JupData!$A$2:$K$10000,MATCH($A396&amp;W$1,JupData!$A$2:$A$10000&amp;JupData!$J$2:$J$10000,0),11))</f>
        <v/>
      </c>
      <c r="X396" t="str">
        <f t="array" ref="X396">IF($A396="","",INDEX(JupData!$A$2:$K$10000,MATCH($A396&amp;X$1,JupData!$A$2:$A$10000&amp;JupData!$J$2:$J$10000,0),11))</f>
        <v/>
      </c>
      <c r="Y396" t="str">
        <f t="array" ref="Y396">IF($A396="","",INDEX(JupData!$A$2:$K$10000,MATCH($A396&amp;Y$1,JupData!$A$2:$A$10000&amp;JupData!$J$2:$J$10000,0),11))</f>
        <v/>
      </c>
      <c r="Z396" t="str">
        <f t="array" ref="Z396">IF($A396="","",INDEX(JupData!$A$2:$K$10000,MATCH($A396&amp;Z$1,JupData!$A$2:$A$10000&amp;JupData!$J$2:$J$10000,0),11))</f>
        <v/>
      </c>
      <c r="AA396" t="str">
        <f t="array" ref="AA396">IF($A396="","",INDEX(JupData!$A$2:$K$10000,MATCH($A396&amp;AA$1,JupData!$A$2:$A$10000&amp;JupData!$J$2:$J$10000,0),11))</f>
        <v/>
      </c>
      <c r="AB396" t="str">
        <f t="array" ref="AB396">IF($A396="","",INDEX(JupData!$A$2:$K$10000,MATCH($A396&amp;AB$1,JupData!$A$2:$A$10000&amp;JupData!$J$2:$J$10000,0),11))</f>
        <v/>
      </c>
      <c r="AC396" s="10" t="str">
        <f t="shared" si="66"/>
        <v/>
      </c>
      <c r="AD396" s="10" t="str">
        <f t="shared" si="67"/>
        <v/>
      </c>
      <c r="AE396" s="9" t="str">
        <f t="shared" si="68"/>
        <v/>
      </c>
      <c r="AF396" s="10" t="str">
        <f t="shared" si="69"/>
        <v/>
      </c>
      <c r="AG396" s="10" t="str">
        <f t="shared" si="70"/>
        <v/>
      </c>
      <c r="AH396" s="10" t="str">
        <f t="shared" si="71"/>
        <v/>
      </c>
      <c r="AI396" s="10" t="str">
        <f t="shared" si="72"/>
        <v/>
      </c>
      <c r="AJ396" s="10" t="str">
        <f t="shared" si="73"/>
        <v/>
      </c>
      <c r="AK396" s="10" t="str">
        <f t="shared" si="74"/>
        <v/>
      </c>
      <c r="AL396" s="14" t="str">
        <f t="shared" si="75"/>
        <v/>
      </c>
    </row>
    <row r="397" spans="1:38" x14ac:dyDescent="0.2">
      <c r="A397"/>
      <c r="B397" t="str">
        <f>IF($A397="","",VLOOKUP($A397,JupData!$A$2:$I$10000,4,FALSE))</f>
        <v/>
      </c>
      <c r="C397" s="7" t="str">
        <f>IF($A397="",IF(N(D397),0,""),VLOOKUP($A397,JupData!$A$2:$I$10000,7,FALSE))</f>
        <v/>
      </c>
      <c r="D397" t="str">
        <f t="shared" si="76"/>
        <v/>
      </c>
      <c r="E397" t="str">
        <f t="array" ref="E397">IF($A397="","",INDEX(JupData!$A$2:$K$10000,MATCH($A397&amp;E$1,JupData!$A$2:$A$10000&amp;JupData!$J$2:$J$10000,0),11))</f>
        <v/>
      </c>
      <c r="F397" t="str">
        <f t="array" ref="F397">IF($A397="","",INDEX(JupData!$A$2:$K$10000,MATCH($A397&amp;F$1,JupData!$A$2:$A$10000&amp;JupData!$J$2:$J$10000,0),11))</f>
        <v/>
      </c>
      <c r="G397" t="str">
        <f t="array" ref="G397">IF($A397="","",INDEX(JupData!$A$2:$K$10000,MATCH($A397&amp;G$1,JupData!$A$2:$A$10000&amp;JupData!$J$2:$J$10000,0),11))</f>
        <v/>
      </c>
      <c r="H397" t="str">
        <f t="array" ref="H397">IF($A397="","",INDEX(JupData!$A$2:$K$10000,MATCH($A397&amp;H$1,JupData!$A$2:$A$10000&amp;JupData!$J$2:$J$10000,0),11))</f>
        <v/>
      </c>
      <c r="I397" t="str">
        <f t="array" ref="I397">IF($A397="","",INDEX(JupData!$A$2:$K$10000,MATCH($A397&amp;I$1,JupData!$A$2:$A$10000&amp;JupData!$J$2:$J$10000,0),11))</f>
        <v/>
      </c>
      <c r="J397" t="str">
        <f t="array" ref="J397">IF($A397="","",INDEX(JupData!$A$2:$K$10000,MATCH($A397&amp;J$1,JupData!$A$2:$A$10000&amp;JupData!$J$2:$J$10000,0),11))</f>
        <v/>
      </c>
      <c r="K397" t="str">
        <f t="array" ref="K397">IF($A397="","",INDEX(JupData!$A$2:$K$10000,MATCH($A397&amp;K$1,JupData!$A$2:$A$10000&amp;JupData!$J$2:$J$10000,0),11))</f>
        <v/>
      </c>
      <c r="L397" t="str">
        <f t="array" ref="L397">IF($A397="","",INDEX(JupData!$A$2:$K$10000,MATCH($A397&amp;L$1,JupData!$A$2:$A$10000&amp;JupData!$J$2:$J$10000,0),11))</f>
        <v/>
      </c>
      <c r="M397" t="str">
        <f t="array" ref="M397">IF($A397="","",INDEX(JupData!$A$2:$K$10000,MATCH($A397&amp;M$1,JupData!$A$2:$A$10000&amp;JupData!$J$2:$J$10000,0),11))</f>
        <v/>
      </c>
      <c r="N397" t="str">
        <f t="array" ref="N397">IF($A397="","",INDEX(JupData!$A$2:$K$10000,MATCH($A397&amp;N$1,JupData!$A$2:$A$10000&amp;JupData!$J$2:$J$10000,0),11))</f>
        <v/>
      </c>
      <c r="O397" t="str">
        <f t="array" ref="O397">IF($A397="","",INDEX(JupData!$A$2:$K$10000,MATCH($A397&amp;O$1,JupData!$A$2:$A$10000&amp;JupData!$J$2:$J$10000,0),11))</f>
        <v/>
      </c>
      <c r="P397" t="str">
        <f t="array" ref="P397">IF($A397="","",INDEX(JupData!$A$2:$K$10000,MATCH($A397&amp;P$1,JupData!$A$2:$A$10000&amp;JupData!$J$2:$J$10000,0),11))</f>
        <v/>
      </c>
      <c r="Q397" t="str">
        <f t="array" ref="Q397">IF($A397="","",INDEX(JupData!$A$2:$K$10000,MATCH($A397&amp;Q$1,JupData!$A$2:$A$10000&amp;JupData!$J$2:$J$10000,0),11))</f>
        <v/>
      </c>
      <c r="R397" t="str">
        <f t="array" ref="R397">IF($A397="","",INDEX(JupData!$A$2:$K$10000,MATCH($A397&amp;R$1,JupData!$A$2:$A$10000&amp;JupData!$J$2:$J$10000,0),11))</f>
        <v/>
      </c>
      <c r="S397" t="str">
        <f t="array" ref="S397">IF($A397="","",INDEX(JupData!$A$2:$K$10000,MATCH($A397&amp;S$1,JupData!$A$2:$A$10000&amp;JupData!$J$2:$J$10000,0),11))</f>
        <v/>
      </c>
      <c r="T397" t="str">
        <f t="array" ref="T397">IF($A397="","",INDEX(JupData!$A$2:$K$10000,MATCH($A397&amp;T$1,JupData!$A$2:$A$10000&amp;JupData!$J$2:$J$10000,0),11))</f>
        <v/>
      </c>
      <c r="U397" t="str">
        <f t="array" ref="U397">IF($A397="","",INDEX(JupData!$A$2:$K$10000,MATCH($A397&amp;U$1,JupData!$A$2:$A$10000&amp;JupData!$J$2:$J$10000,0),11))</f>
        <v/>
      </c>
      <c r="V397" t="str">
        <f t="array" ref="V397">IF($A397="","",INDEX(JupData!$A$2:$K$10000,MATCH($A397&amp;V$1,JupData!$A$2:$A$10000&amp;JupData!$J$2:$J$10000,0),11))</f>
        <v/>
      </c>
      <c r="W397" t="str">
        <f t="array" ref="W397">IF($A397="","",INDEX(JupData!$A$2:$K$10000,MATCH($A397&amp;W$1,JupData!$A$2:$A$10000&amp;JupData!$J$2:$J$10000,0),11))</f>
        <v/>
      </c>
      <c r="X397" t="str">
        <f t="array" ref="X397">IF($A397="","",INDEX(JupData!$A$2:$K$10000,MATCH($A397&amp;X$1,JupData!$A$2:$A$10000&amp;JupData!$J$2:$J$10000,0),11))</f>
        <v/>
      </c>
      <c r="Y397" t="str">
        <f t="array" ref="Y397">IF($A397="","",INDEX(JupData!$A$2:$K$10000,MATCH($A397&amp;Y$1,JupData!$A$2:$A$10000&amp;JupData!$J$2:$J$10000,0),11))</f>
        <v/>
      </c>
      <c r="Z397" t="str">
        <f t="array" ref="Z397">IF($A397="","",INDEX(JupData!$A$2:$K$10000,MATCH($A397&amp;Z$1,JupData!$A$2:$A$10000&amp;JupData!$J$2:$J$10000,0),11))</f>
        <v/>
      </c>
      <c r="AA397" t="str">
        <f t="array" ref="AA397">IF($A397="","",INDEX(JupData!$A$2:$K$10000,MATCH($A397&amp;AA$1,JupData!$A$2:$A$10000&amp;JupData!$J$2:$J$10000,0),11))</f>
        <v/>
      </c>
      <c r="AB397" t="str">
        <f t="array" ref="AB397">IF($A397="","",INDEX(JupData!$A$2:$K$10000,MATCH($A397&amp;AB$1,JupData!$A$2:$A$10000&amp;JupData!$J$2:$J$10000,0),11))</f>
        <v/>
      </c>
      <c r="AC397" s="10" t="str">
        <f t="shared" si="66"/>
        <v/>
      </c>
      <c r="AD397" s="10" t="str">
        <f t="shared" si="67"/>
        <v/>
      </c>
      <c r="AE397" s="9" t="str">
        <f t="shared" si="68"/>
        <v/>
      </c>
      <c r="AF397" s="10" t="str">
        <f t="shared" si="69"/>
        <v/>
      </c>
      <c r="AG397" s="10" t="str">
        <f t="shared" si="70"/>
        <v/>
      </c>
      <c r="AH397" s="10" t="str">
        <f t="shared" si="71"/>
        <v/>
      </c>
      <c r="AI397" s="10" t="str">
        <f t="shared" si="72"/>
        <v/>
      </c>
      <c r="AJ397" s="10" t="str">
        <f t="shared" si="73"/>
        <v/>
      </c>
      <c r="AK397" s="10" t="str">
        <f t="shared" si="74"/>
        <v/>
      </c>
      <c r="AL397" s="14" t="str">
        <f t="shared" si="75"/>
        <v/>
      </c>
    </row>
    <row r="398" spans="1:38" x14ac:dyDescent="0.2">
      <c r="A398"/>
      <c r="B398" t="str">
        <f>IF($A398="","",VLOOKUP($A398,JupData!$A$2:$I$10000,4,FALSE))</f>
        <v/>
      </c>
      <c r="C398" s="7" t="str">
        <f>IF($A398="",IF(N(D398),0,""),VLOOKUP($A398,JupData!$A$2:$I$10000,7,FALSE))</f>
        <v/>
      </c>
      <c r="D398" t="str">
        <f t="shared" si="76"/>
        <v/>
      </c>
      <c r="E398" t="str">
        <f t="array" ref="E398">IF($A398="","",INDEX(JupData!$A$2:$K$10000,MATCH($A398&amp;E$1,JupData!$A$2:$A$10000&amp;JupData!$J$2:$J$10000,0),11))</f>
        <v/>
      </c>
      <c r="F398" t="str">
        <f t="array" ref="F398">IF($A398="","",INDEX(JupData!$A$2:$K$10000,MATCH($A398&amp;F$1,JupData!$A$2:$A$10000&amp;JupData!$J$2:$J$10000,0),11))</f>
        <v/>
      </c>
      <c r="G398" t="str">
        <f t="array" ref="G398">IF($A398="","",INDEX(JupData!$A$2:$K$10000,MATCH($A398&amp;G$1,JupData!$A$2:$A$10000&amp;JupData!$J$2:$J$10000,0),11))</f>
        <v/>
      </c>
      <c r="H398" t="str">
        <f t="array" ref="H398">IF($A398="","",INDEX(JupData!$A$2:$K$10000,MATCH($A398&amp;H$1,JupData!$A$2:$A$10000&amp;JupData!$J$2:$J$10000,0),11))</f>
        <v/>
      </c>
      <c r="I398" t="str">
        <f t="array" ref="I398">IF($A398="","",INDEX(JupData!$A$2:$K$10000,MATCH($A398&amp;I$1,JupData!$A$2:$A$10000&amp;JupData!$J$2:$J$10000,0),11))</f>
        <v/>
      </c>
      <c r="J398" t="str">
        <f t="array" ref="J398">IF($A398="","",INDEX(JupData!$A$2:$K$10000,MATCH($A398&amp;J$1,JupData!$A$2:$A$10000&amp;JupData!$J$2:$J$10000,0),11))</f>
        <v/>
      </c>
      <c r="K398" t="str">
        <f t="array" ref="K398">IF($A398="","",INDEX(JupData!$A$2:$K$10000,MATCH($A398&amp;K$1,JupData!$A$2:$A$10000&amp;JupData!$J$2:$J$10000,0),11))</f>
        <v/>
      </c>
      <c r="L398" t="str">
        <f t="array" ref="L398">IF($A398="","",INDEX(JupData!$A$2:$K$10000,MATCH($A398&amp;L$1,JupData!$A$2:$A$10000&amp;JupData!$J$2:$J$10000,0),11))</f>
        <v/>
      </c>
      <c r="M398" t="str">
        <f t="array" ref="M398">IF($A398="","",INDEX(JupData!$A$2:$K$10000,MATCH($A398&amp;M$1,JupData!$A$2:$A$10000&amp;JupData!$J$2:$J$10000,0),11))</f>
        <v/>
      </c>
      <c r="N398" t="str">
        <f t="array" ref="N398">IF($A398="","",INDEX(JupData!$A$2:$K$10000,MATCH($A398&amp;N$1,JupData!$A$2:$A$10000&amp;JupData!$J$2:$J$10000,0),11))</f>
        <v/>
      </c>
      <c r="O398" t="str">
        <f t="array" ref="O398">IF($A398="","",INDEX(JupData!$A$2:$K$10000,MATCH($A398&amp;O$1,JupData!$A$2:$A$10000&amp;JupData!$J$2:$J$10000,0),11))</f>
        <v/>
      </c>
      <c r="P398" t="str">
        <f t="array" ref="P398">IF($A398="","",INDEX(JupData!$A$2:$K$10000,MATCH($A398&amp;P$1,JupData!$A$2:$A$10000&amp;JupData!$J$2:$J$10000,0),11))</f>
        <v/>
      </c>
      <c r="Q398" t="str">
        <f t="array" ref="Q398">IF($A398="","",INDEX(JupData!$A$2:$K$10000,MATCH($A398&amp;Q$1,JupData!$A$2:$A$10000&amp;JupData!$J$2:$J$10000,0),11))</f>
        <v/>
      </c>
      <c r="R398" t="str">
        <f t="array" ref="R398">IF($A398="","",INDEX(JupData!$A$2:$K$10000,MATCH($A398&amp;R$1,JupData!$A$2:$A$10000&amp;JupData!$J$2:$J$10000,0),11))</f>
        <v/>
      </c>
      <c r="S398" t="str">
        <f t="array" ref="S398">IF($A398="","",INDEX(JupData!$A$2:$K$10000,MATCH($A398&amp;S$1,JupData!$A$2:$A$10000&amp;JupData!$J$2:$J$10000,0),11))</f>
        <v/>
      </c>
      <c r="T398" t="str">
        <f t="array" ref="T398">IF($A398="","",INDEX(JupData!$A$2:$K$10000,MATCH($A398&amp;T$1,JupData!$A$2:$A$10000&amp;JupData!$J$2:$J$10000,0),11))</f>
        <v/>
      </c>
      <c r="U398" t="str">
        <f t="array" ref="U398">IF($A398="","",INDEX(JupData!$A$2:$K$10000,MATCH($A398&amp;U$1,JupData!$A$2:$A$10000&amp;JupData!$J$2:$J$10000,0),11))</f>
        <v/>
      </c>
      <c r="V398" t="str">
        <f t="array" ref="V398">IF($A398="","",INDEX(JupData!$A$2:$K$10000,MATCH($A398&amp;V$1,JupData!$A$2:$A$10000&amp;JupData!$J$2:$J$10000,0),11))</f>
        <v/>
      </c>
      <c r="W398" t="str">
        <f t="array" ref="W398">IF($A398="","",INDEX(JupData!$A$2:$K$10000,MATCH($A398&amp;W$1,JupData!$A$2:$A$10000&amp;JupData!$J$2:$J$10000,0),11))</f>
        <v/>
      </c>
      <c r="X398" t="str">
        <f t="array" ref="X398">IF($A398="","",INDEX(JupData!$A$2:$K$10000,MATCH($A398&amp;X$1,JupData!$A$2:$A$10000&amp;JupData!$J$2:$J$10000,0),11))</f>
        <v/>
      </c>
      <c r="Y398" t="str">
        <f t="array" ref="Y398">IF($A398="","",INDEX(JupData!$A$2:$K$10000,MATCH($A398&amp;Y$1,JupData!$A$2:$A$10000&amp;JupData!$J$2:$J$10000,0),11))</f>
        <v/>
      </c>
      <c r="Z398" t="str">
        <f t="array" ref="Z398">IF($A398="","",INDEX(JupData!$A$2:$K$10000,MATCH($A398&amp;Z$1,JupData!$A$2:$A$10000&amp;JupData!$J$2:$J$10000,0),11))</f>
        <v/>
      </c>
      <c r="AA398" t="str">
        <f t="array" ref="AA398">IF($A398="","",INDEX(JupData!$A$2:$K$10000,MATCH($A398&amp;AA$1,JupData!$A$2:$A$10000&amp;JupData!$J$2:$J$10000,0),11))</f>
        <v/>
      </c>
      <c r="AB398" t="str">
        <f t="array" ref="AB398">IF($A398="","",INDEX(JupData!$A$2:$K$10000,MATCH($A398&amp;AB$1,JupData!$A$2:$A$10000&amp;JupData!$J$2:$J$10000,0),11))</f>
        <v/>
      </c>
      <c r="AC398" s="10" t="str">
        <f t="shared" si="66"/>
        <v/>
      </c>
      <c r="AD398" s="10" t="str">
        <f t="shared" si="67"/>
        <v/>
      </c>
      <c r="AE398" s="9" t="str">
        <f t="shared" si="68"/>
        <v/>
      </c>
      <c r="AF398" s="10" t="str">
        <f t="shared" si="69"/>
        <v/>
      </c>
      <c r="AG398" s="10" t="str">
        <f t="shared" si="70"/>
        <v/>
      </c>
      <c r="AH398" s="10" t="str">
        <f t="shared" si="71"/>
        <v/>
      </c>
      <c r="AI398" s="10" t="str">
        <f t="shared" si="72"/>
        <v/>
      </c>
      <c r="AJ398" s="10" t="str">
        <f t="shared" si="73"/>
        <v/>
      </c>
      <c r="AK398" s="10" t="str">
        <f t="shared" si="74"/>
        <v/>
      </c>
      <c r="AL398" s="14" t="str">
        <f t="shared" si="75"/>
        <v/>
      </c>
    </row>
    <row r="399" spans="1:38" x14ac:dyDescent="0.2">
      <c r="A399"/>
      <c r="B399" t="str">
        <f>IF($A399="","",VLOOKUP($A399,JupData!$A$2:$I$10000,4,FALSE))</f>
        <v/>
      </c>
      <c r="C399" s="7" t="str">
        <f>IF($A399="",IF(N(D399),0,""),VLOOKUP($A399,JupData!$A$2:$I$10000,7,FALSE))</f>
        <v/>
      </c>
      <c r="D399" t="str">
        <f t="shared" si="76"/>
        <v/>
      </c>
      <c r="E399" t="str">
        <f t="array" ref="E399">IF($A399="","",INDEX(JupData!$A$2:$K$10000,MATCH($A399&amp;E$1,JupData!$A$2:$A$10000&amp;JupData!$J$2:$J$10000,0),11))</f>
        <v/>
      </c>
      <c r="F399" t="str">
        <f t="array" ref="F399">IF($A399="","",INDEX(JupData!$A$2:$K$10000,MATCH($A399&amp;F$1,JupData!$A$2:$A$10000&amp;JupData!$J$2:$J$10000,0),11))</f>
        <v/>
      </c>
      <c r="G399" t="str">
        <f t="array" ref="G399">IF($A399="","",INDEX(JupData!$A$2:$K$10000,MATCH($A399&amp;G$1,JupData!$A$2:$A$10000&amp;JupData!$J$2:$J$10000,0),11))</f>
        <v/>
      </c>
      <c r="H399" t="str">
        <f t="array" ref="H399">IF($A399="","",INDEX(JupData!$A$2:$K$10000,MATCH($A399&amp;H$1,JupData!$A$2:$A$10000&amp;JupData!$J$2:$J$10000,0),11))</f>
        <v/>
      </c>
      <c r="I399" t="str">
        <f t="array" ref="I399">IF($A399="","",INDEX(JupData!$A$2:$K$10000,MATCH($A399&amp;I$1,JupData!$A$2:$A$10000&amp;JupData!$J$2:$J$10000,0),11))</f>
        <v/>
      </c>
      <c r="J399" t="str">
        <f t="array" ref="J399">IF($A399="","",INDEX(JupData!$A$2:$K$10000,MATCH($A399&amp;J$1,JupData!$A$2:$A$10000&amp;JupData!$J$2:$J$10000,0),11))</f>
        <v/>
      </c>
      <c r="K399" t="str">
        <f t="array" ref="K399">IF($A399="","",INDEX(JupData!$A$2:$K$10000,MATCH($A399&amp;K$1,JupData!$A$2:$A$10000&amp;JupData!$J$2:$J$10000,0),11))</f>
        <v/>
      </c>
      <c r="L399" t="str">
        <f t="array" ref="L399">IF($A399="","",INDEX(JupData!$A$2:$K$10000,MATCH($A399&amp;L$1,JupData!$A$2:$A$10000&amp;JupData!$J$2:$J$10000,0),11))</f>
        <v/>
      </c>
      <c r="M399" t="str">
        <f t="array" ref="M399">IF($A399="","",INDEX(JupData!$A$2:$K$10000,MATCH($A399&amp;M$1,JupData!$A$2:$A$10000&amp;JupData!$J$2:$J$10000,0),11))</f>
        <v/>
      </c>
      <c r="N399" t="str">
        <f t="array" ref="N399">IF($A399="","",INDEX(JupData!$A$2:$K$10000,MATCH($A399&amp;N$1,JupData!$A$2:$A$10000&amp;JupData!$J$2:$J$10000,0),11))</f>
        <v/>
      </c>
      <c r="O399" t="str">
        <f t="array" ref="O399">IF($A399="","",INDEX(JupData!$A$2:$K$10000,MATCH($A399&amp;O$1,JupData!$A$2:$A$10000&amp;JupData!$J$2:$J$10000,0),11))</f>
        <v/>
      </c>
      <c r="P399" t="str">
        <f t="array" ref="P399">IF($A399="","",INDEX(JupData!$A$2:$K$10000,MATCH($A399&amp;P$1,JupData!$A$2:$A$10000&amp;JupData!$J$2:$J$10000,0),11))</f>
        <v/>
      </c>
      <c r="Q399" t="str">
        <f t="array" ref="Q399">IF($A399="","",INDEX(JupData!$A$2:$K$10000,MATCH($A399&amp;Q$1,JupData!$A$2:$A$10000&amp;JupData!$J$2:$J$10000,0),11))</f>
        <v/>
      </c>
      <c r="R399" t="str">
        <f t="array" ref="R399">IF($A399="","",INDEX(JupData!$A$2:$K$10000,MATCH($A399&amp;R$1,JupData!$A$2:$A$10000&amp;JupData!$J$2:$J$10000,0),11))</f>
        <v/>
      </c>
      <c r="S399" t="str">
        <f t="array" ref="S399">IF($A399="","",INDEX(JupData!$A$2:$K$10000,MATCH($A399&amp;S$1,JupData!$A$2:$A$10000&amp;JupData!$J$2:$J$10000,0),11))</f>
        <v/>
      </c>
      <c r="T399" t="str">
        <f t="array" ref="T399">IF($A399="","",INDEX(JupData!$A$2:$K$10000,MATCH($A399&amp;T$1,JupData!$A$2:$A$10000&amp;JupData!$J$2:$J$10000,0),11))</f>
        <v/>
      </c>
      <c r="U399" t="str">
        <f t="array" ref="U399">IF($A399="","",INDEX(JupData!$A$2:$K$10000,MATCH($A399&amp;U$1,JupData!$A$2:$A$10000&amp;JupData!$J$2:$J$10000,0),11))</f>
        <v/>
      </c>
      <c r="V399" t="str">
        <f t="array" ref="V399">IF($A399="","",INDEX(JupData!$A$2:$K$10000,MATCH($A399&amp;V$1,JupData!$A$2:$A$10000&amp;JupData!$J$2:$J$10000,0),11))</f>
        <v/>
      </c>
      <c r="W399" t="str">
        <f t="array" ref="W399">IF($A399="","",INDEX(JupData!$A$2:$K$10000,MATCH($A399&amp;W$1,JupData!$A$2:$A$10000&amp;JupData!$J$2:$J$10000,0),11))</f>
        <v/>
      </c>
      <c r="X399" t="str">
        <f t="array" ref="X399">IF($A399="","",INDEX(JupData!$A$2:$K$10000,MATCH($A399&amp;X$1,JupData!$A$2:$A$10000&amp;JupData!$J$2:$J$10000,0),11))</f>
        <v/>
      </c>
      <c r="Y399" t="str">
        <f t="array" ref="Y399">IF($A399="","",INDEX(JupData!$A$2:$K$10000,MATCH($A399&amp;Y$1,JupData!$A$2:$A$10000&amp;JupData!$J$2:$J$10000,0),11))</f>
        <v/>
      </c>
      <c r="Z399" t="str">
        <f t="array" ref="Z399">IF($A399="","",INDEX(JupData!$A$2:$K$10000,MATCH($A399&amp;Z$1,JupData!$A$2:$A$10000&amp;JupData!$J$2:$J$10000,0),11))</f>
        <v/>
      </c>
      <c r="AA399" t="str">
        <f t="array" ref="AA399">IF($A399="","",INDEX(JupData!$A$2:$K$10000,MATCH($A399&amp;AA$1,JupData!$A$2:$A$10000&amp;JupData!$J$2:$J$10000,0),11))</f>
        <v/>
      </c>
      <c r="AB399" t="str">
        <f t="array" ref="AB399">IF($A399="","",INDEX(JupData!$A$2:$K$10000,MATCH($A399&amp;AB$1,JupData!$A$2:$A$10000&amp;JupData!$J$2:$J$10000,0),11))</f>
        <v/>
      </c>
      <c r="AC399" s="10" t="str">
        <f t="shared" si="66"/>
        <v/>
      </c>
      <c r="AD399" s="10" t="str">
        <f t="shared" si="67"/>
        <v/>
      </c>
      <c r="AE399" s="9" t="str">
        <f t="shared" si="68"/>
        <v/>
      </c>
      <c r="AF399" s="10" t="str">
        <f t="shared" si="69"/>
        <v/>
      </c>
      <c r="AG399" s="10" t="str">
        <f t="shared" si="70"/>
        <v/>
      </c>
      <c r="AH399" s="10" t="str">
        <f t="shared" si="71"/>
        <v/>
      </c>
      <c r="AI399" s="10" t="str">
        <f t="shared" si="72"/>
        <v/>
      </c>
      <c r="AJ399" s="10" t="str">
        <f t="shared" si="73"/>
        <v/>
      </c>
      <c r="AK399" s="10" t="str">
        <f t="shared" si="74"/>
        <v/>
      </c>
      <c r="AL399" s="14" t="str">
        <f t="shared" si="75"/>
        <v/>
      </c>
    </row>
    <row r="400" spans="1:38" x14ac:dyDescent="0.2">
      <c r="A400"/>
      <c r="B400" t="str">
        <f>IF($A400="","",VLOOKUP($A400,JupData!$A$2:$I$10000,4,FALSE))</f>
        <v/>
      </c>
      <c r="C400" s="7" t="str">
        <f>IF($A400="",IF(N(D400),0,""),VLOOKUP($A400,JupData!$A$2:$I$10000,7,FALSE))</f>
        <v/>
      </c>
      <c r="D400" t="str">
        <f t="shared" si="76"/>
        <v/>
      </c>
      <c r="E400" t="str">
        <f t="array" ref="E400">IF($A400="","",INDEX(JupData!$A$2:$K$10000,MATCH($A400&amp;E$1,JupData!$A$2:$A$10000&amp;JupData!$J$2:$J$10000,0),11))</f>
        <v/>
      </c>
      <c r="F400" t="str">
        <f t="array" ref="F400">IF($A400="","",INDEX(JupData!$A$2:$K$10000,MATCH($A400&amp;F$1,JupData!$A$2:$A$10000&amp;JupData!$J$2:$J$10000,0),11))</f>
        <v/>
      </c>
      <c r="G400" t="str">
        <f t="array" ref="G400">IF($A400="","",INDEX(JupData!$A$2:$K$10000,MATCH($A400&amp;G$1,JupData!$A$2:$A$10000&amp;JupData!$J$2:$J$10000,0),11))</f>
        <v/>
      </c>
      <c r="H400" t="str">
        <f t="array" ref="H400">IF($A400="","",INDEX(JupData!$A$2:$K$10000,MATCH($A400&amp;H$1,JupData!$A$2:$A$10000&amp;JupData!$J$2:$J$10000,0),11))</f>
        <v/>
      </c>
      <c r="I400" t="str">
        <f t="array" ref="I400">IF($A400="","",INDEX(JupData!$A$2:$K$10000,MATCH($A400&amp;I$1,JupData!$A$2:$A$10000&amp;JupData!$J$2:$J$10000,0),11))</f>
        <v/>
      </c>
      <c r="J400" t="str">
        <f t="array" ref="J400">IF($A400="","",INDEX(JupData!$A$2:$K$10000,MATCH($A400&amp;J$1,JupData!$A$2:$A$10000&amp;JupData!$J$2:$J$10000,0),11))</f>
        <v/>
      </c>
      <c r="K400" t="str">
        <f t="array" ref="K400">IF($A400="","",INDEX(JupData!$A$2:$K$10000,MATCH($A400&amp;K$1,JupData!$A$2:$A$10000&amp;JupData!$J$2:$J$10000,0),11))</f>
        <v/>
      </c>
      <c r="L400" t="str">
        <f t="array" ref="L400">IF($A400="","",INDEX(JupData!$A$2:$K$10000,MATCH($A400&amp;L$1,JupData!$A$2:$A$10000&amp;JupData!$J$2:$J$10000,0),11))</f>
        <v/>
      </c>
      <c r="M400" t="str">
        <f t="array" ref="M400">IF($A400="","",INDEX(JupData!$A$2:$K$10000,MATCH($A400&amp;M$1,JupData!$A$2:$A$10000&amp;JupData!$J$2:$J$10000,0),11))</f>
        <v/>
      </c>
      <c r="N400" t="str">
        <f t="array" ref="N400">IF($A400="","",INDEX(JupData!$A$2:$K$10000,MATCH($A400&amp;N$1,JupData!$A$2:$A$10000&amp;JupData!$J$2:$J$10000,0),11))</f>
        <v/>
      </c>
      <c r="O400" t="str">
        <f t="array" ref="O400">IF($A400="","",INDEX(JupData!$A$2:$K$10000,MATCH($A400&amp;O$1,JupData!$A$2:$A$10000&amp;JupData!$J$2:$J$10000,0),11))</f>
        <v/>
      </c>
      <c r="P400" t="str">
        <f t="array" ref="P400">IF($A400="","",INDEX(JupData!$A$2:$K$10000,MATCH($A400&amp;P$1,JupData!$A$2:$A$10000&amp;JupData!$J$2:$J$10000,0),11))</f>
        <v/>
      </c>
      <c r="Q400" t="str">
        <f t="array" ref="Q400">IF($A400="","",INDEX(JupData!$A$2:$K$10000,MATCH($A400&amp;Q$1,JupData!$A$2:$A$10000&amp;JupData!$J$2:$J$10000,0),11))</f>
        <v/>
      </c>
      <c r="R400" t="str">
        <f t="array" ref="R400">IF($A400="","",INDEX(JupData!$A$2:$K$10000,MATCH($A400&amp;R$1,JupData!$A$2:$A$10000&amp;JupData!$J$2:$J$10000,0),11))</f>
        <v/>
      </c>
      <c r="S400" t="str">
        <f t="array" ref="S400">IF($A400="","",INDEX(JupData!$A$2:$K$10000,MATCH($A400&amp;S$1,JupData!$A$2:$A$10000&amp;JupData!$J$2:$J$10000,0),11))</f>
        <v/>
      </c>
      <c r="T400" t="str">
        <f t="array" ref="T400">IF($A400="","",INDEX(JupData!$A$2:$K$10000,MATCH($A400&amp;T$1,JupData!$A$2:$A$10000&amp;JupData!$J$2:$J$10000,0),11))</f>
        <v/>
      </c>
      <c r="U400" t="str">
        <f t="array" ref="U400">IF($A400="","",INDEX(JupData!$A$2:$K$10000,MATCH($A400&amp;U$1,JupData!$A$2:$A$10000&amp;JupData!$J$2:$J$10000,0),11))</f>
        <v/>
      </c>
      <c r="V400" t="str">
        <f t="array" ref="V400">IF($A400="","",INDEX(JupData!$A$2:$K$10000,MATCH($A400&amp;V$1,JupData!$A$2:$A$10000&amp;JupData!$J$2:$J$10000,0),11))</f>
        <v/>
      </c>
      <c r="W400" t="str">
        <f t="array" ref="W400">IF($A400="","",INDEX(JupData!$A$2:$K$10000,MATCH($A400&amp;W$1,JupData!$A$2:$A$10000&amp;JupData!$J$2:$J$10000,0),11))</f>
        <v/>
      </c>
      <c r="X400" t="str">
        <f t="array" ref="X400">IF($A400="","",INDEX(JupData!$A$2:$K$10000,MATCH($A400&amp;X$1,JupData!$A$2:$A$10000&amp;JupData!$J$2:$J$10000,0),11))</f>
        <v/>
      </c>
      <c r="Y400" t="str">
        <f t="array" ref="Y400">IF($A400="","",INDEX(JupData!$A$2:$K$10000,MATCH($A400&amp;Y$1,JupData!$A$2:$A$10000&amp;JupData!$J$2:$J$10000,0),11))</f>
        <v/>
      </c>
      <c r="Z400" t="str">
        <f t="array" ref="Z400">IF($A400="","",INDEX(JupData!$A$2:$K$10000,MATCH($A400&amp;Z$1,JupData!$A$2:$A$10000&amp;JupData!$J$2:$J$10000,0),11))</f>
        <v/>
      </c>
      <c r="AA400" t="str">
        <f t="array" ref="AA400">IF($A400="","",INDEX(JupData!$A$2:$K$10000,MATCH($A400&amp;AA$1,JupData!$A$2:$A$10000&amp;JupData!$J$2:$J$10000,0),11))</f>
        <v/>
      </c>
      <c r="AB400" t="str">
        <f t="array" ref="AB400">IF($A400="","",INDEX(JupData!$A$2:$K$10000,MATCH($A400&amp;AB$1,JupData!$A$2:$A$10000&amp;JupData!$J$2:$J$10000,0),11))</f>
        <v/>
      </c>
      <c r="AC400" s="10" t="str">
        <f t="shared" si="66"/>
        <v/>
      </c>
      <c r="AD400" s="10" t="str">
        <f t="shared" si="67"/>
        <v/>
      </c>
      <c r="AE400" s="9" t="str">
        <f t="shared" si="68"/>
        <v/>
      </c>
      <c r="AF400" s="10" t="str">
        <f t="shared" si="69"/>
        <v/>
      </c>
      <c r="AG400" s="10" t="str">
        <f t="shared" si="70"/>
        <v/>
      </c>
      <c r="AH400" s="10" t="str">
        <f t="shared" si="71"/>
        <v/>
      </c>
      <c r="AI400" s="10" t="str">
        <f t="shared" si="72"/>
        <v/>
      </c>
      <c r="AJ400" s="10" t="str">
        <f t="shared" si="73"/>
        <v/>
      </c>
      <c r="AK400" s="10" t="str">
        <f t="shared" si="74"/>
        <v/>
      </c>
      <c r="AL400" s="14" t="str">
        <f t="shared" si="75"/>
        <v/>
      </c>
    </row>
    <row r="401" spans="1:38" x14ac:dyDescent="0.2">
      <c r="A401"/>
      <c r="B401" t="str">
        <f>IF($A401="","",VLOOKUP($A401,JupData!$A$2:$I$10000,4,FALSE))</f>
        <v/>
      </c>
      <c r="C401" s="7" t="str">
        <f>IF($A401="",IF(N(D401),0,""),VLOOKUP($A401,JupData!$A$2:$I$10000,7,FALSE))</f>
        <v/>
      </c>
      <c r="D401" t="str">
        <f t="shared" si="76"/>
        <v/>
      </c>
      <c r="E401" t="str">
        <f t="array" ref="E401">IF($A401="","",INDEX(JupData!$A$2:$K$10000,MATCH($A401&amp;E$1,JupData!$A$2:$A$10000&amp;JupData!$J$2:$J$10000,0),11))</f>
        <v/>
      </c>
      <c r="F401" t="str">
        <f t="array" ref="F401">IF($A401="","",INDEX(JupData!$A$2:$K$10000,MATCH($A401&amp;F$1,JupData!$A$2:$A$10000&amp;JupData!$J$2:$J$10000,0),11))</f>
        <v/>
      </c>
      <c r="G401" t="str">
        <f t="array" ref="G401">IF($A401="","",INDEX(JupData!$A$2:$K$10000,MATCH($A401&amp;G$1,JupData!$A$2:$A$10000&amp;JupData!$J$2:$J$10000,0),11))</f>
        <v/>
      </c>
      <c r="H401" t="str">
        <f t="array" ref="H401">IF($A401="","",INDEX(JupData!$A$2:$K$10000,MATCH($A401&amp;H$1,JupData!$A$2:$A$10000&amp;JupData!$J$2:$J$10000,0),11))</f>
        <v/>
      </c>
      <c r="I401" t="str">
        <f t="array" ref="I401">IF($A401="","",INDEX(JupData!$A$2:$K$10000,MATCH($A401&amp;I$1,JupData!$A$2:$A$10000&amp;JupData!$J$2:$J$10000,0),11))</f>
        <v/>
      </c>
      <c r="J401" t="str">
        <f t="array" ref="J401">IF($A401="","",INDEX(JupData!$A$2:$K$10000,MATCH($A401&amp;J$1,JupData!$A$2:$A$10000&amp;JupData!$J$2:$J$10000,0),11))</f>
        <v/>
      </c>
      <c r="K401" t="str">
        <f t="array" ref="K401">IF($A401="","",INDEX(JupData!$A$2:$K$10000,MATCH($A401&amp;K$1,JupData!$A$2:$A$10000&amp;JupData!$J$2:$J$10000,0),11))</f>
        <v/>
      </c>
      <c r="L401" t="str">
        <f t="array" ref="L401">IF($A401="","",INDEX(JupData!$A$2:$K$10000,MATCH($A401&amp;L$1,JupData!$A$2:$A$10000&amp;JupData!$J$2:$J$10000,0),11))</f>
        <v/>
      </c>
      <c r="M401" t="str">
        <f t="array" ref="M401">IF($A401="","",INDEX(JupData!$A$2:$K$10000,MATCH($A401&amp;M$1,JupData!$A$2:$A$10000&amp;JupData!$J$2:$J$10000,0),11))</f>
        <v/>
      </c>
      <c r="N401" t="str">
        <f t="array" ref="N401">IF($A401="","",INDEX(JupData!$A$2:$K$10000,MATCH($A401&amp;N$1,JupData!$A$2:$A$10000&amp;JupData!$J$2:$J$10000,0),11))</f>
        <v/>
      </c>
      <c r="O401" t="str">
        <f t="array" ref="O401">IF($A401="","",INDEX(JupData!$A$2:$K$10000,MATCH($A401&amp;O$1,JupData!$A$2:$A$10000&amp;JupData!$J$2:$J$10000,0),11))</f>
        <v/>
      </c>
      <c r="P401" t="str">
        <f t="array" ref="P401">IF($A401="","",INDEX(JupData!$A$2:$K$10000,MATCH($A401&amp;P$1,JupData!$A$2:$A$10000&amp;JupData!$J$2:$J$10000,0),11))</f>
        <v/>
      </c>
      <c r="Q401" t="str">
        <f t="array" ref="Q401">IF($A401="","",INDEX(JupData!$A$2:$K$10000,MATCH($A401&amp;Q$1,JupData!$A$2:$A$10000&amp;JupData!$J$2:$J$10000,0),11))</f>
        <v/>
      </c>
      <c r="R401" t="str">
        <f t="array" ref="R401">IF($A401="","",INDEX(JupData!$A$2:$K$10000,MATCH($A401&amp;R$1,JupData!$A$2:$A$10000&amp;JupData!$J$2:$J$10000,0),11))</f>
        <v/>
      </c>
      <c r="S401" t="str">
        <f t="array" ref="S401">IF($A401="","",INDEX(JupData!$A$2:$K$10000,MATCH($A401&amp;S$1,JupData!$A$2:$A$10000&amp;JupData!$J$2:$J$10000,0),11))</f>
        <v/>
      </c>
      <c r="T401" t="str">
        <f t="array" ref="T401">IF($A401="","",INDEX(JupData!$A$2:$K$10000,MATCH($A401&amp;T$1,JupData!$A$2:$A$10000&amp;JupData!$J$2:$J$10000,0),11))</f>
        <v/>
      </c>
      <c r="U401" t="str">
        <f t="array" ref="U401">IF($A401="","",INDEX(JupData!$A$2:$K$10000,MATCH($A401&amp;U$1,JupData!$A$2:$A$10000&amp;JupData!$J$2:$J$10000,0),11))</f>
        <v/>
      </c>
      <c r="V401" t="str">
        <f t="array" ref="V401">IF($A401="","",INDEX(JupData!$A$2:$K$10000,MATCH($A401&amp;V$1,JupData!$A$2:$A$10000&amp;JupData!$J$2:$J$10000,0),11))</f>
        <v/>
      </c>
      <c r="W401" t="str">
        <f t="array" ref="W401">IF($A401="","",INDEX(JupData!$A$2:$K$10000,MATCH($A401&amp;W$1,JupData!$A$2:$A$10000&amp;JupData!$J$2:$J$10000,0),11))</f>
        <v/>
      </c>
      <c r="X401" t="str">
        <f t="array" ref="X401">IF($A401="","",INDEX(JupData!$A$2:$K$10000,MATCH($A401&amp;X$1,JupData!$A$2:$A$10000&amp;JupData!$J$2:$J$10000,0),11))</f>
        <v/>
      </c>
      <c r="Y401" t="str">
        <f t="array" ref="Y401">IF($A401="","",INDEX(JupData!$A$2:$K$10000,MATCH($A401&amp;Y$1,JupData!$A$2:$A$10000&amp;JupData!$J$2:$J$10000,0),11))</f>
        <v/>
      </c>
      <c r="Z401" t="str">
        <f t="array" ref="Z401">IF($A401="","",INDEX(JupData!$A$2:$K$10000,MATCH($A401&amp;Z$1,JupData!$A$2:$A$10000&amp;JupData!$J$2:$J$10000,0),11))</f>
        <v/>
      </c>
      <c r="AA401" t="str">
        <f t="array" ref="AA401">IF($A401="","",INDEX(JupData!$A$2:$K$10000,MATCH($A401&amp;AA$1,JupData!$A$2:$A$10000&amp;JupData!$J$2:$J$10000,0),11))</f>
        <v/>
      </c>
      <c r="AB401" t="str">
        <f t="array" ref="AB401">IF($A401="","",INDEX(JupData!$A$2:$K$10000,MATCH($A401&amp;AB$1,JupData!$A$2:$A$10000&amp;JupData!$J$2:$J$10000,0),11))</f>
        <v/>
      </c>
      <c r="AC401" s="10" t="str">
        <f t="shared" si="66"/>
        <v/>
      </c>
      <c r="AD401" s="10" t="str">
        <f t="shared" si="67"/>
        <v/>
      </c>
      <c r="AE401" s="9" t="str">
        <f t="shared" si="68"/>
        <v/>
      </c>
      <c r="AF401" s="10" t="str">
        <f t="shared" si="69"/>
        <v/>
      </c>
      <c r="AG401" s="10" t="str">
        <f t="shared" si="70"/>
        <v/>
      </c>
      <c r="AH401" s="10" t="str">
        <f t="shared" si="71"/>
        <v/>
      </c>
      <c r="AI401" s="10" t="str">
        <f t="shared" si="72"/>
        <v/>
      </c>
      <c r="AJ401" s="10" t="str">
        <f t="shared" si="73"/>
        <v/>
      </c>
      <c r="AK401" s="10" t="str">
        <f t="shared" si="74"/>
        <v/>
      </c>
      <c r="AL401" s="14" t="str">
        <f t="shared" si="75"/>
        <v/>
      </c>
    </row>
    <row r="402" spans="1:38" x14ac:dyDescent="0.2">
      <c r="A402"/>
      <c r="B402" t="str">
        <f>IF($A402="","",VLOOKUP($A402,JupData!$A$2:$I$10000,4,FALSE))</f>
        <v/>
      </c>
      <c r="C402" s="7" t="str">
        <f>IF($A402="",IF(N(D402),0,""),VLOOKUP($A402,JupData!$A$2:$I$10000,7,FALSE))</f>
        <v/>
      </c>
      <c r="D402" t="str">
        <f t="shared" si="76"/>
        <v/>
      </c>
      <c r="E402" t="str">
        <f t="array" ref="E402">IF($A402="","",INDEX(JupData!$A$2:$K$10000,MATCH($A402&amp;E$1,JupData!$A$2:$A$10000&amp;JupData!$J$2:$J$10000,0),11))</f>
        <v/>
      </c>
      <c r="F402" t="str">
        <f t="array" ref="F402">IF($A402="","",INDEX(JupData!$A$2:$K$10000,MATCH($A402&amp;F$1,JupData!$A$2:$A$10000&amp;JupData!$J$2:$J$10000,0),11))</f>
        <v/>
      </c>
      <c r="G402" t="str">
        <f t="array" ref="G402">IF($A402="","",INDEX(JupData!$A$2:$K$10000,MATCH($A402&amp;G$1,JupData!$A$2:$A$10000&amp;JupData!$J$2:$J$10000,0),11))</f>
        <v/>
      </c>
      <c r="H402" t="str">
        <f t="array" ref="H402">IF($A402="","",INDEX(JupData!$A$2:$K$10000,MATCH($A402&amp;H$1,JupData!$A$2:$A$10000&amp;JupData!$J$2:$J$10000,0),11))</f>
        <v/>
      </c>
      <c r="I402" t="str">
        <f t="array" ref="I402">IF($A402="","",INDEX(JupData!$A$2:$K$10000,MATCH($A402&amp;I$1,JupData!$A$2:$A$10000&amp;JupData!$J$2:$J$10000,0),11))</f>
        <v/>
      </c>
      <c r="J402" t="str">
        <f t="array" ref="J402">IF($A402="","",INDEX(JupData!$A$2:$K$10000,MATCH($A402&amp;J$1,JupData!$A$2:$A$10000&amp;JupData!$J$2:$J$10000,0),11))</f>
        <v/>
      </c>
      <c r="K402" t="str">
        <f t="array" ref="K402">IF($A402="","",INDEX(JupData!$A$2:$K$10000,MATCH($A402&amp;K$1,JupData!$A$2:$A$10000&amp;JupData!$J$2:$J$10000,0),11))</f>
        <v/>
      </c>
      <c r="L402" t="str">
        <f t="array" ref="L402">IF($A402="","",INDEX(JupData!$A$2:$K$10000,MATCH($A402&amp;L$1,JupData!$A$2:$A$10000&amp;JupData!$J$2:$J$10000,0),11))</f>
        <v/>
      </c>
      <c r="M402" t="str">
        <f t="array" ref="M402">IF($A402="","",INDEX(JupData!$A$2:$K$10000,MATCH($A402&amp;M$1,JupData!$A$2:$A$10000&amp;JupData!$J$2:$J$10000,0),11))</f>
        <v/>
      </c>
      <c r="N402" t="str">
        <f t="array" ref="N402">IF($A402="","",INDEX(JupData!$A$2:$K$10000,MATCH($A402&amp;N$1,JupData!$A$2:$A$10000&amp;JupData!$J$2:$J$10000,0),11))</f>
        <v/>
      </c>
      <c r="O402" t="str">
        <f t="array" ref="O402">IF($A402="","",INDEX(JupData!$A$2:$K$10000,MATCH($A402&amp;O$1,JupData!$A$2:$A$10000&amp;JupData!$J$2:$J$10000,0),11))</f>
        <v/>
      </c>
      <c r="P402" t="str">
        <f t="array" ref="P402">IF($A402="","",INDEX(JupData!$A$2:$K$10000,MATCH($A402&amp;P$1,JupData!$A$2:$A$10000&amp;JupData!$J$2:$J$10000,0),11))</f>
        <v/>
      </c>
      <c r="Q402" t="str">
        <f t="array" ref="Q402">IF($A402="","",INDEX(JupData!$A$2:$K$10000,MATCH($A402&amp;Q$1,JupData!$A$2:$A$10000&amp;JupData!$J$2:$J$10000,0),11))</f>
        <v/>
      </c>
      <c r="R402" t="str">
        <f t="array" ref="R402">IF($A402="","",INDEX(JupData!$A$2:$K$10000,MATCH($A402&amp;R$1,JupData!$A$2:$A$10000&amp;JupData!$J$2:$J$10000,0),11))</f>
        <v/>
      </c>
      <c r="S402" t="str">
        <f t="array" ref="S402">IF($A402="","",INDEX(JupData!$A$2:$K$10000,MATCH($A402&amp;S$1,JupData!$A$2:$A$10000&amp;JupData!$J$2:$J$10000,0),11))</f>
        <v/>
      </c>
      <c r="T402" t="str">
        <f t="array" ref="T402">IF($A402="","",INDEX(JupData!$A$2:$K$10000,MATCH($A402&amp;T$1,JupData!$A$2:$A$10000&amp;JupData!$J$2:$J$10000,0),11))</f>
        <v/>
      </c>
      <c r="U402" t="str">
        <f t="array" ref="U402">IF($A402="","",INDEX(JupData!$A$2:$K$10000,MATCH($A402&amp;U$1,JupData!$A$2:$A$10000&amp;JupData!$J$2:$J$10000,0),11))</f>
        <v/>
      </c>
      <c r="V402" t="str">
        <f t="array" ref="V402">IF($A402="","",INDEX(JupData!$A$2:$K$10000,MATCH($A402&amp;V$1,JupData!$A$2:$A$10000&amp;JupData!$J$2:$J$10000,0),11))</f>
        <v/>
      </c>
      <c r="W402" t="str">
        <f t="array" ref="W402">IF($A402="","",INDEX(JupData!$A$2:$K$10000,MATCH($A402&amp;W$1,JupData!$A$2:$A$10000&amp;JupData!$J$2:$J$10000,0),11))</f>
        <v/>
      </c>
      <c r="X402" t="str">
        <f t="array" ref="X402">IF($A402="","",INDEX(JupData!$A$2:$K$10000,MATCH($A402&amp;X$1,JupData!$A$2:$A$10000&amp;JupData!$J$2:$J$10000,0),11))</f>
        <v/>
      </c>
      <c r="Y402" t="str">
        <f t="array" ref="Y402">IF($A402="","",INDEX(JupData!$A$2:$K$10000,MATCH($A402&amp;Y$1,JupData!$A$2:$A$10000&amp;JupData!$J$2:$J$10000,0),11))</f>
        <v/>
      </c>
      <c r="Z402" t="str">
        <f t="array" ref="Z402">IF($A402="","",INDEX(JupData!$A$2:$K$10000,MATCH($A402&amp;Z$1,JupData!$A$2:$A$10000&amp;JupData!$J$2:$J$10000,0),11))</f>
        <v/>
      </c>
      <c r="AA402" t="str">
        <f t="array" ref="AA402">IF($A402="","",INDEX(JupData!$A$2:$K$10000,MATCH($A402&amp;AA$1,JupData!$A$2:$A$10000&amp;JupData!$J$2:$J$10000,0),11))</f>
        <v/>
      </c>
      <c r="AB402" t="str">
        <f t="array" ref="AB402">IF($A402="","",INDEX(JupData!$A$2:$K$10000,MATCH($A402&amp;AB$1,JupData!$A$2:$A$10000&amp;JupData!$J$2:$J$10000,0),11))</f>
        <v/>
      </c>
      <c r="AC402" s="10" t="str">
        <f t="shared" si="66"/>
        <v/>
      </c>
      <c r="AD402" s="10" t="str">
        <f t="shared" si="67"/>
        <v/>
      </c>
      <c r="AE402" s="9" t="str">
        <f t="shared" si="68"/>
        <v/>
      </c>
      <c r="AF402" s="10" t="str">
        <f t="shared" si="69"/>
        <v/>
      </c>
      <c r="AG402" s="10" t="str">
        <f t="shared" si="70"/>
        <v/>
      </c>
      <c r="AH402" s="10" t="str">
        <f t="shared" si="71"/>
        <v/>
      </c>
      <c r="AI402" s="10" t="str">
        <f t="shared" si="72"/>
        <v/>
      </c>
      <c r="AJ402" s="10" t="str">
        <f t="shared" si="73"/>
        <v/>
      </c>
      <c r="AK402" s="10" t="str">
        <f t="shared" si="74"/>
        <v/>
      </c>
      <c r="AL402" s="14" t="str">
        <f t="shared" si="75"/>
        <v/>
      </c>
    </row>
    <row r="403" spans="1:38" x14ac:dyDescent="0.2">
      <c r="A403"/>
      <c r="B403" t="str">
        <f>IF($A403="","",VLOOKUP($A403,JupData!$A$2:$I$10000,4,FALSE))</f>
        <v/>
      </c>
      <c r="C403" s="7" t="str">
        <f>IF($A403="",IF(N(D403),0,""),VLOOKUP($A403,JupData!$A$2:$I$10000,7,FALSE))</f>
        <v/>
      </c>
      <c r="D403" t="str">
        <f t="shared" si="76"/>
        <v/>
      </c>
      <c r="E403" t="str">
        <f t="array" ref="E403">IF($A403="","",INDEX(JupData!$A$2:$K$10000,MATCH($A403&amp;E$1,JupData!$A$2:$A$10000&amp;JupData!$J$2:$J$10000,0),11))</f>
        <v/>
      </c>
      <c r="F403" t="str">
        <f t="array" ref="F403">IF($A403="","",INDEX(JupData!$A$2:$K$10000,MATCH($A403&amp;F$1,JupData!$A$2:$A$10000&amp;JupData!$J$2:$J$10000,0),11))</f>
        <v/>
      </c>
      <c r="G403" t="str">
        <f t="array" ref="G403">IF($A403="","",INDEX(JupData!$A$2:$K$10000,MATCH($A403&amp;G$1,JupData!$A$2:$A$10000&amp;JupData!$J$2:$J$10000,0),11))</f>
        <v/>
      </c>
      <c r="H403" t="str">
        <f t="array" ref="H403">IF($A403="","",INDEX(JupData!$A$2:$K$10000,MATCH($A403&amp;H$1,JupData!$A$2:$A$10000&amp;JupData!$J$2:$J$10000,0),11))</f>
        <v/>
      </c>
      <c r="I403" t="str">
        <f t="array" ref="I403">IF($A403="","",INDEX(JupData!$A$2:$K$10000,MATCH($A403&amp;I$1,JupData!$A$2:$A$10000&amp;JupData!$J$2:$J$10000,0),11))</f>
        <v/>
      </c>
      <c r="J403" t="str">
        <f t="array" ref="J403">IF($A403="","",INDEX(JupData!$A$2:$K$10000,MATCH($A403&amp;J$1,JupData!$A$2:$A$10000&amp;JupData!$J$2:$J$10000,0),11))</f>
        <v/>
      </c>
      <c r="K403" t="str">
        <f t="array" ref="K403">IF($A403="","",INDEX(JupData!$A$2:$K$10000,MATCH($A403&amp;K$1,JupData!$A$2:$A$10000&amp;JupData!$J$2:$J$10000,0),11))</f>
        <v/>
      </c>
      <c r="L403" t="str">
        <f t="array" ref="L403">IF($A403="","",INDEX(JupData!$A$2:$K$10000,MATCH($A403&amp;L$1,JupData!$A$2:$A$10000&amp;JupData!$J$2:$J$10000,0),11))</f>
        <v/>
      </c>
      <c r="M403" t="str">
        <f t="array" ref="M403">IF($A403="","",INDEX(JupData!$A$2:$K$10000,MATCH($A403&amp;M$1,JupData!$A$2:$A$10000&amp;JupData!$J$2:$J$10000,0),11))</f>
        <v/>
      </c>
      <c r="N403" t="str">
        <f t="array" ref="N403">IF($A403="","",INDEX(JupData!$A$2:$K$10000,MATCH($A403&amp;N$1,JupData!$A$2:$A$10000&amp;JupData!$J$2:$J$10000,0),11))</f>
        <v/>
      </c>
      <c r="O403" t="str">
        <f t="array" ref="O403">IF($A403="","",INDEX(JupData!$A$2:$K$10000,MATCH($A403&amp;O$1,JupData!$A$2:$A$10000&amp;JupData!$J$2:$J$10000,0),11))</f>
        <v/>
      </c>
      <c r="P403" t="str">
        <f t="array" ref="P403">IF($A403="","",INDEX(JupData!$A$2:$K$10000,MATCH($A403&amp;P$1,JupData!$A$2:$A$10000&amp;JupData!$J$2:$J$10000,0),11))</f>
        <v/>
      </c>
      <c r="Q403" t="str">
        <f t="array" ref="Q403">IF($A403="","",INDEX(JupData!$A$2:$K$10000,MATCH($A403&amp;Q$1,JupData!$A$2:$A$10000&amp;JupData!$J$2:$J$10000,0),11))</f>
        <v/>
      </c>
      <c r="R403" t="str">
        <f t="array" ref="R403">IF($A403="","",INDEX(JupData!$A$2:$K$10000,MATCH($A403&amp;R$1,JupData!$A$2:$A$10000&amp;JupData!$J$2:$J$10000,0),11))</f>
        <v/>
      </c>
      <c r="S403" t="str">
        <f t="array" ref="S403">IF($A403="","",INDEX(JupData!$A$2:$K$10000,MATCH($A403&amp;S$1,JupData!$A$2:$A$10000&amp;JupData!$J$2:$J$10000,0),11))</f>
        <v/>
      </c>
      <c r="T403" t="str">
        <f t="array" ref="T403">IF($A403="","",INDEX(JupData!$A$2:$K$10000,MATCH($A403&amp;T$1,JupData!$A$2:$A$10000&amp;JupData!$J$2:$J$10000,0),11))</f>
        <v/>
      </c>
      <c r="U403" t="str">
        <f t="array" ref="U403">IF($A403="","",INDEX(JupData!$A$2:$K$10000,MATCH($A403&amp;U$1,JupData!$A$2:$A$10000&amp;JupData!$J$2:$J$10000,0),11))</f>
        <v/>
      </c>
      <c r="V403" t="str">
        <f t="array" ref="V403">IF($A403="","",INDEX(JupData!$A$2:$K$10000,MATCH($A403&amp;V$1,JupData!$A$2:$A$10000&amp;JupData!$J$2:$J$10000,0),11))</f>
        <v/>
      </c>
      <c r="W403" t="str">
        <f t="array" ref="W403">IF($A403="","",INDEX(JupData!$A$2:$K$10000,MATCH($A403&amp;W$1,JupData!$A$2:$A$10000&amp;JupData!$J$2:$J$10000,0),11))</f>
        <v/>
      </c>
      <c r="X403" t="str">
        <f t="array" ref="X403">IF($A403="","",INDEX(JupData!$A$2:$K$10000,MATCH($A403&amp;X$1,JupData!$A$2:$A$10000&amp;JupData!$J$2:$J$10000,0),11))</f>
        <v/>
      </c>
      <c r="Y403" t="str">
        <f t="array" ref="Y403">IF($A403="","",INDEX(JupData!$A$2:$K$10000,MATCH($A403&amp;Y$1,JupData!$A$2:$A$10000&amp;JupData!$J$2:$J$10000,0),11))</f>
        <v/>
      </c>
      <c r="Z403" t="str">
        <f t="array" ref="Z403">IF($A403="","",INDEX(JupData!$A$2:$K$10000,MATCH($A403&amp;Z$1,JupData!$A$2:$A$10000&amp;JupData!$J$2:$J$10000,0),11))</f>
        <v/>
      </c>
      <c r="AA403" t="str">
        <f t="array" ref="AA403">IF($A403="","",INDEX(JupData!$A$2:$K$10000,MATCH($A403&amp;AA$1,JupData!$A$2:$A$10000&amp;JupData!$J$2:$J$10000,0),11))</f>
        <v/>
      </c>
      <c r="AB403" t="str">
        <f t="array" ref="AB403">IF($A403="","",INDEX(JupData!$A$2:$K$10000,MATCH($A403&amp;AB$1,JupData!$A$2:$A$10000&amp;JupData!$J$2:$J$10000,0),11))</f>
        <v/>
      </c>
      <c r="AC403" s="10" t="str">
        <f t="shared" si="66"/>
        <v/>
      </c>
      <c r="AD403" s="10" t="str">
        <f t="shared" si="67"/>
        <v/>
      </c>
      <c r="AE403" s="9" t="str">
        <f t="shared" si="68"/>
        <v/>
      </c>
      <c r="AF403" s="10" t="str">
        <f t="shared" si="69"/>
        <v/>
      </c>
      <c r="AG403" s="10" t="str">
        <f t="shared" si="70"/>
        <v/>
      </c>
      <c r="AH403" s="10" t="str">
        <f t="shared" si="71"/>
        <v/>
      </c>
      <c r="AI403" s="10" t="str">
        <f t="shared" si="72"/>
        <v/>
      </c>
      <c r="AJ403" s="10" t="str">
        <f t="shared" si="73"/>
        <v/>
      </c>
      <c r="AK403" s="10" t="str">
        <f t="shared" si="74"/>
        <v/>
      </c>
      <c r="AL403" s="14" t="str">
        <f t="shared" si="75"/>
        <v/>
      </c>
    </row>
    <row r="404" spans="1:38" x14ac:dyDescent="0.2">
      <c r="A404"/>
      <c r="B404" t="str">
        <f>IF($A404="","",VLOOKUP($A404,JupData!$A$2:$I$10000,4,FALSE))</f>
        <v/>
      </c>
      <c r="C404" s="7" t="str">
        <f>IF($A404="",IF(N(D404),0,""),VLOOKUP($A404,JupData!$A$2:$I$10000,7,FALSE))</f>
        <v/>
      </c>
      <c r="D404" t="str">
        <f t="shared" si="76"/>
        <v/>
      </c>
      <c r="E404" t="str">
        <f t="array" ref="E404">IF($A404="","",INDEX(JupData!$A$2:$K$10000,MATCH($A404&amp;E$1,JupData!$A$2:$A$10000&amp;JupData!$J$2:$J$10000,0),11))</f>
        <v/>
      </c>
      <c r="F404" t="str">
        <f t="array" ref="F404">IF($A404="","",INDEX(JupData!$A$2:$K$10000,MATCH($A404&amp;F$1,JupData!$A$2:$A$10000&amp;JupData!$J$2:$J$10000,0),11))</f>
        <v/>
      </c>
      <c r="G404" t="str">
        <f t="array" ref="G404">IF($A404="","",INDEX(JupData!$A$2:$K$10000,MATCH($A404&amp;G$1,JupData!$A$2:$A$10000&amp;JupData!$J$2:$J$10000,0),11))</f>
        <v/>
      </c>
      <c r="H404" t="str">
        <f t="array" ref="H404">IF($A404="","",INDEX(JupData!$A$2:$K$10000,MATCH($A404&amp;H$1,JupData!$A$2:$A$10000&amp;JupData!$J$2:$J$10000,0),11))</f>
        <v/>
      </c>
      <c r="I404" t="str">
        <f t="array" ref="I404">IF($A404="","",INDEX(JupData!$A$2:$K$10000,MATCH($A404&amp;I$1,JupData!$A$2:$A$10000&amp;JupData!$J$2:$J$10000,0),11))</f>
        <v/>
      </c>
      <c r="J404" t="str">
        <f t="array" ref="J404">IF($A404="","",INDEX(JupData!$A$2:$K$10000,MATCH($A404&amp;J$1,JupData!$A$2:$A$10000&amp;JupData!$J$2:$J$10000,0),11))</f>
        <v/>
      </c>
      <c r="K404" t="str">
        <f t="array" ref="K404">IF($A404="","",INDEX(JupData!$A$2:$K$10000,MATCH($A404&amp;K$1,JupData!$A$2:$A$10000&amp;JupData!$J$2:$J$10000,0),11))</f>
        <v/>
      </c>
      <c r="L404" t="str">
        <f t="array" ref="L404">IF($A404="","",INDEX(JupData!$A$2:$K$10000,MATCH($A404&amp;L$1,JupData!$A$2:$A$10000&amp;JupData!$J$2:$J$10000,0),11))</f>
        <v/>
      </c>
      <c r="M404" t="str">
        <f t="array" ref="M404">IF($A404="","",INDEX(JupData!$A$2:$K$10000,MATCH($A404&amp;M$1,JupData!$A$2:$A$10000&amp;JupData!$J$2:$J$10000,0),11))</f>
        <v/>
      </c>
      <c r="N404" t="str">
        <f t="array" ref="N404">IF($A404="","",INDEX(JupData!$A$2:$K$10000,MATCH($A404&amp;N$1,JupData!$A$2:$A$10000&amp;JupData!$J$2:$J$10000,0),11))</f>
        <v/>
      </c>
      <c r="O404" t="str">
        <f t="array" ref="O404">IF($A404="","",INDEX(JupData!$A$2:$K$10000,MATCH($A404&amp;O$1,JupData!$A$2:$A$10000&amp;JupData!$J$2:$J$10000,0),11))</f>
        <v/>
      </c>
      <c r="P404" t="str">
        <f t="array" ref="P404">IF($A404="","",INDEX(JupData!$A$2:$K$10000,MATCH($A404&amp;P$1,JupData!$A$2:$A$10000&amp;JupData!$J$2:$J$10000,0),11))</f>
        <v/>
      </c>
      <c r="Q404" t="str">
        <f t="array" ref="Q404">IF($A404="","",INDEX(JupData!$A$2:$K$10000,MATCH($A404&amp;Q$1,JupData!$A$2:$A$10000&amp;JupData!$J$2:$J$10000,0),11))</f>
        <v/>
      </c>
      <c r="R404" t="str">
        <f t="array" ref="R404">IF($A404="","",INDEX(JupData!$A$2:$K$10000,MATCH($A404&amp;R$1,JupData!$A$2:$A$10000&amp;JupData!$J$2:$J$10000,0),11))</f>
        <v/>
      </c>
      <c r="S404" t="str">
        <f t="array" ref="S404">IF($A404="","",INDEX(JupData!$A$2:$K$10000,MATCH($A404&amp;S$1,JupData!$A$2:$A$10000&amp;JupData!$J$2:$J$10000,0),11))</f>
        <v/>
      </c>
      <c r="T404" t="str">
        <f t="array" ref="T404">IF($A404="","",INDEX(JupData!$A$2:$K$10000,MATCH($A404&amp;T$1,JupData!$A$2:$A$10000&amp;JupData!$J$2:$J$10000,0),11))</f>
        <v/>
      </c>
      <c r="U404" t="str">
        <f t="array" ref="U404">IF($A404="","",INDEX(JupData!$A$2:$K$10000,MATCH($A404&amp;U$1,JupData!$A$2:$A$10000&amp;JupData!$J$2:$J$10000,0),11))</f>
        <v/>
      </c>
      <c r="V404" t="str">
        <f t="array" ref="V404">IF($A404="","",INDEX(JupData!$A$2:$K$10000,MATCH($A404&amp;V$1,JupData!$A$2:$A$10000&amp;JupData!$J$2:$J$10000,0),11))</f>
        <v/>
      </c>
      <c r="W404" t="str">
        <f t="array" ref="W404">IF($A404="","",INDEX(JupData!$A$2:$K$10000,MATCH($A404&amp;W$1,JupData!$A$2:$A$10000&amp;JupData!$J$2:$J$10000,0),11))</f>
        <v/>
      </c>
      <c r="X404" t="str">
        <f t="array" ref="X404">IF($A404="","",INDEX(JupData!$A$2:$K$10000,MATCH($A404&amp;X$1,JupData!$A$2:$A$10000&amp;JupData!$J$2:$J$10000,0),11))</f>
        <v/>
      </c>
      <c r="Y404" t="str">
        <f t="array" ref="Y404">IF($A404="","",INDEX(JupData!$A$2:$K$10000,MATCH($A404&amp;Y$1,JupData!$A$2:$A$10000&amp;JupData!$J$2:$J$10000,0),11))</f>
        <v/>
      </c>
      <c r="Z404" t="str">
        <f t="array" ref="Z404">IF($A404="","",INDEX(JupData!$A$2:$K$10000,MATCH($A404&amp;Z$1,JupData!$A$2:$A$10000&amp;JupData!$J$2:$J$10000,0),11))</f>
        <v/>
      </c>
      <c r="AA404" t="str">
        <f t="array" ref="AA404">IF($A404="","",INDEX(JupData!$A$2:$K$10000,MATCH($A404&amp;AA$1,JupData!$A$2:$A$10000&amp;JupData!$J$2:$J$10000,0),11))</f>
        <v/>
      </c>
      <c r="AB404" t="str">
        <f t="array" ref="AB404">IF($A404="","",INDEX(JupData!$A$2:$K$10000,MATCH($A404&amp;AB$1,JupData!$A$2:$A$10000&amp;JupData!$J$2:$J$10000,0),11))</f>
        <v/>
      </c>
      <c r="AC404" s="10" t="str">
        <f t="shared" si="66"/>
        <v/>
      </c>
      <c r="AD404" s="10" t="str">
        <f t="shared" si="67"/>
        <v/>
      </c>
      <c r="AE404" s="9" t="str">
        <f t="shared" si="68"/>
        <v/>
      </c>
      <c r="AF404" s="10" t="str">
        <f t="shared" si="69"/>
        <v/>
      </c>
      <c r="AG404" s="10" t="str">
        <f t="shared" si="70"/>
        <v/>
      </c>
      <c r="AH404" s="10" t="str">
        <f t="shared" si="71"/>
        <v/>
      </c>
      <c r="AI404" s="10" t="str">
        <f t="shared" si="72"/>
        <v/>
      </c>
      <c r="AJ404" s="10" t="str">
        <f t="shared" si="73"/>
        <v/>
      </c>
      <c r="AK404" s="10" t="str">
        <f t="shared" si="74"/>
        <v/>
      </c>
      <c r="AL404" s="14" t="str">
        <f t="shared" si="75"/>
        <v/>
      </c>
    </row>
    <row r="405" spans="1:38" x14ac:dyDescent="0.2">
      <c r="A405"/>
      <c r="B405" t="str">
        <f>IF($A405="","",VLOOKUP($A405,JupData!$A$2:$I$10000,4,FALSE))</f>
        <v/>
      </c>
      <c r="C405" s="7" t="str">
        <f>IF($A405="",IF(N(D405),0,""),VLOOKUP($A405,JupData!$A$2:$I$10000,7,FALSE))</f>
        <v/>
      </c>
      <c r="D405" t="str">
        <f t="shared" si="76"/>
        <v/>
      </c>
      <c r="E405" t="str">
        <f t="array" ref="E405">IF($A405="","",INDEX(JupData!$A$2:$K$10000,MATCH($A405&amp;E$1,JupData!$A$2:$A$10000&amp;JupData!$J$2:$J$10000,0),11))</f>
        <v/>
      </c>
      <c r="F405" t="str">
        <f t="array" ref="F405">IF($A405="","",INDEX(JupData!$A$2:$K$10000,MATCH($A405&amp;F$1,JupData!$A$2:$A$10000&amp;JupData!$J$2:$J$10000,0),11))</f>
        <v/>
      </c>
      <c r="G405" t="str">
        <f t="array" ref="G405">IF($A405="","",INDEX(JupData!$A$2:$K$10000,MATCH($A405&amp;G$1,JupData!$A$2:$A$10000&amp;JupData!$J$2:$J$10000,0),11))</f>
        <v/>
      </c>
      <c r="H405" t="str">
        <f t="array" ref="H405">IF($A405="","",INDEX(JupData!$A$2:$K$10000,MATCH($A405&amp;H$1,JupData!$A$2:$A$10000&amp;JupData!$J$2:$J$10000,0),11))</f>
        <v/>
      </c>
      <c r="I405" t="str">
        <f t="array" ref="I405">IF($A405="","",INDEX(JupData!$A$2:$K$10000,MATCH($A405&amp;I$1,JupData!$A$2:$A$10000&amp;JupData!$J$2:$J$10000,0),11))</f>
        <v/>
      </c>
      <c r="J405" t="str">
        <f t="array" ref="J405">IF($A405="","",INDEX(JupData!$A$2:$K$10000,MATCH($A405&amp;J$1,JupData!$A$2:$A$10000&amp;JupData!$J$2:$J$10000,0),11))</f>
        <v/>
      </c>
      <c r="K405" t="str">
        <f t="array" ref="K405">IF($A405="","",INDEX(JupData!$A$2:$K$10000,MATCH($A405&amp;K$1,JupData!$A$2:$A$10000&amp;JupData!$J$2:$J$10000,0),11))</f>
        <v/>
      </c>
      <c r="L405" t="str">
        <f t="array" ref="L405">IF($A405="","",INDEX(JupData!$A$2:$K$10000,MATCH($A405&amp;L$1,JupData!$A$2:$A$10000&amp;JupData!$J$2:$J$10000,0),11))</f>
        <v/>
      </c>
      <c r="M405" t="str">
        <f t="array" ref="M405">IF($A405="","",INDEX(JupData!$A$2:$K$10000,MATCH($A405&amp;M$1,JupData!$A$2:$A$10000&amp;JupData!$J$2:$J$10000,0),11))</f>
        <v/>
      </c>
      <c r="N405" t="str">
        <f t="array" ref="N405">IF($A405="","",INDEX(JupData!$A$2:$K$10000,MATCH($A405&amp;N$1,JupData!$A$2:$A$10000&amp;JupData!$J$2:$J$10000,0),11))</f>
        <v/>
      </c>
      <c r="O405" t="str">
        <f t="array" ref="O405">IF($A405="","",INDEX(JupData!$A$2:$K$10000,MATCH($A405&amp;O$1,JupData!$A$2:$A$10000&amp;JupData!$J$2:$J$10000,0),11))</f>
        <v/>
      </c>
      <c r="P405" t="str">
        <f t="array" ref="P405">IF($A405="","",INDEX(JupData!$A$2:$K$10000,MATCH($A405&amp;P$1,JupData!$A$2:$A$10000&amp;JupData!$J$2:$J$10000,0),11))</f>
        <v/>
      </c>
      <c r="Q405" t="str">
        <f t="array" ref="Q405">IF($A405="","",INDEX(JupData!$A$2:$K$10000,MATCH($A405&amp;Q$1,JupData!$A$2:$A$10000&amp;JupData!$J$2:$J$10000,0),11))</f>
        <v/>
      </c>
      <c r="R405" t="str">
        <f t="array" ref="R405">IF($A405="","",INDEX(JupData!$A$2:$K$10000,MATCH($A405&amp;R$1,JupData!$A$2:$A$10000&amp;JupData!$J$2:$J$10000,0),11))</f>
        <v/>
      </c>
      <c r="S405" t="str">
        <f t="array" ref="S405">IF($A405="","",INDEX(JupData!$A$2:$K$10000,MATCH($A405&amp;S$1,JupData!$A$2:$A$10000&amp;JupData!$J$2:$J$10000,0),11))</f>
        <v/>
      </c>
      <c r="T405" t="str">
        <f t="array" ref="T405">IF($A405="","",INDEX(JupData!$A$2:$K$10000,MATCH($A405&amp;T$1,JupData!$A$2:$A$10000&amp;JupData!$J$2:$J$10000,0),11))</f>
        <v/>
      </c>
      <c r="U405" t="str">
        <f t="array" ref="U405">IF($A405="","",INDEX(JupData!$A$2:$K$10000,MATCH($A405&amp;U$1,JupData!$A$2:$A$10000&amp;JupData!$J$2:$J$10000,0),11))</f>
        <v/>
      </c>
      <c r="V405" t="str">
        <f t="array" ref="V405">IF($A405="","",INDEX(JupData!$A$2:$K$10000,MATCH($A405&amp;V$1,JupData!$A$2:$A$10000&amp;JupData!$J$2:$J$10000,0),11))</f>
        <v/>
      </c>
      <c r="W405" t="str">
        <f t="array" ref="W405">IF($A405="","",INDEX(JupData!$A$2:$K$10000,MATCH($A405&amp;W$1,JupData!$A$2:$A$10000&amp;JupData!$J$2:$J$10000,0),11))</f>
        <v/>
      </c>
      <c r="X405" t="str">
        <f t="array" ref="X405">IF($A405="","",INDEX(JupData!$A$2:$K$10000,MATCH($A405&amp;X$1,JupData!$A$2:$A$10000&amp;JupData!$J$2:$J$10000,0),11))</f>
        <v/>
      </c>
      <c r="Y405" t="str">
        <f t="array" ref="Y405">IF($A405="","",INDEX(JupData!$A$2:$K$10000,MATCH($A405&amp;Y$1,JupData!$A$2:$A$10000&amp;JupData!$J$2:$J$10000,0),11))</f>
        <v/>
      </c>
      <c r="Z405" t="str">
        <f t="array" ref="Z405">IF($A405="","",INDEX(JupData!$A$2:$K$10000,MATCH($A405&amp;Z$1,JupData!$A$2:$A$10000&amp;JupData!$J$2:$J$10000,0),11))</f>
        <v/>
      </c>
      <c r="AA405" t="str">
        <f t="array" ref="AA405">IF($A405="","",INDEX(JupData!$A$2:$K$10000,MATCH($A405&amp;AA$1,JupData!$A$2:$A$10000&amp;JupData!$J$2:$J$10000,0),11))</f>
        <v/>
      </c>
      <c r="AB405" t="str">
        <f t="array" ref="AB405">IF($A405="","",INDEX(JupData!$A$2:$K$10000,MATCH($A405&amp;AB$1,JupData!$A$2:$A$10000&amp;JupData!$J$2:$J$10000,0),11))</f>
        <v/>
      </c>
      <c r="AC405" s="10" t="str">
        <f t="shared" si="66"/>
        <v/>
      </c>
      <c r="AD405" s="10" t="str">
        <f t="shared" si="67"/>
        <v/>
      </c>
      <c r="AE405" s="9" t="str">
        <f t="shared" si="68"/>
        <v/>
      </c>
      <c r="AF405" s="10" t="str">
        <f t="shared" si="69"/>
        <v/>
      </c>
      <c r="AG405" s="10" t="str">
        <f t="shared" si="70"/>
        <v/>
      </c>
      <c r="AH405" s="10" t="str">
        <f t="shared" si="71"/>
        <v/>
      </c>
      <c r="AI405" s="10" t="str">
        <f t="shared" si="72"/>
        <v/>
      </c>
      <c r="AJ405" s="10" t="str">
        <f t="shared" si="73"/>
        <v/>
      </c>
      <c r="AK405" s="10" t="str">
        <f t="shared" si="74"/>
        <v/>
      </c>
      <c r="AL405" s="14" t="str">
        <f t="shared" si="75"/>
        <v/>
      </c>
    </row>
    <row r="406" spans="1:38" x14ac:dyDescent="0.2">
      <c r="A406"/>
      <c r="B406" t="str">
        <f>IF($A406="","",VLOOKUP($A406,JupData!$A$2:$I$10000,4,FALSE))</f>
        <v/>
      </c>
      <c r="C406" s="7" t="str">
        <f>IF($A406="",IF(N(D406),0,""),VLOOKUP($A406,JupData!$A$2:$I$10000,7,FALSE))</f>
        <v/>
      </c>
      <c r="D406" t="str">
        <f t="shared" si="76"/>
        <v/>
      </c>
      <c r="E406" t="str">
        <f t="array" ref="E406">IF($A406="","",INDEX(JupData!$A$2:$K$10000,MATCH($A406&amp;E$1,JupData!$A$2:$A$10000&amp;JupData!$J$2:$J$10000,0),11))</f>
        <v/>
      </c>
      <c r="F406" t="str">
        <f t="array" ref="F406">IF($A406="","",INDEX(JupData!$A$2:$K$10000,MATCH($A406&amp;F$1,JupData!$A$2:$A$10000&amp;JupData!$J$2:$J$10000,0),11))</f>
        <v/>
      </c>
      <c r="G406" t="str">
        <f t="array" ref="G406">IF($A406="","",INDEX(JupData!$A$2:$K$10000,MATCH($A406&amp;G$1,JupData!$A$2:$A$10000&amp;JupData!$J$2:$J$10000,0),11))</f>
        <v/>
      </c>
      <c r="H406" t="str">
        <f t="array" ref="H406">IF($A406="","",INDEX(JupData!$A$2:$K$10000,MATCH($A406&amp;H$1,JupData!$A$2:$A$10000&amp;JupData!$J$2:$J$10000,0),11))</f>
        <v/>
      </c>
      <c r="I406" t="str">
        <f t="array" ref="I406">IF($A406="","",INDEX(JupData!$A$2:$K$10000,MATCH($A406&amp;I$1,JupData!$A$2:$A$10000&amp;JupData!$J$2:$J$10000,0),11))</f>
        <v/>
      </c>
      <c r="J406" t="str">
        <f t="array" ref="J406">IF($A406="","",INDEX(JupData!$A$2:$K$10000,MATCH($A406&amp;J$1,JupData!$A$2:$A$10000&amp;JupData!$J$2:$J$10000,0),11))</f>
        <v/>
      </c>
      <c r="K406" t="str">
        <f t="array" ref="K406">IF($A406="","",INDEX(JupData!$A$2:$K$10000,MATCH($A406&amp;K$1,JupData!$A$2:$A$10000&amp;JupData!$J$2:$J$10000,0),11))</f>
        <v/>
      </c>
      <c r="L406" t="str">
        <f t="array" ref="L406">IF($A406="","",INDEX(JupData!$A$2:$K$10000,MATCH($A406&amp;L$1,JupData!$A$2:$A$10000&amp;JupData!$J$2:$J$10000,0),11))</f>
        <v/>
      </c>
      <c r="M406" t="str">
        <f t="array" ref="M406">IF($A406="","",INDEX(JupData!$A$2:$K$10000,MATCH($A406&amp;M$1,JupData!$A$2:$A$10000&amp;JupData!$J$2:$J$10000,0),11))</f>
        <v/>
      </c>
      <c r="N406" t="str">
        <f t="array" ref="N406">IF($A406="","",INDEX(JupData!$A$2:$K$10000,MATCH($A406&amp;N$1,JupData!$A$2:$A$10000&amp;JupData!$J$2:$J$10000,0),11))</f>
        <v/>
      </c>
      <c r="O406" t="str">
        <f t="array" ref="O406">IF($A406="","",INDEX(JupData!$A$2:$K$10000,MATCH($A406&amp;O$1,JupData!$A$2:$A$10000&amp;JupData!$J$2:$J$10000,0),11))</f>
        <v/>
      </c>
      <c r="P406" t="str">
        <f t="array" ref="P406">IF($A406="","",INDEX(JupData!$A$2:$K$10000,MATCH($A406&amp;P$1,JupData!$A$2:$A$10000&amp;JupData!$J$2:$J$10000,0),11))</f>
        <v/>
      </c>
      <c r="Q406" t="str">
        <f t="array" ref="Q406">IF($A406="","",INDEX(JupData!$A$2:$K$10000,MATCH($A406&amp;Q$1,JupData!$A$2:$A$10000&amp;JupData!$J$2:$J$10000,0),11))</f>
        <v/>
      </c>
      <c r="R406" t="str">
        <f t="array" ref="R406">IF($A406="","",INDEX(JupData!$A$2:$K$10000,MATCH($A406&amp;R$1,JupData!$A$2:$A$10000&amp;JupData!$J$2:$J$10000,0),11))</f>
        <v/>
      </c>
      <c r="S406" t="str">
        <f t="array" ref="S406">IF($A406="","",INDEX(JupData!$A$2:$K$10000,MATCH($A406&amp;S$1,JupData!$A$2:$A$10000&amp;JupData!$J$2:$J$10000,0),11))</f>
        <v/>
      </c>
      <c r="T406" t="str">
        <f t="array" ref="T406">IF($A406="","",INDEX(JupData!$A$2:$K$10000,MATCH($A406&amp;T$1,JupData!$A$2:$A$10000&amp;JupData!$J$2:$J$10000,0),11))</f>
        <v/>
      </c>
      <c r="U406" t="str">
        <f t="array" ref="U406">IF($A406="","",INDEX(JupData!$A$2:$K$10000,MATCH($A406&amp;U$1,JupData!$A$2:$A$10000&amp;JupData!$J$2:$J$10000,0),11))</f>
        <v/>
      </c>
      <c r="V406" t="str">
        <f t="array" ref="V406">IF($A406="","",INDEX(JupData!$A$2:$K$10000,MATCH($A406&amp;V$1,JupData!$A$2:$A$10000&amp;JupData!$J$2:$J$10000,0),11))</f>
        <v/>
      </c>
      <c r="W406" t="str">
        <f t="array" ref="W406">IF($A406="","",INDEX(JupData!$A$2:$K$10000,MATCH($A406&amp;W$1,JupData!$A$2:$A$10000&amp;JupData!$J$2:$J$10000,0),11))</f>
        <v/>
      </c>
      <c r="X406" t="str">
        <f t="array" ref="X406">IF($A406="","",INDEX(JupData!$A$2:$K$10000,MATCH($A406&amp;X$1,JupData!$A$2:$A$10000&amp;JupData!$J$2:$J$10000,0),11))</f>
        <v/>
      </c>
      <c r="Y406" t="str">
        <f t="array" ref="Y406">IF($A406="","",INDEX(JupData!$A$2:$K$10000,MATCH($A406&amp;Y$1,JupData!$A$2:$A$10000&amp;JupData!$J$2:$J$10000,0),11))</f>
        <v/>
      </c>
      <c r="Z406" t="str">
        <f t="array" ref="Z406">IF($A406="","",INDEX(JupData!$A$2:$K$10000,MATCH($A406&amp;Z$1,JupData!$A$2:$A$10000&amp;JupData!$J$2:$J$10000,0),11))</f>
        <v/>
      </c>
      <c r="AA406" t="str">
        <f t="array" ref="AA406">IF($A406="","",INDEX(JupData!$A$2:$K$10000,MATCH($A406&amp;AA$1,JupData!$A$2:$A$10000&amp;JupData!$J$2:$J$10000,0),11))</f>
        <v/>
      </c>
      <c r="AB406" t="str">
        <f t="array" ref="AB406">IF($A406="","",INDEX(JupData!$A$2:$K$10000,MATCH($A406&amp;AB$1,JupData!$A$2:$A$10000&amp;JupData!$J$2:$J$10000,0),11))</f>
        <v/>
      </c>
      <c r="AC406" s="10" t="str">
        <f t="shared" si="66"/>
        <v/>
      </c>
      <c r="AD406" s="10" t="str">
        <f t="shared" si="67"/>
        <v/>
      </c>
      <c r="AE406" s="9" t="str">
        <f t="shared" si="68"/>
        <v/>
      </c>
      <c r="AF406" s="10" t="str">
        <f t="shared" si="69"/>
        <v/>
      </c>
      <c r="AG406" s="10" t="str">
        <f t="shared" si="70"/>
        <v/>
      </c>
      <c r="AH406" s="10" t="str">
        <f t="shared" si="71"/>
        <v/>
      </c>
      <c r="AI406" s="10" t="str">
        <f t="shared" si="72"/>
        <v/>
      </c>
      <c r="AJ406" s="10" t="str">
        <f t="shared" si="73"/>
        <v/>
      </c>
      <c r="AK406" s="10" t="str">
        <f t="shared" si="74"/>
        <v/>
      </c>
      <c r="AL406" s="14" t="str">
        <f t="shared" si="75"/>
        <v/>
      </c>
    </row>
    <row r="407" spans="1:38" x14ac:dyDescent="0.2">
      <c r="A407"/>
      <c r="B407" t="str">
        <f>IF($A407="","",VLOOKUP($A407,JupData!$A$2:$I$10000,4,FALSE))</f>
        <v/>
      </c>
      <c r="C407" s="7" t="str">
        <f>IF($A407="",IF(N(D407),0,""),VLOOKUP($A407,JupData!$A$2:$I$10000,7,FALSE))</f>
        <v/>
      </c>
      <c r="D407" t="str">
        <f t="shared" si="76"/>
        <v/>
      </c>
      <c r="E407" t="str">
        <f t="array" ref="E407">IF($A407="","",INDEX(JupData!$A$2:$K$10000,MATCH($A407&amp;E$1,JupData!$A$2:$A$10000&amp;JupData!$J$2:$J$10000,0),11))</f>
        <v/>
      </c>
      <c r="F407" t="str">
        <f t="array" ref="F407">IF($A407="","",INDEX(JupData!$A$2:$K$10000,MATCH($A407&amp;F$1,JupData!$A$2:$A$10000&amp;JupData!$J$2:$J$10000,0),11))</f>
        <v/>
      </c>
      <c r="G407" t="str">
        <f t="array" ref="G407">IF($A407="","",INDEX(JupData!$A$2:$K$10000,MATCH($A407&amp;G$1,JupData!$A$2:$A$10000&amp;JupData!$J$2:$J$10000,0),11))</f>
        <v/>
      </c>
      <c r="H407" t="str">
        <f t="array" ref="H407">IF($A407="","",INDEX(JupData!$A$2:$K$10000,MATCH($A407&amp;H$1,JupData!$A$2:$A$10000&amp;JupData!$J$2:$J$10000,0),11))</f>
        <v/>
      </c>
      <c r="I407" t="str">
        <f t="array" ref="I407">IF($A407="","",INDEX(JupData!$A$2:$K$10000,MATCH($A407&amp;I$1,JupData!$A$2:$A$10000&amp;JupData!$J$2:$J$10000,0),11))</f>
        <v/>
      </c>
      <c r="J407" t="str">
        <f t="array" ref="J407">IF($A407="","",INDEX(JupData!$A$2:$K$10000,MATCH($A407&amp;J$1,JupData!$A$2:$A$10000&amp;JupData!$J$2:$J$10000,0),11))</f>
        <v/>
      </c>
      <c r="K407" t="str">
        <f t="array" ref="K407">IF($A407="","",INDEX(JupData!$A$2:$K$10000,MATCH($A407&amp;K$1,JupData!$A$2:$A$10000&amp;JupData!$J$2:$J$10000,0),11))</f>
        <v/>
      </c>
      <c r="L407" t="str">
        <f t="array" ref="L407">IF($A407="","",INDEX(JupData!$A$2:$K$10000,MATCH($A407&amp;L$1,JupData!$A$2:$A$10000&amp;JupData!$J$2:$J$10000,0),11))</f>
        <v/>
      </c>
      <c r="M407" t="str">
        <f t="array" ref="M407">IF($A407="","",INDEX(JupData!$A$2:$K$10000,MATCH($A407&amp;M$1,JupData!$A$2:$A$10000&amp;JupData!$J$2:$J$10000,0),11))</f>
        <v/>
      </c>
      <c r="N407" t="str">
        <f t="array" ref="N407">IF($A407="","",INDEX(JupData!$A$2:$K$10000,MATCH($A407&amp;N$1,JupData!$A$2:$A$10000&amp;JupData!$J$2:$J$10000,0),11))</f>
        <v/>
      </c>
      <c r="O407" t="str">
        <f t="array" ref="O407">IF($A407="","",INDEX(JupData!$A$2:$K$10000,MATCH($A407&amp;O$1,JupData!$A$2:$A$10000&amp;JupData!$J$2:$J$10000,0),11))</f>
        <v/>
      </c>
      <c r="P407" t="str">
        <f t="array" ref="P407">IF($A407="","",INDEX(JupData!$A$2:$K$10000,MATCH($A407&amp;P$1,JupData!$A$2:$A$10000&amp;JupData!$J$2:$J$10000,0),11))</f>
        <v/>
      </c>
      <c r="Q407" t="str">
        <f t="array" ref="Q407">IF($A407="","",INDEX(JupData!$A$2:$K$10000,MATCH($A407&amp;Q$1,JupData!$A$2:$A$10000&amp;JupData!$J$2:$J$10000,0),11))</f>
        <v/>
      </c>
      <c r="R407" t="str">
        <f t="array" ref="R407">IF($A407="","",INDEX(JupData!$A$2:$K$10000,MATCH($A407&amp;R$1,JupData!$A$2:$A$10000&amp;JupData!$J$2:$J$10000,0),11))</f>
        <v/>
      </c>
      <c r="S407" t="str">
        <f t="array" ref="S407">IF($A407="","",INDEX(JupData!$A$2:$K$10000,MATCH($A407&amp;S$1,JupData!$A$2:$A$10000&amp;JupData!$J$2:$J$10000,0),11))</f>
        <v/>
      </c>
      <c r="T407" t="str">
        <f t="array" ref="T407">IF($A407="","",INDEX(JupData!$A$2:$K$10000,MATCH($A407&amp;T$1,JupData!$A$2:$A$10000&amp;JupData!$J$2:$J$10000,0),11))</f>
        <v/>
      </c>
      <c r="U407" t="str">
        <f t="array" ref="U407">IF($A407="","",INDEX(JupData!$A$2:$K$10000,MATCH($A407&amp;U$1,JupData!$A$2:$A$10000&amp;JupData!$J$2:$J$10000,0),11))</f>
        <v/>
      </c>
      <c r="V407" t="str">
        <f t="array" ref="V407">IF($A407="","",INDEX(JupData!$A$2:$K$10000,MATCH($A407&amp;V$1,JupData!$A$2:$A$10000&amp;JupData!$J$2:$J$10000,0),11))</f>
        <v/>
      </c>
      <c r="W407" t="str">
        <f t="array" ref="W407">IF($A407="","",INDEX(JupData!$A$2:$K$10000,MATCH($A407&amp;W$1,JupData!$A$2:$A$10000&amp;JupData!$J$2:$J$10000,0),11))</f>
        <v/>
      </c>
      <c r="X407" t="str">
        <f t="array" ref="X407">IF($A407="","",INDEX(JupData!$A$2:$K$10000,MATCH($A407&amp;X$1,JupData!$A$2:$A$10000&amp;JupData!$J$2:$J$10000,0),11))</f>
        <v/>
      </c>
      <c r="Y407" t="str">
        <f t="array" ref="Y407">IF($A407="","",INDEX(JupData!$A$2:$K$10000,MATCH($A407&amp;Y$1,JupData!$A$2:$A$10000&amp;JupData!$J$2:$J$10000,0),11))</f>
        <v/>
      </c>
      <c r="Z407" t="str">
        <f t="array" ref="Z407">IF($A407="","",INDEX(JupData!$A$2:$K$10000,MATCH($A407&amp;Z$1,JupData!$A$2:$A$10000&amp;JupData!$J$2:$J$10000,0),11))</f>
        <v/>
      </c>
      <c r="AA407" t="str">
        <f t="array" ref="AA407">IF($A407="","",INDEX(JupData!$A$2:$K$10000,MATCH($A407&amp;AA$1,JupData!$A$2:$A$10000&amp;JupData!$J$2:$J$10000,0),11))</f>
        <v/>
      </c>
      <c r="AB407" t="str">
        <f t="array" ref="AB407">IF($A407="","",INDEX(JupData!$A$2:$K$10000,MATCH($A407&amp;AB$1,JupData!$A$2:$A$10000&amp;JupData!$J$2:$J$10000,0),11))</f>
        <v/>
      </c>
      <c r="AC407" s="10" t="str">
        <f t="shared" si="66"/>
        <v/>
      </c>
      <c r="AD407" s="10" t="str">
        <f t="shared" si="67"/>
        <v/>
      </c>
      <c r="AE407" s="9" t="str">
        <f t="shared" si="68"/>
        <v/>
      </c>
      <c r="AF407" s="10" t="str">
        <f t="shared" si="69"/>
        <v/>
      </c>
      <c r="AG407" s="10" t="str">
        <f t="shared" si="70"/>
        <v/>
      </c>
      <c r="AH407" s="10" t="str">
        <f t="shared" si="71"/>
        <v/>
      </c>
      <c r="AI407" s="10" t="str">
        <f t="shared" si="72"/>
        <v/>
      </c>
      <c r="AJ407" s="10" t="str">
        <f t="shared" si="73"/>
        <v/>
      </c>
      <c r="AK407" s="10" t="str">
        <f t="shared" si="74"/>
        <v/>
      </c>
      <c r="AL407" s="14" t="str">
        <f t="shared" si="75"/>
        <v/>
      </c>
    </row>
    <row r="408" spans="1:38" x14ac:dyDescent="0.2">
      <c r="A408"/>
      <c r="B408" t="str">
        <f>IF($A408="","",VLOOKUP($A408,JupData!$A$2:$I$10000,4,FALSE))</f>
        <v/>
      </c>
      <c r="C408" s="7" t="str">
        <f>IF($A408="",IF(N(D408),0,""),VLOOKUP($A408,JupData!$A$2:$I$10000,7,FALSE))</f>
        <v/>
      </c>
      <c r="D408" t="str">
        <f t="shared" si="76"/>
        <v/>
      </c>
      <c r="E408" t="str">
        <f t="array" ref="E408">IF($A408="","",INDEX(JupData!$A$2:$K$10000,MATCH($A408&amp;E$1,JupData!$A$2:$A$10000&amp;JupData!$J$2:$J$10000,0),11))</f>
        <v/>
      </c>
      <c r="F408" t="str">
        <f t="array" ref="F408">IF($A408="","",INDEX(JupData!$A$2:$K$10000,MATCH($A408&amp;F$1,JupData!$A$2:$A$10000&amp;JupData!$J$2:$J$10000,0),11))</f>
        <v/>
      </c>
      <c r="G408" t="str">
        <f t="array" ref="G408">IF($A408="","",INDEX(JupData!$A$2:$K$10000,MATCH($A408&amp;G$1,JupData!$A$2:$A$10000&amp;JupData!$J$2:$J$10000,0),11))</f>
        <v/>
      </c>
      <c r="H408" t="str">
        <f t="array" ref="H408">IF($A408="","",INDEX(JupData!$A$2:$K$10000,MATCH($A408&amp;H$1,JupData!$A$2:$A$10000&amp;JupData!$J$2:$J$10000,0),11))</f>
        <v/>
      </c>
      <c r="I408" t="str">
        <f t="array" ref="I408">IF($A408="","",INDEX(JupData!$A$2:$K$10000,MATCH($A408&amp;I$1,JupData!$A$2:$A$10000&amp;JupData!$J$2:$J$10000,0),11))</f>
        <v/>
      </c>
      <c r="J408" t="str">
        <f t="array" ref="J408">IF($A408="","",INDEX(JupData!$A$2:$K$10000,MATCH($A408&amp;J$1,JupData!$A$2:$A$10000&amp;JupData!$J$2:$J$10000,0),11))</f>
        <v/>
      </c>
      <c r="K408" t="str">
        <f t="array" ref="K408">IF($A408="","",INDEX(JupData!$A$2:$K$10000,MATCH($A408&amp;K$1,JupData!$A$2:$A$10000&amp;JupData!$J$2:$J$10000,0),11))</f>
        <v/>
      </c>
      <c r="L408" t="str">
        <f t="array" ref="L408">IF($A408="","",INDEX(JupData!$A$2:$K$10000,MATCH($A408&amp;L$1,JupData!$A$2:$A$10000&amp;JupData!$J$2:$J$10000,0),11))</f>
        <v/>
      </c>
      <c r="M408" t="str">
        <f t="array" ref="M408">IF($A408="","",INDEX(JupData!$A$2:$K$10000,MATCH($A408&amp;M$1,JupData!$A$2:$A$10000&amp;JupData!$J$2:$J$10000,0),11))</f>
        <v/>
      </c>
      <c r="N408" t="str">
        <f t="array" ref="N408">IF($A408="","",INDEX(JupData!$A$2:$K$10000,MATCH($A408&amp;N$1,JupData!$A$2:$A$10000&amp;JupData!$J$2:$J$10000,0),11))</f>
        <v/>
      </c>
      <c r="O408" t="str">
        <f t="array" ref="O408">IF($A408="","",INDEX(JupData!$A$2:$K$10000,MATCH($A408&amp;O$1,JupData!$A$2:$A$10000&amp;JupData!$J$2:$J$10000,0),11))</f>
        <v/>
      </c>
      <c r="P408" t="str">
        <f t="array" ref="P408">IF($A408="","",INDEX(JupData!$A$2:$K$10000,MATCH($A408&amp;P$1,JupData!$A$2:$A$10000&amp;JupData!$J$2:$J$10000,0),11))</f>
        <v/>
      </c>
      <c r="Q408" t="str">
        <f t="array" ref="Q408">IF($A408="","",INDEX(JupData!$A$2:$K$10000,MATCH($A408&amp;Q$1,JupData!$A$2:$A$10000&amp;JupData!$J$2:$J$10000,0),11))</f>
        <v/>
      </c>
      <c r="R408" t="str">
        <f t="array" ref="R408">IF($A408="","",INDEX(JupData!$A$2:$K$10000,MATCH($A408&amp;R$1,JupData!$A$2:$A$10000&amp;JupData!$J$2:$J$10000,0),11))</f>
        <v/>
      </c>
      <c r="S408" t="str">
        <f t="array" ref="S408">IF($A408="","",INDEX(JupData!$A$2:$K$10000,MATCH($A408&amp;S$1,JupData!$A$2:$A$10000&amp;JupData!$J$2:$J$10000,0),11))</f>
        <v/>
      </c>
      <c r="T408" t="str">
        <f t="array" ref="T408">IF($A408="","",INDEX(JupData!$A$2:$K$10000,MATCH($A408&amp;T$1,JupData!$A$2:$A$10000&amp;JupData!$J$2:$J$10000,0),11))</f>
        <v/>
      </c>
      <c r="U408" t="str">
        <f t="array" ref="U408">IF($A408="","",INDEX(JupData!$A$2:$K$10000,MATCH($A408&amp;U$1,JupData!$A$2:$A$10000&amp;JupData!$J$2:$J$10000,0),11))</f>
        <v/>
      </c>
      <c r="V408" t="str">
        <f t="array" ref="V408">IF($A408="","",INDEX(JupData!$A$2:$K$10000,MATCH($A408&amp;V$1,JupData!$A$2:$A$10000&amp;JupData!$J$2:$J$10000,0),11))</f>
        <v/>
      </c>
      <c r="W408" t="str">
        <f t="array" ref="W408">IF($A408="","",INDEX(JupData!$A$2:$K$10000,MATCH($A408&amp;W$1,JupData!$A$2:$A$10000&amp;JupData!$J$2:$J$10000,0),11))</f>
        <v/>
      </c>
      <c r="X408" t="str">
        <f t="array" ref="X408">IF($A408="","",INDEX(JupData!$A$2:$K$10000,MATCH($A408&amp;X$1,JupData!$A$2:$A$10000&amp;JupData!$J$2:$J$10000,0),11))</f>
        <v/>
      </c>
      <c r="Y408" t="str">
        <f t="array" ref="Y408">IF($A408="","",INDEX(JupData!$A$2:$K$10000,MATCH($A408&amp;Y$1,JupData!$A$2:$A$10000&amp;JupData!$J$2:$J$10000,0),11))</f>
        <v/>
      </c>
      <c r="Z408" t="str">
        <f t="array" ref="Z408">IF($A408="","",INDEX(JupData!$A$2:$K$10000,MATCH($A408&amp;Z$1,JupData!$A$2:$A$10000&amp;JupData!$J$2:$J$10000,0),11))</f>
        <v/>
      </c>
      <c r="AA408" t="str">
        <f t="array" ref="AA408">IF($A408="","",INDEX(JupData!$A$2:$K$10000,MATCH($A408&amp;AA$1,JupData!$A$2:$A$10000&amp;JupData!$J$2:$J$10000,0),11))</f>
        <v/>
      </c>
      <c r="AB408" t="str">
        <f t="array" ref="AB408">IF($A408="","",INDEX(JupData!$A$2:$K$10000,MATCH($A408&amp;AB$1,JupData!$A$2:$A$10000&amp;JupData!$J$2:$J$10000,0),11))</f>
        <v/>
      </c>
      <c r="AC408" s="10" t="str">
        <f t="shared" si="66"/>
        <v/>
      </c>
      <c r="AD408" s="10" t="str">
        <f t="shared" si="67"/>
        <v/>
      </c>
      <c r="AE408" s="9" t="str">
        <f t="shared" si="68"/>
        <v/>
      </c>
      <c r="AF408" s="10" t="str">
        <f t="shared" si="69"/>
        <v/>
      </c>
      <c r="AG408" s="10" t="str">
        <f t="shared" si="70"/>
        <v/>
      </c>
      <c r="AH408" s="10" t="str">
        <f t="shared" si="71"/>
        <v/>
      </c>
      <c r="AI408" s="10" t="str">
        <f t="shared" si="72"/>
        <v/>
      </c>
      <c r="AJ408" s="10" t="str">
        <f t="shared" si="73"/>
        <v/>
      </c>
      <c r="AK408" s="10" t="str">
        <f t="shared" si="74"/>
        <v/>
      </c>
      <c r="AL408" s="14" t="str">
        <f t="shared" si="75"/>
        <v/>
      </c>
    </row>
    <row r="409" spans="1:38" x14ac:dyDescent="0.2">
      <c r="A409"/>
      <c r="B409" t="str">
        <f>IF($A409="","",VLOOKUP($A409,JupData!$A$2:$I$10000,4,FALSE))</f>
        <v/>
      </c>
      <c r="C409" s="7" t="str">
        <f>IF($A409="",IF(N(D409),0,""),VLOOKUP($A409,JupData!$A$2:$I$10000,7,FALSE))</f>
        <v/>
      </c>
      <c r="D409" t="str">
        <f t="shared" si="76"/>
        <v/>
      </c>
      <c r="E409" t="str">
        <f t="array" ref="E409">IF($A409="","",INDEX(JupData!$A$2:$K$10000,MATCH($A409&amp;E$1,JupData!$A$2:$A$10000&amp;JupData!$J$2:$J$10000,0),11))</f>
        <v/>
      </c>
      <c r="F409" t="str">
        <f t="array" ref="F409">IF($A409="","",INDEX(JupData!$A$2:$K$10000,MATCH($A409&amp;F$1,JupData!$A$2:$A$10000&amp;JupData!$J$2:$J$10000,0),11))</f>
        <v/>
      </c>
      <c r="G409" t="str">
        <f t="array" ref="G409">IF($A409="","",INDEX(JupData!$A$2:$K$10000,MATCH($A409&amp;G$1,JupData!$A$2:$A$10000&amp;JupData!$J$2:$J$10000,0),11))</f>
        <v/>
      </c>
      <c r="H409" t="str">
        <f t="array" ref="H409">IF($A409="","",INDEX(JupData!$A$2:$K$10000,MATCH($A409&amp;H$1,JupData!$A$2:$A$10000&amp;JupData!$J$2:$J$10000,0),11))</f>
        <v/>
      </c>
      <c r="I409" t="str">
        <f t="array" ref="I409">IF($A409="","",INDEX(JupData!$A$2:$K$10000,MATCH($A409&amp;I$1,JupData!$A$2:$A$10000&amp;JupData!$J$2:$J$10000,0),11))</f>
        <v/>
      </c>
      <c r="J409" t="str">
        <f t="array" ref="J409">IF($A409="","",INDEX(JupData!$A$2:$K$10000,MATCH($A409&amp;J$1,JupData!$A$2:$A$10000&amp;JupData!$J$2:$J$10000,0),11))</f>
        <v/>
      </c>
      <c r="K409" t="str">
        <f t="array" ref="K409">IF($A409="","",INDEX(JupData!$A$2:$K$10000,MATCH($A409&amp;K$1,JupData!$A$2:$A$10000&amp;JupData!$J$2:$J$10000,0),11))</f>
        <v/>
      </c>
      <c r="L409" t="str">
        <f t="array" ref="L409">IF($A409="","",INDEX(JupData!$A$2:$K$10000,MATCH($A409&amp;L$1,JupData!$A$2:$A$10000&amp;JupData!$J$2:$J$10000,0),11))</f>
        <v/>
      </c>
      <c r="M409" t="str">
        <f t="array" ref="M409">IF($A409="","",INDEX(JupData!$A$2:$K$10000,MATCH($A409&amp;M$1,JupData!$A$2:$A$10000&amp;JupData!$J$2:$J$10000,0),11))</f>
        <v/>
      </c>
      <c r="N409" t="str">
        <f t="array" ref="N409">IF($A409="","",INDEX(JupData!$A$2:$K$10000,MATCH($A409&amp;N$1,JupData!$A$2:$A$10000&amp;JupData!$J$2:$J$10000,0),11))</f>
        <v/>
      </c>
      <c r="O409" t="str">
        <f t="array" ref="O409">IF($A409="","",INDEX(JupData!$A$2:$K$10000,MATCH($A409&amp;O$1,JupData!$A$2:$A$10000&amp;JupData!$J$2:$J$10000,0),11))</f>
        <v/>
      </c>
      <c r="P409" t="str">
        <f t="array" ref="P409">IF($A409="","",INDEX(JupData!$A$2:$K$10000,MATCH($A409&amp;P$1,JupData!$A$2:$A$10000&amp;JupData!$J$2:$J$10000,0),11))</f>
        <v/>
      </c>
      <c r="Q409" t="str">
        <f t="array" ref="Q409">IF($A409="","",INDEX(JupData!$A$2:$K$10000,MATCH($A409&amp;Q$1,JupData!$A$2:$A$10000&amp;JupData!$J$2:$J$10000,0),11))</f>
        <v/>
      </c>
      <c r="R409" t="str">
        <f t="array" ref="R409">IF($A409="","",INDEX(JupData!$A$2:$K$10000,MATCH($A409&amp;R$1,JupData!$A$2:$A$10000&amp;JupData!$J$2:$J$10000,0),11))</f>
        <v/>
      </c>
      <c r="S409" t="str">
        <f t="array" ref="S409">IF($A409="","",INDEX(JupData!$A$2:$K$10000,MATCH($A409&amp;S$1,JupData!$A$2:$A$10000&amp;JupData!$J$2:$J$10000,0),11))</f>
        <v/>
      </c>
      <c r="T409" t="str">
        <f t="array" ref="T409">IF($A409="","",INDEX(JupData!$A$2:$K$10000,MATCH($A409&amp;T$1,JupData!$A$2:$A$10000&amp;JupData!$J$2:$J$10000,0),11))</f>
        <v/>
      </c>
      <c r="U409" t="str">
        <f t="array" ref="U409">IF($A409="","",INDEX(JupData!$A$2:$K$10000,MATCH($A409&amp;U$1,JupData!$A$2:$A$10000&amp;JupData!$J$2:$J$10000,0),11))</f>
        <v/>
      </c>
      <c r="V409" t="str">
        <f t="array" ref="V409">IF($A409="","",INDEX(JupData!$A$2:$K$10000,MATCH($A409&amp;V$1,JupData!$A$2:$A$10000&amp;JupData!$J$2:$J$10000,0),11))</f>
        <v/>
      </c>
      <c r="W409" t="str">
        <f t="array" ref="W409">IF($A409="","",INDEX(JupData!$A$2:$K$10000,MATCH($A409&amp;W$1,JupData!$A$2:$A$10000&amp;JupData!$J$2:$J$10000,0),11))</f>
        <v/>
      </c>
      <c r="X409" t="str">
        <f t="array" ref="X409">IF($A409="","",INDEX(JupData!$A$2:$K$10000,MATCH($A409&amp;X$1,JupData!$A$2:$A$10000&amp;JupData!$J$2:$J$10000,0),11))</f>
        <v/>
      </c>
      <c r="Y409" t="str">
        <f t="array" ref="Y409">IF($A409="","",INDEX(JupData!$A$2:$K$10000,MATCH($A409&amp;Y$1,JupData!$A$2:$A$10000&amp;JupData!$J$2:$J$10000,0),11))</f>
        <v/>
      </c>
      <c r="Z409" t="str">
        <f t="array" ref="Z409">IF($A409="","",INDEX(JupData!$A$2:$K$10000,MATCH($A409&amp;Z$1,JupData!$A$2:$A$10000&amp;JupData!$J$2:$J$10000,0),11))</f>
        <v/>
      </c>
      <c r="AA409" t="str">
        <f t="array" ref="AA409">IF($A409="","",INDEX(JupData!$A$2:$K$10000,MATCH($A409&amp;AA$1,JupData!$A$2:$A$10000&amp;JupData!$J$2:$J$10000,0),11))</f>
        <v/>
      </c>
      <c r="AB409" t="str">
        <f t="array" ref="AB409">IF($A409="","",INDEX(JupData!$A$2:$K$10000,MATCH($A409&amp;AB$1,JupData!$A$2:$A$10000&amp;JupData!$J$2:$J$10000,0),11))</f>
        <v/>
      </c>
      <c r="AC409" s="10" t="str">
        <f t="shared" si="66"/>
        <v/>
      </c>
      <c r="AD409" s="10" t="str">
        <f t="shared" si="67"/>
        <v/>
      </c>
      <c r="AE409" s="9" t="str">
        <f t="shared" si="68"/>
        <v/>
      </c>
      <c r="AF409" s="10" t="str">
        <f t="shared" si="69"/>
        <v/>
      </c>
      <c r="AG409" s="10" t="str">
        <f t="shared" si="70"/>
        <v/>
      </c>
      <c r="AH409" s="10" t="str">
        <f t="shared" si="71"/>
        <v/>
      </c>
      <c r="AI409" s="10" t="str">
        <f t="shared" si="72"/>
        <v/>
      </c>
      <c r="AJ409" s="10" t="str">
        <f t="shared" si="73"/>
        <v/>
      </c>
      <c r="AK409" s="10" t="str">
        <f t="shared" si="74"/>
        <v/>
      </c>
      <c r="AL409" s="14" t="str">
        <f t="shared" si="75"/>
        <v/>
      </c>
    </row>
    <row r="410" spans="1:38" x14ac:dyDescent="0.2">
      <c r="A410"/>
      <c r="B410" t="str">
        <f>IF($A410="","",VLOOKUP($A410,JupData!$A$2:$I$10000,4,FALSE))</f>
        <v/>
      </c>
      <c r="C410" s="7" t="str">
        <f>IF($A410="",IF(N(D410),0,""),VLOOKUP($A410,JupData!$A$2:$I$10000,7,FALSE))</f>
        <v/>
      </c>
      <c r="D410" t="str">
        <f t="shared" si="76"/>
        <v/>
      </c>
      <c r="E410" t="str">
        <f t="array" ref="E410">IF($A410="","",INDEX(JupData!$A$2:$K$10000,MATCH($A410&amp;E$1,JupData!$A$2:$A$10000&amp;JupData!$J$2:$J$10000,0),11))</f>
        <v/>
      </c>
      <c r="F410" t="str">
        <f t="array" ref="F410">IF($A410="","",INDEX(JupData!$A$2:$K$10000,MATCH($A410&amp;F$1,JupData!$A$2:$A$10000&amp;JupData!$J$2:$J$10000,0),11))</f>
        <v/>
      </c>
      <c r="G410" t="str">
        <f t="array" ref="G410">IF($A410="","",INDEX(JupData!$A$2:$K$10000,MATCH($A410&amp;G$1,JupData!$A$2:$A$10000&amp;JupData!$J$2:$J$10000,0),11))</f>
        <v/>
      </c>
      <c r="H410" t="str">
        <f t="array" ref="H410">IF($A410="","",INDEX(JupData!$A$2:$K$10000,MATCH($A410&amp;H$1,JupData!$A$2:$A$10000&amp;JupData!$J$2:$J$10000,0),11))</f>
        <v/>
      </c>
      <c r="I410" t="str">
        <f t="array" ref="I410">IF($A410="","",INDEX(JupData!$A$2:$K$10000,MATCH($A410&amp;I$1,JupData!$A$2:$A$10000&amp;JupData!$J$2:$J$10000,0),11))</f>
        <v/>
      </c>
      <c r="J410" t="str">
        <f t="array" ref="J410">IF($A410="","",INDEX(JupData!$A$2:$K$10000,MATCH($A410&amp;J$1,JupData!$A$2:$A$10000&amp;JupData!$J$2:$J$10000,0),11))</f>
        <v/>
      </c>
      <c r="K410" t="str">
        <f t="array" ref="K410">IF($A410="","",INDEX(JupData!$A$2:$K$10000,MATCH($A410&amp;K$1,JupData!$A$2:$A$10000&amp;JupData!$J$2:$J$10000,0),11))</f>
        <v/>
      </c>
      <c r="L410" t="str">
        <f t="array" ref="L410">IF($A410="","",INDEX(JupData!$A$2:$K$10000,MATCH($A410&amp;L$1,JupData!$A$2:$A$10000&amp;JupData!$J$2:$J$10000,0),11))</f>
        <v/>
      </c>
      <c r="M410" t="str">
        <f t="array" ref="M410">IF($A410="","",INDEX(JupData!$A$2:$K$10000,MATCH($A410&amp;M$1,JupData!$A$2:$A$10000&amp;JupData!$J$2:$J$10000,0),11))</f>
        <v/>
      </c>
      <c r="N410" t="str">
        <f t="array" ref="N410">IF($A410="","",INDEX(JupData!$A$2:$K$10000,MATCH($A410&amp;N$1,JupData!$A$2:$A$10000&amp;JupData!$J$2:$J$10000,0),11))</f>
        <v/>
      </c>
      <c r="O410" t="str">
        <f t="array" ref="O410">IF($A410="","",INDEX(JupData!$A$2:$K$10000,MATCH($A410&amp;O$1,JupData!$A$2:$A$10000&amp;JupData!$J$2:$J$10000,0),11))</f>
        <v/>
      </c>
      <c r="P410" t="str">
        <f t="array" ref="P410">IF($A410="","",INDEX(JupData!$A$2:$K$10000,MATCH($A410&amp;P$1,JupData!$A$2:$A$10000&amp;JupData!$J$2:$J$10000,0),11))</f>
        <v/>
      </c>
      <c r="Q410" t="str">
        <f t="array" ref="Q410">IF($A410="","",INDEX(JupData!$A$2:$K$10000,MATCH($A410&amp;Q$1,JupData!$A$2:$A$10000&amp;JupData!$J$2:$J$10000,0),11))</f>
        <v/>
      </c>
      <c r="R410" t="str">
        <f t="array" ref="R410">IF($A410="","",INDEX(JupData!$A$2:$K$10000,MATCH($A410&amp;R$1,JupData!$A$2:$A$10000&amp;JupData!$J$2:$J$10000,0),11))</f>
        <v/>
      </c>
      <c r="S410" t="str">
        <f t="array" ref="S410">IF($A410="","",INDEX(JupData!$A$2:$K$10000,MATCH($A410&amp;S$1,JupData!$A$2:$A$10000&amp;JupData!$J$2:$J$10000,0),11))</f>
        <v/>
      </c>
      <c r="T410" t="str">
        <f t="array" ref="T410">IF($A410="","",INDEX(JupData!$A$2:$K$10000,MATCH($A410&amp;T$1,JupData!$A$2:$A$10000&amp;JupData!$J$2:$J$10000,0),11))</f>
        <v/>
      </c>
      <c r="U410" t="str">
        <f t="array" ref="U410">IF($A410="","",INDEX(JupData!$A$2:$K$10000,MATCH($A410&amp;U$1,JupData!$A$2:$A$10000&amp;JupData!$J$2:$J$10000,0),11))</f>
        <v/>
      </c>
      <c r="V410" t="str">
        <f t="array" ref="V410">IF($A410="","",INDEX(JupData!$A$2:$K$10000,MATCH($A410&amp;V$1,JupData!$A$2:$A$10000&amp;JupData!$J$2:$J$10000,0),11))</f>
        <v/>
      </c>
      <c r="W410" t="str">
        <f t="array" ref="W410">IF($A410="","",INDEX(JupData!$A$2:$K$10000,MATCH($A410&amp;W$1,JupData!$A$2:$A$10000&amp;JupData!$J$2:$J$10000,0),11))</f>
        <v/>
      </c>
      <c r="X410" t="str">
        <f t="array" ref="X410">IF($A410="","",INDEX(JupData!$A$2:$K$10000,MATCH($A410&amp;X$1,JupData!$A$2:$A$10000&amp;JupData!$J$2:$J$10000,0),11))</f>
        <v/>
      </c>
      <c r="Y410" t="str">
        <f t="array" ref="Y410">IF($A410="","",INDEX(JupData!$A$2:$K$10000,MATCH($A410&amp;Y$1,JupData!$A$2:$A$10000&amp;JupData!$J$2:$J$10000,0),11))</f>
        <v/>
      </c>
      <c r="Z410" t="str">
        <f t="array" ref="Z410">IF($A410="","",INDEX(JupData!$A$2:$K$10000,MATCH($A410&amp;Z$1,JupData!$A$2:$A$10000&amp;JupData!$J$2:$J$10000,0),11))</f>
        <v/>
      </c>
      <c r="AA410" t="str">
        <f t="array" ref="AA410">IF($A410="","",INDEX(JupData!$A$2:$K$10000,MATCH($A410&amp;AA$1,JupData!$A$2:$A$10000&amp;JupData!$J$2:$J$10000,0),11))</f>
        <v/>
      </c>
      <c r="AB410" t="str">
        <f t="array" ref="AB410">IF($A410="","",INDEX(JupData!$A$2:$K$10000,MATCH($A410&amp;AB$1,JupData!$A$2:$A$10000&amp;JupData!$J$2:$J$10000,0),11))</f>
        <v/>
      </c>
      <c r="AC410" s="10" t="str">
        <f t="shared" si="66"/>
        <v/>
      </c>
      <c r="AD410" s="10" t="str">
        <f t="shared" si="67"/>
        <v/>
      </c>
      <c r="AE410" s="9" t="str">
        <f t="shared" si="68"/>
        <v/>
      </c>
      <c r="AF410" s="10" t="str">
        <f t="shared" si="69"/>
        <v/>
      </c>
      <c r="AG410" s="10" t="str">
        <f t="shared" si="70"/>
        <v/>
      </c>
      <c r="AH410" s="10" t="str">
        <f t="shared" si="71"/>
        <v/>
      </c>
      <c r="AI410" s="10" t="str">
        <f t="shared" si="72"/>
        <v/>
      </c>
      <c r="AJ410" s="10" t="str">
        <f t="shared" si="73"/>
        <v/>
      </c>
      <c r="AK410" s="10" t="str">
        <f t="shared" si="74"/>
        <v/>
      </c>
      <c r="AL410" s="14" t="str">
        <f t="shared" si="75"/>
        <v/>
      </c>
    </row>
    <row r="411" spans="1:38" x14ac:dyDescent="0.2">
      <c r="A411"/>
      <c r="B411" t="str">
        <f>IF($A411="","",VLOOKUP($A411,JupData!$A$2:$I$10000,4,FALSE))</f>
        <v/>
      </c>
      <c r="C411" s="7" t="str">
        <f>IF($A411="",IF(N(D411),0,""),VLOOKUP($A411,JupData!$A$2:$I$10000,7,FALSE))</f>
        <v/>
      </c>
      <c r="D411" t="str">
        <f t="shared" si="76"/>
        <v/>
      </c>
      <c r="E411" t="str">
        <f t="array" ref="E411">IF($A411="","",INDEX(JupData!$A$2:$K$10000,MATCH($A411&amp;E$1,JupData!$A$2:$A$10000&amp;JupData!$J$2:$J$10000,0),11))</f>
        <v/>
      </c>
      <c r="F411" t="str">
        <f t="array" ref="F411">IF($A411="","",INDEX(JupData!$A$2:$K$10000,MATCH($A411&amp;F$1,JupData!$A$2:$A$10000&amp;JupData!$J$2:$J$10000,0),11))</f>
        <v/>
      </c>
      <c r="G411" t="str">
        <f t="array" ref="G411">IF($A411="","",INDEX(JupData!$A$2:$K$10000,MATCH($A411&amp;G$1,JupData!$A$2:$A$10000&amp;JupData!$J$2:$J$10000,0),11))</f>
        <v/>
      </c>
      <c r="H411" t="str">
        <f t="array" ref="H411">IF($A411="","",INDEX(JupData!$A$2:$K$10000,MATCH($A411&amp;H$1,JupData!$A$2:$A$10000&amp;JupData!$J$2:$J$10000,0),11))</f>
        <v/>
      </c>
      <c r="I411" t="str">
        <f t="array" ref="I411">IF($A411="","",INDEX(JupData!$A$2:$K$10000,MATCH($A411&amp;I$1,JupData!$A$2:$A$10000&amp;JupData!$J$2:$J$10000,0),11))</f>
        <v/>
      </c>
      <c r="J411" t="str">
        <f t="array" ref="J411">IF($A411="","",INDEX(JupData!$A$2:$K$10000,MATCH($A411&amp;J$1,JupData!$A$2:$A$10000&amp;JupData!$J$2:$J$10000,0),11))</f>
        <v/>
      </c>
      <c r="K411" t="str">
        <f t="array" ref="K411">IF($A411="","",INDEX(JupData!$A$2:$K$10000,MATCH($A411&amp;K$1,JupData!$A$2:$A$10000&amp;JupData!$J$2:$J$10000,0),11))</f>
        <v/>
      </c>
      <c r="L411" t="str">
        <f t="array" ref="L411">IF($A411="","",INDEX(JupData!$A$2:$K$10000,MATCH($A411&amp;L$1,JupData!$A$2:$A$10000&amp;JupData!$J$2:$J$10000,0),11))</f>
        <v/>
      </c>
      <c r="M411" t="str">
        <f t="array" ref="M411">IF($A411="","",INDEX(JupData!$A$2:$K$10000,MATCH($A411&amp;M$1,JupData!$A$2:$A$10000&amp;JupData!$J$2:$J$10000,0),11))</f>
        <v/>
      </c>
      <c r="N411" t="str">
        <f t="array" ref="N411">IF($A411="","",INDEX(JupData!$A$2:$K$10000,MATCH($A411&amp;N$1,JupData!$A$2:$A$10000&amp;JupData!$J$2:$J$10000,0),11))</f>
        <v/>
      </c>
      <c r="O411" t="str">
        <f t="array" ref="O411">IF($A411="","",INDEX(JupData!$A$2:$K$10000,MATCH($A411&amp;O$1,JupData!$A$2:$A$10000&amp;JupData!$J$2:$J$10000,0),11))</f>
        <v/>
      </c>
      <c r="P411" t="str">
        <f t="array" ref="P411">IF($A411="","",INDEX(JupData!$A$2:$K$10000,MATCH($A411&amp;P$1,JupData!$A$2:$A$10000&amp;JupData!$J$2:$J$10000,0),11))</f>
        <v/>
      </c>
      <c r="Q411" t="str">
        <f t="array" ref="Q411">IF($A411="","",INDEX(JupData!$A$2:$K$10000,MATCH($A411&amp;Q$1,JupData!$A$2:$A$10000&amp;JupData!$J$2:$J$10000,0),11))</f>
        <v/>
      </c>
      <c r="R411" t="str">
        <f t="array" ref="R411">IF($A411="","",INDEX(JupData!$A$2:$K$10000,MATCH($A411&amp;R$1,JupData!$A$2:$A$10000&amp;JupData!$J$2:$J$10000,0),11))</f>
        <v/>
      </c>
      <c r="S411" t="str">
        <f t="array" ref="S411">IF($A411="","",INDEX(JupData!$A$2:$K$10000,MATCH($A411&amp;S$1,JupData!$A$2:$A$10000&amp;JupData!$J$2:$J$10000,0),11))</f>
        <v/>
      </c>
      <c r="T411" t="str">
        <f t="array" ref="T411">IF($A411="","",INDEX(JupData!$A$2:$K$10000,MATCH($A411&amp;T$1,JupData!$A$2:$A$10000&amp;JupData!$J$2:$J$10000,0),11))</f>
        <v/>
      </c>
      <c r="U411" t="str">
        <f t="array" ref="U411">IF($A411="","",INDEX(JupData!$A$2:$K$10000,MATCH($A411&amp;U$1,JupData!$A$2:$A$10000&amp;JupData!$J$2:$J$10000,0),11))</f>
        <v/>
      </c>
      <c r="V411" t="str">
        <f t="array" ref="V411">IF($A411="","",INDEX(JupData!$A$2:$K$10000,MATCH($A411&amp;V$1,JupData!$A$2:$A$10000&amp;JupData!$J$2:$J$10000,0),11))</f>
        <v/>
      </c>
      <c r="W411" t="str">
        <f t="array" ref="W411">IF($A411="","",INDEX(JupData!$A$2:$K$10000,MATCH($A411&amp;W$1,JupData!$A$2:$A$10000&amp;JupData!$J$2:$J$10000,0),11))</f>
        <v/>
      </c>
      <c r="X411" t="str">
        <f t="array" ref="X411">IF($A411="","",INDEX(JupData!$A$2:$K$10000,MATCH($A411&amp;X$1,JupData!$A$2:$A$10000&amp;JupData!$J$2:$J$10000,0),11))</f>
        <v/>
      </c>
      <c r="Y411" t="str">
        <f t="array" ref="Y411">IF($A411="","",INDEX(JupData!$A$2:$K$10000,MATCH($A411&amp;Y$1,JupData!$A$2:$A$10000&amp;JupData!$J$2:$J$10000,0),11))</f>
        <v/>
      </c>
      <c r="Z411" t="str">
        <f t="array" ref="Z411">IF($A411="","",INDEX(JupData!$A$2:$K$10000,MATCH($A411&amp;Z$1,JupData!$A$2:$A$10000&amp;JupData!$J$2:$J$10000,0),11))</f>
        <v/>
      </c>
      <c r="AA411" t="str">
        <f t="array" ref="AA411">IF($A411="","",INDEX(JupData!$A$2:$K$10000,MATCH($A411&amp;AA$1,JupData!$A$2:$A$10000&amp;JupData!$J$2:$J$10000,0),11))</f>
        <v/>
      </c>
      <c r="AB411" t="str">
        <f t="array" ref="AB411">IF($A411="","",INDEX(JupData!$A$2:$K$10000,MATCH($A411&amp;AB$1,JupData!$A$2:$A$10000&amp;JupData!$J$2:$J$10000,0),11))</f>
        <v/>
      </c>
      <c r="AC411" s="10" t="str">
        <f t="shared" si="66"/>
        <v/>
      </c>
      <c r="AD411" s="10" t="str">
        <f t="shared" si="67"/>
        <v/>
      </c>
      <c r="AE411" s="9" t="str">
        <f t="shared" si="68"/>
        <v/>
      </c>
      <c r="AF411" s="10" t="str">
        <f t="shared" si="69"/>
        <v/>
      </c>
      <c r="AG411" s="10" t="str">
        <f t="shared" si="70"/>
        <v/>
      </c>
      <c r="AH411" s="10" t="str">
        <f t="shared" si="71"/>
        <v/>
      </c>
      <c r="AI411" s="10" t="str">
        <f t="shared" si="72"/>
        <v/>
      </c>
      <c r="AJ411" s="10" t="str">
        <f t="shared" si="73"/>
        <v/>
      </c>
      <c r="AK411" s="10" t="str">
        <f t="shared" si="74"/>
        <v/>
      </c>
      <c r="AL411" s="14" t="str">
        <f t="shared" si="75"/>
        <v/>
      </c>
    </row>
    <row r="412" spans="1:38" x14ac:dyDescent="0.2">
      <c r="A412"/>
      <c r="B412" t="str">
        <f>IF($A412="","",VLOOKUP($A412,JupData!$A$2:$I$10000,4,FALSE))</f>
        <v/>
      </c>
      <c r="C412" s="7" t="str">
        <f>IF($A412="",IF(N(D412),0,""),VLOOKUP($A412,JupData!$A$2:$I$10000,7,FALSE))</f>
        <v/>
      </c>
      <c r="D412" t="str">
        <f t="shared" si="76"/>
        <v/>
      </c>
      <c r="E412" t="str">
        <f t="array" ref="E412">IF($A412="","",INDEX(JupData!$A$2:$K$10000,MATCH($A412&amp;E$1,JupData!$A$2:$A$10000&amp;JupData!$J$2:$J$10000,0),11))</f>
        <v/>
      </c>
      <c r="F412" t="str">
        <f t="array" ref="F412">IF($A412="","",INDEX(JupData!$A$2:$K$10000,MATCH($A412&amp;F$1,JupData!$A$2:$A$10000&amp;JupData!$J$2:$J$10000,0),11))</f>
        <v/>
      </c>
      <c r="G412" t="str">
        <f t="array" ref="G412">IF($A412="","",INDEX(JupData!$A$2:$K$10000,MATCH($A412&amp;G$1,JupData!$A$2:$A$10000&amp;JupData!$J$2:$J$10000,0),11))</f>
        <v/>
      </c>
      <c r="H412" t="str">
        <f t="array" ref="H412">IF($A412="","",INDEX(JupData!$A$2:$K$10000,MATCH($A412&amp;H$1,JupData!$A$2:$A$10000&amp;JupData!$J$2:$J$10000,0),11))</f>
        <v/>
      </c>
      <c r="I412" t="str">
        <f t="array" ref="I412">IF($A412="","",INDEX(JupData!$A$2:$K$10000,MATCH($A412&amp;I$1,JupData!$A$2:$A$10000&amp;JupData!$J$2:$J$10000,0),11))</f>
        <v/>
      </c>
      <c r="J412" t="str">
        <f t="array" ref="J412">IF($A412="","",INDEX(JupData!$A$2:$K$10000,MATCH($A412&amp;J$1,JupData!$A$2:$A$10000&amp;JupData!$J$2:$J$10000,0),11))</f>
        <v/>
      </c>
      <c r="K412" t="str">
        <f t="array" ref="K412">IF($A412="","",INDEX(JupData!$A$2:$K$10000,MATCH($A412&amp;K$1,JupData!$A$2:$A$10000&amp;JupData!$J$2:$J$10000,0),11))</f>
        <v/>
      </c>
      <c r="L412" t="str">
        <f t="array" ref="L412">IF($A412="","",INDEX(JupData!$A$2:$K$10000,MATCH($A412&amp;L$1,JupData!$A$2:$A$10000&amp;JupData!$J$2:$J$10000,0),11))</f>
        <v/>
      </c>
      <c r="M412" t="str">
        <f t="array" ref="M412">IF($A412="","",INDEX(JupData!$A$2:$K$10000,MATCH($A412&amp;M$1,JupData!$A$2:$A$10000&amp;JupData!$J$2:$J$10000,0),11))</f>
        <v/>
      </c>
      <c r="N412" t="str">
        <f t="array" ref="N412">IF($A412="","",INDEX(JupData!$A$2:$K$10000,MATCH($A412&amp;N$1,JupData!$A$2:$A$10000&amp;JupData!$J$2:$J$10000,0),11))</f>
        <v/>
      </c>
      <c r="O412" t="str">
        <f t="array" ref="O412">IF($A412="","",INDEX(JupData!$A$2:$K$10000,MATCH($A412&amp;O$1,JupData!$A$2:$A$10000&amp;JupData!$J$2:$J$10000,0),11))</f>
        <v/>
      </c>
      <c r="P412" t="str">
        <f t="array" ref="P412">IF($A412="","",INDEX(JupData!$A$2:$K$10000,MATCH($A412&amp;P$1,JupData!$A$2:$A$10000&amp;JupData!$J$2:$J$10000,0),11))</f>
        <v/>
      </c>
      <c r="Q412" t="str">
        <f t="array" ref="Q412">IF($A412="","",INDEX(JupData!$A$2:$K$10000,MATCH($A412&amp;Q$1,JupData!$A$2:$A$10000&amp;JupData!$J$2:$J$10000,0),11))</f>
        <v/>
      </c>
      <c r="R412" t="str">
        <f t="array" ref="R412">IF($A412="","",INDEX(JupData!$A$2:$K$10000,MATCH($A412&amp;R$1,JupData!$A$2:$A$10000&amp;JupData!$J$2:$J$10000,0),11))</f>
        <v/>
      </c>
      <c r="S412" t="str">
        <f t="array" ref="S412">IF($A412="","",INDEX(JupData!$A$2:$K$10000,MATCH($A412&amp;S$1,JupData!$A$2:$A$10000&amp;JupData!$J$2:$J$10000,0),11))</f>
        <v/>
      </c>
      <c r="T412" t="str">
        <f t="array" ref="T412">IF($A412="","",INDEX(JupData!$A$2:$K$10000,MATCH($A412&amp;T$1,JupData!$A$2:$A$10000&amp;JupData!$J$2:$J$10000,0),11))</f>
        <v/>
      </c>
      <c r="U412" t="str">
        <f t="array" ref="U412">IF($A412="","",INDEX(JupData!$A$2:$K$10000,MATCH($A412&amp;U$1,JupData!$A$2:$A$10000&amp;JupData!$J$2:$J$10000,0),11))</f>
        <v/>
      </c>
      <c r="V412" t="str">
        <f t="array" ref="V412">IF($A412="","",INDEX(JupData!$A$2:$K$10000,MATCH($A412&amp;V$1,JupData!$A$2:$A$10000&amp;JupData!$J$2:$J$10000,0),11))</f>
        <v/>
      </c>
      <c r="W412" t="str">
        <f t="array" ref="W412">IF($A412="","",INDEX(JupData!$A$2:$K$10000,MATCH($A412&amp;W$1,JupData!$A$2:$A$10000&amp;JupData!$J$2:$J$10000,0),11))</f>
        <v/>
      </c>
      <c r="X412" t="str">
        <f t="array" ref="X412">IF($A412="","",INDEX(JupData!$A$2:$K$10000,MATCH($A412&amp;X$1,JupData!$A$2:$A$10000&amp;JupData!$J$2:$J$10000,0),11))</f>
        <v/>
      </c>
      <c r="Y412" t="str">
        <f t="array" ref="Y412">IF($A412="","",INDEX(JupData!$A$2:$K$10000,MATCH($A412&amp;Y$1,JupData!$A$2:$A$10000&amp;JupData!$J$2:$J$10000,0),11))</f>
        <v/>
      </c>
      <c r="Z412" t="str">
        <f t="array" ref="Z412">IF($A412="","",INDEX(JupData!$A$2:$K$10000,MATCH($A412&amp;Z$1,JupData!$A$2:$A$10000&amp;JupData!$J$2:$J$10000,0),11))</f>
        <v/>
      </c>
      <c r="AA412" t="str">
        <f t="array" ref="AA412">IF($A412="","",INDEX(JupData!$A$2:$K$10000,MATCH($A412&amp;AA$1,JupData!$A$2:$A$10000&amp;JupData!$J$2:$J$10000,0),11))</f>
        <v/>
      </c>
      <c r="AB412" t="str">
        <f t="array" ref="AB412">IF($A412="","",INDEX(JupData!$A$2:$K$10000,MATCH($A412&amp;AB$1,JupData!$A$2:$A$10000&amp;JupData!$J$2:$J$10000,0),11))</f>
        <v/>
      </c>
      <c r="AC412" s="10" t="str">
        <f t="shared" si="66"/>
        <v/>
      </c>
      <c r="AD412" s="10" t="str">
        <f t="shared" si="67"/>
        <v/>
      </c>
      <c r="AE412" s="9" t="str">
        <f t="shared" si="68"/>
        <v/>
      </c>
      <c r="AF412" s="10" t="str">
        <f t="shared" si="69"/>
        <v/>
      </c>
      <c r="AG412" s="10" t="str">
        <f t="shared" si="70"/>
        <v/>
      </c>
      <c r="AH412" s="10" t="str">
        <f t="shared" si="71"/>
        <v/>
      </c>
      <c r="AI412" s="10" t="str">
        <f t="shared" si="72"/>
        <v/>
      </c>
      <c r="AJ412" s="10" t="str">
        <f t="shared" si="73"/>
        <v/>
      </c>
      <c r="AK412" s="10" t="str">
        <f t="shared" si="74"/>
        <v/>
      </c>
      <c r="AL412" s="14" t="str">
        <f t="shared" si="75"/>
        <v/>
      </c>
    </row>
    <row r="413" spans="1:38" x14ac:dyDescent="0.2">
      <c r="A413"/>
      <c r="B413" t="str">
        <f>IF($A413="","",VLOOKUP($A413,JupData!$A$2:$I$10000,4,FALSE))</f>
        <v/>
      </c>
      <c r="C413" s="7" t="str">
        <f>IF($A413="",IF(N(D413),0,""),VLOOKUP($A413,JupData!$A$2:$I$10000,7,FALSE))</f>
        <v/>
      </c>
      <c r="D413" t="str">
        <f t="shared" si="76"/>
        <v/>
      </c>
      <c r="E413" t="str">
        <f t="array" ref="E413">IF($A413="","",INDEX(JupData!$A$2:$K$10000,MATCH($A413&amp;E$1,JupData!$A$2:$A$10000&amp;JupData!$J$2:$J$10000,0),11))</f>
        <v/>
      </c>
      <c r="F413" t="str">
        <f t="array" ref="F413">IF($A413="","",INDEX(JupData!$A$2:$K$10000,MATCH($A413&amp;F$1,JupData!$A$2:$A$10000&amp;JupData!$J$2:$J$10000,0),11))</f>
        <v/>
      </c>
      <c r="G413" t="str">
        <f t="array" ref="G413">IF($A413="","",INDEX(JupData!$A$2:$K$10000,MATCH($A413&amp;G$1,JupData!$A$2:$A$10000&amp;JupData!$J$2:$J$10000,0),11))</f>
        <v/>
      </c>
      <c r="H413" t="str">
        <f t="array" ref="H413">IF($A413="","",INDEX(JupData!$A$2:$K$10000,MATCH($A413&amp;H$1,JupData!$A$2:$A$10000&amp;JupData!$J$2:$J$10000,0),11))</f>
        <v/>
      </c>
      <c r="I413" t="str">
        <f t="array" ref="I413">IF($A413="","",INDEX(JupData!$A$2:$K$10000,MATCH($A413&amp;I$1,JupData!$A$2:$A$10000&amp;JupData!$J$2:$J$10000,0),11))</f>
        <v/>
      </c>
      <c r="J413" t="str">
        <f t="array" ref="J413">IF($A413="","",INDEX(JupData!$A$2:$K$10000,MATCH($A413&amp;J$1,JupData!$A$2:$A$10000&amp;JupData!$J$2:$J$10000,0),11))</f>
        <v/>
      </c>
      <c r="K413" t="str">
        <f t="array" ref="K413">IF($A413="","",INDEX(JupData!$A$2:$K$10000,MATCH($A413&amp;K$1,JupData!$A$2:$A$10000&amp;JupData!$J$2:$J$10000,0),11))</f>
        <v/>
      </c>
      <c r="L413" t="str">
        <f t="array" ref="L413">IF($A413="","",INDEX(JupData!$A$2:$K$10000,MATCH($A413&amp;L$1,JupData!$A$2:$A$10000&amp;JupData!$J$2:$J$10000,0),11))</f>
        <v/>
      </c>
      <c r="M413" t="str">
        <f t="array" ref="M413">IF($A413="","",INDEX(JupData!$A$2:$K$10000,MATCH($A413&amp;M$1,JupData!$A$2:$A$10000&amp;JupData!$J$2:$J$10000,0),11))</f>
        <v/>
      </c>
      <c r="N413" t="str">
        <f t="array" ref="N413">IF($A413="","",INDEX(JupData!$A$2:$K$10000,MATCH($A413&amp;N$1,JupData!$A$2:$A$10000&amp;JupData!$J$2:$J$10000,0),11))</f>
        <v/>
      </c>
      <c r="O413" t="str">
        <f t="array" ref="O413">IF($A413="","",INDEX(JupData!$A$2:$K$10000,MATCH($A413&amp;O$1,JupData!$A$2:$A$10000&amp;JupData!$J$2:$J$10000,0),11))</f>
        <v/>
      </c>
      <c r="P413" t="str">
        <f t="array" ref="P413">IF($A413="","",INDEX(JupData!$A$2:$K$10000,MATCH($A413&amp;P$1,JupData!$A$2:$A$10000&amp;JupData!$J$2:$J$10000,0),11))</f>
        <v/>
      </c>
      <c r="Q413" t="str">
        <f t="array" ref="Q413">IF($A413="","",INDEX(JupData!$A$2:$K$10000,MATCH($A413&amp;Q$1,JupData!$A$2:$A$10000&amp;JupData!$J$2:$J$10000,0),11))</f>
        <v/>
      </c>
      <c r="R413" t="str">
        <f t="array" ref="R413">IF($A413="","",INDEX(JupData!$A$2:$K$10000,MATCH($A413&amp;R$1,JupData!$A$2:$A$10000&amp;JupData!$J$2:$J$10000,0),11))</f>
        <v/>
      </c>
      <c r="S413" t="str">
        <f t="array" ref="S413">IF($A413="","",INDEX(JupData!$A$2:$K$10000,MATCH($A413&amp;S$1,JupData!$A$2:$A$10000&amp;JupData!$J$2:$J$10000,0),11))</f>
        <v/>
      </c>
      <c r="T413" t="str">
        <f t="array" ref="T413">IF($A413="","",INDEX(JupData!$A$2:$K$10000,MATCH($A413&amp;T$1,JupData!$A$2:$A$10000&amp;JupData!$J$2:$J$10000,0),11))</f>
        <v/>
      </c>
      <c r="U413" t="str">
        <f t="array" ref="U413">IF($A413="","",INDEX(JupData!$A$2:$K$10000,MATCH($A413&amp;U$1,JupData!$A$2:$A$10000&amp;JupData!$J$2:$J$10000,0),11))</f>
        <v/>
      </c>
      <c r="V413" t="str">
        <f t="array" ref="V413">IF($A413="","",INDEX(JupData!$A$2:$K$10000,MATCH($A413&amp;V$1,JupData!$A$2:$A$10000&amp;JupData!$J$2:$J$10000,0),11))</f>
        <v/>
      </c>
      <c r="W413" t="str">
        <f t="array" ref="W413">IF($A413="","",INDEX(JupData!$A$2:$K$10000,MATCH($A413&amp;W$1,JupData!$A$2:$A$10000&amp;JupData!$J$2:$J$10000,0),11))</f>
        <v/>
      </c>
      <c r="X413" t="str">
        <f t="array" ref="X413">IF($A413="","",INDEX(JupData!$A$2:$K$10000,MATCH($A413&amp;X$1,JupData!$A$2:$A$10000&amp;JupData!$J$2:$J$10000,0),11))</f>
        <v/>
      </c>
      <c r="Y413" t="str">
        <f t="array" ref="Y413">IF($A413="","",INDEX(JupData!$A$2:$K$10000,MATCH($A413&amp;Y$1,JupData!$A$2:$A$10000&amp;JupData!$J$2:$J$10000,0),11))</f>
        <v/>
      </c>
      <c r="Z413" t="str">
        <f t="array" ref="Z413">IF($A413="","",INDEX(JupData!$A$2:$K$10000,MATCH($A413&amp;Z$1,JupData!$A$2:$A$10000&amp;JupData!$J$2:$J$10000,0),11))</f>
        <v/>
      </c>
      <c r="AA413" t="str">
        <f t="array" ref="AA413">IF($A413="","",INDEX(JupData!$A$2:$K$10000,MATCH($A413&amp;AA$1,JupData!$A$2:$A$10000&amp;JupData!$J$2:$J$10000,0),11))</f>
        <v/>
      </c>
      <c r="AB413" t="str">
        <f t="array" ref="AB413">IF($A413="","",INDEX(JupData!$A$2:$K$10000,MATCH($A413&amp;AB$1,JupData!$A$2:$A$10000&amp;JupData!$J$2:$J$10000,0),11))</f>
        <v/>
      </c>
      <c r="AC413" s="10" t="str">
        <f t="shared" si="66"/>
        <v/>
      </c>
      <c r="AD413" s="10" t="str">
        <f t="shared" si="67"/>
        <v/>
      </c>
      <c r="AE413" s="9" t="str">
        <f t="shared" si="68"/>
        <v/>
      </c>
      <c r="AF413" s="10" t="str">
        <f t="shared" si="69"/>
        <v/>
      </c>
      <c r="AG413" s="10" t="str">
        <f t="shared" si="70"/>
        <v/>
      </c>
      <c r="AH413" s="10" t="str">
        <f t="shared" si="71"/>
        <v/>
      </c>
      <c r="AI413" s="10" t="str">
        <f t="shared" si="72"/>
        <v/>
      </c>
      <c r="AJ413" s="10" t="str">
        <f t="shared" si="73"/>
        <v/>
      </c>
      <c r="AK413" s="10" t="str">
        <f t="shared" si="74"/>
        <v/>
      </c>
      <c r="AL413" s="14" t="str">
        <f t="shared" si="75"/>
        <v/>
      </c>
    </row>
    <row r="414" spans="1:38" x14ac:dyDescent="0.2">
      <c r="A414"/>
      <c r="B414" t="str">
        <f>IF($A414="","",VLOOKUP($A414,JupData!$A$2:$I$10000,4,FALSE))</f>
        <v/>
      </c>
      <c r="C414" s="7" t="str">
        <f>IF($A414="",IF(N(D414),0,""),VLOOKUP($A414,JupData!$A$2:$I$10000,7,FALSE))</f>
        <v/>
      </c>
      <c r="D414" t="str">
        <f t="shared" si="76"/>
        <v/>
      </c>
      <c r="E414" t="str">
        <f t="array" ref="E414">IF($A414="","",INDEX(JupData!$A$2:$K$10000,MATCH($A414&amp;E$1,JupData!$A$2:$A$10000&amp;JupData!$J$2:$J$10000,0),11))</f>
        <v/>
      </c>
      <c r="F414" t="str">
        <f t="array" ref="F414">IF($A414="","",INDEX(JupData!$A$2:$K$10000,MATCH($A414&amp;F$1,JupData!$A$2:$A$10000&amp;JupData!$J$2:$J$10000,0),11))</f>
        <v/>
      </c>
      <c r="G414" t="str">
        <f t="array" ref="G414">IF($A414="","",INDEX(JupData!$A$2:$K$10000,MATCH($A414&amp;G$1,JupData!$A$2:$A$10000&amp;JupData!$J$2:$J$10000,0),11))</f>
        <v/>
      </c>
      <c r="H414" t="str">
        <f t="array" ref="H414">IF($A414="","",INDEX(JupData!$A$2:$K$10000,MATCH($A414&amp;H$1,JupData!$A$2:$A$10000&amp;JupData!$J$2:$J$10000,0),11))</f>
        <v/>
      </c>
      <c r="I414" t="str">
        <f t="array" ref="I414">IF($A414="","",INDEX(JupData!$A$2:$K$10000,MATCH($A414&amp;I$1,JupData!$A$2:$A$10000&amp;JupData!$J$2:$J$10000,0),11))</f>
        <v/>
      </c>
      <c r="J414" t="str">
        <f t="array" ref="J414">IF($A414="","",INDEX(JupData!$A$2:$K$10000,MATCH($A414&amp;J$1,JupData!$A$2:$A$10000&amp;JupData!$J$2:$J$10000,0),11))</f>
        <v/>
      </c>
      <c r="K414" t="str">
        <f t="array" ref="K414">IF($A414="","",INDEX(JupData!$A$2:$K$10000,MATCH($A414&amp;K$1,JupData!$A$2:$A$10000&amp;JupData!$J$2:$J$10000,0),11))</f>
        <v/>
      </c>
      <c r="L414" t="str">
        <f t="array" ref="L414">IF($A414="","",INDEX(JupData!$A$2:$K$10000,MATCH($A414&amp;L$1,JupData!$A$2:$A$10000&amp;JupData!$J$2:$J$10000,0),11))</f>
        <v/>
      </c>
      <c r="M414" t="str">
        <f t="array" ref="M414">IF($A414="","",INDEX(JupData!$A$2:$K$10000,MATCH($A414&amp;M$1,JupData!$A$2:$A$10000&amp;JupData!$J$2:$J$10000,0),11))</f>
        <v/>
      </c>
      <c r="N414" t="str">
        <f t="array" ref="N414">IF($A414="","",INDEX(JupData!$A$2:$K$10000,MATCH($A414&amp;N$1,JupData!$A$2:$A$10000&amp;JupData!$J$2:$J$10000,0),11))</f>
        <v/>
      </c>
      <c r="O414" t="str">
        <f t="array" ref="O414">IF($A414="","",INDEX(JupData!$A$2:$K$10000,MATCH($A414&amp;O$1,JupData!$A$2:$A$10000&amp;JupData!$J$2:$J$10000,0),11))</f>
        <v/>
      </c>
      <c r="P414" t="str">
        <f t="array" ref="P414">IF($A414="","",INDEX(JupData!$A$2:$K$10000,MATCH($A414&amp;P$1,JupData!$A$2:$A$10000&amp;JupData!$J$2:$J$10000,0),11))</f>
        <v/>
      </c>
      <c r="Q414" t="str">
        <f t="array" ref="Q414">IF($A414="","",INDEX(JupData!$A$2:$K$10000,MATCH($A414&amp;Q$1,JupData!$A$2:$A$10000&amp;JupData!$J$2:$J$10000,0),11))</f>
        <v/>
      </c>
      <c r="R414" t="str">
        <f t="array" ref="R414">IF($A414="","",INDEX(JupData!$A$2:$K$10000,MATCH($A414&amp;R$1,JupData!$A$2:$A$10000&amp;JupData!$J$2:$J$10000,0),11))</f>
        <v/>
      </c>
      <c r="S414" t="str">
        <f t="array" ref="S414">IF($A414="","",INDEX(JupData!$A$2:$K$10000,MATCH($A414&amp;S$1,JupData!$A$2:$A$10000&amp;JupData!$J$2:$J$10000,0),11))</f>
        <v/>
      </c>
      <c r="T414" t="str">
        <f t="array" ref="T414">IF($A414="","",INDEX(JupData!$A$2:$K$10000,MATCH($A414&amp;T$1,JupData!$A$2:$A$10000&amp;JupData!$J$2:$J$10000,0),11))</f>
        <v/>
      </c>
      <c r="U414" t="str">
        <f t="array" ref="U414">IF($A414="","",INDEX(JupData!$A$2:$K$10000,MATCH($A414&amp;U$1,JupData!$A$2:$A$10000&amp;JupData!$J$2:$J$10000,0),11))</f>
        <v/>
      </c>
      <c r="V414" t="str">
        <f t="array" ref="V414">IF($A414="","",INDEX(JupData!$A$2:$K$10000,MATCH($A414&amp;V$1,JupData!$A$2:$A$10000&amp;JupData!$J$2:$J$10000,0),11))</f>
        <v/>
      </c>
      <c r="W414" t="str">
        <f t="array" ref="W414">IF($A414="","",INDEX(JupData!$A$2:$K$10000,MATCH($A414&amp;W$1,JupData!$A$2:$A$10000&amp;JupData!$J$2:$J$10000,0),11))</f>
        <v/>
      </c>
      <c r="X414" t="str">
        <f t="array" ref="X414">IF($A414="","",INDEX(JupData!$A$2:$K$10000,MATCH($A414&amp;X$1,JupData!$A$2:$A$10000&amp;JupData!$J$2:$J$10000,0),11))</f>
        <v/>
      </c>
      <c r="Y414" t="str">
        <f t="array" ref="Y414">IF($A414="","",INDEX(JupData!$A$2:$K$10000,MATCH($A414&amp;Y$1,JupData!$A$2:$A$10000&amp;JupData!$J$2:$J$10000,0),11))</f>
        <v/>
      </c>
      <c r="Z414" t="str">
        <f t="array" ref="Z414">IF($A414="","",INDEX(JupData!$A$2:$K$10000,MATCH($A414&amp;Z$1,JupData!$A$2:$A$10000&amp;JupData!$J$2:$J$10000,0),11))</f>
        <v/>
      </c>
      <c r="AA414" t="str">
        <f t="array" ref="AA414">IF($A414="","",INDEX(JupData!$A$2:$K$10000,MATCH($A414&amp;AA$1,JupData!$A$2:$A$10000&amp;JupData!$J$2:$J$10000,0),11))</f>
        <v/>
      </c>
      <c r="AB414" t="str">
        <f t="array" ref="AB414">IF($A414="","",INDEX(JupData!$A$2:$K$10000,MATCH($A414&amp;AB$1,JupData!$A$2:$A$10000&amp;JupData!$J$2:$J$10000,0),11))</f>
        <v/>
      </c>
      <c r="AC414" s="10" t="str">
        <f t="shared" si="66"/>
        <v/>
      </c>
      <c r="AD414" s="10" t="str">
        <f t="shared" si="67"/>
        <v/>
      </c>
      <c r="AE414" s="9" t="str">
        <f t="shared" si="68"/>
        <v/>
      </c>
      <c r="AF414" s="10" t="str">
        <f t="shared" si="69"/>
        <v/>
      </c>
      <c r="AG414" s="10" t="str">
        <f t="shared" si="70"/>
        <v/>
      </c>
      <c r="AH414" s="10" t="str">
        <f t="shared" si="71"/>
        <v/>
      </c>
      <c r="AI414" s="10" t="str">
        <f t="shared" si="72"/>
        <v/>
      </c>
      <c r="AJ414" s="10" t="str">
        <f t="shared" si="73"/>
        <v/>
      </c>
      <c r="AK414" s="10" t="str">
        <f t="shared" si="74"/>
        <v/>
      </c>
      <c r="AL414" s="14" t="str">
        <f t="shared" si="75"/>
        <v/>
      </c>
    </row>
    <row r="415" spans="1:38" x14ac:dyDescent="0.2">
      <c r="A415"/>
      <c r="B415" t="str">
        <f>IF($A415="","",VLOOKUP($A415,JupData!$A$2:$I$10000,4,FALSE))</f>
        <v/>
      </c>
      <c r="C415" s="7" t="str">
        <f>IF($A415="",IF(N(D415),0,""),VLOOKUP($A415,JupData!$A$2:$I$10000,7,FALSE))</f>
        <v/>
      </c>
      <c r="D415" t="str">
        <f t="shared" si="76"/>
        <v/>
      </c>
      <c r="E415" t="str">
        <f t="array" ref="E415">IF($A415="","",INDEX(JupData!$A$2:$K$10000,MATCH($A415&amp;E$1,JupData!$A$2:$A$10000&amp;JupData!$J$2:$J$10000,0),11))</f>
        <v/>
      </c>
      <c r="F415" t="str">
        <f t="array" ref="F415">IF($A415="","",INDEX(JupData!$A$2:$K$10000,MATCH($A415&amp;F$1,JupData!$A$2:$A$10000&amp;JupData!$J$2:$J$10000,0),11))</f>
        <v/>
      </c>
      <c r="G415" t="str">
        <f t="array" ref="G415">IF($A415="","",INDEX(JupData!$A$2:$K$10000,MATCH($A415&amp;G$1,JupData!$A$2:$A$10000&amp;JupData!$J$2:$J$10000,0),11))</f>
        <v/>
      </c>
      <c r="H415" t="str">
        <f t="array" ref="H415">IF($A415="","",INDEX(JupData!$A$2:$K$10000,MATCH($A415&amp;H$1,JupData!$A$2:$A$10000&amp;JupData!$J$2:$J$10000,0),11))</f>
        <v/>
      </c>
      <c r="I415" t="str">
        <f t="array" ref="I415">IF($A415="","",INDEX(JupData!$A$2:$K$10000,MATCH($A415&amp;I$1,JupData!$A$2:$A$10000&amp;JupData!$J$2:$J$10000,0),11))</f>
        <v/>
      </c>
      <c r="J415" t="str">
        <f t="array" ref="J415">IF($A415="","",INDEX(JupData!$A$2:$K$10000,MATCH($A415&amp;J$1,JupData!$A$2:$A$10000&amp;JupData!$J$2:$J$10000,0),11))</f>
        <v/>
      </c>
      <c r="K415" t="str">
        <f t="array" ref="K415">IF($A415="","",INDEX(JupData!$A$2:$K$10000,MATCH($A415&amp;K$1,JupData!$A$2:$A$10000&amp;JupData!$J$2:$J$10000,0),11))</f>
        <v/>
      </c>
      <c r="L415" t="str">
        <f t="array" ref="L415">IF($A415="","",INDEX(JupData!$A$2:$K$10000,MATCH($A415&amp;L$1,JupData!$A$2:$A$10000&amp;JupData!$J$2:$J$10000,0),11))</f>
        <v/>
      </c>
      <c r="M415" t="str">
        <f t="array" ref="M415">IF($A415="","",INDEX(JupData!$A$2:$K$10000,MATCH($A415&amp;M$1,JupData!$A$2:$A$10000&amp;JupData!$J$2:$J$10000,0),11))</f>
        <v/>
      </c>
      <c r="N415" t="str">
        <f t="array" ref="N415">IF($A415="","",INDEX(JupData!$A$2:$K$10000,MATCH($A415&amp;N$1,JupData!$A$2:$A$10000&amp;JupData!$J$2:$J$10000,0),11))</f>
        <v/>
      </c>
      <c r="O415" t="str">
        <f t="array" ref="O415">IF($A415="","",INDEX(JupData!$A$2:$K$10000,MATCH($A415&amp;O$1,JupData!$A$2:$A$10000&amp;JupData!$J$2:$J$10000,0),11))</f>
        <v/>
      </c>
      <c r="P415" t="str">
        <f t="array" ref="P415">IF($A415="","",INDEX(JupData!$A$2:$K$10000,MATCH($A415&amp;P$1,JupData!$A$2:$A$10000&amp;JupData!$J$2:$J$10000,0),11))</f>
        <v/>
      </c>
      <c r="Q415" t="str">
        <f t="array" ref="Q415">IF($A415="","",INDEX(JupData!$A$2:$K$10000,MATCH($A415&amp;Q$1,JupData!$A$2:$A$10000&amp;JupData!$J$2:$J$10000,0),11))</f>
        <v/>
      </c>
      <c r="R415" t="str">
        <f t="array" ref="R415">IF($A415="","",INDEX(JupData!$A$2:$K$10000,MATCH($A415&amp;R$1,JupData!$A$2:$A$10000&amp;JupData!$J$2:$J$10000,0),11))</f>
        <v/>
      </c>
      <c r="S415" t="str">
        <f t="array" ref="S415">IF($A415="","",INDEX(JupData!$A$2:$K$10000,MATCH($A415&amp;S$1,JupData!$A$2:$A$10000&amp;JupData!$J$2:$J$10000,0),11))</f>
        <v/>
      </c>
      <c r="T415" t="str">
        <f t="array" ref="T415">IF($A415="","",INDEX(JupData!$A$2:$K$10000,MATCH($A415&amp;T$1,JupData!$A$2:$A$10000&amp;JupData!$J$2:$J$10000,0),11))</f>
        <v/>
      </c>
      <c r="U415" t="str">
        <f t="array" ref="U415">IF($A415="","",INDEX(JupData!$A$2:$K$10000,MATCH($A415&amp;U$1,JupData!$A$2:$A$10000&amp;JupData!$J$2:$J$10000,0),11))</f>
        <v/>
      </c>
      <c r="V415" t="str">
        <f t="array" ref="V415">IF($A415="","",INDEX(JupData!$A$2:$K$10000,MATCH($A415&amp;V$1,JupData!$A$2:$A$10000&amp;JupData!$J$2:$J$10000,0),11))</f>
        <v/>
      </c>
      <c r="W415" t="str">
        <f t="array" ref="W415">IF($A415="","",INDEX(JupData!$A$2:$K$10000,MATCH($A415&amp;W$1,JupData!$A$2:$A$10000&amp;JupData!$J$2:$J$10000,0),11))</f>
        <v/>
      </c>
      <c r="X415" t="str">
        <f t="array" ref="X415">IF($A415="","",INDEX(JupData!$A$2:$K$10000,MATCH($A415&amp;X$1,JupData!$A$2:$A$10000&amp;JupData!$J$2:$J$10000,0),11))</f>
        <v/>
      </c>
      <c r="Y415" t="str">
        <f t="array" ref="Y415">IF($A415="","",INDEX(JupData!$A$2:$K$10000,MATCH($A415&amp;Y$1,JupData!$A$2:$A$10000&amp;JupData!$J$2:$J$10000,0),11))</f>
        <v/>
      </c>
      <c r="Z415" t="str">
        <f t="array" ref="Z415">IF($A415="","",INDEX(JupData!$A$2:$K$10000,MATCH($A415&amp;Z$1,JupData!$A$2:$A$10000&amp;JupData!$J$2:$J$10000,0),11))</f>
        <v/>
      </c>
      <c r="AA415" t="str">
        <f t="array" ref="AA415">IF($A415="","",INDEX(JupData!$A$2:$K$10000,MATCH($A415&amp;AA$1,JupData!$A$2:$A$10000&amp;JupData!$J$2:$J$10000,0),11))</f>
        <v/>
      </c>
      <c r="AB415" t="str">
        <f t="array" ref="AB415">IF($A415="","",INDEX(JupData!$A$2:$K$10000,MATCH($A415&amp;AB$1,JupData!$A$2:$A$10000&amp;JupData!$J$2:$J$10000,0),11))</f>
        <v/>
      </c>
      <c r="AC415" s="10" t="str">
        <f t="shared" si="66"/>
        <v/>
      </c>
      <c r="AD415" s="10" t="str">
        <f t="shared" si="67"/>
        <v/>
      </c>
      <c r="AE415" s="9" t="str">
        <f t="shared" si="68"/>
        <v/>
      </c>
      <c r="AF415" s="10" t="str">
        <f t="shared" si="69"/>
        <v/>
      </c>
      <c r="AG415" s="10" t="str">
        <f t="shared" si="70"/>
        <v/>
      </c>
      <c r="AH415" s="10" t="str">
        <f t="shared" si="71"/>
        <v/>
      </c>
      <c r="AI415" s="10" t="str">
        <f t="shared" si="72"/>
        <v/>
      </c>
      <c r="AJ415" s="10" t="str">
        <f t="shared" si="73"/>
        <v/>
      </c>
      <c r="AK415" s="10" t="str">
        <f t="shared" si="74"/>
        <v/>
      </c>
      <c r="AL415" s="14" t="str">
        <f t="shared" si="75"/>
        <v/>
      </c>
    </row>
    <row r="416" spans="1:38" x14ac:dyDescent="0.2">
      <c r="A416"/>
      <c r="B416" t="str">
        <f>IF($A416="","",VLOOKUP($A416,JupData!$A$2:$I$10000,4,FALSE))</f>
        <v/>
      </c>
      <c r="C416" s="7" t="str">
        <f>IF($A416="",IF(N(D416),0,""),VLOOKUP($A416,JupData!$A$2:$I$10000,7,FALSE))</f>
        <v/>
      </c>
      <c r="D416" t="str">
        <f t="shared" si="76"/>
        <v/>
      </c>
      <c r="E416" t="str">
        <f t="array" ref="E416">IF($A416="","",INDEX(JupData!$A$2:$K$10000,MATCH($A416&amp;E$1,JupData!$A$2:$A$10000&amp;JupData!$J$2:$J$10000,0),11))</f>
        <v/>
      </c>
      <c r="F416" t="str">
        <f t="array" ref="F416">IF($A416="","",INDEX(JupData!$A$2:$K$10000,MATCH($A416&amp;F$1,JupData!$A$2:$A$10000&amp;JupData!$J$2:$J$10000,0),11))</f>
        <v/>
      </c>
      <c r="G416" t="str">
        <f t="array" ref="G416">IF($A416="","",INDEX(JupData!$A$2:$K$10000,MATCH($A416&amp;G$1,JupData!$A$2:$A$10000&amp;JupData!$J$2:$J$10000,0),11))</f>
        <v/>
      </c>
      <c r="H416" t="str">
        <f t="array" ref="H416">IF($A416="","",INDEX(JupData!$A$2:$K$10000,MATCH($A416&amp;H$1,JupData!$A$2:$A$10000&amp;JupData!$J$2:$J$10000,0),11))</f>
        <v/>
      </c>
      <c r="I416" t="str">
        <f t="array" ref="I416">IF($A416="","",INDEX(JupData!$A$2:$K$10000,MATCH($A416&amp;I$1,JupData!$A$2:$A$10000&amp;JupData!$J$2:$J$10000,0),11))</f>
        <v/>
      </c>
      <c r="J416" t="str">
        <f t="array" ref="J416">IF($A416="","",INDEX(JupData!$A$2:$K$10000,MATCH($A416&amp;J$1,JupData!$A$2:$A$10000&amp;JupData!$J$2:$J$10000,0),11))</f>
        <v/>
      </c>
      <c r="K416" t="str">
        <f t="array" ref="K416">IF($A416="","",INDEX(JupData!$A$2:$K$10000,MATCH($A416&amp;K$1,JupData!$A$2:$A$10000&amp;JupData!$J$2:$J$10000,0),11))</f>
        <v/>
      </c>
      <c r="L416" t="str">
        <f t="array" ref="L416">IF($A416="","",INDEX(JupData!$A$2:$K$10000,MATCH($A416&amp;L$1,JupData!$A$2:$A$10000&amp;JupData!$J$2:$J$10000,0),11))</f>
        <v/>
      </c>
      <c r="M416" t="str">
        <f t="array" ref="M416">IF($A416="","",INDEX(JupData!$A$2:$K$10000,MATCH($A416&amp;M$1,JupData!$A$2:$A$10000&amp;JupData!$J$2:$J$10000,0),11))</f>
        <v/>
      </c>
      <c r="N416" t="str">
        <f t="array" ref="N416">IF($A416="","",INDEX(JupData!$A$2:$K$10000,MATCH($A416&amp;N$1,JupData!$A$2:$A$10000&amp;JupData!$J$2:$J$10000,0),11))</f>
        <v/>
      </c>
      <c r="O416" t="str">
        <f t="array" ref="O416">IF($A416="","",INDEX(JupData!$A$2:$K$10000,MATCH($A416&amp;O$1,JupData!$A$2:$A$10000&amp;JupData!$J$2:$J$10000,0),11))</f>
        <v/>
      </c>
      <c r="P416" t="str">
        <f t="array" ref="P416">IF($A416="","",INDEX(JupData!$A$2:$K$10000,MATCH($A416&amp;P$1,JupData!$A$2:$A$10000&amp;JupData!$J$2:$J$10000,0),11))</f>
        <v/>
      </c>
      <c r="Q416" t="str">
        <f t="array" ref="Q416">IF($A416="","",INDEX(JupData!$A$2:$K$10000,MATCH($A416&amp;Q$1,JupData!$A$2:$A$10000&amp;JupData!$J$2:$J$10000,0),11))</f>
        <v/>
      </c>
      <c r="R416" t="str">
        <f t="array" ref="R416">IF($A416="","",INDEX(JupData!$A$2:$K$10000,MATCH($A416&amp;R$1,JupData!$A$2:$A$10000&amp;JupData!$J$2:$J$10000,0),11))</f>
        <v/>
      </c>
      <c r="S416" t="str">
        <f t="array" ref="S416">IF($A416="","",INDEX(JupData!$A$2:$K$10000,MATCH($A416&amp;S$1,JupData!$A$2:$A$10000&amp;JupData!$J$2:$J$10000,0),11))</f>
        <v/>
      </c>
      <c r="T416" t="str">
        <f t="array" ref="T416">IF($A416="","",INDEX(JupData!$A$2:$K$10000,MATCH($A416&amp;T$1,JupData!$A$2:$A$10000&amp;JupData!$J$2:$J$10000,0),11))</f>
        <v/>
      </c>
      <c r="U416" t="str">
        <f t="array" ref="U416">IF($A416="","",INDEX(JupData!$A$2:$K$10000,MATCH($A416&amp;U$1,JupData!$A$2:$A$10000&amp;JupData!$J$2:$J$10000,0),11))</f>
        <v/>
      </c>
      <c r="V416" t="str">
        <f t="array" ref="V416">IF($A416="","",INDEX(JupData!$A$2:$K$10000,MATCH($A416&amp;V$1,JupData!$A$2:$A$10000&amp;JupData!$J$2:$J$10000,0),11))</f>
        <v/>
      </c>
      <c r="W416" t="str">
        <f t="array" ref="W416">IF($A416="","",INDEX(JupData!$A$2:$K$10000,MATCH($A416&amp;W$1,JupData!$A$2:$A$10000&amp;JupData!$J$2:$J$10000,0),11))</f>
        <v/>
      </c>
      <c r="X416" t="str">
        <f t="array" ref="X416">IF($A416="","",INDEX(JupData!$A$2:$K$10000,MATCH($A416&amp;X$1,JupData!$A$2:$A$10000&amp;JupData!$J$2:$J$10000,0),11))</f>
        <v/>
      </c>
      <c r="Y416" t="str">
        <f t="array" ref="Y416">IF($A416="","",INDEX(JupData!$A$2:$K$10000,MATCH($A416&amp;Y$1,JupData!$A$2:$A$10000&amp;JupData!$J$2:$J$10000,0),11))</f>
        <v/>
      </c>
      <c r="Z416" t="str">
        <f t="array" ref="Z416">IF($A416="","",INDEX(JupData!$A$2:$K$10000,MATCH($A416&amp;Z$1,JupData!$A$2:$A$10000&amp;JupData!$J$2:$J$10000,0),11))</f>
        <v/>
      </c>
      <c r="AA416" t="str">
        <f t="array" ref="AA416">IF($A416="","",INDEX(JupData!$A$2:$K$10000,MATCH($A416&amp;AA$1,JupData!$A$2:$A$10000&amp;JupData!$J$2:$J$10000,0),11))</f>
        <v/>
      </c>
      <c r="AB416" t="str">
        <f t="array" ref="AB416">IF($A416="","",INDEX(JupData!$A$2:$K$10000,MATCH($A416&amp;AB$1,JupData!$A$2:$A$10000&amp;JupData!$J$2:$J$10000,0),11))</f>
        <v/>
      </c>
      <c r="AC416" s="10" t="str">
        <f t="shared" si="66"/>
        <v/>
      </c>
      <c r="AD416" s="10" t="str">
        <f t="shared" si="67"/>
        <v/>
      </c>
      <c r="AE416" s="9" t="str">
        <f t="shared" si="68"/>
        <v/>
      </c>
      <c r="AF416" s="10" t="str">
        <f t="shared" si="69"/>
        <v/>
      </c>
      <c r="AG416" s="10" t="str">
        <f t="shared" si="70"/>
        <v/>
      </c>
      <c r="AH416" s="10" t="str">
        <f t="shared" si="71"/>
        <v/>
      </c>
      <c r="AI416" s="10" t="str">
        <f t="shared" si="72"/>
        <v/>
      </c>
      <c r="AJ416" s="10" t="str">
        <f t="shared" si="73"/>
        <v/>
      </c>
      <c r="AK416" s="10" t="str">
        <f t="shared" si="74"/>
        <v/>
      </c>
      <c r="AL416" s="14" t="str">
        <f t="shared" si="75"/>
        <v/>
      </c>
    </row>
    <row r="417" spans="1:38" x14ac:dyDescent="0.2">
      <c r="A417"/>
      <c r="B417" t="str">
        <f>IF($A417="","",VLOOKUP($A417,JupData!$A$2:$I$10000,4,FALSE))</f>
        <v/>
      </c>
      <c r="C417" s="7" t="str">
        <f>IF($A417="",IF(N(D417),0,""),VLOOKUP($A417,JupData!$A$2:$I$10000,7,FALSE))</f>
        <v/>
      </c>
      <c r="D417" t="str">
        <f t="shared" si="76"/>
        <v/>
      </c>
      <c r="E417" t="str">
        <f t="array" ref="E417">IF($A417="","",INDEX(JupData!$A$2:$K$10000,MATCH($A417&amp;E$1,JupData!$A$2:$A$10000&amp;JupData!$J$2:$J$10000,0),11))</f>
        <v/>
      </c>
      <c r="F417" t="str">
        <f t="array" ref="F417">IF($A417="","",INDEX(JupData!$A$2:$K$10000,MATCH($A417&amp;F$1,JupData!$A$2:$A$10000&amp;JupData!$J$2:$J$10000,0),11))</f>
        <v/>
      </c>
      <c r="G417" t="str">
        <f t="array" ref="G417">IF($A417="","",INDEX(JupData!$A$2:$K$10000,MATCH($A417&amp;G$1,JupData!$A$2:$A$10000&amp;JupData!$J$2:$J$10000,0),11))</f>
        <v/>
      </c>
      <c r="H417" t="str">
        <f t="array" ref="H417">IF($A417="","",INDEX(JupData!$A$2:$K$10000,MATCH($A417&amp;H$1,JupData!$A$2:$A$10000&amp;JupData!$J$2:$J$10000,0),11))</f>
        <v/>
      </c>
      <c r="I417" t="str">
        <f t="array" ref="I417">IF($A417="","",INDEX(JupData!$A$2:$K$10000,MATCH($A417&amp;I$1,JupData!$A$2:$A$10000&amp;JupData!$J$2:$J$10000,0),11))</f>
        <v/>
      </c>
      <c r="J417" t="str">
        <f t="array" ref="J417">IF($A417="","",INDEX(JupData!$A$2:$K$10000,MATCH($A417&amp;J$1,JupData!$A$2:$A$10000&amp;JupData!$J$2:$J$10000,0),11))</f>
        <v/>
      </c>
      <c r="K417" t="str">
        <f t="array" ref="K417">IF($A417="","",INDEX(JupData!$A$2:$K$10000,MATCH($A417&amp;K$1,JupData!$A$2:$A$10000&amp;JupData!$J$2:$J$10000,0),11))</f>
        <v/>
      </c>
      <c r="L417" t="str">
        <f t="array" ref="L417">IF($A417="","",INDEX(JupData!$A$2:$K$10000,MATCH($A417&amp;L$1,JupData!$A$2:$A$10000&amp;JupData!$J$2:$J$10000,0),11))</f>
        <v/>
      </c>
      <c r="M417" t="str">
        <f t="array" ref="M417">IF($A417="","",INDEX(JupData!$A$2:$K$10000,MATCH($A417&amp;M$1,JupData!$A$2:$A$10000&amp;JupData!$J$2:$J$10000,0),11))</f>
        <v/>
      </c>
      <c r="N417" t="str">
        <f t="array" ref="N417">IF($A417="","",INDEX(JupData!$A$2:$K$10000,MATCH($A417&amp;N$1,JupData!$A$2:$A$10000&amp;JupData!$J$2:$J$10000,0),11))</f>
        <v/>
      </c>
      <c r="O417" t="str">
        <f t="array" ref="O417">IF($A417="","",INDEX(JupData!$A$2:$K$10000,MATCH($A417&amp;O$1,JupData!$A$2:$A$10000&amp;JupData!$J$2:$J$10000,0),11))</f>
        <v/>
      </c>
      <c r="P417" t="str">
        <f t="array" ref="P417">IF($A417="","",INDEX(JupData!$A$2:$K$10000,MATCH($A417&amp;P$1,JupData!$A$2:$A$10000&amp;JupData!$J$2:$J$10000,0),11))</f>
        <v/>
      </c>
      <c r="Q417" t="str">
        <f t="array" ref="Q417">IF($A417="","",INDEX(JupData!$A$2:$K$10000,MATCH($A417&amp;Q$1,JupData!$A$2:$A$10000&amp;JupData!$J$2:$J$10000,0),11))</f>
        <v/>
      </c>
      <c r="R417" t="str">
        <f t="array" ref="R417">IF($A417="","",INDEX(JupData!$A$2:$K$10000,MATCH($A417&amp;R$1,JupData!$A$2:$A$10000&amp;JupData!$J$2:$J$10000,0),11))</f>
        <v/>
      </c>
      <c r="S417" t="str">
        <f t="array" ref="S417">IF($A417="","",INDEX(JupData!$A$2:$K$10000,MATCH($A417&amp;S$1,JupData!$A$2:$A$10000&amp;JupData!$J$2:$J$10000,0),11))</f>
        <v/>
      </c>
      <c r="T417" t="str">
        <f t="array" ref="T417">IF($A417="","",INDEX(JupData!$A$2:$K$10000,MATCH($A417&amp;T$1,JupData!$A$2:$A$10000&amp;JupData!$J$2:$J$10000,0),11))</f>
        <v/>
      </c>
      <c r="U417" t="str">
        <f t="array" ref="U417">IF($A417="","",INDEX(JupData!$A$2:$K$10000,MATCH($A417&amp;U$1,JupData!$A$2:$A$10000&amp;JupData!$J$2:$J$10000,0),11))</f>
        <v/>
      </c>
      <c r="V417" t="str">
        <f t="array" ref="V417">IF($A417="","",INDEX(JupData!$A$2:$K$10000,MATCH($A417&amp;V$1,JupData!$A$2:$A$10000&amp;JupData!$J$2:$J$10000,0),11))</f>
        <v/>
      </c>
      <c r="W417" t="str">
        <f t="array" ref="W417">IF($A417="","",INDEX(JupData!$A$2:$K$10000,MATCH($A417&amp;W$1,JupData!$A$2:$A$10000&amp;JupData!$J$2:$J$10000,0),11))</f>
        <v/>
      </c>
      <c r="X417" t="str">
        <f t="array" ref="X417">IF($A417="","",INDEX(JupData!$A$2:$K$10000,MATCH($A417&amp;X$1,JupData!$A$2:$A$10000&amp;JupData!$J$2:$J$10000,0),11))</f>
        <v/>
      </c>
      <c r="Y417" t="str">
        <f t="array" ref="Y417">IF($A417="","",INDEX(JupData!$A$2:$K$10000,MATCH($A417&amp;Y$1,JupData!$A$2:$A$10000&amp;JupData!$J$2:$J$10000,0),11))</f>
        <v/>
      </c>
      <c r="Z417" t="str">
        <f t="array" ref="Z417">IF($A417="","",INDEX(JupData!$A$2:$K$10000,MATCH($A417&amp;Z$1,JupData!$A$2:$A$10000&amp;JupData!$J$2:$J$10000,0),11))</f>
        <v/>
      </c>
      <c r="AA417" t="str">
        <f t="array" ref="AA417">IF($A417="","",INDEX(JupData!$A$2:$K$10000,MATCH($A417&amp;AA$1,JupData!$A$2:$A$10000&amp;JupData!$J$2:$J$10000,0),11))</f>
        <v/>
      </c>
      <c r="AB417" t="str">
        <f t="array" ref="AB417">IF($A417="","",INDEX(JupData!$A$2:$K$10000,MATCH($A417&amp;AB$1,JupData!$A$2:$A$10000&amp;JupData!$J$2:$J$10000,0),11))</f>
        <v/>
      </c>
      <c r="AC417" s="10" t="str">
        <f t="shared" si="66"/>
        <v/>
      </c>
      <c r="AD417" s="10" t="str">
        <f t="shared" si="67"/>
        <v/>
      </c>
      <c r="AE417" s="9" t="str">
        <f t="shared" si="68"/>
        <v/>
      </c>
      <c r="AF417" s="10" t="str">
        <f t="shared" si="69"/>
        <v/>
      </c>
      <c r="AG417" s="10" t="str">
        <f t="shared" si="70"/>
        <v/>
      </c>
      <c r="AH417" s="10" t="str">
        <f t="shared" si="71"/>
        <v/>
      </c>
      <c r="AI417" s="10" t="str">
        <f t="shared" si="72"/>
        <v/>
      </c>
      <c r="AJ417" s="10" t="str">
        <f t="shared" si="73"/>
        <v/>
      </c>
      <c r="AK417" s="10" t="str">
        <f t="shared" si="74"/>
        <v/>
      </c>
      <c r="AL417" s="14" t="str">
        <f t="shared" si="75"/>
        <v/>
      </c>
    </row>
    <row r="418" spans="1:38" x14ac:dyDescent="0.2">
      <c r="A418"/>
      <c r="B418" t="str">
        <f>IF($A418="","",VLOOKUP($A418,JupData!$A$2:$I$10000,4,FALSE))</f>
        <v/>
      </c>
      <c r="C418" s="7" t="str">
        <f>IF($A418="",IF(N(D418),0,""),VLOOKUP($A418,JupData!$A$2:$I$10000,7,FALSE))</f>
        <v/>
      </c>
      <c r="D418" t="str">
        <f t="shared" si="76"/>
        <v/>
      </c>
      <c r="E418" t="str">
        <f t="array" ref="E418">IF($A418="","",INDEX(JupData!$A$2:$K$10000,MATCH($A418&amp;E$1,JupData!$A$2:$A$10000&amp;JupData!$J$2:$J$10000,0),11))</f>
        <v/>
      </c>
      <c r="F418" t="str">
        <f t="array" ref="F418">IF($A418="","",INDEX(JupData!$A$2:$K$10000,MATCH($A418&amp;F$1,JupData!$A$2:$A$10000&amp;JupData!$J$2:$J$10000,0),11))</f>
        <v/>
      </c>
      <c r="G418" t="str">
        <f t="array" ref="G418">IF($A418="","",INDEX(JupData!$A$2:$K$10000,MATCH($A418&amp;G$1,JupData!$A$2:$A$10000&amp;JupData!$J$2:$J$10000,0),11))</f>
        <v/>
      </c>
      <c r="H418" t="str">
        <f t="array" ref="H418">IF($A418="","",INDEX(JupData!$A$2:$K$10000,MATCH($A418&amp;H$1,JupData!$A$2:$A$10000&amp;JupData!$J$2:$J$10000,0),11))</f>
        <v/>
      </c>
      <c r="I418" t="str">
        <f t="array" ref="I418">IF($A418="","",INDEX(JupData!$A$2:$K$10000,MATCH($A418&amp;I$1,JupData!$A$2:$A$10000&amp;JupData!$J$2:$J$10000,0),11))</f>
        <v/>
      </c>
      <c r="J418" t="str">
        <f t="array" ref="J418">IF($A418="","",INDEX(JupData!$A$2:$K$10000,MATCH($A418&amp;J$1,JupData!$A$2:$A$10000&amp;JupData!$J$2:$J$10000,0),11))</f>
        <v/>
      </c>
      <c r="K418" t="str">
        <f t="array" ref="K418">IF($A418="","",INDEX(JupData!$A$2:$K$10000,MATCH($A418&amp;K$1,JupData!$A$2:$A$10000&amp;JupData!$J$2:$J$10000,0),11))</f>
        <v/>
      </c>
      <c r="L418" t="str">
        <f t="array" ref="L418">IF($A418="","",INDEX(JupData!$A$2:$K$10000,MATCH($A418&amp;L$1,JupData!$A$2:$A$10000&amp;JupData!$J$2:$J$10000,0),11))</f>
        <v/>
      </c>
      <c r="M418" t="str">
        <f t="array" ref="M418">IF($A418="","",INDEX(JupData!$A$2:$K$10000,MATCH($A418&amp;M$1,JupData!$A$2:$A$10000&amp;JupData!$J$2:$J$10000,0),11))</f>
        <v/>
      </c>
      <c r="N418" t="str">
        <f t="array" ref="N418">IF($A418="","",INDEX(JupData!$A$2:$K$10000,MATCH($A418&amp;N$1,JupData!$A$2:$A$10000&amp;JupData!$J$2:$J$10000,0),11))</f>
        <v/>
      </c>
      <c r="O418" t="str">
        <f t="array" ref="O418">IF($A418="","",INDEX(JupData!$A$2:$K$10000,MATCH($A418&amp;O$1,JupData!$A$2:$A$10000&amp;JupData!$J$2:$J$10000,0),11))</f>
        <v/>
      </c>
      <c r="P418" t="str">
        <f t="array" ref="P418">IF($A418="","",INDEX(JupData!$A$2:$K$10000,MATCH($A418&amp;P$1,JupData!$A$2:$A$10000&amp;JupData!$J$2:$J$10000,0),11))</f>
        <v/>
      </c>
      <c r="Q418" t="str">
        <f t="array" ref="Q418">IF($A418="","",INDEX(JupData!$A$2:$K$10000,MATCH($A418&amp;Q$1,JupData!$A$2:$A$10000&amp;JupData!$J$2:$J$10000,0),11))</f>
        <v/>
      </c>
      <c r="R418" t="str">
        <f t="array" ref="R418">IF($A418="","",INDEX(JupData!$A$2:$K$10000,MATCH($A418&amp;R$1,JupData!$A$2:$A$10000&amp;JupData!$J$2:$J$10000,0),11))</f>
        <v/>
      </c>
      <c r="S418" t="str">
        <f t="array" ref="S418">IF($A418="","",INDEX(JupData!$A$2:$K$10000,MATCH($A418&amp;S$1,JupData!$A$2:$A$10000&amp;JupData!$J$2:$J$10000,0),11))</f>
        <v/>
      </c>
      <c r="T418" t="str">
        <f t="array" ref="T418">IF($A418="","",INDEX(JupData!$A$2:$K$10000,MATCH($A418&amp;T$1,JupData!$A$2:$A$10000&amp;JupData!$J$2:$J$10000,0),11))</f>
        <v/>
      </c>
      <c r="U418" t="str">
        <f t="array" ref="U418">IF($A418="","",INDEX(JupData!$A$2:$K$10000,MATCH($A418&amp;U$1,JupData!$A$2:$A$10000&amp;JupData!$J$2:$J$10000,0),11))</f>
        <v/>
      </c>
      <c r="V418" t="str">
        <f t="array" ref="V418">IF($A418="","",INDEX(JupData!$A$2:$K$10000,MATCH($A418&amp;V$1,JupData!$A$2:$A$10000&amp;JupData!$J$2:$J$10000,0),11))</f>
        <v/>
      </c>
      <c r="W418" t="str">
        <f t="array" ref="W418">IF($A418="","",INDEX(JupData!$A$2:$K$10000,MATCH($A418&amp;W$1,JupData!$A$2:$A$10000&amp;JupData!$J$2:$J$10000,0),11))</f>
        <v/>
      </c>
      <c r="X418" t="str">
        <f t="array" ref="X418">IF($A418="","",INDEX(JupData!$A$2:$K$10000,MATCH($A418&amp;X$1,JupData!$A$2:$A$10000&amp;JupData!$J$2:$J$10000,0),11))</f>
        <v/>
      </c>
      <c r="Y418" t="str">
        <f t="array" ref="Y418">IF($A418="","",INDEX(JupData!$A$2:$K$10000,MATCH($A418&amp;Y$1,JupData!$A$2:$A$10000&amp;JupData!$J$2:$J$10000,0),11))</f>
        <v/>
      </c>
      <c r="Z418" t="str">
        <f t="array" ref="Z418">IF($A418="","",INDEX(JupData!$A$2:$K$10000,MATCH($A418&amp;Z$1,JupData!$A$2:$A$10000&amp;JupData!$J$2:$J$10000,0),11))</f>
        <v/>
      </c>
      <c r="AA418" t="str">
        <f t="array" ref="AA418">IF($A418="","",INDEX(JupData!$A$2:$K$10000,MATCH($A418&amp;AA$1,JupData!$A$2:$A$10000&amp;JupData!$J$2:$J$10000,0),11))</f>
        <v/>
      </c>
      <c r="AB418" t="str">
        <f t="array" ref="AB418">IF($A418="","",INDEX(JupData!$A$2:$K$10000,MATCH($A418&amp;AB$1,JupData!$A$2:$A$10000&amp;JupData!$J$2:$J$10000,0),11))</f>
        <v/>
      </c>
      <c r="AC418" s="10" t="str">
        <f t="shared" si="66"/>
        <v/>
      </c>
      <c r="AD418" s="10" t="str">
        <f t="shared" si="67"/>
        <v/>
      </c>
      <c r="AE418" s="9" t="str">
        <f t="shared" si="68"/>
        <v/>
      </c>
      <c r="AF418" s="10" t="str">
        <f t="shared" si="69"/>
        <v/>
      </c>
      <c r="AG418" s="10" t="str">
        <f t="shared" si="70"/>
        <v/>
      </c>
      <c r="AH418" s="10" t="str">
        <f t="shared" si="71"/>
        <v/>
      </c>
      <c r="AI418" s="10" t="str">
        <f t="shared" si="72"/>
        <v/>
      </c>
      <c r="AJ418" s="10" t="str">
        <f t="shared" si="73"/>
        <v/>
      </c>
      <c r="AK418" s="10" t="str">
        <f t="shared" si="74"/>
        <v/>
      </c>
      <c r="AL418" s="14" t="str">
        <f t="shared" si="75"/>
        <v/>
      </c>
    </row>
    <row r="419" spans="1:38" x14ac:dyDescent="0.2">
      <c r="A419"/>
      <c r="B419" t="str">
        <f>IF($A419="","",VLOOKUP($A419,JupData!$A$2:$I$10000,4,FALSE))</f>
        <v/>
      </c>
      <c r="C419" s="7" t="str">
        <f>IF($A419="",IF(N(D419),0,""),VLOOKUP($A419,JupData!$A$2:$I$10000,7,FALSE))</f>
        <v/>
      </c>
      <c r="D419" t="str">
        <f t="shared" si="76"/>
        <v/>
      </c>
      <c r="E419" t="str">
        <f t="array" ref="E419">IF($A419="","",INDEX(JupData!$A$2:$K$10000,MATCH($A419&amp;E$1,JupData!$A$2:$A$10000&amp;JupData!$J$2:$J$10000,0),11))</f>
        <v/>
      </c>
      <c r="F419" t="str">
        <f t="array" ref="F419">IF($A419="","",INDEX(JupData!$A$2:$K$10000,MATCH($A419&amp;F$1,JupData!$A$2:$A$10000&amp;JupData!$J$2:$J$10000,0),11))</f>
        <v/>
      </c>
      <c r="G419" t="str">
        <f t="array" ref="G419">IF($A419="","",INDEX(JupData!$A$2:$K$10000,MATCH($A419&amp;G$1,JupData!$A$2:$A$10000&amp;JupData!$J$2:$J$10000,0),11))</f>
        <v/>
      </c>
      <c r="H419" t="str">
        <f t="array" ref="H419">IF($A419="","",INDEX(JupData!$A$2:$K$10000,MATCH($A419&amp;H$1,JupData!$A$2:$A$10000&amp;JupData!$J$2:$J$10000,0),11))</f>
        <v/>
      </c>
      <c r="I419" t="str">
        <f t="array" ref="I419">IF($A419="","",INDEX(JupData!$A$2:$K$10000,MATCH($A419&amp;I$1,JupData!$A$2:$A$10000&amp;JupData!$J$2:$J$10000,0),11))</f>
        <v/>
      </c>
      <c r="J419" t="str">
        <f t="array" ref="J419">IF($A419="","",INDEX(JupData!$A$2:$K$10000,MATCH($A419&amp;J$1,JupData!$A$2:$A$10000&amp;JupData!$J$2:$J$10000,0),11))</f>
        <v/>
      </c>
      <c r="K419" t="str">
        <f t="array" ref="K419">IF($A419="","",INDEX(JupData!$A$2:$K$10000,MATCH($A419&amp;K$1,JupData!$A$2:$A$10000&amp;JupData!$J$2:$J$10000,0),11))</f>
        <v/>
      </c>
      <c r="L419" t="str">
        <f t="array" ref="L419">IF($A419="","",INDEX(JupData!$A$2:$K$10000,MATCH($A419&amp;L$1,JupData!$A$2:$A$10000&amp;JupData!$J$2:$J$10000,0),11))</f>
        <v/>
      </c>
      <c r="M419" t="str">
        <f t="array" ref="M419">IF($A419="","",INDEX(JupData!$A$2:$K$10000,MATCH($A419&amp;M$1,JupData!$A$2:$A$10000&amp;JupData!$J$2:$J$10000,0),11))</f>
        <v/>
      </c>
      <c r="N419" t="str">
        <f t="array" ref="N419">IF($A419="","",INDEX(JupData!$A$2:$K$10000,MATCH($A419&amp;N$1,JupData!$A$2:$A$10000&amp;JupData!$J$2:$J$10000,0),11))</f>
        <v/>
      </c>
      <c r="O419" t="str">
        <f t="array" ref="O419">IF($A419="","",INDEX(JupData!$A$2:$K$10000,MATCH($A419&amp;O$1,JupData!$A$2:$A$10000&amp;JupData!$J$2:$J$10000,0),11))</f>
        <v/>
      </c>
      <c r="P419" t="str">
        <f t="array" ref="P419">IF($A419="","",INDEX(JupData!$A$2:$K$10000,MATCH($A419&amp;P$1,JupData!$A$2:$A$10000&amp;JupData!$J$2:$J$10000,0),11))</f>
        <v/>
      </c>
      <c r="Q419" t="str">
        <f t="array" ref="Q419">IF($A419="","",INDEX(JupData!$A$2:$K$10000,MATCH($A419&amp;Q$1,JupData!$A$2:$A$10000&amp;JupData!$J$2:$J$10000,0),11))</f>
        <v/>
      </c>
      <c r="R419" t="str">
        <f t="array" ref="R419">IF($A419="","",INDEX(JupData!$A$2:$K$10000,MATCH($A419&amp;R$1,JupData!$A$2:$A$10000&amp;JupData!$J$2:$J$10000,0),11))</f>
        <v/>
      </c>
      <c r="S419" t="str">
        <f t="array" ref="S419">IF($A419="","",INDEX(JupData!$A$2:$K$10000,MATCH($A419&amp;S$1,JupData!$A$2:$A$10000&amp;JupData!$J$2:$J$10000,0),11))</f>
        <v/>
      </c>
      <c r="T419" t="str">
        <f t="array" ref="T419">IF($A419="","",INDEX(JupData!$A$2:$K$10000,MATCH($A419&amp;T$1,JupData!$A$2:$A$10000&amp;JupData!$J$2:$J$10000,0),11))</f>
        <v/>
      </c>
      <c r="U419" t="str">
        <f t="array" ref="U419">IF($A419="","",INDEX(JupData!$A$2:$K$10000,MATCH($A419&amp;U$1,JupData!$A$2:$A$10000&amp;JupData!$J$2:$J$10000,0),11))</f>
        <v/>
      </c>
      <c r="V419" t="str">
        <f t="array" ref="V419">IF($A419="","",INDEX(JupData!$A$2:$K$10000,MATCH($A419&amp;V$1,JupData!$A$2:$A$10000&amp;JupData!$J$2:$J$10000,0),11))</f>
        <v/>
      </c>
      <c r="W419" t="str">
        <f t="array" ref="W419">IF($A419="","",INDEX(JupData!$A$2:$K$10000,MATCH($A419&amp;W$1,JupData!$A$2:$A$10000&amp;JupData!$J$2:$J$10000,0),11))</f>
        <v/>
      </c>
      <c r="X419" t="str">
        <f t="array" ref="X419">IF($A419="","",INDEX(JupData!$A$2:$K$10000,MATCH($A419&amp;X$1,JupData!$A$2:$A$10000&amp;JupData!$J$2:$J$10000,0),11))</f>
        <v/>
      </c>
      <c r="Y419" t="str">
        <f t="array" ref="Y419">IF($A419="","",INDEX(JupData!$A$2:$K$10000,MATCH($A419&amp;Y$1,JupData!$A$2:$A$10000&amp;JupData!$J$2:$J$10000,0),11))</f>
        <v/>
      </c>
      <c r="Z419" t="str">
        <f t="array" ref="Z419">IF($A419="","",INDEX(JupData!$A$2:$K$10000,MATCH($A419&amp;Z$1,JupData!$A$2:$A$10000&amp;JupData!$J$2:$J$10000,0),11))</f>
        <v/>
      </c>
      <c r="AA419" t="str">
        <f t="array" ref="AA419">IF($A419="","",INDEX(JupData!$A$2:$K$10000,MATCH($A419&amp;AA$1,JupData!$A$2:$A$10000&amp;JupData!$J$2:$J$10000,0),11))</f>
        <v/>
      </c>
      <c r="AB419" t="str">
        <f t="array" ref="AB419">IF($A419="","",INDEX(JupData!$A$2:$K$10000,MATCH($A419&amp;AB$1,JupData!$A$2:$A$10000&amp;JupData!$J$2:$J$10000,0),11))</f>
        <v/>
      </c>
      <c r="AC419" s="10" t="str">
        <f t="shared" si="66"/>
        <v/>
      </c>
      <c r="AD419" s="10" t="str">
        <f t="shared" si="67"/>
        <v/>
      </c>
      <c r="AE419" s="9" t="str">
        <f t="shared" si="68"/>
        <v/>
      </c>
      <c r="AF419" s="10" t="str">
        <f t="shared" si="69"/>
        <v/>
      </c>
      <c r="AG419" s="10" t="str">
        <f t="shared" si="70"/>
        <v/>
      </c>
      <c r="AH419" s="10" t="str">
        <f t="shared" si="71"/>
        <v/>
      </c>
      <c r="AI419" s="10" t="str">
        <f t="shared" si="72"/>
        <v/>
      </c>
      <c r="AJ419" s="10" t="str">
        <f t="shared" si="73"/>
        <v/>
      </c>
      <c r="AK419" s="10" t="str">
        <f t="shared" si="74"/>
        <v/>
      </c>
      <c r="AL419" s="14" t="str">
        <f t="shared" si="75"/>
        <v/>
      </c>
    </row>
    <row r="420" spans="1:38" x14ac:dyDescent="0.2">
      <c r="A420"/>
      <c r="B420" t="str">
        <f>IF($A420="","",VLOOKUP($A420,JupData!$A$2:$I$10000,4,FALSE))</f>
        <v/>
      </c>
      <c r="C420" s="7" t="str">
        <f>IF($A420="",IF(N(D420),0,""),VLOOKUP($A420,JupData!$A$2:$I$10000,7,FALSE))</f>
        <v/>
      </c>
      <c r="D420" t="str">
        <f t="shared" si="76"/>
        <v/>
      </c>
      <c r="E420" t="str">
        <f t="array" ref="E420">IF($A420="","",INDEX(JupData!$A$2:$K$10000,MATCH($A420&amp;E$1,JupData!$A$2:$A$10000&amp;JupData!$J$2:$J$10000,0),11))</f>
        <v/>
      </c>
      <c r="F420" t="str">
        <f t="array" ref="F420">IF($A420="","",INDEX(JupData!$A$2:$K$10000,MATCH($A420&amp;F$1,JupData!$A$2:$A$10000&amp;JupData!$J$2:$J$10000,0),11))</f>
        <v/>
      </c>
      <c r="G420" t="str">
        <f t="array" ref="G420">IF($A420="","",INDEX(JupData!$A$2:$K$10000,MATCH($A420&amp;G$1,JupData!$A$2:$A$10000&amp;JupData!$J$2:$J$10000,0),11))</f>
        <v/>
      </c>
      <c r="H420" t="str">
        <f t="array" ref="H420">IF($A420="","",INDEX(JupData!$A$2:$K$10000,MATCH($A420&amp;H$1,JupData!$A$2:$A$10000&amp;JupData!$J$2:$J$10000,0),11))</f>
        <v/>
      </c>
      <c r="I420" t="str">
        <f t="array" ref="I420">IF($A420="","",INDEX(JupData!$A$2:$K$10000,MATCH($A420&amp;I$1,JupData!$A$2:$A$10000&amp;JupData!$J$2:$J$10000,0),11))</f>
        <v/>
      </c>
      <c r="J420" t="str">
        <f t="array" ref="J420">IF($A420="","",INDEX(JupData!$A$2:$K$10000,MATCH($A420&amp;J$1,JupData!$A$2:$A$10000&amp;JupData!$J$2:$J$10000,0),11))</f>
        <v/>
      </c>
      <c r="K420" t="str">
        <f t="array" ref="K420">IF($A420="","",INDEX(JupData!$A$2:$K$10000,MATCH($A420&amp;K$1,JupData!$A$2:$A$10000&amp;JupData!$J$2:$J$10000,0),11))</f>
        <v/>
      </c>
      <c r="L420" t="str">
        <f t="array" ref="L420">IF($A420="","",INDEX(JupData!$A$2:$K$10000,MATCH($A420&amp;L$1,JupData!$A$2:$A$10000&amp;JupData!$J$2:$J$10000,0),11))</f>
        <v/>
      </c>
      <c r="M420" t="str">
        <f t="array" ref="M420">IF($A420="","",INDEX(JupData!$A$2:$K$10000,MATCH($A420&amp;M$1,JupData!$A$2:$A$10000&amp;JupData!$J$2:$J$10000,0),11))</f>
        <v/>
      </c>
      <c r="N420" t="str">
        <f t="array" ref="N420">IF($A420="","",INDEX(JupData!$A$2:$K$10000,MATCH($A420&amp;N$1,JupData!$A$2:$A$10000&amp;JupData!$J$2:$J$10000,0),11))</f>
        <v/>
      </c>
      <c r="O420" t="str">
        <f t="array" ref="O420">IF($A420="","",INDEX(JupData!$A$2:$K$10000,MATCH($A420&amp;O$1,JupData!$A$2:$A$10000&amp;JupData!$J$2:$J$10000,0),11))</f>
        <v/>
      </c>
      <c r="P420" t="str">
        <f t="array" ref="P420">IF($A420="","",INDEX(JupData!$A$2:$K$10000,MATCH($A420&amp;P$1,JupData!$A$2:$A$10000&amp;JupData!$J$2:$J$10000,0),11))</f>
        <v/>
      </c>
      <c r="Q420" t="str">
        <f t="array" ref="Q420">IF($A420="","",INDEX(JupData!$A$2:$K$10000,MATCH($A420&amp;Q$1,JupData!$A$2:$A$10000&amp;JupData!$J$2:$J$10000,0),11))</f>
        <v/>
      </c>
      <c r="R420" t="str">
        <f t="array" ref="R420">IF($A420="","",INDEX(JupData!$A$2:$K$10000,MATCH($A420&amp;R$1,JupData!$A$2:$A$10000&amp;JupData!$J$2:$J$10000,0),11))</f>
        <v/>
      </c>
      <c r="S420" t="str">
        <f t="array" ref="S420">IF($A420="","",INDEX(JupData!$A$2:$K$10000,MATCH($A420&amp;S$1,JupData!$A$2:$A$10000&amp;JupData!$J$2:$J$10000,0),11))</f>
        <v/>
      </c>
      <c r="T420" t="str">
        <f t="array" ref="T420">IF($A420="","",INDEX(JupData!$A$2:$K$10000,MATCH($A420&amp;T$1,JupData!$A$2:$A$10000&amp;JupData!$J$2:$J$10000,0),11))</f>
        <v/>
      </c>
      <c r="U420" t="str">
        <f t="array" ref="U420">IF($A420="","",INDEX(JupData!$A$2:$K$10000,MATCH($A420&amp;U$1,JupData!$A$2:$A$10000&amp;JupData!$J$2:$J$10000,0),11))</f>
        <v/>
      </c>
      <c r="V420" t="str">
        <f t="array" ref="V420">IF($A420="","",INDEX(JupData!$A$2:$K$10000,MATCH($A420&amp;V$1,JupData!$A$2:$A$10000&amp;JupData!$J$2:$J$10000,0),11))</f>
        <v/>
      </c>
      <c r="W420" t="str">
        <f t="array" ref="W420">IF($A420="","",INDEX(JupData!$A$2:$K$10000,MATCH($A420&amp;W$1,JupData!$A$2:$A$10000&amp;JupData!$J$2:$J$10000,0),11))</f>
        <v/>
      </c>
      <c r="X420" t="str">
        <f t="array" ref="X420">IF($A420="","",INDEX(JupData!$A$2:$K$10000,MATCH($A420&amp;X$1,JupData!$A$2:$A$10000&amp;JupData!$J$2:$J$10000,0),11))</f>
        <v/>
      </c>
      <c r="Y420" t="str">
        <f t="array" ref="Y420">IF($A420="","",INDEX(JupData!$A$2:$K$10000,MATCH($A420&amp;Y$1,JupData!$A$2:$A$10000&amp;JupData!$J$2:$J$10000,0),11))</f>
        <v/>
      </c>
      <c r="Z420" t="str">
        <f t="array" ref="Z420">IF($A420="","",INDEX(JupData!$A$2:$K$10000,MATCH($A420&amp;Z$1,JupData!$A$2:$A$10000&amp;JupData!$J$2:$J$10000,0),11))</f>
        <v/>
      </c>
      <c r="AA420" t="str">
        <f t="array" ref="AA420">IF($A420="","",INDEX(JupData!$A$2:$K$10000,MATCH($A420&amp;AA$1,JupData!$A$2:$A$10000&amp;JupData!$J$2:$J$10000,0),11))</f>
        <v/>
      </c>
      <c r="AB420" t="str">
        <f t="array" ref="AB420">IF($A420="","",INDEX(JupData!$A$2:$K$10000,MATCH($A420&amp;AB$1,JupData!$A$2:$A$10000&amp;JupData!$J$2:$J$10000,0),11))</f>
        <v/>
      </c>
      <c r="AC420" s="10" t="str">
        <f t="shared" si="66"/>
        <v/>
      </c>
      <c r="AD420" s="10" t="str">
        <f t="shared" si="67"/>
        <v/>
      </c>
      <c r="AE420" s="9" t="str">
        <f t="shared" si="68"/>
        <v/>
      </c>
      <c r="AF420" s="10" t="str">
        <f t="shared" si="69"/>
        <v/>
      </c>
      <c r="AG420" s="10" t="str">
        <f t="shared" si="70"/>
        <v/>
      </c>
      <c r="AH420" s="10" t="str">
        <f t="shared" si="71"/>
        <v/>
      </c>
      <c r="AI420" s="10" t="str">
        <f t="shared" si="72"/>
        <v/>
      </c>
      <c r="AJ420" s="10" t="str">
        <f t="shared" si="73"/>
        <v/>
      </c>
      <c r="AK420" s="10" t="str">
        <f t="shared" si="74"/>
        <v/>
      </c>
      <c r="AL420" s="14" t="str">
        <f t="shared" si="75"/>
        <v/>
      </c>
    </row>
    <row r="421" spans="1:38" x14ac:dyDescent="0.2">
      <c r="A421"/>
      <c r="B421" t="str">
        <f>IF($A421="","",VLOOKUP($A421,JupData!$A$2:$I$10000,4,FALSE))</f>
        <v/>
      </c>
      <c r="C421" s="7" t="str">
        <f>IF($A421="",IF(N(D421),0,""),VLOOKUP($A421,JupData!$A$2:$I$10000,7,FALSE))</f>
        <v/>
      </c>
      <c r="D421" t="str">
        <f t="shared" si="76"/>
        <v/>
      </c>
      <c r="E421" t="str">
        <f t="array" ref="E421">IF($A421="","",INDEX(JupData!$A$2:$K$10000,MATCH($A421&amp;E$1,JupData!$A$2:$A$10000&amp;JupData!$J$2:$J$10000,0),11))</f>
        <v/>
      </c>
      <c r="F421" t="str">
        <f t="array" ref="F421">IF($A421="","",INDEX(JupData!$A$2:$K$10000,MATCH($A421&amp;F$1,JupData!$A$2:$A$10000&amp;JupData!$J$2:$J$10000,0),11))</f>
        <v/>
      </c>
      <c r="G421" t="str">
        <f t="array" ref="G421">IF($A421="","",INDEX(JupData!$A$2:$K$10000,MATCH($A421&amp;G$1,JupData!$A$2:$A$10000&amp;JupData!$J$2:$J$10000,0),11))</f>
        <v/>
      </c>
      <c r="H421" t="str">
        <f t="array" ref="H421">IF($A421="","",INDEX(JupData!$A$2:$K$10000,MATCH($A421&amp;H$1,JupData!$A$2:$A$10000&amp;JupData!$J$2:$J$10000,0),11))</f>
        <v/>
      </c>
      <c r="I421" t="str">
        <f t="array" ref="I421">IF($A421="","",INDEX(JupData!$A$2:$K$10000,MATCH($A421&amp;I$1,JupData!$A$2:$A$10000&amp;JupData!$J$2:$J$10000,0),11))</f>
        <v/>
      </c>
      <c r="J421" t="str">
        <f t="array" ref="J421">IF($A421="","",INDEX(JupData!$A$2:$K$10000,MATCH($A421&amp;J$1,JupData!$A$2:$A$10000&amp;JupData!$J$2:$J$10000,0),11))</f>
        <v/>
      </c>
      <c r="K421" t="str">
        <f t="array" ref="K421">IF($A421="","",INDEX(JupData!$A$2:$K$10000,MATCH($A421&amp;K$1,JupData!$A$2:$A$10000&amp;JupData!$J$2:$J$10000,0),11))</f>
        <v/>
      </c>
      <c r="L421" t="str">
        <f t="array" ref="L421">IF($A421="","",INDEX(JupData!$A$2:$K$10000,MATCH($A421&amp;L$1,JupData!$A$2:$A$10000&amp;JupData!$J$2:$J$10000,0),11))</f>
        <v/>
      </c>
      <c r="M421" t="str">
        <f t="array" ref="M421">IF($A421="","",INDEX(JupData!$A$2:$K$10000,MATCH($A421&amp;M$1,JupData!$A$2:$A$10000&amp;JupData!$J$2:$J$10000,0),11))</f>
        <v/>
      </c>
      <c r="N421" t="str">
        <f t="array" ref="N421">IF($A421="","",INDEX(JupData!$A$2:$K$10000,MATCH($A421&amp;N$1,JupData!$A$2:$A$10000&amp;JupData!$J$2:$J$10000,0),11))</f>
        <v/>
      </c>
      <c r="O421" t="str">
        <f t="array" ref="O421">IF($A421="","",INDEX(JupData!$A$2:$K$10000,MATCH($A421&amp;O$1,JupData!$A$2:$A$10000&amp;JupData!$J$2:$J$10000,0),11))</f>
        <v/>
      </c>
      <c r="P421" t="str">
        <f t="array" ref="P421">IF($A421="","",INDEX(JupData!$A$2:$K$10000,MATCH($A421&amp;P$1,JupData!$A$2:$A$10000&amp;JupData!$J$2:$J$10000,0),11))</f>
        <v/>
      </c>
      <c r="Q421" t="str">
        <f t="array" ref="Q421">IF($A421="","",INDEX(JupData!$A$2:$K$10000,MATCH($A421&amp;Q$1,JupData!$A$2:$A$10000&amp;JupData!$J$2:$J$10000,0),11))</f>
        <v/>
      </c>
      <c r="R421" t="str">
        <f t="array" ref="R421">IF($A421="","",INDEX(JupData!$A$2:$K$10000,MATCH($A421&amp;R$1,JupData!$A$2:$A$10000&amp;JupData!$J$2:$J$10000,0),11))</f>
        <v/>
      </c>
      <c r="S421" t="str">
        <f t="array" ref="S421">IF($A421="","",INDEX(JupData!$A$2:$K$10000,MATCH($A421&amp;S$1,JupData!$A$2:$A$10000&amp;JupData!$J$2:$J$10000,0),11))</f>
        <v/>
      </c>
      <c r="T421" t="str">
        <f t="array" ref="T421">IF($A421="","",INDEX(JupData!$A$2:$K$10000,MATCH($A421&amp;T$1,JupData!$A$2:$A$10000&amp;JupData!$J$2:$J$10000,0),11))</f>
        <v/>
      </c>
      <c r="U421" t="str">
        <f t="array" ref="U421">IF($A421="","",INDEX(JupData!$A$2:$K$10000,MATCH($A421&amp;U$1,JupData!$A$2:$A$10000&amp;JupData!$J$2:$J$10000,0),11))</f>
        <v/>
      </c>
      <c r="V421" t="str">
        <f t="array" ref="V421">IF($A421="","",INDEX(JupData!$A$2:$K$10000,MATCH($A421&amp;V$1,JupData!$A$2:$A$10000&amp;JupData!$J$2:$J$10000,0),11))</f>
        <v/>
      </c>
      <c r="W421" t="str">
        <f t="array" ref="W421">IF($A421="","",INDEX(JupData!$A$2:$K$10000,MATCH($A421&amp;W$1,JupData!$A$2:$A$10000&amp;JupData!$J$2:$J$10000,0),11))</f>
        <v/>
      </c>
      <c r="X421" t="str">
        <f t="array" ref="X421">IF($A421="","",INDEX(JupData!$A$2:$K$10000,MATCH($A421&amp;X$1,JupData!$A$2:$A$10000&amp;JupData!$J$2:$J$10000,0),11))</f>
        <v/>
      </c>
      <c r="Y421" t="str">
        <f t="array" ref="Y421">IF($A421="","",INDEX(JupData!$A$2:$K$10000,MATCH($A421&amp;Y$1,JupData!$A$2:$A$10000&amp;JupData!$J$2:$J$10000,0),11))</f>
        <v/>
      </c>
      <c r="Z421" t="str">
        <f t="array" ref="Z421">IF($A421="","",INDEX(JupData!$A$2:$K$10000,MATCH($A421&amp;Z$1,JupData!$A$2:$A$10000&amp;JupData!$J$2:$J$10000,0),11))</f>
        <v/>
      </c>
      <c r="AA421" t="str">
        <f t="array" ref="AA421">IF($A421="","",INDEX(JupData!$A$2:$K$10000,MATCH($A421&amp;AA$1,JupData!$A$2:$A$10000&amp;JupData!$J$2:$J$10000,0),11))</f>
        <v/>
      </c>
      <c r="AB421" t="str">
        <f t="array" ref="AB421">IF($A421="","",INDEX(JupData!$A$2:$K$10000,MATCH($A421&amp;AB$1,JupData!$A$2:$A$10000&amp;JupData!$J$2:$J$10000,0),11))</f>
        <v/>
      </c>
      <c r="AC421" s="10" t="str">
        <f t="shared" si="66"/>
        <v/>
      </c>
      <c r="AD421" s="10" t="str">
        <f t="shared" si="67"/>
        <v/>
      </c>
      <c r="AE421" s="9" t="str">
        <f t="shared" si="68"/>
        <v/>
      </c>
      <c r="AF421" s="10" t="str">
        <f t="shared" si="69"/>
        <v/>
      </c>
      <c r="AG421" s="10" t="str">
        <f t="shared" si="70"/>
        <v/>
      </c>
      <c r="AH421" s="10" t="str">
        <f t="shared" si="71"/>
        <v/>
      </c>
      <c r="AI421" s="10" t="str">
        <f t="shared" si="72"/>
        <v/>
      </c>
      <c r="AJ421" s="10" t="str">
        <f t="shared" si="73"/>
        <v/>
      </c>
      <c r="AK421" s="10" t="str">
        <f t="shared" si="74"/>
        <v/>
      </c>
      <c r="AL421" s="14" t="str">
        <f t="shared" si="75"/>
        <v/>
      </c>
    </row>
    <row r="422" spans="1:38" x14ac:dyDescent="0.2">
      <c r="A422"/>
      <c r="B422" t="str">
        <f>IF($A422="","",VLOOKUP($A422,JupData!$A$2:$I$10000,4,FALSE))</f>
        <v/>
      </c>
      <c r="C422" s="7" t="str">
        <f>IF($A422="",IF(N(D422),0,""),VLOOKUP($A422,JupData!$A$2:$I$10000,7,FALSE))</f>
        <v/>
      </c>
      <c r="D422" t="str">
        <f t="shared" si="76"/>
        <v/>
      </c>
      <c r="E422" t="str">
        <f t="array" ref="E422">IF($A422="","",INDEX(JupData!$A$2:$K$10000,MATCH($A422&amp;E$1,JupData!$A$2:$A$10000&amp;JupData!$J$2:$J$10000,0),11))</f>
        <v/>
      </c>
      <c r="F422" t="str">
        <f t="array" ref="F422">IF($A422="","",INDEX(JupData!$A$2:$K$10000,MATCH($A422&amp;F$1,JupData!$A$2:$A$10000&amp;JupData!$J$2:$J$10000,0),11))</f>
        <v/>
      </c>
      <c r="G422" t="str">
        <f t="array" ref="G422">IF($A422="","",INDEX(JupData!$A$2:$K$10000,MATCH($A422&amp;G$1,JupData!$A$2:$A$10000&amp;JupData!$J$2:$J$10000,0),11))</f>
        <v/>
      </c>
      <c r="H422" t="str">
        <f t="array" ref="H422">IF($A422="","",INDEX(JupData!$A$2:$K$10000,MATCH($A422&amp;H$1,JupData!$A$2:$A$10000&amp;JupData!$J$2:$J$10000,0),11))</f>
        <v/>
      </c>
      <c r="I422" t="str">
        <f t="array" ref="I422">IF($A422="","",INDEX(JupData!$A$2:$K$10000,MATCH($A422&amp;I$1,JupData!$A$2:$A$10000&amp;JupData!$J$2:$J$10000,0),11))</f>
        <v/>
      </c>
      <c r="J422" t="str">
        <f t="array" ref="J422">IF($A422="","",INDEX(JupData!$A$2:$K$10000,MATCH($A422&amp;J$1,JupData!$A$2:$A$10000&amp;JupData!$J$2:$J$10000,0),11))</f>
        <v/>
      </c>
      <c r="K422" t="str">
        <f t="array" ref="K422">IF($A422="","",INDEX(JupData!$A$2:$K$10000,MATCH($A422&amp;K$1,JupData!$A$2:$A$10000&amp;JupData!$J$2:$J$10000,0),11))</f>
        <v/>
      </c>
      <c r="L422" t="str">
        <f t="array" ref="L422">IF($A422="","",INDEX(JupData!$A$2:$K$10000,MATCH($A422&amp;L$1,JupData!$A$2:$A$10000&amp;JupData!$J$2:$J$10000,0),11))</f>
        <v/>
      </c>
      <c r="M422" t="str">
        <f t="array" ref="M422">IF($A422="","",INDEX(JupData!$A$2:$K$10000,MATCH($A422&amp;M$1,JupData!$A$2:$A$10000&amp;JupData!$J$2:$J$10000,0),11))</f>
        <v/>
      </c>
      <c r="N422" t="str">
        <f t="array" ref="N422">IF($A422="","",INDEX(JupData!$A$2:$K$10000,MATCH($A422&amp;N$1,JupData!$A$2:$A$10000&amp;JupData!$J$2:$J$10000,0),11))</f>
        <v/>
      </c>
      <c r="O422" t="str">
        <f t="array" ref="O422">IF($A422="","",INDEX(JupData!$A$2:$K$10000,MATCH($A422&amp;O$1,JupData!$A$2:$A$10000&amp;JupData!$J$2:$J$10000,0),11))</f>
        <v/>
      </c>
      <c r="P422" t="str">
        <f t="array" ref="P422">IF($A422="","",INDEX(JupData!$A$2:$K$10000,MATCH($A422&amp;P$1,JupData!$A$2:$A$10000&amp;JupData!$J$2:$J$10000,0),11))</f>
        <v/>
      </c>
      <c r="Q422" t="str">
        <f t="array" ref="Q422">IF($A422="","",INDEX(JupData!$A$2:$K$10000,MATCH($A422&amp;Q$1,JupData!$A$2:$A$10000&amp;JupData!$J$2:$J$10000,0),11))</f>
        <v/>
      </c>
      <c r="R422" t="str">
        <f t="array" ref="R422">IF($A422="","",INDEX(JupData!$A$2:$K$10000,MATCH($A422&amp;R$1,JupData!$A$2:$A$10000&amp;JupData!$J$2:$J$10000,0),11))</f>
        <v/>
      </c>
      <c r="S422" t="str">
        <f t="array" ref="S422">IF($A422="","",INDEX(JupData!$A$2:$K$10000,MATCH($A422&amp;S$1,JupData!$A$2:$A$10000&amp;JupData!$J$2:$J$10000,0),11))</f>
        <v/>
      </c>
      <c r="T422" t="str">
        <f t="array" ref="T422">IF($A422="","",INDEX(JupData!$A$2:$K$10000,MATCH($A422&amp;T$1,JupData!$A$2:$A$10000&amp;JupData!$J$2:$J$10000,0),11))</f>
        <v/>
      </c>
      <c r="U422" t="str">
        <f t="array" ref="U422">IF($A422="","",INDEX(JupData!$A$2:$K$10000,MATCH($A422&amp;U$1,JupData!$A$2:$A$10000&amp;JupData!$J$2:$J$10000,0),11))</f>
        <v/>
      </c>
      <c r="V422" t="str">
        <f t="array" ref="V422">IF($A422="","",INDEX(JupData!$A$2:$K$10000,MATCH($A422&amp;V$1,JupData!$A$2:$A$10000&amp;JupData!$J$2:$J$10000,0),11))</f>
        <v/>
      </c>
      <c r="W422" t="str">
        <f t="array" ref="W422">IF($A422="","",INDEX(JupData!$A$2:$K$10000,MATCH($A422&amp;W$1,JupData!$A$2:$A$10000&amp;JupData!$J$2:$J$10000,0),11))</f>
        <v/>
      </c>
      <c r="X422" t="str">
        <f t="array" ref="X422">IF($A422="","",INDEX(JupData!$A$2:$K$10000,MATCH($A422&amp;X$1,JupData!$A$2:$A$10000&amp;JupData!$J$2:$J$10000,0),11))</f>
        <v/>
      </c>
      <c r="Y422" t="str">
        <f t="array" ref="Y422">IF($A422="","",INDEX(JupData!$A$2:$K$10000,MATCH($A422&amp;Y$1,JupData!$A$2:$A$10000&amp;JupData!$J$2:$J$10000,0),11))</f>
        <v/>
      </c>
      <c r="Z422" t="str">
        <f t="array" ref="Z422">IF($A422="","",INDEX(JupData!$A$2:$K$10000,MATCH($A422&amp;Z$1,JupData!$A$2:$A$10000&amp;JupData!$J$2:$J$10000,0),11))</f>
        <v/>
      </c>
      <c r="AA422" t="str">
        <f t="array" ref="AA422">IF($A422="","",INDEX(JupData!$A$2:$K$10000,MATCH($A422&amp;AA$1,JupData!$A$2:$A$10000&amp;JupData!$J$2:$J$10000,0),11))</f>
        <v/>
      </c>
      <c r="AB422" t="str">
        <f t="array" ref="AB422">IF($A422="","",INDEX(JupData!$A$2:$K$10000,MATCH($A422&amp;AB$1,JupData!$A$2:$A$10000&amp;JupData!$J$2:$J$10000,0),11))</f>
        <v/>
      </c>
      <c r="AC422" s="10" t="str">
        <f t="shared" si="66"/>
        <v/>
      </c>
      <c r="AD422" s="10" t="str">
        <f t="shared" si="67"/>
        <v/>
      </c>
      <c r="AE422" s="9" t="str">
        <f t="shared" si="68"/>
        <v/>
      </c>
      <c r="AF422" s="10" t="str">
        <f t="shared" si="69"/>
        <v/>
      </c>
      <c r="AG422" s="10" t="str">
        <f t="shared" si="70"/>
        <v/>
      </c>
      <c r="AH422" s="10" t="str">
        <f t="shared" si="71"/>
        <v/>
      </c>
      <c r="AI422" s="10" t="str">
        <f t="shared" si="72"/>
        <v/>
      </c>
      <c r="AJ422" s="10" t="str">
        <f t="shared" si="73"/>
        <v/>
      </c>
      <c r="AK422" s="10" t="str">
        <f t="shared" si="74"/>
        <v/>
      </c>
      <c r="AL422" s="14" t="str">
        <f t="shared" si="75"/>
        <v/>
      </c>
    </row>
    <row r="423" spans="1:38" x14ac:dyDescent="0.2">
      <c r="A423"/>
      <c r="B423" t="str">
        <f>IF($A423="","",VLOOKUP($A423,JupData!$A$2:$I$10000,4,FALSE))</f>
        <v/>
      </c>
      <c r="C423" s="7" t="str">
        <f>IF($A423="",IF(N(D423),0,""),VLOOKUP($A423,JupData!$A$2:$I$10000,7,FALSE))</f>
        <v/>
      </c>
      <c r="D423" t="str">
        <f t="shared" si="76"/>
        <v/>
      </c>
      <c r="E423" t="str">
        <f t="array" ref="E423">IF($A423="","",INDEX(JupData!$A$2:$K$10000,MATCH($A423&amp;E$1,JupData!$A$2:$A$10000&amp;JupData!$J$2:$J$10000,0),11))</f>
        <v/>
      </c>
      <c r="F423" t="str">
        <f t="array" ref="F423">IF($A423="","",INDEX(JupData!$A$2:$K$10000,MATCH($A423&amp;F$1,JupData!$A$2:$A$10000&amp;JupData!$J$2:$J$10000,0),11))</f>
        <v/>
      </c>
      <c r="G423" t="str">
        <f t="array" ref="G423">IF($A423="","",INDEX(JupData!$A$2:$K$10000,MATCH($A423&amp;G$1,JupData!$A$2:$A$10000&amp;JupData!$J$2:$J$10000,0),11))</f>
        <v/>
      </c>
      <c r="H423" t="str">
        <f t="array" ref="H423">IF($A423="","",INDEX(JupData!$A$2:$K$10000,MATCH($A423&amp;H$1,JupData!$A$2:$A$10000&amp;JupData!$J$2:$J$10000,0),11))</f>
        <v/>
      </c>
      <c r="I423" t="str">
        <f t="array" ref="I423">IF($A423="","",INDEX(JupData!$A$2:$K$10000,MATCH($A423&amp;I$1,JupData!$A$2:$A$10000&amp;JupData!$J$2:$J$10000,0),11))</f>
        <v/>
      </c>
      <c r="J423" t="str">
        <f t="array" ref="J423">IF($A423="","",INDEX(JupData!$A$2:$K$10000,MATCH($A423&amp;J$1,JupData!$A$2:$A$10000&amp;JupData!$J$2:$J$10000,0),11))</f>
        <v/>
      </c>
      <c r="K423" t="str">
        <f t="array" ref="K423">IF($A423="","",INDEX(JupData!$A$2:$K$10000,MATCH($A423&amp;K$1,JupData!$A$2:$A$10000&amp;JupData!$J$2:$J$10000,0),11))</f>
        <v/>
      </c>
      <c r="L423" t="str">
        <f t="array" ref="L423">IF($A423="","",INDEX(JupData!$A$2:$K$10000,MATCH($A423&amp;L$1,JupData!$A$2:$A$10000&amp;JupData!$J$2:$J$10000,0),11))</f>
        <v/>
      </c>
      <c r="M423" t="str">
        <f t="array" ref="M423">IF($A423="","",INDEX(JupData!$A$2:$K$10000,MATCH($A423&amp;M$1,JupData!$A$2:$A$10000&amp;JupData!$J$2:$J$10000,0),11))</f>
        <v/>
      </c>
      <c r="N423" t="str">
        <f t="array" ref="N423">IF($A423="","",INDEX(JupData!$A$2:$K$10000,MATCH($A423&amp;N$1,JupData!$A$2:$A$10000&amp;JupData!$J$2:$J$10000,0),11))</f>
        <v/>
      </c>
      <c r="O423" t="str">
        <f t="array" ref="O423">IF($A423="","",INDEX(JupData!$A$2:$K$10000,MATCH($A423&amp;O$1,JupData!$A$2:$A$10000&amp;JupData!$J$2:$J$10000,0),11))</f>
        <v/>
      </c>
      <c r="P423" t="str">
        <f t="array" ref="P423">IF($A423="","",INDEX(JupData!$A$2:$K$10000,MATCH($A423&amp;P$1,JupData!$A$2:$A$10000&amp;JupData!$J$2:$J$10000,0),11))</f>
        <v/>
      </c>
      <c r="Q423" t="str">
        <f t="array" ref="Q423">IF($A423="","",INDEX(JupData!$A$2:$K$10000,MATCH($A423&amp;Q$1,JupData!$A$2:$A$10000&amp;JupData!$J$2:$J$10000,0),11))</f>
        <v/>
      </c>
      <c r="R423" t="str">
        <f t="array" ref="R423">IF($A423="","",INDEX(JupData!$A$2:$K$10000,MATCH($A423&amp;R$1,JupData!$A$2:$A$10000&amp;JupData!$J$2:$J$10000,0),11))</f>
        <v/>
      </c>
      <c r="S423" t="str">
        <f t="array" ref="S423">IF($A423="","",INDEX(JupData!$A$2:$K$10000,MATCH($A423&amp;S$1,JupData!$A$2:$A$10000&amp;JupData!$J$2:$J$10000,0),11))</f>
        <v/>
      </c>
      <c r="T423" t="str">
        <f t="array" ref="T423">IF($A423="","",INDEX(JupData!$A$2:$K$10000,MATCH($A423&amp;T$1,JupData!$A$2:$A$10000&amp;JupData!$J$2:$J$10000,0),11))</f>
        <v/>
      </c>
      <c r="U423" t="str">
        <f t="array" ref="U423">IF($A423="","",INDEX(JupData!$A$2:$K$10000,MATCH($A423&amp;U$1,JupData!$A$2:$A$10000&amp;JupData!$J$2:$J$10000,0),11))</f>
        <v/>
      </c>
      <c r="V423" t="str">
        <f t="array" ref="V423">IF($A423="","",INDEX(JupData!$A$2:$K$10000,MATCH($A423&amp;V$1,JupData!$A$2:$A$10000&amp;JupData!$J$2:$J$10000,0),11))</f>
        <v/>
      </c>
      <c r="W423" t="str">
        <f t="array" ref="W423">IF($A423="","",INDEX(JupData!$A$2:$K$10000,MATCH($A423&amp;W$1,JupData!$A$2:$A$10000&amp;JupData!$J$2:$J$10000,0),11))</f>
        <v/>
      </c>
      <c r="X423" t="str">
        <f t="array" ref="X423">IF($A423="","",INDEX(JupData!$A$2:$K$10000,MATCH($A423&amp;X$1,JupData!$A$2:$A$10000&amp;JupData!$J$2:$J$10000,0),11))</f>
        <v/>
      </c>
      <c r="Y423" t="str">
        <f t="array" ref="Y423">IF($A423="","",INDEX(JupData!$A$2:$K$10000,MATCH($A423&amp;Y$1,JupData!$A$2:$A$10000&amp;JupData!$J$2:$J$10000,0),11))</f>
        <v/>
      </c>
      <c r="Z423" t="str">
        <f t="array" ref="Z423">IF($A423="","",INDEX(JupData!$A$2:$K$10000,MATCH($A423&amp;Z$1,JupData!$A$2:$A$10000&amp;JupData!$J$2:$J$10000,0),11))</f>
        <v/>
      </c>
      <c r="AA423" t="str">
        <f t="array" ref="AA423">IF($A423="","",INDEX(JupData!$A$2:$K$10000,MATCH($A423&amp;AA$1,JupData!$A$2:$A$10000&amp;JupData!$J$2:$J$10000,0),11))</f>
        <v/>
      </c>
      <c r="AB423" t="str">
        <f t="array" ref="AB423">IF($A423="","",INDEX(JupData!$A$2:$K$10000,MATCH($A423&amp;AB$1,JupData!$A$2:$A$10000&amp;JupData!$J$2:$J$10000,0),11))</f>
        <v/>
      </c>
      <c r="AC423" s="10" t="str">
        <f t="shared" si="66"/>
        <v/>
      </c>
      <c r="AD423" s="10" t="str">
        <f t="shared" si="67"/>
        <v/>
      </c>
      <c r="AE423" s="9" t="str">
        <f t="shared" si="68"/>
        <v/>
      </c>
      <c r="AF423" s="10" t="str">
        <f t="shared" si="69"/>
        <v/>
      </c>
      <c r="AG423" s="10" t="str">
        <f t="shared" si="70"/>
        <v/>
      </c>
      <c r="AH423" s="10" t="str">
        <f t="shared" si="71"/>
        <v/>
      </c>
      <c r="AI423" s="10" t="str">
        <f t="shared" si="72"/>
        <v/>
      </c>
      <c r="AJ423" s="10" t="str">
        <f t="shared" si="73"/>
        <v/>
      </c>
      <c r="AK423" s="10" t="str">
        <f t="shared" si="74"/>
        <v/>
      </c>
      <c r="AL423" s="14" t="str">
        <f t="shared" si="75"/>
        <v/>
      </c>
    </row>
    <row r="424" spans="1:38" x14ac:dyDescent="0.2">
      <c r="A424"/>
      <c r="B424" t="str">
        <f>IF($A424="","",VLOOKUP($A424,JupData!$A$2:$I$10000,4,FALSE))</f>
        <v/>
      </c>
      <c r="C424" s="7" t="str">
        <f>IF($A424="",IF(N(D424),0,""),VLOOKUP($A424,JupData!$A$2:$I$10000,7,FALSE))</f>
        <v/>
      </c>
      <c r="D424" t="str">
        <f t="shared" si="76"/>
        <v/>
      </c>
      <c r="E424" t="str">
        <f t="array" ref="E424">IF($A424="","",INDEX(JupData!$A$2:$K$10000,MATCH($A424&amp;E$1,JupData!$A$2:$A$10000&amp;JupData!$J$2:$J$10000,0),11))</f>
        <v/>
      </c>
      <c r="F424" t="str">
        <f t="array" ref="F424">IF($A424="","",INDEX(JupData!$A$2:$K$10000,MATCH($A424&amp;F$1,JupData!$A$2:$A$10000&amp;JupData!$J$2:$J$10000,0),11))</f>
        <v/>
      </c>
      <c r="G424" t="str">
        <f t="array" ref="G424">IF($A424="","",INDEX(JupData!$A$2:$K$10000,MATCH($A424&amp;G$1,JupData!$A$2:$A$10000&amp;JupData!$J$2:$J$10000,0),11))</f>
        <v/>
      </c>
      <c r="H424" t="str">
        <f t="array" ref="H424">IF($A424="","",INDEX(JupData!$A$2:$K$10000,MATCH($A424&amp;H$1,JupData!$A$2:$A$10000&amp;JupData!$J$2:$J$10000,0),11))</f>
        <v/>
      </c>
      <c r="I424" t="str">
        <f t="array" ref="I424">IF($A424="","",INDEX(JupData!$A$2:$K$10000,MATCH($A424&amp;I$1,JupData!$A$2:$A$10000&amp;JupData!$J$2:$J$10000,0),11))</f>
        <v/>
      </c>
      <c r="J424" t="str">
        <f t="array" ref="J424">IF($A424="","",INDEX(JupData!$A$2:$K$10000,MATCH($A424&amp;J$1,JupData!$A$2:$A$10000&amp;JupData!$J$2:$J$10000,0),11))</f>
        <v/>
      </c>
      <c r="K424" t="str">
        <f t="array" ref="K424">IF($A424="","",INDEX(JupData!$A$2:$K$10000,MATCH($A424&amp;K$1,JupData!$A$2:$A$10000&amp;JupData!$J$2:$J$10000,0),11))</f>
        <v/>
      </c>
      <c r="L424" t="str">
        <f t="array" ref="L424">IF($A424="","",INDEX(JupData!$A$2:$K$10000,MATCH($A424&amp;L$1,JupData!$A$2:$A$10000&amp;JupData!$J$2:$J$10000,0),11))</f>
        <v/>
      </c>
      <c r="M424" t="str">
        <f t="array" ref="M424">IF($A424="","",INDEX(JupData!$A$2:$K$10000,MATCH($A424&amp;M$1,JupData!$A$2:$A$10000&amp;JupData!$J$2:$J$10000,0),11))</f>
        <v/>
      </c>
      <c r="N424" t="str">
        <f t="array" ref="N424">IF($A424="","",INDEX(JupData!$A$2:$K$10000,MATCH($A424&amp;N$1,JupData!$A$2:$A$10000&amp;JupData!$J$2:$J$10000,0),11))</f>
        <v/>
      </c>
      <c r="O424" t="str">
        <f t="array" ref="O424">IF($A424="","",INDEX(JupData!$A$2:$K$10000,MATCH($A424&amp;O$1,JupData!$A$2:$A$10000&amp;JupData!$J$2:$J$10000,0),11))</f>
        <v/>
      </c>
      <c r="P424" t="str">
        <f t="array" ref="P424">IF($A424="","",INDEX(JupData!$A$2:$K$10000,MATCH($A424&amp;P$1,JupData!$A$2:$A$10000&amp;JupData!$J$2:$J$10000,0),11))</f>
        <v/>
      </c>
      <c r="Q424" t="str">
        <f t="array" ref="Q424">IF($A424="","",INDEX(JupData!$A$2:$K$10000,MATCH($A424&amp;Q$1,JupData!$A$2:$A$10000&amp;JupData!$J$2:$J$10000,0),11))</f>
        <v/>
      </c>
      <c r="R424" t="str">
        <f t="array" ref="R424">IF($A424="","",INDEX(JupData!$A$2:$K$10000,MATCH($A424&amp;R$1,JupData!$A$2:$A$10000&amp;JupData!$J$2:$J$10000,0),11))</f>
        <v/>
      </c>
      <c r="S424" t="str">
        <f t="array" ref="S424">IF($A424="","",INDEX(JupData!$A$2:$K$10000,MATCH($A424&amp;S$1,JupData!$A$2:$A$10000&amp;JupData!$J$2:$J$10000,0),11))</f>
        <v/>
      </c>
      <c r="T424" t="str">
        <f t="array" ref="T424">IF($A424="","",INDEX(JupData!$A$2:$K$10000,MATCH($A424&amp;T$1,JupData!$A$2:$A$10000&amp;JupData!$J$2:$J$10000,0),11))</f>
        <v/>
      </c>
      <c r="U424" t="str">
        <f t="array" ref="U424">IF($A424="","",INDEX(JupData!$A$2:$K$10000,MATCH($A424&amp;U$1,JupData!$A$2:$A$10000&amp;JupData!$J$2:$J$10000,0),11))</f>
        <v/>
      </c>
      <c r="V424" t="str">
        <f t="array" ref="V424">IF($A424="","",INDEX(JupData!$A$2:$K$10000,MATCH($A424&amp;V$1,JupData!$A$2:$A$10000&amp;JupData!$J$2:$J$10000,0),11))</f>
        <v/>
      </c>
      <c r="W424" t="str">
        <f t="array" ref="W424">IF($A424="","",INDEX(JupData!$A$2:$K$10000,MATCH($A424&amp;W$1,JupData!$A$2:$A$10000&amp;JupData!$J$2:$J$10000,0),11))</f>
        <v/>
      </c>
      <c r="X424" t="str">
        <f t="array" ref="X424">IF($A424="","",INDEX(JupData!$A$2:$K$10000,MATCH($A424&amp;X$1,JupData!$A$2:$A$10000&amp;JupData!$J$2:$J$10000,0),11))</f>
        <v/>
      </c>
      <c r="Y424" t="str">
        <f t="array" ref="Y424">IF($A424="","",INDEX(JupData!$A$2:$K$10000,MATCH($A424&amp;Y$1,JupData!$A$2:$A$10000&amp;JupData!$J$2:$J$10000,0),11))</f>
        <v/>
      </c>
      <c r="Z424" t="str">
        <f t="array" ref="Z424">IF($A424="","",INDEX(JupData!$A$2:$K$10000,MATCH($A424&amp;Z$1,JupData!$A$2:$A$10000&amp;JupData!$J$2:$J$10000,0),11))</f>
        <v/>
      </c>
      <c r="AA424" t="str">
        <f t="array" ref="AA424">IF($A424="","",INDEX(JupData!$A$2:$K$10000,MATCH($A424&amp;AA$1,JupData!$A$2:$A$10000&amp;JupData!$J$2:$J$10000,0),11))</f>
        <v/>
      </c>
      <c r="AB424" t="str">
        <f t="array" ref="AB424">IF($A424="","",INDEX(JupData!$A$2:$K$10000,MATCH($A424&amp;AB$1,JupData!$A$2:$A$10000&amp;JupData!$J$2:$J$10000,0),11))</f>
        <v/>
      </c>
      <c r="AC424" s="10" t="str">
        <f t="shared" si="66"/>
        <v/>
      </c>
      <c r="AD424" s="10" t="str">
        <f t="shared" si="67"/>
        <v/>
      </c>
      <c r="AE424" s="9" t="str">
        <f t="shared" si="68"/>
        <v/>
      </c>
      <c r="AF424" s="10" t="str">
        <f t="shared" si="69"/>
        <v/>
      </c>
      <c r="AG424" s="10" t="str">
        <f t="shared" si="70"/>
        <v/>
      </c>
      <c r="AH424" s="10" t="str">
        <f t="shared" si="71"/>
        <v/>
      </c>
      <c r="AI424" s="10" t="str">
        <f t="shared" si="72"/>
        <v/>
      </c>
      <c r="AJ424" s="10" t="str">
        <f t="shared" si="73"/>
        <v/>
      </c>
      <c r="AK424" s="10" t="str">
        <f t="shared" si="74"/>
        <v/>
      </c>
      <c r="AL424" s="14" t="str">
        <f t="shared" si="75"/>
        <v/>
      </c>
    </row>
    <row r="425" spans="1:38" x14ac:dyDescent="0.2">
      <c r="A425"/>
      <c r="B425" t="str">
        <f>IF($A425="","",VLOOKUP($A425,JupData!$A$2:$I$10000,4,FALSE))</f>
        <v/>
      </c>
      <c r="C425" s="7" t="str">
        <f>IF($A425="",IF(N(D425),0,""),VLOOKUP($A425,JupData!$A$2:$I$10000,7,FALSE))</f>
        <v/>
      </c>
      <c r="D425" t="str">
        <f t="shared" si="76"/>
        <v/>
      </c>
      <c r="E425" t="str">
        <f t="array" ref="E425">IF($A425="","",INDEX(JupData!$A$2:$K$10000,MATCH($A425&amp;E$1,JupData!$A$2:$A$10000&amp;JupData!$J$2:$J$10000,0),11))</f>
        <v/>
      </c>
      <c r="F425" t="str">
        <f t="array" ref="F425">IF($A425="","",INDEX(JupData!$A$2:$K$10000,MATCH($A425&amp;F$1,JupData!$A$2:$A$10000&amp;JupData!$J$2:$J$10000,0),11))</f>
        <v/>
      </c>
      <c r="G425" t="str">
        <f t="array" ref="G425">IF($A425="","",INDEX(JupData!$A$2:$K$10000,MATCH($A425&amp;G$1,JupData!$A$2:$A$10000&amp;JupData!$J$2:$J$10000,0),11))</f>
        <v/>
      </c>
      <c r="H425" t="str">
        <f t="array" ref="H425">IF($A425="","",INDEX(JupData!$A$2:$K$10000,MATCH($A425&amp;H$1,JupData!$A$2:$A$10000&amp;JupData!$J$2:$J$10000,0),11))</f>
        <v/>
      </c>
      <c r="I425" t="str">
        <f t="array" ref="I425">IF($A425="","",INDEX(JupData!$A$2:$K$10000,MATCH($A425&amp;I$1,JupData!$A$2:$A$10000&amp;JupData!$J$2:$J$10000,0),11))</f>
        <v/>
      </c>
      <c r="J425" t="str">
        <f t="array" ref="J425">IF($A425="","",INDEX(JupData!$A$2:$K$10000,MATCH($A425&amp;J$1,JupData!$A$2:$A$10000&amp;JupData!$J$2:$J$10000,0),11))</f>
        <v/>
      </c>
      <c r="K425" t="str">
        <f t="array" ref="K425">IF($A425="","",INDEX(JupData!$A$2:$K$10000,MATCH($A425&amp;K$1,JupData!$A$2:$A$10000&amp;JupData!$J$2:$J$10000,0),11))</f>
        <v/>
      </c>
      <c r="L425" t="str">
        <f t="array" ref="L425">IF($A425="","",INDEX(JupData!$A$2:$K$10000,MATCH($A425&amp;L$1,JupData!$A$2:$A$10000&amp;JupData!$J$2:$J$10000,0),11))</f>
        <v/>
      </c>
      <c r="M425" t="str">
        <f t="array" ref="M425">IF($A425="","",INDEX(JupData!$A$2:$K$10000,MATCH($A425&amp;M$1,JupData!$A$2:$A$10000&amp;JupData!$J$2:$J$10000,0),11))</f>
        <v/>
      </c>
      <c r="N425" t="str">
        <f t="array" ref="N425">IF($A425="","",INDEX(JupData!$A$2:$K$10000,MATCH($A425&amp;N$1,JupData!$A$2:$A$10000&amp;JupData!$J$2:$J$10000,0),11))</f>
        <v/>
      </c>
      <c r="O425" t="str">
        <f t="array" ref="O425">IF($A425="","",INDEX(JupData!$A$2:$K$10000,MATCH($A425&amp;O$1,JupData!$A$2:$A$10000&amp;JupData!$J$2:$J$10000,0),11))</f>
        <v/>
      </c>
      <c r="P425" t="str">
        <f t="array" ref="P425">IF($A425="","",INDEX(JupData!$A$2:$K$10000,MATCH($A425&amp;P$1,JupData!$A$2:$A$10000&amp;JupData!$J$2:$J$10000,0),11))</f>
        <v/>
      </c>
      <c r="Q425" t="str">
        <f t="array" ref="Q425">IF($A425="","",INDEX(JupData!$A$2:$K$10000,MATCH($A425&amp;Q$1,JupData!$A$2:$A$10000&amp;JupData!$J$2:$J$10000,0),11))</f>
        <v/>
      </c>
      <c r="R425" t="str">
        <f t="array" ref="R425">IF($A425="","",INDEX(JupData!$A$2:$K$10000,MATCH($A425&amp;R$1,JupData!$A$2:$A$10000&amp;JupData!$J$2:$J$10000,0),11))</f>
        <v/>
      </c>
      <c r="S425" t="str">
        <f t="array" ref="S425">IF($A425="","",INDEX(JupData!$A$2:$K$10000,MATCH($A425&amp;S$1,JupData!$A$2:$A$10000&amp;JupData!$J$2:$J$10000,0),11))</f>
        <v/>
      </c>
      <c r="T425" t="str">
        <f t="array" ref="T425">IF($A425="","",INDEX(JupData!$A$2:$K$10000,MATCH($A425&amp;T$1,JupData!$A$2:$A$10000&amp;JupData!$J$2:$J$10000,0),11))</f>
        <v/>
      </c>
      <c r="U425" t="str">
        <f t="array" ref="U425">IF($A425="","",INDEX(JupData!$A$2:$K$10000,MATCH($A425&amp;U$1,JupData!$A$2:$A$10000&amp;JupData!$J$2:$J$10000,0),11))</f>
        <v/>
      </c>
      <c r="V425" t="str">
        <f t="array" ref="V425">IF($A425="","",INDEX(JupData!$A$2:$K$10000,MATCH($A425&amp;V$1,JupData!$A$2:$A$10000&amp;JupData!$J$2:$J$10000,0),11))</f>
        <v/>
      </c>
      <c r="W425" t="str">
        <f t="array" ref="W425">IF($A425="","",INDEX(JupData!$A$2:$K$10000,MATCH($A425&amp;W$1,JupData!$A$2:$A$10000&amp;JupData!$J$2:$J$10000,0),11))</f>
        <v/>
      </c>
      <c r="X425" t="str">
        <f t="array" ref="X425">IF($A425="","",INDEX(JupData!$A$2:$K$10000,MATCH($A425&amp;X$1,JupData!$A$2:$A$10000&amp;JupData!$J$2:$J$10000,0),11))</f>
        <v/>
      </c>
      <c r="Y425" t="str">
        <f t="array" ref="Y425">IF($A425="","",INDEX(JupData!$A$2:$K$10000,MATCH($A425&amp;Y$1,JupData!$A$2:$A$10000&amp;JupData!$J$2:$J$10000,0),11))</f>
        <v/>
      </c>
      <c r="Z425" t="str">
        <f t="array" ref="Z425">IF($A425="","",INDEX(JupData!$A$2:$K$10000,MATCH($A425&amp;Z$1,JupData!$A$2:$A$10000&amp;JupData!$J$2:$J$10000,0),11))</f>
        <v/>
      </c>
      <c r="AA425" t="str">
        <f t="array" ref="AA425">IF($A425="","",INDEX(JupData!$A$2:$K$10000,MATCH($A425&amp;AA$1,JupData!$A$2:$A$10000&amp;JupData!$J$2:$J$10000,0),11))</f>
        <v/>
      </c>
      <c r="AB425" t="str">
        <f t="array" ref="AB425">IF($A425="","",INDEX(JupData!$A$2:$K$10000,MATCH($A425&amp;AB$1,JupData!$A$2:$A$10000&amp;JupData!$J$2:$J$10000,0),11))</f>
        <v/>
      </c>
      <c r="AC425" s="10" t="str">
        <f t="shared" si="66"/>
        <v/>
      </c>
      <c r="AD425" s="10" t="str">
        <f t="shared" si="67"/>
        <v/>
      </c>
      <c r="AE425" s="9" t="str">
        <f t="shared" si="68"/>
        <v/>
      </c>
      <c r="AF425" s="10" t="str">
        <f t="shared" si="69"/>
        <v/>
      </c>
      <c r="AG425" s="10" t="str">
        <f t="shared" si="70"/>
        <v/>
      </c>
      <c r="AH425" s="10" t="str">
        <f t="shared" si="71"/>
        <v/>
      </c>
      <c r="AI425" s="10" t="str">
        <f t="shared" si="72"/>
        <v/>
      </c>
      <c r="AJ425" s="10" t="str">
        <f t="shared" si="73"/>
        <v/>
      </c>
      <c r="AK425" s="10" t="str">
        <f t="shared" si="74"/>
        <v/>
      </c>
      <c r="AL425" s="14" t="str">
        <f t="shared" si="75"/>
        <v/>
      </c>
    </row>
    <row r="426" spans="1:38" x14ac:dyDescent="0.2">
      <c r="A426"/>
      <c r="B426" t="str">
        <f>IF($A426="","",VLOOKUP($A426,JupData!$A$2:$I$10000,4,FALSE))</f>
        <v/>
      </c>
      <c r="C426" s="7" t="str">
        <f>IF($A426="",IF(N(D426),0,""),VLOOKUP($A426,JupData!$A$2:$I$10000,7,FALSE))</f>
        <v/>
      </c>
      <c r="D426" t="str">
        <f t="shared" si="76"/>
        <v/>
      </c>
      <c r="E426" t="str">
        <f t="array" ref="E426">IF($A426="","",INDEX(JupData!$A$2:$K$10000,MATCH($A426&amp;E$1,JupData!$A$2:$A$10000&amp;JupData!$J$2:$J$10000,0),11))</f>
        <v/>
      </c>
      <c r="F426" t="str">
        <f t="array" ref="F426">IF($A426="","",INDEX(JupData!$A$2:$K$10000,MATCH($A426&amp;F$1,JupData!$A$2:$A$10000&amp;JupData!$J$2:$J$10000,0),11))</f>
        <v/>
      </c>
      <c r="G426" t="str">
        <f t="array" ref="G426">IF($A426="","",INDEX(JupData!$A$2:$K$10000,MATCH($A426&amp;G$1,JupData!$A$2:$A$10000&amp;JupData!$J$2:$J$10000,0),11))</f>
        <v/>
      </c>
      <c r="H426" t="str">
        <f t="array" ref="H426">IF($A426="","",INDEX(JupData!$A$2:$K$10000,MATCH($A426&amp;H$1,JupData!$A$2:$A$10000&amp;JupData!$J$2:$J$10000,0),11))</f>
        <v/>
      </c>
      <c r="I426" t="str">
        <f t="array" ref="I426">IF($A426="","",INDEX(JupData!$A$2:$K$10000,MATCH($A426&amp;I$1,JupData!$A$2:$A$10000&amp;JupData!$J$2:$J$10000,0),11))</f>
        <v/>
      </c>
      <c r="J426" t="str">
        <f t="array" ref="J426">IF($A426="","",INDEX(JupData!$A$2:$K$10000,MATCH($A426&amp;J$1,JupData!$A$2:$A$10000&amp;JupData!$J$2:$J$10000,0),11))</f>
        <v/>
      </c>
      <c r="K426" t="str">
        <f t="array" ref="K426">IF($A426="","",INDEX(JupData!$A$2:$K$10000,MATCH($A426&amp;K$1,JupData!$A$2:$A$10000&amp;JupData!$J$2:$J$10000,0),11))</f>
        <v/>
      </c>
      <c r="L426" t="str">
        <f t="array" ref="L426">IF($A426="","",INDEX(JupData!$A$2:$K$10000,MATCH($A426&amp;L$1,JupData!$A$2:$A$10000&amp;JupData!$J$2:$J$10000,0),11))</f>
        <v/>
      </c>
      <c r="M426" t="str">
        <f t="array" ref="M426">IF($A426="","",INDEX(JupData!$A$2:$K$10000,MATCH($A426&amp;M$1,JupData!$A$2:$A$10000&amp;JupData!$J$2:$J$10000,0),11))</f>
        <v/>
      </c>
      <c r="N426" t="str">
        <f t="array" ref="N426">IF($A426="","",INDEX(JupData!$A$2:$K$10000,MATCH($A426&amp;N$1,JupData!$A$2:$A$10000&amp;JupData!$J$2:$J$10000,0),11))</f>
        <v/>
      </c>
      <c r="O426" t="str">
        <f t="array" ref="O426">IF($A426="","",INDEX(JupData!$A$2:$K$10000,MATCH($A426&amp;O$1,JupData!$A$2:$A$10000&amp;JupData!$J$2:$J$10000,0),11))</f>
        <v/>
      </c>
      <c r="P426" t="str">
        <f t="array" ref="P426">IF($A426="","",INDEX(JupData!$A$2:$K$10000,MATCH($A426&amp;P$1,JupData!$A$2:$A$10000&amp;JupData!$J$2:$J$10000,0),11))</f>
        <v/>
      </c>
      <c r="Q426" t="str">
        <f t="array" ref="Q426">IF($A426="","",INDEX(JupData!$A$2:$K$10000,MATCH($A426&amp;Q$1,JupData!$A$2:$A$10000&amp;JupData!$J$2:$J$10000,0),11))</f>
        <v/>
      </c>
      <c r="R426" t="str">
        <f t="array" ref="R426">IF($A426="","",INDEX(JupData!$A$2:$K$10000,MATCH($A426&amp;R$1,JupData!$A$2:$A$10000&amp;JupData!$J$2:$J$10000,0),11))</f>
        <v/>
      </c>
      <c r="S426" t="str">
        <f t="array" ref="S426">IF($A426="","",INDEX(JupData!$A$2:$K$10000,MATCH($A426&amp;S$1,JupData!$A$2:$A$10000&amp;JupData!$J$2:$J$10000,0),11))</f>
        <v/>
      </c>
      <c r="T426" t="str">
        <f t="array" ref="T426">IF($A426="","",INDEX(JupData!$A$2:$K$10000,MATCH($A426&amp;T$1,JupData!$A$2:$A$10000&amp;JupData!$J$2:$J$10000,0),11))</f>
        <v/>
      </c>
      <c r="U426" t="str">
        <f t="array" ref="U426">IF($A426="","",INDEX(JupData!$A$2:$K$10000,MATCH($A426&amp;U$1,JupData!$A$2:$A$10000&amp;JupData!$J$2:$J$10000,0),11))</f>
        <v/>
      </c>
      <c r="V426" t="str">
        <f t="array" ref="V426">IF($A426="","",INDEX(JupData!$A$2:$K$10000,MATCH($A426&amp;V$1,JupData!$A$2:$A$10000&amp;JupData!$J$2:$J$10000,0),11))</f>
        <v/>
      </c>
      <c r="W426" t="str">
        <f t="array" ref="W426">IF($A426="","",INDEX(JupData!$A$2:$K$10000,MATCH($A426&amp;W$1,JupData!$A$2:$A$10000&amp;JupData!$J$2:$J$10000,0),11))</f>
        <v/>
      </c>
      <c r="X426" t="str">
        <f t="array" ref="X426">IF($A426="","",INDEX(JupData!$A$2:$K$10000,MATCH($A426&amp;X$1,JupData!$A$2:$A$10000&amp;JupData!$J$2:$J$10000,0),11))</f>
        <v/>
      </c>
      <c r="Y426" t="str">
        <f t="array" ref="Y426">IF($A426="","",INDEX(JupData!$A$2:$K$10000,MATCH($A426&amp;Y$1,JupData!$A$2:$A$10000&amp;JupData!$J$2:$J$10000,0),11))</f>
        <v/>
      </c>
      <c r="Z426" t="str">
        <f t="array" ref="Z426">IF($A426="","",INDEX(JupData!$A$2:$K$10000,MATCH($A426&amp;Z$1,JupData!$A$2:$A$10000&amp;JupData!$J$2:$J$10000,0),11))</f>
        <v/>
      </c>
      <c r="AA426" t="str">
        <f t="array" ref="AA426">IF($A426="","",INDEX(JupData!$A$2:$K$10000,MATCH($A426&amp;AA$1,JupData!$A$2:$A$10000&amp;JupData!$J$2:$J$10000,0),11))</f>
        <v/>
      </c>
      <c r="AB426" t="str">
        <f t="array" ref="AB426">IF($A426="","",INDEX(JupData!$A$2:$K$10000,MATCH($A426&amp;AB$1,JupData!$A$2:$A$10000&amp;JupData!$J$2:$J$10000,0),11))</f>
        <v/>
      </c>
      <c r="AC426" s="10" t="str">
        <f t="shared" si="66"/>
        <v/>
      </c>
      <c r="AD426" s="10" t="str">
        <f t="shared" si="67"/>
        <v/>
      </c>
      <c r="AE426" s="9" t="str">
        <f t="shared" si="68"/>
        <v/>
      </c>
      <c r="AF426" s="10" t="str">
        <f t="shared" si="69"/>
        <v/>
      </c>
      <c r="AG426" s="10" t="str">
        <f t="shared" si="70"/>
        <v/>
      </c>
      <c r="AH426" s="10" t="str">
        <f t="shared" si="71"/>
        <v/>
      </c>
      <c r="AI426" s="10" t="str">
        <f t="shared" si="72"/>
        <v/>
      </c>
      <c r="AJ426" s="10" t="str">
        <f t="shared" si="73"/>
        <v/>
      </c>
      <c r="AK426" s="10" t="str">
        <f t="shared" si="74"/>
        <v/>
      </c>
      <c r="AL426" s="14" t="str">
        <f t="shared" si="75"/>
        <v/>
      </c>
    </row>
    <row r="427" spans="1:38" x14ac:dyDescent="0.2">
      <c r="A427"/>
      <c r="B427" t="str">
        <f>IF($A427="","",VLOOKUP($A427,JupData!$A$2:$I$10000,4,FALSE))</f>
        <v/>
      </c>
      <c r="C427" s="7" t="str">
        <f>IF($A427="",IF(N(D427),0,""),VLOOKUP($A427,JupData!$A$2:$I$10000,7,FALSE))</f>
        <v/>
      </c>
      <c r="D427" t="str">
        <f t="shared" si="76"/>
        <v/>
      </c>
      <c r="E427" t="str">
        <f t="array" ref="E427">IF($A427="","",INDEX(JupData!$A$2:$K$10000,MATCH($A427&amp;E$1,JupData!$A$2:$A$10000&amp;JupData!$J$2:$J$10000,0),11))</f>
        <v/>
      </c>
      <c r="F427" t="str">
        <f t="array" ref="F427">IF($A427="","",INDEX(JupData!$A$2:$K$10000,MATCH($A427&amp;F$1,JupData!$A$2:$A$10000&amp;JupData!$J$2:$J$10000,0),11))</f>
        <v/>
      </c>
      <c r="G427" t="str">
        <f t="array" ref="G427">IF($A427="","",INDEX(JupData!$A$2:$K$10000,MATCH($A427&amp;G$1,JupData!$A$2:$A$10000&amp;JupData!$J$2:$J$10000,0),11))</f>
        <v/>
      </c>
      <c r="H427" t="str">
        <f t="array" ref="H427">IF($A427="","",INDEX(JupData!$A$2:$K$10000,MATCH($A427&amp;H$1,JupData!$A$2:$A$10000&amp;JupData!$J$2:$J$10000,0),11))</f>
        <v/>
      </c>
      <c r="I427" t="str">
        <f t="array" ref="I427">IF($A427="","",INDEX(JupData!$A$2:$K$10000,MATCH($A427&amp;I$1,JupData!$A$2:$A$10000&amp;JupData!$J$2:$J$10000,0),11))</f>
        <v/>
      </c>
      <c r="J427" t="str">
        <f t="array" ref="J427">IF($A427="","",INDEX(JupData!$A$2:$K$10000,MATCH($A427&amp;J$1,JupData!$A$2:$A$10000&amp;JupData!$J$2:$J$10000,0),11))</f>
        <v/>
      </c>
      <c r="K427" t="str">
        <f t="array" ref="K427">IF($A427="","",INDEX(JupData!$A$2:$K$10000,MATCH($A427&amp;K$1,JupData!$A$2:$A$10000&amp;JupData!$J$2:$J$10000,0),11))</f>
        <v/>
      </c>
      <c r="L427" t="str">
        <f t="array" ref="L427">IF($A427="","",INDEX(JupData!$A$2:$K$10000,MATCH($A427&amp;L$1,JupData!$A$2:$A$10000&amp;JupData!$J$2:$J$10000,0),11))</f>
        <v/>
      </c>
      <c r="M427" t="str">
        <f t="array" ref="M427">IF($A427="","",INDEX(JupData!$A$2:$K$10000,MATCH($A427&amp;M$1,JupData!$A$2:$A$10000&amp;JupData!$J$2:$J$10000,0),11))</f>
        <v/>
      </c>
      <c r="N427" t="str">
        <f t="array" ref="N427">IF($A427="","",INDEX(JupData!$A$2:$K$10000,MATCH($A427&amp;N$1,JupData!$A$2:$A$10000&amp;JupData!$J$2:$J$10000,0),11))</f>
        <v/>
      </c>
      <c r="O427" t="str">
        <f t="array" ref="O427">IF($A427="","",INDEX(JupData!$A$2:$K$10000,MATCH($A427&amp;O$1,JupData!$A$2:$A$10000&amp;JupData!$J$2:$J$10000,0),11))</f>
        <v/>
      </c>
      <c r="P427" t="str">
        <f t="array" ref="P427">IF($A427="","",INDEX(JupData!$A$2:$K$10000,MATCH($A427&amp;P$1,JupData!$A$2:$A$10000&amp;JupData!$J$2:$J$10000,0),11))</f>
        <v/>
      </c>
      <c r="Q427" t="str">
        <f t="array" ref="Q427">IF($A427="","",INDEX(JupData!$A$2:$K$10000,MATCH($A427&amp;Q$1,JupData!$A$2:$A$10000&amp;JupData!$J$2:$J$10000,0),11))</f>
        <v/>
      </c>
      <c r="R427" t="str">
        <f t="array" ref="R427">IF($A427="","",INDEX(JupData!$A$2:$K$10000,MATCH($A427&amp;R$1,JupData!$A$2:$A$10000&amp;JupData!$J$2:$J$10000,0),11))</f>
        <v/>
      </c>
      <c r="S427" t="str">
        <f t="array" ref="S427">IF($A427="","",INDEX(JupData!$A$2:$K$10000,MATCH($A427&amp;S$1,JupData!$A$2:$A$10000&amp;JupData!$J$2:$J$10000,0),11))</f>
        <v/>
      </c>
      <c r="T427" t="str">
        <f t="array" ref="T427">IF($A427="","",INDEX(JupData!$A$2:$K$10000,MATCH($A427&amp;T$1,JupData!$A$2:$A$10000&amp;JupData!$J$2:$J$10000,0),11))</f>
        <v/>
      </c>
      <c r="U427" t="str">
        <f t="array" ref="U427">IF($A427="","",INDEX(JupData!$A$2:$K$10000,MATCH($A427&amp;U$1,JupData!$A$2:$A$10000&amp;JupData!$J$2:$J$10000,0),11))</f>
        <v/>
      </c>
      <c r="V427" t="str">
        <f t="array" ref="V427">IF($A427="","",INDEX(JupData!$A$2:$K$10000,MATCH($A427&amp;V$1,JupData!$A$2:$A$10000&amp;JupData!$J$2:$J$10000,0),11))</f>
        <v/>
      </c>
      <c r="W427" t="str">
        <f t="array" ref="W427">IF($A427="","",INDEX(JupData!$A$2:$K$10000,MATCH($A427&amp;W$1,JupData!$A$2:$A$10000&amp;JupData!$J$2:$J$10000,0),11))</f>
        <v/>
      </c>
      <c r="X427" t="str">
        <f t="array" ref="X427">IF($A427="","",INDEX(JupData!$A$2:$K$10000,MATCH($A427&amp;X$1,JupData!$A$2:$A$10000&amp;JupData!$J$2:$J$10000,0),11))</f>
        <v/>
      </c>
      <c r="Y427" t="str">
        <f t="array" ref="Y427">IF($A427="","",INDEX(JupData!$A$2:$K$10000,MATCH($A427&amp;Y$1,JupData!$A$2:$A$10000&amp;JupData!$J$2:$J$10000,0),11))</f>
        <v/>
      </c>
      <c r="Z427" t="str">
        <f t="array" ref="Z427">IF($A427="","",INDEX(JupData!$A$2:$K$10000,MATCH($A427&amp;Z$1,JupData!$A$2:$A$10000&amp;JupData!$J$2:$J$10000,0),11))</f>
        <v/>
      </c>
      <c r="AA427" t="str">
        <f t="array" ref="AA427">IF($A427="","",INDEX(JupData!$A$2:$K$10000,MATCH($A427&amp;AA$1,JupData!$A$2:$A$10000&amp;JupData!$J$2:$J$10000,0),11))</f>
        <v/>
      </c>
      <c r="AB427" t="str">
        <f t="array" ref="AB427">IF($A427="","",INDEX(JupData!$A$2:$K$10000,MATCH($A427&amp;AB$1,JupData!$A$2:$A$10000&amp;JupData!$J$2:$J$10000,0),11))</f>
        <v/>
      </c>
      <c r="AC427" s="10" t="str">
        <f t="shared" si="66"/>
        <v/>
      </c>
      <c r="AD427" s="10" t="str">
        <f t="shared" si="67"/>
        <v/>
      </c>
      <c r="AE427" s="9" t="str">
        <f t="shared" si="68"/>
        <v/>
      </c>
      <c r="AF427" s="10" t="str">
        <f t="shared" si="69"/>
        <v/>
      </c>
      <c r="AG427" s="10" t="str">
        <f t="shared" si="70"/>
        <v/>
      </c>
      <c r="AH427" s="10" t="str">
        <f t="shared" si="71"/>
        <v/>
      </c>
      <c r="AI427" s="10" t="str">
        <f t="shared" si="72"/>
        <v/>
      </c>
      <c r="AJ427" s="10" t="str">
        <f t="shared" si="73"/>
        <v/>
      </c>
      <c r="AK427" s="10" t="str">
        <f t="shared" si="74"/>
        <v/>
      </c>
      <c r="AL427" s="14" t="str">
        <f t="shared" si="75"/>
        <v/>
      </c>
    </row>
    <row r="428" spans="1:38" x14ac:dyDescent="0.2">
      <c r="A428"/>
      <c r="B428" t="str">
        <f>IF($A428="","",VLOOKUP($A428,JupData!$A$2:$I$10000,4,FALSE))</f>
        <v/>
      </c>
      <c r="C428" s="7" t="str">
        <f>IF($A428="",IF(N(D428),0,""),VLOOKUP($A428,JupData!$A$2:$I$10000,7,FALSE))</f>
        <v/>
      </c>
      <c r="D428" t="str">
        <f t="shared" si="76"/>
        <v/>
      </c>
      <c r="E428" t="str">
        <f t="array" ref="E428">IF($A428="","",INDEX(JupData!$A$2:$K$10000,MATCH($A428&amp;E$1,JupData!$A$2:$A$10000&amp;JupData!$J$2:$J$10000,0),11))</f>
        <v/>
      </c>
      <c r="F428" t="str">
        <f t="array" ref="F428">IF($A428="","",INDEX(JupData!$A$2:$K$10000,MATCH($A428&amp;F$1,JupData!$A$2:$A$10000&amp;JupData!$J$2:$J$10000,0),11))</f>
        <v/>
      </c>
      <c r="G428" t="str">
        <f t="array" ref="G428">IF($A428="","",INDEX(JupData!$A$2:$K$10000,MATCH($A428&amp;G$1,JupData!$A$2:$A$10000&amp;JupData!$J$2:$J$10000,0),11))</f>
        <v/>
      </c>
      <c r="H428" t="str">
        <f t="array" ref="H428">IF($A428="","",INDEX(JupData!$A$2:$K$10000,MATCH($A428&amp;H$1,JupData!$A$2:$A$10000&amp;JupData!$J$2:$J$10000,0),11))</f>
        <v/>
      </c>
      <c r="I428" t="str">
        <f t="array" ref="I428">IF($A428="","",INDEX(JupData!$A$2:$K$10000,MATCH($A428&amp;I$1,JupData!$A$2:$A$10000&amp;JupData!$J$2:$J$10000,0),11))</f>
        <v/>
      </c>
      <c r="J428" t="str">
        <f t="array" ref="J428">IF($A428="","",INDEX(JupData!$A$2:$K$10000,MATCH($A428&amp;J$1,JupData!$A$2:$A$10000&amp;JupData!$J$2:$J$10000,0),11))</f>
        <v/>
      </c>
      <c r="K428" t="str">
        <f t="array" ref="K428">IF($A428="","",INDEX(JupData!$A$2:$K$10000,MATCH($A428&amp;K$1,JupData!$A$2:$A$10000&amp;JupData!$J$2:$J$10000,0),11))</f>
        <v/>
      </c>
      <c r="L428" t="str">
        <f t="array" ref="L428">IF($A428="","",INDEX(JupData!$A$2:$K$10000,MATCH($A428&amp;L$1,JupData!$A$2:$A$10000&amp;JupData!$J$2:$J$10000,0),11))</f>
        <v/>
      </c>
      <c r="M428" t="str">
        <f t="array" ref="M428">IF($A428="","",INDEX(JupData!$A$2:$K$10000,MATCH($A428&amp;M$1,JupData!$A$2:$A$10000&amp;JupData!$J$2:$J$10000,0),11))</f>
        <v/>
      </c>
      <c r="N428" t="str">
        <f t="array" ref="N428">IF($A428="","",INDEX(JupData!$A$2:$K$10000,MATCH($A428&amp;N$1,JupData!$A$2:$A$10000&amp;JupData!$J$2:$J$10000,0),11))</f>
        <v/>
      </c>
      <c r="O428" t="str">
        <f t="array" ref="O428">IF($A428="","",INDEX(JupData!$A$2:$K$10000,MATCH($A428&amp;O$1,JupData!$A$2:$A$10000&amp;JupData!$J$2:$J$10000,0),11))</f>
        <v/>
      </c>
      <c r="P428" t="str">
        <f t="array" ref="P428">IF($A428="","",INDEX(JupData!$A$2:$K$10000,MATCH($A428&amp;P$1,JupData!$A$2:$A$10000&amp;JupData!$J$2:$J$10000,0),11))</f>
        <v/>
      </c>
      <c r="Q428" t="str">
        <f t="array" ref="Q428">IF($A428="","",INDEX(JupData!$A$2:$K$10000,MATCH($A428&amp;Q$1,JupData!$A$2:$A$10000&amp;JupData!$J$2:$J$10000,0),11))</f>
        <v/>
      </c>
      <c r="R428" t="str">
        <f t="array" ref="R428">IF($A428="","",INDEX(JupData!$A$2:$K$10000,MATCH($A428&amp;R$1,JupData!$A$2:$A$10000&amp;JupData!$J$2:$J$10000,0),11))</f>
        <v/>
      </c>
      <c r="S428" t="str">
        <f t="array" ref="S428">IF($A428="","",INDEX(JupData!$A$2:$K$10000,MATCH($A428&amp;S$1,JupData!$A$2:$A$10000&amp;JupData!$J$2:$J$10000,0),11))</f>
        <v/>
      </c>
      <c r="T428" t="str">
        <f t="array" ref="T428">IF($A428="","",INDEX(JupData!$A$2:$K$10000,MATCH($A428&amp;T$1,JupData!$A$2:$A$10000&amp;JupData!$J$2:$J$10000,0),11))</f>
        <v/>
      </c>
      <c r="U428" t="str">
        <f t="array" ref="U428">IF($A428="","",INDEX(JupData!$A$2:$K$10000,MATCH($A428&amp;U$1,JupData!$A$2:$A$10000&amp;JupData!$J$2:$J$10000,0),11))</f>
        <v/>
      </c>
      <c r="V428" t="str">
        <f t="array" ref="V428">IF($A428="","",INDEX(JupData!$A$2:$K$10000,MATCH($A428&amp;V$1,JupData!$A$2:$A$10000&amp;JupData!$J$2:$J$10000,0),11))</f>
        <v/>
      </c>
      <c r="W428" t="str">
        <f t="array" ref="W428">IF($A428="","",INDEX(JupData!$A$2:$K$10000,MATCH($A428&amp;W$1,JupData!$A$2:$A$10000&amp;JupData!$J$2:$J$10000,0),11))</f>
        <v/>
      </c>
      <c r="X428" t="str">
        <f t="array" ref="X428">IF($A428="","",INDEX(JupData!$A$2:$K$10000,MATCH($A428&amp;X$1,JupData!$A$2:$A$10000&amp;JupData!$J$2:$J$10000,0),11))</f>
        <v/>
      </c>
      <c r="Y428" t="str">
        <f t="array" ref="Y428">IF($A428="","",INDEX(JupData!$A$2:$K$10000,MATCH($A428&amp;Y$1,JupData!$A$2:$A$10000&amp;JupData!$J$2:$J$10000,0),11))</f>
        <v/>
      </c>
      <c r="Z428" t="str">
        <f t="array" ref="Z428">IF($A428="","",INDEX(JupData!$A$2:$K$10000,MATCH($A428&amp;Z$1,JupData!$A$2:$A$10000&amp;JupData!$J$2:$J$10000,0),11))</f>
        <v/>
      </c>
      <c r="AA428" t="str">
        <f t="array" ref="AA428">IF($A428="","",INDEX(JupData!$A$2:$K$10000,MATCH($A428&amp;AA$1,JupData!$A$2:$A$10000&amp;JupData!$J$2:$J$10000,0),11))</f>
        <v/>
      </c>
      <c r="AB428" t="str">
        <f t="array" ref="AB428">IF($A428="","",INDEX(JupData!$A$2:$K$10000,MATCH($A428&amp;AB$1,JupData!$A$2:$A$10000&amp;JupData!$J$2:$J$10000,0),11))</f>
        <v/>
      </c>
      <c r="AC428" s="10" t="str">
        <f t="shared" si="66"/>
        <v/>
      </c>
      <c r="AD428" s="10" t="str">
        <f t="shared" si="67"/>
        <v/>
      </c>
      <c r="AE428" s="9" t="str">
        <f t="shared" si="68"/>
        <v/>
      </c>
      <c r="AF428" s="10" t="str">
        <f t="shared" si="69"/>
        <v/>
      </c>
      <c r="AG428" s="10" t="str">
        <f t="shared" si="70"/>
        <v/>
      </c>
      <c r="AH428" s="10" t="str">
        <f t="shared" si="71"/>
        <v/>
      </c>
      <c r="AI428" s="10" t="str">
        <f t="shared" si="72"/>
        <v/>
      </c>
      <c r="AJ428" s="10" t="str">
        <f t="shared" si="73"/>
        <v/>
      </c>
      <c r="AK428" s="10" t="str">
        <f t="shared" si="74"/>
        <v/>
      </c>
      <c r="AL428" s="14" t="str">
        <f t="shared" si="75"/>
        <v/>
      </c>
    </row>
    <row r="429" spans="1:38" x14ac:dyDescent="0.2">
      <c r="A429"/>
      <c r="B429" t="str">
        <f>IF($A429="","",VLOOKUP($A429,JupData!$A$2:$I$10000,4,FALSE))</f>
        <v/>
      </c>
      <c r="C429" s="7" t="str">
        <f>IF($A429="",IF(N(D429),0,""),VLOOKUP($A429,JupData!$A$2:$I$10000,7,FALSE))</f>
        <v/>
      </c>
      <c r="D429" t="str">
        <f t="shared" si="76"/>
        <v/>
      </c>
      <c r="E429" t="str">
        <f t="array" ref="E429">IF($A429="","",INDEX(JupData!$A$2:$K$10000,MATCH($A429&amp;E$1,JupData!$A$2:$A$10000&amp;JupData!$J$2:$J$10000,0),11))</f>
        <v/>
      </c>
      <c r="F429" t="str">
        <f t="array" ref="F429">IF($A429="","",INDEX(JupData!$A$2:$K$10000,MATCH($A429&amp;F$1,JupData!$A$2:$A$10000&amp;JupData!$J$2:$J$10000,0),11))</f>
        <v/>
      </c>
      <c r="G429" t="str">
        <f t="array" ref="G429">IF($A429="","",INDEX(JupData!$A$2:$K$10000,MATCH($A429&amp;G$1,JupData!$A$2:$A$10000&amp;JupData!$J$2:$J$10000,0),11))</f>
        <v/>
      </c>
      <c r="H429" t="str">
        <f t="array" ref="H429">IF($A429="","",INDEX(JupData!$A$2:$K$10000,MATCH($A429&amp;H$1,JupData!$A$2:$A$10000&amp;JupData!$J$2:$J$10000,0),11))</f>
        <v/>
      </c>
      <c r="I429" t="str">
        <f t="array" ref="I429">IF($A429="","",INDEX(JupData!$A$2:$K$10000,MATCH($A429&amp;I$1,JupData!$A$2:$A$10000&amp;JupData!$J$2:$J$10000,0),11))</f>
        <v/>
      </c>
      <c r="J429" t="str">
        <f t="array" ref="J429">IF($A429="","",INDEX(JupData!$A$2:$K$10000,MATCH($A429&amp;J$1,JupData!$A$2:$A$10000&amp;JupData!$J$2:$J$10000,0),11))</f>
        <v/>
      </c>
      <c r="K429" t="str">
        <f t="array" ref="K429">IF($A429="","",INDEX(JupData!$A$2:$K$10000,MATCH($A429&amp;K$1,JupData!$A$2:$A$10000&amp;JupData!$J$2:$J$10000,0),11))</f>
        <v/>
      </c>
      <c r="L429" t="str">
        <f t="array" ref="L429">IF($A429="","",INDEX(JupData!$A$2:$K$10000,MATCH($A429&amp;L$1,JupData!$A$2:$A$10000&amp;JupData!$J$2:$J$10000,0),11))</f>
        <v/>
      </c>
      <c r="M429" t="str">
        <f t="array" ref="M429">IF($A429="","",INDEX(JupData!$A$2:$K$10000,MATCH($A429&amp;M$1,JupData!$A$2:$A$10000&amp;JupData!$J$2:$J$10000,0),11))</f>
        <v/>
      </c>
      <c r="N429" t="str">
        <f t="array" ref="N429">IF($A429="","",INDEX(JupData!$A$2:$K$10000,MATCH($A429&amp;N$1,JupData!$A$2:$A$10000&amp;JupData!$J$2:$J$10000,0),11))</f>
        <v/>
      </c>
      <c r="O429" t="str">
        <f t="array" ref="O429">IF($A429="","",INDEX(JupData!$A$2:$K$10000,MATCH($A429&amp;O$1,JupData!$A$2:$A$10000&amp;JupData!$J$2:$J$10000,0),11))</f>
        <v/>
      </c>
      <c r="P429" t="str">
        <f t="array" ref="P429">IF($A429="","",INDEX(JupData!$A$2:$K$10000,MATCH($A429&amp;P$1,JupData!$A$2:$A$10000&amp;JupData!$J$2:$J$10000,0),11))</f>
        <v/>
      </c>
      <c r="Q429" t="str">
        <f t="array" ref="Q429">IF($A429="","",INDEX(JupData!$A$2:$K$10000,MATCH($A429&amp;Q$1,JupData!$A$2:$A$10000&amp;JupData!$J$2:$J$10000,0),11))</f>
        <v/>
      </c>
      <c r="R429" t="str">
        <f t="array" ref="R429">IF($A429="","",INDEX(JupData!$A$2:$K$10000,MATCH($A429&amp;R$1,JupData!$A$2:$A$10000&amp;JupData!$J$2:$J$10000,0),11))</f>
        <v/>
      </c>
      <c r="S429" t="str">
        <f t="array" ref="S429">IF($A429="","",INDEX(JupData!$A$2:$K$10000,MATCH($A429&amp;S$1,JupData!$A$2:$A$10000&amp;JupData!$J$2:$J$10000,0),11))</f>
        <v/>
      </c>
      <c r="T429" t="str">
        <f t="array" ref="T429">IF($A429="","",INDEX(JupData!$A$2:$K$10000,MATCH($A429&amp;T$1,JupData!$A$2:$A$10000&amp;JupData!$J$2:$J$10000,0),11))</f>
        <v/>
      </c>
      <c r="U429" t="str">
        <f t="array" ref="U429">IF($A429="","",INDEX(JupData!$A$2:$K$10000,MATCH($A429&amp;U$1,JupData!$A$2:$A$10000&amp;JupData!$J$2:$J$10000,0),11))</f>
        <v/>
      </c>
      <c r="V429" t="str">
        <f t="array" ref="V429">IF($A429="","",INDEX(JupData!$A$2:$K$10000,MATCH($A429&amp;V$1,JupData!$A$2:$A$10000&amp;JupData!$J$2:$J$10000,0),11))</f>
        <v/>
      </c>
      <c r="W429" t="str">
        <f t="array" ref="W429">IF($A429="","",INDEX(JupData!$A$2:$K$10000,MATCH($A429&amp;W$1,JupData!$A$2:$A$10000&amp;JupData!$J$2:$J$10000,0),11))</f>
        <v/>
      </c>
      <c r="X429" t="str">
        <f t="array" ref="X429">IF($A429="","",INDEX(JupData!$A$2:$K$10000,MATCH($A429&amp;X$1,JupData!$A$2:$A$10000&amp;JupData!$J$2:$J$10000,0),11))</f>
        <v/>
      </c>
      <c r="Y429" t="str">
        <f t="array" ref="Y429">IF($A429="","",INDEX(JupData!$A$2:$K$10000,MATCH($A429&amp;Y$1,JupData!$A$2:$A$10000&amp;JupData!$J$2:$J$10000,0),11))</f>
        <v/>
      </c>
      <c r="Z429" t="str">
        <f t="array" ref="Z429">IF($A429="","",INDEX(JupData!$A$2:$K$10000,MATCH($A429&amp;Z$1,JupData!$A$2:$A$10000&amp;JupData!$J$2:$J$10000,0),11))</f>
        <v/>
      </c>
      <c r="AA429" t="str">
        <f t="array" ref="AA429">IF($A429="","",INDEX(JupData!$A$2:$K$10000,MATCH($A429&amp;AA$1,JupData!$A$2:$A$10000&amp;JupData!$J$2:$J$10000,0),11))</f>
        <v/>
      </c>
      <c r="AB429" t="str">
        <f t="array" ref="AB429">IF($A429="","",INDEX(JupData!$A$2:$K$10000,MATCH($A429&amp;AB$1,JupData!$A$2:$A$10000&amp;JupData!$J$2:$J$10000,0),11))</f>
        <v/>
      </c>
      <c r="AC429" s="10" t="str">
        <f t="shared" si="66"/>
        <v/>
      </c>
      <c r="AD429" s="10" t="str">
        <f t="shared" si="67"/>
        <v/>
      </c>
      <c r="AE429" s="9" t="str">
        <f t="shared" si="68"/>
        <v/>
      </c>
      <c r="AF429" s="10" t="str">
        <f t="shared" si="69"/>
        <v/>
      </c>
      <c r="AG429" s="10" t="str">
        <f t="shared" si="70"/>
        <v/>
      </c>
      <c r="AH429" s="10" t="str">
        <f t="shared" si="71"/>
        <v/>
      </c>
      <c r="AI429" s="10" t="str">
        <f t="shared" si="72"/>
        <v/>
      </c>
      <c r="AJ429" s="10" t="str">
        <f t="shared" si="73"/>
        <v/>
      </c>
      <c r="AK429" s="10" t="str">
        <f t="shared" si="74"/>
        <v/>
      </c>
      <c r="AL429" s="14" t="str">
        <f t="shared" si="75"/>
        <v/>
      </c>
    </row>
    <row r="430" spans="1:38" x14ac:dyDescent="0.2">
      <c r="A430"/>
      <c r="B430" t="str">
        <f>IF($A430="","",VLOOKUP($A430,JupData!$A$2:$I$10000,4,FALSE))</f>
        <v/>
      </c>
      <c r="C430" s="7" t="str">
        <f>IF($A430="",IF(N(D430),0,""),VLOOKUP($A430,JupData!$A$2:$I$10000,7,FALSE))</f>
        <v/>
      </c>
      <c r="D430" t="str">
        <f t="shared" si="76"/>
        <v/>
      </c>
      <c r="E430" t="str">
        <f t="array" ref="E430">IF($A430="","",INDEX(JupData!$A$2:$K$10000,MATCH($A430&amp;E$1,JupData!$A$2:$A$10000&amp;JupData!$J$2:$J$10000,0),11))</f>
        <v/>
      </c>
      <c r="F430" t="str">
        <f t="array" ref="F430">IF($A430="","",INDEX(JupData!$A$2:$K$10000,MATCH($A430&amp;F$1,JupData!$A$2:$A$10000&amp;JupData!$J$2:$J$10000,0),11))</f>
        <v/>
      </c>
      <c r="G430" t="str">
        <f t="array" ref="G430">IF($A430="","",INDEX(JupData!$A$2:$K$10000,MATCH($A430&amp;G$1,JupData!$A$2:$A$10000&amp;JupData!$J$2:$J$10000,0),11))</f>
        <v/>
      </c>
      <c r="H430" t="str">
        <f t="array" ref="H430">IF($A430="","",INDEX(JupData!$A$2:$K$10000,MATCH($A430&amp;H$1,JupData!$A$2:$A$10000&amp;JupData!$J$2:$J$10000,0),11))</f>
        <v/>
      </c>
      <c r="I430" t="str">
        <f t="array" ref="I430">IF($A430="","",INDEX(JupData!$A$2:$K$10000,MATCH($A430&amp;I$1,JupData!$A$2:$A$10000&amp;JupData!$J$2:$J$10000,0),11))</f>
        <v/>
      </c>
      <c r="J430" t="str">
        <f t="array" ref="J430">IF($A430="","",INDEX(JupData!$A$2:$K$10000,MATCH($A430&amp;J$1,JupData!$A$2:$A$10000&amp;JupData!$J$2:$J$10000,0),11))</f>
        <v/>
      </c>
      <c r="K430" t="str">
        <f t="array" ref="K430">IF($A430="","",INDEX(JupData!$A$2:$K$10000,MATCH($A430&amp;K$1,JupData!$A$2:$A$10000&amp;JupData!$J$2:$J$10000,0),11))</f>
        <v/>
      </c>
      <c r="L430" t="str">
        <f t="array" ref="L430">IF($A430="","",INDEX(JupData!$A$2:$K$10000,MATCH($A430&amp;L$1,JupData!$A$2:$A$10000&amp;JupData!$J$2:$J$10000,0),11))</f>
        <v/>
      </c>
      <c r="M430" t="str">
        <f t="array" ref="M430">IF($A430="","",INDEX(JupData!$A$2:$K$10000,MATCH($A430&amp;M$1,JupData!$A$2:$A$10000&amp;JupData!$J$2:$J$10000,0),11))</f>
        <v/>
      </c>
      <c r="N430" t="str">
        <f t="array" ref="N430">IF($A430="","",INDEX(JupData!$A$2:$K$10000,MATCH($A430&amp;N$1,JupData!$A$2:$A$10000&amp;JupData!$J$2:$J$10000,0),11))</f>
        <v/>
      </c>
      <c r="O430" t="str">
        <f t="array" ref="O430">IF($A430="","",INDEX(JupData!$A$2:$K$10000,MATCH($A430&amp;O$1,JupData!$A$2:$A$10000&amp;JupData!$J$2:$J$10000,0),11))</f>
        <v/>
      </c>
      <c r="P430" t="str">
        <f t="array" ref="P430">IF($A430="","",INDEX(JupData!$A$2:$K$10000,MATCH($A430&amp;P$1,JupData!$A$2:$A$10000&amp;JupData!$J$2:$J$10000,0),11))</f>
        <v/>
      </c>
      <c r="Q430" t="str">
        <f t="array" ref="Q430">IF($A430="","",INDEX(JupData!$A$2:$K$10000,MATCH($A430&amp;Q$1,JupData!$A$2:$A$10000&amp;JupData!$J$2:$J$10000,0),11))</f>
        <v/>
      </c>
      <c r="R430" t="str">
        <f t="array" ref="R430">IF($A430="","",INDEX(JupData!$A$2:$K$10000,MATCH($A430&amp;R$1,JupData!$A$2:$A$10000&amp;JupData!$J$2:$J$10000,0),11))</f>
        <v/>
      </c>
      <c r="S430" t="str">
        <f t="array" ref="S430">IF($A430="","",INDEX(JupData!$A$2:$K$10000,MATCH($A430&amp;S$1,JupData!$A$2:$A$10000&amp;JupData!$J$2:$J$10000,0),11))</f>
        <v/>
      </c>
      <c r="T430" t="str">
        <f t="array" ref="T430">IF($A430="","",INDEX(JupData!$A$2:$K$10000,MATCH($A430&amp;T$1,JupData!$A$2:$A$10000&amp;JupData!$J$2:$J$10000,0),11))</f>
        <v/>
      </c>
      <c r="U430" t="str">
        <f t="array" ref="U430">IF($A430="","",INDEX(JupData!$A$2:$K$10000,MATCH($A430&amp;U$1,JupData!$A$2:$A$10000&amp;JupData!$J$2:$J$10000,0),11))</f>
        <v/>
      </c>
      <c r="V430" t="str">
        <f t="array" ref="V430">IF($A430="","",INDEX(JupData!$A$2:$K$10000,MATCH($A430&amp;V$1,JupData!$A$2:$A$10000&amp;JupData!$J$2:$J$10000,0),11))</f>
        <v/>
      </c>
      <c r="W430" t="str">
        <f t="array" ref="W430">IF($A430="","",INDEX(JupData!$A$2:$K$10000,MATCH($A430&amp;W$1,JupData!$A$2:$A$10000&amp;JupData!$J$2:$J$10000,0),11))</f>
        <v/>
      </c>
      <c r="X430" t="str">
        <f t="array" ref="X430">IF($A430="","",INDEX(JupData!$A$2:$K$10000,MATCH($A430&amp;X$1,JupData!$A$2:$A$10000&amp;JupData!$J$2:$J$10000,0),11))</f>
        <v/>
      </c>
      <c r="Y430" t="str">
        <f t="array" ref="Y430">IF($A430="","",INDEX(JupData!$A$2:$K$10000,MATCH($A430&amp;Y$1,JupData!$A$2:$A$10000&amp;JupData!$J$2:$J$10000,0),11))</f>
        <v/>
      </c>
      <c r="Z430" t="str">
        <f t="array" ref="Z430">IF($A430="","",INDEX(JupData!$A$2:$K$10000,MATCH($A430&amp;Z$1,JupData!$A$2:$A$10000&amp;JupData!$J$2:$J$10000,0),11))</f>
        <v/>
      </c>
      <c r="AA430" t="str">
        <f t="array" ref="AA430">IF($A430="","",INDEX(JupData!$A$2:$K$10000,MATCH($A430&amp;AA$1,JupData!$A$2:$A$10000&amp;JupData!$J$2:$J$10000,0),11))</f>
        <v/>
      </c>
      <c r="AB430" t="str">
        <f t="array" ref="AB430">IF($A430="","",INDEX(JupData!$A$2:$K$10000,MATCH($A430&amp;AB$1,JupData!$A$2:$A$10000&amp;JupData!$J$2:$J$10000,0),11))</f>
        <v/>
      </c>
      <c r="AC430" s="10" t="str">
        <f t="shared" si="66"/>
        <v/>
      </c>
      <c r="AD430" s="10" t="str">
        <f t="shared" si="67"/>
        <v/>
      </c>
      <c r="AE430" s="9" t="str">
        <f t="shared" si="68"/>
        <v/>
      </c>
      <c r="AF430" s="10" t="str">
        <f t="shared" si="69"/>
        <v/>
      </c>
      <c r="AG430" s="10" t="str">
        <f t="shared" si="70"/>
        <v/>
      </c>
      <c r="AH430" s="10" t="str">
        <f t="shared" si="71"/>
        <v/>
      </c>
      <c r="AI430" s="10" t="str">
        <f t="shared" si="72"/>
        <v/>
      </c>
      <c r="AJ430" s="10" t="str">
        <f t="shared" si="73"/>
        <v/>
      </c>
      <c r="AK430" s="10" t="str">
        <f t="shared" si="74"/>
        <v/>
      </c>
      <c r="AL430" s="14" t="str">
        <f t="shared" si="75"/>
        <v/>
      </c>
    </row>
    <row r="431" spans="1:38" x14ac:dyDescent="0.2">
      <c r="A431"/>
      <c r="B431" t="str">
        <f>IF($A431="","",VLOOKUP($A431,JupData!$A$2:$I$10000,4,FALSE))</f>
        <v/>
      </c>
      <c r="C431" s="7" t="str">
        <f>IF($A431="",IF(N(D431),0,""),VLOOKUP($A431,JupData!$A$2:$I$10000,7,FALSE))</f>
        <v/>
      </c>
      <c r="D431" t="str">
        <f t="shared" si="76"/>
        <v/>
      </c>
      <c r="E431" t="str">
        <f t="array" ref="E431">IF($A431="","",INDEX(JupData!$A$2:$K$10000,MATCH($A431&amp;E$1,JupData!$A$2:$A$10000&amp;JupData!$J$2:$J$10000,0),11))</f>
        <v/>
      </c>
      <c r="F431" t="str">
        <f t="array" ref="F431">IF($A431="","",INDEX(JupData!$A$2:$K$10000,MATCH($A431&amp;F$1,JupData!$A$2:$A$10000&amp;JupData!$J$2:$J$10000,0),11))</f>
        <v/>
      </c>
      <c r="G431" t="str">
        <f t="array" ref="G431">IF($A431="","",INDEX(JupData!$A$2:$K$10000,MATCH($A431&amp;G$1,JupData!$A$2:$A$10000&amp;JupData!$J$2:$J$10000,0),11))</f>
        <v/>
      </c>
      <c r="H431" t="str">
        <f t="array" ref="H431">IF($A431="","",INDEX(JupData!$A$2:$K$10000,MATCH($A431&amp;H$1,JupData!$A$2:$A$10000&amp;JupData!$J$2:$J$10000,0),11))</f>
        <v/>
      </c>
      <c r="I431" t="str">
        <f t="array" ref="I431">IF($A431="","",INDEX(JupData!$A$2:$K$10000,MATCH($A431&amp;I$1,JupData!$A$2:$A$10000&amp;JupData!$J$2:$J$10000,0),11))</f>
        <v/>
      </c>
      <c r="J431" t="str">
        <f t="array" ref="J431">IF($A431="","",INDEX(JupData!$A$2:$K$10000,MATCH($A431&amp;J$1,JupData!$A$2:$A$10000&amp;JupData!$J$2:$J$10000,0),11))</f>
        <v/>
      </c>
      <c r="K431" t="str">
        <f t="array" ref="K431">IF($A431="","",INDEX(JupData!$A$2:$K$10000,MATCH($A431&amp;K$1,JupData!$A$2:$A$10000&amp;JupData!$J$2:$J$10000,0),11))</f>
        <v/>
      </c>
      <c r="L431" t="str">
        <f t="array" ref="L431">IF($A431="","",INDEX(JupData!$A$2:$K$10000,MATCH($A431&amp;L$1,JupData!$A$2:$A$10000&amp;JupData!$J$2:$J$10000,0),11))</f>
        <v/>
      </c>
      <c r="M431" t="str">
        <f t="array" ref="M431">IF($A431="","",INDEX(JupData!$A$2:$K$10000,MATCH($A431&amp;M$1,JupData!$A$2:$A$10000&amp;JupData!$J$2:$J$10000,0),11))</f>
        <v/>
      </c>
      <c r="N431" t="str">
        <f t="array" ref="N431">IF($A431="","",INDEX(JupData!$A$2:$K$10000,MATCH($A431&amp;N$1,JupData!$A$2:$A$10000&amp;JupData!$J$2:$J$10000,0),11))</f>
        <v/>
      </c>
      <c r="O431" t="str">
        <f t="array" ref="O431">IF($A431="","",INDEX(JupData!$A$2:$K$10000,MATCH($A431&amp;O$1,JupData!$A$2:$A$10000&amp;JupData!$J$2:$J$10000,0),11))</f>
        <v/>
      </c>
      <c r="P431" t="str">
        <f t="array" ref="P431">IF($A431="","",INDEX(JupData!$A$2:$K$10000,MATCH($A431&amp;P$1,JupData!$A$2:$A$10000&amp;JupData!$J$2:$J$10000,0),11))</f>
        <v/>
      </c>
      <c r="Q431" t="str">
        <f t="array" ref="Q431">IF($A431="","",INDEX(JupData!$A$2:$K$10000,MATCH($A431&amp;Q$1,JupData!$A$2:$A$10000&amp;JupData!$J$2:$J$10000,0),11))</f>
        <v/>
      </c>
      <c r="R431" t="str">
        <f t="array" ref="R431">IF($A431="","",INDEX(JupData!$A$2:$K$10000,MATCH($A431&amp;R$1,JupData!$A$2:$A$10000&amp;JupData!$J$2:$J$10000,0),11))</f>
        <v/>
      </c>
      <c r="S431" t="str">
        <f t="array" ref="S431">IF($A431="","",INDEX(JupData!$A$2:$K$10000,MATCH($A431&amp;S$1,JupData!$A$2:$A$10000&amp;JupData!$J$2:$J$10000,0),11))</f>
        <v/>
      </c>
      <c r="T431" t="str">
        <f t="array" ref="T431">IF($A431="","",INDEX(JupData!$A$2:$K$10000,MATCH($A431&amp;T$1,JupData!$A$2:$A$10000&amp;JupData!$J$2:$J$10000,0),11))</f>
        <v/>
      </c>
      <c r="U431" t="str">
        <f t="array" ref="U431">IF($A431="","",INDEX(JupData!$A$2:$K$10000,MATCH($A431&amp;U$1,JupData!$A$2:$A$10000&amp;JupData!$J$2:$J$10000,0),11))</f>
        <v/>
      </c>
      <c r="V431" t="str">
        <f t="array" ref="V431">IF($A431="","",INDEX(JupData!$A$2:$K$10000,MATCH($A431&amp;V$1,JupData!$A$2:$A$10000&amp;JupData!$J$2:$J$10000,0),11))</f>
        <v/>
      </c>
      <c r="W431" t="str">
        <f t="array" ref="W431">IF($A431="","",INDEX(JupData!$A$2:$K$10000,MATCH($A431&amp;W$1,JupData!$A$2:$A$10000&amp;JupData!$J$2:$J$10000,0),11))</f>
        <v/>
      </c>
      <c r="X431" t="str">
        <f t="array" ref="X431">IF($A431="","",INDEX(JupData!$A$2:$K$10000,MATCH($A431&amp;X$1,JupData!$A$2:$A$10000&amp;JupData!$J$2:$J$10000,0),11))</f>
        <v/>
      </c>
      <c r="Y431" t="str">
        <f t="array" ref="Y431">IF($A431="","",INDEX(JupData!$A$2:$K$10000,MATCH($A431&amp;Y$1,JupData!$A$2:$A$10000&amp;JupData!$J$2:$J$10000,0),11))</f>
        <v/>
      </c>
      <c r="Z431" t="str">
        <f t="array" ref="Z431">IF($A431="","",INDEX(JupData!$A$2:$K$10000,MATCH($A431&amp;Z$1,JupData!$A$2:$A$10000&amp;JupData!$J$2:$J$10000,0),11))</f>
        <v/>
      </c>
      <c r="AA431" t="str">
        <f t="array" ref="AA431">IF($A431="","",INDEX(JupData!$A$2:$K$10000,MATCH($A431&amp;AA$1,JupData!$A$2:$A$10000&amp;JupData!$J$2:$J$10000,0),11))</f>
        <v/>
      </c>
      <c r="AB431" t="str">
        <f t="array" ref="AB431">IF($A431="","",INDEX(JupData!$A$2:$K$10000,MATCH($A431&amp;AB$1,JupData!$A$2:$A$10000&amp;JupData!$J$2:$J$10000,0),11))</f>
        <v/>
      </c>
      <c r="AC431" s="10" t="str">
        <f t="shared" si="66"/>
        <v/>
      </c>
      <c r="AD431" s="10" t="str">
        <f t="shared" si="67"/>
        <v/>
      </c>
      <c r="AE431" s="9" t="str">
        <f t="shared" si="68"/>
        <v/>
      </c>
      <c r="AF431" s="10" t="str">
        <f t="shared" si="69"/>
        <v/>
      </c>
      <c r="AG431" s="10" t="str">
        <f t="shared" si="70"/>
        <v/>
      </c>
      <c r="AH431" s="10" t="str">
        <f t="shared" si="71"/>
        <v/>
      </c>
      <c r="AI431" s="10" t="str">
        <f t="shared" si="72"/>
        <v/>
      </c>
      <c r="AJ431" s="10" t="str">
        <f t="shared" si="73"/>
        <v/>
      </c>
      <c r="AK431" s="10" t="str">
        <f t="shared" si="74"/>
        <v/>
      </c>
      <c r="AL431" s="14" t="str">
        <f t="shared" si="75"/>
        <v/>
      </c>
    </row>
    <row r="432" spans="1:38" x14ac:dyDescent="0.2">
      <c r="A432"/>
      <c r="B432" t="str">
        <f>IF($A432="","",VLOOKUP($A432,JupData!$A$2:$I$10000,4,FALSE))</f>
        <v/>
      </c>
      <c r="C432" s="7" t="str">
        <f>IF($A432="",IF(N(D432),0,""),VLOOKUP($A432,JupData!$A$2:$I$10000,7,FALSE))</f>
        <v/>
      </c>
      <c r="D432" t="str">
        <f t="shared" si="76"/>
        <v/>
      </c>
      <c r="E432" t="str">
        <f t="array" ref="E432">IF($A432="","",INDEX(JupData!$A$2:$K$10000,MATCH($A432&amp;E$1,JupData!$A$2:$A$10000&amp;JupData!$J$2:$J$10000,0),11))</f>
        <v/>
      </c>
      <c r="F432" t="str">
        <f t="array" ref="F432">IF($A432="","",INDEX(JupData!$A$2:$K$10000,MATCH($A432&amp;F$1,JupData!$A$2:$A$10000&amp;JupData!$J$2:$J$10000,0),11))</f>
        <v/>
      </c>
      <c r="G432" t="str">
        <f t="array" ref="G432">IF($A432="","",INDEX(JupData!$A$2:$K$10000,MATCH($A432&amp;G$1,JupData!$A$2:$A$10000&amp;JupData!$J$2:$J$10000,0),11))</f>
        <v/>
      </c>
      <c r="H432" t="str">
        <f t="array" ref="H432">IF($A432="","",INDEX(JupData!$A$2:$K$10000,MATCH($A432&amp;H$1,JupData!$A$2:$A$10000&amp;JupData!$J$2:$J$10000,0),11))</f>
        <v/>
      </c>
      <c r="I432" t="str">
        <f t="array" ref="I432">IF($A432="","",INDEX(JupData!$A$2:$K$10000,MATCH($A432&amp;I$1,JupData!$A$2:$A$10000&amp;JupData!$J$2:$J$10000,0),11))</f>
        <v/>
      </c>
      <c r="J432" t="str">
        <f t="array" ref="J432">IF($A432="","",INDEX(JupData!$A$2:$K$10000,MATCH($A432&amp;J$1,JupData!$A$2:$A$10000&amp;JupData!$J$2:$J$10000,0),11))</f>
        <v/>
      </c>
      <c r="K432" t="str">
        <f t="array" ref="K432">IF($A432="","",INDEX(JupData!$A$2:$K$10000,MATCH($A432&amp;K$1,JupData!$A$2:$A$10000&amp;JupData!$J$2:$J$10000,0),11))</f>
        <v/>
      </c>
      <c r="L432" t="str">
        <f t="array" ref="L432">IF($A432="","",INDEX(JupData!$A$2:$K$10000,MATCH($A432&amp;L$1,JupData!$A$2:$A$10000&amp;JupData!$J$2:$J$10000,0),11))</f>
        <v/>
      </c>
      <c r="M432" t="str">
        <f t="array" ref="M432">IF($A432="","",INDEX(JupData!$A$2:$K$10000,MATCH($A432&amp;M$1,JupData!$A$2:$A$10000&amp;JupData!$J$2:$J$10000,0),11))</f>
        <v/>
      </c>
      <c r="N432" t="str">
        <f t="array" ref="N432">IF($A432="","",INDEX(JupData!$A$2:$K$10000,MATCH($A432&amp;N$1,JupData!$A$2:$A$10000&amp;JupData!$J$2:$J$10000,0),11))</f>
        <v/>
      </c>
      <c r="O432" t="str">
        <f t="array" ref="O432">IF($A432="","",INDEX(JupData!$A$2:$K$10000,MATCH($A432&amp;O$1,JupData!$A$2:$A$10000&amp;JupData!$J$2:$J$10000,0),11))</f>
        <v/>
      </c>
      <c r="P432" t="str">
        <f t="array" ref="P432">IF($A432="","",INDEX(JupData!$A$2:$K$10000,MATCH($A432&amp;P$1,JupData!$A$2:$A$10000&amp;JupData!$J$2:$J$10000,0),11))</f>
        <v/>
      </c>
      <c r="Q432" t="str">
        <f t="array" ref="Q432">IF($A432="","",INDEX(JupData!$A$2:$K$10000,MATCH($A432&amp;Q$1,JupData!$A$2:$A$10000&amp;JupData!$J$2:$J$10000,0),11))</f>
        <v/>
      </c>
      <c r="R432" t="str">
        <f t="array" ref="R432">IF($A432="","",INDEX(JupData!$A$2:$K$10000,MATCH($A432&amp;R$1,JupData!$A$2:$A$10000&amp;JupData!$J$2:$J$10000,0),11))</f>
        <v/>
      </c>
      <c r="S432" t="str">
        <f t="array" ref="S432">IF($A432="","",INDEX(JupData!$A$2:$K$10000,MATCH($A432&amp;S$1,JupData!$A$2:$A$10000&amp;JupData!$J$2:$J$10000,0),11))</f>
        <v/>
      </c>
      <c r="T432" t="str">
        <f t="array" ref="T432">IF($A432="","",INDEX(JupData!$A$2:$K$10000,MATCH($A432&amp;T$1,JupData!$A$2:$A$10000&amp;JupData!$J$2:$J$10000,0),11))</f>
        <v/>
      </c>
      <c r="U432" t="str">
        <f t="array" ref="U432">IF($A432="","",INDEX(JupData!$A$2:$K$10000,MATCH($A432&amp;U$1,JupData!$A$2:$A$10000&amp;JupData!$J$2:$J$10000,0),11))</f>
        <v/>
      </c>
      <c r="V432" t="str">
        <f t="array" ref="V432">IF($A432="","",INDEX(JupData!$A$2:$K$10000,MATCH($A432&amp;V$1,JupData!$A$2:$A$10000&amp;JupData!$J$2:$J$10000,0),11))</f>
        <v/>
      </c>
      <c r="W432" t="str">
        <f t="array" ref="W432">IF($A432="","",INDEX(JupData!$A$2:$K$10000,MATCH($A432&amp;W$1,JupData!$A$2:$A$10000&amp;JupData!$J$2:$J$10000,0),11))</f>
        <v/>
      </c>
      <c r="X432" t="str">
        <f t="array" ref="X432">IF($A432="","",INDEX(JupData!$A$2:$K$10000,MATCH($A432&amp;X$1,JupData!$A$2:$A$10000&amp;JupData!$J$2:$J$10000,0),11))</f>
        <v/>
      </c>
      <c r="Y432" t="str">
        <f t="array" ref="Y432">IF($A432="","",INDEX(JupData!$A$2:$K$10000,MATCH($A432&amp;Y$1,JupData!$A$2:$A$10000&amp;JupData!$J$2:$J$10000,0),11))</f>
        <v/>
      </c>
      <c r="Z432" t="str">
        <f t="array" ref="Z432">IF($A432="","",INDEX(JupData!$A$2:$K$10000,MATCH($A432&amp;Z$1,JupData!$A$2:$A$10000&amp;JupData!$J$2:$J$10000,0),11))</f>
        <v/>
      </c>
      <c r="AA432" t="str">
        <f t="array" ref="AA432">IF($A432="","",INDEX(JupData!$A$2:$K$10000,MATCH($A432&amp;AA$1,JupData!$A$2:$A$10000&amp;JupData!$J$2:$J$10000,0),11))</f>
        <v/>
      </c>
      <c r="AB432" t="str">
        <f t="array" ref="AB432">IF($A432="","",INDEX(JupData!$A$2:$K$10000,MATCH($A432&amp;AB$1,JupData!$A$2:$A$10000&amp;JupData!$J$2:$J$10000,0),11))</f>
        <v/>
      </c>
      <c r="AC432" s="10" t="str">
        <f t="shared" si="66"/>
        <v/>
      </c>
      <c r="AD432" s="10" t="str">
        <f t="shared" si="67"/>
        <v/>
      </c>
      <c r="AE432" s="9" t="str">
        <f t="shared" si="68"/>
        <v/>
      </c>
      <c r="AF432" s="10" t="str">
        <f t="shared" si="69"/>
        <v/>
      </c>
      <c r="AG432" s="10" t="str">
        <f t="shared" si="70"/>
        <v/>
      </c>
      <c r="AH432" s="10" t="str">
        <f t="shared" si="71"/>
        <v/>
      </c>
      <c r="AI432" s="10" t="str">
        <f t="shared" si="72"/>
        <v/>
      </c>
      <c r="AJ432" s="10" t="str">
        <f t="shared" si="73"/>
        <v/>
      </c>
      <c r="AK432" s="10" t="str">
        <f t="shared" si="74"/>
        <v/>
      </c>
      <c r="AL432" s="14" t="str">
        <f t="shared" si="75"/>
        <v/>
      </c>
    </row>
    <row r="433" spans="1:38" x14ac:dyDescent="0.2">
      <c r="A433"/>
      <c r="B433" t="str">
        <f>IF($A433="","",VLOOKUP($A433,JupData!$A$2:$I$10000,4,FALSE))</f>
        <v/>
      </c>
      <c r="C433" s="7" t="str">
        <f>IF($A433="",IF(N(D433),0,""),VLOOKUP($A433,JupData!$A$2:$I$10000,7,FALSE))</f>
        <v/>
      </c>
      <c r="D433" t="str">
        <f t="shared" si="76"/>
        <v/>
      </c>
      <c r="E433" t="str">
        <f t="array" ref="E433">IF($A433="","",INDEX(JupData!$A$2:$K$10000,MATCH($A433&amp;E$1,JupData!$A$2:$A$10000&amp;JupData!$J$2:$J$10000,0),11))</f>
        <v/>
      </c>
      <c r="F433" t="str">
        <f t="array" ref="F433">IF($A433="","",INDEX(JupData!$A$2:$K$10000,MATCH($A433&amp;F$1,JupData!$A$2:$A$10000&amp;JupData!$J$2:$J$10000,0),11))</f>
        <v/>
      </c>
      <c r="G433" t="str">
        <f t="array" ref="G433">IF($A433="","",INDEX(JupData!$A$2:$K$10000,MATCH($A433&amp;G$1,JupData!$A$2:$A$10000&amp;JupData!$J$2:$J$10000,0),11))</f>
        <v/>
      </c>
      <c r="H433" t="str">
        <f t="array" ref="H433">IF($A433="","",INDEX(JupData!$A$2:$K$10000,MATCH($A433&amp;H$1,JupData!$A$2:$A$10000&amp;JupData!$J$2:$J$10000,0),11))</f>
        <v/>
      </c>
      <c r="I433" t="str">
        <f t="array" ref="I433">IF($A433="","",INDEX(JupData!$A$2:$K$10000,MATCH($A433&amp;I$1,JupData!$A$2:$A$10000&amp;JupData!$J$2:$J$10000,0),11))</f>
        <v/>
      </c>
      <c r="J433" t="str">
        <f t="array" ref="J433">IF($A433="","",INDEX(JupData!$A$2:$K$10000,MATCH($A433&amp;J$1,JupData!$A$2:$A$10000&amp;JupData!$J$2:$J$10000,0),11))</f>
        <v/>
      </c>
      <c r="K433" t="str">
        <f t="array" ref="K433">IF($A433="","",INDEX(JupData!$A$2:$K$10000,MATCH($A433&amp;K$1,JupData!$A$2:$A$10000&amp;JupData!$J$2:$J$10000,0),11))</f>
        <v/>
      </c>
      <c r="L433" t="str">
        <f t="array" ref="L433">IF($A433="","",INDEX(JupData!$A$2:$K$10000,MATCH($A433&amp;L$1,JupData!$A$2:$A$10000&amp;JupData!$J$2:$J$10000,0),11))</f>
        <v/>
      </c>
      <c r="M433" t="str">
        <f t="array" ref="M433">IF($A433="","",INDEX(JupData!$A$2:$K$10000,MATCH($A433&amp;M$1,JupData!$A$2:$A$10000&amp;JupData!$J$2:$J$10000,0),11))</f>
        <v/>
      </c>
      <c r="N433" t="str">
        <f t="array" ref="N433">IF($A433="","",INDEX(JupData!$A$2:$K$10000,MATCH($A433&amp;N$1,JupData!$A$2:$A$10000&amp;JupData!$J$2:$J$10000,0),11))</f>
        <v/>
      </c>
      <c r="O433" t="str">
        <f t="array" ref="O433">IF($A433="","",INDEX(JupData!$A$2:$K$10000,MATCH($A433&amp;O$1,JupData!$A$2:$A$10000&amp;JupData!$J$2:$J$10000,0),11))</f>
        <v/>
      </c>
      <c r="P433" t="str">
        <f t="array" ref="P433">IF($A433="","",INDEX(JupData!$A$2:$K$10000,MATCH($A433&amp;P$1,JupData!$A$2:$A$10000&amp;JupData!$J$2:$J$10000,0),11))</f>
        <v/>
      </c>
      <c r="Q433" t="str">
        <f t="array" ref="Q433">IF($A433="","",INDEX(JupData!$A$2:$K$10000,MATCH($A433&amp;Q$1,JupData!$A$2:$A$10000&amp;JupData!$J$2:$J$10000,0),11))</f>
        <v/>
      </c>
      <c r="R433" t="str">
        <f t="array" ref="R433">IF($A433="","",INDEX(JupData!$A$2:$K$10000,MATCH($A433&amp;R$1,JupData!$A$2:$A$10000&amp;JupData!$J$2:$J$10000,0),11))</f>
        <v/>
      </c>
      <c r="S433" t="str">
        <f t="array" ref="S433">IF($A433="","",INDEX(JupData!$A$2:$K$10000,MATCH($A433&amp;S$1,JupData!$A$2:$A$10000&amp;JupData!$J$2:$J$10000,0),11))</f>
        <v/>
      </c>
      <c r="T433" t="str">
        <f t="array" ref="T433">IF($A433="","",INDEX(JupData!$A$2:$K$10000,MATCH($A433&amp;T$1,JupData!$A$2:$A$10000&amp;JupData!$J$2:$J$10000,0),11))</f>
        <v/>
      </c>
      <c r="U433" t="str">
        <f t="array" ref="U433">IF($A433="","",INDEX(JupData!$A$2:$K$10000,MATCH($A433&amp;U$1,JupData!$A$2:$A$10000&amp;JupData!$J$2:$J$10000,0),11))</f>
        <v/>
      </c>
      <c r="V433" t="str">
        <f t="array" ref="V433">IF($A433="","",INDEX(JupData!$A$2:$K$10000,MATCH($A433&amp;V$1,JupData!$A$2:$A$10000&amp;JupData!$J$2:$J$10000,0),11))</f>
        <v/>
      </c>
      <c r="W433" t="str">
        <f t="array" ref="W433">IF($A433="","",INDEX(JupData!$A$2:$K$10000,MATCH($A433&amp;W$1,JupData!$A$2:$A$10000&amp;JupData!$J$2:$J$10000,0),11))</f>
        <v/>
      </c>
      <c r="X433" t="str">
        <f t="array" ref="X433">IF($A433="","",INDEX(JupData!$A$2:$K$10000,MATCH($A433&amp;X$1,JupData!$A$2:$A$10000&amp;JupData!$J$2:$J$10000,0),11))</f>
        <v/>
      </c>
      <c r="Y433" t="str">
        <f t="array" ref="Y433">IF($A433="","",INDEX(JupData!$A$2:$K$10000,MATCH($A433&amp;Y$1,JupData!$A$2:$A$10000&amp;JupData!$J$2:$J$10000,0),11))</f>
        <v/>
      </c>
      <c r="Z433" t="str">
        <f t="array" ref="Z433">IF($A433="","",INDEX(JupData!$A$2:$K$10000,MATCH($A433&amp;Z$1,JupData!$A$2:$A$10000&amp;JupData!$J$2:$J$10000,0),11))</f>
        <v/>
      </c>
      <c r="AA433" t="str">
        <f t="array" ref="AA433">IF($A433="","",INDEX(JupData!$A$2:$K$10000,MATCH($A433&amp;AA$1,JupData!$A$2:$A$10000&amp;JupData!$J$2:$J$10000,0),11))</f>
        <v/>
      </c>
      <c r="AB433" t="str">
        <f t="array" ref="AB433">IF($A433="","",INDEX(JupData!$A$2:$K$10000,MATCH($A433&amp;AB$1,JupData!$A$2:$A$10000&amp;JupData!$J$2:$J$10000,0),11))</f>
        <v/>
      </c>
      <c r="AC433" s="10" t="str">
        <f t="shared" si="66"/>
        <v/>
      </c>
      <c r="AD433" s="10" t="str">
        <f t="shared" si="67"/>
        <v/>
      </c>
      <c r="AE433" s="9" t="str">
        <f t="shared" si="68"/>
        <v/>
      </c>
      <c r="AF433" s="10" t="str">
        <f t="shared" si="69"/>
        <v/>
      </c>
      <c r="AG433" s="10" t="str">
        <f t="shared" si="70"/>
        <v/>
      </c>
      <c r="AH433" s="10" t="str">
        <f t="shared" si="71"/>
        <v/>
      </c>
      <c r="AI433" s="10" t="str">
        <f t="shared" si="72"/>
        <v/>
      </c>
      <c r="AJ433" s="10" t="str">
        <f t="shared" si="73"/>
        <v/>
      </c>
      <c r="AK433" s="10" t="str">
        <f t="shared" si="74"/>
        <v/>
      </c>
      <c r="AL433" s="14" t="str">
        <f t="shared" si="75"/>
        <v/>
      </c>
    </row>
    <row r="434" spans="1:38" x14ac:dyDescent="0.2">
      <c r="A434"/>
      <c r="B434" t="str">
        <f>IF($A434="","",VLOOKUP($A434,JupData!$A$2:$I$10000,4,FALSE))</f>
        <v/>
      </c>
      <c r="C434" s="7" t="str">
        <f>IF($A434="",IF(N(D434),0,""),VLOOKUP($A434,JupData!$A$2:$I$10000,7,FALSE))</f>
        <v/>
      </c>
      <c r="D434" t="str">
        <f t="shared" si="76"/>
        <v/>
      </c>
      <c r="E434" t="str">
        <f t="array" ref="E434">IF($A434="","",INDEX(JupData!$A$2:$K$10000,MATCH($A434&amp;E$1,JupData!$A$2:$A$10000&amp;JupData!$J$2:$J$10000,0),11))</f>
        <v/>
      </c>
      <c r="F434" t="str">
        <f t="array" ref="F434">IF($A434="","",INDEX(JupData!$A$2:$K$10000,MATCH($A434&amp;F$1,JupData!$A$2:$A$10000&amp;JupData!$J$2:$J$10000,0),11))</f>
        <v/>
      </c>
      <c r="G434" t="str">
        <f t="array" ref="G434">IF($A434="","",INDEX(JupData!$A$2:$K$10000,MATCH($A434&amp;G$1,JupData!$A$2:$A$10000&amp;JupData!$J$2:$J$10000,0),11))</f>
        <v/>
      </c>
      <c r="H434" t="str">
        <f t="array" ref="H434">IF($A434="","",INDEX(JupData!$A$2:$K$10000,MATCH($A434&amp;H$1,JupData!$A$2:$A$10000&amp;JupData!$J$2:$J$10000,0),11))</f>
        <v/>
      </c>
      <c r="I434" t="str">
        <f t="array" ref="I434">IF($A434="","",INDEX(JupData!$A$2:$K$10000,MATCH($A434&amp;I$1,JupData!$A$2:$A$10000&amp;JupData!$J$2:$J$10000,0),11))</f>
        <v/>
      </c>
      <c r="J434" t="str">
        <f t="array" ref="J434">IF($A434="","",INDEX(JupData!$A$2:$K$10000,MATCH($A434&amp;J$1,JupData!$A$2:$A$10000&amp;JupData!$J$2:$J$10000,0),11))</f>
        <v/>
      </c>
      <c r="K434" t="str">
        <f t="array" ref="K434">IF($A434="","",INDEX(JupData!$A$2:$K$10000,MATCH($A434&amp;K$1,JupData!$A$2:$A$10000&amp;JupData!$J$2:$J$10000,0),11))</f>
        <v/>
      </c>
      <c r="L434" t="str">
        <f t="array" ref="L434">IF($A434="","",INDEX(JupData!$A$2:$K$10000,MATCH($A434&amp;L$1,JupData!$A$2:$A$10000&amp;JupData!$J$2:$J$10000,0),11))</f>
        <v/>
      </c>
      <c r="M434" t="str">
        <f t="array" ref="M434">IF($A434="","",INDEX(JupData!$A$2:$K$10000,MATCH($A434&amp;M$1,JupData!$A$2:$A$10000&amp;JupData!$J$2:$J$10000,0),11))</f>
        <v/>
      </c>
      <c r="N434" t="str">
        <f t="array" ref="N434">IF($A434="","",INDEX(JupData!$A$2:$K$10000,MATCH($A434&amp;N$1,JupData!$A$2:$A$10000&amp;JupData!$J$2:$J$10000,0),11))</f>
        <v/>
      </c>
      <c r="O434" t="str">
        <f t="array" ref="O434">IF($A434="","",INDEX(JupData!$A$2:$K$10000,MATCH($A434&amp;O$1,JupData!$A$2:$A$10000&amp;JupData!$J$2:$J$10000,0),11))</f>
        <v/>
      </c>
      <c r="P434" t="str">
        <f t="array" ref="P434">IF($A434="","",INDEX(JupData!$A$2:$K$10000,MATCH($A434&amp;P$1,JupData!$A$2:$A$10000&amp;JupData!$J$2:$J$10000,0),11))</f>
        <v/>
      </c>
      <c r="Q434" t="str">
        <f t="array" ref="Q434">IF($A434="","",INDEX(JupData!$A$2:$K$10000,MATCH($A434&amp;Q$1,JupData!$A$2:$A$10000&amp;JupData!$J$2:$J$10000,0),11))</f>
        <v/>
      </c>
      <c r="R434" t="str">
        <f t="array" ref="R434">IF($A434="","",INDEX(JupData!$A$2:$K$10000,MATCH($A434&amp;R$1,JupData!$A$2:$A$10000&amp;JupData!$J$2:$J$10000,0),11))</f>
        <v/>
      </c>
      <c r="S434" t="str">
        <f t="array" ref="S434">IF($A434="","",INDEX(JupData!$A$2:$K$10000,MATCH($A434&amp;S$1,JupData!$A$2:$A$10000&amp;JupData!$J$2:$J$10000,0),11))</f>
        <v/>
      </c>
      <c r="T434" t="str">
        <f t="array" ref="T434">IF($A434="","",INDEX(JupData!$A$2:$K$10000,MATCH($A434&amp;T$1,JupData!$A$2:$A$10000&amp;JupData!$J$2:$J$10000,0),11))</f>
        <v/>
      </c>
      <c r="U434" t="str">
        <f t="array" ref="U434">IF($A434="","",INDEX(JupData!$A$2:$K$10000,MATCH($A434&amp;U$1,JupData!$A$2:$A$10000&amp;JupData!$J$2:$J$10000,0),11))</f>
        <v/>
      </c>
      <c r="V434" t="str">
        <f t="array" ref="V434">IF($A434="","",INDEX(JupData!$A$2:$K$10000,MATCH($A434&amp;V$1,JupData!$A$2:$A$10000&amp;JupData!$J$2:$J$10000,0),11))</f>
        <v/>
      </c>
      <c r="W434" t="str">
        <f t="array" ref="W434">IF($A434="","",INDEX(JupData!$A$2:$K$10000,MATCH($A434&amp;W$1,JupData!$A$2:$A$10000&amp;JupData!$J$2:$J$10000,0),11))</f>
        <v/>
      </c>
      <c r="X434" t="str">
        <f t="array" ref="X434">IF($A434="","",INDEX(JupData!$A$2:$K$10000,MATCH($A434&amp;X$1,JupData!$A$2:$A$10000&amp;JupData!$J$2:$J$10000,0),11))</f>
        <v/>
      </c>
      <c r="Y434" t="str">
        <f t="array" ref="Y434">IF($A434="","",INDEX(JupData!$A$2:$K$10000,MATCH($A434&amp;Y$1,JupData!$A$2:$A$10000&amp;JupData!$J$2:$J$10000,0),11))</f>
        <v/>
      </c>
      <c r="Z434" t="str">
        <f t="array" ref="Z434">IF($A434="","",INDEX(JupData!$A$2:$K$10000,MATCH($A434&amp;Z$1,JupData!$A$2:$A$10000&amp;JupData!$J$2:$J$10000,0),11))</f>
        <v/>
      </c>
      <c r="AA434" t="str">
        <f t="array" ref="AA434">IF($A434="","",INDEX(JupData!$A$2:$K$10000,MATCH($A434&amp;AA$1,JupData!$A$2:$A$10000&amp;JupData!$J$2:$J$10000,0),11))</f>
        <v/>
      </c>
      <c r="AB434" t="str">
        <f t="array" ref="AB434">IF($A434="","",INDEX(JupData!$A$2:$K$10000,MATCH($A434&amp;AB$1,JupData!$A$2:$A$10000&amp;JupData!$J$2:$J$10000,0),11))</f>
        <v/>
      </c>
      <c r="AC434" s="10" t="str">
        <f t="shared" si="66"/>
        <v/>
      </c>
      <c r="AD434" s="10" t="str">
        <f t="shared" si="67"/>
        <v/>
      </c>
      <c r="AE434" s="9" t="str">
        <f t="shared" si="68"/>
        <v/>
      </c>
      <c r="AF434" s="10" t="str">
        <f t="shared" si="69"/>
        <v/>
      </c>
      <c r="AG434" s="10" t="str">
        <f t="shared" si="70"/>
        <v/>
      </c>
      <c r="AH434" s="10" t="str">
        <f t="shared" si="71"/>
        <v/>
      </c>
      <c r="AI434" s="10" t="str">
        <f t="shared" si="72"/>
        <v/>
      </c>
      <c r="AJ434" s="10" t="str">
        <f t="shared" si="73"/>
        <v/>
      </c>
      <c r="AK434" s="10" t="str">
        <f t="shared" si="74"/>
        <v/>
      </c>
      <c r="AL434" s="14" t="str">
        <f t="shared" si="75"/>
        <v/>
      </c>
    </row>
    <row r="435" spans="1:38" x14ac:dyDescent="0.2">
      <c r="A435"/>
      <c r="B435" t="str">
        <f>IF($A435="","",VLOOKUP($A435,JupData!$A$2:$I$10000,4,FALSE))</f>
        <v/>
      </c>
      <c r="C435" s="7" t="str">
        <f>IF($A435="",IF(N(D435),0,""),VLOOKUP($A435,JupData!$A$2:$I$10000,7,FALSE))</f>
        <v/>
      </c>
      <c r="D435" t="str">
        <f t="shared" si="76"/>
        <v/>
      </c>
      <c r="E435" t="str">
        <f t="array" ref="E435">IF($A435="","",INDEX(JupData!$A$2:$K$10000,MATCH($A435&amp;E$1,JupData!$A$2:$A$10000&amp;JupData!$J$2:$J$10000,0),11))</f>
        <v/>
      </c>
      <c r="F435" t="str">
        <f t="array" ref="F435">IF($A435="","",INDEX(JupData!$A$2:$K$10000,MATCH($A435&amp;F$1,JupData!$A$2:$A$10000&amp;JupData!$J$2:$J$10000,0),11))</f>
        <v/>
      </c>
      <c r="G435" t="str">
        <f t="array" ref="G435">IF($A435="","",INDEX(JupData!$A$2:$K$10000,MATCH($A435&amp;G$1,JupData!$A$2:$A$10000&amp;JupData!$J$2:$J$10000,0),11))</f>
        <v/>
      </c>
      <c r="H435" t="str">
        <f t="array" ref="H435">IF($A435="","",INDEX(JupData!$A$2:$K$10000,MATCH($A435&amp;H$1,JupData!$A$2:$A$10000&amp;JupData!$J$2:$J$10000,0),11))</f>
        <v/>
      </c>
      <c r="I435" t="str">
        <f t="array" ref="I435">IF($A435="","",INDEX(JupData!$A$2:$K$10000,MATCH($A435&amp;I$1,JupData!$A$2:$A$10000&amp;JupData!$J$2:$J$10000,0),11))</f>
        <v/>
      </c>
      <c r="J435" t="str">
        <f t="array" ref="J435">IF($A435="","",INDEX(JupData!$A$2:$K$10000,MATCH($A435&amp;J$1,JupData!$A$2:$A$10000&amp;JupData!$J$2:$J$10000,0),11))</f>
        <v/>
      </c>
      <c r="K435" t="str">
        <f t="array" ref="K435">IF($A435="","",INDEX(JupData!$A$2:$K$10000,MATCH($A435&amp;K$1,JupData!$A$2:$A$10000&amp;JupData!$J$2:$J$10000,0),11))</f>
        <v/>
      </c>
      <c r="L435" t="str">
        <f t="array" ref="L435">IF($A435="","",INDEX(JupData!$A$2:$K$10000,MATCH($A435&amp;L$1,JupData!$A$2:$A$10000&amp;JupData!$J$2:$J$10000,0),11))</f>
        <v/>
      </c>
      <c r="M435" t="str">
        <f t="array" ref="M435">IF($A435="","",INDEX(JupData!$A$2:$K$10000,MATCH($A435&amp;M$1,JupData!$A$2:$A$10000&amp;JupData!$J$2:$J$10000,0),11))</f>
        <v/>
      </c>
      <c r="N435" t="str">
        <f t="array" ref="N435">IF($A435="","",INDEX(JupData!$A$2:$K$10000,MATCH($A435&amp;N$1,JupData!$A$2:$A$10000&amp;JupData!$J$2:$J$10000,0),11))</f>
        <v/>
      </c>
      <c r="O435" t="str">
        <f t="array" ref="O435">IF($A435="","",INDEX(JupData!$A$2:$K$10000,MATCH($A435&amp;O$1,JupData!$A$2:$A$10000&amp;JupData!$J$2:$J$10000,0),11))</f>
        <v/>
      </c>
      <c r="P435" t="str">
        <f t="array" ref="P435">IF($A435="","",INDEX(JupData!$A$2:$K$10000,MATCH($A435&amp;P$1,JupData!$A$2:$A$10000&amp;JupData!$J$2:$J$10000,0),11))</f>
        <v/>
      </c>
      <c r="Q435" t="str">
        <f t="array" ref="Q435">IF($A435="","",INDEX(JupData!$A$2:$K$10000,MATCH($A435&amp;Q$1,JupData!$A$2:$A$10000&amp;JupData!$J$2:$J$10000,0),11))</f>
        <v/>
      </c>
      <c r="R435" t="str">
        <f t="array" ref="R435">IF($A435="","",INDEX(JupData!$A$2:$K$10000,MATCH($A435&amp;R$1,JupData!$A$2:$A$10000&amp;JupData!$J$2:$J$10000,0),11))</f>
        <v/>
      </c>
      <c r="S435" t="str">
        <f t="array" ref="S435">IF($A435="","",INDEX(JupData!$A$2:$K$10000,MATCH($A435&amp;S$1,JupData!$A$2:$A$10000&amp;JupData!$J$2:$J$10000,0),11))</f>
        <v/>
      </c>
      <c r="T435" t="str">
        <f t="array" ref="T435">IF($A435="","",INDEX(JupData!$A$2:$K$10000,MATCH($A435&amp;T$1,JupData!$A$2:$A$10000&amp;JupData!$J$2:$J$10000,0),11))</f>
        <v/>
      </c>
      <c r="U435" t="str">
        <f t="array" ref="U435">IF($A435="","",INDEX(JupData!$A$2:$K$10000,MATCH($A435&amp;U$1,JupData!$A$2:$A$10000&amp;JupData!$J$2:$J$10000,0),11))</f>
        <v/>
      </c>
      <c r="V435" t="str">
        <f t="array" ref="V435">IF($A435="","",INDEX(JupData!$A$2:$K$10000,MATCH($A435&amp;V$1,JupData!$A$2:$A$10000&amp;JupData!$J$2:$J$10000,0),11))</f>
        <v/>
      </c>
      <c r="W435" t="str">
        <f t="array" ref="W435">IF($A435="","",INDEX(JupData!$A$2:$K$10000,MATCH($A435&amp;W$1,JupData!$A$2:$A$10000&amp;JupData!$J$2:$J$10000,0),11))</f>
        <v/>
      </c>
      <c r="X435" t="str">
        <f t="array" ref="X435">IF($A435="","",INDEX(JupData!$A$2:$K$10000,MATCH($A435&amp;X$1,JupData!$A$2:$A$10000&amp;JupData!$J$2:$J$10000,0),11))</f>
        <v/>
      </c>
      <c r="Y435" t="str">
        <f t="array" ref="Y435">IF($A435="","",INDEX(JupData!$A$2:$K$10000,MATCH($A435&amp;Y$1,JupData!$A$2:$A$10000&amp;JupData!$J$2:$J$10000,0),11))</f>
        <v/>
      </c>
      <c r="Z435" t="str">
        <f t="array" ref="Z435">IF($A435="","",INDEX(JupData!$A$2:$K$10000,MATCH($A435&amp;Z$1,JupData!$A$2:$A$10000&amp;JupData!$J$2:$J$10000,0),11))</f>
        <v/>
      </c>
      <c r="AA435" t="str">
        <f t="array" ref="AA435">IF($A435="","",INDEX(JupData!$A$2:$K$10000,MATCH($A435&amp;AA$1,JupData!$A$2:$A$10000&amp;JupData!$J$2:$J$10000,0),11))</f>
        <v/>
      </c>
      <c r="AB435" t="str">
        <f t="array" ref="AB435">IF($A435="","",INDEX(JupData!$A$2:$K$10000,MATCH($A435&amp;AB$1,JupData!$A$2:$A$10000&amp;JupData!$J$2:$J$10000,0),11))</f>
        <v/>
      </c>
      <c r="AC435" s="10" t="str">
        <f t="shared" si="66"/>
        <v/>
      </c>
      <c r="AD435" s="10" t="str">
        <f t="shared" si="67"/>
        <v/>
      </c>
      <c r="AE435" s="9" t="str">
        <f t="shared" si="68"/>
        <v/>
      </c>
      <c r="AF435" s="10" t="str">
        <f t="shared" si="69"/>
        <v/>
      </c>
      <c r="AG435" s="10" t="str">
        <f t="shared" si="70"/>
        <v/>
      </c>
      <c r="AH435" s="10" t="str">
        <f t="shared" si="71"/>
        <v/>
      </c>
      <c r="AI435" s="10" t="str">
        <f t="shared" si="72"/>
        <v/>
      </c>
      <c r="AJ435" s="10" t="str">
        <f t="shared" si="73"/>
        <v/>
      </c>
      <c r="AK435" s="10" t="str">
        <f t="shared" si="74"/>
        <v/>
      </c>
      <c r="AL435" s="14" t="str">
        <f t="shared" si="75"/>
        <v/>
      </c>
    </row>
    <row r="436" spans="1:38" x14ac:dyDescent="0.2">
      <c r="A436"/>
      <c r="B436" t="str">
        <f>IF($A436="","",VLOOKUP($A436,JupData!$A$2:$I$10000,4,FALSE))</f>
        <v/>
      </c>
      <c r="C436" s="7" t="str">
        <f>IF($A436="",IF(N(D436),0,""),VLOOKUP($A436,JupData!$A$2:$I$10000,7,FALSE))</f>
        <v/>
      </c>
      <c r="D436" t="str">
        <f t="shared" si="76"/>
        <v/>
      </c>
      <c r="E436" t="str">
        <f t="array" ref="E436">IF($A436="","",INDEX(JupData!$A$2:$K$10000,MATCH($A436&amp;E$1,JupData!$A$2:$A$10000&amp;JupData!$J$2:$J$10000,0),11))</f>
        <v/>
      </c>
      <c r="F436" t="str">
        <f t="array" ref="F436">IF($A436="","",INDEX(JupData!$A$2:$K$10000,MATCH($A436&amp;F$1,JupData!$A$2:$A$10000&amp;JupData!$J$2:$J$10000,0),11))</f>
        <v/>
      </c>
      <c r="G436" t="str">
        <f t="array" ref="G436">IF($A436="","",INDEX(JupData!$A$2:$K$10000,MATCH($A436&amp;G$1,JupData!$A$2:$A$10000&amp;JupData!$J$2:$J$10000,0),11))</f>
        <v/>
      </c>
      <c r="H436" t="str">
        <f t="array" ref="H436">IF($A436="","",INDEX(JupData!$A$2:$K$10000,MATCH($A436&amp;H$1,JupData!$A$2:$A$10000&amp;JupData!$J$2:$J$10000,0),11))</f>
        <v/>
      </c>
      <c r="I436" t="str">
        <f t="array" ref="I436">IF($A436="","",INDEX(JupData!$A$2:$K$10000,MATCH($A436&amp;I$1,JupData!$A$2:$A$10000&amp;JupData!$J$2:$J$10000,0),11))</f>
        <v/>
      </c>
      <c r="J436" t="str">
        <f t="array" ref="J436">IF($A436="","",INDEX(JupData!$A$2:$K$10000,MATCH($A436&amp;J$1,JupData!$A$2:$A$10000&amp;JupData!$J$2:$J$10000,0),11))</f>
        <v/>
      </c>
      <c r="K436" t="str">
        <f t="array" ref="K436">IF($A436="","",INDEX(JupData!$A$2:$K$10000,MATCH($A436&amp;K$1,JupData!$A$2:$A$10000&amp;JupData!$J$2:$J$10000,0),11))</f>
        <v/>
      </c>
      <c r="L436" t="str">
        <f t="array" ref="L436">IF($A436="","",INDEX(JupData!$A$2:$K$10000,MATCH($A436&amp;L$1,JupData!$A$2:$A$10000&amp;JupData!$J$2:$J$10000,0),11))</f>
        <v/>
      </c>
      <c r="M436" t="str">
        <f t="array" ref="M436">IF($A436="","",INDEX(JupData!$A$2:$K$10000,MATCH($A436&amp;M$1,JupData!$A$2:$A$10000&amp;JupData!$J$2:$J$10000,0),11))</f>
        <v/>
      </c>
      <c r="N436" t="str">
        <f t="array" ref="N436">IF($A436="","",INDEX(JupData!$A$2:$K$10000,MATCH($A436&amp;N$1,JupData!$A$2:$A$10000&amp;JupData!$J$2:$J$10000,0),11))</f>
        <v/>
      </c>
      <c r="O436" t="str">
        <f t="array" ref="O436">IF($A436="","",INDEX(JupData!$A$2:$K$10000,MATCH($A436&amp;O$1,JupData!$A$2:$A$10000&amp;JupData!$J$2:$J$10000,0),11))</f>
        <v/>
      </c>
      <c r="P436" t="str">
        <f t="array" ref="P436">IF($A436="","",INDEX(JupData!$A$2:$K$10000,MATCH($A436&amp;P$1,JupData!$A$2:$A$10000&amp;JupData!$J$2:$J$10000,0),11))</f>
        <v/>
      </c>
      <c r="Q436" t="str">
        <f t="array" ref="Q436">IF($A436="","",INDEX(JupData!$A$2:$K$10000,MATCH($A436&amp;Q$1,JupData!$A$2:$A$10000&amp;JupData!$J$2:$J$10000,0),11))</f>
        <v/>
      </c>
      <c r="R436" t="str">
        <f t="array" ref="R436">IF($A436="","",INDEX(JupData!$A$2:$K$10000,MATCH($A436&amp;R$1,JupData!$A$2:$A$10000&amp;JupData!$J$2:$J$10000,0),11))</f>
        <v/>
      </c>
      <c r="S436" t="str">
        <f t="array" ref="S436">IF($A436="","",INDEX(JupData!$A$2:$K$10000,MATCH($A436&amp;S$1,JupData!$A$2:$A$10000&amp;JupData!$J$2:$J$10000,0),11))</f>
        <v/>
      </c>
      <c r="T436" t="str">
        <f t="array" ref="T436">IF($A436="","",INDEX(JupData!$A$2:$K$10000,MATCH($A436&amp;T$1,JupData!$A$2:$A$10000&amp;JupData!$J$2:$J$10000,0),11))</f>
        <v/>
      </c>
      <c r="U436" t="str">
        <f t="array" ref="U436">IF($A436="","",INDEX(JupData!$A$2:$K$10000,MATCH($A436&amp;U$1,JupData!$A$2:$A$10000&amp;JupData!$J$2:$J$10000,0),11))</f>
        <v/>
      </c>
      <c r="V436" t="str">
        <f t="array" ref="V436">IF($A436="","",INDEX(JupData!$A$2:$K$10000,MATCH($A436&amp;V$1,JupData!$A$2:$A$10000&amp;JupData!$J$2:$J$10000,0),11))</f>
        <v/>
      </c>
      <c r="W436" t="str">
        <f t="array" ref="W436">IF($A436="","",INDEX(JupData!$A$2:$K$10000,MATCH($A436&amp;W$1,JupData!$A$2:$A$10000&amp;JupData!$J$2:$J$10000,0),11))</f>
        <v/>
      </c>
      <c r="X436" t="str">
        <f t="array" ref="X436">IF($A436="","",INDEX(JupData!$A$2:$K$10000,MATCH($A436&amp;X$1,JupData!$A$2:$A$10000&amp;JupData!$J$2:$J$10000,0),11))</f>
        <v/>
      </c>
      <c r="Y436" t="str">
        <f t="array" ref="Y436">IF($A436="","",INDEX(JupData!$A$2:$K$10000,MATCH($A436&amp;Y$1,JupData!$A$2:$A$10000&amp;JupData!$J$2:$J$10000,0),11))</f>
        <v/>
      </c>
      <c r="Z436" t="str">
        <f t="array" ref="Z436">IF($A436="","",INDEX(JupData!$A$2:$K$10000,MATCH($A436&amp;Z$1,JupData!$A$2:$A$10000&amp;JupData!$J$2:$J$10000,0),11))</f>
        <v/>
      </c>
      <c r="AA436" t="str">
        <f t="array" ref="AA436">IF($A436="","",INDEX(JupData!$A$2:$K$10000,MATCH($A436&amp;AA$1,JupData!$A$2:$A$10000&amp;JupData!$J$2:$J$10000,0),11))</f>
        <v/>
      </c>
      <c r="AB436" t="str">
        <f t="array" ref="AB436">IF($A436="","",INDEX(JupData!$A$2:$K$10000,MATCH($A436&amp;AB$1,JupData!$A$2:$A$10000&amp;JupData!$J$2:$J$10000,0),11))</f>
        <v/>
      </c>
      <c r="AC436" s="10" t="str">
        <f t="shared" si="66"/>
        <v/>
      </c>
      <c r="AD436" s="10" t="str">
        <f t="shared" si="67"/>
        <v/>
      </c>
      <c r="AE436" s="9" t="str">
        <f t="shared" si="68"/>
        <v/>
      </c>
      <c r="AF436" s="10" t="str">
        <f t="shared" si="69"/>
        <v/>
      </c>
      <c r="AG436" s="10" t="str">
        <f t="shared" si="70"/>
        <v/>
      </c>
      <c r="AH436" s="10" t="str">
        <f t="shared" si="71"/>
        <v/>
      </c>
      <c r="AI436" s="10" t="str">
        <f t="shared" si="72"/>
        <v/>
      </c>
      <c r="AJ436" s="10" t="str">
        <f t="shared" si="73"/>
        <v/>
      </c>
      <c r="AK436" s="10" t="str">
        <f t="shared" si="74"/>
        <v/>
      </c>
      <c r="AL436" s="14" t="str">
        <f t="shared" si="75"/>
        <v/>
      </c>
    </row>
    <row r="437" spans="1:38" x14ac:dyDescent="0.2">
      <c r="A437"/>
      <c r="B437" t="str">
        <f>IF($A437="","",VLOOKUP($A437,JupData!$A$2:$I$10000,4,FALSE))</f>
        <v/>
      </c>
      <c r="C437" s="7" t="str">
        <f>IF($A437="",IF(N(D437),0,""),VLOOKUP($A437,JupData!$A$2:$I$10000,7,FALSE))</f>
        <v/>
      </c>
      <c r="D437" t="str">
        <f t="shared" si="76"/>
        <v/>
      </c>
      <c r="E437" t="str">
        <f t="array" ref="E437">IF($A437="","",INDEX(JupData!$A$2:$K$10000,MATCH($A437&amp;E$1,JupData!$A$2:$A$10000&amp;JupData!$J$2:$J$10000,0),11))</f>
        <v/>
      </c>
      <c r="F437" t="str">
        <f t="array" ref="F437">IF($A437="","",INDEX(JupData!$A$2:$K$10000,MATCH($A437&amp;F$1,JupData!$A$2:$A$10000&amp;JupData!$J$2:$J$10000,0),11))</f>
        <v/>
      </c>
      <c r="G437" t="str">
        <f t="array" ref="G437">IF($A437="","",INDEX(JupData!$A$2:$K$10000,MATCH($A437&amp;G$1,JupData!$A$2:$A$10000&amp;JupData!$J$2:$J$10000,0),11))</f>
        <v/>
      </c>
      <c r="H437" t="str">
        <f t="array" ref="H437">IF($A437="","",INDEX(JupData!$A$2:$K$10000,MATCH($A437&amp;H$1,JupData!$A$2:$A$10000&amp;JupData!$J$2:$J$10000,0),11))</f>
        <v/>
      </c>
      <c r="I437" t="str">
        <f t="array" ref="I437">IF($A437="","",INDEX(JupData!$A$2:$K$10000,MATCH($A437&amp;I$1,JupData!$A$2:$A$10000&amp;JupData!$J$2:$J$10000,0),11))</f>
        <v/>
      </c>
      <c r="J437" t="str">
        <f t="array" ref="J437">IF($A437="","",INDEX(JupData!$A$2:$K$10000,MATCH($A437&amp;J$1,JupData!$A$2:$A$10000&amp;JupData!$J$2:$J$10000,0),11))</f>
        <v/>
      </c>
      <c r="K437" t="str">
        <f t="array" ref="K437">IF($A437="","",INDEX(JupData!$A$2:$K$10000,MATCH($A437&amp;K$1,JupData!$A$2:$A$10000&amp;JupData!$J$2:$J$10000,0),11))</f>
        <v/>
      </c>
      <c r="L437" t="str">
        <f t="array" ref="L437">IF($A437="","",INDEX(JupData!$A$2:$K$10000,MATCH($A437&amp;L$1,JupData!$A$2:$A$10000&amp;JupData!$J$2:$J$10000,0),11))</f>
        <v/>
      </c>
      <c r="M437" t="str">
        <f t="array" ref="M437">IF($A437="","",INDEX(JupData!$A$2:$K$10000,MATCH($A437&amp;M$1,JupData!$A$2:$A$10000&amp;JupData!$J$2:$J$10000,0),11))</f>
        <v/>
      </c>
      <c r="N437" t="str">
        <f t="array" ref="N437">IF($A437="","",INDEX(JupData!$A$2:$K$10000,MATCH($A437&amp;N$1,JupData!$A$2:$A$10000&amp;JupData!$J$2:$J$10000,0),11))</f>
        <v/>
      </c>
      <c r="O437" t="str">
        <f t="array" ref="O437">IF($A437="","",INDEX(JupData!$A$2:$K$10000,MATCH($A437&amp;O$1,JupData!$A$2:$A$10000&amp;JupData!$J$2:$J$10000,0),11))</f>
        <v/>
      </c>
      <c r="P437" t="str">
        <f t="array" ref="P437">IF($A437="","",INDEX(JupData!$A$2:$K$10000,MATCH($A437&amp;P$1,JupData!$A$2:$A$10000&amp;JupData!$J$2:$J$10000,0),11))</f>
        <v/>
      </c>
      <c r="Q437" t="str">
        <f t="array" ref="Q437">IF($A437="","",INDEX(JupData!$A$2:$K$10000,MATCH($A437&amp;Q$1,JupData!$A$2:$A$10000&amp;JupData!$J$2:$J$10000,0),11))</f>
        <v/>
      </c>
      <c r="R437" t="str">
        <f t="array" ref="R437">IF($A437="","",INDEX(JupData!$A$2:$K$10000,MATCH($A437&amp;R$1,JupData!$A$2:$A$10000&amp;JupData!$J$2:$J$10000,0),11))</f>
        <v/>
      </c>
      <c r="S437" t="str">
        <f t="array" ref="S437">IF($A437="","",INDEX(JupData!$A$2:$K$10000,MATCH($A437&amp;S$1,JupData!$A$2:$A$10000&amp;JupData!$J$2:$J$10000,0),11))</f>
        <v/>
      </c>
      <c r="T437" t="str">
        <f t="array" ref="T437">IF($A437="","",INDEX(JupData!$A$2:$K$10000,MATCH($A437&amp;T$1,JupData!$A$2:$A$10000&amp;JupData!$J$2:$J$10000,0),11))</f>
        <v/>
      </c>
      <c r="U437" t="str">
        <f t="array" ref="U437">IF($A437="","",INDEX(JupData!$A$2:$K$10000,MATCH($A437&amp;U$1,JupData!$A$2:$A$10000&amp;JupData!$J$2:$J$10000,0),11))</f>
        <v/>
      </c>
      <c r="V437" t="str">
        <f t="array" ref="V437">IF($A437="","",INDEX(JupData!$A$2:$K$10000,MATCH($A437&amp;V$1,JupData!$A$2:$A$10000&amp;JupData!$J$2:$J$10000,0),11))</f>
        <v/>
      </c>
      <c r="W437" t="str">
        <f t="array" ref="W437">IF($A437="","",INDEX(JupData!$A$2:$K$10000,MATCH($A437&amp;W$1,JupData!$A$2:$A$10000&amp;JupData!$J$2:$J$10000,0),11))</f>
        <v/>
      </c>
      <c r="X437" t="str">
        <f t="array" ref="X437">IF($A437="","",INDEX(JupData!$A$2:$K$10000,MATCH($A437&amp;X$1,JupData!$A$2:$A$10000&amp;JupData!$J$2:$J$10000,0),11))</f>
        <v/>
      </c>
      <c r="Y437" t="str">
        <f t="array" ref="Y437">IF($A437="","",INDEX(JupData!$A$2:$K$10000,MATCH($A437&amp;Y$1,JupData!$A$2:$A$10000&amp;JupData!$J$2:$J$10000,0),11))</f>
        <v/>
      </c>
      <c r="Z437" t="str">
        <f t="array" ref="Z437">IF($A437="","",INDEX(JupData!$A$2:$K$10000,MATCH($A437&amp;Z$1,JupData!$A$2:$A$10000&amp;JupData!$J$2:$J$10000,0),11))</f>
        <v/>
      </c>
      <c r="AA437" t="str">
        <f t="array" ref="AA437">IF($A437="","",INDEX(JupData!$A$2:$K$10000,MATCH($A437&amp;AA$1,JupData!$A$2:$A$10000&amp;JupData!$J$2:$J$10000,0),11))</f>
        <v/>
      </c>
      <c r="AB437" t="str">
        <f t="array" ref="AB437">IF($A437="","",INDEX(JupData!$A$2:$K$10000,MATCH($A437&amp;AB$1,JupData!$A$2:$A$10000&amp;JupData!$J$2:$J$10000,0),11))</f>
        <v/>
      </c>
      <c r="AC437" s="10" t="str">
        <f t="shared" si="66"/>
        <v/>
      </c>
      <c r="AD437" s="10" t="str">
        <f t="shared" si="67"/>
        <v/>
      </c>
      <c r="AE437" s="9" t="str">
        <f t="shared" si="68"/>
        <v/>
      </c>
      <c r="AF437" s="10" t="str">
        <f t="shared" si="69"/>
        <v/>
      </c>
      <c r="AG437" s="10" t="str">
        <f t="shared" si="70"/>
        <v/>
      </c>
      <c r="AH437" s="10" t="str">
        <f t="shared" si="71"/>
        <v/>
      </c>
      <c r="AI437" s="10" t="str">
        <f t="shared" si="72"/>
        <v/>
      </c>
      <c r="AJ437" s="10" t="str">
        <f t="shared" si="73"/>
        <v/>
      </c>
      <c r="AK437" s="10" t="str">
        <f t="shared" si="74"/>
        <v/>
      </c>
      <c r="AL437" s="14" t="str">
        <f t="shared" si="75"/>
        <v/>
      </c>
    </row>
    <row r="438" spans="1:38" x14ac:dyDescent="0.2">
      <c r="A438"/>
      <c r="B438" t="str">
        <f>IF($A438="","",VLOOKUP($A438,JupData!$A$2:$I$10000,4,FALSE))</f>
        <v/>
      </c>
      <c r="C438" s="7" t="str">
        <f>IF($A438="",IF(N(D438),0,""),VLOOKUP($A438,JupData!$A$2:$I$10000,7,FALSE))</f>
        <v/>
      </c>
      <c r="D438" t="str">
        <f t="shared" si="76"/>
        <v/>
      </c>
      <c r="E438" t="str">
        <f t="array" ref="E438">IF($A438="","",INDEX(JupData!$A$2:$K$10000,MATCH($A438&amp;E$1,JupData!$A$2:$A$10000&amp;JupData!$J$2:$J$10000,0),11))</f>
        <v/>
      </c>
      <c r="F438" t="str">
        <f t="array" ref="F438">IF($A438="","",INDEX(JupData!$A$2:$K$10000,MATCH($A438&amp;F$1,JupData!$A$2:$A$10000&amp;JupData!$J$2:$J$10000,0),11))</f>
        <v/>
      </c>
      <c r="G438" t="str">
        <f t="array" ref="G438">IF($A438="","",INDEX(JupData!$A$2:$K$10000,MATCH($A438&amp;G$1,JupData!$A$2:$A$10000&amp;JupData!$J$2:$J$10000,0),11))</f>
        <v/>
      </c>
      <c r="H438" t="str">
        <f t="array" ref="H438">IF($A438="","",INDEX(JupData!$A$2:$K$10000,MATCH($A438&amp;H$1,JupData!$A$2:$A$10000&amp;JupData!$J$2:$J$10000,0),11))</f>
        <v/>
      </c>
      <c r="I438" t="str">
        <f t="array" ref="I438">IF($A438="","",INDEX(JupData!$A$2:$K$10000,MATCH($A438&amp;I$1,JupData!$A$2:$A$10000&amp;JupData!$J$2:$J$10000,0),11))</f>
        <v/>
      </c>
      <c r="J438" t="str">
        <f t="array" ref="J438">IF($A438="","",INDEX(JupData!$A$2:$K$10000,MATCH($A438&amp;J$1,JupData!$A$2:$A$10000&amp;JupData!$J$2:$J$10000,0),11))</f>
        <v/>
      </c>
      <c r="K438" t="str">
        <f t="array" ref="K438">IF($A438="","",INDEX(JupData!$A$2:$K$10000,MATCH($A438&amp;K$1,JupData!$A$2:$A$10000&amp;JupData!$J$2:$J$10000,0),11))</f>
        <v/>
      </c>
      <c r="L438" t="str">
        <f t="array" ref="L438">IF($A438="","",INDEX(JupData!$A$2:$K$10000,MATCH($A438&amp;L$1,JupData!$A$2:$A$10000&amp;JupData!$J$2:$J$10000,0),11))</f>
        <v/>
      </c>
      <c r="M438" t="str">
        <f t="array" ref="M438">IF($A438="","",INDEX(JupData!$A$2:$K$10000,MATCH($A438&amp;M$1,JupData!$A$2:$A$10000&amp;JupData!$J$2:$J$10000,0),11))</f>
        <v/>
      </c>
      <c r="N438" t="str">
        <f t="array" ref="N438">IF($A438="","",INDEX(JupData!$A$2:$K$10000,MATCH($A438&amp;N$1,JupData!$A$2:$A$10000&amp;JupData!$J$2:$J$10000,0),11))</f>
        <v/>
      </c>
      <c r="O438" t="str">
        <f t="array" ref="O438">IF($A438="","",INDEX(JupData!$A$2:$K$10000,MATCH($A438&amp;O$1,JupData!$A$2:$A$10000&amp;JupData!$J$2:$J$10000,0),11))</f>
        <v/>
      </c>
      <c r="P438" t="str">
        <f t="array" ref="P438">IF($A438="","",INDEX(JupData!$A$2:$K$10000,MATCH($A438&amp;P$1,JupData!$A$2:$A$10000&amp;JupData!$J$2:$J$10000,0),11))</f>
        <v/>
      </c>
      <c r="Q438" t="str">
        <f t="array" ref="Q438">IF($A438="","",INDEX(JupData!$A$2:$K$10000,MATCH($A438&amp;Q$1,JupData!$A$2:$A$10000&amp;JupData!$J$2:$J$10000,0),11))</f>
        <v/>
      </c>
      <c r="R438" t="str">
        <f t="array" ref="R438">IF($A438="","",INDEX(JupData!$A$2:$K$10000,MATCH($A438&amp;R$1,JupData!$A$2:$A$10000&amp;JupData!$J$2:$J$10000,0),11))</f>
        <v/>
      </c>
      <c r="S438" t="str">
        <f t="array" ref="S438">IF($A438="","",INDEX(JupData!$A$2:$K$10000,MATCH($A438&amp;S$1,JupData!$A$2:$A$10000&amp;JupData!$J$2:$J$10000,0),11))</f>
        <v/>
      </c>
      <c r="T438" t="str">
        <f t="array" ref="T438">IF($A438="","",INDEX(JupData!$A$2:$K$10000,MATCH($A438&amp;T$1,JupData!$A$2:$A$10000&amp;JupData!$J$2:$J$10000,0),11))</f>
        <v/>
      </c>
      <c r="U438" t="str">
        <f t="array" ref="U438">IF($A438="","",INDEX(JupData!$A$2:$K$10000,MATCH($A438&amp;U$1,JupData!$A$2:$A$10000&amp;JupData!$J$2:$J$10000,0),11))</f>
        <v/>
      </c>
      <c r="V438" t="str">
        <f t="array" ref="V438">IF($A438="","",INDEX(JupData!$A$2:$K$10000,MATCH($A438&amp;V$1,JupData!$A$2:$A$10000&amp;JupData!$J$2:$J$10000,0),11))</f>
        <v/>
      </c>
      <c r="W438" t="str">
        <f t="array" ref="W438">IF($A438="","",INDEX(JupData!$A$2:$K$10000,MATCH($A438&amp;W$1,JupData!$A$2:$A$10000&amp;JupData!$J$2:$J$10000,0),11))</f>
        <v/>
      </c>
      <c r="X438" t="str">
        <f t="array" ref="X438">IF($A438="","",INDEX(JupData!$A$2:$K$10000,MATCH($A438&amp;X$1,JupData!$A$2:$A$10000&amp;JupData!$J$2:$J$10000,0),11))</f>
        <v/>
      </c>
      <c r="Y438" t="str">
        <f t="array" ref="Y438">IF($A438="","",INDEX(JupData!$A$2:$K$10000,MATCH($A438&amp;Y$1,JupData!$A$2:$A$10000&amp;JupData!$J$2:$J$10000,0),11))</f>
        <v/>
      </c>
      <c r="Z438" t="str">
        <f t="array" ref="Z438">IF($A438="","",INDEX(JupData!$A$2:$K$10000,MATCH($A438&amp;Z$1,JupData!$A$2:$A$10000&amp;JupData!$J$2:$J$10000,0),11))</f>
        <v/>
      </c>
      <c r="AA438" t="str">
        <f t="array" ref="AA438">IF($A438="","",INDEX(JupData!$A$2:$K$10000,MATCH($A438&amp;AA$1,JupData!$A$2:$A$10000&amp;JupData!$J$2:$J$10000,0),11))</f>
        <v/>
      </c>
      <c r="AB438" t="str">
        <f t="array" ref="AB438">IF($A438="","",INDEX(JupData!$A$2:$K$10000,MATCH($A438&amp;AB$1,JupData!$A$2:$A$10000&amp;JupData!$J$2:$J$10000,0),11))</f>
        <v/>
      </c>
      <c r="AC438" s="10" t="str">
        <f t="shared" si="66"/>
        <v/>
      </c>
      <c r="AD438" s="10" t="str">
        <f t="shared" si="67"/>
        <v/>
      </c>
      <c r="AE438" s="9" t="str">
        <f t="shared" si="68"/>
        <v/>
      </c>
      <c r="AF438" s="10" t="str">
        <f t="shared" si="69"/>
        <v/>
      </c>
      <c r="AG438" s="10" t="str">
        <f t="shared" si="70"/>
        <v/>
      </c>
      <c r="AH438" s="10" t="str">
        <f t="shared" si="71"/>
        <v/>
      </c>
      <c r="AI438" s="10" t="str">
        <f t="shared" si="72"/>
        <v/>
      </c>
      <c r="AJ438" s="10" t="str">
        <f t="shared" si="73"/>
        <v/>
      </c>
      <c r="AK438" s="10" t="str">
        <f t="shared" si="74"/>
        <v/>
      </c>
      <c r="AL438" s="14" t="str">
        <f t="shared" si="75"/>
        <v/>
      </c>
    </row>
    <row r="439" spans="1:38" x14ac:dyDescent="0.2">
      <c r="A439"/>
      <c r="B439" t="str">
        <f>IF($A439="","",VLOOKUP($A439,JupData!$A$2:$I$10000,4,FALSE))</f>
        <v/>
      </c>
      <c r="C439" s="7" t="str">
        <f>IF($A439="",IF(N(D439),0,""),VLOOKUP($A439,JupData!$A$2:$I$10000,7,FALSE))</f>
        <v/>
      </c>
      <c r="D439" t="str">
        <f t="shared" si="76"/>
        <v/>
      </c>
      <c r="E439" t="str">
        <f t="array" ref="E439">IF($A439="","",INDEX(JupData!$A$2:$K$10000,MATCH($A439&amp;E$1,JupData!$A$2:$A$10000&amp;JupData!$J$2:$J$10000,0),11))</f>
        <v/>
      </c>
      <c r="F439" t="str">
        <f t="array" ref="F439">IF($A439="","",INDEX(JupData!$A$2:$K$10000,MATCH($A439&amp;F$1,JupData!$A$2:$A$10000&amp;JupData!$J$2:$J$10000,0),11))</f>
        <v/>
      </c>
      <c r="G439" t="str">
        <f t="array" ref="G439">IF($A439="","",INDEX(JupData!$A$2:$K$10000,MATCH($A439&amp;G$1,JupData!$A$2:$A$10000&amp;JupData!$J$2:$J$10000,0),11))</f>
        <v/>
      </c>
      <c r="H439" t="str">
        <f t="array" ref="H439">IF($A439="","",INDEX(JupData!$A$2:$K$10000,MATCH($A439&amp;H$1,JupData!$A$2:$A$10000&amp;JupData!$J$2:$J$10000,0),11))</f>
        <v/>
      </c>
      <c r="I439" t="str">
        <f t="array" ref="I439">IF($A439="","",INDEX(JupData!$A$2:$K$10000,MATCH($A439&amp;I$1,JupData!$A$2:$A$10000&amp;JupData!$J$2:$J$10000,0),11))</f>
        <v/>
      </c>
      <c r="J439" t="str">
        <f t="array" ref="J439">IF($A439="","",INDEX(JupData!$A$2:$K$10000,MATCH($A439&amp;J$1,JupData!$A$2:$A$10000&amp;JupData!$J$2:$J$10000,0),11))</f>
        <v/>
      </c>
      <c r="K439" t="str">
        <f t="array" ref="K439">IF($A439="","",INDEX(JupData!$A$2:$K$10000,MATCH($A439&amp;K$1,JupData!$A$2:$A$10000&amp;JupData!$J$2:$J$10000,0),11))</f>
        <v/>
      </c>
      <c r="L439" t="str">
        <f t="array" ref="L439">IF($A439="","",INDEX(JupData!$A$2:$K$10000,MATCH($A439&amp;L$1,JupData!$A$2:$A$10000&amp;JupData!$J$2:$J$10000,0),11))</f>
        <v/>
      </c>
      <c r="M439" t="str">
        <f t="array" ref="M439">IF($A439="","",INDEX(JupData!$A$2:$K$10000,MATCH($A439&amp;M$1,JupData!$A$2:$A$10000&amp;JupData!$J$2:$J$10000,0),11))</f>
        <v/>
      </c>
      <c r="N439" t="str">
        <f t="array" ref="N439">IF($A439="","",INDEX(JupData!$A$2:$K$10000,MATCH($A439&amp;N$1,JupData!$A$2:$A$10000&amp;JupData!$J$2:$J$10000,0),11))</f>
        <v/>
      </c>
      <c r="O439" t="str">
        <f t="array" ref="O439">IF($A439="","",INDEX(JupData!$A$2:$K$10000,MATCH($A439&amp;O$1,JupData!$A$2:$A$10000&amp;JupData!$J$2:$J$10000,0),11))</f>
        <v/>
      </c>
      <c r="P439" t="str">
        <f t="array" ref="P439">IF($A439="","",INDEX(JupData!$A$2:$K$10000,MATCH($A439&amp;P$1,JupData!$A$2:$A$10000&amp;JupData!$J$2:$J$10000,0),11))</f>
        <v/>
      </c>
      <c r="Q439" t="str">
        <f t="array" ref="Q439">IF($A439="","",INDEX(JupData!$A$2:$K$10000,MATCH($A439&amp;Q$1,JupData!$A$2:$A$10000&amp;JupData!$J$2:$J$10000,0),11))</f>
        <v/>
      </c>
      <c r="R439" t="str">
        <f t="array" ref="R439">IF($A439="","",INDEX(JupData!$A$2:$K$10000,MATCH($A439&amp;R$1,JupData!$A$2:$A$10000&amp;JupData!$J$2:$J$10000,0),11))</f>
        <v/>
      </c>
      <c r="S439" t="str">
        <f t="array" ref="S439">IF($A439="","",INDEX(JupData!$A$2:$K$10000,MATCH($A439&amp;S$1,JupData!$A$2:$A$10000&amp;JupData!$J$2:$J$10000,0),11))</f>
        <v/>
      </c>
      <c r="T439" t="str">
        <f t="array" ref="T439">IF($A439="","",INDEX(JupData!$A$2:$K$10000,MATCH($A439&amp;T$1,JupData!$A$2:$A$10000&amp;JupData!$J$2:$J$10000,0),11))</f>
        <v/>
      </c>
      <c r="U439" t="str">
        <f t="array" ref="U439">IF($A439="","",INDEX(JupData!$A$2:$K$10000,MATCH($A439&amp;U$1,JupData!$A$2:$A$10000&amp;JupData!$J$2:$J$10000,0),11))</f>
        <v/>
      </c>
      <c r="V439" t="str">
        <f t="array" ref="V439">IF($A439="","",INDEX(JupData!$A$2:$K$10000,MATCH($A439&amp;V$1,JupData!$A$2:$A$10000&amp;JupData!$J$2:$J$10000,0),11))</f>
        <v/>
      </c>
      <c r="W439" t="str">
        <f t="array" ref="W439">IF($A439="","",INDEX(JupData!$A$2:$K$10000,MATCH($A439&amp;W$1,JupData!$A$2:$A$10000&amp;JupData!$J$2:$J$10000,0),11))</f>
        <v/>
      </c>
      <c r="X439" t="str">
        <f t="array" ref="X439">IF($A439="","",INDEX(JupData!$A$2:$K$10000,MATCH($A439&amp;X$1,JupData!$A$2:$A$10000&amp;JupData!$J$2:$J$10000,0),11))</f>
        <v/>
      </c>
      <c r="Y439" t="str">
        <f t="array" ref="Y439">IF($A439="","",INDEX(JupData!$A$2:$K$10000,MATCH($A439&amp;Y$1,JupData!$A$2:$A$10000&amp;JupData!$J$2:$J$10000,0),11))</f>
        <v/>
      </c>
      <c r="Z439" t="str">
        <f t="array" ref="Z439">IF($A439="","",INDEX(JupData!$A$2:$K$10000,MATCH($A439&amp;Z$1,JupData!$A$2:$A$10000&amp;JupData!$J$2:$J$10000,0),11))</f>
        <v/>
      </c>
      <c r="AA439" t="str">
        <f t="array" ref="AA439">IF($A439="","",INDEX(JupData!$A$2:$K$10000,MATCH($A439&amp;AA$1,JupData!$A$2:$A$10000&amp;JupData!$J$2:$J$10000,0),11))</f>
        <v/>
      </c>
      <c r="AB439" t="str">
        <f t="array" ref="AB439">IF($A439="","",INDEX(JupData!$A$2:$K$10000,MATCH($A439&amp;AB$1,JupData!$A$2:$A$10000&amp;JupData!$J$2:$J$10000,0),11))</f>
        <v/>
      </c>
      <c r="AC439" s="10" t="str">
        <f t="shared" si="66"/>
        <v/>
      </c>
      <c r="AD439" s="10" t="str">
        <f t="shared" si="67"/>
        <v/>
      </c>
      <c r="AE439" s="9" t="str">
        <f t="shared" si="68"/>
        <v/>
      </c>
      <c r="AF439" s="10" t="str">
        <f t="shared" si="69"/>
        <v/>
      </c>
      <c r="AG439" s="10" t="str">
        <f t="shared" si="70"/>
        <v/>
      </c>
      <c r="AH439" s="10" t="str">
        <f t="shared" si="71"/>
        <v/>
      </c>
      <c r="AI439" s="10" t="str">
        <f t="shared" si="72"/>
        <v/>
      </c>
      <c r="AJ439" s="10" t="str">
        <f t="shared" si="73"/>
        <v/>
      </c>
      <c r="AK439" s="10" t="str">
        <f t="shared" si="74"/>
        <v/>
      </c>
      <c r="AL439" s="14" t="str">
        <f t="shared" si="75"/>
        <v/>
      </c>
    </row>
    <row r="440" spans="1:38" x14ac:dyDescent="0.2">
      <c r="A440"/>
      <c r="B440" t="str">
        <f>IF($A440="","",VLOOKUP($A440,JupData!$A$2:$I$10000,4,FALSE))</f>
        <v/>
      </c>
      <c r="C440" s="7" t="str">
        <f>IF($A440="",IF(N(D440),0,""),VLOOKUP($A440,JupData!$A$2:$I$10000,7,FALSE))</f>
        <v/>
      </c>
      <c r="D440" t="str">
        <f t="shared" si="76"/>
        <v/>
      </c>
      <c r="E440" t="str">
        <f t="array" ref="E440">IF($A440="","",INDEX(JupData!$A$2:$K$10000,MATCH($A440&amp;E$1,JupData!$A$2:$A$10000&amp;JupData!$J$2:$J$10000,0),11))</f>
        <v/>
      </c>
      <c r="F440" t="str">
        <f t="array" ref="F440">IF($A440="","",INDEX(JupData!$A$2:$K$10000,MATCH($A440&amp;F$1,JupData!$A$2:$A$10000&amp;JupData!$J$2:$J$10000,0),11))</f>
        <v/>
      </c>
      <c r="G440" t="str">
        <f t="array" ref="G440">IF($A440="","",INDEX(JupData!$A$2:$K$10000,MATCH($A440&amp;G$1,JupData!$A$2:$A$10000&amp;JupData!$J$2:$J$10000,0),11))</f>
        <v/>
      </c>
      <c r="H440" t="str">
        <f t="array" ref="H440">IF($A440="","",INDEX(JupData!$A$2:$K$10000,MATCH($A440&amp;H$1,JupData!$A$2:$A$10000&amp;JupData!$J$2:$J$10000,0),11))</f>
        <v/>
      </c>
      <c r="I440" t="str">
        <f t="array" ref="I440">IF($A440="","",INDEX(JupData!$A$2:$K$10000,MATCH($A440&amp;I$1,JupData!$A$2:$A$10000&amp;JupData!$J$2:$J$10000,0),11))</f>
        <v/>
      </c>
      <c r="J440" t="str">
        <f t="array" ref="J440">IF($A440="","",INDEX(JupData!$A$2:$K$10000,MATCH($A440&amp;J$1,JupData!$A$2:$A$10000&amp;JupData!$J$2:$J$10000,0),11))</f>
        <v/>
      </c>
      <c r="K440" t="str">
        <f t="array" ref="K440">IF($A440="","",INDEX(JupData!$A$2:$K$10000,MATCH($A440&amp;K$1,JupData!$A$2:$A$10000&amp;JupData!$J$2:$J$10000,0),11))</f>
        <v/>
      </c>
      <c r="L440" t="str">
        <f t="array" ref="L440">IF($A440="","",INDEX(JupData!$A$2:$K$10000,MATCH($A440&amp;L$1,JupData!$A$2:$A$10000&amp;JupData!$J$2:$J$10000,0),11))</f>
        <v/>
      </c>
      <c r="M440" t="str">
        <f t="array" ref="M440">IF($A440="","",INDEX(JupData!$A$2:$K$10000,MATCH($A440&amp;M$1,JupData!$A$2:$A$10000&amp;JupData!$J$2:$J$10000,0),11))</f>
        <v/>
      </c>
      <c r="N440" t="str">
        <f t="array" ref="N440">IF($A440="","",INDEX(JupData!$A$2:$K$10000,MATCH($A440&amp;N$1,JupData!$A$2:$A$10000&amp;JupData!$J$2:$J$10000,0),11))</f>
        <v/>
      </c>
      <c r="O440" t="str">
        <f t="array" ref="O440">IF($A440="","",INDEX(JupData!$A$2:$K$10000,MATCH($A440&amp;O$1,JupData!$A$2:$A$10000&amp;JupData!$J$2:$J$10000,0),11))</f>
        <v/>
      </c>
      <c r="P440" t="str">
        <f t="array" ref="P440">IF($A440="","",INDEX(JupData!$A$2:$K$10000,MATCH($A440&amp;P$1,JupData!$A$2:$A$10000&amp;JupData!$J$2:$J$10000,0),11))</f>
        <v/>
      </c>
      <c r="Q440" t="str">
        <f t="array" ref="Q440">IF($A440="","",INDEX(JupData!$A$2:$K$10000,MATCH($A440&amp;Q$1,JupData!$A$2:$A$10000&amp;JupData!$J$2:$J$10000,0),11))</f>
        <v/>
      </c>
      <c r="R440" t="str">
        <f t="array" ref="R440">IF($A440="","",INDEX(JupData!$A$2:$K$10000,MATCH($A440&amp;R$1,JupData!$A$2:$A$10000&amp;JupData!$J$2:$J$10000,0),11))</f>
        <v/>
      </c>
      <c r="S440" t="str">
        <f t="array" ref="S440">IF($A440="","",INDEX(JupData!$A$2:$K$10000,MATCH($A440&amp;S$1,JupData!$A$2:$A$10000&amp;JupData!$J$2:$J$10000,0),11))</f>
        <v/>
      </c>
      <c r="T440" t="str">
        <f t="array" ref="T440">IF($A440="","",INDEX(JupData!$A$2:$K$10000,MATCH($A440&amp;T$1,JupData!$A$2:$A$10000&amp;JupData!$J$2:$J$10000,0),11))</f>
        <v/>
      </c>
      <c r="U440" t="str">
        <f t="array" ref="U440">IF($A440="","",INDEX(JupData!$A$2:$K$10000,MATCH($A440&amp;U$1,JupData!$A$2:$A$10000&amp;JupData!$J$2:$J$10000,0),11))</f>
        <v/>
      </c>
      <c r="V440" t="str">
        <f t="array" ref="V440">IF($A440="","",INDEX(JupData!$A$2:$K$10000,MATCH($A440&amp;V$1,JupData!$A$2:$A$10000&amp;JupData!$J$2:$J$10000,0),11))</f>
        <v/>
      </c>
      <c r="W440" t="str">
        <f t="array" ref="W440">IF($A440="","",INDEX(JupData!$A$2:$K$10000,MATCH($A440&amp;W$1,JupData!$A$2:$A$10000&amp;JupData!$J$2:$J$10000,0),11))</f>
        <v/>
      </c>
      <c r="X440" t="str">
        <f t="array" ref="X440">IF($A440="","",INDEX(JupData!$A$2:$K$10000,MATCH($A440&amp;X$1,JupData!$A$2:$A$10000&amp;JupData!$J$2:$J$10000,0),11))</f>
        <v/>
      </c>
      <c r="Y440" t="str">
        <f t="array" ref="Y440">IF($A440="","",INDEX(JupData!$A$2:$K$10000,MATCH($A440&amp;Y$1,JupData!$A$2:$A$10000&amp;JupData!$J$2:$J$10000,0),11))</f>
        <v/>
      </c>
      <c r="Z440" t="str">
        <f t="array" ref="Z440">IF($A440="","",INDEX(JupData!$A$2:$K$10000,MATCH($A440&amp;Z$1,JupData!$A$2:$A$10000&amp;JupData!$J$2:$J$10000,0),11))</f>
        <v/>
      </c>
      <c r="AA440" t="str">
        <f t="array" ref="AA440">IF($A440="","",INDEX(JupData!$A$2:$K$10000,MATCH($A440&amp;AA$1,JupData!$A$2:$A$10000&amp;JupData!$J$2:$J$10000,0),11))</f>
        <v/>
      </c>
      <c r="AB440" t="str">
        <f t="array" ref="AB440">IF($A440="","",INDEX(JupData!$A$2:$K$10000,MATCH($A440&amp;AB$1,JupData!$A$2:$A$10000&amp;JupData!$J$2:$J$10000,0),11))</f>
        <v/>
      </c>
      <c r="AC440" s="10" t="str">
        <f t="shared" si="66"/>
        <v/>
      </c>
      <c r="AD440" s="10" t="str">
        <f t="shared" si="67"/>
        <v/>
      </c>
      <c r="AE440" s="9" t="str">
        <f t="shared" si="68"/>
        <v/>
      </c>
      <c r="AF440" s="10" t="str">
        <f t="shared" si="69"/>
        <v/>
      </c>
      <c r="AG440" s="10" t="str">
        <f t="shared" si="70"/>
        <v/>
      </c>
      <c r="AH440" s="10" t="str">
        <f t="shared" si="71"/>
        <v/>
      </c>
      <c r="AI440" s="10" t="str">
        <f t="shared" si="72"/>
        <v/>
      </c>
      <c r="AJ440" s="10" t="str">
        <f t="shared" si="73"/>
        <v/>
      </c>
      <c r="AK440" s="10" t="str">
        <f t="shared" si="74"/>
        <v/>
      </c>
      <c r="AL440" s="14" t="str">
        <f t="shared" si="75"/>
        <v/>
      </c>
    </row>
    <row r="441" spans="1:38" x14ac:dyDescent="0.2">
      <c r="A441"/>
      <c r="B441" t="str">
        <f>IF($A441="","",VLOOKUP($A441,JupData!$A$2:$I$10000,4,FALSE))</f>
        <v/>
      </c>
      <c r="C441" s="7" t="str">
        <f>IF($A441="",IF(N(D441),0,""),VLOOKUP($A441,JupData!$A$2:$I$10000,7,FALSE))</f>
        <v/>
      </c>
      <c r="D441" t="str">
        <f t="shared" si="76"/>
        <v/>
      </c>
      <c r="E441" t="str">
        <f t="array" ref="E441">IF($A441="","",INDEX(JupData!$A$2:$K$10000,MATCH($A441&amp;E$1,JupData!$A$2:$A$10000&amp;JupData!$J$2:$J$10000,0),11))</f>
        <v/>
      </c>
      <c r="F441" t="str">
        <f t="array" ref="F441">IF($A441="","",INDEX(JupData!$A$2:$K$10000,MATCH($A441&amp;F$1,JupData!$A$2:$A$10000&amp;JupData!$J$2:$J$10000,0),11))</f>
        <v/>
      </c>
      <c r="G441" t="str">
        <f t="array" ref="G441">IF($A441="","",INDEX(JupData!$A$2:$K$10000,MATCH($A441&amp;G$1,JupData!$A$2:$A$10000&amp;JupData!$J$2:$J$10000,0),11))</f>
        <v/>
      </c>
      <c r="H441" t="str">
        <f t="array" ref="H441">IF($A441="","",INDEX(JupData!$A$2:$K$10000,MATCH($A441&amp;H$1,JupData!$A$2:$A$10000&amp;JupData!$J$2:$J$10000,0),11))</f>
        <v/>
      </c>
      <c r="I441" t="str">
        <f t="array" ref="I441">IF($A441="","",INDEX(JupData!$A$2:$K$10000,MATCH($A441&amp;I$1,JupData!$A$2:$A$10000&amp;JupData!$J$2:$J$10000,0),11))</f>
        <v/>
      </c>
      <c r="J441" t="str">
        <f t="array" ref="J441">IF($A441="","",INDEX(JupData!$A$2:$K$10000,MATCH($A441&amp;J$1,JupData!$A$2:$A$10000&amp;JupData!$J$2:$J$10000,0),11))</f>
        <v/>
      </c>
      <c r="K441" t="str">
        <f t="array" ref="K441">IF($A441="","",INDEX(JupData!$A$2:$K$10000,MATCH($A441&amp;K$1,JupData!$A$2:$A$10000&amp;JupData!$J$2:$J$10000,0),11))</f>
        <v/>
      </c>
      <c r="L441" t="str">
        <f t="array" ref="L441">IF($A441="","",INDEX(JupData!$A$2:$K$10000,MATCH($A441&amp;L$1,JupData!$A$2:$A$10000&amp;JupData!$J$2:$J$10000,0),11))</f>
        <v/>
      </c>
      <c r="M441" t="str">
        <f t="array" ref="M441">IF($A441="","",INDEX(JupData!$A$2:$K$10000,MATCH($A441&amp;M$1,JupData!$A$2:$A$10000&amp;JupData!$J$2:$J$10000,0),11))</f>
        <v/>
      </c>
      <c r="N441" t="str">
        <f t="array" ref="N441">IF($A441="","",INDEX(JupData!$A$2:$K$10000,MATCH($A441&amp;N$1,JupData!$A$2:$A$10000&amp;JupData!$J$2:$J$10000,0),11))</f>
        <v/>
      </c>
      <c r="O441" t="str">
        <f t="array" ref="O441">IF($A441="","",INDEX(JupData!$A$2:$K$10000,MATCH($A441&amp;O$1,JupData!$A$2:$A$10000&amp;JupData!$J$2:$J$10000,0),11))</f>
        <v/>
      </c>
      <c r="P441" t="str">
        <f t="array" ref="P441">IF($A441="","",INDEX(JupData!$A$2:$K$10000,MATCH($A441&amp;P$1,JupData!$A$2:$A$10000&amp;JupData!$J$2:$J$10000,0),11))</f>
        <v/>
      </c>
      <c r="Q441" t="str">
        <f t="array" ref="Q441">IF($A441="","",INDEX(JupData!$A$2:$K$10000,MATCH($A441&amp;Q$1,JupData!$A$2:$A$10000&amp;JupData!$J$2:$J$10000,0),11))</f>
        <v/>
      </c>
      <c r="R441" t="str">
        <f t="array" ref="R441">IF($A441="","",INDEX(JupData!$A$2:$K$10000,MATCH($A441&amp;R$1,JupData!$A$2:$A$10000&amp;JupData!$J$2:$J$10000,0),11))</f>
        <v/>
      </c>
      <c r="S441" t="str">
        <f t="array" ref="S441">IF($A441="","",INDEX(JupData!$A$2:$K$10000,MATCH($A441&amp;S$1,JupData!$A$2:$A$10000&amp;JupData!$J$2:$J$10000,0),11))</f>
        <v/>
      </c>
      <c r="T441" t="str">
        <f t="array" ref="T441">IF($A441="","",INDEX(JupData!$A$2:$K$10000,MATCH($A441&amp;T$1,JupData!$A$2:$A$10000&amp;JupData!$J$2:$J$10000,0),11))</f>
        <v/>
      </c>
      <c r="U441" t="str">
        <f t="array" ref="U441">IF($A441="","",INDEX(JupData!$A$2:$K$10000,MATCH($A441&amp;U$1,JupData!$A$2:$A$10000&amp;JupData!$J$2:$J$10000,0),11))</f>
        <v/>
      </c>
      <c r="V441" t="str">
        <f t="array" ref="V441">IF($A441="","",INDEX(JupData!$A$2:$K$10000,MATCH($A441&amp;V$1,JupData!$A$2:$A$10000&amp;JupData!$J$2:$J$10000,0),11))</f>
        <v/>
      </c>
      <c r="W441" t="str">
        <f t="array" ref="W441">IF($A441="","",INDEX(JupData!$A$2:$K$10000,MATCH($A441&amp;W$1,JupData!$A$2:$A$10000&amp;JupData!$J$2:$J$10000,0),11))</f>
        <v/>
      </c>
      <c r="X441" t="str">
        <f t="array" ref="X441">IF($A441="","",INDEX(JupData!$A$2:$K$10000,MATCH($A441&amp;X$1,JupData!$A$2:$A$10000&amp;JupData!$J$2:$J$10000,0),11))</f>
        <v/>
      </c>
      <c r="Y441" t="str">
        <f t="array" ref="Y441">IF($A441="","",INDEX(JupData!$A$2:$K$10000,MATCH($A441&amp;Y$1,JupData!$A$2:$A$10000&amp;JupData!$J$2:$J$10000,0),11))</f>
        <v/>
      </c>
      <c r="Z441" t="str">
        <f t="array" ref="Z441">IF($A441="","",INDEX(JupData!$A$2:$K$10000,MATCH($A441&amp;Z$1,JupData!$A$2:$A$10000&amp;JupData!$J$2:$J$10000,0),11))</f>
        <v/>
      </c>
      <c r="AA441" t="str">
        <f t="array" ref="AA441">IF($A441="","",INDEX(JupData!$A$2:$K$10000,MATCH($A441&amp;AA$1,JupData!$A$2:$A$10000&amp;JupData!$J$2:$J$10000,0),11))</f>
        <v/>
      </c>
      <c r="AB441" t="str">
        <f t="array" ref="AB441">IF($A441="","",INDEX(JupData!$A$2:$K$10000,MATCH($A441&amp;AB$1,JupData!$A$2:$A$10000&amp;JupData!$J$2:$J$10000,0),11))</f>
        <v/>
      </c>
      <c r="AC441" s="10" t="str">
        <f t="shared" si="66"/>
        <v/>
      </c>
      <c r="AD441" s="10" t="str">
        <f t="shared" si="67"/>
        <v/>
      </c>
      <c r="AE441" s="9" t="str">
        <f t="shared" si="68"/>
        <v/>
      </c>
      <c r="AF441" s="10" t="str">
        <f t="shared" si="69"/>
        <v/>
      </c>
      <c r="AG441" s="10" t="str">
        <f t="shared" si="70"/>
        <v/>
      </c>
      <c r="AH441" s="10" t="str">
        <f t="shared" si="71"/>
        <v/>
      </c>
      <c r="AI441" s="10" t="str">
        <f t="shared" si="72"/>
        <v/>
      </c>
      <c r="AJ441" s="10" t="str">
        <f t="shared" si="73"/>
        <v/>
      </c>
      <c r="AK441" s="10" t="str">
        <f t="shared" si="74"/>
        <v/>
      </c>
      <c r="AL441" s="14" t="str">
        <f t="shared" si="75"/>
        <v/>
      </c>
    </row>
    <row r="442" spans="1:38" x14ac:dyDescent="0.2">
      <c r="A442"/>
      <c r="B442" t="str">
        <f>IF($A442="","",VLOOKUP($A442,JupData!$A$2:$I$10000,4,FALSE))</f>
        <v/>
      </c>
      <c r="C442" s="7" t="str">
        <f>IF($A442="",IF(N(D442),0,""),VLOOKUP($A442,JupData!$A$2:$I$10000,7,FALSE))</f>
        <v/>
      </c>
      <c r="D442" t="str">
        <f t="shared" si="76"/>
        <v/>
      </c>
      <c r="E442" t="str">
        <f t="array" ref="E442">IF($A442="","",INDEX(JupData!$A$2:$K$10000,MATCH($A442&amp;E$1,JupData!$A$2:$A$10000&amp;JupData!$J$2:$J$10000,0),11))</f>
        <v/>
      </c>
      <c r="F442" t="str">
        <f t="array" ref="F442">IF($A442="","",INDEX(JupData!$A$2:$K$10000,MATCH($A442&amp;F$1,JupData!$A$2:$A$10000&amp;JupData!$J$2:$J$10000,0),11))</f>
        <v/>
      </c>
      <c r="G442" t="str">
        <f t="array" ref="G442">IF($A442="","",INDEX(JupData!$A$2:$K$10000,MATCH($A442&amp;G$1,JupData!$A$2:$A$10000&amp;JupData!$J$2:$J$10000,0),11))</f>
        <v/>
      </c>
      <c r="H442" t="str">
        <f t="array" ref="H442">IF($A442="","",INDEX(JupData!$A$2:$K$10000,MATCH($A442&amp;H$1,JupData!$A$2:$A$10000&amp;JupData!$J$2:$J$10000,0),11))</f>
        <v/>
      </c>
      <c r="I442" t="str">
        <f t="array" ref="I442">IF($A442="","",INDEX(JupData!$A$2:$K$10000,MATCH($A442&amp;I$1,JupData!$A$2:$A$10000&amp;JupData!$J$2:$J$10000,0),11))</f>
        <v/>
      </c>
      <c r="J442" t="str">
        <f t="array" ref="J442">IF($A442="","",INDEX(JupData!$A$2:$K$10000,MATCH($A442&amp;J$1,JupData!$A$2:$A$10000&amp;JupData!$J$2:$J$10000,0),11))</f>
        <v/>
      </c>
      <c r="K442" t="str">
        <f t="array" ref="K442">IF($A442="","",INDEX(JupData!$A$2:$K$10000,MATCH($A442&amp;K$1,JupData!$A$2:$A$10000&amp;JupData!$J$2:$J$10000,0),11))</f>
        <v/>
      </c>
      <c r="L442" t="str">
        <f t="array" ref="L442">IF($A442="","",INDEX(JupData!$A$2:$K$10000,MATCH($A442&amp;L$1,JupData!$A$2:$A$10000&amp;JupData!$J$2:$J$10000,0),11))</f>
        <v/>
      </c>
      <c r="M442" t="str">
        <f t="array" ref="M442">IF($A442="","",INDEX(JupData!$A$2:$K$10000,MATCH($A442&amp;M$1,JupData!$A$2:$A$10000&amp;JupData!$J$2:$J$10000,0),11))</f>
        <v/>
      </c>
      <c r="N442" t="str">
        <f t="array" ref="N442">IF($A442="","",INDEX(JupData!$A$2:$K$10000,MATCH($A442&amp;N$1,JupData!$A$2:$A$10000&amp;JupData!$J$2:$J$10000,0),11))</f>
        <v/>
      </c>
      <c r="O442" t="str">
        <f t="array" ref="O442">IF($A442="","",INDEX(JupData!$A$2:$K$10000,MATCH($A442&amp;O$1,JupData!$A$2:$A$10000&amp;JupData!$J$2:$J$10000,0),11))</f>
        <v/>
      </c>
      <c r="P442" t="str">
        <f t="array" ref="P442">IF($A442="","",INDEX(JupData!$A$2:$K$10000,MATCH($A442&amp;P$1,JupData!$A$2:$A$10000&amp;JupData!$J$2:$J$10000,0),11))</f>
        <v/>
      </c>
      <c r="Q442" t="str">
        <f t="array" ref="Q442">IF($A442="","",INDEX(JupData!$A$2:$K$10000,MATCH($A442&amp;Q$1,JupData!$A$2:$A$10000&amp;JupData!$J$2:$J$10000,0),11))</f>
        <v/>
      </c>
      <c r="R442" t="str">
        <f t="array" ref="R442">IF($A442="","",INDEX(JupData!$A$2:$K$10000,MATCH($A442&amp;R$1,JupData!$A$2:$A$10000&amp;JupData!$J$2:$J$10000,0),11))</f>
        <v/>
      </c>
      <c r="S442" t="str">
        <f t="array" ref="S442">IF($A442="","",INDEX(JupData!$A$2:$K$10000,MATCH($A442&amp;S$1,JupData!$A$2:$A$10000&amp;JupData!$J$2:$J$10000,0),11))</f>
        <v/>
      </c>
      <c r="T442" t="str">
        <f t="array" ref="T442">IF($A442="","",INDEX(JupData!$A$2:$K$10000,MATCH($A442&amp;T$1,JupData!$A$2:$A$10000&amp;JupData!$J$2:$J$10000,0),11))</f>
        <v/>
      </c>
      <c r="U442" t="str">
        <f t="array" ref="U442">IF($A442="","",INDEX(JupData!$A$2:$K$10000,MATCH($A442&amp;U$1,JupData!$A$2:$A$10000&amp;JupData!$J$2:$J$10000,0),11))</f>
        <v/>
      </c>
      <c r="V442" t="str">
        <f t="array" ref="V442">IF($A442="","",INDEX(JupData!$A$2:$K$10000,MATCH($A442&amp;V$1,JupData!$A$2:$A$10000&amp;JupData!$J$2:$J$10000,0),11))</f>
        <v/>
      </c>
      <c r="W442" t="str">
        <f t="array" ref="W442">IF($A442="","",INDEX(JupData!$A$2:$K$10000,MATCH($A442&amp;W$1,JupData!$A$2:$A$10000&amp;JupData!$J$2:$J$10000,0),11))</f>
        <v/>
      </c>
      <c r="X442" t="str">
        <f t="array" ref="X442">IF($A442="","",INDEX(JupData!$A$2:$K$10000,MATCH($A442&amp;X$1,JupData!$A$2:$A$10000&amp;JupData!$J$2:$J$10000,0),11))</f>
        <v/>
      </c>
      <c r="Y442" t="str">
        <f t="array" ref="Y442">IF($A442="","",INDEX(JupData!$A$2:$K$10000,MATCH($A442&amp;Y$1,JupData!$A$2:$A$10000&amp;JupData!$J$2:$J$10000,0),11))</f>
        <v/>
      </c>
      <c r="Z442" t="str">
        <f t="array" ref="Z442">IF($A442="","",INDEX(JupData!$A$2:$K$10000,MATCH($A442&amp;Z$1,JupData!$A$2:$A$10000&amp;JupData!$J$2:$J$10000,0),11))</f>
        <v/>
      </c>
      <c r="AA442" t="str">
        <f t="array" ref="AA442">IF($A442="","",INDEX(JupData!$A$2:$K$10000,MATCH($A442&amp;AA$1,JupData!$A$2:$A$10000&amp;JupData!$J$2:$J$10000,0),11))</f>
        <v/>
      </c>
      <c r="AB442" t="str">
        <f t="array" ref="AB442">IF($A442="","",INDEX(JupData!$A$2:$K$10000,MATCH($A442&amp;AB$1,JupData!$A$2:$A$10000&amp;JupData!$J$2:$J$10000,0),11))</f>
        <v/>
      </c>
      <c r="AC442" s="10" t="str">
        <f t="shared" si="66"/>
        <v/>
      </c>
      <c r="AD442" s="10" t="str">
        <f t="shared" si="67"/>
        <v/>
      </c>
      <c r="AE442" s="9" t="str">
        <f t="shared" si="68"/>
        <v/>
      </c>
      <c r="AF442" s="10" t="str">
        <f t="shared" si="69"/>
        <v/>
      </c>
      <c r="AG442" s="10" t="str">
        <f t="shared" si="70"/>
        <v/>
      </c>
      <c r="AH442" s="10" t="str">
        <f t="shared" si="71"/>
        <v/>
      </c>
      <c r="AI442" s="10" t="str">
        <f t="shared" si="72"/>
        <v/>
      </c>
      <c r="AJ442" s="10" t="str">
        <f t="shared" si="73"/>
        <v/>
      </c>
      <c r="AK442" s="10" t="str">
        <f t="shared" si="74"/>
        <v/>
      </c>
      <c r="AL442" s="14" t="str">
        <f t="shared" si="75"/>
        <v/>
      </c>
    </row>
    <row r="443" spans="1:38" x14ac:dyDescent="0.2">
      <c r="A443"/>
      <c r="B443" t="str">
        <f>IF($A443="","",VLOOKUP($A443,JupData!$A$2:$I$10000,4,FALSE))</f>
        <v/>
      </c>
      <c r="C443" s="7" t="str">
        <f>IF($A443="",IF(N(D443),0,""),VLOOKUP($A443,JupData!$A$2:$I$10000,7,FALSE))</f>
        <v/>
      </c>
      <c r="D443" t="str">
        <f t="shared" si="76"/>
        <v/>
      </c>
      <c r="E443" t="str">
        <f t="array" ref="E443">IF($A443="","",INDEX(JupData!$A$2:$K$10000,MATCH($A443&amp;E$1,JupData!$A$2:$A$10000&amp;JupData!$J$2:$J$10000,0),11))</f>
        <v/>
      </c>
      <c r="F443" t="str">
        <f t="array" ref="F443">IF($A443="","",INDEX(JupData!$A$2:$K$10000,MATCH($A443&amp;F$1,JupData!$A$2:$A$10000&amp;JupData!$J$2:$J$10000,0),11))</f>
        <v/>
      </c>
      <c r="G443" t="str">
        <f t="array" ref="G443">IF($A443="","",INDEX(JupData!$A$2:$K$10000,MATCH($A443&amp;G$1,JupData!$A$2:$A$10000&amp;JupData!$J$2:$J$10000,0),11))</f>
        <v/>
      </c>
      <c r="H443" t="str">
        <f t="array" ref="H443">IF($A443="","",INDEX(JupData!$A$2:$K$10000,MATCH($A443&amp;H$1,JupData!$A$2:$A$10000&amp;JupData!$J$2:$J$10000,0),11))</f>
        <v/>
      </c>
      <c r="I443" t="str">
        <f t="array" ref="I443">IF($A443="","",INDEX(JupData!$A$2:$K$10000,MATCH($A443&amp;I$1,JupData!$A$2:$A$10000&amp;JupData!$J$2:$J$10000,0),11))</f>
        <v/>
      </c>
      <c r="J443" t="str">
        <f t="array" ref="J443">IF($A443="","",INDEX(JupData!$A$2:$K$10000,MATCH($A443&amp;J$1,JupData!$A$2:$A$10000&amp;JupData!$J$2:$J$10000,0),11))</f>
        <v/>
      </c>
      <c r="K443" t="str">
        <f t="array" ref="K443">IF($A443="","",INDEX(JupData!$A$2:$K$10000,MATCH($A443&amp;K$1,JupData!$A$2:$A$10000&amp;JupData!$J$2:$J$10000,0),11))</f>
        <v/>
      </c>
      <c r="L443" t="str">
        <f t="array" ref="L443">IF($A443="","",INDEX(JupData!$A$2:$K$10000,MATCH($A443&amp;L$1,JupData!$A$2:$A$10000&amp;JupData!$J$2:$J$10000,0),11))</f>
        <v/>
      </c>
      <c r="M443" t="str">
        <f t="array" ref="M443">IF($A443="","",INDEX(JupData!$A$2:$K$10000,MATCH($A443&amp;M$1,JupData!$A$2:$A$10000&amp;JupData!$J$2:$J$10000,0),11))</f>
        <v/>
      </c>
      <c r="N443" t="str">
        <f t="array" ref="N443">IF($A443="","",INDEX(JupData!$A$2:$K$10000,MATCH($A443&amp;N$1,JupData!$A$2:$A$10000&amp;JupData!$J$2:$J$10000,0),11))</f>
        <v/>
      </c>
      <c r="O443" t="str">
        <f t="array" ref="O443">IF($A443="","",INDEX(JupData!$A$2:$K$10000,MATCH($A443&amp;O$1,JupData!$A$2:$A$10000&amp;JupData!$J$2:$J$10000,0),11))</f>
        <v/>
      </c>
      <c r="P443" t="str">
        <f t="array" ref="P443">IF($A443="","",INDEX(JupData!$A$2:$K$10000,MATCH($A443&amp;P$1,JupData!$A$2:$A$10000&amp;JupData!$J$2:$J$10000,0),11))</f>
        <v/>
      </c>
      <c r="Q443" t="str">
        <f t="array" ref="Q443">IF($A443="","",INDEX(JupData!$A$2:$K$10000,MATCH($A443&amp;Q$1,JupData!$A$2:$A$10000&amp;JupData!$J$2:$J$10000,0),11))</f>
        <v/>
      </c>
      <c r="R443" t="str">
        <f t="array" ref="R443">IF($A443="","",INDEX(JupData!$A$2:$K$10000,MATCH($A443&amp;R$1,JupData!$A$2:$A$10000&amp;JupData!$J$2:$J$10000,0),11))</f>
        <v/>
      </c>
      <c r="S443" t="str">
        <f t="array" ref="S443">IF($A443="","",INDEX(JupData!$A$2:$K$10000,MATCH($A443&amp;S$1,JupData!$A$2:$A$10000&amp;JupData!$J$2:$J$10000,0),11))</f>
        <v/>
      </c>
      <c r="T443" t="str">
        <f t="array" ref="T443">IF($A443="","",INDEX(JupData!$A$2:$K$10000,MATCH($A443&amp;T$1,JupData!$A$2:$A$10000&amp;JupData!$J$2:$J$10000,0),11))</f>
        <v/>
      </c>
      <c r="U443" t="str">
        <f t="array" ref="U443">IF($A443="","",INDEX(JupData!$A$2:$K$10000,MATCH($A443&amp;U$1,JupData!$A$2:$A$10000&amp;JupData!$J$2:$J$10000,0),11))</f>
        <v/>
      </c>
      <c r="V443" t="str">
        <f t="array" ref="V443">IF($A443="","",INDEX(JupData!$A$2:$K$10000,MATCH($A443&amp;V$1,JupData!$A$2:$A$10000&amp;JupData!$J$2:$J$10000,0),11))</f>
        <v/>
      </c>
      <c r="W443" t="str">
        <f t="array" ref="W443">IF($A443="","",INDEX(JupData!$A$2:$K$10000,MATCH($A443&amp;W$1,JupData!$A$2:$A$10000&amp;JupData!$J$2:$J$10000,0),11))</f>
        <v/>
      </c>
      <c r="X443" t="str">
        <f t="array" ref="X443">IF($A443="","",INDEX(JupData!$A$2:$K$10000,MATCH($A443&amp;X$1,JupData!$A$2:$A$10000&amp;JupData!$J$2:$J$10000,0),11))</f>
        <v/>
      </c>
      <c r="Y443" t="str">
        <f t="array" ref="Y443">IF($A443="","",INDEX(JupData!$A$2:$K$10000,MATCH($A443&amp;Y$1,JupData!$A$2:$A$10000&amp;JupData!$J$2:$J$10000,0),11))</f>
        <v/>
      </c>
      <c r="Z443" t="str">
        <f t="array" ref="Z443">IF($A443="","",INDEX(JupData!$A$2:$K$10000,MATCH($A443&amp;Z$1,JupData!$A$2:$A$10000&amp;JupData!$J$2:$J$10000,0),11))</f>
        <v/>
      </c>
      <c r="AA443" t="str">
        <f t="array" ref="AA443">IF($A443="","",INDEX(JupData!$A$2:$K$10000,MATCH($A443&amp;AA$1,JupData!$A$2:$A$10000&amp;JupData!$J$2:$J$10000,0),11))</f>
        <v/>
      </c>
      <c r="AB443" t="str">
        <f t="array" ref="AB443">IF($A443="","",INDEX(JupData!$A$2:$K$10000,MATCH($A443&amp;AB$1,JupData!$A$2:$A$10000&amp;JupData!$J$2:$J$10000,0),11))</f>
        <v/>
      </c>
      <c r="AC443" s="10" t="str">
        <f t="shared" si="66"/>
        <v/>
      </c>
      <c r="AD443" s="10" t="str">
        <f t="shared" si="67"/>
        <v/>
      </c>
      <c r="AE443" s="9" t="str">
        <f t="shared" si="68"/>
        <v/>
      </c>
      <c r="AF443" s="10" t="str">
        <f t="shared" si="69"/>
        <v/>
      </c>
      <c r="AG443" s="10" t="str">
        <f t="shared" si="70"/>
        <v/>
      </c>
      <c r="AH443" s="10" t="str">
        <f t="shared" si="71"/>
        <v/>
      </c>
      <c r="AI443" s="10" t="str">
        <f t="shared" si="72"/>
        <v/>
      </c>
      <c r="AJ443" s="10" t="str">
        <f t="shared" si="73"/>
        <v/>
      </c>
      <c r="AK443" s="10" t="str">
        <f t="shared" si="74"/>
        <v/>
      </c>
      <c r="AL443" s="14" t="str">
        <f t="shared" si="75"/>
        <v/>
      </c>
    </row>
    <row r="444" spans="1:38" x14ac:dyDescent="0.2">
      <c r="A444"/>
      <c r="B444" t="str">
        <f>IF($A444="","",VLOOKUP($A444,JupData!$A$2:$I$10000,4,FALSE))</f>
        <v/>
      </c>
      <c r="C444" s="7" t="str">
        <f>IF($A444="",IF(N(D444),0,""),VLOOKUP($A444,JupData!$A$2:$I$10000,7,FALSE))</f>
        <v/>
      </c>
      <c r="D444" t="str">
        <f t="shared" si="76"/>
        <v/>
      </c>
      <c r="E444" t="str">
        <f t="array" ref="E444">IF($A444="","",INDEX(JupData!$A$2:$K$10000,MATCH($A444&amp;E$1,JupData!$A$2:$A$10000&amp;JupData!$J$2:$J$10000,0),11))</f>
        <v/>
      </c>
      <c r="F444" t="str">
        <f t="array" ref="F444">IF($A444="","",INDEX(JupData!$A$2:$K$10000,MATCH($A444&amp;F$1,JupData!$A$2:$A$10000&amp;JupData!$J$2:$J$10000,0),11))</f>
        <v/>
      </c>
      <c r="G444" t="str">
        <f t="array" ref="G444">IF($A444="","",INDEX(JupData!$A$2:$K$10000,MATCH($A444&amp;G$1,JupData!$A$2:$A$10000&amp;JupData!$J$2:$J$10000,0),11))</f>
        <v/>
      </c>
      <c r="H444" t="str">
        <f t="array" ref="H444">IF($A444="","",INDEX(JupData!$A$2:$K$10000,MATCH($A444&amp;H$1,JupData!$A$2:$A$10000&amp;JupData!$J$2:$J$10000,0),11))</f>
        <v/>
      </c>
      <c r="I444" t="str">
        <f t="array" ref="I444">IF($A444="","",INDEX(JupData!$A$2:$K$10000,MATCH($A444&amp;I$1,JupData!$A$2:$A$10000&amp;JupData!$J$2:$J$10000,0),11))</f>
        <v/>
      </c>
      <c r="J444" t="str">
        <f t="array" ref="J444">IF($A444="","",INDEX(JupData!$A$2:$K$10000,MATCH($A444&amp;J$1,JupData!$A$2:$A$10000&amp;JupData!$J$2:$J$10000,0),11))</f>
        <v/>
      </c>
      <c r="K444" t="str">
        <f t="array" ref="K444">IF($A444="","",INDEX(JupData!$A$2:$K$10000,MATCH($A444&amp;K$1,JupData!$A$2:$A$10000&amp;JupData!$J$2:$J$10000,0),11))</f>
        <v/>
      </c>
      <c r="L444" t="str">
        <f t="array" ref="L444">IF($A444="","",INDEX(JupData!$A$2:$K$10000,MATCH($A444&amp;L$1,JupData!$A$2:$A$10000&amp;JupData!$J$2:$J$10000,0),11))</f>
        <v/>
      </c>
      <c r="M444" t="str">
        <f t="array" ref="M444">IF($A444="","",INDEX(JupData!$A$2:$K$10000,MATCH($A444&amp;M$1,JupData!$A$2:$A$10000&amp;JupData!$J$2:$J$10000,0),11))</f>
        <v/>
      </c>
      <c r="N444" t="str">
        <f t="array" ref="N444">IF($A444="","",INDEX(JupData!$A$2:$K$10000,MATCH($A444&amp;N$1,JupData!$A$2:$A$10000&amp;JupData!$J$2:$J$10000,0),11))</f>
        <v/>
      </c>
      <c r="O444" t="str">
        <f t="array" ref="O444">IF($A444="","",INDEX(JupData!$A$2:$K$10000,MATCH($A444&amp;O$1,JupData!$A$2:$A$10000&amp;JupData!$J$2:$J$10000,0),11))</f>
        <v/>
      </c>
      <c r="P444" t="str">
        <f t="array" ref="P444">IF($A444="","",INDEX(JupData!$A$2:$K$10000,MATCH($A444&amp;P$1,JupData!$A$2:$A$10000&amp;JupData!$J$2:$J$10000,0),11))</f>
        <v/>
      </c>
      <c r="Q444" t="str">
        <f t="array" ref="Q444">IF($A444="","",INDEX(JupData!$A$2:$K$10000,MATCH($A444&amp;Q$1,JupData!$A$2:$A$10000&amp;JupData!$J$2:$J$10000,0),11))</f>
        <v/>
      </c>
      <c r="R444" t="str">
        <f t="array" ref="R444">IF($A444="","",INDEX(JupData!$A$2:$K$10000,MATCH($A444&amp;R$1,JupData!$A$2:$A$10000&amp;JupData!$J$2:$J$10000,0),11))</f>
        <v/>
      </c>
      <c r="S444" t="str">
        <f t="array" ref="S444">IF($A444="","",INDEX(JupData!$A$2:$K$10000,MATCH($A444&amp;S$1,JupData!$A$2:$A$10000&amp;JupData!$J$2:$J$10000,0),11))</f>
        <v/>
      </c>
      <c r="T444" t="str">
        <f t="array" ref="T444">IF($A444="","",INDEX(JupData!$A$2:$K$10000,MATCH($A444&amp;T$1,JupData!$A$2:$A$10000&amp;JupData!$J$2:$J$10000,0),11))</f>
        <v/>
      </c>
      <c r="U444" t="str">
        <f t="array" ref="U444">IF($A444="","",INDEX(JupData!$A$2:$K$10000,MATCH($A444&amp;U$1,JupData!$A$2:$A$10000&amp;JupData!$J$2:$J$10000,0),11))</f>
        <v/>
      </c>
      <c r="V444" t="str">
        <f t="array" ref="V444">IF($A444="","",INDEX(JupData!$A$2:$K$10000,MATCH($A444&amp;V$1,JupData!$A$2:$A$10000&amp;JupData!$J$2:$J$10000,0),11))</f>
        <v/>
      </c>
      <c r="W444" t="str">
        <f t="array" ref="W444">IF($A444="","",INDEX(JupData!$A$2:$K$10000,MATCH($A444&amp;W$1,JupData!$A$2:$A$10000&amp;JupData!$J$2:$J$10000,0),11))</f>
        <v/>
      </c>
      <c r="X444" t="str">
        <f t="array" ref="X444">IF($A444="","",INDEX(JupData!$A$2:$K$10000,MATCH($A444&amp;X$1,JupData!$A$2:$A$10000&amp;JupData!$J$2:$J$10000,0),11))</f>
        <v/>
      </c>
      <c r="Y444" t="str">
        <f t="array" ref="Y444">IF($A444="","",INDEX(JupData!$A$2:$K$10000,MATCH($A444&amp;Y$1,JupData!$A$2:$A$10000&amp;JupData!$J$2:$J$10000,0),11))</f>
        <v/>
      </c>
      <c r="Z444" t="str">
        <f t="array" ref="Z444">IF($A444="","",INDEX(JupData!$A$2:$K$10000,MATCH($A444&amp;Z$1,JupData!$A$2:$A$10000&amp;JupData!$J$2:$J$10000,0),11))</f>
        <v/>
      </c>
      <c r="AA444" t="str">
        <f t="array" ref="AA444">IF($A444="","",INDEX(JupData!$A$2:$K$10000,MATCH($A444&amp;AA$1,JupData!$A$2:$A$10000&amp;JupData!$J$2:$J$10000,0),11))</f>
        <v/>
      </c>
      <c r="AB444" t="str">
        <f t="array" ref="AB444">IF($A444="","",INDEX(JupData!$A$2:$K$10000,MATCH($A444&amp;AB$1,JupData!$A$2:$A$10000&amp;JupData!$J$2:$J$10000,0),11))</f>
        <v/>
      </c>
      <c r="AC444" s="10" t="str">
        <f t="shared" si="66"/>
        <v/>
      </c>
      <c r="AD444" s="10" t="str">
        <f t="shared" si="67"/>
        <v/>
      </c>
      <c r="AE444" s="9" t="str">
        <f t="shared" si="68"/>
        <v/>
      </c>
      <c r="AF444" s="10" t="str">
        <f t="shared" si="69"/>
        <v/>
      </c>
      <c r="AG444" s="10" t="str">
        <f t="shared" si="70"/>
        <v/>
      </c>
      <c r="AH444" s="10" t="str">
        <f t="shared" si="71"/>
        <v/>
      </c>
      <c r="AI444" s="10" t="str">
        <f t="shared" si="72"/>
        <v/>
      </c>
      <c r="AJ444" s="10" t="str">
        <f t="shared" si="73"/>
        <v/>
      </c>
      <c r="AK444" s="10" t="str">
        <f t="shared" si="74"/>
        <v/>
      </c>
      <c r="AL444" s="14" t="str">
        <f t="shared" si="75"/>
        <v/>
      </c>
    </row>
    <row r="445" spans="1:38" x14ac:dyDescent="0.2">
      <c r="A445"/>
      <c r="B445" t="str">
        <f>IF($A445="","",VLOOKUP($A445,JupData!$A$2:$I$10000,4,FALSE))</f>
        <v/>
      </c>
      <c r="C445" s="7" t="str">
        <f>IF($A445="",IF(N(D445),0,""),VLOOKUP($A445,JupData!$A$2:$I$10000,7,FALSE))</f>
        <v/>
      </c>
      <c r="D445" t="str">
        <f t="shared" si="76"/>
        <v/>
      </c>
      <c r="E445" t="str">
        <f t="array" ref="E445">IF($A445="","",INDEX(JupData!$A$2:$K$10000,MATCH($A445&amp;E$1,JupData!$A$2:$A$10000&amp;JupData!$J$2:$J$10000,0),11))</f>
        <v/>
      </c>
      <c r="F445" t="str">
        <f t="array" ref="F445">IF($A445="","",INDEX(JupData!$A$2:$K$10000,MATCH($A445&amp;F$1,JupData!$A$2:$A$10000&amp;JupData!$J$2:$J$10000,0),11))</f>
        <v/>
      </c>
      <c r="G445" t="str">
        <f t="array" ref="G445">IF($A445="","",INDEX(JupData!$A$2:$K$10000,MATCH($A445&amp;G$1,JupData!$A$2:$A$10000&amp;JupData!$J$2:$J$10000,0),11))</f>
        <v/>
      </c>
      <c r="H445" t="str">
        <f t="array" ref="H445">IF($A445="","",INDEX(JupData!$A$2:$K$10000,MATCH($A445&amp;H$1,JupData!$A$2:$A$10000&amp;JupData!$J$2:$J$10000,0),11))</f>
        <v/>
      </c>
      <c r="I445" t="str">
        <f t="array" ref="I445">IF($A445="","",INDEX(JupData!$A$2:$K$10000,MATCH($A445&amp;I$1,JupData!$A$2:$A$10000&amp;JupData!$J$2:$J$10000,0),11))</f>
        <v/>
      </c>
      <c r="J445" t="str">
        <f t="array" ref="J445">IF($A445="","",INDEX(JupData!$A$2:$K$10000,MATCH($A445&amp;J$1,JupData!$A$2:$A$10000&amp;JupData!$J$2:$J$10000,0),11))</f>
        <v/>
      </c>
      <c r="K445" t="str">
        <f t="array" ref="K445">IF($A445="","",INDEX(JupData!$A$2:$K$10000,MATCH($A445&amp;K$1,JupData!$A$2:$A$10000&amp;JupData!$J$2:$J$10000,0),11))</f>
        <v/>
      </c>
      <c r="L445" t="str">
        <f t="array" ref="L445">IF($A445="","",INDEX(JupData!$A$2:$K$10000,MATCH($A445&amp;L$1,JupData!$A$2:$A$10000&amp;JupData!$J$2:$J$10000,0),11))</f>
        <v/>
      </c>
      <c r="M445" t="str">
        <f t="array" ref="M445">IF($A445="","",INDEX(JupData!$A$2:$K$10000,MATCH($A445&amp;M$1,JupData!$A$2:$A$10000&amp;JupData!$J$2:$J$10000,0),11))</f>
        <v/>
      </c>
      <c r="N445" t="str">
        <f t="array" ref="N445">IF($A445="","",INDEX(JupData!$A$2:$K$10000,MATCH($A445&amp;N$1,JupData!$A$2:$A$10000&amp;JupData!$J$2:$J$10000,0),11))</f>
        <v/>
      </c>
      <c r="O445" t="str">
        <f t="array" ref="O445">IF($A445="","",INDEX(JupData!$A$2:$K$10000,MATCH($A445&amp;O$1,JupData!$A$2:$A$10000&amp;JupData!$J$2:$J$10000,0),11))</f>
        <v/>
      </c>
      <c r="P445" t="str">
        <f t="array" ref="P445">IF($A445="","",INDEX(JupData!$A$2:$K$10000,MATCH($A445&amp;P$1,JupData!$A$2:$A$10000&amp;JupData!$J$2:$J$10000,0),11))</f>
        <v/>
      </c>
      <c r="Q445" t="str">
        <f t="array" ref="Q445">IF($A445="","",INDEX(JupData!$A$2:$K$10000,MATCH($A445&amp;Q$1,JupData!$A$2:$A$10000&amp;JupData!$J$2:$J$10000,0),11))</f>
        <v/>
      </c>
      <c r="R445" t="str">
        <f t="array" ref="R445">IF($A445="","",INDEX(JupData!$A$2:$K$10000,MATCH($A445&amp;R$1,JupData!$A$2:$A$10000&amp;JupData!$J$2:$J$10000,0),11))</f>
        <v/>
      </c>
      <c r="S445" t="str">
        <f t="array" ref="S445">IF($A445="","",INDEX(JupData!$A$2:$K$10000,MATCH($A445&amp;S$1,JupData!$A$2:$A$10000&amp;JupData!$J$2:$J$10000,0),11))</f>
        <v/>
      </c>
      <c r="T445" t="str">
        <f t="array" ref="T445">IF($A445="","",INDEX(JupData!$A$2:$K$10000,MATCH($A445&amp;T$1,JupData!$A$2:$A$10000&amp;JupData!$J$2:$J$10000,0),11))</f>
        <v/>
      </c>
      <c r="U445" t="str">
        <f t="array" ref="U445">IF($A445="","",INDEX(JupData!$A$2:$K$10000,MATCH($A445&amp;U$1,JupData!$A$2:$A$10000&amp;JupData!$J$2:$J$10000,0),11))</f>
        <v/>
      </c>
      <c r="V445" t="str">
        <f t="array" ref="V445">IF($A445="","",INDEX(JupData!$A$2:$K$10000,MATCH($A445&amp;V$1,JupData!$A$2:$A$10000&amp;JupData!$J$2:$J$10000,0),11))</f>
        <v/>
      </c>
      <c r="W445" t="str">
        <f t="array" ref="W445">IF($A445="","",INDEX(JupData!$A$2:$K$10000,MATCH($A445&amp;W$1,JupData!$A$2:$A$10000&amp;JupData!$J$2:$J$10000,0),11))</f>
        <v/>
      </c>
      <c r="X445" t="str">
        <f t="array" ref="X445">IF($A445="","",INDEX(JupData!$A$2:$K$10000,MATCH($A445&amp;X$1,JupData!$A$2:$A$10000&amp;JupData!$J$2:$J$10000,0),11))</f>
        <v/>
      </c>
      <c r="Y445" t="str">
        <f t="array" ref="Y445">IF($A445="","",INDEX(JupData!$A$2:$K$10000,MATCH($A445&amp;Y$1,JupData!$A$2:$A$10000&amp;JupData!$J$2:$J$10000,0),11))</f>
        <v/>
      </c>
      <c r="Z445" t="str">
        <f t="array" ref="Z445">IF($A445="","",INDEX(JupData!$A$2:$K$10000,MATCH($A445&amp;Z$1,JupData!$A$2:$A$10000&amp;JupData!$J$2:$J$10000,0),11))</f>
        <v/>
      </c>
      <c r="AA445" t="str">
        <f t="array" ref="AA445">IF($A445="","",INDEX(JupData!$A$2:$K$10000,MATCH($A445&amp;AA$1,JupData!$A$2:$A$10000&amp;JupData!$J$2:$J$10000,0),11))</f>
        <v/>
      </c>
      <c r="AB445" t="str">
        <f t="array" ref="AB445">IF($A445="","",INDEX(JupData!$A$2:$K$10000,MATCH($A445&amp;AB$1,JupData!$A$2:$A$10000&amp;JupData!$J$2:$J$10000,0),11))</f>
        <v/>
      </c>
      <c r="AC445" s="10" t="str">
        <f t="shared" si="66"/>
        <v/>
      </c>
      <c r="AD445" s="10" t="str">
        <f t="shared" si="67"/>
        <v/>
      </c>
      <c r="AE445" s="9" t="str">
        <f t="shared" si="68"/>
        <v/>
      </c>
      <c r="AF445" s="10" t="str">
        <f t="shared" si="69"/>
        <v/>
      </c>
      <c r="AG445" s="10" t="str">
        <f t="shared" si="70"/>
        <v/>
      </c>
      <c r="AH445" s="10" t="str">
        <f t="shared" si="71"/>
        <v/>
      </c>
      <c r="AI445" s="10" t="str">
        <f t="shared" si="72"/>
        <v/>
      </c>
      <c r="AJ445" s="10" t="str">
        <f t="shared" si="73"/>
        <v/>
      </c>
      <c r="AK445" s="10" t="str">
        <f t="shared" si="74"/>
        <v/>
      </c>
      <c r="AL445" s="14" t="str">
        <f t="shared" si="75"/>
        <v/>
      </c>
    </row>
    <row r="446" spans="1:38" x14ac:dyDescent="0.2">
      <c r="A446"/>
      <c r="B446" t="str">
        <f>IF($A446="","",VLOOKUP($A446,JupData!$A$2:$I$10000,4,FALSE))</f>
        <v/>
      </c>
      <c r="C446" s="7" t="str">
        <f>IF($A446="",IF(N(D446),0,""),VLOOKUP($A446,JupData!$A$2:$I$10000,7,FALSE))</f>
        <v/>
      </c>
      <c r="D446" t="str">
        <f t="shared" si="76"/>
        <v/>
      </c>
      <c r="E446" t="str">
        <f t="array" ref="E446">IF($A446="","",INDEX(JupData!$A$2:$K$10000,MATCH($A446&amp;E$1,JupData!$A$2:$A$10000&amp;JupData!$J$2:$J$10000,0),11))</f>
        <v/>
      </c>
      <c r="F446" t="str">
        <f t="array" ref="F446">IF($A446="","",INDEX(JupData!$A$2:$K$10000,MATCH($A446&amp;F$1,JupData!$A$2:$A$10000&amp;JupData!$J$2:$J$10000,0),11))</f>
        <v/>
      </c>
      <c r="G446" t="str">
        <f t="array" ref="G446">IF($A446="","",INDEX(JupData!$A$2:$K$10000,MATCH($A446&amp;G$1,JupData!$A$2:$A$10000&amp;JupData!$J$2:$J$10000,0),11))</f>
        <v/>
      </c>
      <c r="H446" t="str">
        <f t="array" ref="H446">IF($A446="","",INDEX(JupData!$A$2:$K$10000,MATCH($A446&amp;H$1,JupData!$A$2:$A$10000&amp;JupData!$J$2:$J$10000,0),11))</f>
        <v/>
      </c>
      <c r="I446" t="str">
        <f t="array" ref="I446">IF($A446="","",INDEX(JupData!$A$2:$K$10000,MATCH($A446&amp;I$1,JupData!$A$2:$A$10000&amp;JupData!$J$2:$J$10000,0),11))</f>
        <v/>
      </c>
      <c r="J446" t="str">
        <f t="array" ref="J446">IF($A446="","",INDEX(JupData!$A$2:$K$10000,MATCH($A446&amp;J$1,JupData!$A$2:$A$10000&amp;JupData!$J$2:$J$10000,0),11))</f>
        <v/>
      </c>
      <c r="K446" t="str">
        <f t="array" ref="K446">IF($A446="","",INDEX(JupData!$A$2:$K$10000,MATCH($A446&amp;K$1,JupData!$A$2:$A$10000&amp;JupData!$J$2:$J$10000,0),11))</f>
        <v/>
      </c>
      <c r="L446" t="str">
        <f t="array" ref="L446">IF($A446="","",INDEX(JupData!$A$2:$K$10000,MATCH($A446&amp;L$1,JupData!$A$2:$A$10000&amp;JupData!$J$2:$J$10000,0),11))</f>
        <v/>
      </c>
      <c r="M446" t="str">
        <f t="array" ref="M446">IF($A446="","",INDEX(JupData!$A$2:$K$10000,MATCH($A446&amp;M$1,JupData!$A$2:$A$10000&amp;JupData!$J$2:$J$10000,0),11))</f>
        <v/>
      </c>
      <c r="N446" t="str">
        <f t="array" ref="N446">IF($A446="","",INDEX(JupData!$A$2:$K$10000,MATCH($A446&amp;N$1,JupData!$A$2:$A$10000&amp;JupData!$J$2:$J$10000,0),11))</f>
        <v/>
      </c>
      <c r="O446" t="str">
        <f t="array" ref="O446">IF($A446="","",INDEX(JupData!$A$2:$K$10000,MATCH($A446&amp;O$1,JupData!$A$2:$A$10000&amp;JupData!$J$2:$J$10000,0),11))</f>
        <v/>
      </c>
      <c r="P446" t="str">
        <f t="array" ref="P446">IF($A446="","",INDEX(JupData!$A$2:$K$10000,MATCH($A446&amp;P$1,JupData!$A$2:$A$10000&amp;JupData!$J$2:$J$10000,0),11))</f>
        <v/>
      </c>
      <c r="Q446" t="str">
        <f t="array" ref="Q446">IF($A446="","",INDEX(JupData!$A$2:$K$10000,MATCH($A446&amp;Q$1,JupData!$A$2:$A$10000&amp;JupData!$J$2:$J$10000,0),11))</f>
        <v/>
      </c>
      <c r="R446" t="str">
        <f t="array" ref="R446">IF($A446="","",INDEX(JupData!$A$2:$K$10000,MATCH($A446&amp;R$1,JupData!$A$2:$A$10000&amp;JupData!$J$2:$J$10000,0),11))</f>
        <v/>
      </c>
      <c r="S446" t="str">
        <f t="array" ref="S446">IF($A446="","",INDEX(JupData!$A$2:$K$10000,MATCH($A446&amp;S$1,JupData!$A$2:$A$10000&amp;JupData!$J$2:$J$10000,0),11))</f>
        <v/>
      </c>
      <c r="T446" t="str">
        <f t="array" ref="T446">IF($A446="","",INDEX(JupData!$A$2:$K$10000,MATCH($A446&amp;T$1,JupData!$A$2:$A$10000&amp;JupData!$J$2:$J$10000,0),11))</f>
        <v/>
      </c>
      <c r="U446" t="str">
        <f t="array" ref="U446">IF($A446="","",INDEX(JupData!$A$2:$K$10000,MATCH($A446&amp;U$1,JupData!$A$2:$A$10000&amp;JupData!$J$2:$J$10000,0),11))</f>
        <v/>
      </c>
      <c r="V446" t="str">
        <f t="array" ref="V446">IF($A446="","",INDEX(JupData!$A$2:$K$10000,MATCH($A446&amp;V$1,JupData!$A$2:$A$10000&amp;JupData!$J$2:$J$10000,0),11))</f>
        <v/>
      </c>
      <c r="W446" t="str">
        <f t="array" ref="W446">IF($A446="","",INDEX(JupData!$A$2:$K$10000,MATCH($A446&amp;W$1,JupData!$A$2:$A$10000&amp;JupData!$J$2:$J$10000,0),11))</f>
        <v/>
      </c>
      <c r="X446" t="str">
        <f t="array" ref="X446">IF($A446="","",INDEX(JupData!$A$2:$K$10000,MATCH($A446&amp;X$1,JupData!$A$2:$A$10000&amp;JupData!$J$2:$J$10000,0),11))</f>
        <v/>
      </c>
      <c r="Y446" t="str">
        <f t="array" ref="Y446">IF($A446="","",INDEX(JupData!$A$2:$K$10000,MATCH($A446&amp;Y$1,JupData!$A$2:$A$10000&amp;JupData!$J$2:$J$10000,0),11))</f>
        <v/>
      </c>
      <c r="Z446" t="str">
        <f t="array" ref="Z446">IF($A446="","",INDEX(JupData!$A$2:$K$10000,MATCH($A446&amp;Z$1,JupData!$A$2:$A$10000&amp;JupData!$J$2:$J$10000,0),11))</f>
        <v/>
      </c>
      <c r="AA446" t="str">
        <f t="array" ref="AA446">IF($A446="","",INDEX(JupData!$A$2:$K$10000,MATCH($A446&amp;AA$1,JupData!$A$2:$A$10000&amp;JupData!$J$2:$J$10000,0),11))</f>
        <v/>
      </c>
      <c r="AB446" t="str">
        <f t="array" ref="AB446">IF($A446="","",INDEX(JupData!$A$2:$K$10000,MATCH($A446&amp;AB$1,JupData!$A$2:$A$10000&amp;JupData!$J$2:$J$10000,0),11))</f>
        <v/>
      </c>
      <c r="AC446" s="10" t="str">
        <f t="shared" si="66"/>
        <v/>
      </c>
      <c r="AD446" s="10" t="str">
        <f t="shared" si="67"/>
        <v/>
      </c>
      <c r="AE446" s="9" t="str">
        <f t="shared" si="68"/>
        <v/>
      </c>
      <c r="AF446" s="10" t="str">
        <f t="shared" si="69"/>
        <v/>
      </c>
      <c r="AG446" s="10" t="str">
        <f t="shared" si="70"/>
        <v/>
      </c>
      <c r="AH446" s="10" t="str">
        <f t="shared" si="71"/>
        <v/>
      </c>
      <c r="AI446" s="10" t="str">
        <f t="shared" si="72"/>
        <v/>
      </c>
      <c r="AJ446" s="10" t="str">
        <f t="shared" si="73"/>
        <v/>
      </c>
      <c r="AK446" s="10" t="str">
        <f t="shared" si="74"/>
        <v/>
      </c>
      <c r="AL446" s="14" t="str">
        <f t="shared" si="75"/>
        <v/>
      </c>
    </row>
    <row r="447" spans="1:38" x14ac:dyDescent="0.2">
      <c r="A447"/>
      <c r="B447" t="str">
        <f>IF($A447="","",VLOOKUP($A447,JupData!$A$2:$I$10000,4,FALSE))</f>
        <v/>
      </c>
      <c r="C447" s="7" t="str">
        <f>IF($A447="",IF(N(D447),0,""),VLOOKUP($A447,JupData!$A$2:$I$10000,7,FALSE))</f>
        <v/>
      </c>
      <c r="D447" t="str">
        <f t="shared" si="76"/>
        <v/>
      </c>
      <c r="E447" t="str">
        <f t="array" ref="E447">IF($A447="","",INDEX(JupData!$A$2:$K$10000,MATCH($A447&amp;E$1,JupData!$A$2:$A$10000&amp;JupData!$J$2:$J$10000,0),11))</f>
        <v/>
      </c>
      <c r="F447" t="str">
        <f t="array" ref="F447">IF($A447="","",INDEX(JupData!$A$2:$K$10000,MATCH($A447&amp;F$1,JupData!$A$2:$A$10000&amp;JupData!$J$2:$J$10000,0),11))</f>
        <v/>
      </c>
      <c r="G447" t="str">
        <f t="array" ref="G447">IF($A447="","",INDEX(JupData!$A$2:$K$10000,MATCH($A447&amp;G$1,JupData!$A$2:$A$10000&amp;JupData!$J$2:$J$10000,0),11))</f>
        <v/>
      </c>
      <c r="H447" t="str">
        <f t="array" ref="H447">IF($A447="","",INDEX(JupData!$A$2:$K$10000,MATCH($A447&amp;H$1,JupData!$A$2:$A$10000&amp;JupData!$J$2:$J$10000,0),11))</f>
        <v/>
      </c>
      <c r="I447" t="str">
        <f t="array" ref="I447">IF($A447="","",INDEX(JupData!$A$2:$K$10000,MATCH($A447&amp;I$1,JupData!$A$2:$A$10000&amp;JupData!$J$2:$J$10000,0),11))</f>
        <v/>
      </c>
      <c r="J447" t="str">
        <f t="array" ref="J447">IF($A447="","",INDEX(JupData!$A$2:$K$10000,MATCH($A447&amp;J$1,JupData!$A$2:$A$10000&amp;JupData!$J$2:$J$10000,0),11))</f>
        <v/>
      </c>
      <c r="K447" t="str">
        <f t="array" ref="K447">IF($A447="","",INDEX(JupData!$A$2:$K$10000,MATCH($A447&amp;K$1,JupData!$A$2:$A$10000&amp;JupData!$J$2:$J$10000,0),11))</f>
        <v/>
      </c>
      <c r="L447" t="str">
        <f t="array" ref="L447">IF($A447="","",INDEX(JupData!$A$2:$K$10000,MATCH($A447&amp;L$1,JupData!$A$2:$A$10000&amp;JupData!$J$2:$J$10000,0),11))</f>
        <v/>
      </c>
      <c r="M447" t="str">
        <f t="array" ref="M447">IF($A447="","",INDEX(JupData!$A$2:$K$10000,MATCH($A447&amp;M$1,JupData!$A$2:$A$10000&amp;JupData!$J$2:$J$10000,0),11))</f>
        <v/>
      </c>
      <c r="N447" t="str">
        <f t="array" ref="N447">IF($A447="","",INDEX(JupData!$A$2:$K$10000,MATCH($A447&amp;N$1,JupData!$A$2:$A$10000&amp;JupData!$J$2:$J$10000,0),11))</f>
        <v/>
      </c>
      <c r="O447" t="str">
        <f t="array" ref="O447">IF($A447="","",INDEX(JupData!$A$2:$K$10000,MATCH($A447&amp;O$1,JupData!$A$2:$A$10000&amp;JupData!$J$2:$J$10000,0),11))</f>
        <v/>
      </c>
      <c r="P447" t="str">
        <f t="array" ref="P447">IF($A447="","",INDEX(JupData!$A$2:$K$10000,MATCH($A447&amp;P$1,JupData!$A$2:$A$10000&amp;JupData!$J$2:$J$10000,0),11))</f>
        <v/>
      </c>
      <c r="Q447" t="str">
        <f t="array" ref="Q447">IF($A447="","",INDEX(JupData!$A$2:$K$10000,MATCH($A447&amp;Q$1,JupData!$A$2:$A$10000&amp;JupData!$J$2:$J$10000,0),11))</f>
        <v/>
      </c>
      <c r="R447" t="str">
        <f t="array" ref="R447">IF($A447="","",INDEX(JupData!$A$2:$K$10000,MATCH($A447&amp;R$1,JupData!$A$2:$A$10000&amp;JupData!$J$2:$J$10000,0),11))</f>
        <v/>
      </c>
      <c r="S447" t="str">
        <f t="array" ref="S447">IF($A447="","",INDEX(JupData!$A$2:$K$10000,MATCH($A447&amp;S$1,JupData!$A$2:$A$10000&amp;JupData!$J$2:$J$10000,0),11))</f>
        <v/>
      </c>
      <c r="T447" t="str">
        <f t="array" ref="T447">IF($A447="","",INDEX(JupData!$A$2:$K$10000,MATCH($A447&amp;T$1,JupData!$A$2:$A$10000&amp;JupData!$J$2:$J$10000,0),11))</f>
        <v/>
      </c>
      <c r="U447" t="str">
        <f t="array" ref="U447">IF($A447="","",INDEX(JupData!$A$2:$K$10000,MATCH($A447&amp;U$1,JupData!$A$2:$A$10000&amp;JupData!$J$2:$J$10000,0),11))</f>
        <v/>
      </c>
      <c r="V447" t="str">
        <f t="array" ref="V447">IF($A447="","",INDEX(JupData!$A$2:$K$10000,MATCH($A447&amp;V$1,JupData!$A$2:$A$10000&amp;JupData!$J$2:$J$10000,0),11))</f>
        <v/>
      </c>
      <c r="W447" t="str">
        <f t="array" ref="W447">IF($A447="","",INDEX(JupData!$A$2:$K$10000,MATCH($A447&amp;W$1,JupData!$A$2:$A$10000&amp;JupData!$J$2:$J$10000,0),11))</f>
        <v/>
      </c>
      <c r="X447" t="str">
        <f t="array" ref="X447">IF($A447="","",INDEX(JupData!$A$2:$K$10000,MATCH($A447&amp;X$1,JupData!$A$2:$A$10000&amp;JupData!$J$2:$J$10000,0),11))</f>
        <v/>
      </c>
      <c r="Y447" t="str">
        <f t="array" ref="Y447">IF($A447="","",INDEX(JupData!$A$2:$K$10000,MATCH($A447&amp;Y$1,JupData!$A$2:$A$10000&amp;JupData!$J$2:$J$10000,0),11))</f>
        <v/>
      </c>
      <c r="Z447" t="str">
        <f t="array" ref="Z447">IF($A447="","",INDEX(JupData!$A$2:$K$10000,MATCH($A447&amp;Z$1,JupData!$A$2:$A$10000&amp;JupData!$J$2:$J$10000,0),11))</f>
        <v/>
      </c>
      <c r="AA447" t="str">
        <f t="array" ref="AA447">IF($A447="","",INDEX(JupData!$A$2:$K$10000,MATCH($A447&amp;AA$1,JupData!$A$2:$A$10000&amp;JupData!$J$2:$J$10000,0),11))</f>
        <v/>
      </c>
      <c r="AB447" t="str">
        <f t="array" ref="AB447">IF($A447="","",INDEX(JupData!$A$2:$K$10000,MATCH($A447&amp;AB$1,JupData!$A$2:$A$10000&amp;JupData!$J$2:$J$10000,0),11))</f>
        <v/>
      </c>
      <c r="AC447" s="10" t="str">
        <f t="shared" si="66"/>
        <v/>
      </c>
      <c r="AD447" s="10" t="str">
        <f t="shared" si="67"/>
        <v/>
      </c>
      <c r="AE447" s="9" t="str">
        <f t="shared" si="68"/>
        <v/>
      </c>
      <c r="AF447" s="10" t="str">
        <f t="shared" si="69"/>
        <v/>
      </c>
      <c r="AG447" s="10" t="str">
        <f t="shared" si="70"/>
        <v/>
      </c>
      <c r="AH447" s="10" t="str">
        <f t="shared" si="71"/>
        <v/>
      </c>
      <c r="AI447" s="10" t="str">
        <f t="shared" si="72"/>
        <v/>
      </c>
      <c r="AJ447" s="10" t="str">
        <f t="shared" si="73"/>
        <v/>
      </c>
      <c r="AK447" s="10" t="str">
        <f t="shared" si="74"/>
        <v/>
      </c>
      <c r="AL447" s="14" t="str">
        <f t="shared" si="75"/>
        <v/>
      </c>
    </row>
    <row r="448" spans="1:38" x14ac:dyDescent="0.2">
      <c r="A448"/>
      <c r="B448" t="str">
        <f>IF($A448="","",VLOOKUP($A448,JupData!$A$2:$I$10000,4,FALSE))</f>
        <v/>
      </c>
      <c r="C448" s="7" t="str">
        <f>IF($A448="",IF(N(D448),0,""),VLOOKUP($A448,JupData!$A$2:$I$10000,7,FALSE))</f>
        <v/>
      </c>
      <c r="D448" t="str">
        <f t="shared" si="76"/>
        <v/>
      </c>
      <c r="E448" t="str">
        <f t="array" ref="E448">IF($A448="","",INDEX(JupData!$A$2:$K$10000,MATCH($A448&amp;E$1,JupData!$A$2:$A$10000&amp;JupData!$J$2:$J$10000,0),11))</f>
        <v/>
      </c>
      <c r="F448" t="str">
        <f t="array" ref="F448">IF($A448="","",INDEX(JupData!$A$2:$K$10000,MATCH($A448&amp;F$1,JupData!$A$2:$A$10000&amp;JupData!$J$2:$J$10000,0),11))</f>
        <v/>
      </c>
      <c r="G448" t="str">
        <f t="array" ref="G448">IF($A448="","",INDEX(JupData!$A$2:$K$10000,MATCH($A448&amp;G$1,JupData!$A$2:$A$10000&amp;JupData!$J$2:$J$10000,0),11))</f>
        <v/>
      </c>
      <c r="H448" t="str">
        <f t="array" ref="H448">IF($A448="","",INDEX(JupData!$A$2:$K$10000,MATCH($A448&amp;H$1,JupData!$A$2:$A$10000&amp;JupData!$J$2:$J$10000,0),11))</f>
        <v/>
      </c>
      <c r="I448" t="str">
        <f t="array" ref="I448">IF($A448="","",INDEX(JupData!$A$2:$K$10000,MATCH($A448&amp;I$1,JupData!$A$2:$A$10000&amp;JupData!$J$2:$J$10000,0),11))</f>
        <v/>
      </c>
      <c r="J448" t="str">
        <f t="array" ref="J448">IF($A448="","",INDEX(JupData!$A$2:$K$10000,MATCH($A448&amp;J$1,JupData!$A$2:$A$10000&amp;JupData!$J$2:$J$10000,0),11))</f>
        <v/>
      </c>
      <c r="K448" t="str">
        <f t="array" ref="K448">IF($A448="","",INDEX(JupData!$A$2:$K$10000,MATCH($A448&amp;K$1,JupData!$A$2:$A$10000&amp;JupData!$J$2:$J$10000,0),11))</f>
        <v/>
      </c>
      <c r="L448" t="str">
        <f t="array" ref="L448">IF($A448="","",INDEX(JupData!$A$2:$K$10000,MATCH($A448&amp;L$1,JupData!$A$2:$A$10000&amp;JupData!$J$2:$J$10000,0),11))</f>
        <v/>
      </c>
      <c r="M448" t="str">
        <f t="array" ref="M448">IF($A448="","",INDEX(JupData!$A$2:$K$10000,MATCH($A448&amp;M$1,JupData!$A$2:$A$10000&amp;JupData!$J$2:$J$10000,0),11))</f>
        <v/>
      </c>
      <c r="N448" t="str">
        <f t="array" ref="N448">IF($A448="","",INDEX(JupData!$A$2:$K$10000,MATCH($A448&amp;N$1,JupData!$A$2:$A$10000&amp;JupData!$J$2:$J$10000,0),11))</f>
        <v/>
      </c>
      <c r="O448" t="str">
        <f t="array" ref="O448">IF($A448="","",INDEX(JupData!$A$2:$K$10000,MATCH($A448&amp;O$1,JupData!$A$2:$A$10000&amp;JupData!$J$2:$J$10000,0),11))</f>
        <v/>
      </c>
      <c r="P448" t="str">
        <f t="array" ref="P448">IF($A448="","",INDEX(JupData!$A$2:$K$10000,MATCH($A448&amp;P$1,JupData!$A$2:$A$10000&amp;JupData!$J$2:$J$10000,0),11))</f>
        <v/>
      </c>
      <c r="Q448" t="str">
        <f t="array" ref="Q448">IF($A448="","",INDEX(JupData!$A$2:$K$10000,MATCH($A448&amp;Q$1,JupData!$A$2:$A$10000&amp;JupData!$J$2:$J$10000,0),11))</f>
        <v/>
      </c>
      <c r="R448" t="str">
        <f t="array" ref="R448">IF($A448="","",INDEX(JupData!$A$2:$K$10000,MATCH($A448&amp;R$1,JupData!$A$2:$A$10000&amp;JupData!$J$2:$J$10000,0),11))</f>
        <v/>
      </c>
      <c r="S448" t="str">
        <f t="array" ref="S448">IF($A448="","",INDEX(JupData!$A$2:$K$10000,MATCH($A448&amp;S$1,JupData!$A$2:$A$10000&amp;JupData!$J$2:$J$10000,0),11))</f>
        <v/>
      </c>
      <c r="T448" t="str">
        <f t="array" ref="T448">IF($A448="","",INDEX(JupData!$A$2:$K$10000,MATCH($A448&amp;T$1,JupData!$A$2:$A$10000&amp;JupData!$J$2:$J$10000,0),11))</f>
        <v/>
      </c>
      <c r="U448" t="str">
        <f t="array" ref="U448">IF($A448="","",INDEX(JupData!$A$2:$K$10000,MATCH($A448&amp;U$1,JupData!$A$2:$A$10000&amp;JupData!$J$2:$J$10000,0),11))</f>
        <v/>
      </c>
      <c r="V448" t="str">
        <f t="array" ref="V448">IF($A448="","",INDEX(JupData!$A$2:$K$10000,MATCH($A448&amp;V$1,JupData!$A$2:$A$10000&amp;JupData!$J$2:$J$10000,0),11))</f>
        <v/>
      </c>
      <c r="W448" t="str">
        <f t="array" ref="W448">IF($A448="","",INDEX(JupData!$A$2:$K$10000,MATCH($A448&amp;W$1,JupData!$A$2:$A$10000&amp;JupData!$J$2:$J$10000,0),11))</f>
        <v/>
      </c>
      <c r="X448" t="str">
        <f t="array" ref="X448">IF($A448="","",INDEX(JupData!$A$2:$K$10000,MATCH($A448&amp;X$1,JupData!$A$2:$A$10000&amp;JupData!$J$2:$J$10000,0),11))</f>
        <v/>
      </c>
      <c r="Y448" t="str">
        <f t="array" ref="Y448">IF($A448="","",INDEX(JupData!$A$2:$K$10000,MATCH($A448&amp;Y$1,JupData!$A$2:$A$10000&amp;JupData!$J$2:$J$10000,0),11))</f>
        <v/>
      </c>
      <c r="Z448" t="str">
        <f t="array" ref="Z448">IF($A448="","",INDEX(JupData!$A$2:$K$10000,MATCH($A448&amp;Z$1,JupData!$A$2:$A$10000&amp;JupData!$J$2:$J$10000,0),11))</f>
        <v/>
      </c>
      <c r="AA448" t="str">
        <f t="array" ref="AA448">IF($A448="","",INDEX(JupData!$A$2:$K$10000,MATCH($A448&amp;AA$1,JupData!$A$2:$A$10000&amp;JupData!$J$2:$J$10000,0),11))</f>
        <v/>
      </c>
      <c r="AB448" t="str">
        <f t="array" ref="AB448">IF($A448="","",INDEX(JupData!$A$2:$K$10000,MATCH($A448&amp;AB$1,JupData!$A$2:$A$10000&amp;JupData!$J$2:$J$10000,0),11))</f>
        <v/>
      </c>
      <c r="AC448" s="10" t="str">
        <f t="shared" si="66"/>
        <v/>
      </c>
      <c r="AD448" s="10" t="str">
        <f t="shared" si="67"/>
        <v/>
      </c>
      <c r="AE448" s="9" t="str">
        <f t="shared" si="68"/>
        <v/>
      </c>
      <c r="AF448" s="10" t="str">
        <f t="shared" si="69"/>
        <v/>
      </c>
      <c r="AG448" s="10" t="str">
        <f t="shared" si="70"/>
        <v/>
      </c>
      <c r="AH448" s="10" t="str">
        <f t="shared" si="71"/>
        <v/>
      </c>
      <c r="AI448" s="10" t="str">
        <f t="shared" si="72"/>
        <v/>
      </c>
      <c r="AJ448" s="10" t="str">
        <f t="shared" si="73"/>
        <v/>
      </c>
      <c r="AK448" s="10" t="str">
        <f t="shared" si="74"/>
        <v/>
      </c>
      <c r="AL448" s="14" t="str">
        <f t="shared" si="75"/>
        <v/>
      </c>
    </row>
    <row r="449" spans="1:38" x14ac:dyDescent="0.2">
      <c r="A449"/>
      <c r="B449" t="str">
        <f>IF($A449="","",VLOOKUP($A449,JupData!$A$2:$I$10000,4,FALSE))</f>
        <v/>
      </c>
      <c r="C449" s="7" t="str">
        <f>IF($A449="",IF(N(D449),0,""),VLOOKUP($A449,JupData!$A$2:$I$10000,7,FALSE))</f>
        <v/>
      </c>
      <c r="D449" t="str">
        <f t="shared" si="76"/>
        <v/>
      </c>
      <c r="E449" t="str">
        <f t="array" ref="E449">IF($A449="","",INDEX(JupData!$A$2:$K$10000,MATCH($A449&amp;E$1,JupData!$A$2:$A$10000&amp;JupData!$J$2:$J$10000,0),11))</f>
        <v/>
      </c>
      <c r="F449" t="str">
        <f t="array" ref="F449">IF($A449="","",INDEX(JupData!$A$2:$K$10000,MATCH($A449&amp;F$1,JupData!$A$2:$A$10000&amp;JupData!$J$2:$J$10000,0),11))</f>
        <v/>
      </c>
      <c r="G449" t="str">
        <f t="array" ref="G449">IF($A449="","",INDEX(JupData!$A$2:$K$10000,MATCH($A449&amp;G$1,JupData!$A$2:$A$10000&amp;JupData!$J$2:$J$10000,0),11))</f>
        <v/>
      </c>
      <c r="H449" t="str">
        <f t="array" ref="H449">IF($A449="","",INDEX(JupData!$A$2:$K$10000,MATCH($A449&amp;H$1,JupData!$A$2:$A$10000&amp;JupData!$J$2:$J$10000,0),11))</f>
        <v/>
      </c>
      <c r="I449" t="str">
        <f t="array" ref="I449">IF($A449="","",INDEX(JupData!$A$2:$K$10000,MATCH($A449&amp;I$1,JupData!$A$2:$A$10000&amp;JupData!$J$2:$J$10000,0),11))</f>
        <v/>
      </c>
      <c r="J449" t="str">
        <f t="array" ref="J449">IF($A449="","",INDEX(JupData!$A$2:$K$10000,MATCH($A449&amp;J$1,JupData!$A$2:$A$10000&amp;JupData!$J$2:$J$10000,0),11))</f>
        <v/>
      </c>
      <c r="K449" t="str">
        <f t="array" ref="K449">IF($A449="","",INDEX(JupData!$A$2:$K$10000,MATCH($A449&amp;K$1,JupData!$A$2:$A$10000&amp;JupData!$J$2:$J$10000,0),11))</f>
        <v/>
      </c>
      <c r="L449" t="str">
        <f t="array" ref="L449">IF($A449="","",INDEX(JupData!$A$2:$K$10000,MATCH($A449&amp;L$1,JupData!$A$2:$A$10000&amp;JupData!$J$2:$J$10000,0),11))</f>
        <v/>
      </c>
      <c r="M449" t="str">
        <f t="array" ref="M449">IF($A449="","",INDEX(JupData!$A$2:$K$10000,MATCH($A449&amp;M$1,JupData!$A$2:$A$10000&amp;JupData!$J$2:$J$10000,0),11))</f>
        <v/>
      </c>
      <c r="N449" t="str">
        <f t="array" ref="N449">IF($A449="","",INDEX(JupData!$A$2:$K$10000,MATCH($A449&amp;N$1,JupData!$A$2:$A$10000&amp;JupData!$J$2:$J$10000,0),11))</f>
        <v/>
      </c>
      <c r="O449" t="str">
        <f t="array" ref="O449">IF($A449="","",INDEX(JupData!$A$2:$K$10000,MATCH($A449&amp;O$1,JupData!$A$2:$A$10000&amp;JupData!$J$2:$J$10000,0),11))</f>
        <v/>
      </c>
      <c r="P449" t="str">
        <f t="array" ref="P449">IF($A449="","",INDEX(JupData!$A$2:$K$10000,MATCH($A449&amp;P$1,JupData!$A$2:$A$10000&amp;JupData!$J$2:$J$10000,0),11))</f>
        <v/>
      </c>
      <c r="Q449" t="str">
        <f t="array" ref="Q449">IF($A449="","",INDEX(JupData!$A$2:$K$10000,MATCH($A449&amp;Q$1,JupData!$A$2:$A$10000&amp;JupData!$J$2:$J$10000,0),11))</f>
        <v/>
      </c>
      <c r="R449" t="str">
        <f t="array" ref="R449">IF($A449="","",INDEX(JupData!$A$2:$K$10000,MATCH($A449&amp;R$1,JupData!$A$2:$A$10000&amp;JupData!$J$2:$J$10000,0),11))</f>
        <v/>
      </c>
      <c r="S449" t="str">
        <f t="array" ref="S449">IF($A449="","",INDEX(JupData!$A$2:$K$10000,MATCH($A449&amp;S$1,JupData!$A$2:$A$10000&amp;JupData!$J$2:$J$10000,0),11))</f>
        <v/>
      </c>
      <c r="T449" t="str">
        <f t="array" ref="T449">IF($A449="","",INDEX(JupData!$A$2:$K$10000,MATCH($A449&amp;T$1,JupData!$A$2:$A$10000&amp;JupData!$J$2:$J$10000,0),11))</f>
        <v/>
      </c>
      <c r="U449" t="str">
        <f t="array" ref="U449">IF($A449="","",INDEX(JupData!$A$2:$K$10000,MATCH($A449&amp;U$1,JupData!$A$2:$A$10000&amp;JupData!$J$2:$J$10000,0),11))</f>
        <v/>
      </c>
      <c r="V449" t="str">
        <f t="array" ref="V449">IF($A449="","",INDEX(JupData!$A$2:$K$10000,MATCH($A449&amp;V$1,JupData!$A$2:$A$10000&amp;JupData!$J$2:$J$10000,0),11))</f>
        <v/>
      </c>
      <c r="W449" t="str">
        <f t="array" ref="W449">IF($A449="","",INDEX(JupData!$A$2:$K$10000,MATCH($A449&amp;W$1,JupData!$A$2:$A$10000&amp;JupData!$J$2:$J$10000,0),11))</f>
        <v/>
      </c>
      <c r="X449" t="str">
        <f t="array" ref="X449">IF($A449="","",INDEX(JupData!$A$2:$K$10000,MATCH($A449&amp;X$1,JupData!$A$2:$A$10000&amp;JupData!$J$2:$J$10000,0),11))</f>
        <v/>
      </c>
      <c r="Y449" t="str">
        <f t="array" ref="Y449">IF($A449="","",INDEX(JupData!$A$2:$K$10000,MATCH($A449&amp;Y$1,JupData!$A$2:$A$10000&amp;JupData!$J$2:$J$10000,0),11))</f>
        <v/>
      </c>
      <c r="Z449" t="str">
        <f t="array" ref="Z449">IF($A449="","",INDEX(JupData!$A$2:$K$10000,MATCH($A449&amp;Z$1,JupData!$A$2:$A$10000&amp;JupData!$J$2:$J$10000,0),11))</f>
        <v/>
      </c>
      <c r="AA449" t="str">
        <f t="array" ref="AA449">IF($A449="","",INDEX(JupData!$A$2:$K$10000,MATCH($A449&amp;AA$1,JupData!$A$2:$A$10000&amp;JupData!$J$2:$J$10000,0),11))</f>
        <v/>
      </c>
      <c r="AB449" t="str">
        <f t="array" ref="AB449">IF($A449="","",INDEX(JupData!$A$2:$K$10000,MATCH($A449&amp;AB$1,JupData!$A$2:$A$10000&amp;JupData!$J$2:$J$10000,0),11))</f>
        <v/>
      </c>
      <c r="AC449" s="10" t="str">
        <f t="shared" si="66"/>
        <v/>
      </c>
      <c r="AD449" s="10" t="str">
        <f t="shared" si="67"/>
        <v/>
      </c>
      <c r="AE449" s="9" t="str">
        <f t="shared" si="68"/>
        <v/>
      </c>
      <c r="AF449" s="10" t="str">
        <f t="shared" si="69"/>
        <v/>
      </c>
      <c r="AG449" s="10" t="str">
        <f t="shared" si="70"/>
        <v/>
      </c>
      <c r="AH449" s="10" t="str">
        <f t="shared" si="71"/>
        <v/>
      </c>
      <c r="AI449" s="10" t="str">
        <f t="shared" si="72"/>
        <v/>
      </c>
      <c r="AJ449" s="10" t="str">
        <f t="shared" si="73"/>
        <v/>
      </c>
      <c r="AK449" s="10" t="str">
        <f t="shared" si="74"/>
        <v/>
      </c>
      <c r="AL449" s="14" t="str">
        <f t="shared" si="75"/>
        <v/>
      </c>
    </row>
    <row r="450" spans="1:38" x14ac:dyDescent="0.2">
      <c r="A450"/>
      <c r="B450" t="str">
        <f>IF($A450="","",VLOOKUP($A450,JupData!$A$2:$I$10000,4,FALSE))</f>
        <v/>
      </c>
      <c r="C450" s="7" t="str">
        <f>IF($A450="",IF(N(D450),0,""),VLOOKUP($A450,JupData!$A$2:$I$10000,7,FALSE))</f>
        <v/>
      </c>
      <c r="D450" t="str">
        <f t="shared" si="76"/>
        <v/>
      </c>
      <c r="E450" t="str">
        <f t="array" ref="E450">IF($A450="","",INDEX(JupData!$A$2:$K$10000,MATCH($A450&amp;E$1,JupData!$A$2:$A$10000&amp;JupData!$J$2:$J$10000,0),11))</f>
        <v/>
      </c>
      <c r="F450" t="str">
        <f t="array" ref="F450">IF($A450="","",INDEX(JupData!$A$2:$K$10000,MATCH($A450&amp;F$1,JupData!$A$2:$A$10000&amp;JupData!$J$2:$J$10000,0),11))</f>
        <v/>
      </c>
      <c r="G450" t="str">
        <f t="array" ref="G450">IF($A450="","",INDEX(JupData!$A$2:$K$10000,MATCH($A450&amp;G$1,JupData!$A$2:$A$10000&amp;JupData!$J$2:$J$10000,0),11))</f>
        <v/>
      </c>
      <c r="H450" t="str">
        <f t="array" ref="H450">IF($A450="","",INDEX(JupData!$A$2:$K$10000,MATCH($A450&amp;H$1,JupData!$A$2:$A$10000&amp;JupData!$J$2:$J$10000,0),11))</f>
        <v/>
      </c>
      <c r="I450" t="str">
        <f t="array" ref="I450">IF($A450="","",INDEX(JupData!$A$2:$K$10000,MATCH($A450&amp;I$1,JupData!$A$2:$A$10000&amp;JupData!$J$2:$J$10000,0),11))</f>
        <v/>
      </c>
      <c r="J450" t="str">
        <f t="array" ref="J450">IF($A450="","",INDEX(JupData!$A$2:$K$10000,MATCH($A450&amp;J$1,JupData!$A$2:$A$10000&amp;JupData!$J$2:$J$10000,0),11))</f>
        <v/>
      </c>
      <c r="K450" t="str">
        <f t="array" ref="K450">IF($A450="","",INDEX(JupData!$A$2:$K$10000,MATCH($A450&amp;K$1,JupData!$A$2:$A$10000&amp;JupData!$J$2:$J$10000,0),11))</f>
        <v/>
      </c>
      <c r="L450" t="str">
        <f t="array" ref="L450">IF($A450="","",INDEX(JupData!$A$2:$K$10000,MATCH($A450&amp;L$1,JupData!$A$2:$A$10000&amp;JupData!$J$2:$J$10000,0),11))</f>
        <v/>
      </c>
      <c r="M450" t="str">
        <f t="array" ref="M450">IF($A450="","",INDEX(JupData!$A$2:$K$10000,MATCH($A450&amp;M$1,JupData!$A$2:$A$10000&amp;JupData!$J$2:$J$10000,0),11))</f>
        <v/>
      </c>
      <c r="N450" t="str">
        <f t="array" ref="N450">IF($A450="","",INDEX(JupData!$A$2:$K$10000,MATCH($A450&amp;N$1,JupData!$A$2:$A$10000&amp;JupData!$J$2:$J$10000,0),11))</f>
        <v/>
      </c>
      <c r="O450" t="str">
        <f t="array" ref="O450">IF($A450="","",INDEX(JupData!$A$2:$K$10000,MATCH($A450&amp;O$1,JupData!$A$2:$A$10000&amp;JupData!$J$2:$J$10000,0),11))</f>
        <v/>
      </c>
      <c r="P450" t="str">
        <f t="array" ref="P450">IF($A450="","",INDEX(JupData!$A$2:$K$10000,MATCH($A450&amp;P$1,JupData!$A$2:$A$10000&amp;JupData!$J$2:$J$10000,0),11))</f>
        <v/>
      </c>
      <c r="Q450" t="str">
        <f t="array" ref="Q450">IF($A450="","",INDEX(JupData!$A$2:$K$10000,MATCH($A450&amp;Q$1,JupData!$A$2:$A$10000&amp;JupData!$J$2:$J$10000,0),11))</f>
        <v/>
      </c>
      <c r="R450" t="str">
        <f t="array" ref="R450">IF($A450="","",INDEX(JupData!$A$2:$K$10000,MATCH($A450&amp;R$1,JupData!$A$2:$A$10000&amp;JupData!$J$2:$J$10000,0),11))</f>
        <v/>
      </c>
      <c r="S450" t="str">
        <f t="array" ref="S450">IF($A450="","",INDEX(JupData!$A$2:$K$10000,MATCH($A450&amp;S$1,JupData!$A$2:$A$10000&amp;JupData!$J$2:$J$10000,0),11))</f>
        <v/>
      </c>
      <c r="T450" t="str">
        <f t="array" ref="T450">IF($A450="","",INDEX(JupData!$A$2:$K$10000,MATCH($A450&amp;T$1,JupData!$A$2:$A$10000&amp;JupData!$J$2:$J$10000,0),11))</f>
        <v/>
      </c>
      <c r="U450" t="str">
        <f t="array" ref="U450">IF($A450="","",INDEX(JupData!$A$2:$K$10000,MATCH($A450&amp;U$1,JupData!$A$2:$A$10000&amp;JupData!$J$2:$J$10000,0),11))</f>
        <v/>
      </c>
      <c r="V450" t="str">
        <f t="array" ref="V450">IF($A450="","",INDEX(JupData!$A$2:$K$10000,MATCH($A450&amp;V$1,JupData!$A$2:$A$10000&amp;JupData!$J$2:$J$10000,0),11))</f>
        <v/>
      </c>
      <c r="W450" t="str">
        <f t="array" ref="W450">IF($A450="","",INDEX(JupData!$A$2:$K$10000,MATCH($A450&amp;W$1,JupData!$A$2:$A$10000&amp;JupData!$J$2:$J$10000,0),11))</f>
        <v/>
      </c>
      <c r="X450" t="str">
        <f t="array" ref="X450">IF($A450="","",INDEX(JupData!$A$2:$K$10000,MATCH($A450&amp;X$1,JupData!$A$2:$A$10000&amp;JupData!$J$2:$J$10000,0),11))</f>
        <v/>
      </c>
      <c r="Y450" t="str">
        <f t="array" ref="Y450">IF($A450="","",INDEX(JupData!$A$2:$K$10000,MATCH($A450&amp;Y$1,JupData!$A$2:$A$10000&amp;JupData!$J$2:$J$10000,0),11))</f>
        <v/>
      </c>
      <c r="Z450" t="str">
        <f t="array" ref="Z450">IF($A450="","",INDEX(JupData!$A$2:$K$10000,MATCH($A450&amp;Z$1,JupData!$A$2:$A$10000&amp;JupData!$J$2:$J$10000,0),11))</f>
        <v/>
      </c>
      <c r="AA450" t="str">
        <f t="array" ref="AA450">IF($A450="","",INDEX(JupData!$A$2:$K$10000,MATCH($A450&amp;AA$1,JupData!$A$2:$A$10000&amp;JupData!$J$2:$J$10000,0),11))</f>
        <v/>
      </c>
      <c r="AB450" t="str">
        <f t="array" ref="AB450">IF($A450="","",INDEX(JupData!$A$2:$K$10000,MATCH($A450&amp;AB$1,JupData!$A$2:$A$10000&amp;JupData!$J$2:$J$10000,0),11))</f>
        <v/>
      </c>
      <c r="AC450" s="10" t="str">
        <f t="shared" si="66"/>
        <v/>
      </c>
      <c r="AD450" s="10" t="str">
        <f t="shared" si="67"/>
        <v/>
      </c>
      <c r="AE450" s="9" t="str">
        <f t="shared" si="68"/>
        <v/>
      </c>
      <c r="AF450" s="10" t="str">
        <f t="shared" si="69"/>
        <v/>
      </c>
      <c r="AG450" s="10" t="str">
        <f t="shared" si="70"/>
        <v/>
      </c>
      <c r="AH450" s="10" t="str">
        <f t="shared" si="71"/>
        <v/>
      </c>
      <c r="AI450" s="10" t="str">
        <f t="shared" si="72"/>
        <v/>
      </c>
      <c r="AJ450" s="10" t="str">
        <f t="shared" si="73"/>
        <v/>
      </c>
      <c r="AK450" s="10" t="str">
        <f t="shared" si="74"/>
        <v/>
      </c>
      <c r="AL450" s="14" t="str">
        <f t="shared" si="75"/>
        <v/>
      </c>
    </row>
    <row r="451" spans="1:38" x14ac:dyDescent="0.2">
      <c r="A451"/>
      <c r="B451" t="str">
        <f>IF($A451="","",VLOOKUP($A451,JupData!$A$2:$I$10000,4,FALSE))</f>
        <v/>
      </c>
      <c r="C451" s="7" t="str">
        <f>IF($A451="",IF(N(D451),0,""),VLOOKUP($A451,JupData!$A$2:$I$10000,7,FALSE))</f>
        <v/>
      </c>
      <c r="D451" t="str">
        <f t="shared" si="76"/>
        <v/>
      </c>
      <c r="E451" t="str">
        <f t="array" ref="E451">IF($A451="","",INDEX(JupData!$A$2:$K$10000,MATCH($A451&amp;E$1,JupData!$A$2:$A$10000&amp;JupData!$J$2:$J$10000,0),11))</f>
        <v/>
      </c>
      <c r="F451" t="str">
        <f t="array" ref="F451">IF($A451="","",INDEX(JupData!$A$2:$K$10000,MATCH($A451&amp;F$1,JupData!$A$2:$A$10000&amp;JupData!$J$2:$J$10000,0),11))</f>
        <v/>
      </c>
      <c r="G451" t="str">
        <f t="array" ref="G451">IF($A451="","",INDEX(JupData!$A$2:$K$10000,MATCH($A451&amp;G$1,JupData!$A$2:$A$10000&amp;JupData!$J$2:$J$10000,0),11))</f>
        <v/>
      </c>
      <c r="H451" t="str">
        <f t="array" ref="H451">IF($A451="","",INDEX(JupData!$A$2:$K$10000,MATCH($A451&amp;H$1,JupData!$A$2:$A$10000&amp;JupData!$J$2:$J$10000,0),11))</f>
        <v/>
      </c>
      <c r="I451" t="str">
        <f t="array" ref="I451">IF($A451="","",INDEX(JupData!$A$2:$K$10000,MATCH($A451&amp;I$1,JupData!$A$2:$A$10000&amp;JupData!$J$2:$J$10000,0),11))</f>
        <v/>
      </c>
      <c r="J451" t="str">
        <f t="array" ref="J451">IF($A451="","",INDEX(JupData!$A$2:$K$10000,MATCH($A451&amp;J$1,JupData!$A$2:$A$10000&amp;JupData!$J$2:$J$10000,0),11))</f>
        <v/>
      </c>
      <c r="K451" t="str">
        <f t="array" ref="K451">IF($A451="","",INDEX(JupData!$A$2:$K$10000,MATCH($A451&amp;K$1,JupData!$A$2:$A$10000&amp;JupData!$J$2:$J$10000,0),11))</f>
        <v/>
      </c>
      <c r="L451" t="str">
        <f t="array" ref="L451">IF($A451="","",INDEX(JupData!$A$2:$K$10000,MATCH($A451&amp;L$1,JupData!$A$2:$A$10000&amp;JupData!$J$2:$J$10000,0),11))</f>
        <v/>
      </c>
      <c r="M451" t="str">
        <f t="array" ref="M451">IF($A451="","",INDEX(JupData!$A$2:$K$10000,MATCH($A451&amp;M$1,JupData!$A$2:$A$10000&amp;JupData!$J$2:$J$10000,0),11))</f>
        <v/>
      </c>
      <c r="N451" t="str">
        <f t="array" ref="N451">IF($A451="","",INDEX(JupData!$A$2:$K$10000,MATCH($A451&amp;N$1,JupData!$A$2:$A$10000&amp;JupData!$J$2:$J$10000,0),11))</f>
        <v/>
      </c>
      <c r="O451" t="str">
        <f t="array" ref="O451">IF($A451="","",INDEX(JupData!$A$2:$K$10000,MATCH($A451&amp;O$1,JupData!$A$2:$A$10000&amp;JupData!$J$2:$J$10000,0),11))</f>
        <v/>
      </c>
      <c r="P451" t="str">
        <f t="array" ref="P451">IF($A451="","",INDEX(JupData!$A$2:$K$10000,MATCH($A451&amp;P$1,JupData!$A$2:$A$10000&amp;JupData!$J$2:$J$10000,0),11))</f>
        <v/>
      </c>
      <c r="Q451" t="str">
        <f t="array" ref="Q451">IF($A451="","",INDEX(JupData!$A$2:$K$10000,MATCH($A451&amp;Q$1,JupData!$A$2:$A$10000&amp;JupData!$J$2:$J$10000,0),11))</f>
        <v/>
      </c>
      <c r="R451" t="str">
        <f t="array" ref="R451">IF($A451="","",INDEX(JupData!$A$2:$K$10000,MATCH($A451&amp;R$1,JupData!$A$2:$A$10000&amp;JupData!$J$2:$J$10000,0),11))</f>
        <v/>
      </c>
      <c r="S451" t="str">
        <f t="array" ref="S451">IF($A451="","",INDEX(JupData!$A$2:$K$10000,MATCH($A451&amp;S$1,JupData!$A$2:$A$10000&amp;JupData!$J$2:$J$10000,0),11))</f>
        <v/>
      </c>
      <c r="T451" t="str">
        <f t="array" ref="T451">IF($A451="","",INDEX(JupData!$A$2:$K$10000,MATCH($A451&amp;T$1,JupData!$A$2:$A$10000&amp;JupData!$J$2:$J$10000,0),11))</f>
        <v/>
      </c>
      <c r="U451" t="str">
        <f t="array" ref="U451">IF($A451="","",INDEX(JupData!$A$2:$K$10000,MATCH($A451&amp;U$1,JupData!$A$2:$A$10000&amp;JupData!$J$2:$J$10000,0),11))</f>
        <v/>
      </c>
      <c r="V451" t="str">
        <f t="array" ref="V451">IF($A451="","",INDEX(JupData!$A$2:$K$10000,MATCH($A451&amp;V$1,JupData!$A$2:$A$10000&amp;JupData!$J$2:$J$10000,0),11))</f>
        <v/>
      </c>
      <c r="W451" t="str">
        <f t="array" ref="W451">IF($A451="","",INDEX(JupData!$A$2:$K$10000,MATCH($A451&amp;W$1,JupData!$A$2:$A$10000&amp;JupData!$J$2:$J$10000,0),11))</f>
        <v/>
      </c>
      <c r="X451" t="str">
        <f t="array" ref="X451">IF($A451="","",INDEX(JupData!$A$2:$K$10000,MATCH($A451&amp;X$1,JupData!$A$2:$A$10000&amp;JupData!$J$2:$J$10000,0),11))</f>
        <v/>
      </c>
      <c r="Y451" t="str">
        <f t="array" ref="Y451">IF($A451="","",INDEX(JupData!$A$2:$K$10000,MATCH($A451&amp;Y$1,JupData!$A$2:$A$10000&amp;JupData!$J$2:$J$10000,0),11))</f>
        <v/>
      </c>
      <c r="Z451" t="str">
        <f t="array" ref="Z451">IF($A451="","",INDEX(JupData!$A$2:$K$10000,MATCH($A451&amp;Z$1,JupData!$A$2:$A$10000&amp;JupData!$J$2:$J$10000,0),11))</f>
        <v/>
      </c>
      <c r="AA451" t="str">
        <f t="array" ref="AA451">IF($A451="","",INDEX(JupData!$A$2:$K$10000,MATCH($A451&amp;AA$1,JupData!$A$2:$A$10000&amp;JupData!$J$2:$J$10000,0),11))</f>
        <v/>
      </c>
      <c r="AB451" t="str">
        <f t="array" ref="AB451">IF($A451="","",INDEX(JupData!$A$2:$K$10000,MATCH($A451&amp;AB$1,JupData!$A$2:$A$10000&amp;JupData!$J$2:$J$10000,0),11))</f>
        <v/>
      </c>
      <c r="AC451" s="10" t="str">
        <f t="shared" ref="AC451:AC514" si="77">IF(A451="","",2*H451/40.08+2*I451/24.3+J451/22.99+K451/39.1+Y451/18.04)</f>
        <v/>
      </c>
      <c r="AD451" s="10" t="str">
        <f t="shared" ref="AD451:AD514" si="78">IF(A451="","",R451/61.02+2*S451/96.06+T451/35.45+U451/19+W451/62)</f>
        <v/>
      </c>
      <c r="AE451" s="9" t="str">
        <f t="shared" ref="AE451:AE514" si="79">IF(A451="","",IF(AD451&lt;0,((AC451+AD451)/(AC451-AD451)),((AC451-AD451)/(AC451+AD451))))</f>
        <v/>
      </c>
      <c r="AF451" s="10" t="str">
        <f t="shared" ref="AF451:AF514" si="80">IF(A451="","",(J451/22.99)/(T451/35.45))</f>
        <v/>
      </c>
      <c r="AG451" s="10" t="str">
        <f t="shared" ref="AG451:AG514" si="81">IF(A451="","",2*((H451/40.08)+(I451/24.3))/(R451/61.02))</f>
        <v/>
      </c>
      <c r="AH451" s="10" t="str">
        <f t="shared" ref="AH451:AH514" si="82">IF(A451="","",(J451/22.99)/((J451/22.99)+2*(H451/40.08)))</f>
        <v/>
      </c>
      <c r="AI451" s="10" t="str">
        <f t="shared" ref="AI451:AI514" si="83">IF(A451="","",H451/40.08)</f>
        <v/>
      </c>
      <c r="AJ451" s="10" t="str">
        <f t="shared" ref="AJ451:AJ514" si="84">IF(A451="","",S451/96.06)</f>
        <v/>
      </c>
      <c r="AK451" s="10" t="str">
        <f t="shared" ref="AK451:AK514" si="85">IF(A451="","",IF(W451&gt;=1,IF(L451&lt;0.2,IF(G451&gt;1,"A","B"),"X1"),IF(L451&gt;=0.2,IF(S451&gt;=20,IF(S451&gt;70,"C2","C1"),IF(AG451&lt;=1,"D","X3")),"X2")))</f>
        <v/>
      </c>
      <c r="AL451" s="14" t="str">
        <f t="shared" ref="AL451:AL514" si="86">IF(F451="","",(H451/40.1+I451/24.3)*5.6)</f>
        <v/>
      </c>
    </row>
    <row r="452" spans="1:38" x14ac:dyDescent="0.2">
      <c r="A452"/>
      <c r="B452" t="str">
        <f>IF($A452="","",VLOOKUP($A452,JupData!$A$2:$I$10000,4,FALSE))</f>
        <v/>
      </c>
      <c r="C452" s="7" t="str">
        <f>IF($A452="",IF(N(D452),0,""),VLOOKUP($A452,JupData!$A$2:$I$10000,7,FALSE))</f>
        <v/>
      </c>
      <c r="D452" t="str">
        <f t="shared" ref="D452:D515" si="87">IF(A452="",IF(D451&lt;20,D451+1,""),IF(B451="",1,IF(B451=B452,D451,D451+1)))</f>
        <v/>
      </c>
      <c r="E452" t="str">
        <f t="array" ref="E452">IF($A452="","",INDEX(JupData!$A$2:$K$10000,MATCH($A452&amp;E$1,JupData!$A$2:$A$10000&amp;JupData!$J$2:$J$10000,0),11))</f>
        <v/>
      </c>
      <c r="F452" t="str">
        <f t="array" ref="F452">IF($A452="","",INDEX(JupData!$A$2:$K$10000,MATCH($A452&amp;F$1,JupData!$A$2:$A$10000&amp;JupData!$J$2:$J$10000,0),11))</f>
        <v/>
      </c>
      <c r="G452" t="str">
        <f t="array" ref="G452">IF($A452="","",INDEX(JupData!$A$2:$K$10000,MATCH($A452&amp;G$1,JupData!$A$2:$A$10000&amp;JupData!$J$2:$J$10000,0),11))</f>
        <v/>
      </c>
      <c r="H452" t="str">
        <f t="array" ref="H452">IF($A452="","",INDEX(JupData!$A$2:$K$10000,MATCH($A452&amp;H$1,JupData!$A$2:$A$10000&amp;JupData!$J$2:$J$10000,0),11))</f>
        <v/>
      </c>
      <c r="I452" t="str">
        <f t="array" ref="I452">IF($A452="","",INDEX(JupData!$A$2:$K$10000,MATCH($A452&amp;I$1,JupData!$A$2:$A$10000&amp;JupData!$J$2:$J$10000,0),11))</f>
        <v/>
      </c>
      <c r="J452" t="str">
        <f t="array" ref="J452">IF($A452="","",INDEX(JupData!$A$2:$K$10000,MATCH($A452&amp;J$1,JupData!$A$2:$A$10000&amp;JupData!$J$2:$J$10000,0),11))</f>
        <v/>
      </c>
      <c r="K452" t="str">
        <f t="array" ref="K452">IF($A452="","",INDEX(JupData!$A$2:$K$10000,MATCH($A452&amp;K$1,JupData!$A$2:$A$10000&amp;JupData!$J$2:$J$10000,0),11))</f>
        <v/>
      </c>
      <c r="L452" t="str">
        <f t="array" ref="L452">IF($A452="","",INDEX(JupData!$A$2:$K$10000,MATCH($A452&amp;L$1,JupData!$A$2:$A$10000&amp;JupData!$J$2:$J$10000,0),11))</f>
        <v/>
      </c>
      <c r="M452" t="str">
        <f t="array" ref="M452">IF($A452="","",INDEX(JupData!$A$2:$K$10000,MATCH($A452&amp;M$1,JupData!$A$2:$A$10000&amp;JupData!$J$2:$J$10000,0),11))</f>
        <v/>
      </c>
      <c r="N452" t="str">
        <f t="array" ref="N452">IF($A452="","",INDEX(JupData!$A$2:$K$10000,MATCH($A452&amp;N$1,JupData!$A$2:$A$10000&amp;JupData!$J$2:$J$10000,0),11))</f>
        <v/>
      </c>
      <c r="O452" t="str">
        <f t="array" ref="O452">IF($A452="","",INDEX(JupData!$A$2:$K$10000,MATCH($A452&amp;O$1,JupData!$A$2:$A$10000&amp;JupData!$J$2:$J$10000,0),11))</f>
        <v/>
      </c>
      <c r="P452" t="str">
        <f t="array" ref="P452">IF($A452="","",INDEX(JupData!$A$2:$K$10000,MATCH($A452&amp;P$1,JupData!$A$2:$A$10000&amp;JupData!$J$2:$J$10000,0),11))</f>
        <v/>
      </c>
      <c r="Q452" t="str">
        <f t="array" ref="Q452">IF($A452="","",INDEX(JupData!$A$2:$K$10000,MATCH($A452&amp;Q$1,JupData!$A$2:$A$10000&amp;JupData!$J$2:$J$10000,0),11))</f>
        <v/>
      </c>
      <c r="R452" t="str">
        <f t="array" ref="R452">IF($A452="","",INDEX(JupData!$A$2:$K$10000,MATCH($A452&amp;R$1,JupData!$A$2:$A$10000&amp;JupData!$J$2:$J$10000,0),11))</f>
        <v/>
      </c>
      <c r="S452" t="str">
        <f t="array" ref="S452">IF($A452="","",INDEX(JupData!$A$2:$K$10000,MATCH($A452&amp;S$1,JupData!$A$2:$A$10000&amp;JupData!$J$2:$J$10000,0),11))</f>
        <v/>
      </c>
      <c r="T452" t="str">
        <f t="array" ref="T452">IF($A452="","",INDEX(JupData!$A$2:$K$10000,MATCH($A452&amp;T$1,JupData!$A$2:$A$10000&amp;JupData!$J$2:$J$10000,0),11))</f>
        <v/>
      </c>
      <c r="U452" t="str">
        <f t="array" ref="U452">IF($A452="","",INDEX(JupData!$A$2:$K$10000,MATCH($A452&amp;U$1,JupData!$A$2:$A$10000&amp;JupData!$J$2:$J$10000,0),11))</f>
        <v/>
      </c>
      <c r="V452" t="str">
        <f t="array" ref="V452">IF($A452="","",INDEX(JupData!$A$2:$K$10000,MATCH($A452&amp;V$1,JupData!$A$2:$A$10000&amp;JupData!$J$2:$J$10000,0),11))</f>
        <v/>
      </c>
      <c r="W452" t="str">
        <f t="array" ref="W452">IF($A452="","",INDEX(JupData!$A$2:$K$10000,MATCH($A452&amp;W$1,JupData!$A$2:$A$10000&amp;JupData!$J$2:$J$10000,0),11))</f>
        <v/>
      </c>
      <c r="X452" t="str">
        <f t="array" ref="X452">IF($A452="","",INDEX(JupData!$A$2:$K$10000,MATCH($A452&amp;X$1,JupData!$A$2:$A$10000&amp;JupData!$J$2:$J$10000,0),11))</f>
        <v/>
      </c>
      <c r="Y452" t="str">
        <f t="array" ref="Y452">IF($A452="","",INDEX(JupData!$A$2:$K$10000,MATCH($A452&amp;Y$1,JupData!$A$2:$A$10000&amp;JupData!$J$2:$J$10000,0),11))</f>
        <v/>
      </c>
      <c r="Z452" t="str">
        <f t="array" ref="Z452">IF($A452="","",INDEX(JupData!$A$2:$K$10000,MATCH($A452&amp;Z$1,JupData!$A$2:$A$10000&amp;JupData!$J$2:$J$10000,0),11))</f>
        <v/>
      </c>
      <c r="AA452" t="str">
        <f t="array" ref="AA452">IF($A452="","",INDEX(JupData!$A$2:$K$10000,MATCH($A452&amp;AA$1,JupData!$A$2:$A$10000&amp;JupData!$J$2:$J$10000,0),11))</f>
        <v/>
      </c>
      <c r="AB452" t="str">
        <f t="array" ref="AB452">IF($A452="","",INDEX(JupData!$A$2:$K$10000,MATCH($A452&amp;AB$1,JupData!$A$2:$A$10000&amp;JupData!$J$2:$J$10000,0),11))</f>
        <v/>
      </c>
      <c r="AC452" s="10" t="str">
        <f t="shared" si="77"/>
        <v/>
      </c>
      <c r="AD452" s="10" t="str">
        <f t="shared" si="78"/>
        <v/>
      </c>
      <c r="AE452" s="9" t="str">
        <f t="shared" si="79"/>
        <v/>
      </c>
      <c r="AF452" s="10" t="str">
        <f t="shared" si="80"/>
        <v/>
      </c>
      <c r="AG452" s="10" t="str">
        <f t="shared" si="81"/>
        <v/>
      </c>
      <c r="AH452" s="10" t="str">
        <f t="shared" si="82"/>
        <v/>
      </c>
      <c r="AI452" s="10" t="str">
        <f t="shared" si="83"/>
        <v/>
      </c>
      <c r="AJ452" s="10" t="str">
        <f t="shared" si="84"/>
        <v/>
      </c>
      <c r="AK452" s="10" t="str">
        <f t="shared" si="85"/>
        <v/>
      </c>
      <c r="AL452" s="14" t="str">
        <f t="shared" si="86"/>
        <v/>
      </c>
    </row>
    <row r="453" spans="1:38" x14ac:dyDescent="0.2">
      <c r="A453"/>
      <c r="B453" t="str">
        <f>IF($A453="","",VLOOKUP($A453,JupData!$A$2:$I$10000,4,FALSE))</f>
        <v/>
      </c>
      <c r="C453" s="7" t="str">
        <f>IF($A453="",IF(N(D453),0,""),VLOOKUP($A453,JupData!$A$2:$I$10000,7,FALSE))</f>
        <v/>
      </c>
      <c r="D453" t="str">
        <f t="shared" si="87"/>
        <v/>
      </c>
      <c r="E453" t="str">
        <f t="array" ref="E453">IF($A453="","",INDEX(JupData!$A$2:$K$10000,MATCH($A453&amp;E$1,JupData!$A$2:$A$10000&amp;JupData!$J$2:$J$10000,0),11))</f>
        <v/>
      </c>
      <c r="F453" t="str">
        <f t="array" ref="F453">IF($A453="","",INDEX(JupData!$A$2:$K$10000,MATCH($A453&amp;F$1,JupData!$A$2:$A$10000&amp;JupData!$J$2:$J$10000,0),11))</f>
        <v/>
      </c>
      <c r="G453" t="str">
        <f t="array" ref="G453">IF($A453="","",INDEX(JupData!$A$2:$K$10000,MATCH($A453&amp;G$1,JupData!$A$2:$A$10000&amp;JupData!$J$2:$J$10000,0),11))</f>
        <v/>
      </c>
      <c r="H453" t="str">
        <f t="array" ref="H453">IF($A453="","",INDEX(JupData!$A$2:$K$10000,MATCH($A453&amp;H$1,JupData!$A$2:$A$10000&amp;JupData!$J$2:$J$10000,0),11))</f>
        <v/>
      </c>
      <c r="I453" t="str">
        <f t="array" ref="I453">IF($A453="","",INDEX(JupData!$A$2:$K$10000,MATCH($A453&amp;I$1,JupData!$A$2:$A$10000&amp;JupData!$J$2:$J$10000,0),11))</f>
        <v/>
      </c>
      <c r="J453" t="str">
        <f t="array" ref="J453">IF($A453="","",INDEX(JupData!$A$2:$K$10000,MATCH($A453&amp;J$1,JupData!$A$2:$A$10000&amp;JupData!$J$2:$J$10000,0),11))</f>
        <v/>
      </c>
      <c r="K453" t="str">
        <f t="array" ref="K453">IF($A453="","",INDEX(JupData!$A$2:$K$10000,MATCH($A453&amp;K$1,JupData!$A$2:$A$10000&amp;JupData!$J$2:$J$10000,0),11))</f>
        <v/>
      </c>
      <c r="L453" t="str">
        <f t="array" ref="L453">IF($A453="","",INDEX(JupData!$A$2:$K$10000,MATCH($A453&amp;L$1,JupData!$A$2:$A$10000&amp;JupData!$J$2:$J$10000,0),11))</f>
        <v/>
      </c>
      <c r="M453" t="str">
        <f t="array" ref="M453">IF($A453="","",INDEX(JupData!$A$2:$K$10000,MATCH($A453&amp;M$1,JupData!$A$2:$A$10000&amp;JupData!$J$2:$J$10000,0),11))</f>
        <v/>
      </c>
      <c r="N453" t="str">
        <f t="array" ref="N453">IF($A453="","",INDEX(JupData!$A$2:$K$10000,MATCH($A453&amp;N$1,JupData!$A$2:$A$10000&amp;JupData!$J$2:$J$10000,0),11))</f>
        <v/>
      </c>
      <c r="O453" t="str">
        <f t="array" ref="O453">IF($A453="","",INDEX(JupData!$A$2:$K$10000,MATCH($A453&amp;O$1,JupData!$A$2:$A$10000&amp;JupData!$J$2:$J$10000,0),11))</f>
        <v/>
      </c>
      <c r="P453" t="str">
        <f t="array" ref="P453">IF($A453="","",INDEX(JupData!$A$2:$K$10000,MATCH($A453&amp;P$1,JupData!$A$2:$A$10000&amp;JupData!$J$2:$J$10000,0),11))</f>
        <v/>
      </c>
      <c r="Q453" t="str">
        <f t="array" ref="Q453">IF($A453="","",INDEX(JupData!$A$2:$K$10000,MATCH($A453&amp;Q$1,JupData!$A$2:$A$10000&amp;JupData!$J$2:$J$10000,0),11))</f>
        <v/>
      </c>
      <c r="R453" t="str">
        <f t="array" ref="R453">IF($A453="","",INDEX(JupData!$A$2:$K$10000,MATCH($A453&amp;R$1,JupData!$A$2:$A$10000&amp;JupData!$J$2:$J$10000,0),11))</f>
        <v/>
      </c>
      <c r="S453" t="str">
        <f t="array" ref="S453">IF($A453="","",INDEX(JupData!$A$2:$K$10000,MATCH($A453&amp;S$1,JupData!$A$2:$A$10000&amp;JupData!$J$2:$J$10000,0),11))</f>
        <v/>
      </c>
      <c r="T453" t="str">
        <f t="array" ref="T453">IF($A453="","",INDEX(JupData!$A$2:$K$10000,MATCH($A453&amp;T$1,JupData!$A$2:$A$10000&amp;JupData!$J$2:$J$10000,0),11))</f>
        <v/>
      </c>
      <c r="U453" t="str">
        <f t="array" ref="U453">IF($A453="","",INDEX(JupData!$A$2:$K$10000,MATCH($A453&amp;U$1,JupData!$A$2:$A$10000&amp;JupData!$J$2:$J$10000,0),11))</f>
        <v/>
      </c>
      <c r="V453" t="str">
        <f t="array" ref="V453">IF($A453="","",INDEX(JupData!$A$2:$K$10000,MATCH($A453&amp;V$1,JupData!$A$2:$A$10000&amp;JupData!$J$2:$J$10000,0),11))</f>
        <v/>
      </c>
      <c r="W453" t="str">
        <f t="array" ref="W453">IF($A453="","",INDEX(JupData!$A$2:$K$10000,MATCH($A453&amp;W$1,JupData!$A$2:$A$10000&amp;JupData!$J$2:$J$10000,0),11))</f>
        <v/>
      </c>
      <c r="X453" t="str">
        <f t="array" ref="X453">IF($A453="","",INDEX(JupData!$A$2:$K$10000,MATCH($A453&amp;X$1,JupData!$A$2:$A$10000&amp;JupData!$J$2:$J$10000,0),11))</f>
        <v/>
      </c>
      <c r="Y453" t="str">
        <f t="array" ref="Y453">IF($A453="","",INDEX(JupData!$A$2:$K$10000,MATCH($A453&amp;Y$1,JupData!$A$2:$A$10000&amp;JupData!$J$2:$J$10000,0),11))</f>
        <v/>
      </c>
      <c r="Z453" t="str">
        <f t="array" ref="Z453">IF($A453="","",INDEX(JupData!$A$2:$K$10000,MATCH($A453&amp;Z$1,JupData!$A$2:$A$10000&amp;JupData!$J$2:$J$10000,0),11))</f>
        <v/>
      </c>
      <c r="AA453" t="str">
        <f t="array" ref="AA453">IF($A453="","",INDEX(JupData!$A$2:$K$10000,MATCH($A453&amp;AA$1,JupData!$A$2:$A$10000&amp;JupData!$J$2:$J$10000,0),11))</f>
        <v/>
      </c>
      <c r="AB453" t="str">
        <f t="array" ref="AB453">IF($A453="","",INDEX(JupData!$A$2:$K$10000,MATCH($A453&amp;AB$1,JupData!$A$2:$A$10000&amp;JupData!$J$2:$J$10000,0),11))</f>
        <v/>
      </c>
      <c r="AC453" s="10" t="str">
        <f t="shared" si="77"/>
        <v/>
      </c>
      <c r="AD453" s="10" t="str">
        <f t="shared" si="78"/>
        <v/>
      </c>
      <c r="AE453" s="9" t="str">
        <f t="shared" si="79"/>
        <v/>
      </c>
      <c r="AF453" s="10" t="str">
        <f t="shared" si="80"/>
        <v/>
      </c>
      <c r="AG453" s="10" t="str">
        <f t="shared" si="81"/>
        <v/>
      </c>
      <c r="AH453" s="10" t="str">
        <f t="shared" si="82"/>
        <v/>
      </c>
      <c r="AI453" s="10" t="str">
        <f t="shared" si="83"/>
        <v/>
      </c>
      <c r="AJ453" s="10" t="str">
        <f t="shared" si="84"/>
        <v/>
      </c>
      <c r="AK453" s="10" t="str">
        <f t="shared" si="85"/>
        <v/>
      </c>
      <c r="AL453" s="14" t="str">
        <f t="shared" si="86"/>
        <v/>
      </c>
    </row>
    <row r="454" spans="1:38" x14ac:dyDescent="0.2">
      <c r="A454"/>
      <c r="B454" t="str">
        <f>IF($A454="","",VLOOKUP($A454,JupData!$A$2:$I$10000,4,FALSE))</f>
        <v/>
      </c>
      <c r="C454" s="7" t="str">
        <f>IF($A454="",IF(N(D454),0,""),VLOOKUP($A454,JupData!$A$2:$I$10000,7,FALSE))</f>
        <v/>
      </c>
      <c r="D454" t="str">
        <f t="shared" si="87"/>
        <v/>
      </c>
      <c r="E454" t="str">
        <f t="array" ref="E454">IF($A454="","",INDEX(JupData!$A$2:$K$10000,MATCH($A454&amp;E$1,JupData!$A$2:$A$10000&amp;JupData!$J$2:$J$10000,0),11))</f>
        <v/>
      </c>
      <c r="F454" t="str">
        <f t="array" ref="F454">IF($A454="","",INDEX(JupData!$A$2:$K$10000,MATCH($A454&amp;F$1,JupData!$A$2:$A$10000&amp;JupData!$J$2:$J$10000,0),11))</f>
        <v/>
      </c>
      <c r="G454" t="str">
        <f t="array" ref="G454">IF($A454="","",INDEX(JupData!$A$2:$K$10000,MATCH($A454&amp;G$1,JupData!$A$2:$A$10000&amp;JupData!$J$2:$J$10000,0),11))</f>
        <v/>
      </c>
      <c r="H454" t="str">
        <f t="array" ref="H454">IF($A454="","",INDEX(JupData!$A$2:$K$10000,MATCH($A454&amp;H$1,JupData!$A$2:$A$10000&amp;JupData!$J$2:$J$10000,0),11))</f>
        <v/>
      </c>
      <c r="I454" t="str">
        <f t="array" ref="I454">IF($A454="","",INDEX(JupData!$A$2:$K$10000,MATCH($A454&amp;I$1,JupData!$A$2:$A$10000&amp;JupData!$J$2:$J$10000,0),11))</f>
        <v/>
      </c>
      <c r="J454" t="str">
        <f t="array" ref="J454">IF($A454="","",INDEX(JupData!$A$2:$K$10000,MATCH($A454&amp;J$1,JupData!$A$2:$A$10000&amp;JupData!$J$2:$J$10000,0),11))</f>
        <v/>
      </c>
      <c r="K454" t="str">
        <f t="array" ref="K454">IF($A454="","",INDEX(JupData!$A$2:$K$10000,MATCH($A454&amp;K$1,JupData!$A$2:$A$10000&amp;JupData!$J$2:$J$10000,0),11))</f>
        <v/>
      </c>
      <c r="L454" t="str">
        <f t="array" ref="L454">IF($A454="","",INDEX(JupData!$A$2:$K$10000,MATCH($A454&amp;L$1,JupData!$A$2:$A$10000&amp;JupData!$J$2:$J$10000,0),11))</f>
        <v/>
      </c>
      <c r="M454" t="str">
        <f t="array" ref="M454">IF($A454="","",INDEX(JupData!$A$2:$K$10000,MATCH($A454&amp;M$1,JupData!$A$2:$A$10000&amp;JupData!$J$2:$J$10000,0),11))</f>
        <v/>
      </c>
      <c r="N454" t="str">
        <f t="array" ref="N454">IF($A454="","",INDEX(JupData!$A$2:$K$10000,MATCH($A454&amp;N$1,JupData!$A$2:$A$10000&amp;JupData!$J$2:$J$10000,0),11))</f>
        <v/>
      </c>
      <c r="O454" t="str">
        <f t="array" ref="O454">IF($A454="","",INDEX(JupData!$A$2:$K$10000,MATCH($A454&amp;O$1,JupData!$A$2:$A$10000&amp;JupData!$J$2:$J$10000,0),11))</f>
        <v/>
      </c>
      <c r="P454" t="str">
        <f t="array" ref="P454">IF($A454="","",INDEX(JupData!$A$2:$K$10000,MATCH($A454&amp;P$1,JupData!$A$2:$A$10000&amp;JupData!$J$2:$J$10000,0),11))</f>
        <v/>
      </c>
      <c r="Q454" t="str">
        <f t="array" ref="Q454">IF($A454="","",INDEX(JupData!$A$2:$K$10000,MATCH($A454&amp;Q$1,JupData!$A$2:$A$10000&amp;JupData!$J$2:$J$10000,0),11))</f>
        <v/>
      </c>
      <c r="R454" t="str">
        <f t="array" ref="R454">IF($A454="","",INDEX(JupData!$A$2:$K$10000,MATCH($A454&amp;R$1,JupData!$A$2:$A$10000&amp;JupData!$J$2:$J$10000,0),11))</f>
        <v/>
      </c>
      <c r="S454" t="str">
        <f t="array" ref="S454">IF($A454="","",INDEX(JupData!$A$2:$K$10000,MATCH($A454&amp;S$1,JupData!$A$2:$A$10000&amp;JupData!$J$2:$J$10000,0),11))</f>
        <v/>
      </c>
      <c r="T454" t="str">
        <f t="array" ref="T454">IF($A454="","",INDEX(JupData!$A$2:$K$10000,MATCH($A454&amp;T$1,JupData!$A$2:$A$10000&amp;JupData!$J$2:$J$10000,0),11))</f>
        <v/>
      </c>
      <c r="U454" t="str">
        <f t="array" ref="U454">IF($A454="","",INDEX(JupData!$A$2:$K$10000,MATCH($A454&amp;U$1,JupData!$A$2:$A$10000&amp;JupData!$J$2:$J$10000,0),11))</f>
        <v/>
      </c>
      <c r="V454" t="str">
        <f t="array" ref="V454">IF($A454="","",INDEX(JupData!$A$2:$K$10000,MATCH($A454&amp;V$1,JupData!$A$2:$A$10000&amp;JupData!$J$2:$J$10000,0),11))</f>
        <v/>
      </c>
      <c r="W454" t="str">
        <f t="array" ref="W454">IF($A454="","",INDEX(JupData!$A$2:$K$10000,MATCH($A454&amp;W$1,JupData!$A$2:$A$10000&amp;JupData!$J$2:$J$10000,0),11))</f>
        <v/>
      </c>
      <c r="X454" t="str">
        <f t="array" ref="X454">IF($A454="","",INDEX(JupData!$A$2:$K$10000,MATCH($A454&amp;X$1,JupData!$A$2:$A$10000&amp;JupData!$J$2:$J$10000,0),11))</f>
        <v/>
      </c>
      <c r="Y454" t="str">
        <f t="array" ref="Y454">IF($A454="","",INDEX(JupData!$A$2:$K$10000,MATCH($A454&amp;Y$1,JupData!$A$2:$A$10000&amp;JupData!$J$2:$J$10000,0),11))</f>
        <v/>
      </c>
      <c r="Z454" t="str">
        <f t="array" ref="Z454">IF($A454="","",INDEX(JupData!$A$2:$K$10000,MATCH($A454&amp;Z$1,JupData!$A$2:$A$10000&amp;JupData!$J$2:$J$10000,0),11))</f>
        <v/>
      </c>
      <c r="AA454" t="str">
        <f t="array" ref="AA454">IF($A454="","",INDEX(JupData!$A$2:$K$10000,MATCH($A454&amp;AA$1,JupData!$A$2:$A$10000&amp;JupData!$J$2:$J$10000,0),11))</f>
        <v/>
      </c>
      <c r="AB454" t="str">
        <f t="array" ref="AB454">IF($A454="","",INDEX(JupData!$A$2:$K$10000,MATCH($A454&amp;AB$1,JupData!$A$2:$A$10000&amp;JupData!$J$2:$J$10000,0),11))</f>
        <v/>
      </c>
      <c r="AC454" s="10" t="str">
        <f t="shared" si="77"/>
        <v/>
      </c>
      <c r="AD454" s="10" t="str">
        <f t="shared" si="78"/>
        <v/>
      </c>
      <c r="AE454" s="9" t="str">
        <f t="shared" si="79"/>
        <v/>
      </c>
      <c r="AF454" s="10" t="str">
        <f t="shared" si="80"/>
        <v/>
      </c>
      <c r="AG454" s="10" t="str">
        <f t="shared" si="81"/>
        <v/>
      </c>
      <c r="AH454" s="10" t="str">
        <f t="shared" si="82"/>
        <v/>
      </c>
      <c r="AI454" s="10" t="str">
        <f t="shared" si="83"/>
        <v/>
      </c>
      <c r="AJ454" s="10" t="str">
        <f t="shared" si="84"/>
        <v/>
      </c>
      <c r="AK454" s="10" t="str">
        <f t="shared" si="85"/>
        <v/>
      </c>
      <c r="AL454" s="14" t="str">
        <f t="shared" si="86"/>
        <v/>
      </c>
    </row>
    <row r="455" spans="1:38" x14ac:dyDescent="0.2">
      <c r="A455"/>
      <c r="B455" t="str">
        <f>IF($A455="","",VLOOKUP($A455,JupData!$A$2:$I$10000,4,FALSE))</f>
        <v/>
      </c>
      <c r="C455" s="7" t="str">
        <f>IF($A455="",IF(N(D455),0,""),VLOOKUP($A455,JupData!$A$2:$I$10000,7,FALSE))</f>
        <v/>
      </c>
      <c r="D455" t="str">
        <f t="shared" si="87"/>
        <v/>
      </c>
      <c r="E455" t="str">
        <f t="array" ref="E455">IF($A455="","",INDEX(JupData!$A$2:$K$10000,MATCH($A455&amp;E$1,JupData!$A$2:$A$10000&amp;JupData!$J$2:$J$10000,0),11))</f>
        <v/>
      </c>
      <c r="F455" t="str">
        <f t="array" ref="F455">IF($A455="","",INDEX(JupData!$A$2:$K$10000,MATCH($A455&amp;F$1,JupData!$A$2:$A$10000&amp;JupData!$J$2:$J$10000,0),11))</f>
        <v/>
      </c>
      <c r="G455" t="str">
        <f t="array" ref="G455">IF($A455="","",INDEX(JupData!$A$2:$K$10000,MATCH($A455&amp;G$1,JupData!$A$2:$A$10000&amp;JupData!$J$2:$J$10000,0),11))</f>
        <v/>
      </c>
      <c r="H455" t="str">
        <f t="array" ref="H455">IF($A455="","",INDEX(JupData!$A$2:$K$10000,MATCH($A455&amp;H$1,JupData!$A$2:$A$10000&amp;JupData!$J$2:$J$10000,0),11))</f>
        <v/>
      </c>
      <c r="I455" t="str">
        <f t="array" ref="I455">IF($A455="","",INDEX(JupData!$A$2:$K$10000,MATCH($A455&amp;I$1,JupData!$A$2:$A$10000&amp;JupData!$J$2:$J$10000,0),11))</f>
        <v/>
      </c>
      <c r="J455" t="str">
        <f t="array" ref="J455">IF($A455="","",INDEX(JupData!$A$2:$K$10000,MATCH($A455&amp;J$1,JupData!$A$2:$A$10000&amp;JupData!$J$2:$J$10000,0),11))</f>
        <v/>
      </c>
      <c r="K455" t="str">
        <f t="array" ref="K455">IF($A455="","",INDEX(JupData!$A$2:$K$10000,MATCH($A455&amp;K$1,JupData!$A$2:$A$10000&amp;JupData!$J$2:$J$10000,0),11))</f>
        <v/>
      </c>
      <c r="L455" t="str">
        <f t="array" ref="L455">IF($A455="","",INDEX(JupData!$A$2:$K$10000,MATCH($A455&amp;L$1,JupData!$A$2:$A$10000&amp;JupData!$J$2:$J$10000,0),11))</f>
        <v/>
      </c>
      <c r="M455" t="str">
        <f t="array" ref="M455">IF($A455="","",INDEX(JupData!$A$2:$K$10000,MATCH($A455&amp;M$1,JupData!$A$2:$A$10000&amp;JupData!$J$2:$J$10000,0),11))</f>
        <v/>
      </c>
      <c r="N455" t="str">
        <f t="array" ref="N455">IF($A455="","",INDEX(JupData!$A$2:$K$10000,MATCH($A455&amp;N$1,JupData!$A$2:$A$10000&amp;JupData!$J$2:$J$10000,0),11))</f>
        <v/>
      </c>
      <c r="O455" t="str">
        <f t="array" ref="O455">IF($A455="","",INDEX(JupData!$A$2:$K$10000,MATCH($A455&amp;O$1,JupData!$A$2:$A$10000&amp;JupData!$J$2:$J$10000,0),11))</f>
        <v/>
      </c>
      <c r="P455" t="str">
        <f t="array" ref="P455">IF($A455="","",INDEX(JupData!$A$2:$K$10000,MATCH($A455&amp;P$1,JupData!$A$2:$A$10000&amp;JupData!$J$2:$J$10000,0),11))</f>
        <v/>
      </c>
      <c r="Q455" t="str">
        <f t="array" ref="Q455">IF($A455="","",INDEX(JupData!$A$2:$K$10000,MATCH($A455&amp;Q$1,JupData!$A$2:$A$10000&amp;JupData!$J$2:$J$10000,0),11))</f>
        <v/>
      </c>
      <c r="R455" t="str">
        <f t="array" ref="R455">IF($A455="","",INDEX(JupData!$A$2:$K$10000,MATCH($A455&amp;R$1,JupData!$A$2:$A$10000&amp;JupData!$J$2:$J$10000,0),11))</f>
        <v/>
      </c>
      <c r="S455" t="str">
        <f t="array" ref="S455">IF($A455="","",INDEX(JupData!$A$2:$K$10000,MATCH($A455&amp;S$1,JupData!$A$2:$A$10000&amp;JupData!$J$2:$J$10000,0),11))</f>
        <v/>
      </c>
      <c r="T455" t="str">
        <f t="array" ref="T455">IF($A455="","",INDEX(JupData!$A$2:$K$10000,MATCH($A455&amp;T$1,JupData!$A$2:$A$10000&amp;JupData!$J$2:$J$10000,0),11))</f>
        <v/>
      </c>
      <c r="U455" t="str">
        <f t="array" ref="U455">IF($A455="","",INDEX(JupData!$A$2:$K$10000,MATCH($A455&amp;U$1,JupData!$A$2:$A$10000&amp;JupData!$J$2:$J$10000,0),11))</f>
        <v/>
      </c>
      <c r="V455" t="str">
        <f t="array" ref="V455">IF($A455="","",INDEX(JupData!$A$2:$K$10000,MATCH($A455&amp;V$1,JupData!$A$2:$A$10000&amp;JupData!$J$2:$J$10000,0),11))</f>
        <v/>
      </c>
      <c r="W455" t="str">
        <f t="array" ref="W455">IF($A455="","",INDEX(JupData!$A$2:$K$10000,MATCH($A455&amp;W$1,JupData!$A$2:$A$10000&amp;JupData!$J$2:$J$10000,0),11))</f>
        <v/>
      </c>
      <c r="X455" t="str">
        <f t="array" ref="X455">IF($A455="","",INDEX(JupData!$A$2:$K$10000,MATCH($A455&amp;X$1,JupData!$A$2:$A$10000&amp;JupData!$J$2:$J$10000,0),11))</f>
        <v/>
      </c>
      <c r="Y455" t="str">
        <f t="array" ref="Y455">IF($A455="","",INDEX(JupData!$A$2:$K$10000,MATCH($A455&amp;Y$1,JupData!$A$2:$A$10000&amp;JupData!$J$2:$J$10000,0),11))</f>
        <v/>
      </c>
      <c r="Z455" t="str">
        <f t="array" ref="Z455">IF($A455="","",INDEX(JupData!$A$2:$K$10000,MATCH($A455&amp;Z$1,JupData!$A$2:$A$10000&amp;JupData!$J$2:$J$10000,0),11))</f>
        <v/>
      </c>
      <c r="AA455" t="str">
        <f t="array" ref="AA455">IF($A455="","",INDEX(JupData!$A$2:$K$10000,MATCH($A455&amp;AA$1,JupData!$A$2:$A$10000&amp;JupData!$J$2:$J$10000,0),11))</f>
        <v/>
      </c>
      <c r="AB455" t="str">
        <f t="array" ref="AB455">IF($A455="","",INDEX(JupData!$A$2:$K$10000,MATCH($A455&amp;AB$1,JupData!$A$2:$A$10000&amp;JupData!$J$2:$J$10000,0),11))</f>
        <v/>
      </c>
      <c r="AC455" s="10" t="str">
        <f t="shared" si="77"/>
        <v/>
      </c>
      <c r="AD455" s="10" t="str">
        <f t="shared" si="78"/>
        <v/>
      </c>
      <c r="AE455" s="9" t="str">
        <f t="shared" si="79"/>
        <v/>
      </c>
      <c r="AF455" s="10" t="str">
        <f t="shared" si="80"/>
        <v/>
      </c>
      <c r="AG455" s="10" t="str">
        <f t="shared" si="81"/>
        <v/>
      </c>
      <c r="AH455" s="10" t="str">
        <f t="shared" si="82"/>
        <v/>
      </c>
      <c r="AI455" s="10" t="str">
        <f t="shared" si="83"/>
        <v/>
      </c>
      <c r="AJ455" s="10" t="str">
        <f t="shared" si="84"/>
        <v/>
      </c>
      <c r="AK455" s="10" t="str">
        <f t="shared" si="85"/>
        <v/>
      </c>
      <c r="AL455" s="14" t="str">
        <f t="shared" si="86"/>
        <v/>
      </c>
    </row>
    <row r="456" spans="1:38" x14ac:dyDescent="0.2">
      <c r="A456"/>
      <c r="B456" t="str">
        <f>IF($A456="","",VLOOKUP($A456,JupData!$A$2:$I$10000,4,FALSE))</f>
        <v/>
      </c>
      <c r="C456" s="7" t="str">
        <f>IF($A456="",IF(N(D456),0,""),VLOOKUP($A456,JupData!$A$2:$I$10000,7,FALSE))</f>
        <v/>
      </c>
      <c r="D456" t="str">
        <f t="shared" si="87"/>
        <v/>
      </c>
      <c r="E456" t="str">
        <f t="array" ref="E456">IF($A456="","",INDEX(JupData!$A$2:$K$10000,MATCH($A456&amp;E$1,JupData!$A$2:$A$10000&amp;JupData!$J$2:$J$10000,0),11))</f>
        <v/>
      </c>
      <c r="F456" t="str">
        <f t="array" ref="F456">IF($A456="","",INDEX(JupData!$A$2:$K$10000,MATCH($A456&amp;F$1,JupData!$A$2:$A$10000&amp;JupData!$J$2:$J$10000,0),11))</f>
        <v/>
      </c>
      <c r="G456" t="str">
        <f t="array" ref="G456">IF($A456="","",INDEX(JupData!$A$2:$K$10000,MATCH($A456&amp;G$1,JupData!$A$2:$A$10000&amp;JupData!$J$2:$J$10000,0),11))</f>
        <v/>
      </c>
      <c r="H456" t="str">
        <f t="array" ref="H456">IF($A456="","",INDEX(JupData!$A$2:$K$10000,MATCH($A456&amp;H$1,JupData!$A$2:$A$10000&amp;JupData!$J$2:$J$10000,0),11))</f>
        <v/>
      </c>
      <c r="I456" t="str">
        <f t="array" ref="I456">IF($A456="","",INDEX(JupData!$A$2:$K$10000,MATCH($A456&amp;I$1,JupData!$A$2:$A$10000&amp;JupData!$J$2:$J$10000,0),11))</f>
        <v/>
      </c>
      <c r="J456" t="str">
        <f t="array" ref="J456">IF($A456="","",INDEX(JupData!$A$2:$K$10000,MATCH($A456&amp;J$1,JupData!$A$2:$A$10000&amp;JupData!$J$2:$J$10000,0),11))</f>
        <v/>
      </c>
      <c r="K456" t="str">
        <f t="array" ref="K456">IF($A456="","",INDEX(JupData!$A$2:$K$10000,MATCH($A456&amp;K$1,JupData!$A$2:$A$10000&amp;JupData!$J$2:$J$10000,0),11))</f>
        <v/>
      </c>
      <c r="L456" t="str">
        <f t="array" ref="L456">IF($A456="","",INDEX(JupData!$A$2:$K$10000,MATCH($A456&amp;L$1,JupData!$A$2:$A$10000&amp;JupData!$J$2:$J$10000,0),11))</f>
        <v/>
      </c>
      <c r="M456" t="str">
        <f t="array" ref="M456">IF($A456="","",INDEX(JupData!$A$2:$K$10000,MATCH($A456&amp;M$1,JupData!$A$2:$A$10000&amp;JupData!$J$2:$J$10000,0),11))</f>
        <v/>
      </c>
      <c r="N456" t="str">
        <f t="array" ref="N456">IF($A456="","",INDEX(JupData!$A$2:$K$10000,MATCH($A456&amp;N$1,JupData!$A$2:$A$10000&amp;JupData!$J$2:$J$10000,0),11))</f>
        <v/>
      </c>
      <c r="O456" t="str">
        <f t="array" ref="O456">IF($A456="","",INDEX(JupData!$A$2:$K$10000,MATCH($A456&amp;O$1,JupData!$A$2:$A$10000&amp;JupData!$J$2:$J$10000,0),11))</f>
        <v/>
      </c>
      <c r="P456" t="str">
        <f t="array" ref="P456">IF($A456="","",INDEX(JupData!$A$2:$K$10000,MATCH($A456&amp;P$1,JupData!$A$2:$A$10000&amp;JupData!$J$2:$J$10000,0),11))</f>
        <v/>
      </c>
      <c r="Q456" t="str">
        <f t="array" ref="Q456">IF($A456="","",INDEX(JupData!$A$2:$K$10000,MATCH($A456&amp;Q$1,JupData!$A$2:$A$10000&amp;JupData!$J$2:$J$10000,0),11))</f>
        <v/>
      </c>
      <c r="R456" t="str">
        <f t="array" ref="R456">IF($A456="","",INDEX(JupData!$A$2:$K$10000,MATCH($A456&amp;R$1,JupData!$A$2:$A$10000&amp;JupData!$J$2:$J$10000,0),11))</f>
        <v/>
      </c>
      <c r="S456" t="str">
        <f t="array" ref="S456">IF($A456="","",INDEX(JupData!$A$2:$K$10000,MATCH($A456&amp;S$1,JupData!$A$2:$A$10000&amp;JupData!$J$2:$J$10000,0),11))</f>
        <v/>
      </c>
      <c r="T456" t="str">
        <f t="array" ref="T456">IF($A456="","",INDEX(JupData!$A$2:$K$10000,MATCH($A456&amp;T$1,JupData!$A$2:$A$10000&amp;JupData!$J$2:$J$10000,0),11))</f>
        <v/>
      </c>
      <c r="U456" t="str">
        <f t="array" ref="U456">IF($A456="","",INDEX(JupData!$A$2:$K$10000,MATCH($A456&amp;U$1,JupData!$A$2:$A$10000&amp;JupData!$J$2:$J$10000,0),11))</f>
        <v/>
      </c>
      <c r="V456" t="str">
        <f t="array" ref="V456">IF($A456="","",INDEX(JupData!$A$2:$K$10000,MATCH($A456&amp;V$1,JupData!$A$2:$A$10000&amp;JupData!$J$2:$J$10000,0),11))</f>
        <v/>
      </c>
      <c r="W456" t="str">
        <f t="array" ref="W456">IF($A456="","",INDEX(JupData!$A$2:$K$10000,MATCH($A456&amp;W$1,JupData!$A$2:$A$10000&amp;JupData!$J$2:$J$10000,0),11))</f>
        <v/>
      </c>
      <c r="X456" t="str">
        <f t="array" ref="X456">IF($A456="","",INDEX(JupData!$A$2:$K$10000,MATCH($A456&amp;X$1,JupData!$A$2:$A$10000&amp;JupData!$J$2:$J$10000,0),11))</f>
        <v/>
      </c>
      <c r="Y456" t="str">
        <f t="array" ref="Y456">IF($A456="","",INDEX(JupData!$A$2:$K$10000,MATCH($A456&amp;Y$1,JupData!$A$2:$A$10000&amp;JupData!$J$2:$J$10000,0),11))</f>
        <v/>
      </c>
      <c r="Z456" t="str">
        <f t="array" ref="Z456">IF($A456="","",INDEX(JupData!$A$2:$K$10000,MATCH($A456&amp;Z$1,JupData!$A$2:$A$10000&amp;JupData!$J$2:$J$10000,0),11))</f>
        <v/>
      </c>
      <c r="AA456" t="str">
        <f t="array" ref="AA456">IF($A456="","",INDEX(JupData!$A$2:$K$10000,MATCH($A456&amp;AA$1,JupData!$A$2:$A$10000&amp;JupData!$J$2:$J$10000,0),11))</f>
        <v/>
      </c>
      <c r="AB456" t="str">
        <f t="array" ref="AB456">IF($A456="","",INDEX(JupData!$A$2:$K$10000,MATCH($A456&amp;AB$1,JupData!$A$2:$A$10000&amp;JupData!$J$2:$J$10000,0),11))</f>
        <v/>
      </c>
      <c r="AC456" s="10" t="str">
        <f t="shared" si="77"/>
        <v/>
      </c>
      <c r="AD456" s="10" t="str">
        <f t="shared" si="78"/>
        <v/>
      </c>
      <c r="AE456" s="9" t="str">
        <f t="shared" si="79"/>
        <v/>
      </c>
      <c r="AF456" s="10" t="str">
        <f t="shared" si="80"/>
        <v/>
      </c>
      <c r="AG456" s="10" t="str">
        <f t="shared" si="81"/>
        <v/>
      </c>
      <c r="AH456" s="10" t="str">
        <f t="shared" si="82"/>
        <v/>
      </c>
      <c r="AI456" s="10" t="str">
        <f t="shared" si="83"/>
        <v/>
      </c>
      <c r="AJ456" s="10" t="str">
        <f t="shared" si="84"/>
        <v/>
      </c>
      <c r="AK456" s="10" t="str">
        <f t="shared" si="85"/>
        <v/>
      </c>
      <c r="AL456" s="14" t="str">
        <f t="shared" si="86"/>
        <v/>
      </c>
    </row>
    <row r="457" spans="1:38" x14ac:dyDescent="0.2">
      <c r="A457"/>
      <c r="B457" t="str">
        <f>IF($A457="","",VLOOKUP($A457,JupData!$A$2:$I$10000,4,FALSE))</f>
        <v/>
      </c>
      <c r="C457" s="7" t="str">
        <f>IF($A457="",IF(N(D457),0,""),VLOOKUP($A457,JupData!$A$2:$I$10000,7,FALSE))</f>
        <v/>
      </c>
      <c r="D457" t="str">
        <f t="shared" si="87"/>
        <v/>
      </c>
      <c r="E457" t="str">
        <f t="array" ref="E457">IF($A457="","",INDEX(JupData!$A$2:$K$10000,MATCH($A457&amp;E$1,JupData!$A$2:$A$10000&amp;JupData!$J$2:$J$10000,0),11))</f>
        <v/>
      </c>
      <c r="F457" t="str">
        <f t="array" ref="F457">IF($A457="","",INDEX(JupData!$A$2:$K$10000,MATCH($A457&amp;F$1,JupData!$A$2:$A$10000&amp;JupData!$J$2:$J$10000,0),11))</f>
        <v/>
      </c>
      <c r="G457" t="str">
        <f t="array" ref="G457">IF($A457="","",INDEX(JupData!$A$2:$K$10000,MATCH($A457&amp;G$1,JupData!$A$2:$A$10000&amp;JupData!$J$2:$J$10000,0),11))</f>
        <v/>
      </c>
      <c r="H457" t="str">
        <f t="array" ref="H457">IF($A457="","",INDEX(JupData!$A$2:$K$10000,MATCH($A457&amp;H$1,JupData!$A$2:$A$10000&amp;JupData!$J$2:$J$10000,0),11))</f>
        <v/>
      </c>
      <c r="I457" t="str">
        <f t="array" ref="I457">IF($A457="","",INDEX(JupData!$A$2:$K$10000,MATCH($A457&amp;I$1,JupData!$A$2:$A$10000&amp;JupData!$J$2:$J$10000,0),11))</f>
        <v/>
      </c>
      <c r="J457" t="str">
        <f t="array" ref="J457">IF($A457="","",INDEX(JupData!$A$2:$K$10000,MATCH($A457&amp;J$1,JupData!$A$2:$A$10000&amp;JupData!$J$2:$J$10000,0),11))</f>
        <v/>
      </c>
      <c r="K457" t="str">
        <f t="array" ref="K457">IF($A457="","",INDEX(JupData!$A$2:$K$10000,MATCH($A457&amp;K$1,JupData!$A$2:$A$10000&amp;JupData!$J$2:$J$10000,0),11))</f>
        <v/>
      </c>
      <c r="L457" t="str">
        <f t="array" ref="L457">IF($A457="","",INDEX(JupData!$A$2:$K$10000,MATCH($A457&amp;L$1,JupData!$A$2:$A$10000&amp;JupData!$J$2:$J$10000,0),11))</f>
        <v/>
      </c>
      <c r="M457" t="str">
        <f t="array" ref="M457">IF($A457="","",INDEX(JupData!$A$2:$K$10000,MATCH($A457&amp;M$1,JupData!$A$2:$A$10000&amp;JupData!$J$2:$J$10000,0),11))</f>
        <v/>
      </c>
      <c r="N457" t="str">
        <f t="array" ref="N457">IF($A457="","",INDEX(JupData!$A$2:$K$10000,MATCH($A457&amp;N$1,JupData!$A$2:$A$10000&amp;JupData!$J$2:$J$10000,0),11))</f>
        <v/>
      </c>
      <c r="O457" t="str">
        <f t="array" ref="O457">IF($A457="","",INDEX(JupData!$A$2:$K$10000,MATCH($A457&amp;O$1,JupData!$A$2:$A$10000&amp;JupData!$J$2:$J$10000,0),11))</f>
        <v/>
      </c>
      <c r="P457" t="str">
        <f t="array" ref="P457">IF($A457="","",INDEX(JupData!$A$2:$K$10000,MATCH($A457&amp;P$1,JupData!$A$2:$A$10000&amp;JupData!$J$2:$J$10000,0),11))</f>
        <v/>
      </c>
      <c r="Q457" t="str">
        <f t="array" ref="Q457">IF($A457="","",INDEX(JupData!$A$2:$K$10000,MATCH($A457&amp;Q$1,JupData!$A$2:$A$10000&amp;JupData!$J$2:$J$10000,0),11))</f>
        <v/>
      </c>
      <c r="R457" t="str">
        <f t="array" ref="R457">IF($A457="","",INDEX(JupData!$A$2:$K$10000,MATCH($A457&amp;R$1,JupData!$A$2:$A$10000&amp;JupData!$J$2:$J$10000,0),11))</f>
        <v/>
      </c>
      <c r="S457" t="str">
        <f t="array" ref="S457">IF($A457="","",INDEX(JupData!$A$2:$K$10000,MATCH($A457&amp;S$1,JupData!$A$2:$A$10000&amp;JupData!$J$2:$J$10000,0),11))</f>
        <v/>
      </c>
      <c r="T457" t="str">
        <f t="array" ref="T457">IF($A457="","",INDEX(JupData!$A$2:$K$10000,MATCH($A457&amp;T$1,JupData!$A$2:$A$10000&amp;JupData!$J$2:$J$10000,0),11))</f>
        <v/>
      </c>
      <c r="U457" t="str">
        <f t="array" ref="U457">IF($A457="","",INDEX(JupData!$A$2:$K$10000,MATCH($A457&amp;U$1,JupData!$A$2:$A$10000&amp;JupData!$J$2:$J$10000,0),11))</f>
        <v/>
      </c>
      <c r="V457" t="str">
        <f t="array" ref="V457">IF($A457="","",INDEX(JupData!$A$2:$K$10000,MATCH($A457&amp;V$1,JupData!$A$2:$A$10000&amp;JupData!$J$2:$J$10000,0),11))</f>
        <v/>
      </c>
      <c r="W457" t="str">
        <f t="array" ref="W457">IF($A457="","",INDEX(JupData!$A$2:$K$10000,MATCH($A457&amp;W$1,JupData!$A$2:$A$10000&amp;JupData!$J$2:$J$10000,0),11))</f>
        <v/>
      </c>
      <c r="X457" t="str">
        <f t="array" ref="X457">IF($A457="","",INDEX(JupData!$A$2:$K$10000,MATCH($A457&amp;X$1,JupData!$A$2:$A$10000&amp;JupData!$J$2:$J$10000,0),11))</f>
        <v/>
      </c>
      <c r="Y457" t="str">
        <f t="array" ref="Y457">IF($A457="","",INDEX(JupData!$A$2:$K$10000,MATCH($A457&amp;Y$1,JupData!$A$2:$A$10000&amp;JupData!$J$2:$J$10000,0),11))</f>
        <v/>
      </c>
      <c r="Z457" t="str">
        <f t="array" ref="Z457">IF($A457="","",INDEX(JupData!$A$2:$K$10000,MATCH($A457&amp;Z$1,JupData!$A$2:$A$10000&amp;JupData!$J$2:$J$10000,0),11))</f>
        <v/>
      </c>
      <c r="AA457" t="str">
        <f t="array" ref="AA457">IF($A457="","",INDEX(JupData!$A$2:$K$10000,MATCH($A457&amp;AA$1,JupData!$A$2:$A$10000&amp;JupData!$J$2:$J$10000,0),11))</f>
        <v/>
      </c>
      <c r="AB457" t="str">
        <f t="array" ref="AB457">IF($A457="","",INDEX(JupData!$A$2:$K$10000,MATCH($A457&amp;AB$1,JupData!$A$2:$A$10000&amp;JupData!$J$2:$J$10000,0),11))</f>
        <v/>
      </c>
      <c r="AC457" s="10" t="str">
        <f t="shared" si="77"/>
        <v/>
      </c>
      <c r="AD457" s="10" t="str">
        <f t="shared" si="78"/>
        <v/>
      </c>
      <c r="AE457" s="9" t="str">
        <f t="shared" si="79"/>
        <v/>
      </c>
      <c r="AF457" s="10" t="str">
        <f t="shared" si="80"/>
        <v/>
      </c>
      <c r="AG457" s="10" t="str">
        <f t="shared" si="81"/>
        <v/>
      </c>
      <c r="AH457" s="10" t="str">
        <f t="shared" si="82"/>
        <v/>
      </c>
      <c r="AI457" s="10" t="str">
        <f t="shared" si="83"/>
        <v/>
      </c>
      <c r="AJ457" s="10" t="str">
        <f t="shared" si="84"/>
        <v/>
      </c>
      <c r="AK457" s="10" t="str">
        <f t="shared" si="85"/>
        <v/>
      </c>
      <c r="AL457" s="14" t="str">
        <f t="shared" si="86"/>
        <v/>
      </c>
    </row>
    <row r="458" spans="1:38" x14ac:dyDescent="0.2">
      <c r="A458"/>
      <c r="B458" t="str">
        <f>IF($A458="","",VLOOKUP($A458,JupData!$A$2:$I$10000,4,FALSE))</f>
        <v/>
      </c>
      <c r="C458" s="7" t="str">
        <f>IF($A458="",IF(N(D458),0,""),VLOOKUP($A458,JupData!$A$2:$I$10000,7,FALSE))</f>
        <v/>
      </c>
      <c r="D458" t="str">
        <f t="shared" si="87"/>
        <v/>
      </c>
      <c r="E458" t="str">
        <f t="array" ref="E458">IF($A458="","",INDEX(JupData!$A$2:$K$10000,MATCH($A458&amp;E$1,JupData!$A$2:$A$10000&amp;JupData!$J$2:$J$10000,0),11))</f>
        <v/>
      </c>
      <c r="F458" t="str">
        <f t="array" ref="F458">IF($A458="","",INDEX(JupData!$A$2:$K$10000,MATCH($A458&amp;F$1,JupData!$A$2:$A$10000&amp;JupData!$J$2:$J$10000,0),11))</f>
        <v/>
      </c>
      <c r="G458" t="str">
        <f t="array" ref="G458">IF($A458="","",INDEX(JupData!$A$2:$K$10000,MATCH($A458&amp;G$1,JupData!$A$2:$A$10000&amp;JupData!$J$2:$J$10000,0),11))</f>
        <v/>
      </c>
      <c r="H458" t="str">
        <f t="array" ref="H458">IF($A458="","",INDEX(JupData!$A$2:$K$10000,MATCH($A458&amp;H$1,JupData!$A$2:$A$10000&amp;JupData!$J$2:$J$10000,0),11))</f>
        <v/>
      </c>
      <c r="I458" t="str">
        <f t="array" ref="I458">IF($A458="","",INDEX(JupData!$A$2:$K$10000,MATCH($A458&amp;I$1,JupData!$A$2:$A$10000&amp;JupData!$J$2:$J$10000,0),11))</f>
        <v/>
      </c>
      <c r="J458" t="str">
        <f t="array" ref="J458">IF($A458="","",INDEX(JupData!$A$2:$K$10000,MATCH($A458&amp;J$1,JupData!$A$2:$A$10000&amp;JupData!$J$2:$J$10000,0),11))</f>
        <v/>
      </c>
      <c r="K458" t="str">
        <f t="array" ref="K458">IF($A458="","",INDEX(JupData!$A$2:$K$10000,MATCH($A458&amp;K$1,JupData!$A$2:$A$10000&amp;JupData!$J$2:$J$10000,0),11))</f>
        <v/>
      </c>
      <c r="L458" t="str">
        <f t="array" ref="L458">IF($A458="","",INDEX(JupData!$A$2:$K$10000,MATCH($A458&amp;L$1,JupData!$A$2:$A$10000&amp;JupData!$J$2:$J$10000,0),11))</f>
        <v/>
      </c>
      <c r="M458" t="str">
        <f t="array" ref="M458">IF($A458="","",INDEX(JupData!$A$2:$K$10000,MATCH($A458&amp;M$1,JupData!$A$2:$A$10000&amp;JupData!$J$2:$J$10000,0),11))</f>
        <v/>
      </c>
      <c r="N458" t="str">
        <f t="array" ref="N458">IF($A458="","",INDEX(JupData!$A$2:$K$10000,MATCH($A458&amp;N$1,JupData!$A$2:$A$10000&amp;JupData!$J$2:$J$10000,0),11))</f>
        <v/>
      </c>
      <c r="O458" t="str">
        <f t="array" ref="O458">IF($A458="","",INDEX(JupData!$A$2:$K$10000,MATCH($A458&amp;O$1,JupData!$A$2:$A$10000&amp;JupData!$J$2:$J$10000,0),11))</f>
        <v/>
      </c>
      <c r="P458" t="str">
        <f t="array" ref="P458">IF($A458="","",INDEX(JupData!$A$2:$K$10000,MATCH($A458&amp;P$1,JupData!$A$2:$A$10000&amp;JupData!$J$2:$J$10000,0),11))</f>
        <v/>
      </c>
      <c r="Q458" t="str">
        <f t="array" ref="Q458">IF($A458="","",INDEX(JupData!$A$2:$K$10000,MATCH($A458&amp;Q$1,JupData!$A$2:$A$10000&amp;JupData!$J$2:$J$10000,0),11))</f>
        <v/>
      </c>
      <c r="R458" t="str">
        <f t="array" ref="R458">IF($A458="","",INDEX(JupData!$A$2:$K$10000,MATCH($A458&amp;R$1,JupData!$A$2:$A$10000&amp;JupData!$J$2:$J$10000,0),11))</f>
        <v/>
      </c>
      <c r="S458" t="str">
        <f t="array" ref="S458">IF($A458="","",INDEX(JupData!$A$2:$K$10000,MATCH($A458&amp;S$1,JupData!$A$2:$A$10000&amp;JupData!$J$2:$J$10000,0),11))</f>
        <v/>
      </c>
      <c r="T458" t="str">
        <f t="array" ref="T458">IF($A458="","",INDEX(JupData!$A$2:$K$10000,MATCH($A458&amp;T$1,JupData!$A$2:$A$10000&amp;JupData!$J$2:$J$10000,0),11))</f>
        <v/>
      </c>
      <c r="U458" t="str">
        <f t="array" ref="U458">IF($A458="","",INDEX(JupData!$A$2:$K$10000,MATCH($A458&amp;U$1,JupData!$A$2:$A$10000&amp;JupData!$J$2:$J$10000,0),11))</f>
        <v/>
      </c>
      <c r="V458" t="str">
        <f t="array" ref="V458">IF($A458="","",INDEX(JupData!$A$2:$K$10000,MATCH($A458&amp;V$1,JupData!$A$2:$A$10000&amp;JupData!$J$2:$J$10000,0),11))</f>
        <v/>
      </c>
      <c r="W458" t="str">
        <f t="array" ref="W458">IF($A458="","",INDEX(JupData!$A$2:$K$10000,MATCH($A458&amp;W$1,JupData!$A$2:$A$10000&amp;JupData!$J$2:$J$10000,0),11))</f>
        <v/>
      </c>
      <c r="X458" t="str">
        <f t="array" ref="X458">IF($A458="","",INDEX(JupData!$A$2:$K$10000,MATCH($A458&amp;X$1,JupData!$A$2:$A$10000&amp;JupData!$J$2:$J$10000,0),11))</f>
        <v/>
      </c>
      <c r="Y458" t="str">
        <f t="array" ref="Y458">IF($A458="","",INDEX(JupData!$A$2:$K$10000,MATCH($A458&amp;Y$1,JupData!$A$2:$A$10000&amp;JupData!$J$2:$J$10000,0),11))</f>
        <v/>
      </c>
      <c r="Z458" t="str">
        <f t="array" ref="Z458">IF($A458="","",INDEX(JupData!$A$2:$K$10000,MATCH($A458&amp;Z$1,JupData!$A$2:$A$10000&amp;JupData!$J$2:$J$10000,0),11))</f>
        <v/>
      </c>
      <c r="AA458" t="str">
        <f t="array" ref="AA458">IF($A458="","",INDEX(JupData!$A$2:$K$10000,MATCH($A458&amp;AA$1,JupData!$A$2:$A$10000&amp;JupData!$J$2:$J$10000,0),11))</f>
        <v/>
      </c>
      <c r="AB458" t="str">
        <f t="array" ref="AB458">IF($A458="","",INDEX(JupData!$A$2:$K$10000,MATCH($A458&amp;AB$1,JupData!$A$2:$A$10000&amp;JupData!$J$2:$J$10000,0),11))</f>
        <v/>
      </c>
      <c r="AC458" s="10" t="str">
        <f t="shared" si="77"/>
        <v/>
      </c>
      <c r="AD458" s="10" t="str">
        <f t="shared" si="78"/>
        <v/>
      </c>
      <c r="AE458" s="9" t="str">
        <f t="shared" si="79"/>
        <v/>
      </c>
      <c r="AF458" s="10" t="str">
        <f t="shared" si="80"/>
        <v/>
      </c>
      <c r="AG458" s="10" t="str">
        <f t="shared" si="81"/>
        <v/>
      </c>
      <c r="AH458" s="10" t="str">
        <f t="shared" si="82"/>
        <v/>
      </c>
      <c r="AI458" s="10" t="str">
        <f t="shared" si="83"/>
        <v/>
      </c>
      <c r="AJ458" s="10" t="str">
        <f t="shared" si="84"/>
        <v/>
      </c>
      <c r="AK458" s="10" t="str">
        <f t="shared" si="85"/>
        <v/>
      </c>
      <c r="AL458" s="14" t="str">
        <f t="shared" si="86"/>
        <v/>
      </c>
    </row>
    <row r="459" spans="1:38" x14ac:dyDescent="0.2">
      <c r="A459"/>
      <c r="B459" t="str">
        <f>IF($A459="","",VLOOKUP($A459,JupData!$A$2:$I$10000,4,FALSE))</f>
        <v/>
      </c>
      <c r="C459" s="7" t="str">
        <f>IF($A459="",IF(N(D459),0,""),VLOOKUP($A459,JupData!$A$2:$I$10000,7,FALSE))</f>
        <v/>
      </c>
      <c r="D459" t="str">
        <f t="shared" si="87"/>
        <v/>
      </c>
      <c r="E459" t="str">
        <f t="array" ref="E459">IF($A459="","",INDEX(JupData!$A$2:$K$10000,MATCH($A459&amp;E$1,JupData!$A$2:$A$10000&amp;JupData!$J$2:$J$10000,0),11))</f>
        <v/>
      </c>
      <c r="F459" t="str">
        <f t="array" ref="F459">IF($A459="","",INDEX(JupData!$A$2:$K$10000,MATCH($A459&amp;F$1,JupData!$A$2:$A$10000&amp;JupData!$J$2:$J$10000,0),11))</f>
        <v/>
      </c>
      <c r="G459" t="str">
        <f t="array" ref="G459">IF($A459="","",INDEX(JupData!$A$2:$K$10000,MATCH($A459&amp;G$1,JupData!$A$2:$A$10000&amp;JupData!$J$2:$J$10000,0),11))</f>
        <v/>
      </c>
      <c r="H459" t="str">
        <f t="array" ref="H459">IF($A459="","",INDEX(JupData!$A$2:$K$10000,MATCH($A459&amp;H$1,JupData!$A$2:$A$10000&amp;JupData!$J$2:$J$10000,0),11))</f>
        <v/>
      </c>
      <c r="I459" t="str">
        <f t="array" ref="I459">IF($A459="","",INDEX(JupData!$A$2:$K$10000,MATCH($A459&amp;I$1,JupData!$A$2:$A$10000&amp;JupData!$J$2:$J$10000,0),11))</f>
        <v/>
      </c>
      <c r="J459" t="str">
        <f t="array" ref="J459">IF($A459="","",INDEX(JupData!$A$2:$K$10000,MATCH($A459&amp;J$1,JupData!$A$2:$A$10000&amp;JupData!$J$2:$J$10000,0),11))</f>
        <v/>
      </c>
      <c r="K459" t="str">
        <f t="array" ref="K459">IF($A459="","",INDEX(JupData!$A$2:$K$10000,MATCH($A459&amp;K$1,JupData!$A$2:$A$10000&amp;JupData!$J$2:$J$10000,0),11))</f>
        <v/>
      </c>
      <c r="L459" t="str">
        <f t="array" ref="L459">IF($A459="","",INDEX(JupData!$A$2:$K$10000,MATCH($A459&amp;L$1,JupData!$A$2:$A$10000&amp;JupData!$J$2:$J$10000,0),11))</f>
        <v/>
      </c>
      <c r="M459" t="str">
        <f t="array" ref="M459">IF($A459="","",INDEX(JupData!$A$2:$K$10000,MATCH($A459&amp;M$1,JupData!$A$2:$A$10000&amp;JupData!$J$2:$J$10000,0),11))</f>
        <v/>
      </c>
      <c r="N459" t="str">
        <f t="array" ref="N459">IF($A459="","",INDEX(JupData!$A$2:$K$10000,MATCH($A459&amp;N$1,JupData!$A$2:$A$10000&amp;JupData!$J$2:$J$10000,0),11))</f>
        <v/>
      </c>
      <c r="O459" t="str">
        <f t="array" ref="O459">IF($A459="","",INDEX(JupData!$A$2:$K$10000,MATCH($A459&amp;O$1,JupData!$A$2:$A$10000&amp;JupData!$J$2:$J$10000,0),11))</f>
        <v/>
      </c>
      <c r="P459" t="str">
        <f t="array" ref="P459">IF($A459="","",INDEX(JupData!$A$2:$K$10000,MATCH($A459&amp;P$1,JupData!$A$2:$A$10000&amp;JupData!$J$2:$J$10000,0),11))</f>
        <v/>
      </c>
      <c r="Q459" t="str">
        <f t="array" ref="Q459">IF($A459="","",INDEX(JupData!$A$2:$K$10000,MATCH($A459&amp;Q$1,JupData!$A$2:$A$10000&amp;JupData!$J$2:$J$10000,0),11))</f>
        <v/>
      </c>
      <c r="R459" t="str">
        <f t="array" ref="R459">IF($A459="","",INDEX(JupData!$A$2:$K$10000,MATCH($A459&amp;R$1,JupData!$A$2:$A$10000&amp;JupData!$J$2:$J$10000,0),11))</f>
        <v/>
      </c>
      <c r="S459" t="str">
        <f t="array" ref="S459">IF($A459="","",INDEX(JupData!$A$2:$K$10000,MATCH($A459&amp;S$1,JupData!$A$2:$A$10000&amp;JupData!$J$2:$J$10000,0),11))</f>
        <v/>
      </c>
      <c r="T459" t="str">
        <f t="array" ref="T459">IF($A459="","",INDEX(JupData!$A$2:$K$10000,MATCH($A459&amp;T$1,JupData!$A$2:$A$10000&amp;JupData!$J$2:$J$10000,0),11))</f>
        <v/>
      </c>
      <c r="U459" t="str">
        <f t="array" ref="U459">IF($A459="","",INDEX(JupData!$A$2:$K$10000,MATCH($A459&amp;U$1,JupData!$A$2:$A$10000&amp;JupData!$J$2:$J$10000,0),11))</f>
        <v/>
      </c>
      <c r="V459" t="str">
        <f t="array" ref="V459">IF($A459="","",INDEX(JupData!$A$2:$K$10000,MATCH($A459&amp;V$1,JupData!$A$2:$A$10000&amp;JupData!$J$2:$J$10000,0),11))</f>
        <v/>
      </c>
      <c r="W459" t="str">
        <f t="array" ref="W459">IF($A459="","",INDEX(JupData!$A$2:$K$10000,MATCH($A459&amp;W$1,JupData!$A$2:$A$10000&amp;JupData!$J$2:$J$10000,0),11))</f>
        <v/>
      </c>
      <c r="X459" t="str">
        <f t="array" ref="X459">IF($A459="","",INDEX(JupData!$A$2:$K$10000,MATCH($A459&amp;X$1,JupData!$A$2:$A$10000&amp;JupData!$J$2:$J$10000,0),11))</f>
        <v/>
      </c>
      <c r="Y459" t="str">
        <f t="array" ref="Y459">IF($A459="","",INDEX(JupData!$A$2:$K$10000,MATCH($A459&amp;Y$1,JupData!$A$2:$A$10000&amp;JupData!$J$2:$J$10000,0),11))</f>
        <v/>
      </c>
      <c r="Z459" t="str">
        <f t="array" ref="Z459">IF($A459="","",INDEX(JupData!$A$2:$K$10000,MATCH($A459&amp;Z$1,JupData!$A$2:$A$10000&amp;JupData!$J$2:$J$10000,0),11))</f>
        <v/>
      </c>
      <c r="AA459" t="str">
        <f t="array" ref="AA459">IF($A459="","",INDEX(JupData!$A$2:$K$10000,MATCH($A459&amp;AA$1,JupData!$A$2:$A$10000&amp;JupData!$J$2:$J$10000,0),11))</f>
        <v/>
      </c>
      <c r="AB459" t="str">
        <f t="array" ref="AB459">IF($A459="","",INDEX(JupData!$A$2:$K$10000,MATCH($A459&amp;AB$1,JupData!$A$2:$A$10000&amp;JupData!$J$2:$J$10000,0),11))</f>
        <v/>
      </c>
      <c r="AC459" s="10" t="str">
        <f t="shared" si="77"/>
        <v/>
      </c>
      <c r="AD459" s="10" t="str">
        <f t="shared" si="78"/>
        <v/>
      </c>
      <c r="AE459" s="9" t="str">
        <f t="shared" si="79"/>
        <v/>
      </c>
      <c r="AF459" s="10" t="str">
        <f t="shared" si="80"/>
        <v/>
      </c>
      <c r="AG459" s="10" t="str">
        <f t="shared" si="81"/>
        <v/>
      </c>
      <c r="AH459" s="10" t="str">
        <f t="shared" si="82"/>
        <v/>
      </c>
      <c r="AI459" s="10" t="str">
        <f t="shared" si="83"/>
        <v/>
      </c>
      <c r="AJ459" s="10" t="str">
        <f t="shared" si="84"/>
        <v/>
      </c>
      <c r="AK459" s="10" t="str">
        <f t="shared" si="85"/>
        <v/>
      </c>
      <c r="AL459" s="14" t="str">
        <f t="shared" si="86"/>
        <v/>
      </c>
    </row>
    <row r="460" spans="1:38" x14ac:dyDescent="0.2">
      <c r="A460"/>
      <c r="B460" t="str">
        <f>IF($A460="","",VLOOKUP($A460,JupData!$A$2:$I$10000,4,FALSE))</f>
        <v/>
      </c>
      <c r="C460" s="7" t="str">
        <f>IF($A460="",IF(N(D460),0,""),VLOOKUP($A460,JupData!$A$2:$I$10000,7,FALSE))</f>
        <v/>
      </c>
      <c r="D460" t="str">
        <f t="shared" si="87"/>
        <v/>
      </c>
      <c r="E460" t="str">
        <f t="array" ref="E460">IF($A460="","",INDEX(JupData!$A$2:$K$10000,MATCH($A460&amp;E$1,JupData!$A$2:$A$10000&amp;JupData!$J$2:$J$10000,0),11))</f>
        <v/>
      </c>
      <c r="F460" t="str">
        <f t="array" ref="F460">IF($A460="","",INDEX(JupData!$A$2:$K$10000,MATCH($A460&amp;F$1,JupData!$A$2:$A$10000&amp;JupData!$J$2:$J$10000,0),11))</f>
        <v/>
      </c>
      <c r="G460" t="str">
        <f t="array" ref="G460">IF($A460="","",INDEX(JupData!$A$2:$K$10000,MATCH($A460&amp;G$1,JupData!$A$2:$A$10000&amp;JupData!$J$2:$J$10000,0),11))</f>
        <v/>
      </c>
      <c r="H460" t="str">
        <f t="array" ref="H460">IF($A460="","",INDEX(JupData!$A$2:$K$10000,MATCH($A460&amp;H$1,JupData!$A$2:$A$10000&amp;JupData!$J$2:$J$10000,0),11))</f>
        <v/>
      </c>
      <c r="I460" t="str">
        <f t="array" ref="I460">IF($A460="","",INDEX(JupData!$A$2:$K$10000,MATCH($A460&amp;I$1,JupData!$A$2:$A$10000&amp;JupData!$J$2:$J$10000,0),11))</f>
        <v/>
      </c>
      <c r="J460" t="str">
        <f t="array" ref="J460">IF($A460="","",INDEX(JupData!$A$2:$K$10000,MATCH($A460&amp;J$1,JupData!$A$2:$A$10000&amp;JupData!$J$2:$J$10000,0),11))</f>
        <v/>
      </c>
      <c r="K460" t="str">
        <f t="array" ref="K460">IF($A460="","",INDEX(JupData!$A$2:$K$10000,MATCH($A460&amp;K$1,JupData!$A$2:$A$10000&amp;JupData!$J$2:$J$10000,0),11))</f>
        <v/>
      </c>
      <c r="L460" t="str">
        <f t="array" ref="L460">IF($A460="","",INDEX(JupData!$A$2:$K$10000,MATCH($A460&amp;L$1,JupData!$A$2:$A$10000&amp;JupData!$J$2:$J$10000,0),11))</f>
        <v/>
      </c>
      <c r="M460" t="str">
        <f t="array" ref="M460">IF($A460="","",INDEX(JupData!$A$2:$K$10000,MATCH($A460&amp;M$1,JupData!$A$2:$A$10000&amp;JupData!$J$2:$J$10000,0),11))</f>
        <v/>
      </c>
      <c r="N460" t="str">
        <f t="array" ref="N460">IF($A460="","",INDEX(JupData!$A$2:$K$10000,MATCH($A460&amp;N$1,JupData!$A$2:$A$10000&amp;JupData!$J$2:$J$10000,0),11))</f>
        <v/>
      </c>
      <c r="O460" t="str">
        <f t="array" ref="O460">IF($A460="","",INDEX(JupData!$A$2:$K$10000,MATCH($A460&amp;O$1,JupData!$A$2:$A$10000&amp;JupData!$J$2:$J$10000,0),11))</f>
        <v/>
      </c>
      <c r="P460" t="str">
        <f t="array" ref="P460">IF($A460="","",INDEX(JupData!$A$2:$K$10000,MATCH($A460&amp;P$1,JupData!$A$2:$A$10000&amp;JupData!$J$2:$J$10000,0),11))</f>
        <v/>
      </c>
      <c r="Q460" t="str">
        <f t="array" ref="Q460">IF($A460="","",INDEX(JupData!$A$2:$K$10000,MATCH($A460&amp;Q$1,JupData!$A$2:$A$10000&amp;JupData!$J$2:$J$10000,0),11))</f>
        <v/>
      </c>
      <c r="R460" t="str">
        <f t="array" ref="R460">IF($A460="","",INDEX(JupData!$A$2:$K$10000,MATCH($A460&amp;R$1,JupData!$A$2:$A$10000&amp;JupData!$J$2:$J$10000,0),11))</f>
        <v/>
      </c>
      <c r="S460" t="str">
        <f t="array" ref="S460">IF($A460="","",INDEX(JupData!$A$2:$K$10000,MATCH($A460&amp;S$1,JupData!$A$2:$A$10000&amp;JupData!$J$2:$J$10000,0),11))</f>
        <v/>
      </c>
      <c r="T460" t="str">
        <f t="array" ref="T460">IF($A460="","",INDEX(JupData!$A$2:$K$10000,MATCH($A460&amp;T$1,JupData!$A$2:$A$10000&amp;JupData!$J$2:$J$10000,0),11))</f>
        <v/>
      </c>
      <c r="U460" t="str">
        <f t="array" ref="U460">IF($A460="","",INDEX(JupData!$A$2:$K$10000,MATCH($A460&amp;U$1,JupData!$A$2:$A$10000&amp;JupData!$J$2:$J$10000,0),11))</f>
        <v/>
      </c>
      <c r="V460" t="str">
        <f t="array" ref="V460">IF($A460="","",INDEX(JupData!$A$2:$K$10000,MATCH($A460&amp;V$1,JupData!$A$2:$A$10000&amp;JupData!$J$2:$J$10000,0),11))</f>
        <v/>
      </c>
      <c r="W460" t="str">
        <f t="array" ref="W460">IF($A460="","",INDEX(JupData!$A$2:$K$10000,MATCH($A460&amp;W$1,JupData!$A$2:$A$10000&amp;JupData!$J$2:$J$10000,0),11))</f>
        <v/>
      </c>
      <c r="X460" t="str">
        <f t="array" ref="X460">IF($A460="","",INDEX(JupData!$A$2:$K$10000,MATCH($A460&amp;X$1,JupData!$A$2:$A$10000&amp;JupData!$J$2:$J$10000,0),11))</f>
        <v/>
      </c>
      <c r="Y460" t="str">
        <f t="array" ref="Y460">IF($A460="","",INDEX(JupData!$A$2:$K$10000,MATCH($A460&amp;Y$1,JupData!$A$2:$A$10000&amp;JupData!$J$2:$J$10000,0),11))</f>
        <v/>
      </c>
      <c r="Z460" t="str">
        <f t="array" ref="Z460">IF($A460="","",INDEX(JupData!$A$2:$K$10000,MATCH($A460&amp;Z$1,JupData!$A$2:$A$10000&amp;JupData!$J$2:$J$10000,0),11))</f>
        <v/>
      </c>
      <c r="AA460" t="str">
        <f t="array" ref="AA460">IF($A460="","",INDEX(JupData!$A$2:$K$10000,MATCH($A460&amp;AA$1,JupData!$A$2:$A$10000&amp;JupData!$J$2:$J$10000,0),11))</f>
        <v/>
      </c>
      <c r="AB460" t="str">
        <f t="array" ref="AB460">IF($A460="","",INDEX(JupData!$A$2:$K$10000,MATCH($A460&amp;AB$1,JupData!$A$2:$A$10000&amp;JupData!$J$2:$J$10000,0),11))</f>
        <v/>
      </c>
      <c r="AC460" s="10" t="str">
        <f t="shared" si="77"/>
        <v/>
      </c>
      <c r="AD460" s="10" t="str">
        <f t="shared" si="78"/>
        <v/>
      </c>
      <c r="AE460" s="9" t="str">
        <f t="shared" si="79"/>
        <v/>
      </c>
      <c r="AF460" s="10" t="str">
        <f t="shared" si="80"/>
        <v/>
      </c>
      <c r="AG460" s="10" t="str">
        <f t="shared" si="81"/>
        <v/>
      </c>
      <c r="AH460" s="10" t="str">
        <f t="shared" si="82"/>
        <v/>
      </c>
      <c r="AI460" s="10" t="str">
        <f t="shared" si="83"/>
        <v/>
      </c>
      <c r="AJ460" s="10" t="str">
        <f t="shared" si="84"/>
        <v/>
      </c>
      <c r="AK460" s="10" t="str">
        <f t="shared" si="85"/>
        <v/>
      </c>
      <c r="AL460" s="14" t="str">
        <f t="shared" si="86"/>
        <v/>
      </c>
    </row>
    <row r="461" spans="1:38" x14ac:dyDescent="0.2">
      <c r="A461"/>
      <c r="B461" t="str">
        <f>IF($A461="","",VLOOKUP($A461,JupData!$A$2:$I$10000,4,FALSE))</f>
        <v/>
      </c>
      <c r="C461" s="7" t="str">
        <f>IF($A461="",IF(N(D461),0,""),VLOOKUP($A461,JupData!$A$2:$I$10000,7,FALSE))</f>
        <v/>
      </c>
      <c r="D461" t="str">
        <f t="shared" si="87"/>
        <v/>
      </c>
      <c r="E461" t="str">
        <f t="array" ref="E461">IF($A461="","",INDEX(JupData!$A$2:$K$10000,MATCH($A461&amp;E$1,JupData!$A$2:$A$10000&amp;JupData!$J$2:$J$10000,0),11))</f>
        <v/>
      </c>
      <c r="F461" t="str">
        <f t="array" ref="F461">IF($A461="","",INDEX(JupData!$A$2:$K$10000,MATCH($A461&amp;F$1,JupData!$A$2:$A$10000&amp;JupData!$J$2:$J$10000,0),11))</f>
        <v/>
      </c>
      <c r="G461" t="str">
        <f t="array" ref="G461">IF($A461="","",INDEX(JupData!$A$2:$K$10000,MATCH($A461&amp;G$1,JupData!$A$2:$A$10000&amp;JupData!$J$2:$J$10000,0),11))</f>
        <v/>
      </c>
      <c r="H461" t="str">
        <f t="array" ref="H461">IF($A461="","",INDEX(JupData!$A$2:$K$10000,MATCH($A461&amp;H$1,JupData!$A$2:$A$10000&amp;JupData!$J$2:$J$10000,0),11))</f>
        <v/>
      </c>
      <c r="I461" t="str">
        <f t="array" ref="I461">IF($A461="","",INDEX(JupData!$A$2:$K$10000,MATCH($A461&amp;I$1,JupData!$A$2:$A$10000&amp;JupData!$J$2:$J$10000,0),11))</f>
        <v/>
      </c>
      <c r="J461" t="str">
        <f t="array" ref="J461">IF($A461="","",INDEX(JupData!$A$2:$K$10000,MATCH($A461&amp;J$1,JupData!$A$2:$A$10000&amp;JupData!$J$2:$J$10000,0),11))</f>
        <v/>
      </c>
      <c r="K461" t="str">
        <f t="array" ref="K461">IF($A461="","",INDEX(JupData!$A$2:$K$10000,MATCH($A461&amp;K$1,JupData!$A$2:$A$10000&amp;JupData!$J$2:$J$10000,0),11))</f>
        <v/>
      </c>
      <c r="L461" t="str">
        <f t="array" ref="L461">IF($A461="","",INDEX(JupData!$A$2:$K$10000,MATCH($A461&amp;L$1,JupData!$A$2:$A$10000&amp;JupData!$J$2:$J$10000,0),11))</f>
        <v/>
      </c>
      <c r="M461" t="str">
        <f t="array" ref="M461">IF($A461="","",INDEX(JupData!$A$2:$K$10000,MATCH($A461&amp;M$1,JupData!$A$2:$A$10000&amp;JupData!$J$2:$J$10000,0),11))</f>
        <v/>
      </c>
      <c r="N461" t="str">
        <f t="array" ref="N461">IF($A461="","",INDEX(JupData!$A$2:$K$10000,MATCH($A461&amp;N$1,JupData!$A$2:$A$10000&amp;JupData!$J$2:$J$10000,0),11))</f>
        <v/>
      </c>
      <c r="O461" t="str">
        <f t="array" ref="O461">IF($A461="","",INDEX(JupData!$A$2:$K$10000,MATCH($A461&amp;O$1,JupData!$A$2:$A$10000&amp;JupData!$J$2:$J$10000,0),11))</f>
        <v/>
      </c>
      <c r="P461" t="str">
        <f t="array" ref="P461">IF($A461="","",INDEX(JupData!$A$2:$K$10000,MATCH($A461&amp;P$1,JupData!$A$2:$A$10000&amp;JupData!$J$2:$J$10000,0),11))</f>
        <v/>
      </c>
      <c r="Q461" t="str">
        <f t="array" ref="Q461">IF($A461="","",INDEX(JupData!$A$2:$K$10000,MATCH($A461&amp;Q$1,JupData!$A$2:$A$10000&amp;JupData!$J$2:$J$10000,0),11))</f>
        <v/>
      </c>
      <c r="R461" t="str">
        <f t="array" ref="R461">IF($A461="","",INDEX(JupData!$A$2:$K$10000,MATCH($A461&amp;R$1,JupData!$A$2:$A$10000&amp;JupData!$J$2:$J$10000,0),11))</f>
        <v/>
      </c>
      <c r="S461" t="str">
        <f t="array" ref="S461">IF($A461="","",INDEX(JupData!$A$2:$K$10000,MATCH($A461&amp;S$1,JupData!$A$2:$A$10000&amp;JupData!$J$2:$J$10000,0),11))</f>
        <v/>
      </c>
      <c r="T461" t="str">
        <f t="array" ref="T461">IF($A461="","",INDEX(JupData!$A$2:$K$10000,MATCH($A461&amp;T$1,JupData!$A$2:$A$10000&amp;JupData!$J$2:$J$10000,0),11))</f>
        <v/>
      </c>
      <c r="U461" t="str">
        <f t="array" ref="U461">IF($A461="","",INDEX(JupData!$A$2:$K$10000,MATCH($A461&amp;U$1,JupData!$A$2:$A$10000&amp;JupData!$J$2:$J$10000,0),11))</f>
        <v/>
      </c>
      <c r="V461" t="str">
        <f t="array" ref="V461">IF($A461="","",INDEX(JupData!$A$2:$K$10000,MATCH($A461&amp;V$1,JupData!$A$2:$A$10000&amp;JupData!$J$2:$J$10000,0),11))</f>
        <v/>
      </c>
      <c r="W461" t="str">
        <f t="array" ref="W461">IF($A461="","",INDEX(JupData!$A$2:$K$10000,MATCH($A461&amp;W$1,JupData!$A$2:$A$10000&amp;JupData!$J$2:$J$10000,0),11))</f>
        <v/>
      </c>
      <c r="X461" t="str">
        <f t="array" ref="X461">IF($A461="","",INDEX(JupData!$A$2:$K$10000,MATCH($A461&amp;X$1,JupData!$A$2:$A$10000&amp;JupData!$J$2:$J$10000,0),11))</f>
        <v/>
      </c>
      <c r="Y461" t="str">
        <f t="array" ref="Y461">IF($A461="","",INDEX(JupData!$A$2:$K$10000,MATCH($A461&amp;Y$1,JupData!$A$2:$A$10000&amp;JupData!$J$2:$J$10000,0),11))</f>
        <v/>
      </c>
      <c r="Z461" t="str">
        <f t="array" ref="Z461">IF($A461="","",INDEX(JupData!$A$2:$K$10000,MATCH($A461&amp;Z$1,JupData!$A$2:$A$10000&amp;JupData!$J$2:$J$10000,0),11))</f>
        <v/>
      </c>
      <c r="AA461" t="str">
        <f t="array" ref="AA461">IF($A461="","",INDEX(JupData!$A$2:$K$10000,MATCH($A461&amp;AA$1,JupData!$A$2:$A$10000&amp;JupData!$J$2:$J$10000,0),11))</f>
        <v/>
      </c>
      <c r="AB461" t="str">
        <f t="array" ref="AB461">IF($A461="","",INDEX(JupData!$A$2:$K$10000,MATCH($A461&amp;AB$1,JupData!$A$2:$A$10000&amp;JupData!$J$2:$J$10000,0),11))</f>
        <v/>
      </c>
      <c r="AC461" s="10" t="str">
        <f t="shared" si="77"/>
        <v/>
      </c>
      <c r="AD461" s="10" t="str">
        <f t="shared" si="78"/>
        <v/>
      </c>
      <c r="AE461" s="9" t="str">
        <f t="shared" si="79"/>
        <v/>
      </c>
      <c r="AF461" s="10" t="str">
        <f t="shared" si="80"/>
        <v/>
      </c>
      <c r="AG461" s="10" t="str">
        <f t="shared" si="81"/>
        <v/>
      </c>
      <c r="AH461" s="10" t="str">
        <f t="shared" si="82"/>
        <v/>
      </c>
      <c r="AI461" s="10" t="str">
        <f t="shared" si="83"/>
        <v/>
      </c>
      <c r="AJ461" s="10" t="str">
        <f t="shared" si="84"/>
        <v/>
      </c>
      <c r="AK461" s="10" t="str">
        <f t="shared" si="85"/>
        <v/>
      </c>
      <c r="AL461" s="14" t="str">
        <f t="shared" si="86"/>
        <v/>
      </c>
    </row>
    <row r="462" spans="1:38" x14ac:dyDescent="0.2">
      <c r="A462"/>
      <c r="B462" t="str">
        <f>IF($A462="","",VLOOKUP($A462,JupData!$A$2:$I$10000,4,FALSE))</f>
        <v/>
      </c>
      <c r="C462" s="7" t="str">
        <f>IF($A462="",IF(N(D462),0,""),VLOOKUP($A462,JupData!$A$2:$I$10000,7,FALSE))</f>
        <v/>
      </c>
      <c r="D462" t="str">
        <f t="shared" si="87"/>
        <v/>
      </c>
      <c r="E462" t="str">
        <f t="array" ref="E462">IF($A462="","",INDEX(JupData!$A$2:$K$10000,MATCH($A462&amp;E$1,JupData!$A$2:$A$10000&amp;JupData!$J$2:$J$10000,0),11))</f>
        <v/>
      </c>
      <c r="F462" t="str">
        <f t="array" ref="F462">IF($A462="","",INDEX(JupData!$A$2:$K$10000,MATCH($A462&amp;F$1,JupData!$A$2:$A$10000&amp;JupData!$J$2:$J$10000,0),11))</f>
        <v/>
      </c>
      <c r="G462" t="str">
        <f t="array" ref="G462">IF($A462="","",INDEX(JupData!$A$2:$K$10000,MATCH($A462&amp;G$1,JupData!$A$2:$A$10000&amp;JupData!$J$2:$J$10000,0),11))</f>
        <v/>
      </c>
      <c r="H462" t="str">
        <f t="array" ref="H462">IF($A462="","",INDEX(JupData!$A$2:$K$10000,MATCH($A462&amp;H$1,JupData!$A$2:$A$10000&amp;JupData!$J$2:$J$10000,0),11))</f>
        <v/>
      </c>
      <c r="I462" t="str">
        <f t="array" ref="I462">IF($A462="","",INDEX(JupData!$A$2:$K$10000,MATCH($A462&amp;I$1,JupData!$A$2:$A$10000&amp;JupData!$J$2:$J$10000,0),11))</f>
        <v/>
      </c>
      <c r="J462" t="str">
        <f t="array" ref="J462">IF($A462="","",INDEX(JupData!$A$2:$K$10000,MATCH($A462&amp;J$1,JupData!$A$2:$A$10000&amp;JupData!$J$2:$J$10000,0),11))</f>
        <v/>
      </c>
      <c r="K462" t="str">
        <f t="array" ref="K462">IF($A462="","",INDEX(JupData!$A$2:$K$10000,MATCH($A462&amp;K$1,JupData!$A$2:$A$10000&amp;JupData!$J$2:$J$10000,0),11))</f>
        <v/>
      </c>
      <c r="L462" t="str">
        <f t="array" ref="L462">IF($A462="","",INDEX(JupData!$A$2:$K$10000,MATCH($A462&amp;L$1,JupData!$A$2:$A$10000&amp;JupData!$J$2:$J$10000,0),11))</f>
        <v/>
      </c>
      <c r="M462" t="str">
        <f t="array" ref="M462">IF($A462="","",INDEX(JupData!$A$2:$K$10000,MATCH($A462&amp;M$1,JupData!$A$2:$A$10000&amp;JupData!$J$2:$J$10000,0),11))</f>
        <v/>
      </c>
      <c r="N462" t="str">
        <f t="array" ref="N462">IF($A462="","",INDEX(JupData!$A$2:$K$10000,MATCH($A462&amp;N$1,JupData!$A$2:$A$10000&amp;JupData!$J$2:$J$10000,0),11))</f>
        <v/>
      </c>
      <c r="O462" t="str">
        <f t="array" ref="O462">IF($A462="","",INDEX(JupData!$A$2:$K$10000,MATCH($A462&amp;O$1,JupData!$A$2:$A$10000&amp;JupData!$J$2:$J$10000,0),11))</f>
        <v/>
      </c>
      <c r="P462" t="str">
        <f t="array" ref="P462">IF($A462="","",INDEX(JupData!$A$2:$K$10000,MATCH($A462&amp;P$1,JupData!$A$2:$A$10000&amp;JupData!$J$2:$J$10000,0),11))</f>
        <v/>
      </c>
      <c r="Q462" t="str">
        <f t="array" ref="Q462">IF($A462="","",INDEX(JupData!$A$2:$K$10000,MATCH($A462&amp;Q$1,JupData!$A$2:$A$10000&amp;JupData!$J$2:$J$10000,0),11))</f>
        <v/>
      </c>
      <c r="R462" t="str">
        <f t="array" ref="R462">IF($A462="","",INDEX(JupData!$A$2:$K$10000,MATCH($A462&amp;R$1,JupData!$A$2:$A$10000&amp;JupData!$J$2:$J$10000,0),11))</f>
        <v/>
      </c>
      <c r="S462" t="str">
        <f t="array" ref="S462">IF($A462="","",INDEX(JupData!$A$2:$K$10000,MATCH($A462&amp;S$1,JupData!$A$2:$A$10000&amp;JupData!$J$2:$J$10000,0),11))</f>
        <v/>
      </c>
      <c r="T462" t="str">
        <f t="array" ref="T462">IF($A462="","",INDEX(JupData!$A$2:$K$10000,MATCH($A462&amp;T$1,JupData!$A$2:$A$10000&amp;JupData!$J$2:$J$10000,0),11))</f>
        <v/>
      </c>
      <c r="U462" t="str">
        <f t="array" ref="U462">IF($A462="","",INDEX(JupData!$A$2:$K$10000,MATCH($A462&amp;U$1,JupData!$A$2:$A$10000&amp;JupData!$J$2:$J$10000,0),11))</f>
        <v/>
      </c>
      <c r="V462" t="str">
        <f t="array" ref="V462">IF($A462="","",INDEX(JupData!$A$2:$K$10000,MATCH($A462&amp;V$1,JupData!$A$2:$A$10000&amp;JupData!$J$2:$J$10000,0),11))</f>
        <v/>
      </c>
      <c r="W462" t="str">
        <f t="array" ref="W462">IF($A462="","",INDEX(JupData!$A$2:$K$10000,MATCH($A462&amp;W$1,JupData!$A$2:$A$10000&amp;JupData!$J$2:$J$10000,0),11))</f>
        <v/>
      </c>
      <c r="X462" t="str">
        <f t="array" ref="X462">IF($A462="","",INDEX(JupData!$A$2:$K$10000,MATCH($A462&amp;X$1,JupData!$A$2:$A$10000&amp;JupData!$J$2:$J$10000,0),11))</f>
        <v/>
      </c>
      <c r="Y462" t="str">
        <f t="array" ref="Y462">IF($A462="","",INDEX(JupData!$A$2:$K$10000,MATCH($A462&amp;Y$1,JupData!$A$2:$A$10000&amp;JupData!$J$2:$J$10000,0),11))</f>
        <v/>
      </c>
      <c r="Z462" t="str">
        <f t="array" ref="Z462">IF($A462="","",INDEX(JupData!$A$2:$K$10000,MATCH($A462&amp;Z$1,JupData!$A$2:$A$10000&amp;JupData!$J$2:$J$10000,0),11))</f>
        <v/>
      </c>
      <c r="AA462" t="str">
        <f t="array" ref="AA462">IF($A462="","",INDEX(JupData!$A$2:$K$10000,MATCH($A462&amp;AA$1,JupData!$A$2:$A$10000&amp;JupData!$J$2:$J$10000,0),11))</f>
        <v/>
      </c>
      <c r="AB462" t="str">
        <f t="array" ref="AB462">IF($A462="","",INDEX(JupData!$A$2:$K$10000,MATCH($A462&amp;AB$1,JupData!$A$2:$A$10000&amp;JupData!$J$2:$J$10000,0),11))</f>
        <v/>
      </c>
      <c r="AC462" s="10" t="str">
        <f t="shared" si="77"/>
        <v/>
      </c>
      <c r="AD462" s="10" t="str">
        <f t="shared" si="78"/>
        <v/>
      </c>
      <c r="AE462" s="9" t="str">
        <f t="shared" si="79"/>
        <v/>
      </c>
      <c r="AF462" s="10" t="str">
        <f t="shared" si="80"/>
        <v/>
      </c>
      <c r="AG462" s="10" t="str">
        <f t="shared" si="81"/>
        <v/>
      </c>
      <c r="AH462" s="10" t="str">
        <f t="shared" si="82"/>
        <v/>
      </c>
      <c r="AI462" s="10" t="str">
        <f t="shared" si="83"/>
        <v/>
      </c>
      <c r="AJ462" s="10" t="str">
        <f t="shared" si="84"/>
        <v/>
      </c>
      <c r="AK462" s="10" t="str">
        <f t="shared" si="85"/>
        <v/>
      </c>
      <c r="AL462" s="14" t="str">
        <f t="shared" si="86"/>
        <v/>
      </c>
    </row>
    <row r="463" spans="1:38" x14ac:dyDescent="0.2">
      <c r="A463"/>
      <c r="B463" t="str">
        <f>IF($A463="","",VLOOKUP($A463,JupData!$A$2:$I$10000,4,FALSE))</f>
        <v/>
      </c>
      <c r="C463" s="7" t="str">
        <f>IF($A463="",IF(N(D463),0,""),VLOOKUP($A463,JupData!$A$2:$I$10000,7,FALSE))</f>
        <v/>
      </c>
      <c r="D463" t="str">
        <f t="shared" si="87"/>
        <v/>
      </c>
      <c r="E463" t="str">
        <f t="array" ref="E463">IF($A463="","",INDEX(JupData!$A$2:$K$10000,MATCH($A463&amp;E$1,JupData!$A$2:$A$10000&amp;JupData!$J$2:$J$10000,0),11))</f>
        <v/>
      </c>
      <c r="F463" t="str">
        <f t="array" ref="F463">IF($A463="","",INDEX(JupData!$A$2:$K$10000,MATCH($A463&amp;F$1,JupData!$A$2:$A$10000&amp;JupData!$J$2:$J$10000,0),11))</f>
        <v/>
      </c>
      <c r="G463" t="str">
        <f t="array" ref="G463">IF($A463="","",INDEX(JupData!$A$2:$K$10000,MATCH($A463&amp;G$1,JupData!$A$2:$A$10000&amp;JupData!$J$2:$J$10000,0),11))</f>
        <v/>
      </c>
      <c r="H463" t="str">
        <f t="array" ref="H463">IF($A463="","",INDEX(JupData!$A$2:$K$10000,MATCH($A463&amp;H$1,JupData!$A$2:$A$10000&amp;JupData!$J$2:$J$10000,0),11))</f>
        <v/>
      </c>
      <c r="I463" t="str">
        <f t="array" ref="I463">IF($A463="","",INDEX(JupData!$A$2:$K$10000,MATCH($A463&amp;I$1,JupData!$A$2:$A$10000&amp;JupData!$J$2:$J$10000,0),11))</f>
        <v/>
      </c>
      <c r="J463" t="str">
        <f t="array" ref="J463">IF($A463="","",INDEX(JupData!$A$2:$K$10000,MATCH($A463&amp;J$1,JupData!$A$2:$A$10000&amp;JupData!$J$2:$J$10000,0),11))</f>
        <v/>
      </c>
      <c r="K463" t="str">
        <f t="array" ref="K463">IF($A463="","",INDEX(JupData!$A$2:$K$10000,MATCH($A463&amp;K$1,JupData!$A$2:$A$10000&amp;JupData!$J$2:$J$10000,0),11))</f>
        <v/>
      </c>
      <c r="L463" t="str">
        <f t="array" ref="L463">IF($A463="","",INDEX(JupData!$A$2:$K$10000,MATCH($A463&amp;L$1,JupData!$A$2:$A$10000&amp;JupData!$J$2:$J$10000,0),11))</f>
        <v/>
      </c>
      <c r="M463" t="str">
        <f t="array" ref="M463">IF($A463="","",INDEX(JupData!$A$2:$K$10000,MATCH($A463&amp;M$1,JupData!$A$2:$A$10000&amp;JupData!$J$2:$J$10000,0),11))</f>
        <v/>
      </c>
      <c r="N463" t="str">
        <f t="array" ref="N463">IF($A463="","",INDEX(JupData!$A$2:$K$10000,MATCH($A463&amp;N$1,JupData!$A$2:$A$10000&amp;JupData!$J$2:$J$10000,0),11))</f>
        <v/>
      </c>
      <c r="O463" t="str">
        <f t="array" ref="O463">IF($A463="","",INDEX(JupData!$A$2:$K$10000,MATCH($A463&amp;O$1,JupData!$A$2:$A$10000&amp;JupData!$J$2:$J$10000,0),11))</f>
        <v/>
      </c>
      <c r="P463" t="str">
        <f t="array" ref="P463">IF($A463="","",INDEX(JupData!$A$2:$K$10000,MATCH($A463&amp;P$1,JupData!$A$2:$A$10000&amp;JupData!$J$2:$J$10000,0),11))</f>
        <v/>
      </c>
      <c r="Q463" t="str">
        <f t="array" ref="Q463">IF($A463="","",INDEX(JupData!$A$2:$K$10000,MATCH($A463&amp;Q$1,JupData!$A$2:$A$10000&amp;JupData!$J$2:$J$10000,0),11))</f>
        <v/>
      </c>
      <c r="R463" t="str">
        <f t="array" ref="R463">IF($A463="","",INDEX(JupData!$A$2:$K$10000,MATCH($A463&amp;R$1,JupData!$A$2:$A$10000&amp;JupData!$J$2:$J$10000,0),11))</f>
        <v/>
      </c>
      <c r="S463" t="str">
        <f t="array" ref="S463">IF($A463="","",INDEX(JupData!$A$2:$K$10000,MATCH($A463&amp;S$1,JupData!$A$2:$A$10000&amp;JupData!$J$2:$J$10000,0),11))</f>
        <v/>
      </c>
      <c r="T463" t="str">
        <f t="array" ref="T463">IF($A463="","",INDEX(JupData!$A$2:$K$10000,MATCH($A463&amp;T$1,JupData!$A$2:$A$10000&amp;JupData!$J$2:$J$10000,0),11))</f>
        <v/>
      </c>
      <c r="U463" t="str">
        <f t="array" ref="U463">IF($A463="","",INDEX(JupData!$A$2:$K$10000,MATCH($A463&amp;U$1,JupData!$A$2:$A$10000&amp;JupData!$J$2:$J$10000,0),11))</f>
        <v/>
      </c>
      <c r="V463" t="str">
        <f t="array" ref="V463">IF($A463="","",INDEX(JupData!$A$2:$K$10000,MATCH($A463&amp;V$1,JupData!$A$2:$A$10000&amp;JupData!$J$2:$J$10000,0),11))</f>
        <v/>
      </c>
      <c r="W463" t="str">
        <f t="array" ref="W463">IF($A463="","",INDEX(JupData!$A$2:$K$10000,MATCH($A463&amp;W$1,JupData!$A$2:$A$10000&amp;JupData!$J$2:$J$10000,0),11))</f>
        <v/>
      </c>
      <c r="X463" t="str">
        <f t="array" ref="X463">IF($A463="","",INDEX(JupData!$A$2:$K$10000,MATCH($A463&amp;X$1,JupData!$A$2:$A$10000&amp;JupData!$J$2:$J$10000,0),11))</f>
        <v/>
      </c>
      <c r="Y463" t="str">
        <f t="array" ref="Y463">IF($A463="","",INDEX(JupData!$A$2:$K$10000,MATCH($A463&amp;Y$1,JupData!$A$2:$A$10000&amp;JupData!$J$2:$J$10000,0),11))</f>
        <v/>
      </c>
      <c r="Z463" t="str">
        <f t="array" ref="Z463">IF($A463="","",INDEX(JupData!$A$2:$K$10000,MATCH($A463&amp;Z$1,JupData!$A$2:$A$10000&amp;JupData!$J$2:$J$10000,0),11))</f>
        <v/>
      </c>
      <c r="AA463" t="str">
        <f t="array" ref="AA463">IF($A463="","",INDEX(JupData!$A$2:$K$10000,MATCH($A463&amp;AA$1,JupData!$A$2:$A$10000&amp;JupData!$J$2:$J$10000,0),11))</f>
        <v/>
      </c>
      <c r="AB463" t="str">
        <f t="array" ref="AB463">IF($A463="","",INDEX(JupData!$A$2:$K$10000,MATCH($A463&amp;AB$1,JupData!$A$2:$A$10000&amp;JupData!$J$2:$J$10000,0),11))</f>
        <v/>
      </c>
      <c r="AC463" s="10" t="str">
        <f t="shared" si="77"/>
        <v/>
      </c>
      <c r="AD463" s="10" t="str">
        <f t="shared" si="78"/>
        <v/>
      </c>
      <c r="AE463" s="9" t="str">
        <f t="shared" si="79"/>
        <v/>
      </c>
      <c r="AF463" s="10" t="str">
        <f t="shared" si="80"/>
        <v/>
      </c>
      <c r="AG463" s="10" t="str">
        <f t="shared" si="81"/>
        <v/>
      </c>
      <c r="AH463" s="10" t="str">
        <f t="shared" si="82"/>
        <v/>
      </c>
      <c r="AI463" s="10" t="str">
        <f t="shared" si="83"/>
        <v/>
      </c>
      <c r="AJ463" s="10" t="str">
        <f t="shared" si="84"/>
        <v/>
      </c>
      <c r="AK463" s="10" t="str">
        <f t="shared" si="85"/>
        <v/>
      </c>
      <c r="AL463" s="14" t="str">
        <f t="shared" si="86"/>
        <v/>
      </c>
    </row>
    <row r="464" spans="1:38" x14ac:dyDescent="0.2">
      <c r="A464"/>
      <c r="B464" t="str">
        <f>IF($A464="","",VLOOKUP($A464,JupData!$A$2:$I$10000,4,FALSE))</f>
        <v/>
      </c>
      <c r="C464" s="7" t="str">
        <f>IF($A464="",IF(N(D464),0,""),VLOOKUP($A464,JupData!$A$2:$I$10000,7,FALSE))</f>
        <v/>
      </c>
      <c r="D464" t="str">
        <f t="shared" si="87"/>
        <v/>
      </c>
      <c r="E464" t="str">
        <f t="array" ref="E464">IF($A464="","",INDEX(JupData!$A$2:$K$10000,MATCH($A464&amp;E$1,JupData!$A$2:$A$10000&amp;JupData!$J$2:$J$10000,0),11))</f>
        <v/>
      </c>
      <c r="F464" t="str">
        <f t="array" ref="F464">IF($A464="","",INDEX(JupData!$A$2:$K$10000,MATCH($A464&amp;F$1,JupData!$A$2:$A$10000&amp;JupData!$J$2:$J$10000,0),11))</f>
        <v/>
      </c>
      <c r="G464" t="str">
        <f t="array" ref="G464">IF($A464="","",INDEX(JupData!$A$2:$K$10000,MATCH($A464&amp;G$1,JupData!$A$2:$A$10000&amp;JupData!$J$2:$J$10000,0),11))</f>
        <v/>
      </c>
      <c r="H464" t="str">
        <f t="array" ref="H464">IF($A464="","",INDEX(JupData!$A$2:$K$10000,MATCH($A464&amp;H$1,JupData!$A$2:$A$10000&amp;JupData!$J$2:$J$10000,0),11))</f>
        <v/>
      </c>
      <c r="I464" t="str">
        <f t="array" ref="I464">IF($A464="","",INDEX(JupData!$A$2:$K$10000,MATCH($A464&amp;I$1,JupData!$A$2:$A$10000&amp;JupData!$J$2:$J$10000,0),11))</f>
        <v/>
      </c>
      <c r="J464" t="str">
        <f t="array" ref="J464">IF($A464="","",INDEX(JupData!$A$2:$K$10000,MATCH($A464&amp;J$1,JupData!$A$2:$A$10000&amp;JupData!$J$2:$J$10000,0),11))</f>
        <v/>
      </c>
      <c r="K464" t="str">
        <f t="array" ref="K464">IF($A464="","",INDEX(JupData!$A$2:$K$10000,MATCH($A464&amp;K$1,JupData!$A$2:$A$10000&amp;JupData!$J$2:$J$10000,0),11))</f>
        <v/>
      </c>
      <c r="L464" t="str">
        <f t="array" ref="L464">IF($A464="","",INDEX(JupData!$A$2:$K$10000,MATCH($A464&amp;L$1,JupData!$A$2:$A$10000&amp;JupData!$J$2:$J$10000,0),11))</f>
        <v/>
      </c>
      <c r="M464" t="str">
        <f t="array" ref="M464">IF($A464="","",INDEX(JupData!$A$2:$K$10000,MATCH($A464&amp;M$1,JupData!$A$2:$A$10000&amp;JupData!$J$2:$J$10000,0),11))</f>
        <v/>
      </c>
      <c r="N464" t="str">
        <f t="array" ref="N464">IF($A464="","",INDEX(JupData!$A$2:$K$10000,MATCH($A464&amp;N$1,JupData!$A$2:$A$10000&amp;JupData!$J$2:$J$10000,0),11))</f>
        <v/>
      </c>
      <c r="O464" t="str">
        <f t="array" ref="O464">IF($A464="","",INDEX(JupData!$A$2:$K$10000,MATCH($A464&amp;O$1,JupData!$A$2:$A$10000&amp;JupData!$J$2:$J$10000,0),11))</f>
        <v/>
      </c>
      <c r="P464" t="str">
        <f t="array" ref="P464">IF($A464="","",INDEX(JupData!$A$2:$K$10000,MATCH($A464&amp;P$1,JupData!$A$2:$A$10000&amp;JupData!$J$2:$J$10000,0),11))</f>
        <v/>
      </c>
      <c r="Q464" t="str">
        <f t="array" ref="Q464">IF($A464="","",INDEX(JupData!$A$2:$K$10000,MATCH($A464&amp;Q$1,JupData!$A$2:$A$10000&amp;JupData!$J$2:$J$10000,0),11))</f>
        <v/>
      </c>
      <c r="R464" t="str">
        <f t="array" ref="R464">IF($A464="","",INDEX(JupData!$A$2:$K$10000,MATCH($A464&amp;R$1,JupData!$A$2:$A$10000&amp;JupData!$J$2:$J$10000,0),11))</f>
        <v/>
      </c>
      <c r="S464" t="str">
        <f t="array" ref="S464">IF($A464="","",INDEX(JupData!$A$2:$K$10000,MATCH($A464&amp;S$1,JupData!$A$2:$A$10000&amp;JupData!$J$2:$J$10000,0),11))</f>
        <v/>
      </c>
      <c r="T464" t="str">
        <f t="array" ref="T464">IF($A464="","",INDEX(JupData!$A$2:$K$10000,MATCH($A464&amp;T$1,JupData!$A$2:$A$10000&amp;JupData!$J$2:$J$10000,0),11))</f>
        <v/>
      </c>
      <c r="U464" t="str">
        <f t="array" ref="U464">IF($A464="","",INDEX(JupData!$A$2:$K$10000,MATCH($A464&amp;U$1,JupData!$A$2:$A$10000&amp;JupData!$J$2:$J$10000,0),11))</f>
        <v/>
      </c>
      <c r="V464" t="str">
        <f t="array" ref="V464">IF($A464="","",INDEX(JupData!$A$2:$K$10000,MATCH($A464&amp;V$1,JupData!$A$2:$A$10000&amp;JupData!$J$2:$J$10000,0),11))</f>
        <v/>
      </c>
      <c r="W464" t="str">
        <f t="array" ref="W464">IF($A464="","",INDEX(JupData!$A$2:$K$10000,MATCH($A464&amp;W$1,JupData!$A$2:$A$10000&amp;JupData!$J$2:$J$10000,0),11))</f>
        <v/>
      </c>
      <c r="X464" t="str">
        <f t="array" ref="X464">IF($A464="","",INDEX(JupData!$A$2:$K$10000,MATCH($A464&amp;X$1,JupData!$A$2:$A$10000&amp;JupData!$J$2:$J$10000,0),11))</f>
        <v/>
      </c>
      <c r="Y464" t="str">
        <f t="array" ref="Y464">IF($A464="","",INDEX(JupData!$A$2:$K$10000,MATCH($A464&amp;Y$1,JupData!$A$2:$A$10000&amp;JupData!$J$2:$J$10000,0),11))</f>
        <v/>
      </c>
      <c r="Z464" t="str">
        <f t="array" ref="Z464">IF($A464="","",INDEX(JupData!$A$2:$K$10000,MATCH($A464&amp;Z$1,JupData!$A$2:$A$10000&amp;JupData!$J$2:$J$10000,0),11))</f>
        <v/>
      </c>
      <c r="AA464" t="str">
        <f t="array" ref="AA464">IF($A464="","",INDEX(JupData!$A$2:$K$10000,MATCH($A464&amp;AA$1,JupData!$A$2:$A$10000&amp;JupData!$J$2:$J$10000,0),11))</f>
        <v/>
      </c>
      <c r="AB464" t="str">
        <f t="array" ref="AB464">IF($A464="","",INDEX(JupData!$A$2:$K$10000,MATCH($A464&amp;AB$1,JupData!$A$2:$A$10000&amp;JupData!$J$2:$J$10000,0),11))</f>
        <v/>
      </c>
      <c r="AC464" s="10" t="str">
        <f t="shared" si="77"/>
        <v/>
      </c>
      <c r="AD464" s="10" t="str">
        <f t="shared" si="78"/>
        <v/>
      </c>
      <c r="AE464" s="9" t="str">
        <f t="shared" si="79"/>
        <v/>
      </c>
      <c r="AF464" s="10" t="str">
        <f t="shared" si="80"/>
        <v/>
      </c>
      <c r="AG464" s="10" t="str">
        <f t="shared" si="81"/>
        <v/>
      </c>
      <c r="AH464" s="10" t="str">
        <f t="shared" si="82"/>
        <v/>
      </c>
      <c r="AI464" s="10" t="str">
        <f t="shared" si="83"/>
        <v/>
      </c>
      <c r="AJ464" s="10" t="str">
        <f t="shared" si="84"/>
        <v/>
      </c>
      <c r="AK464" s="10" t="str">
        <f t="shared" si="85"/>
        <v/>
      </c>
      <c r="AL464" s="14" t="str">
        <f t="shared" si="86"/>
        <v/>
      </c>
    </row>
    <row r="465" spans="1:38" x14ac:dyDescent="0.2">
      <c r="A465"/>
      <c r="B465" t="str">
        <f>IF($A465="","",VLOOKUP($A465,JupData!$A$2:$I$10000,4,FALSE))</f>
        <v/>
      </c>
      <c r="C465" s="7" t="str">
        <f>IF($A465="",IF(N(D465),0,""),VLOOKUP($A465,JupData!$A$2:$I$10000,7,FALSE))</f>
        <v/>
      </c>
      <c r="D465" t="str">
        <f t="shared" si="87"/>
        <v/>
      </c>
      <c r="E465" t="str">
        <f t="array" ref="E465">IF($A465="","",INDEX(JupData!$A$2:$K$10000,MATCH($A465&amp;E$1,JupData!$A$2:$A$10000&amp;JupData!$J$2:$J$10000,0),11))</f>
        <v/>
      </c>
      <c r="F465" t="str">
        <f t="array" ref="F465">IF($A465="","",INDEX(JupData!$A$2:$K$10000,MATCH($A465&amp;F$1,JupData!$A$2:$A$10000&amp;JupData!$J$2:$J$10000,0),11))</f>
        <v/>
      </c>
      <c r="G465" t="str">
        <f t="array" ref="G465">IF($A465="","",INDEX(JupData!$A$2:$K$10000,MATCH($A465&amp;G$1,JupData!$A$2:$A$10000&amp;JupData!$J$2:$J$10000,0),11))</f>
        <v/>
      </c>
      <c r="H465" t="str">
        <f t="array" ref="H465">IF($A465="","",INDEX(JupData!$A$2:$K$10000,MATCH($A465&amp;H$1,JupData!$A$2:$A$10000&amp;JupData!$J$2:$J$10000,0),11))</f>
        <v/>
      </c>
      <c r="I465" t="str">
        <f t="array" ref="I465">IF($A465="","",INDEX(JupData!$A$2:$K$10000,MATCH($A465&amp;I$1,JupData!$A$2:$A$10000&amp;JupData!$J$2:$J$10000,0),11))</f>
        <v/>
      </c>
      <c r="J465" t="str">
        <f t="array" ref="J465">IF($A465="","",INDEX(JupData!$A$2:$K$10000,MATCH($A465&amp;J$1,JupData!$A$2:$A$10000&amp;JupData!$J$2:$J$10000,0),11))</f>
        <v/>
      </c>
      <c r="K465" t="str">
        <f t="array" ref="K465">IF($A465="","",INDEX(JupData!$A$2:$K$10000,MATCH($A465&amp;K$1,JupData!$A$2:$A$10000&amp;JupData!$J$2:$J$10000,0),11))</f>
        <v/>
      </c>
      <c r="L465" t="str">
        <f t="array" ref="L465">IF($A465="","",INDEX(JupData!$A$2:$K$10000,MATCH($A465&amp;L$1,JupData!$A$2:$A$10000&amp;JupData!$J$2:$J$10000,0),11))</f>
        <v/>
      </c>
      <c r="M465" t="str">
        <f t="array" ref="M465">IF($A465="","",INDEX(JupData!$A$2:$K$10000,MATCH($A465&amp;M$1,JupData!$A$2:$A$10000&amp;JupData!$J$2:$J$10000,0),11))</f>
        <v/>
      </c>
      <c r="N465" t="str">
        <f t="array" ref="N465">IF($A465="","",INDEX(JupData!$A$2:$K$10000,MATCH($A465&amp;N$1,JupData!$A$2:$A$10000&amp;JupData!$J$2:$J$10000,0),11))</f>
        <v/>
      </c>
      <c r="O465" t="str">
        <f t="array" ref="O465">IF($A465="","",INDEX(JupData!$A$2:$K$10000,MATCH($A465&amp;O$1,JupData!$A$2:$A$10000&amp;JupData!$J$2:$J$10000,0),11))</f>
        <v/>
      </c>
      <c r="P465" t="str">
        <f t="array" ref="P465">IF($A465="","",INDEX(JupData!$A$2:$K$10000,MATCH($A465&amp;P$1,JupData!$A$2:$A$10000&amp;JupData!$J$2:$J$10000,0),11))</f>
        <v/>
      </c>
      <c r="Q465" t="str">
        <f t="array" ref="Q465">IF($A465="","",INDEX(JupData!$A$2:$K$10000,MATCH($A465&amp;Q$1,JupData!$A$2:$A$10000&amp;JupData!$J$2:$J$10000,0),11))</f>
        <v/>
      </c>
      <c r="R465" t="str">
        <f t="array" ref="R465">IF($A465="","",INDEX(JupData!$A$2:$K$10000,MATCH($A465&amp;R$1,JupData!$A$2:$A$10000&amp;JupData!$J$2:$J$10000,0),11))</f>
        <v/>
      </c>
      <c r="S465" t="str">
        <f t="array" ref="S465">IF($A465="","",INDEX(JupData!$A$2:$K$10000,MATCH($A465&amp;S$1,JupData!$A$2:$A$10000&amp;JupData!$J$2:$J$10000,0),11))</f>
        <v/>
      </c>
      <c r="T465" t="str">
        <f t="array" ref="T465">IF($A465="","",INDEX(JupData!$A$2:$K$10000,MATCH($A465&amp;T$1,JupData!$A$2:$A$10000&amp;JupData!$J$2:$J$10000,0),11))</f>
        <v/>
      </c>
      <c r="U465" t="str">
        <f t="array" ref="U465">IF($A465="","",INDEX(JupData!$A$2:$K$10000,MATCH($A465&amp;U$1,JupData!$A$2:$A$10000&amp;JupData!$J$2:$J$10000,0),11))</f>
        <v/>
      </c>
      <c r="V465" t="str">
        <f t="array" ref="V465">IF($A465="","",INDEX(JupData!$A$2:$K$10000,MATCH($A465&amp;V$1,JupData!$A$2:$A$10000&amp;JupData!$J$2:$J$10000,0),11))</f>
        <v/>
      </c>
      <c r="W465" t="str">
        <f t="array" ref="W465">IF($A465="","",INDEX(JupData!$A$2:$K$10000,MATCH($A465&amp;W$1,JupData!$A$2:$A$10000&amp;JupData!$J$2:$J$10000,0),11))</f>
        <v/>
      </c>
      <c r="X465" t="str">
        <f t="array" ref="X465">IF($A465="","",INDEX(JupData!$A$2:$K$10000,MATCH($A465&amp;X$1,JupData!$A$2:$A$10000&amp;JupData!$J$2:$J$10000,0),11))</f>
        <v/>
      </c>
      <c r="Y465" t="str">
        <f t="array" ref="Y465">IF($A465="","",INDEX(JupData!$A$2:$K$10000,MATCH($A465&amp;Y$1,JupData!$A$2:$A$10000&amp;JupData!$J$2:$J$10000,0),11))</f>
        <v/>
      </c>
      <c r="Z465" t="str">
        <f t="array" ref="Z465">IF($A465="","",INDEX(JupData!$A$2:$K$10000,MATCH($A465&amp;Z$1,JupData!$A$2:$A$10000&amp;JupData!$J$2:$J$10000,0),11))</f>
        <v/>
      </c>
      <c r="AA465" t="str">
        <f t="array" ref="AA465">IF($A465="","",INDEX(JupData!$A$2:$K$10000,MATCH($A465&amp;AA$1,JupData!$A$2:$A$10000&amp;JupData!$J$2:$J$10000,0),11))</f>
        <v/>
      </c>
      <c r="AB465" t="str">
        <f t="array" ref="AB465">IF($A465="","",INDEX(JupData!$A$2:$K$10000,MATCH($A465&amp;AB$1,JupData!$A$2:$A$10000&amp;JupData!$J$2:$J$10000,0),11))</f>
        <v/>
      </c>
      <c r="AC465" s="10" t="str">
        <f t="shared" si="77"/>
        <v/>
      </c>
      <c r="AD465" s="10" t="str">
        <f t="shared" si="78"/>
        <v/>
      </c>
      <c r="AE465" s="9" t="str">
        <f t="shared" si="79"/>
        <v/>
      </c>
      <c r="AF465" s="10" t="str">
        <f t="shared" si="80"/>
        <v/>
      </c>
      <c r="AG465" s="10" t="str">
        <f t="shared" si="81"/>
        <v/>
      </c>
      <c r="AH465" s="10" t="str">
        <f t="shared" si="82"/>
        <v/>
      </c>
      <c r="AI465" s="10" t="str">
        <f t="shared" si="83"/>
        <v/>
      </c>
      <c r="AJ465" s="10" t="str">
        <f t="shared" si="84"/>
        <v/>
      </c>
      <c r="AK465" s="10" t="str">
        <f t="shared" si="85"/>
        <v/>
      </c>
      <c r="AL465" s="14" t="str">
        <f t="shared" si="86"/>
        <v/>
      </c>
    </row>
    <row r="466" spans="1:38" x14ac:dyDescent="0.2">
      <c r="A466"/>
      <c r="B466" t="str">
        <f>IF($A466="","",VLOOKUP($A466,JupData!$A$2:$I$10000,4,FALSE))</f>
        <v/>
      </c>
      <c r="C466" s="7" t="str">
        <f>IF($A466="",IF(N(D466),0,""),VLOOKUP($A466,JupData!$A$2:$I$10000,7,FALSE))</f>
        <v/>
      </c>
      <c r="D466" t="str">
        <f t="shared" si="87"/>
        <v/>
      </c>
      <c r="E466" t="str">
        <f t="array" ref="E466">IF($A466="","",INDEX(JupData!$A$2:$K$10000,MATCH($A466&amp;E$1,JupData!$A$2:$A$10000&amp;JupData!$J$2:$J$10000,0),11))</f>
        <v/>
      </c>
      <c r="F466" t="str">
        <f t="array" ref="F466">IF($A466="","",INDEX(JupData!$A$2:$K$10000,MATCH($A466&amp;F$1,JupData!$A$2:$A$10000&amp;JupData!$J$2:$J$10000,0),11))</f>
        <v/>
      </c>
      <c r="G466" t="str">
        <f t="array" ref="G466">IF($A466="","",INDEX(JupData!$A$2:$K$10000,MATCH($A466&amp;G$1,JupData!$A$2:$A$10000&amp;JupData!$J$2:$J$10000,0),11))</f>
        <v/>
      </c>
      <c r="H466" t="str">
        <f t="array" ref="H466">IF($A466="","",INDEX(JupData!$A$2:$K$10000,MATCH($A466&amp;H$1,JupData!$A$2:$A$10000&amp;JupData!$J$2:$J$10000,0),11))</f>
        <v/>
      </c>
      <c r="I466" t="str">
        <f t="array" ref="I466">IF($A466="","",INDEX(JupData!$A$2:$K$10000,MATCH($A466&amp;I$1,JupData!$A$2:$A$10000&amp;JupData!$J$2:$J$10000,0),11))</f>
        <v/>
      </c>
      <c r="J466" t="str">
        <f t="array" ref="J466">IF($A466="","",INDEX(JupData!$A$2:$K$10000,MATCH($A466&amp;J$1,JupData!$A$2:$A$10000&amp;JupData!$J$2:$J$10000,0),11))</f>
        <v/>
      </c>
      <c r="K466" t="str">
        <f t="array" ref="K466">IF($A466="","",INDEX(JupData!$A$2:$K$10000,MATCH($A466&amp;K$1,JupData!$A$2:$A$10000&amp;JupData!$J$2:$J$10000,0),11))</f>
        <v/>
      </c>
      <c r="L466" t="str">
        <f t="array" ref="L466">IF($A466="","",INDEX(JupData!$A$2:$K$10000,MATCH($A466&amp;L$1,JupData!$A$2:$A$10000&amp;JupData!$J$2:$J$10000,0),11))</f>
        <v/>
      </c>
      <c r="M466" t="str">
        <f t="array" ref="M466">IF($A466="","",INDEX(JupData!$A$2:$K$10000,MATCH($A466&amp;M$1,JupData!$A$2:$A$10000&amp;JupData!$J$2:$J$10000,0),11))</f>
        <v/>
      </c>
      <c r="N466" t="str">
        <f t="array" ref="N466">IF($A466="","",INDEX(JupData!$A$2:$K$10000,MATCH($A466&amp;N$1,JupData!$A$2:$A$10000&amp;JupData!$J$2:$J$10000,0),11))</f>
        <v/>
      </c>
      <c r="O466" t="str">
        <f t="array" ref="O466">IF($A466="","",INDEX(JupData!$A$2:$K$10000,MATCH($A466&amp;O$1,JupData!$A$2:$A$10000&amp;JupData!$J$2:$J$10000,0),11))</f>
        <v/>
      </c>
      <c r="P466" t="str">
        <f t="array" ref="P466">IF($A466="","",INDEX(JupData!$A$2:$K$10000,MATCH($A466&amp;P$1,JupData!$A$2:$A$10000&amp;JupData!$J$2:$J$10000,0),11))</f>
        <v/>
      </c>
      <c r="Q466" t="str">
        <f t="array" ref="Q466">IF($A466="","",INDEX(JupData!$A$2:$K$10000,MATCH($A466&amp;Q$1,JupData!$A$2:$A$10000&amp;JupData!$J$2:$J$10000,0),11))</f>
        <v/>
      </c>
      <c r="R466" t="str">
        <f t="array" ref="R466">IF($A466="","",INDEX(JupData!$A$2:$K$10000,MATCH($A466&amp;R$1,JupData!$A$2:$A$10000&amp;JupData!$J$2:$J$10000,0),11))</f>
        <v/>
      </c>
      <c r="S466" t="str">
        <f t="array" ref="S466">IF($A466="","",INDEX(JupData!$A$2:$K$10000,MATCH($A466&amp;S$1,JupData!$A$2:$A$10000&amp;JupData!$J$2:$J$10000,0),11))</f>
        <v/>
      </c>
      <c r="T466" t="str">
        <f t="array" ref="T466">IF($A466="","",INDEX(JupData!$A$2:$K$10000,MATCH($A466&amp;T$1,JupData!$A$2:$A$10000&amp;JupData!$J$2:$J$10000,0),11))</f>
        <v/>
      </c>
      <c r="U466" t="str">
        <f t="array" ref="U466">IF($A466="","",INDEX(JupData!$A$2:$K$10000,MATCH($A466&amp;U$1,JupData!$A$2:$A$10000&amp;JupData!$J$2:$J$10000,0),11))</f>
        <v/>
      </c>
      <c r="V466" t="str">
        <f t="array" ref="V466">IF($A466="","",INDEX(JupData!$A$2:$K$10000,MATCH($A466&amp;V$1,JupData!$A$2:$A$10000&amp;JupData!$J$2:$J$10000,0),11))</f>
        <v/>
      </c>
      <c r="W466" t="str">
        <f t="array" ref="W466">IF($A466="","",INDEX(JupData!$A$2:$K$10000,MATCH($A466&amp;W$1,JupData!$A$2:$A$10000&amp;JupData!$J$2:$J$10000,0),11))</f>
        <v/>
      </c>
      <c r="X466" t="str">
        <f t="array" ref="X466">IF($A466="","",INDEX(JupData!$A$2:$K$10000,MATCH($A466&amp;X$1,JupData!$A$2:$A$10000&amp;JupData!$J$2:$J$10000,0),11))</f>
        <v/>
      </c>
      <c r="Y466" t="str">
        <f t="array" ref="Y466">IF($A466="","",INDEX(JupData!$A$2:$K$10000,MATCH($A466&amp;Y$1,JupData!$A$2:$A$10000&amp;JupData!$J$2:$J$10000,0),11))</f>
        <v/>
      </c>
      <c r="Z466" t="str">
        <f t="array" ref="Z466">IF($A466="","",INDEX(JupData!$A$2:$K$10000,MATCH($A466&amp;Z$1,JupData!$A$2:$A$10000&amp;JupData!$J$2:$J$10000,0),11))</f>
        <v/>
      </c>
      <c r="AA466" t="str">
        <f t="array" ref="AA466">IF($A466="","",INDEX(JupData!$A$2:$K$10000,MATCH($A466&amp;AA$1,JupData!$A$2:$A$10000&amp;JupData!$J$2:$J$10000,0),11))</f>
        <v/>
      </c>
      <c r="AB466" t="str">
        <f t="array" ref="AB466">IF($A466="","",INDEX(JupData!$A$2:$K$10000,MATCH($A466&amp;AB$1,JupData!$A$2:$A$10000&amp;JupData!$J$2:$J$10000,0),11))</f>
        <v/>
      </c>
      <c r="AC466" s="10" t="str">
        <f t="shared" si="77"/>
        <v/>
      </c>
      <c r="AD466" s="10" t="str">
        <f t="shared" si="78"/>
        <v/>
      </c>
      <c r="AE466" s="9" t="str">
        <f t="shared" si="79"/>
        <v/>
      </c>
      <c r="AF466" s="10" t="str">
        <f t="shared" si="80"/>
        <v/>
      </c>
      <c r="AG466" s="10" t="str">
        <f t="shared" si="81"/>
        <v/>
      </c>
      <c r="AH466" s="10" t="str">
        <f t="shared" si="82"/>
        <v/>
      </c>
      <c r="AI466" s="10" t="str">
        <f t="shared" si="83"/>
        <v/>
      </c>
      <c r="AJ466" s="10" t="str">
        <f t="shared" si="84"/>
        <v/>
      </c>
      <c r="AK466" s="10" t="str">
        <f t="shared" si="85"/>
        <v/>
      </c>
      <c r="AL466" s="14" t="str">
        <f t="shared" si="86"/>
        <v/>
      </c>
    </row>
    <row r="467" spans="1:38" x14ac:dyDescent="0.2">
      <c r="A467"/>
      <c r="B467" t="str">
        <f>IF($A467="","",VLOOKUP($A467,JupData!$A$2:$I$10000,4,FALSE))</f>
        <v/>
      </c>
      <c r="C467" s="7" t="str">
        <f>IF($A467="",IF(N(D467),0,""),VLOOKUP($A467,JupData!$A$2:$I$10000,7,FALSE))</f>
        <v/>
      </c>
      <c r="D467" t="str">
        <f t="shared" si="87"/>
        <v/>
      </c>
      <c r="E467" t="str">
        <f t="array" ref="E467">IF($A467="","",INDEX(JupData!$A$2:$K$10000,MATCH($A467&amp;E$1,JupData!$A$2:$A$10000&amp;JupData!$J$2:$J$10000,0),11))</f>
        <v/>
      </c>
      <c r="F467" t="str">
        <f t="array" ref="F467">IF($A467="","",INDEX(JupData!$A$2:$K$10000,MATCH($A467&amp;F$1,JupData!$A$2:$A$10000&amp;JupData!$J$2:$J$10000,0),11))</f>
        <v/>
      </c>
      <c r="G467" t="str">
        <f t="array" ref="G467">IF($A467="","",INDEX(JupData!$A$2:$K$10000,MATCH($A467&amp;G$1,JupData!$A$2:$A$10000&amp;JupData!$J$2:$J$10000,0),11))</f>
        <v/>
      </c>
      <c r="H467" t="str">
        <f t="array" ref="H467">IF($A467="","",INDEX(JupData!$A$2:$K$10000,MATCH($A467&amp;H$1,JupData!$A$2:$A$10000&amp;JupData!$J$2:$J$10000,0),11))</f>
        <v/>
      </c>
      <c r="I467" t="str">
        <f t="array" ref="I467">IF($A467="","",INDEX(JupData!$A$2:$K$10000,MATCH($A467&amp;I$1,JupData!$A$2:$A$10000&amp;JupData!$J$2:$J$10000,0),11))</f>
        <v/>
      </c>
      <c r="J467" t="str">
        <f t="array" ref="J467">IF($A467="","",INDEX(JupData!$A$2:$K$10000,MATCH($A467&amp;J$1,JupData!$A$2:$A$10000&amp;JupData!$J$2:$J$10000,0),11))</f>
        <v/>
      </c>
      <c r="K467" t="str">
        <f t="array" ref="K467">IF($A467="","",INDEX(JupData!$A$2:$K$10000,MATCH($A467&amp;K$1,JupData!$A$2:$A$10000&amp;JupData!$J$2:$J$10000,0),11))</f>
        <v/>
      </c>
      <c r="L467" t="str">
        <f t="array" ref="L467">IF($A467="","",INDEX(JupData!$A$2:$K$10000,MATCH($A467&amp;L$1,JupData!$A$2:$A$10000&amp;JupData!$J$2:$J$10000,0),11))</f>
        <v/>
      </c>
      <c r="M467" t="str">
        <f t="array" ref="M467">IF($A467="","",INDEX(JupData!$A$2:$K$10000,MATCH($A467&amp;M$1,JupData!$A$2:$A$10000&amp;JupData!$J$2:$J$10000,0),11))</f>
        <v/>
      </c>
      <c r="N467" t="str">
        <f t="array" ref="N467">IF($A467="","",INDEX(JupData!$A$2:$K$10000,MATCH($A467&amp;N$1,JupData!$A$2:$A$10000&amp;JupData!$J$2:$J$10000,0),11))</f>
        <v/>
      </c>
      <c r="O467" t="str">
        <f t="array" ref="O467">IF($A467="","",INDEX(JupData!$A$2:$K$10000,MATCH($A467&amp;O$1,JupData!$A$2:$A$10000&amp;JupData!$J$2:$J$10000,0),11))</f>
        <v/>
      </c>
      <c r="P467" t="str">
        <f t="array" ref="P467">IF($A467="","",INDEX(JupData!$A$2:$K$10000,MATCH($A467&amp;P$1,JupData!$A$2:$A$10000&amp;JupData!$J$2:$J$10000,0),11))</f>
        <v/>
      </c>
      <c r="Q467" t="str">
        <f t="array" ref="Q467">IF($A467="","",INDEX(JupData!$A$2:$K$10000,MATCH($A467&amp;Q$1,JupData!$A$2:$A$10000&amp;JupData!$J$2:$J$10000,0),11))</f>
        <v/>
      </c>
      <c r="R467" t="str">
        <f t="array" ref="R467">IF($A467="","",INDEX(JupData!$A$2:$K$10000,MATCH($A467&amp;R$1,JupData!$A$2:$A$10000&amp;JupData!$J$2:$J$10000,0),11))</f>
        <v/>
      </c>
      <c r="S467" t="str">
        <f t="array" ref="S467">IF($A467="","",INDEX(JupData!$A$2:$K$10000,MATCH($A467&amp;S$1,JupData!$A$2:$A$10000&amp;JupData!$J$2:$J$10000,0),11))</f>
        <v/>
      </c>
      <c r="T467" t="str">
        <f t="array" ref="T467">IF($A467="","",INDEX(JupData!$A$2:$K$10000,MATCH($A467&amp;T$1,JupData!$A$2:$A$10000&amp;JupData!$J$2:$J$10000,0),11))</f>
        <v/>
      </c>
      <c r="U467" t="str">
        <f t="array" ref="U467">IF($A467="","",INDEX(JupData!$A$2:$K$10000,MATCH($A467&amp;U$1,JupData!$A$2:$A$10000&amp;JupData!$J$2:$J$10000,0),11))</f>
        <v/>
      </c>
      <c r="V467" t="str">
        <f t="array" ref="V467">IF($A467="","",INDEX(JupData!$A$2:$K$10000,MATCH($A467&amp;V$1,JupData!$A$2:$A$10000&amp;JupData!$J$2:$J$10000,0),11))</f>
        <v/>
      </c>
      <c r="W467" t="str">
        <f t="array" ref="W467">IF($A467="","",INDEX(JupData!$A$2:$K$10000,MATCH($A467&amp;W$1,JupData!$A$2:$A$10000&amp;JupData!$J$2:$J$10000,0),11))</f>
        <v/>
      </c>
      <c r="X467" t="str">
        <f t="array" ref="X467">IF($A467="","",INDEX(JupData!$A$2:$K$10000,MATCH($A467&amp;X$1,JupData!$A$2:$A$10000&amp;JupData!$J$2:$J$10000,0),11))</f>
        <v/>
      </c>
      <c r="Y467" t="str">
        <f t="array" ref="Y467">IF($A467="","",INDEX(JupData!$A$2:$K$10000,MATCH($A467&amp;Y$1,JupData!$A$2:$A$10000&amp;JupData!$J$2:$J$10000,0),11))</f>
        <v/>
      </c>
      <c r="Z467" t="str">
        <f t="array" ref="Z467">IF($A467="","",INDEX(JupData!$A$2:$K$10000,MATCH($A467&amp;Z$1,JupData!$A$2:$A$10000&amp;JupData!$J$2:$J$10000,0),11))</f>
        <v/>
      </c>
      <c r="AA467" t="str">
        <f t="array" ref="AA467">IF($A467="","",INDEX(JupData!$A$2:$K$10000,MATCH($A467&amp;AA$1,JupData!$A$2:$A$10000&amp;JupData!$J$2:$J$10000,0),11))</f>
        <v/>
      </c>
      <c r="AB467" t="str">
        <f t="array" ref="AB467">IF($A467="","",INDEX(JupData!$A$2:$K$10000,MATCH($A467&amp;AB$1,JupData!$A$2:$A$10000&amp;JupData!$J$2:$J$10000,0),11))</f>
        <v/>
      </c>
      <c r="AC467" s="10" t="str">
        <f t="shared" si="77"/>
        <v/>
      </c>
      <c r="AD467" s="10" t="str">
        <f t="shared" si="78"/>
        <v/>
      </c>
      <c r="AE467" s="9" t="str">
        <f t="shared" si="79"/>
        <v/>
      </c>
      <c r="AF467" s="10" t="str">
        <f t="shared" si="80"/>
        <v/>
      </c>
      <c r="AG467" s="10" t="str">
        <f t="shared" si="81"/>
        <v/>
      </c>
      <c r="AH467" s="10" t="str">
        <f t="shared" si="82"/>
        <v/>
      </c>
      <c r="AI467" s="10" t="str">
        <f t="shared" si="83"/>
        <v/>
      </c>
      <c r="AJ467" s="10" t="str">
        <f t="shared" si="84"/>
        <v/>
      </c>
      <c r="AK467" s="10" t="str">
        <f t="shared" si="85"/>
        <v/>
      </c>
      <c r="AL467" s="14" t="str">
        <f t="shared" si="86"/>
        <v/>
      </c>
    </row>
    <row r="468" spans="1:38" x14ac:dyDescent="0.2">
      <c r="A468"/>
      <c r="B468" t="str">
        <f>IF($A468="","",VLOOKUP($A468,JupData!$A$2:$I$10000,4,FALSE))</f>
        <v/>
      </c>
      <c r="C468" s="7" t="str">
        <f>IF($A468="",IF(N(D468),0,""),VLOOKUP($A468,JupData!$A$2:$I$10000,7,FALSE))</f>
        <v/>
      </c>
      <c r="D468" t="str">
        <f t="shared" si="87"/>
        <v/>
      </c>
      <c r="E468" t="str">
        <f t="array" ref="E468">IF($A468="","",INDEX(JupData!$A$2:$K$10000,MATCH($A468&amp;E$1,JupData!$A$2:$A$10000&amp;JupData!$J$2:$J$10000,0),11))</f>
        <v/>
      </c>
      <c r="F468" t="str">
        <f t="array" ref="F468">IF($A468="","",INDEX(JupData!$A$2:$K$10000,MATCH($A468&amp;F$1,JupData!$A$2:$A$10000&amp;JupData!$J$2:$J$10000,0),11))</f>
        <v/>
      </c>
      <c r="G468" t="str">
        <f t="array" ref="G468">IF($A468="","",INDEX(JupData!$A$2:$K$10000,MATCH($A468&amp;G$1,JupData!$A$2:$A$10000&amp;JupData!$J$2:$J$10000,0),11))</f>
        <v/>
      </c>
      <c r="H468" t="str">
        <f t="array" ref="H468">IF($A468="","",INDEX(JupData!$A$2:$K$10000,MATCH($A468&amp;H$1,JupData!$A$2:$A$10000&amp;JupData!$J$2:$J$10000,0),11))</f>
        <v/>
      </c>
      <c r="I468" t="str">
        <f t="array" ref="I468">IF($A468="","",INDEX(JupData!$A$2:$K$10000,MATCH($A468&amp;I$1,JupData!$A$2:$A$10000&amp;JupData!$J$2:$J$10000,0),11))</f>
        <v/>
      </c>
      <c r="J468" t="str">
        <f t="array" ref="J468">IF($A468="","",INDEX(JupData!$A$2:$K$10000,MATCH($A468&amp;J$1,JupData!$A$2:$A$10000&amp;JupData!$J$2:$J$10000,0),11))</f>
        <v/>
      </c>
      <c r="K468" t="str">
        <f t="array" ref="K468">IF($A468="","",INDEX(JupData!$A$2:$K$10000,MATCH($A468&amp;K$1,JupData!$A$2:$A$10000&amp;JupData!$J$2:$J$10000,0),11))</f>
        <v/>
      </c>
      <c r="L468" t="str">
        <f t="array" ref="L468">IF($A468="","",INDEX(JupData!$A$2:$K$10000,MATCH($A468&amp;L$1,JupData!$A$2:$A$10000&amp;JupData!$J$2:$J$10000,0),11))</f>
        <v/>
      </c>
      <c r="M468" t="str">
        <f t="array" ref="M468">IF($A468="","",INDEX(JupData!$A$2:$K$10000,MATCH($A468&amp;M$1,JupData!$A$2:$A$10000&amp;JupData!$J$2:$J$10000,0),11))</f>
        <v/>
      </c>
      <c r="N468" t="str">
        <f t="array" ref="N468">IF($A468="","",INDEX(JupData!$A$2:$K$10000,MATCH($A468&amp;N$1,JupData!$A$2:$A$10000&amp;JupData!$J$2:$J$10000,0),11))</f>
        <v/>
      </c>
      <c r="O468" t="str">
        <f t="array" ref="O468">IF($A468="","",INDEX(JupData!$A$2:$K$10000,MATCH($A468&amp;O$1,JupData!$A$2:$A$10000&amp;JupData!$J$2:$J$10000,0),11))</f>
        <v/>
      </c>
      <c r="P468" t="str">
        <f t="array" ref="P468">IF($A468="","",INDEX(JupData!$A$2:$K$10000,MATCH($A468&amp;P$1,JupData!$A$2:$A$10000&amp;JupData!$J$2:$J$10000,0),11))</f>
        <v/>
      </c>
      <c r="Q468" t="str">
        <f t="array" ref="Q468">IF($A468="","",INDEX(JupData!$A$2:$K$10000,MATCH($A468&amp;Q$1,JupData!$A$2:$A$10000&amp;JupData!$J$2:$J$10000,0),11))</f>
        <v/>
      </c>
      <c r="R468" t="str">
        <f t="array" ref="R468">IF($A468="","",INDEX(JupData!$A$2:$K$10000,MATCH($A468&amp;R$1,JupData!$A$2:$A$10000&amp;JupData!$J$2:$J$10000,0),11))</f>
        <v/>
      </c>
      <c r="S468" t="str">
        <f t="array" ref="S468">IF($A468="","",INDEX(JupData!$A$2:$K$10000,MATCH($A468&amp;S$1,JupData!$A$2:$A$10000&amp;JupData!$J$2:$J$10000,0),11))</f>
        <v/>
      </c>
      <c r="T468" t="str">
        <f t="array" ref="T468">IF($A468="","",INDEX(JupData!$A$2:$K$10000,MATCH($A468&amp;T$1,JupData!$A$2:$A$10000&amp;JupData!$J$2:$J$10000,0),11))</f>
        <v/>
      </c>
      <c r="U468" t="str">
        <f t="array" ref="U468">IF($A468="","",INDEX(JupData!$A$2:$K$10000,MATCH($A468&amp;U$1,JupData!$A$2:$A$10000&amp;JupData!$J$2:$J$10000,0),11))</f>
        <v/>
      </c>
      <c r="V468" t="str">
        <f t="array" ref="V468">IF($A468="","",INDEX(JupData!$A$2:$K$10000,MATCH($A468&amp;V$1,JupData!$A$2:$A$10000&amp;JupData!$J$2:$J$10000,0),11))</f>
        <v/>
      </c>
      <c r="W468" t="str">
        <f t="array" ref="W468">IF($A468="","",INDEX(JupData!$A$2:$K$10000,MATCH($A468&amp;W$1,JupData!$A$2:$A$10000&amp;JupData!$J$2:$J$10000,0),11))</f>
        <v/>
      </c>
      <c r="X468" t="str">
        <f t="array" ref="X468">IF($A468="","",INDEX(JupData!$A$2:$K$10000,MATCH($A468&amp;X$1,JupData!$A$2:$A$10000&amp;JupData!$J$2:$J$10000,0),11))</f>
        <v/>
      </c>
      <c r="Y468" t="str">
        <f t="array" ref="Y468">IF($A468="","",INDEX(JupData!$A$2:$K$10000,MATCH($A468&amp;Y$1,JupData!$A$2:$A$10000&amp;JupData!$J$2:$J$10000,0),11))</f>
        <v/>
      </c>
      <c r="Z468" t="str">
        <f t="array" ref="Z468">IF($A468="","",INDEX(JupData!$A$2:$K$10000,MATCH($A468&amp;Z$1,JupData!$A$2:$A$10000&amp;JupData!$J$2:$J$10000,0),11))</f>
        <v/>
      </c>
      <c r="AA468" t="str">
        <f t="array" ref="AA468">IF($A468="","",INDEX(JupData!$A$2:$K$10000,MATCH($A468&amp;AA$1,JupData!$A$2:$A$10000&amp;JupData!$J$2:$J$10000,0),11))</f>
        <v/>
      </c>
      <c r="AB468" t="str">
        <f t="array" ref="AB468">IF($A468="","",INDEX(JupData!$A$2:$K$10000,MATCH($A468&amp;AB$1,JupData!$A$2:$A$10000&amp;JupData!$J$2:$J$10000,0),11))</f>
        <v/>
      </c>
      <c r="AC468" s="10" t="str">
        <f t="shared" si="77"/>
        <v/>
      </c>
      <c r="AD468" s="10" t="str">
        <f t="shared" si="78"/>
        <v/>
      </c>
      <c r="AE468" s="9" t="str">
        <f t="shared" si="79"/>
        <v/>
      </c>
      <c r="AF468" s="10" t="str">
        <f t="shared" si="80"/>
        <v/>
      </c>
      <c r="AG468" s="10" t="str">
        <f t="shared" si="81"/>
        <v/>
      </c>
      <c r="AH468" s="10" t="str">
        <f t="shared" si="82"/>
        <v/>
      </c>
      <c r="AI468" s="10" t="str">
        <f t="shared" si="83"/>
        <v/>
      </c>
      <c r="AJ468" s="10" t="str">
        <f t="shared" si="84"/>
        <v/>
      </c>
      <c r="AK468" s="10" t="str">
        <f t="shared" si="85"/>
        <v/>
      </c>
      <c r="AL468" s="14" t="str">
        <f t="shared" si="86"/>
        <v/>
      </c>
    </row>
    <row r="469" spans="1:38" x14ac:dyDescent="0.2">
      <c r="A469"/>
      <c r="B469" t="str">
        <f>IF($A469="","",VLOOKUP($A469,JupData!$A$2:$I$10000,4,FALSE))</f>
        <v/>
      </c>
      <c r="C469" s="7" t="str">
        <f>IF($A469="",IF(N(D469),0,""),VLOOKUP($A469,JupData!$A$2:$I$10000,7,FALSE))</f>
        <v/>
      </c>
      <c r="D469" t="str">
        <f t="shared" si="87"/>
        <v/>
      </c>
      <c r="E469" t="str">
        <f t="array" ref="E469">IF($A469="","",INDEX(JupData!$A$2:$K$10000,MATCH($A469&amp;E$1,JupData!$A$2:$A$10000&amp;JupData!$J$2:$J$10000,0),11))</f>
        <v/>
      </c>
      <c r="F469" t="str">
        <f t="array" ref="F469">IF($A469="","",INDEX(JupData!$A$2:$K$10000,MATCH($A469&amp;F$1,JupData!$A$2:$A$10000&amp;JupData!$J$2:$J$10000,0),11))</f>
        <v/>
      </c>
      <c r="G469" t="str">
        <f t="array" ref="G469">IF($A469="","",INDEX(JupData!$A$2:$K$10000,MATCH($A469&amp;G$1,JupData!$A$2:$A$10000&amp;JupData!$J$2:$J$10000,0),11))</f>
        <v/>
      </c>
      <c r="H469" t="str">
        <f t="array" ref="H469">IF($A469="","",INDEX(JupData!$A$2:$K$10000,MATCH($A469&amp;H$1,JupData!$A$2:$A$10000&amp;JupData!$J$2:$J$10000,0),11))</f>
        <v/>
      </c>
      <c r="I469" t="str">
        <f t="array" ref="I469">IF($A469="","",INDEX(JupData!$A$2:$K$10000,MATCH($A469&amp;I$1,JupData!$A$2:$A$10000&amp;JupData!$J$2:$J$10000,0),11))</f>
        <v/>
      </c>
      <c r="J469" t="str">
        <f t="array" ref="J469">IF($A469="","",INDEX(JupData!$A$2:$K$10000,MATCH($A469&amp;J$1,JupData!$A$2:$A$10000&amp;JupData!$J$2:$J$10000,0),11))</f>
        <v/>
      </c>
      <c r="K469" t="str">
        <f t="array" ref="K469">IF($A469="","",INDEX(JupData!$A$2:$K$10000,MATCH($A469&amp;K$1,JupData!$A$2:$A$10000&amp;JupData!$J$2:$J$10000,0),11))</f>
        <v/>
      </c>
      <c r="L469" t="str">
        <f t="array" ref="L469">IF($A469="","",INDEX(JupData!$A$2:$K$10000,MATCH($A469&amp;L$1,JupData!$A$2:$A$10000&amp;JupData!$J$2:$J$10000,0),11))</f>
        <v/>
      </c>
      <c r="M469" t="str">
        <f t="array" ref="M469">IF($A469="","",INDEX(JupData!$A$2:$K$10000,MATCH($A469&amp;M$1,JupData!$A$2:$A$10000&amp;JupData!$J$2:$J$10000,0),11))</f>
        <v/>
      </c>
      <c r="N469" t="str">
        <f t="array" ref="N469">IF($A469="","",INDEX(JupData!$A$2:$K$10000,MATCH($A469&amp;N$1,JupData!$A$2:$A$10000&amp;JupData!$J$2:$J$10000,0),11))</f>
        <v/>
      </c>
      <c r="O469" t="str">
        <f t="array" ref="O469">IF($A469="","",INDEX(JupData!$A$2:$K$10000,MATCH($A469&amp;O$1,JupData!$A$2:$A$10000&amp;JupData!$J$2:$J$10000,0),11))</f>
        <v/>
      </c>
      <c r="P469" t="str">
        <f t="array" ref="P469">IF($A469="","",INDEX(JupData!$A$2:$K$10000,MATCH($A469&amp;P$1,JupData!$A$2:$A$10000&amp;JupData!$J$2:$J$10000,0),11))</f>
        <v/>
      </c>
      <c r="Q469" t="str">
        <f t="array" ref="Q469">IF($A469="","",INDEX(JupData!$A$2:$K$10000,MATCH($A469&amp;Q$1,JupData!$A$2:$A$10000&amp;JupData!$J$2:$J$10000,0),11))</f>
        <v/>
      </c>
      <c r="R469" t="str">
        <f t="array" ref="R469">IF($A469="","",INDEX(JupData!$A$2:$K$10000,MATCH($A469&amp;R$1,JupData!$A$2:$A$10000&amp;JupData!$J$2:$J$10000,0),11))</f>
        <v/>
      </c>
      <c r="S469" t="str">
        <f t="array" ref="S469">IF($A469="","",INDEX(JupData!$A$2:$K$10000,MATCH($A469&amp;S$1,JupData!$A$2:$A$10000&amp;JupData!$J$2:$J$10000,0),11))</f>
        <v/>
      </c>
      <c r="T469" t="str">
        <f t="array" ref="T469">IF($A469="","",INDEX(JupData!$A$2:$K$10000,MATCH($A469&amp;T$1,JupData!$A$2:$A$10000&amp;JupData!$J$2:$J$10000,0),11))</f>
        <v/>
      </c>
      <c r="U469" t="str">
        <f t="array" ref="U469">IF($A469="","",INDEX(JupData!$A$2:$K$10000,MATCH($A469&amp;U$1,JupData!$A$2:$A$10000&amp;JupData!$J$2:$J$10000,0),11))</f>
        <v/>
      </c>
      <c r="V469" t="str">
        <f t="array" ref="V469">IF($A469="","",INDEX(JupData!$A$2:$K$10000,MATCH($A469&amp;V$1,JupData!$A$2:$A$10000&amp;JupData!$J$2:$J$10000,0),11))</f>
        <v/>
      </c>
      <c r="W469" t="str">
        <f t="array" ref="W469">IF($A469="","",INDEX(JupData!$A$2:$K$10000,MATCH($A469&amp;W$1,JupData!$A$2:$A$10000&amp;JupData!$J$2:$J$10000,0),11))</f>
        <v/>
      </c>
      <c r="X469" t="str">
        <f t="array" ref="X469">IF($A469="","",INDEX(JupData!$A$2:$K$10000,MATCH($A469&amp;X$1,JupData!$A$2:$A$10000&amp;JupData!$J$2:$J$10000,0),11))</f>
        <v/>
      </c>
      <c r="Y469" t="str">
        <f t="array" ref="Y469">IF($A469="","",INDEX(JupData!$A$2:$K$10000,MATCH($A469&amp;Y$1,JupData!$A$2:$A$10000&amp;JupData!$J$2:$J$10000,0),11))</f>
        <v/>
      </c>
      <c r="Z469" t="str">
        <f t="array" ref="Z469">IF($A469="","",INDEX(JupData!$A$2:$K$10000,MATCH($A469&amp;Z$1,JupData!$A$2:$A$10000&amp;JupData!$J$2:$J$10000,0),11))</f>
        <v/>
      </c>
      <c r="AA469" t="str">
        <f t="array" ref="AA469">IF($A469="","",INDEX(JupData!$A$2:$K$10000,MATCH($A469&amp;AA$1,JupData!$A$2:$A$10000&amp;JupData!$J$2:$J$10000,0),11))</f>
        <v/>
      </c>
      <c r="AB469" t="str">
        <f t="array" ref="AB469">IF($A469="","",INDEX(JupData!$A$2:$K$10000,MATCH($A469&amp;AB$1,JupData!$A$2:$A$10000&amp;JupData!$J$2:$J$10000,0),11))</f>
        <v/>
      </c>
      <c r="AC469" s="10" t="str">
        <f t="shared" si="77"/>
        <v/>
      </c>
      <c r="AD469" s="10" t="str">
        <f t="shared" si="78"/>
        <v/>
      </c>
      <c r="AE469" s="9" t="str">
        <f t="shared" si="79"/>
        <v/>
      </c>
      <c r="AF469" s="10" t="str">
        <f t="shared" si="80"/>
        <v/>
      </c>
      <c r="AG469" s="10" t="str">
        <f t="shared" si="81"/>
        <v/>
      </c>
      <c r="AH469" s="10" t="str">
        <f t="shared" si="82"/>
        <v/>
      </c>
      <c r="AI469" s="10" t="str">
        <f t="shared" si="83"/>
        <v/>
      </c>
      <c r="AJ469" s="10" t="str">
        <f t="shared" si="84"/>
        <v/>
      </c>
      <c r="AK469" s="10" t="str">
        <f t="shared" si="85"/>
        <v/>
      </c>
      <c r="AL469" s="14" t="str">
        <f t="shared" si="86"/>
        <v/>
      </c>
    </row>
    <row r="470" spans="1:38" x14ac:dyDescent="0.2">
      <c r="A470"/>
      <c r="B470" t="str">
        <f>IF($A470="","",VLOOKUP($A470,JupData!$A$2:$I$10000,4,FALSE))</f>
        <v/>
      </c>
      <c r="C470" s="7" t="str">
        <f>IF($A470="",IF(N(D470),0,""),VLOOKUP($A470,JupData!$A$2:$I$10000,7,FALSE))</f>
        <v/>
      </c>
      <c r="D470" t="str">
        <f t="shared" si="87"/>
        <v/>
      </c>
      <c r="E470" t="str">
        <f t="array" ref="E470">IF($A470="","",INDEX(JupData!$A$2:$K$10000,MATCH($A470&amp;E$1,JupData!$A$2:$A$10000&amp;JupData!$J$2:$J$10000,0),11))</f>
        <v/>
      </c>
      <c r="F470" t="str">
        <f t="array" ref="F470">IF($A470="","",INDEX(JupData!$A$2:$K$10000,MATCH($A470&amp;F$1,JupData!$A$2:$A$10000&amp;JupData!$J$2:$J$10000,0),11))</f>
        <v/>
      </c>
      <c r="G470" t="str">
        <f t="array" ref="G470">IF($A470="","",INDEX(JupData!$A$2:$K$10000,MATCH($A470&amp;G$1,JupData!$A$2:$A$10000&amp;JupData!$J$2:$J$10000,0),11))</f>
        <v/>
      </c>
      <c r="H470" t="str">
        <f t="array" ref="H470">IF($A470="","",INDEX(JupData!$A$2:$K$10000,MATCH($A470&amp;H$1,JupData!$A$2:$A$10000&amp;JupData!$J$2:$J$10000,0),11))</f>
        <v/>
      </c>
      <c r="I470" t="str">
        <f t="array" ref="I470">IF($A470="","",INDEX(JupData!$A$2:$K$10000,MATCH($A470&amp;I$1,JupData!$A$2:$A$10000&amp;JupData!$J$2:$J$10000,0),11))</f>
        <v/>
      </c>
      <c r="J470" t="str">
        <f t="array" ref="J470">IF($A470="","",INDEX(JupData!$A$2:$K$10000,MATCH($A470&amp;J$1,JupData!$A$2:$A$10000&amp;JupData!$J$2:$J$10000,0),11))</f>
        <v/>
      </c>
      <c r="K470" t="str">
        <f t="array" ref="K470">IF($A470="","",INDEX(JupData!$A$2:$K$10000,MATCH($A470&amp;K$1,JupData!$A$2:$A$10000&amp;JupData!$J$2:$J$10000,0),11))</f>
        <v/>
      </c>
      <c r="L470" t="str">
        <f t="array" ref="L470">IF($A470="","",INDEX(JupData!$A$2:$K$10000,MATCH($A470&amp;L$1,JupData!$A$2:$A$10000&amp;JupData!$J$2:$J$10000,0),11))</f>
        <v/>
      </c>
      <c r="M470" t="str">
        <f t="array" ref="M470">IF($A470="","",INDEX(JupData!$A$2:$K$10000,MATCH($A470&amp;M$1,JupData!$A$2:$A$10000&amp;JupData!$J$2:$J$10000,0),11))</f>
        <v/>
      </c>
      <c r="N470" t="str">
        <f t="array" ref="N470">IF($A470="","",INDEX(JupData!$A$2:$K$10000,MATCH($A470&amp;N$1,JupData!$A$2:$A$10000&amp;JupData!$J$2:$J$10000,0),11))</f>
        <v/>
      </c>
      <c r="O470" t="str">
        <f t="array" ref="O470">IF($A470="","",INDEX(JupData!$A$2:$K$10000,MATCH($A470&amp;O$1,JupData!$A$2:$A$10000&amp;JupData!$J$2:$J$10000,0),11))</f>
        <v/>
      </c>
      <c r="P470" t="str">
        <f t="array" ref="P470">IF($A470="","",INDEX(JupData!$A$2:$K$10000,MATCH($A470&amp;P$1,JupData!$A$2:$A$10000&amp;JupData!$J$2:$J$10000,0),11))</f>
        <v/>
      </c>
      <c r="Q470" t="str">
        <f t="array" ref="Q470">IF($A470="","",INDEX(JupData!$A$2:$K$10000,MATCH($A470&amp;Q$1,JupData!$A$2:$A$10000&amp;JupData!$J$2:$J$10000,0),11))</f>
        <v/>
      </c>
      <c r="R470" t="str">
        <f t="array" ref="R470">IF($A470="","",INDEX(JupData!$A$2:$K$10000,MATCH($A470&amp;R$1,JupData!$A$2:$A$10000&amp;JupData!$J$2:$J$10000,0),11))</f>
        <v/>
      </c>
      <c r="S470" t="str">
        <f t="array" ref="S470">IF($A470="","",INDEX(JupData!$A$2:$K$10000,MATCH($A470&amp;S$1,JupData!$A$2:$A$10000&amp;JupData!$J$2:$J$10000,0),11))</f>
        <v/>
      </c>
      <c r="T470" t="str">
        <f t="array" ref="T470">IF($A470="","",INDEX(JupData!$A$2:$K$10000,MATCH($A470&amp;T$1,JupData!$A$2:$A$10000&amp;JupData!$J$2:$J$10000,0),11))</f>
        <v/>
      </c>
      <c r="U470" t="str">
        <f t="array" ref="U470">IF($A470="","",INDEX(JupData!$A$2:$K$10000,MATCH($A470&amp;U$1,JupData!$A$2:$A$10000&amp;JupData!$J$2:$J$10000,0),11))</f>
        <v/>
      </c>
      <c r="V470" t="str">
        <f t="array" ref="V470">IF($A470="","",INDEX(JupData!$A$2:$K$10000,MATCH($A470&amp;V$1,JupData!$A$2:$A$10000&amp;JupData!$J$2:$J$10000,0),11))</f>
        <v/>
      </c>
      <c r="W470" t="str">
        <f t="array" ref="W470">IF($A470="","",INDEX(JupData!$A$2:$K$10000,MATCH($A470&amp;W$1,JupData!$A$2:$A$10000&amp;JupData!$J$2:$J$10000,0),11))</f>
        <v/>
      </c>
      <c r="X470" t="str">
        <f t="array" ref="X470">IF($A470="","",INDEX(JupData!$A$2:$K$10000,MATCH($A470&amp;X$1,JupData!$A$2:$A$10000&amp;JupData!$J$2:$J$10000,0),11))</f>
        <v/>
      </c>
      <c r="Y470" t="str">
        <f t="array" ref="Y470">IF($A470="","",INDEX(JupData!$A$2:$K$10000,MATCH($A470&amp;Y$1,JupData!$A$2:$A$10000&amp;JupData!$J$2:$J$10000,0),11))</f>
        <v/>
      </c>
      <c r="Z470" t="str">
        <f t="array" ref="Z470">IF($A470="","",INDEX(JupData!$A$2:$K$10000,MATCH($A470&amp;Z$1,JupData!$A$2:$A$10000&amp;JupData!$J$2:$J$10000,0),11))</f>
        <v/>
      </c>
      <c r="AA470" t="str">
        <f t="array" ref="AA470">IF($A470="","",INDEX(JupData!$A$2:$K$10000,MATCH($A470&amp;AA$1,JupData!$A$2:$A$10000&amp;JupData!$J$2:$J$10000,0),11))</f>
        <v/>
      </c>
      <c r="AB470" t="str">
        <f t="array" ref="AB470">IF($A470="","",INDEX(JupData!$A$2:$K$10000,MATCH($A470&amp;AB$1,JupData!$A$2:$A$10000&amp;JupData!$J$2:$J$10000,0),11))</f>
        <v/>
      </c>
      <c r="AC470" s="10" t="str">
        <f t="shared" si="77"/>
        <v/>
      </c>
      <c r="AD470" s="10" t="str">
        <f t="shared" si="78"/>
        <v/>
      </c>
      <c r="AE470" s="9" t="str">
        <f t="shared" si="79"/>
        <v/>
      </c>
      <c r="AF470" s="10" t="str">
        <f t="shared" si="80"/>
        <v/>
      </c>
      <c r="AG470" s="10" t="str">
        <f t="shared" si="81"/>
        <v/>
      </c>
      <c r="AH470" s="10" t="str">
        <f t="shared" si="82"/>
        <v/>
      </c>
      <c r="AI470" s="10" t="str">
        <f t="shared" si="83"/>
        <v/>
      </c>
      <c r="AJ470" s="10" t="str">
        <f t="shared" si="84"/>
        <v/>
      </c>
      <c r="AK470" s="10" t="str">
        <f t="shared" si="85"/>
        <v/>
      </c>
      <c r="AL470" s="14" t="str">
        <f t="shared" si="86"/>
        <v/>
      </c>
    </row>
    <row r="471" spans="1:38" x14ac:dyDescent="0.2">
      <c r="A471"/>
      <c r="B471" t="str">
        <f>IF($A471="","",VLOOKUP($A471,JupData!$A$2:$I$10000,4,FALSE))</f>
        <v/>
      </c>
      <c r="C471" s="7" t="str">
        <f>IF($A471="",IF(N(D471),0,""),VLOOKUP($A471,JupData!$A$2:$I$10000,7,FALSE))</f>
        <v/>
      </c>
      <c r="D471" t="str">
        <f t="shared" si="87"/>
        <v/>
      </c>
      <c r="E471" t="str">
        <f t="array" ref="E471">IF($A471="","",INDEX(JupData!$A$2:$K$10000,MATCH($A471&amp;E$1,JupData!$A$2:$A$10000&amp;JupData!$J$2:$J$10000,0),11))</f>
        <v/>
      </c>
      <c r="F471" t="str">
        <f t="array" ref="F471">IF($A471="","",INDEX(JupData!$A$2:$K$10000,MATCH($A471&amp;F$1,JupData!$A$2:$A$10000&amp;JupData!$J$2:$J$10000,0),11))</f>
        <v/>
      </c>
      <c r="G471" t="str">
        <f t="array" ref="G471">IF($A471="","",INDEX(JupData!$A$2:$K$10000,MATCH($A471&amp;G$1,JupData!$A$2:$A$10000&amp;JupData!$J$2:$J$10000,0),11))</f>
        <v/>
      </c>
      <c r="H471" t="str">
        <f t="array" ref="H471">IF($A471="","",INDEX(JupData!$A$2:$K$10000,MATCH($A471&amp;H$1,JupData!$A$2:$A$10000&amp;JupData!$J$2:$J$10000,0),11))</f>
        <v/>
      </c>
      <c r="I471" t="str">
        <f t="array" ref="I471">IF($A471="","",INDEX(JupData!$A$2:$K$10000,MATCH($A471&amp;I$1,JupData!$A$2:$A$10000&amp;JupData!$J$2:$J$10000,0),11))</f>
        <v/>
      </c>
      <c r="J471" t="str">
        <f t="array" ref="J471">IF($A471="","",INDEX(JupData!$A$2:$K$10000,MATCH($A471&amp;J$1,JupData!$A$2:$A$10000&amp;JupData!$J$2:$J$10000,0),11))</f>
        <v/>
      </c>
      <c r="K471" t="str">
        <f t="array" ref="K471">IF($A471="","",INDEX(JupData!$A$2:$K$10000,MATCH($A471&amp;K$1,JupData!$A$2:$A$10000&amp;JupData!$J$2:$J$10000,0),11))</f>
        <v/>
      </c>
      <c r="L471" t="str">
        <f t="array" ref="L471">IF($A471="","",INDEX(JupData!$A$2:$K$10000,MATCH($A471&amp;L$1,JupData!$A$2:$A$10000&amp;JupData!$J$2:$J$10000,0),11))</f>
        <v/>
      </c>
      <c r="M471" t="str">
        <f t="array" ref="M471">IF($A471="","",INDEX(JupData!$A$2:$K$10000,MATCH($A471&amp;M$1,JupData!$A$2:$A$10000&amp;JupData!$J$2:$J$10000,0),11))</f>
        <v/>
      </c>
      <c r="N471" t="str">
        <f t="array" ref="N471">IF($A471="","",INDEX(JupData!$A$2:$K$10000,MATCH($A471&amp;N$1,JupData!$A$2:$A$10000&amp;JupData!$J$2:$J$10000,0),11))</f>
        <v/>
      </c>
      <c r="O471" t="str">
        <f t="array" ref="O471">IF($A471="","",INDEX(JupData!$A$2:$K$10000,MATCH($A471&amp;O$1,JupData!$A$2:$A$10000&amp;JupData!$J$2:$J$10000,0),11))</f>
        <v/>
      </c>
      <c r="P471" t="str">
        <f t="array" ref="P471">IF($A471="","",INDEX(JupData!$A$2:$K$10000,MATCH($A471&amp;P$1,JupData!$A$2:$A$10000&amp;JupData!$J$2:$J$10000,0),11))</f>
        <v/>
      </c>
      <c r="Q471" t="str">
        <f t="array" ref="Q471">IF($A471="","",INDEX(JupData!$A$2:$K$10000,MATCH($A471&amp;Q$1,JupData!$A$2:$A$10000&amp;JupData!$J$2:$J$10000,0),11))</f>
        <v/>
      </c>
      <c r="R471" t="str">
        <f t="array" ref="R471">IF($A471="","",INDEX(JupData!$A$2:$K$10000,MATCH($A471&amp;R$1,JupData!$A$2:$A$10000&amp;JupData!$J$2:$J$10000,0),11))</f>
        <v/>
      </c>
      <c r="S471" t="str">
        <f t="array" ref="S471">IF($A471="","",INDEX(JupData!$A$2:$K$10000,MATCH($A471&amp;S$1,JupData!$A$2:$A$10000&amp;JupData!$J$2:$J$10000,0),11))</f>
        <v/>
      </c>
      <c r="T471" t="str">
        <f t="array" ref="T471">IF($A471="","",INDEX(JupData!$A$2:$K$10000,MATCH($A471&amp;T$1,JupData!$A$2:$A$10000&amp;JupData!$J$2:$J$10000,0),11))</f>
        <v/>
      </c>
      <c r="U471" t="str">
        <f t="array" ref="U471">IF($A471="","",INDEX(JupData!$A$2:$K$10000,MATCH($A471&amp;U$1,JupData!$A$2:$A$10000&amp;JupData!$J$2:$J$10000,0),11))</f>
        <v/>
      </c>
      <c r="V471" t="str">
        <f t="array" ref="V471">IF($A471="","",INDEX(JupData!$A$2:$K$10000,MATCH($A471&amp;V$1,JupData!$A$2:$A$10000&amp;JupData!$J$2:$J$10000,0),11))</f>
        <v/>
      </c>
      <c r="W471" t="str">
        <f t="array" ref="W471">IF($A471="","",INDEX(JupData!$A$2:$K$10000,MATCH($A471&amp;W$1,JupData!$A$2:$A$10000&amp;JupData!$J$2:$J$10000,0),11))</f>
        <v/>
      </c>
      <c r="X471" t="str">
        <f t="array" ref="X471">IF($A471="","",INDEX(JupData!$A$2:$K$10000,MATCH($A471&amp;X$1,JupData!$A$2:$A$10000&amp;JupData!$J$2:$J$10000,0),11))</f>
        <v/>
      </c>
      <c r="Y471" t="str">
        <f t="array" ref="Y471">IF($A471="","",INDEX(JupData!$A$2:$K$10000,MATCH($A471&amp;Y$1,JupData!$A$2:$A$10000&amp;JupData!$J$2:$J$10000,0),11))</f>
        <v/>
      </c>
      <c r="Z471" t="str">
        <f t="array" ref="Z471">IF($A471="","",INDEX(JupData!$A$2:$K$10000,MATCH($A471&amp;Z$1,JupData!$A$2:$A$10000&amp;JupData!$J$2:$J$10000,0),11))</f>
        <v/>
      </c>
      <c r="AA471" t="str">
        <f t="array" ref="AA471">IF($A471="","",INDEX(JupData!$A$2:$K$10000,MATCH($A471&amp;AA$1,JupData!$A$2:$A$10000&amp;JupData!$J$2:$J$10000,0),11))</f>
        <v/>
      </c>
      <c r="AB471" t="str">
        <f t="array" ref="AB471">IF($A471="","",INDEX(JupData!$A$2:$K$10000,MATCH($A471&amp;AB$1,JupData!$A$2:$A$10000&amp;JupData!$J$2:$J$10000,0),11))</f>
        <v/>
      </c>
      <c r="AC471" s="10" t="str">
        <f t="shared" si="77"/>
        <v/>
      </c>
      <c r="AD471" s="10" t="str">
        <f t="shared" si="78"/>
        <v/>
      </c>
      <c r="AE471" s="9" t="str">
        <f t="shared" si="79"/>
        <v/>
      </c>
      <c r="AF471" s="10" t="str">
        <f t="shared" si="80"/>
        <v/>
      </c>
      <c r="AG471" s="10" t="str">
        <f t="shared" si="81"/>
        <v/>
      </c>
      <c r="AH471" s="10" t="str">
        <f t="shared" si="82"/>
        <v/>
      </c>
      <c r="AI471" s="10" t="str">
        <f t="shared" si="83"/>
        <v/>
      </c>
      <c r="AJ471" s="10" t="str">
        <f t="shared" si="84"/>
        <v/>
      </c>
      <c r="AK471" s="10" t="str">
        <f t="shared" si="85"/>
        <v/>
      </c>
      <c r="AL471" s="14" t="str">
        <f t="shared" si="86"/>
        <v/>
      </c>
    </row>
    <row r="472" spans="1:38" x14ac:dyDescent="0.2">
      <c r="A472"/>
      <c r="B472" t="str">
        <f>IF($A472="","",VLOOKUP($A472,JupData!$A$2:$I$10000,4,FALSE))</f>
        <v/>
      </c>
      <c r="C472" s="7" t="str">
        <f>IF($A472="",IF(N(D472),0,""),VLOOKUP($A472,JupData!$A$2:$I$10000,7,FALSE))</f>
        <v/>
      </c>
      <c r="D472" t="str">
        <f t="shared" si="87"/>
        <v/>
      </c>
      <c r="E472" t="str">
        <f t="array" ref="E472">IF($A472="","",INDEX(JupData!$A$2:$K$10000,MATCH($A472&amp;E$1,JupData!$A$2:$A$10000&amp;JupData!$J$2:$J$10000,0),11))</f>
        <v/>
      </c>
      <c r="F472" t="str">
        <f t="array" ref="F472">IF($A472="","",INDEX(JupData!$A$2:$K$10000,MATCH($A472&amp;F$1,JupData!$A$2:$A$10000&amp;JupData!$J$2:$J$10000,0),11))</f>
        <v/>
      </c>
      <c r="G472" t="str">
        <f t="array" ref="G472">IF($A472="","",INDEX(JupData!$A$2:$K$10000,MATCH($A472&amp;G$1,JupData!$A$2:$A$10000&amp;JupData!$J$2:$J$10000,0),11))</f>
        <v/>
      </c>
      <c r="H472" t="str">
        <f t="array" ref="H472">IF($A472="","",INDEX(JupData!$A$2:$K$10000,MATCH($A472&amp;H$1,JupData!$A$2:$A$10000&amp;JupData!$J$2:$J$10000,0),11))</f>
        <v/>
      </c>
      <c r="I472" t="str">
        <f t="array" ref="I472">IF($A472="","",INDEX(JupData!$A$2:$K$10000,MATCH($A472&amp;I$1,JupData!$A$2:$A$10000&amp;JupData!$J$2:$J$10000,0),11))</f>
        <v/>
      </c>
      <c r="J472" t="str">
        <f t="array" ref="J472">IF($A472="","",INDEX(JupData!$A$2:$K$10000,MATCH($A472&amp;J$1,JupData!$A$2:$A$10000&amp;JupData!$J$2:$J$10000,0),11))</f>
        <v/>
      </c>
      <c r="K472" t="str">
        <f t="array" ref="K472">IF($A472="","",INDEX(JupData!$A$2:$K$10000,MATCH($A472&amp;K$1,JupData!$A$2:$A$10000&amp;JupData!$J$2:$J$10000,0),11))</f>
        <v/>
      </c>
      <c r="L472" t="str">
        <f t="array" ref="L472">IF($A472="","",INDEX(JupData!$A$2:$K$10000,MATCH($A472&amp;L$1,JupData!$A$2:$A$10000&amp;JupData!$J$2:$J$10000,0),11))</f>
        <v/>
      </c>
      <c r="M472" t="str">
        <f t="array" ref="M472">IF($A472="","",INDEX(JupData!$A$2:$K$10000,MATCH($A472&amp;M$1,JupData!$A$2:$A$10000&amp;JupData!$J$2:$J$10000,0),11))</f>
        <v/>
      </c>
      <c r="N472" t="str">
        <f t="array" ref="N472">IF($A472="","",INDEX(JupData!$A$2:$K$10000,MATCH($A472&amp;N$1,JupData!$A$2:$A$10000&amp;JupData!$J$2:$J$10000,0),11))</f>
        <v/>
      </c>
      <c r="O472" t="str">
        <f t="array" ref="O472">IF($A472="","",INDEX(JupData!$A$2:$K$10000,MATCH($A472&amp;O$1,JupData!$A$2:$A$10000&amp;JupData!$J$2:$J$10000,0),11))</f>
        <v/>
      </c>
      <c r="P472" t="str">
        <f t="array" ref="P472">IF($A472="","",INDEX(JupData!$A$2:$K$10000,MATCH($A472&amp;P$1,JupData!$A$2:$A$10000&amp;JupData!$J$2:$J$10000,0),11))</f>
        <v/>
      </c>
      <c r="Q472" t="str">
        <f t="array" ref="Q472">IF($A472="","",INDEX(JupData!$A$2:$K$10000,MATCH($A472&amp;Q$1,JupData!$A$2:$A$10000&amp;JupData!$J$2:$J$10000,0),11))</f>
        <v/>
      </c>
      <c r="R472" t="str">
        <f t="array" ref="R472">IF($A472="","",INDEX(JupData!$A$2:$K$10000,MATCH($A472&amp;R$1,JupData!$A$2:$A$10000&amp;JupData!$J$2:$J$10000,0),11))</f>
        <v/>
      </c>
      <c r="S472" t="str">
        <f t="array" ref="S472">IF($A472="","",INDEX(JupData!$A$2:$K$10000,MATCH($A472&amp;S$1,JupData!$A$2:$A$10000&amp;JupData!$J$2:$J$10000,0),11))</f>
        <v/>
      </c>
      <c r="T472" t="str">
        <f t="array" ref="T472">IF($A472="","",INDEX(JupData!$A$2:$K$10000,MATCH($A472&amp;T$1,JupData!$A$2:$A$10000&amp;JupData!$J$2:$J$10000,0),11))</f>
        <v/>
      </c>
      <c r="U472" t="str">
        <f t="array" ref="U472">IF($A472="","",INDEX(JupData!$A$2:$K$10000,MATCH($A472&amp;U$1,JupData!$A$2:$A$10000&amp;JupData!$J$2:$J$10000,0),11))</f>
        <v/>
      </c>
      <c r="V472" t="str">
        <f t="array" ref="V472">IF($A472="","",INDEX(JupData!$A$2:$K$10000,MATCH($A472&amp;V$1,JupData!$A$2:$A$10000&amp;JupData!$J$2:$J$10000,0),11))</f>
        <v/>
      </c>
      <c r="W472" t="str">
        <f t="array" ref="W472">IF($A472="","",INDEX(JupData!$A$2:$K$10000,MATCH($A472&amp;W$1,JupData!$A$2:$A$10000&amp;JupData!$J$2:$J$10000,0),11))</f>
        <v/>
      </c>
      <c r="X472" t="str">
        <f t="array" ref="X472">IF($A472="","",INDEX(JupData!$A$2:$K$10000,MATCH($A472&amp;X$1,JupData!$A$2:$A$10000&amp;JupData!$J$2:$J$10000,0),11))</f>
        <v/>
      </c>
      <c r="Y472" t="str">
        <f t="array" ref="Y472">IF($A472="","",INDEX(JupData!$A$2:$K$10000,MATCH($A472&amp;Y$1,JupData!$A$2:$A$10000&amp;JupData!$J$2:$J$10000,0),11))</f>
        <v/>
      </c>
      <c r="Z472" t="str">
        <f t="array" ref="Z472">IF($A472="","",INDEX(JupData!$A$2:$K$10000,MATCH($A472&amp;Z$1,JupData!$A$2:$A$10000&amp;JupData!$J$2:$J$10000,0),11))</f>
        <v/>
      </c>
      <c r="AA472" t="str">
        <f t="array" ref="AA472">IF($A472="","",INDEX(JupData!$A$2:$K$10000,MATCH($A472&amp;AA$1,JupData!$A$2:$A$10000&amp;JupData!$J$2:$J$10000,0),11))</f>
        <v/>
      </c>
      <c r="AB472" t="str">
        <f t="array" ref="AB472">IF($A472="","",INDEX(JupData!$A$2:$K$10000,MATCH($A472&amp;AB$1,JupData!$A$2:$A$10000&amp;JupData!$J$2:$J$10000,0),11))</f>
        <v/>
      </c>
      <c r="AC472" s="10" t="str">
        <f t="shared" si="77"/>
        <v/>
      </c>
      <c r="AD472" s="10" t="str">
        <f t="shared" si="78"/>
        <v/>
      </c>
      <c r="AE472" s="9" t="str">
        <f t="shared" si="79"/>
        <v/>
      </c>
      <c r="AF472" s="10" t="str">
        <f t="shared" si="80"/>
        <v/>
      </c>
      <c r="AG472" s="10" t="str">
        <f t="shared" si="81"/>
        <v/>
      </c>
      <c r="AH472" s="10" t="str">
        <f t="shared" si="82"/>
        <v/>
      </c>
      <c r="AI472" s="10" t="str">
        <f t="shared" si="83"/>
        <v/>
      </c>
      <c r="AJ472" s="10" t="str">
        <f t="shared" si="84"/>
        <v/>
      </c>
      <c r="AK472" s="10" t="str">
        <f t="shared" si="85"/>
        <v/>
      </c>
      <c r="AL472" s="14" t="str">
        <f t="shared" si="86"/>
        <v/>
      </c>
    </row>
    <row r="473" spans="1:38" x14ac:dyDescent="0.2">
      <c r="A473"/>
      <c r="B473" t="str">
        <f>IF($A473="","",VLOOKUP($A473,JupData!$A$2:$I$10000,4,FALSE))</f>
        <v/>
      </c>
      <c r="C473" s="7" t="str">
        <f>IF($A473="",IF(N(D473),0,""),VLOOKUP($A473,JupData!$A$2:$I$10000,7,FALSE))</f>
        <v/>
      </c>
      <c r="D473" t="str">
        <f t="shared" si="87"/>
        <v/>
      </c>
      <c r="E473" t="str">
        <f t="array" ref="E473">IF($A473="","",INDEX(JupData!$A$2:$K$10000,MATCH($A473&amp;E$1,JupData!$A$2:$A$10000&amp;JupData!$J$2:$J$10000,0),11))</f>
        <v/>
      </c>
      <c r="F473" t="str">
        <f t="array" ref="F473">IF($A473="","",INDEX(JupData!$A$2:$K$10000,MATCH($A473&amp;F$1,JupData!$A$2:$A$10000&amp;JupData!$J$2:$J$10000,0),11))</f>
        <v/>
      </c>
      <c r="G473" t="str">
        <f t="array" ref="G473">IF($A473="","",INDEX(JupData!$A$2:$K$10000,MATCH($A473&amp;G$1,JupData!$A$2:$A$10000&amp;JupData!$J$2:$J$10000,0),11))</f>
        <v/>
      </c>
      <c r="H473" t="str">
        <f t="array" ref="H473">IF($A473="","",INDEX(JupData!$A$2:$K$10000,MATCH($A473&amp;H$1,JupData!$A$2:$A$10000&amp;JupData!$J$2:$J$10000,0),11))</f>
        <v/>
      </c>
      <c r="I473" t="str">
        <f t="array" ref="I473">IF($A473="","",INDEX(JupData!$A$2:$K$10000,MATCH($A473&amp;I$1,JupData!$A$2:$A$10000&amp;JupData!$J$2:$J$10000,0),11))</f>
        <v/>
      </c>
      <c r="J473" t="str">
        <f t="array" ref="J473">IF($A473="","",INDEX(JupData!$A$2:$K$10000,MATCH($A473&amp;J$1,JupData!$A$2:$A$10000&amp;JupData!$J$2:$J$10000,0),11))</f>
        <v/>
      </c>
      <c r="K473" t="str">
        <f t="array" ref="K473">IF($A473="","",INDEX(JupData!$A$2:$K$10000,MATCH($A473&amp;K$1,JupData!$A$2:$A$10000&amp;JupData!$J$2:$J$10000,0),11))</f>
        <v/>
      </c>
      <c r="L473" t="str">
        <f t="array" ref="L473">IF($A473="","",INDEX(JupData!$A$2:$K$10000,MATCH($A473&amp;L$1,JupData!$A$2:$A$10000&amp;JupData!$J$2:$J$10000,0),11))</f>
        <v/>
      </c>
      <c r="M473" t="str">
        <f t="array" ref="M473">IF($A473="","",INDEX(JupData!$A$2:$K$10000,MATCH($A473&amp;M$1,JupData!$A$2:$A$10000&amp;JupData!$J$2:$J$10000,0),11))</f>
        <v/>
      </c>
      <c r="N473" t="str">
        <f t="array" ref="N473">IF($A473="","",INDEX(JupData!$A$2:$K$10000,MATCH($A473&amp;N$1,JupData!$A$2:$A$10000&amp;JupData!$J$2:$J$10000,0),11))</f>
        <v/>
      </c>
      <c r="O473" t="str">
        <f t="array" ref="O473">IF($A473="","",INDEX(JupData!$A$2:$K$10000,MATCH($A473&amp;O$1,JupData!$A$2:$A$10000&amp;JupData!$J$2:$J$10000,0),11))</f>
        <v/>
      </c>
      <c r="P473" t="str">
        <f t="array" ref="P473">IF($A473="","",INDEX(JupData!$A$2:$K$10000,MATCH($A473&amp;P$1,JupData!$A$2:$A$10000&amp;JupData!$J$2:$J$10000,0),11))</f>
        <v/>
      </c>
      <c r="Q473" t="str">
        <f t="array" ref="Q473">IF($A473="","",INDEX(JupData!$A$2:$K$10000,MATCH($A473&amp;Q$1,JupData!$A$2:$A$10000&amp;JupData!$J$2:$J$10000,0),11))</f>
        <v/>
      </c>
      <c r="R473" t="str">
        <f t="array" ref="R473">IF($A473="","",INDEX(JupData!$A$2:$K$10000,MATCH($A473&amp;R$1,JupData!$A$2:$A$10000&amp;JupData!$J$2:$J$10000,0),11))</f>
        <v/>
      </c>
      <c r="S473" t="str">
        <f t="array" ref="S473">IF($A473="","",INDEX(JupData!$A$2:$K$10000,MATCH($A473&amp;S$1,JupData!$A$2:$A$10000&amp;JupData!$J$2:$J$10000,0),11))</f>
        <v/>
      </c>
      <c r="T473" t="str">
        <f t="array" ref="T473">IF($A473="","",INDEX(JupData!$A$2:$K$10000,MATCH($A473&amp;T$1,JupData!$A$2:$A$10000&amp;JupData!$J$2:$J$10000,0),11))</f>
        <v/>
      </c>
      <c r="U473" t="str">
        <f t="array" ref="U473">IF($A473="","",INDEX(JupData!$A$2:$K$10000,MATCH($A473&amp;U$1,JupData!$A$2:$A$10000&amp;JupData!$J$2:$J$10000,0),11))</f>
        <v/>
      </c>
      <c r="V473" t="str">
        <f t="array" ref="V473">IF($A473="","",INDEX(JupData!$A$2:$K$10000,MATCH($A473&amp;V$1,JupData!$A$2:$A$10000&amp;JupData!$J$2:$J$10000,0),11))</f>
        <v/>
      </c>
      <c r="W473" t="str">
        <f t="array" ref="W473">IF($A473="","",INDEX(JupData!$A$2:$K$10000,MATCH($A473&amp;W$1,JupData!$A$2:$A$10000&amp;JupData!$J$2:$J$10000,0),11))</f>
        <v/>
      </c>
      <c r="X473" t="str">
        <f t="array" ref="X473">IF($A473="","",INDEX(JupData!$A$2:$K$10000,MATCH($A473&amp;X$1,JupData!$A$2:$A$10000&amp;JupData!$J$2:$J$10000,0),11))</f>
        <v/>
      </c>
      <c r="Y473" t="str">
        <f t="array" ref="Y473">IF($A473="","",INDEX(JupData!$A$2:$K$10000,MATCH($A473&amp;Y$1,JupData!$A$2:$A$10000&amp;JupData!$J$2:$J$10000,0),11))</f>
        <v/>
      </c>
      <c r="Z473" t="str">
        <f t="array" ref="Z473">IF($A473="","",INDEX(JupData!$A$2:$K$10000,MATCH($A473&amp;Z$1,JupData!$A$2:$A$10000&amp;JupData!$J$2:$J$10000,0),11))</f>
        <v/>
      </c>
      <c r="AA473" t="str">
        <f t="array" ref="AA473">IF($A473="","",INDEX(JupData!$A$2:$K$10000,MATCH($A473&amp;AA$1,JupData!$A$2:$A$10000&amp;JupData!$J$2:$J$10000,0),11))</f>
        <v/>
      </c>
      <c r="AB473" t="str">
        <f t="array" ref="AB473">IF($A473="","",INDEX(JupData!$A$2:$K$10000,MATCH($A473&amp;AB$1,JupData!$A$2:$A$10000&amp;JupData!$J$2:$J$10000,0),11))</f>
        <v/>
      </c>
      <c r="AC473" s="10" t="str">
        <f t="shared" si="77"/>
        <v/>
      </c>
      <c r="AD473" s="10" t="str">
        <f t="shared" si="78"/>
        <v/>
      </c>
      <c r="AE473" s="9" t="str">
        <f t="shared" si="79"/>
        <v/>
      </c>
      <c r="AF473" s="10" t="str">
        <f t="shared" si="80"/>
        <v/>
      </c>
      <c r="AG473" s="10" t="str">
        <f t="shared" si="81"/>
        <v/>
      </c>
      <c r="AH473" s="10" t="str">
        <f t="shared" si="82"/>
        <v/>
      </c>
      <c r="AI473" s="10" t="str">
        <f t="shared" si="83"/>
        <v/>
      </c>
      <c r="AJ473" s="10" t="str">
        <f t="shared" si="84"/>
        <v/>
      </c>
      <c r="AK473" s="10" t="str">
        <f t="shared" si="85"/>
        <v/>
      </c>
      <c r="AL473" s="14" t="str">
        <f t="shared" si="86"/>
        <v/>
      </c>
    </row>
    <row r="474" spans="1:38" x14ac:dyDescent="0.2">
      <c r="A474"/>
      <c r="B474" t="str">
        <f>IF($A474="","",VLOOKUP($A474,JupData!$A$2:$I$10000,4,FALSE))</f>
        <v/>
      </c>
      <c r="C474" s="7" t="str">
        <f>IF($A474="",IF(N(D474),0,""),VLOOKUP($A474,JupData!$A$2:$I$10000,7,FALSE))</f>
        <v/>
      </c>
      <c r="D474" t="str">
        <f t="shared" si="87"/>
        <v/>
      </c>
      <c r="E474" t="str">
        <f t="array" ref="E474">IF($A474="","",INDEX(JupData!$A$2:$K$10000,MATCH($A474&amp;E$1,JupData!$A$2:$A$10000&amp;JupData!$J$2:$J$10000,0),11))</f>
        <v/>
      </c>
      <c r="F474" t="str">
        <f t="array" ref="F474">IF($A474="","",INDEX(JupData!$A$2:$K$10000,MATCH($A474&amp;F$1,JupData!$A$2:$A$10000&amp;JupData!$J$2:$J$10000,0),11))</f>
        <v/>
      </c>
      <c r="G474" t="str">
        <f t="array" ref="G474">IF($A474="","",INDEX(JupData!$A$2:$K$10000,MATCH($A474&amp;G$1,JupData!$A$2:$A$10000&amp;JupData!$J$2:$J$10000,0),11))</f>
        <v/>
      </c>
      <c r="H474" t="str">
        <f t="array" ref="H474">IF($A474="","",INDEX(JupData!$A$2:$K$10000,MATCH($A474&amp;H$1,JupData!$A$2:$A$10000&amp;JupData!$J$2:$J$10000,0),11))</f>
        <v/>
      </c>
      <c r="I474" t="str">
        <f t="array" ref="I474">IF($A474="","",INDEX(JupData!$A$2:$K$10000,MATCH($A474&amp;I$1,JupData!$A$2:$A$10000&amp;JupData!$J$2:$J$10000,0),11))</f>
        <v/>
      </c>
      <c r="J474" t="str">
        <f t="array" ref="J474">IF($A474="","",INDEX(JupData!$A$2:$K$10000,MATCH($A474&amp;J$1,JupData!$A$2:$A$10000&amp;JupData!$J$2:$J$10000,0),11))</f>
        <v/>
      </c>
      <c r="K474" t="str">
        <f t="array" ref="K474">IF($A474="","",INDEX(JupData!$A$2:$K$10000,MATCH($A474&amp;K$1,JupData!$A$2:$A$10000&amp;JupData!$J$2:$J$10000,0),11))</f>
        <v/>
      </c>
      <c r="L474" t="str">
        <f t="array" ref="L474">IF($A474="","",INDEX(JupData!$A$2:$K$10000,MATCH($A474&amp;L$1,JupData!$A$2:$A$10000&amp;JupData!$J$2:$J$10000,0),11))</f>
        <v/>
      </c>
      <c r="M474" t="str">
        <f t="array" ref="M474">IF($A474="","",INDEX(JupData!$A$2:$K$10000,MATCH($A474&amp;M$1,JupData!$A$2:$A$10000&amp;JupData!$J$2:$J$10000,0),11))</f>
        <v/>
      </c>
      <c r="N474" t="str">
        <f t="array" ref="N474">IF($A474="","",INDEX(JupData!$A$2:$K$10000,MATCH($A474&amp;N$1,JupData!$A$2:$A$10000&amp;JupData!$J$2:$J$10000,0),11))</f>
        <v/>
      </c>
      <c r="O474" t="str">
        <f t="array" ref="O474">IF($A474="","",INDEX(JupData!$A$2:$K$10000,MATCH($A474&amp;O$1,JupData!$A$2:$A$10000&amp;JupData!$J$2:$J$10000,0),11))</f>
        <v/>
      </c>
      <c r="P474" t="str">
        <f t="array" ref="P474">IF($A474="","",INDEX(JupData!$A$2:$K$10000,MATCH($A474&amp;P$1,JupData!$A$2:$A$10000&amp;JupData!$J$2:$J$10000,0),11))</f>
        <v/>
      </c>
      <c r="Q474" t="str">
        <f t="array" ref="Q474">IF($A474="","",INDEX(JupData!$A$2:$K$10000,MATCH($A474&amp;Q$1,JupData!$A$2:$A$10000&amp;JupData!$J$2:$J$10000,0),11))</f>
        <v/>
      </c>
      <c r="R474" t="str">
        <f t="array" ref="R474">IF($A474="","",INDEX(JupData!$A$2:$K$10000,MATCH($A474&amp;R$1,JupData!$A$2:$A$10000&amp;JupData!$J$2:$J$10000,0),11))</f>
        <v/>
      </c>
      <c r="S474" t="str">
        <f t="array" ref="S474">IF($A474="","",INDEX(JupData!$A$2:$K$10000,MATCH($A474&amp;S$1,JupData!$A$2:$A$10000&amp;JupData!$J$2:$J$10000,0),11))</f>
        <v/>
      </c>
      <c r="T474" t="str">
        <f t="array" ref="T474">IF($A474="","",INDEX(JupData!$A$2:$K$10000,MATCH($A474&amp;T$1,JupData!$A$2:$A$10000&amp;JupData!$J$2:$J$10000,0),11))</f>
        <v/>
      </c>
      <c r="U474" t="str">
        <f t="array" ref="U474">IF($A474="","",INDEX(JupData!$A$2:$K$10000,MATCH($A474&amp;U$1,JupData!$A$2:$A$10000&amp;JupData!$J$2:$J$10000,0),11))</f>
        <v/>
      </c>
      <c r="V474" t="str">
        <f t="array" ref="V474">IF($A474="","",INDEX(JupData!$A$2:$K$10000,MATCH($A474&amp;V$1,JupData!$A$2:$A$10000&amp;JupData!$J$2:$J$10000,0),11))</f>
        <v/>
      </c>
      <c r="W474" t="str">
        <f t="array" ref="W474">IF($A474="","",INDEX(JupData!$A$2:$K$10000,MATCH($A474&amp;W$1,JupData!$A$2:$A$10000&amp;JupData!$J$2:$J$10000,0),11))</f>
        <v/>
      </c>
      <c r="X474" t="str">
        <f t="array" ref="X474">IF($A474="","",INDEX(JupData!$A$2:$K$10000,MATCH($A474&amp;X$1,JupData!$A$2:$A$10000&amp;JupData!$J$2:$J$10000,0),11))</f>
        <v/>
      </c>
      <c r="Y474" t="str">
        <f t="array" ref="Y474">IF($A474="","",INDEX(JupData!$A$2:$K$10000,MATCH($A474&amp;Y$1,JupData!$A$2:$A$10000&amp;JupData!$J$2:$J$10000,0),11))</f>
        <v/>
      </c>
      <c r="Z474" t="str">
        <f t="array" ref="Z474">IF($A474="","",INDEX(JupData!$A$2:$K$10000,MATCH($A474&amp;Z$1,JupData!$A$2:$A$10000&amp;JupData!$J$2:$J$10000,0),11))</f>
        <v/>
      </c>
      <c r="AA474" t="str">
        <f t="array" ref="AA474">IF($A474="","",INDEX(JupData!$A$2:$K$10000,MATCH($A474&amp;AA$1,JupData!$A$2:$A$10000&amp;JupData!$J$2:$J$10000,0),11))</f>
        <v/>
      </c>
      <c r="AB474" t="str">
        <f t="array" ref="AB474">IF($A474="","",INDEX(JupData!$A$2:$K$10000,MATCH($A474&amp;AB$1,JupData!$A$2:$A$10000&amp;JupData!$J$2:$J$10000,0),11))</f>
        <v/>
      </c>
      <c r="AC474" s="10" t="str">
        <f t="shared" si="77"/>
        <v/>
      </c>
      <c r="AD474" s="10" t="str">
        <f t="shared" si="78"/>
        <v/>
      </c>
      <c r="AE474" s="9" t="str">
        <f t="shared" si="79"/>
        <v/>
      </c>
      <c r="AF474" s="10" t="str">
        <f t="shared" si="80"/>
        <v/>
      </c>
      <c r="AG474" s="10" t="str">
        <f t="shared" si="81"/>
        <v/>
      </c>
      <c r="AH474" s="10" t="str">
        <f t="shared" si="82"/>
        <v/>
      </c>
      <c r="AI474" s="10" t="str">
        <f t="shared" si="83"/>
        <v/>
      </c>
      <c r="AJ474" s="10" t="str">
        <f t="shared" si="84"/>
        <v/>
      </c>
      <c r="AK474" s="10" t="str">
        <f t="shared" si="85"/>
        <v/>
      </c>
      <c r="AL474" s="14" t="str">
        <f t="shared" si="86"/>
        <v/>
      </c>
    </row>
    <row r="475" spans="1:38" x14ac:dyDescent="0.2">
      <c r="A475"/>
      <c r="B475" t="str">
        <f>IF($A475="","",VLOOKUP($A475,JupData!$A$2:$I$10000,4,FALSE))</f>
        <v/>
      </c>
      <c r="C475" s="7" t="str">
        <f>IF($A475="",IF(N(D475),0,""),VLOOKUP($A475,JupData!$A$2:$I$10000,7,FALSE))</f>
        <v/>
      </c>
      <c r="D475" t="str">
        <f t="shared" si="87"/>
        <v/>
      </c>
      <c r="E475" t="str">
        <f t="array" ref="E475">IF($A475="","",INDEX(JupData!$A$2:$K$10000,MATCH($A475&amp;E$1,JupData!$A$2:$A$10000&amp;JupData!$J$2:$J$10000,0),11))</f>
        <v/>
      </c>
      <c r="F475" t="str">
        <f t="array" ref="F475">IF($A475="","",INDEX(JupData!$A$2:$K$10000,MATCH($A475&amp;F$1,JupData!$A$2:$A$10000&amp;JupData!$J$2:$J$10000,0),11))</f>
        <v/>
      </c>
      <c r="G475" t="str">
        <f t="array" ref="G475">IF($A475="","",INDEX(JupData!$A$2:$K$10000,MATCH($A475&amp;G$1,JupData!$A$2:$A$10000&amp;JupData!$J$2:$J$10000,0),11))</f>
        <v/>
      </c>
      <c r="H475" t="str">
        <f t="array" ref="H475">IF($A475="","",INDEX(JupData!$A$2:$K$10000,MATCH($A475&amp;H$1,JupData!$A$2:$A$10000&amp;JupData!$J$2:$J$10000,0),11))</f>
        <v/>
      </c>
      <c r="I475" t="str">
        <f t="array" ref="I475">IF($A475="","",INDEX(JupData!$A$2:$K$10000,MATCH($A475&amp;I$1,JupData!$A$2:$A$10000&amp;JupData!$J$2:$J$10000,0),11))</f>
        <v/>
      </c>
      <c r="J475" t="str">
        <f t="array" ref="J475">IF($A475="","",INDEX(JupData!$A$2:$K$10000,MATCH($A475&amp;J$1,JupData!$A$2:$A$10000&amp;JupData!$J$2:$J$10000,0),11))</f>
        <v/>
      </c>
      <c r="K475" t="str">
        <f t="array" ref="K475">IF($A475="","",INDEX(JupData!$A$2:$K$10000,MATCH($A475&amp;K$1,JupData!$A$2:$A$10000&amp;JupData!$J$2:$J$10000,0),11))</f>
        <v/>
      </c>
      <c r="L475" t="str">
        <f t="array" ref="L475">IF($A475="","",INDEX(JupData!$A$2:$K$10000,MATCH($A475&amp;L$1,JupData!$A$2:$A$10000&amp;JupData!$J$2:$J$10000,0),11))</f>
        <v/>
      </c>
      <c r="M475" t="str">
        <f t="array" ref="M475">IF($A475="","",INDEX(JupData!$A$2:$K$10000,MATCH($A475&amp;M$1,JupData!$A$2:$A$10000&amp;JupData!$J$2:$J$10000,0),11))</f>
        <v/>
      </c>
      <c r="N475" t="str">
        <f t="array" ref="N475">IF($A475="","",INDEX(JupData!$A$2:$K$10000,MATCH($A475&amp;N$1,JupData!$A$2:$A$10000&amp;JupData!$J$2:$J$10000,0),11))</f>
        <v/>
      </c>
      <c r="O475" t="str">
        <f t="array" ref="O475">IF($A475="","",INDEX(JupData!$A$2:$K$10000,MATCH($A475&amp;O$1,JupData!$A$2:$A$10000&amp;JupData!$J$2:$J$10000,0),11))</f>
        <v/>
      </c>
      <c r="P475" t="str">
        <f t="array" ref="P475">IF($A475="","",INDEX(JupData!$A$2:$K$10000,MATCH($A475&amp;P$1,JupData!$A$2:$A$10000&amp;JupData!$J$2:$J$10000,0),11))</f>
        <v/>
      </c>
      <c r="Q475" t="str">
        <f t="array" ref="Q475">IF($A475="","",INDEX(JupData!$A$2:$K$10000,MATCH($A475&amp;Q$1,JupData!$A$2:$A$10000&amp;JupData!$J$2:$J$10000,0),11))</f>
        <v/>
      </c>
      <c r="R475" t="str">
        <f t="array" ref="R475">IF($A475="","",INDEX(JupData!$A$2:$K$10000,MATCH($A475&amp;R$1,JupData!$A$2:$A$10000&amp;JupData!$J$2:$J$10000,0),11))</f>
        <v/>
      </c>
      <c r="S475" t="str">
        <f t="array" ref="S475">IF($A475="","",INDEX(JupData!$A$2:$K$10000,MATCH($A475&amp;S$1,JupData!$A$2:$A$10000&amp;JupData!$J$2:$J$10000,0),11))</f>
        <v/>
      </c>
      <c r="T475" t="str">
        <f t="array" ref="T475">IF($A475="","",INDEX(JupData!$A$2:$K$10000,MATCH($A475&amp;T$1,JupData!$A$2:$A$10000&amp;JupData!$J$2:$J$10000,0),11))</f>
        <v/>
      </c>
      <c r="U475" t="str">
        <f t="array" ref="U475">IF($A475="","",INDEX(JupData!$A$2:$K$10000,MATCH($A475&amp;U$1,JupData!$A$2:$A$10000&amp;JupData!$J$2:$J$10000,0),11))</f>
        <v/>
      </c>
      <c r="V475" t="str">
        <f t="array" ref="V475">IF($A475="","",INDEX(JupData!$A$2:$K$10000,MATCH($A475&amp;V$1,JupData!$A$2:$A$10000&amp;JupData!$J$2:$J$10000,0),11))</f>
        <v/>
      </c>
      <c r="W475" t="str">
        <f t="array" ref="W475">IF($A475="","",INDEX(JupData!$A$2:$K$10000,MATCH($A475&amp;W$1,JupData!$A$2:$A$10000&amp;JupData!$J$2:$J$10000,0),11))</f>
        <v/>
      </c>
      <c r="X475" t="str">
        <f t="array" ref="X475">IF($A475="","",INDEX(JupData!$A$2:$K$10000,MATCH($A475&amp;X$1,JupData!$A$2:$A$10000&amp;JupData!$J$2:$J$10000,0),11))</f>
        <v/>
      </c>
      <c r="Y475" t="str">
        <f t="array" ref="Y475">IF($A475="","",INDEX(JupData!$A$2:$K$10000,MATCH($A475&amp;Y$1,JupData!$A$2:$A$10000&amp;JupData!$J$2:$J$10000,0),11))</f>
        <v/>
      </c>
      <c r="Z475" t="str">
        <f t="array" ref="Z475">IF($A475="","",INDEX(JupData!$A$2:$K$10000,MATCH($A475&amp;Z$1,JupData!$A$2:$A$10000&amp;JupData!$J$2:$J$10000,0),11))</f>
        <v/>
      </c>
      <c r="AA475" t="str">
        <f t="array" ref="AA475">IF($A475="","",INDEX(JupData!$A$2:$K$10000,MATCH($A475&amp;AA$1,JupData!$A$2:$A$10000&amp;JupData!$J$2:$J$10000,0),11))</f>
        <v/>
      </c>
      <c r="AB475" t="str">
        <f t="array" ref="AB475">IF($A475="","",INDEX(JupData!$A$2:$K$10000,MATCH($A475&amp;AB$1,JupData!$A$2:$A$10000&amp;JupData!$J$2:$J$10000,0),11))</f>
        <v/>
      </c>
      <c r="AC475" s="10" t="str">
        <f t="shared" si="77"/>
        <v/>
      </c>
      <c r="AD475" s="10" t="str">
        <f t="shared" si="78"/>
        <v/>
      </c>
      <c r="AE475" s="9" t="str">
        <f t="shared" si="79"/>
        <v/>
      </c>
      <c r="AF475" s="10" t="str">
        <f t="shared" si="80"/>
        <v/>
      </c>
      <c r="AG475" s="10" t="str">
        <f t="shared" si="81"/>
        <v/>
      </c>
      <c r="AH475" s="10" t="str">
        <f t="shared" si="82"/>
        <v/>
      </c>
      <c r="AI475" s="10" t="str">
        <f t="shared" si="83"/>
        <v/>
      </c>
      <c r="AJ475" s="10" t="str">
        <f t="shared" si="84"/>
        <v/>
      </c>
      <c r="AK475" s="10" t="str">
        <f t="shared" si="85"/>
        <v/>
      </c>
      <c r="AL475" s="14" t="str">
        <f t="shared" si="86"/>
        <v/>
      </c>
    </row>
    <row r="476" spans="1:38" x14ac:dyDescent="0.2">
      <c r="A476"/>
      <c r="B476" t="str">
        <f>IF($A476="","",VLOOKUP($A476,JupData!$A$2:$I$10000,4,FALSE))</f>
        <v/>
      </c>
      <c r="C476" s="7" t="str">
        <f>IF($A476="",IF(N(D476),0,""),VLOOKUP($A476,JupData!$A$2:$I$10000,7,FALSE))</f>
        <v/>
      </c>
      <c r="D476" t="str">
        <f t="shared" si="87"/>
        <v/>
      </c>
      <c r="E476" t="str">
        <f t="array" ref="E476">IF($A476="","",INDEX(JupData!$A$2:$K$10000,MATCH($A476&amp;E$1,JupData!$A$2:$A$10000&amp;JupData!$J$2:$J$10000,0),11))</f>
        <v/>
      </c>
      <c r="F476" t="str">
        <f t="array" ref="F476">IF($A476="","",INDEX(JupData!$A$2:$K$10000,MATCH($A476&amp;F$1,JupData!$A$2:$A$10000&amp;JupData!$J$2:$J$10000,0),11))</f>
        <v/>
      </c>
      <c r="G476" t="str">
        <f t="array" ref="G476">IF($A476="","",INDEX(JupData!$A$2:$K$10000,MATCH($A476&amp;G$1,JupData!$A$2:$A$10000&amp;JupData!$J$2:$J$10000,0),11))</f>
        <v/>
      </c>
      <c r="H476" t="str">
        <f t="array" ref="H476">IF($A476="","",INDEX(JupData!$A$2:$K$10000,MATCH($A476&amp;H$1,JupData!$A$2:$A$10000&amp;JupData!$J$2:$J$10000,0),11))</f>
        <v/>
      </c>
      <c r="I476" t="str">
        <f t="array" ref="I476">IF($A476="","",INDEX(JupData!$A$2:$K$10000,MATCH($A476&amp;I$1,JupData!$A$2:$A$10000&amp;JupData!$J$2:$J$10000,0),11))</f>
        <v/>
      </c>
      <c r="J476" t="str">
        <f t="array" ref="J476">IF($A476="","",INDEX(JupData!$A$2:$K$10000,MATCH($A476&amp;J$1,JupData!$A$2:$A$10000&amp;JupData!$J$2:$J$10000,0),11))</f>
        <v/>
      </c>
      <c r="K476" t="str">
        <f t="array" ref="K476">IF($A476="","",INDEX(JupData!$A$2:$K$10000,MATCH($A476&amp;K$1,JupData!$A$2:$A$10000&amp;JupData!$J$2:$J$10000,0),11))</f>
        <v/>
      </c>
      <c r="L476" t="str">
        <f t="array" ref="L476">IF($A476="","",INDEX(JupData!$A$2:$K$10000,MATCH($A476&amp;L$1,JupData!$A$2:$A$10000&amp;JupData!$J$2:$J$10000,0),11))</f>
        <v/>
      </c>
      <c r="M476" t="str">
        <f t="array" ref="M476">IF($A476="","",INDEX(JupData!$A$2:$K$10000,MATCH($A476&amp;M$1,JupData!$A$2:$A$10000&amp;JupData!$J$2:$J$10000,0),11))</f>
        <v/>
      </c>
      <c r="N476" t="str">
        <f t="array" ref="N476">IF($A476="","",INDEX(JupData!$A$2:$K$10000,MATCH($A476&amp;N$1,JupData!$A$2:$A$10000&amp;JupData!$J$2:$J$10000,0),11))</f>
        <v/>
      </c>
      <c r="O476" t="str">
        <f t="array" ref="O476">IF($A476="","",INDEX(JupData!$A$2:$K$10000,MATCH($A476&amp;O$1,JupData!$A$2:$A$10000&amp;JupData!$J$2:$J$10000,0),11))</f>
        <v/>
      </c>
      <c r="P476" t="str">
        <f t="array" ref="P476">IF($A476="","",INDEX(JupData!$A$2:$K$10000,MATCH($A476&amp;P$1,JupData!$A$2:$A$10000&amp;JupData!$J$2:$J$10000,0),11))</f>
        <v/>
      </c>
      <c r="Q476" t="str">
        <f t="array" ref="Q476">IF($A476="","",INDEX(JupData!$A$2:$K$10000,MATCH($A476&amp;Q$1,JupData!$A$2:$A$10000&amp;JupData!$J$2:$J$10000,0),11))</f>
        <v/>
      </c>
      <c r="R476" t="str">
        <f t="array" ref="R476">IF($A476="","",INDEX(JupData!$A$2:$K$10000,MATCH($A476&amp;R$1,JupData!$A$2:$A$10000&amp;JupData!$J$2:$J$10000,0),11))</f>
        <v/>
      </c>
      <c r="S476" t="str">
        <f t="array" ref="S476">IF($A476="","",INDEX(JupData!$A$2:$K$10000,MATCH($A476&amp;S$1,JupData!$A$2:$A$10000&amp;JupData!$J$2:$J$10000,0),11))</f>
        <v/>
      </c>
      <c r="T476" t="str">
        <f t="array" ref="T476">IF($A476="","",INDEX(JupData!$A$2:$K$10000,MATCH($A476&amp;T$1,JupData!$A$2:$A$10000&amp;JupData!$J$2:$J$10000,0),11))</f>
        <v/>
      </c>
      <c r="U476" t="str">
        <f t="array" ref="U476">IF($A476="","",INDEX(JupData!$A$2:$K$10000,MATCH($A476&amp;U$1,JupData!$A$2:$A$10000&amp;JupData!$J$2:$J$10000,0),11))</f>
        <v/>
      </c>
      <c r="V476" t="str">
        <f t="array" ref="V476">IF($A476="","",INDEX(JupData!$A$2:$K$10000,MATCH($A476&amp;V$1,JupData!$A$2:$A$10000&amp;JupData!$J$2:$J$10000,0),11))</f>
        <v/>
      </c>
      <c r="W476" t="str">
        <f t="array" ref="W476">IF($A476="","",INDEX(JupData!$A$2:$K$10000,MATCH($A476&amp;W$1,JupData!$A$2:$A$10000&amp;JupData!$J$2:$J$10000,0),11))</f>
        <v/>
      </c>
      <c r="X476" t="str">
        <f t="array" ref="X476">IF($A476="","",INDEX(JupData!$A$2:$K$10000,MATCH($A476&amp;X$1,JupData!$A$2:$A$10000&amp;JupData!$J$2:$J$10000,0),11))</f>
        <v/>
      </c>
      <c r="Y476" t="str">
        <f t="array" ref="Y476">IF($A476="","",INDEX(JupData!$A$2:$K$10000,MATCH($A476&amp;Y$1,JupData!$A$2:$A$10000&amp;JupData!$J$2:$J$10000,0),11))</f>
        <v/>
      </c>
      <c r="Z476" t="str">
        <f t="array" ref="Z476">IF($A476="","",INDEX(JupData!$A$2:$K$10000,MATCH($A476&amp;Z$1,JupData!$A$2:$A$10000&amp;JupData!$J$2:$J$10000,0),11))</f>
        <v/>
      </c>
      <c r="AA476" t="str">
        <f t="array" ref="AA476">IF($A476="","",INDEX(JupData!$A$2:$K$10000,MATCH($A476&amp;AA$1,JupData!$A$2:$A$10000&amp;JupData!$J$2:$J$10000,0),11))</f>
        <v/>
      </c>
      <c r="AB476" t="str">
        <f t="array" ref="AB476">IF($A476="","",INDEX(JupData!$A$2:$K$10000,MATCH($A476&amp;AB$1,JupData!$A$2:$A$10000&amp;JupData!$J$2:$J$10000,0),11))</f>
        <v/>
      </c>
      <c r="AC476" s="10" t="str">
        <f t="shared" si="77"/>
        <v/>
      </c>
      <c r="AD476" s="10" t="str">
        <f t="shared" si="78"/>
        <v/>
      </c>
      <c r="AE476" s="9" t="str">
        <f t="shared" si="79"/>
        <v/>
      </c>
      <c r="AF476" s="10" t="str">
        <f t="shared" si="80"/>
        <v/>
      </c>
      <c r="AG476" s="10" t="str">
        <f t="shared" si="81"/>
        <v/>
      </c>
      <c r="AH476" s="10" t="str">
        <f t="shared" si="82"/>
        <v/>
      </c>
      <c r="AI476" s="10" t="str">
        <f t="shared" si="83"/>
        <v/>
      </c>
      <c r="AJ476" s="10" t="str">
        <f t="shared" si="84"/>
        <v/>
      </c>
      <c r="AK476" s="10" t="str">
        <f t="shared" si="85"/>
        <v/>
      </c>
      <c r="AL476" s="14" t="str">
        <f t="shared" si="86"/>
        <v/>
      </c>
    </row>
    <row r="477" spans="1:38" x14ac:dyDescent="0.2">
      <c r="A477"/>
      <c r="B477" t="str">
        <f>IF($A477="","",VLOOKUP($A477,JupData!$A$2:$I$10000,4,FALSE))</f>
        <v/>
      </c>
      <c r="C477" s="7" t="str">
        <f>IF($A477="",IF(N(D477),0,""),VLOOKUP($A477,JupData!$A$2:$I$10000,7,FALSE))</f>
        <v/>
      </c>
      <c r="D477" t="str">
        <f t="shared" si="87"/>
        <v/>
      </c>
      <c r="E477" t="str">
        <f t="array" ref="E477">IF($A477="","",INDEX(JupData!$A$2:$K$10000,MATCH($A477&amp;E$1,JupData!$A$2:$A$10000&amp;JupData!$J$2:$J$10000,0),11))</f>
        <v/>
      </c>
      <c r="F477" t="str">
        <f t="array" ref="F477">IF($A477="","",INDEX(JupData!$A$2:$K$10000,MATCH($A477&amp;F$1,JupData!$A$2:$A$10000&amp;JupData!$J$2:$J$10000,0),11))</f>
        <v/>
      </c>
      <c r="G477" t="str">
        <f t="array" ref="G477">IF($A477="","",INDEX(JupData!$A$2:$K$10000,MATCH($A477&amp;G$1,JupData!$A$2:$A$10000&amp;JupData!$J$2:$J$10000,0),11))</f>
        <v/>
      </c>
      <c r="H477" t="str">
        <f t="array" ref="H477">IF($A477="","",INDEX(JupData!$A$2:$K$10000,MATCH($A477&amp;H$1,JupData!$A$2:$A$10000&amp;JupData!$J$2:$J$10000,0),11))</f>
        <v/>
      </c>
      <c r="I477" t="str">
        <f t="array" ref="I477">IF($A477="","",INDEX(JupData!$A$2:$K$10000,MATCH($A477&amp;I$1,JupData!$A$2:$A$10000&amp;JupData!$J$2:$J$10000,0),11))</f>
        <v/>
      </c>
      <c r="J477" t="str">
        <f t="array" ref="J477">IF($A477="","",INDEX(JupData!$A$2:$K$10000,MATCH($A477&amp;J$1,JupData!$A$2:$A$10000&amp;JupData!$J$2:$J$10000,0),11))</f>
        <v/>
      </c>
      <c r="K477" t="str">
        <f t="array" ref="K477">IF($A477="","",INDEX(JupData!$A$2:$K$10000,MATCH($A477&amp;K$1,JupData!$A$2:$A$10000&amp;JupData!$J$2:$J$10000,0),11))</f>
        <v/>
      </c>
      <c r="L477" t="str">
        <f t="array" ref="L477">IF($A477="","",INDEX(JupData!$A$2:$K$10000,MATCH($A477&amp;L$1,JupData!$A$2:$A$10000&amp;JupData!$J$2:$J$10000,0),11))</f>
        <v/>
      </c>
      <c r="M477" t="str">
        <f t="array" ref="M477">IF($A477="","",INDEX(JupData!$A$2:$K$10000,MATCH($A477&amp;M$1,JupData!$A$2:$A$10000&amp;JupData!$J$2:$J$10000,0),11))</f>
        <v/>
      </c>
      <c r="N477" t="str">
        <f t="array" ref="N477">IF($A477="","",INDEX(JupData!$A$2:$K$10000,MATCH($A477&amp;N$1,JupData!$A$2:$A$10000&amp;JupData!$J$2:$J$10000,0),11))</f>
        <v/>
      </c>
      <c r="O477" t="str">
        <f t="array" ref="O477">IF($A477="","",INDEX(JupData!$A$2:$K$10000,MATCH($A477&amp;O$1,JupData!$A$2:$A$10000&amp;JupData!$J$2:$J$10000,0),11))</f>
        <v/>
      </c>
      <c r="P477" t="str">
        <f t="array" ref="P477">IF($A477="","",INDEX(JupData!$A$2:$K$10000,MATCH($A477&amp;P$1,JupData!$A$2:$A$10000&amp;JupData!$J$2:$J$10000,0),11))</f>
        <v/>
      </c>
      <c r="Q477" t="str">
        <f t="array" ref="Q477">IF($A477="","",INDEX(JupData!$A$2:$K$10000,MATCH($A477&amp;Q$1,JupData!$A$2:$A$10000&amp;JupData!$J$2:$J$10000,0),11))</f>
        <v/>
      </c>
      <c r="R477" t="str">
        <f t="array" ref="R477">IF($A477="","",INDEX(JupData!$A$2:$K$10000,MATCH($A477&amp;R$1,JupData!$A$2:$A$10000&amp;JupData!$J$2:$J$10000,0),11))</f>
        <v/>
      </c>
      <c r="S477" t="str">
        <f t="array" ref="S477">IF($A477="","",INDEX(JupData!$A$2:$K$10000,MATCH($A477&amp;S$1,JupData!$A$2:$A$10000&amp;JupData!$J$2:$J$10000,0),11))</f>
        <v/>
      </c>
      <c r="T477" t="str">
        <f t="array" ref="T477">IF($A477="","",INDEX(JupData!$A$2:$K$10000,MATCH($A477&amp;T$1,JupData!$A$2:$A$10000&amp;JupData!$J$2:$J$10000,0),11))</f>
        <v/>
      </c>
      <c r="U477" t="str">
        <f t="array" ref="U477">IF($A477="","",INDEX(JupData!$A$2:$K$10000,MATCH($A477&amp;U$1,JupData!$A$2:$A$10000&amp;JupData!$J$2:$J$10000,0),11))</f>
        <v/>
      </c>
      <c r="V477" t="str">
        <f t="array" ref="V477">IF($A477="","",INDEX(JupData!$A$2:$K$10000,MATCH($A477&amp;V$1,JupData!$A$2:$A$10000&amp;JupData!$J$2:$J$10000,0),11))</f>
        <v/>
      </c>
      <c r="W477" t="str">
        <f t="array" ref="W477">IF($A477="","",INDEX(JupData!$A$2:$K$10000,MATCH($A477&amp;W$1,JupData!$A$2:$A$10000&amp;JupData!$J$2:$J$10000,0),11))</f>
        <v/>
      </c>
      <c r="X477" t="str">
        <f t="array" ref="X477">IF($A477="","",INDEX(JupData!$A$2:$K$10000,MATCH($A477&amp;X$1,JupData!$A$2:$A$10000&amp;JupData!$J$2:$J$10000,0),11))</f>
        <v/>
      </c>
      <c r="Y477" t="str">
        <f t="array" ref="Y477">IF($A477="","",INDEX(JupData!$A$2:$K$10000,MATCH($A477&amp;Y$1,JupData!$A$2:$A$10000&amp;JupData!$J$2:$J$10000,0),11))</f>
        <v/>
      </c>
      <c r="Z477" t="str">
        <f t="array" ref="Z477">IF($A477="","",INDEX(JupData!$A$2:$K$10000,MATCH($A477&amp;Z$1,JupData!$A$2:$A$10000&amp;JupData!$J$2:$J$10000,0),11))</f>
        <v/>
      </c>
      <c r="AA477" t="str">
        <f t="array" ref="AA477">IF($A477="","",INDEX(JupData!$A$2:$K$10000,MATCH($A477&amp;AA$1,JupData!$A$2:$A$10000&amp;JupData!$J$2:$J$10000,0),11))</f>
        <v/>
      </c>
      <c r="AB477" t="str">
        <f t="array" ref="AB477">IF($A477="","",INDEX(JupData!$A$2:$K$10000,MATCH($A477&amp;AB$1,JupData!$A$2:$A$10000&amp;JupData!$J$2:$J$10000,0),11))</f>
        <v/>
      </c>
      <c r="AC477" s="10" t="str">
        <f t="shared" si="77"/>
        <v/>
      </c>
      <c r="AD477" s="10" t="str">
        <f t="shared" si="78"/>
        <v/>
      </c>
      <c r="AE477" s="9" t="str">
        <f t="shared" si="79"/>
        <v/>
      </c>
      <c r="AF477" s="10" t="str">
        <f t="shared" si="80"/>
        <v/>
      </c>
      <c r="AG477" s="10" t="str">
        <f t="shared" si="81"/>
        <v/>
      </c>
      <c r="AH477" s="10" t="str">
        <f t="shared" si="82"/>
        <v/>
      </c>
      <c r="AI477" s="10" t="str">
        <f t="shared" si="83"/>
        <v/>
      </c>
      <c r="AJ477" s="10" t="str">
        <f t="shared" si="84"/>
        <v/>
      </c>
      <c r="AK477" s="10" t="str">
        <f t="shared" si="85"/>
        <v/>
      </c>
      <c r="AL477" s="14" t="str">
        <f t="shared" si="86"/>
        <v/>
      </c>
    </row>
    <row r="478" spans="1:38" x14ac:dyDescent="0.2">
      <c r="A478"/>
      <c r="B478" t="str">
        <f>IF($A478="","",VLOOKUP($A478,JupData!$A$2:$I$10000,4,FALSE))</f>
        <v/>
      </c>
      <c r="C478" s="7" t="str">
        <f>IF($A478="",IF(N(D478),0,""),VLOOKUP($A478,JupData!$A$2:$I$10000,7,FALSE))</f>
        <v/>
      </c>
      <c r="D478" t="str">
        <f t="shared" si="87"/>
        <v/>
      </c>
      <c r="E478" t="str">
        <f t="array" ref="E478">IF($A478="","",INDEX(JupData!$A$2:$K$10000,MATCH($A478&amp;E$1,JupData!$A$2:$A$10000&amp;JupData!$J$2:$J$10000,0),11))</f>
        <v/>
      </c>
      <c r="F478" t="str">
        <f t="array" ref="F478">IF($A478="","",INDEX(JupData!$A$2:$K$10000,MATCH($A478&amp;F$1,JupData!$A$2:$A$10000&amp;JupData!$J$2:$J$10000,0),11))</f>
        <v/>
      </c>
      <c r="G478" t="str">
        <f t="array" ref="G478">IF($A478="","",INDEX(JupData!$A$2:$K$10000,MATCH($A478&amp;G$1,JupData!$A$2:$A$10000&amp;JupData!$J$2:$J$10000,0),11))</f>
        <v/>
      </c>
      <c r="H478" t="str">
        <f t="array" ref="H478">IF($A478="","",INDEX(JupData!$A$2:$K$10000,MATCH($A478&amp;H$1,JupData!$A$2:$A$10000&amp;JupData!$J$2:$J$10000,0),11))</f>
        <v/>
      </c>
      <c r="I478" t="str">
        <f t="array" ref="I478">IF($A478="","",INDEX(JupData!$A$2:$K$10000,MATCH($A478&amp;I$1,JupData!$A$2:$A$10000&amp;JupData!$J$2:$J$10000,0),11))</f>
        <v/>
      </c>
      <c r="J478" t="str">
        <f t="array" ref="J478">IF($A478="","",INDEX(JupData!$A$2:$K$10000,MATCH($A478&amp;J$1,JupData!$A$2:$A$10000&amp;JupData!$J$2:$J$10000,0),11))</f>
        <v/>
      </c>
      <c r="K478" t="str">
        <f t="array" ref="K478">IF($A478="","",INDEX(JupData!$A$2:$K$10000,MATCH($A478&amp;K$1,JupData!$A$2:$A$10000&amp;JupData!$J$2:$J$10000,0),11))</f>
        <v/>
      </c>
      <c r="L478" t="str">
        <f t="array" ref="L478">IF($A478="","",INDEX(JupData!$A$2:$K$10000,MATCH($A478&amp;L$1,JupData!$A$2:$A$10000&amp;JupData!$J$2:$J$10000,0),11))</f>
        <v/>
      </c>
      <c r="M478" t="str">
        <f t="array" ref="M478">IF($A478="","",INDEX(JupData!$A$2:$K$10000,MATCH($A478&amp;M$1,JupData!$A$2:$A$10000&amp;JupData!$J$2:$J$10000,0),11))</f>
        <v/>
      </c>
      <c r="N478" t="str">
        <f t="array" ref="N478">IF($A478="","",INDEX(JupData!$A$2:$K$10000,MATCH($A478&amp;N$1,JupData!$A$2:$A$10000&amp;JupData!$J$2:$J$10000,0),11))</f>
        <v/>
      </c>
      <c r="O478" t="str">
        <f t="array" ref="O478">IF($A478="","",INDEX(JupData!$A$2:$K$10000,MATCH($A478&amp;O$1,JupData!$A$2:$A$10000&amp;JupData!$J$2:$J$10000,0),11))</f>
        <v/>
      </c>
      <c r="P478" t="str">
        <f t="array" ref="P478">IF($A478="","",INDEX(JupData!$A$2:$K$10000,MATCH($A478&amp;P$1,JupData!$A$2:$A$10000&amp;JupData!$J$2:$J$10000,0),11))</f>
        <v/>
      </c>
      <c r="Q478" t="str">
        <f t="array" ref="Q478">IF($A478="","",INDEX(JupData!$A$2:$K$10000,MATCH($A478&amp;Q$1,JupData!$A$2:$A$10000&amp;JupData!$J$2:$J$10000,0),11))</f>
        <v/>
      </c>
      <c r="R478" t="str">
        <f t="array" ref="R478">IF($A478="","",INDEX(JupData!$A$2:$K$10000,MATCH($A478&amp;R$1,JupData!$A$2:$A$10000&amp;JupData!$J$2:$J$10000,0),11))</f>
        <v/>
      </c>
      <c r="S478" t="str">
        <f t="array" ref="S478">IF($A478="","",INDEX(JupData!$A$2:$K$10000,MATCH($A478&amp;S$1,JupData!$A$2:$A$10000&amp;JupData!$J$2:$J$10000,0),11))</f>
        <v/>
      </c>
      <c r="T478" t="str">
        <f t="array" ref="T478">IF($A478="","",INDEX(JupData!$A$2:$K$10000,MATCH($A478&amp;T$1,JupData!$A$2:$A$10000&amp;JupData!$J$2:$J$10000,0),11))</f>
        <v/>
      </c>
      <c r="U478" t="str">
        <f t="array" ref="U478">IF($A478="","",INDEX(JupData!$A$2:$K$10000,MATCH($A478&amp;U$1,JupData!$A$2:$A$10000&amp;JupData!$J$2:$J$10000,0),11))</f>
        <v/>
      </c>
      <c r="V478" t="str">
        <f t="array" ref="V478">IF($A478="","",INDEX(JupData!$A$2:$K$10000,MATCH($A478&amp;V$1,JupData!$A$2:$A$10000&amp;JupData!$J$2:$J$10000,0),11))</f>
        <v/>
      </c>
      <c r="W478" t="str">
        <f t="array" ref="W478">IF($A478="","",INDEX(JupData!$A$2:$K$10000,MATCH($A478&amp;W$1,JupData!$A$2:$A$10000&amp;JupData!$J$2:$J$10000,0),11))</f>
        <v/>
      </c>
      <c r="X478" t="str">
        <f t="array" ref="X478">IF($A478="","",INDEX(JupData!$A$2:$K$10000,MATCH($A478&amp;X$1,JupData!$A$2:$A$10000&amp;JupData!$J$2:$J$10000,0),11))</f>
        <v/>
      </c>
      <c r="Y478" t="str">
        <f t="array" ref="Y478">IF($A478="","",INDEX(JupData!$A$2:$K$10000,MATCH($A478&amp;Y$1,JupData!$A$2:$A$10000&amp;JupData!$J$2:$J$10000,0),11))</f>
        <v/>
      </c>
      <c r="Z478" t="str">
        <f t="array" ref="Z478">IF($A478="","",INDEX(JupData!$A$2:$K$10000,MATCH($A478&amp;Z$1,JupData!$A$2:$A$10000&amp;JupData!$J$2:$J$10000,0),11))</f>
        <v/>
      </c>
      <c r="AA478" t="str">
        <f t="array" ref="AA478">IF($A478="","",INDEX(JupData!$A$2:$K$10000,MATCH($A478&amp;AA$1,JupData!$A$2:$A$10000&amp;JupData!$J$2:$J$10000,0),11))</f>
        <v/>
      </c>
      <c r="AB478" t="str">
        <f t="array" ref="AB478">IF($A478="","",INDEX(JupData!$A$2:$K$10000,MATCH($A478&amp;AB$1,JupData!$A$2:$A$10000&amp;JupData!$J$2:$J$10000,0),11))</f>
        <v/>
      </c>
      <c r="AC478" s="10" t="str">
        <f t="shared" si="77"/>
        <v/>
      </c>
      <c r="AD478" s="10" t="str">
        <f t="shared" si="78"/>
        <v/>
      </c>
      <c r="AE478" s="9" t="str">
        <f t="shared" si="79"/>
        <v/>
      </c>
      <c r="AF478" s="10" t="str">
        <f t="shared" si="80"/>
        <v/>
      </c>
      <c r="AG478" s="10" t="str">
        <f t="shared" si="81"/>
        <v/>
      </c>
      <c r="AH478" s="10" t="str">
        <f t="shared" si="82"/>
        <v/>
      </c>
      <c r="AI478" s="10" t="str">
        <f t="shared" si="83"/>
        <v/>
      </c>
      <c r="AJ478" s="10" t="str">
        <f t="shared" si="84"/>
        <v/>
      </c>
      <c r="AK478" s="10" t="str">
        <f t="shared" si="85"/>
        <v/>
      </c>
      <c r="AL478" s="14" t="str">
        <f t="shared" si="86"/>
        <v/>
      </c>
    </row>
    <row r="479" spans="1:38" x14ac:dyDescent="0.2">
      <c r="A479"/>
      <c r="B479" t="str">
        <f>IF($A479="","",VLOOKUP($A479,JupData!$A$2:$I$10000,4,FALSE))</f>
        <v/>
      </c>
      <c r="C479" s="7" t="str">
        <f>IF($A479="",IF(N(D479),0,""),VLOOKUP($A479,JupData!$A$2:$I$10000,7,FALSE))</f>
        <v/>
      </c>
      <c r="D479" t="str">
        <f t="shared" si="87"/>
        <v/>
      </c>
      <c r="E479" t="str">
        <f t="array" ref="E479">IF($A479="","",INDEX(JupData!$A$2:$K$10000,MATCH($A479&amp;E$1,JupData!$A$2:$A$10000&amp;JupData!$J$2:$J$10000,0),11))</f>
        <v/>
      </c>
      <c r="F479" t="str">
        <f t="array" ref="F479">IF($A479="","",INDEX(JupData!$A$2:$K$10000,MATCH($A479&amp;F$1,JupData!$A$2:$A$10000&amp;JupData!$J$2:$J$10000,0),11))</f>
        <v/>
      </c>
      <c r="G479" t="str">
        <f t="array" ref="G479">IF($A479="","",INDEX(JupData!$A$2:$K$10000,MATCH($A479&amp;G$1,JupData!$A$2:$A$10000&amp;JupData!$J$2:$J$10000,0),11))</f>
        <v/>
      </c>
      <c r="H479" t="str">
        <f t="array" ref="H479">IF($A479="","",INDEX(JupData!$A$2:$K$10000,MATCH($A479&amp;H$1,JupData!$A$2:$A$10000&amp;JupData!$J$2:$J$10000,0),11))</f>
        <v/>
      </c>
      <c r="I479" t="str">
        <f t="array" ref="I479">IF($A479="","",INDEX(JupData!$A$2:$K$10000,MATCH($A479&amp;I$1,JupData!$A$2:$A$10000&amp;JupData!$J$2:$J$10000,0),11))</f>
        <v/>
      </c>
      <c r="J479" t="str">
        <f t="array" ref="J479">IF($A479="","",INDEX(JupData!$A$2:$K$10000,MATCH($A479&amp;J$1,JupData!$A$2:$A$10000&amp;JupData!$J$2:$J$10000,0),11))</f>
        <v/>
      </c>
      <c r="K479" t="str">
        <f t="array" ref="K479">IF($A479="","",INDEX(JupData!$A$2:$K$10000,MATCH($A479&amp;K$1,JupData!$A$2:$A$10000&amp;JupData!$J$2:$J$10000,0),11))</f>
        <v/>
      </c>
      <c r="L479" t="str">
        <f t="array" ref="L479">IF($A479="","",INDEX(JupData!$A$2:$K$10000,MATCH($A479&amp;L$1,JupData!$A$2:$A$10000&amp;JupData!$J$2:$J$10000,0),11))</f>
        <v/>
      </c>
      <c r="M479" t="str">
        <f t="array" ref="M479">IF($A479="","",INDEX(JupData!$A$2:$K$10000,MATCH($A479&amp;M$1,JupData!$A$2:$A$10000&amp;JupData!$J$2:$J$10000,0),11))</f>
        <v/>
      </c>
      <c r="N479" t="str">
        <f t="array" ref="N479">IF($A479="","",INDEX(JupData!$A$2:$K$10000,MATCH($A479&amp;N$1,JupData!$A$2:$A$10000&amp;JupData!$J$2:$J$10000,0),11))</f>
        <v/>
      </c>
      <c r="O479" t="str">
        <f t="array" ref="O479">IF($A479="","",INDEX(JupData!$A$2:$K$10000,MATCH($A479&amp;O$1,JupData!$A$2:$A$10000&amp;JupData!$J$2:$J$10000,0),11))</f>
        <v/>
      </c>
      <c r="P479" t="str">
        <f t="array" ref="P479">IF($A479="","",INDEX(JupData!$A$2:$K$10000,MATCH($A479&amp;P$1,JupData!$A$2:$A$10000&amp;JupData!$J$2:$J$10000,0),11))</f>
        <v/>
      </c>
      <c r="Q479" t="str">
        <f t="array" ref="Q479">IF($A479="","",INDEX(JupData!$A$2:$K$10000,MATCH($A479&amp;Q$1,JupData!$A$2:$A$10000&amp;JupData!$J$2:$J$10000,0),11))</f>
        <v/>
      </c>
      <c r="R479" t="str">
        <f t="array" ref="R479">IF($A479="","",INDEX(JupData!$A$2:$K$10000,MATCH($A479&amp;R$1,JupData!$A$2:$A$10000&amp;JupData!$J$2:$J$10000,0),11))</f>
        <v/>
      </c>
      <c r="S479" t="str">
        <f t="array" ref="S479">IF($A479="","",INDEX(JupData!$A$2:$K$10000,MATCH($A479&amp;S$1,JupData!$A$2:$A$10000&amp;JupData!$J$2:$J$10000,0),11))</f>
        <v/>
      </c>
      <c r="T479" t="str">
        <f t="array" ref="T479">IF($A479="","",INDEX(JupData!$A$2:$K$10000,MATCH($A479&amp;T$1,JupData!$A$2:$A$10000&amp;JupData!$J$2:$J$10000,0),11))</f>
        <v/>
      </c>
      <c r="U479" t="str">
        <f t="array" ref="U479">IF($A479="","",INDEX(JupData!$A$2:$K$10000,MATCH($A479&amp;U$1,JupData!$A$2:$A$10000&amp;JupData!$J$2:$J$10000,0),11))</f>
        <v/>
      </c>
      <c r="V479" t="str">
        <f t="array" ref="V479">IF($A479="","",INDEX(JupData!$A$2:$K$10000,MATCH($A479&amp;V$1,JupData!$A$2:$A$10000&amp;JupData!$J$2:$J$10000,0),11))</f>
        <v/>
      </c>
      <c r="W479" t="str">
        <f t="array" ref="W479">IF($A479="","",INDEX(JupData!$A$2:$K$10000,MATCH($A479&amp;W$1,JupData!$A$2:$A$10000&amp;JupData!$J$2:$J$10000,0),11))</f>
        <v/>
      </c>
      <c r="X479" t="str">
        <f t="array" ref="X479">IF($A479="","",INDEX(JupData!$A$2:$K$10000,MATCH($A479&amp;X$1,JupData!$A$2:$A$10000&amp;JupData!$J$2:$J$10000,0),11))</f>
        <v/>
      </c>
      <c r="Y479" t="str">
        <f t="array" ref="Y479">IF($A479="","",INDEX(JupData!$A$2:$K$10000,MATCH($A479&amp;Y$1,JupData!$A$2:$A$10000&amp;JupData!$J$2:$J$10000,0),11))</f>
        <v/>
      </c>
      <c r="Z479" t="str">
        <f t="array" ref="Z479">IF($A479="","",INDEX(JupData!$A$2:$K$10000,MATCH($A479&amp;Z$1,JupData!$A$2:$A$10000&amp;JupData!$J$2:$J$10000,0),11))</f>
        <v/>
      </c>
      <c r="AA479" t="str">
        <f t="array" ref="AA479">IF($A479="","",INDEX(JupData!$A$2:$K$10000,MATCH($A479&amp;AA$1,JupData!$A$2:$A$10000&amp;JupData!$J$2:$J$10000,0),11))</f>
        <v/>
      </c>
      <c r="AB479" t="str">
        <f t="array" ref="AB479">IF($A479="","",INDEX(JupData!$A$2:$K$10000,MATCH($A479&amp;AB$1,JupData!$A$2:$A$10000&amp;JupData!$J$2:$J$10000,0),11))</f>
        <v/>
      </c>
      <c r="AC479" s="10" t="str">
        <f t="shared" si="77"/>
        <v/>
      </c>
      <c r="AD479" s="10" t="str">
        <f t="shared" si="78"/>
        <v/>
      </c>
      <c r="AE479" s="9" t="str">
        <f t="shared" si="79"/>
        <v/>
      </c>
      <c r="AF479" s="10" t="str">
        <f t="shared" si="80"/>
        <v/>
      </c>
      <c r="AG479" s="10" t="str">
        <f t="shared" si="81"/>
        <v/>
      </c>
      <c r="AH479" s="10" t="str">
        <f t="shared" si="82"/>
        <v/>
      </c>
      <c r="AI479" s="10" t="str">
        <f t="shared" si="83"/>
        <v/>
      </c>
      <c r="AJ479" s="10" t="str">
        <f t="shared" si="84"/>
        <v/>
      </c>
      <c r="AK479" s="10" t="str">
        <f t="shared" si="85"/>
        <v/>
      </c>
      <c r="AL479" s="14" t="str">
        <f t="shared" si="86"/>
        <v/>
      </c>
    </row>
    <row r="480" spans="1:38" x14ac:dyDescent="0.2">
      <c r="A480"/>
      <c r="B480" t="str">
        <f>IF($A480="","",VLOOKUP($A480,JupData!$A$2:$I$10000,4,FALSE))</f>
        <v/>
      </c>
      <c r="C480" s="7" t="str">
        <f>IF($A480="",IF(N(D480),0,""),VLOOKUP($A480,JupData!$A$2:$I$10000,7,FALSE))</f>
        <v/>
      </c>
      <c r="D480" t="str">
        <f t="shared" si="87"/>
        <v/>
      </c>
      <c r="E480" t="str">
        <f t="array" ref="E480">IF($A480="","",INDEX(JupData!$A$2:$K$10000,MATCH($A480&amp;E$1,JupData!$A$2:$A$10000&amp;JupData!$J$2:$J$10000,0),11))</f>
        <v/>
      </c>
      <c r="F480" t="str">
        <f t="array" ref="F480">IF($A480="","",INDEX(JupData!$A$2:$K$10000,MATCH($A480&amp;F$1,JupData!$A$2:$A$10000&amp;JupData!$J$2:$J$10000,0),11))</f>
        <v/>
      </c>
      <c r="G480" t="str">
        <f t="array" ref="G480">IF($A480="","",INDEX(JupData!$A$2:$K$10000,MATCH($A480&amp;G$1,JupData!$A$2:$A$10000&amp;JupData!$J$2:$J$10000,0),11))</f>
        <v/>
      </c>
      <c r="H480" t="str">
        <f t="array" ref="H480">IF($A480="","",INDEX(JupData!$A$2:$K$10000,MATCH($A480&amp;H$1,JupData!$A$2:$A$10000&amp;JupData!$J$2:$J$10000,0),11))</f>
        <v/>
      </c>
      <c r="I480" t="str">
        <f t="array" ref="I480">IF($A480="","",INDEX(JupData!$A$2:$K$10000,MATCH($A480&amp;I$1,JupData!$A$2:$A$10000&amp;JupData!$J$2:$J$10000,0),11))</f>
        <v/>
      </c>
      <c r="J480" t="str">
        <f t="array" ref="J480">IF($A480="","",INDEX(JupData!$A$2:$K$10000,MATCH($A480&amp;J$1,JupData!$A$2:$A$10000&amp;JupData!$J$2:$J$10000,0),11))</f>
        <v/>
      </c>
      <c r="K480" t="str">
        <f t="array" ref="K480">IF($A480="","",INDEX(JupData!$A$2:$K$10000,MATCH($A480&amp;K$1,JupData!$A$2:$A$10000&amp;JupData!$J$2:$J$10000,0),11))</f>
        <v/>
      </c>
      <c r="L480" t="str">
        <f t="array" ref="L480">IF($A480="","",INDEX(JupData!$A$2:$K$10000,MATCH($A480&amp;L$1,JupData!$A$2:$A$10000&amp;JupData!$J$2:$J$10000,0),11))</f>
        <v/>
      </c>
      <c r="M480" t="str">
        <f t="array" ref="M480">IF($A480="","",INDEX(JupData!$A$2:$K$10000,MATCH($A480&amp;M$1,JupData!$A$2:$A$10000&amp;JupData!$J$2:$J$10000,0),11))</f>
        <v/>
      </c>
      <c r="N480" t="str">
        <f t="array" ref="N480">IF($A480="","",INDEX(JupData!$A$2:$K$10000,MATCH($A480&amp;N$1,JupData!$A$2:$A$10000&amp;JupData!$J$2:$J$10000,0),11))</f>
        <v/>
      </c>
      <c r="O480" t="str">
        <f t="array" ref="O480">IF($A480="","",INDEX(JupData!$A$2:$K$10000,MATCH($A480&amp;O$1,JupData!$A$2:$A$10000&amp;JupData!$J$2:$J$10000,0),11))</f>
        <v/>
      </c>
      <c r="P480" t="str">
        <f t="array" ref="P480">IF($A480="","",INDEX(JupData!$A$2:$K$10000,MATCH($A480&amp;P$1,JupData!$A$2:$A$10000&amp;JupData!$J$2:$J$10000,0),11))</f>
        <v/>
      </c>
      <c r="Q480" t="str">
        <f t="array" ref="Q480">IF($A480="","",INDEX(JupData!$A$2:$K$10000,MATCH($A480&amp;Q$1,JupData!$A$2:$A$10000&amp;JupData!$J$2:$J$10000,0),11))</f>
        <v/>
      </c>
      <c r="R480" t="str">
        <f t="array" ref="R480">IF($A480="","",INDEX(JupData!$A$2:$K$10000,MATCH($A480&amp;R$1,JupData!$A$2:$A$10000&amp;JupData!$J$2:$J$10000,0),11))</f>
        <v/>
      </c>
      <c r="S480" t="str">
        <f t="array" ref="S480">IF($A480="","",INDEX(JupData!$A$2:$K$10000,MATCH($A480&amp;S$1,JupData!$A$2:$A$10000&amp;JupData!$J$2:$J$10000,0),11))</f>
        <v/>
      </c>
      <c r="T480" t="str">
        <f t="array" ref="T480">IF($A480="","",INDEX(JupData!$A$2:$K$10000,MATCH($A480&amp;T$1,JupData!$A$2:$A$10000&amp;JupData!$J$2:$J$10000,0),11))</f>
        <v/>
      </c>
      <c r="U480" t="str">
        <f t="array" ref="U480">IF($A480="","",INDEX(JupData!$A$2:$K$10000,MATCH($A480&amp;U$1,JupData!$A$2:$A$10000&amp;JupData!$J$2:$J$10000,0),11))</f>
        <v/>
      </c>
      <c r="V480" t="str">
        <f t="array" ref="V480">IF($A480="","",INDEX(JupData!$A$2:$K$10000,MATCH($A480&amp;V$1,JupData!$A$2:$A$10000&amp;JupData!$J$2:$J$10000,0),11))</f>
        <v/>
      </c>
      <c r="W480" t="str">
        <f t="array" ref="W480">IF($A480="","",INDEX(JupData!$A$2:$K$10000,MATCH($A480&amp;W$1,JupData!$A$2:$A$10000&amp;JupData!$J$2:$J$10000,0),11))</f>
        <v/>
      </c>
      <c r="X480" t="str">
        <f t="array" ref="X480">IF($A480="","",INDEX(JupData!$A$2:$K$10000,MATCH($A480&amp;X$1,JupData!$A$2:$A$10000&amp;JupData!$J$2:$J$10000,0),11))</f>
        <v/>
      </c>
      <c r="Y480" t="str">
        <f t="array" ref="Y480">IF($A480="","",INDEX(JupData!$A$2:$K$10000,MATCH($A480&amp;Y$1,JupData!$A$2:$A$10000&amp;JupData!$J$2:$J$10000,0),11))</f>
        <v/>
      </c>
      <c r="Z480" t="str">
        <f t="array" ref="Z480">IF($A480="","",INDEX(JupData!$A$2:$K$10000,MATCH($A480&amp;Z$1,JupData!$A$2:$A$10000&amp;JupData!$J$2:$J$10000,0),11))</f>
        <v/>
      </c>
      <c r="AA480" t="str">
        <f t="array" ref="AA480">IF($A480="","",INDEX(JupData!$A$2:$K$10000,MATCH($A480&amp;AA$1,JupData!$A$2:$A$10000&amp;JupData!$J$2:$J$10000,0),11))</f>
        <v/>
      </c>
      <c r="AB480" t="str">
        <f t="array" ref="AB480">IF($A480="","",INDEX(JupData!$A$2:$K$10000,MATCH($A480&amp;AB$1,JupData!$A$2:$A$10000&amp;JupData!$J$2:$J$10000,0),11))</f>
        <v/>
      </c>
      <c r="AC480" s="10" t="str">
        <f t="shared" si="77"/>
        <v/>
      </c>
      <c r="AD480" s="10" t="str">
        <f t="shared" si="78"/>
        <v/>
      </c>
      <c r="AE480" s="9" t="str">
        <f t="shared" si="79"/>
        <v/>
      </c>
      <c r="AF480" s="10" t="str">
        <f t="shared" si="80"/>
        <v/>
      </c>
      <c r="AG480" s="10" t="str">
        <f t="shared" si="81"/>
        <v/>
      </c>
      <c r="AH480" s="10" t="str">
        <f t="shared" si="82"/>
        <v/>
      </c>
      <c r="AI480" s="10" t="str">
        <f t="shared" si="83"/>
        <v/>
      </c>
      <c r="AJ480" s="10" t="str">
        <f t="shared" si="84"/>
        <v/>
      </c>
      <c r="AK480" s="10" t="str">
        <f t="shared" si="85"/>
        <v/>
      </c>
      <c r="AL480" s="14" t="str">
        <f t="shared" si="86"/>
        <v/>
      </c>
    </row>
    <row r="481" spans="1:38" x14ac:dyDescent="0.2">
      <c r="A481"/>
      <c r="B481" t="str">
        <f>IF($A481="","",VLOOKUP($A481,JupData!$A$2:$I$10000,4,FALSE))</f>
        <v/>
      </c>
      <c r="C481" s="7" t="str">
        <f>IF($A481="",IF(N(D481),0,""),VLOOKUP($A481,JupData!$A$2:$I$10000,7,FALSE))</f>
        <v/>
      </c>
      <c r="D481" t="str">
        <f t="shared" si="87"/>
        <v/>
      </c>
      <c r="E481" t="str">
        <f t="array" ref="E481">IF($A481="","",INDEX(JupData!$A$2:$K$10000,MATCH($A481&amp;E$1,JupData!$A$2:$A$10000&amp;JupData!$J$2:$J$10000,0),11))</f>
        <v/>
      </c>
      <c r="F481" t="str">
        <f t="array" ref="F481">IF($A481="","",INDEX(JupData!$A$2:$K$10000,MATCH($A481&amp;F$1,JupData!$A$2:$A$10000&amp;JupData!$J$2:$J$10000,0),11))</f>
        <v/>
      </c>
      <c r="G481" t="str">
        <f t="array" ref="G481">IF($A481="","",INDEX(JupData!$A$2:$K$10000,MATCH($A481&amp;G$1,JupData!$A$2:$A$10000&amp;JupData!$J$2:$J$10000,0),11))</f>
        <v/>
      </c>
      <c r="H481" t="str">
        <f t="array" ref="H481">IF($A481="","",INDEX(JupData!$A$2:$K$10000,MATCH($A481&amp;H$1,JupData!$A$2:$A$10000&amp;JupData!$J$2:$J$10000,0),11))</f>
        <v/>
      </c>
      <c r="I481" t="str">
        <f t="array" ref="I481">IF($A481="","",INDEX(JupData!$A$2:$K$10000,MATCH($A481&amp;I$1,JupData!$A$2:$A$10000&amp;JupData!$J$2:$J$10000,0),11))</f>
        <v/>
      </c>
      <c r="J481" t="str">
        <f t="array" ref="J481">IF($A481="","",INDEX(JupData!$A$2:$K$10000,MATCH($A481&amp;J$1,JupData!$A$2:$A$10000&amp;JupData!$J$2:$J$10000,0),11))</f>
        <v/>
      </c>
      <c r="K481" t="str">
        <f t="array" ref="K481">IF($A481="","",INDEX(JupData!$A$2:$K$10000,MATCH($A481&amp;K$1,JupData!$A$2:$A$10000&amp;JupData!$J$2:$J$10000,0),11))</f>
        <v/>
      </c>
      <c r="L481" t="str">
        <f t="array" ref="L481">IF($A481="","",INDEX(JupData!$A$2:$K$10000,MATCH($A481&amp;L$1,JupData!$A$2:$A$10000&amp;JupData!$J$2:$J$10000,0),11))</f>
        <v/>
      </c>
      <c r="M481" t="str">
        <f t="array" ref="M481">IF($A481="","",INDEX(JupData!$A$2:$K$10000,MATCH($A481&amp;M$1,JupData!$A$2:$A$10000&amp;JupData!$J$2:$J$10000,0),11))</f>
        <v/>
      </c>
      <c r="N481" t="str">
        <f t="array" ref="N481">IF($A481="","",INDEX(JupData!$A$2:$K$10000,MATCH($A481&amp;N$1,JupData!$A$2:$A$10000&amp;JupData!$J$2:$J$10000,0),11))</f>
        <v/>
      </c>
      <c r="O481" t="str">
        <f t="array" ref="O481">IF($A481="","",INDEX(JupData!$A$2:$K$10000,MATCH($A481&amp;O$1,JupData!$A$2:$A$10000&amp;JupData!$J$2:$J$10000,0),11))</f>
        <v/>
      </c>
      <c r="P481" t="str">
        <f t="array" ref="P481">IF($A481="","",INDEX(JupData!$A$2:$K$10000,MATCH($A481&amp;P$1,JupData!$A$2:$A$10000&amp;JupData!$J$2:$J$10000,0),11))</f>
        <v/>
      </c>
      <c r="Q481" t="str">
        <f t="array" ref="Q481">IF($A481="","",INDEX(JupData!$A$2:$K$10000,MATCH($A481&amp;Q$1,JupData!$A$2:$A$10000&amp;JupData!$J$2:$J$10000,0),11))</f>
        <v/>
      </c>
      <c r="R481" t="str">
        <f t="array" ref="R481">IF($A481="","",INDEX(JupData!$A$2:$K$10000,MATCH($A481&amp;R$1,JupData!$A$2:$A$10000&amp;JupData!$J$2:$J$10000,0),11))</f>
        <v/>
      </c>
      <c r="S481" t="str">
        <f t="array" ref="S481">IF($A481="","",INDEX(JupData!$A$2:$K$10000,MATCH($A481&amp;S$1,JupData!$A$2:$A$10000&amp;JupData!$J$2:$J$10000,0),11))</f>
        <v/>
      </c>
      <c r="T481" t="str">
        <f t="array" ref="T481">IF($A481="","",INDEX(JupData!$A$2:$K$10000,MATCH($A481&amp;T$1,JupData!$A$2:$A$10000&amp;JupData!$J$2:$J$10000,0),11))</f>
        <v/>
      </c>
      <c r="U481" t="str">
        <f t="array" ref="U481">IF($A481="","",INDEX(JupData!$A$2:$K$10000,MATCH($A481&amp;U$1,JupData!$A$2:$A$10000&amp;JupData!$J$2:$J$10000,0),11))</f>
        <v/>
      </c>
      <c r="V481" t="str">
        <f t="array" ref="V481">IF($A481="","",INDEX(JupData!$A$2:$K$10000,MATCH($A481&amp;V$1,JupData!$A$2:$A$10000&amp;JupData!$J$2:$J$10000,0),11))</f>
        <v/>
      </c>
      <c r="W481" t="str">
        <f t="array" ref="W481">IF($A481="","",INDEX(JupData!$A$2:$K$10000,MATCH($A481&amp;W$1,JupData!$A$2:$A$10000&amp;JupData!$J$2:$J$10000,0),11))</f>
        <v/>
      </c>
      <c r="X481" t="str">
        <f t="array" ref="X481">IF($A481="","",INDEX(JupData!$A$2:$K$10000,MATCH($A481&amp;X$1,JupData!$A$2:$A$10000&amp;JupData!$J$2:$J$10000,0),11))</f>
        <v/>
      </c>
      <c r="Y481" t="str">
        <f t="array" ref="Y481">IF($A481="","",INDEX(JupData!$A$2:$K$10000,MATCH($A481&amp;Y$1,JupData!$A$2:$A$10000&amp;JupData!$J$2:$J$10000,0),11))</f>
        <v/>
      </c>
      <c r="Z481" t="str">
        <f t="array" ref="Z481">IF($A481="","",INDEX(JupData!$A$2:$K$10000,MATCH($A481&amp;Z$1,JupData!$A$2:$A$10000&amp;JupData!$J$2:$J$10000,0),11))</f>
        <v/>
      </c>
      <c r="AA481" t="str">
        <f t="array" ref="AA481">IF($A481="","",INDEX(JupData!$A$2:$K$10000,MATCH($A481&amp;AA$1,JupData!$A$2:$A$10000&amp;JupData!$J$2:$J$10000,0),11))</f>
        <v/>
      </c>
      <c r="AB481" t="str">
        <f t="array" ref="AB481">IF($A481="","",INDEX(JupData!$A$2:$K$10000,MATCH($A481&amp;AB$1,JupData!$A$2:$A$10000&amp;JupData!$J$2:$J$10000,0),11))</f>
        <v/>
      </c>
      <c r="AC481" s="10" t="str">
        <f t="shared" si="77"/>
        <v/>
      </c>
      <c r="AD481" s="10" t="str">
        <f t="shared" si="78"/>
        <v/>
      </c>
      <c r="AE481" s="9" t="str">
        <f t="shared" si="79"/>
        <v/>
      </c>
      <c r="AF481" s="10" t="str">
        <f t="shared" si="80"/>
        <v/>
      </c>
      <c r="AG481" s="10" t="str">
        <f t="shared" si="81"/>
        <v/>
      </c>
      <c r="AH481" s="10" t="str">
        <f t="shared" si="82"/>
        <v/>
      </c>
      <c r="AI481" s="10" t="str">
        <f t="shared" si="83"/>
        <v/>
      </c>
      <c r="AJ481" s="10" t="str">
        <f t="shared" si="84"/>
        <v/>
      </c>
      <c r="AK481" s="10" t="str">
        <f t="shared" si="85"/>
        <v/>
      </c>
      <c r="AL481" s="14" t="str">
        <f t="shared" si="86"/>
        <v/>
      </c>
    </row>
    <row r="482" spans="1:38" x14ac:dyDescent="0.2">
      <c r="A482"/>
      <c r="B482" t="str">
        <f>IF($A482="","",VLOOKUP($A482,JupData!$A$2:$I$10000,4,FALSE))</f>
        <v/>
      </c>
      <c r="C482" s="7" t="str">
        <f>IF($A482="",IF(N(D482),0,""),VLOOKUP($A482,JupData!$A$2:$I$10000,7,FALSE))</f>
        <v/>
      </c>
      <c r="D482" t="str">
        <f t="shared" si="87"/>
        <v/>
      </c>
      <c r="E482" t="str">
        <f t="array" ref="E482">IF($A482="","",INDEX(JupData!$A$2:$K$10000,MATCH($A482&amp;E$1,JupData!$A$2:$A$10000&amp;JupData!$J$2:$J$10000,0),11))</f>
        <v/>
      </c>
      <c r="F482" t="str">
        <f t="array" ref="F482">IF($A482="","",INDEX(JupData!$A$2:$K$10000,MATCH($A482&amp;F$1,JupData!$A$2:$A$10000&amp;JupData!$J$2:$J$10000,0),11))</f>
        <v/>
      </c>
      <c r="G482" t="str">
        <f t="array" ref="G482">IF($A482="","",INDEX(JupData!$A$2:$K$10000,MATCH($A482&amp;G$1,JupData!$A$2:$A$10000&amp;JupData!$J$2:$J$10000,0),11))</f>
        <v/>
      </c>
      <c r="H482" t="str">
        <f t="array" ref="H482">IF($A482="","",INDEX(JupData!$A$2:$K$10000,MATCH($A482&amp;H$1,JupData!$A$2:$A$10000&amp;JupData!$J$2:$J$10000,0),11))</f>
        <v/>
      </c>
      <c r="I482" t="str">
        <f t="array" ref="I482">IF($A482="","",INDEX(JupData!$A$2:$K$10000,MATCH($A482&amp;I$1,JupData!$A$2:$A$10000&amp;JupData!$J$2:$J$10000,0),11))</f>
        <v/>
      </c>
      <c r="J482" t="str">
        <f t="array" ref="J482">IF($A482="","",INDEX(JupData!$A$2:$K$10000,MATCH($A482&amp;J$1,JupData!$A$2:$A$10000&amp;JupData!$J$2:$J$10000,0),11))</f>
        <v/>
      </c>
      <c r="K482" t="str">
        <f t="array" ref="K482">IF($A482="","",INDEX(JupData!$A$2:$K$10000,MATCH($A482&amp;K$1,JupData!$A$2:$A$10000&amp;JupData!$J$2:$J$10000,0),11))</f>
        <v/>
      </c>
      <c r="L482" t="str">
        <f t="array" ref="L482">IF($A482="","",INDEX(JupData!$A$2:$K$10000,MATCH($A482&amp;L$1,JupData!$A$2:$A$10000&amp;JupData!$J$2:$J$10000,0),11))</f>
        <v/>
      </c>
      <c r="M482" t="str">
        <f t="array" ref="M482">IF($A482="","",INDEX(JupData!$A$2:$K$10000,MATCH($A482&amp;M$1,JupData!$A$2:$A$10000&amp;JupData!$J$2:$J$10000,0),11))</f>
        <v/>
      </c>
      <c r="N482" t="str">
        <f t="array" ref="N482">IF($A482="","",INDEX(JupData!$A$2:$K$10000,MATCH($A482&amp;N$1,JupData!$A$2:$A$10000&amp;JupData!$J$2:$J$10000,0),11))</f>
        <v/>
      </c>
      <c r="O482" t="str">
        <f t="array" ref="O482">IF($A482="","",INDEX(JupData!$A$2:$K$10000,MATCH($A482&amp;O$1,JupData!$A$2:$A$10000&amp;JupData!$J$2:$J$10000,0),11))</f>
        <v/>
      </c>
      <c r="P482" t="str">
        <f t="array" ref="P482">IF($A482="","",INDEX(JupData!$A$2:$K$10000,MATCH($A482&amp;P$1,JupData!$A$2:$A$10000&amp;JupData!$J$2:$J$10000,0),11))</f>
        <v/>
      </c>
      <c r="Q482" t="str">
        <f t="array" ref="Q482">IF($A482="","",INDEX(JupData!$A$2:$K$10000,MATCH($A482&amp;Q$1,JupData!$A$2:$A$10000&amp;JupData!$J$2:$J$10000,0),11))</f>
        <v/>
      </c>
      <c r="R482" t="str">
        <f t="array" ref="R482">IF($A482="","",INDEX(JupData!$A$2:$K$10000,MATCH($A482&amp;R$1,JupData!$A$2:$A$10000&amp;JupData!$J$2:$J$10000,0),11))</f>
        <v/>
      </c>
      <c r="S482" t="str">
        <f t="array" ref="S482">IF($A482="","",INDEX(JupData!$A$2:$K$10000,MATCH($A482&amp;S$1,JupData!$A$2:$A$10000&amp;JupData!$J$2:$J$10000,0),11))</f>
        <v/>
      </c>
      <c r="T482" t="str">
        <f t="array" ref="T482">IF($A482="","",INDEX(JupData!$A$2:$K$10000,MATCH($A482&amp;T$1,JupData!$A$2:$A$10000&amp;JupData!$J$2:$J$10000,0),11))</f>
        <v/>
      </c>
      <c r="U482" t="str">
        <f t="array" ref="U482">IF($A482="","",INDEX(JupData!$A$2:$K$10000,MATCH($A482&amp;U$1,JupData!$A$2:$A$10000&amp;JupData!$J$2:$J$10000,0),11))</f>
        <v/>
      </c>
      <c r="V482" t="str">
        <f t="array" ref="V482">IF($A482="","",INDEX(JupData!$A$2:$K$10000,MATCH($A482&amp;V$1,JupData!$A$2:$A$10000&amp;JupData!$J$2:$J$10000,0),11))</f>
        <v/>
      </c>
      <c r="W482" t="str">
        <f t="array" ref="W482">IF($A482="","",INDEX(JupData!$A$2:$K$10000,MATCH($A482&amp;W$1,JupData!$A$2:$A$10000&amp;JupData!$J$2:$J$10000,0),11))</f>
        <v/>
      </c>
      <c r="X482" t="str">
        <f t="array" ref="X482">IF($A482="","",INDEX(JupData!$A$2:$K$10000,MATCH($A482&amp;X$1,JupData!$A$2:$A$10000&amp;JupData!$J$2:$J$10000,0),11))</f>
        <v/>
      </c>
      <c r="Y482" t="str">
        <f t="array" ref="Y482">IF($A482="","",INDEX(JupData!$A$2:$K$10000,MATCH($A482&amp;Y$1,JupData!$A$2:$A$10000&amp;JupData!$J$2:$J$10000,0),11))</f>
        <v/>
      </c>
      <c r="Z482" t="str">
        <f t="array" ref="Z482">IF($A482="","",INDEX(JupData!$A$2:$K$10000,MATCH($A482&amp;Z$1,JupData!$A$2:$A$10000&amp;JupData!$J$2:$J$10000,0),11))</f>
        <v/>
      </c>
      <c r="AA482" t="str">
        <f t="array" ref="AA482">IF($A482="","",INDEX(JupData!$A$2:$K$10000,MATCH($A482&amp;AA$1,JupData!$A$2:$A$10000&amp;JupData!$J$2:$J$10000,0),11))</f>
        <v/>
      </c>
      <c r="AB482" t="str">
        <f t="array" ref="AB482">IF($A482="","",INDEX(JupData!$A$2:$K$10000,MATCH($A482&amp;AB$1,JupData!$A$2:$A$10000&amp;JupData!$J$2:$J$10000,0),11))</f>
        <v/>
      </c>
      <c r="AC482" s="10" t="str">
        <f t="shared" si="77"/>
        <v/>
      </c>
      <c r="AD482" s="10" t="str">
        <f t="shared" si="78"/>
        <v/>
      </c>
      <c r="AE482" s="9" t="str">
        <f t="shared" si="79"/>
        <v/>
      </c>
      <c r="AF482" s="10" t="str">
        <f t="shared" si="80"/>
        <v/>
      </c>
      <c r="AG482" s="10" t="str">
        <f t="shared" si="81"/>
        <v/>
      </c>
      <c r="AH482" s="10" t="str">
        <f t="shared" si="82"/>
        <v/>
      </c>
      <c r="AI482" s="10" t="str">
        <f t="shared" si="83"/>
        <v/>
      </c>
      <c r="AJ482" s="10" t="str">
        <f t="shared" si="84"/>
        <v/>
      </c>
      <c r="AK482" s="10" t="str">
        <f t="shared" si="85"/>
        <v/>
      </c>
      <c r="AL482" s="14" t="str">
        <f t="shared" si="86"/>
        <v/>
      </c>
    </row>
    <row r="483" spans="1:38" x14ac:dyDescent="0.2">
      <c r="A483"/>
      <c r="B483" t="str">
        <f>IF($A483="","",VLOOKUP($A483,JupData!$A$2:$I$10000,4,FALSE))</f>
        <v/>
      </c>
      <c r="C483" s="7" t="str">
        <f>IF($A483="",IF(N(D483),0,""),VLOOKUP($A483,JupData!$A$2:$I$10000,7,FALSE))</f>
        <v/>
      </c>
      <c r="D483" t="str">
        <f t="shared" si="87"/>
        <v/>
      </c>
      <c r="E483" t="str">
        <f t="array" ref="E483">IF($A483="","",INDEX(JupData!$A$2:$K$10000,MATCH($A483&amp;E$1,JupData!$A$2:$A$10000&amp;JupData!$J$2:$J$10000,0),11))</f>
        <v/>
      </c>
      <c r="F483" t="str">
        <f t="array" ref="F483">IF($A483="","",INDEX(JupData!$A$2:$K$10000,MATCH($A483&amp;F$1,JupData!$A$2:$A$10000&amp;JupData!$J$2:$J$10000,0),11))</f>
        <v/>
      </c>
      <c r="G483" t="str">
        <f t="array" ref="G483">IF($A483="","",INDEX(JupData!$A$2:$K$10000,MATCH($A483&amp;G$1,JupData!$A$2:$A$10000&amp;JupData!$J$2:$J$10000,0),11))</f>
        <v/>
      </c>
      <c r="H483" t="str">
        <f t="array" ref="H483">IF($A483="","",INDEX(JupData!$A$2:$K$10000,MATCH($A483&amp;H$1,JupData!$A$2:$A$10000&amp;JupData!$J$2:$J$10000,0),11))</f>
        <v/>
      </c>
      <c r="I483" t="str">
        <f t="array" ref="I483">IF($A483="","",INDEX(JupData!$A$2:$K$10000,MATCH($A483&amp;I$1,JupData!$A$2:$A$10000&amp;JupData!$J$2:$J$10000,0),11))</f>
        <v/>
      </c>
      <c r="J483" t="str">
        <f t="array" ref="J483">IF($A483="","",INDEX(JupData!$A$2:$K$10000,MATCH($A483&amp;J$1,JupData!$A$2:$A$10000&amp;JupData!$J$2:$J$10000,0),11))</f>
        <v/>
      </c>
      <c r="K483" t="str">
        <f t="array" ref="K483">IF($A483="","",INDEX(JupData!$A$2:$K$10000,MATCH($A483&amp;K$1,JupData!$A$2:$A$10000&amp;JupData!$J$2:$J$10000,0),11))</f>
        <v/>
      </c>
      <c r="L483" t="str">
        <f t="array" ref="L483">IF($A483="","",INDEX(JupData!$A$2:$K$10000,MATCH($A483&amp;L$1,JupData!$A$2:$A$10000&amp;JupData!$J$2:$J$10000,0),11))</f>
        <v/>
      </c>
      <c r="M483" t="str">
        <f t="array" ref="M483">IF($A483="","",INDEX(JupData!$A$2:$K$10000,MATCH($A483&amp;M$1,JupData!$A$2:$A$10000&amp;JupData!$J$2:$J$10000,0),11))</f>
        <v/>
      </c>
      <c r="N483" t="str">
        <f t="array" ref="N483">IF($A483="","",INDEX(JupData!$A$2:$K$10000,MATCH($A483&amp;N$1,JupData!$A$2:$A$10000&amp;JupData!$J$2:$J$10000,0),11))</f>
        <v/>
      </c>
      <c r="O483" t="str">
        <f t="array" ref="O483">IF($A483="","",INDEX(JupData!$A$2:$K$10000,MATCH($A483&amp;O$1,JupData!$A$2:$A$10000&amp;JupData!$J$2:$J$10000,0),11))</f>
        <v/>
      </c>
      <c r="P483" t="str">
        <f t="array" ref="P483">IF($A483="","",INDEX(JupData!$A$2:$K$10000,MATCH($A483&amp;P$1,JupData!$A$2:$A$10000&amp;JupData!$J$2:$J$10000,0),11))</f>
        <v/>
      </c>
      <c r="Q483" t="str">
        <f t="array" ref="Q483">IF($A483="","",INDEX(JupData!$A$2:$K$10000,MATCH($A483&amp;Q$1,JupData!$A$2:$A$10000&amp;JupData!$J$2:$J$10000,0),11))</f>
        <v/>
      </c>
      <c r="R483" t="str">
        <f t="array" ref="R483">IF($A483="","",INDEX(JupData!$A$2:$K$10000,MATCH($A483&amp;R$1,JupData!$A$2:$A$10000&amp;JupData!$J$2:$J$10000,0),11))</f>
        <v/>
      </c>
      <c r="S483" t="str">
        <f t="array" ref="S483">IF($A483="","",INDEX(JupData!$A$2:$K$10000,MATCH($A483&amp;S$1,JupData!$A$2:$A$10000&amp;JupData!$J$2:$J$10000,0),11))</f>
        <v/>
      </c>
      <c r="T483" t="str">
        <f t="array" ref="T483">IF($A483="","",INDEX(JupData!$A$2:$K$10000,MATCH($A483&amp;T$1,JupData!$A$2:$A$10000&amp;JupData!$J$2:$J$10000,0),11))</f>
        <v/>
      </c>
      <c r="U483" t="str">
        <f t="array" ref="U483">IF($A483="","",INDEX(JupData!$A$2:$K$10000,MATCH($A483&amp;U$1,JupData!$A$2:$A$10000&amp;JupData!$J$2:$J$10000,0),11))</f>
        <v/>
      </c>
      <c r="V483" t="str">
        <f t="array" ref="V483">IF($A483="","",INDEX(JupData!$A$2:$K$10000,MATCH($A483&amp;V$1,JupData!$A$2:$A$10000&amp;JupData!$J$2:$J$10000,0),11))</f>
        <v/>
      </c>
      <c r="W483" t="str">
        <f t="array" ref="W483">IF($A483="","",INDEX(JupData!$A$2:$K$10000,MATCH($A483&amp;W$1,JupData!$A$2:$A$10000&amp;JupData!$J$2:$J$10000,0),11))</f>
        <v/>
      </c>
      <c r="X483" t="str">
        <f t="array" ref="X483">IF($A483="","",INDEX(JupData!$A$2:$K$10000,MATCH($A483&amp;X$1,JupData!$A$2:$A$10000&amp;JupData!$J$2:$J$10000,0),11))</f>
        <v/>
      </c>
      <c r="Y483" t="str">
        <f t="array" ref="Y483">IF($A483="","",INDEX(JupData!$A$2:$K$10000,MATCH($A483&amp;Y$1,JupData!$A$2:$A$10000&amp;JupData!$J$2:$J$10000,0),11))</f>
        <v/>
      </c>
      <c r="Z483" t="str">
        <f t="array" ref="Z483">IF($A483="","",INDEX(JupData!$A$2:$K$10000,MATCH($A483&amp;Z$1,JupData!$A$2:$A$10000&amp;JupData!$J$2:$J$10000,0),11))</f>
        <v/>
      </c>
      <c r="AA483" t="str">
        <f t="array" ref="AA483">IF($A483="","",INDEX(JupData!$A$2:$K$10000,MATCH($A483&amp;AA$1,JupData!$A$2:$A$10000&amp;JupData!$J$2:$J$10000,0),11))</f>
        <v/>
      </c>
      <c r="AB483" t="str">
        <f t="array" ref="AB483">IF($A483="","",INDEX(JupData!$A$2:$K$10000,MATCH($A483&amp;AB$1,JupData!$A$2:$A$10000&amp;JupData!$J$2:$J$10000,0),11))</f>
        <v/>
      </c>
      <c r="AC483" s="10" t="str">
        <f t="shared" si="77"/>
        <v/>
      </c>
      <c r="AD483" s="10" t="str">
        <f t="shared" si="78"/>
        <v/>
      </c>
      <c r="AE483" s="9" t="str">
        <f t="shared" si="79"/>
        <v/>
      </c>
      <c r="AF483" s="10" t="str">
        <f t="shared" si="80"/>
        <v/>
      </c>
      <c r="AG483" s="10" t="str">
        <f t="shared" si="81"/>
        <v/>
      </c>
      <c r="AH483" s="10" t="str">
        <f t="shared" si="82"/>
        <v/>
      </c>
      <c r="AI483" s="10" t="str">
        <f t="shared" si="83"/>
        <v/>
      </c>
      <c r="AJ483" s="10" t="str">
        <f t="shared" si="84"/>
        <v/>
      </c>
      <c r="AK483" s="10" t="str">
        <f t="shared" si="85"/>
        <v/>
      </c>
      <c r="AL483" s="14" t="str">
        <f t="shared" si="86"/>
        <v/>
      </c>
    </row>
    <row r="484" spans="1:38" x14ac:dyDescent="0.2">
      <c r="A484"/>
      <c r="B484" t="str">
        <f>IF($A484="","",VLOOKUP($A484,JupData!$A$2:$I$10000,4,FALSE))</f>
        <v/>
      </c>
      <c r="C484" s="7" t="str">
        <f>IF($A484="",IF(N(D484),0,""),VLOOKUP($A484,JupData!$A$2:$I$10000,7,FALSE))</f>
        <v/>
      </c>
      <c r="D484" t="str">
        <f t="shared" si="87"/>
        <v/>
      </c>
      <c r="E484" t="str">
        <f t="array" ref="E484">IF($A484="","",INDEX(JupData!$A$2:$K$10000,MATCH($A484&amp;E$1,JupData!$A$2:$A$10000&amp;JupData!$J$2:$J$10000,0),11))</f>
        <v/>
      </c>
      <c r="F484" t="str">
        <f t="array" ref="F484">IF($A484="","",INDEX(JupData!$A$2:$K$10000,MATCH($A484&amp;F$1,JupData!$A$2:$A$10000&amp;JupData!$J$2:$J$10000,0),11))</f>
        <v/>
      </c>
      <c r="G484" t="str">
        <f t="array" ref="G484">IF($A484="","",INDEX(JupData!$A$2:$K$10000,MATCH($A484&amp;G$1,JupData!$A$2:$A$10000&amp;JupData!$J$2:$J$10000,0),11))</f>
        <v/>
      </c>
      <c r="H484" t="str">
        <f t="array" ref="H484">IF($A484="","",INDEX(JupData!$A$2:$K$10000,MATCH($A484&amp;H$1,JupData!$A$2:$A$10000&amp;JupData!$J$2:$J$10000,0),11))</f>
        <v/>
      </c>
      <c r="I484" t="str">
        <f t="array" ref="I484">IF($A484="","",INDEX(JupData!$A$2:$K$10000,MATCH($A484&amp;I$1,JupData!$A$2:$A$10000&amp;JupData!$J$2:$J$10000,0),11))</f>
        <v/>
      </c>
      <c r="J484" t="str">
        <f t="array" ref="J484">IF($A484="","",INDEX(JupData!$A$2:$K$10000,MATCH($A484&amp;J$1,JupData!$A$2:$A$10000&amp;JupData!$J$2:$J$10000,0),11))</f>
        <v/>
      </c>
      <c r="K484" t="str">
        <f t="array" ref="K484">IF($A484="","",INDEX(JupData!$A$2:$K$10000,MATCH($A484&amp;K$1,JupData!$A$2:$A$10000&amp;JupData!$J$2:$J$10000,0),11))</f>
        <v/>
      </c>
      <c r="L484" t="str">
        <f t="array" ref="L484">IF($A484="","",INDEX(JupData!$A$2:$K$10000,MATCH($A484&amp;L$1,JupData!$A$2:$A$10000&amp;JupData!$J$2:$J$10000,0),11))</f>
        <v/>
      </c>
      <c r="M484" t="str">
        <f t="array" ref="M484">IF($A484="","",INDEX(JupData!$A$2:$K$10000,MATCH($A484&amp;M$1,JupData!$A$2:$A$10000&amp;JupData!$J$2:$J$10000,0),11))</f>
        <v/>
      </c>
      <c r="N484" t="str">
        <f t="array" ref="N484">IF($A484="","",INDEX(JupData!$A$2:$K$10000,MATCH($A484&amp;N$1,JupData!$A$2:$A$10000&amp;JupData!$J$2:$J$10000,0),11))</f>
        <v/>
      </c>
      <c r="O484" t="str">
        <f t="array" ref="O484">IF($A484="","",INDEX(JupData!$A$2:$K$10000,MATCH($A484&amp;O$1,JupData!$A$2:$A$10000&amp;JupData!$J$2:$J$10000,0),11))</f>
        <v/>
      </c>
      <c r="P484" t="str">
        <f t="array" ref="P484">IF($A484="","",INDEX(JupData!$A$2:$K$10000,MATCH($A484&amp;P$1,JupData!$A$2:$A$10000&amp;JupData!$J$2:$J$10000,0),11))</f>
        <v/>
      </c>
      <c r="Q484" t="str">
        <f t="array" ref="Q484">IF($A484="","",INDEX(JupData!$A$2:$K$10000,MATCH($A484&amp;Q$1,JupData!$A$2:$A$10000&amp;JupData!$J$2:$J$10000,0),11))</f>
        <v/>
      </c>
      <c r="R484" t="str">
        <f t="array" ref="R484">IF($A484="","",INDEX(JupData!$A$2:$K$10000,MATCH($A484&amp;R$1,JupData!$A$2:$A$10000&amp;JupData!$J$2:$J$10000,0),11))</f>
        <v/>
      </c>
      <c r="S484" t="str">
        <f t="array" ref="S484">IF($A484="","",INDEX(JupData!$A$2:$K$10000,MATCH($A484&amp;S$1,JupData!$A$2:$A$10000&amp;JupData!$J$2:$J$10000,0),11))</f>
        <v/>
      </c>
      <c r="T484" t="str">
        <f t="array" ref="T484">IF($A484="","",INDEX(JupData!$A$2:$K$10000,MATCH($A484&amp;T$1,JupData!$A$2:$A$10000&amp;JupData!$J$2:$J$10000,0),11))</f>
        <v/>
      </c>
      <c r="U484" t="str">
        <f t="array" ref="U484">IF($A484="","",INDEX(JupData!$A$2:$K$10000,MATCH($A484&amp;U$1,JupData!$A$2:$A$10000&amp;JupData!$J$2:$J$10000,0),11))</f>
        <v/>
      </c>
      <c r="V484" t="str">
        <f t="array" ref="V484">IF($A484="","",INDEX(JupData!$A$2:$K$10000,MATCH($A484&amp;V$1,JupData!$A$2:$A$10000&amp;JupData!$J$2:$J$10000,0),11))</f>
        <v/>
      </c>
      <c r="W484" t="str">
        <f t="array" ref="W484">IF($A484="","",INDEX(JupData!$A$2:$K$10000,MATCH($A484&amp;W$1,JupData!$A$2:$A$10000&amp;JupData!$J$2:$J$10000,0),11))</f>
        <v/>
      </c>
      <c r="X484" t="str">
        <f t="array" ref="X484">IF($A484="","",INDEX(JupData!$A$2:$K$10000,MATCH($A484&amp;X$1,JupData!$A$2:$A$10000&amp;JupData!$J$2:$J$10000,0),11))</f>
        <v/>
      </c>
      <c r="Y484" t="str">
        <f t="array" ref="Y484">IF($A484="","",INDEX(JupData!$A$2:$K$10000,MATCH($A484&amp;Y$1,JupData!$A$2:$A$10000&amp;JupData!$J$2:$J$10000,0),11))</f>
        <v/>
      </c>
      <c r="Z484" t="str">
        <f t="array" ref="Z484">IF($A484="","",INDEX(JupData!$A$2:$K$10000,MATCH($A484&amp;Z$1,JupData!$A$2:$A$10000&amp;JupData!$J$2:$J$10000,0),11))</f>
        <v/>
      </c>
      <c r="AA484" t="str">
        <f t="array" ref="AA484">IF($A484="","",INDEX(JupData!$A$2:$K$10000,MATCH($A484&amp;AA$1,JupData!$A$2:$A$10000&amp;JupData!$J$2:$J$10000,0),11))</f>
        <v/>
      </c>
      <c r="AB484" t="str">
        <f t="array" ref="AB484">IF($A484="","",INDEX(JupData!$A$2:$K$10000,MATCH($A484&amp;AB$1,JupData!$A$2:$A$10000&amp;JupData!$J$2:$J$10000,0),11))</f>
        <v/>
      </c>
      <c r="AC484" s="10" t="str">
        <f t="shared" si="77"/>
        <v/>
      </c>
      <c r="AD484" s="10" t="str">
        <f t="shared" si="78"/>
        <v/>
      </c>
      <c r="AE484" s="9" t="str">
        <f t="shared" si="79"/>
        <v/>
      </c>
      <c r="AF484" s="10" t="str">
        <f t="shared" si="80"/>
        <v/>
      </c>
      <c r="AG484" s="10" t="str">
        <f t="shared" si="81"/>
        <v/>
      </c>
      <c r="AH484" s="10" t="str">
        <f t="shared" si="82"/>
        <v/>
      </c>
      <c r="AI484" s="10" t="str">
        <f t="shared" si="83"/>
        <v/>
      </c>
      <c r="AJ484" s="10" t="str">
        <f t="shared" si="84"/>
        <v/>
      </c>
      <c r="AK484" s="10" t="str">
        <f t="shared" si="85"/>
        <v/>
      </c>
      <c r="AL484" s="14" t="str">
        <f t="shared" si="86"/>
        <v/>
      </c>
    </row>
    <row r="485" spans="1:38" x14ac:dyDescent="0.2">
      <c r="A485"/>
      <c r="B485" t="str">
        <f>IF($A485="","",VLOOKUP($A485,JupData!$A$2:$I$10000,4,FALSE))</f>
        <v/>
      </c>
      <c r="C485" s="7" t="str">
        <f>IF($A485="",IF(N(D485),0,""),VLOOKUP($A485,JupData!$A$2:$I$10000,7,FALSE))</f>
        <v/>
      </c>
      <c r="D485" t="str">
        <f t="shared" si="87"/>
        <v/>
      </c>
      <c r="E485" t="str">
        <f t="array" ref="E485">IF($A485="","",INDEX(JupData!$A$2:$K$10000,MATCH($A485&amp;E$1,JupData!$A$2:$A$10000&amp;JupData!$J$2:$J$10000,0),11))</f>
        <v/>
      </c>
      <c r="F485" t="str">
        <f t="array" ref="F485">IF($A485="","",INDEX(JupData!$A$2:$K$10000,MATCH($A485&amp;F$1,JupData!$A$2:$A$10000&amp;JupData!$J$2:$J$10000,0),11))</f>
        <v/>
      </c>
      <c r="G485" t="str">
        <f t="array" ref="G485">IF($A485="","",INDEX(JupData!$A$2:$K$10000,MATCH($A485&amp;G$1,JupData!$A$2:$A$10000&amp;JupData!$J$2:$J$10000,0),11))</f>
        <v/>
      </c>
      <c r="H485" t="str">
        <f t="array" ref="H485">IF($A485="","",INDEX(JupData!$A$2:$K$10000,MATCH($A485&amp;H$1,JupData!$A$2:$A$10000&amp;JupData!$J$2:$J$10000,0),11))</f>
        <v/>
      </c>
      <c r="I485" t="str">
        <f t="array" ref="I485">IF($A485="","",INDEX(JupData!$A$2:$K$10000,MATCH($A485&amp;I$1,JupData!$A$2:$A$10000&amp;JupData!$J$2:$J$10000,0),11))</f>
        <v/>
      </c>
      <c r="J485" t="str">
        <f t="array" ref="J485">IF($A485="","",INDEX(JupData!$A$2:$K$10000,MATCH($A485&amp;J$1,JupData!$A$2:$A$10000&amp;JupData!$J$2:$J$10000,0),11))</f>
        <v/>
      </c>
      <c r="K485" t="str">
        <f t="array" ref="K485">IF($A485="","",INDEX(JupData!$A$2:$K$10000,MATCH($A485&amp;K$1,JupData!$A$2:$A$10000&amp;JupData!$J$2:$J$10000,0),11))</f>
        <v/>
      </c>
      <c r="L485" t="str">
        <f t="array" ref="L485">IF($A485="","",INDEX(JupData!$A$2:$K$10000,MATCH($A485&amp;L$1,JupData!$A$2:$A$10000&amp;JupData!$J$2:$J$10000,0),11))</f>
        <v/>
      </c>
      <c r="M485" t="str">
        <f t="array" ref="M485">IF($A485="","",INDEX(JupData!$A$2:$K$10000,MATCH($A485&amp;M$1,JupData!$A$2:$A$10000&amp;JupData!$J$2:$J$10000,0),11))</f>
        <v/>
      </c>
      <c r="N485" t="str">
        <f t="array" ref="N485">IF($A485="","",INDEX(JupData!$A$2:$K$10000,MATCH($A485&amp;N$1,JupData!$A$2:$A$10000&amp;JupData!$J$2:$J$10000,0),11))</f>
        <v/>
      </c>
      <c r="O485" t="str">
        <f t="array" ref="O485">IF($A485="","",INDEX(JupData!$A$2:$K$10000,MATCH($A485&amp;O$1,JupData!$A$2:$A$10000&amp;JupData!$J$2:$J$10000,0),11))</f>
        <v/>
      </c>
      <c r="P485" t="str">
        <f t="array" ref="P485">IF($A485="","",INDEX(JupData!$A$2:$K$10000,MATCH($A485&amp;P$1,JupData!$A$2:$A$10000&amp;JupData!$J$2:$J$10000,0),11))</f>
        <v/>
      </c>
      <c r="Q485" t="str">
        <f t="array" ref="Q485">IF($A485="","",INDEX(JupData!$A$2:$K$10000,MATCH($A485&amp;Q$1,JupData!$A$2:$A$10000&amp;JupData!$J$2:$J$10000,0),11))</f>
        <v/>
      </c>
      <c r="R485" t="str">
        <f t="array" ref="R485">IF($A485="","",INDEX(JupData!$A$2:$K$10000,MATCH($A485&amp;R$1,JupData!$A$2:$A$10000&amp;JupData!$J$2:$J$10000,0),11))</f>
        <v/>
      </c>
      <c r="S485" t="str">
        <f t="array" ref="S485">IF($A485="","",INDEX(JupData!$A$2:$K$10000,MATCH($A485&amp;S$1,JupData!$A$2:$A$10000&amp;JupData!$J$2:$J$10000,0),11))</f>
        <v/>
      </c>
      <c r="T485" t="str">
        <f t="array" ref="T485">IF($A485="","",INDEX(JupData!$A$2:$K$10000,MATCH($A485&amp;T$1,JupData!$A$2:$A$10000&amp;JupData!$J$2:$J$10000,0),11))</f>
        <v/>
      </c>
      <c r="U485" t="str">
        <f t="array" ref="U485">IF($A485="","",INDEX(JupData!$A$2:$K$10000,MATCH($A485&amp;U$1,JupData!$A$2:$A$10000&amp;JupData!$J$2:$J$10000,0),11))</f>
        <v/>
      </c>
      <c r="V485" t="str">
        <f t="array" ref="V485">IF($A485="","",INDEX(JupData!$A$2:$K$10000,MATCH($A485&amp;V$1,JupData!$A$2:$A$10000&amp;JupData!$J$2:$J$10000,0),11))</f>
        <v/>
      </c>
      <c r="W485" t="str">
        <f t="array" ref="W485">IF($A485="","",INDEX(JupData!$A$2:$K$10000,MATCH($A485&amp;W$1,JupData!$A$2:$A$10000&amp;JupData!$J$2:$J$10000,0),11))</f>
        <v/>
      </c>
      <c r="X485" t="str">
        <f t="array" ref="X485">IF($A485="","",INDEX(JupData!$A$2:$K$10000,MATCH($A485&amp;X$1,JupData!$A$2:$A$10000&amp;JupData!$J$2:$J$10000,0),11))</f>
        <v/>
      </c>
      <c r="Y485" t="str">
        <f t="array" ref="Y485">IF($A485="","",INDEX(JupData!$A$2:$K$10000,MATCH($A485&amp;Y$1,JupData!$A$2:$A$10000&amp;JupData!$J$2:$J$10000,0),11))</f>
        <v/>
      </c>
      <c r="Z485" t="str">
        <f t="array" ref="Z485">IF($A485="","",INDEX(JupData!$A$2:$K$10000,MATCH($A485&amp;Z$1,JupData!$A$2:$A$10000&amp;JupData!$J$2:$J$10000,0),11))</f>
        <v/>
      </c>
      <c r="AA485" t="str">
        <f t="array" ref="AA485">IF($A485="","",INDEX(JupData!$A$2:$K$10000,MATCH($A485&amp;AA$1,JupData!$A$2:$A$10000&amp;JupData!$J$2:$J$10000,0),11))</f>
        <v/>
      </c>
      <c r="AB485" t="str">
        <f t="array" ref="AB485">IF($A485="","",INDEX(JupData!$A$2:$K$10000,MATCH($A485&amp;AB$1,JupData!$A$2:$A$10000&amp;JupData!$J$2:$J$10000,0),11))</f>
        <v/>
      </c>
      <c r="AC485" s="10" t="str">
        <f t="shared" si="77"/>
        <v/>
      </c>
      <c r="AD485" s="10" t="str">
        <f t="shared" si="78"/>
        <v/>
      </c>
      <c r="AE485" s="9" t="str">
        <f t="shared" si="79"/>
        <v/>
      </c>
      <c r="AF485" s="10" t="str">
        <f t="shared" si="80"/>
        <v/>
      </c>
      <c r="AG485" s="10" t="str">
        <f t="shared" si="81"/>
        <v/>
      </c>
      <c r="AH485" s="10" t="str">
        <f t="shared" si="82"/>
        <v/>
      </c>
      <c r="AI485" s="10" t="str">
        <f t="shared" si="83"/>
        <v/>
      </c>
      <c r="AJ485" s="10" t="str">
        <f t="shared" si="84"/>
        <v/>
      </c>
      <c r="AK485" s="10" t="str">
        <f t="shared" si="85"/>
        <v/>
      </c>
      <c r="AL485" s="14" t="str">
        <f t="shared" si="86"/>
        <v/>
      </c>
    </row>
    <row r="486" spans="1:38" x14ac:dyDescent="0.2">
      <c r="A486"/>
      <c r="B486" t="str">
        <f>IF($A486="","",VLOOKUP($A486,JupData!$A$2:$I$10000,4,FALSE))</f>
        <v/>
      </c>
      <c r="C486" s="7" t="str">
        <f>IF($A486="",IF(N(D486),0,""),VLOOKUP($A486,JupData!$A$2:$I$10000,7,FALSE))</f>
        <v/>
      </c>
      <c r="D486" t="str">
        <f t="shared" si="87"/>
        <v/>
      </c>
      <c r="E486" t="str">
        <f t="array" ref="E486">IF($A486="","",INDEX(JupData!$A$2:$K$10000,MATCH($A486&amp;E$1,JupData!$A$2:$A$10000&amp;JupData!$J$2:$J$10000,0),11))</f>
        <v/>
      </c>
      <c r="F486" t="str">
        <f t="array" ref="F486">IF($A486="","",INDEX(JupData!$A$2:$K$10000,MATCH($A486&amp;F$1,JupData!$A$2:$A$10000&amp;JupData!$J$2:$J$10000,0),11))</f>
        <v/>
      </c>
      <c r="G486" t="str">
        <f t="array" ref="G486">IF($A486="","",INDEX(JupData!$A$2:$K$10000,MATCH($A486&amp;G$1,JupData!$A$2:$A$10000&amp;JupData!$J$2:$J$10000,0),11))</f>
        <v/>
      </c>
      <c r="H486" t="str">
        <f t="array" ref="H486">IF($A486="","",INDEX(JupData!$A$2:$K$10000,MATCH($A486&amp;H$1,JupData!$A$2:$A$10000&amp;JupData!$J$2:$J$10000,0),11))</f>
        <v/>
      </c>
      <c r="I486" t="str">
        <f t="array" ref="I486">IF($A486="","",INDEX(JupData!$A$2:$K$10000,MATCH($A486&amp;I$1,JupData!$A$2:$A$10000&amp;JupData!$J$2:$J$10000,0),11))</f>
        <v/>
      </c>
      <c r="J486" t="str">
        <f t="array" ref="J486">IF($A486="","",INDEX(JupData!$A$2:$K$10000,MATCH($A486&amp;J$1,JupData!$A$2:$A$10000&amp;JupData!$J$2:$J$10000,0),11))</f>
        <v/>
      </c>
      <c r="K486" t="str">
        <f t="array" ref="K486">IF($A486="","",INDEX(JupData!$A$2:$K$10000,MATCH($A486&amp;K$1,JupData!$A$2:$A$10000&amp;JupData!$J$2:$J$10000,0),11))</f>
        <v/>
      </c>
      <c r="L486" t="str">
        <f t="array" ref="L486">IF($A486="","",INDEX(JupData!$A$2:$K$10000,MATCH($A486&amp;L$1,JupData!$A$2:$A$10000&amp;JupData!$J$2:$J$10000,0),11))</f>
        <v/>
      </c>
      <c r="M486" t="str">
        <f t="array" ref="M486">IF($A486="","",INDEX(JupData!$A$2:$K$10000,MATCH($A486&amp;M$1,JupData!$A$2:$A$10000&amp;JupData!$J$2:$J$10000,0),11))</f>
        <v/>
      </c>
      <c r="N486" t="str">
        <f t="array" ref="N486">IF($A486="","",INDEX(JupData!$A$2:$K$10000,MATCH($A486&amp;N$1,JupData!$A$2:$A$10000&amp;JupData!$J$2:$J$10000,0),11))</f>
        <v/>
      </c>
      <c r="O486" t="str">
        <f t="array" ref="O486">IF($A486="","",INDEX(JupData!$A$2:$K$10000,MATCH($A486&amp;O$1,JupData!$A$2:$A$10000&amp;JupData!$J$2:$J$10000,0),11))</f>
        <v/>
      </c>
      <c r="P486" t="str">
        <f t="array" ref="P486">IF($A486="","",INDEX(JupData!$A$2:$K$10000,MATCH($A486&amp;P$1,JupData!$A$2:$A$10000&amp;JupData!$J$2:$J$10000,0),11))</f>
        <v/>
      </c>
      <c r="Q486" t="str">
        <f t="array" ref="Q486">IF($A486="","",INDEX(JupData!$A$2:$K$10000,MATCH($A486&amp;Q$1,JupData!$A$2:$A$10000&amp;JupData!$J$2:$J$10000,0),11))</f>
        <v/>
      </c>
      <c r="R486" t="str">
        <f t="array" ref="R486">IF($A486="","",INDEX(JupData!$A$2:$K$10000,MATCH($A486&amp;R$1,JupData!$A$2:$A$10000&amp;JupData!$J$2:$J$10000,0),11))</f>
        <v/>
      </c>
      <c r="S486" t="str">
        <f t="array" ref="S486">IF($A486="","",INDEX(JupData!$A$2:$K$10000,MATCH($A486&amp;S$1,JupData!$A$2:$A$10000&amp;JupData!$J$2:$J$10000,0),11))</f>
        <v/>
      </c>
      <c r="T486" t="str">
        <f t="array" ref="T486">IF($A486="","",INDEX(JupData!$A$2:$K$10000,MATCH($A486&amp;T$1,JupData!$A$2:$A$10000&amp;JupData!$J$2:$J$10000,0),11))</f>
        <v/>
      </c>
      <c r="U486" t="str">
        <f t="array" ref="U486">IF($A486="","",INDEX(JupData!$A$2:$K$10000,MATCH($A486&amp;U$1,JupData!$A$2:$A$10000&amp;JupData!$J$2:$J$10000,0),11))</f>
        <v/>
      </c>
      <c r="V486" t="str">
        <f t="array" ref="V486">IF($A486="","",INDEX(JupData!$A$2:$K$10000,MATCH($A486&amp;V$1,JupData!$A$2:$A$10000&amp;JupData!$J$2:$J$10000,0),11))</f>
        <v/>
      </c>
      <c r="W486" t="str">
        <f t="array" ref="W486">IF($A486="","",INDEX(JupData!$A$2:$K$10000,MATCH($A486&amp;W$1,JupData!$A$2:$A$10000&amp;JupData!$J$2:$J$10000,0),11))</f>
        <v/>
      </c>
      <c r="X486" t="str">
        <f t="array" ref="X486">IF($A486="","",INDEX(JupData!$A$2:$K$10000,MATCH($A486&amp;X$1,JupData!$A$2:$A$10000&amp;JupData!$J$2:$J$10000,0),11))</f>
        <v/>
      </c>
      <c r="Y486" t="str">
        <f t="array" ref="Y486">IF($A486="","",INDEX(JupData!$A$2:$K$10000,MATCH($A486&amp;Y$1,JupData!$A$2:$A$10000&amp;JupData!$J$2:$J$10000,0),11))</f>
        <v/>
      </c>
      <c r="Z486" t="str">
        <f t="array" ref="Z486">IF($A486="","",INDEX(JupData!$A$2:$K$10000,MATCH($A486&amp;Z$1,JupData!$A$2:$A$10000&amp;JupData!$J$2:$J$10000,0),11))</f>
        <v/>
      </c>
      <c r="AA486" t="str">
        <f t="array" ref="AA486">IF($A486="","",INDEX(JupData!$A$2:$K$10000,MATCH($A486&amp;AA$1,JupData!$A$2:$A$10000&amp;JupData!$J$2:$J$10000,0),11))</f>
        <v/>
      </c>
      <c r="AB486" t="str">
        <f t="array" ref="AB486">IF($A486="","",INDEX(JupData!$A$2:$K$10000,MATCH($A486&amp;AB$1,JupData!$A$2:$A$10000&amp;JupData!$J$2:$J$10000,0),11))</f>
        <v/>
      </c>
      <c r="AC486" s="10" t="str">
        <f t="shared" si="77"/>
        <v/>
      </c>
      <c r="AD486" s="10" t="str">
        <f t="shared" si="78"/>
        <v/>
      </c>
      <c r="AE486" s="9" t="str">
        <f t="shared" si="79"/>
        <v/>
      </c>
      <c r="AF486" s="10" t="str">
        <f t="shared" si="80"/>
        <v/>
      </c>
      <c r="AG486" s="10" t="str">
        <f t="shared" si="81"/>
        <v/>
      </c>
      <c r="AH486" s="10" t="str">
        <f t="shared" si="82"/>
        <v/>
      </c>
      <c r="AI486" s="10" t="str">
        <f t="shared" si="83"/>
        <v/>
      </c>
      <c r="AJ486" s="10" t="str">
        <f t="shared" si="84"/>
        <v/>
      </c>
      <c r="AK486" s="10" t="str">
        <f t="shared" si="85"/>
        <v/>
      </c>
      <c r="AL486" s="14" t="str">
        <f t="shared" si="86"/>
        <v/>
      </c>
    </row>
    <row r="487" spans="1:38" x14ac:dyDescent="0.2">
      <c r="A487"/>
      <c r="B487" t="str">
        <f>IF($A487="","",VLOOKUP($A487,JupData!$A$2:$I$10000,4,FALSE))</f>
        <v/>
      </c>
      <c r="C487" s="7" t="str">
        <f>IF($A487="",IF(N(D487),0,""),VLOOKUP($A487,JupData!$A$2:$I$10000,7,FALSE))</f>
        <v/>
      </c>
      <c r="D487" t="str">
        <f t="shared" si="87"/>
        <v/>
      </c>
      <c r="E487" t="str">
        <f t="array" ref="E487">IF($A487="","",INDEX(JupData!$A$2:$K$10000,MATCH($A487&amp;E$1,JupData!$A$2:$A$10000&amp;JupData!$J$2:$J$10000,0),11))</f>
        <v/>
      </c>
      <c r="F487" t="str">
        <f t="array" ref="F487">IF($A487="","",INDEX(JupData!$A$2:$K$10000,MATCH($A487&amp;F$1,JupData!$A$2:$A$10000&amp;JupData!$J$2:$J$10000,0),11))</f>
        <v/>
      </c>
      <c r="G487" t="str">
        <f t="array" ref="G487">IF($A487="","",INDEX(JupData!$A$2:$K$10000,MATCH($A487&amp;G$1,JupData!$A$2:$A$10000&amp;JupData!$J$2:$J$10000,0),11))</f>
        <v/>
      </c>
      <c r="H487" t="str">
        <f t="array" ref="H487">IF($A487="","",INDEX(JupData!$A$2:$K$10000,MATCH($A487&amp;H$1,JupData!$A$2:$A$10000&amp;JupData!$J$2:$J$10000,0),11))</f>
        <v/>
      </c>
      <c r="I487" t="str">
        <f t="array" ref="I487">IF($A487="","",INDEX(JupData!$A$2:$K$10000,MATCH($A487&amp;I$1,JupData!$A$2:$A$10000&amp;JupData!$J$2:$J$10000,0),11))</f>
        <v/>
      </c>
      <c r="J487" t="str">
        <f t="array" ref="J487">IF($A487="","",INDEX(JupData!$A$2:$K$10000,MATCH($A487&amp;J$1,JupData!$A$2:$A$10000&amp;JupData!$J$2:$J$10000,0),11))</f>
        <v/>
      </c>
      <c r="K487" t="str">
        <f t="array" ref="K487">IF($A487="","",INDEX(JupData!$A$2:$K$10000,MATCH($A487&amp;K$1,JupData!$A$2:$A$10000&amp;JupData!$J$2:$J$10000,0),11))</f>
        <v/>
      </c>
      <c r="L487" t="str">
        <f t="array" ref="L487">IF($A487="","",INDEX(JupData!$A$2:$K$10000,MATCH($A487&amp;L$1,JupData!$A$2:$A$10000&amp;JupData!$J$2:$J$10000,0),11))</f>
        <v/>
      </c>
      <c r="M487" t="str">
        <f t="array" ref="M487">IF($A487="","",INDEX(JupData!$A$2:$K$10000,MATCH($A487&amp;M$1,JupData!$A$2:$A$10000&amp;JupData!$J$2:$J$10000,0),11))</f>
        <v/>
      </c>
      <c r="N487" t="str">
        <f t="array" ref="N487">IF($A487="","",INDEX(JupData!$A$2:$K$10000,MATCH($A487&amp;N$1,JupData!$A$2:$A$10000&amp;JupData!$J$2:$J$10000,0),11))</f>
        <v/>
      </c>
      <c r="O487" t="str">
        <f t="array" ref="O487">IF($A487="","",INDEX(JupData!$A$2:$K$10000,MATCH($A487&amp;O$1,JupData!$A$2:$A$10000&amp;JupData!$J$2:$J$10000,0),11))</f>
        <v/>
      </c>
      <c r="P487" t="str">
        <f t="array" ref="P487">IF($A487="","",INDEX(JupData!$A$2:$K$10000,MATCH($A487&amp;P$1,JupData!$A$2:$A$10000&amp;JupData!$J$2:$J$10000,0),11))</f>
        <v/>
      </c>
      <c r="Q487" t="str">
        <f t="array" ref="Q487">IF($A487="","",INDEX(JupData!$A$2:$K$10000,MATCH($A487&amp;Q$1,JupData!$A$2:$A$10000&amp;JupData!$J$2:$J$10000,0),11))</f>
        <v/>
      </c>
      <c r="R487" t="str">
        <f t="array" ref="R487">IF($A487="","",INDEX(JupData!$A$2:$K$10000,MATCH($A487&amp;R$1,JupData!$A$2:$A$10000&amp;JupData!$J$2:$J$10000,0),11))</f>
        <v/>
      </c>
      <c r="S487" t="str">
        <f t="array" ref="S487">IF($A487="","",INDEX(JupData!$A$2:$K$10000,MATCH($A487&amp;S$1,JupData!$A$2:$A$10000&amp;JupData!$J$2:$J$10000,0),11))</f>
        <v/>
      </c>
      <c r="T487" t="str">
        <f t="array" ref="T487">IF($A487="","",INDEX(JupData!$A$2:$K$10000,MATCH($A487&amp;T$1,JupData!$A$2:$A$10000&amp;JupData!$J$2:$J$10000,0),11))</f>
        <v/>
      </c>
      <c r="U487" t="str">
        <f t="array" ref="U487">IF($A487="","",INDEX(JupData!$A$2:$K$10000,MATCH($A487&amp;U$1,JupData!$A$2:$A$10000&amp;JupData!$J$2:$J$10000,0),11))</f>
        <v/>
      </c>
      <c r="V487" t="str">
        <f t="array" ref="V487">IF($A487="","",INDEX(JupData!$A$2:$K$10000,MATCH($A487&amp;V$1,JupData!$A$2:$A$10000&amp;JupData!$J$2:$J$10000,0),11))</f>
        <v/>
      </c>
      <c r="W487" t="str">
        <f t="array" ref="W487">IF($A487="","",INDEX(JupData!$A$2:$K$10000,MATCH($A487&amp;W$1,JupData!$A$2:$A$10000&amp;JupData!$J$2:$J$10000,0),11))</f>
        <v/>
      </c>
      <c r="X487" t="str">
        <f t="array" ref="X487">IF($A487="","",INDEX(JupData!$A$2:$K$10000,MATCH($A487&amp;X$1,JupData!$A$2:$A$10000&amp;JupData!$J$2:$J$10000,0),11))</f>
        <v/>
      </c>
      <c r="Y487" t="str">
        <f t="array" ref="Y487">IF($A487="","",INDEX(JupData!$A$2:$K$10000,MATCH($A487&amp;Y$1,JupData!$A$2:$A$10000&amp;JupData!$J$2:$J$10000,0),11))</f>
        <v/>
      </c>
      <c r="Z487" t="str">
        <f t="array" ref="Z487">IF($A487="","",INDEX(JupData!$A$2:$K$10000,MATCH($A487&amp;Z$1,JupData!$A$2:$A$10000&amp;JupData!$J$2:$J$10000,0),11))</f>
        <v/>
      </c>
      <c r="AA487" t="str">
        <f t="array" ref="AA487">IF($A487="","",INDEX(JupData!$A$2:$K$10000,MATCH($A487&amp;AA$1,JupData!$A$2:$A$10000&amp;JupData!$J$2:$J$10000,0),11))</f>
        <v/>
      </c>
      <c r="AB487" t="str">
        <f t="array" ref="AB487">IF($A487="","",INDEX(JupData!$A$2:$K$10000,MATCH($A487&amp;AB$1,JupData!$A$2:$A$10000&amp;JupData!$J$2:$J$10000,0),11))</f>
        <v/>
      </c>
      <c r="AC487" s="10" t="str">
        <f t="shared" si="77"/>
        <v/>
      </c>
      <c r="AD487" s="10" t="str">
        <f t="shared" si="78"/>
        <v/>
      </c>
      <c r="AE487" s="9" t="str">
        <f t="shared" si="79"/>
        <v/>
      </c>
      <c r="AF487" s="10" t="str">
        <f t="shared" si="80"/>
        <v/>
      </c>
      <c r="AG487" s="10" t="str">
        <f t="shared" si="81"/>
        <v/>
      </c>
      <c r="AH487" s="10" t="str">
        <f t="shared" si="82"/>
        <v/>
      </c>
      <c r="AI487" s="10" t="str">
        <f t="shared" si="83"/>
        <v/>
      </c>
      <c r="AJ487" s="10" t="str">
        <f t="shared" si="84"/>
        <v/>
      </c>
      <c r="AK487" s="10" t="str">
        <f t="shared" si="85"/>
        <v/>
      </c>
      <c r="AL487" s="14" t="str">
        <f t="shared" si="86"/>
        <v/>
      </c>
    </row>
    <row r="488" spans="1:38" x14ac:dyDescent="0.2">
      <c r="A488"/>
      <c r="B488" t="str">
        <f>IF($A488="","",VLOOKUP($A488,JupData!$A$2:$I$10000,4,FALSE))</f>
        <v/>
      </c>
      <c r="C488" s="7" t="str">
        <f>IF($A488="",IF(N(D488),0,""),VLOOKUP($A488,JupData!$A$2:$I$10000,7,FALSE))</f>
        <v/>
      </c>
      <c r="D488" t="str">
        <f t="shared" si="87"/>
        <v/>
      </c>
      <c r="E488" t="str">
        <f t="array" ref="E488">IF($A488="","",INDEX(JupData!$A$2:$K$10000,MATCH($A488&amp;E$1,JupData!$A$2:$A$10000&amp;JupData!$J$2:$J$10000,0),11))</f>
        <v/>
      </c>
      <c r="F488" t="str">
        <f t="array" ref="F488">IF($A488="","",INDEX(JupData!$A$2:$K$10000,MATCH($A488&amp;F$1,JupData!$A$2:$A$10000&amp;JupData!$J$2:$J$10000,0),11))</f>
        <v/>
      </c>
      <c r="G488" t="str">
        <f t="array" ref="G488">IF($A488="","",INDEX(JupData!$A$2:$K$10000,MATCH($A488&amp;G$1,JupData!$A$2:$A$10000&amp;JupData!$J$2:$J$10000,0),11))</f>
        <v/>
      </c>
      <c r="H488" t="str">
        <f t="array" ref="H488">IF($A488="","",INDEX(JupData!$A$2:$K$10000,MATCH($A488&amp;H$1,JupData!$A$2:$A$10000&amp;JupData!$J$2:$J$10000,0),11))</f>
        <v/>
      </c>
      <c r="I488" t="str">
        <f t="array" ref="I488">IF($A488="","",INDEX(JupData!$A$2:$K$10000,MATCH($A488&amp;I$1,JupData!$A$2:$A$10000&amp;JupData!$J$2:$J$10000,0),11))</f>
        <v/>
      </c>
      <c r="J488" t="str">
        <f t="array" ref="J488">IF($A488="","",INDEX(JupData!$A$2:$K$10000,MATCH($A488&amp;J$1,JupData!$A$2:$A$10000&amp;JupData!$J$2:$J$10000,0),11))</f>
        <v/>
      </c>
      <c r="K488" t="str">
        <f t="array" ref="K488">IF($A488="","",INDEX(JupData!$A$2:$K$10000,MATCH($A488&amp;K$1,JupData!$A$2:$A$10000&amp;JupData!$J$2:$J$10000,0),11))</f>
        <v/>
      </c>
      <c r="L488" t="str">
        <f t="array" ref="L488">IF($A488="","",INDEX(JupData!$A$2:$K$10000,MATCH($A488&amp;L$1,JupData!$A$2:$A$10000&amp;JupData!$J$2:$J$10000,0),11))</f>
        <v/>
      </c>
      <c r="M488" t="str">
        <f t="array" ref="M488">IF($A488="","",INDEX(JupData!$A$2:$K$10000,MATCH($A488&amp;M$1,JupData!$A$2:$A$10000&amp;JupData!$J$2:$J$10000,0),11))</f>
        <v/>
      </c>
      <c r="N488" t="str">
        <f t="array" ref="N488">IF($A488="","",INDEX(JupData!$A$2:$K$10000,MATCH($A488&amp;N$1,JupData!$A$2:$A$10000&amp;JupData!$J$2:$J$10000,0),11))</f>
        <v/>
      </c>
      <c r="O488" t="str">
        <f t="array" ref="O488">IF($A488="","",INDEX(JupData!$A$2:$K$10000,MATCH($A488&amp;O$1,JupData!$A$2:$A$10000&amp;JupData!$J$2:$J$10000,0),11))</f>
        <v/>
      </c>
      <c r="P488" t="str">
        <f t="array" ref="P488">IF($A488="","",INDEX(JupData!$A$2:$K$10000,MATCH($A488&amp;P$1,JupData!$A$2:$A$10000&amp;JupData!$J$2:$J$10000,0),11))</f>
        <v/>
      </c>
      <c r="Q488" t="str">
        <f t="array" ref="Q488">IF($A488="","",INDEX(JupData!$A$2:$K$10000,MATCH($A488&amp;Q$1,JupData!$A$2:$A$10000&amp;JupData!$J$2:$J$10000,0),11))</f>
        <v/>
      </c>
      <c r="R488" t="str">
        <f t="array" ref="R488">IF($A488="","",INDEX(JupData!$A$2:$K$10000,MATCH($A488&amp;R$1,JupData!$A$2:$A$10000&amp;JupData!$J$2:$J$10000,0),11))</f>
        <v/>
      </c>
      <c r="S488" t="str">
        <f t="array" ref="S488">IF($A488="","",INDEX(JupData!$A$2:$K$10000,MATCH($A488&amp;S$1,JupData!$A$2:$A$10000&amp;JupData!$J$2:$J$10000,0),11))</f>
        <v/>
      </c>
      <c r="T488" t="str">
        <f t="array" ref="T488">IF($A488="","",INDEX(JupData!$A$2:$K$10000,MATCH($A488&amp;T$1,JupData!$A$2:$A$10000&amp;JupData!$J$2:$J$10000,0),11))</f>
        <v/>
      </c>
      <c r="U488" t="str">
        <f t="array" ref="U488">IF($A488="","",INDEX(JupData!$A$2:$K$10000,MATCH($A488&amp;U$1,JupData!$A$2:$A$10000&amp;JupData!$J$2:$J$10000,0),11))</f>
        <v/>
      </c>
      <c r="V488" t="str">
        <f t="array" ref="V488">IF($A488="","",INDEX(JupData!$A$2:$K$10000,MATCH($A488&amp;V$1,JupData!$A$2:$A$10000&amp;JupData!$J$2:$J$10000,0),11))</f>
        <v/>
      </c>
      <c r="W488" t="str">
        <f t="array" ref="W488">IF($A488="","",INDEX(JupData!$A$2:$K$10000,MATCH($A488&amp;W$1,JupData!$A$2:$A$10000&amp;JupData!$J$2:$J$10000,0),11))</f>
        <v/>
      </c>
      <c r="X488" t="str">
        <f t="array" ref="X488">IF($A488="","",INDEX(JupData!$A$2:$K$10000,MATCH($A488&amp;X$1,JupData!$A$2:$A$10000&amp;JupData!$J$2:$J$10000,0),11))</f>
        <v/>
      </c>
      <c r="Y488" t="str">
        <f t="array" ref="Y488">IF($A488="","",INDEX(JupData!$A$2:$K$10000,MATCH($A488&amp;Y$1,JupData!$A$2:$A$10000&amp;JupData!$J$2:$J$10000,0),11))</f>
        <v/>
      </c>
      <c r="Z488" t="str">
        <f t="array" ref="Z488">IF($A488="","",INDEX(JupData!$A$2:$K$10000,MATCH($A488&amp;Z$1,JupData!$A$2:$A$10000&amp;JupData!$J$2:$J$10000,0),11))</f>
        <v/>
      </c>
      <c r="AA488" t="str">
        <f t="array" ref="AA488">IF($A488="","",INDEX(JupData!$A$2:$K$10000,MATCH($A488&amp;AA$1,JupData!$A$2:$A$10000&amp;JupData!$J$2:$J$10000,0),11))</f>
        <v/>
      </c>
      <c r="AB488" t="str">
        <f t="array" ref="AB488">IF($A488="","",INDEX(JupData!$A$2:$K$10000,MATCH($A488&amp;AB$1,JupData!$A$2:$A$10000&amp;JupData!$J$2:$J$10000,0),11))</f>
        <v/>
      </c>
      <c r="AC488" s="10" t="str">
        <f t="shared" si="77"/>
        <v/>
      </c>
      <c r="AD488" s="10" t="str">
        <f t="shared" si="78"/>
        <v/>
      </c>
      <c r="AE488" s="9" t="str">
        <f t="shared" si="79"/>
        <v/>
      </c>
      <c r="AF488" s="10" t="str">
        <f t="shared" si="80"/>
        <v/>
      </c>
      <c r="AG488" s="10" t="str">
        <f t="shared" si="81"/>
        <v/>
      </c>
      <c r="AH488" s="10" t="str">
        <f t="shared" si="82"/>
        <v/>
      </c>
      <c r="AI488" s="10" t="str">
        <f t="shared" si="83"/>
        <v/>
      </c>
      <c r="AJ488" s="10" t="str">
        <f t="shared" si="84"/>
        <v/>
      </c>
      <c r="AK488" s="10" t="str">
        <f t="shared" si="85"/>
        <v/>
      </c>
      <c r="AL488" s="14" t="str">
        <f t="shared" si="86"/>
        <v/>
      </c>
    </row>
    <row r="489" spans="1:38" x14ac:dyDescent="0.2">
      <c r="A489"/>
      <c r="B489" t="str">
        <f>IF($A489="","",VLOOKUP($A489,JupData!$A$2:$I$10000,4,FALSE))</f>
        <v/>
      </c>
      <c r="C489" s="7" t="str">
        <f>IF($A489="",IF(N(D489),0,""),VLOOKUP($A489,JupData!$A$2:$I$10000,7,FALSE))</f>
        <v/>
      </c>
      <c r="D489" t="str">
        <f t="shared" si="87"/>
        <v/>
      </c>
      <c r="E489" t="str">
        <f t="array" ref="E489">IF($A489="","",INDEX(JupData!$A$2:$K$10000,MATCH($A489&amp;E$1,JupData!$A$2:$A$10000&amp;JupData!$J$2:$J$10000,0),11))</f>
        <v/>
      </c>
      <c r="F489" t="str">
        <f t="array" ref="F489">IF($A489="","",INDEX(JupData!$A$2:$K$10000,MATCH($A489&amp;F$1,JupData!$A$2:$A$10000&amp;JupData!$J$2:$J$10000,0),11))</f>
        <v/>
      </c>
      <c r="G489" t="str">
        <f t="array" ref="G489">IF($A489="","",INDEX(JupData!$A$2:$K$10000,MATCH($A489&amp;G$1,JupData!$A$2:$A$10000&amp;JupData!$J$2:$J$10000,0),11))</f>
        <v/>
      </c>
      <c r="H489" t="str">
        <f t="array" ref="H489">IF($A489="","",INDEX(JupData!$A$2:$K$10000,MATCH($A489&amp;H$1,JupData!$A$2:$A$10000&amp;JupData!$J$2:$J$10000,0),11))</f>
        <v/>
      </c>
      <c r="I489" t="str">
        <f t="array" ref="I489">IF($A489="","",INDEX(JupData!$A$2:$K$10000,MATCH($A489&amp;I$1,JupData!$A$2:$A$10000&amp;JupData!$J$2:$J$10000,0),11))</f>
        <v/>
      </c>
      <c r="J489" t="str">
        <f t="array" ref="J489">IF($A489="","",INDEX(JupData!$A$2:$K$10000,MATCH($A489&amp;J$1,JupData!$A$2:$A$10000&amp;JupData!$J$2:$J$10000,0),11))</f>
        <v/>
      </c>
      <c r="K489" t="str">
        <f t="array" ref="K489">IF($A489="","",INDEX(JupData!$A$2:$K$10000,MATCH($A489&amp;K$1,JupData!$A$2:$A$10000&amp;JupData!$J$2:$J$10000,0),11))</f>
        <v/>
      </c>
      <c r="L489" t="str">
        <f t="array" ref="L489">IF($A489="","",INDEX(JupData!$A$2:$K$10000,MATCH($A489&amp;L$1,JupData!$A$2:$A$10000&amp;JupData!$J$2:$J$10000,0),11))</f>
        <v/>
      </c>
      <c r="M489" t="str">
        <f t="array" ref="M489">IF($A489="","",INDEX(JupData!$A$2:$K$10000,MATCH($A489&amp;M$1,JupData!$A$2:$A$10000&amp;JupData!$J$2:$J$10000,0),11))</f>
        <v/>
      </c>
      <c r="N489" t="str">
        <f t="array" ref="N489">IF($A489="","",INDEX(JupData!$A$2:$K$10000,MATCH($A489&amp;N$1,JupData!$A$2:$A$10000&amp;JupData!$J$2:$J$10000,0),11))</f>
        <v/>
      </c>
      <c r="O489" t="str">
        <f t="array" ref="O489">IF($A489="","",INDEX(JupData!$A$2:$K$10000,MATCH($A489&amp;O$1,JupData!$A$2:$A$10000&amp;JupData!$J$2:$J$10000,0),11))</f>
        <v/>
      </c>
      <c r="P489" t="str">
        <f t="array" ref="P489">IF($A489="","",INDEX(JupData!$A$2:$K$10000,MATCH($A489&amp;P$1,JupData!$A$2:$A$10000&amp;JupData!$J$2:$J$10000,0),11))</f>
        <v/>
      </c>
      <c r="Q489" t="str">
        <f t="array" ref="Q489">IF($A489="","",INDEX(JupData!$A$2:$K$10000,MATCH($A489&amp;Q$1,JupData!$A$2:$A$10000&amp;JupData!$J$2:$J$10000,0),11))</f>
        <v/>
      </c>
      <c r="R489" t="str">
        <f t="array" ref="R489">IF($A489="","",INDEX(JupData!$A$2:$K$10000,MATCH($A489&amp;R$1,JupData!$A$2:$A$10000&amp;JupData!$J$2:$J$10000,0),11))</f>
        <v/>
      </c>
      <c r="S489" t="str">
        <f t="array" ref="S489">IF($A489="","",INDEX(JupData!$A$2:$K$10000,MATCH($A489&amp;S$1,JupData!$A$2:$A$10000&amp;JupData!$J$2:$J$10000,0),11))</f>
        <v/>
      </c>
      <c r="T489" t="str">
        <f t="array" ref="T489">IF($A489="","",INDEX(JupData!$A$2:$K$10000,MATCH($A489&amp;T$1,JupData!$A$2:$A$10000&amp;JupData!$J$2:$J$10000,0),11))</f>
        <v/>
      </c>
      <c r="U489" t="str">
        <f t="array" ref="U489">IF($A489="","",INDEX(JupData!$A$2:$K$10000,MATCH($A489&amp;U$1,JupData!$A$2:$A$10000&amp;JupData!$J$2:$J$10000,0),11))</f>
        <v/>
      </c>
      <c r="V489" t="str">
        <f t="array" ref="V489">IF($A489="","",INDEX(JupData!$A$2:$K$10000,MATCH($A489&amp;V$1,JupData!$A$2:$A$10000&amp;JupData!$J$2:$J$10000,0),11))</f>
        <v/>
      </c>
      <c r="W489" t="str">
        <f t="array" ref="W489">IF($A489="","",INDEX(JupData!$A$2:$K$10000,MATCH($A489&amp;W$1,JupData!$A$2:$A$10000&amp;JupData!$J$2:$J$10000,0),11))</f>
        <v/>
      </c>
      <c r="X489" t="str">
        <f t="array" ref="X489">IF($A489="","",INDEX(JupData!$A$2:$K$10000,MATCH($A489&amp;X$1,JupData!$A$2:$A$10000&amp;JupData!$J$2:$J$10000,0),11))</f>
        <v/>
      </c>
      <c r="Y489" t="str">
        <f t="array" ref="Y489">IF($A489="","",INDEX(JupData!$A$2:$K$10000,MATCH($A489&amp;Y$1,JupData!$A$2:$A$10000&amp;JupData!$J$2:$J$10000,0),11))</f>
        <v/>
      </c>
      <c r="Z489" t="str">
        <f t="array" ref="Z489">IF($A489="","",INDEX(JupData!$A$2:$K$10000,MATCH($A489&amp;Z$1,JupData!$A$2:$A$10000&amp;JupData!$J$2:$J$10000,0),11))</f>
        <v/>
      </c>
      <c r="AA489" t="str">
        <f t="array" ref="AA489">IF($A489="","",INDEX(JupData!$A$2:$K$10000,MATCH($A489&amp;AA$1,JupData!$A$2:$A$10000&amp;JupData!$J$2:$J$10000,0),11))</f>
        <v/>
      </c>
      <c r="AB489" t="str">
        <f t="array" ref="AB489">IF($A489="","",INDEX(JupData!$A$2:$K$10000,MATCH($A489&amp;AB$1,JupData!$A$2:$A$10000&amp;JupData!$J$2:$J$10000,0),11))</f>
        <v/>
      </c>
      <c r="AC489" s="10" t="str">
        <f t="shared" si="77"/>
        <v/>
      </c>
      <c r="AD489" s="10" t="str">
        <f t="shared" si="78"/>
        <v/>
      </c>
      <c r="AE489" s="9" t="str">
        <f t="shared" si="79"/>
        <v/>
      </c>
      <c r="AF489" s="10" t="str">
        <f t="shared" si="80"/>
        <v/>
      </c>
      <c r="AG489" s="10" t="str">
        <f t="shared" si="81"/>
        <v/>
      </c>
      <c r="AH489" s="10" t="str">
        <f t="shared" si="82"/>
        <v/>
      </c>
      <c r="AI489" s="10" t="str">
        <f t="shared" si="83"/>
        <v/>
      </c>
      <c r="AJ489" s="10" t="str">
        <f t="shared" si="84"/>
        <v/>
      </c>
      <c r="AK489" s="10" t="str">
        <f t="shared" si="85"/>
        <v/>
      </c>
      <c r="AL489" s="14" t="str">
        <f t="shared" si="86"/>
        <v/>
      </c>
    </row>
    <row r="490" spans="1:38" x14ac:dyDescent="0.2">
      <c r="A490"/>
      <c r="B490" t="str">
        <f>IF($A490="","",VLOOKUP($A490,JupData!$A$2:$I$10000,4,FALSE))</f>
        <v/>
      </c>
      <c r="C490" s="7" t="str">
        <f>IF($A490="",IF(N(D490),0,""),VLOOKUP($A490,JupData!$A$2:$I$10000,7,FALSE))</f>
        <v/>
      </c>
      <c r="D490" t="str">
        <f t="shared" si="87"/>
        <v/>
      </c>
      <c r="E490" t="str">
        <f t="array" ref="E490">IF($A490="","",INDEX(JupData!$A$2:$K$10000,MATCH($A490&amp;E$1,JupData!$A$2:$A$10000&amp;JupData!$J$2:$J$10000,0),11))</f>
        <v/>
      </c>
      <c r="F490" t="str">
        <f t="array" ref="F490">IF($A490="","",INDEX(JupData!$A$2:$K$10000,MATCH($A490&amp;F$1,JupData!$A$2:$A$10000&amp;JupData!$J$2:$J$10000,0),11))</f>
        <v/>
      </c>
      <c r="G490" t="str">
        <f t="array" ref="G490">IF($A490="","",INDEX(JupData!$A$2:$K$10000,MATCH($A490&amp;G$1,JupData!$A$2:$A$10000&amp;JupData!$J$2:$J$10000,0),11))</f>
        <v/>
      </c>
      <c r="H490" t="str">
        <f t="array" ref="H490">IF($A490="","",INDEX(JupData!$A$2:$K$10000,MATCH($A490&amp;H$1,JupData!$A$2:$A$10000&amp;JupData!$J$2:$J$10000,0),11))</f>
        <v/>
      </c>
      <c r="I490" t="str">
        <f t="array" ref="I490">IF($A490="","",INDEX(JupData!$A$2:$K$10000,MATCH($A490&amp;I$1,JupData!$A$2:$A$10000&amp;JupData!$J$2:$J$10000,0),11))</f>
        <v/>
      </c>
      <c r="J490" t="str">
        <f t="array" ref="J490">IF($A490="","",INDEX(JupData!$A$2:$K$10000,MATCH($A490&amp;J$1,JupData!$A$2:$A$10000&amp;JupData!$J$2:$J$10000,0),11))</f>
        <v/>
      </c>
      <c r="K490" t="str">
        <f t="array" ref="K490">IF($A490="","",INDEX(JupData!$A$2:$K$10000,MATCH($A490&amp;K$1,JupData!$A$2:$A$10000&amp;JupData!$J$2:$J$10000,0),11))</f>
        <v/>
      </c>
      <c r="L490" t="str">
        <f t="array" ref="L490">IF($A490="","",INDEX(JupData!$A$2:$K$10000,MATCH($A490&amp;L$1,JupData!$A$2:$A$10000&amp;JupData!$J$2:$J$10000,0),11))</f>
        <v/>
      </c>
      <c r="M490" t="str">
        <f t="array" ref="M490">IF($A490="","",INDEX(JupData!$A$2:$K$10000,MATCH($A490&amp;M$1,JupData!$A$2:$A$10000&amp;JupData!$J$2:$J$10000,0),11))</f>
        <v/>
      </c>
      <c r="N490" t="str">
        <f t="array" ref="N490">IF($A490="","",INDEX(JupData!$A$2:$K$10000,MATCH($A490&amp;N$1,JupData!$A$2:$A$10000&amp;JupData!$J$2:$J$10000,0),11))</f>
        <v/>
      </c>
      <c r="O490" t="str">
        <f t="array" ref="O490">IF($A490="","",INDEX(JupData!$A$2:$K$10000,MATCH($A490&amp;O$1,JupData!$A$2:$A$10000&amp;JupData!$J$2:$J$10000,0),11))</f>
        <v/>
      </c>
      <c r="P490" t="str">
        <f t="array" ref="P490">IF($A490="","",INDEX(JupData!$A$2:$K$10000,MATCH($A490&amp;P$1,JupData!$A$2:$A$10000&amp;JupData!$J$2:$J$10000,0),11))</f>
        <v/>
      </c>
      <c r="Q490" t="str">
        <f t="array" ref="Q490">IF($A490="","",INDEX(JupData!$A$2:$K$10000,MATCH($A490&amp;Q$1,JupData!$A$2:$A$10000&amp;JupData!$J$2:$J$10000,0),11))</f>
        <v/>
      </c>
      <c r="R490" t="str">
        <f t="array" ref="R490">IF($A490="","",INDEX(JupData!$A$2:$K$10000,MATCH($A490&amp;R$1,JupData!$A$2:$A$10000&amp;JupData!$J$2:$J$10000,0),11))</f>
        <v/>
      </c>
      <c r="S490" t="str">
        <f t="array" ref="S490">IF($A490="","",INDEX(JupData!$A$2:$K$10000,MATCH($A490&amp;S$1,JupData!$A$2:$A$10000&amp;JupData!$J$2:$J$10000,0),11))</f>
        <v/>
      </c>
      <c r="T490" t="str">
        <f t="array" ref="T490">IF($A490="","",INDEX(JupData!$A$2:$K$10000,MATCH($A490&amp;T$1,JupData!$A$2:$A$10000&amp;JupData!$J$2:$J$10000,0),11))</f>
        <v/>
      </c>
      <c r="U490" t="str">
        <f t="array" ref="U490">IF($A490="","",INDEX(JupData!$A$2:$K$10000,MATCH($A490&amp;U$1,JupData!$A$2:$A$10000&amp;JupData!$J$2:$J$10000,0),11))</f>
        <v/>
      </c>
      <c r="V490" t="str">
        <f t="array" ref="V490">IF($A490="","",INDEX(JupData!$A$2:$K$10000,MATCH($A490&amp;V$1,JupData!$A$2:$A$10000&amp;JupData!$J$2:$J$10000,0),11))</f>
        <v/>
      </c>
      <c r="W490" t="str">
        <f t="array" ref="W490">IF($A490="","",INDEX(JupData!$A$2:$K$10000,MATCH($A490&amp;W$1,JupData!$A$2:$A$10000&amp;JupData!$J$2:$J$10000,0),11))</f>
        <v/>
      </c>
      <c r="X490" t="str">
        <f t="array" ref="X490">IF($A490="","",INDEX(JupData!$A$2:$K$10000,MATCH($A490&amp;X$1,JupData!$A$2:$A$10000&amp;JupData!$J$2:$J$10000,0),11))</f>
        <v/>
      </c>
      <c r="Y490" t="str">
        <f t="array" ref="Y490">IF($A490="","",INDEX(JupData!$A$2:$K$10000,MATCH($A490&amp;Y$1,JupData!$A$2:$A$10000&amp;JupData!$J$2:$J$10000,0),11))</f>
        <v/>
      </c>
      <c r="Z490" t="str">
        <f t="array" ref="Z490">IF($A490="","",INDEX(JupData!$A$2:$K$10000,MATCH($A490&amp;Z$1,JupData!$A$2:$A$10000&amp;JupData!$J$2:$J$10000,0),11))</f>
        <v/>
      </c>
      <c r="AA490" t="str">
        <f t="array" ref="AA490">IF($A490="","",INDEX(JupData!$A$2:$K$10000,MATCH($A490&amp;AA$1,JupData!$A$2:$A$10000&amp;JupData!$J$2:$J$10000,0),11))</f>
        <v/>
      </c>
      <c r="AB490" t="str">
        <f t="array" ref="AB490">IF($A490="","",INDEX(JupData!$A$2:$K$10000,MATCH($A490&amp;AB$1,JupData!$A$2:$A$10000&amp;JupData!$J$2:$J$10000,0),11))</f>
        <v/>
      </c>
      <c r="AC490" s="10" t="str">
        <f t="shared" si="77"/>
        <v/>
      </c>
      <c r="AD490" s="10" t="str">
        <f t="shared" si="78"/>
        <v/>
      </c>
      <c r="AE490" s="9" t="str">
        <f t="shared" si="79"/>
        <v/>
      </c>
      <c r="AF490" s="10" t="str">
        <f t="shared" si="80"/>
        <v/>
      </c>
      <c r="AG490" s="10" t="str">
        <f t="shared" si="81"/>
        <v/>
      </c>
      <c r="AH490" s="10" t="str">
        <f t="shared" si="82"/>
        <v/>
      </c>
      <c r="AI490" s="10" t="str">
        <f t="shared" si="83"/>
        <v/>
      </c>
      <c r="AJ490" s="10" t="str">
        <f t="shared" si="84"/>
        <v/>
      </c>
      <c r="AK490" s="10" t="str">
        <f t="shared" si="85"/>
        <v/>
      </c>
      <c r="AL490" s="14" t="str">
        <f t="shared" si="86"/>
        <v/>
      </c>
    </row>
    <row r="491" spans="1:38" x14ac:dyDescent="0.2">
      <c r="A491"/>
      <c r="B491" t="str">
        <f>IF($A491="","",VLOOKUP($A491,JupData!$A$2:$I$10000,4,FALSE))</f>
        <v/>
      </c>
      <c r="C491" s="7" t="str">
        <f>IF($A491="",IF(N(D491),0,""),VLOOKUP($A491,JupData!$A$2:$I$10000,7,FALSE))</f>
        <v/>
      </c>
      <c r="D491" t="str">
        <f t="shared" si="87"/>
        <v/>
      </c>
      <c r="E491" t="str">
        <f t="array" ref="E491">IF($A491="","",INDEX(JupData!$A$2:$K$10000,MATCH($A491&amp;E$1,JupData!$A$2:$A$10000&amp;JupData!$J$2:$J$10000,0),11))</f>
        <v/>
      </c>
      <c r="F491" t="str">
        <f t="array" ref="F491">IF($A491="","",INDEX(JupData!$A$2:$K$10000,MATCH($A491&amp;F$1,JupData!$A$2:$A$10000&amp;JupData!$J$2:$J$10000,0),11))</f>
        <v/>
      </c>
      <c r="G491" t="str">
        <f t="array" ref="G491">IF($A491="","",INDEX(JupData!$A$2:$K$10000,MATCH($A491&amp;G$1,JupData!$A$2:$A$10000&amp;JupData!$J$2:$J$10000,0),11))</f>
        <v/>
      </c>
      <c r="H491" t="str">
        <f t="array" ref="H491">IF($A491="","",INDEX(JupData!$A$2:$K$10000,MATCH($A491&amp;H$1,JupData!$A$2:$A$10000&amp;JupData!$J$2:$J$10000,0),11))</f>
        <v/>
      </c>
      <c r="I491" t="str">
        <f t="array" ref="I491">IF($A491="","",INDEX(JupData!$A$2:$K$10000,MATCH($A491&amp;I$1,JupData!$A$2:$A$10000&amp;JupData!$J$2:$J$10000,0),11))</f>
        <v/>
      </c>
      <c r="J491" t="str">
        <f t="array" ref="J491">IF($A491="","",INDEX(JupData!$A$2:$K$10000,MATCH($A491&amp;J$1,JupData!$A$2:$A$10000&amp;JupData!$J$2:$J$10000,0),11))</f>
        <v/>
      </c>
      <c r="K491" t="str">
        <f t="array" ref="K491">IF($A491="","",INDEX(JupData!$A$2:$K$10000,MATCH($A491&amp;K$1,JupData!$A$2:$A$10000&amp;JupData!$J$2:$J$10000,0),11))</f>
        <v/>
      </c>
      <c r="L491" t="str">
        <f t="array" ref="L491">IF($A491="","",INDEX(JupData!$A$2:$K$10000,MATCH($A491&amp;L$1,JupData!$A$2:$A$10000&amp;JupData!$J$2:$J$10000,0),11))</f>
        <v/>
      </c>
      <c r="M491" t="str">
        <f t="array" ref="M491">IF($A491="","",INDEX(JupData!$A$2:$K$10000,MATCH($A491&amp;M$1,JupData!$A$2:$A$10000&amp;JupData!$J$2:$J$10000,0),11))</f>
        <v/>
      </c>
      <c r="N491" t="str">
        <f t="array" ref="N491">IF($A491="","",INDEX(JupData!$A$2:$K$10000,MATCH($A491&amp;N$1,JupData!$A$2:$A$10000&amp;JupData!$J$2:$J$10000,0),11))</f>
        <v/>
      </c>
      <c r="O491" t="str">
        <f t="array" ref="O491">IF($A491="","",INDEX(JupData!$A$2:$K$10000,MATCH($A491&amp;O$1,JupData!$A$2:$A$10000&amp;JupData!$J$2:$J$10000,0),11))</f>
        <v/>
      </c>
      <c r="P491" t="str">
        <f t="array" ref="P491">IF($A491="","",INDEX(JupData!$A$2:$K$10000,MATCH($A491&amp;P$1,JupData!$A$2:$A$10000&amp;JupData!$J$2:$J$10000,0),11))</f>
        <v/>
      </c>
      <c r="Q491" t="str">
        <f t="array" ref="Q491">IF($A491="","",INDEX(JupData!$A$2:$K$10000,MATCH($A491&amp;Q$1,JupData!$A$2:$A$10000&amp;JupData!$J$2:$J$10000,0),11))</f>
        <v/>
      </c>
      <c r="R491" t="str">
        <f t="array" ref="R491">IF($A491="","",INDEX(JupData!$A$2:$K$10000,MATCH($A491&amp;R$1,JupData!$A$2:$A$10000&amp;JupData!$J$2:$J$10000,0),11))</f>
        <v/>
      </c>
      <c r="S491" t="str">
        <f t="array" ref="S491">IF($A491="","",INDEX(JupData!$A$2:$K$10000,MATCH($A491&amp;S$1,JupData!$A$2:$A$10000&amp;JupData!$J$2:$J$10000,0),11))</f>
        <v/>
      </c>
      <c r="T491" t="str">
        <f t="array" ref="T491">IF($A491="","",INDEX(JupData!$A$2:$K$10000,MATCH($A491&amp;T$1,JupData!$A$2:$A$10000&amp;JupData!$J$2:$J$10000,0),11))</f>
        <v/>
      </c>
      <c r="U491" t="str">
        <f t="array" ref="U491">IF($A491="","",INDEX(JupData!$A$2:$K$10000,MATCH($A491&amp;U$1,JupData!$A$2:$A$10000&amp;JupData!$J$2:$J$10000,0),11))</f>
        <v/>
      </c>
      <c r="V491" t="str">
        <f t="array" ref="V491">IF($A491="","",INDEX(JupData!$A$2:$K$10000,MATCH($A491&amp;V$1,JupData!$A$2:$A$10000&amp;JupData!$J$2:$J$10000,0),11))</f>
        <v/>
      </c>
      <c r="W491" t="str">
        <f t="array" ref="W491">IF($A491="","",INDEX(JupData!$A$2:$K$10000,MATCH($A491&amp;W$1,JupData!$A$2:$A$10000&amp;JupData!$J$2:$J$10000,0),11))</f>
        <v/>
      </c>
      <c r="X491" t="str">
        <f t="array" ref="X491">IF($A491="","",INDEX(JupData!$A$2:$K$10000,MATCH($A491&amp;X$1,JupData!$A$2:$A$10000&amp;JupData!$J$2:$J$10000,0),11))</f>
        <v/>
      </c>
      <c r="Y491" t="str">
        <f t="array" ref="Y491">IF($A491="","",INDEX(JupData!$A$2:$K$10000,MATCH($A491&amp;Y$1,JupData!$A$2:$A$10000&amp;JupData!$J$2:$J$10000,0),11))</f>
        <v/>
      </c>
      <c r="Z491" t="str">
        <f t="array" ref="Z491">IF($A491="","",INDEX(JupData!$A$2:$K$10000,MATCH($A491&amp;Z$1,JupData!$A$2:$A$10000&amp;JupData!$J$2:$J$10000,0),11))</f>
        <v/>
      </c>
      <c r="AA491" t="str">
        <f t="array" ref="AA491">IF($A491="","",INDEX(JupData!$A$2:$K$10000,MATCH($A491&amp;AA$1,JupData!$A$2:$A$10000&amp;JupData!$J$2:$J$10000,0),11))</f>
        <v/>
      </c>
      <c r="AB491" t="str">
        <f t="array" ref="AB491">IF($A491="","",INDEX(JupData!$A$2:$K$10000,MATCH($A491&amp;AB$1,JupData!$A$2:$A$10000&amp;JupData!$J$2:$J$10000,0),11))</f>
        <v/>
      </c>
      <c r="AC491" s="10" t="str">
        <f t="shared" si="77"/>
        <v/>
      </c>
      <c r="AD491" s="10" t="str">
        <f t="shared" si="78"/>
        <v/>
      </c>
      <c r="AE491" s="9" t="str">
        <f t="shared" si="79"/>
        <v/>
      </c>
      <c r="AF491" s="10" t="str">
        <f t="shared" si="80"/>
        <v/>
      </c>
      <c r="AG491" s="10" t="str">
        <f t="shared" si="81"/>
        <v/>
      </c>
      <c r="AH491" s="10" t="str">
        <f t="shared" si="82"/>
        <v/>
      </c>
      <c r="AI491" s="10" t="str">
        <f t="shared" si="83"/>
        <v/>
      </c>
      <c r="AJ491" s="10" t="str">
        <f t="shared" si="84"/>
        <v/>
      </c>
      <c r="AK491" s="10" t="str">
        <f t="shared" si="85"/>
        <v/>
      </c>
      <c r="AL491" s="14" t="str">
        <f t="shared" si="86"/>
        <v/>
      </c>
    </row>
    <row r="492" spans="1:38" x14ac:dyDescent="0.2">
      <c r="A492"/>
      <c r="B492" t="str">
        <f>IF($A492="","",VLOOKUP($A492,JupData!$A$2:$I$10000,4,FALSE))</f>
        <v/>
      </c>
      <c r="C492" s="7" t="str">
        <f>IF($A492="",IF(N(D492),0,""),VLOOKUP($A492,JupData!$A$2:$I$10000,7,FALSE))</f>
        <v/>
      </c>
      <c r="D492" t="str">
        <f t="shared" si="87"/>
        <v/>
      </c>
      <c r="E492" t="str">
        <f t="array" ref="E492">IF($A492="","",INDEX(JupData!$A$2:$K$10000,MATCH($A492&amp;E$1,JupData!$A$2:$A$10000&amp;JupData!$J$2:$J$10000,0),11))</f>
        <v/>
      </c>
      <c r="F492" t="str">
        <f t="array" ref="F492">IF($A492="","",INDEX(JupData!$A$2:$K$10000,MATCH($A492&amp;F$1,JupData!$A$2:$A$10000&amp;JupData!$J$2:$J$10000,0),11))</f>
        <v/>
      </c>
      <c r="G492" t="str">
        <f t="array" ref="G492">IF($A492="","",INDEX(JupData!$A$2:$K$10000,MATCH($A492&amp;G$1,JupData!$A$2:$A$10000&amp;JupData!$J$2:$J$10000,0),11))</f>
        <v/>
      </c>
      <c r="H492" t="str">
        <f t="array" ref="H492">IF($A492="","",INDEX(JupData!$A$2:$K$10000,MATCH($A492&amp;H$1,JupData!$A$2:$A$10000&amp;JupData!$J$2:$J$10000,0),11))</f>
        <v/>
      </c>
      <c r="I492" t="str">
        <f t="array" ref="I492">IF($A492="","",INDEX(JupData!$A$2:$K$10000,MATCH($A492&amp;I$1,JupData!$A$2:$A$10000&amp;JupData!$J$2:$J$10000,0),11))</f>
        <v/>
      </c>
      <c r="J492" t="str">
        <f t="array" ref="J492">IF($A492="","",INDEX(JupData!$A$2:$K$10000,MATCH($A492&amp;J$1,JupData!$A$2:$A$10000&amp;JupData!$J$2:$J$10000,0),11))</f>
        <v/>
      </c>
      <c r="K492" t="str">
        <f t="array" ref="K492">IF($A492="","",INDEX(JupData!$A$2:$K$10000,MATCH($A492&amp;K$1,JupData!$A$2:$A$10000&amp;JupData!$J$2:$J$10000,0),11))</f>
        <v/>
      </c>
      <c r="L492" t="str">
        <f t="array" ref="L492">IF($A492="","",INDEX(JupData!$A$2:$K$10000,MATCH($A492&amp;L$1,JupData!$A$2:$A$10000&amp;JupData!$J$2:$J$10000,0),11))</f>
        <v/>
      </c>
      <c r="M492" t="str">
        <f t="array" ref="M492">IF($A492="","",INDEX(JupData!$A$2:$K$10000,MATCH($A492&amp;M$1,JupData!$A$2:$A$10000&amp;JupData!$J$2:$J$10000,0),11))</f>
        <v/>
      </c>
      <c r="N492" t="str">
        <f t="array" ref="N492">IF($A492="","",INDEX(JupData!$A$2:$K$10000,MATCH($A492&amp;N$1,JupData!$A$2:$A$10000&amp;JupData!$J$2:$J$10000,0),11))</f>
        <v/>
      </c>
      <c r="O492" t="str">
        <f t="array" ref="O492">IF($A492="","",INDEX(JupData!$A$2:$K$10000,MATCH($A492&amp;O$1,JupData!$A$2:$A$10000&amp;JupData!$J$2:$J$10000,0),11))</f>
        <v/>
      </c>
      <c r="P492" t="str">
        <f t="array" ref="P492">IF($A492="","",INDEX(JupData!$A$2:$K$10000,MATCH($A492&amp;P$1,JupData!$A$2:$A$10000&amp;JupData!$J$2:$J$10000,0),11))</f>
        <v/>
      </c>
      <c r="Q492" t="str">
        <f t="array" ref="Q492">IF($A492="","",INDEX(JupData!$A$2:$K$10000,MATCH($A492&amp;Q$1,JupData!$A$2:$A$10000&amp;JupData!$J$2:$J$10000,0),11))</f>
        <v/>
      </c>
      <c r="R492" t="str">
        <f t="array" ref="R492">IF($A492="","",INDEX(JupData!$A$2:$K$10000,MATCH($A492&amp;R$1,JupData!$A$2:$A$10000&amp;JupData!$J$2:$J$10000,0),11))</f>
        <v/>
      </c>
      <c r="S492" t="str">
        <f t="array" ref="S492">IF($A492="","",INDEX(JupData!$A$2:$K$10000,MATCH($A492&amp;S$1,JupData!$A$2:$A$10000&amp;JupData!$J$2:$J$10000,0),11))</f>
        <v/>
      </c>
      <c r="T492" t="str">
        <f t="array" ref="T492">IF($A492="","",INDEX(JupData!$A$2:$K$10000,MATCH($A492&amp;T$1,JupData!$A$2:$A$10000&amp;JupData!$J$2:$J$10000,0),11))</f>
        <v/>
      </c>
      <c r="U492" t="str">
        <f t="array" ref="U492">IF($A492="","",INDEX(JupData!$A$2:$K$10000,MATCH($A492&amp;U$1,JupData!$A$2:$A$10000&amp;JupData!$J$2:$J$10000,0),11))</f>
        <v/>
      </c>
      <c r="V492" t="str">
        <f t="array" ref="V492">IF($A492="","",INDEX(JupData!$A$2:$K$10000,MATCH($A492&amp;V$1,JupData!$A$2:$A$10000&amp;JupData!$J$2:$J$10000,0),11))</f>
        <v/>
      </c>
      <c r="W492" t="str">
        <f t="array" ref="W492">IF($A492="","",INDEX(JupData!$A$2:$K$10000,MATCH($A492&amp;W$1,JupData!$A$2:$A$10000&amp;JupData!$J$2:$J$10000,0),11))</f>
        <v/>
      </c>
      <c r="X492" t="str">
        <f t="array" ref="X492">IF($A492="","",INDEX(JupData!$A$2:$K$10000,MATCH($A492&amp;X$1,JupData!$A$2:$A$10000&amp;JupData!$J$2:$J$10000,0),11))</f>
        <v/>
      </c>
      <c r="Y492" t="str">
        <f t="array" ref="Y492">IF($A492="","",INDEX(JupData!$A$2:$K$10000,MATCH($A492&amp;Y$1,JupData!$A$2:$A$10000&amp;JupData!$J$2:$J$10000,0),11))</f>
        <v/>
      </c>
      <c r="Z492" t="str">
        <f t="array" ref="Z492">IF($A492="","",INDEX(JupData!$A$2:$K$10000,MATCH($A492&amp;Z$1,JupData!$A$2:$A$10000&amp;JupData!$J$2:$J$10000,0),11))</f>
        <v/>
      </c>
      <c r="AA492" t="str">
        <f t="array" ref="AA492">IF($A492="","",INDEX(JupData!$A$2:$K$10000,MATCH($A492&amp;AA$1,JupData!$A$2:$A$10000&amp;JupData!$J$2:$J$10000,0),11))</f>
        <v/>
      </c>
      <c r="AB492" t="str">
        <f t="array" ref="AB492">IF($A492="","",INDEX(JupData!$A$2:$K$10000,MATCH($A492&amp;AB$1,JupData!$A$2:$A$10000&amp;JupData!$J$2:$J$10000,0),11))</f>
        <v/>
      </c>
      <c r="AC492" s="10" t="str">
        <f t="shared" si="77"/>
        <v/>
      </c>
      <c r="AD492" s="10" t="str">
        <f t="shared" si="78"/>
        <v/>
      </c>
      <c r="AE492" s="9" t="str">
        <f t="shared" si="79"/>
        <v/>
      </c>
      <c r="AF492" s="10" t="str">
        <f t="shared" si="80"/>
        <v/>
      </c>
      <c r="AG492" s="10" t="str">
        <f t="shared" si="81"/>
        <v/>
      </c>
      <c r="AH492" s="10" t="str">
        <f t="shared" si="82"/>
        <v/>
      </c>
      <c r="AI492" s="10" t="str">
        <f t="shared" si="83"/>
        <v/>
      </c>
      <c r="AJ492" s="10" t="str">
        <f t="shared" si="84"/>
        <v/>
      </c>
      <c r="AK492" s="10" t="str">
        <f t="shared" si="85"/>
        <v/>
      </c>
      <c r="AL492" s="14" t="str">
        <f t="shared" si="86"/>
        <v/>
      </c>
    </row>
    <row r="493" spans="1:38" x14ac:dyDescent="0.2">
      <c r="A493"/>
      <c r="B493" t="str">
        <f>IF($A493="","",VLOOKUP($A493,JupData!$A$2:$I$10000,4,FALSE))</f>
        <v/>
      </c>
      <c r="C493" s="7" t="str">
        <f>IF($A493="",IF(N(D493),0,""),VLOOKUP($A493,JupData!$A$2:$I$10000,7,FALSE))</f>
        <v/>
      </c>
      <c r="D493" t="str">
        <f t="shared" si="87"/>
        <v/>
      </c>
      <c r="E493" t="str">
        <f t="array" ref="E493">IF($A493="","",INDEX(JupData!$A$2:$K$10000,MATCH($A493&amp;E$1,JupData!$A$2:$A$10000&amp;JupData!$J$2:$J$10000,0),11))</f>
        <v/>
      </c>
      <c r="F493" t="str">
        <f t="array" ref="F493">IF($A493="","",INDEX(JupData!$A$2:$K$10000,MATCH($A493&amp;F$1,JupData!$A$2:$A$10000&amp;JupData!$J$2:$J$10000,0),11))</f>
        <v/>
      </c>
      <c r="G493" t="str">
        <f t="array" ref="G493">IF($A493="","",INDEX(JupData!$A$2:$K$10000,MATCH($A493&amp;G$1,JupData!$A$2:$A$10000&amp;JupData!$J$2:$J$10000,0),11))</f>
        <v/>
      </c>
      <c r="H493" t="str">
        <f t="array" ref="H493">IF($A493="","",INDEX(JupData!$A$2:$K$10000,MATCH($A493&amp;H$1,JupData!$A$2:$A$10000&amp;JupData!$J$2:$J$10000,0),11))</f>
        <v/>
      </c>
      <c r="I493" t="str">
        <f t="array" ref="I493">IF($A493="","",INDEX(JupData!$A$2:$K$10000,MATCH($A493&amp;I$1,JupData!$A$2:$A$10000&amp;JupData!$J$2:$J$10000,0),11))</f>
        <v/>
      </c>
      <c r="J493" t="str">
        <f t="array" ref="J493">IF($A493="","",INDEX(JupData!$A$2:$K$10000,MATCH($A493&amp;J$1,JupData!$A$2:$A$10000&amp;JupData!$J$2:$J$10000,0),11))</f>
        <v/>
      </c>
      <c r="K493" t="str">
        <f t="array" ref="K493">IF($A493="","",INDEX(JupData!$A$2:$K$10000,MATCH($A493&amp;K$1,JupData!$A$2:$A$10000&amp;JupData!$J$2:$J$10000,0),11))</f>
        <v/>
      </c>
      <c r="L493" t="str">
        <f t="array" ref="L493">IF($A493="","",INDEX(JupData!$A$2:$K$10000,MATCH($A493&amp;L$1,JupData!$A$2:$A$10000&amp;JupData!$J$2:$J$10000,0),11))</f>
        <v/>
      </c>
      <c r="M493" t="str">
        <f t="array" ref="M493">IF($A493="","",INDEX(JupData!$A$2:$K$10000,MATCH($A493&amp;M$1,JupData!$A$2:$A$10000&amp;JupData!$J$2:$J$10000,0),11))</f>
        <v/>
      </c>
      <c r="N493" t="str">
        <f t="array" ref="N493">IF($A493="","",INDEX(JupData!$A$2:$K$10000,MATCH($A493&amp;N$1,JupData!$A$2:$A$10000&amp;JupData!$J$2:$J$10000,0),11))</f>
        <v/>
      </c>
      <c r="O493" t="str">
        <f t="array" ref="O493">IF($A493="","",INDEX(JupData!$A$2:$K$10000,MATCH($A493&amp;O$1,JupData!$A$2:$A$10000&amp;JupData!$J$2:$J$10000,0),11))</f>
        <v/>
      </c>
      <c r="P493" t="str">
        <f t="array" ref="P493">IF($A493="","",INDEX(JupData!$A$2:$K$10000,MATCH($A493&amp;P$1,JupData!$A$2:$A$10000&amp;JupData!$J$2:$J$10000,0),11))</f>
        <v/>
      </c>
      <c r="Q493" t="str">
        <f t="array" ref="Q493">IF($A493="","",INDEX(JupData!$A$2:$K$10000,MATCH($A493&amp;Q$1,JupData!$A$2:$A$10000&amp;JupData!$J$2:$J$10000,0),11))</f>
        <v/>
      </c>
      <c r="R493" t="str">
        <f t="array" ref="R493">IF($A493="","",INDEX(JupData!$A$2:$K$10000,MATCH($A493&amp;R$1,JupData!$A$2:$A$10000&amp;JupData!$J$2:$J$10000,0),11))</f>
        <v/>
      </c>
      <c r="S493" t="str">
        <f t="array" ref="S493">IF($A493="","",INDEX(JupData!$A$2:$K$10000,MATCH($A493&amp;S$1,JupData!$A$2:$A$10000&amp;JupData!$J$2:$J$10000,0),11))</f>
        <v/>
      </c>
      <c r="T493" t="str">
        <f t="array" ref="T493">IF($A493="","",INDEX(JupData!$A$2:$K$10000,MATCH($A493&amp;T$1,JupData!$A$2:$A$10000&amp;JupData!$J$2:$J$10000,0),11))</f>
        <v/>
      </c>
      <c r="U493" t="str">
        <f t="array" ref="U493">IF($A493="","",INDEX(JupData!$A$2:$K$10000,MATCH($A493&amp;U$1,JupData!$A$2:$A$10000&amp;JupData!$J$2:$J$10000,0),11))</f>
        <v/>
      </c>
      <c r="V493" t="str">
        <f t="array" ref="V493">IF($A493="","",INDEX(JupData!$A$2:$K$10000,MATCH($A493&amp;V$1,JupData!$A$2:$A$10000&amp;JupData!$J$2:$J$10000,0),11))</f>
        <v/>
      </c>
      <c r="W493" t="str">
        <f t="array" ref="W493">IF($A493="","",INDEX(JupData!$A$2:$K$10000,MATCH($A493&amp;W$1,JupData!$A$2:$A$10000&amp;JupData!$J$2:$J$10000,0),11))</f>
        <v/>
      </c>
      <c r="X493" t="str">
        <f t="array" ref="X493">IF($A493="","",INDEX(JupData!$A$2:$K$10000,MATCH($A493&amp;X$1,JupData!$A$2:$A$10000&amp;JupData!$J$2:$J$10000,0),11))</f>
        <v/>
      </c>
      <c r="Y493" t="str">
        <f t="array" ref="Y493">IF($A493="","",INDEX(JupData!$A$2:$K$10000,MATCH($A493&amp;Y$1,JupData!$A$2:$A$10000&amp;JupData!$J$2:$J$10000,0),11))</f>
        <v/>
      </c>
      <c r="Z493" t="str">
        <f t="array" ref="Z493">IF($A493="","",INDEX(JupData!$A$2:$K$10000,MATCH($A493&amp;Z$1,JupData!$A$2:$A$10000&amp;JupData!$J$2:$J$10000,0),11))</f>
        <v/>
      </c>
      <c r="AA493" t="str">
        <f t="array" ref="AA493">IF($A493="","",INDEX(JupData!$A$2:$K$10000,MATCH($A493&amp;AA$1,JupData!$A$2:$A$10000&amp;JupData!$J$2:$J$10000,0),11))</f>
        <v/>
      </c>
      <c r="AB493" t="str">
        <f t="array" ref="AB493">IF($A493="","",INDEX(JupData!$A$2:$K$10000,MATCH($A493&amp;AB$1,JupData!$A$2:$A$10000&amp;JupData!$J$2:$J$10000,0),11))</f>
        <v/>
      </c>
      <c r="AC493" s="10" t="str">
        <f t="shared" si="77"/>
        <v/>
      </c>
      <c r="AD493" s="10" t="str">
        <f t="shared" si="78"/>
        <v/>
      </c>
      <c r="AE493" s="9" t="str">
        <f t="shared" si="79"/>
        <v/>
      </c>
      <c r="AF493" s="10" t="str">
        <f t="shared" si="80"/>
        <v/>
      </c>
      <c r="AG493" s="10" t="str">
        <f t="shared" si="81"/>
        <v/>
      </c>
      <c r="AH493" s="10" t="str">
        <f t="shared" si="82"/>
        <v/>
      </c>
      <c r="AI493" s="10" t="str">
        <f t="shared" si="83"/>
        <v/>
      </c>
      <c r="AJ493" s="10" t="str">
        <f t="shared" si="84"/>
        <v/>
      </c>
      <c r="AK493" s="10" t="str">
        <f t="shared" si="85"/>
        <v/>
      </c>
      <c r="AL493" s="14" t="str">
        <f t="shared" si="86"/>
        <v/>
      </c>
    </row>
    <row r="494" spans="1:38" x14ac:dyDescent="0.2">
      <c r="A494"/>
      <c r="B494" t="str">
        <f>IF($A494="","",VLOOKUP($A494,JupData!$A$2:$I$10000,4,FALSE))</f>
        <v/>
      </c>
      <c r="C494" s="7" t="str">
        <f>IF($A494="",IF(N(D494),0,""),VLOOKUP($A494,JupData!$A$2:$I$10000,7,FALSE))</f>
        <v/>
      </c>
      <c r="D494" t="str">
        <f t="shared" si="87"/>
        <v/>
      </c>
      <c r="E494" t="str">
        <f t="array" ref="E494">IF($A494="","",INDEX(JupData!$A$2:$K$10000,MATCH($A494&amp;E$1,JupData!$A$2:$A$10000&amp;JupData!$J$2:$J$10000,0),11))</f>
        <v/>
      </c>
      <c r="F494" t="str">
        <f t="array" ref="F494">IF($A494="","",INDEX(JupData!$A$2:$K$10000,MATCH($A494&amp;F$1,JupData!$A$2:$A$10000&amp;JupData!$J$2:$J$10000,0),11))</f>
        <v/>
      </c>
      <c r="G494" t="str">
        <f t="array" ref="G494">IF($A494="","",INDEX(JupData!$A$2:$K$10000,MATCH($A494&amp;G$1,JupData!$A$2:$A$10000&amp;JupData!$J$2:$J$10000,0),11))</f>
        <v/>
      </c>
      <c r="H494" t="str">
        <f t="array" ref="H494">IF($A494="","",INDEX(JupData!$A$2:$K$10000,MATCH($A494&amp;H$1,JupData!$A$2:$A$10000&amp;JupData!$J$2:$J$10000,0),11))</f>
        <v/>
      </c>
      <c r="I494" t="str">
        <f t="array" ref="I494">IF($A494="","",INDEX(JupData!$A$2:$K$10000,MATCH($A494&amp;I$1,JupData!$A$2:$A$10000&amp;JupData!$J$2:$J$10000,0),11))</f>
        <v/>
      </c>
      <c r="J494" t="str">
        <f t="array" ref="J494">IF($A494="","",INDEX(JupData!$A$2:$K$10000,MATCH($A494&amp;J$1,JupData!$A$2:$A$10000&amp;JupData!$J$2:$J$10000,0),11))</f>
        <v/>
      </c>
      <c r="K494" t="str">
        <f t="array" ref="K494">IF($A494="","",INDEX(JupData!$A$2:$K$10000,MATCH($A494&amp;K$1,JupData!$A$2:$A$10000&amp;JupData!$J$2:$J$10000,0),11))</f>
        <v/>
      </c>
      <c r="L494" t="str">
        <f t="array" ref="L494">IF($A494="","",INDEX(JupData!$A$2:$K$10000,MATCH($A494&amp;L$1,JupData!$A$2:$A$10000&amp;JupData!$J$2:$J$10000,0),11))</f>
        <v/>
      </c>
      <c r="M494" t="str">
        <f t="array" ref="M494">IF($A494="","",INDEX(JupData!$A$2:$K$10000,MATCH($A494&amp;M$1,JupData!$A$2:$A$10000&amp;JupData!$J$2:$J$10000,0),11))</f>
        <v/>
      </c>
      <c r="N494" t="str">
        <f t="array" ref="N494">IF($A494="","",INDEX(JupData!$A$2:$K$10000,MATCH($A494&amp;N$1,JupData!$A$2:$A$10000&amp;JupData!$J$2:$J$10000,0),11))</f>
        <v/>
      </c>
      <c r="O494" t="str">
        <f t="array" ref="O494">IF($A494="","",INDEX(JupData!$A$2:$K$10000,MATCH($A494&amp;O$1,JupData!$A$2:$A$10000&amp;JupData!$J$2:$J$10000,0),11))</f>
        <v/>
      </c>
      <c r="P494" t="str">
        <f t="array" ref="P494">IF($A494="","",INDEX(JupData!$A$2:$K$10000,MATCH($A494&amp;P$1,JupData!$A$2:$A$10000&amp;JupData!$J$2:$J$10000,0),11))</f>
        <v/>
      </c>
      <c r="Q494" t="str">
        <f t="array" ref="Q494">IF($A494="","",INDEX(JupData!$A$2:$K$10000,MATCH($A494&amp;Q$1,JupData!$A$2:$A$10000&amp;JupData!$J$2:$J$10000,0),11))</f>
        <v/>
      </c>
      <c r="R494" t="str">
        <f t="array" ref="R494">IF($A494="","",INDEX(JupData!$A$2:$K$10000,MATCH($A494&amp;R$1,JupData!$A$2:$A$10000&amp;JupData!$J$2:$J$10000,0),11))</f>
        <v/>
      </c>
      <c r="S494" t="str">
        <f t="array" ref="S494">IF($A494="","",INDEX(JupData!$A$2:$K$10000,MATCH($A494&amp;S$1,JupData!$A$2:$A$10000&amp;JupData!$J$2:$J$10000,0),11))</f>
        <v/>
      </c>
      <c r="T494" t="str">
        <f t="array" ref="T494">IF($A494="","",INDEX(JupData!$A$2:$K$10000,MATCH($A494&amp;T$1,JupData!$A$2:$A$10000&amp;JupData!$J$2:$J$10000,0),11))</f>
        <v/>
      </c>
      <c r="U494" t="str">
        <f t="array" ref="U494">IF($A494="","",INDEX(JupData!$A$2:$K$10000,MATCH($A494&amp;U$1,JupData!$A$2:$A$10000&amp;JupData!$J$2:$J$10000,0),11))</f>
        <v/>
      </c>
      <c r="V494" t="str">
        <f t="array" ref="V494">IF($A494="","",INDEX(JupData!$A$2:$K$10000,MATCH($A494&amp;V$1,JupData!$A$2:$A$10000&amp;JupData!$J$2:$J$10000,0),11))</f>
        <v/>
      </c>
      <c r="W494" t="str">
        <f t="array" ref="W494">IF($A494="","",INDEX(JupData!$A$2:$K$10000,MATCH($A494&amp;W$1,JupData!$A$2:$A$10000&amp;JupData!$J$2:$J$10000,0),11))</f>
        <v/>
      </c>
      <c r="X494" t="str">
        <f t="array" ref="X494">IF($A494="","",INDEX(JupData!$A$2:$K$10000,MATCH($A494&amp;X$1,JupData!$A$2:$A$10000&amp;JupData!$J$2:$J$10000,0),11))</f>
        <v/>
      </c>
      <c r="Y494" t="str">
        <f t="array" ref="Y494">IF($A494="","",INDEX(JupData!$A$2:$K$10000,MATCH($A494&amp;Y$1,JupData!$A$2:$A$10000&amp;JupData!$J$2:$J$10000,0),11))</f>
        <v/>
      </c>
      <c r="Z494" t="str">
        <f t="array" ref="Z494">IF($A494="","",INDEX(JupData!$A$2:$K$10000,MATCH($A494&amp;Z$1,JupData!$A$2:$A$10000&amp;JupData!$J$2:$J$10000,0),11))</f>
        <v/>
      </c>
      <c r="AA494" t="str">
        <f t="array" ref="AA494">IF($A494="","",INDEX(JupData!$A$2:$K$10000,MATCH($A494&amp;AA$1,JupData!$A$2:$A$10000&amp;JupData!$J$2:$J$10000,0),11))</f>
        <v/>
      </c>
      <c r="AB494" t="str">
        <f t="array" ref="AB494">IF($A494="","",INDEX(JupData!$A$2:$K$10000,MATCH($A494&amp;AB$1,JupData!$A$2:$A$10000&amp;JupData!$J$2:$J$10000,0),11))</f>
        <v/>
      </c>
      <c r="AC494" s="10" t="str">
        <f t="shared" si="77"/>
        <v/>
      </c>
      <c r="AD494" s="10" t="str">
        <f t="shared" si="78"/>
        <v/>
      </c>
      <c r="AE494" s="9" t="str">
        <f t="shared" si="79"/>
        <v/>
      </c>
      <c r="AF494" s="10" t="str">
        <f t="shared" si="80"/>
        <v/>
      </c>
      <c r="AG494" s="10" t="str">
        <f t="shared" si="81"/>
        <v/>
      </c>
      <c r="AH494" s="10" t="str">
        <f t="shared" si="82"/>
        <v/>
      </c>
      <c r="AI494" s="10" t="str">
        <f t="shared" si="83"/>
        <v/>
      </c>
      <c r="AJ494" s="10" t="str">
        <f t="shared" si="84"/>
        <v/>
      </c>
      <c r="AK494" s="10" t="str">
        <f t="shared" si="85"/>
        <v/>
      </c>
      <c r="AL494" s="14" t="str">
        <f t="shared" si="86"/>
        <v/>
      </c>
    </row>
    <row r="495" spans="1:38" x14ac:dyDescent="0.2">
      <c r="A495"/>
      <c r="B495" t="str">
        <f>IF($A495="","",VLOOKUP($A495,JupData!$A$2:$I$10000,4,FALSE))</f>
        <v/>
      </c>
      <c r="C495" s="7" t="str">
        <f>IF($A495="",IF(N(D495),0,""),VLOOKUP($A495,JupData!$A$2:$I$10000,7,FALSE))</f>
        <v/>
      </c>
      <c r="D495" t="str">
        <f t="shared" si="87"/>
        <v/>
      </c>
      <c r="E495" t="str">
        <f t="array" ref="E495">IF($A495="","",INDEX(JupData!$A$2:$K$10000,MATCH($A495&amp;E$1,JupData!$A$2:$A$10000&amp;JupData!$J$2:$J$10000,0),11))</f>
        <v/>
      </c>
      <c r="F495" t="str">
        <f t="array" ref="F495">IF($A495="","",INDEX(JupData!$A$2:$K$10000,MATCH($A495&amp;F$1,JupData!$A$2:$A$10000&amp;JupData!$J$2:$J$10000,0),11))</f>
        <v/>
      </c>
      <c r="G495" t="str">
        <f t="array" ref="G495">IF($A495="","",INDEX(JupData!$A$2:$K$10000,MATCH($A495&amp;G$1,JupData!$A$2:$A$10000&amp;JupData!$J$2:$J$10000,0),11))</f>
        <v/>
      </c>
      <c r="H495" t="str">
        <f t="array" ref="H495">IF($A495="","",INDEX(JupData!$A$2:$K$10000,MATCH($A495&amp;H$1,JupData!$A$2:$A$10000&amp;JupData!$J$2:$J$10000,0),11))</f>
        <v/>
      </c>
      <c r="I495" t="str">
        <f t="array" ref="I495">IF($A495="","",INDEX(JupData!$A$2:$K$10000,MATCH($A495&amp;I$1,JupData!$A$2:$A$10000&amp;JupData!$J$2:$J$10000,0),11))</f>
        <v/>
      </c>
      <c r="J495" t="str">
        <f t="array" ref="J495">IF($A495="","",INDEX(JupData!$A$2:$K$10000,MATCH($A495&amp;J$1,JupData!$A$2:$A$10000&amp;JupData!$J$2:$J$10000,0),11))</f>
        <v/>
      </c>
      <c r="K495" t="str">
        <f t="array" ref="K495">IF($A495="","",INDEX(JupData!$A$2:$K$10000,MATCH($A495&amp;K$1,JupData!$A$2:$A$10000&amp;JupData!$J$2:$J$10000,0),11))</f>
        <v/>
      </c>
      <c r="L495" t="str">
        <f t="array" ref="L495">IF($A495="","",INDEX(JupData!$A$2:$K$10000,MATCH($A495&amp;L$1,JupData!$A$2:$A$10000&amp;JupData!$J$2:$J$10000,0),11))</f>
        <v/>
      </c>
      <c r="M495" t="str">
        <f t="array" ref="M495">IF($A495="","",INDEX(JupData!$A$2:$K$10000,MATCH($A495&amp;M$1,JupData!$A$2:$A$10000&amp;JupData!$J$2:$J$10000,0),11))</f>
        <v/>
      </c>
      <c r="N495" t="str">
        <f t="array" ref="N495">IF($A495="","",INDEX(JupData!$A$2:$K$10000,MATCH($A495&amp;N$1,JupData!$A$2:$A$10000&amp;JupData!$J$2:$J$10000,0),11))</f>
        <v/>
      </c>
      <c r="O495" t="str">
        <f t="array" ref="O495">IF($A495="","",INDEX(JupData!$A$2:$K$10000,MATCH($A495&amp;O$1,JupData!$A$2:$A$10000&amp;JupData!$J$2:$J$10000,0),11))</f>
        <v/>
      </c>
      <c r="P495" t="str">
        <f t="array" ref="P495">IF($A495="","",INDEX(JupData!$A$2:$K$10000,MATCH($A495&amp;P$1,JupData!$A$2:$A$10000&amp;JupData!$J$2:$J$10000,0),11))</f>
        <v/>
      </c>
      <c r="Q495" t="str">
        <f t="array" ref="Q495">IF($A495="","",INDEX(JupData!$A$2:$K$10000,MATCH($A495&amp;Q$1,JupData!$A$2:$A$10000&amp;JupData!$J$2:$J$10000,0),11))</f>
        <v/>
      </c>
      <c r="R495" t="str">
        <f t="array" ref="R495">IF($A495="","",INDEX(JupData!$A$2:$K$10000,MATCH($A495&amp;R$1,JupData!$A$2:$A$10000&amp;JupData!$J$2:$J$10000,0),11))</f>
        <v/>
      </c>
      <c r="S495" t="str">
        <f t="array" ref="S495">IF($A495="","",INDEX(JupData!$A$2:$K$10000,MATCH($A495&amp;S$1,JupData!$A$2:$A$10000&amp;JupData!$J$2:$J$10000,0),11))</f>
        <v/>
      </c>
      <c r="T495" t="str">
        <f t="array" ref="T495">IF($A495="","",INDEX(JupData!$A$2:$K$10000,MATCH($A495&amp;T$1,JupData!$A$2:$A$10000&amp;JupData!$J$2:$J$10000,0),11))</f>
        <v/>
      </c>
      <c r="U495" t="str">
        <f t="array" ref="U495">IF($A495="","",INDEX(JupData!$A$2:$K$10000,MATCH($A495&amp;U$1,JupData!$A$2:$A$10000&amp;JupData!$J$2:$J$10000,0),11))</f>
        <v/>
      </c>
      <c r="V495" t="str">
        <f t="array" ref="V495">IF($A495="","",INDEX(JupData!$A$2:$K$10000,MATCH($A495&amp;V$1,JupData!$A$2:$A$10000&amp;JupData!$J$2:$J$10000,0),11))</f>
        <v/>
      </c>
      <c r="W495" t="str">
        <f t="array" ref="W495">IF($A495="","",INDEX(JupData!$A$2:$K$10000,MATCH($A495&amp;W$1,JupData!$A$2:$A$10000&amp;JupData!$J$2:$J$10000,0),11))</f>
        <v/>
      </c>
      <c r="X495" t="str">
        <f t="array" ref="X495">IF($A495="","",INDEX(JupData!$A$2:$K$10000,MATCH($A495&amp;X$1,JupData!$A$2:$A$10000&amp;JupData!$J$2:$J$10000,0),11))</f>
        <v/>
      </c>
      <c r="Y495" t="str">
        <f t="array" ref="Y495">IF($A495="","",INDEX(JupData!$A$2:$K$10000,MATCH($A495&amp;Y$1,JupData!$A$2:$A$10000&amp;JupData!$J$2:$J$10000,0),11))</f>
        <v/>
      </c>
      <c r="Z495" t="str">
        <f t="array" ref="Z495">IF($A495="","",INDEX(JupData!$A$2:$K$10000,MATCH($A495&amp;Z$1,JupData!$A$2:$A$10000&amp;JupData!$J$2:$J$10000,0),11))</f>
        <v/>
      </c>
      <c r="AA495" t="str">
        <f t="array" ref="AA495">IF($A495="","",INDEX(JupData!$A$2:$K$10000,MATCH($A495&amp;AA$1,JupData!$A$2:$A$10000&amp;JupData!$J$2:$J$10000,0),11))</f>
        <v/>
      </c>
      <c r="AB495" t="str">
        <f t="array" ref="AB495">IF($A495="","",INDEX(JupData!$A$2:$K$10000,MATCH($A495&amp;AB$1,JupData!$A$2:$A$10000&amp;JupData!$J$2:$J$10000,0),11))</f>
        <v/>
      </c>
      <c r="AC495" s="10" t="str">
        <f t="shared" si="77"/>
        <v/>
      </c>
      <c r="AD495" s="10" t="str">
        <f t="shared" si="78"/>
        <v/>
      </c>
      <c r="AE495" s="9" t="str">
        <f t="shared" si="79"/>
        <v/>
      </c>
      <c r="AF495" s="10" t="str">
        <f t="shared" si="80"/>
        <v/>
      </c>
      <c r="AG495" s="10" t="str">
        <f t="shared" si="81"/>
        <v/>
      </c>
      <c r="AH495" s="10" t="str">
        <f t="shared" si="82"/>
        <v/>
      </c>
      <c r="AI495" s="10" t="str">
        <f t="shared" si="83"/>
        <v/>
      </c>
      <c r="AJ495" s="10" t="str">
        <f t="shared" si="84"/>
        <v/>
      </c>
      <c r="AK495" s="10" t="str">
        <f t="shared" si="85"/>
        <v/>
      </c>
      <c r="AL495" s="14" t="str">
        <f t="shared" si="86"/>
        <v/>
      </c>
    </row>
    <row r="496" spans="1:38" x14ac:dyDescent="0.2">
      <c r="A496"/>
      <c r="B496" t="str">
        <f>IF($A496="","",VLOOKUP($A496,JupData!$A$2:$I$10000,4,FALSE))</f>
        <v/>
      </c>
      <c r="C496" s="7" t="str">
        <f>IF($A496="",IF(N(D496),0,""),VLOOKUP($A496,JupData!$A$2:$I$10000,7,FALSE))</f>
        <v/>
      </c>
      <c r="D496" t="str">
        <f t="shared" si="87"/>
        <v/>
      </c>
      <c r="E496" t="str">
        <f t="array" ref="E496">IF($A496="","",INDEX(JupData!$A$2:$K$10000,MATCH($A496&amp;E$1,JupData!$A$2:$A$10000&amp;JupData!$J$2:$J$10000,0),11))</f>
        <v/>
      </c>
      <c r="F496" t="str">
        <f t="array" ref="F496">IF($A496="","",INDEX(JupData!$A$2:$K$10000,MATCH($A496&amp;F$1,JupData!$A$2:$A$10000&amp;JupData!$J$2:$J$10000,0),11))</f>
        <v/>
      </c>
      <c r="G496" t="str">
        <f t="array" ref="G496">IF($A496="","",INDEX(JupData!$A$2:$K$10000,MATCH($A496&amp;G$1,JupData!$A$2:$A$10000&amp;JupData!$J$2:$J$10000,0),11))</f>
        <v/>
      </c>
      <c r="H496" t="str">
        <f t="array" ref="H496">IF($A496="","",INDEX(JupData!$A$2:$K$10000,MATCH($A496&amp;H$1,JupData!$A$2:$A$10000&amp;JupData!$J$2:$J$10000,0),11))</f>
        <v/>
      </c>
      <c r="I496" t="str">
        <f t="array" ref="I496">IF($A496="","",INDEX(JupData!$A$2:$K$10000,MATCH($A496&amp;I$1,JupData!$A$2:$A$10000&amp;JupData!$J$2:$J$10000,0),11))</f>
        <v/>
      </c>
      <c r="J496" t="str">
        <f t="array" ref="J496">IF($A496="","",INDEX(JupData!$A$2:$K$10000,MATCH($A496&amp;J$1,JupData!$A$2:$A$10000&amp;JupData!$J$2:$J$10000,0),11))</f>
        <v/>
      </c>
      <c r="K496" t="str">
        <f t="array" ref="K496">IF($A496="","",INDEX(JupData!$A$2:$K$10000,MATCH($A496&amp;K$1,JupData!$A$2:$A$10000&amp;JupData!$J$2:$J$10000,0),11))</f>
        <v/>
      </c>
      <c r="L496" t="str">
        <f t="array" ref="L496">IF($A496="","",INDEX(JupData!$A$2:$K$10000,MATCH($A496&amp;L$1,JupData!$A$2:$A$10000&amp;JupData!$J$2:$J$10000,0),11))</f>
        <v/>
      </c>
      <c r="M496" t="str">
        <f t="array" ref="M496">IF($A496="","",INDEX(JupData!$A$2:$K$10000,MATCH($A496&amp;M$1,JupData!$A$2:$A$10000&amp;JupData!$J$2:$J$10000,0),11))</f>
        <v/>
      </c>
      <c r="N496" t="str">
        <f t="array" ref="N496">IF($A496="","",INDEX(JupData!$A$2:$K$10000,MATCH($A496&amp;N$1,JupData!$A$2:$A$10000&amp;JupData!$J$2:$J$10000,0),11))</f>
        <v/>
      </c>
      <c r="O496" t="str">
        <f t="array" ref="O496">IF($A496="","",INDEX(JupData!$A$2:$K$10000,MATCH($A496&amp;O$1,JupData!$A$2:$A$10000&amp;JupData!$J$2:$J$10000,0),11))</f>
        <v/>
      </c>
      <c r="P496" t="str">
        <f t="array" ref="P496">IF($A496="","",INDEX(JupData!$A$2:$K$10000,MATCH($A496&amp;P$1,JupData!$A$2:$A$10000&amp;JupData!$J$2:$J$10000,0),11))</f>
        <v/>
      </c>
      <c r="Q496" t="str">
        <f t="array" ref="Q496">IF($A496="","",INDEX(JupData!$A$2:$K$10000,MATCH($A496&amp;Q$1,JupData!$A$2:$A$10000&amp;JupData!$J$2:$J$10000,0),11))</f>
        <v/>
      </c>
      <c r="R496" t="str">
        <f t="array" ref="R496">IF($A496="","",INDEX(JupData!$A$2:$K$10000,MATCH($A496&amp;R$1,JupData!$A$2:$A$10000&amp;JupData!$J$2:$J$10000,0),11))</f>
        <v/>
      </c>
      <c r="S496" t="str">
        <f t="array" ref="S496">IF($A496="","",INDEX(JupData!$A$2:$K$10000,MATCH($A496&amp;S$1,JupData!$A$2:$A$10000&amp;JupData!$J$2:$J$10000,0),11))</f>
        <v/>
      </c>
      <c r="T496" t="str">
        <f t="array" ref="T496">IF($A496="","",INDEX(JupData!$A$2:$K$10000,MATCH($A496&amp;T$1,JupData!$A$2:$A$10000&amp;JupData!$J$2:$J$10000,0),11))</f>
        <v/>
      </c>
      <c r="U496" t="str">
        <f t="array" ref="U496">IF($A496="","",INDEX(JupData!$A$2:$K$10000,MATCH($A496&amp;U$1,JupData!$A$2:$A$10000&amp;JupData!$J$2:$J$10000,0),11))</f>
        <v/>
      </c>
      <c r="V496" t="str">
        <f t="array" ref="V496">IF($A496="","",INDEX(JupData!$A$2:$K$10000,MATCH($A496&amp;V$1,JupData!$A$2:$A$10000&amp;JupData!$J$2:$J$10000,0),11))</f>
        <v/>
      </c>
      <c r="W496" t="str">
        <f t="array" ref="W496">IF($A496="","",INDEX(JupData!$A$2:$K$10000,MATCH($A496&amp;W$1,JupData!$A$2:$A$10000&amp;JupData!$J$2:$J$10000,0),11))</f>
        <v/>
      </c>
      <c r="X496" t="str">
        <f t="array" ref="X496">IF($A496="","",INDEX(JupData!$A$2:$K$10000,MATCH($A496&amp;X$1,JupData!$A$2:$A$10000&amp;JupData!$J$2:$J$10000,0),11))</f>
        <v/>
      </c>
      <c r="Y496" t="str">
        <f t="array" ref="Y496">IF($A496="","",INDEX(JupData!$A$2:$K$10000,MATCH($A496&amp;Y$1,JupData!$A$2:$A$10000&amp;JupData!$J$2:$J$10000,0),11))</f>
        <v/>
      </c>
      <c r="Z496" t="str">
        <f t="array" ref="Z496">IF($A496="","",INDEX(JupData!$A$2:$K$10000,MATCH($A496&amp;Z$1,JupData!$A$2:$A$10000&amp;JupData!$J$2:$J$10000,0),11))</f>
        <v/>
      </c>
      <c r="AA496" t="str">
        <f t="array" ref="AA496">IF($A496="","",INDEX(JupData!$A$2:$K$10000,MATCH($A496&amp;AA$1,JupData!$A$2:$A$10000&amp;JupData!$J$2:$J$10000,0),11))</f>
        <v/>
      </c>
      <c r="AB496" t="str">
        <f t="array" ref="AB496">IF($A496="","",INDEX(JupData!$A$2:$K$10000,MATCH($A496&amp;AB$1,JupData!$A$2:$A$10000&amp;JupData!$J$2:$J$10000,0),11))</f>
        <v/>
      </c>
      <c r="AC496" s="10" t="str">
        <f t="shared" si="77"/>
        <v/>
      </c>
      <c r="AD496" s="10" t="str">
        <f t="shared" si="78"/>
        <v/>
      </c>
      <c r="AE496" s="9" t="str">
        <f t="shared" si="79"/>
        <v/>
      </c>
      <c r="AF496" s="10" t="str">
        <f t="shared" si="80"/>
        <v/>
      </c>
      <c r="AG496" s="10" t="str">
        <f t="shared" si="81"/>
        <v/>
      </c>
      <c r="AH496" s="10" t="str">
        <f t="shared" si="82"/>
        <v/>
      </c>
      <c r="AI496" s="10" t="str">
        <f t="shared" si="83"/>
        <v/>
      </c>
      <c r="AJ496" s="10" t="str">
        <f t="shared" si="84"/>
        <v/>
      </c>
      <c r="AK496" s="10" t="str">
        <f t="shared" si="85"/>
        <v/>
      </c>
      <c r="AL496" s="14" t="str">
        <f t="shared" si="86"/>
        <v/>
      </c>
    </row>
    <row r="497" spans="1:38" x14ac:dyDescent="0.2">
      <c r="A497"/>
      <c r="B497" t="str">
        <f>IF($A497="","",VLOOKUP($A497,JupData!$A$2:$I$10000,4,FALSE))</f>
        <v/>
      </c>
      <c r="C497" s="7" t="str">
        <f>IF($A497="",IF(N(D497),0,""),VLOOKUP($A497,JupData!$A$2:$I$10000,7,FALSE))</f>
        <v/>
      </c>
      <c r="D497" t="str">
        <f t="shared" si="87"/>
        <v/>
      </c>
      <c r="E497" t="str">
        <f t="array" ref="E497">IF($A497="","",INDEX(JupData!$A$2:$K$10000,MATCH($A497&amp;E$1,JupData!$A$2:$A$10000&amp;JupData!$J$2:$J$10000,0),11))</f>
        <v/>
      </c>
      <c r="F497" t="str">
        <f t="array" ref="F497">IF($A497="","",INDEX(JupData!$A$2:$K$10000,MATCH($A497&amp;F$1,JupData!$A$2:$A$10000&amp;JupData!$J$2:$J$10000,0),11))</f>
        <v/>
      </c>
      <c r="G497" t="str">
        <f t="array" ref="G497">IF($A497="","",INDEX(JupData!$A$2:$K$10000,MATCH($A497&amp;G$1,JupData!$A$2:$A$10000&amp;JupData!$J$2:$J$10000,0),11))</f>
        <v/>
      </c>
      <c r="H497" t="str">
        <f t="array" ref="H497">IF($A497="","",INDEX(JupData!$A$2:$K$10000,MATCH($A497&amp;H$1,JupData!$A$2:$A$10000&amp;JupData!$J$2:$J$10000,0),11))</f>
        <v/>
      </c>
      <c r="I497" t="str">
        <f t="array" ref="I497">IF($A497="","",INDEX(JupData!$A$2:$K$10000,MATCH($A497&amp;I$1,JupData!$A$2:$A$10000&amp;JupData!$J$2:$J$10000,0),11))</f>
        <v/>
      </c>
      <c r="J497" t="str">
        <f t="array" ref="J497">IF($A497="","",INDEX(JupData!$A$2:$K$10000,MATCH($A497&amp;J$1,JupData!$A$2:$A$10000&amp;JupData!$J$2:$J$10000,0),11))</f>
        <v/>
      </c>
      <c r="K497" t="str">
        <f t="array" ref="K497">IF($A497="","",INDEX(JupData!$A$2:$K$10000,MATCH($A497&amp;K$1,JupData!$A$2:$A$10000&amp;JupData!$J$2:$J$10000,0),11))</f>
        <v/>
      </c>
      <c r="L497" t="str">
        <f t="array" ref="L497">IF($A497="","",INDEX(JupData!$A$2:$K$10000,MATCH($A497&amp;L$1,JupData!$A$2:$A$10000&amp;JupData!$J$2:$J$10000,0),11))</f>
        <v/>
      </c>
      <c r="M497" t="str">
        <f t="array" ref="M497">IF($A497="","",INDEX(JupData!$A$2:$K$10000,MATCH($A497&amp;M$1,JupData!$A$2:$A$10000&amp;JupData!$J$2:$J$10000,0),11))</f>
        <v/>
      </c>
      <c r="N497" t="str">
        <f t="array" ref="N497">IF($A497="","",INDEX(JupData!$A$2:$K$10000,MATCH($A497&amp;N$1,JupData!$A$2:$A$10000&amp;JupData!$J$2:$J$10000,0),11))</f>
        <v/>
      </c>
      <c r="O497" t="str">
        <f t="array" ref="O497">IF($A497="","",INDEX(JupData!$A$2:$K$10000,MATCH($A497&amp;O$1,JupData!$A$2:$A$10000&amp;JupData!$J$2:$J$10000,0),11))</f>
        <v/>
      </c>
      <c r="P497" t="str">
        <f t="array" ref="P497">IF($A497="","",INDEX(JupData!$A$2:$K$10000,MATCH($A497&amp;P$1,JupData!$A$2:$A$10000&amp;JupData!$J$2:$J$10000,0),11))</f>
        <v/>
      </c>
      <c r="Q497" t="str">
        <f t="array" ref="Q497">IF($A497="","",INDEX(JupData!$A$2:$K$10000,MATCH($A497&amp;Q$1,JupData!$A$2:$A$10000&amp;JupData!$J$2:$J$10000,0),11))</f>
        <v/>
      </c>
      <c r="R497" t="str">
        <f t="array" ref="R497">IF($A497="","",INDEX(JupData!$A$2:$K$10000,MATCH($A497&amp;R$1,JupData!$A$2:$A$10000&amp;JupData!$J$2:$J$10000,0),11))</f>
        <v/>
      </c>
      <c r="S497" t="str">
        <f t="array" ref="S497">IF($A497="","",INDEX(JupData!$A$2:$K$10000,MATCH($A497&amp;S$1,JupData!$A$2:$A$10000&amp;JupData!$J$2:$J$10000,0),11))</f>
        <v/>
      </c>
      <c r="T497" t="str">
        <f t="array" ref="T497">IF($A497="","",INDEX(JupData!$A$2:$K$10000,MATCH($A497&amp;T$1,JupData!$A$2:$A$10000&amp;JupData!$J$2:$J$10000,0),11))</f>
        <v/>
      </c>
      <c r="U497" t="str">
        <f t="array" ref="U497">IF($A497="","",INDEX(JupData!$A$2:$K$10000,MATCH($A497&amp;U$1,JupData!$A$2:$A$10000&amp;JupData!$J$2:$J$10000,0),11))</f>
        <v/>
      </c>
      <c r="V497" t="str">
        <f t="array" ref="V497">IF($A497="","",INDEX(JupData!$A$2:$K$10000,MATCH($A497&amp;V$1,JupData!$A$2:$A$10000&amp;JupData!$J$2:$J$10000,0),11))</f>
        <v/>
      </c>
      <c r="W497" t="str">
        <f t="array" ref="W497">IF($A497="","",INDEX(JupData!$A$2:$K$10000,MATCH($A497&amp;W$1,JupData!$A$2:$A$10000&amp;JupData!$J$2:$J$10000,0),11))</f>
        <v/>
      </c>
      <c r="X497" t="str">
        <f t="array" ref="X497">IF($A497="","",INDEX(JupData!$A$2:$K$10000,MATCH($A497&amp;X$1,JupData!$A$2:$A$10000&amp;JupData!$J$2:$J$10000,0),11))</f>
        <v/>
      </c>
      <c r="Y497" t="str">
        <f t="array" ref="Y497">IF($A497="","",INDEX(JupData!$A$2:$K$10000,MATCH($A497&amp;Y$1,JupData!$A$2:$A$10000&amp;JupData!$J$2:$J$10000,0),11))</f>
        <v/>
      </c>
      <c r="Z497" t="str">
        <f t="array" ref="Z497">IF($A497="","",INDEX(JupData!$A$2:$K$10000,MATCH($A497&amp;Z$1,JupData!$A$2:$A$10000&amp;JupData!$J$2:$J$10000,0),11))</f>
        <v/>
      </c>
      <c r="AA497" t="str">
        <f t="array" ref="AA497">IF($A497="","",INDEX(JupData!$A$2:$K$10000,MATCH($A497&amp;AA$1,JupData!$A$2:$A$10000&amp;JupData!$J$2:$J$10000,0),11))</f>
        <v/>
      </c>
      <c r="AB497" t="str">
        <f t="array" ref="AB497">IF($A497="","",INDEX(JupData!$A$2:$K$10000,MATCH($A497&amp;AB$1,JupData!$A$2:$A$10000&amp;JupData!$J$2:$J$10000,0),11))</f>
        <v/>
      </c>
      <c r="AC497" s="10" t="str">
        <f t="shared" si="77"/>
        <v/>
      </c>
      <c r="AD497" s="10" t="str">
        <f t="shared" si="78"/>
        <v/>
      </c>
      <c r="AE497" s="9" t="str">
        <f t="shared" si="79"/>
        <v/>
      </c>
      <c r="AF497" s="10" t="str">
        <f t="shared" si="80"/>
        <v/>
      </c>
      <c r="AG497" s="10" t="str">
        <f t="shared" si="81"/>
        <v/>
      </c>
      <c r="AH497" s="10" t="str">
        <f t="shared" si="82"/>
        <v/>
      </c>
      <c r="AI497" s="10" t="str">
        <f t="shared" si="83"/>
        <v/>
      </c>
      <c r="AJ497" s="10" t="str">
        <f t="shared" si="84"/>
        <v/>
      </c>
      <c r="AK497" s="10" t="str">
        <f t="shared" si="85"/>
        <v/>
      </c>
      <c r="AL497" s="14" t="str">
        <f t="shared" si="86"/>
        <v/>
      </c>
    </row>
    <row r="498" spans="1:38" x14ac:dyDescent="0.2">
      <c r="A498"/>
      <c r="B498" t="str">
        <f>IF($A498="","",VLOOKUP($A498,JupData!$A$2:$I$10000,4,FALSE))</f>
        <v/>
      </c>
      <c r="C498" s="7" t="str">
        <f>IF($A498="",IF(N(D498),0,""),VLOOKUP($A498,JupData!$A$2:$I$10000,7,FALSE))</f>
        <v/>
      </c>
      <c r="D498" t="str">
        <f t="shared" si="87"/>
        <v/>
      </c>
      <c r="E498" t="str">
        <f t="array" ref="E498">IF($A498="","",INDEX(JupData!$A$2:$K$10000,MATCH($A498&amp;E$1,JupData!$A$2:$A$10000&amp;JupData!$J$2:$J$10000,0),11))</f>
        <v/>
      </c>
      <c r="F498" t="str">
        <f t="array" ref="F498">IF($A498="","",INDEX(JupData!$A$2:$K$10000,MATCH($A498&amp;F$1,JupData!$A$2:$A$10000&amp;JupData!$J$2:$J$10000,0),11))</f>
        <v/>
      </c>
      <c r="G498" t="str">
        <f t="array" ref="G498">IF($A498="","",INDEX(JupData!$A$2:$K$10000,MATCH($A498&amp;G$1,JupData!$A$2:$A$10000&amp;JupData!$J$2:$J$10000,0),11))</f>
        <v/>
      </c>
      <c r="H498" t="str">
        <f t="array" ref="H498">IF($A498="","",INDEX(JupData!$A$2:$K$10000,MATCH($A498&amp;H$1,JupData!$A$2:$A$10000&amp;JupData!$J$2:$J$10000,0),11))</f>
        <v/>
      </c>
      <c r="I498" t="str">
        <f t="array" ref="I498">IF($A498="","",INDEX(JupData!$A$2:$K$10000,MATCH($A498&amp;I$1,JupData!$A$2:$A$10000&amp;JupData!$J$2:$J$10000,0),11))</f>
        <v/>
      </c>
      <c r="J498" t="str">
        <f t="array" ref="J498">IF($A498="","",INDEX(JupData!$A$2:$K$10000,MATCH($A498&amp;J$1,JupData!$A$2:$A$10000&amp;JupData!$J$2:$J$10000,0),11))</f>
        <v/>
      </c>
      <c r="K498" t="str">
        <f t="array" ref="K498">IF($A498="","",INDEX(JupData!$A$2:$K$10000,MATCH($A498&amp;K$1,JupData!$A$2:$A$10000&amp;JupData!$J$2:$J$10000,0),11))</f>
        <v/>
      </c>
      <c r="L498" t="str">
        <f t="array" ref="L498">IF($A498="","",INDEX(JupData!$A$2:$K$10000,MATCH($A498&amp;L$1,JupData!$A$2:$A$10000&amp;JupData!$J$2:$J$10000,0),11))</f>
        <v/>
      </c>
      <c r="M498" t="str">
        <f t="array" ref="M498">IF($A498="","",INDEX(JupData!$A$2:$K$10000,MATCH($A498&amp;M$1,JupData!$A$2:$A$10000&amp;JupData!$J$2:$J$10000,0),11))</f>
        <v/>
      </c>
      <c r="N498" t="str">
        <f t="array" ref="N498">IF($A498="","",INDEX(JupData!$A$2:$K$10000,MATCH($A498&amp;N$1,JupData!$A$2:$A$10000&amp;JupData!$J$2:$J$10000,0),11))</f>
        <v/>
      </c>
      <c r="O498" t="str">
        <f t="array" ref="O498">IF($A498="","",INDEX(JupData!$A$2:$K$10000,MATCH($A498&amp;O$1,JupData!$A$2:$A$10000&amp;JupData!$J$2:$J$10000,0),11))</f>
        <v/>
      </c>
      <c r="P498" t="str">
        <f t="array" ref="P498">IF($A498="","",INDEX(JupData!$A$2:$K$10000,MATCH($A498&amp;P$1,JupData!$A$2:$A$10000&amp;JupData!$J$2:$J$10000,0),11))</f>
        <v/>
      </c>
      <c r="Q498" t="str">
        <f t="array" ref="Q498">IF($A498="","",INDEX(JupData!$A$2:$K$10000,MATCH($A498&amp;Q$1,JupData!$A$2:$A$10000&amp;JupData!$J$2:$J$10000,0),11))</f>
        <v/>
      </c>
      <c r="R498" t="str">
        <f t="array" ref="R498">IF($A498="","",INDEX(JupData!$A$2:$K$10000,MATCH($A498&amp;R$1,JupData!$A$2:$A$10000&amp;JupData!$J$2:$J$10000,0),11))</f>
        <v/>
      </c>
      <c r="S498" t="str">
        <f t="array" ref="S498">IF($A498="","",INDEX(JupData!$A$2:$K$10000,MATCH($A498&amp;S$1,JupData!$A$2:$A$10000&amp;JupData!$J$2:$J$10000,0),11))</f>
        <v/>
      </c>
      <c r="T498" t="str">
        <f t="array" ref="T498">IF($A498="","",INDEX(JupData!$A$2:$K$10000,MATCH($A498&amp;T$1,JupData!$A$2:$A$10000&amp;JupData!$J$2:$J$10000,0),11))</f>
        <v/>
      </c>
      <c r="U498" t="str">
        <f t="array" ref="U498">IF($A498="","",INDEX(JupData!$A$2:$K$10000,MATCH($A498&amp;U$1,JupData!$A$2:$A$10000&amp;JupData!$J$2:$J$10000,0),11))</f>
        <v/>
      </c>
      <c r="V498" t="str">
        <f t="array" ref="V498">IF($A498="","",INDEX(JupData!$A$2:$K$10000,MATCH($A498&amp;V$1,JupData!$A$2:$A$10000&amp;JupData!$J$2:$J$10000,0),11))</f>
        <v/>
      </c>
      <c r="W498" t="str">
        <f t="array" ref="W498">IF($A498="","",INDEX(JupData!$A$2:$K$10000,MATCH($A498&amp;W$1,JupData!$A$2:$A$10000&amp;JupData!$J$2:$J$10000,0),11))</f>
        <v/>
      </c>
      <c r="X498" t="str">
        <f t="array" ref="X498">IF($A498="","",INDEX(JupData!$A$2:$K$10000,MATCH($A498&amp;X$1,JupData!$A$2:$A$10000&amp;JupData!$J$2:$J$10000,0),11))</f>
        <v/>
      </c>
      <c r="Y498" t="str">
        <f t="array" ref="Y498">IF($A498="","",INDEX(JupData!$A$2:$K$10000,MATCH($A498&amp;Y$1,JupData!$A$2:$A$10000&amp;JupData!$J$2:$J$10000,0),11))</f>
        <v/>
      </c>
      <c r="Z498" t="str">
        <f t="array" ref="Z498">IF($A498="","",INDEX(JupData!$A$2:$K$10000,MATCH($A498&amp;Z$1,JupData!$A$2:$A$10000&amp;JupData!$J$2:$J$10000,0),11))</f>
        <v/>
      </c>
      <c r="AA498" t="str">
        <f t="array" ref="AA498">IF($A498="","",INDEX(JupData!$A$2:$K$10000,MATCH($A498&amp;AA$1,JupData!$A$2:$A$10000&amp;JupData!$J$2:$J$10000,0),11))</f>
        <v/>
      </c>
      <c r="AB498" t="str">
        <f t="array" ref="AB498">IF($A498="","",INDEX(JupData!$A$2:$K$10000,MATCH($A498&amp;AB$1,JupData!$A$2:$A$10000&amp;JupData!$J$2:$J$10000,0),11))</f>
        <v/>
      </c>
      <c r="AC498" s="10" t="str">
        <f t="shared" si="77"/>
        <v/>
      </c>
      <c r="AD498" s="10" t="str">
        <f t="shared" si="78"/>
        <v/>
      </c>
      <c r="AE498" s="9" t="str">
        <f t="shared" si="79"/>
        <v/>
      </c>
      <c r="AF498" s="10" t="str">
        <f t="shared" si="80"/>
        <v/>
      </c>
      <c r="AG498" s="10" t="str">
        <f t="shared" si="81"/>
        <v/>
      </c>
      <c r="AH498" s="10" t="str">
        <f t="shared" si="82"/>
        <v/>
      </c>
      <c r="AI498" s="10" t="str">
        <f t="shared" si="83"/>
        <v/>
      </c>
      <c r="AJ498" s="10" t="str">
        <f t="shared" si="84"/>
        <v/>
      </c>
      <c r="AK498" s="10" t="str">
        <f t="shared" si="85"/>
        <v/>
      </c>
      <c r="AL498" s="14" t="str">
        <f t="shared" si="86"/>
        <v/>
      </c>
    </row>
    <row r="499" spans="1:38" x14ac:dyDescent="0.2">
      <c r="A499"/>
      <c r="B499" t="str">
        <f>IF($A499="","",VLOOKUP($A499,JupData!$A$2:$I$10000,4,FALSE))</f>
        <v/>
      </c>
      <c r="C499" s="7" t="str">
        <f>IF($A499="",IF(N(D499),0,""),VLOOKUP($A499,JupData!$A$2:$I$10000,7,FALSE))</f>
        <v/>
      </c>
      <c r="D499" t="str">
        <f t="shared" si="87"/>
        <v/>
      </c>
      <c r="E499" t="str">
        <f t="array" ref="E499">IF($A499="","",INDEX(JupData!$A$2:$K$10000,MATCH($A499&amp;E$1,JupData!$A$2:$A$10000&amp;JupData!$J$2:$J$10000,0),11))</f>
        <v/>
      </c>
      <c r="F499" t="str">
        <f t="array" ref="F499">IF($A499="","",INDEX(JupData!$A$2:$K$10000,MATCH($A499&amp;F$1,JupData!$A$2:$A$10000&amp;JupData!$J$2:$J$10000,0),11))</f>
        <v/>
      </c>
      <c r="G499" t="str">
        <f t="array" ref="G499">IF($A499="","",INDEX(JupData!$A$2:$K$10000,MATCH($A499&amp;G$1,JupData!$A$2:$A$10000&amp;JupData!$J$2:$J$10000,0),11))</f>
        <v/>
      </c>
      <c r="H499" t="str">
        <f t="array" ref="H499">IF($A499="","",INDEX(JupData!$A$2:$K$10000,MATCH($A499&amp;H$1,JupData!$A$2:$A$10000&amp;JupData!$J$2:$J$10000,0),11))</f>
        <v/>
      </c>
      <c r="I499" t="str">
        <f t="array" ref="I499">IF($A499="","",INDEX(JupData!$A$2:$K$10000,MATCH($A499&amp;I$1,JupData!$A$2:$A$10000&amp;JupData!$J$2:$J$10000,0),11))</f>
        <v/>
      </c>
      <c r="J499" t="str">
        <f t="array" ref="J499">IF($A499="","",INDEX(JupData!$A$2:$K$10000,MATCH($A499&amp;J$1,JupData!$A$2:$A$10000&amp;JupData!$J$2:$J$10000,0),11))</f>
        <v/>
      </c>
      <c r="K499" t="str">
        <f t="array" ref="K499">IF($A499="","",INDEX(JupData!$A$2:$K$10000,MATCH($A499&amp;K$1,JupData!$A$2:$A$10000&amp;JupData!$J$2:$J$10000,0),11))</f>
        <v/>
      </c>
      <c r="L499" t="str">
        <f t="array" ref="L499">IF($A499="","",INDEX(JupData!$A$2:$K$10000,MATCH($A499&amp;L$1,JupData!$A$2:$A$10000&amp;JupData!$J$2:$J$10000,0),11))</f>
        <v/>
      </c>
      <c r="M499" t="str">
        <f t="array" ref="M499">IF($A499="","",INDEX(JupData!$A$2:$K$10000,MATCH($A499&amp;M$1,JupData!$A$2:$A$10000&amp;JupData!$J$2:$J$10000,0),11))</f>
        <v/>
      </c>
      <c r="N499" t="str">
        <f t="array" ref="N499">IF($A499="","",INDEX(JupData!$A$2:$K$10000,MATCH($A499&amp;N$1,JupData!$A$2:$A$10000&amp;JupData!$J$2:$J$10000,0),11))</f>
        <v/>
      </c>
      <c r="O499" t="str">
        <f t="array" ref="O499">IF($A499="","",INDEX(JupData!$A$2:$K$10000,MATCH($A499&amp;O$1,JupData!$A$2:$A$10000&amp;JupData!$J$2:$J$10000,0),11))</f>
        <v/>
      </c>
      <c r="P499" t="str">
        <f t="array" ref="P499">IF($A499="","",INDEX(JupData!$A$2:$K$10000,MATCH($A499&amp;P$1,JupData!$A$2:$A$10000&amp;JupData!$J$2:$J$10000,0),11))</f>
        <v/>
      </c>
      <c r="Q499" t="str">
        <f t="array" ref="Q499">IF($A499="","",INDEX(JupData!$A$2:$K$10000,MATCH($A499&amp;Q$1,JupData!$A$2:$A$10000&amp;JupData!$J$2:$J$10000,0),11))</f>
        <v/>
      </c>
      <c r="R499" t="str">
        <f t="array" ref="R499">IF($A499="","",INDEX(JupData!$A$2:$K$10000,MATCH($A499&amp;R$1,JupData!$A$2:$A$10000&amp;JupData!$J$2:$J$10000,0),11))</f>
        <v/>
      </c>
      <c r="S499" t="str">
        <f t="array" ref="S499">IF($A499="","",INDEX(JupData!$A$2:$K$10000,MATCH($A499&amp;S$1,JupData!$A$2:$A$10000&amp;JupData!$J$2:$J$10000,0),11))</f>
        <v/>
      </c>
      <c r="T499" t="str">
        <f t="array" ref="T499">IF($A499="","",INDEX(JupData!$A$2:$K$10000,MATCH($A499&amp;T$1,JupData!$A$2:$A$10000&amp;JupData!$J$2:$J$10000,0),11))</f>
        <v/>
      </c>
      <c r="U499" t="str">
        <f t="array" ref="U499">IF($A499="","",INDEX(JupData!$A$2:$K$10000,MATCH($A499&amp;U$1,JupData!$A$2:$A$10000&amp;JupData!$J$2:$J$10000,0),11))</f>
        <v/>
      </c>
      <c r="V499" t="str">
        <f t="array" ref="V499">IF($A499="","",INDEX(JupData!$A$2:$K$10000,MATCH($A499&amp;V$1,JupData!$A$2:$A$10000&amp;JupData!$J$2:$J$10000,0),11))</f>
        <v/>
      </c>
      <c r="W499" t="str">
        <f t="array" ref="W499">IF($A499="","",INDEX(JupData!$A$2:$K$10000,MATCH($A499&amp;W$1,JupData!$A$2:$A$10000&amp;JupData!$J$2:$J$10000,0),11))</f>
        <v/>
      </c>
      <c r="X499" t="str">
        <f t="array" ref="X499">IF($A499="","",INDEX(JupData!$A$2:$K$10000,MATCH($A499&amp;X$1,JupData!$A$2:$A$10000&amp;JupData!$J$2:$J$10000,0),11))</f>
        <v/>
      </c>
      <c r="Y499" t="str">
        <f t="array" ref="Y499">IF($A499="","",INDEX(JupData!$A$2:$K$10000,MATCH($A499&amp;Y$1,JupData!$A$2:$A$10000&amp;JupData!$J$2:$J$10000,0),11))</f>
        <v/>
      </c>
      <c r="Z499" t="str">
        <f t="array" ref="Z499">IF($A499="","",INDEX(JupData!$A$2:$K$10000,MATCH($A499&amp;Z$1,JupData!$A$2:$A$10000&amp;JupData!$J$2:$J$10000,0),11))</f>
        <v/>
      </c>
      <c r="AA499" t="str">
        <f t="array" ref="AA499">IF($A499="","",INDEX(JupData!$A$2:$K$10000,MATCH($A499&amp;AA$1,JupData!$A$2:$A$10000&amp;JupData!$J$2:$J$10000,0),11))</f>
        <v/>
      </c>
      <c r="AB499" t="str">
        <f t="array" ref="AB499">IF($A499="","",INDEX(JupData!$A$2:$K$10000,MATCH($A499&amp;AB$1,JupData!$A$2:$A$10000&amp;JupData!$J$2:$J$10000,0),11))</f>
        <v/>
      </c>
      <c r="AC499" s="10" t="str">
        <f t="shared" si="77"/>
        <v/>
      </c>
      <c r="AD499" s="10" t="str">
        <f t="shared" si="78"/>
        <v/>
      </c>
      <c r="AE499" s="9" t="str">
        <f t="shared" si="79"/>
        <v/>
      </c>
      <c r="AF499" s="10" t="str">
        <f t="shared" si="80"/>
        <v/>
      </c>
      <c r="AG499" s="10" t="str">
        <f t="shared" si="81"/>
        <v/>
      </c>
      <c r="AH499" s="10" t="str">
        <f t="shared" si="82"/>
        <v/>
      </c>
      <c r="AI499" s="10" t="str">
        <f t="shared" si="83"/>
        <v/>
      </c>
      <c r="AJ499" s="10" t="str">
        <f t="shared" si="84"/>
        <v/>
      </c>
      <c r="AK499" s="10" t="str">
        <f t="shared" si="85"/>
        <v/>
      </c>
      <c r="AL499" s="14" t="str">
        <f t="shared" si="86"/>
        <v/>
      </c>
    </row>
    <row r="500" spans="1:38" x14ac:dyDescent="0.2">
      <c r="A500"/>
      <c r="B500" t="str">
        <f>IF($A500="","",VLOOKUP($A500,JupData!$A$2:$I$10000,4,FALSE))</f>
        <v/>
      </c>
      <c r="C500" s="7" t="str">
        <f>IF($A500="",IF(N(D500),0,""),VLOOKUP($A500,JupData!$A$2:$I$10000,7,FALSE))</f>
        <v/>
      </c>
      <c r="D500" t="str">
        <f t="shared" si="87"/>
        <v/>
      </c>
      <c r="E500" t="str">
        <f t="array" ref="E500">IF($A500="","",INDEX(JupData!$A$2:$K$10000,MATCH($A500&amp;E$1,JupData!$A$2:$A$10000&amp;JupData!$J$2:$J$10000,0),11))</f>
        <v/>
      </c>
      <c r="F500" t="str">
        <f t="array" ref="F500">IF($A500="","",INDEX(JupData!$A$2:$K$10000,MATCH($A500&amp;F$1,JupData!$A$2:$A$10000&amp;JupData!$J$2:$J$10000,0),11))</f>
        <v/>
      </c>
      <c r="G500" t="str">
        <f t="array" ref="G500">IF($A500="","",INDEX(JupData!$A$2:$K$10000,MATCH($A500&amp;G$1,JupData!$A$2:$A$10000&amp;JupData!$J$2:$J$10000,0),11))</f>
        <v/>
      </c>
      <c r="H500" t="str">
        <f t="array" ref="H500">IF($A500="","",INDEX(JupData!$A$2:$K$10000,MATCH($A500&amp;H$1,JupData!$A$2:$A$10000&amp;JupData!$J$2:$J$10000,0),11))</f>
        <v/>
      </c>
      <c r="I500" t="str">
        <f t="array" ref="I500">IF($A500="","",INDEX(JupData!$A$2:$K$10000,MATCH($A500&amp;I$1,JupData!$A$2:$A$10000&amp;JupData!$J$2:$J$10000,0),11))</f>
        <v/>
      </c>
      <c r="J500" t="str">
        <f t="array" ref="J500">IF($A500="","",INDEX(JupData!$A$2:$K$10000,MATCH($A500&amp;J$1,JupData!$A$2:$A$10000&amp;JupData!$J$2:$J$10000,0),11))</f>
        <v/>
      </c>
      <c r="K500" t="str">
        <f t="array" ref="K500">IF($A500="","",INDEX(JupData!$A$2:$K$10000,MATCH($A500&amp;K$1,JupData!$A$2:$A$10000&amp;JupData!$J$2:$J$10000,0),11))</f>
        <v/>
      </c>
      <c r="L500" t="str">
        <f t="array" ref="L500">IF($A500="","",INDEX(JupData!$A$2:$K$10000,MATCH($A500&amp;L$1,JupData!$A$2:$A$10000&amp;JupData!$J$2:$J$10000,0),11))</f>
        <v/>
      </c>
      <c r="M500" t="str">
        <f t="array" ref="M500">IF($A500="","",INDEX(JupData!$A$2:$K$10000,MATCH($A500&amp;M$1,JupData!$A$2:$A$10000&amp;JupData!$J$2:$J$10000,0),11))</f>
        <v/>
      </c>
      <c r="N500" t="str">
        <f t="array" ref="N500">IF($A500="","",INDEX(JupData!$A$2:$K$10000,MATCH($A500&amp;N$1,JupData!$A$2:$A$10000&amp;JupData!$J$2:$J$10000,0),11))</f>
        <v/>
      </c>
      <c r="O500" t="str">
        <f t="array" ref="O500">IF($A500="","",INDEX(JupData!$A$2:$K$10000,MATCH($A500&amp;O$1,JupData!$A$2:$A$10000&amp;JupData!$J$2:$J$10000,0),11))</f>
        <v/>
      </c>
      <c r="P500" t="str">
        <f t="array" ref="P500">IF($A500="","",INDEX(JupData!$A$2:$K$10000,MATCH($A500&amp;P$1,JupData!$A$2:$A$10000&amp;JupData!$J$2:$J$10000,0),11))</f>
        <v/>
      </c>
      <c r="Q500" t="str">
        <f t="array" ref="Q500">IF($A500="","",INDEX(JupData!$A$2:$K$10000,MATCH($A500&amp;Q$1,JupData!$A$2:$A$10000&amp;JupData!$J$2:$J$10000,0),11))</f>
        <v/>
      </c>
      <c r="R500" t="str">
        <f t="array" ref="R500">IF($A500="","",INDEX(JupData!$A$2:$K$10000,MATCH($A500&amp;R$1,JupData!$A$2:$A$10000&amp;JupData!$J$2:$J$10000,0),11))</f>
        <v/>
      </c>
      <c r="S500" t="str">
        <f t="array" ref="S500">IF($A500="","",INDEX(JupData!$A$2:$K$10000,MATCH($A500&amp;S$1,JupData!$A$2:$A$10000&amp;JupData!$J$2:$J$10000,0),11))</f>
        <v/>
      </c>
      <c r="T500" t="str">
        <f t="array" ref="T500">IF($A500="","",INDEX(JupData!$A$2:$K$10000,MATCH($A500&amp;T$1,JupData!$A$2:$A$10000&amp;JupData!$J$2:$J$10000,0),11))</f>
        <v/>
      </c>
      <c r="U500" t="str">
        <f t="array" ref="U500">IF($A500="","",INDEX(JupData!$A$2:$K$10000,MATCH($A500&amp;U$1,JupData!$A$2:$A$10000&amp;JupData!$J$2:$J$10000,0),11))</f>
        <v/>
      </c>
      <c r="V500" t="str">
        <f t="array" ref="V500">IF($A500="","",INDEX(JupData!$A$2:$K$10000,MATCH($A500&amp;V$1,JupData!$A$2:$A$10000&amp;JupData!$J$2:$J$10000,0),11))</f>
        <v/>
      </c>
      <c r="W500" t="str">
        <f t="array" ref="W500">IF($A500="","",INDEX(JupData!$A$2:$K$10000,MATCH($A500&amp;W$1,JupData!$A$2:$A$10000&amp;JupData!$J$2:$J$10000,0),11))</f>
        <v/>
      </c>
      <c r="X500" t="str">
        <f t="array" ref="X500">IF($A500="","",INDEX(JupData!$A$2:$K$10000,MATCH($A500&amp;X$1,JupData!$A$2:$A$10000&amp;JupData!$J$2:$J$10000,0),11))</f>
        <v/>
      </c>
      <c r="Y500" t="str">
        <f t="array" ref="Y500">IF($A500="","",INDEX(JupData!$A$2:$K$10000,MATCH($A500&amp;Y$1,JupData!$A$2:$A$10000&amp;JupData!$J$2:$J$10000,0),11))</f>
        <v/>
      </c>
      <c r="Z500" t="str">
        <f t="array" ref="Z500">IF($A500="","",INDEX(JupData!$A$2:$K$10000,MATCH($A500&amp;Z$1,JupData!$A$2:$A$10000&amp;JupData!$J$2:$J$10000,0),11))</f>
        <v/>
      </c>
      <c r="AA500" t="str">
        <f t="array" ref="AA500">IF($A500="","",INDEX(JupData!$A$2:$K$10000,MATCH($A500&amp;AA$1,JupData!$A$2:$A$10000&amp;JupData!$J$2:$J$10000,0),11))</f>
        <v/>
      </c>
      <c r="AB500" t="str">
        <f t="array" ref="AB500">IF($A500="","",INDEX(JupData!$A$2:$K$10000,MATCH($A500&amp;AB$1,JupData!$A$2:$A$10000&amp;JupData!$J$2:$J$10000,0),11))</f>
        <v/>
      </c>
      <c r="AC500" s="10" t="str">
        <f t="shared" si="77"/>
        <v/>
      </c>
      <c r="AD500" s="10" t="str">
        <f t="shared" si="78"/>
        <v/>
      </c>
      <c r="AE500" s="9" t="str">
        <f t="shared" si="79"/>
        <v/>
      </c>
      <c r="AF500" s="10" t="str">
        <f t="shared" si="80"/>
        <v/>
      </c>
      <c r="AG500" s="10" t="str">
        <f t="shared" si="81"/>
        <v/>
      </c>
      <c r="AH500" s="10" t="str">
        <f t="shared" si="82"/>
        <v/>
      </c>
      <c r="AI500" s="10" t="str">
        <f t="shared" si="83"/>
        <v/>
      </c>
      <c r="AJ500" s="10" t="str">
        <f t="shared" si="84"/>
        <v/>
      </c>
      <c r="AK500" s="10" t="str">
        <f t="shared" si="85"/>
        <v/>
      </c>
      <c r="AL500" s="14" t="str">
        <f t="shared" si="86"/>
        <v/>
      </c>
    </row>
    <row r="501" spans="1:38" x14ac:dyDescent="0.2">
      <c r="A501"/>
      <c r="B501" t="str">
        <f>IF($A501="","",VLOOKUP($A501,JupData!$A$2:$I$10000,4,FALSE))</f>
        <v/>
      </c>
      <c r="C501" s="7" t="str">
        <f>IF($A501="",IF(N(D501),0,""),VLOOKUP($A501,JupData!$A$2:$I$10000,7,FALSE))</f>
        <v/>
      </c>
      <c r="D501" t="str">
        <f t="shared" si="87"/>
        <v/>
      </c>
      <c r="E501" t="str">
        <f t="array" ref="E501">IF($A501="","",INDEX(JupData!$A$2:$K$10000,MATCH($A501&amp;E$1,JupData!$A$2:$A$10000&amp;JupData!$J$2:$J$10000,0),11))</f>
        <v/>
      </c>
      <c r="F501" t="str">
        <f t="array" ref="F501">IF($A501="","",INDEX(JupData!$A$2:$K$10000,MATCH($A501&amp;F$1,JupData!$A$2:$A$10000&amp;JupData!$J$2:$J$10000,0),11))</f>
        <v/>
      </c>
      <c r="G501" t="str">
        <f t="array" ref="G501">IF($A501="","",INDEX(JupData!$A$2:$K$10000,MATCH($A501&amp;G$1,JupData!$A$2:$A$10000&amp;JupData!$J$2:$J$10000,0),11))</f>
        <v/>
      </c>
      <c r="H501" t="str">
        <f t="array" ref="H501">IF($A501="","",INDEX(JupData!$A$2:$K$10000,MATCH($A501&amp;H$1,JupData!$A$2:$A$10000&amp;JupData!$J$2:$J$10000,0),11))</f>
        <v/>
      </c>
      <c r="I501" t="str">
        <f t="array" ref="I501">IF($A501="","",INDEX(JupData!$A$2:$K$10000,MATCH($A501&amp;I$1,JupData!$A$2:$A$10000&amp;JupData!$J$2:$J$10000,0),11))</f>
        <v/>
      </c>
      <c r="J501" t="str">
        <f t="array" ref="J501">IF($A501="","",INDEX(JupData!$A$2:$K$10000,MATCH($A501&amp;J$1,JupData!$A$2:$A$10000&amp;JupData!$J$2:$J$10000,0),11))</f>
        <v/>
      </c>
      <c r="K501" t="str">
        <f t="array" ref="K501">IF($A501="","",INDEX(JupData!$A$2:$K$10000,MATCH($A501&amp;K$1,JupData!$A$2:$A$10000&amp;JupData!$J$2:$J$10000,0),11))</f>
        <v/>
      </c>
      <c r="L501" t="str">
        <f t="array" ref="L501">IF($A501="","",INDEX(JupData!$A$2:$K$10000,MATCH($A501&amp;L$1,JupData!$A$2:$A$10000&amp;JupData!$J$2:$J$10000,0),11))</f>
        <v/>
      </c>
      <c r="M501" t="str">
        <f t="array" ref="M501">IF($A501="","",INDEX(JupData!$A$2:$K$10000,MATCH($A501&amp;M$1,JupData!$A$2:$A$10000&amp;JupData!$J$2:$J$10000,0),11))</f>
        <v/>
      </c>
      <c r="N501" t="str">
        <f t="array" ref="N501">IF($A501="","",INDEX(JupData!$A$2:$K$10000,MATCH($A501&amp;N$1,JupData!$A$2:$A$10000&amp;JupData!$J$2:$J$10000,0),11))</f>
        <v/>
      </c>
      <c r="O501" t="str">
        <f t="array" ref="O501">IF($A501="","",INDEX(JupData!$A$2:$K$10000,MATCH($A501&amp;O$1,JupData!$A$2:$A$10000&amp;JupData!$J$2:$J$10000,0),11))</f>
        <v/>
      </c>
      <c r="P501" t="str">
        <f t="array" ref="P501">IF($A501="","",INDEX(JupData!$A$2:$K$10000,MATCH($A501&amp;P$1,JupData!$A$2:$A$10000&amp;JupData!$J$2:$J$10000,0),11))</f>
        <v/>
      </c>
      <c r="Q501" t="str">
        <f t="array" ref="Q501">IF($A501="","",INDEX(JupData!$A$2:$K$10000,MATCH($A501&amp;Q$1,JupData!$A$2:$A$10000&amp;JupData!$J$2:$J$10000,0),11))</f>
        <v/>
      </c>
      <c r="R501" t="str">
        <f t="array" ref="R501">IF($A501="","",INDEX(JupData!$A$2:$K$10000,MATCH($A501&amp;R$1,JupData!$A$2:$A$10000&amp;JupData!$J$2:$J$10000,0),11))</f>
        <v/>
      </c>
      <c r="S501" t="str">
        <f t="array" ref="S501">IF($A501="","",INDEX(JupData!$A$2:$K$10000,MATCH($A501&amp;S$1,JupData!$A$2:$A$10000&amp;JupData!$J$2:$J$10000,0),11))</f>
        <v/>
      </c>
      <c r="T501" t="str">
        <f t="array" ref="T501">IF($A501="","",INDEX(JupData!$A$2:$K$10000,MATCH($A501&amp;T$1,JupData!$A$2:$A$10000&amp;JupData!$J$2:$J$10000,0),11))</f>
        <v/>
      </c>
      <c r="U501" t="str">
        <f t="array" ref="U501">IF($A501="","",INDEX(JupData!$A$2:$K$10000,MATCH($A501&amp;U$1,JupData!$A$2:$A$10000&amp;JupData!$J$2:$J$10000,0),11))</f>
        <v/>
      </c>
      <c r="V501" t="str">
        <f t="array" ref="V501">IF($A501="","",INDEX(JupData!$A$2:$K$10000,MATCH($A501&amp;V$1,JupData!$A$2:$A$10000&amp;JupData!$J$2:$J$10000,0),11))</f>
        <v/>
      </c>
      <c r="W501" t="str">
        <f t="array" ref="W501">IF($A501="","",INDEX(JupData!$A$2:$K$10000,MATCH($A501&amp;W$1,JupData!$A$2:$A$10000&amp;JupData!$J$2:$J$10000,0),11))</f>
        <v/>
      </c>
      <c r="X501" t="str">
        <f t="array" ref="X501">IF($A501="","",INDEX(JupData!$A$2:$K$10000,MATCH($A501&amp;X$1,JupData!$A$2:$A$10000&amp;JupData!$J$2:$J$10000,0),11))</f>
        <v/>
      </c>
      <c r="Y501" t="str">
        <f t="array" ref="Y501">IF($A501="","",INDEX(JupData!$A$2:$K$10000,MATCH($A501&amp;Y$1,JupData!$A$2:$A$10000&amp;JupData!$J$2:$J$10000,0),11))</f>
        <v/>
      </c>
      <c r="Z501" t="str">
        <f t="array" ref="Z501">IF($A501="","",INDEX(JupData!$A$2:$K$10000,MATCH($A501&amp;Z$1,JupData!$A$2:$A$10000&amp;JupData!$J$2:$J$10000,0),11))</f>
        <v/>
      </c>
      <c r="AA501" t="str">
        <f t="array" ref="AA501">IF($A501="","",INDEX(JupData!$A$2:$K$10000,MATCH($A501&amp;AA$1,JupData!$A$2:$A$10000&amp;JupData!$J$2:$J$10000,0),11))</f>
        <v/>
      </c>
      <c r="AB501" t="str">
        <f t="array" ref="AB501">IF($A501="","",INDEX(JupData!$A$2:$K$10000,MATCH($A501&amp;AB$1,JupData!$A$2:$A$10000&amp;JupData!$J$2:$J$10000,0),11))</f>
        <v/>
      </c>
      <c r="AC501" s="10" t="str">
        <f t="shared" si="77"/>
        <v/>
      </c>
      <c r="AD501" s="10" t="str">
        <f t="shared" si="78"/>
        <v/>
      </c>
      <c r="AE501" s="9" t="str">
        <f t="shared" si="79"/>
        <v/>
      </c>
      <c r="AF501" s="10" t="str">
        <f t="shared" si="80"/>
        <v/>
      </c>
      <c r="AG501" s="10" t="str">
        <f t="shared" si="81"/>
        <v/>
      </c>
      <c r="AH501" s="10" t="str">
        <f t="shared" si="82"/>
        <v/>
      </c>
      <c r="AI501" s="10" t="str">
        <f t="shared" si="83"/>
        <v/>
      </c>
      <c r="AJ501" s="10" t="str">
        <f t="shared" si="84"/>
        <v/>
      </c>
      <c r="AK501" s="10" t="str">
        <f t="shared" si="85"/>
        <v/>
      </c>
      <c r="AL501" s="14" t="str">
        <f t="shared" si="86"/>
        <v/>
      </c>
    </row>
    <row r="502" spans="1:38" x14ac:dyDescent="0.2">
      <c r="A502"/>
      <c r="B502" t="str">
        <f>IF($A502="","",VLOOKUP($A502,JupData!$A$2:$I$10000,4,FALSE))</f>
        <v/>
      </c>
      <c r="C502" s="7" t="str">
        <f>IF($A502="",IF(N(D502),0,""),VLOOKUP($A502,JupData!$A$2:$I$10000,7,FALSE))</f>
        <v/>
      </c>
      <c r="D502" t="str">
        <f t="shared" si="87"/>
        <v/>
      </c>
      <c r="E502" t="str">
        <f t="array" ref="E502">IF($A502="","",INDEX(JupData!$A$2:$K$10000,MATCH($A502&amp;E$1,JupData!$A$2:$A$10000&amp;JupData!$J$2:$J$10000,0),11))</f>
        <v/>
      </c>
      <c r="F502" t="str">
        <f t="array" ref="F502">IF($A502="","",INDEX(JupData!$A$2:$K$10000,MATCH($A502&amp;F$1,JupData!$A$2:$A$10000&amp;JupData!$J$2:$J$10000,0),11))</f>
        <v/>
      </c>
      <c r="G502" t="str">
        <f t="array" ref="G502">IF($A502="","",INDEX(JupData!$A$2:$K$10000,MATCH($A502&amp;G$1,JupData!$A$2:$A$10000&amp;JupData!$J$2:$J$10000,0),11))</f>
        <v/>
      </c>
      <c r="H502" t="str">
        <f t="array" ref="H502">IF($A502="","",INDEX(JupData!$A$2:$K$10000,MATCH($A502&amp;H$1,JupData!$A$2:$A$10000&amp;JupData!$J$2:$J$10000,0),11))</f>
        <v/>
      </c>
      <c r="I502" t="str">
        <f t="array" ref="I502">IF($A502="","",INDEX(JupData!$A$2:$K$10000,MATCH($A502&amp;I$1,JupData!$A$2:$A$10000&amp;JupData!$J$2:$J$10000,0),11))</f>
        <v/>
      </c>
      <c r="J502" t="str">
        <f t="array" ref="J502">IF($A502="","",INDEX(JupData!$A$2:$K$10000,MATCH($A502&amp;J$1,JupData!$A$2:$A$10000&amp;JupData!$J$2:$J$10000,0),11))</f>
        <v/>
      </c>
      <c r="K502" t="str">
        <f t="array" ref="K502">IF($A502="","",INDEX(JupData!$A$2:$K$10000,MATCH($A502&amp;K$1,JupData!$A$2:$A$10000&amp;JupData!$J$2:$J$10000,0),11))</f>
        <v/>
      </c>
      <c r="L502" t="str">
        <f t="array" ref="L502">IF($A502="","",INDEX(JupData!$A$2:$K$10000,MATCH($A502&amp;L$1,JupData!$A$2:$A$10000&amp;JupData!$J$2:$J$10000,0),11))</f>
        <v/>
      </c>
      <c r="M502" t="str">
        <f t="array" ref="M502">IF($A502="","",INDEX(JupData!$A$2:$K$10000,MATCH($A502&amp;M$1,JupData!$A$2:$A$10000&amp;JupData!$J$2:$J$10000,0),11))</f>
        <v/>
      </c>
      <c r="N502" t="str">
        <f t="array" ref="N502">IF($A502="","",INDEX(JupData!$A$2:$K$10000,MATCH($A502&amp;N$1,JupData!$A$2:$A$10000&amp;JupData!$J$2:$J$10000,0),11))</f>
        <v/>
      </c>
      <c r="O502" t="str">
        <f t="array" ref="O502">IF($A502="","",INDEX(JupData!$A$2:$K$10000,MATCH($A502&amp;O$1,JupData!$A$2:$A$10000&amp;JupData!$J$2:$J$10000,0),11))</f>
        <v/>
      </c>
      <c r="P502" t="str">
        <f t="array" ref="P502">IF($A502="","",INDEX(JupData!$A$2:$K$10000,MATCH($A502&amp;P$1,JupData!$A$2:$A$10000&amp;JupData!$J$2:$J$10000,0),11))</f>
        <v/>
      </c>
      <c r="Q502" t="str">
        <f t="array" ref="Q502">IF($A502="","",INDEX(JupData!$A$2:$K$10000,MATCH($A502&amp;Q$1,JupData!$A$2:$A$10000&amp;JupData!$J$2:$J$10000,0),11))</f>
        <v/>
      </c>
      <c r="R502" t="str">
        <f t="array" ref="R502">IF($A502="","",INDEX(JupData!$A$2:$K$10000,MATCH($A502&amp;R$1,JupData!$A$2:$A$10000&amp;JupData!$J$2:$J$10000,0),11))</f>
        <v/>
      </c>
      <c r="S502" t="str">
        <f t="array" ref="S502">IF($A502="","",INDEX(JupData!$A$2:$K$10000,MATCH($A502&amp;S$1,JupData!$A$2:$A$10000&amp;JupData!$J$2:$J$10000,0),11))</f>
        <v/>
      </c>
      <c r="T502" t="str">
        <f t="array" ref="T502">IF($A502="","",INDEX(JupData!$A$2:$K$10000,MATCH($A502&amp;T$1,JupData!$A$2:$A$10000&amp;JupData!$J$2:$J$10000,0),11))</f>
        <v/>
      </c>
      <c r="U502" t="str">
        <f t="array" ref="U502">IF($A502="","",INDEX(JupData!$A$2:$K$10000,MATCH($A502&amp;U$1,JupData!$A$2:$A$10000&amp;JupData!$J$2:$J$10000,0),11))</f>
        <v/>
      </c>
      <c r="V502" t="str">
        <f t="array" ref="V502">IF($A502="","",INDEX(JupData!$A$2:$K$10000,MATCH($A502&amp;V$1,JupData!$A$2:$A$10000&amp;JupData!$J$2:$J$10000,0),11))</f>
        <v/>
      </c>
      <c r="W502" t="str">
        <f t="array" ref="W502">IF($A502="","",INDEX(JupData!$A$2:$K$10000,MATCH($A502&amp;W$1,JupData!$A$2:$A$10000&amp;JupData!$J$2:$J$10000,0),11))</f>
        <v/>
      </c>
      <c r="X502" t="str">
        <f t="array" ref="X502">IF($A502="","",INDEX(JupData!$A$2:$K$10000,MATCH($A502&amp;X$1,JupData!$A$2:$A$10000&amp;JupData!$J$2:$J$10000,0),11))</f>
        <v/>
      </c>
      <c r="Y502" t="str">
        <f t="array" ref="Y502">IF($A502="","",INDEX(JupData!$A$2:$K$10000,MATCH($A502&amp;Y$1,JupData!$A$2:$A$10000&amp;JupData!$J$2:$J$10000,0),11))</f>
        <v/>
      </c>
      <c r="Z502" t="str">
        <f t="array" ref="Z502">IF($A502="","",INDEX(JupData!$A$2:$K$10000,MATCH($A502&amp;Z$1,JupData!$A$2:$A$10000&amp;JupData!$J$2:$J$10000,0),11))</f>
        <v/>
      </c>
      <c r="AA502" t="str">
        <f t="array" ref="AA502">IF($A502="","",INDEX(JupData!$A$2:$K$10000,MATCH($A502&amp;AA$1,JupData!$A$2:$A$10000&amp;JupData!$J$2:$J$10000,0),11))</f>
        <v/>
      </c>
      <c r="AB502" t="str">
        <f t="array" ref="AB502">IF($A502="","",INDEX(JupData!$A$2:$K$10000,MATCH($A502&amp;AB$1,JupData!$A$2:$A$10000&amp;JupData!$J$2:$J$10000,0),11))</f>
        <v/>
      </c>
      <c r="AC502" s="10" t="str">
        <f t="shared" si="77"/>
        <v/>
      </c>
      <c r="AD502" s="10" t="str">
        <f t="shared" si="78"/>
        <v/>
      </c>
      <c r="AE502" s="9" t="str">
        <f t="shared" si="79"/>
        <v/>
      </c>
      <c r="AF502" s="10" t="str">
        <f t="shared" si="80"/>
        <v/>
      </c>
      <c r="AG502" s="10" t="str">
        <f t="shared" si="81"/>
        <v/>
      </c>
      <c r="AH502" s="10" t="str">
        <f t="shared" si="82"/>
        <v/>
      </c>
      <c r="AI502" s="10" t="str">
        <f t="shared" si="83"/>
        <v/>
      </c>
      <c r="AJ502" s="10" t="str">
        <f t="shared" si="84"/>
        <v/>
      </c>
      <c r="AK502" s="10" t="str">
        <f t="shared" si="85"/>
        <v/>
      </c>
      <c r="AL502" s="14" t="str">
        <f t="shared" si="86"/>
        <v/>
      </c>
    </row>
    <row r="503" spans="1:38" x14ac:dyDescent="0.2">
      <c r="A503"/>
      <c r="B503" t="str">
        <f>IF($A503="","",VLOOKUP($A503,JupData!$A$2:$I$10000,4,FALSE))</f>
        <v/>
      </c>
      <c r="C503" s="7" t="str">
        <f>IF($A503="",IF(N(D503),0,""),VLOOKUP($A503,JupData!$A$2:$I$10000,7,FALSE))</f>
        <v/>
      </c>
      <c r="D503" t="str">
        <f t="shared" si="87"/>
        <v/>
      </c>
      <c r="E503" t="str">
        <f t="array" ref="E503">IF($A503="","",INDEX(JupData!$A$2:$K$10000,MATCH($A503&amp;E$1,JupData!$A$2:$A$10000&amp;JupData!$J$2:$J$10000,0),11))</f>
        <v/>
      </c>
      <c r="F503" t="str">
        <f t="array" ref="F503">IF($A503="","",INDEX(JupData!$A$2:$K$10000,MATCH($A503&amp;F$1,JupData!$A$2:$A$10000&amp;JupData!$J$2:$J$10000,0),11))</f>
        <v/>
      </c>
      <c r="G503" t="str">
        <f t="array" ref="G503">IF($A503="","",INDEX(JupData!$A$2:$K$10000,MATCH($A503&amp;G$1,JupData!$A$2:$A$10000&amp;JupData!$J$2:$J$10000,0),11))</f>
        <v/>
      </c>
      <c r="H503" t="str">
        <f t="array" ref="H503">IF($A503="","",INDEX(JupData!$A$2:$K$10000,MATCH($A503&amp;H$1,JupData!$A$2:$A$10000&amp;JupData!$J$2:$J$10000,0),11))</f>
        <v/>
      </c>
      <c r="I503" t="str">
        <f t="array" ref="I503">IF($A503="","",INDEX(JupData!$A$2:$K$10000,MATCH($A503&amp;I$1,JupData!$A$2:$A$10000&amp;JupData!$J$2:$J$10000,0),11))</f>
        <v/>
      </c>
      <c r="J503" t="str">
        <f t="array" ref="J503">IF($A503="","",INDEX(JupData!$A$2:$K$10000,MATCH($A503&amp;J$1,JupData!$A$2:$A$10000&amp;JupData!$J$2:$J$10000,0),11))</f>
        <v/>
      </c>
      <c r="K503" t="str">
        <f t="array" ref="K503">IF($A503="","",INDEX(JupData!$A$2:$K$10000,MATCH($A503&amp;K$1,JupData!$A$2:$A$10000&amp;JupData!$J$2:$J$10000,0),11))</f>
        <v/>
      </c>
      <c r="L503" t="str">
        <f t="array" ref="L503">IF($A503="","",INDEX(JupData!$A$2:$K$10000,MATCH($A503&amp;L$1,JupData!$A$2:$A$10000&amp;JupData!$J$2:$J$10000,0),11))</f>
        <v/>
      </c>
      <c r="M503" t="str">
        <f t="array" ref="M503">IF($A503="","",INDEX(JupData!$A$2:$K$10000,MATCH($A503&amp;M$1,JupData!$A$2:$A$10000&amp;JupData!$J$2:$J$10000,0),11))</f>
        <v/>
      </c>
      <c r="N503" t="str">
        <f t="array" ref="N503">IF($A503="","",INDEX(JupData!$A$2:$K$10000,MATCH($A503&amp;N$1,JupData!$A$2:$A$10000&amp;JupData!$J$2:$J$10000,0),11))</f>
        <v/>
      </c>
      <c r="O503" t="str">
        <f t="array" ref="O503">IF($A503="","",INDEX(JupData!$A$2:$K$10000,MATCH($A503&amp;O$1,JupData!$A$2:$A$10000&amp;JupData!$J$2:$J$10000,0),11))</f>
        <v/>
      </c>
      <c r="P503" t="str">
        <f t="array" ref="P503">IF($A503="","",INDEX(JupData!$A$2:$K$10000,MATCH($A503&amp;P$1,JupData!$A$2:$A$10000&amp;JupData!$J$2:$J$10000,0),11))</f>
        <v/>
      </c>
      <c r="Q503" t="str">
        <f t="array" ref="Q503">IF($A503="","",INDEX(JupData!$A$2:$K$10000,MATCH($A503&amp;Q$1,JupData!$A$2:$A$10000&amp;JupData!$J$2:$J$10000,0),11))</f>
        <v/>
      </c>
      <c r="R503" t="str">
        <f t="array" ref="R503">IF($A503="","",INDEX(JupData!$A$2:$K$10000,MATCH($A503&amp;R$1,JupData!$A$2:$A$10000&amp;JupData!$J$2:$J$10000,0),11))</f>
        <v/>
      </c>
      <c r="S503" t="str">
        <f t="array" ref="S503">IF($A503="","",INDEX(JupData!$A$2:$K$10000,MATCH($A503&amp;S$1,JupData!$A$2:$A$10000&amp;JupData!$J$2:$J$10000,0),11))</f>
        <v/>
      </c>
      <c r="T503" t="str">
        <f t="array" ref="T503">IF($A503="","",INDEX(JupData!$A$2:$K$10000,MATCH($A503&amp;T$1,JupData!$A$2:$A$10000&amp;JupData!$J$2:$J$10000,0),11))</f>
        <v/>
      </c>
      <c r="U503" t="str">
        <f t="array" ref="U503">IF($A503="","",INDEX(JupData!$A$2:$K$10000,MATCH($A503&amp;U$1,JupData!$A$2:$A$10000&amp;JupData!$J$2:$J$10000,0),11))</f>
        <v/>
      </c>
      <c r="V503" t="str">
        <f t="array" ref="V503">IF($A503="","",INDEX(JupData!$A$2:$K$10000,MATCH($A503&amp;V$1,JupData!$A$2:$A$10000&amp;JupData!$J$2:$J$10000,0),11))</f>
        <v/>
      </c>
      <c r="W503" t="str">
        <f t="array" ref="W503">IF($A503="","",INDEX(JupData!$A$2:$K$10000,MATCH($A503&amp;W$1,JupData!$A$2:$A$10000&amp;JupData!$J$2:$J$10000,0),11))</f>
        <v/>
      </c>
      <c r="X503" t="str">
        <f t="array" ref="X503">IF($A503="","",INDEX(JupData!$A$2:$K$10000,MATCH($A503&amp;X$1,JupData!$A$2:$A$10000&amp;JupData!$J$2:$J$10000,0),11))</f>
        <v/>
      </c>
      <c r="Y503" t="str">
        <f t="array" ref="Y503">IF($A503="","",INDEX(JupData!$A$2:$K$10000,MATCH($A503&amp;Y$1,JupData!$A$2:$A$10000&amp;JupData!$J$2:$J$10000,0),11))</f>
        <v/>
      </c>
      <c r="Z503" t="str">
        <f t="array" ref="Z503">IF($A503="","",INDEX(JupData!$A$2:$K$10000,MATCH($A503&amp;Z$1,JupData!$A$2:$A$10000&amp;JupData!$J$2:$J$10000,0),11))</f>
        <v/>
      </c>
      <c r="AA503" t="str">
        <f t="array" ref="AA503">IF($A503="","",INDEX(JupData!$A$2:$K$10000,MATCH($A503&amp;AA$1,JupData!$A$2:$A$10000&amp;JupData!$J$2:$J$10000,0),11))</f>
        <v/>
      </c>
      <c r="AB503" t="str">
        <f t="array" ref="AB503">IF($A503="","",INDEX(JupData!$A$2:$K$10000,MATCH($A503&amp;AB$1,JupData!$A$2:$A$10000&amp;JupData!$J$2:$J$10000,0),11))</f>
        <v/>
      </c>
      <c r="AC503" s="10" t="str">
        <f t="shared" si="77"/>
        <v/>
      </c>
      <c r="AD503" s="10" t="str">
        <f t="shared" si="78"/>
        <v/>
      </c>
      <c r="AE503" s="9" t="str">
        <f t="shared" si="79"/>
        <v/>
      </c>
      <c r="AF503" s="10" t="str">
        <f t="shared" si="80"/>
        <v/>
      </c>
      <c r="AG503" s="10" t="str">
        <f t="shared" si="81"/>
        <v/>
      </c>
      <c r="AH503" s="10" t="str">
        <f t="shared" si="82"/>
        <v/>
      </c>
      <c r="AI503" s="10" t="str">
        <f t="shared" si="83"/>
        <v/>
      </c>
      <c r="AJ503" s="10" t="str">
        <f t="shared" si="84"/>
        <v/>
      </c>
      <c r="AK503" s="10" t="str">
        <f t="shared" si="85"/>
        <v/>
      </c>
      <c r="AL503" s="14" t="str">
        <f t="shared" si="86"/>
        <v/>
      </c>
    </row>
    <row r="504" spans="1:38" x14ac:dyDescent="0.2">
      <c r="A504"/>
      <c r="B504" t="str">
        <f>IF($A504="","",VLOOKUP($A504,JupData!$A$2:$I$10000,4,FALSE))</f>
        <v/>
      </c>
      <c r="C504" s="7" t="str">
        <f>IF($A504="",IF(N(D504),0,""),VLOOKUP($A504,JupData!$A$2:$I$10000,7,FALSE))</f>
        <v/>
      </c>
      <c r="D504" t="str">
        <f t="shared" si="87"/>
        <v/>
      </c>
      <c r="E504" t="str">
        <f t="array" ref="E504">IF($A504="","",INDEX(JupData!$A$2:$K$10000,MATCH($A504&amp;E$1,JupData!$A$2:$A$10000&amp;JupData!$J$2:$J$10000,0),11))</f>
        <v/>
      </c>
      <c r="F504" t="str">
        <f t="array" ref="F504">IF($A504="","",INDEX(JupData!$A$2:$K$10000,MATCH($A504&amp;F$1,JupData!$A$2:$A$10000&amp;JupData!$J$2:$J$10000,0),11))</f>
        <v/>
      </c>
      <c r="G504" t="str">
        <f t="array" ref="G504">IF($A504="","",INDEX(JupData!$A$2:$K$10000,MATCH($A504&amp;G$1,JupData!$A$2:$A$10000&amp;JupData!$J$2:$J$10000,0),11))</f>
        <v/>
      </c>
      <c r="H504" t="str">
        <f t="array" ref="H504">IF($A504="","",INDEX(JupData!$A$2:$K$10000,MATCH($A504&amp;H$1,JupData!$A$2:$A$10000&amp;JupData!$J$2:$J$10000,0),11))</f>
        <v/>
      </c>
      <c r="I504" t="str">
        <f t="array" ref="I504">IF($A504="","",INDEX(JupData!$A$2:$K$10000,MATCH($A504&amp;I$1,JupData!$A$2:$A$10000&amp;JupData!$J$2:$J$10000,0),11))</f>
        <v/>
      </c>
      <c r="J504" t="str">
        <f t="array" ref="J504">IF($A504="","",INDEX(JupData!$A$2:$K$10000,MATCH($A504&amp;J$1,JupData!$A$2:$A$10000&amp;JupData!$J$2:$J$10000,0),11))</f>
        <v/>
      </c>
      <c r="K504" t="str">
        <f t="array" ref="K504">IF($A504="","",INDEX(JupData!$A$2:$K$10000,MATCH($A504&amp;K$1,JupData!$A$2:$A$10000&amp;JupData!$J$2:$J$10000,0),11))</f>
        <v/>
      </c>
      <c r="L504" t="str">
        <f t="array" ref="L504">IF($A504="","",INDEX(JupData!$A$2:$K$10000,MATCH($A504&amp;L$1,JupData!$A$2:$A$10000&amp;JupData!$J$2:$J$10000,0),11))</f>
        <v/>
      </c>
      <c r="M504" t="str">
        <f t="array" ref="M504">IF($A504="","",INDEX(JupData!$A$2:$K$10000,MATCH($A504&amp;M$1,JupData!$A$2:$A$10000&amp;JupData!$J$2:$J$10000,0),11))</f>
        <v/>
      </c>
      <c r="N504" t="str">
        <f t="array" ref="N504">IF($A504="","",INDEX(JupData!$A$2:$K$10000,MATCH($A504&amp;N$1,JupData!$A$2:$A$10000&amp;JupData!$J$2:$J$10000,0),11))</f>
        <v/>
      </c>
      <c r="O504" t="str">
        <f t="array" ref="O504">IF($A504="","",INDEX(JupData!$A$2:$K$10000,MATCH($A504&amp;O$1,JupData!$A$2:$A$10000&amp;JupData!$J$2:$J$10000,0),11))</f>
        <v/>
      </c>
      <c r="P504" t="str">
        <f t="array" ref="P504">IF($A504="","",INDEX(JupData!$A$2:$K$10000,MATCH($A504&amp;P$1,JupData!$A$2:$A$10000&amp;JupData!$J$2:$J$10000,0),11))</f>
        <v/>
      </c>
      <c r="Q504" t="str">
        <f t="array" ref="Q504">IF($A504="","",INDEX(JupData!$A$2:$K$10000,MATCH($A504&amp;Q$1,JupData!$A$2:$A$10000&amp;JupData!$J$2:$J$10000,0),11))</f>
        <v/>
      </c>
      <c r="R504" t="str">
        <f t="array" ref="R504">IF($A504="","",INDEX(JupData!$A$2:$K$10000,MATCH($A504&amp;R$1,JupData!$A$2:$A$10000&amp;JupData!$J$2:$J$10000,0),11))</f>
        <v/>
      </c>
      <c r="S504" t="str">
        <f t="array" ref="S504">IF($A504="","",INDEX(JupData!$A$2:$K$10000,MATCH($A504&amp;S$1,JupData!$A$2:$A$10000&amp;JupData!$J$2:$J$10000,0),11))</f>
        <v/>
      </c>
      <c r="T504" t="str">
        <f t="array" ref="T504">IF($A504="","",INDEX(JupData!$A$2:$K$10000,MATCH($A504&amp;T$1,JupData!$A$2:$A$10000&amp;JupData!$J$2:$J$10000,0),11))</f>
        <v/>
      </c>
      <c r="U504" t="str">
        <f t="array" ref="U504">IF($A504="","",INDEX(JupData!$A$2:$K$10000,MATCH($A504&amp;U$1,JupData!$A$2:$A$10000&amp;JupData!$J$2:$J$10000,0),11))</f>
        <v/>
      </c>
      <c r="V504" t="str">
        <f t="array" ref="V504">IF($A504="","",INDEX(JupData!$A$2:$K$10000,MATCH($A504&amp;V$1,JupData!$A$2:$A$10000&amp;JupData!$J$2:$J$10000,0),11))</f>
        <v/>
      </c>
      <c r="W504" t="str">
        <f t="array" ref="W504">IF($A504="","",INDEX(JupData!$A$2:$K$10000,MATCH($A504&amp;W$1,JupData!$A$2:$A$10000&amp;JupData!$J$2:$J$10000,0),11))</f>
        <v/>
      </c>
      <c r="X504" t="str">
        <f t="array" ref="X504">IF($A504="","",INDEX(JupData!$A$2:$K$10000,MATCH($A504&amp;X$1,JupData!$A$2:$A$10000&amp;JupData!$J$2:$J$10000,0),11))</f>
        <v/>
      </c>
      <c r="Y504" t="str">
        <f t="array" ref="Y504">IF($A504="","",INDEX(JupData!$A$2:$K$10000,MATCH($A504&amp;Y$1,JupData!$A$2:$A$10000&amp;JupData!$J$2:$J$10000,0),11))</f>
        <v/>
      </c>
      <c r="Z504" t="str">
        <f t="array" ref="Z504">IF($A504="","",INDEX(JupData!$A$2:$K$10000,MATCH($A504&amp;Z$1,JupData!$A$2:$A$10000&amp;JupData!$J$2:$J$10000,0),11))</f>
        <v/>
      </c>
      <c r="AA504" t="str">
        <f t="array" ref="AA504">IF($A504="","",INDEX(JupData!$A$2:$K$10000,MATCH($A504&amp;AA$1,JupData!$A$2:$A$10000&amp;JupData!$J$2:$J$10000,0),11))</f>
        <v/>
      </c>
      <c r="AB504" t="str">
        <f t="array" ref="AB504">IF($A504="","",INDEX(JupData!$A$2:$K$10000,MATCH($A504&amp;AB$1,JupData!$A$2:$A$10000&amp;JupData!$J$2:$J$10000,0),11))</f>
        <v/>
      </c>
      <c r="AC504" s="10" t="str">
        <f t="shared" si="77"/>
        <v/>
      </c>
      <c r="AD504" s="10" t="str">
        <f t="shared" si="78"/>
        <v/>
      </c>
      <c r="AE504" s="9" t="str">
        <f t="shared" si="79"/>
        <v/>
      </c>
      <c r="AF504" s="10" t="str">
        <f t="shared" si="80"/>
        <v/>
      </c>
      <c r="AG504" s="10" t="str">
        <f t="shared" si="81"/>
        <v/>
      </c>
      <c r="AH504" s="10" t="str">
        <f t="shared" si="82"/>
        <v/>
      </c>
      <c r="AI504" s="10" t="str">
        <f t="shared" si="83"/>
        <v/>
      </c>
      <c r="AJ504" s="10" t="str">
        <f t="shared" si="84"/>
        <v/>
      </c>
      <c r="AK504" s="10" t="str">
        <f t="shared" si="85"/>
        <v/>
      </c>
      <c r="AL504" s="14" t="str">
        <f t="shared" si="86"/>
        <v/>
      </c>
    </row>
    <row r="505" spans="1:38" x14ac:dyDescent="0.2">
      <c r="A505"/>
      <c r="B505" t="str">
        <f>IF($A505="","",VLOOKUP($A505,JupData!$A$2:$I$10000,4,FALSE))</f>
        <v/>
      </c>
      <c r="C505" s="7" t="str">
        <f>IF($A505="",IF(N(D505),0,""),VLOOKUP($A505,JupData!$A$2:$I$10000,7,FALSE))</f>
        <v/>
      </c>
      <c r="D505" t="str">
        <f t="shared" si="87"/>
        <v/>
      </c>
      <c r="E505" t="str">
        <f t="array" ref="E505">IF($A505="","",INDEX(JupData!$A$2:$K$10000,MATCH($A505&amp;E$1,JupData!$A$2:$A$10000&amp;JupData!$J$2:$J$10000,0),11))</f>
        <v/>
      </c>
      <c r="F505" t="str">
        <f t="array" ref="F505">IF($A505="","",INDEX(JupData!$A$2:$K$10000,MATCH($A505&amp;F$1,JupData!$A$2:$A$10000&amp;JupData!$J$2:$J$10000,0),11))</f>
        <v/>
      </c>
      <c r="G505" t="str">
        <f t="array" ref="G505">IF($A505="","",INDEX(JupData!$A$2:$K$10000,MATCH($A505&amp;G$1,JupData!$A$2:$A$10000&amp;JupData!$J$2:$J$10000,0),11))</f>
        <v/>
      </c>
      <c r="H505" t="str">
        <f t="array" ref="H505">IF($A505="","",INDEX(JupData!$A$2:$K$10000,MATCH($A505&amp;H$1,JupData!$A$2:$A$10000&amp;JupData!$J$2:$J$10000,0),11))</f>
        <v/>
      </c>
      <c r="I505" t="str">
        <f t="array" ref="I505">IF($A505="","",INDEX(JupData!$A$2:$K$10000,MATCH($A505&amp;I$1,JupData!$A$2:$A$10000&amp;JupData!$J$2:$J$10000,0),11))</f>
        <v/>
      </c>
      <c r="J505" t="str">
        <f t="array" ref="J505">IF($A505="","",INDEX(JupData!$A$2:$K$10000,MATCH($A505&amp;J$1,JupData!$A$2:$A$10000&amp;JupData!$J$2:$J$10000,0),11))</f>
        <v/>
      </c>
      <c r="K505" t="str">
        <f t="array" ref="K505">IF($A505="","",INDEX(JupData!$A$2:$K$10000,MATCH($A505&amp;K$1,JupData!$A$2:$A$10000&amp;JupData!$J$2:$J$10000,0),11))</f>
        <v/>
      </c>
      <c r="L505" t="str">
        <f t="array" ref="L505">IF($A505="","",INDEX(JupData!$A$2:$K$10000,MATCH($A505&amp;L$1,JupData!$A$2:$A$10000&amp;JupData!$J$2:$J$10000,0),11))</f>
        <v/>
      </c>
      <c r="M505" t="str">
        <f t="array" ref="M505">IF($A505="","",INDEX(JupData!$A$2:$K$10000,MATCH($A505&amp;M$1,JupData!$A$2:$A$10000&amp;JupData!$J$2:$J$10000,0),11))</f>
        <v/>
      </c>
      <c r="N505" t="str">
        <f t="array" ref="N505">IF($A505="","",INDEX(JupData!$A$2:$K$10000,MATCH($A505&amp;N$1,JupData!$A$2:$A$10000&amp;JupData!$J$2:$J$10000,0),11))</f>
        <v/>
      </c>
      <c r="O505" t="str">
        <f t="array" ref="O505">IF($A505="","",INDEX(JupData!$A$2:$K$10000,MATCH($A505&amp;O$1,JupData!$A$2:$A$10000&amp;JupData!$J$2:$J$10000,0),11))</f>
        <v/>
      </c>
      <c r="P505" t="str">
        <f t="array" ref="P505">IF($A505="","",INDEX(JupData!$A$2:$K$10000,MATCH($A505&amp;P$1,JupData!$A$2:$A$10000&amp;JupData!$J$2:$J$10000,0),11))</f>
        <v/>
      </c>
      <c r="Q505" t="str">
        <f t="array" ref="Q505">IF($A505="","",INDEX(JupData!$A$2:$K$10000,MATCH($A505&amp;Q$1,JupData!$A$2:$A$10000&amp;JupData!$J$2:$J$10000,0),11))</f>
        <v/>
      </c>
      <c r="R505" t="str">
        <f t="array" ref="R505">IF($A505="","",INDEX(JupData!$A$2:$K$10000,MATCH($A505&amp;R$1,JupData!$A$2:$A$10000&amp;JupData!$J$2:$J$10000,0),11))</f>
        <v/>
      </c>
      <c r="S505" t="str">
        <f t="array" ref="S505">IF($A505="","",INDEX(JupData!$A$2:$K$10000,MATCH($A505&amp;S$1,JupData!$A$2:$A$10000&amp;JupData!$J$2:$J$10000,0),11))</f>
        <v/>
      </c>
      <c r="T505" t="str">
        <f t="array" ref="T505">IF($A505="","",INDEX(JupData!$A$2:$K$10000,MATCH($A505&amp;T$1,JupData!$A$2:$A$10000&amp;JupData!$J$2:$J$10000,0),11))</f>
        <v/>
      </c>
      <c r="U505" t="str">
        <f t="array" ref="U505">IF($A505="","",INDEX(JupData!$A$2:$K$10000,MATCH($A505&amp;U$1,JupData!$A$2:$A$10000&amp;JupData!$J$2:$J$10000,0),11))</f>
        <v/>
      </c>
      <c r="V505" t="str">
        <f t="array" ref="V505">IF($A505="","",INDEX(JupData!$A$2:$K$10000,MATCH($A505&amp;V$1,JupData!$A$2:$A$10000&amp;JupData!$J$2:$J$10000,0),11))</f>
        <v/>
      </c>
      <c r="W505" t="str">
        <f t="array" ref="W505">IF($A505="","",INDEX(JupData!$A$2:$K$10000,MATCH($A505&amp;W$1,JupData!$A$2:$A$10000&amp;JupData!$J$2:$J$10000,0),11))</f>
        <v/>
      </c>
      <c r="X505" t="str">
        <f t="array" ref="X505">IF($A505="","",INDEX(JupData!$A$2:$K$10000,MATCH($A505&amp;X$1,JupData!$A$2:$A$10000&amp;JupData!$J$2:$J$10000,0),11))</f>
        <v/>
      </c>
      <c r="Y505" t="str">
        <f t="array" ref="Y505">IF($A505="","",INDEX(JupData!$A$2:$K$10000,MATCH($A505&amp;Y$1,JupData!$A$2:$A$10000&amp;JupData!$J$2:$J$10000,0),11))</f>
        <v/>
      </c>
      <c r="Z505" t="str">
        <f t="array" ref="Z505">IF($A505="","",INDEX(JupData!$A$2:$K$10000,MATCH($A505&amp;Z$1,JupData!$A$2:$A$10000&amp;JupData!$J$2:$J$10000,0),11))</f>
        <v/>
      </c>
      <c r="AA505" t="str">
        <f t="array" ref="AA505">IF($A505="","",INDEX(JupData!$A$2:$K$10000,MATCH($A505&amp;AA$1,JupData!$A$2:$A$10000&amp;JupData!$J$2:$J$10000,0),11))</f>
        <v/>
      </c>
      <c r="AB505" t="str">
        <f t="array" ref="AB505">IF($A505="","",INDEX(JupData!$A$2:$K$10000,MATCH($A505&amp;AB$1,JupData!$A$2:$A$10000&amp;JupData!$J$2:$J$10000,0),11))</f>
        <v/>
      </c>
      <c r="AC505" s="10" t="str">
        <f t="shared" si="77"/>
        <v/>
      </c>
      <c r="AD505" s="10" t="str">
        <f t="shared" si="78"/>
        <v/>
      </c>
      <c r="AE505" s="9" t="str">
        <f t="shared" si="79"/>
        <v/>
      </c>
      <c r="AF505" s="10" t="str">
        <f t="shared" si="80"/>
        <v/>
      </c>
      <c r="AG505" s="10" t="str">
        <f t="shared" si="81"/>
        <v/>
      </c>
      <c r="AH505" s="10" t="str">
        <f t="shared" si="82"/>
        <v/>
      </c>
      <c r="AI505" s="10" t="str">
        <f t="shared" si="83"/>
        <v/>
      </c>
      <c r="AJ505" s="10" t="str">
        <f t="shared" si="84"/>
        <v/>
      </c>
      <c r="AK505" s="10" t="str">
        <f t="shared" si="85"/>
        <v/>
      </c>
      <c r="AL505" s="14" t="str">
        <f t="shared" si="86"/>
        <v/>
      </c>
    </row>
    <row r="506" spans="1:38" x14ac:dyDescent="0.2">
      <c r="A506"/>
      <c r="B506" t="str">
        <f>IF($A506="","",VLOOKUP($A506,JupData!$A$2:$I$10000,4,FALSE))</f>
        <v/>
      </c>
      <c r="C506" s="7" t="str">
        <f>IF($A506="",IF(N(D506),0,""),VLOOKUP($A506,JupData!$A$2:$I$10000,7,FALSE))</f>
        <v/>
      </c>
      <c r="D506" t="str">
        <f t="shared" si="87"/>
        <v/>
      </c>
      <c r="E506" t="str">
        <f t="array" ref="E506">IF($A506="","",INDEX(JupData!$A$2:$K$10000,MATCH($A506&amp;E$1,JupData!$A$2:$A$10000&amp;JupData!$J$2:$J$10000,0),11))</f>
        <v/>
      </c>
      <c r="F506" t="str">
        <f t="array" ref="F506">IF($A506="","",INDEX(JupData!$A$2:$K$10000,MATCH($A506&amp;F$1,JupData!$A$2:$A$10000&amp;JupData!$J$2:$J$10000,0),11))</f>
        <v/>
      </c>
      <c r="G506" t="str">
        <f t="array" ref="G506">IF($A506="","",INDEX(JupData!$A$2:$K$10000,MATCH($A506&amp;G$1,JupData!$A$2:$A$10000&amp;JupData!$J$2:$J$10000,0),11))</f>
        <v/>
      </c>
      <c r="H506" t="str">
        <f t="array" ref="H506">IF($A506="","",INDEX(JupData!$A$2:$K$10000,MATCH($A506&amp;H$1,JupData!$A$2:$A$10000&amp;JupData!$J$2:$J$10000,0),11))</f>
        <v/>
      </c>
      <c r="I506" t="str">
        <f t="array" ref="I506">IF($A506="","",INDEX(JupData!$A$2:$K$10000,MATCH($A506&amp;I$1,JupData!$A$2:$A$10000&amp;JupData!$J$2:$J$10000,0),11))</f>
        <v/>
      </c>
      <c r="J506" t="str">
        <f t="array" ref="J506">IF($A506="","",INDEX(JupData!$A$2:$K$10000,MATCH($A506&amp;J$1,JupData!$A$2:$A$10000&amp;JupData!$J$2:$J$10000,0),11))</f>
        <v/>
      </c>
      <c r="K506" t="str">
        <f t="array" ref="K506">IF($A506="","",INDEX(JupData!$A$2:$K$10000,MATCH($A506&amp;K$1,JupData!$A$2:$A$10000&amp;JupData!$J$2:$J$10000,0),11))</f>
        <v/>
      </c>
      <c r="L506" t="str">
        <f t="array" ref="L506">IF($A506="","",INDEX(JupData!$A$2:$K$10000,MATCH($A506&amp;L$1,JupData!$A$2:$A$10000&amp;JupData!$J$2:$J$10000,0),11))</f>
        <v/>
      </c>
      <c r="M506" t="str">
        <f t="array" ref="M506">IF($A506="","",INDEX(JupData!$A$2:$K$10000,MATCH($A506&amp;M$1,JupData!$A$2:$A$10000&amp;JupData!$J$2:$J$10000,0),11))</f>
        <v/>
      </c>
      <c r="N506" t="str">
        <f t="array" ref="N506">IF($A506="","",INDEX(JupData!$A$2:$K$10000,MATCH($A506&amp;N$1,JupData!$A$2:$A$10000&amp;JupData!$J$2:$J$10000,0),11))</f>
        <v/>
      </c>
      <c r="O506" t="str">
        <f t="array" ref="O506">IF($A506="","",INDEX(JupData!$A$2:$K$10000,MATCH($A506&amp;O$1,JupData!$A$2:$A$10000&amp;JupData!$J$2:$J$10000,0),11))</f>
        <v/>
      </c>
      <c r="P506" t="str">
        <f t="array" ref="P506">IF($A506="","",INDEX(JupData!$A$2:$K$10000,MATCH($A506&amp;P$1,JupData!$A$2:$A$10000&amp;JupData!$J$2:$J$10000,0),11))</f>
        <v/>
      </c>
      <c r="Q506" t="str">
        <f t="array" ref="Q506">IF($A506="","",INDEX(JupData!$A$2:$K$10000,MATCH($A506&amp;Q$1,JupData!$A$2:$A$10000&amp;JupData!$J$2:$J$10000,0),11))</f>
        <v/>
      </c>
      <c r="R506" t="str">
        <f t="array" ref="R506">IF($A506="","",INDEX(JupData!$A$2:$K$10000,MATCH($A506&amp;R$1,JupData!$A$2:$A$10000&amp;JupData!$J$2:$J$10000,0),11))</f>
        <v/>
      </c>
      <c r="S506" t="str">
        <f t="array" ref="S506">IF($A506="","",INDEX(JupData!$A$2:$K$10000,MATCH($A506&amp;S$1,JupData!$A$2:$A$10000&amp;JupData!$J$2:$J$10000,0),11))</f>
        <v/>
      </c>
      <c r="T506" t="str">
        <f t="array" ref="T506">IF($A506="","",INDEX(JupData!$A$2:$K$10000,MATCH($A506&amp;T$1,JupData!$A$2:$A$10000&amp;JupData!$J$2:$J$10000,0),11))</f>
        <v/>
      </c>
      <c r="U506" t="str">
        <f t="array" ref="U506">IF($A506="","",INDEX(JupData!$A$2:$K$10000,MATCH($A506&amp;U$1,JupData!$A$2:$A$10000&amp;JupData!$J$2:$J$10000,0),11))</f>
        <v/>
      </c>
      <c r="V506" t="str">
        <f t="array" ref="V506">IF($A506="","",INDEX(JupData!$A$2:$K$10000,MATCH($A506&amp;V$1,JupData!$A$2:$A$10000&amp;JupData!$J$2:$J$10000,0),11))</f>
        <v/>
      </c>
      <c r="W506" t="str">
        <f t="array" ref="W506">IF($A506="","",INDEX(JupData!$A$2:$K$10000,MATCH($A506&amp;W$1,JupData!$A$2:$A$10000&amp;JupData!$J$2:$J$10000,0),11))</f>
        <v/>
      </c>
      <c r="X506" t="str">
        <f t="array" ref="X506">IF($A506="","",INDEX(JupData!$A$2:$K$10000,MATCH($A506&amp;X$1,JupData!$A$2:$A$10000&amp;JupData!$J$2:$J$10000,0),11))</f>
        <v/>
      </c>
      <c r="Y506" t="str">
        <f t="array" ref="Y506">IF($A506="","",INDEX(JupData!$A$2:$K$10000,MATCH($A506&amp;Y$1,JupData!$A$2:$A$10000&amp;JupData!$J$2:$J$10000,0),11))</f>
        <v/>
      </c>
      <c r="Z506" t="str">
        <f t="array" ref="Z506">IF($A506="","",INDEX(JupData!$A$2:$K$10000,MATCH($A506&amp;Z$1,JupData!$A$2:$A$10000&amp;JupData!$J$2:$J$10000,0),11))</f>
        <v/>
      </c>
      <c r="AA506" t="str">
        <f t="array" ref="AA506">IF($A506="","",INDEX(JupData!$A$2:$K$10000,MATCH($A506&amp;AA$1,JupData!$A$2:$A$10000&amp;JupData!$J$2:$J$10000,0),11))</f>
        <v/>
      </c>
      <c r="AB506" t="str">
        <f t="array" ref="AB506">IF($A506="","",INDEX(JupData!$A$2:$K$10000,MATCH($A506&amp;AB$1,JupData!$A$2:$A$10000&amp;JupData!$J$2:$J$10000,0),11))</f>
        <v/>
      </c>
      <c r="AC506" s="10" t="str">
        <f t="shared" si="77"/>
        <v/>
      </c>
      <c r="AD506" s="10" t="str">
        <f t="shared" si="78"/>
        <v/>
      </c>
      <c r="AE506" s="9" t="str">
        <f t="shared" si="79"/>
        <v/>
      </c>
      <c r="AF506" s="10" t="str">
        <f t="shared" si="80"/>
        <v/>
      </c>
      <c r="AG506" s="10" t="str">
        <f t="shared" si="81"/>
        <v/>
      </c>
      <c r="AH506" s="10" t="str">
        <f t="shared" si="82"/>
        <v/>
      </c>
      <c r="AI506" s="10" t="str">
        <f t="shared" si="83"/>
        <v/>
      </c>
      <c r="AJ506" s="10" t="str">
        <f t="shared" si="84"/>
        <v/>
      </c>
      <c r="AK506" s="10" t="str">
        <f t="shared" si="85"/>
        <v/>
      </c>
      <c r="AL506" s="14" t="str">
        <f t="shared" si="86"/>
        <v/>
      </c>
    </row>
    <row r="507" spans="1:38" x14ac:dyDescent="0.2">
      <c r="A507"/>
      <c r="B507" t="str">
        <f>IF($A507="","",VLOOKUP($A507,JupData!$A$2:$I$10000,4,FALSE))</f>
        <v/>
      </c>
      <c r="C507" s="7" t="str">
        <f>IF($A507="",IF(N(D507),0,""),VLOOKUP($A507,JupData!$A$2:$I$10000,7,FALSE))</f>
        <v/>
      </c>
      <c r="D507" t="str">
        <f t="shared" si="87"/>
        <v/>
      </c>
      <c r="E507" t="str">
        <f t="array" ref="E507">IF($A507="","",INDEX(JupData!$A$2:$K$10000,MATCH($A507&amp;E$1,JupData!$A$2:$A$10000&amp;JupData!$J$2:$J$10000,0),11))</f>
        <v/>
      </c>
      <c r="F507" t="str">
        <f t="array" ref="F507">IF($A507="","",INDEX(JupData!$A$2:$K$10000,MATCH($A507&amp;F$1,JupData!$A$2:$A$10000&amp;JupData!$J$2:$J$10000,0),11))</f>
        <v/>
      </c>
      <c r="G507" t="str">
        <f t="array" ref="G507">IF($A507="","",INDEX(JupData!$A$2:$K$10000,MATCH($A507&amp;G$1,JupData!$A$2:$A$10000&amp;JupData!$J$2:$J$10000,0),11))</f>
        <v/>
      </c>
      <c r="H507" t="str">
        <f t="array" ref="H507">IF($A507="","",INDEX(JupData!$A$2:$K$10000,MATCH($A507&amp;H$1,JupData!$A$2:$A$10000&amp;JupData!$J$2:$J$10000,0),11))</f>
        <v/>
      </c>
      <c r="I507" t="str">
        <f t="array" ref="I507">IF($A507="","",INDEX(JupData!$A$2:$K$10000,MATCH($A507&amp;I$1,JupData!$A$2:$A$10000&amp;JupData!$J$2:$J$10000,0),11))</f>
        <v/>
      </c>
      <c r="J507" t="str">
        <f t="array" ref="J507">IF($A507="","",INDEX(JupData!$A$2:$K$10000,MATCH($A507&amp;J$1,JupData!$A$2:$A$10000&amp;JupData!$J$2:$J$10000,0),11))</f>
        <v/>
      </c>
      <c r="K507" t="str">
        <f t="array" ref="K507">IF($A507="","",INDEX(JupData!$A$2:$K$10000,MATCH($A507&amp;K$1,JupData!$A$2:$A$10000&amp;JupData!$J$2:$J$10000,0),11))</f>
        <v/>
      </c>
      <c r="L507" t="str">
        <f t="array" ref="L507">IF($A507="","",INDEX(JupData!$A$2:$K$10000,MATCH($A507&amp;L$1,JupData!$A$2:$A$10000&amp;JupData!$J$2:$J$10000,0),11))</f>
        <v/>
      </c>
      <c r="M507" t="str">
        <f t="array" ref="M507">IF($A507="","",INDEX(JupData!$A$2:$K$10000,MATCH($A507&amp;M$1,JupData!$A$2:$A$10000&amp;JupData!$J$2:$J$10000,0),11))</f>
        <v/>
      </c>
      <c r="N507" t="str">
        <f t="array" ref="N507">IF($A507="","",INDEX(JupData!$A$2:$K$10000,MATCH($A507&amp;N$1,JupData!$A$2:$A$10000&amp;JupData!$J$2:$J$10000,0),11))</f>
        <v/>
      </c>
      <c r="O507" t="str">
        <f t="array" ref="O507">IF($A507="","",INDEX(JupData!$A$2:$K$10000,MATCH($A507&amp;O$1,JupData!$A$2:$A$10000&amp;JupData!$J$2:$J$10000,0),11))</f>
        <v/>
      </c>
      <c r="P507" t="str">
        <f t="array" ref="P507">IF($A507="","",INDEX(JupData!$A$2:$K$10000,MATCH($A507&amp;P$1,JupData!$A$2:$A$10000&amp;JupData!$J$2:$J$10000,0),11))</f>
        <v/>
      </c>
      <c r="Q507" t="str">
        <f t="array" ref="Q507">IF($A507="","",INDEX(JupData!$A$2:$K$10000,MATCH($A507&amp;Q$1,JupData!$A$2:$A$10000&amp;JupData!$J$2:$J$10000,0),11))</f>
        <v/>
      </c>
      <c r="R507" t="str">
        <f t="array" ref="R507">IF($A507="","",INDEX(JupData!$A$2:$K$10000,MATCH($A507&amp;R$1,JupData!$A$2:$A$10000&amp;JupData!$J$2:$J$10000,0),11))</f>
        <v/>
      </c>
      <c r="S507" t="str">
        <f t="array" ref="S507">IF($A507="","",INDEX(JupData!$A$2:$K$10000,MATCH($A507&amp;S$1,JupData!$A$2:$A$10000&amp;JupData!$J$2:$J$10000,0),11))</f>
        <v/>
      </c>
      <c r="T507" t="str">
        <f t="array" ref="T507">IF($A507="","",INDEX(JupData!$A$2:$K$10000,MATCH($A507&amp;T$1,JupData!$A$2:$A$10000&amp;JupData!$J$2:$J$10000,0),11))</f>
        <v/>
      </c>
      <c r="U507" t="str">
        <f t="array" ref="U507">IF($A507="","",INDEX(JupData!$A$2:$K$10000,MATCH($A507&amp;U$1,JupData!$A$2:$A$10000&amp;JupData!$J$2:$J$10000,0),11))</f>
        <v/>
      </c>
      <c r="V507" t="str">
        <f t="array" ref="V507">IF($A507="","",INDEX(JupData!$A$2:$K$10000,MATCH($A507&amp;V$1,JupData!$A$2:$A$10000&amp;JupData!$J$2:$J$10000,0),11))</f>
        <v/>
      </c>
      <c r="W507" t="str">
        <f t="array" ref="W507">IF($A507="","",INDEX(JupData!$A$2:$K$10000,MATCH($A507&amp;W$1,JupData!$A$2:$A$10000&amp;JupData!$J$2:$J$10000,0),11))</f>
        <v/>
      </c>
      <c r="X507" t="str">
        <f t="array" ref="X507">IF($A507="","",INDEX(JupData!$A$2:$K$10000,MATCH($A507&amp;X$1,JupData!$A$2:$A$10000&amp;JupData!$J$2:$J$10000,0),11))</f>
        <v/>
      </c>
      <c r="Y507" t="str">
        <f t="array" ref="Y507">IF($A507="","",INDEX(JupData!$A$2:$K$10000,MATCH($A507&amp;Y$1,JupData!$A$2:$A$10000&amp;JupData!$J$2:$J$10000,0),11))</f>
        <v/>
      </c>
      <c r="Z507" t="str">
        <f t="array" ref="Z507">IF($A507="","",INDEX(JupData!$A$2:$K$10000,MATCH($A507&amp;Z$1,JupData!$A$2:$A$10000&amp;JupData!$J$2:$J$10000,0),11))</f>
        <v/>
      </c>
      <c r="AA507" t="str">
        <f t="array" ref="AA507">IF($A507="","",INDEX(JupData!$A$2:$K$10000,MATCH($A507&amp;AA$1,JupData!$A$2:$A$10000&amp;JupData!$J$2:$J$10000,0),11))</f>
        <v/>
      </c>
      <c r="AB507" t="str">
        <f t="array" ref="AB507">IF($A507="","",INDEX(JupData!$A$2:$K$10000,MATCH($A507&amp;AB$1,JupData!$A$2:$A$10000&amp;JupData!$J$2:$J$10000,0),11))</f>
        <v/>
      </c>
      <c r="AC507" s="10" t="str">
        <f t="shared" si="77"/>
        <v/>
      </c>
      <c r="AD507" s="10" t="str">
        <f t="shared" si="78"/>
        <v/>
      </c>
      <c r="AE507" s="9" t="str">
        <f t="shared" si="79"/>
        <v/>
      </c>
      <c r="AF507" s="10" t="str">
        <f t="shared" si="80"/>
        <v/>
      </c>
      <c r="AG507" s="10" t="str">
        <f t="shared" si="81"/>
        <v/>
      </c>
      <c r="AH507" s="10" t="str">
        <f t="shared" si="82"/>
        <v/>
      </c>
      <c r="AI507" s="10" t="str">
        <f t="shared" si="83"/>
        <v/>
      </c>
      <c r="AJ507" s="10" t="str">
        <f t="shared" si="84"/>
        <v/>
      </c>
      <c r="AK507" s="10" t="str">
        <f t="shared" si="85"/>
        <v/>
      </c>
      <c r="AL507" s="14" t="str">
        <f t="shared" si="86"/>
        <v/>
      </c>
    </row>
    <row r="508" spans="1:38" x14ac:dyDescent="0.2">
      <c r="A508"/>
      <c r="B508" t="str">
        <f>IF($A508="","",VLOOKUP($A508,JupData!$A$2:$I$10000,4,FALSE))</f>
        <v/>
      </c>
      <c r="C508" s="7" t="str">
        <f>IF($A508="",IF(N(D508),0,""),VLOOKUP($A508,JupData!$A$2:$I$10000,7,FALSE))</f>
        <v/>
      </c>
      <c r="D508" t="str">
        <f t="shared" si="87"/>
        <v/>
      </c>
      <c r="E508" t="str">
        <f t="array" ref="E508">IF($A508="","",INDEX(JupData!$A$2:$K$10000,MATCH($A508&amp;E$1,JupData!$A$2:$A$10000&amp;JupData!$J$2:$J$10000,0),11))</f>
        <v/>
      </c>
      <c r="F508" t="str">
        <f t="array" ref="F508">IF($A508="","",INDEX(JupData!$A$2:$K$10000,MATCH($A508&amp;F$1,JupData!$A$2:$A$10000&amp;JupData!$J$2:$J$10000,0),11))</f>
        <v/>
      </c>
      <c r="G508" t="str">
        <f t="array" ref="G508">IF($A508="","",INDEX(JupData!$A$2:$K$10000,MATCH($A508&amp;G$1,JupData!$A$2:$A$10000&amp;JupData!$J$2:$J$10000,0),11))</f>
        <v/>
      </c>
      <c r="H508" t="str">
        <f t="array" ref="H508">IF($A508="","",INDEX(JupData!$A$2:$K$10000,MATCH($A508&amp;H$1,JupData!$A$2:$A$10000&amp;JupData!$J$2:$J$10000,0),11))</f>
        <v/>
      </c>
      <c r="I508" t="str">
        <f t="array" ref="I508">IF($A508="","",INDEX(JupData!$A$2:$K$10000,MATCH($A508&amp;I$1,JupData!$A$2:$A$10000&amp;JupData!$J$2:$J$10000,0),11))</f>
        <v/>
      </c>
      <c r="J508" t="str">
        <f t="array" ref="J508">IF($A508="","",INDEX(JupData!$A$2:$K$10000,MATCH($A508&amp;J$1,JupData!$A$2:$A$10000&amp;JupData!$J$2:$J$10000,0),11))</f>
        <v/>
      </c>
      <c r="K508" t="str">
        <f t="array" ref="K508">IF($A508="","",INDEX(JupData!$A$2:$K$10000,MATCH($A508&amp;K$1,JupData!$A$2:$A$10000&amp;JupData!$J$2:$J$10000,0),11))</f>
        <v/>
      </c>
      <c r="L508" t="str">
        <f t="array" ref="L508">IF($A508="","",INDEX(JupData!$A$2:$K$10000,MATCH($A508&amp;L$1,JupData!$A$2:$A$10000&amp;JupData!$J$2:$J$10000,0),11))</f>
        <v/>
      </c>
      <c r="M508" t="str">
        <f t="array" ref="M508">IF($A508="","",INDEX(JupData!$A$2:$K$10000,MATCH($A508&amp;M$1,JupData!$A$2:$A$10000&amp;JupData!$J$2:$J$10000,0),11))</f>
        <v/>
      </c>
      <c r="N508" t="str">
        <f t="array" ref="N508">IF($A508="","",INDEX(JupData!$A$2:$K$10000,MATCH($A508&amp;N$1,JupData!$A$2:$A$10000&amp;JupData!$J$2:$J$10000,0),11))</f>
        <v/>
      </c>
      <c r="O508" t="str">
        <f t="array" ref="O508">IF($A508="","",INDEX(JupData!$A$2:$K$10000,MATCH($A508&amp;O$1,JupData!$A$2:$A$10000&amp;JupData!$J$2:$J$10000,0),11))</f>
        <v/>
      </c>
      <c r="P508" t="str">
        <f t="array" ref="P508">IF($A508="","",INDEX(JupData!$A$2:$K$10000,MATCH($A508&amp;P$1,JupData!$A$2:$A$10000&amp;JupData!$J$2:$J$10000,0),11))</f>
        <v/>
      </c>
      <c r="Q508" t="str">
        <f t="array" ref="Q508">IF($A508="","",INDEX(JupData!$A$2:$K$10000,MATCH($A508&amp;Q$1,JupData!$A$2:$A$10000&amp;JupData!$J$2:$J$10000,0),11))</f>
        <v/>
      </c>
      <c r="R508" t="str">
        <f t="array" ref="R508">IF($A508="","",INDEX(JupData!$A$2:$K$10000,MATCH($A508&amp;R$1,JupData!$A$2:$A$10000&amp;JupData!$J$2:$J$10000,0),11))</f>
        <v/>
      </c>
      <c r="S508" t="str">
        <f t="array" ref="S508">IF($A508="","",INDEX(JupData!$A$2:$K$10000,MATCH($A508&amp;S$1,JupData!$A$2:$A$10000&amp;JupData!$J$2:$J$10000,0),11))</f>
        <v/>
      </c>
      <c r="T508" t="str">
        <f t="array" ref="T508">IF($A508="","",INDEX(JupData!$A$2:$K$10000,MATCH($A508&amp;T$1,JupData!$A$2:$A$10000&amp;JupData!$J$2:$J$10000,0),11))</f>
        <v/>
      </c>
      <c r="U508" t="str">
        <f t="array" ref="U508">IF($A508="","",INDEX(JupData!$A$2:$K$10000,MATCH($A508&amp;U$1,JupData!$A$2:$A$10000&amp;JupData!$J$2:$J$10000,0),11))</f>
        <v/>
      </c>
      <c r="V508" t="str">
        <f t="array" ref="V508">IF($A508="","",INDEX(JupData!$A$2:$K$10000,MATCH($A508&amp;V$1,JupData!$A$2:$A$10000&amp;JupData!$J$2:$J$10000,0),11))</f>
        <v/>
      </c>
      <c r="W508" t="str">
        <f t="array" ref="W508">IF($A508="","",INDEX(JupData!$A$2:$K$10000,MATCH($A508&amp;W$1,JupData!$A$2:$A$10000&amp;JupData!$J$2:$J$10000,0),11))</f>
        <v/>
      </c>
      <c r="X508" t="str">
        <f t="array" ref="X508">IF($A508="","",INDEX(JupData!$A$2:$K$10000,MATCH($A508&amp;X$1,JupData!$A$2:$A$10000&amp;JupData!$J$2:$J$10000,0),11))</f>
        <v/>
      </c>
      <c r="Y508" t="str">
        <f t="array" ref="Y508">IF($A508="","",INDEX(JupData!$A$2:$K$10000,MATCH($A508&amp;Y$1,JupData!$A$2:$A$10000&amp;JupData!$J$2:$J$10000,0),11))</f>
        <v/>
      </c>
      <c r="Z508" t="str">
        <f t="array" ref="Z508">IF($A508="","",INDEX(JupData!$A$2:$K$10000,MATCH($A508&amp;Z$1,JupData!$A$2:$A$10000&amp;JupData!$J$2:$J$10000,0),11))</f>
        <v/>
      </c>
      <c r="AA508" t="str">
        <f t="array" ref="AA508">IF($A508="","",INDEX(JupData!$A$2:$K$10000,MATCH($A508&amp;AA$1,JupData!$A$2:$A$10000&amp;JupData!$J$2:$J$10000,0),11))</f>
        <v/>
      </c>
      <c r="AB508" t="str">
        <f t="array" ref="AB508">IF($A508="","",INDEX(JupData!$A$2:$K$10000,MATCH($A508&amp;AB$1,JupData!$A$2:$A$10000&amp;JupData!$J$2:$J$10000,0),11))</f>
        <v/>
      </c>
      <c r="AC508" s="10" t="str">
        <f t="shared" si="77"/>
        <v/>
      </c>
      <c r="AD508" s="10" t="str">
        <f t="shared" si="78"/>
        <v/>
      </c>
      <c r="AE508" s="9" t="str">
        <f t="shared" si="79"/>
        <v/>
      </c>
      <c r="AF508" s="10" t="str">
        <f t="shared" si="80"/>
        <v/>
      </c>
      <c r="AG508" s="10" t="str">
        <f t="shared" si="81"/>
        <v/>
      </c>
      <c r="AH508" s="10" t="str">
        <f t="shared" si="82"/>
        <v/>
      </c>
      <c r="AI508" s="10" t="str">
        <f t="shared" si="83"/>
        <v/>
      </c>
      <c r="AJ508" s="10" t="str">
        <f t="shared" si="84"/>
        <v/>
      </c>
      <c r="AK508" s="10" t="str">
        <f t="shared" si="85"/>
        <v/>
      </c>
      <c r="AL508" s="14" t="str">
        <f t="shared" si="86"/>
        <v/>
      </c>
    </row>
    <row r="509" spans="1:38" x14ac:dyDescent="0.2">
      <c r="A509"/>
      <c r="B509" t="str">
        <f>IF($A509="","",VLOOKUP($A509,JupData!$A$2:$I$10000,4,FALSE))</f>
        <v/>
      </c>
      <c r="C509" s="7" t="str">
        <f>IF($A509="",IF(N(D509),0,""),VLOOKUP($A509,JupData!$A$2:$I$10000,7,FALSE))</f>
        <v/>
      </c>
      <c r="D509" t="str">
        <f t="shared" si="87"/>
        <v/>
      </c>
      <c r="E509" t="str">
        <f t="array" ref="E509">IF($A509="","",INDEX(JupData!$A$2:$K$10000,MATCH($A509&amp;E$1,JupData!$A$2:$A$10000&amp;JupData!$J$2:$J$10000,0),11))</f>
        <v/>
      </c>
      <c r="F509" t="str">
        <f t="array" ref="F509">IF($A509="","",INDEX(JupData!$A$2:$K$10000,MATCH($A509&amp;F$1,JupData!$A$2:$A$10000&amp;JupData!$J$2:$J$10000,0),11))</f>
        <v/>
      </c>
      <c r="G509" t="str">
        <f t="array" ref="G509">IF($A509="","",INDEX(JupData!$A$2:$K$10000,MATCH($A509&amp;G$1,JupData!$A$2:$A$10000&amp;JupData!$J$2:$J$10000,0),11))</f>
        <v/>
      </c>
      <c r="H509" t="str">
        <f t="array" ref="H509">IF($A509="","",INDEX(JupData!$A$2:$K$10000,MATCH($A509&amp;H$1,JupData!$A$2:$A$10000&amp;JupData!$J$2:$J$10000,0),11))</f>
        <v/>
      </c>
      <c r="I509" t="str">
        <f t="array" ref="I509">IF($A509="","",INDEX(JupData!$A$2:$K$10000,MATCH($A509&amp;I$1,JupData!$A$2:$A$10000&amp;JupData!$J$2:$J$10000,0),11))</f>
        <v/>
      </c>
      <c r="J509" t="str">
        <f t="array" ref="J509">IF($A509="","",INDEX(JupData!$A$2:$K$10000,MATCH($A509&amp;J$1,JupData!$A$2:$A$10000&amp;JupData!$J$2:$J$10000,0),11))</f>
        <v/>
      </c>
      <c r="K509" t="str">
        <f t="array" ref="K509">IF($A509="","",INDEX(JupData!$A$2:$K$10000,MATCH($A509&amp;K$1,JupData!$A$2:$A$10000&amp;JupData!$J$2:$J$10000,0),11))</f>
        <v/>
      </c>
      <c r="L509" t="str">
        <f t="array" ref="L509">IF($A509="","",INDEX(JupData!$A$2:$K$10000,MATCH($A509&amp;L$1,JupData!$A$2:$A$10000&amp;JupData!$J$2:$J$10000,0),11))</f>
        <v/>
      </c>
      <c r="M509" t="str">
        <f t="array" ref="M509">IF($A509="","",INDEX(JupData!$A$2:$K$10000,MATCH($A509&amp;M$1,JupData!$A$2:$A$10000&amp;JupData!$J$2:$J$10000,0),11))</f>
        <v/>
      </c>
      <c r="N509" t="str">
        <f t="array" ref="N509">IF($A509="","",INDEX(JupData!$A$2:$K$10000,MATCH($A509&amp;N$1,JupData!$A$2:$A$10000&amp;JupData!$J$2:$J$10000,0),11))</f>
        <v/>
      </c>
      <c r="O509" t="str">
        <f t="array" ref="O509">IF($A509="","",INDEX(JupData!$A$2:$K$10000,MATCH($A509&amp;O$1,JupData!$A$2:$A$10000&amp;JupData!$J$2:$J$10000,0),11))</f>
        <v/>
      </c>
      <c r="P509" t="str">
        <f t="array" ref="P509">IF($A509="","",INDEX(JupData!$A$2:$K$10000,MATCH($A509&amp;P$1,JupData!$A$2:$A$10000&amp;JupData!$J$2:$J$10000,0),11))</f>
        <v/>
      </c>
      <c r="Q509" t="str">
        <f t="array" ref="Q509">IF($A509="","",INDEX(JupData!$A$2:$K$10000,MATCH($A509&amp;Q$1,JupData!$A$2:$A$10000&amp;JupData!$J$2:$J$10000,0),11))</f>
        <v/>
      </c>
      <c r="R509" t="str">
        <f t="array" ref="R509">IF($A509="","",INDEX(JupData!$A$2:$K$10000,MATCH($A509&amp;R$1,JupData!$A$2:$A$10000&amp;JupData!$J$2:$J$10000,0),11))</f>
        <v/>
      </c>
      <c r="S509" t="str">
        <f t="array" ref="S509">IF($A509="","",INDEX(JupData!$A$2:$K$10000,MATCH($A509&amp;S$1,JupData!$A$2:$A$10000&amp;JupData!$J$2:$J$10000,0),11))</f>
        <v/>
      </c>
      <c r="T509" t="str">
        <f t="array" ref="T509">IF($A509="","",INDEX(JupData!$A$2:$K$10000,MATCH($A509&amp;T$1,JupData!$A$2:$A$10000&amp;JupData!$J$2:$J$10000,0),11))</f>
        <v/>
      </c>
      <c r="U509" t="str">
        <f t="array" ref="U509">IF($A509="","",INDEX(JupData!$A$2:$K$10000,MATCH($A509&amp;U$1,JupData!$A$2:$A$10000&amp;JupData!$J$2:$J$10000,0),11))</f>
        <v/>
      </c>
      <c r="V509" t="str">
        <f t="array" ref="V509">IF($A509="","",INDEX(JupData!$A$2:$K$10000,MATCH($A509&amp;V$1,JupData!$A$2:$A$10000&amp;JupData!$J$2:$J$10000,0),11))</f>
        <v/>
      </c>
      <c r="W509" t="str">
        <f t="array" ref="W509">IF($A509="","",INDEX(JupData!$A$2:$K$10000,MATCH($A509&amp;W$1,JupData!$A$2:$A$10000&amp;JupData!$J$2:$J$10000,0),11))</f>
        <v/>
      </c>
      <c r="X509" t="str">
        <f t="array" ref="X509">IF($A509="","",INDEX(JupData!$A$2:$K$10000,MATCH($A509&amp;X$1,JupData!$A$2:$A$10000&amp;JupData!$J$2:$J$10000,0),11))</f>
        <v/>
      </c>
      <c r="Y509" t="str">
        <f t="array" ref="Y509">IF($A509="","",INDEX(JupData!$A$2:$K$10000,MATCH($A509&amp;Y$1,JupData!$A$2:$A$10000&amp;JupData!$J$2:$J$10000,0),11))</f>
        <v/>
      </c>
      <c r="Z509" t="str">
        <f t="array" ref="Z509">IF($A509="","",INDEX(JupData!$A$2:$K$10000,MATCH($A509&amp;Z$1,JupData!$A$2:$A$10000&amp;JupData!$J$2:$J$10000,0),11))</f>
        <v/>
      </c>
      <c r="AA509" t="str">
        <f t="array" ref="AA509">IF($A509="","",INDEX(JupData!$A$2:$K$10000,MATCH($A509&amp;AA$1,JupData!$A$2:$A$10000&amp;JupData!$J$2:$J$10000,0),11))</f>
        <v/>
      </c>
      <c r="AB509" t="str">
        <f t="array" ref="AB509">IF($A509="","",INDEX(JupData!$A$2:$K$10000,MATCH($A509&amp;AB$1,JupData!$A$2:$A$10000&amp;JupData!$J$2:$J$10000,0),11))</f>
        <v/>
      </c>
      <c r="AC509" s="10" t="str">
        <f t="shared" si="77"/>
        <v/>
      </c>
      <c r="AD509" s="10" t="str">
        <f t="shared" si="78"/>
        <v/>
      </c>
      <c r="AE509" s="9" t="str">
        <f t="shared" si="79"/>
        <v/>
      </c>
      <c r="AF509" s="10" t="str">
        <f t="shared" si="80"/>
        <v/>
      </c>
      <c r="AG509" s="10" t="str">
        <f t="shared" si="81"/>
        <v/>
      </c>
      <c r="AH509" s="10" t="str">
        <f t="shared" si="82"/>
        <v/>
      </c>
      <c r="AI509" s="10" t="str">
        <f t="shared" si="83"/>
        <v/>
      </c>
      <c r="AJ509" s="10" t="str">
        <f t="shared" si="84"/>
        <v/>
      </c>
      <c r="AK509" s="10" t="str">
        <f t="shared" si="85"/>
        <v/>
      </c>
      <c r="AL509" s="14" t="str">
        <f t="shared" si="86"/>
        <v/>
      </c>
    </row>
    <row r="510" spans="1:38" x14ac:dyDescent="0.2">
      <c r="A510"/>
      <c r="B510" t="str">
        <f>IF($A510="","",VLOOKUP($A510,JupData!$A$2:$I$10000,4,FALSE))</f>
        <v/>
      </c>
      <c r="C510" s="7" t="str">
        <f>IF($A510="",IF(N(D510),0,""),VLOOKUP($A510,JupData!$A$2:$I$10000,7,FALSE))</f>
        <v/>
      </c>
      <c r="D510" t="str">
        <f t="shared" si="87"/>
        <v/>
      </c>
      <c r="E510" t="str">
        <f t="array" ref="E510">IF($A510="","",INDEX(JupData!$A$2:$K$10000,MATCH($A510&amp;E$1,JupData!$A$2:$A$10000&amp;JupData!$J$2:$J$10000,0),11))</f>
        <v/>
      </c>
      <c r="F510" t="str">
        <f t="array" ref="F510">IF($A510="","",INDEX(JupData!$A$2:$K$10000,MATCH($A510&amp;F$1,JupData!$A$2:$A$10000&amp;JupData!$J$2:$J$10000,0),11))</f>
        <v/>
      </c>
      <c r="G510" t="str">
        <f t="array" ref="G510">IF($A510="","",INDEX(JupData!$A$2:$K$10000,MATCH($A510&amp;G$1,JupData!$A$2:$A$10000&amp;JupData!$J$2:$J$10000,0),11))</f>
        <v/>
      </c>
      <c r="H510" t="str">
        <f t="array" ref="H510">IF($A510="","",INDEX(JupData!$A$2:$K$10000,MATCH($A510&amp;H$1,JupData!$A$2:$A$10000&amp;JupData!$J$2:$J$10000,0),11))</f>
        <v/>
      </c>
      <c r="I510" t="str">
        <f t="array" ref="I510">IF($A510="","",INDEX(JupData!$A$2:$K$10000,MATCH($A510&amp;I$1,JupData!$A$2:$A$10000&amp;JupData!$J$2:$J$10000,0),11))</f>
        <v/>
      </c>
      <c r="J510" t="str">
        <f t="array" ref="J510">IF($A510="","",INDEX(JupData!$A$2:$K$10000,MATCH($A510&amp;J$1,JupData!$A$2:$A$10000&amp;JupData!$J$2:$J$10000,0),11))</f>
        <v/>
      </c>
      <c r="K510" t="str">
        <f t="array" ref="K510">IF($A510="","",INDEX(JupData!$A$2:$K$10000,MATCH($A510&amp;K$1,JupData!$A$2:$A$10000&amp;JupData!$J$2:$J$10000,0),11))</f>
        <v/>
      </c>
      <c r="L510" t="str">
        <f t="array" ref="L510">IF($A510="","",INDEX(JupData!$A$2:$K$10000,MATCH($A510&amp;L$1,JupData!$A$2:$A$10000&amp;JupData!$J$2:$J$10000,0),11))</f>
        <v/>
      </c>
      <c r="M510" t="str">
        <f t="array" ref="M510">IF($A510="","",INDEX(JupData!$A$2:$K$10000,MATCH($A510&amp;M$1,JupData!$A$2:$A$10000&amp;JupData!$J$2:$J$10000,0),11))</f>
        <v/>
      </c>
      <c r="N510" t="str">
        <f t="array" ref="N510">IF($A510="","",INDEX(JupData!$A$2:$K$10000,MATCH($A510&amp;N$1,JupData!$A$2:$A$10000&amp;JupData!$J$2:$J$10000,0),11))</f>
        <v/>
      </c>
      <c r="O510" t="str">
        <f t="array" ref="O510">IF($A510="","",INDEX(JupData!$A$2:$K$10000,MATCH($A510&amp;O$1,JupData!$A$2:$A$10000&amp;JupData!$J$2:$J$10000,0),11))</f>
        <v/>
      </c>
      <c r="P510" t="str">
        <f t="array" ref="P510">IF($A510="","",INDEX(JupData!$A$2:$K$10000,MATCH($A510&amp;P$1,JupData!$A$2:$A$10000&amp;JupData!$J$2:$J$10000,0),11))</f>
        <v/>
      </c>
      <c r="Q510" t="str">
        <f t="array" ref="Q510">IF($A510="","",INDEX(JupData!$A$2:$K$10000,MATCH($A510&amp;Q$1,JupData!$A$2:$A$10000&amp;JupData!$J$2:$J$10000,0),11))</f>
        <v/>
      </c>
      <c r="R510" t="str">
        <f t="array" ref="R510">IF($A510="","",INDEX(JupData!$A$2:$K$10000,MATCH($A510&amp;R$1,JupData!$A$2:$A$10000&amp;JupData!$J$2:$J$10000,0),11))</f>
        <v/>
      </c>
      <c r="S510" t="str">
        <f t="array" ref="S510">IF($A510="","",INDEX(JupData!$A$2:$K$10000,MATCH($A510&amp;S$1,JupData!$A$2:$A$10000&amp;JupData!$J$2:$J$10000,0),11))</f>
        <v/>
      </c>
      <c r="T510" t="str">
        <f t="array" ref="T510">IF($A510="","",INDEX(JupData!$A$2:$K$10000,MATCH($A510&amp;T$1,JupData!$A$2:$A$10000&amp;JupData!$J$2:$J$10000,0),11))</f>
        <v/>
      </c>
      <c r="U510" t="str">
        <f t="array" ref="U510">IF($A510="","",INDEX(JupData!$A$2:$K$10000,MATCH($A510&amp;U$1,JupData!$A$2:$A$10000&amp;JupData!$J$2:$J$10000,0),11))</f>
        <v/>
      </c>
      <c r="V510" t="str">
        <f t="array" ref="V510">IF($A510="","",INDEX(JupData!$A$2:$K$10000,MATCH($A510&amp;V$1,JupData!$A$2:$A$10000&amp;JupData!$J$2:$J$10000,0),11))</f>
        <v/>
      </c>
      <c r="W510" t="str">
        <f t="array" ref="W510">IF($A510="","",INDEX(JupData!$A$2:$K$10000,MATCH($A510&amp;W$1,JupData!$A$2:$A$10000&amp;JupData!$J$2:$J$10000,0),11))</f>
        <v/>
      </c>
      <c r="X510" t="str">
        <f t="array" ref="X510">IF($A510="","",INDEX(JupData!$A$2:$K$10000,MATCH($A510&amp;X$1,JupData!$A$2:$A$10000&amp;JupData!$J$2:$J$10000,0),11))</f>
        <v/>
      </c>
      <c r="Y510" t="str">
        <f t="array" ref="Y510">IF($A510="","",INDEX(JupData!$A$2:$K$10000,MATCH($A510&amp;Y$1,JupData!$A$2:$A$10000&amp;JupData!$J$2:$J$10000,0),11))</f>
        <v/>
      </c>
      <c r="Z510" t="str">
        <f t="array" ref="Z510">IF($A510="","",INDEX(JupData!$A$2:$K$10000,MATCH($A510&amp;Z$1,JupData!$A$2:$A$10000&amp;JupData!$J$2:$J$10000,0),11))</f>
        <v/>
      </c>
      <c r="AA510" t="str">
        <f t="array" ref="AA510">IF($A510="","",INDEX(JupData!$A$2:$K$10000,MATCH($A510&amp;AA$1,JupData!$A$2:$A$10000&amp;JupData!$J$2:$J$10000,0),11))</f>
        <v/>
      </c>
      <c r="AB510" t="str">
        <f t="array" ref="AB510">IF($A510="","",INDEX(JupData!$A$2:$K$10000,MATCH($A510&amp;AB$1,JupData!$A$2:$A$10000&amp;JupData!$J$2:$J$10000,0),11))</f>
        <v/>
      </c>
      <c r="AC510" s="10" t="str">
        <f t="shared" si="77"/>
        <v/>
      </c>
      <c r="AD510" s="10" t="str">
        <f t="shared" si="78"/>
        <v/>
      </c>
      <c r="AE510" s="9" t="str">
        <f t="shared" si="79"/>
        <v/>
      </c>
      <c r="AF510" s="10" t="str">
        <f t="shared" si="80"/>
        <v/>
      </c>
      <c r="AG510" s="10" t="str">
        <f t="shared" si="81"/>
        <v/>
      </c>
      <c r="AH510" s="10" t="str">
        <f t="shared" si="82"/>
        <v/>
      </c>
      <c r="AI510" s="10" t="str">
        <f t="shared" si="83"/>
        <v/>
      </c>
      <c r="AJ510" s="10" t="str">
        <f t="shared" si="84"/>
        <v/>
      </c>
      <c r="AK510" s="10" t="str">
        <f t="shared" si="85"/>
        <v/>
      </c>
      <c r="AL510" s="14" t="str">
        <f t="shared" si="86"/>
        <v/>
      </c>
    </row>
    <row r="511" spans="1:38" x14ac:dyDescent="0.2">
      <c r="A511"/>
      <c r="B511" t="str">
        <f>IF($A511="","",VLOOKUP($A511,JupData!$A$2:$I$10000,4,FALSE))</f>
        <v/>
      </c>
      <c r="C511" s="7" t="str">
        <f>IF($A511="",IF(N(D511),0,""),VLOOKUP($A511,JupData!$A$2:$I$10000,7,FALSE))</f>
        <v/>
      </c>
      <c r="D511" t="str">
        <f t="shared" si="87"/>
        <v/>
      </c>
      <c r="E511" t="str">
        <f t="array" ref="E511">IF($A511="","",INDEX(JupData!$A$2:$K$10000,MATCH($A511&amp;E$1,JupData!$A$2:$A$10000&amp;JupData!$J$2:$J$10000,0),11))</f>
        <v/>
      </c>
      <c r="F511" t="str">
        <f t="array" ref="F511">IF($A511="","",INDEX(JupData!$A$2:$K$10000,MATCH($A511&amp;F$1,JupData!$A$2:$A$10000&amp;JupData!$J$2:$J$10000,0),11))</f>
        <v/>
      </c>
      <c r="G511" t="str">
        <f t="array" ref="G511">IF($A511="","",INDEX(JupData!$A$2:$K$10000,MATCH($A511&amp;G$1,JupData!$A$2:$A$10000&amp;JupData!$J$2:$J$10000,0),11))</f>
        <v/>
      </c>
      <c r="H511" t="str">
        <f t="array" ref="H511">IF($A511="","",INDEX(JupData!$A$2:$K$10000,MATCH($A511&amp;H$1,JupData!$A$2:$A$10000&amp;JupData!$J$2:$J$10000,0),11))</f>
        <v/>
      </c>
      <c r="I511" t="str">
        <f t="array" ref="I511">IF($A511="","",INDEX(JupData!$A$2:$K$10000,MATCH($A511&amp;I$1,JupData!$A$2:$A$10000&amp;JupData!$J$2:$J$10000,0),11))</f>
        <v/>
      </c>
      <c r="J511" t="str">
        <f t="array" ref="J511">IF($A511="","",INDEX(JupData!$A$2:$K$10000,MATCH($A511&amp;J$1,JupData!$A$2:$A$10000&amp;JupData!$J$2:$J$10000,0),11))</f>
        <v/>
      </c>
      <c r="K511" t="str">
        <f t="array" ref="K511">IF($A511="","",INDEX(JupData!$A$2:$K$10000,MATCH($A511&amp;K$1,JupData!$A$2:$A$10000&amp;JupData!$J$2:$J$10000,0),11))</f>
        <v/>
      </c>
      <c r="L511" t="str">
        <f t="array" ref="L511">IF($A511="","",INDEX(JupData!$A$2:$K$10000,MATCH($A511&amp;L$1,JupData!$A$2:$A$10000&amp;JupData!$J$2:$J$10000,0),11))</f>
        <v/>
      </c>
      <c r="M511" t="str">
        <f t="array" ref="M511">IF($A511="","",INDEX(JupData!$A$2:$K$10000,MATCH($A511&amp;M$1,JupData!$A$2:$A$10000&amp;JupData!$J$2:$J$10000,0),11))</f>
        <v/>
      </c>
      <c r="N511" t="str">
        <f t="array" ref="N511">IF($A511="","",INDEX(JupData!$A$2:$K$10000,MATCH($A511&amp;N$1,JupData!$A$2:$A$10000&amp;JupData!$J$2:$J$10000,0),11))</f>
        <v/>
      </c>
      <c r="O511" t="str">
        <f t="array" ref="O511">IF($A511="","",INDEX(JupData!$A$2:$K$10000,MATCH($A511&amp;O$1,JupData!$A$2:$A$10000&amp;JupData!$J$2:$J$10000,0),11))</f>
        <v/>
      </c>
      <c r="P511" t="str">
        <f t="array" ref="P511">IF($A511="","",INDEX(JupData!$A$2:$K$10000,MATCH($A511&amp;P$1,JupData!$A$2:$A$10000&amp;JupData!$J$2:$J$10000,0),11))</f>
        <v/>
      </c>
      <c r="Q511" t="str">
        <f t="array" ref="Q511">IF($A511="","",INDEX(JupData!$A$2:$K$10000,MATCH($A511&amp;Q$1,JupData!$A$2:$A$10000&amp;JupData!$J$2:$J$10000,0),11))</f>
        <v/>
      </c>
      <c r="R511" t="str">
        <f t="array" ref="R511">IF($A511="","",INDEX(JupData!$A$2:$K$10000,MATCH($A511&amp;R$1,JupData!$A$2:$A$10000&amp;JupData!$J$2:$J$10000,0),11))</f>
        <v/>
      </c>
      <c r="S511" t="str">
        <f t="array" ref="S511">IF($A511="","",INDEX(JupData!$A$2:$K$10000,MATCH($A511&amp;S$1,JupData!$A$2:$A$10000&amp;JupData!$J$2:$J$10000,0),11))</f>
        <v/>
      </c>
      <c r="T511" t="str">
        <f t="array" ref="T511">IF($A511="","",INDEX(JupData!$A$2:$K$10000,MATCH($A511&amp;T$1,JupData!$A$2:$A$10000&amp;JupData!$J$2:$J$10000,0),11))</f>
        <v/>
      </c>
      <c r="U511" t="str">
        <f t="array" ref="U511">IF($A511="","",INDEX(JupData!$A$2:$K$10000,MATCH($A511&amp;U$1,JupData!$A$2:$A$10000&amp;JupData!$J$2:$J$10000,0),11))</f>
        <v/>
      </c>
      <c r="V511" t="str">
        <f t="array" ref="V511">IF($A511="","",INDEX(JupData!$A$2:$K$10000,MATCH($A511&amp;V$1,JupData!$A$2:$A$10000&amp;JupData!$J$2:$J$10000,0),11))</f>
        <v/>
      </c>
      <c r="W511" t="str">
        <f t="array" ref="W511">IF($A511="","",INDEX(JupData!$A$2:$K$10000,MATCH($A511&amp;W$1,JupData!$A$2:$A$10000&amp;JupData!$J$2:$J$10000,0),11))</f>
        <v/>
      </c>
      <c r="X511" t="str">
        <f t="array" ref="X511">IF($A511="","",INDEX(JupData!$A$2:$K$10000,MATCH($A511&amp;X$1,JupData!$A$2:$A$10000&amp;JupData!$J$2:$J$10000,0),11))</f>
        <v/>
      </c>
      <c r="Y511" t="str">
        <f t="array" ref="Y511">IF($A511="","",INDEX(JupData!$A$2:$K$10000,MATCH($A511&amp;Y$1,JupData!$A$2:$A$10000&amp;JupData!$J$2:$J$10000,0),11))</f>
        <v/>
      </c>
      <c r="Z511" t="str">
        <f t="array" ref="Z511">IF($A511="","",INDEX(JupData!$A$2:$K$10000,MATCH($A511&amp;Z$1,JupData!$A$2:$A$10000&amp;JupData!$J$2:$J$10000,0),11))</f>
        <v/>
      </c>
      <c r="AA511" t="str">
        <f t="array" ref="AA511">IF($A511="","",INDEX(JupData!$A$2:$K$10000,MATCH($A511&amp;AA$1,JupData!$A$2:$A$10000&amp;JupData!$J$2:$J$10000,0),11))</f>
        <v/>
      </c>
      <c r="AB511" t="str">
        <f t="array" ref="AB511">IF($A511="","",INDEX(JupData!$A$2:$K$10000,MATCH($A511&amp;AB$1,JupData!$A$2:$A$10000&amp;JupData!$J$2:$J$10000,0),11))</f>
        <v/>
      </c>
      <c r="AC511" s="10" t="str">
        <f t="shared" si="77"/>
        <v/>
      </c>
      <c r="AD511" s="10" t="str">
        <f t="shared" si="78"/>
        <v/>
      </c>
      <c r="AE511" s="9" t="str">
        <f t="shared" si="79"/>
        <v/>
      </c>
      <c r="AF511" s="10" t="str">
        <f t="shared" si="80"/>
        <v/>
      </c>
      <c r="AG511" s="10" t="str">
        <f t="shared" si="81"/>
        <v/>
      </c>
      <c r="AH511" s="10" t="str">
        <f t="shared" si="82"/>
        <v/>
      </c>
      <c r="AI511" s="10" t="str">
        <f t="shared" si="83"/>
        <v/>
      </c>
      <c r="AJ511" s="10" t="str">
        <f t="shared" si="84"/>
        <v/>
      </c>
      <c r="AK511" s="10" t="str">
        <f t="shared" si="85"/>
        <v/>
      </c>
      <c r="AL511" s="14" t="str">
        <f t="shared" si="86"/>
        <v/>
      </c>
    </row>
    <row r="512" spans="1:38" x14ac:dyDescent="0.2">
      <c r="A512"/>
      <c r="B512" t="str">
        <f>IF($A512="","",VLOOKUP($A512,JupData!$A$2:$I$10000,4,FALSE))</f>
        <v/>
      </c>
      <c r="C512" s="7" t="str">
        <f>IF($A512="",IF(N(D512),0,""),VLOOKUP($A512,JupData!$A$2:$I$10000,7,FALSE))</f>
        <v/>
      </c>
      <c r="D512" t="str">
        <f t="shared" si="87"/>
        <v/>
      </c>
      <c r="E512" t="str">
        <f t="array" ref="E512">IF($A512="","",INDEX(JupData!$A$2:$K$10000,MATCH($A512&amp;E$1,JupData!$A$2:$A$10000&amp;JupData!$J$2:$J$10000,0),11))</f>
        <v/>
      </c>
      <c r="F512" t="str">
        <f t="array" ref="F512">IF($A512="","",INDEX(JupData!$A$2:$K$10000,MATCH($A512&amp;F$1,JupData!$A$2:$A$10000&amp;JupData!$J$2:$J$10000,0),11))</f>
        <v/>
      </c>
      <c r="G512" t="str">
        <f t="array" ref="G512">IF($A512="","",INDEX(JupData!$A$2:$K$10000,MATCH($A512&amp;G$1,JupData!$A$2:$A$10000&amp;JupData!$J$2:$J$10000,0),11))</f>
        <v/>
      </c>
      <c r="H512" t="str">
        <f t="array" ref="H512">IF($A512="","",INDEX(JupData!$A$2:$K$10000,MATCH($A512&amp;H$1,JupData!$A$2:$A$10000&amp;JupData!$J$2:$J$10000,0),11))</f>
        <v/>
      </c>
      <c r="I512" t="str">
        <f t="array" ref="I512">IF($A512="","",INDEX(JupData!$A$2:$K$10000,MATCH($A512&amp;I$1,JupData!$A$2:$A$10000&amp;JupData!$J$2:$J$10000,0),11))</f>
        <v/>
      </c>
      <c r="J512" t="str">
        <f t="array" ref="J512">IF($A512="","",INDEX(JupData!$A$2:$K$10000,MATCH($A512&amp;J$1,JupData!$A$2:$A$10000&amp;JupData!$J$2:$J$10000,0),11))</f>
        <v/>
      </c>
      <c r="K512" t="str">
        <f t="array" ref="K512">IF($A512="","",INDEX(JupData!$A$2:$K$10000,MATCH($A512&amp;K$1,JupData!$A$2:$A$10000&amp;JupData!$J$2:$J$10000,0),11))</f>
        <v/>
      </c>
      <c r="L512" t="str">
        <f t="array" ref="L512">IF($A512="","",INDEX(JupData!$A$2:$K$10000,MATCH($A512&amp;L$1,JupData!$A$2:$A$10000&amp;JupData!$J$2:$J$10000,0),11))</f>
        <v/>
      </c>
      <c r="M512" t="str">
        <f t="array" ref="M512">IF($A512="","",INDEX(JupData!$A$2:$K$10000,MATCH($A512&amp;M$1,JupData!$A$2:$A$10000&amp;JupData!$J$2:$J$10000,0),11))</f>
        <v/>
      </c>
      <c r="N512" t="str">
        <f t="array" ref="N512">IF($A512="","",INDEX(JupData!$A$2:$K$10000,MATCH($A512&amp;N$1,JupData!$A$2:$A$10000&amp;JupData!$J$2:$J$10000,0),11))</f>
        <v/>
      </c>
      <c r="O512" t="str">
        <f t="array" ref="O512">IF($A512="","",INDEX(JupData!$A$2:$K$10000,MATCH($A512&amp;O$1,JupData!$A$2:$A$10000&amp;JupData!$J$2:$J$10000,0),11))</f>
        <v/>
      </c>
      <c r="P512" t="str">
        <f t="array" ref="P512">IF($A512="","",INDEX(JupData!$A$2:$K$10000,MATCH($A512&amp;P$1,JupData!$A$2:$A$10000&amp;JupData!$J$2:$J$10000,0),11))</f>
        <v/>
      </c>
      <c r="Q512" t="str">
        <f t="array" ref="Q512">IF($A512="","",INDEX(JupData!$A$2:$K$10000,MATCH($A512&amp;Q$1,JupData!$A$2:$A$10000&amp;JupData!$J$2:$J$10000,0),11))</f>
        <v/>
      </c>
      <c r="R512" t="str">
        <f t="array" ref="R512">IF($A512="","",INDEX(JupData!$A$2:$K$10000,MATCH($A512&amp;R$1,JupData!$A$2:$A$10000&amp;JupData!$J$2:$J$10000,0),11))</f>
        <v/>
      </c>
      <c r="S512" t="str">
        <f t="array" ref="S512">IF($A512="","",INDEX(JupData!$A$2:$K$10000,MATCH($A512&amp;S$1,JupData!$A$2:$A$10000&amp;JupData!$J$2:$J$10000,0),11))</f>
        <v/>
      </c>
      <c r="T512" t="str">
        <f t="array" ref="T512">IF($A512="","",INDEX(JupData!$A$2:$K$10000,MATCH($A512&amp;T$1,JupData!$A$2:$A$10000&amp;JupData!$J$2:$J$10000,0),11))</f>
        <v/>
      </c>
      <c r="U512" t="str">
        <f t="array" ref="U512">IF($A512="","",INDEX(JupData!$A$2:$K$10000,MATCH($A512&amp;U$1,JupData!$A$2:$A$10000&amp;JupData!$J$2:$J$10000,0),11))</f>
        <v/>
      </c>
      <c r="V512" t="str">
        <f t="array" ref="V512">IF($A512="","",INDEX(JupData!$A$2:$K$10000,MATCH($A512&amp;V$1,JupData!$A$2:$A$10000&amp;JupData!$J$2:$J$10000,0),11))</f>
        <v/>
      </c>
      <c r="W512" t="str">
        <f t="array" ref="W512">IF($A512="","",INDEX(JupData!$A$2:$K$10000,MATCH($A512&amp;W$1,JupData!$A$2:$A$10000&amp;JupData!$J$2:$J$10000,0),11))</f>
        <v/>
      </c>
      <c r="X512" t="str">
        <f t="array" ref="X512">IF($A512="","",INDEX(JupData!$A$2:$K$10000,MATCH($A512&amp;X$1,JupData!$A$2:$A$10000&amp;JupData!$J$2:$J$10000,0),11))</f>
        <v/>
      </c>
      <c r="Y512" t="str">
        <f t="array" ref="Y512">IF($A512="","",INDEX(JupData!$A$2:$K$10000,MATCH($A512&amp;Y$1,JupData!$A$2:$A$10000&amp;JupData!$J$2:$J$10000,0),11))</f>
        <v/>
      </c>
      <c r="Z512" t="str">
        <f t="array" ref="Z512">IF($A512="","",INDEX(JupData!$A$2:$K$10000,MATCH($A512&amp;Z$1,JupData!$A$2:$A$10000&amp;JupData!$J$2:$J$10000,0),11))</f>
        <v/>
      </c>
      <c r="AA512" t="str">
        <f t="array" ref="AA512">IF($A512="","",INDEX(JupData!$A$2:$K$10000,MATCH($A512&amp;AA$1,JupData!$A$2:$A$10000&amp;JupData!$J$2:$J$10000,0),11))</f>
        <v/>
      </c>
      <c r="AB512" t="str">
        <f t="array" ref="AB512">IF($A512="","",INDEX(JupData!$A$2:$K$10000,MATCH($A512&amp;AB$1,JupData!$A$2:$A$10000&amp;JupData!$J$2:$J$10000,0),11))</f>
        <v/>
      </c>
      <c r="AC512" s="10" t="str">
        <f t="shared" si="77"/>
        <v/>
      </c>
      <c r="AD512" s="10" t="str">
        <f t="shared" si="78"/>
        <v/>
      </c>
      <c r="AE512" s="9" t="str">
        <f t="shared" si="79"/>
        <v/>
      </c>
      <c r="AF512" s="10" t="str">
        <f t="shared" si="80"/>
        <v/>
      </c>
      <c r="AG512" s="10" t="str">
        <f t="shared" si="81"/>
        <v/>
      </c>
      <c r="AH512" s="10" t="str">
        <f t="shared" si="82"/>
        <v/>
      </c>
      <c r="AI512" s="10" t="str">
        <f t="shared" si="83"/>
        <v/>
      </c>
      <c r="AJ512" s="10" t="str">
        <f t="shared" si="84"/>
        <v/>
      </c>
      <c r="AK512" s="10" t="str">
        <f t="shared" si="85"/>
        <v/>
      </c>
      <c r="AL512" s="14" t="str">
        <f t="shared" si="86"/>
        <v/>
      </c>
    </row>
    <row r="513" spans="1:38" x14ac:dyDescent="0.2">
      <c r="A513"/>
      <c r="B513" t="str">
        <f>IF($A513="","",VLOOKUP($A513,JupData!$A$2:$I$10000,4,FALSE))</f>
        <v/>
      </c>
      <c r="C513" s="7" t="str">
        <f>IF($A513="",IF(N(D513),0,""),VLOOKUP($A513,JupData!$A$2:$I$10000,7,FALSE))</f>
        <v/>
      </c>
      <c r="D513" t="str">
        <f t="shared" si="87"/>
        <v/>
      </c>
      <c r="E513" t="str">
        <f t="array" ref="E513">IF($A513="","",INDEX(JupData!$A$2:$K$10000,MATCH($A513&amp;E$1,JupData!$A$2:$A$10000&amp;JupData!$J$2:$J$10000,0),11))</f>
        <v/>
      </c>
      <c r="F513" t="str">
        <f t="array" ref="F513">IF($A513="","",INDEX(JupData!$A$2:$K$10000,MATCH($A513&amp;F$1,JupData!$A$2:$A$10000&amp;JupData!$J$2:$J$10000,0),11))</f>
        <v/>
      </c>
      <c r="G513" t="str">
        <f t="array" ref="G513">IF($A513="","",INDEX(JupData!$A$2:$K$10000,MATCH($A513&amp;G$1,JupData!$A$2:$A$10000&amp;JupData!$J$2:$J$10000,0),11))</f>
        <v/>
      </c>
      <c r="H513" t="str">
        <f t="array" ref="H513">IF($A513="","",INDEX(JupData!$A$2:$K$10000,MATCH($A513&amp;H$1,JupData!$A$2:$A$10000&amp;JupData!$J$2:$J$10000,0),11))</f>
        <v/>
      </c>
      <c r="I513" t="str">
        <f t="array" ref="I513">IF($A513="","",INDEX(JupData!$A$2:$K$10000,MATCH($A513&amp;I$1,JupData!$A$2:$A$10000&amp;JupData!$J$2:$J$10000,0),11))</f>
        <v/>
      </c>
      <c r="J513" t="str">
        <f t="array" ref="J513">IF($A513="","",INDEX(JupData!$A$2:$K$10000,MATCH($A513&amp;J$1,JupData!$A$2:$A$10000&amp;JupData!$J$2:$J$10000,0),11))</f>
        <v/>
      </c>
      <c r="K513" t="str">
        <f t="array" ref="K513">IF($A513="","",INDEX(JupData!$A$2:$K$10000,MATCH($A513&amp;K$1,JupData!$A$2:$A$10000&amp;JupData!$J$2:$J$10000,0),11))</f>
        <v/>
      </c>
      <c r="L513" t="str">
        <f t="array" ref="L513">IF($A513="","",INDEX(JupData!$A$2:$K$10000,MATCH($A513&amp;L$1,JupData!$A$2:$A$10000&amp;JupData!$J$2:$J$10000,0),11))</f>
        <v/>
      </c>
      <c r="M513" t="str">
        <f t="array" ref="M513">IF($A513="","",INDEX(JupData!$A$2:$K$10000,MATCH($A513&amp;M$1,JupData!$A$2:$A$10000&amp;JupData!$J$2:$J$10000,0),11))</f>
        <v/>
      </c>
      <c r="N513" t="str">
        <f t="array" ref="N513">IF($A513="","",INDEX(JupData!$A$2:$K$10000,MATCH($A513&amp;N$1,JupData!$A$2:$A$10000&amp;JupData!$J$2:$J$10000,0),11))</f>
        <v/>
      </c>
      <c r="O513" t="str">
        <f t="array" ref="O513">IF($A513="","",INDEX(JupData!$A$2:$K$10000,MATCH($A513&amp;O$1,JupData!$A$2:$A$10000&amp;JupData!$J$2:$J$10000,0),11))</f>
        <v/>
      </c>
      <c r="P513" t="str">
        <f t="array" ref="P513">IF($A513="","",INDEX(JupData!$A$2:$K$10000,MATCH($A513&amp;P$1,JupData!$A$2:$A$10000&amp;JupData!$J$2:$J$10000,0),11))</f>
        <v/>
      </c>
      <c r="Q513" t="str">
        <f t="array" ref="Q513">IF($A513="","",INDEX(JupData!$A$2:$K$10000,MATCH($A513&amp;Q$1,JupData!$A$2:$A$10000&amp;JupData!$J$2:$J$10000,0),11))</f>
        <v/>
      </c>
      <c r="R513" t="str">
        <f t="array" ref="R513">IF($A513="","",INDEX(JupData!$A$2:$K$10000,MATCH($A513&amp;R$1,JupData!$A$2:$A$10000&amp;JupData!$J$2:$J$10000,0),11))</f>
        <v/>
      </c>
      <c r="S513" t="str">
        <f t="array" ref="S513">IF($A513="","",INDEX(JupData!$A$2:$K$10000,MATCH($A513&amp;S$1,JupData!$A$2:$A$10000&amp;JupData!$J$2:$J$10000,0),11))</f>
        <v/>
      </c>
      <c r="T513" t="str">
        <f t="array" ref="T513">IF($A513="","",INDEX(JupData!$A$2:$K$10000,MATCH($A513&amp;T$1,JupData!$A$2:$A$10000&amp;JupData!$J$2:$J$10000,0),11))</f>
        <v/>
      </c>
      <c r="U513" t="str">
        <f t="array" ref="U513">IF($A513="","",INDEX(JupData!$A$2:$K$10000,MATCH($A513&amp;U$1,JupData!$A$2:$A$10000&amp;JupData!$J$2:$J$10000,0),11))</f>
        <v/>
      </c>
      <c r="V513" t="str">
        <f t="array" ref="V513">IF($A513="","",INDEX(JupData!$A$2:$K$10000,MATCH($A513&amp;V$1,JupData!$A$2:$A$10000&amp;JupData!$J$2:$J$10000,0),11))</f>
        <v/>
      </c>
      <c r="W513" t="str">
        <f t="array" ref="W513">IF($A513="","",INDEX(JupData!$A$2:$K$10000,MATCH($A513&amp;W$1,JupData!$A$2:$A$10000&amp;JupData!$J$2:$J$10000,0),11))</f>
        <v/>
      </c>
      <c r="X513" t="str">
        <f t="array" ref="X513">IF($A513="","",INDEX(JupData!$A$2:$K$10000,MATCH($A513&amp;X$1,JupData!$A$2:$A$10000&amp;JupData!$J$2:$J$10000,0),11))</f>
        <v/>
      </c>
      <c r="Y513" t="str">
        <f t="array" ref="Y513">IF($A513="","",INDEX(JupData!$A$2:$K$10000,MATCH($A513&amp;Y$1,JupData!$A$2:$A$10000&amp;JupData!$J$2:$J$10000,0),11))</f>
        <v/>
      </c>
      <c r="Z513" t="str">
        <f t="array" ref="Z513">IF($A513="","",INDEX(JupData!$A$2:$K$10000,MATCH($A513&amp;Z$1,JupData!$A$2:$A$10000&amp;JupData!$J$2:$J$10000,0),11))</f>
        <v/>
      </c>
      <c r="AA513" t="str">
        <f t="array" ref="AA513">IF($A513="","",INDEX(JupData!$A$2:$K$10000,MATCH($A513&amp;AA$1,JupData!$A$2:$A$10000&amp;JupData!$J$2:$J$10000,0),11))</f>
        <v/>
      </c>
      <c r="AB513" t="str">
        <f t="array" ref="AB513">IF($A513="","",INDEX(JupData!$A$2:$K$10000,MATCH($A513&amp;AB$1,JupData!$A$2:$A$10000&amp;JupData!$J$2:$J$10000,0),11))</f>
        <v/>
      </c>
      <c r="AC513" s="10" t="str">
        <f t="shared" si="77"/>
        <v/>
      </c>
      <c r="AD513" s="10" t="str">
        <f t="shared" si="78"/>
        <v/>
      </c>
      <c r="AE513" s="9" t="str">
        <f t="shared" si="79"/>
        <v/>
      </c>
      <c r="AF513" s="10" t="str">
        <f t="shared" si="80"/>
        <v/>
      </c>
      <c r="AG513" s="10" t="str">
        <f t="shared" si="81"/>
        <v/>
      </c>
      <c r="AH513" s="10" t="str">
        <f t="shared" si="82"/>
        <v/>
      </c>
      <c r="AI513" s="10" t="str">
        <f t="shared" si="83"/>
        <v/>
      </c>
      <c r="AJ513" s="10" t="str">
        <f t="shared" si="84"/>
        <v/>
      </c>
      <c r="AK513" s="10" t="str">
        <f t="shared" si="85"/>
        <v/>
      </c>
      <c r="AL513" s="14" t="str">
        <f t="shared" si="86"/>
        <v/>
      </c>
    </row>
    <row r="514" spans="1:38" x14ac:dyDescent="0.2">
      <c r="A514"/>
      <c r="B514" t="str">
        <f>IF($A514="","",VLOOKUP($A514,JupData!$A$2:$I$10000,4,FALSE))</f>
        <v/>
      </c>
      <c r="C514" s="7" t="str">
        <f>IF($A514="",IF(N(D514),0,""),VLOOKUP($A514,JupData!$A$2:$I$10000,7,FALSE))</f>
        <v/>
      </c>
      <c r="D514" t="str">
        <f t="shared" si="87"/>
        <v/>
      </c>
      <c r="E514" t="str">
        <f t="array" ref="E514">IF($A514="","",INDEX(JupData!$A$2:$K$10000,MATCH($A514&amp;E$1,JupData!$A$2:$A$10000&amp;JupData!$J$2:$J$10000,0),11))</f>
        <v/>
      </c>
      <c r="F514" t="str">
        <f t="array" ref="F514">IF($A514="","",INDEX(JupData!$A$2:$K$10000,MATCH($A514&amp;F$1,JupData!$A$2:$A$10000&amp;JupData!$J$2:$J$10000,0),11))</f>
        <v/>
      </c>
      <c r="G514" t="str">
        <f t="array" ref="G514">IF($A514="","",INDEX(JupData!$A$2:$K$10000,MATCH($A514&amp;G$1,JupData!$A$2:$A$10000&amp;JupData!$J$2:$J$10000,0),11))</f>
        <v/>
      </c>
      <c r="H514" t="str">
        <f t="array" ref="H514">IF($A514="","",INDEX(JupData!$A$2:$K$10000,MATCH($A514&amp;H$1,JupData!$A$2:$A$10000&amp;JupData!$J$2:$J$10000,0),11))</f>
        <v/>
      </c>
      <c r="I514" t="str">
        <f t="array" ref="I514">IF($A514="","",INDEX(JupData!$A$2:$K$10000,MATCH($A514&amp;I$1,JupData!$A$2:$A$10000&amp;JupData!$J$2:$J$10000,0),11))</f>
        <v/>
      </c>
      <c r="J514" t="str">
        <f t="array" ref="J514">IF($A514="","",INDEX(JupData!$A$2:$K$10000,MATCH($A514&amp;J$1,JupData!$A$2:$A$10000&amp;JupData!$J$2:$J$10000,0),11))</f>
        <v/>
      </c>
      <c r="K514" t="str">
        <f t="array" ref="K514">IF($A514="","",INDEX(JupData!$A$2:$K$10000,MATCH($A514&amp;K$1,JupData!$A$2:$A$10000&amp;JupData!$J$2:$J$10000,0),11))</f>
        <v/>
      </c>
      <c r="L514" t="str">
        <f t="array" ref="L514">IF($A514="","",INDEX(JupData!$A$2:$K$10000,MATCH($A514&amp;L$1,JupData!$A$2:$A$10000&amp;JupData!$J$2:$J$10000,0),11))</f>
        <v/>
      </c>
      <c r="M514" t="str">
        <f t="array" ref="M514">IF($A514="","",INDEX(JupData!$A$2:$K$10000,MATCH($A514&amp;M$1,JupData!$A$2:$A$10000&amp;JupData!$J$2:$J$10000,0),11))</f>
        <v/>
      </c>
      <c r="N514" t="str">
        <f t="array" ref="N514">IF($A514="","",INDEX(JupData!$A$2:$K$10000,MATCH($A514&amp;N$1,JupData!$A$2:$A$10000&amp;JupData!$J$2:$J$10000,0),11))</f>
        <v/>
      </c>
      <c r="O514" t="str">
        <f t="array" ref="O514">IF($A514="","",INDEX(JupData!$A$2:$K$10000,MATCH($A514&amp;O$1,JupData!$A$2:$A$10000&amp;JupData!$J$2:$J$10000,0),11))</f>
        <v/>
      </c>
      <c r="P514" t="str">
        <f t="array" ref="P514">IF($A514="","",INDEX(JupData!$A$2:$K$10000,MATCH($A514&amp;P$1,JupData!$A$2:$A$10000&amp;JupData!$J$2:$J$10000,0),11))</f>
        <v/>
      </c>
      <c r="Q514" t="str">
        <f t="array" ref="Q514">IF($A514="","",INDEX(JupData!$A$2:$K$10000,MATCH($A514&amp;Q$1,JupData!$A$2:$A$10000&amp;JupData!$J$2:$J$10000,0),11))</f>
        <v/>
      </c>
      <c r="R514" t="str">
        <f t="array" ref="R514">IF($A514="","",INDEX(JupData!$A$2:$K$10000,MATCH($A514&amp;R$1,JupData!$A$2:$A$10000&amp;JupData!$J$2:$J$10000,0),11))</f>
        <v/>
      </c>
      <c r="S514" t="str">
        <f t="array" ref="S514">IF($A514="","",INDEX(JupData!$A$2:$K$10000,MATCH($A514&amp;S$1,JupData!$A$2:$A$10000&amp;JupData!$J$2:$J$10000,0),11))</f>
        <v/>
      </c>
      <c r="T514" t="str">
        <f t="array" ref="T514">IF($A514="","",INDEX(JupData!$A$2:$K$10000,MATCH($A514&amp;T$1,JupData!$A$2:$A$10000&amp;JupData!$J$2:$J$10000,0),11))</f>
        <v/>
      </c>
      <c r="U514" t="str">
        <f t="array" ref="U514">IF($A514="","",INDEX(JupData!$A$2:$K$10000,MATCH($A514&amp;U$1,JupData!$A$2:$A$10000&amp;JupData!$J$2:$J$10000,0),11))</f>
        <v/>
      </c>
      <c r="V514" t="str">
        <f t="array" ref="V514">IF($A514="","",INDEX(JupData!$A$2:$K$10000,MATCH($A514&amp;V$1,JupData!$A$2:$A$10000&amp;JupData!$J$2:$J$10000,0),11))</f>
        <v/>
      </c>
      <c r="W514" t="str">
        <f t="array" ref="W514">IF($A514="","",INDEX(JupData!$A$2:$K$10000,MATCH($A514&amp;W$1,JupData!$A$2:$A$10000&amp;JupData!$J$2:$J$10000,0),11))</f>
        <v/>
      </c>
      <c r="X514" t="str">
        <f t="array" ref="X514">IF($A514="","",INDEX(JupData!$A$2:$K$10000,MATCH($A514&amp;X$1,JupData!$A$2:$A$10000&amp;JupData!$J$2:$J$10000,0),11))</f>
        <v/>
      </c>
      <c r="Y514" t="str">
        <f t="array" ref="Y514">IF($A514="","",INDEX(JupData!$A$2:$K$10000,MATCH($A514&amp;Y$1,JupData!$A$2:$A$10000&amp;JupData!$J$2:$J$10000,0),11))</f>
        <v/>
      </c>
      <c r="Z514" t="str">
        <f t="array" ref="Z514">IF($A514="","",INDEX(JupData!$A$2:$K$10000,MATCH($A514&amp;Z$1,JupData!$A$2:$A$10000&amp;JupData!$J$2:$J$10000,0),11))</f>
        <v/>
      </c>
      <c r="AA514" t="str">
        <f t="array" ref="AA514">IF($A514="","",INDEX(JupData!$A$2:$K$10000,MATCH($A514&amp;AA$1,JupData!$A$2:$A$10000&amp;JupData!$J$2:$J$10000,0),11))</f>
        <v/>
      </c>
      <c r="AB514" t="str">
        <f t="array" ref="AB514">IF($A514="","",INDEX(JupData!$A$2:$K$10000,MATCH($A514&amp;AB$1,JupData!$A$2:$A$10000&amp;JupData!$J$2:$J$10000,0),11))</f>
        <v/>
      </c>
      <c r="AC514" s="10" t="str">
        <f t="shared" si="77"/>
        <v/>
      </c>
      <c r="AD514" s="10" t="str">
        <f t="shared" si="78"/>
        <v/>
      </c>
      <c r="AE514" s="9" t="str">
        <f t="shared" si="79"/>
        <v/>
      </c>
      <c r="AF514" s="10" t="str">
        <f t="shared" si="80"/>
        <v/>
      </c>
      <c r="AG514" s="10" t="str">
        <f t="shared" si="81"/>
        <v/>
      </c>
      <c r="AH514" s="10" t="str">
        <f t="shared" si="82"/>
        <v/>
      </c>
      <c r="AI514" s="10" t="str">
        <f t="shared" si="83"/>
        <v/>
      </c>
      <c r="AJ514" s="10" t="str">
        <f t="shared" si="84"/>
        <v/>
      </c>
      <c r="AK514" s="10" t="str">
        <f t="shared" si="85"/>
        <v/>
      </c>
      <c r="AL514" s="14" t="str">
        <f t="shared" si="86"/>
        <v/>
      </c>
    </row>
    <row r="515" spans="1:38" x14ac:dyDescent="0.2">
      <c r="A515"/>
      <c r="B515" t="str">
        <f>IF($A515="","",VLOOKUP($A515,JupData!$A$2:$I$10000,4,FALSE))</f>
        <v/>
      </c>
      <c r="C515" s="7" t="str">
        <f>IF($A515="",IF(N(D515),0,""),VLOOKUP($A515,JupData!$A$2:$I$10000,7,FALSE))</f>
        <v/>
      </c>
      <c r="D515" t="str">
        <f t="shared" si="87"/>
        <v/>
      </c>
      <c r="E515" t="str">
        <f t="array" ref="E515">IF($A515="","",INDEX(JupData!$A$2:$K$10000,MATCH($A515&amp;E$1,JupData!$A$2:$A$10000&amp;JupData!$J$2:$J$10000,0),11))</f>
        <v/>
      </c>
      <c r="F515" t="str">
        <f t="array" ref="F515">IF($A515="","",INDEX(JupData!$A$2:$K$10000,MATCH($A515&amp;F$1,JupData!$A$2:$A$10000&amp;JupData!$J$2:$J$10000,0),11))</f>
        <v/>
      </c>
      <c r="G515" t="str">
        <f t="array" ref="G515">IF($A515="","",INDEX(JupData!$A$2:$K$10000,MATCH($A515&amp;G$1,JupData!$A$2:$A$10000&amp;JupData!$J$2:$J$10000,0),11))</f>
        <v/>
      </c>
      <c r="H515" t="str">
        <f t="array" ref="H515">IF($A515="","",INDEX(JupData!$A$2:$K$10000,MATCH($A515&amp;H$1,JupData!$A$2:$A$10000&amp;JupData!$J$2:$J$10000,0),11))</f>
        <v/>
      </c>
      <c r="I515" t="str">
        <f t="array" ref="I515">IF($A515="","",INDEX(JupData!$A$2:$K$10000,MATCH($A515&amp;I$1,JupData!$A$2:$A$10000&amp;JupData!$J$2:$J$10000,0),11))</f>
        <v/>
      </c>
      <c r="J515" t="str">
        <f t="array" ref="J515">IF($A515="","",INDEX(JupData!$A$2:$K$10000,MATCH($A515&amp;J$1,JupData!$A$2:$A$10000&amp;JupData!$J$2:$J$10000,0),11))</f>
        <v/>
      </c>
      <c r="K515" t="str">
        <f t="array" ref="K515">IF($A515="","",INDEX(JupData!$A$2:$K$10000,MATCH($A515&amp;K$1,JupData!$A$2:$A$10000&amp;JupData!$J$2:$J$10000,0),11))</f>
        <v/>
      </c>
      <c r="L515" t="str">
        <f t="array" ref="L515">IF($A515="","",INDEX(JupData!$A$2:$K$10000,MATCH($A515&amp;L$1,JupData!$A$2:$A$10000&amp;JupData!$J$2:$J$10000,0),11))</f>
        <v/>
      </c>
      <c r="M515" t="str">
        <f t="array" ref="M515">IF($A515="","",INDEX(JupData!$A$2:$K$10000,MATCH($A515&amp;M$1,JupData!$A$2:$A$10000&amp;JupData!$J$2:$J$10000,0),11))</f>
        <v/>
      </c>
      <c r="N515" t="str">
        <f t="array" ref="N515">IF($A515="","",INDEX(JupData!$A$2:$K$10000,MATCH($A515&amp;N$1,JupData!$A$2:$A$10000&amp;JupData!$J$2:$J$10000,0),11))</f>
        <v/>
      </c>
      <c r="O515" t="str">
        <f t="array" ref="O515">IF($A515="","",INDEX(JupData!$A$2:$K$10000,MATCH($A515&amp;O$1,JupData!$A$2:$A$10000&amp;JupData!$J$2:$J$10000,0),11))</f>
        <v/>
      </c>
      <c r="P515" t="str">
        <f t="array" ref="P515">IF($A515="","",INDEX(JupData!$A$2:$K$10000,MATCH($A515&amp;P$1,JupData!$A$2:$A$10000&amp;JupData!$J$2:$J$10000,0),11))</f>
        <v/>
      </c>
      <c r="Q515" t="str">
        <f t="array" ref="Q515">IF($A515="","",INDEX(JupData!$A$2:$K$10000,MATCH($A515&amp;Q$1,JupData!$A$2:$A$10000&amp;JupData!$J$2:$J$10000,0),11))</f>
        <v/>
      </c>
      <c r="R515" t="str">
        <f t="array" ref="R515">IF($A515="","",INDEX(JupData!$A$2:$K$10000,MATCH($A515&amp;R$1,JupData!$A$2:$A$10000&amp;JupData!$J$2:$J$10000,0),11))</f>
        <v/>
      </c>
      <c r="S515" t="str">
        <f t="array" ref="S515">IF($A515="","",INDEX(JupData!$A$2:$K$10000,MATCH($A515&amp;S$1,JupData!$A$2:$A$10000&amp;JupData!$J$2:$J$10000,0),11))</f>
        <v/>
      </c>
      <c r="T515" t="str">
        <f t="array" ref="T515">IF($A515="","",INDEX(JupData!$A$2:$K$10000,MATCH($A515&amp;T$1,JupData!$A$2:$A$10000&amp;JupData!$J$2:$J$10000,0),11))</f>
        <v/>
      </c>
      <c r="U515" t="str">
        <f t="array" ref="U515">IF($A515="","",INDEX(JupData!$A$2:$K$10000,MATCH($A515&amp;U$1,JupData!$A$2:$A$10000&amp;JupData!$J$2:$J$10000,0),11))</f>
        <v/>
      </c>
      <c r="V515" t="str">
        <f t="array" ref="V515">IF($A515="","",INDEX(JupData!$A$2:$K$10000,MATCH($A515&amp;V$1,JupData!$A$2:$A$10000&amp;JupData!$J$2:$J$10000,0),11))</f>
        <v/>
      </c>
      <c r="W515" t="str">
        <f t="array" ref="W515">IF($A515="","",INDEX(JupData!$A$2:$K$10000,MATCH($A515&amp;W$1,JupData!$A$2:$A$10000&amp;JupData!$J$2:$J$10000,0),11))</f>
        <v/>
      </c>
      <c r="X515" t="str">
        <f t="array" ref="X515">IF($A515="","",INDEX(JupData!$A$2:$K$10000,MATCH($A515&amp;X$1,JupData!$A$2:$A$10000&amp;JupData!$J$2:$J$10000,0),11))</f>
        <v/>
      </c>
      <c r="Y515" t="str">
        <f t="array" ref="Y515">IF($A515="","",INDEX(JupData!$A$2:$K$10000,MATCH($A515&amp;Y$1,JupData!$A$2:$A$10000&amp;JupData!$J$2:$J$10000,0),11))</f>
        <v/>
      </c>
      <c r="Z515" t="str">
        <f t="array" ref="Z515">IF($A515="","",INDEX(JupData!$A$2:$K$10000,MATCH($A515&amp;Z$1,JupData!$A$2:$A$10000&amp;JupData!$J$2:$J$10000,0),11))</f>
        <v/>
      </c>
      <c r="AA515" t="str">
        <f t="array" ref="AA515">IF($A515="","",INDEX(JupData!$A$2:$K$10000,MATCH($A515&amp;AA$1,JupData!$A$2:$A$10000&amp;JupData!$J$2:$J$10000,0),11))</f>
        <v/>
      </c>
      <c r="AB515" t="str">
        <f t="array" ref="AB515">IF($A515="","",INDEX(JupData!$A$2:$K$10000,MATCH($A515&amp;AB$1,JupData!$A$2:$A$10000&amp;JupData!$J$2:$J$10000,0),11))</f>
        <v/>
      </c>
      <c r="AC515" s="10" t="str">
        <f t="shared" ref="AC515:AC578" si="88">IF(A515="","",2*H515/40.08+2*I515/24.3+J515/22.99+K515/39.1+Y515/18.04)</f>
        <v/>
      </c>
      <c r="AD515" s="10" t="str">
        <f t="shared" ref="AD515:AD578" si="89">IF(A515="","",R515/61.02+2*S515/96.06+T515/35.45+U515/19+W515/62)</f>
        <v/>
      </c>
      <c r="AE515" s="9" t="str">
        <f t="shared" ref="AE515:AE578" si="90">IF(A515="","",IF(AD515&lt;0,((AC515+AD515)/(AC515-AD515)),((AC515-AD515)/(AC515+AD515))))</f>
        <v/>
      </c>
      <c r="AF515" s="10" t="str">
        <f t="shared" ref="AF515:AF578" si="91">IF(A515="","",(J515/22.99)/(T515/35.45))</f>
        <v/>
      </c>
      <c r="AG515" s="10" t="str">
        <f t="shared" ref="AG515:AG578" si="92">IF(A515="","",2*((H515/40.08)+(I515/24.3))/(R515/61.02))</f>
        <v/>
      </c>
      <c r="AH515" s="10" t="str">
        <f t="shared" ref="AH515:AH578" si="93">IF(A515="","",(J515/22.99)/((J515/22.99)+2*(H515/40.08)))</f>
        <v/>
      </c>
      <c r="AI515" s="10" t="str">
        <f t="shared" ref="AI515:AI578" si="94">IF(A515="","",H515/40.08)</f>
        <v/>
      </c>
      <c r="AJ515" s="10" t="str">
        <f t="shared" ref="AJ515:AJ578" si="95">IF(A515="","",S515/96.06)</f>
        <v/>
      </c>
      <c r="AK515" s="10" t="str">
        <f t="shared" ref="AK515:AK578" si="96">IF(A515="","",IF(W515&gt;=1,IF(L515&lt;0.2,IF(G515&gt;1,"A","B"),"X1"),IF(L515&gt;=0.2,IF(S515&gt;=20,IF(S515&gt;70,"C2","C1"),IF(AG515&lt;=1,"D","X3")),"X2")))</f>
        <v/>
      </c>
      <c r="AL515" s="14" t="str">
        <f t="shared" ref="AL515:AL578" si="97">IF(F515="","",(H515/40.1+I515/24.3)*5.6)</f>
        <v/>
      </c>
    </row>
    <row r="516" spans="1:38" x14ac:dyDescent="0.2">
      <c r="A516"/>
      <c r="B516" t="str">
        <f>IF($A516="","",VLOOKUP($A516,JupData!$A$2:$I$10000,4,FALSE))</f>
        <v/>
      </c>
      <c r="C516" s="7" t="str">
        <f>IF($A516="",IF(N(D516),0,""),VLOOKUP($A516,JupData!$A$2:$I$10000,7,FALSE))</f>
        <v/>
      </c>
      <c r="D516" t="str">
        <f t="shared" ref="D516:D579" si="98">IF(A516="",IF(D515&lt;20,D515+1,""),IF(B515="",1,IF(B515=B516,D515,D515+1)))</f>
        <v/>
      </c>
      <c r="E516" t="str">
        <f t="array" ref="E516">IF($A516="","",INDEX(JupData!$A$2:$K$10000,MATCH($A516&amp;E$1,JupData!$A$2:$A$10000&amp;JupData!$J$2:$J$10000,0),11))</f>
        <v/>
      </c>
      <c r="F516" t="str">
        <f t="array" ref="F516">IF($A516="","",INDEX(JupData!$A$2:$K$10000,MATCH($A516&amp;F$1,JupData!$A$2:$A$10000&amp;JupData!$J$2:$J$10000,0),11))</f>
        <v/>
      </c>
      <c r="G516" t="str">
        <f t="array" ref="G516">IF($A516="","",INDEX(JupData!$A$2:$K$10000,MATCH($A516&amp;G$1,JupData!$A$2:$A$10000&amp;JupData!$J$2:$J$10000,0),11))</f>
        <v/>
      </c>
      <c r="H516" t="str">
        <f t="array" ref="H516">IF($A516="","",INDEX(JupData!$A$2:$K$10000,MATCH($A516&amp;H$1,JupData!$A$2:$A$10000&amp;JupData!$J$2:$J$10000,0),11))</f>
        <v/>
      </c>
      <c r="I516" t="str">
        <f t="array" ref="I516">IF($A516="","",INDEX(JupData!$A$2:$K$10000,MATCH($A516&amp;I$1,JupData!$A$2:$A$10000&amp;JupData!$J$2:$J$10000,0),11))</f>
        <v/>
      </c>
      <c r="J516" t="str">
        <f t="array" ref="J516">IF($A516="","",INDEX(JupData!$A$2:$K$10000,MATCH($A516&amp;J$1,JupData!$A$2:$A$10000&amp;JupData!$J$2:$J$10000,0),11))</f>
        <v/>
      </c>
      <c r="K516" t="str">
        <f t="array" ref="K516">IF($A516="","",INDEX(JupData!$A$2:$K$10000,MATCH($A516&amp;K$1,JupData!$A$2:$A$10000&amp;JupData!$J$2:$J$10000,0),11))</f>
        <v/>
      </c>
      <c r="L516" t="str">
        <f t="array" ref="L516">IF($A516="","",INDEX(JupData!$A$2:$K$10000,MATCH($A516&amp;L$1,JupData!$A$2:$A$10000&amp;JupData!$J$2:$J$10000,0),11))</f>
        <v/>
      </c>
      <c r="M516" t="str">
        <f t="array" ref="M516">IF($A516="","",INDEX(JupData!$A$2:$K$10000,MATCH($A516&amp;M$1,JupData!$A$2:$A$10000&amp;JupData!$J$2:$J$10000,0),11))</f>
        <v/>
      </c>
      <c r="N516" t="str">
        <f t="array" ref="N516">IF($A516="","",INDEX(JupData!$A$2:$K$10000,MATCH($A516&amp;N$1,JupData!$A$2:$A$10000&amp;JupData!$J$2:$J$10000,0),11))</f>
        <v/>
      </c>
      <c r="O516" t="str">
        <f t="array" ref="O516">IF($A516="","",INDEX(JupData!$A$2:$K$10000,MATCH($A516&amp;O$1,JupData!$A$2:$A$10000&amp;JupData!$J$2:$J$10000,0),11))</f>
        <v/>
      </c>
      <c r="P516" t="str">
        <f t="array" ref="P516">IF($A516="","",INDEX(JupData!$A$2:$K$10000,MATCH($A516&amp;P$1,JupData!$A$2:$A$10000&amp;JupData!$J$2:$J$10000,0),11))</f>
        <v/>
      </c>
      <c r="Q516" t="str">
        <f t="array" ref="Q516">IF($A516="","",INDEX(JupData!$A$2:$K$10000,MATCH($A516&amp;Q$1,JupData!$A$2:$A$10000&amp;JupData!$J$2:$J$10000,0),11))</f>
        <v/>
      </c>
      <c r="R516" t="str">
        <f t="array" ref="R516">IF($A516="","",INDEX(JupData!$A$2:$K$10000,MATCH($A516&amp;R$1,JupData!$A$2:$A$10000&amp;JupData!$J$2:$J$10000,0),11))</f>
        <v/>
      </c>
      <c r="S516" t="str">
        <f t="array" ref="S516">IF($A516="","",INDEX(JupData!$A$2:$K$10000,MATCH($A516&amp;S$1,JupData!$A$2:$A$10000&amp;JupData!$J$2:$J$10000,0),11))</f>
        <v/>
      </c>
      <c r="T516" t="str">
        <f t="array" ref="T516">IF($A516="","",INDEX(JupData!$A$2:$K$10000,MATCH($A516&amp;T$1,JupData!$A$2:$A$10000&amp;JupData!$J$2:$J$10000,0),11))</f>
        <v/>
      </c>
      <c r="U516" t="str">
        <f t="array" ref="U516">IF($A516="","",INDEX(JupData!$A$2:$K$10000,MATCH($A516&amp;U$1,JupData!$A$2:$A$10000&amp;JupData!$J$2:$J$10000,0),11))</f>
        <v/>
      </c>
      <c r="V516" t="str">
        <f t="array" ref="V516">IF($A516="","",INDEX(JupData!$A$2:$K$10000,MATCH($A516&amp;V$1,JupData!$A$2:$A$10000&amp;JupData!$J$2:$J$10000,0),11))</f>
        <v/>
      </c>
      <c r="W516" t="str">
        <f t="array" ref="W516">IF($A516="","",INDEX(JupData!$A$2:$K$10000,MATCH($A516&amp;W$1,JupData!$A$2:$A$10000&amp;JupData!$J$2:$J$10000,0),11))</f>
        <v/>
      </c>
      <c r="X516" t="str">
        <f t="array" ref="X516">IF($A516="","",INDEX(JupData!$A$2:$K$10000,MATCH($A516&amp;X$1,JupData!$A$2:$A$10000&amp;JupData!$J$2:$J$10000,0),11))</f>
        <v/>
      </c>
      <c r="Y516" t="str">
        <f t="array" ref="Y516">IF($A516="","",INDEX(JupData!$A$2:$K$10000,MATCH($A516&amp;Y$1,JupData!$A$2:$A$10000&amp;JupData!$J$2:$J$10000,0),11))</f>
        <v/>
      </c>
      <c r="Z516" t="str">
        <f t="array" ref="Z516">IF($A516="","",INDEX(JupData!$A$2:$K$10000,MATCH($A516&amp;Z$1,JupData!$A$2:$A$10000&amp;JupData!$J$2:$J$10000,0),11))</f>
        <v/>
      </c>
      <c r="AA516" t="str">
        <f t="array" ref="AA516">IF($A516="","",INDEX(JupData!$A$2:$K$10000,MATCH($A516&amp;AA$1,JupData!$A$2:$A$10000&amp;JupData!$J$2:$J$10000,0),11))</f>
        <v/>
      </c>
      <c r="AB516" t="str">
        <f t="array" ref="AB516">IF($A516="","",INDEX(JupData!$A$2:$K$10000,MATCH($A516&amp;AB$1,JupData!$A$2:$A$10000&amp;JupData!$J$2:$J$10000,0),11))</f>
        <v/>
      </c>
      <c r="AC516" s="10" t="str">
        <f t="shared" si="88"/>
        <v/>
      </c>
      <c r="AD516" s="10" t="str">
        <f t="shared" si="89"/>
        <v/>
      </c>
      <c r="AE516" s="9" t="str">
        <f t="shared" si="90"/>
        <v/>
      </c>
      <c r="AF516" s="10" t="str">
        <f t="shared" si="91"/>
        <v/>
      </c>
      <c r="AG516" s="10" t="str">
        <f t="shared" si="92"/>
        <v/>
      </c>
      <c r="AH516" s="10" t="str">
        <f t="shared" si="93"/>
        <v/>
      </c>
      <c r="AI516" s="10" t="str">
        <f t="shared" si="94"/>
        <v/>
      </c>
      <c r="AJ516" s="10" t="str">
        <f t="shared" si="95"/>
        <v/>
      </c>
      <c r="AK516" s="10" t="str">
        <f t="shared" si="96"/>
        <v/>
      </c>
      <c r="AL516" s="14" t="str">
        <f t="shared" si="97"/>
        <v/>
      </c>
    </row>
    <row r="517" spans="1:38" x14ac:dyDescent="0.2">
      <c r="A517"/>
      <c r="B517" t="str">
        <f>IF($A517="","",VLOOKUP($A517,JupData!$A$2:$I$10000,4,FALSE))</f>
        <v/>
      </c>
      <c r="C517" s="7" t="str">
        <f>IF($A517="",IF(N(D517),0,""),VLOOKUP($A517,JupData!$A$2:$I$10000,7,FALSE))</f>
        <v/>
      </c>
      <c r="D517" t="str">
        <f t="shared" si="98"/>
        <v/>
      </c>
      <c r="E517" t="str">
        <f t="array" ref="E517">IF($A517="","",INDEX(JupData!$A$2:$K$10000,MATCH($A517&amp;E$1,JupData!$A$2:$A$10000&amp;JupData!$J$2:$J$10000,0),11))</f>
        <v/>
      </c>
      <c r="F517" t="str">
        <f t="array" ref="F517">IF($A517="","",INDEX(JupData!$A$2:$K$10000,MATCH($A517&amp;F$1,JupData!$A$2:$A$10000&amp;JupData!$J$2:$J$10000,0),11))</f>
        <v/>
      </c>
      <c r="G517" t="str">
        <f t="array" ref="G517">IF($A517="","",INDEX(JupData!$A$2:$K$10000,MATCH($A517&amp;G$1,JupData!$A$2:$A$10000&amp;JupData!$J$2:$J$10000,0),11))</f>
        <v/>
      </c>
      <c r="H517" t="str">
        <f t="array" ref="H517">IF($A517="","",INDEX(JupData!$A$2:$K$10000,MATCH($A517&amp;H$1,JupData!$A$2:$A$10000&amp;JupData!$J$2:$J$10000,0),11))</f>
        <v/>
      </c>
      <c r="I517" t="str">
        <f t="array" ref="I517">IF($A517="","",INDEX(JupData!$A$2:$K$10000,MATCH($A517&amp;I$1,JupData!$A$2:$A$10000&amp;JupData!$J$2:$J$10000,0),11))</f>
        <v/>
      </c>
      <c r="J517" t="str">
        <f t="array" ref="J517">IF($A517="","",INDEX(JupData!$A$2:$K$10000,MATCH($A517&amp;J$1,JupData!$A$2:$A$10000&amp;JupData!$J$2:$J$10000,0),11))</f>
        <v/>
      </c>
      <c r="K517" t="str">
        <f t="array" ref="K517">IF($A517="","",INDEX(JupData!$A$2:$K$10000,MATCH($A517&amp;K$1,JupData!$A$2:$A$10000&amp;JupData!$J$2:$J$10000,0),11))</f>
        <v/>
      </c>
      <c r="L517" t="str">
        <f t="array" ref="L517">IF($A517="","",INDEX(JupData!$A$2:$K$10000,MATCH($A517&amp;L$1,JupData!$A$2:$A$10000&amp;JupData!$J$2:$J$10000,0),11))</f>
        <v/>
      </c>
      <c r="M517" t="str">
        <f t="array" ref="M517">IF($A517="","",INDEX(JupData!$A$2:$K$10000,MATCH($A517&amp;M$1,JupData!$A$2:$A$10000&amp;JupData!$J$2:$J$10000,0),11))</f>
        <v/>
      </c>
      <c r="N517" t="str">
        <f t="array" ref="N517">IF($A517="","",INDEX(JupData!$A$2:$K$10000,MATCH($A517&amp;N$1,JupData!$A$2:$A$10000&amp;JupData!$J$2:$J$10000,0),11))</f>
        <v/>
      </c>
      <c r="O517" t="str">
        <f t="array" ref="O517">IF($A517="","",INDEX(JupData!$A$2:$K$10000,MATCH($A517&amp;O$1,JupData!$A$2:$A$10000&amp;JupData!$J$2:$J$10000,0),11))</f>
        <v/>
      </c>
      <c r="P517" t="str">
        <f t="array" ref="P517">IF($A517="","",INDEX(JupData!$A$2:$K$10000,MATCH($A517&amp;P$1,JupData!$A$2:$A$10000&amp;JupData!$J$2:$J$10000,0),11))</f>
        <v/>
      </c>
      <c r="Q517" t="str">
        <f t="array" ref="Q517">IF($A517="","",INDEX(JupData!$A$2:$K$10000,MATCH($A517&amp;Q$1,JupData!$A$2:$A$10000&amp;JupData!$J$2:$J$10000,0),11))</f>
        <v/>
      </c>
      <c r="R517" t="str">
        <f t="array" ref="R517">IF($A517="","",INDEX(JupData!$A$2:$K$10000,MATCH($A517&amp;R$1,JupData!$A$2:$A$10000&amp;JupData!$J$2:$J$10000,0),11))</f>
        <v/>
      </c>
      <c r="S517" t="str">
        <f t="array" ref="S517">IF($A517="","",INDEX(JupData!$A$2:$K$10000,MATCH($A517&amp;S$1,JupData!$A$2:$A$10000&amp;JupData!$J$2:$J$10000,0),11))</f>
        <v/>
      </c>
      <c r="T517" t="str">
        <f t="array" ref="T517">IF($A517="","",INDEX(JupData!$A$2:$K$10000,MATCH($A517&amp;T$1,JupData!$A$2:$A$10000&amp;JupData!$J$2:$J$10000,0),11))</f>
        <v/>
      </c>
      <c r="U517" t="str">
        <f t="array" ref="U517">IF($A517="","",INDEX(JupData!$A$2:$K$10000,MATCH($A517&amp;U$1,JupData!$A$2:$A$10000&amp;JupData!$J$2:$J$10000,0),11))</f>
        <v/>
      </c>
      <c r="V517" t="str">
        <f t="array" ref="V517">IF($A517="","",INDEX(JupData!$A$2:$K$10000,MATCH($A517&amp;V$1,JupData!$A$2:$A$10000&amp;JupData!$J$2:$J$10000,0),11))</f>
        <v/>
      </c>
      <c r="W517" t="str">
        <f t="array" ref="W517">IF($A517="","",INDEX(JupData!$A$2:$K$10000,MATCH($A517&amp;W$1,JupData!$A$2:$A$10000&amp;JupData!$J$2:$J$10000,0),11))</f>
        <v/>
      </c>
      <c r="X517" t="str">
        <f t="array" ref="X517">IF($A517="","",INDEX(JupData!$A$2:$K$10000,MATCH($A517&amp;X$1,JupData!$A$2:$A$10000&amp;JupData!$J$2:$J$10000,0),11))</f>
        <v/>
      </c>
      <c r="Y517" t="str">
        <f t="array" ref="Y517">IF($A517="","",INDEX(JupData!$A$2:$K$10000,MATCH($A517&amp;Y$1,JupData!$A$2:$A$10000&amp;JupData!$J$2:$J$10000,0),11))</f>
        <v/>
      </c>
      <c r="Z517" t="str">
        <f t="array" ref="Z517">IF($A517="","",INDEX(JupData!$A$2:$K$10000,MATCH($A517&amp;Z$1,JupData!$A$2:$A$10000&amp;JupData!$J$2:$J$10000,0),11))</f>
        <v/>
      </c>
      <c r="AA517" t="str">
        <f t="array" ref="AA517">IF($A517="","",INDEX(JupData!$A$2:$K$10000,MATCH($A517&amp;AA$1,JupData!$A$2:$A$10000&amp;JupData!$J$2:$J$10000,0),11))</f>
        <v/>
      </c>
      <c r="AB517" t="str">
        <f t="array" ref="AB517">IF($A517="","",INDEX(JupData!$A$2:$K$10000,MATCH($A517&amp;AB$1,JupData!$A$2:$A$10000&amp;JupData!$J$2:$J$10000,0),11))</f>
        <v/>
      </c>
      <c r="AC517" s="10" t="str">
        <f t="shared" si="88"/>
        <v/>
      </c>
      <c r="AD517" s="10" t="str">
        <f t="shared" si="89"/>
        <v/>
      </c>
      <c r="AE517" s="9" t="str">
        <f t="shared" si="90"/>
        <v/>
      </c>
      <c r="AF517" s="10" t="str">
        <f t="shared" si="91"/>
        <v/>
      </c>
      <c r="AG517" s="10" t="str">
        <f t="shared" si="92"/>
        <v/>
      </c>
      <c r="AH517" s="10" t="str">
        <f t="shared" si="93"/>
        <v/>
      </c>
      <c r="AI517" s="10" t="str">
        <f t="shared" si="94"/>
        <v/>
      </c>
      <c r="AJ517" s="10" t="str">
        <f t="shared" si="95"/>
        <v/>
      </c>
      <c r="AK517" s="10" t="str">
        <f t="shared" si="96"/>
        <v/>
      </c>
      <c r="AL517" s="14" t="str">
        <f t="shared" si="97"/>
        <v/>
      </c>
    </row>
    <row r="518" spans="1:38" x14ac:dyDescent="0.2">
      <c r="A518"/>
      <c r="B518" t="str">
        <f>IF($A518="","",VLOOKUP($A518,JupData!$A$2:$I$10000,4,FALSE))</f>
        <v/>
      </c>
      <c r="C518" s="7" t="str">
        <f>IF($A518="",IF(N(D518),0,""),VLOOKUP($A518,JupData!$A$2:$I$10000,7,FALSE))</f>
        <v/>
      </c>
      <c r="D518" t="str">
        <f t="shared" si="98"/>
        <v/>
      </c>
      <c r="E518" t="str">
        <f t="array" ref="E518">IF($A518="","",INDEX(JupData!$A$2:$K$10000,MATCH($A518&amp;E$1,JupData!$A$2:$A$10000&amp;JupData!$J$2:$J$10000,0),11))</f>
        <v/>
      </c>
      <c r="F518" t="str">
        <f t="array" ref="F518">IF($A518="","",INDEX(JupData!$A$2:$K$10000,MATCH($A518&amp;F$1,JupData!$A$2:$A$10000&amp;JupData!$J$2:$J$10000,0),11))</f>
        <v/>
      </c>
      <c r="G518" t="str">
        <f t="array" ref="G518">IF($A518="","",INDEX(JupData!$A$2:$K$10000,MATCH($A518&amp;G$1,JupData!$A$2:$A$10000&amp;JupData!$J$2:$J$10000,0),11))</f>
        <v/>
      </c>
      <c r="H518" t="str">
        <f t="array" ref="H518">IF($A518="","",INDEX(JupData!$A$2:$K$10000,MATCH($A518&amp;H$1,JupData!$A$2:$A$10000&amp;JupData!$J$2:$J$10000,0),11))</f>
        <v/>
      </c>
      <c r="I518" t="str">
        <f t="array" ref="I518">IF($A518="","",INDEX(JupData!$A$2:$K$10000,MATCH($A518&amp;I$1,JupData!$A$2:$A$10000&amp;JupData!$J$2:$J$10000,0),11))</f>
        <v/>
      </c>
      <c r="J518" t="str">
        <f t="array" ref="J518">IF($A518="","",INDEX(JupData!$A$2:$K$10000,MATCH($A518&amp;J$1,JupData!$A$2:$A$10000&amp;JupData!$J$2:$J$10000,0),11))</f>
        <v/>
      </c>
      <c r="K518" t="str">
        <f t="array" ref="K518">IF($A518="","",INDEX(JupData!$A$2:$K$10000,MATCH($A518&amp;K$1,JupData!$A$2:$A$10000&amp;JupData!$J$2:$J$10000,0),11))</f>
        <v/>
      </c>
      <c r="L518" t="str">
        <f t="array" ref="L518">IF($A518="","",INDEX(JupData!$A$2:$K$10000,MATCH($A518&amp;L$1,JupData!$A$2:$A$10000&amp;JupData!$J$2:$J$10000,0),11))</f>
        <v/>
      </c>
      <c r="M518" t="str">
        <f t="array" ref="M518">IF($A518="","",INDEX(JupData!$A$2:$K$10000,MATCH($A518&amp;M$1,JupData!$A$2:$A$10000&amp;JupData!$J$2:$J$10000,0),11))</f>
        <v/>
      </c>
      <c r="N518" t="str">
        <f t="array" ref="N518">IF($A518="","",INDEX(JupData!$A$2:$K$10000,MATCH($A518&amp;N$1,JupData!$A$2:$A$10000&amp;JupData!$J$2:$J$10000,0),11))</f>
        <v/>
      </c>
      <c r="O518" t="str">
        <f t="array" ref="O518">IF($A518="","",INDEX(JupData!$A$2:$K$10000,MATCH($A518&amp;O$1,JupData!$A$2:$A$10000&amp;JupData!$J$2:$J$10000,0),11))</f>
        <v/>
      </c>
      <c r="P518" t="str">
        <f t="array" ref="P518">IF($A518="","",INDEX(JupData!$A$2:$K$10000,MATCH($A518&amp;P$1,JupData!$A$2:$A$10000&amp;JupData!$J$2:$J$10000,0),11))</f>
        <v/>
      </c>
      <c r="Q518" t="str">
        <f t="array" ref="Q518">IF($A518="","",INDEX(JupData!$A$2:$K$10000,MATCH($A518&amp;Q$1,JupData!$A$2:$A$10000&amp;JupData!$J$2:$J$10000,0),11))</f>
        <v/>
      </c>
      <c r="R518" t="str">
        <f t="array" ref="R518">IF($A518="","",INDEX(JupData!$A$2:$K$10000,MATCH($A518&amp;R$1,JupData!$A$2:$A$10000&amp;JupData!$J$2:$J$10000,0),11))</f>
        <v/>
      </c>
      <c r="S518" t="str">
        <f t="array" ref="S518">IF($A518="","",INDEX(JupData!$A$2:$K$10000,MATCH($A518&amp;S$1,JupData!$A$2:$A$10000&amp;JupData!$J$2:$J$10000,0),11))</f>
        <v/>
      </c>
      <c r="T518" t="str">
        <f t="array" ref="T518">IF($A518="","",INDEX(JupData!$A$2:$K$10000,MATCH($A518&amp;T$1,JupData!$A$2:$A$10000&amp;JupData!$J$2:$J$10000,0),11))</f>
        <v/>
      </c>
      <c r="U518" t="str">
        <f t="array" ref="U518">IF($A518="","",INDEX(JupData!$A$2:$K$10000,MATCH($A518&amp;U$1,JupData!$A$2:$A$10000&amp;JupData!$J$2:$J$10000,0),11))</f>
        <v/>
      </c>
      <c r="V518" t="str">
        <f t="array" ref="V518">IF($A518="","",INDEX(JupData!$A$2:$K$10000,MATCH($A518&amp;V$1,JupData!$A$2:$A$10000&amp;JupData!$J$2:$J$10000,0),11))</f>
        <v/>
      </c>
      <c r="W518" t="str">
        <f t="array" ref="W518">IF($A518="","",INDEX(JupData!$A$2:$K$10000,MATCH($A518&amp;W$1,JupData!$A$2:$A$10000&amp;JupData!$J$2:$J$10000,0),11))</f>
        <v/>
      </c>
      <c r="X518" t="str">
        <f t="array" ref="X518">IF($A518="","",INDEX(JupData!$A$2:$K$10000,MATCH($A518&amp;X$1,JupData!$A$2:$A$10000&amp;JupData!$J$2:$J$10000,0),11))</f>
        <v/>
      </c>
      <c r="Y518" t="str">
        <f t="array" ref="Y518">IF($A518="","",INDEX(JupData!$A$2:$K$10000,MATCH($A518&amp;Y$1,JupData!$A$2:$A$10000&amp;JupData!$J$2:$J$10000,0),11))</f>
        <v/>
      </c>
      <c r="Z518" t="str">
        <f t="array" ref="Z518">IF($A518="","",INDEX(JupData!$A$2:$K$10000,MATCH($A518&amp;Z$1,JupData!$A$2:$A$10000&amp;JupData!$J$2:$J$10000,0),11))</f>
        <v/>
      </c>
      <c r="AA518" t="str">
        <f t="array" ref="AA518">IF($A518="","",INDEX(JupData!$A$2:$K$10000,MATCH($A518&amp;AA$1,JupData!$A$2:$A$10000&amp;JupData!$J$2:$J$10000,0),11))</f>
        <v/>
      </c>
      <c r="AB518" t="str">
        <f t="array" ref="AB518">IF($A518="","",INDEX(JupData!$A$2:$K$10000,MATCH($A518&amp;AB$1,JupData!$A$2:$A$10000&amp;JupData!$J$2:$J$10000,0),11))</f>
        <v/>
      </c>
      <c r="AC518" s="10" t="str">
        <f t="shared" si="88"/>
        <v/>
      </c>
      <c r="AD518" s="10" t="str">
        <f t="shared" si="89"/>
        <v/>
      </c>
      <c r="AE518" s="9" t="str">
        <f t="shared" si="90"/>
        <v/>
      </c>
      <c r="AF518" s="10" t="str">
        <f t="shared" si="91"/>
        <v/>
      </c>
      <c r="AG518" s="10" t="str">
        <f t="shared" si="92"/>
        <v/>
      </c>
      <c r="AH518" s="10" t="str">
        <f t="shared" si="93"/>
        <v/>
      </c>
      <c r="AI518" s="10" t="str">
        <f t="shared" si="94"/>
        <v/>
      </c>
      <c r="AJ518" s="10" t="str">
        <f t="shared" si="95"/>
        <v/>
      </c>
      <c r="AK518" s="10" t="str">
        <f t="shared" si="96"/>
        <v/>
      </c>
      <c r="AL518" s="14" t="str">
        <f t="shared" si="97"/>
        <v/>
      </c>
    </row>
    <row r="519" spans="1:38" x14ac:dyDescent="0.2">
      <c r="A519"/>
      <c r="B519" t="str">
        <f>IF($A519="","",VLOOKUP($A519,JupData!$A$2:$I$10000,4,FALSE))</f>
        <v/>
      </c>
      <c r="C519" s="7" t="str">
        <f>IF($A519="",IF(N(D519),0,""),VLOOKUP($A519,JupData!$A$2:$I$10000,7,FALSE))</f>
        <v/>
      </c>
      <c r="D519" t="str">
        <f t="shared" si="98"/>
        <v/>
      </c>
      <c r="E519" t="str">
        <f t="array" ref="E519">IF($A519="","",INDEX(JupData!$A$2:$K$10000,MATCH($A519&amp;E$1,JupData!$A$2:$A$10000&amp;JupData!$J$2:$J$10000,0),11))</f>
        <v/>
      </c>
      <c r="F519" t="str">
        <f t="array" ref="F519">IF($A519="","",INDEX(JupData!$A$2:$K$10000,MATCH($A519&amp;F$1,JupData!$A$2:$A$10000&amp;JupData!$J$2:$J$10000,0),11))</f>
        <v/>
      </c>
      <c r="G519" t="str">
        <f t="array" ref="G519">IF($A519="","",INDEX(JupData!$A$2:$K$10000,MATCH($A519&amp;G$1,JupData!$A$2:$A$10000&amp;JupData!$J$2:$J$10000,0),11))</f>
        <v/>
      </c>
      <c r="H519" t="str">
        <f t="array" ref="H519">IF($A519="","",INDEX(JupData!$A$2:$K$10000,MATCH($A519&amp;H$1,JupData!$A$2:$A$10000&amp;JupData!$J$2:$J$10000,0),11))</f>
        <v/>
      </c>
      <c r="I519" t="str">
        <f t="array" ref="I519">IF($A519="","",INDEX(JupData!$A$2:$K$10000,MATCH($A519&amp;I$1,JupData!$A$2:$A$10000&amp;JupData!$J$2:$J$10000,0),11))</f>
        <v/>
      </c>
      <c r="J519" t="str">
        <f t="array" ref="J519">IF($A519="","",INDEX(JupData!$A$2:$K$10000,MATCH($A519&amp;J$1,JupData!$A$2:$A$10000&amp;JupData!$J$2:$J$10000,0),11))</f>
        <v/>
      </c>
      <c r="K519" t="str">
        <f t="array" ref="K519">IF($A519="","",INDEX(JupData!$A$2:$K$10000,MATCH($A519&amp;K$1,JupData!$A$2:$A$10000&amp;JupData!$J$2:$J$10000,0),11))</f>
        <v/>
      </c>
      <c r="L519" t="str">
        <f t="array" ref="L519">IF($A519="","",INDEX(JupData!$A$2:$K$10000,MATCH($A519&amp;L$1,JupData!$A$2:$A$10000&amp;JupData!$J$2:$J$10000,0),11))</f>
        <v/>
      </c>
      <c r="M519" t="str">
        <f t="array" ref="M519">IF($A519="","",INDEX(JupData!$A$2:$K$10000,MATCH($A519&amp;M$1,JupData!$A$2:$A$10000&amp;JupData!$J$2:$J$10000,0),11))</f>
        <v/>
      </c>
      <c r="N519" t="str">
        <f t="array" ref="N519">IF($A519="","",INDEX(JupData!$A$2:$K$10000,MATCH($A519&amp;N$1,JupData!$A$2:$A$10000&amp;JupData!$J$2:$J$10000,0),11))</f>
        <v/>
      </c>
      <c r="O519" t="str">
        <f t="array" ref="O519">IF($A519="","",INDEX(JupData!$A$2:$K$10000,MATCH($A519&amp;O$1,JupData!$A$2:$A$10000&amp;JupData!$J$2:$J$10000,0),11))</f>
        <v/>
      </c>
      <c r="P519" t="str">
        <f t="array" ref="P519">IF($A519="","",INDEX(JupData!$A$2:$K$10000,MATCH($A519&amp;P$1,JupData!$A$2:$A$10000&amp;JupData!$J$2:$J$10000,0),11))</f>
        <v/>
      </c>
      <c r="Q519" t="str">
        <f t="array" ref="Q519">IF($A519="","",INDEX(JupData!$A$2:$K$10000,MATCH($A519&amp;Q$1,JupData!$A$2:$A$10000&amp;JupData!$J$2:$J$10000,0),11))</f>
        <v/>
      </c>
      <c r="R519" t="str">
        <f t="array" ref="R519">IF($A519="","",INDEX(JupData!$A$2:$K$10000,MATCH($A519&amp;R$1,JupData!$A$2:$A$10000&amp;JupData!$J$2:$J$10000,0),11))</f>
        <v/>
      </c>
      <c r="S519" t="str">
        <f t="array" ref="S519">IF($A519="","",INDEX(JupData!$A$2:$K$10000,MATCH($A519&amp;S$1,JupData!$A$2:$A$10000&amp;JupData!$J$2:$J$10000,0),11))</f>
        <v/>
      </c>
      <c r="T519" t="str">
        <f t="array" ref="T519">IF($A519="","",INDEX(JupData!$A$2:$K$10000,MATCH($A519&amp;T$1,JupData!$A$2:$A$10000&amp;JupData!$J$2:$J$10000,0),11))</f>
        <v/>
      </c>
      <c r="U519" t="str">
        <f t="array" ref="U519">IF($A519="","",INDEX(JupData!$A$2:$K$10000,MATCH($A519&amp;U$1,JupData!$A$2:$A$10000&amp;JupData!$J$2:$J$10000,0),11))</f>
        <v/>
      </c>
      <c r="V519" t="str">
        <f t="array" ref="V519">IF($A519="","",INDEX(JupData!$A$2:$K$10000,MATCH($A519&amp;V$1,JupData!$A$2:$A$10000&amp;JupData!$J$2:$J$10000,0),11))</f>
        <v/>
      </c>
      <c r="W519" t="str">
        <f t="array" ref="W519">IF($A519="","",INDEX(JupData!$A$2:$K$10000,MATCH($A519&amp;W$1,JupData!$A$2:$A$10000&amp;JupData!$J$2:$J$10000,0),11))</f>
        <v/>
      </c>
      <c r="X519" t="str">
        <f t="array" ref="X519">IF($A519="","",INDEX(JupData!$A$2:$K$10000,MATCH($A519&amp;X$1,JupData!$A$2:$A$10000&amp;JupData!$J$2:$J$10000,0),11))</f>
        <v/>
      </c>
      <c r="Y519" t="str">
        <f t="array" ref="Y519">IF($A519="","",INDEX(JupData!$A$2:$K$10000,MATCH($A519&amp;Y$1,JupData!$A$2:$A$10000&amp;JupData!$J$2:$J$10000,0),11))</f>
        <v/>
      </c>
      <c r="Z519" t="str">
        <f t="array" ref="Z519">IF($A519="","",INDEX(JupData!$A$2:$K$10000,MATCH($A519&amp;Z$1,JupData!$A$2:$A$10000&amp;JupData!$J$2:$J$10000,0),11))</f>
        <v/>
      </c>
      <c r="AA519" t="str">
        <f t="array" ref="AA519">IF($A519="","",INDEX(JupData!$A$2:$K$10000,MATCH($A519&amp;AA$1,JupData!$A$2:$A$10000&amp;JupData!$J$2:$J$10000,0),11))</f>
        <v/>
      </c>
      <c r="AB519" t="str">
        <f t="array" ref="AB519">IF($A519="","",INDEX(JupData!$A$2:$K$10000,MATCH($A519&amp;AB$1,JupData!$A$2:$A$10000&amp;JupData!$J$2:$J$10000,0),11))</f>
        <v/>
      </c>
      <c r="AC519" s="10" t="str">
        <f t="shared" si="88"/>
        <v/>
      </c>
      <c r="AD519" s="10" t="str">
        <f t="shared" si="89"/>
        <v/>
      </c>
      <c r="AE519" s="9" t="str">
        <f t="shared" si="90"/>
        <v/>
      </c>
      <c r="AF519" s="10" t="str">
        <f t="shared" si="91"/>
        <v/>
      </c>
      <c r="AG519" s="10" t="str">
        <f t="shared" si="92"/>
        <v/>
      </c>
      <c r="AH519" s="10" t="str">
        <f t="shared" si="93"/>
        <v/>
      </c>
      <c r="AI519" s="10" t="str">
        <f t="shared" si="94"/>
        <v/>
      </c>
      <c r="AJ519" s="10" t="str">
        <f t="shared" si="95"/>
        <v/>
      </c>
      <c r="AK519" s="10" t="str">
        <f t="shared" si="96"/>
        <v/>
      </c>
      <c r="AL519" s="14" t="str">
        <f t="shared" si="97"/>
        <v/>
      </c>
    </row>
    <row r="520" spans="1:38" x14ac:dyDescent="0.2">
      <c r="A520"/>
      <c r="B520" t="str">
        <f>IF($A520="","",VLOOKUP($A520,JupData!$A$2:$I$10000,4,FALSE))</f>
        <v/>
      </c>
      <c r="C520" s="7" t="str">
        <f>IF($A520="",IF(N(D520),0,""),VLOOKUP($A520,JupData!$A$2:$I$10000,7,FALSE))</f>
        <v/>
      </c>
      <c r="D520" t="str">
        <f t="shared" si="98"/>
        <v/>
      </c>
      <c r="E520" t="str">
        <f t="array" ref="E520">IF($A520="","",INDEX(JupData!$A$2:$K$10000,MATCH($A520&amp;E$1,JupData!$A$2:$A$10000&amp;JupData!$J$2:$J$10000,0),11))</f>
        <v/>
      </c>
      <c r="F520" t="str">
        <f t="array" ref="F520">IF($A520="","",INDEX(JupData!$A$2:$K$10000,MATCH($A520&amp;F$1,JupData!$A$2:$A$10000&amp;JupData!$J$2:$J$10000,0),11))</f>
        <v/>
      </c>
      <c r="G520" t="str">
        <f t="array" ref="G520">IF($A520="","",INDEX(JupData!$A$2:$K$10000,MATCH($A520&amp;G$1,JupData!$A$2:$A$10000&amp;JupData!$J$2:$J$10000,0),11))</f>
        <v/>
      </c>
      <c r="H520" t="str">
        <f t="array" ref="H520">IF($A520="","",INDEX(JupData!$A$2:$K$10000,MATCH($A520&amp;H$1,JupData!$A$2:$A$10000&amp;JupData!$J$2:$J$10000,0),11))</f>
        <v/>
      </c>
      <c r="I520" t="str">
        <f t="array" ref="I520">IF($A520="","",INDEX(JupData!$A$2:$K$10000,MATCH($A520&amp;I$1,JupData!$A$2:$A$10000&amp;JupData!$J$2:$J$10000,0),11))</f>
        <v/>
      </c>
      <c r="J520" t="str">
        <f t="array" ref="J520">IF($A520="","",INDEX(JupData!$A$2:$K$10000,MATCH($A520&amp;J$1,JupData!$A$2:$A$10000&amp;JupData!$J$2:$J$10000,0),11))</f>
        <v/>
      </c>
      <c r="K520" t="str">
        <f t="array" ref="K520">IF($A520="","",INDEX(JupData!$A$2:$K$10000,MATCH($A520&amp;K$1,JupData!$A$2:$A$10000&amp;JupData!$J$2:$J$10000,0),11))</f>
        <v/>
      </c>
      <c r="L520" t="str">
        <f t="array" ref="L520">IF($A520="","",INDEX(JupData!$A$2:$K$10000,MATCH($A520&amp;L$1,JupData!$A$2:$A$10000&amp;JupData!$J$2:$J$10000,0),11))</f>
        <v/>
      </c>
      <c r="M520" t="str">
        <f t="array" ref="M520">IF($A520="","",INDEX(JupData!$A$2:$K$10000,MATCH($A520&amp;M$1,JupData!$A$2:$A$10000&amp;JupData!$J$2:$J$10000,0),11))</f>
        <v/>
      </c>
      <c r="N520" t="str">
        <f t="array" ref="N520">IF($A520="","",INDEX(JupData!$A$2:$K$10000,MATCH($A520&amp;N$1,JupData!$A$2:$A$10000&amp;JupData!$J$2:$J$10000,0),11))</f>
        <v/>
      </c>
      <c r="O520" t="str">
        <f t="array" ref="O520">IF($A520="","",INDEX(JupData!$A$2:$K$10000,MATCH($A520&amp;O$1,JupData!$A$2:$A$10000&amp;JupData!$J$2:$J$10000,0),11))</f>
        <v/>
      </c>
      <c r="P520" t="str">
        <f t="array" ref="P520">IF($A520="","",INDEX(JupData!$A$2:$K$10000,MATCH($A520&amp;P$1,JupData!$A$2:$A$10000&amp;JupData!$J$2:$J$10000,0),11))</f>
        <v/>
      </c>
      <c r="Q520" t="str">
        <f t="array" ref="Q520">IF($A520="","",INDEX(JupData!$A$2:$K$10000,MATCH($A520&amp;Q$1,JupData!$A$2:$A$10000&amp;JupData!$J$2:$J$10000,0),11))</f>
        <v/>
      </c>
      <c r="R520" t="str">
        <f t="array" ref="R520">IF($A520="","",INDEX(JupData!$A$2:$K$10000,MATCH($A520&amp;R$1,JupData!$A$2:$A$10000&amp;JupData!$J$2:$J$10000,0),11))</f>
        <v/>
      </c>
      <c r="S520" t="str">
        <f t="array" ref="S520">IF($A520="","",INDEX(JupData!$A$2:$K$10000,MATCH($A520&amp;S$1,JupData!$A$2:$A$10000&amp;JupData!$J$2:$J$10000,0),11))</f>
        <v/>
      </c>
      <c r="T520" t="str">
        <f t="array" ref="T520">IF($A520="","",INDEX(JupData!$A$2:$K$10000,MATCH($A520&amp;T$1,JupData!$A$2:$A$10000&amp;JupData!$J$2:$J$10000,0),11))</f>
        <v/>
      </c>
      <c r="U520" t="str">
        <f t="array" ref="U520">IF($A520="","",INDEX(JupData!$A$2:$K$10000,MATCH($A520&amp;U$1,JupData!$A$2:$A$10000&amp;JupData!$J$2:$J$10000,0),11))</f>
        <v/>
      </c>
      <c r="V520" t="str">
        <f t="array" ref="V520">IF($A520="","",INDEX(JupData!$A$2:$K$10000,MATCH($A520&amp;V$1,JupData!$A$2:$A$10000&amp;JupData!$J$2:$J$10000,0),11))</f>
        <v/>
      </c>
      <c r="W520" t="str">
        <f t="array" ref="W520">IF($A520="","",INDEX(JupData!$A$2:$K$10000,MATCH($A520&amp;W$1,JupData!$A$2:$A$10000&amp;JupData!$J$2:$J$10000,0),11))</f>
        <v/>
      </c>
      <c r="X520" t="str">
        <f t="array" ref="X520">IF($A520="","",INDEX(JupData!$A$2:$K$10000,MATCH($A520&amp;X$1,JupData!$A$2:$A$10000&amp;JupData!$J$2:$J$10000,0),11))</f>
        <v/>
      </c>
      <c r="Y520" t="str">
        <f t="array" ref="Y520">IF($A520="","",INDEX(JupData!$A$2:$K$10000,MATCH($A520&amp;Y$1,JupData!$A$2:$A$10000&amp;JupData!$J$2:$J$10000,0),11))</f>
        <v/>
      </c>
      <c r="Z520" t="str">
        <f t="array" ref="Z520">IF($A520="","",INDEX(JupData!$A$2:$K$10000,MATCH($A520&amp;Z$1,JupData!$A$2:$A$10000&amp;JupData!$J$2:$J$10000,0),11))</f>
        <v/>
      </c>
      <c r="AA520" t="str">
        <f t="array" ref="AA520">IF($A520="","",INDEX(JupData!$A$2:$K$10000,MATCH($A520&amp;AA$1,JupData!$A$2:$A$10000&amp;JupData!$J$2:$J$10000,0),11))</f>
        <v/>
      </c>
      <c r="AB520" t="str">
        <f t="array" ref="AB520">IF($A520="","",INDEX(JupData!$A$2:$K$10000,MATCH($A520&amp;AB$1,JupData!$A$2:$A$10000&amp;JupData!$J$2:$J$10000,0),11))</f>
        <v/>
      </c>
      <c r="AC520" s="10" t="str">
        <f t="shared" si="88"/>
        <v/>
      </c>
      <c r="AD520" s="10" t="str">
        <f t="shared" si="89"/>
        <v/>
      </c>
      <c r="AE520" s="9" t="str">
        <f t="shared" si="90"/>
        <v/>
      </c>
      <c r="AF520" s="10" t="str">
        <f t="shared" si="91"/>
        <v/>
      </c>
      <c r="AG520" s="10" t="str">
        <f t="shared" si="92"/>
        <v/>
      </c>
      <c r="AH520" s="10" t="str">
        <f t="shared" si="93"/>
        <v/>
      </c>
      <c r="AI520" s="10" t="str">
        <f t="shared" si="94"/>
        <v/>
      </c>
      <c r="AJ520" s="10" t="str">
        <f t="shared" si="95"/>
        <v/>
      </c>
      <c r="AK520" s="10" t="str">
        <f t="shared" si="96"/>
        <v/>
      </c>
      <c r="AL520" s="14" t="str">
        <f t="shared" si="97"/>
        <v/>
      </c>
    </row>
    <row r="521" spans="1:38" x14ac:dyDescent="0.2">
      <c r="A521"/>
      <c r="B521" t="str">
        <f>IF($A521="","",VLOOKUP($A521,JupData!$A$2:$I$10000,4,FALSE))</f>
        <v/>
      </c>
      <c r="C521" s="7" t="str">
        <f>IF($A521="",IF(N(D521),0,""),VLOOKUP($A521,JupData!$A$2:$I$10000,7,FALSE))</f>
        <v/>
      </c>
      <c r="D521" t="str">
        <f t="shared" si="98"/>
        <v/>
      </c>
      <c r="E521" t="str">
        <f t="array" ref="E521">IF($A521="","",INDEX(JupData!$A$2:$K$10000,MATCH($A521&amp;E$1,JupData!$A$2:$A$10000&amp;JupData!$J$2:$J$10000,0),11))</f>
        <v/>
      </c>
      <c r="F521" t="str">
        <f t="array" ref="F521">IF($A521="","",INDEX(JupData!$A$2:$K$10000,MATCH($A521&amp;F$1,JupData!$A$2:$A$10000&amp;JupData!$J$2:$J$10000,0),11))</f>
        <v/>
      </c>
      <c r="G521" t="str">
        <f t="array" ref="G521">IF($A521="","",INDEX(JupData!$A$2:$K$10000,MATCH($A521&amp;G$1,JupData!$A$2:$A$10000&amp;JupData!$J$2:$J$10000,0),11))</f>
        <v/>
      </c>
      <c r="H521" t="str">
        <f t="array" ref="H521">IF($A521="","",INDEX(JupData!$A$2:$K$10000,MATCH($A521&amp;H$1,JupData!$A$2:$A$10000&amp;JupData!$J$2:$J$10000,0),11))</f>
        <v/>
      </c>
      <c r="I521" t="str">
        <f t="array" ref="I521">IF($A521="","",INDEX(JupData!$A$2:$K$10000,MATCH($A521&amp;I$1,JupData!$A$2:$A$10000&amp;JupData!$J$2:$J$10000,0),11))</f>
        <v/>
      </c>
      <c r="J521" t="str">
        <f t="array" ref="J521">IF($A521="","",INDEX(JupData!$A$2:$K$10000,MATCH($A521&amp;J$1,JupData!$A$2:$A$10000&amp;JupData!$J$2:$J$10000,0),11))</f>
        <v/>
      </c>
      <c r="K521" t="str">
        <f t="array" ref="K521">IF($A521="","",INDEX(JupData!$A$2:$K$10000,MATCH($A521&amp;K$1,JupData!$A$2:$A$10000&amp;JupData!$J$2:$J$10000,0),11))</f>
        <v/>
      </c>
      <c r="L521" t="str">
        <f t="array" ref="L521">IF($A521="","",INDEX(JupData!$A$2:$K$10000,MATCH($A521&amp;L$1,JupData!$A$2:$A$10000&amp;JupData!$J$2:$J$10000,0),11))</f>
        <v/>
      </c>
      <c r="M521" t="str">
        <f t="array" ref="M521">IF($A521="","",INDEX(JupData!$A$2:$K$10000,MATCH($A521&amp;M$1,JupData!$A$2:$A$10000&amp;JupData!$J$2:$J$10000,0),11))</f>
        <v/>
      </c>
      <c r="N521" t="str">
        <f t="array" ref="N521">IF($A521="","",INDEX(JupData!$A$2:$K$10000,MATCH($A521&amp;N$1,JupData!$A$2:$A$10000&amp;JupData!$J$2:$J$10000,0),11))</f>
        <v/>
      </c>
      <c r="O521" t="str">
        <f t="array" ref="O521">IF($A521="","",INDEX(JupData!$A$2:$K$10000,MATCH($A521&amp;O$1,JupData!$A$2:$A$10000&amp;JupData!$J$2:$J$10000,0),11))</f>
        <v/>
      </c>
      <c r="P521" t="str">
        <f t="array" ref="P521">IF($A521="","",INDEX(JupData!$A$2:$K$10000,MATCH($A521&amp;P$1,JupData!$A$2:$A$10000&amp;JupData!$J$2:$J$10000,0),11))</f>
        <v/>
      </c>
      <c r="Q521" t="str">
        <f t="array" ref="Q521">IF($A521="","",INDEX(JupData!$A$2:$K$10000,MATCH($A521&amp;Q$1,JupData!$A$2:$A$10000&amp;JupData!$J$2:$J$10000,0),11))</f>
        <v/>
      </c>
      <c r="R521" t="str">
        <f t="array" ref="R521">IF($A521="","",INDEX(JupData!$A$2:$K$10000,MATCH($A521&amp;R$1,JupData!$A$2:$A$10000&amp;JupData!$J$2:$J$10000,0),11))</f>
        <v/>
      </c>
      <c r="S521" t="str">
        <f t="array" ref="S521">IF($A521="","",INDEX(JupData!$A$2:$K$10000,MATCH($A521&amp;S$1,JupData!$A$2:$A$10000&amp;JupData!$J$2:$J$10000,0),11))</f>
        <v/>
      </c>
      <c r="T521" t="str">
        <f t="array" ref="T521">IF($A521="","",INDEX(JupData!$A$2:$K$10000,MATCH($A521&amp;T$1,JupData!$A$2:$A$10000&amp;JupData!$J$2:$J$10000,0),11))</f>
        <v/>
      </c>
      <c r="U521" t="str">
        <f t="array" ref="U521">IF($A521="","",INDEX(JupData!$A$2:$K$10000,MATCH($A521&amp;U$1,JupData!$A$2:$A$10000&amp;JupData!$J$2:$J$10000,0),11))</f>
        <v/>
      </c>
      <c r="V521" t="str">
        <f t="array" ref="V521">IF($A521="","",INDEX(JupData!$A$2:$K$10000,MATCH($A521&amp;V$1,JupData!$A$2:$A$10000&amp;JupData!$J$2:$J$10000,0),11))</f>
        <v/>
      </c>
      <c r="W521" t="str">
        <f t="array" ref="W521">IF($A521="","",INDEX(JupData!$A$2:$K$10000,MATCH($A521&amp;W$1,JupData!$A$2:$A$10000&amp;JupData!$J$2:$J$10000,0),11))</f>
        <v/>
      </c>
      <c r="X521" t="str">
        <f t="array" ref="X521">IF($A521="","",INDEX(JupData!$A$2:$K$10000,MATCH($A521&amp;X$1,JupData!$A$2:$A$10000&amp;JupData!$J$2:$J$10000,0),11))</f>
        <v/>
      </c>
      <c r="Y521" t="str">
        <f t="array" ref="Y521">IF($A521="","",INDEX(JupData!$A$2:$K$10000,MATCH($A521&amp;Y$1,JupData!$A$2:$A$10000&amp;JupData!$J$2:$J$10000,0),11))</f>
        <v/>
      </c>
      <c r="Z521" t="str">
        <f t="array" ref="Z521">IF($A521="","",INDEX(JupData!$A$2:$K$10000,MATCH($A521&amp;Z$1,JupData!$A$2:$A$10000&amp;JupData!$J$2:$J$10000,0),11))</f>
        <v/>
      </c>
      <c r="AA521" t="str">
        <f t="array" ref="AA521">IF($A521="","",INDEX(JupData!$A$2:$K$10000,MATCH($A521&amp;AA$1,JupData!$A$2:$A$10000&amp;JupData!$J$2:$J$10000,0),11))</f>
        <v/>
      </c>
      <c r="AB521" t="str">
        <f t="array" ref="AB521">IF($A521="","",INDEX(JupData!$A$2:$K$10000,MATCH($A521&amp;AB$1,JupData!$A$2:$A$10000&amp;JupData!$J$2:$J$10000,0),11))</f>
        <v/>
      </c>
      <c r="AC521" s="10" t="str">
        <f t="shared" si="88"/>
        <v/>
      </c>
      <c r="AD521" s="10" t="str">
        <f t="shared" si="89"/>
        <v/>
      </c>
      <c r="AE521" s="9" t="str">
        <f t="shared" si="90"/>
        <v/>
      </c>
      <c r="AF521" s="10" t="str">
        <f t="shared" si="91"/>
        <v/>
      </c>
      <c r="AG521" s="10" t="str">
        <f t="shared" si="92"/>
        <v/>
      </c>
      <c r="AH521" s="10" t="str">
        <f t="shared" si="93"/>
        <v/>
      </c>
      <c r="AI521" s="10" t="str">
        <f t="shared" si="94"/>
        <v/>
      </c>
      <c r="AJ521" s="10" t="str">
        <f t="shared" si="95"/>
        <v/>
      </c>
      <c r="AK521" s="10" t="str">
        <f t="shared" si="96"/>
        <v/>
      </c>
      <c r="AL521" s="14" t="str">
        <f t="shared" si="97"/>
        <v/>
      </c>
    </row>
    <row r="522" spans="1:38" x14ac:dyDescent="0.2">
      <c r="A522"/>
      <c r="B522" t="str">
        <f>IF($A522="","",VLOOKUP($A522,JupData!$A$2:$I$10000,4,FALSE))</f>
        <v/>
      </c>
      <c r="C522" s="7" t="str">
        <f>IF($A522="",IF(N(D522),0,""),VLOOKUP($A522,JupData!$A$2:$I$10000,7,FALSE))</f>
        <v/>
      </c>
      <c r="D522" t="str">
        <f t="shared" si="98"/>
        <v/>
      </c>
      <c r="E522" t="str">
        <f t="array" ref="E522">IF($A522="","",INDEX(JupData!$A$2:$K$10000,MATCH($A522&amp;E$1,JupData!$A$2:$A$10000&amp;JupData!$J$2:$J$10000,0),11))</f>
        <v/>
      </c>
      <c r="F522" t="str">
        <f t="array" ref="F522">IF($A522="","",INDEX(JupData!$A$2:$K$10000,MATCH($A522&amp;F$1,JupData!$A$2:$A$10000&amp;JupData!$J$2:$J$10000,0),11))</f>
        <v/>
      </c>
      <c r="G522" t="str">
        <f t="array" ref="G522">IF($A522="","",INDEX(JupData!$A$2:$K$10000,MATCH($A522&amp;G$1,JupData!$A$2:$A$10000&amp;JupData!$J$2:$J$10000,0),11))</f>
        <v/>
      </c>
      <c r="H522" t="str">
        <f t="array" ref="H522">IF($A522="","",INDEX(JupData!$A$2:$K$10000,MATCH($A522&amp;H$1,JupData!$A$2:$A$10000&amp;JupData!$J$2:$J$10000,0),11))</f>
        <v/>
      </c>
      <c r="I522" t="str">
        <f t="array" ref="I522">IF($A522="","",INDEX(JupData!$A$2:$K$10000,MATCH($A522&amp;I$1,JupData!$A$2:$A$10000&amp;JupData!$J$2:$J$10000,0),11))</f>
        <v/>
      </c>
      <c r="J522" t="str">
        <f t="array" ref="J522">IF($A522="","",INDEX(JupData!$A$2:$K$10000,MATCH($A522&amp;J$1,JupData!$A$2:$A$10000&amp;JupData!$J$2:$J$10000,0),11))</f>
        <v/>
      </c>
      <c r="K522" t="str">
        <f t="array" ref="K522">IF($A522="","",INDEX(JupData!$A$2:$K$10000,MATCH($A522&amp;K$1,JupData!$A$2:$A$10000&amp;JupData!$J$2:$J$10000,0),11))</f>
        <v/>
      </c>
      <c r="L522" t="str">
        <f t="array" ref="L522">IF($A522="","",INDEX(JupData!$A$2:$K$10000,MATCH($A522&amp;L$1,JupData!$A$2:$A$10000&amp;JupData!$J$2:$J$10000,0),11))</f>
        <v/>
      </c>
      <c r="M522" t="str">
        <f t="array" ref="M522">IF($A522="","",INDEX(JupData!$A$2:$K$10000,MATCH($A522&amp;M$1,JupData!$A$2:$A$10000&amp;JupData!$J$2:$J$10000,0),11))</f>
        <v/>
      </c>
      <c r="N522" t="str">
        <f t="array" ref="N522">IF($A522="","",INDEX(JupData!$A$2:$K$10000,MATCH($A522&amp;N$1,JupData!$A$2:$A$10000&amp;JupData!$J$2:$J$10000,0),11))</f>
        <v/>
      </c>
      <c r="O522" t="str">
        <f t="array" ref="O522">IF($A522="","",INDEX(JupData!$A$2:$K$10000,MATCH($A522&amp;O$1,JupData!$A$2:$A$10000&amp;JupData!$J$2:$J$10000,0),11))</f>
        <v/>
      </c>
      <c r="P522" t="str">
        <f t="array" ref="P522">IF($A522="","",INDEX(JupData!$A$2:$K$10000,MATCH($A522&amp;P$1,JupData!$A$2:$A$10000&amp;JupData!$J$2:$J$10000,0),11))</f>
        <v/>
      </c>
      <c r="Q522" t="str">
        <f t="array" ref="Q522">IF($A522="","",INDEX(JupData!$A$2:$K$10000,MATCH($A522&amp;Q$1,JupData!$A$2:$A$10000&amp;JupData!$J$2:$J$10000,0),11))</f>
        <v/>
      </c>
      <c r="R522" t="str">
        <f t="array" ref="R522">IF($A522="","",INDEX(JupData!$A$2:$K$10000,MATCH($A522&amp;R$1,JupData!$A$2:$A$10000&amp;JupData!$J$2:$J$10000,0),11))</f>
        <v/>
      </c>
      <c r="S522" t="str">
        <f t="array" ref="S522">IF($A522="","",INDEX(JupData!$A$2:$K$10000,MATCH($A522&amp;S$1,JupData!$A$2:$A$10000&amp;JupData!$J$2:$J$10000,0),11))</f>
        <v/>
      </c>
      <c r="T522" t="str">
        <f t="array" ref="T522">IF($A522="","",INDEX(JupData!$A$2:$K$10000,MATCH($A522&amp;T$1,JupData!$A$2:$A$10000&amp;JupData!$J$2:$J$10000,0),11))</f>
        <v/>
      </c>
      <c r="U522" t="str">
        <f t="array" ref="U522">IF($A522="","",INDEX(JupData!$A$2:$K$10000,MATCH($A522&amp;U$1,JupData!$A$2:$A$10000&amp;JupData!$J$2:$J$10000,0),11))</f>
        <v/>
      </c>
      <c r="V522" t="str">
        <f t="array" ref="V522">IF($A522="","",INDEX(JupData!$A$2:$K$10000,MATCH($A522&amp;V$1,JupData!$A$2:$A$10000&amp;JupData!$J$2:$J$10000,0),11))</f>
        <v/>
      </c>
      <c r="W522" t="str">
        <f t="array" ref="W522">IF($A522="","",INDEX(JupData!$A$2:$K$10000,MATCH($A522&amp;W$1,JupData!$A$2:$A$10000&amp;JupData!$J$2:$J$10000,0),11))</f>
        <v/>
      </c>
      <c r="X522" t="str">
        <f t="array" ref="X522">IF($A522="","",INDEX(JupData!$A$2:$K$10000,MATCH($A522&amp;X$1,JupData!$A$2:$A$10000&amp;JupData!$J$2:$J$10000,0),11))</f>
        <v/>
      </c>
      <c r="Y522" t="str">
        <f t="array" ref="Y522">IF($A522="","",INDEX(JupData!$A$2:$K$10000,MATCH($A522&amp;Y$1,JupData!$A$2:$A$10000&amp;JupData!$J$2:$J$10000,0),11))</f>
        <v/>
      </c>
      <c r="Z522" t="str">
        <f t="array" ref="Z522">IF($A522="","",INDEX(JupData!$A$2:$K$10000,MATCH($A522&amp;Z$1,JupData!$A$2:$A$10000&amp;JupData!$J$2:$J$10000,0),11))</f>
        <v/>
      </c>
      <c r="AA522" t="str">
        <f t="array" ref="AA522">IF($A522="","",INDEX(JupData!$A$2:$K$10000,MATCH($A522&amp;AA$1,JupData!$A$2:$A$10000&amp;JupData!$J$2:$J$10000,0),11))</f>
        <v/>
      </c>
      <c r="AB522" t="str">
        <f t="array" ref="AB522">IF($A522="","",INDEX(JupData!$A$2:$K$10000,MATCH($A522&amp;AB$1,JupData!$A$2:$A$10000&amp;JupData!$J$2:$J$10000,0),11))</f>
        <v/>
      </c>
      <c r="AC522" s="10" t="str">
        <f t="shared" si="88"/>
        <v/>
      </c>
      <c r="AD522" s="10" t="str">
        <f t="shared" si="89"/>
        <v/>
      </c>
      <c r="AE522" s="9" t="str">
        <f t="shared" si="90"/>
        <v/>
      </c>
      <c r="AF522" s="10" t="str">
        <f t="shared" si="91"/>
        <v/>
      </c>
      <c r="AG522" s="10" t="str">
        <f t="shared" si="92"/>
        <v/>
      </c>
      <c r="AH522" s="10" t="str">
        <f t="shared" si="93"/>
        <v/>
      </c>
      <c r="AI522" s="10" t="str">
        <f t="shared" si="94"/>
        <v/>
      </c>
      <c r="AJ522" s="10" t="str">
        <f t="shared" si="95"/>
        <v/>
      </c>
      <c r="AK522" s="10" t="str">
        <f t="shared" si="96"/>
        <v/>
      </c>
      <c r="AL522" s="14" t="str">
        <f t="shared" si="97"/>
        <v/>
      </c>
    </row>
    <row r="523" spans="1:38" x14ac:dyDescent="0.2">
      <c r="A523"/>
      <c r="B523" t="str">
        <f>IF($A523="","",VLOOKUP($A523,JupData!$A$2:$I$10000,4,FALSE))</f>
        <v/>
      </c>
      <c r="C523" s="7" t="str">
        <f>IF($A523="",IF(N(D523),0,""),VLOOKUP($A523,JupData!$A$2:$I$10000,7,FALSE))</f>
        <v/>
      </c>
      <c r="D523" t="str">
        <f t="shared" si="98"/>
        <v/>
      </c>
      <c r="E523" t="str">
        <f t="array" ref="E523">IF($A523="","",INDEX(JupData!$A$2:$K$10000,MATCH($A523&amp;E$1,JupData!$A$2:$A$10000&amp;JupData!$J$2:$J$10000,0),11))</f>
        <v/>
      </c>
      <c r="F523" t="str">
        <f t="array" ref="F523">IF($A523="","",INDEX(JupData!$A$2:$K$10000,MATCH($A523&amp;F$1,JupData!$A$2:$A$10000&amp;JupData!$J$2:$J$10000,0),11))</f>
        <v/>
      </c>
      <c r="G523" t="str">
        <f t="array" ref="G523">IF($A523="","",INDEX(JupData!$A$2:$K$10000,MATCH($A523&amp;G$1,JupData!$A$2:$A$10000&amp;JupData!$J$2:$J$10000,0),11))</f>
        <v/>
      </c>
      <c r="H523" t="str">
        <f t="array" ref="H523">IF($A523="","",INDEX(JupData!$A$2:$K$10000,MATCH($A523&amp;H$1,JupData!$A$2:$A$10000&amp;JupData!$J$2:$J$10000,0),11))</f>
        <v/>
      </c>
      <c r="I523" t="str">
        <f t="array" ref="I523">IF($A523="","",INDEX(JupData!$A$2:$K$10000,MATCH($A523&amp;I$1,JupData!$A$2:$A$10000&amp;JupData!$J$2:$J$10000,0),11))</f>
        <v/>
      </c>
      <c r="J523" t="str">
        <f t="array" ref="J523">IF($A523="","",INDEX(JupData!$A$2:$K$10000,MATCH($A523&amp;J$1,JupData!$A$2:$A$10000&amp;JupData!$J$2:$J$10000,0),11))</f>
        <v/>
      </c>
      <c r="K523" t="str">
        <f t="array" ref="K523">IF($A523="","",INDEX(JupData!$A$2:$K$10000,MATCH($A523&amp;K$1,JupData!$A$2:$A$10000&amp;JupData!$J$2:$J$10000,0),11))</f>
        <v/>
      </c>
      <c r="L523" t="str">
        <f t="array" ref="L523">IF($A523="","",INDEX(JupData!$A$2:$K$10000,MATCH($A523&amp;L$1,JupData!$A$2:$A$10000&amp;JupData!$J$2:$J$10000,0),11))</f>
        <v/>
      </c>
      <c r="M523" t="str">
        <f t="array" ref="M523">IF($A523="","",INDEX(JupData!$A$2:$K$10000,MATCH($A523&amp;M$1,JupData!$A$2:$A$10000&amp;JupData!$J$2:$J$10000,0),11))</f>
        <v/>
      </c>
      <c r="N523" t="str">
        <f t="array" ref="N523">IF($A523="","",INDEX(JupData!$A$2:$K$10000,MATCH($A523&amp;N$1,JupData!$A$2:$A$10000&amp;JupData!$J$2:$J$10000,0),11))</f>
        <v/>
      </c>
      <c r="O523" t="str">
        <f t="array" ref="O523">IF($A523="","",INDEX(JupData!$A$2:$K$10000,MATCH($A523&amp;O$1,JupData!$A$2:$A$10000&amp;JupData!$J$2:$J$10000,0),11))</f>
        <v/>
      </c>
      <c r="P523" t="str">
        <f t="array" ref="P523">IF($A523="","",INDEX(JupData!$A$2:$K$10000,MATCH($A523&amp;P$1,JupData!$A$2:$A$10000&amp;JupData!$J$2:$J$10000,0),11))</f>
        <v/>
      </c>
      <c r="Q523" t="str">
        <f t="array" ref="Q523">IF($A523="","",INDEX(JupData!$A$2:$K$10000,MATCH($A523&amp;Q$1,JupData!$A$2:$A$10000&amp;JupData!$J$2:$J$10000,0),11))</f>
        <v/>
      </c>
      <c r="R523" t="str">
        <f t="array" ref="R523">IF($A523="","",INDEX(JupData!$A$2:$K$10000,MATCH($A523&amp;R$1,JupData!$A$2:$A$10000&amp;JupData!$J$2:$J$10000,0),11))</f>
        <v/>
      </c>
      <c r="S523" t="str">
        <f t="array" ref="S523">IF($A523="","",INDEX(JupData!$A$2:$K$10000,MATCH($A523&amp;S$1,JupData!$A$2:$A$10000&amp;JupData!$J$2:$J$10000,0),11))</f>
        <v/>
      </c>
      <c r="T523" t="str">
        <f t="array" ref="T523">IF($A523="","",INDEX(JupData!$A$2:$K$10000,MATCH($A523&amp;T$1,JupData!$A$2:$A$10000&amp;JupData!$J$2:$J$10000,0),11))</f>
        <v/>
      </c>
      <c r="U523" t="str">
        <f t="array" ref="U523">IF($A523="","",INDEX(JupData!$A$2:$K$10000,MATCH($A523&amp;U$1,JupData!$A$2:$A$10000&amp;JupData!$J$2:$J$10000,0),11))</f>
        <v/>
      </c>
      <c r="V523" t="str">
        <f t="array" ref="V523">IF($A523="","",INDEX(JupData!$A$2:$K$10000,MATCH($A523&amp;V$1,JupData!$A$2:$A$10000&amp;JupData!$J$2:$J$10000,0),11))</f>
        <v/>
      </c>
      <c r="W523" t="str">
        <f t="array" ref="W523">IF($A523="","",INDEX(JupData!$A$2:$K$10000,MATCH($A523&amp;W$1,JupData!$A$2:$A$10000&amp;JupData!$J$2:$J$10000,0),11))</f>
        <v/>
      </c>
      <c r="X523" t="str">
        <f t="array" ref="X523">IF($A523="","",INDEX(JupData!$A$2:$K$10000,MATCH($A523&amp;X$1,JupData!$A$2:$A$10000&amp;JupData!$J$2:$J$10000,0),11))</f>
        <v/>
      </c>
      <c r="Y523" t="str">
        <f t="array" ref="Y523">IF($A523="","",INDEX(JupData!$A$2:$K$10000,MATCH($A523&amp;Y$1,JupData!$A$2:$A$10000&amp;JupData!$J$2:$J$10000,0),11))</f>
        <v/>
      </c>
      <c r="Z523" t="str">
        <f t="array" ref="Z523">IF($A523="","",INDEX(JupData!$A$2:$K$10000,MATCH($A523&amp;Z$1,JupData!$A$2:$A$10000&amp;JupData!$J$2:$J$10000,0),11))</f>
        <v/>
      </c>
      <c r="AA523" t="str">
        <f t="array" ref="AA523">IF($A523="","",INDEX(JupData!$A$2:$K$10000,MATCH($A523&amp;AA$1,JupData!$A$2:$A$10000&amp;JupData!$J$2:$J$10000,0),11))</f>
        <v/>
      </c>
      <c r="AB523" t="str">
        <f t="array" ref="AB523">IF($A523="","",INDEX(JupData!$A$2:$K$10000,MATCH($A523&amp;AB$1,JupData!$A$2:$A$10000&amp;JupData!$J$2:$J$10000,0),11))</f>
        <v/>
      </c>
      <c r="AC523" s="10" t="str">
        <f t="shared" si="88"/>
        <v/>
      </c>
      <c r="AD523" s="10" t="str">
        <f t="shared" si="89"/>
        <v/>
      </c>
      <c r="AE523" s="9" t="str">
        <f t="shared" si="90"/>
        <v/>
      </c>
      <c r="AF523" s="10" t="str">
        <f t="shared" si="91"/>
        <v/>
      </c>
      <c r="AG523" s="10" t="str">
        <f t="shared" si="92"/>
        <v/>
      </c>
      <c r="AH523" s="10" t="str">
        <f t="shared" si="93"/>
        <v/>
      </c>
      <c r="AI523" s="10" t="str">
        <f t="shared" si="94"/>
        <v/>
      </c>
      <c r="AJ523" s="10" t="str">
        <f t="shared" si="95"/>
        <v/>
      </c>
      <c r="AK523" s="10" t="str">
        <f t="shared" si="96"/>
        <v/>
      </c>
      <c r="AL523" s="14" t="str">
        <f t="shared" si="97"/>
        <v/>
      </c>
    </row>
    <row r="524" spans="1:38" x14ac:dyDescent="0.2">
      <c r="A524"/>
      <c r="B524" t="str">
        <f>IF($A524="","",VLOOKUP($A524,JupData!$A$2:$I$10000,4,FALSE))</f>
        <v/>
      </c>
      <c r="C524" s="7" t="str">
        <f>IF($A524="",IF(N(D524),0,""),VLOOKUP($A524,JupData!$A$2:$I$10000,7,FALSE))</f>
        <v/>
      </c>
      <c r="D524" t="str">
        <f t="shared" si="98"/>
        <v/>
      </c>
      <c r="E524" t="str">
        <f t="array" ref="E524">IF($A524="","",INDEX(JupData!$A$2:$K$10000,MATCH($A524&amp;E$1,JupData!$A$2:$A$10000&amp;JupData!$J$2:$J$10000,0),11))</f>
        <v/>
      </c>
      <c r="F524" t="str">
        <f t="array" ref="F524">IF($A524="","",INDEX(JupData!$A$2:$K$10000,MATCH($A524&amp;F$1,JupData!$A$2:$A$10000&amp;JupData!$J$2:$J$10000,0),11))</f>
        <v/>
      </c>
      <c r="G524" t="str">
        <f t="array" ref="G524">IF($A524="","",INDEX(JupData!$A$2:$K$10000,MATCH($A524&amp;G$1,JupData!$A$2:$A$10000&amp;JupData!$J$2:$J$10000,0),11))</f>
        <v/>
      </c>
      <c r="H524" t="str">
        <f t="array" ref="H524">IF($A524="","",INDEX(JupData!$A$2:$K$10000,MATCH($A524&amp;H$1,JupData!$A$2:$A$10000&amp;JupData!$J$2:$J$10000,0),11))</f>
        <v/>
      </c>
      <c r="I524" t="str">
        <f t="array" ref="I524">IF($A524="","",INDEX(JupData!$A$2:$K$10000,MATCH($A524&amp;I$1,JupData!$A$2:$A$10000&amp;JupData!$J$2:$J$10000,0),11))</f>
        <v/>
      </c>
      <c r="J524" t="str">
        <f t="array" ref="J524">IF($A524="","",INDEX(JupData!$A$2:$K$10000,MATCH($A524&amp;J$1,JupData!$A$2:$A$10000&amp;JupData!$J$2:$J$10000,0),11))</f>
        <v/>
      </c>
      <c r="K524" t="str">
        <f t="array" ref="K524">IF($A524="","",INDEX(JupData!$A$2:$K$10000,MATCH($A524&amp;K$1,JupData!$A$2:$A$10000&amp;JupData!$J$2:$J$10000,0),11))</f>
        <v/>
      </c>
      <c r="L524" t="str">
        <f t="array" ref="L524">IF($A524="","",INDEX(JupData!$A$2:$K$10000,MATCH($A524&amp;L$1,JupData!$A$2:$A$10000&amp;JupData!$J$2:$J$10000,0),11))</f>
        <v/>
      </c>
      <c r="M524" t="str">
        <f t="array" ref="M524">IF($A524="","",INDEX(JupData!$A$2:$K$10000,MATCH($A524&amp;M$1,JupData!$A$2:$A$10000&amp;JupData!$J$2:$J$10000,0),11))</f>
        <v/>
      </c>
      <c r="N524" t="str">
        <f t="array" ref="N524">IF($A524="","",INDEX(JupData!$A$2:$K$10000,MATCH($A524&amp;N$1,JupData!$A$2:$A$10000&amp;JupData!$J$2:$J$10000,0),11))</f>
        <v/>
      </c>
      <c r="O524" t="str">
        <f t="array" ref="O524">IF($A524="","",INDEX(JupData!$A$2:$K$10000,MATCH($A524&amp;O$1,JupData!$A$2:$A$10000&amp;JupData!$J$2:$J$10000,0),11))</f>
        <v/>
      </c>
      <c r="P524" t="str">
        <f t="array" ref="P524">IF($A524="","",INDEX(JupData!$A$2:$K$10000,MATCH($A524&amp;P$1,JupData!$A$2:$A$10000&amp;JupData!$J$2:$J$10000,0),11))</f>
        <v/>
      </c>
      <c r="Q524" t="str">
        <f t="array" ref="Q524">IF($A524="","",INDEX(JupData!$A$2:$K$10000,MATCH($A524&amp;Q$1,JupData!$A$2:$A$10000&amp;JupData!$J$2:$J$10000,0),11))</f>
        <v/>
      </c>
      <c r="R524" t="str">
        <f t="array" ref="R524">IF($A524="","",INDEX(JupData!$A$2:$K$10000,MATCH($A524&amp;R$1,JupData!$A$2:$A$10000&amp;JupData!$J$2:$J$10000,0),11))</f>
        <v/>
      </c>
      <c r="S524" t="str">
        <f t="array" ref="S524">IF($A524="","",INDEX(JupData!$A$2:$K$10000,MATCH($A524&amp;S$1,JupData!$A$2:$A$10000&amp;JupData!$J$2:$J$10000,0),11))</f>
        <v/>
      </c>
      <c r="T524" t="str">
        <f t="array" ref="T524">IF($A524="","",INDEX(JupData!$A$2:$K$10000,MATCH($A524&amp;T$1,JupData!$A$2:$A$10000&amp;JupData!$J$2:$J$10000,0),11))</f>
        <v/>
      </c>
      <c r="U524" t="str">
        <f t="array" ref="U524">IF($A524="","",INDEX(JupData!$A$2:$K$10000,MATCH($A524&amp;U$1,JupData!$A$2:$A$10000&amp;JupData!$J$2:$J$10000,0),11))</f>
        <v/>
      </c>
      <c r="V524" t="str">
        <f t="array" ref="V524">IF($A524="","",INDEX(JupData!$A$2:$K$10000,MATCH($A524&amp;V$1,JupData!$A$2:$A$10000&amp;JupData!$J$2:$J$10000,0),11))</f>
        <v/>
      </c>
      <c r="W524" t="str">
        <f t="array" ref="W524">IF($A524="","",INDEX(JupData!$A$2:$K$10000,MATCH($A524&amp;W$1,JupData!$A$2:$A$10000&amp;JupData!$J$2:$J$10000,0),11))</f>
        <v/>
      </c>
      <c r="X524" t="str">
        <f t="array" ref="X524">IF($A524="","",INDEX(JupData!$A$2:$K$10000,MATCH($A524&amp;X$1,JupData!$A$2:$A$10000&amp;JupData!$J$2:$J$10000,0),11))</f>
        <v/>
      </c>
      <c r="Y524" t="str">
        <f t="array" ref="Y524">IF($A524="","",INDEX(JupData!$A$2:$K$10000,MATCH($A524&amp;Y$1,JupData!$A$2:$A$10000&amp;JupData!$J$2:$J$10000,0),11))</f>
        <v/>
      </c>
      <c r="Z524" t="str">
        <f t="array" ref="Z524">IF($A524="","",INDEX(JupData!$A$2:$K$10000,MATCH($A524&amp;Z$1,JupData!$A$2:$A$10000&amp;JupData!$J$2:$J$10000,0),11))</f>
        <v/>
      </c>
      <c r="AA524" t="str">
        <f t="array" ref="AA524">IF($A524="","",INDEX(JupData!$A$2:$K$10000,MATCH($A524&amp;AA$1,JupData!$A$2:$A$10000&amp;JupData!$J$2:$J$10000,0),11))</f>
        <v/>
      </c>
      <c r="AB524" t="str">
        <f t="array" ref="AB524">IF($A524="","",INDEX(JupData!$A$2:$K$10000,MATCH($A524&amp;AB$1,JupData!$A$2:$A$10000&amp;JupData!$J$2:$J$10000,0),11))</f>
        <v/>
      </c>
      <c r="AC524" s="10" t="str">
        <f t="shared" si="88"/>
        <v/>
      </c>
      <c r="AD524" s="10" t="str">
        <f t="shared" si="89"/>
        <v/>
      </c>
      <c r="AE524" s="9" t="str">
        <f t="shared" si="90"/>
        <v/>
      </c>
      <c r="AF524" s="10" t="str">
        <f t="shared" si="91"/>
        <v/>
      </c>
      <c r="AG524" s="10" t="str">
        <f t="shared" si="92"/>
        <v/>
      </c>
      <c r="AH524" s="10" t="str">
        <f t="shared" si="93"/>
        <v/>
      </c>
      <c r="AI524" s="10" t="str">
        <f t="shared" si="94"/>
        <v/>
      </c>
      <c r="AJ524" s="10" t="str">
        <f t="shared" si="95"/>
        <v/>
      </c>
      <c r="AK524" s="10" t="str">
        <f t="shared" si="96"/>
        <v/>
      </c>
      <c r="AL524" s="14" t="str">
        <f t="shared" si="97"/>
        <v/>
      </c>
    </row>
    <row r="525" spans="1:38" x14ac:dyDescent="0.2">
      <c r="A525"/>
      <c r="B525" t="str">
        <f>IF($A525="","",VLOOKUP($A525,JupData!$A$2:$I$10000,4,FALSE))</f>
        <v/>
      </c>
      <c r="C525" s="7" t="str">
        <f>IF($A525="",IF(N(D525),0,""),VLOOKUP($A525,JupData!$A$2:$I$10000,7,FALSE))</f>
        <v/>
      </c>
      <c r="D525" t="str">
        <f t="shared" si="98"/>
        <v/>
      </c>
      <c r="E525" t="str">
        <f t="array" ref="E525">IF($A525="","",INDEX(JupData!$A$2:$K$10000,MATCH($A525&amp;E$1,JupData!$A$2:$A$10000&amp;JupData!$J$2:$J$10000,0),11))</f>
        <v/>
      </c>
      <c r="F525" t="str">
        <f t="array" ref="F525">IF($A525="","",INDEX(JupData!$A$2:$K$10000,MATCH($A525&amp;F$1,JupData!$A$2:$A$10000&amp;JupData!$J$2:$J$10000,0),11))</f>
        <v/>
      </c>
      <c r="G525" t="str">
        <f t="array" ref="G525">IF($A525="","",INDEX(JupData!$A$2:$K$10000,MATCH($A525&amp;G$1,JupData!$A$2:$A$10000&amp;JupData!$J$2:$J$10000,0),11))</f>
        <v/>
      </c>
      <c r="H525" t="str">
        <f t="array" ref="H525">IF($A525="","",INDEX(JupData!$A$2:$K$10000,MATCH($A525&amp;H$1,JupData!$A$2:$A$10000&amp;JupData!$J$2:$J$10000,0),11))</f>
        <v/>
      </c>
      <c r="I525" t="str">
        <f t="array" ref="I525">IF($A525="","",INDEX(JupData!$A$2:$K$10000,MATCH($A525&amp;I$1,JupData!$A$2:$A$10000&amp;JupData!$J$2:$J$10000,0),11))</f>
        <v/>
      </c>
      <c r="J525" t="str">
        <f t="array" ref="J525">IF($A525="","",INDEX(JupData!$A$2:$K$10000,MATCH($A525&amp;J$1,JupData!$A$2:$A$10000&amp;JupData!$J$2:$J$10000,0),11))</f>
        <v/>
      </c>
      <c r="K525" t="str">
        <f t="array" ref="K525">IF($A525="","",INDEX(JupData!$A$2:$K$10000,MATCH($A525&amp;K$1,JupData!$A$2:$A$10000&amp;JupData!$J$2:$J$10000,0),11))</f>
        <v/>
      </c>
      <c r="L525" t="str">
        <f t="array" ref="L525">IF($A525="","",INDEX(JupData!$A$2:$K$10000,MATCH($A525&amp;L$1,JupData!$A$2:$A$10000&amp;JupData!$J$2:$J$10000,0),11))</f>
        <v/>
      </c>
      <c r="M525" t="str">
        <f t="array" ref="M525">IF($A525="","",INDEX(JupData!$A$2:$K$10000,MATCH($A525&amp;M$1,JupData!$A$2:$A$10000&amp;JupData!$J$2:$J$10000,0),11))</f>
        <v/>
      </c>
      <c r="N525" t="str">
        <f t="array" ref="N525">IF($A525="","",INDEX(JupData!$A$2:$K$10000,MATCH($A525&amp;N$1,JupData!$A$2:$A$10000&amp;JupData!$J$2:$J$10000,0),11))</f>
        <v/>
      </c>
      <c r="O525" t="str">
        <f t="array" ref="O525">IF($A525="","",INDEX(JupData!$A$2:$K$10000,MATCH($A525&amp;O$1,JupData!$A$2:$A$10000&amp;JupData!$J$2:$J$10000,0),11))</f>
        <v/>
      </c>
      <c r="P525" t="str">
        <f t="array" ref="P525">IF($A525="","",INDEX(JupData!$A$2:$K$10000,MATCH($A525&amp;P$1,JupData!$A$2:$A$10000&amp;JupData!$J$2:$J$10000,0),11))</f>
        <v/>
      </c>
      <c r="Q525" t="str">
        <f t="array" ref="Q525">IF($A525="","",INDEX(JupData!$A$2:$K$10000,MATCH($A525&amp;Q$1,JupData!$A$2:$A$10000&amp;JupData!$J$2:$J$10000,0),11))</f>
        <v/>
      </c>
      <c r="R525" t="str">
        <f t="array" ref="R525">IF($A525="","",INDEX(JupData!$A$2:$K$10000,MATCH($A525&amp;R$1,JupData!$A$2:$A$10000&amp;JupData!$J$2:$J$10000,0),11))</f>
        <v/>
      </c>
      <c r="S525" t="str">
        <f t="array" ref="S525">IF($A525="","",INDEX(JupData!$A$2:$K$10000,MATCH($A525&amp;S$1,JupData!$A$2:$A$10000&amp;JupData!$J$2:$J$10000,0),11))</f>
        <v/>
      </c>
      <c r="T525" t="str">
        <f t="array" ref="T525">IF($A525="","",INDEX(JupData!$A$2:$K$10000,MATCH($A525&amp;T$1,JupData!$A$2:$A$10000&amp;JupData!$J$2:$J$10000,0),11))</f>
        <v/>
      </c>
      <c r="U525" t="str">
        <f t="array" ref="U525">IF($A525="","",INDEX(JupData!$A$2:$K$10000,MATCH($A525&amp;U$1,JupData!$A$2:$A$10000&amp;JupData!$J$2:$J$10000,0),11))</f>
        <v/>
      </c>
      <c r="V525" t="str">
        <f t="array" ref="V525">IF($A525="","",INDEX(JupData!$A$2:$K$10000,MATCH($A525&amp;V$1,JupData!$A$2:$A$10000&amp;JupData!$J$2:$J$10000,0),11))</f>
        <v/>
      </c>
      <c r="W525" t="str">
        <f t="array" ref="W525">IF($A525="","",INDEX(JupData!$A$2:$K$10000,MATCH($A525&amp;W$1,JupData!$A$2:$A$10000&amp;JupData!$J$2:$J$10000,0),11))</f>
        <v/>
      </c>
      <c r="X525" t="str">
        <f t="array" ref="X525">IF($A525="","",INDEX(JupData!$A$2:$K$10000,MATCH($A525&amp;X$1,JupData!$A$2:$A$10000&amp;JupData!$J$2:$J$10000,0),11))</f>
        <v/>
      </c>
      <c r="Y525" t="str">
        <f t="array" ref="Y525">IF($A525="","",INDEX(JupData!$A$2:$K$10000,MATCH($A525&amp;Y$1,JupData!$A$2:$A$10000&amp;JupData!$J$2:$J$10000,0),11))</f>
        <v/>
      </c>
      <c r="Z525" t="str">
        <f t="array" ref="Z525">IF($A525="","",INDEX(JupData!$A$2:$K$10000,MATCH($A525&amp;Z$1,JupData!$A$2:$A$10000&amp;JupData!$J$2:$J$10000,0),11))</f>
        <v/>
      </c>
      <c r="AA525" t="str">
        <f t="array" ref="AA525">IF($A525="","",INDEX(JupData!$A$2:$K$10000,MATCH($A525&amp;AA$1,JupData!$A$2:$A$10000&amp;JupData!$J$2:$J$10000,0),11))</f>
        <v/>
      </c>
      <c r="AB525" t="str">
        <f t="array" ref="AB525">IF($A525="","",INDEX(JupData!$A$2:$K$10000,MATCH($A525&amp;AB$1,JupData!$A$2:$A$10000&amp;JupData!$J$2:$J$10000,0),11))</f>
        <v/>
      </c>
      <c r="AC525" s="10" t="str">
        <f t="shared" si="88"/>
        <v/>
      </c>
      <c r="AD525" s="10" t="str">
        <f t="shared" si="89"/>
        <v/>
      </c>
      <c r="AE525" s="9" t="str">
        <f t="shared" si="90"/>
        <v/>
      </c>
      <c r="AF525" s="10" t="str">
        <f t="shared" si="91"/>
        <v/>
      </c>
      <c r="AG525" s="10" t="str">
        <f t="shared" si="92"/>
        <v/>
      </c>
      <c r="AH525" s="10" t="str">
        <f t="shared" si="93"/>
        <v/>
      </c>
      <c r="AI525" s="10" t="str">
        <f t="shared" si="94"/>
        <v/>
      </c>
      <c r="AJ525" s="10" t="str">
        <f t="shared" si="95"/>
        <v/>
      </c>
      <c r="AK525" s="10" t="str">
        <f t="shared" si="96"/>
        <v/>
      </c>
      <c r="AL525" s="14" t="str">
        <f t="shared" si="97"/>
        <v/>
      </c>
    </row>
    <row r="526" spans="1:38" x14ac:dyDescent="0.2">
      <c r="A526"/>
      <c r="B526" t="str">
        <f>IF($A526="","",VLOOKUP($A526,JupData!$A$2:$I$10000,4,FALSE))</f>
        <v/>
      </c>
      <c r="C526" s="7" t="str">
        <f>IF($A526="",IF(N(D526),0,""),VLOOKUP($A526,JupData!$A$2:$I$10000,7,FALSE))</f>
        <v/>
      </c>
      <c r="D526" t="str">
        <f t="shared" si="98"/>
        <v/>
      </c>
      <c r="E526" t="str">
        <f t="array" ref="E526">IF($A526="","",INDEX(JupData!$A$2:$K$10000,MATCH($A526&amp;E$1,JupData!$A$2:$A$10000&amp;JupData!$J$2:$J$10000,0),11))</f>
        <v/>
      </c>
      <c r="F526" t="str">
        <f t="array" ref="F526">IF($A526="","",INDEX(JupData!$A$2:$K$10000,MATCH($A526&amp;F$1,JupData!$A$2:$A$10000&amp;JupData!$J$2:$J$10000,0),11))</f>
        <v/>
      </c>
      <c r="G526" t="str">
        <f t="array" ref="G526">IF($A526="","",INDEX(JupData!$A$2:$K$10000,MATCH($A526&amp;G$1,JupData!$A$2:$A$10000&amp;JupData!$J$2:$J$10000,0),11))</f>
        <v/>
      </c>
      <c r="H526" t="str">
        <f t="array" ref="H526">IF($A526="","",INDEX(JupData!$A$2:$K$10000,MATCH($A526&amp;H$1,JupData!$A$2:$A$10000&amp;JupData!$J$2:$J$10000,0),11))</f>
        <v/>
      </c>
      <c r="I526" t="str">
        <f t="array" ref="I526">IF($A526="","",INDEX(JupData!$A$2:$K$10000,MATCH($A526&amp;I$1,JupData!$A$2:$A$10000&amp;JupData!$J$2:$J$10000,0),11))</f>
        <v/>
      </c>
      <c r="J526" t="str">
        <f t="array" ref="J526">IF($A526="","",INDEX(JupData!$A$2:$K$10000,MATCH($A526&amp;J$1,JupData!$A$2:$A$10000&amp;JupData!$J$2:$J$10000,0),11))</f>
        <v/>
      </c>
      <c r="K526" t="str">
        <f t="array" ref="K526">IF($A526="","",INDEX(JupData!$A$2:$K$10000,MATCH($A526&amp;K$1,JupData!$A$2:$A$10000&amp;JupData!$J$2:$J$10000,0),11))</f>
        <v/>
      </c>
      <c r="L526" t="str">
        <f t="array" ref="L526">IF($A526="","",INDEX(JupData!$A$2:$K$10000,MATCH($A526&amp;L$1,JupData!$A$2:$A$10000&amp;JupData!$J$2:$J$10000,0),11))</f>
        <v/>
      </c>
      <c r="M526" t="str">
        <f t="array" ref="M526">IF($A526="","",INDEX(JupData!$A$2:$K$10000,MATCH($A526&amp;M$1,JupData!$A$2:$A$10000&amp;JupData!$J$2:$J$10000,0),11))</f>
        <v/>
      </c>
      <c r="N526" t="str">
        <f t="array" ref="N526">IF($A526="","",INDEX(JupData!$A$2:$K$10000,MATCH($A526&amp;N$1,JupData!$A$2:$A$10000&amp;JupData!$J$2:$J$10000,0),11))</f>
        <v/>
      </c>
      <c r="O526" t="str">
        <f t="array" ref="O526">IF($A526="","",INDEX(JupData!$A$2:$K$10000,MATCH($A526&amp;O$1,JupData!$A$2:$A$10000&amp;JupData!$J$2:$J$10000,0),11))</f>
        <v/>
      </c>
      <c r="P526" t="str">
        <f t="array" ref="P526">IF($A526="","",INDEX(JupData!$A$2:$K$10000,MATCH($A526&amp;P$1,JupData!$A$2:$A$10000&amp;JupData!$J$2:$J$10000,0),11))</f>
        <v/>
      </c>
      <c r="Q526" t="str">
        <f t="array" ref="Q526">IF($A526="","",INDEX(JupData!$A$2:$K$10000,MATCH($A526&amp;Q$1,JupData!$A$2:$A$10000&amp;JupData!$J$2:$J$10000,0),11))</f>
        <v/>
      </c>
      <c r="R526" t="str">
        <f t="array" ref="R526">IF($A526="","",INDEX(JupData!$A$2:$K$10000,MATCH($A526&amp;R$1,JupData!$A$2:$A$10000&amp;JupData!$J$2:$J$10000,0),11))</f>
        <v/>
      </c>
      <c r="S526" t="str">
        <f t="array" ref="S526">IF($A526="","",INDEX(JupData!$A$2:$K$10000,MATCH($A526&amp;S$1,JupData!$A$2:$A$10000&amp;JupData!$J$2:$J$10000,0),11))</f>
        <v/>
      </c>
      <c r="T526" t="str">
        <f t="array" ref="T526">IF($A526="","",INDEX(JupData!$A$2:$K$10000,MATCH($A526&amp;T$1,JupData!$A$2:$A$10000&amp;JupData!$J$2:$J$10000,0),11))</f>
        <v/>
      </c>
      <c r="U526" t="str">
        <f t="array" ref="U526">IF($A526="","",INDEX(JupData!$A$2:$K$10000,MATCH($A526&amp;U$1,JupData!$A$2:$A$10000&amp;JupData!$J$2:$J$10000,0),11))</f>
        <v/>
      </c>
      <c r="V526" t="str">
        <f t="array" ref="V526">IF($A526="","",INDEX(JupData!$A$2:$K$10000,MATCH($A526&amp;V$1,JupData!$A$2:$A$10000&amp;JupData!$J$2:$J$10000,0),11))</f>
        <v/>
      </c>
      <c r="W526" t="str">
        <f t="array" ref="W526">IF($A526="","",INDEX(JupData!$A$2:$K$10000,MATCH($A526&amp;W$1,JupData!$A$2:$A$10000&amp;JupData!$J$2:$J$10000,0),11))</f>
        <v/>
      </c>
      <c r="X526" t="str">
        <f t="array" ref="X526">IF($A526="","",INDEX(JupData!$A$2:$K$10000,MATCH($A526&amp;X$1,JupData!$A$2:$A$10000&amp;JupData!$J$2:$J$10000,0),11))</f>
        <v/>
      </c>
      <c r="Y526" t="str">
        <f t="array" ref="Y526">IF($A526="","",INDEX(JupData!$A$2:$K$10000,MATCH($A526&amp;Y$1,JupData!$A$2:$A$10000&amp;JupData!$J$2:$J$10000,0),11))</f>
        <v/>
      </c>
      <c r="Z526" t="str">
        <f t="array" ref="Z526">IF($A526="","",INDEX(JupData!$A$2:$K$10000,MATCH($A526&amp;Z$1,JupData!$A$2:$A$10000&amp;JupData!$J$2:$J$10000,0),11))</f>
        <v/>
      </c>
      <c r="AA526" t="str">
        <f t="array" ref="AA526">IF($A526="","",INDEX(JupData!$A$2:$K$10000,MATCH($A526&amp;AA$1,JupData!$A$2:$A$10000&amp;JupData!$J$2:$J$10000,0),11))</f>
        <v/>
      </c>
      <c r="AB526" t="str">
        <f t="array" ref="AB526">IF($A526="","",INDEX(JupData!$A$2:$K$10000,MATCH($A526&amp;AB$1,JupData!$A$2:$A$10000&amp;JupData!$J$2:$J$10000,0),11))</f>
        <v/>
      </c>
      <c r="AC526" s="10" t="str">
        <f t="shared" si="88"/>
        <v/>
      </c>
      <c r="AD526" s="10" t="str">
        <f t="shared" si="89"/>
        <v/>
      </c>
      <c r="AE526" s="9" t="str">
        <f t="shared" si="90"/>
        <v/>
      </c>
      <c r="AF526" s="10" t="str">
        <f t="shared" si="91"/>
        <v/>
      </c>
      <c r="AG526" s="10" t="str">
        <f t="shared" si="92"/>
        <v/>
      </c>
      <c r="AH526" s="10" t="str">
        <f t="shared" si="93"/>
        <v/>
      </c>
      <c r="AI526" s="10" t="str">
        <f t="shared" si="94"/>
        <v/>
      </c>
      <c r="AJ526" s="10" t="str">
        <f t="shared" si="95"/>
        <v/>
      </c>
      <c r="AK526" s="10" t="str">
        <f t="shared" si="96"/>
        <v/>
      </c>
      <c r="AL526" s="14" t="str">
        <f t="shared" si="97"/>
        <v/>
      </c>
    </row>
    <row r="527" spans="1:38" x14ac:dyDescent="0.2">
      <c r="A527"/>
      <c r="B527" t="str">
        <f>IF($A527="","",VLOOKUP($A527,JupData!$A$2:$I$10000,4,FALSE))</f>
        <v/>
      </c>
      <c r="C527" s="7" t="str">
        <f>IF($A527="",IF(N(D527),0,""),VLOOKUP($A527,JupData!$A$2:$I$10000,7,FALSE))</f>
        <v/>
      </c>
      <c r="D527" t="str">
        <f t="shared" si="98"/>
        <v/>
      </c>
      <c r="E527" t="str">
        <f t="array" ref="E527">IF($A527="","",INDEX(JupData!$A$2:$K$10000,MATCH($A527&amp;E$1,JupData!$A$2:$A$10000&amp;JupData!$J$2:$J$10000,0),11))</f>
        <v/>
      </c>
      <c r="F527" t="str">
        <f t="array" ref="F527">IF($A527="","",INDEX(JupData!$A$2:$K$10000,MATCH($A527&amp;F$1,JupData!$A$2:$A$10000&amp;JupData!$J$2:$J$10000,0),11))</f>
        <v/>
      </c>
      <c r="G527" t="str">
        <f t="array" ref="G527">IF($A527="","",INDEX(JupData!$A$2:$K$10000,MATCH($A527&amp;G$1,JupData!$A$2:$A$10000&amp;JupData!$J$2:$J$10000,0),11))</f>
        <v/>
      </c>
      <c r="H527" t="str">
        <f t="array" ref="H527">IF($A527="","",INDEX(JupData!$A$2:$K$10000,MATCH($A527&amp;H$1,JupData!$A$2:$A$10000&amp;JupData!$J$2:$J$10000,0),11))</f>
        <v/>
      </c>
      <c r="I527" t="str">
        <f t="array" ref="I527">IF($A527="","",INDEX(JupData!$A$2:$K$10000,MATCH($A527&amp;I$1,JupData!$A$2:$A$10000&amp;JupData!$J$2:$J$10000,0),11))</f>
        <v/>
      </c>
      <c r="J527" t="str">
        <f t="array" ref="J527">IF($A527="","",INDEX(JupData!$A$2:$K$10000,MATCH($A527&amp;J$1,JupData!$A$2:$A$10000&amp;JupData!$J$2:$J$10000,0),11))</f>
        <v/>
      </c>
      <c r="K527" t="str">
        <f t="array" ref="K527">IF($A527="","",INDEX(JupData!$A$2:$K$10000,MATCH($A527&amp;K$1,JupData!$A$2:$A$10000&amp;JupData!$J$2:$J$10000,0),11))</f>
        <v/>
      </c>
      <c r="L527" t="str">
        <f t="array" ref="L527">IF($A527="","",INDEX(JupData!$A$2:$K$10000,MATCH($A527&amp;L$1,JupData!$A$2:$A$10000&amp;JupData!$J$2:$J$10000,0),11))</f>
        <v/>
      </c>
      <c r="M527" t="str">
        <f t="array" ref="M527">IF($A527="","",INDEX(JupData!$A$2:$K$10000,MATCH($A527&amp;M$1,JupData!$A$2:$A$10000&amp;JupData!$J$2:$J$10000,0),11))</f>
        <v/>
      </c>
      <c r="N527" t="str">
        <f t="array" ref="N527">IF($A527="","",INDEX(JupData!$A$2:$K$10000,MATCH($A527&amp;N$1,JupData!$A$2:$A$10000&amp;JupData!$J$2:$J$10000,0),11))</f>
        <v/>
      </c>
      <c r="O527" t="str">
        <f t="array" ref="O527">IF($A527="","",INDEX(JupData!$A$2:$K$10000,MATCH($A527&amp;O$1,JupData!$A$2:$A$10000&amp;JupData!$J$2:$J$10000,0),11))</f>
        <v/>
      </c>
      <c r="P527" t="str">
        <f t="array" ref="P527">IF($A527="","",INDEX(JupData!$A$2:$K$10000,MATCH($A527&amp;P$1,JupData!$A$2:$A$10000&amp;JupData!$J$2:$J$10000,0),11))</f>
        <v/>
      </c>
      <c r="Q527" t="str">
        <f t="array" ref="Q527">IF($A527="","",INDEX(JupData!$A$2:$K$10000,MATCH($A527&amp;Q$1,JupData!$A$2:$A$10000&amp;JupData!$J$2:$J$10000,0),11))</f>
        <v/>
      </c>
      <c r="R527" t="str">
        <f t="array" ref="R527">IF($A527="","",INDEX(JupData!$A$2:$K$10000,MATCH($A527&amp;R$1,JupData!$A$2:$A$10000&amp;JupData!$J$2:$J$10000,0),11))</f>
        <v/>
      </c>
      <c r="S527" t="str">
        <f t="array" ref="S527">IF($A527="","",INDEX(JupData!$A$2:$K$10000,MATCH($A527&amp;S$1,JupData!$A$2:$A$10000&amp;JupData!$J$2:$J$10000,0),11))</f>
        <v/>
      </c>
      <c r="T527" t="str">
        <f t="array" ref="T527">IF($A527="","",INDEX(JupData!$A$2:$K$10000,MATCH($A527&amp;T$1,JupData!$A$2:$A$10000&amp;JupData!$J$2:$J$10000,0),11))</f>
        <v/>
      </c>
      <c r="U527" t="str">
        <f t="array" ref="U527">IF($A527="","",INDEX(JupData!$A$2:$K$10000,MATCH($A527&amp;U$1,JupData!$A$2:$A$10000&amp;JupData!$J$2:$J$10000,0),11))</f>
        <v/>
      </c>
      <c r="V527" t="str">
        <f t="array" ref="V527">IF($A527="","",INDEX(JupData!$A$2:$K$10000,MATCH($A527&amp;V$1,JupData!$A$2:$A$10000&amp;JupData!$J$2:$J$10000,0),11))</f>
        <v/>
      </c>
      <c r="W527" t="str">
        <f t="array" ref="W527">IF($A527="","",INDEX(JupData!$A$2:$K$10000,MATCH($A527&amp;W$1,JupData!$A$2:$A$10000&amp;JupData!$J$2:$J$10000,0),11))</f>
        <v/>
      </c>
      <c r="X527" t="str">
        <f t="array" ref="X527">IF($A527="","",INDEX(JupData!$A$2:$K$10000,MATCH($A527&amp;X$1,JupData!$A$2:$A$10000&amp;JupData!$J$2:$J$10000,0),11))</f>
        <v/>
      </c>
      <c r="Y527" t="str">
        <f t="array" ref="Y527">IF($A527="","",INDEX(JupData!$A$2:$K$10000,MATCH($A527&amp;Y$1,JupData!$A$2:$A$10000&amp;JupData!$J$2:$J$10000,0),11))</f>
        <v/>
      </c>
      <c r="Z527" t="str">
        <f t="array" ref="Z527">IF($A527="","",INDEX(JupData!$A$2:$K$10000,MATCH($A527&amp;Z$1,JupData!$A$2:$A$10000&amp;JupData!$J$2:$J$10000,0),11))</f>
        <v/>
      </c>
      <c r="AA527" t="str">
        <f t="array" ref="AA527">IF($A527="","",INDEX(JupData!$A$2:$K$10000,MATCH($A527&amp;AA$1,JupData!$A$2:$A$10000&amp;JupData!$J$2:$J$10000,0),11))</f>
        <v/>
      </c>
      <c r="AB527" t="str">
        <f t="array" ref="AB527">IF($A527="","",INDEX(JupData!$A$2:$K$10000,MATCH($A527&amp;AB$1,JupData!$A$2:$A$10000&amp;JupData!$J$2:$J$10000,0),11))</f>
        <v/>
      </c>
      <c r="AC527" s="10" t="str">
        <f t="shared" si="88"/>
        <v/>
      </c>
      <c r="AD527" s="10" t="str">
        <f t="shared" si="89"/>
        <v/>
      </c>
      <c r="AE527" s="9" t="str">
        <f t="shared" si="90"/>
        <v/>
      </c>
      <c r="AF527" s="10" t="str">
        <f t="shared" si="91"/>
        <v/>
      </c>
      <c r="AG527" s="10" t="str">
        <f t="shared" si="92"/>
        <v/>
      </c>
      <c r="AH527" s="10" t="str">
        <f t="shared" si="93"/>
        <v/>
      </c>
      <c r="AI527" s="10" t="str">
        <f t="shared" si="94"/>
        <v/>
      </c>
      <c r="AJ527" s="10" t="str">
        <f t="shared" si="95"/>
        <v/>
      </c>
      <c r="AK527" s="10" t="str">
        <f t="shared" si="96"/>
        <v/>
      </c>
      <c r="AL527" s="14" t="str">
        <f t="shared" si="97"/>
        <v/>
      </c>
    </row>
    <row r="528" spans="1:38" x14ac:dyDescent="0.2">
      <c r="A528"/>
      <c r="B528" t="str">
        <f>IF($A528="","",VLOOKUP($A528,JupData!$A$2:$I$10000,4,FALSE))</f>
        <v/>
      </c>
      <c r="C528" s="7" t="str">
        <f>IF($A528="",IF(N(D528),0,""),VLOOKUP($A528,JupData!$A$2:$I$10000,7,FALSE))</f>
        <v/>
      </c>
      <c r="D528" t="str">
        <f t="shared" si="98"/>
        <v/>
      </c>
      <c r="E528" t="str">
        <f t="array" ref="E528">IF($A528="","",INDEX(JupData!$A$2:$K$10000,MATCH($A528&amp;E$1,JupData!$A$2:$A$10000&amp;JupData!$J$2:$J$10000,0),11))</f>
        <v/>
      </c>
      <c r="F528" t="str">
        <f t="array" ref="F528">IF($A528="","",INDEX(JupData!$A$2:$K$10000,MATCH($A528&amp;F$1,JupData!$A$2:$A$10000&amp;JupData!$J$2:$J$10000,0),11))</f>
        <v/>
      </c>
      <c r="G528" t="str">
        <f t="array" ref="G528">IF($A528="","",INDEX(JupData!$A$2:$K$10000,MATCH($A528&amp;G$1,JupData!$A$2:$A$10000&amp;JupData!$J$2:$J$10000,0),11))</f>
        <v/>
      </c>
      <c r="H528" t="str">
        <f t="array" ref="H528">IF($A528="","",INDEX(JupData!$A$2:$K$10000,MATCH($A528&amp;H$1,JupData!$A$2:$A$10000&amp;JupData!$J$2:$J$10000,0),11))</f>
        <v/>
      </c>
      <c r="I528" t="str">
        <f t="array" ref="I528">IF($A528="","",INDEX(JupData!$A$2:$K$10000,MATCH($A528&amp;I$1,JupData!$A$2:$A$10000&amp;JupData!$J$2:$J$10000,0),11))</f>
        <v/>
      </c>
      <c r="J528" t="str">
        <f t="array" ref="J528">IF($A528="","",INDEX(JupData!$A$2:$K$10000,MATCH($A528&amp;J$1,JupData!$A$2:$A$10000&amp;JupData!$J$2:$J$10000,0),11))</f>
        <v/>
      </c>
      <c r="K528" t="str">
        <f t="array" ref="K528">IF($A528="","",INDEX(JupData!$A$2:$K$10000,MATCH($A528&amp;K$1,JupData!$A$2:$A$10000&amp;JupData!$J$2:$J$10000,0),11))</f>
        <v/>
      </c>
      <c r="L528" t="str">
        <f t="array" ref="L528">IF($A528="","",INDEX(JupData!$A$2:$K$10000,MATCH($A528&amp;L$1,JupData!$A$2:$A$10000&amp;JupData!$J$2:$J$10000,0),11))</f>
        <v/>
      </c>
      <c r="M528" t="str">
        <f t="array" ref="M528">IF($A528="","",INDEX(JupData!$A$2:$K$10000,MATCH($A528&amp;M$1,JupData!$A$2:$A$10000&amp;JupData!$J$2:$J$10000,0),11))</f>
        <v/>
      </c>
      <c r="N528" t="str">
        <f t="array" ref="N528">IF($A528="","",INDEX(JupData!$A$2:$K$10000,MATCH($A528&amp;N$1,JupData!$A$2:$A$10000&amp;JupData!$J$2:$J$10000,0),11))</f>
        <v/>
      </c>
      <c r="O528" t="str">
        <f t="array" ref="O528">IF($A528="","",INDEX(JupData!$A$2:$K$10000,MATCH($A528&amp;O$1,JupData!$A$2:$A$10000&amp;JupData!$J$2:$J$10000,0),11))</f>
        <v/>
      </c>
      <c r="P528" t="str">
        <f t="array" ref="P528">IF($A528="","",INDEX(JupData!$A$2:$K$10000,MATCH($A528&amp;P$1,JupData!$A$2:$A$10000&amp;JupData!$J$2:$J$10000,0),11))</f>
        <v/>
      </c>
      <c r="Q528" t="str">
        <f t="array" ref="Q528">IF($A528="","",INDEX(JupData!$A$2:$K$10000,MATCH($A528&amp;Q$1,JupData!$A$2:$A$10000&amp;JupData!$J$2:$J$10000,0),11))</f>
        <v/>
      </c>
      <c r="R528" t="str">
        <f t="array" ref="R528">IF($A528="","",INDEX(JupData!$A$2:$K$10000,MATCH($A528&amp;R$1,JupData!$A$2:$A$10000&amp;JupData!$J$2:$J$10000,0),11))</f>
        <v/>
      </c>
      <c r="S528" t="str">
        <f t="array" ref="S528">IF($A528="","",INDEX(JupData!$A$2:$K$10000,MATCH($A528&amp;S$1,JupData!$A$2:$A$10000&amp;JupData!$J$2:$J$10000,0),11))</f>
        <v/>
      </c>
      <c r="T528" t="str">
        <f t="array" ref="T528">IF($A528="","",INDEX(JupData!$A$2:$K$10000,MATCH($A528&amp;T$1,JupData!$A$2:$A$10000&amp;JupData!$J$2:$J$10000,0),11))</f>
        <v/>
      </c>
      <c r="U528" t="str">
        <f t="array" ref="U528">IF($A528="","",INDEX(JupData!$A$2:$K$10000,MATCH($A528&amp;U$1,JupData!$A$2:$A$10000&amp;JupData!$J$2:$J$10000,0),11))</f>
        <v/>
      </c>
      <c r="V528" t="str">
        <f t="array" ref="V528">IF($A528="","",INDEX(JupData!$A$2:$K$10000,MATCH($A528&amp;V$1,JupData!$A$2:$A$10000&amp;JupData!$J$2:$J$10000,0),11))</f>
        <v/>
      </c>
      <c r="W528" t="str">
        <f t="array" ref="W528">IF($A528="","",INDEX(JupData!$A$2:$K$10000,MATCH($A528&amp;W$1,JupData!$A$2:$A$10000&amp;JupData!$J$2:$J$10000,0),11))</f>
        <v/>
      </c>
      <c r="X528" t="str">
        <f t="array" ref="X528">IF($A528="","",INDEX(JupData!$A$2:$K$10000,MATCH($A528&amp;X$1,JupData!$A$2:$A$10000&amp;JupData!$J$2:$J$10000,0),11))</f>
        <v/>
      </c>
      <c r="Y528" t="str">
        <f t="array" ref="Y528">IF($A528="","",INDEX(JupData!$A$2:$K$10000,MATCH($A528&amp;Y$1,JupData!$A$2:$A$10000&amp;JupData!$J$2:$J$10000,0),11))</f>
        <v/>
      </c>
      <c r="Z528" t="str">
        <f t="array" ref="Z528">IF($A528="","",INDEX(JupData!$A$2:$K$10000,MATCH($A528&amp;Z$1,JupData!$A$2:$A$10000&amp;JupData!$J$2:$J$10000,0),11))</f>
        <v/>
      </c>
      <c r="AA528" t="str">
        <f t="array" ref="AA528">IF($A528="","",INDEX(JupData!$A$2:$K$10000,MATCH($A528&amp;AA$1,JupData!$A$2:$A$10000&amp;JupData!$J$2:$J$10000,0),11))</f>
        <v/>
      </c>
      <c r="AB528" t="str">
        <f t="array" ref="AB528">IF($A528="","",INDEX(JupData!$A$2:$K$10000,MATCH($A528&amp;AB$1,JupData!$A$2:$A$10000&amp;JupData!$J$2:$J$10000,0),11))</f>
        <v/>
      </c>
      <c r="AC528" s="10" t="str">
        <f t="shared" si="88"/>
        <v/>
      </c>
      <c r="AD528" s="10" t="str">
        <f t="shared" si="89"/>
        <v/>
      </c>
      <c r="AE528" s="9" t="str">
        <f t="shared" si="90"/>
        <v/>
      </c>
      <c r="AF528" s="10" t="str">
        <f t="shared" si="91"/>
        <v/>
      </c>
      <c r="AG528" s="10" t="str">
        <f t="shared" si="92"/>
        <v/>
      </c>
      <c r="AH528" s="10" t="str">
        <f t="shared" si="93"/>
        <v/>
      </c>
      <c r="AI528" s="10" t="str">
        <f t="shared" si="94"/>
        <v/>
      </c>
      <c r="AJ528" s="10" t="str">
        <f t="shared" si="95"/>
        <v/>
      </c>
      <c r="AK528" s="10" t="str">
        <f t="shared" si="96"/>
        <v/>
      </c>
      <c r="AL528" s="14" t="str">
        <f t="shared" si="97"/>
        <v/>
      </c>
    </row>
    <row r="529" spans="1:38" x14ac:dyDescent="0.2">
      <c r="A529"/>
      <c r="B529" t="str">
        <f>IF($A529="","",VLOOKUP($A529,JupData!$A$2:$I$10000,4,FALSE))</f>
        <v/>
      </c>
      <c r="C529" s="7" t="str">
        <f>IF($A529="",IF(N(D529),0,""),VLOOKUP($A529,JupData!$A$2:$I$10000,7,FALSE))</f>
        <v/>
      </c>
      <c r="D529" t="str">
        <f t="shared" si="98"/>
        <v/>
      </c>
      <c r="E529" t="str">
        <f t="array" ref="E529">IF($A529="","",INDEX(JupData!$A$2:$K$10000,MATCH($A529&amp;E$1,JupData!$A$2:$A$10000&amp;JupData!$J$2:$J$10000,0),11))</f>
        <v/>
      </c>
      <c r="F529" t="str">
        <f t="array" ref="F529">IF($A529="","",INDEX(JupData!$A$2:$K$10000,MATCH($A529&amp;F$1,JupData!$A$2:$A$10000&amp;JupData!$J$2:$J$10000,0),11))</f>
        <v/>
      </c>
      <c r="G529" t="str">
        <f t="array" ref="G529">IF($A529="","",INDEX(JupData!$A$2:$K$10000,MATCH($A529&amp;G$1,JupData!$A$2:$A$10000&amp;JupData!$J$2:$J$10000,0),11))</f>
        <v/>
      </c>
      <c r="H529" t="str">
        <f t="array" ref="H529">IF($A529="","",INDEX(JupData!$A$2:$K$10000,MATCH($A529&amp;H$1,JupData!$A$2:$A$10000&amp;JupData!$J$2:$J$10000,0),11))</f>
        <v/>
      </c>
      <c r="I529" t="str">
        <f t="array" ref="I529">IF($A529="","",INDEX(JupData!$A$2:$K$10000,MATCH($A529&amp;I$1,JupData!$A$2:$A$10000&amp;JupData!$J$2:$J$10000,0),11))</f>
        <v/>
      </c>
      <c r="J529" t="str">
        <f t="array" ref="J529">IF($A529="","",INDEX(JupData!$A$2:$K$10000,MATCH($A529&amp;J$1,JupData!$A$2:$A$10000&amp;JupData!$J$2:$J$10000,0),11))</f>
        <v/>
      </c>
      <c r="K529" t="str">
        <f t="array" ref="K529">IF($A529="","",INDEX(JupData!$A$2:$K$10000,MATCH($A529&amp;K$1,JupData!$A$2:$A$10000&amp;JupData!$J$2:$J$10000,0),11))</f>
        <v/>
      </c>
      <c r="L529" t="str">
        <f t="array" ref="L529">IF($A529="","",INDEX(JupData!$A$2:$K$10000,MATCH($A529&amp;L$1,JupData!$A$2:$A$10000&amp;JupData!$J$2:$J$10000,0),11))</f>
        <v/>
      </c>
      <c r="M529" t="str">
        <f t="array" ref="M529">IF($A529="","",INDEX(JupData!$A$2:$K$10000,MATCH($A529&amp;M$1,JupData!$A$2:$A$10000&amp;JupData!$J$2:$J$10000,0),11))</f>
        <v/>
      </c>
      <c r="N529" t="str">
        <f t="array" ref="N529">IF($A529="","",INDEX(JupData!$A$2:$K$10000,MATCH($A529&amp;N$1,JupData!$A$2:$A$10000&amp;JupData!$J$2:$J$10000,0),11))</f>
        <v/>
      </c>
      <c r="O529" t="str">
        <f t="array" ref="O529">IF($A529="","",INDEX(JupData!$A$2:$K$10000,MATCH($A529&amp;O$1,JupData!$A$2:$A$10000&amp;JupData!$J$2:$J$10000,0),11))</f>
        <v/>
      </c>
      <c r="P529" t="str">
        <f t="array" ref="P529">IF($A529="","",INDEX(JupData!$A$2:$K$10000,MATCH($A529&amp;P$1,JupData!$A$2:$A$10000&amp;JupData!$J$2:$J$10000,0),11))</f>
        <v/>
      </c>
      <c r="Q529" t="str">
        <f t="array" ref="Q529">IF($A529="","",INDEX(JupData!$A$2:$K$10000,MATCH($A529&amp;Q$1,JupData!$A$2:$A$10000&amp;JupData!$J$2:$J$10000,0),11))</f>
        <v/>
      </c>
      <c r="R529" t="str">
        <f t="array" ref="R529">IF($A529="","",INDEX(JupData!$A$2:$K$10000,MATCH($A529&amp;R$1,JupData!$A$2:$A$10000&amp;JupData!$J$2:$J$10000,0),11))</f>
        <v/>
      </c>
      <c r="S529" t="str">
        <f t="array" ref="S529">IF($A529="","",INDEX(JupData!$A$2:$K$10000,MATCH($A529&amp;S$1,JupData!$A$2:$A$10000&amp;JupData!$J$2:$J$10000,0),11))</f>
        <v/>
      </c>
      <c r="T529" t="str">
        <f t="array" ref="T529">IF($A529="","",INDEX(JupData!$A$2:$K$10000,MATCH($A529&amp;T$1,JupData!$A$2:$A$10000&amp;JupData!$J$2:$J$10000,0),11))</f>
        <v/>
      </c>
      <c r="U529" t="str">
        <f t="array" ref="U529">IF($A529="","",INDEX(JupData!$A$2:$K$10000,MATCH($A529&amp;U$1,JupData!$A$2:$A$10000&amp;JupData!$J$2:$J$10000,0),11))</f>
        <v/>
      </c>
      <c r="V529" t="str">
        <f t="array" ref="V529">IF($A529="","",INDEX(JupData!$A$2:$K$10000,MATCH($A529&amp;V$1,JupData!$A$2:$A$10000&amp;JupData!$J$2:$J$10000,0),11))</f>
        <v/>
      </c>
      <c r="W529" t="str">
        <f t="array" ref="W529">IF($A529="","",INDEX(JupData!$A$2:$K$10000,MATCH($A529&amp;W$1,JupData!$A$2:$A$10000&amp;JupData!$J$2:$J$10000,0),11))</f>
        <v/>
      </c>
      <c r="X529" t="str">
        <f t="array" ref="X529">IF($A529="","",INDEX(JupData!$A$2:$K$10000,MATCH($A529&amp;X$1,JupData!$A$2:$A$10000&amp;JupData!$J$2:$J$10000,0),11))</f>
        <v/>
      </c>
      <c r="Y529" t="str">
        <f t="array" ref="Y529">IF($A529="","",INDEX(JupData!$A$2:$K$10000,MATCH($A529&amp;Y$1,JupData!$A$2:$A$10000&amp;JupData!$J$2:$J$10000,0),11))</f>
        <v/>
      </c>
      <c r="Z529" t="str">
        <f t="array" ref="Z529">IF($A529="","",INDEX(JupData!$A$2:$K$10000,MATCH($A529&amp;Z$1,JupData!$A$2:$A$10000&amp;JupData!$J$2:$J$10000,0),11))</f>
        <v/>
      </c>
      <c r="AA529" t="str">
        <f t="array" ref="AA529">IF($A529="","",INDEX(JupData!$A$2:$K$10000,MATCH($A529&amp;AA$1,JupData!$A$2:$A$10000&amp;JupData!$J$2:$J$10000,0),11))</f>
        <v/>
      </c>
      <c r="AB529" t="str">
        <f t="array" ref="AB529">IF($A529="","",INDEX(JupData!$A$2:$K$10000,MATCH($A529&amp;AB$1,JupData!$A$2:$A$10000&amp;JupData!$J$2:$J$10000,0),11))</f>
        <v/>
      </c>
      <c r="AC529" s="10" t="str">
        <f t="shared" si="88"/>
        <v/>
      </c>
      <c r="AD529" s="10" t="str">
        <f t="shared" si="89"/>
        <v/>
      </c>
      <c r="AE529" s="9" t="str">
        <f t="shared" si="90"/>
        <v/>
      </c>
      <c r="AF529" s="10" t="str">
        <f t="shared" si="91"/>
        <v/>
      </c>
      <c r="AG529" s="10" t="str">
        <f t="shared" si="92"/>
        <v/>
      </c>
      <c r="AH529" s="10" t="str">
        <f t="shared" si="93"/>
        <v/>
      </c>
      <c r="AI529" s="10" t="str">
        <f t="shared" si="94"/>
        <v/>
      </c>
      <c r="AJ529" s="10" t="str">
        <f t="shared" si="95"/>
        <v/>
      </c>
      <c r="AK529" s="10" t="str">
        <f t="shared" si="96"/>
        <v/>
      </c>
      <c r="AL529" s="14" t="str">
        <f t="shared" si="97"/>
        <v/>
      </c>
    </row>
    <row r="530" spans="1:38" x14ac:dyDescent="0.2">
      <c r="A530"/>
      <c r="B530" t="str">
        <f>IF($A530="","",VLOOKUP($A530,JupData!$A$2:$I$10000,4,FALSE))</f>
        <v/>
      </c>
      <c r="C530" s="7" t="str">
        <f>IF($A530="",IF(N(D530),0,""),VLOOKUP($A530,JupData!$A$2:$I$10000,7,FALSE))</f>
        <v/>
      </c>
      <c r="D530" t="str">
        <f t="shared" si="98"/>
        <v/>
      </c>
      <c r="E530" t="str">
        <f t="array" ref="E530">IF($A530="","",INDEX(JupData!$A$2:$K$10000,MATCH($A530&amp;E$1,JupData!$A$2:$A$10000&amp;JupData!$J$2:$J$10000,0),11))</f>
        <v/>
      </c>
      <c r="F530" t="str">
        <f t="array" ref="F530">IF($A530="","",INDEX(JupData!$A$2:$K$10000,MATCH($A530&amp;F$1,JupData!$A$2:$A$10000&amp;JupData!$J$2:$J$10000,0),11))</f>
        <v/>
      </c>
      <c r="G530" t="str">
        <f t="array" ref="G530">IF($A530="","",INDEX(JupData!$A$2:$K$10000,MATCH($A530&amp;G$1,JupData!$A$2:$A$10000&amp;JupData!$J$2:$J$10000,0),11))</f>
        <v/>
      </c>
      <c r="H530" t="str">
        <f t="array" ref="H530">IF($A530="","",INDEX(JupData!$A$2:$K$10000,MATCH($A530&amp;H$1,JupData!$A$2:$A$10000&amp;JupData!$J$2:$J$10000,0),11))</f>
        <v/>
      </c>
      <c r="I530" t="str">
        <f t="array" ref="I530">IF($A530="","",INDEX(JupData!$A$2:$K$10000,MATCH($A530&amp;I$1,JupData!$A$2:$A$10000&amp;JupData!$J$2:$J$10000,0),11))</f>
        <v/>
      </c>
      <c r="J530" t="str">
        <f t="array" ref="J530">IF($A530="","",INDEX(JupData!$A$2:$K$10000,MATCH($A530&amp;J$1,JupData!$A$2:$A$10000&amp;JupData!$J$2:$J$10000,0),11))</f>
        <v/>
      </c>
      <c r="K530" t="str">
        <f t="array" ref="K530">IF($A530="","",INDEX(JupData!$A$2:$K$10000,MATCH($A530&amp;K$1,JupData!$A$2:$A$10000&amp;JupData!$J$2:$J$10000,0),11))</f>
        <v/>
      </c>
      <c r="L530" t="str">
        <f t="array" ref="L530">IF($A530="","",INDEX(JupData!$A$2:$K$10000,MATCH($A530&amp;L$1,JupData!$A$2:$A$10000&amp;JupData!$J$2:$J$10000,0),11))</f>
        <v/>
      </c>
      <c r="M530" t="str">
        <f t="array" ref="M530">IF($A530="","",INDEX(JupData!$A$2:$K$10000,MATCH($A530&amp;M$1,JupData!$A$2:$A$10000&amp;JupData!$J$2:$J$10000,0),11))</f>
        <v/>
      </c>
      <c r="N530" t="str">
        <f t="array" ref="N530">IF($A530="","",INDEX(JupData!$A$2:$K$10000,MATCH($A530&amp;N$1,JupData!$A$2:$A$10000&amp;JupData!$J$2:$J$10000,0),11))</f>
        <v/>
      </c>
      <c r="O530" t="str">
        <f t="array" ref="O530">IF($A530="","",INDEX(JupData!$A$2:$K$10000,MATCH($A530&amp;O$1,JupData!$A$2:$A$10000&amp;JupData!$J$2:$J$10000,0),11))</f>
        <v/>
      </c>
      <c r="P530" t="str">
        <f t="array" ref="P530">IF($A530="","",INDEX(JupData!$A$2:$K$10000,MATCH($A530&amp;P$1,JupData!$A$2:$A$10000&amp;JupData!$J$2:$J$10000,0),11))</f>
        <v/>
      </c>
      <c r="Q530" t="str">
        <f t="array" ref="Q530">IF($A530="","",INDEX(JupData!$A$2:$K$10000,MATCH($A530&amp;Q$1,JupData!$A$2:$A$10000&amp;JupData!$J$2:$J$10000,0),11))</f>
        <v/>
      </c>
      <c r="R530" t="str">
        <f t="array" ref="R530">IF($A530="","",INDEX(JupData!$A$2:$K$10000,MATCH($A530&amp;R$1,JupData!$A$2:$A$10000&amp;JupData!$J$2:$J$10000,0),11))</f>
        <v/>
      </c>
      <c r="S530" t="str">
        <f t="array" ref="S530">IF($A530="","",INDEX(JupData!$A$2:$K$10000,MATCH($A530&amp;S$1,JupData!$A$2:$A$10000&amp;JupData!$J$2:$J$10000,0),11))</f>
        <v/>
      </c>
      <c r="T530" t="str">
        <f t="array" ref="T530">IF($A530="","",INDEX(JupData!$A$2:$K$10000,MATCH($A530&amp;T$1,JupData!$A$2:$A$10000&amp;JupData!$J$2:$J$10000,0),11))</f>
        <v/>
      </c>
      <c r="U530" t="str">
        <f t="array" ref="U530">IF($A530="","",INDEX(JupData!$A$2:$K$10000,MATCH($A530&amp;U$1,JupData!$A$2:$A$10000&amp;JupData!$J$2:$J$10000,0),11))</f>
        <v/>
      </c>
      <c r="V530" t="str">
        <f t="array" ref="V530">IF($A530="","",INDEX(JupData!$A$2:$K$10000,MATCH($A530&amp;V$1,JupData!$A$2:$A$10000&amp;JupData!$J$2:$J$10000,0),11))</f>
        <v/>
      </c>
      <c r="W530" t="str">
        <f t="array" ref="W530">IF($A530="","",INDEX(JupData!$A$2:$K$10000,MATCH($A530&amp;W$1,JupData!$A$2:$A$10000&amp;JupData!$J$2:$J$10000,0),11))</f>
        <v/>
      </c>
      <c r="X530" t="str">
        <f t="array" ref="X530">IF($A530="","",INDEX(JupData!$A$2:$K$10000,MATCH($A530&amp;X$1,JupData!$A$2:$A$10000&amp;JupData!$J$2:$J$10000,0),11))</f>
        <v/>
      </c>
      <c r="Y530" t="str">
        <f t="array" ref="Y530">IF($A530="","",INDEX(JupData!$A$2:$K$10000,MATCH($A530&amp;Y$1,JupData!$A$2:$A$10000&amp;JupData!$J$2:$J$10000,0),11))</f>
        <v/>
      </c>
      <c r="Z530" t="str">
        <f t="array" ref="Z530">IF($A530="","",INDEX(JupData!$A$2:$K$10000,MATCH($A530&amp;Z$1,JupData!$A$2:$A$10000&amp;JupData!$J$2:$J$10000,0),11))</f>
        <v/>
      </c>
      <c r="AA530" t="str">
        <f t="array" ref="AA530">IF($A530="","",INDEX(JupData!$A$2:$K$10000,MATCH($A530&amp;AA$1,JupData!$A$2:$A$10000&amp;JupData!$J$2:$J$10000,0),11))</f>
        <v/>
      </c>
      <c r="AB530" t="str">
        <f t="array" ref="AB530">IF($A530="","",INDEX(JupData!$A$2:$K$10000,MATCH($A530&amp;AB$1,JupData!$A$2:$A$10000&amp;JupData!$J$2:$J$10000,0),11))</f>
        <v/>
      </c>
      <c r="AC530" s="10" t="str">
        <f t="shared" si="88"/>
        <v/>
      </c>
      <c r="AD530" s="10" t="str">
        <f t="shared" si="89"/>
        <v/>
      </c>
      <c r="AE530" s="9" t="str">
        <f t="shared" si="90"/>
        <v/>
      </c>
      <c r="AF530" s="10" t="str">
        <f t="shared" si="91"/>
        <v/>
      </c>
      <c r="AG530" s="10" t="str">
        <f t="shared" si="92"/>
        <v/>
      </c>
      <c r="AH530" s="10" t="str">
        <f t="shared" si="93"/>
        <v/>
      </c>
      <c r="AI530" s="10" t="str">
        <f t="shared" si="94"/>
        <v/>
      </c>
      <c r="AJ530" s="10" t="str">
        <f t="shared" si="95"/>
        <v/>
      </c>
      <c r="AK530" s="10" t="str">
        <f t="shared" si="96"/>
        <v/>
      </c>
      <c r="AL530" s="14" t="str">
        <f t="shared" si="97"/>
        <v/>
      </c>
    </row>
    <row r="531" spans="1:38" x14ac:dyDescent="0.2">
      <c r="A531"/>
      <c r="B531" t="str">
        <f>IF($A531="","",VLOOKUP($A531,JupData!$A$2:$I$10000,4,FALSE))</f>
        <v/>
      </c>
      <c r="C531" s="7" t="str">
        <f>IF($A531="",IF(N(D531),0,""),VLOOKUP($A531,JupData!$A$2:$I$10000,7,FALSE))</f>
        <v/>
      </c>
      <c r="D531" t="str">
        <f t="shared" si="98"/>
        <v/>
      </c>
      <c r="E531" t="str">
        <f t="array" ref="E531">IF($A531="","",INDEX(JupData!$A$2:$K$10000,MATCH($A531&amp;E$1,JupData!$A$2:$A$10000&amp;JupData!$J$2:$J$10000,0),11))</f>
        <v/>
      </c>
      <c r="F531" t="str">
        <f t="array" ref="F531">IF($A531="","",INDEX(JupData!$A$2:$K$10000,MATCH($A531&amp;F$1,JupData!$A$2:$A$10000&amp;JupData!$J$2:$J$10000,0),11))</f>
        <v/>
      </c>
      <c r="G531" t="str">
        <f t="array" ref="G531">IF($A531="","",INDEX(JupData!$A$2:$K$10000,MATCH($A531&amp;G$1,JupData!$A$2:$A$10000&amp;JupData!$J$2:$J$10000,0),11))</f>
        <v/>
      </c>
      <c r="H531" t="str">
        <f t="array" ref="H531">IF($A531="","",INDEX(JupData!$A$2:$K$10000,MATCH($A531&amp;H$1,JupData!$A$2:$A$10000&amp;JupData!$J$2:$J$10000,0),11))</f>
        <v/>
      </c>
      <c r="I531" t="str">
        <f t="array" ref="I531">IF($A531="","",INDEX(JupData!$A$2:$K$10000,MATCH($A531&amp;I$1,JupData!$A$2:$A$10000&amp;JupData!$J$2:$J$10000,0),11))</f>
        <v/>
      </c>
      <c r="J531" t="str">
        <f t="array" ref="J531">IF($A531="","",INDEX(JupData!$A$2:$K$10000,MATCH($A531&amp;J$1,JupData!$A$2:$A$10000&amp;JupData!$J$2:$J$10000,0),11))</f>
        <v/>
      </c>
      <c r="K531" t="str">
        <f t="array" ref="K531">IF($A531="","",INDEX(JupData!$A$2:$K$10000,MATCH($A531&amp;K$1,JupData!$A$2:$A$10000&amp;JupData!$J$2:$J$10000,0),11))</f>
        <v/>
      </c>
      <c r="L531" t="str">
        <f t="array" ref="L531">IF($A531="","",INDEX(JupData!$A$2:$K$10000,MATCH($A531&amp;L$1,JupData!$A$2:$A$10000&amp;JupData!$J$2:$J$10000,0),11))</f>
        <v/>
      </c>
      <c r="M531" t="str">
        <f t="array" ref="M531">IF($A531="","",INDEX(JupData!$A$2:$K$10000,MATCH($A531&amp;M$1,JupData!$A$2:$A$10000&amp;JupData!$J$2:$J$10000,0),11))</f>
        <v/>
      </c>
      <c r="N531" t="str">
        <f t="array" ref="N531">IF($A531="","",INDEX(JupData!$A$2:$K$10000,MATCH($A531&amp;N$1,JupData!$A$2:$A$10000&amp;JupData!$J$2:$J$10000,0),11))</f>
        <v/>
      </c>
      <c r="O531" t="str">
        <f t="array" ref="O531">IF($A531="","",INDEX(JupData!$A$2:$K$10000,MATCH($A531&amp;O$1,JupData!$A$2:$A$10000&amp;JupData!$J$2:$J$10000,0),11))</f>
        <v/>
      </c>
      <c r="P531" t="str">
        <f t="array" ref="P531">IF($A531="","",INDEX(JupData!$A$2:$K$10000,MATCH($A531&amp;P$1,JupData!$A$2:$A$10000&amp;JupData!$J$2:$J$10000,0),11))</f>
        <v/>
      </c>
      <c r="Q531" t="str">
        <f t="array" ref="Q531">IF($A531="","",INDEX(JupData!$A$2:$K$10000,MATCH($A531&amp;Q$1,JupData!$A$2:$A$10000&amp;JupData!$J$2:$J$10000,0),11))</f>
        <v/>
      </c>
      <c r="R531" t="str">
        <f t="array" ref="R531">IF($A531="","",INDEX(JupData!$A$2:$K$10000,MATCH($A531&amp;R$1,JupData!$A$2:$A$10000&amp;JupData!$J$2:$J$10000,0),11))</f>
        <v/>
      </c>
      <c r="S531" t="str">
        <f t="array" ref="S531">IF($A531="","",INDEX(JupData!$A$2:$K$10000,MATCH($A531&amp;S$1,JupData!$A$2:$A$10000&amp;JupData!$J$2:$J$10000,0),11))</f>
        <v/>
      </c>
      <c r="T531" t="str">
        <f t="array" ref="T531">IF($A531="","",INDEX(JupData!$A$2:$K$10000,MATCH($A531&amp;T$1,JupData!$A$2:$A$10000&amp;JupData!$J$2:$J$10000,0),11))</f>
        <v/>
      </c>
      <c r="U531" t="str">
        <f t="array" ref="U531">IF($A531="","",INDEX(JupData!$A$2:$K$10000,MATCH($A531&amp;U$1,JupData!$A$2:$A$10000&amp;JupData!$J$2:$J$10000,0),11))</f>
        <v/>
      </c>
      <c r="V531" t="str">
        <f t="array" ref="V531">IF($A531="","",INDEX(JupData!$A$2:$K$10000,MATCH($A531&amp;V$1,JupData!$A$2:$A$10000&amp;JupData!$J$2:$J$10000,0),11))</f>
        <v/>
      </c>
      <c r="W531" t="str">
        <f t="array" ref="W531">IF($A531="","",INDEX(JupData!$A$2:$K$10000,MATCH($A531&amp;W$1,JupData!$A$2:$A$10000&amp;JupData!$J$2:$J$10000,0),11))</f>
        <v/>
      </c>
      <c r="X531" t="str">
        <f t="array" ref="X531">IF($A531="","",INDEX(JupData!$A$2:$K$10000,MATCH($A531&amp;X$1,JupData!$A$2:$A$10000&amp;JupData!$J$2:$J$10000,0),11))</f>
        <v/>
      </c>
      <c r="Y531" t="str">
        <f t="array" ref="Y531">IF($A531="","",INDEX(JupData!$A$2:$K$10000,MATCH($A531&amp;Y$1,JupData!$A$2:$A$10000&amp;JupData!$J$2:$J$10000,0),11))</f>
        <v/>
      </c>
      <c r="Z531" t="str">
        <f t="array" ref="Z531">IF($A531="","",INDEX(JupData!$A$2:$K$10000,MATCH($A531&amp;Z$1,JupData!$A$2:$A$10000&amp;JupData!$J$2:$J$10000,0),11))</f>
        <v/>
      </c>
      <c r="AA531" t="str">
        <f t="array" ref="AA531">IF($A531="","",INDEX(JupData!$A$2:$K$10000,MATCH($A531&amp;AA$1,JupData!$A$2:$A$10000&amp;JupData!$J$2:$J$10000,0),11))</f>
        <v/>
      </c>
      <c r="AB531" t="str">
        <f t="array" ref="AB531">IF($A531="","",INDEX(JupData!$A$2:$K$10000,MATCH($A531&amp;AB$1,JupData!$A$2:$A$10000&amp;JupData!$J$2:$J$10000,0),11))</f>
        <v/>
      </c>
      <c r="AC531" s="10" t="str">
        <f t="shared" si="88"/>
        <v/>
      </c>
      <c r="AD531" s="10" t="str">
        <f t="shared" si="89"/>
        <v/>
      </c>
      <c r="AE531" s="9" t="str">
        <f t="shared" si="90"/>
        <v/>
      </c>
      <c r="AF531" s="10" t="str">
        <f t="shared" si="91"/>
        <v/>
      </c>
      <c r="AG531" s="10" t="str">
        <f t="shared" si="92"/>
        <v/>
      </c>
      <c r="AH531" s="10" t="str">
        <f t="shared" si="93"/>
        <v/>
      </c>
      <c r="AI531" s="10" t="str">
        <f t="shared" si="94"/>
        <v/>
      </c>
      <c r="AJ531" s="10" t="str">
        <f t="shared" si="95"/>
        <v/>
      </c>
      <c r="AK531" s="10" t="str">
        <f t="shared" si="96"/>
        <v/>
      </c>
      <c r="AL531" s="14" t="str">
        <f t="shared" si="97"/>
        <v/>
      </c>
    </row>
    <row r="532" spans="1:38" x14ac:dyDescent="0.2">
      <c r="A532"/>
      <c r="B532" t="str">
        <f>IF($A532="","",VLOOKUP($A532,JupData!$A$2:$I$10000,4,FALSE))</f>
        <v/>
      </c>
      <c r="C532" s="7" t="str">
        <f>IF($A532="",IF(N(D532),0,""),VLOOKUP($A532,JupData!$A$2:$I$10000,7,FALSE))</f>
        <v/>
      </c>
      <c r="D532" t="str">
        <f t="shared" si="98"/>
        <v/>
      </c>
      <c r="E532" t="str">
        <f t="array" ref="E532">IF($A532="","",INDEX(JupData!$A$2:$K$10000,MATCH($A532&amp;E$1,JupData!$A$2:$A$10000&amp;JupData!$J$2:$J$10000,0),11))</f>
        <v/>
      </c>
      <c r="F532" t="str">
        <f t="array" ref="F532">IF($A532="","",INDEX(JupData!$A$2:$K$10000,MATCH($A532&amp;F$1,JupData!$A$2:$A$10000&amp;JupData!$J$2:$J$10000,0),11))</f>
        <v/>
      </c>
      <c r="G532" t="str">
        <f t="array" ref="G532">IF($A532="","",INDEX(JupData!$A$2:$K$10000,MATCH($A532&amp;G$1,JupData!$A$2:$A$10000&amp;JupData!$J$2:$J$10000,0),11))</f>
        <v/>
      </c>
      <c r="H532" t="str">
        <f t="array" ref="H532">IF($A532="","",INDEX(JupData!$A$2:$K$10000,MATCH($A532&amp;H$1,JupData!$A$2:$A$10000&amp;JupData!$J$2:$J$10000,0),11))</f>
        <v/>
      </c>
      <c r="I532" t="str">
        <f t="array" ref="I532">IF($A532="","",INDEX(JupData!$A$2:$K$10000,MATCH($A532&amp;I$1,JupData!$A$2:$A$10000&amp;JupData!$J$2:$J$10000,0),11))</f>
        <v/>
      </c>
      <c r="J532" t="str">
        <f t="array" ref="J532">IF($A532="","",INDEX(JupData!$A$2:$K$10000,MATCH($A532&amp;J$1,JupData!$A$2:$A$10000&amp;JupData!$J$2:$J$10000,0),11))</f>
        <v/>
      </c>
      <c r="K532" t="str">
        <f t="array" ref="K532">IF($A532="","",INDEX(JupData!$A$2:$K$10000,MATCH($A532&amp;K$1,JupData!$A$2:$A$10000&amp;JupData!$J$2:$J$10000,0),11))</f>
        <v/>
      </c>
      <c r="L532" t="str">
        <f t="array" ref="L532">IF($A532="","",INDEX(JupData!$A$2:$K$10000,MATCH($A532&amp;L$1,JupData!$A$2:$A$10000&amp;JupData!$J$2:$J$10000,0),11))</f>
        <v/>
      </c>
      <c r="M532" t="str">
        <f t="array" ref="M532">IF($A532="","",INDEX(JupData!$A$2:$K$10000,MATCH($A532&amp;M$1,JupData!$A$2:$A$10000&amp;JupData!$J$2:$J$10000,0),11))</f>
        <v/>
      </c>
      <c r="N532" t="str">
        <f t="array" ref="N532">IF($A532="","",INDEX(JupData!$A$2:$K$10000,MATCH($A532&amp;N$1,JupData!$A$2:$A$10000&amp;JupData!$J$2:$J$10000,0),11))</f>
        <v/>
      </c>
      <c r="O532" t="str">
        <f t="array" ref="O532">IF($A532="","",INDEX(JupData!$A$2:$K$10000,MATCH($A532&amp;O$1,JupData!$A$2:$A$10000&amp;JupData!$J$2:$J$10000,0),11))</f>
        <v/>
      </c>
      <c r="P532" t="str">
        <f t="array" ref="P532">IF($A532="","",INDEX(JupData!$A$2:$K$10000,MATCH($A532&amp;P$1,JupData!$A$2:$A$10000&amp;JupData!$J$2:$J$10000,0),11))</f>
        <v/>
      </c>
      <c r="Q532" t="str">
        <f t="array" ref="Q532">IF($A532="","",INDEX(JupData!$A$2:$K$10000,MATCH($A532&amp;Q$1,JupData!$A$2:$A$10000&amp;JupData!$J$2:$J$10000,0),11))</f>
        <v/>
      </c>
      <c r="R532" t="str">
        <f t="array" ref="R532">IF($A532="","",INDEX(JupData!$A$2:$K$10000,MATCH($A532&amp;R$1,JupData!$A$2:$A$10000&amp;JupData!$J$2:$J$10000,0),11))</f>
        <v/>
      </c>
      <c r="S532" t="str">
        <f t="array" ref="S532">IF($A532="","",INDEX(JupData!$A$2:$K$10000,MATCH($A532&amp;S$1,JupData!$A$2:$A$10000&amp;JupData!$J$2:$J$10000,0),11))</f>
        <v/>
      </c>
      <c r="T532" t="str">
        <f t="array" ref="T532">IF($A532="","",INDEX(JupData!$A$2:$K$10000,MATCH($A532&amp;T$1,JupData!$A$2:$A$10000&amp;JupData!$J$2:$J$10000,0),11))</f>
        <v/>
      </c>
      <c r="U532" t="str">
        <f t="array" ref="U532">IF($A532="","",INDEX(JupData!$A$2:$K$10000,MATCH($A532&amp;U$1,JupData!$A$2:$A$10000&amp;JupData!$J$2:$J$10000,0),11))</f>
        <v/>
      </c>
      <c r="V532" t="str">
        <f t="array" ref="V532">IF($A532="","",INDEX(JupData!$A$2:$K$10000,MATCH($A532&amp;V$1,JupData!$A$2:$A$10000&amp;JupData!$J$2:$J$10000,0),11))</f>
        <v/>
      </c>
      <c r="W532" t="str">
        <f t="array" ref="W532">IF($A532="","",INDEX(JupData!$A$2:$K$10000,MATCH($A532&amp;W$1,JupData!$A$2:$A$10000&amp;JupData!$J$2:$J$10000,0),11))</f>
        <v/>
      </c>
      <c r="X532" t="str">
        <f t="array" ref="X532">IF($A532="","",INDEX(JupData!$A$2:$K$10000,MATCH($A532&amp;X$1,JupData!$A$2:$A$10000&amp;JupData!$J$2:$J$10000,0),11))</f>
        <v/>
      </c>
      <c r="Y532" t="str">
        <f t="array" ref="Y532">IF($A532="","",INDEX(JupData!$A$2:$K$10000,MATCH($A532&amp;Y$1,JupData!$A$2:$A$10000&amp;JupData!$J$2:$J$10000,0),11))</f>
        <v/>
      </c>
      <c r="Z532" t="str">
        <f t="array" ref="Z532">IF($A532="","",INDEX(JupData!$A$2:$K$10000,MATCH($A532&amp;Z$1,JupData!$A$2:$A$10000&amp;JupData!$J$2:$J$10000,0),11))</f>
        <v/>
      </c>
      <c r="AA532" t="str">
        <f t="array" ref="AA532">IF($A532="","",INDEX(JupData!$A$2:$K$10000,MATCH($A532&amp;AA$1,JupData!$A$2:$A$10000&amp;JupData!$J$2:$J$10000,0),11))</f>
        <v/>
      </c>
      <c r="AB532" t="str">
        <f t="array" ref="AB532">IF($A532="","",INDEX(JupData!$A$2:$K$10000,MATCH($A532&amp;AB$1,JupData!$A$2:$A$10000&amp;JupData!$J$2:$J$10000,0),11))</f>
        <v/>
      </c>
      <c r="AC532" s="10" t="str">
        <f t="shared" si="88"/>
        <v/>
      </c>
      <c r="AD532" s="10" t="str">
        <f t="shared" si="89"/>
        <v/>
      </c>
      <c r="AE532" s="9" t="str">
        <f t="shared" si="90"/>
        <v/>
      </c>
      <c r="AF532" s="10" t="str">
        <f t="shared" si="91"/>
        <v/>
      </c>
      <c r="AG532" s="10" t="str">
        <f t="shared" si="92"/>
        <v/>
      </c>
      <c r="AH532" s="10" t="str">
        <f t="shared" si="93"/>
        <v/>
      </c>
      <c r="AI532" s="10" t="str">
        <f t="shared" si="94"/>
        <v/>
      </c>
      <c r="AJ532" s="10" t="str">
        <f t="shared" si="95"/>
        <v/>
      </c>
      <c r="AK532" s="10" t="str">
        <f t="shared" si="96"/>
        <v/>
      </c>
      <c r="AL532" s="14" t="str">
        <f t="shared" si="97"/>
        <v/>
      </c>
    </row>
    <row r="533" spans="1:38" x14ac:dyDescent="0.2">
      <c r="A533"/>
      <c r="B533" t="str">
        <f>IF($A533="","",VLOOKUP($A533,JupData!$A$2:$I$10000,4,FALSE))</f>
        <v/>
      </c>
      <c r="C533" s="7" t="str">
        <f>IF($A533="",IF(N(D533),0,""),VLOOKUP($A533,JupData!$A$2:$I$10000,7,FALSE))</f>
        <v/>
      </c>
      <c r="D533" t="str">
        <f t="shared" si="98"/>
        <v/>
      </c>
      <c r="E533" t="str">
        <f t="array" ref="E533">IF($A533="","",INDEX(JupData!$A$2:$K$10000,MATCH($A533&amp;E$1,JupData!$A$2:$A$10000&amp;JupData!$J$2:$J$10000,0),11))</f>
        <v/>
      </c>
      <c r="F533" t="str">
        <f t="array" ref="F533">IF($A533="","",INDEX(JupData!$A$2:$K$10000,MATCH($A533&amp;F$1,JupData!$A$2:$A$10000&amp;JupData!$J$2:$J$10000,0),11))</f>
        <v/>
      </c>
      <c r="G533" t="str">
        <f t="array" ref="G533">IF($A533="","",INDEX(JupData!$A$2:$K$10000,MATCH($A533&amp;G$1,JupData!$A$2:$A$10000&amp;JupData!$J$2:$J$10000,0),11))</f>
        <v/>
      </c>
      <c r="H533" t="str">
        <f t="array" ref="H533">IF($A533="","",INDEX(JupData!$A$2:$K$10000,MATCH($A533&amp;H$1,JupData!$A$2:$A$10000&amp;JupData!$J$2:$J$10000,0),11))</f>
        <v/>
      </c>
      <c r="I533" t="str">
        <f t="array" ref="I533">IF($A533="","",INDEX(JupData!$A$2:$K$10000,MATCH($A533&amp;I$1,JupData!$A$2:$A$10000&amp;JupData!$J$2:$J$10000,0),11))</f>
        <v/>
      </c>
      <c r="J533" t="str">
        <f t="array" ref="J533">IF($A533="","",INDEX(JupData!$A$2:$K$10000,MATCH($A533&amp;J$1,JupData!$A$2:$A$10000&amp;JupData!$J$2:$J$10000,0),11))</f>
        <v/>
      </c>
      <c r="K533" t="str">
        <f t="array" ref="K533">IF($A533="","",INDEX(JupData!$A$2:$K$10000,MATCH($A533&amp;K$1,JupData!$A$2:$A$10000&amp;JupData!$J$2:$J$10000,0),11))</f>
        <v/>
      </c>
      <c r="L533" t="str">
        <f t="array" ref="L533">IF($A533="","",INDEX(JupData!$A$2:$K$10000,MATCH($A533&amp;L$1,JupData!$A$2:$A$10000&amp;JupData!$J$2:$J$10000,0),11))</f>
        <v/>
      </c>
      <c r="M533" t="str">
        <f t="array" ref="M533">IF($A533="","",INDEX(JupData!$A$2:$K$10000,MATCH($A533&amp;M$1,JupData!$A$2:$A$10000&amp;JupData!$J$2:$J$10000,0),11))</f>
        <v/>
      </c>
      <c r="N533" t="str">
        <f t="array" ref="N533">IF($A533="","",INDEX(JupData!$A$2:$K$10000,MATCH($A533&amp;N$1,JupData!$A$2:$A$10000&amp;JupData!$J$2:$J$10000,0),11))</f>
        <v/>
      </c>
      <c r="O533" t="str">
        <f t="array" ref="O533">IF($A533="","",INDEX(JupData!$A$2:$K$10000,MATCH($A533&amp;O$1,JupData!$A$2:$A$10000&amp;JupData!$J$2:$J$10000,0),11))</f>
        <v/>
      </c>
      <c r="P533" t="str">
        <f t="array" ref="P533">IF($A533="","",INDEX(JupData!$A$2:$K$10000,MATCH($A533&amp;P$1,JupData!$A$2:$A$10000&amp;JupData!$J$2:$J$10000,0),11))</f>
        <v/>
      </c>
      <c r="Q533" t="str">
        <f t="array" ref="Q533">IF($A533="","",INDEX(JupData!$A$2:$K$10000,MATCH($A533&amp;Q$1,JupData!$A$2:$A$10000&amp;JupData!$J$2:$J$10000,0),11))</f>
        <v/>
      </c>
      <c r="R533" t="str">
        <f t="array" ref="R533">IF($A533="","",INDEX(JupData!$A$2:$K$10000,MATCH($A533&amp;R$1,JupData!$A$2:$A$10000&amp;JupData!$J$2:$J$10000,0),11))</f>
        <v/>
      </c>
      <c r="S533" t="str">
        <f t="array" ref="S533">IF($A533="","",INDEX(JupData!$A$2:$K$10000,MATCH($A533&amp;S$1,JupData!$A$2:$A$10000&amp;JupData!$J$2:$J$10000,0),11))</f>
        <v/>
      </c>
      <c r="T533" t="str">
        <f t="array" ref="T533">IF($A533="","",INDEX(JupData!$A$2:$K$10000,MATCH($A533&amp;T$1,JupData!$A$2:$A$10000&amp;JupData!$J$2:$J$10000,0),11))</f>
        <v/>
      </c>
      <c r="U533" t="str">
        <f t="array" ref="U533">IF($A533="","",INDEX(JupData!$A$2:$K$10000,MATCH($A533&amp;U$1,JupData!$A$2:$A$10000&amp;JupData!$J$2:$J$10000,0),11))</f>
        <v/>
      </c>
      <c r="V533" t="str">
        <f t="array" ref="V533">IF($A533="","",INDEX(JupData!$A$2:$K$10000,MATCH($A533&amp;V$1,JupData!$A$2:$A$10000&amp;JupData!$J$2:$J$10000,0),11))</f>
        <v/>
      </c>
      <c r="W533" t="str">
        <f t="array" ref="W533">IF($A533="","",INDEX(JupData!$A$2:$K$10000,MATCH($A533&amp;W$1,JupData!$A$2:$A$10000&amp;JupData!$J$2:$J$10000,0),11))</f>
        <v/>
      </c>
      <c r="X533" t="str">
        <f t="array" ref="X533">IF($A533="","",INDEX(JupData!$A$2:$K$10000,MATCH($A533&amp;X$1,JupData!$A$2:$A$10000&amp;JupData!$J$2:$J$10000,0),11))</f>
        <v/>
      </c>
      <c r="Y533" t="str">
        <f t="array" ref="Y533">IF($A533="","",INDEX(JupData!$A$2:$K$10000,MATCH($A533&amp;Y$1,JupData!$A$2:$A$10000&amp;JupData!$J$2:$J$10000,0),11))</f>
        <v/>
      </c>
      <c r="Z533" t="str">
        <f t="array" ref="Z533">IF($A533="","",INDEX(JupData!$A$2:$K$10000,MATCH($A533&amp;Z$1,JupData!$A$2:$A$10000&amp;JupData!$J$2:$J$10000,0),11))</f>
        <v/>
      </c>
      <c r="AA533" t="str">
        <f t="array" ref="AA533">IF($A533="","",INDEX(JupData!$A$2:$K$10000,MATCH($A533&amp;AA$1,JupData!$A$2:$A$10000&amp;JupData!$J$2:$J$10000,0),11))</f>
        <v/>
      </c>
      <c r="AB533" t="str">
        <f t="array" ref="AB533">IF($A533="","",INDEX(JupData!$A$2:$K$10000,MATCH($A533&amp;AB$1,JupData!$A$2:$A$10000&amp;JupData!$J$2:$J$10000,0),11))</f>
        <v/>
      </c>
      <c r="AC533" s="10" t="str">
        <f t="shared" si="88"/>
        <v/>
      </c>
      <c r="AD533" s="10" t="str">
        <f t="shared" si="89"/>
        <v/>
      </c>
      <c r="AE533" s="9" t="str">
        <f t="shared" si="90"/>
        <v/>
      </c>
      <c r="AF533" s="10" t="str">
        <f t="shared" si="91"/>
        <v/>
      </c>
      <c r="AG533" s="10" t="str">
        <f t="shared" si="92"/>
        <v/>
      </c>
      <c r="AH533" s="10" t="str">
        <f t="shared" si="93"/>
        <v/>
      </c>
      <c r="AI533" s="10" t="str">
        <f t="shared" si="94"/>
        <v/>
      </c>
      <c r="AJ533" s="10" t="str">
        <f t="shared" si="95"/>
        <v/>
      </c>
      <c r="AK533" s="10" t="str">
        <f t="shared" si="96"/>
        <v/>
      </c>
      <c r="AL533" s="14" t="str">
        <f t="shared" si="97"/>
        <v/>
      </c>
    </row>
    <row r="534" spans="1:38" x14ac:dyDescent="0.2">
      <c r="A534"/>
      <c r="B534" t="str">
        <f>IF($A534="","",VLOOKUP($A534,JupData!$A$2:$I$10000,4,FALSE))</f>
        <v/>
      </c>
      <c r="C534" s="7" t="str">
        <f>IF($A534="",IF(N(D534),0,""),VLOOKUP($A534,JupData!$A$2:$I$10000,7,FALSE))</f>
        <v/>
      </c>
      <c r="D534" t="str">
        <f t="shared" si="98"/>
        <v/>
      </c>
      <c r="E534" t="str">
        <f t="array" ref="E534">IF($A534="","",INDEX(JupData!$A$2:$K$10000,MATCH($A534&amp;E$1,JupData!$A$2:$A$10000&amp;JupData!$J$2:$J$10000,0),11))</f>
        <v/>
      </c>
      <c r="F534" t="str">
        <f t="array" ref="F534">IF($A534="","",INDEX(JupData!$A$2:$K$10000,MATCH($A534&amp;F$1,JupData!$A$2:$A$10000&amp;JupData!$J$2:$J$10000,0),11))</f>
        <v/>
      </c>
      <c r="G534" t="str">
        <f t="array" ref="G534">IF($A534="","",INDEX(JupData!$A$2:$K$10000,MATCH($A534&amp;G$1,JupData!$A$2:$A$10000&amp;JupData!$J$2:$J$10000,0),11))</f>
        <v/>
      </c>
      <c r="H534" t="str">
        <f t="array" ref="H534">IF($A534="","",INDEX(JupData!$A$2:$K$10000,MATCH($A534&amp;H$1,JupData!$A$2:$A$10000&amp;JupData!$J$2:$J$10000,0),11))</f>
        <v/>
      </c>
      <c r="I534" t="str">
        <f t="array" ref="I534">IF($A534="","",INDEX(JupData!$A$2:$K$10000,MATCH($A534&amp;I$1,JupData!$A$2:$A$10000&amp;JupData!$J$2:$J$10000,0),11))</f>
        <v/>
      </c>
      <c r="J534" t="str">
        <f t="array" ref="J534">IF($A534="","",INDEX(JupData!$A$2:$K$10000,MATCH($A534&amp;J$1,JupData!$A$2:$A$10000&amp;JupData!$J$2:$J$10000,0),11))</f>
        <v/>
      </c>
      <c r="K534" t="str">
        <f t="array" ref="K534">IF($A534="","",INDEX(JupData!$A$2:$K$10000,MATCH($A534&amp;K$1,JupData!$A$2:$A$10000&amp;JupData!$J$2:$J$10000,0),11))</f>
        <v/>
      </c>
      <c r="L534" t="str">
        <f t="array" ref="L534">IF($A534="","",INDEX(JupData!$A$2:$K$10000,MATCH($A534&amp;L$1,JupData!$A$2:$A$10000&amp;JupData!$J$2:$J$10000,0),11))</f>
        <v/>
      </c>
      <c r="M534" t="str">
        <f t="array" ref="M534">IF($A534="","",INDEX(JupData!$A$2:$K$10000,MATCH($A534&amp;M$1,JupData!$A$2:$A$10000&amp;JupData!$J$2:$J$10000,0),11))</f>
        <v/>
      </c>
      <c r="N534" t="str">
        <f t="array" ref="N534">IF($A534="","",INDEX(JupData!$A$2:$K$10000,MATCH($A534&amp;N$1,JupData!$A$2:$A$10000&amp;JupData!$J$2:$J$10000,0),11))</f>
        <v/>
      </c>
      <c r="O534" t="str">
        <f t="array" ref="O534">IF($A534="","",INDEX(JupData!$A$2:$K$10000,MATCH($A534&amp;O$1,JupData!$A$2:$A$10000&amp;JupData!$J$2:$J$10000,0),11))</f>
        <v/>
      </c>
      <c r="P534" t="str">
        <f t="array" ref="P534">IF($A534="","",INDEX(JupData!$A$2:$K$10000,MATCH($A534&amp;P$1,JupData!$A$2:$A$10000&amp;JupData!$J$2:$J$10000,0),11))</f>
        <v/>
      </c>
      <c r="Q534" t="str">
        <f t="array" ref="Q534">IF($A534="","",INDEX(JupData!$A$2:$K$10000,MATCH($A534&amp;Q$1,JupData!$A$2:$A$10000&amp;JupData!$J$2:$J$10000,0),11))</f>
        <v/>
      </c>
      <c r="R534" t="str">
        <f t="array" ref="R534">IF($A534="","",INDEX(JupData!$A$2:$K$10000,MATCH($A534&amp;R$1,JupData!$A$2:$A$10000&amp;JupData!$J$2:$J$10000,0),11))</f>
        <v/>
      </c>
      <c r="S534" t="str">
        <f t="array" ref="S534">IF($A534="","",INDEX(JupData!$A$2:$K$10000,MATCH($A534&amp;S$1,JupData!$A$2:$A$10000&amp;JupData!$J$2:$J$10000,0),11))</f>
        <v/>
      </c>
      <c r="T534" t="str">
        <f t="array" ref="T534">IF($A534="","",INDEX(JupData!$A$2:$K$10000,MATCH($A534&amp;T$1,JupData!$A$2:$A$10000&amp;JupData!$J$2:$J$10000,0),11))</f>
        <v/>
      </c>
      <c r="U534" t="str">
        <f t="array" ref="U534">IF($A534="","",INDEX(JupData!$A$2:$K$10000,MATCH($A534&amp;U$1,JupData!$A$2:$A$10000&amp;JupData!$J$2:$J$10000,0),11))</f>
        <v/>
      </c>
      <c r="V534" t="str">
        <f t="array" ref="V534">IF($A534="","",INDEX(JupData!$A$2:$K$10000,MATCH($A534&amp;V$1,JupData!$A$2:$A$10000&amp;JupData!$J$2:$J$10000,0),11))</f>
        <v/>
      </c>
      <c r="W534" t="str">
        <f t="array" ref="W534">IF($A534="","",INDEX(JupData!$A$2:$K$10000,MATCH($A534&amp;W$1,JupData!$A$2:$A$10000&amp;JupData!$J$2:$J$10000,0),11))</f>
        <v/>
      </c>
      <c r="X534" t="str">
        <f t="array" ref="X534">IF($A534="","",INDEX(JupData!$A$2:$K$10000,MATCH($A534&amp;X$1,JupData!$A$2:$A$10000&amp;JupData!$J$2:$J$10000,0),11))</f>
        <v/>
      </c>
      <c r="Y534" t="str">
        <f t="array" ref="Y534">IF($A534="","",INDEX(JupData!$A$2:$K$10000,MATCH($A534&amp;Y$1,JupData!$A$2:$A$10000&amp;JupData!$J$2:$J$10000,0),11))</f>
        <v/>
      </c>
      <c r="Z534" t="str">
        <f t="array" ref="Z534">IF($A534="","",INDEX(JupData!$A$2:$K$10000,MATCH($A534&amp;Z$1,JupData!$A$2:$A$10000&amp;JupData!$J$2:$J$10000,0),11))</f>
        <v/>
      </c>
      <c r="AA534" t="str">
        <f t="array" ref="AA534">IF($A534="","",INDEX(JupData!$A$2:$K$10000,MATCH($A534&amp;AA$1,JupData!$A$2:$A$10000&amp;JupData!$J$2:$J$10000,0),11))</f>
        <v/>
      </c>
      <c r="AB534" t="str">
        <f t="array" ref="AB534">IF($A534="","",INDEX(JupData!$A$2:$K$10000,MATCH($A534&amp;AB$1,JupData!$A$2:$A$10000&amp;JupData!$J$2:$J$10000,0),11))</f>
        <v/>
      </c>
      <c r="AC534" s="10" t="str">
        <f t="shared" si="88"/>
        <v/>
      </c>
      <c r="AD534" s="10" t="str">
        <f t="shared" si="89"/>
        <v/>
      </c>
      <c r="AE534" s="9" t="str">
        <f t="shared" si="90"/>
        <v/>
      </c>
      <c r="AF534" s="10" t="str">
        <f t="shared" si="91"/>
        <v/>
      </c>
      <c r="AG534" s="10" t="str">
        <f t="shared" si="92"/>
        <v/>
      </c>
      <c r="AH534" s="10" t="str">
        <f t="shared" si="93"/>
        <v/>
      </c>
      <c r="AI534" s="10" t="str">
        <f t="shared" si="94"/>
        <v/>
      </c>
      <c r="AJ534" s="10" t="str">
        <f t="shared" si="95"/>
        <v/>
      </c>
      <c r="AK534" s="10" t="str">
        <f t="shared" si="96"/>
        <v/>
      </c>
      <c r="AL534" s="14" t="str">
        <f t="shared" si="97"/>
        <v/>
      </c>
    </row>
    <row r="535" spans="1:38" x14ac:dyDescent="0.2">
      <c r="A535"/>
      <c r="B535" t="str">
        <f>IF($A535="","",VLOOKUP($A535,JupData!$A$2:$I$10000,4,FALSE))</f>
        <v/>
      </c>
      <c r="C535" s="7" t="str">
        <f>IF($A535="",IF(N(D535),0,""),VLOOKUP($A535,JupData!$A$2:$I$10000,7,FALSE))</f>
        <v/>
      </c>
      <c r="D535" t="str">
        <f t="shared" si="98"/>
        <v/>
      </c>
      <c r="E535" t="str">
        <f t="array" ref="E535">IF($A535="","",INDEX(JupData!$A$2:$K$10000,MATCH($A535&amp;E$1,JupData!$A$2:$A$10000&amp;JupData!$J$2:$J$10000,0),11))</f>
        <v/>
      </c>
      <c r="F535" t="str">
        <f t="array" ref="F535">IF($A535="","",INDEX(JupData!$A$2:$K$10000,MATCH($A535&amp;F$1,JupData!$A$2:$A$10000&amp;JupData!$J$2:$J$10000,0),11))</f>
        <v/>
      </c>
      <c r="G535" t="str">
        <f t="array" ref="G535">IF($A535="","",INDEX(JupData!$A$2:$K$10000,MATCH($A535&amp;G$1,JupData!$A$2:$A$10000&amp;JupData!$J$2:$J$10000,0),11))</f>
        <v/>
      </c>
      <c r="H535" t="str">
        <f t="array" ref="H535">IF($A535="","",INDEX(JupData!$A$2:$K$10000,MATCH($A535&amp;H$1,JupData!$A$2:$A$10000&amp;JupData!$J$2:$J$10000,0),11))</f>
        <v/>
      </c>
      <c r="I535" t="str">
        <f t="array" ref="I535">IF($A535="","",INDEX(JupData!$A$2:$K$10000,MATCH($A535&amp;I$1,JupData!$A$2:$A$10000&amp;JupData!$J$2:$J$10000,0),11))</f>
        <v/>
      </c>
      <c r="J535" t="str">
        <f t="array" ref="J535">IF($A535="","",INDEX(JupData!$A$2:$K$10000,MATCH($A535&amp;J$1,JupData!$A$2:$A$10000&amp;JupData!$J$2:$J$10000,0),11))</f>
        <v/>
      </c>
      <c r="K535" t="str">
        <f t="array" ref="K535">IF($A535="","",INDEX(JupData!$A$2:$K$10000,MATCH($A535&amp;K$1,JupData!$A$2:$A$10000&amp;JupData!$J$2:$J$10000,0),11))</f>
        <v/>
      </c>
      <c r="L535" t="str">
        <f t="array" ref="L535">IF($A535="","",INDEX(JupData!$A$2:$K$10000,MATCH($A535&amp;L$1,JupData!$A$2:$A$10000&amp;JupData!$J$2:$J$10000,0),11))</f>
        <v/>
      </c>
      <c r="M535" t="str">
        <f t="array" ref="M535">IF($A535="","",INDEX(JupData!$A$2:$K$10000,MATCH($A535&amp;M$1,JupData!$A$2:$A$10000&amp;JupData!$J$2:$J$10000,0),11))</f>
        <v/>
      </c>
      <c r="N535" t="str">
        <f t="array" ref="N535">IF($A535="","",INDEX(JupData!$A$2:$K$10000,MATCH($A535&amp;N$1,JupData!$A$2:$A$10000&amp;JupData!$J$2:$J$10000,0),11))</f>
        <v/>
      </c>
      <c r="O535" t="str">
        <f t="array" ref="O535">IF($A535="","",INDEX(JupData!$A$2:$K$10000,MATCH($A535&amp;O$1,JupData!$A$2:$A$10000&amp;JupData!$J$2:$J$10000,0),11))</f>
        <v/>
      </c>
      <c r="P535" t="str">
        <f t="array" ref="P535">IF($A535="","",INDEX(JupData!$A$2:$K$10000,MATCH($A535&amp;P$1,JupData!$A$2:$A$10000&amp;JupData!$J$2:$J$10000,0),11))</f>
        <v/>
      </c>
      <c r="Q535" t="str">
        <f t="array" ref="Q535">IF($A535="","",INDEX(JupData!$A$2:$K$10000,MATCH($A535&amp;Q$1,JupData!$A$2:$A$10000&amp;JupData!$J$2:$J$10000,0),11))</f>
        <v/>
      </c>
      <c r="R535" t="str">
        <f t="array" ref="R535">IF($A535="","",INDEX(JupData!$A$2:$K$10000,MATCH($A535&amp;R$1,JupData!$A$2:$A$10000&amp;JupData!$J$2:$J$10000,0),11))</f>
        <v/>
      </c>
      <c r="S535" t="str">
        <f t="array" ref="S535">IF($A535="","",INDEX(JupData!$A$2:$K$10000,MATCH($A535&amp;S$1,JupData!$A$2:$A$10000&amp;JupData!$J$2:$J$10000,0),11))</f>
        <v/>
      </c>
      <c r="T535" t="str">
        <f t="array" ref="T535">IF($A535="","",INDEX(JupData!$A$2:$K$10000,MATCH($A535&amp;T$1,JupData!$A$2:$A$10000&amp;JupData!$J$2:$J$10000,0),11))</f>
        <v/>
      </c>
      <c r="U535" t="str">
        <f t="array" ref="U535">IF($A535="","",INDEX(JupData!$A$2:$K$10000,MATCH($A535&amp;U$1,JupData!$A$2:$A$10000&amp;JupData!$J$2:$J$10000,0),11))</f>
        <v/>
      </c>
      <c r="V535" t="str">
        <f t="array" ref="V535">IF($A535="","",INDEX(JupData!$A$2:$K$10000,MATCH($A535&amp;V$1,JupData!$A$2:$A$10000&amp;JupData!$J$2:$J$10000,0),11))</f>
        <v/>
      </c>
      <c r="W535" t="str">
        <f t="array" ref="W535">IF($A535="","",INDEX(JupData!$A$2:$K$10000,MATCH($A535&amp;W$1,JupData!$A$2:$A$10000&amp;JupData!$J$2:$J$10000,0),11))</f>
        <v/>
      </c>
      <c r="X535" t="str">
        <f t="array" ref="X535">IF($A535="","",INDEX(JupData!$A$2:$K$10000,MATCH($A535&amp;X$1,JupData!$A$2:$A$10000&amp;JupData!$J$2:$J$10000,0),11))</f>
        <v/>
      </c>
      <c r="Y535" t="str">
        <f t="array" ref="Y535">IF($A535="","",INDEX(JupData!$A$2:$K$10000,MATCH($A535&amp;Y$1,JupData!$A$2:$A$10000&amp;JupData!$J$2:$J$10000,0),11))</f>
        <v/>
      </c>
      <c r="Z535" t="str">
        <f t="array" ref="Z535">IF($A535="","",INDEX(JupData!$A$2:$K$10000,MATCH($A535&amp;Z$1,JupData!$A$2:$A$10000&amp;JupData!$J$2:$J$10000,0),11))</f>
        <v/>
      </c>
      <c r="AA535" t="str">
        <f t="array" ref="AA535">IF($A535="","",INDEX(JupData!$A$2:$K$10000,MATCH($A535&amp;AA$1,JupData!$A$2:$A$10000&amp;JupData!$J$2:$J$10000,0),11))</f>
        <v/>
      </c>
      <c r="AB535" t="str">
        <f t="array" ref="AB535">IF($A535="","",INDEX(JupData!$A$2:$K$10000,MATCH($A535&amp;AB$1,JupData!$A$2:$A$10000&amp;JupData!$J$2:$J$10000,0),11))</f>
        <v/>
      </c>
      <c r="AC535" s="10" t="str">
        <f t="shared" si="88"/>
        <v/>
      </c>
      <c r="AD535" s="10" t="str">
        <f t="shared" si="89"/>
        <v/>
      </c>
      <c r="AE535" s="9" t="str">
        <f t="shared" si="90"/>
        <v/>
      </c>
      <c r="AF535" s="10" t="str">
        <f t="shared" si="91"/>
        <v/>
      </c>
      <c r="AG535" s="10" t="str">
        <f t="shared" si="92"/>
        <v/>
      </c>
      <c r="AH535" s="10" t="str">
        <f t="shared" si="93"/>
        <v/>
      </c>
      <c r="AI535" s="10" t="str">
        <f t="shared" si="94"/>
        <v/>
      </c>
      <c r="AJ535" s="10" t="str">
        <f t="shared" si="95"/>
        <v/>
      </c>
      <c r="AK535" s="10" t="str">
        <f t="shared" si="96"/>
        <v/>
      </c>
      <c r="AL535" s="14" t="str">
        <f t="shared" si="97"/>
        <v/>
      </c>
    </row>
    <row r="536" spans="1:38" x14ac:dyDescent="0.2">
      <c r="A536"/>
      <c r="B536" t="str">
        <f>IF($A536="","",VLOOKUP($A536,JupData!$A$2:$I$10000,4,FALSE))</f>
        <v/>
      </c>
      <c r="C536" s="7" t="str">
        <f>IF($A536="",IF(N(D536),0,""),VLOOKUP($A536,JupData!$A$2:$I$10000,7,FALSE))</f>
        <v/>
      </c>
      <c r="D536" t="str">
        <f t="shared" si="98"/>
        <v/>
      </c>
      <c r="E536" t="str">
        <f t="array" ref="E536">IF($A536="","",INDEX(JupData!$A$2:$K$10000,MATCH($A536&amp;E$1,JupData!$A$2:$A$10000&amp;JupData!$J$2:$J$10000,0),11))</f>
        <v/>
      </c>
      <c r="F536" t="str">
        <f t="array" ref="F536">IF($A536="","",INDEX(JupData!$A$2:$K$10000,MATCH($A536&amp;F$1,JupData!$A$2:$A$10000&amp;JupData!$J$2:$J$10000,0),11))</f>
        <v/>
      </c>
      <c r="G536" t="str">
        <f t="array" ref="G536">IF($A536="","",INDEX(JupData!$A$2:$K$10000,MATCH($A536&amp;G$1,JupData!$A$2:$A$10000&amp;JupData!$J$2:$J$10000,0),11))</f>
        <v/>
      </c>
      <c r="H536" t="str">
        <f t="array" ref="H536">IF($A536="","",INDEX(JupData!$A$2:$K$10000,MATCH($A536&amp;H$1,JupData!$A$2:$A$10000&amp;JupData!$J$2:$J$10000,0),11))</f>
        <v/>
      </c>
      <c r="I536" t="str">
        <f t="array" ref="I536">IF($A536="","",INDEX(JupData!$A$2:$K$10000,MATCH($A536&amp;I$1,JupData!$A$2:$A$10000&amp;JupData!$J$2:$J$10000,0),11))</f>
        <v/>
      </c>
      <c r="J536" t="str">
        <f t="array" ref="J536">IF($A536="","",INDEX(JupData!$A$2:$K$10000,MATCH($A536&amp;J$1,JupData!$A$2:$A$10000&amp;JupData!$J$2:$J$10000,0),11))</f>
        <v/>
      </c>
      <c r="K536" t="str">
        <f t="array" ref="K536">IF($A536="","",INDEX(JupData!$A$2:$K$10000,MATCH($A536&amp;K$1,JupData!$A$2:$A$10000&amp;JupData!$J$2:$J$10000,0),11))</f>
        <v/>
      </c>
      <c r="L536" t="str">
        <f t="array" ref="L536">IF($A536="","",INDEX(JupData!$A$2:$K$10000,MATCH($A536&amp;L$1,JupData!$A$2:$A$10000&amp;JupData!$J$2:$J$10000,0),11))</f>
        <v/>
      </c>
      <c r="M536" t="str">
        <f t="array" ref="M536">IF($A536="","",INDEX(JupData!$A$2:$K$10000,MATCH($A536&amp;M$1,JupData!$A$2:$A$10000&amp;JupData!$J$2:$J$10000,0),11))</f>
        <v/>
      </c>
      <c r="N536" t="str">
        <f t="array" ref="N536">IF($A536="","",INDEX(JupData!$A$2:$K$10000,MATCH($A536&amp;N$1,JupData!$A$2:$A$10000&amp;JupData!$J$2:$J$10000,0),11))</f>
        <v/>
      </c>
      <c r="O536" t="str">
        <f t="array" ref="O536">IF($A536="","",INDEX(JupData!$A$2:$K$10000,MATCH($A536&amp;O$1,JupData!$A$2:$A$10000&amp;JupData!$J$2:$J$10000,0),11))</f>
        <v/>
      </c>
      <c r="P536" t="str">
        <f t="array" ref="P536">IF($A536="","",INDEX(JupData!$A$2:$K$10000,MATCH($A536&amp;P$1,JupData!$A$2:$A$10000&amp;JupData!$J$2:$J$10000,0),11))</f>
        <v/>
      </c>
      <c r="Q536" t="str">
        <f t="array" ref="Q536">IF($A536="","",INDEX(JupData!$A$2:$K$10000,MATCH($A536&amp;Q$1,JupData!$A$2:$A$10000&amp;JupData!$J$2:$J$10000,0),11))</f>
        <v/>
      </c>
      <c r="R536" t="str">
        <f t="array" ref="R536">IF($A536="","",INDEX(JupData!$A$2:$K$10000,MATCH($A536&amp;R$1,JupData!$A$2:$A$10000&amp;JupData!$J$2:$J$10000,0),11))</f>
        <v/>
      </c>
      <c r="S536" t="str">
        <f t="array" ref="S536">IF($A536="","",INDEX(JupData!$A$2:$K$10000,MATCH($A536&amp;S$1,JupData!$A$2:$A$10000&amp;JupData!$J$2:$J$10000,0),11))</f>
        <v/>
      </c>
      <c r="T536" t="str">
        <f t="array" ref="T536">IF($A536="","",INDEX(JupData!$A$2:$K$10000,MATCH($A536&amp;T$1,JupData!$A$2:$A$10000&amp;JupData!$J$2:$J$10000,0),11))</f>
        <v/>
      </c>
      <c r="U536" t="str">
        <f t="array" ref="U536">IF($A536="","",INDEX(JupData!$A$2:$K$10000,MATCH($A536&amp;U$1,JupData!$A$2:$A$10000&amp;JupData!$J$2:$J$10000,0),11))</f>
        <v/>
      </c>
      <c r="V536" t="str">
        <f t="array" ref="V536">IF($A536="","",INDEX(JupData!$A$2:$K$10000,MATCH($A536&amp;V$1,JupData!$A$2:$A$10000&amp;JupData!$J$2:$J$10000,0),11))</f>
        <v/>
      </c>
      <c r="W536" t="str">
        <f t="array" ref="W536">IF($A536="","",INDEX(JupData!$A$2:$K$10000,MATCH($A536&amp;W$1,JupData!$A$2:$A$10000&amp;JupData!$J$2:$J$10000,0),11))</f>
        <v/>
      </c>
      <c r="X536" t="str">
        <f t="array" ref="X536">IF($A536="","",INDEX(JupData!$A$2:$K$10000,MATCH($A536&amp;X$1,JupData!$A$2:$A$10000&amp;JupData!$J$2:$J$10000,0),11))</f>
        <v/>
      </c>
      <c r="Y536" t="str">
        <f t="array" ref="Y536">IF($A536="","",INDEX(JupData!$A$2:$K$10000,MATCH($A536&amp;Y$1,JupData!$A$2:$A$10000&amp;JupData!$J$2:$J$10000,0),11))</f>
        <v/>
      </c>
      <c r="Z536" t="str">
        <f t="array" ref="Z536">IF($A536="","",INDEX(JupData!$A$2:$K$10000,MATCH($A536&amp;Z$1,JupData!$A$2:$A$10000&amp;JupData!$J$2:$J$10000,0),11))</f>
        <v/>
      </c>
      <c r="AA536" t="str">
        <f t="array" ref="AA536">IF($A536="","",INDEX(JupData!$A$2:$K$10000,MATCH($A536&amp;AA$1,JupData!$A$2:$A$10000&amp;JupData!$J$2:$J$10000,0),11))</f>
        <v/>
      </c>
      <c r="AB536" t="str">
        <f t="array" ref="AB536">IF($A536="","",INDEX(JupData!$A$2:$K$10000,MATCH($A536&amp;AB$1,JupData!$A$2:$A$10000&amp;JupData!$J$2:$J$10000,0),11))</f>
        <v/>
      </c>
      <c r="AC536" s="10" t="str">
        <f t="shared" si="88"/>
        <v/>
      </c>
      <c r="AD536" s="10" t="str">
        <f t="shared" si="89"/>
        <v/>
      </c>
      <c r="AE536" s="9" t="str">
        <f t="shared" si="90"/>
        <v/>
      </c>
      <c r="AF536" s="10" t="str">
        <f t="shared" si="91"/>
        <v/>
      </c>
      <c r="AG536" s="10" t="str">
        <f t="shared" si="92"/>
        <v/>
      </c>
      <c r="AH536" s="10" t="str">
        <f t="shared" si="93"/>
        <v/>
      </c>
      <c r="AI536" s="10" t="str">
        <f t="shared" si="94"/>
        <v/>
      </c>
      <c r="AJ536" s="10" t="str">
        <f t="shared" si="95"/>
        <v/>
      </c>
      <c r="AK536" s="10" t="str">
        <f t="shared" si="96"/>
        <v/>
      </c>
      <c r="AL536" s="14" t="str">
        <f t="shared" si="97"/>
        <v/>
      </c>
    </row>
    <row r="537" spans="1:38" x14ac:dyDescent="0.2">
      <c r="A537"/>
      <c r="B537" t="str">
        <f>IF($A537="","",VLOOKUP($A537,JupData!$A$2:$I$10000,4,FALSE))</f>
        <v/>
      </c>
      <c r="C537" s="7" t="str">
        <f>IF($A537="",IF(N(D537),0,""),VLOOKUP($A537,JupData!$A$2:$I$10000,7,FALSE))</f>
        <v/>
      </c>
      <c r="D537" t="str">
        <f t="shared" si="98"/>
        <v/>
      </c>
      <c r="E537" t="str">
        <f t="array" ref="E537">IF($A537="","",INDEX(JupData!$A$2:$K$10000,MATCH($A537&amp;E$1,JupData!$A$2:$A$10000&amp;JupData!$J$2:$J$10000,0),11))</f>
        <v/>
      </c>
      <c r="F537" t="str">
        <f t="array" ref="F537">IF($A537="","",INDEX(JupData!$A$2:$K$10000,MATCH($A537&amp;F$1,JupData!$A$2:$A$10000&amp;JupData!$J$2:$J$10000,0),11))</f>
        <v/>
      </c>
      <c r="G537" t="str">
        <f t="array" ref="G537">IF($A537="","",INDEX(JupData!$A$2:$K$10000,MATCH($A537&amp;G$1,JupData!$A$2:$A$10000&amp;JupData!$J$2:$J$10000,0),11))</f>
        <v/>
      </c>
      <c r="H537" t="str">
        <f t="array" ref="H537">IF($A537="","",INDEX(JupData!$A$2:$K$10000,MATCH($A537&amp;H$1,JupData!$A$2:$A$10000&amp;JupData!$J$2:$J$10000,0),11))</f>
        <v/>
      </c>
      <c r="I537" t="str">
        <f t="array" ref="I537">IF($A537="","",INDEX(JupData!$A$2:$K$10000,MATCH($A537&amp;I$1,JupData!$A$2:$A$10000&amp;JupData!$J$2:$J$10000,0),11))</f>
        <v/>
      </c>
      <c r="J537" t="str">
        <f t="array" ref="J537">IF($A537="","",INDEX(JupData!$A$2:$K$10000,MATCH($A537&amp;J$1,JupData!$A$2:$A$10000&amp;JupData!$J$2:$J$10000,0),11))</f>
        <v/>
      </c>
      <c r="K537" t="str">
        <f t="array" ref="K537">IF($A537="","",INDEX(JupData!$A$2:$K$10000,MATCH($A537&amp;K$1,JupData!$A$2:$A$10000&amp;JupData!$J$2:$J$10000,0),11))</f>
        <v/>
      </c>
      <c r="L537" t="str">
        <f t="array" ref="L537">IF($A537="","",INDEX(JupData!$A$2:$K$10000,MATCH($A537&amp;L$1,JupData!$A$2:$A$10000&amp;JupData!$J$2:$J$10000,0),11))</f>
        <v/>
      </c>
      <c r="M537" t="str">
        <f t="array" ref="M537">IF($A537="","",INDEX(JupData!$A$2:$K$10000,MATCH($A537&amp;M$1,JupData!$A$2:$A$10000&amp;JupData!$J$2:$J$10000,0),11))</f>
        <v/>
      </c>
      <c r="N537" t="str">
        <f t="array" ref="N537">IF($A537="","",INDEX(JupData!$A$2:$K$10000,MATCH($A537&amp;N$1,JupData!$A$2:$A$10000&amp;JupData!$J$2:$J$10000,0),11))</f>
        <v/>
      </c>
      <c r="O537" t="str">
        <f t="array" ref="O537">IF($A537="","",INDEX(JupData!$A$2:$K$10000,MATCH($A537&amp;O$1,JupData!$A$2:$A$10000&amp;JupData!$J$2:$J$10000,0),11))</f>
        <v/>
      </c>
      <c r="P537" t="str">
        <f t="array" ref="P537">IF($A537="","",INDEX(JupData!$A$2:$K$10000,MATCH($A537&amp;P$1,JupData!$A$2:$A$10000&amp;JupData!$J$2:$J$10000,0),11))</f>
        <v/>
      </c>
      <c r="Q537" t="str">
        <f t="array" ref="Q537">IF($A537="","",INDEX(JupData!$A$2:$K$10000,MATCH($A537&amp;Q$1,JupData!$A$2:$A$10000&amp;JupData!$J$2:$J$10000,0),11))</f>
        <v/>
      </c>
      <c r="R537" t="str">
        <f t="array" ref="R537">IF($A537="","",INDEX(JupData!$A$2:$K$10000,MATCH($A537&amp;R$1,JupData!$A$2:$A$10000&amp;JupData!$J$2:$J$10000,0),11))</f>
        <v/>
      </c>
      <c r="S537" t="str">
        <f t="array" ref="S537">IF($A537="","",INDEX(JupData!$A$2:$K$10000,MATCH($A537&amp;S$1,JupData!$A$2:$A$10000&amp;JupData!$J$2:$J$10000,0),11))</f>
        <v/>
      </c>
      <c r="T537" t="str">
        <f t="array" ref="T537">IF($A537="","",INDEX(JupData!$A$2:$K$10000,MATCH($A537&amp;T$1,JupData!$A$2:$A$10000&amp;JupData!$J$2:$J$10000,0),11))</f>
        <v/>
      </c>
      <c r="U537" t="str">
        <f t="array" ref="U537">IF($A537="","",INDEX(JupData!$A$2:$K$10000,MATCH($A537&amp;U$1,JupData!$A$2:$A$10000&amp;JupData!$J$2:$J$10000,0),11))</f>
        <v/>
      </c>
      <c r="V537" t="str">
        <f t="array" ref="V537">IF($A537="","",INDEX(JupData!$A$2:$K$10000,MATCH($A537&amp;V$1,JupData!$A$2:$A$10000&amp;JupData!$J$2:$J$10000,0),11))</f>
        <v/>
      </c>
      <c r="W537" t="str">
        <f t="array" ref="W537">IF($A537="","",INDEX(JupData!$A$2:$K$10000,MATCH($A537&amp;W$1,JupData!$A$2:$A$10000&amp;JupData!$J$2:$J$10000,0),11))</f>
        <v/>
      </c>
      <c r="X537" t="str">
        <f t="array" ref="X537">IF($A537="","",INDEX(JupData!$A$2:$K$10000,MATCH($A537&amp;X$1,JupData!$A$2:$A$10000&amp;JupData!$J$2:$J$10000,0),11))</f>
        <v/>
      </c>
      <c r="Y537" t="str">
        <f t="array" ref="Y537">IF($A537="","",INDEX(JupData!$A$2:$K$10000,MATCH($A537&amp;Y$1,JupData!$A$2:$A$10000&amp;JupData!$J$2:$J$10000,0),11))</f>
        <v/>
      </c>
      <c r="Z537" t="str">
        <f t="array" ref="Z537">IF($A537="","",INDEX(JupData!$A$2:$K$10000,MATCH($A537&amp;Z$1,JupData!$A$2:$A$10000&amp;JupData!$J$2:$J$10000,0),11))</f>
        <v/>
      </c>
      <c r="AA537" t="str">
        <f t="array" ref="AA537">IF($A537="","",INDEX(JupData!$A$2:$K$10000,MATCH($A537&amp;AA$1,JupData!$A$2:$A$10000&amp;JupData!$J$2:$J$10000,0),11))</f>
        <v/>
      </c>
      <c r="AB537" t="str">
        <f t="array" ref="AB537">IF($A537="","",INDEX(JupData!$A$2:$K$10000,MATCH($A537&amp;AB$1,JupData!$A$2:$A$10000&amp;JupData!$J$2:$J$10000,0),11))</f>
        <v/>
      </c>
      <c r="AC537" s="10" t="str">
        <f t="shared" si="88"/>
        <v/>
      </c>
      <c r="AD537" s="10" t="str">
        <f t="shared" si="89"/>
        <v/>
      </c>
      <c r="AE537" s="9" t="str">
        <f t="shared" si="90"/>
        <v/>
      </c>
      <c r="AF537" s="10" t="str">
        <f t="shared" si="91"/>
        <v/>
      </c>
      <c r="AG537" s="10" t="str">
        <f t="shared" si="92"/>
        <v/>
      </c>
      <c r="AH537" s="10" t="str">
        <f t="shared" si="93"/>
        <v/>
      </c>
      <c r="AI537" s="10" t="str">
        <f t="shared" si="94"/>
        <v/>
      </c>
      <c r="AJ537" s="10" t="str">
        <f t="shared" si="95"/>
        <v/>
      </c>
      <c r="AK537" s="10" t="str">
        <f t="shared" si="96"/>
        <v/>
      </c>
      <c r="AL537" s="14" t="str">
        <f t="shared" si="97"/>
        <v/>
      </c>
    </row>
    <row r="538" spans="1:38" x14ac:dyDescent="0.2">
      <c r="A538"/>
      <c r="B538" t="str">
        <f>IF($A538="","",VLOOKUP($A538,JupData!$A$2:$I$10000,4,FALSE))</f>
        <v/>
      </c>
      <c r="C538" s="7" t="str">
        <f>IF($A538="",IF(N(D538),0,""),VLOOKUP($A538,JupData!$A$2:$I$10000,7,FALSE))</f>
        <v/>
      </c>
      <c r="D538" t="str">
        <f t="shared" si="98"/>
        <v/>
      </c>
      <c r="E538" t="str">
        <f t="array" ref="E538">IF($A538="","",INDEX(JupData!$A$2:$K$10000,MATCH($A538&amp;E$1,JupData!$A$2:$A$10000&amp;JupData!$J$2:$J$10000,0),11))</f>
        <v/>
      </c>
      <c r="F538" t="str">
        <f t="array" ref="F538">IF($A538="","",INDEX(JupData!$A$2:$K$10000,MATCH($A538&amp;F$1,JupData!$A$2:$A$10000&amp;JupData!$J$2:$J$10000,0),11))</f>
        <v/>
      </c>
      <c r="G538" t="str">
        <f t="array" ref="G538">IF($A538="","",INDEX(JupData!$A$2:$K$10000,MATCH($A538&amp;G$1,JupData!$A$2:$A$10000&amp;JupData!$J$2:$J$10000,0),11))</f>
        <v/>
      </c>
      <c r="H538" t="str">
        <f t="array" ref="H538">IF($A538="","",INDEX(JupData!$A$2:$K$10000,MATCH($A538&amp;H$1,JupData!$A$2:$A$10000&amp;JupData!$J$2:$J$10000,0),11))</f>
        <v/>
      </c>
      <c r="I538" t="str">
        <f t="array" ref="I538">IF($A538="","",INDEX(JupData!$A$2:$K$10000,MATCH($A538&amp;I$1,JupData!$A$2:$A$10000&amp;JupData!$J$2:$J$10000,0),11))</f>
        <v/>
      </c>
      <c r="J538" t="str">
        <f t="array" ref="J538">IF($A538="","",INDEX(JupData!$A$2:$K$10000,MATCH($A538&amp;J$1,JupData!$A$2:$A$10000&amp;JupData!$J$2:$J$10000,0),11))</f>
        <v/>
      </c>
      <c r="K538" t="str">
        <f t="array" ref="K538">IF($A538="","",INDEX(JupData!$A$2:$K$10000,MATCH($A538&amp;K$1,JupData!$A$2:$A$10000&amp;JupData!$J$2:$J$10000,0),11))</f>
        <v/>
      </c>
      <c r="L538" t="str">
        <f t="array" ref="L538">IF($A538="","",INDEX(JupData!$A$2:$K$10000,MATCH($A538&amp;L$1,JupData!$A$2:$A$10000&amp;JupData!$J$2:$J$10000,0),11))</f>
        <v/>
      </c>
      <c r="M538" t="str">
        <f t="array" ref="M538">IF($A538="","",INDEX(JupData!$A$2:$K$10000,MATCH($A538&amp;M$1,JupData!$A$2:$A$10000&amp;JupData!$J$2:$J$10000,0),11))</f>
        <v/>
      </c>
      <c r="N538" t="str">
        <f t="array" ref="N538">IF($A538="","",INDEX(JupData!$A$2:$K$10000,MATCH($A538&amp;N$1,JupData!$A$2:$A$10000&amp;JupData!$J$2:$J$10000,0),11))</f>
        <v/>
      </c>
      <c r="O538" t="str">
        <f t="array" ref="O538">IF($A538="","",INDEX(JupData!$A$2:$K$10000,MATCH($A538&amp;O$1,JupData!$A$2:$A$10000&amp;JupData!$J$2:$J$10000,0),11))</f>
        <v/>
      </c>
      <c r="P538" t="str">
        <f t="array" ref="P538">IF($A538="","",INDEX(JupData!$A$2:$K$10000,MATCH($A538&amp;P$1,JupData!$A$2:$A$10000&amp;JupData!$J$2:$J$10000,0),11))</f>
        <v/>
      </c>
      <c r="Q538" t="str">
        <f t="array" ref="Q538">IF($A538="","",INDEX(JupData!$A$2:$K$10000,MATCH($A538&amp;Q$1,JupData!$A$2:$A$10000&amp;JupData!$J$2:$J$10000,0),11))</f>
        <v/>
      </c>
      <c r="R538" t="str">
        <f t="array" ref="R538">IF($A538="","",INDEX(JupData!$A$2:$K$10000,MATCH($A538&amp;R$1,JupData!$A$2:$A$10000&amp;JupData!$J$2:$J$10000,0),11))</f>
        <v/>
      </c>
      <c r="S538" t="str">
        <f t="array" ref="S538">IF($A538="","",INDEX(JupData!$A$2:$K$10000,MATCH($A538&amp;S$1,JupData!$A$2:$A$10000&amp;JupData!$J$2:$J$10000,0),11))</f>
        <v/>
      </c>
      <c r="T538" t="str">
        <f t="array" ref="T538">IF($A538="","",INDEX(JupData!$A$2:$K$10000,MATCH($A538&amp;T$1,JupData!$A$2:$A$10000&amp;JupData!$J$2:$J$10000,0),11))</f>
        <v/>
      </c>
      <c r="U538" t="str">
        <f t="array" ref="U538">IF($A538="","",INDEX(JupData!$A$2:$K$10000,MATCH($A538&amp;U$1,JupData!$A$2:$A$10000&amp;JupData!$J$2:$J$10000,0),11))</f>
        <v/>
      </c>
      <c r="V538" t="str">
        <f t="array" ref="V538">IF($A538="","",INDEX(JupData!$A$2:$K$10000,MATCH($A538&amp;V$1,JupData!$A$2:$A$10000&amp;JupData!$J$2:$J$10000,0),11))</f>
        <v/>
      </c>
      <c r="W538" t="str">
        <f t="array" ref="W538">IF($A538="","",INDEX(JupData!$A$2:$K$10000,MATCH($A538&amp;W$1,JupData!$A$2:$A$10000&amp;JupData!$J$2:$J$10000,0),11))</f>
        <v/>
      </c>
      <c r="X538" t="str">
        <f t="array" ref="X538">IF($A538="","",INDEX(JupData!$A$2:$K$10000,MATCH($A538&amp;X$1,JupData!$A$2:$A$10000&amp;JupData!$J$2:$J$10000,0),11))</f>
        <v/>
      </c>
      <c r="Y538" t="str">
        <f t="array" ref="Y538">IF($A538="","",INDEX(JupData!$A$2:$K$10000,MATCH($A538&amp;Y$1,JupData!$A$2:$A$10000&amp;JupData!$J$2:$J$10000,0),11))</f>
        <v/>
      </c>
      <c r="Z538" t="str">
        <f t="array" ref="Z538">IF($A538="","",INDEX(JupData!$A$2:$K$10000,MATCH($A538&amp;Z$1,JupData!$A$2:$A$10000&amp;JupData!$J$2:$J$10000,0),11))</f>
        <v/>
      </c>
      <c r="AA538" t="str">
        <f t="array" ref="AA538">IF($A538="","",INDEX(JupData!$A$2:$K$10000,MATCH($A538&amp;AA$1,JupData!$A$2:$A$10000&amp;JupData!$J$2:$J$10000,0),11))</f>
        <v/>
      </c>
      <c r="AB538" t="str">
        <f t="array" ref="AB538">IF($A538="","",INDEX(JupData!$A$2:$K$10000,MATCH($A538&amp;AB$1,JupData!$A$2:$A$10000&amp;JupData!$J$2:$J$10000,0),11))</f>
        <v/>
      </c>
      <c r="AC538" s="10" t="str">
        <f t="shared" si="88"/>
        <v/>
      </c>
      <c r="AD538" s="10" t="str">
        <f t="shared" si="89"/>
        <v/>
      </c>
      <c r="AE538" s="9" t="str">
        <f t="shared" si="90"/>
        <v/>
      </c>
      <c r="AF538" s="10" t="str">
        <f t="shared" si="91"/>
        <v/>
      </c>
      <c r="AG538" s="10" t="str">
        <f t="shared" si="92"/>
        <v/>
      </c>
      <c r="AH538" s="10" t="str">
        <f t="shared" si="93"/>
        <v/>
      </c>
      <c r="AI538" s="10" t="str">
        <f t="shared" si="94"/>
        <v/>
      </c>
      <c r="AJ538" s="10" t="str">
        <f t="shared" si="95"/>
        <v/>
      </c>
      <c r="AK538" s="10" t="str">
        <f t="shared" si="96"/>
        <v/>
      </c>
      <c r="AL538" s="14" t="str">
        <f t="shared" si="97"/>
        <v/>
      </c>
    </row>
    <row r="539" spans="1:38" x14ac:dyDescent="0.2">
      <c r="A539"/>
      <c r="B539" t="str">
        <f>IF($A539="","",VLOOKUP($A539,JupData!$A$2:$I$10000,4,FALSE))</f>
        <v/>
      </c>
      <c r="C539" s="7" t="str">
        <f>IF($A539="",IF(N(D539),0,""),VLOOKUP($A539,JupData!$A$2:$I$10000,7,FALSE))</f>
        <v/>
      </c>
      <c r="D539" t="str">
        <f t="shared" si="98"/>
        <v/>
      </c>
      <c r="E539" t="str">
        <f t="array" ref="E539">IF($A539="","",INDEX(JupData!$A$2:$K$10000,MATCH($A539&amp;E$1,JupData!$A$2:$A$10000&amp;JupData!$J$2:$J$10000,0),11))</f>
        <v/>
      </c>
      <c r="F539" t="str">
        <f t="array" ref="F539">IF($A539="","",INDEX(JupData!$A$2:$K$10000,MATCH($A539&amp;F$1,JupData!$A$2:$A$10000&amp;JupData!$J$2:$J$10000,0),11))</f>
        <v/>
      </c>
      <c r="G539" t="str">
        <f t="array" ref="G539">IF($A539="","",INDEX(JupData!$A$2:$K$10000,MATCH($A539&amp;G$1,JupData!$A$2:$A$10000&amp;JupData!$J$2:$J$10000,0),11))</f>
        <v/>
      </c>
      <c r="H539" t="str">
        <f t="array" ref="H539">IF($A539="","",INDEX(JupData!$A$2:$K$10000,MATCH($A539&amp;H$1,JupData!$A$2:$A$10000&amp;JupData!$J$2:$J$10000,0),11))</f>
        <v/>
      </c>
      <c r="I539" t="str">
        <f t="array" ref="I539">IF($A539="","",INDEX(JupData!$A$2:$K$10000,MATCH($A539&amp;I$1,JupData!$A$2:$A$10000&amp;JupData!$J$2:$J$10000,0),11))</f>
        <v/>
      </c>
      <c r="J539" t="str">
        <f t="array" ref="J539">IF($A539="","",INDEX(JupData!$A$2:$K$10000,MATCH($A539&amp;J$1,JupData!$A$2:$A$10000&amp;JupData!$J$2:$J$10000,0),11))</f>
        <v/>
      </c>
      <c r="K539" t="str">
        <f t="array" ref="K539">IF($A539="","",INDEX(JupData!$A$2:$K$10000,MATCH($A539&amp;K$1,JupData!$A$2:$A$10000&amp;JupData!$J$2:$J$10000,0),11))</f>
        <v/>
      </c>
      <c r="L539" t="str">
        <f t="array" ref="L539">IF($A539="","",INDEX(JupData!$A$2:$K$10000,MATCH($A539&amp;L$1,JupData!$A$2:$A$10000&amp;JupData!$J$2:$J$10000,0),11))</f>
        <v/>
      </c>
      <c r="M539" t="str">
        <f t="array" ref="M539">IF($A539="","",INDEX(JupData!$A$2:$K$10000,MATCH($A539&amp;M$1,JupData!$A$2:$A$10000&amp;JupData!$J$2:$J$10000,0),11))</f>
        <v/>
      </c>
      <c r="N539" t="str">
        <f t="array" ref="N539">IF($A539="","",INDEX(JupData!$A$2:$K$10000,MATCH($A539&amp;N$1,JupData!$A$2:$A$10000&amp;JupData!$J$2:$J$10000,0),11))</f>
        <v/>
      </c>
      <c r="O539" t="str">
        <f t="array" ref="O539">IF($A539="","",INDEX(JupData!$A$2:$K$10000,MATCH($A539&amp;O$1,JupData!$A$2:$A$10000&amp;JupData!$J$2:$J$10000,0),11))</f>
        <v/>
      </c>
      <c r="P539" t="str">
        <f t="array" ref="P539">IF($A539="","",INDEX(JupData!$A$2:$K$10000,MATCH($A539&amp;P$1,JupData!$A$2:$A$10000&amp;JupData!$J$2:$J$10000,0),11))</f>
        <v/>
      </c>
      <c r="Q539" t="str">
        <f t="array" ref="Q539">IF($A539="","",INDEX(JupData!$A$2:$K$10000,MATCH($A539&amp;Q$1,JupData!$A$2:$A$10000&amp;JupData!$J$2:$J$10000,0),11))</f>
        <v/>
      </c>
      <c r="R539" t="str">
        <f t="array" ref="R539">IF($A539="","",INDEX(JupData!$A$2:$K$10000,MATCH($A539&amp;R$1,JupData!$A$2:$A$10000&amp;JupData!$J$2:$J$10000,0),11))</f>
        <v/>
      </c>
      <c r="S539" t="str">
        <f t="array" ref="S539">IF($A539="","",INDEX(JupData!$A$2:$K$10000,MATCH($A539&amp;S$1,JupData!$A$2:$A$10000&amp;JupData!$J$2:$J$10000,0),11))</f>
        <v/>
      </c>
      <c r="T539" t="str">
        <f t="array" ref="T539">IF($A539="","",INDEX(JupData!$A$2:$K$10000,MATCH($A539&amp;T$1,JupData!$A$2:$A$10000&amp;JupData!$J$2:$J$10000,0),11))</f>
        <v/>
      </c>
      <c r="U539" t="str">
        <f t="array" ref="U539">IF($A539="","",INDEX(JupData!$A$2:$K$10000,MATCH($A539&amp;U$1,JupData!$A$2:$A$10000&amp;JupData!$J$2:$J$10000,0),11))</f>
        <v/>
      </c>
      <c r="V539" t="str">
        <f t="array" ref="V539">IF($A539="","",INDEX(JupData!$A$2:$K$10000,MATCH($A539&amp;V$1,JupData!$A$2:$A$10000&amp;JupData!$J$2:$J$10000,0),11))</f>
        <v/>
      </c>
      <c r="W539" t="str">
        <f t="array" ref="W539">IF($A539="","",INDEX(JupData!$A$2:$K$10000,MATCH($A539&amp;W$1,JupData!$A$2:$A$10000&amp;JupData!$J$2:$J$10000,0),11))</f>
        <v/>
      </c>
      <c r="X539" t="str">
        <f t="array" ref="X539">IF($A539="","",INDEX(JupData!$A$2:$K$10000,MATCH($A539&amp;X$1,JupData!$A$2:$A$10000&amp;JupData!$J$2:$J$10000,0),11))</f>
        <v/>
      </c>
      <c r="Y539" t="str">
        <f t="array" ref="Y539">IF($A539="","",INDEX(JupData!$A$2:$K$10000,MATCH($A539&amp;Y$1,JupData!$A$2:$A$10000&amp;JupData!$J$2:$J$10000,0),11))</f>
        <v/>
      </c>
      <c r="Z539" t="str">
        <f t="array" ref="Z539">IF($A539="","",INDEX(JupData!$A$2:$K$10000,MATCH($A539&amp;Z$1,JupData!$A$2:$A$10000&amp;JupData!$J$2:$J$10000,0),11))</f>
        <v/>
      </c>
      <c r="AA539" t="str">
        <f t="array" ref="AA539">IF($A539="","",INDEX(JupData!$A$2:$K$10000,MATCH($A539&amp;AA$1,JupData!$A$2:$A$10000&amp;JupData!$J$2:$J$10000,0),11))</f>
        <v/>
      </c>
      <c r="AB539" t="str">
        <f t="array" ref="AB539">IF($A539="","",INDEX(JupData!$A$2:$K$10000,MATCH($A539&amp;AB$1,JupData!$A$2:$A$10000&amp;JupData!$J$2:$J$10000,0),11))</f>
        <v/>
      </c>
      <c r="AC539" s="10" t="str">
        <f t="shared" si="88"/>
        <v/>
      </c>
      <c r="AD539" s="10" t="str">
        <f t="shared" si="89"/>
        <v/>
      </c>
      <c r="AE539" s="9" t="str">
        <f t="shared" si="90"/>
        <v/>
      </c>
      <c r="AF539" s="10" t="str">
        <f t="shared" si="91"/>
        <v/>
      </c>
      <c r="AG539" s="10" t="str">
        <f t="shared" si="92"/>
        <v/>
      </c>
      <c r="AH539" s="10" t="str">
        <f t="shared" si="93"/>
        <v/>
      </c>
      <c r="AI539" s="10" t="str">
        <f t="shared" si="94"/>
        <v/>
      </c>
      <c r="AJ539" s="10" t="str">
        <f t="shared" si="95"/>
        <v/>
      </c>
      <c r="AK539" s="10" t="str">
        <f t="shared" si="96"/>
        <v/>
      </c>
      <c r="AL539" s="14" t="str">
        <f t="shared" si="97"/>
        <v/>
      </c>
    </row>
    <row r="540" spans="1:38" x14ac:dyDescent="0.2">
      <c r="A540"/>
      <c r="B540" t="str">
        <f>IF($A540="","",VLOOKUP($A540,JupData!$A$2:$I$10000,4,FALSE))</f>
        <v/>
      </c>
      <c r="C540" s="7" t="str">
        <f>IF($A540="",IF(N(D540),0,""),VLOOKUP($A540,JupData!$A$2:$I$10000,7,FALSE))</f>
        <v/>
      </c>
      <c r="D540" t="str">
        <f t="shared" si="98"/>
        <v/>
      </c>
      <c r="E540" t="str">
        <f t="array" ref="E540">IF($A540="","",INDEX(JupData!$A$2:$K$10000,MATCH($A540&amp;E$1,JupData!$A$2:$A$10000&amp;JupData!$J$2:$J$10000,0),11))</f>
        <v/>
      </c>
      <c r="F540" t="str">
        <f t="array" ref="F540">IF($A540="","",INDEX(JupData!$A$2:$K$10000,MATCH($A540&amp;F$1,JupData!$A$2:$A$10000&amp;JupData!$J$2:$J$10000,0),11))</f>
        <v/>
      </c>
      <c r="G540" t="str">
        <f t="array" ref="G540">IF($A540="","",INDEX(JupData!$A$2:$K$10000,MATCH($A540&amp;G$1,JupData!$A$2:$A$10000&amp;JupData!$J$2:$J$10000,0),11))</f>
        <v/>
      </c>
      <c r="H540" t="str">
        <f t="array" ref="H540">IF($A540="","",INDEX(JupData!$A$2:$K$10000,MATCH($A540&amp;H$1,JupData!$A$2:$A$10000&amp;JupData!$J$2:$J$10000,0),11))</f>
        <v/>
      </c>
      <c r="I540" t="str">
        <f t="array" ref="I540">IF($A540="","",INDEX(JupData!$A$2:$K$10000,MATCH($A540&amp;I$1,JupData!$A$2:$A$10000&amp;JupData!$J$2:$J$10000,0),11))</f>
        <v/>
      </c>
      <c r="J540" t="str">
        <f t="array" ref="J540">IF($A540="","",INDEX(JupData!$A$2:$K$10000,MATCH($A540&amp;J$1,JupData!$A$2:$A$10000&amp;JupData!$J$2:$J$10000,0),11))</f>
        <v/>
      </c>
      <c r="K540" t="str">
        <f t="array" ref="K540">IF($A540="","",INDEX(JupData!$A$2:$K$10000,MATCH($A540&amp;K$1,JupData!$A$2:$A$10000&amp;JupData!$J$2:$J$10000,0),11))</f>
        <v/>
      </c>
      <c r="L540" t="str">
        <f t="array" ref="L540">IF($A540="","",INDEX(JupData!$A$2:$K$10000,MATCH($A540&amp;L$1,JupData!$A$2:$A$10000&amp;JupData!$J$2:$J$10000,0),11))</f>
        <v/>
      </c>
      <c r="M540" t="str">
        <f t="array" ref="M540">IF($A540="","",INDEX(JupData!$A$2:$K$10000,MATCH($A540&amp;M$1,JupData!$A$2:$A$10000&amp;JupData!$J$2:$J$10000,0),11))</f>
        <v/>
      </c>
      <c r="N540" t="str">
        <f t="array" ref="N540">IF($A540="","",INDEX(JupData!$A$2:$K$10000,MATCH($A540&amp;N$1,JupData!$A$2:$A$10000&amp;JupData!$J$2:$J$10000,0),11))</f>
        <v/>
      </c>
      <c r="O540" t="str">
        <f t="array" ref="O540">IF($A540="","",INDEX(JupData!$A$2:$K$10000,MATCH($A540&amp;O$1,JupData!$A$2:$A$10000&amp;JupData!$J$2:$J$10000,0),11))</f>
        <v/>
      </c>
      <c r="P540" t="str">
        <f t="array" ref="P540">IF($A540="","",INDEX(JupData!$A$2:$K$10000,MATCH($A540&amp;P$1,JupData!$A$2:$A$10000&amp;JupData!$J$2:$J$10000,0),11))</f>
        <v/>
      </c>
      <c r="Q540" t="str">
        <f t="array" ref="Q540">IF($A540="","",INDEX(JupData!$A$2:$K$10000,MATCH($A540&amp;Q$1,JupData!$A$2:$A$10000&amp;JupData!$J$2:$J$10000,0),11))</f>
        <v/>
      </c>
      <c r="R540" t="str">
        <f t="array" ref="R540">IF($A540="","",INDEX(JupData!$A$2:$K$10000,MATCH($A540&amp;R$1,JupData!$A$2:$A$10000&amp;JupData!$J$2:$J$10000,0),11))</f>
        <v/>
      </c>
      <c r="S540" t="str">
        <f t="array" ref="S540">IF($A540="","",INDEX(JupData!$A$2:$K$10000,MATCH($A540&amp;S$1,JupData!$A$2:$A$10000&amp;JupData!$J$2:$J$10000,0),11))</f>
        <v/>
      </c>
      <c r="T540" t="str">
        <f t="array" ref="T540">IF($A540="","",INDEX(JupData!$A$2:$K$10000,MATCH($A540&amp;T$1,JupData!$A$2:$A$10000&amp;JupData!$J$2:$J$10000,0),11))</f>
        <v/>
      </c>
      <c r="U540" t="str">
        <f t="array" ref="U540">IF($A540="","",INDEX(JupData!$A$2:$K$10000,MATCH($A540&amp;U$1,JupData!$A$2:$A$10000&amp;JupData!$J$2:$J$10000,0),11))</f>
        <v/>
      </c>
      <c r="V540" t="str">
        <f t="array" ref="V540">IF($A540="","",INDEX(JupData!$A$2:$K$10000,MATCH($A540&amp;V$1,JupData!$A$2:$A$10000&amp;JupData!$J$2:$J$10000,0),11))</f>
        <v/>
      </c>
      <c r="W540" t="str">
        <f t="array" ref="W540">IF($A540="","",INDEX(JupData!$A$2:$K$10000,MATCH($A540&amp;W$1,JupData!$A$2:$A$10000&amp;JupData!$J$2:$J$10000,0),11))</f>
        <v/>
      </c>
      <c r="X540" t="str">
        <f t="array" ref="X540">IF($A540="","",INDEX(JupData!$A$2:$K$10000,MATCH($A540&amp;X$1,JupData!$A$2:$A$10000&amp;JupData!$J$2:$J$10000,0),11))</f>
        <v/>
      </c>
      <c r="Y540" t="str">
        <f t="array" ref="Y540">IF($A540="","",INDEX(JupData!$A$2:$K$10000,MATCH($A540&amp;Y$1,JupData!$A$2:$A$10000&amp;JupData!$J$2:$J$10000,0),11))</f>
        <v/>
      </c>
      <c r="Z540" t="str">
        <f t="array" ref="Z540">IF($A540="","",INDEX(JupData!$A$2:$K$10000,MATCH($A540&amp;Z$1,JupData!$A$2:$A$10000&amp;JupData!$J$2:$J$10000,0),11))</f>
        <v/>
      </c>
      <c r="AA540" t="str">
        <f t="array" ref="AA540">IF($A540="","",INDEX(JupData!$A$2:$K$10000,MATCH($A540&amp;AA$1,JupData!$A$2:$A$10000&amp;JupData!$J$2:$J$10000,0),11))</f>
        <v/>
      </c>
      <c r="AB540" t="str">
        <f t="array" ref="AB540">IF($A540="","",INDEX(JupData!$A$2:$K$10000,MATCH($A540&amp;AB$1,JupData!$A$2:$A$10000&amp;JupData!$J$2:$J$10000,0),11))</f>
        <v/>
      </c>
      <c r="AC540" s="10" t="str">
        <f t="shared" si="88"/>
        <v/>
      </c>
      <c r="AD540" s="10" t="str">
        <f t="shared" si="89"/>
        <v/>
      </c>
      <c r="AE540" s="9" t="str">
        <f t="shared" si="90"/>
        <v/>
      </c>
      <c r="AF540" s="10" t="str">
        <f t="shared" si="91"/>
        <v/>
      </c>
      <c r="AG540" s="10" t="str">
        <f t="shared" si="92"/>
        <v/>
      </c>
      <c r="AH540" s="10" t="str">
        <f t="shared" si="93"/>
        <v/>
      </c>
      <c r="AI540" s="10" t="str">
        <f t="shared" si="94"/>
        <v/>
      </c>
      <c r="AJ540" s="10" t="str">
        <f t="shared" si="95"/>
        <v/>
      </c>
      <c r="AK540" s="10" t="str">
        <f t="shared" si="96"/>
        <v/>
      </c>
      <c r="AL540" s="14" t="str">
        <f t="shared" si="97"/>
        <v/>
      </c>
    </row>
    <row r="541" spans="1:38" x14ac:dyDescent="0.2">
      <c r="A541"/>
      <c r="B541" t="str">
        <f>IF($A541="","",VLOOKUP($A541,JupData!$A$2:$I$10000,4,FALSE))</f>
        <v/>
      </c>
      <c r="C541" s="7" t="str">
        <f>IF($A541="",IF(N(D541),0,""),VLOOKUP($A541,JupData!$A$2:$I$10000,7,FALSE))</f>
        <v/>
      </c>
      <c r="D541" t="str">
        <f t="shared" si="98"/>
        <v/>
      </c>
      <c r="E541" t="str">
        <f t="array" ref="E541">IF($A541="","",INDEX(JupData!$A$2:$K$10000,MATCH($A541&amp;E$1,JupData!$A$2:$A$10000&amp;JupData!$J$2:$J$10000,0),11))</f>
        <v/>
      </c>
      <c r="F541" t="str">
        <f t="array" ref="F541">IF($A541="","",INDEX(JupData!$A$2:$K$10000,MATCH($A541&amp;F$1,JupData!$A$2:$A$10000&amp;JupData!$J$2:$J$10000,0),11))</f>
        <v/>
      </c>
      <c r="G541" t="str">
        <f t="array" ref="G541">IF($A541="","",INDEX(JupData!$A$2:$K$10000,MATCH($A541&amp;G$1,JupData!$A$2:$A$10000&amp;JupData!$J$2:$J$10000,0),11))</f>
        <v/>
      </c>
      <c r="H541" t="str">
        <f t="array" ref="H541">IF($A541="","",INDEX(JupData!$A$2:$K$10000,MATCH($A541&amp;H$1,JupData!$A$2:$A$10000&amp;JupData!$J$2:$J$10000,0),11))</f>
        <v/>
      </c>
      <c r="I541" t="str">
        <f t="array" ref="I541">IF($A541="","",INDEX(JupData!$A$2:$K$10000,MATCH($A541&amp;I$1,JupData!$A$2:$A$10000&amp;JupData!$J$2:$J$10000,0),11))</f>
        <v/>
      </c>
      <c r="J541" t="str">
        <f t="array" ref="J541">IF($A541="","",INDEX(JupData!$A$2:$K$10000,MATCH($A541&amp;J$1,JupData!$A$2:$A$10000&amp;JupData!$J$2:$J$10000,0),11))</f>
        <v/>
      </c>
      <c r="K541" t="str">
        <f t="array" ref="K541">IF($A541="","",INDEX(JupData!$A$2:$K$10000,MATCH($A541&amp;K$1,JupData!$A$2:$A$10000&amp;JupData!$J$2:$J$10000,0),11))</f>
        <v/>
      </c>
      <c r="L541" t="str">
        <f t="array" ref="L541">IF($A541="","",INDEX(JupData!$A$2:$K$10000,MATCH($A541&amp;L$1,JupData!$A$2:$A$10000&amp;JupData!$J$2:$J$10000,0),11))</f>
        <v/>
      </c>
      <c r="M541" t="str">
        <f t="array" ref="M541">IF($A541="","",INDEX(JupData!$A$2:$K$10000,MATCH($A541&amp;M$1,JupData!$A$2:$A$10000&amp;JupData!$J$2:$J$10000,0),11))</f>
        <v/>
      </c>
      <c r="N541" t="str">
        <f t="array" ref="N541">IF($A541="","",INDEX(JupData!$A$2:$K$10000,MATCH($A541&amp;N$1,JupData!$A$2:$A$10000&amp;JupData!$J$2:$J$10000,0),11))</f>
        <v/>
      </c>
      <c r="O541" t="str">
        <f t="array" ref="O541">IF($A541="","",INDEX(JupData!$A$2:$K$10000,MATCH($A541&amp;O$1,JupData!$A$2:$A$10000&amp;JupData!$J$2:$J$10000,0),11))</f>
        <v/>
      </c>
      <c r="P541" t="str">
        <f t="array" ref="P541">IF($A541="","",INDEX(JupData!$A$2:$K$10000,MATCH($A541&amp;P$1,JupData!$A$2:$A$10000&amp;JupData!$J$2:$J$10000,0),11))</f>
        <v/>
      </c>
      <c r="Q541" t="str">
        <f t="array" ref="Q541">IF($A541="","",INDEX(JupData!$A$2:$K$10000,MATCH($A541&amp;Q$1,JupData!$A$2:$A$10000&amp;JupData!$J$2:$J$10000,0),11))</f>
        <v/>
      </c>
      <c r="R541" t="str">
        <f t="array" ref="R541">IF($A541="","",INDEX(JupData!$A$2:$K$10000,MATCH($A541&amp;R$1,JupData!$A$2:$A$10000&amp;JupData!$J$2:$J$10000,0),11))</f>
        <v/>
      </c>
      <c r="S541" t="str">
        <f t="array" ref="S541">IF($A541="","",INDEX(JupData!$A$2:$K$10000,MATCH($A541&amp;S$1,JupData!$A$2:$A$10000&amp;JupData!$J$2:$J$10000,0),11))</f>
        <v/>
      </c>
      <c r="T541" t="str">
        <f t="array" ref="T541">IF($A541="","",INDEX(JupData!$A$2:$K$10000,MATCH($A541&amp;T$1,JupData!$A$2:$A$10000&amp;JupData!$J$2:$J$10000,0),11))</f>
        <v/>
      </c>
      <c r="U541" t="str">
        <f t="array" ref="U541">IF($A541="","",INDEX(JupData!$A$2:$K$10000,MATCH($A541&amp;U$1,JupData!$A$2:$A$10000&amp;JupData!$J$2:$J$10000,0),11))</f>
        <v/>
      </c>
      <c r="V541" t="str">
        <f t="array" ref="V541">IF($A541="","",INDEX(JupData!$A$2:$K$10000,MATCH($A541&amp;V$1,JupData!$A$2:$A$10000&amp;JupData!$J$2:$J$10000,0),11))</f>
        <v/>
      </c>
      <c r="W541" t="str">
        <f t="array" ref="W541">IF($A541="","",INDEX(JupData!$A$2:$K$10000,MATCH($A541&amp;W$1,JupData!$A$2:$A$10000&amp;JupData!$J$2:$J$10000,0),11))</f>
        <v/>
      </c>
      <c r="X541" t="str">
        <f t="array" ref="X541">IF($A541="","",INDEX(JupData!$A$2:$K$10000,MATCH($A541&amp;X$1,JupData!$A$2:$A$10000&amp;JupData!$J$2:$J$10000,0),11))</f>
        <v/>
      </c>
      <c r="Y541" t="str">
        <f t="array" ref="Y541">IF($A541="","",INDEX(JupData!$A$2:$K$10000,MATCH($A541&amp;Y$1,JupData!$A$2:$A$10000&amp;JupData!$J$2:$J$10000,0),11))</f>
        <v/>
      </c>
      <c r="Z541" t="str">
        <f t="array" ref="Z541">IF($A541="","",INDEX(JupData!$A$2:$K$10000,MATCH($A541&amp;Z$1,JupData!$A$2:$A$10000&amp;JupData!$J$2:$J$10000,0),11))</f>
        <v/>
      </c>
      <c r="AA541" t="str">
        <f t="array" ref="AA541">IF($A541="","",INDEX(JupData!$A$2:$K$10000,MATCH($A541&amp;AA$1,JupData!$A$2:$A$10000&amp;JupData!$J$2:$J$10000,0),11))</f>
        <v/>
      </c>
      <c r="AB541" t="str">
        <f t="array" ref="AB541">IF($A541="","",INDEX(JupData!$A$2:$K$10000,MATCH($A541&amp;AB$1,JupData!$A$2:$A$10000&amp;JupData!$J$2:$J$10000,0),11))</f>
        <v/>
      </c>
      <c r="AC541" s="10" t="str">
        <f t="shared" si="88"/>
        <v/>
      </c>
      <c r="AD541" s="10" t="str">
        <f t="shared" si="89"/>
        <v/>
      </c>
      <c r="AE541" s="9" t="str">
        <f t="shared" si="90"/>
        <v/>
      </c>
      <c r="AF541" s="10" t="str">
        <f t="shared" si="91"/>
        <v/>
      </c>
      <c r="AG541" s="10" t="str">
        <f t="shared" si="92"/>
        <v/>
      </c>
      <c r="AH541" s="10" t="str">
        <f t="shared" si="93"/>
        <v/>
      </c>
      <c r="AI541" s="10" t="str">
        <f t="shared" si="94"/>
        <v/>
      </c>
      <c r="AJ541" s="10" t="str">
        <f t="shared" si="95"/>
        <v/>
      </c>
      <c r="AK541" s="10" t="str">
        <f t="shared" si="96"/>
        <v/>
      </c>
      <c r="AL541" s="14" t="str">
        <f t="shared" si="97"/>
        <v/>
      </c>
    </row>
    <row r="542" spans="1:38" x14ac:dyDescent="0.2">
      <c r="A542"/>
      <c r="B542" t="str">
        <f>IF($A542="","",VLOOKUP($A542,JupData!$A$2:$I$10000,4,FALSE))</f>
        <v/>
      </c>
      <c r="C542" s="7" t="str">
        <f>IF($A542="",IF(N(D542),0,""),VLOOKUP($A542,JupData!$A$2:$I$10000,7,FALSE))</f>
        <v/>
      </c>
      <c r="D542" t="str">
        <f t="shared" si="98"/>
        <v/>
      </c>
      <c r="E542" t="str">
        <f t="array" ref="E542">IF($A542="","",INDEX(JupData!$A$2:$K$10000,MATCH($A542&amp;E$1,JupData!$A$2:$A$10000&amp;JupData!$J$2:$J$10000,0),11))</f>
        <v/>
      </c>
      <c r="F542" t="str">
        <f t="array" ref="F542">IF($A542="","",INDEX(JupData!$A$2:$K$10000,MATCH($A542&amp;F$1,JupData!$A$2:$A$10000&amp;JupData!$J$2:$J$10000,0),11))</f>
        <v/>
      </c>
      <c r="G542" t="str">
        <f t="array" ref="G542">IF($A542="","",INDEX(JupData!$A$2:$K$10000,MATCH($A542&amp;G$1,JupData!$A$2:$A$10000&amp;JupData!$J$2:$J$10000,0),11))</f>
        <v/>
      </c>
      <c r="H542" t="str">
        <f t="array" ref="H542">IF($A542="","",INDEX(JupData!$A$2:$K$10000,MATCH($A542&amp;H$1,JupData!$A$2:$A$10000&amp;JupData!$J$2:$J$10000,0),11))</f>
        <v/>
      </c>
      <c r="I542" t="str">
        <f t="array" ref="I542">IF($A542="","",INDEX(JupData!$A$2:$K$10000,MATCH($A542&amp;I$1,JupData!$A$2:$A$10000&amp;JupData!$J$2:$J$10000,0),11))</f>
        <v/>
      </c>
      <c r="J542" t="str">
        <f t="array" ref="J542">IF($A542="","",INDEX(JupData!$A$2:$K$10000,MATCH($A542&amp;J$1,JupData!$A$2:$A$10000&amp;JupData!$J$2:$J$10000,0),11))</f>
        <v/>
      </c>
      <c r="K542" t="str">
        <f t="array" ref="K542">IF($A542="","",INDEX(JupData!$A$2:$K$10000,MATCH($A542&amp;K$1,JupData!$A$2:$A$10000&amp;JupData!$J$2:$J$10000,0),11))</f>
        <v/>
      </c>
      <c r="L542" t="str">
        <f t="array" ref="L542">IF($A542="","",INDEX(JupData!$A$2:$K$10000,MATCH($A542&amp;L$1,JupData!$A$2:$A$10000&amp;JupData!$J$2:$J$10000,0),11))</f>
        <v/>
      </c>
      <c r="M542" t="str">
        <f t="array" ref="M542">IF($A542="","",INDEX(JupData!$A$2:$K$10000,MATCH($A542&amp;M$1,JupData!$A$2:$A$10000&amp;JupData!$J$2:$J$10000,0),11))</f>
        <v/>
      </c>
      <c r="N542" t="str">
        <f t="array" ref="N542">IF($A542="","",INDEX(JupData!$A$2:$K$10000,MATCH($A542&amp;N$1,JupData!$A$2:$A$10000&amp;JupData!$J$2:$J$10000,0),11))</f>
        <v/>
      </c>
      <c r="O542" t="str">
        <f t="array" ref="O542">IF($A542="","",INDEX(JupData!$A$2:$K$10000,MATCH($A542&amp;O$1,JupData!$A$2:$A$10000&amp;JupData!$J$2:$J$10000,0),11))</f>
        <v/>
      </c>
      <c r="P542" t="str">
        <f t="array" ref="P542">IF($A542="","",INDEX(JupData!$A$2:$K$10000,MATCH($A542&amp;P$1,JupData!$A$2:$A$10000&amp;JupData!$J$2:$J$10000,0),11))</f>
        <v/>
      </c>
      <c r="Q542" t="str">
        <f t="array" ref="Q542">IF($A542="","",INDEX(JupData!$A$2:$K$10000,MATCH($A542&amp;Q$1,JupData!$A$2:$A$10000&amp;JupData!$J$2:$J$10000,0),11))</f>
        <v/>
      </c>
      <c r="R542" t="str">
        <f t="array" ref="R542">IF($A542="","",INDEX(JupData!$A$2:$K$10000,MATCH($A542&amp;R$1,JupData!$A$2:$A$10000&amp;JupData!$J$2:$J$10000,0),11))</f>
        <v/>
      </c>
      <c r="S542" t="str">
        <f t="array" ref="S542">IF($A542="","",INDEX(JupData!$A$2:$K$10000,MATCH($A542&amp;S$1,JupData!$A$2:$A$10000&amp;JupData!$J$2:$J$10000,0),11))</f>
        <v/>
      </c>
      <c r="T542" t="str">
        <f t="array" ref="T542">IF($A542="","",INDEX(JupData!$A$2:$K$10000,MATCH($A542&amp;T$1,JupData!$A$2:$A$10000&amp;JupData!$J$2:$J$10000,0),11))</f>
        <v/>
      </c>
      <c r="U542" t="str">
        <f t="array" ref="U542">IF($A542="","",INDEX(JupData!$A$2:$K$10000,MATCH($A542&amp;U$1,JupData!$A$2:$A$10000&amp;JupData!$J$2:$J$10000,0),11))</f>
        <v/>
      </c>
      <c r="V542" t="str">
        <f t="array" ref="V542">IF($A542="","",INDEX(JupData!$A$2:$K$10000,MATCH($A542&amp;V$1,JupData!$A$2:$A$10000&amp;JupData!$J$2:$J$10000,0),11))</f>
        <v/>
      </c>
      <c r="W542" t="str">
        <f t="array" ref="W542">IF($A542="","",INDEX(JupData!$A$2:$K$10000,MATCH($A542&amp;W$1,JupData!$A$2:$A$10000&amp;JupData!$J$2:$J$10000,0),11))</f>
        <v/>
      </c>
      <c r="X542" t="str">
        <f t="array" ref="X542">IF($A542="","",INDEX(JupData!$A$2:$K$10000,MATCH($A542&amp;X$1,JupData!$A$2:$A$10000&amp;JupData!$J$2:$J$10000,0),11))</f>
        <v/>
      </c>
      <c r="Y542" t="str">
        <f t="array" ref="Y542">IF($A542="","",INDEX(JupData!$A$2:$K$10000,MATCH($A542&amp;Y$1,JupData!$A$2:$A$10000&amp;JupData!$J$2:$J$10000,0),11))</f>
        <v/>
      </c>
      <c r="Z542" t="str">
        <f t="array" ref="Z542">IF($A542="","",INDEX(JupData!$A$2:$K$10000,MATCH($A542&amp;Z$1,JupData!$A$2:$A$10000&amp;JupData!$J$2:$J$10000,0),11))</f>
        <v/>
      </c>
      <c r="AA542" t="str">
        <f t="array" ref="AA542">IF($A542="","",INDEX(JupData!$A$2:$K$10000,MATCH($A542&amp;AA$1,JupData!$A$2:$A$10000&amp;JupData!$J$2:$J$10000,0),11))</f>
        <v/>
      </c>
      <c r="AB542" t="str">
        <f t="array" ref="AB542">IF($A542="","",INDEX(JupData!$A$2:$K$10000,MATCH($A542&amp;AB$1,JupData!$A$2:$A$10000&amp;JupData!$J$2:$J$10000,0),11))</f>
        <v/>
      </c>
      <c r="AC542" s="10" t="str">
        <f t="shared" si="88"/>
        <v/>
      </c>
      <c r="AD542" s="10" t="str">
        <f t="shared" si="89"/>
        <v/>
      </c>
      <c r="AE542" s="9" t="str">
        <f t="shared" si="90"/>
        <v/>
      </c>
      <c r="AF542" s="10" t="str">
        <f t="shared" si="91"/>
        <v/>
      </c>
      <c r="AG542" s="10" t="str">
        <f t="shared" si="92"/>
        <v/>
      </c>
      <c r="AH542" s="10" t="str">
        <f t="shared" si="93"/>
        <v/>
      </c>
      <c r="AI542" s="10" t="str">
        <f t="shared" si="94"/>
        <v/>
      </c>
      <c r="AJ542" s="10" t="str">
        <f t="shared" si="95"/>
        <v/>
      </c>
      <c r="AK542" s="10" t="str">
        <f t="shared" si="96"/>
        <v/>
      </c>
      <c r="AL542" s="14" t="str">
        <f t="shared" si="97"/>
        <v/>
      </c>
    </row>
    <row r="543" spans="1:38" x14ac:dyDescent="0.2">
      <c r="A543"/>
      <c r="B543" t="str">
        <f>IF($A543="","",VLOOKUP($A543,JupData!$A$2:$I$10000,4,FALSE))</f>
        <v/>
      </c>
      <c r="C543" s="7" t="str">
        <f>IF($A543="",IF(N(D543),0,""),VLOOKUP($A543,JupData!$A$2:$I$10000,7,FALSE))</f>
        <v/>
      </c>
      <c r="D543" t="str">
        <f t="shared" si="98"/>
        <v/>
      </c>
      <c r="E543" t="str">
        <f t="array" ref="E543">IF($A543="","",INDEX(JupData!$A$2:$K$10000,MATCH($A543&amp;E$1,JupData!$A$2:$A$10000&amp;JupData!$J$2:$J$10000,0),11))</f>
        <v/>
      </c>
      <c r="F543" t="str">
        <f t="array" ref="F543">IF($A543="","",INDEX(JupData!$A$2:$K$10000,MATCH($A543&amp;F$1,JupData!$A$2:$A$10000&amp;JupData!$J$2:$J$10000,0),11))</f>
        <v/>
      </c>
      <c r="G543" t="str">
        <f t="array" ref="G543">IF($A543="","",INDEX(JupData!$A$2:$K$10000,MATCH($A543&amp;G$1,JupData!$A$2:$A$10000&amp;JupData!$J$2:$J$10000,0),11))</f>
        <v/>
      </c>
      <c r="H543" t="str">
        <f t="array" ref="H543">IF($A543="","",INDEX(JupData!$A$2:$K$10000,MATCH($A543&amp;H$1,JupData!$A$2:$A$10000&amp;JupData!$J$2:$J$10000,0),11))</f>
        <v/>
      </c>
      <c r="I543" t="str">
        <f t="array" ref="I543">IF($A543="","",INDEX(JupData!$A$2:$K$10000,MATCH($A543&amp;I$1,JupData!$A$2:$A$10000&amp;JupData!$J$2:$J$10000,0),11))</f>
        <v/>
      </c>
      <c r="J543" t="str">
        <f t="array" ref="J543">IF($A543="","",INDEX(JupData!$A$2:$K$10000,MATCH($A543&amp;J$1,JupData!$A$2:$A$10000&amp;JupData!$J$2:$J$10000,0),11))</f>
        <v/>
      </c>
      <c r="K543" t="str">
        <f t="array" ref="K543">IF($A543="","",INDEX(JupData!$A$2:$K$10000,MATCH($A543&amp;K$1,JupData!$A$2:$A$10000&amp;JupData!$J$2:$J$10000,0),11))</f>
        <v/>
      </c>
      <c r="L543" t="str">
        <f t="array" ref="L543">IF($A543="","",INDEX(JupData!$A$2:$K$10000,MATCH($A543&amp;L$1,JupData!$A$2:$A$10000&amp;JupData!$J$2:$J$10000,0),11))</f>
        <v/>
      </c>
      <c r="M543" t="str">
        <f t="array" ref="M543">IF($A543="","",INDEX(JupData!$A$2:$K$10000,MATCH($A543&amp;M$1,JupData!$A$2:$A$10000&amp;JupData!$J$2:$J$10000,0),11))</f>
        <v/>
      </c>
      <c r="N543" t="str">
        <f t="array" ref="N543">IF($A543="","",INDEX(JupData!$A$2:$K$10000,MATCH($A543&amp;N$1,JupData!$A$2:$A$10000&amp;JupData!$J$2:$J$10000,0),11))</f>
        <v/>
      </c>
      <c r="O543" t="str">
        <f t="array" ref="O543">IF($A543="","",INDEX(JupData!$A$2:$K$10000,MATCH($A543&amp;O$1,JupData!$A$2:$A$10000&amp;JupData!$J$2:$J$10000,0),11))</f>
        <v/>
      </c>
      <c r="P543" t="str">
        <f t="array" ref="P543">IF($A543="","",INDEX(JupData!$A$2:$K$10000,MATCH($A543&amp;P$1,JupData!$A$2:$A$10000&amp;JupData!$J$2:$J$10000,0),11))</f>
        <v/>
      </c>
      <c r="Q543" t="str">
        <f t="array" ref="Q543">IF($A543="","",INDEX(JupData!$A$2:$K$10000,MATCH($A543&amp;Q$1,JupData!$A$2:$A$10000&amp;JupData!$J$2:$J$10000,0),11))</f>
        <v/>
      </c>
      <c r="R543" t="str">
        <f t="array" ref="R543">IF($A543="","",INDEX(JupData!$A$2:$K$10000,MATCH($A543&amp;R$1,JupData!$A$2:$A$10000&amp;JupData!$J$2:$J$10000,0),11))</f>
        <v/>
      </c>
      <c r="S543" t="str">
        <f t="array" ref="S543">IF($A543="","",INDEX(JupData!$A$2:$K$10000,MATCH($A543&amp;S$1,JupData!$A$2:$A$10000&amp;JupData!$J$2:$J$10000,0),11))</f>
        <v/>
      </c>
      <c r="T543" t="str">
        <f t="array" ref="T543">IF($A543="","",INDEX(JupData!$A$2:$K$10000,MATCH($A543&amp;T$1,JupData!$A$2:$A$10000&amp;JupData!$J$2:$J$10000,0),11))</f>
        <v/>
      </c>
      <c r="U543" t="str">
        <f t="array" ref="U543">IF($A543="","",INDEX(JupData!$A$2:$K$10000,MATCH($A543&amp;U$1,JupData!$A$2:$A$10000&amp;JupData!$J$2:$J$10000,0),11))</f>
        <v/>
      </c>
      <c r="V543" t="str">
        <f t="array" ref="V543">IF($A543="","",INDEX(JupData!$A$2:$K$10000,MATCH($A543&amp;V$1,JupData!$A$2:$A$10000&amp;JupData!$J$2:$J$10000,0),11))</f>
        <v/>
      </c>
      <c r="W543" t="str">
        <f t="array" ref="W543">IF($A543="","",INDEX(JupData!$A$2:$K$10000,MATCH($A543&amp;W$1,JupData!$A$2:$A$10000&amp;JupData!$J$2:$J$10000,0),11))</f>
        <v/>
      </c>
      <c r="X543" t="str">
        <f t="array" ref="X543">IF($A543="","",INDEX(JupData!$A$2:$K$10000,MATCH($A543&amp;X$1,JupData!$A$2:$A$10000&amp;JupData!$J$2:$J$10000,0),11))</f>
        <v/>
      </c>
      <c r="Y543" t="str">
        <f t="array" ref="Y543">IF($A543="","",INDEX(JupData!$A$2:$K$10000,MATCH($A543&amp;Y$1,JupData!$A$2:$A$10000&amp;JupData!$J$2:$J$10000,0),11))</f>
        <v/>
      </c>
      <c r="Z543" t="str">
        <f t="array" ref="Z543">IF($A543="","",INDEX(JupData!$A$2:$K$10000,MATCH($A543&amp;Z$1,JupData!$A$2:$A$10000&amp;JupData!$J$2:$J$10000,0),11))</f>
        <v/>
      </c>
      <c r="AA543" t="str">
        <f t="array" ref="AA543">IF($A543="","",INDEX(JupData!$A$2:$K$10000,MATCH($A543&amp;AA$1,JupData!$A$2:$A$10000&amp;JupData!$J$2:$J$10000,0),11))</f>
        <v/>
      </c>
      <c r="AB543" t="str">
        <f t="array" ref="AB543">IF($A543="","",INDEX(JupData!$A$2:$K$10000,MATCH($A543&amp;AB$1,JupData!$A$2:$A$10000&amp;JupData!$J$2:$J$10000,0),11))</f>
        <v/>
      </c>
      <c r="AC543" s="10" t="str">
        <f t="shared" si="88"/>
        <v/>
      </c>
      <c r="AD543" s="10" t="str">
        <f t="shared" si="89"/>
        <v/>
      </c>
      <c r="AE543" s="9" t="str">
        <f t="shared" si="90"/>
        <v/>
      </c>
      <c r="AF543" s="10" t="str">
        <f t="shared" si="91"/>
        <v/>
      </c>
      <c r="AG543" s="10" t="str">
        <f t="shared" si="92"/>
        <v/>
      </c>
      <c r="AH543" s="10" t="str">
        <f t="shared" si="93"/>
        <v/>
      </c>
      <c r="AI543" s="10" t="str">
        <f t="shared" si="94"/>
        <v/>
      </c>
      <c r="AJ543" s="10" t="str">
        <f t="shared" si="95"/>
        <v/>
      </c>
      <c r="AK543" s="10" t="str">
        <f t="shared" si="96"/>
        <v/>
      </c>
      <c r="AL543" s="14" t="str">
        <f t="shared" si="97"/>
        <v/>
      </c>
    </row>
    <row r="544" spans="1:38" x14ac:dyDescent="0.2">
      <c r="A544"/>
      <c r="B544" t="str">
        <f>IF($A544="","",VLOOKUP($A544,JupData!$A$2:$I$10000,4,FALSE))</f>
        <v/>
      </c>
      <c r="C544" s="7" t="str">
        <f>IF($A544="",IF(N(D544),0,""),VLOOKUP($A544,JupData!$A$2:$I$10000,7,FALSE))</f>
        <v/>
      </c>
      <c r="D544" t="str">
        <f t="shared" si="98"/>
        <v/>
      </c>
      <c r="E544" t="str">
        <f t="array" ref="E544">IF($A544="","",INDEX(JupData!$A$2:$K$10000,MATCH($A544&amp;E$1,JupData!$A$2:$A$10000&amp;JupData!$J$2:$J$10000,0),11))</f>
        <v/>
      </c>
      <c r="F544" t="str">
        <f t="array" ref="F544">IF($A544="","",INDEX(JupData!$A$2:$K$10000,MATCH($A544&amp;F$1,JupData!$A$2:$A$10000&amp;JupData!$J$2:$J$10000,0),11))</f>
        <v/>
      </c>
      <c r="G544" t="str">
        <f t="array" ref="G544">IF($A544="","",INDEX(JupData!$A$2:$K$10000,MATCH($A544&amp;G$1,JupData!$A$2:$A$10000&amp;JupData!$J$2:$J$10000,0),11))</f>
        <v/>
      </c>
      <c r="H544" t="str">
        <f t="array" ref="H544">IF($A544="","",INDEX(JupData!$A$2:$K$10000,MATCH($A544&amp;H$1,JupData!$A$2:$A$10000&amp;JupData!$J$2:$J$10000,0),11))</f>
        <v/>
      </c>
      <c r="I544" t="str">
        <f t="array" ref="I544">IF($A544="","",INDEX(JupData!$A$2:$K$10000,MATCH($A544&amp;I$1,JupData!$A$2:$A$10000&amp;JupData!$J$2:$J$10000,0),11))</f>
        <v/>
      </c>
      <c r="J544" t="str">
        <f t="array" ref="J544">IF($A544="","",INDEX(JupData!$A$2:$K$10000,MATCH($A544&amp;J$1,JupData!$A$2:$A$10000&amp;JupData!$J$2:$J$10000,0),11))</f>
        <v/>
      </c>
      <c r="K544" t="str">
        <f t="array" ref="K544">IF($A544="","",INDEX(JupData!$A$2:$K$10000,MATCH($A544&amp;K$1,JupData!$A$2:$A$10000&amp;JupData!$J$2:$J$10000,0),11))</f>
        <v/>
      </c>
      <c r="L544" t="str">
        <f t="array" ref="L544">IF($A544="","",INDEX(JupData!$A$2:$K$10000,MATCH($A544&amp;L$1,JupData!$A$2:$A$10000&amp;JupData!$J$2:$J$10000,0),11))</f>
        <v/>
      </c>
      <c r="M544" t="str">
        <f t="array" ref="M544">IF($A544="","",INDEX(JupData!$A$2:$K$10000,MATCH($A544&amp;M$1,JupData!$A$2:$A$10000&amp;JupData!$J$2:$J$10000,0),11))</f>
        <v/>
      </c>
      <c r="N544" t="str">
        <f t="array" ref="N544">IF($A544="","",INDEX(JupData!$A$2:$K$10000,MATCH($A544&amp;N$1,JupData!$A$2:$A$10000&amp;JupData!$J$2:$J$10000,0),11))</f>
        <v/>
      </c>
      <c r="O544" t="str">
        <f t="array" ref="O544">IF($A544="","",INDEX(JupData!$A$2:$K$10000,MATCH($A544&amp;O$1,JupData!$A$2:$A$10000&amp;JupData!$J$2:$J$10000,0),11))</f>
        <v/>
      </c>
      <c r="P544" t="str">
        <f t="array" ref="P544">IF($A544="","",INDEX(JupData!$A$2:$K$10000,MATCH($A544&amp;P$1,JupData!$A$2:$A$10000&amp;JupData!$J$2:$J$10000,0),11))</f>
        <v/>
      </c>
      <c r="Q544" t="str">
        <f t="array" ref="Q544">IF($A544="","",INDEX(JupData!$A$2:$K$10000,MATCH($A544&amp;Q$1,JupData!$A$2:$A$10000&amp;JupData!$J$2:$J$10000,0),11))</f>
        <v/>
      </c>
      <c r="R544" t="str">
        <f t="array" ref="R544">IF($A544="","",INDEX(JupData!$A$2:$K$10000,MATCH($A544&amp;R$1,JupData!$A$2:$A$10000&amp;JupData!$J$2:$J$10000,0),11))</f>
        <v/>
      </c>
      <c r="S544" t="str">
        <f t="array" ref="S544">IF($A544="","",INDEX(JupData!$A$2:$K$10000,MATCH($A544&amp;S$1,JupData!$A$2:$A$10000&amp;JupData!$J$2:$J$10000,0),11))</f>
        <v/>
      </c>
      <c r="T544" t="str">
        <f t="array" ref="T544">IF($A544="","",INDEX(JupData!$A$2:$K$10000,MATCH($A544&amp;T$1,JupData!$A$2:$A$10000&amp;JupData!$J$2:$J$10000,0),11))</f>
        <v/>
      </c>
      <c r="U544" t="str">
        <f t="array" ref="U544">IF($A544="","",INDEX(JupData!$A$2:$K$10000,MATCH($A544&amp;U$1,JupData!$A$2:$A$10000&amp;JupData!$J$2:$J$10000,0),11))</f>
        <v/>
      </c>
      <c r="V544" t="str">
        <f t="array" ref="V544">IF($A544="","",INDEX(JupData!$A$2:$K$10000,MATCH($A544&amp;V$1,JupData!$A$2:$A$10000&amp;JupData!$J$2:$J$10000,0),11))</f>
        <v/>
      </c>
      <c r="W544" t="str">
        <f t="array" ref="W544">IF($A544="","",INDEX(JupData!$A$2:$K$10000,MATCH($A544&amp;W$1,JupData!$A$2:$A$10000&amp;JupData!$J$2:$J$10000,0),11))</f>
        <v/>
      </c>
      <c r="X544" t="str">
        <f t="array" ref="X544">IF($A544="","",INDEX(JupData!$A$2:$K$10000,MATCH($A544&amp;X$1,JupData!$A$2:$A$10000&amp;JupData!$J$2:$J$10000,0),11))</f>
        <v/>
      </c>
      <c r="Y544" t="str">
        <f t="array" ref="Y544">IF($A544="","",INDEX(JupData!$A$2:$K$10000,MATCH($A544&amp;Y$1,JupData!$A$2:$A$10000&amp;JupData!$J$2:$J$10000,0),11))</f>
        <v/>
      </c>
      <c r="Z544" t="str">
        <f t="array" ref="Z544">IF($A544="","",INDEX(JupData!$A$2:$K$10000,MATCH($A544&amp;Z$1,JupData!$A$2:$A$10000&amp;JupData!$J$2:$J$10000,0),11))</f>
        <v/>
      </c>
      <c r="AA544" t="str">
        <f t="array" ref="AA544">IF($A544="","",INDEX(JupData!$A$2:$K$10000,MATCH($A544&amp;AA$1,JupData!$A$2:$A$10000&amp;JupData!$J$2:$J$10000,0),11))</f>
        <v/>
      </c>
      <c r="AB544" t="str">
        <f t="array" ref="AB544">IF($A544="","",INDEX(JupData!$A$2:$K$10000,MATCH($A544&amp;AB$1,JupData!$A$2:$A$10000&amp;JupData!$J$2:$J$10000,0),11))</f>
        <v/>
      </c>
      <c r="AC544" s="10" t="str">
        <f t="shared" si="88"/>
        <v/>
      </c>
      <c r="AD544" s="10" t="str">
        <f t="shared" si="89"/>
        <v/>
      </c>
      <c r="AE544" s="9" t="str">
        <f t="shared" si="90"/>
        <v/>
      </c>
      <c r="AF544" s="10" t="str">
        <f t="shared" si="91"/>
        <v/>
      </c>
      <c r="AG544" s="10" t="str">
        <f t="shared" si="92"/>
        <v/>
      </c>
      <c r="AH544" s="10" t="str">
        <f t="shared" si="93"/>
        <v/>
      </c>
      <c r="AI544" s="10" t="str">
        <f t="shared" si="94"/>
        <v/>
      </c>
      <c r="AJ544" s="10" t="str">
        <f t="shared" si="95"/>
        <v/>
      </c>
      <c r="AK544" s="10" t="str">
        <f t="shared" si="96"/>
        <v/>
      </c>
      <c r="AL544" s="14" t="str">
        <f t="shared" si="97"/>
        <v/>
      </c>
    </row>
    <row r="545" spans="1:38" x14ac:dyDescent="0.2">
      <c r="A545"/>
      <c r="B545" t="str">
        <f>IF($A545="","",VLOOKUP($A545,JupData!$A$2:$I$10000,4,FALSE))</f>
        <v/>
      </c>
      <c r="C545" s="7" t="str">
        <f>IF($A545="",IF(N(D545),0,""),VLOOKUP($A545,JupData!$A$2:$I$10000,7,FALSE))</f>
        <v/>
      </c>
      <c r="D545" t="str">
        <f t="shared" si="98"/>
        <v/>
      </c>
      <c r="E545" t="str">
        <f t="array" ref="E545">IF($A545="","",INDEX(JupData!$A$2:$K$10000,MATCH($A545&amp;E$1,JupData!$A$2:$A$10000&amp;JupData!$J$2:$J$10000,0),11))</f>
        <v/>
      </c>
      <c r="F545" t="str">
        <f t="array" ref="F545">IF($A545="","",INDEX(JupData!$A$2:$K$10000,MATCH($A545&amp;F$1,JupData!$A$2:$A$10000&amp;JupData!$J$2:$J$10000,0),11))</f>
        <v/>
      </c>
      <c r="G545" t="str">
        <f t="array" ref="G545">IF($A545="","",INDEX(JupData!$A$2:$K$10000,MATCH($A545&amp;G$1,JupData!$A$2:$A$10000&amp;JupData!$J$2:$J$10000,0),11))</f>
        <v/>
      </c>
      <c r="H545" t="str">
        <f t="array" ref="H545">IF($A545="","",INDEX(JupData!$A$2:$K$10000,MATCH($A545&amp;H$1,JupData!$A$2:$A$10000&amp;JupData!$J$2:$J$10000,0),11))</f>
        <v/>
      </c>
      <c r="I545" t="str">
        <f t="array" ref="I545">IF($A545="","",INDEX(JupData!$A$2:$K$10000,MATCH($A545&amp;I$1,JupData!$A$2:$A$10000&amp;JupData!$J$2:$J$10000,0),11))</f>
        <v/>
      </c>
      <c r="J545" t="str">
        <f t="array" ref="J545">IF($A545="","",INDEX(JupData!$A$2:$K$10000,MATCH($A545&amp;J$1,JupData!$A$2:$A$10000&amp;JupData!$J$2:$J$10000,0),11))</f>
        <v/>
      </c>
      <c r="K545" t="str">
        <f t="array" ref="K545">IF($A545="","",INDEX(JupData!$A$2:$K$10000,MATCH($A545&amp;K$1,JupData!$A$2:$A$10000&amp;JupData!$J$2:$J$10000,0),11))</f>
        <v/>
      </c>
      <c r="L545" t="str">
        <f t="array" ref="L545">IF($A545="","",INDEX(JupData!$A$2:$K$10000,MATCH($A545&amp;L$1,JupData!$A$2:$A$10000&amp;JupData!$J$2:$J$10000,0),11))</f>
        <v/>
      </c>
      <c r="M545" t="str">
        <f t="array" ref="M545">IF($A545="","",INDEX(JupData!$A$2:$K$10000,MATCH($A545&amp;M$1,JupData!$A$2:$A$10000&amp;JupData!$J$2:$J$10000,0),11))</f>
        <v/>
      </c>
      <c r="N545" t="str">
        <f t="array" ref="N545">IF($A545="","",INDEX(JupData!$A$2:$K$10000,MATCH($A545&amp;N$1,JupData!$A$2:$A$10000&amp;JupData!$J$2:$J$10000,0),11))</f>
        <v/>
      </c>
      <c r="O545" t="str">
        <f t="array" ref="O545">IF($A545="","",INDEX(JupData!$A$2:$K$10000,MATCH($A545&amp;O$1,JupData!$A$2:$A$10000&amp;JupData!$J$2:$J$10000,0),11))</f>
        <v/>
      </c>
      <c r="P545" t="str">
        <f t="array" ref="P545">IF($A545="","",INDEX(JupData!$A$2:$K$10000,MATCH($A545&amp;P$1,JupData!$A$2:$A$10000&amp;JupData!$J$2:$J$10000,0),11))</f>
        <v/>
      </c>
      <c r="Q545" t="str">
        <f t="array" ref="Q545">IF($A545="","",INDEX(JupData!$A$2:$K$10000,MATCH($A545&amp;Q$1,JupData!$A$2:$A$10000&amp;JupData!$J$2:$J$10000,0),11))</f>
        <v/>
      </c>
      <c r="R545" t="str">
        <f t="array" ref="R545">IF($A545="","",INDEX(JupData!$A$2:$K$10000,MATCH($A545&amp;R$1,JupData!$A$2:$A$10000&amp;JupData!$J$2:$J$10000,0),11))</f>
        <v/>
      </c>
      <c r="S545" t="str">
        <f t="array" ref="S545">IF($A545="","",INDEX(JupData!$A$2:$K$10000,MATCH($A545&amp;S$1,JupData!$A$2:$A$10000&amp;JupData!$J$2:$J$10000,0),11))</f>
        <v/>
      </c>
      <c r="T545" t="str">
        <f t="array" ref="T545">IF($A545="","",INDEX(JupData!$A$2:$K$10000,MATCH($A545&amp;T$1,JupData!$A$2:$A$10000&amp;JupData!$J$2:$J$10000,0),11))</f>
        <v/>
      </c>
      <c r="U545" t="str">
        <f t="array" ref="U545">IF($A545="","",INDEX(JupData!$A$2:$K$10000,MATCH($A545&amp;U$1,JupData!$A$2:$A$10000&amp;JupData!$J$2:$J$10000,0),11))</f>
        <v/>
      </c>
      <c r="V545" t="str">
        <f t="array" ref="V545">IF($A545="","",INDEX(JupData!$A$2:$K$10000,MATCH($A545&amp;V$1,JupData!$A$2:$A$10000&amp;JupData!$J$2:$J$10000,0),11))</f>
        <v/>
      </c>
      <c r="W545" t="str">
        <f t="array" ref="W545">IF($A545="","",INDEX(JupData!$A$2:$K$10000,MATCH($A545&amp;W$1,JupData!$A$2:$A$10000&amp;JupData!$J$2:$J$10000,0),11))</f>
        <v/>
      </c>
      <c r="X545" t="str">
        <f t="array" ref="X545">IF($A545="","",INDEX(JupData!$A$2:$K$10000,MATCH($A545&amp;X$1,JupData!$A$2:$A$10000&amp;JupData!$J$2:$J$10000,0),11))</f>
        <v/>
      </c>
      <c r="Y545" t="str">
        <f t="array" ref="Y545">IF($A545="","",INDEX(JupData!$A$2:$K$10000,MATCH($A545&amp;Y$1,JupData!$A$2:$A$10000&amp;JupData!$J$2:$J$10000,0),11))</f>
        <v/>
      </c>
      <c r="Z545" t="str">
        <f t="array" ref="Z545">IF($A545="","",INDEX(JupData!$A$2:$K$10000,MATCH($A545&amp;Z$1,JupData!$A$2:$A$10000&amp;JupData!$J$2:$J$10000,0),11))</f>
        <v/>
      </c>
      <c r="AA545" t="str">
        <f t="array" ref="AA545">IF($A545="","",INDEX(JupData!$A$2:$K$10000,MATCH($A545&amp;AA$1,JupData!$A$2:$A$10000&amp;JupData!$J$2:$J$10000,0),11))</f>
        <v/>
      </c>
      <c r="AB545" t="str">
        <f t="array" ref="AB545">IF($A545="","",INDEX(JupData!$A$2:$K$10000,MATCH($A545&amp;AB$1,JupData!$A$2:$A$10000&amp;JupData!$J$2:$J$10000,0),11))</f>
        <v/>
      </c>
      <c r="AC545" s="10" t="str">
        <f t="shared" si="88"/>
        <v/>
      </c>
      <c r="AD545" s="10" t="str">
        <f t="shared" si="89"/>
        <v/>
      </c>
      <c r="AE545" s="9" t="str">
        <f t="shared" si="90"/>
        <v/>
      </c>
      <c r="AF545" s="10" t="str">
        <f t="shared" si="91"/>
        <v/>
      </c>
      <c r="AG545" s="10" t="str">
        <f t="shared" si="92"/>
        <v/>
      </c>
      <c r="AH545" s="10" t="str">
        <f t="shared" si="93"/>
        <v/>
      </c>
      <c r="AI545" s="10" t="str">
        <f t="shared" si="94"/>
        <v/>
      </c>
      <c r="AJ545" s="10" t="str">
        <f t="shared" si="95"/>
        <v/>
      </c>
      <c r="AK545" s="10" t="str">
        <f t="shared" si="96"/>
        <v/>
      </c>
      <c r="AL545" s="14" t="str">
        <f t="shared" si="97"/>
        <v/>
      </c>
    </row>
    <row r="546" spans="1:38" x14ac:dyDescent="0.2">
      <c r="A546"/>
      <c r="B546" t="str">
        <f>IF($A546="","",VLOOKUP($A546,JupData!$A$2:$I$10000,4,FALSE))</f>
        <v/>
      </c>
      <c r="C546" s="7" t="str">
        <f>IF($A546="",IF(N(D546),0,""),VLOOKUP($A546,JupData!$A$2:$I$10000,7,FALSE))</f>
        <v/>
      </c>
      <c r="D546" t="str">
        <f t="shared" si="98"/>
        <v/>
      </c>
      <c r="E546" t="str">
        <f t="array" ref="E546">IF($A546="","",INDEX(JupData!$A$2:$K$10000,MATCH($A546&amp;E$1,JupData!$A$2:$A$10000&amp;JupData!$J$2:$J$10000,0),11))</f>
        <v/>
      </c>
      <c r="F546" t="str">
        <f t="array" ref="F546">IF($A546="","",INDEX(JupData!$A$2:$K$10000,MATCH($A546&amp;F$1,JupData!$A$2:$A$10000&amp;JupData!$J$2:$J$10000,0),11))</f>
        <v/>
      </c>
      <c r="G546" t="str">
        <f t="array" ref="G546">IF($A546="","",INDEX(JupData!$A$2:$K$10000,MATCH($A546&amp;G$1,JupData!$A$2:$A$10000&amp;JupData!$J$2:$J$10000,0),11))</f>
        <v/>
      </c>
      <c r="H546" t="str">
        <f t="array" ref="H546">IF($A546="","",INDEX(JupData!$A$2:$K$10000,MATCH($A546&amp;H$1,JupData!$A$2:$A$10000&amp;JupData!$J$2:$J$10000,0),11))</f>
        <v/>
      </c>
      <c r="I546" t="str">
        <f t="array" ref="I546">IF($A546="","",INDEX(JupData!$A$2:$K$10000,MATCH($A546&amp;I$1,JupData!$A$2:$A$10000&amp;JupData!$J$2:$J$10000,0),11))</f>
        <v/>
      </c>
      <c r="J546" t="str">
        <f t="array" ref="J546">IF($A546="","",INDEX(JupData!$A$2:$K$10000,MATCH($A546&amp;J$1,JupData!$A$2:$A$10000&amp;JupData!$J$2:$J$10000,0),11))</f>
        <v/>
      </c>
      <c r="K546" t="str">
        <f t="array" ref="K546">IF($A546="","",INDEX(JupData!$A$2:$K$10000,MATCH($A546&amp;K$1,JupData!$A$2:$A$10000&amp;JupData!$J$2:$J$10000,0),11))</f>
        <v/>
      </c>
      <c r="L546" t="str">
        <f t="array" ref="L546">IF($A546="","",INDEX(JupData!$A$2:$K$10000,MATCH($A546&amp;L$1,JupData!$A$2:$A$10000&amp;JupData!$J$2:$J$10000,0),11))</f>
        <v/>
      </c>
      <c r="M546" t="str">
        <f t="array" ref="M546">IF($A546="","",INDEX(JupData!$A$2:$K$10000,MATCH($A546&amp;M$1,JupData!$A$2:$A$10000&amp;JupData!$J$2:$J$10000,0),11))</f>
        <v/>
      </c>
      <c r="N546" t="str">
        <f t="array" ref="N546">IF($A546="","",INDEX(JupData!$A$2:$K$10000,MATCH($A546&amp;N$1,JupData!$A$2:$A$10000&amp;JupData!$J$2:$J$10000,0),11))</f>
        <v/>
      </c>
      <c r="O546" t="str">
        <f t="array" ref="O546">IF($A546="","",INDEX(JupData!$A$2:$K$10000,MATCH($A546&amp;O$1,JupData!$A$2:$A$10000&amp;JupData!$J$2:$J$10000,0),11))</f>
        <v/>
      </c>
      <c r="P546" t="str">
        <f t="array" ref="P546">IF($A546="","",INDEX(JupData!$A$2:$K$10000,MATCH($A546&amp;P$1,JupData!$A$2:$A$10000&amp;JupData!$J$2:$J$10000,0),11))</f>
        <v/>
      </c>
      <c r="Q546" t="str">
        <f t="array" ref="Q546">IF($A546="","",INDEX(JupData!$A$2:$K$10000,MATCH($A546&amp;Q$1,JupData!$A$2:$A$10000&amp;JupData!$J$2:$J$10000,0),11))</f>
        <v/>
      </c>
      <c r="R546" t="str">
        <f t="array" ref="R546">IF($A546="","",INDEX(JupData!$A$2:$K$10000,MATCH($A546&amp;R$1,JupData!$A$2:$A$10000&amp;JupData!$J$2:$J$10000,0),11))</f>
        <v/>
      </c>
      <c r="S546" t="str">
        <f t="array" ref="S546">IF($A546="","",INDEX(JupData!$A$2:$K$10000,MATCH($A546&amp;S$1,JupData!$A$2:$A$10000&amp;JupData!$J$2:$J$10000,0),11))</f>
        <v/>
      </c>
      <c r="T546" t="str">
        <f t="array" ref="T546">IF($A546="","",INDEX(JupData!$A$2:$K$10000,MATCH($A546&amp;T$1,JupData!$A$2:$A$10000&amp;JupData!$J$2:$J$10000,0),11))</f>
        <v/>
      </c>
      <c r="U546" t="str">
        <f t="array" ref="U546">IF($A546="","",INDEX(JupData!$A$2:$K$10000,MATCH($A546&amp;U$1,JupData!$A$2:$A$10000&amp;JupData!$J$2:$J$10000,0),11))</f>
        <v/>
      </c>
      <c r="V546" t="str">
        <f t="array" ref="V546">IF($A546="","",INDEX(JupData!$A$2:$K$10000,MATCH($A546&amp;V$1,JupData!$A$2:$A$10000&amp;JupData!$J$2:$J$10000,0),11))</f>
        <v/>
      </c>
      <c r="W546" t="str">
        <f t="array" ref="W546">IF($A546="","",INDEX(JupData!$A$2:$K$10000,MATCH($A546&amp;W$1,JupData!$A$2:$A$10000&amp;JupData!$J$2:$J$10000,0),11))</f>
        <v/>
      </c>
      <c r="X546" t="str">
        <f t="array" ref="X546">IF($A546="","",INDEX(JupData!$A$2:$K$10000,MATCH($A546&amp;X$1,JupData!$A$2:$A$10000&amp;JupData!$J$2:$J$10000,0),11))</f>
        <v/>
      </c>
      <c r="Y546" t="str">
        <f t="array" ref="Y546">IF($A546="","",INDEX(JupData!$A$2:$K$10000,MATCH($A546&amp;Y$1,JupData!$A$2:$A$10000&amp;JupData!$J$2:$J$10000,0),11))</f>
        <v/>
      </c>
      <c r="Z546" t="str">
        <f t="array" ref="Z546">IF($A546="","",INDEX(JupData!$A$2:$K$10000,MATCH($A546&amp;Z$1,JupData!$A$2:$A$10000&amp;JupData!$J$2:$J$10000,0),11))</f>
        <v/>
      </c>
      <c r="AA546" t="str">
        <f t="array" ref="AA546">IF($A546="","",INDEX(JupData!$A$2:$K$10000,MATCH($A546&amp;AA$1,JupData!$A$2:$A$10000&amp;JupData!$J$2:$J$10000,0),11))</f>
        <v/>
      </c>
      <c r="AB546" t="str">
        <f t="array" ref="AB546">IF($A546="","",INDEX(JupData!$A$2:$K$10000,MATCH($A546&amp;AB$1,JupData!$A$2:$A$10000&amp;JupData!$J$2:$J$10000,0),11))</f>
        <v/>
      </c>
      <c r="AC546" s="10" t="str">
        <f t="shared" si="88"/>
        <v/>
      </c>
      <c r="AD546" s="10" t="str">
        <f t="shared" si="89"/>
        <v/>
      </c>
      <c r="AE546" s="9" t="str">
        <f t="shared" si="90"/>
        <v/>
      </c>
      <c r="AF546" s="10" t="str">
        <f t="shared" si="91"/>
        <v/>
      </c>
      <c r="AG546" s="10" t="str">
        <f t="shared" si="92"/>
        <v/>
      </c>
      <c r="AH546" s="10" t="str">
        <f t="shared" si="93"/>
        <v/>
      </c>
      <c r="AI546" s="10" t="str">
        <f t="shared" si="94"/>
        <v/>
      </c>
      <c r="AJ546" s="10" t="str">
        <f t="shared" si="95"/>
        <v/>
      </c>
      <c r="AK546" s="10" t="str">
        <f t="shared" si="96"/>
        <v/>
      </c>
      <c r="AL546" s="14" t="str">
        <f t="shared" si="97"/>
        <v/>
      </c>
    </row>
    <row r="547" spans="1:38" x14ac:dyDescent="0.2">
      <c r="A547"/>
      <c r="B547" t="str">
        <f>IF($A547="","",VLOOKUP($A547,JupData!$A$2:$I$10000,4,FALSE))</f>
        <v/>
      </c>
      <c r="C547" s="7" t="str">
        <f>IF($A547="",IF(N(D547),0,""),VLOOKUP($A547,JupData!$A$2:$I$10000,7,FALSE))</f>
        <v/>
      </c>
      <c r="D547" t="str">
        <f t="shared" si="98"/>
        <v/>
      </c>
      <c r="E547" t="str">
        <f t="array" ref="E547">IF($A547="","",INDEX(JupData!$A$2:$K$10000,MATCH($A547&amp;E$1,JupData!$A$2:$A$10000&amp;JupData!$J$2:$J$10000,0),11))</f>
        <v/>
      </c>
      <c r="F547" t="str">
        <f t="array" ref="F547">IF($A547="","",INDEX(JupData!$A$2:$K$10000,MATCH($A547&amp;F$1,JupData!$A$2:$A$10000&amp;JupData!$J$2:$J$10000,0),11))</f>
        <v/>
      </c>
      <c r="G547" t="str">
        <f t="array" ref="G547">IF($A547="","",INDEX(JupData!$A$2:$K$10000,MATCH($A547&amp;G$1,JupData!$A$2:$A$10000&amp;JupData!$J$2:$J$10000,0),11))</f>
        <v/>
      </c>
      <c r="H547" t="str">
        <f t="array" ref="H547">IF($A547="","",INDEX(JupData!$A$2:$K$10000,MATCH($A547&amp;H$1,JupData!$A$2:$A$10000&amp;JupData!$J$2:$J$10000,0),11))</f>
        <v/>
      </c>
      <c r="I547" t="str">
        <f t="array" ref="I547">IF($A547="","",INDEX(JupData!$A$2:$K$10000,MATCH($A547&amp;I$1,JupData!$A$2:$A$10000&amp;JupData!$J$2:$J$10000,0),11))</f>
        <v/>
      </c>
      <c r="J547" t="str">
        <f t="array" ref="J547">IF($A547="","",INDEX(JupData!$A$2:$K$10000,MATCH($A547&amp;J$1,JupData!$A$2:$A$10000&amp;JupData!$J$2:$J$10000,0),11))</f>
        <v/>
      </c>
      <c r="K547" t="str">
        <f t="array" ref="K547">IF($A547="","",INDEX(JupData!$A$2:$K$10000,MATCH($A547&amp;K$1,JupData!$A$2:$A$10000&amp;JupData!$J$2:$J$10000,0),11))</f>
        <v/>
      </c>
      <c r="L547" t="str">
        <f t="array" ref="L547">IF($A547="","",INDEX(JupData!$A$2:$K$10000,MATCH($A547&amp;L$1,JupData!$A$2:$A$10000&amp;JupData!$J$2:$J$10000,0),11))</f>
        <v/>
      </c>
      <c r="M547" t="str">
        <f t="array" ref="M547">IF($A547="","",INDEX(JupData!$A$2:$K$10000,MATCH($A547&amp;M$1,JupData!$A$2:$A$10000&amp;JupData!$J$2:$J$10000,0),11))</f>
        <v/>
      </c>
      <c r="N547" t="str">
        <f t="array" ref="N547">IF($A547="","",INDEX(JupData!$A$2:$K$10000,MATCH($A547&amp;N$1,JupData!$A$2:$A$10000&amp;JupData!$J$2:$J$10000,0),11))</f>
        <v/>
      </c>
      <c r="O547" t="str">
        <f t="array" ref="O547">IF($A547="","",INDEX(JupData!$A$2:$K$10000,MATCH($A547&amp;O$1,JupData!$A$2:$A$10000&amp;JupData!$J$2:$J$10000,0),11))</f>
        <v/>
      </c>
      <c r="P547" t="str">
        <f t="array" ref="P547">IF($A547="","",INDEX(JupData!$A$2:$K$10000,MATCH($A547&amp;P$1,JupData!$A$2:$A$10000&amp;JupData!$J$2:$J$10000,0),11))</f>
        <v/>
      </c>
      <c r="Q547" t="str">
        <f t="array" ref="Q547">IF($A547="","",INDEX(JupData!$A$2:$K$10000,MATCH($A547&amp;Q$1,JupData!$A$2:$A$10000&amp;JupData!$J$2:$J$10000,0),11))</f>
        <v/>
      </c>
      <c r="R547" t="str">
        <f t="array" ref="R547">IF($A547="","",INDEX(JupData!$A$2:$K$10000,MATCH($A547&amp;R$1,JupData!$A$2:$A$10000&amp;JupData!$J$2:$J$10000,0),11))</f>
        <v/>
      </c>
      <c r="S547" t="str">
        <f t="array" ref="S547">IF($A547="","",INDEX(JupData!$A$2:$K$10000,MATCH($A547&amp;S$1,JupData!$A$2:$A$10000&amp;JupData!$J$2:$J$10000,0),11))</f>
        <v/>
      </c>
      <c r="T547" t="str">
        <f t="array" ref="T547">IF($A547="","",INDEX(JupData!$A$2:$K$10000,MATCH($A547&amp;T$1,JupData!$A$2:$A$10000&amp;JupData!$J$2:$J$10000,0),11))</f>
        <v/>
      </c>
      <c r="U547" t="str">
        <f t="array" ref="U547">IF($A547="","",INDEX(JupData!$A$2:$K$10000,MATCH($A547&amp;U$1,JupData!$A$2:$A$10000&amp;JupData!$J$2:$J$10000,0),11))</f>
        <v/>
      </c>
      <c r="V547" t="str">
        <f t="array" ref="V547">IF($A547="","",INDEX(JupData!$A$2:$K$10000,MATCH($A547&amp;V$1,JupData!$A$2:$A$10000&amp;JupData!$J$2:$J$10000,0),11))</f>
        <v/>
      </c>
      <c r="W547" t="str">
        <f t="array" ref="W547">IF($A547="","",INDEX(JupData!$A$2:$K$10000,MATCH($A547&amp;W$1,JupData!$A$2:$A$10000&amp;JupData!$J$2:$J$10000,0),11))</f>
        <v/>
      </c>
      <c r="X547" t="str">
        <f t="array" ref="X547">IF($A547="","",INDEX(JupData!$A$2:$K$10000,MATCH($A547&amp;X$1,JupData!$A$2:$A$10000&amp;JupData!$J$2:$J$10000,0),11))</f>
        <v/>
      </c>
      <c r="Y547" t="str">
        <f t="array" ref="Y547">IF($A547="","",INDEX(JupData!$A$2:$K$10000,MATCH($A547&amp;Y$1,JupData!$A$2:$A$10000&amp;JupData!$J$2:$J$10000,0),11))</f>
        <v/>
      </c>
      <c r="Z547" t="str">
        <f t="array" ref="Z547">IF($A547="","",INDEX(JupData!$A$2:$K$10000,MATCH($A547&amp;Z$1,JupData!$A$2:$A$10000&amp;JupData!$J$2:$J$10000,0),11))</f>
        <v/>
      </c>
      <c r="AA547" t="str">
        <f t="array" ref="AA547">IF($A547="","",INDEX(JupData!$A$2:$K$10000,MATCH($A547&amp;AA$1,JupData!$A$2:$A$10000&amp;JupData!$J$2:$J$10000,0),11))</f>
        <v/>
      </c>
      <c r="AB547" t="str">
        <f t="array" ref="AB547">IF($A547="","",INDEX(JupData!$A$2:$K$10000,MATCH($A547&amp;AB$1,JupData!$A$2:$A$10000&amp;JupData!$J$2:$J$10000,0),11))</f>
        <v/>
      </c>
      <c r="AC547" s="10" t="str">
        <f t="shared" si="88"/>
        <v/>
      </c>
      <c r="AD547" s="10" t="str">
        <f t="shared" si="89"/>
        <v/>
      </c>
      <c r="AE547" s="9" t="str">
        <f t="shared" si="90"/>
        <v/>
      </c>
      <c r="AF547" s="10" t="str">
        <f t="shared" si="91"/>
        <v/>
      </c>
      <c r="AG547" s="10" t="str">
        <f t="shared" si="92"/>
        <v/>
      </c>
      <c r="AH547" s="10" t="str">
        <f t="shared" si="93"/>
        <v/>
      </c>
      <c r="AI547" s="10" t="str">
        <f t="shared" si="94"/>
        <v/>
      </c>
      <c r="AJ547" s="10" t="str">
        <f t="shared" si="95"/>
        <v/>
      </c>
      <c r="AK547" s="10" t="str">
        <f t="shared" si="96"/>
        <v/>
      </c>
      <c r="AL547" s="14" t="str">
        <f t="shared" si="97"/>
        <v/>
      </c>
    </row>
    <row r="548" spans="1:38" x14ac:dyDescent="0.2">
      <c r="A548"/>
      <c r="B548" t="str">
        <f>IF($A548="","",VLOOKUP($A548,JupData!$A$2:$I$10000,4,FALSE))</f>
        <v/>
      </c>
      <c r="C548" s="7" t="str">
        <f>IF($A548="",IF(N(D548),0,""),VLOOKUP($A548,JupData!$A$2:$I$10000,7,FALSE))</f>
        <v/>
      </c>
      <c r="D548" t="str">
        <f t="shared" si="98"/>
        <v/>
      </c>
      <c r="E548" t="str">
        <f t="array" ref="E548">IF($A548="","",INDEX(JupData!$A$2:$K$10000,MATCH($A548&amp;E$1,JupData!$A$2:$A$10000&amp;JupData!$J$2:$J$10000,0),11))</f>
        <v/>
      </c>
      <c r="F548" t="str">
        <f t="array" ref="F548">IF($A548="","",INDEX(JupData!$A$2:$K$10000,MATCH($A548&amp;F$1,JupData!$A$2:$A$10000&amp;JupData!$J$2:$J$10000,0),11))</f>
        <v/>
      </c>
      <c r="G548" t="str">
        <f t="array" ref="G548">IF($A548="","",INDEX(JupData!$A$2:$K$10000,MATCH($A548&amp;G$1,JupData!$A$2:$A$10000&amp;JupData!$J$2:$J$10000,0),11))</f>
        <v/>
      </c>
      <c r="H548" t="str">
        <f t="array" ref="H548">IF($A548="","",INDEX(JupData!$A$2:$K$10000,MATCH($A548&amp;H$1,JupData!$A$2:$A$10000&amp;JupData!$J$2:$J$10000,0),11))</f>
        <v/>
      </c>
      <c r="I548" t="str">
        <f t="array" ref="I548">IF($A548="","",INDEX(JupData!$A$2:$K$10000,MATCH($A548&amp;I$1,JupData!$A$2:$A$10000&amp;JupData!$J$2:$J$10000,0),11))</f>
        <v/>
      </c>
      <c r="J548" t="str">
        <f t="array" ref="J548">IF($A548="","",INDEX(JupData!$A$2:$K$10000,MATCH($A548&amp;J$1,JupData!$A$2:$A$10000&amp;JupData!$J$2:$J$10000,0),11))</f>
        <v/>
      </c>
      <c r="K548" t="str">
        <f t="array" ref="K548">IF($A548="","",INDEX(JupData!$A$2:$K$10000,MATCH($A548&amp;K$1,JupData!$A$2:$A$10000&amp;JupData!$J$2:$J$10000,0),11))</f>
        <v/>
      </c>
      <c r="L548" t="str">
        <f t="array" ref="L548">IF($A548="","",INDEX(JupData!$A$2:$K$10000,MATCH($A548&amp;L$1,JupData!$A$2:$A$10000&amp;JupData!$J$2:$J$10000,0),11))</f>
        <v/>
      </c>
      <c r="M548" t="str">
        <f t="array" ref="M548">IF($A548="","",INDEX(JupData!$A$2:$K$10000,MATCH($A548&amp;M$1,JupData!$A$2:$A$10000&amp;JupData!$J$2:$J$10000,0),11))</f>
        <v/>
      </c>
      <c r="N548" t="str">
        <f t="array" ref="N548">IF($A548="","",INDEX(JupData!$A$2:$K$10000,MATCH($A548&amp;N$1,JupData!$A$2:$A$10000&amp;JupData!$J$2:$J$10000,0),11))</f>
        <v/>
      </c>
      <c r="O548" t="str">
        <f t="array" ref="O548">IF($A548="","",INDEX(JupData!$A$2:$K$10000,MATCH($A548&amp;O$1,JupData!$A$2:$A$10000&amp;JupData!$J$2:$J$10000,0),11))</f>
        <v/>
      </c>
      <c r="P548" t="str">
        <f t="array" ref="P548">IF($A548="","",INDEX(JupData!$A$2:$K$10000,MATCH($A548&amp;P$1,JupData!$A$2:$A$10000&amp;JupData!$J$2:$J$10000,0),11))</f>
        <v/>
      </c>
      <c r="Q548" t="str">
        <f t="array" ref="Q548">IF($A548="","",INDEX(JupData!$A$2:$K$10000,MATCH($A548&amp;Q$1,JupData!$A$2:$A$10000&amp;JupData!$J$2:$J$10000,0),11))</f>
        <v/>
      </c>
      <c r="R548" t="str">
        <f t="array" ref="R548">IF($A548="","",INDEX(JupData!$A$2:$K$10000,MATCH($A548&amp;R$1,JupData!$A$2:$A$10000&amp;JupData!$J$2:$J$10000,0),11))</f>
        <v/>
      </c>
      <c r="S548" t="str">
        <f t="array" ref="S548">IF($A548="","",INDEX(JupData!$A$2:$K$10000,MATCH($A548&amp;S$1,JupData!$A$2:$A$10000&amp;JupData!$J$2:$J$10000,0),11))</f>
        <v/>
      </c>
      <c r="T548" t="str">
        <f t="array" ref="T548">IF($A548="","",INDEX(JupData!$A$2:$K$10000,MATCH($A548&amp;T$1,JupData!$A$2:$A$10000&amp;JupData!$J$2:$J$10000,0),11))</f>
        <v/>
      </c>
      <c r="U548" t="str">
        <f t="array" ref="U548">IF($A548="","",INDEX(JupData!$A$2:$K$10000,MATCH($A548&amp;U$1,JupData!$A$2:$A$10000&amp;JupData!$J$2:$J$10000,0),11))</f>
        <v/>
      </c>
      <c r="V548" t="str">
        <f t="array" ref="V548">IF($A548="","",INDEX(JupData!$A$2:$K$10000,MATCH($A548&amp;V$1,JupData!$A$2:$A$10000&amp;JupData!$J$2:$J$10000,0),11))</f>
        <v/>
      </c>
      <c r="W548" t="str">
        <f t="array" ref="W548">IF($A548="","",INDEX(JupData!$A$2:$K$10000,MATCH($A548&amp;W$1,JupData!$A$2:$A$10000&amp;JupData!$J$2:$J$10000,0),11))</f>
        <v/>
      </c>
      <c r="X548" t="str">
        <f t="array" ref="X548">IF($A548="","",INDEX(JupData!$A$2:$K$10000,MATCH($A548&amp;X$1,JupData!$A$2:$A$10000&amp;JupData!$J$2:$J$10000,0),11))</f>
        <v/>
      </c>
      <c r="Y548" t="str">
        <f t="array" ref="Y548">IF($A548="","",INDEX(JupData!$A$2:$K$10000,MATCH($A548&amp;Y$1,JupData!$A$2:$A$10000&amp;JupData!$J$2:$J$10000,0),11))</f>
        <v/>
      </c>
      <c r="Z548" t="str">
        <f t="array" ref="Z548">IF($A548="","",INDEX(JupData!$A$2:$K$10000,MATCH($A548&amp;Z$1,JupData!$A$2:$A$10000&amp;JupData!$J$2:$J$10000,0),11))</f>
        <v/>
      </c>
      <c r="AA548" t="str">
        <f t="array" ref="AA548">IF($A548="","",INDEX(JupData!$A$2:$K$10000,MATCH($A548&amp;AA$1,JupData!$A$2:$A$10000&amp;JupData!$J$2:$J$10000,0),11))</f>
        <v/>
      </c>
      <c r="AB548" t="str">
        <f t="array" ref="AB548">IF($A548="","",INDEX(JupData!$A$2:$K$10000,MATCH($A548&amp;AB$1,JupData!$A$2:$A$10000&amp;JupData!$J$2:$J$10000,0),11))</f>
        <v/>
      </c>
      <c r="AC548" s="10" t="str">
        <f t="shared" si="88"/>
        <v/>
      </c>
      <c r="AD548" s="10" t="str">
        <f t="shared" si="89"/>
        <v/>
      </c>
      <c r="AE548" s="9" t="str">
        <f t="shared" si="90"/>
        <v/>
      </c>
      <c r="AF548" s="10" t="str">
        <f t="shared" si="91"/>
        <v/>
      </c>
      <c r="AG548" s="10" t="str">
        <f t="shared" si="92"/>
        <v/>
      </c>
      <c r="AH548" s="10" t="str">
        <f t="shared" si="93"/>
        <v/>
      </c>
      <c r="AI548" s="10" t="str">
        <f t="shared" si="94"/>
        <v/>
      </c>
      <c r="AJ548" s="10" t="str">
        <f t="shared" si="95"/>
        <v/>
      </c>
      <c r="AK548" s="10" t="str">
        <f t="shared" si="96"/>
        <v/>
      </c>
      <c r="AL548" s="14" t="str">
        <f t="shared" si="97"/>
        <v/>
      </c>
    </row>
    <row r="549" spans="1:38" x14ac:dyDescent="0.2">
      <c r="A549"/>
      <c r="B549" t="str">
        <f>IF($A549="","",VLOOKUP($A549,JupData!$A$2:$I$10000,4,FALSE))</f>
        <v/>
      </c>
      <c r="C549" s="7" t="str">
        <f>IF($A549="",IF(N(D549),0,""),VLOOKUP($A549,JupData!$A$2:$I$10000,7,FALSE))</f>
        <v/>
      </c>
      <c r="D549" t="str">
        <f t="shared" si="98"/>
        <v/>
      </c>
      <c r="E549" t="str">
        <f t="array" ref="E549">IF($A549="","",INDEX(JupData!$A$2:$K$10000,MATCH($A549&amp;E$1,JupData!$A$2:$A$10000&amp;JupData!$J$2:$J$10000,0),11))</f>
        <v/>
      </c>
      <c r="F549" t="str">
        <f t="array" ref="F549">IF($A549="","",INDEX(JupData!$A$2:$K$10000,MATCH($A549&amp;F$1,JupData!$A$2:$A$10000&amp;JupData!$J$2:$J$10000,0),11))</f>
        <v/>
      </c>
      <c r="G549" t="str">
        <f t="array" ref="G549">IF($A549="","",INDEX(JupData!$A$2:$K$10000,MATCH($A549&amp;G$1,JupData!$A$2:$A$10000&amp;JupData!$J$2:$J$10000,0),11))</f>
        <v/>
      </c>
      <c r="H549" t="str">
        <f t="array" ref="H549">IF($A549="","",INDEX(JupData!$A$2:$K$10000,MATCH($A549&amp;H$1,JupData!$A$2:$A$10000&amp;JupData!$J$2:$J$10000,0),11))</f>
        <v/>
      </c>
      <c r="I549" t="str">
        <f t="array" ref="I549">IF($A549="","",INDEX(JupData!$A$2:$K$10000,MATCH($A549&amp;I$1,JupData!$A$2:$A$10000&amp;JupData!$J$2:$J$10000,0),11))</f>
        <v/>
      </c>
      <c r="J549" t="str">
        <f t="array" ref="J549">IF($A549="","",INDEX(JupData!$A$2:$K$10000,MATCH($A549&amp;J$1,JupData!$A$2:$A$10000&amp;JupData!$J$2:$J$10000,0),11))</f>
        <v/>
      </c>
      <c r="K549" t="str">
        <f t="array" ref="K549">IF($A549="","",INDEX(JupData!$A$2:$K$10000,MATCH($A549&amp;K$1,JupData!$A$2:$A$10000&amp;JupData!$J$2:$J$10000,0),11))</f>
        <v/>
      </c>
      <c r="L549" t="str">
        <f t="array" ref="L549">IF($A549="","",INDEX(JupData!$A$2:$K$10000,MATCH($A549&amp;L$1,JupData!$A$2:$A$10000&amp;JupData!$J$2:$J$10000,0),11))</f>
        <v/>
      </c>
      <c r="M549" t="str">
        <f t="array" ref="M549">IF($A549="","",INDEX(JupData!$A$2:$K$10000,MATCH($A549&amp;M$1,JupData!$A$2:$A$10000&amp;JupData!$J$2:$J$10000,0),11))</f>
        <v/>
      </c>
      <c r="N549" t="str">
        <f t="array" ref="N549">IF($A549="","",INDEX(JupData!$A$2:$K$10000,MATCH($A549&amp;N$1,JupData!$A$2:$A$10000&amp;JupData!$J$2:$J$10000,0),11))</f>
        <v/>
      </c>
      <c r="O549" t="str">
        <f t="array" ref="O549">IF($A549="","",INDEX(JupData!$A$2:$K$10000,MATCH($A549&amp;O$1,JupData!$A$2:$A$10000&amp;JupData!$J$2:$J$10000,0),11))</f>
        <v/>
      </c>
      <c r="P549" t="str">
        <f t="array" ref="P549">IF($A549="","",INDEX(JupData!$A$2:$K$10000,MATCH($A549&amp;P$1,JupData!$A$2:$A$10000&amp;JupData!$J$2:$J$10000,0),11))</f>
        <v/>
      </c>
      <c r="Q549" t="str">
        <f t="array" ref="Q549">IF($A549="","",INDEX(JupData!$A$2:$K$10000,MATCH($A549&amp;Q$1,JupData!$A$2:$A$10000&amp;JupData!$J$2:$J$10000,0),11))</f>
        <v/>
      </c>
      <c r="R549" t="str">
        <f t="array" ref="R549">IF($A549="","",INDEX(JupData!$A$2:$K$10000,MATCH($A549&amp;R$1,JupData!$A$2:$A$10000&amp;JupData!$J$2:$J$10000,0),11))</f>
        <v/>
      </c>
      <c r="S549" t="str">
        <f t="array" ref="S549">IF($A549="","",INDEX(JupData!$A$2:$K$10000,MATCH($A549&amp;S$1,JupData!$A$2:$A$10000&amp;JupData!$J$2:$J$10000,0),11))</f>
        <v/>
      </c>
      <c r="T549" t="str">
        <f t="array" ref="T549">IF($A549="","",INDEX(JupData!$A$2:$K$10000,MATCH($A549&amp;T$1,JupData!$A$2:$A$10000&amp;JupData!$J$2:$J$10000,0),11))</f>
        <v/>
      </c>
      <c r="U549" t="str">
        <f t="array" ref="U549">IF($A549="","",INDEX(JupData!$A$2:$K$10000,MATCH($A549&amp;U$1,JupData!$A$2:$A$10000&amp;JupData!$J$2:$J$10000,0),11))</f>
        <v/>
      </c>
      <c r="V549" t="str">
        <f t="array" ref="V549">IF($A549="","",INDEX(JupData!$A$2:$K$10000,MATCH($A549&amp;V$1,JupData!$A$2:$A$10000&amp;JupData!$J$2:$J$10000,0),11))</f>
        <v/>
      </c>
      <c r="W549" t="str">
        <f t="array" ref="W549">IF($A549="","",INDEX(JupData!$A$2:$K$10000,MATCH($A549&amp;W$1,JupData!$A$2:$A$10000&amp;JupData!$J$2:$J$10000,0),11))</f>
        <v/>
      </c>
      <c r="X549" t="str">
        <f t="array" ref="X549">IF($A549="","",INDEX(JupData!$A$2:$K$10000,MATCH($A549&amp;X$1,JupData!$A$2:$A$10000&amp;JupData!$J$2:$J$10000,0),11))</f>
        <v/>
      </c>
      <c r="Y549" t="str">
        <f t="array" ref="Y549">IF($A549="","",INDEX(JupData!$A$2:$K$10000,MATCH($A549&amp;Y$1,JupData!$A$2:$A$10000&amp;JupData!$J$2:$J$10000,0),11))</f>
        <v/>
      </c>
      <c r="Z549" t="str">
        <f t="array" ref="Z549">IF($A549="","",INDEX(JupData!$A$2:$K$10000,MATCH($A549&amp;Z$1,JupData!$A$2:$A$10000&amp;JupData!$J$2:$J$10000,0),11))</f>
        <v/>
      </c>
      <c r="AA549" t="str">
        <f t="array" ref="AA549">IF($A549="","",INDEX(JupData!$A$2:$K$10000,MATCH($A549&amp;AA$1,JupData!$A$2:$A$10000&amp;JupData!$J$2:$J$10000,0),11))</f>
        <v/>
      </c>
      <c r="AB549" t="str">
        <f t="array" ref="AB549">IF($A549="","",INDEX(JupData!$A$2:$K$10000,MATCH($A549&amp;AB$1,JupData!$A$2:$A$10000&amp;JupData!$J$2:$J$10000,0),11))</f>
        <v/>
      </c>
      <c r="AC549" s="10" t="str">
        <f t="shared" si="88"/>
        <v/>
      </c>
      <c r="AD549" s="10" t="str">
        <f t="shared" si="89"/>
        <v/>
      </c>
      <c r="AE549" s="9" t="str">
        <f t="shared" si="90"/>
        <v/>
      </c>
      <c r="AF549" s="10" t="str">
        <f t="shared" si="91"/>
        <v/>
      </c>
      <c r="AG549" s="10" t="str">
        <f t="shared" si="92"/>
        <v/>
      </c>
      <c r="AH549" s="10" t="str">
        <f t="shared" si="93"/>
        <v/>
      </c>
      <c r="AI549" s="10" t="str">
        <f t="shared" si="94"/>
        <v/>
      </c>
      <c r="AJ549" s="10" t="str">
        <f t="shared" si="95"/>
        <v/>
      </c>
      <c r="AK549" s="10" t="str">
        <f t="shared" si="96"/>
        <v/>
      </c>
      <c r="AL549" s="14" t="str">
        <f t="shared" si="97"/>
        <v/>
      </c>
    </row>
    <row r="550" spans="1:38" x14ac:dyDescent="0.2">
      <c r="A550"/>
      <c r="B550" t="str">
        <f>IF($A550="","",VLOOKUP($A550,JupData!$A$2:$I$10000,4,FALSE))</f>
        <v/>
      </c>
      <c r="C550" s="7" t="str">
        <f>IF($A550="",IF(N(D550),0,""),VLOOKUP($A550,JupData!$A$2:$I$10000,7,FALSE))</f>
        <v/>
      </c>
      <c r="D550" t="str">
        <f t="shared" si="98"/>
        <v/>
      </c>
      <c r="E550" t="str">
        <f t="array" ref="E550">IF($A550="","",INDEX(JupData!$A$2:$K$10000,MATCH($A550&amp;E$1,JupData!$A$2:$A$10000&amp;JupData!$J$2:$J$10000,0),11))</f>
        <v/>
      </c>
      <c r="F550" t="str">
        <f t="array" ref="F550">IF($A550="","",INDEX(JupData!$A$2:$K$10000,MATCH($A550&amp;F$1,JupData!$A$2:$A$10000&amp;JupData!$J$2:$J$10000,0),11))</f>
        <v/>
      </c>
      <c r="G550" t="str">
        <f t="array" ref="G550">IF($A550="","",INDEX(JupData!$A$2:$K$10000,MATCH($A550&amp;G$1,JupData!$A$2:$A$10000&amp;JupData!$J$2:$J$10000,0),11))</f>
        <v/>
      </c>
      <c r="H550" t="str">
        <f t="array" ref="H550">IF($A550="","",INDEX(JupData!$A$2:$K$10000,MATCH($A550&amp;H$1,JupData!$A$2:$A$10000&amp;JupData!$J$2:$J$10000,0),11))</f>
        <v/>
      </c>
      <c r="I550" t="str">
        <f t="array" ref="I550">IF($A550="","",INDEX(JupData!$A$2:$K$10000,MATCH($A550&amp;I$1,JupData!$A$2:$A$10000&amp;JupData!$J$2:$J$10000,0),11))</f>
        <v/>
      </c>
      <c r="J550" t="str">
        <f t="array" ref="J550">IF($A550="","",INDEX(JupData!$A$2:$K$10000,MATCH($A550&amp;J$1,JupData!$A$2:$A$10000&amp;JupData!$J$2:$J$10000,0),11))</f>
        <v/>
      </c>
      <c r="K550" t="str">
        <f t="array" ref="K550">IF($A550="","",INDEX(JupData!$A$2:$K$10000,MATCH($A550&amp;K$1,JupData!$A$2:$A$10000&amp;JupData!$J$2:$J$10000,0),11))</f>
        <v/>
      </c>
      <c r="L550" t="str">
        <f t="array" ref="L550">IF($A550="","",INDEX(JupData!$A$2:$K$10000,MATCH($A550&amp;L$1,JupData!$A$2:$A$10000&amp;JupData!$J$2:$J$10000,0),11))</f>
        <v/>
      </c>
      <c r="M550" t="str">
        <f t="array" ref="M550">IF($A550="","",INDEX(JupData!$A$2:$K$10000,MATCH($A550&amp;M$1,JupData!$A$2:$A$10000&amp;JupData!$J$2:$J$10000,0),11))</f>
        <v/>
      </c>
      <c r="N550" t="str">
        <f t="array" ref="N550">IF($A550="","",INDEX(JupData!$A$2:$K$10000,MATCH($A550&amp;N$1,JupData!$A$2:$A$10000&amp;JupData!$J$2:$J$10000,0),11))</f>
        <v/>
      </c>
      <c r="O550" t="str">
        <f t="array" ref="O550">IF($A550="","",INDEX(JupData!$A$2:$K$10000,MATCH($A550&amp;O$1,JupData!$A$2:$A$10000&amp;JupData!$J$2:$J$10000,0),11))</f>
        <v/>
      </c>
      <c r="P550" t="str">
        <f t="array" ref="P550">IF($A550="","",INDEX(JupData!$A$2:$K$10000,MATCH($A550&amp;P$1,JupData!$A$2:$A$10000&amp;JupData!$J$2:$J$10000,0),11))</f>
        <v/>
      </c>
      <c r="Q550" t="str">
        <f t="array" ref="Q550">IF($A550="","",INDEX(JupData!$A$2:$K$10000,MATCH($A550&amp;Q$1,JupData!$A$2:$A$10000&amp;JupData!$J$2:$J$10000,0),11))</f>
        <v/>
      </c>
      <c r="R550" t="str">
        <f t="array" ref="R550">IF($A550="","",INDEX(JupData!$A$2:$K$10000,MATCH($A550&amp;R$1,JupData!$A$2:$A$10000&amp;JupData!$J$2:$J$10000,0),11))</f>
        <v/>
      </c>
      <c r="S550" t="str">
        <f t="array" ref="S550">IF($A550="","",INDEX(JupData!$A$2:$K$10000,MATCH($A550&amp;S$1,JupData!$A$2:$A$10000&amp;JupData!$J$2:$J$10000,0),11))</f>
        <v/>
      </c>
      <c r="T550" t="str">
        <f t="array" ref="T550">IF($A550="","",INDEX(JupData!$A$2:$K$10000,MATCH($A550&amp;T$1,JupData!$A$2:$A$10000&amp;JupData!$J$2:$J$10000,0),11))</f>
        <v/>
      </c>
      <c r="U550" t="str">
        <f t="array" ref="U550">IF($A550="","",INDEX(JupData!$A$2:$K$10000,MATCH($A550&amp;U$1,JupData!$A$2:$A$10000&amp;JupData!$J$2:$J$10000,0),11))</f>
        <v/>
      </c>
      <c r="V550" t="str">
        <f t="array" ref="V550">IF($A550="","",INDEX(JupData!$A$2:$K$10000,MATCH($A550&amp;V$1,JupData!$A$2:$A$10000&amp;JupData!$J$2:$J$10000,0),11))</f>
        <v/>
      </c>
      <c r="W550" t="str">
        <f t="array" ref="W550">IF($A550="","",INDEX(JupData!$A$2:$K$10000,MATCH($A550&amp;W$1,JupData!$A$2:$A$10000&amp;JupData!$J$2:$J$10000,0),11))</f>
        <v/>
      </c>
      <c r="X550" t="str">
        <f t="array" ref="X550">IF($A550="","",INDEX(JupData!$A$2:$K$10000,MATCH($A550&amp;X$1,JupData!$A$2:$A$10000&amp;JupData!$J$2:$J$10000,0),11))</f>
        <v/>
      </c>
      <c r="Y550" t="str">
        <f t="array" ref="Y550">IF($A550="","",INDEX(JupData!$A$2:$K$10000,MATCH($A550&amp;Y$1,JupData!$A$2:$A$10000&amp;JupData!$J$2:$J$10000,0),11))</f>
        <v/>
      </c>
      <c r="Z550" t="str">
        <f t="array" ref="Z550">IF($A550="","",INDEX(JupData!$A$2:$K$10000,MATCH($A550&amp;Z$1,JupData!$A$2:$A$10000&amp;JupData!$J$2:$J$10000,0),11))</f>
        <v/>
      </c>
      <c r="AA550" t="str">
        <f t="array" ref="AA550">IF($A550="","",INDEX(JupData!$A$2:$K$10000,MATCH($A550&amp;AA$1,JupData!$A$2:$A$10000&amp;JupData!$J$2:$J$10000,0),11))</f>
        <v/>
      </c>
      <c r="AB550" t="str">
        <f t="array" ref="AB550">IF($A550="","",INDEX(JupData!$A$2:$K$10000,MATCH($A550&amp;AB$1,JupData!$A$2:$A$10000&amp;JupData!$J$2:$J$10000,0),11))</f>
        <v/>
      </c>
      <c r="AC550" s="10" t="str">
        <f t="shared" si="88"/>
        <v/>
      </c>
      <c r="AD550" s="10" t="str">
        <f t="shared" si="89"/>
        <v/>
      </c>
      <c r="AE550" s="9" t="str">
        <f t="shared" si="90"/>
        <v/>
      </c>
      <c r="AF550" s="10" t="str">
        <f t="shared" si="91"/>
        <v/>
      </c>
      <c r="AG550" s="10" t="str">
        <f t="shared" si="92"/>
        <v/>
      </c>
      <c r="AH550" s="10" t="str">
        <f t="shared" si="93"/>
        <v/>
      </c>
      <c r="AI550" s="10" t="str">
        <f t="shared" si="94"/>
        <v/>
      </c>
      <c r="AJ550" s="10" t="str">
        <f t="shared" si="95"/>
        <v/>
      </c>
      <c r="AK550" s="10" t="str">
        <f t="shared" si="96"/>
        <v/>
      </c>
      <c r="AL550" s="14" t="str">
        <f t="shared" si="97"/>
        <v/>
      </c>
    </row>
    <row r="551" spans="1:38" x14ac:dyDescent="0.2">
      <c r="A551"/>
      <c r="B551" t="str">
        <f>IF($A551="","",VLOOKUP($A551,JupData!$A$2:$I$10000,4,FALSE))</f>
        <v/>
      </c>
      <c r="C551" s="7" t="str">
        <f>IF($A551="",IF(N(D551),0,""),VLOOKUP($A551,JupData!$A$2:$I$10000,7,FALSE))</f>
        <v/>
      </c>
      <c r="D551" t="str">
        <f t="shared" si="98"/>
        <v/>
      </c>
      <c r="E551" t="str">
        <f t="array" ref="E551">IF($A551="","",INDEX(JupData!$A$2:$K$10000,MATCH($A551&amp;E$1,JupData!$A$2:$A$10000&amp;JupData!$J$2:$J$10000,0),11))</f>
        <v/>
      </c>
      <c r="F551" t="str">
        <f t="array" ref="F551">IF($A551="","",INDEX(JupData!$A$2:$K$10000,MATCH($A551&amp;F$1,JupData!$A$2:$A$10000&amp;JupData!$J$2:$J$10000,0),11))</f>
        <v/>
      </c>
      <c r="G551" t="str">
        <f t="array" ref="G551">IF($A551="","",INDEX(JupData!$A$2:$K$10000,MATCH($A551&amp;G$1,JupData!$A$2:$A$10000&amp;JupData!$J$2:$J$10000,0),11))</f>
        <v/>
      </c>
      <c r="H551" t="str">
        <f t="array" ref="H551">IF($A551="","",INDEX(JupData!$A$2:$K$10000,MATCH($A551&amp;H$1,JupData!$A$2:$A$10000&amp;JupData!$J$2:$J$10000,0),11))</f>
        <v/>
      </c>
      <c r="I551" t="str">
        <f t="array" ref="I551">IF($A551="","",INDEX(JupData!$A$2:$K$10000,MATCH($A551&amp;I$1,JupData!$A$2:$A$10000&amp;JupData!$J$2:$J$10000,0),11))</f>
        <v/>
      </c>
      <c r="J551" t="str">
        <f t="array" ref="J551">IF($A551="","",INDEX(JupData!$A$2:$K$10000,MATCH($A551&amp;J$1,JupData!$A$2:$A$10000&amp;JupData!$J$2:$J$10000,0),11))</f>
        <v/>
      </c>
      <c r="K551" t="str">
        <f t="array" ref="K551">IF($A551="","",INDEX(JupData!$A$2:$K$10000,MATCH($A551&amp;K$1,JupData!$A$2:$A$10000&amp;JupData!$J$2:$J$10000,0),11))</f>
        <v/>
      </c>
      <c r="L551" t="str">
        <f t="array" ref="L551">IF($A551="","",INDEX(JupData!$A$2:$K$10000,MATCH($A551&amp;L$1,JupData!$A$2:$A$10000&amp;JupData!$J$2:$J$10000,0),11))</f>
        <v/>
      </c>
      <c r="M551" t="str">
        <f t="array" ref="M551">IF($A551="","",INDEX(JupData!$A$2:$K$10000,MATCH($A551&amp;M$1,JupData!$A$2:$A$10000&amp;JupData!$J$2:$J$10000,0),11))</f>
        <v/>
      </c>
      <c r="N551" t="str">
        <f t="array" ref="N551">IF($A551="","",INDEX(JupData!$A$2:$K$10000,MATCH($A551&amp;N$1,JupData!$A$2:$A$10000&amp;JupData!$J$2:$J$10000,0),11))</f>
        <v/>
      </c>
      <c r="O551" t="str">
        <f t="array" ref="O551">IF($A551="","",INDEX(JupData!$A$2:$K$10000,MATCH($A551&amp;O$1,JupData!$A$2:$A$10000&amp;JupData!$J$2:$J$10000,0),11))</f>
        <v/>
      </c>
      <c r="P551" t="str">
        <f t="array" ref="P551">IF($A551="","",INDEX(JupData!$A$2:$K$10000,MATCH($A551&amp;P$1,JupData!$A$2:$A$10000&amp;JupData!$J$2:$J$10000,0),11))</f>
        <v/>
      </c>
      <c r="Q551" t="str">
        <f t="array" ref="Q551">IF($A551="","",INDEX(JupData!$A$2:$K$10000,MATCH($A551&amp;Q$1,JupData!$A$2:$A$10000&amp;JupData!$J$2:$J$10000,0),11))</f>
        <v/>
      </c>
      <c r="R551" t="str">
        <f t="array" ref="R551">IF($A551="","",INDEX(JupData!$A$2:$K$10000,MATCH($A551&amp;R$1,JupData!$A$2:$A$10000&amp;JupData!$J$2:$J$10000,0),11))</f>
        <v/>
      </c>
      <c r="S551" t="str">
        <f t="array" ref="S551">IF($A551="","",INDEX(JupData!$A$2:$K$10000,MATCH($A551&amp;S$1,JupData!$A$2:$A$10000&amp;JupData!$J$2:$J$10000,0),11))</f>
        <v/>
      </c>
      <c r="T551" t="str">
        <f t="array" ref="T551">IF($A551="","",INDEX(JupData!$A$2:$K$10000,MATCH($A551&amp;T$1,JupData!$A$2:$A$10000&amp;JupData!$J$2:$J$10000,0),11))</f>
        <v/>
      </c>
      <c r="U551" t="str">
        <f t="array" ref="U551">IF($A551="","",INDEX(JupData!$A$2:$K$10000,MATCH($A551&amp;U$1,JupData!$A$2:$A$10000&amp;JupData!$J$2:$J$10000,0),11))</f>
        <v/>
      </c>
      <c r="V551" t="str">
        <f t="array" ref="V551">IF($A551="","",INDEX(JupData!$A$2:$K$10000,MATCH($A551&amp;V$1,JupData!$A$2:$A$10000&amp;JupData!$J$2:$J$10000,0),11))</f>
        <v/>
      </c>
      <c r="W551" t="str">
        <f t="array" ref="W551">IF($A551="","",INDEX(JupData!$A$2:$K$10000,MATCH($A551&amp;W$1,JupData!$A$2:$A$10000&amp;JupData!$J$2:$J$10000,0),11))</f>
        <v/>
      </c>
      <c r="X551" t="str">
        <f t="array" ref="X551">IF($A551="","",INDEX(JupData!$A$2:$K$10000,MATCH($A551&amp;X$1,JupData!$A$2:$A$10000&amp;JupData!$J$2:$J$10000,0),11))</f>
        <v/>
      </c>
      <c r="Y551" t="str">
        <f t="array" ref="Y551">IF($A551="","",INDEX(JupData!$A$2:$K$10000,MATCH($A551&amp;Y$1,JupData!$A$2:$A$10000&amp;JupData!$J$2:$J$10000,0),11))</f>
        <v/>
      </c>
      <c r="Z551" t="str">
        <f t="array" ref="Z551">IF($A551="","",INDEX(JupData!$A$2:$K$10000,MATCH($A551&amp;Z$1,JupData!$A$2:$A$10000&amp;JupData!$J$2:$J$10000,0),11))</f>
        <v/>
      </c>
      <c r="AA551" t="str">
        <f t="array" ref="AA551">IF($A551="","",INDEX(JupData!$A$2:$K$10000,MATCH($A551&amp;AA$1,JupData!$A$2:$A$10000&amp;JupData!$J$2:$J$10000,0),11))</f>
        <v/>
      </c>
      <c r="AB551" t="str">
        <f t="array" ref="AB551">IF($A551="","",INDEX(JupData!$A$2:$K$10000,MATCH($A551&amp;AB$1,JupData!$A$2:$A$10000&amp;JupData!$J$2:$J$10000,0),11))</f>
        <v/>
      </c>
      <c r="AC551" s="10" t="str">
        <f t="shared" si="88"/>
        <v/>
      </c>
      <c r="AD551" s="10" t="str">
        <f t="shared" si="89"/>
        <v/>
      </c>
      <c r="AE551" s="9" t="str">
        <f t="shared" si="90"/>
        <v/>
      </c>
      <c r="AF551" s="10" t="str">
        <f t="shared" si="91"/>
        <v/>
      </c>
      <c r="AG551" s="10" t="str">
        <f t="shared" si="92"/>
        <v/>
      </c>
      <c r="AH551" s="10" t="str">
        <f t="shared" si="93"/>
        <v/>
      </c>
      <c r="AI551" s="10" t="str">
        <f t="shared" si="94"/>
        <v/>
      </c>
      <c r="AJ551" s="10" t="str">
        <f t="shared" si="95"/>
        <v/>
      </c>
      <c r="AK551" s="10" t="str">
        <f t="shared" si="96"/>
        <v/>
      </c>
      <c r="AL551" s="14" t="str">
        <f t="shared" si="97"/>
        <v/>
      </c>
    </row>
    <row r="552" spans="1:38" x14ac:dyDescent="0.2">
      <c r="A552"/>
      <c r="B552" t="str">
        <f>IF($A552="","",VLOOKUP($A552,JupData!$A$2:$I$10000,4,FALSE))</f>
        <v/>
      </c>
      <c r="C552" s="7" t="str">
        <f>IF($A552="",IF(N(D552),0,""),VLOOKUP($A552,JupData!$A$2:$I$10000,7,FALSE))</f>
        <v/>
      </c>
      <c r="D552" t="str">
        <f t="shared" si="98"/>
        <v/>
      </c>
      <c r="E552" t="str">
        <f t="array" ref="E552">IF($A552="","",INDEX(JupData!$A$2:$K$10000,MATCH($A552&amp;E$1,JupData!$A$2:$A$10000&amp;JupData!$J$2:$J$10000,0),11))</f>
        <v/>
      </c>
      <c r="F552" t="str">
        <f t="array" ref="F552">IF($A552="","",INDEX(JupData!$A$2:$K$10000,MATCH($A552&amp;F$1,JupData!$A$2:$A$10000&amp;JupData!$J$2:$J$10000,0),11))</f>
        <v/>
      </c>
      <c r="G552" t="str">
        <f t="array" ref="G552">IF($A552="","",INDEX(JupData!$A$2:$K$10000,MATCH($A552&amp;G$1,JupData!$A$2:$A$10000&amp;JupData!$J$2:$J$10000,0),11))</f>
        <v/>
      </c>
      <c r="H552" t="str">
        <f t="array" ref="H552">IF($A552="","",INDEX(JupData!$A$2:$K$10000,MATCH($A552&amp;H$1,JupData!$A$2:$A$10000&amp;JupData!$J$2:$J$10000,0),11))</f>
        <v/>
      </c>
      <c r="I552" t="str">
        <f t="array" ref="I552">IF($A552="","",INDEX(JupData!$A$2:$K$10000,MATCH($A552&amp;I$1,JupData!$A$2:$A$10000&amp;JupData!$J$2:$J$10000,0),11))</f>
        <v/>
      </c>
      <c r="J552" t="str">
        <f t="array" ref="J552">IF($A552="","",INDEX(JupData!$A$2:$K$10000,MATCH($A552&amp;J$1,JupData!$A$2:$A$10000&amp;JupData!$J$2:$J$10000,0),11))</f>
        <v/>
      </c>
      <c r="K552" t="str">
        <f t="array" ref="K552">IF($A552="","",INDEX(JupData!$A$2:$K$10000,MATCH($A552&amp;K$1,JupData!$A$2:$A$10000&amp;JupData!$J$2:$J$10000,0),11))</f>
        <v/>
      </c>
      <c r="L552" t="str">
        <f t="array" ref="L552">IF($A552="","",INDEX(JupData!$A$2:$K$10000,MATCH($A552&amp;L$1,JupData!$A$2:$A$10000&amp;JupData!$J$2:$J$10000,0),11))</f>
        <v/>
      </c>
      <c r="M552" t="str">
        <f t="array" ref="M552">IF($A552="","",INDEX(JupData!$A$2:$K$10000,MATCH($A552&amp;M$1,JupData!$A$2:$A$10000&amp;JupData!$J$2:$J$10000,0),11))</f>
        <v/>
      </c>
      <c r="N552" t="str">
        <f t="array" ref="N552">IF($A552="","",INDEX(JupData!$A$2:$K$10000,MATCH($A552&amp;N$1,JupData!$A$2:$A$10000&amp;JupData!$J$2:$J$10000,0),11))</f>
        <v/>
      </c>
      <c r="O552" t="str">
        <f t="array" ref="O552">IF($A552="","",INDEX(JupData!$A$2:$K$10000,MATCH($A552&amp;O$1,JupData!$A$2:$A$10000&amp;JupData!$J$2:$J$10000,0),11))</f>
        <v/>
      </c>
      <c r="P552" t="str">
        <f t="array" ref="P552">IF($A552="","",INDEX(JupData!$A$2:$K$10000,MATCH($A552&amp;P$1,JupData!$A$2:$A$10000&amp;JupData!$J$2:$J$10000,0),11))</f>
        <v/>
      </c>
      <c r="Q552" t="str">
        <f t="array" ref="Q552">IF($A552="","",INDEX(JupData!$A$2:$K$10000,MATCH($A552&amp;Q$1,JupData!$A$2:$A$10000&amp;JupData!$J$2:$J$10000,0),11))</f>
        <v/>
      </c>
      <c r="R552" t="str">
        <f t="array" ref="R552">IF($A552="","",INDEX(JupData!$A$2:$K$10000,MATCH($A552&amp;R$1,JupData!$A$2:$A$10000&amp;JupData!$J$2:$J$10000,0),11))</f>
        <v/>
      </c>
      <c r="S552" t="str">
        <f t="array" ref="S552">IF($A552="","",INDEX(JupData!$A$2:$K$10000,MATCH($A552&amp;S$1,JupData!$A$2:$A$10000&amp;JupData!$J$2:$J$10000,0),11))</f>
        <v/>
      </c>
      <c r="T552" t="str">
        <f t="array" ref="T552">IF($A552="","",INDEX(JupData!$A$2:$K$10000,MATCH($A552&amp;T$1,JupData!$A$2:$A$10000&amp;JupData!$J$2:$J$10000,0),11))</f>
        <v/>
      </c>
      <c r="U552" t="str">
        <f t="array" ref="U552">IF($A552="","",INDEX(JupData!$A$2:$K$10000,MATCH($A552&amp;U$1,JupData!$A$2:$A$10000&amp;JupData!$J$2:$J$10000,0),11))</f>
        <v/>
      </c>
      <c r="V552" t="str">
        <f t="array" ref="V552">IF($A552="","",INDEX(JupData!$A$2:$K$10000,MATCH($A552&amp;V$1,JupData!$A$2:$A$10000&amp;JupData!$J$2:$J$10000,0),11))</f>
        <v/>
      </c>
      <c r="W552" t="str">
        <f t="array" ref="W552">IF($A552="","",INDEX(JupData!$A$2:$K$10000,MATCH($A552&amp;W$1,JupData!$A$2:$A$10000&amp;JupData!$J$2:$J$10000,0),11))</f>
        <v/>
      </c>
      <c r="X552" t="str">
        <f t="array" ref="X552">IF($A552="","",INDEX(JupData!$A$2:$K$10000,MATCH($A552&amp;X$1,JupData!$A$2:$A$10000&amp;JupData!$J$2:$J$10000,0),11))</f>
        <v/>
      </c>
      <c r="Y552" t="str">
        <f t="array" ref="Y552">IF($A552="","",INDEX(JupData!$A$2:$K$10000,MATCH($A552&amp;Y$1,JupData!$A$2:$A$10000&amp;JupData!$J$2:$J$10000,0),11))</f>
        <v/>
      </c>
      <c r="Z552" t="str">
        <f t="array" ref="Z552">IF($A552="","",INDEX(JupData!$A$2:$K$10000,MATCH($A552&amp;Z$1,JupData!$A$2:$A$10000&amp;JupData!$J$2:$J$10000,0),11))</f>
        <v/>
      </c>
      <c r="AA552" t="str">
        <f t="array" ref="AA552">IF($A552="","",INDEX(JupData!$A$2:$K$10000,MATCH($A552&amp;AA$1,JupData!$A$2:$A$10000&amp;JupData!$J$2:$J$10000,0),11))</f>
        <v/>
      </c>
      <c r="AB552" t="str">
        <f t="array" ref="AB552">IF($A552="","",INDEX(JupData!$A$2:$K$10000,MATCH($A552&amp;AB$1,JupData!$A$2:$A$10000&amp;JupData!$J$2:$J$10000,0),11))</f>
        <v/>
      </c>
      <c r="AC552" s="10" t="str">
        <f t="shared" si="88"/>
        <v/>
      </c>
      <c r="AD552" s="10" t="str">
        <f t="shared" si="89"/>
        <v/>
      </c>
      <c r="AE552" s="9" t="str">
        <f t="shared" si="90"/>
        <v/>
      </c>
      <c r="AF552" s="10" t="str">
        <f t="shared" si="91"/>
        <v/>
      </c>
      <c r="AG552" s="10" t="str">
        <f t="shared" si="92"/>
        <v/>
      </c>
      <c r="AH552" s="10" t="str">
        <f t="shared" si="93"/>
        <v/>
      </c>
      <c r="AI552" s="10" t="str">
        <f t="shared" si="94"/>
        <v/>
      </c>
      <c r="AJ552" s="10" t="str">
        <f t="shared" si="95"/>
        <v/>
      </c>
      <c r="AK552" s="10" t="str">
        <f t="shared" si="96"/>
        <v/>
      </c>
      <c r="AL552" s="14" t="str">
        <f t="shared" si="97"/>
        <v/>
      </c>
    </row>
    <row r="553" spans="1:38" x14ac:dyDescent="0.2">
      <c r="A553"/>
      <c r="B553" t="str">
        <f>IF($A553="","",VLOOKUP($A553,JupData!$A$2:$I$10000,4,FALSE))</f>
        <v/>
      </c>
      <c r="C553" s="7" t="str">
        <f>IF($A553="",IF(N(D553),0,""),VLOOKUP($A553,JupData!$A$2:$I$10000,7,FALSE))</f>
        <v/>
      </c>
      <c r="D553" t="str">
        <f t="shared" si="98"/>
        <v/>
      </c>
      <c r="E553" t="str">
        <f t="array" ref="E553">IF($A553="","",INDEX(JupData!$A$2:$K$10000,MATCH($A553&amp;E$1,JupData!$A$2:$A$10000&amp;JupData!$J$2:$J$10000,0),11))</f>
        <v/>
      </c>
      <c r="F553" t="str">
        <f t="array" ref="F553">IF($A553="","",INDEX(JupData!$A$2:$K$10000,MATCH($A553&amp;F$1,JupData!$A$2:$A$10000&amp;JupData!$J$2:$J$10000,0),11))</f>
        <v/>
      </c>
      <c r="G553" t="str">
        <f t="array" ref="G553">IF($A553="","",INDEX(JupData!$A$2:$K$10000,MATCH($A553&amp;G$1,JupData!$A$2:$A$10000&amp;JupData!$J$2:$J$10000,0),11))</f>
        <v/>
      </c>
      <c r="H553" t="str">
        <f t="array" ref="H553">IF($A553="","",INDEX(JupData!$A$2:$K$10000,MATCH($A553&amp;H$1,JupData!$A$2:$A$10000&amp;JupData!$J$2:$J$10000,0),11))</f>
        <v/>
      </c>
      <c r="I553" t="str">
        <f t="array" ref="I553">IF($A553="","",INDEX(JupData!$A$2:$K$10000,MATCH($A553&amp;I$1,JupData!$A$2:$A$10000&amp;JupData!$J$2:$J$10000,0),11))</f>
        <v/>
      </c>
      <c r="J553" t="str">
        <f t="array" ref="J553">IF($A553="","",INDEX(JupData!$A$2:$K$10000,MATCH($A553&amp;J$1,JupData!$A$2:$A$10000&amp;JupData!$J$2:$J$10000,0),11))</f>
        <v/>
      </c>
      <c r="K553" t="str">
        <f t="array" ref="K553">IF($A553="","",INDEX(JupData!$A$2:$K$10000,MATCH($A553&amp;K$1,JupData!$A$2:$A$10000&amp;JupData!$J$2:$J$10000,0),11))</f>
        <v/>
      </c>
      <c r="L553" t="str">
        <f t="array" ref="L553">IF($A553="","",INDEX(JupData!$A$2:$K$10000,MATCH($A553&amp;L$1,JupData!$A$2:$A$10000&amp;JupData!$J$2:$J$10000,0),11))</f>
        <v/>
      </c>
      <c r="M553" t="str">
        <f t="array" ref="M553">IF($A553="","",INDEX(JupData!$A$2:$K$10000,MATCH($A553&amp;M$1,JupData!$A$2:$A$10000&amp;JupData!$J$2:$J$10000,0),11))</f>
        <v/>
      </c>
      <c r="N553" t="str">
        <f t="array" ref="N553">IF($A553="","",INDEX(JupData!$A$2:$K$10000,MATCH($A553&amp;N$1,JupData!$A$2:$A$10000&amp;JupData!$J$2:$J$10000,0),11))</f>
        <v/>
      </c>
      <c r="O553" t="str">
        <f t="array" ref="O553">IF($A553="","",INDEX(JupData!$A$2:$K$10000,MATCH($A553&amp;O$1,JupData!$A$2:$A$10000&amp;JupData!$J$2:$J$10000,0),11))</f>
        <v/>
      </c>
      <c r="P553" t="str">
        <f t="array" ref="P553">IF($A553="","",INDEX(JupData!$A$2:$K$10000,MATCH($A553&amp;P$1,JupData!$A$2:$A$10000&amp;JupData!$J$2:$J$10000,0),11))</f>
        <v/>
      </c>
      <c r="Q553" t="str">
        <f t="array" ref="Q553">IF($A553="","",INDEX(JupData!$A$2:$K$10000,MATCH($A553&amp;Q$1,JupData!$A$2:$A$10000&amp;JupData!$J$2:$J$10000,0),11))</f>
        <v/>
      </c>
      <c r="R553" t="str">
        <f t="array" ref="R553">IF($A553="","",INDEX(JupData!$A$2:$K$10000,MATCH($A553&amp;R$1,JupData!$A$2:$A$10000&amp;JupData!$J$2:$J$10000,0),11))</f>
        <v/>
      </c>
      <c r="S553" t="str">
        <f t="array" ref="S553">IF($A553="","",INDEX(JupData!$A$2:$K$10000,MATCH($A553&amp;S$1,JupData!$A$2:$A$10000&amp;JupData!$J$2:$J$10000,0),11))</f>
        <v/>
      </c>
      <c r="T553" t="str">
        <f t="array" ref="T553">IF($A553="","",INDEX(JupData!$A$2:$K$10000,MATCH($A553&amp;T$1,JupData!$A$2:$A$10000&amp;JupData!$J$2:$J$10000,0),11))</f>
        <v/>
      </c>
      <c r="U553" t="str">
        <f t="array" ref="U553">IF($A553="","",INDEX(JupData!$A$2:$K$10000,MATCH($A553&amp;U$1,JupData!$A$2:$A$10000&amp;JupData!$J$2:$J$10000,0),11))</f>
        <v/>
      </c>
      <c r="V553" t="str">
        <f t="array" ref="V553">IF($A553="","",INDEX(JupData!$A$2:$K$10000,MATCH($A553&amp;V$1,JupData!$A$2:$A$10000&amp;JupData!$J$2:$J$10000,0),11))</f>
        <v/>
      </c>
      <c r="W553" t="str">
        <f t="array" ref="W553">IF($A553="","",INDEX(JupData!$A$2:$K$10000,MATCH($A553&amp;W$1,JupData!$A$2:$A$10000&amp;JupData!$J$2:$J$10000,0),11))</f>
        <v/>
      </c>
      <c r="X553" t="str">
        <f t="array" ref="X553">IF($A553="","",INDEX(JupData!$A$2:$K$10000,MATCH($A553&amp;X$1,JupData!$A$2:$A$10000&amp;JupData!$J$2:$J$10000,0),11))</f>
        <v/>
      </c>
      <c r="Y553" t="str">
        <f t="array" ref="Y553">IF($A553="","",INDEX(JupData!$A$2:$K$10000,MATCH($A553&amp;Y$1,JupData!$A$2:$A$10000&amp;JupData!$J$2:$J$10000,0),11))</f>
        <v/>
      </c>
      <c r="Z553" t="str">
        <f t="array" ref="Z553">IF($A553="","",INDEX(JupData!$A$2:$K$10000,MATCH($A553&amp;Z$1,JupData!$A$2:$A$10000&amp;JupData!$J$2:$J$10000,0),11))</f>
        <v/>
      </c>
      <c r="AA553" t="str">
        <f t="array" ref="AA553">IF($A553="","",INDEX(JupData!$A$2:$K$10000,MATCH($A553&amp;AA$1,JupData!$A$2:$A$10000&amp;JupData!$J$2:$J$10000,0),11))</f>
        <v/>
      </c>
      <c r="AB553" t="str">
        <f t="array" ref="AB553">IF($A553="","",INDEX(JupData!$A$2:$K$10000,MATCH($A553&amp;AB$1,JupData!$A$2:$A$10000&amp;JupData!$J$2:$J$10000,0),11))</f>
        <v/>
      </c>
      <c r="AC553" s="10" t="str">
        <f t="shared" si="88"/>
        <v/>
      </c>
      <c r="AD553" s="10" t="str">
        <f t="shared" si="89"/>
        <v/>
      </c>
      <c r="AE553" s="9" t="str">
        <f t="shared" si="90"/>
        <v/>
      </c>
      <c r="AF553" s="10" t="str">
        <f t="shared" si="91"/>
        <v/>
      </c>
      <c r="AG553" s="10" t="str">
        <f t="shared" si="92"/>
        <v/>
      </c>
      <c r="AH553" s="10" t="str">
        <f t="shared" si="93"/>
        <v/>
      </c>
      <c r="AI553" s="10" t="str">
        <f t="shared" si="94"/>
        <v/>
      </c>
      <c r="AJ553" s="10" t="str">
        <f t="shared" si="95"/>
        <v/>
      </c>
      <c r="AK553" s="10" t="str">
        <f t="shared" si="96"/>
        <v/>
      </c>
      <c r="AL553" s="14" t="str">
        <f t="shared" si="97"/>
        <v/>
      </c>
    </row>
    <row r="554" spans="1:38" x14ac:dyDescent="0.2">
      <c r="A554"/>
      <c r="B554" t="str">
        <f>IF($A554="","",VLOOKUP($A554,JupData!$A$2:$I$10000,4,FALSE))</f>
        <v/>
      </c>
      <c r="C554" s="7" t="str">
        <f>IF($A554="",IF(N(D554),0,""),VLOOKUP($A554,JupData!$A$2:$I$10000,7,FALSE))</f>
        <v/>
      </c>
      <c r="D554" t="str">
        <f t="shared" si="98"/>
        <v/>
      </c>
      <c r="E554" t="str">
        <f t="array" ref="E554">IF($A554="","",INDEX(JupData!$A$2:$K$10000,MATCH($A554&amp;E$1,JupData!$A$2:$A$10000&amp;JupData!$J$2:$J$10000,0),11))</f>
        <v/>
      </c>
      <c r="F554" t="str">
        <f t="array" ref="F554">IF($A554="","",INDEX(JupData!$A$2:$K$10000,MATCH($A554&amp;F$1,JupData!$A$2:$A$10000&amp;JupData!$J$2:$J$10000,0),11))</f>
        <v/>
      </c>
      <c r="G554" t="str">
        <f t="array" ref="G554">IF($A554="","",INDEX(JupData!$A$2:$K$10000,MATCH($A554&amp;G$1,JupData!$A$2:$A$10000&amp;JupData!$J$2:$J$10000,0),11))</f>
        <v/>
      </c>
      <c r="H554" t="str">
        <f t="array" ref="H554">IF($A554="","",INDEX(JupData!$A$2:$K$10000,MATCH($A554&amp;H$1,JupData!$A$2:$A$10000&amp;JupData!$J$2:$J$10000,0),11))</f>
        <v/>
      </c>
      <c r="I554" t="str">
        <f t="array" ref="I554">IF($A554="","",INDEX(JupData!$A$2:$K$10000,MATCH($A554&amp;I$1,JupData!$A$2:$A$10000&amp;JupData!$J$2:$J$10000,0),11))</f>
        <v/>
      </c>
      <c r="J554" t="str">
        <f t="array" ref="J554">IF($A554="","",INDEX(JupData!$A$2:$K$10000,MATCH($A554&amp;J$1,JupData!$A$2:$A$10000&amp;JupData!$J$2:$J$10000,0),11))</f>
        <v/>
      </c>
      <c r="K554" t="str">
        <f t="array" ref="K554">IF($A554="","",INDEX(JupData!$A$2:$K$10000,MATCH($A554&amp;K$1,JupData!$A$2:$A$10000&amp;JupData!$J$2:$J$10000,0),11))</f>
        <v/>
      </c>
      <c r="L554" t="str">
        <f t="array" ref="L554">IF($A554="","",INDEX(JupData!$A$2:$K$10000,MATCH($A554&amp;L$1,JupData!$A$2:$A$10000&amp;JupData!$J$2:$J$10000,0),11))</f>
        <v/>
      </c>
      <c r="M554" t="str">
        <f t="array" ref="M554">IF($A554="","",INDEX(JupData!$A$2:$K$10000,MATCH($A554&amp;M$1,JupData!$A$2:$A$10000&amp;JupData!$J$2:$J$10000,0),11))</f>
        <v/>
      </c>
      <c r="N554" t="str">
        <f t="array" ref="N554">IF($A554="","",INDEX(JupData!$A$2:$K$10000,MATCH($A554&amp;N$1,JupData!$A$2:$A$10000&amp;JupData!$J$2:$J$10000,0),11))</f>
        <v/>
      </c>
      <c r="O554" t="str">
        <f t="array" ref="O554">IF($A554="","",INDEX(JupData!$A$2:$K$10000,MATCH($A554&amp;O$1,JupData!$A$2:$A$10000&amp;JupData!$J$2:$J$10000,0),11))</f>
        <v/>
      </c>
      <c r="P554" t="str">
        <f t="array" ref="P554">IF($A554="","",INDEX(JupData!$A$2:$K$10000,MATCH($A554&amp;P$1,JupData!$A$2:$A$10000&amp;JupData!$J$2:$J$10000,0),11))</f>
        <v/>
      </c>
      <c r="Q554" t="str">
        <f t="array" ref="Q554">IF($A554="","",INDEX(JupData!$A$2:$K$10000,MATCH($A554&amp;Q$1,JupData!$A$2:$A$10000&amp;JupData!$J$2:$J$10000,0),11))</f>
        <v/>
      </c>
      <c r="R554" t="str">
        <f t="array" ref="R554">IF($A554="","",INDEX(JupData!$A$2:$K$10000,MATCH($A554&amp;R$1,JupData!$A$2:$A$10000&amp;JupData!$J$2:$J$10000,0),11))</f>
        <v/>
      </c>
      <c r="S554" t="str">
        <f t="array" ref="S554">IF($A554="","",INDEX(JupData!$A$2:$K$10000,MATCH($A554&amp;S$1,JupData!$A$2:$A$10000&amp;JupData!$J$2:$J$10000,0),11))</f>
        <v/>
      </c>
      <c r="T554" t="str">
        <f t="array" ref="T554">IF($A554="","",INDEX(JupData!$A$2:$K$10000,MATCH($A554&amp;T$1,JupData!$A$2:$A$10000&amp;JupData!$J$2:$J$10000,0),11))</f>
        <v/>
      </c>
      <c r="U554" t="str">
        <f t="array" ref="U554">IF($A554="","",INDEX(JupData!$A$2:$K$10000,MATCH($A554&amp;U$1,JupData!$A$2:$A$10000&amp;JupData!$J$2:$J$10000,0),11))</f>
        <v/>
      </c>
      <c r="V554" t="str">
        <f t="array" ref="V554">IF($A554="","",INDEX(JupData!$A$2:$K$10000,MATCH($A554&amp;V$1,JupData!$A$2:$A$10000&amp;JupData!$J$2:$J$10000,0),11))</f>
        <v/>
      </c>
      <c r="W554" t="str">
        <f t="array" ref="W554">IF($A554="","",INDEX(JupData!$A$2:$K$10000,MATCH($A554&amp;W$1,JupData!$A$2:$A$10000&amp;JupData!$J$2:$J$10000,0),11))</f>
        <v/>
      </c>
      <c r="X554" t="str">
        <f t="array" ref="X554">IF($A554="","",INDEX(JupData!$A$2:$K$10000,MATCH($A554&amp;X$1,JupData!$A$2:$A$10000&amp;JupData!$J$2:$J$10000,0),11))</f>
        <v/>
      </c>
      <c r="Y554" t="str">
        <f t="array" ref="Y554">IF($A554="","",INDEX(JupData!$A$2:$K$10000,MATCH($A554&amp;Y$1,JupData!$A$2:$A$10000&amp;JupData!$J$2:$J$10000,0),11))</f>
        <v/>
      </c>
      <c r="Z554" t="str">
        <f t="array" ref="Z554">IF($A554="","",INDEX(JupData!$A$2:$K$10000,MATCH($A554&amp;Z$1,JupData!$A$2:$A$10000&amp;JupData!$J$2:$J$10000,0),11))</f>
        <v/>
      </c>
      <c r="AA554" t="str">
        <f t="array" ref="AA554">IF($A554="","",INDEX(JupData!$A$2:$K$10000,MATCH($A554&amp;AA$1,JupData!$A$2:$A$10000&amp;JupData!$J$2:$J$10000,0),11))</f>
        <v/>
      </c>
      <c r="AB554" t="str">
        <f t="array" ref="AB554">IF($A554="","",INDEX(JupData!$A$2:$K$10000,MATCH($A554&amp;AB$1,JupData!$A$2:$A$10000&amp;JupData!$J$2:$J$10000,0),11))</f>
        <v/>
      </c>
      <c r="AC554" s="10" t="str">
        <f t="shared" si="88"/>
        <v/>
      </c>
      <c r="AD554" s="10" t="str">
        <f t="shared" si="89"/>
        <v/>
      </c>
      <c r="AE554" s="9" t="str">
        <f t="shared" si="90"/>
        <v/>
      </c>
      <c r="AF554" s="10" t="str">
        <f t="shared" si="91"/>
        <v/>
      </c>
      <c r="AG554" s="10" t="str">
        <f t="shared" si="92"/>
        <v/>
      </c>
      <c r="AH554" s="10" t="str">
        <f t="shared" si="93"/>
        <v/>
      </c>
      <c r="AI554" s="10" t="str">
        <f t="shared" si="94"/>
        <v/>
      </c>
      <c r="AJ554" s="10" t="str">
        <f t="shared" si="95"/>
        <v/>
      </c>
      <c r="AK554" s="10" t="str">
        <f t="shared" si="96"/>
        <v/>
      </c>
      <c r="AL554" s="14" t="str">
        <f t="shared" si="97"/>
        <v/>
      </c>
    </row>
    <row r="555" spans="1:38" x14ac:dyDescent="0.2">
      <c r="A555"/>
      <c r="B555" t="str">
        <f>IF($A555="","",VLOOKUP($A555,JupData!$A$2:$I$10000,4,FALSE))</f>
        <v/>
      </c>
      <c r="C555" s="7" t="str">
        <f>IF($A555="",IF(N(D555),0,""),VLOOKUP($A555,JupData!$A$2:$I$10000,7,FALSE))</f>
        <v/>
      </c>
      <c r="D555" t="str">
        <f t="shared" si="98"/>
        <v/>
      </c>
      <c r="E555" t="str">
        <f t="array" ref="E555">IF($A555="","",INDEX(JupData!$A$2:$K$10000,MATCH($A555&amp;E$1,JupData!$A$2:$A$10000&amp;JupData!$J$2:$J$10000,0),11))</f>
        <v/>
      </c>
      <c r="F555" t="str">
        <f t="array" ref="F555">IF($A555="","",INDEX(JupData!$A$2:$K$10000,MATCH($A555&amp;F$1,JupData!$A$2:$A$10000&amp;JupData!$J$2:$J$10000,0),11))</f>
        <v/>
      </c>
      <c r="G555" t="str">
        <f t="array" ref="G555">IF($A555="","",INDEX(JupData!$A$2:$K$10000,MATCH($A555&amp;G$1,JupData!$A$2:$A$10000&amp;JupData!$J$2:$J$10000,0),11))</f>
        <v/>
      </c>
      <c r="H555" t="str">
        <f t="array" ref="H555">IF($A555="","",INDEX(JupData!$A$2:$K$10000,MATCH($A555&amp;H$1,JupData!$A$2:$A$10000&amp;JupData!$J$2:$J$10000,0),11))</f>
        <v/>
      </c>
      <c r="I555" t="str">
        <f t="array" ref="I555">IF($A555="","",INDEX(JupData!$A$2:$K$10000,MATCH($A555&amp;I$1,JupData!$A$2:$A$10000&amp;JupData!$J$2:$J$10000,0),11))</f>
        <v/>
      </c>
      <c r="J555" t="str">
        <f t="array" ref="J555">IF($A555="","",INDEX(JupData!$A$2:$K$10000,MATCH($A555&amp;J$1,JupData!$A$2:$A$10000&amp;JupData!$J$2:$J$10000,0),11))</f>
        <v/>
      </c>
      <c r="K555" t="str">
        <f t="array" ref="K555">IF($A555="","",INDEX(JupData!$A$2:$K$10000,MATCH($A555&amp;K$1,JupData!$A$2:$A$10000&amp;JupData!$J$2:$J$10000,0),11))</f>
        <v/>
      </c>
      <c r="L555" t="str">
        <f t="array" ref="L555">IF($A555="","",INDEX(JupData!$A$2:$K$10000,MATCH($A555&amp;L$1,JupData!$A$2:$A$10000&amp;JupData!$J$2:$J$10000,0),11))</f>
        <v/>
      </c>
      <c r="M555" t="str">
        <f t="array" ref="M555">IF($A555="","",INDEX(JupData!$A$2:$K$10000,MATCH($A555&amp;M$1,JupData!$A$2:$A$10000&amp;JupData!$J$2:$J$10000,0),11))</f>
        <v/>
      </c>
      <c r="N555" t="str">
        <f t="array" ref="N555">IF($A555="","",INDEX(JupData!$A$2:$K$10000,MATCH($A555&amp;N$1,JupData!$A$2:$A$10000&amp;JupData!$J$2:$J$10000,0),11))</f>
        <v/>
      </c>
      <c r="O555" t="str">
        <f t="array" ref="O555">IF($A555="","",INDEX(JupData!$A$2:$K$10000,MATCH($A555&amp;O$1,JupData!$A$2:$A$10000&amp;JupData!$J$2:$J$10000,0),11))</f>
        <v/>
      </c>
      <c r="P555" t="str">
        <f t="array" ref="P555">IF($A555="","",INDEX(JupData!$A$2:$K$10000,MATCH($A555&amp;P$1,JupData!$A$2:$A$10000&amp;JupData!$J$2:$J$10000,0),11))</f>
        <v/>
      </c>
      <c r="Q555" t="str">
        <f t="array" ref="Q555">IF($A555="","",INDEX(JupData!$A$2:$K$10000,MATCH($A555&amp;Q$1,JupData!$A$2:$A$10000&amp;JupData!$J$2:$J$10000,0),11))</f>
        <v/>
      </c>
      <c r="R555" t="str">
        <f t="array" ref="R555">IF($A555="","",INDEX(JupData!$A$2:$K$10000,MATCH($A555&amp;R$1,JupData!$A$2:$A$10000&amp;JupData!$J$2:$J$10000,0),11))</f>
        <v/>
      </c>
      <c r="S555" t="str">
        <f t="array" ref="S555">IF($A555="","",INDEX(JupData!$A$2:$K$10000,MATCH($A555&amp;S$1,JupData!$A$2:$A$10000&amp;JupData!$J$2:$J$10000,0),11))</f>
        <v/>
      </c>
      <c r="T555" t="str">
        <f t="array" ref="T555">IF($A555="","",INDEX(JupData!$A$2:$K$10000,MATCH($A555&amp;T$1,JupData!$A$2:$A$10000&amp;JupData!$J$2:$J$10000,0),11))</f>
        <v/>
      </c>
      <c r="U555" t="str">
        <f t="array" ref="U555">IF($A555="","",INDEX(JupData!$A$2:$K$10000,MATCH($A555&amp;U$1,JupData!$A$2:$A$10000&amp;JupData!$J$2:$J$10000,0),11))</f>
        <v/>
      </c>
      <c r="V555" t="str">
        <f t="array" ref="V555">IF($A555="","",INDEX(JupData!$A$2:$K$10000,MATCH($A555&amp;V$1,JupData!$A$2:$A$10000&amp;JupData!$J$2:$J$10000,0),11))</f>
        <v/>
      </c>
      <c r="W555" t="str">
        <f t="array" ref="W555">IF($A555="","",INDEX(JupData!$A$2:$K$10000,MATCH($A555&amp;W$1,JupData!$A$2:$A$10000&amp;JupData!$J$2:$J$10000,0),11))</f>
        <v/>
      </c>
      <c r="X555" t="str">
        <f t="array" ref="X555">IF($A555="","",INDEX(JupData!$A$2:$K$10000,MATCH($A555&amp;X$1,JupData!$A$2:$A$10000&amp;JupData!$J$2:$J$10000,0),11))</f>
        <v/>
      </c>
      <c r="Y555" t="str">
        <f t="array" ref="Y555">IF($A555="","",INDEX(JupData!$A$2:$K$10000,MATCH($A555&amp;Y$1,JupData!$A$2:$A$10000&amp;JupData!$J$2:$J$10000,0),11))</f>
        <v/>
      </c>
      <c r="Z555" t="str">
        <f t="array" ref="Z555">IF($A555="","",INDEX(JupData!$A$2:$K$10000,MATCH($A555&amp;Z$1,JupData!$A$2:$A$10000&amp;JupData!$J$2:$J$10000,0),11))</f>
        <v/>
      </c>
      <c r="AA555" t="str">
        <f t="array" ref="AA555">IF($A555="","",INDEX(JupData!$A$2:$K$10000,MATCH($A555&amp;AA$1,JupData!$A$2:$A$10000&amp;JupData!$J$2:$J$10000,0),11))</f>
        <v/>
      </c>
      <c r="AB555" t="str">
        <f t="array" ref="AB555">IF($A555="","",INDEX(JupData!$A$2:$K$10000,MATCH($A555&amp;AB$1,JupData!$A$2:$A$10000&amp;JupData!$J$2:$J$10000,0),11))</f>
        <v/>
      </c>
      <c r="AC555" s="10" t="str">
        <f t="shared" si="88"/>
        <v/>
      </c>
      <c r="AD555" s="10" t="str">
        <f t="shared" si="89"/>
        <v/>
      </c>
      <c r="AE555" s="9" t="str">
        <f t="shared" si="90"/>
        <v/>
      </c>
      <c r="AF555" s="10" t="str">
        <f t="shared" si="91"/>
        <v/>
      </c>
      <c r="AG555" s="10" t="str">
        <f t="shared" si="92"/>
        <v/>
      </c>
      <c r="AH555" s="10" t="str">
        <f t="shared" si="93"/>
        <v/>
      </c>
      <c r="AI555" s="10" t="str">
        <f t="shared" si="94"/>
        <v/>
      </c>
      <c r="AJ555" s="10" t="str">
        <f t="shared" si="95"/>
        <v/>
      </c>
      <c r="AK555" s="10" t="str">
        <f t="shared" si="96"/>
        <v/>
      </c>
      <c r="AL555" s="14" t="str">
        <f t="shared" si="97"/>
        <v/>
      </c>
    </row>
    <row r="556" spans="1:38" x14ac:dyDescent="0.2">
      <c r="A556"/>
      <c r="B556" t="str">
        <f>IF($A556="","",VLOOKUP($A556,JupData!$A$2:$I$10000,4,FALSE))</f>
        <v/>
      </c>
      <c r="C556" s="7" t="str">
        <f>IF($A556="",IF(N(D556),0,""),VLOOKUP($A556,JupData!$A$2:$I$10000,7,FALSE))</f>
        <v/>
      </c>
      <c r="D556" t="str">
        <f t="shared" si="98"/>
        <v/>
      </c>
      <c r="E556" t="str">
        <f t="array" ref="E556">IF($A556="","",INDEX(JupData!$A$2:$K$10000,MATCH($A556&amp;E$1,JupData!$A$2:$A$10000&amp;JupData!$J$2:$J$10000,0),11))</f>
        <v/>
      </c>
      <c r="F556" t="str">
        <f t="array" ref="F556">IF($A556="","",INDEX(JupData!$A$2:$K$10000,MATCH($A556&amp;F$1,JupData!$A$2:$A$10000&amp;JupData!$J$2:$J$10000,0),11))</f>
        <v/>
      </c>
      <c r="G556" t="str">
        <f t="array" ref="G556">IF($A556="","",INDEX(JupData!$A$2:$K$10000,MATCH($A556&amp;G$1,JupData!$A$2:$A$10000&amp;JupData!$J$2:$J$10000,0),11))</f>
        <v/>
      </c>
      <c r="H556" t="str">
        <f t="array" ref="H556">IF($A556="","",INDEX(JupData!$A$2:$K$10000,MATCH($A556&amp;H$1,JupData!$A$2:$A$10000&amp;JupData!$J$2:$J$10000,0),11))</f>
        <v/>
      </c>
      <c r="I556" t="str">
        <f t="array" ref="I556">IF($A556="","",INDEX(JupData!$A$2:$K$10000,MATCH($A556&amp;I$1,JupData!$A$2:$A$10000&amp;JupData!$J$2:$J$10000,0),11))</f>
        <v/>
      </c>
      <c r="J556" t="str">
        <f t="array" ref="J556">IF($A556="","",INDEX(JupData!$A$2:$K$10000,MATCH($A556&amp;J$1,JupData!$A$2:$A$10000&amp;JupData!$J$2:$J$10000,0),11))</f>
        <v/>
      </c>
      <c r="K556" t="str">
        <f t="array" ref="K556">IF($A556="","",INDEX(JupData!$A$2:$K$10000,MATCH($A556&amp;K$1,JupData!$A$2:$A$10000&amp;JupData!$J$2:$J$10000,0),11))</f>
        <v/>
      </c>
      <c r="L556" t="str">
        <f t="array" ref="L556">IF($A556="","",INDEX(JupData!$A$2:$K$10000,MATCH($A556&amp;L$1,JupData!$A$2:$A$10000&amp;JupData!$J$2:$J$10000,0),11))</f>
        <v/>
      </c>
      <c r="M556" t="str">
        <f t="array" ref="M556">IF($A556="","",INDEX(JupData!$A$2:$K$10000,MATCH($A556&amp;M$1,JupData!$A$2:$A$10000&amp;JupData!$J$2:$J$10000,0),11))</f>
        <v/>
      </c>
      <c r="N556" t="str">
        <f t="array" ref="N556">IF($A556="","",INDEX(JupData!$A$2:$K$10000,MATCH($A556&amp;N$1,JupData!$A$2:$A$10000&amp;JupData!$J$2:$J$10000,0),11))</f>
        <v/>
      </c>
      <c r="O556" t="str">
        <f t="array" ref="O556">IF($A556="","",INDEX(JupData!$A$2:$K$10000,MATCH($A556&amp;O$1,JupData!$A$2:$A$10000&amp;JupData!$J$2:$J$10000,0),11))</f>
        <v/>
      </c>
      <c r="P556" t="str">
        <f t="array" ref="P556">IF($A556="","",INDEX(JupData!$A$2:$K$10000,MATCH($A556&amp;P$1,JupData!$A$2:$A$10000&amp;JupData!$J$2:$J$10000,0),11))</f>
        <v/>
      </c>
      <c r="Q556" t="str">
        <f t="array" ref="Q556">IF($A556="","",INDEX(JupData!$A$2:$K$10000,MATCH($A556&amp;Q$1,JupData!$A$2:$A$10000&amp;JupData!$J$2:$J$10000,0),11))</f>
        <v/>
      </c>
      <c r="R556" t="str">
        <f t="array" ref="R556">IF($A556="","",INDEX(JupData!$A$2:$K$10000,MATCH($A556&amp;R$1,JupData!$A$2:$A$10000&amp;JupData!$J$2:$J$10000,0),11))</f>
        <v/>
      </c>
      <c r="S556" t="str">
        <f t="array" ref="S556">IF($A556="","",INDEX(JupData!$A$2:$K$10000,MATCH($A556&amp;S$1,JupData!$A$2:$A$10000&amp;JupData!$J$2:$J$10000,0),11))</f>
        <v/>
      </c>
      <c r="T556" t="str">
        <f t="array" ref="T556">IF($A556="","",INDEX(JupData!$A$2:$K$10000,MATCH($A556&amp;T$1,JupData!$A$2:$A$10000&amp;JupData!$J$2:$J$10000,0),11))</f>
        <v/>
      </c>
      <c r="U556" t="str">
        <f t="array" ref="U556">IF($A556="","",INDEX(JupData!$A$2:$K$10000,MATCH($A556&amp;U$1,JupData!$A$2:$A$10000&amp;JupData!$J$2:$J$10000,0),11))</f>
        <v/>
      </c>
      <c r="V556" t="str">
        <f t="array" ref="V556">IF($A556="","",INDEX(JupData!$A$2:$K$10000,MATCH($A556&amp;V$1,JupData!$A$2:$A$10000&amp;JupData!$J$2:$J$10000,0),11))</f>
        <v/>
      </c>
      <c r="W556" t="str">
        <f t="array" ref="W556">IF($A556="","",INDEX(JupData!$A$2:$K$10000,MATCH($A556&amp;W$1,JupData!$A$2:$A$10000&amp;JupData!$J$2:$J$10000,0),11))</f>
        <v/>
      </c>
      <c r="X556" t="str">
        <f t="array" ref="X556">IF($A556="","",INDEX(JupData!$A$2:$K$10000,MATCH($A556&amp;X$1,JupData!$A$2:$A$10000&amp;JupData!$J$2:$J$10000,0),11))</f>
        <v/>
      </c>
      <c r="Y556" t="str">
        <f t="array" ref="Y556">IF($A556="","",INDEX(JupData!$A$2:$K$10000,MATCH($A556&amp;Y$1,JupData!$A$2:$A$10000&amp;JupData!$J$2:$J$10000,0),11))</f>
        <v/>
      </c>
      <c r="Z556" t="str">
        <f t="array" ref="Z556">IF($A556="","",INDEX(JupData!$A$2:$K$10000,MATCH($A556&amp;Z$1,JupData!$A$2:$A$10000&amp;JupData!$J$2:$J$10000,0),11))</f>
        <v/>
      </c>
      <c r="AA556" t="str">
        <f t="array" ref="AA556">IF($A556="","",INDEX(JupData!$A$2:$K$10000,MATCH($A556&amp;AA$1,JupData!$A$2:$A$10000&amp;JupData!$J$2:$J$10000,0),11))</f>
        <v/>
      </c>
      <c r="AB556" t="str">
        <f t="array" ref="AB556">IF($A556="","",INDEX(JupData!$A$2:$K$10000,MATCH($A556&amp;AB$1,JupData!$A$2:$A$10000&amp;JupData!$J$2:$J$10000,0),11))</f>
        <v/>
      </c>
      <c r="AC556" s="10" t="str">
        <f t="shared" si="88"/>
        <v/>
      </c>
      <c r="AD556" s="10" t="str">
        <f t="shared" si="89"/>
        <v/>
      </c>
      <c r="AE556" s="9" t="str">
        <f t="shared" si="90"/>
        <v/>
      </c>
      <c r="AF556" s="10" t="str">
        <f t="shared" si="91"/>
        <v/>
      </c>
      <c r="AG556" s="10" t="str">
        <f t="shared" si="92"/>
        <v/>
      </c>
      <c r="AH556" s="10" t="str">
        <f t="shared" si="93"/>
        <v/>
      </c>
      <c r="AI556" s="10" t="str">
        <f t="shared" si="94"/>
        <v/>
      </c>
      <c r="AJ556" s="10" t="str">
        <f t="shared" si="95"/>
        <v/>
      </c>
      <c r="AK556" s="10" t="str">
        <f t="shared" si="96"/>
        <v/>
      </c>
      <c r="AL556" s="14" t="str">
        <f t="shared" si="97"/>
        <v/>
      </c>
    </row>
    <row r="557" spans="1:38" x14ac:dyDescent="0.2">
      <c r="A557"/>
      <c r="B557" t="str">
        <f>IF($A557="","",VLOOKUP($A557,JupData!$A$2:$I$10000,4,FALSE))</f>
        <v/>
      </c>
      <c r="C557" s="7" t="str">
        <f>IF($A557="",IF(N(D557),0,""),VLOOKUP($A557,JupData!$A$2:$I$10000,7,FALSE))</f>
        <v/>
      </c>
      <c r="D557" t="str">
        <f t="shared" si="98"/>
        <v/>
      </c>
      <c r="E557" t="str">
        <f t="array" ref="E557">IF($A557="","",INDEX(JupData!$A$2:$K$10000,MATCH($A557&amp;E$1,JupData!$A$2:$A$10000&amp;JupData!$J$2:$J$10000,0),11))</f>
        <v/>
      </c>
      <c r="F557" t="str">
        <f t="array" ref="F557">IF($A557="","",INDEX(JupData!$A$2:$K$10000,MATCH($A557&amp;F$1,JupData!$A$2:$A$10000&amp;JupData!$J$2:$J$10000,0),11))</f>
        <v/>
      </c>
      <c r="G557" t="str">
        <f t="array" ref="G557">IF($A557="","",INDEX(JupData!$A$2:$K$10000,MATCH($A557&amp;G$1,JupData!$A$2:$A$10000&amp;JupData!$J$2:$J$10000,0),11))</f>
        <v/>
      </c>
      <c r="H557" t="str">
        <f t="array" ref="H557">IF($A557="","",INDEX(JupData!$A$2:$K$10000,MATCH($A557&amp;H$1,JupData!$A$2:$A$10000&amp;JupData!$J$2:$J$10000,0),11))</f>
        <v/>
      </c>
      <c r="I557" t="str">
        <f t="array" ref="I557">IF($A557="","",INDEX(JupData!$A$2:$K$10000,MATCH($A557&amp;I$1,JupData!$A$2:$A$10000&amp;JupData!$J$2:$J$10000,0),11))</f>
        <v/>
      </c>
      <c r="J557" t="str">
        <f t="array" ref="J557">IF($A557="","",INDEX(JupData!$A$2:$K$10000,MATCH($A557&amp;J$1,JupData!$A$2:$A$10000&amp;JupData!$J$2:$J$10000,0),11))</f>
        <v/>
      </c>
      <c r="K557" t="str">
        <f t="array" ref="K557">IF($A557="","",INDEX(JupData!$A$2:$K$10000,MATCH($A557&amp;K$1,JupData!$A$2:$A$10000&amp;JupData!$J$2:$J$10000,0),11))</f>
        <v/>
      </c>
      <c r="L557" t="str">
        <f t="array" ref="L557">IF($A557="","",INDEX(JupData!$A$2:$K$10000,MATCH($A557&amp;L$1,JupData!$A$2:$A$10000&amp;JupData!$J$2:$J$10000,0),11))</f>
        <v/>
      </c>
      <c r="M557" t="str">
        <f t="array" ref="M557">IF($A557="","",INDEX(JupData!$A$2:$K$10000,MATCH($A557&amp;M$1,JupData!$A$2:$A$10000&amp;JupData!$J$2:$J$10000,0),11))</f>
        <v/>
      </c>
      <c r="N557" t="str">
        <f t="array" ref="N557">IF($A557="","",INDEX(JupData!$A$2:$K$10000,MATCH($A557&amp;N$1,JupData!$A$2:$A$10000&amp;JupData!$J$2:$J$10000,0),11))</f>
        <v/>
      </c>
      <c r="O557" t="str">
        <f t="array" ref="O557">IF($A557="","",INDEX(JupData!$A$2:$K$10000,MATCH($A557&amp;O$1,JupData!$A$2:$A$10000&amp;JupData!$J$2:$J$10000,0),11))</f>
        <v/>
      </c>
      <c r="P557" t="str">
        <f t="array" ref="P557">IF($A557="","",INDEX(JupData!$A$2:$K$10000,MATCH($A557&amp;P$1,JupData!$A$2:$A$10000&amp;JupData!$J$2:$J$10000,0),11))</f>
        <v/>
      </c>
      <c r="Q557" t="str">
        <f t="array" ref="Q557">IF($A557="","",INDEX(JupData!$A$2:$K$10000,MATCH($A557&amp;Q$1,JupData!$A$2:$A$10000&amp;JupData!$J$2:$J$10000,0),11))</f>
        <v/>
      </c>
      <c r="R557" t="str">
        <f t="array" ref="R557">IF($A557="","",INDEX(JupData!$A$2:$K$10000,MATCH($A557&amp;R$1,JupData!$A$2:$A$10000&amp;JupData!$J$2:$J$10000,0),11))</f>
        <v/>
      </c>
      <c r="S557" t="str">
        <f t="array" ref="S557">IF($A557="","",INDEX(JupData!$A$2:$K$10000,MATCH($A557&amp;S$1,JupData!$A$2:$A$10000&amp;JupData!$J$2:$J$10000,0),11))</f>
        <v/>
      </c>
      <c r="T557" t="str">
        <f t="array" ref="T557">IF($A557="","",INDEX(JupData!$A$2:$K$10000,MATCH($A557&amp;T$1,JupData!$A$2:$A$10000&amp;JupData!$J$2:$J$10000,0),11))</f>
        <v/>
      </c>
      <c r="U557" t="str">
        <f t="array" ref="U557">IF($A557="","",INDEX(JupData!$A$2:$K$10000,MATCH($A557&amp;U$1,JupData!$A$2:$A$10000&amp;JupData!$J$2:$J$10000,0),11))</f>
        <v/>
      </c>
      <c r="V557" t="str">
        <f t="array" ref="V557">IF($A557="","",INDEX(JupData!$A$2:$K$10000,MATCH($A557&amp;V$1,JupData!$A$2:$A$10000&amp;JupData!$J$2:$J$10000,0),11))</f>
        <v/>
      </c>
      <c r="W557" t="str">
        <f t="array" ref="W557">IF($A557="","",INDEX(JupData!$A$2:$K$10000,MATCH($A557&amp;W$1,JupData!$A$2:$A$10000&amp;JupData!$J$2:$J$10000,0),11))</f>
        <v/>
      </c>
      <c r="X557" t="str">
        <f t="array" ref="X557">IF($A557="","",INDEX(JupData!$A$2:$K$10000,MATCH($A557&amp;X$1,JupData!$A$2:$A$10000&amp;JupData!$J$2:$J$10000,0),11))</f>
        <v/>
      </c>
      <c r="Y557" t="str">
        <f t="array" ref="Y557">IF($A557="","",INDEX(JupData!$A$2:$K$10000,MATCH($A557&amp;Y$1,JupData!$A$2:$A$10000&amp;JupData!$J$2:$J$10000,0),11))</f>
        <v/>
      </c>
      <c r="Z557" t="str">
        <f t="array" ref="Z557">IF($A557="","",INDEX(JupData!$A$2:$K$10000,MATCH($A557&amp;Z$1,JupData!$A$2:$A$10000&amp;JupData!$J$2:$J$10000,0),11))</f>
        <v/>
      </c>
      <c r="AA557" t="str">
        <f t="array" ref="AA557">IF($A557="","",INDEX(JupData!$A$2:$K$10000,MATCH($A557&amp;AA$1,JupData!$A$2:$A$10000&amp;JupData!$J$2:$J$10000,0),11))</f>
        <v/>
      </c>
      <c r="AB557" t="str">
        <f t="array" ref="AB557">IF($A557="","",INDEX(JupData!$A$2:$K$10000,MATCH($A557&amp;AB$1,JupData!$A$2:$A$10000&amp;JupData!$J$2:$J$10000,0),11))</f>
        <v/>
      </c>
      <c r="AC557" s="10" t="str">
        <f t="shared" si="88"/>
        <v/>
      </c>
      <c r="AD557" s="10" t="str">
        <f t="shared" si="89"/>
        <v/>
      </c>
      <c r="AE557" s="9" t="str">
        <f t="shared" si="90"/>
        <v/>
      </c>
      <c r="AF557" s="10" t="str">
        <f t="shared" si="91"/>
        <v/>
      </c>
      <c r="AG557" s="10" t="str">
        <f t="shared" si="92"/>
        <v/>
      </c>
      <c r="AH557" s="10" t="str">
        <f t="shared" si="93"/>
        <v/>
      </c>
      <c r="AI557" s="10" t="str">
        <f t="shared" si="94"/>
        <v/>
      </c>
      <c r="AJ557" s="10" t="str">
        <f t="shared" si="95"/>
        <v/>
      </c>
      <c r="AK557" s="10" t="str">
        <f t="shared" si="96"/>
        <v/>
      </c>
      <c r="AL557" s="14" t="str">
        <f t="shared" si="97"/>
        <v/>
      </c>
    </row>
    <row r="558" spans="1:38" x14ac:dyDescent="0.2">
      <c r="A558"/>
      <c r="B558" t="str">
        <f>IF($A558="","",VLOOKUP($A558,JupData!$A$2:$I$10000,4,FALSE))</f>
        <v/>
      </c>
      <c r="C558" s="7" t="str">
        <f>IF($A558="",IF(N(D558),0,""),VLOOKUP($A558,JupData!$A$2:$I$10000,7,FALSE))</f>
        <v/>
      </c>
      <c r="D558" t="str">
        <f t="shared" si="98"/>
        <v/>
      </c>
      <c r="E558" t="str">
        <f t="array" ref="E558">IF($A558="","",INDEX(JupData!$A$2:$K$10000,MATCH($A558&amp;E$1,JupData!$A$2:$A$10000&amp;JupData!$J$2:$J$10000,0),11))</f>
        <v/>
      </c>
      <c r="F558" t="str">
        <f t="array" ref="F558">IF($A558="","",INDEX(JupData!$A$2:$K$10000,MATCH($A558&amp;F$1,JupData!$A$2:$A$10000&amp;JupData!$J$2:$J$10000,0),11))</f>
        <v/>
      </c>
      <c r="G558" t="str">
        <f t="array" ref="G558">IF($A558="","",INDEX(JupData!$A$2:$K$10000,MATCH($A558&amp;G$1,JupData!$A$2:$A$10000&amp;JupData!$J$2:$J$10000,0),11))</f>
        <v/>
      </c>
      <c r="H558" t="str">
        <f t="array" ref="H558">IF($A558="","",INDEX(JupData!$A$2:$K$10000,MATCH($A558&amp;H$1,JupData!$A$2:$A$10000&amp;JupData!$J$2:$J$10000,0),11))</f>
        <v/>
      </c>
      <c r="I558" t="str">
        <f t="array" ref="I558">IF($A558="","",INDEX(JupData!$A$2:$K$10000,MATCH($A558&amp;I$1,JupData!$A$2:$A$10000&amp;JupData!$J$2:$J$10000,0),11))</f>
        <v/>
      </c>
      <c r="J558" t="str">
        <f t="array" ref="J558">IF($A558="","",INDEX(JupData!$A$2:$K$10000,MATCH($A558&amp;J$1,JupData!$A$2:$A$10000&amp;JupData!$J$2:$J$10000,0),11))</f>
        <v/>
      </c>
      <c r="K558" t="str">
        <f t="array" ref="K558">IF($A558="","",INDEX(JupData!$A$2:$K$10000,MATCH($A558&amp;K$1,JupData!$A$2:$A$10000&amp;JupData!$J$2:$J$10000,0),11))</f>
        <v/>
      </c>
      <c r="L558" t="str">
        <f t="array" ref="L558">IF($A558="","",INDEX(JupData!$A$2:$K$10000,MATCH($A558&amp;L$1,JupData!$A$2:$A$10000&amp;JupData!$J$2:$J$10000,0),11))</f>
        <v/>
      </c>
      <c r="M558" t="str">
        <f t="array" ref="M558">IF($A558="","",INDEX(JupData!$A$2:$K$10000,MATCH($A558&amp;M$1,JupData!$A$2:$A$10000&amp;JupData!$J$2:$J$10000,0),11))</f>
        <v/>
      </c>
      <c r="N558" t="str">
        <f t="array" ref="N558">IF($A558="","",INDEX(JupData!$A$2:$K$10000,MATCH($A558&amp;N$1,JupData!$A$2:$A$10000&amp;JupData!$J$2:$J$10000,0),11))</f>
        <v/>
      </c>
      <c r="O558" t="str">
        <f t="array" ref="O558">IF($A558="","",INDEX(JupData!$A$2:$K$10000,MATCH($A558&amp;O$1,JupData!$A$2:$A$10000&amp;JupData!$J$2:$J$10000,0),11))</f>
        <v/>
      </c>
      <c r="P558" t="str">
        <f t="array" ref="P558">IF($A558="","",INDEX(JupData!$A$2:$K$10000,MATCH($A558&amp;P$1,JupData!$A$2:$A$10000&amp;JupData!$J$2:$J$10000,0),11))</f>
        <v/>
      </c>
      <c r="Q558" t="str">
        <f t="array" ref="Q558">IF($A558="","",INDEX(JupData!$A$2:$K$10000,MATCH($A558&amp;Q$1,JupData!$A$2:$A$10000&amp;JupData!$J$2:$J$10000,0),11))</f>
        <v/>
      </c>
      <c r="R558" t="str">
        <f t="array" ref="R558">IF($A558="","",INDEX(JupData!$A$2:$K$10000,MATCH($A558&amp;R$1,JupData!$A$2:$A$10000&amp;JupData!$J$2:$J$10000,0),11))</f>
        <v/>
      </c>
      <c r="S558" t="str">
        <f t="array" ref="S558">IF($A558="","",INDEX(JupData!$A$2:$K$10000,MATCH($A558&amp;S$1,JupData!$A$2:$A$10000&amp;JupData!$J$2:$J$10000,0),11))</f>
        <v/>
      </c>
      <c r="T558" t="str">
        <f t="array" ref="T558">IF($A558="","",INDEX(JupData!$A$2:$K$10000,MATCH($A558&amp;T$1,JupData!$A$2:$A$10000&amp;JupData!$J$2:$J$10000,0),11))</f>
        <v/>
      </c>
      <c r="U558" t="str">
        <f t="array" ref="U558">IF($A558="","",INDEX(JupData!$A$2:$K$10000,MATCH($A558&amp;U$1,JupData!$A$2:$A$10000&amp;JupData!$J$2:$J$10000,0),11))</f>
        <v/>
      </c>
      <c r="V558" t="str">
        <f t="array" ref="V558">IF($A558="","",INDEX(JupData!$A$2:$K$10000,MATCH($A558&amp;V$1,JupData!$A$2:$A$10000&amp;JupData!$J$2:$J$10000,0),11))</f>
        <v/>
      </c>
      <c r="W558" t="str">
        <f t="array" ref="W558">IF($A558="","",INDEX(JupData!$A$2:$K$10000,MATCH($A558&amp;W$1,JupData!$A$2:$A$10000&amp;JupData!$J$2:$J$10000,0),11))</f>
        <v/>
      </c>
      <c r="X558" t="str">
        <f t="array" ref="X558">IF($A558="","",INDEX(JupData!$A$2:$K$10000,MATCH($A558&amp;X$1,JupData!$A$2:$A$10000&amp;JupData!$J$2:$J$10000,0),11))</f>
        <v/>
      </c>
      <c r="Y558" t="str">
        <f t="array" ref="Y558">IF($A558="","",INDEX(JupData!$A$2:$K$10000,MATCH($A558&amp;Y$1,JupData!$A$2:$A$10000&amp;JupData!$J$2:$J$10000,0),11))</f>
        <v/>
      </c>
      <c r="Z558" t="str">
        <f t="array" ref="Z558">IF($A558="","",INDEX(JupData!$A$2:$K$10000,MATCH($A558&amp;Z$1,JupData!$A$2:$A$10000&amp;JupData!$J$2:$J$10000,0),11))</f>
        <v/>
      </c>
      <c r="AA558" t="str">
        <f t="array" ref="AA558">IF($A558="","",INDEX(JupData!$A$2:$K$10000,MATCH($A558&amp;AA$1,JupData!$A$2:$A$10000&amp;JupData!$J$2:$J$10000,0),11))</f>
        <v/>
      </c>
      <c r="AB558" t="str">
        <f t="array" ref="AB558">IF($A558="","",INDEX(JupData!$A$2:$K$10000,MATCH($A558&amp;AB$1,JupData!$A$2:$A$10000&amp;JupData!$J$2:$J$10000,0),11))</f>
        <v/>
      </c>
      <c r="AC558" s="10" t="str">
        <f t="shared" si="88"/>
        <v/>
      </c>
      <c r="AD558" s="10" t="str">
        <f t="shared" si="89"/>
        <v/>
      </c>
      <c r="AE558" s="9" t="str">
        <f t="shared" si="90"/>
        <v/>
      </c>
      <c r="AF558" s="10" t="str">
        <f t="shared" si="91"/>
        <v/>
      </c>
      <c r="AG558" s="10" t="str">
        <f t="shared" si="92"/>
        <v/>
      </c>
      <c r="AH558" s="10" t="str">
        <f t="shared" si="93"/>
        <v/>
      </c>
      <c r="AI558" s="10" t="str">
        <f t="shared" si="94"/>
        <v/>
      </c>
      <c r="AJ558" s="10" t="str">
        <f t="shared" si="95"/>
        <v/>
      </c>
      <c r="AK558" s="10" t="str">
        <f t="shared" si="96"/>
        <v/>
      </c>
      <c r="AL558" s="14" t="str">
        <f t="shared" si="97"/>
        <v/>
      </c>
    </row>
    <row r="559" spans="1:38" x14ac:dyDescent="0.2">
      <c r="A559"/>
      <c r="B559" t="str">
        <f>IF($A559="","",VLOOKUP($A559,JupData!$A$2:$I$10000,4,FALSE))</f>
        <v/>
      </c>
      <c r="C559" s="7" t="str">
        <f>IF($A559="",IF(N(D559),0,""),VLOOKUP($A559,JupData!$A$2:$I$10000,7,FALSE))</f>
        <v/>
      </c>
      <c r="D559" t="str">
        <f t="shared" si="98"/>
        <v/>
      </c>
      <c r="E559" t="str">
        <f t="array" ref="E559">IF($A559="","",INDEX(JupData!$A$2:$K$10000,MATCH($A559&amp;E$1,JupData!$A$2:$A$10000&amp;JupData!$J$2:$J$10000,0),11))</f>
        <v/>
      </c>
      <c r="F559" t="str">
        <f t="array" ref="F559">IF($A559="","",INDEX(JupData!$A$2:$K$10000,MATCH($A559&amp;F$1,JupData!$A$2:$A$10000&amp;JupData!$J$2:$J$10000,0),11))</f>
        <v/>
      </c>
      <c r="G559" t="str">
        <f t="array" ref="G559">IF($A559="","",INDEX(JupData!$A$2:$K$10000,MATCH($A559&amp;G$1,JupData!$A$2:$A$10000&amp;JupData!$J$2:$J$10000,0),11))</f>
        <v/>
      </c>
      <c r="H559" t="str">
        <f t="array" ref="H559">IF($A559="","",INDEX(JupData!$A$2:$K$10000,MATCH($A559&amp;H$1,JupData!$A$2:$A$10000&amp;JupData!$J$2:$J$10000,0),11))</f>
        <v/>
      </c>
      <c r="I559" t="str">
        <f t="array" ref="I559">IF($A559="","",INDEX(JupData!$A$2:$K$10000,MATCH($A559&amp;I$1,JupData!$A$2:$A$10000&amp;JupData!$J$2:$J$10000,0),11))</f>
        <v/>
      </c>
      <c r="J559" t="str">
        <f t="array" ref="J559">IF($A559="","",INDEX(JupData!$A$2:$K$10000,MATCH($A559&amp;J$1,JupData!$A$2:$A$10000&amp;JupData!$J$2:$J$10000,0),11))</f>
        <v/>
      </c>
      <c r="K559" t="str">
        <f t="array" ref="K559">IF($A559="","",INDEX(JupData!$A$2:$K$10000,MATCH($A559&amp;K$1,JupData!$A$2:$A$10000&amp;JupData!$J$2:$J$10000,0),11))</f>
        <v/>
      </c>
      <c r="L559" t="str">
        <f t="array" ref="L559">IF($A559="","",INDEX(JupData!$A$2:$K$10000,MATCH($A559&amp;L$1,JupData!$A$2:$A$10000&amp;JupData!$J$2:$J$10000,0),11))</f>
        <v/>
      </c>
      <c r="M559" t="str">
        <f t="array" ref="M559">IF($A559="","",INDEX(JupData!$A$2:$K$10000,MATCH($A559&amp;M$1,JupData!$A$2:$A$10000&amp;JupData!$J$2:$J$10000,0),11))</f>
        <v/>
      </c>
      <c r="N559" t="str">
        <f t="array" ref="N559">IF($A559="","",INDEX(JupData!$A$2:$K$10000,MATCH($A559&amp;N$1,JupData!$A$2:$A$10000&amp;JupData!$J$2:$J$10000,0),11))</f>
        <v/>
      </c>
      <c r="O559" t="str">
        <f t="array" ref="O559">IF($A559="","",INDEX(JupData!$A$2:$K$10000,MATCH($A559&amp;O$1,JupData!$A$2:$A$10000&amp;JupData!$J$2:$J$10000,0),11))</f>
        <v/>
      </c>
      <c r="P559" t="str">
        <f t="array" ref="P559">IF($A559="","",INDEX(JupData!$A$2:$K$10000,MATCH($A559&amp;P$1,JupData!$A$2:$A$10000&amp;JupData!$J$2:$J$10000,0),11))</f>
        <v/>
      </c>
      <c r="Q559" t="str">
        <f t="array" ref="Q559">IF($A559="","",INDEX(JupData!$A$2:$K$10000,MATCH($A559&amp;Q$1,JupData!$A$2:$A$10000&amp;JupData!$J$2:$J$10000,0),11))</f>
        <v/>
      </c>
      <c r="R559" t="str">
        <f t="array" ref="R559">IF($A559="","",INDEX(JupData!$A$2:$K$10000,MATCH($A559&amp;R$1,JupData!$A$2:$A$10000&amp;JupData!$J$2:$J$10000,0),11))</f>
        <v/>
      </c>
      <c r="S559" t="str">
        <f t="array" ref="S559">IF($A559="","",INDEX(JupData!$A$2:$K$10000,MATCH($A559&amp;S$1,JupData!$A$2:$A$10000&amp;JupData!$J$2:$J$10000,0),11))</f>
        <v/>
      </c>
      <c r="T559" t="str">
        <f t="array" ref="T559">IF($A559="","",INDEX(JupData!$A$2:$K$10000,MATCH($A559&amp;T$1,JupData!$A$2:$A$10000&amp;JupData!$J$2:$J$10000,0),11))</f>
        <v/>
      </c>
      <c r="U559" t="str">
        <f t="array" ref="U559">IF($A559="","",INDEX(JupData!$A$2:$K$10000,MATCH($A559&amp;U$1,JupData!$A$2:$A$10000&amp;JupData!$J$2:$J$10000,0),11))</f>
        <v/>
      </c>
      <c r="V559" t="str">
        <f t="array" ref="V559">IF($A559="","",INDEX(JupData!$A$2:$K$10000,MATCH($A559&amp;V$1,JupData!$A$2:$A$10000&amp;JupData!$J$2:$J$10000,0),11))</f>
        <v/>
      </c>
      <c r="W559" t="str">
        <f t="array" ref="W559">IF($A559="","",INDEX(JupData!$A$2:$K$10000,MATCH($A559&amp;W$1,JupData!$A$2:$A$10000&amp;JupData!$J$2:$J$10000,0),11))</f>
        <v/>
      </c>
      <c r="X559" t="str">
        <f t="array" ref="X559">IF($A559="","",INDEX(JupData!$A$2:$K$10000,MATCH($A559&amp;X$1,JupData!$A$2:$A$10000&amp;JupData!$J$2:$J$10000,0),11))</f>
        <v/>
      </c>
      <c r="Y559" t="str">
        <f t="array" ref="Y559">IF($A559="","",INDEX(JupData!$A$2:$K$10000,MATCH($A559&amp;Y$1,JupData!$A$2:$A$10000&amp;JupData!$J$2:$J$10000,0),11))</f>
        <v/>
      </c>
      <c r="Z559" t="str">
        <f t="array" ref="Z559">IF($A559="","",INDEX(JupData!$A$2:$K$10000,MATCH($A559&amp;Z$1,JupData!$A$2:$A$10000&amp;JupData!$J$2:$J$10000,0),11))</f>
        <v/>
      </c>
      <c r="AA559" t="str">
        <f t="array" ref="AA559">IF($A559="","",INDEX(JupData!$A$2:$K$10000,MATCH($A559&amp;AA$1,JupData!$A$2:$A$10000&amp;JupData!$J$2:$J$10000,0),11))</f>
        <v/>
      </c>
      <c r="AB559" t="str">
        <f t="array" ref="AB559">IF($A559="","",INDEX(JupData!$A$2:$K$10000,MATCH($A559&amp;AB$1,JupData!$A$2:$A$10000&amp;JupData!$J$2:$J$10000,0),11))</f>
        <v/>
      </c>
      <c r="AC559" s="10" t="str">
        <f t="shared" si="88"/>
        <v/>
      </c>
      <c r="AD559" s="10" t="str">
        <f t="shared" si="89"/>
        <v/>
      </c>
      <c r="AE559" s="9" t="str">
        <f t="shared" si="90"/>
        <v/>
      </c>
      <c r="AF559" s="10" t="str">
        <f t="shared" si="91"/>
        <v/>
      </c>
      <c r="AG559" s="10" t="str">
        <f t="shared" si="92"/>
        <v/>
      </c>
      <c r="AH559" s="10" t="str">
        <f t="shared" si="93"/>
        <v/>
      </c>
      <c r="AI559" s="10" t="str">
        <f t="shared" si="94"/>
        <v/>
      </c>
      <c r="AJ559" s="10" t="str">
        <f t="shared" si="95"/>
        <v/>
      </c>
      <c r="AK559" s="10" t="str">
        <f t="shared" si="96"/>
        <v/>
      </c>
      <c r="AL559" s="14" t="str">
        <f t="shared" si="97"/>
        <v/>
      </c>
    </row>
    <row r="560" spans="1:38" x14ac:dyDescent="0.2">
      <c r="A560"/>
      <c r="B560" t="str">
        <f>IF($A560="","",VLOOKUP($A560,JupData!$A$2:$I$10000,4,FALSE))</f>
        <v/>
      </c>
      <c r="C560" s="7" t="str">
        <f>IF($A560="",IF(N(D560),0,""),VLOOKUP($A560,JupData!$A$2:$I$10000,7,FALSE))</f>
        <v/>
      </c>
      <c r="D560" t="str">
        <f t="shared" si="98"/>
        <v/>
      </c>
      <c r="E560" t="str">
        <f t="array" ref="E560">IF($A560="","",INDEX(JupData!$A$2:$K$10000,MATCH($A560&amp;E$1,JupData!$A$2:$A$10000&amp;JupData!$J$2:$J$10000,0),11))</f>
        <v/>
      </c>
      <c r="F560" t="str">
        <f t="array" ref="F560">IF($A560="","",INDEX(JupData!$A$2:$K$10000,MATCH($A560&amp;F$1,JupData!$A$2:$A$10000&amp;JupData!$J$2:$J$10000,0),11))</f>
        <v/>
      </c>
      <c r="G560" t="str">
        <f t="array" ref="G560">IF($A560="","",INDEX(JupData!$A$2:$K$10000,MATCH($A560&amp;G$1,JupData!$A$2:$A$10000&amp;JupData!$J$2:$J$10000,0),11))</f>
        <v/>
      </c>
      <c r="H560" t="str">
        <f t="array" ref="H560">IF($A560="","",INDEX(JupData!$A$2:$K$10000,MATCH($A560&amp;H$1,JupData!$A$2:$A$10000&amp;JupData!$J$2:$J$10000,0),11))</f>
        <v/>
      </c>
      <c r="I560" t="str">
        <f t="array" ref="I560">IF($A560="","",INDEX(JupData!$A$2:$K$10000,MATCH($A560&amp;I$1,JupData!$A$2:$A$10000&amp;JupData!$J$2:$J$10000,0),11))</f>
        <v/>
      </c>
      <c r="J560" t="str">
        <f t="array" ref="J560">IF($A560="","",INDEX(JupData!$A$2:$K$10000,MATCH($A560&amp;J$1,JupData!$A$2:$A$10000&amp;JupData!$J$2:$J$10000,0),11))</f>
        <v/>
      </c>
      <c r="K560" t="str">
        <f t="array" ref="K560">IF($A560="","",INDEX(JupData!$A$2:$K$10000,MATCH($A560&amp;K$1,JupData!$A$2:$A$10000&amp;JupData!$J$2:$J$10000,0),11))</f>
        <v/>
      </c>
      <c r="L560" t="str">
        <f t="array" ref="L560">IF($A560="","",INDEX(JupData!$A$2:$K$10000,MATCH($A560&amp;L$1,JupData!$A$2:$A$10000&amp;JupData!$J$2:$J$10000,0),11))</f>
        <v/>
      </c>
      <c r="M560" t="str">
        <f t="array" ref="M560">IF($A560="","",INDEX(JupData!$A$2:$K$10000,MATCH($A560&amp;M$1,JupData!$A$2:$A$10000&amp;JupData!$J$2:$J$10000,0),11))</f>
        <v/>
      </c>
      <c r="N560" t="str">
        <f t="array" ref="N560">IF($A560="","",INDEX(JupData!$A$2:$K$10000,MATCH($A560&amp;N$1,JupData!$A$2:$A$10000&amp;JupData!$J$2:$J$10000,0),11))</f>
        <v/>
      </c>
      <c r="O560" t="str">
        <f t="array" ref="O560">IF($A560="","",INDEX(JupData!$A$2:$K$10000,MATCH($A560&amp;O$1,JupData!$A$2:$A$10000&amp;JupData!$J$2:$J$10000,0),11))</f>
        <v/>
      </c>
      <c r="P560" t="str">
        <f t="array" ref="P560">IF($A560="","",INDEX(JupData!$A$2:$K$10000,MATCH($A560&amp;P$1,JupData!$A$2:$A$10000&amp;JupData!$J$2:$J$10000,0),11))</f>
        <v/>
      </c>
      <c r="Q560" t="str">
        <f t="array" ref="Q560">IF($A560="","",INDEX(JupData!$A$2:$K$10000,MATCH($A560&amp;Q$1,JupData!$A$2:$A$10000&amp;JupData!$J$2:$J$10000,0),11))</f>
        <v/>
      </c>
      <c r="R560" t="str">
        <f t="array" ref="R560">IF($A560="","",INDEX(JupData!$A$2:$K$10000,MATCH($A560&amp;R$1,JupData!$A$2:$A$10000&amp;JupData!$J$2:$J$10000,0),11))</f>
        <v/>
      </c>
      <c r="S560" t="str">
        <f t="array" ref="S560">IF($A560="","",INDEX(JupData!$A$2:$K$10000,MATCH($A560&amp;S$1,JupData!$A$2:$A$10000&amp;JupData!$J$2:$J$10000,0),11))</f>
        <v/>
      </c>
      <c r="T560" t="str">
        <f t="array" ref="T560">IF($A560="","",INDEX(JupData!$A$2:$K$10000,MATCH($A560&amp;T$1,JupData!$A$2:$A$10000&amp;JupData!$J$2:$J$10000,0),11))</f>
        <v/>
      </c>
      <c r="U560" t="str">
        <f t="array" ref="U560">IF($A560="","",INDEX(JupData!$A$2:$K$10000,MATCH($A560&amp;U$1,JupData!$A$2:$A$10000&amp;JupData!$J$2:$J$10000,0),11))</f>
        <v/>
      </c>
      <c r="V560" t="str">
        <f t="array" ref="V560">IF($A560="","",INDEX(JupData!$A$2:$K$10000,MATCH($A560&amp;V$1,JupData!$A$2:$A$10000&amp;JupData!$J$2:$J$10000,0),11))</f>
        <v/>
      </c>
      <c r="W560" t="str">
        <f t="array" ref="W560">IF($A560="","",INDEX(JupData!$A$2:$K$10000,MATCH($A560&amp;W$1,JupData!$A$2:$A$10000&amp;JupData!$J$2:$J$10000,0),11))</f>
        <v/>
      </c>
      <c r="X560" t="str">
        <f t="array" ref="X560">IF($A560="","",INDEX(JupData!$A$2:$K$10000,MATCH($A560&amp;X$1,JupData!$A$2:$A$10000&amp;JupData!$J$2:$J$10000,0),11))</f>
        <v/>
      </c>
      <c r="Y560" t="str">
        <f t="array" ref="Y560">IF($A560="","",INDEX(JupData!$A$2:$K$10000,MATCH($A560&amp;Y$1,JupData!$A$2:$A$10000&amp;JupData!$J$2:$J$10000,0),11))</f>
        <v/>
      </c>
      <c r="Z560" t="str">
        <f t="array" ref="Z560">IF($A560="","",INDEX(JupData!$A$2:$K$10000,MATCH($A560&amp;Z$1,JupData!$A$2:$A$10000&amp;JupData!$J$2:$J$10000,0),11))</f>
        <v/>
      </c>
      <c r="AA560" t="str">
        <f t="array" ref="AA560">IF($A560="","",INDEX(JupData!$A$2:$K$10000,MATCH($A560&amp;AA$1,JupData!$A$2:$A$10000&amp;JupData!$J$2:$J$10000,0),11))</f>
        <v/>
      </c>
      <c r="AB560" t="str">
        <f t="array" ref="AB560">IF($A560="","",INDEX(JupData!$A$2:$K$10000,MATCH($A560&amp;AB$1,JupData!$A$2:$A$10000&amp;JupData!$J$2:$J$10000,0),11))</f>
        <v/>
      </c>
      <c r="AC560" s="10" t="str">
        <f t="shared" si="88"/>
        <v/>
      </c>
      <c r="AD560" s="10" t="str">
        <f t="shared" si="89"/>
        <v/>
      </c>
      <c r="AE560" s="9" t="str">
        <f t="shared" si="90"/>
        <v/>
      </c>
      <c r="AF560" s="10" t="str">
        <f t="shared" si="91"/>
        <v/>
      </c>
      <c r="AG560" s="10" t="str">
        <f t="shared" si="92"/>
        <v/>
      </c>
      <c r="AH560" s="10" t="str">
        <f t="shared" si="93"/>
        <v/>
      </c>
      <c r="AI560" s="10" t="str">
        <f t="shared" si="94"/>
        <v/>
      </c>
      <c r="AJ560" s="10" t="str">
        <f t="shared" si="95"/>
        <v/>
      </c>
      <c r="AK560" s="10" t="str">
        <f t="shared" si="96"/>
        <v/>
      </c>
      <c r="AL560" s="14" t="str">
        <f t="shared" si="97"/>
        <v/>
      </c>
    </row>
    <row r="561" spans="1:38" x14ac:dyDescent="0.2">
      <c r="A561"/>
      <c r="B561" t="str">
        <f>IF($A561="","",VLOOKUP($A561,JupData!$A$2:$I$10000,4,FALSE))</f>
        <v/>
      </c>
      <c r="C561" s="7" t="str">
        <f>IF($A561="",IF(N(D561),0,""),VLOOKUP($A561,JupData!$A$2:$I$10000,7,FALSE))</f>
        <v/>
      </c>
      <c r="D561" t="str">
        <f t="shared" si="98"/>
        <v/>
      </c>
      <c r="E561" t="str">
        <f t="array" ref="E561">IF($A561="","",INDEX(JupData!$A$2:$K$10000,MATCH($A561&amp;E$1,JupData!$A$2:$A$10000&amp;JupData!$J$2:$J$10000,0),11))</f>
        <v/>
      </c>
      <c r="F561" t="str">
        <f t="array" ref="F561">IF($A561="","",INDEX(JupData!$A$2:$K$10000,MATCH($A561&amp;F$1,JupData!$A$2:$A$10000&amp;JupData!$J$2:$J$10000,0),11))</f>
        <v/>
      </c>
      <c r="G561" t="str">
        <f t="array" ref="G561">IF($A561="","",INDEX(JupData!$A$2:$K$10000,MATCH($A561&amp;G$1,JupData!$A$2:$A$10000&amp;JupData!$J$2:$J$10000,0),11))</f>
        <v/>
      </c>
      <c r="H561" t="str">
        <f t="array" ref="H561">IF($A561="","",INDEX(JupData!$A$2:$K$10000,MATCH($A561&amp;H$1,JupData!$A$2:$A$10000&amp;JupData!$J$2:$J$10000,0),11))</f>
        <v/>
      </c>
      <c r="I561" t="str">
        <f t="array" ref="I561">IF($A561="","",INDEX(JupData!$A$2:$K$10000,MATCH($A561&amp;I$1,JupData!$A$2:$A$10000&amp;JupData!$J$2:$J$10000,0),11))</f>
        <v/>
      </c>
      <c r="J561" t="str">
        <f t="array" ref="J561">IF($A561="","",INDEX(JupData!$A$2:$K$10000,MATCH($A561&amp;J$1,JupData!$A$2:$A$10000&amp;JupData!$J$2:$J$10000,0),11))</f>
        <v/>
      </c>
      <c r="K561" t="str">
        <f t="array" ref="K561">IF($A561="","",INDEX(JupData!$A$2:$K$10000,MATCH($A561&amp;K$1,JupData!$A$2:$A$10000&amp;JupData!$J$2:$J$10000,0),11))</f>
        <v/>
      </c>
      <c r="L561" t="str">
        <f t="array" ref="L561">IF($A561="","",INDEX(JupData!$A$2:$K$10000,MATCH($A561&amp;L$1,JupData!$A$2:$A$10000&amp;JupData!$J$2:$J$10000,0),11))</f>
        <v/>
      </c>
      <c r="M561" t="str">
        <f t="array" ref="M561">IF($A561="","",INDEX(JupData!$A$2:$K$10000,MATCH($A561&amp;M$1,JupData!$A$2:$A$10000&amp;JupData!$J$2:$J$10000,0),11))</f>
        <v/>
      </c>
      <c r="N561" t="str">
        <f t="array" ref="N561">IF($A561="","",INDEX(JupData!$A$2:$K$10000,MATCH($A561&amp;N$1,JupData!$A$2:$A$10000&amp;JupData!$J$2:$J$10000,0),11))</f>
        <v/>
      </c>
      <c r="O561" t="str">
        <f t="array" ref="O561">IF($A561="","",INDEX(JupData!$A$2:$K$10000,MATCH($A561&amp;O$1,JupData!$A$2:$A$10000&amp;JupData!$J$2:$J$10000,0),11))</f>
        <v/>
      </c>
      <c r="P561" t="str">
        <f t="array" ref="P561">IF($A561="","",INDEX(JupData!$A$2:$K$10000,MATCH($A561&amp;P$1,JupData!$A$2:$A$10000&amp;JupData!$J$2:$J$10000,0),11))</f>
        <v/>
      </c>
      <c r="Q561" t="str">
        <f t="array" ref="Q561">IF($A561="","",INDEX(JupData!$A$2:$K$10000,MATCH($A561&amp;Q$1,JupData!$A$2:$A$10000&amp;JupData!$J$2:$J$10000,0),11))</f>
        <v/>
      </c>
      <c r="R561" t="str">
        <f t="array" ref="R561">IF($A561="","",INDEX(JupData!$A$2:$K$10000,MATCH($A561&amp;R$1,JupData!$A$2:$A$10000&amp;JupData!$J$2:$J$10000,0),11))</f>
        <v/>
      </c>
      <c r="S561" t="str">
        <f t="array" ref="S561">IF($A561="","",INDEX(JupData!$A$2:$K$10000,MATCH($A561&amp;S$1,JupData!$A$2:$A$10000&amp;JupData!$J$2:$J$10000,0),11))</f>
        <v/>
      </c>
      <c r="T561" t="str">
        <f t="array" ref="T561">IF($A561="","",INDEX(JupData!$A$2:$K$10000,MATCH($A561&amp;T$1,JupData!$A$2:$A$10000&amp;JupData!$J$2:$J$10000,0),11))</f>
        <v/>
      </c>
      <c r="U561" t="str">
        <f t="array" ref="U561">IF($A561="","",INDEX(JupData!$A$2:$K$10000,MATCH($A561&amp;U$1,JupData!$A$2:$A$10000&amp;JupData!$J$2:$J$10000,0),11))</f>
        <v/>
      </c>
      <c r="V561" t="str">
        <f t="array" ref="V561">IF($A561="","",INDEX(JupData!$A$2:$K$10000,MATCH($A561&amp;V$1,JupData!$A$2:$A$10000&amp;JupData!$J$2:$J$10000,0),11))</f>
        <v/>
      </c>
      <c r="W561" t="str">
        <f t="array" ref="W561">IF($A561="","",INDEX(JupData!$A$2:$K$10000,MATCH($A561&amp;W$1,JupData!$A$2:$A$10000&amp;JupData!$J$2:$J$10000,0),11))</f>
        <v/>
      </c>
      <c r="X561" t="str">
        <f t="array" ref="X561">IF($A561="","",INDEX(JupData!$A$2:$K$10000,MATCH($A561&amp;X$1,JupData!$A$2:$A$10000&amp;JupData!$J$2:$J$10000,0),11))</f>
        <v/>
      </c>
      <c r="Y561" t="str">
        <f t="array" ref="Y561">IF($A561="","",INDEX(JupData!$A$2:$K$10000,MATCH($A561&amp;Y$1,JupData!$A$2:$A$10000&amp;JupData!$J$2:$J$10000,0),11))</f>
        <v/>
      </c>
      <c r="Z561" t="str">
        <f t="array" ref="Z561">IF($A561="","",INDEX(JupData!$A$2:$K$10000,MATCH($A561&amp;Z$1,JupData!$A$2:$A$10000&amp;JupData!$J$2:$J$10000,0),11))</f>
        <v/>
      </c>
      <c r="AA561" t="str">
        <f t="array" ref="AA561">IF($A561="","",INDEX(JupData!$A$2:$K$10000,MATCH($A561&amp;AA$1,JupData!$A$2:$A$10000&amp;JupData!$J$2:$J$10000,0),11))</f>
        <v/>
      </c>
      <c r="AB561" t="str">
        <f t="array" ref="AB561">IF($A561="","",INDEX(JupData!$A$2:$K$10000,MATCH($A561&amp;AB$1,JupData!$A$2:$A$10000&amp;JupData!$J$2:$J$10000,0),11))</f>
        <v/>
      </c>
      <c r="AC561" s="10" t="str">
        <f t="shared" si="88"/>
        <v/>
      </c>
      <c r="AD561" s="10" t="str">
        <f t="shared" si="89"/>
        <v/>
      </c>
      <c r="AE561" s="9" t="str">
        <f t="shared" si="90"/>
        <v/>
      </c>
      <c r="AF561" s="10" t="str">
        <f t="shared" si="91"/>
        <v/>
      </c>
      <c r="AG561" s="10" t="str">
        <f t="shared" si="92"/>
        <v/>
      </c>
      <c r="AH561" s="10" t="str">
        <f t="shared" si="93"/>
        <v/>
      </c>
      <c r="AI561" s="10" t="str">
        <f t="shared" si="94"/>
        <v/>
      </c>
      <c r="AJ561" s="10" t="str">
        <f t="shared" si="95"/>
        <v/>
      </c>
      <c r="AK561" s="10" t="str">
        <f t="shared" si="96"/>
        <v/>
      </c>
      <c r="AL561" s="14" t="str">
        <f t="shared" si="97"/>
        <v/>
      </c>
    </row>
    <row r="562" spans="1:38" x14ac:dyDescent="0.2">
      <c r="A562"/>
      <c r="B562" t="str">
        <f>IF($A562="","",VLOOKUP($A562,JupData!$A$2:$I$10000,4,FALSE))</f>
        <v/>
      </c>
      <c r="C562" s="7" t="str">
        <f>IF($A562="",IF(N(D562),0,""),VLOOKUP($A562,JupData!$A$2:$I$10000,7,FALSE))</f>
        <v/>
      </c>
      <c r="D562" t="str">
        <f t="shared" si="98"/>
        <v/>
      </c>
      <c r="E562" t="str">
        <f t="array" ref="E562">IF($A562="","",INDEX(JupData!$A$2:$K$10000,MATCH($A562&amp;E$1,JupData!$A$2:$A$10000&amp;JupData!$J$2:$J$10000,0),11))</f>
        <v/>
      </c>
      <c r="F562" t="str">
        <f t="array" ref="F562">IF($A562="","",INDEX(JupData!$A$2:$K$10000,MATCH($A562&amp;F$1,JupData!$A$2:$A$10000&amp;JupData!$J$2:$J$10000,0),11))</f>
        <v/>
      </c>
      <c r="G562" t="str">
        <f t="array" ref="G562">IF($A562="","",INDEX(JupData!$A$2:$K$10000,MATCH($A562&amp;G$1,JupData!$A$2:$A$10000&amp;JupData!$J$2:$J$10000,0),11))</f>
        <v/>
      </c>
      <c r="H562" t="str">
        <f t="array" ref="H562">IF($A562="","",INDEX(JupData!$A$2:$K$10000,MATCH($A562&amp;H$1,JupData!$A$2:$A$10000&amp;JupData!$J$2:$J$10000,0),11))</f>
        <v/>
      </c>
      <c r="I562" t="str">
        <f t="array" ref="I562">IF($A562="","",INDEX(JupData!$A$2:$K$10000,MATCH($A562&amp;I$1,JupData!$A$2:$A$10000&amp;JupData!$J$2:$J$10000,0),11))</f>
        <v/>
      </c>
      <c r="J562" t="str">
        <f t="array" ref="J562">IF($A562="","",INDEX(JupData!$A$2:$K$10000,MATCH($A562&amp;J$1,JupData!$A$2:$A$10000&amp;JupData!$J$2:$J$10000,0),11))</f>
        <v/>
      </c>
      <c r="K562" t="str">
        <f t="array" ref="K562">IF($A562="","",INDEX(JupData!$A$2:$K$10000,MATCH($A562&amp;K$1,JupData!$A$2:$A$10000&amp;JupData!$J$2:$J$10000,0),11))</f>
        <v/>
      </c>
      <c r="L562" t="str">
        <f t="array" ref="L562">IF($A562="","",INDEX(JupData!$A$2:$K$10000,MATCH($A562&amp;L$1,JupData!$A$2:$A$10000&amp;JupData!$J$2:$J$10000,0),11))</f>
        <v/>
      </c>
      <c r="M562" t="str">
        <f t="array" ref="M562">IF($A562="","",INDEX(JupData!$A$2:$K$10000,MATCH($A562&amp;M$1,JupData!$A$2:$A$10000&amp;JupData!$J$2:$J$10000,0),11))</f>
        <v/>
      </c>
      <c r="N562" t="str">
        <f t="array" ref="N562">IF($A562="","",INDEX(JupData!$A$2:$K$10000,MATCH($A562&amp;N$1,JupData!$A$2:$A$10000&amp;JupData!$J$2:$J$10000,0),11))</f>
        <v/>
      </c>
      <c r="O562" t="str">
        <f t="array" ref="O562">IF($A562="","",INDEX(JupData!$A$2:$K$10000,MATCH($A562&amp;O$1,JupData!$A$2:$A$10000&amp;JupData!$J$2:$J$10000,0),11))</f>
        <v/>
      </c>
      <c r="P562" t="str">
        <f t="array" ref="P562">IF($A562="","",INDEX(JupData!$A$2:$K$10000,MATCH($A562&amp;P$1,JupData!$A$2:$A$10000&amp;JupData!$J$2:$J$10000,0),11))</f>
        <v/>
      </c>
      <c r="Q562" t="str">
        <f t="array" ref="Q562">IF($A562="","",INDEX(JupData!$A$2:$K$10000,MATCH($A562&amp;Q$1,JupData!$A$2:$A$10000&amp;JupData!$J$2:$J$10000,0),11))</f>
        <v/>
      </c>
      <c r="R562" t="str">
        <f t="array" ref="R562">IF($A562="","",INDEX(JupData!$A$2:$K$10000,MATCH($A562&amp;R$1,JupData!$A$2:$A$10000&amp;JupData!$J$2:$J$10000,0),11))</f>
        <v/>
      </c>
      <c r="S562" t="str">
        <f t="array" ref="S562">IF($A562="","",INDEX(JupData!$A$2:$K$10000,MATCH($A562&amp;S$1,JupData!$A$2:$A$10000&amp;JupData!$J$2:$J$10000,0),11))</f>
        <v/>
      </c>
      <c r="T562" t="str">
        <f t="array" ref="T562">IF($A562="","",INDEX(JupData!$A$2:$K$10000,MATCH($A562&amp;T$1,JupData!$A$2:$A$10000&amp;JupData!$J$2:$J$10000,0),11))</f>
        <v/>
      </c>
      <c r="U562" t="str">
        <f t="array" ref="U562">IF($A562="","",INDEX(JupData!$A$2:$K$10000,MATCH($A562&amp;U$1,JupData!$A$2:$A$10000&amp;JupData!$J$2:$J$10000,0),11))</f>
        <v/>
      </c>
      <c r="V562" t="str">
        <f t="array" ref="V562">IF($A562="","",INDEX(JupData!$A$2:$K$10000,MATCH($A562&amp;V$1,JupData!$A$2:$A$10000&amp;JupData!$J$2:$J$10000,0),11))</f>
        <v/>
      </c>
      <c r="W562" t="str">
        <f t="array" ref="W562">IF($A562="","",INDEX(JupData!$A$2:$K$10000,MATCH($A562&amp;W$1,JupData!$A$2:$A$10000&amp;JupData!$J$2:$J$10000,0),11))</f>
        <v/>
      </c>
      <c r="X562" t="str">
        <f t="array" ref="X562">IF($A562="","",INDEX(JupData!$A$2:$K$10000,MATCH($A562&amp;X$1,JupData!$A$2:$A$10000&amp;JupData!$J$2:$J$10000,0),11))</f>
        <v/>
      </c>
      <c r="Y562" t="str">
        <f t="array" ref="Y562">IF($A562="","",INDEX(JupData!$A$2:$K$10000,MATCH($A562&amp;Y$1,JupData!$A$2:$A$10000&amp;JupData!$J$2:$J$10000,0),11))</f>
        <v/>
      </c>
      <c r="Z562" t="str">
        <f t="array" ref="Z562">IF($A562="","",INDEX(JupData!$A$2:$K$10000,MATCH($A562&amp;Z$1,JupData!$A$2:$A$10000&amp;JupData!$J$2:$J$10000,0),11))</f>
        <v/>
      </c>
      <c r="AA562" t="str">
        <f t="array" ref="AA562">IF($A562="","",INDEX(JupData!$A$2:$K$10000,MATCH($A562&amp;AA$1,JupData!$A$2:$A$10000&amp;JupData!$J$2:$J$10000,0),11))</f>
        <v/>
      </c>
      <c r="AB562" t="str">
        <f t="array" ref="AB562">IF($A562="","",INDEX(JupData!$A$2:$K$10000,MATCH($A562&amp;AB$1,JupData!$A$2:$A$10000&amp;JupData!$J$2:$J$10000,0),11))</f>
        <v/>
      </c>
      <c r="AC562" s="10" t="str">
        <f t="shared" si="88"/>
        <v/>
      </c>
      <c r="AD562" s="10" t="str">
        <f t="shared" si="89"/>
        <v/>
      </c>
      <c r="AE562" s="9" t="str">
        <f t="shared" si="90"/>
        <v/>
      </c>
      <c r="AF562" s="10" t="str">
        <f t="shared" si="91"/>
        <v/>
      </c>
      <c r="AG562" s="10" t="str">
        <f t="shared" si="92"/>
        <v/>
      </c>
      <c r="AH562" s="10" t="str">
        <f t="shared" si="93"/>
        <v/>
      </c>
      <c r="AI562" s="10" t="str">
        <f t="shared" si="94"/>
        <v/>
      </c>
      <c r="AJ562" s="10" t="str">
        <f t="shared" si="95"/>
        <v/>
      </c>
      <c r="AK562" s="10" t="str">
        <f t="shared" si="96"/>
        <v/>
      </c>
      <c r="AL562" s="14" t="str">
        <f t="shared" si="97"/>
        <v/>
      </c>
    </row>
    <row r="563" spans="1:38" x14ac:dyDescent="0.2">
      <c r="A563"/>
      <c r="B563" t="str">
        <f>IF($A563="","",VLOOKUP($A563,JupData!$A$2:$I$10000,4,FALSE))</f>
        <v/>
      </c>
      <c r="C563" s="7" t="str">
        <f>IF($A563="",IF(N(D563),0,""),VLOOKUP($A563,JupData!$A$2:$I$10000,7,FALSE))</f>
        <v/>
      </c>
      <c r="D563" t="str">
        <f t="shared" si="98"/>
        <v/>
      </c>
      <c r="E563" t="str">
        <f t="array" ref="E563">IF($A563="","",INDEX(JupData!$A$2:$K$10000,MATCH($A563&amp;E$1,JupData!$A$2:$A$10000&amp;JupData!$J$2:$J$10000,0),11))</f>
        <v/>
      </c>
      <c r="F563" t="str">
        <f t="array" ref="F563">IF($A563="","",INDEX(JupData!$A$2:$K$10000,MATCH($A563&amp;F$1,JupData!$A$2:$A$10000&amp;JupData!$J$2:$J$10000,0),11))</f>
        <v/>
      </c>
      <c r="G563" t="str">
        <f t="array" ref="G563">IF($A563="","",INDEX(JupData!$A$2:$K$10000,MATCH($A563&amp;G$1,JupData!$A$2:$A$10000&amp;JupData!$J$2:$J$10000,0),11))</f>
        <v/>
      </c>
      <c r="H563" t="str">
        <f t="array" ref="H563">IF($A563="","",INDEX(JupData!$A$2:$K$10000,MATCH($A563&amp;H$1,JupData!$A$2:$A$10000&amp;JupData!$J$2:$J$10000,0),11))</f>
        <v/>
      </c>
      <c r="I563" t="str">
        <f t="array" ref="I563">IF($A563="","",INDEX(JupData!$A$2:$K$10000,MATCH($A563&amp;I$1,JupData!$A$2:$A$10000&amp;JupData!$J$2:$J$10000,0),11))</f>
        <v/>
      </c>
      <c r="J563" t="str">
        <f t="array" ref="J563">IF($A563="","",INDEX(JupData!$A$2:$K$10000,MATCH($A563&amp;J$1,JupData!$A$2:$A$10000&amp;JupData!$J$2:$J$10000,0),11))</f>
        <v/>
      </c>
      <c r="K563" t="str">
        <f t="array" ref="K563">IF($A563="","",INDEX(JupData!$A$2:$K$10000,MATCH($A563&amp;K$1,JupData!$A$2:$A$10000&amp;JupData!$J$2:$J$10000,0),11))</f>
        <v/>
      </c>
      <c r="L563" t="str">
        <f t="array" ref="L563">IF($A563="","",INDEX(JupData!$A$2:$K$10000,MATCH($A563&amp;L$1,JupData!$A$2:$A$10000&amp;JupData!$J$2:$J$10000,0),11))</f>
        <v/>
      </c>
      <c r="M563" t="str">
        <f t="array" ref="M563">IF($A563="","",INDEX(JupData!$A$2:$K$10000,MATCH($A563&amp;M$1,JupData!$A$2:$A$10000&amp;JupData!$J$2:$J$10000,0),11))</f>
        <v/>
      </c>
      <c r="N563" t="str">
        <f t="array" ref="N563">IF($A563="","",INDEX(JupData!$A$2:$K$10000,MATCH($A563&amp;N$1,JupData!$A$2:$A$10000&amp;JupData!$J$2:$J$10000,0),11))</f>
        <v/>
      </c>
      <c r="O563" t="str">
        <f t="array" ref="O563">IF($A563="","",INDEX(JupData!$A$2:$K$10000,MATCH($A563&amp;O$1,JupData!$A$2:$A$10000&amp;JupData!$J$2:$J$10000,0),11))</f>
        <v/>
      </c>
      <c r="P563" t="str">
        <f t="array" ref="P563">IF($A563="","",INDEX(JupData!$A$2:$K$10000,MATCH($A563&amp;P$1,JupData!$A$2:$A$10000&amp;JupData!$J$2:$J$10000,0),11))</f>
        <v/>
      </c>
      <c r="Q563" t="str">
        <f t="array" ref="Q563">IF($A563="","",INDEX(JupData!$A$2:$K$10000,MATCH($A563&amp;Q$1,JupData!$A$2:$A$10000&amp;JupData!$J$2:$J$10000,0),11))</f>
        <v/>
      </c>
      <c r="R563" t="str">
        <f t="array" ref="R563">IF($A563="","",INDEX(JupData!$A$2:$K$10000,MATCH($A563&amp;R$1,JupData!$A$2:$A$10000&amp;JupData!$J$2:$J$10000,0),11))</f>
        <v/>
      </c>
      <c r="S563" t="str">
        <f t="array" ref="S563">IF($A563="","",INDEX(JupData!$A$2:$K$10000,MATCH($A563&amp;S$1,JupData!$A$2:$A$10000&amp;JupData!$J$2:$J$10000,0),11))</f>
        <v/>
      </c>
      <c r="T563" t="str">
        <f t="array" ref="T563">IF($A563="","",INDEX(JupData!$A$2:$K$10000,MATCH($A563&amp;T$1,JupData!$A$2:$A$10000&amp;JupData!$J$2:$J$10000,0),11))</f>
        <v/>
      </c>
      <c r="U563" t="str">
        <f t="array" ref="U563">IF($A563="","",INDEX(JupData!$A$2:$K$10000,MATCH($A563&amp;U$1,JupData!$A$2:$A$10000&amp;JupData!$J$2:$J$10000,0),11))</f>
        <v/>
      </c>
      <c r="V563" t="str">
        <f t="array" ref="V563">IF($A563="","",INDEX(JupData!$A$2:$K$10000,MATCH($A563&amp;V$1,JupData!$A$2:$A$10000&amp;JupData!$J$2:$J$10000,0),11))</f>
        <v/>
      </c>
      <c r="W563" t="str">
        <f t="array" ref="W563">IF($A563="","",INDEX(JupData!$A$2:$K$10000,MATCH($A563&amp;W$1,JupData!$A$2:$A$10000&amp;JupData!$J$2:$J$10000,0),11))</f>
        <v/>
      </c>
      <c r="X563" t="str">
        <f t="array" ref="X563">IF($A563="","",INDEX(JupData!$A$2:$K$10000,MATCH($A563&amp;X$1,JupData!$A$2:$A$10000&amp;JupData!$J$2:$J$10000,0),11))</f>
        <v/>
      </c>
      <c r="Y563" t="str">
        <f t="array" ref="Y563">IF($A563="","",INDEX(JupData!$A$2:$K$10000,MATCH($A563&amp;Y$1,JupData!$A$2:$A$10000&amp;JupData!$J$2:$J$10000,0),11))</f>
        <v/>
      </c>
      <c r="Z563" t="str">
        <f t="array" ref="Z563">IF($A563="","",INDEX(JupData!$A$2:$K$10000,MATCH($A563&amp;Z$1,JupData!$A$2:$A$10000&amp;JupData!$J$2:$J$10000,0),11))</f>
        <v/>
      </c>
      <c r="AA563" t="str">
        <f t="array" ref="AA563">IF($A563="","",INDEX(JupData!$A$2:$K$10000,MATCH($A563&amp;AA$1,JupData!$A$2:$A$10000&amp;JupData!$J$2:$J$10000,0),11))</f>
        <v/>
      </c>
      <c r="AB563" t="str">
        <f t="array" ref="AB563">IF($A563="","",INDEX(JupData!$A$2:$K$10000,MATCH($A563&amp;AB$1,JupData!$A$2:$A$10000&amp;JupData!$J$2:$J$10000,0),11))</f>
        <v/>
      </c>
      <c r="AC563" s="10" t="str">
        <f t="shared" si="88"/>
        <v/>
      </c>
      <c r="AD563" s="10" t="str">
        <f t="shared" si="89"/>
        <v/>
      </c>
      <c r="AE563" s="9" t="str">
        <f t="shared" si="90"/>
        <v/>
      </c>
      <c r="AF563" s="10" t="str">
        <f t="shared" si="91"/>
        <v/>
      </c>
      <c r="AG563" s="10" t="str">
        <f t="shared" si="92"/>
        <v/>
      </c>
      <c r="AH563" s="10" t="str">
        <f t="shared" si="93"/>
        <v/>
      </c>
      <c r="AI563" s="10" t="str">
        <f t="shared" si="94"/>
        <v/>
      </c>
      <c r="AJ563" s="10" t="str">
        <f t="shared" si="95"/>
        <v/>
      </c>
      <c r="AK563" s="10" t="str">
        <f t="shared" si="96"/>
        <v/>
      </c>
      <c r="AL563" s="14" t="str">
        <f t="shared" si="97"/>
        <v/>
      </c>
    </row>
    <row r="564" spans="1:38" x14ac:dyDescent="0.2">
      <c r="A564"/>
      <c r="B564" t="str">
        <f>IF($A564="","",VLOOKUP($A564,JupData!$A$2:$I$10000,4,FALSE))</f>
        <v/>
      </c>
      <c r="C564" s="7" t="str">
        <f>IF($A564="",IF(N(D564),0,""),VLOOKUP($A564,JupData!$A$2:$I$10000,7,FALSE))</f>
        <v/>
      </c>
      <c r="D564" t="str">
        <f t="shared" si="98"/>
        <v/>
      </c>
      <c r="E564" t="str">
        <f t="array" ref="E564">IF($A564="","",INDEX(JupData!$A$2:$K$10000,MATCH($A564&amp;E$1,JupData!$A$2:$A$10000&amp;JupData!$J$2:$J$10000,0),11))</f>
        <v/>
      </c>
      <c r="F564" t="str">
        <f t="array" ref="F564">IF($A564="","",INDEX(JupData!$A$2:$K$10000,MATCH($A564&amp;F$1,JupData!$A$2:$A$10000&amp;JupData!$J$2:$J$10000,0),11))</f>
        <v/>
      </c>
      <c r="G564" t="str">
        <f t="array" ref="G564">IF($A564="","",INDEX(JupData!$A$2:$K$10000,MATCH($A564&amp;G$1,JupData!$A$2:$A$10000&amp;JupData!$J$2:$J$10000,0),11))</f>
        <v/>
      </c>
      <c r="H564" t="str">
        <f t="array" ref="H564">IF($A564="","",INDEX(JupData!$A$2:$K$10000,MATCH($A564&amp;H$1,JupData!$A$2:$A$10000&amp;JupData!$J$2:$J$10000,0),11))</f>
        <v/>
      </c>
      <c r="I564" t="str">
        <f t="array" ref="I564">IF($A564="","",INDEX(JupData!$A$2:$K$10000,MATCH($A564&amp;I$1,JupData!$A$2:$A$10000&amp;JupData!$J$2:$J$10000,0),11))</f>
        <v/>
      </c>
      <c r="J564" t="str">
        <f t="array" ref="J564">IF($A564="","",INDEX(JupData!$A$2:$K$10000,MATCH($A564&amp;J$1,JupData!$A$2:$A$10000&amp;JupData!$J$2:$J$10000,0),11))</f>
        <v/>
      </c>
      <c r="K564" t="str">
        <f t="array" ref="K564">IF($A564="","",INDEX(JupData!$A$2:$K$10000,MATCH($A564&amp;K$1,JupData!$A$2:$A$10000&amp;JupData!$J$2:$J$10000,0),11))</f>
        <v/>
      </c>
      <c r="L564" t="str">
        <f t="array" ref="L564">IF($A564="","",INDEX(JupData!$A$2:$K$10000,MATCH($A564&amp;L$1,JupData!$A$2:$A$10000&amp;JupData!$J$2:$J$10000,0),11))</f>
        <v/>
      </c>
      <c r="M564" t="str">
        <f t="array" ref="M564">IF($A564="","",INDEX(JupData!$A$2:$K$10000,MATCH($A564&amp;M$1,JupData!$A$2:$A$10000&amp;JupData!$J$2:$J$10000,0),11))</f>
        <v/>
      </c>
      <c r="N564" t="str">
        <f t="array" ref="N564">IF($A564="","",INDEX(JupData!$A$2:$K$10000,MATCH($A564&amp;N$1,JupData!$A$2:$A$10000&amp;JupData!$J$2:$J$10000,0),11))</f>
        <v/>
      </c>
      <c r="O564" t="str">
        <f t="array" ref="O564">IF($A564="","",INDEX(JupData!$A$2:$K$10000,MATCH($A564&amp;O$1,JupData!$A$2:$A$10000&amp;JupData!$J$2:$J$10000,0),11))</f>
        <v/>
      </c>
      <c r="P564" t="str">
        <f t="array" ref="P564">IF($A564="","",INDEX(JupData!$A$2:$K$10000,MATCH($A564&amp;P$1,JupData!$A$2:$A$10000&amp;JupData!$J$2:$J$10000,0),11))</f>
        <v/>
      </c>
      <c r="Q564" t="str">
        <f t="array" ref="Q564">IF($A564="","",INDEX(JupData!$A$2:$K$10000,MATCH($A564&amp;Q$1,JupData!$A$2:$A$10000&amp;JupData!$J$2:$J$10000,0),11))</f>
        <v/>
      </c>
      <c r="R564" t="str">
        <f t="array" ref="R564">IF($A564="","",INDEX(JupData!$A$2:$K$10000,MATCH($A564&amp;R$1,JupData!$A$2:$A$10000&amp;JupData!$J$2:$J$10000,0),11))</f>
        <v/>
      </c>
      <c r="S564" t="str">
        <f t="array" ref="S564">IF($A564="","",INDEX(JupData!$A$2:$K$10000,MATCH($A564&amp;S$1,JupData!$A$2:$A$10000&amp;JupData!$J$2:$J$10000,0),11))</f>
        <v/>
      </c>
      <c r="T564" t="str">
        <f t="array" ref="T564">IF($A564="","",INDEX(JupData!$A$2:$K$10000,MATCH($A564&amp;T$1,JupData!$A$2:$A$10000&amp;JupData!$J$2:$J$10000,0),11))</f>
        <v/>
      </c>
      <c r="U564" t="str">
        <f t="array" ref="U564">IF($A564="","",INDEX(JupData!$A$2:$K$10000,MATCH($A564&amp;U$1,JupData!$A$2:$A$10000&amp;JupData!$J$2:$J$10000,0),11))</f>
        <v/>
      </c>
      <c r="V564" t="str">
        <f t="array" ref="V564">IF($A564="","",INDEX(JupData!$A$2:$K$10000,MATCH($A564&amp;V$1,JupData!$A$2:$A$10000&amp;JupData!$J$2:$J$10000,0),11))</f>
        <v/>
      </c>
      <c r="W564" t="str">
        <f t="array" ref="W564">IF($A564="","",INDEX(JupData!$A$2:$K$10000,MATCH($A564&amp;W$1,JupData!$A$2:$A$10000&amp;JupData!$J$2:$J$10000,0),11))</f>
        <v/>
      </c>
      <c r="X564" t="str">
        <f t="array" ref="X564">IF($A564="","",INDEX(JupData!$A$2:$K$10000,MATCH($A564&amp;X$1,JupData!$A$2:$A$10000&amp;JupData!$J$2:$J$10000,0),11))</f>
        <v/>
      </c>
      <c r="Y564" t="str">
        <f t="array" ref="Y564">IF($A564="","",INDEX(JupData!$A$2:$K$10000,MATCH($A564&amp;Y$1,JupData!$A$2:$A$10000&amp;JupData!$J$2:$J$10000,0),11))</f>
        <v/>
      </c>
      <c r="Z564" t="str">
        <f t="array" ref="Z564">IF($A564="","",INDEX(JupData!$A$2:$K$10000,MATCH($A564&amp;Z$1,JupData!$A$2:$A$10000&amp;JupData!$J$2:$J$10000,0),11))</f>
        <v/>
      </c>
      <c r="AA564" t="str">
        <f t="array" ref="AA564">IF($A564="","",INDEX(JupData!$A$2:$K$10000,MATCH($A564&amp;AA$1,JupData!$A$2:$A$10000&amp;JupData!$J$2:$J$10000,0),11))</f>
        <v/>
      </c>
      <c r="AB564" t="str">
        <f t="array" ref="AB564">IF($A564="","",INDEX(JupData!$A$2:$K$10000,MATCH($A564&amp;AB$1,JupData!$A$2:$A$10000&amp;JupData!$J$2:$J$10000,0),11))</f>
        <v/>
      </c>
      <c r="AC564" s="10" t="str">
        <f t="shared" si="88"/>
        <v/>
      </c>
      <c r="AD564" s="10" t="str">
        <f t="shared" si="89"/>
        <v/>
      </c>
      <c r="AE564" s="9" t="str">
        <f t="shared" si="90"/>
        <v/>
      </c>
      <c r="AF564" s="10" t="str">
        <f t="shared" si="91"/>
        <v/>
      </c>
      <c r="AG564" s="10" t="str">
        <f t="shared" si="92"/>
        <v/>
      </c>
      <c r="AH564" s="10" t="str">
        <f t="shared" si="93"/>
        <v/>
      </c>
      <c r="AI564" s="10" t="str">
        <f t="shared" si="94"/>
        <v/>
      </c>
      <c r="AJ564" s="10" t="str">
        <f t="shared" si="95"/>
        <v/>
      </c>
      <c r="AK564" s="10" t="str">
        <f t="shared" si="96"/>
        <v/>
      </c>
      <c r="AL564" s="14" t="str">
        <f t="shared" si="97"/>
        <v/>
      </c>
    </row>
    <row r="565" spans="1:38" x14ac:dyDescent="0.2">
      <c r="A565"/>
      <c r="B565" t="str">
        <f>IF($A565="","",VLOOKUP($A565,JupData!$A$2:$I$10000,4,FALSE))</f>
        <v/>
      </c>
      <c r="C565" s="7" t="str">
        <f>IF($A565="",IF(N(D565),0,""),VLOOKUP($A565,JupData!$A$2:$I$10000,7,FALSE))</f>
        <v/>
      </c>
      <c r="D565" t="str">
        <f t="shared" si="98"/>
        <v/>
      </c>
      <c r="E565" t="str">
        <f t="array" ref="E565">IF($A565="","",INDEX(JupData!$A$2:$K$10000,MATCH($A565&amp;E$1,JupData!$A$2:$A$10000&amp;JupData!$J$2:$J$10000,0),11))</f>
        <v/>
      </c>
      <c r="F565" t="str">
        <f t="array" ref="F565">IF($A565="","",INDEX(JupData!$A$2:$K$10000,MATCH($A565&amp;F$1,JupData!$A$2:$A$10000&amp;JupData!$J$2:$J$10000,0),11))</f>
        <v/>
      </c>
      <c r="G565" t="str">
        <f t="array" ref="G565">IF($A565="","",INDEX(JupData!$A$2:$K$10000,MATCH($A565&amp;G$1,JupData!$A$2:$A$10000&amp;JupData!$J$2:$J$10000,0),11))</f>
        <v/>
      </c>
      <c r="H565" t="str">
        <f t="array" ref="H565">IF($A565="","",INDEX(JupData!$A$2:$K$10000,MATCH($A565&amp;H$1,JupData!$A$2:$A$10000&amp;JupData!$J$2:$J$10000,0),11))</f>
        <v/>
      </c>
      <c r="I565" t="str">
        <f t="array" ref="I565">IF($A565="","",INDEX(JupData!$A$2:$K$10000,MATCH($A565&amp;I$1,JupData!$A$2:$A$10000&amp;JupData!$J$2:$J$10000,0),11))</f>
        <v/>
      </c>
      <c r="J565" t="str">
        <f t="array" ref="J565">IF($A565="","",INDEX(JupData!$A$2:$K$10000,MATCH($A565&amp;J$1,JupData!$A$2:$A$10000&amp;JupData!$J$2:$J$10000,0),11))</f>
        <v/>
      </c>
      <c r="K565" t="str">
        <f t="array" ref="K565">IF($A565="","",INDEX(JupData!$A$2:$K$10000,MATCH($A565&amp;K$1,JupData!$A$2:$A$10000&amp;JupData!$J$2:$J$10000,0),11))</f>
        <v/>
      </c>
      <c r="L565" t="str">
        <f t="array" ref="L565">IF($A565="","",INDEX(JupData!$A$2:$K$10000,MATCH($A565&amp;L$1,JupData!$A$2:$A$10000&amp;JupData!$J$2:$J$10000,0),11))</f>
        <v/>
      </c>
      <c r="M565" t="str">
        <f t="array" ref="M565">IF($A565="","",INDEX(JupData!$A$2:$K$10000,MATCH($A565&amp;M$1,JupData!$A$2:$A$10000&amp;JupData!$J$2:$J$10000,0),11))</f>
        <v/>
      </c>
      <c r="N565" t="str">
        <f t="array" ref="N565">IF($A565="","",INDEX(JupData!$A$2:$K$10000,MATCH($A565&amp;N$1,JupData!$A$2:$A$10000&amp;JupData!$J$2:$J$10000,0),11))</f>
        <v/>
      </c>
      <c r="O565" t="str">
        <f t="array" ref="O565">IF($A565="","",INDEX(JupData!$A$2:$K$10000,MATCH($A565&amp;O$1,JupData!$A$2:$A$10000&amp;JupData!$J$2:$J$10000,0),11))</f>
        <v/>
      </c>
      <c r="P565" t="str">
        <f t="array" ref="P565">IF($A565="","",INDEX(JupData!$A$2:$K$10000,MATCH($A565&amp;P$1,JupData!$A$2:$A$10000&amp;JupData!$J$2:$J$10000,0),11))</f>
        <v/>
      </c>
      <c r="Q565" t="str">
        <f t="array" ref="Q565">IF($A565="","",INDEX(JupData!$A$2:$K$10000,MATCH($A565&amp;Q$1,JupData!$A$2:$A$10000&amp;JupData!$J$2:$J$10000,0),11))</f>
        <v/>
      </c>
      <c r="R565" t="str">
        <f t="array" ref="R565">IF($A565="","",INDEX(JupData!$A$2:$K$10000,MATCH($A565&amp;R$1,JupData!$A$2:$A$10000&amp;JupData!$J$2:$J$10000,0),11))</f>
        <v/>
      </c>
      <c r="S565" t="str">
        <f t="array" ref="S565">IF($A565="","",INDEX(JupData!$A$2:$K$10000,MATCH($A565&amp;S$1,JupData!$A$2:$A$10000&amp;JupData!$J$2:$J$10000,0),11))</f>
        <v/>
      </c>
      <c r="T565" t="str">
        <f t="array" ref="T565">IF($A565="","",INDEX(JupData!$A$2:$K$10000,MATCH($A565&amp;T$1,JupData!$A$2:$A$10000&amp;JupData!$J$2:$J$10000,0),11))</f>
        <v/>
      </c>
      <c r="U565" t="str">
        <f t="array" ref="U565">IF($A565="","",INDEX(JupData!$A$2:$K$10000,MATCH($A565&amp;U$1,JupData!$A$2:$A$10000&amp;JupData!$J$2:$J$10000,0),11))</f>
        <v/>
      </c>
      <c r="V565" t="str">
        <f t="array" ref="V565">IF($A565="","",INDEX(JupData!$A$2:$K$10000,MATCH($A565&amp;V$1,JupData!$A$2:$A$10000&amp;JupData!$J$2:$J$10000,0),11))</f>
        <v/>
      </c>
      <c r="W565" t="str">
        <f t="array" ref="W565">IF($A565="","",INDEX(JupData!$A$2:$K$10000,MATCH($A565&amp;W$1,JupData!$A$2:$A$10000&amp;JupData!$J$2:$J$10000,0),11))</f>
        <v/>
      </c>
      <c r="X565" t="str">
        <f t="array" ref="X565">IF($A565="","",INDEX(JupData!$A$2:$K$10000,MATCH($A565&amp;X$1,JupData!$A$2:$A$10000&amp;JupData!$J$2:$J$10000,0),11))</f>
        <v/>
      </c>
      <c r="Y565" t="str">
        <f t="array" ref="Y565">IF($A565="","",INDEX(JupData!$A$2:$K$10000,MATCH($A565&amp;Y$1,JupData!$A$2:$A$10000&amp;JupData!$J$2:$J$10000,0),11))</f>
        <v/>
      </c>
      <c r="Z565" t="str">
        <f t="array" ref="Z565">IF($A565="","",INDEX(JupData!$A$2:$K$10000,MATCH($A565&amp;Z$1,JupData!$A$2:$A$10000&amp;JupData!$J$2:$J$10000,0),11))</f>
        <v/>
      </c>
      <c r="AA565" t="str">
        <f t="array" ref="AA565">IF($A565="","",INDEX(JupData!$A$2:$K$10000,MATCH($A565&amp;AA$1,JupData!$A$2:$A$10000&amp;JupData!$J$2:$J$10000,0),11))</f>
        <v/>
      </c>
      <c r="AB565" t="str">
        <f t="array" ref="AB565">IF($A565="","",INDEX(JupData!$A$2:$K$10000,MATCH($A565&amp;AB$1,JupData!$A$2:$A$10000&amp;JupData!$J$2:$J$10000,0),11))</f>
        <v/>
      </c>
      <c r="AC565" s="10" t="str">
        <f t="shared" si="88"/>
        <v/>
      </c>
      <c r="AD565" s="10" t="str">
        <f t="shared" si="89"/>
        <v/>
      </c>
      <c r="AE565" s="9" t="str">
        <f t="shared" si="90"/>
        <v/>
      </c>
      <c r="AF565" s="10" t="str">
        <f t="shared" si="91"/>
        <v/>
      </c>
      <c r="AG565" s="10" t="str">
        <f t="shared" si="92"/>
        <v/>
      </c>
      <c r="AH565" s="10" t="str">
        <f t="shared" si="93"/>
        <v/>
      </c>
      <c r="AI565" s="10" t="str">
        <f t="shared" si="94"/>
        <v/>
      </c>
      <c r="AJ565" s="10" t="str">
        <f t="shared" si="95"/>
        <v/>
      </c>
      <c r="AK565" s="10" t="str">
        <f t="shared" si="96"/>
        <v/>
      </c>
      <c r="AL565" s="14" t="str">
        <f t="shared" si="97"/>
        <v/>
      </c>
    </row>
    <row r="566" spans="1:38" x14ac:dyDescent="0.2">
      <c r="A566"/>
      <c r="B566" t="str">
        <f>IF($A566="","",VLOOKUP($A566,JupData!$A$2:$I$10000,4,FALSE))</f>
        <v/>
      </c>
      <c r="C566" s="7" t="str">
        <f>IF($A566="",IF(N(D566),0,""),VLOOKUP($A566,JupData!$A$2:$I$10000,7,FALSE))</f>
        <v/>
      </c>
      <c r="D566" t="str">
        <f t="shared" si="98"/>
        <v/>
      </c>
      <c r="E566" t="str">
        <f t="array" ref="E566">IF($A566="","",INDEX(JupData!$A$2:$K$10000,MATCH($A566&amp;E$1,JupData!$A$2:$A$10000&amp;JupData!$J$2:$J$10000,0),11))</f>
        <v/>
      </c>
      <c r="F566" t="str">
        <f t="array" ref="F566">IF($A566="","",INDEX(JupData!$A$2:$K$10000,MATCH($A566&amp;F$1,JupData!$A$2:$A$10000&amp;JupData!$J$2:$J$10000,0),11))</f>
        <v/>
      </c>
      <c r="G566" t="str">
        <f t="array" ref="G566">IF($A566="","",INDEX(JupData!$A$2:$K$10000,MATCH($A566&amp;G$1,JupData!$A$2:$A$10000&amp;JupData!$J$2:$J$10000,0),11))</f>
        <v/>
      </c>
      <c r="H566" t="str">
        <f t="array" ref="H566">IF($A566="","",INDEX(JupData!$A$2:$K$10000,MATCH($A566&amp;H$1,JupData!$A$2:$A$10000&amp;JupData!$J$2:$J$10000,0),11))</f>
        <v/>
      </c>
      <c r="I566" t="str">
        <f t="array" ref="I566">IF($A566="","",INDEX(JupData!$A$2:$K$10000,MATCH($A566&amp;I$1,JupData!$A$2:$A$10000&amp;JupData!$J$2:$J$10000,0),11))</f>
        <v/>
      </c>
      <c r="J566" t="str">
        <f t="array" ref="J566">IF($A566="","",INDEX(JupData!$A$2:$K$10000,MATCH($A566&amp;J$1,JupData!$A$2:$A$10000&amp;JupData!$J$2:$J$10000,0),11))</f>
        <v/>
      </c>
      <c r="K566" t="str">
        <f t="array" ref="K566">IF($A566="","",INDEX(JupData!$A$2:$K$10000,MATCH($A566&amp;K$1,JupData!$A$2:$A$10000&amp;JupData!$J$2:$J$10000,0),11))</f>
        <v/>
      </c>
      <c r="L566" t="str">
        <f t="array" ref="L566">IF($A566="","",INDEX(JupData!$A$2:$K$10000,MATCH($A566&amp;L$1,JupData!$A$2:$A$10000&amp;JupData!$J$2:$J$10000,0),11))</f>
        <v/>
      </c>
      <c r="M566" t="str">
        <f t="array" ref="M566">IF($A566="","",INDEX(JupData!$A$2:$K$10000,MATCH($A566&amp;M$1,JupData!$A$2:$A$10000&amp;JupData!$J$2:$J$10000,0),11))</f>
        <v/>
      </c>
      <c r="N566" t="str">
        <f t="array" ref="N566">IF($A566="","",INDEX(JupData!$A$2:$K$10000,MATCH($A566&amp;N$1,JupData!$A$2:$A$10000&amp;JupData!$J$2:$J$10000,0),11))</f>
        <v/>
      </c>
      <c r="O566" t="str">
        <f t="array" ref="O566">IF($A566="","",INDEX(JupData!$A$2:$K$10000,MATCH($A566&amp;O$1,JupData!$A$2:$A$10000&amp;JupData!$J$2:$J$10000,0),11))</f>
        <v/>
      </c>
      <c r="P566" t="str">
        <f t="array" ref="P566">IF($A566="","",INDEX(JupData!$A$2:$K$10000,MATCH($A566&amp;P$1,JupData!$A$2:$A$10000&amp;JupData!$J$2:$J$10000,0),11))</f>
        <v/>
      </c>
      <c r="Q566" t="str">
        <f t="array" ref="Q566">IF($A566="","",INDEX(JupData!$A$2:$K$10000,MATCH($A566&amp;Q$1,JupData!$A$2:$A$10000&amp;JupData!$J$2:$J$10000,0),11))</f>
        <v/>
      </c>
      <c r="R566" t="str">
        <f t="array" ref="R566">IF($A566="","",INDEX(JupData!$A$2:$K$10000,MATCH($A566&amp;R$1,JupData!$A$2:$A$10000&amp;JupData!$J$2:$J$10000,0),11))</f>
        <v/>
      </c>
      <c r="S566" t="str">
        <f t="array" ref="S566">IF($A566="","",INDEX(JupData!$A$2:$K$10000,MATCH($A566&amp;S$1,JupData!$A$2:$A$10000&amp;JupData!$J$2:$J$10000,0),11))</f>
        <v/>
      </c>
      <c r="T566" t="str">
        <f t="array" ref="T566">IF($A566="","",INDEX(JupData!$A$2:$K$10000,MATCH($A566&amp;T$1,JupData!$A$2:$A$10000&amp;JupData!$J$2:$J$10000,0),11))</f>
        <v/>
      </c>
      <c r="U566" t="str">
        <f t="array" ref="U566">IF($A566="","",INDEX(JupData!$A$2:$K$10000,MATCH($A566&amp;U$1,JupData!$A$2:$A$10000&amp;JupData!$J$2:$J$10000,0),11))</f>
        <v/>
      </c>
      <c r="V566" t="str">
        <f t="array" ref="V566">IF($A566="","",INDEX(JupData!$A$2:$K$10000,MATCH($A566&amp;V$1,JupData!$A$2:$A$10000&amp;JupData!$J$2:$J$10000,0),11))</f>
        <v/>
      </c>
      <c r="W566" t="str">
        <f t="array" ref="W566">IF($A566="","",INDEX(JupData!$A$2:$K$10000,MATCH($A566&amp;W$1,JupData!$A$2:$A$10000&amp;JupData!$J$2:$J$10000,0),11))</f>
        <v/>
      </c>
      <c r="X566" t="str">
        <f t="array" ref="X566">IF($A566="","",INDEX(JupData!$A$2:$K$10000,MATCH($A566&amp;X$1,JupData!$A$2:$A$10000&amp;JupData!$J$2:$J$10000,0),11))</f>
        <v/>
      </c>
      <c r="Y566" t="str">
        <f t="array" ref="Y566">IF($A566="","",INDEX(JupData!$A$2:$K$10000,MATCH($A566&amp;Y$1,JupData!$A$2:$A$10000&amp;JupData!$J$2:$J$10000,0),11))</f>
        <v/>
      </c>
      <c r="Z566" t="str">
        <f t="array" ref="Z566">IF($A566="","",INDEX(JupData!$A$2:$K$10000,MATCH($A566&amp;Z$1,JupData!$A$2:$A$10000&amp;JupData!$J$2:$J$10000,0),11))</f>
        <v/>
      </c>
      <c r="AA566" t="str">
        <f t="array" ref="AA566">IF($A566="","",INDEX(JupData!$A$2:$K$10000,MATCH($A566&amp;AA$1,JupData!$A$2:$A$10000&amp;JupData!$J$2:$J$10000,0),11))</f>
        <v/>
      </c>
      <c r="AB566" t="str">
        <f t="array" ref="AB566">IF($A566="","",INDEX(JupData!$A$2:$K$10000,MATCH($A566&amp;AB$1,JupData!$A$2:$A$10000&amp;JupData!$J$2:$J$10000,0),11))</f>
        <v/>
      </c>
      <c r="AC566" s="10" t="str">
        <f t="shared" si="88"/>
        <v/>
      </c>
      <c r="AD566" s="10" t="str">
        <f t="shared" si="89"/>
        <v/>
      </c>
      <c r="AE566" s="9" t="str">
        <f t="shared" si="90"/>
        <v/>
      </c>
      <c r="AF566" s="10" t="str">
        <f t="shared" si="91"/>
        <v/>
      </c>
      <c r="AG566" s="10" t="str">
        <f t="shared" si="92"/>
        <v/>
      </c>
      <c r="AH566" s="10" t="str">
        <f t="shared" si="93"/>
        <v/>
      </c>
      <c r="AI566" s="10" t="str">
        <f t="shared" si="94"/>
        <v/>
      </c>
      <c r="AJ566" s="10" t="str">
        <f t="shared" si="95"/>
        <v/>
      </c>
      <c r="AK566" s="10" t="str">
        <f t="shared" si="96"/>
        <v/>
      </c>
      <c r="AL566" s="14" t="str">
        <f t="shared" si="97"/>
        <v/>
      </c>
    </row>
    <row r="567" spans="1:38" x14ac:dyDescent="0.2">
      <c r="A567"/>
      <c r="B567" t="str">
        <f>IF($A567="","",VLOOKUP($A567,JupData!$A$2:$I$10000,4,FALSE))</f>
        <v/>
      </c>
      <c r="C567" s="7" t="str">
        <f>IF($A567="",IF(N(D567),0,""),VLOOKUP($A567,JupData!$A$2:$I$10000,7,FALSE))</f>
        <v/>
      </c>
      <c r="D567" t="str">
        <f t="shared" si="98"/>
        <v/>
      </c>
      <c r="E567" t="str">
        <f t="array" ref="E567">IF($A567="","",INDEX(JupData!$A$2:$K$10000,MATCH($A567&amp;E$1,JupData!$A$2:$A$10000&amp;JupData!$J$2:$J$10000,0),11))</f>
        <v/>
      </c>
      <c r="F567" t="str">
        <f t="array" ref="F567">IF($A567="","",INDEX(JupData!$A$2:$K$10000,MATCH($A567&amp;F$1,JupData!$A$2:$A$10000&amp;JupData!$J$2:$J$10000,0),11))</f>
        <v/>
      </c>
      <c r="G567" t="str">
        <f t="array" ref="G567">IF($A567="","",INDEX(JupData!$A$2:$K$10000,MATCH($A567&amp;G$1,JupData!$A$2:$A$10000&amp;JupData!$J$2:$J$10000,0),11))</f>
        <v/>
      </c>
      <c r="H567" t="str">
        <f t="array" ref="H567">IF($A567="","",INDEX(JupData!$A$2:$K$10000,MATCH($A567&amp;H$1,JupData!$A$2:$A$10000&amp;JupData!$J$2:$J$10000,0),11))</f>
        <v/>
      </c>
      <c r="I567" t="str">
        <f t="array" ref="I567">IF($A567="","",INDEX(JupData!$A$2:$K$10000,MATCH($A567&amp;I$1,JupData!$A$2:$A$10000&amp;JupData!$J$2:$J$10000,0),11))</f>
        <v/>
      </c>
      <c r="J567" t="str">
        <f t="array" ref="J567">IF($A567="","",INDEX(JupData!$A$2:$K$10000,MATCH($A567&amp;J$1,JupData!$A$2:$A$10000&amp;JupData!$J$2:$J$10000,0),11))</f>
        <v/>
      </c>
      <c r="K567" t="str">
        <f t="array" ref="K567">IF($A567="","",INDEX(JupData!$A$2:$K$10000,MATCH($A567&amp;K$1,JupData!$A$2:$A$10000&amp;JupData!$J$2:$J$10000,0),11))</f>
        <v/>
      </c>
      <c r="L567" t="str">
        <f t="array" ref="L567">IF($A567="","",INDEX(JupData!$A$2:$K$10000,MATCH($A567&amp;L$1,JupData!$A$2:$A$10000&amp;JupData!$J$2:$J$10000,0),11))</f>
        <v/>
      </c>
      <c r="M567" t="str">
        <f t="array" ref="M567">IF($A567="","",INDEX(JupData!$A$2:$K$10000,MATCH($A567&amp;M$1,JupData!$A$2:$A$10000&amp;JupData!$J$2:$J$10000,0),11))</f>
        <v/>
      </c>
      <c r="N567" t="str">
        <f t="array" ref="N567">IF($A567="","",INDEX(JupData!$A$2:$K$10000,MATCH($A567&amp;N$1,JupData!$A$2:$A$10000&amp;JupData!$J$2:$J$10000,0),11))</f>
        <v/>
      </c>
      <c r="O567" t="str">
        <f t="array" ref="O567">IF($A567="","",INDEX(JupData!$A$2:$K$10000,MATCH($A567&amp;O$1,JupData!$A$2:$A$10000&amp;JupData!$J$2:$J$10000,0),11))</f>
        <v/>
      </c>
      <c r="P567" t="str">
        <f t="array" ref="P567">IF($A567="","",INDEX(JupData!$A$2:$K$10000,MATCH($A567&amp;P$1,JupData!$A$2:$A$10000&amp;JupData!$J$2:$J$10000,0),11))</f>
        <v/>
      </c>
      <c r="Q567" t="str">
        <f t="array" ref="Q567">IF($A567="","",INDEX(JupData!$A$2:$K$10000,MATCH($A567&amp;Q$1,JupData!$A$2:$A$10000&amp;JupData!$J$2:$J$10000,0),11))</f>
        <v/>
      </c>
      <c r="R567" t="str">
        <f t="array" ref="R567">IF($A567="","",INDEX(JupData!$A$2:$K$10000,MATCH($A567&amp;R$1,JupData!$A$2:$A$10000&amp;JupData!$J$2:$J$10000,0),11))</f>
        <v/>
      </c>
      <c r="S567" t="str">
        <f t="array" ref="S567">IF($A567="","",INDEX(JupData!$A$2:$K$10000,MATCH($A567&amp;S$1,JupData!$A$2:$A$10000&amp;JupData!$J$2:$J$10000,0),11))</f>
        <v/>
      </c>
      <c r="T567" t="str">
        <f t="array" ref="T567">IF($A567="","",INDEX(JupData!$A$2:$K$10000,MATCH($A567&amp;T$1,JupData!$A$2:$A$10000&amp;JupData!$J$2:$J$10000,0),11))</f>
        <v/>
      </c>
      <c r="U567" t="str">
        <f t="array" ref="U567">IF($A567="","",INDEX(JupData!$A$2:$K$10000,MATCH($A567&amp;U$1,JupData!$A$2:$A$10000&amp;JupData!$J$2:$J$10000,0),11))</f>
        <v/>
      </c>
      <c r="V567" t="str">
        <f t="array" ref="V567">IF($A567="","",INDEX(JupData!$A$2:$K$10000,MATCH($A567&amp;V$1,JupData!$A$2:$A$10000&amp;JupData!$J$2:$J$10000,0),11))</f>
        <v/>
      </c>
      <c r="W567" t="str">
        <f t="array" ref="W567">IF($A567="","",INDEX(JupData!$A$2:$K$10000,MATCH($A567&amp;W$1,JupData!$A$2:$A$10000&amp;JupData!$J$2:$J$10000,0),11))</f>
        <v/>
      </c>
      <c r="X567" t="str">
        <f t="array" ref="X567">IF($A567="","",INDEX(JupData!$A$2:$K$10000,MATCH($A567&amp;X$1,JupData!$A$2:$A$10000&amp;JupData!$J$2:$J$10000,0),11))</f>
        <v/>
      </c>
      <c r="Y567" t="str">
        <f t="array" ref="Y567">IF($A567="","",INDEX(JupData!$A$2:$K$10000,MATCH($A567&amp;Y$1,JupData!$A$2:$A$10000&amp;JupData!$J$2:$J$10000,0),11))</f>
        <v/>
      </c>
      <c r="Z567" t="str">
        <f t="array" ref="Z567">IF($A567="","",INDEX(JupData!$A$2:$K$10000,MATCH($A567&amp;Z$1,JupData!$A$2:$A$10000&amp;JupData!$J$2:$J$10000,0),11))</f>
        <v/>
      </c>
      <c r="AA567" t="str">
        <f t="array" ref="AA567">IF($A567="","",INDEX(JupData!$A$2:$K$10000,MATCH($A567&amp;AA$1,JupData!$A$2:$A$10000&amp;JupData!$J$2:$J$10000,0),11))</f>
        <v/>
      </c>
      <c r="AB567" t="str">
        <f t="array" ref="AB567">IF($A567="","",INDEX(JupData!$A$2:$K$10000,MATCH($A567&amp;AB$1,JupData!$A$2:$A$10000&amp;JupData!$J$2:$J$10000,0),11))</f>
        <v/>
      </c>
      <c r="AC567" s="10" t="str">
        <f t="shared" si="88"/>
        <v/>
      </c>
      <c r="AD567" s="10" t="str">
        <f t="shared" si="89"/>
        <v/>
      </c>
      <c r="AE567" s="9" t="str">
        <f t="shared" si="90"/>
        <v/>
      </c>
      <c r="AF567" s="10" t="str">
        <f t="shared" si="91"/>
        <v/>
      </c>
      <c r="AG567" s="10" t="str">
        <f t="shared" si="92"/>
        <v/>
      </c>
      <c r="AH567" s="10" t="str">
        <f t="shared" si="93"/>
        <v/>
      </c>
      <c r="AI567" s="10" t="str">
        <f t="shared" si="94"/>
        <v/>
      </c>
      <c r="AJ567" s="10" t="str">
        <f t="shared" si="95"/>
        <v/>
      </c>
      <c r="AK567" s="10" t="str">
        <f t="shared" si="96"/>
        <v/>
      </c>
      <c r="AL567" s="14" t="str">
        <f t="shared" si="97"/>
        <v/>
      </c>
    </row>
    <row r="568" spans="1:38" x14ac:dyDescent="0.2">
      <c r="A568"/>
      <c r="B568" t="str">
        <f>IF($A568="","",VLOOKUP($A568,JupData!$A$2:$I$10000,4,FALSE))</f>
        <v/>
      </c>
      <c r="C568" s="7" t="str">
        <f>IF($A568="",IF(N(D568),0,""),VLOOKUP($A568,JupData!$A$2:$I$10000,7,FALSE))</f>
        <v/>
      </c>
      <c r="D568" t="str">
        <f t="shared" si="98"/>
        <v/>
      </c>
      <c r="E568" t="str">
        <f t="array" ref="E568">IF($A568="","",INDEX(JupData!$A$2:$K$10000,MATCH($A568&amp;E$1,JupData!$A$2:$A$10000&amp;JupData!$J$2:$J$10000,0),11))</f>
        <v/>
      </c>
      <c r="F568" t="str">
        <f t="array" ref="F568">IF($A568="","",INDEX(JupData!$A$2:$K$10000,MATCH($A568&amp;F$1,JupData!$A$2:$A$10000&amp;JupData!$J$2:$J$10000,0),11))</f>
        <v/>
      </c>
      <c r="G568" t="str">
        <f t="array" ref="G568">IF($A568="","",INDEX(JupData!$A$2:$K$10000,MATCH($A568&amp;G$1,JupData!$A$2:$A$10000&amp;JupData!$J$2:$J$10000,0),11))</f>
        <v/>
      </c>
      <c r="H568" t="str">
        <f t="array" ref="H568">IF($A568="","",INDEX(JupData!$A$2:$K$10000,MATCH($A568&amp;H$1,JupData!$A$2:$A$10000&amp;JupData!$J$2:$J$10000,0),11))</f>
        <v/>
      </c>
      <c r="I568" t="str">
        <f t="array" ref="I568">IF($A568="","",INDEX(JupData!$A$2:$K$10000,MATCH($A568&amp;I$1,JupData!$A$2:$A$10000&amp;JupData!$J$2:$J$10000,0),11))</f>
        <v/>
      </c>
      <c r="J568" t="str">
        <f t="array" ref="J568">IF($A568="","",INDEX(JupData!$A$2:$K$10000,MATCH($A568&amp;J$1,JupData!$A$2:$A$10000&amp;JupData!$J$2:$J$10000,0),11))</f>
        <v/>
      </c>
      <c r="K568" t="str">
        <f t="array" ref="K568">IF($A568="","",INDEX(JupData!$A$2:$K$10000,MATCH($A568&amp;K$1,JupData!$A$2:$A$10000&amp;JupData!$J$2:$J$10000,0),11))</f>
        <v/>
      </c>
      <c r="L568" t="str">
        <f t="array" ref="L568">IF($A568="","",INDEX(JupData!$A$2:$K$10000,MATCH($A568&amp;L$1,JupData!$A$2:$A$10000&amp;JupData!$J$2:$J$10000,0),11))</f>
        <v/>
      </c>
      <c r="M568" t="str">
        <f t="array" ref="M568">IF($A568="","",INDEX(JupData!$A$2:$K$10000,MATCH($A568&amp;M$1,JupData!$A$2:$A$10000&amp;JupData!$J$2:$J$10000,0),11))</f>
        <v/>
      </c>
      <c r="N568" t="str">
        <f t="array" ref="N568">IF($A568="","",INDEX(JupData!$A$2:$K$10000,MATCH($A568&amp;N$1,JupData!$A$2:$A$10000&amp;JupData!$J$2:$J$10000,0),11))</f>
        <v/>
      </c>
      <c r="O568" t="str">
        <f t="array" ref="O568">IF($A568="","",INDEX(JupData!$A$2:$K$10000,MATCH($A568&amp;O$1,JupData!$A$2:$A$10000&amp;JupData!$J$2:$J$10000,0),11))</f>
        <v/>
      </c>
      <c r="P568" t="str">
        <f t="array" ref="P568">IF($A568="","",INDEX(JupData!$A$2:$K$10000,MATCH($A568&amp;P$1,JupData!$A$2:$A$10000&amp;JupData!$J$2:$J$10000,0),11))</f>
        <v/>
      </c>
      <c r="Q568" t="str">
        <f t="array" ref="Q568">IF($A568="","",INDEX(JupData!$A$2:$K$10000,MATCH($A568&amp;Q$1,JupData!$A$2:$A$10000&amp;JupData!$J$2:$J$10000,0),11))</f>
        <v/>
      </c>
      <c r="R568" t="str">
        <f t="array" ref="R568">IF($A568="","",INDEX(JupData!$A$2:$K$10000,MATCH($A568&amp;R$1,JupData!$A$2:$A$10000&amp;JupData!$J$2:$J$10000,0),11))</f>
        <v/>
      </c>
      <c r="S568" t="str">
        <f t="array" ref="S568">IF($A568="","",INDEX(JupData!$A$2:$K$10000,MATCH($A568&amp;S$1,JupData!$A$2:$A$10000&amp;JupData!$J$2:$J$10000,0),11))</f>
        <v/>
      </c>
      <c r="T568" t="str">
        <f t="array" ref="T568">IF($A568="","",INDEX(JupData!$A$2:$K$10000,MATCH($A568&amp;T$1,JupData!$A$2:$A$10000&amp;JupData!$J$2:$J$10000,0),11))</f>
        <v/>
      </c>
      <c r="U568" t="str">
        <f t="array" ref="U568">IF($A568="","",INDEX(JupData!$A$2:$K$10000,MATCH($A568&amp;U$1,JupData!$A$2:$A$10000&amp;JupData!$J$2:$J$10000,0),11))</f>
        <v/>
      </c>
      <c r="V568" t="str">
        <f t="array" ref="V568">IF($A568="","",INDEX(JupData!$A$2:$K$10000,MATCH($A568&amp;V$1,JupData!$A$2:$A$10000&amp;JupData!$J$2:$J$10000,0),11))</f>
        <v/>
      </c>
      <c r="W568" t="str">
        <f t="array" ref="W568">IF($A568="","",INDEX(JupData!$A$2:$K$10000,MATCH($A568&amp;W$1,JupData!$A$2:$A$10000&amp;JupData!$J$2:$J$10000,0),11))</f>
        <v/>
      </c>
      <c r="X568" t="str">
        <f t="array" ref="X568">IF($A568="","",INDEX(JupData!$A$2:$K$10000,MATCH($A568&amp;X$1,JupData!$A$2:$A$10000&amp;JupData!$J$2:$J$10000,0),11))</f>
        <v/>
      </c>
      <c r="Y568" t="str">
        <f t="array" ref="Y568">IF($A568="","",INDEX(JupData!$A$2:$K$10000,MATCH($A568&amp;Y$1,JupData!$A$2:$A$10000&amp;JupData!$J$2:$J$10000,0),11))</f>
        <v/>
      </c>
      <c r="Z568" t="str">
        <f t="array" ref="Z568">IF($A568="","",INDEX(JupData!$A$2:$K$10000,MATCH($A568&amp;Z$1,JupData!$A$2:$A$10000&amp;JupData!$J$2:$J$10000,0),11))</f>
        <v/>
      </c>
      <c r="AA568" t="str">
        <f t="array" ref="AA568">IF($A568="","",INDEX(JupData!$A$2:$K$10000,MATCH($A568&amp;AA$1,JupData!$A$2:$A$10000&amp;JupData!$J$2:$J$10000,0),11))</f>
        <v/>
      </c>
      <c r="AB568" t="str">
        <f t="array" ref="AB568">IF($A568="","",INDEX(JupData!$A$2:$K$10000,MATCH($A568&amp;AB$1,JupData!$A$2:$A$10000&amp;JupData!$J$2:$J$10000,0),11))</f>
        <v/>
      </c>
      <c r="AC568" s="10" t="str">
        <f t="shared" si="88"/>
        <v/>
      </c>
      <c r="AD568" s="10" t="str">
        <f t="shared" si="89"/>
        <v/>
      </c>
      <c r="AE568" s="9" t="str">
        <f t="shared" si="90"/>
        <v/>
      </c>
      <c r="AF568" s="10" t="str">
        <f t="shared" si="91"/>
        <v/>
      </c>
      <c r="AG568" s="10" t="str">
        <f t="shared" si="92"/>
        <v/>
      </c>
      <c r="AH568" s="10" t="str">
        <f t="shared" si="93"/>
        <v/>
      </c>
      <c r="AI568" s="10" t="str">
        <f t="shared" si="94"/>
        <v/>
      </c>
      <c r="AJ568" s="10" t="str">
        <f t="shared" si="95"/>
        <v/>
      </c>
      <c r="AK568" s="10" t="str">
        <f t="shared" si="96"/>
        <v/>
      </c>
      <c r="AL568" s="14" t="str">
        <f t="shared" si="97"/>
        <v/>
      </c>
    </row>
    <row r="569" spans="1:38" x14ac:dyDescent="0.2">
      <c r="A569"/>
      <c r="B569" t="str">
        <f>IF($A569="","",VLOOKUP($A569,JupData!$A$2:$I$10000,4,FALSE))</f>
        <v/>
      </c>
      <c r="C569" s="7" t="str">
        <f>IF($A569="",IF(N(D569),0,""),VLOOKUP($A569,JupData!$A$2:$I$10000,7,FALSE))</f>
        <v/>
      </c>
      <c r="D569" t="str">
        <f t="shared" si="98"/>
        <v/>
      </c>
      <c r="E569" t="str">
        <f t="array" ref="E569">IF($A569="","",INDEX(JupData!$A$2:$K$10000,MATCH($A569&amp;E$1,JupData!$A$2:$A$10000&amp;JupData!$J$2:$J$10000,0),11))</f>
        <v/>
      </c>
      <c r="F569" t="str">
        <f t="array" ref="F569">IF($A569="","",INDEX(JupData!$A$2:$K$10000,MATCH($A569&amp;F$1,JupData!$A$2:$A$10000&amp;JupData!$J$2:$J$10000,0),11))</f>
        <v/>
      </c>
      <c r="G569" t="str">
        <f t="array" ref="G569">IF($A569="","",INDEX(JupData!$A$2:$K$10000,MATCH($A569&amp;G$1,JupData!$A$2:$A$10000&amp;JupData!$J$2:$J$10000,0),11))</f>
        <v/>
      </c>
      <c r="H569" t="str">
        <f t="array" ref="H569">IF($A569="","",INDEX(JupData!$A$2:$K$10000,MATCH($A569&amp;H$1,JupData!$A$2:$A$10000&amp;JupData!$J$2:$J$10000,0),11))</f>
        <v/>
      </c>
      <c r="I569" t="str">
        <f t="array" ref="I569">IF($A569="","",INDEX(JupData!$A$2:$K$10000,MATCH($A569&amp;I$1,JupData!$A$2:$A$10000&amp;JupData!$J$2:$J$10000,0),11))</f>
        <v/>
      </c>
      <c r="J569" t="str">
        <f t="array" ref="J569">IF($A569="","",INDEX(JupData!$A$2:$K$10000,MATCH($A569&amp;J$1,JupData!$A$2:$A$10000&amp;JupData!$J$2:$J$10000,0),11))</f>
        <v/>
      </c>
      <c r="K569" t="str">
        <f t="array" ref="K569">IF($A569="","",INDEX(JupData!$A$2:$K$10000,MATCH($A569&amp;K$1,JupData!$A$2:$A$10000&amp;JupData!$J$2:$J$10000,0),11))</f>
        <v/>
      </c>
      <c r="L569" t="str">
        <f t="array" ref="L569">IF($A569="","",INDEX(JupData!$A$2:$K$10000,MATCH($A569&amp;L$1,JupData!$A$2:$A$10000&amp;JupData!$J$2:$J$10000,0),11))</f>
        <v/>
      </c>
      <c r="M569" t="str">
        <f t="array" ref="M569">IF($A569="","",INDEX(JupData!$A$2:$K$10000,MATCH($A569&amp;M$1,JupData!$A$2:$A$10000&amp;JupData!$J$2:$J$10000,0),11))</f>
        <v/>
      </c>
      <c r="N569" t="str">
        <f t="array" ref="N569">IF($A569="","",INDEX(JupData!$A$2:$K$10000,MATCH($A569&amp;N$1,JupData!$A$2:$A$10000&amp;JupData!$J$2:$J$10000,0),11))</f>
        <v/>
      </c>
      <c r="O569" t="str">
        <f t="array" ref="O569">IF($A569="","",INDEX(JupData!$A$2:$K$10000,MATCH($A569&amp;O$1,JupData!$A$2:$A$10000&amp;JupData!$J$2:$J$10000,0),11))</f>
        <v/>
      </c>
      <c r="P569" t="str">
        <f t="array" ref="P569">IF($A569="","",INDEX(JupData!$A$2:$K$10000,MATCH($A569&amp;P$1,JupData!$A$2:$A$10000&amp;JupData!$J$2:$J$10000,0),11))</f>
        <v/>
      </c>
      <c r="Q569" t="str">
        <f t="array" ref="Q569">IF($A569="","",INDEX(JupData!$A$2:$K$10000,MATCH($A569&amp;Q$1,JupData!$A$2:$A$10000&amp;JupData!$J$2:$J$10000,0),11))</f>
        <v/>
      </c>
      <c r="R569" t="str">
        <f t="array" ref="R569">IF($A569="","",INDEX(JupData!$A$2:$K$10000,MATCH($A569&amp;R$1,JupData!$A$2:$A$10000&amp;JupData!$J$2:$J$10000,0),11))</f>
        <v/>
      </c>
      <c r="S569" t="str">
        <f t="array" ref="S569">IF($A569="","",INDEX(JupData!$A$2:$K$10000,MATCH($A569&amp;S$1,JupData!$A$2:$A$10000&amp;JupData!$J$2:$J$10000,0),11))</f>
        <v/>
      </c>
      <c r="T569" t="str">
        <f t="array" ref="T569">IF($A569="","",INDEX(JupData!$A$2:$K$10000,MATCH($A569&amp;T$1,JupData!$A$2:$A$10000&amp;JupData!$J$2:$J$10000,0),11))</f>
        <v/>
      </c>
      <c r="U569" t="str">
        <f t="array" ref="U569">IF($A569="","",INDEX(JupData!$A$2:$K$10000,MATCH($A569&amp;U$1,JupData!$A$2:$A$10000&amp;JupData!$J$2:$J$10000,0),11))</f>
        <v/>
      </c>
      <c r="V569" t="str">
        <f t="array" ref="V569">IF($A569="","",INDEX(JupData!$A$2:$K$10000,MATCH($A569&amp;V$1,JupData!$A$2:$A$10000&amp;JupData!$J$2:$J$10000,0),11))</f>
        <v/>
      </c>
      <c r="W569" t="str">
        <f t="array" ref="W569">IF($A569="","",INDEX(JupData!$A$2:$K$10000,MATCH($A569&amp;W$1,JupData!$A$2:$A$10000&amp;JupData!$J$2:$J$10000,0),11))</f>
        <v/>
      </c>
      <c r="X569" t="str">
        <f t="array" ref="X569">IF($A569="","",INDEX(JupData!$A$2:$K$10000,MATCH($A569&amp;X$1,JupData!$A$2:$A$10000&amp;JupData!$J$2:$J$10000,0),11))</f>
        <v/>
      </c>
      <c r="Y569" t="str">
        <f t="array" ref="Y569">IF($A569="","",INDEX(JupData!$A$2:$K$10000,MATCH($A569&amp;Y$1,JupData!$A$2:$A$10000&amp;JupData!$J$2:$J$10000,0),11))</f>
        <v/>
      </c>
      <c r="Z569" t="str">
        <f t="array" ref="Z569">IF($A569="","",INDEX(JupData!$A$2:$K$10000,MATCH($A569&amp;Z$1,JupData!$A$2:$A$10000&amp;JupData!$J$2:$J$10000,0),11))</f>
        <v/>
      </c>
      <c r="AA569" t="str">
        <f t="array" ref="AA569">IF($A569="","",INDEX(JupData!$A$2:$K$10000,MATCH($A569&amp;AA$1,JupData!$A$2:$A$10000&amp;JupData!$J$2:$J$10000,0),11))</f>
        <v/>
      </c>
      <c r="AB569" t="str">
        <f t="array" ref="AB569">IF($A569="","",INDEX(JupData!$A$2:$K$10000,MATCH($A569&amp;AB$1,JupData!$A$2:$A$10000&amp;JupData!$J$2:$J$10000,0),11))</f>
        <v/>
      </c>
      <c r="AC569" s="10" t="str">
        <f t="shared" si="88"/>
        <v/>
      </c>
      <c r="AD569" s="10" t="str">
        <f t="shared" si="89"/>
        <v/>
      </c>
      <c r="AE569" s="9" t="str">
        <f t="shared" si="90"/>
        <v/>
      </c>
      <c r="AF569" s="10" t="str">
        <f t="shared" si="91"/>
        <v/>
      </c>
      <c r="AG569" s="10" t="str">
        <f t="shared" si="92"/>
        <v/>
      </c>
      <c r="AH569" s="10" t="str">
        <f t="shared" si="93"/>
        <v/>
      </c>
      <c r="AI569" s="10" t="str">
        <f t="shared" si="94"/>
        <v/>
      </c>
      <c r="AJ569" s="10" t="str">
        <f t="shared" si="95"/>
        <v/>
      </c>
      <c r="AK569" s="10" t="str">
        <f t="shared" si="96"/>
        <v/>
      </c>
      <c r="AL569" s="14" t="str">
        <f t="shared" si="97"/>
        <v/>
      </c>
    </row>
    <row r="570" spans="1:38" x14ac:dyDescent="0.2">
      <c r="A570"/>
      <c r="B570" t="str">
        <f>IF($A570="","",VLOOKUP($A570,JupData!$A$2:$I$10000,4,FALSE))</f>
        <v/>
      </c>
      <c r="C570" s="7" t="str">
        <f>IF($A570="",IF(N(D570),0,""),VLOOKUP($A570,JupData!$A$2:$I$10000,7,FALSE))</f>
        <v/>
      </c>
      <c r="D570" t="str">
        <f t="shared" si="98"/>
        <v/>
      </c>
      <c r="E570" t="str">
        <f t="array" ref="E570">IF($A570="","",INDEX(JupData!$A$2:$K$10000,MATCH($A570&amp;E$1,JupData!$A$2:$A$10000&amp;JupData!$J$2:$J$10000,0),11))</f>
        <v/>
      </c>
      <c r="F570" t="str">
        <f t="array" ref="F570">IF($A570="","",INDEX(JupData!$A$2:$K$10000,MATCH($A570&amp;F$1,JupData!$A$2:$A$10000&amp;JupData!$J$2:$J$10000,0),11))</f>
        <v/>
      </c>
      <c r="G570" t="str">
        <f t="array" ref="G570">IF($A570="","",INDEX(JupData!$A$2:$K$10000,MATCH($A570&amp;G$1,JupData!$A$2:$A$10000&amp;JupData!$J$2:$J$10000,0),11))</f>
        <v/>
      </c>
      <c r="H570" t="str">
        <f t="array" ref="H570">IF($A570="","",INDEX(JupData!$A$2:$K$10000,MATCH($A570&amp;H$1,JupData!$A$2:$A$10000&amp;JupData!$J$2:$J$10000,0),11))</f>
        <v/>
      </c>
      <c r="I570" t="str">
        <f t="array" ref="I570">IF($A570="","",INDEX(JupData!$A$2:$K$10000,MATCH($A570&amp;I$1,JupData!$A$2:$A$10000&amp;JupData!$J$2:$J$10000,0),11))</f>
        <v/>
      </c>
      <c r="J570" t="str">
        <f t="array" ref="J570">IF($A570="","",INDEX(JupData!$A$2:$K$10000,MATCH($A570&amp;J$1,JupData!$A$2:$A$10000&amp;JupData!$J$2:$J$10000,0),11))</f>
        <v/>
      </c>
      <c r="K570" t="str">
        <f t="array" ref="K570">IF($A570="","",INDEX(JupData!$A$2:$K$10000,MATCH($A570&amp;K$1,JupData!$A$2:$A$10000&amp;JupData!$J$2:$J$10000,0),11))</f>
        <v/>
      </c>
      <c r="L570" t="str">
        <f t="array" ref="L570">IF($A570="","",INDEX(JupData!$A$2:$K$10000,MATCH($A570&amp;L$1,JupData!$A$2:$A$10000&amp;JupData!$J$2:$J$10000,0),11))</f>
        <v/>
      </c>
      <c r="M570" t="str">
        <f t="array" ref="M570">IF($A570="","",INDEX(JupData!$A$2:$K$10000,MATCH($A570&amp;M$1,JupData!$A$2:$A$10000&amp;JupData!$J$2:$J$10000,0),11))</f>
        <v/>
      </c>
      <c r="N570" t="str">
        <f t="array" ref="N570">IF($A570="","",INDEX(JupData!$A$2:$K$10000,MATCH($A570&amp;N$1,JupData!$A$2:$A$10000&amp;JupData!$J$2:$J$10000,0),11))</f>
        <v/>
      </c>
      <c r="O570" t="str">
        <f t="array" ref="O570">IF($A570="","",INDEX(JupData!$A$2:$K$10000,MATCH($A570&amp;O$1,JupData!$A$2:$A$10000&amp;JupData!$J$2:$J$10000,0),11))</f>
        <v/>
      </c>
      <c r="P570" t="str">
        <f t="array" ref="P570">IF($A570="","",INDEX(JupData!$A$2:$K$10000,MATCH($A570&amp;P$1,JupData!$A$2:$A$10000&amp;JupData!$J$2:$J$10000,0),11))</f>
        <v/>
      </c>
      <c r="Q570" t="str">
        <f t="array" ref="Q570">IF($A570="","",INDEX(JupData!$A$2:$K$10000,MATCH($A570&amp;Q$1,JupData!$A$2:$A$10000&amp;JupData!$J$2:$J$10000,0),11))</f>
        <v/>
      </c>
      <c r="R570" t="str">
        <f t="array" ref="R570">IF($A570="","",INDEX(JupData!$A$2:$K$10000,MATCH($A570&amp;R$1,JupData!$A$2:$A$10000&amp;JupData!$J$2:$J$10000,0),11))</f>
        <v/>
      </c>
      <c r="S570" t="str">
        <f t="array" ref="S570">IF($A570="","",INDEX(JupData!$A$2:$K$10000,MATCH($A570&amp;S$1,JupData!$A$2:$A$10000&amp;JupData!$J$2:$J$10000,0),11))</f>
        <v/>
      </c>
      <c r="T570" t="str">
        <f t="array" ref="T570">IF($A570="","",INDEX(JupData!$A$2:$K$10000,MATCH($A570&amp;T$1,JupData!$A$2:$A$10000&amp;JupData!$J$2:$J$10000,0),11))</f>
        <v/>
      </c>
      <c r="U570" t="str">
        <f t="array" ref="U570">IF($A570="","",INDEX(JupData!$A$2:$K$10000,MATCH($A570&amp;U$1,JupData!$A$2:$A$10000&amp;JupData!$J$2:$J$10000,0),11))</f>
        <v/>
      </c>
      <c r="V570" t="str">
        <f t="array" ref="V570">IF($A570="","",INDEX(JupData!$A$2:$K$10000,MATCH($A570&amp;V$1,JupData!$A$2:$A$10000&amp;JupData!$J$2:$J$10000,0),11))</f>
        <v/>
      </c>
      <c r="W570" t="str">
        <f t="array" ref="W570">IF($A570="","",INDEX(JupData!$A$2:$K$10000,MATCH($A570&amp;W$1,JupData!$A$2:$A$10000&amp;JupData!$J$2:$J$10000,0),11))</f>
        <v/>
      </c>
      <c r="X570" t="str">
        <f t="array" ref="X570">IF($A570="","",INDEX(JupData!$A$2:$K$10000,MATCH($A570&amp;X$1,JupData!$A$2:$A$10000&amp;JupData!$J$2:$J$10000,0),11))</f>
        <v/>
      </c>
      <c r="Y570" t="str">
        <f t="array" ref="Y570">IF($A570="","",INDEX(JupData!$A$2:$K$10000,MATCH($A570&amp;Y$1,JupData!$A$2:$A$10000&amp;JupData!$J$2:$J$10000,0),11))</f>
        <v/>
      </c>
      <c r="Z570" t="str">
        <f t="array" ref="Z570">IF($A570="","",INDEX(JupData!$A$2:$K$10000,MATCH($A570&amp;Z$1,JupData!$A$2:$A$10000&amp;JupData!$J$2:$J$10000,0),11))</f>
        <v/>
      </c>
      <c r="AA570" t="str">
        <f t="array" ref="AA570">IF($A570="","",INDEX(JupData!$A$2:$K$10000,MATCH($A570&amp;AA$1,JupData!$A$2:$A$10000&amp;JupData!$J$2:$J$10000,0),11))</f>
        <v/>
      </c>
      <c r="AB570" t="str">
        <f t="array" ref="AB570">IF($A570="","",INDEX(JupData!$A$2:$K$10000,MATCH($A570&amp;AB$1,JupData!$A$2:$A$10000&amp;JupData!$J$2:$J$10000,0),11))</f>
        <v/>
      </c>
      <c r="AC570" s="10" t="str">
        <f t="shared" si="88"/>
        <v/>
      </c>
      <c r="AD570" s="10" t="str">
        <f t="shared" si="89"/>
        <v/>
      </c>
      <c r="AE570" s="9" t="str">
        <f t="shared" si="90"/>
        <v/>
      </c>
      <c r="AF570" s="10" t="str">
        <f t="shared" si="91"/>
        <v/>
      </c>
      <c r="AG570" s="10" t="str">
        <f t="shared" si="92"/>
        <v/>
      </c>
      <c r="AH570" s="10" t="str">
        <f t="shared" si="93"/>
        <v/>
      </c>
      <c r="AI570" s="10" t="str">
        <f t="shared" si="94"/>
        <v/>
      </c>
      <c r="AJ570" s="10" t="str">
        <f t="shared" si="95"/>
        <v/>
      </c>
      <c r="AK570" s="10" t="str">
        <f t="shared" si="96"/>
        <v/>
      </c>
      <c r="AL570" s="14" t="str">
        <f t="shared" si="97"/>
        <v/>
      </c>
    </row>
    <row r="571" spans="1:38" x14ac:dyDescent="0.2">
      <c r="A571"/>
      <c r="B571" t="str">
        <f>IF($A571="","",VLOOKUP($A571,JupData!$A$2:$I$10000,4,FALSE))</f>
        <v/>
      </c>
      <c r="C571" s="7" t="str">
        <f>IF($A571="",IF(N(D571),0,""),VLOOKUP($A571,JupData!$A$2:$I$10000,7,FALSE))</f>
        <v/>
      </c>
      <c r="D571" t="str">
        <f t="shared" si="98"/>
        <v/>
      </c>
      <c r="E571" t="str">
        <f t="array" ref="E571">IF($A571="","",INDEX(JupData!$A$2:$K$10000,MATCH($A571&amp;E$1,JupData!$A$2:$A$10000&amp;JupData!$J$2:$J$10000,0),11))</f>
        <v/>
      </c>
      <c r="F571" t="str">
        <f t="array" ref="F571">IF($A571="","",INDEX(JupData!$A$2:$K$10000,MATCH($A571&amp;F$1,JupData!$A$2:$A$10000&amp;JupData!$J$2:$J$10000,0),11))</f>
        <v/>
      </c>
      <c r="G571" t="str">
        <f t="array" ref="G571">IF($A571="","",INDEX(JupData!$A$2:$K$10000,MATCH($A571&amp;G$1,JupData!$A$2:$A$10000&amp;JupData!$J$2:$J$10000,0),11))</f>
        <v/>
      </c>
      <c r="H571" t="str">
        <f t="array" ref="H571">IF($A571="","",INDEX(JupData!$A$2:$K$10000,MATCH($A571&amp;H$1,JupData!$A$2:$A$10000&amp;JupData!$J$2:$J$10000,0),11))</f>
        <v/>
      </c>
      <c r="I571" t="str">
        <f t="array" ref="I571">IF($A571="","",INDEX(JupData!$A$2:$K$10000,MATCH($A571&amp;I$1,JupData!$A$2:$A$10000&amp;JupData!$J$2:$J$10000,0),11))</f>
        <v/>
      </c>
      <c r="J571" t="str">
        <f t="array" ref="J571">IF($A571="","",INDEX(JupData!$A$2:$K$10000,MATCH($A571&amp;J$1,JupData!$A$2:$A$10000&amp;JupData!$J$2:$J$10000,0),11))</f>
        <v/>
      </c>
      <c r="K571" t="str">
        <f t="array" ref="K571">IF($A571="","",INDEX(JupData!$A$2:$K$10000,MATCH($A571&amp;K$1,JupData!$A$2:$A$10000&amp;JupData!$J$2:$J$10000,0),11))</f>
        <v/>
      </c>
      <c r="L571" t="str">
        <f t="array" ref="L571">IF($A571="","",INDEX(JupData!$A$2:$K$10000,MATCH($A571&amp;L$1,JupData!$A$2:$A$10000&amp;JupData!$J$2:$J$10000,0),11))</f>
        <v/>
      </c>
      <c r="M571" t="str">
        <f t="array" ref="M571">IF($A571="","",INDEX(JupData!$A$2:$K$10000,MATCH($A571&amp;M$1,JupData!$A$2:$A$10000&amp;JupData!$J$2:$J$10000,0),11))</f>
        <v/>
      </c>
      <c r="N571" t="str">
        <f t="array" ref="N571">IF($A571="","",INDEX(JupData!$A$2:$K$10000,MATCH($A571&amp;N$1,JupData!$A$2:$A$10000&amp;JupData!$J$2:$J$10000,0),11))</f>
        <v/>
      </c>
      <c r="O571" t="str">
        <f t="array" ref="O571">IF($A571="","",INDEX(JupData!$A$2:$K$10000,MATCH($A571&amp;O$1,JupData!$A$2:$A$10000&amp;JupData!$J$2:$J$10000,0),11))</f>
        <v/>
      </c>
      <c r="P571" t="str">
        <f t="array" ref="P571">IF($A571="","",INDEX(JupData!$A$2:$K$10000,MATCH($A571&amp;P$1,JupData!$A$2:$A$10000&amp;JupData!$J$2:$J$10000,0),11))</f>
        <v/>
      </c>
      <c r="Q571" t="str">
        <f t="array" ref="Q571">IF($A571="","",INDEX(JupData!$A$2:$K$10000,MATCH($A571&amp;Q$1,JupData!$A$2:$A$10000&amp;JupData!$J$2:$J$10000,0),11))</f>
        <v/>
      </c>
      <c r="R571" t="str">
        <f t="array" ref="R571">IF($A571="","",INDEX(JupData!$A$2:$K$10000,MATCH($A571&amp;R$1,JupData!$A$2:$A$10000&amp;JupData!$J$2:$J$10000,0),11))</f>
        <v/>
      </c>
      <c r="S571" t="str">
        <f t="array" ref="S571">IF($A571="","",INDEX(JupData!$A$2:$K$10000,MATCH($A571&amp;S$1,JupData!$A$2:$A$10000&amp;JupData!$J$2:$J$10000,0),11))</f>
        <v/>
      </c>
      <c r="T571" t="str">
        <f t="array" ref="T571">IF($A571="","",INDEX(JupData!$A$2:$K$10000,MATCH($A571&amp;T$1,JupData!$A$2:$A$10000&amp;JupData!$J$2:$J$10000,0),11))</f>
        <v/>
      </c>
      <c r="U571" t="str">
        <f t="array" ref="U571">IF($A571="","",INDEX(JupData!$A$2:$K$10000,MATCH($A571&amp;U$1,JupData!$A$2:$A$10000&amp;JupData!$J$2:$J$10000,0),11))</f>
        <v/>
      </c>
      <c r="V571" t="str">
        <f t="array" ref="V571">IF($A571="","",INDEX(JupData!$A$2:$K$10000,MATCH($A571&amp;V$1,JupData!$A$2:$A$10000&amp;JupData!$J$2:$J$10000,0),11))</f>
        <v/>
      </c>
      <c r="W571" t="str">
        <f t="array" ref="W571">IF($A571="","",INDEX(JupData!$A$2:$K$10000,MATCH($A571&amp;W$1,JupData!$A$2:$A$10000&amp;JupData!$J$2:$J$10000,0),11))</f>
        <v/>
      </c>
      <c r="X571" t="str">
        <f t="array" ref="X571">IF($A571="","",INDEX(JupData!$A$2:$K$10000,MATCH($A571&amp;X$1,JupData!$A$2:$A$10000&amp;JupData!$J$2:$J$10000,0),11))</f>
        <v/>
      </c>
      <c r="Y571" t="str">
        <f t="array" ref="Y571">IF($A571="","",INDEX(JupData!$A$2:$K$10000,MATCH($A571&amp;Y$1,JupData!$A$2:$A$10000&amp;JupData!$J$2:$J$10000,0),11))</f>
        <v/>
      </c>
      <c r="Z571" t="str">
        <f t="array" ref="Z571">IF($A571="","",INDEX(JupData!$A$2:$K$10000,MATCH($A571&amp;Z$1,JupData!$A$2:$A$10000&amp;JupData!$J$2:$J$10000,0),11))</f>
        <v/>
      </c>
      <c r="AA571" t="str">
        <f t="array" ref="AA571">IF($A571="","",INDEX(JupData!$A$2:$K$10000,MATCH($A571&amp;AA$1,JupData!$A$2:$A$10000&amp;JupData!$J$2:$J$10000,0),11))</f>
        <v/>
      </c>
      <c r="AB571" t="str">
        <f t="array" ref="AB571">IF($A571="","",INDEX(JupData!$A$2:$K$10000,MATCH($A571&amp;AB$1,JupData!$A$2:$A$10000&amp;JupData!$J$2:$J$10000,0),11))</f>
        <v/>
      </c>
      <c r="AC571" s="10" t="str">
        <f t="shared" si="88"/>
        <v/>
      </c>
      <c r="AD571" s="10" t="str">
        <f t="shared" si="89"/>
        <v/>
      </c>
      <c r="AE571" s="9" t="str">
        <f t="shared" si="90"/>
        <v/>
      </c>
      <c r="AF571" s="10" t="str">
        <f t="shared" si="91"/>
        <v/>
      </c>
      <c r="AG571" s="10" t="str">
        <f t="shared" si="92"/>
        <v/>
      </c>
      <c r="AH571" s="10" t="str">
        <f t="shared" si="93"/>
        <v/>
      </c>
      <c r="AI571" s="10" t="str">
        <f t="shared" si="94"/>
        <v/>
      </c>
      <c r="AJ571" s="10" t="str">
        <f t="shared" si="95"/>
        <v/>
      </c>
      <c r="AK571" s="10" t="str">
        <f t="shared" si="96"/>
        <v/>
      </c>
      <c r="AL571" s="14" t="str">
        <f t="shared" si="97"/>
        <v/>
      </c>
    </row>
    <row r="572" spans="1:38" x14ac:dyDescent="0.2">
      <c r="A572"/>
      <c r="B572" t="str">
        <f>IF($A572="","",VLOOKUP($A572,JupData!$A$2:$I$10000,4,FALSE))</f>
        <v/>
      </c>
      <c r="C572" s="7" t="str">
        <f>IF($A572="",IF(N(D572),0,""),VLOOKUP($A572,JupData!$A$2:$I$10000,7,FALSE))</f>
        <v/>
      </c>
      <c r="D572" t="str">
        <f t="shared" si="98"/>
        <v/>
      </c>
      <c r="E572" t="str">
        <f t="array" ref="E572">IF($A572="","",INDEX(JupData!$A$2:$K$10000,MATCH($A572&amp;E$1,JupData!$A$2:$A$10000&amp;JupData!$J$2:$J$10000,0),11))</f>
        <v/>
      </c>
      <c r="F572" t="str">
        <f t="array" ref="F572">IF($A572="","",INDEX(JupData!$A$2:$K$10000,MATCH($A572&amp;F$1,JupData!$A$2:$A$10000&amp;JupData!$J$2:$J$10000,0),11))</f>
        <v/>
      </c>
      <c r="G572" t="str">
        <f t="array" ref="G572">IF($A572="","",INDEX(JupData!$A$2:$K$10000,MATCH($A572&amp;G$1,JupData!$A$2:$A$10000&amp;JupData!$J$2:$J$10000,0),11))</f>
        <v/>
      </c>
      <c r="H572" t="str">
        <f t="array" ref="H572">IF($A572="","",INDEX(JupData!$A$2:$K$10000,MATCH($A572&amp;H$1,JupData!$A$2:$A$10000&amp;JupData!$J$2:$J$10000,0),11))</f>
        <v/>
      </c>
      <c r="I572" t="str">
        <f t="array" ref="I572">IF($A572="","",INDEX(JupData!$A$2:$K$10000,MATCH($A572&amp;I$1,JupData!$A$2:$A$10000&amp;JupData!$J$2:$J$10000,0),11))</f>
        <v/>
      </c>
      <c r="J572" t="str">
        <f t="array" ref="J572">IF($A572="","",INDEX(JupData!$A$2:$K$10000,MATCH($A572&amp;J$1,JupData!$A$2:$A$10000&amp;JupData!$J$2:$J$10000,0),11))</f>
        <v/>
      </c>
      <c r="K572" t="str">
        <f t="array" ref="K572">IF($A572="","",INDEX(JupData!$A$2:$K$10000,MATCH($A572&amp;K$1,JupData!$A$2:$A$10000&amp;JupData!$J$2:$J$10000,0),11))</f>
        <v/>
      </c>
      <c r="L572" t="str">
        <f t="array" ref="L572">IF($A572="","",INDEX(JupData!$A$2:$K$10000,MATCH($A572&amp;L$1,JupData!$A$2:$A$10000&amp;JupData!$J$2:$J$10000,0),11))</f>
        <v/>
      </c>
      <c r="M572" t="str">
        <f t="array" ref="M572">IF($A572="","",INDEX(JupData!$A$2:$K$10000,MATCH($A572&amp;M$1,JupData!$A$2:$A$10000&amp;JupData!$J$2:$J$10000,0),11))</f>
        <v/>
      </c>
      <c r="N572" t="str">
        <f t="array" ref="N572">IF($A572="","",INDEX(JupData!$A$2:$K$10000,MATCH($A572&amp;N$1,JupData!$A$2:$A$10000&amp;JupData!$J$2:$J$10000,0),11))</f>
        <v/>
      </c>
      <c r="O572" t="str">
        <f t="array" ref="O572">IF($A572="","",INDEX(JupData!$A$2:$K$10000,MATCH($A572&amp;O$1,JupData!$A$2:$A$10000&amp;JupData!$J$2:$J$10000,0),11))</f>
        <v/>
      </c>
      <c r="P572" t="str">
        <f t="array" ref="P572">IF($A572="","",INDEX(JupData!$A$2:$K$10000,MATCH($A572&amp;P$1,JupData!$A$2:$A$10000&amp;JupData!$J$2:$J$10000,0),11))</f>
        <v/>
      </c>
      <c r="Q572" t="str">
        <f t="array" ref="Q572">IF($A572="","",INDEX(JupData!$A$2:$K$10000,MATCH($A572&amp;Q$1,JupData!$A$2:$A$10000&amp;JupData!$J$2:$J$10000,0),11))</f>
        <v/>
      </c>
      <c r="R572" t="str">
        <f t="array" ref="R572">IF($A572="","",INDEX(JupData!$A$2:$K$10000,MATCH($A572&amp;R$1,JupData!$A$2:$A$10000&amp;JupData!$J$2:$J$10000,0),11))</f>
        <v/>
      </c>
      <c r="S572" t="str">
        <f t="array" ref="S572">IF($A572="","",INDEX(JupData!$A$2:$K$10000,MATCH($A572&amp;S$1,JupData!$A$2:$A$10000&amp;JupData!$J$2:$J$10000,0),11))</f>
        <v/>
      </c>
      <c r="T572" t="str">
        <f t="array" ref="T572">IF($A572="","",INDEX(JupData!$A$2:$K$10000,MATCH($A572&amp;T$1,JupData!$A$2:$A$10000&amp;JupData!$J$2:$J$10000,0),11))</f>
        <v/>
      </c>
      <c r="U572" t="str">
        <f t="array" ref="U572">IF($A572="","",INDEX(JupData!$A$2:$K$10000,MATCH($A572&amp;U$1,JupData!$A$2:$A$10000&amp;JupData!$J$2:$J$10000,0),11))</f>
        <v/>
      </c>
      <c r="V572" t="str">
        <f t="array" ref="V572">IF($A572="","",INDEX(JupData!$A$2:$K$10000,MATCH($A572&amp;V$1,JupData!$A$2:$A$10000&amp;JupData!$J$2:$J$10000,0),11))</f>
        <v/>
      </c>
      <c r="W572" t="str">
        <f t="array" ref="W572">IF($A572="","",INDEX(JupData!$A$2:$K$10000,MATCH($A572&amp;W$1,JupData!$A$2:$A$10000&amp;JupData!$J$2:$J$10000,0),11))</f>
        <v/>
      </c>
      <c r="X572" t="str">
        <f t="array" ref="X572">IF($A572="","",INDEX(JupData!$A$2:$K$10000,MATCH($A572&amp;X$1,JupData!$A$2:$A$10000&amp;JupData!$J$2:$J$10000,0),11))</f>
        <v/>
      </c>
      <c r="Y572" t="str">
        <f t="array" ref="Y572">IF($A572="","",INDEX(JupData!$A$2:$K$10000,MATCH($A572&amp;Y$1,JupData!$A$2:$A$10000&amp;JupData!$J$2:$J$10000,0),11))</f>
        <v/>
      </c>
      <c r="Z572" t="str">
        <f t="array" ref="Z572">IF($A572="","",INDEX(JupData!$A$2:$K$10000,MATCH($A572&amp;Z$1,JupData!$A$2:$A$10000&amp;JupData!$J$2:$J$10000,0),11))</f>
        <v/>
      </c>
      <c r="AA572" t="str">
        <f t="array" ref="AA572">IF($A572="","",INDEX(JupData!$A$2:$K$10000,MATCH($A572&amp;AA$1,JupData!$A$2:$A$10000&amp;JupData!$J$2:$J$10000,0),11))</f>
        <v/>
      </c>
      <c r="AB572" t="str">
        <f t="array" ref="AB572">IF($A572="","",INDEX(JupData!$A$2:$K$10000,MATCH($A572&amp;AB$1,JupData!$A$2:$A$10000&amp;JupData!$J$2:$J$10000,0),11))</f>
        <v/>
      </c>
      <c r="AC572" s="10" t="str">
        <f t="shared" si="88"/>
        <v/>
      </c>
      <c r="AD572" s="10" t="str">
        <f t="shared" si="89"/>
        <v/>
      </c>
      <c r="AE572" s="9" t="str">
        <f t="shared" si="90"/>
        <v/>
      </c>
      <c r="AF572" s="10" t="str">
        <f t="shared" si="91"/>
        <v/>
      </c>
      <c r="AG572" s="10" t="str">
        <f t="shared" si="92"/>
        <v/>
      </c>
      <c r="AH572" s="10" t="str">
        <f t="shared" si="93"/>
        <v/>
      </c>
      <c r="AI572" s="10" t="str">
        <f t="shared" si="94"/>
        <v/>
      </c>
      <c r="AJ572" s="10" t="str">
        <f t="shared" si="95"/>
        <v/>
      </c>
      <c r="AK572" s="10" t="str">
        <f t="shared" si="96"/>
        <v/>
      </c>
      <c r="AL572" s="14" t="str">
        <f t="shared" si="97"/>
        <v/>
      </c>
    </row>
    <row r="573" spans="1:38" x14ac:dyDescent="0.2">
      <c r="A573"/>
      <c r="B573" t="str">
        <f>IF($A573="","",VLOOKUP($A573,JupData!$A$2:$I$10000,4,FALSE))</f>
        <v/>
      </c>
      <c r="C573" s="7" t="str">
        <f>IF($A573="",IF(N(D573),0,""),VLOOKUP($A573,JupData!$A$2:$I$10000,7,FALSE))</f>
        <v/>
      </c>
      <c r="D573" t="str">
        <f t="shared" si="98"/>
        <v/>
      </c>
      <c r="E573" t="str">
        <f t="array" ref="E573">IF($A573="","",INDEX(JupData!$A$2:$K$10000,MATCH($A573&amp;E$1,JupData!$A$2:$A$10000&amp;JupData!$J$2:$J$10000,0),11))</f>
        <v/>
      </c>
      <c r="F573" t="str">
        <f t="array" ref="F573">IF($A573="","",INDEX(JupData!$A$2:$K$10000,MATCH($A573&amp;F$1,JupData!$A$2:$A$10000&amp;JupData!$J$2:$J$10000,0),11))</f>
        <v/>
      </c>
      <c r="G573" t="str">
        <f t="array" ref="G573">IF($A573="","",INDEX(JupData!$A$2:$K$10000,MATCH($A573&amp;G$1,JupData!$A$2:$A$10000&amp;JupData!$J$2:$J$10000,0),11))</f>
        <v/>
      </c>
      <c r="H573" t="str">
        <f t="array" ref="H573">IF($A573="","",INDEX(JupData!$A$2:$K$10000,MATCH($A573&amp;H$1,JupData!$A$2:$A$10000&amp;JupData!$J$2:$J$10000,0),11))</f>
        <v/>
      </c>
      <c r="I573" t="str">
        <f t="array" ref="I573">IF($A573="","",INDEX(JupData!$A$2:$K$10000,MATCH($A573&amp;I$1,JupData!$A$2:$A$10000&amp;JupData!$J$2:$J$10000,0),11))</f>
        <v/>
      </c>
      <c r="J573" t="str">
        <f t="array" ref="J573">IF($A573="","",INDEX(JupData!$A$2:$K$10000,MATCH($A573&amp;J$1,JupData!$A$2:$A$10000&amp;JupData!$J$2:$J$10000,0),11))</f>
        <v/>
      </c>
      <c r="K573" t="str">
        <f t="array" ref="K573">IF($A573="","",INDEX(JupData!$A$2:$K$10000,MATCH($A573&amp;K$1,JupData!$A$2:$A$10000&amp;JupData!$J$2:$J$10000,0),11))</f>
        <v/>
      </c>
      <c r="L573" t="str">
        <f t="array" ref="L573">IF($A573="","",INDEX(JupData!$A$2:$K$10000,MATCH($A573&amp;L$1,JupData!$A$2:$A$10000&amp;JupData!$J$2:$J$10000,0),11))</f>
        <v/>
      </c>
      <c r="M573" t="str">
        <f t="array" ref="M573">IF($A573="","",INDEX(JupData!$A$2:$K$10000,MATCH($A573&amp;M$1,JupData!$A$2:$A$10000&amp;JupData!$J$2:$J$10000,0),11))</f>
        <v/>
      </c>
      <c r="N573" t="str">
        <f t="array" ref="N573">IF($A573="","",INDEX(JupData!$A$2:$K$10000,MATCH($A573&amp;N$1,JupData!$A$2:$A$10000&amp;JupData!$J$2:$J$10000,0),11))</f>
        <v/>
      </c>
      <c r="O573" t="str">
        <f t="array" ref="O573">IF($A573="","",INDEX(JupData!$A$2:$K$10000,MATCH($A573&amp;O$1,JupData!$A$2:$A$10000&amp;JupData!$J$2:$J$10000,0),11))</f>
        <v/>
      </c>
      <c r="P573" t="str">
        <f t="array" ref="P573">IF($A573="","",INDEX(JupData!$A$2:$K$10000,MATCH($A573&amp;P$1,JupData!$A$2:$A$10000&amp;JupData!$J$2:$J$10000,0),11))</f>
        <v/>
      </c>
      <c r="Q573" t="str">
        <f t="array" ref="Q573">IF($A573="","",INDEX(JupData!$A$2:$K$10000,MATCH($A573&amp;Q$1,JupData!$A$2:$A$10000&amp;JupData!$J$2:$J$10000,0),11))</f>
        <v/>
      </c>
      <c r="R573" t="str">
        <f t="array" ref="R573">IF($A573="","",INDEX(JupData!$A$2:$K$10000,MATCH($A573&amp;R$1,JupData!$A$2:$A$10000&amp;JupData!$J$2:$J$10000,0),11))</f>
        <v/>
      </c>
      <c r="S573" t="str">
        <f t="array" ref="S573">IF($A573="","",INDEX(JupData!$A$2:$K$10000,MATCH($A573&amp;S$1,JupData!$A$2:$A$10000&amp;JupData!$J$2:$J$10000,0),11))</f>
        <v/>
      </c>
      <c r="T573" t="str">
        <f t="array" ref="T573">IF($A573="","",INDEX(JupData!$A$2:$K$10000,MATCH($A573&amp;T$1,JupData!$A$2:$A$10000&amp;JupData!$J$2:$J$10000,0),11))</f>
        <v/>
      </c>
      <c r="U573" t="str">
        <f t="array" ref="U573">IF($A573="","",INDEX(JupData!$A$2:$K$10000,MATCH($A573&amp;U$1,JupData!$A$2:$A$10000&amp;JupData!$J$2:$J$10000,0),11))</f>
        <v/>
      </c>
      <c r="V573" t="str">
        <f t="array" ref="V573">IF($A573="","",INDEX(JupData!$A$2:$K$10000,MATCH($A573&amp;V$1,JupData!$A$2:$A$10000&amp;JupData!$J$2:$J$10000,0),11))</f>
        <v/>
      </c>
      <c r="W573" t="str">
        <f t="array" ref="W573">IF($A573="","",INDEX(JupData!$A$2:$K$10000,MATCH($A573&amp;W$1,JupData!$A$2:$A$10000&amp;JupData!$J$2:$J$10000,0),11))</f>
        <v/>
      </c>
      <c r="X573" t="str">
        <f t="array" ref="X573">IF($A573="","",INDEX(JupData!$A$2:$K$10000,MATCH($A573&amp;X$1,JupData!$A$2:$A$10000&amp;JupData!$J$2:$J$10000,0),11))</f>
        <v/>
      </c>
      <c r="Y573" t="str">
        <f t="array" ref="Y573">IF($A573="","",INDEX(JupData!$A$2:$K$10000,MATCH($A573&amp;Y$1,JupData!$A$2:$A$10000&amp;JupData!$J$2:$J$10000,0),11))</f>
        <v/>
      </c>
      <c r="Z573" t="str">
        <f t="array" ref="Z573">IF($A573="","",INDEX(JupData!$A$2:$K$10000,MATCH($A573&amp;Z$1,JupData!$A$2:$A$10000&amp;JupData!$J$2:$J$10000,0),11))</f>
        <v/>
      </c>
      <c r="AA573" t="str">
        <f t="array" ref="AA573">IF($A573="","",INDEX(JupData!$A$2:$K$10000,MATCH($A573&amp;AA$1,JupData!$A$2:$A$10000&amp;JupData!$J$2:$J$10000,0),11))</f>
        <v/>
      </c>
      <c r="AB573" t="str">
        <f t="array" ref="AB573">IF($A573="","",INDEX(JupData!$A$2:$K$10000,MATCH($A573&amp;AB$1,JupData!$A$2:$A$10000&amp;JupData!$J$2:$J$10000,0),11))</f>
        <v/>
      </c>
      <c r="AC573" s="10" t="str">
        <f t="shared" si="88"/>
        <v/>
      </c>
      <c r="AD573" s="10" t="str">
        <f t="shared" si="89"/>
        <v/>
      </c>
      <c r="AE573" s="9" t="str">
        <f t="shared" si="90"/>
        <v/>
      </c>
      <c r="AF573" s="10" t="str">
        <f t="shared" si="91"/>
        <v/>
      </c>
      <c r="AG573" s="10" t="str">
        <f t="shared" si="92"/>
        <v/>
      </c>
      <c r="AH573" s="10" t="str">
        <f t="shared" si="93"/>
        <v/>
      </c>
      <c r="AI573" s="10" t="str">
        <f t="shared" si="94"/>
        <v/>
      </c>
      <c r="AJ573" s="10" t="str">
        <f t="shared" si="95"/>
        <v/>
      </c>
      <c r="AK573" s="10" t="str">
        <f t="shared" si="96"/>
        <v/>
      </c>
      <c r="AL573" s="14" t="str">
        <f t="shared" si="97"/>
        <v/>
      </c>
    </row>
    <row r="574" spans="1:38" x14ac:dyDescent="0.2">
      <c r="A574"/>
      <c r="B574" t="str">
        <f>IF($A574="","",VLOOKUP($A574,JupData!$A$2:$I$10000,4,FALSE))</f>
        <v/>
      </c>
      <c r="C574" s="7" t="str">
        <f>IF($A574="",IF(N(D574),0,""),VLOOKUP($A574,JupData!$A$2:$I$10000,7,FALSE))</f>
        <v/>
      </c>
      <c r="D574" t="str">
        <f t="shared" si="98"/>
        <v/>
      </c>
      <c r="E574" t="str">
        <f t="array" ref="E574">IF($A574="","",INDEX(JupData!$A$2:$K$10000,MATCH($A574&amp;E$1,JupData!$A$2:$A$10000&amp;JupData!$J$2:$J$10000,0),11))</f>
        <v/>
      </c>
      <c r="F574" t="str">
        <f t="array" ref="F574">IF($A574="","",INDEX(JupData!$A$2:$K$10000,MATCH($A574&amp;F$1,JupData!$A$2:$A$10000&amp;JupData!$J$2:$J$10000,0),11))</f>
        <v/>
      </c>
      <c r="G574" t="str">
        <f t="array" ref="G574">IF($A574="","",INDEX(JupData!$A$2:$K$10000,MATCH($A574&amp;G$1,JupData!$A$2:$A$10000&amp;JupData!$J$2:$J$10000,0),11))</f>
        <v/>
      </c>
      <c r="H574" t="str">
        <f t="array" ref="H574">IF($A574="","",INDEX(JupData!$A$2:$K$10000,MATCH($A574&amp;H$1,JupData!$A$2:$A$10000&amp;JupData!$J$2:$J$10000,0),11))</f>
        <v/>
      </c>
      <c r="I574" t="str">
        <f t="array" ref="I574">IF($A574="","",INDEX(JupData!$A$2:$K$10000,MATCH($A574&amp;I$1,JupData!$A$2:$A$10000&amp;JupData!$J$2:$J$10000,0),11))</f>
        <v/>
      </c>
      <c r="J574" t="str">
        <f t="array" ref="J574">IF($A574="","",INDEX(JupData!$A$2:$K$10000,MATCH($A574&amp;J$1,JupData!$A$2:$A$10000&amp;JupData!$J$2:$J$10000,0),11))</f>
        <v/>
      </c>
      <c r="K574" t="str">
        <f t="array" ref="K574">IF($A574="","",INDEX(JupData!$A$2:$K$10000,MATCH($A574&amp;K$1,JupData!$A$2:$A$10000&amp;JupData!$J$2:$J$10000,0),11))</f>
        <v/>
      </c>
      <c r="L574" t="str">
        <f t="array" ref="L574">IF($A574="","",INDEX(JupData!$A$2:$K$10000,MATCH($A574&amp;L$1,JupData!$A$2:$A$10000&amp;JupData!$J$2:$J$10000,0),11))</f>
        <v/>
      </c>
      <c r="M574" t="str">
        <f t="array" ref="M574">IF($A574="","",INDEX(JupData!$A$2:$K$10000,MATCH($A574&amp;M$1,JupData!$A$2:$A$10000&amp;JupData!$J$2:$J$10000,0),11))</f>
        <v/>
      </c>
      <c r="N574" t="str">
        <f t="array" ref="N574">IF($A574="","",INDEX(JupData!$A$2:$K$10000,MATCH($A574&amp;N$1,JupData!$A$2:$A$10000&amp;JupData!$J$2:$J$10000,0),11))</f>
        <v/>
      </c>
      <c r="O574" t="str">
        <f t="array" ref="O574">IF($A574="","",INDEX(JupData!$A$2:$K$10000,MATCH($A574&amp;O$1,JupData!$A$2:$A$10000&amp;JupData!$J$2:$J$10000,0),11))</f>
        <v/>
      </c>
      <c r="P574" t="str">
        <f t="array" ref="P574">IF($A574="","",INDEX(JupData!$A$2:$K$10000,MATCH($A574&amp;P$1,JupData!$A$2:$A$10000&amp;JupData!$J$2:$J$10000,0),11))</f>
        <v/>
      </c>
      <c r="Q574" t="str">
        <f t="array" ref="Q574">IF($A574="","",INDEX(JupData!$A$2:$K$10000,MATCH($A574&amp;Q$1,JupData!$A$2:$A$10000&amp;JupData!$J$2:$J$10000,0),11))</f>
        <v/>
      </c>
      <c r="R574" t="str">
        <f t="array" ref="R574">IF($A574="","",INDEX(JupData!$A$2:$K$10000,MATCH($A574&amp;R$1,JupData!$A$2:$A$10000&amp;JupData!$J$2:$J$10000,0),11))</f>
        <v/>
      </c>
      <c r="S574" t="str">
        <f t="array" ref="S574">IF($A574="","",INDEX(JupData!$A$2:$K$10000,MATCH($A574&amp;S$1,JupData!$A$2:$A$10000&amp;JupData!$J$2:$J$10000,0),11))</f>
        <v/>
      </c>
      <c r="T574" t="str">
        <f t="array" ref="T574">IF($A574="","",INDEX(JupData!$A$2:$K$10000,MATCH($A574&amp;T$1,JupData!$A$2:$A$10000&amp;JupData!$J$2:$J$10000,0),11))</f>
        <v/>
      </c>
      <c r="U574" t="str">
        <f t="array" ref="U574">IF($A574="","",INDEX(JupData!$A$2:$K$10000,MATCH($A574&amp;U$1,JupData!$A$2:$A$10000&amp;JupData!$J$2:$J$10000,0),11))</f>
        <v/>
      </c>
      <c r="V574" t="str">
        <f t="array" ref="V574">IF($A574="","",INDEX(JupData!$A$2:$K$10000,MATCH($A574&amp;V$1,JupData!$A$2:$A$10000&amp;JupData!$J$2:$J$10000,0),11))</f>
        <v/>
      </c>
      <c r="W574" t="str">
        <f t="array" ref="W574">IF($A574="","",INDEX(JupData!$A$2:$K$10000,MATCH($A574&amp;W$1,JupData!$A$2:$A$10000&amp;JupData!$J$2:$J$10000,0),11))</f>
        <v/>
      </c>
      <c r="X574" t="str">
        <f t="array" ref="X574">IF($A574="","",INDEX(JupData!$A$2:$K$10000,MATCH($A574&amp;X$1,JupData!$A$2:$A$10000&amp;JupData!$J$2:$J$10000,0),11))</f>
        <v/>
      </c>
      <c r="Y574" t="str">
        <f t="array" ref="Y574">IF($A574="","",INDEX(JupData!$A$2:$K$10000,MATCH($A574&amp;Y$1,JupData!$A$2:$A$10000&amp;JupData!$J$2:$J$10000,0),11))</f>
        <v/>
      </c>
      <c r="Z574" t="str">
        <f t="array" ref="Z574">IF($A574="","",INDEX(JupData!$A$2:$K$10000,MATCH($A574&amp;Z$1,JupData!$A$2:$A$10000&amp;JupData!$J$2:$J$10000,0),11))</f>
        <v/>
      </c>
      <c r="AA574" t="str">
        <f t="array" ref="AA574">IF($A574="","",INDEX(JupData!$A$2:$K$10000,MATCH($A574&amp;AA$1,JupData!$A$2:$A$10000&amp;JupData!$J$2:$J$10000,0),11))</f>
        <v/>
      </c>
      <c r="AB574" t="str">
        <f t="array" ref="AB574">IF($A574="","",INDEX(JupData!$A$2:$K$10000,MATCH($A574&amp;AB$1,JupData!$A$2:$A$10000&amp;JupData!$J$2:$J$10000,0),11))</f>
        <v/>
      </c>
      <c r="AC574" s="10" t="str">
        <f t="shared" si="88"/>
        <v/>
      </c>
      <c r="AD574" s="10" t="str">
        <f t="shared" si="89"/>
        <v/>
      </c>
      <c r="AE574" s="9" t="str">
        <f t="shared" si="90"/>
        <v/>
      </c>
      <c r="AF574" s="10" t="str">
        <f t="shared" si="91"/>
        <v/>
      </c>
      <c r="AG574" s="10" t="str">
        <f t="shared" si="92"/>
        <v/>
      </c>
      <c r="AH574" s="10" t="str">
        <f t="shared" si="93"/>
        <v/>
      </c>
      <c r="AI574" s="10" t="str">
        <f t="shared" si="94"/>
        <v/>
      </c>
      <c r="AJ574" s="10" t="str">
        <f t="shared" si="95"/>
        <v/>
      </c>
      <c r="AK574" s="10" t="str">
        <f t="shared" si="96"/>
        <v/>
      </c>
      <c r="AL574" s="14" t="str">
        <f t="shared" si="97"/>
        <v/>
      </c>
    </row>
    <row r="575" spans="1:38" x14ac:dyDescent="0.2">
      <c r="A575"/>
      <c r="B575" t="str">
        <f>IF($A575="","",VLOOKUP($A575,JupData!$A$2:$I$10000,4,FALSE))</f>
        <v/>
      </c>
      <c r="C575" s="7" t="str">
        <f>IF($A575="",IF(N(D575),0,""),VLOOKUP($A575,JupData!$A$2:$I$10000,7,FALSE))</f>
        <v/>
      </c>
      <c r="D575" t="str">
        <f t="shared" si="98"/>
        <v/>
      </c>
      <c r="E575" t="str">
        <f t="array" ref="E575">IF($A575="","",INDEX(JupData!$A$2:$K$10000,MATCH($A575&amp;E$1,JupData!$A$2:$A$10000&amp;JupData!$J$2:$J$10000,0),11))</f>
        <v/>
      </c>
      <c r="F575" t="str">
        <f t="array" ref="F575">IF($A575="","",INDEX(JupData!$A$2:$K$10000,MATCH($A575&amp;F$1,JupData!$A$2:$A$10000&amp;JupData!$J$2:$J$10000,0),11))</f>
        <v/>
      </c>
      <c r="G575" t="str">
        <f t="array" ref="G575">IF($A575="","",INDEX(JupData!$A$2:$K$10000,MATCH($A575&amp;G$1,JupData!$A$2:$A$10000&amp;JupData!$J$2:$J$10000,0),11))</f>
        <v/>
      </c>
      <c r="H575" t="str">
        <f t="array" ref="H575">IF($A575="","",INDEX(JupData!$A$2:$K$10000,MATCH($A575&amp;H$1,JupData!$A$2:$A$10000&amp;JupData!$J$2:$J$10000,0),11))</f>
        <v/>
      </c>
      <c r="I575" t="str">
        <f t="array" ref="I575">IF($A575="","",INDEX(JupData!$A$2:$K$10000,MATCH($A575&amp;I$1,JupData!$A$2:$A$10000&amp;JupData!$J$2:$J$10000,0),11))</f>
        <v/>
      </c>
      <c r="J575" t="str">
        <f t="array" ref="J575">IF($A575="","",INDEX(JupData!$A$2:$K$10000,MATCH($A575&amp;J$1,JupData!$A$2:$A$10000&amp;JupData!$J$2:$J$10000,0),11))</f>
        <v/>
      </c>
      <c r="K575" t="str">
        <f t="array" ref="K575">IF($A575="","",INDEX(JupData!$A$2:$K$10000,MATCH($A575&amp;K$1,JupData!$A$2:$A$10000&amp;JupData!$J$2:$J$10000,0),11))</f>
        <v/>
      </c>
      <c r="L575" t="str">
        <f t="array" ref="L575">IF($A575="","",INDEX(JupData!$A$2:$K$10000,MATCH($A575&amp;L$1,JupData!$A$2:$A$10000&amp;JupData!$J$2:$J$10000,0),11))</f>
        <v/>
      </c>
      <c r="M575" t="str">
        <f t="array" ref="M575">IF($A575="","",INDEX(JupData!$A$2:$K$10000,MATCH($A575&amp;M$1,JupData!$A$2:$A$10000&amp;JupData!$J$2:$J$10000,0),11))</f>
        <v/>
      </c>
      <c r="N575" t="str">
        <f t="array" ref="N575">IF($A575="","",INDEX(JupData!$A$2:$K$10000,MATCH($A575&amp;N$1,JupData!$A$2:$A$10000&amp;JupData!$J$2:$J$10000,0),11))</f>
        <v/>
      </c>
      <c r="O575" t="str">
        <f t="array" ref="O575">IF($A575="","",INDEX(JupData!$A$2:$K$10000,MATCH($A575&amp;O$1,JupData!$A$2:$A$10000&amp;JupData!$J$2:$J$10000,0),11))</f>
        <v/>
      </c>
      <c r="P575" t="str">
        <f t="array" ref="P575">IF($A575="","",INDEX(JupData!$A$2:$K$10000,MATCH($A575&amp;P$1,JupData!$A$2:$A$10000&amp;JupData!$J$2:$J$10000,0),11))</f>
        <v/>
      </c>
      <c r="Q575" t="str">
        <f t="array" ref="Q575">IF($A575="","",INDEX(JupData!$A$2:$K$10000,MATCH($A575&amp;Q$1,JupData!$A$2:$A$10000&amp;JupData!$J$2:$J$10000,0),11))</f>
        <v/>
      </c>
      <c r="R575" t="str">
        <f t="array" ref="R575">IF($A575="","",INDEX(JupData!$A$2:$K$10000,MATCH($A575&amp;R$1,JupData!$A$2:$A$10000&amp;JupData!$J$2:$J$10000,0),11))</f>
        <v/>
      </c>
      <c r="S575" t="str">
        <f t="array" ref="S575">IF($A575="","",INDEX(JupData!$A$2:$K$10000,MATCH($A575&amp;S$1,JupData!$A$2:$A$10000&amp;JupData!$J$2:$J$10000,0),11))</f>
        <v/>
      </c>
      <c r="T575" t="str">
        <f t="array" ref="T575">IF($A575="","",INDEX(JupData!$A$2:$K$10000,MATCH($A575&amp;T$1,JupData!$A$2:$A$10000&amp;JupData!$J$2:$J$10000,0),11))</f>
        <v/>
      </c>
      <c r="U575" t="str">
        <f t="array" ref="U575">IF($A575="","",INDEX(JupData!$A$2:$K$10000,MATCH($A575&amp;U$1,JupData!$A$2:$A$10000&amp;JupData!$J$2:$J$10000,0),11))</f>
        <v/>
      </c>
      <c r="V575" t="str">
        <f t="array" ref="V575">IF($A575="","",INDEX(JupData!$A$2:$K$10000,MATCH($A575&amp;V$1,JupData!$A$2:$A$10000&amp;JupData!$J$2:$J$10000,0),11))</f>
        <v/>
      </c>
      <c r="W575" t="str">
        <f t="array" ref="W575">IF($A575="","",INDEX(JupData!$A$2:$K$10000,MATCH($A575&amp;W$1,JupData!$A$2:$A$10000&amp;JupData!$J$2:$J$10000,0),11))</f>
        <v/>
      </c>
      <c r="X575" t="str">
        <f t="array" ref="X575">IF($A575="","",INDEX(JupData!$A$2:$K$10000,MATCH($A575&amp;X$1,JupData!$A$2:$A$10000&amp;JupData!$J$2:$J$10000,0),11))</f>
        <v/>
      </c>
      <c r="Y575" t="str">
        <f t="array" ref="Y575">IF($A575="","",INDEX(JupData!$A$2:$K$10000,MATCH($A575&amp;Y$1,JupData!$A$2:$A$10000&amp;JupData!$J$2:$J$10000,0),11))</f>
        <v/>
      </c>
      <c r="Z575" t="str">
        <f t="array" ref="Z575">IF($A575="","",INDEX(JupData!$A$2:$K$10000,MATCH($A575&amp;Z$1,JupData!$A$2:$A$10000&amp;JupData!$J$2:$J$10000,0),11))</f>
        <v/>
      </c>
      <c r="AA575" t="str">
        <f t="array" ref="AA575">IF($A575="","",INDEX(JupData!$A$2:$K$10000,MATCH($A575&amp;AA$1,JupData!$A$2:$A$10000&amp;JupData!$J$2:$J$10000,0),11))</f>
        <v/>
      </c>
      <c r="AB575" t="str">
        <f t="array" ref="AB575">IF($A575="","",INDEX(JupData!$A$2:$K$10000,MATCH($A575&amp;AB$1,JupData!$A$2:$A$10000&amp;JupData!$J$2:$J$10000,0),11))</f>
        <v/>
      </c>
      <c r="AC575" s="10" t="str">
        <f t="shared" si="88"/>
        <v/>
      </c>
      <c r="AD575" s="10" t="str">
        <f t="shared" si="89"/>
        <v/>
      </c>
      <c r="AE575" s="9" t="str">
        <f t="shared" si="90"/>
        <v/>
      </c>
      <c r="AF575" s="10" t="str">
        <f t="shared" si="91"/>
        <v/>
      </c>
      <c r="AG575" s="10" t="str">
        <f t="shared" si="92"/>
        <v/>
      </c>
      <c r="AH575" s="10" t="str">
        <f t="shared" si="93"/>
        <v/>
      </c>
      <c r="AI575" s="10" t="str">
        <f t="shared" si="94"/>
        <v/>
      </c>
      <c r="AJ575" s="10" t="str">
        <f t="shared" si="95"/>
        <v/>
      </c>
      <c r="AK575" s="10" t="str">
        <f t="shared" si="96"/>
        <v/>
      </c>
      <c r="AL575" s="14" t="str">
        <f t="shared" si="97"/>
        <v/>
      </c>
    </row>
    <row r="576" spans="1:38" x14ac:dyDescent="0.2">
      <c r="A576"/>
      <c r="B576" t="str">
        <f>IF($A576="","",VLOOKUP($A576,JupData!$A$2:$I$10000,4,FALSE))</f>
        <v/>
      </c>
      <c r="C576" s="7" t="str">
        <f>IF($A576="",IF(N(D576),0,""),VLOOKUP($A576,JupData!$A$2:$I$10000,7,FALSE))</f>
        <v/>
      </c>
      <c r="D576" t="str">
        <f t="shared" si="98"/>
        <v/>
      </c>
      <c r="E576" t="str">
        <f t="array" ref="E576">IF($A576="","",INDEX(JupData!$A$2:$K$10000,MATCH($A576&amp;E$1,JupData!$A$2:$A$10000&amp;JupData!$J$2:$J$10000,0),11))</f>
        <v/>
      </c>
      <c r="F576" t="str">
        <f t="array" ref="F576">IF($A576="","",INDEX(JupData!$A$2:$K$10000,MATCH($A576&amp;F$1,JupData!$A$2:$A$10000&amp;JupData!$J$2:$J$10000,0),11))</f>
        <v/>
      </c>
      <c r="G576" t="str">
        <f t="array" ref="G576">IF($A576="","",INDEX(JupData!$A$2:$K$10000,MATCH($A576&amp;G$1,JupData!$A$2:$A$10000&amp;JupData!$J$2:$J$10000,0),11))</f>
        <v/>
      </c>
      <c r="H576" t="str">
        <f t="array" ref="H576">IF($A576="","",INDEX(JupData!$A$2:$K$10000,MATCH($A576&amp;H$1,JupData!$A$2:$A$10000&amp;JupData!$J$2:$J$10000,0),11))</f>
        <v/>
      </c>
      <c r="I576" t="str">
        <f t="array" ref="I576">IF($A576="","",INDEX(JupData!$A$2:$K$10000,MATCH($A576&amp;I$1,JupData!$A$2:$A$10000&amp;JupData!$J$2:$J$10000,0),11))</f>
        <v/>
      </c>
      <c r="J576" t="str">
        <f t="array" ref="J576">IF($A576="","",INDEX(JupData!$A$2:$K$10000,MATCH($A576&amp;J$1,JupData!$A$2:$A$10000&amp;JupData!$J$2:$J$10000,0),11))</f>
        <v/>
      </c>
      <c r="K576" t="str">
        <f t="array" ref="K576">IF($A576="","",INDEX(JupData!$A$2:$K$10000,MATCH($A576&amp;K$1,JupData!$A$2:$A$10000&amp;JupData!$J$2:$J$10000,0),11))</f>
        <v/>
      </c>
      <c r="L576" t="str">
        <f t="array" ref="L576">IF($A576="","",INDEX(JupData!$A$2:$K$10000,MATCH($A576&amp;L$1,JupData!$A$2:$A$10000&amp;JupData!$J$2:$J$10000,0),11))</f>
        <v/>
      </c>
      <c r="M576" t="str">
        <f t="array" ref="M576">IF($A576="","",INDEX(JupData!$A$2:$K$10000,MATCH($A576&amp;M$1,JupData!$A$2:$A$10000&amp;JupData!$J$2:$J$10000,0),11))</f>
        <v/>
      </c>
      <c r="N576" t="str">
        <f t="array" ref="N576">IF($A576="","",INDEX(JupData!$A$2:$K$10000,MATCH($A576&amp;N$1,JupData!$A$2:$A$10000&amp;JupData!$J$2:$J$10000,0),11))</f>
        <v/>
      </c>
      <c r="O576" t="str">
        <f t="array" ref="O576">IF($A576="","",INDEX(JupData!$A$2:$K$10000,MATCH($A576&amp;O$1,JupData!$A$2:$A$10000&amp;JupData!$J$2:$J$10000,0),11))</f>
        <v/>
      </c>
      <c r="P576" t="str">
        <f t="array" ref="P576">IF($A576="","",INDEX(JupData!$A$2:$K$10000,MATCH($A576&amp;P$1,JupData!$A$2:$A$10000&amp;JupData!$J$2:$J$10000,0),11))</f>
        <v/>
      </c>
      <c r="Q576" t="str">
        <f t="array" ref="Q576">IF($A576="","",INDEX(JupData!$A$2:$K$10000,MATCH($A576&amp;Q$1,JupData!$A$2:$A$10000&amp;JupData!$J$2:$J$10000,0),11))</f>
        <v/>
      </c>
      <c r="R576" t="str">
        <f t="array" ref="R576">IF($A576="","",INDEX(JupData!$A$2:$K$10000,MATCH($A576&amp;R$1,JupData!$A$2:$A$10000&amp;JupData!$J$2:$J$10000,0),11))</f>
        <v/>
      </c>
      <c r="S576" t="str">
        <f t="array" ref="S576">IF($A576="","",INDEX(JupData!$A$2:$K$10000,MATCH($A576&amp;S$1,JupData!$A$2:$A$10000&amp;JupData!$J$2:$J$10000,0),11))</f>
        <v/>
      </c>
      <c r="T576" t="str">
        <f t="array" ref="T576">IF($A576="","",INDEX(JupData!$A$2:$K$10000,MATCH($A576&amp;T$1,JupData!$A$2:$A$10000&amp;JupData!$J$2:$J$10000,0),11))</f>
        <v/>
      </c>
      <c r="U576" t="str">
        <f t="array" ref="U576">IF($A576="","",INDEX(JupData!$A$2:$K$10000,MATCH($A576&amp;U$1,JupData!$A$2:$A$10000&amp;JupData!$J$2:$J$10000,0),11))</f>
        <v/>
      </c>
      <c r="V576" t="str">
        <f t="array" ref="V576">IF($A576="","",INDEX(JupData!$A$2:$K$10000,MATCH($A576&amp;V$1,JupData!$A$2:$A$10000&amp;JupData!$J$2:$J$10000,0),11))</f>
        <v/>
      </c>
      <c r="W576" t="str">
        <f t="array" ref="W576">IF($A576="","",INDEX(JupData!$A$2:$K$10000,MATCH($A576&amp;W$1,JupData!$A$2:$A$10000&amp;JupData!$J$2:$J$10000,0),11))</f>
        <v/>
      </c>
      <c r="X576" t="str">
        <f t="array" ref="X576">IF($A576="","",INDEX(JupData!$A$2:$K$10000,MATCH($A576&amp;X$1,JupData!$A$2:$A$10000&amp;JupData!$J$2:$J$10000,0),11))</f>
        <v/>
      </c>
      <c r="Y576" t="str">
        <f t="array" ref="Y576">IF($A576="","",INDEX(JupData!$A$2:$K$10000,MATCH($A576&amp;Y$1,JupData!$A$2:$A$10000&amp;JupData!$J$2:$J$10000,0),11))</f>
        <v/>
      </c>
      <c r="Z576" t="str">
        <f t="array" ref="Z576">IF($A576="","",INDEX(JupData!$A$2:$K$10000,MATCH($A576&amp;Z$1,JupData!$A$2:$A$10000&amp;JupData!$J$2:$J$10000,0),11))</f>
        <v/>
      </c>
      <c r="AA576" t="str">
        <f t="array" ref="AA576">IF($A576="","",INDEX(JupData!$A$2:$K$10000,MATCH($A576&amp;AA$1,JupData!$A$2:$A$10000&amp;JupData!$J$2:$J$10000,0),11))</f>
        <v/>
      </c>
      <c r="AB576" t="str">
        <f t="array" ref="AB576">IF($A576="","",INDEX(JupData!$A$2:$K$10000,MATCH($A576&amp;AB$1,JupData!$A$2:$A$10000&amp;JupData!$J$2:$J$10000,0),11))</f>
        <v/>
      </c>
      <c r="AC576" s="10" t="str">
        <f t="shared" si="88"/>
        <v/>
      </c>
      <c r="AD576" s="10" t="str">
        <f t="shared" si="89"/>
        <v/>
      </c>
      <c r="AE576" s="9" t="str">
        <f t="shared" si="90"/>
        <v/>
      </c>
      <c r="AF576" s="10" t="str">
        <f t="shared" si="91"/>
        <v/>
      </c>
      <c r="AG576" s="10" t="str">
        <f t="shared" si="92"/>
        <v/>
      </c>
      <c r="AH576" s="10" t="str">
        <f t="shared" si="93"/>
        <v/>
      </c>
      <c r="AI576" s="10" t="str">
        <f t="shared" si="94"/>
        <v/>
      </c>
      <c r="AJ576" s="10" t="str">
        <f t="shared" si="95"/>
        <v/>
      </c>
      <c r="AK576" s="10" t="str">
        <f t="shared" si="96"/>
        <v/>
      </c>
      <c r="AL576" s="14" t="str">
        <f t="shared" si="97"/>
        <v/>
      </c>
    </row>
    <row r="577" spans="1:38" x14ac:dyDescent="0.2">
      <c r="A577"/>
      <c r="B577" t="str">
        <f>IF($A577="","",VLOOKUP($A577,JupData!$A$2:$I$10000,4,FALSE))</f>
        <v/>
      </c>
      <c r="C577" s="7" t="str">
        <f>IF($A577="",IF(N(D577),0,""),VLOOKUP($A577,JupData!$A$2:$I$10000,7,FALSE))</f>
        <v/>
      </c>
      <c r="D577" t="str">
        <f t="shared" si="98"/>
        <v/>
      </c>
      <c r="E577" t="str">
        <f t="array" ref="E577">IF($A577="","",INDEX(JupData!$A$2:$K$10000,MATCH($A577&amp;E$1,JupData!$A$2:$A$10000&amp;JupData!$J$2:$J$10000,0),11))</f>
        <v/>
      </c>
      <c r="F577" t="str">
        <f t="array" ref="F577">IF($A577="","",INDEX(JupData!$A$2:$K$10000,MATCH($A577&amp;F$1,JupData!$A$2:$A$10000&amp;JupData!$J$2:$J$10000,0),11))</f>
        <v/>
      </c>
      <c r="G577" t="str">
        <f t="array" ref="G577">IF($A577="","",INDEX(JupData!$A$2:$K$10000,MATCH($A577&amp;G$1,JupData!$A$2:$A$10000&amp;JupData!$J$2:$J$10000,0),11))</f>
        <v/>
      </c>
      <c r="H577" t="str">
        <f t="array" ref="H577">IF($A577="","",INDEX(JupData!$A$2:$K$10000,MATCH($A577&amp;H$1,JupData!$A$2:$A$10000&amp;JupData!$J$2:$J$10000,0),11))</f>
        <v/>
      </c>
      <c r="I577" t="str">
        <f t="array" ref="I577">IF($A577="","",INDEX(JupData!$A$2:$K$10000,MATCH($A577&amp;I$1,JupData!$A$2:$A$10000&amp;JupData!$J$2:$J$10000,0),11))</f>
        <v/>
      </c>
      <c r="J577" t="str">
        <f t="array" ref="J577">IF($A577="","",INDEX(JupData!$A$2:$K$10000,MATCH($A577&amp;J$1,JupData!$A$2:$A$10000&amp;JupData!$J$2:$J$10000,0),11))</f>
        <v/>
      </c>
      <c r="K577" t="str">
        <f t="array" ref="K577">IF($A577="","",INDEX(JupData!$A$2:$K$10000,MATCH($A577&amp;K$1,JupData!$A$2:$A$10000&amp;JupData!$J$2:$J$10000,0),11))</f>
        <v/>
      </c>
      <c r="L577" t="str">
        <f t="array" ref="L577">IF($A577="","",INDEX(JupData!$A$2:$K$10000,MATCH($A577&amp;L$1,JupData!$A$2:$A$10000&amp;JupData!$J$2:$J$10000,0),11))</f>
        <v/>
      </c>
      <c r="M577" t="str">
        <f t="array" ref="M577">IF($A577="","",INDEX(JupData!$A$2:$K$10000,MATCH($A577&amp;M$1,JupData!$A$2:$A$10000&amp;JupData!$J$2:$J$10000,0),11))</f>
        <v/>
      </c>
      <c r="N577" t="str">
        <f t="array" ref="N577">IF($A577="","",INDEX(JupData!$A$2:$K$10000,MATCH($A577&amp;N$1,JupData!$A$2:$A$10000&amp;JupData!$J$2:$J$10000,0),11))</f>
        <v/>
      </c>
      <c r="O577" t="str">
        <f t="array" ref="O577">IF($A577="","",INDEX(JupData!$A$2:$K$10000,MATCH($A577&amp;O$1,JupData!$A$2:$A$10000&amp;JupData!$J$2:$J$10000,0),11))</f>
        <v/>
      </c>
      <c r="P577" t="str">
        <f t="array" ref="P577">IF($A577="","",INDEX(JupData!$A$2:$K$10000,MATCH($A577&amp;P$1,JupData!$A$2:$A$10000&amp;JupData!$J$2:$J$10000,0),11))</f>
        <v/>
      </c>
      <c r="Q577" t="str">
        <f t="array" ref="Q577">IF($A577="","",INDEX(JupData!$A$2:$K$10000,MATCH($A577&amp;Q$1,JupData!$A$2:$A$10000&amp;JupData!$J$2:$J$10000,0),11))</f>
        <v/>
      </c>
      <c r="R577" t="str">
        <f t="array" ref="R577">IF($A577="","",INDEX(JupData!$A$2:$K$10000,MATCH($A577&amp;R$1,JupData!$A$2:$A$10000&amp;JupData!$J$2:$J$10000,0),11))</f>
        <v/>
      </c>
      <c r="S577" t="str">
        <f t="array" ref="S577">IF($A577="","",INDEX(JupData!$A$2:$K$10000,MATCH($A577&amp;S$1,JupData!$A$2:$A$10000&amp;JupData!$J$2:$J$10000,0),11))</f>
        <v/>
      </c>
      <c r="T577" t="str">
        <f t="array" ref="T577">IF($A577="","",INDEX(JupData!$A$2:$K$10000,MATCH($A577&amp;T$1,JupData!$A$2:$A$10000&amp;JupData!$J$2:$J$10000,0),11))</f>
        <v/>
      </c>
      <c r="U577" t="str">
        <f t="array" ref="U577">IF($A577="","",INDEX(JupData!$A$2:$K$10000,MATCH($A577&amp;U$1,JupData!$A$2:$A$10000&amp;JupData!$J$2:$J$10000,0),11))</f>
        <v/>
      </c>
      <c r="V577" t="str">
        <f t="array" ref="V577">IF($A577="","",INDEX(JupData!$A$2:$K$10000,MATCH($A577&amp;V$1,JupData!$A$2:$A$10000&amp;JupData!$J$2:$J$10000,0),11))</f>
        <v/>
      </c>
      <c r="W577" t="str">
        <f t="array" ref="W577">IF($A577="","",INDEX(JupData!$A$2:$K$10000,MATCH($A577&amp;W$1,JupData!$A$2:$A$10000&amp;JupData!$J$2:$J$10000,0),11))</f>
        <v/>
      </c>
      <c r="X577" t="str">
        <f t="array" ref="X577">IF($A577="","",INDEX(JupData!$A$2:$K$10000,MATCH($A577&amp;X$1,JupData!$A$2:$A$10000&amp;JupData!$J$2:$J$10000,0),11))</f>
        <v/>
      </c>
      <c r="Y577" t="str">
        <f t="array" ref="Y577">IF($A577="","",INDEX(JupData!$A$2:$K$10000,MATCH($A577&amp;Y$1,JupData!$A$2:$A$10000&amp;JupData!$J$2:$J$10000,0),11))</f>
        <v/>
      </c>
      <c r="Z577" t="str">
        <f t="array" ref="Z577">IF($A577="","",INDEX(JupData!$A$2:$K$10000,MATCH($A577&amp;Z$1,JupData!$A$2:$A$10000&amp;JupData!$J$2:$J$10000,0),11))</f>
        <v/>
      </c>
      <c r="AA577" t="str">
        <f t="array" ref="AA577">IF($A577="","",INDEX(JupData!$A$2:$K$10000,MATCH($A577&amp;AA$1,JupData!$A$2:$A$10000&amp;JupData!$J$2:$J$10000,0),11))</f>
        <v/>
      </c>
      <c r="AB577" t="str">
        <f t="array" ref="AB577">IF($A577="","",INDEX(JupData!$A$2:$K$10000,MATCH($A577&amp;AB$1,JupData!$A$2:$A$10000&amp;JupData!$J$2:$J$10000,0),11))</f>
        <v/>
      </c>
      <c r="AC577" s="10" t="str">
        <f t="shared" si="88"/>
        <v/>
      </c>
      <c r="AD577" s="10" t="str">
        <f t="shared" si="89"/>
        <v/>
      </c>
      <c r="AE577" s="9" t="str">
        <f t="shared" si="90"/>
        <v/>
      </c>
      <c r="AF577" s="10" t="str">
        <f t="shared" si="91"/>
        <v/>
      </c>
      <c r="AG577" s="10" t="str">
        <f t="shared" si="92"/>
        <v/>
      </c>
      <c r="AH577" s="10" t="str">
        <f t="shared" si="93"/>
        <v/>
      </c>
      <c r="AI577" s="10" t="str">
        <f t="shared" si="94"/>
        <v/>
      </c>
      <c r="AJ577" s="10" t="str">
        <f t="shared" si="95"/>
        <v/>
      </c>
      <c r="AK577" s="10" t="str">
        <f t="shared" si="96"/>
        <v/>
      </c>
      <c r="AL577" s="14" t="str">
        <f t="shared" si="97"/>
        <v/>
      </c>
    </row>
    <row r="578" spans="1:38" x14ac:dyDescent="0.2">
      <c r="A578"/>
      <c r="B578" t="str">
        <f>IF($A578="","",VLOOKUP($A578,JupData!$A$2:$I$10000,4,FALSE))</f>
        <v/>
      </c>
      <c r="C578" s="7" t="str">
        <f>IF($A578="",IF(N(D578),0,""),VLOOKUP($A578,JupData!$A$2:$I$10000,7,FALSE))</f>
        <v/>
      </c>
      <c r="D578" t="str">
        <f t="shared" si="98"/>
        <v/>
      </c>
      <c r="E578" t="str">
        <f t="array" ref="E578">IF($A578="","",INDEX(JupData!$A$2:$K$10000,MATCH($A578&amp;E$1,JupData!$A$2:$A$10000&amp;JupData!$J$2:$J$10000,0),11))</f>
        <v/>
      </c>
      <c r="F578" t="str">
        <f t="array" ref="F578">IF($A578="","",INDEX(JupData!$A$2:$K$10000,MATCH($A578&amp;F$1,JupData!$A$2:$A$10000&amp;JupData!$J$2:$J$10000,0),11))</f>
        <v/>
      </c>
      <c r="G578" t="str">
        <f t="array" ref="G578">IF($A578="","",INDEX(JupData!$A$2:$K$10000,MATCH($A578&amp;G$1,JupData!$A$2:$A$10000&amp;JupData!$J$2:$J$10000,0),11))</f>
        <v/>
      </c>
      <c r="H578" t="str">
        <f t="array" ref="H578">IF($A578="","",INDEX(JupData!$A$2:$K$10000,MATCH($A578&amp;H$1,JupData!$A$2:$A$10000&amp;JupData!$J$2:$J$10000,0),11))</f>
        <v/>
      </c>
      <c r="I578" t="str">
        <f t="array" ref="I578">IF($A578="","",INDEX(JupData!$A$2:$K$10000,MATCH($A578&amp;I$1,JupData!$A$2:$A$10000&amp;JupData!$J$2:$J$10000,0),11))</f>
        <v/>
      </c>
      <c r="J578" t="str">
        <f t="array" ref="J578">IF($A578="","",INDEX(JupData!$A$2:$K$10000,MATCH($A578&amp;J$1,JupData!$A$2:$A$10000&amp;JupData!$J$2:$J$10000,0),11))</f>
        <v/>
      </c>
      <c r="K578" t="str">
        <f t="array" ref="K578">IF($A578="","",INDEX(JupData!$A$2:$K$10000,MATCH($A578&amp;K$1,JupData!$A$2:$A$10000&amp;JupData!$J$2:$J$10000,0),11))</f>
        <v/>
      </c>
      <c r="L578" t="str">
        <f t="array" ref="L578">IF($A578="","",INDEX(JupData!$A$2:$K$10000,MATCH($A578&amp;L$1,JupData!$A$2:$A$10000&amp;JupData!$J$2:$J$10000,0),11))</f>
        <v/>
      </c>
      <c r="M578" t="str">
        <f t="array" ref="M578">IF($A578="","",INDEX(JupData!$A$2:$K$10000,MATCH($A578&amp;M$1,JupData!$A$2:$A$10000&amp;JupData!$J$2:$J$10000,0),11))</f>
        <v/>
      </c>
      <c r="N578" t="str">
        <f t="array" ref="N578">IF($A578="","",INDEX(JupData!$A$2:$K$10000,MATCH($A578&amp;N$1,JupData!$A$2:$A$10000&amp;JupData!$J$2:$J$10000,0),11))</f>
        <v/>
      </c>
      <c r="O578" t="str">
        <f t="array" ref="O578">IF($A578="","",INDEX(JupData!$A$2:$K$10000,MATCH($A578&amp;O$1,JupData!$A$2:$A$10000&amp;JupData!$J$2:$J$10000,0),11))</f>
        <v/>
      </c>
      <c r="P578" t="str">
        <f t="array" ref="P578">IF($A578="","",INDEX(JupData!$A$2:$K$10000,MATCH($A578&amp;P$1,JupData!$A$2:$A$10000&amp;JupData!$J$2:$J$10000,0),11))</f>
        <v/>
      </c>
      <c r="Q578" t="str">
        <f t="array" ref="Q578">IF($A578="","",INDEX(JupData!$A$2:$K$10000,MATCH($A578&amp;Q$1,JupData!$A$2:$A$10000&amp;JupData!$J$2:$J$10000,0),11))</f>
        <v/>
      </c>
      <c r="R578" t="str">
        <f t="array" ref="R578">IF($A578="","",INDEX(JupData!$A$2:$K$10000,MATCH($A578&amp;R$1,JupData!$A$2:$A$10000&amp;JupData!$J$2:$J$10000,0),11))</f>
        <v/>
      </c>
      <c r="S578" t="str">
        <f t="array" ref="S578">IF($A578="","",INDEX(JupData!$A$2:$K$10000,MATCH($A578&amp;S$1,JupData!$A$2:$A$10000&amp;JupData!$J$2:$J$10000,0),11))</f>
        <v/>
      </c>
      <c r="T578" t="str">
        <f t="array" ref="T578">IF($A578="","",INDEX(JupData!$A$2:$K$10000,MATCH($A578&amp;T$1,JupData!$A$2:$A$10000&amp;JupData!$J$2:$J$10000,0),11))</f>
        <v/>
      </c>
      <c r="U578" t="str">
        <f t="array" ref="U578">IF($A578="","",INDEX(JupData!$A$2:$K$10000,MATCH($A578&amp;U$1,JupData!$A$2:$A$10000&amp;JupData!$J$2:$J$10000,0),11))</f>
        <v/>
      </c>
      <c r="V578" t="str">
        <f t="array" ref="V578">IF($A578="","",INDEX(JupData!$A$2:$K$10000,MATCH($A578&amp;V$1,JupData!$A$2:$A$10000&amp;JupData!$J$2:$J$10000,0),11))</f>
        <v/>
      </c>
      <c r="W578" t="str">
        <f t="array" ref="W578">IF($A578="","",INDEX(JupData!$A$2:$K$10000,MATCH($A578&amp;W$1,JupData!$A$2:$A$10000&amp;JupData!$J$2:$J$10000,0),11))</f>
        <v/>
      </c>
      <c r="X578" t="str">
        <f t="array" ref="X578">IF($A578="","",INDEX(JupData!$A$2:$K$10000,MATCH($A578&amp;X$1,JupData!$A$2:$A$10000&amp;JupData!$J$2:$J$10000,0),11))</f>
        <v/>
      </c>
      <c r="Y578" t="str">
        <f t="array" ref="Y578">IF($A578="","",INDEX(JupData!$A$2:$K$10000,MATCH($A578&amp;Y$1,JupData!$A$2:$A$10000&amp;JupData!$J$2:$J$10000,0),11))</f>
        <v/>
      </c>
      <c r="Z578" t="str">
        <f t="array" ref="Z578">IF($A578="","",INDEX(JupData!$A$2:$K$10000,MATCH($A578&amp;Z$1,JupData!$A$2:$A$10000&amp;JupData!$J$2:$J$10000,0),11))</f>
        <v/>
      </c>
      <c r="AA578" t="str">
        <f t="array" ref="AA578">IF($A578="","",INDEX(JupData!$A$2:$K$10000,MATCH($A578&amp;AA$1,JupData!$A$2:$A$10000&amp;JupData!$J$2:$J$10000,0),11))</f>
        <v/>
      </c>
      <c r="AB578" t="str">
        <f t="array" ref="AB578">IF($A578="","",INDEX(JupData!$A$2:$K$10000,MATCH($A578&amp;AB$1,JupData!$A$2:$A$10000&amp;JupData!$J$2:$J$10000,0),11))</f>
        <v/>
      </c>
      <c r="AC578" s="10" t="str">
        <f t="shared" si="88"/>
        <v/>
      </c>
      <c r="AD578" s="10" t="str">
        <f t="shared" si="89"/>
        <v/>
      </c>
      <c r="AE578" s="9" t="str">
        <f t="shared" si="90"/>
        <v/>
      </c>
      <c r="AF578" s="10" t="str">
        <f t="shared" si="91"/>
        <v/>
      </c>
      <c r="AG578" s="10" t="str">
        <f t="shared" si="92"/>
        <v/>
      </c>
      <c r="AH578" s="10" t="str">
        <f t="shared" si="93"/>
        <v/>
      </c>
      <c r="AI578" s="10" t="str">
        <f t="shared" si="94"/>
        <v/>
      </c>
      <c r="AJ578" s="10" t="str">
        <f t="shared" si="95"/>
        <v/>
      </c>
      <c r="AK578" s="10" t="str">
        <f t="shared" si="96"/>
        <v/>
      </c>
      <c r="AL578" s="14" t="str">
        <f t="shared" si="97"/>
        <v/>
      </c>
    </row>
    <row r="579" spans="1:38" x14ac:dyDescent="0.2">
      <c r="A579"/>
      <c r="B579" t="str">
        <f>IF($A579="","",VLOOKUP($A579,JupData!$A$2:$I$10000,4,FALSE))</f>
        <v/>
      </c>
      <c r="C579" s="7" t="str">
        <f>IF($A579="",IF(N(D579),0,""),VLOOKUP($A579,JupData!$A$2:$I$10000,7,FALSE))</f>
        <v/>
      </c>
      <c r="D579" t="str">
        <f t="shared" si="98"/>
        <v/>
      </c>
      <c r="E579" t="str">
        <f t="array" ref="E579">IF($A579="","",INDEX(JupData!$A$2:$K$10000,MATCH($A579&amp;E$1,JupData!$A$2:$A$10000&amp;JupData!$J$2:$J$10000,0),11))</f>
        <v/>
      </c>
      <c r="F579" t="str">
        <f t="array" ref="F579">IF($A579="","",INDEX(JupData!$A$2:$K$10000,MATCH($A579&amp;F$1,JupData!$A$2:$A$10000&amp;JupData!$J$2:$J$10000,0),11))</f>
        <v/>
      </c>
      <c r="G579" t="str">
        <f t="array" ref="G579">IF($A579="","",INDEX(JupData!$A$2:$K$10000,MATCH($A579&amp;G$1,JupData!$A$2:$A$10000&amp;JupData!$J$2:$J$10000,0),11))</f>
        <v/>
      </c>
      <c r="H579" t="str">
        <f t="array" ref="H579">IF($A579="","",INDEX(JupData!$A$2:$K$10000,MATCH($A579&amp;H$1,JupData!$A$2:$A$10000&amp;JupData!$J$2:$J$10000,0),11))</f>
        <v/>
      </c>
      <c r="I579" t="str">
        <f t="array" ref="I579">IF($A579="","",INDEX(JupData!$A$2:$K$10000,MATCH($A579&amp;I$1,JupData!$A$2:$A$10000&amp;JupData!$J$2:$J$10000,0),11))</f>
        <v/>
      </c>
      <c r="J579" t="str">
        <f t="array" ref="J579">IF($A579="","",INDEX(JupData!$A$2:$K$10000,MATCH($A579&amp;J$1,JupData!$A$2:$A$10000&amp;JupData!$J$2:$J$10000,0),11))</f>
        <v/>
      </c>
      <c r="K579" t="str">
        <f t="array" ref="K579">IF($A579="","",INDEX(JupData!$A$2:$K$10000,MATCH($A579&amp;K$1,JupData!$A$2:$A$10000&amp;JupData!$J$2:$J$10000,0),11))</f>
        <v/>
      </c>
      <c r="L579" t="str">
        <f t="array" ref="L579">IF($A579="","",INDEX(JupData!$A$2:$K$10000,MATCH($A579&amp;L$1,JupData!$A$2:$A$10000&amp;JupData!$J$2:$J$10000,0),11))</f>
        <v/>
      </c>
      <c r="M579" t="str">
        <f t="array" ref="M579">IF($A579="","",INDEX(JupData!$A$2:$K$10000,MATCH($A579&amp;M$1,JupData!$A$2:$A$10000&amp;JupData!$J$2:$J$10000,0),11))</f>
        <v/>
      </c>
      <c r="N579" t="str">
        <f t="array" ref="N579">IF($A579="","",INDEX(JupData!$A$2:$K$10000,MATCH($A579&amp;N$1,JupData!$A$2:$A$10000&amp;JupData!$J$2:$J$10000,0),11))</f>
        <v/>
      </c>
      <c r="O579" t="str">
        <f t="array" ref="O579">IF($A579="","",INDEX(JupData!$A$2:$K$10000,MATCH($A579&amp;O$1,JupData!$A$2:$A$10000&amp;JupData!$J$2:$J$10000,0),11))</f>
        <v/>
      </c>
      <c r="P579" t="str">
        <f t="array" ref="P579">IF($A579="","",INDEX(JupData!$A$2:$K$10000,MATCH($A579&amp;P$1,JupData!$A$2:$A$10000&amp;JupData!$J$2:$J$10000,0),11))</f>
        <v/>
      </c>
      <c r="Q579" t="str">
        <f t="array" ref="Q579">IF($A579="","",INDEX(JupData!$A$2:$K$10000,MATCH($A579&amp;Q$1,JupData!$A$2:$A$10000&amp;JupData!$J$2:$J$10000,0),11))</f>
        <v/>
      </c>
      <c r="R579" t="str">
        <f t="array" ref="R579">IF($A579="","",INDEX(JupData!$A$2:$K$10000,MATCH($A579&amp;R$1,JupData!$A$2:$A$10000&amp;JupData!$J$2:$J$10000,0),11))</f>
        <v/>
      </c>
      <c r="S579" t="str">
        <f t="array" ref="S579">IF($A579="","",INDEX(JupData!$A$2:$K$10000,MATCH($A579&amp;S$1,JupData!$A$2:$A$10000&amp;JupData!$J$2:$J$10000,0),11))</f>
        <v/>
      </c>
      <c r="T579" t="str">
        <f t="array" ref="T579">IF($A579="","",INDEX(JupData!$A$2:$K$10000,MATCH($A579&amp;T$1,JupData!$A$2:$A$10000&amp;JupData!$J$2:$J$10000,0),11))</f>
        <v/>
      </c>
      <c r="U579" t="str">
        <f t="array" ref="U579">IF($A579="","",INDEX(JupData!$A$2:$K$10000,MATCH($A579&amp;U$1,JupData!$A$2:$A$10000&amp;JupData!$J$2:$J$10000,0),11))</f>
        <v/>
      </c>
      <c r="V579" t="str">
        <f t="array" ref="V579">IF($A579="","",INDEX(JupData!$A$2:$K$10000,MATCH($A579&amp;V$1,JupData!$A$2:$A$10000&amp;JupData!$J$2:$J$10000,0),11))</f>
        <v/>
      </c>
      <c r="W579" t="str">
        <f t="array" ref="W579">IF($A579="","",INDEX(JupData!$A$2:$K$10000,MATCH($A579&amp;W$1,JupData!$A$2:$A$10000&amp;JupData!$J$2:$J$10000,0),11))</f>
        <v/>
      </c>
      <c r="X579" t="str">
        <f t="array" ref="X579">IF($A579="","",INDEX(JupData!$A$2:$K$10000,MATCH($A579&amp;X$1,JupData!$A$2:$A$10000&amp;JupData!$J$2:$J$10000,0),11))</f>
        <v/>
      </c>
      <c r="Y579" t="str">
        <f t="array" ref="Y579">IF($A579="","",INDEX(JupData!$A$2:$K$10000,MATCH($A579&amp;Y$1,JupData!$A$2:$A$10000&amp;JupData!$J$2:$J$10000,0),11))</f>
        <v/>
      </c>
      <c r="Z579" t="str">
        <f t="array" ref="Z579">IF($A579="","",INDEX(JupData!$A$2:$K$10000,MATCH($A579&amp;Z$1,JupData!$A$2:$A$10000&amp;JupData!$J$2:$J$10000,0),11))</f>
        <v/>
      </c>
      <c r="AA579" t="str">
        <f t="array" ref="AA579">IF($A579="","",INDEX(JupData!$A$2:$K$10000,MATCH($A579&amp;AA$1,JupData!$A$2:$A$10000&amp;JupData!$J$2:$J$10000,0),11))</f>
        <v/>
      </c>
      <c r="AB579" t="str">
        <f t="array" ref="AB579">IF($A579="","",INDEX(JupData!$A$2:$K$10000,MATCH($A579&amp;AB$1,JupData!$A$2:$A$10000&amp;JupData!$J$2:$J$10000,0),11))</f>
        <v/>
      </c>
      <c r="AC579" s="10" t="str">
        <f t="shared" ref="AC579:AC642" si="99">IF(A579="","",2*H579/40.08+2*I579/24.3+J579/22.99+K579/39.1+Y579/18.04)</f>
        <v/>
      </c>
      <c r="AD579" s="10" t="str">
        <f t="shared" ref="AD579:AD642" si="100">IF(A579="","",R579/61.02+2*S579/96.06+T579/35.45+U579/19+W579/62)</f>
        <v/>
      </c>
      <c r="AE579" s="9" t="str">
        <f t="shared" ref="AE579:AE642" si="101">IF(A579="","",IF(AD579&lt;0,((AC579+AD579)/(AC579-AD579)),((AC579-AD579)/(AC579+AD579))))</f>
        <v/>
      </c>
      <c r="AF579" s="10" t="str">
        <f t="shared" ref="AF579:AF642" si="102">IF(A579="","",(J579/22.99)/(T579/35.45))</f>
        <v/>
      </c>
      <c r="AG579" s="10" t="str">
        <f t="shared" ref="AG579:AG642" si="103">IF(A579="","",2*((H579/40.08)+(I579/24.3))/(R579/61.02))</f>
        <v/>
      </c>
      <c r="AH579" s="10" t="str">
        <f t="shared" ref="AH579:AH642" si="104">IF(A579="","",(J579/22.99)/((J579/22.99)+2*(H579/40.08)))</f>
        <v/>
      </c>
      <c r="AI579" s="10" t="str">
        <f t="shared" ref="AI579:AI642" si="105">IF(A579="","",H579/40.08)</f>
        <v/>
      </c>
      <c r="AJ579" s="10" t="str">
        <f t="shared" ref="AJ579:AJ642" si="106">IF(A579="","",S579/96.06)</f>
        <v/>
      </c>
      <c r="AK579" s="10" t="str">
        <f t="shared" ref="AK579:AK642" si="107">IF(A579="","",IF(W579&gt;=1,IF(L579&lt;0.2,IF(G579&gt;1,"A","B"),"X1"),IF(L579&gt;=0.2,IF(S579&gt;=20,IF(S579&gt;70,"C2","C1"),IF(AG579&lt;=1,"D","X3")),"X2")))</f>
        <v/>
      </c>
      <c r="AL579" s="14" t="str">
        <f t="shared" ref="AL579:AL642" si="108">IF(F579="","",(H579/40.1+I579/24.3)*5.6)</f>
        <v/>
      </c>
    </row>
    <row r="580" spans="1:38" x14ac:dyDescent="0.2">
      <c r="A580"/>
      <c r="B580" t="str">
        <f>IF($A580="","",VLOOKUP($A580,JupData!$A$2:$I$10000,4,FALSE))</f>
        <v/>
      </c>
      <c r="C580" s="7" t="str">
        <f>IF($A580="",IF(N(D580),0,""),VLOOKUP($A580,JupData!$A$2:$I$10000,7,FALSE))</f>
        <v/>
      </c>
      <c r="D580" t="str">
        <f t="shared" ref="D580:D643" si="109">IF(A580="",IF(D579&lt;20,D579+1,""),IF(B579="",1,IF(B579=B580,D579,D579+1)))</f>
        <v/>
      </c>
      <c r="E580" t="str">
        <f t="array" ref="E580">IF($A580="","",INDEX(JupData!$A$2:$K$10000,MATCH($A580&amp;E$1,JupData!$A$2:$A$10000&amp;JupData!$J$2:$J$10000,0),11))</f>
        <v/>
      </c>
      <c r="F580" t="str">
        <f t="array" ref="F580">IF($A580="","",INDEX(JupData!$A$2:$K$10000,MATCH($A580&amp;F$1,JupData!$A$2:$A$10000&amp;JupData!$J$2:$J$10000,0),11))</f>
        <v/>
      </c>
      <c r="G580" t="str">
        <f t="array" ref="G580">IF($A580="","",INDEX(JupData!$A$2:$K$10000,MATCH($A580&amp;G$1,JupData!$A$2:$A$10000&amp;JupData!$J$2:$J$10000,0),11))</f>
        <v/>
      </c>
      <c r="H580" t="str">
        <f t="array" ref="H580">IF($A580="","",INDEX(JupData!$A$2:$K$10000,MATCH($A580&amp;H$1,JupData!$A$2:$A$10000&amp;JupData!$J$2:$J$10000,0),11))</f>
        <v/>
      </c>
      <c r="I580" t="str">
        <f t="array" ref="I580">IF($A580="","",INDEX(JupData!$A$2:$K$10000,MATCH($A580&amp;I$1,JupData!$A$2:$A$10000&amp;JupData!$J$2:$J$10000,0),11))</f>
        <v/>
      </c>
      <c r="J580" t="str">
        <f t="array" ref="J580">IF($A580="","",INDEX(JupData!$A$2:$K$10000,MATCH($A580&amp;J$1,JupData!$A$2:$A$10000&amp;JupData!$J$2:$J$10000,0),11))</f>
        <v/>
      </c>
      <c r="K580" t="str">
        <f t="array" ref="K580">IF($A580="","",INDEX(JupData!$A$2:$K$10000,MATCH($A580&amp;K$1,JupData!$A$2:$A$10000&amp;JupData!$J$2:$J$10000,0),11))</f>
        <v/>
      </c>
      <c r="L580" t="str">
        <f t="array" ref="L580">IF($A580="","",INDEX(JupData!$A$2:$K$10000,MATCH($A580&amp;L$1,JupData!$A$2:$A$10000&amp;JupData!$J$2:$J$10000,0),11))</f>
        <v/>
      </c>
      <c r="M580" t="str">
        <f t="array" ref="M580">IF($A580="","",INDEX(JupData!$A$2:$K$10000,MATCH($A580&amp;M$1,JupData!$A$2:$A$10000&amp;JupData!$J$2:$J$10000,0),11))</f>
        <v/>
      </c>
      <c r="N580" t="str">
        <f t="array" ref="N580">IF($A580="","",INDEX(JupData!$A$2:$K$10000,MATCH($A580&amp;N$1,JupData!$A$2:$A$10000&amp;JupData!$J$2:$J$10000,0),11))</f>
        <v/>
      </c>
      <c r="O580" t="str">
        <f t="array" ref="O580">IF($A580="","",INDEX(JupData!$A$2:$K$10000,MATCH($A580&amp;O$1,JupData!$A$2:$A$10000&amp;JupData!$J$2:$J$10000,0),11))</f>
        <v/>
      </c>
      <c r="P580" t="str">
        <f t="array" ref="P580">IF($A580="","",INDEX(JupData!$A$2:$K$10000,MATCH($A580&amp;P$1,JupData!$A$2:$A$10000&amp;JupData!$J$2:$J$10000,0),11))</f>
        <v/>
      </c>
      <c r="Q580" t="str">
        <f t="array" ref="Q580">IF($A580="","",INDEX(JupData!$A$2:$K$10000,MATCH($A580&amp;Q$1,JupData!$A$2:$A$10000&amp;JupData!$J$2:$J$10000,0),11))</f>
        <v/>
      </c>
      <c r="R580" t="str">
        <f t="array" ref="R580">IF($A580="","",INDEX(JupData!$A$2:$K$10000,MATCH($A580&amp;R$1,JupData!$A$2:$A$10000&amp;JupData!$J$2:$J$10000,0),11))</f>
        <v/>
      </c>
      <c r="S580" t="str">
        <f t="array" ref="S580">IF($A580="","",INDEX(JupData!$A$2:$K$10000,MATCH($A580&amp;S$1,JupData!$A$2:$A$10000&amp;JupData!$J$2:$J$10000,0),11))</f>
        <v/>
      </c>
      <c r="T580" t="str">
        <f t="array" ref="T580">IF($A580="","",INDEX(JupData!$A$2:$K$10000,MATCH($A580&amp;T$1,JupData!$A$2:$A$10000&amp;JupData!$J$2:$J$10000,0),11))</f>
        <v/>
      </c>
      <c r="U580" t="str">
        <f t="array" ref="U580">IF($A580="","",INDEX(JupData!$A$2:$K$10000,MATCH($A580&amp;U$1,JupData!$A$2:$A$10000&amp;JupData!$J$2:$J$10000,0),11))</f>
        <v/>
      </c>
      <c r="V580" t="str">
        <f t="array" ref="V580">IF($A580="","",INDEX(JupData!$A$2:$K$10000,MATCH($A580&amp;V$1,JupData!$A$2:$A$10000&amp;JupData!$J$2:$J$10000,0),11))</f>
        <v/>
      </c>
      <c r="W580" t="str">
        <f t="array" ref="W580">IF($A580="","",INDEX(JupData!$A$2:$K$10000,MATCH($A580&amp;W$1,JupData!$A$2:$A$10000&amp;JupData!$J$2:$J$10000,0),11))</f>
        <v/>
      </c>
      <c r="X580" t="str">
        <f t="array" ref="X580">IF($A580="","",INDEX(JupData!$A$2:$K$10000,MATCH($A580&amp;X$1,JupData!$A$2:$A$10000&amp;JupData!$J$2:$J$10000,0),11))</f>
        <v/>
      </c>
      <c r="Y580" t="str">
        <f t="array" ref="Y580">IF($A580="","",INDEX(JupData!$A$2:$K$10000,MATCH($A580&amp;Y$1,JupData!$A$2:$A$10000&amp;JupData!$J$2:$J$10000,0),11))</f>
        <v/>
      </c>
      <c r="Z580" t="str">
        <f t="array" ref="Z580">IF($A580="","",INDEX(JupData!$A$2:$K$10000,MATCH($A580&amp;Z$1,JupData!$A$2:$A$10000&amp;JupData!$J$2:$J$10000,0),11))</f>
        <v/>
      </c>
      <c r="AA580" t="str">
        <f t="array" ref="AA580">IF($A580="","",INDEX(JupData!$A$2:$K$10000,MATCH($A580&amp;AA$1,JupData!$A$2:$A$10000&amp;JupData!$J$2:$J$10000,0),11))</f>
        <v/>
      </c>
      <c r="AB580" t="str">
        <f t="array" ref="AB580">IF($A580="","",INDEX(JupData!$A$2:$K$10000,MATCH($A580&amp;AB$1,JupData!$A$2:$A$10000&amp;JupData!$J$2:$J$10000,0),11))</f>
        <v/>
      </c>
      <c r="AC580" s="10" t="str">
        <f t="shared" si="99"/>
        <v/>
      </c>
      <c r="AD580" s="10" t="str">
        <f t="shared" si="100"/>
        <v/>
      </c>
      <c r="AE580" s="9" t="str">
        <f t="shared" si="101"/>
        <v/>
      </c>
      <c r="AF580" s="10" t="str">
        <f t="shared" si="102"/>
        <v/>
      </c>
      <c r="AG580" s="10" t="str">
        <f t="shared" si="103"/>
        <v/>
      </c>
      <c r="AH580" s="10" t="str">
        <f t="shared" si="104"/>
        <v/>
      </c>
      <c r="AI580" s="10" t="str">
        <f t="shared" si="105"/>
        <v/>
      </c>
      <c r="AJ580" s="10" t="str">
        <f t="shared" si="106"/>
        <v/>
      </c>
      <c r="AK580" s="10" t="str">
        <f t="shared" si="107"/>
        <v/>
      </c>
      <c r="AL580" s="14" t="str">
        <f t="shared" si="108"/>
        <v/>
      </c>
    </row>
    <row r="581" spans="1:38" x14ac:dyDescent="0.2">
      <c r="A581"/>
      <c r="B581" t="str">
        <f>IF($A581="","",VLOOKUP($A581,JupData!$A$2:$I$10000,4,FALSE))</f>
        <v/>
      </c>
      <c r="C581" s="7" t="str">
        <f>IF($A581="",IF(N(D581),0,""),VLOOKUP($A581,JupData!$A$2:$I$10000,7,FALSE))</f>
        <v/>
      </c>
      <c r="D581" t="str">
        <f t="shared" si="109"/>
        <v/>
      </c>
      <c r="E581" t="str">
        <f t="array" ref="E581">IF($A581="","",INDEX(JupData!$A$2:$K$10000,MATCH($A581&amp;E$1,JupData!$A$2:$A$10000&amp;JupData!$J$2:$J$10000,0),11))</f>
        <v/>
      </c>
      <c r="F581" t="str">
        <f t="array" ref="F581">IF($A581="","",INDEX(JupData!$A$2:$K$10000,MATCH($A581&amp;F$1,JupData!$A$2:$A$10000&amp;JupData!$J$2:$J$10000,0),11))</f>
        <v/>
      </c>
      <c r="G581" t="str">
        <f t="array" ref="G581">IF($A581="","",INDEX(JupData!$A$2:$K$10000,MATCH($A581&amp;G$1,JupData!$A$2:$A$10000&amp;JupData!$J$2:$J$10000,0),11))</f>
        <v/>
      </c>
      <c r="H581" t="str">
        <f t="array" ref="H581">IF($A581="","",INDEX(JupData!$A$2:$K$10000,MATCH($A581&amp;H$1,JupData!$A$2:$A$10000&amp;JupData!$J$2:$J$10000,0),11))</f>
        <v/>
      </c>
      <c r="I581" t="str">
        <f t="array" ref="I581">IF($A581="","",INDEX(JupData!$A$2:$K$10000,MATCH($A581&amp;I$1,JupData!$A$2:$A$10000&amp;JupData!$J$2:$J$10000,0),11))</f>
        <v/>
      </c>
      <c r="J581" t="str">
        <f t="array" ref="J581">IF($A581="","",INDEX(JupData!$A$2:$K$10000,MATCH($A581&amp;J$1,JupData!$A$2:$A$10000&amp;JupData!$J$2:$J$10000,0),11))</f>
        <v/>
      </c>
      <c r="K581" t="str">
        <f t="array" ref="K581">IF($A581="","",INDEX(JupData!$A$2:$K$10000,MATCH($A581&amp;K$1,JupData!$A$2:$A$10000&amp;JupData!$J$2:$J$10000,0),11))</f>
        <v/>
      </c>
      <c r="L581" t="str">
        <f t="array" ref="L581">IF($A581="","",INDEX(JupData!$A$2:$K$10000,MATCH($A581&amp;L$1,JupData!$A$2:$A$10000&amp;JupData!$J$2:$J$10000,0),11))</f>
        <v/>
      </c>
      <c r="M581" t="str">
        <f t="array" ref="M581">IF($A581="","",INDEX(JupData!$A$2:$K$10000,MATCH($A581&amp;M$1,JupData!$A$2:$A$10000&amp;JupData!$J$2:$J$10000,0),11))</f>
        <v/>
      </c>
      <c r="N581" t="str">
        <f t="array" ref="N581">IF($A581="","",INDEX(JupData!$A$2:$K$10000,MATCH($A581&amp;N$1,JupData!$A$2:$A$10000&amp;JupData!$J$2:$J$10000,0),11))</f>
        <v/>
      </c>
      <c r="O581" t="str">
        <f t="array" ref="O581">IF($A581="","",INDEX(JupData!$A$2:$K$10000,MATCH($A581&amp;O$1,JupData!$A$2:$A$10000&amp;JupData!$J$2:$J$10000,0),11))</f>
        <v/>
      </c>
      <c r="P581" t="str">
        <f t="array" ref="P581">IF($A581="","",INDEX(JupData!$A$2:$K$10000,MATCH($A581&amp;P$1,JupData!$A$2:$A$10000&amp;JupData!$J$2:$J$10000,0),11))</f>
        <v/>
      </c>
      <c r="Q581" t="str">
        <f t="array" ref="Q581">IF($A581="","",INDEX(JupData!$A$2:$K$10000,MATCH($A581&amp;Q$1,JupData!$A$2:$A$10000&amp;JupData!$J$2:$J$10000,0),11))</f>
        <v/>
      </c>
      <c r="R581" t="str">
        <f t="array" ref="R581">IF($A581="","",INDEX(JupData!$A$2:$K$10000,MATCH($A581&amp;R$1,JupData!$A$2:$A$10000&amp;JupData!$J$2:$J$10000,0),11))</f>
        <v/>
      </c>
      <c r="S581" t="str">
        <f t="array" ref="S581">IF($A581="","",INDEX(JupData!$A$2:$K$10000,MATCH($A581&amp;S$1,JupData!$A$2:$A$10000&amp;JupData!$J$2:$J$10000,0),11))</f>
        <v/>
      </c>
      <c r="T581" t="str">
        <f t="array" ref="T581">IF($A581="","",INDEX(JupData!$A$2:$K$10000,MATCH($A581&amp;T$1,JupData!$A$2:$A$10000&amp;JupData!$J$2:$J$10000,0),11))</f>
        <v/>
      </c>
      <c r="U581" t="str">
        <f t="array" ref="U581">IF($A581="","",INDEX(JupData!$A$2:$K$10000,MATCH($A581&amp;U$1,JupData!$A$2:$A$10000&amp;JupData!$J$2:$J$10000,0),11))</f>
        <v/>
      </c>
      <c r="V581" t="str">
        <f t="array" ref="V581">IF($A581="","",INDEX(JupData!$A$2:$K$10000,MATCH($A581&amp;V$1,JupData!$A$2:$A$10000&amp;JupData!$J$2:$J$10000,0),11))</f>
        <v/>
      </c>
      <c r="W581" t="str">
        <f t="array" ref="W581">IF($A581="","",INDEX(JupData!$A$2:$K$10000,MATCH($A581&amp;W$1,JupData!$A$2:$A$10000&amp;JupData!$J$2:$J$10000,0),11))</f>
        <v/>
      </c>
      <c r="X581" t="str">
        <f t="array" ref="X581">IF($A581="","",INDEX(JupData!$A$2:$K$10000,MATCH($A581&amp;X$1,JupData!$A$2:$A$10000&amp;JupData!$J$2:$J$10000,0),11))</f>
        <v/>
      </c>
      <c r="Y581" t="str">
        <f t="array" ref="Y581">IF($A581="","",INDEX(JupData!$A$2:$K$10000,MATCH($A581&amp;Y$1,JupData!$A$2:$A$10000&amp;JupData!$J$2:$J$10000,0),11))</f>
        <v/>
      </c>
      <c r="Z581" t="str">
        <f t="array" ref="Z581">IF($A581="","",INDEX(JupData!$A$2:$K$10000,MATCH($A581&amp;Z$1,JupData!$A$2:$A$10000&amp;JupData!$J$2:$J$10000,0),11))</f>
        <v/>
      </c>
      <c r="AA581" t="str">
        <f t="array" ref="AA581">IF($A581="","",INDEX(JupData!$A$2:$K$10000,MATCH($A581&amp;AA$1,JupData!$A$2:$A$10000&amp;JupData!$J$2:$J$10000,0),11))</f>
        <v/>
      </c>
      <c r="AB581" t="str">
        <f t="array" ref="AB581">IF($A581="","",INDEX(JupData!$A$2:$K$10000,MATCH($A581&amp;AB$1,JupData!$A$2:$A$10000&amp;JupData!$J$2:$J$10000,0),11))</f>
        <v/>
      </c>
      <c r="AC581" s="10" t="str">
        <f t="shared" si="99"/>
        <v/>
      </c>
      <c r="AD581" s="10" t="str">
        <f t="shared" si="100"/>
        <v/>
      </c>
      <c r="AE581" s="9" t="str">
        <f t="shared" si="101"/>
        <v/>
      </c>
      <c r="AF581" s="10" t="str">
        <f t="shared" si="102"/>
        <v/>
      </c>
      <c r="AG581" s="10" t="str">
        <f t="shared" si="103"/>
        <v/>
      </c>
      <c r="AH581" s="10" t="str">
        <f t="shared" si="104"/>
        <v/>
      </c>
      <c r="AI581" s="10" t="str">
        <f t="shared" si="105"/>
        <v/>
      </c>
      <c r="AJ581" s="10" t="str">
        <f t="shared" si="106"/>
        <v/>
      </c>
      <c r="AK581" s="10" t="str">
        <f t="shared" si="107"/>
        <v/>
      </c>
      <c r="AL581" s="14" t="str">
        <f t="shared" si="108"/>
        <v/>
      </c>
    </row>
    <row r="582" spans="1:38" x14ac:dyDescent="0.2">
      <c r="A582"/>
      <c r="B582" t="str">
        <f>IF($A582="","",VLOOKUP($A582,JupData!$A$2:$I$10000,4,FALSE))</f>
        <v/>
      </c>
      <c r="C582" s="7" t="str">
        <f>IF($A582="",IF(N(D582),0,""),VLOOKUP($A582,JupData!$A$2:$I$10000,7,FALSE))</f>
        <v/>
      </c>
      <c r="D582" t="str">
        <f t="shared" si="109"/>
        <v/>
      </c>
      <c r="E582" t="str">
        <f t="array" ref="E582">IF($A582="","",INDEX(JupData!$A$2:$K$10000,MATCH($A582&amp;E$1,JupData!$A$2:$A$10000&amp;JupData!$J$2:$J$10000,0),11))</f>
        <v/>
      </c>
      <c r="F582" t="str">
        <f t="array" ref="F582">IF($A582="","",INDEX(JupData!$A$2:$K$10000,MATCH($A582&amp;F$1,JupData!$A$2:$A$10000&amp;JupData!$J$2:$J$10000,0),11))</f>
        <v/>
      </c>
      <c r="G582" t="str">
        <f t="array" ref="G582">IF($A582="","",INDEX(JupData!$A$2:$K$10000,MATCH($A582&amp;G$1,JupData!$A$2:$A$10000&amp;JupData!$J$2:$J$10000,0),11))</f>
        <v/>
      </c>
      <c r="H582" t="str">
        <f t="array" ref="H582">IF($A582="","",INDEX(JupData!$A$2:$K$10000,MATCH($A582&amp;H$1,JupData!$A$2:$A$10000&amp;JupData!$J$2:$J$10000,0),11))</f>
        <v/>
      </c>
      <c r="I582" t="str">
        <f t="array" ref="I582">IF($A582="","",INDEX(JupData!$A$2:$K$10000,MATCH($A582&amp;I$1,JupData!$A$2:$A$10000&amp;JupData!$J$2:$J$10000,0),11))</f>
        <v/>
      </c>
      <c r="J582" t="str">
        <f t="array" ref="J582">IF($A582="","",INDEX(JupData!$A$2:$K$10000,MATCH($A582&amp;J$1,JupData!$A$2:$A$10000&amp;JupData!$J$2:$J$10000,0),11))</f>
        <v/>
      </c>
      <c r="K582" t="str">
        <f t="array" ref="K582">IF($A582="","",INDEX(JupData!$A$2:$K$10000,MATCH($A582&amp;K$1,JupData!$A$2:$A$10000&amp;JupData!$J$2:$J$10000,0),11))</f>
        <v/>
      </c>
      <c r="L582" t="str">
        <f t="array" ref="L582">IF($A582="","",INDEX(JupData!$A$2:$K$10000,MATCH($A582&amp;L$1,JupData!$A$2:$A$10000&amp;JupData!$J$2:$J$10000,0),11))</f>
        <v/>
      </c>
      <c r="M582" t="str">
        <f t="array" ref="M582">IF($A582="","",INDEX(JupData!$A$2:$K$10000,MATCH($A582&amp;M$1,JupData!$A$2:$A$10000&amp;JupData!$J$2:$J$10000,0),11))</f>
        <v/>
      </c>
      <c r="N582" t="str">
        <f t="array" ref="N582">IF($A582="","",INDEX(JupData!$A$2:$K$10000,MATCH($A582&amp;N$1,JupData!$A$2:$A$10000&amp;JupData!$J$2:$J$10000,0),11))</f>
        <v/>
      </c>
      <c r="O582" t="str">
        <f t="array" ref="O582">IF($A582="","",INDEX(JupData!$A$2:$K$10000,MATCH($A582&amp;O$1,JupData!$A$2:$A$10000&amp;JupData!$J$2:$J$10000,0),11))</f>
        <v/>
      </c>
      <c r="P582" t="str">
        <f t="array" ref="P582">IF($A582="","",INDEX(JupData!$A$2:$K$10000,MATCH($A582&amp;P$1,JupData!$A$2:$A$10000&amp;JupData!$J$2:$J$10000,0),11))</f>
        <v/>
      </c>
      <c r="Q582" t="str">
        <f t="array" ref="Q582">IF($A582="","",INDEX(JupData!$A$2:$K$10000,MATCH($A582&amp;Q$1,JupData!$A$2:$A$10000&amp;JupData!$J$2:$J$10000,0),11))</f>
        <v/>
      </c>
      <c r="R582" t="str">
        <f t="array" ref="R582">IF($A582="","",INDEX(JupData!$A$2:$K$10000,MATCH($A582&amp;R$1,JupData!$A$2:$A$10000&amp;JupData!$J$2:$J$10000,0),11))</f>
        <v/>
      </c>
      <c r="S582" t="str">
        <f t="array" ref="S582">IF($A582="","",INDEX(JupData!$A$2:$K$10000,MATCH($A582&amp;S$1,JupData!$A$2:$A$10000&amp;JupData!$J$2:$J$10000,0),11))</f>
        <v/>
      </c>
      <c r="T582" t="str">
        <f t="array" ref="T582">IF($A582="","",INDEX(JupData!$A$2:$K$10000,MATCH($A582&amp;T$1,JupData!$A$2:$A$10000&amp;JupData!$J$2:$J$10000,0),11))</f>
        <v/>
      </c>
      <c r="U582" t="str">
        <f t="array" ref="U582">IF($A582="","",INDEX(JupData!$A$2:$K$10000,MATCH($A582&amp;U$1,JupData!$A$2:$A$10000&amp;JupData!$J$2:$J$10000,0),11))</f>
        <v/>
      </c>
      <c r="V582" t="str">
        <f t="array" ref="V582">IF($A582="","",INDEX(JupData!$A$2:$K$10000,MATCH($A582&amp;V$1,JupData!$A$2:$A$10000&amp;JupData!$J$2:$J$10000,0),11))</f>
        <v/>
      </c>
      <c r="W582" t="str">
        <f t="array" ref="W582">IF($A582="","",INDEX(JupData!$A$2:$K$10000,MATCH($A582&amp;W$1,JupData!$A$2:$A$10000&amp;JupData!$J$2:$J$10000,0),11))</f>
        <v/>
      </c>
      <c r="X582" t="str">
        <f t="array" ref="X582">IF($A582="","",INDEX(JupData!$A$2:$K$10000,MATCH($A582&amp;X$1,JupData!$A$2:$A$10000&amp;JupData!$J$2:$J$10000,0),11))</f>
        <v/>
      </c>
      <c r="Y582" t="str">
        <f t="array" ref="Y582">IF($A582="","",INDEX(JupData!$A$2:$K$10000,MATCH($A582&amp;Y$1,JupData!$A$2:$A$10000&amp;JupData!$J$2:$J$10000,0),11))</f>
        <v/>
      </c>
      <c r="Z582" t="str">
        <f t="array" ref="Z582">IF($A582="","",INDEX(JupData!$A$2:$K$10000,MATCH($A582&amp;Z$1,JupData!$A$2:$A$10000&amp;JupData!$J$2:$J$10000,0),11))</f>
        <v/>
      </c>
      <c r="AA582" t="str">
        <f t="array" ref="AA582">IF($A582="","",INDEX(JupData!$A$2:$K$10000,MATCH($A582&amp;AA$1,JupData!$A$2:$A$10000&amp;JupData!$J$2:$J$10000,0),11))</f>
        <v/>
      </c>
      <c r="AB582" t="str">
        <f t="array" ref="AB582">IF($A582="","",INDEX(JupData!$A$2:$K$10000,MATCH($A582&amp;AB$1,JupData!$A$2:$A$10000&amp;JupData!$J$2:$J$10000,0),11))</f>
        <v/>
      </c>
      <c r="AC582" s="10" t="str">
        <f t="shared" si="99"/>
        <v/>
      </c>
      <c r="AD582" s="10" t="str">
        <f t="shared" si="100"/>
        <v/>
      </c>
      <c r="AE582" s="9" t="str">
        <f t="shared" si="101"/>
        <v/>
      </c>
      <c r="AF582" s="10" t="str">
        <f t="shared" si="102"/>
        <v/>
      </c>
      <c r="AG582" s="10" t="str">
        <f t="shared" si="103"/>
        <v/>
      </c>
      <c r="AH582" s="10" t="str">
        <f t="shared" si="104"/>
        <v/>
      </c>
      <c r="AI582" s="10" t="str">
        <f t="shared" si="105"/>
        <v/>
      </c>
      <c r="AJ582" s="10" t="str">
        <f t="shared" si="106"/>
        <v/>
      </c>
      <c r="AK582" s="10" t="str">
        <f t="shared" si="107"/>
        <v/>
      </c>
      <c r="AL582" s="14" t="str">
        <f t="shared" si="108"/>
        <v/>
      </c>
    </row>
    <row r="583" spans="1:38" x14ac:dyDescent="0.2">
      <c r="A583"/>
      <c r="B583" t="str">
        <f>IF($A583="","",VLOOKUP($A583,JupData!$A$2:$I$10000,4,FALSE))</f>
        <v/>
      </c>
      <c r="C583" s="7" t="str">
        <f>IF($A583="",IF(N(D583),0,""),VLOOKUP($A583,JupData!$A$2:$I$10000,7,FALSE))</f>
        <v/>
      </c>
      <c r="D583" t="str">
        <f t="shared" si="109"/>
        <v/>
      </c>
      <c r="E583" t="str">
        <f t="array" ref="E583">IF($A583="","",INDEX(JupData!$A$2:$K$10000,MATCH($A583&amp;E$1,JupData!$A$2:$A$10000&amp;JupData!$J$2:$J$10000,0),11))</f>
        <v/>
      </c>
      <c r="F583" t="str">
        <f t="array" ref="F583">IF($A583="","",INDEX(JupData!$A$2:$K$10000,MATCH($A583&amp;F$1,JupData!$A$2:$A$10000&amp;JupData!$J$2:$J$10000,0),11))</f>
        <v/>
      </c>
      <c r="G583" t="str">
        <f t="array" ref="G583">IF($A583="","",INDEX(JupData!$A$2:$K$10000,MATCH($A583&amp;G$1,JupData!$A$2:$A$10000&amp;JupData!$J$2:$J$10000,0),11))</f>
        <v/>
      </c>
      <c r="H583" t="str">
        <f t="array" ref="H583">IF($A583="","",INDEX(JupData!$A$2:$K$10000,MATCH($A583&amp;H$1,JupData!$A$2:$A$10000&amp;JupData!$J$2:$J$10000,0),11))</f>
        <v/>
      </c>
      <c r="I583" t="str">
        <f t="array" ref="I583">IF($A583="","",INDEX(JupData!$A$2:$K$10000,MATCH($A583&amp;I$1,JupData!$A$2:$A$10000&amp;JupData!$J$2:$J$10000,0),11))</f>
        <v/>
      </c>
      <c r="J583" t="str">
        <f t="array" ref="J583">IF($A583="","",INDEX(JupData!$A$2:$K$10000,MATCH($A583&amp;J$1,JupData!$A$2:$A$10000&amp;JupData!$J$2:$J$10000,0),11))</f>
        <v/>
      </c>
      <c r="K583" t="str">
        <f t="array" ref="K583">IF($A583="","",INDEX(JupData!$A$2:$K$10000,MATCH($A583&amp;K$1,JupData!$A$2:$A$10000&amp;JupData!$J$2:$J$10000,0),11))</f>
        <v/>
      </c>
      <c r="L583" t="str">
        <f t="array" ref="L583">IF($A583="","",INDEX(JupData!$A$2:$K$10000,MATCH($A583&amp;L$1,JupData!$A$2:$A$10000&amp;JupData!$J$2:$J$10000,0),11))</f>
        <v/>
      </c>
      <c r="M583" t="str">
        <f t="array" ref="M583">IF($A583="","",INDEX(JupData!$A$2:$K$10000,MATCH($A583&amp;M$1,JupData!$A$2:$A$10000&amp;JupData!$J$2:$J$10000,0),11))</f>
        <v/>
      </c>
      <c r="N583" t="str">
        <f t="array" ref="N583">IF($A583="","",INDEX(JupData!$A$2:$K$10000,MATCH($A583&amp;N$1,JupData!$A$2:$A$10000&amp;JupData!$J$2:$J$10000,0),11))</f>
        <v/>
      </c>
      <c r="O583" t="str">
        <f t="array" ref="O583">IF($A583="","",INDEX(JupData!$A$2:$K$10000,MATCH($A583&amp;O$1,JupData!$A$2:$A$10000&amp;JupData!$J$2:$J$10000,0),11))</f>
        <v/>
      </c>
      <c r="P583" t="str">
        <f t="array" ref="P583">IF($A583="","",INDEX(JupData!$A$2:$K$10000,MATCH($A583&amp;P$1,JupData!$A$2:$A$10000&amp;JupData!$J$2:$J$10000,0),11))</f>
        <v/>
      </c>
      <c r="Q583" t="str">
        <f t="array" ref="Q583">IF($A583="","",INDEX(JupData!$A$2:$K$10000,MATCH($A583&amp;Q$1,JupData!$A$2:$A$10000&amp;JupData!$J$2:$J$10000,0),11))</f>
        <v/>
      </c>
      <c r="R583" t="str">
        <f t="array" ref="R583">IF($A583="","",INDEX(JupData!$A$2:$K$10000,MATCH($A583&amp;R$1,JupData!$A$2:$A$10000&amp;JupData!$J$2:$J$10000,0),11))</f>
        <v/>
      </c>
      <c r="S583" t="str">
        <f t="array" ref="S583">IF($A583="","",INDEX(JupData!$A$2:$K$10000,MATCH($A583&amp;S$1,JupData!$A$2:$A$10000&amp;JupData!$J$2:$J$10000,0),11))</f>
        <v/>
      </c>
      <c r="T583" t="str">
        <f t="array" ref="T583">IF($A583="","",INDEX(JupData!$A$2:$K$10000,MATCH($A583&amp;T$1,JupData!$A$2:$A$10000&amp;JupData!$J$2:$J$10000,0),11))</f>
        <v/>
      </c>
      <c r="U583" t="str">
        <f t="array" ref="U583">IF($A583="","",INDEX(JupData!$A$2:$K$10000,MATCH($A583&amp;U$1,JupData!$A$2:$A$10000&amp;JupData!$J$2:$J$10000,0),11))</f>
        <v/>
      </c>
      <c r="V583" t="str">
        <f t="array" ref="V583">IF($A583="","",INDEX(JupData!$A$2:$K$10000,MATCH($A583&amp;V$1,JupData!$A$2:$A$10000&amp;JupData!$J$2:$J$10000,0),11))</f>
        <v/>
      </c>
      <c r="W583" t="str">
        <f t="array" ref="W583">IF($A583="","",INDEX(JupData!$A$2:$K$10000,MATCH($A583&amp;W$1,JupData!$A$2:$A$10000&amp;JupData!$J$2:$J$10000,0),11))</f>
        <v/>
      </c>
      <c r="X583" t="str">
        <f t="array" ref="X583">IF($A583="","",INDEX(JupData!$A$2:$K$10000,MATCH($A583&amp;X$1,JupData!$A$2:$A$10000&amp;JupData!$J$2:$J$10000,0),11))</f>
        <v/>
      </c>
      <c r="Y583" t="str">
        <f t="array" ref="Y583">IF($A583="","",INDEX(JupData!$A$2:$K$10000,MATCH($A583&amp;Y$1,JupData!$A$2:$A$10000&amp;JupData!$J$2:$J$10000,0),11))</f>
        <v/>
      </c>
      <c r="Z583" t="str">
        <f t="array" ref="Z583">IF($A583="","",INDEX(JupData!$A$2:$K$10000,MATCH($A583&amp;Z$1,JupData!$A$2:$A$10000&amp;JupData!$J$2:$J$10000,0),11))</f>
        <v/>
      </c>
      <c r="AA583" t="str">
        <f t="array" ref="AA583">IF($A583="","",INDEX(JupData!$A$2:$K$10000,MATCH($A583&amp;AA$1,JupData!$A$2:$A$10000&amp;JupData!$J$2:$J$10000,0),11))</f>
        <v/>
      </c>
      <c r="AB583" t="str">
        <f t="array" ref="AB583">IF($A583="","",INDEX(JupData!$A$2:$K$10000,MATCH($A583&amp;AB$1,JupData!$A$2:$A$10000&amp;JupData!$J$2:$J$10000,0),11))</f>
        <v/>
      </c>
      <c r="AC583" s="10" t="str">
        <f t="shared" si="99"/>
        <v/>
      </c>
      <c r="AD583" s="10" t="str">
        <f t="shared" si="100"/>
        <v/>
      </c>
      <c r="AE583" s="9" t="str">
        <f t="shared" si="101"/>
        <v/>
      </c>
      <c r="AF583" s="10" t="str">
        <f t="shared" si="102"/>
        <v/>
      </c>
      <c r="AG583" s="10" t="str">
        <f t="shared" si="103"/>
        <v/>
      </c>
      <c r="AH583" s="10" t="str">
        <f t="shared" si="104"/>
        <v/>
      </c>
      <c r="AI583" s="10" t="str">
        <f t="shared" si="105"/>
        <v/>
      </c>
      <c r="AJ583" s="10" t="str">
        <f t="shared" si="106"/>
        <v/>
      </c>
      <c r="AK583" s="10" t="str">
        <f t="shared" si="107"/>
        <v/>
      </c>
      <c r="AL583" s="14" t="str">
        <f t="shared" si="108"/>
        <v/>
      </c>
    </row>
    <row r="584" spans="1:38" x14ac:dyDescent="0.2">
      <c r="A584"/>
      <c r="B584" t="str">
        <f>IF($A584="","",VLOOKUP($A584,JupData!$A$2:$I$10000,4,FALSE))</f>
        <v/>
      </c>
      <c r="C584" s="7" t="str">
        <f>IF($A584="",IF(N(D584),0,""),VLOOKUP($A584,JupData!$A$2:$I$10000,7,FALSE))</f>
        <v/>
      </c>
      <c r="D584" t="str">
        <f t="shared" si="109"/>
        <v/>
      </c>
      <c r="E584" t="str">
        <f t="array" ref="E584">IF($A584="","",INDEX(JupData!$A$2:$K$10000,MATCH($A584&amp;E$1,JupData!$A$2:$A$10000&amp;JupData!$J$2:$J$10000,0),11))</f>
        <v/>
      </c>
      <c r="F584" t="str">
        <f t="array" ref="F584">IF($A584="","",INDEX(JupData!$A$2:$K$10000,MATCH($A584&amp;F$1,JupData!$A$2:$A$10000&amp;JupData!$J$2:$J$10000,0),11))</f>
        <v/>
      </c>
      <c r="G584" t="str">
        <f t="array" ref="G584">IF($A584="","",INDEX(JupData!$A$2:$K$10000,MATCH($A584&amp;G$1,JupData!$A$2:$A$10000&amp;JupData!$J$2:$J$10000,0),11))</f>
        <v/>
      </c>
      <c r="H584" t="str">
        <f t="array" ref="H584">IF($A584="","",INDEX(JupData!$A$2:$K$10000,MATCH($A584&amp;H$1,JupData!$A$2:$A$10000&amp;JupData!$J$2:$J$10000,0),11))</f>
        <v/>
      </c>
      <c r="I584" t="str">
        <f t="array" ref="I584">IF($A584="","",INDEX(JupData!$A$2:$K$10000,MATCH($A584&amp;I$1,JupData!$A$2:$A$10000&amp;JupData!$J$2:$J$10000,0),11))</f>
        <v/>
      </c>
      <c r="J584" t="str">
        <f t="array" ref="J584">IF($A584="","",INDEX(JupData!$A$2:$K$10000,MATCH($A584&amp;J$1,JupData!$A$2:$A$10000&amp;JupData!$J$2:$J$10000,0),11))</f>
        <v/>
      </c>
      <c r="K584" t="str">
        <f t="array" ref="K584">IF($A584="","",INDEX(JupData!$A$2:$K$10000,MATCH($A584&amp;K$1,JupData!$A$2:$A$10000&amp;JupData!$J$2:$J$10000,0),11))</f>
        <v/>
      </c>
      <c r="L584" t="str">
        <f t="array" ref="L584">IF($A584="","",INDEX(JupData!$A$2:$K$10000,MATCH($A584&amp;L$1,JupData!$A$2:$A$10000&amp;JupData!$J$2:$J$10000,0),11))</f>
        <v/>
      </c>
      <c r="M584" t="str">
        <f t="array" ref="M584">IF($A584="","",INDEX(JupData!$A$2:$K$10000,MATCH($A584&amp;M$1,JupData!$A$2:$A$10000&amp;JupData!$J$2:$J$10000,0),11))</f>
        <v/>
      </c>
      <c r="N584" t="str">
        <f t="array" ref="N584">IF($A584="","",INDEX(JupData!$A$2:$K$10000,MATCH($A584&amp;N$1,JupData!$A$2:$A$10000&amp;JupData!$J$2:$J$10000,0),11))</f>
        <v/>
      </c>
      <c r="O584" t="str">
        <f t="array" ref="O584">IF($A584="","",INDEX(JupData!$A$2:$K$10000,MATCH($A584&amp;O$1,JupData!$A$2:$A$10000&amp;JupData!$J$2:$J$10000,0),11))</f>
        <v/>
      </c>
      <c r="P584" t="str">
        <f t="array" ref="P584">IF($A584="","",INDEX(JupData!$A$2:$K$10000,MATCH($A584&amp;P$1,JupData!$A$2:$A$10000&amp;JupData!$J$2:$J$10000,0),11))</f>
        <v/>
      </c>
      <c r="Q584" t="str">
        <f t="array" ref="Q584">IF($A584="","",INDEX(JupData!$A$2:$K$10000,MATCH($A584&amp;Q$1,JupData!$A$2:$A$10000&amp;JupData!$J$2:$J$10000,0),11))</f>
        <v/>
      </c>
      <c r="R584" t="str">
        <f t="array" ref="R584">IF($A584="","",INDEX(JupData!$A$2:$K$10000,MATCH($A584&amp;R$1,JupData!$A$2:$A$10000&amp;JupData!$J$2:$J$10000,0),11))</f>
        <v/>
      </c>
      <c r="S584" t="str">
        <f t="array" ref="S584">IF($A584="","",INDEX(JupData!$A$2:$K$10000,MATCH($A584&amp;S$1,JupData!$A$2:$A$10000&amp;JupData!$J$2:$J$10000,0),11))</f>
        <v/>
      </c>
      <c r="T584" t="str">
        <f t="array" ref="T584">IF($A584="","",INDEX(JupData!$A$2:$K$10000,MATCH($A584&amp;T$1,JupData!$A$2:$A$10000&amp;JupData!$J$2:$J$10000,0),11))</f>
        <v/>
      </c>
      <c r="U584" t="str">
        <f t="array" ref="U584">IF($A584="","",INDEX(JupData!$A$2:$K$10000,MATCH($A584&amp;U$1,JupData!$A$2:$A$10000&amp;JupData!$J$2:$J$10000,0),11))</f>
        <v/>
      </c>
      <c r="V584" t="str">
        <f t="array" ref="V584">IF($A584="","",INDEX(JupData!$A$2:$K$10000,MATCH($A584&amp;V$1,JupData!$A$2:$A$10000&amp;JupData!$J$2:$J$10000,0),11))</f>
        <v/>
      </c>
      <c r="W584" t="str">
        <f t="array" ref="W584">IF($A584="","",INDEX(JupData!$A$2:$K$10000,MATCH($A584&amp;W$1,JupData!$A$2:$A$10000&amp;JupData!$J$2:$J$10000,0),11))</f>
        <v/>
      </c>
      <c r="X584" t="str">
        <f t="array" ref="X584">IF($A584="","",INDEX(JupData!$A$2:$K$10000,MATCH($A584&amp;X$1,JupData!$A$2:$A$10000&amp;JupData!$J$2:$J$10000,0),11))</f>
        <v/>
      </c>
      <c r="Y584" t="str">
        <f t="array" ref="Y584">IF($A584="","",INDEX(JupData!$A$2:$K$10000,MATCH($A584&amp;Y$1,JupData!$A$2:$A$10000&amp;JupData!$J$2:$J$10000,0),11))</f>
        <v/>
      </c>
      <c r="Z584" t="str">
        <f t="array" ref="Z584">IF($A584="","",INDEX(JupData!$A$2:$K$10000,MATCH($A584&amp;Z$1,JupData!$A$2:$A$10000&amp;JupData!$J$2:$J$10000,0),11))</f>
        <v/>
      </c>
      <c r="AA584" t="str">
        <f t="array" ref="AA584">IF($A584="","",INDEX(JupData!$A$2:$K$10000,MATCH($A584&amp;AA$1,JupData!$A$2:$A$10000&amp;JupData!$J$2:$J$10000,0),11))</f>
        <v/>
      </c>
      <c r="AB584" t="str">
        <f t="array" ref="AB584">IF($A584="","",INDEX(JupData!$A$2:$K$10000,MATCH($A584&amp;AB$1,JupData!$A$2:$A$10000&amp;JupData!$J$2:$J$10000,0),11))</f>
        <v/>
      </c>
      <c r="AC584" s="10" t="str">
        <f t="shared" si="99"/>
        <v/>
      </c>
      <c r="AD584" s="10" t="str">
        <f t="shared" si="100"/>
        <v/>
      </c>
      <c r="AE584" s="9" t="str">
        <f t="shared" si="101"/>
        <v/>
      </c>
      <c r="AF584" s="10" t="str">
        <f t="shared" si="102"/>
        <v/>
      </c>
      <c r="AG584" s="10" t="str">
        <f t="shared" si="103"/>
        <v/>
      </c>
      <c r="AH584" s="10" t="str">
        <f t="shared" si="104"/>
        <v/>
      </c>
      <c r="AI584" s="10" t="str">
        <f t="shared" si="105"/>
        <v/>
      </c>
      <c r="AJ584" s="10" t="str">
        <f t="shared" si="106"/>
        <v/>
      </c>
      <c r="AK584" s="10" t="str">
        <f t="shared" si="107"/>
        <v/>
      </c>
      <c r="AL584" s="14" t="str">
        <f t="shared" si="108"/>
        <v/>
      </c>
    </row>
    <row r="585" spans="1:38" x14ac:dyDescent="0.2">
      <c r="A585"/>
      <c r="B585" t="str">
        <f>IF($A585="","",VLOOKUP($A585,JupData!$A$2:$I$10000,4,FALSE))</f>
        <v/>
      </c>
      <c r="C585" s="7" t="str">
        <f>IF($A585="",IF(N(D585),0,""),VLOOKUP($A585,JupData!$A$2:$I$10000,7,FALSE))</f>
        <v/>
      </c>
      <c r="D585" t="str">
        <f t="shared" si="109"/>
        <v/>
      </c>
      <c r="E585" t="str">
        <f t="array" ref="E585">IF($A585="","",INDEX(JupData!$A$2:$K$10000,MATCH($A585&amp;E$1,JupData!$A$2:$A$10000&amp;JupData!$J$2:$J$10000,0),11))</f>
        <v/>
      </c>
      <c r="F585" t="str">
        <f t="array" ref="F585">IF($A585="","",INDEX(JupData!$A$2:$K$10000,MATCH($A585&amp;F$1,JupData!$A$2:$A$10000&amp;JupData!$J$2:$J$10000,0),11))</f>
        <v/>
      </c>
      <c r="G585" t="str">
        <f t="array" ref="G585">IF($A585="","",INDEX(JupData!$A$2:$K$10000,MATCH($A585&amp;G$1,JupData!$A$2:$A$10000&amp;JupData!$J$2:$J$10000,0),11))</f>
        <v/>
      </c>
      <c r="H585" t="str">
        <f t="array" ref="H585">IF($A585="","",INDEX(JupData!$A$2:$K$10000,MATCH($A585&amp;H$1,JupData!$A$2:$A$10000&amp;JupData!$J$2:$J$10000,0),11))</f>
        <v/>
      </c>
      <c r="I585" t="str">
        <f t="array" ref="I585">IF($A585="","",INDEX(JupData!$A$2:$K$10000,MATCH($A585&amp;I$1,JupData!$A$2:$A$10000&amp;JupData!$J$2:$J$10000,0),11))</f>
        <v/>
      </c>
      <c r="J585" t="str">
        <f t="array" ref="J585">IF($A585="","",INDEX(JupData!$A$2:$K$10000,MATCH($A585&amp;J$1,JupData!$A$2:$A$10000&amp;JupData!$J$2:$J$10000,0),11))</f>
        <v/>
      </c>
      <c r="K585" t="str">
        <f t="array" ref="K585">IF($A585="","",INDEX(JupData!$A$2:$K$10000,MATCH($A585&amp;K$1,JupData!$A$2:$A$10000&amp;JupData!$J$2:$J$10000,0),11))</f>
        <v/>
      </c>
      <c r="L585" t="str">
        <f t="array" ref="L585">IF($A585="","",INDEX(JupData!$A$2:$K$10000,MATCH($A585&amp;L$1,JupData!$A$2:$A$10000&amp;JupData!$J$2:$J$10000,0),11))</f>
        <v/>
      </c>
      <c r="M585" t="str">
        <f t="array" ref="M585">IF($A585="","",INDEX(JupData!$A$2:$K$10000,MATCH($A585&amp;M$1,JupData!$A$2:$A$10000&amp;JupData!$J$2:$J$10000,0),11))</f>
        <v/>
      </c>
      <c r="N585" t="str">
        <f t="array" ref="N585">IF($A585="","",INDEX(JupData!$A$2:$K$10000,MATCH($A585&amp;N$1,JupData!$A$2:$A$10000&amp;JupData!$J$2:$J$10000,0),11))</f>
        <v/>
      </c>
      <c r="O585" t="str">
        <f t="array" ref="O585">IF($A585="","",INDEX(JupData!$A$2:$K$10000,MATCH($A585&amp;O$1,JupData!$A$2:$A$10000&amp;JupData!$J$2:$J$10000,0),11))</f>
        <v/>
      </c>
      <c r="P585" t="str">
        <f t="array" ref="P585">IF($A585="","",INDEX(JupData!$A$2:$K$10000,MATCH($A585&amp;P$1,JupData!$A$2:$A$10000&amp;JupData!$J$2:$J$10000,0),11))</f>
        <v/>
      </c>
      <c r="Q585" t="str">
        <f t="array" ref="Q585">IF($A585="","",INDEX(JupData!$A$2:$K$10000,MATCH($A585&amp;Q$1,JupData!$A$2:$A$10000&amp;JupData!$J$2:$J$10000,0),11))</f>
        <v/>
      </c>
      <c r="R585" t="str">
        <f t="array" ref="R585">IF($A585="","",INDEX(JupData!$A$2:$K$10000,MATCH($A585&amp;R$1,JupData!$A$2:$A$10000&amp;JupData!$J$2:$J$10000,0),11))</f>
        <v/>
      </c>
      <c r="S585" t="str">
        <f t="array" ref="S585">IF($A585="","",INDEX(JupData!$A$2:$K$10000,MATCH($A585&amp;S$1,JupData!$A$2:$A$10000&amp;JupData!$J$2:$J$10000,0),11))</f>
        <v/>
      </c>
      <c r="T585" t="str">
        <f t="array" ref="T585">IF($A585="","",INDEX(JupData!$A$2:$K$10000,MATCH($A585&amp;T$1,JupData!$A$2:$A$10000&amp;JupData!$J$2:$J$10000,0),11))</f>
        <v/>
      </c>
      <c r="U585" t="str">
        <f t="array" ref="U585">IF($A585="","",INDEX(JupData!$A$2:$K$10000,MATCH($A585&amp;U$1,JupData!$A$2:$A$10000&amp;JupData!$J$2:$J$10000,0),11))</f>
        <v/>
      </c>
      <c r="V585" t="str">
        <f t="array" ref="V585">IF($A585="","",INDEX(JupData!$A$2:$K$10000,MATCH($A585&amp;V$1,JupData!$A$2:$A$10000&amp;JupData!$J$2:$J$10000,0),11))</f>
        <v/>
      </c>
      <c r="W585" t="str">
        <f t="array" ref="W585">IF($A585="","",INDEX(JupData!$A$2:$K$10000,MATCH($A585&amp;W$1,JupData!$A$2:$A$10000&amp;JupData!$J$2:$J$10000,0),11))</f>
        <v/>
      </c>
      <c r="X585" t="str">
        <f t="array" ref="X585">IF($A585="","",INDEX(JupData!$A$2:$K$10000,MATCH($A585&amp;X$1,JupData!$A$2:$A$10000&amp;JupData!$J$2:$J$10000,0),11))</f>
        <v/>
      </c>
      <c r="Y585" t="str">
        <f t="array" ref="Y585">IF($A585="","",INDEX(JupData!$A$2:$K$10000,MATCH($A585&amp;Y$1,JupData!$A$2:$A$10000&amp;JupData!$J$2:$J$10000,0),11))</f>
        <v/>
      </c>
      <c r="Z585" t="str">
        <f t="array" ref="Z585">IF($A585="","",INDEX(JupData!$A$2:$K$10000,MATCH($A585&amp;Z$1,JupData!$A$2:$A$10000&amp;JupData!$J$2:$J$10000,0),11))</f>
        <v/>
      </c>
      <c r="AA585" t="str">
        <f t="array" ref="AA585">IF($A585="","",INDEX(JupData!$A$2:$K$10000,MATCH($A585&amp;AA$1,JupData!$A$2:$A$10000&amp;JupData!$J$2:$J$10000,0),11))</f>
        <v/>
      </c>
      <c r="AB585" t="str">
        <f t="array" ref="AB585">IF($A585="","",INDEX(JupData!$A$2:$K$10000,MATCH($A585&amp;AB$1,JupData!$A$2:$A$10000&amp;JupData!$J$2:$J$10000,0),11))</f>
        <v/>
      </c>
      <c r="AC585" s="10" t="str">
        <f t="shared" si="99"/>
        <v/>
      </c>
      <c r="AD585" s="10" t="str">
        <f t="shared" si="100"/>
        <v/>
      </c>
      <c r="AE585" s="9" t="str">
        <f t="shared" si="101"/>
        <v/>
      </c>
      <c r="AF585" s="10" t="str">
        <f t="shared" si="102"/>
        <v/>
      </c>
      <c r="AG585" s="10" t="str">
        <f t="shared" si="103"/>
        <v/>
      </c>
      <c r="AH585" s="10" t="str">
        <f t="shared" si="104"/>
        <v/>
      </c>
      <c r="AI585" s="10" t="str">
        <f t="shared" si="105"/>
        <v/>
      </c>
      <c r="AJ585" s="10" t="str">
        <f t="shared" si="106"/>
        <v/>
      </c>
      <c r="AK585" s="10" t="str">
        <f t="shared" si="107"/>
        <v/>
      </c>
      <c r="AL585" s="14" t="str">
        <f t="shared" si="108"/>
        <v/>
      </c>
    </row>
    <row r="586" spans="1:38" x14ac:dyDescent="0.2">
      <c r="A586"/>
      <c r="B586" t="str">
        <f>IF($A586="","",VLOOKUP($A586,JupData!$A$2:$I$10000,4,FALSE))</f>
        <v/>
      </c>
      <c r="C586" s="7" t="str">
        <f>IF($A586="",IF(N(D586),0,""),VLOOKUP($A586,JupData!$A$2:$I$10000,7,FALSE))</f>
        <v/>
      </c>
      <c r="D586" t="str">
        <f t="shared" si="109"/>
        <v/>
      </c>
      <c r="E586" t="str">
        <f t="array" ref="E586">IF($A586="","",INDEX(JupData!$A$2:$K$10000,MATCH($A586&amp;E$1,JupData!$A$2:$A$10000&amp;JupData!$J$2:$J$10000,0),11))</f>
        <v/>
      </c>
      <c r="F586" t="str">
        <f t="array" ref="F586">IF($A586="","",INDEX(JupData!$A$2:$K$10000,MATCH($A586&amp;F$1,JupData!$A$2:$A$10000&amp;JupData!$J$2:$J$10000,0),11))</f>
        <v/>
      </c>
      <c r="G586" t="str">
        <f t="array" ref="G586">IF($A586="","",INDEX(JupData!$A$2:$K$10000,MATCH($A586&amp;G$1,JupData!$A$2:$A$10000&amp;JupData!$J$2:$J$10000,0),11))</f>
        <v/>
      </c>
      <c r="H586" t="str">
        <f t="array" ref="H586">IF($A586="","",INDEX(JupData!$A$2:$K$10000,MATCH($A586&amp;H$1,JupData!$A$2:$A$10000&amp;JupData!$J$2:$J$10000,0),11))</f>
        <v/>
      </c>
      <c r="I586" t="str">
        <f t="array" ref="I586">IF($A586="","",INDEX(JupData!$A$2:$K$10000,MATCH($A586&amp;I$1,JupData!$A$2:$A$10000&amp;JupData!$J$2:$J$10000,0),11))</f>
        <v/>
      </c>
      <c r="J586" t="str">
        <f t="array" ref="J586">IF($A586="","",INDEX(JupData!$A$2:$K$10000,MATCH($A586&amp;J$1,JupData!$A$2:$A$10000&amp;JupData!$J$2:$J$10000,0),11))</f>
        <v/>
      </c>
      <c r="K586" t="str">
        <f t="array" ref="K586">IF($A586="","",INDEX(JupData!$A$2:$K$10000,MATCH($A586&amp;K$1,JupData!$A$2:$A$10000&amp;JupData!$J$2:$J$10000,0),11))</f>
        <v/>
      </c>
      <c r="L586" t="str">
        <f t="array" ref="L586">IF($A586="","",INDEX(JupData!$A$2:$K$10000,MATCH($A586&amp;L$1,JupData!$A$2:$A$10000&amp;JupData!$J$2:$J$10000,0),11))</f>
        <v/>
      </c>
      <c r="M586" t="str">
        <f t="array" ref="M586">IF($A586="","",INDEX(JupData!$A$2:$K$10000,MATCH($A586&amp;M$1,JupData!$A$2:$A$10000&amp;JupData!$J$2:$J$10000,0),11))</f>
        <v/>
      </c>
      <c r="N586" t="str">
        <f t="array" ref="N586">IF($A586="","",INDEX(JupData!$A$2:$K$10000,MATCH($A586&amp;N$1,JupData!$A$2:$A$10000&amp;JupData!$J$2:$J$10000,0),11))</f>
        <v/>
      </c>
      <c r="O586" t="str">
        <f t="array" ref="O586">IF($A586="","",INDEX(JupData!$A$2:$K$10000,MATCH($A586&amp;O$1,JupData!$A$2:$A$10000&amp;JupData!$J$2:$J$10000,0),11))</f>
        <v/>
      </c>
      <c r="P586" t="str">
        <f t="array" ref="P586">IF($A586="","",INDEX(JupData!$A$2:$K$10000,MATCH($A586&amp;P$1,JupData!$A$2:$A$10000&amp;JupData!$J$2:$J$10000,0),11))</f>
        <v/>
      </c>
      <c r="Q586" t="str">
        <f t="array" ref="Q586">IF($A586="","",INDEX(JupData!$A$2:$K$10000,MATCH($A586&amp;Q$1,JupData!$A$2:$A$10000&amp;JupData!$J$2:$J$10000,0),11))</f>
        <v/>
      </c>
      <c r="R586" t="str">
        <f t="array" ref="R586">IF($A586="","",INDEX(JupData!$A$2:$K$10000,MATCH($A586&amp;R$1,JupData!$A$2:$A$10000&amp;JupData!$J$2:$J$10000,0),11))</f>
        <v/>
      </c>
      <c r="S586" t="str">
        <f t="array" ref="S586">IF($A586="","",INDEX(JupData!$A$2:$K$10000,MATCH($A586&amp;S$1,JupData!$A$2:$A$10000&amp;JupData!$J$2:$J$10000,0),11))</f>
        <v/>
      </c>
      <c r="T586" t="str">
        <f t="array" ref="T586">IF($A586="","",INDEX(JupData!$A$2:$K$10000,MATCH($A586&amp;T$1,JupData!$A$2:$A$10000&amp;JupData!$J$2:$J$10000,0),11))</f>
        <v/>
      </c>
      <c r="U586" t="str">
        <f t="array" ref="U586">IF($A586="","",INDEX(JupData!$A$2:$K$10000,MATCH($A586&amp;U$1,JupData!$A$2:$A$10000&amp;JupData!$J$2:$J$10000,0),11))</f>
        <v/>
      </c>
      <c r="V586" t="str">
        <f t="array" ref="V586">IF($A586="","",INDEX(JupData!$A$2:$K$10000,MATCH($A586&amp;V$1,JupData!$A$2:$A$10000&amp;JupData!$J$2:$J$10000,0),11))</f>
        <v/>
      </c>
      <c r="W586" t="str">
        <f t="array" ref="W586">IF($A586="","",INDEX(JupData!$A$2:$K$10000,MATCH($A586&amp;W$1,JupData!$A$2:$A$10000&amp;JupData!$J$2:$J$10000,0),11))</f>
        <v/>
      </c>
      <c r="X586" t="str">
        <f t="array" ref="X586">IF($A586="","",INDEX(JupData!$A$2:$K$10000,MATCH($A586&amp;X$1,JupData!$A$2:$A$10000&amp;JupData!$J$2:$J$10000,0),11))</f>
        <v/>
      </c>
      <c r="Y586" t="str">
        <f t="array" ref="Y586">IF($A586="","",INDEX(JupData!$A$2:$K$10000,MATCH($A586&amp;Y$1,JupData!$A$2:$A$10000&amp;JupData!$J$2:$J$10000,0),11))</f>
        <v/>
      </c>
      <c r="Z586" t="str">
        <f t="array" ref="Z586">IF($A586="","",INDEX(JupData!$A$2:$K$10000,MATCH($A586&amp;Z$1,JupData!$A$2:$A$10000&amp;JupData!$J$2:$J$10000,0),11))</f>
        <v/>
      </c>
      <c r="AA586" t="str">
        <f t="array" ref="AA586">IF($A586="","",INDEX(JupData!$A$2:$K$10000,MATCH($A586&amp;AA$1,JupData!$A$2:$A$10000&amp;JupData!$J$2:$J$10000,0),11))</f>
        <v/>
      </c>
      <c r="AB586" t="str">
        <f t="array" ref="AB586">IF($A586="","",INDEX(JupData!$A$2:$K$10000,MATCH($A586&amp;AB$1,JupData!$A$2:$A$10000&amp;JupData!$J$2:$J$10000,0),11))</f>
        <v/>
      </c>
      <c r="AC586" s="10" t="str">
        <f t="shared" si="99"/>
        <v/>
      </c>
      <c r="AD586" s="10" t="str">
        <f t="shared" si="100"/>
        <v/>
      </c>
      <c r="AE586" s="9" t="str">
        <f t="shared" si="101"/>
        <v/>
      </c>
      <c r="AF586" s="10" t="str">
        <f t="shared" si="102"/>
        <v/>
      </c>
      <c r="AG586" s="10" t="str">
        <f t="shared" si="103"/>
        <v/>
      </c>
      <c r="AH586" s="10" t="str">
        <f t="shared" si="104"/>
        <v/>
      </c>
      <c r="AI586" s="10" t="str">
        <f t="shared" si="105"/>
        <v/>
      </c>
      <c r="AJ586" s="10" t="str">
        <f t="shared" si="106"/>
        <v/>
      </c>
      <c r="AK586" s="10" t="str">
        <f t="shared" si="107"/>
        <v/>
      </c>
      <c r="AL586" s="14" t="str">
        <f t="shared" si="108"/>
        <v/>
      </c>
    </row>
    <row r="587" spans="1:38" x14ac:dyDescent="0.2">
      <c r="A587"/>
      <c r="B587" t="str">
        <f>IF($A587="","",VLOOKUP($A587,JupData!$A$2:$I$10000,4,FALSE))</f>
        <v/>
      </c>
      <c r="C587" s="7" t="str">
        <f>IF($A587="",IF(N(D587),0,""),VLOOKUP($A587,JupData!$A$2:$I$10000,7,FALSE))</f>
        <v/>
      </c>
      <c r="D587" t="str">
        <f t="shared" si="109"/>
        <v/>
      </c>
      <c r="E587" t="str">
        <f t="array" ref="E587">IF($A587="","",INDEX(JupData!$A$2:$K$10000,MATCH($A587&amp;E$1,JupData!$A$2:$A$10000&amp;JupData!$J$2:$J$10000,0),11))</f>
        <v/>
      </c>
      <c r="F587" t="str">
        <f t="array" ref="F587">IF($A587="","",INDEX(JupData!$A$2:$K$10000,MATCH($A587&amp;F$1,JupData!$A$2:$A$10000&amp;JupData!$J$2:$J$10000,0),11))</f>
        <v/>
      </c>
      <c r="G587" t="str">
        <f t="array" ref="G587">IF($A587="","",INDEX(JupData!$A$2:$K$10000,MATCH($A587&amp;G$1,JupData!$A$2:$A$10000&amp;JupData!$J$2:$J$10000,0),11))</f>
        <v/>
      </c>
      <c r="H587" t="str">
        <f t="array" ref="H587">IF($A587="","",INDEX(JupData!$A$2:$K$10000,MATCH($A587&amp;H$1,JupData!$A$2:$A$10000&amp;JupData!$J$2:$J$10000,0),11))</f>
        <v/>
      </c>
      <c r="I587" t="str">
        <f t="array" ref="I587">IF($A587="","",INDEX(JupData!$A$2:$K$10000,MATCH($A587&amp;I$1,JupData!$A$2:$A$10000&amp;JupData!$J$2:$J$10000,0),11))</f>
        <v/>
      </c>
      <c r="J587" t="str">
        <f t="array" ref="J587">IF($A587="","",INDEX(JupData!$A$2:$K$10000,MATCH($A587&amp;J$1,JupData!$A$2:$A$10000&amp;JupData!$J$2:$J$10000,0),11))</f>
        <v/>
      </c>
      <c r="K587" t="str">
        <f t="array" ref="K587">IF($A587="","",INDEX(JupData!$A$2:$K$10000,MATCH($A587&amp;K$1,JupData!$A$2:$A$10000&amp;JupData!$J$2:$J$10000,0),11))</f>
        <v/>
      </c>
      <c r="L587" t="str">
        <f t="array" ref="L587">IF($A587="","",INDEX(JupData!$A$2:$K$10000,MATCH($A587&amp;L$1,JupData!$A$2:$A$10000&amp;JupData!$J$2:$J$10000,0),11))</f>
        <v/>
      </c>
      <c r="M587" t="str">
        <f t="array" ref="M587">IF($A587="","",INDEX(JupData!$A$2:$K$10000,MATCH($A587&amp;M$1,JupData!$A$2:$A$10000&amp;JupData!$J$2:$J$10000,0),11))</f>
        <v/>
      </c>
      <c r="N587" t="str">
        <f t="array" ref="N587">IF($A587="","",INDEX(JupData!$A$2:$K$10000,MATCH($A587&amp;N$1,JupData!$A$2:$A$10000&amp;JupData!$J$2:$J$10000,0),11))</f>
        <v/>
      </c>
      <c r="O587" t="str">
        <f t="array" ref="O587">IF($A587="","",INDEX(JupData!$A$2:$K$10000,MATCH($A587&amp;O$1,JupData!$A$2:$A$10000&amp;JupData!$J$2:$J$10000,0),11))</f>
        <v/>
      </c>
      <c r="P587" t="str">
        <f t="array" ref="P587">IF($A587="","",INDEX(JupData!$A$2:$K$10000,MATCH($A587&amp;P$1,JupData!$A$2:$A$10000&amp;JupData!$J$2:$J$10000,0),11))</f>
        <v/>
      </c>
      <c r="Q587" t="str">
        <f t="array" ref="Q587">IF($A587="","",INDEX(JupData!$A$2:$K$10000,MATCH($A587&amp;Q$1,JupData!$A$2:$A$10000&amp;JupData!$J$2:$J$10000,0),11))</f>
        <v/>
      </c>
      <c r="R587" t="str">
        <f t="array" ref="R587">IF($A587="","",INDEX(JupData!$A$2:$K$10000,MATCH($A587&amp;R$1,JupData!$A$2:$A$10000&amp;JupData!$J$2:$J$10000,0),11))</f>
        <v/>
      </c>
      <c r="S587" t="str">
        <f t="array" ref="S587">IF($A587="","",INDEX(JupData!$A$2:$K$10000,MATCH($A587&amp;S$1,JupData!$A$2:$A$10000&amp;JupData!$J$2:$J$10000,0),11))</f>
        <v/>
      </c>
      <c r="T587" t="str">
        <f t="array" ref="T587">IF($A587="","",INDEX(JupData!$A$2:$K$10000,MATCH($A587&amp;T$1,JupData!$A$2:$A$10000&amp;JupData!$J$2:$J$10000,0),11))</f>
        <v/>
      </c>
      <c r="U587" t="str">
        <f t="array" ref="U587">IF($A587="","",INDEX(JupData!$A$2:$K$10000,MATCH($A587&amp;U$1,JupData!$A$2:$A$10000&amp;JupData!$J$2:$J$10000,0),11))</f>
        <v/>
      </c>
      <c r="V587" t="str">
        <f t="array" ref="V587">IF($A587="","",INDEX(JupData!$A$2:$K$10000,MATCH($A587&amp;V$1,JupData!$A$2:$A$10000&amp;JupData!$J$2:$J$10000,0),11))</f>
        <v/>
      </c>
      <c r="W587" t="str">
        <f t="array" ref="W587">IF($A587="","",INDEX(JupData!$A$2:$K$10000,MATCH($A587&amp;W$1,JupData!$A$2:$A$10000&amp;JupData!$J$2:$J$10000,0),11))</f>
        <v/>
      </c>
      <c r="X587" t="str">
        <f t="array" ref="X587">IF($A587="","",INDEX(JupData!$A$2:$K$10000,MATCH($A587&amp;X$1,JupData!$A$2:$A$10000&amp;JupData!$J$2:$J$10000,0),11))</f>
        <v/>
      </c>
      <c r="Y587" t="str">
        <f t="array" ref="Y587">IF($A587="","",INDEX(JupData!$A$2:$K$10000,MATCH($A587&amp;Y$1,JupData!$A$2:$A$10000&amp;JupData!$J$2:$J$10000,0),11))</f>
        <v/>
      </c>
      <c r="Z587" t="str">
        <f t="array" ref="Z587">IF($A587="","",INDEX(JupData!$A$2:$K$10000,MATCH($A587&amp;Z$1,JupData!$A$2:$A$10000&amp;JupData!$J$2:$J$10000,0),11))</f>
        <v/>
      </c>
      <c r="AA587" t="str">
        <f t="array" ref="AA587">IF($A587="","",INDEX(JupData!$A$2:$K$10000,MATCH($A587&amp;AA$1,JupData!$A$2:$A$10000&amp;JupData!$J$2:$J$10000,0),11))</f>
        <v/>
      </c>
      <c r="AB587" t="str">
        <f t="array" ref="AB587">IF($A587="","",INDEX(JupData!$A$2:$K$10000,MATCH($A587&amp;AB$1,JupData!$A$2:$A$10000&amp;JupData!$J$2:$J$10000,0),11))</f>
        <v/>
      </c>
      <c r="AC587" s="10" t="str">
        <f t="shared" si="99"/>
        <v/>
      </c>
      <c r="AD587" s="10" t="str">
        <f t="shared" si="100"/>
        <v/>
      </c>
      <c r="AE587" s="9" t="str">
        <f t="shared" si="101"/>
        <v/>
      </c>
      <c r="AF587" s="10" t="str">
        <f t="shared" si="102"/>
        <v/>
      </c>
      <c r="AG587" s="10" t="str">
        <f t="shared" si="103"/>
        <v/>
      </c>
      <c r="AH587" s="10" t="str">
        <f t="shared" si="104"/>
        <v/>
      </c>
      <c r="AI587" s="10" t="str">
        <f t="shared" si="105"/>
        <v/>
      </c>
      <c r="AJ587" s="10" t="str">
        <f t="shared" si="106"/>
        <v/>
      </c>
      <c r="AK587" s="10" t="str">
        <f t="shared" si="107"/>
        <v/>
      </c>
      <c r="AL587" s="14" t="str">
        <f t="shared" si="108"/>
        <v/>
      </c>
    </row>
    <row r="588" spans="1:38" x14ac:dyDescent="0.2">
      <c r="A588"/>
      <c r="B588" t="str">
        <f>IF($A588="","",VLOOKUP($A588,JupData!$A$2:$I$10000,4,FALSE))</f>
        <v/>
      </c>
      <c r="C588" s="7" t="str">
        <f>IF($A588="",IF(N(D588),0,""),VLOOKUP($A588,JupData!$A$2:$I$10000,7,FALSE))</f>
        <v/>
      </c>
      <c r="D588" t="str">
        <f t="shared" si="109"/>
        <v/>
      </c>
      <c r="E588" t="str">
        <f t="array" ref="E588">IF($A588="","",INDEX(JupData!$A$2:$K$10000,MATCH($A588&amp;E$1,JupData!$A$2:$A$10000&amp;JupData!$J$2:$J$10000,0),11))</f>
        <v/>
      </c>
      <c r="F588" t="str">
        <f t="array" ref="F588">IF($A588="","",INDEX(JupData!$A$2:$K$10000,MATCH($A588&amp;F$1,JupData!$A$2:$A$10000&amp;JupData!$J$2:$J$10000,0),11))</f>
        <v/>
      </c>
      <c r="G588" t="str">
        <f t="array" ref="G588">IF($A588="","",INDEX(JupData!$A$2:$K$10000,MATCH($A588&amp;G$1,JupData!$A$2:$A$10000&amp;JupData!$J$2:$J$10000,0),11))</f>
        <v/>
      </c>
      <c r="H588" t="str">
        <f t="array" ref="H588">IF($A588="","",INDEX(JupData!$A$2:$K$10000,MATCH($A588&amp;H$1,JupData!$A$2:$A$10000&amp;JupData!$J$2:$J$10000,0),11))</f>
        <v/>
      </c>
      <c r="I588" t="str">
        <f t="array" ref="I588">IF($A588="","",INDEX(JupData!$A$2:$K$10000,MATCH($A588&amp;I$1,JupData!$A$2:$A$10000&amp;JupData!$J$2:$J$10000,0),11))</f>
        <v/>
      </c>
      <c r="J588" t="str">
        <f t="array" ref="J588">IF($A588="","",INDEX(JupData!$A$2:$K$10000,MATCH($A588&amp;J$1,JupData!$A$2:$A$10000&amp;JupData!$J$2:$J$10000,0),11))</f>
        <v/>
      </c>
      <c r="K588" t="str">
        <f t="array" ref="K588">IF($A588="","",INDEX(JupData!$A$2:$K$10000,MATCH($A588&amp;K$1,JupData!$A$2:$A$10000&amp;JupData!$J$2:$J$10000,0),11))</f>
        <v/>
      </c>
      <c r="L588" t="str">
        <f t="array" ref="L588">IF($A588="","",INDEX(JupData!$A$2:$K$10000,MATCH($A588&amp;L$1,JupData!$A$2:$A$10000&amp;JupData!$J$2:$J$10000,0),11))</f>
        <v/>
      </c>
      <c r="M588" t="str">
        <f t="array" ref="M588">IF($A588="","",INDEX(JupData!$A$2:$K$10000,MATCH($A588&amp;M$1,JupData!$A$2:$A$10000&amp;JupData!$J$2:$J$10000,0),11))</f>
        <v/>
      </c>
      <c r="N588" t="str">
        <f t="array" ref="N588">IF($A588="","",INDEX(JupData!$A$2:$K$10000,MATCH($A588&amp;N$1,JupData!$A$2:$A$10000&amp;JupData!$J$2:$J$10000,0),11))</f>
        <v/>
      </c>
      <c r="O588" t="str">
        <f t="array" ref="O588">IF($A588="","",INDEX(JupData!$A$2:$K$10000,MATCH($A588&amp;O$1,JupData!$A$2:$A$10000&amp;JupData!$J$2:$J$10000,0),11))</f>
        <v/>
      </c>
      <c r="P588" t="str">
        <f t="array" ref="P588">IF($A588="","",INDEX(JupData!$A$2:$K$10000,MATCH($A588&amp;P$1,JupData!$A$2:$A$10000&amp;JupData!$J$2:$J$10000,0),11))</f>
        <v/>
      </c>
      <c r="Q588" t="str">
        <f t="array" ref="Q588">IF($A588="","",INDEX(JupData!$A$2:$K$10000,MATCH($A588&amp;Q$1,JupData!$A$2:$A$10000&amp;JupData!$J$2:$J$10000,0),11))</f>
        <v/>
      </c>
      <c r="R588" t="str">
        <f t="array" ref="R588">IF($A588="","",INDEX(JupData!$A$2:$K$10000,MATCH($A588&amp;R$1,JupData!$A$2:$A$10000&amp;JupData!$J$2:$J$10000,0),11))</f>
        <v/>
      </c>
      <c r="S588" t="str">
        <f t="array" ref="S588">IF($A588="","",INDEX(JupData!$A$2:$K$10000,MATCH($A588&amp;S$1,JupData!$A$2:$A$10000&amp;JupData!$J$2:$J$10000,0),11))</f>
        <v/>
      </c>
      <c r="T588" t="str">
        <f t="array" ref="T588">IF($A588="","",INDEX(JupData!$A$2:$K$10000,MATCH($A588&amp;T$1,JupData!$A$2:$A$10000&amp;JupData!$J$2:$J$10000,0),11))</f>
        <v/>
      </c>
      <c r="U588" t="str">
        <f t="array" ref="U588">IF($A588="","",INDEX(JupData!$A$2:$K$10000,MATCH($A588&amp;U$1,JupData!$A$2:$A$10000&amp;JupData!$J$2:$J$10000,0),11))</f>
        <v/>
      </c>
      <c r="V588" t="str">
        <f t="array" ref="V588">IF($A588="","",INDEX(JupData!$A$2:$K$10000,MATCH($A588&amp;V$1,JupData!$A$2:$A$10000&amp;JupData!$J$2:$J$10000,0),11))</f>
        <v/>
      </c>
      <c r="W588" t="str">
        <f t="array" ref="W588">IF($A588="","",INDEX(JupData!$A$2:$K$10000,MATCH($A588&amp;W$1,JupData!$A$2:$A$10000&amp;JupData!$J$2:$J$10000,0),11))</f>
        <v/>
      </c>
      <c r="X588" t="str">
        <f t="array" ref="X588">IF($A588="","",INDEX(JupData!$A$2:$K$10000,MATCH($A588&amp;X$1,JupData!$A$2:$A$10000&amp;JupData!$J$2:$J$10000,0),11))</f>
        <v/>
      </c>
      <c r="Y588" t="str">
        <f t="array" ref="Y588">IF($A588="","",INDEX(JupData!$A$2:$K$10000,MATCH($A588&amp;Y$1,JupData!$A$2:$A$10000&amp;JupData!$J$2:$J$10000,0),11))</f>
        <v/>
      </c>
      <c r="Z588" t="str">
        <f t="array" ref="Z588">IF($A588="","",INDEX(JupData!$A$2:$K$10000,MATCH($A588&amp;Z$1,JupData!$A$2:$A$10000&amp;JupData!$J$2:$J$10000,0),11))</f>
        <v/>
      </c>
      <c r="AA588" t="str">
        <f t="array" ref="AA588">IF($A588="","",INDEX(JupData!$A$2:$K$10000,MATCH($A588&amp;AA$1,JupData!$A$2:$A$10000&amp;JupData!$J$2:$J$10000,0),11))</f>
        <v/>
      </c>
      <c r="AB588" t="str">
        <f t="array" ref="AB588">IF($A588="","",INDEX(JupData!$A$2:$K$10000,MATCH($A588&amp;AB$1,JupData!$A$2:$A$10000&amp;JupData!$J$2:$J$10000,0),11))</f>
        <v/>
      </c>
      <c r="AC588" s="10" t="str">
        <f t="shared" si="99"/>
        <v/>
      </c>
      <c r="AD588" s="10" t="str">
        <f t="shared" si="100"/>
        <v/>
      </c>
      <c r="AE588" s="9" t="str">
        <f t="shared" si="101"/>
        <v/>
      </c>
      <c r="AF588" s="10" t="str">
        <f t="shared" si="102"/>
        <v/>
      </c>
      <c r="AG588" s="10" t="str">
        <f t="shared" si="103"/>
        <v/>
      </c>
      <c r="AH588" s="10" t="str">
        <f t="shared" si="104"/>
        <v/>
      </c>
      <c r="AI588" s="10" t="str">
        <f t="shared" si="105"/>
        <v/>
      </c>
      <c r="AJ588" s="10" t="str">
        <f t="shared" si="106"/>
        <v/>
      </c>
      <c r="AK588" s="10" t="str">
        <f t="shared" si="107"/>
        <v/>
      </c>
      <c r="AL588" s="14" t="str">
        <f t="shared" si="108"/>
        <v/>
      </c>
    </row>
    <row r="589" spans="1:38" x14ac:dyDescent="0.2">
      <c r="A589"/>
      <c r="B589" t="str">
        <f>IF($A589="","",VLOOKUP($A589,JupData!$A$2:$I$10000,4,FALSE))</f>
        <v/>
      </c>
      <c r="C589" s="7" t="str">
        <f>IF($A589="",IF(N(D589),0,""),VLOOKUP($A589,JupData!$A$2:$I$10000,7,FALSE))</f>
        <v/>
      </c>
      <c r="D589" t="str">
        <f t="shared" si="109"/>
        <v/>
      </c>
      <c r="E589" t="str">
        <f t="array" ref="E589">IF($A589="","",INDEX(JupData!$A$2:$K$10000,MATCH($A589&amp;E$1,JupData!$A$2:$A$10000&amp;JupData!$J$2:$J$10000,0),11))</f>
        <v/>
      </c>
      <c r="F589" t="str">
        <f t="array" ref="F589">IF($A589="","",INDEX(JupData!$A$2:$K$10000,MATCH($A589&amp;F$1,JupData!$A$2:$A$10000&amp;JupData!$J$2:$J$10000,0),11))</f>
        <v/>
      </c>
      <c r="G589" t="str">
        <f t="array" ref="G589">IF($A589="","",INDEX(JupData!$A$2:$K$10000,MATCH($A589&amp;G$1,JupData!$A$2:$A$10000&amp;JupData!$J$2:$J$10000,0),11))</f>
        <v/>
      </c>
      <c r="H589" t="str">
        <f t="array" ref="H589">IF($A589="","",INDEX(JupData!$A$2:$K$10000,MATCH($A589&amp;H$1,JupData!$A$2:$A$10000&amp;JupData!$J$2:$J$10000,0),11))</f>
        <v/>
      </c>
      <c r="I589" t="str">
        <f t="array" ref="I589">IF($A589="","",INDEX(JupData!$A$2:$K$10000,MATCH($A589&amp;I$1,JupData!$A$2:$A$10000&amp;JupData!$J$2:$J$10000,0),11))</f>
        <v/>
      </c>
      <c r="J589" t="str">
        <f t="array" ref="J589">IF($A589="","",INDEX(JupData!$A$2:$K$10000,MATCH($A589&amp;J$1,JupData!$A$2:$A$10000&amp;JupData!$J$2:$J$10000,0),11))</f>
        <v/>
      </c>
      <c r="K589" t="str">
        <f t="array" ref="K589">IF($A589="","",INDEX(JupData!$A$2:$K$10000,MATCH($A589&amp;K$1,JupData!$A$2:$A$10000&amp;JupData!$J$2:$J$10000,0),11))</f>
        <v/>
      </c>
      <c r="L589" t="str">
        <f t="array" ref="L589">IF($A589="","",INDEX(JupData!$A$2:$K$10000,MATCH($A589&amp;L$1,JupData!$A$2:$A$10000&amp;JupData!$J$2:$J$10000,0),11))</f>
        <v/>
      </c>
      <c r="M589" t="str">
        <f t="array" ref="M589">IF($A589="","",INDEX(JupData!$A$2:$K$10000,MATCH($A589&amp;M$1,JupData!$A$2:$A$10000&amp;JupData!$J$2:$J$10000,0),11))</f>
        <v/>
      </c>
      <c r="N589" t="str">
        <f t="array" ref="N589">IF($A589="","",INDEX(JupData!$A$2:$K$10000,MATCH($A589&amp;N$1,JupData!$A$2:$A$10000&amp;JupData!$J$2:$J$10000,0),11))</f>
        <v/>
      </c>
      <c r="O589" t="str">
        <f t="array" ref="O589">IF($A589="","",INDEX(JupData!$A$2:$K$10000,MATCH($A589&amp;O$1,JupData!$A$2:$A$10000&amp;JupData!$J$2:$J$10000,0),11))</f>
        <v/>
      </c>
      <c r="P589" t="str">
        <f t="array" ref="P589">IF($A589="","",INDEX(JupData!$A$2:$K$10000,MATCH($A589&amp;P$1,JupData!$A$2:$A$10000&amp;JupData!$J$2:$J$10000,0),11))</f>
        <v/>
      </c>
      <c r="Q589" t="str">
        <f t="array" ref="Q589">IF($A589="","",INDEX(JupData!$A$2:$K$10000,MATCH($A589&amp;Q$1,JupData!$A$2:$A$10000&amp;JupData!$J$2:$J$10000,0),11))</f>
        <v/>
      </c>
      <c r="R589" t="str">
        <f t="array" ref="R589">IF($A589="","",INDEX(JupData!$A$2:$K$10000,MATCH($A589&amp;R$1,JupData!$A$2:$A$10000&amp;JupData!$J$2:$J$10000,0),11))</f>
        <v/>
      </c>
      <c r="S589" t="str">
        <f t="array" ref="S589">IF($A589="","",INDEX(JupData!$A$2:$K$10000,MATCH($A589&amp;S$1,JupData!$A$2:$A$10000&amp;JupData!$J$2:$J$10000,0),11))</f>
        <v/>
      </c>
      <c r="T589" t="str">
        <f t="array" ref="T589">IF($A589="","",INDEX(JupData!$A$2:$K$10000,MATCH($A589&amp;T$1,JupData!$A$2:$A$10000&amp;JupData!$J$2:$J$10000,0),11))</f>
        <v/>
      </c>
      <c r="U589" t="str">
        <f t="array" ref="U589">IF($A589="","",INDEX(JupData!$A$2:$K$10000,MATCH($A589&amp;U$1,JupData!$A$2:$A$10000&amp;JupData!$J$2:$J$10000,0),11))</f>
        <v/>
      </c>
      <c r="V589" t="str">
        <f t="array" ref="V589">IF($A589="","",INDEX(JupData!$A$2:$K$10000,MATCH($A589&amp;V$1,JupData!$A$2:$A$10000&amp;JupData!$J$2:$J$10000,0),11))</f>
        <v/>
      </c>
      <c r="W589" t="str">
        <f t="array" ref="W589">IF($A589="","",INDEX(JupData!$A$2:$K$10000,MATCH($A589&amp;W$1,JupData!$A$2:$A$10000&amp;JupData!$J$2:$J$10000,0),11))</f>
        <v/>
      </c>
      <c r="X589" t="str">
        <f t="array" ref="X589">IF($A589="","",INDEX(JupData!$A$2:$K$10000,MATCH($A589&amp;X$1,JupData!$A$2:$A$10000&amp;JupData!$J$2:$J$10000,0),11))</f>
        <v/>
      </c>
      <c r="Y589" t="str">
        <f t="array" ref="Y589">IF($A589="","",INDEX(JupData!$A$2:$K$10000,MATCH($A589&amp;Y$1,JupData!$A$2:$A$10000&amp;JupData!$J$2:$J$10000,0),11))</f>
        <v/>
      </c>
      <c r="Z589" t="str">
        <f t="array" ref="Z589">IF($A589="","",INDEX(JupData!$A$2:$K$10000,MATCH($A589&amp;Z$1,JupData!$A$2:$A$10000&amp;JupData!$J$2:$J$10000,0),11))</f>
        <v/>
      </c>
      <c r="AA589" t="str">
        <f t="array" ref="AA589">IF($A589="","",INDEX(JupData!$A$2:$K$10000,MATCH($A589&amp;AA$1,JupData!$A$2:$A$10000&amp;JupData!$J$2:$J$10000,0),11))</f>
        <v/>
      </c>
      <c r="AB589" t="str">
        <f t="array" ref="AB589">IF($A589="","",INDEX(JupData!$A$2:$K$10000,MATCH($A589&amp;AB$1,JupData!$A$2:$A$10000&amp;JupData!$J$2:$J$10000,0),11))</f>
        <v/>
      </c>
      <c r="AC589" s="10" t="str">
        <f t="shared" si="99"/>
        <v/>
      </c>
      <c r="AD589" s="10" t="str">
        <f t="shared" si="100"/>
        <v/>
      </c>
      <c r="AE589" s="9" t="str">
        <f t="shared" si="101"/>
        <v/>
      </c>
      <c r="AF589" s="10" t="str">
        <f t="shared" si="102"/>
        <v/>
      </c>
      <c r="AG589" s="10" t="str">
        <f t="shared" si="103"/>
        <v/>
      </c>
      <c r="AH589" s="10" t="str">
        <f t="shared" si="104"/>
        <v/>
      </c>
      <c r="AI589" s="10" t="str">
        <f t="shared" si="105"/>
        <v/>
      </c>
      <c r="AJ589" s="10" t="str">
        <f t="shared" si="106"/>
        <v/>
      </c>
      <c r="AK589" s="10" t="str">
        <f t="shared" si="107"/>
        <v/>
      </c>
      <c r="AL589" s="14" t="str">
        <f t="shared" si="108"/>
        <v/>
      </c>
    </row>
    <row r="590" spans="1:38" x14ac:dyDescent="0.2">
      <c r="A590"/>
      <c r="B590" t="str">
        <f>IF($A590="","",VLOOKUP($A590,JupData!$A$2:$I$10000,4,FALSE))</f>
        <v/>
      </c>
      <c r="C590" s="7" t="str">
        <f>IF($A590="",IF(N(D590),0,""),VLOOKUP($A590,JupData!$A$2:$I$10000,7,FALSE))</f>
        <v/>
      </c>
      <c r="D590" t="str">
        <f t="shared" si="109"/>
        <v/>
      </c>
      <c r="E590" t="str">
        <f t="array" ref="E590">IF($A590="","",INDEX(JupData!$A$2:$K$10000,MATCH($A590&amp;E$1,JupData!$A$2:$A$10000&amp;JupData!$J$2:$J$10000,0),11))</f>
        <v/>
      </c>
      <c r="F590" t="str">
        <f t="array" ref="F590">IF($A590="","",INDEX(JupData!$A$2:$K$10000,MATCH($A590&amp;F$1,JupData!$A$2:$A$10000&amp;JupData!$J$2:$J$10000,0),11))</f>
        <v/>
      </c>
      <c r="G590" t="str">
        <f t="array" ref="G590">IF($A590="","",INDEX(JupData!$A$2:$K$10000,MATCH($A590&amp;G$1,JupData!$A$2:$A$10000&amp;JupData!$J$2:$J$10000,0),11))</f>
        <v/>
      </c>
      <c r="H590" t="str">
        <f t="array" ref="H590">IF($A590="","",INDEX(JupData!$A$2:$K$10000,MATCH($A590&amp;H$1,JupData!$A$2:$A$10000&amp;JupData!$J$2:$J$10000,0),11))</f>
        <v/>
      </c>
      <c r="I590" t="str">
        <f t="array" ref="I590">IF($A590="","",INDEX(JupData!$A$2:$K$10000,MATCH($A590&amp;I$1,JupData!$A$2:$A$10000&amp;JupData!$J$2:$J$10000,0),11))</f>
        <v/>
      </c>
      <c r="J590" t="str">
        <f t="array" ref="J590">IF($A590="","",INDEX(JupData!$A$2:$K$10000,MATCH($A590&amp;J$1,JupData!$A$2:$A$10000&amp;JupData!$J$2:$J$10000,0),11))</f>
        <v/>
      </c>
      <c r="K590" t="str">
        <f t="array" ref="K590">IF($A590="","",INDEX(JupData!$A$2:$K$10000,MATCH($A590&amp;K$1,JupData!$A$2:$A$10000&amp;JupData!$J$2:$J$10000,0),11))</f>
        <v/>
      </c>
      <c r="L590" t="str">
        <f t="array" ref="L590">IF($A590="","",INDEX(JupData!$A$2:$K$10000,MATCH($A590&amp;L$1,JupData!$A$2:$A$10000&amp;JupData!$J$2:$J$10000,0),11))</f>
        <v/>
      </c>
      <c r="M590" t="str">
        <f t="array" ref="M590">IF($A590="","",INDEX(JupData!$A$2:$K$10000,MATCH($A590&amp;M$1,JupData!$A$2:$A$10000&amp;JupData!$J$2:$J$10000,0),11))</f>
        <v/>
      </c>
      <c r="N590" t="str">
        <f t="array" ref="N590">IF($A590="","",INDEX(JupData!$A$2:$K$10000,MATCH($A590&amp;N$1,JupData!$A$2:$A$10000&amp;JupData!$J$2:$J$10000,0),11))</f>
        <v/>
      </c>
      <c r="O590" t="str">
        <f t="array" ref="O590">IF($A590="","",INDEX(JupData!$A$2:$K$10000,MATCH($A590&amp;O$1,JupData!$A$2:$A$10000&amp;JupData!$J$2:$J$10000,0),11))</f>
        <v/>
      </c>
      <c r="P590" t="str">
        <f t="array" ref="P590">IF($A590="","",INDEX(JupData!$A$2:$K$10000,MATCH($A590&amp;P$1,JupData!$A$2:$A$10000&amp;JupData!$J$2:$J$10000,0),11))</f>
        <v/>
      </c>
      <c r="Q590" t="str">
        <f t="array" ref="Q590">IF($A590="","",INDEX(JupData!$A$2:$K$10000,MATCH($A590&amp;Q$1,JupData!$A$2:$A$10000&amp;JupData!$J$2:$J$10000,0),11))</f>
        <v/>
      </c>
      <c r="R590" t="str">
        <f t="array" ref="R590">IF($A590="","",INDEX(JupData!$A$2:$K$10000,MATCH($A590&amp;R$1,JupData!$A$2:$A$10000&amp;JupData!$J$2:$J$10000,0),11))</f>
        <v/>
      </c>
      <c r="S590" t="str">
        <f t="array" ref="S590">IF($A590="","",INDEX(JupData!$A$2:$K$10000,MATCH($A590&amp;S$1,JupData!$A$2:$A$10000&amp;JupData!$J$2:$J$10000,0),11))</f>
        <v/>
      </c>
      <c r="T590" t="str">
        <f t="array" ref="T590">IF($A590="","",INDEX(JupData!$A$2:$K$10000,MATCH($A590&amp;T$1,JupData!$A$2:$A$10000&amp;JupData!$J$2:$J$10000,0),11))</f>
        <v/>
      </c>
      <c r="U590" t="str">
        <f t="array" ref="U590">IF($A590="","",INDEX(JupData!$A$2:$K$10000,MATCH($A590&amp;U$1,JupData!$A$2:$A$10000&amp;JupData!$J$2:$J$10000,0),11))</f>
        <v/>
      </c>
      <c r="V590" t="str">
        <f t="array" ref="V590">IF($A590="","",INDEX(JupData!$A$2:$K$10000,MATCH($A590&amp;V$1,JupData!$A$2:$A$10000&amp;JupData!$J$2:$J$10000,0),11))</f>
        <v/>
      </c>
      <c r="W590" t="str">
        <f t="array" ref="W590">IF($A590="","",INDEX(JupData!$A$2:$K$10000,MATCH($A590&amp;W$1,JupData!$A$2:$A$10000&amp;JupData!$J$2:$J$10000,0),11))</f>
        <v/>
      </c>
      <c r="X590" t="str">
        <f t="array" ref="X590">IF($A590="","",INDEX(JupData!$A$2:$K$10000,MATCH($A590&amp;X$1,JupData!$A$2:$A$10000&amp;JupData!$J$2:$J$10000,0),11))</f>
        <v/>
      </c>
      <c r="Y590" t="str">
        <f t="array" ref="Y590">IF($A590="","",INDEX(JupData!$A$2:$K$10000,MATCH($A590&amp;Y$1,JupData!$A$2:$A$10000&amp;JupData!$J$2:$J$10000,0),11))</f>
        <v/>
      </c>
      <c r="Z590" t="str">
        <f t="array" ref="Z590">IF($A590="","",INDEX(JupData!$A$2:$K$10000,MATCH($A590&amp;Z$1,JupData!$A$2:$A$10000&amp;JupData!$J$2:$J$10000,0),11))</f>
        <v/>
      </c>
      <c r="AA590" t="str">
        <f t="array" ref="AA590">IF($A590="","",INDEX(JupData!$A$2:$K$10000,MATCH($A590&amp;AA$1,JupData!$A$2:$A$10000&amp;JupData!$J$2:$J$10000,0),11))</f>
        <v/>
      </c>
      <c r="AB590" t="str">
        <f t="array" ref="AB590">IF($A590="","",INDEX(JupData!$A$2:$K$10000,MATCH($A590&amp;AB$1,JupData!$A$2:$A$10000&amp;JupData!$J$2:$J$10000,0),11))</f>
        <v/>
      </c>
      <c r="AC590" s="10" t="str">
        <f t="shared" si="99"/>
        <v/>
      </c>
      <c r="AD590" s="10" t="str">
        <f t="shared" si="100"/>
        <v/>
      </c>
      <c r="AE590" s="9" t="str">
        <f t="shared" si="101"/>
        <v/>
      </c>
      <c r="AF590" s="10" t="str">
        <f t="shared" si="102"/>
        <v/>
      </c>
      <c r="AG590" s="10" t="str">
        <f t="shared" si="103"/>
        <v/>
      </c>
      <c r="AH590" s="10" t="str">
        <f t="shared" si="104"/>
        <v/>
      </c>
      <c r="AI590" s="10" t="str">
        <f t="shared" si="105"/>
        <v/>
      </c>
      <c r="AJ590" s="10" t="str">
        <f t="shared" si="106"/>
        <v/>
      </c>
      <c r="AK590" s="10" t="str">
        <f t="shared" si="107"/>
        <v/>
      </c>
      <c r="AL590" s="14" t="str">
        <f t="shared" si="108"/>
        <v/>
      </c>
    </row>
    <row r="591" spans="1:38" x14ac:dyDescent="0.2">
      <c r="A591"/>
      <c r="B591" t="str">
        <f>IF($A591="","",VLOOKUP($A591,JupData!$A$2:$I$10000,4,FALSE))</f>
        <v/>
      </c>
      <c r="C591" s="7" t="str">
        <f>IF($A591="",IF(N(D591),0,""),VLOOKUP($A591,JupData!$A$2:$I$10000,7,FALSE))</f>
        <v/>
      </c>
      <c r="D591" t="str">
        <f t="shared" si="109"/>
        <v/>
      </c>
      <c r="E591" t="str">
        <f t="array" ref="E591">IF($A591="","",INDEX(JupData!$A$2:$K$10000,MATCH($A591&amp;E$1,JupData!$A$2:$A$10000&amp;JupData!$J$2:$J$10000,0),11))</f>
        <v/>
      </c>
      <c r="F591" t="str">
        <f t="array" ref="F591">IF($A591="","",INDEX(JupData!$A$2:$K$10000,MATCH($A591&amp;F$1,JupData!$A$2:$A$10000&amp;JupData!$J$2:$J$10000,0),11))</f>
        <v/>
      </c>
      <c r="G591" t="str">
        <f t="array" ref="G591">IF($A591="","",INDEX(JupData!$A$2:$K$10000,MATCH($A591&amp;G$1,JupData!$A$2:$A$10000&amp;JupData!$J$2:$J$10000,0),11))</f>
        <v/>
      </c>
      <c r="H591" t="str">
        <f t="array" ref="H591">IF($A591="","",INDEX(JupData!$A$2:$K$10000,MATCH($A591&amp;H$1,JupData!$A$2:$A$10000&amp;JupData!$J$2:$J$10000,0),11))</f>
        <v/>
      </c>
      <c r="I591" t="str">
        <f t="array" ref="I591">IF($A591="","",INDEX(JupData!$A$2:$K$10000,MATCH($A591&amp;I$1,JupData!$A$2:$A$10000&amp;JupData!$J$2:$J$10000,0),11))</f>
        <v/>
      </c>
      <c r="J591" t="str">
        <f t="array" ref="J591">IF($A591="","",INDEX(JupData!$A$2:$K$10000,MATCH($A591&amp;J$1,JupData!$A$2:$A$10000&amp;JupData!$J$2:$J$10000,0),11))</f>
        <v/>
      </c>
      <c r="K591" t="str">
        <f t="array" ref="K591">IF($A591="","",INDEX(JupData!$A$2:$K$10000,MATCH($A591&amp;K$1,JupData!$A$2:$A$10000&amp;JupData!$J$2:$J$10000,0),11))</f>
        <v/>
      </c>
      <c r="L591" t="str">
        <f t="array" ref="L591">IF($A591="","",INDEX(JupData!$A$2:$K$10000,MATCH($A591&amp;L$1,JupData!$A$2:$A$10000&amp;JupData!$J$2:$J$10000,0),11))</f>
        <v/>
      </c>
      <c r="M591" t="str">
        <f t="array" ref="M591">IF($A591="","",INDEX(JupData!$A$2:$K$10000,MATCH($A591&amp;M$1,JupData!$A$2:$A$10000&amp;JupData!$J$2:$J$10000,0),11))</f>
        <v/>
      </c>
      <c r="N591" t="str">
        <f t="array" ref="N591">IF($A591="","",INDEX(JupData!$A$2:$K$10000,MATCH($A591&amp;N$1,JupData!$A$2:$A$10000&amp;JupData!$J$2:$J$10000,0),11))</f>
        <v/>
      </c>
      <c r="O591" t="str">
        <f t="array" ref="O591">IF($A591="","",INDEX(JupData!$A$2:$K$10000,MATCH($A591&amp;O$1,JupData!$A$2:$A$10000&amp;JupData!$J$2:$J$10000,0),11))</f>
        <v/>
      </c>
      <c r="P591" t="str">
        <f t="array" ref="P591">IF($A591="","",INDEX(JupData!$A$2:$K$10000,MATCH($A591&amp;P$1,JupData!$A$2:$A$10000&amp;JupData!$J$2:$J$10000,0),11))</f>
        <v/>
      </c>
      <c r="Q591" t="str">
        <f t="array" ref="Q591">IF($A591="","",INDEX(JupData!$A$2:$K$10000,MATCH($A591&amp;Q$1,JupData!$A$2:$A$10000&amp;JupData!$J$2:$J$10000,0),11))</f>
        <v/>
      </c>
      <c r="R591" t="str">
        <f t="array" ref="R591">IF($A591="","",INDEX(JupData!$A$2:$K$10000,MATCH($A591&amp;R$1,JupData!$A$2:$A$10000&amp;JupData!$J$2:$J$10000,0),11))</f>
        <v/>
      </c>
      <c r="S591" t="str">
        <f t="array" ref="S591">IF($A591="","",INDEX(JupData!$A$2:$K$10000,MATCH($A591&amp;S$1,JupData!$A$2:$A$10000&amp;JupData!$J$2:$J$10000,0),11))</f>
        <v/>
      </c>
      <c r="T591" t="str">
        <f t="array" ref="T591">IF($A591="","",INDEX(JupData!$A$2:$K$10000,MATCH($A591&amp;T$1,JupData!$A$2:$A$10000&amp;JupData!$J$2:$J$10000,0),11))</f>
        <v/>
      </c>
      <c r="U591" t="str">
        <f t="array" ref="U591">IF($A591="","",INDEX(JupData!$A$2:$K$10000,MATCH($A591&amp;U$1,JupData!$A$2:$A$10000&amp;JupData!$J$2:$J$10000,0),11))</f>
        <v/>
      </c>
      <c r="V591" t="str">
        <f t="array" ref="V591">IF($A591="","",INDEX(JupData!$A$2:$K$10000,MATCH($A591&amp;V$1,JupData!$A$2:$A$10000&amp;JupData!$J$2:$J$10000,0),11))</f>
        <v/>
      </c>
      <c r="W591" t="str">
        <f t="array" ref="W591">IF($A591="","",INDEX(JupData!$A$2:$K$10000,MATCH($A591&amp;W$1,JupData!$A$2:$A$10000&amp;JupData!$J$2:$J$10000,0),11))</f>
        <v/>
      </c>
      <c r="X591" t="str">
        <f t="array" ref="X591">IF($A591="","",INDEX(JupData!$A$2:$K$10000,MATCH($A591&amp;X$1,JupData!$A$2:$A$10000&amp;JupData!$J$2:$J$10000,0),11))</f>
        <v/>
      </c>
      <c r="Y591" t="str">
        <f t="array" ref="Y591">IF($A591="","",INDEX(JupData!$A$2:$K$10000,MATCH($A591&amp;Y$1,JupData!$A$2:$A$10000&amp;JupData!$J$2:$J$10000,0),11))</f>
        <v/>
      </c>
      <c r="Z591" t="str">
        <f t="array" ref="Z591">IF($A591="","",INDEX(JupData!$A$2:$K$10000,MATCH($A591&amp;Z$1,JupData!$A$2:$A$10000&amp;JupData!$J$2:$J$10000,0),11))</f>
        <v/>
      </c>
      <c r="AA591" t="str">
        <f t="array" ref="AA591">IF($A591="","",INDEX(JupData!$A$2:$K$10000,MATCH($A591&amp;AA$1,JupData!$A$2:$A$10000&amp;JupData!$J$2:$J$10000,0),11))</f>
        <v/>
      </c>
      <c r="AB591" t="str">
        <f t="array" ref="AB591">IF($A591="","",INDEX(JupData!$A$2:$K$10000,MATCH($A591&amp;AB$1,JupData!$A$2:$A$10000&amp;JupData!$J$2:$J$10000,0),11))</f>
        <v/>
      </c>
      <c r="AC591" s="10" t="str">
        <f t="shared" si="99"/>
        <v/>
      </c>
      <c r="AD591" s="10" t="str">
        <f t="shared" si="100"/>
        <v/>
      </c>
      <c r="AE591" s="9" t="str">
        <f t="shared" si="101"/>
        <v/>
      </c>
      <c r="AF591" s="10" t="str">
        <f t="shared" si="102"/>
        <v/>
      </c>
      <c r="AG591" s="10" t="str">
        <f t="shared" si="103"/>
        <v/>
      </c>
      <c r="AH591" s="10" t="str">
        <f t="shared" si="104"/>
        <v/>
      </c>
      <c r="AI591" s="10" t="str">
        <f t="shared" si="105"/>
        <v/>
      </c>
      <c r="AJ591" s="10" t="str">
        <f t="shared" si="106"/>
        <v/>
      </c>
      <c r="AK591" s="10" t="str">
        <f t="shared" si="107"/>
        <v/>
      </c>
      <c r="AL591" s="14" t="str">
        <f t="shared" si="108"/>
        <v/>
      </c>
    </row>
    <row r="592" spans="1:38" x14ac:dyDescent="0.2">
      <c r="A592"/>
      <c r="B592" t="str">
        <f>IF($A592="","",VLOOKUP($A592,JupData!$A$2:$I$10000,4,FALSE))</f>
        <v/>
      </c>
      <c r="C592" s="7" t="str">
        <f>IF($A592="",IF(N(D592),0,""),VLOOKUP($A592,JupData!$A$2:$I$10000,7,FALSE))</f>
        <v/>
      </c>
      <c r="D592" t="str">
        <f t="shared" si="109"/>
        <v/>
      </c>
      <c r="E592" t="str">
        <f t="array" ref="E592">IF($A592="","",INDEX(JupData!$A$2:$K$10000,MATCH($A592&amp;E$1,JupData!$A$2:$A$10000&amp;JupData!$J$2:$J$10000,0),11))</f>
        <v/>
      </c>
      <c r="F592" t="str">
        <f t="array" ref="F592">IF($A592="","",INDEX(JupData!$A$2:$K$10000,MATCH($A592&amp;F$1,JupData!$A$2:$A$10000&amp;JupData!$J$2:$J$10000,0),11))</f>
        <v/>
      </c>
      <c r="G592" t="str">
        <f t="array" ref="G592">IF($A592="","",INDEX(JupData!$A$2:$K$10000,MATCH($A592&amp;G$1,JupData!$A$2:$A$10000&amp;JupData!$J$2:$J$10000,0),11))</f>
        <v/>
      </c>
      <c r="H592" t="str">
        <f t="array" ref="H592">IF($A592="","",INDEX(JupData!$A$2:$K$10000,MATCH($A592&amp;H$1,JupData!$A$2:$A$10000&amp;JupData!$J$2:$J$10000,0),11))</f>
        <v/>
      </c>
      <c r="I592" t="str">
        <f t="array" ref="I592">IF($A592="","",INDEX(JupData!$A$2:$K$10000,MATCH($A592&amp;I$1,JupData!$A$2:$A$10000&amp;JupData!$J$2:$J$10000,0),11))</f>
        <v/>
      </c>
      <c r="J592" t="str">
        <f t="array" ref="J592">IF($A592="","",INDEX(JupData!$A$2:$K$10000,MATCH($A592&amp;J$1,JupData!$A$2:$A$10000&amp;JupData!$J$2:$J$10000,0),11))</f>
        <v/>
      </c>
      <c r="K592" t="str">
        <f t="array" ref="K592">IF($A592="","",INDEX(JupData!$A$2:$K$10000,MATCH($A592&amp;K$1,JupData!$A$2:$A$10000&amp;JupData!$J$2:$J$10000,0),11))</f>
        <v/>
      </c>
      <c r="L592" t="str">
        <f t="array" ref="L592">IF($A592="","",INDEX(JupData!$A$2:$K$10000,MATCH($A592&amp;L$1,JupData!$A$2:$A$10000&amp;JupData!$J$2:$J$10000,0),11))</f>
        <v/>
      </c>
      <c r="M592" t="str">
        <f t="array" ref="M592">IF($A592="","",INDEX(JupData!$A$2:$K$10000,MATCH($A592&amp;M$1,JupData!$A$2:$A$10000&amp;JupData!$J$2:$J$10000,0),11))</f>
        <v/>
      </c>
      <c r="N592" t="str">
        <f t="array" ref="N592">IF($A592="","",INDEX(JupData!$A$2:$K$10000,MATCH($A592&amp;N$1,JupData!$A$2:$A$10000&amp;JupData!$J$2:$J$10000,0),11))</f>
        <v/>
      </c>
      <c r="O592" t="str">
        <f t="array" ref="O592">IF($A592="","",INDEX(JupData!$A$2:$K$10000,MATCH($A592&amp;O$1,JupData!$A$2:$A$10000&amp;JupData!$J$2:$J$10000,0),11))</f>
        <v/>
      </c>
      <c r="P592" t="str">
        <f t="array" ref="P592">IF($A592="","",INDEX(JupData!$A$2:$K$10000,MATCH($A592&amp;P$1,JupData!$A$2:$A$10000&amp;JupData!$J$2:$J$10000,0),11))</f>
        <v/>
      </c>
      <c r="Q592" t="str">
        <f t="array" ref="Q592">IF($A592="","",INDEX(JupData!$A$2:$K$10000,MATCH($A592&amp;Q$1,JupData!$A$2:$A$10000&amp;JupData!$J$2:$J$10000,0),11))</f>
        <v/>
      </c>
      <c r="R592" t="str">
        <f t="array" ref="R592">IF($A592="","",INDEX(JupData!$A$2:$K$10000,MATCH($A592&amp;R$1,JupData!$A$2:$A$10000&amp;JupData!$J$2:$J$10000,0),11))</f>
        <v/>
      </c>
      <c r="S592" t="str">
        <f t="array" ref="S592">IF($A592="","",INDEX(JupData!$A$2:$K$10000,MATCH($A592&amp;S$1,JupData!$A$2:$A$10000&amp;JupData!$J$2:$J$10000,0),11))</f>
        <v/>
      </c>
      <c r="T592" t="str">
        <f t="array" ref="T592">IF($A592="","",INDEX(JupData!$A$2:$K$10000,MATCH($A592&amp;T$1,JupData!$A$2:$A$10000&amp;JupData!$J$2:$J$10000,0),11))</f>
        <v/>
      </c>
      <c r="U592" t="str">
        <f t="array" ref="U592">IF($A592="","",INDEX(JupData!$A$2:$K$10000,MATCH($A592&amp;U$1,JupData!$A$2:$A$10000&amp;JupData!$J$2:$J$10000,0),11))</f>
        <v/>
      </c>
      <c r="V592" t="str">
        <f t="array" ref="V592">IF($A592="","",INDEX(JupData!$A$2:$K$10000,MATCH($A592&amp;V$1,JupData!$A$2:$A$10000&amp;JupData!$J$2:$J$10000,0),11))</f>
        <v/>
      </c>
      <c r="W592" t="str">
        <f t="array" ref="W592">IF($A592="","",INDEX(JupData!$A$2:$K$10000,MATCH($A592&amp;W$1,JupData!$A$2:$A$10000&amp;JupData!$J$2:$J$10000,0),11))</f>
        <v/>
      </c>
      <c r="X592" t="str">
        <f t="array" ref="X592">IF($A592="","",INDEX(JupData!$A$2:$K$10000,MATCH($A592&amp;X$1,JupData!$A$2:$A$10000&amp;JupData!$J$2:$J$10000,0),11))</f>
        <v/>
      </c>
      <c r="Y592" t="str">
        <f t="array" ref="Y592">IF($A592="","",INDEX(JupData!$A$2:$K$10000,MATCH($A592&amp;Y$1,JupData!$A$2:$A$10000&amp;JupData!$J$2:$J$10000,0),11))</f>
        <v/>
      </c>
      <c r="Z592" t="str">
        <f t="array" ref="Z592">IF($A592="","",INDEX(JupData!$A$2:$K$10000,MATCH($A592&amp;Z$1,JupData!$A$2:$A$10000&amp;JupData!$J$2:$J$10000,0),11))</f>
        <v/>
      </c>
      <c r="AA592" t="str">
        <f t="array" ref="AA592">IF($A592="","",INDEX(JupData!$A$2:$K$10000,MATCH($A592&amp;AA$1,JupData!$A$2:$A$10000&amp;JupData!$J$2:$J$10000,0),11))</f>
        <v/>
      </c>
      <c r="AB592" t="str">
        <f t="array" ref="AB592">IF($A592="","",INDEX(JupData!$A$2:$K$10000,MATCH($A592&amp;AB$1,JupData!$A$2:$A$10000&amp;JupData!$J$2:$J$10000,0),11))</f>
        <v/>
      </c>
      <c r="AC592" s="10" t="str">
        <f t="shared" si="99"/>
        <v/>
      </c>
      <c r="AD592" s="10" t="str">
        <f t="shared" si="100"/>
        <v/>
      </c>
      <c r="AE592" s="9" t="str">
        <f t="shared" si="101"/>
        <v/>
      </c>
      <c r="AF592" s="10" t="str">
        <f t="shared" si="102"/>
        <v/>
      </c>
      <c r="AG592" s="10" t="str">
        <f t="shared" si="103"/>
        <v/>
      </c>
      <c r="AH592" s="10" t="str">
        <f t="shared" si="104"/>
        <v/>
      </c>
      <c r="AI592" s="10" t="str">
        <f t="shared" si="105"/>
        <v/>
      </c>
      <c r="AJ592" s="10" t="str">
        <f t="shared" si="106"/>
        <v/>
      </c>
      <c r="AK592" s="10" t="str">
        <f t="shared" si="107"/>
        <v/>
      </c>
      <c r="AL592" s="14" t="str">
        <f t="shared" si="108"/>
        <v/>
      </c>
    </row>
    <row r="593" spans="1:38" x14ac:dyDescent="0.2">
      <c r="A593"/>
      <c r="B593" t="str">
        <f>IF($A593="","",VLOOKUP($A593,JupData!$A$2:$I$10000,4,FALSE))</f>
        <v/>
      </c>
      <c r="C593" s="7" t="str">
        <f>IF($A593="",IF(N(D593),0,""),VLOOKUP($A593,JupData!$A$2:$I$10000,7,FALSE))</f>
        <v/>
      </c>
      <c r="D593" t="str">
        <f t="shared" si="109"/>
        <v/>
      </c>
      <c r="E593" t="str">
        <f t="array" ref="E593">IF($A593="","",INDEX(JupData!$A$2:$K$10000,MATCH($A593&amp;E$1,JupData!$A$2:$A$10000&amp;JupData!$J$2:$J$10000,0),11))</f>
        <v/>
      </c>
      <c r="F593" t="str">
        <f t="array" ref="F593">IF($A593="","",INDEX(JupData!$A$2:$K$10000,MATCH($A593&amp;F$1,JupData!$A$2:$A$10000&amp;JupData!$J$2:$J$10000,0),11))</f>
        <v/>
      </c>
      <c r="G593" t="str">
        <f t="array" ref="G593">IF($A593="","",INDEX(JupData!$A$2:$K$10000,MATCH($A593&amp;G$1,JupData!$A$2:$A$10000&amp;JupData!$J$2:$J$10000,0),11))</f>
        <v/>
      </c>
      <c r="H593" t="str">
        <f t="array" ref="H593">IF($A593="","",INDEX(JupData!$A$2:$K$10000,MATCH($A593&amp;H$1,JupData!$A$2:$A$10000&amp;JupData!$J$2:$J$10000,0),11))</f>
        <v/>
      </c>
      <c r="I593" t="str">
        <f t="array" ref="I593">IF($A593="","",INDEX(JupData!$A$2:$K$10000,MATCH($A593&amp;I$1,JupData!$A$2:$A$10000&amp;JupData!$J$2:$J$10000,0),11))</f>
        <v/>
      </c>
      <c r="J593" t="str">
        <f t="array" ref="J593">IF($A593="","",INDEX(JupData!$A$2:$K$10000,MATCH($A593&amp;J$1,JupData!$A$2:$A$10000&amp;JupData!$J$2:$J$10000,0),11))</f>
        <v/>
      </c>
      <c r="K593" t="str">
        <f t="array" ref="K593">IF($A593="","",INDEX(JupData!$A$2:$K$10000,MATCH($A593&amp;K$1,JupData!$A$2:$A$10000&amp;JupData!$J$2:$J$10000,0),11))</f>
        <v/>
      </c>
      <c r="L593" t="str">
        <f t="array" ref="L593">IF($A593="","",INDEX(JupData!$A$2:$K$10000,MATCH($A593&amp;L$1,JupData!$A$2:$A$10000&amp;JupData!$J$2:$J$10000,0),11))</f>
        <v/>
      </c>
      <c r="M593" t="str">
        <f t="array" ref="M593">IF($A593="","",INDEX(JupData!$A$2:$K$10000,MATCH($A593&amp;M$1,JupData!$A$2:$A$10000&amp;JupData!$J$2:$J$10000,0),11))</f>
        <v/>
      </c>
      <c r="N593" t="str">
        <f t="array" ref="N593">IF($A593="","",INDEX(JupData!$A$2:$K$10000,MATCH($A593&amp;N$1,JupData!$A$2:$A$10000&amp;JupData!$J$2:$J$10000,0),11))</f>
        <v/>
      </c>
      <c r="O593" t="str">
        <f t="array" ref="O593">IF($A593="","",INDEX(JupData!$A$2:$K$10000,MATCH($A593&amp;O$1,JupData!$A$2:$A$10000&amp;JupData!$J$2:$J$10000,0),11))</f>
        <v/>
      </c>
      <c r="P593" t="str">
        <f t="array" ref="P593">IF($A593="","",INDEX(JupData!$A$2:$K$10000,MATCH($A593&amp;P$1,JupData!$A$2:$A$10000&amp;JupData!$J$2:$J$10000,0),11))</f>
        <v/>
      </c>
      <c r="Q593" t="str">
        <f t="array" ref="Q593">IF($A593="","",INDEX(JupData!$A$2:$K$10000,MATCH($A593&amp;Q$1,JupData!$A$2:$A$10000&amp;JupData!$J$2:$J$10000,0),11))</f>
        <v/>
      </c>
      <c r="R593" t="str">
        <f t="array" ref="R593">IF($A593="","",INDEX(JupData!$A$2:$K$10000,MATCH($A593&amp;R$1,JupData!$A$2:$A$10000&amp;JupData!$J$2:$J$10000,0),11))</f>
        <v/>
      </c>
      <c r="S593" t="str">
        <f t="array" ref="S593">IF($A593="","",INDEX(JupData!$A$2:$K$10000,MATCH($A593&amp;S$1,JupData!$A$2:$A$10000&amp;JupData!$J$2:$J$10000,0),11))</f>
        <v/>
      </c>
      <c r="T593" t="str">
        <f t="array" ref="T593">IF($A593="","",INDEX(JupData!$A$2:$K$10000,MATCH($A593&amp;T$1,JupData!$A$2:$A$10000&amp;JupData!$J$2:$J$10000,0),11))</f>
        <v/>
      </c>
      <c r="U593" t="str">
        <f t="array" ref="U593">IF($A593="","",INDEX(JupData!$A$2:$K$10000,MATCH($A593&amp;U$1,JupData!$A$2:$A$10000&amp;JupData!$J$2:$J$10000,0),11))</f>
        <v/>
      </c>
      <c r="V593" t="str">
        <f t="array" ref="V593">IF($A593="","",INDEX(JupData!$A$2:$K$10000,MATCH($A593&amp;V$1,JupData!$A$2:$A$10000&amp;JupData!$J$2:$J$10000,0),11))</f>
        <v/>
      </c>
      <c r="W593" t="str">
        <f t="array" ref="W593">IF($A593="","",INDEX(JupData!$A$2:$K$10000,MATCH($A593&amp;W$1,JupData!$A$2:$A$10000&amp;JupData!$J$2:$J$10000,0),11))</f>
        <v/>
      </c>
      <c r="X593" t="str">
        <f t="array" ref="X593">IF($A593="","",INDEX(JupData!$A$2:$K$10000,MATCH($A593&amp;X$1,JupData!$A$2:$A$10000&amp;JupData!$J$2:$J$10000,0),11))</f>
        <v/>
      </c>
      <c r="Y593" t="str">
        <f t="array" ref="Y593">IF($A593="","",INDEX(JupData!$A$2:$K$10000,MATCH($A593&amp;Y$1,JupData!$A$2:$A$10000&amp;JupData!$J$2:$J$10000,0),11))</f>
        <v/>
      </c>
      <c r="Z593" t="str">
        <f t="array" ref="Z593">IF($A593="","",INDEX(JupData!$A$2:$K$10000,MATCH($A593&amp;Z$1,JupData!$A$2:$A$10000&amp;JupData!$J$2:$J$10000,0),11))</f>
        <v/>
      </c>
      <c r="AA593" t="str">
        <f t="array" ref="AA593">IF($A593="","",INDEX(JupData!$A$2:$K$10000,MATCH($A593&amp;AA$1,JupData!$A$2:$A$10000&amp;JupData!$J$2:$J$10000,0),11))</f>
        <v/>
      </c>
      <c r="AB593" t="str">
        <f t="array" ref="AB593">IF($A593="","",INDEX(JupData!$A$2:$K$10000,MATCH($A593&amp;AB$1,JupData!$A$2:$A$10000&amp;JupData!$J$2:$J$10000,0),11))</f>
        <v/>
      </c>
      <c r="AC593" s="10" t="str">
        <f t="shared" si="99"/>
        <v/>
      </c>
      <c r="AD593" s="10" t="str">
        <f t="shared" si="100"/>
        <v/>
      </c>
      <c r="AE593" s="9" t="str">
        <f t="shared" si="101"/>
        <v/>
      </c>
      <c r="AF593" s="10" t="str">
        <f t="shared" si="102"/>
        <v/>
      </c>
      <c r="AG593" s="10" t="str">
        <f t="shared" si="103"/>
        <v/>
      </c>
      <c r="AH593" s="10" t="str">
        <f t="shared" si="104"/>
        <v/>
      </c>
      <c r="AI593" s="10" t="str">
        <f t="shared" si="105"/>
        <v/>
      </c>
      <c r="AJ593" s="10" t="str">
        <f t="shared" si="106"/>
        <v/>
      </c>
      <c r="AK593" s="10" t="str">
        <f t="shared" si="107"/>
        <v/>
      </c>
      <c r="AL593" s="14" t="str">
        <f t="shared" si="108"/>
        <v/>
      </c>
    </row>
    <row r="594" spans="1:38" x14ac:dyDescent="0.2">
      <c r="A594"/>
      <c r="B594" t="str">
        <f>IF($A594="","",VLOOKUP($A594,JupData!$A$2:$I$10000,4,FALSE))</f>
        <v/>
      </c>
      <c r="C594" s="7" t="str">
        <f>IF($A594="",IF(N(D594),0,""),VLOOKUP($A594,JupData!$A$2:$I$10000,7,FALSE))</f>
        <v/>
      </c>
      <c r="D594" t="str">
        <f t="shared" si="109"/>
        <v/>
      </c>
      <c r="E594" t="str">
        <f t="array" ref="E594">IF($A594="","",INDEX(JupData!$A$2:$K$10000,MATCH($A594&amp;E$1,JupData!$A$2:$A$10000&amp;JupData!$J$2:$J$10000,0),11))</f>
        <v/>
      </c>
      <c r="F594" t="str">
        <f t="array" ref="F594">IF($A594="","",INDEX(JupData!$A$2:$K$10000,MATCH($A594&amp;F$1,JupData!$A$2:$A$10000&amp;JupData!$J$2:$J$10000,0),11))</f>
        <v/>
      </c>
      <c r="G594" t="str">
        <f t="array" ref="G594">IF($A594="","",INDEX(JupData!$A$2:$K$10000,MATCH($A594&amp;G$1,JupData!$A$2:$A$10000&amp;JupData!$J$2:$J$10000,0),11))</f>
        <v/>
      </c>
      <c r="H594" t="str">
        <f t="array" ref="H594">IF($A594="","",INDEX(JupData!$A$2:$K$10000,MATCH($A594&amp;H$1,JupData!$A$2:$A$10000&amp;JupData!$J$2:$J$10000,0),11))</f>
        <v/>
      </c>
      <c r="I594" t="str">
        <f t="array" ref="I594">IF($A594="","",INDEX(JupData!$A$2:$K$10000,MATCH($A594&amp;I$1,JupData!$A$2:$A$10000&amp;JupData!$J$2:$J$10000,0),11))</f>
        <v/>
      </c>
      <c r="J594" t="str">
        <f t="array" ref="J594">IF($A594="","",INDEX(JupData!$A$2:$K$10000,MATCH($A594&amp;J$1,JupData!$A$2:$A$10000&amp;JupData!$J$2:$J$10000,0),11))</f>
        <v/>
      </c>
      <c r="K594" t="str">
        <f t="array" ref="K594">IF($A594="","",INDEX(JupData!$A$2:$K$10000,MATCH($A594&amp;K$1,JupData!$A$2:$A$10000&amp;JupData!$J$2:$J$10000,0),11))</f>
        <v/>
      </c>
      <c r="L594" t="str">
        <f t="array" ref="L594">IF($A594="","",INDEX(JupData!$A$2:$K$10000,MATCH($A594&amp;L$1,JupData!$A$2:$A$10000&amp;JupData!$J$2:$J$10000,0),11))</f>
        <v/>
      </c>
      <c r="M594" t="str">
        <f t="array" ref="M594">IF($A594="","",INDEX(JupData!$A$2:$K$10000,MATCH($A594&amp;M$1,JupData!$A$2:$A$10000&amp;JupData!$J$2:$J$10000,0),11))</f>
        <v/>
      </c>
      <c r="N594" t="str">
        <f t="array" ref="N594">IF($A594="","",INDEX(JupData!$A$2:$K$10000,MATCH($A594&amp;N$1,JupData!$A$2:$A$10000&amp;JupData!$J$2:$J$10000,0),11))</f>
        <v/>
      </c>
      <c r="O594" t="str">
        <f t="array" ref="O594">IF($A594="","",INDEX(JupData!$A$2:$K$10000,MATCH($A594&amp;O$1,JupData!$A$2:$A$10000&amp;JupData!$J$2:$J$10000,0),11))</f>
        <v/>
      </c>
      <c r="P594" t="str">
        <f t="array" ref="P594">IF($A594="","",INDEX(JupData!$A$2:$K$10000,MATCH($A594&amp;P$1,JupData!$A$2:$A$10000&amp;JupData!$J$2:$J$10000,0),11))</f>
        <v/>
      </c>
      <c r="Q594" t="str">
        <f t="array" ref="Q594">IF($A594="","",INDEX(JupData!$A$2:$K$10000,MATCH($A594&amp;Q$1,JupData!$A$2:$A$10000&amp;JupData!$J$2:$J$10000,0),11))</f>
        <v/>
      </c>
      <c r="R594" t="str">
        <f t="array" ref="R594">IF($A594="","",INDEX(JupData!$A$2:$K$10000,MATCH($A594&amp;R$1,JupData!$A$2:$A$10000&amp;JupData!$J$2:$J$10000,0),11))</f>
        <v/>
      </c>
      <c r="S594" t="str">
        <f t="array" ref="S594">IF($A594="","",INDEX(JupData!$A$2:$K$10000,MATCH($A594&amp;S$1,JupData!$A$2:$A$10000&amp;JupData!$J$2:$J$10000,0),11))</f>
        <v/>
      </c>
      <c r="T594" t="str">
        <f t="array" ref="T594">IF($A594="","",INDEX(JupData!$A$2:$K$10000,MATCH($A594&amp;T$1,JupData!$A$2:$A$10000&amp;JupData!$J$2:$J$10000,0),11))</f>
        <v/>
      </c>
      <c r="U594" t="str">
        <f t="array" ref="U594">IF($A594="","",INDEX(JupData!$A$2:$K$10000,MATCH($A594&amp;U$1,JupData!$A$2:$A$10000&amp;JupData!$J$2:$J$10000,0),11))</f>
        <v/>
      </c>
      <c r="V594" t="str">
        <f t="array" ref="V594">IF($A594="","",INDEX(JupData!$A$2:$K$10000,MATCH($A594&amp;V$1,JupData!$A$2:$A$10000&amp;JupData!$J$2:$J$10000,0),11))</f>
        <v/>
      </c>
      <c r="W594" t="str">
        <f t="array" ref="W594">IF($A594="","",INDEX(JupData!$A$2:$K$10000,MATCH($A594&amp;W$1,JupData!$A$2:$A$10000&amp;JupData!$J$2:$J$10000,0),11))</f>
        <v/>
      </c>
      <c r="X594" t="str">
        <f t="array" ref="X594">IF($A594="","",INDEX(JupData!$A$2:$K$10000,MATCH($A594&amp;X$1,JupData!$A$2:$A$10000&amp;JupData!$J$2:$J$10000,0),11))</f>
        <v/>
      </c>
      <c r="Y594" t="str">
        <f t="array" ref="Y594">IF($A594="","",INDEX(JupData!$A$2:$K$10000,MATCH($A594&amp;Y$1,JupData!$A$2:$A$10000&amp;JupData!$J$2:$J$10000,0),11))</f>
        <v/>
      </c>
      <c r="Z594" t="str">
        <f t="array" ref="Z594">IF($A594="","",INDEX(JupData!$A$2:$K$10000,MATCH($A594&amp;Z$1,JupData!$A$2:$A$10000&amp;JupData!$J$2:$J$10000,0),11))</f>
        <v/>
      </c>
      <c r="AA594" t="str">
        <f t="array" ref="AA594">IF($A594="","",INDEX(JupData!$A$2:$K$10000,MATCH($A594&amp;AA$1,JupData!$A$2:$A$10000&amp;JupData!$J$2:$J$10000,0),11))</f>
        <v/>
      </c>
      <c r="AB594" t="str">
        <f t="array" ref="AB594">IF($A594="","",INDEX(JupData!$A$2:$K$10000,MATCH($A594&amp;AB$1,JupData!$A$2:$A$10000&amp;JupData!$J$2:$J$10000,0),11))</f>
        <v/>
      </c>
      <c r="AC594" s="10" t="str">
        <f t="shared" si="99"/>
        <v/>
      </c>
      <c r="AD594" s="10" t="str">
        <f t="shared" si="100"/>
        <v/>
      </c>
      <c r="AE594" s="9" t="str">
        <f t="shared" si="101"/>
        <v/>
      </c>
      <c r="AF594" s="10" t="str">
        <f t="shared" si="102"/>
        <v/>
      </c>
      <c r="AG594" s="10" t="str">
        <f t="shared" si="103"/>
        <v/>
      </c>
      <c r="AH594" s="10" t="str">
        <f t="shared" si="104"/>
        <v/>
      </c>
      <c r="AI594" s="10" t="str">
        <f t="shared" si="105"/>
        <v/>
      </c>
      <c r="AJ594" s="10" t="str">
        <f t="shared" si="106"/>
        <v/>
      </c>
      <c r="AK594" s="10" t="str">
        <f t="shared" si="107"/>
        <v/>
      </c>
      <c r="AL594" s="14" t="str">
        <f t="shared" si="108"/>
        <v/>
      </c>
    </row>
    <row r="595" spans="1:38" x14ac:dyDescent="0.2">
      <c r="A595"/>
      <c r="B595" t="str">
        <f>IF($A595="","",VLOOKUP($A595,JupData!$A$2:$I$10000,4,FALSE))</f>
        <v/>
      </c>
      <c r="C595" s="7" t="str">
        <f>IF($A595="",IF(N(D595),0,""),VLOOKUP($A595,JupData!$A$2:$I$10000,7,FALSE))</f>
        <v/>
      </c>
      <c r="D595" t="str">
        <f t="shared" si="109"/>
        <v/>
      </c>
      <c r="E595" t="str">
        <f t="array" ref="E595">IF($A595="","",INDEX(JupData!$A$2:$K$10000,MATCH($A595&amp;E$1,JupData!$A$2:$A$10000&amp;JupData!$J$2:$J$10000,0),11))</f>
        <v/>
      </c>
      <c r="F595" t="str">
        <f t="array" ref="F595">IF($A595="","",INDEX(JupData!$A$2:$K$10000,MATCH($A595&amp;F$1,JupData!$A$2:$A$10000&amp;JupData!$J$2:$J$10000,0),11))</f>
        <v/>
      </c>
      <c r="G595" t="str">
        <f t="array" ref="G595">IF($A595="","",INDEX(JupData!$A$2:$K$10000,MATCH($A595&amp;G$1,JupData!$A$2:$A$10000&amp;JupData!$J$2:$J$10000,0),11))</f>
        <v/>
      </c>
      <c r="H595" t="str">
        <f t="array" ref="H595">IF($A595="","",INDEX(JupData!$A$2:$K$10000,MATCH($A595&amp;H$1,JupData!$A$2:$A$10000&amp;JupData!$J$2:$J$10000,0),11))</f>
        <v/>
      </c>
      <c r="I595" t="str">
        <f t="array" ref="I595">IF($A595="","",INDEX(JupData!$A$2:$K$10000,MATCH($A595&amp;I$1,JupData!$A$2:$A$10000&amp;JupData!$J$2:$J$10000,0),11))</f>
        <v/>
      </c>
      <c r="J595" t="str">
        <f t="array" ref="J595">IF($A595="","",INDEX(JupData!$A$2:$K$10000,MATCH($A595&amp;J$1,JupData!$A$2:$A$10000&amp;JupData!$J$2:$J$10000,0),11))</f>
        <v/>
      </c>
      <c r="K595" t="str">
        <f t="array" ref="K595">IF($A595="","",INDEX(JupData!$A$2:$K$10000,MATCH($A595&amp;K$1,JupData!$A$2:$A$10000&amp;JupData!$J$2:$J$10000,0),11))</f>
        <v/>
      </c>
      <c r="L595" t="str">
        <f t="array" ref="L595">IF($A595="","",INDEX(JupData!$A$2:$K$10000,MATCH($A595&amp;L$1,JupData!$A$2:$A$10000&amp;JupData!$J$2:$J$10000,0),11))</f>
        <v/>
      </c>
      <c r="M595" t="str">
        <f t="array" ref="M595">IF($A595="","",INDEX(JupData!$A$2:$K$10000,MATCH($A595&amp;M$1,JupData!$A$2:$A$10000&amp;JupData!$J$2:$J$10000,0),11))</f>
        <v/>
      </c>
      <c r="N595" t="str">
        <f t="array" ref="N595">IF($A595="","",INDEX(JupData!$A$2:$K$10000,MATCH($A595&amp;N$1,JupData!$A$2:$A$10000&amp;JupData!$J$2:$J$10000,0),11))</f>
        <v/>
      </c>
      <c r="O595" t="str">
        <f t="array" ref="O595">IF($A595="","",INDEX(JupData!$A$2:$K$10000,MATCH($A595&amp;O$1,JupData!$A$2:$A$10000&amp;JupData!$J$2:$J$10000,0),11))</f>
        <v/>
      </c>
      <c r="P595" t="str">
        <f t="array" ref="P595">IF($A595="","",INDEX(JupData!$A$2:$K$10000,MATCH($A595&amp;P$1,JupData!$A$2:$A$10000&amp;JupData!$J$2:$J$10000,0),11))</f>
        <v/>
      </c>
      <c r="Q595" t="str">
        <f t="array" ref="Q595">IF($A595="","",INDEX(JupData!$A$2:$K$10000,MATCH($A595&amp;Q$1,JupData!$A$2:$A$10000&amp;JupData!$J$2:$J$10000,0),11))</f>
        <v/>
      </c>
      <c r="R595" t="str">
        <f t="array" ref="R595">IF($A595="","",INDEX(JupData!$A$2:$K$10000,MATCH($A595&amp;R$1,JupData!$A$2:$A$10000&amp;JupData!$J$2:$J$10000,0),11))</f>
        <v/>
      </c>
      <c r="S595" t="str">
        <f t="array" ref="S595">IF($A595="","",INDEX(JupData!$A$2:$K$10000,MATCH($A595&amp;S$1,JupData!$A$2:$A$10000&amp;JupData!$J$2:$J$10000,0),11))</f>
        <v/>
      </c>
      <c r="T595" t="str">
        <f t="array" ref="T595">IF($A595="","",INDEX(JupData!$A$2:$K$10000,MATCH($A595&amp;T$1,JupData!$A$2:$A$10000&amp;JupData!$J$2:$J$10000,0),11))</f>
        <v/>
      </c>
      <c r="U595" t="str">
        <f t="array" ref="U595">IF($A595="","",INDEX(JupData!$A$2:$K$10000,MATCH($A595&amp;U$1,JupData!$A$2:$A$10000&amp;JupData!$J$2:$J$10000,0),11))</f>
        <v/>
      </c>
      <c r="V595" t="str">
        <f t="array" ref="V595">IF($A595="","",INDEX(JupData!$A$2:$K$10000,MATCH($A595&amp;V$1,JupData!$A$2:$A$10000&amp;JupData!$J$2:$J$10000,0),11))</f>
        <v/>
      </c>
      <c r="W595" t="str">
        <f t="array" ref="W595">IF($A595="","",INDEX(JupData!$A$2:$K$10000,MATCH($A595&amp;W$1,JupData!$A$2:$A$10000&amp;JupData!$J$2:$J$10000,0),11))</f>
        <v/>
      </c>
      <c r="X595" t="str">
        <f t="array" ref="X595">IF($A595="","",INDEX(JupData!$A$2:$K$10000,MATCH($A595&amp;X$1,JupData!$A$2:$A$10000&amp;JupData!$J$2:$J$10000,0),11))</f>
        <v/>
      </c>
      <c r="Y595" t="str">
        <f t="array" ref="Y595">IF($A595="","",INDEX(JupData!$A$2:$K$10000,MATCH($A595&amp;Y$1,JupData!$A$2:$A$10000&amp;JupData!$J$2:$J$10000,0),11))</f>
        <v/>
      </c>
      <c r="Z595" t="str">
        <f t="array" ref="Z595">IF($A595="","",INDEX(JupData!$A$2:$K$10000,MATCH($A595&amp;Z$1,JupData!$A$2:$A$10000&amp;JupData!$J$2:$J$10000,0),11))</f>
        <v/>
      </c>
      <c r="AA595" t="str">
        <f t="array" ref="AA595">IF($A595="","",INDEX(JupData!$A$2:$K$10000,MATCH($A595&amp;AA$1,JupData!$A$2:$A$10000&amp;JupData!$J$2:$J$10000,0),11))</f>
        <v/>
      </c>
      <c r="AB595" t="str">
        <f t="array" ref="AB595">IF($A595="","",INDEX(JupData!$A$2:$K$10000,MATCH($A595&amp;AB$1,JupData!$A$2:$A$10000&amp;JupData!$J$2:$J$10000,0),11))</f>
        <v/>
      </c>
      <c r="AC595" s="10" t="str">
        <f t="shared" si="99"/>
        <v/>
      </c>
      <c r="AD595" s="10" t="str">
        <f t="shared" si="100"/>
        <v/>
      </c>
      <c r="AE595" s="9" t="str">
        <f t="shared" si="101"/>
        <v/>
      </c>
      <c r="AF595" s="10" t="str">
        <f t="shared" si="102"/>
        <v/>
      </c>
      <c r="AG595" s="10" t="str">
        <f t="shared" si="103"/>
        <v/>
      </c>
      <c r="AH595" s="10" t="str">
        <f t="shared" si="104"/>
        <v/>
      </c>
      <c r="AI595" s="10" t="str">
        <f t="shared" si="105"/>
        <v/>
      </c>
      <c r="AJ595" s="10" t="str">
        <f t="shared" si="106"/>
        <v/>
      </c>
      <c r="AK595" s="10" t="str">
        <f t="shared" si="107"/>
        <v/>
      </c>
      <c r="AL595" s="14" t="str">
        <f t="shared" si="108"/>
        <v/>
      </c>
    </row>
    <row r="596" spans="1:38" x14ac:dyDescent="0.2">
      <c r="A596"/>
      <c r="B596" t="str">
        <f>IF($A596="","",VLOOKUP($A596,JupData!$A$2:$I$10000,4,FALSE))</f>
        <v/>
      </c>
      <c r="C596" s="7" t="str">
        <f>IF($A596="",IF(N(D596),0,""),VLOOKUP($A596,JupData!$A$2:$I$10000,7,FALSE))</f>
        <v/>
      </c>
      <c r="D596" t="str">
        <f t="shared" si="109"/>
        <v/>
      </c>
      <c r="E596" t="str">
        <f t="array" ref="E596">IF($A596="","",INDEX(JupData!$A$2:$K$10000,MATCH($A596&amp;E$1,JupData!$A$2:$A$10000&amp;JupData!$J$2:$J$10000,0),11))</f>
        <v/>
      </c>
      <c r="F596" t="str">
        <f t="array" ref="F596">IF($A596="","",INDEX(JupData!$A$2:$K$10000,MATCH($A596&amp;F$1,JupData!$A$2:$A$10000&amp;JupData!$J$2:$J$10000,0),11))</f>
        <v/>
      </c>
      <c r="G596" t="str">
        <f t="array" ref="G596">IF($A596="","",INDEX(JupData!$A$2:$K$10000,MATCH($A596&amp;G$1,JupData!$A$2:$A$10000&amp;JupData!$J$2:$J$10000,0),11))</f>
        <v/>
      </c>
      <c r="H596" t="str">
        <f t="array" ref="H596">IF($A596="","",INDEX(JupData!$A$2:$K$10000,MATCH($A596&amp;H$1,JupData!$A$2:$A$10000&amp;JupData!$J$2:$J$10000,0),11))</f>
        <v/>
      </c>
      <c r="I596" t="str">
        <f t="array" ref="I596">IF($A596="","",INDEX(JupData!$A$2:$K$10000,MATCH($A596&amp;I$1,JupData!$A$2:$A$10000&amp;JupData!$J$2:$J$10000,0),11))</f>
        <v/>
      </c>
      <c r="J596" t="str">
        <f t="array" ref="J596">IF($A596="","",INDEX(JupData!$A$2:$K$10000,MATCH($A596&amp;J$1,JupData!$A$2:$A$10000&amp;JupData!$J$2:$J$10000,0),11))</f>
        <v/>
      </c>
      <c r="K596" t="str">
        <f t="array" ref="K596">IF($A596="","",INDEX(JupData!$A$2:$K$10000,MATCH($A596&amp;K$1,JupData!$A$2:$A$10000&amp;JupData!$J$2:$J$10000,0),11))</f>
        <v/>
      </c>
      <c r="L596" t="str">
        <f t="array" ref="L596">IF($A596="","",INDEX(JupData!$A$2:$K$10000,MATCH($A596&amp;L$1,JupData!$A$2:$A$10000&amp;JupData!$J$2:$J$10000,0),11))</f>
        <v/>
      </c>
      <c r="M596" t="str">
        <f t="array" ref="M596">IF($A596="","",INDEX(JupData!$A$2:$K$10000,MATCH($A596&amp;M$1,JupData!$A$2:$A$10000&amp;JupData!$J$2:$J$10000,0),11))</f>
        <v/>
      </c>
      <c r="N596" t="str">
        <f t="array" ref="N596">IF($A596="","",INDEX(JupData!$A$2:$K$10000,MATCH($A596&amp;N$1,JupData!$A$2:$A$10000&amp;JupData!$J$2:$J$10000,0),11))</f>
        <v/>
      </c>
      <c r="O596" t="str">
        <f t="array" ref="O596">IF($A596="","",INDEX(JupData!$A$2:$K$10000,MATCH($A596&amp;O$1,JupData!$A$2:$A$10000&amp;JupData!$J$2:$J$10000,0),11))</f>
        <v/>
      </c>
      <c r="P596" t="str">
        <f t="array" ref="P596">IF($A596="","",INDEX(JupData!$A$2:$K$10000,MATCH($A596&amp;P$1,JupData!$A$2:$A$10000&amp;JupData!$J$2:$J$10000,0),11))</f>
        <v/>
      </c>
      <c r="Q596" t="str">
        <f t="array" ref="Q596">IF($A596="","",INDEX(JupData!$A$2:$K$10000,MATCH($A596&amp;Q$1,JupData!$A$2:$A$10000&amp;JupData!$J$2:$J$10000,0),11))</f>
        <v/>
      </c>
      <c r="R596" t="str">
        <f t="array" ref="R596">IF($A596="","",INDEX(JupData!$A$2:$K$10000,MATCH($A596&amp;R$1,JupData!$A$2:$A$10000&amp;JupData!$J$2:$J$10000,0),11))</f>
        <v/>
      </c>
      <c r="S596" t="str">
        <f t="array" ref="S596">IF($A596="","",INDEX(JupData!$A$2:$K$10000,MATCH($A596&amp;S$1,JupData!$A$2:$A$10000&amp;JupData!$J$2:$J$10000,0),11))</f>
        <v/>
      </c>
      <c r="T596" t="str">
        <f t="array" ref="T596">IF($A596="","",INDEX(JupData!$A$2:$K$10000,MATCH($A596&amp;T$1,JupData!$A$2:$A$10000&amp;JupData!$J$2:$J$10000,0),11))</f>
        <v/>
      </c>
      <c r="U596" t="str">
        <f t="array" ref="U596">IF($A596="","",INDEX(JupData!$A$2:$K$10000,MATCH($A596&amp;U$1,JupData!$A$2:$A$10000&amp;JupData!$J$2:$J$10000,0),11))</f>
        <v/>
      </c>
      <c r="V596" t="str">
        <f t="array" ref="V596">IF($A596="","",INDEX(JupData!$A$2:$K$10000,MATCH($A596&amp;V$1,JupData!$A$2:$A$10000&amp;JupData!$J$2:$J$10000,0),11))</f>
        <v/>
      </c>
      <c r="W596" t="str">
        <f t="array" ref="W596">IF($A596="","",INDEX(JupData!$A$2:$K$10000,MATCH($A596&amp;W$1,JupData!$A$2:$A$10000&amp;JupData!$J$2:$J$10000,0),11))</f>
        <v/>
      </c>
      <c r="X596" t="str">
        <f t="array" ref="X596">IF($A596="","",INDEX(JupData!$A$2:$K$10000,MATCH($A596&amp;X$1,JupData!$A$2:$A$10000&amp;JupData!$J$2:$J$10000,0),11))</f>
        <v/>
      </c>
      <c r="Y596" t="str">
        <f t="array" ref="Y596">IF($A596="","",INDEX(JupData!$A$2:$K$10000,MATCH($A596&amp;Y$1,JupData!$A$2:$A$10000&amp;JupData!$J$2:$J$10000,0),11))</f>
        <v/>
      </c>
      <c r="Z596" t="str">
        <f t="array" ref="Z596">IF($A596="","",INDEX(JupData!$A$2:$K$10000,MATCH($A596&amp;Z$1,JupData!$A$2:$A$10000&amp;JupData!$J$2:$J$10000,0),11))</f>
        <v/>
      </c>
      <c r="AA596" t="str">
        <f t="array" ref="AA596">IF($A596="","",INDEX(JupData!$A$2:$K$10000,MATCH($A596&amp;AA$1,JupData!$A$2:$A$10000&amp;JupData!$J$2:$J$10000,0),11))</f>
        <v/>
      </c>
      <c r="AB596" t="str">
        <f t="array" ref="AB596">IF($A596="","",INDEX(JupData!$A$2:$K$10000,MATCH($A596&amp;AB$1,JupData!$A$2:$A$10000&amp;JupData!$J$2:$J$10000,0),11))</f>
        <v/>
      </c>
      <c r="AC596" s="10" t="str">
        <f t="shared" si="99"/>
        <v/>
      </c>
      <c r="AD596" s="10" t="str">
        <f t="shared" si="100"/>
        <v/>
      </c>
      <c r="AE596" s="9" t="str">
        <f t="shared" si="101"/>
        <v/>
      </c>
      <c r="AF596" s="10" t="str">
        <f t="shared" si="102"/>
        <v/>
      </c>
      <c r="AG596" s="10" t="str">
        <f t="shared" si="103"/>
        <v/>
      </c>
      <c r="AH596" s="10" t="str">
        <f t="shared" si="104"/>
        <v/>
      </c>
      <c r="AI596" s="10" t="str">
        <f t="shared" si="105"/>
        <v/>
      </c>
      <c r="AJ596" s="10" t="str">
        <f t="shared" si="106"/>
        <v/>
      </c>
      <c r="AK596" s="10" t="str">
        <f t="shared" si="107"/>
        <v/>
      </c>
      <c r="AL596" s="14" t="str">
        <f t="shared" si="108"/>
        <v/>
      </c>
    </row>
    <row r="597" spans="1:38" x14ac:dyDescent="0.2">
      <c r="A597"/>
      <c r="B597" t="str">
        <f>IF($A597="","",VLOOKUP($A597,JupData!$A$2:$I$10000,4,FALSE))</f>
        <v/>
      </c>
      <c r="C597" s="7" t="str">
        <f>IF($A597="",IF(N(D597),0,""),VLOOKUP($A597,JupData!$A$2:$I$10000,7,FALSE))</f>
        <v/>
      </c>
      <c r="D597" t="str">
        <f t="shared" si="109"/>
        <v/>
      </c>
      <c r="E597" t="str">
        <f t="array" ref="E597">IF($A597="","",INDEX(JupData!$A$2:$K$10000,MATCH($A597&amp;E$1,JupData!$A$2:$A$10000&amp;JupData!$J$2:$J$10000,0),11))</f>
        <v/>
      </c>
      <c r="F597" t="str">
        <f t="array" ref="F597">IF($A597="","",INDEX(JupData!$A$2:$K$10000,MATCH($A597&amp;F$1,JupData!$A$2:$A$10000&amp;JupData!$J$2:$J$10000,0),11))</f>
        <v/>
      </c>
      <c r="G597" t="str">
        <f t="array" ref="G597">IF($A597="","",INDEX(JupData!$A$2:$K$10000,MATCH($A597&amp;G$1,JupData!$A$2:$A$10000&amp;JupData!$J$2:$J$10000,0),11))</f>
        <v/>
      </c>
      <c r="H597" t="str">
        <f t="array" ref="H597">IF($A597="","",INDEX(JupData!$A$2:$K$10000,MATCH($A597&amp;H$1,JupData!$A$2:$A$10000&amp;JupData!$J$2:$J$10000,0),11))</f>
        <v/>
      </c>
      <c r="I597" t="str">
        <f t="array" ref="I597">IF($A597="","",INDEX(JupData!$A$2:$K$10000,MATCH($A597&amp;I$1,JupData!$A$2:$A$10000&amp;JupData!$J$2:$J$10000,0),11))</f>
        <v/>
      </c>
      <c r="J597" t="str">
        <f t="array" ref="J597">IF($A597="","",INDEX(JupData!$A$2:$K$10000,MATCH($A597&amp;J$1,JupData!$A$2:$A$10000&amp;JupData!$J$2:$J$10000,0),11))</f>
        <v/>
      </c>
      <c r="K597" t="str">
        <f t="array" ref="K597">IF($A597="","",INDEX(JupData!$A$2:$K$10000,MATCH($A597&amp;K$1,JupData!$A$2:$A$10000&amp;JupData!$J$2:$J$10000,0),11))</f>
        <v/>
      </c>
      <c r="L597" t="str">
        <f t="array" ref="L597">IF($A597="","",INDEX(JupData!$A$2:$K$10000,MATCH($A597&amp;L$1,JupData!$A$2:$A$10000&amp;JupData!$J$2:$J$10000,0),11))</f>
        <v/>
      </c>
      <c r="M597" t="str">
        <f t="array" ref="M597">IF($A597="","",INDEX(JupData!$A$2:$K$10000,MATCH($A597&amp;M$1,JupData!$A$2:$A$10000&amp;JupData!$J$2:$J$10000,0),11))</f>
        <v/>
      </c>
      <c r="N597" t="str">
        <f t="array" ref="N597">IF($A597="","",INDEX(JupData!$A$2:$K$10000,MATCH($A597&amp;N$1,JupData!$A$2:$A$10000&amp;JupData!$J$2:$J$10000,0),11))</f>
        <v/>
      </c>
      <c r="O597" t="str">
        <f t="array" ref="O597">IF($A597="","",INDEX(JupData!$A$2:$K$10000,MATCH($A597&amp;O$1,JupData!$A$2:$A$10000&amp;JupData!$J$2:$J$10000,0),11))</f>
        <v/>
      </c>
      <c r="P597" t="str">
        <f t="array" ref="P597">IF($A597="","",INDEX(JupData!$A$2:$K$10000,MATCH($A597&amp;P$1,JupData!$A$2:$A$10000&amp;JupData!$J$2:$J$10000,0),11))</f>
        <v/>
      </c>
      <c r="Q597" t="str">
        <f t="array" ref="Q597">IF($A597="","",INDEX(JupData!$A$2:$K$10000,MATCH($A597&amp;Q$1,JupData!$A$2:$A$10000&amp;JupData!$J$2:$J$10000,0),11))</f>
        <v/>
      </c>
      <c r="R597" t="str">
        <f t="array" ref="R597">IF($A597="","",INDEX(JupData!$A$2:$K$10000,MATCH($A597&amp;R$1,JupData!$A$2:$A$10000&amp;JupData!$J$2:$J$10000,0),11))</f>
        <v/>
      </c>
      <c r="S597" t="str">
        <f t="array" ref="S597">IF($A597="","",INDEX(JupData!$A$2:$K$10000,MATCH($A597&amp;S$1,JupData!$A$2:$A$10000&amp;JupData!$J$2:$J$10000,0),11))</f>
        <v/>
      </c>
      <c r="T597" t="str">
        <f t="array" ref="T597">IF($A597="","",INDEX(JupData!$A$2:$K$10000,MATCH($A597&amp;T$1,JupData!$A$2:$A$10000&amp;JupData!$J$2:$J$10000,0),11))</f>
        <v/>
      </c>
      <c r="U597" t="str">
        <f t="array" ref="U597">IF($A597="","",INDEX(JupData!$A$2:$K$10000,MATCH($A597&amp;U$1,JupData!$A$2:$A$10000&amp;JupData!$J$2:$J$10000,0),11))</f>
        <v/>
      </c>
      <c r="V597" t="str">
        <f t="array" ref="V597">IF($A597="","",INDEX(JupData!$A$2:$K$10000,MATCH($A597&amp;V$1,JupData!$A$2:$A$10000&amp;JupData!$J$2:$J$10000,0),11))</f>
        <v/>
      </c>
      <c r="W597" t="str">
        <f t="array" ref="W597">IF($A597="","",INDEX(JupData!$A$2:$K$10000,MATCH($A597&amp;W$1,JupData!$A$2:$A$10000&amp;JupData!$J$2:$J$10000,0),11))</f>
        <v/>
      </c>
      <c r="X597" t="str">
        <f t="array" ref="X597">IF($A597="","",INDEX(JupData!$A$2:$K$10000,MATCH($A597&amp;X$1,JupData!$A$2:$A$10000&amp;JupData!$J$2:$J$10000,0),11))</f>
        <v/>
      </c>
      <c r="Y597" t="str">
        <f t="array" ref="Y597">IF($A597="","",INDEX(JupData!$A$2:$K$10000,MATCH($A597&amp;Y$1,JupData!$A$2:$A$10000&amp;JupData!$J$2:$J$10000,0),11))</f>
        <v/>
      </c>
      <c r="Z597" t="str">
        <f t="array" ref="Z597">IF($A597="","",INDEX(JupData!$A$2:$K$10000,MATCH($A597&amp;Z$1,JupData!$A$2:$A$10000&amp;JupData!$J$2:$J$10000,0),11))</f>
        <v/>
      </c>
      <c r="AA597" t="str">
        <f t="array" ref="AA597">IF($A597="","",INDEX(JupData!$A$2:$K$10000,MATCH($A597&amp;AA$1,JupData!$A$2:$A$10000&amp;JupData!$J$2:$J$10000,0),11))</f>
        <v/>
      </c>
      <c r="AB597" t="str">
        <f t="array" ref="AB597">IF($A597="","",INDEX(JupData!$A$2:$K$10000,MATCH($A597&amp;AB$1,JupData!$A$2:$A$10000&amp;JupData!$J$2:$J$10000,0),11))</f>
        <v/>
      </c>
      <c r="AC597" s="10" t="str">
        <f t="shared" si="99"/>
        <v/>
      </c>
      <c r="AD597" s="10" t="str">
        <f t="shared" si="100"/>
        <v/>
      </c>
      <c r="AE597" s="9" t="str">
        <f t="shared" si="101"/>
        <v/>
      </c>
      <c r="AF597" s="10" t="str">
        <f t="shared" si="102"/>
        <v/>
      </c>
      <c r="AG597" s="10" t="str">
        <f t="shared" si="103"/>
        <v/>
      </c>
      <c r="AH597" s="10" t="str">
        <f t="shared" si="104"/>
        <v/>
      </c>
      <c r="AI597" s="10" t="str">
        <f t="shared" si="105"/>
        <v/>
      </c>
      <c r="AJ597" s="10" t="str">
        <f t="shared" si="106"/>
        <v/>
      </c>
      <c r="AK597" s="10" t="str">
        <f t="shared" si="107"/>
        <v/>
      </c>
      <c r="AL597" s="14" t="str">
        <f t="shared" si="108"/>
        <v/>
      </c>
    </row>
    <row r="598" spans="1:38" x14ac:dyDescent="0.2">
      <c r="A598"/>
      <c r="B598" t="str">
        <f>IF($A598="","",VLOOKUP($A598,JupData!$A$2:$I$10000,4,FALSE))</f>
        <v/>
      </c>
      <c r="C598" s="7" t="str">
        <f>IF($A598="",IF(N(D598),0,""),VLOOKUP($A598,JupData!$A$2:$I$10000,7,FALSE))</f>
        <v/>
      </c>
      <c r="D598" t="str">
        <f t="shared" si="109"/>
        <v/>
      </c>
      <c r="E598" t="str">
        <f t="array" ref="E598">IF($A598="","",INDEX(JupData!$A$2:$K$10000,MATCH($A598&amp;E$1,JupData!$A$2:$A$10000&amp;JupData!$J$2:$J$10000,0),11))</f>
        <v/>
      </c>
      <c r="F598" t="str">
        <f t="array" ref="F598">IF($A598="","",INDEX(JupData!$A$2:$K$10000,MATCH($A598&amp;F$1,JupData!$A$2:$A$10000&amp;JupData!$J$2:$J$10000,0),11))</f>
        <v/>
      </c>
      <c r="G598" t="str">
        <f t="array" ref="G598">IF($A598="","",INDEX(JupData!$A$2:$K$10000,MATCH($A598&amp;G$1,JupData!$A$2:$A$10000&amp;JupData!$J$2:$J$10000,0),11))</f>
        <v/>
      </c>
      <c r="H598" t="str">
        <f t="array" ref="H598">IF($A598="","",INDEX(JupData!$A$2:$K$10000,MATCH($A598&amp;H$1,JupData!$A$2:$A$10000&amp;JupData!$J$2:$J$10000,0),11))</f>
        <v/>
      </c>
      <c r="I598" t="str">
        <f t="array" ref="I598">IF($A598="","",INDEX(JupData!$A$2:$K$10000,MATCH($A598&amp;I$1,JupData!$A$2:$A$10000&amp;JupData!$J$2:$J$10000,0),11))</f>
        <v/>
      </c>
      <c r="J598" t="str">
        <f t="array" ref="J598">IF($A598="","",INDEX(JupData!$A$2:$K$10000,MATCH($A598&amp;J$1,JupData!$A$2:$A$10000&amp;JupData!$J$2:$J$10000,0),11))</f>
        <v/>
      </c>
      <c r="K598" t="str">
        <f t="array" ref="K598">IF($A598="","",INDEX(JupData!$A$2:$K$10000,MATCH($A598&amp;K$1,JupData!$A$2:$A$10000&amp;JupData!$J$2:$J$10000,0),11))</f>
        <v/>
      </c>
      <c r="L598" t="str">
        <f t="array" ref="L598">IF($A598="","",INDEX(JupData!$A$2:$K$10000,MATCH($A598&amp;L$1,JupData!$A$2:$A$10000&amp;JupData!$J$2:$J$10000,0),11))</f>
        <v/>
      </c>
      <c r="M598" t="str">
        <f t="array" ref="M598">IF($A598="","",INDEX(JupData!$A$2:$K$10000,MATCH($A598&amp;M$1,JupData!$A$2:$A$10000&amp;JupData!$J$2:$J$10000,0),11))</f>
        <v/>
      </c>
      <c r="N598" t="str">
        <f t="array" ref="N598">IF($A598="","",INDEX(JupData!$A$2:$K$10000,MATCH($A598&amp;N$1,JupData!$A$2:$A$10000&amp;JupData!$J$2:$J$10000,0),11))</f>
        <v/>
      </c>
      <c r="O598" t="str">
        <f t="array" ref="O598">IF($A598="","",INDEX(JupData!$A$2:$K$10000,MATCH($A598&amp;O$1,JupData!$A$2:$A$10000&amp;JupData!$J$2:$J$10000,0),11))</f>
        <v/>
      </c>
      <c r="P598" t="str">
        <f t="array" ref="P598">IF($A598="","",INDEX(JupData!$A$2:$K$10000,MATCH($A598&amp;P$1,JupData!$A$2:$A$10000&amp;JupData!$J$2:$J$10000,0),11))</f>
        <v/>
      </c>
      <c r="Q598" t="str">
        <f t="array" ref="Q598">IF($A598="","",INDEX(JupData!$A$2:$K$10000,MATCH($A598&amp;Q$1,JupData!$A$2:$A$10000&amp;JupData!$J$2:$J$10000,0),11))</f>
        <v/>
      </c>
      <c r="R598" t="str">
        <f t="array" ref="R598">IF($A598="","",INDEX(JupData!$A$2:$K$10000,MATCH($A598&amp;R$1,JupData!$A$2:$A$10000&amp;JupData!$J$2:$J$10000,0),11))</f>
        <v/>
      </c>
      <c r="S598" t="str">
        <f t="array" ref="S598">IF($A598="","",INDEX(JupData!$A$2:$K$10000,MATCH($A598&amp;S$1,JupData!$A$2:$A$10000&amp;JupData!$J$2:$J$10000,0),11))</f>
        <v/>
      </c>
      <c r="T598" t="str">
        <f t="array" ref="T598">IF($A598="","",INDEX(JupData!$A$2:$K$10000,MATCH($A598&amp;T$1,JupData!$A$2:$A$10000&amp;JupData!$J$2:$J$10000,0),11))</f>
        <v/>
      </c>
      <c r="U598" t="str">
        <f t="array" ref="U598">IF($A598="","",INDEX(JupData!$A$2:$K$10000,MATCH($A598&amp;U$1,JupData!$A$2:$A$10000&amp;JupData!$J$2:$J$10000,0),11))</f>
        <v/>
      </c>
      <c r="V598" t="str">
        <f t="array" ref="V598">IF($A598="","",INDEX(JupData!$A$2:$K$10000,MATCH($A598&amp;V$1,JupData!$A$2:$A$10000&amp;JupData!$J$2:$J$10000,0),11))</f>
        <v/>
      </c>
      <c r="W598" t="str">
        <f t="array" ref="W598">IF($A598="","",INDEX(JupData!$A$2:$K$10000,MATCH($A598&amp;W$1,JupData!$A$2:$A$10000&amp;JupData!$J$2:$J$10000,0),11))</f>
        <v/>
      </c>
      <c r="X598" t="str">
        <f t="array" ref="X598">IF($A598="","",INDEX(JupData!$A$2:$K$10000,MATCH($A598&amp;X$1,JupData!$A$2:$A$10000&amp;JupData!$J$2:$J$10000,0),11))</f>
        <v/>
      </c>
      <c r="Y598" t="str">
        <f t="array" ref="Y598">IF($A598="","",INDEX(JupData!$A$2:$K$10000,MATCH($A598&amp;Y$1,JupData!$A$2:$A$10000&amp;JupData!$J$2:$J$10000,0),11))</f>
        <v/>
      </c>
      <c r="Z598" t="str">
        <f t="array" ref="Z598">IF($A598="","",INDEX(JupData!$A$2:$K$10000,MATCH($A598&amp;Z$1,JupData!$A$2:$A$10000&amp;JupData!$J$2:$J$10000,0),11))</f>
        <v/>
      </c>
      <c r="AA598" t="str">
        <f t="array" ref="AA598">IF($A598="","",INDEX(JupData!$A$2:$K$10000,MATCH($A598&amp;AA$1,JupData!$A$2:$A$10000&amp;JupData!$J$2:$J$10000,0),11))</f>
        <v/>
      </c>
      <c r="AB598" t="str">
        <f t="array" ref="AB598">IF($A598="","",INDEX(JupData!$A$2:$K$10000,MATCH($A598&amp;AB$1,JupData!$A$2:$A$10000&amp;JupData!$J$2:$J$10000,0),11))</f>
        <v/>
      </c>
      <c r="AC598" s="10" t="str">
        <f t="shared" si="99"/>
        <v/>
      </c>
      <c r="AD598" s="10" t="str">
        <f t="shared" si="100"/>
        <v/>
      </c>
      <c r="AE598" s="9" t="str">
        <f t="shared" si="101"/>
        <v/>
      </c>
      <c r="AF598" s="10" t="str">
        <f t="shared" si="102"/>
        <v/>
      </c>
      <c r="AG598" s="10" t="str">
        <f t="shared" si="103"/>
        <v/>
      </c>
      <c r="AH598" s="10" t="str">
        <f t="shared" si="104"/>
        <v/>
      </c>
      <c r="AI598" s="10" t="str">
        <f t="shared" si="105"/>
        <v/>
      </c>
      <c r="AJ598" s="10" t="str">
        <f t="shared" si="106"/>
        <v/>
      </c>
      <c r="AK598" s="10" t="str">
        <f t="shared" si="107"/>
        <v/>
      </c>
      <c r="AL598" s="14" t="str">
        <f t="shared" si="108"/>
        <v/>
      </c>
    </row>
    <row r="599" spans="1:38" x14ac:dyDescent="0.2">
      <c r="A599"/>
      <c r="B599" t="str">
        <f>IF($A599="","",VLOOKUP($A599,JupData!$A$2:$I$10000,4,FALSE))</f>
        <v/>
      </c>
      <c r="C599" s="7" t="str">
        <f>IF($A599="",IF(N(D599),0,""),VLOOKUP($A599,JupData!$A$2:$I$10000,7,FALSE))</f>
        <v/>
      </c>
      <c r="D599" t="str">
        <f t="shared" si="109"/>
        <v/>
      </c>
      <c r="E599" t="str">
        <f t="array" ref="E599">IF($A599="","",INDEX(JupData!$A$2:$K$10000,MATCH($A599&amp;E$1,JupData!$A$2:$A$10000&amp;JupData!$J$2:$J$10000,0),11))</f>
        <v/>
      </c>
      <c r="F599" t="str">
        <f t="array" ref="F599">IF($A599="","",INDEX(JupData!$A$2:$K$10000,MATCH($A599&amp;F$1,JupData!$A$2:$A$10000&amp;JupData!$J$2:$J$10000,0),11))</f>
        <v/>
      </c>
      <c r="G599" t="str">
        <f t="array" ref="G599">IF($A599="","",INDEX(JupData!$A$2:$K$10000,MATCH($A599&amp;G$1,JupData!$A$2:$A$10000&amp;JupData!$J$2:$J$10000,0),11))</f>
        <v/>
      </c>
      <c r="H599" t="str">
        <f t="array" ref="H599">IF($A599="","",INDEX(JupData!$A$2:$K$10000,MATCH($A599&amp;H$1,JupData!$A$2:$A$10000&amp;JupData!$J$2:$J$10000,0),11))</f>
        <v/>
      </c>
      <c r="I599" t="str">
        <f t="array" ref="I599">IF($A599="","",INDEX(JupData!$A$2:$K$10000,MATCH($A599&amp;I$1,JupData!$A$2:$A$10000&amp;JupData!$J$2:$J$10000,0),11))</f>
        <v/>
      </c>
      <c r="J599" t="str">
        <f t="array" ref="J599">IF($A599="","",INDEX(JupData!$A$2:$K$10000,MATCH($A599&amp;J$1,JupData!$A$2:$A$10000&amp;JupData!$J$2:$J$10000,0),11))</f>
        <v/>
      </c>
      <c r="K599" t="str">
        <f t="array" ref="K599">IF($A599="","",INDEX(JupData!$A$2:$K$10000,MATCH($A599&amp;K$1,JupData!$A$2:$A$10000&amp;JupData!$J$2:$J$10000,0),11))</f>
        <v/>
      </c>
      <c r="L599" t="str">
        <f t="array" ref="L599">IF($A599="","",INDEX(JupData!$A$2:$K$10000,MATCH($A599&amp;L$1,JupData!$A$2:$A$10000&amp;JupData!$J$2:$J$10000,0),11))</f>
        <v/>
      </c>
      <c r="M599" t="str">
        <f t="array" ref="M599">IF($A599="","",INDEX(JupData!$A$2:$K$10000,MATCH($A599&amp;M$1,JupData!$A$2:$A$10000&amp;JupData!$J$2:$J$10000,0),11))</f>
        <v/>
      </c>
      <c r="N599" t="str">
        <f t="array" ref="N599">IF($A599="","",INDEX(JupData!$A$2:$K$10000,MATCH($A599&amp;N$1,JupData!$A$2:$A$10000&amp;JupData!$J$2:$J$10000,0),11))</f>
        <v/>
      </c>
      <c r="O599" t="str">
        <f t="array" ref="O599">IF($A599="","",INDEX(JupData!$A$2:$K$10000,MATCH($A599&amp;O$1,JupData!$A$2:$A$10000&amp;JupData!$J$2:$J$10000,0),11))</f>
        <v/>
      </c>
      <c r="P599" t="str">
        <f t="array" ref="P599">IF($A599="","",INDEX(JupData!$A$2:$K$10000,MATCH($A599&amp;P$1,JupData!$A$2:$A$10000&amp;JupData!$J$2:$J$10000,0),11))</f>
        <v/>
      </c>
      <c r="Q599" t="str">
        <f t="array" ref="Q599">IF($A599="","",INDEX(JupData!$A$2:$K$10000,MATCH($A599&amp;Q$1,JupData!$A$2:$A$10000&amp;JupData!$J$2:$J$10000,0),11))</f>
        <v/>
      </c>
      <c r="R599" t="str">
        <f t="array" ref="R599">IF($A599="","",INDEX(JupData!$A$2:$K$10000,MATCH($A599&amp;R$1,JupData!$A$2:$A$10000&amp;JupData!$J$2:$J$10000,0),11))</f>
        <v/>
      </c>
      <c r="S599" t="str">
        <f t="array" ref="S599">IF($A599="","",INDEX(JupData!$A$2:$K$10000,MATCH($A599&amp;S$1,JupData!$A$2:$A$10000&amp;JupData!$J$2:$J$10000,0),11))</f>
        <v/>
      </c>
      <c r="T599" t="str">
        <f t="array" ref="T599">IF($A599="","",INDEX(JupData!$A$2:$K$10000,MATCH($A599&amp;T$1,JupData!$A$2:$A$10000&amp;JupData!$J$2:$J$10000,0),11))</f>
        <v/>
      </c>
      <c r="U599" t="str">
        <f t="array" ref="U599">IF($A599="","",INDEX(JupData!$A$2:$K$10000,MATCH($A599&amp;U$1,JupData!$A$2:$A$10000&amp;JupData!$J$2:$J$10000,0),11))</f>
        <v/>
      </c>
      <c r="V599" t="str">
        <f t="array" ref="V599">IF($A599="","",INDEX(JupData!$A$2:$K$10000,MATCH($A599&amp;V$1,JupData!$A$2:$A$10000&amp;JupData!$J$2:$J$10000,0),11))</f>
        <v/>
      </c>
      <c r="W599" t="str">
        <f t="array" ref="W599">IF($A599="","",INDEX(JupData!$A$2:$K$10000,MATCH($A599&amp;W$1,JupData!$A$2:$A$10000&amp;JupData!$J$2:$J$10000,0),11))</f>
        <v/>
      </c>
      <c r="X599" t="str">
        <f t="array" ref="X599">IF($A599="","",INDEX(JupData!$A$2:$K$10000,MATCH($A599&amp;X$1,JupData!$A$2:$A$10000&amp;JupData!$J$2:$J$10000,0),11))</f>
        <v/>
      </c>
      <c r="Y599" t="str">
        <f t="array" ref="Y599">IF($A599="","",INDEX(JupData!$A$2:$K$10000,MATCH($A599&amp;Y$1,JupData!$A$2:$A$10000&amp;JupData!$J$2:$J$10000,0),11))</f>
        <v/>
      </c>
      <c r="Z599" t="str">
        <f t="array" ref="Z599">IF($A599="","",INDEX(JupData!$A$2:$K$10000,MATCH($A599&amp;Z$1,JupData!$A$2:$A$10000&amp;JupData!$J$2:$J$10000,0),11))</f>
        <v/>
      </c>
      <c r="AA599" t="str">
        <f t="array" ref="AA599">IF($A599="","",INDEX(JupData!$A$2:$K$10000,MATCH($A599&amp;AA$1,JupData!$A$2:$A$10000&amp;JupData!$J$2:$J$10000,0),11))</f>
        <v/>
      </c>
      <c r="AB599" t="str">
        <f t="array" ref="AB599">IF($A599="","",INDEX(JupData!$A$2:$K$10000,MATCH($A599&amp;AB$1,JupData!$A$2:$A$10000&amp;JupData!$J$2:$J$10000,0),11))</f>
        <v/>
      </c>
      <c r="AC599" s="10" t="str">
        <f t="shared" si="99"/>
        <v/>
      </c>
      <c r="AD599" s="10" t="str">
        <f t="shared" si="100"/>
        <v/>
      </c>
      <c r="AE599" s="9" t="str">
        <f t="shared" si="101"/>
        <v/>
      </c>
      <c r="AF599" s="10" t="str">
        <f t="shared" si="102"/>
        <v/>
      </c>
      <c r="AG599" s="10" t="str">
        <f t="shared" si="103"/>
        <v/>
      </c>
      <c r="AH599" s="10" t="str">
        <f t="shared" si="104"/>
        <v/>
      </c>
      <c r="AI599" s="10" t="str">
        <f t="shared" si="105"/>
        <v/>
      </c>
      <c r="AJ599" s="10" t="str">
        <f t="shared" si="106"/>
        <v/>
      </c>
      <c r="AK599" s="10" t="str">
        <f t="shared" si="107"/>
        <v/>
      </c>
      <c r="AL599" s="14" t="str">
        <f t="shared" si="108"/>
        <v/>
      </c>
    </row>
    <row r="600" spans="1:38" x14ac:dyDescent="0.2">
      <c r="A600"/>
      <c r="B600" t="str">
        <f>IF($A600="","",VLOOKUP($A600,JupData!$A$2:$I$10000,4,FALSE))</f>
        <v/>
      </c>
      <c r="C600" s="7" t="str">
        <f>IF($A600="",IF(N(D600),0,""),VLOOKUP($A600,JupData!$A$2:$I$10000,7,FALSE))</f>
        <v/>
      </c>
      <c r="D600" t="str">
        <f t="shared" si="109"/>
        <v/>
      </c>
      <c r="E600" t="str">
        <f t="array" ref="E600">IF($A600="","",INDEX(JupData!$A$2:$K$10000,MATCH($A600&amp;E$1,JupData!$A$2:$A$10000&amp;JupData!$J$2:$J$10000,0),11))</f>
        <v/>
      </c>
      <c r="F600" t="str">
        <f t="array" ref="F600">IF($A600="","",INDEX(JupData!$A$2:$K$10000,MATCH($A600&amp;F$1,JupData!$A$2:$A$10000&amp;JupData!$J$2:$J$10000,0),11))</f>
        <v/>
      </c>
      <c r="G600" t="str">
        <f t="array" ref="G600">IF($A600="","",INDEX(JupData!$A$2:$K$10000,MATCH($A600&amp;G$1,JupData!$A$2:$A$10000&amp;JupData!$J$2:$J$10000,0),11))</f>
        <v/>
      </c>
      <c r="H600" t="str">
        <f t="array" ref="H600">IF($A600="","",INDEX(JupData!$A$2:$K$10000,MATCH($A600&amp;H$1,JupData!$A$2:$A$10000&amp;JupData!$J$2:$J$10000,0),11))</f>
        <v/>
      </c>
      <c r="I600" t="str">
        <f t="array" ref="I600">IF($A600="","",INDEX(JupData!$A$2:$K$10000,MATCH($A600&amp;I$1,JupData!$A$2:$A$10000&amp;JupData!$J$2:$J$10000,0),11))</f>
        <v/>
      </c>
      <c r="J600" t="str">
        <f t="array" ref="J600">IF($A600="","",INDEX(JupData!$A$2:$K$10000,MATCH($A600&amp;J$1,JupData!$A$2:$A$10000&amp;JupData!$J$2:$J$10000,0),11))</f>
        <v/>
      </c>
      <c r="K600" t="str">
        <f t="array" ref="K600">IF($A600="","",INDEX(JupData!$A$2:$K$10000,MATCH($A600&amp;K$1,JupData!$A$2:$A$10000&amp;JupData!$J$2:$J$10000,0),11))</f>
        <v/>
      </c>
      <c r="L600" t="str">
        <f t="array" ref="L600">IF($A600="","",INDEX(JupData!$A$2:$K$10000,MATCH($A600&amp;L$1,JupData!$A$2:$A$10000&amp;JupData!$J$2:$J$10000,0),11))</f>
        <v/>
      </c>
      <c r="M600" t="str">
        <f t="array" ref="M600">IF($A600="","",INDEX(JupData!$A$2:$K$10000,MATCH($A600&amp;M$1,JupData!$A$2:$A$10000&amp;JupData!$J$2:$J$10000,0),11))</f>
        <v/>
      </c>
      <c r="N600" t="str">
        <f t="array" ref="N600">IF($A600="","",INDEX(JupData!$A$2:$K$10000,MATCH($A600&amp;N$1,JupData!$A$2:$A$10000&amp;JupData!$J$2:$J$10000,0),11))</f>
        <v/>
      </c>
      <c r="O600" t="str">
        <f t="array" ref="O600">IF($A600="","",INDEX(JupData!$A$2:$K$10000,MATCH($A600&amp;O$1,JupData!$A$2:$A$10000&amp;JupData!$J$2:$J$10000,0),11))</f>
        <v/>
      </c>
      <c r="P600" t="str">
        <f t="array" ref="P600">IF($A600="","",INDEX(JupData!$A$2:$K$10000,MATCH($A600&amp;P$1,JupData!$A$2:$A$10000&amp;JupData!$J$2:$J$10000,0),11))</f>
        <v/>
      </c>
      <c r="Q600" t="str">
        <f t="array" ref="Q600">IF($A600="","",INDEX(JupData!$A$2:$K$10000,MATCH($A600&amp;Q$1,JupData!$A$2:$A$10000&amp;JupData!$J$2:$J$10000,0),11))</f>
        <v/>
      </c>
      <c r="R600" t="str">
        <f t="array" ref="R600">IF($A600="","",INDEX(JupData!$A$2:$K$10000,MATCH($A600&amp;R$1,JupData!$A$2:$A$10000&amp;JupData!$J$2:$J$10000,0),11))</f>
        <v/>
      </c>
      <c r="S600" t="str">
        <f t="array" ref="S600">IF($A600="","",INDEX(JupData!$A$2:$K$10000,MATCH($A600&amp;S$1,JupData!$A$2:$A$10000&amp;JupData!$J$2:$J$10000,0),11))</f>
        <v/>
      </c>
      <c r="T600" t="str">
        <f t="array" ref="T600">IF($A600="","",INDEX(JupData!$A$2:$K$10000,MATCH($A600&amp;T$1,JupData!$A$2:$A$10000&amp;JupData!$J$2:$J$10000,0),11))</f>
        <v/>
      </c>
      <c r="U600" t="str">
        <f t="array" ref="U600">IF($A600="","",INDEX(JupData!$A$2:$K$10000,MATCH($A600&amp;U$1,JupData!$A$2:$A$10000&amp;JupData!$J$2:$J$10000,0),11))</f>
        <v/>
      </c>
      <c r="V600" t="str">
        <f t="array" ref="V600">IF($A600="","",INDEX(JupData!$A$2:$K$10000,MATCH($A600&amp;V$1,JupData!$A$2:$A$10000&amp;JupData!$J$2:$J$10000,0),11))</f>
        <v/>
      </c>
      <c r="W600" t="str">
        <f t="array" ref="W600">IF($A600="","",INDEX(JupData!$A$2:$K$10000,MATCH($A600&amp;W$1,JupData!$A$2:$A$10000&amp;JupData!$J$2:$J$10000,0),11))</f>
        <v/>
      </c>
      <c r="X600" t="str">
        <f t="array" ref="X600">IF($A600="","",INDEX(JupData!$A$2:$K$10000,MATCH($A600&amp;X$1,JupData!$A$2:$A$10000&amp;JupData!$J$2:$J$10000,0),11))</f>
        <v/>
      </c>
      <c r="Y600" t="str">
        <f t="array" ref="Y600">IF($A600="","",INDEX(JupData!$A$2:$K$10000,MATCH($A600&amp;Y$1,JupData!$A$2:$A$10000&amp;JupData!$J$2:$J$10000,0),11))</f>
        <v/>
      </c>
      <c r="Z600" t="str">
        <f t="array" ref="Z600">IF($A600="","",INDEX(JupData!$A$2:$K$10000,MATCH($A600&amp;Z$1,JupData!$A$2:$A$10000&amp;JupData!$J$2:$J$10000,0),11))</f>
        <v/>
      </c>
      <c r="AA600" t="str">
        <f t="array" ref="AA600">IF($A600="","",INDEX(JupData!$A$2:$K$10000,MATCH($A600&amp;AA$1,JupData!$A$2:$A$10000&amp;JupData!$J$2:$J$10000,0),11))</f>
        <v/>
      </c>
      <c r="AB600" t="str">
        <f t="array" ref="AB600">IF($A600="","",INDEX(JupData!$A$2:$K$10000,MATCH($A600&amp;AB$1,JupData!$A$2:$A$10000&amp;JupData!$J$2:$J$10000,0),11))</f>
        <v/>
      </c>
      <c r="AC600" s="10" t="str">
        <f t="shared" si="99"/>
        <v/>
      </c>
      <c r="AD600" s="10" t="str">
        <f t="shared" si="100"/>
        <v/>
      </c>
      <c r="AE600" s="9" t="str">
        <f t="shared" si="101"/>
        <v/>
      </c>
      <c r="AF600" s="10" t="str">
        <f t="shared" si="102"/>
        <v/>
      </c>
      <c r="AG600" s="10" t="str">
        <f t="shared" si="103"/>
        <v/>
      </c>
      <c r="AH600" s="10" t="str">
        <f t="shared" si="104"/>
        <v/>
      </c>
      <c r="AI600" s="10" t="str">
        <f t="shared" si="105"/>
        <v/>
      </c>
      <c r="AJ600" s="10" t="str">
        <f t="shared" si="106"/>
        <v/>
      </c>
      <c r="AK600" s="10" t="str">
        <f t="shared" si="107"/>
        <v/>
      </c>
      <c r="AL600" s="14" t="str">
        <f t="shared" si="108"/>
        <v/>
      </c>
    </row>
    <row r="601" spans="1:38" x14ac:dyDescent="0.2">
      <c r="A601"/>
      <c r="B601" t="str">
        <f>IF($A601="","",VLOOKUP($A601,JupData!$A$2:$I$10000,4,FALSE))</f>
        <v/>
      </c>
      <c r="C601" s="7" t="str">
        <f>IF($A601="",IF(N(D601),0,""),VLOOKUP($A601,JupData!$A$2:$I$10000,7,FALSE))</f>
        <v/>
      </c>
      <c r="D601" t="str">
        <f t="shared" si="109"/>
        <v/>
      </c>
      <c r="E601" t="str">
        <f t="array" ref="E601">IF($A601="","",INDEX(JupData!$A$2:$K$10000,MATCH($A601&amp;E$1,JupData!$A$2:$A$10000&amp;JupData!$J$2:$J$10000,0),11))</f>
        <v/>
      </c>
      <c r="F601" t="str">
        <f t="array" ref="F601">IF($A601="","",INDEX(JupData!$A$2:$K$10000,MATCH($A601&amp;F$1,JupData!$A$2:$A$10000&amp;JupData!$J$2:$J$10000,0),11))</f>
        <v/>
      </c>
      <c r="G601" t="str">
        <f t="array" ref="G601">IF($A601="","",INDEX(JupData!$A$2:$K$10000,MATCH($A601&amp;G$1,JupData!$A$2:$A$10000&amp;JupData!$J$2:$J$10000,0),11))</f>
        <v/>
      </c>
      <c r="H601" t="str">
        <f t="array" ref="H601">IF($A601="","",INDEX(JupData!$A$2:$K$10000,MATCH($A601&amp;H$1,JupData!$A$2:$A$10000&amp;JupData!$J$2:$J$10000,0),11))</f>
        <v/>
      </c>
      <c r="I601" t="str">
        <f t="array" ref="I601">IF($A601="","",INDEX(JupData!$A$2:$K$10000,MATCH($A601&amp;I$1,JupData!$A$2:$A$10000&amp;JupData!$J$2:$J$10000,0),11))</f>
        <v/>
      </c>
      <c r="J601" t="str">
        <f t="array" ref="J601">IF($A601="","",INDEX(JupData!$A$2:$K$10000,MATCH($A601&amp;J$1,JupData!$A$2:$A$10000&amp;JupData!$J$2:$J$10000,0),11))</f>
        <v/>
      </c>
      <c r="K601" t="str">
        <f t="array" ref="K601">IF($A601="","",INDEX(JupData!$A$2:$K$10000,MATCH($A601&amp;K$1,JupData!$A$2:$A$10000&amp;JupData!$J$2:$J$10000,0),11))</f>
        <v/>
      </c>
      <c r="L601" t="str">
        <f t="array" ref="L601">IF($A601="","",INDEX(JupData!$A$2:$K$10000,MATCH($A601&amp;L$1,JupData!$A$2:$A$10000&amp;JupData!$J$2:$J$10000,0),11))</f>
        <v/>
      </c>
      <c r="M601" t="str">
        <f t="array" ref="M601">IF($A601="","",INDEX(JupData!$A$2:$K$10000,MATCH($A601&amp;M$1,JupData!$A$2:$A$10000&amp;JupData!$J$2:$J$10000,0),11))</f>
        <v/>
      </c>
      <c r="N601" t="str">
        <f t="array" ref="N601">IF($A601="","",INDEX(JupData!$A$2:$K$10000,MATCH($A601&amp;N$1,JupData!$A$2:$A$10000&amp;JupData!$J$2:$J$10000,0),11))</f>
        <v/>
      </c>
      <c r="O601" t="str">
        <f t="array" ref="O601">IF($A601="","",INDEX(JupData!$A$2:$K$10000,MATCH($A601&amp;O$1,JupData!$A$2:$A$10000&amp;JupData!$J$2:$J$10000,0),11))</f>
        <v/>
      </c>
      <c r="P601" t="str">
        <f t="array" ref="P601">IF($A601="","",INDEX(JupData!$A$2:$K$10000,MATCH($A601&amp;P$1,JupData!$A$2:$A$10000&amp;JupData!$J$2:$J$10000,0),11))</f>
        <v/>
      </c>
      <c r="Q601" t="str">
        <f t="array" ref="Q601">IF($A601="","",INDEX(JupData!$A$2:$K$10000,MATCH($A601&amp;Q$1,JupData!$A$2:$A$10000&amp;JupData!$J$2:$J$10000,0),11))</f>
        <v/>
      </c>
      <c r="R601" t="str">
        <f t="array" ref="R601">IF($A601="","",INDEX(JupData!$A$2:$K$10000,MATCH($A601&amp;R$1,JupData!$A$2:$A$10000&amp;JupData!$J$2:$J$10000,0),11))</f>
        <v/>
      </c>
      <c r="S601" t="str">
        <f t="array" ref="S601">IF($A601="","",INDEX(JupData!$A$2:$K$10000,MATCH($A601&amp;S$1,JupData!$A$2:$A$10000&amp;JupData!$J$2:$J$10000,0),11))</f>
        <v/>
      </c>
      <c r="T601" t="str">
        <f t="array" ref="T601">IF($A601="","",INDEX(JupData!$A$2:$K$10000,MATCH($A601&amp;T$1,JupData!$A$2:$A$10000&amp;JupData!$J$2:$J$10000,0),11))</f>
        <v/>
      </c>
      <c r="U601" t="str">
        <f t="array" ref="U601">IF($A601="","",INDEX(JupData!$A$2:$K$10000,MATCH($A601&amp;U$1,JupData!$A$2:$A$10000&amp;JupData!$J$2:$J$10000,0),11))</f>
        <v/>
      </c>
      <c r="V601" t="str">
        <f t="array" ref="V601">IF($A601="","",INDEX(JupData!$A$2:$K$10000,MATCH($A601&amp;V$1,JupData!$A$2:$A$10000&amp;JupData!$J$2:$J$10000,0),11))</f>
        <v/>
      </c>
      <c r="W601" t="str">
        <f t="array" ref="W601">IF($A601="","",INDEX(JupData!$A$2:$K$10000,MATCH($A601&amp;W$1,JupData!$A$2:$A$10000&amp;JupData!$J$2:$J$10000,0),11))</f>
        <v/>
      </c>
      <c r="X601" t="str">
        <f t="array" ref="X601">IF($A601="","",INDEX(JupData!$A$2:$K$10000,MATCH($A601&amp;X$1,JupData!$A$2:$A$10000&amp;JupData!$J$2:$J$10000,0),11))</f>
        <v/>
      </c>
      <c r="Y601" t="str">
        <f t="array" ref="Y601">IF($A601="","",INDEX(JupData!$A$2:$K$10000,MATCH($A601&amp;Y$1,JupData!$A$2:$A$10000&amp;JupData!$J$2:$J$10000,0),11))</f>
        <v/>
      </c>
      <c r="Z601" t="str">
        <f t="array" ref="Z601">IF($A601="","",INDEX(JupData!$A$2:$K$10000,MATCH($A601&amp;Z$1,JupData!$A$2:$A$10000&amp;JupData!$J$2:$J$10000,0),11))</f>
        <v/>
      </c>
      <c r="AA601" t="str">
        <f t="array" ref="AA601">IF($A601="","",INDEX(JupData!$A$2:$K$10000,MATCH($A601&amp;AA$1,JupData!$A$2:$A$10000&amp;JupData!$J$2:$J$10000,0),11))</f>
        <v/>
      </c>
      <c r="AB601" t="str">
        <f t="array" ref="AB601">IF($A601="","",INDEX(JupData!$A$2:$K$10000,MATCH($A601&amp;AB$1,JupData!$A$2:$A$10000&amp;JupData!$J$2:$J$10000,0),11))</f>
        <v/>
      </c>
      <c r="AC601" s="10" t="str">
        <f t="shared" si="99"/>
        <v/>
      </c>
      <c r="AD601" s="10" t="str">
        <f t="shared" si="100"/>
        <v/>
      </c>
      <c r="AE601" s="9" t="str">
        <f t="shared" si="101"/>
        <v/>
      </c>
      <c r="AF601" s="10" t="str">
        <f t="shared" si="102"/>
        <v/>
      </c>
      <c r="AG601" s="10" t="str">
        <f t="shared" si="103"/>
        <v/>
      </c>
      <c r="AH601" s="10" t="str">
        <f t="shared" si="104"/>
        <v/>
      </c>
      <c r="AI601" s="10" t="str">
        <f t="shared" si="105"/>
        <v/>
      </c>
      <c r="AJ601" s="10" t="str">
        <f t="shared" si="106"/>
        <v/>
      </c>
      <c r="AK601" s="10" t="str">
        <f t="shared" si="107"/>
        <v/>
      </c>
      <c r="AL601" s="14" t="str">
        <f t="shared" si="108"/>
        <v/>
      </c>
    </row>
    <row r="602" spans="1:38" x14ac:dyDescent="0.2">
      <c r="A602"/>
      <c r="B602" t="str">
        <f>IF($A602="","",VLOOKUP($A602,JupData!$A$2:$I$10000,4,FALSE))</f>
        <v/>
      </c>
      <c r="C602" s="7" t="str">
        <f>IF($A602="",IF(N(D602),0,""),VLOOKUP($A602,JupData!$A$2:$I$10000,7,FALSE))</f>
        <v/>
      </c>
      <c r="D602" t="str">
        <f t="shared" si="109"/>
        <v/>
      </c>
      <c r="E602" t="str">
        <f t="array" ref="E602">IF($A602="","",INDEX(JupData!$A$2:$K$10000,MATCH($A602&amp;E$1,JupData!$A$2:$A$10000&amp;JupData!$J$2:$J$10000,0),11))</f>
        <v/>
      </c>
      <c r="F602" t="str">
        <f t="array" ref="F602">IF($A602="","",INDEX(JupData!$A$2:$K$10000,MATCH($A602&amp;F$1,JupData!$A$2:$A$10000&amp;JupData!$J$2:$J$10000,0),11))</f>
        <v/>
      </c>
      <c r="G602" t="str">
        <f t="array" ref="G602">IF($A602="","",INDEX(JupData!$A$2:$K$10000,MATCH($A602&amp;G$1,JupData!$A$2:$A$10000&amp;JupData!$J$2:$J$10000,0),11))</f>
        <v/>
      </c>
      <c r="H602" t="str">
        <f t="array" ref="H602">IF($A602="","",INDEX(JupData!$A$2:$K$10000,MATCH($A602&amp;H$1,JupData!$A$2:$A$10000&amp;JupData!$J$2:$J$10000,0),11))</f>
        <v/>
      </c>
      <c r="I602" t="str">
        <f t="array" ref="I602">IF($A602="","",INDEX(JupData!$A$2:$K$10000,MATCH($A602&amp;I$1,JupData!$A$2:$A$10000&amp;JupData!$J$2:$J$10000,0),11))</f>
        <v/>
      </c>
      <c r="J602" t="str">
        <f t="array" ref="J602">IF($A602="","",INDEX(JupData!$A$2:$K$10000,MATCH($A602&amp;J$1,JupData!$A$2:$A$10000&amp;JupData!$J$2:$J$10000,0),11))</f>
        <v/>
      </c>
      <c r="K602" t="str">
        <f t="array" ref="K602">IF($A602="","",INDEX(JupData!$A$2:$K$10000,MATCH($A602&amp;K$1,JupData!$A$2:$A$10000&amp;JupData!$J$2:$J$10000,0),11))</f>
        <v/>
      </c>
      <c r="L602" t="str">
        <f t="array" ref="L602">IF($A602="","",INDEX(JupData!$A$2:$K$10000,MATCH($A602&amp;L$1,JupData!$A$2:$A$10000&amp;JupData!$J$2:$J$10000,0),11))</f>
        <v/>
      </c>
      <c r="M602" t="str">
        <f t="array" ref="M602">IF($A602="","",INDEX(JupData!$A$2:$K$10000,MATCH($A602&amp;M$1,JupData!$A$2:$A$10000&amp;JupData!$J$2:$J$10000,0),11))</f>
        <v/>
      </c>
      <c r="N602" t="str">
        <f t="array" ref="N602">IF($A602="","",INDEX(JupData!$A$2:$K$10000,MATCH($A602&amp;N$1,JupData!$A$2:$A$10000&amp;JupData!$J$2:$J$10000,0),11))</f>
        <v/>
      </c>
      <c r="O602" t="str">
        <f t="array" ref="O602">IF($A602="","",INDEX(JupData!$A$2:$K$10000,MATCH($A602&amp;O$1,JupData!$A$2:$A$10000&amp;JupData!$J$2:$J$10000,0),11))</f>
        <v/>
      </c>
      <c r="P602" t="str">
        <f t="array" ref="P602">IF($A602="","",INDEX(JupData!$A$2:$K$10000,MATCH($A602&amp;P$1,JupData!$A$2:$A$10000&amp;JupData!$J$2:$J$10000,0),11))</f>
        <v/>
      </c>
      <c r="Q602" t="str">
        <f t="array" ref="Q602">IF($A602="","",INDEX(JupData!$A$2:$K$10000,MATCH($A602&amp;Q$1,JupData!$A$2:$A$10000&amp;JupData!$J$2:$J$10000,0),11))</f>
        <v/>
      </c>
      <c r="R602" t="str">
        <f t="array" ref="R602">IF($A602="","",INDEX(JupData!$A$2:$K$10000,MATCH($A602&amp;R$1,JupData!$A$2:$A$10000&amp;JupData!$J$2:$J$10000,0),11))</f>
        <v/>
      </c>
      <c r="S602" t="str">
        <f t="array" ref="S602">IF($A602="","",INDEX(JupData!$A$2:$K$10000,MATCH($A602&amp;S$1,JupData!$A$2:$A$10000&amp;JupData!$J$2:$J$10000,0),11))</f>
        <v/>
      </c>
      <c r="T602" t="str">
        <f t="array" ref="T602">IF($A602="","",INDEX(JupData!$A$2:$K$10000,MATCH($A602&amp;T$1,JupData!$A$2:$A$10000&amp;JupData!$J$2:$J$10000,0),11))</f>
        <v/>
      </c>
      <c r="U602" t="str">
        <f t="array" ref="U602">IF($A602="","",INDEX(JupData!$A$2:$K$10000,MATCH($A602&amp;U$1,JupData!$A$2:$A$10000&amp;JupData!$J$2:$J$10000,0),11))</f>
        <v/>
      </c>
      <c r="V602" t="str">
        <f t="array" ref="V602">IF($A602="","",INDEX(JupData!$A$2:$K$10000,MATCH($A602&amp;V$1,JupData!$A$2:$A$10000&amp;JupData!$J$2:$J$10000,0),11))</f>
        <v/>
      </c>
      <c r="W602" t="str">
        <f t="array" ref="W602">IF($A602="","",INDEX(JupData!$A$2:$K$10000,MATCH($A602&amp;W$1,JupData!$A$2:$A$10000&amp;JupData!$J$2:$J$10000,0),11))</f>
        <v/>
      </c>
      <c r="X602" t="str">
        <f t="array" ref="X602">IF($A602="","",INDEX(JupData!$A$2:$K$10000,MATCH($A602&amp;X$1,JupData!$A$2:$A$10000&amp;JupData!$J$2:$J$10000,0),11))</f>
        <v/>
      </c>
      <c r="Y602" t="str">
        <f t="array" ref="Y602">IF($A602="","",INDEX(JupData!$A$2:$K$10000,MATCH($A602&amp;Y$1,JupData!$A$2:$A$10000&amp;JupData!$J$2:$J$10000,0),11))</f>
        <v/>
      </c>
      <c r="Z602" t="str">
        <f t="array" ref="Z602">IF($A602="","",INDEX(JupData!$A$2:$K$10000,MATCH($A602&amp;Z$1,JupData!$A$2:$A$10000&amp;JupData!$J$2:$J$10000,0),11))</f>
        <v/>
      </c>
      <c r="AA602" t="str">
        <f t="array" ref="AA602">IF($A602="","",INDEX(JupData!$A$2:$K$10000,MATCH($A602&amp;AA$1,JupData!$A$2:$A$10000&amp;JupData!$J$2:$J$10000,0),11))</f>
        <v/>
      </c>
      <c r="AB602" t="str">
        <f t="array" ref="AB602">IF($A602="","",INDEX(JupData!$A$2:$K$10000,MATCH($A602&amp;AB$1,JupData!$A$2:$A$10000&amp;JupData!$J$2:$J$10000,0),11))</f>
        <v/>
      </c>
      <c r="AC602" s="10" t="str">
        <f t="shared" si="99"/>
        <v/>
      </c>
      <c r="AD602" s="10" t="str">
        <f t="shared" si="100"/>
        <v/>
      </c>
      <c r="AE602" s="9" t="str">
        <f t="shared" si="101"/>
        <v/>
      </c>
      <c r="AF602" s="10" t="str">
        <f t="shared" si="102"/>
        <v/>
      </c>
      <c r="AG602" s="10" t="str">
        <f t="shared" si="103"/>
        <v/>
      </c>
      <c r="AH602" s="10" t="str">
        <f t="shared" si="104"/>
        <v/>
      </c>
      <c r="AI602" s="10" t="str">
        <f t="shared" si="105"/>
        <v/>
      </c>
      <c r="AJ602" s="10" t="str">
        <f t="shared" si="106"/>
        <v/>
      </c>
      <c r="AK602" s="10" t="str">
        <f t="shared" si="107"/>
        <v/>
      </c>
      <c r="AL602" s="14" t="str">
        <f t="shared" si="108"/>
        <v/>
      </c>
    </row>
    <row r="603" spans="1:38" x14ac:dyDescent="0.2">
      <c r="A603"/>
      <c r="B603" t="str">
        <f>IF($A603="","",VLOOKUP($A603,JupData!$A$2:$I$10000,4,FALSE))</f>
        <v/>
      </c>
      <c r="C603" s="7" t="str">
        <f>IF($A603="",IF(N(D603),0,""),VLOOKUP($A603,JupData!$A$2:$I$10000,7,FALSE))</f>
        <v/>
      </c>
      <c r="D603" t="str">
        <f t="shared" si="109"/>
        <v/>
      </c>
      <c r="E603" t="str">
        <f t="array" ref="E603">IF($A603="","",INDEX(JupData!$A$2:$K$10000,MATCH($A603&amp;E$1,JupData!$A$2:$A$10000&amp;JupData!$J$2:$J$10000,0),11))</f>
        <v/>
      </c>
      <c r="F603" t="str">
        <f t="array" ref="F603">IF($A603="","",INDEX(JupData!$A$2:$K$10000,MATCH($A603&amp;F$1,JupData!$A$2:$A$10000&amp;JupData!$J$2:$J$10000,0),11))</f>
        <v/>
      </c>
      <c r="G603" t="str">
        <f t="array" ref="G603">IF($A603="","",INDEX(JupData!$A$2:$K$10000,MATCH($A603&amp;G$1,JupData!$A$2:$A$10000&amp;JupData!$J$2:$J$10000,0),11))</f>
        <v/>
      </c>
      <c r="H603" t="str">
        <f t="array" ref="H603">IF($A603="","",INDEX(JupData!$A$2:$K$10000,MATCH($A603&amp;H$1,JupData!$A$2:$A$10000&amp;JupData!$J$2:$J$10000,0),11))</f>
        <v/>
      </c>
      <c r="I603" t="str">
        <f t="array" ref="I603">IF($A603="","",INDEX(JupData!$A$2:$K$10000,MATCH($A603&amp;I$1,JupData!$A$2:$A$10000&amp;JupData!$J$2:$J$10000,0),11))</f>
        <v/>
      </c>
      <c r="J603" t="str">
        <f t="array" ref="J603">IF($A603="","",INDEX(JupData!$A$2:$K$10000,MATCH($A603&amp;J$1,JupData!$A$2:$A$10000&amp;JupData!$J$2:$J$10000,0),11))</f>
        <v/>
      </c>
      <c r="K603" t="str">
        <f t="array" ref="K603">IF($A603="","",INDEX(JupData!$A$2:$K$10000,MATCH($A603&amp;K$1,JupData!$A$2:$A$10000&amp;JupData!$J$2:$J$10000,0),11))</f>
        <v/>
      </c>
      <c r="L603" t="str">
        <f t="array" ref="L603">IF($A603="","",INDEX(JupData!$A$2:$K$10000,MATCH($A603&amp;L$1,JupData!$A$2:$A$10000&amp;JupData!$J$2:$J$10000,0),11))</f>
        <v/>
      </c>
      <c r="M603" t="str">
        <f t="array" ref="M603">IF($A603="","",INDEX(JupData!$A$2:$K$10000,MATCH($A603&amp;M$1,JupData!$A$2:$A$10000&amp;JupData!$J$2:$J$10000,0),11))</f>
        <v/>
      </c>
      <c r="N603" t="str">
        <f t="array" ref="N603">IF($A603="","",INDEX(JupData!$A$2:$K$10000,MATCH($A603&amp;N$1,JupData!$A$2:$A$10000&amp;JupData!$J$2:$J$10000,0),11))</f>
        <v/>
      </c>
      <c r="O603" t="str">
        <f t="array" ref="O603">IF($A603="","",INDEX(JupData!$A$2:$K$10000,MATCH($A603&amp;O$1,JupData!$A$2:$A$10000&amp;JupData!$J$2:$J$10000,0),11))</f>
        <v/>
      </c>
      <c r="P603" t="str">
        <f t="array" ref="P603">IF($A603="","",INDEX(JupData!$A$2:$K$10000,MATCH($A603&amp;P$1,JupData!$A$2:$A$10000&amp;JupData!$J$2:$J$10000,0),11))</f>
        <v/>
      </c>
      <c r="Q603" t="str">
        <f t="array" ref="Q603">IF($A603="","",INDEX(JupData!$A$2:$K$10000,MATCH($A603&amp;Q$1,JupData!$A$2:$A$10000&amp;JupData!$J$2:$J$10000,0),11))</f>
        <v/>
      </c>
      <c r="R603" t="str">
        <f t="array" ref="R603">IF($A603="","",INDEX(JupData!$A$2:$K$10000,MATCH($A603&amp;R$1,JupData!$A$2:$A$10000&amp;JupData!$J$2:$J$10000,0),11))</f>
        <v/>
      </c>
      <c r="S603" t="str">
        <f t="array" ref="S603">IF($A603="","",INDEX(JupData!$A$2:$K$10000,MATCH($A603&amp;S$1,JupData!$A$2:$A$10000&amp;JupData!$J$2:$J$10000,0),11))</f>
        <v/>
      </c>
      <c r="T603" t="str">
        <f t="array" ref="T603">IF($A603="","",INDEX(JupData!$A$2:$K$10000,MATCH($A603&amp;T$1,JupData!$A$2:$A$10000&amp;JupData!$J$2:$J$10000,0),11))</f>
        <v/>
      </c>
      <c r="U603" t="str">
        <f t="array" ref="U603">IF($A603="","",INDEX(JupData!$A$2:$K$10000,MATCH($A603&amp;U$1,JupData!$A$2:$A$10000&amp;JupData!$J$2:$J$10000,0),11))</f>
        <v/>
      </c>
      <c r="V603" t="str">
        <f t="array" ref="V603">IF($A603="","",INDEX(JupData!$A$2:$K$10000,MATCH($A603&amp;V$1,JupData!$A$2:$A$10000&amp;JupData!$J$2:$J$10000,0),11))</f>
        <v/>
      </c>
      <c r="W603" t="str">
        <f t="array" ref="W603">IF($A603="","",INDEX(JupData!$A$2:$K$10000,MATCH($A603&amp;W$1,JupData!$A$2:$A$10000&amp;JupData!$J$2:$J$10000,0),11))</f>
        <v/>
      </c>
      <c r="X603" t="str">
        <f t="array" ref="X603">IF($A603="","",INDEX(JupData!$A$2:$K$10000,MATCH($A603&amp;X$1,JupData!$A$2:$A$10000&amp;JupData!$J$2:$J$10000,0),11))</f>
        <v/>
      </c>
      <c r="Y603" t="str">
        <f t="array" ref="Y603">IF($A603="","",INDEX(JupData!$A$2:$K$10000,MATCH($A603&amp;Y$1,JupData!$A$2:$A$10000&amp;JupData!$J$2:$J$10000,0),11))</f>
        <v/>
      </c>
      <c r="Z603" t="str">
        <f t="array" ref="Z603">IF($A603="","",INDEX(JupData!$A$2:$K$10000,MATCH($A603&amp;Z$1,JupData!$A$2:$A$10000&amp;JupData!$J$2:$J$10000,0),11))</f>
        <v/>
      </c>
      <c r="AA603" t="str">
        <f t="array" ref="AA603">IF($A603="","",INDEX(JupData!$A$2:$K$10000,MATCH($A603&amp;AA$1,JupData!$A$2:$A$10000&amp;JupData!$J$2:$J$10000,0),11))</f>
        <v/>
      </c>
      <c r="AB603" t="str">
        <f t="array" ref="AB603">IF($A603="","",INDEX(JupData!$A$2:$K$10000,MATCH($A603&amp;AB$1,JupData!$A$2:$A$10000&amp;JupData!$J$2:$J$10000,0),11))</f>
        <v/>
      </c>
      <c r="AC603" s="10" t="str">
        <f t="shared" si="99"/>
        <v/>
      </c>
      <c r="AD603" s="10" t="str">
        <f t="shared" si="100"/>
        <v/>
      </c>
      <c r="AE603" s="9" t="str">
        <f t="shared" si="101"/>
        <v/>
      </c>
      <c r="AF603" s="10" t="str">
        <f t="shared" si="102"/>
        <v/>
      </c>
      <c r="AG603" s="10" t="str">
        <f t="shared" si="103"/>
        <v/>
      </c>
      <c r="AH603" s="10" t="str">
        <f t="shared" si="104"/>
        <v/>
      </c>
      <c r="AI603" s="10" t="str">
        <f t="shared" si="105"/>
        <v/>
      </c>
      <c r="AJ603" s="10" t="str">
        <f t="shared" si="106"/>
        <v/>
      </c>
      <c r="AK603" s="10" t="str">
        <f t="shared" si="107"/>
        <v/>
      </c>
      <c r="AL603" s="14" t="str">
        <f t="shared" si="108"/>
        <v/>
      </c>
    </row>
    <row r="604" spans="1:38" x14ac:dyDescent="0.2">
      <c r="A604"/>
      <c r="B604" t="str">
        <f>IF($A604="","",VLOOKUP($A604,JupData!$A$2:$I$10000,4,FALSE))</f>
        <v/>
      </c>
      <c r="C604" s="7" t="str">
        <f>IF($A604="",IF(N(D604),0,""),VLOOKUP($A604,JupData!$A$2:$I$10000,7,FALSE))</f>
        <v/>
      </c>
      <c r="D604" t="str">
        <f t="shared" si="109"/>
        <v/>
      </c>
      <c r="E604" t="str">
        <f t="array" ref="E604">IF($A604="","",INDEX(JupData!$A$2:$K$10000,MATCH($A604&amp;E$1,JupData!$A$2:$A$10000&amp;JupData!$J$2:$J$10000,0),11))</f>
        <v/>
      </c>
      <c r="F604" t="str">
        <f t="array" ref="F604">IF($A604="","",INDEX(JupData!$A$2:$K$10000,MATCH($A604&amp;F$1,JupData!$A$2:$A$10000&amp;JupData!$J$2:$J$10000,0),11))</f>
        <v/>
      </c>
      <c r="G604" t="str">
        <f t="array" ref="G604">IF($A604="","",INDEX(JupData!$A$2:$K$10000,MATCH($A604&amp;G$1,JupData!$A$2:$A$10000&amp;JupData!$J$2:$J$10000,0),11))</f>
        <v/>
      </c>
      <c r="H604" t="str">
        <f t="array" ref="H604">IF($A604="","",INDEX(JupData!$A$2:$K$10000,MATCH($A604&amp;H$1,JupData!$A$2:$A$10000&amp;JupData!$J$2:$J$10000,0),11))</f>
        <v/>
      </c>
      <c r="I604" t="str">
        <f t="array" ref="I604">IF($A604="","",INDEX(JupData!$A$2:$K$10000,MATCH($A604&amp;I$1,JupData!$A$2:$A$10000&amp;JupData!$J$2:$J$10000,0),11))</f>
        <v/>
      </c>
      <c r="J604" t="str">
        <f t="array" ref="J604">IF($A604="","",INDEX(JupData!$A$2:$K$10000,MATCH($A604&amp;J$1,JupData!$A$2:$A$10000&amp;JupData!$J$2:$J$10000,0),11))</f>
        <v/>
      </c>
      <c r="K604" t="str">
        <f t="array" ref="K604">IF($A604="","",INDEX(JupData!$A$2:$K$10000,MATCH($A604&amp;K$1,JupData!$A$2:$A$10000&amp;JupData!$J$2:$J$10000,0),11))</f>
        <v/>
      </c>
      <c r="L604" t="str">
        <f t="array" ref="L604">IF($A604="","",INDEX(JupData!$A$2:$K$10000,MATCH($A604&amp;L$1,JupData!$A$2:$A$10000&amp;JupData!$J$2:$J$10000,0),11))</f>
        <v/>
      </c>
      <c r="M604" t="str">
        <f t="array" ref="M604">IF($A604="","",INDEX(JupData!$A$2:$K$10000,MATCH($A604&amp;M$1,JupData!$A$2:$A$10000&amp;JupData!$J$2:$J$10000,0),11))</f>
        <v/>
      </c>
      <c r="N604" t="str">
        <f t="array" ref="N604">IF($A604="","",INDEX(JupData!$A$2:$K$10000,MATCH($A604&amp;N$1,JupData!$A$2:$A$10000&amp;JupData!$J$2:$J$10000,0),11))</f>
        <v/>
      </c>
      <c r="O604" t="str">
        <f t="array" ref="O604">IF($A604="","",INDEX(JupData!$A$2:$K$10000,MATCH($A604&amp;O$1,JupData!$A$2:$A$10000&amp;JupData!$J$2:$J$10000,0),11))</f>
        <v/>
      </c>
      <c r="P604" t="str">
        <f t="array" ref="P604">IF($A604="","",INDEX(JupData!$A$2:$K$10000,MATCH($A604&amp;P$1,JupData!$A$2:$A$10000&amp;JupData!$J$2:$J$10000,0),11))</f>
        <v/>
      </c>
      <c r="Q604" t="str">
        <f t="array" ref="Q604">IF($A604="","",INDEX(JupData!$A$2:$K$10000,MATCH($A604&amp;Q$1,JupData!$A$2:$A$10000&amp;JupData!$J$2:$J$10000,0),11))</f>
        <v/>
      </c>
      <c r="R604" t="str">
        <f t="array" ref="R604">IF($A604="","",INDEX(JupData!$A$2:$K$10000,MATCH($A604&amp;R$1,JupData!$A$2:$A$10000&amp;JupData!$J$2:$J$10000,0),11))</f>
        <v/>
      </c>
      <c r="S604" t="str">
        <f t="array" ref="S604">IF($A604="","",INDEX(JupData!$A$2:$K$10000,MATCH($A604&amp;S$1,JupData!$A$2:$A$10000&amp;JupData!$J$2:$J$10000,0),11))</f>
        <v/>
      </c>
      <c r="T604" t="str">
        <f t="array" ref="T604">IF($A604="","",INDEX(JupData!$A$2:$K$10000,MATCH($A604&amp;T$1,JupData!$A$2:$A$10000&amp;JupData!$J$2:$J$10000,0),11))</f>
        <v/>
      </c>
      <c r="U604" t="str">
        <f t="array" ref="U604">IF($A604="","",INDEX(JupData!$A$2:$K$10000,MATCH($A604&amp;U$1,JupData!$A$2:$A$10000&amp;JupData!$J$2:$J$10000,0),11))</f>
        <v/>
      </c>
      <c r="V604" t="str">
        <f t="array" ref="V604">IF($A604="","",INDEX(JupData!$A$2:$K$10000,MATCH($A604&amp;V$1,JupData!$A$2:$A$10000&amp;JupData!$J$2:$J$10000,0),11))</f>
        <v/>
      </c>
      <c r="W604" t="str">
        <f t="array" ref="W604">IF($A604="","",INDEX(JupData!$A$2:$K$10000,MATCH($A604&amp;W$1,JupData!$A$2:$A$10000&amp;JupData!$J$2:$J$10000,0),11))</f>
        <v/>
      </c>
      <c r="X604" t="str">
        <f t="array" ref="X604">IF($A604="","",INDEX(JupData!$A$2:$K$10000,MATCH($A604&amp;X$1,JupData!$A$2:$A$10000&amp;JupData!$J$2:$J$10000,0),11))</f>
        <v/>
      </c>
      <c r="Y604" t="str">
        <f t="array" ref="Y604">IF($A604="","",INDEX(JupData!$A$2:$K$10000,MATCH($A604&amp;Y$1,JupData!$A$2:$A$10000&amp;JupData!$J$2:$J$10000,0),11))</f>
        <v/>
      </c>
      <c r="Z604" t="str">
        <f t="array" ref="Z604">IF($A604="","",INDEX(JupData!$A$2:$K$10000,MATCH($A604&amp;Z$1,JupData!$A$2:$A$10000&amp;JupData!$J$2:$J$10000,0),11))</f>
        <v/>
      </c>
      <c r="AA604" t="str">
        <f t="array" ref="AA604">IF($A604="","",INDEX(JupData!$A$2:$K$10000,MATCH($A604&amp;AA$1,JupData!$A$2:$A$10000&amp;JupData!$J$2:$J$10000,0),11))</f>
        <v/>
      </c>
      <c r="AB604" t="str">
        <f t="array" ref="AB604">IF($A604="","",INDEX(JupData!$A$2:$K$10000,MATCH($A604&amp;AB$1,JupData!$A$2:$A$10000&amp;JupData!$J$2:$J$10000,0),11))</f>
        <v/>
      </c>
      <c r="AC604" s="10" t="str">
        <f t="shared" si="99"/>
        <v/>
      </c>
      <c r="AD604" s="10" t="str">
        <f t="shared" si="100"/>
        <v/>
      </c>
      <c r="AE604" s="9" t="str">
        <f t="shared" si="101"/>
        <v/>
      </c>
      <c r="AF604" s="10" t="str">
        <f t="shared" si="102"/>
        <v/>
      </c>
      <c r="AG604" s="10" t="str">
        <f t="shared" si="103"/>
        <v/>
      </c>
      <c r="AH604" s="10" t="str">
        <f t="shared" si="104"/>
        <v/>
      </c>
      <c r="AI604" s="10" t="str">
        <f t="shared" si="105"/>
        <v/>
      </c>
      <c r="AJ604" s="10" t="str">
        <f t="shared" si="106"/>
        <v/>
      </c>
      <c r="AK604" s="10" t="str">
        <f t="shared" si="107"/>
        <v/>
      </c>
      <c r="AL604" s="14" t="str">
        <f t="shared" si="108"/>
        <v/>
      </c>
    </row>
    <row r="605" spans="1:38" x14ac:dyDescent="0.2">
      <c r="A605"/>
      <c r="B605" t="str">
        <f>IF($A605="","",VLOOKUP($A605,JupData!$A$2:$I$10000,4,FALSE))</f>
        <v/>
      </c>
      <c r="C605" s="7" t="str">
        <f>IF($A605="",IF(N(D605),0,""),VLOOKUP($A605,JupData!$A$2:$I$10000,7,FALSE))</f>
        <v/>
      </c>
      <c r="D605" t="str">
        <f t="shared" si="109"/>
        <v/>
      </c>
      <c r="E605" t="str">
        <f t="array" ref="E605">IF($A605="","",INDEX(JupData!$A$2:$K$10000,MATCH($A605&amp;E$1,JupData!$A$2:$A$10000&amp;JupData!$J$2:$J$10000,0),11))</f>
        <v/>
      </c>
      <c r="F605" t="str">
        <f t="array" ref="F605">IF($A605="","",INDEX(JupData!$A$2:$K$10000,MATCH($A605&amp;F$1,JupData!$A$2:$A$10000&amp;JupData!$J$2:$J$10000,0),11))</f>
        <v/>
      </c>
      <c r="G605" t="str">
        <f t="array" ref="G605">IF($A605="","",INDEX(JupData!$A$2:$K$10000,MATCH($A605&amp;G$1,JupData!$A$2:$A$10000&amp;JupData!$J$2:$J$10000,0),11))</f>
        <v/>
      </c>
      <c r="H605" t="str">
        <f t="array" ref="H605">IF($A605="","",INDEX(JupData!$A$2:$K$10000,MATCH($A605&amp;H$1,JupData!$A$2:$A$10000&amp;JupData!$J$2:$J$10000,0),11))</f>
        <v/>
      </c>
      <c r="I605" t="str">
        <f t="array" ref="I605">IF($A605="","",INDEX(JupData!$A$2:$K$10000,MATCH($A605&amp;I$1,JupData!$A$2:$A$10000&amp;JupData!$J$2:$J$10000,0),11))</f>
        <v/>
      </c>
      <c r="J605" t="str">
        <f t="array" ref="J605">IF($A605="","",INDEX(JupData!$A$2:$K$10000,MATCH($A605&amp;J$1,JupData!$A$2:$A$10000&amp;JupData!$J$2:$J$10000,0),11))</f>
        <v/>
      </c>
      <c r="K605" t="str">
        <f t="array" ref="K605">IF($A605="","",INDEX(JupData!$A$2:$K$10000,MATCH($A605&amp;K$1,JupData!$A$2:$A$10000&amp;JupData!$J$2:$J$10000,0),11))</f>
        <v/>
      </c>
      <c r="L605" t="str">
        <f t="array" ref="L605">IF($A605="","",INDEX(JupData!$A$2:$K$10000,MATCH($A605&amp;L$1,JupData!$A$2:$A$10000&amp;JupData!$J$2:$J$10000,0),11))</f>
        <v/>
      </c>
      <c r="M605" t="str">
        <f t="array" ref="M605">IF($A605="","",INDEX(JupData!$A$2:$K$10000,MATCH($A605&amp;M$1,JupData!$A$2:$A$10000&amp;JupData!$J$2:$J$10000,0),11))</f>
        <v/>
      </c>
      <c r="N605" t="str">
        <f t="array" ref="N605">IF($A605="","",INDEX(JupData!$A$2:$K$10000,MATCH($A605&amp;N$1,JupData!$A$2:$A$10000&amp;JupData!$J$2:$J$10000,0),11))</f>
        <v/>
      </c>
      <c r="O605" t="str">
        <f t="array" ref="O605">IF($A605="","",INDEX(JupData!$A$2:$K$10000,MATCH($A605&amp;O$1,JupData!$A$2:$A$10000&amp;JupData!$J$2:$J$10000,0),11))</f>
        <v/>
      </c>
      <c r="P605" t="str">
        <f t="array" ref="P605">IF($A605="","",INDEX(JupData!$A$2:$K$10000,MATCH($A605&amp;P$1,JupData!$A$2:$A$10000&amp;JupData!$J$2:$J$10000,0),11))</f>
        <v/>
      </c>
      <c r="Q605" t="str">
        <f t="array" ref="Q605">IF($A605="","",INDEX(JupData!$A$2:$K$10000,MATCH($A605&amp;Q$1,JupData!$A$2:$A$10000&amp;JupData!$J$2:$J$10000,0),11))</f>
        <v/>
      </c>
      <c r="R605" t="str">
        <f t="array" ref="R605">IF($A605="","",INDEX(JupData!$A$2:$K$10000,MATCH($A605&amp;R$1,JupData!$A$2:$A$10000&amp;JupData!$J$2:$J$10000,0),11))</f>
        <v/>
      </c>
      <c r="S605" t="str">
        <f t="array" ref="S605">IF($A605="","",INDEX(JupData!$A$2:$K$10000,MATCH($A605&amp;S$1,JupData!$A$2:$A$10000&amp;JupData!$J$2:$J$10000,0),11))</f>
        <v/>
      </c>
      <c r="T605" t="str">
        <f t="array" ref="T605">IF($A605="","",INDEX(JupData!$A$2:$K$10000,MATCH($A605&amp;T$1,JupData!$A$2:$A$10000&amp;JupData!$J$2:$J$10000,0),11))</f>
        <v/>
      </c>
      <c r="U605" t="str">
        <f t="array" ref="U605">IF($A605="","",INDEX(JupData!$A$2:$K$10000,MATCH($A605&amp;U$1,JupData!$A$2:$A$10000&amp;JupData!$J$2:$J$10000,0),11))</f>
        <v/>
      </c>
      <c r="V605" t="str">
        <f t="array" ref="V605">IF($A605="","",INDEX(JupData!$A$2:$K$10000,MATCH($A605&amp;V$1,JupData!$A$2:$A$10000&amp;JupData!$J$2:$J$10000,0),11))</f>
        <v/>
      </c>
      <c r="W605" t="str">
        <f t="array" ref="W605">IF($A605="","",INDEX(JupData!$A$2:$K$10000,MATCH($A605&amp;W$1,JupData!$A$2:$A$10000&amp;JupData!$J$2:$J$10000,0),11))</f>
        <v/>
      </c>
      <c r="X605" t="str">
        <f t="array" ref="X605">IF($A605="","",INDEX(JupData!$A$2:$K$10000,MATCH($A605&amp;X$1,JupData!$A$2:$A$10000&amp;JupData!$J$2:$J$10000,0),11))</f>
        <v/>
      </c>
      <c r="Y605" t="str">
        <f t="array" ref="Y605">IF($A605="","",INDEX(JupData!$A$2:$K$10000,MATCH($A605&amp;Y$1,JupData!$A$2:$A$10000&amp;JupData!$J$2:$J$10000,0),11))</f>
        <v/>
      </c>
      <c r="Z605" t="str">
        <f t="array" ref="Z605">IF($A605="","",INDEX(JupData!$A$2:$K$10000,MATCH($A605&amp;Z$1,JupData!$A$2:$A$10000&amp;JupData!$J$2:$J$10000,0),11))</f>
        <v/>
      </c>
      <c r="AA605" t="str">
        <f t="array" ref="AA605">IF($A605="","",INDEX(JupData!$A$2:$K$10000,MATCH($A605&amp;AA$1,JupData!$A$2:$A$10000&amp;JupData!$J$2:$J$10000,0),11))</f>
        <v/>
      </c>
      <c r="AB605" t="str">
        <f t="array" ref="AB605">IF($A605="","",INDEX(JupData!$A$2:$K$10000,MATCH($A605&amp;AB$1,JupData!$A$2:$A$10000&amp;JupData!$J$2:$J$10000,0),11))</f>
        <v/>
      </c>
      <c r="AC605" s="10" t="str">
        <f t="shared" si="99"/>
        <v/>
      </c>
      <c r="AD605" s="10" t="str">
        <f t="shared" si="100"/>
        <v/>
      </c>
      <c r="AE605" s="9" t="str">
        <f t="shared" si="101"/>
        <v/>
      </c>
      <c r="AF605" s="10" t="str">
        <f t="shared" si="102"/>
        <v/>
      </c>
      <c r="AG605" s="10" t="str">
        <f t="shared" si="103"/>
        <v/>
      </c>
      <c r="AH605" s="10" t="str">
        <f t="shared" si="104"/>
        <v/>
      </c>
      <c r="AI605" s="10" t="str">
        <f t="shared" si="105"/>
        <v/>
      </c>
      <c r="AJ605" s="10" t="str">
        <f t="shared" si="106"/>
        <v/>
      </c>
      <c r="AK605" s="10" t="str">
        <f t="shared" si="107"/>
        <v/>
      </c>
      <c r="AL605" s="14" t="str">
        <f t="shared" si="108"/>
        <v/>
      </c>
    </row>
    <row r="606" spans="1:38" x14ac:dyDescent="0.2">
      <c r="A606"/>
      <c r="B606" t="str">
        <f>IF($A606="","",VLOOKUP($A606,JupData!$A$2:$I$10000,4,FALSE))</f>
        <v/>
      </c>
      <c r="C606" s="7" t="str">
        <f>IF($A606="",IF(N(D606),0,""),VLOOKUP($A606,JupData!$A$2:$I$10000,7,FALSE))</f>
        <v/>
      </c>
      <c r="D606" t="str">
        <f t="shared" si="109"/>
        <v/>
      </c>
      <c r="E606" t="str">
        <f t="array" ref="E606">IF($A606="","",INDEX(JupData!$A$2:$K$10000,MATCH($A606&amp;E$1,JupData!$A$2:$A$10000&amp;JupData!$J$2:$J$10000,0),11))</f>
        <v/>
      </c>
      <c r="F606" t="str">
        <f t="array" ref="F606">IF($A606="","",INDEX(JupData!$A$2:$K$10000,MATCH($A606&amp;F$1,JupData!$A$2:$A$10000&amp;JupData!$J$2:$J$10000,0),11))</f>
        <v/>
      </c>
      <c r="G606" t="str">
        <f t="array" ref="G606">IF($A606="","",INDEX(JupData!$A$2:$K$10000,MATCH($A606&amp;G$1,JupData!$A$2:$A$10000&amp;JupData!$J$2:$J$10000,0),11))</f>
        <v/>
      </c>
      <c r="H606" t="str">
        <f t="array" ref="H606">IF($A606="","",INDEX(JupData!$A$2:$K$10000,MATCH($A606&amp;H$1,JupData!$A$2:$A$10000&amp;JupData!$J$2:$J$10000,0),11))</f>
        <v/>
      </c>
      <c r="I606" t="str">
        <f t="array" ref="I606">IF($A606="","",INDEX(JupData!$A$2:$K$10000,MATCH($A606&amp;I$1,JupData!$A$2:$A$10000&amp;JupData!$J$2:$J$10000,0),11))</f>
        <v/>
      </c>
      <c r="J606" t="str">
        <f t="array" ref="J606">IF($A606="","",INDEX(JupData!$A$2:$K$10000,MATCH($A606&amp;J$1,JupData!$A$2:$A$10000&amp;JupData!$J$2:$J$10000,0),11))</f>
        <v/>
      </c>
      <c r="K606" t="str">
        <f t="array" ref="K606">IF($A606="","",INDEX(JupData!$A$2:$K$10000,MATCH($A606&amp;K$1,JupData!$A$2:$A$10000&amp;JupData!$J$2:$J$10000,0),11))</f>
        <v/>
      </c>
      <c r="L606" t="str">
        <f t="array" ref="L606">IF($A606="","",INDEX(JupData!$A$2:$K$10000,MATCH($A606&amp;L$1,JupData!$A$2:$A$10000&amp;JupData!$J$2:$J$10000,0),11))</f>
        <v/>
      </c>
      <c r="M606" t="str">
        <f t="array" ref="M606">IF($A606="","",INDEX(JupData!$A$2:$K$10000,MATCH($A606&amp;M$1,JupData!$A$2:$A$10000&amp;JupData!$J$2:$J$10000,0),11))</f>
        <v/>
      </c>
      <c r="N606" t="str">
        <f t="array" ref="N606">IF($A606="","",INDEX(JupData!$A$2:$K$10000,MATCH($A606&amp;N$1,JupData!$A$2:$A$10000&amp;JupData!$J$2:$J$10000,0),11))</f>
        <v/>
      </c>
      <c r="O606" t="str">
        <f t="array" ref="O606">IF($A606="","",INDEX(JupData!$A$2:$K$10000,MATCH($A606&amp;O$1,JupData!$A$2:$A$10000&amp;JupData!$J$2:$J$10000,0),11))</f>
        <v/>
      </c>
      <c r="P606" t="str">
        <f t="array" ref="P606">IF($A606="","",INDEX(JupData!$A$2:$K$10000,MATCH($A606&amp;P$1,JupData!$A$2:$A$10000&amp;JupData!$J$2:$J$10000,0),11))</f>
        <v/>
      </c>
      <c r="Q606" t="str">
        <f t="array" ref="Q606">IF($A606="","",INDEX(JupData!$A$2:$K$10000,MATCH($A606&amp;Q$1,JupData!$A$2:$A$10000&amp;JupData!$J$2:$J$10000,0),11))</f>
        <v/>
      </c>
      <c r="R606" t="str">
        <f t="array" ref="R606">IF($A606="","",INDEX(JupData!$A$2:$K$10000,MATCH($A606&amp;R$1,JupData!$A$2:$A$10000&amp;JupData!$J$2:$J$10000,0),11))</f>
        <v/>
      </c>
      <c r="S606" t="str">
        <f t="array" ref="S606">IF($A606="","",INDEX(JupData!$A$2:$K$10000,MATCH($A606&amp;S$1,JupData!$A$2:$A$10000&amp;JupData!$J$2:$J$10000,0),11))</f>
        <v/>
      </c>
      <c r="T606" t="str">
        <f t="array" ref="T606">IF($A606="","",INDEX(JupData!$A$2:$K$10000,MATCH($A606&amp;T$1,JupData!$A$2:$A$10000&amp;JupData!$J$2:$J$10000,0),11))</f>
        <v/>
      </c>
      <c r="U606" t="str">
        <f t="array" ref="U606">IF($A606="","",INDEX(JupData!$A$2:$K$10000,MATCH($A606&amp;U$1,JupData!$A$2:$A$10000&amp;JupData!$J$2:$J$10000,0),11))</f>
        <v/>
      </c>
      <c r="V606" t="str">
        <f t="array" ref="V606">IF($A606="","",INDEX(JupData!$A$2:$K$10000,MATCH($A606&amp;V$1,JupData!$A$2:$A$10000&amp;JupData!$J$2:$J$10000,0),11))</f>
        <v/>
      </c>
      <c r="W606" t="str">
        <f t="array" ref="W606">IF($A606="","",INDEX(JupData!$A$2:$K$10000,MATCH($A606&amp;W$1,JupData!$A$2:$A$10000&amp;JupData!$J$2:$J$10000,0),11))</f>
        <v/>
      </c>
      <c r="X606" t="str">
        <f t="array" ref="X606">IF($A606="","",INDEX(JupData!$A$2:$K$10000,MATCH($A606&amp;X$1,JupData!$A$2:$A$10000&amp;JupData!$J$2:$J$10000,0),11))</f>
        <v/>
      </c>
      <c r="Y606" t="str">
        <f t="array" ref="Y606">IF($A606="","",INDEX(JupData!$A$2:$K$10000,MATCH($A606&amp;Y$1,JupData!$A$2:$A$10000&amp;JupData!$J$2:$J$10000,0),11))</f>
        <v/>
      </c>
      <c r="Z606" t="str">
        <f t="array" ref="Z606">IF($A606="","",INDEX(JupData!$A$2:$K$10000,MATCH($A606&amp;Z$1,JupData!$A$2:$A$10000&amp;JupData!$J$2:$J$10000,0),11))</f>
        <v/>
      </c>
      <c r="AA606" t="str">
        <f t="array" ref="AA606">IF($A606="","",INDEX(JupData!$A$2:$K$10000,MATCH($A606&amp;AA$1,JupData!$A$2:$A$10000&amp;JupData!$J$2:$J$10000,0),11))</f>
        <v/>
      </c>
      <c r="AB606" t="str">
        <f t="array" ref="AB606">IF($A606="","",INDEX(JupData!$A$2:$K$10000,MATCH($A606&amp;AB$1,JupData!$A$2:$A$10000&amp;JupData!$J$2:$J$10000,0),11))</f>
        <v/>
      </c>
      <c r="AC606" s="10" t="str">
        <f t="shared" si="99"/>
        <v/>
      </c>
      <c r="AD606" s="10" t="str">
        <f t="shared" si="100"/>
        <v/>
      </c>
      <c r="AE606" s="9" t="str">
        <f t="shared" si="101"/>
        <v/>
      </c>
      <c r="AF606" s="10" t="str">
        <f t="shared" si="102"/>
        <v/>
      </c>
      <c r="AG606" s="10" t="str">
        <f t="shared" si="103"/>
        <v/>
      </c>
      <c r="AH606" s="10" t="str">
        <f t="shared" si="104"/>
        <v/>
      </c>
      <c r="AI606" s="10" t="str">
        <f t="shared" si="105"/>
        <v/>
      </c>
      <c r="AJ606" s="10" t="str">
        <f t="shared" si="106"/>
        <v/>
      </c>
      <c r="AK606" s="10" t="str">
        <f t="shared" si="107"/>
        <v/>
      </c>
      <c r="AL606" s="14" t="str">
        <f t="shared" si="108"/>
        <v/>
      </c>
    </row>
    <row r="607" spans="1:38" x14ac:dyDescent="0.2">
      <c r="A607"/>
      <c r="B607" t="str">
        <f>IF($A607="","",VLOOKUP($A607,JupData!$A$2:$I$10000,4,FALSE))</f>
        <v/>
      </c>
      <c r="C607" s="7" t="str">
        <f>IF($A607="",IF(N(D607),0,""),VLOOKUP($A607,JupData!$A$2:$I$10000,7,FALSE))</f>
        <v/>
      </c>
      <c r="D607" t="str">
        <f t="shared" si="109"/>
        <v/>
      </c>
      <c r="E607" t="str">
        <f t="array" ref="E607">IF($A607="","",INDEX(JupData!$A$2:$K$10000,MATCH($A607&amp;E$1,JupData!$A$2:$A$10000&amp;JupData!$J$2:$J$10000,0),11))</f>
        <v/>
      </c>
      <c r="F607" t="str">
        <f t="array" ref="F607">IF($A607="","",INDEX(JupData!$A$2:$K$10000,MATCH($A607&amp;F$1,JupData!$A$2:$A$10000&amp;JupData!$J$2:$J$10000,0),11))</f>
        <v/>
      </c>
      <c r="G607" t="str">
        <f t="array" ref="G607">IF($A607="","",INDEX(JupData!$A$2:$K$10000,MATCH($A607&amp;G$1,JupData!$A$2:$A$10000&amp;JupData!$J$2:$J$10000,0),11))</f>
        <v/>
      </c>
      <c r="H607" t="str">
        <f t="array" ref="H607">IF($A607="","",INDEX(JupData!$A$2:$K$10000,MATCH($A607&amp;H$1,JupData!$A$2:$A$10000&amp;JupData!$J$2:$J$10000,0),11))</f>
        <v/>
      </c>
      <c r="I607" t="str">
        <f t="array" ref="I607">IF($A607="","",INDEX(JupData!$A$2:$K$10000,MATCH($A607&amp;I$1,JupData!$A$2:$A$10000&amp;JupData!$J$2:$J$10000,0),11))</f>
        <v/>
      </c>
      <c r="J607" t="str">
        <f t="array" ref="J607">IF($A607="","",INDEX(JupData!$A$2:$K$10000,MATCH($A607&amp;J$1,JupData!$A$2:$A$10000&amp;JupData!$J$2:$J$10000,0),11))</f>
        <v/>
      </c>
      <c r="K607" t="str">
        <f t="array" ref="K607">IF($A607="","",INDEX(JupData!$A$2:$K$10000,MATCH($A607&amp;K$1,JupData!$A$2:$A$10000&amp;JupData!$J$2:$J$10000,0),11))</f>
        <v/>
      </c>
      <c r="L607" t="str">
        <f t="array" ref="L607">IF($A607="","",INDEX(JupData!$A$2:$K$10000,MATCH($A607&amp;L$1,JupData!$A$2:$A$10000&amp;JupData!$J$2:$J$10000,0),11))</f>
        <v/>
      </c>
      <c r="M607" t="str">
        <f t="array" ref="M607">IF($A607="","",INDEX(JupData!$A$2:$K$10000,MATCH($A607&amp;M$1,JupData!$A$2:$A$10000&amp;JupData!$J$2:$J$10000,0),11))</f>
        <v/>
      </c>
      <c r="N607" t="str">
        <f t="array" ref="N607">IF($A607="","",INDEX(JupData!$A$2:$K$10000,MATCH($A607&amp;N$1,JupData!$A$2:$A$10000&amp;JupData!$J$2:$J$10000,0),11))</f>
        <v/>
      </c>
      <c r="O607" t="str">
        <f t="array" ref="O607">IF($A607="","",INDEX(JupData!$A$2:$K$10000,MATCH($A607&amp;O$1,JupData!$A$2:$A$10000&amp;JupData!$J$2:$J$10000,0),11))</f>
        <v/>
      </c>
      <c r="P607" t="str">
        <f t="array" ref="P607">IF($A607="","",INDEX(JupData!$A$2:$K$10000,MATCH($A607&amp;P$1,JupData!$A$2:$A$10000&amp;JupData!$J$2:$J$10000,0),11))</f>
        <v/>
      </c>
      <c r="Q607" t="str">
        <f t="array" ref="Q607">IF($A607="","",INDEX(JupData!$A$2:$K$10000,MATCH($A607&amp;Q$1,JupData!$A$2:$A$10000&amp;JupData!$J$2:$J$10000,0),11))</f>
        <v/>
      </c>
      <c r="R607" t="str">
        <f t="array" ref="R607">IF($A607="","",INDEX(JupData!$A$2:$K$10000,MATCH($A607&amp;R$1,JupData!$A$2:$A$10000&amp;JupData!$J$2:$J$10000,0),11))</f>
        <v/>
      </c>
      <c r="S607" t="str">
        <f t="array" ref="S607">IF($A607="","",INDEX(JupData!$A$2:$K$10000,MATCH($A607&amp;S$1,JupData!$A$2:$A$10000&amp;JupData!$J$2:$J$10000,0),11))</f>
        <v/>
      </c>
      <c r="T607" t="str">
        <f t="array" ref="T607">IF($A607="","",INDEX(JupData!$A$2:$K$10000,MATCH($A607&amp;T$1,JupData!$A$2:$A$10000&amp;JupData!$J$2:$J$10000,0),11))</f>
        <v/>
      </c>
      <c r="U607" t="str">
        <f t="array" ref="U607">IF($A607="","",INDEX(JupData!$A$2:$K$10000,MATCH($A607&amp;U$1,JupData!$A$2:$A$10000&amp;JupData!$J$2:$J$10000,0),11))</f>
        <v/>
      </c>
      <c r="V607" t="str">
        <f t="array" ref="V607">IF($A607="","",INDEX(JupData!$A$2:$K$10000,MATCH($A607&amp;V$1,JupData!$A$2:$A$10000&amp;JupData!$J$2:$J$10000,0),11))</f>
        <v/>
      </c>
      <c r="W607" t="str">
        <f t="array" ref="W607">IF($A607="","",INDEX(JupData!$A$2:$K$10000,MATCH($A607&amp;W$1,JupData!$A$2:$A$10000&amp;JupData!$J$2:$J$10000,0),11))</f>
        <v/>
      </c>
      <c r="X607" t="str">
        <f t="array" ref="X607">IF($A607="","",INDEX(JupData!$A$2:$K$10000,MATCH($A607&amp;X$1,JupData!$A$2:$A$10000&amp;JupData!$J$2:$J$10000,0),11))</f>
        <v/>
      </c>
      <c r="Y607" t="str">
        <f t="array" ref="Y607">IF($A607="","",INDEX(JupData!$A$2:$K$10000,MATCH($A607&amp;Y$1,JupData!$A$2:$A$10000&amp;JupData!$J$2:$J$10000,0),11))</f>
        <v/>
      </c>
      <c r="Z607" t="str">
        <f t="array" ref="Z607">IF($A607="","",INDEX(JupData!$A$2:$K$10000,MATCH($A607&amp;Z$1,JupData!$A$2:$A$10000&amp;JupData!$J$2:$J$10000,0),11))</f>
        <v/>
      </c>
      <c r="AA607" t="str">
        <f t="array" ref="AA607">IF($A607="","",INDEX(JupData!$A$2:$K$10000,MATCH($A607&amp;AA$1,JupData!$A$2:$A$10000&amp;JupData!$J$2:$J$10000,0),11))</f>
        <v/>
      </c>
      <c r="AB607" t="str">
        <f t="array" ref="AB607">IF($A607="","",INDEX(JupData!$A$2:$K$10000,MATCH($A607&amp;AB$1,JupData!$A$2:$A$10000&amp;JupData!$J$2:$J$10000,0),11))</f>
        <v/>
      </c>
      <c r="AC607" s="10" t="str">
        <f t="shared" si="99"/>
        <v/>
      </c>
      <c r="AD607" s="10" t="str">
        <f t="shared" si="100"/>
        <v/>
      </c>
      <c r="AE607" s="9" t="str">
        <f t="shared" si="101"/>
        <v/>
      </c>
      <c r="AF607" s="10" t="str">
        <f t="shared" si="102"/>
        <v/>
      </c>
      <c r="AG607" s="10" t="str">
        <f t="shared" si="103"/>
        <v/>
      </c>
      <c r="AH607" s="10" t="str">
        <f t="shared" si="104"/>
        <v/>
      </c>
      <c r="AI607" s="10" t="str">
        <f t="shared" si="105"/>
        <v/>
      </c>
      <c r="AJ607" s="10" t="str">
        <f t="shared" si="106"/>
        <v/>
      </c>
      <c r="AK607" s="10" t="str">
        <f t="shared" si="107"/>
        <v/>
      </c>
      <c r="AL607" s="14" t="str">
        <f t="shared" si="108"/>
        <v/>
      </c>
    </row>
    <row r="608" spans="1:38" x14ac:dyDescent="0.2">
      <c r="A608"/>
      <c r="B608" t="str">
        <f>IF($A608="","",VLOOKUP($A608,JupData!$A$2:$I$10000,4,FALSE))</f>
        <v/>
      </c>
      <c r="C608" s="7" t="str">
        <f>IF($A608="",IF(N(D608),0,""),VLOOKUP($A608,JupData!$A$2:$I$10000,7,FALSE))</f>
        <v/>
      </c>
      <c r="D608" t="str">
        <f t="shared" si="109"/>
        <v/>
      </c>
      <c r="E608" t="str">
        <f t="array" ref="E608">IF($A608="","",INDEX(JupData!$A$2:$K$10000,MATCH($A608&amp;E$1,JupData!$A$2:$A$10000&amp;JupData!$J$2:$J$10000,0),11))</f>
        <v/>
      </c>
      <c r="F608" t="str">
        <f t="array" ref="F608">IF($A608="","",INDEX(JupData!$A$2:$K$10000,MATCH($A608&amp;F$1,JupData!$A$2:$A$10000&amp;JupData!$J$2:$J$10000,0),11))</f>
        <v/>
      </c>
      <c r="G608" t="str">
        <f t="array" ref="G608">IF($A608="","",INDEX(JupData!$A$2:$K$10000,MATCH($A608&amp;G$1,JupData!$A$2:$A$10000&amp;JupData!$J$2:$J$10000,0),11))</f>
        <v/>
      </c>
      <c r="H608" t="str">
        <f t="array" ref="H608">IF($A608="","",INDEX(JupData!$A$2:$K$10000,MATCH($A608&amp;H$1,JupData!$A$2:$A$10000&amp;JupData!$J$2:$J$10000,0),11))</f>
        <v/>
      </c>
      <c r="I608" t="str">
        <f t="array" ref="I608">IF($A608="","",INDEX(JupData!$A$2:$K$10000,MATCH($A608&amp;I$1,JupData!$A$2:$A$10000&amp;JupData!$J$2:$J$10000,0),11))</f>
        <v/>
      </c>
      <c r="J608" t="str">
        <f t="array" ref="J608">IF($A608="","",INDEX(JupData!$A$2:$K$10000,MATCH($A608&amp;J$1,JupData!$A$2:$A$10000&amp;JupData!$J$2:$J$10000,0),11))</f>
        <v/>
      </c>
      <c r="K608" t="str">
        <f t="array" ref="K608">IF($A608="","",INDEX(JupData!$A$2:$K$10000,MATCH($A608&amp;K$1,JupData!$A$2:$A$10000&amp;JupData!$J$2:$J$10000,0),11))</f>
        <v/>
      </c>
      <c r="L608" t="str">
        <f t="array" ref="L608">IF($A608="","",INDEX(JupData!$A$2:$K$10000,MATCH($A608&amp;L$1,JupData!$A$2:$A$10000&amp;JupData!$J$2:$J$10000,0),11))</f>
        <v/>
      </c>
      <c r="M608" t="str">
        <f t="array" ref="M608">IF($A608="","",INDEX(JupData!$A$2:$K$10000,MATCH($A608&amp;M$1,JupData!$A$2:$A$10000&amp;JupData!$J$2:$J$10000,0),11))</f>
        <v/>
      </c>
      <c r="N608" t="str">
        <f t="array" ref="N608">IF($A608="","",INDEX(JupData!$A$2:$K$10000,MATCH($A608&amp;N$1,JupData!$A$2:$A$10000&amp;JupData!$J$2:$J$10000,0),11))</f>
        <v/>
      </c>
      <c r="O608" t="str">
        <f t="array" ref="O608">IF($A608="","",INDEX(JupData!$A$2:$K$10000,MATCH($A608&amp;O$1,JupData!$A$2:$A$10000&amp;JupData!$J$2:$J$10000,0),11))</f>
        <v/>
      </c>
      <c r="P608" t="str">
        <f t="array" ref="P608">IF($A608="","",INDEX(JupData!$A$2:$K$10000,MATCH($A608&amp;P$1,JupData!$A$2:$A$10000&amp;JupData!$J$2:$J$10000,0),11))</f>
        <v/>
      </c>
      <c r="Q608" t="str">
        <f t="array" ref="Q608">IF($A608="","",INDEX(JupData!$A$2:$K$10000,MATCH($A608&amp;Q$1,JupData!$A$2:$A$10000&amp;JupData!$J$2:$J$10000,0),11))</f>
        <v/>
      </c>
      <c r="R608" t="str">
        <f t="array" ref="R608">IF($A608="","",INDEX(JupData!$A$2:$K$10000,MATCH($A608&amp;R$1,JupData!$A$2:$A$10000&amp;JupData!$J$2:$J$10000,0),11))</f>
        <v/>
      </c>
      <c r="S608" t="str">
        <f t="array" ref="S608">IF($A608="","",INDEX(JupData!$A$2:$K$10000,MATCH($A608&amp;S$1,JupData!$A$2:$A$10000&amp;JupData!$J$2:$J$10000,0),11))</f>
        <v/>
      </c>
      <c r="T608" t="str">
        <f t="array" ref="T608">IF($A608="","",INDEX(JupData!$A$2:$K$10000,MATCH($A608&amp;T$1,JupData!$A$2:$A$10000&amp;JupData!$J$2:$J$10000,0),11))</f>
        <v/>
      </c>
      <c r="U608" t="str">
        <f t="array" ref="U608">IF($A608="","",INDEX(JupData!$A$2:$K$10000,MATCH($A608&amp;U$1,JupData!$A$2:$A$10000&amp;JupData!$J$2:$J$10000,0),11))</f>
        <v/>
      </c>
      <c r="V608" t="str">
        <f t="array" ref="V608">IF($A608="","",INDEX(JupData!$A$2:$K$10000,MATCH($A608&amp;V$1,JupData!$A$2:$A$10000&amp;JupData!$J$2:$J$10000,0),11))</f>
        <v/>
      </c>
      <c r="W608" t="str">
        <f t="array" ref="W608">IF($A608="","",INDEX(JupData!$A$2:$K$10000,MATCH($A608&amp;W$1,JupData!$A$2:$A$10000&amp;JupData!$J$2:$J$10000,0),11))</f>
        <v/>
      </c>
      <c r="X608" t="str">
        <f t="array" ref="X608">IF($A608="","",INDEX(JupData!$A$2:$K$10000,MATCH($A608&amp;X$1,JupData!$A$2:$A$10000&amp;JupData!$J$2:$J$10000,0),11))</f>
        <v/>
      </c>
      <c r="Y608" t="str">
        <f t="array" ref="Y608">IF($A608="","",INDEX(JupData!$A$2:$K$10000,MATCH($A608&amp;Y$1,JupData!$A$2:$A$10000&amp;JupData!$J$2:$J$10000,0),11))</f>
        <v/>
      </c>
      <c r="Z608" t="str">
        <f t="array" ref="Z608">IF($A608="","",INDEX(JupData!$A$2:$K$10000,MATCH($A608&amp;Z$1,JupData!$A$2:$A$10000&amp;JupData!$J$2:$J$10000,0),11))</f>
        <v/>
      </c>
      <c r="AA608" t="str">
        <f t="array" ref="AA608">IF($A608="","",INDEX(JupData!$A$2:$K$10000,MATCH($A608&amp;AA$1,JupData!$A$2:$A$10000&amp;JupData!$J$2:$J$10000,0),11))</f>
        <v/>
      </c>
      <c r="AB608" t="str">
        <f t="array" ref="AB608">IF($A608="","",INDEX(JupData!$A$2:$K$10000,MATCH($A608&amp;AB$1,JupData!$A$2:$A$10000&amp;JupData!$J$2:$J$10000,0),11))</f>
        <v/>
      </c>
      <c r="AC608" s="10" t="str">
        <f t="shared" si="99"/>
        <v/>
      </c>
      <c r="AD608" s="10" t="str">
        <f t="shared" si="100"/>
        <v/>
      </c>
      <c r="AE608" s="9" t="str">
        <f t="shared" si="101"/>
        <v/>
      </c>
      <c r="AF608" s="10" t="str">
        <f t="shared" si="102"/>
        <v/>
      </c>
      <c r="AG608" s="10" t="str">
        <f t="shared" si="103"/>
        <v/>
      </c>
      <c r="AH608" s="10" t="str">
        <f t="shared" si="104"/>
        <v/>
      </c>
      <c r="AI608" s="10" t="str">
        <f t="shared" si="105"/>
        <v/>
      </c>
      <c r="AJ608" s="10" t="str">
        <f t="shared" si="106"/>
        <v/>
      </c>
      <c r="AK608" s="10" t="str">
        <f t="shared" si="107"/>
        <v/>
      </c>
      <c r="AL608" s="14" t="str">
        <f t="shared" si="108"/>
        <v/>
      </c>
    </row>
    <row r="609" spans="1:38" x14ac:dyDescent="0.2">
      <c r="A609"/>
      <c r="B609" t="str">
        <f>IF($A609="","",VLOOKUP($A609,JupData!$A$2:$I$10000,4,FALSE))</f>
        <v/>
      </c>
      <c r="C609" s="7" t="str">
        <f>IF($A609="",IF(N(D609),0,""),VLOOKUP($A609,JupData!$A$2:$I$10000,7,FALSE))</f>
        <v/>
      </c>
      <c r="D609" t="str">
        <f t="shared" si="109"/>
        <v/>
      </c>
      <c r="E609" t="str">
        <f t="array" ref="E609">IF($A609="","",INDEX(JupData!$A$2:$K$10000,MATCH($A609&amp;E$1,JupData!$A$2:$A$10000&amp;JupData!$J$2:$J$10000,0),11))</f>
        <v/>
      </c>
      <c r="F609" t="str">
        <f t="array" ref="F609">IF($A609="","",INDEX(JupData!$A$2:$K$10000,MATCH($A609&amp;F$1,JupData!$A$2:$A$10000&amp;JupData!$J$2:$J$10000,0),11))</f>
        <v/>
      </c>
      <c r="G609" t="str">
        <f t="array" ref="G609">IF($A609="","",INDEX(JupData!$A$2:$K$10000,MATCH($A609&amp;G$1,JupData!$A$2:$A$10000&amp;JupData!$J$2:$J$10000,0),11))</f>
        <v/>
      </c>
      <c r="H609" t="str">
        <f t="array" ref="H609">IF($A609="","",INDEX(JupData!$A$2:$K$10000,MATCH($A609&amp;H$1,JupData!$A$2:$A$10000&amp;JupData!$J$2:$J$10000,0),11))</f>
        <v/>
      </c>
      <c r="I609" t="str">
        <f t="array" ref="I609">IF($A609="","",INDEX(JupData!$A$2:$K$10000,MATCH($A609&amp;I$1,JupData!$A$2:$A$10000&amp;JupData!$J$2:$J$10000,0),11))</f>
        <v/>
      </c>
      <c r="J609" t="str">
        <f t="array" ref="J609">IF($A609="","",INDEX(JupData!$A$2:$K$10000,MATCH($A609&amp;J$1,JupData!$A$2:$A$10000&amp;JupData!$J$2:$J$10000,0),11))</f>
        <v/>
      </c>
      <c r="K609" t="str">
        <f t="array" ref="K609">IF($A609="","",INDEX(JupData!$A$2:$K$10000,MATCH($A609&amp;K$1,JupData!$A$2:$A$10000&amp;JupData!$J$2:$J$10000,0),11))</f>
        <v/>
      </c>
      <c r="L609" t="str">
        <f t="array" ref="L609">IF($A609="","",INDEX(JupData!$A$2:$K$10000,MATCH($A609&amp;L$1,JupData!$A$2:$A$10000&amp;JupData!$J$2:$J$10000,0),11))</f>
        <v/>
      </c>
      <c r="M609" t="str">
        <f t="array" ref="M609">IF($A609="","",INDEX(JupData!$A$2:$K$10000,MATCH($A609&amp;M$1,JupData!$A$2:$A$10000&amp;JupData!$J$2:$J$10000,0),11))</f>
        <v/>
      </c>
      <c r="N609" t="str">
        <f t="array" ref="N609">IF($A609="","",INDEX(JupData!$A$2:$K$10000,MATCH($A609&amp;N$1,JupData!$A$2:$A$10000&amp;JupData!$J$2:$J$10000,0),11))</f>
        <v/>
      </c>
      <c r="O609" t="str">
        <f t="array" ref="O609">IF($A609="","",INDEX(JupData!$A$2:$K$10000,MATCH($A609&amp;O$1,JupData!$A$2:$A$10000&amp;JupData!$J$2:$J$10000,0),11))</f>
        <v/>
      </c>
      <c r="P609" t="str">
        <f t="array" ref="P609">IF($A609="","",INDEX(JupData!$A$2:$K$10000,MATCH($A609&amp;P$1,JupData!$A$2:$A$10000&amp;JupData!$J$2:$J$10000,0),11))</f>
        <v/>
      </c>
      <c r="Q609" t="str">
        <f t="array" ref="Q609">IF($A609="","",INDEX(JupData!$A$2:$K$10000,MATCH($A609&amp;Q$1,JupData!$A$2:$A$10000&amp;JupData!$J$2:$J$10000,0),11))</f>
        <v/>
      </c>
      <c r="R609" t="str">
        <f t="array" ref="R609">IF($A609="","",INDEX(JupData!$A$2:$K$10000,MATCH($A609&amp;R$1,JupData!$A$2:$A$10000&amp;JupData!$J$2:$J$10000,0),11))</f>
        <v/>
      </c>
      <c r="S609" t="str">
        <f t="array" ref="S609">IF($A609="","",INDEX(JupData!$A$2:$K$10000,MATCH($A609&amp;S$1,JupData!$A$2:$A$10000&amp;JupData!$J$2:$J$10000,0),11))</f>
        <v/>
      </c>
      <c r="T609" t="str">
        <f t="array" ref="T609">IF($A609="","",INDEX(JupData!$A$2:$K$10000,MATCH($A609&amp;T$1,JupData!$A$2:$A$10000&amp;JupData!$J$2:$J$10000,0),11))</f>
        <v/>
      </c>
      <c r="U609" t="str">
        <f t="array" ref="U609">IF($A609="","",INDEX(JupData!$A$2:$K$10000,MATCH($A609&amp;U$1,JupData!$A$2:$A$10000&amp;JupData!$J$2:$J$10000,0),11))</f>
        <v/>
      </c>
      <c r="V609" t="str">
        <f t="array" ref="V609">IF($A609="","",INDEX(JupData!$A$2:$K$10000,MATCH($A609&amp;V$1,JupData!$A$2:$A$10000&amp;JupData!$J$2:$J$10000,0),11))</f>
        <v/>
      </c>
      <c r="W609" t="str">
        <f t="array" ref="W609">IF($A609="","",INDEX(JupData!$A$2:$K$10000,MATCH($A609&amp;W$1,JupData!$A$2:$A$10000&amp;JupData!$J$2:$J$10000,0),11))</f>
        <v/>
      </c>
      <c r="X609" t="str">
        <f t="array" ref="X609">IF($A609="","",INDEX(JupData!$A$2:$K$10000,MATCH($A609&amp;X$1,JupData!$A$2:$A$10000&amp;JupData!$J$2:$J$10000,0),11))</f>
        <v/>
      </c>
      <c r="Y609" t="str">
        <f t="array" ref="Y609">IF($A609="","",INDEX(JupData!$A$2:$K$10000,MATCH($A609&amp;Y$1,JupData!$A$2:$A$10000&amp;JupData!$J$2:$J$10000,0),11))</f>
        <v/>
      </c>
      <c r="Z609" t="str">
        <f t="array" ref="Z609">IF($A609="","",INDEX(JupData!$A$2:$K$10000,MATCH($A609&amp;Z$1,JupData!$A$2:$A$10000&amp;JupData!$J$2:$J$10000,0),11))</f>
        <v/>
      </c>
      <c r="AA609" t="str">
        <f t="array" ref="AA609">IF($A609="","",INDEX(JupData!$A$2:$K$10000,MATCH($A609&amp;AA$1,JupData!$A$2:$A$10000&amp;JupData!$J$2:$J$10000,0),11))</f>
        <v/>
      </c>
      <c r="AB609" t="str">
        <f t="array" ref="AB609">IF($A609="","",INDEX(JupData!$A$2:$K$10000,MATCH($A609&amp;AB$1,JupData!$A$2:$A$10000&amp;JupData!$J$2:$J$10000,0),11))</f>
        <v/>
      </c>
      <c r="AC609" s="10" t="str">
        <f t="shared" si="99"/>
        <v/>
      </c>
      <c r="AD609" s="10" t="str">
        <f t="shared" si="100"/>
        <v/>
      </c>
      <c r="AE609" s="9" t="str">
        <f t="shared" si="101"/>
        <v/>
      </c>
      <c r="AF609" s="10" t="str">
        <f t="shared" si="102"/>
        <v/>
      </c>
      <c r="AG609" s="10" t="str">
        <f t="shared" si="103"/>
        <v/>
      </c>
      <c r="AH609" s="10" t="str">
        <f t="shared" si="104"/>
        <v/>
      </c>
      <c r="AI609" s="10" t="str">
        <f t="shared" si="105"/>
        <v/>
      </c>
      <c r="AJ609" s="10" t="str">
        <f t="shared" si="106"/>
        <v/>
      </c>
      <c r="AK609" s="10" t="str">
        <f t="shared" si="107"/>
        <v/>
      </c>
      <c r="AL609" s="14" t="str">
        <f t="shared" si="108"/>
        <v/>
      </c>
    </row>
    <row r="610" spans="1:38" x14ac:dyDescent="0.2">
      <c r="A610"/>
      <c r="B610" t="str">
        <f>IF($A610="","",VLOOKUP($A610,JupData!$A$2:$I$10000,4,FALSE))</f>
        <v/>
      </c>
      <c r="C610" s="7" t="str">
        <f>IF($A610="",IF(N(D610),0,""),VLOOKUP($A610,JupData!$A$2:$I$10000,7,FALSE))</f>
        <v/>
      </c>
      <c r="D610" t="str">
        <f t="shared" si="109"/>
        <v/>
      </c>
      <c r="E610" t="str">
        <f t="array" ref="E610">IF($A610="","",INDEX(JupData!$A$2:$K$10000,MATCH($A610&amp;E$1,JupData!$A$2:$A$10000&amp;JupData!$J$2:$J$10000,0),11))</f>
        <v/>
      </c>
      <c r="F610" t="str">
        <f t="array" ref="F610">IF($A610="","",INDEX(JupData!$A$2:$K$10000,MATCH($A610&amp;F$1,JupData!$A$2:$A$10000&amp;JupData!$J$2:$J$10000,0),11))</f>
        <v/>
      </c>
      <c r="G610" t="str">
        <f t="array" ref="G610">IF($A610="","",INDEX(JupData!$A$2:$K$10000,MATCH($A610&amp;G$1,JupData!$A$2:$A$10000&amp;JupData!$J$2:$J$10000,0),11))</f>
        <v/>
      </c>
      <c r="H610" t="str">
        <f t="array" ref="H610">IF($A610="","",INDEX(JupData!$A$2:$K$10000,MATCH($A610&amp;H$1,JupData!$A$2:$A$10000&amp;JupData!$J$2:$J$10000,0),11))</f>
        <v/>
      </c>
      <c r="I610" t="str">
        <f t="array" ref="I610">IF($A610="","",INDEX(JupData!$A$2:$K$10000,MATCH($A610&amp;I$1,JupData!$A$2:$A$10000&amp;JupData!$J$2:$J$10000,0),11))</f>
        <v/>
      </c>
      <c r="J610" t="str">
        <f t="array" ref="J610">IF($A610="","",INDEX(JupData!$A$2:$K$10000,MATCH($A610&amp;J$1,JupData!$A$2:$A$10000&amp;JupData!$J$2:$J$10000,0),11))</f>
        <v/>
      </c>
      <c r="K610" t="str">
        <f t="array" ref="K610">IF($A610="","",INDEX(JupData!$A$2:$K$10000,MATCH($A610&amp;K$1,JupData!$A$2:$A$10000&amp;JupData!$J$2:$J$10000,0),11))</f>
        <v/>
      </c>
      <c r="L610" t="str">
        <f t="array" ref="L610">IF($A610="","",INDEX(JupData!$A$2:$K$10000,MATCH($A610&amp;L$1,JupData!$A$2:$A$10000&amp;JupData!$J$2:$J$10000,0),11))</f>
        <v/>
      </c>
      <c r="M610" t="str">
        <f t="array" ref="M610">IF($A610="","",INDEX(JupData!$A$2:$K$10000,MATCH($A610&amp;M$1,JupData!$A$2:$A$10000&amp;JupData!$J$2:$J$10000,0),11))</f>
        <v/>
      </c>
      <c r="N610" t="str">
        <f t="array" ref="N610">IF($A610="","",INDEX(JupData!$A$2:$K$10000,MATCH($A610&amp;N$1,JupData!$A$2:$A$10000&amp;JupData!$J$2:$J$10000,0),11))</f>
        <v/>
      </c>
      <c r="O610" t="str">
        <f t="array" ref="O610">IF($A610="","",INDEX(JupData!$A$2:$K$10000,MATCH($A610&amp;O$1,JupData!$A$2:$A$10000&amp;JupData!$J$2:$J$10000,0),11))</f>
        <v/>
      </c>
      <c r="P610" t="str">
        <f t="array" ref="P610">IF($A610="","",INDEX(JupData!$A$2:$K$10000,MATCH($A610&amp;P$1,JupData!$A$2:$A$10000&amp;JupData!$J$2:$J$10000,0),11))</f>
        <v/>
      </c>
      <c r="Q610" t="str">
        <f t="array" ref="Q610">IF($A610="","",INDEX(JupData!$A$2:$K$10000,MATCH($A610&amp;Q$1,JupData!$A$2:$A$10000&amp;JupData!$J$2:$J$10000,0),11))</f>
        <v/>
      </c>
      <c r="R610" t="str">
        <f t="array" ref="R610">IF($A610="","",INDEX(JupData!$A$2:$K$10000,MATCH($A610&amp;R$1,JupData!$A$2:$A$10000&amp;JupData!$J$2:$J$10000,0),11))</f>
        <v/>
      </c>
      <c r="S610" t="str">
        <f t="array" ref="S610">IF($A610="","",INDEX(JupData!$A$2:$K$10000,MATCH($A610&amp;S$1,JupData!$A$2:$A$10000&amp;JupData!$J$2:$J$10000,0),11))</f>
        <v/>
      </c>
      <c r="T610" t="str">
        <f t="array" ref="T610">IF($A610="","",INDEX(JupData!$A$2:$K$10000,MATCH($A610&amp;T$1,JupData!$A$2:$A$10000&amp;JupData!$J$2:$J$10000,0),11))</f>
        <v/>
      </c>
      <c r="U610" t="str">
        <f t="array" ref="U610">IF($A610="","",INDEX(JupData!$A$2:$K$10000,MATCH($A610&amp;U$1,JupData!$A$2:$A$10000&amp;JupData!$J$2:$J$10000,0),11))</f>
        <v/>
      </c>
      <c r="V610" t="str">
        <f t="array" ref="V610">IF($A610="","",INDEX(JupData!$A$2:$K$10000,MATCH($A610&amp;V$1,JupData!$A$2:$A$10000&amp;JupData!$J$2:$J$10000,0),11))</f>
        <v/>
      </c>
      <c r="W610" t="str">
        <f t="array" ref="W610">IF($A610="","",INDEX(JupData!$A$2:$K$10000,MATCH($A610&amp;W$1,JupData!$A$2:$A$10000&amp;JupData!$J$2:$J$10000,0),11))</f>
        <v/>
      </c>
      <c r="X610" t="str">
        <f t="array" ref="X610">IF($A610="","",INDEX(JupData!$A$2:$K$10000,MATCH($A610&amp;X$1,JupData!$A$2:$A$10000&amp;JupData!$J$2:$J$10000,0),11))</f>
        <v/>
      </c>
      <c r="Y610" t="str">
        <f t="array" ref="Y610">IF($A610="","",INDEX(JupData!$A$2:$K$10000,MATCH($A610&amp;Y$1,JupData!$A$2:$A$10000&amp;JupData!$J$2:$J$10000,0),11))</f>
        <v/>
      </c>
      <c r="Z610" t="str">
        <f t="array" ref="Z610">IF($A610="","",INDEX(JupData!$A$2:$K$10000,MATCH($A610&amp;Z$1,JupData!$A$2:$A$10000&amp;JupData!$J$2:$J$10000,0),11))</f>
        <v/>
      </c>
      <c r="AA610" t="str">
        <f t="array" ref="AA610">IF($A610="","",INDEX(JupData!$A$2:$K$10000,MATCH($A610&amp;AA$1,JupData!$A$2:$A$10000&amp;JupData!$J$2:$J$10000,0),11))</f>
        <v/>
      </c>
      <c r="AB610" t="str">
        <f t="array" ref="AB610">IF($A610="","",INDEX(JupData!$A$2:$K$10000,MATCH($A610&amp;AB$1,JupData!$A$2:$A$10000&amp;JupData!$J$2:$J$10000,0),11))</f>
        <v/>
      </c>
      <c r="AC610" s="10" t="str">
        <f t="shared" si="99"/>
        <v/>
      </c>
      <c r="AD610" s="10" t="str">
        <f t="shared" si="100"/>
        <v/>
      </c>
      <c r="AE610" s="9" t="str">
        <f t="shared" si="101"/>
        <v/>
      </c>
      <c r="AF610" s="10" t="str">
        <f t="shared" si="102"/>
        <v/>
      </c>
      <c r="AG610" s="10" t="str">
        <f t="shared" si="103"/>
        <v/>
      </c>
      <c r="AH610" s="10" t="str">
        <f t="shared" si="104"/>
        <v/>
      </c>
      <c r="AI610" s="10" t="str">
        <f t="shared" si="105"/>
        <v/>
      </c>
      <c r="AJ610" s="10" t="str">
        <f t="shared" si="106"/>
        <v/>
      </c>
      <c r="AK610" s="10" t="str">
        <f t="shared" si="107"/>
        <v/>
      </c>
      <c r="AL610" s="14" t="str">
        <f t="shared" si="108"/>
        <v/>
      </c>
    </row>
    <row r="611" spans="1:38" x14ac:dyDescent="0.2">
      <c r="A611"/>
      <c r="B611" t="str">
        <f>IF($A611="","",VLOOKUP($A611,JupData!$A$2:$I$10000,4,FALSE))</f>
        <v/>
      </c>
      <c r="C611" s="7" t="str">
        <f>IF($A611="",IF(N(D611),0,""),VLOOKUP($A611,JupData!$A$2:$I$10000,7,FALSE))</f>
        <v/>
      </c>
      <c r="D611" t="str">
        <f t="shared" si="109"/>
        <v/>
      </c>
      <c r="E611" t="str">
        <f t="array" ref="E611">IF($A611="","",INDEX(JupData!$A$2:$K$10000,MATCH($A611&amp;E$1,JupData!$A$2:$A$10000&amp;JupData!$J$2:$J$10000,0),11))</f>
        <v/>
      </c>
      <c r="F611" t="str">
        <f t="array" ref="F611">IF($A611="","",INDEX(JupData!$A$2:$K$10000,MATCH($A611&amp;F$1,JupData!$A$2:$A$10000&amp;JupData!$J$2:$J$10000,0),11))</f>
        <v/>
      </c>
      <c r="G611" t="str">
        <f t="array" ref="G611">IF($A611="","",INDEX(JupData!$A$2:$K$10000,MATCH($A611&amp;G$1,JupData!$A$2:$A$10000&amp;JupData!$J$2:$J$10000,0),11))</f>
        <v/>
      </c>
      <c r="H611" t="str">
        <f t="array" ref="H611">IF($A611="","",INDEX(JupData!$A$2:$K$10000,MATCH($A611&amp;H$1,JupData!$A$2:$A$10000&amp;JupData!$J$2:$J$10000,0),11))</f>
        <v/>
      </c>
      <c r="I611" t="str">
        <f t="array" ref="I611">IF($A611="","",INDEX(JupData!$A$2:$K$10000,MATCH($A611&amp;I$1,JupData!$A$2:$A$10000&amp;JupData!$J$2:$J$10000,0),11))</f>
        <v/>
      </c>
      <c r="J611" t="str">
        <f t="array" ref="J611">IF($A611="","",INDEX(JupData!$A$2:$K$10000,MATCH($A611&amp;J$1,JupData!$A$2:$A$10000&amp;JupData!$J$2:$J$10000,0),11))</f>
        <v/>
      </c>
      <c r="K611" t="str">
        <f t="array" ref="K611">IF($A611="","",INDEX(JupData!$A$2:$K$10000,MATCH($A611&amp;K$1,JupData!$A$2:$A$10000&amp;JupData!$J$2:$J$10000,0),11))</f>
        <v/>
      </c>
      <c r="L611" t="str">
        <f t="array" ref="L611">IF($A611="","",INDEX(JupData!$A$2:$K$10000,MATCH($A611&amp;L$1,JupData!$A$2:$A$10000&amp;JupData!$J$2:$J$10000,0),11))</f>
        <v/>
      </c>
      <c r="M611" t="str">
        <f t="array" ref="M611">IF($A611="","",INDEX(JupData!$A$2:$K$10000,MATCH($A611&amp;M$1,JupData!$A$2:$A$10000&amp;JupData!$J$2:$J$10000,0),11))</f>
        <v/>
      </c>
      <c r="N611" t="str">
        <f t="array" ref="N611">IF($A611="","",INDEX(JupData!$A$2:$K$10000,MATCH($A611&amp;N$1,JupData!$A$2:$A$10000&amp;JupData!$J$2:$J$10000,0),11))</f>
        <v/>
      </c>
      <c r="O611" t="str">
        <f t="array" ref="O611">IF($A611="","",INDEX(JupData!$A$2:$K$10000,MATCH($A611&amp;O$1,JupData!$A$2:$A$10000&amp;JupData!$J$2:$J$10000,0),11))</f>
        <v/>
      </c>
      <c r="P611" t="str">
        <f t="array" ref="P611">IF($A611="","",INDEX(JupData!$A$2:$K$10000,MATCH($A611&amp;P$1,JupData!$A$2:$A$10000&amp;JupData!$J$2:$J$10000,0),11))</f>
        <v/>
      </c>
      <c r="Q611" t="str">
        <f t="array" ref="Q611">IF($A611="","",INDEX(JupData!$A$2:$K$10000,MATCH($A611&amp;Q$1,JupData!$A$2:$A$10000&amp;JupData!$J$2:$J$10000,0),11))</f>
        <v/>
      </c>
      <c r="R611" t="str">
        <f t="array" ref="R611">IF($A611="","",INDEX(JupData!$A$2:$K$10000,MATCH($A611&amp;R$1,JupData!$A$2:$A$10000&amp;JupData!$J$2:$J$10000,0),11))</f>
        <v/>
      </c>
      <c r="S611" t="str">
        <f t="array" ref="S611">IF($A611="","",INDEX(JupData!$A$2:$K$10000,MATCH($A611&amp;S$1,JupData!$A$2:$A$10000&amp;JupData!$J$2:$J$10000,0),11))</f>
        <v/>
      </c>
      <c r="T611" t="str">
        <f t="array" ref="T611">IF($A611="","",INDEX(JupData!$A$2:$K$10000,MATCH($A611&amp;T$1,JupData!$A$2:$A$10000&amp;JupData!$J$2:$J$10000,0),11))</f>
        <v/>
      </c>
      <c r="U611" t="str">
        <f t="array" ref="U611">IF($A611="","",INDEX(JupData!$A$2:$K$10000,MATCH($A611&amp;U$1,JupData!$A$2:$A$10000&amp;JupData!$J$2:$J$10000,0),11))</f>
        <v/>
      </c>
      <c r="V611" t="str">
        <f t="array" ref="V611">IF($A611="","",INDEX(JupData!$A$2:$K$10000,MATCH($A611&amp;V$1,JupData!$A$2:$A$10000&amp;JupData!$J$2:$J$10000,0),11))</f>
        <v/>
      </c>
      <c r="W611" t="str">
        <f t="array" ref="W611">IF($A611="","",INDEX(JupData!$A$2:$K$10000,MATCH($A611&amp;W$1,JupData!$A$2:$A$10000&amp;JupData!$J$2:$J$10000,0),11))</f>
        <v/>
      </c>
      <c r="X611" t="str">
        <f t="array" ref="X611">IF($A611="","",INDEX(JupData!$A$2:$K$10000,MATCH($A611&amp;X$1,JupData!$A$2:$A$10000&amp;JupData!$J$2:$J$10000,0),11))</f>
        <v/>
      </c>
      <c r="Y611" t="str">
        <f t="array" ref="Y611">IF($A611="","",INDEX(JupData!$A$2:$K$10000,MATCH($A611&amp;Y$1,JupData!$A$2:$A$10000&amp;JupData!$J$2:$J$10000,0),11))</f>
        <v/>
      </c>
      <c r="Z611" t="str">
        <f t="array" ref="Z611">IF($A611="","",INDEX(JupData!$A$2:$K$10000,MATCH($A611&amp;Z$1,JupData!$A$2:$A$10000&amp;JupData!$J$2:$J$10000,0),11))</f>
        <v/>
      </c>
      <c r="AA611" t="str">
        <f t="array" ref="AA611">IF($A611="","",INDEX(JupData!$A$2:$K$10000,MATCH($A611&amp;AA$1,JupData!$A$2:$A$10000&amp;JupData!$J$2:$J$10000,0),11))</f>
        <v/>
      </c>
      <c r="AB611" t="str">
        <f t="array" ref="AB611">IF($A611="","",INDEX(JupData!$A$2:$K$10000,MATCH($A611&amp;AB$1,JupData!$A$2:$A$10000&amp;JupData!$J$2:$J$10000,0),11))</f>
        <v/>
      </c>
      <c r="AC611" s="10" t="str">
        <f t="shared" si="99"/>
        <v/>
      </c>
      <c r="AD611" s="10" t="str">
        <f t="shared" si="100"/>
        <v/>
      </c>
      <c r="AE611" s="9" t="str">
        <f t="shared" si="101"/>
        <v/>
      </c>
      <c r="AF611" s="10" t="str">
        <f t="shared" si="102"/>
        <v/>
      </c>
      <c r="AG611" s="10" t="str">
        <f t="shared" si="103"/>
        <v/>
      </c>
      <c r="AH611" s="10" t="str">
        <f t="shared" si="104"/>
        <v/>
      </c>
      <c r="AI611" s="10" t="str">
        <f t="shared" si="105"/>
        <v/>
      </c>
      <c r="AJ611" s="10" t="str">
        <f t="shared" si="106"/>
        <v/>
      </c>
      <c r="AK611" s="10" t="str">
        <f t="shared" si="107"/>
        <v/>
      </c>
      <c r="AL611" s="14" t="str">
        <f t="shared" si="108"/>
        <v/>
      </c>
    </row>
    <row r="612" spans="1:38" x14ac:dyDescent="0.2">
      <c r="A612"/>
      <c r="B612" t="str">
        <f>IF($A612="","",VLOOKUP($A612,JupData!$A$2:$I$10000,4,FALSE))</f>
        <v/>
      </c>
      <c r="C612" s="7" t="str">
        <f>IF($A612="",IF(N(D612),0,""),VLOOKUP($A612,JupData!$A$2:$I$10000,7,FALSE))</f>
        <v/>
      </c>
      <c r="D612" t="str">
        <f t="shared" si="109"/>
        <v/>
      </c>
      <c r="E612" t="str">
        <f t="array" ref="E612">IF($A612="","",INDEX(JupData!$A$2:$K$10000,MATCH($A612&amp;E$1,JupData!$A$2:$A$10000&amp;JupData!$J$2:$J$10000,0),11))</f>
        <v/>
      </c>
      <c r="F612" t="str">
        <f t="array" ref="F612">IF($A612="","",INDEX(JupData!$A$2:$K$10000,MATCH($A612&amp;F$1,JupData!$A$2:$A$10000&amp;JupData!$J$2:$J$10000,0),11))</f>
        <v/>
      </c>
      <c r="G612" t="str">
        <f t="array" ref="G612">IF($A612="","",INDEX(JupData!$A$2:$K$10000,MATCH($A612&amp;G$1,JupData!$A$2:$A$10000&amp;JupData!$J$2:$J$10000,0),11))</f>
        <v/>
      </c>
      <c r="H612" t="str">
        <f t="array" ref="H612">IF($A612="","",INDEX(JupData!$A$2:$K$10000,MATCH($A612&amp;H$1,JupData!$A$2:$A$10000&amp;JupData!$J$2:$J$10000,0),11))</f>
        <v/>
      </c>
      <c r="I612" t="str">
        <f t="array" ref="I612">IF($A612="","",INDEX(JupData!$A$2:$K$10000,MATCH($A612&amp;I$1,JupData!$A$2:$A$10000&amp;JupData!$J$2:$J$10000,0),11))</f>
        <v/>
      </c>
      <c r="J612" t="str">
        <f t="array" ref="J612">IF($A612="","",INDEX(JupData!$A$2:$K$10000,MATCH($A612&amp;J$1,JupData!$A$2:$A$10000&amp;JupData!$J$2:$J$10000,0),11))</f>
        <v/>
      </c>
      <c r="K612" t="str">
        <f t="array" ref="K612">IF($A612="","",INDEX(JupData!$A$2:$K$10000,MATCH($A612&amp;K$1,JupData!$A$2:$A$10000&amp;JupData!$J$2:$J$10000,0),11))</f>
        <v/>
      </c>
      <c r="L612" t="str">
        <f t="array" ref="L612">IF($A612="","",INDEX(JupData!$A$2:$K$10000,MATCH($A612&amp;L$1,JupData!$A$2:$A$10000&amp;JupData!$J$2:$J$10000,0),11))</f>
        <v/>
      </c>
      <c r="M612" t="str">
        <f t="array" ref="M612">IF($A612="","",INDEX(JupData!$A$2:$K$10000,MATCH($A612&amp;M$1,JupData!$A$2:$A$10000&amp;JupData!$J$2:$J$10000,0),11))</f>
        <v/>
      </c>
      <c r="N612" t="str">
        <f t="array" ref="N612">IF($A612="","",INDEX(JupData!$A$2:$K$10000,MATCH($A612&amp;N$1,JupData!$A$2:$A$10000&amp;JupData!$J$2:$J$10000,0),11))</f>
        <v/>
      </c>
      <c r="O612" t="str">
        <f t="array" ref="O612">IF($A612="","",INDEX(JupData!$A$2:$K$10000,MATCH($A612&amp;O$1,JupData!$A$2:$A$10000&amp;JupData!$J$2:$J$10000,0),11))</f>
        <v/>
      </c>
      <c r="P612" t="str">
        <f t="array" ref="P612">IF($A612="","",INDEX(JupData!$A$2:$K$10000,MATCH($A612&amp;P$1,JupData!$A$2:$A$10000&amp;JupData!$J$2:$J$10000,0),11))</f>
        <v/>
      </c>
      <c r="Q612" t="str">
        <f t="array" ref="Q612">IF($A612="","",INDEX(JupData!$A$2:$K$10000,MATCH($A612&amp;Q$1,JupData!$A$2:$A$10000&amp;JupData!$J$2:$J$10000,0),11))</f>
        <v/>
      </c>
      <c r="R612" t="str">
        <f t="array" ref="R612">IF($A612="","",INDEX(JupData!$A$2:$K$10000,MATCH($A612&amp;R$1,JupData!$A$2:$A$10000&amp;JupData!$J$2:$J$10000,0),11))</f>
        <v/>
      </c>
      <c r="S612" t="str">
        <f t="array" ref="S612">IF($A612="","",INDEX(JupData!$A$2:$K$10000,MATCH($A612&amp;S$1,JupData!$A$2:$A$10000&amp;JupData!$J$2:$J$10000,0),11))</f>
        <v/>
      </c>
      <c r="T612" t="str">
        <f t="array" ref="T612">IF($A612="","",INDEX(JupData!$A$2:$K$10000,MATCH($A612&amp;T$1,JupData!$A$2:$A$10000&amp;JupData!$J$2:$J$10000,0),11))</f>
        <v/>
      </c>
      <c r="U612" t="str">
        <f t="array" ref="U612">IF($A612="","",INDEX(JupData!$A$2:$K$10000,MATCH($A612&amp;U$1,JupData!$A$2:$A$10000&amp;JupData!$J$2:$J$10000,0),11))</f>
        <v/>
      </c>
      <c r="V612" t="str">
        <f t="array" ref="V612">IF($A612="","",INDEX(JupData!$A$2:$K$10000,MATCH($A612&amp;V$1,JupData!$A$2:$A$10000&amp;JupData!$J$2:$J$10000,0),11))</f>
        <v/>
      </c>
      <c r="W612" t="str">
        <f t="array" ref="W612">IF($A612="","",INDEX(JupData!$A$2:$K$10000,MATCH($A612&amp;W$1,JupData!$A$2:$A$10000&amp;JupData!$J$2:$J$10000,0),11))</f>
        <v/>
      </c>
      <c r="X612" t="str">
        <f t="array" ref="X612">IF($A612="","",INDEX(JupData!$A$2:$K$10000,MATCH($A612&amp;X$1,JupData!$A$2:$A$10000&amp;JupData!$J$2:$J$10000,0),11))</f>
        <v/>
      </c>
      <c r="Y612" t="str">
        <f t="array" ref="Y612">IF($A612="","",INDEX(JupData!$A$2:$K$10000,MATCH($A612&amp;Y$1,JupData!$A$2:$A$10000&amp;JupData!$J$2:$J$10000,0),11))</f>
        <v/>
      </c>
      <c r="Z612" t="str">
        <f t="array" ref="Z612">IF($A612="","",INDEX(JupData!$A$2:$K$10000,MATCH($A612&amp;Z$1,JupData!$A$2:$A$10000&amp;JupData!$J$2:$J$10000,0),11))</f>
        <v/>
      </c>
      <c r="AA612" t="str">
        <f t="array" ref="AA612">IF($A612="","",INDEX(JupData!$A$2:$K$10000,MATCH($A612&amp;AA$1,JupData!$A$2:$A$10000&amp;JupData!$J$2:$J$10000,0),11))</f>
        <v/>
      </c>
      <c r="AB612" t="str">
        <f t="array" ref="AB612">IF($A612="","",INDEX(JupData!$A$2:$K$10000,MATCH($A612&amp;AB$1,JupData!$A$2:$A$10000&amp;JupData!$J$2:$J$10000,0),11))</f>
        <v/>
      </c>
      <c r="AC612" s="10" t="str">
        <f t="shared" si="99"/>
        <v/>
      </c>
      <c r="AD612" s="10" t="str">
        <f t="shared" si="100"/>
        <v/>
      </c>
      <c r="AE612" s="9" t="str">
        <f t="shared" si="101"/>
        <v/>
      </c>
      <c r="AF612" s="10" t="str">
        <f t="shared" si="102"/>
        <v/>
      </c>
      <c r="AG612" s="10" t="str">
        <f t="shared" si="103"/>
        <v/>
      </c>
      <c r="AH612" s="10" t="str">
        <f t="shared" si="104"/>
        <v/>
      </c>
      <c r="AI612" s="10" t="str">
        <f t="shared" si="105"/>
        <v/>
      </c>
      <c r="AJ612" s="10" t="str">
        <f t="shared" si="106"/>
        <v/>
      </c>
      <c r="AK612" s="10" t="str">
        <f t="shared" si="107"/>
        <v/>
      </c>
      <c r="AL612" s="14" t="str">
        <f t="shared" si="108"/>
        <v/>
      </c>
    </row>
    <row r="613" spans="1:38" x14ac:dyDescent="0.2">
      <c r="A613"/>
      <c r="B613" t="str">
        <f>IF($A613="","",VLOOKUP($A613,JupData!$A$2:$I$10000,4,FALSE))</f>
        <v/>
      </c>
      <c r="C613" s="7" t="str">
        <f>IF($A613="",IF(N(D613),0,""),VLOOKUP($A613,JupData!$A$2:$I$10000,7,FALSE))</f>
        <v/>
      </c>
      <c r="D613" t="str">
        <f t="shared" si="109"/>
        <v/>
      </c>
      <c r="E613" t="str">
        <f t="array" ref="E613">IF($A613="","",INDEX(JupData!$A$2:$K$10000,MATCH($A613&amp;E$1,JupData!$A$2:$A$10000&amp;JupData!$J$2:$J$10000,0),11))</f>
        <v/>
      </c>
      <c r="F613" t="str">
        <f t="array" ref="F613">IF($A613="","",INDEX(JupData!$A$2:$K$10000,MATCH($A613&amp;F$1,JupData!$A$2:$A$10000&amp;JupData!$J$2:$J$10000,0),11))</f>
        <v/>
      </c>
      <c r="G613" t="str">
        <f t="array" ref="G613">IF($A613="","",INDEX(JupData!$A$2:$K$10000,MATCH($A613&amp;G$1,JupData!$A$2:$A$10000&amp;JupData!$J$2:$J$10000,0),11))</f>
        <v/>
      </c>
      <c r="H613" t="str">
        <f t="array" ref="H613">IF($A613="","",INDEX(JupData!$A$2:$K$10000,MATCH($A613&amp;H$1,JupData!$A$2:$A$10000&amp;JupData!$J$2:$J$10000,0),11))</f>
        <v/>
      </c>
      <c r="I613" t="str">
        <f t="array" ref="I613">IF($A613="","",INDEX(JupData!$A$2:$K$10000,MATCH($A613&amp;I$1,JupData!$A$2:$A$10000&amp;JupData!$J$2:$J$10000,0),11))</f>
        <v/>
      </c>
      <c r="J613" t="str">
        <f t="array" ref="J613">IF($A613="","",INDEX(JupData!$A$2:$K$10000,MATCH($A613&amp;J$1,JupData!$A$2:$A$10000&amp;JupData!$J$2:$J$10000,0),11))</f>
        <v/>
      </c>
      <c r="K613" t="str">
        <f t="array" ref="K613">IF($A613="","",INDEX(JupData!$A$2:$K$10000,MATCH($A613&amp;K$1,JupData!$A$2:$A$10000&amp;JupData!$J$2:$J$10000,0),11))</f>
        <v/>
      </c>
      <c r="L613" t="str">
        <f t="array" ref="L613">IF($A613="","",INDEX(JupData!$A$2:$K$10000,MATCH($A613&amp;L$1,JupData!$A$2:$A$10000&amp;JupData!$J$2:$J$10000,0),11))</f>
        <v/>
      </c>
      <c r="M613" t="str">
        <f t="array" ref="M613">IF($A613="","",INDEX(JupData!$A$2:$K$10000,MATCH($A613&amp;M$1,JupData!$A$2:$A$10000&amp;JupData!$J$2:$J$10000,0),11))</f>
        <v/>
      </c>
      <c r="N613" t="str">
        <f t="array" ref="N613">IF($A613="","",INDEX(JupData!$A$2:$K$10000,MATCH($A613&amp;N$1,JupData!$A$2:$A$10000&amp;JupData!$J$2:$J$10000,0),11))</f>
        <v/>
      </c>
      <c r="O613" t="str">
        <f t="array" ref="O613">IF($A613="","",INDEX(JupData!$A$2:$K$10000,MATCH($A613&amp;O$1,JupData!$A$2:$A$10000&amp;JupData!$J$2:$J$10000,0),11))</f>
        <v/>
      </c>
      <c r="P613" t="str">
        <f t="array" ref="P613">IF($A613="","",INDEX(JupData!$A$2:$K$10000,MATCH($A613&amp;P$1,JupData!$A$2:$A$10000&amp;JupData!$J$2:$J$10000,0),11))</f>
        <v/>
      </c>
      <c r="Q613" t="str">
        <f t="array" ref="Q613">IF($A613="","",INDEX(JupData!$A$2:$K$10000,MATCH($A613&amp;Q$1,JupData!$A$2:$A$10000&amp;JupData!$J$2:$J$10000,0),11))</f>
        <v/>
      </c>
      <c r="R613" t="str">
        <f t="array" ref="R613">IF($A613="","",INDEX(JupData!$A$2:$K$10000,MATCH($A613&amp;R$1,JupData!$A$2:$A$10000&amp;JupData!$J$2:$J$10000,0),11))</f>
        <v/>
      </c>
      <c r="S613" t="str">
        <f t="array" ref="S613">IF($A613="","",INDEX(JupData!$A$2:$K$10000,MATCH($A613&amp;S$1,JupData!$A$2:$A$10000&amp;JupData!$J$2:$J$10000,0),11))</f>
        <v/>
      </c>
      <c r="T613" t="str">
        <f t="array" ref="T613">IF($A613="","",INDEX(JupData!$A$2:$K$10000,MATCH($A613&amp;T$1,JupData!$A$2:$A$10000&amp;JupData!$J$2:$J$10000,0),11))</f>
        <v/>
      </c>
      <c r="U613" t="str">
        <f t="array" ref="U613">IF($A613="","",INDEX(JupData!$A$2:$K$10000,MATCH($A613&amp;U$1,JupData!$A$2:$A$10000&amp;JupData!$J$2:$J$10000,0),11))</f>
        <v/>
      </c>
      <c r="V613" t="str">
        <f t="array" ref="V613">IF($A613="","",INDEX(JupData!$A$2:$K$10000,MATCH($A613&amp;V$1,JupData!$A$2:$A$10000&amp;JupData!$J$2:$J$10000,0),11))</f>
        <v/>
      </c>
      <c r="W613" t="str">
        <f t="array" ref="W613">IF($A613="","",INDEX(JupData!$A$2:$K$10000,MATCH($A613&amp;W$1,JupData!$A$2:$A$10000&amp;JupData!$J$2:$J$10000,0),11))</f>
        <v/>
      </c>
      <c r="X613" t="str">
        <f t="array" ref="X613">IF($A613="","",INDEX(JupData!$A$2:$K$10000,MATCH($A613&amp;X$1,JupData!$A$2:$A$10000&amp;JupData!$J$2:$J$10000,0),11))</f>
        <v/>
      </c>
      <c r="Y613" t="str">
        <f t="array" ref="Y613">IF($A613="","",INDEX(JupData!$A$2:$K$10000,MATCH($A613&amp;Y$1,JupData!$A$2:$A$10000&amp;JupData!$J$2:$J$10000,0),11))</f>
        <v/>
      </c>
      <c r="Z613" t="str">
        <f t="array" ref="Z613">IF($A613="","",INDEX(JupData!$A$2:$K$10000,MATCH($A613&amp;Z$1,JupData!$A$2:$A$10000&amp;JupData!$J$2:$J$10000,0),11))</f>
        <v/>
      </c>
      <c r="AA613" t="str">
        <f t="array" ref="AA613">IF($A613="","",INDEX(JupData!$A$2:$K$10000,MATCH($A613&amp;AA$1,JupData!$A$2:$A$10000&amp;JupData!$J$2:$J$10000,0),11))</f>
        <v/>
      </c>
      <c r="AB613" t="str">
        <f t="array" ref="AB613">IF($A613="","",INDEX(JupData!$A$2:$K$10000,MATCH($A613&amp;AB$1,JupData!$A$2:$A$10000&amp;JupData!$J$2:$J$10000,0),11))</f>
        <v/>
      </c>
      <c r="AC613" s="10" t="str">
        <f t="shared" si="99"/>
        <v/>
      </c>
      <c r="AD613" s="10" t="str">
        <f t="shared" si="100"/>
        <v/>
      </c>
      <c r="AE613" s="9" t="str">
        <f t="shared" si="101"/>
        <v/>
      </c>
      <c r="AF613" s="10" t="str">
        <f t="shared" si="102"/>
        <v/>
      </c>
      <c r="AG613" s="10" t="str">
        <f t="shared" si="103"/>
        <v/>
      </c>
      <c r="AH613" s="10" t="str">
        <f t="shared" si="104"/>
        <v/>
      </c>
      <c r="AI613" s="10" t="str">
        <f t="shared" si="105"/>
        <v/>
      </c>
      <c r="AJ613" s="10" t="str">
        <f t="shared" si="106"/>
        <v/>
      </c>
      <c r="AK613" s="10" t="str">
        <f t="shared" si="107"/>
        <v/>
      </c>
      <c r="AL613" s="14" t="str">
        <f t="shared" si="108"/>
        <v/>
      </c>
    </row>
    <row r="614" spans="1:38" x14ac:dyDescent="0.2">
      <c r="A614"/>
      <c r="B614" t="str">
        <f>IF($A614="","",VLOOKUP($A614,JupData!$A$2:$I$10000,4,FALSE))</f>
        <v/>
      </c>
      <c r="C614" s="7" t="str">
        <f>IF($A614="",IF(N(D614),0,""),VLOOKUP($A614,JupData!$A$2:$I$10000,7,FALSE))</f>
        <v/>
      </c>
      <c r="D614" t="str">
        <f t="shared" si="109"/>
        <v/>
      </c>
      <c r="E614" t="str">
        <f t="array" ref="E614">IF($A614="","",INDEX(JupData!$A$2:$K$10000,MATCH($A614&amp;E$1,JupData!$A$2:$A$10000&amp;JupData!$J$2:$J$10000,0),11))</f>
        <v/>
      </c>
      <c r="F614" t="str">
        <f t="array" ref="F614">IF($A614="","",INDEX(JupData!$A$2:$K$10000,MATCH($A614&amp;F$1,JupData!$A$2:$A$10000&amp;JupData!$J$2:$J$10000,0),11))</f>
        <v/>
      </c>
      <c r="G614" t="str">
        <f t="array" ref="G614">IF($A614="","",INDEX(JupData!$A$2:$K$10000,MATCH($A614&amp;G$1,JupData!$A$2:$A$10000&amp;JupData!$J$2:$J$10000,0),11))</f>
        <v/>
      </c>
      <c r="H614" t="str">
        <f t="array" ref="H614">IF($A614="","",INDEX(JupData!$A$2:$K$10000,MATCH($A614&amp;H$1,JupData!$A$2:$A$10000&amp;JupData!$J$2:$J$10000,0),11))</f>
        <v/>
      </c>
      <c r="I614" t="str">
        <f t="array" ref="I614">IF($A614="","",INDEX(JupData!$A$2:$K$10000,MATCH($A614&amp;I$1,JupData!$A$2:$A$10000&amp;JupData!$J$2:$J$10000,0),11))</f>
        <v/>
      </c>
      <c r="J614" t="str">
        <f t="array" ref="J614">IF($A614="","",INDEX(JupData!$A$2:$K$10000,MATCH($A614&amp;J$1,JupData!$A$2:$A$10000&amp;JupData!$J$2:$J$10000,0),11))</f>
        <v/>
      </c>
      <c r="K614" t="str">
        <f t="array" ref="K614">IF($A614="","",INDEX(JupData!$A$2:$K$10000,MATCH($A614&amp;K$1,JupData!$A$2:$A$10000&amp;JupData!$J$2:$J$10000,0),11))</f>
        <v/>
      </c>
      <c r="L614" t="str">
        <f t="array" ref="L614">IF($A614="","",INDEX(JupData!$A$2:$K$10000,MATCH($A614&amp;L$1,JupData!$A$2:$A$10000&amp;JupData!$J$2:$J$10000,0),11))</f>
        <v/>
      </c>
      <c r="M614" t="str">
        <f t="array" ref="M614">IF($A614="","",INDEX(JupData!$A$2:$K$10000,MATCH($A614&amp;M$1,JupData!$A$2:$A$10000&amp;JupData!$J$2:$J$10000,0),11))</f>
        <v/>
      </c>
      <c r="N614" t="str">
        <f t="array" ref="N614">IF($A614="","",INDEX(JupData!$A$2:$K$10000,MATCH($A614&amp;N$1,JupData!$A$2:$A$10000&amp;JupData!$J$2:$J$10000,0),11))</f>
        <v/>
      </c>
      <c r="O614" t="str">
        <f t="array" ref="O614">IF($A614="","",INDEX(JupData!$A$2:$K$10000,MATCH($A614&amp;O$1,JupData!$A$2:$A$10000&amp;JupData!$J$2:$J$10000,0),11))</f>
        <v/>
      </c>
      <c r="P614" t="str">
        <f t="array" ref="P614">IF($A614="","",INDEX(JupData!$A$2:$K$10000,MATCH($A614&amp;P$1,JupData!$A$2:$A$10000&amp;JupData!$J$2:$J$10000,0),11))</f>
        <v/>
      </c>
      <c r="Q614" t="str">
        <f t="array" ref="Q614">IF($A614="","",INDEX(JupData!$A$2:$K$10000,MATCH($A614&amp;Q$1,JupData!$A$2:$A$10000&amp;JupData!$J$2:$J$10000,0),11))</f>
        <v/>
      </c>
      <c r="R614" t="str">
        <f t="array" ref="R614">IF($A614="","",INDEX(JupData!$A$2:$K$10000,MATCH($A614&amp;R$1,JupData!$A$2:$A$10000&amp;JupData!$J$2:$J$10000,0),11))</f>
        <v/>
      </c>
      <c r="S614" t="str">
        <f t="array" ref="S614">IF($A614="","",INDEX(JupData!$A$2:$K$10000,MATCH($A614&amp;S$1,JupData!$A$2:$A$10000&amp;JupData!$J$2:$J$10000,0),11))</f>
        <v/>
      </c>
      <c r="T614" t="str">
        <f t="array" ref="T614">IF($A614="","",INDEX(JupData!$A$2:$K$10000,MATCH($A614&amp;T$1,JupData!$A$2:$A$10000&amp;JupData!$J$2:$J$10000,0),11))</f>
        <v/>
      </c>
      <c r="U614" t="str">
        <f t="array" ref="U614">IF($A614="","",INDEX(JupData!$A$2:$K$10000,MATCH($A614&amp;U$1,JupData!$A$2:$A$10000&amp;JupData!$J$2:$J$10000,0),11))</f>
        <v/>
      </c>
      <c r="V614" t="str">
        <f t="array" ref="V614">IF($A614="","",INDEX(JupData!$A$2:$K$10000,MATCH($A614&amp;V$1,JupData!$A$2:$A$10000&amp;JupData!$J$2:$J$10000,0),11))</f>
        <v/>
      </c>
      <c r="W614" t="str">
        <f t="array" ref="W614">IF($A614="","",INDEX(JupData!$A$2:$K$10000,MATCH($A614&amp;W$1,JupData!$A$2:$A$10000&amp;JupData!$J$2:$J$10000,0),11))</f>
        <v/>
      </c>
      <c r="X614" t="str">
        <f t="array" ref="X614">IF($A614="","",INDEX(JupData!$A$2:$K$10000,MATCH($A614&amp;X$1,JupData!$A$2:$A$10000&amp;JupData!$J$2:$J$10000,0),11))</f>
        <v/>
      </c>
      <c r="Y614" t="str">
        <f t="array" ref="Y614">IF($A614="","",INDEX(JupData!$A$2:$K$10000,MATCH($A614&amp;Y$1,JupData!$A$2:$A$10000&amp;JupData!$J$2:$J$10000,0),11))</f>
        <v/>
      </c>
      <c r="Z614" t="str">
        <f t="array" ref="Z614">IF($A614="","",INDEX(JupData!$A$2:$K$10000,MATCH($A614&amp;Z$1,JupData!$A$2:$A$10000&amp;JupData!$J$2:$J$10000,0),11))</f>
        <v/>
      </c>
      <c r="AA614" t="str">
        <f t="array" ref="AA614">IF($A614="","",INDEX(JupData!$A$2:$K$10000,MATCH($A614&amp;AA$1,JupData!$A$2:$A$10000&amp;JupData!$J$2:$J$10000,0),11))</f>
        <v/>
      </c>
      <c r="AB614" t="str">
        <f t="array" ref="AB614">IF($A614="","",INDEX(JupData!$A$2:$K$10000,MATCH($A614&amp;AB$1,JupData!$A$2:$A$10000&amp;JupData!$J$2:$J$10000,0),11))</f>
        <v/>
      </c>
      <c r="AC614" s="10" t="str">
        <f t="shared" si="99"/>
        <v/>
      </c>
      <c r="AD614" s="10" t="str">
        <f t="shared" si="100"/>
        <v/>
      </c>
      <c r="AE614" s="9" t="str">
        <f t="shared" si="101"/>
        <v/>
      </c>
      <c r="AF614" s="10" t="str">
        <f t="shared" si="102"/>
        <v/>
      </c>
      <c r="AG614" s="10" t="str">
        <f t="shared" si="103"/>
        <v/>
      </c>
      <c r="AH614" s="10" t="str">
        <f t="shared" si="104"/>
        <v/>
      </c>
      <c r="AI614" s="10" t="str">
        <f t="shared" si="105"/>
        <v/>
      </c>
      <c r="AJ614" s="10" t="str">
        <f t="shared" si="106"/>
        <v/>
      </c>
      <c r="AK614" s="10" t="str">
        <f t="shared" si="107"/>
        <v/>
      </c>
      <c r="AL614" s="14" t="str">
        <f t="shared" si="108"/>
        <v/>
      </c>
    </row>
    <row r="615" spans="1:38" x14ac:dyDescent="0.2">
      <c r="A615"/>
      <c r="B615" t="str">
        <f>IF($A615="","",VLOOKUP($A615,JupData!$A$2:$I$10000,4,FALSE))</f>
        <v/>
      </c>
      <c r="C615" s="7" t="str">
        <f>IF($A615="",IF(N(D615),0,""),VLOOKUP($A615,JupData!$A$2:$I$10000,7,FALSE))</f>
        <v/>
      </c>
      <c r="D615" t="str">
        <f t="shared" si="109"/>
        <v/>
      </c>
      <c r="E615" t="str">
        <f t="array" ref="E615">IF($A615="","",INDEX(JupData!$A$2:$K$10000,MATCH($A615&amp;E$1,JupData!$A$2:$A$10000&amp;JupData!$J$2:$J$10000,0),11))</f>
        <v/>
      </c>
      <c r="F615" t="str">
        <f t="array" ref="F615">IF($A615="","",INDEX(JupData!$A$2:$K$10000,MATCH($A615&amp;F$1,JupData!$A$2:$A$10000&amp;JupData!$J$2:$J$10000,0),11))</f>
        <v/>
      </c>
      <c r="G615" t="str">
        <f t="array" ref="G615">IF($A615="","",INDEX(JupData!$A$2:$K$10000,MATCH($A615&amp;G$1,JupData!$A$2:$A$10000&amp;JupData!$J$2:$J$10000,0),11))</f>
        <v/>
      </c>
      <c r="H615" t="str">
        <f t="array" ref="H615">IF($A615="","",INDEX(JupData!$A$2:$K$10000,MATCH($A615&amp;H$1,JupData!$A$2:$A$10000&amp;JupData!$J$2:$J$10000,0),11))</f>
        <v/>
      </c>
      <c r="I615" t="str">
        <f t="array" ref="I615">IF($A615="","",INDEX(JupData!$A$2:$K$10000,MATCH($A615&amp;I$1,JupData!$A$2:$A$10000&amp;JupData!$J$2:$J$10000,0),11))</f>
        <v/>
      </c>
      <c r="J615" t="str">
        <f t="array" ref="J615">IF($A615="","",INDEX(JupData!$A$2:$K$10000,MATCH($A615&amp;J$1,JupData!$A$2:$A$10000&amp;JupData!$J$2:$J$10000,0),11))</f>
        <v/>
      </c>
      <c r="K615" t="str">
        <f t="array" ref="K615">IF($A615="","",INDEX(JupData!$A$2:$K$10000,MATCH($A615&amp;K$1,JupData!$A$2:$A$10000&amp;JupData!$J$2:$J$10000,0),11))</f>
        <v/>
      </c>
      <c r="L615" t="str">
        <f t="array" ref="L615">IF($A615="","",INDEX(JupData!$A$2:$K$10000,MATCH($A615&amp;L$1,JupData!$A$2:$A$10000&amp;JupData!$J$2:$J$10000,0),11))</f>
        <v/>
      </c>
      <c r="M615" t="str">
        <f t="array" ref="M615">IF($A615="","",INDEX(JupData!$A$2:$K$10000,MATCH($A615&amp;M$1,JupData!$A$2:$A$10000&amp;JupData!$J$2:$J$10000,0),11))</f>
        <v/>
      </c>
      <c r="N615" t="str">
        <f t="array" ref="N615">IF($A615="","",INDEX(JupData!$A$2:$K$10000,MATCH($A615&amp;N$1,JupData!$A$2:$A$10000&amp;JupData!$J$2:$J$10000,0),11))</f>
        <v/>
      </c>
      <c r="O615" t="str">
        <f t="array" ref="O615">IF($A615="","",INDEX(JupData!$A$2:$K$10000,MATCH($A615&amp;O$1,JupData!$A$2:$A$10000&amp;JupData!$J$2:$J$10000,0),11))</f>
        <v/>
      </c>
      <c r="P615" t="str">
        <f t="array" ref="P615">IF($A615="","",INDEX(JupData!$A$2:$K$10000,MATCH($A615&amp;P$1,JupData!$A$2:$A$10000&amp;JupData!$J$2:$J$10000,0),11))</f>
        <v/>
      </c>
      <c r="Q615" t="str">
        <f t="array" ref="Q615">IF($A615="","",INDEX(JupData!$A$2:$K$10000,MATCH($A615&amp;Q$1,JupData!$A$2:$A$10000&amp;JupData!$J$2:$J$10000,0),11))</f>
        <v/>
      </c>
      <c r="R615" t="str">
        <f t="array" ref="R615">IF($A615="","",INDEX(JupData!$A$2:$K$10000,MATCH($A615&amp;R$1,JupData!$A$2:$A$10000&amp;JupData!$J$2:$J$10000,0),11))</f>
        <v/>
      </c>
      <c r="S615" t="str">
        <f t="array" ref="S615">IF($A615="","",INDEX(JupData!$A$2:$K$10000,MATCH($A615&amp;S$1,JupData!$A$2:$A$10000&amp;JupData!$J$2:$J$10000,0),11))</f>
        <v/>
      </c>
      <c r="T615" t="str">
        <f t="array" ref="T615">IF($A615="","",INDEX(JupData!$A$2:$K$10000,MATCH($A615&amp;T$1,JupData!$A$2:$A$10000&amp;JupData!$J$2:$J$10000,0),11))</f>
        <v/>
      </c>
      <c r="U615" t="str">
        <f t="array" ref="U615">IF($A615="","",INDEX(JupData!$A$2:$K$10000,MATCH($A615&amp;U$1,JupData!$A$2:$A$10000&amp;JupData!$J$2:$J$10000,0),11))</f>
        <v/>
      </c>
      <c r="V615" t="str">
        <f t="array" ref="V615">IF($A615="","",INDEX(JupData!$A$2:$K$10000,MATCH($A615&amp;V$1,JupData!$A$2:$A$10000&amp;JupData!$J$2:$J$10000,0),11))</f>
        <v/>
      </c>
      <c r="W615" t="str">
        <f t="array" ref="W615">IF($A615="","",INDEX(JupData!$A$2:$K$10000,MATCH($A615&amp;W$1,JupData!$A$2:$A$10000&amp;JupData!$J$2:$J$10000,0),11))</f>
        <v/>
      </c>
      <c r="X615" t="str">
        <f t="array" ref="X615">IF($A615="","",INDEX(JupData!$A$2:$K$10000,MATCH($A615&amp;X$1,JupData!$A$2:$A$10000&amp;JupData!$J$2:$J$10000,0),11))</f>
        <v/>
      </c>
      <c r="Y615" t="str">
        <f t="array" ref="Y615">IF($A615="","",INDEX(JupData!$A$2:$K$10000,MATCH($A615&amp;Y$1,JupData!$A$2:$A$10000&amp;JupData!$J$2:$J$10000,0),11))</f>
        <v/>
      </c>
      <c r="Z615" t="str">
        <f t="array" ref="Z615">IF($A615="","",INDEX(JupData!$A$2:$K$10000,MATCH($A615&amp;Z$1,JupData!$A$2:$A$10000&amp;JupData!$J$2:$J$10000,0),11))</f>
        <v/>
      </c>
      <c r="AA615" t="str">
        <f t="array" ref="AA615">IF($A615="","",INDEX(JupData!$A$2:$K$10000,MATCH($A615&amp;AA$1,JupData!$A$2:$A$10000&amp;JupData!$J$2:$J$10000,0),11))</f>
        <v/>
      </c>
      <c r="AB615" t="str">
        <f t="array" ref="AB615">IF($A615="","",INDEX(JupData!$A$2:$K$10000,MATCH($A615&amp;AB$1,JupData!$A$2:$A$10000&amp;JupData!$J$2:$J$10000,0),11))</f>
        <v/>
      </c>
      <c r="AC615" s="10" t="str">
        <f t="shared" si="99"/>
        <v/>
      </c>
      <c r="AD615" s="10" t="str">
        <f t="shared" si="100"/>
        <v/>
      </c>
      <c r="AE615" s="9" t="str">
        <f t="shared" si="101"/>
        <v/>
      </c>
      <c r="AF615" s="10" t="str">
        <f t="shared" si="102"/>
        <v/>
      </c>
      <c r="AG615" s="10" t="str">
        <f t="shared" si="103"/>
        <v/>
      </c>
      <c r="AH615" s="10" t="str">
        <f t="shared" si="104"/>
        <v/>
      </c>
      <c r="AI615" s="10" t="str">
        <f t="shared" si="105"/>
        <v/>
      </c>
      <c r="AJ615" s="10" t="str">
        <f t="shared" si="106"/>
        <v/>
      </c>
      <c r="AK615" s="10" t="str">
        <f t="shared" si="107"/>
        <v/>
      </c>
      <c r="AL615" s="14" t="str">
        <f t="shared" si="108"/>
        <v/>
      </c>
    </row>
    <row r="616" spans="1:38" x14ac:dyDescent="0.2">
      <c r="A616"/>
      <c r="B616" t="str">
        <f>IF($A616="","",VLOOKUP($A616,JupData!$A$2:$I$10000,4,FALSE))</f>
        <v/>
      </c>
      <c r="C616" s="7" t="str">
        <f>IF($A616="",IF(N(D616),0,""),VLOOKUP($A616,JupData!$A$2:$I$10000,7,FALSE))</f>
        <v/>
      </c>
      <c r="D616" t="str">
        <f t="shared" si="109"/>
        <v/>
      </c>
      <c r="E616" t="str">
        <f t="array" ref="E616">IF($A616="","",INDEX(JupData!$A$2:$K$10000,MATCH($A616&amp;E$1,JupData!$A$2:$A$10000&amp;JupData!$J$2:$J$10000,0),11))</f>
        <v/>
      </c>
      <c r="F616" t="str">
        <f t="array" ref="F616">IF($A616="","",INDEX(JupData!$A$2:$K$10000,MATCH($A616&amp;F$1,JupData!$A$2:$A$10000&amp;JupData!$J$2:$J$10000,0),11))</f>
        <v/>
      </c>
      <c r="G616" t="str">
        <f t="array" ref="G616">IF($A616="","",INDEX(JupData!$A$2:$K$10000,MATCH($A616&amp;G$1,JupData!$A$2:$A$10000&amp;JupData!$J$2:$J$10000,0),11))</f>
        <v/>
      </c>
      <c r="H616" t="str">
        <f t="array" ref="H616">IF($A616="","",INDEX(JupData!$A$2:$K$10000,MATCH($A616&amp;H$1,JupData!$A$2:$A$10000&amp;JupData!$J$2:$J$10000,0),11))</f>
        <v/>
      </c>
      <c r="I616" t="str">
        <f t="array" ref="I616">IF($A616="","",INDEX(JupData!$A$2:$K$10000,MATCH($A616&amp;I$1,JupData!$A$2:$A$10000&amp;JupData!$J$2:$J$10000,0),11))</f>
        <v/>
      </c>
      <c r="J616" t="str">
        <f t="array" ref="J616">IF($A616="","",INDEX(JupData!$A$2:$K$10000,MATCH($A616&amp;J$1,JupData!$A$2:$A$10000&amp;JupData!$J$2:$J$10000,0),11))</f>
        <v/>
      </c>
      <c r="K616" t="str">
        <f t="array" ref="K616">IF($A616="","",INDEX(JupData!$A$2:$K$10000,MATCH($A616&amp;K$1,JupData!$A$2:$A$10000&amp;JupData!$J$2:$J$10000,0),11))</f>
        <v/>
      </c>
      <c r="L616" t="str">
        <f t="array" ref="L616">IF($A616="","",INDEX(JupData!$A$2:$K$10000,MATCH($A616&amp;L$1,JupData!$A$2:$A$10000&amp;JupData!$J$2:$J$10000,0),11))</f>
        <v/>
      </c>
      <c r="M616" t="str">
        <f t="array" ref="M616">IF($A616="","",INDEX(JupData!$A$2:$K$10000,MATCH($A616&amp;M$1,JupData!$A$2:$A$10000&amp;JupData!$J$2:$J$10000,0),11))</f>
        <v/>
      </c>
      <c r="N616" t="str">
        <f t="array" ref="N616">IF($A616="","",INDEX(JupData!$A$2:$K$10000,MATCH($A616&amp;N$1,JupData!$A$2:$A$10000&amp;JupData!$J$2:$J$10000,0),11))</f>
        <v/>
      </c>
      <c r="O616" t="str">
        <f t="array" ref="O616">IF($A616="","",INDEX(JupData!$A$2:$K$10000,MATCH($A616&amp;O$1,JupData!$A$2:$A$10000&amp;JupData!$J$2:$J$10000,0),11))</f>
        <v/>
      </c>
      <c r="P616" t="str">
        <f t="array" ref="P616">IF($A616="","",INDEX(JupData!$A$2:$K$10000,MATCH($A616&amp;P$1,JupData!$A$2:$A$10000&amp;JupData!$J$2:$J$10000,0),11))</f>
        <v/>
      </c>
      <c r="Q616" t="str">
        <f t="array" ref="Q616">IF($A616="","",INDEX(JupData!$A$2:$K$10000,MATCH($A616&amp;Q$1,JupData!$A$2:$A$10000&amp;JupData!$J$2:$J$10000,0),11))</f>
        <v/>
      </c>
      <c r="R616" t="str">
        <f t="array" ref="R616">IF($A616="","",INDEX(JupData!$A$2:$K$10000,MATCH($A616&amp;R$1,JupData!$A$2:$A$10000&amp;JupData!$J$2:$J$10000,0),11))</f>
        <v/>
      </c>
      <c r="S616" t="str">
        <f t="array" ref="S616">IF($A616="","",INDEX(JupData!$A$2:$K$10000,MATCH($A616&amp;S$1,JupData!$A$2:$A$10000&amp;JupData!$J$2:$J$10000,0),11))</f>
        <v/>
      </c>
      <c r="T616" t="str">
        <f t="array" ref="T616">IF($A616="","",INDEX(JupData!$A$2:$K$10000,MATCH($A616&amp;T$1,JupData!$A$2:$A$10000&amp;JupData!$J$2:$J$10000,0),11))</f>
        <v/>
      </c>
      <c r="U616" t="str">
        <f t="array" ref="U616">IF($A616="","",INDEX(JupData!$A$2:$K$10000,MATCH($A616&amp;U$1,JupData!$A$2:$A$10000&amp;JupData!$J$2:$J$10000,0),11))</f>
        <v/>
      </c>
      <c r="V616" t="str">
        <f t="array" ref="V616">IF($A616="","",INDEX(JupData!$A$2:$K$10000,MATCH($A616&amp;V$1,JupData!$A$2:$A$10000&amp;JupData!$J$2:$J$10000,0),11))</f>
        <v/>
      </c>
      <c r="W616" t="str">
        <f t="array" ref="W616">IF($A616="","",INDEX(JupData!$A$2:$K$10000,MATCH($A616&amp;W$1,JupData!$A$2:$A$10000&amp;JupData!$J$2:$J$10000,0),11))</f>
        <v/>
      </c>
      <c r="X616" t="str">
        <f t="array" ref="X616">IF($A616="","",INDEX(JupData!$A$2:$K$10000,MATCH($A616&amp;X$1,JupData!$A$2:$A$10000&amp;JupData!$J$2:$J$10000,0),11))</f>
        <v/>
      </c>
      <c r="Y616" t="str">
        <f t="array" ref="Y616">IF($A616="","",INDEX(JupData!$A$2:$K$10000,MATCH($A616&amp;Y$1,JupData!$A$2:$A$10000&amp;JupData!$J$2:$J$10000,0),11))</f>
        <v/>
      </c>
      <c r="Z616" t="str">
        <f t="array" ref="Z616">IF($A616="","",INDEX(JupData!$A$2:$K$10000,MATCH($A616&amp;Z$1,JupData!$A$2:$A$10000&amp;JupData!$J$2:$J$10000,0),11))</f>
        <v/>
      </c>
      <c r="AA616" t="str">
        <f t="array" ref="AA616">IF($A616="","",INDEX(JupData!$A$2:$K$10000,MATCH($A616&amp;AA$1,JupData!$A$2:$A$10000&amp;JupData!$J$2:$J$10000,0),11))</f>
        <v/>
      </c>
      <c r="AB616" t="str">
        <f t="array" ref="AB616">IF($A616="","",INDEX(JupData!$A$2:$K$10000,MATCH($A616&amp;AB$1,JupData!$A$2:$A$10000&amp;JupData!$J$2:$J$10000,0),11))</f>
        <v/>
      </c>
      <c r="AC616" s="10" t="str">
        <f t="shared" si="99"/>
        <v/>
      </c>
      <c r="AD616" s="10" t="str">
        <f t="shared" si="100"/>
        <v/>
      </c>
      <c r="AE616" s="9" t="str">
        <f t="shared" si="101"/>
        <v/>
      </c>
      <c r="AF616" s="10" t="str">
        <f t="shared" si="102"/>
        <v/>
      </c>
      <c r="AG616" s="10" t="str">
        <f t="shared" si="103"/>
        <v/>
      </c>
      <c r="AH616" s="10" t="str">
        <f t="shared" si="104"/>
        <v/>
      </c>
      <c r="AI616" s="10" t="str">
        <f t="shared" si="105"/>
        <v/>
      </c>
      <c r="AJ616" s="10" t="str">
        <f t="shared" si="106"/>
        <v/>
      </c>
      <c r="AK616" s="10" t="str">
        <f t="shared" si="107"/>
        <v/>
      </c>
      <c r="AL616" s="14" t="str">
        <f t="shared" si="108"/>
        <v/>
      </c>
    </row>
    <row r="617" spans="1:38" x14ac:dyDescent="0.2">
      <c r="A617"/>
      <c r="B617" t="str">
        <f>IF($A617="","",VLOOKUP($A617,JupData!$A$2:$I$10000,4,FALSE))</f>
        <v/>
      </c>
      <c r="C617" s="7" t="str">
        <f>IF($A617="",IF(N(D617),0,""),VLOOKUP($A617,JupData!$A$2:$I$10000,7,FALSE))</f>
        <v/>
      </c>
      <c r="D617" t="str">
        <f t="shared" si="109"/>
        <v/>
      </c>
      <c r="E617" t="str">
        <f t="array" ref="E617">IF($A617="","",INDEX(JupData!$A$2:$K$10000,MATCH($A617&amp;E$1,JupData!$A$2:$A$10000&amp;JupData!$J$2:$J$10000,0),11))</f>
        <v/>
      </c>
      <c r="F617" t="str">
        <f t="array" ref="F617">IF($A617="","",INDEX(JupData!$A$2:$K$10000,MATCH($A617&amp;F$1,JupData!$A$2:$A$10000&amp;JupData!$J$2:$J$10000,0),11))</f>
        <v/>
      </c>
      <c r="G617" t="str">
        <f t="array" ref="G617">IF($A617="","",INDEX(JupData!$A$2:$K$10000,MATCH($A617&amp;G$1,JupData!$A$2:$A$10000&amp;JupData!$J$2:$J$10000,0),11))</f>
        <v/>
      </c>
      <c r="H617" t="str">
        <f t="array" ref="H617">IF($A617="","",INDEX(JupData!$A$2:$K$10000,MATCH($A617&amp;H$1,JupData!$A$2:$A$10000&amp;JupData!$J$2:$J$10000,0),11))</f>
        <v/>
      </c>
      <c r="I617" t="str">
        <f t="array" ref="I617">IF($A617="","",INDEX(JupData!$A$2:$K$10000,MATCH($A617&amp;I$1,JupData!$A$2:$A$10000&amp;JupData!$J$2:$J$10000,0),11))</f>
        <v/>
      </c>
      <c r="J617" t="str">
        <f t="array" ref="J617">IF($A617="","",INDEX(JupData!$A$2:$K$10000,MATCH($A617&amp;J$1,JupData!$A$2:$A$10000&amp;JupData!$J$2:$J$10000,0),11))</f>
        <v/>
      </c>
      <c r="K617" t="str">
        <f t="array" ref="K617">IF($A617="","",INDEX(JupData!$A$2:$K$10000,MATCH($A617&amp;K$1,JupData!$A$2:$A$10000&amp;JupData!$J$2:$J$10000,0),11))</f>
        <v/>
      </c>
      <c r="L617" t="str">
        <f t="array" ref="L617">IF($A617="","",INDEX(JupData!$A$2:$K$10000,MATCH($A617&amp;L$1,JupData!$A$2:$A$10000&amp;JupData!$J$2:$J$10000,0),11))</f>
        <v/>
      </c>
      <c r="M617" t="str">
        <f t="array" ref="M617">IF($A617="","",INDEX(JupData!$A$2:$K$10000,MATCH($A617&amp;M$1,JupData!$A$2:$A$10000&amp;JupData!$J$2:$J$10000,0),11))</f>
        <v/>
      </c>
      <c r="N617" t="str">
        <f t="array" ref="N617">IF($A617="","",INDEX(JupData!$A$2:$K$10000,MATCH($A617&amp;N$1,JupData!$A$2:$A$10000&amp;JupData!$J$2:$J$10000,0),11))</f>
        <v/>
      </c>
      <c r="O617" t="str">
        <f t="array" ref="O617">IF($A617="","",INDEX(JupData!$A$2:$K$10000,MATCH($A617&amp;O$1,JupData!$A$2:$A$10000&amp;JupData!$J$2:$J$10000,0),11))</f>
        <v/>
      </c>
      <c r="P617" t="str">
        <f t="array" ref="P617">IF($A617="","",INDEX(JupData!$A$2:$K$10000,MATCH($A617&amp;P$1,JupData!$A$2:$A$10000&amp;JupData!$J$2:$J$10000,0),11))</f>
        <v/>
      </c>
      <c r="Q617" t="str">
        <f t="array" ref="Q617">IF($A617="","",INDEX(JupData!$A$2:$K$10000,MATCH($A617&amp;Q$1,JupData!$A$2:$A$10000&amp;JupData!$J$2:$J$10000,0),11))</f>
        <v/>
      </c>
      <c r="R617" t="str">
        <f t="array" ref="R617">IF($A617="","",INDEX(JupData!$A$2:$K$10000,MATCH($A617&amp;R$1,JupData!$A$2:$A$10000&amp;JupData!$J$2:$J$10000,0),11))</f>
        <v/>
      </c>
      <c r="S617" t="str">
        <f t="array" ref="S617">IF($A617="","",INDEX(JupData!$A$2:$K$10000,MATCH($A617&amp;S$1,JupData!$A$2:$A$10000&amp;JupData!$J$2:$J$10000,0),11))</f>
        <v/>
      </c>
      <c r="T617" t="str">
        <f t="array" ref="T617">IF($A617="","",INDEX(JupData!$A$2:$K$10000,MATCH($A617&amp;T$1,JupData!$A$2:$A$10000&amp;JupData!$J$2:$J$10000,0),11))</f>
        <v/>
      </c>
      <c r="U617" t="str">
        <f t="array" ref="U617">IF($A617="","",INDEX(JupData!$A$2:$K$10000,MATCH($A617&amp;U$1,JupData!$A$2:$A$10000&amp;JupData!$J$2:$J$10000,0),11))</f>
        <v/>
      </c>
      <c r="V617" t="str">
        <f t="array" ref="V617">IF($A617="","",INDEX(JupData!$A$2:$K$10000,MATCH($A617&amp;V$1,JupData!$A$2:$A$10000&amp;JupData!$J$2:$J$10000,0),11))</f>
        <v/>
      </c>
      <c r="W617" t="str">
        <f t="array" ref="W617">IF($A617="","",INDEX(JupData!$A$2:$K$10000,MATCH($A617&amp;W$1,JupData!$A$2:$A$10000&amp;JupData!$J$2:$J$10000,0),11))</f>
        <v/>
      </c>
      <c r="X617" t="str">
        <f t="array" ref="X617">IF($A617="","",INDEX(JupData!$A$2:$K$10000,MATCH($A617&amp;X$1,JupData!$A$2:$A$10000&amp;JupData!$J$2:$J$10000,0),11))</f>
        <v/>
      </c>
      <c r="Y617" t="str">
        <f t="array" ref="Y617">IF($A617="","",INDEX(JupData!$A$2:$K$10000,MATCH($A617&amp;Y$1,JupData!$A$2:$A$10000&amp;JupData!$J$2:$J$10000,0),11))</f>
        <v/>
      </c>
      <c r="Z617" t="str">
        <f t="array" ref="Z617">IF($A617="","",INDEX(JupData!$A$2:$K$10000,MATCH($A617&amp;Z$1,JupData!$A$2:$A$10000&amp;JupData!$J$2:$J$10000,0),11))</f>
        <v/>
      </c>
      <c r="AA617" t="str">
        <f t="array" ref="AA617">IF($A617="","",INDEX(JupData!$A$2:$K$10000,MATCH($A617&amp;AA$1,JupData!$A$2:$A$10000&amp;JupData!$J$2:$J$10000,0),11))</f>
        <v/>
      </c>
      <c r="AB617" t="str">
        <f t="array" ref="AB617">IF($A617="","",INDEX(JupData!$A$2:$K$10000,MATCH($A617&amp;AB$1,JupData!$A$2:$A$10000&amp;JupData!$J$2:$J$10000,0),11))</f>
        <v/>
      </c>
      <c r="AC617" s="10" t="str">
        <f t="shared" si="99"/>
        <v/>
      </c>
      <c r="AD617" s="10" t="str">
        <f t="shared" si="100"/>
        <v/>
      </c>
      <c r="AE617" s="9" t="str">
        <f t="shared" si="101"/>
        <v/>
      </c>
      <c r="AF617" s="10" t="str">
        <f t="shared" si="102"/>
        <v/>
      </c>
      <c r="AG617" s="10" t="str">
        <f t="shared" si="103"/>
        <v/>
      </c>
      <c r="AH617" s="10" t="str">
        <f t="shared" si="104"/>
        <v/>
      </c>
      <c r="AI617" s="10" t="str">
        <f t="shared" si="105"/>
        <v/>
      </c>
      <c r="AJ617" s="10" t="str">
        <f t="shared" si="106"/>
        <v/>
      </c>
      <c r="AK617" s="10" t="str">
        <f t="shared" si="107"/>
        <v/>
      </c>
      <c r="AL617" s="14" t="str">
        <f t="shared" si="108"/>
        <v/>
      </c>
    </row>
    <row r="618" spans="1:38" x14ac:dyDescent="0.2">
      <c r="A618"/>
      <c r="B618" t="str">
        <f>IF($A618="","",VLOOKUP($A618,JupData!$A$2:$I$10000,4,FALSE))</f>
        <v/>
      </c>
      <c r="C618" s="7" t="str">
        <f>IF($A618="",IF(N(D618),0,""),VLOOKUP($A618,JupData!$A$2:$I$10000,7,FALSE))</f>
        <v/>
      </c>
      <c r="D618" t="str">
        <f t="shared" si="109"/>
        <v/>
      </c>
      <c r="E618" t="str">
        <f t="array" ref="E618">IF($A618="","",INDEX(JupData!$A$2:$K$10000,MATCH($A618&amp;E$1,JupData!$A$2:$A$10000&amp;JupData!$J$2:$J$10000,0),11))</f>
        <v/>
      </c>
      <c r="F618" t="str">
        <f t="array" ref="F618">IF($A618="","",INDEX(JupData!$A$2:$K$10000,MATCH($A618&amp;F$1,JupData!$A$2:$A$10000&amp;JupData!$J$2:$J$10000,0),11))</f>
        <v/>
      </c>
      <c r="G618" t="str">
        <f t="array" ref="G618">IF($A618="","",INDEX(JupData!$A$2:$K$10000,MATCH($A618&amp;G$1,JupData!$A$2:$A$10000&amp;JupData!$J$2:$J$10000,0),11))</f>
        <v/>
      </c>
      <c r="H618" t="str">
        <f t="array" ref="H618">IF($A618="","",INDEX(JupData!$A$2:$K$10000,MATCH($A618&amp;H$1,JupData!$A$2:$A$10000&amp;JupData!$J$2:$J$10000,0),11))</f>
        <v/>
      </c>
      <c r="I618" t="str">
        <f t="array" ref="I618">IF($A618="","",INDEX(JupData!$A$2:$K$10000,MATCH($A618&amp;I$1,JupData!$A$2:$A$10000&amp;JupData!$J$2:$J$10000,0),11))</f>
        <v/>
      </c>
      <c r="J618" t="str">
        <f t="array" ref="J618">IF($A618="","",INDEX(JupData!$A$2:$K$10000,MATCH($A618&amp;J$1,JupData!$A$2:$A$10000&amp;JupData!$J$2:$J$10000,0),11))</f>
        <v/>
      </c>
      <c r="K618" t="str">
        <f t="array" ref="K618">IF($A618="","",INDEX(JupData!$A$2:$K$10000,MATCH($A618&amp;K$1,JupData!$A$2:$A$10000&amp;JupData!$J$2:$J$10000,0),11))</f>
        <v/>
      </c>
      <c r="L618" t="str">
        <f t="array" ref="L618">IF($A618="","",INDEX(JupData!$A$2:$K$10000,MATCH($A618&amp;L$1,JupData!$A$2:$A$10000&amp;JupData!$J$2:$J$10000,0),11))</f>
        <v/>
      </c>
      <c r="M618" t="str">
        <f t="array" ref="M618">IF($A618="","",INDEX(JupData!$A$2:$K$10000,MATCH($A618&amp;M$1,JupData!$A$2:$A$10000&amp;JupData!$J$2:$J$10000,0),11))</f>
        <v/>
      </c>
      <c r="N618" t="str">
        <f t="array" ref="N618">IF($A618="","",INDEX(JupData!$A$2:$K$10000,MATCH($A618&amp;N$1,JupData!$A$2:$A$10000&amp;JupData!$J$2:$J$10000,0),11))</f>
        <v/>
      </c>
      <c r="O618" t="str">
        <f t="array" ref="O618">IF($A618="","",INDEX(JupData!$A$2:$K$10000,MATCH($A618&amp;O$1,JupData!$A$2:$A$10000&amp;JupData!$J$2:$J$10000,0),11))</f>
        <v/>
      </c>
      <c r="P618" t="str">
        <f t="array" ref="P618">IF($A618="","",INDEX(JupData!$A$2:$K$10000,MATCH($A618&amp;P$1,JupData!$A$2:$A$10000&amp;JupData!$J$2:$J$10000,0),11))</f>
        <v/>
      </c>
      <c r="Q618" t="str">
        <f t="array" ref="Q618">IF($A618="","",INDEX(JupData!$A$2:$K$10000,MATCH($A618&amp;Q$1,JupData!$A$2:$A$10000&amp;JupData!$J$2:$J$10000,0),11))</f>
        <v/>
      </c>
      <c r="R618" t="str">
        <f t="array" ref="R618">IF($A618="","",INDEX(JupData!$A$2:$K$10000,MATCH($A618&amp;R$1,JupData!$A$2:$A$10000&amp;JupData!$J$2:$J$10000,0),11))</f>
        <v/>
      </c>
      <c r="S618" t="str">
        <f t="array" ref="S618">IF($A618="","",INDEX(JupData!$A$2:$K$10000,MATCH($A618&amp;S$1,JupData!$A$2:$A$10000&amp;JupData!$J$2:$J$10000,0),11))</f>
        <v/>
      </c>
      <c r="T618" t="str">
        <f t="array" ref="T618">IF($A618="","",INDEX(JupData!$A$2:$K$10000,MATCH($A618&amp;T$1,JupData!$A$2:$A$10000&amp;JupData!$J$2:$J$10000,0),11))</f>
        <v/>
      </c>
      <c r="U618" t="str">
        <f t="array" ref="U618">IF($A618="","",INDEX(JupData!$A$2:$K$10000,MATCH($A618&amp;U$1,JupData!$A$2:$A$10000&amp;JupData!$J$2:$J$10000,0),11))</f>
        <v/>
      </c>
      <c r="V618" t="str">
        <f t="array" ref="V618">IF($A618="","",INDEX(JupData!$A$2:$K$10000,MATCH($A618&amp;V$1,JupData!$A$2:$A$10000&amp;JupData!$J$2:$J$10000,0),11))</f>
        <v/>
      </c>
      <c r="W618" t="str">
        <f t="array" ref="W618">IF($A618="","",INDEX(JupData!$A$2:$K$10000,MATCH($A618&amp;W$1,JupData!$A$2:$A$10000&amp;JupData!$J$2:$J$10000,0),11))</f>
        <v/>
      </c>
      <c r="X618" t="str">
        <f t="array" ref="X618">IF($A618="","",INDEX(JupData!$A$2:$K$10000,MATCH($A618&amp;X$1,JupData!$A$2:$A$10000&amp;JupData!$J$2:$J$10000,0),11))</f>
        <v/>
      </c>
      <c r="Y618" t="str">
        <f t="array" ref="Y618">IF($A618="","",INDEX(JupData!$A$2:$K$10000,MATCH($A618&amp;Y$1,JupData!$A$2:$A$10000&amp;JupData!$J$2:$J$10000,0),11))</f>
        <v/>
      </c>
      <c r="Z618" t="str">
        <f t="array" ref="Z618">IF($A618="","",INDEX(JupData!$A$2:$K$10000,MATCH($A618&amp;Z$1,JupData!$A$2:$A$10000&amp;JupData!$J$2:$J$10000,0),11))</f>
        <v/>
      </c>
      <c r="AA618" t="str">
        <f t="array" ref="AA618">IF($A618="","",INDEX(JupData!$A$2:$K$10000,MATCH($A618&amp;AA$1,JupData!$A$2:$A$10000&amp;JupData!$J$2:$J$10000,0),11))</f>
        <v/>
      </c>
      <c r="AB618" t="str">
        <f t="array" ref="AB618">IF($A618="","",INDEX(JupData!$A$2:$K$10000,MATCH($A618&amp;AB$1,JupData!$A$2:$A$10000&amp;JupData!$J$2:$J$10000,0),11))</f>
        <v/>
      </c>
      <c r="AC618" s="10" t="str">
        <f t="shared" si="99"/>
        <v/>
      </c>
      <c r="AD618" s="10" t="str">
        <f t="shared" si="100"/>
        <v/>
      </c>
      <c r="AE618" s="9" t="str">
        <f t="shared" si="101"/>
        <v/>
      </c>
      <c r="AF618" s="10" t="str">
        <f t="shared" si="102"/>
        <v/>
      </c>
      <c r="AG618" s="10" t="str">
        <f t="shared" si="103"/>
        <v/>
      </c>
      <c r="AH618" s="10" t="str">
        <f t="shared" si="104"/>
        <v/>
      </c>
      <c r="AI618" s="10" t="str">
        <f t="shared" si="105"/>
        <v/>
      </c>
      <c r="AJ618" s="10" t="str">
        <f t="shared" si="106"/>
        <v/>
      </c>
      <c r="AK618" s="10" t="str">
        <f t="shared" si="107"/>
        <v/>
      </c>
      <c r="AL618" s="14" t="str">
        <f t="shared" si="108"/>
        <v/>
      </c>
    </row>
    <row r="619" spans="1:38" x14ac:dyDescent="0.2">
      <c r="A619"/>
      <c r="B619" t="str">
        <f>IF($A619="","",VLOOKUP($A619,JupData!$A$2:$I$10000,4,FALSE))</f>
        <v/>
      </c>
      <c r="C619" s="7" t="str">
        <f>IF($A619="",IF(N(D619),0,""),VLOOKUP($A619,JupData!$A$2:$I$10000,7,FALSE))</f>
        <v/>
      </c>
      <c r="D619" t="str">
        <f t="shared" si="109"/>
        <v/>
      </c>
      <c r="E619" t="str">
        <f t="array" ref="E619">IF($A619="","",INDEX(JupData!$A$2:$K$10000,MATCH($A619&amp;E$1,JupData!$A$2:$A$10000&amp;JupData!$J$2:$J$10000,0),11))</f>
        <v/>
      </c>
      <c r="F619" t="str">
        <f t="array" ref="F619">IF($A619="","",INDEX(JupData!$A$2:$K$10000,MATCH($A619&amp;F$1,JupData!$A$2:$A$10000&amp;JupData!$J$2:$J$10000,0),11))</f>
        <v/>
      </c>
      <c r="G619" t="str">
        <f t="array" ref="G619">IF($A619="","",INDEX(JupData!$A$2:$K$10000,MATCH($A619&amp;G$1,JupData!$A$2:$A$10000&amp;JupData!$J$2:$J$10000,0),11))</f>
        <v/>
      </c>
      <c r="H619" t="str">
        <f t="array" ref="H619">IF($A619="","",INDEX(JupData!$A$2:$K$10000,MATCH($A619&amp;H$1,JupData!$A$2:$A$10000&amp;JupData!$J$2:$J$10000,0),11))</f>
        <v/>
      </c>
      <c r="I619" t="str">
        <f t="array" ref="I619">IF($A619="","",INDEX(JupData!$A$2:$K$10000,MATCH($A619&amp;I$1,JupData!$A$2:$A$10000&amp;JupData!$J$2:$J$10000,0),11))</f>
        <v/>
      </c>
      <c r="J619" t="str">
        <f t="array" ref="J619">IF($A619="","",INDEX(JupData!$A$2:$K$10000,MATCH($A619&amp;J$1,JupData!$A$2:$A$10000&amp;JupData!$J$2:$J$10000,0),11))</f>
        <v/>
      </c>
      <c r="K619" t="str">
        <f t="array" ref="K619">IF($A619="","",INDEX(JupData!$A$2:$K$10000,MATCH($A619&amp;K$1,JupData!$A$2:$A$10000&amp;JupData!$J$2:$J$10000,0),11))</f>
        <v/>
      </c>
      <c r="L619" t="str">
        <f t="array" ref="L619">IF($A619="","",INDEX(JupData!$A$2:$K$10000,MATCH($A619&amp;L$1,JupData!$A$2:$A$10000&amp;JupData!$J$2:$J$10000,0),11))</f>
        <v/>
      </c>
      <c r="M619" t="str">
        <f t="array" ref="M619">IF($A619="","",INDEX(JupData!$A$2:$K$10000,MATCH($A619&amp;M$1,JupData!$A$2:$A$10000&amp;JupData!$J$2:$J$10000,0),11))</f>
        <v/>
      </c>
      <c r="N619" t="str">
        <f t="array" ref="N619">IF($A619="","",INDEX(JupData!$A$2:$K$10000,MATCH($A619&amp;N$1,JupData!$A$2:$A$10000&amp;JupData!$J$2:$J$10000,0),11))</f>
        <v/>
      </c>
      <c r="O619" t="str">
        <f t="array" ref="O619">IF($A619="","",INDEX(JupData!$A$2:$K$10000,MATCH($A619&amp;O$1,JupData!$A$2:$A$10000&amp;JupData!$J$2:$J$10000,0),11))</f>
        <v/>
      </c>
      <c r="P619" t="str">
        <f t="array" ref="P619">IF($A619="","",INDEX(JupData!$A$2:$K$10000,MATCH($A619&amp;P$1,JupData!$A$2:$A$10000&amp;JupData!$J$2:$J$10000,0),11))</f>
        <v/>
      </c>
      <c r="Q619" t="str">
        <f t="array" ref="Q619">IF($A619="","",INDEX(JupData!$A$2:$K$10000,MATCH($A619&amp;Q$1,JupData!$A$2:$A$10000&amp;JupData!$J$2:$J$10000,0),11))</f>
        <v/>
      </c>
      <c r="R619" t="str">
        <f t="array" ref="R619">IF($A619="","",INDEX(JupData!$A$2:$K$10000,MATCH($A619&amp;R$1,JupData!$A$2:$A$10000&amp;JupData!$J$2:$J$10000,0),11))</f>
        <v/>
      </c>
      <c r="S619" t="str">
        <f t="array" ref="S619">IF($A619="","",INDEX(JupData!$A$2:$K$10000,MATCH($A619&amp;S$1,JupData!$A$2:$A$10000&amp;JupData!$J$2:$J$10000,0),11))</f>
        <v/>
      </c>
      <c r="T619" t="str">
        <f t="array" ref="T619">IF($A619="","",INDEX(JupData!$A$2:$K$10000,MATCH($A619&amp;T$1,JupData!$A$2:$A$10000&amp;JupData!$J$2:$J$10000,0),11))</f>
        <v/>
      </c>
      <c r="U619" t="str">
        <f t="array" ref="U619">IF($A619="","",INDEX(JupData!$A$2:$K$10000,MATCH($A619&amp;U$1,JupData!$A$2:$A$10000&amp;JupData!$J$2:$J$10000,0),11))</f>
        <v/>
      </c>
      <c r="V619" t="str">
        <f t="array" ref="V619">IF($A619="","",INDEX(JupData!$A$2:$K$10000,MATCH($A619&amp;V$1,JupData!$A$2:$A$10000&amp;JupData!$J$2:$J$10000,0),11))</f>
        <v/>
      </c>
      <c r="W619" t="str">
        <f t="array" ref="W619">IF($A619="","",INDEX(JupData!$A$2:$K$10000,MATCH($A619&amp;W$1,JupData!$A$2:$A$10000&amp;JupData!$J$2:$J$10000,0),11))</f>
        <v/>
      </c>
      <c r="X619" t="str">
        <f t="array" ref="X619">IF($A619="","",INDEX(JupData!$A$2:$K$10000,MATCH($A619&amp;X$1,JupData!$A$2:$A$10000&amp;JupData!$J$2:$J$10000,0),11))</f>
        <v/>
      </c>
      <c r="Y619" t="str">
        <f t="array" ref="Y619">IF($A619="","",INDEX(JupData!$A$2:$K$10000,MATCH($A619&amp;Y$1,JupData!$A$2:$A$10000&amp;JupData!$J$2:$J$10000,0),11))</f>
        <v/>
      </c>
      <c r="Z619" t="str">
        <f t="array" ref="Z619">IF($A619="","",INDEX(JupData!$A$2:$K$10000,MATCH($A619&amp;Z$1,JupData!$A$2:$A$10000&amp;JupData!$J$2:$J$10000,0),11))</f>
        <v/>
      </c>
      <c r="AA619" t="str">
        <f t="array" ref="AA619">IF($A619="","",INDEX(JupData!$A$2:$K$10000,MATCH($A619&amp;AA$1,JupData!$A$2:$A$10000&amp;JupData!$J$2:$J$10000,0),11))</f>
        <v/>
      </c>
      <c r="AB619" t="str">
        <f t="array" ref="AB619">IF($A619="","",INDEX(JupData!$A$2:$K$10000,MATCH($A619&amp;AB$1,JupData!$A$2:$A$10000&amp;JupData!$J$2:$J$10000,0),11))</f>
        <v/>
      </c>
      <c r="AC619" s="10" t="str">
        <f t="shared" si="99"/>
        <v/>
      </c>
      <c r="AD619" s="10" t="str">
        <f t="shared" si="100"/>
        <v/>
      </c>
      <c r="AE619" s="9" t="str">
        <f t="shared" si="101"/>
        <v/>
      </c>
      <c r="AF619" s="10" t="str">
        <f t="shared" si="102"/>
        <v/>
      </c>
      <c r="AG619" s="10" t="str">
        <f t="shared" si="103"/>
        <v/>
      </c>
      <c r="AH619" s="10" t="str">
        <f t="shared" si="104"/>
        <v/>
      </c>
      <c r="AI619" s="10" t="str">
        <f t="shared" si="105"/>
        <v/>
      </c>
      <c r="AJ619" s="10" t="str">
        <f t="shared" si="106"/>
        <v/>
      </c>
      <c r="AK619" s="10" t="str">
        <f t="shared" si="107"/>
        <v/>
      </c>
      <c r="AL619" s="14" t="str">
        <f t="shared" si="108"/>
        <v/>
      </c>
    </row>
    <row r="620" spans="1:38" x14ac:dyDescent="0.2">
      <c r="A620"/>
      <c r="B620" t="str">
        <f>IF($A620="","",VLOOKUP($A620,JupData!$A$2:$I$10000,4,FALSE))</f>
        <v/>
      </c>
      <c r="C620" s="7" t="str">
        <f>IF($A620="",IF(N(D620),0,""),VLOOKUP($A620,JupData!$A$2:$I$10000,7,FALSE))</f>
        <v/>
      </c>
      <c r="D620" t="str">
        <f t="shared" si="109"/>
        <v/>
      </c>
      <c r="E620" t="str">
        <f t="array" ref="E620">IF($A620="","",INDEX(JupData!$A$2:$K$10000,MATCH($A620&amp;E$1,JupData!$A$2:$A$10000&amp;JupData!$J$2:$J$10000,0),11))</f>
        <v/>
      </c>
      <c r="F620" t="str">
        <f t="array" ref="F620">IF($A620="","",INDEX(JupData!$A$2:$K$10000,MATCH($A620&amp;F$1,JupData!$A$2:$A$10000&amp;JupData!$J$2:$J$10000,0),11))</f>
        <v/>
      </c>
      <c r="G620" t="str">
        <f t="array" ref="G620">IF($A620="","",INDEX(JupData!$A$2:$K$10000,MATCH($A620&amp;G$1,JupData!$A$2:$A$10000&amp;JupData!$J$2:$J$10000,0),11))</f>
        <v/>
      </c>
      <c r="H620" t="str">
        <f t="array" ref="H620">IF($A620="","",INDEX(JupData!$A$2:$K$10000,MATCH($A620&amp;H$1,JupData!$A$2:$A$10000&amp;JupData!$J$2:$J$10000,0),11))</f>
        <v/>
      </c>
      <c r="I620" t="str">
        <f t="array" ref="I620">IF($A620="","",INDEX(JupData!$A$2:$K$10000,MATCH($A620&amp;I$1,JupData!$A$2:$A$10000&amp;JupData!$J$2:$J$10000,0),11))</f>
        <v/>
      </c>
      <c r="J620" t="str">
        <f t="array" ref="J620">IF($A620="","",INDEX(JupData!$A$2:$K$10000,MATCH($A620&amp;J$1,JupData!$A$2:$A$10000&amp;JupData!$J$2:$J$10000,0),11))</f>
        <v/>
      </c>
      <c r="K620" t="str">
        <f t="array" ref="K620">IF($A620="","",INDEX(JupData!$A$2:$K$10000,MATCH($A620&amp;K$1,JupData!$A$2:$A$10000&amp;JupData!$J$2:$J$10000,0),11))</f>
        <v/>
      </c>
      <c r="L620" t="str">
        <f t="array" ref="L620">IF($A620="","",INDEX(JupData!$A$2:$K$10000,MATCH($A620&amp;L$1,JupData!$A$2:$A$10000&amp;JupData!$J$2:$J$10000,0),11))</f>
        <v/>
      </c>
      <c r="M620" t="str">
        <f t="array" ref="M620">IF($A620="","",INDEX(JupData!$A$2:$K$10000,MATCH($A620&amp;M$1,JupData!$A$2:$A$10000&amp;JupData!$J$2:$J$10000,0),11))</f>
        <v/>
      </c>
      <c r="N620" t="str">
        <f t="array" ref="N620">IF($A620="","",INDEX(JupData!$A$2:$K$10000,MATCH($A620&amp;N$1,JupData!$A$2:$A$10000&amp;JupData!$J$2:$J$10000,0),11))</f>
        <v/>
      </c>
      <c r="O620" t="str">
        <f t="array" ref="O620">IF($A620="","",INDEX(JupData!$A$2:$K$10000,MATCH($A620&amp;O$1,JupData!$A$2:$A$10000&amp;JupData!$J$2:$J$10000,0),11))</f>
        <v/>
      </c>
      <c r="P620" t="str">
        <f t="array" ref="P620">IF($A620="","",INDEX(JupData!$A$2:$K$10000,MATCH($A620&amp;P$1,JupData!$A$2:$A$10000&amp;JupData!$J$2:$J$10000,0),11))</f>
        <v/>
      </c>
      <c r="Q620" t="str">
        <f t="array" ref="Q620">IF($A620="","",INDEX(JupData!$A$2:$K$10000,MATCH($A620&amp;Q$1,JupData!$A$2:$A$10000&amp;JupData!$J$2:$J$10000,0),11))</f>
        <v/>
      </c>
      <c r="R620" t="str">
        <f t="array" ref="R620">IF($A620="","",INDEX(JupData!$A$2:$K$10000,MATCH($A620&amp;R$1,JupData!$A$2:$A$10000&amp;JupData!$J$2:$J$10000,0),11))</f>
        <v/>
      </c>
      <c r="S620" t="str">
        <f t="array" ref="S620">IF($A620="","",INDEX(JupData!$A$2:$K$10000,MATCH($A620&amp;S$1,JupData!$A$2:$A$10000&amp;JupData!$J$2:$J$10000,0),11))</f>
        <v/>
      </c>
      <c r="T620" t="str">
        <f t="array" ref="T620">IF($A620="","",INDEX(JupData!$A$2:$K$10000,MATCH($A620&amp;T$1,JupData!$A$2:$A$10000&amp;JupData!$J$2:$J$10000,0),11))</f>
        <v/>
      </c>
      <c r="U620" t="str">
        <f t="array" ref="U620">IF($A620="","",INDEX(JupData!$A$2:$K$10000,MATCH($A620&amp;U$1,JupData!$A$2:$A$10000&amp;JupData!$J$2:$J$10000,0),11))</f>
        <v/>
      </c>
      <c r="V620" t="str">
        <f t="array" ref="V620">IF($A620="","",INDEX(JupData!$A$2:$K$10000,MATCH($A620&amp;V$1,JupData!$A$2:$A$10000&amp;JupData!$J$2:$J$10000,0),11))</f>
        <v/>
      </c>
      <c r="W620" t="str">
        <f t="array" ref="W620">IF($A620="","",INDEX(JupData!$A$2:$K$10000,MATCH($A620&amp;W$1,JupData!$A$2:$A$10000&amp;JupData!$J$2:$J$10000,0),11))</f>
        <v/>
      </c>
      <c r="X620" t="str">
        <f t="array" ref="X620">IF($A620="","",INDEX(JupData!$A$2:$K$10000,MATCH($A620&amp;X$1,JupData!$A$2:$A$10000&amp;JupData!$J$2:$J$10000,0),11))</f>
        <v/>
      </c>
      <c r="Y620" t="str">
        <f t="array" ref="Y620">IF($A620="","",INDEX(JupData!$A$2:$K$10000,MATCH($A620&amp;Y$1,JupData!$A$2:$A$10000&amp;JupData!$J$2:$J$10000,0),11))</f>
        <v/>
      </c>
      <c r="Z620" t="str">
        <f t="array" ref="Z620">IF($A620="","",INDEX(JupData!$A$2:$K$10000,MATCH($A620&amp;Z$1,JupData!$A$2:$A$10000&amp;JupData!$J$2:$J$10000,0),11))</f>
        <v/>
      </c>
      <c r="AA620" t="str">
        <f t="array" ref="AA620">IF($A620="","",INDEX(JupData!$A$2:$K$10000,MATCH($A620&amp;AA$1,JupData!$A$2:$A$10000&amp;JupData!$J$2:$J$10000,0),11))</f>
        <v/>
      </c>
      <c r="AB620" t="str">
        <f t="array" ref="AB620">IF($A620="","",INDEX(JupData!$A$2:$K$10000,MATCH($A620&amp;AB$1,JupData!$A$2:$A$10000&amp;JupData!$J$2:$J$10000,0),11))</f>
        <v/>
      </c>
      <c r="AC620" s="10" t="str">
        <f t="shared" si="99"/>
        <v/>
      </c>
      <c r="AD620" s="10" t="str">
        <f t="shared" si="100"/>
        <v/>
      </c>
      <c r="AE620" s="9" t="str">
        <f t="shared" si="101"/>
        <v/>
      </c>
      <c r="AF620" s="10" t="str">
        <f t="shared" si="102"/>
        <v/>
      </c>
      <c r="AG620" s="10" t="str">
        <f t="shared" si="103"/>
        <v/>
      </c>
      <c r="AH620" s="10" t="str">
        <f t="shared" si="104"/>
        <v/>
      </c>
      <c r="AI620" s="10" t="str">
        <f t="shared" si="105"/>
        <v/>
      </c>
      <c r="AJ620" s="10" t="str">
        <f t="shared" si="106"/>
        <v/>
      </c>
      <c r="AK620" s="10" t="str">
        <f t="shared" si="107"/>
        <v/>
      </c>
      <c r="AL620" s="14" t="str">
        <f t="shared" si="108"/>
        <v/>
      </c>
    </row>
    <row r="621" spans="1:38" x14ac:dyDescent="0.2">
      <c r="A621"/>
      <c r="B621" t="str">
        <f>IF($A621="","",VLOOKUP($A621,JupData!$A$2:$I$10000,4,FALSE))</f>
        <v/>
      </c>
      <c r="C621" s="7" t="str">
        <f>IF($A621="",IF(N(D621),0,""),VLOOKUP($A621,JupData!$A$2:$I$10000,7,FALSE))</f>
        <v/>
      </c>
      <c r="D621" t="str">
        <f t="shared" si="109"/>
        <v/>
      </c>
      <c r="E621" t="str">
        <f t="array" ref="E621">IF($A621="","",INDEX(JupData!$A$2:$K$10000,MATCH($A621&amp;E$1,JupData!$A$2:$A$10000&amp;JupData!$J$2:$J$10000,0),11))</f>
        <v/>
      </c>
      <c r="F621" t="str">
        <f t="array" ref="F621">IF($A621="","",INDEX(JupData!$A$2:$K$10000,MATCH($A621&amp;F$1,JupData!$A$2:$A$10000&amp;JupData!$J$2:$J$10000,0),11))</f>
        <v/>
      </c>
      <c r="G621" t="str">
        <f t="array" ref="G621">IF($A621="","",INDEX(JupData!$A$2:$K$10000,MATCH($A621&amp;G$1,JupData!$A$2:$A$10000&amp;JupData!$J$2:$J$10000,0),11))</f>
        <v/>
      </c>
      <c r="H621" t="str">
        <f t="array" ref="H621">IF($A621="","",INDEX(JupData!$A$2:$K$10000,MATCH($A621&amp;H$1,JupData!$A$2:$A$10000&amp;JupData!$J$2:$J$10000,0),11))</f>
        <v/>
      </c>
      <c r="I621" t="str">
        <f t="array" ref="I621">IF($A621="","",INDEX(JupData!$A$2:$K$10000,MATCH($A621&amp;I$1,JupData!$A$2:$A$10000&amp;JupData!$J$2:$J$10000,0),11))</f>
        <v/>
      </c>
      <c r="J621" t="str">
        <f t="array" ref="J621">IF($A621="","",INDEX(JupData!$A$2:$K$10000,MATCH($A621&amp;J$1,JupData!$A$2:$A$10000&amp;JupData!$J$2:$J$10000,0),11))</f>
        <v/>
      </c>
      <c r="K621" t="str">
        <f t="array" ref="K621">IF($A621="","",INDEX(JupData!$A$2:$K$10000,MATCH($A621&amp;K$1,JupData!$A$2:$A$10000&amp;JupData!$J$2:$J$10000,0),11))</f>
        <v/>
      </c>
      <c r="L621" t="str">
        <f t="array" ref="L621">IF($A621="","",INDEX(JupData!$A$2:$K$10000,MATCH($A621&amp;L$1,JupData!$A$2:$A$10000&amp;JupData!$J$2:$J$10000,0),11))</f>
        <v/>
      </c>
      <c r="M621" t="str">
        <f t="array" ref="M621">IF($A621="","",INDEX(JupData!$A$2:$K$10000,MATCH($A621&amp;M$1,JupData!$A$2:$A$10000&amp;JupData!$J$2:$J$10000,0),11))</f>
        <v/>
      </c>
      <c r="N621" t="str">
        <f t="array" ref="N621">IF($A621="","",INDEX(JupData!$A$2:$K$10000,MATCH($A621&amp;N$1,JupData!$A$2:$A$10000&amp;JupData!$J$2:$J$10000,0),11))</f>
        <v/>
      </c>
      <c r="O621" t="str">
        <f t="array" ref="O621">IF($A621="","",INDEX(JupData!$A$2:$K$10000,MATCH($A621&amp;O$1,JupData!$A$2:$A$10000&amp;JupData!$J$2:$J$10000,0),11))</f>
        <v/>
      </c>
      <c r="P621" t="str">
        <f t="array" ref="P621">IF($A621="","",INDEX(JupData!$A$2:$K$10000,MATCH($A621&amp;P$1,JupData!$A$2:$A$10000&amp;JupData!$J$2:$J$10000,0),11))</f>
        <v/>
      </c>
      <c r="Q621" t="str">
        <f t="array" ref="Q621">IF($A621="","",INDEX(JupData!$A$2:$K$10000,MATCH($A621&amp;Q$1,JupData!$A$2:$A$10000&amp;JupData!$J$2:$J$10000,0),11))</f>
        <v/>
      </c>
      <c r="R621" t="str">
        <f t="array" ref="R621">IF($A621="","",INDEX(JupData!$A$2:$K$10000,MATCH($A621&amp;R$1,JupData!$A$2:$A$10000&amp;JupData!$J$2:$J$10000,0),11))</f>
        <v/>
      </c>
      <c r="S621" t="str">
        <f t="array" ref="S621">IF($A621="","",INDEX(JupData!$A$2:$K$10000,MATCH($A621&amp;S$1,JupData!$A$2:$A$10000&amp;JupData!$J$2:$J$10000,0),11))</f>
        <v/>
      </c>
      <c r="T621" t="str">
        <f t="array" ref="T621">IF($A621="","",INDEX(JupData!$A$2:$K$10000,MATCH($A621&amp;T$1,JupData!$A$2:$A$10000&amp;JupData!$J$2:$J$10000,0),11))</f>
        <v/>
      </c>
      <c r="U621" t="str">
        <f t="array" ref="U621">IF($A621="","",INDEX(JupData!$A$2:$K$10000,MATCH($A621&amp;U$1,JupData!$A$2:$A$10000&amp;JupData!$J$2:$J$10000,0),11))</f>
        <v/>
      </c>
      <c r="V621" t="str">
        <f t="array" ref="V621">IF($A621="","",INDEX(JupData!$A$2:$K$10000,MATCH($A621&amp;V$1,JupData!$A$2:$A$10000&amp;JupData!$J$2:$J$10000,0),11))</f>
        <v/>
      </c>
      <c r="W621" t="str">
        <f t="array" ref="W621">IF($A621="","",INDEX(JupData!$A$2:$K$10000,MATCH($A621&amp;W$1,JupData!$A$2:$A$10000&amp;JupData!$J$2:$J$10000,0),11))</f>
        <v/>
      </c>
      <c r="X621" t="str">
        <f t="array" ref="X621">IF($A621="","",INDEX(JupData!$A$2:$K$10000,MATCH($A621&amp;X$1,JupData!$A$2:$A$10000&amp;JupData!$J$2:$J$10000,0),11))</f>
        <v/>
      </c>
      <c r="Y621" t="str">
        <f t="array" ref="Y621">IF($A621="","",INDEX(JupData!$A$2:$K$10000,MATCH($A621&amp;Y$1,JupData!$A$2:$A$10000&amp;JupData!$J$2:$J$10000,0),11))</f>
        <v/>
      </c>
      <c r="Z621" t="str">
        <f t="array" ref="Z621">IF($A621="","",INDEX(JupData!$A$2:$K$10000,MATCH($A621&amp;Z$1,JupData!$A$2:$A$10000&amp;JupData!$J$2:$J$10000,0),11))</f>
        <v/>
      </c>
      <c r="AA621" t="str">
        <f t="array" ref="AA621">IF($A621="","",INDEX(JupData!$A$2:$K$10000,MATCH($A621&amp;AA$1,JupData!$A$2:$A$10000&amp;JupData!$J$2:$J$10000,0),11))</f>
        <v/>
      </c>
      <c r="AB621" t="str">
        <f t="array" ref="AB621">IF($A621="","",INDEX(JupData!$A$2:$K$10000,MATCH($A621&amp;AB$1,JupData!$A$2:$A$10000&amp;JupData!$J$2:$J$10000,0),11))</f>
        <v/>
      </c>
      <c r="AC621" s="10" t="str">
        <f t="shared" si="99"/>
        <v/>
      </c>
      <c r="AD621" s="10" t="str">
        <f t="shared" si="100"/>
        <v/>
      </c>
      <c r="AE621" s="9" t="str">
        <f t="shared" si="101"/>
        <v/>
      </c>
      <c r="AF621" s="10" t="str">
        <f t="shared" si="102"/>
        <v/>
      </c>
      <c r="AG621" s="10" t="str">
        <f t="shared" si="103"/>
        <v/>
      </c>
      <c r="AH621" s="10" t="str">
        <f t="shared" si="104"/>
        <v/>
      </c>
      <c r="AI621" s="10" t="str">
        <f t="shared" si="105"/>
        <v/>
      </c>
      <c r="AJ621" s="10" t="str">
        <f t="shared" si="106"/>
        <v/>
      </c>
      <c r="AK621" s="10" t="str">
        <f t="shared" si="107"/>
        <v/>
      </c>
      <c r="AL621" s="14" t="str">
        <f t="shared" si="108"/>
        <v/>
      </c>
    </row>
    <row r="622" spans="1:38" x14ac:dyDescent="0.2">
      <c r="A622"/>
      <c r="B622" t="str">
        <f>IF($A622="","",VLOOKUP($A622,JupData!$A$2:$I$10000,4,FALSE))</f>
        <v/>
      </c>
      <c r="C622" s="7" t="str">
        <f>IF($A622="",IF(N(D622),0,""),VLOOKUP($A622,JupData!$A$2:$I$10000,7,FALSE))</f>
        <v/>
      </c>
      <c r="D622" t="str">
        <f t="shared" si="109"/>
        <v/>
      </c>
      <c r="E622" t="str">
        <f t="array" ref="E622">IF($A622="","",INDEX(JupData!$A$2:$K$10000,MATCH($A622&amp;E$1,JupData!$A$2:$A$10000&amp;JupData!$J$2:$J$10000,0),11))</f>
        <v/>
      </c>
      <c r="F622" t="str">
        <f t="array" ref="F622">IF($A622="","",INDEX(JupData!$A$2:$K$10000,MATCH($A622&amp;F$1,JupData!$A$2:$A$10000&amp;JupData!$J$2:$J$10000,0),11))</f>
        <v/>
      </c>
      <c r="G622" t="str">
        <f t="array" ref="G622">IF($A622="","",INDEX(JupData!$A$2:$K$10000,MATCH($A622&amp;G$1,JupData!$A$2:$A$10000&amp;JupData!$J$2:$J$10000,0),11))</f>
        <v/>
      </c>
      <c r="H622" t="str">
        <f t="array" ref="H622">IF($A622="","",INDEX(JupData!$A$2:$K$10000,MATCH($A622&amp;H$1,JupData!$A$2:$A$10000&amp;JupData!$J$2:$J$10000,0),11))</f>
        <v/>
      </c>
      <c r="I622" t="str">
        <f t="array" ref="I622">IF($A622="","",INDEX(JupData!$A$2:$K$10000,MATCH($A622&amp;I$1,JupData!$A$2:$A$10000&amp;JupData!$J$2:$J$10000,0),11))</f>
        <v/>
      </c>
      <c r="J622" t="str">
        <f t="array" ref="J622">IF($A622="","",INDEX(JupData!$A$2:$K$10000,MATCH($A622&amp;J$1,JupData!$A$2:$A$10000&amp;JupData!$J$2:$J$10000,0),11))</f>
        <v/>
      </c>
      <c r="K622" t="str">
        <f t="array" ref="K622">IF($A622="","",INDEX(JupData!$A$2:$K$10000,MATCH($A622&amp;K$1,JupData!$A$2:$A$10000&amp;JupData!$J$2:$J$10000,0),11))</f>
        <v/>
      </c>
      <c r="L622" t="str">
        <f t="array" ref="L622">IF($A622="","",INDEX(JupData!$A$2:$K$10000,MATCH($A622&amp;L$1,JupData!$A$2:$A$10000&amp;JupData!$J$2:$J$10000,0),11))</f>
        <v/>
      </c>
      <c r="M622" t="str">
        <f t="array" ref="M622">IF($A622="","",INDEX(JupData!$A$2:$K$10000,MATCH($A622&amp;M$1,JupData!$A$2:$A$10000&amp;JupData!$J$2:$J$10000,0),11))</f>
        <v/>
      </c>
      <c r="N622" t="str">
        <f t="array" ref="N622">IF($A622="","",INDEX(JupData!$A$2:$K$10000,MATCH($A622&amp;N$1,JupData!$A$2:$A$10000&amp;JupData!$J$2:$J$10000,0),11))</f>
        <v/>
      </c>
      <c r="O622" t="str">
        <f t="array" ref="O622">IF($A622="","",INDEX(JupData!$A$2:$K$10000,MATCH($A622&amp;O$1,JupData!$A$2:$A$10000&amp;JupData!$J$2:$J$10000,0),11))</f>
        <v/>
      </c>
      <c r="P622" t="str">
        <f t="array" ref="P622">IF($A622="","",INDEX(JupData!$A$2:$K$10000,MATCH($A622&amp;P$1,JupData!$A$2:$A$10000&amp;JupData!$J$2:$J$10000,0),11))</f>
        <v/>
      </c>
      <c r="Q622" t="str">
        <f t="array" ref="Q622">IF($A622="","",INDEX(JupData!$A$2:$K$10000,MATCH($A622&amp;Q$1,JupData!$A$2:$A$10000&amp;JupData!$J$2:$J$10000,0),11))</f>
        <v/>
      </c>
      <c r="R622" t="str">
        <f t="array" ref="R622">IF($A622="","",INDEX(JupData!$A$2:$K$10000,MATCH($A622&amp;R$1,JupData!$A$2:$A$10000&amp;JupData!$J$2:$J$10000,0),11))</f>
        <v/>
      </c>
      <c r="S622" t="str">
        <f t="array" ref="S622">IF($A622="","",INDEX(JupData!$A$2:$K$10000,MATCH($A622&amp;S$1,JupData!$A$2:$A$10000&amp;JupData!$J$2:$J$10000,0),11))</f>
        <v/>
      </c>
      <c r="T622" t="str">
        <f t="array" ref="T622">IF($A622="","",INDEX(JupData!$A$2:$K$10000,MATCH($A622&amp;T$1,JupData!$A$2:$A$10000&amp;JupData!$J$2:$J$10000,0),11))</f>
        <v/>
      </c>
      <c r="U622" t="str">
        <f t="array" ref="U622">IF($A622="","",INDEX(JupData!$A$2:$K$10000,MATCH($A622&amp;U$1,JupData!$A$2:$A$10000&amp;JupData!$J$2:$J$10000,0),11))</f>
        <v/>
      </c>
      <c r="V622" t="str">
        <f t="array" ref="V622">IF($A622="","",INDEX(JupData!$A$2:$K$10000,MATCH($A622&amp;V$1,JupData!$A$2:$A$10000&amp;JupData!$J$2:$J$10000,0),11))</f>
        <v/>
      </c>
      <c r="W622" t="str">
        <f t="array" ref="W622">IF($A622="","",INDEX(JupData!$A$2:$K$10000,MATCH($A622&amp;W$1,JupData!$A$2:$A$10000&amp;JupData!$J$2:$J$10000,0),11))</f>
        <v/>
      </c>
      <c r="X622" t="str">
        <f t="array" ref="X622">IF($A622="","",INDEX(JupData!$A$2:$K$10000,MATCH($A622&amp;X$1,JupData!$A$2:$A$10000&amp;JupData!$J$2:$J$10000,0),11))</f>
        <v/>
      </c>
      <c r="Y622" t="str">
        <f t="array" ref="Y622">IF($A622="","",INDEX(JupData!$A$2:$K$10000,MATCH($A622&amp;Y$1,JupData!$A$2:$A$10000&amp;JupData!$J$2:$J$10000,0),11))</f>
        <v/>
      </c>
      <c r="Z622" t="str">
        <f t="array" ref="Z622">IF($A622="","",INDEX(JupData!$A$2:$K$10000,MATCH($A622&amp;Z$1,JupData!$A$2:$A$10000&amp;JupData!$J$2:$J$10000,0),11))</f>
        <v/>
      </c>
      <c r="AA622" t="str">
        <f t="array" ref="AA622">IF($A622="","",INDEX(JupData!$A$2:$K$10000,MATCH($A622&amp;AA$1,JupData!$A$2:$A$10000&amp;JupData!$J$2:$J$10000,0),11))</f>
        <v/>
      </c>
      <c r="AB622" t="str">
        <f t="array" ref="AB622">IF($A622="","",INDEX(JupData!$A$2:$K$10000,MATCH($A622&amp;AB$1,JupData!$A$2:$A$10000&amp;JupData!$J$2:$J$10000,0),11))</f>
        <v/>
      </c>
      <c r="AC622" s="10" t="str">
        <f t="shared" si="99"/>
        <v/>
      </c>
      <c r="AD622" s="10" t="str">
        <f t="shared" si="100"/>
        <v/>
      </c>
      <c r="AE622" s="9" t="str">
        <f t="shared" si="101"/>
        <v/>
      </c>
      <c r="AF622" s="10" t="str">
        <f t="shared" si="102"/>
        <v/>
      </c>
      <c r="AG622" s="10" t="str">
        <f t="shared" si="103"/>
        <v/>
      </c>
      <c r="AH622" s="10" t="str">
        <f t="shared" si="104"/>
        <v/>
      </c>
      <c r="AI622" s="10" t="str">
        <f t="shared" si="105"/>
        <v/>
      </c>
      <c r="AJ622" s="10" t="str">
        <f t="shared" si="106"/>
        <v/>
      </c>
      <c r="AK622" s="10" t="str">
        <f t="shared" si="107"/>
        <v/>
      </c>
      <c r="AL622" s="14" t="str">
        <f t="shared" si="108"/>
        <v/>
      </c>
    </row>
    <row r="623" spans="1:38" x14ac:dyDescent="0.2">
      <c r="A623"/>
      <c r="B623" t="str">
        <f>IF($A623="","",VLOOKUP($A623,JupData!$A$2:$I$10000,4,FALSE))</f>
        <v/>
      </c>
      <c r="C623" s="7" t="str">
        <f>IF($A623="",IF(N(D623),0,""),VLOOKUP($A623,JupData!$A$2:$I$10000,7,FALSE))</f>
        <v/>
      </c>
      <c r="D623" t="str">
        <f t="shared" si="109"/>
        <v/>
      </c>
      <c r="E623" t="str">
        <f t="array" ref="E623">IF($A623="","",INDEX(JupData!$A$2:$K$10000,MATCH($A623&amp;E$1,JupData!$A$2:$A$10000&amp;JupData!$J$2:$J$10000,0),11))</f>
        <v/>
      </c>
      <c r="F623" t="str">
        <f t="array" ref="F623">IF($A623="","",INDEX(JupData!$A$2:$K$10000,MATCH($A623&amp;F$1,JupData!$A$2:$A$10000&amp;JupData!$J$2:$J$10000,0),11))</f>
        <v/>
      </c>
      <c r="G623" t="str">
        <f t="array" ref="G623">IF($A623="","",INDEX(JupData!$A$2:$K$10000,MATCH($A623&amp;G$1,JupData!$A$2:$A$10000&amp;JupData!$J$2:$J$10000,0),11))</f>
        <v/>
      </c>
      <c r="H623" t="str">
        <f t="array" ref="H623">IF($A623="","",INDEX(JupData!$A$2:$K$10000,MATCH($A623&amp;H$1,JupData!$A$2:$A$10000&amp;JupData!$J$2:$J$10000,0),11))</f>
        <v/>
      </c>
      <c r="I623" t="str">
        <f t="array" ref="I623">IF($A623="","",INDEX(JupData!$A$2:$K$10000,MATCH($A623&amp;I$1,JupData!$A$2:$A$10000&amp;JupData!$J$2:$J$10000,0),11))</f>
        <v/>
      </c>
      <c r="J623" t="str">
        <f t="array" ref="J623">IF($A623="","",INDEX(JupData!$A$2:$K$10000,MATCH($A623&amp;J$1,JupData!$A$2:$A$10000&amp;JupData!$J$2:$J$10000,0),11))</f>
        <v/>
      </c>
      <c r="K623" t="str">
        <f t="array" ref="K623">IF($A623="","",INDEX(JupData!$A$2:$K$10000,MATCH($A623&amp;K$1,JupData!$A$2:$A$10000&amp;JupData!$J$2:$J$10000,0),11))</f>
        <v/>
      </c>
      <c r="L623" t="str">
        <f t="array" ref="L623">IF($A623="","",INDEX(JupData!$A$2:$K$10000,MATCH($A623&amp;L$1,JupData!$A$2:$A$10000&amp;JupData!$J$2:$J$10000,0),11))</f>
        <v/>
      </c>
      <c r="M623" t="str">
        <f t="array" ref="M623">IF($A623="","",INDEX(JupData!$A$2:$K$10000,MATCH($A623&amp;M$1,JupData!$A$2:$A$10000&amp;JupData!$J$2:$J$10000,0),11))</f>
        <v/>
      </c>
      <c r="N623" t="str">
        <f t="array" ref="N623">IF($A623="","",INDEX(JupData!$A$2:$K$10000,MATCH($A623&amp;N$1,JupData!$A$2:$A$10000&amp;JupData!$J$2:$J$10000,0),11))</f>
        <v/>
      </c>
      <c r="O623" t="str">
        <f t="array" ref="O623">IF($A623="","",INDEX(JupData!$A$2:$K$10000,MATCH($A623&amp;O$1,JupData!$A$2:$A$10000&amp;JupData!$J$2:$J$10000,0),11))</f>
        <v/>
      </c>
      <c r="P623" t="str">
        <f t="array" ref="P623">IF($A623="","",INDEX(JupData!$A$2:$K$10000,MATCH($A623&amp;P$1,JupData!$A$2:$A$10000&amp;JupData!$J$2:$J$10000,0),11))</f>
        <v/>
      </c>
      <c r="Q623" t="str">
        <f t="array" ref="Q623">IF($A623="","",INDEX(JupData!$A$2:$K$10000,MATCH($A623&amp;Q$1,JupData!$A$2:$A$10000&amp;JupData!$J$2:$J$10000,0),11))</f>
        <v/>
      </c>
      <c r="R623" t="str">
        <f t="array" ref="R623">IF($A623="","",INDEX(JupData!$A$2:$K$10000,MATCH($A623&amp;R$1,JupData!$A$2:$A$10000&amp;JupData!$J$2:$J$10000,0),11))</f>
        <v/>
      </c>
      <c r="S623" t="str">
        <f t="array" ref="S623">IF($A623="","",INDEX(JupData!$A$2:$K$10000,MATCH($A623&amp;S$1,JupData!$A$2:$A$10000&amp;JupData!$J$2:$J$10000,0),11))</f>
        <v/>
      </c>
      <c r="T623" t="str">
        <f t="array" ref="T623">IF($A623="","",INDEX(JupData!$A$2:$K$10000,MATCH($A623&amp;T$1,JupData!$A$2:$A$10000&amp;JupData!$J$2:$J$10000,0),11))</f>
        <v/>
      </c>
      <c r="U623" t="str">
        <f t="array" ref="U623">IF($A623="","",INDEX(JupData!$A$2:$K$10000,MATCH($A623&amp;U$1,JupData!$A$2:$A$10000&amp;JupData!$J$2:$J$10000,0),11))</f>
        <v/>
      </c>
      <c r="V623" t="str">
        <f t="array" ref="V623">IF($A623="","",INDEX(JupData!$A$2:$K$10000,MATCH($A623&amp;V$1,JupData!$A$2:$A$10000&amp;JupData!$J$2:$J$10000,0),11))</f>
        <v/>
      </c>
      <c r="W623" t="str">
        <f t="array" ref="W623">IF($A623="","",INDEX(JupData!$A$2:$K$10000,MATCH($A623&amp;W$1,JupData!$A$2:$A$10000&amp;JupData!$J$2:$J$10000,0),11))</f>
        <v/>
      </c>
      <c r="X623" t="str">
        <f t="array" ref="X623">IF($A623="","",INDEX(JupData!$A$2:$K$10000,MATCH($A623&amp;X$1,JupData!$A$2:$A$10000&amp;JupData!$J$2:$J$10000,0),11))</f>
        <v/>
      </c>
      <c r="Y623" t="str">
        <f t="array" ref="Y623">IF($A623="","",INDEX(JupData!$A$2:$K$10000,MATCH($A623&amp;Y$1,JupData!$A$2:$A$10000&amp;JupData!$J$2:$J$10000,0),11))</f>
        <v/>
      </c>
      <c r="Z623" t="str">
        <f t="array" ref="Z623">IF($A623="","",INDEX(JupData!$A$2:$K$10000,MATCH($A623&amp;Z$1,JupData!$A$2:$A$10000&amp;JupData!$J$2:$J$10000,0),11))</f>
        <v/>
      </c>
      <c r="AA623" t="str">
        <f t="array" ref="AA623">IF($A623="","",INDEX(JupData!$A$2:$K$10000,MATCH($A623&amp;AA$1,JupData!$A$2:$A$10000&amp;JupData!$J$2:$J$10000,0),11))</f>
        <v/>
      </c>
      <c r="AB623" t="str">
        <f t="array" ref="AB623">IF($A623="","",INDEX(JupData!$A$2:$K$10000,MATCH($A623&amp;AB$1,JupData!$A$2:$A$10000&amp;JupData!$J$2:$J$10000,0),11))</f>
        <v/>
      </c>
      <c r="AC623" s="10" t="str">
        <f t="shared" si="99"/>
        <v/>
      </c>
      <c r="AD623" s="10" t="str">
        <f t="shared" si="100"/>
        <v/>
      </c>
      <c r="AE623" s="9" t="str">
        <f t="shared" si="101"/>
        <v/>
      </c>
      <c r="AF623" s="10" t="str">
        <f t="shared" si="102"/>
        <v/>
      </c>
      <c r="AG623" s="10" t="str">
        <f t="shared" si="103"/>
        <v/>
      </c>
      <c r="AH623" s="10" t="str">
        <f t="shared" si="104"/>
        <v/>
      </c>
      <c r="AI623" s="10" t="str">
        <f t="shared" si="105"/>
        <v/>
      </c>
      <c r="AJ623" s="10" t="str">
        <f t="shared" si="106"/>
        <v/>
      </c>
      <c r="AK623" s="10" t="str">
        <f t="shared" si="107"/>
        <v/>
      </c>
      <c r="AL623" s="14" t="str">
        <f t="shared" si="108"/>
        <v/>
      </c>
    </row>
    <row r="624" spans="1:38" x14ac:dyDescent="0.2">
      <c r="A624"/>
      <c r="B624" t="str">
        <f>IF($A624="","",VLOOKUP($A624,JupData!$A$2:$I$10000,4,FALSE))</f>
        <v/>
      </c>
      <c r="C624" s="7" t="str">
        <f>IF($A624="",IF(N(D624),0,""),VLOOKUP($A624,JupData!$A$2:$I$10000,7,FALSE))</f>
        <v/>
      </c>
      <c r="D624" t="str">
        <f t="shared" si="109"/>
        <v/>
      </c>
      <c r="E624" t="str">
        <f t="array" ref="E624">IF($A624="","",INDEX(JupData!$A$2:$K$10000,MATCH($A624&amp;E$1,JupData!$A$2:$A$10000&amp;JupData!$J$2:$J$10000,0),11))</f>
        <v/>
      </c>
      <c r="F624" t="str">
        <f t="array" ref="F624">IF($A624="","",INDEX(JupData!$A$2:$K$10000,MATCH($A624&amp;F$1,JupData!$A$2:$A$10000&amp;JupData!$J$2:$J$10000,0),11))</f>
        <v/>
      </c>
      <c r="G624" t="str">
        <f t="array" ref="G624">IF($A624="","",INDEX(JupData!$A$2:$K$10000,MATCH($A624&amp;G$1,JupData!$A$2:$A$10000&amp;JupData!$J$2:$J$10000,0),11))</f>
        <v/>
      </c>
      <c r="H624" t="str">
        <f t="array" ref="H624">IF($A624="","",INDEX(JupData!$A$2:$K$10000,MATCH($A624&amp;H$1,JupData!$A$2:$A$10000&amp;JupData!$J$2:$J$10000,0),11))</f>
        <v/>
      </c>
      <c r="I624" t="str">
        <f t="array" ref="I624">IF($A624="","",INDEX(JupData!$A$2:$K$10000,MATCH($A624&amp;I$1,JupData!$A$2:$A$10000&amp;JupData!$J$2:$J$10000,0),11))</f>
        <v/>
      </c>
      <c r="J624" t="str">
        <f t="array" ref="J624">IF($A624="","",INDEX(JupData!$A$2:$K$10000,MATCH($A624&amp;J$1,JupData!$A$2:$A$10000&amp;JupData!$J$2:$J$10000,0),11))</f>
        <v/>
      </c>
      <c r="K624" t="str">
        <f t="array" ref="K624">IF($A624="","",INDEX(JupData!$A$2:$K$10000,MATCH($A624&amp;K$1,JupData!$A$2:$A$10000&amp;JupData!$J$2:$J$10000,0),11))</f>
        <v/>
      </c>
      <c r="L624" t="str">
        <f t="array" ref="L624">IF($A624="","",INDEX(JupData!$A$2:$K$10000,MATCH($A624&amp;L$1,JupData!$A$2:$A$10000&amp;JupData!$J$2:$J$10000,0),11))</f>
        <v/>
      </c>
      <c r="M624" t="str">
        <f t="array" ref="M624">IF($A624="","",INDEX(JupData!$A$2:$K$10000,MATCH($A624&amp;M$1,JupData!$A$2:$A$10000&amp;JupData!$J$2:$J$10000,0),11))</f>
        <v/>
      </c>
      <c r="N624" t="str">
        <f t="array" ref="N624">IF($A624="","",INDEX(JupData!$A$2:$K$10000,MATCH($A624&amp;N$1,JupData!$A$2:$A$10000&amp;JupData!$J$2:$J$10000,0),11))</f>
        <v/>
      </c>
      <c r="O624" t="str">
        <f t="array" ref="O624">IF($A624="","",INDEX(JupData!$A$2:$K$10000,MATCH($A624&amp;O$1,JupData!$A$2:$A$10000&amp;JupData!$J$2:$J$10000,0),11))</f>
        <v/>
      </c>
      <c r="P624" t="str">
        <f t="array" ref="P624">IF($A624="","",INDEX(JupData!$A$2:$K$10000,MATCH($A624&amp;P$1,JupData!$A$2:$A$10000&amp;JupData!$J$2:$J$10000,0),11))</f>
        <v/>
      </c>
      <c r="Q624" t="str">
        <f t="array" ref="Q624">IF($A624="","",INDEX(JupData!$A$2:$K$10000,MATCH($A624&amp;Q$1,JupData!$A$2:$A$10000&amp;JupData!$J$2:$J$10000,0),11))</f>
        <v/>
      </c>
      <c r="R624" t="str">
        <f t="array" ref="R624">IF($A624="","",INDEX(JupData!$A$2:$K$10000,MATCH($A624&amp;R$1,JupData!$A$2:$A$10000&amp;JupData!$J$2:$J$10000,0),11))</f>
        <v/>
      </c>
      <c r="S624" t="str">
        <f t="array" ref="S624">IF($A624="","",INDEX(JupData!$A$2:$K$10000,MATCH($A624&amp;S$1,JupData!$A$2:$A$10000&amp;JupData!$J$2:$J$10000,0),11))</f>
        <v/>
      </c>
      <c r="T624" t="str">
        <f t="array" ref="T624">IF($A624="","",INDEX(JupData!$A$2:$K$10000,MATCH($A624&amp;T$1,JupData!$A$2:$A$10000&amp;JupData!$J$2:$J$10000,0),11))</f>
        <v/>
      </c>
      <c r="U624" t="str">
        <f t="array" ref="U624">IF($A624="","",INDEX(JupData!$A$2:$K$10000,MATCH($A624&amp;U$1,JupData!$A$2:$A$10000&amp;JupData!$J$2:$J$10000,0),11))</f>
        <v/>
      </c>
      <c r="V624" t="str">
        <f t="array" ref="V624">IF($A624="","",INDEX(JupData!$A$2:$K$10000,MATCH($A624&amp;V$1,JupData!$A$2:$A$10000&amp;JupData!$J$2:$J$10000,0),11))</f>
        <v/>
      </c>
      <c r="W624" t="str">
        <f t="array" ref="W624">IF($A624="","",INDEX(JupData!$A$2:$K$10000,MATCH($A624&amp;W$1,JupData!$A$2:$A$10000&amp;JupData!$J$2:$J$10000,0),11))</f>
        <v/>
      </c>
      <c r="X624" t="str">
        <f t="array" ref="X624">IF($A624="","",INDEX(JupData!$A$2:$K$10000,MATCH($A624&amp;X$1,JupData!$A$2:$A$10000&amp;JupData!$J$2:$J$10000,0),11))</f>
        <v/>
      </c>
      <c r="Y624" t="str">
        <f t="array" ref="Y624">IF($A624="","",INDEX(JupData!$A$2:$K$10000,MATCH($A624&amp;Y$1,JupData!$A$2:$A$10000&amp;JupData!$J$2:$J$10000,0),11))</f>
        <v/>
      </c>
      <c r="Z624" t="str">
        <f t="array" ref="Z624">IF($A624="","",INDEX(JupData!$A$2:$K$10000,MATCH($A624&amp;Z$1,JupData!$A$2:$A$10000&amp;JupData!$J$2:$J$10000,0),11))</f>
        <v/>
      </c>
      <c r="AA624" t="str">
        <f t="array" ref="AA624">IF($A624="","",INDEX(JupData!$A$2:$K$10000,MATCH($A624&amp;AA$1,JupData!$A$2:$A$10000&amp;JupData!$J$2:$J$10000,0),11))</f>
        <v/>
      </c>
      <c r="AB624" t="str">
        <f t="array" ref="AB624">IF($A624="","",INDEX(JupData!$A$2:$K$10000,MATCH($A624&amp;AB$1,JupData!$A$2:$A$10000&amp;JupData!$J$2:$J$10000,0),11))</f>
        <v/>
      </c>
      <c r="AC624" s="10" t="str">
        <f t="shared" si="99"/>
        <v/>
      </c>
      <c r="AD624" s="10" t="str">
        <f t="shared" si="100"/>
        <v/>
      </c>
      <c r="AE624" s="9" t="str">
        <f t="shared" si="101"/>
        <v/>
      </c>
      <c r="AF624" s="10" t="str">
        <f t="shared" si="102"/>
        <v/>
      </c>
      <c r="AG624" s="10" t="str">
        <f t="shared" si="103"/>
        <v/>
      </c>
      <c r="AH624" s="10" t="str">
        <f t="shared" si="104"/>
        <v/>
      </c>
      <c r="AI624" s="10" t="str">
        <f t="shared" si="105"/>
        <v/>
      </c>
      <c r="AJ624" s="10" t="str">
        <f t="shared" si="106"/>
        <v/>
      </c>
      <c r="AK624" s="10" t="str">
        <f t="shared" si="107"/>
        <v/>
      </c>
      <c r="AL624" s="14" t="str">
        <f t="shared" si="108"/>
        <v/>
      </c>
    </row>
    <row r="625" spans="1:38" x14ac:dyDescent="0.2">
      <c r="A625"/>
      <c r="B625" t="str">
        <f>IF($A625="","",VLOOKUP($A625,JupData!$A$2:$I$10000,4,FALSE))</f>
        <v/>
      </c>
      <c r="C625" s="7" t="str">
        <f>IF($A625="",IF(N(D625),0,""),VLOOKUP($A625,JupData!$A$2:$I$10000,7,FALSE))</f>
        <v/>
      </c>
      <c r="D625" t="str">
        <f t="shared" si="109"/>
        <v/>
      </c>
      <c r="E625" t="str">
        <f t="array" ref="E625">IF($A625="","",INDEX(JupData!$A$2:$K$10000,MATCH($A625&amp;E$1,JupData!$A$2:$A$10000&amp;JupData!$J$2:$J$10000,0),11))</f>
        <v/>
      </c>
      <c r="F625" t="str">
        <f t="array" ref="F625">IF($A625="","",INDEX(JupData!$A$2:$K$10000,MATCH($A625&amp;F$1,JupData!$A$2:$A$10000&amp;JupData!$J$2:$J$10000,0),11))</f>
        <v/>
      </c>
      <c r="G625" t="str">
        <f t="array" ref="G625">IF($A625="","",INDEX(JupData!$A$2:$K$10000,MATCH($A625&amp;G$1,JupData!$A$2:$A$10000&amp;JupData!$J$2:$J$10000,0),11))</f>
        <v/>
      </c>
      <c r="H625" t="str">
        <f t="array" ref="H625">IF($A625="","",INDEX(JupData!$A$2:$K$10000,MATCH($A625&amp;H$1,JupData!$A$2:$A$10000&amp;JupData!$J$2:$J$10000,0),11))</f>
        <v/>
      </c>
      <c r="I625" t="str">
        <f t="array" ref="I625">IF($A625="","",INDEX(JupData!$A$2:$K$10000,MATCH($A625&amp;I$1,JupData!$A$2:$A$10000&amp;JupData!$J$2:$J$10000,0),11))</f>
        <v/>
      </c>
      <c r="J625" t="str">
        <f t="array" ref="J625">IF($A625="","",INDEX(JupData!$A$2:$K$10000,MATCH($A625&amp;J$1,JupData!$A$2:$A$10000&amp;JupData!$J$2:$J$10000,0),11))</f>
        <v/>
      </c>
      <c r="K625" t="str">
        <f t="array" ref="K625">IF($A625="","",INDEX(JupData!$A$2:$K$10000,MATCH($A625&amp;K$1,JupData!$A$2:$A$10000&amp;JupData!$J$2:$J$10000,0),11))</f>
        <v/>
      </c>
      <c r="L625" t="str">
        <f t="array" ref="L625">IF($A625="","",INDEX(JupData!$A$2:$K$10000,MATCH($A625&amp;L$1,JupData!$A$2:$A$10000&amp;JupData!$J$2:$J$10000,0),11))</f>
        <v/>
      </c>
      <c r="M625" t="str">
        <f t="array" ref="M625">IF($A625="","",INDEX(JupData!$A$2:$K$10000,MATCH($A625&amp;M$1,JupData!$A$2:$A$10000&amp;JupData!$J$2:$J$10000,0),11))</f>
        <v/>
      </c>
      <c r="N625" t="str">
        <f t="array" ref="N625">IF($A625="","",INDEX(JupData!$A$2:$K$10000,MATCH($A625&amp;N$1,JupData!$A$2:$A$10000&amp;JupData!$J$2:$J$10000,0),11))</f>
        <v/>
      </c>
      <c r="O625" t="str">
        <f t="array" ref="O625">IF($A625="","",INDEX(JupData!$A$2:$K$10000,MATCH($A625&amp;O$1,JupData!$A$2:$A$10000&amp;JupData!$J$2:$J$10000,0),11))</f>
        <v/>
      </c>
      <c r="P625" t="str">
        <f t="array" ref="P625">IF($A625="","",INDEX(JupData!$A$2:$K$10000,MATCH($A625&amp;P$1,JupData!$A$2:$A$10000&amp;JupData!$J$2:$J$10000,0),11))</f>
        <v/>
      </c>
      <c r="Q625" t="str">
        <f t="array" ref="Q625">IF($A625="","",INDEX(JupData!$A$2:$K$10000,MATCH($A625&amp;Q$1,JupData!$A$2:$A$10000&amp;JupData!$J$2:$J$10000,0),11))</f>
        <v/>
      </c>
      <c r="R625" t="str">
        <f t="array" ref="R625">IF($A625="","",INDEX(JupData!$A$2:$K$10000,MATCH($A625&amp;R$1,JupData!$A$2:$A$10000&amp;JupData!$J$2:$J$10000,0),11))</f>
        <v/>
      </c>
      <c r="S625" t="str">
        <f t="array" ref="S625">IF($A625="","",INDEX(JupData!$A$2:$K$10000,MATCH($A625&amp;S$1,JupData!$A$2:$A$10000&amp;JupData!$J$2:$J$10000,0),11))</f>
        <v/>
      </c>
      <c r="T625" t="str">
        <f t="array" ref="T625">IF($A625="","",INDEX(JupData!$A$2:$K$10000,MATCH($A625&amp;T$1,JupData!$A$2:$A$10000&amp;JupData!$J$2:$J$10000,0),11))</f>
        <v/>
      </c>
      <c r="U625" t="str">
        <f t="array" ref="U625">IF($A625="","",INDEX(JupData!$A$2:$K$10000,MATCH($A625&amp;U$1,JupData!$A$2:$A$10000&amp;JupData!$J$2:$J$10000,0),11))</f>
        <v/>
      </c>
      <c r="V625" t="str">
        <f t="array" ref="V625">IF($A625="","",INDEX(JupData!$A$2:$K$10000,MATCH($A625&amp;V$1,JupData!$A$2:$A$10000&amp;JupData!$J$2:$J$10000,0),11))</f>
        <v/>
      </c>
      <c r="W625" t="str">
        <f t="array" ref="W625">IF($A625="","",INDEX(JupData!$A$2:$K$10000,MATCH($A625&amp;W$1,JupData!$A$2:$A$10000&amp;JupData!$J$2:$J$10000,0),11))</f>
        <v/>
      </c>
      <c r="X625" t="str">
        <f t="array" ref="X625">IF($A625="","",INDEX(JupData!$A$2:$K$10000,MATCH($A625&amp;X$1,JupData!$A$2:$A$10000&amp;JupData!$J$2:$J$10000,0),11))</f>
        <v/>
      </c>
      <c r="Y625" t="str">
        <f t="array" ref="Y625">IF($A625="","",INDEX(JupData!$A$2:$K$10000,MATCH($A625&amp;Y$1,JupData!$A$2:$A$10000&amp;JupData!$J$2:$J$10000,0),11))</f>
        <v/>
      </c>
      <c r="Z625" t="str">
        <f t="array" ref="Z625">IF($A625="","",INDEX(JupData!$A$2:$K$10000,MATCH($A625&amp;Z$1,JupData!$A$2:$A$10000&amp;JupData!$J$2:$J$10000,0),11))</f>
        <v/>
      </c>
      <c r="AA625" t="str">
        <f t="array" ref="AA625">IF($A625="","",INDEX(JupData!$A$2:$K$10000,MATCH($A625&amp;AA$1,JupData!$A$2:$A$10000&amp;JupData!$J$2:$J$10000,0),11))</f>
        <v/>
      </c>
      <c r="AB625" t="str">
        <f t="array" ref="AB625">IF($A625="","",INDEX(JupData!$A$2:$K$10000,MATCH($A625&amp;AB$1,JupData!$A$2:$A$10000&amp;JupData!$J$2:$J$10000,0),11))</f>
        <v/>
      </c>
      <c r="AC625" s="10" t="str">
        <f t="shared" si="99"/>
        <v/>
      </c>
      <c r="AD625" s="10" t="str">
        <f t="shared" si="100"/>
        <v/>
      </c>
      <c r="AE625" s="9" t="str">
        <f t="shared" si="101"/>
        <v/>
      </c>
      <c r="AF625" s="10" t="str">
        <f t="shared" si="102"/>
        <v/>
      </c>
      <c r="AG625" s="10" t="str">
        <f t="shared" si="103"/>
        <v/>
      </c>
      <c r="AH625" s="10" t="str">
        <f t="shared" si="104"/>
        <v/>
      </c>
      <c r="AI625" s="10" t="str">
        <f t="shared" si="105"/>
        <v/>
      </c>
      <c r="AJ625" s="10" t="str">
        <f t="shared" si="106"/>
        <v/>
      </c>
      <c r="AK625" s="10" t="str">
        <f t="shared" si="107"/>
        <v/>
      </c>
      <c r="AL625" s="14" t="str">
        <f t="shared" si="108"/>
        <v/>
      </c>
    </row>
    <row r="626" spans="1:38" x14ac:dyDescent="0.2">
      <c r="A626"/>
      <c r="B626" t="str">
        <f>IF($A626="","",VLOOKUP($A626,JupData!$A$2:$I$10000,4,FALSE))</f>
        <v/>
      </c>
      <c r="C626" s="7" t="str">
        <f>IF($A626="",IF(N(D626),0,""),VLOOKUP($A626,JupData!$A$2:$I$10000,7,FALSE))</f>
        <v/>
      </c>
      <c r="D626" t="str">
        <f t="shared" si="109"/>
        <v/>
      </c>
      <c r="E626" t="str">
        <f t="array" ref="E626">IF($A626="","",INDEX(JupData!$A$2:$K$10000,MATCH($A626&amp;E$1,JupData!$A$2:$A$10000&amp;JupData!$J$2:$J$10000,0),11))</f>
        <v/>
      </c>
      <c r="F626" t="str">
        <f t="array" ref="F626">IF($A626="","",INDEX(JupData!$A$2:$K$10000,MATCH($A626&amp;F$1,JupData!$A$2:$A$10000&amp;JupData!$J$2:$J$10000,0),11))</f>
        <v/>
      </c>
      <c r="G626" t="str">
        <f t="array" ref="G626">IF($A626="","",INDEX(JupData!$A$2:$K$10000,MATCH($A626&amp;G$1,JupData!$A$2:$A$10000&amp;JupData!$J$2:$J$10000,0),11))</f>
        <v/>
      </c>
      <c r="H626" t="str">
        <f t="array" ref="H626">IF($A626="","",INDEX(JupData!$A$2:$K$10000,MATCH($A626&amp;H$1,JupData!$A$2:$A$10000&amp;JupData!$J$2:$J$10000,0),11))</f>
        <v/>
      </c>
      <c r="I626" t="str">
        <f t="array" ref="I626">IF($A626="","",INDEX(JupData!$A$2:$K$10000,MATCH($A626&amp;I$1,JupData!$A$2:$A$10000&amp;JupData!$J$2:$J$10000,0),11))</f>
        <v/>
      </c>
      <c r="J626" t="str">
        <f t="array" ref="J626">IF($A626="","",INDEX(JupData!$A$2:$K$10000,MATCH($A626&amp;J$1,JupData!$A$2:$A$10000&amp;JupData!$J$2:$J$10000,0),11))</f>
        <v/>
      </c>
      <c r="K626" t="str">
        <f t="array" ref="K626">IF($A626="","",INDEX(JupData!$A$2:$K$10000,MATCH($A626&amp;K$1,JupData!$A$2:$A$10000&amp;JupData!$J$2:$J$10000,0),11))</f>
        <v/>
      </c>
      <c r="L626" t="str">
        <f t="array" ref="L626">IF($A626="","",INDEX(JupData!$A$2:$K$10000,MATCH($A626&amp;L$1,JupData!$A$2:$A$10000&amp;JupData!$J$2:$J$10000,0),11))</f>
        <v/>
      </c>
      <c r="M626" t="str">
        <f t="array" ref="M626">IF($A626="","",INDEX(JupData!$A$2:$K$10000,MATCH($A626&amp;M$1,JupData!$A$2:$A$10000&amp;JupData!$J$2:$J$10000,0),11))</f>
        <v/>
      </c>
      <c r="N626" t="str">
        <f t="array" ref="N626">IF($A626="","",INDEX(JupData!$A$2:$K$10000,MATCH($A626&amp;N$1,JupData!$A$2:$A$10000&amp;JupData!$J$2:$J$10000,0),11))</f>
        <v/>
      </c>
      <c r="O626" t="str">
        <f t="array" ref="O626">IF($A626="","",INDEX(JupData!$A$2:$K$10000,MATCH($A626&amp;O$1,JupData!$A$2:$A$10000&amp;JupData!$J$2:$J$10000,0),11))</f>
        <v/>
      </c>
      <c r="P626" t="str">
        <f t="array" ref="P626">IF($A626="","",INDEX(JupData!$A$2:$K$10000,MATCH($A626&amp;P$1,JupData!$A$2:$A$10000&amp;JupData!$J$2:$J$10000,0),11))</f>
        <v/>
      </c>
      <c r="Q626" t="str">
        <f t="array" ref="Q626">IF($A626="","",INDEX(JupData!$A$2:$K$10000,MATCH($A626&amp;Q$1,JupData!$A$2:$A$10000&amp;JupData!$J$2:$J$10000,0),11))</f>
        <v/>
      </c>
      <c r="R626" t="str">
        <f t="array" ref="R626">IF($A626="","",INDEX(JupData!$A$2:$K$10000,MATCH($A626&amp;R$1,JupData!$A$2:$A$10000&amp;JupData!$J$2:$J$10000,0),11))</f>
        <v/>
      </c>
      <c r="S626" t="str">
        <f t="array" ref="S626">IF($A626="","",INDEX(JupData!$A$2:$K$10000,MATCH($A626&amp;S$1,JupData!$A$2:$A$10000&amp;JupData!$J$2:$J$10000,0),11))</f>
        <v/>
      </c>
      <c r="T626" t="str">
        <f t="array" ref="T626">IF($A626="","",INDEX(JupData!$A$2:$K$10000,MATCH($A626&amp;T$1,JupData!$A$2:$A$10000&amp;JupData!$J$2:$J$10000,0),11))</f>
        <v/>
      </c>
      <c r="U626" t="str">
        <f t="array" ref="U626">IF($A626="","",INDEX(JupData!$A$2:$K$10000,MATCH($A626&amp;U$1,JupData!$A$2:$A$10000&amp;JupData!$J$2:$J$10000,0),11))</f>
        <v/>
      </c>
      <c r="V626" t="str">
        <f t="array" ref="V626">IF($A626="","",INDEX(JupData!$A$2:$K$10000,MATCH($A626&amp;V$1,JupData!$A$2:$A$10000&amp;JupData!$J$2:$J$10000,0),11))</f>
        <v/>
      </c>
      <c r="W626" t="str">
        <f t="array" ref="W626">IF($A626="","",INDEX(JupData!$A$2:$K$10000,MATCH($A626&amp;W$1,JupData!$A$2:$A$10000&amp;JupData!$J$2:$J$10000,0),11))</f>
        <v/>
      </c>
      <c r="X626" t="str">
        <f t="array" ref="X626">IF($A626="","",INDEX(JupData!$A$2:$K$10000,MATCH($A626&amp;X$1,JupData!$A$2:$A$10000&amp;JupData!$J$2:$J$10000,0),11))</f>
        <v/>
      </c>
      <c r="Y626" t="str">
        <f t="array" ref="Y626">IF($A626="","",INDEX(JupData!$A$2:$K$10000,MATCH($A626&amp;Y$1,JupData!$A$2:$A$10000&amp;JupData!$J$2:$J$10000,0),11))</f>
        <v/>
      </c>
      <c r="Z626" t="str">
        <f t="array" ref="Z626">IF($A626="","",INDEX(JupData!$A$2:$K$10000,MATCH($A626&amp;Z$1,JupData!$A$2:$A$10000&amp;JupData!$J$2:$J$10000,0),11))</f>
        <v/>
      </c>
      <c r="AA626" t="str">
        <f t="array" ref="AA626">IF($A626="","",INDEX(JupData!$A$2:$K$10000,MATCH($A626&amp;AA$1,JupData!$A$2:$A$10000&amp;JupData!$J$2:$J$10000,0),11))</f>
        <v/>
      </c>
      <c r="AB626" t="str">
        <f t="array" ref="AB626">IF($A626="","",INDEX(JupData!$A$2:$K$10000,MATCH($A626&amp;AB$1,JupData!$A$2:$A$10000&amp;JupData!$J$2:$J$10000,0),11))</f>
        <v/>
      </c>
      <c r="AC626" s="10" t="str">
        <f t="shared" si="99"/>
        <v/>
      </c>
      <c r="AD626" s="10" t="str">
        <f t="shared" si="100"/>
        <v/>
      </c>
      <c r="AE626" s="9" t="str">
        <f t="shared" si="101"/>
        <v/>
      </c>
      <c r="AF626" s="10" t="str">
        <f t="shared" si="102"/>
        <v/>
      </c>
      <c r="AG626" s="10" t="str">
        <f t="shared" si="103"/>
        <v/>
      </c>
      <c r="AH626" s="10" t="str">
        <f t="shared" si="104"/>
        <v/>
      </c>
      <c r="AI626" s="10" t="str">
        <f t="shared" si="105"/>
        <v/>
      </c>
      <c r="AJ626" s="10" t="str">
        <f t="shared" si="106"/>
        <v/>
      </c>
      <c r="AK626" s="10" t="str">
        <f t="shared" si="107"/>
        <v/>
      </c>
      <c r="AL626" s="14" t="str">
        <f t="shared" si="108"/>
        <v/>
      </c>
    </row>
    <row r="627" spans="1:38" x14ac:dyDescent="0.2">
      <c r="A627"/>
      <c r="B627" t="str">
        <f>IF($A627="","",VLOOKUP($A627,JupData!$A$2:$I$10000,4,FALSE))</f>
        <v/>
      </c>
      <c r="C627" s="7" t="str">
        <f>IF($A627="",IF(N(D627),0,""),VLOOKUP($A627,JupData!$A$2:$I$10000,7,FALSE))</f>
        <v/>
      </c>
      <c r="D627" t="str">
        <f t="shared" si="109"/>
        <v/>
      </c>
      <c r="E627" t="str">
        <f t="array" ref="E627">IF($A627="","",INDEX(JupData!$A$2:$K$10000,MATCH($A627&amp;E$1,JupData!$A$2:$A$10000&amp;JupData!$J$2:$J$10000,0),11))</f>
        <v/>
      </c>
      <c r="F627" t="str">
        <f t="array" ref="F627">IF($A627="","",INDEX(JupData!$A$2:$K$10000,MATCH($A627&amp;F$1,JupData!$A$2:$A$10000&amp;JupData!$J$2:$J$10000,0),11))</f>
        <v/>
      </c>
      <c r="G627" t="str">
        <f t="array" ref="G627">IF($A627="","",INDEX(JupData!$A$2:$K$10000,MATCH($A627&amp;G$1,JupData!$A$2:$A$10000&amp;JupData!$J$2:$J$10000,0),11))</f>
        <v/>
      </c>
      <c r="H627" t="str">
        <f t="array" ref="H627">IF($A627="","",INDEX(JupData!$A$2:$K$10000,MATCH($A627&amp;H$1,JupData!$A$2:$A$10000&amp;JupData!$J$2:$J$10000,0),11))</f>
        <v/>
      </c>
      <c r="I627" t="str">
        <f t="array" ref="I627">IF($A627="","",INDEX(JupData!$A$2:$K$10000,MATCH($A627&amp;I$1,JupData!$A$2:$A$10000&amp;JupData!$J$2:$J$10000,0),11))</f>
        <v/>
      </c>
      <c r="J627" t="str">
        <f t="array" ref="J627">IF($A627="","",INDEX(JupData!$A$2:$K$10000,MATCH($A627&amp;J$1,JupData!$A$2:$A$10000&amp;JupData!$J$2:$J$10000,0),11))</f>
        <v/>
      </c>
      <c r="K627" t="str">
        <f t="array" ref="K627">IF($A627="","",INDEX(JupData!$A$2:$K$10000,MATCH($A627&amp;K$1,JupData!$A$2:$A$10000&amp;JupData!$J$2:$J$10000,0),11))</f>
        <v/>
      </c>
      <c r="L627" t="str">
        <f t="array" ref="L627">IF($A627="","",INDEX(JupData!$A$2:$K$10000,MATCH($A627&amp;L$1,JupData!$A$2:$A$10000&amp;JupData!$J$2:$J$10000,0),11))</f>
        <v/>
      </c>
      <c r="M627" t="str">
        <f t="array" ref="M627">IF($A627="","",INDEX(JupData!$A$2:$K$10000,MATCH($A627&amp;M$1,JupData!$A$2:$A$10000&amp;JupData!$J$2:$J$10000,0),11))</f>
        <v/>
      </c>
      <c r="N627" t="str">
        <f t="array" ref="N627">IF($A627="","",INDEX(JupData!$A$2:$K$10000,MATCH($A627&amp;N$1,JupData!$A$2:$A$10000&amp;JupData!$J$2:$J$10000,0),11))</f>
        <v/>
      </c>
      <c r="O627" t="str">
        <f t="array" ref="O627">IF($A627="","",INDEX(JupData!$A$2:$K$10000,MATCH($A627&amp;O$1,JupData!$A$2:$A$10000&amp;JupData!$J$2:$J$10000,0),11))</f>
        <v/>
      </c>
      <c r="P627" t="str">
        <f t="array" ref="P627">IF($A627="","",INDEX(JupData!$A$2:$K$10000,MATCH($A627&amp;P$1,JupData!$A$2:$A$10000&amp;JupData!$J$2:$J$10000,0),11))</f>
        <v/>
      </c>
      <c r="Q627" t="str">
        <f t="array" ref="Q627">IF($A627="","",INDEX(JupData!$A$2:$K$10000,MATCH($A627&amp;Q$1,JupData!$A$2:$A$10000&amp;JupData!$J$2:$J$10000,0),11))</f>
        <v/>
      </c>
      <c r="R627" t="str">
        <f t="array" ref="R627">IF($A627="","",INDEX(JupData!$A$2:$K$10000,MATCH($A627&amp;R$1,JupData!$A$2:$A$10000&amp;JupData!$J$2:$J$10000,0),11))</f>
        <v/>
      </c>
      <c r="S627" t="str">
        <f t="array" ref="S627">IF($A627="","",INDEX(JupData!$A$2:$K$10000,MATCH($A627&amp;S$1,JupData!$A$2:$A$10000&amp;JupData!$J$2:$J$10000,0),11))</f>
        <v/>
      </c>
      <c r="T627" t="str">
        <f t="array" ref="T627">IF($A627="","",INDEX(JupData!$A$2:$K$10000,MATCH($A627&amp;T$1,JupData!$A$2:$A$10000&amp;JupData!$J$2:$J$10000,0),11))</f>
        <v/>
      </c>
      <c r="U627" t="str">
        <f t="array" ref="U627">IF($A627="","",INDEX(JupData!$A$2:$K$10000,MATCH($A627&amp;U$1,JupData!$A$2:$A$10000&amp;JupData!$J$2:$J$10000,0),11))</f>
        <v/>
      </c>
      <c r="V627" t="str">
        <f t="array" ref="V627">IF($A627="","",INDEX(JupData!$A$2:$K$10000,MATCH($A627&amp;V$1,JupData!$A$2:$A$10000&amp;JupData!$J$2:$J$10000,0),11))</f>
        <v/>
      </c>
      <c r="W627" t="str">
        <f t="array" ref="W627">IF($A627="","",INDEX(JupData!$A$2:$K$10000,MATCH($A627&amp;W$1,JupData!$A$2:$A$10000&amp;JupData!$J$2:$J$10000,0),11))</f>
        <v/>
      </c>
      <c r="X627" t="str">
        <f t="array" ref="X627">IF($A627="","",INDEX(JupData!$A$2:$K$10000,MATCH($A627&amp;X$1,JupData!$A$2:$A$10000&amp;JupData!$J$2:$J$10000,0),11))</f>
        <v/>
      </c>
      <c r="Y627" t="str">
        <f t="array" ref="Y627">IF($A627="","",INDEX(JupData!$A$2:$K$10000,MATCH($A627&amp;Y$1,JupData!$A$2:$A$10000&amp;JupData!$J$2:$J$10000,0),11))</f>
        <v/>
      </c>
      <c r="Z627" t="str">
        <f t="array" ref="Z627">IF($A627="","",INDEX(JupData!$A$2:$K$10000,MATCH($A627&amp;Z$1,JupData!$A$2:$A$10000&amp;JupData!$J$2:$J$10000,0),11))</f>
        <v/>
      </c>
      <c r="AA627" t="str">
        <f t="array" ref="AA627">IF($A627="","",INDEX(JupData!$A$2:$K$10000,MATCH($A627&amp;AA$1,JupData!$A$2:$A$10000&amp;JupData!$J$2:$J$10000,0),11))</f>
        <v/>
      </c>
      <c r="AB627" t="str">
        <f t="array" ref="AB627">IF($A627="","",INDEX(JupData!$A$2:$K$10000,MATCH($A627&amp;AB$1,JupData!$A$2:$A$10000&amp;JupData!$J$2:$J$10000,0),11))</f>
        <v/>
      </c>
      <c r="AC627" s="10" t="str">
        <f t="shared" si="99"/>
        <v/>
      </c>
      <c r="AD627" s="10" t="str">
        <f t="shared" si="100"/>
        <v/>
      </c>
      <c r="AE627" s="9" t="str">
        <f t="shared" si="101"/>
        <v/>
      </c>
      <c r="AF627" s="10" t="str">
        <f t="shared" si="102"/>
        <v/>
      </c>
      <c r="AG627" s="10" t="str">
        <f t="shared" si="103"/>
        <v/>
      </c>
      <c r="AH627" s="10" t="str">
        <f t="shared" si="104"/>
        <v/>
      </c>
      <c r="AI627" s="10" t="str">
        <f t="shared" si="105"/>
        <v/>
      </c>
      <c r="AJ627" s="10" t="str">
        <f t="shared" si="106"/>
        <v/>
      </c>
      <c r="AK627" s="10" t="str">
        <f t="shared" si="107"/>
        <v/>
      </c>
      <c r="AL627" s="14" t="str">
        <f t="shared" si="108"/>
        <v/>
      </c>
    </row>
    <row r="628" spans="1:38" x14ac:dyDescent="0.2">
      <c r="A628"/>
      <c r="B628" t="str">
        <f>IF($A628="","",VLOOKUP($A628,JupData!$A$2:$I$10000,4,FALSE))</f>
        <v/>
      </c>
      <c r="C628" s="7" t="str">
        <f>IF($A628="",IF(N(D628),0,""),VLOOKUP($A628,JupData!$A$2:$I$10000,7,FALSE))</f>
        <v/>
      </c>
      <c r="D628" t="str">
        <f t="shared" si="109"/>
        <v/>
      </c>
      <c r="E628" t="str">
        <f t="array" ref="E628">IF($A628="","",INDEX(JupData!$A$2:$K$10000,MATCH($A628&amp;E$1,JupData!$A$2:$A$10000&amp;JupData!$J$2:$J$10000,0),11))</f>
        <v/>
      </c>
      <c r="F628" t="str">
        <f t="array" ref="F628">IF($A628="","",INDEX(JupData!$A$2:$K$10000,MATCH($A628&amp;F$1,JupData!$A$2:$A$10000&amp;JupData!$J$2:$J$10000,0),11))</f>
        <v/>
      </c>
      <c r="G628" t="str">
        <f t="array" ref="G628">IF($A628="","",INDEX(JupData!$A$2:$K$10000,MATCH($A628&amp;G$1,JupData!$A$2:$A$10000&amp;JupData!$J$2:$J$10000,0),11))</f>
        <v/>
      </c>
      <c r="H628" t="str">
        <f t="array" ref="H628">IF($A628="","",INDEX(JupData!$A$2:$K$10000,MATCH($A628&amp;H$1,JupData!$A$2:$A$10000&amp;JupData!$J$2:$J$10000,0),11))</f>
        <v/>
      </c>
      <c r="I628" t="str">
        <f t="array" ref="I628">IF($A628="","",INDEX(JupData!$A$2:$K$10000,MATCH($A628&amp;I$1,JupData!$A$2:$A$10000&amp;JupData!$J$2:$J$10000,0),11))</f>
        <v/>
      </c>
      <c r="J628" t="str">
        <f t="array" ref="J628">IF($A628="","",INDEX(JupData!$A$2:$K$10000,MATCH($A628&amp;J$1,JupData!$A$2:$A$10000&amp;JupData!$J$2:$J$10000,0),11))</f>
        <v/>
      </c>
      <c r="K628" t="str">
        <f t="array" ref="K628">IF($A628="","",INDEX(JupData!$A$2:$K$10000,MATCH($A628&amp;K$1,JupData!$A$2:$A$10000&amp;JupData!$J$2:$J$10000,0),11))</f>
        <v/>
      </c>
      <c r="L628" t="str">
        <f t="array" ref="L628">IF($A628="","",INDEX(JupData!$A$2:$K$10000,MATCH($A628&amp;L$1,JupData!$A$2:$A$10000&amp;JupData!$J$2:$J$10000,0),11))</f>
        <v/>
      </c>
      <c r="M628" t="str">
        <f t="array" ref="M628">IF($A628="","",INDEX(JupData!$A$2:$K$10000,MATCH($A628&amp;M$1,JupData!$A$2:$A$10000&amp;JupData!$J$2:$J$10000,0),11))</f>
        <v/>
      </c>
      <c r="N628" t="str">
        <f t="array" ref="N628">IF($A628="","",INDEX(JupData!$A$2:$K$10000,MATCH($A628&amp;N$1,JupData!$A$2:$A$10000&amp;JupData!$J$2:$J$10000,0),11))</f>
        <v/>
      </c>
      <c r="O628" t="str">
        <f t="array" ref="O628">IF($A628="","",INDEX(JupData!$A$2:$K$10000,MATCH($A628&amp;O$1,JupData!$A$2:$A$10000&amp;JupData!$J$2:$J$10000,0),11))</f>
        <v/>
      </c>
      <c r="P628" t="str">
        <f t="array" ref="P628">IF($A628="","",INDEX(JupData!$A$2:$K$10000,MATCH($A628&amp;P$1,JupData!$A$2:$A$10000&amp;JupData!$J$2:$J$10000,0),11))</f>
        <v/>
      </c>
      <c r="Q628" t="str">
        <f t="array" ref="Q628">IF($A628="","",INDEX(JupData!$A$2:$K$10000,MATCH($A628&amp;Q$1,JupData!$A$2:$A$10000&amp;JupData!$J$2:$J$10000,0),11))</f>
        <v/>
      </c>
      <c r="R628" t="str">
        <f t="array" ref="R628">IF($A628="","",INDEX(JupData!$A$2:$K$10000,MATCH($A628&amp;R$1,JupData!$A$2:$A$10000&amp;JupData!$J$2:$J$10000,0),11))</f>
        <v/>
      </c>
      <c r="S628" t="str">
        <f t="array" ref="S628">IF($A628="","",INDEX(JupData!$A$2:$K$10000,MATCH($A628&amp;S$1,JupData!$A$2:$A$10000&amp;JupData!$J$2:$J$10000,0),11))</f>
        <v/>
      </c>
      <c r="T628" t="str">
        <f t="array" ref="T628">IF($A628="","",INDEX(JupData!$A$2:$K$10000,MATCH($A628&amp;T$1,JupData!$A$2:$A$10000&amp;JupData!$J$2:$J$10000,0),11))</f>
        <v/>
      </c>
      <c r="U628" t="str">
        <f t="array" ref="U628">IF($A628="","",INDEX(JupData!$A$2:$K$10000,MATCH($A628&amp;U$1,JupData!$A$2:$A$10000&amp;JupData!$J$2:$J$10000,0),11))</f>
        <v/>
      </c>
      <c r="V628" t="str">
        <f t="array" ref="V628">IF($A628="","",INDEX(JupData!$A$2:$K$10000,MATCH($A628&amp;V$1,JupData!$A$2:$A$10000&amp;JupData!$J$2:$J$10000,0),11))</f>
        <v/>
      </c>
      <c r="W628" t="str">
        <f t="array" ref="W628">IF($A628="","",INDEX(JupData!$A$2:$K$10000,MATCH($A628&amp;W$1,JupData!$A$2:$A$10000&amp;JupData!$J$2:$J$10000,0),11))</f>
        <v/>
      </c>
      <c r="X628" t="str">
        <f t="array" ref="X628">IF($A628="","",INDEX(JupData!$A$2:$K$10000,MATCH($A628&amp;X$1,JupData!$A$2:$A$10000&amp;JupData!$J$2:$J$10000,0),11))</f>
        <v/>
      </c>
      <c r="Y628" t="str">
        <f t="array" ref="Y628">IF($A628="","",INDEX(JupData!$A$2:$K$10000,MATCH($A628&amp;Y$1,JupData!$A$2:$A$10000&amp;JupData!$J$2:$J$10000,0),11))</f>
        <v/>
      </c>
      <c r="Z628" t="str">
        <f t="array" ref="Z628">IF($A628="","",INDEX(JupData!$A$2:$K$10000,MATCH($A628&amp;Z$1,JupData!$A$2:$A$10000&amp;JupData!$J$2:$J$10000,0),11))</f>
        <v/>
      </c>
      <c r="AA628" t="str">
        <f t="array" ref="AA628">IF($A628="","",INDEX(JupData!$A$2:$K$10000,MATCH($A628&amp;AA$1,JupData!$A$2:$A$10000&amp;JupData!$J$2:$J$10000,0),11))</f>
        <v/>
      </c>
      <c r="AB628" t="str">
        <f t="array" ref="AB628">IF($A628="","",INDEX(JupData!$A$2:$K$10000,MATCH($A628&amp;AB$1,JupData!$A$2:$A$10000&amp;JupData!$J$2:$J$10000,0),11))</f>
        <v/>
      </c>
      <c r="AC628" s="10" t="str">
        <f t="shared" si="99"/>
        <v/>
      </c>
      <c r="AD628" s="10" t="str">
        <f t="shared" si="100"/>
        <v/>
      </c>
      <c r="AE628" s="9" t="str">
        <f t="shared" si="101"/>
        <v/>
      </c>
      <c r="AF628" s="10" t="str">
        <f t="shared" si="102"/>
        <v/>
      </c>
      <c r="AG628" s="10" t="str">
        <f t="shared" si="103"/>
        <v/>
      </c>
      <c r="AH628" s="10" t="str">
        <f t="shared" si="104"/>
        <v/>
      </c>
      <c r="AI628" s="10" t="str">
        <f t="shared" si="105"/>
        <v/>
      </c>
      <c r="AJ628" s="10" t="str">
        <f t="shared" si="106"/>
        <v/>
      </c>
      <c r="AK628" s="10" t="str">
        <f t="shared" si="107"/>
        <v/>
      </c>
      <c r="AL628" s="14" t="str">
        <f t="shared" si="108"/>
        <v/>
      </c>
    </row>
    <row r="629" spans="1:38" x14ac:dyDescent="0.2">
      <c r="A629"/>
      <c r="B629" t="str">
        <f>IF($A629="","",VLOOKUP($A629,JupData!$A$2:$I$10000,4,FALSE))</f>
        <v/>
      </c>
      <c r="C629" s="7" t="str">
        <f>IF($A629="",IF(N(D629),0,""),VLOOKUP($A629,JupData!$A$2:$I$10000,7,FALSE))</f>
        <v/>
      </c>
      <c r="D629" t="str">
        <f t="shared" si="109"/>
        <v/>
      </c>
      <c r="E629" t="str">
        <f t="array" ref="E629">IF($A629="","",INDEX(JupData!$A$2:$K$10000,MATCH($A629&amp;E$1,JupData!$A$2:$A$10000&amp;JupData!$J$2:$J$10000,0),11))</f>
        <v/>
      </c>
      <c r="F629" t="str">
        <f t="array" ref="F629">IF($A629="","",INDEX(JupData!$A$2:$K$10000,MATCH($A629&amp;F$1,JupData!$A$2:$A$10000&amp;JupData!$J$2:$J$10000,0),11))</f>
        <v/>
      </c>
      <c r="G629" t="str">
        <f t="array" ref="G629">IF($A629="","",INDEX(JupData!$A$2:$K$10000,MATCH($A629&amp;G$1,JupData!$A$2:$A$10000&amp;JupData!$J$2:$J$10000,0),11))</f>
        <v/>
      </c>
      <c r="H629" t="str">
        <f t="array" ref="H629">IF($A629="","",INDEX(JupData!$A$2:$K$10000,MATCH($A629&amp;H$1,JupData!$A$2:$A$10000&amp;JupData!$J$2:$J$10000,0),11))</f>
        <v/>
      </c>
      <c r="I629" t="str">
        <f t="array" ref="I629">IF($A629="","",INDEX(JupData!$A$2:$K$10000,MATCH($A629&amp;I$1,JupData!$A$2:$A$10000&amp;JupData!$J$2:$J$10000,0),11))</f>
        <v/>
      </c>
      <c r="J629" t="str">
        <f t="array" ref="J629">IF($A629="","",INDEX(JupData!$A$2:$K$10000,MATCH($A629&amp;J$1,JupData!$A$2:$A$10000&amp;JupData!$J$2:$J$10000,0),11))</f>
        <v/>
      </c>
      <c r="K629" t="str">
        <f t="array" ref="K629">IF($A629="","",INDEX(JupData!$A$2:$K$10000,MATCH($A629&amp;K$1,JupData!$A$2:$A$10000&amp;JupData!$J$2:$J$10000,0),11))</f>
        <v/>
      </c>
      <c r="L629" t="str">
        <f t="array" ref="L629">IF($A629="","",INDEX(JupData!$A$2:$K$10000,MATCH($A629&amp;L$1,JupData!$A$2:$A$10000&amp;JupData!$J$2:$J$10000,0),11))</f>
        <v/>
      </c>
      <c r="M629" t="str">
        <f t="array" ref="M629">IF($A629="","",INDEX(JupData!$A$2:$K$10000,MATCH($A629&amp;M$1,JupData!$A$2:$A$10000&amp;JupData!$J$2:$J$10000,0),11))</f>
        <v/>
      </c>
      <c r="N629" t="str">
        <f t="array" ref="N629">IF($A629="","",INDEX(JupData!$A$2:$K$10000,MATCH($A629&amp;N$1,JupData!$A$2:$A$10000&amp;JupData!$J$2:$J$10000,0),11))</f>
        <v/>
      </c>
      <c r="O629" t="str">
        <f t="array" ref="O629">IF($A629="","",INDEX(JupData!$A$2:$K$10000,MATCH($A629&amp;O$1,JupData!$A$2:$A$10000&amp;JupData!$J$2:$J$10000,0),11))</f>
        <v/>
      </c>
      <c r="P629" t="str">
        <f t="array" ref="P629">IF($A629="","",INDEX(JupData!$A$2:$K$10000,MATCH($A629&amp;P$1,JupData!$A$2:$A$10000&amp;JupData!$J$2:$J$10000,0),11))</f>
        <v/>
      </c>
      <c r="Q629" t="str">
        <f t="array" ref="Q629">IF($A629="","",INDEX(JupData!$A$2:$K$10000,MATCH($A629&amp;Q$1,JupData!$A$2:$A$10000&amp;JupData!$J$2:$J$10000,0),11))</f>
        <v/>
      </c>
      <c r="R629" t="str">
        <f t="array" ref="R629">IF($A629="","",INDEX(JupData!$A$2:$K$10000,MATCH($A629&amp;R$1,JupData!$A$2:$A$10000&amp;JupData!$J$2:$J$10000,0),11))</f>
        <v/>
      </c>
      <c r="S629" t="str">
        <f t="array" ref="S629">IF($A629="","",INDEX(JupData!$A$2:$K$10000,MATCH($A629&amp;S$1,JupData!$A$2:$A$10000&amp;JupData!$J$2:$J$10000,0),11))</f>
        <v/>
      </c>
      <c r="T629" t="str">
        <f t="array" ref="T629">IF($A629="","",INDEX(JupData!$A$2:$K$10000,MATCH($A629&amp;T$1,JupData!$A$2:$A$10000&amp;JupData!$J$2:$J$10000,0),11))</f>
        <v/>
      </c>
      <c r="U629" t="str">
        <f t="array" ref="U629">IF($A629="","",INDEX(JupData!$A$2:$K$10000,MATCH($A629&amp;U$1,JupData!$A$2:$A$10000&amp;JupData!$J$2:$J$10000,0),11))</f>
        <v/>
      </c>
      <c r="V629" t="str">
        <f t="array" ref="V629">IF($A629="","",INDEX(JupData!$A$2:$K$10000,MATCH($A629&amp;V$1,JupData!$A$2:$A$10000&amp;JupData!$J$2:$J$10000,0),11))</f>
        <v/>
      </c>
      <c r="W629" t="str">
        <f t="array" ref="W629">IF($A629="","",INDEX(JupData!$A$2:$K$10000,MATCH($A629&amp;W$1,JupData!$A$2:$A$10000&amp;JupData!$J$2:$J$10000,0),11))</f>
        <v/>
      </c>
      <c r="X629" t="str">
        <f t="array" ref="X629">IF($A629="","",INDEX(JupData!$A$2:$K$10000,MATCH($A629&amp;X$1,JupData!$A$2:$A$10000&amp;JupData!$J$2:$J$10000,0),11))</f>
        <v/>
      </c>
      <c r="Y629" t="str">
        <f t="array" ref="Y629">IF($A629="","",INDEX(JupData!$A$2:$K$10000,MATCH($A629&amp;Y$1,JupData!$A$2:$A$10000&amp;JupData!$J$2:$J$10000,0),11))</f>
        <v/>
      </c>
      <c r="Z629" t="str">
        <f t="array" ref="Z629">IF($A629="","",INDEX(JupData!$A$2:$K$10000,MATCH($A629&amp;Z$1,JupData!$A$2:$A$10000&amp;JupData!$J$2:$J$10000,0),11))</f>
        <v/>
      </c>
      <c r="AA629" t="str">
        <f t="array" ref="AA629">IF($A629="","",INDEX(JupData!$A$2:$K$10000,MATCH($A629&amp;AA$1,JupData!$A$2:$A$10000&amp;JupData!$J$2:$J$10000,0),11))</f>
        <v/>
      </c>
      <c r="AB629" t="str">
        <f t="array" ref="AB629">IF($A629="","",INDEX(JupData!$A$2:$K$10000,MATCH($A629&amp;AB$1,JupData!$A$2:$A$10000&amp;JupData!$J$2:$J$10000,0),11))</f>
        <v/>
      </c>
      <c r="AC629" s="10" t="str">
        <f t="shared" si="99"/>
        <v/>
      </c>
      <c r="AD629" s="10" t="str">
        <f t="shared" si="100"/>
        <v/>
      </c>
      <c r="AE629" s="9" t="str">
        <f t="shared" si="101"/>
        <v/>
      </c>
      <c r="AF629" s="10" t="str">
        <f t="shared" si="102"/>
        <v/>
      </c>
      <c r="AG629" s="10" t="str">
        <f t="shared" si="103"/>
        <v/>
      </c>
      <c r="AH629" s="10" t="str">
        <f t="shared" si="104"/>
        <v/>
      </c>
      <c r="AI629" s="10" t="str">
        <f t="shared" si="105"/>
        <v/>
      </c>
      <c r="AJ629" s="10" t="str">
        <f t="shared" si="106"/>
        <v/>
      </c>
      <c r="AK629" s="10" t="str">
        <f t="shared" si="107"/>
        <v/>
      </c>
      <c r="AL629" s="14" t="str">
        <f t="shared" si="108"/>
        <v/>
      </c>
    </row>
    <row r="630" spans="1:38" x14ac:dyDescent="0.2">
      <c r="A630"/>
      <c r="B630" t="str">
        <f>IF($A630="","",VLOOKUP($A630,JupData!$A$2:$I$10000,4,FALSE))</f>
        <v/>
      </c>
      <c r="C630" s="7" t="str">
        <f>IF($A630="",IF(N(D630),0,""),VLOOKUP($A630,JupData!$A$2:$I$10000,7,FALSE))</f>
        <v/>
      </c>
      <c r="D630" t="str">
        <f t="shared" si="109"/>
        <v/>
      </c>
      <c r="E630" t="str">
        <f t="array" ref="E630">IF($A630="","",INDEX(JupData!$A$2:$K$10000,MATCH($A630&amp;E$1,JupData!$A$2:$A$10000&amp;JupData!$J$2:$J$10000,0),11))</f>
        <v/>
      </c>
      <c r="F630" t="str">
        <f t="array" ref="F630">IF($A630="","",INDEX(JupData!$A$2:$K$10000,MATCH($A630&amp;F$1,JupData!$A$2:$A$10000&amp;JupData!$J$2:$J$10000,0),11))</f>
        <v/>
      </c>
      <c r="G630" t="str">
        <f t="array" ref="G630">IF($A630="","",INDEX(JupData!$A$2:$K$10000,MATCH($A630&amp;G$1,JupData!$A$2:$A$10000&amp;JupData!$J$2:$J$10000,0),11))</f>
        <v/>
      </c>
      <c r="H630" t="str">
        <f t="array" ref="H630">IF($A630="","",INDEX(JupData!$A$2:$K$10000,MATCH($A630&amp;H$1,JupData!$A$2:$A$10000&amp;JupData!$J$2:$J$10000,0),11))</f>
        <v/>
      </c>
      <c r="I630" t="str">
        <f t="array" ref="I630">IF($A630="","",INDEX(JupData!$A$2:$K$10000,MATCH($A630&amp;I$1,JupData!$A$2:$A$10000&amp;JupData!$J$2:$J$10000,0),11))</f>
        <v/>
      </c>
      <c r="J630" t="str">
        <f t="array" ref="J630">IF($A630="","",INDEX(JupData!$A$2:$K$10000,MATCH($A630&amp;J$1,JupData!$A$2:$A$10000&amp;JupData!$J$2:$J$10000,0),11))</f>
        <v/>
      </c>
      <c r="K630" t="str">
        <f t="array" ref="K630">IF($A630="","",INDEX(JupData!$A$2:$K$10000,MATCH($A630&amp;K$1,JupData!$A$2:$A$10000&amp;JupData!$J$2:$J$10000,0),11))</f>
        <v/>
      </c>
      <c r="L630" t="str">
        <f t="array" ref="L630">IF($A630="","",INDEX(JupData!$A$2:$K$10000,MATCH($A630&amp;L$1,JupData!$A$2:$A$10000&amp;JupData!$J$2:$J$10000,0),11))</f>
        <v/>
      </c>
      <c r="M630" t="str">
        <f t="array" ref="M630">IF($A630="","",INDEX(JupData!$A$2:$K$10000,MATCH($A630&amp;M$1,JupData!$A$2:$A$10000&amp;JupData!$J$2:$J$10000,0),11))</f>
        <v/>
      </c>
      <c r="N630" t="str">
        <f t="array" ref="N630">IF($A630="","",INDEX(JupData!$A$2:$K$10000,MATCH($A630&amp;N$1,JupData!$A$2:$A$10000&amp;JupData!$J$2:$J$10000,0),11))</f>
        <v/>
      </c>
      <c r="O630" t="str">
        <f t="array" ref="O630">IF($A630="","",INDEX(JupData!$A$2:$K$10000,MATCH($A630&amp;O$1,JupData!$A$2:$A$10000&amp;JupData!$J$2:$J$10000,0),11))</f>
        <v/>
      </c>
      <c r="P630" t="str">
        <f t="array" ref="P630">IF($A630="","",INDEX(JupData!$A$2:$K$10000,MATCH($A630&amp;P$1,JupData!$A$2:$A$10000&amp;JupData!$J$2:$J$10000,0),11))</f>
        <v/>
      </c>
      <c r="Q630" t="str">
        <f t="array" ref="Q630">IF($A630="","",INDEX(JupData!$A$2:$K$10000,MATCH($A630&amp;Q$1,JupData!$A$2:$A$10000&amp;JupData!$J$2:$J$10000,0),11))</f>
        <v/>
      </c>
      <c r="R630" t="str">
        <f t="array" ref="R630">IF($A630="","",INDEX(JupData!$A$2:$K$10000,MATCH($A630&amp;R$1,JupData!$A$2:$A$10000&amp;JupData!$J$2:$J$10000,0),11))</f>
        <v/>
      </c>
      <c r="S630" t="str">
        <f t="array" ref="S630">IF($A630="","",INDEX(JupData!$A$2:$K$10000,MATCH($A630&amp;S$1,JupData!$A$2:$A$10000&amp;JupData!$J$2:$J$10000,0),11))</f>
        <v/>
      </c>
      <c r="T630" t="str">
        <f t="array" ref="T630">IF($A630="","",INDEX(JupData!$A$2:$K$10000,MATCH($A630&amp;T$1,JupData!$A$2:$A$10000&amp;JupData!$J$2:$J$10000,0),11))</f>
        <v/>
      </c>
      <c r="U630" t="str">
        <f t="array" ref="U630">IF($A630="","",INDEX(JupData!$A$2:$K$10000,MATCH($A630&amp;U$1,JupData!$A$2:$A$10000&amp;JupData!$J$2:$J$10000,0),11))</f>
        <v/>
      </c>
      <c r="V630" t="str">
        <f t="array" ref="V630">IF($A630="","",INDEX(JupData!$A$2:$K$10000,MATCH($A630&amp;V$1,JupData!$A$2:$A$10000&amp;JupData!$J$2:$J$10000,0),11))</f>
        <v/>
      </c>
      <c r="W630" t="str">
        <f t="array" ref="W630">IF($A630="","",INDEX(JupData!$A$2:$K$10000,MATCH($A630&amp;W$1,JupData!$A$2:$A$10000&amp;JupData!$J$2:$J$10000,0),11))</f>
        <v/>
      </c>
      <c r="X630" t="str">
        <f t="array" ref="X630">IF($A630="","",INDEX(JupData!$A$2:$K$10000,MATCH($A630&amp;X$1,JupData!$A$2:$A$10000&amp;JupData!$J$2:$J$10000,0),11))</f>
        <v/>
      </c>
      <c r="Y630" t="str">
        <f t="array" ref="Y630">IF($A630="","",INDEX(JupData!$A$2:$K$10000,MATCH($A630&amp;Y$1,JupData!$A$2:$A$10000&amp;JupData!$J$2:$J$10000,0),11))</f>
        <v/>
      </c>
      <c r="Z630" t="str">
        <f t="array" ref="Z630">IF($A630="","",INDEX(JupData!$A$2:$K$10000,MATCH($A630&amp;Z$1,JupData!$A$2:$A$10000&amp;JupData!$J$2:$J$10000,0),11))</f>
        <v/>
      </c>
      <c r="AA630" t="str">
        <f t="array" ref="AA630">IF($A630="","",INDEX(JupData!$A$2:$K$10000,MATCH($A630&amp;AA$1,JupData!$A$2:$A$10000&amp;JupData!$J$2:$J$10000,0),11))</f>
        <v/>
      </c>
      <c r="AB630" t="str">
        <f t="array" ref="AB630">IF($A630="","",INDEX(JupData!$A$2:$K$10000,MATCH($A630&amp;AB$1,JupData!$A$2:$A$10000&amp;JupData!$J$2:$J$10000,0),11))</f>
        <v/>
      </c>
      <c r="AC630" s="10" t="str">
        <f t="shared" si="99"/>
        <v/>
      </c>
      <c r="AD630" s="10" t="str">
        <f t="shared" si="100"/>
        <v/>
      </c>
      <c r="AE630" s="9" t="str">
        <f t="shared" si="101"/>
        <v/>
      </c>
      <c r="AF630" s="10" t="str">
        <f t="shared" si="102"/>
        <v/>
      </c>
      <c r="AG630" s="10" t="str">
        <f t="shared" si="103"/>
        <v/>
      </c>
      <c r="AH630" s="10" t="str">
        <f t="shared" si="104"/>
        <v/>
      </c>
      <c r="AI630" s="10" t="str">
        <f t="shared" si="105"/>
        <v/>
      </c>
      <c r="AJ630" s="10" t="str">
        <f t="shared" si="106"/>
        <v/>
      </c>
      <c r="AK630" s="10" t="str">
        <f t="shared" si="107"/>
        <v/>
      </c>
      <c r="AL630" s="14" t="str">
        <f t="shared" si="108"/>
        <v/>
      </c>
    </row>
    <row r="631" spans="1:38" x14ac:dyDescent="0.2">
      <c r="A631"/>
      <c r="B631" t="str">
        <f>IF($A631="","",VLOOKUP($A631,JupData!$A$2:$I$10000,4,FALSE))</f>
        <v/>
      </c>
      <c r="C631" s="7" t="str">
        <f>IF($A631="",IF(N(D631),0,""),VLOOKUP($A631,JupData!$A$2:$I$10000,7,FALSE))</f>
        <v/>
      </c>
      <c r="D631" t="str">
        <f t="shared" si="109"/>
        <v/>
      </c>
      <c r="E631" t="str">
        <f t="array" ref="E631">IF($A631="","",INDEX(JupData!$A$2:$K$10000,MATCH($A631&amp;E$1,JupData!$A$2:$A$10000&amp;JupData!$J$2:$J$10000,0),11))</f>
        <v/>
      </c>
      <c r="F631" t="str">
        <f t="array" ref="F631">IF($A631="","",INDEX(JupData!$A$2:$K$10000,MATCH($A631&amp;F$1,JupData!$A$2:$A$10000&amp;JupData!$J$2:$J$10000,0),11))</f>
        <v/>
      </c>
      <c r="G631" t="str">
        <f t="array" ref="G631">IF($A631="","",INDEX(JupData!$A$2:$K$10000,MATCH($A631&amp;G$1,JupData!$A$2:$A$10000&amp;JupData!$J$2:$J$10000,0),11))</f>
        <v/>
      </c>
      <c r="H631" t="str">
        <f t="array" ref="H631">IF($A631="","",INDEX(JupData!$A$2:$K$10000,MATCH($A631&amp;H$1,JupData!$A$2:$A$10000&amp;JupData!$J$2:$J$10000,0),11))</f>
        <v/>
      </c>
      <c r="I631" t="str">
        <f t="array" ref="I631">IF($A631="","",INDEX(JupData!$A$2:$K$10000,MATCH($A631&amp;I$1,JupData!$A$2:$A$10000&amp;JupData!$J$2:$J$10000,0),11))</f>
        <v/>
      </c>
      <c r="J631" t="str">
        <f t="array" ref="J631">IF($A631="","",INDEX(JupData!$A$2:$K$10000,MATCH($A631&amp;J$1,JupData!$A$2:$A$10000&amp;JupData!$J$2:$J$10000,0),11))</f>
        <v/>
      </c>
      <c r="K631" t="str">
        <f t="array" ref="K631">IF($A631="","",INDEX(JupData!$A$2:$K$10000,MATCH($A631&amp;K$1,JupData!$A$2:$A$10000&amp;JupData!$J$2:$J$10000,0),11))</f>
        <v/>
      </c>
      <c r="L631" t="str">
        <f t="array" ref="L631">IF($A631="","",INDEX(JupData!$A$2:$K$10000,MATCH($A631&amp;L$1,JupData!$A$2:$A$10000&amp;JupData!$J$2:$J$10000,0),11))</f>
        <v/>
      </c>
      <c r="M631" t="str">
        <f t="array" ref="M631">IF($A631="","",INDEX(JupData!$A$2:$K$10000,MATCH($A631&amp;M$1,JupData!$A$2:$A$10000&amp;JupData!$J$2:$J$10000,0),11))</f>
        <v/>
      </c>
      <c r="N631" t="str">
        <f t="array" ref="N631">IF($A631="","",INDEX(JupData!$A$2:$K$10000,MATCH($A631&amp;N$1,JupData!$A$2:$A$10000&amp;JupData!$J$2:$J$10000,0),11))</f>
        <v/>
      </c>
      <c r="O631" t="str">
        <f t="array" ref="O631">IF($A631="","",INDEX(JupData!$A$2:$K$10000,MATCH($A631&amp;O$1,JupData!$A$2:$A$10000&amp;JupData!$J$2:$J$10000,0),11))</f>
        <v/>
      </c>
      <c r="P631" t="str">
        <f t="array" ref="P631">IF($A631="","",INDEX(JupData!$A$2:$K$10000,MATCH($A631&amp;P$1,JupData!$A$2:$A$10000&amp;JupData!$J$2:$J$10000,0),11))</f>
        <v/>
      </c>
      <c r="Q631" t="str">
        <f t="array" ref="Q631">IF($A631="","",INDEX(JupData!$A$2:$K$10000,MATCH($A631&amp;Q$1,JupData!$A$2:$A$10000&amp;JupData!$J$2:$J$10000,0),11))</f>
        <v/>
      </c>
      <c r="R631" t="str">
        <f t="array" ref="R631">IF($A631="","",INDEX(JupData!$A$2:$K$10000,MATCH($A631&amp;R$1,JupData!$A$2:$A$10000&amp;JupData!$J$2:$J$10000,0),11))</f>
        <v/>
      </c>
      <c r="S631" t="str">
        <f t="array" ref="S631">IF($A631="","",INDEX(JupData!$A$2:$K$10000,MATCH($A631&amp;S$1,JupData!$A$2:$A$10000&amp;JupData!$J$2:$J$10000,0),11))</f>
        <v/>
      </c>
      <c r="T631" t="str">
        <f t="array" ref="T631">IF($A631="","",INDEX(JupData!$A$2:$K$10000,MATCH($A631&amp;T$1,JupData!$A$2:$A$10000&amp;JupData!$J$2:$J$10000,0),11))</f>
        <v/>
      </c>
      <c r="U631" t="str">
        <f t="array" ref="U631">IF($A631="","",INDEX(JupData!$A$2:$K$10000,MATCH($A631&amp;U$1,JupData!$A$2:$A$10000&amp;JupData!$J$2:$J$10000,0),11))</f>
        <v/>
      </c>
      <c r="V631" t="str">
        <f t="array" ref="V631">IF($A631="","",INDEX(JupData!$A$2:$K$10000,MATCH($A631&amp;V$1,JupData!$A$2:$A$10000&amp;JupData!$J$2:$J$10000,0),11))</f>
        <v/>
      </c>
      <c r="W631" t="str">
        <f t="array" ref="W631">IF($A631="","",INDEX(JupData!$A$2:$K$10000,MATCH($A631&amp;W$1,JupData!$A$2:$A$10000&amp;JupData!$J$2:$J$10000,0),11))</f>
        <v/>
      </c>
      <c r="X631" t="str">
        <f t="array" ref="X631">IF($A631="","",INDEX(JupData!$A$2:$K$10000,MATCH($A631&amp;X$1,JupData!$A$2:$A$10000&amp;JupData!$J$2:$J$10000,0),11))</f>
        <v/>
      </c>
      <c r="Y631" t="str">
        <f t="array" ref="Y631">IF($A631="","",INDEX(JupData!$A$2:$K$10000,MATCH($A631&amp;Y$1,JupData!$A$2:$A$10000&amp;JupData!$J$2:$J$10000,0),11))</f>
        <v/>
      </c>
      <c r="Z631" t="str">
        <f t="array" ref="Z631">IF($A631="","",INDEX(JupData!$A$2:$K$10000,MATCH($A631&amp;Z$1,JupData!$A$2:$A$10000&amp;JupData!$J$2:$J$10000,0),11))</f>
        <v/>
      </c>
      <c r="AA631" t="str">
        <f t="array" ref="AA631">IF($A631="","",INDEX(JupData!$A$2:$K$10000,MATCH($A631&amp;AA$1,JupData!$A$2:$A$10000&amp;JupData!$J$2:$J$10000,0),11))</f>
        <v/>
      </c>
      <c r="AB631" t="str">
        <f t="array" ref="AB631">IF($A631="","",INDEX(JupData!$A$2:$K$10000,MATCH($A631&amp;AB$1,JupData!$A$2:$A$10000&amp;JupData!$J$2:$J$10000,0),11))</f>
        <v/>
      </c>
      <c r="AC631" s="10" t="str">
        <f t="shared" si="99"/>
        <v/>
      </c>
      <c r="AD631" s="10" t="str">
        <f t="shared" si="100"/>
        <v/>
      </c>
      <c r="AE631" s="9" t="str">
        <f t="shared" si="101"/>
        <v/>
      </c>
      <c r="AF631" s="10" t="str">
        <f t="shared" si="102"/>
        <v/>
      </c>
      <c r="AG631" s="10" t="str">
        <f t="shared" si="103"/>
        <v/>
      </c>
      <c r="AH631" s="10" t="str">
        <f t="shared" si="104"/>
        <v/>
      </c>
      <c r="AI631" s="10" t="str">
        <f t="shared" si="105"/>
        <v/>
      </c>
      <c r="AJ631" s="10" t="str">
        <f t="shared" si="106"/>
        <v/>
      </c>
      <c r="AK631" s="10" t="str">
        <f t="shared" si="107"/>
        <v/>
      </c>
      <c r="AL631" s="14" t="str">
        <f t="shared" si="108"/>
        <v/>
      </c>
    </row>
    <row r="632" spans="1:38" x14ac:dyDescent="0.2">
      <c r="A632"/>
      <c r="B632" t="str">
        <f>IF($A632="","",VLOOKUP($A632,JupData!$A$2:$I$10000,4,FALSE))</f>
        <v/>
      </c>
      <c r="C632" s="7" t="str">
        <f>IF($A632="",IF(N(D632),0,""),VLOOKUP($A632,JupData!$A$2:$I$10000,7,FALSE))</f>
        <v/>
      </c>
      <c r="D632" t="str">
        <f t="shared" si="109"/>
        <v/>
      </c>
      <c r="E632" t="str">
        <f t="array" ref="E632">IF($A632="","",INDEX(JupData!$A$2:$K$10000,MATCH($A632&amp;E$1,JupData!$A$2:$A$10000&amp;JupData!$J$2:$J$10000,0),11))</f>
        <v/>
      </c>
      <c r="F632" t="str">
        <f t="array" ref="F632">IF($A632="","",INDEX(JupData!$A$2:$K$10000,MATCH($A632&amp;F$1,JupData!$A$2:$A$10000&amp;JupData!$J$2:$J$10000,0),11))</f>
        <v/>
      </c>
      <c r="G632" t="str">
        <f t="array" ref="G632">IF($A632="","",INDEX(JupData!$A$2:$K$10000,MATCH($A632&amp;G$1,JupData!$A$2:$A$10000&amp;JupData!$J$2:$J$10000,0),11))</f>
        <v/>
      </c>
      <c r="H632" t="str">
        <f t="array" ref="H632">IF($A632="","",INDEX(JupData!$A$2:$K$10000,MATCH($A632&amp;H$1,JupData!$A$2:$A$10000&amp;JupData!$J$2:$J$10000,0),11))</f>
        <v/>
      </c>
      <c r="I632" t="str">
        <f t="array" ref="I632">IF($A632="","",INDEX(JupData!$A$2:$K$10000,MATCH($A632&amp;I$1,JupData!$A$2:$A$10000&amp;JupData!$J$2:$J$10000,0),11))</f>
        <v/>
      </c>
      <c r="J632" t="str">
        <f t="array" ref="J632">IF($A632="","",INDEX(JupData!$A$2:$K$10000,MATCH($A632&amp;J$1,JupData!$A$2:$A$10000&amp;JupData!$J$2:$J$10000,0),11))</f>
        <v/>
      </c>
      <c r="K632" t="str">
        <f t="array" ref="K632">IF($A632="","",INDEX(JupData!$A$2:$K$10000,MATCH($A632&amp;K$1,JupData!$A$2:$A$10000&amp;JupData!$J$2:$J$10000,0),11))</f>
        <v/>
      </c>
      <c r="L632" t="str">
        <f t="array" ref="L632">IF($A632="","",INDEX(JupData!$A$2:$K$10000,MATCH($A632&amp;L$1,JupData!$A$2:$A$10000&amp;JupData!$J$2:$J$10000,0),11))</f>
        <v/>
      </c>
      <c r="M632" t="str">
        <f t="array" ref="M632">IF($A632="","",INDEX(JupData!$A$2:$K$10000,MATCH($A632&amp;M$1,JupData!$A$2:$A$10000&amp;JupData!$J$2:$J$10000,0),11))</f>
        <v/>
      </c>
      <c r="N632" t="str">
        <f t="array" ref="N632">IF($A632="","",INDEX(JupData!$A$2:$K$10000,MATCH($A632&amp;N$1,JupData!$A$2:$A$10000&amp;JupData!$J$2:$J$10000,0),11))</f>
        <v/>
      </c>
      <c r="O632" t="str">
        <f t="array" ref="O632">IF($A632="","",INDEX(JupData!$A$2:$K$10000,MATCH($A632&amp;O$1,JupData!$A$2:$A$10000&amp;JupData!$J$2:$J$10000,0),11))</f>
        <v/>
      </c>
      <c r="P632" t="str">
        <f t="array" ref="P632">IF($A632="","",INDEX(JupData!$A$2:$K$10000,MATCH($A632&amp;P$1,JupData!$A$2:$A$10000&amp;JupData!$J$2:$J$10000,0),11))</f>
        <v/>
      </c>
      <c r="Q632" t="str">
        <f t="array" ref="Q632">IF($A632="","",INDEX(JupData!$A$2:$K$10000,MATCH($A632&amp;Q$1,JupData!$A$2:$A$10000&amp;JupData!$J$2:$J$10000,0),11))</f>
        <v/>
      </c>
      <c r="R632" t="str">
        <f t="array" ref="R632">IF($A632="","",INDEX(JupData!$A$2:$K$10000,MATCH($A632&amp;R$1,JupData!$A$2:$A$10000&amp;JupData!$J$2:$J$10000,0),11))</f>
        <v/>
      </c>
      <c r="S632" t="str">
        <f t="array" ref="S632">IF($A632="","",INDEX(JupData!$A$2:$K$10000,MATCH($A632&amp;S$1,JupData!$A$2:$A$10000&amp;JupData!$J$2:$J$10000,0),11))</f>
        <v/>
      </c>
      <c r="T632" t="str">
        <f t="array" ref="T632">IF($A632="","",INDEX(JupData!$A$2:$K$10000,MATCH($A632&amp;T$1,JupData!$A$2:$A$10000&amp;JupData!$J$2:$J$10000,0),11))</f>
        <v/>
      </c>
      <c r="U632" t="str">
        <f t="array" ref="U632">IF($A632="","",INDEX(JupData!$A$2:$K$10000,MATCH($A632&amp;U$1,JupData!$A$2:$A$10000&amp;JupData!$J$2:$J$10000,0),11))</f>
        <v/>
      </c>
      <c r="V632" t="str">
        <f t="array" ref="V632">IF($A632="","",INDEX(JupData!$A$2:$K$10000,MATCH($A632&amp;V$1,JupData!$A$2:$A$10000&amp;JupData!$J$2:$J$10000,0),11))</f>
        <v/>
      </c>
      <c r="W632" t="str">
        <f t="array" ref="W632">IF($A632="","",INDEX(JupData!$A$2:$K$10000,MATCH($A632&amp;W$1,JupData!$A$2:$A$10000&amp;JupData!$J$2:$J$10000,0),11))</f>
        <v/>
      </c>
      <c r="X632" t="str">
        <f t="array" ref="X632">IF($A632="","",INDEX(JupData!$A$2:$K$10000,MATCH($A632&amp;X$1,JupData!$A$2:$A$10000&amp;JupData!$J$2:$J$10000,0),11))</f>
        <v/>
      </c>
      <c r="Y632" t="str">
        <f t="array" ref="Y632">IF($A632="","",INDEX(JupData!$A$2:$K$10000,MATCH($A632&amp;Y$1,JupData!$A$2:$A$10000&amp;JupData!$J$2:$J$10000,0),11))</f>
        <v/>
      </c>
      <c r="Z632" t="str">
        <f t="array" ref="Z632">IF($A632="","",INDEX(JupData!$A$2:$K$10000,MATCH($A632&amp;Z$1,JupData!$A$2:$A$10000&amp;JupData!$J$2:$J$10000,0),11))</f>
        <v/>
      </c>
      <c r="AA632" t="str">
        <f t="array" ref="AA632">IF($A632="","",INDEX(JupData!$A$2:$K$10000,MATCH($A632&amp;AA$1,JupData!$A$2:$A$10000&amp;JupData!$J$2:$J$10000,0),11))</f>
        <v/>
      </c>
      <c r="AB632" t="str">
        <f t="array" ref="AB632">IF($A632="","",INDEX(JupData!$A$2:$K$10000,MATCH($A632&amp;AB$1,JupData!$A$2:$A$10000&amp;JupData!$J$2:$J$10000,0),11))</f>
        <v/>
      </c>
      <c r="AC632" s="10" t="str">
        <f t="shared" si="99"/>
        <v/>
      </c>
      <c r="AD632" s="10" t="str">
        <f t="shared" si="100"/>
        <v/>
      </c>
      <c r="AE632" s="9" t="str">
        <f t="shared" si="101"/>
        <v/>
      </c>
      <c r="AF632" s="10" t="str">
        <f t="shared" si="102"/>
        <v/>
      </c>
      <c r="AG632" s="10" t="str">
        <f t="shared" si="103"/>
        <v/>
      </c>
      <c r="AH632" s="10" t="str">
        <f t="shared" si="104"/>
        <v/>
      </c>
      <c r="AI632" s="10" t="str">
        <f t="shared" si="105"/>
        <v/>
      </c>
      <c r="AJ632" s="10" t="str">
        <f t="shared" si="106"/>
        <v/>
      </c>
      <c r="AK632" s="10" t="str">
        <f t="shared" si="107"/>
        <v/>
      </c>
      <c r="AL632" s="14" t="str">
        <f t="shared" si="108"/>
        <v/>
      </c>
    </row>
    <row r="633" spans="1:38" x14ac:dyDescent="0.2">
      <c r="A633"/>
      <c r="B633" t="str">
        <f>IF($A633="","",VLOOKUP($A633,JupData!$A$2:$I$10000,4,FALSE))</f>
        <v/>
      </c>
      <c r="C633" s="7" t="str">
        <f>IF($A633="",IF(N(D633),0,""),VLOOKUP($A633,JupData!$A$2:$I$10000,7,FALSE))</f>
        <v/>
      </c>
      <c r="D633" t="str">
        <f t="shared" si="109"/>
        <v/>
      </c>
      <c r="E633" t="str">
        <f t="array" ref="E633">IF($A633="","",INDEX(JupData!$A$2:$K$10000,MATCH($A633&amp;E$1,JupData!$A$2:$A$10000&amp;JupData!$J$2:$J$10000,0),11))</f>
        <v/>
      </c>
      <c r="F633" t="str">
        <f t="array" ref="F633">IF($A633="","",INDEX(JupData!$A$2:$K$10000,MATCH($A633&amp;F$1,JupData!$A$2:$A$10000&amp;JupData!$J$2:$J$10000,0),11))</f>
        <v/>
      </c>
      <c r="G633" t="str">
        <f t="array" ref="G633">IF($A633="","",INDEX(JupData!$A$2:$K$10000,MATCH($A633&amp;G$1,JupData!$A$2:$A$10000&amp;JupData!$J$2:$J$10000,0),11))</f>
        <v/>
      </c>
      <c r="H633" t="str">
        <f t="array" ref="H633">IF($A633="","",INDEX(JupData!$A$2:$K$10000,MATCH($A633&amp;H$1,JupData!$A$2:$A$10000&amp;JupData!$J$2:$J$10000,0),11))</f>
        <v/>
      </c>
      <c r="I633" t="str">
        <f t="array" ref="I633">IF($A633="","",INDEX(JupData!$A$2:$K$10000,MATCH($A633&amp;I$1,JupData!$A$2:$A$10000&amp;JupData!$J$2:$J$10000,0),11))</f>
        <v/>
      </c>
      <c r="J633" t="str">
        <f t="array" ref="J633">IF($A633="","",INDEX(JupData!$A$2:$K$10000,MATCH($A633&amp;J$1,JupData!$A$2:$A$10000&amp;JupData!$J$2:$J$10000,0),11))</f>
        <v/>
      </c>
      <c r="K633" t="str">
        <f t="array" ref="K633">IF($A633="","",INDEX(JupData!$A$2:$K$10000,MATCH($A633&amp;K$1,JupData!$A$2:$A$10000&amp;JupData!$J$2:$J$10000,0),11))</f>
        <v/>
      </c>
      <c r="L633" t="str">
        <f t="array" ref="L633">IF($A633="","",INDEX(JupData!$A$2:$K$10000,MATCH($A633&amp;L$1,JupData!$A$2:$A$10000&amp;JupData!$J$2:$J$10000,0),11))</f>
        <v/>
      </c>
      <c r="M633" t="str">
        <f t="array" ref="M633">IF($A633="","",INDEX(JupData!$A$2:$K$10000,MATCH($A633&amp;M$1,JupData!$A$2:$A$10000&amp;JupData!$J$2:$J$10000,0),11))</f>
        <v/>
      </c>
      <c r="N633" t="str">
        <f t="array" ref="N633">IF($A633="","",INDEX(JupData!$A$2:$K$10000,MATCH($A633&amp;N$1,JupData!$A$2:$A$10000&amp;JupData!$J$2:$J$10000,0),11))</f>
        <v/>
      </c>
      <c r="O633" t="str">
        <f t="array" ref="O633">IF($A633="","",INDEX(JupData!$A$2:$K$10000,MATCH($A633&amp;O$1,JupData!$A$2:$A$10000&amp;JupData!$J$2:$J$10000,0),11))</f>
        <v/>
      </c>
      <c r="P633" t="str">
        <f t="array" ref="P633">IF($A633="","",INDEX(JupData!$A$2:$K$10000,MATCH($A633&amp;P$1,JupData!$A$2:$A$10000&amp;JupData!$J$2:$J$10000,0),11))</f>
        <v/>
      </c>
      <c r="Q633" t="str">
        <f t="array" ref="Q633">IF($A633="","",INDEX(JupData!$A$2:$K$10000,MATCH($A633&amp;Q$1,JupData!$A$2:$A$10000&amp;JupData!$J$2:$J$10000,0),11))</f>
        <v/>
      </c>
      <c r="R633" t="str">
        <f t="array" ref="R633">IF($A633="","",INDEX(JupData!$A$2:$K$10000,MATCH($A633&amp;R$1,JupData!$A$2:$A$10000&amp;JupData!$J$2:$J$10000,0),11))</f>
        <v/>
      </c>
      <c r="S633" t="str">
        <f t="array" ref="S633">IF($A633="","",INDEX(JupData!$A$2:$K$10000,MATCH($A633&amp;S$1,JupData!$A$2:$A$10000&amp;JupData!$J$2:$J$10000,0),11))</f>
        <v/>
      </c>
      <c r="T633" t="str">
        <f t="array" ref="T633">IF($A633="","",INDEX(JupData!$A$2:$K$10000,MATCH($A633&amp;T$1,JupData!$A$2:$A$10000&amp;JupData!$J$2:$J$10000,0),11))</f>
        <v/>
      </c>
      <c r="U633" t="str">
        <f t="array" ref="U633">IF($A633="","",INDEX(JupData!$A$2:$K$10000,MATCH($A633&amp;U$1,JupData!$A$2:$A$10000&amp;JupData!$J$2:$J$10000,0),11))</f>
        <v/>
      </c>
      <c r="V633" t="str">
        <f t="array" ref="V633">IF($A633="","",INDEX(JupData!$A$2:$K$10000,MATCH($A633&amp;V$1,JupData!$A$2:$A$10000&amp;JupData!$J$2:$J$10000,0),11))</f>
        <v/>
      </c>
      <c r="W633" t="str">
        <f t="array" ref="W633">IF($A633="","",INDEX(JupData!$A$2:$K$10000,MATCH($A633&amp;W$1,JupData!$A$2:$A$10000&amp;JupData!$J$2:$J$10000,0),11))</f>
        <v/>
      </c>
      <c r="X633" t="str">
        <f t="array" ref="X633">IF($A633="","",INDEX(JupData!$A$2:$K$10000,MATCH($A633&amp;X$1,JupData!$A$2:$A$10000&amp;JupData!$J$2:$J$10000,0),11))</f>
        <v/>
      </c>
      <c r="Y633" t="str">
        <f t="array" ref="Y633">IF($A633="","",INDEX(JupData!$A$2:$K$10000,MATCH($A633&amp;Y$1,JupData!$A$2:$A$10000&amp;JupData!$J$2:$J$10000,0),11))</f>
        <v/>
      </c>
      <c r="Z633" t="str">
        <f t="array" ref="Z633">IF($A633="","",INDEX(JupData!$A$2:$K$10000,MATCH($A633&amp;Z$1,JupData!$A$2:$A$10000&amp;JupData!$J$2:$J$10000,0),11))</f>
        <v/>
      </c>
      <c r="AA633" t="str">
        <f t="array" ref="AA633">IF($A633="","",INDEX(JupData!$A$2:$K$10000,MATCH($A633&amp;AA$1,JupData!$A$2:$A$10000&amp;JupData!$J$2:$J$10000,0),11))</f>
        <v/>
      </c>
      <c r="AB633" t="str">
        <f t="array" ref="AB633">IF($A633="","",INDEX(JupData!$A$2:$K$10000,MATCH($A633&amp;AB$1,JupData!$A$2:$A$10000&amp;JupData!$J$2:$J$10000,0),11))</f>
        <v/>
      </c>
      <c r="AC633" s="10" t="str">
        <f t="shared" si="99"/>
        <v/>
      </c>
      <c r="AD633" s="10" t="str">
        <f t="shared" si="100"/>
        <v/>
      </c>
      <c r="AE633" s="9" t="str">
        <f t="shared" si="101"/>
        <v/>
      </c>
      <c r="AF633" s="10" t="str">
        <f t="shared" si="102"/>
        <v/>
      </c>
      <c r="AG633" s="10" t="str">
        <f t="shared" si="103"/>
        <v/>
      </c>
      <c r="AH633" s="10" t="str">
        <f t="shared" si="104"/>
        <v/>
      </c>
      <c r="AI633" s="10" t="str">
        <f t="shared" si="105"/>
        <v/>
      </c>
      <c r="AJ633" s="10" t="str">
        <f t="shared" si="106"/>
        <v/>
      </c>
      <c r="AK633" s="10" t="str">
        <f t="shared" si="107"/>
        <v/>
      </c>
      <c r="AL633" s="14" t="str">
        <f t="shared" si="108"/>
        <v/>
      </c>
    </row>
    <row r="634" spans="1:38" x14ac:dyDescent="0.2">
      <c r="A634"/>
      <c r="B634" t="str">
        <f>IF($A634="","",VLOOKUP($A634,JupData!$A$2:$I$10000,4,FALSE))</f>
        <v/>
      </c>
      <c r="C634" s="7" t="str">
        <f>IF($A634="",IF(N(D634),0,""),VLOOKUP($A634,JupData!$A$2:$I$10000,7,FALSE))</f>
        <v/>
      </c>
      <c r="D634" t="str">
        <f t="shared" si="109"/>
        <v/>
      </c>
      <c r="E634" t="str">
        <f t="array" ref="E634">IF($A634="","",INDEX(JupData!$A$2:$K$10000,MATCH($A634&amp;E$1,JupData!$A$2:$A$10000&amp;JupData!$J$2:$J$10000,0),11))</f>
        <v/>
      </c>
      <c r="F634" t="str">
        <f t="array" ref="F634">IF($A634="","",INDEX(JupData!$A$2:$K$10000,MATCH($A634&amp;F$1,JupData!$A$2:$A$10000&amp;JupData!$J$2:$J$10000,0),11))</f>
        <v/>
      </c>
      <c r="G634" t="str">
        <f t="array" ref="G634">IF($A634="","",INDEX(JupData!$A$2:$K$10000,MATCH($A634&amp;G$1,JupData!$A$2:$A$10000&amp;JupData!$J$2:$J$10000,0),11))</f>
        <v/>
      </c>
      <c r="H634" t="str">
        <f t="array" ref="H634">IF($A634="","",INDEX(JupData!$A$2:$K$10000,MATCH($A634&amp;H$1,JupData!$A$2:$A$10000&amp;JupData!$J$2:$J$10000,0),11))</f>
        <v/>
      </c>
      <c r="I634" t="str">
        <f t="array" ref="I634">IF($A634="","",INDEX(JupData!$A$2:$K$10000,MATCH($A634&amp;I$1,JupData!$A$2:$A$10000&amp;JupData!$J$2:$J$10000,0),11))</f>
        <v/>
      </c>
      <c r="J634" t="str">
        <f t="array" ref="J634">IF($A634="","",INDEX(JupData!$A$2:$K$10000,MATCH($A634&amp;J$1,JupData!$A$2:$A$10000&amp;JupData!$J$2:$J$10000,0),11))</f>
        <v/>
      </c>
      <c r="K634" t="str">
        <f t="array" ref="K634">IF($A634="","",INDEX(JupData!$A$2:$K$10000,MATCH($A634&amp;K$1,JupData!$A$2:$A$10000&amp;JupData!$J$2:$J$10000,0),11))</f>
        <v/>
      </c>
      <c r="L634" t="str">
        <f t="array" ref="L634">IF($A634="","",INDEX(JupData!$A$2:$K$10000,MATCH($A634&amp;L$1,JupData!$A$2:$A$10000&amp;JupData!$J$2:$J$10000,0),11))</f>
        <v/>
      </c>
      <c r="M634" t="str">
        <f t="array" ref="M634">IF($A634="","",INDEX(JupData!$A$2:$K$10000,MATCH($A634&amp;M$1,JupData!$A$2:$A$10000&amp;JupData!$J$2:$J$10000,0),11))</f>
        <v/>
      </c>
      <c r="N634" t="str">
        <f t="array" ref="N634">IF($A634="","",INDEX(JupData!$A$2:$K$10000,MATCH($A634&amp;N$1,JupData!$A$2:$A$10000&amp;JupData!$J$2:$J$10000,0),11))</f>
        <v/>
      </c>
      <c r="O634" t="str">
        <f t="array" ref="O634">IF($A634="","",INDEX(JupData!$A$2:$K$10000,MATCH($A634&amp;O$1,JupData!$A$2:$A$10000&amp;JupData!$J$2:$J$10000,0),11))</f>
        <v/>
      </c>
      <c r="P634" t="str">
        <f t="array" ref="P634">IF($A634="","",INDEX(JupData!$A$2:$K$10000,MATCH($A634&amp;P$1,JupData!$A$2:$A$10000&amp;JupData!$J$2:$J$10000,0),11))</f>
        <v/>
      </c>
      <c r="Q634" t="str">
        <f t="array" ref="Q634">IF($A634="","",INDEX(JupData!$A$2:$K$10000,MATCH($A634&amp;Q$1,JupData!$A$2:$A$10000&amp;JupData!$J$2:$J$10000,0),11))</f>
        <v/>
      </c>
      <c r="R634" t="str">
        <f t="array" ref="R634">IF($A634="","",INDEX(JupData!$A$2:$K$10000,MATCH($A634&amp;R$1,JupData!$A$2:$A$10000&amp;JupData!$J$2:$J$10000,0),11))</f>
        <v/>
      </c>
      <c r="S634" t="str">
        <f t="array" ref="S634">IF($A634="","",INDEX(JupData!$A$2:$K$10000,MATCH($A634&amp;S$1,JupData!$A$2:$A$10000&amp;JupData!$J$2:$J$10000,0),11))</f>
        <v/>
      </c>
      <c r="T634" t="str">
        <f t="array" ref="T634">IF($A634="","",INDEX(JupData!$A$2:$K$10000,MATCH($A634&amp;T$1,JupData!$A$2:$A$10000&amp;JupData!$J$2:$J$10000,0),11))</f>
        <v/>
      </c>
      <c r="U634" t="str">
        <f t="array" ref="U634">IF($A634="","",INDEX(JupData!$A$2:$K$10000,MATCH($A634&amp;U$1,JupData!$A$2:$A$10000&amp;JupData!$J$2:$J$10000,0),11))</f>
        <v/>
      </c>
      <c r="V634" t="str">
        <f t="array" ref="V634">IF($A634="","",INDEX(JupData!$A$2:$K$10000,MATCH($A634&amp;V$1,JupData!$A$2:$A$10000&amp;JupData!$J$2:$J$10000,0),11))</f>
        <v/>
      </c>
      <c r="W634" t="str">
        <f t="array" ref="W634">IF($A634="","",INDEX(JupData!$A$2:$K$10000,MATCH($A634&amp;W$1,JupData!$A$2:$A$10000&amp;JupData!$J$2:$J$10000,0),11))</f>
        <v/>
      </c>
      <c r="X634" t="str">
        <f t="array" ref="X634">IF($A634="","",INDEX(JupData!$A$2:$K$10000,MATCH($A634&amp;X$1,JupData!$A$2:$A$10000&amp;JupData!$J$2:$J$10000,0),11))</f>
        <v/>
      </c>
      <c r="Y634" t="str">
        <f t="array" ref="Y634">IF($A634="","",INDEX(JupData!$A$2:$K$10000,MATCH($A634&amp;Y$1,JupData!$A$2:$A$10000&amp;JupData!$J$2:$J$10000,0),11))</f>
        <v/>
      </c>
      <c r="Z634" t="str">
        <f t="array" ref="Z634">IF($A634="","",INDEX(JupData!$A$2:$K$10000,MATCH($A634&amp;Z$1,JupData!$A$2:$A$10000&amp;JupData!$J$2:$J$10000,0),11))</f>
        <v/>
      </c>
      <c r="AA634" t="str">
        <f t="array" ref="AA634">IF($A634="","",INDEX(JupData!$A$2:$K$10000,MATCH($A634&amp;AA$1,JupData!$A$2:$A$10000&amp;JupData!$J$2:$J$10000,0),11))</f>
        <v/>
      </c>
      <c r="AB634" t="str">
        <f t="array" ref="AB634">IF($A634="","",INDEX(JupData!$A$2:$K$10000,MATCH($A634&amp;AB$1,JupData!$A$2:$A$10000&amp;JupData!$J$2:$J$10000,0),11))</f>
        <v/>
      </c>
      <c r="AC634" s="10" t="str">
        <f t="shared" si="99"/>
        <v/>
      </c>
      <c r="AD634" s="10" t="str">
        <f t="shared" si="100"/>
        <v/>
      </c>
      <c r="AE634" s="9" t="str">
        <f t="shared" si="101"/>
        <v/>
      </c>
      <c r="AF634" s="10" t="str">
        <f t="shared" si="102"/>
        <v/>
      </c>
      <c r="AG634" s="10" t="str">
        <f t="shared" si="103"/>
        <v/>
      </c>
      <c r="AH634" s="10" t="str">
        <f t="shared" si="104"/>
        <v/>
      </c>
      <c r="AI634" s="10" t="str">
        <f t="shared" si="105"/>
        <v/>
      </c>
      <c r="AJ634" s="10" t="str">
        <f t="shared" si="106"/>
        <v/>
      </c>
      <c r="AK634" s="10" t="str">
        <f t="shared" si="107"/>
        <v/>
      </c>
      <c r="AL634" s="14" t="str">
        <f t="shared" si="108"/>
        <v/>
      </c>
    </row>
    <row r="635" spans="1:38" x14ac:dyDescent="0.2">
      <c r="A635"/>
      <c r="B635" t="str">
        <f>IF($A635="","",VLOOKUP($A635,JupData!$A$2:$I$10000,4,FALSE))</f>
        <v/>
      </c>
      <c r="C635" s="7" t="str">
        <f>IF($A635="",IF(N(D635),0,""),VLOOKUP($A635,JupData!$A$2:$I$10000,7,FALSE))</f>
        <v/>
      </c>
      <c r="D635" t="str">
        <f t="shared" si="109"/>
        <v/>
      </c>
      <c r="E635" t="str">
        <f t="array" ref="E635">IF($A635="","",INDEX(JupData!$A$2:$K$10000,MATCH($A635&amp;E$1,JupData!$A$2:$A$10000&amp;JupData!$J$2:$J$10000,0),11))</f>
        <v/>
      </c>
      <c r="F635" t="str">
        <f t="array" ref="F635">IF($A635="","",INDEX(JupData!$A$2:$K$10000,MATCH($A635&amp;F$1,JupData!$A$2:$A$10000&amp;JupData!$J$2:$J$10000,0),11))</f>
        <v/>
      </c>
      <c r="G635" t="str">
        <f t="array" ref="G635">IF($A635="","",INDEX(JupData!$A$2:$K$10000,MATCH($A635&amp;G$1,JupData!$A$2:$A$10000&amp;JupData!$J$2:$J$10000,0),11))</f>
        <v/>
      </c>
      <c r="H635" t="str">
        <f t="array" ref="H635">IF($A635="","",INDEX(JupData!$A$2:$K$10000,MATCH($A635&amp;H$1,JupData!$A$2:$A$10000&amp;JupData!$J$2:$J$10000,0),11))</f>
        <v/>
      </c>
      <c r="I635" t="str">
        <f t="array" ref="I635">IF($A635="","",INDEX(JupData!$A$2:$K$10000,MATCH($A635&amp;I$1,JupData!$A$2:$A$10000&amp;JupData!$J$2:$J$10000,0),11))</f>
        <v/>
      </c>
      <c r="J635" t="str">
        <f t="array" ref="J635">IF($A635="","",INDEX(JupData!$A$2:$K$10000,MATCH($A635&amp;J$1,JupData!$A$2:$A$10000&amp;JupData!$J$2:$J$10000,0),11))</f>
        <v/>
      </c>
      <c r="K635" t="str">
        <f t="array" ref="K635">IF($A635="","",INDEX(JupData!$A$2:$K$10000,MATCH($A635&amp;K$1,JupData!$A$2:$A$10000&amp;JupData!$J$2:$J$10000,0),11))</f>
        <v/>
      </c>
      <c r="L635" t="str">
        <f t="array" ref="L635">IF($A635="","",INDEX(JupData!$A$2:$K$10000,MATCH($A635&amp;L$1,JupData!$A$2:$A$10000&amp;JupData!$J$2:$J$10000,0),11))</f>
        <v/>
      </c>
      <c r="M635" t="str">
        <f t="array" ref="M635">IF($A635="","",INDEX(JupData!$A$2:$K$10000,MATCH($A635&amp;M$1,JupData!$A$2:$A$10000&amp;JupData!$J$2:$J$10000,0),11))</f>
        <v/>
      </c>
      <c r="N635" t="str">
        <f t="array" ref="N635">IF($A635="","",INDEX(JupData!$A$2:$K$10000,MATCH($A635&amp;N$1,JupData!$A$2:$A$10000&amp;JupData!$J$2:$J$10000,0),11))</f>
        <v/>
      </c>
      <c r="O635" t="str">
        <f t="array" ref="O635">IF($A635="","",INDEX(JupData!$A$2:$K$10000,MATCH($A635&amp;O$1,JupData!$A$2:$A$10000&amp;JupData!$J$2:$J$10000,0),11))</f>
        <v/>
      </c>
      <c r="P635" t="str">
        <f t="array" ref="P635">IF($A635="","",INDEX(JupData!$A$2:$K$10000,MATCH($A635&amp;P$1,JupData!$A$2:$A$10000&amp;JupData!$J$2:$J$10000,0),11))</f>
        <v/>
      </c>
      <c r="Q635" t="str">
        <f t="array" ref="Q635">IF($A635="","",INDEX(JupData!$A$2:$K$10000,MATCH($A635&amp;Q$1,JupData!$A$2:$A$10000&amp;JupData!$J$2:$J$10000,0),11))</f>
        <v/>
      </c>
      <c r="R635" t="str">
        <f t="array" ref="R635">IF($A635="","",INDEX(JupData!$A$2:$K$10000,MATCH($A635&amp;R$1,JupData!$A$2:$A$10000&amp;JupData!$J$2:$J$10000,0),11))</f>
        <v/>
      </c>
      <c r="S635" t="str">
        <f t="array" ref="S635">IF($A635="","",INDEX(JupData!$A$2:$K$10000,MATCH($A635&amp;S$1,JupData!$A$2:$A$10000&amp;JupData!$J$2:$J$10000,0),11))</f>
        <v/>
      </c>
      <c r="T635" t="str">
        <f t="array" ref="T635">IF($A635="","",INDEX(JupData!$A$2:$K$10000,MATCH($A635&amp;T$1,JupData!$A$2:$A$10000&amp;JupData!$J$2:$J$10000,0),11))</f>
        <v/>
      </c>
      <c r="U635" t="str">
        <f t="array" ref="U635">IF($A635="","",INDEX(JupData!$A$2:$K$10000,MATCH($A635&amp;U$1,JupData!$A$2:$A$10000&amp;JupData!$J$2:$J$10000,0),11))</f>
        <v/>
      </c>
      <c r="V635" t="str">
        <f t="array" ref="V635">IF($A635="","",INDEX(JupData!$A$2:$K$10000,MATCH($A635&amp;V$1,JupData!$A$2:$A$10000&amp;JupData!$J$2:$J$10000,0),11))</f>
        <v/>
      </c>
      <c r="W635" t="str">
        <f t="array" ref="W635">IF($A635="","",INDEX(JupData!$A$2:$K$10000,MATCH($A635&amp;W$1,JupData!$A$2:$A$10000&amp;JupData!$J$2:$J$10000,0),11))</f>
        <v/>
      </c>
      <c r="X635" t="str">
        <f t="array" ref="X635">IF($A635="","",INDEX(JupData!$A$2:$K$10000,MATCH($A635&amp;X$1,JupData!$A$2:$A$10000&amp;JupData!$J$2:$J$10000,0),11))</f>
        <v/>
      </c>
      <c r="Y635" t="str">
        <f t="array" ref="Y635">IF($A635="","",INDEX(JupData!$A$2:$K$10000,MATCH($A635&amp;Y$1,JupData!$A$2:$A$10000&amp;JupData!$J$2:$J$10000,0),11))</f>
        <v/>
      </c>
      <c r="Z635" t="str">
        <f t="array" ref="Z635">IF($A635="","",INDEX(JupData!$A$2:$K$10000,MATCH($A635&amp;Z$1,JupData!$A$2:$A$10000&amp;JupData!$J$2:$J$10000,0),11))</f>
        <v/>
      </c>
      <c r="AA635" t="str">
        <f t="array" ref="AA635">IF($A635="","",INDEX(JupData!$A$2:$K$10000,MATCH($A635&amp;AA$1,JupData!$A$2:$A$10000&amp;JupData!$J$2:$J$10000,0),11))</f>
        <v/>
      </c>
      <c r="AB635" t="str">
        <f t="array" ref="AB635">IF($A635="","",INDEX(JupData!$A$2:$K$10000,MATCH($A635&amp;AB$1,JupData!$A$2:$A$10000&amp;JupData!$J$2:$J$10000,0),11))</f>
        <v/>
      </c>
      <c r="AC635" s="10" t="str">
        <f t="shared" si="99"/>
        <v/>
      </c>
      <c r="AD635" s="10" t="str">
        <f t="shared" si="100"/>
        <v/>
      </c>
      <c r="AE635" s="9" t="str">
        <f t="shared" si="101"/>
        <v/>
      </c>
      <c r="AF635" s="10" t="str">
        <f t="shared" si="102"/>
        <v/>
      </c>
      <c r="AG635" s="10" t="str">
        <f t="shared" si="103"/>
        <v/>
      </c>
      <c r="AH635" s="10" t="str">
        <f t="shared" si="104"/>
        <v/>
      </c>
      <c r="AI635" s="10" t="str">
        <f t="shared" si="105"/>
        <v/>
      </c>
      <c r="AJ635" s="10" t="str">
        <f t="shared" si="106"/>
        <v/>
      </c>
      <c r="AK635" s="10" t="str">
        <f t="shared" si="107"/>
        <v/>
      </c>
      <c r="AL635" s="14" t="str">
        <f t="shared" si="108"/>
        <v/>
      </c>
    </row>
    <row r="636" spans="1:38" x14ac:dyDescent="0.2">
      <c r="A636"/>
      <c r="B636" t="str">
        <f>IF($A636="","",VLOOKUP($A636,JupData!$A$2:$I$10000,4,FALSE))</f>
        <v/>
      </c>
      <c r="C636" s="7" t="str">
        <f>IF($A636="",IF(N(D636),0,""),VLOOKUP($A636,JupData!$A$2:$I$10000,7,FALSE))</f>
        <v/>
      </c>
      <c r="D636" t="str">
        <f t="shared" si="109"/>
        <v/>
      </c>
      <c r="E636" t="str">
        <f t="array" ref="E636">IF($A636="","",INDEX(JupData!$A$2:$K$10000,MATCH($A636&amp;E$1,JupData!$A$2:$A$10000&amp;JupData!$J$2:$J$10000,0),11))</f>
        <v/>
      </c>
      <c r="F636" t="str">
        <f t="array" ref="F636">IF($A636="","",INDEX(JupData!$A$2:$K$10000,MATCH($A636&amp;F$1,JupData!$A$2:$A$10000&amp;JupData!$J$2:$J$10000,0),11))</f>
        <v/>
      </c>
      <c r="G636" t="str">
        <f t="array" ref="G636">IF($A636="","",INDEX(JupData!$A$2:$K$10000,MATCH($A636&amp;G$1,JupData!$A$2:$A$10000&amp;JupData!$J$2:$J$10000,0),11))</f>
        <v/>
      </c>
      <c r="H636" t="str">
        <f t="array" ref="H636">IF($A636="","",INDEX(JupData!$A$2:$K$10000,MATCH($A636&amp;H$1,JupData!$A$2:$A$10000&amp;JupData!$J$2:$J$10000,0),11))</f>
        <v/>
      </c>
      <c r="I636" t="str">
        <f t="array" ref="I636">IF($A636="","",INDEX(JupData!$A$2:$K$10000,MATCH($A636&amp;I$1,JupData!$A$2:$A$10000&amp;JupData!$J$2:$J$10000,0),11))</f>
        <v/>
      </c>
      <c r="J636" t="str">
        <f t="array" ref="J636">IF($A636="","",INDEX(JupData!$A$2:$K$10000,MATCH($A636&amp;J$1,JupData!$A$2:$A$10000&amp;JupData!$J$2:$J$10000,0),11))</f>
        <v/>
      </c>
      <c r="K636" t="str">
        <f t="array" ref="K636">IF($A636="","",INDEX(JupData!$A$2:$K$10000,MATCH($A636&amp;K$1,JupData!$A$2:$A$10000&amp;JupData!$J$2:$J$10000,0),11))</f>
        <v/>
      </c>
      <c r="L636" t="str">
        <f t="array" ref="L636">IF($A636="","",INDEX(JupData!$A$2:$K$10000,MATCH($A636&amp;L$1,JupData!$A$2:$A$10000&amp;JupData!$J$2:$J$10000,0),11))</f>
        <v/>
      </c>
      <c r="M636" t="str">
        <f t="array" ref="M636">IF($A636="","",INDEX(JupData!$A$2:$K$10000,MATCH($A636&amp;M$1,JupData!$A$2:$A$10000&amp;JupData!$J$2:$J$10000,0),11))</f>
        <v/>
      </c>
      <c r="N636" t="str">
        <f t="array" ref="N636">IF($A636="","",INDEX(JupData!$A$2:$K$10000,MATCH($A636&amp;N$1,JupData!$A$2:$A$10000&amp;JupData!$J$2:$J$10000,0),11))</f>
        <v/>
      </c>
      <c r="O636" t="str">
        <f t="array" ref="O636">IF($A636="","",INDEX(JupData!$A$2:$K$10000,MATCH($A636&amp;O$1,JupData!$A$2:$A$10000&amp;JupData!$J$2:$J$10000,0),11))</f>
        <v/>
      </c>
      <c r="P636" t="str">
        <f t="array" ref="P636">IF($A636="","",INDEX(JupData!$A$2:$K$10000,MATCH($A636&amp;P$1,JupData!$A$2:$A$10000&amp;JupData!$J$2:$J$10000,0),11))</f>
        <v/>
      </c>
      <c r="Q636" t="str">
        <f t="array" ref="Q636">IF($A636="","",INDEX(JupData!$A$2:$K$10000,MATCH($A636&amp;Q$1,JupData!$A$2:$A$10000&amp;JupData!$J$2:$J$10000,0),11))</f>
        <v/>
      </c>
      <c r="R636" t="str">
        <f t="array" ref="R636">IF($A636="","",INDEX(JupData!$A$2:$K$10000,MATCH($A636&amp;R$1,JupData!$A$2:$A$10000&amp;JupData!$J$2:$J$10000,0),11))</f>
        <v/>
      </c>
      <c r="S636" t="str">
        <f t="array" ref="S636">IF($A636="","",INDEX(JupData!$A$2:$K$10000,MATCH($A636&amp;S$1,JupData!$A$2:$A$10000&amp;JupData!$J$2:$J$10000,0),11))</f>
        <v/>
      </c>
      <c r="T636" t="str">
        <f t="array" ref="T636">IF($A636="","",INDEX(JupData!$A$2:$K$10000,MATCH($A636&amp;T$1,JupData!$A$2:$A$10000&amp;JupData!$J$2:$J$10000,0),11))</f>
        <v/>
      </c>
      <c r="U636" t="str">
        <f t="array" ref="U636">IF($A636="","",INDEX(JupData!$A$2:$K$10000,MATCH($A636&amp;U$1,JupData!$A$2:$A$10000&amp;JupData!$J$2:$J$10000,0),11))</f>
        <v/>
      </c>
      <c r="V636" t="str">
        <f t="array" ref="V636">IF($A636="","",INDEX(JupData!$A$2:$K$10000,MATCH($A636&amp;V$1,JupData!$A$2:$A$10000&amp;JupData!$J$2:$J$10000,0),11))</f>
        <v/>
      </c>
      <c r="W636" t="str">
        <f t="array" ref="W636">IF($A636="","",INDEX(JupData!$A$2:$K$10000,MATCH($A636&amp;W$1,JupData!$A$2:$A$10000&amp;JupData!$J$2:$J$10000,0),11))</f>
        <v/>
      </c>
      <c r="X636" t="str">
        <f t="array" ref="X636">IF($A636="","",INDEX(JupData!$A$2:$K$10000,MATCH($A636&amp;X$1,JupData!$A$2:$A$10000&amp;JupData!$J$2:$J$10000,0),11))</f>
        <v/>
      </c>
      <c r="Y636" t="str">
        <f t="array" ref="Y636">IF($A636="","",INDEX(JupData!$A$2:$K$10000,MATCH($A636&amp;Y$1,JupData!$A$2:$A$10000&amp;JupData!$J$2:$J$10000,0),11))</f>
        <v/>
      </c>
      <c r="Z636" t="str">
        <f t="array" ref="Z636">IF($A636="","",INDEX(JupData!$A$2:$K$10000,MATCH($A636&amp;Z$1,JupData!$A$2:$A$10000&amp;JupData!$J$2:$J$10000,0),11))</f>
        <v/>
      </c>
      <c r="AA636" t="str">
        <f t="array" ref="AA636">IF($A636="","",INDEX(JupData!$A$2:$K$10000,MATCH($A636&amp;AA$1,JupData!$A$2:$A$10000&amp;JupData!$J$2:$J$10000,0),11))</f>
        <v/>
      </c>
      <c r="AB636" t="str">
        <f t="array" ref="AB636">IF($A636="","",INDEX(JupData!$A$2:$K$10000,MATCH($A636&amp;AB$1,JupData!$A$2:$A$10000&amp;JupData!$J$2:$J$10000,0),11))</f>
        <v/>
      </c>
      <c r="AC636" s="10" t="str">
        <f t="shared" si="99"/>
        <v/>
      </c>
      <c r="AD636" s="10" t="str">
        <f t="shared" si="100"/>
        <v/>
      </c>
      <c r="AE636" s="9" t="str">
        <f t="shared" si="101"/>
        <v/>
      </c>
      <c r="AF636" s="10" t="str">
        <f t="shared" si="102"/>
        <v/>
      </c>
      <c r="AG636" s="10" t="str">
        <f t="shared" si="103"/>
        <v/>
      </c>
      <c r="AH636" s="10" t="str">
        <f t="shared" si="104"/>
        <v/>
      </c>
      <c r="AI636" s="10" t="str">
        <f t="shared" si="105"/>
        <v/>
      </c>
      <c r="AJ636" s="10" t="str">
        <f t="shared" si="106"/>
        <v/>
      </c>
      <c r="AK636" s="10" t="str">
        <f t="shared" si="107"/>
        <v/>
      </c>
      <c r="AL636" s="14" t="str">
        <f t="shared" si="108"/>
        <v/>
      </c>
    </row>
    <row r="637" spans="1:38" x14ac:dyDescent="0.2">
      <c r="A637"/>
      <c r="B637" t="str">
        <f>IF($A637="","",VLOOKUP($A637,JupData!$A$2:$I$10000,4,FALSE))</f>
        <v/>
      </c>
      <c r="C637" s="7" t="str">
        <f>IF($A637="",IF(N(D637),0,""),VLOOKUP($A637,JupData!$A$2:$I$10000,7,FALSE))</f>
        <v/>
      </c>
      <c r="D637" t="str">
        <f t="shared" si="109"/>
        <v/>
      </c>
      <c r="E637" t="str">
        <f t="array" ref="E637">IF($A637="","",INDEX(JupData!$A$2:$K$10000,MATCH($A637&amp;E$1,JupData!$A$2:$A$10000&amp;JupData!$J$2:$J$10000,0),11))</f>
        <v/>
      </c>
      <c r="F637" t="str">
        <f t="array" ref="F637">IF($A637="","",INDEX(JupData!$A$2:$K$10000,MATCH($A637&amp;F$1,JupData!$A$2:$A$10000&amp;JupData!$J$2:$J$10000,0),11))</f>
        <v/>
      </c>
      <c r="G637" t="str">
        <f t="array" ref="G637">IF($A637="","",INDEX(JupData!$A$2:$K$10000,MATCH($A637&amp;G$1,JupData!$A$2:$A$10000&amp;JupData!$J$2:$J$10000,0),11))</f>
        <v/>
      </c>
      <c r="H637" t="str">
        <f t="array" ref="H637">IF($A637="","",INDEX(JupData!$A$2:$K$10000,MATCH($A637&amp;H$1,JupData!$A$2:$A$10000&amp;JupData!$J$2:$J$10000,0),11))</f>
        <v/>
      </c>
      <c r="I637" t="str">
        <f t="array" ref="I637">IF($A637="","",INDEX(JupData!$A$2:$K$10000,MATCH($A637&amp;I$1,JupData!$A$2:$A$10000&amp;JupData!$J$2:$J$10000,0),11))</f>
        <v/>
      </c>
      <c r="J637" t="str">
        <f t="array" ref="J637">IF($A637="","",INDEX(JupData!$A$2:$K$10000,MATCH($A637&amp;J$1,JupData!$A$2:$A$10000&amp;JupData!$J$2:$J$10000,0),11))</f>
        <v/>
      </c>
      <c r="K637" t="str">
        <f t="array" ref="K637">IF($A637="","",INDEX(JupData!$A$2:$K$10000,MATCH($A637&amp;K$1,JupData!$A$2:$A$10000&amp;JupData!$J$2:$J$10000,0),11))</f>
        <v/>
      </c>
      <c r="L637" t="str">
        <f t="array" ref="L637">IF($A637="","",INDEX(JupData!$A$2:$K$10000,MATCH($A637&amp;L$1,JupData!$A$2:$A$10000&amp;JupData!$J$2:$J$10000,0),11))</f>
        <v/>
      </c>
      <c r="M637" t="str">
        <f t="array" ref="M637">IF($A637="","",INDEX(JupData!$A$2:$K$10000,MATCH($A637&amp;M$1,JupData!$A$2:$A$10000&amp;JupData!$J$2:$J$10000,0),11))</f>
        <v/>
      </c>
      <c r="N637" t="str">
        <f t="array" ref="N637">IF($A637="","",INDEX(JupData!$A$2:$K$10000,MATCH($A637&amp;N$1,JupData!$A$2:$A$10000&amp;JupData!$J$2:$J$10000,0),11))</f>
        <v/>
      </c>
      <c r="O637" t="str">
        <f t="array" ref="O637">IF($A637="","",INDEX(JupData!$A$2:$K$10000,MATCH($A637&amp;O$1,JupData!$A$2:$A$10000&amp;JupData!$J$2:$J$10000,0),11))</f>
        <v/>
      </c>
      <c r="P637" t="str">
        <f t="array" ref="P637">IF($A637="","",INDEX(JupData!$A$2:$K$10000,MATCH($A637&amp;P$1,JupData!$A$2:$A$10000&amp;JupData!$J$2:$J$10000,0),11))</f>
        <v/>
      </c>
      <c r="Q637" t="str">
        <f t="array" ref="Q637">IF($A637="","",INDEX(JupData!$A$2:$K$10000,MATCH($A637&amp;Q$1,JupData!$A$2:$A$10000&amp;JupData!$J$2:$J$10000,0),11))</f>
        <v/>
      </c>
      <c r="R637" t="str">
        <f t="array" ref="R637">IF($A637="","",INDEX(JupData!$A$2:$K$10000,MATCH($A637&amp;R$1,JupData!$A$2:$A$10000&amp;JupData!$J$2:$J$10000,0),11))</f>
        <v/>
      </c>
      <c r="S637" t="str">
        <f t="array" ref="S637">IF($A637="","",INDEX(JupData!$A$2:$K$10000,MATCH($A637&amp;S$1,JupData!$A$2:$A$10000&amp;JupData!$J$2:$J$10000,0),11))</f>
        <v/>
      </c>
      <c r="T637" t="str">
        <f t="array" ref="T637">IF($A637="","",INDEX(JupData!$A$2:$K$10000,MATCH($A637&amp;T$1,JupData!$A$2:$A$10000&amp;JupData!$J$2:$J$10000,0),11))</f>
        <v/>
      </c>
      <c r="U637" t="str">
        <f t="array" ref="U637">IF($A637="","",INDEX(JupData!$A$2:$K$10000,MATCH($A637&amp;U$1,JupData!$A$2:$A$10000&amp;JupData!$J$2:$J$10000,0),11))</f>
        <v/>
      </c>
      <c r="V637" t="str">
        <f t="array" ref="V637">IF($A637="","",INDEX(JupData!$A$2:$K$10000,MATCH($A637&amp;V$1,JupData!$A$2:$A$10000&amp;JupData!$J$2:$J$10000,0),11))</f>
        <v/>
      </c>
      <c r="W637" t="str">
        <f t="array" ref="W637">IF($A637="","",INDEX(JupData!$A$2:$K$10000,MATCH($A637&amp;W$1,JupData!$A$2:$A$10000&amp;JupData!$J$2:$J$10000,0),11))</f>
        <v/>
      </c>
      <c r="X637" t="str">
        <f t="array" ref="X637">IF($A637="","",INDEX(JupData!$A$2:$K$10000,MATCH($A637&amp;X$1,JupData!$A$2:$A$10000&amp;JupData!$J$2:$J$10000,0),11))</f>
        <v/>
      </c>
      <c r="Y637" t="str">
        <f t="array" ref="Y637">IF($A637="","",INDEX(JupData!$A$2:$K$10000,MATCH($A637&amp;Y$1,JupData!$A$2:$A$10000&amp;JupData!$J$2:$J$10000,0),11))</f>
        <v/>
      </c>
      <c r="Z637" t="str">
        <f t="array" ref="Z637">IF($A637="","",INDEX(JupData!$A$2:$K$10000,MATCH($A637&amp;Z$1,JupData!$A$2:$A$10000&amp;JupData!$J$2:$J$10000,0),11))</f>
        <v/>
      </c>
      <c r="AA637" t="str">
        <f t="array" ref="AA637">IF($A637="","",INDEX(JupData!$A$2:$K$10000,MATCH($A637&amp;AA$1,JupData!$A$2:$A$10000&amp;JupData!$J$2:$J$10000,0),11))</f>
        <v/>
      </c>
      <c r="AB637" t="str">
        <f t="array" ref="AB637">IF($A637="","",INDEX(JupData!$A$2:$K$10000,MATCH($A637&amp;AB$1,JupData!$A$2:$A$10000&amp;JupData!$J$2:$J$10000,0),11))</f>
        <v/>
      </c>
      <c r="AC637" s="10" t="str">
        <f t="shared" si="99"/>
        <v/>
      </c>
      <c r="AD637" s="10" t="str">
        <f t="shared" si="100"/>
        <v/>
      </c>
      <c r="AE637" s="9" t="str">
        <f t="shared" si="101"/>
        <v/>
      </c>
      <c r="AF637" s="10" t="str">
        <f t="shared" si="102"/>
        <v/>
      </c>
      <c r="AG637" s="10" t="str">
        <f t="shared" si="103"/>
        <v/>
      </c>
      <c r="AH637" s="10" t="str">
        <f t="shared" si="104"/>
        <v/>
      </c>
      <c r="AI637" s="10" t="str">
        <f t="shared" si="105"/>
        <v/>
      </c>
      <c r="AJ637" s="10" t="str">
        <f t="shared" si="106"/>
        <v/>
      </c>
      <c r="AK637" s="10" t="str">
        <f t="shared" si="107"/>
        <v/>
      </c>
      <c r="AL637" s="14" t="str">
        <f t="shared" si="108"/>
        <v/>
      </c>
    </row>
    <row r="638" spans="1:38" x14ac:dyDescent="0.2">
      <c r="A638"/>
      <c r="B638" t="str">
        <f>IF($A638="","",VLOOKUP($A638,JupData!$A$2:$I$10000,4,FALSE))</f>
        <v/>
      </c>
      <c r="C638" s="7" t="str">
        <f>IF($A638="",IF(N(D638),0,""),VLOOKUP($A638,JupData!$A$2:$I$10000,7,FALSE))</f>
        <v/>
      </c>
      <c r="D638" t="str">
        <f t="shared" si="109"/>
        <v/>
      </c>
      <c r="E638" t="str">
        <f t="array" ref="E638">IF($A638="","",INDEX(JupData!$A$2:$K$10000,MATCH($A638&amp;E$1,JupData!$A$2:$A$10000&amp;JupData!$J$2:$J$10000,0),11))</f>
        <v/>
      </c>
      <c r="F638" t="str">
        <f t="array" ref="F638">IF($A638="","",INDEX(JupData!$A$2:$K$10000,MATCH($A638&amp;F$1,JupData!$A$2:$A$10000&amp;JupData!$J$2:$J$10000,0),11))</f>
        <v/>
      </c>
      <c r="G638" t="str">
        <f t="array" ref="G638">IF($A638="","",INDEX(JupData!$A$2:$K$10000,MATCH($A638&amp;G$1,JupData!$A$2:$A$10000&amp;JupData!$J$2:$J$10000,0),11))</f>
        <v/>
      </c>
      <c r="H638" t="str">
        <f t="array" ref="H638">IF($A638="","",INDEX(JupData!$A$2:$K$10000,MATCH($A638&amp;H$1,JupData!$A$2:$A$10000&amp;JupData!$J$2:$J$10000,0),11))</f>
        <v/>
      </c>
      <c r="I638" t="str">
        <f t="array" ref="I638">IF($A638="","",INDEX(JupData!$A$2:$K$10000,MATCH($A638&amp;I$1,JupData!$A$2:$A$10000&amp;JupData!$J$2:$J$10000,0),11))</f>
        <v/>
      </c>
      <c r="J638" t="str">
        <f t="array" ref="J638">IF($A638="","",INDEX(JupData!$A$2:$K$10000,MATCH($A638&amp;J$1,JupData!$A$2:$A$10000&amp;JupData!$J$2:$J$10000,0),11))</f>
        <v/>
      </c>
      <c r="K638" t="str">
        <f t="array" ref="K638">IF($A638="","",INDEX(JupData!$A$2:$K$10000,MATCH($A638&amp;K$1,JupData!$A$2:$A$10000&amp;JupData!$J$2:$J$10000,0),11))</f>
        <v/>
      </c>
      <c r="L638" t="str">
        <f t="array" ref="L638">IF($A638="","",INDEX(JupData!$A$2:$K$10000,MATCH($A638&amp;L$1,JupData!$A$2:$A$10000&amp;JupData!$J$2:$J$10000,0),11))</f>
        <v/>
      </c>
      <c r="M638" t="str">
        <f t="array" ref="M638">IF($A638="","",INDEX(JupData!$A$2:$K$10000,MATCH($A638&amp;M$1,JupData!$A$2:$A$10000&amp;JupData!$J$2:$J$10000,0),11))</f>
        <v/>
      </c>
      <c r="N638" t="str">
        <f t="array" ref="N638">IF($A638="","",INDEX(JupData!$A$2:$K$10000,MATCH($A638&amp;N$1,JupData!$A$2:$A$10000&amp;JupData!$J$2:$J$10000,0),11))</f>
        <v/>
      </c>
      <c r="O638" t="str">
        <f t="array" ref="O638">IF($A638="","",INDEX(JupData!$A$2:$K$10000,MATCH($A638&amp;O$1,JupData!$A$2:$A$10000&amp;JupData!$J$2:$J$10000,0),11))</f>
        <v/>
      </c>
      <c r="P638" t="str">
        <f t="array" ref="P638">IF($A638="","",INDEX(JupData!$A$2:$K$10000,MATCH($A638&amp;P$1,JupData!$A$2:$A$10000&amp;JupData!$J$2:$J$10000,0),11))</f>
        <v/>
      </c>
      <c r="Q638" t="str">
        <f t="array" ref="Q638">IF($A638="","",INDEX(JupData!$A$2:$K$10000,MATCH($A638&amp;Q$1,JupData!$A$2:$A$10000&amp;JupData!$J$2:$J$10000,0),11))</f>
        <v/>
      </c>
      <c r="R638" t="str">
        <f t="array" ref="R638">IF($A638="","",INDEX(JupData!$A$2:$K$10000,MATCH($A638&amp;R$1,JupData!$A$2:$A$10000&amp;JupData!$J$2:$J$10000,0),11))</f>
        <v/>
      </c>
      <c r="S638" t="str">
        <f t="array" ref="S638">IF($A638="","",INDEX(JupData!$A$2:$K$10000,MATCH($A638&amp;S$1,JupData!$A$2:$A$10000&amp;JupData!$J$2:$J$10000,0),11))</f>
        <v/>
      </c>
      <c r="T638" t="str">
        <f t="array" ref="T638">IF($A638="","",INDEX(JupData!$A$2:$K$10000,MATCH($A638&amp;T$1,JupData!$A$2:$A$10000&amp;JupData!$J$2:$J$10000,0),11))</f>
        <v/>
      </c>
      <c r="U638" t="str">
        <f t="array" ref="U638">IF($A638="","",INDEX(JupData!$A$2:$K$10000,MATCH($A638&amp;U$1,JupData!$A$2:$A$10000&amp;JupData!$J$2:$J$10000,0),11))</f>
        <v/>
      </c>
      <c r="V638" t="str">
        <f t="array" ref="V638">IF($A638="","",INDEX(JupData!$A$2:$K$10000,MATCH($A638&amp;V$1,JupData!$A$2:$A$10000&amp;JupData!$J$2:$J$10000,0),11))</f>
        <v/>
      </c>
      <c r="W638" t="str">
        <f t="array" ref="W638">IF($A638="","",INDEX(JupData!$A$2:$K$10000,MATCH($A638&amp;W$1,JupData!$A$2:$A$10000&amp;JupData!$J$2:$J$10000,0),11))</f>
        <v/>
      </c>
      <c r="X638" t="str">
        <f t="array" ref="X638">IF($A638="","",INDEX(JupData!$A$2:$K$10000,MATCH($A638&amp;X$1,JupData!$A$2:$A$10000&amp;JupData!$J$2:$J$10000,0),11))</f>
        <v/>
      </c>
      <c r="Y638" t="str">
        <f t="array" ref="Y638">IF($A638="","",INDEX(JupData!$A$2:$K$10000,MATCH($A638&amp;Y$1,JupData!$A$2:$A$10000&amp;JupData!$J$2:$J$10000,0),11))</f>
        <v/>
      </c>
      <c r="Z638" t="str">
        <f t="array" ref="Z638">IF($A638="","",INDEX(JupData!$A$2:$K$10000,MATCH($A638&amp;Z$1,JupData!$A$2:$A$10000&amp;JupData!$J$2:$J$10000,0),11))</f>
        <v/>
      </c>
      <c r="AA638" t="str">
        <f t="array" ref="AA638">IF($A638="","",INDEX(JupData!$A$2:$K$10000,MATCH($A638&amp;AA$1,JupData!$A$2:$A$10000&amp;JupData!$J$2:$J$10000,0),11))</f>
        <v/>
      </c>
      <c r="AB638" t="str">
        <f t="array" ref="AB638">IF($A638="","",INDEX(JupData!$A$2:$K$10000,MATCH($A638&amp;AB$1,JupData!$A$2:$A$10000&amp;JupData!$J$2:$J$10000,0),11))</f>
        <v/>
      </c>
      <c r="AC638" s="10" t="str">
        <f t="shared" si="99"/>
        <v/>
      </c>
      <c r="AD638" s="10" t="str">
        <f t="shared" si="100"/>
        <v/>
      </c>
      <c r="AE638" s="9" t="str">
        <f t="shared" si="101"/>
        <v/>
      </c>
      <c r="AF638" s="10" t="str">
        <f t="shared" si="102"/>
        <v/>
      </c>
      <c r="AG638" s="10" t="str">
        <f t="shared" si="103"/>
        <v/>
      </c>
      <c r="AH638" s="10" t="str">
        <f t="shared" si="104"/>
        <v/>
      </c>
      <c r="AI638" s="10" t="str">
        <f t="shared" si="105"/>
        <v/>
      </c>
      <c r="AJ638" s="10" t="str">
        <f t="shared" si="106"/>
        <v/>
      </c>
      <c r="AK638" s="10" t="str">
        <f t="shared" si="107"/>
        <v/>
      </c>
      <c r="AL638" s="14" t="str">
        <f t="shared" si="108"/>
        <v/>
      </c>
    </row>
    <row r="639" spans="1:38" x14ac:dyDescent="0.2">
      <c r="A639"/>
      <c r="B639" t="str">
        <f>IF($A639="","",VLOOKUP($A639,JupData!$A$2:$I$10000,4,FALSE))</f>
        <v/>
      </c>
      <c r="C639" s="7" t="str">
        <f>IF($A639="",IF(N(D639),0,""),VLOOKUP($A639,JupData!$A$2:$I$10000,7,FALSE))</f>
        <v/>
      </c>
      <c r="D639" t="str">
        <f t="shared" si="109"/>
        <v/>
      </c>
      <c r="E639" t="str">
        <f t="array" ref="E639">IF($A639="","",INDEX(JupData!$A$2:$K$10000,MATCH($A639&amp;E$1,JupData!$A$2:$A$10000&amp;JupData!$J$2:$J$10000,0),11))</f>
        <v/>
      </c>
      <c r="F639" t="str">
        <f t="array" ref="F639">IF($A639="","",INDEX(JupData!$A$2:$K$10000,MATCH($A639&amp;F$1,JupData!$A$2:$A$10000&amp;JupData!$J$2:$J$10000,0),11))</f>
        <v/>
      </c>
      <c r="G639" t="str">
        <f t="array" ref="G639">IF($A639="","",INDEX(JupData!$A$2:$K$10000,MATCH($A639&amp;G$1,JupData!$A$2:$A$10000&amp;JupData!$J$2:$J$10000,0),11))</f>
        <v/>
      </c>
      <c r="H639" t="str">
        <f t="array" ref="H639">IF($A639="","",INDEX(JupData!$A$2:$K$10000,MATCH($A639&amp;H$1,JupData!$A$2:$A$10000&amp;JupData!$J$2:$J$10000,0),11))</f>
        <v/>
      </c>
      <c r="I639" t="str">
        <f t="array" ref="I639">IF($A639="","",INDEX(JupData!$A$2:$K$10000,MATCH($A639&amp;I$1,JupData!$A$2:$A$10000&amp;JupData!$J$2:$J$10000,0),11))</f>
        <v/>
      </c>
      <c r="J639" t="str">
        <f t="array" ref="J639">IF($A639="","",INDEX(JupData!$A$2:$K$10000,MATCH($A639&amp;J$1,JupData!$A$2:$A$10000&amp;JupData!$J$2:$J$10000,0),11))</f>
        <v/>
      </c>
      <c r="K639" t="str">
        <f t="array" ref="K639">IF($A639="","",INDEX(JupData!$A$2:$K$10000,MATCH($A639&amp;K$1,JupData!$A$2:$A$10000&amp;JupData!$J$2:$J$10000,0),11))</f>
        <v/>
      </c>
      <c r="L639" t="str">
        <f t="array" ref="L639">IF($A639="","",INDEX(JupData!$A$2:$K$10000,MATCH($A639&amp;L$1,JupData!$A$2:$A$10000&amp;JupData!$J$2:$J$10000,0),11))</f>
        <v/>
      </c>
      <c r="M639" t="str">
        <f t="array" ref="M639">IF($A639="","",INDEX(JupData!$A$2:$K$10000,MATCH($A639&amp;M$1,JupData!$A$2:$A$10000&amp;JupData!$J$2:$J$10000,0),11))</f>
        <v/>
      </c>
      <c r="N639" t="str">
        <f t="array" ref="N639">IF($A639="","",INDEX(JupData!$A$2:$K$10000,MATCH($A639&amp;N$1,JupData!$A$2:$A$10000&amp;JupData!$J$2:$J$10000,0),11))</f>
        <v/>
      </c>
      <c r="O639" t="str">
        <f t="array" ref="O639">IF($A639="","",INDEX(JupData!$A$2:$K$10000,MATCH($A639&amp;O$1,JupData!$A$2:$A$10000&amp;JupData!$J$2:$J$10000,0),11))</f>
        <v/>
      </c>
      <c r="P639" t="str">
        <f t="array" ref="P639">IF($A639="","",INDEX(JupData!$A$2:$K$10000,MATCH($A639&amp;P$1,JupData!$A$2:$A$10000&amp;JupData!$J$2:$J$10000,0),11))</f>
        <v/>
      </c>
      <c r="Q639" t="str">
        <f t="array" ref="Q639">IF($A639="","",INDEX(JupData!$A$2:$K$10000,MATCH($A639&amp;Q$1,JupData!$A$2:$A$10000&amp;JupData!$J$2:$J$10000,0),11))</f>
        <v/>
      </c>
      <c r="R639" t="str">
        <f t="array" ref="R639">IF($A639="","",INDEX(JupData!$A$2:$K$10000,MATCH($A639&amp;R$1,JupData!$A$2:$A$10000&amp;JupData!$J$2:$J$10000,0),11))</f>
        <v/>
      </c>
      <c r="S639" t="str">
        <f t="array" ref="S639">IF($A639="","",INDEX(JupData!$A$2:$K$10000,MATCH($A639&amp;S$1,JupData!$A$2:$A$10000&amp;JupData!$J$2:$J$10000,0),11))</f>
        <v/>
      </c>
      <c r="T639" t="str">
        <f t="array" ref="T639">IF($A639="","",INDEX(JupData!$A$2:$K$10000,MATCH($A639&amp;T$1,JupData!$A$2:$A$10000&amp;JupData!$J$2:$J$10000,0),11))</f>
        <v/>
      </c>
      <c r="U639" t="str">
        <f t="array" ref="U639">IF($A639="","",INDEX(JupData!$A$2:$K$10000,MATCH($A639&amp;U$1,JupData!$A$2:$A$10000&amp;JupData!$J$2:$J$10000,0),11))</f>
        <v/>
      </c>
      <c r="V639" t="str">
        <f t="array" ref="V639">IF($A639="","",INDEX(JupData!$A$2:$K$10000,MATCH($A639&amp;V$1,JupData!$A$2:$A$10000&amp;JupData!$J$2:$J$10000,0),11))</f>
        <v/>
      </c>
      <c r="W639" t="str">
        <f t="array" ref="W639">IF($A639="","",INDEX(JupData!$A$2:$K$10000,MATCH($A639&amp;W$1,JupData!$A$2:$A$10000&amp;JupData!$J$2:$J$10000,0),11))</f>
        <v/>
      </c>
      <c r="X639" t="str">
        <f t="array" ref="X639">IF($A639="","",INDEX(JupData!$A$2:$K$10000,MATCH($A639&amp;X$1,JupData!$A$2:$A$10000&amp;JupData!$J$2:$J$10000,0),11))</f>
        <v/>
      </c>
      <c r="Y639" t="str">
        <f t="array" ref="Y639">IF($A639="","",INDEX(JupData!$A$2:$K$10000,MATCH($A639&amp;Y$1,JupData!$A$2:$A$10000&amp;JupData!$J$2:$J$10000,0),11))</f>
        <v/>
      </c>
      <c r="Z639" t="str">
        <f t="array" ref="Z639">IF($A639="","",INDEX(JupData!$A$2:$K$10000,MATCH($A639&amp;Z$1,JupData!$A$2:$A$10000&amp;JupData!$J$2:$J$10000,0),11))</f>
        <v/>
      </c>
      <c r="AA639" t="str">
        <f t="array" ref="AA639">IF($A639="","",INDEX(JupData!$A$2:$K$10000,MATCH($A639&amp;AA$1,JupData!$A$2:$A$10000&amp;JupData!$J$2:$J$10000,0),11))</f>
        <v/>
      </c>
      <c r="AB639" t="str">
        <f t="array" ref="AB639">IF($A639="","",INDEX(JupData!$A$2:$K$10000,MATCH($A639&amp;AB$1,JupData!$A$2:$A$10000&amp;JupData!$J$2:$J$10000,0),11))</f>
        <v/>
      </c>
      <c r="AC639" s="10" t="str">
        <f t="shared" si="99"/>
        <v/>
      </c>
      <c r="AD639" s="10" t="str">
        <f t="shared" si="100"/>
        <v/>
      </c>
      <c r="AE639" s="9" t="str">
        <f t="shared" si="101"/>
        <v/>
      </c>
      <c r="AF639" s="10" t="str">
        <f t="shared" si="102"/>
        <v/>
      </c>
      <c r="AG639" s="10" t="str">
        <f t="shared" si="103"/>
        <v/>
      </c>
      <c r="AH639" s="10" t="str">
        <f t="shared" si="104"/>
        <v/>
      </c>
      <c r="AI639" s="10" t="str">
        <f t="shared" si="105"/>
        <v/>
      </c>
      <c r="AJ639" s="10" t="str">
        <f t="shared" si="106"/>
        <v/>
      </c>
      <c r="AK639" s="10" t="str">
        <f t="shared" si="107"/>
        <v/>
      </c>
      <c r="AL639" s="14" t="str">
        <f t="shared" si="108"/>
        <v/>
      </c>
    </row>
    <row r="640" spans="1:38" x14ac:dyDescent="0.2">
      <c r="A640"/>
      <c r="B640" t="str">
        <f>IF($A640="","",VLOOKUP($A640,JupData!$A$2:$I$10000,4,FALSE))</f>
        <v/>
      </c>
      <c r="C640" s="7" t="str">
        <f>IF($A640="",IF(N(D640),0,""),VLOOKUP($A640,JupData!$A$2:$I$10000,7,FALSE))</f>
        <v/>
      </c>
      <c r="D640" t="str">
        <f t="shared" si="109"/>
        <v/>
      </c>
      <c r="E640" t="str">
        <f t="array" ref="E640">IF($A640="","",INDEX(JupData!$A$2:$K$10000,MATCH($A640&amp;E$1,JupData!$A$2:$A$10000&amp;JupData!$J$2:$J$10000,0),11))</f>
        <v/>
      </c>
      <c r="F640" t="str">
        <f t="array" ref="F640">IF($A640="","",INDEX(JupData!$A$2:$K$10000,MATCH($A640&amp;F$1,JupData!$A$2:$A$10000&amp;JupData!$J$2:$J$10000,0),11))</f>
        <v/>
      </c>
      <c r="G640" t="str">
        <f t="array" ref="G640">IF($A640="","",INDEX(JupData!$A$2:$K$10000,MATCH($A640&amp;G$1,JupData!$A$2:$A$10000&amp;JupData!$J$2:$J$10000,0),11))</f>
        <v/>
      </c>
      <c r="H640" t="str">
        <f t="array" ref="H640">IF($A640="","",INDEX(JupData!$A$2:$K$10000,MATCH($A640&amp;H$1,JupData!$A$2:$A$10000&amp;JupData!$J$2:$J$10000,0),11))</f>
        <v/>
      </c>
      <c r="I640" t="str">
        <f t="array" ref="I640">IF($A640="","",INDEX(JupData!$A$2:$K$10000,MATCH($A640&amp;I$1,JupData!$A$2:$A$10000&amp;JupData!$J$2:$J$10000,0),11))</f>
        <v/>
      </c>
      <c r="J640" t="str">
        <f t="array" ref="J640">IF($A640="","",INDEX(JupData!$A$2:$K$10000,MATCH($A640&amp;J$1,JupData!$A$2:$A$10000&amp;JupData!$J$2:$J$10000,0),11))</f>
        <v/>
      </c>
      <c r="K640" t="str">
        <f t="array" ref="K640">IF($A640="","",INDEX(JupData!$A$2:$K$10000,MATCH($A640&amp;K$1,JupData!$A$2:$A$10000&amp;JupData!$J$2:$J$10000,0),11))</f>
        <v/>
      </c>
      <c r="L640" t="str">
        <f t="array" ref="L640">IF($A640="","",INDEX(JupData!$A$2:$K$10000,MATCH($A640&amp;L$1,JupData!$A$2:$A$10000&amp;JupData!$J$2:$J$10000,0),11))</f>
        <v/>
      </c>
      <c r="M640" t="str">
        <f t="array" ref="M640">IF($A640="","",INDEX(JupData!$A$2:$K$10000,MATCH($A640&amp;M$1,JupData!$A$2:$A$10000&amp;JupData!$J$2:$J$10000,0),11))</f>
        <v/>
      </c>
      <c r="N640" t="str">
        <f t="array" ref="N640">IF($A640="","",INDEX(JupData!$A$2:$K$10000,MATCH($A640&amp;N$1,JupData!$A$2:$A$10000&amp;JupData!$J$2:$J$10000,0),11))</f>
        <v/>
      </c>
      <c r="O640" t="str">
        <f t="array" ref="O640">IF($A640="","",INDEX(JupData!$A$2:$K$10000,MATCH($A640&amp;O$1,JupData!$A$2:$A$10000&amp;JupData!$J$2:$J$10000,0),11))</f>
        <v/>
      </c>
      <c r="P640" t="str">
        <f t="array" ref="P640">IF($A640="","",INDEX(JupData!$A$2:$K$10000,MATCH($A640&amp;P$1,JupData!$A$2:$A$10000&amp;JupData!$J$2:$J$10000,0),11))</f>
        <v/>
      </c>
      <c r="Q640" t="str">
        <f t="array" ref="Q640">IF($A640="","",INDEX(JupData!$A$2:$K$10000,MATCH($A640&amp;Q$1,JupData!$A$2:$A$10000&amp;JupData!$J$2:$J$10000,0),11))</f>
        <v/>
      </c>
      <c r="R640" t="str">
        <f t="array" ref="R640">IF($A640="","",INDEX(JupData!$A$2:$K$10000,MATCH($A640&amp;R$1,JupData!$A$2:$A$10000&amp;JupData!$J$2:$J$10000,0),11))</f>
        <v/>
      </c>
      <c r="S640" t="str">
        <f t="array" ref="S640">IF($A640="","",INDEX(JupData!$A$2:$K$10000,MATCH($A640&amp;S$1,JupData!$A$2:$A$10000&amp;JupData!$J$2:$J$10000,0),11))</f>
        <v/>
      </c>
      <c r="T640" t="str">
        <f t="array" ref="T640">IF($A640="","",INDEX(JupData!$A$2:$K$10000,MATCH($A640&amp;T$1,JupData!$A$2:$A$10000&amp;JupData!$J$2:$J$10000,0),11))</f>
        <v/>
      </c>
      <c r="U640" t="str">
        <f t="array" ref="U640">IF($A640="","",INDEX(JupData!$A$2:$K$10000,MATCH($A640&amp;U$1,JupData!$A$2:$A$10000&amp;JupData!$J$2:$J$10000,0),11))</f>
        <v/>
      </c>
      <c r="V640" t="str">
        <f t="array" ref="V640">IF($A640="","",INDEX(JupData!$A$2:$K$10000,MATCH($A640&amp;V$1,JupData!$A$2:$A$10000&amp;JupData!$J$2:$J$10000,0),11))</f>
        <v/>
      </c>
      <c r="W640" t="str">
        <f t="array" ref="W640">IF($A640="","",INDEX(JupData!$A$2:$K$10000,MATCH($A640&amp;W$1,JupData!$A$2:$A$10000&amp;JupData!$J$2:$J$10000,0),11))</f>
        <v/>
      </c>
      <c r="X640" t="str">
        <f t="array" ref="X640">IF($A640="","",INDEX(JupData!$A$2:$K$10000,MATCH($A640&amp;X$1,JupData!$A$2:$A$10000&amp;JupData!$J$2:$J$10000,0),11))</f>
        <v/>
      </c>
      <c r="Y640" t="str">
        <f t="array" ref="Y640">IF($A640="","",INDEX(JupData!$A$2:$K$10000,MATCH($A640&amp;Y$1,JupData!$A$2:$A$10000&amp;JupData!$J$2:$J$10000,0),11))</f>
        <v/>
      </c>
      <c r="Z640" t="str">
        <f t="array" ref="Z640">IF($A640="","",INDEX(JupData!$A$2:$K$10000,MATCH($A640&amp;Z$1,JupData!$A$2:$A$10000&amp;JupData!$J$2:$J$10000,0),11))</f>
        <v/>
      </c>
      <c r="AA640" t="str">
        <f t="array" ref="AA640">IF($A640="","",INDEX(JupData!$A$2:$K$10000,MATCH($A640&amp;AA$1,JupData!$A$2:$A$10000&amp;JupData!$J$2:$J$10000,0),11))</f>
        <v/>
      </c>
      <c r="AB640" t="str">
        <f t="array" ref="AB640">IF($A640="","",INDEX(JupData!$A$2:$K$10000,MATCH($A640&amp;AB$1,JupData!$A$2:$A$10000&amp;JupData!$J$2:$J$10000,0),11))</f>
        <v/>
      </c>
      <c r="AC640" s="10" t="str">
        <f t="shared" si="99"/>
        <v/>
      </c>
      <c r="AD640" s="10" t="str">
        <f t="shared" si="100"/>
        <v/>
      </c>
      <c r="AE640" s="9" t="str">
        <f t="shared" si="101"/>
        <v/>
      </c>
      <c r="AF640" s="10" t="str">
        <f t="shared" si="102"/>
        <v/>
      </c>
      <c r="AG640" s="10" t="str">
        <f t="shared" si="103"/>
        <v/>
      </c>
      <c r="AH640" s="10" t="str">
        <f t="shared" si="104"/>
        <v/>
      </c>
      <c r="AI640" s="10" t="str">
        <f t="shared" si="105"/>
        <v/>
      </c>
      <c r="AJ640" s="10" t="str">
        <f t="shared" si="106"/>
        <v/>
      </c>
      <c r="AK640" s="10" t="str">
        <f t="shared" si="107"/>
        <v/>
      </c>
      <c r="AL640" s="14" t="str">
        <f t="shared" si="108"/>
        <v/>
      </c>
    </row>
    <row r="641" spans="1:38" x14ac:dyDescent="0.2">
      <c r="A641"/>
      <c r="B641" t="str">
        <f>IF($A641="","",VLOOKUP($A641,JupData!$A$2:$I$10000,4,FALSE))</f>
        <v/>
      </c>
      <c r="C641" s="7" t="str">
        <f>IF($A641="",IF(N(D641),0,""),VLOOKUP($A641,JupData!$A$2:$I$10000,7,FALSE))</f>
        <v/>
      </c>
      <c r="D641" t="str">
        <f t="shared" si="109"/>
        <v/>
      </c>
      <c r="E641" t="str">
        <f t="array" ref="E641">IF($A641="","",INDEX(JupData!$A$2:$K$10000,MATCH($A641&amp;E$1,JupData!$A$2:$A$10000&amp;JupData!$J$2:$J$10000,0),11))</f>
        <v/>
      </c>
      <c r="F641" t="str">
        <f t="array" ref="F641">IF($A641="","",INDEX(JupData!$A$2:$K$10000,MATCH($A641&amp;F$1,JupData!$A$2:$A$10000&amp;JupData!$J$2:$J$10000,0),11))</f>
        <v/>
      </c>
      <c r="G641" t="str">
        <f t="array" ref="G641">IF($A641="","",INDEX(JupData!$A$2:$K$10000,MATCH($A641&amp;G$1,JupData!$A$2:$A$10000&amp;JupData!$J$2:$J$10000,0),11))</f>
        <v/>
      </c>
      <c r="H641" t="str">
        <f t="array" ref="H641">IF($A641="","",INDEX(JupData!$A$2:$K$10000,MATCH($A641&amp;H$1,JupData!$A$2:$A$10000&amp;JupData!$J$2:$J$10000,0),11))</f>
        <v/>
      </c>
      <c r="I641" t="str">
        <f t="array" ref="I641">IF($A641="","",INDEX(JupData!$A$2:$K$10000,MATCH($A641&amp;I$1,JupData!$A$2:$A$10000&amp;JupData!$J$2:$J$10000,0),11))</f>
        <v/>
      </c>
      <c r="J641" t="str">
        <f t="array" ref="J641">IF($A641="","",INDEX(JupData!$A$2:$K$10000,MATCH($A641&amp;J$1,JupData!$A$2:$A$10000&amp;JupData!$J$2:$J$10000,0),11))</f>
        <v/>
      </c>
      <c r="K641" t="str">
        <f t="array" ref="K641">IF($A641="","",INDEX(JupData!$A$2:$K$10000,MATCH($A641&amp;K$1,JupData!$A$2:$A$10000&amp;JupData!$J$2:$J$10000,0),11))</f>
        <v/>
      </c>
      <c r="L641" t="str">
        <f t="array" ref="L641">IF($A641="","",INDEX(JupData!$A$2:$K$10000,MATCH($A641&amp;L$1,JupData!$A$2:$A$10000&amp;JupData!$J$2:$J$10000,0),11))</f>
        <v/>
      </c>
      <c r="M641" t="str">
        <f t="array" ref="M641">IF($A641="","",INDEX(JupData!$A$2:$K$10000,MATCH($A641&amp;M$1,JupData!$A$2:$A$10000&amp;JupData!$J$2:$J$10000,0),11))</f>
        <v/>
      </c>
      <c r="N641" t="str">
        <f t="array" ref="N641">IF($A641="","",INDEX(JupData!$A$2:$K$10000,MATCH($A641&amp;N$1,JupData!$A$2:$A$10000&amp;JupData!$J$2:$J$10000,0),11))</f>
        <v/>
      </c>
      <c r="O641" t="str">
        <f t="array" ref="O641">IF($A641="","",INDEX(JupData!$A$2:$K$10000,MATCH($A641&amp;O$1,JupData!$A$2:$A$10000&amp;JupData!$J$2:$J$10000,0),11))</f>
        <v/>
      </c>
      <c r="P641" t="str">
        <f t="array" ref="P641">IF($A641="","",INDEX(JupData!$A$2:$K$10000,MATCH($A641&amp;P$1,JupData!$A$2:$A$10000&amp;JupData!$J$2:$J$10000,0),11))</f>
        <v/>
      </c>
      <c r="Q641" t="str">
        <f t="array" ref="Q641">IF($A641="","",INDEX(JupData!$A$2:$K$10000,MATCH($A641&amp;Q$1,JupData!$A$2:$A$10000&amp;JupData!$J$2:$J$10000,0),11))</f>
        <v/>
      </c>
      <c r="R641" t="str">
        <f t="array" ref="R641">IF($A641="","",INDEX(JupData!$A$2:$K$10000,MATCH($A641&amp;R$1,JupData!$A$2:$A$10000&amp;JupData!$J$2:$J$10000,0),11))</f>
        <v/>
      </c>
      <c r="S641" t="str">
        <f t="array" ref="S641">IF($A641="","",INDEX(JupData!$A$2:$K$10000,MATCH($A641&amp;S$1,JupData!$A$2:$A$10000&amp;JupData!$J$2:$J$10000,0),11))</f>
        <v/>
      </c>
      <c r="T641" t="str">
        <f t="array" ref="T641">IF($A641="","",INDEX(JupData!$A$2:$K$10000,MATCH($A641&amp;T$1,JupData!$A$2:$A$10000&amp;JupData!$J$2:$J$10000,0),11))</f>
        <v/>
      </c>
      <c r="U641" t="str">
        <f t="array" ref="U641">IF($A641="","",INDEX(JupData!$A$2:$K$10000,MATCH($A641&amp;U$1,JupData!$A$2:$A$10000&amp;JupData!$J$2:$J$10000,0),11))</f>
        <v/>
      </c>
      <c r="V641" t="str">
        <f t="array" ref="V641">IF($A641="","",INDEX(JupData!$A$2:$K$10000,MATCH($A641&amp;V$1,JupData!$A$2:$A$10000&amp;JupData!$J$2:$J$10000,0),11))</f>
        <v/>
      </c>
      <c r="W641" t="str">
        <f t="array" ref="W641">IF($A641="","",INDEX(JupData!$A$2:$K$10000,MATCH($A641&amp;W$1,JupData!$A$2:$A$10000&amp;JupData!$J$2:$J$10000,0),11))</f>
        <v/>
      </c>
      <c r="X641" t="str">
        <f t="array" ref="X641">IF($A641="","",INDEX(JupData!$A$2:$K$10000,MATCH($A641&amp;X$1,JupData!$A$2:$A$10000&amp;JupData!$J$2:$J$10000,0),11))</f>
        <v/>
      </c>
      <c r="Y641" t="str">
        <f t="array" ref="Y641">IF($A641="","",INDEX(JupData!$A$2:$K$10000,MATCH($A641&amp;Y$1,JupData!$A$2:$A$10000&amp;JupData!$J$2:$J$10000,0),11))</f>
        <v/>
      </c>
      <c r="Z641" t="str">
        <f t="array" ref="Z641">IF($A641="","",INDEX(JupData!$A$2:$K$10000,MATCH($A641&amp;Z$1,JupData!$A$2:$A$10000&amp;JupData!$J$2:$J$10000,0),11))</f>
        <v/>
      </c>
      <c r="AA641" t="str">
        <f t="array" ref="AA641">IF($A641="","",INDEX(JupData!$A$2:$K$10000,MATCH($A641&amp;AA$1,JupData!$A$2:$A$10000&amp;JupData!$J$2:$J$10000,0),11))</f>
        <v/>
      </c>
      <c r="AB641" t="str">
        <f t="array" ref="AB641">IF($A641="","",INDEX(JupData!$A$2:$K$10000,MATCH($A641&amp;AB$1,JupData!$A$2:$A$10000&amp;JupData!$J$2:$J$10000,0),11))</f>
        <v/>
      </c>
      <c r="AC641" s="10" t="str">
        <f t="shared" si="99"/>
        <v/>
      </c>
      <c r="AD641" s="10" t="str">
        <f t="shared" si="100"/>
        <v/>
      </c>
      <c r="AE641" s="9" t="str">
        <f t="shared" si="101"/>
        <v/>
      </c>
      <c r="AF641" s="10" t="str">
        <f t="shared" si="102"/>
        <v/>
      </c>
      <c r="AG641" s="10" t="str">
        <f t="shared" si="103"/>
        <v/>
      </c>
      <c r="AH641" s="10" t="str">
        <f t="shared" si="104"/>
        <v/>
      </c>
      <c r="AI641" s="10" t="str">
        <f t="shared" si="105"/>
        <v/>
      </c>
      <c r="AJ641" s="10" t="str">
        <f t="shared" si="106"/>
        <v/>
      </c>
      <c r="AK641" s="10" t="str">
        <f t="shared" si="107"/>
        <v/>
      </c>
      <c r="AL641" s="14" t="str">
        <f t="shared" si="108"/>
        <v/>
      </c>
    </row>
    <row r="642" spans="1:38" x14ac:dyDescent="0.2">
      <c r="A642"/>
      <c r="B642" t="str">
        <f>IF($A642="","",VLOOKUP($A642,JupData!$A$2:$I$10000,4,FALSE))</f>
        <v/>
      </c>
      <c r="C642" s="7" t="str">
        <f>IF($A642="",IF(N(D642),0,""),VLOOKUP($A642,JupData!$A$2:$I$10000,7,FALSE))</f>
        <v/>
      </c>
      <c r="D642" t="str">
        <f t="shared" si="109"/>
        <v/>
      </c>
      <c r="E642" t="str">
        <f t="array" ref="E642">IF($A642="","",INDEX(JupData!$A$2:$K$10000,MATCH($A642&amp;E$1,JupData!$A$2:$A$10000&amp;JupData!$J$2:$J$10000,0),11))</f>
        <v/>
      </c>
      <c r="F642" t="str">
        <f t="array" ref="F642">IF($A642="","",INDEX(JupData!$A$2:$K$10000,MATCH($A642&amp;F$1,JupData!$A$2:$A$10000&amp;JupData!$J$2:$J$10000,0),11))</f>
        <v/>
      </c>
      <c r="G642" t="str">
        <f t="array" ref="G642">IF($A642="","",INDEX(JupData!$A$2:$K$10000,MATCH($A642&amp;G$1,JupData!$A$2:$A$10000&amp;JupData!$J$2:$J$10000,0),11))</f>
        <v/>
      </c>
      <c r="H642" t="str">
        <f t="array" ref="H642">IF($A642="","",INDEX(JupData!$A$2:$K$10000,MATCH($A642&amp;H$1,JupData!$A$2:$A$10000&amp;JupData!$J$2:$J$10000,0),11))</f>
        <v/>
      </c>
      <c r="I642" t="str">
        <f t="array" ref="I642">IF($A642="","",INDEX(JupData!$A$2:$K$10000,MATCH($A642&amp;I$1,JupData!$A$2:$A$10000&amp;JupData!$J$2:$J$10000,0),11))</f>
        <v/>
      </c>
      <c r="J642" t="str">
        <f t="array" ref="J642">IF($A642="","",INDEX(JupData!$A$2:$K$10000,MATCH($A642&amp;J$1,JupData!$A$2:$A$10000&amp;JupData!$J$2:$J$10000,0),11))</f>
        <v/>
      </c>
      <c r="K642" t="str">
        <f t="array" ref="K642">IF($A642="","",INDEX(JupData!$A$2:$K$10000,MATCH($A642&amp;K$1,JupData!$A$2:$A$10000&amp;JupData!$J$2:$J$10000,0),11))</f>
        <v/>
      </c>
      <c r="L642" t="str">
        <f t="array" ref="L642">IF($A642="","",INDEX(JupData!$A$2:$K$10000,MATCH($A642&amp;L$1,JupData!$A$2:$A$10000&amp;JupData!$J$2:$J$10000,0),11))</f>
        <v/>
      </c>
      <c r="M642" t="str">
        <f t="array" ref="M642">IF($A642="","",INDEX(JupData!$A$2:$K$10000,MATCH($A642&amp;M$1,JupData!$A$2:$A$10000&amp;JupData!$J$2:$J$10000,0),11))</f>
        <v/>
      </c>
      <c r="N642" t="str">
        <f t="array" ref="N642">IF($A642="","",INDEX(JupData!$A$2:$K$10000,MATCH($A642&amp;N$1,JupData!$A$2:$A$10000&amp;JupData!$J$2:$J$10000,0),11))</f>
        <v/>
      </c>
      <c r="O642" t="str">
        <f t="array" ref="O642">IF($A642="","",INDEX(JupData!$A$2:$K$10000,MATCH($A642&amp;O$1,JupData!$A$2:$A$10000&amp;JupData!$J$2:$J$10000,0),11))</f>
        <v/>
      </c>
      <c r="P642" t="str">
        <f t="array" ref="P642">IF($A642="","",INDEX(JupData!$A$2:$K$10000,MATCH($A642&amp;P$1,JupData!$A$2:$A$10000&amp;JupData!$J$2:$J$10000,0),11))</f>
        <v/>
      </c>
      <c r="Q642" t="str">
        <f t="array" ref="Q642">IF($A642="","",INDEX(JupData!$A$2:$K$10000,MATCH($A642&amp;Q$1,JupData!$A$2:$A$10000&amp;JupData!$J$2:$J$10000,0),11))</f>
        <v/>
      </c>
      <c r="R642" t="str">
        <f t="array" ref="R642">IF($A642="","",INDEX(JupData!$A$2:$K$10000,MATCH($A642&amp;R$1,JupData!$A$2:$A$10000&amp;JupData!$J$2:$J$10000,0),11))</f>
        <v/>
      </c>
      <c r="S642" t="str">
        <f t="array" ref="S642">IF($A642="","",INDEX(JupData!$A$2:$K$10000,MATCH($A642&amp;S$1,JupData!$A$2:$A$10000&amp;JupData!$J$2:$J$10000,0),11))</f>
        <v/>
      </c>
      <c r="T642" t="str">
        <f t="array" ref="T642">IF($A642="","",INDEX(JupData!$A$2:$K$10000,MATCH($A642&amp;T$1,JupData!$A$2:$A$10000&amp;JupData!$J$2:$J$10000,0),11))</f>
        <v/>
      </c>
      <c r="U642" t="str">
        <f t="array" ref="U642">IF($A642="","",INDEX(JupData!$A$2:$K$10000,MATCH($A642&amp;U$1,JupData!$A$2:$A$10000&amp;JupData!$J$2:$J$10000,0),11))</f>
        <v/>
      </c>
      <c r="V642" t="str">
        <f t="array" ref="V642">IF($A642="","",INDEX(JupData!$A$2:$K$10000,MATCH($A642&amp;V$1,JupData!$A$2:$A$10000&amp;JupData!$J$2:$J$10000,0),11))</f>
        <v/>
      </c>
      <c r="W642" t="str">
        <f t="array" ref="W642">IF($A642="","",INDEX(JupData!$A$2:$K$10000,MATCH($A642&amp;W$1,JupData!$A$2:$A$10000&amp;JupData!$J$2:$J$10000,0),11))</f>
        <v/>
      </c>
      <c r="X642" t="str">
        <f t="array" ref="X642">IF($A642="","",INDEX(JupData!$A$2:$K$10000,MATCH($A642&amp;X$1,JupData!$A$2:$A$10000&amp;JupData!$J$2:$J$10000,0),11))</f>
        <v/>
      </c>
      <c r="Y642" t="str">
        <f t="array" ref="Y642">IF($A642="","",INDEX(JupData!$A$2:$K$10000,MATCH($A642&amp;Y$1,JupData!$A$2:$A$10000&amp;JupData!$J$2:$J$10000,0),11))</f>
        <v/>
      </c>
      <c r="Z642" t="str">
        <f t="array" ref="Z642">IF($A642="","",INDEX(JupData!$A$2:$K$10000,MATCH($A642&amp;Z$1,JupData!$A$2:$A$10000&amp;JupData!$J$2:$J$10000,0),11))</f>
        <v/>
      </c>
      <c r="AA642" t="str">
        <f t="array" ref="AA642">IF($A642="","",INDEX(JupData!$A$2:$K$10000,MATCH($A642&amp;AA$1,JupData!$A$2:$A$10000&amp;JupData!$J$2:$J$10000,0),11))</f>
        <v/>
      </c>
      <c r="AB642" t="str">
        <f t="array" ref="AB642">IF($A642="","",INDEX(JupData!$A$2:$K$10000,MATCH($A642&amp;AB$1,JupData!$A$2:$A$10000&amp;JupData!$J$2:$J$10000,0),11))</f>
        <v/>
      </c>
      <c r="AC642" s="10" t="str">
        <f t="shared" si="99"/>
        <v/>
      </c>
      <c r="AD642" s="10" t="str">
        <f t="shared" si="100"/>
        <v/>
      </c>
      <c r="AE642" s="9" t="str">
        <f t="shared" si="101"/>
        <v/>
      </c>
      <c r="AF642" s="10" t="str">
        <f t="shared" si="102"/>
        <v/>
      </c>
      <c r="AG642" s="10" t="str">
        <f t="shared" si="103"/>
        <v/>
      </c>
      <c r="AH642" s="10" t="str">
        <f t="shared" si="104"/>
        <v/>
      </c>
      <c r="AI642" s="10" t="str">
        <f t="shared" si="105"/>
        <v/>
      </c>
      <c r="AJ642" s="10" t="str">
        <f t="shared" si="106"/>
        <v/>
      </c>
      <c r="AK642" s="10" t="str">
        <f t="shared" si="107"/>
        <v/>
      </c>
      <c r="AL642" s="14" t="str">
        <f t="shared" si="108"/>
        <v/>
      </c>
    </row>
    <row r="643" spans="1:38" x14ac:dyDescent="0.2">
      <c r="A643"/>
      <c r="B643" t="str">
        <f>IF($A643="","",VLOOKUP($A643,JupData!$A$2:$I$10000,4,FALSE))</f>
        <v/>
      </c>
      <c r="C643" s="7" t="str">
        <f>IF($A643="",IF(N(D643),0,""),VLOOKUP($A643,JupData!$A$2:$I$10000,7,FALSE))</f>
        <v/>
      </c>
      <c r="D643" t="str">
        <f t="shared" si="109"/>
        <v/>
      </c>
      <c r="E643" t="str">
        <f t="array" ref="E643">IF($A643="","",INDEX(JupData!$A$2:$K$10000,MATCH($A643&amp;E$1,JupData!$A$2:$A$10000&amp;JupData!$J$2:$J$10000,0),11))</f>
        <v/>
      </c>
      <c r="F643" t="str">
        <f t="array" ref="F643">IF($A643="","",INDEX(JupData!$A$2:$K$10000,MATCH($A643&amp;F$1,JupData!$A$2:$A$10000&amp;JupData!$J$2:$J$10000,0),11))</f>
        <v/>
      </c>
      <c r="G643" t="str">
        <f t="array" ref="G643">IF($A643="","",INDEX(JupData!$A$2:$K$10000,MATCH($A643&amp;G$1,JupData!$A$2:$A$10000&amp;JupData!$J$2:$J$10000,0),11))</f>
        <v/>
      </c>
      <c r="H643" t="str">
        <f t="array" ref="H643">IF($A643="","",INDEX(JupData!$A$2:$K$10000,MATCH($A643&amp;H$1,JupData!$A$2:$A$10000&amp;JupData!$J$2:$J$10000,0),11))</f>
        <v/>
      </c>
      <c r="I643" t="str">
        <f t="array" ref="I643">IF($A643="","",INDEX(JupData!$A$2:$K$10000,MATCH($A643&amp;I$1,JupData!$A$2:$A$10000&amp;JupData!$J$2:$J$10000,0),11))</f>
        <v/>
      </c>
      <c r="J643" t="str">
        <f t="array" ref="J643">IF($A643="","",INDEX(JupData!$A$2:$K$10000,MATCH($A643&amp;J$1,JupData!$A$2:$A$10000&amp;JupData!$J$2:$J$10000,0),11))</f>
        <v/>
      </c>
      <c r="K643" t="str">
        <f t="array" ref="K643">IF($A643="","",INDEX(JupData!$A$2:$K$10000,MATCH($A643&amp;K$1,JupData!$A$2:$A$10000&amp;JupData!$J$2:$J$10000,0),11))</f>
        <v/>
      </c>
      <c r="L643" t="str">
        <f t="array" ref="L643">IF($A643="","",INDEX(JupData!$A$2:$K$10000,MATCH($A643&amp;L$1,JupData!$A$2:$A$10000&amp;JupData!$J$2:$J$10000,0),11))</f>
        <v/>
      </c>
      <c r="M643" t="str">
        <f t="array" ref="M643">IF($A643="","",INDEX(JupData!$A$2:$K$10000,MATCH($A643&amp;M$1,JupData!$A$2:$A$10000&amp;JupData!$J$2:$J$10000,0),11))</f>
        <v/>
      </c>
      <c r="N643" t="str">
        <f t="array" ref="N643">IF($A643="","",INDEX(JupData!$A$2:$K$10000,MATCH($A643&amp;N$1,JupData!$A$2:$A$10000&amp;JupData!$J$2:$J$10000,0),11))</f>
        <v/>
      </c>
      <c r="O643" t="str">
        <f t="array" ref="O643">IF($A643="","",INDEX(JupData!$A$2:$K$10000,MATCH($A643&amp;O$1,JupData!$A$2:$A$10000&amp;JupData!$J$2:$J$10000,0),11))</f>
        <v/>
      </c>
      <c r="P643" t="str">
        <f t="array" ref="P643">IF($A643="","",INDEX(JupData!$A$2:$K$10000,MATCH($A643&amp;P$1,JupData!$A$2:$A$10000&amp;JupData!$J$2:$J$10000,0),11))</f>
        <v/>
      </c>
      <c r="Q643" t="str">
        <f t="array" ref="Q643">IF($A643="","",INDEX(JupData!$A$2:$K$10000,MATCH($A643&amp;Q$1,JupData!$A$2:$A$10000&amp;JupData!$J$2:$J$10000,0),11))</f>
        <v/>
      </c>
      <c r="R643" t="str">
        <f t="array" ref="R643">IF($A643="","",INDEX(JupData!$A$2:$K$10000,MATCH($A643&amp;R$1,JupData!$A$2:$A$10000&amp;JupData!$J$2:$J$10000,0),11))</f>
        <v/>
      </c>
      <c r="S643" t="str">
        <f t="array" ref="S643">IF($A643="","",INDEX(JupData!$A$2:$K$10000,MATCH($A643&amp;S$1,JupData!$A$2:$A$10000&amp;JupData!$J$2:$J$10000,0),11))</f>
        <v/>
      </c>
      <c r="T643" t="str">
        <f t="array" ref="T643">IF($A643="","",INDEX(JupData!$A$2:$K$10000,MATCH($A643&amp;T$1,JupData!$A$2:$A$10000&amp;JupData!$J$2:$J$10000,0),11))</f>
        <v/>
      </c>
      <c r="U643" t="str">
        <f t="array" ref="U643">IF($A643="","",INDEX(JupData!$A$2:$K$10000,MATCH($A643&amp;U$1,JupData!$A$2:$A$10000&amp;JupData!$J$2:$J$10000,0),11))</f>
        <v/>
      </c>
      <c r="V643" t="str">
        <f t="array" ref="V643">IF($A643="","",INDEX(JupData!$A$2:$K$10000,MATCH($A643&amp;V$1,JupData!$A$2:$A$10000&amp;JupData!$J$2:$J$10000,0),11))</f>
        <v/>
      </c>
      <c r="W643" t="str">
        <f t="array" ref="W643">IF($A643="","",INDEX(JupData!$A$2:$K$10000,MATCH($A643&amp;W$1,JupData!$A$2:$A$10000&amp;JupData!$J$2:$J$10000,0),11))</f>
        <v/>
      </c>
      <c r="X643" t="str">
        <f t="array" ref="X643">IF($A643="","",INDEX(JupData!$A$2:$K$10000,MATCH($A643&amp;X$1,JupData!$A$2:$A$10000&amp;JupData!$J$2:$J$10000,0),11))</f>
        <v/>
      </c>
      <c r="Y643" t="str">
        <f t="array" ref="Y643">IF($A643="","",INDEX(JupData!$A$2:$K$10000,MATCH($A643&amp;Y$1,JupData!$A$2:$A$10000&amp;JupData!$J$2:$J$10000,0),11))</f>
        <v/>
      </c>
      <c r="Z643" t="str">
        <f t="array" ref="Z643">IF($A643="","",INDEX(JupData!$A$2:$K$10000,MATCH($A643&amp;Z$1,JupData!$A$2:$A$10000&amp;JupData!$J$2:$J$10000,0),11))</f>
        <v/>
      </c>
      <c r="AA643" t="str">
        <f t="array" ref="AA643">IF($A643="","",INDEX(JupData!$A$2:$K$10000,MATCH($A643&amp;AA$1,JupData!$A$2:$A$10000&amp;JupData!$J$2:$J$10000,0),11))</f>
        <v/>
      </c>
      <c r="AB643" t="str">
        <f t="array" ref="AB643">IF($A643="","",INDEX(JupData!$A$2:$K$10000,MATCH($A643&amp;AB$1,JupData!$A$2:$A$10000&amp;JupData!$J$2:$J$10000,0),11))</f>
        <v/>
      </c>
      <c r="AC643" s="10" t="str">
        <f t="shared" ref="AC643:AC706" si="110">IF(A643="","",2*H643/40.08+2*I643/24.3+J643/22.99+K643/39.1+Y643/18.04)</f>
        <v/>
      </c>
      <c r="AD643" s="10" t="str">
        <f t="shared" ref="AD643:AD706" si="111">IF(A643="","",R643/61.02+2*S643/96.06+T643/35.45+U643/19+W643/62)</f>
        <v/>
      </c>
      <c r="AE643" s="9" t="str">
        <f t="shared" ref="AE643:AE706" si="112">IF(A643="","",IF(AD643&lt;0,((AC643+AD643)/(AC643-AD643)),((AC643-AD643)/(AC643+AD643))))</f>
        <v/>
      </c>
      <c r="AF643" s="10" t="str">
        <f t="shared" ref="AF643:AF706" si="113">IF(A643="","",(J643/22.99)/(T643/35.45))</f>
        <v/>
      </c>
      <c r="AG643" s="10" t="str">
        <f t="shared" ref="AG643:AG706" si="114">IF(A643="","",2*((H643/40.08)+(I643/24.3))/(R643/61.02))</f>
        <v/>
      </c>
      <c r="AH643" s="10" t="str">
        <f t="shared" ref="AH643:AH706" si="115">IF(A643="","",(J643/22.99)/((J643/22.99)+2*(H643/40.08)))</f>
        <v/>
      </c>
      <c r="AI643" s="10" t="str">
        <f t="shared" ref="AI643:AI706" si="116">IF(A643="","",H643/40.08)</f>
        <v/>
      </c>
      <c r="AJ643" s="10" t="str">
        <f t="shared" ref="AJ643:AJ706" si="117">IF(A643="","",S643/96.06)</f>
        <v/>
      </c>
      <c r="AK643" s="10" t="str">
        <f t="shared" ref="AK643:AK706" si="118">IF(A643="","",IF(W643&gt;=1,IF(L643&lt;0.2,IF(G643&gt;1,"A","B"),"X1"),IF(L643&gt;=0.2,IF(S643&gt;=20,IF(S643&gt;70,"C2","C1"),IF(AG643&lt;=1,"D","X3")),"X2")))</f>
        <v/>
      </c>
      <c r="AL643" s="14" t="str">
        <f t="shared" ref="AL643:AL706" si="119">IF(F643="","",(H643/40.1+I643/24.3)*5.6)</f>
        <v/>
      </c>
    </row>
    <row r="644" spans="1:38" x14ac:dyDescent="0.2">
      <c r="A644"/>
      <c r="B644" t="str">
        <f>IF($A644="","",VLOOKUP($A644,JupData!$A$2:$I$10000,4,FALSE))</f>
        <v/>
      </c>
      <c r="C644" s="7" t="str">
        <f>IF($A644="",IF(N(D644),0,""),VLOOKUP($A644,JupData!$A$2:$I$10000,7,FALSE))</f>
        <v/>
      </c>
      <c r="D644" t="str">
        <f t="shared" ref="D644:D707" si="120">IF(A644="",IF(D643&lt;20,D643+1,""),IF(B643="",1,IF(B643=B644,D643,D643+1)))</f>
        <v/>
      </c>
      <c r="E644" t="str">
        <f t="array" ref="E644">IF($A644="","",INDEX(JupData!$A$2:$K$10000,MATCH($A644&amp;E$1,JupData!$A$2:$A$10000&amp;JupData!$J$2:$J$10000,0),11))</f>
        <v/>
      </c>
      <c r="F644" t="str">
        <f t="array" ref="F644">IF($A644="","",INDEX(JupData!$A$2:$K$10000,MATCH($A644&amp;F$1,JupData!$A$2:$A$10000&amp;JupData!$J$2:$J$10000,0),11))</f>
        <v/>
      </c>
      <c r="G644" t="str">
        <f t="array" ref="G644">IF($A644="","",INDEX(JupData!$A$2:$K$10000,MATCH($A644&amp;G$1,JupData!$A$2:$A$10000&amp;JupData!$J$2:$J$10000,0),11))</f>
        <v/>
      </c>
      <c r="H644" t="str">
        <f t="array" ref="H644">IF($A644="","",INDEX(JupData!$A$2:$K$10000,MATCH($A644&amp;H$1,JupData!$A$2:$A$10000&amp;JupData!$J$2:$J$10000,0),11))</f>
        <v/>
      </c>
      <c r="I644" t="str">
        <f t="array" ref="I644">IF($A644="","",INDEX(JupData!$A$2:$K$10000,MATCH($A644&amp;I$1,JupData!$A$2:$A$10000&amp;JupData!$J$2:$J$10000,0),11))</f>
        <v/>
      </c>
      <c r="J644" t="str">
        <f t="array" ref="J644">IF($A644="","",INDEX(JupData!$A$2:$K$10000,MATCH($A644&amp;J$1,JupData!$A$2:$A$10000&amp;JupData!$J$2:$J$10000,0),11))</f>
        <v/>
      </c>
      <c r="K644" t="str">
        <f t="array" ref="K644">IF($A644="","",INDEX(JupData!$A$2:$K$10000,MATCH($A644&amp;K$1,JupData!$A$2:$A$10000&amp;JupData!$J$2:$J$10000,0),11))</f>
        <v/>
      </c>
      <c r="L644" t="str">
        <f t="array" ref="L644">IF($A644="","",INDEX(JupData!$A$2:$K$10000,MATCH($A644&amp;L$1,JupData!$A$2:$A$10000&amp;JupData!$J$2:$J$10000,0),11))</f>
        <v/>
      </c>
      <c r="M644" t="str">
        <f t="array" ref="M644">IF($A644="","",INDEX(JupData!$A$2:$K$10000,MATCH($A644&amp;M$1,JupData!$A$2:$A$10000&amp;JupData!$J$2:$J$10000,0),11))</f>
        <v/>
      </c>
      <c r="N644" t="str">
        <f t="array" ref="N644">IF($A644="","",INDEX(JupData!$A$2:$K$10000,MATCH($A644&amp;N$1,JupData!$A$2:$A$10000&amp;JupData!$J$2:$J$10000,0),11))</f>
        <v/>
      </c>
      <c r="O644" t="str">
        <f t="array" ref="O644">IF($A644="","",INDEX(JupData!$A$2:$K$10000,MATCH($A644&amp;O$1,JupData!$A$2:$A$10000&amp;JupData!$J$2:$J$10000,0),11))</f>
        <v/>
      </c>
      <c r="P644" t="str">
        <f t="array" ref="P644">IF($A644="","",INDEX(JupData!$A$2:$K$10000,MATCH($A644&amp;P$1,JupData!$A$2:$A$10000&amp;JupData!$J$2:$J$10000,0),11))</f>
        <v/>
      </c>
      <c r="Q644" t="str">
        <f t="array" ref="Q644">IF($A644="","",INDEX(JupData!$A$2:$K$10000,MATCH($A644&amp;Q$1,JupData!$A$2:$A$10000&amp;JupData!$J$2:$J$10000,0),11))</f>
        <v/>
      </c>
      <c r="R644" t="str">
        <f t="array" ref="R644">IF($A644="","",INDEX(JupData!$A$2:$K$10000,MATCH($A644&amp;R$1,JupData!$A$2:$A$10000&amp;JupData!$J$2:$J$10000,0),11))</f>
        <v/>
      </c>
      <c r="S644" t="str">
        <f t="array" ref="S644">IF($A644="","",INDEX(JupData!$A$2:$K$10000,MATCH($A644&amp;S$1,JupData!$A$2:$A$10000&amp;JupData!$J$2:$J$10000,0),11))</f>
        <v/>
      </c>
      <c r="T644" t="str">
        <f t="array" ref="T644">IF($A644="","",INDEX(JupData!$A$2:$K$10000,MATCH($A644&amp;T$1,JupData!$A$2:$A$10000&amp;JupData!$J$2:$J$10000,0),11))</f>
        <v/>
      </c>
      <c r="U644" t="str">
        <f t="array" ref="U644">IF($A644="","",INDEX(JupData!$A$2:$K$10000,MATCH($A644&amp;U$1,JupData!$A$2:$A$10000&amp;JupData!$J$2:$J$10000,0),11))</f>
        <v/>
      </c>
      <c r="V644" t="str">
        <f t="array" ref="V644">IF($A644="","",INDEX(JupData!$A$2:$K$10000,MATCH($A644&amp;V$1,JupData!$A$2:$A$10000&amp;JupData!$J$2:$J$10000,0),11))</f>
        <v/>
      </c>
      <c r="W644" t="str">
        <f t="array" ref="W644">IF($A644="","",INDEX(JupData!$A$2:$K$10000,MATCH($A644&amp;W$1,JupData!$A$2:$A$10000&amp;JupData!$J$2:$J$10000,0),11))</f>
        <v/>
      </c>
      <c r="X644" t="str">
        <f t="array" ref="X644">IF($A644="","",INDEX(JupData!$A$2:$K$10000,MATCH($A644&amp;X$1,JupData!$A$2:$A$10000&amp;JupData!$J$2:$J$10000,0),11))</f>
        <v/>
      </c>
      <c r="Y644" t="str">
        <f t="array" ref="Y644">IF($A644="","",INDEX(JupData!$A$2:$K$10000,MATCH($A644&amp;Y$1,JupData!$A$2:$A$10000&amp;JupData!$J$2:$J$10000,0),11))</f>
        <v/>
      </c>
      <c r="Z644" t="str">
        <f t="array" ref="Z644">IF($A644="","",INDEX(JupData!$A$2:$K$10000,MATCH($A644&amp;Z$1,JupData!$A$2:$A$10000&amp;JupData!$J$2:$J$10000,0),11))</f>
        <v/>
      </c>
      <c r="AA644" t="str">
        <f t="array" ref="AA644">IF($A644="","",INDEX(JupData!$A$2:$K$10000,MATCH($A644&amp;AA$1,JupData!$A$2:$A$10000&amp;JupData!$J$2:$J$10000,0),11))</f>
        <v/>
      </c>
      <c r="AB644" t="str">
        <f t="array" ref="AB644">IF($A644="","",INDEX(JupData!$A$2:$K$10000,MATCH($A644&amp;AB$1,JupData!$A$2:$A$10000&amp;JupData!$J$2:$J$10000,0),11))</f>
        <v/>
      </c>
      <c r="AC644" s="10" t="str">
        <f t="shared" si="110"/>
        <v/>
      </c>
      <c r="AD644" s="10" t="str">
        <f t="shared" si="111"/>
        <v/>
      </c>
      <c r="AE644" s="9" t="str">
        <f t="shared" si="112"/>
        <v/>
      </c>
      <c r="AF644" s="10" t="str">
        <f t="shared" si="113"/>
        <v/>
      </c>
      <c r="AG644" s="10" t="str">
        <f t="shared" si="114"/>
        <v/>
      </c>
      <c r="AH644" s="10" t="str">
        <f t="shared" si="115"/>
        <v/>
      </c>
      <c r="AI644" s="10" t="str">
        <f t="shared" si="116"/>
        <v/>
      </c>
      <c r="AJ644" s="10" t="str">
        <f t="shared" si="117"/>
        <v/>
      </c>
      <c r="AK644" s="10" t="str">
        <f t="shared" si="118"/>
        <v/>
      </c>
      <c r="AL644" s="14" t="str">
        <f t="shared" si="119"/>
        <v/>
      </c>
    </row>
    <row r="645" spans="1:38" x14ac:dyDescent="0.2">
      <c r="A645"/>
      <c r="B645" t="str">
        <f>IF($A645="","",VLOOKUP($A645,JupData!$A$2:$I$10000,4,FALSE))</f>
        <v/>
      </c>
      <c r="C645" s="7" t="str">
        <f>IF($A645="",IF(N(D645),0,""),VLOOKUP($A645,JupData!$A$2:$I$10000,7,FALSE))</f>
        <v/>
      </c>
      <c r="D645" t="str">
        <f t="shared" si="120"/>
        <v/>
      </c>
      <c r="E645" t="str">
        <f t="array" ref="E645">IF($A645="","",INDEX(JupData!$A$2:$K$10000,MATCH($A645&amp;E$1,JupData!$A$2:$A$10000&amp;JupData!$J$2:$J$10000,0),11))</f>
        <v/>
      </c>
      <c r="F645" t="str">
        <f t="array" ref="F645">IF($A645="","",INDEX(JupData!$A$2:$K$10000,MATCH($A645&amp;F$1,JupData!$A$2:$A$10000&amp;JupData!$J$2:$J$10000,0),11))</f>
        <v/>
      </c>
      <c r="G645" t="str">
        <f t="array" ref="G645">IF($A645="","",INDEX(JupData!$A$2:$K$10000,MATCH($A645&amp;G$1,JupData!$A$2:$A$10000&amp;JupData!$J$2:$J$10000,0),11))</f>
        <v/>
      </c>
      <c r="H645" t="str">
        <f t="array" ref="H645">IF($A645="","",INDEX(JupData!$A$2:$K$10000,MATCH($A645&amp;H$1,JupData!$A$2:$A$10000&amp;JupData!$J$2:$J$10000,0),11))</f>
        <v/>
      </c>
      <c r="I645" t="str">
        <f t="array" ref="I645">IF($A645="","",INDEX(JupData!$A$2:$K$10000,MATCH($A645&amp;I$1,JupData!$A$2:$A$10000&amp;JupData!$J$2:$J$10000,0),11))</f>
        <v/>
      </c>
      <c r="J645" t="str">
        <f t="array" ref="J645">IF($A645="","",INDEX(JupData!$A$2:$K$10000,MATCH($A645&amp;J$1,JupData!$A$2:$A$10000&amp;JupData!$J$2:$J$10000,0),11))</f>
        <v/>
      </c>
      <c r="K645" t="str">
        <f t="array" ref="K645">IF($A645="","",INDEX(JupData!$A$2:$K$10000,MATCH($A645&amp;K$1,JupData!$A$2:$A$10000&amp;JupData!$J$2:$J$10000,0),11))</f>
        <v/>
      </c>
      <c r="L645" t="str">
        <f t="array" ref="L645">IF($A645="","",INDEX(JupData!$A$2:$K$10000,MATCH($A645&amp;L$1,JupData!$A$2:$A$10000&amp;JupData!$J$2:$J$10000,0),11))</f>
        <v/>
      </c>
      <c r="M645" t="str">
        <f t="array" ref="M645">IF($A645="","",INDEX(JupData!$A$2:$K$10000,MATCH($A645&amp;M$1,JupData!$A$2:$A$10000&amp;JupData!$J$2:$J$10000,0),11))</f>
        <v/>
      </c>
      <c r="N645" t="str">
        <f t="array" ref="N645">IF($A645="","",INDEX(JupData!$A$2:$K$10000,MATCH($A645&amp;N$1,JupData!$A$2:$A$10000&amp;JupData!$J$2:$J$10000,0),11))</f>
        <v/>
      </c>
      <c r="O645" t="str">
        <f t="array" ref="O645">IF($A645="","",INDEX(JupData!$A$2:$K$10000,MATCH($A645&amp;O$1,JupData!$A$2:$A$10000&amp;JupData!$J$2:$J$10000,0),11))</f>
        <v/>
      </c>
      <c r="P645" t="str">
        <f t="array" ref="P645">IF($A645="","",INDEX(JupData!$A$2:$K$10000,MATCH($A645&amp;P$1,JupData!$A$2:$A$10000&amp;JupData!$J$2:$J$10000,0),11))</f>
        <v/>
      </c>
      <c r="Q645" t="str">
        <f t="array" ref="Q645">IF($A645="","",INDEX(JupData!$A$2:$K$10000,MATCH($A645&amp;Q$1,JupData!$A$2:$A$10000&amp;JupData!$J$2:$J$10000,0),11))</f>
        <v/>
      </c>
      <c r="R645" t="str">
        <f t="array" ref="R645">IF($A645="","",INDEX(JupData!$A$2:$K$10000,MATCH($A645&amp;R$1,JupData!$A$2:$A$10000&amp;JupData!$J$2:$J$10000,0),11))</f>
        <v/>
      </c>
      <c r="S645" t="str">
        <f t="array" ref="S645">IF($A645="","",INDEX(JupData!$A$2:$K$10000,MATCH($A645&amp;S$1,JupData!$A$2:$A$10000&amp;JupData!$J$2:$J$10000,0),11))</f>
        <v/>
      </c>
      <c r="T645" t="str">
        <f t="array" ref="T645">IF($A645="","",INDEX(JupData!$A$2:$K$10000,MATCH($A645&amp;T$1,JupData!$A$2:$A$10000&amp;JupData!$J$2:$J$10000,0),11))</f>
        <v/>
      </c>
      <c r="U645" t="str">
        <f t="array" ref="U645">IF($A645="","",INDEX(JupData!$A$2:$K$10000,MATCH($A645&amp;U$1,JupData!$A$2:$A$10000&amp;JupData!$J$2:$J$10000,0),11))</f>
        <v/>
      </c>
      <c r="V645" t="str">
        <f t="array" ref="V645">IF($A645="","",INDEX(JupData!$A$2:$K$10000,MATCH($A645&amp;V$1,JupData!$A$2:$A$10000&amp;JupData!$J$2:$J$10000,0),11))</f>
        <v/>
      </c>
      <c r="W645" t="str">
        <f t="array" ref="W645">IF($A645="","",INDEX(JupData!$A$2:$K$10000,MATCH($A645&amp;W$1,JupData!$A$2:$A$10000&amp;JupData!$J$2:$J$10000,0),11))</f>
        <v/>
      </c>
      <c r="X645" t="str">
        <f t="array" ref="X645">IF($A645="","",INDEX(JupData!$A$2:$K$10000,MATCH($A645&amp;X$1,JupData!$A$2:$A$10000&amp;JupData!$J$2:$J$10000,0),11))</f>
        <v/>
      </c>
      <c r="Y645" t="str">
        <f t="array" ref="Y645">IF($A645="","",INDEX(JupData!$A$2:$K$10000,MATCH($A645&amp;Y$1,JupData!$A$2:$A$10000&amp;JupData!$J$2:$J$10000,0),11))</f>
        <v/>
      </c>
      <c r="Z645" t="str">
        <f t="array" ref="Z645">IF($A645="","",INDEX(JupData!$A$2:$K$10000,MATCH($A645&amp;Z$1,JupData!$A$2:$A$10000&amp;JupData!$J$2:$J$10000,0),11))</f>
        <v/>
      </c>
      <c r="AA645" t="str">
        <f t="array" ref="AA645">IF($A645="","",INDEX(JupData!$A$2:$K$10000,MATCH($A645&amp;AA$1,JupData!$A$2:$A$10000&amp;JupData!$J$2:$J$10000,0),11))</f>
        <v/>
      </c>
      <c r="AB645" t="str">
        <f t="array" ref="AB645">IF($A645="","",INDEX(JupData!$A$2:$K$10000,MATCH($A645&amp;AB$1,JupData!$A$2:$A$10000&amp;JupData!$J$2:$J$10000,0),11))</f>
        <v/>
      </c>
      <c r="AC645" s="10" t="str">
        <f t="shared" si="110"/>
        <v/>
      </c>
      <c r="AD645" s="10" t="str">
        <f t="shared" si="111"/>
        <v/>
      </c>
      <c r="AE645" s="9" t="str">
        <f t="shared" si="112"/>
        <v/>
      </c>
      <c r="AF645" s="10" t="str">
        <f t="shared" si="113"/>
        <v/>
      </c>
      <c r="AG645" s="10" t="str">
        <f t="shared" si="114"/>
        <v/>
      </c>
      <c r="AH645" s="10" t="str">
        <f t="shared" si="115"/>
        <v/>
      </c>
      <c r="AI645" s="10" t="str">
        <f t="shared" si="116"/>
        <v/>
      </c>
      <c r="AJ645" s="10" t="str">
        <f t="shared" si="117"/>
        <v/>
      </c>
      <c r="AK645" s="10" t="str">
        <f t="shared" si="118"/>
        <v/>
      </c>
      <c r="AL645" s="14" t="str">
        <f t="shared" si="119"/>
        <v/>
      </c>
    </row>
    <row r="646" spans="1:38" x14ac:dyDescent="0.2">
      <c r="A646"/>
      <c r="B646" t="str">
        <f>IF($A646="","",VLOOKUP($A646,JupData!$A$2:$I$10000,4,FALSE))</f>
        <v/>
      </c>
      <c r="C646" s="7" t="str">
        <f>IF($A646="",IF(N(D646),0,""),VLOOKUP($A646,JupData!$A$2:$I$10000,7,FALSE))</f>
        <v/>
      </c>
      <c r="D646" t="str">
        <f t="shared" si="120"/>
        <v/>
      </c>
      <c r="E646" t="str">
        <f t="array" ref="E646">IF($A646="","",INDEX(JupData!$A$2:$K$10000,MATCH($A646&amp;E$1,JupData!$A$2:$A$10000&amp;JupData!$J$2:$J$10000,0),11))</f>
        <v/>
      </c>
      <c r="F646" t="str">
        <f t="array" ref="F646">IF($A646="","",INDEX(JupData!$A$2:$K$10000,MATCH($A646&amp;F$1,JupData!$A$2:$A$10000&amp;JupData!$J$2:$J$10000,0),11))</f>
        <v/>
      </c>
      <c r="G646" t="str">
        <f t="array" ref="G646">IF($A646="","",INDEX(JupData!$A$2:$K$10000,MATCH($A646&amp;G$1,JupData!$A$2:$A$10000&amp;JupData!$J$2:$J$10000,0),11))</f>
        <v/>
      </c>
      <c r="H646" t="str">
        <f t="array" ref="H646">IF($A646="","",INDEX(JupData!$A$2:$K$10000,MATCH($A646&amp;H$1,JupData!$A$2:$A$10000&amp;JupData!$J$2:$J$10000,0),11))</f>
        <v/>
      </c>
      <c r="I646" t="str">
        <f t="array" ref="I646">IF($A646="","",INDEX(JupData!$A$2:$K$10000,MATCH($A646&amp;I$1,JupData!$A$2:$A$10000&amp;JupData!$J$2:$J$10000,0),11))</f>
        <v/>
      </c>
      <c r="J646" t="str">
        <f t="array" ref="J646">IF($A646="","",INDEX(JupData!$A$2:$K$10000,MATCH($A646&amp;J$1,JupData!$A$2:$A$10000&amp;JupData!$J$2:$J$10000,0),11))</f>
        <v/>
      </c>
      <c r="K646" t="str">
        <f t="array" ref="K646">IF($A646="","",INDEX(JupData!$A$2:$K$10000,MATCH($A646&amp;K$1,JupData!$A$2:$A$10000&amp;JupData!$J$2:$J$10000,0),11))</f>
        <v/>
      </c>
      <c r="L646" t="str">
        <f t="array" ref="L646">IF($A646="","",INDEX(JupData!$A$2:$K$10000,MATCH($A646&amp;L$1,JupData!$A$2:$A$10000&amp;JupData!$J$2:$J$10000,0),11))</f>
        <v/>
      </c>
      <c r="M646" t="str">
        <f t="array" ref="M646">IF($A646="","",INDEX(JupData!$A$2:$K$10000,MATCH($A646&amp;M$1,JupData!$A$2:$A$10000&amp;JupData!$J$2:$J$10000,0),11))</f>
        <v/>
      </c>
      <c r="N646" t="str">
        <f t="array" ref="N646">IF($A646="","",INDEX(JupData!$A$2:$K$10000,MATCH($A646&amp;N$1,JupData!$A$2:$A$10000&amp;JupData!$J$2:$J$10000,0),11))</f>
        <v/>
      </c>
      <c r="O646" t="str">
        <f t="array" ref="O646">IF($A646="","",INDEX(JupData!$A$2:$K$10000,MATCH($A646&amp;O$1,JupData!$A$2:$A$10000&amp;JupData!$J$2:$J$10000,0),11))</f>
        <v/>
      </c>
      <c r="P646" t="str">
        <f t="array" ref="P646">IF($A646="","",INDEX(JupData!$A$2:$K$10000,MATCH($A646&amp;P$1,JupData!$A$2:$A$10000&amp;JupData!$J$2:$J$10000,0),11))</f>
        <v/>
      </c>
      <c r="Q646" t="str">
        <f t="array" ref="Q646">IF($A646="","",INDEX(JupData!$A$2:$K$10000,MATCH($A646&amp;Q$1,JupData!$A$2:$A$10000&amp;JupData!$J$2:$J$10000,0),11))</f>
        <v/>
      </c>
      <c r="R646" t="str">
        <f t="array" ref="R646">IF($A646="","",INDEX(JupData!$A$2:$K$10000,MATCH($A646&amp;R$1,JupData!$A$2:$A$10000&amp;JupData!$J$2:$J$10000,0),11))</f>
        <v/>
      </c>
      <c r="S646" t="str">
        <f t="array" ref="S646">IF($A646="","",INDEX(JupData!$A$2:$K$10000,MATCH($A646&amp;S$1,JupData!$A$2:$A$10000&amp;JupData!$J$2:$J$10000,0),11))</f>
        <v/>
      </c>
      <c r="T646" t="str">
        <f t="array" ref="T646">IF($A646="","",INDEX(JupData!$A$2:$K$10000,MATCH($A646&amp;T$1,JupData!$A$2:$A$10000&amp;JupData!$J$2:$J$10000,0),11))</f>
        <v/>
      </c>
      <c r="U646" t="str">
        <f t="array" ref="U646">IF($A646="","",INDEX(JupData!$A$2:$K$10000,MATCH($A646&amp;U$1,JupData!$A$2:$A$10000&amp;JupData!$J$2:$J$10000,0),11))</f>
        <v/>
      </c>
      <c r="V646" t="str">
        <f t="array" ref="V646">IF($A646="","",INDEX(JupData!$A$2:$K$10000,MATCH($A646&amp;V$1,JupData!$A$2:$A$10000&amp;JupData!$J$2:$J$10000,0),11))</f>
        <v/>
      </c>
      <c r="W646" t="str">
        <f t="array" ref="W646">IF($A646="","",INDEX(JupData!$A$2:$K$10000,MATCH($A646&amp;W$1,JupData!$A$2:$A$10000&amp;JupData!$J$2:$J$10000,0),11))</f>
        <v/>
      </c>
      <c r="X646" t="str">
        <f t="array" ref="X646">IF($A646="","",INDEX(JupData!$A$2:$K$10000,MATCH($A646&amp;X$1,JupData!$A$2:$A$10000&amp;JupData!$J$2:$J$10000,0),11))</f>
        <v/>
      </c>
      <c r="Y646" t="str">
        <f t="array" ref="Y646">IF($A646="","",INDEX(JupData!$A$2:$K$10000,MATCH($A646&amp;Y$1,JupData!$A$2:$A$10000&amp;JupData!$J$2:$J$10000,0),11))</f>
        <v/>
      </c>
      <c r="Z646" t="str">
        <f t="array" ref="Z646">IF($A646="","",INDEX(JupData!$A$2:$K$10000,MATCH($A646&amp;Z$1,JupData!$A$2:$A$10000&amp;JupData!$J$2:$J$10000,0),11))</f>
        <v/>
      </c>
      <c r="AA646" t="str">
        <f t="array" ref="AA646">IF($A646="","",INDEX(JupData!$A$2:$K$10000,MATCH($A646&amp;AA$1,JupData!$A$2:$A$10000&amp;JupData!$J$2:$J$10000,0),11))</f>
        <v/>
      </c>
      <c r="AB646" t="str">
        <f t="array" ref="AB646">IF($A646="","",INDEX(JupData!$A$2:$K$10000,MATCH($A646&amp;AB$1,JupData!$A$2:$A$10000&amp;JupData!$J$2:$J$10000,0),11))</f>
        <v/>
      </c>
      <c r="AC646" s="10" t="str">
        <f t="shared" si="110"/>
        <v/>
      </c>
      <c r="AD646" s="10" t="str">
        <f t="shared" si="111"/>
        <v/>
      </c>
      <c r="AE646" s="9" t="str">
        <f t="shared" si="112"/>
        <v/>
      </c>
      <c r="AF646" s="10" t="str">
        <f t="shared" si="113"/>
        <v/>
      </c>
      <c r="AG646" s="10" t="str">
        <f t="shared" si="114"/>
        <v/>
      </c>
      <c r="AH646" s="10" t="str">
        <f t="shared" si="115"/>
        <v/>
      </c>
      <c r="AI646" s="10" t="str">
        <f t="shared" si="116"/>
        <v/>
      </c>
      <c r="AJ646" s="10" t="str">
        <f t="shared" si="117"/>
        <v/>
      </c>
      <c r="AK646" s="10" t="str">
        <f t="shared" si="118"/>
        <v/>
      </c>
      <c r="AL646" s="14" t="str">
        <f t="shared" si="119"/>
        <v/>
      </c>
    </row>
    <row r="647" spans="1:38" x14ac:dyDescent="0.2">
      <c r="A647"/>
      <c r="B647" t="str">
        <f>IF($A647="","",VLOOKUP($A647,JupData!$A$2:$I$10000,4,FALSE))</f>
        <v/>
      </c>
      <c r="C647" s="7" t="str">
        <f>IF($A647="",IF(N(D647),0,""),VLOOKUP($A647,JupData!$A$2:$I$10000,7,FALSE))</f>
        <v/>
      </c>
      <c r="D647" t="str">
        <f t="shared" si="120"/>
        <v/>
      </c>
      <c r="E647" t="str">
        <f t="array" ref="E647">IF($A647="","",INDEX(JupData!$A$2:$K$10000,MATCH($A647&amp;E$1,JupData!$A$2:$A$10000&amp;JupData!$J$2:$J$10000,0),11))</f>
        <v/>
      </c>
      <c r="F647" t="str">
        <f t="array" ref="F647">IF($A647="","",INDEX(JupData!$A$2:$K$10000,MATCH($A647&amp;F$1,JupData!$A$2:$A$10000&amp;JupData!$J$2:$J$10000,0),11))</f>
        <v/>
      </c>
      <c r="G647" t="str">
        <f t="array" ref="G647">IF($A647="","",INDEX(JupData!$A$2:$K$10000,MATCH($A647&amp;G$1,JupData!$A$2:$A$10000&amp;JupData!$J$2:$J$10000,0),11))</f>
        <v/>
      </c>
      <c r="H647" t="str">
        <f t="array" ref="H647">IF($A647="","",INDEX(JupData!$A$2:$K$10000,MATCH($A647&amp;H$1,JupData!$A$2:$A$10000&amp;JupData!$J$2:$J$10000,0),11))</f>
        <v/>
      </c>
      <c r="I647" t="str">
        <f t="array" ref="I647">IF($A647="","",INDEX(JupData!$A$2:$K$10000,MATCH($A647&amp;I$1,JupData!$A$2:$A$10000&amp;JupData!$J$2:$J$10000,0),11))</f>
        <v/>
      </c>
      <c r="J647" t="str">
        <f t="array" ref="J647">IF($A647="","",INDEX(JupData!$A$2:$K$10000,MATCH($A647&amp;J$1,JupData!$A$2:$A$10000&amp;JupData!$J$2:$J$10000,0),11))</f>
        <v/>
      </c>
      <c r="K647" t="str">
        <f t="array" ref="K647">IF($A647="","",INDEX(JupData!$A$2:$K$10000,MATCH($A647&amp;K$1,JupData!$A$2:$A$10000&amp;JupData!$J$2:$J$10000,0),11))</f>
        <v/>
      </c>
      <c r="L647" t="str">
        <f t="array" ref="L647">IF($A647="","",INDEX(JupData!$A$2:$K$10000,MATCH($A647&amp;L$1,JupData!$A$2:$A$10000&amp;JupData!$J$2:$J$10000,0),11))</f>
        <v/>
      </c>
      <c r="M647" t="str">
        <f t="array" ref="M647">IF($A647="","",INDEX(JupData!$A$2:$K$10000,MATCH($A647&amp;M$1,JupData!$A$2:$A$10000&amp;JupData!$J$2:$J$10000,0),11))</f>
        <v/>
      </c>
      <c r="N647" t="str">
        <f t="array" ref="N647">IF($A647="","",INDEX(JupData!$A$2:$K$10000,MATCH($A647&amp;N$1,JupData!$A$2:$A$10000&amp;JupData!$J$2:$J$10000,0),11))</f>
        <v/>
      </c>
      <c r="O647" t="str">
        <f t="array" ref="O647">IF($A647="","",INDEX(JupData!$A$2:$K$10000,MATCH($A647&amp;O$1,JupData!$A$2:$A$10000&amp;JupData!$J$2:$J$10000,0),11))</f>
        <v/>
      </c>
      <c r="P647" t="str">
        <f t="array" ref="P647">IF($A647="","",INDEX(JupData!$A$2:$K$10000,MATCH($A647&amp;P$1,JupData!$A$2:$A$10000&amp;JupData!$J$2:$J$10000,0),11))</f>
        <v/>
      </c>
      <c r="Q647" t="str">
        <f t="array" ref="Q647">IF($A647="","",INDEX(JupData!$A$2:$K$10000,MATCH($A647&amp;Q$1,JupData!$A$2:$A$10000&amp;JupData!$J$2:$J$10000,0),11))</f>
        <v/>
      </c>
      <c r="R647" t="str">
        <f t="array" ref="R647">IF($A647="","",INDEX(JupData!$A$2:$K$10000,MATCH($A647&amp;R$1,JupData!$A$2:$A$10000&amp;JupData!$J$2:$J$10000,0),11))</f>
        <v/>
      </c>
      <c r="S647" t="str">
        <f t="array" ref="S647">IF($A647="","",INDEX(JupData!$A$2:$K$10000,MATCH($A647&amp;S$1,JupData!$A$2:$A$10000&amp;JupData!$J$2:$J$10000,0),11))</f>
        <v/>
      </c>
      <c r="T647" t="str">
        <f t="array" ref="T647">IF($A647="","",INDEX(JupData!$A$2:$K$10000,MATCH($A647&amp;T$1,JupData!$A$2:$A$10000&amp;JupData!$J$2:$J$10000,0),11))</f>
        <v/>
      </c>
      <c r="U647" t="str">
        <f t="array" ref="U647">IF($A647="","",INDEX(JupData!$A$2:$K$10000,MATCH($A647&amp;U$1,JupData!$A$2:$A$10000&amp;JupData!$J$2:$J$10000,0),11))</f>
        <v/>
      </c>
      <c r="V647" t="str">
        <f t="array" ref="V647">IF($A647="","",INDEX(JupData!$A$2:$K$10000,MATCH($A647&amp;V$1,JupData!$A$2:$A$10000&amp;JupData!$J$2:$J$10000,0),11))</f>
        <v/>
      </c>
      <c r="W647" t="str">
        <f t="array" ref="W647">IF($A647="","",INDEX(JupData!$A$2:$K$10000,MATCH($A647&amp;W$1,JupData!$A$2:$A$10000&amp;JupData!$J$2:$J$10000,0),11))</f>
        <v/>
      </c>
      <c r="X647" t="str">
        <f t="array" ref="X647">IF($A647="","",INDEX(JupData!$A$2:$K$10000,MATCH($A647&amp;X$1,JupData!$A$2:$A$10000&amp;JupData!$J$2:$J$10000,0),11))</f>
        <v/>
      </c>
      <c r="Y647" t="str">
        <f t="array" ref="Y647">IF($A647="","",INDEX(JupData!$A$2:$K$10000,MATCH($A647&amp;Y$1,JupData!$A$2:$A$10000&amp;JupData!$J$2:$J$10000,0),11))</f>
        <v/>
      </c>
      <c r="Z647" t="str">
        <f t="array" ref="Z647">IF($A647="","",INDEX(JupData!$A$2:$K$10000,MATCH($A647&amp;Z$1,JupData!$A$2:$A$10000&amp;JupData!$J$2:$J$10000,0),11))</f>
        <v/>
      </c>
      <c r="AA647" t="str">
        <f t="array" ref="AA647">IF($A647="","",INDEX(JupData!$A$2:$K$10000,MATCH($A647&amp;AA$1,JupData!$A$2:$A$10000&amp;JupData!$J$2:$J$10000,0),11))</f>
        <v/>
      </c>
      <c r="AB647" t="str">
        <f t="array" ref="AB647">IF($A647="","",INDEX(JupData!$A$2:$K$10000,MATCH($A647&amp;AB$1,JupData!$A$2:$A$10000&amp;JupData!$J$2:$J$10000,0),11))</f>
        <v/>
      </c>
      <c r="AC647" s="10" t="str">
        <f t="shared" si="110"/>
        <v/>
      </c>
      <c r="AD647" s="10" t="str">
        <f t="shared" si="111"/>
        <v/>
      </c>
      <c r="AE647" s="9" t="str">
        <f t="shared" si="112"/>
        <v/>
      </c>
      <c r="AF647" s="10" t="str">
        <f t="shared" si="113"/>
        <v/>
      </c>
      <c r="AG647" s="10" t="str">
        <f t="shared" si="114"/>
        <v/>
      </c>
      <c r="AH647" s="10" t="str">
        <f t="shared" si="115"/>
        <v/>
      </c>
      <c r="AI647" s="10" t="str">
        <f t="shared" si="116"/>
        <v/>
      </c>
      <c r="AJ647" s="10" t="str">
        <f t="shared" si="117"/>
        <v/>
      </c>
      <c r="AK647" s="10" t="str">
        <f t="shared" si="118"/>
        <v/>
      </c>
      <c r="AL647" s="14" t="str">
        <f t="shared" si="119"/>
        <v/>
      </c>
    </row>
    <row r="648" spans="1:38" x14ac:dyDescent="0.2">
      <c r="A648"/>
      <c r="B648" t="str">
        <f>IF($A648="","",VLOOKUP($A648,JupData!$A$2:$I$10000,4,FALSE))</f>
        <v/>
      </c>
      <c r="C648" s="7" t="str">
        <f>IF($A648="",IF(N(D648),0,""),VLOOKUP($A648,JupData!$A$2:$I$10000,7,FALSE))</f>
        <v/>
      </c>
      <c r="D648" t="str">
        <f t="shared" si="120"/>
        <v/>
      </c>
      <c r="E648" t="str">
        <f t="array" ref="E648">IF($A648="","",INDEX(JupData!$A$2:$K$10000,MATCH($A648&amp;E$1,JupData!$A$2:$A$10000&amp;JupData!$J$2:$J$10000,0),11))</f>
        <v/>
      </c>
      <c r="F648" t="str">
        <f t="array" ref="F648">IF($A648="","",INDEX(JupData!$A$2:$K$10000,MATCH($A648&amp;F$1,JupData!$A$2:$A$10000&amp;JupData!$J$2:$J$10000,0),11))</f>
        <v/>
      </c>
      <c r="G648" t="str">
        <f t="array" ref="G648">IF($A648="","",INDEX(JupData!$A$2:$K$10000,MATCH($A648&amp;G$1,JupData!$A$2:$A$10000&amp;JupData!$J$2:$J$10000,0),11))</f>
        <v/>
      </c>
      <c r="H648" t="str">
        <f t="array" ref="H648">IF($A648="","",INDEX(JupData!$A$2:$K$10000,MATCH($A648&amp;H$1,JupData!$A$2:$A$10000&amp;JupData!$J$2:$J$10000,0),11))</f>
        <v/>
      </c>
      <c r="I648" t="str">
        <f t="array" ref="I648">IF($A648="","",INDEX(JupData!$A$2:$K$10000,MATCH($A648&amp;I$1,JupData!$A$2:$A$10000&amp;JupData!$J$2:$J$10000,0),11))</f>
        <v/>
      </c>
      <c r="J648" t="str">
        <f t="array" ref="J648">IF($A648="","",INDEX(JupData!$A$2:$K$10000,MATCH($A648&amp;J$1,JupData!$A$2:$A$10000&amp;JupData!$J$2:$J$10000,0),11))</f>
        <v/>
      </c>
      <c r="K648" t="str">
        <f t="array" ref="K648">IF($A648="","",INDEX(JupData!$A$2:$K$10000,MATCH($A648&amp;K$1,JupData!$A$2:$A$10000&amp;JupData!$J$2:$J$10000,0),11))</f>
        <v/>
      </c>
      <c r="L648" t="str">
        <f t="array" ref="L648">IF($A648="","",INDEX(JupData!$A$2:$K$10000,MATCH($A648&amp;L$1,JupData!$A$2:$A$10000&amp;JupData!$J$2:$J$10000,0),11))</f>
        <v/>
      </c>
      <c r="M648" t="str">
        <f t="array" ref="M648">IF($A648="","",INDEX(JupData!$A$2:$K$10000,MATCH($A648&amp;M$1,JupData!$A$2:$A$10000&amp;JupData!$J$2:$J$10000,0),11))</f>
        <v/>
      </c>
      <c r="N648" t="str">
        <f t="array" ref="N648">IF($A648="","",INDEX(JupData!$A$2:$K$10000,MATCH($A648&amp;N$1,JupData!$A$2:$A$10000&amp;JupData!$J$2:$J$10000,0),11))</f>
        <v/>
      </c>
      <c r="O648" t="str">
        <f t="array" ref="O648">IF($A648="","",INDEX(JupData!$A$2:$K$10000,MATCH($A648&amp;O$1,JupData!$A$2:$A$10000&amp;JupData!$J$2:$J$10000,0),11))</f>
        <v/>
      </c>
      <c r="P648" t="str">
        <f t="array" ref="P648">IF($A648="","",INDEX(JupData!$A$2:$K$10000,MATCH($A648&amp;P$1,JupData!$A$2:$A$10000&amp;JupData!$J$2:$J$10000,0),11))</f>
        <v/>
      </c>
      <c r="Q648" t="str">
        <f t="array" ref="Q648">IF($A648="","",INDEX(JupData!$A$2:$K$10000,MATCH($A648&amp;Q$1,JupData!$A$2:$A$10000&amp;JupData!$J$2:$J$10000,0),11))</f>
        <v/>
      </c>
      <c r="R648" t="str">
        <f t="array" ref="R648">IF($A648="","",INDEX(JupData!$A$2:$K$10000,MATCH($A648&amp;R$1,JupData!$A$2:$A$10000&amp;JupData!$J$2:$J$10000,0),11))</f>
        <v/>
      </c>
      <c r="S648" t="str">
        <f t="array" ref="S648">IF($A648="","",INDEX(JupData!$A$2:$K$10000,MATCH($A648&amp;S$1,JupData!$A$2:$A$10000&amp;JupData!$J$2:$J$10000,0),11))</f>
        <v/>
      </c>
      <c r="T648" t="str">
        <f t="array" ref="T648">IF($A648="","",INDEX(JupData!$A$2:$K$10000,MATCH($A648&amp;T$1,JupData!$A$2:$A$10000&amp;JupData!$J$2:$J$10000,0),11))</f>
        <v/>
      </c>
      <c r="U648" t="str">
        <f t="array" ref="U648">IF($A648="","",INDEX(JupData!$A$2:$K$10000,MATCH($A648&amp;U$1,JupData!$A$2:$A$10000&amp;JupData!$J$2:$J$10000,0),11))</f>
        <v/>
      </c>
      <c r="V648" t="str">
        <f t="array" ref="V648">IF($A648="","",INDEX(JupData!$A$2:$K$10000,MATCH($A648&amp;V$1,JupData!$A$2:$A$10000&amp;JupData!$J$2:$J$10000,0),11))</f>
        <v/>
      </c>
      <c r="W648" t="str">
        <f t="array" ref="W648">IF($A648="","",INDEX(JupData!$A$2:$K$10000,MATCH($A648&amp;W$1,JupData!$A$2:$A$10000&amp;JupData!$J$2:$J$10000,0),11))</f>
        <v/>
      </c>
      <c r="X648" t="str">
        <f t="array" ref="X648">IF($A648="","",INDEX(JupData!$A$2:$K$10000,MATCH($A648&amp;X$1,JupData!$A$2:$A$10000&amp;JupData!$J$2:$J$10000,0),11))</f>
        <v/>
      </c>
      <c r="Y648" t="str">
        <f t="array" ref="Y648">IF($A648="","",INDEX(JupData!$A$2:$K$10000,MATCH($A648&amp;Y$1,JupData!$A$2:$A$10000&amp;JupData!$J$2:$J$10000,0),11))</f>
        <v/>
      </c>
      <c r="Z648" t="str">
        <f t="array" ref="Z648">IF($A648="","",INDEX(JupData!$A$2:$K$10000,MATCH($A648&amp;Z$1,JupData!$A$2:$A$10000&amp;JupData!$J$2:$J$10000,0),11))</f>
        <v/>
      </c>
      <c r="AA648" t="str">
        <f t="array" ref="AA648">IF($A648="","",INDEX(JupData!$A$2:$K$10000,MATCH($A648&amp;AA$1,JupData!$A$2:$A$10000&amp;JupData!$J$2:$J$10000,0),11))</f>
        <v/>
      </c>
      <c r="AB648" t="str">
        <f t="array" ref="AB648">IF($A648="","",INDEX(JupData!$A$2:$K$10000,MATCH($A648&amp;AB$1,JupData!$A$2:$A$10000&amp;JupData!$J$2:$J$10000,0),11))</f>
        <v/>
      </c>
      <c r="AC648" s="10" t="str">
        <f t="shared" si="110"/>
        <v/>
      </c>
      <c r="AD648" s="10" t="str">
        <f t="shared" si="111"/>
        <v/>
      </c>
      <c r="AE648" s="9" t="str">
        <f t="shared" si="112"/>
        <v/>
      </c>
      <c r="AF648" s="10" t="str">
        <f t="shared" si="113"/>
        <v/>
      </c>
      <c r="AG648" s="10" t="str">
        <f t="shared" si="114"/>
        <v/>
      </c>
      <c r="AH648" s="10" t="str">
        <f t="shared" si="115"/>
        <v/>
      </c>
      <c r="AI648" s="10" t="str">
        <f t="shared" si="116"/>
        <v/>
      </c>
      <c r="AJ648" s="10" t="str">
        <f t="shared" si="117"/>
        <v/>
      </c>
      <c r="AK648" s="10" t="str">
        <f t="shared" si="118"/>
        <v/>
      </c>
      <c r="AL648" s="14" t="str">
        <f t="shared" si="119"/>
        <v/>
      </c>
    </row>
    <row r="649" spans="1:38" x14ac:dyDescent="0.2">
      <c r="A649"/>
      <c r="B649" t="str">
        <f>IF($A649="","",VLOOKUP($A649,JupData!$A$2:$I$10000,4,FALSE))</f>
        <v/>
      </c>
      <c r="C649" s="7" t="str">
        <f>IF($A649="",IF(N(D649),0,""),VLOOKUP($A649,JupData!$A$2:$I$10000,7,FALSE))</f>
        <v/>
      </c>
      <c r="D649" t="str">
        <f t="shared" si="120"/>
        <v/>
      </c>
      <c r="E649" t="str">
        <f t="array" ref="E649">IF($A649="","",INDEX(JupData!$A$2:$K$10000,MATCH($A649&amp;E$1,JupData!$A$2:$A$10000&amp;JupData!$J$2:$J$10000,0),11))</f>
        <v/>
      </c>
      <c r="F649" t="str">
        <f t="array" ref="F649">IF($A649="","",INDEX(JupData!$A$2:$K$10000,MATCH($A649&amp;F$1,JupData!$A$2:$A$10000&amp;JupData!$J$2:$J$10000,0),11))</f>
        <v/>
      </c>
      <c r="G649" t="str">
        <f t="array" ref="G649">IF($A649="","",INDEX(JupData!$A$2:$K$10000,MATCH($A649&amp;G$1,JupData!$A$2:$A$10000&amp;JupData!$J$2:$J$10000,0),11))</f>
        <v/>
      </c>
      <c r="H649" t="str">
        <f t="array" ref="H649">IF($A649="","",INDEX(JupData!$A$2:$K$10000,MATCH($A649&amp;H$1,JupData!$A$2:$A$10000&amp;JupData!$J$2:$J$10000,0),11))</f>
        <v/>
      </c>
      <c r="I649" t="str">
        <f t="array" ref="I649">IF($A649="","",INDEX(JupData!$A$2:$K$10000,MATCH($A649&amp;I$1,JupData!$A$2:$A$10000&amp;JupData!$J$2:$J$10000,0),11))</f>
        <v/>
      </c>
      <c r="J649" t="str">
        <f t="array" ref="J649">IF($A649="","",INDEX(JupData!$A$2:$K$10000,MATCH($A649&amp;J$1,JupData!$A$2:$A$10000&amp;JupData!$J$2:$J$10000,0),11))</f>
        <v/>
      </c>
      <c r="K649" t="str">
        <f t="array" ref="K649">IF($A649="","",INDEX(JupData!$A$2:$K$10000,MATCH($A649&amp;K$1,JupData!$A$2:$A$10000&amp;JupData!$J$2:$J$10000,0),11))</f>
        <v/>
      </c>
      <c r="L649" t="str">
        <f t="array" ref="L649">IF($A649="","",INDEX(JupData!$A$2:$K$10000,MATCH($A649&amp;L$1,JupData!$A$2:$A$10000&amp;JupData!$J$2:$J$10000,0),11))</f>
        <v/>
      </c>
      <c r="M649" t="str">
        <f t="array" ref="M649">IF($A649="","",INDEX(JupData!$A$2:$K$10000,MATCH($A649&amp;M$1,JupData!$A$2:$A$10000&amp;JupData!$J$2:$J$10000,0),11))</f>
        <v/>
      </c>
      <c r="N649" t="str">
        <f t="array" ref="N649">IF($A649="","",INDEX(JupData!$A$2:$K$10000,MATCH($A649&amp;N$1,JupData!$A$2:$A$10000&amp;JupData!$J$2:$J$10000,0),11))</f>
        <v/>
      </c>
      <c r="O649" t="str">
        <f t="array" ref="O649">IF($A649="","",INDEX(JupData!$A$2:$K$10000,MATCH($A649&amp;O$1,JupData!$A$2:$A$10000&amp;JupData!$J$2:$J$10000,0),11))</f>
        <v/>
      </c>
      <c r="P649" t="str">
        <f t="array" ref="P649">IF($A649="","",INDEX(JupData!$A$2:$K$10000,MATCH($A649&amp;P$1,JupData!$A$2:$A$10000&amp;JupData!$J$2:$J$10000,0),11))</f>
        <v/>
      </c>
      <c r="Q649" t="str">
        <f t="array" ref="Q649">IF($A649="","",INDEX(JupData!$A$2:$K$10000,MATCH($A649&amp;Q$1,JupData!$A$2:$A$10000&amp;JupData!$J$2:$J$10000,0),11))</f>
        <v/>
      </c>
      <c r="R649" t="str">
        <f t="array" ref="R649">IF($A649="","",INDEX(JupData!$A$2:$K$10000,MATCH($A649&amp;R$1,JupData!$A$2:$A$10000&amp;JupData!$J$2:$J$10000,0),11))</f>
        <v/>
      </c>
      <c r="S649" t="str">
        <f t="array" ref="S649">IF($A649="","",INDEX(JupData!$A$2:$K$10000,MATCH($A649&amp;S$1,JupData!$A$2:$A$10000&amp;JupData!$J$2:$J$10000,0),11))</f>
        <v/>
      </c>
      <c r="T649" t="str">
        <f t="array" ref="T649">IF($A649="","",INDEX(JupData!$A$2:$K$10000,MATCH($A649&amp;T$1,JupData!$A$2:$A$10000&amp;JupData!$J$2:$J$10000,0),11))</f>
        <v/>
      </c>
      <c r="U649" t="str">
        <f t="array" ref="U649">IF($A649="","",INDEX(JupData!$A$2:$K$10000,MATCH($A649&amp;U$1,JupData!$A$2:$A$10000&amp;JupData!$J$2:$J$10000,0),11))</f>
        <v/>
      </c>
      <c r="V649" t="str">
        <f t="array" ref="V649">IF($A649="","",INDEX(JupData!$A$2:$K$10000,MATCH($A649&amp;V$1,JupData!$A$2:$A$10000&amp;JupData!$J$2:$J$10000,0),11))</f>
        <v/>
      </c>
      <c r="W649" t="str">
        <f t="array" ref="W649">IF($A649="","",INDEX(JupData!$A$2:$K$10000,MATCH($A649&amp;W$1,JupData!$A$2:$A$10000&amp;JupData!$J$2:$J$10000,0),11))</f>
        <v/>
      </c>
      <c r="X649" t="str">
        <f t="array" ref="X649">IF($A649="","",INDEX(JupData!$A$2:$K$10000,MATCH($A649&amp;X$1,JupData!$A$2:$A$10000&amp;JupData!$J$2:$J$10000,0),11))</f>
        <v/>
      </c>
      <c r="Y649" t="str">
        <f t="array" ref="Y649">IF($A649="","",INDEX(JupData!$A$2:$K$10000,MATCH($A649&amp;Y$1,JupData!$A$2:$A$10000&amp;JupData!$J$2:$J$10000,0),11))</f>
        <v/>
      </c>
      <c r="Z649" t="str">
        <f t="array" ref="Z649">IF($A649="","",INDEX(JupData!$A$2:$K$10000,MATCH($A649&amp;Z$1,JupData!$A$2:$A$10000&amp;JupData!$J$2:$J$10000,0),11))</f>
        <v/>
      </c>
      <c r="AA649" t="str">
        <f t="array" ref="AA649">IF($A649="","",INDEX(JupData!$A$2:$K$10000,MATCH($A649&amp;AA$1,JupData!$A$2:$A$10000&amp;JupData!$J$2:$J$10000,0),11))</f>
        <v/>
      </c>
      <c r="AB649" t="str">
        <f t="array" ref="AB649">IF($A649="","",INDEX(JupData!$A$2:$K$10000,MATCH($A649&amp;AB$1,JupData!$A$2:$A$10000&amp;JupData!$J$2:$J$10000,0),11))</f>
        <v/>
      </c>
      <c r="AC649" s="10" t="str">
        <f t="shared" si="110"/>
        <v/>
      </c>
      <c r="AD649" s="10" t="str">
        <f t="shared" si="111"/>
        <v/>
      </c>
      <c r="AE649" s="9" t="str">
        <f t="shared" si="112"/>
        <v/>
      </c>
      <c r="AF649" s="10" t="str">
        <f t="shared" si="113"/>
        <v/>
      </c>
      <c r="AG649" s="10" t="str">
        <f t="shared" si="114"/>
        <v/>
      </c>
      <c r="AH649" s="10" t="str">
        <f t="shared" si="115"/>
        <v/>
      </c>
      <c r="AI649" s="10" t="str">
        <f t="shared" si="116"/>
        <v/>
      </c>
      <c r="AJ649" s="10" t="str">
        <f t="shared" si="117"/>
        <v/>
      </c>
      <c r="AK649" s="10" t="str">
        <f t="shared" si="118"/>
        <v/>
      </c>
      <c r="AL649" s="14" t="str">
        <f t="shared" si="119"/>
        <v/>
      </c>
    </row>
    <row r="650" spans="1:38" x14ac:dyDescent="0.2">
      <c r="A650"/>
      <c r="B650" t="str">
        <f>IF($A650="","",VLOOKUP($A650,JupData!$A$2:$I$10000,4,FALSE))</f>
        <v/>
      </c>
      <c r="C650" s="7" t="str">
        <f>IF($A650="",IF(N(D650),0,""),VLOOKUP($A650,JupData!$A$2:$I$10000,7,FALSE))</f>
        <v/>
      </c>
      <c r="D650" t="str">
        <f t="shared" si="120"/>
        <v/>
      </c>
      <c r="E650" t="str">
        <f t="array" ref="E650">IF($A650="","",INDEX(JupData!$A$2:$K$10000,MATCH($A650&amp;E$1,JupData!$A$2:$A$10000&amp;JupData!$J$2:$J$10000,0),11))</f>
        <v/>
      </c>
      <c r="F650" t="str">
        <f t="array" ref="F650">IF($A650="","",INDEX(JupData!$A$2:$K$10000,MATCH($A650&amp;F$1,JupData!$A$2:$A$10000&amp;JupData!$J$2:$J$10000,0),11))</f>
        <v/>
      </c>
      <c r="G650" t="str">
        <f t="array" ref="G650">IF($A650="","",INDEX(JupData!$A$2:$K$10000,MATCH($A650&amp;G$1,JupData!$A$2:$A$10000&amp;JupData!$J$2:$J$10000,0),11))</f>
        <v/>
      </c>
      <c r="H650" t="str">
        <f t="array" ref="H650">IF($A650="","",INDEX(JupData!$A$2:$K$10000,MATCH($A650&amp;H$1,JupData!$A$2:$A$10000&amp;JupData!$J$2:$J$10000,0),11))</f>
        <v/>
      </c>
      <c r="I650" t="str">
        <f t="array" ref="I650">IF($A650="","",INDEX(JupData!$A$2:$K$10000,MATCH($A650&amp;I$1,JupData!$A$2:$A$10000&amp;JupData!$J$2:$J$10000,0),11))</f>
        <v/>
      </c>
      <c r="J650" t="str">
        <f t="array" ref="J650">IF($A650="","",INDEX(JupData!$A$2:$K$10000,MATCH($A650&amp;J$1,JupData!$A$2:$A$10000&amp;JupData!$J$2:$J$10000,0),11))</f>
        <v/>
      </c>
      <c r="K650" t="str">
        <f t="array" ref="K650">IF($A650="","",INDEX(JupData!$A$2:$K$10000,MATCH($A650&amp;K$1,JupData!$A$2:$A$10000&amp;JupData!$J$2:$J$10000,0),11))</f>
        <v/>
      </c>
      <c r="L650" t="str">
        <f t="array" ref="L650">IF($A650="","",INDEX(JupData!$A$2:$K$10000,MATCH($A650&amp;L$1,JupData!$A$2:$A$10000&amp;JupData!$J$2:$J$10000,0),11))</f>
        <v/>
      </c>
      <c r="M650" t="str">
        <f t="array" ref="M650">IF($A650="","",INDEX(JupData!$A$2:$K$10000,MATCH($A650&amp;M$1,JupData!$A$2:$A$10000&amp;JupData!$J$2:$J$10000,0),11))</f>
        <v/>
      </c>
      <c r="N650" t="str">
        <f t="array" ref="N650">IF($A650="","",INDEX(JupData!$A$2:$K$10000,MATCH($A650&amp;N$1,JupData!$A$2:$A$10000&amp;JupData!$J$2:$J$10000,0),11))</f>
        <v/>
      </c>
      <c r="O650" t="str">
        <f t="array" ref="O650">IF($A650="","",INDEX(JupData!$A$2:$K$10000,MATCH($A650&amp;O$1,JupData!$A$2:$A$10000&amp;JupData!$J$2:$J$10000,0),11))</f>
        <v/>
      </c>
      <c r="P650" t="str">
        <f t="array" ref="P650">IF($A650="","",INDEX(JupData!$A$2:$K$10000,MATCH($A650&amp;P$1,JupData!$A$2:$A$10000&amp;JupData!$J$2:$J$10000,0),11))</f>
        <v/>
      </c>
      <c r="Q650" t="str">
        <f t="array" ref="Q650">IF($A650="","",INDEX(JupData!$A$2:$K$10000,MATCH($A650&amp;Q$1,JupData!$A$2:$A$10000&amp;JupData!$J$2:$J$10000,0),11))</f>
        <v/>
      </c>
      <c r="R650" t="str">
        <f t="array" ref="R650">IF($A650="","",INDEX(JupData!$A$2:$K$10000,MATCH($A650&amp;R$1,JupData!$A$2:$A$10000&amp;JupData!$J$2:$J$10000,0),11))</f>
        <v/>
      </c>
      <c r="S650" t="str">
        <f t="array" ref="S650">IF($A650="","",INDEX(JupData!$A$2:$K$10000,MATCH($A650&amp;S$1,JupData!$A$2:$A$10000&amp;JupData!$J$2:$J$10000,0),11))</f>
        <v/>
      </c>
      <c r="T650" t="str">
        <f t="array" ref="T650">IF($A650="","",INDEX(JupData!$A$2:$K$10000,MATCH($A650&amp;T$1,JupData!$A$2:$A$10000&amp;JupData!$J$2:$J$10000,0),11))</f>
        <v/>
      </c>
      <c r="U650" t="str">
        <f t="array" ref="U650">IF($A650="","",INDEX(JupData!$A$2:$K$10000,MATCH($A650&amp;U$1,JupData!$A$2:$A$10000&amp;JupData!$J$2:$J$10000,0),11))</f>
        <v/>
      </c>
      <c r="V650" t="str">
        <f t="array" ref="V650">IF($A650="","",INDEX(JupData!$A$2:$K$10000,MATCH($A650&amp;V$1,JupData!$A$2:$A$10000&amp;JupData!$J$2:$J$10000,0),11))</f>
        <v/>
      </c>
      <c r="W650" t="str">
        <f t="array" ref="W650">IF($A650="","",INDEX(JupData!$A$2:$K$10000,MATCH($A650&amp;W$1,JupData!$A$2:$A$10000&amp;JupData!$J$2:$J$10000,0),11))</f>
        <v/>
      </c>
      <c r="X650" t="str">
        <f t="array" ref="X650">IF($A650="","",INDEX(JupData!$A$2:$K$10000,MATCH($A650&amp;X$1,JupData!$A$2:$A$10000&amp;JupData!$J$2:$J$10000,0),11))</f>
        <v/>
      </c>
      <c r="Y650" t="str">
        <f t="array" ref="Y650">IF($A650="","",INDEX(JupData!$A$2:$K$10000,MATCH($A650&amp;Y$1,JupData!$A$2:$A$10000&amp;JupData!$J$2:$J$10000,0),11))</f>
        <v/>
      </c>
      <c r="Z650" t="str">
        <f t="array" ref="Z650">IF($A650="","",INDEX(JupData!$A$2:$K$10000,MATCH($A650&amp;Z$1,JupData!$A$2:$A$10000&amp;JupData!$J$2:$J$10000,0),11))</f>
        <v/>
      </c>
      <c r="AA650" t="str">
        <f t="array" ref="AA650">IF($A650="","",INDEX(JupData!$A$2:$K$10000,MATCH($A650&amp;AA$1,JupData!$A$2:$A$10000&amp;JupData!$J$2:$J$10000,0),11))</f>
        <v/>
      </c>
      <c r="AB650" t="str">
        <f t="array" ref="AB650">IF($A650="","",INDEX(JupData!$A$2:$K$10000,MATCH($A650&amp;AB$1,JupData!$A$2:$A$10000&amp;JupData!$J$2:$J$10000,0),11))</f>
        <v/>
      </c>
      <c r="AC650" s="10" t="str">
        <f t="shared" si="110"/>
        <v/>
      </c>
      <c r="AD650" s="10" t="str">
        <f t="shared" si="111"/>
        <v/>
      </c>
      <c r="AE650" s="9" t="str">
        <f t="shared" si="112"/>
        <v/>
      </c>
      <c r="AF650" s="10" t="str">
        <f t="shared" si="113"/>
        <v/>
      </c>
      <c r="AG650" s="10" t="str">
        <f t="shared" si="114"/>
        <v/>
      </c>
      <c r="AH650" s="10" t="str">
        <f t="shared" si="115"/>
        <v/>
      </c>
      <c r="AI650" s="10" t="str">
        <f t="shared" si="116"/>
        <v/>
      </c>
      <c r="AJ650" s="10" t="str">
        <f t="shared" si="117"/>
        <v/>
      </c>
      <c r="AK650" s="10" t="str">
        <f t="shared" si="118"/>
        <v/>
      </c>
      <c r="AL650" s="14" t="str">
        <f t="shared" si="119"/>
        <v/>
      </c>
    </row>
    <row r="651" spans="1:38" x14ac:dyDescent="0.2">
      <c r="A651"/>
      <c r="B651" t="str">
        <f>IF($A651="","",VLOOKUP($A651,JupData!$A$2:$I$10000,4,FALSE))</f>
        <v/>
      </c>
      <c r="C651" s="7" t="str">
        <f>IF($A651="",IF(N(D651),0,""),VLOOKUP($A651,JupData!$A$2:$I$10000,7,FALSE))</f>
        <v/>
      </c>
      <c r="D651" t="str">
        <f t="shared" si="120"/>
        <v/>
      </c>
      <c r="E651" t="str">
        <f t="array" ref="E651">IF($A651="","",INDEX(JupData!$A$2:$K$10000,MATCH($A651&amp;E$1,JupData!$A$2:$A$10000&amp;JupData!$J$2:$J$10000,0),11))</f>
        <v/>
      </c>
      <c r="F651" t="str">
        <f t="array" ref="F651">IF($A651="","",INDEX(JupData!$A$2:$K$10000,MATCH($A651&amp;F$1,JupData!$A$2:$A$10000&amp;JupData!$J$2:$J$10000,0),11))</f>
        <v/>
      </c>
      <c r="G651" t="str">
        <f t="array" ref="G651">IF($A651="","",INDEX(JupData!$A$2:$K$10000,MATCH($A651&amp;G$1,JupData!$A$2:$A$10000&amp;JupData!$J$2:$J$10000,0),11))</f>
        <v/>
      </c>
      <c r="H651" t="str">
        <f t="array" ref="H651">IF($A651="","",INDEX(JupData!$A$2:$K$10000,MATCH($A651&amp;H$1,JupData!$A$2:$A$10000&amp;JupData!$J$2:$J$10000,0),11))</f>
        <v/>
      </c>
      <c r="I651" t="str">
        <f t="array" ref="I651">IF($A651="","",INDEX(JupData!$A$2:$K$10000,MATCH($A651&amp;I$1,JupData!$A$2:$A$10000&amp;JupData!$J$2:$J$10000,0),11))</f>
        <v/>
      </c>
      <c r="J651" t="str">
        <f t="array" ref="J651">IF($A651="","",INDEX(JupData!$A$2:$K$10000,MATCH($A651&amp;J$1,JupData!$A$2:$A$10000&amp;JupData!$J$2:$J$10000,0),11))</f>
        <v/>
      </c>
      <c r="K651" t="str">
        <f t="array" ref="K651">IF($A651="","",INDEX(JupData!$A$2:$K$10000,MATCH($A651&amp;K$1,JupData!$A$2:$A$10000&amp;JupData!$J$2:$J$10000,0),11))</f>
        <v/>
      </c>
      <c r="L651" t="str">
        <f t="array" ref="L651">IF($A651="","",INDEX(JupData!$A$2:$K$10000,MATCH($A651&amp;L$1,JupData!$A$2:$A$10000&amp;JupData!$J$2:$J$10000,0),11))</f>
        <v/>
      </c>
      <c r="M651" t="str">
        <f t="array" ref="M651">IF($A651="","",INDEX(JupData!$A$2:$K$10000,MATCH($A651&amp;M$1,JupData!$A$2:$A$10000&amp;JupData!$J$2:$J$10000,0),11))</f>
        <v/>
      </c>
      <c r="N651" t="str">
        <f t="array" ref="N651">IF($A651="","",INDEX(JupData!$A$2:$K$10000,MATCH($A651&amp;N$1,JupData!$A$2:$A$10000&amp;JupData!$J$2:$J$10000,0),11))</f>
        <v/>
      </c>
      <c r="O651" t="str">
        <f t="array" ref="O651">IF($A651="","",INDEX(JupData!$A$2:$K$10000,MATCH($A651&amp;O$1,JupData!$A$2:$A$10000&amp;JupData!$J$2:$J$10000,0),11))</f>
        <v/>
      </c>
      <c r="P651" t="str">
        <f t="array" ref="P651">IF($A651="","",INDEX(JupData!$A$2:$K$10000,MATCH($A651&amp;P$1,JupData!$A$2:$A$10000&amp;JupData!$J$2:$J$10000,0),11))</f>
        <v/>
      </c>
      <c r="Q651" t="str">
        <f t="array" ref="Q651">IF($A651="","",INDEX(JupData!$A$2:$K$10000,MATCH($A651&amp;Q$1,JupData!$A$2:$A$10000&amp;JupData!$J$2:$J$10000,0),11))</f>
        <v/>
      </c>
      <c r="R651" t="str">
        <f t="array" ref="R651">IF($A651="","",INDEX(JupData!$A$2:$K$10000,MATCH($A651&amp;R$1,JupData!$A$2:$A$10000&amp;JupData!$J$2:$J$10000,0),11))</f>
        <v/>
      </c>
      <c r="S651" t="str">
        <f t="array" ref="S651">IF($A651="","",INDEX(JupData!$A$2:$K$10000,MATCH($A651&amp;S$1,JupData!$A$2:$A$10000&amp;JupData!$J$2:$J$10000,0),11))</f>
        <v/>
      </c>
      <c r="T651" t="str">
        <f t="array" ref="T651">IF($A651="","",INDEX(JupData!$A$2:$K$10000,MATCH($A651&amp;T$1,JupData!$A$2:$A$10000&amp;JupData!$J$2:$J$10000,0),11))</f>
        <v/>
      </c>
      <c r="U651" t="str">
        <f t="array" ref="U651">IF($A651="","",INDEX(JupData!$A$2:$K$10000,MATCH($A651&amp;U$1,JupData!$A$2:$A$10000&amp;JupData!$J$2:$J$10000,0),11))</f>
        <v/>
      </c>
      <c r="V651" t="str">
        <f t="array" ref="V651">IF($A651="","",INDEX(JupData!$A$2:$K$10000,MATCH($A651&amp;V$1,JupData!$A$2:$A$10000&amp;JupData!$J$2:$J$10000,0),11))</f>
        <v/>
      </c>
      <c r="W651" t="str">
        <f t="array" ref="W651">IF($A651="","",INDEX(JupData!$A$2:$K$10000,MATCH($A651&amp;W$1,JupData!$A$2:$A$10000&amp;JupData!$J$2:$J$10000,0),11))</f>
        <v/>
      </c>
      <c r="X651" t="str">
        <f t="array" ref="X651">IF($A651="","",INDEX(JupData!$A$2:$K$10000,MATCH($A651&amp;X$1,JupData!$A$2:$A$10000&amp;JupData!$J$2:$J$10000,0),11))</f>
        <v/>
      </c>
      <c r="Y651" t="str">
        <f t="array" ref="Y651">IF($A651="","",INDEX(JupData!$A$2:$K$10000,MATCH($A651&amp;Y$1,JupData!$A$2:$A$10000&amp;JupData!$J$2:$J$10000,0),11))</f>
        <v/>
      </c>
      <c r="Z651" t="str">
        <f t="array" ref="Z651">IF($A651="","",INDEX(JupData!$A$2:$K$10000,MATCH($A651&amp;Z$1,JupData!$A$2:$A$10000&amp;JupData!$J$2:$J$10000,0),11))</f>
        <v/>
      </c>
      <c r="AA651" t="str">
        <f t="array" ref="AA651">IF($A651="","",INDEX(JupData!$A$2:$K$10000,MATCH($A651&amp;AA$1,JupData!$A$2:$A$10000&amp;JupData!$J$2:$J$10000,0),11))</f>
        <v/>
      </c>
      <c r="AB651" t="str">
        <f t="array" ref="AB651">IF($A651="","",INDEX(JupData!$A$2:$K$10000,MATCH($A651&amp;AB$1,JupData!$A$2:$A$10000&amp;JupData!$J$2:$J$10000,0),11))</f>
        <v/>
      </c>
      <c r="AC651" s="10" t="str">
        <f t="shared" si="110"/>
        <v/>
      </c>
      <c r="AD651" s="10" t="str">
        <f t="shared" si="111"/>
        <v/>
      </c>
      <c r="AE651" s="9" t="str">
        <f t="shared" si="112"/>
        <v/>
      </c>
      <c r="AF651" s="10" t="str">
        <f t="shared" si="113"/>
        <v/>
      </c>
      <c r="AG651" s="10" t="str">
        <f t="shared" si="114"/>
        <v/>
      </c>
      <c r="AH651" s="10" t="str">
        <f t="shared" si="115"/>
        <v/>
      </c>
      <c r="AI651" s="10" t="str">
        <f t="shared" si="116"/>
        <v/>
      </c>
      <c r="AJ651" s="10" t="str">
        <f t="shared" si="117"/>
        <v/>
      </c>
      <c r="AK651" s="10" t="str">
        <f t="shared" si="118"/>
        <v/>
      </c>
      <c r="AL651" s="14" t="str">
        <f t="shared" si="119"/>
        <v/>
      </c>
    </row>
    <row r="652" spans="1:38" x14ac:dyDescent="0.2">
      <c r="A652"/>
      <c r="B652" t="str">
        <f>IF($A652="","",VLOOKUP($A652,JupData!$A$2:$I$10000,4,FALSE))</f>
        <v/>
      </c>
      <c r="C652" s="7" t="str">
        <f>IF($A652="",IF(N(D652),0,""),VLOOKUP($A652,JupData!$A$2:$I$10000,7,FALSE))</f>
        <v/>
      </c>
      <c r="D652" t="str">
        <f t="shared" si="120"/>
        <v/>
      </c>
      <c r="E652" t="str">
        <f t="array" ref="E652">IF($A652="","",INDEX(JupData!$A$2:$K$10000,MATCH($A652&amp;E$1,JupData!$A$2:$A$10000&amp;JupData!$J$2:$J$10000,0),11))</f>
        <v/>
      </c>
      <c r="F652" t="str">
        <f t="array" ref="F652">IF($A652="","",INDEX(JupData!$A$2:$K$10000,MATCH($A652&amp;F$1,JupData!$A$2:$A$10000&amp;JupData!$J$2:$J$10000,0),11))</f>
        <v/>
      </c>
      <c r="G652" t="str">
        <f t="array" ref="G652">IF($A652="","",INDEX(JupData!$A$2:$K$10000,MATCH($A652&amp;G$1,JupData!$A$2:$A$10000&amp;JupData!$J$2:$J$10000,0),11))</f>
        <v/>
      </c>
      <c r="H652" t="str">
        <f t="array" ref="H652">IF($A652="","",INDEX(JupData!$A$2:$K$10000,MATCH($A652&amp;H$1,JupData!$A$2:$A$10000&amp;JupData!$J$2:$J$10000,0),11))</f>
        <v/>
      </c>
      <c r="I652" t="str">
        <f t="array" ref="I652">IF($A652="","",INDEX(JupData!$A$2:$K$10000,MATCH($A652&amp;I$1,JupData!$A$2:$A$10000&amp;JupData!$J$2:$J$10000,0),11))</f>
        <v/>
      </c>
      <c r="J652" t="str">
        <f t="array" ref="J652">IF($A652="","",INDEX(JupData!$A$2:$K$10000,MATCH($A652&amp;J$1,JupData!$A$2:$A$10000&amp;JupData!$J$2:$J$10000,0),11))</f>
        <v/>
      </c>
      <c r="K652" t="str">
        <f t="array" ref="K652">IF($A652="","",INDEX(JupData!$A$2:$K$10000,MATCH($A652&amp;K$1,JupData!$A$2:$A$10000&amp;JupData!$J$2:$J$10000,0),11))</f>
        <v/>
      </c>
      <c r="L652" t="str">
        <f t="array" ref="L652">IF($A652="","",INDEX(JupData!$A$2:$K$10000,MATCH($A652&amp;L$1,JupData!$A$2:$A$10000&amp;JupData!$J$2:$J$10000,0),11))</f>
        <v/>
      </c>
      <c r="M652" t="str">
        <f t="array" ref="M652">IF($A652="","",INDEX(JupData!$A$2:$K$10000,MATCH($A652&amp;M$1,JupData!$A$2:$A$10000&amp;JupData!$J$2:$J$10000,0),11))</f>
        <v/>
      </c>
      <c r="N652" t="str">
        <f t="array" ref="N652">IF($A652="","",INDEX(JupData!$A$2:$K$10000,MATCH($A652&amp;N$1,JupData!$A$2:$A$10000&amp;JupData!$J$2:$J$10000,0),11))</f>
        <v/>
      </c>
      <c r="O652" t="str">
        <f t="array" ref="O652">IF($A652="","",INDEX(JupData!$A$2:$K$10000,MATCH($A652&amp;O$1,JupData!$A$2:$A$10000&amp;JupData!$J$2:$J$10000,0),11))</f>
        <v/>
      </c>
      <c r="P652" t="str">
        <f t="array" ref="P652">IF($A652="","",INDEX(JupData!$A$2:$K$10000,MATCH($A652&amp;P$1,JupData!$A$2:$A$10000&amp;JupData!$J$2:$J$10000,0),11))</f>
        <v/>
      </c>
      <c r="Q652" t="str">
        <f t="array" ref="Q652">IF($A652="","",INDEX(JupData!$A$2:$K$10000,MATCH($A652&amp;Q$1,JupData!$A$2:$A$10000&amp;JupData!$J$2:$J$10000,0),11))</f>
        <v/>
      </c>
      <c r="R652" t="str">
        <f t="array" ref="R652">IF($A652="","",INDEX(JupData!$A$2:$K$10000,MATCH($A652&amp;R$1,JupData!$A$2:$A$10000&amp;JupData!$J$2:$J$10000,0),11))</f>
        <v/>
      </c>
      <c r="S652" t="str">
        <f t="array" ref="S652">IF($A652="","",INDEX(JupData!$A$2:$K$10000,MATCH($A652&amp;S$1,JupData!$A$2:$A$10000&amp;JupData!$J$2:$J$10000,0),11))</f>
        <v/>
      </c>
      <c r="T652" t="str">
        <f t="array" ref="T652">IF($A652="","",INDEX(JupData!$A$2:$K$10000,MATCH($A652&amp;T$1,JupData!$A$2:$A$10000&amp;JupData!$J$2:$J$10000,0),11))</f>
        <v/>
      </c>
      <c r="U652" t="str">
        <f t="array" ref="U652">IF($A652="","",INDEX(JupData!$A$2:$K$10000,MATCH($A652&amp;U$1,JupData!$A$2:$A$10000&amp;JupData!$J$2:$J$10000,0),11))</f>
        <v/>
      </c>
      <c r="V652" t="str">
        <f t="array" ref="V652">IF($A652="","",INDEX(JupData!$A$2:$K$10000,MATCH($A652&amp;V$1,JupData!$A$2:$A$10000&amp;JupData!$J$2:$J$10000,0),11))</f>
        <v/>
      </c>
      <c r="W652" t="str">
        <f t="array" ref="W652">IF($A652="","",INDEX(JupData!$A$2:$K$10000,MATCH($A652&amp;W$1,JupData!$A$2:$A$10000&amp;JupData!$J$2:$J$10000,0),11))</f>
        <v/>
      </c>
      <c r="X652" t="str">
        <f t="array" ref="X652">IF($A652="","",INDEX(JupData!$A$2:$K$10000,MATCH($A652&amp;X$1,JupData!$A$2:$A$10000&amp;JupData!$J$2:$J$10000,0),11))</f>
        <v/>
      </c>
      <c r="Y652" t="str">
        <f t="array" ref="Y652">IF($A652="","",INDEX(JupData!$A$2:$K$10000,MATCH($A652&amp;Y$1,JupData!$A$2:$A$10000&amp;JupData!$J$2:$J$10000,0),11))</f>
        <v/>
      </c>
      <c r="Z652" t="str">
        <f t="array" ref="Z652">IF($A652="","",INDEX(JupData!$A$2:$K$10000,MATCH($A652&amp;Z$1,JupData!$A$2:$A$10000&amp;JupData!$J$2:$J$10000,0),11))</f>
        <v/>
      </c>
      <c r="AA652" t="str">
        <f t="array" ref="AA652">IF($A652="","",INDEX(JupData!$A$2:$K$10000,MATCH($A652&amp;AA$1,JupData!$A$2:$A$10000&amp;JupData!$J$2:$J$10000,0),11))</f>
        <v/>
      </c>
      <c r="AB652" t="str">
        <f t="array" ref="AB652">IF($A652="","",INDEX(JupData!$A$2:$K$10000,MATCH($A652&amp;AB$1,JupData!$A$2:$A$10000&amp;JupData!$J$2:$J$10000,0),11))</f>
        <v/>
      </c>
      <c r="AC652" s="10" t="str">
        <f t="shared" si="110"/>
        <v/>
      </c>
      <c r="AD652" s="10" t="str">
        <f t="shared" si="111"/>
        <v/>
      </c>
      <c r="AE652" s="9" t="str">
        <f t="shared" si="112"/>
        <v/>
      </c>
      <c r="AF652" s="10" t="str">
        <f t="shared" si="113"/>
        <v/>
      </c>
      <c r="AG652" s="10" t="str">
        <f t="shared" si="114"/>
        <v/>
      </c>
      <c r="AH652" s="10" t="str">
        <f t="shared" si="115"/>
        <v/>
      </c>
      <c r="AI652" s="10" t="str">
        <f t="shared" si="116"/>
        <v/>
      </c>
      <c r="AJ652" s="10" t="str">
        <f t="shared" si="117"/>
        <v/>
      </c>
      <c r="AK652" s="10" t="str">
        <f t="shared" si="118"/>
        <v/>
      </c>
      <c r="AL652" s="14" t="str">
        <f t="shared" si="119"/>
        <v/>
      </c>
    </row>
    <row r="653" spans="1:38" x14ac:dyDescent="0.2">
      <c r="A653"/>
      <c r="B653" t="str">
        <f>IF($A653="","",VLOOKUP($A653,JupData!$A$2:$I$10000,4,FALSE))</f>
        <v/>
      </c>
      <c r="C653" s="7" t="str">
        <f>IF($A653="",IF(N(D653),0,""),VLOOKUP($A653,JupData!$A$2:$I$10000,7,FALSE))</f>
        <v/>
      </c>
      <c r="D653" t="str">
        <f t="shared" si="120"/>
        <v/>
      </c>
      <c r="E653" t="str">
        <f t="array" ref="E653">IF($A653="","",INDEX(JupData!$A$2:$K$10000,MATCH($A653&amp;E$1,JupData!$A$2:$A$10000&amp;JupData!$J$2:$J$10000,0),11))</f>
        <v/>
      </c>
      <c r="F653" t="str">
        <f t="array" ref="F653">IF($A653="","",INDEX(JupData!$A$2:$K$10000,MATCH($A653&amp;F$1,JupData!$A$2:$A$10000&amp;JupData!$J$2:$J$10000,0),11))</f>
        <v/>
      </c>
      <c r="G653" t="str">
        <f t="array" ref="G653">IF($A653="","",INDEX(JupData!$A$2:$K$10000,MATCH($A653&amp;G$1,JupData!$A$2:$A$10000&amp;JupData!$J$2:$J$10000,0),11))</f>
        <v/>
      </c>
      <c r="H653" t="str">
        <f t="array" ref="H653">IF($A653="","",INDEX(JupData!$A$2:$K$10000,MATCH($A653&amp;H$1,JupData!$A$2:$A$10000&amp;JupData!$J$2:$J$10000,0),11))</f>
        <v/>
      </c>
      <c r="I653" t="str">
        <f t="array" ref="I653">IF($A653="","",INDEX(JupData!$A$2:$K$10000,MATCH($A653&amp;I$1,JupData!$A$2:$A$10000&amp;JupData!$J$2:$J$10000,0),11))</f>
        <v/>
      </c>
      <c r="J653" t="str">
        <f t="array" ref="J653">IF($A653="","",INDEX(JupData!$A$2:$K$10000,MATCH($A653&amp;J$1,JupData!$A$2:$A$10000&amp;JupData!$J$2:$J$10000,0),11))</f>
        <v/>
      </c>
      <c r="K653" t="str">
        <f t="array" ref="K653">IF($A653="","",INDEX(JupData!$A$2:$K$10000,MATCH($A653&amp;K$1,JupData!$A$2:$A$10000&amp;JupData!$J$2:$J$10000,0),11))</f>
        <v/>
      </c>
      <c r="L653" t="str">
        <f t="array" ref="L653">IF($A653="","",INDEX(JupData!$A$2:$K$10000,MATCH($A653&amp;L$1,JupData!$A$2:$A$10000&amp;JupData!$J$2:$J$10000,0),11))</f>
        <v/>
      </c>
      <c r="M653" t="str">
        <f t="array" ref="M653">IF($A653="","",INDEX(JupData!$A$2:$K$10000,MATCH($A653&amp;M$1,JupData!$A$2:$A$10000&amp;JupData!$J$2:$J$10000,0),11))</f>
        <v/>
      </c>
      <c r="N653" t="str">
        <f t="array" ref="N653">IF($A653="","",INDEX(JupData!$A$2:$K$10000,MATCH($A653&amp;N$1,JupData!$A$2:$A$10000&amp;JupData!$J$2:$J$10000,0),11))</f>
        <v/>
      </c>
      <c r="O653" t="str">
        <f t="array" ref="O653">IF($A653="","",INDEX(JupData!$A$2:$K$10000,MATCH($A653&amp;O$1,JupData!$A$2:$A$10000&amp;JupData!$J$2:$J$10000,0),11))</f>
        <v/>
      </c>
      <c r="P653" t="str">
        <f t="array" ref="P653">IF($A653="","",INDEX(JupData!$A$2:$K$10000,MATCH($A653&amp;P$1,JupData!$A$2:$A$10000&amp;JupData!$J$2:$J$10000,0),11))</f>
        <v/>
      </c>
      <c r="Q653" t="str">
        <f t="array" ref="Q653">IF($A653="","",INDEX(JupData!$A$2:$K$10000,MATCH($A653&amp;Q$1,JupData!$A$2:$A$10000&amp;JupData!$J$2:$J$10000,0),11))</f>
        <v/>
      </c>
      <c r="R653" t="str">
        <f t="array" ref="R653">IF($A653="","",INDEX(JupData!$A$2:$K$10000,MATCH($A653&amp;R$1,JupData!$A$2:$A$10000&amp;JupData!$J$2:$J$10000,0),11))</f>
        <v/>
      </c>
      <c r="S653" t="str">
        <f t="array" ref="S653">IF($A653="","",INDEX(JupData!$A$2:$K$10000,MATCH($A653&amp;S$1,JupData!$A$2:$A$10000&amp;JupData!$J$2:$J$10000,0),11))</f>
        <v/>
      </c>
      <c r="T653" t="str">
        <f t="array" ref="T653">IF($A653="","",INDEX(JupData!$A$2:$K$10000,MATCH($A653&amp;T$1,JupData!$A$2:$A$10000&amp;JupData!$J$2:$J$10000,0),11))</f>
        <v/>
      </c>
      <c r="U653" t="str">
        <f t="array" ref="U653">IF($A653="","",INDEX(JupData!$A$2:$K$10000,MATCH($A653&amp;U$1,JupData!$A$2:$A$10000&amp;JupData!$J$2:$J$10000,0),11))</f>
        <v/>
      </c>
      <c r="V653" t="str">
        <f t="array" ref="V653">IF($A653="","",INDEX(JupData!$A$2:$K$10000,MATCH($A653&amp;V$1,JupData!$A$2:$A$10000&amp;JupData!$J$2:$J$10000,0),11))</f>
        <v/>
      </c>
      <c r="W653" t="str">
        <f t="array" ref="W653">IF($A653="","",INDEX(JupData!$A$2:$K$10000,MATCH($A653&amp;W$1,JupData!$A$2:$A$10000&amp;JupData!$J$2:$J$10000,0),11))</f>
        <v/>
      </c>
      <c r="X653" t="str">
        <f t="array" ref="X653">IF($A653="","",INDEX(JupData!$A$2:$K$10000,MATCH($A653&amp;X$1,JupData!$A$2:$A$10000&amp;JupData!$J$2:$J$10000,0),11))</f>
        <v/>
      </c>
      <c r="Y653" t="str">
        <f t="array" ref="Y653">IF($A653="","",INDEX(JupData!$A$2:$K$10000,MATCH($A653&amp;Y$1,JupData!$A$2:$A$10000&amp;JupData!$J$2:$J$10000,0),11))</f>
        <v/>
      </c>
      <c r="Z653" t="str">
        <f t="array" ref="Z653">IF($A653="","",INDEX(JupData!$A$2:$K$10000,MATCH($A653&amp;Z$1,JupData!$A$2:$A$10000&amp;JupData!$J$2:$J$10000,0),11))</f>
        <v/>
      </c>
      <c r="AA653" t="str">
        <f t="array" ref="AA653">IF($A653="","",INDEX(JupData!$A$2:$K$10000,MATCH($A653&amp;AA$1,JupData!$A$2:$A$10000&amp;JupData!$J$2:$J$10000,0),11))</f>
        <v/>
      </c>
      <c r="AB653" t="str">
        <f t="array" ref="AB653">IF($A653="","",INDEX(JupData!$A$2:$K$10000,MATCH($A653&amp;AB$1,JupData!$A$2:$A$10000&amp;JupData!$J$2:$J$10000,0),11))</f>
        <v/>
      </c>
      <c r="AC653" s="10" t="str">
        <f t="shared" si="110"/>
        <v/>
      </c>
      <c r="AD653" s="10" t="str">
        <f t="shared" si="111"/>
        <v/>
      </c>
      <c r="AE653" s="9" t="str">
        <f t="shared" si="112"/>
        <v/>
      </c>
      <c r="AF653" s="10" t="str">
        <f t="shared" si="113"/>
        <v/>
      </c>
      <c r="AG653" s="10" t="str">
        <f t="shared" si="114"/>
        <v/>
      </c>
      <c r="AH653" s="10" t="str">
        <f t="shared" si="115"/>
        <v/>
      </c>
      <c r="AI653" s="10" t="str">
        <f t="shared" si="116"/>
        <v/>
      </c>
      <c r="AJ653" s="10" t="str">
        <f t="shared" si="117"/>
        <v/>
      </c>
      <c r="AK653" s="10" t="str">
        <f t="shared" si="118"/>
        <v/>
      </c>
      <c r="AL653" s="14" t="str">
        <f t="shared" si="119"/>
        <v/>
      </c>
    </row>
    <row r="654" spans="1:38" x14ac:dyDescent="0.2">
      <c r="A654"/>
      <c r="B654" t="str">
        <f>IF($A654="","",VLOOKUP($A654,JupData!$A$2:$I$10000,4,FALSE))</f>
        <v/>
      </c>
      <c r="C654" s="7" t="str">
        <f>IF($A654="",IF(N(D654),0,""),VLOOKUP($A654,JupData!$A$2:$I$10000,7,FALSE))</f>
        <v/>
      </c>
      <c r="D654" t="str">
        <f t="shared" si="120"/>
        <v/>
      </c>
      <c r="E654" t="str">
        <f t="array" ref="E654">IF($A654="","",INDEX(JupData!$A$2:$K$10000,MATCH($A654&amp;E$1,JupData!$A$2:$A$10000&amp;JupData!$J$2:$J$10000,0),11))</f>
        <v/>
      </c>
      <c r="F654" t="str">
        <f t="array" ref="F654">IF($A654="","",INDEX(JupData!$A$2:$K$10000,MATCH($A654&amp;F$1,JupData!$A$2:$A$10000&amp;JupData!$J$2:$J$10000,0),11))</f>
        <v/>
      </c>
      <c r="G654" t="str">
        <f t="array" ref="G654">IF($A654="","",INDEX(JupData!$A$2:$K$10000,MATCH($A654&amp;G$1,JupData!$A$2:$A$10000&amp;JupData!$J$2:$J$10000,0),11))</f>
        <v/>
      </c>
      <c r="H654" t="str">
        <f t="array" ref="H654">IF($A654="","",INDEX(JupData!$A$2:$K$10000,MATCH($A654&amp;H$1,JupData!$A$2:$A$10000&amp;JupData!$J$2:$J$10000,0),11))</f>
        <v/>
      </c>
      <c r="I654" t="str">
        <f t="array" ref="I654">IF($A654="","",INDEX(JupData!$A$2:$K$10000,MATCH($A654&amp;I$1,JupData!$A$2:$A$10000&amp;JupData!$J$2:$J$10000,0),11))</f>
        <v/>
      </c>
      <c r="J654" t="str">
        <f t="array" ref="J654">IF($A654="","",INDEX(JupData!$A$2:$K$10000,MATCH($A654&amp;J$1,JupData!$A$2:$A$10000&amp;JupData!$J$2:$J$10000,0),11))</f>
        <v/>
      </c>
      <c r="K654" t="str">
        <f t="array" ref="K654">IF($A654="","",INDEX(JupData!$A$2:$K$10000,MATCH($A654&amp;K$1,JupData!$A$2:$A$10000&amp;JupData!$J$2:$J$10000,0),11))</f>
        <v/>
      </c>
      <c r="L654" t="str">
        <f t="array" ref="L654">IF($A654="","",INDEX(JupData!$A$2:$K$10000,MATCH($A654&amp;L$1,JupData!$A$2:$A$10000&amp;JupData!$J$2:$J$10000,0),11))</f>
        <v/>
      </c>
      <c r="M654" t="str">
        <f t="array" ref="M654">IF($A654="","",INDEX(JupData!$A$2:$K$10000,MATCH($A654&amp;M$1,JupData!$A$2:$A$10000&amp;JupData!$J$2:$J$10000,0),11))</f>
        <v/>
      </c>
      <c r="N654" t="str">
        <f t="array" ref="N654">IF($A654="","",INDEX(JupData!$A$2:$K$10000,MATCH($A654&amp;N$1,JupData!$A$2:$A$10000&amp;JupData!$J$2:$J$10000,0),11))</f>
        <v/>
      </c>
      <c r="O654" t="str">
        <f t="array" ref="O654">IF($A654="","",INDEX(JupData!$A$2:$K$10000,MATCH($A654&amp;O$1,JupData!$A$2:$A$10000&amp;JupData!$J$2:$J$10000,0),11))</f>
        <v/>
      </c>
      <c r="P654" t="str">
        <f t="array" ref="P654">IF($A654="","",INDEX(JupData!$A$2:$K$10000,MATCH($A654&amp;P$1,JupData!$A$2:$A$10000&amp;JupData!$J$2:$J$10000,0),11))</f>
        <v/>
      </c>
      <c r="Q654" t="str">
        <f t="array" ref="Q654">IF($A654="","",INDEX(JupData!$A$2:$K$10000,MATCH($A654&amp;Q$1,JupData!$A$2:$A$10000&amp;JupData!$J$2:$J$10000,0),11))</f>
        <v/>
      </c>
      <c r="R654" t="str">
        <f t="array" ref="R654">IF($A654="","",INDEX(JupData!$A$2:$K$10000,MATCH($A654&amp;R$1,JupData!$A$2:$A$10000&amp;JupData!$J$2:$J$10000,0),11))</f>
        <v/>
      </c>
      <c r="S654" t="str">
        <f t="array" ref="S654">IF($A654="","",INDEX(JupData!$A$2:$K$10000,MATCH($A654&amp;S$1,JupData!$A$2:$A$10000&amp;JupData!$J$2:$J$10000,0),11))</f>
        <v/>
      </c>
      <c r="T654" t="str">
        <f t="array" ref="T654">IF($A654="","",INDEX(JupData!$A$2:$K$10000,MATCH($A654&amp;T$1,JupData!$A$2:$A$10000&amp;JupData!$J$2:$J$10000,0),11))</f>
        <v/>
      </c>
      <c r="U654" t="str">
        <f t="array" ref="U654">IF($A654="","",INDEX(JupData!$A$2:$K$10000,MATCH($A654&amp;U$1,JupData!$A$2:$A$10000&amp;JupData!$J$2:$J$10000,0),11))</f>
        <v/>
      </c>
      <c r="V654" t="str">
        <f t="array" ref="V654">IF($A654="","",INDEX(JupData!$A$2:$K$10000,MATCH($A654&amp;V$1,JupData!$A$2:$A$10000&amp;JupData!$J$2:$J$10000,0),11))</f>
        <v/>
      </c>
      <c r="W654" t="str">
        <f t="array" ref="W654">IF($A654="","",INDEX(JupData!$A$2:$K$10000,MATCH($A654&amp;W$1,JupData!$A$2:$A$10000&amp;JupData!$J$2:$J$10000,0),11))</f>
        <v/>
      </c>
      <c r="X654" t="str">
        <f t="array" ref="X654">IF($A654="","",INDEX(JupData!$A$2:$K$10000,MATCH($A654&amp;X$1,JupData!$A$2:$A$10000&amp;JupData!$J$2:$J$10000,0),11))</f>
        <v/>
      </c>
      <c r="Y654" t="str">
        <f t="array" ref="Y654">IF($A654="","",INDEX(JupData!$A$2:$K$10000,MATCH($A654&amp;Y$1,JupData!$A$2:$A$10000&amp;JupData!$J$2:$J$10000,0),11))</f>
        <v/>
      </c>
      <c r="Z654" t="str">
        <f t="array" ref="Z654">IF($A654="","",INDEX(JupData!$A$2:$K$10000,MATCH($A654&amp;Z$1,JupData!$A$2:$A$10000&amp;JupData!$J$2:$J$10000,0),11))</f>
        <v/>
      </c>
      <c r="AA654" t="str">
        <f t="array" ref="AA654">IF($A654="","",INDEX(JupData!$A$2:$K$10000,MATCH($A654&amp;AA$1,JupData!$A$2:$A$10000&amp;JupData!$J$2:$J$10000,0),11))</f>
        <v/>
      </c>
      <c r="AB654" t="str">
        <f t="array" ref="AB654">IF($A654="","",INDEX(JupData!$A$2:$K$10000,MATCH($A654&amp;AB$1,JupData!$A$2:$A$10000&amp;JupData!$J$2:$J$10000,0),11))</f>
        <v/>
      </c>
      <c r="AC654" s="10" t="str">
        <f t="shared" si="110"/>
        <v/>
      </c>
      <c r="AD654" s="10" t="str">
        <f t="shared" si="111"/>
        <v/>
      </c>
      <c r="AE654" s="9" t="str">
        <f t="shared" si="112"/>
        <v/>
      </c>
      <c r="AF654" s="10" t="str">
        <f t="shared" si="113"/>
        <v/>
      </c>
      <c r="AG654" s="10" t="str">
        <f t="shared" si="114"/>
        <v/>
      </c>
      <c r="AH654" s="10" t="str">
        <f t="shared" si="115"/>
        <v/>
      </c>
      <c r="AI654" s="10" t="str">
        <f t="shared" si="116"/>
        <v/>
      </c>
      <c r="AJ654" s="10" t="str">
        <f t="shared" si="117"/>
        <v/>
      </c>
      <c r="AK654" s="10" t="str">
        <f t="shared" si="118"/>
        <v/>
      </c>
      <c r="AL654" s="14" t="str">
        <f t="shared" si="119"/>
        <v/>
      </c>
    </row>
    <row r="655" spans="1:38" x14ac:dyDescent="0.2">
      <c r="A655"/>
      <c r="B655" t="str">
        <f>IF($A655="","",VLOOKUP($A655,JupData!$A$2:$I$10000,4,FALSE))</f>
        <v/>
      </c>
      <c r="C655" s="7" t="str">
        <f>IF($A655="",IF(N(D655),0,""),VLOOKUP($A655,JupData!$A$2:$I$10000,7,FALSE))</f>
        <v/>
      </c>
      <c r="D655" t="str">
        <f t="shared" si="120"/>
        <v/>
      </c>
      <c r="E655" t="str">
        <f t="array" ref="E655">IF($A655="","",INDEX(JupData!$A$2:$K$10000,MATCH($A655&amp;E$1,JupData!$A$2:$A$10000&amp;JupData!$J$2:$J$10000,0),11))</f>
        <v/>
      </c>
      <c r="F655" t="str">
        <f t="array" ref="F655">IF($A655="","",INDEX(JupData!$A$2:$K$10000,MATCH($A655&amp;F$1,JupData!$A$2:$A$10000&amp;JupData!$J$2:$J$10000,0),11))</f>
        <v/>
      </c>
      <c r="G655" t="str">
        <f t="array" ref="G655">IF($A655="","",INDEX(JupData!$A$2:$K$10000,MATCH($A655&amp;G$1,JupData!$A$2:$A$10000&amp;JupData!$J$2:$J$10000,0),11))</f>
        <v/>
      </c>
      <c r="H655" t="str">
        <f t="array" ref="H655">IF($A655="","",INDEX(JupData!$A$2:$K$10000,MATCH($A655&amp;H$1,JupData!$A$2:$A$10000&amp;JupData!$J$2:$J$10000,0),11))</f>
        <v/>
      </c>
      <c r="I655" t="str">
        <f t="array" ref="I655">IF($A655="","",INDEX(JupData!$A$2:$K$10000,MATCH($A655&amp;I$1,JupData!$A$2:$A$10000&amp;JupData!$J$2:$J$10000,0),11))</f>
        <v/>
      </c>
      <c r="J655" t="str">
        <f t="array" ref="J655">IF($A655="","",INDEX(JupData!$A$2:$K$10000,MATCH($A655&amp;J$1,JupData!$A$2:$A$10000&amp;JupData!$J$2:$J$10000,0),11))</f>
        <v/>
      </c>
      <c r="K655" t="str">
        <f t="array" ref="K655">IF($A655="","",INDEX(JupData!$A$2:$K$10000,MATCH($A655&amp;K$1,JupData!$A$2:$A$10000&amp;JupData!$J$2:$J$10000,0),11))</f>
        <v/>
      </c>
      <c r="L655" t="str">
        <f t="array" ref="L655">IF($A655="","",INDEX(JupData!$A$2:$K$10000,MATCH($A655&amp;L$1,JupData!$A$2:$A$10000&amp;JupData!$J$2:$J$10000,0),11))</f>
        <v/>
      </c>
      <c r="M655" t="str">
        <f t="array" ref="M655">IF($A655="","",INDEX(JupData!$A$2:$K$10000,MATCH($A655&amp;M$1,JupData!$A$2:$A$10000&amp;JupData!$J$2:$J$10000,0),11))</f>
        <v/>
      </c>
      <c r="N655" t="str">
        <f t="array" ref="N655">IF($A655="","",INDEX(JupData!$A$2:$K$10000,MATCH($A655&amp;N$1,JupData!$A$2:$A$10000&amp;JupData!$J$2:$J$10000,0),11))</f>
        <v/>
      </c>
      <c r="O655" t="str">
        <f t="array" ref="O655">IF($A655="","",INDEX(JupData!$A$2:$K$10000,MATCH($A655&amp;O$1,JupData!$A$2:$A$10000&amp;JupData!$J$2:$J$10000,0),11))</f>
        <v/>
      </c>
      <c r="P655" t="str">
        <f t="array" ref="P655">IF($A655="","",INDEX(JupData!$A$2:$K$10000,MATCH($A655&amp;P$1,JupData!$A$2:$A$10000&amp;JupData!$J$2:$J$10000,0),11))</f>
        <v/>
      </c>
      <c r="Q655" t="str">
        <f t="array" ref="Q655">IF($A655="","",INDEX(JupData!$A$2:$K$10000,MATCH($A655&amp;Q$1,JupData!$A$2:$A$10000&amp;JupData!$J$2:$J$10000,0),11))</f>
        <v/>
      </c>
      <c r="R655" t="str">
        <f t="array" ref="R655">IF($A655="","",INDEX(JupData!$A$2:$K$10000,MATCH($A655&amp;R$1,JupData!$A$2:$A$10000&amp;JupData!$J$2:$J$10000,0),11))</f>
        <v/>
      </c>
      <c r="S655" t="str">
        <f t="array" ref="S655">IF($A655="","",INDEX(JupData!$A$2:$K$10000,MATCH($A655&amp;S$1,JupData!$A$2:$A$10000&amp;JupData!$J$2:$J$10000,0),11))</f>
        <v/>
      </c>
      <c r="T655" t="str">
        <f t="array" ref="T655">IF($A655="","",INDEX(JupData!$A$2:$K$10000,MATCH($A655&amp;T$1,JupData!$A$2:$A$10000&amp;JupData!$J$2:$J$10000,0),11))</f>
        <v/>
      </c>
      <c r="U655" t="str">
        <f t="array" ref="U655">IF($A655="","",INDEX(JupData!$A$2:$K$10000,MATCH($A655&amp;U$1,JupData!$A$2:$A$10000&amp;JupData!$J$2:$J$10000,0),11))</f>
        <v/>
      </c>
      <c r="V655" t="str">
        <f t="array" ref="V655">IF($A655="","",INDEX(JupData!$A$2:$K$10000,MATCH($A655&amp;V$1,JupData!$A$2:$A$10000&amp;JupData!$J$2:$J$10000,0),11))</f>
        <v/>
      </c>
      <c r="W655" t="str">
        <f t="array" ref="W655">IF($A655="","",INDEX(JupData!$A$2:$K$10000,MATCH($A655&amp;W$1,JupData!$A$2:$A$10000&amp;JupData!$J$2:$J$10000,0),11))</f>
        <v/>
      </c>
      <c r="X655" t="str">
        <f t="array" ref="X655">IF($A655="","",INDEX(JupData!$A$2:$K$10000,MATCH($A655&amp;X$1,JupData!$A$2:$A$10000&amp;JupData!$J$2:$J$10000,0),11))</f>
        <v/>
      </c>
      <c r="Y655" t="str">
        <f t="array" ref="Y655">IF($A655="","",INDEX(JupData!$A$2:$K$10000,MATCH($A655&amp;Y$1,JupData!$A$2:$A$10000&amp;JupData!$J$2:$J$10000,0),11))</f>
        <v/>
      </c>
      <c r="Z655" t="str">
        <f t="array" ref="Z655">IF($A655="","",INDEX(JupData!$A$2:$K$10000,MATCH($A655&amp;Z$1,JupData!$A$2:$A$10000&amp;JupData!$J$2:$J$10000,0),11))</f>
        <v/>
      </c>
      <c r="AA655" t="str">
        <f t="array" ref="AA655">IF($A655="","",INDEX(JupData!$A$2:$K$10000,MATCH($A655&amp;AA$1,JupData!$A$2:$A$10000&amp;JupData!$J$2:$J$10000,0),11))</f>
        <v/>
      </c>
      <c r="AB655" t="str">
        <f t="array" ref="AB655">IF($A655="","",INDEX(JupData!$A$2:$K$10000,MATCH($A655&amp;AB$1,JupData!$A$2:$A$10000&amp;JupData!$J$2:$J$10000,0),11))</f>
        <v/>
      </c>
      <c r="AC655" s="10" t="str">
        <f t="shared" si="110"/>
        <v/>
      </c>
      <c r="AD655" s="10" t="str">
        <f t="shared" si="111"/>
        <v/>
      </c>
      <c r="AE655" s="9" t="str">
        <f t="shared" si="112"/>
        <v/>
      </c>
      <c r="AF655" s="10" t="str">
        <f t="shared" si="113"/>
        <v/>
      </c>
      <c r="AG655" s="10" t="str">
        <f t="shared" si="114"/>
        <v/>
      </c>
      <c r="AH655" s="10" t="str">
        <f t="shared" si="115"/>
        <v/>
      </c>
      <c r="AI655" s="10" t="str">
        <f t="shared" si="116"/>
        <v/>
      </c>
      <c r="AJ655" s="10" t="str">
        <f t="shared" si="117"/>
        <v/>
      </c>
      <c r="AK655" s="10" t="str">
        <f t="shared" si="118"/>
        <v/>
      </c>
      <c r="AL655" s="14" t="str">
        <f t="shared" si="119"/>
        <v/>
      </c>
    </row>
    <row r="656" spans="1:38" x14ac:dyDescent="0.2">
      <c r="A656"/>
      <c r="B656" t="str">
        <f>IF($A656="","",VLOOKUP($A656,JupData!$A$2:$I$10000,4,FALSE))</f>
        <v/>
      </c>
      <c r="C656" s="7" t="str">
        <f>IF($A656="",IF(N(D656),0,""),VLOOKUP($A656,JupData!$A$2:$I$10000,7,FALSE))</f>
        <v/>
      </c>
      <c r="D656" t="str">
        <f t="shared" si="120"/>
        <v/>
      </c>
      <c r="E656" t="str">
        <f t="array" ref="E656">IF($A656="","",INDEX(JupData!$A$2:$K$10000,MATCH($A656&amp;E$1,JupData!$A$2:$A$10000&amp;JupData!$J$2:$J$10000,0),11))</f>
        <v/>
      </c>
      <c r="F656" t="str">
        <f t="array" ref="F656">IF($A656="","",INDEX(JupData!$A$2:$K$10000,MATCH($A656&amp;F$1,JupData!$A$2:$A$10000&amp;JupData!$J$2:$J$10000,0),11))</f>
        <v/>
      </c>
      <c r="G656" t="str">
        <f t="array" ref="G656">IF($A656="","",INDEX(JupData!$A$2:$K$10000,MATCH($A656&amp;G$1,JupData!$A$2:$A$10000&amp;JupData!$J$2:$J$10000,0),11))</f>
        <v/>
      </c>
      <c r="H656" t="str">
        <f t="array" ref="H656">IF($A656="","",INDEX(JupData!$A$2:$K$10000,MATCH($A656&amp;H$1,JupData!$A$2:$A$10000&amp;JupData!$J$2:$J$10000,0),11))</f>
        <v/>
      </c>
      <c r="I656" t="str">
        <f t="array" ref="I656">IF($A656="","",INDEX(JupData!$A$2:$K$10000,MATCH($A656&amp;I$1,JupData!$A$2:$A$10000&amp;JupData!$J$2:$J$10000,0),11))</f>
        <v/>
      </c>
      <c r="J656" t="str">
        <f t="array" ref="J656">IF($A656="","",INDEX(JupData!$A$2:$K$10000,MATCH($A656&amp;J$1,JupData!$A$2:$A$10000&amp;JupData!$J$2:$J$10000,0),11))</f>
        <v/>
      </c>
      <c r="K656" t="str">
        <f t="array" ref="K656">IF($A656="","",INDEX(JupData!$A$2:$K$10000,MATCH($A656&amp;K$1,JupData!$A$2:$A$10000&amp;JupData!$J$2:$J$10000,0),11))</f>
        <v/>
      </c>
      <c r="L656" t="str">
        <f t="array" ref="L656">IF($A656="","",INDEX(JupData!$A$2:$K$10000,MATCH($A656&amp;L$1,JupData!$A$2:$A$10000&amp;JupData!$J$2:$J$10000,0),11))</f>
        <v/>
      </c>
      <c r="M656" t="str">
        <f t="array" ref="M656">IF($A656="","",INDEX(JupData!$A$2:$K$10000,MATCH($A656&amp;M$1,JupData!$A$2:$A$10000&amp;JupData!$J$2:$J$10000,0),11))</f>
        <v/>
      </c>
      <c r="N656" t="str">
        <f t="array" ref="N656">IF($A656="","",INDEX(JupData!$A$2:$K$10000,MATCH($A656&amp;N$1,JupData!$A$2:$A$10000&amp;JupData!$J$2:$J$10000,0),11))</f>
        <v/>
      </c>
      <c r="O656" t="str">
        <f t="array" ref="O656">IF($A656="","",INDEX(JupData!$A$2:$K$10000,MATCH($A656&amp;O$1,JupData!$A$2:$A$10000&amp;JupData!$J$2:$J$10000,0),11))</f>
        <v/>
      </c>
      <c r="P656" t="str">
        <f t="array" ref="P656">IF($A656="","",INDEX(JupData!$A$2:$K$10000,MATCH($A656&amp;P$1,JupData!$A$2:$A$10000&amp;JupData!$J$2:$J$10000,0),11))</f>
        <v/>
      </c>
      <c r="Q656" t="str">
        <f t="array" ref="Q656">IF($A656="","",INDEX(JupData!$A$2:$K$10000,MATCH($A656&amp;Q$1,JupData!$A$2:$A$10000&amp;JupData!$J$2:$J$10000,0),11))</f>
        <v/>
      </c>
      <c r="R656" t="str">
        <f t="array" ref="R656">IF($A656="","",INDEX(JupData!$A$2:$K$10000,MATCH($A656&amp;R$1,JupData!$A$2:$A$10000&amp;JupData!$J$2:$J$10000,0),11))</f>
        <v/>
      </c>
      <c r="S656" t="str">
        <f t="array" ref="S656">IF($A656="","",INDEX(JupData!$A$2:$K$10000,MATCH($A656&amp;S$1,JupData!$A$2:$A$10000&amp;JupData!$J$2:$J$10000,0),11))</f>
        <v/>
      </c>
      <c r="T656" t="str">
        <f t="array" ref="T656">IF($A656="","",INDEX(JupData!$A$2:$K$10000,MATCH($A656&amp;T$1,JupData!$A$2:$A$10000&amp;JupData!$J$2:$J$10000,0),11))</f>
        <v/>
      </c>
      <c r="U656" t="str">
        <f t="array" ref="U656">IF($A656="","",INDEX(JupData!$A$2:$K$10000,MATCH($A656&amp;U$1,JupData!$A$2:$A$10000&amp;JupData!$J$2:$J$10000,0),11))</f>
        <v/>
      </c>
      <c r="V656" t="str">
        <f t="array" ref="V656">IF($A656="","",INDEX(JupData!$A$2:$K$10000,MATCH($A656&amp;V$1,JupData!$A$2:$A$10000&amp;JupData!$J$2:$J$10000,0),11))</f>
        <v/>
      </c>
      <c r="W656" t="str">
        <f t="array" ref="W656">IF($A656="","",INDEX(JupData!$A$2:$K$10000,MATCH($A656&amp;W$1,JupData!$A$2:$A$10000&amp;JupData!$J$2:$J$10000,0),11))</f>
        <v/>
      </c>
      <c r="X656" t="str">
        <f t="array" ref="X656">IF($A656="","",INDEX(JupData!$A$2:$K$10000,MATCH($A656&amp;X$1,JupData!$A$2:$A$10000&amp;JupData!$J$2:$J$10000,0),11))</f>
        <v/>
      </c>
      <c r="Y656" t="str">
        <f t="array" ref="Y656">IF($A656="","",INDEX(JupData!$A$2:$K$10000,MATCH($A656&amp;Y$1,JupData!$A$2:$A$10000&amp;JupData!$J$2:$J$10000,0),11))</f>
        <v/>
      </c>
      <c r="Z656" t="str">
        <f t="array" ref="Z656">IF($A656="","",INDEX(JupData!$A$2:$K$10000,MATCH($A656&amp;Z$1,JupData!$A$2:$A$10000&amp;JupData!$J$2:$J$10000,0),11))</f>
        <v/>
      </c>
      <c r="AA656" t="str">
        <f t="array" ref="AA656">IF($A656="","",INDEX(JupData!$A$2:$K$10000,MATCH($A656&amp;AA$1,JupData!$A$2:$A$10000&amp;JupData!$J$2:$J$10000,0),11))</f>
        <v/>
      </c>
      <c r="AB656" t="str">
        <f t="array" ref="AB656">IF($A656="","",INDEX(JupData!$A$2:$K$10000,MATCH($A656&amp;AB$1,JupData!$A$2:$A$10000&amp;JupData!$J$2:$J$10000,0),11))</f>
        <v/>
      </c>
      <c r="AC656" s="10" t="str">
        <f t="shared" si="110"/>
        <v/>
      </c>
      <c r="AD656" s="10" t="str">
        <f t="shared" si="111"/>
        <v/>
      </c>
      <c r="AE656" s="9" t="str">
        <f t="shared" si="112"/>
        <v/>
      </c>
      <c r="AF656" s="10" t="str">
        <f t="shared" si="113"/>
        <v/>
      </c>
      <c r="AG656" s="10" t="str">
        <f t="shared" si="114"/>
        <v/>
      </c>
      <c r="AH656" s="10" t="str">
        <f t="shared" si="115"/>
        <v/>
      </c>
      <c r="AI656" s="10" t="str">
        <f t="shared" si="116"/>
        <v/>
      </c>
      <c r="AJ656" s="10" t="str">
        <f t="shared" si="117"/>
        <v/>
      </c>
      <c r="AK656" s="10" t="str">
        <f t="shared" si="118"/>
        <v/>
      </c>
      <c r="AL656" s="14" t="str">
        <f t="shared" si="119"/>
        <v/>
      </c>
    </row>
    <row r="657" spans="1:38" x14ac:dyDescent="0.2">
      <c r="A657"/>
      <c r="B657" t="str">
        <f>IF($A657="","",VLOOKUP($A657,JupData!$A$2:$I$10000,4,FALSE))</f>
        <v/>
      </c>
      <c r="C657" s="7" t="str">
        <f>IF($A657="",IF(N(D657),0,""),VLOOKUP($A657,JupData!$A$2:$I$10000,7,FALSE))</f>
        <v/>
      </c>
      <c r="D657" t="str">
        <f t="shared" si="120"/>
        <v/>
      </c>
      <c r="E657" t="str">
        <f t="array" ref="E657">IF($A657="","",INDEX(JupData!$A$2:$K$10000,MATCH($A657&amp;E$1,JupData!$A$2:$A$10000&amp;JupData!$J$2:$J$10000,0),11))</f>
        <v/>
      </c>
      <c r="F657" t="str">
        <f t="array" ref="F657">IF($A657="","",INDEX(JupData!$A$2:$K$10000,MATCH($A657&amp;F$1,JupData!$A$2:$A$10000&amp;JupData!$J$2:$J$10000,0),11))</f>
        <v/>
      </c>
      <c r="G657" t="str">
        <f t="array" ref="G657">IF($A657="","",INDEX(JupData!$A$2:$K$10000,MATCH($A657&amp;G$1,JupData!$A$2:$A$10000&amp;JupData!$J$2:$J$10000,0),11))</f>
        <v/>
      </c>
      <c r="H657" t="str">
        <f t="array" ref="H657">IF($A657="","",INDEX(JupData!$A$2:$K$10000,MATCH($A657&amp;H$1,JupData!$A$2:$A$10000&amp;JupData!$J$2:$J$10000,0),11))</f>
        <v/>
      </c>
      <c r="I657" t="str">
        <f t="array" ref="I657">IF($A657="","",INDEX(JupData!$A$2:$K$10000,MATCH($A657&amp;I$1,JupData!$A$2:$A$10000&amp;JupData!$J$2:$J$10000,0),11))</f>
        <v/>
      </c>
      <c r="J657" t="str">
        <f t="array" ref="J657">IF($A657="","",INDEX(JupData!$A$2:$K$10000,MATCH($A657&amp;J$1,JupData!$A$2:$A$10000&amp;JupData!$J$2:$J$10000,0),11))</f>
        <v/>
      </c>
      <c r="K657" t="str">
        <f t="array" ref="K657">IF($A657="","",INDEX(JupData!$A$2:$K$10000,MATCH($A657&amp;K$1,JupData!$A$2:$A$10000&amp;JupData!$J$2:$J$10000,0),11))</f>
        <v/>
      </c>
      <c r="L657" t="str">
        <f t="array" ref="L657">IF($A657="","",INDEX(JupData!$A$2:$K$10000,MATCH($A657&amp;L$1,JupData!$A$2:$A$10000&amp;JupData!$J$2:$J$10000,0),11))</f>
        <v/>
      </c>
      <c r="M657" t="str">
        <f t="array" ref="M657">IF($A657="","",INDEX(JupData!$A$2:$K$10000,MATCH($A657&amp;M$1,JupData!$A$2:$A$10000&amp;JupData!$J$2:$J$10000,0),11))</f>
        <v/>
      </c>
      <c r="N657" t="str">
        <f t="array" ref="N657">IF($A657="","",INDEX(JupData!$A$2:$K$10000,MATCH($A657&amp;N$1,JupData!$A$2:$A$10000&amp;JupData!$J$2:$J$10000,0),11))</f>
        <v/>
      </c>
      <c r="O657" t="str">
        <f t="array" ref="O657">IF($A657="","",INDEX(JupData!$A$2:$K$10000,MATCH($A657&amp;O$1,JupData!$A$2:$A$10000&amp;JupData!$J$2:$J$10000,0),11))</f>
        <v/>
      </c>
      <c r="P657" t="str">
        <f t="array" ref="P657">IF($A657="","",INDEX(JupData!$A$2:$K$10000,MATCH($A657&amp;P$1,JupData!$A$2:$A$10000&amp;JupData!$J$2:$J$10000,0),11))</f>
        <v/>
      </c>
      <c r="Q657" t="str">
        <f t="array" ref="Q657">IF($A657="","",INDEX(JupData!$A$2:$K$10000,MATCH($A657&amp;Q$1,JupData!$A$2:$A$10000&amp;JupData!$J$2:$J$10000,0),11))</f>
        <v/>
      </c>
      <c r="R657" t="str">
        <f t="array" ref="R657">IF($A657="","",INDEX(JupData!$A$2:$K$10000,MATCH($A657&amp;R$1,JupData!$A$2:$A$10000&amp;JupData!$J$2:$J$10000,0),11))</f>
        <v/>
      </c>
      <c r="S657" t="str">
        <f t="array" ref="S657">IF($A657="","",INDEX(JupData!$A$2:$K$10000,MATCH($A657&amp;S$1,JupData!$A$2:$A$10000&amp;JupData!$J$2:$J$10000,0),11))</f>
        <v/>
      </c>
      <c r="T657" t="str">
        <f t="array" ref="T657">IF($A657="","",INDEX(JupData!$A$2:$K$10000,MATCH($A657&amp;T$1,JupData!$A$2:$A$10000&amp;JupData!$J$2:$J$10000,0),11))</f>
        <v/>
      </c>
      <c r="U657" t="str">
        <f t="array" ref="U657">IF($A657="","",INDEX(JupData!$A$2:$K$10000,MATCH($A657&amp;U$1,JupData!$A$2:$A$10000&amp;JupData!$J$2:$J$10000,0),11))</f>
        <v/>
      </c>
      <c r="V657" t="str">
        <f t="array" ref="V657">IF($A657="","",INDEX(JupData!$A$2:$K$10000,MATCH($A657&amp;V$1,JupData!$A$2:$A$10000&amp;JupData!$J$2:$J$10000,0),11))</f>
        <v/>
      </c>
      <c r="W657" t="str">
        <f t="array" ref="W657">IF($A657="","",INDEX(JupData!$A$2:$K$10000,MATCH($A657&amp;W$1,JupData!$A$2:$A$10000&amp;JupData!$J$2:$J$10000,0),11))</f>
        <v/>
      </c>
      <c r="X657" t="str">
        <f t="array" ref="X657">IF($A657="","",INDEX(JupData!$A$2:$K$10000,MATCH($A657&amp;X$1,JupData!$A$2:$A$10000&amp;JupData!$J$2:$J$10000,0),11))</f>
        <v/>
      </c>
      <c r="Y657" t="str">
        <f t="array" ref="Y657">IF($A657="","",INDEX(JupData!$A$2:$K$10000,MATCH($A657&amp;Y$1,JupData!$A$2:$A$10000&amp;JupData!$J$2:$J$10000,0),11))</f>
        <v/>
      </c>
      <c r="Z657" t="str">
        <f t="array" ref="Z657">IF($A657="","",INDEX(JupData!$A$2:$K$10000,MATCH($A657&amp;Z$1,JupData!$A$2:$A$10000&amp;JupData!$J$2:$J$10000,0),11))</f>
        <v/>
      </c>
      <c r="AA657" t="str">
        <f t="array" ref="AA657">IF($A657="","",INDEX(JupData!$A$2:$K$10000,MATCH($A657&amp;AA$1,JupData!$A$2:$A$10000&amp;JupData!$J$2:$J$10000,0),11))</f>
        <v/>
      </c>
      <c r="AB657" t="str">
        <f t="array" ref="AB657">IF($A657="","",INDEX(JupData!$A$2:$K$10000,MATCH($A657&amp;AB$1,JupData!$A$2:$A$10000&amp;JupData!$J$2:$J$10000,0),11))</f>
        <v/>
      </c>
      <c r="AC657" s="10" t="str">
        <f t="shared" si="110"/>
        <v/>
      </c>
      <c r="AD657" s="10" t="str">
        <f t="shared" si="111"/>
        <v/>
      </c>
      <c r="AE657" s="9" t="str">
        <f t="shared" si="112"/>
        <v/>
      </c>
      <c r="AF657" s="10" t="str">
        <f t="shared" si="113"/>
        <v/>
      </c>
      <c r="AG657" s="10" t="str">
        <f t="shared" si="114"/>
        <v/>
      </c>
      <c r="AH657" s="10" t="str">
        <f t="shared" si="115"/>
        <v/>
      </c>
      <c r="AI657" s="10" t="str">
        <f t="shared" si="116"/>
        <v/>
      </c>
      <c r="AJ657" s="10" t="str">
        <f t="shared" si="117"/>
        <v/>
      </c>
      <c r="AK657" s="10" t="str">
        <f t="shared" si="118"/>
        <v/>
      </c>
      <c r="AL657" s="14" t="str">
        <f t="shared" si="119"/>
        <v/>
      </c>
    </row>
    <row r="658" spans="1:38" x14ac:dyDescent="0.2">
      <c r="A658"/>
      <c r="B658" t="str">
        <f>IF($A658="","",VLOOKUP($A658,JupData!$A$2:$I$10000,4,FALSE))</f>
        <v/>
      </c>
      <c r="C658" s="7" t="str">
        <f>IF($A658="",IF(N(D658),0,""),VLOOKUP($A658,JupData!$A$2:$I$10000,7,FALSE))</f>
        <v/>
      </c>
      <c r="D658" t="str">
        <f t="shared" si="120"/>
        <v/>
      </c>
      <c r="E658" t="str">
        <f t="array" ref="E658">IF($A658="","",INDEX(JupData!$A$2:$K$10000,MATCH($A658&amp;E$1,JupData!$A$2:$A$10000&amp;JupData!$J$2:$J$10000,0),11))</f>
        <v/>
      </c>
      <c r="F658" t="str">
        <f t="array" ref="F658">IF($A658="","",INDEX(JupData!$A$2:$K$10000,MATCH($A658&amp;F$1,JupData!$A$2:$A$10000&amp;JupData!$J$2:$J$10000,0),11))</f>
        <v/>
      </c>
      <c r="G658" t="str">
        <f t="array" ref="G658">IF($A658="","",INDEX(JupData!$A$2:$K$10000,MATCH($A658&amp;G$1,JupData!$A$2:$A$10000&amp;JupData!$J$2:$J$10000,0),11))</f>
        <v/>
      </c>
      <c r="H658" t="str">
        <f t="array" ref="H658">IF($A658="","",INDEX(JupData!$A$2:$K$10000,MATCH($A658&amp;H$1,JupData!$A$2:$A$10000&amp;JupData!$J$2:$J$10000,0),11))</f>
        <v/>
      </c>
      <c r="I658" t="str">
        <f t="array" ref="I658">IF($A658="","",INDEX(JupData!$A$2:$K$10000,MATCH($A658&amp;I$1,JupData!$A$2:$A$10000&amp;JupData!$J$2:$J$10000,0),11))</f>
        <v/>
      </c>
      <c r="J658" t="str">
        <f t="array" ref="J658">IF($A658="","",INDEX(JupData!$A$2:$K$10000,MATCH($A658&amp;J$1,JupData!$A$2:$A$10000&amp;JupData!$J$2:$J$10000,0),11))</f>
        <v/>
      </c>
      <c r="K658" t="str">
        <f t="array" ref="K658">IF($A658="","",INDEX(JupData!$A$2:$K$10000,MATCH($A658&amp;K$1,JupData!$A$2:$A$10000&amp;JupData!$J$2:$J$10000,0),11))</f>
        <v/>
      </c>
      <c r="L658" t="str">
        <f t="array" ref="L658">IF($A658="","",INDEX(JupData!$A$2:$K$10000,MATCH($A658&amp;L$1,JupData!$A$2:$A$10000&amp;JupData!$J$2:$J$10000,0),11))</f>
        <v/>
      </c>
      <c r="M658" t="str">
        <f t="array" ref="M658">IF($A658="","",INDEX(JupData!$A$2:$K$10000,MATCH($A658&amp;M$1,JupData!$A$2:$A$10000&amp;JupData!$J$2:$J$10000,0),11))</f>
        <v/>
      </c>
      <c r="N658" t="str">
        <f t="array" ref="N658">IF($A658="","",INDEX(JupData!$A$2:$K$10000,MATCH($A658&amp;N$1,JupData!$A$2:$A$10000&amp;JupData!$J$2:$J$10000,0),11))</f>
        <v/>
      </c>
      <c r="O658" t="str">
        <f t="array" ref="O658">IF($A658="","",INDEX(JupData!$A$2:$K$10000,MATCH($A658&amp;O$1,JupData!$A$2:$A$10000&amp;JupData!$J$2:$J$10000,0),11))</f>
        <v/>
      </c>
      <c r="P658" t="str">
        <f t="array" ref="P658">IF($A658="","",INDEX(JupData!$A$2:$K$10000,MATCH($A658&amp;P$1,JupData!$A$2:$A$10000&amp;JupData!$J$2:$J$10000,0),11))</f>
        <v/>
      </c>
      <c r="Q658" t="str">
        <f t="array" ref="Q658">IF($A658="","",INDEX(JupData!$A$2:$K$10000,MATCH($A658&amp;Q$1,JupData!$A$2:$A$10000&amp;JupData!$J$2:$J$10000,0),11))</f>
        <v/>
      </c>
      <c r="R658" t="str">
        <f t="array" ref="R658">IF($A658="","",INDEX(JupData!$A$2:$K$10000,MATCH($A658&amp;R$1,JupData!$A$2:$A$10000&amp;JupData!$J$2:$J$10000,0),11))</f>
        <v/>
      </c>
      <c r="S658" t="str">
        <f t="array" ref="S658">IF($A658="","",INDEX(JupData!$A$2:$K$10000,MATCH($A658&amp;S$1,JupData!$A$2:$A$10000&amp;JupData!$J$2:$J$10000,0),11))</f>
        <v/>
      </c>
      <c r="T658" t="str">
        <f t="array" ref="T658">IF($A658="","",INDEX(JupData!$A$2:$K$10000,MATCH($A658&amp;T$1,JupData!$A$2:$A$10000&amp;JupData!$J$2:$J$10000,0),11))</f>
        <v/>
      </c>
      <c r="U658" t="str">
        <f t="array" ref="U658">IF($A658="","",INDEX(JupData!$A$2:$K$10000,MATCH($A658&amp;U$1,JupData!$A$2:$A$10000&amp;JupData!$J$2:$J$10000,0),11))</f>
        <v/>
      </c>
      <c r="V658" t="str">
        <f t="array" ref="V658">IF($A658="","",INDEX(JupData!$A$2:$K$10000,MATCH($A658&amp;V$1,JupData!$A$2:$A$10000&amp;JupData!$J$2:$J$10000,0),11))</f>
        <v/>
      </c>
      <c r="W658" t="str">
        <f t="array" ref="W658">IF($A658="","",INDEX(JupData!$A$2:$K$10000,MATCH($A658&amp;W$1,JupData!$A$2:$A$10000&amp;JupData!$J$2:$J$10000,0),11))</f>
        <v/>
      </c>
      <c r="X658" t="str">
        <f t="array" ref="X658">IF($A658="","",INDEX(JupData!$A$2:$K$10000,MATCH($A658&amp;X$1,JupData!$A$2:$A$10000&amp;JupData!$J$2:$J$10000,0),11))</f>
        <v/>
      </c>
      <c r="Y658" t="str">
        <f t="array" ref="Y658">IF($A658="","",INDEX(JupData!$A$2:$K$10000,MATCH($A658&amp;Y$1,JupData!$A$2:$A$10000&amp;JupData!$J$2:$J$10000,0),11))</f>
        <v/>
      </c>
      <c r="Z658" t="str">
        <f t="array" ref="Z658">IF($A658="","",INDEX(JupData!$A$2:$K$10000,MATCH($A658&amp;Z$1,JupData!$A$2:$A$10000&amp;JupData!$J$2:$J$10000,0),11))</f>
        <v/>
      </c>
      <c r="AA658" t="str">
        <f t="array" ref="AA658">IF($A658="","",INDEX(JupData!$A$2:$K$10000,MATCH($A658&amp;AA$1,JupData!$A$2:$A$10000&amp;JupData!$J$2:$J$10000,0),11))</f>
        <v/>
      </c>
      <c r="AB658" t="str">
        <f t="array" ref="AB658">IF($A658="","",INDEX(JupData!$A$2:$K$10000,MATCH($A658&amp;AB$1,JupData!$A$2:$A$10000&amp;JupData!$J$2:$J$10000,0),11))</f>
        <v/>
      </c>
      <c r="AC658" s="10" t="str">
        <f t="shared" si="110"/>
        <v/>
      </c>
      <c r="AD658" s="10" t="str">
        <f t="shared" si="111"/>
        <v/>
      </c>
      <c r="AE658" s="9" t="str">
        <f t="shared" si="112"/>
        <v/>
      </c>
      <c r="AF658" s="10" t="str">
        <f t="shared" si="113"/>
        <v/>
      </c>
      <c r="AG658" s="10" t="str">
        <f t="shared" si="114"/>
        <v/>
      </c>
      <c r="AH658" s="10" t="str">
        <f t="shared" si="115"/>
        <v/>
      </c>
      <c r="AI658" s="10" t="str">
        <f t="shared" si="116"/>
        <v/>
      </c>
      <c r="AJ658" s="10" t="str">
        <f t="shared" si="117"/>
        <v/>
      </c>
      <c r="AK658" s="10" t="str">
        <f t="shared" si="118"/>
        <v/>
      </c>
      <c r="AL658" s="14" t="str">
        <f t="shared" si="119"/>
        <v/>
      </c>
    </row>
    <row r="659" spans="1:38" x14ac:dyDescent="0.2">
      <c r="A659"/>
      <c r="B659" t="str">
        <f>IF($A659="","",VLOOKUP($A659,JupData!$A$2:$I$10000,4,FALSE))</f>
        <v/>
      </c>
      <c r="C659" s="7" t="str">
        <f>IF($A659="",IF(N(D659),0,""),VLOOKUP($A659,JupData!$A$2:$I$10000,7,FALSE))</f>
        <v/>
      </c>
      <c r="D659" t="str">
        <f t="shared" si="120"/>
        <v/>
      </c>
      <c r="E659" t="str">
        <f t="array" ref="E659">IF($A659="","",INDEX(JupData!$A$2:$K$10000,MATCH($A659&amp;E$1,JupData!$A$2:$A$10000&amp;JupData!$J$2:$J$10000,0),11))</f>
        <v/>
      </c>
      <c r="F659" t="str">
        <f t="array" ref="F659">IF($A659="","",INDEX(JupData!$A$2:$K$10000,MATCH($A659&amp;F$1,JupData!$A$2:$A$10000&amp;JupData!$J$2:$J$10000,0),11))</f>
        <v/>
      </c>
      <c r="G659" t="str">
        <f t="array" ref="G659">IF($A659="","",INDEX(JupData!$A$2:$K$10000,MATCH($A659&amp;G$1,JupData!$A$2:$A$10000&amp;JupData!$J$2:$J$10000,0),11))</f>
        <v/>
      </c>
      <c r="H659" t="str">
        <f t="array" ref="H659">IF($A659="","",INDEX(JupData!$A$2:$K$10000,MATCH($A659&amp;H$1,JupData!$A$2:$A$10000&amp;JupData!$J$2:$J$10000,0),11))</f>
        <v/>
      </c>
      <c r="I659" t="str">
        <f t="array" ref="I659">IF($A659="","",INDEX(JupData!$A$2:$K$10000,MATCH($A659&amp;I$1,JupData!$A$2:$A$10000&amp;JupData!$J$2:$J$10000,0),11))</f>
        <v/>
      </c>
      <c r="J659" t="str">
        <f t="array" ref="J659">IF($A659="","",INDEX(JupData!$A$2:$K$10000,MATCH($A659&amp;J$1,JupData!$A$2:$A$10000&amp;JupData!$J$2:$J$10000,0),11))</f>
        <v/>
      </c>
      <c r="K659" t="str">
        <f t="array" ref="K659">IF($A659="","",INDEX(JupData!$A$2:$K$10000,MATCH($A659&amp;K$1,JupData!$A$2:$A$10000&amp;JupData!$J$2:$J$10000,0),11))</f>
        <v/>
      </c>
      <c r="L659" t="str">
        <f t="array" ref="L659">IF($A659="","",INDEX(JupData!$A$2:$K$10000,MATCH($A659&amp;L$1,JupData!$A$2:$A$10000&amp;JupData!$J$2:$J$10000,0),11))</f>
        <v/>
      </c>
      <c r="M659" t="str">
        <f t="array" ref="M659">IF($A659="","",INDEX(JupData!$A$2:$K$10000,MATCH($A659&amp;M$1,JupData!$A$2:$A$10000&amp;JupData!$J$2:$J$10000,0),11))</f>
        <v/>
      </c>
      <c r="N659" t="str">
        <f t="array" ref="N659">IF($A659="","",INDEX(JupData!$A$2:$K$10000,MATCH($A659&amp;N$1,JupData!$A$2:$A$10000&amp;JupData!$J$2:$J$10000,0),11))</f>
        <v/>
      </c>
      <c r="O659" t="str">
        <f t="array" ref="O659">IF($A659="","",INDEX(JupData!$A$2:$K$10000,MATCH($A659&amp;O$1,JupData!$A$2:$A$10000&amp;JupData!$J$2:$J$10000,0),11))</f>
        <v/>
      </c>
      <c r="P659" t="str">
        <f t="array" ref="P659">IF($A659="","",INDEX(JupData!$A$2:$K$10000,MATCH($A659&amp;P$1,JupData!$A$2:$A$10000&amp;JupData!$J$2:$J$10000,0),11))</f>
        <v/>
      </c>
      <c r="Q659" t="str">
        <f t="array" ref="Q659">IF($A659="","",INDEX(JupData!$A$2:$K$10000,MATCH($A659&amp;Q$1,JupData!$A$2:$A$10000&amp;JupData!$J$2:$J$10000,0),11))</f>
        <v/>
      </c>
      <c r="R659" t="str">
        <f t="array" ref="R659">IF($A659="","",INDEX(JupData!$A$2:$K$10000,MATCH($A659&amp;R$1,JupData!$A$2:$A$10000&amp;JupData!$J$2:$J$10000,0),11))</f>
        <v/>
      </c>
      <c r="S659" t="str">
        <f t="array" ref="S659">IF($A659="","",INDEX(JupData!$A$2:$K$10000,MATCH($A659&amp;S$1,JupData!$A$2:$A$10000&amp;JupData!$J$2:$J$10000,0),11))</f>
        <v/>
      </c>
      <c r="T659" t="str">
        <f t="array" ref="T659">IF($A659="","",INDEX(JupData!$A$2:$K$10000,MATCH($A659&amp;T$1,JupData!$A$2:$A$10000&amp;JupData!$J$2:$J$10000,0),11))</f>
        <v/>
      </c>
      <c r="U659" t="str">
        <f t="array" ref="U659">IF($A659="","",INDEX(JupData!$A$2:$K$10000,MATCH($A659&amp;U$1,JupData!$A$2:$A$10000&amp;JupData!$J$2:$J$10000,0),11))</f>
        <v/>
      </c>
      <c r="V659" t="str">
        <f t="array" ref="V659">IF($A659="","",INDEX(JupData!$A$2:$K$10000,MATCH($A659&amp;V$1,JupData!$A$2:$A$10000&amp;JupData!$J$2:$J$10000,0),11))</f>
        <v/>
      </c>
      <c r="W659" t="str">
        <f t="array" ref="W659">IF($A659="","",INDEX(JupData!$A$2:$K$10000,MATCH($A659&amp;W$1,JupData!$A$2:$A$10000&amp;JupData!$J$2:$J$10000,0),11))</f>
        <v/>
      </c>
      <c r="X659" t="str">
        <f t="array" ref="X659">IF($A659="","",INDEX(JupData!$A$2:$K$10000,MATCH($A659&amp;X$1,JupData!$A$2:$A$10000&amp;JupData!$J$2:$J$10000,0),11))</f>
        <v/>
      </c>
      <c r="Y659" t="str">
        <f t="array" ref="Y659">IF($A659="","",INDEX(JupData!$A$2:$K$10000,MATCH($A659&amp;Y$1,JupData!$A$2:$A$10000&amp;JupData!$J$2:$J$10000,0),11))</f>
        <v/>
      </c>
      <c r="Z659" t="str">
        <f t="array" ref="Z659">IF($A659="","",INDEX(JupData!$A$2:$K$10000,MATCH($A659&amp;Z$1,JupData!$A$2:$A$10000&amp;JupData!$J$2:$J$10000,0),11))</f>
        <v/>
      </c>
      <c r="AA659" t="str">
        <f t="array" ref="AA659">IF($A659="","",INDEX(JupData!$A$2:$K$10000,MATCH($A659&amp;AA$1,JupData!$A$2:$A$10000&amp;JupData!$J$2:$J$10000,0),11))</f>
        <v/>
      </c>
      <c r="AB659" t="str">
        <f t="array" ref="AB659">IF($A659="","",INDEX(JupData!$A$2:$K$10000,MATCH($A659&amp;AB$1,JupData!$A$2:$A$10000&amp;JupData!$J$2:$J$10000,0),11))</f>
        <v/>
      </c>
      <c r="AC659" s="10" t="str">
        <f t="shared" si="110"/>
        <v/>
      </c>
      <c r="AD659" s="10" t="str">
        <f t="shared" si="111"/>
        <v/>
      </c>
      <c r="AE659" s="9" t="str">
        <f t="shared" si="112"/>
        <v/>
      </c>
      <c r="AF659" s="10" t="str">
        <f t="shared" si="113"/>
        <v/>
      </c>
      <c r="AG659" s="10" t="str">
        <f t="shared" si="114"/>
        <v/>
      </c>
      <c r="AH659" s="10" t="str">
        <f t="shared" si="115"/>
        <v/>
      </c>
      <c r="AI659" s="10" t="str">
        <f t="shared" si="116"/>
        <v/>
      </c>
      <c r="AJ659" s="10" t="str">
        <f t="shared" si="117"/>
        <v/>
      </c>
      <c r="AK659" s="10" t="str">
        <f t="shared" si="118"/>
        <v/>
      </c>
      <c r="AL659" s="14" t="str">
        <f t="shared" si="119"/>
        <v/>
      </c>
    </row>
    <row r="660" spans="1:38" x14ac:dyDescent="0.2">
      <c r="A660"/>
      <c r="B660" t="str">
        <f>IF($A660="","",VLOOKUP($A660,JupData!$A$2:$I$10000,4,FALSE))</f>
        <v/>
      </c>
      <c r="C660" s="7" t="str">
        <f>IF($A660="",IF(N(D660),0,""),VLOOKUP($A660,JupData!$A$2:$I$10000,7,FALSE))</f>
        <v/>
      </c>
      <c r="D660" t="str">
        <f t="shared" si="120"/>
        <v/>
      </c>
      <c r="E660" t="str">
        <f t="array" ref="E660">IF($A660="","",INDEX(JupData!$A$2:$K$10000,MATCH($A660&amp;E$1,JupData!$A$2:$A$10000&amp;JupData!$J$2:$J$10000,0),11))</f>
        <v/>
      </c>
      <c r="F660" t="str">
        <f t="array" ref="F660">IF($A660="","",INDEX(JupData!$A$2:$K$10000,MATCH($A660&amp;F$1,JupData!$A$2:$A$10000&amp;JupData!$J$2:$J$10000,0),11))</f>
        <v/>
      </c>
      <c r="G660" t="str">
        <f t="array" ref="G660">IF($A660="","",INDEX(JupData!$A$2:$K$10000,MATCH($A660&amp;G$1,JupData!$A$2:$A$10000&amp;JupData!$J$2:$J$10000,0),11))</f>
        <v/>
      </c>
      <c r="H660" t="str">
        <f t="array" ref="H660">IF($A660="","",INDEX(JupData!$A$2:$K$10000,MATCH($A660&amp;H$1,JupData!$A$2:$A$10000&amp;JupData!$J$2:$J$10000,0),11))</f>
        <v/>
      </c>
      <c r="I660" t="str">
        <f t="array" ref="I660">IF($A660="","",INDEX(JupData!$A$2:$K$10000,MATCH($A660&amp;I$1,JupData!$A$2:$A$10000&amp;JupData!$J$2:$J$10000,0),11))</f>
        <v/>
      </c>
      <c r="J660" t="str">
        <f t="array" ref="J660">IF($A660="","",INDEX(JupData!$A$2:$K$10000,MATCH($A660&amp;J$1,JupData!$A$2:$A$10000&amp;JupData!$J$2:$J$10000,0),11))</f>
        <v/>
      </c>
      <c r="K660" t="str">
        <f t="array" ref="K660">IF($A660="","",INDEX(JupData!$A$2:$K$10000,MATCH($A660&amp;K$1,JupData!$A$2:$A$10000&amp;JupData!$J$2:$J$10000,0),11))</f>
        <v/>
      </c>
      <c r="L660" t="str">
        <f t="array" ref="L660">IF($A660="","",INDEX(JupData!$A$2:$K$10000,MATCH($A660&amp;L$1,JupData!$A$2:$A$10000&amp;JupData!$J$2:$J$10000,0),11))</f>
        <v/>
      </c>
      <c r="M660" t="str">
        <f t="array" ref="M660">IF($A660="","",INDEX(JupData!$A$2:$K$10000,MATCH($A660&amp;M$1,JupData!$A$2:$A$10000&amp;JupData!$J$2:$J$10000,0),11))</f>
        <v/>
      </c>
      <c r="N660" t="str">
        <f t="array" ref="N660">IF($A660="","",INDEX(JupData!$A$2:$K$10000,MATCH($A660&amp;N$1,JupData!$A$2:$A$10000&amp;JupData!$J$2:$J$10000,0),11))</f>
        <v/>
      </c>
      <c r="O660" t="str">
        <f t="array" ref="O660">IF($A660="","",INDEX(JupData!$A$2:$K$10000,MATCH($A660&amp;O$1,JupData!$A$2:$A$10000&amp;JupData!$J$2:$J$10000,0),11))</f>
        <v/>
      </c>
      <c r="P660" t="str">
        <f t="array" ref="P660">IF($A660="","",INDEX(JupData!$A$2:$K$10000,MATCH($A660&amp;P$1,JupData!$A$2:$A$10000&amp;JupData!$J$2:$J$10000,0),11))</f>
        <v/>
      </c>
      <c r="Q660" t="str">
        <f t="array" ref="Q660">IF($A660="","",INDEX(JupData!$A$2:$K$10000,MATCH($A660&amp;Q$1,JupData!$A$2:$A$10000&amp;JupData!$J$2:$J$10000,0),11))</f>
        <v/>
      </c>
      <c r="R660" t="str">
        <f t="array" ref="R660">IF($A660="","",INDEX(JupData!$A$2:$K$10000,MATCH($A660&amp;R$1,JupData!$A$2:$A$10000&amp;JupData!$J$2:$J$10000,0),11))</f>
        <v/>
      </c>
      <c r="S660" t="str">
        <f t="array" ref="S660">IF($A660="","",INDEX(JupData!$A$2:$K$10000,MATCH($A660&amp;S$1,JupData!$A$2:$A$10000&amp;JupData!$J$2:$J$10000,0),11))</f>
        <v/>
      </c>
      <c r="T660" t="str">
        <f t="array" ref="T660">IF($A660="","",INDEX(JupData!$A$2:$K$10000,MATCH($A660&amp;T$1,JupData!$A$2:$A$10000&amp;JupData!$J$2:$J$10000,0),11))</f>
        <v/>
      </c>
      <c r="U660" t="str">
        <f t="array" ref="U660">IF($A660="","",INDEX(JupData!$A$2:$K$10000,MATCH($A660&amp;U$1,JupData!$A$2:$A$10000&amp;JupData!$J$2:$J$10000,0),11))</f>
        <v/>
      </c>
      <c r="V660" t="str">
        <f t="array" ref="V660">IF($A660="","",INDEX(JupData!$A$2:$K$10000,MATCH($A660&amp;V$1,JupData!$A$2:$A$10000&amp;JupData!$J$2:$J$10000,0),11))</f>
        <v/>
      </c>
      <c r="W660" t="str">
        <f t="array" ref="W660">IF($A660="","",INDEX(JupData!$A$2:$K$10000,MATCH($A660&amp;W$1,JupData!$A$2:$A$10000&amp;JupData!$J$2:$J$10000,0),11))</f>
        <v/>
      </c>
      <c r="X660" t="str">
        <f t="array" ref="X660">IF($A660="","",INDEX(JupData!$A$2:$K$10000,MATCH($A660&amp;X$1,JupData!$A$2:$A$10000&amp;JupData!$J$2:$J$10000,0),11))</f>
        <v/>
      </c>
      <c r="Y660" t="str">
        <f t="array" ref="Y660">IF($A660="","",INDEX(JupData!$A$2:$K$10000,MATCH($A660&amp;Y$1,JupData!$A$2:$A$10000&amp;JupData!$J$2:$J$10000,0),11))</f>
        <v/>
      </c>
      <c r="Z660" t="str">
        <f t="array" ref="Z660">IF($A660="","",INDEX(JupData!$A$2:$K$10000,MATCH($A660&amp;Z$1,JupData!$A$2:$A$10000&amp;JupData!$J$2:$J$10000,0),11))</f>
        <v/>
      </c>
      <c r="AA660" t="str">
        <f t="array" ref="AA660">IF($A660="","",INDEX(JupData!$A$2:$K$10000,MATCH($A660&amp;AA$1,JupData!$A$2:$A$10000&amp;JupData!$J$2:$J$10000,0),11))</f>
        <v/>
      </c>
      <c r="AB660" t="str">
        <f t="array" ref="AB660">IF($A660="","",INDEX(JupData!$A$2:$K$10000,MATCH($A660&amp;AB$1,JupData!$A$2:$A$10000&amp;JupData!$J$2:$J$10000,0),11))</f>
        <v/>
      </c>
      <c r="AC660" s="10" t="str">
        <f t="shared" si="110"/>
        <v/>
      </c>
      <c r="AD660" s="10" t="str">
        <f t="shared" si="111"/>
        <v/>
      </c>
      <c r="AE660" s="9" t="str">
        <f t="shared" si="112"/>
        <v/>
      </c>
      <c r="AF660" s="10" t="str">
        <f t="shared" si="113"/>
        <v/>
      </c>
      <c r="AG660" s="10" t="str">
        <f t="shared" si="114"/>
        <v/>
      </c>
      <c r="AH660" s="10" t="str">
        <f t="shared" si="115"/>
        <v/>
      </c>
      <c r="AI660" s="10" t="str">
        <f t="shared" si="116"/>
        <v/>
      </c>
      <c r="AJ660" s="10" t="str">
        <f t="shared" si="117"/>
        <v/>
      </c>
      <c r="AK660" s="10" t="str">
        <f t="shared" si="118"/>
        <v/>
      </c>
      <c r="AL660" s="14" t="str">
        <f t="shared" si="119"/>
        <v/>
      </c>
    </row>
    <row r="661" spans="1:38" x14ac:dyDescent="0.2">
      <c r="A661"/>
      <c r="B661" t="str">
        <f>IF($A661="","",VLOOKUP($A661,JupData!$A$2:$I$10000,4,FALSE))</f>
        <v/>
      </c>
      <c r="C661" s="7" t="str">
        <f>IF($A661="",IF(N(D661),0,""),VLOOKUP($A661,JupData!$A$2:$I$10000,7,FALSE))</f>
        <v/>
      </c>
      <c r="D661" t="str">
        <f t="shared" si="120"/>
        <v/>
      </c>
      <c r="E661" t="str">
        <f t="array" ref="E661">IF($A661="","",INDEX(JupData!$A$2:$K$10000,MATCH($A661&amp;E$1,JupData!$A$2:$A$10000&amp;JupData!$J$2:$J$10000,0),11))</f>
        <v/>
      </c>
      <c r="F661" t="str">
        <f t="array" ref="F661">IF($A661="","",INDEX(JupData!$A$2:$K$10000,MATCH($A661&amp;F$1,JupData!$A$2:$A$10000&amp;JupData!$J$2:$J$10000,0),11))</f>
        <v/>
      </c>
      <c r="G661" t="str">
        <f t="array" ref="G661">IF($A661="","",INDEX(JupData!$A$2:$K$10000,MATCH($A661&amp;G$1,JupData!$A$2:$A$10000&amp;JupData!$J$2:$J$10000,0),11))</f>
        <v/>
      </c>
      <c r="H661" t="str">
        <f t="array" ref="H661">IF($A661="","",INDEX(JupData!$A$2:$K$10000,MATCH($A661&amp;H$1,JupData!$A$2:$A$10000&amp;JupData!$J$2:$J$10000,0),11))</f>
        <v/>
      </c>
      <c r="I661" t="str">
        <f t="array" ref="I661">IF($A661="","",INDEX(JupData!$A$2:$K$10000,MATCH($A661&amp;I$1,JupData!$A$2:$A$10000&amp;JupData!$J$2:$J$10000,0),11))</f>
        <v/>
      </c>
      <c r="J661" t="str">
        <f t="array" ref="J661">IF($A661="","",INDEX(JupData!$A$2:$K$10000,MATCH($A661&amp;J$1,JupData!$A$2:$A$10000&amp;JupData!$J$2:$J$10000,0),11))</f>
        <v/>
      </c>
      <c r="K661" t="str">
        <f t="array" ref="K661">IF($A661="","",INDEX(JupData!$A$2:$K$10000,MATCH($A661&amp;K$1,JupData!$A$2:$A$10000&amp;JupData!$J$2:$J$10000,0),11))</f>
        <v/>
      </c>
      <c r="L661" t="str">
        <f t="array" ref="L661">IF($A661="","",INDEX(JupData!$A$2:$K$10000,MATCH($A661&amp;L$1,JupData!$A$2:$A$10000&amp;JupData!$J$2:$J$10000,0),11))</f>
        <v/>
      </c>
      <c r="M661" t="str">
        <f t="array" ref="M661">IF($A661="","",INDEX(JupData!$A$2:$K$10000,MATCH($A661&amp;M$1,JupData!$A$2:$A$10000&amp;JupData!$J$2:$J$10000,0),11))</f>
        <v/>
      </c>
      <c r="N661" t="str">
        <f t="array" ref="N661">IF($A661="","",INDEX(JupData!$A$2:$K$10000,MATCH($A661&amp;N$1,JupData!$A$2:$A$10000&amp;JupData!$J$2:$J$10000,0),11))</f>
        <v/>
      </c>
      <c r="O661" t="str">
        <f t="array" ref="O661">IF($A661="","",INDEX(JupData!$A$2:$K$10000,MATCH($A661&amp;O$1,JupData!$A$2:$A$10000&amp;JupData!$J$2:$J$10000,0),11))</f>
        <v/>
      </c>
      <c r="P661" t="str">
        <f t="array" ref="P661">IF($A661="","",INDEX(JupData!$A$2:$K$10000,MATCH($A661&amp;P$1,JupData!$A$2:$A$10000&amp;JupData!$J$2:$J$10000,0),11))</f>
        <v/>
      </c>
      <c r="Q661" t="str">
        <f t="array" ref="Q661">IF($A661="","",INDEX(JupData!$A$2:$K$10000,MATCH($A661&amp;Q$1,JupData!$A$2:$A$10000&amp;JupData!$J$2:$J$10000,0),11))</f>
        <v/>
      </c>
      <c r="R661" t="str">
        <f t="array" ref="R661">IF($A661="","",INDEX(JupData!$A$2:$K$10000,MATCH($A661&amp;R$1,JupData!$A$2:$A$10000&amp;JupData!$J$2:$J$10000,0),11))</f>
        <v/>
      </c>
      <c r="S661" t="str">
        <f t="array" ref="S661">IF($A661="","",INDEX(JupData!$A$2:$K$10000,MATCH($A661&amp;S$1,JupData!$A$2:$A$10000&amp;JupData!$J$2:$J$10000,0),11))</f>
        <v/>
      </c>
      <c r="T661" t="str">
        <f t="array" ref="T661">IF($A661="","",INDEX(JupData!$A$2:$K$10000,MATCH($A661&amp;T$1,JupData!$A$2:$A$10000&amp;JupData!$J$2:$J$10000,0),11))</f>
        <v/>
      </c>
      <c r="U661" t="str">
        <f t="array" ref="U661">IF($A661="","",INDEX(JupData!$A$2:$K$10000,MATCH($A661&amp;U$1,JupData!$A$2:$A$10000&amp;JupData!$J$2:$J$10000,0),11))</f>
        <v/>
      </c>
      <c r="V661" t="str">
        <f t="array" ref="V661">IF($A661="","",INDEX(JupData!$A$2:$K$10000,MATCH($A661&amp;V$1,JupData!$A$2:$A$10000&amp;JupData!$J$2:$J$10000,0),11))</f>
        <v/>
      </c>
      <c r="W661" t="str">
        <f t="array" ref="W661">IF($A661="","",INDEX(JupData!$A$2:$K$10000,MATCH($A661&amp;W$1,JupData!$A$2:$A$10000&amp;JupData!$J$2:$J$10000,0),11))</f>
        <v/>
      </c>
      <c r="X661" t="str">
        <f t="array" ref="X661">IF($A661="","",INDEX(JupData!$A$2:$K$10000,MATCH($A661&amp;X$1,JupData!$A$2:$A$10000&amp;JupData!$J$2:$J$10000,0),11))</f>
        <v/>
      </c>
      <c r="Y661" t="str">
        <f t="array" ref="Y661">IF($A661="","",INDEX(JupData!$A$2:$K$10000,MATCH($A661&amp;Y$1,JupData!$A$2:$A$10000&amp;JupData!$J$2:$J$10000,0),11))</f>
        <v/>
      </c>
      <c r="Z661" t="str">
        <f t="array" ref="Z661">IF($A661="","",INDEX(JupData!$A$2:$K$10000,MATCH($A661&amp;Z$1,JupData!$A$2:$A$10000&amp;JupData!$J$2:$J$10000,0),11))</f>
        <v/>
      </c>
      <c r="AA661" t="str">
        <f t="array" ref="AA661">IF($A661="","",INDEX(JupData!$A$2:$K$10000,MATCH($A661&amp;AA$1,JupData!$A$2:$A$10000&amp;JupData!$J$2:$J$10000,0),11))</f>
        <v/>
      </c>
      <c r="AB661" t="str">
        <f t="array" ref="AB661">IF($A661="","",INDEX(JupData!$A$2:$K$10000,MATCH($A661&amp;AB$1,JupData!$A$2:$A$10000&amp;JupData!$J$2:$J$10000,0),11))</f>
        <v/>
      </c>
      <c r="AC661" s="10" t="str">
        <f t="shared" si="110"/>
        <v/>
      </c>
      <c r="AD661" s="10" t="str">
        <f t="shared" si="111"/>
        <v/>
      </c>
      <c r="AE661" s="9" t="str">
        <f t="shared" si="112"/>
        <v/>
      </c>
      <c r="AF661" s="10" t="str">
        <f t="shared" si="113"/>
        <v/>
      </c>
      <c r="AG661" s="10" t="str">
        <f t="shared" si="114"/>
        <v/>
      </c>
      <c r="AH661" s="10" t="str">
        <f t="shared" si="115"/>
        <v/>
      </c>
      <c r="AI661" s="10" t="str">
        <f t="shared" si="116"/>
        <v/>
      </c>
      <c r="AJ661" s="10" t="str">
        <f t="shared" si="117"/>
        <v/>
      </c>
      <c r="AK661" s="10" t="str">
        <f t="shared" si="118"/>
        <v/>
      </c>
      <c r="AL661" s="14" t="str">
        <f t="shared" si="119"/>
        <v/>
      </c>
    </row>
    <row r="662" spans="1:38" x14ac:dyDescent="0.2">
      <c r="A662"/>
      <c r="B662" t="str">
        <f>IF($A662="","",VLOOKUP($A662,JupData!$A$2:$I$10000,4,FALSE))</f>
        <v/>
      </c>
      <c r="C662" s="7" t="str">
        <f>IF($A662="",IF(N(D662),0,""),VLOOKUP($A662,JupData!$A$2:$I$10000,7,FALSE))</f>
        <v/>
      </c>
      <c r="D662" t="str">
        <f t="shared" si="120"/>
        <v/>
      </c>
      <c r="E662" t="str">
        <f t="array" ref="E662">IF($A662="","",INDEX(JupData!$A$2:$K$10000,MATCH($A662&amp;E$1,JupData!$A$2:$A$10000&amp;JupData!$J$2:$J$10000,0),11))</f>
        <v/>
      </c>
      <c r="F662" t="str">
        <f t="array" ref="F662">IF($A662="","",INDEX(JupData!$A$2:$K$10000,MATCH($A662&amp;F$1,JupData!$A$2:$A$10000&amp;JupData!$J$2:$J$10000,0),11))</f>
        <v/>
      </c>
      <c r="G662" t="str">
        <f t="array" ref="G662">IF($A662="","",INDEX(JupData!$A$2:$K$10000,MATCH($A662&amp;G$1,JupData!$A$2:$A$10000&amp;JupData!$J$2:$J$10000,0),11))</f>
        <v/>
      </c>
      <c r="H662" t="str">
        <f t="array" ref="H662">IF($A662="","",INDEX(JupData!$A$2:$K$10000,MATCH($A662&amp;H$1,JupData!$A$2:$A$10000&amp;JupData!$J$2:$J$10000,0),11))</f>
        <v/>
      </c>
      <c r="I662" t="str">
        <f t="array" ref="I662">IF($A662="","",INDEX(JupData!$A$2:$K$10000,MATCH($A662&amp;I$1,JupData!$A$2:$A$10000&amp;JupData!$J$2:$J$10000,0),11))</f>
        <v/>
      </c>
      <c r="J662" t="str">
        <f t="array" ref="J662">IF($A662="","",INDEX(JupData!$A$2:$K$10000,MATCH($A662&amp;J$1,JupData!$A$2:$A$10000&amp;JupData!$J$2:$J$10000,0),11))</f>
        <v/>
      </c>
      <c r="K662" t="str">
        <f t="array" ref="K662">IF($A662="","",INDEX(JupData!$A$2:$K$10000,MATCH($A662&amp;K$1,JupData!$A$2:$A$10000&amp;JupData!$J$2:$J$10000,0),11))</f>
        <v/>
      </c>
      <c r="L662" t="str">
        <f t="array" ref="L662">IF($A662="","",INDEX(JupData!$A$2:$K$10000,MATCH($A662&amp;L$1,JupData!$A$2:$A$10000&amp;JupData!$J$2:$J$10000,0),11))</f>
        <v/>
      </c>
      <c r="M662" t="str">
        <f t="array" ref="M662">IF($A662="","",INDEX(JupData!$A$2:$K$10000,MATCH($A662&amp;M$1,JupData!$A$2:$A$10000&amp;JupData!$J$2:$J$10000,0),11))</f>
        <v/>
      </c>
      <c r="N662" t="str">
        <f t="array" ref="N662">IF($A662="","",INDEX(JupData!$A$2:$K$10000,MATCH($A662&amp;N$1,JupData!$A$2:$A$10000&amp;JupData!$J$2:$J$10000,0),11))</f>
        <v/>
      </c>
      <c r="O662" t="str">
        <f t="array" ref="O662">IF($A662="","",INDEX(JupData!$A$2:$K$10000,MATCH($A662&amp;O$1,JupData!$A$2:$A$10000&amp;JupData!$J$2:$J$10000,0),11))</f>
        <v/>
      </c>
      <c r="P662" t="str">
        <f t="array" ref="P662">IF($A662="","",INDEX(JupData!$A$2:$K$10000,MATCH($A662&amp;P$1,JupData!$A$2:$A$10000&amp;JupData!$J$2:$J$10000,0),11))</f>
        <v/>
      </c>
      <c r="Q662" t="str">
        <f t="array" ref="Q662">IF($A662="","",INDEX(JupData!$A$2:$K$10000,MATCH($A662&amp;Q$1,JupData!$A$2:$A$10000&amp;JupData!$J$2:$J$10000,0),11))</f>
        <v/>
      </c>
      <c r="R662" t="str">
        <f t="array" ref="R662">IF($A662="","",INDEX(JupData!$A$2:$K$10000,MATCH($A662&amp;R$1,JupData!$A$2:$A$10000&amp;JupData!$J$2:$J$10000,0),11))</f>
        <v/>
      </c>
      <c r="S662" t="str">
        <f t="array" ref="S662">IF($A662="","",INDEX(JupData!$A$2:$K$10000,MATCH($A662&amp;S$1,JupData!$A$2:$A$10000&amp;JupData!$J$2:$J$10000,0),11))</f>
        <v/>
      </c>
      <c r="T662" t="str">
        <f t="array" ref="T662">IF($A662="","",INDEX(JupData!$A$2:$K$10000,MATCH($A662&amp;T$1,JupData!$A$2:$A$10000&amp;JupData!$J$2:$J$10000,0),11))</f>
        <v/>
      </c>
      <c r="U662" t="str">
        <f t="array" ref="U662">IF($A662="","",INDEX(JupData!$A$2:$K$10000,MATCH($A662&amp;U$1,JupData!$A$2:$A$10000&amp;JupData!$J$2:$J$10000,0),11))</f>
        <v/>
      </c>
      <c r="V662" t="str">
        <f t="array" ref="V662">IF($A662="","",INDEX(JupData!$A$2:$K$10000,MATCH($A662&amp;V$1,JupData!$A$2:$A$10000&amp;JupData!$J$2:$J$10000,0),11))</f>
        <v/>
      </c>
      <c r="W662" t="str">
        <f t="array" ref="W662">IF($A662="","",INDEX(JupData!$A$2:$K$10000,MATCH($A662&amp;W$1,JupData!$A$2:$A$10000&amp;JupData!$J$2:$J$10000,0),11))</f>
        <v/>
      </c>
      <c r="X662" t="str">
        <f t="array" ref="X662">IF($A662="","",INDEX(JupData!$A$2:$K$10000,MATCH($A662&amp;X$1,JupData!$A$2:$A$10000&amp;JupData!$J$2:$J$10000,0),11))</f>
        <v/>
      </c>
      <c r="Y662" t="str">
        <f t="array" ref="Y662">IF($A662="","",INDEX(JupData!$A$2:$K$10000,MATCH($A662&amp;Y$1,JupData!$A$2:$A$10000&amp;JupData!$J$2:$J$10000,0),11))</f>
        <v/>
      </c>
      <c r="Z662" t="str">
        <f t="array" ref="Z662">IF($A662="","",INDEX(JupData!$A$2:$K$10000,MATCH($A662&amp;Z$1,JupData!$A$2:$A$10000&amp;JupData!$J$2:$J$10000,0),11))</f>
        <v/>
      </c>
      <c r="AA662" t="str">
        <f t="array" ref="AA662">IF($A662="","",INDEX(JupData!$A$2:$K$10000,MATCH($A662&amp;AA$1,JupData!$A$2:$A$10000&amp;JupData!$J$2:$J$10000,0),11))</f>
        <v/>
      </c>
      <c r="AB662" t="str">
        <f t="array" ref="AB662">IF($A662="","",INDEX(JupData!$A$2:$K$10000,MATCH($A662&amp;AB$1,JupData!$A$2:$A$10000&amp;JupData!$J$2:$J$10000,0),11))</f>
        <v/>
      </c>
      <c r="AC662" s="10" t="str">
        <f t="shared" si="110"/>
        <v/>
      </c>
      <c r="AD662" s="10" t="str">
        <f t="shared" si="111"/>
        <v/>
      </c>
      <c r="AE662" s="9" t="str">
        <f t="shared" si="112"/>
        <v/>
      </c>
      <c r="AF662" s="10" t="str">
        <f t="shared" si="113"/>
        <v/>
      </c>
      <c r="AG662" s="10" t="str">
        <f t="shared" si="114"/>
        <v/>
      </c>
      <c r="AH662" s="10" t="str">
        <f t="shared" si="115"/>
        <v/>
      </c>
      <c r="AI662" s="10" t="str">
        <f t="shared" si="116"/>
        <v/>
      </c>
      <c r="AJ662" s="10" t="str">
        <f t="shared" si="117"/>
        <v/>
      </c>
      <c r="AK662" s="10" t="str">
        <f t="shared" si="118"/>
        <v/>
      </c>
      <c r="AL662" s="14" t="str">
        <f t="shared" si="119"/>
        <v/>
      </c>
    </row>
    <row r="663" spans="1:38" x14ac:dyDescent="0.2">
      <c r="A663"/>
      <c r="B663" t="str">
        <f>IF($A663="","",VLOOKUP($A663,JupData!$A$2:$I$10000,4,FALSE))</f>
        <v/>
      </c>
      <c r="C663" s="7" t="str">
        <f>IF($A663="",IF(N(D663),0,""),VLOOKUP($A663,JupData!$A$2:$I$10000,7,FALSE))</f>
        <v/>
      </c>
      <c r="D663" t="str">
        <f t="shared" si="120"/>
        <v/>
      </c>
      <c r="E663" t="str">
        <f t="array" ref="E663">IF($A663="","",INDEX(JupData!$A$2:$K$10000,MATCH($A663&amp;E$1,JupData!$A$2:$A$10000&amp;JupData!$J$2:$J$10000,0),11))</f>
        <v/>
      </c>
      <c r="F663" t="str">
        <f t="array" ref="F663">IF($A663="","",INDEX(JupData!$A$2:$K$10000,MATCH($A663&amp;F$1,JupData!$A$2:$A$10000&amp;JupData!$J$2:$J$10000,0),11))</f>
        <v/>
      </c>
      <c r="G663" t="str">
        <f t="array" ref="G663">IF($A663="","",INDEX(JupData!$A$2:$K$10000,MATCH($A663&amp;G$1,JupData!$A$2:$A$10000&amp;JupData!$J$2:$J$10000,0),11))</f>
        <v/>
      </c>
      <c r="H663" t="str">
        <f t="array" ref="H663">IF($A663="","",INDEX(JupData!$A$2:$K$10000,MATCH($A663&amp;H$1,JupData!$A$2:$A$10000&amp;JupData!$J$2:$J$10000,0),11))</f>
        <v/>
      </c>
      <c r="I663" t="str">
        <f t="array" ref="I663">IF($A663="","",INDEX(JupData!$A$2:$K$10000,MATCH($A663&amp;I$1,JupData!$A$2:$A$10000&amp;JupData!$J$2:$J$10000,0),11))</f>
        <v/>
      </c>
      <c r="J663" t="str">
        <f t="array" ref="J663">IF($A663="","",INDEX(JupData!$A$2:$K$10000,MATCH($A663&amp;J$1,JupData!$A$2:$A$10000&amp;JupData!$J$2:$J$10000,0),11))</f>
        <v/>
      </c>
      <c r="K663" t="str">
        <f t="array" ref="K663">IF($A663="","",INDEX(JupData!$A$2:$K$10000,MATCH($A663&amp;K$1,JupData!$A$2:$A$10000&amp;JupData!$J$2:$J$10000,0),11))</f>
        <v/>
      </c>
      <c r="L663" t="str">
        <f t="array" ref="L663">IF($A663="","",INDEX(JupData!$A$2:$K$10000,MATCH($A663&amp;L$1,JupData!$A$2:$A$10000&amp;JupData!$J$2:$J$10000,0),11))</f>
        <v/>
      </c>
      <c r="M663" t="str">
        <f t="array" ref="M663">IF($A663="","",INDEX(JupData!$A$2:$K$10000,MATCH($A663&amp;M$1,JupData!$A$2:$A$10000&amp;JupData!$J$2:$J$10000,0),11))</f>
        <v/>
      </c>
      <c r="N663" t="str">
        <f t="array" ref="N663">IF($A663="","",INDEX(JupData!$A$2:$K$10000,MATCH($A663&amp;N$1,JupData!$A$2:$A$10000&amp;JupData!$J$2:$J$10000,0),11))</f>
        <v/>
      </c>
      <c r="O663" t="str">
        <f t="array" ref="O663">IF($A663="","",INDEX(JupData!$A$2:$K$10000,MATCH($A663&amp;O$1,JupData!$A$2:$A$10000&amp;JupData!$J$2:$J$10000,0),11))</f>
        <v/>
      </c>
      <c r="P663" t="str">
        <f t="array" ref="P663">IF($A663="","",INDEX(JupData!$A$2:$K$10000,MATCH($A663&amp;P$1,JupData!$A$2:$A$10000&amp;JupData!$J$2:$J$10000,0),11))</f>
        <v/>
      </c>
      <c r="Q663" t="str">
        <f t="array" ref="Q663">IF($A663="","",INDEX(JupData!$A$2:$K$10000,MATCH($A663&amp;Q$1,JupData!$A$2:$A$10000&amp;JupData!$J$2:$J$10000,0),11))</f>
        <v/>
      </c>
      <c r="R663" t="str">
        <f t="array" ref="R663">IF($A663="","",INDEX(JupData!$A$2:$K$10000,MATCH($A663&amp;R$1,JupData!$A$2:$A$10000&amp;JupData!$J$2:$J$10000,0),11))</f>
        <v/>
      </c>
      <c r="S663" t="str">
        <f t="array" ref="S663">IF($A663="","",INDEX(JupData!$A$2:$K$10000,MATCH($A663&amp;S$1,JupData!$A$2:$A$10000&amp;JupData!$J$2:$J$10000,0),11))</f>
        <v/>
      </c>
      <c r="T663" t="str">
        <f t="array" ref="T663">IF($A663="","",INDEX(JupData!$A$2:$K$10000,MATCH($A663&amp;T$1,JupData!$A$2:$A$10000&amp;JupData!$J$2:$J$10000,0),11))</f>
        <v/>
      </c>
      <c r="U663" t="str">
        <f t="array" ref="U663">IF($A663="","",INDEX(JupData!$A$2:$K$10000,MATCH($A663&amp;U$1,JupData!$A$2:$A$10000&amp;JupData!$J$2:$J$10000,0),11))</f>
        <v/>
      </c>
      <c r="V663" t="str">
        <f t="array" ref="V663">IF($A663="","",INDEX(JupData!$A$2:$K$10000,MATCH($A663&amp;V$1,JupData!$A$2:$A$10000&amp;JupData!$J$2:$J$10000,0),11))</f>
        <v/>
      </c>
      <c r="W663" t="str">
        <f t="array" ref="W663">IF($A663="","",INDEX(JupData!$A$2:$K$10000,MATCH($A663&amp;W$1,JupData!$A$2:$A$10000&amp;JupData!$J$2:$J$10000,0),11))</f>
        <v/>
      </c>
      <c r="X663" t="str">
        <f t="array" ref="X663">IF($A663="","",INDEX(JupData!$A$2:$K$10000,MATCH($A663&amp;X$1,JupData!$A$2:$A$10000&amp;JupData!$J$2:$J$10000,0),11))</f>
        <v/>
      </c>
      <c r="Y663" t="str">
        <f t="array" ref="Y663">IF($A663="","",INDEX(JupData!$A$2:$K$10000,MATCH($A663&amp;Y$1,JupData!$A$2:$A$10000&amp;JupData!$J$2:$J$10000,0),11))</f>
        <v/>
      </c>
      <c r="Z663" t="str">
        <f t="array" ref="Z663">IF($A663="","",INDEX(JupData!$A$2:$K$10000,MATCH($A663&amp;Z$1,JupData!$A$2:$A$10000&amp;JupData!$J$2:$J$10000,0),11))</f>
        <v/>
      </c>
      <c r="AA663" t="str">
        <f t="array" ref="AA663">IF($A663="","",INDEX(JupData!$A$2:$K$10000,MATCH($A663&amp;AA$1,JupData!$A$2:$A$10000&amp;JupData!$J$2:$J$10000,0),11))</f>
        <v/>
      </c>
      <c r="AB663" t="str">
        <f t="array" ref="AB663">IF($A663="","",INDEX(JupData!$A$2:$K$10000,MATCH($A663&amp;AB$1,JupData!$A$2:$A$10000&amp;JupData!$J$2:$J$10000,0),11))</f>
        <v/>
      </c>
      <c r="AC663" s="10" t="str">
        <f t="shared" si="110"/>
        <v/>
      </c>
      <c r="AD663" s="10" t="str">
        <f t="shared" si="111"/>
        <v/>
      </c>
      <c r="AE663" s="9" t="str">
        <f t="shared" si="112"/>
        <v/>
      </c>
      <c r="AF663" s="10" t="str">
        <f t="shared" si="113"/>
        <v/>
      </c>
      <c r="AG663" s="10" t="str">
        <f t="shared" si="114"/>
        <v/>
      </c>
      <c r="AH663" s="10" t="str">
        <f t="shared" si="115"/>
        <v/>
      </c>
      <c r="AI663" s="10" t="str">
        <f t="shared" si="116"/>
        <v/>
      </c>
      <c r="AJ663" s="10" t="str">
        <f t="shared" si="117"/>
        <v/>
      </c>
      <c r="AK663" s="10" t="str">
        <f t="shared" si="118"/>
        <v/>
      </c>
      <c r="AL663" s="14" t="str">
        <f t="shared" si="119"/>
        <v/>
      </c>
    </row>
    <row r="664" spans="1:38" x14ac:dyDescent="0.2">
      <c r="A664"/>
      <c r="B664" t="str">
        <f>IF($A664="","",VLOOKUP($A664,JupData!$A$2:$I$10000,4,FALSE))</f>
        <v/>
      </c>
      <c r="C664" s="7" t="str">
        <f>IF($A664="",IF(N(D664),0,""),VLOOKUP($A664,JupData!$A$2:$I$10000,7,FALSE))</f>
        <v/>
      </c>
      <c r="D664" t="str">
        <f t="shared" si="120"/>
        <v/>
      </c>
      <c r="E664" t="str">
        <f t="array" ref="E664">IF($A664="","",INDEX(JupData!$A$2:$K$10000,MATCH($A664&amp;E$1,JupData!$A$2:$A$10000&amp;JupData!$J$2:$J$10000,0),11))</f>
        <v/>
      </c>
      <c r="F664" t="str">
        <f t="array" ref="F664">IF($A664="","",INDEX(JupData!$A$2:$K$10000,MATCH($A664&amp;F$1,JupData!$A$2:$A$10000&amp;JupData!$J$2:$J$10000,0),11))</f>
        <v/>
      </c>
      <c r="G664" t="str">
        <f t="array" ref="G664">IF($A664="","",INDEX(JupData!$A$2:$K$10000,MATCH($A664&amp;G$1,JupData!$A$2:$A$10000&amp;JupData!$J$2:$J$10000,0),11))</f>
        <v/>
      </c>
      <c r="H664" t="str">
        <f t="array" ref="H664">IF($A664="","",INDEX(JupData!$A$2:$K$10000,MATCH($A664&amp;H$1,JupData!$A$2:$A$10000&amp;JupData!$J$2:$J$10000,0),11))</f>
        <v/>
      </c>
      <c r="I664" t="str">
        <f t="array" ref="I664">IF($A664="","",INDEX(JupData!$A$2:$K$10000,MATCH($A664&amp;I$1,JupData!$A$2:$A$10000&amp;JupData!$J$2:$J$10000,0),11))</f>
        <v/>
      </c>
      <c r="J664" t="str">
        <f t="array" ref="J664">IF($A664="","",INDEX(JupData!$A$2:$K$10000,MATCH($A664&amp;J$1,JupData!$A$2:$A$10000&amp;JupData!$J$2:$J$10000,0),11))</f>
        <v/>
      </c>
      <c r="K664" t="str">
        <f t="array" ref="K664">IF($A664="","",INDEX(JupData!$A$2:$K$10000,MATCH($A664&amp;K$1,JupData!$A$2:$A$10000&amp;JupData!$J$2:$J$10000,0),11))</f>
        <v/>
      </c>
      <c r="L664" t="str">
        <f t="array" ref="L664">IF($A664="","",INDEX(JupData!$A$2:$K$10000,MATCH($A664&amp;L$1,JupData!$A$2:$A$10000&amp;JupData!$J$2:$J$10000,0),11))</f>
        <v/>
      </c>
      <c r="M664" t="str">
        <f t="array" ref="M664">IF($A664="","",INDEX(JupData!$A$2:$K$10000,MATCH($A664&amp;M$1,JupData!$A$2:$A$10000&amp;JupData!$J$2:$J$10000,0),11))</f>
        <v/>
      </c>
      <c r="N664" t="str">
        <f t="array" ref="N664">IF($A664="","",INDEX(JupData!$A$2:$K$10000,MATCH($A664&amp;N$1,JupData!$A$2:$A$10000&amp;JupData!$J$2:$J$10000,0),11))</f>
        <v/>
      </c>
      <c r="O664" t="str">
        <f t="array" ref="O664">IF($A664="","",INDEX(JupData!$A$2:$K$10000,MATCH($A664&amp;O$1,JupData!$A$2:$A$10000&amp;JupData!$J$2:$J$10000,0),11))</f>
        <v/>
      </c>
      <c r="P664" t="str">
        <f t="array" ref="P664">IF($A664="","",INDEX(JupData!$A$2:$K$10000,MATCH($A664&amp;P$1,JupData!$A$2:$A$10000&amp;JupData!$J$2:$J$10000,0),11))</f>
        <v/>
      </c>
      <c r="Q664" t="str">
        <f t="array" ref="Q664">IF($A664="","",INDEX(JupData!$A$2:$K$10000,MATCH($A664&amp;Q$1,JupData!$A$2:$A$10000&amp;JupData!$J$2:$J$10000,0),11))</f>
        <v/>
      </c>
      <c r="R664" t="str">
        <f t="array" ref="R664">IF($A664="","",INDEX(JupData!$A$2:$K$10000,MATCH($A664&amp;R$1,JupData!$A$2:$A$10000&amp;JupData!$J$2:$J$10000,0),11))</f>
        <v/>
      </c>
      <c r="S664" t="str">
        <f t="array" ref="S664">IF($A664="","",INDEX(JupData!$A$2:$K$10000,MATCH($A664&amp;S$1,JupData!$A$2:$A$10000&amp;JupData!$J$2:$J$10000,0),11))</f>
        <v/>
      </c>
      <c r="T664" t="str">
        <f t="array" ref="T664">IF($A664="","",INDEX(JupData!$A$2:$K$10000,MATCH($A664&amp;T$1,JupData!$A$2:$A$10000&amp;JupData!$J$2:$J$10000,0),11))</f>
        <v/>
      </c>
      <c r="U664" t="str">
        <f t="array" ref="U664">IF($A664="","",INDEX(JupData!$A$2:$K$10000,MATCH($A664&amp;U$1,JupData!$A$2:$A$10000&amp;JupData!$J$2:$J$10000,0),11))</f>
        <v/>
      </c>
      <c r="V664" t="str">
        <f t="array" ref="V664">IF($A664="","",INDEX(JupData!$A$2:$K$10000,MATCH($A664&amp;V$1,JupData!$A$2:$A$10000&amp;JupData!$J$2:$J$10000,0),11))</f>
        <v/>
      </c>
      <c r="W664" t="str">
        <f t="array" ref="W664">IF($A664="","",INDEX(JupData!$A$2:$K$10000,MATCH($A664&amp;W$1,JupData!$A$2:$A$10000&amp;JupData!$J$2:$J$10000,0),11))</f>
        <v/>
      </c>
      <c r="X664" t="str">
        <f t="array" ref="X664">IF($A664="","",INDEX(JupData!$A$2:$K$10000,MATCH($A664&amp;X$1,JupData!$A$2:$A$10000&amp;JupData!$J$2:$J$10000,0),11))</f>
        <v/>
      </c>
      <c r="Y664" t="str">
        <f t="array" ref="Y664">IF($A664="","",INDEX(JupData!$A$2:$K$10000,MATCH($A664&amp;Y$1,JupData!$A$2:$A$10000&amp;JupData!$J$2:$J$10000,0),11))</f>
        <v/>
      </c>
      <c r="Z664" t="str">
        <f t="array" ref="Z664">IF($A664="","",INDEX(JupData!$A$2:$K$10000,MATCH($A664&amp;Z$1,JupData!$A$2:$A$10000&amp;JupData!$J$2:$J$10000,0),11))</f>
        <v/>
      </c>
      <c r="AA664" t="str">
        <f t="array" ref="AA664">IF($A664="","",INDEX(JupData!$A$2:$K$10000,MATCH($A664&amp;AA$1,JupData!$A$2:$A$10000&amp;JupData!$J$2:$J$10000,0),11))</f>
        <v/>
      </c>
      <c r="AB664" t="str">
        <f t="array" ref="AB664">IF($A664="","",INDEX(JupData!$A$2:$K$10000,MATCH($A664&amp;AB$1,JupData!$A$2:$A$10000&amp;JupData!$J$2:$J$10000,0),11))</f>
        <v/>
      </c>
      <c r="AC664" s="10" t="str">
        <f t="shared" si="110"/>
        <v/>
      </c>
      <c r="AD664" s="10" t="str">
        <f t="shared" si="111"/>
        <v/>
      </c>
      <c r="AE664" s="9" t="str">
        <f t="shared" si="112"/>
        <v/>
      </c>
      <c r="AF664" s="10" t="str">
        <f t="shared" si="113"/>
        <v/>
      </c>
      <c r="AG664" s="10" t="str">
        <f t="shared" si="114"/>
        <v/>
      </c>
      <c r="AH664" s="10" t="str">
        <f t="shared" si="115"/>
        <v/>
      </c>
      <c r="AI664" s="10" t="str">
        <f t="shared" si="116"/>
        <v/>
      </c>
      <c r="AJ664" s="10" t="str">
        <f t="shared" si="117"/>
        <v/>
      </c>
      <c r="AK664" s="10" t="str">
        <f t="shared" si="118"/>
        <v/>
      </c>
      <c r="AL664" s="14" t="str">
        <f t="shared" si="119"/>
        <v/>
      </c>
    </row>
    <row r="665" spans="1:38" x14ac:dyDescent="0.2">
      <c r="A665"/>
      <c r="B665" t="str">
        <f>IF($A665="","",VLOOKUP($A665,JupData!$A$2:$I$10000,4,FALSE))</f>
        <v/>
      </c>
      <c r="C665" s="7" t="str">
        <f>IF($A665="",IF(N(D665),0,""),VLOOKUP($A665,JupData!$A$2:$I$10000,7,FALSE))</f>
        <v/>
      </c>
      <c r="D665" t="str">
        <f t="shared" si="120"/>
        <v/>
      </c>
      <c r="E665" t="str">
        <f t="array" ref="E665">IF($A665="","",INDEX(JupData!$A$2:$K$10000,MATCH($A665&amp;E$1,JupData!$A$2:$A$10000&amp;JupData!$J$2:$J$10000,0),11))</f>
        <v/>
      </c>
      <c r="F665" t="str">
        <f t="array" ref="F665">IF($A665="","",INDEX(JupData!$A$2:$K$10000,MATCH($A665&amp;F$1,JupData!$A$2:$A$10000&amp;JupData!$J$2:$J$10000,0),11))</f>
        <v/>
      </c>
      <c r="G665" t="str">
        <f t="array" ref="G665">IF($A665="","",INDEX(JupData!$A$2:$K$10000,MATCH($A665&amp;G$1,JupData!$A$2:$A$10000&amp;JupData!$J$2:$J$10000,0),11))</f>
        <v/>
      </c>
      <c r="H665" t="str">
        <f t="array" ref="H665">IF($A665="","",INDEX(JupData!$A$2:$K$10000,MATCH($A665&amp;H$1,JupData!$A$2:$A$10000&amp;JupData!$J$2:$J$10000,0),11))</f>
        <v/>
      </c>
      <c r="I665" t="str">
        <f t="array" ref="I665">IF($A665="","",INDEX(JupData!$A$2:$K$10000,MATCH($A665&amp;I$1,JupData!$A$2:$A$10000&amp;JupData!$J$2:$J$10000,0),11))</f>
        <v/>
      </c>
      <c r="J665" t="str">
        <f t="array" ref="J665">IF($A665="","",INDEX(JupData!$A$2:$K$10000,MATCH($A665&amp;J$1,JupData!$A$2:$A$10000&amp;JupData!$J$2:$J$10000,0),11))</f>
        <v/>
      </c>
      <c r="K665" t="str">
        <f t="array" ref="K665">IF($A665="","",INDEX(JupData!$A$2:$K$10000,MATCH($A665&amp;K$1,JupData!$A$2:$A$10000&amp;JupData!$J$2:$J$10000,0),11))</f>
        <v/>
      </c>
      <c r="L665" t="str">
        <f t="array" ref="L665">IF($A665="","",INDEX(JupData!$A$2:$K$10000,MATCH($A665&amp;L$1,JupData!$A$2:$A$10000&amp;JupData!$J$2:$J$10000,0),11))</f>
        <v/>
      </c>
      <c r="M665" t="str">
        <f t="array" ref="M665">IF($A665="","",INDEX(JupData!$A$2:$K$10000,MATCH($A665&amp;M$1,JupData!$A$2:$A$10000&amp;JupData!$J$2:$J$10000,0),11))</f>
        <v/>
      </c>
      <c r="N665" t="str">
        <f t="array" ref="N665">IF($A665="","",INDEX(JupData!$A$2:$K$10000,MATCH($A665&amp;N$1,JupData!$A$2:$A$10000&amp;JupData!$J$2:$J$10000,0),11))</f>
        <v/>
      </c>
      <c r="O665" t="str">
        <f t="array" ref="O665">IF($A665="","",INDEX(JupData!$A$2:$K$10000,MATCH($A665&amp;O$1,JupData!$A$2:$A$10000&amp;JupData!$J$2:$J$10000,0),11))</f>
        <v/>
      </c>
      <c r="P665" t="str">
        <f t="array" ref="P665">IF($A665="","",INDEX(JupData!$A$2:$K$10000,MATCH($A665&amp;P$1,JupData!$A$2:$A$10000&amp;JupData!$J$2:$J$10000,0),11))</f>
        <v/>
      </c>
      <c r="Q665" t="str">
        <f t="array" ref="Q665">IF($A665="","",INDEX(JupData!$A$2:$K$10000,MATCH($A665&amp;Q$1,JupData!$A$2:$A$10000&amp;JupData!$J$2:$J$10000,0),11))</f>
        <v/>
      </c>
      <c r="R665" t="str">
        <f t="array" ref="R665">IF($A665="","",INDEX(JupData!$A$2:$K$10000,MATCH($A665&amp;R$1,JupData!$A$2:$A$10000&amp;JupData!$J$2:$J$10000,0),11))</f>
        <v/>
      </c>
      <c r="S665" t="str">
        <f t="array" ref="S665">IF($A665="","",INDEX(JupData!$A$2:$K$10000,MATCH($A665&amp;S$1,JupData!$A$2:$A$10000&amp;JupData!$J$2:$J$10000,0),11))</f>
        <v/>
      </c>
      <c r="T665" t="str">
        <f t="array" ref="T665">IF($A665="","",INDEX(JupData!$A$2:$K$10000,MATCH($A665&amp;T$1,JupData!$A$2:$A$10000&amp;JupData!$J$2:$J$10000,0),11))</f>
        <v/>
      </c>
      <c r="U665" t="str">
        <f t="array" ref="U665">IF($A665="","",INDEX(JupData!$A$2:$K$10000,MATCH($A665&amp;U$1,JupData!$A$2:$A$10000&amp;JupData!$J$2:$J$10000,0),11))</f>
        <v/>
      </c>
      <c r="V665" t="str">
        <f t="array" ref="V665">IF($A665="","",INDEX(JupData!$A$2:$K$10000,MATCH($A665&amp;V$1,JupData!$A$2:$A$10000&amp;JupData!$J$2:$J$10000,0),11))</f>
        <v/>
      </c>
      <c r="W665" t="str">
        <f t="array" ref="W665">IF($A665="","",INDEX(JupData!$A$2:$K$10000,MATCH($A665&amp;W$1,JupData!$A$2:$A$10000&amp;JupData!$J$2:$J$10000,0),11))</f>
        <v/>
      </c>
      <c r="X665" t="str">
        <f t="array" ref="X665">IF($A665="","",INDEX(JupData!$A$2:$K$10000,MATCH($A665&amp;X$1,JupData!$A$2:$A$10000&amp;JupData!$J$2:$J$10000,0),11))</f>
        <v/>
      </c>
      <c r="Y665" t="str">
        <f t="array" ref="Y665">IF($A665="","",INDEX(JupData!$A$2:$K$10000,MATCH($A665&amp;Y$1,JupData!$A$2:$A$10000&amp;JupData!$J$2:$J$10000,0),11))</f>
        <v/>
      </c>
      <c r="Z665" t="str">
        <f t="array" ref="Z665">IF($A665="","",INDEX(JupData!$A$2:$K$10000,MATCH($A665&amp;Z$1,JupData!$A$2:$A$10000&amp;JupData!$J$2:$J$10000,0),11))</f>
        <v/>
      </c>
      <c r="AA665" t="str">
        <f t="array" ref="AA665">IF($A665="","",INDEX(JupData!$A$2:$K$10000,MATCH($A665&amp;AA$1,JupData!$A$2:$A$10000&amp;JupData!$J$2:$J$10000,0),11))</f>
        <v/>
      </c>
      <c r="AB665" t="str">
        <f t="array" ref="AB665">IF($A665="","",INDEX(JupData!$A$2:$K$10000,MATCH($A665&amp;AB$1,JupData!$A$2:$A$10000&amp;JupData!$J$2:$J$10000,0),11))</f>
        <v/>
      </c>
      <c r="AC665" s="10" t="str">
        <f t="shared" si="110"/>
        <v/>
      </c>
      <c r="AD665" s="10" t="str">
        <f t="shared" si="111"/>
        <v/>
      </c>
      <c r="AE665" s="9" t="str">
        <f t="shared" si="112"/>
        <v/>
      </c>
      <c r="AF665" s="10" t="str">
        <f t="shared" si="113"/>
        <v/>
      </c>
      <c r="AG665" s="10" t="str">
        <f t="shared" si="114"/>
        <v/>
      </c>
      <c r="AH665" s="10" t="str">
        <f t="shared" si="115"/>
        <v/>
      </c>
      <c r="AI665" s="10" t="str">
        <f t="shared" si="116"/>
        <v/>
      </c>
      <c r="AJ665" s="10" t="str">
        <f t="shared" si="117"/>
        <v/>
      </c>
      <c r="AK665" s="10" t="str">
        <f t="shared" si="118"/>
        <v/>
      </c>
      <c r="AL665" s="14" t="str">
        <f t="shared" si="119"/>
        <v/>
      </c>
    </row>
    <row r="666" spans="1:38" x14ac:dyDescent="0.2">
      <c r="A666"/>
      <c r="B666" t="str">
        <f>IF($A666="","",VLOOKUP($A666,JupData!$A$2:$I$10000,4,FALSE))</f>
        <v/>
      </c>
      <c r="C666" s="7" t="str">
        <f>IF($A666="",IF(N(D666),0,""),VLOOKUP($A666,JupData!$A$2:$I$10000,7,FALSE))</f>
        <v/>
      </c>
      <c r="D666" t="str">
        <f t="shared" si="120"/>
        <v/>
      </c>
      <c r="E666" t="str">
        <f t="array" ref="E666">IF($A666="","",INDEX(JupData!$A$2:$K$10000,MATCH($A666&amp;E$1,JupData!$A$2:$A$10000&amp;JupData!$J$2:$J$10000,0),11))</f>
        <v/>
      </c>
      <c r="F666" t="str">
        <f t="array" ref="F666">IF($A666="","",INDEX(JupData!$A$2:$K$10000,MATCH($A666&amp;F$1,JupData!$A$2:$A$10000&amp;JupData!$J$2:$J$10000,0),11))</f>
        <v/>
      </c>
      <c r="G666" t="str">
        <f t="array" ref="G666">IF($A666="","",INDEX(JupData!$A$2:$K$10000,MATCH($A666&amp;G$1,JupData!$A$2:$A$10000&amp;JupData!$J$2:$J$10000,0),11))</f>
        <v/>
      </c>
      <c r="H666" t="str">
        <f t="array" ref="H666">IF($A666="","",INDEX(JupData!$A$2:$K$10000,MATCH($A666&amp;H$1,JupData!$A$2:$A$10000&amp;JupData!$J$2:$J$10000,0),11))</f>
        <v/>
      </c>
      <c r="I666" t="str">
        <f t="array" ref="I666">IF($A666="","",INDEX(JupData!$A$2:$K$10000,MATCH($A666&amp;I$1,JupData!$A$2:$A$10000&amp;JupData!$J$2:$J$10000,0),11))</f>
        <v/>
      </c>
      <c r="J666" t="str">
        <f t="array" ref="J666">IF($A666="","",INDEX(JupData!$A$2:$K$10000,MATCH($A666&amp;J$1,JupData!$A$2:$A$10000&amp;JupData!$J$2:$J$10000,0),11))</f>
        <v/>
      </c>
      <c r="K666" t="str">
        <f t="array" ref="K666">IF($A666="","",INDEX(JupData!$A$2:$K$10000,MATCH($A666&amp;K$1,JupData!$A$2:$A$10000&amp;JupData!$J$2:$J$10000,0),11))</f>
        <v/>
      </c>
      <c r="L666" t="str">
        <f t="array" ref="L666">IF($A666="","",INDEX(JupData!$A$2:$K$10000,MATCH($A666&amp;L$1,JupData!$A$2:$A$10000&amp;JupData!$J$2:$J$10000,0),11))</f>
        <v/>
      </c>
      <c r="M666" t="str">
        <f t="array" ref="M666">IF($A666="","",INDEX(JupData!$A$2:$K$10000,MATCH($A666&amp;M$1,JupData!$A$2:$A$10000&amp;JupData!$J$2:$J$10000,0),11))</f>
        <v/>
      </c>
      <c r="N666" t="str">
        <f t="array" ref="N666">IF($A666="","",INDEX(JupData!$A$2:$K$10000,MATCH($A666&amp;N$1,JupData!$A$2:$A$10000&amp;JupData!$J$2:$J$10000,0),11))</f>
        <v/>
      </c>
      <c r="O666" t="str">
        <f t="array" ref="O666">IF($A666="","",INDEX(JupData!$A$2:$K$10000,MATCH($A666&amp;O$1,JupData!$A$2:$A$10000&amp;JupData!$J$2:$J$10000,0),11))</f>
        <v/>
      </c>
      <c r="P666" t="str">
        <f t="array" ref="P666">IF($A666="","",INDEX(JupData!$A$2:$K$10000,MATCH($A666&amp;P$1,JupData!$A$2:$A$10000&amp;JupData!$J$2:$J$10000,0),11))</f>
        <v/>
      </c>
      <c r="Q666" t="str">
        <f t="array" ref="Q666">IF($A666="","",INDEX(JupData!$A$2:$K$10000,MATCH($A666&amp;Q$1,JupData!$A$2:$A$10000&amp;JupData!$J$2:$J$10000,0),11))</f>
        <v/>
      </c>
      <c r="R666" t="str">
        <f t="array" ref="R666">IF($A666="","",INDEX(JupData!$A$2:$K$10000,MATCH($A666&amp;R$1,JupData!$A$2:$A$10000&amp;JupData!$J$2:$J$10000,0),11))</f>
        <v/>
      </c>
      <c r="S666" t="str">
        <f t="array" ref="S666">IF($A666="","",INDEX(JupData!$A$2:$K$10000,MATCH($A666&amp;S$1,JupData!$A$2:$A$10000&amp;JupData!$J$2:$J$10000,0),11))</f>
        <v/>
      </c>
      <c r="T666" t="str">
        <f t="array" ref="T666">IF($A666="","",INDEX(JupData!$A$2:$K$10000,MATCH($A666&amp;T$1,JupData!$A$2:$A$10000&amp;JupData!$J$2:$J$10000,0),11))</f>
        <v/>
      </c>
      <c r="U666" t="str">
        <f t="array" ref="U666">IF($A666="","",INDEX(JupData!$A$2:$K$10000,MATCH($A666&amp;U$1,JupData!$A$2:$A$10000&amp;JupData!$J$2:$J$10000,0),11))</f>
        <v/>
      </c>
      <c r="V666" t="str">
        <f t="array" ref="V666">IF($A666="","",INDEX(JupData!$A$2:$K$10000,MATCH($A666&amp;V$1,JupData!$A$2:$A$10000&amp;JupData!$J$2:$J$10000,0),11))</f>
        <v/>
      </c>
      <c r="W666" t="str">
        <f t="array" ref="W666">IF($A666="","",INDEX(JupData!$A$2:$K$10000,MATCH($A666&amp;W$1,JupData!$A$2:$A$10000&amp;JupData!$J$2:$J$10000,0),11))</f>
        <v/>
      </c>
      <c r="X666" t="str">
        <f t="array" ref="X666">IF($A666="","",INDEX(JupData!$A$2:$K$10000,MATCH($A666&amp;X$1,JupData!$A$2:$A$10000&amp;JupData!$J$2:$J$10000,0),11))</f>
        <v/>
      </c>
      <c r="Y666" t="str">
        <f t="array" ref="Y666">IF($A666="","",INDEX(JupData!$A$2:$K$10000,MATCH($A666&amp;Y$1,JupData!$A$2:$A$10000&amp;JupData!$J$2:$J$10000,0),11))</f>
        <v/>
      </c>
      <c r="Z666" t="str">
        <f t="array" ref="Z666">IF($A666="","",INDEX(JupData!$A$2:$K$10000,MATCH($A666&amp;Z$1,JupData!$A$2:$A$10000&amp;JupData!$J$2:$J$10000,0),11))</f>
        <v/>
      </c>
      <c r="AA666" t="str">
        <f t="array" ref="AA666">IF($A666="","",INDEX(JupData!$A$2:$K$10000,MATCH($A666&amp;AA$1,JupData!$A$2:$A$10000&amp;JupData!$J$2:$J$10000,0),11))</f>
        <v/>
      </c>
      <c r="AB666" t="str">
        <f t="array" ref="AB666">IF($A666="","",INDEX(JupData!$A$2:$K$10000,MATCH($A666&amp;AB$1,JupData!$A$2:$A$10000&amp;JupData!$J$2:$J$10000,0),11))</f>
        <v/>
      </c>
      <c r="AC666" s="10" t="str">
        <f t="shared" si="110"/>
        <v/>
      </c>
      <c r="AD666" s="10" t="str">
        <f t="shared" si="111"/>
        <v/>
      </c>
      <c r="AE666" s="9" t="str">
        <f t="shared" si="112"/>
        <v/>
      </c>
      <c r="AF666" s="10" t="str">
        <f t="shared" si="113"/>
        <v/>
      </c>
      <c r="AG666" s="10" t="str">
        <f t="shared" si="114"/>
        <v/>
      </c>
      <c r="AH666" s="10" t="str">
        <f t="shared" si="115"/>
        <v/>
      </c>
      <c r="AI666" s="10" t="str">
        <f t="shared" si="116"/>
        <v/>
      </c>
      <c r="AJ666" s="10" t="str">
        <f t="shared" si="117"/>
        <v/>
      </c>
      <c r="AK666" s="10" t="str">
        <f t="shared" si="118"/>
        <v/>
      </c>
      <c r="AL666" s="14" t="str">
        <f t="shared" si="119"/>
        <v/>
      </c>
    </row>
    <row r="667" spans="1:38" x14ac:dyDescent="0.2">
      <c r="A667"/>
      <c r="B667" t="str">
        <f>IF($A667="","",VLOOKUP($A667,JupData!$A$2:$I$10000,4,FALSE))</f>
        <v/>
      </c>
      <c r="C667" s="7" t="str">
        <f>IF($A667="",IF(N(D667),0,""),VLOOKUP($A667,JupData!$A$2:$I$10000,7,FALSE))</f>
        <v/>
      </c>
      <c r="D667" t="str">
        <f t="shared" si="120"/>
        <v/>
      </c>
      <c r="E667" t="str">
        <f t="array" ref="E667">IF($A667="","",INDEX(JupData!$A$2:$K$10000,MATCH($A667&amp;E$1,JupData!$A$2:$A$10000&amp;JupData!$J$2:$J$10000,0),11))</f>
        <v/>
      </c>
      <c r="F667" t="str">
        <f t="array" ref="F667">IF($A667="","",INDEX(JupData!$A$2:$K$10000,MATCH($A667&amp;F$1,JupData!$A$2:$A$10000&amp;JupData!$J$2:$J$10000,0),11))</f>
        <v/>
      </c>
      <c r="G667" t="str">
        <f t="array" ref="G667">IF($A667="","",INDEX(JupData!$A$2:$K$10000,MATCH($A667&amp;G$1,JupData!$A$2:$A$10000&amp;JupData!$J$2:$J$10000,0),11))</f>
        <v/>
      </c>
      <c r="H667" t="str">
        <f t="array" ref="H667">IF($A667="","",INDEX(JupData!$A$2:$K$10000,MATCH($A667&amp;H$1,JupData!$A$2:$A$10000&amp;JupData!$J$2:$J$10000,0),11))</f>
        <v/>
      </c>
      <c r="I667" t="str">
        <f t="array" ref="I667">IF($A667="","",INDEX(JupData!$A$2:$K$10000,MATCH($A667&amp;I$1,JupData!$A$2:$A$10000&amp;JupData!$J$2:$J$10000,0),11))</f>
        <v/>
      </c>
      <c r="J667" t="str">
        <f t="array" ref="J667">IF($A667="","",INDEX(JupData!$A$2:$K$10000,MATCH($A667&amp;J$1,JupData!$A$2:$A$10000&amp;JupData!$J$2:$J$10000,0),11))</f>
        <v/>
      </c>
      <c r="K667" t="str">
        <f t="array" ref="K667">IF($A667="","",INDEX(JupData!$A$2:$K$10000,MATCH($A667&amp;K$1,JupData!$A$2:$A$10000&amp;JupData!$J$2:$J$10000,0),11))</f>
        <v/>
      </c>
      <c r="L667" t="str">
        <f t="array" ref="L667">IF($A667="","",INDEX(JupData!$A$2:$K$10000,MATCH($A667&amp;L$1,JupData!$A$2:$A$10000&amp;JupData!$J$2:$J$10000,0),11))</f>
        <v/>
      </c>
      <c r="M667" t="str">
        <f t="array" ref="M667">IF($A667="","",INDEX(JupData!$A$2:$K$10000,MATCH($A667&amp;M$1,JupData!$A$2:$A$10000&amp;JupData!$J$2:$J$10000,0),11))</f>
        <v/>
      </c>
      <c r="N667" t="str">
        <f t="array" ref="N667">IF($A667="","",INDEX(JupData!$A$2:$K$10000,MATCH($A667&amp;N$1,JupData!$A$2:$A$10000&amp;JupData!$J$2:$J$10000,0),11))</f>
        <v/>
      </c>
      <c r="O667" t="str">
        <f t="array" ref="O667">IF($A667="","",INDEX(JupData!$A$2:$K$10000,MATCH($A667&amp;O$1,JupData!$A$2:$A$10000&amp;JupData!$J$2:$J$10000,0),11))</f>
        <v/>
      </c>
      <c r="P667" t="str">
        <f t="array" ref="P667">IF($A667="","",INDEX(JupData!$A$2:$K$10000,MATCH($A667&amp;P$1,JupData!$A$2:$A$10000&amp;JupData!$J$2:$J$10000,0),11))</f>
        <v/>
      </c>
      <c r="Q667" t="str">
        <f t="array" ref="Q667">IF($A667="","",INDEX(JupData!$A$2:$K$10000,MATCH($A667&amp;Q$1,JupData!$A$2:$A$10000&amp;JupData!$J$2:$J$10000,0),11))</f>
        <v/>
      </c>
      <c r="R667" t="str">
        <f t="array" ref="R667">IF($A667="","",INDEX(JupData!$A$2:$K$10000,MATCH($A667&amp;R$1,JupData!$A$2:$A$10000&amp;JupData!$J$2:$J$10000,0),11))</f>
        <v/>
      </c>
      <c r="S667" t="str">
        <f t="array" ref="S667">IF($A667="","",INDEX(JupData!$A$2:$K$10000,MATCH($A667&amp;S$1,JupData!$A$2:$A$10000&amp;JupData!$J$2:$J$10000,0),11))</f>
        <v/>
      </c>
      <c r="T667" t="str">
        <f t="array" ref="T667">IF($A667="","",INDEX(JupData!$A$2:$K$10000,MATCH($A667&amp;T$1,JupData!$A$2:$A$10000&amp;JupData!$J$2:$J$10000,0),11))</f>
        <v/>
      </c>
      <c r="U667" t="str">
        <f t="array" ref="U667">IF($A667="","",INDEX(JupData!$A$2:$K$10000,MATCH($A667&amp;U$1,JupData!$A$2:$A$10000&amp;JupData!$J$2:$J$10000,0),11))</f>
        <v/>
      </c>
      <c r="V667" t="str">
        <f t="array" ref="V667">IF($A667="","",INDEX(JupData!$A$2:$K$10000,MATCH($A667&amp;V$1,JupData!$A$2:$A$10000&amp;JupData!$J$2:$J$10000,0),11))</f>
        <v/>
      </c>
      <c r="W667" t="str">
        <f t="array" ref="W667">IF($A667="","",INDEX(JupData!$A$2:$K$10000,MATCH($A667&amp;W$1,JupData!$A$2:$A$10000&amp;JupData!$J$2:$J$10000,0),11))</f>
        <v/>
      </c>
      <c r="X667" t="str">
        <f t="array" ref="X667">IF($A667="","",INDEX(JupData!$A$2:$K$10000,MATCH($A667&amp;X$1,JupData!$A$2:$A$10000&amp;JupData!$J$2:$J$10000,0),11))</f>
        <v/>
      </c>
      <c r="Y667" t="str">
        <f t="array" ref="Y667">IF($A667="","",INDEX(JupData!$A$2:$K$10000,MATCH($A667&amp;Y$1,JupData!$A$2:$A$10000&amp;JupData!$J$2:$J$10000,0),11))</f>
        <v/>
      </c>
      <c r="Z667" t="str">
        <f t="array" ref="Z667">IF($A667="","",INDEX(JupData!$A$2:$K$10000,MATCH($A667&amp;Z$1,JupData!$A$2:$A$10000&amp;JupData!$J$2:$J$10000,0),11))</f>
        <v/>
      </c>
      <c r="AA667" t="str">
        <f t="array" ref="AA667">IF($A667="","",INDEX(JupData!$A$2:$K$10000,MATCH($A667&amp;AA$1,JupData!$A$2:$A$10000&amp;JupData!$J$2:$J$10000,0),11))</f>
        <v/>
      </c>
      <c r="AB667" t="str">
        <f t="array" ref="AB667">IF($A667="","",INDEX(JupData!$A$2:$K$10000,MATCH($A667&amp;AB$1,JupData!$A$2:$A$10000&amp;JupData!$J$2:$J$10000,0),11))</f>
        <v/>
      </c>
      <c r="AC667" s="10" t="str">
        <f t="shared" si="110"/>
        <v/>
      </c>
      <c r="AD667" s="10" t="str">
        <f t="shared" si="111"/>
        <v/>
      </c>
      <c r="AE667" s="9" t="str">
        <f t="shared" si="112"/>
        <v/>
      </c>
      <c r="AF667" s="10" t="str">
        <f t="shared" si="113"/>
        <v/>
      </c>
      <c r="AG667" s="10" t="str">
        <f t="shared" si="114"/>
        <v/>
      </c>
      <c r="AH667" s="10" t="str">
        <f t="shared" si="115"/>
        <v/>
      </c>
      <c r="AI667" s="10" t="str">
        <f t="shared" si="116"/>
        <v/>
      </c>
      <c r="AJ667" s="10" t="str">
        <f t="shared" si="117"/>
        <v/>
      </c>
      <c r="AK667" s="10" t="str">
        <f t="shared" si="118"/>
        <v/>
      </c>
      <c r="AL667" s="14" t="str">
        <f t="shared" si="119"/>
        <v/>
      </c>
    </row>
    <row r="668" spans="1:38" x14ac:dyDescent="0.2">
      <c r="A668"/>
      <c r="B668" t="str">
        <f>IF($A668="","",VLOOKUP($A668,JupData!$A$2:$I$10000,4,FALSE))</f>
        <v/>
      </c>
      <c r="C668" s="7" t="str">
        <f>IF($A668="",IF(N(D668),0,""),VLOOKUP($A668,JupData!$A$2:$I$10000,7,FALSE))</f>
        <v/>
      </c>
      <c r="D668" t="str">
        <f t="shared" si="120"/>
        <v/>
      </c>
      <c r="E668" t="str">
        <f t="array" ref="E668">IF($A668="","",INDEX(JupData!$A$2:$K$10000,MATCH($A668&amp;E$1,JupData!$A$2:$A$10000&amp;JupData!$J$2:$J$10000,0),11))</f>
        <v/>
      </c>
      <c r="F668" t="str">
        <f t="array" ref="F668">IF($A668="","",INDEX(JupData!$A$2:$K$10000,MATCH($A668&amp;F$1,JupData!$A$2:$A$10000&amp;JupData!$J$2:$J$10000,0),11))</f>
        <v/>
      </c>
      <c r="G668" t="str">
        <f t="array" ref="G668">IF($A668="","",INDEX(JupData!$A$2:$K$10000,MATCH($A668&amp;G$1,JupData!$A$2:$A$10000&amp;JupData!$J$2:$J$10000,0),11))</f>
        <v/>
      </c>
      <c r="H668" t="str">
        <f t="array" ref="H668">IF($A668="","",INDEX(JupData!$A$2:$K$10000,MATCH($A668&amp;H$1,JupData!$A$2:$A$10000&amp;JupData!$J$2:$J$10000,0),11))</f>
        <v/>
      </c>
      <c r="I668" t="str">
        <f t="array" ref="I668">IF($A668="","",INDEX(JupData!$A$2:$K$10000,MATCH($A668&amp;I$1,JupData!$A$2:$A$10000&amp;JupData!$J$2:$J$10000,0),11))</f>
        <v/>
      </c>
      <c r="J668" t="str">
        <f t="array" ref="J668">IF($A668="","",INDEX(JupData!$A$2:$K$10000,MATCH($A668&amp;J$1,JupData!$A$2:$A$10000&amp;JupData!$J$2:$J$10000,0),11))</f>
        <v/>
      </c>
      <c r="K668" t="str">
        <f t="array" ref="K668">IF($A668="","",INDEX(JupData!$A$2:$K$10000,MATCH($A668&amp;K$1,JupData!$A$2:$A$10000&amp;JupData!$J$2:$J$10000,0),11))</f>
        <v/>
      </c>
      <c r="L668" t="str">
        <f t="array" ref="L668">IF($A668="","",INDEX(JupData!$A$2:$K$10000,MATCH($A668&amp;L$1,JupData!$A$2:$A$10000&amp;JupData!$J$2:$J$10000,0),11))</f>
        <v/>
      </c>
      <c r="M668" t="str">
        <f t="array" ref="M668">IF($A668="","",INDEX(JupData!$A$2:$K$10000,MATCH($A668&amp;M$1,JupData!$A$2:$A$10000&amp;JupData!$J$2:$J$10000,0),11))</f>
        <v/>
      </c>
      <c r="N668" t="str">
        <f t="array" ref="N668">IF($A668="","",INDEX(JupData!$A$2:$K$10000,MATCH($A668&amp;N$1,JupData!$A$2:$A$10000&amp;JupData!$J$2:$J$10000,0),11))</f>
        <v/>
      </c>
      <c r="O668" t="str">
        <f t="array" ref="O668">IF($A668="","",INDEX(JupData!$A$2:$K$10000,MATCH($A668&amp;O$1,JupData!$A$2:$A$10000&amp;JupData!$J$2:$J$10000,0),11))</f>
        <v/>
      </c>
      <c r="P668" t="str">
        <f t="array" ref="P668">IF($A668="","",INDEX(JupData!$A$2:$K$10000,MATCH($A668&amp;P$1,JupData!$A$2:$A$10000&amp;JupData!$J$2:$J$10000,0),11))</f>
        <v/>
      </c>
      <c r="Q668" t="str">
        <f t="array" ref="Q668">IF($A668="","",INDEX(JupData!$A$2:$K$10000,MATCH($A668&amp;Q$1,JupData!$A$2:$A$10000&amp;JupData!$J$2:$J$10000,0),11))</f>
        <v/>
      </c>
      <c r="R668" t="str">
        <f t="array" ref="R668">IF($A668="","",INDEX(JupData!$A$2:$K$10000,MATCH($A668&amp;R$1,JupData!$A$2:$A$10000&amp;JupData!$J$2:$J$10000,0),11))</f>
        <v/>
      </c>
      <c r="S668" t="str">
        <f t="array" ref="S668">IF($A668="","",INDEX(JupData!$A$2:$K$10000,MATCH($A668&amp;S$1,JupData!$A$2:$A$10000&amp;JupData!$J$2:$J$10000,0),11))</f>
        <v/>
      </c>
      <c r="T668" t="str">
        <f t="array" ref="T668">IF($A668="","",INDEX(JupData!$A$2:$K$10000,MATCH($A668&amp;T$1,JupData!$A$2:$A$10000&amp;JupData!$J$2:$J$10000,0),11))</f>
        <v/>
      </c>
      <c r="U668" t="str">
        <f t="array" ref="U668">IF($A668="","",INDEX(JupData!$A$2:$K$10000,MATCH($A668&amp;U$1,JupData!$A$2:$A$10000&amp;JupData!$J$2:$J$10000,0),11))</f>
        <v/>
      </c>
      <c r="V668" t="str">
        <f t="array" ref="V668">IF($A668="","",INDEX(JupData!$A$2:$K$10000,MATCH($A668&amp;V$1,JupData!$A$2:$A$10000&amp;JupData!$J$2:$J$10000,0),11))</f>
        <v/>
      </c>
      <c r="W668" t="str">
        <f t="array" ref="W668">IF($A668="","",INDEX(JupData!$A$2:$K$10000,MATCH($A668&amp;W$1,JupData!$A$2:$A$10000&amp;JupData!$J$2:$J$10000,0),11))</f>
        <v/>
      </c>
      <c r="X668" t="str">
        <f t="array" ref="X668">IF($A668="","",INDEX(JupData!$A$2:$K$10000,MATCH($A668&amp;X$1,JupData!$A$2:$A$10000&amp;JupData!$J$2:$J$10000,0),11))</f>
        <v/>
      </c>
      <c r="Y668" t="str">
        <f t="array" ref="Y668">IF($A668="","",INDEX(JupData!$A$2:$K$10000,MATCH($A668&amp;Y$1,JupData!$A$2:$A$10000&amp;JupData!$J$2:$J$10000,0),11))</f>
        <v/>
      </c>
      <c r="Z668" t="str">
        <f t="array" ref="Z668">IF($A668="","",INDEX(JupData!$A$2:$K$10000,MATCH($A668&amp;Z$1,JupData!$A$2:$A$10000&amp;JupData!$J$2:$J$10000,0),11))</f>
        <v/>
      </c>
      <c r="AA668" t="str">
        <f t="array" ref="AA668">IF($A668="","",INDEX(JupData!$A$2:$K$10000,MATCH($A668&amp;AA$1,JupData!$A$2:$A$10000&amp;JupData!$J$2:$J$10000,0),11))</f>
        <v/>
      </c>
      <c r="AB668" t="str">
        <f t="array" ref="AB668">IF($A668="","",INDEX(JupData!$A$2:$K$10000,MATCH($A668&amp;AB$1,JupData!$A$2:$A$10000&amp;JupData!$J$2:$J$10000,0),11))</f>
        <v/>
      </c>
      <c r="AC668" s="10" t="str">
        <f t="shared" si="110"/>
        <v/>
      </c>
      <c r="AD668" s="10" t="str">
        <f t="shared" si="111"/>
        <v/>
      </c>
      <c r="AE668" s="9" t="str">
        <f t="shared" si="112"/>
        <v/>
      </c>
      <c r="AF668" s="10" t="str">
        <f t="shared" si="113"/>
        <v/>
      </c>
      <c r="AG668" s="10" t="str">
        <f t="shared" si="114"/>
        <v/>
      </c>
      <c r="AH668" s="10" t="str">
        <f t="shared" si="115"/>
        <v/>
      </c>
      <c r="AI668" s="10" t="str">
        <f t="shared" si="116"/>
        <v/>
      </c>
      <c r="AJ668" s="10" t="str">
        <f t="shared" si="117"/>
        <v/>
      </c>
      <c r="AK668" s="10" t="str">
        <f t="shared" si="118"/>
        <v/>
      </c>
      <c r="AL668" s="14" t="str">
        <f t="shared" si="119"/>
        <v/>
      </c>
    </row>
    <row r="669" spans="1:38" x14ac:dyDescent="0.2">
      <c r="A669"/>
      <c r="B669" t="str">
        <f>IF($A669="","",VLOOKUP($A669,JupData!$A$2:$I$10000,4,FALSE))</f>
        <v/>
      </c>
      <c r="C669" s="7" t="str">
        <f>IF($A669="",IF(N(D669),0,""),VLOOKUP($A669,JupData!$A$2:$I$10000,7,FALSE))</f>
        <v/>
      </c>
      <c r="D669" t="str">
        <f t="shared" si="120"/>
        <v/>
      </c>
      <c r="E669" t="str">
        <f t="array" ref="E669">IF($A669="","",INDEX(JupData!$A$2:$K$10000,MATCH($A669&amp;E$1,JupData!$A$2:$A$10000&amp;JupData!$J$2:$J$10000,0),11))</f>
        <v/>
      </c>
      <c r="F669" t="str">
        <f t="array" ref="F669">IF($A669="","",INDEX(JupData!$A$2:$K$10000,MATCH($A669&amp;F$1,JupData!$A$2:$A$10000&amp;JupData!$J$2:$J$10000,0),11))</f>
        <v/>
      </c>
      <c r="G669" t="str">
        <f t="array" ref="G669">IF($A669="","",INDEX(JupData!$A$2:$K$10000,MATCH($A669&amp;G$1,JupData!$A$2:$A$10000&amp;JupData!$J$2:$J$10000,0),11))</f>
        <v/>
      </c>
      <c r="H669" t="str">
        <f t="array" ref="H669">IF($A669="","",INDEX(JupData!$A$2:$K$10000,MATCH($A669&amp;H$1,JupData!$A$2:$A$10000&amp;JupData!$J$2:$J$10000,0),11))</f>
        <v/>
      </c>
      <c r="I669" t="str">
        <f t="array" ref="I669">IF($A669="","",INDEX(JupData!$A$2:$K$10000,MATCH($A669&amp;I$1,JupData!$A$2:$A$10000&amp;JupData!$J$2:$J$10000,0),11))</f>
        <v/>
      </c>
      <c r="J669" t="str">
        <f t="array" ref="J669">IF($A669="","",INDEX(JupData!$A$2:$K$10000,MATCH($A669&amp;J$1,JupData!$A$2:$A$10000&amp;JupData!$J$2:$J$10000,0),11))</f>
        <v/>
      </c>
      <c r="K669" t="str">
        <f t="array" ref="K669">IF($A669="","",INDEX(JupData!$A$2:$K$10000,MATCH($A669&amp;K$1,JupData!$A$2:$A$10000&amp;JupData!$J$2:$J$10000,0),11))</f>
        <v/>
      </c>
      <c r="L669" t="str">
        <f t="array" ref="L669">IF($A669="","",INDEX(JupData!$A$2:$K$10000,MATCH($A669&amp;L$1,JupData!$A$2:$A$10000&amp;JupData!$J$2:$J$10000,0),11))</f>
        <v/>
      </c>
      <c r="M669" t="str">
        <f t="array" ref="M669">IF($A669="","",INDEX(JupData!$A$2:$K$10000,MATCH($A669&amp;M$1,JupData!$A$2:$A$10000&amp;JupData!$J$2:$J$10000,0),11))</f>
        <v/>
      </c>
      <c r="N669" t="str">
        <f t="array" ref="N669">IF($A669="","",INDEX(JupData!$A$2:$K$10000,MATCH($A669&amp;N$1,JupData!$A$2:$A$10000&amp;JupData!$J$2:$J$10000,0),11))</f>
        <v/>
      </c>
      <c r="O669" t="str">
        <f t="array" ref="O669">IF($A669="","",INDEX(JupData!$A$2:$K$10000,MATCH($A669&amp;O$1,JupData!$A$2:$A$10000&amp;JupData!$J$2:$J$10000,0),11))</f>
        <v/>
      </c>
      <c r="P669" t="str">
        <f t="array" ref="P669">IF($A669="","",INDEX(JupData!$A$2:$K$10000,MATCH($A669&amp;P$1,JupData!$A$2:$A$10000&amp;JupData!$J$2:$J$10000,0),11))</f>
        <v/>
      </c>
      <c r="Q669" t="str">
        <f t="array" ref="Q669">IF($A669="","",INDEX(JupData!$A$2:$K$10000,MATCH($A669&amp;Q$1,JupData!$A$2:$A$10000&amp;JupData!$J$2:$J$10000,0),11))</f>
        <v/>
      </c>
      <c r="R669" t="str">
        <f t="array" ref="R669">IF($A669="","",INDEX(JupData!$A$2:$K$10000,MATCH($A669&amp;R$1,JupData!$A$2:$A$10000&amp;JupData!$J$2:$J$10000,0),11))</f>
        <v/>
      </c>
      <c r="S669" t="str">
        <f t="array" ref="S669">IF($A669="","",INDEX(JupData!$A$2:$K$10000,MATCH($A669&amp;S$1,JupData!$A$2:$A$10000&amp;JupData!$J$2:$J$10000,0),11))</f>
        <v/>
      </c>
      <c r="T669" t="str">
        <f t="array" ref="T669">IF($A669="","",INDEX(JupData!$A$2:$K$10000,MATCH($A669&amp;T$1,JupData!$A$2:$A$10000&amp;JupData!$J$2:$J$10000,0),11))</f>
        <v/>
      </c>
      <c r="U669" t="str">
        <f t="array" ref="U669">IF($A669="","",INDEX(JupData!$A$2:$K$10000,MATCH($A669&amp;U$1,JupData!$A$2:$A$10000&amp;JupData!$J$2:$J$10000,0),11))</f>
        <v/>
      </c>
      <c r="V669" t="str">
        <f t="array" ref="V669">IF($A669="","",INDEX(JupData!$A$2:$K$10000,MATCH($A669&amp;V$1,JupData!$A$2:$A$10000&amp;JupData!$J$2:$J$10000,0),11))</f>
        <v/>
      </c>
      <c r="W669" t="str">
        <f t="array" ref="W669">IF($A669="","",INDEX(JupData!$A$2:$K$10000,MATCH($A669&amp;W$1,JupData!$A$2:$A$10000&amp;JupData!$J$2:$J$10000,0),11))</f>
        <v/>
      </c>
      <c r="X669" t="str">
        <f t="array" ref="X669">IF($A669="","",INDEX(JupData!$A$2:$K$10000,MATCH($A669&amp;X$1,JupData!$A$2:$A$10000&amp;JupData!$J$2:$J$10000,0),11))</f>
        <v/>
      </c>
      <c r="Y669" t="str">
        <f t="array" ref="Y669">IF($A669="","",INDEX(JupData!$A$2:$K$10000,MATCH($A669&amp;Y$1,JupData!$A$2:$A$10000&amp;JupData!$J$2:$J$10000,0),11))</f>
        <v/>
      </c>
      <c r="Z669" t="str">
        <f t="array" ref="Z669">IF($A669="","",INDEX(JupData!$A$2:$K$10000,MATCH($A669&amp;Z$1,JupData!$A$2:$A$10000&amp;JupData!$J$2:$J$10000,0),11))</f>
        <v/>
      </c>
      <c r="AA669" t="str">
        <f t="array" ref="AA669">IF($A669="","",INDEX(JupData!$A$2:$K$10000,MATCH($A669&amp;AA$1,JupData!$A$2:$A$10000&amp;JupData!$J$2:$J$10000,0),11))</f>
        <v/>
      </c>
      <c r="AB669" t="str">
        <f t="array" ref="AB669">IF($A669="","",INDEX(JupData!$A$2:$K$10000,MATCH($A669&amp;AB$1,JupData!$A$2:$A$10000&amp;JupData!$J$2:$J$10000,0),11))</f>
        <v/>
      </c>
      <c r="AC669" s="10" t="str">
        <f t="shared" si="110"/>
        <v/>
      </c>
      <c r="AD669" s="10" t="str">
        <f t="shared" si="111"/>
        <v/>
      </c>
      <c r="AE669" s="9" t="str">
        <f t="shared" si="112"/>
        <v/>
      </c>
      <c r="AF669" s="10" t="str">
        <f t="shared" si="113"/>
        <v/>
      </c>
      <c r="AG669" s="10" t="str">
        <f t="shared" si="114"/>
        <v/>
      </c>
      <c r="AH669" s="10" t="str">
        <f t="shared" si="115"/>
        <v/>
      </c>
      <c r="AI669" s="10" t="str">
        <f t="shared" si="116"/>
        <v/>
      </c>
      <c r="AJ669" s="10" t="str">
        <f t="shared" si="117"/>
        <v/>
      </c>
      <c r="AK669" s="10" t="str">
        <f t="shared" si="118"/>
        <v/>
      </c>
      <c r="AL669" s="14" t="str">
        <f t="shared" si="119"/>
        <v/>
      </c>
    </row>
    <row r="670" spans="1:38" x14ac:dyDescent="0.2">
      <c r="A670"/>
      <c r="B670" t="str">
        <f>IF($A670="","",VLOOKUP($A670,JupData!$A$2:$I$10000,4,FALSE))</f>
        <v/>
      </c>
      <c r="C670" s="7" t="str">
        <f>IF($A670="",IF(N(D670),0,""),VLOOKUP($A670,JupData!$A$2:$I$10000,7,FALSE))</f>
        <v/>
      </c>
      <c r="D670" t="str">
        <f t="shared" si="120"/>
        <v/>
      </c>
      <c r="E670" t="str">
        <f t="array" ref="E670">IF($A670="","",INDEX(JupData!$A$2:$K$10000,MATCH($A670&amp;E$1,JupData!$A$2:$A$10000&amp;JupData!$J$2:$J$10000,0),11))</f>
        <v/>
      </c>
      <c r="F670" t="str">
        <f t="array" ref="F670">IF($A670="","",INDEX(JupData!$A$2:$K$10000,MATCH($A670&amp;F$1,JupData!$A$2:$A$10000&amp;JupData!$J$2:$J$10000,0),11))</f>
        <v/>
      </c>
      <c r="G670" t="str">
        <f t="array" ref="G670">IF($A670="","",INDEX(JupData!$A$2:$K$10000,MATCH($A670&amp;G$1,JupData!$A$2:$A$10000&amp;JupData!$J$2:$J$10000,0),11))</f>
        <v/>
      </c>
      <c r="H670" t="str">
        <f t="array" ref="H670">IF($A670="","",INDEX(JupData!$A$2:$K$10000,MATCH($A670&amp;H$1,JupData!$A$2:$A$10000&amp;JupData!$J$2:$J$10000,0),11))</f>
        <v/>
      </c>
      <c r="I670" t="str">
        <f t="array" ref="I670">IF($A670="","",INDEX(JupData!$A$2:$K$10000,MATCH($A670&amp;I$1,JupData!$A$2:$A$10000&amp;JupData!$J$2:$J$10000,0),11))</f>
        <v/>
      </c>
      <c r="J670" t="str">
        <f t="array" ref="J670">IF($A670="","",INDEX(JupData!$A$2:$K$10000,MATCH($A670&amp;J$1,JupData!$A$2:$A$10000&amp;JupData!$J$2:$J$10000,0),11))</f>
        <v/>
      </c>
      <c r="K670" t="str">
        <f t="array" ref="K670">IF($A670="","",INDEX(JupData!$A$2:$K$10000,MATCH($A670&amp;K$1,JupData!$A$2:$A$10000&amp;JupData!$J$2:$J$10000,0),11))</f>
        <v/>
      </c>
      <c r="L670" t="str">
        <f t="array" ref="L670">IF($A670="","",INDEX(JupData!$A$2:$K$10000,MATCH($A670&amp;L$1,JupData!$A$2:$A$10000&amp;JupData!$J$2:$J$10000,0),11))</f>
        <v/>
      </c>
      <c r="M670" t="str">
        <f t="array" ref="M670">IF($A670="","",INDEX(JupData!$A$2:$K$10000,MATCH($A670&amp;M$1,JupData!$A$2:$A$10000&amp;JupData!$J$2:$J$10000,0),11))</f>
        <v/>
      </c>
      <c r="N670" t="str">
        <f t="array" ref="N670">IF($A670="","",INDEX(JupData!$A$2:$K$10000,MATCH($A670&amp;N$1,JupData!$A$2:$A$10000&amp;JupData!$J$2:$J$10000,0),11))</f>
        <v/>
      </c>
      <c r="O670" t="str">
        <f t="array" ref="O670">IF($A670="","",INDEX(JupData!$A$2:$K$10000,MATCH($A670&amp;O$1,JupData!$A$2:$A$10000&amp;JupData!$J$2:$J$10000,0),11))</f>
        <v/>
      </c>
      <c r="P670" t="str">
        <f t="array" ref="P670">IF($A670="","",INDEX(JupData!$A$2:$K$10000,MATCH($A670&amp;P$1,JupData!$A$2:$A$10000&amp;JupData!$J$2:$J$10000,0),11))</f>
        <v/>
      </c>
      <c r="Q670" t="str">
        <f t="array" ref="Q670">IF($A670="","",INDEX(JupData!$A$2:$K$10000,MATCH($A670&amp;Q$1,JupData!$A$2:$A$10000&amp;JupData!$J$2:$J$10000,0),11))</f>
        <v/>
      </c>
      <c r="R670" t="str">
        <f t="array" ref="R670">IF($A670="","",INDEX(JupData!$A$2:$K$10000,MATCH($A670&amp;R$1,JupData!$A$2:$A$10000&amp;JupData!$J$2:$J$10000,0),11))</f>
        <v/>
      </c>
      <c r="S670" t="str">
        <f t="array" ref="S670">IF($A670="","",INDEX(JupData!$A$2:$K$10000,MATCH($A670&amp;S$1,JupData!$A$2:$A$10000&amp;JupData!$J$2:$J$10000,0),11))</f>
        <v/>
      </c>
      <c r="T670" t="str">
        <f t="array" ref="T670">IF($A670="","",INDEX(JupData!$A$2:$K$10000,MATCH($A670&amp;T$1,JupData!$A$2:$A$10000&amp;JupData!$J$2:$J$10000,0),11))</f>
        <v/>
      </c>
      <c r="U670" t="str">
        <f t="array" ref="U670">IF($A670="","",INDEX(JupData!$A$2:$K$10000,MATCH($A670&amp;U$1,JupData!$A$2:$A$10000&amp;JupData!$J$2:$J$10000,0),11))</f>
        <v/>
      </c>
      <c r="V670" t="str">
        <f t="array" ref="V670">IF($A670="","",INDEX(JupData!$A$2:$K$10000,MATCH($A670&amp;V$1,JupData!$A$2:$A$10000&amp;JupData!$J$2:$J$10000,0),11))</f>
        <v/>
      </c>
      <c r="W670" t="str">
        <f t="array" ref="W670">IF($A670="","",INDEX(JupData!$A$2:$K$10000,MATCH($A670&amp;W$1,JupData!$A$2:$A$10000&amp;JupData!$J$2:$J$10000,0),11))</f>
        <v/>
      </c>
      <c r="X670" t="str">
        <f t="array" ref="X670">IF($A670="","",INDEX(JupData!$A$2:$K$10000,MATCH($A670&amp;X$1,JupData!$A$2:$A$10000&amp;JupData!$J$2:$J$10000,0),11))</f>
        <v/>
      </c>
      <c r="Y670" t="str">
        <f t="array" ref="Y670">IF($A670="","",INDEX(JupData!$A$2:$K$10000,MATCH($A670&amp;Y$1,JupData!$A$2:$A$10000&amp;JupData!$J$2:$J$10000,0),11))</f>
        <v/>
      </c>
      <c r="Z670" t="str">
        <f t="array" ref="Z670">IF($A670="","",INDEX(JupData!$A$2:$K$10000,MATCH($A670&amp;Z$1,JupData!$A$2:$A$10000&amp;JupData!$J$2:$J$10000,0),11))</f>
        <v/>
      </c>
      <c r="AA670" t="str">
        <f t="array" ref="AA670">IF($A670="","",INDEX(JupData!$A$2:$K$10000,MATCH($A670&amp;AA$1,JupData!$A$2:$A$10000&amp;JupData!$J$2:$J$10000,0),11))</f>
        <v/>
      </c>
      <c r="AB670" t="str">
        <f t="array" ref="AB670">IF($A670="","",INDEX(JupData!$A$2:$K$10000,MATCH($A670&amp;AB$1,JupData!$A$2:$A$10000&amp;JupData!$J$2:$J$10000,0),11))</f>
        <v/>
      </c>
      <c r="AC670" s="10" t="str">
        <f t="shared" si="110"/>
        <v/>
      </c>
      <c r="AD670" s="10" t="str">
        <f t="shared" si="111"/>
        <v/>
      </c>
      <c r="AE670" s="9" t="str">
        <f t="shared" si="112"/>
        <v/>
      </c>
      <c r="AF670" s="10" t="str">
        <f t="shared" si="113"/>
        <v/>
      </c>
      <c r="AG670" s="10" t="str">
        <f t="shared" si="114"/>
        <v/>
      </c>
      <c r="AH670" s="10" t="str">
        <f t="shared" si="115"/>
        <v/>
      </c>
      <c r="AI670" s="10" t="str">
        <f t="shared" si="116"/>
        <v/>
      </c>
      <c r="AJ670" s="10" t="str">
        <f t="shared" si="117"/>
        <v/>
      </c>
      <c r="AK670" s="10" t="str">
        <f t="shared" si="118"/>
        <v/>
      </c>
      <c r="AL670" s="14" t="str">
        <f t="shared" si="119"/>
        <v/>
      </c>
    </row>
    <row r="671" spans="1:38" x14ac:dyDescent="0.2">
      <c r="A671"/>
      <c r="B671" t="str">
        <f>IF($A671="","",VLOOKUP($A671,JupData!$A$2:$I$10000,4,FALSE))</f>
        <v/>
      </c>
      <c r="C671" s="7" t="str">
        <f>IF($A671="",IF(N(D671),0,""),VLOOKUP($A671,JupData!$A$2:$I$10000,7,FALSE))</f>
        <v/>
      </c>
      <c r="D671" t="str">
        <f t="shared" si="120"/>
        <v/>
      </c>
      <c r="E671" t="str">
        <f t="array" ref="E671">IF($A671="","",INDEX(JupData!$A$2:$K$10000,MATCH($A671&amp;E$1,JupData!$A$2:$A$10000&amp;JupData!$J$2:$J$10000,0),11))</f>
        <v/>
      </c>
      <c r="F671" t="str">
        <f t="array" ref="F671">IF($A671="","",INDEX(JupData!$A$2:$K$10000,MATCH($A671&amp;F$1,JupData!$A$2:$A$10000&amp;JupData!$J$2:$J$10000,0),11))</f>
        <v/>
      </c>
      <c r="G671" t="str">
        <f t="array" ref="G671">IF($A671="","",INDEX(JupData!$A$2:$K$10000,MATCH($A671&amp;G$1,JupData!$A$2:$A$10000&amp;JupData!$J$2:$J$10000,0),11))</f>
        <v/>
      </c>
      <c r="H671" t="str">
        <f t="array" ref="H671">IF($A671="","",INDEX(JupData!$A$2:$K$10000,MATCH($A671&amp;H$1,JupData!$A$2:$A$10000&amp;JupData!$J$2:$J$10000,0),11))</f>
        <v/>
      </c>
      <c r="I671" t="str">
        <f t="array" ref="I671">IF($A671="","",INDEX(JupData!$A$2:$K$10000,MATCH($A671&amp;I$1,JupData!$A$2:$A$10000&amp;JupData!$J$2:$J$10000,0),11))</f>
        <v/>
      </c>
      <c r="J671" t="str">
        <f t="array" ref="J671">IF($A671="","",INDEX(JupData!$A$2:$K$10000,MATCH($A671&amp;J$1,JupData!$A$2:$A$10000&amp;JupData!$J$2:$J$10000,0),11))</f>
        <v/>
      </c>
      <c r="K671" t="str">
        <f t="array" ref="K671">IF($A671="","",INDEX(JupData!$A$2:$K$10000,MATCH($A671&amp;K$1,JupData!$A$2:$A$10000&amp;JupData!$J$2:$J$10000,0),11))</f>
        <v/>
      </c>
      <c r="L671" t="str">
        <f t="array" ref="L671">IF($A671="","",INDEX(JupData!$A$2:$K$10000,MATCH($A671&amp;L$1,JupData!$A$2:$A$10000&amp;JupData!$J$2:$J$10000,0),11))</f>
        <v/>
      </c>
      <c r="M671" t="str">
        <f t="array" ref="M671">IF($A671="","",INDEX(JupData!$A$2:$K$10000,MATCH($A671&amp;M$1,JupData!$A$2:$A$10000&amp;JupData!$J$2:$J$10000,0),11))</f>
        <v/>
      </c>
      <c r="N671" t="str">
        <f t="array" ref="N671">IF($A671="","",INDEX(JupData!$A$2:$K$10000,MATCH($A671&amp;N$1,JupData!$A$2:$A$10000&amp;JupData!$J$2:$J$10000,0),11))</f>
        <v/>
      </c>
      <c r="O671" t="str">
        <f t="array" ref="O671">IF($A671="","",INDEX(JupData!$A$2:$K$10000,MATCH($A671&amp;O$1,JupData!$A$2:$A$10000&amp;JupData!$J$2:$J$10000,0),11))</f>
        <v/>
      </c>
      <c r="P671" t="str">
        <f t="array" ref="P671">IF($A671="","",INDEX(JupData!$A$2:$K$10000,MATCH($A671&amp;P$1,JupData!$A$2:$A$10000&amp;JupData!$J$2:$J$10000,0),11))</f>
        <v/>
      </c>
      <c r="Q671" t="str">
        <f t="array" ref="Q671">IF($A671="","",INDEX(JupData!$A$2:$K$10000,MATCH($A671&amp;Q$1,JupData!$A$2:$A$10000&amp;JupData!$J$2:$J$10000,0),11))</f>
        <v/>
      </c>
      <c r="R671" t="str">
        <f t="array" ref="R671">IF($A671="","",INDEX(JupData!$A$2:$K$10000,MATCH($A671&amp;R$1,JupData!$A$2:$A$10000&amp;JupData!$J$2:$J$10000,0),11))</f>
        <v/>
      </c>
      <c r="S671" t="str">
        <f t="array" ref="S671">IF($A671="","",INDEX(JupData!$A$2:$K$10000,MATCH($A671&amp;S$1,JupData!$A$2:$A$10000&amp;JupData!$J$2:$J$10000,0),11))</f>
        <v/>
      </c>
      <c r="T671" t="str">
        <f t="array" ref="T671">IF($A671="","",INDEX(JupData!$A$2:$K$10000,MATCH($A671&amp;T$1,JupData!$A$2:$A$10000&amp;JupData!$J$2:$J$10000,0),11))</f>
        <v/>
      </c>
      <c r="U671" t="str">
        <f t="array" ref="U671">IF($A671="","",INDEX(JupData!$A$2:$K$10000,MATCH($A671&amp;U$1,JupData!$A$2:$A$10000&amp;JupData!$J$2:$J$10000,0),11))</f>
        <v/>
      </c>
      <c r="V671" t="str">
        <f t="array" ref="V671">IF($A671="","",INDEX(JupData!$A$2:$K$10000,MATCH($A671&amp;V$1,JupData!$A$2:$A$10000&amp;JupData!$J$2:$J$10000,0),11))</f>
        <v/>
      </c>
      <c r="W671" t="str">
        <f t="array" ref="W671">IF($A671="","",INDEX(JupData!$A$2:$K$10000,MATCH($A671&amp;W$1,JupData!$A$2:$A$10000&amp;JupData!$J$2:$J$10000,0),11))</f>
        <v/>
      </c>
      <c r="X671" t="str">
        <f t="array" ref="X671">IF($A671="","",INDEX(JupData!$A$2:$K$10000,MATCH($A671&amp;X$1,JupData!$A$2:$A$10000&amp;JupData!$J$2:$J$10000,0),11))</f>
        <v/>
      </c>
      <c r="Y671" t="str">
        <f t="array" ref="Y671">IF($A671="","",INDEX(JupData!$A$2:$K$10000,MATCH($A671&amp;Y$1,JupData!$A$2:$A$10000&amp;JupData!$J$2:$J$10000,0),11))</f>
        <v/>
      </c>
      <c r="Z671" t="str">
        <f t="array" ref="Z671">IF($A671="","",INDEX(JupData!$A$2:$K$10000,MATCH($A671&amp;Z$1,JupData!$A$2:$A$10000&amp;JupData!$J$2:$J$10000,0),11))</f>
        <v/>
      </c>
      <c r="AA671" t="str">
        <f t="array" ref="AA671">IF($A671="","",INDEX(JupData!$A$2:$K$10000,MATCH($A671&amp;AA$1,JupData!$A$2:$A$10000&amp;JupData!$J$2:$J$10000,0),11))</f>
        <v/>
      </c>
      <c r="AB671" t="str">
        <f t="array" ref="AB671">IF($A671="","",INDEX(JupData!$A$2:$K$10000,MATCH($A671&amp;AB$1,JupData!$A$2:$A$10000&amp;JupData!$J$2:$J$10000,0),11))</f>
        <v/>
      </c>
      <c r="AC671" s="10" t="str">
        <f t="shared" si="110"/>
        <v/>
      </c>
      <c r="AD671" s="10" t="str">
        <f t="shared" si="111"/>
        <v/>
      </c>
      <c r="AE671" s="9" t="str">
        <f t="shared" si="112"/>
        <v/>
      </c>
      <c r="AF671" s="10" t="str">
        <f t="shared" si="113"/>
        <v/>
      </c>
      <c r="AG671" s="10" t="str">
        <f t="shared" si="114"/>
        <v/>
      </c>
      <c r="AH671" s="10" t="str">
        <f t="shared" si="115"/>
        <v/>
      </c>
      <c r="AI671" s="10" t="str">
        <f t="shared" si="116"/>
        <v/>
      </c>
      <c r="AJ671" s="10" t="str">
        <f t="shared" si="117"/>
        <v/>
      </c>
      <c r="AK671" s="10" t="str">
        <f t="shared" si="118"/>
        <v/>
      </c>
      <c r="AL671" s="14" t="str">
        <f t="shared" si="119"/>
        <v/>
      </c>
    </row>
    <row r="672" spans="1:38" x14ac:dyDescent="0.2">
      <c r="A672"/>
      <c r="B672" t="str">
        <f>IF($A672="","",VLOOKUP($A672,JupData!$A$2:$I$10000,4,FALSE))</f>
        <v/>
      </c>
      <c r="C672" s="7" t="str">
        <f>IF($A672="",IF(N(D672),0,""),VLOOKUP($A672,JupData!$A$2:$I$10000,7,FALSE))</f>
        <v/>
      </c>
      <c r="D672" t="str">
        <f t="shared" si="120"/>
        <v/>
      </c>
      <c r="E672" t="str">
        <f t="array" ref="E672">IF($A672="","",INDEX(JupData!$A$2:$K$10000,MATCH($A672&amp;E$1,JupData!$A$2:$A$10000&amp;JupData!$J$2:$J$10000,0),11))</f>
        <v/>
      </c>
      <c r="F672" t="str">
        <f t="array" ref="F672">IF($A672="","",INDEX(JupData!$A$2:$K$10000,MATCH($A672&amp;F$1,JupData!$A$2:$A$10000&amp;JupData!$J$2:$J$10000,0),11))</f>
        <v/>
      </c>
      <c r="G672" t="str">
        <f t="array" ref="G672">IF($A672="","",INDEX(JupData!$A$2:$K$10000,MATCH($A672&amp;G$1,JupData!$A$2:$A$10000&amp;JupData!$J$2:$J$10000,0),11))</f>
        <v/>
      </c>
      <c r="H672" t="str">
        <f t="array" ref="H672">IF($A672="","",INDEX(JupData!$A$2:$K$10000,MATCH($A672&amp;H$1,JupData!$A$2:$A$10000&amp;JupData!$J$2:$J$10000,0),11))</f>
        <v/>
      </c>
      <c r="I672" t="str">
        <f t="array" ref="I672">IF($A672="","",INDEX(JupData!$A$2:$K$10000,MATCH($A672&amp;I$1,JupData!$A$2:$A$10000&amp;JupData!$J$2:$J$10000,0),11))</f>
        <v/>
      </c>
      <c r="J672" t="str">
        <f t="array" ref="J672">IF($A672="","",INDEX(JupData!$A$2:$K$10000,MATCH($A672&amp;J$1,JupData!$A$2:$A$10000&amp;JupData!$J$2:$J$10000,0),11))</f>
        <v/>
      </c>
      <c r="K672" t="str">
        <f t="array" ref="K672">IF($A672="","",INDEX(JupData!$A$2:$K$10000,MATCH($A672&amp;K$1,JupData!$A$2:$A$10000&amp;JupData!$J$2:$J$10000,0),11))</f>
        <v/>
      </c>
      <c r="L672" t="str">
        <f t="array" ref="L672">IF($A672="","",INDEX(JupData!$A$2:$K$10000,MATCH($A672&amp;L$1,JupData!$A$2:$A$10000&amp;JupData!$J$2:$J$10000,0),11))</f>
        <v/>
      </c>
      <c r="M672" t="str">
        <f t="array" ref="M672">IF($A672="","",INDEX(JupData!$A$2:$K$10000,MATCH($A672&amp;M$1,JupData!$A$2:$A$10000&amp;JupData!$J$2:$J$10000,0),11))</f>
        <v/>
      </c>
      <c r="N672" t="str">
        <f t="array" ref="N672">IF($A672="","",INDEX(JupData!$A$2:$K$10000,MATCH($A672&amp;N$1,JupData!$A$2:$A$10000&amp;JupData!$J$2:$J$10000,0),11))</f>
        <v/>
      </c>
      <c r="O672" t="str">
        <f t="array" ref="O672">IF($A672="","",INDEX(JupData!$A$2:$K$10000,MATCH($A672&amp;O$1,JupData!$A$2:$A$10000&amp;JupData!$J$2:$J$10000,0),11))</f>
        <v/>
      </c>
      <c r="P672" t="str">
        <f t="array" ref="P672">IF($A672="","",INDEX(JupData!$A$2:$K$10000,MATCH($A672&amp;P$1,JupData!$A$2:$A$10000&amp;JupData!$J$2:$J$10000,0),11))</f>
        <v/>
      </c>
      <c r="Q672" t="str">
        <f t="array" ref="Q672">IF($A672="","",INDEX(JupData!$A$2:$K$10000,MATCH($A672&amp;Q$1,JupData!$A$2:$A$10000&amp;JupData!$J$2:$J$10000,0),11))</f>
        <v/>
      </c>
      <c r="R672" t="str">
        <f t="array" ref="R672">IF($A672="","",INDEX(JupData!$A$2:$K$10000,MATCH($A672&amp;R$1,JupData!$A$2:$A$10000&amp;JupData!$J$2:$J$10000,0),11))</f>
        <v/>
      </c>
      <c r="S672" t="str">
        <f t="array" ref="S672">IF($A672="","",INDEX(JupData!$A$2:$K$10000,MATCH($A672&amp;S$1,JupData!$A$2:$A$10000&amp;JupData!$J$2:$J$10000,0),11))</f>
        <v/>
      </c>
      <c r="T672" t="str">
        <f t="array" ref="T672">IF($A672="","",INDEX(JupData!$A$2:$K$10000,MATCH($A672&amp;T$1,JupData!$A$2:$A$10000&amp;JupData!$J$2:$J$10000,0),11))</f>
        <v/>
      </c>
      <c r="U672" t="str">
        <f t="array" ref="U672">IF($A672="","",INDEX(JupData!$A$2:$K$10000,MATCH($A672&amp;U$1,JupData!$A$2:$A$10000&amp;JupData!$J$2:$J$10000,0),11))</f>
        <v/>
      </c>
      <c r="V672" t="str">
        <f t="array" ref="V672">IF($A672="","",INDEX(JupData!$A$2:$K$10000,MATCH($A672&amp;V$1,JupData!$A$2:$A$10000&amp;JupData!$J$2:$J$10000,0),11))</f>
        <v/>
      </c>
      <c r="W672" t="str">
        <f t="array" ref="W672">IF($A672="","",INDEX(JupData!$A$2:$K$10000,MATCH($A672&amp;W$1,JupData!$A$2:$A$10000&amp;JupData!$J$2:$J$10000,0),11))</f>
        <v/>
      </c>
      <c r="X672" t="str">
        <f t="array" ref="X672">IF($A672="","",INDEX(JupData!$A$2:$K$10000,MATCH($A672&amp;X$1,JupData!$A$2:$A$10000&amp;JupData!$J$2:$J$10000,0),11))</f>
        <v/>
      </c>
      <c r="Y672" t="str">
        <f t="array" ref="Y672">IF($A672="","",INDEX(JupData!$A$2:$K$10000,MATCH($A672&amp;Y$1,JupData!$A$2:$A$10000&amp;JupData!$J$2:$J$10000,0),11))</f>
        <v/>
      </c>
      <c r="Z672" t="str">
        <f t="array" ref="Z672">IF($A672="","",INDEX(JupData!$A$2:$K$10000,MATCH($A672&amp;Z$1,JupData!$A$2:$A$10000&amp;JupData!$J$2:$J$10000,0),11))</f>
        <v/>
      </c>
      <c r="AA672" t="str">
        <f t="array" ref="AA672">IF($A672="","",INDEX(JupData!$A$2:$K$10000,MATCH($A672&amp;AA$1,JupData!$A$2:$A$10000&amp;JupData!$J$2:$J$10000,0),11))</f>
        <v/>
      </c>
      <c r="AB672" t="str">
        <f t="array" ref="AB672">IF($A672="","",INDEX(JupData!$A$2:$K$10000,MATCH($A672&amp;AB$1,JupData!$A$2:$A$10000&amp;JupData!$J$2:$J$10000,0),11))</f>
        <v/>
      </c>
      <c r="AC672" s="10" t="str">
        <f t="shared" si="110"/>
        <v/>
      </c>
      <c r="AD672" s="10" t="str">
        <f t="shared" si="111"/>
        <v/>
      </c>
      <c r="AE672" s="9" t="str">
        <f t="shared" si="112"/>
        <v/>
      </c>
      <c r="AF672" s="10" t="str">
        <f t="shared" si="113"/>
        <v/>
      </c>
      <c r="AG672" s="10" t="str">
        <f t="shared" si="114"/>
        <v/>
      </c>
      <c r="AH672" s="10" t="str">
        <f t="shared" si="115"/>
        <v/>
      </c>
      <c r="AI672" s="10" t="str">
        <f t="shared" si="116"/>
        <v/>
      </c>
      <c r="AJ672" s="10" t="str">
        <f t="shared" si="117"/>
        <v/>
      </c>
      <c r="AK672" s="10" t="str">
        <f t="shared" si="118"/>
        <v/>
      </c>
      <c r="AL672" s="14" t="str">
        <f t="shared" si="119"/>
        <v/>
      </c>
    </row>
    <row r="673" spans="1:38" x14ac:dyDescent="0.2">
      <c r="A673"/>
      <c r="B673" t="str">
        <f>IF($A673="","",VLOOKUP($A673,JupData!$A$2:$I$10000,4,FALSE))</f>
        <v/>
      </c>
      <c r="C673" s="7" t="str">
        <f>IF($A673="",IF(N(D673),0,""),VLOOKUP($A673,JupData!$A$2:$I$10000,7,FALSE))</f>
        <v/>
      </c>
      <c r="D673" t="str">
        <f t="shared" si="120"/>
        <v/>
      </c>
      <c r="E673" t="str">
        <f t="array" ref="E673">IF($A673="","",INDEX(JupData!$A$2:$K$10000,MATCH($A673&amp;E$1,JupData!$A$2:$A$10000&amp;JupData!$J$2:$J$10000,0),11))</f>
        <v/>
      </c>
      <c r="F673" t="str">
        <f t="array" ref="F673">IF($A673="","",INDEX(JupData!$A$2:$K$10000,MATCH($A673&amp;F$1,JupData!$A$2:$A$10000&amp;JupData!$J$2:$J$10000,0),11))</f>
        <v/>
      </c>
      <c r="G673" t="str">
        <f t="array" ref="G673">IF($A673="","",INDEX(JupData!$A$2:$K$10000,MATCH($A673&amp;G$1,JupData!$A$2:$A$10000&amp;JupData!$J$2:$J$10000,0),11))</f>
        <v/>
      </c>
      <c r="H673" t="str">
        <f t="array" ref="H673">IF($A673="","",INDEX(JupData!$A$2:$K$10000,MATCH($A673&amp;H$1,JupData!$A$2:$A$10000&amp;JupData!$J$2:$J$10000,0),11))</f>
        <v/>
      </c>
      <c r="I673" t="str">
        <f t="array" ref="I673">IF($A673="","",INDEX(JupData!$A$2:$K$10000,MATCH($A673&amp;I$1,JupData!$A$2:$A$10000&amp;JupData!$J$2:$J$10000,0),11))</f>
        <v/>
      </c>
      <c r="J673" t="str">
        <f t="array" ref="J673">IF($A673="","",INDEX(JupData!$A$2:$K$10000,MATCH($A673&amp;J$1,JupData!$A$2:$A$10000&amp;JupData!$J$2:$J$10000,0),11))</f>
        <v/>
      </c>
      <c r="K673" t="str">
        <f t="array" ref="K673">IF($A673="","",INDEX(JupData!$A$2:$K$10000,MATCH($A673&amp;K$1,JupData!$A$2:$A$10000&amp;JupData!$J$2:$J$10000,0),11))</f>
        <v/>
      </c>
      <c r="L673" t="str">
        <f t="array" ref="L673">IF($A673="","",INDEX(JupData!$A$2:$K$10000,MATCH($A673&amp;L$1,JupData!$A$2:$A$10000&amp;JupData!$J$2:$J$10000,0),11))</f>
        <v/>
      </c>
      <c r="M673" t="str">
        <f t="array" ref="M673">IF($A673="","",INDEX(JupData!$A$2:$K$10000,MATCH($A673&amp;M$1,JupData!$A$2:$A$10000&amp;JupData!$J$2:$J$10000,0),11))</f>
        <v/>
      </c>
      <c r="N673" t="str">
        <f t="array" ref="N673">IF($A673="","",INDEX(JupData!$A$2:$K$10000,MATCH($A673&amp;N$1,JupData!$A$2:$A$10000&amp;JupData!$J$2:$J$10000,0),11))</f>
        <v/>
      </c>
      <c r="O673" t="str">
        <f t="array" ref="O673">IF($A673="","",INDEX(JupData!$A$2:$K$10000,MATCH($A673&amp;O$1,JupData!$A$2:$A$10000&amp;JupData!$J$2:$J$10000,0),11))</f>
        <v/>
      </c>
      <c r="P673" t="str">
        <f t="array" ref="P673">IF($A673="","",INDEX(JupData!$A$2:$K$10000,MATCH($A673&amp;P$1,JupData!$A$2:$A$10000&amp;JupData!$J$2:$J$10000,0),11))</f>
        <v/>
      </c>
      <c r="Q673" t="str">
        <f t="array" ref="Q673">IF($A673="","",INDEX(JupData!$A$2:$K$10000,MATCH($A673&amp;Q$1,JupData!$A$2:$A$10000&amp;JupData!$J$2:$J$10000,0),11))</f>
        <v/>
      </c>
      <c r="R673" t="str">
        <f t="array" ref="R673">IF($A673="","",INDEX(JupData!$A$2:$K$10000,MATCH($A673&amp;R$1,JupData!$A$2:$A$10000&amp;JupData!$J$2:$J$10000,0),11))</f>
        <v/>
      </c>
      <c r="S673" t="str">
        <f t="array" ref="S673">IF($A673="","",INDEX(JupData!$A$2:$K$10000,MATCH($A673&amp;S$1,JupData!$A$2:$A$10000&amp;JupData!$J$2:$J$10000,0),11))</f>
        <v/>
      </c>
      <c r="T673" t="str">
        <f t="array" ref="T673">IF($A673="","",INDEX(JupData!$A$2:$K$10000,MATCH($A673&amp;T$1,JupData!$A$2:$A$10000&amp;JupData!$J$2:$J$10000,0),11))</f>
        <v/>
      </c>
      <c r="U673" t="str">
        <f t="array" ref="U673">IF($A673="","",INDEX(JupData!$A$2:$K$10000,MATCH($A673&amp;U$1,JupData!$A$2:$A$10000&amp;JupData!$J$2:$J$10000,0),11))</f>
        <v/>
      </c>
      <c r="V673" t="str">
        <f t="array" ref="V673">IF($A673="","",INDEX(JupData!$A$2:$K$10000,MATCH($A673&amp;V$1,JupData!$A$2:$A$10000&amp;JupData!$J$2:$J$10000,0),11))</f>
        <v/>
      </c>
      <c r="W673" t="str">
        <f t="array" ref="W673">IF($A673="","",INDEX(JupData!$A$2:$K$10000,MATCH($A673&amp;W$1,JupData!$A$2:$A$10000&amp;JupData!$J$2:$J$10000,0),11))</f>
        <v/>
      </c>
      <c r="X673" t="str">
        <f t="array" ref="X673">IF($A673="","",INDEX(JupData!$A$2:$K$10000,MATCH($A673&amp;X$1,JupData!$A$2:$A$10000&amp;JupData!$J$2:$J$10000,0),11))</f>
        <v/>
      </c>
      <c r="Y673" t="str">
        <f t="array" ref="Y673">IF($A673="","",INDEX(JupData!$A$2:$K$10000,MATCH($A673&amp;Y$1,JupData!$A$2:$A$10000&amp;JupData!$J$2:$J$10000,0),11))</f>
        <v/>
      </c>
      <c r="Z673" t="str">
        <f t="array" ref="Z673">IF($A673="","",INDEX(JupData!$A$2:$K$10000,MATCH($A673&amp;Z$1,JupData!$A$2:$A$10000&amp;JupData!$J$2:$J$10000,0),11))</f>
        <v/>
      </c>
      <c r="AA673" t="str">
        <f t="array" ref="AA673">IF($A673="","",INDEX(JupData!$A$2:$K$10000,MATCH($A673&amp;AA$1,JupData!$A$2:$A$10000&amp;JupData!$J$2:$J$10000,0),11))</f>
        <v/>
      </c>
      <c r="AB673" t="str">
        <f t="array" ref="AB673">IF($A673="","",INDEX(JupData!$A$2:$K$10000,MATCH($A673&amp;AB$1,JupData!$A$2:$A$10000&amp;JupData!$J$2:$J$10000,0),11))</f>
        <v/>
      </c>
      <c r="AC673" s="10" t="str">
        <f t="shared" si="110"/>
        <v/>
      </c>
      <c r="AD673" s="10" t="str">
        <f t="shared" si="111"/>
        <v/>
      </c>
      <c r="AE673" s="9" t="str">
        <f t="shared" si="112"/>
        <v/>
      </c>
      <c r="AF673" s="10" t="str">
        <f t="shared" si="113"/>
        <v/>
      </c>
      <c r="AG673" s="10" t="str">
        <f t="shared" si="114"/>
        <v/>
      </c>
      <c r="AH673" s="10" t="str">
        <f t="shared" si="115"/>
        <v/>
      </c>
      <c r="AI673" s="10" t="str">
        <f t="shared" si="116"/>
        <v/>
      </c>
      <c r="AJ673" s="10" t="str">
        <f t="shared" si="117"/>
        <v/>
      </c>
      <c r="AK673" s="10" t="str">
        <f t="shared" si="118"/>
        <v/>
      </c>
      <c r="AL673" s="14" t="str">
        <f t="shared" si="119"/>
        <v/>
      </c>
    </row>
    <row r="674" spans="1:38" x14ac:dyDescent="0.2">
      <c r="A674"/>
      <c r="B674" t="str">
        <f>IF($A674="","",VLOOKUP($A674,JupData!$A$2:$I$10000,4,FALSE))</f>
        <v/>
      </c>
      <c r="C674" s="7" t="str">
        <f>IF($A674="",IF(N(D674),0,""),VLOOKUP($A674,JupData!$A$2:$I$10000,7,FALSE))</f>
        <v/>
      </c>
      <c r="D674" t="str">
        <f t="shared" si="120"/>
        <v/>
      </c>
      <c r="E674" t="str">
        <f t="array" ref="E674">IF($A674="","",INDEX(JupData!$A$2:$K$10000,MATCH($A674&amp;E$1,JupData!$A$2:$A$10000&amp;JupData!$J$2:$J$10000,0),11))</f>
        <v/>
      </c>
      <c r="F674" t="str">
        <f t="array" ref="F674">IF($A674="","",INDEX(JupData!$A$2:$K$10000,MATCH($A674&amp;F$1,JupData!$A$2:$A$10000&amp;JupData!$J$2:$J$10000,0),11))</f>
        <v/>
      </c>
      <c r="G674" t="str">
        <f t="array" ref="G674">IF($A674="","",INDEX(JupData!$A$2:$K$10000,MATCH($A674&amp;G$1,JupData!$A$2:$A$10000&amp;JupData!$J$2:$J$10000,0),11))</f>
        <v/>
      </c>
      <c r="H674" t="str">
        <f t="array" ref="H674">IF($A674="","",INDEX(JupData!$A$2:$K$10000,MATCH($A674&amp;H$1,JupData!$A$2:$A$10000&amp;JupData!$J$2:$J$10000,0),11))</f>
        <v/>
      </c>
      <c r="I674" t="str">
        <f t="array" ref="I674">IF($A674="","",INDEX(JupData!$A$2:$K$10000,MATCH($A674&amp;I$1,JupData!$A$2:$A$10000&amp;JupData!$J$2:$J$10000,0),11))</f>
        <v/>
      </c>
      <c r="J674" t="str">
        <f t="array" ref="J674">IF($A674="","",INDEX(JupData!$A$2:$K$10000,MATCH($A674&amp;J$1,JupData!$A$2:$A$10000&amp;JupData!$J$2:$J$10000,0),11))</f>
        <v/>
      </c>
      <c r="K674" t="str">
        <f t="array" ref="K674">IF($A674="","",INDEX(JupData!$A$2:$K$10000,MATCH($A674&amp;K$1,JupData!$A$2:$A$10000&amp;JupData!$J$2:$J$10000,0),11))</f>
        <v/>
      </c>
      <c r="L674" t="str">
        <f t="array" ref="L674">IF($A674="","",INDEX(JupData!$A$2:$K$10000,MATCH($A674&amp;L$1,JupData!$A$2:$A$10000&amp;JupData!$J$2:$J$10000,0),11))</f>
        <v/>
      </c>
      <c r="M674" t="str">
        <f t="array" ref="M674">IF($A674="","",INDEX(JupData!$A$2:$K$10000,MATCH($A674&amp;M$1,JupData!$A$2:$A$10000&amp;JupData!$J$2:$J$10000,0),11))</f>
        <v/>
      </c>
      <c r="N674" t="str">
        <f t="array" ref="N674">IF($A674="","",INDEX(JupData!$A$2:$K$10000,MATCH($A674&amp;N$1,JupData!$A$2:$A$10000&amp;JupData!$J$2:$J$10000,0),11))</f>
        <v/>
      </c>
      <c r="O674" t="str">
        <f t="array" ref="O674">IF($A674="","",INDEX(JupData!$A$2:$K$10000,MATCH($A674&amp;O$1,JupData!$A$2:$A$10000&amp;JupData!$J$2:$J$10000,0),11))</f>
        <v/>
      </c>
      <c r="P674" t="str">
        <f t="array" ref="P674">IF($A674="","",INDEX(JupData!$A$2:$K$10000,MATCH($A674&amp;P$1,JupData!$A$2:$A$10000&amp;JupData!$J$2:$J$10000,0),11))</f>
        <v/>
      </c>
      <c r="Q674" t="str">
        <f t="array" ref="Q674">IF($A674="","",INDEX(JupData!$A$2:$K$10000,MATCH($A674&amp;Q$1,JupData!$A$2:$A$10000&amp;JupData!$J$2:$J$10000,0),11))</f>
        <v/>
      </c>
      <c r="R674" t="str">
        <f t="array" ref="R674">IF($A674="","",INDEX(JupData!$A$2:$K$10000,MATCH($A674&amp;R$1,JupData!$A$2:$A$10000&amp;JupData!$J$2:$J$10000,0),11))</f>
        <v/>
      </c>
      <c r="S674" t="str">
        <f t="array" ref="S674">IF($A674="","",INDEX(JupData!$A$2:$K$10000,MATCH($A674&amp;S$1,JupData!$A$2:$A$10000&amp;JupData!$J$2:$J$10000,0),11))</f>
        <v/>
      </c>
      <c r="T674" t="str">
        <f t="array" ref="T674">IF($A674="","",INDEX(JupData!$A$2:$K$10000,MATCH($A674&amp;T$1,JupData!$A$2:$A$10000&amp;JupData!$J$2:$J$10000,0),11))</f>
        <v/>
      </c>
      <c r="U674" t="str">
        <f t="array" ref="U674">IF($A674="","",INDEX(JupData!$A$2:$K$10000,MATCH($A674&amp;U$1,JupData!$A$2:$A$10000&amp;JupData!$J$2:$J$10000,0),11))</f>
        <v/>
      </c>
      <c r="V674" t="str">
        <f t="array" ref="V674">IF($A674="","",INDEX(JupData!$A$2:$K$10000,MATCH($A674&amp;V$1,JupData!$A$2:$A$10000&amp;JupData!$J$2:$J$10000,0),11))</f>
        <v/>
      </c>
      <c r="W674" t="str">
        <f t="array" ref="W674">IF($A674="","",INDEX(JupData!$A$2:$K$10000,MATCH($A674&amp;W$1,JupData!$A$2:$A$10000&amp;JupData!$J$2:$J$10000,0),11))</f>
        <v/>
      </c>
      <c r="X674" t="str">
        <f t="array" ref="X674">IF($A674="","",INDEX(JupData!$A$2:$K$10000,MATCH($A674&amp;X$1,JupData!$A$2:$A$10000&amp;JupData!$J$2:$J$10000,0),11))</f>
        <v/>
      </c>
      <c r="Y674" t="str">
        <f t="array" ref="Y674">IF($A674="","",INDEX(JupData!$A$2:$K$10000,MATCH($A674&amp;Y$1,JupData!$A$2:$A$10000&amp;JupData!$J$2:$J$10000,0),11))</f>
        <v/>
      </c>
      <c r="Z674" t="str">
        <f t="array" ref="Z674">IF($A674="","",INDEX(JupData!$A$2:$K$10000,MATCH($A674&amp;Z$1,JupData!$A$2:$A$10000&amp;JupData!$J$2:$J$10000,0),11))</f>
        <v/>
      </c>
      <c r="AA674" t="str">
        <f t="array" ref="AA674">IF($A674="","",INDEX(JupData!$A$2:$K$10000,MATCH($A674&amp;AA$1,JupData!$A$2:$A$10000&amp;JupData!$J$2:$J$10000,0),11))</f>
        <v/>
      </c>
      <c r="AB674" t="str">
        <f t="array" ref="AB674">IF($A674="","",INDEX(JupData!$A$2:$K$10000,MATCH($A674&amp;AB$1,JupData!$A$2:$A$10000&amp;JupData!$J$2:$J$10000,0),11))</f>
        <v/>
      </c>
      <c r="AC674" s="10" t="str">
        <f t="shared" si="110"/>
        <v/>
      </c>
      <c r="AD674" s="10" t="str">
        <f t="shared" si="111"/>
        <v/>
      </c>
      <c r="AE674" s="9" t="str">
        <f t="shared" si="112"/>
        <v/>
      </c>
      <c r="AF674" s="10" t="str">
        <f t="shared" si="113"/>
        <v/>
      </c>
      <c r="AG674" s="10" t="str">
        <f t="shared" si="114"/>
        <v/>
      </c>
      <c r="AH674" s="10" t="str">
        <f t="shared" si="115"/>
        <v/>
      </c>
      <c r="AI674" s="10" t="str">
        <f t="shared" si="116"/>
        <v/>
      </c>
      <c r="AJ674" s="10" t="str">
        <f t="shared" si="117"/>
        <v/>
      </c>
      <c r="AK674" s="10" t="str">
        <f t="shared" si="118"/>
        <v/>
      </c>
      <c r="AL674" s="14" t="str">
        <f t="shared" si="119"/>
        <v/>
      </c>
    </row>
    <row r="675" spans="1:38" x14ac:dyDescent="0.2">
      <c r="A675"/>
      <c r="B675" t="str">
        <f>IF($A675="","",VLOOKUP($A675,JupData!$A$2:$I$10000,4,FALSE))</f>
        <v/>
      </c>
      <c r="C675" s="7" t="str">
        <f>IF($A675="",IF(N(D675),0,""),VLOOKUP($A675,JupData!$A$2:$I$10000,7,FALSE))</f>
        <v/>
      </c>
      <c r="D675" t="str">
        <f t="shared" si="120"/>
        <v/>
      </c>
      <c r="E675" t="str">
        <f t="array" ref="E675">IF($A675="","",INDEX(JupData!$A$2:$K$10000,MATCH($A675&amp;E$1,JupData!$A$2:$A$10000&amp;JupData!$J$2:$J$10000,0),11))</f>
        <v/>
      </c>
      <c r="F675" t="str">
        <f t="array" ref="F675">IF($A675="","",INDEX(JupData!$A$2:$K$10000,MATCH($A675&amp;F$1,JupData!$A$2:$A$10000&amp;JupData!$J$2:$J$10000,0),11))</f>
        <v/>
      </c>
      <c r="G675" t="str">
        <f t="array" ref="G675">IF($A675="","",INDEX(JupData!$A$2:$K$10000,MATCH($A675&amp;G$1,JupData!$A$2:$A$10000&amp;JupData!$J$2:$J$10000,0),11))</f>
        <v/>
      </c>
      <c r="H675" t="str">
        <f t="array" ref="H675">IF($A675="","",INDEX(JupData!$A$2:$K$10000,MATCH($A675&amp;H$1,JupData!$A$2:$A$10000&amp;JupData!$J$2:$J$10000,0),11))</f>
        <v/>
      </c>
      <c r="I675" t="str">
        <f t="array" ref="I675">IF($A675="","",INDEX(JupData!$A$2:$K$10000,MATCH($A675&amp;I$1,JupData!$A$2:$A$10000&amp;JupData!$J$2:$J$10000,0),11))</f>
        <v/>
      </c>
      <c r="J675" t="str">
        <f t="array" ref="J675">IF($A675="","",INDEX(JupData!$A$2:$K$10000,MATCH($A675&amp;J$1,JupData!$A$2:$A$10000&amp;JupData!$J$2:$J$10000,0),11))</f>
        <v/>
      </c>
      <c r="K675" t="str">
        <f t="array" ref="K675">IF($A675="","",INDEX(JupData!$A$2:$K$10000,MATCH($A675&amp;K$1,JupData!$A$2:$A$10000&amp;JupData!$J$2:$J$10000,0),11))</f>
        <v/>
      </c>
      <c r="L675" t="str">
        <f t="array" ref="L675">IF($A675="","",INDEX(JupData!$A$2:$K$10000,MATCH($A675&amp;L$1,JupData!$A$2:$A$10000&amp;JupData!$J$2:$J$10000,0),11))</f>
        <v/>
      </c>
      <c r="M675" t="str">
        <f t="array" ref="M675">IF($A675="","",INDEX(JupData!$A$2:$K$10000,MATCH($A675&amp;M$1,JupData!$A$2:$A$10000&amp;JupData!$J$2:$J$10000,0),11))</f>
        <v/>
      </c>
      <c r="N675" t="str">
        <f t="array" ref="N675">IF($A675="","",INDEX(JupData!$A$2:$K$10000,MATCH($A675&amp;N$1,JupData!$A$2:$A$10000&amp;JupData!$J$2:$J$10000,0),11))</f>
        <v/>
      </c>
      <c r="O675" t="str">
        <f t="array" ref="O675">IF($A675="","",INDEX(JupData!$A$2:$K$10000,MATCH($A675&amp;O$1,JupData!$A$2:$A$10000&amp;JupData!$J$2:$J$10000,0),11))</f>
        <v/>
      </c>
      <c r="P675" t="str">
        <f t="array" ref="P675">IF($A675="","",INDEX(JupData!$A$2:$K$10000,MATCH($A675&amp;P$1,JupData!$A$2:$A$10000&amp;JupData!$J$2:$J$10000,0),11))</f>
        <v/>
      </c>
      <c r="Q675" t="str">
        <f t="array" ref="Q675">IF($A675="","",INDEX(JupData!$A$2:$K$10000,MATCH($A675&amp;Q$1,JupData!$A$2:$A$10000&amp;JupData!$J$2:$J$10000,0),11))</f>
        <v/>
      </c>
      <c r="R675" t="str">
        <f t="array" ref="R675">IF($A675="","",INDEX(JupData!$A$2:$K$10000,MATCH($A675&amp;R$1,JupData!$A$2:$A$10000&amp;JupData!$J$2:$J$10000,0),11))</f>
        <v/>
      </c>
      <c r="S675" t="str">
        <f t="array" ref="S675">IF($A675="","",INDEX(JupData!$A$2:$K$10000,MATCH($A675&amp;S$1,JupData!$A$2:$A$10000&amp;JupData!$J$2:$J$10000,0),11))</f>
        <v/>
      </c>
      <c r="T675" t="str">
        <f t="array" ref="T675">IF($A675="","",INDEX(JupData!$A$2:$K$10000,MATCH($A675&amp;T$1,JupData!$A$2:$A$10000&amp;JupData!$J$2:$J$10000,0),11))</f>
        <v/>
      </c>
      <c r="U675" t="str">
        <f t="array" ref="U675">IF($A675="","",INDEX(JupData!$A$2:$K$10000,MATCH($A675&amp;U$1,JupData!$A$2:$A$10000&amp;JupData!$J$2:$J$10000,0),11))</f>
        <v/>
      </c>
      <c r="V675" t="str">
        <f t="array" ref="V675">IF($A675="","",INDEX(JupData!$A$2:$K$10000,MATCH($A675&amp;V$1,JupData!$A$2:$A$10000&amp;JupData!$J$2:$J$10000,0),11))</f>
        <v/>
      </c>
      <c r="W675" t="str">
        <f t="array" ref="W675">IF($A675="","",INDEX(JupData!$A$2:$K$10000,MATCH($A675&amp;W$1,JupData!$A$2:$A$10000&amp;JupData!$J$2:$J$10000,0),11))</f>
        <v/>
      </c>
      <c r="X675" t="str">
        <f t="array" ref="X675">IF($A675="","",INDEX(JupData!$A$2:$K$10000,MATCH($A675&amp;X$1,JupData!$A$2:$A$10000&amp;JupData!$J$2:$J$10000,0),11))</f>
        <v/>
      </c>
      <c r="Y675" t="str">
        <f t="array" ref="Y675">IF($A675="","",INDEX(JupData!$A$2:$K$10000,MATCH($A675&amp;Y$1,JupData!$A$2:$A$10000&amp;JupData!$J$2:$J$10000,0),11))</f>
        <v/>
      </c>
      <c r="Z675" t="str">
        <f t="array" ref="Z675">IF($A675="","",INDEX(JupData!$A$2:$K$10000,MATCH($A675&amp;Z$1,JupData!$A$2:$A$10000&amp;JupData!$J$2:$J$10000,0),11))</f>
        <v/>
      </c>
      <c r="AA675" t="str">
        <f t="array" ref="AA675">IF($A675="","",INDEX(JupData!$A$2:$K$10000,MATCH($A675&amp;AA$1,JupData!$A$2:$A$10000&amp;JupData!$J$2:$J$10000,0),11))</f>
        <v/>
      </c>
      <c r="AB675" t="str">
        <f t="array" ref="AB675">IF($A675="","",INDEX(JupData!$A$2:$K$10000,MATCH($A675&amp;AB$1,JupData!$A$2:$A$10000&amp;JupData!$J$2:$J$10000,0),11))</f>
        <v/>
      </c>
      <c r="AC675" s="10" t="str">
        <f t="shared" si="110"/>
        <v/>
      </c>
      <c r="AD675" s="10" t="str">
        <f t="shared" si="111"/>
        <v/>
      </c>
      <c r="AE675" s="9" t="str">
        <f t="shared" si="112"/>
        <v/>
      </c>
      <c r="AF675" s="10" t="str">
        <f t="shared" si="113"/>
        <v/>
      </c>
      <c r="AG675" s="10" t="str">
        <f t="shared" si="114"/>
        <v/>
      </c>
      <c r="AH675" s="10" t="str">
        <f t="shared" si="115"/>
        <v/>
      </c>
      <c r="AI675" s="10" t="str">
        <f t="shared" si="116"/>
        <v/>
      </c>
      <c r="AJ675" s="10" t="str">
        <f t="shared" si="117"/>
        <v/>
      </c>
      <c r="AK675" s="10" t="str">
        <f t="shared" si="118"/>
        <v/>
      </c>
      <c r="AL675" s="14" t="str">
        <f t="shared" si="119"/>
        <v/>
      </c>
    </row>
    <row r="676" spans="1:38" x14ac:dyDescent="0.2">
      <c r="A676"/>
      <c r="B676" t="str">
        <f>IF($A676="","",VLOOKUP($A676,JupData!$A$2:$I$10000,4,FALSE))</f>
        <v/>
      </c>
      <c r="C676" s="7" t="str">
        <f>IF($A676="",IF(N(D676),0,""),VLOOKUP($A676,JupData!$A$2:$I$10000,7,FALSE))</f>
        <v/>
      </c>
      <c r="D676" t="str">
        <f t="shared" si="120"/>
        <v/>
      </c>
      <c r="E676" t="str">
        <f t="array" ref="E676">IF($A676="","",INDEX(JupData!$A$2:$K$10000,MATCH($A676&amp;E$1,JupData!$A$2:$A$10000&amp;JupData!$J$2:$J$10000,0),11))</f>
        <v/>
      </c>
      <c r="F676" t="str">
        <f t="array" ref="F676">IF($A676="","",INDEX(JupData!$A$2:$K$10000,MATCH($A676&amp;F$1,JupData!$A$2:$A$10000&amp;JupData!$J$2:$J$10000,0),11))</f>
        <v/>
      </c>
      <c r="G676" t="str">
        <f t="array" ref="G676">IF($A676="","",INDEX(JupData!$A$2:$K$10000,MATCH($A676&amp;G$1,JupData!$A$2:$A$10000&amp;JupData!$J$2:$J$10000,0),11))</f>
        <v/>
      </c>
      <c r="H676" t="str">
        <f t="array" ref="H676">IF($A676="","",INDEX(JupData!$A$2:$K$10000,MATCH($A676&amp;H$1,JupData!$A$2:$A$10000&amp;JupData!$J$2:$J$10000,0),11))</f>
        <v/>
      </c>
      <c r="I676" t="str">
        <f t="array" ref="I676">IF($A676="","",INDEX(JupData!$A$2:$K$10000,MATCH($A676&amp;I$1,JupData!$A$2:$A$10000&amp;JupData!$J$2:$J$10000,0),11))</f>
        <v/>
      </c>
      <c r="J676" t="str">
        <f t="array" ref="J676">IF($A676="","",INDEX(JupData!$A$2:$K$10000,MATCH($A676&amp;J$1,JupData!$A$2:$A$10000&amp;JupData!$J$2:$J$10000,0),11))</f>
        <v/>
      </c>
      <c r="K676" t="str">
        <f t="array" ref="K676">IF($A676="","",INDEX(JupData!$A$2:$K$10000,MATCH($A676&amp;K$1,JupData!$A$2:$A$10000&amp;JupData!$J$2:$J$10000,0),11))</f>
        <v/>
      </c>
      <c r="L676" t="str">
        <f t="array" ref="L676">IF($A676="","",INDEX(JupData!$A$2:$K$10000,MATCH($A676&amp;L$1,JupData!$A$2:$A$10000&amp;JupData!$J$2:$J$10000,0),11))</f>
        <v/>
      </c>
      <c r="M676" t="str">
        <f t="array" ref="M676">IF($A676="","",INDEX(JupData!$A$2:$K$10000,MATCH($A676&amp;M$1,JupData!$A$2:$A$10000&amp;JupData!$J$2:$J$10000,0),11))</f>
        <v/>
      </c>
      <c r="N676" t="str">
        <f t="array" ref="N676">IF($A676="","",INDEX(JupData!$A$2:$K$10000,MATCH($A676&amp;N$1,JupData!$A$2:$A$10000&amp;JupData!$J$2:$J$10000,0),11))</f>
        <v/>
      </c>
      <c r="O676" t="str">
        <f t="array" ref="O676">IF($A676="","",INDEX(JupData!$A$2:$K$10000,MATCH($A676&amp;O$1,JupData!$A$2:$A$10000&amp;JupData!$J$2:$J$10000,0),11))</f>
        <v/>
      </c>
      <c r="P676" t="str">
        <f t="array" ref="P676">IF($A676="","",INDEX(JupData!$A$2:$K$10000,MATCH($A676&amp;P$1,JupData!$A$2:$A$10000&amp;JupData!$J$2:$J$10000,0),11))</f>
        <v/>
      </c>
      <c r="Q676" t="str">
        <f t="array" ref="Q676">IF($A676="","",INDEX(JupData!$A$2:$K$10000,MATCH($A676&amp;Q$1,JupData!$A$2:$A$10000&amp;JupData!$J$2:$J$10000,0),11))</f>
        <v/>
      </c>
      <c r="R676" t="str">
        <f t="array" ref="R676">IF($A676="","",INDEX(JupData!$A$2:$K$10000,MATCH($A676&amp;R$1,JupData!$A$2:$A$10000&amp;JupData!$J$2:$J$10000,0),11))</f>
        <v/>
      </c>
      <c r="S676" t="str">
        <f t="array" ref="S676">IF($A676="","",INDEX(JupData!$A$2:$K$10000,MATCH($A676&amp;S$1,JupData!$A$2:$A$10000&amp;JupData!$J$2:$J$10000,0),11))</f>
        <v/>
      </c>
      <c r="T676" t="str">
        <f t="array" ref="T676">IF($A676="","",INDEX(JupData!$A$2:$K$10000,MATCH($A676&amp;T$1,JupData!$A$2:$A$10000&amp;JupData!$J$2:$J$10000,0),11))</f>
        <v/>
      </c>
      <c r="U676" t="str">
        <f t="array" ref="U676">IF($A676="","",INDEX(JupData!$A$2:$K$10000,MATCH($A676&amp;U$1,JupData!$A$2:$A$10000&amp;JupData!$J$2:$J$10000,0),11))</f>
        <v/>
      </c>
      <c r="V676" t="str">
        <f t="array" ref="V676">IF($A676="","",INDEX(JupData!$A$2:$K$10000,MATCH($A676&amp;V$1,JupData!$A$2:$A$10000&amp;JupData!$J$2:$J$10000,0),11))</f>
        <v/>
      </c>
      <c r="W676" t="str">
        <f t="array" ref="W676">IF($A676="","",INDEX(JupData!$A$2:$K$10000,MATCH($A676&amp;W$1,JupData!$A$2:$A$10000&amp;JupData!$J$2:$J$10000,0),11))</f>
        <v/>
      </c>
      <c r="X676" t="str">
        <f t="array" ref="X676">IF($A676="","",INDEX(JupData!$A$2:$K$10000,MATCH($A676&amp;X$1,JupData!$A$2:$A$10000&amp;JupData!$J$2:$J$10000,0),11))</f>
        <v/>
      </c>
      <c r="Y676" t="str">
        <f t="array" ref="Y676">IF($A676="","",INDEX(JupData!$A$2:$K$10000,MATCH($A676&amp;Y$1,JupData!$A$2:$A$10000&amp;JupData!$J$2:$J$10000,0),11))</f>
        <v/>
      </c>
      <c r="Z676" t="str">
        <f t="array" ref="Z676">IF($A676="","",INDEX(JupData!$A$2:$K$10000,MATCH($A676&amp;Z$1,JupData!$A$2:$A$10000&amp;JupData!$J$2:$J$10000,0),11))</f>
        <v/>
      </c>
      <c r="AA676" t="str">
        <f t="array" ref="AA676">IF($A676="","",INDEX(JupData!$A$2:$K$10000,MATCH($A676&amp;AA$1,JupData!$A$2:$A$10000&amp;JupData!$J$2:$J$10000,0),11))</f>
        <v/>
      </c>
      <c r="AB676" t="str">
        <f t="array" ref="AB676">IF($A676="","",INDEX(JupData!$A$2:$K$10000,MATCH($A676&amp;AB$1,JupData!$A$2:$A$10000&amp;JupData!$J$2:$J$10000,0),11))</f>
        <v/>
      </c>
      <c r="AC676" s="10" t="str">
        <f t="shared" si="110"/>
        <v/>
      </c>
      <c r="AD676" s="10" t="str">
        <f t="shared" si="111"/>
        <v/>
      </c>
      <c r="AE676" s="9" t="str">
        <f t="shared" si="112"/>
        <v/>
      </c>
      <c r="AF676" s="10" t="str">
        <f t="shared" si="113"/>
        <v/>
      </c>
      <c r="AG676" s="10" t="str">
        <f t="shared" si="114"/>
        <v/>
      </c>
      <c r="AH676" s="10" t="str">
        <f t="shared" si="115"/>
        <v/>
      </c>
      <c r="AI676" s="10" t="str">
        <f t="shared" si="116"/>
        <v/>
      </c>
      <c r="AJ676" s="10" t="str">
        <f t="shared" si="117"/>
        <v/>
      </c>
      <c r="AK676" s="10" t="str">
        <f t="shared" si="118"/>
        <v/>
      </c>
      <c r="AL676" s="14" t="str">
        <f t="shared" si="119"/>
        <v/>
      </c>
    </row>
    <row r="677" spans="1:38" x14ac:dyDescent="0.2">
      <c r="A677"/>
      <c r="B677" t="str">
        <f>IF($A677="","",VLOOKUP($A677,JupData!$A$2:$I$10000,4,FALSE))</f>
        <v/>
      </c>
      <c r="C677" s="7" t="str">
        <f>IF($A677="",IF(N(D677),0,""),VLOOKUP($A677,JupData!$A$2:$I$10000,7,FALSE))</f>
        <v/>
      </c>
      <c r="D677" t="str">
        <f t="shared" si="120"/>
        <v/>
      </c>
      <c r="E677" t="str">
        <f t="array" ref="E677">IF($A677="","",INDEX(JupData!$A$2:$K$10000,MATCH($A677&amp;E$1,JupData!$A$2:$A$10000&amp;JupData!$J$2:$J$10000,0),11))</f>
        <v/>
      </c>
      <c r="F677" t="str">
        <f t="array" ref="F677">IF($A677="","",INDEX(JupData!$A$2:$K$10000,MATCH($A677&amp;F$1,JupData!$A$2:$A$10000&amp;JupData!$J$2:$J$10000,0),11))</f>
        <v/>
      </c>
      <c r="G677" t="str">
        <f t="array" ref="G677">IF($A677="","",INDEX(JupData!$A$2:$K$10000,MATCH($A677&amp;G$1,JupData!$A$2:$A$10000&amp;JupData!$J$2:$J$10000,0),11))</f>
        <v/>
      </c>
      <c r="H677" t="str">
        <f t="array" ref="H677">IF($A677="","",INDEX(JupData!$A$2:$K$10000,MATCH($A677&amp;H$1,JupData!$A$2:$A$10000&amp;JupData!$J$2:$J$10000,0),11))</f>
        <v/>
      </c>
      <c r="I677" t="str">
        <f t="array" ref="I677">IF($A677="","",INDEX(JupData!$A$2:$K$10000,MATCH($A677&amp;I$1,JupData!$A$2:$A$10000&amp;JupData!$J$2:$J$10000,0),11))</f>
        <v/>
      </c>
      <c r="J677" t="str">
        <f t="array" ref="J677">IF($A677="","",INDEX(JupData!$A$2:$K$10000,MATCH($A677&amp;J$1,JupData!$A$2:$A$10000&amp;JupData!$J$2:$J$10000,0),11))</f>
        <v/>
      </c>
      <c r="K677" t="str">
        <f t="array" ref="K677">IF($A677="","",INDEX(JupData!$A$2:$K$10000,MATCH($A677&amp;K$1,JupData!$A$2:$A$10000&amp;JupData!$J$2:$J$10000,0),11))</f>
        <v/>
      </c>
      <c r="L677" t="str">
        <f t="array" ref="L677">IF($A677="","",INDEX(JupData!$A$2:$K$10000,MATCH($A677&amp;L$1,JupData!$A$2:$A$10000&amp;JupData!$J$2:$J$10000,0),11))</f>
        <v/>
      </c>
      <c r="M677" t="str">
        <f t="array" ref="M677">IF($A677="","",INDEX(JupData!$A$2:$K$10000,MATCH($A677&amp;M$1,JupData!$A$2:$A$10000&amp;JupData!$J$2:$J$10000,0),11))</f>
        <v/>
      </c>
      <c r="N677" t="str">
        <f t="array" ref="N677">IF($A677="","",INDEX(JupData!$A$2:$K$10000,MATCH($A677&amp;N$1,JupData!$A$2:$A$10000&amp;JupData!$J$2:$J$10000,0),11))</f>
        <v/>
      </c>
      <c r="O677" t="str">
        <f t="array" ref="O677">IF($A677="","",INDEX(JupData!$A$2:$K$10000,MATCH($A677&amp;O$1,JupData!$A$2:$A$10000&amp;JupData!$J$2:$J$10000,0),11))</f>
        <v/>
      </c>
      <c r="P677" t="str">
        <f t="array" ref="P677">IF($A677="","",INDEX(JupData!$A$2:$K$10000,MATCH($A677&amp;P$1,JupData!$A$2:$A$10000&amp;JupData!$J$2:$J$10000,0),11))</f>
        <v/>
      </c>
      <c r="Q677" t="str">
        <f t="array" ref="Q677">IF($A677="","",INDEX(JupData!$A$2:$K$10000,MATCH($A677&amp;Q$1,JupData!$A$2:$A$10000&amp;JupData!$J$2:$J$10000,0),11))</f>
        <v/>
      </c>
      <c r="R677" t="str">
        <f t="array" ref="R677">IF($A677="","",INDEX(JupData!$A$2:$K$10000,MATCH($A677&amp;R$1,JupData!$A$2:$A$10000&amp;JupData!$J$2:$J$10000,0),11))</f>
        <v/>
      </c>
      <c r="S677" t="str">
        <f t="array" ref="S677">IF($A677="","",INDEX(JupData!$A$2:$K$10000,MATCH($A677&amp;S$1,JupData!$A$2:$A$10000&amp;JupData!$J$2:$J$10000,0),11))</f>
        <v/>
      </c>
      <c r="T677" t="str">
        <f t="array" ref="T677">IF($A677="","",INDEX(JupData!$A$2:$K$10000,MATCH($A677&amp;T$1,JupData!$A$2:$A$10000&amp;JupData!$J$2:$J$10000,0),11))</f>
        <v/>
      </c>
      <c r="U677" t="str">
        <f t="array" ref="U677">IF($A677="","",INDEX(JupData!$A$2:$K$10000,MATCH($A677&amp;U$1,JupData!$A$2:$A$10000&amp;JupData!$J$2:$J$10000,0),11))</f>
        <v/>
      </c>
      <c r="V677" t="str">
        <f t="array" ref="V677">IF($A677="","",INDEX(JupData!$A$2:$K$10000,MATCH($A677&amp;V$1,JupData!$A$2:$A$10000&amp;JupData!$J$2:$J$10000,0),11))</f>
        <v/>
      </c>
      <c r="W677" t="str">
        <f t="array" ref="W677">IF($A677="","",INDEX(JupData!$A$2:$K$10000,MATCH($A677&amp;W$1,JupData!$A$2:$A$10000&amp;JupData!$J$2:$J$10000,0),11))</f>
        <v/>
      </c>
      <c r="X677" t="str">
        <f t="array" ref="X677">IF($A677="","",INDEX(JupData!$A$2:$K$10000,MATCH($A677&amp;X$1,JupData!$A$2:$A$10000&amp;JupData!$J$2:$J$10000,0),11))</f>
        <v/>
      </c>
      <c r="Y677" t="str">
        <f t="array" ref="Y677">IF($A677="","",INDEX(JupData!$A$2:$K$10000,MATCH($A677&amp;Y$1,JupData!$A$2:$A$10000&amp;JupData!$J$2:$J$10000,0),11))</f>
        <v/>
      </c>
      <c r="Z677" t="str">
        <f t="array" ref="Z677">IF($A677="","",INDEX(JupData!$A$2:$K$10000,MATCH($A677&amp;Z$1,JupData!$A$2:$A$10000&amp;JupData!$J$2:$J$10000,0),11))</f>
        <v/>
      </c>
      <c r="AA677" t="str">
        <f t="array" ref="AA677">IF($A677="","",INDEX(JupData!$A$2:$K$10000,MATCH($A677&amp;AA$1,JupData!$A$2:$A$10000&amp;JupData!$J$2:$J$10000,0),11))</f>
        <v/>
      </c>
      <c r="AB677" t="str">
        <f t="array" ref="AB677">IF($A677="","",INDEX(JupData!$A$2:$K$10000,MATCH($A677&amp;AB$1,JupData!$A$2:$A$10000&amp;JupData!$J$2:$J$10000,0),11))</f>
        <v/>
      </c>
      <c r="AC677" s="10" t="str">
        <f t="shared" si="110"/>
        <v/>
      </c>
      <c r="AD677" s="10" t="str">
        <f t="shared" si="111"/>
        <v/>
      </c>
      <c r="AE677" s="9" t="str">
        <f t="shared" si="112"/>
        <v/>
      </c>
      <c r="AF677" s="10" t="str">
        <f t="shared" si="113"/>
        <v/>
      </c>
      <c r="AG677" s="10" t="str">
        <f t="shared" si="114"/>
        <v/>
      </c>
      <c r="AH677" s="10" t="str">
        <f t="shared" si="115"/>
        <v/>
      </c>
      <c r="AI677" s="10" t="str">
        <f t="shared" si="116"/>
        <v/>
      </c>
      <c r="AJ677" s="10" t="str">
        <f t="shared" si="117"/>
        <v/>
      </c>
      <c r="AK677" s="10" t="str">
        <f t="shared" si="118"/>
        <v/>
      </c>
      <c r="AL677" s="14" t="str">
        <f t="shared" si="119"/>
        <v/>
      </c>
    </row>
    <row r="678" spans="1:38" x14ac:dyDescent="0.2">
      <c r="A678"/>
      <c r="B678" t="str">
        <f>IF($A678="","",VLOOKUP($A678,JupData!$A$2:$I$10000,4,FALSE))</f>
        <v/>
      </c>
      <c r="C678" s="7" t="str">
        <f>IF($A678="",IF(N(D678),0,""),VLOOKUP($A678,JupData!$A$2:$I$10000,7,FALSE))</f>
        <v/>
      </c>
      <c r="D678" t="str">
        <f t="shared" si="120"/>
        <v/>
      </c>
      <c r="E678" t="str">
        <f t="array" ref="E678">IF($A678="","",INDEX(JupData!$A$2:$K$10000,MATCH($A678&amp;E$1,JupData!$A$2:$A$10000&amp;JupData!$J$2:$J$10000,0),11))</f>
        <v/>
      </c>
      <c r="F678" t="str">
        <f t="array" ref="F678">IF($A678="","",INDEX(JupData!$A$2:$K$10000,MATCH($A678&amp;F$1,JupData!$A$2:$A$10000&amp;JupData!$J$2:$J$10000,0),11))</f>
        <v/>
      </c>
      <c r="G678" t="str">
        <f t="array" ref="G678">IF($A678="","",INDEX(JupData!$A$2:$K$10000,MATCH($A678&amp;G$1,JupData!$A$2:$A$10000&amp;JupData!$J$2:$J$10000,0),11))</f>
        <v/>
      </c>
      <c r="H678" t="str">
        <f t="array" ref="H678">IF($A678="","",INDEX(JupData!$A$2:$K$10000,MATCH($A678&amp;H$1,JupData!$A$2:$A$10000&amp;JupData!$J$2:$J$10000,0),11))</f>
        <v/>
      </c>
      <c r="I678" t="str">
        <f t="array" ref="I678">IF($A678="","",INDEX(JupData!$A$2:$K$10000,MATCH($A678&amp;I$1,JupData!$A$2:$A$10000&amp;JupData!$J$2:$J$10000,0),11))</f>
        <v/>
      </c>
      <c r="J678" t="str">
        <f t="array" ref="J678">IF($A678="","",INDEX(JupData!$A$2:$K$10000,MATCH($A678&amp;J$1,JupData!$A$2:$A$10000&amp;JupData!$J$2:$J$10000,0),11))</f>
        <v/>
      </c>
      <c r="K678" t="str">
        <f t="array" ref="K678">IF($A678="","",INDEX(JupData!$A$2:$K$10000,MATCH($A678&amp;K$1,JupData!$A$2:$A$10000&amp;JupData!$J$2:$J$10000,0),11))</f>
        <v/>
      </c>
      <c r="L678" t="str">
        <f t="array" ref="L678">IF($A678="","",INDEX(JupData!$A$2:$K$10000,MATCH($A678&amp;L$1,JupData!$A$2:$A$10000&amp;JupData!$J$2:$J$10000,0),11))</f>
        <v/>
      </c>
      <c r="M678" t="str">
        <f t="array" ref="M678">IF($A678="","",INDEX(JupData!$A$2:$K$10000,MATCH($A678&amp;M$1,JupData!$A$2:$A$10000&amp;JupData!$J$2:$J$10000,0),11))</f>
        <v/>
      </c>
      <c r="N678" t="str">
        <f t="array" ref="N678">IF($A678="","",INDEX(JupData!$A$2:$K$10000,MATCH($A678&amp;N$1,JupData!$A$2:$A$10000&amp;JupData!$J$2:$J$10000,0),11))</f>
        <v/>
      </c>
      <c r="O678" t="str">
        <f t="array" ref="O678">IF($A678="","",INDEX(JupData!$A$2:$K$10000,MATCH($A678&amp;O$1,JupData!$A$2:$A$10000&amp;JupData!$J$2:$J$10000,0),11))</f>
        <v/>
      </c>
      <c r="P678" t="str">
        <f t="array" ref="P678">IF($A678="","",INDEX(JupData!$A$2:$K$10000,MATCH($A678&amp;P$1,JupData!$A$2:$A$10000&amp;JupData!$J$2:$J$10000,0),11))</f>
        <v/>
      </c>
      <c r="Q678" t="str">
        <f t="array" ref="Q678">IF($A678="","",INDEX(JupData!$A$2:$K$10000,MATCH($A678&amp;Q$1,JupData!$A$2:$A$10000&amp;JupData!$J$2:$J$10000,0),11))</f>
        <v/>
      </c>
      <c r="R678" t="str">
        <f t="array" ref="R678">IF($A678="","",INDEX(JupData!$A$2:$K$10000,MATCH($A678&amp;R$1,JupData!$A$2:$A$10000&amp;JupData!$J$2:$J$10000,0),11))</f>
        <v/>
      </c>
      <c r="S678" t="str">
        <f t="array" ref="S678">IF($A678="","",INDEX(JupData!$A$2:$K$10000,MATCH($A678&amp;S$1,JupData!$A$2:$A$10000&amp;JupData!$J$2:$J$10000,0),11))</f>
        <v/>
      </c>
      <c r="T678" t="str">
        <f t="array" ref="T678">IF($A678="","",INDEX(JupData!$A$2:$K$10000,MATCH($A678&amp;T$1,JupData!$A$2:$A$10000&amp;JupData!$J$2:$J$10000,0),11))</f>
        <v/>
      </c>
      <c r="U678" t="str">
        <f t="array" ref="U678">IF($A678="","",INDEX(JupData!$A$2:$K$10000,MATCH($A678&amp;U$1,JupData!$A$2:$A$10000&amp;JupData!$J$2:$J$10000,0),11))</f>
        <v/>
      </c>
      <c r="V678" t="str">
        <f t="array" ref="V678">IF($A678="","",INDEX(JupData!$A$2:$K$10000,MATCH($A678&amp;V$1,JupData!$A$2:$A$10000&amp;JupData!$J$2:$J$10000,0),11))</f>
        <v/>
      </c>
      <c r="W678" t="str">
        <f t="array" ref="W678">IF($A678="","",INDEX(JupData!$A$2:$K$10000,MATCH($A678&amp;W$1,JupData!$A$2:$A$10000&amp;JupData!$J$2:$J$10000,0),11))</f>
        <v/>
      </c>
      <c r="X678" t="str">
        <f t="array" ref="X678">IF($A678="","",INDEX(JupData!$A$2:$K$10000,MATCH($A678&amp;X$1,JupData!$A$2:$A$10000&amp;JupData!$J$2:$J$10000,0),11))</f>
        <v/>
      </c>
      <c r="Y678" t="str">
        <f t="array" ref="Y678">IF($A678="","",INDEX(JupData!$A$2:$K$10000,MATCH($A678&amp;Y$1,JupData!$A$2:$A$10000&amp;JupData!$J$2:$J$10000,0),11))</f>
        <v/>
      </c>
      <c r="Z678" t="str">
        <f t="array" ref="Z678">IF($A678="","",INDEX(JupData!$A$2:$K$10000,MATCH($A678&amp;Z$1,JupData!$A$2:$A$10000&amp;JupData!$J$2:$J$10000,0),11))</f>
        <v/>
      </c>
      <c r="AA678" t="str">
        <f t="array" ref="AA678">IF($A678="","",INDEX(JupData!$A$2:$K$10000,MATCH($A678&amp;AA$1,JupData!$A$2:$A$10000&amp;JupData!$J$2:$J$10000,0),11))</f>
        <v/>
      </c>
      <c r="AB678" t="str">
        <f t="array" ref="AB678">IF($A678="","",INDEX(JupData!$A$2:$K$10000,MATCH($A678&amp;AB$1,JupData!$A$2:$A$10000&amp;JupData!$J$2:$J$10000,0),11))</f>
        <v/>
      </c>
      <c r="AC678" s="10" t="str">
        <f t="shared" si="110"/>
        <v/>
      </c>
      <c r="AD678" s="10" t="str">
        <f t="shared" si="111"/>
        <v/>
      </c>
      <c r="AE678" s="9" t="str">
        <f t="shared" si="112"/>
        <v/>
      </c>
      <c r="AF678" s="10" t="str">
        <f t="shared" si="113"/>
        <v/>
      </c>
      <c r="AG678" s="10" t="str">
        <f t="shared" si="114"/>
        <v/>
      </c>
      <c r="AH678" s="10" t="str">
        <f t="shared" si="115"/>
        <v/>
      </c>
      <c r="AI678" s="10" t="str">
        <f t="shared" si="116"/>
        <v/>
      </c>
      <c r="AJ678" s="10" t="str">
        <f t="shared" si="117"/>
        <v/>
      </c>
      <c r="AK678" s="10" t="str">
        <f t="shared" si="118"/>
        <v/>
      </c>
      <c r="AL678" s="14" t="str">
        <f t="shared" si="119"/>
        <v/>
      </c>
    </row>
    <row r="679" spans="1:38" x14ac:dyDescent="0.2">
      <c r="A679"/>
      <c r="B679" t="str">
        <f>IF($A679="","",VLOOKUP($A679,JupData!$A$2:$I$10000,4,FALSE))</f>
        <v/>
      </c>
      <c r="C679" s="7" t="str">
        <f>IF($A679="",IF(N(D679),0,""),VLOOKUP($A679,JupData!$A$2:$I$10000,7,FALSE))</f>
        <v/>
      </c>
      <c r="D679" t="str">
        <f t="shared" si="120"/>
        <v/>
      </c>
      <c r="E679" t="str">
        <f t="array" ref="E679">IF($A679="","",INDEX(JupData!$A$2:$K$10000,MATCH($A679&amp;E$1,JupData!$A$2:$A$10000&amp;JupData!$J$2:$J$10000,0),11))</f>
        <v/>
      </c>
      <c r="F679" t="str">
        <f t="array" ref="F679">IF($A679="","",INDEX(JupData!$A$2:$K$10000,MATCH($A679&amp;F$1,JupData!$A$2:$A$10000&amp;JupData!$J$2:$J$10000,0),11))</f>
        <v/>
      </c>
      <c r="G679" t="str">
        <f t="array" ref="G679">IF($A679="","",INDEX(JupData!$A$2:$K$10000,MATCH($A679&amp;G$1,JupData!$A$2:$A$10000&amp;JupData!$J$2:$J$10000,0),11))</f>
        <v/>
      </c>
      <c r="H679" t="str">
        <f t="array" ref="H679">IF($A679="","",INDEX(JupData!$A$2:$K$10000,MATCH($A679&amp;H$1,JupData!$A$2:$A$10000&amp;JupData!$J$2:$J$10000,0),11))</f>
        <v/>
      </c>
      <c r="I679" t="str">
        <f t="array" ref="I679">IF($A679="","",INDEX(JupData!$A$2:$K$10000,MATCH($A679&amp;I$1,JupData!$A$2:$A$10000&amp;JupData!$J$2:$J$10000,0),11))</f>
        <v/>
      </c>
      <c r="J679" t="str">
        <f t="array" ref="J679">IF($A679="","",INDEX(JupData!$A$2:$K$10000,MATCH($A679&amp;J$1,JupData!$A$2:$A$10000&amp;JupData!$J$2:$J$10000,0),11))</f>
        <v/>
      </c>
      <c r="K679" t="str">
        <f t="array" ref="K679">IF($A679="","",INDEX(JupData!$A$2:$K$10000,MATCH($A679&amp;K$1,JupData!$A$2:$A$10000&amp;JupData!$J$2:$J$10000,0),11))</f>
        <v/>
      </c>
      <c r="L679" t="str">
        <f t="array" ref="L679">IF($A679="","",INDEX(JupData!$A$2:$K$10000,MATCH($A679&amp;L$1,JupData!$A$2:$A$10000&amp;JupData!$J$2:$J$10000,0),11))</f>
        <v/>
      </c>
      <c r="M679" t="str">
        <f t="array" ref="M679">IF($A679="","",INDEX(JupData!$A$2:$K$10000,MATCH($A679&amp;M$1,JupData!$A$2:$A$10000&amp;JupData!$J$2:$J$10000,0),11))</f>
        <v/>
      </c>
      <c r="N679" t="str">
        <f t="array" ref="N679">IF($A679="","",INDEX(JupData!$A$2:$K$10000,MATCH($A679&amp;N$1,JupData!$A$2:$A$10000&amp;JupData!$J$2:$J$10000,0),11))</f>
        <v/>
      </c>
      <c r="O679" t="str">
        <f t="array" ref="O679">IF($A679="","",INDEX(JupData!$A$2:$K$10000,MATCH($A679&amp;O$1,JupData!$A$2:$A$10000&amp;JupData!$J$2:$J$10000,0),11))</f>
        <v/>
      </c>
      <c r="P679" t="str">
        <f t="array" ref="P679">IF($A679="","",INDEX(JupData!$A$2:$K$10000,MATCH($A679&amp;P$1,JupData!$A$2:$A$10000&amp;JupData!$J$2:$J$10000,0),11))</f>
        <v/>
      </c>
      <c r="Q679" t="str">
        <f t="array" ref="Q679">IF($A679="","",INDEX(JupData!$A$2:$K$10000,MATCH($A679&amp;Q$1,JupData!$A$2:$A$10000&amp;JupData!$J$2:$J$10000,0),11))</f>
        <v/>
      </c>
      <c r="R679" t="str">
        <f t="array" ref="R679">IF($A679="","",INDEX(JupData!$A$2:$K$10000,MATCH($A679&amp;R$1,JupData!$A$2:$A$10000&amp;JupData!$J$2:$J$10000,0),11))</f>
        <v/>
      </c>
      <c r="S679" t="str">
        <f t="array" ref="S679">IF($A679="","",INDEX(JupData!$A$2:$K$10000,MATCH($A679&amp;S$1,JupData!$A$2:$A$10000&amp;JupData!$J$2:$J$10000,0),11))</f>
        <v/>
      </c>
      <c r="T679" t="str">
        <f t="array" ref="T679">IF($A679="","",INDEX(JupData!$A$2:$K$10000,MATCH($A679&amp;T$1,JupData!$A$2:$A$10000&amp;JupData!$J$2:$J$10000,0),11))</f>
        <v/>
      </c>
      <c r="U679" t="str">
        <f t="array" ref="U679">IF($A679="","",INDEX(JupData!$A$2:$K$10000,MATCH($A679&amp;U$1,JupData!$A$2:$A$10000&amp;JupData!$J$2:$J$10000,0),11))</f>
        <v/>
      </c>
      <c r="V679" t="str">
        <f t="array" ref="V679">IF($A679="","",INDEX(JupData!$A$2:$K$10000,MATCH($A679&amp;V$1,JupData!$A$2:$A$10000&amp;JupData!$J$2:$J$10000,0),11))</f>
        <v/>
      </c>
      <c r="W679" t="str">
        <f t="array" ref="W679">IF($A679="","",INDEX(JupData!$A$2:$K$10000,MATCH($A679&amp;W$1,JupData!$A$2:$A$10000&amp;JupData!$J$2:$J$10000,0),11))</f>
        <v/>
      </c>
      <c r="X679" t="str">
        <f t="array" ref="X679">IF($A679="","",INDEX(JupData!$A$2:$K$10000,MATCH($A679&amp;X$1,JupData!$A$2:$A$10000&amp;JupData!$J$2:$J$10000,0),11))</f>
        <v/>
      </c>
      <c r="Y679" t="str">
        <f t="array" ref="Y679">IF($A679="","",INDEX(JupData!$A$2:$K$10000,MATCH($A679&amp;Y$1,JupData!$A$2:$A$10000&amp;JupData!$J$2:$J$10000,0),11))</f>
        <v/>
      </c>
      <c r="Z679" t="str">
        <f t="array" ref="Z679">IF($A679="","",INDEX(JupData!$A$2:$K$10000,MATCH($A679&amp;Z$1,JupData!$A$2:$A$10000&amp;JupData!$J$2:$J$10000,0),11))</f>
        <v/>
      </c>
      <c r="AA679" t="str">
        <f t="array" ref="AA679">IF($A679="","",INDEX(JupData!$A$2:$K$10000,MATCH($A679&amp;AA$1,JupData!$A$2:$A$10000&amp;JupData!$J$2:$J$10000,0),11))</f>
        <v/>
      </c>
      <c r="AB679" t="str">
        <f t="array" ref="AB679">IF($A679="","",INDEX(JupData!$A$2:$K$10000,MATCH($A679&amp;AB$1,JupData!$A$2:$A$10000&amp;JupData!$J$2:$J$10000,0),11))</f>
        <v/>
      </c>
      <c r="AC679" s="10" t="str">
        <f t="shared" si="110"/>
        <v/>
      </c>
      <c r="AD679" s="10" t="str">
        <f t="shared" si="111"/>
        <v/>
      </c>
      <c r="AE679" s="9" t="str">
        <f t="shared" si="112"/>
        <v/>
      </c>
      <c r="AF679" s="10" t="str">
        <f t="shared" si="113"/>
        <v/>
      </c>
      <c r="AG679" s="10" t="str">
        <f t="shared" si="114"/>
        <v/>
      </c>
      <c r="AH679" s="10" t="str">
        <f t="shared" si="115"/>
        <v/>
      </c>
      <c r="AI679" s="10" t="str">
        <f t="shared" si="116"/>
        <v/>
      </c>
      <c r="AJ679" s="10" t="str">
        <f t="shared" si="117"/>
        <v/>
      </c>
      <c r="AK679" s="10" t="str">
        <f t="shared" si="118"/>
        <v/>
      </c>
      <c r="AL679" s="14" t="str">
        <f t="shared" si="119"/>
        <v/>
      </c>
    </row>
    <row r="680" spans="1:38" x14ac:dyDescent="0.2">
      <c r="A680"/>
      <c r="B680" t="str">
        <f>IF($A680="","",VLOOKUP($A680,JupData!$A$2:$I$10000,4,FALSE))</f>
        <v/>
      </c>
      <c r="C680" s="7" t="str">
        <f>IF($A680="",IF(N(D680),0,""),VLOOKUP($A680,JupData!$A$2:$I$10000,7,FALSE))</f>
        <v/>
      </c>
      <c r="D680" t="str">
        <f t="shared" si="120"/>
        <v/>
      </c>
      <c r="E680" t="str">
        <f t="array" ref="E680">IF($A680="","",INDEX(JupData!$A$2:$K$10000,MATCH($A680&amp;E$1,JupData!$A$2:$A$10000&amp;JupData!$J$2:$J$10000,0),11))</f>
        <v/>
      </c>
      <c r="F680" t="str">
        <f t="array" ref="F680">IF($A680="","",INDEX(JupData!$A$2:$K$10000,MATCH($A680&amp;F$1,JupData!$A$2:$A$10000&amp;JupData!$J$2:$J$10000,0),11))</f>
        <v/>
      </c>
      <c r="G680" t="str">
        <f t="array" ref="G680">IF($A680="","",INDEX(JupData!$A$2:$K$10000,MATCH($A680&amp;G$1,JupData!$A$2:$A$10000&amp;JupData!$J$2:$J$10000,0),11))</f>
        <v/>
      </c>
      <c r="H680" t="str">
        <f t="array" ref="H680">IF($A680="","",INDEX(JupData!$A$2:$K$10000,MATCH($A680&amp;H$1,JupData!$A$2:$A$10000&amp;JupData!$J$2:$J$10000,0),11))</f>
        <v/>
      </c>
      <c r="I680" t="str">
        <f t="array" ref="I680">IF($A680="","",INDEX(JupData!$A$2:$K$10000,MATCH($A680&amp;I$1,JupData!$A$2:$A$10000&amp;JupData!$J$2:$J$10000,0),11))</f>
        <v/>
      </c>
      <c r="J680" t="str">
        <f t="array" ref="J680">IF($A680="","",INDEX(JupData!$A$2:$K$10000,MATCH($A680&amp;J$1,JupData!$A$2:$A$10000&amp;JupData!$J$2:$J$10000,0),11))</f>
        <v/>
      </c>
      <c r="K680" t="str">
        <f t="array" ref="K680">IF($A680="","",INDEX(JupData!$A$2:$K$10000,MATCH($A680&amp;K$1,JupData!$A$2:$A$10000&amp;JupData!$J$2:$J$10000,0),11))</f>
        <v/>
      </c>
      <c r="L680" t="str">
        <f t="array" ref="L680">IF($A680="","",INDEX(JupData!$A$2:$K$10000,MATCH($A680&amp;L$1,JupData!$A$2:$A$10000&amp;JupData!$J$2:$J$10000,0),11))</f>
        <v/>
      </c>
      <c r="M680" t="str">
        <f t="array" ref="M680">IF($A680="","",INDEX(JupData!$A$2:$K$10000,MATCH($A680&amp;M$1,JupData!$A$2:$A$10000&amp;JupData!$J$2:$J$10000,0),11))</f>
        <v/>
      </c>
      <c r="N680" t="str">
        <f t="array" ref="N680">IF($A680="","",INDEX(JupData!$A$2:$K$10000,MATCH($A680&amp;N$1,JupData!$A$2:$A$10000&amp;JupData!$J$2:$J$10000,0),11))</f>
        <v/>
      </c>
      <c r="O680" t="str">
        <f t="array" ref="O680">IF($A680="","",INDEX(JupData!$A$2:$K$10000,MATCH($A680&amp;O$1,JupData!$A$2:$A$10000&amp;JupData!$J$2:$J$10000,0),11))</f>
        <v/>
      </c>
      <c r="P680" t="str">
        <f t="array" ref="P680">IF($A680="","",INDEX(JupData!$A$2:$K$10000,MATCH($A680&amp;P$1,JupData!$A$2:$A$10000&amp;JupData!$J$2:$J$10000,0),11))</f>
        <v/>
      </c>
      <c r="Q680" t="str">
        <f t="array" ref="Q680">IF($A680="","",INDEX(JupData!$A$2:$K$10000,MATCH($A680&amp;Q$1,JupData!$A$2:$A$10000&amp;JupData!$J$2:$J$10000,0),11))</f>
        <v/>
      </c>
      <c r="R680" t="str">
        <f t="array" ref="R680">IF($A680="","",INDEX(JupData!$A$2:$K$10000,MATCH($A680&amp;R$1,JupData!$A$2:$A$10000&amp;JupData!$J$2:$J$10000,0),11))</f>
        <v/>
      </c>
      <c r="S680" t="str">
        <f t="array" ref="S680">IF($A680="","",INDEX(JupData!$A$2:$K$10000,MATCH($A680&amp;S$1,JupData!$A$2:$A$10000&amp;JupData!$J$2:$J$10000,0),11))</f>
        <v/>
      </c>
      <c r="T680" t="str">
        <f t="array" ref="T680">IF($A680="","",INDEX(JupData!$A$2:$K$10000,MATCH($A680&amp;T$1,JupData!$A$2:$A$10000&amp;JupData!$J$2:$J$10000,0),11))</f>
        <v/>
      </c>
      <c r="U680" t="str">
        <f t="array" ref="U680">IF($A680="","",INDEX(JupData!$A$2:$K$10000,MATCH($A680&amp;U$1,JupData!$A$2:$A$10000&amp;JupData!$J$2:$J$10000,0),11))</f>
        <v/>
      </c>
      <c r="V680" t="str">
        <f t="array" ref="V680">IF($A680="","",INDEX(JupData!$A$2:$K$10000,MATCH($A680&amp;V$1,JupData!$A$2:$A$10000&amp;JupData!$J$2:$J$10000,0),11))</f>
        <v/>
      </c>
      <c r="W680" t="str">
        <f t="array" ref="W680">IF($A680="","",INDEX(JupData!$A$2:$K$10000,MATCH($A680&amp;W$1,JupData!$A$2:$A$10000&amp;JupData!$J$2:$J$10000,0),11))</f>
        <v/>
      </c>
      <c r="X680" t="str">
        <f t="array" ref="X680">IF($A680="","",INDEX(JupData!$A$2:$K$10000,MATCH($A680&amp;X$1,JupData!$A$2:$A$10000&amp;JupData!$J$2:$J$10000,0),11))</f>
        <v/>
      </c>
      <c r="Y680" t="str">
        <f t="array" ref="Y680">IF($A680="","",INDEX(JupData!$A$2:$K$10000,MATCH($A680&amp;Y$1,JupData!$A$2:$A$10000&amp;JupData!$J$2:$J$10000,0),11))</f>
        <v/>
      </c>
      <c r="Z680" t="str">
        <f t="array" ref="Z680">IF($A680="","",INDEX(JupData!$A$2:$K$10000,MATCH($A680&amp;Z$1,JupData!$A$2:$A$10000&amp;JupData!$J$2:$J$10000,0),11))</f>
        <v/>
      </c>
      <c r="AA680" t="str">
        <f t="array" ref="AA680">IF($A680="","",INDEX(JupData!$A$2:$K$10000,MATCH($A680&amp;AA$1,JupData!$A$2:$A$10000&amp;JupData!$J$2:$J$10000,0),11))</f>
        <v/>
      </c>
      <c r="AB680" t="str">
        <f t="array" ref="AB680">IF($A680="","",INDEX(JupData!$A$2:$K$10000,MATCH($A680&amp;AB$1,JupData!$A$2:$A$10000&amp;JupData!$J$2:$J$10000,0),11))</f>
        <v/>
      </c>
      <c r="AC680" s="10" t="str">
        <f t="shared" si="110"/>
        <v/>
      </c>
      <c r="AD680" s="10" t="str">
        <f t="shared" si="111"/>
        <v/>
      </c>
      <c r="AE680" s="9" t="str">
        <f t="shared" si="112"/>
        <v/>
      </c>
      <c r="AF680" s="10" t="str">
        <f t="shared" si="113"/>
        <v/>
      </c>
      <c r="AG680" s="10" t="str">
        <f t="shared" si="114"/>
        <v/>
      </c>
      <c r="AH680" s="10" t="str">
        <f t="shared" si="115"/>
        <v/>
      </c>
      <c r="AI680" s="10" t="str">
        <f t="shared" si="116"/>
        <v/>
      </c>
      <c r="AJ680" s="10" t="str">
        <f t="shared" si="117"/>
        <v/>
      </c>
      <c r="AK680" s="10" t="str">
        <f t="shared" si="118"/>
        <v/>
      </c>
      <c r="AL680" s="14" t="str">
        <f t="shared" si="119"/>
        <v/>
      </c>
    </row>
    <row r="681" spans="1:38" x14ac:dyDescent="0.2">
      <c r="A681"/>
      <c r="B681" t="str">
        <f>IF($A681="","",VLOOKUP($A681,JupData!$A$2:$I$10000,4,FALSE))</f>
        <v/>
      </c>
      <c r="C681" s="7" t="str">
        <f>IF($A681="",IF(N(D681),0,""),VLOOKUP($A681,JupData!$A$2:$I$10000,7,FALSE))</f>
        <v/>
      </c>
      <c r="D681" t="str">
        <f t="shared" si="120"/>
        <v/>
      </c>
      <c r="E681" t="str">
        <f t="array" ref="E681">IF($A681="","",INDEX(JupData!$A$2:$K$10000,MATCH($A681&amp;E$1,JupData!$A$2:$A$10000&amp;JupData!$J$2:$J$10000,0),11))</f>
        <v/>
      </c>
      <c r="F681" t="str">
        <f t="array" ref="F681">IF($A681="","",INDEX(JupData!$A$2:$K$10000,MATCH($A681&amp;F$1,JupData!$A$2:$A$10000&amp;JupData!$J$2:$J$10000,0),11))</f>
        <v/>
      </c>
      <c r="G681" t="str">
        <f t="array" ref="G681">IF($A681="","",INDEX(JupData!$A$2:$K$10000,MATCH($A681&amp;G$1,JupData!$A$2:$A$10000&amp;JupData!$J$2:$J$10000,0),11))</f>
        <v/>
      </c>
      <c r="H681" t="str">
        <f t="array" ref="H681">IF($A681="","",INDEX(JupData!$A$2:$K$10000,MATCH($A681&amp;H$1,JupData!$A$2:$A$10000&amp;JupData!$J$2:$J$10000,0),11))</f>
        <v/>
      </c>
      <c r="I681" t="str">
        <f t="array" ref="I681">IF($A681="","",INDEX(JupData!$A$2:$K$10000,MATCH($A681&amp;I$1,JupData!$A$2:$A$10000&amp;JupData!$J$2:$J$10000,0),11))</f>
        <v/>
      </c>
      <c r="J681" t="str">
        <f t="array" ref="J681">IF($A681="","",INDEX(JupData!$A$2:$K$10000,MATCH($A681&amp;J$1,JupData!$A$2:$A$10000&amp;JupData!$J$2:$J$10000,0),11))</f>
        <v/>
      </c>
      <c r="K681" t="str">
        <f t="array" ref="K681">IF($A681="","",INDEX(JupData!$A$2:$K$10000,MATCH($A681&amp;K$1,JupData!$A$2:$A$10000&amp;JupData!$J$2:$J$10000,0),11))</f>
        <v/>
      </c>
      <c r="L681" t="str">
        <f t="array" ref="L681">IF($A681="","",INDEX(JupData!$A$2:$K$10000,MATCH($A681&amp;L$1,JupData!$A$2:$A$10000&amp;JupData!$J$2:$J$10000,0),11))</f>
        <v/>
      </c>
      <c r="M681" t="str">
        <f t="array" ref="M681">IF($A681="","",INDEX(JupData!$A$2:$K$10000,MATCH($A681&amp;M$1,JupData!$A$2:$A$10000&amp;JupData!$J$2:$J$10000,0),11))</f>
        <v/>
      </c>
      <c r="N681" t="str">
        <f t="array" ref="N681">IF($A681="","",INDEX(JupData!$A$2:$K$10000,MATCH($A681&amp;N$1,JupData!$A$2:$A$10000&amp;JupData!$J$2:$J$10000,0),11))</f>
        <v/>
      </c>
      <c r="O681" t="str">
        <f t="array" ref="O681">IF($A681="","",INDEX(JupData!$A$2:$K$10000,MATCH($A681&amp;O$1,JupData!$A$2:$A$10000&amp;JupData!$J$2:$J$10000,0),11))</f>
        <v/>
      </c>
      <c r="P681" t="str">
        <f t="array" ref="P681">IF($A681="","",INDEX(JupData!$A$2:$K$10000,MATCH($A681&amp;P$1,JupData!$A$2:$A$10000&amp;JupData!$J$2:$J$10000,0),11))</f>
        <v/>
      </c>
      <c r="Q681" t="str">
        <f t="array" ref="Q681">IF($A681="","",INDEX(JupData!$A$2:$K$10000,MATCH($A681&amp;Q$1,JupData!$A$2:$A$10000&amp;JupData!$J$2:$J$10000,0),11))</f>
        <v/>
      </c>
      <c r="R681" t="str">
        <f t="array" ref="R681">IF($A681="","",INDEX(JupData!$A$2:$K$10000,MATCH($A681&amp;R$1,JupData!$A$2:$A$10000&amp;JupData!$J$2:$J$10000,0),11))</f>
        <v/>
      </c>
      <c r="S681" t="str">
        <f t="array" ref="S681">IF($A681="","",INDEX(JupData!$A$2:$K$10000,MATCH($A681&amp;S$1,JupData!$A$2:$A$10000&amp;JupData!$J$2:$J$10000,0),11))</f>
        <v/>
      </c>
      <c r="T681" t="str">
        <f t="array" ref="T681">IF($A681="","",INDEX(JupData!$A$2:$K$10000,MATCH($A681&amp;T$1,JupData!$A$2:$A$10000&amp;JupData!$J$2:$J$10000,0),11))</f>
        <v/>
      </c>
      <c r="U681" t="str">
        <f t="array" ref="U681">IF($A681="","",INDEX(JupData!$A$2:$K$10000,MATCH($A681&amp;U$1,JupData!$A$2:$A$10000&amp;JupData!$J$2:$J$10000,0),11))</f>
        <v/>
      </c>
      <c r="V681" t="str">
        <f t="array" ref="V681">IF($A681="","",INDEX(JupData!$A$2:$K$10000,MATCH($A681&amp;V$1,JupData!$A$2:$A$10000&amp;JupData!$J$2:$J$10000,0),11))</f>
        <v/>
      </c>
      <c r="W681" t="str">
        <f t="array" ref="W681">IF($A681="","",INDEX(JupData!$A$2:$K$10000,MATCH($A681&amp;W$1,JupData!$A$2:$A$10000&amp;JupData!$J$2:$J$10000,0),11))</f>
        <v/>
      </c>
      <c r="X681" t="str">
        <f t="array" ref="X681">IF($A681="","",INDEX(JupData!$A$2:$K$10000,MATCH($A681&amp;X$1,JupData!$A$2:$A$10000&amp;JupData!$J$2:$J$10000,0),11))</f>
        <v/>
      </c>
      <c r="Y681" t="str">
        <f t="array" ref="Y681">IF($A681="","",INDEX(JupData!$A$2:$K$10000,MATCH($A681&amp;Y$1,JupData!$A$2:$A$10000&amp;JupData!$J$2:$J$10000,0),11))</f>
        <v/>
      </c>
      <c r="Z681" t="str">
        <f t="array" ref="Z681">IF($A681="","",INDEX(JupData!$A$2:$K$10000,MATCH($A681&amp;Z$1,JupData!$A$2:$A$10000&amp;JupData!$J$2:$J$10000,0),11))</f>
        <v/>
      </c>
      <c r="AA681" t="str">
        <f t="array" ref="AA681">IF($A681="","",INDEX(JupData!$A$2:$K$10000,MATCH($A681&amp;AA$1,JupData!$A$2:$A$10000&amp;JupData!$J$2:$J$10000,0),11))</f>
        <v/>
      </c>
      <c r="AB681" t="str">
        <f t="array" ref="AB681">IF($A681="","",INDEX(JupData!$A$2:$K$10000,MATCH($A681&amp;AB$1,JupData!$A$2:$A$10000&amp;JupData!$J$2:$J$10000,0),11))</f>
        <v/>
      </c>
      <c r="AC681" s="10" t="str">
        <f t="shared" si="110"/>
        <v/>
      </c>
      <c r="AD681" s="10" t="str">
        <f t="shared" si="111"/>
        <v/>
      </c>
      <c r="AE681" s="9" t="str">
        <f t="shared" si="112"/>
        <v/>
      </c>
      <c r="AF681" s="10" t="str">
        <f t="shared" si="113"/>
        <v/>
      </c>
      <c r="AG681" s="10" t="str">
        <f t="shared" si="114"/>
        <v/>
      </c>
      <c r="AH681" s="10" t="str">
        <f t="shared" si="115"/>
        <v/>
      </c>
      <c r="AI681" s="10" t="str">
        <f t="shared" si="116"/>
        <v/>
      </c>
      <c r="AJ681" s="10" t="str">
        <f t="shared" si="117"/>
        <v/>
      </c>
      <c r="AK681" s="10" t="str">
        <f t="shared" si="118"/>
        <v/>
      </c>
      <c r="AL681" s="14" t="str">
        <f t="shared" si="119"/>
        <v/>
      </c>
    </row>
    <row r="682" spans="1:38" x14ac:dyDescent="0.2">
      <c r="A682"/>
      <c r="B682" t="str">
        <f>IF($A682="","",VLOOKUP($A682,JupData!$A$2:$I$10000,4,FALSE))</f>
        <v/>
      </c>
      <c r="C682" s="7" t="str">
        <f>IF($A682="",IF(N(D682),0,""),VLOOKUP($A682,JupData!$A$2:$I$10000,7,FALSE))</f>
        <v/>
      </c>
      <c r="D682" t="str">
        <f t="shared" si="120"/>
        <v/>
      </c>
      <c r="E682" t="str">
        <f t="array" ref="E682">IF($A682="","",INDEX(JupData!$A$2:$K$10000,MATCH($A682&amp;E$1,JupData!$A$2:$A$10000&amp;JupData!$J$2:$J$10000,0),11))</f>
        <v/>
      </c>
      <c r="F682" t="str">
        <f t="array" ref="F682">IF($A682="","",INDEX(JupData!$A$2:$K$10000,MATCH($A682&amp;F$1,JupData!$A$2:$A$10000&amp;JupData!$J$2:$J$10000,0),11))</f>
        <v/>
      </c>
      <c r="G682" t="str">
        <f t="array" ref="G682">IF($A682="","",INDEX(JupData!$A$2:$K$10000,MATCH($A682&amp;G$1,JupData!$A$2:$A$10000&amp;JupData!$J$2:$J$10000,0),11))</f>
        <v/>
      </c>
      <c r="H682" t="str">
        <f t="array" ref="H682">IF($A682="","",INDEX(JupData!$A$2:$K$10000,MATCH($A682&amp;H$1,JupData!$A$2:$A$10000&amp;JupData!$J$2:$J$10000,0),11))</f>
        <v/>
      </c>
      <c r="I682" t="str">
        <f t="array" ref="I682">IF($A682="","",INDEX(JupData!$A$2:$K$10000,MATCH($A682&amp;I$1,JupData!$A$2:$A$10000&amp;JupData!$J$2:$J$10000,0),11))</f>
        <v/>
      </c>
      <c r="J682" t="str">
        <f t="array" ref="J682">IF($A682="","",INDEX(JupData!$A$2:$K$10000,MATCH($A682&amp;J$1,JupData!$A$2:$A$10000&amp;JupData!$J$2:$J$10000,0),11))</f>
        <v/>
      </c>
      <c r="K682" t="str">
        <f t="array" ref="K682">IF($A682="","",INDEX(JupData!$A$2:$K$10000,MATCH($A682&amp;K$1,JupData!$A$2:$A$10000&amp;JupData!$J$2:$J$10000,0),11))</f>
        <v/>
      </c>
      <c r="L682" t="str">
        <f t="array" ref="L682">IF($A682="","",INDEX(JupData!$A$2:$K$10000,MATCH($A682&amp;L$1,JupData!$A$2:$A$10000&amp;JupData!$J$2:$J$10000,0),11))</f>
        <v/>
      </c>
      <c r="M682" t="str">
        <f t="array" ref="M682">IF($A682="","",INDEX(JupData!$A$2:$K$10000,MATCH($A682&amp;M$1,JupData!$A$2:$A$10000&amp;JupData!$J$2:$J$10000,0),11))</f>
        <v/>
      </c>
      <c r="N682" t="str">
        <f t="array" ref="N682">IF($A682="","",INDEX(JupData!$A$2:$K$10000,MATCH($A682&amp;N$1,JupData!$A$2:$A$10000&amp;JupData!$J$2:$J$10000,0),11))</f>
        <v/>
      </c>
      <c r="O682" t="str">
        <f t="array" ref="O682">IF($A682="","",INDEX(JupData!$A$2:$K$10000,MATCH($A682&amp;O$1,JupData!$A$2:$A$10000&amp;JupData!$J$2:$J$10000,0),11))</f>
        <v/>
      </c>
      <c r="P682" t="str">
        <f t="array" ref="P682">IF($A682="","",INDEX(JupData!$A$2:$K$10000,MATCH($A682&amp;P$1,JupData!$A$2:$A$10000&amp;JupData!$J$2:$J$10000,0),11))</f>
        <v/>
      </c>
      <c r="Q682" t="str">
        <f t="array" ref="Q682">IF($A682="","",INDEX(JupData!$A$2:$K$10000,MATCH($A682&amp;Q$1,JupData!$A$2:$A$10000&amp;JupData!$J$2:$J$10000,0),11))</f>
        <v/>
      </c>
      <c r="R682" t="str">
        <f t="array" ref="R682">IF($A682="","",INDEX(JupData!$A$2:$K$10000,MATCH($A682&amp;R$1,JupData!$A$2:$A$10000&amp;JupData!$J$2:$J$10000,0),11))</f>
        <v/>
      </c>
      <c r="S682" t="str">
        <f t="array" ref="S682">IF($A682="","",INDEX(JupData!$A$2:$K$10000,MATCH($A682&amp;S$1,JupData!$A$2:$A$10000&amp;JupData!$J$2:$J$10000,0),11))</f>
        <v/>
      </c>
      <c r="T682" t="str">
        <f t="array" ref="T682">IF($A682="","",INDEX(JupData!$A$2:$K$10000,MATCH($A682&amp;T$1,JupData!$A$2:$A$10000&amp;JupData!$J$2:$J$10000,0),11))</f>
        <v/>
      </c>
      <c r="U682" t="str">
        <f t="array" ref="U682">IF($A682="","",INDEX(JupData!$A$2:$K$10000,MATCH($A682&amp;U$1,JupData!$A$2:$A$10000&amp;JupData!$J$2:$J$10000,0),11))</f>
        <v/>
      </c>
      <c r="V682" t="str">
        <f t="array" ref="V682">IF($A682="","",INDEX(JupData!$A$2:$K$10000,MATCH($A682&amp;V$1,JupData!$A$2:$A$10000&amp;JupData!$J$2:$J$10000,0),11))</f>
        <v/>
      </c>
      <c r="W682" t="str">
        <f t="array" ref="W682">IF($A682="","",INDEX(JupData!$A$2:$K$10000,MATCH($A682&amp;W$1,JupData!$A$2:$A$10000&amp;JupData!$J$2:$J$10000,0),11))</f>
        <v/>
      </c>
      <c r="X682" t="str">
        <f t="array" ref="X682">IF($A682="","",INDEX(JupData!$A$2:$K$10000,MATCH($A682&amp;X$1,JupData!$A$2:$A$10000&amp;JupData!$J$2:$J$10000,0),11))</f>
        <v/>
      </c>
      <c r="Y682" t="str">
        <f t="array" ref="Y682">IF($A682="","",INDEX(JupData!$A$2:$K$10000,MATCH($A682&amp;Y$1,JupData!$A$2:$A$10000&amp;JupData!$J$2:$J$10000,0),11))</f>
        <v/>
      </c>
      <c r="Z682" t="str">
        <f t="array" ref="Z682">IF($A682="","",INDEX(JupData!$A$2:$K$10000,MATCH($A682&amp;Z$1,JupData!$A$2:$A$10000&amp;JupData!$J$2:$J$10000,0),11))</f>
        <v/>
      </c>
      <c r="AA682" t="str">
        <f t="array" ref="AA682">IF($A682="","",INDEX(JupData!$A$2:$K$10000,MATCH($A682&amp;AA$1,JupData!$A$2:$A$10000&amp;JupData!$J$2:$J$10000,0),11))</f>
        <v/>
      </c>
      <c r="AB682" t="str">
        <f t="array" ref="AB682">IF($A682="","",INDEX(JupData!$A$2:$K$10000,MATCH($A682&amp;AB$1,JupData!$A$2:$A$10000&amp;JupData!$J$2:$J$10000,0),11))</f>
        <v/>
      </c>
      <c r="AC682" s="10" t="str">
        <f t="shared" si="110"/>
        <v/>
      </c>
      <c r="AD682" s="10" t="str">
        <f t="shared" si="111"/>
        <v/>
      </c>
      <c r="AE682" s="9" t="str">
        <f t="shared" si="112"/>
        <v/>
      </c>
      <c r="AF682" s="10" t="str">
        <f t="shared" si="113"/>
        <v/>
      </c>
      <c r="AG682" s="10" t="str">
        <f t="shared" si="114"/>
        <v/>
      </c>
      <c r="AH682" s="10" t="str">
        <f t="shared" si="115"/>
        <v/>
      </c>
      <c r="AI682" s="10" t="str">
        <f t="shared" si="116"/>
        <v/>
      </c>
      <c r="AJ682" s="10" t="str">
        <f t="shared" si="117"/>
        <v/>
      </c>
      <c r="AK682" s="10" t="str">
        <f t="shared" si="118"/>
        <v/>
      </c>
      <c r="AL682" s="14" t="str">
        <f t="shared" si="119"/>
        <v/>
      </c>
    </row>
    <row r="683" spans="1:38" x14ac:dyDescent="0.2">
      <c r="A683"/>
      <c r="B683" t="str">
        <f>IF($A683="","",VLOOKUP($A683,JupData!$A$2:$I$10000,4,FALSE))</f>
        <v/>
      </c>
      <c r="C683" s="7" t="str">
        <f>IF($A683="",IF(N(D683),0,""),VLOOKUP($A683,JupData!$A$2:$I$10000,7,FALSE))</f>
        <v/>
      </c>
      <c r="D683" t="str">
        <f t="shared" si="120"/>
        <v/>
      </c>
      <c r="E683" t="str">
        <f t="array" ref="E683">IF($A683="","",INDEX(JupData!$A$2:$K$10000,MATCH($A683&amp;E$1,JupData!$A$2:$A$10000&amp;JupData!$J$2:$J$10000,0),11))</f>
        <v/>
      </c>
      <c r="F683" t="str">
        <f t="array" ref="F683">IF($A683="","",INDEX(JupData!$A$2:$K$10000,MATCH($A683&amp;F$1,JupData!$A$2:$A$10000&amp;JupData!$J$2:$J$10000,0),11))</f>
        <v/>
      </c>
      <c r="G683" t="str">
        <f t="array" ref="G683">IF($A683="","",INDEX(JupData!$A$2:$K$10000,MATCH($A683&amp;G$1,JupData!$A$2:$A$10000&amp;JupData!$J$2:$J$10000,0),11))</f>
        <v/>
      </c>
      <c r="H683" t="str">
        <f t="array" ref="H683">IF($A683="","",INDEX(JupData!$A$2:$K$10000,MATCH($A683&amp;H$1,JupData!$A$2:$A$10000&amp;JupData!$J$2:$J$10000,0),11))</f>
        <v/>
      </c>
      <c r="I683" t="str">
        <f t="array" ref="I683">IF($A683="","",INDEX(JupData!$A$2:$K$10000,MATCH($A683&amp;I$1,JupData!$A$2:$A$10000&amp;JupData!$J$2:$J$10000,0),11))</f>
        <v/>
      </c>
      <c r="J683" t="str">
        <f t="array" ref="J683">IF($A683="","",INDEX(JupData!$A$2:$K$10000,MATCH($A683&amp;J$1,JupData!$A$2:$A$10000&amp;JupData!$J$2:$J$10000,0),11))</f>
        <v/>
      </c>
      <c r="K683" t="str">
        <f t="array" ref="K683">IF($A683="","",INDEX(JupData!$A$2:$K$10000,MATCH($A683&amp;K$1,JupData!$A$2:$A$10000&amp;JupData!$J$2:$J$10000,0),11))</f>
        <v/>
      </c>
      <c r="L683" t="str">
        <f t="array" ref="L683">IF($A683="","",INDEX(JupData!$A$2:$K$10000,MATCH($A683&amp;L$1,JupData!$A$2:$A$10000&amp;JupData!$J$2:$J$10000,0),11))</f>
        <v/>
      </c>
      <c r="M683" t="str">
        <f t="array" ref="M683">IF($A683="","",INDEX(JupData!$A$2:$K$10000,MATCH($A683&amp;M$1,JupData!$A$2:$A$10000&amp;JupData!$J$2:$J$10000,0),11))</f>
        <v/>
      </c>
      <c r="N683" t="str">
        <f t="array" ref="N683">IF($A683="","",INDEX(JupData!$A$2:$K$10000,MATCH($A683&amp;N$1,JupData!$A$2:$A$10000&amp;JupData!$J$2:$J$10000,0),11))</f>
        <v/>
      </c>
      <c r="O683" t="str">
        <f t="array" ref="O683">IF($A683="","",INDEX(JupData!$A$2:$K$10000,MATCH($A683&amp;O$1,JupData!$A$2:$A$10000&amp;JupData!$J$2:$J$10000,0),11))</f>
        <v/>
      </c>
      <c r="P683" t="str">
        <f t="array" ref="P683">IF($A683="","",INDEX(JupData!$A$2:$K$10000,MATCH($A683&amp;P$1,JupData!$A$2:$A$10000&amp;JupData!$J$2:$J$10000,0),11))</f>
        <v/>
      </c>
      <c r="Q683" t="str">
        <f t="array" ref="Q683">IF($A683="","",INDEX(JupData!$A$2:$K$10000,MATCH($A683&amp;Q$1,JupData!$A$2:$A$10000&amp;JupData!$J$2:$J$10000,0),11))</f>
        <v/>
      </c>
      <c r="R683" t="str">
        <f t="array" ref="R683">IF($A683="","",INDEX(JupData!$A$2:$K$10000,MATCH($A683&amp;R$1,JupData!$A$2:$A$10000&amp;JupData!$J$2:$J$10000,0),11))</f>
        <v/>
      </c>
      <c r="S683" t="str">
        <f t="array" ref="S683">IF($A683="","",INDEX(JupData!$A$2:$K$10000,MATCH($A683&amp;S$1,JupData!$A$2:$A$10000&amp;JupData!$J$2:$J$10000,0),11))</f>
        <v/>
      </c>
      <c r="T683" t="str">
        <f t="array" ref="T683">IF($A683="","",INDEX(JupData!$A$2:$K$10000,MATCH($A683&amp;T$1,JupData!$A$2:$A$10000&amp;JupData!$J$2:$J$10000,0),11))</f>
        <v/>
      </c>
      <c r="U683" t="str">
        <f t="array" ref="U683">IF($A683="","",INDEX(JupData!$A$2:$K$10000,MATCH($A683&amp;U$1,JupData!$A$2:$A$10000&amp;JupData!$J$2:$J$10000,0),11))</f>
        <v/>
      </c>
      <c r="V683" t="str">
        <f t="array" ref="V683">IF($A683="","",INDEX(JupData!$A$2:$K$10000,MATCH($A683&amp;V$1,JupData!$A$2:$A$10000&amp;JupData!$J$2:$J$10000,0),11))</f>
        <v/>
      </c>
      <c r="W683" t="str">
        <f t="array" ref="W683">IF($A683="","",INDEX(JupData!$A$2:$K$10000,MATCH($A683&amp;W$1,JupData!$A$2:$A$10000&amp;JupData!$J$2:$J$10000,0),11))</f>
        <v/>
      </c>
      <c r="X683" t="str">
        <f t="array" ref="X683">IF($A683="","",INDEX(JupData!$A$2:$K$10000,MATCH($A683&amp;X$1,JupData!$A$2:$A$10000&amp;JupData!$J$2:$J$10000,0),11))</f>
        <v/>
      </c>
      <c r="Y683" t="str">
        <f t="array" ref="Y683">IF($A683="","",INDEX(JupData!$A$2:$K$10000,MATCH($A683&amp;Y$1,JupData!$A$2:$A$10000&amp;JupData!$J$2:$J$10000,0),11))</f>
        <v/>
      </c>
      <c r="Z683" t="str">
        <f t="array" ref="Z683">IF($A683="","",INDEX(JupData!$A$2:$K$10000,MATCH($A683&amp;Z$1,JupData!$A$2:$A$10000&amp;JupData!$J$2:$J$10000,0),11))</f>
        <v/>
      </c>
      <c r="AA683" t="str">
        <f t="array" ref="AA683">IF($A683="","",INDEX(JupData!$A$2:$K$10000,MATCH($A683&amp;AA$1,JupData!$A$2:$A$10000&amp;JupData!$J$2:$J$10000,0),11))</f>
        <v/>
      </c>
      <c r="AB683" t="str">
        <f t="array" ref="AB683">IF($A683="","",INDEX(JupData!$A$2:$K$10000,MATCH($A683&amp;AB$1,JupData!$A$2:$A$10000&amp;JupData!$J$2:$J$10000,0),11))</f>
        <v/>
      </c>
      <c r="AC683" s="10" t="str">
        <f t="shared" si="110"/>
        <v/>
      </c>
      <c r="AD683" s="10" t="str">
        <f t="shared" si="111"/>
        <v/>
      </c>
      <c r="AE683" s="9" t="str">
        <f t="shared" si="112"/>
        <v/>
      </c>
      <c r="AF683" s="10" t="str">
        <f t="shared" si="113"/>
        <v/>
      </c>
      <c r="AG683" s="10" t="str">
        <f t="shared" si="114"/>
        <v/>
      </c>
      <c r="AH683" s="10" t="str">
        <f t="shared" si="115"/>
        <v/>
      </c>
      <c r="AI683" s="10" t="str">
        <f t="shared" si="116"/>
        <v/>
      </c>
      <c r="AJ683" s="10" t="str">
        <f t="shared" si="117"/>
        <v/>
      </c>
      <c r="AK683" s="10" t="str">
        <f t="shared" si="118"/>
        <v/>
      </c>
      <c r="AL683" s="14" t="str">
        <f t="shared" si="119"/>
        <v/>
      </c>
    </row>
    <row r="684" spans="1:38" x14ac:dyDescent="0.2">
      <c r="A684"/>
      <c r="B684" t="str">
        <f>IF($A684="","",VLOOKUP($A684,JupData!$A$2:$I$10000,4,FALSE))</f>
        <v/>
      </c>
      <c r="C684" s="7" t="str">
        <f>IF($A684="",IF(N(D684),0,""),VLOOKUP($A684,JupData!$A$2:$I$10000,7,FALSE))</f>
        <v/>
      </c>
      <c r="D684" t="str">
        <f t="shared" si="120"/>
        <v/>
      </c>
      <c r="E684" t="str">
        <f t="array" ref="E684">IF($A684="","",INDEX(JupData!$A$2:$K$10000,MATCH($A684&amp;E$1,JupData!$A$2:$A$10000&amp;JupData!$J$2:$J$10000,0),11))</f>
        <v/>
      </c>
      <c r="F684" t="str">
        <f t="array" ref="F684">IF($A684="","",INDEX(JupData!$A$2:$K$10000,MATCH($A684&amp;F$1,JupData!$A$2:$A$10000&amp;JupData!$J$2:$J$10000,0),11))</f>
        <v/>
      </c>
      <c r="G684" t="str">
        <f t="array" ref="G684">IF($A684="","",INDEX(JupData!$A$2:$K$10000,MATCH($A684&amp;G$1,JupData!$A$2:$A$10000&amp;JupData!$J$2:$J$10000,0),11))</f>
        <v/>
      </c>
      <c r="H684" t="str">
        <f t="array" ref="H684">IF($A684="","",INDEX(JupData!$A$2:$K$10000,MATCH($A684&amp;H$1,JupData!$A$2:$A$10000&amp;JupData!$J$2:$J$10000,0),11))</f>
        <v/>
      </c>
      <c r="I684" t="str">
        <f t="array" ref="I684">IF($A684="","",INDEX(JupData!$A$2:$K$10000,MATCH($A684&amp;I$1,JupData!$A$2:$A$10000&amp;JupData!$J$2:$J$10000,0),11))</f>
        <v/>
      </c>
      <c r="J684" t="str">
        <f t="array" ref="J684">IF($A684="","",INDEX(JupData!$A$2:$K$10000,MATCH($A684&amp;J$1,JupData!$A$2:$A$10000&amp;JupData!$J$2:$J$10000,0),11))</f>
        <v/>
      </c>
      <c r="K684" t="str">
        <f t="array" ref="K684">IF($A684="","",INDEX(JupData!$A$2:$K$10000,MATCH($A684&amp;K$1,JupData!$A$2:$A$10000&amp;JupData!$J$2:$J$10000,0),11))</f>
        <v/>
      </c>
      <c r="L684" t="str">
        <f t="array" ref="L684">IF($A684="","",INDEX(JupData!$A$2:$K$10000,MATCH($A684&amp;L$1,JupData!$A$2:$A$10000&amp;JupData!$J$2:$J$10000,0),11))</f>
        <v/>
      </c>
      <c r="M684" t="str">
        <f t="array" ref="M684">IF($A684="","",INDEX(JupData!$A$2:$K$10000,MATCH($A684&amp;M$1,JupData!$A$2:$A$10000&amp;JupData!$J$2:$J$10000,0),11))</f>
        <v/>
      </c>
      <c r="N684" t="str">
        <f t="array" ref="N684">IF($A684="","",INDEX(JupData!$A$2:$K$10000,MATCH($A684&amp;N$1,JupData!$A$2:$A$10000&amp;JupData!$J$2:$J$10000,0),11))</f>
        <v/>
      </c>
      <c r="O684" t="str">
        <f t="array" ref="O684">IF($A684="","",INDEX(JupData!$A$2:$K$10000,MATCH($A684&amp;O$1,JupData!$A$2:$A$10000&amp;JupData!$J$2:$J$10000,0),11))</f>
        <v/>
      </c>
      <c r="P684" t="str">
        <f t="array" ref="P684">IF($A684="","",INDEX(JupData!$A$2:$K$10000,MATCH($A684&amp;P$1,JupData!$A$2:$A$10000&amp;JupData!$J$2:$J$10000,0),11))</f>
        <v/>
      </c>
      <c r="Q684" t="str">
        <f t="array" ref="Q684">IF($A684="","",INDEX(JupData!$A$2:$K$10000,MATCH($A684&amp;Q$1,JupData!$A$2:$A$10000&amp;JupData!$J$2:$J$10000,0),11))</f>
        <v/>
      </c>
      <c r="R684" t="str">
        <f t="array" ref="R684">IF($A684="","",INDEX(JupData!$A$2:$K$10000,MATCH($A684&amp;R$1,JupData!$A$2:$A$10000&amp;JupData!$J$2:$J$10000,0),11))</f>
        <v/>
      </c>
      <c r="S684" t="str">
        <f t="array" ref="S684">IF($A684="","",INDEX(JupData!$A$2:$K$10000,MATCH($A684&amp;S$1,JupData!$A$2:$A$10000&amp;JupData!$J$2:$J$10000,0),11))</f>
        <v/>
      </c>
      <c r="T684" t="str">
        <f t="array" ref="T684">IF($A684="","",INDEX(JupData!$A$2:$K$10000,MATCH($A684&amp;T$1,JupData!$A$2:$A$10000&amp;JupData!$J$2:$J$10000,0),11))</f>
        <v/>
      </c>
      <c r="U684" t="str">
        <f t="array" ref="U684">IF($A684="","",INDEX(JupData!$A$2:$K$10000,MATCH($A684&amp;U$1,JupData!$A$2:$A$10000&amp;JupData!$J$2:$J$10000,0),11))</f>
        <v/>
      </c>
      <c r="V684" t="str">
        <f t="array" ref="V684">IF($A684="","",INDEX(JupData!$A$2:$K$10000,MATCH($A684&amp;V$1,JupData!$A$2:$A$10000&amp;JupData!$J$2:$J$10000,0),11))</f>
        <v/>
      </c>
      <c r="W684" t="str">
        <f t="array" ref="W684">IF($A684="","",INDEX(JupData!$A$2:$K$10000,MATCH($A684&amp;W$1,JupData!$A$2:$A$10000&amp;JupData!$J$2:$J$10000,0),11))</f>
        <v/>
      </c>
      <c r="X684" t="str">
        <f t="array" ref="X684">IF($A684="","",INDEX(JupData!$A$2:$K$10000,MATCH($A684&amp;X$1,JupData!$A$2:$A$10000&amp;JupData!$J$2:$J$10000,0),11))</f>
        <v/>
      </c>
      <c r="Y684" t="str">
        <f t="array" ref="Y684">IF($A684="","",INDEX(JupData!$A$2:$K$10000,MATCH($A684&amp;Y$1,JupData!$A$2:$A$10000&amp;JupData!$J$2:$J$10000,0),11))</f>
        <v/>
      </c>
      <c r="Z684" t="str">
        <f t="array" ref="Z684">IF($A684="","",INDEX(JupData!$A$2:$K$10000,MATCH($A684&amp;Z$1,JupData!$A$2:$A$10000&amp;JupData!$J$2:$J$10000,0),11))</f>
        <v/>
      </c>
      <c r="AA684" t="str">
        <f t="array" ref="AA684">IF($A684="","",INDEX(JupData!$A$2:$K$10000,MATCH($A684&amp;AA$1,JupData!$A$2:$A$10000&amp;JupData!$J$2:$J$10000,0),11))</f>
        <v/>
      </c>
      <c r="AB684" t="str">
        <f t="array" ref="AB684">IF($A684="","",INDEX(JupData!$A$2:$K$10000,MATCH($A684&amp;AB$1,JupData!$A$2:$A$10000&amp;JupData!$J$2:$J$10000,0),11))</f>
        <v/>
      </c>
      <c r="AC684" s="10" t="str">
        <f t="shared" si="110"/>
        <v/>
      </c>
      <c r="AD684" s="10" t="str">
        <f t="shared" si="111"/>
        <v/>
      </c>
      <c r="AE684" s="9" t="str">
        <f t="shared" si="112"/>
        <v/>
      </c>
      <c r="AF684" s="10" t="str">
        <f t="shared" si="113"/>
        <v/>
      </c>
      <c r="AG684" s="10" t="str">
        <f t="shared" si="114"/>
        <v/>
      </c>
      <c r="AH684" s="10" t="str">
        <f t="shared" si="115"/>
        <v/>
      </c>
      <c r="AI684" s="10" t="str">
        <f t="shared" si="116"/>
        <v/>
      </c>
      <c r="AJ684" s="10" t="str">
        <f t="shared" si="117"/>
        <v/>
      </c>
      <c r="AK684" s="10" t="str">
        <f t="shared" si="118"/>
        <v/>
      </c>
      <c r="AL684" s="14" t="str">
        <f t="shared" si="119"/>
        <v/>
      </c>
    </row>
    <row r="685" spans="1:38" x14ac:dyDescent="0.2">
      <c r="A685"/>
      <c r="B685" t="str">
        <f>IF($A685="","",VLOOKUP($A685,JupData!$A$2:$I$10000,4,FALSE))</f>
        <v/>
      </c>
      <c r="C685" s="7" t="str">
        <f>IF($A685="",IF(N(D685),0,""),VLOOKUP($A685,JupData!$A$2:$I$10000,7,FALSE))</f>
        <v/>
      </c>
      <c r="D685" t="str">
        <f t="shared" si="120"/>
        <v/>
      </c>
      <c r="E685" t="str">
        <f t="array" ref="E685">IF($A685="","",INDEX(JupData!$A$2:$K$10000,MATCH($A685&amp;E$1,JupData!$A$2:$A$10000&amp;JupData!$J$2:$J$10000,0),11))</f>
        <v/>
      </c>
      <c r="F685" t="str">
        <f t="array" ref="F685">IF($A685="","",INDEX(JupData!$A$2:$K$10000,MATCH($A685&amp;F$1,JupData!$A$2:$A$10000&amp;JupData!$J$2:$J$10000,0),11))</f>
        <v/>
      </c>
      <c r="G685" t="str">
        <f t="array" ref="G685">IF($A685="","",INDEX(JupData!$A$2:$K$10000,MATCH($A685&amp;G$1,JupData!$A$2:$A$10000&amp;JupData!$J$2:$J$10000,0),11))</f>
        <v/>
      </c>
      <c r="H685" t="str">
        <f t="array" ref="H685">IF($A685="","",INDEX(JupData!$A$2:$K$10000,MATCH($A685&amp;H$1,JupData!$A$2:$A$10000&amp;JupData!$J$2:$J$10000,0),11))</f>
        <v/>
      </c>
      <c r="I685" t="str">
        <f t="array" ref="I685">IF($A685="","",INDEX(JupData!$A$2:$K$10000,MATCH($A685&amp;I$1,JupData!$A$2:$A$10000&amp;JupData!$J$2:$J$10000,0),11))</f>
        <v/>
      </c>
      <c r="J685" t="str">
        <f t="array" ref="J685">IF($A685="","",INDEX(JupData!$A$2:$K$10000,MATCH($A685&amp;J$1,JupData!$A$2:$A$10000&amp;JupData!$J$2:$J$10000,0),11))</f>
        <v/>
      </c>
      <c r="K685" t="str">
        <f t="array" ref="K685">IF($A685="","",INDEX(JupData!$A$2:$K$10000,MATCH($A685&amp;K$1,JupData!$A$2:$A$10000&amp;JupData!$J$2:$J$10000,0),11))</f>
        <v/>
      </c>
      <c r="L685" t="str">
        <f t="array" ref="L685">IF($A685="","",INDEX(JupData!$A$2:$K$10000,MATCH($A685&amp;L$1,JupData!$A$2:$A$10000&amp;JupData!$J$2:$J$10000,0),11))</f>
        <v/>
      </c>
      <c r="M685" t="str">
        <f t="array" ref="M685">IF($A685="","",INDEX(JupData!$A$2:$K$10000,MATCH($A685&amp;M$1,JupData!$A$2:$A$10000&amp;JupData!$J$2:$J$10000,0),11))</f>
        <v/>
      </c>
      <c r="N685" t="str">
        <f t="array" ref="N685">IF($A685="","",INDEX(JupData!$A$2:$K$10000,MATCH($A685&amp;N$1,JupData!$A$2:$A$10000&amp;JupData!$J$2:$J$10000,0),11))</f>
        <v/>
      </c>
      <c r="O685" t="str">
        <f t="array" ref="O685">IF($A685="","",INDEX(JupData!$A$2:$K$10000,MATCH($A685&amp;O$1,JupData!$A$2:$A$10000&amp;JupData!$J$2:$J$10000,0),11))</f>
        <v/>
      </c>
      <c r="P685" t="str">
        <f t="array" ref="P685">IF($A685="","",INDEX(JupData!$A$2:$K$10000,MATCH($A685&amp;P$1,JupData!$A$2:$A$10000&amp;JupData!$J$2:$J$10000,0),11))</f>
        <v/>
      </c>
      <c r="Q685" t="str">
        <f t="array" ref="Q685">IF($A685="","",INDEX(JupData!$A$2:$K$10000,MATCH($A685&amp;Q$1,JupData!$A$2:$A$10000&amp;JupData!$J$2:$J$10000,0),11))</f>
        <v/>
      </c>
      <c r="R685" t="str">
        <f t="array" ref="R685">IF($A685="","",INDEX(JupData!$A$2:$K$10000,MATCH($A685&amp;R$1,JupData!$A$2:$A$10000&amp;JupData!$J$2:$J$10000,0),11))</f>
        <v/>
      </c>
      <c r="S685" t="str">
        <f t="array" ref="S685">IF($A685="","",INDEX(JupData!$A$2:$K$10000,MATCH($A685&amp;S$1,JupData!$A$2:$A$10000&amp;JupData!$J$2:$J$10000,0),11))</f>
        <v/>
      </c>
      <c r="T685" t="str">
        <f t="array" ref="T685">IF($A685="","",INDEX(JupData!$A$2:$K$10000,MATCH($A685&amp;T$1,JupData!$A$2:$A$10000&amp;JupData!$J$2:$J$10000,0),11))</f>
        <v/>
      </c>
      <c r="U685" t="str">
        <f t="array" ref="U685">IF($A685="","",INDEX(JupData!$A$2:$K$10000,MATCH($A685&amp;U$1,JupData!$A$2:$A$10000&amp;JupData!$J$2:$J$10000,0),11))</f>
        <v/>
      </c>
      <c r="V685" t="str">
        <f t="array" ref="V685">IF($A685="","",INDEX(JupData!$A$2:$K$10000,MATCH($A685&amp;V$1,JupData!$A$2:$A$10000&amp;JupData!$J$2:$J$10000,0),11))</f>
        <v/>
      </c>
      <c r="W685" t="str">
        <f t="array" ref="W685">IF($A685="","",INDEX(JupData!$A$2:$K$10000,MATCH($A685&amp;W$1,JupData!$A$2:$A$10000&amp;JupData!$J$2:$J$10000,0),11))</f>
        <v/>
      </c>
      <c r="X685" t="str">
        <f t="array" ref="X685">IF($A685="","",INDEX(JupData!$A$2:$K$10000,MATCH($A685&amp;X$1,JupData!$A$2:$A$10000&amp;JupData!$J$2:$J$10000,0),11))</f>
        <v/>
      </c>
      <c r="Y685" t="str">
        <f t="array" ref="Y685">IF($A685="","",INDEX(JupData!$A$2:$K$10000,MATCH($A685&amp;Y$1,JupData!$A$2:$A$10000&amp;JupData!$J$2:$J$10000,0),11))</f>
        <v/>
      </c>
      <c r="Z685" t="str">
        <f t="array" ref="Z685">IF($A685="","",INDEX(JupData!$A$2:$K$10000,MATCH($A685&amp;Z$1,JupData!$A$2:$A$10000&amp;JupData!$J$2:$J$10000,0),11))</f>
        <v/>
      </c>
      <c r="AA685" t="str">
        <f t="array" ref="AA685">IF($A685="","",INDEX(JupData!$A$2:$K$10000,MATCH($A685&amp;AA$1,JupData!$A$2:$A$10000&amp;JupData!$J$2:$J$10000,0),11))</f>
        <v/>
      </c>
      <c r="AB685" t="str">
        <f t="array" ref="AB685">IF($A685="","",INDEX(JupData!$A$2:$K$10000,MATCH($A685&amp;AB$1,JupData!$A$2:$A$10000&amp;JupData!$J$2:$J$10000,0),11))</f>
        <v/>
      </c>
      <c r="AC685" s="10" t="str">
        <f t="shared" si="110"/>
        <v/>
      </c>
      <c r="AD685" s="10" t="str">
        <f t="shared" si="111"/>
        <v/>
      </c>
      <c r="AE685" s="9" t="str">
        <f t="shared" si="112"/>
        <v/>
      </c>
      <c r="AF685" s="10" t="str">
        <f t="shared" si="113"/>
        <v/>
      </c>
      <c r="AG685" s="10" t="str">
        <f t="shared" si="114"/>
        <v/>
      </c>
      <c r="AH685" s="10" t="str">
        <f t="shared" si="115"/>
        <v/>
      </c>
      <c r="AI685" s="10" t="str">
        <f t="shared" si="116"/>
        <v/>
      </c>
      <c r="AJ685" s="10" t="str">
        <f t="shared" si="117"/>
        <v/>
      </c>
      <c r="AK685" s="10" t="str">
        <f t="shared" si="118"/>
        <v/>
      </c>
      <c r="AL685" s="14" t="str">
        <f t="shared" si="119"/>
        <v/>
      </c>
    </row>
    <row r="686" spans="1:38" x14ac:dyDescent="0.2">
      <c r="A686"/>
      <c r="B686" t="str">
        <f>IF($A686="","",VLOOKUP($A686,JupData!$A$2:$I$10000,4,FALSE))</f>
        <v/>
      </c>
      <c r="C686" s="7" t="str">
        <f>IF($A686="",IF(N(D686),0,""),VLOOKUP($A686,JupData!$A$2:$I$10000,7,FALSE))</f>
        <v/>
      </c>
      <c r="D686" t="str">
        <f t="shared" si="120"/>
        <v/>
      </c>
      <c r="E686" t="str">
        <f t="array" ref="E686">IF($A686="","",INDEX(JupData!$A$2:$K$10000,MATCH($A686&amp;E$1,JupData!$A$2:$A$10000&amp;JupData!$J$2:$J$10000,0),11))</f>
        <v/>
      </c>
      <c r="F686" t="str">
        <f t="array" ref="F686">IF($A686="","",INDEX(JupData!$A$2:$K$10000,MATCH($A686&amp;F$1,JupData!$A$2:$A$10000&amp;JupData!$J$2:$J$10000,0),11))</f>
        <v/>
      </c>
      <c r="G686" t="str">
        <f t="array" ref="G686">IF($A686="","",INDEX(JupData!$A$2:$K$10000,MATCH($A686&amp;G$1,JupData!$A$2:$A$10000&amp;JupData!$J$2:$J$10000,0),11))</f>
        <v/>
      </c>
      <c r="H686" t="str">
        <f t="array" ref="H686">IF($A686="","",INDEX(JupData!$A$2:$K$10000,MATCH($A686&amp;H$1,JupData!$A$2:$A$10000&amp;JupData!$J$2:$J$10000,0),11))</f>
        <v/>
      </c>
      <c r="I686" t="str">
        <f t="array" ref="I686">IF($A686="","",INDEX(JupData!$A$2:$K$10000,MATCH($A686&amp;I$1,JupData!$A$2:$A$10000&amp;JupData!$J$2:$J$10000,0),11))</f>
        <v/>
      </c>
      <c r="J686" t="str">
        <f t="array" ref="J686">IF($A686="","",INDEX(JupData!$A$2:$K$10000,MATCH($A686&amp;J$1,JupData!$A$2:$A$10000&amp;JupData!$J$2:$J$10000,0),11))</f>
        <v/>
      </c>
      <c r="K686" t="str">
        <f t="array" ref="K686">IF($A686="","",INDEX(JupData!$A$2:$K$10000,MATCH($A686&amp;K$1,JupData!$A$2:$A$10000&amp;JupData!$J$2:$J$10000,0),11))</f>
        <v/>
      </c>
      <c r="L686" t="str">
        <f t="array" ref="L686">IF($A686="","",INDEX(JupData!$A$2:$K$10000,MATCH($A686&amp;L$1,JupData!$A$2:$A$10000&amp;JupData!$J$2:$J$10000,0),11))</f>
        <v/>
      </c>
      <c r="M686" t="str">
        <f t="array" ref="M686">IF($A686="","",INDEX(JupData!$A$2:$K$10000,MATCH($A686&amp;M$1,JupData!$A$2:$A$10000&amp;JupData!$J$2:$J$10000,0),11))</f>
        <v/>
      </c>
      <c r="N686" t="str">
        <f t="array" ref="N686">IF($A686="","",INDEX(JupData!$A$2:$K$10000,MATCH($A686&amp;N$1,JupData!$A$2:$A$10000&amp;JupData!$J$2:$J$10000,0),11))</f>
        <v/>
      </c>
      <c r="O686" t="str">
        <f t="array" ref="O686">IF($A686="","",INDEX(JupData!$A$2:$K$10000,MATCH($A686&amp;O$1,JupData!$A$2:$A$10000&amp;JupData!$J$2:$J$10000,0),11))</f>
        <v/>
      </c>
      <c r="P686" t="str">
        <f t="array" ref="P686">IF($A686="","",INDEX(JupData!$A$2:$K$10000,MATCH($A686&amp;P$1,JupData!$A$2:$A$10000&amp;JupData!$J$2:$J$10000,0),11))</f>
        <v/>
      </c>
      <c r="Q686" t="str">
        <f t="array" ref="Q686">IF($A686="","",INDEX(JupData!$A$2:$K$10000,MATCH($A686&amp;Q$1,JupData!$A$2:$A$10000&amp;JupData!$J$2:$J$10000,0),11))</f>
        <v/>
      </c>
      <c r="R686" t="str">
        <f t="array" ref="R686">IF($A686="","",INDEX(JupData!$A$2:$K$10000,MATCH($A686&amp;R$1,JupData!$A$2:$A$10000&amp;JupData!$J$2:$J$10000,0),11))</f>
        <v/>
      </c>
      <c r="S686" t="str">
        <f t="array" ref="S686">IF($A686="","",INDEX(JupData!$A$2:$K$10000,MATCH($A686&amp;S$1,JupData!$A$2:$A$10000&amp;JupData!$J$2:$J$10000,0),11))</f>
        <v/>
      </c>
      <c r="T686" t="str">
        <f t="array" ref="T686">IF($A686="","",INDEX(JupData!$A$2:$K$10000,MATCH($A686&amp;T$1,JupData!$A$2:$A$10000&amp;JupData!$J$2:$J$10000,0),11))</f>
        <v/>
      </c>
      <c r="U686" t="str">
        <f t="array" ref="U686">IF($A686="","",INDEX(JupData!$A$2:$K$10000,MATCH($A686&amp;U$1,JupData!$A$2:$A$10000&amp;JupData!$J$2:$J$10000,0),11))</f>
        <v/>
      </c>
      <c r="V686" t="str">
        <f t="array" ref="V686">IF($A686="","",INDEX(JupData!$A$2:$K$10000,MATCH($A686&amp;V$1,JupData!$A$2:$A$10000&amp;JupData!$J$2:$J$10000,0),11))</f>
        <v/>
      </c>
      <c r="W686" t="str">
        <f t="array" ref="W686">IF($A686="","",INDEX(JupData!$A$2:$K$10000,MATCH($A686&amp;W$1,JupData!$A$2:$A$10000&amp;JupData!$J$2:$J$10000,0),11))</f>
        <v/>
      </c>
      <c r="X686" t="str">
        <f t="array" ref="X686">IF($A686="","",INDEX(JupData!$A$2:$K$10000,MATCH($A686&amp;X$1,JupData!$A$2:$A$10000&amp;JupData!$J$2:$J$10000,0),11))</f>
        <v/>
      </c>
      <c r="Y686" t="str">
        <f t="array" ref="Y686">IF($A686="","",INDEX(JupData!$A$2:$K$10000,MATCH($A686&amp;Y$1,JupData!$A$2:$A$10000&amp;JupData!$J$2:$J$10000,0),11))</f>
        <v/>
      </c>
      <c r="Z686" t="str">
        <f t="array" ref="Z686">IF($A686="","",INDEX(JupData!$A$2:$K$10000,MATCH($A686&amp;Z$1,JupData!$A$2:$A$10000&amp;JupData!$J$2:$J$10000,0),11))</f>
        <v/>
      </c>
      <c r="AA686" t="str">
        <f t="array" ref="AA686">IF($A686="","",INDEX(JupData!$A$2:$K$10000,MATCH($A686&amp;AA$1,JupData!$A$2:$A$10000&amp;JupData!$J$2:$J$10000,0),11))</f>
        <v/>
      </c>
      <c r="AB686" t="str">
        <f t="array" ref="AB686">IF($A686="","",INDEX(JupData!$A$2:$K$10000,MATCH($A686&amp;AB$1,JupData!$A$2:$A$10000&amp;JupData!$J$2:$J$10000,0),11))</f>
        <v/>
      </c>
      <c r="AC686" s="10" t="str">
        <f t="shared" si="110"/>
        <v/>
      </c>
      <c r="AD686" s="10" t="str">
        <f t="shared" si="111"/>
        <v/>
      </c>
      <c r="AE686" s="9" t="str">
        <f t="shared" si="112"/>
        <v/>
      </c>
      <c r="AF686" s="10" t="str">
        <f t="shared" si="113"/>
        <v/>
      </c>
      <c r="AG686" s="10" t="str">
        <f t="shared" si="114"/>
        <v/>
      </c>
      <c r="AH686" s="10" t="str">
        <f t="shared" si="115"/>
        <v/>
      </c>
      <c r="AI686" s="10" t="str">
        <f t="shared" si="116"/>
        <v/>
      </c>
      <c r="AJ686" s="10" t="str">
        <f t="shared" si="117"/>
        <v/>
      </c>
      <c r="AK686" s="10" t="str">
        <f t="shared" si="118"/>
        <v/>
      </c>
      <c r="AL686" s="14" t="str">
        <f t="shared" si="119"/>
        <v/>
      </c>
    </row>
    <row r="687" spans="1:38" x14ac:dyDescent="0.2">
      <c r="A687"/>
      <c r="B687" t="str">
        <f>IF($A687="","",VLOOKUP($A687,JupData!$A$2:$I$10000,4,FALSE))</f>
        <v/>
      </c>
      <c r="C687" s="7" t="str">
        <f>IF($A687="",IF(N(D687),0,""),VLOOKUP($A687,JupData!$A$2:$I$10000,7,FALSE))</f>
        <v/>
      </c>
      <c r="D687" t="str">
        <f t="shared" si="120"/>
        <v/>
      </c>
      <c r="E687" t="str">
        <f t="array" ref="E687">IF($A687="","",INDEX(JupData!$A$2:$K$10000,MATCH($A687&amp;E$1,JupData!$A$2:$A$10000&amp;JupData!$J$2:$J$10000,0),11))</f>
        <v/>
      </c>
      <c r="F687" t="str">
        <f t="array" ref="F687">IF($A687="","",INDEX(JupData!$A$2:$K$10000,MATCH($A687&amp;F$1,JupData!$A$2:$A$10000&amp;JupData!$J$2:$J$10000,0),11))</f>
        <v/>
      </c>
      <c r="G687" t="str">
        <f t="array" ref="G687">IF($A687="","",INDEX(JupData!$A$2:$K$10000,MATCH($A687&amp;G$1,JupData!$A$2:$A$10000&amp;JupData!$J$2:$J$10000,0),11))</f>
        <v/>
      </c>
      <c r="H687" t="str">
        <f t="array" ref="H687">IF($A687="","",INDEX(JupData!$A$2:$K$10000,MATCH($A687&amp;H$1,JupData!$A$2:$A$10000&amp;JupData!$J$2:$J$10000,0),11))</f>
        <v/>
      </c>
      <c r="I687" t="str">
        <f t="array" ref="I687">IF($A687="","",INDEX(JupData!$A$2:$K$10000,MATCH($A687&amp;I$1,JupData!$A$2:$A$10000&amp;JupData!$J$2:$J$10000,0),11))</f>
        <v/>
      </c>
      <c r="J687" t="str">
        <f t="array" ref="J687">IF($A687="","",INDEX(JupData!$A$2:$K$10000,MATCH($A687&amp;J$1,JupData!$A$2:$A$10000&amp;JupData!$J$2:$J$10000,0),11))</f>
        <v/>
      </c>
      <c r="K687" t="str">
        <f t="array" ref="K687">IF($A687="","",INDEX(JupData!$A$2:$K$10000,MATCH($A687&amp;K$1,JupData!$A$2:$A$10000&amp;JupData!$J$2:$J$10000,0),11))</f>
        <v/>
      </c>
      <c r="L687" t="str">
        <f t="array" ref="L687">IF($A687="","",INDEX(JupData!$A$2:$K$10000,MATCH($A687&amp;L$1,JupData!$A$2:$A$10000&amp;JupData!$J$2:$J$10000,0),11))</f>
        <v/>
      </c>
      <c r="M687" t="str">
        <f t="array" ref="M687">IF($A687="","",INDEX(JupData!$A$2:$K$10000,MATCH($A687&amp;M$1,JupData!$A$2:$A$10000&amp;JupData!$J$2:$J$10000,0),11))</f>
        <v/>
      </c>
      <c r="N687" t="str">
        <f t="array" ref="N687">IF($A687="","",INDEX(JupData!$A$2:$K$10000,MATCH($A687&amp;N$1,JupData!$A$2:$A$10000&amp;JupData!$J$2:$J$10000,0),11))</f>
        <v/>
      </c>
      <c r="O687" t="str">
        <f t="array" ref="O687">IF($A687="","",INDEX(JupData!$A$2:$K$10000,MATCH($A687&amp;O$1,JupData!$A$2:$A$10000&amp;JupData!$J$2:$J$10000,0),11))</f>
        <v/>
      </c>
      <c r="P687" t="str">
        <f t="array" ref="P687">IF($A687="","",INDEX(JupData!$A$2:$K$10000,MATCH($A687&amp;P$1,JupData!$A$2:$A$10000&amp;JupData!$J$2:$J$10000,0),11))</f>
        <v/>
      </c>
      <c r="Q687" t="str">
        <f t="array" ref="Q687">IF($A687="","",INDEX(JupData!$A$2:$K$10000,MATCH($A687&amp;Q$1,JupData!$A$2:$A$10000&amp;JupData!$J$2:$J$10000,0),11))</f>
        <v/>
      </c>
      <c r="R687" t="str">
        <f t="array" ref="R687">IF($A687="","",INDEX(JupData!$A$2:$K$10000,MATCH($A687&amp;R$1,JupData!$A$2:$A$10000&amp;JupData!$J$2:$J$10000,0),11))</f>
        <v/>
      </c>
      <c r="S687" t="str">
        <f t="array" ref="S687">IF($A687="","",INDEX(JupData!$A$2:$K$10000,MATCH($A687&amp;S$1,JupData!$A$2:$A$10000&amp;JupData!$J$2:$J$10000,0),11))</f>
        <v/>
      </c>
      <c r="T687" t="str">
        <f t="array" ref="T687">IF($A687="","",INDEX(JupData!$A$2:$K$10000,MATCH($A687&amp;T$1,JupData!$A$2:$A$10000&amp;JupData!$J$2:$J$10000,0),11))</f>
        <v/>
      </c>
      <c r="U687" t="str">
        <f t="array" ref="U687">IF($A687="","",INDEX(JupData!$A$2:$K$10000,MATCH($A687&amp;U$1,JupData!$A$2:$A$10000&amp;JupData!$J$2:$J$10000,0),11))</f>
        <v/>
      </c>
      <c r="V687" t="str">
        <f t="array" ref="V687">IF($A687="","",INDEX(JupData!$A$2:$K$10000,MATCH($A687&amp;V$1,JupData!$A$2:$A$10000&amp;JupData!$J$2:$J$10000,0),11))</f>
        <v/>
      </c>
      <c r="W687" t="str">
        <f t="array" ref="W687">IF($A687="","",INDEX(JupData!$A$2:$K$10000,MATCH($A687&amp;W$1,JupData!$A$2:$A$10000&amp;JupData!$J$2:$J$10000,0),11))</f>
        <v/>
      </c>
      <c r="X687" t="str">
        <f t="array" ref="X687">IF($A687="","",INDEX(JupData!$A$2:$K$10000,MATCH($A687&amp;X$1,JupData!$A$2:$A$10000&amp;JupData!$J$2:$J$10000,0),11))</f>
        <v/>
      </c>
      <c r="Y687" t="str">
        <f t="array" ref="Y687">IF($A687="","",INDEX(JupData!$A$2:$K$10000,MATCH($A687&amp;Y$1,JupData!$A$2:$A$10000&amp;JupData!$J$2:$J$10000,0),11))</f>
        <v/>
      </c>
      <c r="Z687" t="str">
        <f t="array" ref="Z687">IF($A687="","",INDEX(JupData!$A$2:$K$10000,MATCH($A687&amp;Z$1,JupData!$A$2:$A$10000&amp;JupData!$J$2:$J$10000,0),11))</f>
        <v/>
      </c>
      <c r="AA687" t="str">
        <f t="array" ref="AA687">IF($A687="","",INDEX(JupData!$A$2:$K$10000,MATCH($A687&amp;AA$1,JupData!$A$2:$A$10000&amp;JupData!$J$2:$J$10000,0),11))</f>
        <v/>
      </c>
      <c r="AB687" t="str">
        <f t="array" ref="AB687">IF($A687="","",INDEX(JupData!$A$2:$K$10000,MATCH($A687&amp;AB$1,JupData!$A$2:$A$10000&amp;JupData!$J$2:$J$10000,0),11))</f>
        <v/>
      </c>
      <c r="AC687" s="10" t="str">
        <f t="shared" si="110"/>
        <v/>
      </c>
      <c r="AD687" s="10" t="str">
        <f t="shared" si="111"/>
        <v/>
      </c>
      <c r="AE687" s="9" t="str">
        <f t="shared" si="112"/>
        <v/>
      </c>
      <c r="AF687" s="10" t="str">
        <f t="shared" si="113"/>
        <v/>
      </c>
      <c r="AG687" s="10" t="str">
        <f t="shared" si="114"/>
        <v/>
      </c>
      <c r="AH687" s="10" t="str">
        <f t="shared" si="115"/>
        <v/>
      </c>
      <c r="AI687" s="10" t="str">
        <f t="shared" si="116"/>
        <v/>
      </c>
      <c r="AJ687" s="10" t="str">
        <f t="shared" si="117"/>
        <v/>
      </c>
      <c r="AK687" s="10" t="str">
        <f t="shared" si="118"/>
        <v/>
      </c>
      <c r="AL687" s="14" t="str">
        <f t="shared" si="119"/>
        <v/>
      </c>
    </row>
    <row r="688" spans="1:38" x14ac:dyDescent="0.2">
      <c r="A688"/>
      <c r="B688" t="str">
        <f>IF($A688="","",VLOOKUP($A688,JupData!$A$2:$I$10000,4,FALSE))</f>
        <v/>
      </c>
      <c r="C688" s="7" t="str">
        <f>IF($A688="",IF(N(D688),0,""),VLOOKUP($A688,JupData!$A$2:$I$10000,7,FALSE))</f>
        <v/>
      </c>
      <c r="D688" t="str">
        <f t="shared" si="120"/>
        <v/>
      </c>
      <c r="E688" t="str">
        <f t="array" ref="E688">IF($A688="","",INDEX(JupData!$A$2:$K$10000,MATCH($A688&amp;E$1,JupData!$A$2:$A$10000&amp;JupData!$J$2:$J$10000,0),11))</f>
        <v/>
      </c>
      <c r="F688" t="str">
        <f t="array" ref="F688">IF($A688="","",INDEX(JupData!$A$2:$K$10000,MATCH($A688&amp;F$1,JupData!$A$2:$A$10000&amp;JupData!$J$2:$J$10000,0),11))</f>
        <v/>
      </c>
      <c r="G688" t="str">
        <f t="array" ref="G688">IF($A688="","",INDEX(JupData!$A$2:$K$10000,MATCH($A688&amp;G$1,JupData!$A$2:$A$10000&amp;JupData!$J$2:$J$10000,0),11))</f>
        <v/>
      </c>
      <c r="H688" t="str">
        <f t="array" ref="H688">IF($A688="","",INDEX(JupData!$A$2:$K$10000,MATCH($A688&amp;H$1,JupData!$A$2:$A$10000&amp;JupData!$J$2:$J$10000,0),11))</f>
        <v/>
      </c>
      <c r="I688" t="str">
        <f t="array" ref="I688">IF($A688="","",INDEX(JupData!$A$2:$K$10000,MATCH($A688&amp;I$1,JupData!$A$2:$A$10000&amp;JupData!$J$2:$J$10000,0),11))</f>
        <v/>
      </c>
      <c r="J688" t="str">
        <f t="array" ref="J688">IF($A688="","",INDEX(JupData!$A$2:$K$10000,MATCH($A688&amp;J$1,JupData!$A$2:$A$10000&amp;JupData!$J$2:$J$10000,0),11))</f>
        <v/>
      </c>
      <c r="K688" t="str">
        <f t="array" ref="K688">IF($A688="","",INDEX(JupData!$A$2:$K$10000,MATCH($A688&amp;K$1,JupData!$A$2:$A$10000&amp;JupData!$J$2:$J$10000,0),11))</f>
        <v/>
      </c>
      <c r="L688" t="str">
        <f t="array" ref="L688">IF($A688="","",INDEX(JupData!$A$2:$K$10000,MATCH($A688&amp;L$1,JupData!$A$2:$A$10000&amp;JupData!$J$2:$J$10000,0),11))</f>
        <v/>
      </c>
      <c r="M688" t="str">
        <f t="array" ref="M688">IF($A688="","",INDEX(JupData!$A$2:$K$10000,MATCH($A688&amp;M$1,JupData!$A$2:$A$10000&amp;JupData!$J$2:$J$10000,0),11))</f>
        <v/>
      </c>
      <c r="N688" t="str">
        <f t="array" ref="N688">IF($A688="","",INDEX(JupData!$A$2:$K$10000,MATCH($A688&amp;N$1,JupData!$A$2:$A$10000&amp;JupData!$J$2:$J$10000,0),11))</f>
        <v/>
      </c>
      <c r="O688" t="str">
        <f t="array" ref="O688">IF($A688="","",INDEX(JupData!$A$2:$K$10000,MATCH($A688&amp;O$1,JupData!$A$2:$A$10000&amp;JupData!$J$2:$J$10000,0),11))</f>
        <v/>
      </c>
      <c r="P688" t="str">
        <f t="array" ref="P688">IF($A688="","",INDEX(JupData!$A$2:$K$10000,MATCH($A688&amp;P$1,JupData!$A$2:$A$10000&amp;JupData!$J$2:$J$10000,0),11))</f>
        <v/>
      </c>
      <c r="Q688" t="str">
        <f t="array" ref="Q688">IF($A688="","",INDEX(JupData!$A$2:$K$10000,MATCH($A688&amp;Q$1,JupData!$A$2:$A$10000&amp;JupData!$J$2:$J$10000,0),11))</f>
        <v/>
      </c>
      <c r="R688" t="str">
        <f t="array" ref="R688">IF($A688="","",INDEX(JupData!$A$2:$K$10000,MATCH($A688&amp;R$1,JupData!$A$2:$A$10000&amp;JupData!$J$2:$J$10000,0),11))</f>
        <v/>
      </c>
      <c r="S688" t="str">
        <f t="array" ref="S688">IF($A688="","",INDEX(JupData!$A$2:$K$10000,MATCH($A688&amp;S$1,JupData!$A$2:$A$10000&amp;JupData!$J$2:$J$10000,0),11))</f>
        <v/>
      </c>
      <c r="T688" t="str">
        <f t="array" ref="T688">IF($A688="","",INDEX(JupData!$A$2:$K$10000,MATCH($A688&amp;T$1,JupData!$A$2:$A$10000&amp;JupData!$J$2:$J$10000,0),11))</f>
        <v/>
      </c>
      <c r="U688" t="str">
        <f t="array" ref="U688">IF($A688="","",INDEX(JupData!$A$2:$K$10000,MATCH($A688&amp;U$1,JupData!$A$2:$A$10000&amp;JupData!$J$2:$J$10000,0),11))</f>
        <v/>
      </c>
      <c r="V688" t="str">
        <f t="array" ref="V688">IF($A688="","",INDEX(JupData!$A$2:$K$10000,MATCH($A688&amp;V$1,JupData!$A$2:$A$10000&amp;JupData!$J$2:$J$10000,0),11))</f>
        <v/>
      </c>
      <c r="W688" t="str">
        <f t="array" ref="W688">IF($A688="","",INDEX(JupData!$A$2:$K$10000,MATCH($A688&amp;W$1,JupData!$A$2:$A$10000&amp;JupData!$J$2:$J$10000,0),11))</f>
        <v/>
      </c>
      <c r="X688" t="str">
        <f t="array" ref="X688">IF($A688="","",INDEX(JupData!$A$2:$K$10000,MATCH($A688&amp;X$1,JupData!$A$2:$A$10000&amp;JupData!$J$2:$J$10000,0),11))</f>
        <v/>
      </c>
      <c r="Y688" t="str">
        <f t="array" ref="Y688">IF($A688="","",INDEX(JupData!$A$2:$K$10000,MATCH($A688&amp;Y$1,JupData!$A$2:$A$10000&amp;JupData!$J$2:$J$10000,0),11))</f>
        <v/>
      </c>
      <c r="Z688" t="str">
        <f t="array" ref="Z688">IF($A688="","",INDEX(JupData!$A$2:$K$10000,MATCH($A688&amp;Z$1,JupData!$A$2:$A$10000&amp;JupData!$J$2:$J$10000,0),11))</f>
        <v/>
      </c>
      <c r="AA688" t="str">
        <f t="array" ref="AA688">IF($A688="","",INDEX(JupData!$A$2:$K$10000,MATCH($A688&amp;AA$1,JupData!$A$2:$A$10000&amp;JupData!$J$2:$J$10000,0),11))</f>
        <v/>
      </c>
      <c r="AB688" t="str">
        <f t="array" ref="AB688">IF($A688="","",INDEX(JupData!$A$2:$K$10000,MATCH($A688&amp;AB$1,JupData!$A$2:$A$10000&amp;JupData!$J$2:$J$10000,0),11))</f>
        <v/>
      </c>
      <c r="AC688" s="10" t="str">
        <f t="shared" si="110"/>
        <v/>
      </c>
      <c r="AD688" s="10" t="str">
        <f t="shared" si="111"/>
        <v/>
      </c>
      <c r="AE688" s="9" t="str">
        <f t="shared" si="112"/>
        <v/>
      </c>
      <c r="AF688" s="10" t="str">
        <f t="shared" si="113"/>
        <v/>
      </c>
      <c r="AG688" s="10" t="str">
        <f t="shared" si="114"/>
        <v/>
      </c>
      <c r="AH688" s="10" t="str">
        <f t="shared" si="115"/>
        <v/>
      </c>
      <c r="AI688" s="10" t="str">
        <f t="shared" si="116"/>
        <v/>
      </c>
      <c r="AJ688" s="10" t="str">
        <f t="shared" si="117"/>
        <v/>
      </c>
      <c r="AK688" s="10" t="str">
        <f t="shared" si="118"/>
        <v/>
      </c>
      <c r="AL688" s="14" t="str">
        <f t="shared" si="119"/>
        <v/>
      </c>
    </row>
    <row r="689" spans="1:38" x14ac:dyDescent="0.2">
      <c r="A689"/>
      <c r="B689" t="str">
        <f>IF($A689="","",VLOOKUP($A689,JupData!$A$2:$I$10000,4,FALSE))</f>
        <v/>
      </c>
      <c r="C689" s="7" t="str">
        <f>IF($A689="",IF(N(D689),0,""),VLOOKUP($A689,JupData!$A$2:$I$10000,7,FALSE))</f>
        <v/>
      </c>
      <c r="D689" t="str">
        <f t="shared" si="120"/>
        <v/>
      </c>
      <c r="E689" t="str">
        <f t="array" ref="E689">IF($A689="","",INDEX(JupData!$A$2:$K$10000,MATCH($A689&amp;E$1,JupData!$A$2:$A$10000&amp;JupData!$J$2:$J$10000,0),11))</f>
        <v/>
      </c>
      <c r="F689" t="str">
        <f t="array" ref="F689">IF($A689="","",INDEX(JupData!$A$2:$K$10000,MATCH($A689&amp;F$1,JupData!$A$2:$A$10000&amp;JupData!$J$2:$J$10000,0),11))</f>
        <v/>
      </c>
      <c r="G689" t="str">
        <f t="array" ref="G689">IF($A689="","",INDEX(JupData!$A$2:$K$10000,MATCH($A689&amp;G$1,JupData!$A$2:$A$10000&amp;JupData!$J$2:$J$10000,0),11))</f>
        <v/>
      </c>
      <c r="H689" t="str">
        <f t="array" ref="H689">IF($A689="","",INDEX(JupData!$A$2:$K$10000,MATCH($A689&amp;H$1,JupData!$A$2:$A$10000&amp;JupData!$J$2:$J$10000,0),11))</f>
        <v/>
      </c>
      <c r="I689" t="str">
        <f t="array" ref="I689">IF($A689="","",INDEX(JupData!$A$2:$K$10000,MATCH($A689&amp;I$1,JupData!$A$2:$A$10000&amp;JupData!$J$2:$J$10000,0),11))</f>
        <v/>
      </c>
      <c r="J689" t="str">
        <f t="array" ref="J689">IF($A689="","",INDEX(JupData!$A$2:$K$10000,MATCH($A689&amp;J$1,JupData!$A$2:$A$10000&amp;JupData!$J$2:$J$10000,0),11))</f>
        <v/>
      </c>
      <c r="K689" t="str">
        <f t="array" ref="K689">IF($A689="","",INDEX(JupData!$A$2:$K$10000,MATCH($A689&amp;K$1,JupData!$A$2:$A$10000&amp;JupData!$J$2:$J$10000,0),11))</f>
        <v/>
      </c>
      <c r="L689" t="str">
        <f t="array" ref="L689">IF($A689="","",INDEX(JupData!$A$2:$K$10000,MATCH($A689&amp;L$1,JupData!$A$2:$A$10000&amp;JupData!$J$2:$J$10000,0),11))</f>
        <v/>
      </c>
      <c r="M689" t="str">
        <f t="array" ref="M689">IF($A689="","",INDEX(JupData!$A$2:$K$10000,MATCH($A689&amp;M$1,JupData!$A$2:$A$10000&amp;JupData!$J$2:$J$10000,0),11))</f>
        <v/>
      </c>
      <c r="N689" t="str">
        <f t="array" ref="N689">IF($A689="","",INDEX(JupData!$A$2:$K$10000,MATCH($A689&amp;N$1,JupData!$A$2:$A$10000&amp;JupData!$J$2:$J$10000,0),11))</f>
        <v/>
      </c>
      <c r="O689" t="str">
        <f t="array" ref="O689">IF($A689="","",INDEX(JupData!$A$2:$K$10000,MATCH($A689&amp;O$1,JupData!$A$2:$A$10000&amp;JupData!$J$2:$J$10000,0),11))</f>
        <v/>
      </c>
      <c r="P689" t="str">
        <f t="array" ref="P689">IF($A689="","",INDEX(JupData!$A$2:$K$10000,MATCH($A689&amp;P$1,JupData!$A$2:$A$10000&amp;JupData!$J$2:$J$10000,0),11))</f>
        <v/>
      </c>
      <c r="Q689" t="str">
        <f t="array" ref="Q689">IF($A689="","",INDEX(JupData!$A$2:$K$10000,MATCH($A689&amp;Q$1,JupData!$A$2:$A$10000&amp;JupData!$J$2:$J$10000,0),11))</f>
        <v/>
      </c>
      <c r="R689" t="str">
        <f t="array" ref="R689">IF($A689="","",INDEX(JupData!$A$2:$K$10000,MATCH($A689&amp;R$1,JupData!$A$2:$A$10000&amp;JupData!$J$2:$J$10000,0),11))</f>
        <v/>
      </c>
      <c r="S689" t="str">
        <f t="array" ref="S689">IF($A689="","",INDEX(JupData!$A$2:$K$10000,MATCH($A689&amp;S$1,JupData!$A$2:$A$10000&amp;JupData!$J$2:$J$10000,0),11))</f>
        <v/>
      </c>
      <c r="T689" t="str">
        <f t="array" ref="T689">IF($A689="","",INDEX(JupData!$A$2:$K$10000,MATCH($A689&amp;T$1,JupData!$A$2:$A$10000&amp;JupData!$J$2:$J$10000,0),11))</f>
        <v/>
      </c>
      <c r="U689" t="str">
        <f t="array" ref="U689">IF($A689="","",INDEX(JupData!$A$2:$K$10000,MATCH($A689&amp;U$1,JupData!$A$2:$A$10000&amp;JupData!$J$2:$J$10000,0),11))</f>
        <v/>
      </c>
      <c r="V689" t="str">
        <f t="array" ref="V689">IF($A689="","",INDEX(JupData!$A$2:$K$10000,MATCH($A689&amp;V$1,JupData!$A$2:$A$10000&amp;JupData!$J$2:$J$10000,0),11))</f>
        <v/>
      </c>
      <c r="W689" t="str">
        <f t="array" ref="W689">IF($A689="","",INDEX(JupData!$A$2:$K$10000,MATCH($A689&amp;W$1,JupData!$A$2:$A$10000&amp;JupData!$J$2:$J$10000,0),11))</f>
        <v/>
      </c>
      <c r="X689" t="str">
        <f t="array" ref="X689">IF($A689="","",INDEX(JupData!$A$2:$K$10000,MATCH($A689&amp;X$1,JupData!$A$2:$A$10000&amp;JupData!$J$2:$J$10000,0),11))</f>
        <v/>
      </c>
      <c r="Y689" t="str">
        <f t="array" ref="Y689">IF($A689="","",INDEX(JupData!$A$2:$K$10000,MATCH($A689&amp;Y$1,JupData!$A$2:$A$10000&amp;JupData!$J$2:$J$10000,0),11))</f>
        <v/>
      </c>
      <c r="Z689" t="str">
        <f t="array" ref="Z689">IF($A689="","",INDEX(JupData!$A$2:$K$10000,MATCH($A689&amp;Z$1,JupData!$A$2:$A$10000&amp;JupData!$J$2:$J$10000,0),11))</f>
        <v/>
      </c>
      <c r="AA689" t="str">
        <f t="array" ref="AA689">IF($A689="","",INDEX(JupData!$A$2:$K$10000,MATCH($A689&amp;AA$1,JupData!$A$2:$A$10000&amp;JupData!$J$2:$J$10000,0),11))</f>
        <v/>
      </c>
      <c r="AB689" t="str">
        <f t="array" ref="AB689">IF($A689="","",INDEX(JupData!$A$2:$K$10000,MATCH($A689&amp;AB$1,JupData!$A$2:$A$10000&amp;JupData!$J$2:$J$10000,0),11))</f>
        <v/>
      </c>
      <c r="AC689" s="10" t="str">
        <f t="shared" si="110"/>
        <v/>
      </c>
      <c r="AD689" s="10" t="str">
        <f t="shared" si="111"/>
        <v/>
      </c>
      <c r="AE689" s="9" t="str">
        <f t="shared" si="112"/>
        <v/>
      </c>
      <c r="AF689" s="10" t="str">
        <f t="shared" si="113"/>
        <v/>
      </c>
      <c r="AG689" s="10" t="str">
        <f t="shared" si="114"/>
        <v/>
      </c>
      <c r="AH689" s="10" t="str">
        <f t="shared" si="115"/>
        <v/>
      </c>
      <c r="AI689" s="10" t="str">
        <f t="shared" si="116"/>
        <v/>
      </c>
      <c r="AJ689" s="10" t="str">
        <f t="shared" si="117"/>
        <v/>
      </c>
      <c r="AK689" s="10" t="str">
        <f t="shared" si="118"/>
        <v/>
      </c>
      <c r="AL689" s="14" t="str">
        <f t="shared" si="119"/>
        <v/>
      </c>
    </row>
    <row r="690" spans="1:38" x14ac:dyDescent="0.2">
      <c r="A690"/>
      <c r="B690" t="str">
        <f>IF($A690="","",VLOOKUP($A690,JupData!$A$2:$I$10000,4,FALSE))</f>
        <v/>
      </c>
      <c r="C690" s="7" t="str">
        <f>IF($A690="",IF(N(D690),0,""),VLOOKUP($A690,JupData!$A$2:$I$10000,7,FALSE))</f>
        <v/>
      </c>
      <c r="D690" t="str">
        <f t="shared" si="120"/>
        <v/>
      </c>
      <c r="E690" t="str">
        <f t="array" ref="E690">IF($A690="","",INDEX(JupData!$A$2:$K$10000,MATCH($A690&amp;E$1,JupData!$A$2:$A$10000&amp;JupData!$J$2:$J$10000,0),11))</f>
        <v/>
      </c>
      <c r="F690" t="str">
        <f t="array" ref="F690">IF($A690="","",INDEX(JupData!$A$2:$K$10000,MATCH($A690&amp;F$1,JupData!$A$2:$A$10000&amp;JupData!$J$2:$J$10000,0),11))</f>
        <v/>
      </c>
      <c r="G690" t="str">
        <f t="array" ref="G690">IF($A690="","",INDEX(JupData!$A$2:$K$10000,MATCH($A690&amp;G$1,JupData!$A$2:$A$10000&amp;JupData!$J$2:$J$10000,0),11))</f>
        <v/>
      </c>
      <c r="H690" t="str">
        <f t="array" ref="H690">IF($A690="","",INDEX(JupData!$A$2:$K$10000,MATCH($A690&amp;H$1,JupData!$A$2:$A$10000&amp;JupData!$J$2:$J$10000,0),11))</f>
        <v/>
      </c>
      <c r="I690" t="str">
        <f t="array" ref="I690">IF($A690="","",INDEX(JupData!$A$2:$K$10000,MATCH($A690&amp;I$1,JupData!$A$2:$A$10000&amp;JupData!$J$2:$J$10000,0),11))</f>
        <v/>
      </c>
      <c r="J690" t="str">
        <f t="array" ref="J690">IF($A690="","",INDEX(JupData!$A$2:$K$10000,MATCH($A690&amp;J$1,JupData!$A$2:$A$10000&amp;JupData!$J$2:$J$10000,0),11))</f>
        <v/>
      </c>
      <c r="K690" t="str">
        <f t="array" ref="K690">IF($A690="","",INDEX(JupData!$A$2:$K$10000,MATCH($A690&amp;K$1,JupData!$A$2:$A$10000&amp;JupData!$J$2:$J$10000,0),11))</f>
        <v/>
      </c>
      <c r="L690" t="str">
        <f t="array" ref="L690">IF($A690="","",INDEX(JupData!$A$2:$K$10000,MATCH($A690&amp;L$1,JupData!$A$2:$A$10000&amp;JupData!$J$2:$J$10000,0),11))</f>
        <v/>
      </c>
      <c r="M690" t="str">
        <f t="array" ref="M690">IF($A690="","",INDEX(JupData!$A$2:$K$10000,MATCH($A690&amp;M$1,JupData!$A$2:$A$10000&amp;JupData!$J$2:$J$10000,0),11))</f>
        <v/>
      </c>
      <c r="N690" t="str">
        <f t="array" ref="N690">IF($A690="","",INDEX(JupData!$A$2:$K$10000,MATCH($A690&amp;N$1,JupData!$A$2:$A$10000&amp;JupData!$J$2:$J$10000,0),11))</f>
        <v/>
      </c>
      <c r="O690" t="str">
        <f t="array" ref="O690">IF($A690="","",INDEX(JupData!$A$2:$K$10000,MATCH($A690&amp;O$1,JupData!$A$2:$A$10000&amp;JupData!$J$2:$J$10000,0),11))</f>
        <v/>
      </c>
      <c r="P690" t="str">
        <f t="array" ref="P690">IF($A690="","",INDEX(JupData!$A$2:$K$10000,MATCH($A690&amp;P$1,JupData!$A$2:$A$10000&amp;JupData!$J$2:$J$10000,0),11))</f>
        <v/>
      </c>
      <c r="Q690" t="str">
        <f t="array" ref="Q690">IF($A690="","",INDEX(JupData!$A$2:$K$10000,MATCH($A690&amp;Q$1,JupData!$A$2:$A$10000&amp;JupData!$J$2:$J$10000,0),11))</f>
        <v/>
      </c>
      <c r="R690" t="str">
        <f t="array" ref="R690">IF($A690="","",INDEX(JupData!$A$2:$K$10000,MATCH($A690&amp;R$1,JupData!$A$2:$A$10000&amp;JupData!$J$2:$J$10000,0),11))</f>
        <v/>
      </c>
      <c r="S690" t="str">
        <f t="array" ref="S690">IF($A690="","",INDEX(JupData!$A$2:$K$10000,MATCH($A690&amp;S$1,JupData!$A$2:$A$10000&amp;JupData!$J$2:$J$10000,0),11))</f>
        <v/>
      </c>
      <c r="T690" t="str">
        <f t="array" ref="T690">IF($A690="","",INDEX(JupData!$A$2:$K$10000,MATCH($A690&amp;T$1,JupData!$A$2:$A$10000&amp;JupData!$J$2:$J$10000,0),11))</f>
        <v/>
      </c>
      <c r="U690" t="str">
        <f t="array" ref="U690">IF($A690="","",INDEX(JupData!$A$2:$K$10000,MATCH($A690&amp;U$1,JupData!$A$2:$A$10000&amp;JupData!$J$2:$J$10000,0),11))</f>
        <v/>
      </c>
      <c r="V690" t="str">
        <f t="array" ref="V690">IF($A690="","",INDEX(JupData!$A$2:$K$10000,MATCH($A690&amp;V$1,JupData!$A$2:$A$10000&amp;JupData!$J$2:$J$10000,0),11))</f>
        <v/>
      </c>
      <c r="W690" t="str">
        <f t="array" ref="W690">IF($A690="","",INDEX(JupData!$A$2:$K$10000,MATCH($A690&amp;W$1,JupData!$A$2:$A$10000&amp;JupData!$J$2:$J$10000,0),11))</f>
        <v/>
      </c>
      <c r="X690" t="str">
        <f t="array" ref="X690">IF($A690="","",INDEX(JupData!$A$2:$K$10000,MATCH($A690&amp;X$1,JupData!$A$2:$A$10000&amp;JupData!$J$2:$J$10000,0),11))</f>
        <v/>
      </c>
      <c r="Y690" t="str">
        <f t="array" ref="Y690">IF($A690="","",INDEX(JupData!$A$2:$K$10000,MATCH($A690&amp;Y$1,JupData!$A$2:$A$10000&amp;JupData!$J$2:$J$10000,0),11))</f>
        <v/>
      </c>
      <c r="Z690" t="str">
        <f t="array" ref="Z690">IF($A690="","",INDEX(JupData!$A$2:$K$10000,MATCH($A690&amp;Z$1,JupData!$A$2:$A$10000&amp;JupData!$J$2:$J$10000,0),11))</f>
        <v/>
      </c>
      <c r="AA690" t="str">
        <f t="array" ref="AA690">IF($A690="","",INDEX(JupData!$A$2:$K$10000,MATCH($A690&amp;AA$1,JupData!$A$2:$A$10000&amp;JupData!$J$2:$J$10000,0),11))</f>
        <v/>
      </c>
      <c r="AB690" t="str">
        <f t="array" ref="AB690">IF($A690="","",INDEX(JupData!$A$2:$K$10000,MATCH($A690&amp;AB$1,JupData!$A$2:$A$10000&amp;JupData!$J$2:$J$10000,0),11))</f>
        <v/>
      </c>
      <c r="AC690" s="10" t="str">
        <f t="shared" si="110"/>
        <v/>
      </c>
      <c r="AD690" s="10" t="str">
        <f t="shared" si="111"/>
        <v/>
      </c>
      <c r="AE690" s="9" t="str">
        <f t="shared" si="112"/>
        <v/>
      </c>
      <c r="AF690" s="10" t="str">
        <f t="shared" si="113"/>
        <v/>
      </c>
      <c r="AG690" s="10" t="str">
        <f t="shared" si="114"/>
        <v/>
      </c>
      <c r="AH690" s="10" t="str">
        <f t="shared" si="115"/>
        <v/>
      </c>
      <c r="AI690" s="10" t="str">
        <f t="shared" si="116"/>
        <v/>
      </c>
      <c r="AJ690" s="10" t="str">
        <f t="shared" si="117"/>
        <v/>
      </c>
      <c r="AK690" s="10" t="str">
        <f t="shared" si="118"/>
        <v/>
      </c>
      <c r="AL690" s="14" t="str">
        <f t="shared" si="119"/>
        <v/>
      </c>
    </row>
    <row r="691" spans="1:38" x14ac:dyDescent="0.2">
      <c r="A691"/>
      <c r="B691" t="str">
        <f>IF($A691="","",VLOOKUP($A691,JupData!$A$2:$I$10000,4,FALSE))</f>
        <v/>
      </c>
      <c r="C691" s="7" t="str">
        <f>IF($A691="",IF(N(D691),0,""),VLOOKUP($A691,JupData!$A$2:$I$10000,7,FALSE))</f>
        <v/>
      </c>
      <c r="D691" t="str">
        <f t="shared" si="120"/>
        <v/>
      </c>
      <c r="E691" t="str">
        <f t="array" ref="E691">IF($A691="","",INDEX(JupData!$A$2:$K$10000,MATCH($A691&amp;E$1,JupData!$A$2:$A$10000&amp;JupData!$J$2:$J$10000,0),11))</f>
        <v/>
      </c>
      <c r="F691" t="str">
        <f t="array" ref="F691">IF($A691="","",INDEX(JupData!$A$2:$K$10000,MATCH($A691&amp;F$1,JupData!$A$2:$A$10000&amp;JupData!$J$2:$J$10000,0),11))</f>
        <v/>
      </c>
      <c r="G691" t="str">
        <f t="array" ref="G691">IF($A691="","",INDEX(JupData!$A$2:$K$10000,MATCH($A691&amp;G$1,JupData!$A$2:$A$10000&amp;JupData!$J$2:$J$10000,0),11))</f>
        <v/>
      </c>
      <c r="H691" t="str">
        <f t="array" ref="H691">IF($A691="","",INDEX(JupData!$A$2:$K$10000,MATCH($A691&amp;H$1,JupData!$A$2:$A$10000&amp;JupData!$J$2:$J$10000,0),11))</f>
        <v/>
      </c>
      <c r="I691" t="str">
        <f t="array" ref="I691">IF($A691="","",INDEX(JupData!$A$2:$K$10000,MATCH($A691&amp;I$1,JupData!$A$2:$A$10000&amp;JupData!$J$2:$J$10000,0),11))</f>
        <v/>
      </c>
      <c r="J691" t="str">
        <f t="array" ref="J691">IF($A691="","",INDEX(JupData!$A$2:$K$10000,MATCH($A691&amp;J$1,JupData!$A$2:$A$10000&amp;JupData!$J$2:$J$10000,0),11))</f>
        <v/>
      </c>
      <c r="K691" t="str">
        <f t="array" ref="K691">IF($A691="","",INDEX(JupData!$A$2:$K$10000,MATCH($A691&amp;K$1,JupData!$A$2:$A$10000&amp;JupData!$J$2:$J$10000,0),11))</f>
        <v/>
      </c>
      <c r="L691" t="str">
        <f t="array" ref="L691">IF($A691="","",INDEX(JupData!$A$2:$K$10000,MATCH($A691&amp;L$1,JupData!$A$2:$A$10000&amp;JupData!$J$2:$J$10000,0),11))</f>
        <v/>
      </c>
      <c r="M691" t="str">
        <f t="array" ref="M691">IF($A691="","",INDEX(JupData!$A$2:$K$10000,MATCH($A691&amp;M$1,JupData!$A$2:$A$10000&amp;JupData!$J$2:$J$10000,0),11))</f>
        <v/>
      </c>
      <c r="N691" t="str">
        <f t="array" ref="N691">IF($A691="","",INDEX(JupData!$A$2:$K$10000,MATCH($A691&amp;N$1,JupData!$A$2:$A$10000&amp;JupData!$J$2:$J$10000,0),11))</f>
        <v/>
      </c>
      <c r="O691" t="str">
        <f t="array" ref="O691">IF($A691="","",INDEX(JupData!$A$2:$K$10000,MATCH($A691&amp;O$1,JupData!$A$2:$A$10000&amp;JupData!$J$2:$J$10000,0),11))</f>
        <v/>
      </c>
      <c r="P691" t="str">
        <f t="array" ref="P691">IF($A691="","",INDEX(JupData!$A$2:$K$10000,MATCH($A691&amp;P$1,JupData!$A$2:$A$10000&amp;JupData!$J$2:$J$10000,0),11))</f>
        <v/>
      </c>
      <c r="Q691" t="str">
        <f t="array" ref="Q691">IF($A691="","",INDEX(JupData!$A$2:$K$10000,MATCH($A691&amp;Q$1,JupData!$A$2:$A$10000&amp;JupData!$J$2:$J$10000,0),11))</f>
        <v/>
      </c>
      <c r="R691" t="str">
        <f t="array" ref="R691">IF($A691="","",INDEX(JupData!$A$2:$K$10000,MATCH($A691&amp;R$1,JupData!$A$2:$A$10000&amp;JupData!$J$2:$J$10000,0),11))</f>
        <v/>
      </c>
      <c r="S691" t="str">
        <f t="array" ref="S691">IF($A691="","",INDEX(JupData!$A$2:$K$10000,MATCH($A691&amp;S$1,JupData!$A$2:$A$10000&amp;JupData!$J$2:$J$10000,0),11))</f>
        <v/>
      </c>
      <c r="T691" t="str">
        <f t="array" ref="T691">IF($A691="","",INDEX(JupData!$A$2:$K$10000,MATCH($A691&amp;T$1,JupData!$A$2:$A$10000&amp;JupData!$J$2:$J$10000,0),11))</f>
        <v/>
      </c>
      <c r="U691" t="str">
        <f t="array" ref="U691">IF($A691="","",INDEX(JupData!$A$2:$K$10000,MATCH($A691&amp;U$1,JupData!$A$2:$A$10000&amp;JupData!$J$2:$J$10000,0),11))</f>
        <v/>
      </c>
      <c r="V691" t="str">
        <f t="array" ref="V691">IF($A691="","",INDEX(JupData!$A$2:$K$10000,MATCH($A691&amp;V$1,JupData!$A$2:$A$10000&amp;JupData!$J$2:$J$10000,0),11))</f>
        <v/>
      </c>
      <c r="W691" t="str">
        <f t="array" ref="W691">IF($A691="","",INDEX(JupData!$A$2:$K$10000,MATCH($A691&amp;W$1,JupData!$A$2:$A$10000&amp;JupData!$J$2:$J$10000,0),11))</f>
        <v/>
      </c>
      <c r="X691" t="str">
        <f t="array" ref="X691">IF($A691="","",INDEX(JupData!$A$2:$K$10000,MATCH($A691&amp;X$1,JupData!$A$2:$A$10000&amp;JupData!$J$2:$J$10000,0),11))</f>
        <v/>
      </c>
      <c r="Y691" t="str">
        <f t="array" ref="Y691">IF($A691="","",INDEX(JupData!$A$2:$K$10000,MATCH($A691&amp;Y$1,JupData!$A$2:$A$10000&amp;JupData!$J$2:$J$10000,0),11))</f>
        <v/>
      </c>
      <c r="Z691" t="str">
        <f t="array" ref="Z691">IF($A691="","",INDEX(JupData!$A$2:$K$10000,MATCH($A691&amp;Z$1,JupData!$A$2:$A$10000&amp;JupData!$J$2:$J$10000,0),11))</f>
        <v/>
      </c>
      <c r="AA691" t="str">
        <f t="array" ref="AA691">IF($A691="","",INDEX(JupData!$A$2:$K$10000,MATCH($A691&amp;AA$1,JupData!$A$2:$A$10000&amp;JupData!$J$2:$J$10000,0),11))</f>
        <v/>
      </c>
      <c r="AB691" t="str">
        <f t="array" ref="AB691">IF($A691="","",INDEX(JupData!$A$2:$K$10000,MATCH($A691&amp;AB$1,JupData!$A$2:$A$10000&amp;JupData!$J$2:$J$10000,0),11))</f>
        <v/>
      </c>
      <c r="AC691" s="10" t="str">
        <f t="shared" si="110"/>
        <v/>
      </c>
      <c r="AD691" s="10" t="str">
        <f t="shared" si="111"/>
        <v/>
      </c>
      <c r="AE691" s="9" t="str">
        <f t="shared" si="112"/>
        <v/>
      </c>
      <c r="AF691" s="10" t="str">
        <f t="shared" si="113"/>
        <v/>
      </c>
      <c r="AG691" s="10" t="str">
        <f t="shared" si="114"/>
        <v/>
      </c>
      <c r="AH691" s="10" t="str">
        <f t="shared" si="115"/>
        <v/>
      </c>
      <c r="AI691" s="10" t="str">
        <f t="shared" si="116"/>
        <v/>
      </c>
      <c r="AJ691" s="10" t="str">
        <f t="shared" si="117"/>
        <v/>
      </c>
      <c r="AK691" s="10" t="str">
        <f t="shared" si="118"/>
        <v/>
      </c>
      <c r="AL691" s="14" t="str">
        <f t="shared" si="119"/>
        <v/>
      </c>
    </row>
    <row r="692" spans="1:38" x14ac:dyDescent="0.2">
      <c r="A692"/>
      <c r="B692" t="str">
        <f>IF($A692="","",VLOOKUP($A692,JupData!$A$2:$I$10000,4,FALSE))</f>
        <v/>
      </c>
      <c r="C692" s="7" t="str">
        <f>IF($A692="",IF(N(D692),0,""),VLOOKUP($A692,JupData!$A$2:$I$10000,7,FALSE))</f>
        <v/>
      </c>
      <c r="D692" t="str">
        <f t="shared" si="120"/>
        <v/>
      </c>
      <c r="E692" t="str">
        <f t="array" ref="E692">IF($A692="","",INDEX(JupData!$A$2:$K$10000,MATCH($A692&amp;E$1,JupData!$A$2:$A$10000&amp;JupData!$J$2:$J$10000,0),11))</f>
        <v/>
      </c>
      <c r="F692" t="str">
        <f t="array" ref="F692">IF($A692="","",INDEX(JupData!$A$2:$K$10000,MATCH($A692&amp;F$1,JupData!$A$2:$A$10000&amp;JupData!$J$2:$J$10000,0),11))</f>
        <v/>
      </c>
      <c r="G692" t="str">
        <f t="array" ref="G692">IF($A692="","",INDEX(JupData!$A$2:$K$10000,MATCH($A692&amp;G$1,JupData!$A$2:$A$10000&amp;JupData!$J$2:$J$10000,0),11))</f>
        <v/>
      </c>
      <c r="H692" t="str">
        <f t="array" ref="H692">IF($A692="","",INDEX(JupData!$A$2:$K$10000,MATCH($A692&amp;H$1,JupData!$A$2:$A$10000&amp;JupData!$J$2:$J$10000,0),11))</f>
        <v/>
      </c>
      <c r="I692" t="str">
        <f t="array" ref="I692">IF($A692="","",INDEX(JupData!$A$2:$K$10000,MATCH($A692&amp;I$1,JupData!$A$2:$A$10000&amp;JupData!$J$2:$J$10000,0),11))</f>
        <v/>
      </c>
      <c r="J692" t="str">
        <f t="array" ref="J692">IF($A692="","",INDEX(JupData!$A$2:$K$10000,MATCH($A692&amp;J$1,JupData!$A$2:$A$10000&amp;JupData!$J$2:$J$10000,0),11))</f>
        <v/>
      </c>
      <c r="K692" t="str">
        <f t="array" ref="K692">IF($A692="","",INDEX(JupData!$A$2:$K$10000,MATCH($A692&amp;K$1,JupData!$A$2:$A$10000&amp;JupData!$J$2:$J$10000,0),11))</f>
        <v/>
      </c>
      <c r="L692" t="str">
        <f t="array" ref="L692">IF($A692="","",INDEX(JupData!$A$2:$K$10000,MATCH($A692&amp;L$1,JupData!$A$2:$A$10000&amp;JupData!$J$2:$J$10000,0),11))</f>
        <v/>
      </c>
      <c r="M692" t="str">
        <f t="array" ref="M692">IF($A692="","",INDEX(JupData!$A$2:$K$10000,MATCH($A692&amp;M$1,JupData!$A$2:$A$10000&amp;JupData!$J$2:$J$10000,0),11))</f>
        <v/>
      </c>
      <c r="N692" t="str">
        <f t="array" ref="N692">IF($A692="","",INDEX(JupData!$A$2:$K$10000,MATCH($A692&amp;N$1,JupData!$A$2:$A$10000&amp;JupData!$J$2:$J$10000,0),11))</f>
        <v/>
      </c>
      <c r="O692" t="str">
        <f t="array" ref="O692">IF($A692="","",INDEX(JupData!$A$2:$K$10000,MATCH($A692&amp;O$1,JupData!$A$2:$A$10000&amp;JupData!$J$2:$J$10000,0),11))</f>
        <v/>
      </c>
      <c r="P692" t="str">
        <f t="array" ref="P692">IF($A692="","",INDEX(JupData!$A$2:$K$10000,MATCH($A692&amp;P$1,JupData!$A$2:$A$10000&amp;JupData!$J$2:$J$10000,0),11))</f>
        <v/>
      </c>
      <c r="Q692" t="str">
        <f t="array" ref="Q692">IF($A692="","",INDEX(JupData!$A$2:$K$10000,MATCH($A692&amp;Q$1,JupData!$A$2:$A$10000&amp;JupData!$J$2:$J$10000,0),11))</f>
        <v/>
      </c>
      <c r="R692" t="str">
        <f t="array" ref="R692">IF($A692="","",INDEX(JupData!$A$2:$K$10000,MATCH($A692&amp;R$1,JupData!$A$2:$A$10000&amp;JupData!$J$2:$J$10000,0),11))</f>
        <v/>
      </c>
      <c r="S692" t="str">
        <f t="array" ref="S692">IF($A692="","",INDEX(JupData!$A$2:$K$10000,MATCH($A692&amp;S$1,JupData!$A$2:$A$10000&amp;JupData!$J$2:$J$10000,0),11))</f>
        <v/>
      </c>
      <c r="T692" t="str">
        <f t="array" ref="T692">IF($A692="","",INDEX(JupData!$A$2:$K$10000,MATCH($A692&amp;T$1,JupData!$A$2:$A$10000&amp;JupData!$J$2:$J$10000,0),11))</f>
        <v/>
      </c>
      <c r="U692" t="str">
        <f t="array" ref="U692">IF($A692="","",INDEX(JupData!$A$2:$K$10000,MATCH($A692&amp;U$1,JupData!$A$2:$A$10000&amp;JupData!$J$2:$J$10000,0),11))</f>
        <v/>
      </c>
      <c r="V692" t="str">
        <f t="array" ref="V692">IF($A692="","",INDEX(JupData!$A$2:$K$10000,MATCH($A692&amp;V$1,JupData!$A$2:$A$10000&amp;JupData!$J$2:$J$10000,0),11))</f>
        <v/>
      </c>
      <c r="W692" t="str">
        <f t="array" ref="W692">IF($A692="","",INDEX(JupData!$A$2:$K$10000,MATCH($A692&amp;W$1,JupData!$A$2:$A$10000&amp;JupData!$J$2:$J$10000,0),11))</f>
        <v/>
      </c>
      <c r="X692" t="str">
        <f t="array" ref="X692">IF($A692="","",INDEX(JupData!$A$2:$K$10000,MATCH($A692&amp;X$1,JupData!$A$2:$A$10000&amp;JupData!$J$2:$J$10000,0),11))</f>
        <v/>
      </c>
      <c r="Y692" t="str">
        <f t="array" ref="Y692">IF($A692="","",INDEX(JupData!$A$2:$K$10000,MATCH($A692&amp;Y$1,JupData!$A$2:$A$10000&amp;JupData!$J$2:$J$10000,0),11))</f>
        <v/>
      </c>
      <c r="Z692" t="str">
        <f t="array" ref="Z692">IF($A692="","",INDEX(JupData!$A$2:$K$10000,MATCH($A692&amp;Z$1,JupData!$A$2:$A$10000&amp;JupData!$J$2:$J$10000,0),11))</f>
        <v/>
      </c>
      <c r="AA692" t="str">
        <f t="array" ref="AA692">IF($A692="","",INDEX(JupData!$A$2:$K$10000,MATCH($A692&amp;AA$1,JupData!$A$2:$A$10000&amp;JupData!$J$2:$J$10000,0),11))</f>
        <v/>
      </c>
      <c r="AB692" t="str">
        <f t="array" ref="AB692">IF($A692="","",INDEX(JupData!$A$2:$K$10000,MATCH($A692&amp;AB$1,JupData!$A$2:$A$10000&amp;JupData!$J$2:$J$10000,0),11))</f>
        <v/>
      </c>
      <c r="AC692" s="10" t="str">
        <f t="shared" si="110"/>
        <v/>
      </c>
      <c r="AD692" s="10" t="str">
        <f t="shared" si="111"/>
        <v/>
      </c>
      <c r="AE692" s="9" t="str">
        <f t="shared" si="112"/>
        <v/>
      </c>
      <c r="AF692" s="10" t="str">
        <f t="shared" si="113"/>
        <v/>
      </c>
      <c r="AG692" s="10" t="str">
        <f t="shared" si="114"/>
        <v/>
      </c>
      <c r="AH692" s="10" t="str">
        <f t="shared" si="115"/>
        <v/>
      </c>
      <c r="AI692" s="10" t="str">
        <f t="shared" si="116"/>
        <v/>
      </c>
      <c r="AJ692" s="10" t="str">
        <f t="shared" si="117"/>
        <v/>
      </c>
      <c r="AK692" s="10" t="str">
        <f t="shared" si="118"/>
        <v/>
      </c>
      <c r="AL692" s="14" t="str">
        <f t="shared" si="119"/>
        <v/>
      </c>
    </row>
    <row r="693" spans="1:38" x14ac:dyDescent="0.2">
      <c r="A693"/>
      <c r="B693" t="str">
        <f>IF($A693="","",VLOOKUP($A693,JupData!$A$2:$I$10000,4,FALSE))</f>
        <v/>
      </c>
      <c r="C693" s="7" t="str">
        <f>IF($A693="",IF(N(D693),0,""),VLOOKUP($A693,JupData!$A$2:$I$10000,7,FALSE))</f>
        <v/>
      </c>
      <c r="D693" t="str">
        <f t="shared" si="120"/>
        <v/>
      </c>
      <c r="E693" t="str">
        <f t="array" ref="E693">IF($A693="","",INDEX(JupData!$A$2:$K$10000,MATCH($A693&amp;E$1,JupData!$A$2:$A$10000&amp;JupData!$J$2:$J$10000,0),11))</f>
        <v/>
      </c>
      <c r="F693" t="str">
        <f t="array" ref="F693">IF($A693="","",INDEX(JupData!$A$2:$K$10000,MATCH($A693&amp;F$1,JupData!$A$2:$A$10000&amp;JupData!$J$2:$J$10000,0),11))</f>
        <v/>
      </c>
      <c r="G693" t="str">
        <f t="array" ref="G693">IF($A693="","",INDEX(JupData!$A$2:$K$10000,MATCH($A693&amp;G$1,JupData!$A$2:$A$10000&amp;JupData!$J$2:$J$10000,0),11))</f>
        <v/>
      </c>
      <c r="H693" t="str">
        <f t="array" ref="H693">IF($A693="","",INDEX(JupData!$A$2:$K$10000,MATCH($A693&amp;H$1,JupData!$A$2:$A$10000&amp;JupData!$J$2:$J$10000,0),11))</f>
        <v/>
      </c>
      <c r="I693" t="str">
        <f t="array" ref="I693">IF($A693="","",INDEX(JupData!$A$2:$K$10000,MATCH($A693&amp;I$1,JupData!$A$2:$A$10000&amp;JupData!$J$2:$J$10000,0),11))</f>
        <v/>
      </c>
      <c r="J693" t="str">
        <f t="array" ref="J693">IF($A693="","",INDEX(JupData!$A$2:$K$10000,MATCH($A693&amp;J$1,JupData!$A$2:$A$10000&amp;JupData!$J$2:$J$10000,0),11))</f>
        <v/>
      </c>
      <c r="K693" t="str">
        <f t="array" ref="K693">IF($A693="","",INDEX(JupData!$A$2:$K$10000,MATCH($A693&amp;K$1,JupData!$A$2:$A$10000&amp;JupData!$J$2:$J$10000,0),11))</f>
        <v/>
      </c>
      <c r="L693" t="str">
        <f t="array" ref="L693">IF($A693="","",INDEX(JupData!$A$2:$K$10000,MATCH($A693&amp;L$1,JupData!$A$2:$A$10000&amp;JupData!$J$2:$J$10000,0),11))</f>
        <v/>
      </c>
      <c r="M693" t="str">
        <f t="array" ref="M693">IF($A693="","",INDEX(JupData!$A$2:$K$10000,MATCH($A693&amp;M$1,JupData!$A$2:$A$10000&amp;JupData!$J$2:$J$10000,0),11))</f>
        <v/>
      </c>
      <c r="N693" t="str">
        <f t="array" ref="N693">IF($A693="","",INDEX(JupData!$A$2:$K$10000,MATCH($A693&amp;N$1,JupData!$A$2:$A$10000&amp;JupData!$J$2:$J$10000,0),11))</f>
        <v/>
      </c>
      <c r="O693" t="str">
        <f t="array" ref="O693">IF($A693="","",INDEX(JupData!$A$2:$K$10000,MATCH($A693&amp;O$1,JupData!$A$2:$A$10000&amp;JupData!$J$2:$J$10000,0),11))</f>
        <v/>
      </c>
      <c r="P693" t="str">
        <f t="array" ref="P693">IF($A693="","",INDEX(JupData!$A$2:$K$10000,MATCH($A693&amp;P$1,JupData!$A$2:$A$10000&amp;JupData!$J$2:$J$10000,0),11))</f>
        <v/>
      </c>
      <c r="Q693" t="str">
        <f t="array" ref="Q693">IF($A693="","",INDEX(JupData!$A$2:$K$10000,MATCH($A693&amp;Q$1,JupData!$A$2:$A$10000&amp;JupData!$J$2:$J$10000,0),11))</f>
        <v/>
      </c>
      <c r="R693" t="str">
        <f t="array" ref="R693">IF($A693="","",INDEX(JupData!$A$2:$K$10000,MATCH($A693&amp;R$1,JupData!$A$2:$A$10000&amp;JupData!$J$2:$J$10000,0),11))</f>
        <v/>
      </c>
      <c r="S693" t="str">
        <f t="array" ref="S693">IF($A693="","",INDEX(JupData!$A$2:$K$10000,MATCH($A693&amp;S$1,JupData!$A$2:$A$10000&amp;JupData!$J$2:$J$10000,0),11))</f>
        <v/>
      </c>
      <c r="T693" t="str">
        <f t="array" ref="T693">IF($A693="","",INDEX(JupData!$A$2:$K$10000,MATCH($A693&amp;T$1,JupData!$A$2:$A$10000&amp;JupData!$J$2:$J$10000,0),11))</f>
        <v/>
      </c>
      <c r="U693" t="str">
        <f t="array" ref="U693">IF($A693="","",INDEX(JupData!$A$2:$K$10000,MATCH($A693&amp;U$1,JupData!$A$2:$A$10000&amp;JupData!$J$2:$J$10000,0),11))</f>
        <v/>
      </c>
      <c r="V693" t="str">
        <f t="array" ref="V693">IF($A693="","",INDEX(JupData!$A$2:$K$10000,MATCH($A693&amp;V$1,JupData!$A$2:$A$10000&amp;JupData!$J$2:$J$10000,0),11))</f>
        <v/>
      </c>
      <c r="W693" t="str">
        <f t="array" ref="W693">IF($A693="","",INDEX(JupData!$A$2:$K$10000,MATCH($A693&amp;W$1,JupData!$A$2:$A$10000&amp;JupData!$J$2:$J$10000,0),11))</f>
        <v/>
      </c>
      <c r="X693" t="str">
        <f t="array" ref="X693">IF($A693="","",INDEX(JupData!$A$2:$K$10000,MATCH($A693&amp;X$1,JupData!$A$2:$A$10000&amp;JupData!$J$2:$J$10000,0),11))</f>
        <v/>
      </c>
      <c r="Y693" t="str">
        <f t="array" ref="Y693">IF($A693="","",INDEX(JupData!$A$2:$K$10000,MATCH($A693&amp;Y$1,JupData!$A$2:$A$10000&amp;JupData!$J$2:$J$10000,0),11))</f>
        <v/>
      </c>
      <c r="Z693" t="str">
        <f t="array" ref="Z693">IF($A693="","",INDEX(JupData!$A$2:$K$10000,MATCH($A693&amp;Z$1,JupData!$A$2:$A$10000&amp;JupData!$J$2:$J$10000,0),11))</f>
        <v/>
      </c>
      <c r="AA693" t="str">
        <f t="array" ref="AA693">IF($A693="","",INDEX(JupData!$A$2:$K$10000,MATCH($A693&amp;AA$1,JupData!$A$2:$A$10000&amp;JupData!$J$2:$J$10000,0),11))</f>
        <v/>
      </c>
      <c r="AB693" t="str">
        <f t="array" ref="AB693">IF($A693="","",INDEX(JupData!$A$2:$K$10000,MATCH($A693&amp;AB$1,JupData!$A$2:$A$10000&amp;JupData!$J$2:$J$10000,0),11))</f>
        <v/>
      </c>
      <c r="AC693" s="10" t="str">
        <f t="shared" si="110"/>
        <v/>
      </c>
      <c r="AD693" s="10" t="str">
        <f t="shared" si="111"/>
        <v/>
      </c>
      <c r="AE693" s="9" t="str">
        <f t="shared" si="112"/>
        <v/>
      </c>
      <c r="AF693" s="10" t="str">
        <f t="shared" si="113"/>
        <v/>
      </c>
      <c r="AG693" s="10" t="str">
        <f t="shared" si="114"/>
        <v/>
      </c>
      <c r="AH693" s="10" t="str">
        <f t="shared" si="115"/>
        <v/>
      </c>
      <c r="AI693" s="10" t="str">
        <f t="shared" si="116"/>
        <v/>
      </c>
      <c r="AJ693" s="10" t="str">
        <f t="shared" si="117"/>
        <v/>
      </c>
      <c r="AK693" s="10" t="str">
        <f t="shared" si="118"/>
        <v/>
      </c>
      <c r="AL693" s="14" t="str">
        <f t="shared" si="119"/>
        <v/>
      </c>
    </row>
    <row r="694" spans="1:38" x14ac:dyDescent="0.2">
      <c r="A694"/>
      <c r="B694" t="str">
        <f>IF($A694="","",VLOOKUP($A694,JupData!$A$2:$I$10000,4,FALSE))</f>
        <v/>
      </c>
      <c r="C694" s="7" t="str">
        <f>IF($A694="",IF(N(D694),0,""),VLOOKUP($A694,JupData!$A$2:$I$10000,7,FALSE))</f>
        <v/>
      </c>
      <c r="D694" t="str">
        <f t="shared" si="120"/>
        <v/>
      </c>
      <c r="E694" t="str">
        <f t="array" ref="E694">IF($A694="","",INDEX(JupData!$A$2:$K$10000,MATCH($A694&amp;E$1,JupData!$A$2:$A$10000&amp;JupData!$J$2:$J$10000,0),11))</f>
        <v/>
      </c>
      <c r="F694" t="str">
        <f t="array" ref="F694">IF($A694="","",INDEX(JupData!$A$2:$K$10000,MATCH($A694&amp;F$1,JupData!$A$2:$A$10000&amp;JupData!$J$2:$J$10000,0),11))</f>
        <v/>
      </c>
      <c r="G694" t="str">
        <f t="array" ref="G694">IF($A694="","",INDEX(JupData!$A$2:$K$10000,MATCH($A694&amp;G$1,JupData!$A$2:$A$10000&amp;JupData!$J$2:$J$10000,0),11))</f>
        <v/>
      </c>
      <c r="H694" t="str">
        <f t="array" ref="H694">IF($A694="","",INDEX(JupData!$A$2:$K$10000,MATCH($A694&amp;H$1,JupData!$A$2:$A$10000&amp;JupData!$J$2:$J$10000,0),11))</f>
        <v/>
      </c>
      <c r="I694" t="str">
        <f t="array" ref="I694">IF($A694="","",INDEX(JupData!$A$2:$K$10000,MATCH($A694&amp;I$1,JupData!$A$2:$A$10000&amp;JupData!$J$2:$J$10000,0),11))</f>
        <v/>
      </c>
      <c r="J694" t="str">
        <f t="array" ref="J694">IF($A694="","",INDEX(JupData!$A$2:$K$10000,MATCH($A694&amp;J$1,JupData!$A$2:$A$10000&amp;JupData!$J$2:$J$10000,0),11))</f>
        <v/>
      </c>
      <c r="K694" t="str">
        <f t="array" ref="K694">IF($A694="","",INDEX(JupData!$A$2:$K$10000,MATCH($A694&amp;K$1,JupData!$A$2:$A$10000&amp;JupData!$J$2:$J$10000,0),11))</f>
        <v/>
      </c>
      <c r="L694" t="str">
        <f t="array" ref="L694">IF($A694="","",INDEX(JupData!$A$2:$K$10000,MATCH($A694&amp;L$1,JupData!$A$2:$A$10000&amp;JupData!$J$2:$J$10000,0),11))</f>
        <v/>
      </c>
      <c r="M694" t="str">
        <f t="array" ref="M694">IF($A694="","",INDEX(JupData!$A$2:$K$10000,MATCH($A694&amp;M$1,JupData!$A$2:$A$10000&amp;JupData!$J$2:$J$10000,0),11))</f>
        <v/>
      </c>
      <c r="N694" t="str">
        <f t="array" ref="N694">IF($A694="","",INDEX(JupData!$A$2:$K$10000,MATCH($A694&amp;N$1,JupData!$A$2:$A$10000&amp;JupData!$J$2:$J$10000,0),11))</f>
        <v/>
      </c>
      <c r="O694" t="str">
        <f t="array" ref="O694">IF($A694="","",INDEX(JupData!$A$2:$K$10000,MATCH($A694&amp;O$1,JupData!$A$2:$A$10000&amp;JupData!$J$2:$J$10000,0),11))</f>
        <v/>
      </c>
      <c r="P694" t="str">
        <f t="array" ref="P694">IF($A694="","",INDEX(JupData!$A$2:$K$10000,MATCH($A694&amp;P$1,JupData!$A$2:$A$10000&amp;JupData!$J$2:$J$10000,0),11))</f>
        <v/>
      </c>
      <c r="Q694" t="str">
        <f t="array" ref="Q694">IF($A694="","",INDEX(JupData!$A$2:$K$10000,MATCH($A694&amp;Q$1,JupData!$A$2:$A$10000&amp;JupData!$J$2:$J$10000,0),11))</f>
        <v/>
      </c>
      <c r="R694" t="str">
        <f t="array" ref="R694">IF($A694="","",INDEX(JupData!$A$2:$K$10000,MATCH($A694&amp;R$1,JupData!$A$2:$A$10000&amp;JupData!$J$2:$J$10000,0),11))</f>
        <v/>
      </c>
      <c r="S694" t="str">
        <f t="array" ref="S694">IF($A694="","",INDEX(JupData!$A$2:$K$10000,MATCH($A694&amp;S$1,JupData!$A$2:$A$10000&amp;JupData!$J$2:$J$10000,0),11))</f>
        <v/>
      </c>
      <c r="T694" t="str">
        <f t="array" ref="T694">IF($A694="","",INDEX(JupData!$A$2:$K$10000,MATCH($A694&amp;T$1,JupData!$A$2:$A$10000&amp;JupData!$J$2:$J$10000,0),11))</f>
        <v/>
      </c>
      <c r="U694" t="str">
        <f t="array" ref="U694">IF($A694="","",INDEX(JupData!$A$2:$K$10000,MATCH($A694&amp;U$1,JupData!$A$2:$A$10000&amp;JupData!$J$2:$J$10000,0),11))</f>
        <v/>
      </c>
      <c r="V694" t="str">
        <f t="array" ref="V694">IF($A694="","",INDEX(JupData!$A$2:$K$10000,MATCH($A694&amp;V$1,JupData!$A$2:$A$10000&amp;JupData!$J$2:$J$10000,0),11))</f>
        <v/>
      </c>
      <c r="W694" t="str">
        <f t="array" ref="W694">IF($A694="","",INDEX(JupData!$A$2:$K$10000,MATCH($A694&amp;W$1,JupData!$A$2:$A$10000&amp;JupData!$J$2:$J$10000,0),11))</f>
        <v/>
      </c>
      <c r="X694" t="str">
        <f t="array" ref="X694">IF($A694="","",INDEX(JupData!$A$2:$K$10000,MATCH($A694&amp;X$1,JupData!$A$2:$A$10000&amp;JupData!$J$2:$J$10000,0),11))</f>
        <v/>
      </c>
      <c r="Y694" t="str">
        <f t="array" ref="Y694">IF($A694="","",INDEX(JupData!$A$2:$K$10000,MATCH($A694&amp;Y$1,JupData!$A$2:$A$10000&amp;JupData!$J$2:$J$10000,0),11))</f>
        <v/>
      </c>
      <c r="Z694" t="str">
        <f t="array" ref="Z694">IF($A694="","",INDEX(JupData!$A$2:$K$10000,MATCH($A694&amp;Z$1,JupData!$A$2:$A$10000&amp;JupData!$J$2:$J$10000,0),11))</f>
        <v/>
      </c>
      <c r="AA694" t="str">
        <f t="array" ref="AA694">IF($A694="","",INDEX(JupData!$A$2:$K$10000,MATCH($A694&amp;AA$1,JupData!$A$2:$A$10000&amp;JupData!$J$2:$J$10000,0),11))</f>
        <v/>
      </c>
      <c r="AB694" t="str">
        <f t="array" ref="AB694">IF($A694="","",INDEX(JupData!$A$2:$K$10000,MATCH($A694&amp;AB$1,JupData!$A$2:$A$10000&amp;JupData!$J$2:$J$10000,0),11))</f>
        <v/>
      </c>
      <c r="AC694" s="10" t="str">
        <f t="shared" si="110"/>
        <v/>
      </c>
      <c r="AD694" s="10" t="str">
        <f t="shared" si="111"/>
        <v/>
      </c>
      <c r="AE694" s="9" t="str">
        <f t="shared" si="112"/>
        <v/>
      </c>
      <c r="AF694" s="10" t="str">
        <f t="shared" si="113"/>
        <v/>
      </c>
      <c r="AG694" s="10" t="str">
        <f t="shared" si="114"/>
        <v/>
      </c>
      <c r="AH694" s="10" t="str">
        <f t="shared" si="115"/>
        <v/>
      </c>
      <c r="AI694" s="10" t="str">
        <f t="shared" si="116"/>
        <v/>
      </c>
      <c r="AJ694" s="10" t="str">
        <f t="shared" si="117"/>
        <v/>
      </c>
      <c r="AK694" s="10" t="str">
        <f t="shared" si="118"/>
        <v/>
      </c>
      <c r="AL694" s="14" t="str">
        <f t="shared" si="119"/>
        <v/>
      </c>
    </row>
    <row r="695" spans="1:38" x14ac:dyDescent="0.2">
      <c r="A695"/>
      <c r="B695" t="str">
        <f>IF($A695="","",VLOOKUP($A695,JupData!$A$2:$I$10000,4,FALSE))</f>
        <v/>
      </c>
      <c r="C695" s="7" t="str">
        <f>IF($A695="",IF(N(D695),0,""),VLOOKUP($A695,JupData!$A$2:$I$10000,7,FALSE))</f>
        <v/>
      </c>
      <c r="D695" t="str">
        <f t="shared" si="120"/>
        <v/>
      </c>
      <c r="E695" t="str">
        <f t="array" ref="E695">IF($A695="","",INDEX(JupData!$A$2:$K$10000,MATCH($A695&amp;E$1,JupData!$A$2:$A$10000&amp;JupData!$J$2:$J$10000,0),11))</f>
        <v/>
      </c>
      <c r="F695" t="str">
        <f t="array" ref="F695">IF($A695="","",INDEX(JupData!$A$2:$K$10000,MATCH($A695&amp;F$1,JupData!$A$2:$A$10000&amp;JupData!$J$2:$J$10000,0),11))</f>
        <v/>
      </c>
      <c r="G695" t="str">
        <f t="array" ref="G695">IF($A695="","",INDEX(JupData!$A$2:$K$10000,MATCH($A695&amp;G$1,JupData!$A$2:$A$10000&amp;JupData!$J$2:$J$10000,0),11))</f>
        <v/>
      </c>
      <c r="H695" t="str">
        <f t="array" ref="H695">IF($A695="","",INDEX(JupData!$A$2:$K$10000,MATCH($A695&amp;H$1,JupData!$A$2:$A$10000&amp;JupData!$J$2:$J$10000,0),11))</f>
        <v/>
      </c>
      <c r="I695" t="str">
        <f t="array" ref="I695">IF($A695="","",INDEX(JupData!$A$2:$K$10000,MATCH($A695&amp;I$1,JupData!$A$2:$A$10000&amp;JupData!$J$2:$J$10000,0),11))</f>
        <v/>
      </c>
      <c r="J695" t="str">
        <f t="array" ref="J695">IF($A695="","",INDEX(JupData!$A$2:$K$10000,MATCH($A695&amp;J$1,JupData!$A$2:$A$10000&amp;JupData!$J$2:$J$10000,0),11))</f>
        <v/>
      </c>
      <c r="K695" t="str">
        <f t="array" ref="K695">IF($A695="","",INDEX(JupData!$A$2:$K$10000,MATCH($A695&amp;K$1,JupData!$A$2:$A$10000&amp;JupData!$J$2:$J$10000,0),11))</f>
        <v/>
      </c>
      <c r="L695" t="str">
        <f t="array" ref="L695">IF($A695="","",INDEX(JupData!$A$2:$K$10000,MATCH($A695&amp;L$1,JupData!$A$2:$A$10000&amp;JupData!$J$2:$J$10000,0),11))</f>
        <v/>
      </c>
      <c r="M695" t="str">
        <f t="array" ref="M695">IF($A695="","",INDEX(JupData!$A$2:$K$10000,MATCH($A695&amp;M$1,JupData!$A$2:$A$10000&amp;JupData!$J$2:$J$10000,0),11))</f>
        <v/>
      </c>
      <c r="N695" t="str">
        <f t="array" ref="N695">IF($A695="","",INDEX(JupData!$A$2:$K$10000,MATCH($A695&amp;N$1,JupData!$A$2:$A$10000&amp;JupData!$J$2:$J$10000,0),11))</f>
        <v/>
      </c>
      <c r="O695" t="str">
        <f t="array" ref="O695">IF($A695="","",INDEX(JupData!$A$2:$K$10000,MATCH($A695&amp;O$1,JupData!$A$2:$A$10000&amp;JupData!$J$2:$J$10000,0),11))</f>
        <v/>
      </c>
      <c r="P695" t="str">
        <f t="array" ref="P695">IF($A695="","",INDEX(JupData!$A$2:$K$10000,MATCH($A695&amp;P$1,JupData!$A$2:$A$10000&amp;JupData!$J$2:$J$10000,0),11))</f>
        <v/>
      </c>
      <c r="Q695" t="str">
        <f t="array" ref="Q695">IF($A695="","",INDEX(JupData!$A$2:$K$10000,MATCH($A695&amp;Q$1,JupData!$A$2:$A$10000&amp;JupData!$J$2:$J$10000,0),11))</f>
        <v/>
      </c>
      <c r="R695" t="str">
        <f t="array" ref="R695">IF($A695="","",INDEX(JupData!$A$2:$K$10000,MATCH($A695&amp;R$1,JupData!$A$2:$A$10000&amp;JupData!$J$2:$J$10000,0),11))</f>
        <v/>
      </c>
      <c r="S695" t="str">
        <f t="array" ref="S695">IF($A695="","",INDEX(JupData!$A$2:$K$10000,MATCH($A695&amp;S$1,JupData!$A$2:$A$10000&amp;JupData!$J$2:$J$10000,0),11))</f>
        <v/>
      </c>
      <c r="T695" t="str">
        <f t="array" ref="T695">IF($A695="","",INDEX(JupData!$A$2:$K$10000,MATCH($A695&amp;T$1,JupData!$A$2:$A$10000&amp;JupData!$J$2:$J$10000,0),11))</f>
        <v/>
      </c>
      <c r="U695" t="str">
        <f t="array" ref="U695">IF($A695="","",INDEX(JupData!$A$2:$K$10000,MATCH($A695&amp;U$1,JupData!$A$2:$A$10000&amp;JupData!$J$2:$J$10000,0),11))</f>
        <v/>
      </c>
      <c r="V695" t="str">
        <f t="array" ref="V695">IF($A695="","",INDEX(JupData!$A$2:$K$10000,MATCH($A695&amp;V$1,JupData!$A$2:$A$10000&amp;JupData!$J$2:$J$10000,0),11))</f>
        <v/>
      </c>
      <c r="W695" t="str">
        <f t="array" ref="W695">IF($A695="","",INDEX(JupData!$A$2:$K$10000,MATCH($A695&amp;W$1,JupData!$A$2:$A$10000&amp;JupData!$J$2:$J$10000,0),11))</f>
        <v/>
      </c>
      <c r="X695" t="str">
        <f t="array" ref="X695">IF($A695="","",INDEX(JupData!$A$2:$K$10000,MATCH($A695&amp;X$1,JupData!$A$2:$A$10000&amp;JupData!$J$2:$J$10000,0),11))</f>
        <v/>
      </c>
      <c r="Y695" t="str">
        <f t="array" ref="Y695">IF($A695="","",INDEX(JupData!$A$2:$K$10000,MATCH($A695&amp;Y$1,JupData!$A$2:$A$10000&amp;JupData!$J$2:$J$10000,0),11))</f>
        <v/>
      </c>
      <c r="Z695" t="str">
        <f t="array" ref="Z695">IF($A695="","",INDEX(JupData!$A$2:$K$10000,MATCH($A695&amp;Z$1,JupData!$A$2:$A$10000&amp;JupData!$J$2:$J$10000,0),11))</f>
        <v/>
      </c>
      <c r="AA695" t="str">
        <f t="array" ref="AA695">IF($A695="","",INDEX(JupData!$A$2:$K$10000,MATCH($A695&amp;AA$1,JupData!$A$2:$A$10000&amp;JupData!$J$2:$J$10000,0),11))</f>
        <v/>
      </c>
      <c r="AB695" t="str">
        <f t="array" ref="AB695">IF($A695="","",INDEX(JupData!$A$2:$K$10000,MATCH($A695&amp;AB$1,JupData!$A$2:$A$10000&amp;JupData!$J$2:$J$10000,0),11))</f>
        <v/>
      </c>
      <c r="AC695" s="10" t="str">
        <f t="shared" si="110"/>
        <v/>
      </c>
      <c r="AD695" s="10" t="str">
        <f t="shared" si="111"/>
        <v/>
      </c>
      <c r="AE695" s="9" t="str">
        <f t="shared" si="112"/>
        <v/>
      </c>
      <c r="AF695" s="10" t="str">
        <f t="shared" si="113"/>
        <v/>
      </c>
      <c r="AG695" s="10" t="str">
        <f t="shared" si="114"/>
        <v/>
      </c>
      <c r="AH695" s="10" t="str">
        <f t="shared" si="115"/>
        <v/>
      </c>
      <c r="AI695" s="10" t="str">
        <f t="shared" si="116"/>
        <v/>
      </c>
      <c r="AJ695" s="10" t="str">
        <f t="shared" si="117"/>
        <v/>
      </c>
      <c r="AK695" s="10" t="str">
        <f t="shared" si="118"/>
        <v/>
      </c>
      <c r="AL695" s="14" t="str">
        <f t="shared" si="119"/>
        <v/>
      </c>
    </row>
    <row r="696" spans="1:38" x14ac:dyDescent="0.2">
      <c r="A696"/>
      <c r="B696" t="str">
        <f>IF($A696="","",VLOOKUP($A696,JupData!$A$2:$I$10000,4,FALSE))</f>
        <v/>
      </c>
      <c r="C696" s="7" t="str">
        <f>IF($A696="",IF(N(D696),0,""),VLOOKUP($A696,JupData!$A$2:$I$10000,7,FALSE))</f>
        <v/>
      </c>
      <c r="D696" t="str">
        <f t="shared" si="120"/>
        <v/>
      </c>
      <c r="E696" t="str">
        <f t="array" ref="E696">IF($A696="","",INDEX(JupData!$A$2:$K$10000,MATCH($A696&amp;E$1,JupData!$A$2:$A$10000&amp;JupData!$J$2:$J$10000,0),11))</f>
        <v/>
      </c>
      <c r="F696" t="str">
        <f t="array" ref="F696">IF($A696="","",INDEX(JupData!$A$2:$K$10000,MATCH($A696&amp;F$1,JupData!$A$2:$A$10000&amp;JupData!$J$2:$J$10000,0),11))</f>
        <v/>
      </c>
      <c r="G696" t="str">
        <f t="array" ref="G696">IF($A696="","",INDEX(JupData!$A$2:$K$10000,MATCH($A696&amp;G$1,JupData!$A$2:$A$10000&amp;JupData!$J$2:$J$10000,0),11))</f>
        <v/>
      </c>
      <c r="H696" t="str">
        <f t="array" ref="H696">IF($A696="","",INDEX(JupData!$A$2:$K$10000,MATCH($A696&amp;H$1,JupData!$A$2:$A$10000&amp;JupData!$J$2:$J$10000,0),11))</f>
        <v/>
      </c>
      <c r="I696" t="str">
        <f t="array" ref="I696">IF($A696="","",INDEX(JupData!$A$2:$K$10000,MATCH($A696&amp;I$1,JupData!$A$2:$A$10000&amp;JupData!$J$2:$J$10000,0),11))</f>
        <v/>
      </c>
      <c r="J696" t="str">
        <f t="array" ref="J696">IF($A696="","",INDEX(JupData!$A$2:$K$10000,MATCH($A696&amp;J$1,JupData!$A$2:$A$10000&amp;JupData!$J$2:$J$10000,0),11))</f>
        <v/>
      </c>
      <c r="K696" t="str">
        <f t="array" ref="K696">IF($A696="","",INDEX(JupData!$A$2:$K$10000,MATCH($A696&amp;K$1,JupData!$A$2:$A$10000&amp;JupData!$J$2:$J$10000,0),11))</f>
        <v/>
      </c>
      <c r="L696" t="str">
        <f t="array" ref="L696">IF($A696="","",INDEX(JupData!$A$2:$K$10000,MATCH($A696&amp;L$1,JupData!$A$2:$A$10000&amp;JupData!$J$2:$J$10000,0),11))</f>
        <v/>
      </c>
      <c r="M696" t="str">
        <f t="array" ref="M696">IF($A696="","",INDEX(JupData!$A$2:$K$10000,MATCH($A696&amp;M$1,JupData!$A$2:$A$10000&amp;JupData!$J$2:$J$10000,0),11))</f>
        <v/>
      </c>
      <c r="N696" t="str">
        <f t="array" ref="N696">IF($A696="","",INDEX(JupData!$A$2:$K$10000,MATCH($A696&amp;N$1,JupData!$A$2:$A$10000&amp;JupData!$J$2:$J$10000,0),11))</f>
        <v/>
      </c>
      <c r="O696" t="str">
        <f t="array" ref="O696">IF($A696="","",INDEX(JupData!$A$2:$K$10000,MATCH($A696&amp;O$1,JupData!$A$2:$A$10000&amp;JupData!$J$2:$J$10000,0),11))</f>
        <v/>
      </c>
      <c r="P696" t="str">
        <f t="array" ref="P696">IF($A696="","",INDEX(JupData!$A$2:$K$10000,MATCH($A696&amp;P$1,JupData!$A$2:$A$10000&amp;JupData!$J$2:$J$10000,0),11))</f>
        <v/>
      </c>
      <c r="Q696" t="str">
        <f t="array" ref="Q696">IF($A696="","",INDEX(JupData!$A$2:$K$10000,MATCH($A696&amp;Q$1,JupData!$A$2:$A$10000&amp;JupData!$J$2:$J$10000,0),11))</f>
        <v/>
      </c>
      <c r="R696" t="str">
        <f t="array" ref="R696">IF($A696="","",INDEX(JupData!$A$2:$K$10000,MATCH($A696&amp;R$1,JupData!$A$2:$A$10000&amp;JupData!$J$2:$J$10000,0),11))</f>
        <v/>
      </c>
      <c r="S696" t="str">
        <f t="array" ref="S696">IF($A696="","",INDEX(JupData!$A$2:$K$10000,MATCH($A696&amp;S$1,JupData!$A$2:$A$10000&amp;JupData!$J$2:$J$10000,0),11))</f>
        <v/>
      </c>
      <c r="T696" t="str">
        <f t="array" ref="T696">IF($A696="","",INDEX(JupData!$A$2:$K$10000,MATCH($A696&amp;T$1,JupData!$A$2:$A$10000&amp;JupData!$J$2:$J$10000,0),11))</f>
        <v/>
      </c>
      <c r="U696" t="str">
        <f t="array" ref="U696">IF($A696="","",INDEX(JupData!$A$2:$K$10000,MATCH($A696&amp;U$1,JupData!$A$2:$A$10000&amp;JupData!$J$2:$J$10000,0),11))</f>
        <v/>
      </c>
      <c r="V696" t="str">
        <f t="array" ref="V696">IF($A696="","",INDEX(JupData!$A$2:$K$10000,MATCH($A696&amp;V$1,JupData!$A$2:$A$10000&amp;JupData!$J$2:$J$10000,0),11))</f>
        <v/>
      </c>
      <c r="W696" t="str">
        <f t="array" ref="W696">IF($A696="","",INDEX(JupData!$A$2:$K$10000,MATCH($A696&amp;W$1,JupData!$A$2:$A$10000&amp;JupData!$J$2:$J$10000,0),11))</f>
        <v/>
      </c>
      <c r="X696" t="str">
        <f t="array" ref="X696">IF($A696="","",INDEX(JupData!$A$2:$K$10000,MATCH($A696&amp;X$1,JupData!$A$2:$A$10000&amp;JupData!$J$2:$J$10000,0),11))</f>
        <v/>
      </c>
      <c r="Y696" t="str">
        <f t="array" ref="Y696">IF($A696="","",INDEX(JupData!$A$2:$K$10000,MATCH($A696&amp;Y$1,JupData!$A$2:$A$10000&amp;JupData!$J$2:$J$10000,0),11))</f>
        <v/>
      </c>
      <c r="Z696" t="str">
        <f t="array" ref="Z696">IF($A696="","",INDEX(JupData!$A$2:$K$10000,MATCH($A696&amp;Z$1,JupData!$A$2:$A$10000&amp;JupData!$J$2:$J$10000,0),11))</f>
        <v/>
      </c>
      <c r="AA696" t="str">
        <f t="array" ref="AA696">IF($A696="","",INDEX(JupData!$A$2:$K$10000,MATCH($A696&amp;AA$1,JupData!$A$2:$A$10000&amp;JupData!$J$2:$J$10000,0),11))</f>
        <v/>
      </c>
      <c r="AB696" t="str">
        <f t="array" ref="AB696">IF($A696="","",INDEX(JupData!$A$2:$K$10000,MATCH($A696&amp;AB$1,JupData!$A$2:$A$10000&amp;JupData!$J$2:$J$10000,0),11))</f>
        <v/>
      </c>
      <c r="AC696" s="10" t="str">
        <f t="shared" si="110"/>
        <v/>
      </c>
      <c r="AD696" s="10" t="str">
        <f t="shared" si="111"/>
        <v/>
      </c>
      <c r="AE696" s="9" t="str">
        <f t="shared" si="112"/>
        <v/>
      </c>
      <c r="AF696" s="10" t="str">
        <f t="shared" si="113"/>
        <v/>
      </c>
      <c r="AG696" s="10" t="str">
        <f t="shared" si="114"/>
        <v/>
      </c>
      <c r="AH696" s="10" t="str">
        <f t="shared" si="115"/>
        <v/>
      </c>
      <c r="AI696" s="10" t="str">
        <f t="shared" si="116"/>
        <v/>
      </c>
      <c r="AJ696" s="10" t="str">
        <f t="shared" si="117"/>
        <v/>
      </c>
      <c r="AK696" s="10" t="str">
        <f t="shared" si="118"/>
        <v/>
      </c>
      <c r="AL696" s="14" t="str">
        <f t="shared" si="119"/>
        <v/>
      </c>
    </row>
    <row r="697" spans="1:38" x14ac:dyDescent="0.2">
      <c r="A697"/>
      <c r="B697" t="str">
        <f>IF($A697="","",VLOOKUP($A697,JupData!$A$2:$I$10000,4,FALSE))</f>
        <v/>
      </c>
      <c r="C697" s="7" t="str">
        <f>IF($A697="",IF(N(D697),0,""),VLOOKUP($A697,JupData!$A$2:$I$10000,7,FALSE))</f>
        <v/>
      </c>
      <c r="D697" t="str">
        <f t="shared" si="120"/>
        <v/>
      </c>
      <c r="E697" t="str">
        <f t="array" ref="E697">IF($A697="","",INDEX(JupData!$A$2:$K$10000,MATCH($A697&amp;E$1,JupData!$A$2:$A$10000&amp;JupData!$J$2:$J$10000,0),11))</f>
        <v/>
      </c>
      <c r="F697" t="str">
        <f t="array" ref="F697">IF($A697="","",INDEX(JupData!$A$2:$K$10000,MATCH($A697&amp;F$1,JupData!$A$2:$A$10000&amp;JupData!$J$2:$J$10000,0),11))</f>
        <v/>
      </c>
      <c r="G697" t="str">
        <f t="array" ref="G697">IF($A697="","",INDEX(JupData!$A$2:$K$10000,MATCH($A697&amp;G$1,JupData!$A$2:$A$10000&amp;JupData!$J$2:$J$10000,0),11))</f>
        <v/>
      </c>
      <c r="H697" t="str">
        <f t="array" ref="H697">IF($A697="","",INDEX(JupData!$A$2:$K$10000,MATCH($A697&amp;H$1,JupData!$A$2:$A$10000&amp;JupData!$J$2:$J$10000,0),11))</f>
        <v/>
      </c>
      <c r="I697" t="str">
        <f t="array" ref="I697">IF($A697="","",INDEX(JupData!$A$2:$K$10000,MATCH($A697&amp;I$1,JupData!$A$2:$A$10000&amp;JupData!$J$2:$J$10000,0),11))</f>
        <v/>
      </c>
      <c r="J697" t="str">
        <f t="array" ref="J697">IF($A697="","",INDEX(JupData!$A$2:$K$10000,MATCH($A697&amp;J$1,JupData!$A$2:$A$10000&amp;JupData!$J$2:$J$10000,0),11))</f>
        <v/>
      </c>
      <c r="K697" t="str">
        <f t="array" ref="K697">IF($A697="","",INDEX(JupData!$A$2:$K$10000,MATCH($A697&amp;K$1,JupData!$A$2:$A$10000&amp;JupData!$J$2:$J$10000,0),11))</f>
        <v/>
      </c>
      <c r="L697" t="str">
        <f t="array" ref="L697">IF($A697="","",INDEX(JupData!$A$2:$K$10000,MATCH($A697&amp;L$1,JupData!$A$2:$A$10000&amp;JupData!$J$2:$J$10000,0),11))</f>
        <v/>
      </c>
      <c r="M697" t="str">
        <f t="array" ref="M697">IF($A697="","",INDEX(JupData!$A$2:$K$10000,MATCH($A697&amp;M$1,JupData!$A$2:$A$10000&amp;JupData!$J$2:$J$10000,0),11))</f>
        <v/>
      </c>
      <c r="N697" t="str">
        <f t="array" ref="N697">IF($A697="","",INDEX(JupData!$A$2:$K$10000,MATCH($A697&amp;N$1,JupData!$A$2:$A$10000&amp;JupData!$J$2:$J$10000,0),11))</f>
        <v/>
      </c>
      <c r="O697" t="str">
        <f t="array" ref="O697">IF($A697="","",INDEX(JupData!$A$2:$K$10000,MATCH($A697&amp;O$1,JupData!$A$2:$A$10000&amp;JupData!$J$2:$J$10000,0),11))</f>
        <v/>
      </c>
      <c r="P697" t="str">
        <f t="array" ref="P697">IF($A697="","",INDEX(JupData!$A$2:$K$10000,MATCH($A697&amp;P$1,JupData!$A$2:$A$10000&amp;JupData!$J$2:$J$10000,0),11))</f>
        <v/>
      </c>
      <c r="Q697" t="str">
        <f t="array" ref="Q697">IF($A697="","",INDEX(JupData!$A$2:$K$10000,MATCH($A697&amp;Q$1,JupData!$A$2:$A$10000&amp;JupData!$J$2:$J$10000,0),11))</f>
        <v/>
      </c>
      <c r="R697" t="str">
        <f t="array" ref="R697">IF($A697="","",INDEX(JupData!$A$2:$K$10000,MATCH($A697&amp;R$1,JupData!$A$2:$A$10000&amp;JupData!$J$2:$J$10000,0),11))</f>
        <v/>
      </c>
      <c r="S697" t="str">
        <f t="array" ref="S697">IF($A697="","",INDEX(JupData!$A$2:$K$10000,MATCH($A697&amp;S$1,JupData!$A$2:$A$10000&amp;JupData!$J$2:$J$10000,0),11))</f>
        <v/>
      </c>
      <c r="T697" t="str">
        <f t="array" ref="T697">IF($A697="","",INDEX(JupData!$A$2:$K$10000,MATCH($A697&amp;T$1,JupData!$A$2:$A$10000&amp;JupData!$J$2:$J$10000,0),11))</f>
        <v/>
      </c>
      <c r="U697" t="str">
        <f t="array" ref="U697">IF($A697="","",INDEX(JupData!$A$2:$K$10000,MATCH($A697&amp;U$1,JupData!$A$2:$A$10000&amp;JupData!$J$2:$J$10000,0),11))</f>
        <v/>
      </c>
      <c r="V697" t="str">
        <f t="array" ref="V697">IF($A697="","",INDEX(JupData!$A$2:$K$10000,MATCH($A697&amp;V$1,JupData!$A$2:$A$10000&amp;JupData!$J$2:$J$10000,0),11))</f>
        <v/>
      </c>
      <c r="W697" t="str">
        <f t="array" ref="W697">IF($A697="","",INDEX(JupData!$A$2:$K$10000,MATCH($A697&amp;W$1,JupData!$A$2:$A$10000&amp;JupData!$J$2:$J$10000,0),11))</f>
        <v/>
      </c>
      <c r="X697" t="str">
        <f t="array" ref="X697">IF($A697="","",INDEX(JupData!$A$2:$K$10000,MATCH($A697&amp;X$1,JupData!$A$2:$A$10000&amp;JupData!$J$2:$J$10000,0),11))</f>
        <v/>
      </c>
      <c r="Y697" t="str">
        <f t="array" ref="Y697">IF($A697="","",INDEX(JupData!$A$2:$K$10000,MATCH($A697&amp;Y$1,JupData!$A$2:$A$10000&amp;JupData!$J$2:$J$10000,0),11))</f>
        <v/>
      </c>
      <c r="Z697" t="str">
        <f t="array" ref="Z697">IF($A697="","",INDEX(JupData!$A$2:$K$10000,MATCH($A697&amp;Z$1,JupData!$A$2:$A$10000&amp;JupData!$J$2:$J$10000,0),11))</f>
        <v/>
      </c>
      <c r="AA697" t="str">
        <f t="array" ref="AA697">IF($A697="","",INDEX(JupData!$A$2:$K$10000,MATCH($A697&amp;AA$1,JupData!$A$2:$A$10000&amp;JupData!$J$2:$J$10000,0),11))</f>
        <v/>
      </c>
      <c r="AB697" t="str">
        <f t="array" ref="AB697">IF($A697="","",INDEX(JupData!$A$2:$K$10000,MATCH($A697&amp;AB$1,JupData!$A$2:$A$10000&amp;JupData!$J$2:$J$10000,0),11))</f>
        <v/>
      </c>
      <c r="AC697" s="10" t="str">
        <f t="shared" si="110"/>
        <v/>
      </c>
      <c r="AD697" s="10" t="str">
        <f t="shared" si="111"/>
        <v/>
      </c>
      <c r="AE697" s="9" t="str">
        <f t="shared" si="112"/>
        <v/>
      </c>
      <c r="AF697" s="10" t="str">
        <f t="shared" si="113"/>
        <v/>
      </c>
      <c r="AG697" s="10" t="str">
        <f t="shared" si="114"/>
        <v/>
      </c>
      <c r="AH697" s="10" t="str">
        <f t="shared" si="115"/>
        <v/>
      </c>
      <c r="AI697" s="10" t="str">
        <f t="shared" si="116"/>
        <v/>
      </c>
      <c r="AJ697" s="10" t="str">
        <f t="shared" si="117"/>
        <v/>
      </c>
      <c r="AK697" s="10" t="str">
        <f t="shared" si="118"/>
        <v/>
      </c>
      <c r="AL697" s="14" t="str">
        <f t="shared" si="119"/>
        <v/>
      </c>
    </row>
    <row r="698" spans="1:38" x14ac:dyDescent="0.2">
      <c r="A698"/>
      <c r="B698" t="str">
        <f>IF($A698="","",VLOOKUP($A698,JupData!$A$2:$I$10000,4,FALSE))</f>
        <v/>
      </c>
      <c r="C698" s="7" t="str">
        <f>IF($A698="",IF(N(D698),0,""),VLOOKUP($A698,JupData!$A$2:$I$10000,7,FALSE))</f>
        <v/>
      </c>
      <c r="D698" t="str">
        <f t="shared" si="120"/>
        <v/>
      </c>
      <c r="E698" t="str">
        <f t="array" ref="E698">IF($A698="","",INDEX(JupData!$A$2:$K$10000,MATCH($A698&amp;E$1,JupData!$A$2:$A$10000&amp;JupData!$J$2:$J$10000,0),11))</f>
        <v/>
      </c>
      <c r="F698" t="str">
        <f t="array" ref="F698">IF($A698="","",INDEX(JupData!$A$2:$K$10000,MATCH($A698&amp;F$1,JupData!$A$2:$A$10000&amp;JupData!$J$2:$J$10000,0),11))</f>
        <v/>
      </c>
      <c r="G698" t="str">
        <f t="array" ref="G698">IF($A698="","",INDEX(JupData!$A$2:$K$10000,MATCH($A698&amp;G$1,JupData!$A$2:$A$10000&amp;JupData!$J$2:$J$10000,0),11))</f>
        <v/>
      </c>
      <c r="H698" t="str">
        <f t="array" ref="H698">IF($A698="","",INDEX(JupData!$A$2:$K$10000,MATCH($A698&amp;H$1,JupData!$A$2:$A$10000&amp;JupData!$J$2:$J$10000,0),11))</f>
        <v/>
      </c>
      <c r="I698" t="str">
        <f t="array" ref="I698">IF($A698="","",INDEX(JupData!$A$2:$K$10000,MATCH($A698&amp;I$1,JupData!$A$2:$A$10000&amp;JupData!$J$2:$J$10000,0),11))</f>
        <v/>
      </c>
      <c r="J698" t="str">
        <f t="array" ref="J698">IF($A698="","",INDEX(JupData!$A$2:$K$10000,MATCH($A698&amp;J$1,JupData!$A$2:$A$10000&amp;JupData!$J$2:$J$10000,0),11))</f>
        <v/>
      </c>
      <c r="K698" t="str">
        <f t="array" ref="K698">IF($A698="","",INDEX(JupData!$A$2:$K$10000,MATCH($A698&amp;K$1,JupData!$A$2:$A$10000&amp;JupData!$J$2:$J$10000,0),11))</f>
        <v/>
      </c>
      <c r="L698" t="str">
        <f t="array" ref="L698">IF($A698="","",INDEX(JupData!$A$2:$K$10000,MATCH($A698&amp;L$1,JupData!$A$2:$A$10000&amp;JupData!$J$2:$J$10000,0),11))</f>
        <v/>
      </c>
      <c r="M698" t="str">
        <f t="array" ref="M698">IF($A698="","",INDEX(JupData!$A$2:$K$10000,MATCH($A698&amp;M$1,JupData!$A$2:$A$10000&amp;JupData!$J$2:$J$10000,0),11))</f>
        <v/>
      </c>
      <c r="N698" t="str">
        <f t="array" ref="N698">IF($A698="","",INDEX(JupData!$A$2:$K$10000,MATCH($A698&amp;N$1,JupData!$A$2:$A$10000&amp;JupData!$J$2:$J$10000,0),11))</f>
        <v/>
      </c>
      <c r="O698" t="str">
        <f t="array" ref="O698">IF($A698="","",INDEX(JupData!$A$2:$K$10000,MATCH($A698&amp;O$1,JupData!$A$2:$A$10000&amp;JupData!$J$2:$J$10000,0),11))</f>
        <v/>
      </c>
      <c r="P698" t="str">
        <f t="array" ref="P698">IF($A698="","",INDEX(JupData!$A$2:$K$10000,MATCH($A698&amp;P$1,JupData!$A$2:$A$10000&amp;JupData!$J$2:$J$10000,0),11))</f>
        <v/>
      </c>
      <c r="Q698" t="str">
        <f t="array" ref="Q698">IF($A698="","",INDEX(JupData!$A$2:$K$10000,MATCH($A698&amp;Q$1,JupData!$A$2:$A$10000&amp;JupData!$J$2:$J$10000,0),11))</f>
        <v/>
      </c>
      <c r="R698" t="str">
        <f t="array" ref="R698">IF($A698="","",INDEX(JupData!$A$2:$K$10000,MATCH($A698&amp;R$1,JupData!$A$2:$A$10000&amp;JupData!$J$2:$J$10000,0),11))</f>
        <v/>
      </c>
      <c r="S698" t="str">
        <f t="array" ref="S698">IF($A698="","",INDEX(JupData!$A$2:$K$10000,MATCH($A698&amp;S$1,JupData!$A$2:$A$10000&amp;JupData!$J$2:$J$10000,0),11))</f>
        <v/>
      </c>
      <c r="T698" t="str">
        <f t="array" ref="T698">IF($A698="","",INDEX(JupData!$A$2:$K$10000,MATCH($A698&amp;T$1,JupData!$A$2:$A$10000&amp;JupData!$J$2:$J$10000,0),11))</f>
        <v/>
      </c>
      <c r="U698" t="str">
        <f t="array" ref="U698">IF($A698="","",INDEX(JupData!$A$2:$K$10000,MATCH($A698&amp;U$1,JupData!$A$2:$A$10000&amp;JupData!$J$2:$J$10000,0),11))</f>
        <v/>
      </c>
      <c r="V698" t="str">
        <f t="array" ref="V698">IF($A698="","",INDEX(JupData!$A$2:$K$10000,MATCH($A698&amp;V$1,JupData!$A$2:$A$10000&amp;JupData!$J$2:$J$10000,0),11))</f>
        <v/>
      </c>
      <c r="W698" t="str">
        <f t="array" ref="W698">IF($A698="","",INDEX(JupData!$A$2:$K$10000,MATCH($A698&amp;W$1,JupData!$A$2:$A$10000&amp;JupData!$J$2:$J$10000,0),11))</f>
        <v/>
      </c>
      <c r="X698" t="str">
        <f t="array" ref="X698">IF($A698="","",INDEX(JupData!$A$2:$K$10000,MATCH($A698&amp;X$1,JupData!$A$2:$A$10000&amp;JupData!$J$2:$J$10000,0),11))</f>
        <v/>
      </c>
      <c r="Y698" t="str">
        <f t="array" ref="Y698">IF($A698="","",INDEX(JupData!$A$2:$K$10000,MATCH($A698&amp;Y$1,JupData!$A$2:$A$10000&amp;JupData!$J$2:$J$10000,0),11))</f>
        <v/>
      </c>
      <c r="Z698" t="str">
        <f t="array" ref="Z698">IF($A698="","",INDEX(JupData!$A$2:$K$10000,MATCH($A698&amp;Z$1,JupData!$A$2:$A$10000&amp;JupData!$J$2:$J$10000,0),11))</f>
        <v/>
      </c>
      <c r="AA698" t="str">
        <f t="array" ref="AA698">IF($A698="","",INDEX(JupData!$A$2:$K$10000,MATCH($A698&amp;AA$1,JupData!$A$2:$A$10000&amp;JupData!$J$2:$J$10000,0),11))</f>
        <v/>
      </c>
      <c r="AB698" t="str">
        <f t="array" ref="AB698">IF($A698="","",INDEX(JupData!$A$2:$K$10000,MATCH($A698&amp;AB$1,JupData!$A$2:$A$10000&amp;JupData!$J$2:$J$10000,0),11))</f>
        <v/>
      </c>
      <c r="AC698" s="10" t="str">
        <f t="shared" si="110"/>
        <v/>
      </c>
      <c r="AD698" s="10" t="str">
        <f t="shared" si="111"/>
        <v/>
      </c>
      <c r="AE698" s="9" t="str">
        <f t="shared" si="112"/>
        <v/>
      </c>
      <c r="AF698" s="10" t="str">
        <f t="shared" si="113"/>
        <v/>
      </c>
      <c r="AG698" s="10" t="str">
        <f t="shared" si="114"/>
        <v/>
      </c>
      <c r="AH698" s="10" t="str">
        <f t="shared" si="115"/>
        <v/>
      </c>
      <c r="AI698" s="10" t="str">
        <f t="shared" si="116"/>
        <v/>
      </c>
      <c r="AJ698" s="10" t="str">
        <f t="shared" si="117"/>
        <v/>
      </c>
      <c r="AK698" s="10" t="str">
        <f t="shared" si="118"/>
        <v/>
      </c>
      <c r="AL698" s="14" t="str">
        <f t="shared" si="119"/>
        <v/>
      </c>
    </row>
    <row r="699" spans="1:38" x14ac:dyDescent="0.2">
      <c r="A699"/>
      <c r="B699" t="str">
        <f>IF($A699="","",VLOOKUP($A699,JupData!$A$2:$I$10000,4,FALSE))</f>
        <v/>
      </c>
      <c r="C699" s="7" t="str">
        <f>IF($A699="",IF(N(D699),0,""),VLOOKUP($A699,JupData!$A$2:$I$10000,7,FALSE))</f>
        <v/>
      </c>
      <c r="D699" t="str">
        <f t="shared" si="120"/>
        <v/>
      </c>
      <c r="E699" t="str">
        <f t="array" ref="E699">IF($A699="","",INDEX(JupData!$A$2:$K$10000,MATCH($A699&amp;E$1,JupData!$A$2:$A$10000&amp;JupData!$J$2:$J$10000,0),11))</f>
        <v/>
      </c>
      <c r="F699" t="str">
        <f t="array" ref="F699">IF($A699="","",INDEX(JupData!$A$2:$K$10000,MATCH($A699&amp;F$1,JupData!$A$2:$A$10000&amp;JupData!$J$2:$J$10000,0),11))</f>
        <v/>
      </c>
      <c r="G699" t="str">
        <f t="array" ref="G699">IF($A699="","",INDEX(JupData!$A$2:$K$10000,MATCH($A699&amp;G$1,JupData!$A$2:$A$10000&amp;JupData!$J$2:$J$10000,0),11))</f>
        <v/>
      </c>
      <c r="H699" t="str">
        <f t="array" ref="H699">IF($A699="","",INDEX(JupData!$A$2:$K$10000,MATCH($A699&amp;H$1,JupData!$A$2:$A$10000&amp;JupData!$J$2:$J$10000,0),11))</f>
        <v/>
      </c>
      <c r="I699" t="str">
        <f t="array" ref="I699">IF($A699="","",INDEX(JupData!$A$2:$K$10000,MATCH($A699&amp;I$1,JupData!$A$2:$A$10000&amp;JupData!$J$2:$J$10000,0),11))</f>
        <v/>
      </c>
      <c r="J699" t="str">
        <f t="array" ref="J699">IF($A699="","",INDEX(JupData!$A$2:$K$10000,MATCH($A699&amp;J$1,JupData!$A$2:$A$10000&amp;JupData!$J$2:$J$10000,0),11))</f>
        <v/>
      </c>
      <c r="K699" t="str">
        <f t="array" ref="K699">IF($A699="","",INDEX(JupData!$A$2:$K$10000,MATCH($A699&amp;K$1,JupData!$A$2:$A$10000&amp;JupData!$J$2:$J$10000,0),11))</f>
        <v/>
      </c>
      <c r="L699" t="str">
        <f t="array" ref="L699">IF($A699="","",INDEX(JupData!$A$2:$K$10000,MATCH($A699&amp;L$1,JupData!$A$2:$A$10000&amp;JupData!$J$2:$J$10000,0),11))</f>
        <v/>
      </c>
      <c r="M699" t="str">
        <f t="array" ref="M699">IF($A699="","",INDEX(JupData!$A$2:$K$10000,MATCH($A699&amp;M$1,JupData!$A$2:$A$10000&amp;JupData!$J$2:$J$10000,0),11))</f>
        <v/>
      </c>
      <c r="N699" t="str">
        <f t="array" ref="N699">IF($A699="","",INDEX(JupData!$A$2:$K$10000,MATCH($A699&amp;N$1,JupData!$A$2:$A$10000&amp;JupData!$J$2:$J$10000,0),11))</f>
        <v/>
      </c>
      <c r="O699" t="str">
        <f t="array" ref="O699">IF($A699="","",INDEX(JupData!$A$2:$K$10000,MATCH($A699&amp;O$1,JupData!$A$2:$A$10000&amp;JupData!$J$2:$J$10000,0),11))</f>
        <v/>
      </c>
      <c r="P699" t="str">
        <f t="array" ref="P699">IF($A699="","",INDEX(JupData!$A$2:$K$10000,MATCH($A699&amp;P$1,JupData!$A$2:$A$10000&amp;JupData!$J$2:$J$10000,0),11))</f>
        <v/>
      </c>
      <c r="Q699" t="str">
        <f t="array" ref="Q699">IF($A699="","",INDEX(JupData!$A$2:$K$10000,MATCH($A699&amp;Q$1,JupData!$A$2:$A$10000&amp;JupData!$J$2:$J$10000,0),11))</f>
        <v/>
      </c>
      <c r="R699" t="str">
        <f t="array" ref="R699">IF($A699="","",INDEX(JupData!$A$2:$K$10000,MATCH($A699&amp;R$1,JupData!$A$2:$A$10000&amp;JupData!$J$2:$J$10000,0),11))</f>
        <v/>
      </c>
      <c r="S699" t="str">
        <f t="array" ref="S699">IF($A699="","",INDEX(JupData!$A$2:$K$10000,MATCH($A699&amp;S$1,JupData!$A$2:$A$10000&amp;JupData!$J$2:$J$10000,0),11))</f>
        <v/>
      </c>
      <c r="T699" t="str">
        <f t="array" ref="T699">IF($A699="","",INDEX(JupData!$A$2:$K$10000,MATCH($A699&amp;T$1,JupData!$A$2:$A$10000&amp;JupData!$J$2:$J$10000,0),11))</f>
        <v/>
      </c>
      <c r="U699" t="str">
        <f t="array" ref="U699">IF($A699="","",INDEX(JupData!$A$2:$K$10000,MATCH($A699&amp;U$1,JupData!$A$2:$A$10000&amp;JupData!$J$2:$J$10000,0),11))</f>
        <v/>
      </c>
      <c r="V699" t="str">
        <f t="array" ref="V699">IF($A699="","",INDEX(JupData!$A$2:$K$10000,MATCH($A699&amp;V$1,JupData!$A$2:$A$10000&amp;JupData!$J$2:$J$10000,0),11))</f>
        <v/>
      </c>
      <c r="W699" t="str">
        <f t="array" ref="W699">IF($A699="","",INDEX(JupData!$A$2:$K$10000,MATCH($A699&amp;W$1,JupData!$A$2:$A$10000&amp;JupData!$J$2:$J$10000,0),11))</f>
        <v/>
      </c>
      <c r="X699" t="str">
        <f t="array" ref="X699">IF($A699="","",INDEX(JupData!$A$2:$K$10000,MATCH($A699&amp;X$1,JupData!$A$2:$A$10000&amp;JupData!$J$2:$J$10000,0),11))</f>
        <v/>
      </c>
      <c r="Y699" t="str">
        <f t="array" ref="Y699">IF($A699="","",INDEX(JupData!$A$2:$K$10000,MATCH($A699&amp;Y$1,JupData!$A$2:$A$10000&amp;JupData!$J$2:$J$10000,0),11))</f>
        <v/>
      </c>
      <c r="Z699" t="str">
        <f t="array" ref="Z699">IF($A699="","",INDEX(JupData!$A$2:$K$10000,MATCH($A699&amp;Z$1,JupData!$A$2:$A$10000&amp;JupData!$J$2:$J$10000,0),11))</f>
        <v/>
      </c>
      <c r="AA699" t="str">
        <f t="array" ref="AA699">IF($A699="","",INDEX(JupData!$A$2:$K$10000,MATCH($A699&amp;AA$1,JupData!$A$2:$A$10000&amp;JupData!$J$2:$J$10000,0),11))</f>
        <v/>
      </c>
      <c r="AB699" t="str">
        <f t="array" ref="AB699">IF($A699="","",INDEX(JupData!$A$2:$K$10000,MATCH($A699&amp;AB$1,JupData!$A$2:$A$10000&amp;JupData!$J$2:$J$10000,0),11))</f>
        <v/>
      </c>
      <c r="AC699" s="10" t="str">
        <f t="shared" si="110"/>
        <v/>
      </c>
      <c r="AD699" s="10" t="str">
        <f t="shared" si="111"/>
        <v/>
      </c>
      <c r="AE699" s="9" t="str">
        <f t="shared" si="112"/>
        <v/>
      </c>
      <c r="AF699" s="10" t="str">
        <f t="shared" si="113"/>
        <v/>
      </c>
      <c r="AG699" s="10" t="str">
        <f t="shared" si="114"/>
        <v/>
      </c>
      <c r="AH699" s="10" t="str">
        <f t="shared" si="115"/>
        <v/>
      </c>
      <c r="AI699" s="10" t="str">
        <f t="shared" si="116"/>
        <v/>
      </c>
      <c r="AJ699" s="10" t="str">
        <f t="shared" si="117"/>
        <v/>
      </c>
      <c r="AK699" s="10" t="str">
        <f t="shared" si="118"/>
        <v/>
      </c>
      <c r="AL699" s="14" t="str">
        <f t="shared" si="119"/>
        <v/>
      </c>
    </row>
    <row r="700" spans="1:38" x14ac:dyDescent="0.2">
      <c r="A700"/>
      <c r="B700" t="str">
        <f>IF($A700="","",VLOOKUP($A700,JupData!$A$2:$I$10000,4,FALSE))</f>
        <v/>
      </c>
      <c r="C700" s="7" t="str">
        <f>IF($A700="",IF(N(D700),0,""),VLOOKUP($A700,JupData!$A$2:$I$10000,7,FALSE))</f>
        <v/>
      </c>
      <c r="D700" t="str">
        <f t="shared" si="120"/>
        <v/>
      </c>
      <c r="E700" t="str">
        <f t="array" ref="E700">IF($A700="","",INDEX(JupData!$A$2:$K$10000,MATCH($A700&amp;E$1,JupData!$A$2:$A$10000&amp;JupData!$J$2:$J$10000,0),11))</f>
        <v/>
      </c>
      <c r="F700" t="str">
        <f t="array" ref="F700">IF($A700="","",INDEX(JupData!$A$2:$K$10000,MATCH($A700&amp;F$1,JupData!$A$2:$A$10000&amp;JupData!$J$2:$J$10000,0),11))</f>
        <v/>
      </c>
      <c r="G700" t="str">
        <f t="array" ref="G700">IF($A700="","",INDEX(JupData!$A$2:$K$10000,MATCH($A700&amp;G$1,JupData!$A$2:$A$10000&amp;JupData!$J$2:$J$10000,0),11))</f>
        <v/>
      </c>
      <c r="H700" t="str">
        <f t="array" ref="H700">IF($A700="","",INDEX(JupData!$A$2:$K$10000,MATCH($A700&amp;H$1,JupData!$A$2:$A$10000&amp;JupData!$J$2:$J$10000,0),11))</f>
        <v/>
      </c>
      <c r="I700" t="str">
        <f t="array" ref="I700">IF($A700="","",INDEX(JupData!$A$2:$K$10000,MATCH($A700&amp;I$1,JupData!$A$2:$A$10000&amp;JupData!$J$2:$J$10000,0),11))</f>
        <v/>
      </c>
      <c r="J700" t="str">
        <f t="array" ref="J700">IF($A700="","",INDEX(JupData!$A$2:$K$10000,MATCH($A700&amp;J$1,JupData!$A$2:$A$10000&amp;JupData!$J$2:$J$10000,0),11))</f>
        <v/>
      </c>
      <c r="K700" t="str">
        <f t="array" ref="K700">IF($A700="","",INDEX(JupData!$A$2:$K$10000,MATCH($A700&amp;K$1,JupData!$A$2:$A$10000&amp;JupData!$J$2:$J$10000,0),11))</f>
        <v/>
      </c>
      <c r="L700" t="str">
        <f t="array" ref="L700">IF($A700="","",INDEX(JupData!$A$2:$K$10000,MATCH($A700&amp;L$1,JupData!$A$2:$A$10000&amp;JupData!$J$2:$J$10000,0),11))</f>
        <v/>
      </c>
      <c r="M700" t="str">
        <f t="array" ref="M700">IF($A700="","",INDEX(JupData!$A$2:$K$10000,MATCH($A700&amp;M$1,JupData!$A$2:$A$10000&amp;JupData!$J$2:$J$10000,0),11))</f>
        <v/>
      </c>
      <c r="N700" t="str">
        <f t="array" ref="N700">IF($A700="","",INDEX(JupData!$A$2:$K$10000,MATCH($A700&amp;N$1,JupData!$A$2:$A$10000&amp;JupData!$J$2:$J$10000,0),11))</f>
        <v/>
      </c>
      <c r="O700" t="str">
        <f t="array" ref="O700">IF($A700="","",INDEX(JupData!$A$2:$K$10000,MATCH($A700&amp;O$1,JupData!$A$2:$A$10000&amp;JupData!$J$2:$J$10000,0),11))</f>
        <v/>
      </c>
      <c r="P700" t="str">
        <f t="array" ref="P700">IF($A700="","",INDEX(JupData!$A$2:$K$10000,MATCH($A700&amp;P$1,JupData!$A$2:$A$10000&amp;JupData!$J$2:$J$10000,0),11))</f>
        <v/>
      </c>
      <c r="Q700" t="str">
        <f t="array" ref="Q700">IF($A700="","",INDEX(JupData!$A$2:$K$10000,MATCH($A700&amp;Q$1,JupData!$A$2:$A$10000&amp;JupData!$J$2:$J$10000,0),11))</f>
        <v/>
      </c>
      <c r="R700" t="str">
        <f t="array" ref="R700">IF($A700="","",INDEX(JupData!$A$2:$K$10000,MATCH($A700&amp;R$1,JupData!$A$2:$A$10000&amp;JupData!$J$2:$J$10000,0),11))</f>
        <v/>
      </c>
      <c r="S700" t="str">
        <f t="array" ref="S700">IF($A700="","",INDEX(JupData!$A$2:$K$10000,MATCH($A700&amp;S$1,JupData!$A$2:$A$10000&amp;JupData!$J$2:$J$10000,0),11))</f>
        <v/>
      </c>
      <c r="T700" t="str">
        <f t="array" ref="T700">IF($A700="","",INDEX(JupData!$A$2:$K$10000,MATCH($A700&amp;T$1,JupData!$A$2:$A$10000&amp;JupData!$J$2:$J$10000,0),11))</f>
        <v/>
      </c>
      <c r="U700" t="str">
        <f t="array" ref="U700">IF($A700="","",INDEX(JupData!$A$2:$K$10000,MATCH($A700&amp;U$1,JupData!$A$2:$A$10000&amp;JupData!$J$2:$J$10000,0),11))</f>
        <v/>
      </c>
      <c r="V700" t="str">
        <f t="array" ref="V700">IF($A700="","",INDEX(JupData!$A$2:$K$10000,MATCH($A700&amp;V$1,JupData!$A$2:$A$10000&amp;JupData!$J$2:$J$10000,0),11))</f>
        <v/>
      </c>
      <c r="W700" t="str">
        <f t="array" ref="W700">IF($A700="","",INDEX(JupData!$A$2:$K$10000,MATCH($A700&amp;W$1,JupData!$A$2:$A$10000&amp;JupData!$J$2:$J$10000,0),11))</f>
        <v/>
      </c>
      <c r="X700" t="str">
        <f t="array" ref="X700">IF($A700="","",INDEX(JupData!$A$2:$K$10000,MATCH($A700&amp;X$1,JupData!$A$2:$A$10000&amp;JupData!$J$2:$J$10000,0),11))</f>
        <v/>
      </c>
      <c r="Y700" t="str">
        <f t="array" ref="Y700">IF($A700="","",INDEX(JupData!$A$2:$K$10000,MATCH($A700&amp;Y$1,JupData!$A$2:$A$10000&amp;JupData!$J$2:$J$10000,0),11))</f>
        <v/>
      </c>
      <c r="Z700" t="str">
        <f t="array" ref="Z700">IF($A700="","",INDEX(JupData!$A$2:$K$10000,MATCH($A700&amp;Z$1,JupData!$A$2:$A$10000&amp;JupData!$J$2:$J$10000,0),11))</f>
        <v/>
      </c>
      <c r="AA700" t="str">
        <f t="array" ref="AA700">IF($A700="","",INDEX(JupData!$A$2:$K$10000,MATCH($A700&amp;AA$1,JupData!$A$2:$A$10000&amp;JupData!$J$2:$J$10000,0),11))</f>
        <v/>
      </c>
      <c r="AB700" t="str">
        <f t="array" ref="AB700">IF($A700="","",INDEX(JupData!$A$2:$K$10000,MATCH($A700&amp;AB$1,JupData!$A$2:$A$10000&amp;JupData!$J$2:$J$10000,0),11))</f>
        <v/>
      </c>
      <c r="AC700" s="10" t="str">
        <f t="shared" si="110"/>
        <v/>
      </c>
      <c r="AD700" s="10" t="str">
        <f t="shared" si="111"/>
        <v/>
      </c>
      <c r="AE700" s="9" t="str">
        <f t="shared" si="112"/>
        <v/>
      </c>
      <c r="AF700" s="10" t="str">
        <f t="shared" si="113"/>
        <v/>
      </c>
      <c r="AG700" s="10" t="str">
        <f t="shared" si="114"/>
        <v/>
      </c>
      <c r="AH700" s="10" t="str">
        <f t="shared" si="115"/>
        <v/>
      </c>
      <c r="AI700" s="10" t="str">
        <f t="shared" si="116"/>
        <v/>
      </c>
      <c r="AJ700" s="10" t="str">
        <f t="shared" si="117"/>
        <v/>
      </c>
      <c r="AK700" s="10" t="str">
        <f t="shared" si="118"/>
        <v/>
      </c>
      <c r="AL700" s="14" t="str">
        <f t="shared" si="119"/>
        <v/>
      </c>
    </row>
    <row r="701" spans="1:38" x14ac:dyDescent="0.2">
      <c r="A701"/>
      <c r="B701" t="str">
        <f>IF($A701="","",VLOOKUP($A701,JupData!$A$2:$I$10000,4,FALSE))</f>
        <v/>
      </c>
      <c r="C701" s="7" t="str">
        <f>IF($A701="",IF(N(D701),0,""),VLOOKUP($A701,JupData!$A$2:$I$10000,7,FALSE))</f>
        <v/>
      </c>
      <c r="D701" t="str">
        <f t="shared" si="120"/>
        <v/>
      </c>
      <c r="E701" t="str">
        <f t="array" ref="E701">IF($A701="","",INDEX(JupData!$A$2:$K$10000,MATCH($A701&amp;E$1,JupData!$A$2:$A$10000&amp;JupData!$J$2:$J$10000,0),11))</f>
        <v/>
      </c>
      <c r="F701" t="str">
        <f t="array" ref="F701">IF($A701="","",INDEX(JupData!$A$2:$K$10000,MATCH($A701&amp;F$1,JupData!$A$2:$A$10000&amp;JupData!$J$2:$J$10000,0),11))</f>
        <v/>
      </c>
      <c r="G701" t="str">
        <f t="array" ref="G701">IF($A701="","",INDEX(JupData!$A$2:$K$10000,MATCH($A701&amp;G$1,JupData!$A$2:$A$10000&amp;JupData!$J$2:$J$10000,0),11))</f>
        <v/>
      </c>
      <c r="H701" t="str">
        <f t="array" ref="H701">IF($A701="","",INDEX(JupData!$A$2:$K$10000,MATCH($A701&amp;H$1,JupData!$A$2:$A$10000&amp;JupData!$J$2:$J$10000,0),11))</f>
        <v/>
      </c>
      <c r="I701" t="str">
        <f t="array" ref="I701">IF($A701="","",INDEX(JupData!$A$2:$K$10000,MATCH($A701&amp;I$1,JupData!$A$2:$A$10000&amp;JupData!$J$2:$J$10000,0),11))</f>
        <v/>
      </c>
      <c r="J701" t="str">
        <f t="array" ref="J701">IF($A701="","",INDEX(JupData!$A$2:$K$10000,MATCH($A701&amp;J$1,JupData!$A$2:$A$10000&amp;JupData!$J$2:$J$10000,0),11))</f>
        <v/>
      </c>
      <c r="K701" t="str">
        <f t="array" ref="K701">IF($A701="","",INDEX(JupData!$A$2:$K$10000,MATCH($A701&amp;K$1,JupData!$A$2:$A$10000&amp;JupData!$J$2:$J$10000,0),11))</f>
        <v/>
      </c>
      <c r="L701" t="str">
        <f t="array" ref="L701">IF($A701="","",INDEX(JupData!$A$2:$K$10000,MATCH($A701&amp;L$1,JupData!$A$2:$A$10000&amp;JupData!$J$2:$J$10000,0),11))</f>
        <v/>
      </c>
      <c r="M701" t="str">
        <f t="array" ref="M701">IF($A701="","",INDEX(JupData!$A$2:$K$10000,MATCH($A701&amp;M$1,JupData!$A$2:$A$10000&amp;JupData!$J$2:$J$10000,0),11))</f>
        <v/>
      </c>
      <c r="N701" t="str">
        <f t="array" ref="N701">IF($A701="","",INDEX(JupData!$A$2:$K$10000,MATCH($A701&amp;N$1,JupData!$A$2:$A$10000&amp;JupData!$J$2:$J$10000,0),11))</f>
        <v/>
      </c>
      <c r="O701" t="str">
        <f t="array" ref="O701">IF($A701="","",INDEX(JupData!$A$2:$K$10000,MATCH($A701&amp;O$1,JupData!$A$2:$A$10000&amp;JupData!$J$2:$J$10000,0),11))</f>
        <v/>
      </c>
      <c r="P701" t="str">
        <f t="array" ref="P701">IF($A701="","",INDEX(JupData!$A$2:$K$10000,MATCH($A701&amp;P$1,JupData!$A$2:$A$10000&amp;JupData!$J$2:$J$10000,0),11))</f>
        <v/>
      </c>
      <c r="Q701" t="str">
        <f t="array" ref="Q701">IF($A701="","",INDEX(JupData!$A$2:$K$10000,MATCH($A701&amp;Q$1,JupData!$A$2:$A$10000&amp;JupData!$J$2:$J$10000,0),11))</f>
        <v/>
      </c>
      <c r="R701" t="str">
        <f t="array" ref="R701">IF($A701="","",INDEX(JupData!$A$2:$K$10000,MATCH($A701&amp;R$1,JupData!$A$2:$A$10000&amp;JupData!$J$2:$J$10000,0),11))</f>
        <v/>
      </c>
      <c r="S701" t="str">
        <f t="array" ref="S701">IF($A701="","",INDEX(JupData!$A$2:$K$10000,MATCH($A701&amp;S$1,JupData!$A$2:$A$10000&amp;JupData!$J$2:$J$10000,0),11))</f>
        <v/>
      </c>
      <c r="T701" t="str">
        <f t="array" ref="T701">IF($A701="","",INDEX(JupData!$A$2:$K$10000,MATCH($A701&amp;T$1,JupData!$A$2:$A$10000&amp;JupData!$J$2:$J$10000,0),11))</f>
        <v/>
      </c>
      <c r="U701" t="str">
        <f t="array" ref="U701">IF($A701="","",INDEX(JupData!$A$2:$K$10000,MATCH($A701&amp;U$1,JupData!$A$2:$A$10000&amp;JupData!$J$2:$J$10000,0),11))</f>
        <v/>
      </c>
      <c r="V701" t="str">
        <f t="array" ref="V701">IF($A701="","",INDEX(JupData!$A$2:$K$10000,MATCH($A701&amp;V$1,JupData!$A$2:$A$10000&amp;JupData!$J$2:$J$10000,0),11))</f>
        <v/>
      </c>
      <c r="W701" t="str">
        <f t="array" ref="W701">IF($A701="","",INDEX(JupData!$A$2:$K$10000,MATCH($A701&amp;W$1,JupData!$A$2:$A$10000&amp;JupData!$J$2:$J$10000,0),11))</f>
        <v/>
      </c>
      <c r="X701" t="str">
        <f t="array" ref="X701">IF($A701="","",INDEX(JupData!$A$2:$K$10000,MATCH($A701&amp;X$1,JupData!$A$2:$A$10000&amp;JupData!$J$2:$J$10000,0),11))</f>
        <v/>
      </c>
      <c r="Y701" t="str">
        <f t="array" ref="Y701">IF($A701="","",INDEX(JupData!$A$2:$K$10000,MATCH($A701&amp;Y$1,JupData!$A$2:$A$10000&amp;JupData!$J$2:$J$10000,0),11))</f>
        <v/>
      </c>
      <c r="Z701" t="str">
        <f t="array" ref="Z701">IF($A701="","",INDEX(JupData!$A$2:$K$10000,MATCH($A701&amp;Z$1,JupData!$A$2:$A$10000&amp;JupData!$J$2:$J$10000,0),11))</f>
        <v/>
      </c>
      <c r="AA701" t="str">
        <f t="array" ref="AA701">IF($A701="","",INDEX(JupData!$A$2:$K$10000,MATCH($A701&amp;AA$1,JupData!$A$2:$A$10000&amp;JupData!$J$2:$J$10000,0),11))</f>
        <v/>
      </c>
      <c r="AB701" t="str">
        <f t="array" ref="AB701">IF($A701="","",INDEX(JupData!$A$2:$K$10000,MATCH($A701&amp;AB$1,JupData!$A$2:$A$10000&amp;JupData!$J$2:$J$10000,0),11))</f>
        <v/>
      </c>
      <c r="AC701" s="10" t="str">
        <f t="shared" si="110"/>
        <v/>
      </c>
      <c r="AD701" s="10" t="str">
        <f t="shared" si="111"/>
        <v/>
      </c>
      <c r="AE701" s="9" t="str">
        <f t="shared" si="112"/>
        <v/>
      </c>
      <c r="AF701" s="10" t="str">
        <f t="shared" si="113"/>
        <v/>
      </c>
      <c r="AG701" s="10" t="str">
        <f t="shared" si="114"/>
        <v/>
      </c>
      <c r="AH701" s="10" t="str">
        <f t="shared" si="115"/>
        <v/>
      </c>
      <c r="AI701" s="10" t="str">
        <f t="shared" si="116"/>
        <v/>
      </c>
      <c r="AJ701" s="10" t="str">
        <f t="shared" si="117"/>
        <v/>
      </c>
      <c r="AK701" s="10" t="str">
        <f t="shared" si="118"/>
        <v/>
      </c>
      <c r="AL701" s="14" t="str">
        <f t="shared" si="119"/>
        <v/>
      </c>
    </row>
    <row r="702" spans="1:38" x14ac:dyDescent="0.2">
      <c r="A702"/>
      <c r="B702" t="str">
        <f>IF($A702="","",VLOOKUP($A702,JupData!$A$2:$I$10000,4,FALSE))</f>
        <v/>
      </c>
      <c r="C702" s="7" t="str">
        <f>IF($A702="",IF(N(D702),0,""),VLOOKUP($A702,JupData!$A$2:$I$10000,7,FALSE))</f>
        <v/>
      </c>
      <c r="D702" t="str">
        <f t="shared" si="120"/>
        <v/>
      </c>
      <c r="E702" t="str">
        <f t="array" ref="E702">IF($A702="","",INDEX(JupData!$A$2:$K$10000,MATCH($A702&amp;E$1,JupData!$A$2:$A$10000&amp;JupData!$J$2:$J$10000,0),11))</f>
        <v/>
      </c>
      <c r="F702" t="str">
        <f t="array" ref="F702">IF($A702="","",INDEX(JupData!$A$2:$K$10000,MATCH($A702&amp;F$1,JupData!$A$2:$A$10000&amp;JupData!$J$2:$J$10000,0),11))</f>
        <v/>
      </c>
      <c r="G702" t="str">
        <f t="array" ref="G702">IF($A702="","",INDEX(JupData!$A$2:$K$10000,MATCH($A702&amp;G$1,JupData!$A$2:$A$10000&amp;JupData!$J$2:$J$10000,0),11))</f>
        <v/>
      </c>
      <c r="H702" t="str">
        <f t="array" ref="H702">IF($A702="","",INDEX(JupData!$A$2:$K$10000,MATCH($A702&amp;H$1,JupData!$A$2:$A$10000&amp;JupData!$J$2:$J$10000,0),11))</f>
        <v/>
      </c>
      <c r="I702" t="str">
        <f t="array" ref="I702">IF($A702="","",INDEX(JupData!$A$2:$K$10000,MATCH($A702&amp;I$1,JupData!$A$2:$A$10000&amp;JupData!$J$2:$J$10000,0),11))</f>
        <v/>
      </c>
      <c r="J702" t="str">
        <f t="array" ref="J702">IF($A702="","",INDEX(JupData!$A$2:$K$10000,MATCH($A702&amp;J$1,JupData!$A$2:$A$10000&amp;JupData!$J$2:$J$10000,0),11))</f>
        <v/>
      </c>
      <c r="K702" t="str">
        <f t="array" ref="K702">IF($A702="","",INDEX(JupData!$A$2:$K$10000,MATCH($A702&amp;K$1,JupData!$A$2:$A$10000&amp;JupData!$J$2:$J$10000,0),11))</f>
        <v/>
      </c>
      <c r="L702" t="str">
        <f t="array" ref="L702">IF($A702="","",INDEX(JupData!$A$2:$K$10000,MATCH($A702&amp;L$1,JupData!$A$2:$A$10000&amp;JupData!$J$2:$J$10000,0),11))</f>
        <v/>
      </c>
      <c r="M702" t="str">
        <f t="array" ref="M702">IF($A702="","",INDEX(JupData!$A$2:$K$10000,MATCH($A702&amp;M$1,JupData!$A$2:$A$10000&amp;JupData!$J$2:$J$10000,0),11))</f>
        <v/>
      </c>
      <c r="N702" t="str">
        <f t="array" ref="N702">IF($A702="","",INDEX(JupData!$A$2:$K$10000,MATCH($A702&amp;N$1,JupData!$A$2:$A$10000&amp;JupData!$J$2:$J$10000,0),11))</f>
        <v/>
      </c>
      <c r="O702" t="str">
        <f t="array" ref="O702">IF($A702="","",INDEX(JupData!$A$2:$K$10000,MATCH($A702&amp;O$1,JupData!$A$2:$A$10000&amp;JupData!$J$2:$J$10000,0),11))</f>
        <v/>
      </c>
      <c r="P702" t="str">
        <f t="array" ref="P702">IF($A702="","",INDEX(JupData!$A$2:$K$10000,MATCH($A702&amp;P$1,JupData!$A$2:$A$10000&amp;JupData!$J$2:$J$10000,0),11))</f>
        <v/>
      </c>
      <c r="Q702" t="str">
        <f t="array" ref="Q702">IF($A702="","",INDEX(JupData!$A$2:$K$10000,MATCH($A702&amp;Q$1,JupData!$A$2:$A$10000&amp;JupData!$J$2:$J$10000,0),11))</f>
        <v/>
      </c>
      <c r="R702" t="str">
        <f t="array" ref="R702">IF($A702="","",INDEX(JupData!$A$2:$K$10000,MATCH($A702&amp;R$1,JupData!$A$2:$A$10000&amp;JupData!$J$2:$J$10000,0),11))</f>
        <v/>
      </c>
      <c r="S702" t="str">
        <f t="array" ref="S702">IF($A702="","",INDEX(JupData!$A$2:$K$10000,MATCH($A702&amp;S$1,JupData!$A$2:$A$10000&amp;JupData!$J$2:$J$10000,0),11))</f>
        <v/>
      </c>
      <c r="T702" t="str">
        <f t="array" ref="T702">IF($A702="","",INDEX(JupData!$A$2:$K$10000,MATCH($A702&amp;T$1,JupData!$A$2:$A$10000&amp;JupData!$J$2:$J$10000,0),11))</f>
        <v/>
      </c>
      <c r="U702" t="str">
        <f t="array" ref="U702">IF($A702="","",INDEX(JupData!$A$2:$K$10000,MATCH($A702&amp;U$1,JupData!$A$2:$A$10000&amp;JupData!$J$2:$J$10000,0),11))</f>
        <v/>
      </c>
      <c r="V702" t="str">
        <f t="array" ref="V702">IF($A702="","",INDEX(JupData!$A$2:$K$10000,MATCH($A702&amp;V$1,JupData!$A$2:$A$10000&amp;JupData!$J$2:$J$10000,0),11))</f>
        <v/>
      </c>
      <c r="W702" t="str">
        <f t="array" ref="W702">IF($A702="","",INDEX(JupData!$A$2:$K$10000,MATCH($A702&amp;W$1,JupData!$A$2:$A$10000&amp;JupData!$J$2:$J$10000,0),11))</f>
        <v/>
      </c>
      <c r="X702" t="str">
        <f t="array" ref="X702">IF($A702="","",INDEX(JupData!$A$2:$K$10000,MATCH($A702&amp;X$1,JupData!$A$2:$A$10000&amp;JupData!$J$2:$J$10000,0),11))</f>
        <v/>
      </c>
      <c r="Y702" t="str">
        <f t="array" ref="Y702">IF($A702="","",INDEX(JupData!$A$2:$K$10000,MATCH($A702&amp;Y$1,JupData!$A$2:$A$10000&amp;JupData!$J$2:$J$10000,0),11))</f>
        <v/>
      </c>
      <c r="Z702" t="str">
        <f t="array" ref="Z702">IF($A702="","",INDEX(JupData!$A$2:$K$10000,MATCH($A702&amp;Z$1,JupData!$A$2:$A$10000&amp;JupData!$J$2:$J$10000,0),11))</f>
        <v/>
      </c>
      <c r="AA702" t="str">
        <f t="array" ref="AA702">IF($A702="","",INDEX(JupData!$A$2:$K$10000,MATCH($A702&amp;AA$1,JupData!$A$2:$A$10000&amp;JupData!$J$2:$J$10000,0),11))</f>
        <v/>
      </c>
      <c r="AB702" t="str">
        <f t="array" ref="AB702">IF($A702="","",INDEX(JupData!$A$2:$K$10000,MATCH($A702&amp;AB$1,JupData!$A$2:$A$10000&amp;JupData!$J$2:$J$10000,0),11))</f>
        <v/>
      </c>
      <c r="AC702" s="10" t="str">
        <f t="shared" si="110"/>
        <v/>
      </c>
      <c r="AD702" s="10" t="str">
        <f t="shared" si="111"/>
        <v/>
      </c>
      <c r="AE702" s="9" t="str">
        <f t="shared" si="112"/>
        <v/>
      </c>
      <c r="AF702" s="10" t="str">
        <f t="shared" si="113"/>
        <v/>
      </c>
      <c r="AG702" s="10" t="str">
        <f t="shared" si="114"/>
        <v/>
      </c>
      <c r="AH702" s="10" t="str">
        <f t="shared" si="115"/>
        <v/>
      </c>
      <c r="AI702" s="10" t="str">
        <f t="shared" si="116"/>
        <v/>
      </c>
      <c r="AJ702" s="10" t="str">
        <f t="shared" si="117"/>
        <v/>
      </c>
      <c r="AK702" s="10" t="str">
        <f t="shared" si="118"/>
        <v/>
      </c>
      <c r="AL702" s="14" t="str">
        <f t="shared" si="119"/>
        <v/>
      </c>
    </row>
    <row r="703" spans="1:38" x14ac:dyDescent="0.2">
      <c r="A703"/>
      <c r="B703" t="str">
        <f>IF($A703="","",VLOOKUP($A703,JupData!$A$2:$I$10000,4,FALSE))</f>
        <v/>
      </c>
      <c r="C703" s="7" t="str">
        <f>IF($A703="",IF(N(D703),0,""),VLOOKUP($A703,JupData!$A$2:$I$10000,7,FALSE))</f>
        <v/>
      </c>
      <c r="D703" t="str">
        <f t="shared" si="120"/>
        <v/>
      </c>
      <c r="E703" t="str">
        <f t="array" ref="E703">IF($A703="","",INDEX(JupData!$A$2:$K$10000,MATCH($A703&amp;E$1,JupData!$A$2:$A$10000&amp;JupData!$J$2:$J$10000,0),11))</f>
        <v/>
      </c>
      <c r="F703" t="str">
        <f t="array" ref="F703">IF($A703="","",INDEX(JupData!$A$2:$K$10000,MATCH($A703&amp;F$1,JupData!$A$2:$A$10000&amp;JupData!$J$2:$J$10000,0),11))</f>
        <v/>
      </c>
      <c r="G703" t="str">
        <f t="array" ref="G703">IF($A703="","",INDEX(JupData!$A$2:$K$10000,MATCH($A703&amp;G$1,JupData!$A$2:$A$10000&amp;JupData!$J$2:$J$10000,0),11))</f>
        <v/>
      </c>
      <c r="H703" t="str">
        <f t="array" ref="H703">IF($A703="","",INDEX(JupData!$A$2:$K$10000,MATCH($A703&amp;H$1,JupData!$A$2:$A$10000&amp;JupData!$J$2:$J$10000,0),11))</f>
        <v/>
      </c>
      <c r="I703" t="str">
        <f t="array" ref="I703">IF($A703="","",INDEX(JupData!$A$2:$K$10000,MATCH($A703&amp;I$1,JupData!$A$2:$A$10000&amp;JupData!$J$2:$J$10000,0),11))</f>
        <v/>
      </c>
      <c r="J703" t="str">
        <f t="array" ref="J703">IF($A703="","",INDEX(JupData!$A$2:$K$10000,MATCH($A703&amp;J$1,JupData!$A$2:$A$10000&amp;JupData!$J$2:$J$10000,0),11))</f>
        <v/>
      </c>
      <c r="K703" t="str">
        <f t="array" ref="K703">IF($A703="","",INDEX(JupData!$A$2:$K$10000,MATCH($A703&amp;K$1,JupData!$A$2:$A$10000&amp;JupData!$J$2:$J$10000,0),11))</f>
        <v/>
      </c>
      <c r="L703" t="str">
        <f t="array" ref="L703">IF($A703="","",INDEX(JupData!$A$2:$K$10000,MATCH($A703&amp;L$1,JupData!$A$2:$A$10000&amp;JupData!$J$2:$J$10000,0),11))</f>
        <v/>
      </c>
      <c r="M703" t="str">
        <f t="array" ref="M703">IF($A703="","",INDEX(JupData!$A$2:$K$10000,MATCH($A703&amp;M$1,JupData!$A$2:$A$10000&amp;JupData!$J$2:$J$10000,0),11))</f>
        <v/>
      </c>
      <c r="N703" t="str">
        <f t="array" ref="N703">IF($A703="","",INDEX(JupData!$A$2:$K$10000,MATCH($A703&amp;N$1,JupData!$A$2:$A$10000&amp;JupData!$J$2:$J$10000,0),11))</f>
        <v/>
      </c>
      <c r="O703" t="str">
        <f t="array" ref="O703">IF($A703="","",INDEX(JupData!$A$2:$K$10000,MATCH($A703&amp;O$1,JupData!$A$2:$A$10000&amp;JupData!$J$2:$J$10000,0),11))</f>
        <v/>
      </c>
      <c r="P703" t="str">
        <f t="array" ref="P703">IF($A703="","",INDEX(JupData!$A$2:$K$10000,MATCH($A703&amp;P$1,JupData!$A$2:$A$10000&amp;JupData!$J$2:$J$10000,0),11))</f>
        <v/>
      </c>
      <c r="Q703" t="str">
        <f t="array" ref="Q703">IF($A703="","",INDEX(JupData!$A$2:$K$10000,MATCH($A703&amp;Q$1,JupData!$A$2:$A$10000&amp;JupData!$J$2:$J$10000,0),11))</f>
        <v/>
      </c>
      <c r="R703" t="str">
        <f t="array" ref="R703">IF($A703="","",INDEX(JupData!$A$2:$K$10000,MATCH($A703&amp;R$1,JupData!$A$2:$A$10000&amp;JupData!$J$2:$J$10000,0),11))</f>
        <v/>
      </c>
      <c r="S703" t="str">
        <f t="array" ref="S703">IF($A703="","",INDEX(JupData!$A$2:$K$10000,MATCH($A703&amp;S$1,JupData!$A$2:$A$10000&amp;JupData!$J$2:$J$10000,0),11))</f>
        <v/>
      </c>
      <c r="T703" t="str">
        <f t="array" ref="T703">IF($A703="","",INDEX(JupData!$A$2:$K$10000,MATCH($A703&amp;T$1,JupData!$A$2:$A$10000&amp;JupData!$J$2:$J$10000,0),11))</f>
        <v/>
      </c>
      <c r="U703" t="str">
        <f t="array" ref="U703">IF($A703="","",INDEX(JupData!$A$2:$K$10000,MATCH($A703&amp;U$1,JupData!$A$2:$A$10000&amp;JupData!$J$2:$J$10000,0),11))</f>
        <v/>
      </c>
      <c r="V703" t="str">
        <f t="array" ref="V703">IF($A703="","",INDEX(JupData!$A$2:$K$10000,MATCH($A703&amp;V$1,JupData!$A$2:$A$10000&amp;JupData!$J$2:$J$10000,0),11))</f>
        <v/>
      </c>
      <c r="W703" t="str">
        <f t="array" ref="W703">IF($A703="","",INDEX(JupData!$A$2:$K$10000,MATCH($A703&amp;W$1,JupData!$A$2:$A$10000&amp;JupData!$J$2:$J$10000,0),11))</f>
        <v/>
      </c>
      <c r="X703" t="str">
        <f t="array" ref="X703">IF($A703="","",INDEX(JupData!$A$2:$K$10000,MATCH($A703&amp;X$1,JupData!$A$2:$A$10000&amp;JupData!$J$2:$J$10000,0),11))</f>
        <v/>
      </c>
      <c r="Y703" t="str">
        <f t="array" ref="Y703">IF($A703="","",INDEX(JupData!$A$2:$K$10000,MATCH($A703&amp;Y$1,JupData!$A$2:$A$10000&amp;JupData!$J$2:$J$10000,0),11))</f>
        <v/>
      </c>
      <c r="Z703" t="str">
        <f t="array" ref="Z703">IF($A703="","",INDEX(JupData!$A$2:$K$10000,MATCH($A703&amp;Z$1,JupData!$A$2:$A$10000&amp;JupData!$J$2:$J$10000,0),11))</f>
        <v/>
      </c>
      <c r="AA703" t="str">
        <f t="array" ref="AA703">IF($A703="","",INDEX(JupData!$A$2:$K$10000,MATCH($A703&amp;AA$1,JupData!$A$2:$A$10000&amp;JupData!$J$2:$J$10000,0),11))</f>
        <v/>
      </c>
      <c r="AB703" t="str">
        <f t="array" ref="AB703">IF($A703="","",INDEX(JupData!$A$2:$K$10000,MATCH($A703&amp;AB$1,JupData!$A$2:$A$10000&amp;JupData!$J$2:$J$10000,0),11))</f>
        <v/>
      </c>
      <c r="AC703" s="10" t="str">
        <f t="shared" si="110"/>
        <v/>
      </c>
      <c r="AD703" s="10" t="str">
        <f t="shared" si="111"/>
        <v/>
      </c>
      <c r="AE703" s="9" t="str">
        <f t="shared" si="112"/>
        <v/>
      </c>
      <c r="AF703" s="10" t="str">
        <f t="shared" si="113"/>
        <v/>
      </c>
      <c r="AG703" s="10" t="str">
        <f t="shared" si="114"/>
        <v/>
      </c>
      <c r="AH703" s="10" t="str">
        <f t="shared" si="115"/>
        <v/>
      </c>
      <c r="AI703" s="10" t="str">
        <f t="shared" si="116"/>
        <v/>
      </c>
      <c r="AJ703" s="10" t="str">
        <f t="shared" si="117"/>
        <v/>
      </c>
      <c r="AK703" s="10" t="str">
        <f t="shared" si="118"/>
        <v/>
      </c>
      <c r="AL703" s="14" t="str">
        <f t="shared" si="119"/>
        <v/>
      </c>
    </row>
    <row r="704" spans="1:38" x14ac:dyDescent="0.2">
      <c r="A704"/>
      <c r="B704" t="str">
        <f>IF($A704="","",VLOOKUP($A704,JupData!$A$2:$I$10000,4,FALSE))</f>
        <v/>
      </c>
      <c r="C704" s="7" t="str">
        <f>IF($A704="",IF(N(D704),0,""),VLOOKUP($A704,JupData!$A$2:$I$10000,7,FALSE))</f>
        <v/>
      </c>
      <c r="D704" t="str">
        <f t="shared" si="120"/>
        <v/>
      </c>
      <c r="E704" t="str">
        <f t="array" ref="E704">IF($A704="","",INDEX(JupData!$A$2:$K$10000,MATCH($A704&amp;E$1,JupData!$A$2:$A$10000&amp;JupData!$J$2:$J$10000,0),11))</f>
        <v/>
      </c>
      <c r="F704" t="str">
        <f t="array" ref="F704">IF($A704="","",INDEX(JupData!$A$2:$K$10000,MATCH($A704&amp;F$1,JupData!$A$2:$A$10000&amp;JupData!$J$2:$J$10000,0),11))</f>
        <v/>
      </c>
      <c r="G704" t="str">
        <f t="array" ref="G704">IF($A704="","",INDEX(JupData!$A$2:$K$10000,MATCH($A704&amp;G$1,JupData!$A$2:$A$10000&amp;JupData!$J$2:$J$10000,0),11))</f>
        <v/>
      </c>
      <c r="H704" t="str">
        <f t="array" ref="H704">IF($A704="","",INDEX(JupData!$A$2:$K$10000,MATCH($A704&amp;H$1,JupData!$A$2:$A$10000&amp;JupData!$J$2:$J$10000,0),11))</f>
        <v/>
      </c>
      <c r="I704" t="str">
        <f t="array" ref="I704">IF($A704="","",INDEX(JupData!$A$2:$K$10000,MATCH($A704&amp;I$1,JupData!$A$2:$A$10000&amp;JupData!$J$2:$J$10000,0),11))</f>
        <v/>
      </c>
      <c r="J704" t="str">
        <f t="array" ref="J704">IF($A704="","",INDEX(JupData!$A$2:$K$10000,MATCH($A704&amp;J$1,JupData!$A$2:$A$10000&amp;JupData!$J$2:$J$10000,0),11))</f>
        <v/>
      </c>
      <c r="K704" t="str">
        <f t="array" ref="K704">IF($A704="","",INDEX(JupData!$A$2:$K$10000,MATCH($A704&amp;K$1,JupData!$A$2:$A$10000&amp;JupData!$J$2:$J$10000,0),11))</f>
        <v/>
      </c>
      <c r="L704" t="str">
        <f t="array" ref="L704">IF($A704="","",INDEX(JupData!$A$2:$K$10000,MATCH($A704&amp;L$1,JupData!$A$2:$A$10000&amp;JupData!$J$2:$J$10000,0),11))</f>
        <v/>
      </c>
      <c r="M704" t="str">
        <f t="array" ref="M704">IF($A704="","",INDEX(JupData!$A$2:$K$10000,MATCH($A704&amp;M$1,JupData!$A$2:$A$10000&amp;JupData!$J$2:$J$10000,0),11))</f>
        <v/>
      </c>
      <c r="N704" t="str">
        <f t="array" ref="N704">IF($A704="","",INDEX(JupData!$A$2:$K$10000,MATCH($A704&amp;N$1,JupData!$A$2:$A$10000&amp;JupData!$J$2:$J$10000,0),11))</f>
        <v/>
      </c>
      <c r="O704" t="str">
        <f t="array" ref="O704">IF($A704="","",INDEX(JupData!$A$2:$K$10000,MATCH($A704&amp;O$1,JupData!$A$2:$A$10000&amp;JupData!$J$2:$J$10000,0),11))</f>
        <v/>
      </c>
      <c r="P704" t="str">
        <f t="array" ref="P704">IF($A704="","",INDEX(JupData!$A$2:$K$10000,MATCH($A704&amp;P$1,JupData!$A$2:$A$10000&amp;JupData!$J$2:$J$10000,0),11))</f>
        <v/>
      </c>
      <c r="Q704" t="str">
        <f t="array" ref="Q704">IF($A704="","",INDEX(JupData!$A$2:$K$10000,MATCH($A704&amp;Q$1,JupData!$A$2:$A$10000&amp;JupData!$J$2:$J$10000,0),11))</f>
        <v/>
      </c>
      <c r="R704" t="str">
        <f t="array" ref="R704">IF($A704="","",INDEX(JupData!$A$2:$K$10000,MATCH($A704&amp;R$1,JupData!$A$2:$A$10000&amp;JupData!$J$2:$J$10000,0),11))</f>
        <v/>
      </c>
      <c r="S704" t="str">
        <f t="array" ref="S704">IF($A704="","",INDEX(JupData!$A$2:$K$10000,MATCH($A704&amp;S$1,JupData!$A$2:$A$10000&amp;JupData!$J$2:$J$10000,0),11))</f>
        <v/>
      </c>
      <c r="T704" t="str">
        <f t="array" ref="T704">IF($A704="","",INDEX(JupData!$A$2:$K$10000,MATCH($A704&amp;T$1,JupData!$A$2:$A$10000&amp;JupData!$J$2:$J$10000,0),11))</f>
        <v/>
      </c>
      <c r="U704" t="str">
        <f t="array" ref="U704">IF($A704="","",INDEX(JupData!$A$2:$K$10000,MATCH($A704&amp;U$1,JupData!$A$2:$A$10000&amp;JupData!$J$2:$J$10000,0),11))</f>
        <v/>
      </c>
      <c r="V704" t="str">
        <f t="array" ref="V704">IF($A704="","",INDEX(JupData!$A$2:$K$10000,MATCH($A704&amp;V$1,JupData!$A$2:$A$10000&amp;JupData!$J$2:$J$10000,0),11))</f>
        <v/>
      </c>
      <c r="W704" t="str">
        <f t="array" ref="W704">IF($A704="","",INDEX(JupData!$A$2:$K$10000,MATCH($A704&amp;W$1,JupData!$A$2:$A$10000&amp;JupData!$J$2:$J$10000,0),11))</f>
        <v/>
      </c>
      <c r="X704" t="str">
        <f t="array" ref="X704">IF($A704="","",INDEX(JupData!$A$2:$K$10000,MATCH($A704&amp;X$1,JupData!$A$2:$A$10000&amp;JupData!$J$2:$J$10000,0),11))</f>
        <v/>
      </c>
      <c r="Y704" t="str">
        <f t="array" ref="Y704">IF($A704="","",INDEX(JupData!$A$2:$K$10000,MATCH($A704&amp;Y$1,JupData!$A$2:$A$10000&amp;JupData!$J$2:$J$10000,0),11))</f>
        <v/>
      </c>
      <c r="Z704" t="str">
        <f t="array" ref="Z704">IF($A704="","",INDEX(JupData!$A$2:$K$10000,MATCH($A704&amp;Z$1,JupData!$A$2:$A$10000&amp;JupData!$J$2:$J$10000,0),11))</f>
        <v/>
      </c>
      <c r="AA704" t="str">
        <f t="array" ref="AA704">IF($A704="","",INDEX(JupData!$A$2:$K$10000,MATCH($A704&amp;AA$1,JupData!$A$2:$A$10000&amp;JupData!$J$2:$J$10000,0),11))</f>
        <v/>
      </c>
      <c r="AB704" t="str">
        <f t="array" ref="AB704">IF($A704="","",INDEX(JupData!$A$2:$K$10000,MATCH($A704&amp;AB$1,JupData!$A$2:$A$10000&amp;JupData!$J$2:$J$10000,0),11))</f>
        <v/>
      </c>
      <c r="AC704" s="10" t="str">
        <f t="shared" si="110"/>
        <v/>
      </c>
      <c r="AD704" s="10" t="str">
        <f t="shared" si="111"/>
        <v/>
      </c>
      <c r="AE704" s="9" t="str">
        <f t="shared" si="112"/>
        <v/>
      </c>
      <c r="AF704" s="10" t="str">
        <f t="shared" si="113"/>
        <v/>
      </c>
      <c r="AG704" s="10" t="str">
        <f t="shared" si="114"/>
        <v/>
      </c>
      <c r="AH704" s="10" t="str">
        <f t="shared" si="115"/>
        <v/>
      </c>
      <c r="AI704" s="10" t="str">
        <f t="shared" si="116"/>
        <v/>
      </c>
      <c r="AJ704" s="10" t="str">
        <f t="shared" si="117"/>
        <v/>
      </c>
      <c r="AK704" s="10" t="str">
        <f t="shared" si="118"/>
        <v/>
      </c>
      <c r="AL704" s="14" t="str">
        <f t="shared" si="119"/>
        <v/>
      </c>
    </row>
    <row r="705" spans="1:38" x14ac:dyDescent="0.2">
      <c r="A705"/>
      <c r="B705" t="str">
        <f>IF($A705="","",VLOOKUP($A705,JupData!$A$2:$I$10000,4,FALSE))</f>
        <v/>
      </c>
      <c r="C705" s="7" t="str">
        <f>IF($A705="",IF(N(D705),0,""),VLOOKUP($A705,JupData!$A$2:$I$10000,7,FALSE))</f>
        <v/>
      </c>
      <c r="D705" t="str">
        <f t="shared" si="120"/>
        <v/>
      </c>
      <c r="E705" t="str">
        <f t="array" ref="E705">IF($A705="","",INDEX(JupData!$A$2:$K$10000,MATCH($A705&amp;E$1,JupData!$A$2:$A$10000&amp;JupData!$J$2:$J$10000,0),11))</f>
        <v/>
      </c>
      <c r="F705" t="str">
        <f t="array" ref="F705">IF($A705="","",INDEX(JupData!$A$2:$K$10000,MATCH($A705&amp;F$1,JupData!$A$2:$A$10000&amp;JupData!$J$2:$J$10000,0),11))</f>
        <v/>
      </c>
      <c r="G705" t="str">
        <f t="array" ref="G705">IF($A705="","",INDEX(JupData!$A$2:$K$10000,MATCH($A705&amp;G$1,JupData!$A$2:$A$10000&amp;JupData!$J$2:$J$10000,0),11))</f>
        <v/>
      </c>
      <c r="H705" t="str">
        <f t="array" ref="H705">IF($A705="","",INDEX(JupData!$A$2:$K$10000,MATCH($A705&amp;H$1,JupData!$A$2:$A$10000&amp;JupData!$J$2:$J$10000,0),11))</f>
        <v/>
      </c>
      <c r="I705" t="str">
        <f t="array" ref="I705">IF($A705="","",INDEX(JupData!$A$2:$K$10000,MATCH($A705&amp;I$1,JupData!$A$2:$A$10000&amp;JupData!$J$2:$J$10000,0),11))</f>
        <v/>
      </c>
      <c r="J705" t="str">
        <f t="array" ref="J705">IF($A705="","",INDEX(JupData!$A$2:$K$10000,MATCH($A705&amp;J$1,JupData!$A$2:$A$10000&amp;JupData!$J$2:$J$10000,0),11))</f>
        <v/>
      </c>
      <c r="K705" t="str">
        <f t="array" ref="K705">IF($A705="","",INDEX(JupData!$A$2:$K$10000,MATCH($A705&amp;K$1,JupData!$A$2:$A$10000&amp;JupData!$J$2:$J$10000,0),11))</f>
        <v/>
      </c>
      <c r="L705" t="str">
        <f t="array" ref="L705">IF($A705="","",INDEX(JupData!$A$2:$K$10000,MATCH($A705&amp;L$1,JupData!$A$2:$A$10000&amp;JupData!$J$2:$J$10000,0),11))</f>
        <v/>
      </c>
      <c r="M705" t="str">
        <f t="array" ref="M705">IF($A705="","",INDEX(JupData!$A$2:$K$10000,MATCH($A705&amp;M$1,JupData!$A$2:$A$10000&amp;JupData!$J$2:$J$10000,0),11))</f>
        <v/>
      </c>
      <c r="N705" t="str">
        <f t="array" ref="N705">IF($A705="","",INDEX(JupData!$A$2:$K$10000,MATCH($A705&amp;N$1,JupData!$A$2:$A$10000&amp;JupData!$J$2:$J$10000,0),11))</f>
        <v/>
      </c>
      <c r="O705" t="str">
        <f t="array" ref="O705">IF($A705="","",INDEX(JupData!$A$2:$K$10000,MATCH($A705&amp;O$1,JupData!$A$2:$A$10000&amp;JupData!$J$2:$J$10000,0),11))</f>
        <v/>
      </c>
      <c r="P705" t="str">
        <f t="array" ref="P705">IF($A705="","",INDEX(JupData!$A$2:$K$10000,MATCH($A705&amp;P$1,JupData!$A$2:$A$10000&amp;JupData!$J$2:$J$10000,0),11))</f>
        <v/>
      </c>
      <c r="Q705" t="str">
        <f t="array" ref="Q705">IF($A705="","",INDEX(JupData!$A$2:$K$10000,MATCH($A705&amp;Q$1,JupData!$A$2:$A$10000&amp;JupData!$J$2:$J$10000,0),11))</f>
        <v/>
      </c>
      <c r="R705" t="str">
        <f t="array" ref="R705">IF($A705="","",INDEX(JupData!$A$2:$K$10000,MATCH($A705&amp;R$1,JupData!$A$2:$A$10000&amp;JupData!$J$2:$J$10000,0),11))</f>
        <v/>
      </c>
      <c r="S705" t="str">
        <f t="array" ref="S705">IF($A705="","",INDEX(JupData!$A$2:$K$10000,MATCH($A705&amp;S$1,JupData!$A$2:$A$10000&amp;JupData!$J$2:$J$10000,0),11))</f>
        <v/>
      </c>
      <c r="T705" t="str">
        <f t="array" ref="T705">IF($A705="","",INDEX(JupData!$A$2:$K$10000,MATCH($A705&amp;T$1,JupData!$A$2:$A$10000&amp;JupData!$J$2:$J$10000,0),11))</f>
        <v/>
      </c>
      <c r="U705" t="str">
        <f t="array" ref="U705">IF($A705="","",INDEX(JupData!$A$2:$K$10000,MATCH($A705&amp;U$1,JupData!$A$2:$A$10000&amp;JupData!$J$2:$J$10000,0),11))</f>
        <v/>
      </c>
      <c r="V705" t="str">
        <f t="array" ref="V705">IF($A705="","",INDEX(JupData!$A$2:$K$10000,MATCH($A705&amp;V$1,JupData!$A$2:$A$10000&amp;JupData!$J$2:$J$10000,0),11))</f>
        <v/>
      </c>
      <c r="W705" t="str">
        <f t="array" ref="W705">IF($A705="","",INDEX(JupData!$A$2:$K$10000,MATCH($A705&amp;W$1,JupData!$A$2:$A$10000&amp;JupData!$J$2:$J$10000,0),11))</f>
        <v/>
      </c>
      <c r="X705" t="str">
        <f t="array" ref="X705">IF($A705="","",INDEX(JupData!$A$2:$K$10000,MATCH($A705&amp;X$1,JupData!$A$2:$A$10000&amp;JupData!$J$2:$J$10000,0),11))</f>
        <v/>
      </c>
      <c r="Y705" t="str">
        <f t="array" ref="Y705">IF($A705="","",INDEX(JupData!$A$2:$K$10000,MATCH($A705&amp;Y$1,JupData!$A$2:$A$10000&amp;JupData!$J$2:$J$10000,0),11))</f>
        <v/>
      </c>
      <c r="Z705" t="str">
        <f t="array" ref="Z705">IF($A705="","",INDEX(JupData!$A$2:$K$10000,MATCH($A705&amp;Z$1,JupData!$A$2:$A$10000&amp;JupData!$J$2:$J$10000,0),11))</f>
        <v/>
      </c>
      <c r="AA705" t="str">
        <f t="array" ref="AA705">IF($A705="","",INDEX(JupData!$A$2:$K$10000,MATCH($A705&amp;AA$1,JupData!$A$2:$A$10000&amp;JupData!$J$2:$J$10000,0),11))</f>
        <v/>
      </c>
      <c r="AB705" t="str">
        <f t="array" ref="AB705">IF($A705="","",INDEX(JupData!$A$2:$K$10000,MATCH($A705&amp;AB$1,JupData!$A$2:$A$10000&amp;JupData!$J$2:$J$10000,0),11))</f>
        <v/>
      </c>
      <c r="AC705" s="10" t="str">
        <f t="shared" si="110"/>
        <v/>
      </c>
      <c r="AD705" s="10" t="str">
        <f t="shared" si="111"/>
        <v/>
      </c>
      <c r="AE705" s="9" t="str">
        <f t="shared" si="112"/>
        <v/>
      </c>
      <c r="AF705" s="10" t="str">
        <f t="shared" si="113"/>
        <v/>
      </c>
      <c r="AG705" s="10" t="str">
        <f t="shared" si="114"/>
        <v/>
      </c>
      <c r="AH705" s="10" t="str">
        <f t="shared" si="115"/>
        <v/>
      </c>
      <c r="AI705" s="10" t="str">
        <f t="shared" si="116"/>
        <v/>
      </c>
      <c r="AJ705" s="10" t="str">
        <f t="shared" si="117"/>
        <v/>
      </c>
      <c r="AK705" s="10" t="str">
        <f t="shared" si="118"/>
        <v/>
      </c>
      <c r="AL705" s="14" t="str">
        <f t="shared" si="119"/>
        <v/>
      </c>
    </row>
    <row r="706" spans="1:38" x14ac:dyDescent="0.2">
      <c r="A706"/>
      <c r="B706" t="str">
        <f>IF($A706="","",VLOOKUP($A706,JupData!$A$2:$I$10000,4,FALSE))</f>
        <v/>
      </c>
      <c r="C706" s="7" t="str">
        <f>IF($A706="",IF(N(D706),0,""),VLOOKUP($A706,JupData!$A$2:$I$10000,7,FALSE))</f>
        <v/>
      </c>
      <c r="D706" t="str">
        <f t="shared" si="120"/>
        <v/>
      </c>
      <c r="E706" t="str">
        <f t="array" ref="E706">IF($A706="","",INDEX(JupData!$A$2:$K$10000,MATCH($A706&amp;E$1,JupData!$A$2:$A$10000&amp;JupData!$J$2:$J$10000,0),11))</f>
        <v/>
      </c>
      <c r="F706" t="str">
        <f t="array" ref="F706">IF($A706="","",INDEX(JupData!$A$2:$K$10000,MATCH($A706&amp;F$1,JupData!$A$2:$A$10000&amp;JupData!$J$2:$J$10000,0),11))</f>
        <v/>
      </c>
      <c r="G706" t="str">
        <f t="array" ref="G706">IF($A706="","",INDEX(JupData!$A$2:$K$10000,MATCH($A706&amp;G$1,JupData!$A$2:$A$10000&amp;JupData!$J$2:$J$10000,0),11))</f>
        <v/>
      </c>
      <c r="H706" t="str">
        <f t="array" ref="H706">IF($A706="","",INDEX(JupData!$A$2:$K$10000,MATCH($A706&amp;H$1,JupData!$A$2:$A$10000&amp;JupData!$J$2:$J$10000,0),11))</f>
        <v/>
      </c>
      <c r="I706" t="str">
        <f t="array" ref="I706">IF($A706="","",INDEX(JupData!$A$2:$K$10000,MATCH($A706&amp;I$1,JupData!$A$2:$A$10000&amp;JupData!$J$2:$J$10000,0),11))</f>
        <v/>
      </c>
      <c r="J706" t="str">
        <f t="array" ref="J706">IF($A706="","",INDEX(JupData!$A$2:$K$10000,MATCH($A706&amp;J$1,JupData!$A$2:$A$10000&amp;JupData!$J$2:$J$10000,0),11))</f>
        <v/>
      </c>
      <c r="K706" t="str">
        <f t="array" ref="K706">IF($A706="","",INDEX(JupData!$A$2:$K$10000,MATCH($A706&amp;K$1,JupData!$A$2:$A$10000&amp;JupData!$J$2:$J$10000,0),11))</f>
        <v/>
      </c>
      <c r="L706" t="str">
        <f t="array" ref="L706">IF($A706="","",INDEX(JupData!$A$2:$K$10000,MATCH($A706&amp;L$1,JupData!$A$2:$A$10000&amp;JupData!$J$2:$J$10000,0),11))</f>
        <v/>
      </c>
      <c r="M706" t="str">
        <f t="array" ref="M706">IF($A706="","",INDEX(JupData!$A$2:$K$10000,MATCH($A706&amp;M$1,JupData!$A$2:$A$10000&amp;JupData!$J$2:$J$10000,0),11))</f>
        <v/>
      </c>
      <c r="N706" t="str">
        <f t="array" ref="N706">IF($A706="","",INDEX(JupData!$A$2:$K$10000,MATCH($A706&amp;N$1,JupData!$A$2:$A$10000&amp;JupData!$J$2:$J$10000,0),11))</f>
        <v/>
      </c>
      <c r="O706" t="str">
        <f t="array" ref="O706">IF($A706="","",INDEX(JupData!$A$2:$K$10000,MATCH($A706&amp;O$1,JupData!$A$2:$A$10000&amp;JupData!$J$2:$J$10000,0),11))</f>
        <v/>
      </c>
      <c r="P706" t="str">
        <f t="array" ref="P706">IF($A706="","",INDEX(JupData!$A$2:$K$10000,MATCH($A706&amp;P$1,JupData!$A$2:$A$10000&amp;JupData!$J$2:$J$10000,0),11))</f>
        <v/>
      </c>
      <c r="Q706" t="str">
        <f t="array" ref="Q706">IF($A706="","",INDEX(JupData!$A$2:$K$10000,MATCH($A706&amp;Q$1,JupData!$A$2:$A$10000&amp;JupData!$J$2:$J$10000,0),11))</f>
        <v/>
      </c>
      <c r="R706" t="str">
        <f t="array" ref="R706">IF($A706="","",INDEX(JupData!$A$2:$K$10000,MATCH($A706&amp;R$1,JupData!$A$2:$A$10000&amp;JupData!$J$2:$J$10000,0),11))</f>
        <v/>
      </c>
      <c r="S706" t="str">
        <f t="array" ref="S706">IF($A706="","",INDEX(JupData!$A$2:$K$10000,MATCH($A706&amp;S$1,JupData!$A$2:$A$10000&amp;JupData!$J$2:$J$10000,0),11))</f>
        <v/>
      </c>
      <c r="T706" t="str">
        <f t="array" ref="T706">IF($A706="","",INDEX(JupData!$A$2:$K$10000,MATCH($A706&amp;T$1,JupData!$A$2:$A$10000&amp;JupData!$J$2:$J$10000,0),11))</f>
        <v/>
      </c>
      <c r="U706" t="str">
        <f t="array" ref="U706">IF($A706="","",INDEX(JupData!$A$2:$K$10000,MATCH($A706&amp;U$1,JupData!$A$2:$A$10000&amp;JupData!$J$2:$J$10000,0),11))</f>
        <v/>
      </c>
      <c r="V706" t="str">
        <f t="array" ref="V706">IF($A706="","",INDEX(JupData!$A$2:$K$10000,MATCH($A706&amp;V$1,JupData!$A$2:$A$10000&amp;JupData!$J$2:$J$10000,0),11))</f>
        <v/>
      </c>
      <c r="W706" t="str">
        <f t="array" ref="W706">IF($A706="","",INDEX(JupData!$A$2:$K$10000,MATCH($A706&amp;W$1,JupData!$A$2:$A$10000&amp;JupData!$J$2:$J$10000,0),11))</f>
        <v/>
      </c>
      <c r="X706" t="str">
        <f t="array" ref="X706">IF($A706="","",INDEX(JupData!$A$2:$K$10000,MATCH($A706&amp;X$1,JupData!$A$2:$A$10000&amp;JupData!$J$2:$J$10000,0),11))</f>
        <v/>
      </c>
      <c r="Y706" t="str">
        <f t="array" ref="Y706">IF($A706="","",INDEX(JupData!$A$2:$K$10000,MATCH($A706&amp;Y$1,JupData!$A$2:$A$10000&amp;JupData!$J$2:$J$10000,0),11))</f>
        <v/>
      </c>
      <c r="Z706" t="str">
        <f t="array" ref="Z706">IF($A706="","",INDEX(JupData!$A$2:$K$10000,MATCH($A706&amp;Z$1,JupData!$A$2:$A$10000&amp;JupData!$J$2:$J$10000,0),11))</f>
        <v/>
      </c>
      <c r="AA706" t="str">
        <f t="array" ref="AA706">IF($A706="","",INDEX(JupData!$A$2:$K$10000,MATCH($A706&amp;AA$1,JupData!$A$2:$A$10000&amp;JupData!$J$2:$J$10000,0),11))</f>
        <v/>
      </c>
      <c r="AB706" t="str">
        <f t="array" ref="AB706">IF($A706="","",INDEX(JupData!$A$2:$K$10000,MATCH($A706&amp;AB$1,JupData!$A$2:$A$10000&amp;JupData!$J$2:$J$10000,0),11))</f>
        <v/>
      </c>
      <c r="AC706" s="10" t="str">
        <f t="shared" si="110"/>
        <v/>
      </c>
      <c r="AD706" s="10" t="str">
        <f t="shared" si="111"/>
        <v/>
      </c>
      <c r="AE706" s="9" t="str">
        <f t="shared" si="112"/>
        <v/>
      </c>
      <c r="AF706" s="10" t="str">
        <f t="shared" si="113"/>
        <v/>
      </c>
      <c r="AG706" s="10" t="str">
        <f t="shared" si="114"/>
        <v/>
      </c>
      <c r="AH706" s="10" t="str">
        <f t="shared" si="115"/>
        <v/>
      </c>
      <c r="AI706" s="10" t="str">
        <f t="shared" si="116"/>
        <v/>
      </c>
      <c r="AJ706" s="10" t="str">
        <f t="shared" si="117"/>
        <v/>
      </c>
      <c r="AK706" s="10" t="str">
        <f t="shared" si="118"/>
        <v/>
      </c>
      <c r="AL706" s="14" t="str">
        <f t="shared" si="119"/>
        <v/>
      </c>
    </row>
    <row r="707" spans="1:38" x14ac:dyDescent="0.2">
      <c r="A707"/>
      <c r="B707" t="str">
        <f>IF($A707="","",VLOOKUP($A707,JupData!$A$2:$I$10000,4,FALSE))</f>
        <v/>
      </c>
      <c r="C707" s="7" t="str">
        <f>IF($A707="",IF(N(D707),0,""),VLOOKUP($A707,JupData!$A$2:$I$10000,7,FALSE))</f>
        <v/>
      </c>
      <c r="D707" t="str">
        <f t="shared" si="120"/>
        <v/>
      </c>
      <c r="E707" t="str">
        <f t="array" ref="E707">IF($A707="","",INDEX(JupData!$A$2:$K$10000,MATCH($A707&amp;E$1,JupData!$A$2:$A$10000&amp;JupData!$J$2:$J$10000,0),11))</f>
        <v/>
      </c>
      <c r="F707" t="str">
        <f t="array" ref="F707">IF($A707="","",INDEX(JupData!$A$2:$K$10000,MATCH($A707&amp;F$1,JupData!$A$2:$A$10000&amp;JupData!$J$2:$J$10000,0),11))</f>
        <v/>
      </c>
      <c r="G707" t="str">
        <f t="array" ref="G707">IF($A707="","",INDEX(JupData!$A$2:$K$10000,MATCH($A707&amp;G$1,JupData!$A$2:$A$10000&amp;JupData!$J$2:$J$10000,0),11))</f>
        <v/>
      </c>
      <c r="H707" t="str">
        <f t="array" ref="H707">IF($A707="","",INDEX(JupData!$A$2:$K$10000,MATCH($A707&amp;H$1,JupData!$A$2:$A$10000&amp;JupData!$J$2:$J$10000,0),11))</f>
        <v/>
      </c>
      <c r="I707" t="str">
        <f t="array" ref="I707">IF($A707="","",INDEX(JupData!$A$2:$K$10000,MATCH($A707&amp;I$1,JupData!$A$2:$A$10000&amp;JupData!$J$2:$J$10000,0),11))</f>
        <v/>
      </c>
      <c r="J707" t="str">
        <f t="array" ref="J707">IF($A707="","",INDEX(JupData!$A$2:$K$10000,MATCH($A707&amp;J$1,JupData!$A$2:$A$10000&amp;JupData!$J$2:$J$10000,0),11))</f>
        <v/>
      </c>
      <c r="K707" t="str">
        <f t="array" ref="K707">IF($A707="","",INDEX(JupData!$A$2:$K$10000,MATCH($A707&amp;K$1,JupData!$A$2:$A$10000&amp;JupData!$J$2:$J$10000,0),11))</f>
        <v/>
      </c>
      <c r="L707" t="str">
        <f t="array" ref="L707">IF($A707="","",INDEX(JupData!$A$2:$K$10000,MATCH($A707&amp;L$1,JupData!$A$2:$A$10000&amp;JupData!$J$2:$J$10000,0),11))</f>
        <v/>
      </c>
      <c r="M707" t="str">
        <f t="array" ref="M707">IF($A707="","",INDEX(JupData!$A$2:$K$10000,MATCH($A707&amp;M$1,JupData!$A$2:$A$10000&amp;JupData!$J$2:$J$10000,0),11))</f>
        <v/>
      </c>
      <c r="N707" t="str">
        <f t="array" ref="N707">IF($A707="","",INDEX(JupData!$A$2:$K$10000,MATCH($A707&amp;N$1,JupData!$A$2:$A$10000&amp;JupData!$J$2:$J$10000,0),11))</f>
        <v/>
      </c>
      <c r="O707" t="str">
        <f t="array" ref="O707">IF($A707="","",INDEX(JupData!$A$2:$K$10000,MATCH($A707&amp;O$1,JupData!$A$2:$A$10000&amp;JupData!$J$2:$J$10000,0),11))</f>
        <v/>
      </c>
      <c r="P707" t="str">
        <f t="array" ref="P707">IF($A707="","",INDEX(JupData!$A$2:$K$10000,MATCH($A707&amp;P$1,JupData!$A$2:$A$10000&amp;JupData!$J$2:$J$10000,0),11))</f>
        <v/>
      </c>
      <c r="Q707" t="str">
        <f t="array" ref="Q707">IF($A707="","",INDEX(JupData!$A$2:$K$10000,MATCH($A707&amp;Q$1,JupData!$A$2:$A$10000&amp;JupData!$J$2:$J$10000,0),11))</f>
        <v/>
      </c>
      <c r="R707" t="str">
        <f t="array" ref="R707">IF($A707="","",INDEX(JupData!$A$2:$K$10000,MATCH($A707&amp;R$1,JupData!$A$2:$A$10000&amp;JupData!$J$2:$J$10000,0),11))</f>
        <v/>
      </c>
      <c r="S707" t="str">
        <f t="array" ref="S707">IF($A707="","",INDEX(JupData!$A$2:$K$10000,MATCH($A707&amp;S$1,JupData!$A$2:$A$10000&amp;JupData!$J$2:$J$10000,0),11))</f>
        <v/>
      </c>
      <c r="T707" t="str">
        <f t="array" ref="T707">IF($A707="","",INDEX(JupData!$A$2:$K$10000,MATCH($A707&amp;T$1,JupData!$A$2:$A$10000&amp;JupData!$J$2:$J$10000,0),11))</f>
        <v/>
      </c>
      <c r="U707" t="str">
        <f t="array" ref="U707">IF($A707="","",INDEX(JupData!$A$2:$K$10000,MATCH($A707&amp;U$1,JupData!$A$2:$A$10000&amp;JupData!$J$2:$J$10000,0),11))</f>
        <v/>
      </c>
      <c r="V707" t="str">
        <f t="array" ref="V707">IF($A707="","",INDEX(JupData!$A$2:$K$10000,MATCH($A707&amp;V$1,JupData!$A$2:$A$10000&amp;JupData!$J$2:$J$10000,0),11))</f>
        <v/>
      </c>
      <c r="W707" t="str">
        <f t="array" ref="W707">IF($A707="","",INDEX(JupData!$A$2:$K$10000,MATCH($A707&amp;W$1,JupData!$A$2:$A$10000&amp;JupData!$J$2:$J$10000,0),11))</f>
        <v/>
      </c>
      <c r="X707" t="str">
        <f t="array" ref="X707">IF($A707="","",INDEX(JupData!$A$2:$K$10000,MATCH($A707&amp;X$1,JupData!$A$2:$A$10000&amp;JupData!$J$2:$J$10000,0),11))</f>
        <v/>
      </c>
      <c r="Y707" t="str">
        <f t="array" ref="Y707">IF($A707="","",INDEX(JupData!$A$2:$K$10000,MATCH($A707&amp;Y$1,JupData!$A$2:$A$10000&amp;JupData!$J$2:$J$10000,0),11))</f>
        <v/>
      </c>
      <c r="Z707" t="str">
        <f t="array" ref="Z707">IF($A707="","",INDEX(JupData!$A$2:$K$10000,MATCH($A707&amp;Z$1,JupData!$A$2:$A$10000&amp;JupData!$J$2:$J$10000,0),11))</f>
        <v/>
      </c>
      <c r="AA707" t="str">
        <f t="array" ref="AA707">IF($A707="","",INDEX(JupData!$A$2:$K$10000,MATCH($A707&amp;AA$1,JupData!$A$2:$A$10000&amp;JupData!$J$2:$J$10000,0),11))</f>
        <v/>
      </c>
      <c r="AB707" t="str">
        <f t="array" ref="AB707">IF($A707="","",INDEX(JupData!$A$2:$K$10000,MATCH($A707&amp;AB$1,JupData!$A$2:$A$10000&amp;JupData!$J$2:$J$10000,0),11))</f>
        <v/>
      </c>
      <c r="AC707" s="10" t="str">
        <f t="shared" ref="AC707:AC770" si="121">IF(A707="","",2*H707/40.08+2*I707/24.3+J707/22.99+K707/39.1+Y707/18.04)</f>
        <v/>
      </c>
      <c r="AD707" s="10" t="str">
        <f t="shared" ref="AD707:AD770" si="122">IF(A707="","",R707/61.02+2*S707/96.06+T707/35.45+U707/19+W707/62)</f>
        <v/>
      </c>
      <c r="AE707" s="9" t="str">
        <f t="shared" ref="AE707:AE770" si="123">IF(A707="","",IF(AD707&lt;0,((AC707+AD707)/(AC707-AD707)),((AC707-AD707)/(AC707+AD707))))</f>
        <v/>
      </c>
      <c r="AF707" s="10" t="str">
        <f t="shared" ref="AF707:AF770" si="124">IF(A707="","",(J707/22.99)/(T707/35.45))</f>
        <v/>
      </c>
      <c r="AG707" s="10" t="str">
        <f t="shared" ref="AG707:AG770" si="125">IF(A707="","",2*((H707/40.08)+(I707/24.3))/(R707/61.02))</f>
        <v/>
      </c>
      <c r="AH707" s="10" t="str">
        <f t="shared" ref="AH707:AH770" si="126">IF(A707="","",(J707/22.99)/((J707/22.99)+2*(H707/40.08)))</f>
        <v/>
      </c>
      <c r="AI707" s="10" t="str">
        <f t="shared" ref="AI707:AI770" si="127">IF(A707="","",H707/40.08)</f>
        <v/>
      </c>
      <c r="AJ707" s="10" t="str">
        <f t="shared" ref="AJ707:AJ770" si="128">IF(A707="","",S707/96.06)</f>
        <v/>
      </c>
      <c r="AK707" s="10" t="str">
        <f t="shared" ref="AK707:AK770" si="129">IF(A707="","",IF(W707&gt;=1,IF(L707&lt;0.2,IF(G707&gt;1,"A","B"),"X1"),IF(L707&gt;=0.2,IF(S707&gt;=20,IF(S707&gt;70,"C2","C1"),IF(AG707&lt;=1,"D","X3")),"X2")))</f>
        <v/>
      </c>
      <c r="AL707" s="14" t="str">
        <f t="shared" ref="AL707:AL770" si="130">IF(F707="","",(H707/40.1+I707/24.3)*5.6)</f>
        <v/>
      </c>
    </row>
    <row r="708" spans="1:38" x14ac:dyDescent="0.2">
      <c r="A708"/>
      <c r="B708" t="str">
        <f>IF($A708="","",VLOOKUP($A708,JupData!$A$2:$I$10000,4,FALSE))</f>
        <v/>
      </c>
      <c r="C708" s="7" t="str">
        <f>IF($A708="",IF(N(D708),0,""),VLOOKUP($A708,JupData!$A$2:$I$10000,7,FALSE))</f>
        <v/>
      </c>
      <c r="D708" t="str">
        <f t="shared" ref="D708:D771" si="131">IF(A708="",IF(D707&lt;20,D707+1,""),IF(B707="",1,IF(B707=B708,D707,D707+1)))</f>
        <v/>
      </c>
      <c r="E708" t="str">
        <f t="array" ref="E708">IF($A708="","",INDEX(JupData!$A$2:$K$10000,MATCH($A708&amp;E$1,JupData!$A$2:$A$10000&amp;JupData!$J$2:$J$10000,0),11))</f>
        <v/>
      </c>
      <c r="F708" t="str">
        <f t="array" ref="F708">IF($A708="","",INDEX(JupData!$A$2:$K$10000,MATCH($A708&amp;F$1,JupData!$A$2:$A$10000&amp;JupData!$J$2:$J$10000,0),11))</f>
        <v/>
      </c>
      <c r="G708" t="str">
        <f t="array" ref="G708">IF($A708="","",INDEX(JupData!$A$2:$K$10000,MATCH($A708&amp;G$1,JupData!$A$2:$A$10000&amp;JupData!$J$2:$J$10000,0),11))</f>
        <v/>
      </c>
      <c r="H708" t="str">
        <f t="array" ref="H708">IF($A708="","",INDEX(JupData!$A$2:$K$10000,MATCH($A708&amp;H$1,JupData!$A$2:$A$10000&amp;JupData!$J$2:$J$10000,0),11))</f>
        <v/>
      </c>
      <c r="I708" t="str">
        <f t="array" ref="I708">IF($A708="","",INDEX(JupData!$A$2:$K$10000,MATCH($A708&amp;I$1,JupData!$A$2:$A$10000&amp;JupData!$J$2:$J$10000,0),11))</f>
        <v/>
      </c>
      <c r="J708" t="str">
        <f t="array" ref="J708">IF($A708="","",INDEX(JupData!$A$2:$K$10000,MATCH($A708&amp;J$1,JupData!$A$2:$A$10000&amp;JupData!$J$2:$J$10000,0),11))</f>
        <v/>
      </c>
      <c r="K708" t="str">
        <f t="array" ref="K708">IF($A708="","",INDEX(JupData!$A$2:$K$10000,MATCH($A708&amp;K$1,JupData!$A$2:$A$10000&amp;JupData!$J$2:$J$10000,0),11))</f>
        <v/>
      </c>
      <c r="L708" t="str">
        <f t="array" ref="L708">IF($A708="","",INDEX(JupData!$A$2:$K$10000,MATCH($A708&amp;L$1,JupData!$A$2:$A$10000&amp;JupData!$J$2:$J$10000,0),11))</f>
        <v/>
      </c>
      <c r="M708" t="str">
        <f t="array" ref="M708">IF($A708="","",INDEX(JupData!$A$2:$K$10000,MATCH($A708&amp;M$1,JupData!$A$2:$A$10000&amp;JupData!$J$2:$J$10000,0),11))</f>
        <v/>
      </c>
      <c r="N708" t="str">
        <f t="array" ref="N708">IF($A708="","",INDEX(JupData!$A$2:$K$10000,MATCH($A708&amp;N$1,JupData!$A$2:$A$10000&amp;JupData!$J$2:$J$10000,0),11))</f>
        <v/>
      </c>
      <c r="O708" t="str">
        <f t="array" ref="O708">IF($A708="","",INDEX(JupData!$A$2:$K$10000,MATCH($A708&amp;O$1,JupData!$A$2:$A$10000&amp;JupData!$J$2:$J$10000,0),11))</f>
        <v/>
      </c>
      <c r="P708" t="str">
        <f t="array" ref="P708">IF($A708="","",INDEX(JupData!$A$2:$K$10000,MATCH($A708&amp;P$1,JupData!$A$2:$A$10000&amp;JupData!$J$2:$J$10000,0),11))</f>
        <v/>
      </c>
      <c r="Q708" t="str">
        <f t="array" ref="Q708">IF($A708="","",INDEX(JupData!$A$2:$K$10000,MATCH($A708&amp;Q$1,JupData!$A$2:$A$10000&amp;JupData!$J$2:$J$10000,0),11))</f>
        <v/>
      </c>
      <c r="R708" t="str">
        <f t="array" ref="R708">IF($A708="","",INDEX(JupData!$A$2:$K$10000,MATCH($A708&amp;R$1,JupData!$A$2:$A$10000&amp;JupData!$J$2:$J$10000,0),11))</f>
        <v/>
      </c>
      <c r="S708" t="str">
        <f t="array" ref="S708">IF($A708="","",INDEX(JupData!$A$2:$K$10000,MATCH($A708&amp;S$1,JupData!$A$2:$A$10000&amp;JupData!$J$2:$J$10000,0),11))</f>
        <v/>
      </c>
      <c r="T708" t="str">
        <f t="array" ref="T708">IF($A708="","",INDEX(JupData!$A$2:$K$10000,MATCH($A708&amp;T$1,JupData!$A$2:$A$10000&amp;JupData!$J$2:$J$10000,0),11))</f>
        <v/>
      </c>
      <c r="U708" t="str">
        <f t="array" ref="U708">IF($A708="","",INDEX(JupData!$A$2:$K$10000,MATCH($A708&amp;U$1,JupData!$A$2:$A$10000&amp;JupData!$J$2:$J$10000,0),11))</f>
        <v/>
      </c>
      <c r="V708" t="str">
        <f t="array" ref="V708">IF($A708="","",INDEX(JupData!$A$2:$K$10000,MATCH($A708&amp;V$1,JupData!$A$2:$A$10000&amp;JupData!$J$2:$J$10000,0),11))</f>
        <v/>
      </c>
      <c r="W708" t="str">
        <f t="array" ref="W708">IF($A708="","",INDEX(JupData!$A$2:$K$10000,MATCH($A708&amp;W$1,JupData!$A$2:$A$10000&amp;JupData!$J$2:$J$10000,0),11))</f>
        <v/>
      </c>
      <c r="X708" t="str">
        <f t="array" ref="X708">IF($A708="","",INDEX(JupData!$A$2:$K$10000,MATCH($A708&amp;X$1,JupData!$A$2:$A$10000&amp;JupData!$J$2:$J$10000,0),11))</f>
        <v/>
      </c>
      <c r="Y708" t="str">
        <f t="array" ref="Y708">IF($A708="","",INDEX(JupData!$A$2:$K$10000,MATCH($A708&amp;Y$1,JupData!$A$2:$A$10000&amp;JupData!$J$2:$J$10000,0),11))</f>
        <v/>
      </c>
      <c r="Z708" t="str">
        <f t="array" ref="Z708">IF($A708="","",INDEX(JupData!$A$2:$K$10000,MATCH($A708&amp;Z$1,JupData!$A$2:$A$10000&amp;JupData!$J$2:$J$10000,0),11))</f>
        <v/>
      </c>
      <c r="AA708" t="str">
        <f t="array" ref="AA708">IF($A708="","",INDEX(JupData!$A$2:$K$10000,MATCH($A708&amp;AA$1,JupData!$A$2:$A$10000&amp;JupData!$J$2:$J$10000,0),11))</f>
        <v/>
      </c>
      <c r="AB708" t="str">
        <f t="array" ref="AB708">IF($A708="","",INDEX(JupData!$A$2:$K$10000,MATCH($A708&amp;AB$1,JupData!$A$2:$A$10000&amp;JupData!$J$2:$J$10000,0),11))</f>
        <v/>
      </c>
      <c r="AC708" s="10" t="str">
        <f t="shared" si="121"/>
        <v/>
      </c>
      <c r="AD708" s="10" t="str">
        <f t="shared" si="122"/>
        <v/>
      </c>
      <c r="AE708" s="9" t="str">
        <f t="shared" si="123"/>
        <v/>
      </c>
      <c r="AF708" s="10" t="str">
        <f t="shared" si="124"/>
        <v/>
      </c>
      <c r="AG708" s="10" t="str">
        <f t="shared" si="125"/>
        <v/>
      </c>
      <c r="AH708" s="10" t="str">
        <f t="shared" si="126"/>
        <v/>
      </c>
      <c r="AI708" s="10" t="str">
        <f t="shared" si="127"/>
        <v/>
      </c>
      <c r="AJ708" s="10" t="str">
        <f t="shared" si="128"/>
        <v/>
      </c>
      <c r="AK708" s="10" t="str">
        <f t="shared" si="129"/>
        <v/>
      </c>
      <c r="AL708" s="14" t="str">
        <f t="shared" si="130"/>
        <v/>
      </c>
    </row>
    <row r="709" spans="1:38" x14ac:dyDescent="0.2">
      <c r="A709"/>
      <c r="B709" t="str">
        <f>IF($A709="","",VLOOKUP($A709,JupData!$A$2:$I$10000,4,FALSE))</f>
        <v/>
      </c>
      <c r="C709" s="7" t="str">
        <f>IF($A709="",IF(N(D709),0,""),VLOOKUP($A709,JupData!$A$2:$I$10000,7,FALSE))</f>
        <v/>
      </c>
      <c r="D709" t="str">
        <f t="shared" si="131"/>
        <v/>
      </c>
      <c r="E709" t="str">
        <f t="array" ref="E709">IF($A709="","",INDEX(JupData!$A$2:$K$10000,MATCH($A709&amp;E$1,JupData!$A$2:$A$10000&amp;JupData!$J$2:$J$10000,0),11))</f>
        <v/>
      </c>
      <c r="F709" t="str">
        <f t="array" ref="F709">IF($A709="","",INDEX(JupData!$A$2:$K$10000,MATCH($A709&amp;F$1,JupData!$A$2:$A$10000&amp;JupData!$J$2:$J$10000,0),11))</f>
        <v/>
      </c>
      <c r="G709" t="str">
        <f t="array" ref="G709">IF($A709="","",INDEX(JupData!$A$2:$K$10000,MATCH($A709&amp;G$1,JupData!$A$2:$A$10000&amp;JupData!$J$2:$J$10000,0),11))</f>
        <v/>
      </c>
      <c r="H709" t="str">
        <f t="array" ref="H709">IF($A709="","",INDEX(JupData!$A$2:$K$10000,MATCH($A709&amp;H$1,JupData!$A$2:$A$10000&amp;JupData!$J$2:$J$10000,0),11))</f>
        <v/>
      </c>
      <c r="I709" t="str">
        <f t="array" ref="I709">IF($A709="","",INDEX(JupData!$A$2:$K$10000,MATCH($A709&amp;I$1,JupData!$A$2:$A$10000&amp;JupData!$J$2:$J$10000,0),11))</f>
        <v/>
      </c>
      <c r="J709" t="str">
        <f t="array" ref="J709">IF($A709="","",INDEX(JupData!$A$2:$K$10000,MATCH($A709&amp;J$1,JupData!$A$2:$A$10000&amp;JupData!$J$2:$J$10000,0),11))</f>
        <v/>
      </c>
      <c r="K709" t="str">
        <f t="array" ref="K709">IF($A709="","",INDEX(JupData!$A$2:$K$10000,MATCH($A709&amp;K$1,JupData!$A$2:$A$10000&amp;JupData!$J$2:$J$10000,0),11))</f>
        <v/>
      </c>
      <c r="L709" t="str">
        <f t="array" ref="L709">IF($A709="","",INDEX(JupData!$A$2:$K$10000,MATCH($A709&amp;L$1,JupData!$A$2:$A$10000&amp;JupData!$J$2:$J$10000,0),11))</f>
        <v/>
      </c>
      <c r="M709" t="str">
        <f t="array" ref="M709">IF($A709="","",INDEX(JupData!$A$2:$K$10000,MATCH($A709&amp;M$1,JupData!$A$2:$A$10000&amp;JupData!$J$2:$J$10000,0),11))</f>
        <v/>
      </c>
      <c r="N709" t="str">
        <f t="array" ref="N709">IF($A709="","",INDEX(JupData!$A$2:$K$10000,MATCH($A709&amp;N$1,JupData!$A$2:$A$10000&amp;JupData!$J$2:$J$10000,0),11))</f>
        <v/>
      </c>
      <c r="O709" t="str">
        <f t="array" ref="O709">IF($A709="","",INDEX(JupData!$A$2:$K$10000,MATCH($A709&amp;O$1,JupData!$A$2:$A$10000&amp;JupData!$J$2:$J$10000,0),11))</f>
        <v/>
      </c>
      <c r="P709" t="str">
        <f t="array" ref="P709">IF($A709="","",INDEX(JupData!$A$2:$K$10000,MATCH($A709&amp;P$1,JupData!$A$2:$A$10000&amp;JupData!$J$2:$J$10000,0),11))</f>
        <v/>
      </c>
      <c r="Q709" t="str">
        <f t="array" ref="Q709">IF($A709="","",INDEX(JupData!$A$2:$K$10000,MATCH($A709&amp;Q$1,JupData!$A$2:$A$10000&amp;JupData!$J$2:$J$10000,0),11))</f>
        <v/>
      </c>
      <c r="R709" t="str">
        <f t="array" ref="R709">IF($A709="","",INDEX(JupData!$A$2:$K$10000,MATCH($A709&amp;R$1,JupData!$A$2:$A$10000&amp;JupData!$J$2:$J$10000,0),11))</f>
        <v/>
      </c>
      <c r="S709" t="str">
        <f t="array" ref="S709">IF($A709="","",INDEX(JupData!$A$2:$K$10000,MATCH($A709&amp;S$1,JupData!$A$2:$A$10000&amp;JupData!$J$2:$J$10000,0),11))</f>
        <v/>
      </c>
      <c r="T709" t="str">
        <f t="array" ref="T709">IF($A709="","",INDEX(JupData!$A$2:$K$10000,MATCH($A709&amp;T$1,JupData!$A$2:$A$10000&amp;JupData!$J$2:$J$10000,0),11))</f>
        <v/>
      </c>
      <c r="U709" t="str">
        <f t="array" ref="U709">IF($A709="","",INDEX(JupData!$A$2:$K$10000,MATCH($A709&amp;U$1,JupData!$A$2:$A$10000&amp;JupData!$J$2:$J$10000,0),11))</f>
        <v/>
      </c>
      <c r="V709" t="str">
        <f t="array" ref="V709">IF($A709="","",INDEX(JupData!$A$2:$K$10000,MATCH($A709&amp;V$1,JupData!$A$2:$A$10000&amp;JupData!$J$2:$J$10000,0),11))</f>
        <v/>
      </c>
      <c r="W709" t="str">
        <f t="array" ref="W709">IF($A709="","",INDEX(JupData!$A$2:$K$10000,MATCH($A709&amp;W$1,JupData!$A$2:$A$10000&amp;JupData!$J$2:$J$10000,0),11))</f>
        <v/>
      </c>
      <c r="X709" t="str">
        <f t="array" ref="X709">IF($A709="","",INDEX(JupData!$A$2:$K$10000,MATCH($A709&amp;X$1,JupData!$A$2:$A$10000&amp;JupData!$J$2:$J$10000,0),11))</f>
        <v/>
      </c>
      <c r="Y709" t="str">
        <f t="array" ref="Y709">IF($A709="","",INDEX(JupData!$A$2:$K$10000,MATCH($A709&amp;Y$1,JupData!$A$2:$A$10000&amp;JupData!$J$2:$J$10000,0),11))</f>
        <v/>
      </c>
      <c r="Z709" t="str">
        <f t="array" ref="Z709">IF($A709="","",INDEX(JupData!$A$2:$K$10000,MATCH($A709&amp;Z$1,JupData!$A$2:$A$10000&amp;JupData!$J$2:$J$10000,0),11))</f>
        <v/>
      </c>
      <c r="AA709" t="str">
        <f t="array" ref="AA709">IF($A709="","",INDEX(JupData!$A$2:$K$10000,MATCH($A709&amp;AA$1,JupData!$A$2:$A$10000&amp;JupData!$J$2:$J$10000,0),11))</f>
        <v/>
      </c>
      <c r="AB709" t="str">
        <f t="array" ref="AB709">IF($A709="","",INDEX(JupData!$A$2:$K$10000,MATCH($A709&amp;AB$1,JupData!$A$2:$A$10000&amp;JupData!$J$2:$J$10000,0),11))</f>
        <v/>
      </c>
      <c r="AC709" s="10" t="str">
        <f t="shared" si="121"/>
        <v/>
      </c>
      <c r="AD709" s="10" t="str">
        <f t="shared" si="122"/>
        <v/>
      </c>
      <c r="AE709" s="9" t="str">
        <f t="shared" si="123"/>
        <v/>
      </c>
      <c r="AF709" s="10" t="str">
        <f t="shared" si="124"/>
        <v/>
      </c>
      <c r="AG709" s="10" t="str">
        <f t="shared" si="125"/>
        <v/>
      </c>
      <c r="AH709" s="10" t="str">
        <f t="shared" si="126"/>
        <v/>
      </c>
      <c r="AI709" s="10" t="str">
        <f t="shared" si="127"/>
        <v/>
      </c>
      <c r="AJ709" s="10" t="str">
        <f t="shared" si="128"/>
        <v/>
      </c>
      <c r="AK709" s="10" t="str">
        <f t="shared" si="129"/>
        <v/>
      </c>
      <c r="AL709" s="14" t="str">
        <f t="shared" si="130"/>
        <v/>
      </c>
    </row>
    <row r="710" spans="1:38" x14ac:dyDescent="0.2">
      <c r="A710"/>
      <c r="B710" t="str">
        <f>IF($A710="","",VLOOKUP($A710,JupData!$A$2:$I$10000,4,FALSE))</f>
        <v/>
      </c>
      <c r="C710" s="7" t="str">
        <f>IF($A710="",IF(N(D710),0,""),VLOOKUP($A710,JupData!$A$2:$I$10000,7,FALSE))</f>
        <v/>
      </c>
      <c r="D710" t="str">
        <f t="shared" si="131"/>
        <v/>
      </c>
      <c r="E710" t="str">
        <f t="array" ref="E710">IF($A710="","",INDEX(JupData!$A$2:$K$10000,MATCH($A710&amp;E$1,JupData!$A$2:$A$10000&amp;JupData!$J$2:$J$10000,0),11))</f>
        <v/>
      </c>
      <c r="F710" t="str">
        <f t="array" ref="F710">IF($A710="","",INDEX(JupData!$A$2:$K$10000,MATCH($A710&amp;F$1,JupData!$A$2:$A$10000&amp;JupData!$J$2:$J$10000,0),11))</f>
        <v/>
      </c>
      <c r="G710" t="str">
        <f t="array" ref="G710">IF($A710="","",INDEX(JupData!$A$2:$K$10000,MATCH($A710&amp;G$1,JupData!$A$2:$A$10000&amp;JupData!$J$2:$J$10000,0),11))</f>
        <v/>
      </c>
      <c r="H710" t="str">
        <f t="array" ref="H710">IF($A710="","",INDEX(JupData!$A$2:$K$10000,MATCH($A710&amp;H$1,JupData!$A$2:$A$10000&amp;JupData!$J$2:$J$10000,0),11))</f>
        <v/>
      </c>
      <c r="I710" t="str">
        <f t="array" ref="I710">IF($A710="","",INDEX(JupData!$A$2:$K$10000,MATCH($A710&amp;I$1,JupData!$A$2:$A$10000&amp;JupData!$J$2:$J$10000,0),11))</f>
        <v/>
      </c>
      <c r="J710" t="str">
        <f t="array" ref="J710">IF($A710="","",INDEX(JupData!$A$2:$K$10000,MATCH($A710&amp;J$1,JupData!$A$2:$A$10000&amp;JupData!$J$2:$J$10000,0),11))</f>
        <v/>
      </c>
      <c r="K710" t="str">
        <f t="array" ref="K710">IF($A710="","",INDEX(JupData!$A$2:$K$10000,MATCH($A710&amp;K$1,JupData!$A$2:$A$10000&amp;JupData!$J$2:$J$10000,0),11))</f>
        <v/>
      </c>
      <c r="L710" t="str">
        <f t="array" ref="L710">IF($A710="","",INDEX(JupData!$A$2:$K$10000,MATCH($A710&amp;L$1,JupData!$A$2:$A$10000&amp;JupData!$J$2:$J$10000,0),11))</f>
        <v/>
      </c>
      <c r="M710" t="str">
        <f t="array" ref="M710">IF($A710="","",INDEX(JupData!$A$2:$K$10000,MATCH($A710&amp;M$1,JupData!$A$2:$A$10000&amp;JupData!$J$2:$J$10000,0),11))</f>
        <v/>
      </c>
      <c r="N710" t="str">
        <f t="array" ref="N710">IF($A710="","",INDEX(JupData!$A$2:$K$10000,MATCH($A710&amp;N$1,JupData!$A$2:$A$10000&amp;JupData!$J$2:$J$10000,0),11))</f>
        <v/>
      </c>
      <c r="O710" t="str">
        <f t="array" ref="O710">IF($A710="","",INDEX(JupData!$A$2:$K$10000,MATCH($A710&amp;O$1,JupData!$A$2:$A$10000&amp;JupData!$J$2:$J$10000,0),11))</f>
        <v/>
      </c>
      <c r="P710" t="str">
        <f t="array" ref="P710">IF($A710="","",INDEX(JupData!$A$2:$K$10000,MATCH($A710&amp;P$1,JupData!$A$2:$A$10000&amp;JupData!$J$2:$J$10000,0),11))</f>
        <v/>
      </c>
      <c r="Q710" t="str">
        <f t="array" ref="Q710">IF($A710="","",INDEX(JupData!$A$2:$K$10000,MATCH($A710&amp;Q$1,JupData!$A$2:$A$10000&amp;JupData!$J$2:$J$10000,0),11))</f>
        <v/>
      </c>
      <c r="R710" t="str">
        <f t="array" ref="R710">IF($A710="","",INDEX(JupData!$A$2:$K$10000,MATCH($A710&amp;R$1,JupData!$A$2:$A$10000&amp;JupData!$J$2:$J$10000,0),11))</f>
        <v/>
      </c>
      <c r="S710" t="str">
        <f t="array" ref="S710">IF($A710="","",INDEX(JupData!$A$2:$K$10000,MATCH($A710&amp;S$1,JupData!$A$2:$A$10000&amp;JupData!$J$2:$J$10000,0),11))</f>
        <v/>
      </c>
      <c r="T710" t="str">
        <f t="array" ref="T710">IF($A710="","",INDEX(JupData!$A$2:$K$10000,MATCH($A710&amp;T$1,JupData!$A$2:$A$10000&amp;JupData!$J$2:$J$10000,0),11))</f>
        <v/>
      </c>
      <c r="U710" t="str">
        <f t="array" ref="U710">IF($A710="","",INDEX(JupData!$A$2:$K$10000,MATCH($A710&amp;U$1,JupData!$A$2:$A$10000&amp;JupData!$J$2:$J$10000,0),11))</f>
        <v/>
      </c>
      <c r="V710" t="str">
        <f t="array" ref="V710">IF($A710="","",INDEX(JupData!$A$2:$K$10000,MATCH($A710&amp;V$1,JupData!$A$2:$A$10000&amp;JupData!$J$2:$J$10000,0),11))</f>
        <v/>
      </c>
      <c r="W710" t="str">
        <f t="array" ref="W710">IF($A710="","",INDEX(JupData!$A$2:$K$10000,MATCH($A710&amp;W$1,JupData!$A$2:$A$10000&amp;JupData!$J$2:$J$10000,0),11))</f>
        <v/>
      </c>
      <c r="X710" t="str">
        <f t="array" ref="X710">IF($A710="","",INDEX(JupData!$A$2:$K$10000,MATCH($A710&amp;X$1,JupData!$A$2:$A$10000&amp;JupData!$J$2:$J$10000,0),11))</f>
        <v/>
      </c>
      <c r="Y710" t="str">
        <f t="array" ref="Y710">IF($A710="","",INDEX(JupData!$A$2:$K$10000,MATCH($A710&amp;Y$1,JupData!$A$2:$A$10000&amp;JupData!$J$2:$J$10000,0),11))</f>
        <v/>
      </c>
      <c r="Z710" t="str">
        <f t="array" ref="Z710">IF($A710="","",INDEX(JupData!$A$2:$K$10000,MATCH($A710&amp;Z$1,JupData!$A$2:$A$10000&amp;JupData!$J$2:$J$10000,0),11))</f>
        <v/>
      </c>
      <c r="AA710" t="str">
        <f t="array" ref="AA710">IF($A710="","",INDEX(JupData!$A$2:$K$10000,MATCH($A710&amp;AA$1,JupData!$A$2:$A$10000&amp;JupData!$J$2:$J$10000,0),11))</f>
        <v/>
      </c>
      <c r="AB710" t="str">
        <f t="array" ref="AB710">IF($A710="","",INDEX(JupData!$A$2:$K$10000,MATCH($A710&amp;AB$1,JupData!$A$2:$A$10000&amp;JupData!$J$2:$J$10000,0),11))</f>
        <v/>
      </c>
      <c r="AC710" s="10" t="str">
        <f t="shared" si="121"/>
        <v/>
      </c>
      <c r="AD710" s="10" t="str">
        <f t="shared" si="122"/>
        <v/>
      </c>
      <c r="AE710" s="9" t="str">
        <f t="shared" si="123"/>
        <v/>
      </c>
      <c r="AF710" s="10" t="str">
        <f t="shared" si="124"/>
        <v/>
      </c>
      <c r="AG710" s="10" t="str">
        <f t="shared" si="125"/>
        <v/>
      </c>
      <c r="AH710" s="10" t="str">
        <f t="shared" si="126"/>
        <v/>
      </c>
      <c r="AI710" s="10" t="str">
        <f t="shared" si="127"/>
        <v/>
      </c>
      <c r="AJ710" s="10" t="str">
        <f t="shared" si="128"/>
        <v/>
      </c>
      <c r="AK710" s="10" t="str">
        <f t="shared" si="129"/>
        <v/>
      </c>
      <c r="AL710" s="14" t="str">
        <f t="shared" si="130"/>
        <v/>
      </c>
    </row>
    <row r="711" spans="1:38" x14ac:dyDescent="0.2">
      <c r="A711"/>
      <c r="B711" t="str">
        <f>IF($A711="","",VLOOKUP($A711,JupData!$A$2:$I$10000,4,FALSE))</f>
        <v/>
      </c>
      <c r="C711" s="7" t="str">
        <f>IF($A711="",IF(N(D711),0,""),VLOOKUP($A711,JupData!$A$2:$I$10000,7,FALSE))</f>
        <v/>
      </c>
      <c r="D711" t="str">
        <f t="shared" si="131"/>
        <v/>
      </c>
      <c r="E711" t="str">
        <f t="array" ref="E711">IF($A711="","",INDEX(JupData!$A$2:$K$10000,MATCH($A711&amp;E$1,JupData!$A$2:$A$10000&amp;JupData!$J$2:$J$10000,0),11))</f>
        <v/>
      </c>
      <c r="F711" t="str">
        <f t="array" ref="F711">IF($A711="","",INDEX(JupData!$A$2:$K$10000,MATCH($A711&amp;F$1,JupData!$A$2:$A$10000&amp;JupData!$J$2:$J$10000,0),11))</f>
        <v/>
      </c>
      <c r="G711" t="str">
        <f t="array" ref="G711">IF($A711="","",INDEX(JupData!$A$2:$K$10000,MATCH($A711&amp;G$1,JupData!$A$2:$A$10000&amp;JupData!$J$2:$J$10000,0),11))</f>
        <v/>
      </c>
      <c r="H711" t="str">
        <f t="array" ref="H711">IF($A711="","",INDEX(JupData!$A$2:$K$10000,MATCH($A711&amp;H$1,JupData!$A$2:$A$10000&amp;JupData!$J$2:$J$10000,0),11))</f>
        <v/>
      </c>
      <c r="I711" t="str">
        <f t="array" ref="I711">IF($A711="","",INDEX(JupData!$A$2:$K$10000,MATCH($A711&amp;I$1,JupData!$A$2:$A$10000&amp;JupData!$J$2:$J$10000,0),11))</f>
        <v/>
      </c>
      <c r="J711" t="str">
        <f t="array" ref="J711">IF($A711="","",INDEX(JupData!$A$2:$K$10000,MATCH($A711&amp;J$1,JupData!$A$2:$A$10000&amp;JupData!$J$2:$J$10000,0),11))</f>
        <v/>
      </c>
      <c r="K711" t="str">
        <f t="array" ref="K711">IF($A711="","",INDEX(JupData!$A$2:$K$10000,MATCH($A711&amp;K$1,JupData!$A$2:$A$10000&amp;JupData!$J$2:$J$10000,0),11))</f>
        <v/>
      </c>
      <c r="L711" t="str">
        <f t="array" ref="L711">IF($A711="","",INDEX(JupData!$A$2:$K$10000,MATCH($A711&amp;L$1,JupData!$A$2:$A$10000&amp;JupData!$J$2:$J$10000,0),11))</f>
        <v/>
      </c>
      <c r="M711" t="str">
        <f t="array" ref="M711">IF($A711="","",INDEX(JupData!$A$2:$K$10000,MATCH($A711&amp;M$1,JupData!$A$2:$A$10000&amp;JupData!$J$2:$J$10000,0),11))</f>
        <v/>
      </c>
      <c r="N711" t="str">
        <f t="array" ref="N711">IF($A711="","",INDEX(JupData!$A$2:$K$10000,MATCH($A711&amp;N$1,JupData!$A$2:$A$10000&amp;JupData!$J$2:$J$10000,0),11))</f>
        <v/>
      </c>
      <c r="O711" t="str">
        <f t="array" ref="O711">IF($A711="","",INDEX(JupData!$A$2:$K$10000,MATCH($A711&amp;O$1,JupData!$A$2:$A$10000&amp;JupData!$J$2:$J$10000,0),11))</f>
        <v/>
      </c>
      <c r="P711" t="str">
        <f t="array" ref="P711">IF($A711="","",INDEX(JupData!$A$2:$K$10000,MATCH($A711&amp;P$1,JupData!$A$2:$A$10000&amp;JupData!$J$2:$J$10000,0),11))</f>
        <v/>
      </c>
      <c r="Q711" t="str">
        <f t="array" ref="Q711">IF($A711="","",INDEX(JupData!$A$2:$K$10000,MATCH($A711&amp;Q$1,JupData!$A$2:$A$10000&amp;JupData!$J$2:$J$10000,0),11))</f>
        <v/>
      </c>
      <c r="R711" t="str">
        <f t="array" ref="R711">IF($A711="","",INDEX(JupData!$A$2:$K$10000,MATCH($A711&amp;R$1,JupData!$A$2:$A$10000&amp;JupData!$J$2:$J$10000,0),11))</f>
        <v/>
      </c>
      <c r="S711" t="str">
        <f t="array" ref="S711">IF($A711="","",INDEX(JupData!$A$2:$K$10000,MATCH($A711&amp;S$1,JupData!$A$2:$A$10000&amp;JupData!$J$2:$J$10000,0),11))</f>
        <v/>
      </c>
      <c r="T711" t="str">
        <f t="array" ref="T711">IF($A711="","",INDEX(JupData!$A$2:$K$10000,MATCH($A711&amp;T$1,JupData!$A$2:$A$10000&amp;JupData!$J$2:$J$10000,0),11))</f>
        <v/>
      </c>
      <c r="U711" t="str">
        <f t="array" ref="U711">IF($A711="","",INDEX(JupData!$A$2:$K$10000,MATCH($A711&amp;U$1,JupData!$A$2:$A$10000&amp;JupData!$J$2:$J$10000,0),11))</f>
        <v/>
      </c>
      <c r="V711" t="str">
        <f t="array" ref="V711">IF($A711="","",INDEX(JupData!$A$2:$K$10000,MATCH($A711&amp;V$1,JupData!$A$2:$A$10000&amp;JupData!$J$2:$J$10000,0),11))</f>
        <v/>
      </c>
      <c r="W711" t="str">
        <f t="array" ref="W711">IF($A711="","",INDEX(JupData!$A$2:$K$10000,MATCH($A711&amp;W$1,JupData!$A$2:$A$10000&amp;JupData!$J$2:$J$10000,0),11))</f>
        <v/>
      </c>
      <c r="X711" t="str">
        <f t="array" ref="X711">IF($A711="","",INDEX(JupData!$A$2:$K$10000,MATCH($A711&amp;X$1,JupData!$A$2:$A$10000&amp;JupData!$J$2:$J$10000,0),11))</f>
        <v/>
      </c>
      <c r="Y711" t="str">
        <f t="array" ref="Y711">IF($A711="","",INDEX(JupData!$A$2:$K$10000,MATCH($A711&amp;Y$1,JupData!$A$2:$A$10000&amp;JupData!$J$2:$J$10000,0),11))</f>
        <v/>
      </c>
      <c r="Z711" t="str">
        <f t="array" ref="Z711">IF($A711="","",INDEX(JupData!$A$2:$K$10000,MATCH($A711&amp;Z$1,JupData!$A$2:$A$10000&amp;JupData!$J$2:$J$10000,0),11))</f>
        <v/>
      </c>
      <c r="AA711" t="str">
        <f t="array" ref="AA711">IF($A711="","",INDEX(JupData!$A$2:$K$10000,MATCH($A711&amp;AA$1,JupData!$A$2:$A$10000&amp;JupData!$J$2:$J$10000,0),11))</f>
        <v/>
      </c>
      <c r="AB711" t="str">
        <f t="array" ref="AB711">IF($A711="","",INDEX(JupData!$A$2:$K$10000,MATCH($A711&amp;AB$1,JupData!$A$2:$A$10000&amp;JupData!$J$2:$J$10000,0),11))</f>
        <v/>
      </c>
      <c r="AC711" s="10" t="str">
        <f t="shared" si="121"/>
        <v/>
      </c>
      <c r="AD711" s="10" t="str">
        <f t="shared" si="122"/>
        <v/>
      </c>
      <c r="AE711" s="9" t="str">
        <f t="shared" si="123"/>
        <v/>
      </c>
      <c r="AF711" s="10" t="str">
        <f t="shared" si="124"/>
        <v/>
      </c>
      <c r="AG711" s="10" t="str">
        <f t="shared" si="125"/>
        <v/>
      </c>
      <c r="AH711" s="10" t="str">
        <f t="shared" si="126"/>
        <v/>
      </c>
      <c r="AI711" s="10" t="str">
        <f t="shared" si="127"/>
        <v/>
      </c>
      <c r="AJ711" s="10" t="str">
        <f t="shared" si="128"/>
        <v/>
      </c>
      <c r="AK711" s="10" t="str">
        <f t="shared" si="129"/>
        <v/>
      </c>
      <c r="AL711" s="14" t="str">
        <f t="shared" si="130"/>
        <v/>
      </c>
    </row>
    <row r="712" spans="1:38" x14ac:dyDescent="0.2">
      <c r="A712"/>
      <c r="B712" t="str">
        <f>IF($A712="","",VLOOKUP($A712,JupData!$A$2:$I$10000,4,FALSE))</f>
        <v/>
      </c>
      <c r="C712" s="7" t="str">
        <f>IF($A712="",IF(N(D712),0,""),VLOOKUP($A712,JupData!$A$2:$I$10000,7,FALSE))</f>
        <v/>
      </c>
      <c r="D712" t="str">
        <f t="shared" si="131"/>
        <v/>
      </c>
      <c r="E712" t="str">
        <f t="array" ref="E712">IF($A712="","",INDEX(JupData!$A$2:$K$10000,MATCH($A712&amp;E$1,JupData!$A$2:$A$10000&amp;JupData!$J$2:$J$10000,0),11))</f>
        <v/>
      </c>
      <c r="F712" t="str">
        <f t="array" ref="F712">IF($A712="","",INDEX(JupData!$A$2:$K$10000,MATCH($A712&amp;F$1,JupData!$A$2:$A$10000&amp;JupData!$J$2:$J$10000,0),11))</f>
        <v/>
      </c>
      <c r="G712" t="str">
        <f t="array" ref="G712">IF($A712="","",INDEX(JupData!$A$2:$K$10000,MATCH($A712&amp;G$1,JupData!$A$2:$A$10000&amp;JupData!$J$2:$J$10000,0),11))</f>
        <v/>
      </c>
      <c r="H712" t="str">
        <f t="array" ref="H712">IF($A712="","",INDEX(JupData!$A$2:$K$10000,MATCH($A712&amp;H$1,JupData!$A$2:$A$10000&amp;JupData!$J$2:$J$10000,0),11))</f>
        <v/>
      </c>
      <c r="I712" t="str">
        <f t="array" ref="I712">IF($A712="","",INDEX(JupData!$A$2:$K$10000,MATCH($A712&amp;I$1,JupData!$A$2:$A$10000&amp;JupData!$J$2:$J$10000,0),11))</f>
        <v/>
      </c>
      <c r="J712" t="str">
        <f t="array" ref="J712">IF($A712="","",INDEX(JupData!$A$2:$K$10000,MATCH($A712&amp;J$1,JupData!$A$2:$A$10000&amp;JupData!$J$2:$J$10000,0),11))</f>
        <v/>
      </c>
      <c r="K712" t="str">
        <f t="array" ref="K712">IF($A712="","",INDEX(JupData!$A$2:$K$10000,MATCH($A712&amp;K$1,JupData!$A$2:$A$10000&amp;JupData!$J$2:$J$10000,0),11))</f>
        <v/>
      </c>
      <c r="L712" t="str">
        <f t="array" ref="L712">IF($A712="","",INDEX(JupData!$A$2:$K$10000,MATCH($A712&amp;L$1,JupData!$A$2:$A$10000&amp;JupData!$J$2:$J$10000,0),11))</f>
        <v/>
      </c>
      <c r="M712" t="str">
        <f t="array" ref="M712">IF($A712="","",INDEX(JupData!$A$2:$K$10000,MATCH($A712&amp;M$1,JupData!$A$2:$A$10000&amp;JupData!$J$2:$J$10000,0),11))</f>
        <v/>
      </c>
      <c r="N712" t="str">
        <f t="array" ref="N712">IF($A712="","",INDEX(JupData!$A$2:$K$10000,MATCH($A712&amp;N$1,JupData!$A$2:$A$10000&amp;JupData!$J$2:$J$10000,0),11))</f>
        <v/>
      </c>
      <c r="O712" t="str">
        <f t="array" ref="O712">IF($A712="","",INDEX(JupData!$A$2:$K$10000,MATCH($A712&amp;O$1,JupData!$A$2:$A$10000&amp;JupData!$J$2:$J$10000,0),11))</f>
        <v/>
      </c>
      <c r="P712" t="str">
        <f t="array" ref="P712">IF($A712="","",INDEX(JupData!$A$2:$K$10000,MATCH($A712&amp;P$1,JupData!$A$2:$A$10000&amp;JupData!$J$2:$J$10000,0),11))</f>
        <v/>
      </c>
      <c r="Q712" t="str">
        <f t="array" ref="Q712">IF($A712="","",INDEX(JupData!$A$2:$K$10000,MATCH($A712&amp;Q$1,JupData!$A$2:$A$10000&amp;JupData!$J$2:$J$10000,0),11))</f>
        <v/>
      </c>
      <c r="R712" t="str">
        <f t="array" ref="R712">IF($A712="","",INDEX(JupData!$A$2:$K$10000,MATCH($A712&amp;R$1,JupData!$A$2:$A$10000&amp;JupData!$J$2:$J$10000,0),11))</f>
        <v/>
      </c>
      <c r="S712" t="str">
        <f t="array" ref="S712">IF($A712="","",INDEX(JupData!$A$2:$K$10000,MATCH($A712&amp;S$1,JupData!$A$2:$A$10000&amp;JupData!$J$2:$J$10000,0),11))</f>
        <v/>
      </c>
      <c r="T712" t="str">
        <f t="array" ref="T712">IF($A712="","",INDEX(JupData!$A$2:$K$10000,MATCH($A712&amp;T$1,JupData!$A$2:$A$10000&amp;JupData!$J$2:$J$10000,0),11))</f>
        <v/>
      </c>
      <c r="U712" t="str">
        <f t="array" ref="U712">IF($A712="","",INDEX(JupData!$A$2:$K$10000,MATCH($A712&amp;U$1,JupData!$A$2:$A$10000&amp;JupData!$J$2:$J$10000,0),11))</f>
        <v/>
      </c>
      <c r="V712" t="str">
        <f t="array" ref="V712">IF($A712="","",INDEX(JupData!$A$2:$K$10000,MATCH($A712&amp;V$1,JupData!$A$2:$A$10000&amp;JupData!$J$2:$J$10000,0),11))</f>
        <v/>
      </c>
      <c r="W712" t="str">
        <f t="array" ref="W712">IF($A712="","",INDEX(JupData!$A$2:$K$10000,MATCH($A712&amp;W$1,JupData!$A$2:$A$10000&amp;JupData!$J$2:$J$10000,0),11))</f>
        <v/>
      </c>
      <c r="X712" t="str">
        <f t="array" ref="X712">IF($A712="","",INDEX(JupData!$A$2:$K$10000,MATCH($A712&amp;X$1,JupData!$A$2:$A$10000&amp;JupData!$J$2:$J$10000,0),11))</f>
        <v/>
      </c>
      <c r="Y712" t="str">
        <f t="array" ref="Y712">IF($A712="","",INDEX(JupData!$A$2:$K$10000,MATCH($A712&amp;Y$1,JupData!$A$2:$A$10000&amp;JupData!$J$2:$J$10000,0),11))</f>
        <v/>
      </c>
      <c r="Z712" t="str">
        <f t="array" ref="Z712">IF($A712="","",INDEX(JupData!$A$2:$K$10000,MATCH($A712&amp;Z$1,JupData!$A$2:$A$10000&amp;JupData!$J$2:$J$10000,0),11))</f>
        <v/>
      </c>
      <c r="AA712" t="str">
        <f t="array" ref="AA712">IF($A712="","",INDEX(JupData!$A$2:$K$10000,MATCH($A712&amp;AA$1,JupData!$A$2:$A$10000&amp;JupData!$J$2:$J$10000,0),11))</f>
        <v/>
      </c>
      <c r="AB712" t="str">
        <f t="array" ref="AB712">IF($A712="","",INDEX(JupData!$A$2:$K$10000,MATCH($A712&amp;AB$1,JupData!$A$2:$A$10000&amp;JupData!$J$2:$J$10000,0),11))</f>
        <v/>
      </c>
      <c r="AC712" s="10" t="str">
        <f t="shared" si="121"/>
        <v/>
      </c>
      <c r="AD712" s="10" t="str">
        <f t="shared" si="122"/>
        <v/>
      </c>
      <c r="AE712" s="9" t="str">
        <f t="shared" si="123"/>
        <v/>
      </c>
      <c r="AF712" s="10" t="str">
        <f t="shared" si="124"/>
        <v/>
      </c>
      <c r="AG712" s="10" t="str">
        <f t="shared" si="125"/>
        <v/>
      </c>
      <c r="AH712" s="10" t="str">
        <f t="shared" si="126"/>
        <v/>
      </c>
      <c r="AI712" s="10" t="str">
        <f t="shared" si="127"/>
        <v/>
      </c>
      <c r="AJ712" s="10" t="str">
        <f t="shared" si="128"/>
        <v/>
      </c>
      <c r="AK712" s="10" t="str">
        <f t="shared" si="129"/>
        <v/>
      </c>
      <c r="AL712" s="14" t="str">
        <f t="shared" si="130"/>
        <v/>
      </c>
    </row>
    <row r="713" spans="1:38" x14ac:dyDescent="0.2">
      <c r="A713"/>
      <c r="B713" t="str">
        <f>IF($A713="","",VLOOKUP($A713,JupData!$A$2:$I$10000,4,FALSE))</f>
        <v/>
      </c>
      <c r="C713" s="7" t="str">
        <f>IF($A713="",IF(N(D713),0,""),VLOOKUP($A713,JupData!$A$2:$I$10000,7,FALSE))</f>
        <v/>
      </c>
      <c r="D713" t="str">
        <f t="shared" si="131"/>
        <v/>
      </c>
      <c r="E713" t="str">
        <f t="array" ref="E713">IF($A713="","",INDEX(JupData!$A$2:$K$10000,MATCH($A713&amp;E$1,JupData!$A$2:$A$10000&amp;JupData!$J$2:$J$10000,0),11))</f>
        <v/>
      </c>
      <c r="F713" t="str">
        <f t="array" ref="F713">IF($A713="","",INDEX(JupData!$A$2:$K$10000,MATCH($A713&amp;F$1,JupData!$A$2:$A$10000&amp;JupData!$J$2:$J$10000,0),11))</f>
        <v/>
      </c>
      <c r="G713" t="str">
        <f t="array" ref="G713">IF($A713="","",INDEX(JupData!$A$2:$K$10000,MATCH($A713&amp;G$1,JupData!$A$2:$A$10000&amp;JupData!$J$2:$J$10000,0),11))</f>
        <v/>
      </c>
      <c r="H713" t="str">
        <f t="array" ref="H713">IF($A713="","",INDEX(JupData!$A$2:$K$10000,MATCH($A713&amp;H$1,JupData!$A$2:$A$10000&amp;JupData!$J$2:$J$10000,0),11))</f>
        <v/>
      </c>
      <c r="I713" t="str">
        <f t="array" ref="I713">IF($A713="","",INDEX(JupData!$A$2:$K$10000,MATCH($A713&amp;I$1,JupData!$A$2:$A$10000&amp;JupData!$J$2:$J$10000,0),11))</f>
        <v/>
      </c>
      <c r="J713" t="str">
        <f t="array" ref="J713">IF($A713="","",INDEX(JupData!$A$2:$K$10000,MATCH($A713&amp;J$1,JupData!$A$2:$A$10000&amp;JupData!$J$2:$J$10000,0),11))</f>
        <v/>
      </c>
      <c r="K713" t="str">
        <f t="array" ref="K713">IF($A713="","",INDEX(JupData!$A$2:$K$10000,MATCH($A713&amp;K$1,JupData!$A$2:$A$10000&amp;JupData!$J$2:$J$10000,0),11))</f>
        <v/>
      </c>
      <c r="L713" t="str">
        <f t="array" ref="L713">IF($A713="","",INDEX(JupData!$A$2:$K$10000,MATCH($A713&amp;L$1,JupData!$A$2:$A$10000&amp;JupData!$J$2:$J$10000,0),11))</f>
        <v/>
      </c>
      <c r="M713" t="str">
        <f t="array" ref="M713">IF($A713="","",INDEX(JupData!$A$2:$K$10000,MATCH($A713&amp;M$1,JupData!$A$2:$A$10000&amp;JupData!$J$2:$J$10000,0),11))</f>
        <v/>
      </c>
      <c r="N713" t="str">
        <f t="array" ref="N713">IF($A713="","",INDEX(JupData!$A$2:$K$10000,MATCH($A713&amp;N$1,JupData!$A$2:$A$10000&amp;JupData!$J$2:$J$10000,0),11))</f>
        <v/>
      </c>
      <c r="O713" t="str">
        <f t="array" ref="O713">IF($A713="","",INDEX(JupData!$A$2:$K$10000,MATCH($A713&amp;O$1,JupData!$A$2:$A$10000&amp;JupData!$J$2:$J$10000,0),11))</f>
        <v/>
      </c>
      <c r="P713" t="str">
        <f t="array" ref="P713">IF($A713="","",INDEX(JupData!$A$2:$K$10000,MATCH($A713&amp;P$1,JupData!$A$2:$A$10000&amp;JupData!$J$2:$J$10000,0),11))</f>
        <v/>
      </c>
      <c r="Q713" t="str">
        <f t="array" ref="Q713">IF($A713="","",INDEX(JupData!$A$2:$K$10000,MATCH($A713&amp;Q$1,JupData!$A$2:$A$10000&amp;JupData!$J$2:$J$10000,0),11))</f>
        <v/>
      </c>
      <c r="R713" t="str">
        <f t="array" ref="R713">IF($A713="","",INDEX(JupData!$A$2:$K$10000,MATCH($A713&amp;R$1,JupData!$A$2:$A$10000&amp;JupData!$J$2:$J$10000,0),11))</f>
        <v/>
      </c>
      <c r="S713" t="str">
        <f t="array" ref="S713">IF($A713="","",INDEX(JupData!$A$2:$K$10000,MATCH($A713&amp;S$1,JupData!$A$2:$A$10000&amp;JupData!$J$2:$J$10000,0),11))</f>
        <v/>
      </c>
      <c r="T713" t="str">
        <f t="array" ref="T713">IF($A713="","",INDEX(JupData!$A$2:$K$10000,MATCH($A713&amp;T$1,JupData!$A$2:$A$10000&amp;JupData!$J$2:$J$10000,0),11))</f>
        <v/>
      </c>
      <c r="U713" t="str">
        <f t="array" ref="U713">IF($A713="","",INDEX(JupData!$A$2:$K$10000,MATCH($A713&amp;U$1,JupData!$A$2:$A$10000&amp;JupData!$J$2:$J$10000,0),11))</f>
        <v/>
      </c>
      <c r="V713" t="str">
        <f t="array" ref="V713">IF($A713="","",INDEX(JupData!$A$2:$K$10000,MATCH($A713&amp;V$1,JupData!$A$2:$A$10000&amp;JupData!$J$2:$J$10000,0),11))</f>
        <v/>
      </c>
      <c r="W713" t="str">
        <f t="array" ref="W713">IF($A713="","",INDEX(JupData!$A$2:$K$10000,MATCH($A713&amp;W$1,JupData!$A$2:$A$10000&amp;JupData!$J$2:$J$10000,0),11))</f>
        <v/>
      </c>
      <c r="X713" t="str">
        <f t="array" ref="X713">IF($A713="","",INDEX(JupData!$A$2:$K$10000,MATCH($A713&amp;X$1,JupData!$A$2:$A$10000&amp;JupData!$J$2:$J$10000,0),11))</f>
        <v/>
      </c>
      <c r="Y713" t="str">
        <f t="array" ref="Y713">IF($A713="","",INDEX(JupData!$A$2:$K$10000,MATCH($A713&amp;Y$1,JupData!$A$2:$A$10000&amp;JupData!$J$2:$J$10000,0),11))</f>
        <v/>
      </c>
      <c r="Z713" t="str">
        <f t="array" ref="Z713">IF($A713="","",INDEX(JupData!$A$2:$K$10000,MATCH($A713&amp;Z$1,JupData!$A$2:$A$10000&amp;JupData!$J$2:$J$10000,0),11))</f>
        <v/>
      </c>
      <c r="AA713" t="str">
        <f t="array" ref="AA713">IF($A713="","",INDEX(JupData!$A$2:$K$10000,MATCH($A713&amp;AA$1,JupData!$A$2:$A$10000&amp;JupData!$J$2:$J$10000,0),11))</f>
        <v/>
      </c>
      <c r="AB713" t="str">
        <f t="array" ref="AB713">IF($A713="","",INDEX(JupData!$A$2:$K$10000,MATCH($A713&amp;AB$1,JupData!$A$2:$A$10000&amp;JupData!$J$2:$J$10000,0),11))</f>
        <v/>
      </c>
      <c r="AC713" s="10" t="str">
        <f t="shared" si="121"/>
        <v/>
      </c>
      <c r="AD713" s="10" t="str">
        <f t="shared" si="122"/>
        <v/>
      </c>
      <c r="AE713" s="9" t="str">
        <f t="shared" si="123"/>
        <v/>
      </c>
      <c r="AF713" s="10" t="str">
        <f t="shared" si="124"/>
        <v/>
      </c>
      <c r="AG713" s="10" t="str">
        <f t="shared" si="125"/>
        <v/>
      </c>
      <c r="AH713" s="10" t="str">
        <f t="shared" si="126"/>
        <v/>
      </c>
      <c r="AI713" s="10" t="str">
        <f t="shared" si="127"/>
        <v/>
      </c>
      <c r="AJ713" s="10" t="str">
        <f t="shared" si="128"/>
        <v/>
      </c>
      <c r="AK713" s="10" t="str">
        <f t="shared" si="129"/>
        <v/>
      </c>
      <c r="AL713" s="14" t="str">
        <f t="shared" si="130"/>
        <v/>
      </c>
    </row>
    <row r="714" spans="1:38" x14ac:dyDescent="0.2">
      <c r="A714"/>
      <c r="B714" t="str">
        <f>IF($A714="","",VLOOKUP($A714,JupData!$A$2:$I$10000,4,FALSE))</f>
        <v/>
      </c>
      <c r="C714" s="7" t="str">
        <f>IF($A714="",IF(N(D714),0,""),VLOOKUP($A714,JupData!$A$2:$I$10000,7,FALSE))</f>
        <v/>
      </c>
      <c r="D714" t="str">
        <f t="shared" si="131"/>
        <v/>
      </c>
      <c r="E714" t="str">
        <f t="array" ref="E714">IF($A714="","",INDEX(JupData!$A$2:$K$10000,MATCH($A714&amp;E$1,JupData!$A$2:$A$10000&amp;JupData!$J$2:$J$10000,0),11))</f>
        <v/>
      </c>
      <c r="F714" t="str">
        <f t="array" ref="F714">IF($A714="","",INDEX(JupData!$A$2:$K$10000,MATCH($A714&amp;F$1,JupData!$A$2:$A$10000&amp;JupData!$J$2:$J$10000,0),11))</f>
        <v/>
      </c>
      <c r="G714" t="str">
        <f t="array" ref="G714">IF($A714="","",INDEX(JupData!$A$2:$K$10000,MATCH($A714&amp;G$1,JupData!$A$2:$A$10000&amp;JupData!$J$2:$J$10000,0),11))</f>
        <v/>
      </c>
      <c r="H714" t="str">
        <f t="array" ref="H714">IF($A714="","",INDEX(JupData!$A$2:$K$10000,MATCH($A714&amp;H$1,JupData!$A$2:$A$10000&amp;JupData!$J$2:$J$10000,0),11))</f>
        <v/>
      </c>
      <c r="I714" t="str">
        <f t="array" ref="I714">IF($A714="","",INDEX(JupData!$A$2:$K$10000,MATCH($A714&amp;I$1,JupData!$A$2:$A$10000&amp;JupData!$J$2:$J$10000,0),11))</f>
        <v/>
      </c>
      <c r="J714" t="str">
        <f t="array" ref="J714">IF($A714="","",INDEX(JupData!$A$2:$K$10000,MATCH($A714&amp;J$1,JupData!$A$2:$A$10000&amp;JupData!$J$2:$J$10000,0),11))</f>
        <v/>
      </c>
      <c r="K714" t="str">
        <f t="array" ref="K714">IF($A714="","",INDEX(JupData!$A$2:$K$10000,MATCH($A714&amp;K$1,JupData!$A$2:$A$10000&amp;JupData!$J$2:$J$10000,0),11))</f>
        <v/>
      </c>
      <c r="L714" t="str">
        <f t="array" ref="L714">IF($A714="","",INDEX(JupData!$A$2:$K$10000,MATCH($A714&amp;L$1,JupData!$A$2:$A$10000&amp;JupData!$J$2:$J$10000,0),11))</f>
        <v/>
      </c>
      <c r="M714" t="str">
        <f t="array" ref="M714">IF($A714="","",INDEX(JupData!$A$2:$K$10000,MATCH($A714&amp;M$1,JupData!$A$2:$A$10000&amp;JupData!$J$2:$J$10000,0),11))</f>
        <v/>
      </c>
      <c r="N714" t="str">
        <f t="array" ref="N714">IF($A714="","",INDEX(JupData!$A$2:$K$10000,MATCH($A714&amp;N$1,JupData!$A$2:$A$10000&amp;JupData!$J$2:$J$10000,0),11))</f>
        <v/>
      </c>
      <c r="O714" t="str">
        <f t="array" ref="O714">IF($A714="","",INDEX(JupData!$A$2:$K$10000,MATCH($A714&amp;O$1,JupData!$A$2:$A$10000&amp;JupData!$J$2:$J$10000,0),11))</f>
        <v/>
      </c>
      <c r="P714" t="str">
        <f t="array" ref="P714">IF($A714="","",INDEX(JupData!$A$2:$K$10000,MATCH($A714&amp;P$1,JupData!$A$2:$A$10000&amp;JupData!$J$2:$J$10000,0),11))</f>
        <v/>
      </c>
      <c r="Q714" t="str">
        <f t="array" ref="Q714">IF($A714="","",INDEX(JupData!$A$2:$K$10000,MATCH($A714&amp;Q$1,JupData!$A$2:$A$10000&amp;JupData!$J$2:$J$10000,0),11))</f>
        <v/>
      </c>
      <c r="R714" t="str">
        <f t="array" ref="R714">IF($A714="","",INDEX(JupData!$A$2:$K$10000,MATCH($A714&amp;R$1,JupData!$A$2:$A$10000&amp;JupData!$J$2:$J$10000,0),11))</f>
        <v/>
      </c>
      <c r="S714" t="str">
        <f t="array" ref="S714">IF($A714="","",INDEX(JupData!$A$2:$K$10000,MATCH($A714&amp;S$1,JupData!$A$2:$A$10000&amp;JupData!$J$2:$J$10000,0),11))</f>
        <v/>
      </c>
      <c r="T714" t="str">
        <f t="array" ref="T714">IF($A714="","",INDEX(JupData!$A$2:$K$10000,MATCH($A714&amp;T$1,JupData!$A$2:$A$10000&amp;JupData!$J$2:$J$10000,0),11))</f>
        <v/>
      </c>
      <c r="U714" t="str">
        <f t="array" ref="U714">IF($A714="","",INDEX(JupData!$A$2:$K$10000,MATCH($A714&amp;U$1,JupData!$A$2:$A$10000&amp;JupData!$J$2:$J$10000,0),11))</f>
        <v/>
      </c>
      <c r="V714" t="str">
        <f t="array" ref="V714">IF($A714="","",INDEX(JupData!$A$2:$K$10000,MATCH($A714&amp;V$1,JupData!$A$2:$A$10000&amp;JupData!$J$2:$J$10000,0),11))</f>
        <v/>
      </c>
      <c r="W714" t="str">
        <f t="array" ref="W714">IF($A714="","",INDEX(JupData!$A$2:$K$10000,MATCH($A714&amp;W$1,JupData!$A$2:$A$10000&amp;JupData!$J$2:$J$10000,0),11))</f>
        <v/>
      </c>
      <c r="X714" t="str">
        <f t="array" ref="X714">IF($A714="","",INDEX(JupData!$A$2:$K$10000,MATCH($A714&amp;X$1,JupData!$A$2:$A$10000&amp;JupData!$J$2:$J$10000,0),11))</f>
        <v/>
      </c>
      <c r="Y714" t="str">
        <f t="array" ref="Y714">IF($A714="","",INDEX(JupData!$A$2:$K$10000,MATCH($A714&amp;Y$1,JupData!$A$2:$A$10000&amp;JupData!$J$2:$J$10000,0),11))</f>
        <v/>
      </c>
      <c r="Z714" t="str">
        <f t="array" ref="Z714">IF($A714="","",INDEX(JupData!$A$2:$K$10000,MATCH($A714&amp;Z$1,JupData!$A$2:$A$10000&amp;JupData!$J$2:$J$10000,0),11))</f>
        <v/>
      </c>
      <c r="AA714" t="str">
        <f t="array" ref="AA714">IF($A714="","",INDEX(JupData!$A$2:$K$10000,MATCH($A714&amp;AA$1,JupData!$A$2:$A$10000&amp;JupData!$J$2:$J$10000,0),11))</f>
        <v/>
      </c>
      <c r="AB714" t="str">
        <f t="array" ref="AB714">IF($A714="","",INDEX(JupData!$A$2:$K$10000,MATCH($A714&amp;AB$1,JupData!$A$2:$A$10000&amp;JupData!$J$2:$J$10000,0),11))</f>
        <v/>
      </c>
      <c r="AC714" s="10" t="str">
        <f t="shared" si="121"/>
        <v/>
      </c>
      <c r="AD714" s="10" t="str">
        <f t="shared" si="122"/>
        <v/>
      </c>
      <c r="AE714" s="9" t="str">
        <f t="shared" si="123"/>
        <v/>
      </c>
      <c r="AF714" s="10" t="str">
        <f t="shared" si="124"/>
        <v/>
      </c>
      <c r="AG714" s="10" t="str">
        <f t="shared" si="125"/>
        <v/>
      </c>
      <c r="AH714" s="10" t="str">
        <f t="shared" si="126"/>
        <v/>
      </c>
      <c r="AI714" s="10" t="str">
        <f t="shared" si="127"/>
        <v/>
      </c>
      <c r="AJ714" s="10" t="str">
        <f t="shared" si="128"/>
        <v/>
      </c>
      <c r="AK714" s="10" t="str">
        <f t="shared" si="129"/>
        <v/>
      </c>
      <c r="AL714" s="14" t="str">
        <f t="shared" si="130"/>
        <v/>
      </c>
    </row>
    <row r="715" spans="1:38" x14ac:dyDescent="0.2">
      <c r="A715"/>
      <c r="B715" t="str">
        <f>IF($A715="","",VLOOKUP($A715,JupData!$A$2:$I$10000,4,FALSE))</f>
        <v/>
      </c>
      <c r="C715" s="7" t="str">
        <f>IF($A715="",IF(N(D715),0,""),VLOOKUP($A715,JupData!$A$2:$I$10000,7,FALSE))</f>
        <v/>
      </c>
      <c r="D715" t="str">
        <f t="shared" si="131"/>
        <v/>
      </c>
      <c r="E715" t="str">
        <f t="array" ref="E715">IF($A715="","",INDEX(JupData!$A$2:$K$10000,MATCH($A715&amp;E$1,JupData!$A$2:$A$10000&amp;JupData!$J$2:$J$10000,0),11))</f>
        <v/>
      </c>
      <c r="F715" t="str">
        <f t="array" ref="F715">IF($A715="","",INDEX(JupData!$A$2:$K$10000,MATCH($A715&amp;F$1,JupData!$A$2:$A$10000&amp;JupData!$J$2:$J$10000,0),11))</f>
        <v/>
      </c>
      <c r="G715" t="str">
        <f t="array" ref="G715">IF($A715="","",INDEX(JupData!$A$2:$K$10000,MATCH($A715&amp;G$1,JupData!$A$2:$A$10000&amp;JupData!$J$2:$J$10000,0),11))</f>
        <v/>
      </c>
      <c r="H715" t="str">
        <f t="array" ref="H715">IF($A715="","",INDEX(JupData!$A$2:$K$10000,MATCH($A715&amp;H$1,JupData!$A$2:$A$10000&amp;JupData!$J$2:$J$10000,0),11))</f>
        <v/>
      </c>
      <c r="I715" t="str">
        <f t="array" ref="I715">IF($A715="","",INDEX(JupData!$A$2:$K$10000,MATCH($A715&amp;I$1,JupData!$A$2:$A$10000&amp;JupData!$J$2:$J$10000,0),11))</f>
        <v/>
      </c>
      <c r="J715" t="str">
        <f t="array" ref="J715">IF($A715="","",INDEX(JupData!$A$2:$K$10000,MATCH($A715&amp;J$1,JupData!$A$2:$A$10000&amp;JupData!$J$2:$J$10000,0),11))</f>
        <v/>
      </c>
      <c r="K715" t="str">
        <f t="array" ref="K715">IF($A715="","",INDEX(JupData!$A$2:$K$10000,MATCH($A715&amp;K$1,JupData!$A$2:$A$10000&amp;JupData!$J$2:$J$10000,0),11))</f>
        <v/>
      </c>
      <c r="L715" t="str">
        <f t="array" ref="L715">IF($A715="","",INDEX(JupData!$A$2:$K$10000,MATCH($A715&amp;L$1,JupData!$A$2:$A$10000&amp;JupData!$J$2:$J$10000,0),11))</f>
        <v/>
      </c>
      <c r="M715" t="str">
        <f t="array" ref="M715">IF($A715="","",INDEX(JupData!$A$2:$K$10000,MATCH($A715&amp;M$1,JupData!$A$2:$A$10000&amp;JupData!$J$2:$J$10000,0),11))</f>
        <v/>
      </c>
      <c r="N715" t="str">
        <f t="array" ref="N715">IF($A715="","",INDEX(JupData!$A$2:$K$10000,MATCH($A715&amp;N$1,JupData!$A$2:$A$10000&amp;JupData!$J$2:$J$10000,0),11))</f>
        <v/>
      </c>
      <c r="O715" t="str">
        <f t="array" ref="O715">IF($A715="","",INDEX(JupData!$A$2:$K$10000,MATCH($A715&amp;O$1,JupData!$A$2:$A$10000&amp;JupData!$J$2:$J$10000,0),11))</f>
        <v/>
      </c>
      <c r="P715" t="str">
        <f t="array" ref="P715">IF($A715="","",INDEX(JupData!$A$2:$K$10000,MATCH($A715&amp;P$1,JupData!$A$2:$A$10000&amp;JupData!$J$2:$J$10000,0),11))</f>
        <v/>
      </c>
      <c r="Q715" t="str">
        <f t="array" ref="Q715">IF($A715="","",INDEX(JupData!$A$2:$K$10000,MATCH($A715&amp;Q$1,JupData!$A$2:$A$10000&amp;JupData!$J$2:$J$10000,0),11))</f>
        <v/>
      </c>
      <c r="R715" t="str">
        <f t="array" ref="R715">IF($A715="","",INDEX(JupData!$A$2:$K$10000,MATCH($A715&amp;R$1,JupData!$A$2:$A$10000&amp;JupData!$J$2:$J$10000,0),11))</f>
        <v/>
      </c>
      <c r="S715" t="str">
        <f t="array" ref="S715">IF($A715="","",INDEX(JupData!$A$2:$K$10000,MATCH($A715&amp;S$1,JupData!$A$2:$A$10000&amp;JupData!$J$2:$J$10000,0),11))</f>
        <v/>
      </c>
      <c r="T715" t="str">
        <f t="array" ref="T715">IF($A715="","",INDEX(JupData!$A$2:$K$10000,MATCH($A715&amp;T$1,JupData!$A$2:$A$10000&amp;JupData!$J$2:$J$10000,0),11))</f>
        <v/>
      </c>
      <c r="U715" t="str">
        <f t="array" ref="U715">IF($A715="","",INDEX(JupData!$A$2:$K$10000,MATCH($A715&amp;U$1,JupData!$A$2:$A$10000&amp;JupData!$J$2:$J$10000,0),11))</f>
        <v/>
      </c>
      <c r="V715" t="str">
        <f t="array" ref="V715">IF($A715="","",INDEX(JupData!$A$2:$K$10000,MATCH($A715&amp;V$1,JupData!$A$2:$A$10000&amp;JupData!$J$2:$J$10000,0),11))</f>
        <v/>
      </c>
      <c r="W715" t="str">
        <f t="array" ref="W715">IF($A715="","",INDEX(JupData!$A$2:$K$10000,MATCH($A715&amp;W$1,JupData!$A$2:$A$10000&amp;JupData!$J$2:$J$10000,0),11))</f>
        <v/>
      </c>
      <c r="X715" t="str">
        <f t="array" ref="X715">IF($A715="","",INDEX(JupData!$A$2:$K$10000,MATCH($A715&amp;X$1,JupData!$A$2:$A$10000&amp;JupData!$J$2:$J$10000,0),11))</f>
        <v/>
      </c>
      <c r="Y715" t="str">
        <f t="array" ref="Y715">IF($A715="","",INDEX(JupData!$A$2:$K$10000,MATCH($A715&amp;Y$1,JupData!$A$2:$A$10000&amp;JupData!$J$2:$J$10000,0),11))</f>
        <v/>
      </c>
      <c r="Z715" t="str">
        <f t="array" ref="Z715">IF($A715="","",INDEX(JupData!$A$2:$K$10000,MATCH($A715&amp;Z$1,JupData!$A$2:$A$10000&amp;JupData!$J$2:$J$10000,0),11))</f>
        <v/>
      </c>
      <c r="AA715" t="str">
        <f t="array" ref="AA715">IF($A715="","",INDEX(JupData!$A$2:$K$10000,MATCH($A715&amp;AA$1,JupData!$A$2:$A$10000&amp;JupData!$J$2:$J$10000,0),11))</f>
        <v/>
      </c>
      <c r="AB715" t="str">
        <f t="array" ref="AB715">IF($A715="","",INDEX(JupData!$A$2:$K$10000,MATCH($A715&amp;AB$1,JupData!$A$2:$A$10000&amp;JupData!$J$2:$J$10000,0),11))</f>
        <v/>
      </c>
      <c r="AC715" s="10" t="str">
        <f t="shared" si="121"/>
        <v/>
      </c>
      <c r="AD715" s="10" t="str">
        <f t="shared" si="122"/>
        <v/>
      </c>
      <c r="AE715" s="9" t="str">
        <f t="shared" si="123"/>
        <v/>
      </c>
      <c r="AF715" s="10" t="str">
        <f t="shared" si="124"/>
        <v/>
      </c>
      <c r="AG715" s="10" t="str">
        <f t="shared" si="125"/>
        <v/>
      </c>
      <c r="AH715" s="10" t="str">
        <f t="shared" si="126"/>
        <v/>
      </c>
      <c r="AI715" s="10" t="str">
        <f t="shared" si="127"/>
        <v/>
      </c>
      <c r="AJ715" s="10" t="str">
        <f t="shared" si="128"/>
        <v/>
      </c>
      <c r="AK715" s="10" t="str">
        <f t="shared" si="129"/>
        <v/>
      </c>
      <c r="AL715" s="14" t="str">
        <f t="shared" si="130"/>
        <v/>
      </c>
    </row>
    <row r="716" spans="1:38" x14ac:dyDescent="0.2">
      <c r="A716"/>
      <c r="B716" t="str">
        <f>IF($A716="","",VLOOKUP($A716,JupData!$A$2:$I$10000,4,FALSE))</f>
        <v/>
      </c>
      <c r="C716" s="7" t="str">
        <f>IF($A716="",IF(N(D716),0,""),VLOOKUP($A716,JupData!$A$2:$I$10000,7,FALSE))</f>
        <v/>
      </c>
      <c r="D716" t="str">
        <f t="shared" si="131"/>
        <v/>
      </c>
      <c r="E716" t="str">
        <f t="array" ref="E716">IF($A716="","",INDEX(JupData!$A$2:$K$10000,MATCH($A716&amp;E$1,JupData!$A$2:$A$10000&amp;JupData!$J$2:$J$10000,0),11))</f>
        <v/>
      </c>
      <c r="F716" t="str">
        <f t="array" ref="F716">IF($A716="","",INDEX(JupData!$A$2:$K$10000,MATCH($A716&amp;F$1,JupData!$A$2:$A$10000&amp;JupData!$J$2:$J$10000,0),11))</f>
        <v/>
      </c>
      <c r="G716" t="str">
        <f t="array" ref="G716">IF($A716="","",INDEX(JupData!$A$2:$K$10000,MATCH($A716&amp;G$1,JupData!$A$2:$A$10000&amp;JupData!$J$2:$J$10000,0),11))</f>
        <v/>
      </c>
      <c r="H716" t="str">
        <f t="array" ref="H716">IF($A716="","",INDEX(JupData!$A$2:$K$10000,MATCH($A716&amp;H$1,JupData!$A$2:$A$10000&amp;JupData!$J$2:$J$10000,0),11))</f>
        <v/>
      </c>
      <c r="I716" t="str">
        <f t="array" ref="I716">IF($A716="","",INDEX(JupData!$A$2:$K$10000,MATCH($A716&amp;I$1,JupData!$A$2:$A$10000&amp;JupData!$J$2:$J$10000,0),11))</f>
        <v/>
      </c>
      <c r="J716" t="str">
        <f t="array" ref="J716">IF($A716="","",INDEX(JupData!$A$2:$K$10000,MATCH($A716&amp;J$1,JupData!$A$2:$A$10000&amp;JupData!$J$2:$J$10000,0),11))</f>
        <v/>
      </c>
      <c r="K716" t="str">
        <f t="array" ref="K716">IF($A716="","",INDEX(JupData!$A$2:$K$10000,MATCH($A716&amp;K$1,JupData!$A$2:$A$10000&amp;JupData!$J$2:$J$10000,0),11))</f>
        <v/>
      </c>
      <c r="L716" t="str">
        <f t="array" ref="L716">IF($A716="","",INDEX(JupData!$A$2:$K$10000,MATCH($A716&amp;L$1,JupData!$A$2:$A$10000&amp;JupData!$J$2:$J$10000,0),11))</f>
        <v/>
      </c>
      <c r="M716" t="str">
        <f t="array" ref="M716">IF($A716="","",INDEX(JupData!$A$2:$K$10000,MATCH($A716&amp;M$1,JupData!$A$2:$A$10000&amp;JupData!$J$2:$J$10000,0),11))</f>
        <v/>
      </c>
      <c r="N716" t="str">
        <f t="array" ref="N716">IF($A716="","",INDEX(JupData!$A$2:$K$10000,MATCH($A716&amp;N$1,JupData!$A$2:$A$10000&amp;JupData!$J$2:$J$10000,0),11))</f>
        <v/>
      </c>
      <c r="O716" t="str">
        <f t="array" ref="O716">IF($A716="","",INDEX(JupData!$A$2:$K$10000,MATCH($A716&amp;O$1,JupData!$A$2:$A$10000&amp;JupData!$J$2:$J$10000,0),11))</f>
        <v/>
      </c>
      <c r="P716" t="str">
        <f t="array" ref="P716">IF($A716="","",INDEX(JupData!$A$2:$K$10000,MATCH($A716&amp;P$1,JupData!$A$2:$A$10000&amp;JupData!$J$2:$J$10000,0),11))</f>
        <v/>
      </c>
      <c r="Q716" t="str">
        <f t="array" ref="Q716">IF($A716="","",INDEX(JupData!$A$2:$K$10000,MATCH($A716&amp;Q$1,JupData!$A$2:$A$10000&amp;JupData!$J$2:$J$10000,0),11))</f>
        <v/>
      </c>
      <c r="R716" t="str">
        <f t="array" ref="R716">IF($A716="","",INDEX(JupData!$A$2:$K$10000,MATCH($A716&amp;R$1,JupData!$A$2:$A$10000&amp;JupData!$J$2:$J$10000,0),11))</f>
        <v/>
      </c>
      <c r="S716" t="str">
        <f t="array" ref="S716">IF($A716="","",INDEX(JupData!$A$2:$K$10000,MATCH($A716&amp;S$1,JupData!$A$2:$A$10000&amp;JupData!$J$2:$J$10000,0),11))</f>
        <v/>
      </c>
      <c r="T716" t="str">
        <f t="array" ref="T716">IF($A716="","",INDEX(JupData!$A$2:$K$10000,MATCH($A716&amp;T$1,JupData!$A$2:$A$10000&amp;JupData!$J$2:$J$10000,0),11))</f>
        <v/>
      </c>
      <c r="U716" t="str">
        <f t="array" ref="U716">IF($A716="","",INDEX(JupData!$A$2:$K$10000,MATCH($A716&amp;U$1,JupData!$A$2:$A$10000&amp;JupData!$J$2:$J$10000,0),11))</f>
        <v/>
      </c>
      <c r="V716" t="str">
        <f t="array" ref="V716">IF($A716="","",INDEX(JupData!$A$2:$K$10000,MATCH($A716&amp;V$1,JupData!$A$2:$A$10000&amp;JupData!$J$2:$J$10000,0),11))</f>
        <v/>
      </c>
      <c r="W716" t="str">
        <f t="array" ref="W716">IF($A716="","",INDEX(JupData!$A$2:$K$10000,MATCH($A716&amp;W$1,JupData!$A$2:$A$10000&amp;JupData!$J$2:$J$10000,0),11))</f>
        <v/>
      </c>
      <c r="X716" t="str">
        <f t="array" ref="X716">IF($A716="","",INDEX(JupData!$A$2:$K$10000,MATCH($A716&amp;X$1,JupData!$A$2:$A$10000&amp;JupData!$J$2:$J$10000,0),11))</f>
        <v/>
      </c>
      <c r="Y716" t="str">
        <f t="array" ref="Y716">IF($A716="","",INDEX(JupData!$A$2:$K$10000,MATCH($A716&amp;Y$1,JupData!$A$2:$A$10000&amp;JupData!$J$2:$J$10000,0),11))</f>
        <v/>
      </c>
      <c r="Z716" t="str">
        <f t="array" ref="Z716">IF($A716="","",INDEX(JupData!$A$2:$K$10000,MATCH($A716&amp;Z$1,JupData!$A$2:$A$10000&amp;JupData!$J$2:$J$10000,0),11))</f>
        <v/>
      </c>
      <c r="AA716" t="str">
        <f t="array" ref="AA716">IF($A716="","",INDEX(JupData!$A$2:$K$10000,MATCH($A716&amp;AA$1,JupData!$A$2:$A$10000&amp;JupData!$J$2:$J$10000,0),11))</f>
        <v/>
      </c>
      <c r="AB716" t="str">
        <f t="array" ref="AB716">IF($A716="","",INDEX(JupData!$A$2:$K$10000,MATCH($A716&amp;AB$1,JupData!$A$2:$A$10000&amp;JupData!$J$2:$J$10000,0),11))</f>
        <v/>
      </c>
      <c r="AC716" s="10" t="str">
        <f t="shared" si="121"/>
        <v/>
      </c>
      <c r="AD716" s="10" t="str">
        <f t="shared" si="122"/>
        <v/>
      </c>
      <c r="AE716" s="9" t="str">
        <f t="shared" si="123"/>
        <v/>
      </c>
      <c r="AF716" s="10" t="str">
        <f t="shared" si="124"/>
        <v/>
      </c>
      <c r="AG716" s="10" t="str">
        <f t="shared" si="125"/>
        <v/>
      </c>
      <c r="AH716" s="10" t="str">
        <f t="shared" si="126"/>
        <v/>
      </c>
      <c r="AI716" s="10" t="str">
        <f t="shared" si="127"/>
        <v/>
      </c>
      <c r="AJ716" s="10" t="str">
        <f t="shared" si="128"/>
        <v/>
      </c>
      <c r="AK716" s="10" t="str">
        <f t="shared" si="129"/>
        <v/>
      </c>
      <c r="AL716" s="14" t="str">
        <f t="shared" si="130"/>
        <v/>
      </c>
    </row>
    <row r="717" spans="1:38" x14ac:dyDescent="0.2">
      <c r="A717"/>
      <c r="B717" t="str">
        <f>IF($A717="","",VLOOKUP($A717,JupData!$A$2:$I$10000,4,FALSE))</f>
        <v/>
      </c>
      <c r="C717" s="7" t="str">
        <f>IF($A717="",IF(N(D717),0,""),VLOOKUP($A717,JupData!$A$2:$I$10000,7,FALSE))</f>
        <v/>
      </c>
      <c r="D717" t="str">
        <f t="shared" si="131"/>
        <v/>
      </c>
      <c r="E717" t="str">
        <f t="array" ref="E717">IF($A717="","",INDEX(JupData!$A$2:$K$10000,MATCH($A717&amp;E$1,JupData!$A$2:$A$10000&amp;JupData!$J$2:$J$10000,0),11))</f>
        <v/>
      </c>
      <c r="F717" t="str">
        <f t="array" ref="F717">IF($A717="","",INDEX(JupData!$A$2:$K$10000,MATCH($A717&amp;F$1,JupData!$A$2:$A$10000&amp;JupData!$J$2:$J$10000,0),11))</f>
        <v/>
      </c>
      <c r="G717" t="str">
        <f t="array" ref="G717">IF($A717="","",INDEX(JupData!$A$2:$K$10000,MATCH($A717&amp;G$1,JupData!$A$2:$A$10000&amp;JupData!$J$2:$J$10000,0),11))</f>
        <v/>
      </c>
      <c r="H717" t="str">
        <f t="array" ref="H717">IF($A717="","",INDEX(JupData!$A$2:$K$10000,MATCH($A717&amp;H$1,JupData!$A$2:$A$10000&amp;JupData!$J$2:$J$10000,0),11))</f>
        <v/>
      </c>
      <c r="I717" t="str">
        <f t="array" ref="I717">IF($A717="","",INDEX(JupData!$A$2:$K$10000,MATCH($A717&amp;I$1,JupData!$A$2:$A$10000&amp;JupData!$J$2:$J$10000,0),11))</f>
        <v/>
      </c>
      <c r="J717" t="str">
        <f t="array" ref="J717">IF($A717="","",INDEX(JupData!$A$2:$K$10000,MATCH($A717&amp;J$1,JupData!$A$2:$A$10000&amp;JupData!$J$2:$J$10000,0),11))</f>
        <v/>
      </c>
      <c r="K717" t="str">
        <f t="array" ref="K717">IF($A717="","",INDEX(JupData!$A$2:$K$10000,MATCH($A717&amp;K$1,JupData!$A$2:$A$10000&amp;JupData!$J$2:$J$10000,0),11))</f>
        <v/>
      </c>
      <c r="L717" t="str">
        <f t="array" ref="L717">IF($A717="","",INDEX(JupData!$A$2:$K$10000,MATCH($A717&amp;L$1,JupData!$A$2:$A$10000&amp;JupData!$J$2:$J$10000,0),11))</f>
        <v/>
      </c>
      <c r="M717" t="str">
        <f t="array" ref="M717">IF($A717="","",INDEX(JupData!$A$2:$K$10000,MATCH($A717&amp;M$1,JupData!$A$2:$A$10000&amp;JupData!$J$2:$J$10000,0),11))</f>
        <v/>
      </c>
      <c r="N717" t="str">
        <f t="array" ref="N717">IF($A717="","",INDEX(JupData!$A$2:$K$10000,MATCH($A717&amp;N$1,JupData!$A$2:$A$10000&amp;JupData!$J$2:$J$10000,0),11))</f>
        <v/>
      </c>
      <c r="O717" t="str">
        <f t="array" ref="O717">IF($A717="","",INDEX(JupData!$A$2:$K$10000,MATCH($A717&amp;O$1,JupData!$A$2:$A$10000&amp;JupData!$J$2:$J$10000,0),11))</f>
        <v/>
      </c>
      <c r="P717" t="str">
        <f t="array" ref="P717">IF($A717="","",INDEX(JupData!$A$2:$K$10000,MATCH($A717&amp;P$1,JupData!$A$2:$A$10000&amp;JupData!$J$2:$J$10000,0),11))</f>
        <v/>
      </c>
      <c r="Q717" t="str">
        <f t="array" ref="Q717">IF($A717="","",INDEX(JupData!$A$2:$K$10000,MATCH($A717&amp;Q$1,JupData!$A$2:$A$10000&amp;JupData!$J$2:$J$10000,0),11))</f>
        <v/>
      </c>
      <c r="R717" t="str">
        <f t="array" ref="R717">IF($A717="","",INDEX(JupData!$A$2:$K$10000,MATCH($A717&amp;R$1,JupData!$A$2:$A$10000&amp;JupData!$J$2:$J$10000,0),11))</f>
        <v/>
      </c>
      <c r="S717" t="str">
        <f t="array" ref="S717">IF($A717="","",INDEX(JupData!$A$2:$K$10000,MATCH($A717&amp;S$1,JupData!$A$2:$A$10000&amp;JupData!$J$2:$J$10000,0),11))</f>
        <v/>
      </c>
      <c r="T717" t="str">
        <f t="array" ref="T717">IF($A717="","",INDEX(JupData!$A$2:$K$10000,MATCH($A717&amp;T$1,JupData!$A$2:$A$10000&amp;JupData!$J$2:$J$10000,0),11))</f>
        <v/>
      </c>
      <c r="U717" t="str">
        <f t="array" ref="U717">IF($A717="","",INDEX(JupData!$A$2:$K$10000,MATCH($A717&amp;U$1,JupData!$A$2:$A$10000&amp;JupData!$J$2:$J$10000,0),11))</f>
        <v/>
      </c>
      <c r="V717" t="str">
        <f t="array" ref="V717">IF($A717="","",INDEX(JupData!$A$2:$K$10000,MATCH($A717&amp;V$1,JupData!$A$2:$A$10000&amp;JupData!$J$2:$J$10000,0),11))</f>
        <v/>
      </c>
      <c r="W717" t="str">
        <f t="array" ref="W717">IF($A717="","",INDEX(JupData!$A$2:$K$10000,MATCH($A717&amp;W$1,JupData!$A$2:$A$10000&amp;JupData!$J$2:$J$10000,0),11))</f>
        <v/>
      </c>
      <c r="X717" t="str">
        <f t="array" ref="X717">IF($A717="","",INDEX(JupData!$A$2:$K$10000,MATCH($A717&amp;X$1,JupData!$A$2:$A$10000&amp;JupData!$J$2:$J$10000,0),11))</f>
        <v/>
      </c>
      <c r="Y717" t="str">
        <f t="array" ref="Y717">IF($A717="","",INDEX(JupData!$A$2:$K$10000,MATCH($A717&amp;Y$1,JupData!$A$2:$A$10000&amp;JupData!$J$2:$J$10000,0),11))</f>
        <v/>
      </c>
      <c r="Z717" t="str">
        <f t="array" ref="Z717">IF($A717="","",INDEX(JupData!$A$2:$K$10000,MATCH($A717&amp;Z$1,JupData!$A$2:$A$10000&amp;JupData!$J$2:$J$10000,0),11))</f>
        <v/>
      </c>
      <c r="AA717" t="str">
        <f t="array" ref="AA717">IF($A717="","",INDEX(JupData!$A$2:$K$10000,MATCH($A717&amp;AA$1,JupData!$A$2:$A$10000&amp;JupData!$J$2:$J$10000,0),11))</f>
        <v/>
      </c>
      <c r="AB717" t="str">
        <f t="array" ref="AB717">IF($A717="","",INDEX(JupData!$A$2:$K$10000,MATCH($A717&amp;AB$1,JupData!$A$2:$A$10000&amp;JupData!$J$2:$J$10000,0),11))</f>
        <v/>
      </c>
      <c r="AC717" s="10" t="str">
        <f t="shared" si="121"/>
        <v/>
      </c>
      <c r="AD717" s="10" t="str">
        <f t="shared" si="122"/>
        <v/>
      </c>
      <c r="AE717" s="9" t="str">
        <f t="shared" si="123"/>
        <v/>
      </c>
      <c r="AF717" s="10" t="str">
        <f t="shared" si="124"/>
        <v/>
      </c>
      <c r="AG717" s="10" t="str">
        <f t="shared" si="125"/>
        <v/>
      </c>
      <c r="AH717" s="10" t="str">
        <f t="shared" si="126"/>
        <v/>
      </c>
      <c r="AI717" s="10" t="str">
        <f t="shared" si="127"/>
        <v/>
      </c>
      <c r="AJ717" s="10" t="str">
        <f t="shared" si="128"/>
        <v/>
      </c>
      <c r="AK717" s="10" t="str">
        <f t="shared" si="129"/>
        <v/>
      </c>
      <c r="AL717" s="14" t="str">
        <f t="shared" si="130"/>
        <v/>
      </c>
    </row>
    <row r="718" spans="1:38" x14ac:dyDescent="0.2">
      <c r="A718"/>
      <c r="B718" t="str">
        <f>IF($A718="","",VLOOKUP($A718,JupData!$A$2:$I$10000,4,FALSE))</f>
        <v/>
      </c>
      <c r="C718" s="7" t="str">
        <f>IF($A718="",IF(N(D718),0,""),VLOOKUP($A718,JupData!$A$2:$I$10000,7,FALSE))</f>
        <v/>
      </c>
      <c r="D718" t="str">
        <f t="shared" si="131"/>
        <v/>
      </c>
      <c r="E718" t="str">
        <f t="array" ref="E718">IF($A718="","",INDEX(JupData!$A$2:$K$10000,MATCH($A718&amp;E$1,JupData!$A$2:$A$10000&amp;JupData!$J$2:$J$10000,0),11))</f>
        <v/>
      </c>
      <c r="F718" t="str">
        <f t="array" ref="F718">IF($A718="","",INDEX(JupData!$A$2:$K$10000,MATCH($A718&amp;F$1,JupData!$A$2:$A$10000&amp;JupData!$J$2:$J$10000,0),11))</f>
        <v/>
      </c>
      <c r="G718" t="str">
        <f t="array" ref="G718">IF($A718="","",INDEX(JupData!$A$2:$K$10000,MATCH($A718&amp;G$1,JupData!$A$2:$A$10000&amp;JupData!$J$2:$J$10000,0),11))</f>
        <v/>
      </c>
      <c r="H718" t="str">
        <f t="array" ref="H718">IF($A718="","",INDEX(JupData!$A$2:$K$10000,MATCH($A718&amp;H$1,JupData!$A$2:$A$10000&amp;JupData!$J$2:$J$10000,0),11))</f>
        <v/>
      </c>
      <c r="I718" t="str">
        <f t="array" ref="I718">IF($A718="","",INDEX(JupData!$A$2:$K$10000,MATCH($A718&amp;I$1,JupData!$A$2:$A$10000&amp;JupData!$J$2:$J$10000,0),11))</f>
        <v/>
      </c>
      <c r="J718" t="str">
        <f t="array" ref="J718">IF($A718="","",INDEX(JupData!$A$2:$K$10000,MATCH($A718&amp;J$1,JupData!$A$2:$A$10000&amp;JupData!$J$2:$J$10000,0),11))</f>
        <v/>
      </c>
      <c r="K718" t="str">
        <f t="array" ref="K718">IF($A718="","",INDEX(JupData!$A$2:$K$10000,MATCH($A718&amp;K$1,JupData!$A$2:$A$10000&amp;JupData!$J$2:$J$10000,0),11))</f>
        <v/>
      </c>
      <c r="L718" t="str">
        <f t="array" ref="L718">IF($A718="","",INDEX(JupData!$A$2:$K$10000,MATCH($A718&amp;L$1,JupData!$A$2:$A$10000&amp;JupData!$J$2:$J$10000,0),11))</f>
        <v/>
      </c>
      <c r="M718" t="str">
        <f t="array" ref="M718">IF($A718="","",INDEX(JupData!$A$2:$K$10000,MATCH($A718&amp;M$1,JupData!$A$2:$A$10000&amp;JupData!$J$2:$J$10000,0),11))</f>
        <v/>
      </c>
      <c r="N718" t="str">
        <f t="array" ref="N718">IF($A718="","",INDEX(JupData!$A$2:$K$10000,MATCH($A718&amp;N$1,JupData!$A$2:$A$10000&amp;JupData!$J$2:$J$10000,0),11))</f>
        <v/>
      </c>
      <c r="O718" t="str">
        <f t="array" ref="O718">IF($A718="","",INDEX(JupData!$A$2:$K$10000,MATCH($A718&amp;O$1,JupData!$A$2:$A$10000&amp;JupData!$J$2:$J$10000,0),11))</f>
        <v/>
      </c>
      <c r="P718" t="str">
        <f t="array" ref="P718">IF($A718="","",INDEX(JupData!$A$2:$K$10000,MATCH($A718&amp;P$1,JupData!$A$2:$A$10000&amp;JupData!$J$2:$J$10000,0),11))</f>
        <v/>
      </c>
      <c r="Q718" t="str">
        <f t="array" ref="Q718">IF($A718="","",INDEX(JupData!$A$2:$K$10000,MATCH($A718&amp;Q$1,JupData!$A$2:$A$10000&amp;JupData!$J$2:$J$10000,0),11))</f>
        <v/>
      </c>
      <c r="R718" t="str">
        <f t="array" ref="R718">IF($A718="","",INDEX(JupData!$A$2:$K$10000,MATCH($A718&amp;R$1,JupData!$A$2:$A$10000&amp;JupData!$J$2:$J$10000,0),11))</f>
        <v/>
      </c>
      <c r="S718" t="str">
        <f t="array" ref="S718">IF($A718="","",INDEX(JupData!$A$2:$K$10000,MATCH($A718&amp;S$1,JupData!$A$2:$A$10000&amp;JupData!$J$2:$J$10000,0),11))</f>
        <v/>
      </c>
      <c r="T718" t="str">
        <f t="array" ref="T718">IF($A718="","",INDEX(JupData!$A$2:$K$10000,MATCH($A718&amp;T$1,JupData!$A$2:$A$10000&amp;JupData!$J$2:$J$10000,0),11))</f>
        <v/>
      </c>
      <c r="U718" t="str">
        <f t="array" ref="U718">IF($A718="","",INDEX(JupData!$A$2:$K$10000,MATCH($A718&amp;U$1,JupData!$A$2:$A$10000&amp;JupData!$J$2:$J$10000,0),11))</f>
        <v/>
      </c>
      <c r="V718" t="str">
        <f t="array" ref="V718">IF($A718="","",INDEX(JupData!$A$2:$K$10000,MATCH($A718&amp;V$1,JupData!$A$2:$A$10000&amp;JupData!$J$2:$J$10000,0),11))</f>
        <v/>
      </c>
      <c r="W718" t="str">
        <f t="array" ref="W718">IF($A718="","",INDEX(JupData!$A$2:$K$10000,MATCH($A718&amp;W$1,JupData!$A$2:$A$10000&amp;JupData!$J$2:$J$10000,0),11))</f>
        <v/>
      </c>
      <c r="X718" t="str">
        <f t="array" ref="X718">IF($A718="","",INDEX(JupData!$A$2:$K$10000,MATCH($A718&amp;X$1,JupData!$A$2:$A$10000&amp;JupData!$J$2:$J$10000,0),11))</f>
        <v/>
      </c>
      <c r="Y718" t="str">
        <f t="array" ref="Y718">IF($A718="","",INDEX(JupData!$A$2:$K$10000,MATCH($A718&amp;Y$1,JupData!$A$2:$A$10000&amp;JupData!$J$2:$J$10000,0),11))</f>
        <v/>
      </c>
      <c r="Z718" t="str">
        <f t="array" ref="Z718">IF($A718="","",INDEX(JupData!$A$2:$K$10000,MATCH($A718&amp;Z$1,JupData!$A$2:$A$10000&amp;JupData!$J$2:$J$10000,0),11))</f>
        <v/>
      </c>
      <c r="AA718" t="str">
        <f t="array" ref="AA718">IF($A718="","",INDEX(JupData!$A$2:$K$10000,MATCH($A718&amp;AA$1,JupData!$A$2:$A$10000&amp;JupData!$J$2:$J$10000,0),11))</f>
        <v/>
      </c>
      <c r="AB718" t="str">
        <f t="array" ref="AB718">IF($A718="","",INDEX(JupData!$A$2:$K$10000,MATCH($A718&amp;AB$1,JupData!$A$2:$A$10000&amp;JupData!$J$2:$J$10000,0),11))</f>
        <v/>
      </c>
      <c r="AC718" s="10" t="str">
        <f t="shared" si="121"/>
        <v/>
      </c>
      <c r="AD718" s="10" t="str">
        <f t="shared" si="122"/>
        <v/>
      </c>
      <c r="AE718" s="9" t="str">
        <f t="shared" si="123"/>
        <v/>
      </c>
      <c r="AF718" s="10" t="str">
        <f t="shared" si="124"/>
        <v/>
      </c>
      <c r="AG718" s="10" t="str">
        <f t="shared" si="125"/>
        <v/>
      </c>
      <c r="AH718" s="10" t="str">
        <f t="shared" si="126"/>
        <v/>
      </c>
      <c r="AI718" s="10" t="str">
        <f t="shared" si="127"/>
        <v/>
      </c>
      <c r="AJ718" s="10" t="str">
        <f t="shared" si="128"/>
        <v/>
      </c>
      <c r="AK718" s="10" t="str">
        <f t="shared" si="129"/>
        <v/>
      </c>
      <c r="AL718" s="14" t="str">
        <f t="shared" si="130"/>
        <v/>
      </c>
    </row>
    <row r="719" spans="1:38" x14ac:dyDescent="0.2">
      <c r="A719"/>
      <c r="B719" t="str">
        <f>IF($A719="","",VLOOKUP($A719,JupData!$A$2:$I$10000,4,FALSE))</f>
        <v/>
      </c>
      <c r="C719" s="7" t="str">
        <f>IF($A719="",IF(N(D719),0,""),VLOOKUP($A719,JupData!$A$2:$I$10000,7,FALSE))</f>
        <v/>
      </c>
      <c r="D719" t="str">
        <f t="shared" si="131"/>
        <v/>
      </c>
      <c r="E719" t="str">
        <f t="array" ref="E719">IF($A719="","",INDEX(JupData!$A$2:$K$10000,MATCH($A719&amp;E$1,JupData!$A$2:$A$10000&amp;JupData!$J$2:$J$10000,0),11))</f>
        <v/>
      </c>
      <c r="F719" t="str">
        <f t="array" ref="F719">IF($A719="","",INDEX(JupData!$A$2:$K$10000,MATCH($A719&amp;F$1,JupData!$A$2:$A$10000&amp;JupData!$J$2:$J$10000,0),11))</f>
        <v/>
      </c>
      <c r="G719" t="str">
        <f t="array" ref="G719">IF($A719="","",INDEX(JupData!$A$2:$K$10000,MATCH($A719&amp;G$1,JupData!$A$2:$A$10000&amp;JupData!$J$2:$J$10000,0),11))</f>
        <v/>
      </c>
      <c r="H719" t="str">
        <f t="array" ref="H719">IF($A719="","",INDEX(JupData!$A$2:$K$10000,MATCH($A719&amp;H$1,JupData!$A$2:$A$10000&amp;JupData!$J$2:$J$10000,0),11))</f>
        <v/>
      </c>
      <c r="I719" t="str">
        <f t="array" ref="I719">IF($A719="","",INDEX(JupData!$A$2:$K$10000,MATCH($A719&amp;I$1,JupData!$A$2:$A$10000&amp;JupData!$J$2:$J$10000,0),11))</f>
        <v/>
      </c>
      <c r="J719" t="str">
        <f t="array" ref="J719">IF($A719="","",INDEX(JupData!$A$2:$K$10000,MATCH($A719&amp;J$1,JupData!$A$2:$A$10000&amp;JupData!$J$2:$J$10000,0),11))</f>
        <v/>
      </c>
      <c r="K719" t="str">
        <f t="array" ref="K719">IF($A719="","",INDEX(JupData!$A$2:$K$10000,MATCH($A719&amp;K$1,JupData!$A$2:$A$10000&amp;JupData!$J$2:$J$10000,0),11))</f>
        <v/>
      </c>
      <c r="L719" t="str">
        <f t="array" ref="L719">IF($A719="","",INDEX(JupData!$A$2:$K$10000,MATCH($A719&amp;L$1,JupData!$A$2:$A$10000&amp;JupData!$J$2:$J$10000,0),11))</f>
        <v/>
      </c>
      <c r="M719" t="str">
        <f t="array" ref="M719">IF($A719="","",INDEX(JupData!$A$2:$K$10000,MATCH($A719&amp;M$1,JupData!$A$2:$A$10000&amp;JupData!$J$2:$J$10000,0),11))</f>
        <v/>
      </c>
      <c r="N719" t="str">
        <f t="array" ref="N719">IF($A719="","",INDEX(JupData!$A$2:$K$10000,MATCH($A719&amp;N$1,JupData!$A$2:$A$10000&amp;JupData!$J$2:$J$10000,0),11))</f>
        <v/>
      </c>
      <c r="O719" t="str">
        <f t="array" ref="O719">IF($A719="","",INDEX(JupData!$A$2:$K$10000,MATCH($A719&amp;O$1,JupData!$A$2:$A$10000&amp;JupData!$J$2:$J$10000,0),11))</f>
        <v/>
      </c>
      <c r="P719" t="str">
        <f t="array" ref="P719">IF($A719="","",INDEX(JupData!$A$2:$K$10000,MATCH($A719&amp;P$1,JupData!$A$2:$A$10000&amp;JupData!$J$2:$J$10000,0),11))</f>
        <v/>
      </c>
      <c r="Q719" t="str">
        <f t="array" ref="Q719">IF($A719="","",INDEX(JupData!$A$2:$K$10000,MATCH($A719&amp;Q$1,JupData!$A$2:$A$10000&amp;JupData!$J$2:$J$10000,0),11))</f>
        <v/>
      </c>
      <c r="R719" t="str">
        <f t="array" ref="R719">IF($A719="","",INDEX(JupData!$A$2:$K$10000,MATCH($A719&amp;R$1,JupData!$A$2:$A$10000&amp;JupData!$J$2:$J$10000,0),11))</f>
        <v/>
      </c>
      <c r="S719" t="str">
        <f t="array" ref="S719">IF($A719="","",INDEX(JupData!$A$2:$K$10000,MATCH($A719&amp;S$1,JupData!$A$2:$A$10000&amp;JupData!$J$2:$J$10000,0),11))</f>
        <v/>
      </c>
      <c r="T719" t="str">
        <f t="array" ref="T719">IF($A719="","",INDEX(JupData!$A$2:$K$10000,MATCH($A719&amp;T$1,JupData!$A$2:$A$10000&amp;JupData!$J$2:$J$10000,0),11))</f>
        <v/>
      </c>
      <c r="U719" t="str">
        <f t="array" ref="U719">IF($A719="","",INDEX(JupData!$A$2:$K$10000,MATCH($A719&amp;U$1,JupData!$A$2:$A$10000&amp;JupData!$J$2:$J$10000,0),11))</f>
        <v/>
      </c>
      <c r="V719" t="str">
        <f t="array" ref="V719">IF($A719="","",INDEX(JupData!$A$2:$K$10000,MATCH($A719&amp;V$1,JupData!$A$2:$A$10000&amp;JupData!$J$2:$J$10000,0),11))</f>
        <v/>
      </c>
      <c r="W719" t="str">
        <f t="array" ref="W719">IF($A719="","",INDEX(JupData!$A$2:$K$10000,MATCH($A719&amp;W$1,JupData!$A$2:$A$10000&amp;JupData!$J$2:$J$10000,0),11))</f>
        <v/>
      </c>
      <c r="X719" t="str">
        <f t="array" ref="X719">IF($A719="","",INDEX(JupData!$A$2:$K$10000,MATCH($A719&amp;X$1,JupData!$A$2:$A$10000&amp;JupData!$J$2:$J$10000,0),11))</f>
        <v/>
      </c>
      <c r="Y719" t="str">
        <f t="array" ref="Y719">IF($A719="","",INDEX(JupData!$A$2:$K$10000,MATCH($A719&amp;Y$1,JupData!$A$2:$A$10000&amp;JupData!$J$2:$J$10000,0),11))</f>
        <v/>
      </c>
      <c r="Z719" t="str">
        <f t="array" ref="Z719">IF($A719="","",INDEX(JupData!$A$2:$K$10000,MATCH($A719&amp;Z$1,JupData!$A$2:$A$10000&amp;JupData!$J$2:$J$10000,0),11))</f>
        <v/>
      </c>
      <c r="AA719" t="str">
        <f t="array" ref="AA719">IF($A719="","",INDEX(JupData!$A$2:$K$10000,MATCH($A719&amp;AA$1,JupData!$A$2:$A$10000&amp;JupData!$J$2:$J$10000,0),11))</f>
        <v/>
      </c>
      <c r="AB719" t="str">
        <f t="array" ref="AB719">IF($A719="","",INDEX(JupData!$A$2:$K$10000,MATCH($A719&amp;AB$1,JupData!$A$2:$A$10000&amp;JupData!$J$2:$J$10000,0),11))</f>
        <v/>
      </c>
      <c r="AC719" s="10" t="str">
        <f t="shared" si="121"/>
        <v/>
      </c>
      <c r="AD719" s="10" t="str">
        <f t="shared" si="122"/>
        <v/>
      </c>
      <c r="AE719" s="9" t="str">
        <f t="shared" si="123"/>
        <v/>
      </c>
      <c r="AF719" s="10" t="str">
        <f t="shared" si="124"/>
        <v/>
      </c>
      <c r="AG719" s="10" t="str">
        <f t="shared" si="125"/>
        <v/>
      </c>
      <c r="AH719" s="10" t="str">
        <f t="shared" si="126"/>
        <v/>
      </c>
      <c r="AI719" s="10" t="str">
        <f t="shared" si="127"/>
        <v/>
      </c>
      <c r="AJ719" s="10" t="str">
        <f t="shared" si="128"/>
        <v/>
      </c>
      <c r="AK719" s="10" t="str">
        <f t="shared" si="129"/>
        <v/>
      </c>
      <c r="AL719" s="14" t="str">
        <f t="shared" si="130"/>
        <v/>
      </c>
    </row>
    <row r="720" spans="1:38" x14ac:dyDescent="0.2">
      <c r="A720"/>
      <c r="B720" t="str">
        <f>IF($A720="","",VLOOKUP($A720,JupData!$A$2:$I$10000,4,FALSE))</f>
        <v/>
      </c>
      <c r="C720" s="7" t="str">
        <f>IF($A720="",IF(N(D720),0,""),VLOOKUP($A720,JupData!$A$2:$I$10000,7,FALSE))</f>
        <v/>
      </c>
      <c r="D720" t="str">
        <f t="shared" si="131"/>
        <v/>
      </c>
      <c r="E720" t="str">
        <f t="array" ref="E720">IF($A720="","",INDEX(JupData!$A$2:$K$10000,MATCH($A720&amp;E$1,JupData!$A$2:$A$10000&amp;JupData!$J$2:$J$10000,0),11))</f>
        <v/>
      </c>
      <c r="F720" t="str">
        <f t="array" ref="F720">IF($A720="","",INDEX(JupData!$A$2:$K$10000,MATCH($A720&amp;F$1,JupData!$A$2:$A$10000&amp;JupData!$J$2:$J$10000,0),11))</f>
        <v/>
      </c>
      <c r="G720" t="str">
        <f t="array" ref="G720">IF($A720="","",INDEX(JupData!$A$2:$K$10000,MATCH($A720&amp;G$1,JupData!$A$2:$A$10000&amp;JupData!$J$2:$J$10000,0),11))</f>
        <v/>
      </c>
      <c r="H720" t="str">
        <f t="array" ref="H720">IF($A720="","",INDEX(JupData!$A$2:$K$10000,MATCH($A720&amp;H$1,JupData!$A$2:$A$10000&amp;JupData!$J$2:$J$10000,0),11))</f>
        <v/>
      </c>
      <c r="I720" t="str">
        <f t="array" ref="I720">IF($A720="","",INDEX(JupData!$A$2:$K$10000,MATCH($A720&amp;I$1,JupData!$A$2:$A$10000&amp;JupData!$J$2:$J$10000,0),11))</f>
        <v/>
      </c>
      <c r="J720" t="str">
        <f t="array" ref="J720">IF($A720="","",INDEX(JupData!$A$2:$K$10000,MATCH($A720&amp;J$1,JupData!$A$2:$A$10000&amp;JupData!$J$2:$J$10000,0),11))</f>
        <v/>
      </c>
      <c r="K720" t="str">
        <f t="array" ref="K720">IF($A720="","",INDEX(JupData!$A$2:$K$10000,MATCH($A720&amp;K$1,JupData!$A$2:$A$10000&amp;JupData!$J$2:$J$10000,0),11))</f>
        <v/>
      </c>
      <c r="L720" t="str">
        <f t="array" ref="L720">IF($A720="","",INDEX(JupData!$A$2:$K$10000,MATCH($A720&amp;L$1,JupData!$A$2:$A$10000&amp;JupData!$J$2:$J$10000,0),11))</f>
        <v/>
      </c>
      <c r="M720" t="str">
        <f t="array" ref="M720">IF($A720="","",INDEX(JupData!$A$2:$K$10000,MATCH($A720&amp;M$1,JupData!$A$2:$A$10000&amp;JupData!$J$2:$J$10000,0),11))</f>
        <v/>
      </c>
      <c r="N720" t="str">
        <f t="array" ref="N720">IF($A720="","",INDEX(JupData!$A$2:$K$10000,MATCH($A720&amp;N$1,JupData!$A$2:$A$10000&amp;JupData!$J$2:$J$10000,0),11))</f>
        <v/>
      </c>
      <c r="O720" t="str">
        <f t="array" ref="O720">IF($A720="","",INDEX(JupData!$A$2:$K$10000,MATCH($A720&amp;O$1,JupData!$A$2:$A$10000&amp;JupData!$J$2:$J$10000,0),11))</f>
        <v/>
      </c>
      <c r="P720" t="str">
        <f t="array" ref="P720">IF($A720="","",INDEX(JupData!$A$2:$K$10000,MATCH($A720&amp;P$1,JupData!$A$2:$A$10000&amp;JupData!$J$2:$J$10000,0),11))</f>
        <v/>
      </c>
      <c r="Q720" t="str">
        <f t="array" ref="Q720">IF($A720="","",INDEX(JupData!$A$2:$K$10000,MATCH($A720&amp;Q$1,JupData!$A$2:$A$10000&amp;JupData!$J$2:$J$10000,0),11))</f>
        <v/>
      </c>
      <c r="R720" t="str">
        <f t="array" ref="R720">IF($A720="","",INDEX(JupData!$A$2:$K$10000,MATCH($A720&amp;R$1,JupData!$A$2:$A$10000&amp;JupData!$J$2:$J$10000,0),11))</f>
        <v/>
      </c>
      <c r="S720" t="str">
        <f t="array" ref="S720">IF($A720="","",INDEX(JupData!$A$2:$K$10000,MATCH($A720&amp;S$1,JupData!$A$2:$A$10000&amp;JupData!$J$2:$J$10000,0),11))</f>
        <v/>
      </c>
      <c r="T720" t="str">
        <f t="array" ref="T720">IF($A720="","",INDEX(JupData!$A$2:$K$10000,MATCH($A720&amp;T$1,JupData!$A$2:$A$10000&amp;JupData!$J$2:$J$10000,0),11))</f>
        <v/>
      </c>
      <c r="U720" t="str">
        <f t="array" ref="U720">IF($A720="","",INDEX(JupData!$A$2:$K$10000,MATCH($A720&amp;U$1,JupData!$A$2:$A$10000&amp;JupData!$J$2:$J$10000,0),11))</f>
        <v/>
      </c>
      <c r="V720" t="str">
        <f t="array" ref="V720">IF($A720="","",INDEX(JupData!$A$2:$K$10000,MATCH($A720&amp;V$1,JupData!$A$2:$A$10000&amp;JupData!$J$2:$J$10000,0),11))</f>
        <v/>
      </c>
      <c r="W720" t="str">
        <f t="array" ref="W720">IF($A720="","",INDEX(JupData!$A$2:$K$10000,MATCH($A720&amp;W$1,JupData!$A$2:$A$10000&amp;JupData!$J$2:$J$10000,0),11))</f>
        <v/>
      </c>
      <c r="X720" t="str">
        <f t="array" ref="X720">IF($A720="","",INDEX(JupData!$A$2:$K$10000,MATCH($A720&amp;X$1,JupData!$A$2:$A$10000&amp;JupData!$J$2:$J$10000,0),11))</f>
        <v/>
      </c>
      <c r="Y720" t="str">
        <f t="array" ref="Y720">IF($A720="","",INDEX(JupData!$A$2:$K$10000,MATCH($A720&amp;Y$1,JupData!$A$2:$A$10000&amp;JupData!$J$2:$J$10000,0),11))</f>
        <v/>
      </c>
      <c r="Z720" t="str">
        <f t="array" ref="Z720">IF($A720="","",INDEX(JupData!$A$2:$K$10000,MATCH($A720&amp;Z$1,JupData!$A$2:$A$10000&amp;JupData!$J$2:$J$10000,0),11))</f>
        <v/>
      </c>
      <c r="AA720" t="str">
        <f t="array" ref="AA720">IF($A720="","",INDEX(JupData!$A$2:$K$10000,MATCH($A720&amp;AA$1,JupData!$A$2:$A$10000&amp;JupData!$J$2:$J$10000,0),11))</f>
        <v/>
      </c>
      <c r="AB720" t="str">
        <f t="array" ref="AB720">IF($A720="","",INDEX(JupData!$A$2:$K$10000,MATCH($A720&amp;AB$1,JupData!$A$2:$A$10000&amp;JupData!$J$2:$J$10000,0),11))</f>
        <v/>
      </c>
      <c r="AC720" s="10" t="str">
        <f t="shared" si="121"/>
        <v/>
      </c>
      <c r="AD720" s="10" t="str">
        <f t="shared" si="122"/>
        <v/>
      </c>
      <c r="AE720" s="9" t="str">
        <f t="shared" si="123"/>
        <v/>
      </c>
      <c r="AF720" s="10" t="str">
        <f t="shared" si="124"/>
        <v/>
      </c>
      <c r="AG720" s="10" t="str">
        <f t="shared" si="125"/>
        <v/>
      </c>
      <c r="AH720" s="10" t="str">
        <f t="shared" si="126"/>
        <v/>
      </c>
      <c r="AI720" s="10" t="str">
        <f t="shared" si="127"/>
        <v/>
      </c>
      <c r="AJ720" s="10" t="str">
        <f t="shared" si="128"/>
        <v/>
      </c>
      <c r="AK720" s="10" t="str">
        <f t="shared" si="129"/>
        <v/>
      </c>
      <c r="AL720" s="14" t="str">
        <f t="shared" si="130"/>
        <v/>
      </c>
    </row>
    <row r="721" spans="1:38" x14ac:dyDescent="0.2">
      <c r="A721"/>
      <c r="B721" t="str">
        <f>IF($A721="","",VLOOKUP($A721,JupData!$A$2:$I$10000,4,FALSE))</f>
        <v/>
      </c>
      <c r="C721" s="7" t="str">
        <f>IF($A721="",IF(N(D721),0,""),VLOOKUP($A721,JupData!$A$2:$I$10000,7,FALSE))</f>
        <v/>
      </c>
      <c r="D721" t="str">
        <f t="shared" si="131"/>
        <v/>
      </c>
      <c r="E721" t="str">
        <f t="array" ref="E721">IF($A721="","",INDEX(JupData!$A$2:$K$10000,MATCH($A721&amp;E$1,JupData!$A$2:$A$10000&amp;JupData!$J$2:$J$10000,0),11))</f>
        <v/>
      </c>
      <c r="F721" t="str">
        <f t="array" ref="F721">IF($A721="","",INDEX(JupData!$A$2:$K$10000,MATCH($A721&amp;F$1,JupData!$A$2:$A$10000&amp;JupData!$J$2:$J$10000,0),11))</f>
        <v/>
      </c>
      <c r="G721" t="str">
        <f t="array" ref="G721">IF($A721="","",INDEX(JupData!$A$2:$K$10000,MATCH($A721&amp;G$1,JupData!$A$2:$A$10000&amp;JupData!$J$2:$J$10000,0),11))</f>
        <v/>
      </c>
      <c r="H721" t="str">
        <f t="array" ref="H721">IF($A721="","",INDEX(JupData!$A$2:$K$10000,MATCH($A721&amp;H$1,JupData!$A$2:$A$10000&amp;JupData!$J$2:$J$10000,0),11))</f>
        <v/>
      </c>
      <c r="I721" t="str">
        <f t="array" ref="I721">IF($A721="","",INDEX(JupData!$A$2:$K$10000,MATCH($A721&amp;I$1,JupData!$A$2:$A$10000&amp;JupData!$J$2:$J$10000,0),11))</f>
        <v/>
      </c>
      <c r="J721" t="str">
        <f t="array" ref="J721">IF($A721="","",INDEX(JupData!$A$2:$K$10000,MATCH($A721&amp;J$1,JupData!$A$2:$A$10000&amp;JupData!$J$2:$J$10000,0),11))</f>
        <v/>
      </c>
      <c r="K721" t="str">
        <f t="array" ref="K721">IF($A721="","",INDEX(JupData!$A$2:$K$10000,MATCH($A721&amp;K$1,JupData!$A$2:$A$10000&amp;JupData!$J$2:$J$10000,0),11))</f>
        <v/>
      </c>
      <c r="L721" t="str">
        <f t="array" ref="L721">IF($A721="","",INDEX(JupData!$A$2:$K$10000,MATCH($A721&amp;L$1,JupData!$A$2:$A$10000&amp;JupData!$J$2:$J$10000,0),11))</f>
        <v/>
      </c>
      <c r="M721" t="str">
        <f t="array" ref="M721">IF($A721="","",INDEX(JupData!$A$2:$K$10000,MATCH($A721&amp;M$1,JupData!$A$2:$A$10000&amp;JupData!$J$2:$J$10000,0),11))</f>
        <v/>
      </c>
      <c r="N721" t="str">
        <f t="array" ref="N721">IF($A721="","",INDEX(JupData!$A$2:$K$10000,MATCH($A721&amp;N$1,JupData!$A$2:$A$10000&amp;JupData!$J$2:$J$10000,0),11))</f>
        <v/>
      </c>
      <c r="O721" t="str">
        <f t="array" ref="O721">IF($A721="","",INDEX(JupData!$A$2:$K$10000,MATCH($A721&amp;O$1,JupData!$A$2:$A$10000&amp;JupData!$J$2:$J$10000,0),11))</f>
        <v/>
      </c>
      <c r="P721" t="str">
        <f t="array" ref="P721">IF($A721="","",INDEX(JupData!$A$2:$K$10000,MATCH($A721&amp;P$1,JupData!$A$2:$A$10000&amp;JupData!$J$2:$J$10000,0),11))</f>
        <v/>
      </c>
      <c r="Q721" t="str">
        <f t="array" ref="Q721">IF($A721="","",INDEX(JupData!$A$2:$K$10000,MATCH($A721&amp;Q$1,JupData!$A$2:$A$10000&amp;JupData!$J$2:$J$10000,0),11))</f>
        <v/>
      </c>
      <c r="R721" t="str">
        <f t="array" ref="R721">IF($A721="","",INDEX(JupData!$A$2:$K$10000,MATCH($A721&amp;R$1,JupData!$A$2:$A$10000&amp;JupData!$J$2:$J$10000,0),11))</f>
        <v/>
      </c>
      <c r="S721" t="str">
        <f t="array" ref="S721">IF($A721="","",INDEX(JupData!$A$2:$K$10000,MATCH($A721&amp;S$1,JupData!$A$2:$A$10000&amp;JupData!$J$2:$J$10000,0),11))</f>
        <v/>
      </c>
      <c r="T721" t="str">
        <f t="array" ref="T721">IF($A721="","",INDEX(JupData!$A$2:$K$10000,MATCH($A721&amp;T$1,JupData!$A$2:$A$10000&amp;JupData!$J$2:$J$10000,0),11))</f>
        <v/>
      </c>
      <c r="U721" t="str">
        <f t="array" ref="U721">IF($A721="","",INDEX(JupData!$A$2:$K$10000,MATCH($A721&amp;U$1,JupData!$A$2:$A$10000&amp;JupData!$J$2:$J$10000,0),11))</f>
        <v/>
      </c>
      <c r="V721" t="str">
        <f t="array" ref="V721">IF($A721="","",INDEX(JupData!$A$2:$K$10000,MATCH($A721&amp;V$1,JupData!$A$2:$A$10000&amp;JupData!$J$2:$J$10000,0),11))</f>
        <v/>
      </c>
      <c r="W721" t="str">
        <f t="array" ref="W721">IF($A721="","",INDEX(JupData!$A$2:$K$10000,MATCH($A721&amp;W$1,JupData!$A$2:$A$10000&amp;JupData!$J$2:$J$10000,0),11))</f>
        <v/>
      </c>
      <c r="X721" t="str">
        <f t="array" ref="X721">IF($A721="","",INDEX(JupData!$A$2:$K$10000,MATCH($A721&amp;X$1,JupData!$A$2:$A$10000&amp;JupData!$J$2:$J$10000,0),11))</f>
        <v/>
      </c>
      <c r="Y721" t="str">
        <f t="array" ref="Y721">IF($A721="","",INDEX(JupData!$A$2:$K$10000,MATCH($A721&amp;Y$1,JupData!$A$2:$A$10000&amp;JupData!$J$2:$J$10000,0),11))</f>
        <v/>
      </c>
      <c r="Z721" t="str">
        <f t="array" ref="Z721">IF($A721="","",INDEX(JupData!$A$2:$K$10000,MATCH($A721&amp;Z$1,JupData!$A$2:$A$10000&amp;JupData!$J$2:$J$10000,0),11))</f>
        <v/>
      </c>
      <c r="AA721" t="str">
        <f t="array" ref="AA721">IF($A721="","",INDEX(JupData!$A$2:$K$10000,MATCH($A721&amp;AA$1,JupData!$A$2:$A$10000&amp;JupData!$J$2:$J$10000,0),11))</f>
        <v/>
      </c>
      <c r="AB721" t="str">
        <f t="array" ref="AB721">IF($A721="","",INDEX(JupData!$A$2:$K$10000,MATCH($A721&amp;AB$1,JupData!$A$2:$A$10000&amp;JupData!$J$2:$J$10000,0),11))</f>
        <v/>
      </c>
      <c r="AC721" s="10" t="str">
        <f t="shared" si="121"/>
        <v/>
      </c>
      <c r="AD721" s="10" t="str">
        <f t="shared" si="122"/>
        <v/>
      </c>
      <c r="AE721" s="9" t="str">
        <f t="shared" si="123"/>
        <v/>
      </c>
      <c r="AF721" s="10" t="str">
        <f t="shared" si="124"/>
        <v/>
      </c>
      <c r="AG721" s="10" t="str">
        <f t="shared" si="125"/>
        <v/>
      </c>
      <c r="AH721" s="10" t="str">
        <f t="shared" si="126"/>
        <v/>
      </c>
      <c r="AI721" s="10" t="str">
        <f t="shared" si="127"/>
        <v/>
      </c>
      <c r="AJ721" s="10" t="str">
        <f t="shared" si="128"/>
        <v/>
      </c>
      <c r="AK721" s="10" t="str">
        <f t="shared" si="129"/>
        <v/>
      </c>
      <c r="AL721" s="14" t="str">
        <f t="shared" si="130"/>
        <v/>
      </c>
    </row>
    <row r="722" spans="1:38" x14ac:dyDescent="0.2">
      <c r="A722"/>
      <c r="B722" t="str">
        <f>IF($A722="","",VLOOKUP($A722,JupData!$A$2:$I$10000,4,FALSE))</f>
        <v/>
      </c>
      <c r="C722" s="7" t="str">
        <f>IF($A722="",IF(N(D722),0,""),VLOOKUP($A722,JupData!$A$2:$I$10000,7,FALSE))</f>
        <v/>
      </c>
      <c r="D722" t="str">
        <f t="shared" si="131"/>
        <v/>
      </c>
      <c r="E722" t="str">
        <f t="array" ref="E722">IF($A722="","",INDEX(JupData!$A$2:$K$10000,MATCH($A722&amp;E$1,JupData!$A$2:$A$10000&amp;JupData!$J$2:$J$10000,0),11))</f>
        <v/>
      </c>
      <c r="F722" t="str">
        <f t="array" ref="F722">IF($A722="","",INDEX(JupData!$A$2:$K$10000,MATCH($A722&amp;F$1,JupData!$A$2:$A$10000&amp;JupData!$J$2:$J$10000,0),11))</f>
        <v/>
      </c>
      <c r="G722" t="str">
        <f t="array" ref="G722">IF($A722="","",INDEX(JupData!$A$2:$K$10000,MATCH($A722&amp;G$1,JupData!$A$2:$A$10000&amp;JupData!$J$2:$J$10000,0),11))</f>
        <v/>
      </c>
      <c r="H722" t="str">
        <f t="array" ref="H722">IF($A722="","",INDEX(JupData!$A$2:$K$10000,MATCH($A722&amp;H$1,JupData!$A$2:$A$10000&amp;JupData!$J$2:$J$10000,0),11))</f>
        <v/>
      </c>
      <c r="I722" t="str">
        <f t="array" ref="I722">IF($A722="","",INDEX(JupData!$A$2:$K$10000,MATCH($A722&amp;I$1,JupData!$A$2:$A$10000&amp;JupData!$J$2:$J$10000,0),11))</f>
        <v/>
      </c>
      <c r="J722" t="str">
        <f t="array" ref="J722">IF($A722="","",INDEX(JupData!$A$2:$K$10000,MATCH($A722&amp;J$1,JupData!$A$2:$A$10000&amp;JupData!$J$2:$J$10000,0),11))</f>
        <v/>
      </c>
      <c r="K722" t="str">
        <f t="array" ref="K722">IF($A722="","",INDEX(JupData!$A$2:$K$10000,MATCH($A722&amp;K$1,JupData!$A$2:$A$10000&amp;JupData!$J$2:$J$10000,0),11))</f>
        <v/>
      </c>
      <c r="L722" t="str">
        <f t="array" ref="L722">IF($A722="","",INDEX(JupData!$A$2:$K$10000,MATCH($A722&amp;L$1,JupData!$A$2:$A$10000&amp;JupData!$J$2:$J$10000,0),11))</f>
        <v/>
      </c>
      <c r="M722" t="str">
        <f t="array" ref="M722">IF($A722="","",INDEX(JupData!$A$2:$K$10000,MATCH($A722&amp;M$1,JupData!$A$2:$A$10000&amp;JupData!$J$2:$J$10000,0),11))</f>
        <v/>
      </c>
      <c r="N722" t="str">
        <f t="array" ref="N722">IF($A722="","",INDEX(JupData!$A$2:$K$10000,MATCH($A722&amp;N$1,JupData!$A$2:$A$10000&amp;JupData!$J$2:$J$10000,0),11))</f>
        <v/>
      </c>
      <c r="O722" t="str">
        <f t="array" ref="O722">IF($A722="","",INDEX(JupData!$A$2:$K$10000,MATCH($A722&amp;O$1,JupData!$A$2:$A$10000&amp;JupData!$J$2:$J$10000,0),11))</f>
        <v/>
      </c>
      <c r="P722" t="str">
        <f t="array" ref="P722">IF($A722="","",INDEX(JupData!$A$2:$K$10000,MATCH($A722&amp;P$1,JupData!$A$2:$A$10000&amp;JupData!$J$2:$J$10000,0),11))</f>
        <v/>
      </c>
      <c r="Q722" t="str">
        <f t="array" ref="Q722">IF($A722="","",INDEX(JupData!$A$2:$K$10000,MATCH($A722&amp;Q$1,JupData!$A$2:$A$10000&amp;JupData!$J$2:$J$10000,0),11))</f>
        <v/>
      </c>
      <c r="R722" t="str">
        <f t="array" ref="R722">IF($A722="","",INDEX(JupData!$A$2:$K$10000,MATCH($A722&amp;R$1,JupData!$A$2:$A$10000&amp;JupData!$J$2:$J$10000,0),11))</f>
        <v/>
      </c>
      <c r="S722" t="str">
        <f t="array" ref="S722">IF($A722="","",INDEX(JupData!$A$2:$K$10000,MATCH($A722&amp;S$1,JupData!$A$2:$A$10000&amp;JupData!$J$2:$J$10000,0),11))</f>
        <v/>
      </c>
      <c r="T722" t="str">
        <f t="array" ref="T722">IF($A722="","",INDEX(JupData!$A$2:$K$10000,MATCH($A722&amp;T$1,JupData!$A$2:$A$10000&amp;JupData!$J$2:$J$10000,0),11))</f>
        <v/>
      </c>
      <c r="U722" t="str">
        <f t="array" ref="U722">IF($A722="","",INDEX(JupData!$A$2:$K$10000,MATCH($A722&amp;U$1,JupData!$A$2:$A$10000&amp;JupData!$J$2:$J$10000,0),11))</f>
        <v/>
      </c>
      <c r="V722" t="str">
        <f t="array" ref="V722">IF($A722="","",INDEX(JupData!$A$2:$K$10000,MATCH($A722&amp;V$1,JupData!$A$2:$A$10000&amp;JupData!$J$2:$J$10000,0),11))</f>
        <v/>
      </c>
      <c r="W722" t="str">
        <f t="array" ref="W722">IF($A722="","",INDEX(JupData!$A$2:$K$10000,MATCH($A722&amp;W$1,JupData!$A$2:$A$10000&amp;JupData!$J$2:$J$10000,0),11))</f>
        <v/>
      </c>
      <c r="X722" t="str">
        <f t="array" ref="X722">IF($A722="","",INDEX(JupData!$A$2:$K$10000,MATCH($A722&amp;X$1,JupData!$A$2:$A$10000&amp;JupData!$J$2:$J$10000,0),11))</f>
        <v/>
      </c>
      <c r="Y722" t="str">
        <f t="array" ref="Y722">IF($A722="","",INDEX(JupData!$A$2:$K$10000,MATCH($A722&amp;Y$1,JupData!$A$2:$A$10000&amp;JupData!$J$2:$J$10000,0),11))</f>
        <v/>
      </c>
      <c r="Z722" t="str">
        <f t="array" ref="Z722">IF($A722="","",INDEX(JupData!$A$2:$K$10000,MATCH($A722&amp;Z$1,JupData!$A$2:$A$10000&amp;JupData!$J$2:$J$10000,0),11))</f>
        <v/>
      </c>
      <c r="AA722" t="str">
        <f t="array" ref="AA722">IF($A722="","",INDEX(JupData!$A$2:$K$10000,MATCH($A722&amp;AA$1,JupData!$A$2:$A$10000&amp;JupData!$J$2:$J$10000,0),11))</f>
        <v/>
      </c>
      <c r="AB722" t="str">
        <f t="array" ref="AB722">IF($A722="","",INDEX(JupData!$A$2:$K$10000,MATCH($A722&amp;AB$1,JupData!$A$2:$A$10000&amp;JupData!$J$2:$J$10000,0),11))</f>
        <v/>
      </c>
      <c r="AC722" s="10" t="str">
        <f t="shared" si="121"/>
        <v/>
      </c>
      <c r="AD722" s="10" t="str">
        <f t="shared" si="122"/>
        <v/>
      </c>
      <c r="AE722" s="9" t="str">
        <f t="shared" si="123"/>
        <v/>
      </c>
      <c r="AF722" s="10" t="str">
        <f t="shared" si="124"/>
        <v/>
      </c>
      <c r="AG722" s="10" t="str">
        <f t="shared" si="125"/>
        <v/>
      </c>
      <c r="AH722" s="10" t="str">
        <f t="shared" si="126"/>
        <v/>
      </c>
      <c r="AI722" s="10" t="str">
        <f t="shared" si="127"/>
        <v/>
      </c>
      <c r="AJ722" s="10" t="str">
        <f t="shared" si="128"/>
        <v/>
      </c>
      <c r="AK722" s="10" t="str">
        <f t="shared" si="129"/>
        <v/>
      </c>
      <c r="AL722" s="14" t="str">
        <f t="shared" si="130"/>
        <v/>
      </c>
    </row>
    <row r="723" spans="1:38" x14ac:dyDescent="0.2">
      <c r="A723"/>
      <c r="B723" t="str">
        <f>IF($A723="","",VLOOKUP($A723,JupData!$A$2:$I$10000,4,FALSE))</f>
        <v/>
      </c>
      <c r="C723" s="7" t="str">
        <f>IF($A723="",IF(N(D723),0,""),VLOOKUP($A723,JupData!$A$2:$I$10000,7,FALSE))</f>
        <v/>
      </c>
      <c r="D723" t="str">
        <f t="shared" si="131"/>
        <v/>
      </c>
      <c r="E723" t="str">
        <f t="array" ref="E723">IF($A723="","",INDEX(JupData!$A$2:$K$10000,MATCH($A723&amp;E$1,JupData!$A$2:$A$10000&amp;JupData!$J$2:$J$10000,0),11))</f>
        <v/>
      </c>
      <c r="F723" t="str">
        <f t="array" ref="F723">IF($A723="","",INDEX(JupData!$A$2:$K$10000,MATCH($A723&amp;F$1,JupData!$A$2:$A$10000&amp;JupData!$J$2:$J$10000,0),11))</f>
        <v/>
      </c>
      <c r="G723" t="str">
        <f t="array" ref="G723">IF($A723="","",INDEX(JupData!$A$2:$K$10000,MATCH($A723&amp;G$1,JupData!$A$2:$A$10000&amp;JupData!$J$2:$J$10000,0),11))</f>
        <v/>
      </c>
      <c r="H723" t="str">
        <f t="array" ref="H723">IF($A723="","",INDEX(JupData!$A$2:$K$10000,MATCH($A723&amp;H$1,JupData!$A$2:$A$10000&amp;JupData!$J$2:$J$10000,0),11))</f>
        <v/>
      </c>
      <c r="I723" t="str">
        <f t="array" ref="I723">IF($A723="","",INDEX(JupData!$A$2:$K$10000,MATCH($A723&amp;I$1,JupData!$A$2:$A$10000&amp;JupData!$J$2:$J$10000,0),11))</f>
        <v/>
      </c>
      <c r="J723" t="str">
        <f t="array" ref="J723">IF($A723="","",INDEX(JupData!$A$2:$K$10000,MATCH($A723&amp;J$1,JupData!$A$2:$A$10000&amp;JupData!$J$2:$J$10000,0),11))</f>
        <v/>
      </c>
      <c r="K723" t="str">
        <f t="array" ref="K723">IF($A723="","",INDEX(JupData!$A$2:$K$10000,MATCH($A723&amp;K$1,JupData!$A$2:$A$10000&amp;JupData!$J$2:$J$10000,0),11))</f>
        <v/>
      </c>
      <c r="L723" t="str">
        <f t="array" ref="L723">IF($A723="","",INDEX(JupData!$A$2:$K$10000,MATCH($A723&amp;L$1,JupData!$A$2:$A$10000&amp;JupData!$J$2:$J$10000,0),11))</f>
        <v/>
      </c>
      <c r="M723" t="str">
        <f t="array" ref="M723">IF($A723="","",INDEX(JupData!$A$2:$K$10000,MATCH($A723&amp;M$1,JupData!$A$2:$A$10000&amp;JupData!$J$2:$J$10000,0),11))</f>
        <v/>
      </c>
      <c r="N723" t="str">
        <f t="array" ref="N723">IF($A723="","",INDEX(JupData!$A$2:$K$10000,MATCH($A723&amp;N$1,JupData!$A$2:$A$10000&amp;JupData!$J$2:$J$10000,0),11))</f>
        <v/>
      </c>
      <c r="O723" t="str">
        <f t="array" ref="O723">IF($A723="","",INDEX(JupData!$A$2:$K$10000,MATCH($A723&amp;O$1,JupData!$A$2:$A$10000&amp;JupData!$J$2:$J$10000,0),11))</f>
        <v/>
      </c>
      <c r="P723" t="str">
        <f t="array" ref="P723">IF($A723="","",INDEX(JupData!$A$2:$K$10000,MATCH($A723&amp;P$1,JupData!$A$2:$A$10000&amp;JupData!$J$2:$J$10000,0),11))</f>
        <v/>
      </c>
      <c r="Q723" t="str">
        <f t="array" ref="Q723">IF($A723="","",INDEX(JupData!$A$2:$K$10000,MATCH($A723&amp;Q$1,JupData!$A$2:$A$10000&amp;JupData!$J$2:$J$10000,0),11))</f>
        <v/>
      </c>
      <c r="R723" t="str">
        <f t="array" ref="R723">IF($A723="","",INDEX(JupData!$A$2:$K$10000,MATCH($A723&amp;R$1,JupData!$A$2:$A$10000&amp;JupData!$J$2:$J$10000,0),11))</f>
        <v/>
      </c>
      <c r="S723" t="str">
        <f t="array" ref="S723">IF($A723="","",INDEX(JupData!$A$2:$K$10000,MATCH($A723&amp;S$1,JupData!$A$2:$A$10000&amp;JupData!$J$2:$J$10000,0),11))</f>
        <v/>
      </c>
      <c r="T723" t="str">
        <f t="array" ref="T723">IF($A723="","",INDEX(JupData!$A$2:$K$10000,MATCH($A723&amp;T$1,JupData!$A$2:$A$10000&amp;JupData!$J$2:$J$10000,0),11))</f>
        <v/>
      </c>
      <c r="U723" t="str">
        <f t="array" ref="U723">IF($A723="","",INDEX(JupData!$A$2:$K$10000,MATCH($A723&amp;U$1,JupData!$A$2:$A$10000&amp;JupData!$J$2:$J$10000,0),11))</f>
        <v/>
      </c>
      <c r="V723" t="str">
        <f t="array" ref="V723">IF($A723="","",INDEX(JupData!$A$2:$K$10000,MATCH($A723&amp;V$1,JupData!$A$2:$A$10000&amp;JupData!$J$2:$J$10000,0),11))</f>
        <v/>
      </c>
      <c r="W723" t="str">
        <f t="array" ref="W723">IF($A723="","",INDEX(JupData!$A$2:$K$10000,MATCH($A723&amp;W$1,JupData!$A$2:$A$10000&amp;JupData!$J$2:$J$10000,0),11))</f>
        <v/>
      </c>
      <c r="X723" t="str">
        <f t="array" ref="X723">IF($A723="","",INDEX(JupData!$A$2:$K$10000,MATCH($A723&amp;X$1,JupData!$A$2:$A$10000&amp;JupData!$J$2:$J$10000,0),11))</f>
        <v/>
      </c>
      <c r="Y723" t="str">
        <f t="array" ref="Y723">IF($A723="","",INDEX(JupData!$A$2:$K$10000,MATCH($A723&amp;Y$1,JupData!$A$2:$A$10000&amp;JupData!$J$2:$J$10000,0),11))</f>
        <v/>
      </c>
      <c r="Z723" t="str">
        <f t="array" ref="Z723">IF($A723="","",INDEX(JupData!$A$2:$K$10000,MATCH($A723&amp;Z$1,JupData!$A$2:$A$10000&amp;JupData!$J$2:$J$10000,0),11))</f>
        <v/>
      </c>
      <c r="AA723" t="str">
        <f t="array" ref="AA723">IF($A723="","",INDEX(JupData!$A$2:$K$10000,MATCH($A723&amp;AA$1,JupData!$A$2:$A$10000&amp;JupData!$J$2:$J$10000,0),11))</f>
        <v/>
      </c>
      <c r="AB723" t="str">
        <f t="array" ref="AB723">IF($A723="","",INDEX(JupData!$A$2:$K$10000,MATCH($A723&amp;AB$1,JupData!$A$2:$A$10000&amp;JupData!$J$2:$J$10000,0),11))</f>
        <v/>
      </c>
      <c r="AC723" s="10" t="str">
        <f t="shared" si="121"/>
        <v/>
      </c>
      <c r="AD723" s="10" t="str">
        <f t="shared" si="122"/>
        <v/>
      </c>
      <c r="AE723" s="9" t="str">
        <f t="shared" si="123"/>
        <v/>
      </c>
      <c r="AF723" s="10" t="str">
        <f t="shared" si="124"/>
        <v/>
      </c>
      <c r="AG723" s="10" t="str">
        <f t="shared" si="125"/>
        <v/>
      </c>
      <c r="AH723" s="10" t="str">
        <f t="shared" si="126"/>
        <v/>
      </c>
      <c r="AI723" s="10" t="str">
        <f t="shared" si="127"/>
        <v/>
      </c>
      <c r="AJ723" s="10" t="str">
        <f t="shared" si="128"/>
        <v/>
      </c>
      <c r="AK723" s="10" t="str">
        <f t="shared" si="129"/>
        <v/>
      </c>
      <c r="AL723" s="14" t="str">
        <f t="shared" si="130"/>
        <v/>
      </c>
    </row>
    <row r="724" spans="1:38" x14ac:dyDescent="0.2">
      <c r="A724"/>
      <c r="B724" t="str">
        <f>IF($A724="","",VLOOKUP($A724,JupData!$A$2:$I$10000,4,FALSE))</f>
        <v/>
      </c>
      <c r="C724" s="7" t="str">
        <f>IF($A724="",IF(N(D724),0,""),VLOOKUP($A724,JupData!$A$2:$I$10000,7,FALSE))</f>
        <v/>
      </c>
      <c r="D724" t="str">
        <f t="shared" si="131"/>
        <v/>
      </c>
      <c r="E724" t="str">
        <f t="array" ref="E724">IF($A724="","",INDEX(JupData!$A$2:$K$10000,MATCH($A724&amp;E$1,JupData!$A$2:$A$10000&amp;JupData!$J$2:$J$10000,0),11))</f>
        <v/>
      </c>
      <c r="F724" t="str">
        <f t="array" ref="F724">IF($A724="","",INDEX(JupData!$A$2:$K$10000,MATCH($A724&amp;F$1,JupData!$A$2:$A$10000&amp;JupData!$J$2:$J$10000,0),11))</f>
        <v/>
      </c>
      <c r="G724" t="str">
        <f t="array" ref="G724">IF($A724="","",INDEX(JupData!$A$2:$K$10000,MATCH($A724&amp;G$1,JupData!$A$2:$A$10000&amp;JupData!$J$2:$J$10000,0),11))</f>
        <v/>
      </c>
      <c r="H724" t="str">
        <f t="array" ref="H724">IF($A724="","",INDEX(JupData!$A$2:$K$10000,MATCH($A724&amp;H$1,JupData!$A$2:$A$10000&amp;JupData!$J$2:$J$10000,0),11))</f>
        <v/>
      </c>
      <c r="I724" t="str">
        <f t="array" ref="I724">IF($A724="","",INDEX(JupData!$A$2:$K$10000,MATCH($A724&amp;I$1,JupData!$A$2:$A$10000&amp;JupData!$J$2:$J$10000,0),11))</f>
        <v/>
      </c>
      <c r="J724" t="str">
        <f t="array" ref="J724">IF($A724="","",INDEX(JupData!$A$2:$K$10000,MATCH($A724&amp;J$1,JupData!$A$2:$A$10000&amp;JupData!$J$2:$J$10000,0),11))</f>
        <v/>
      </c>
      <c r="K724" t="str">
        <f t="array" ref="K724">IF($A724="","",INDEX(JupData!$A$2:$K$10000,MATCH($A724&amp;K$1,JupData!$A$2:$A$10000&amp;JupData!$J$2:$J$10000,0),11))</f>
        <v/>
      </c>
      <c r="L724" t="str">
        <f t="array" ref="L724">IF($A724="","",INDEX(JupData!$A$2:$K$10000,MATCH($A724&amp;L$1,JupData!$A$2:$A$10000&amp;JupData!$J$2:$J$10000,0),11))</f>
        <v/>
      </c>
      <c r="M724" t="str">
        <f t="array" ref="M724">IF($A724="","",INDEX(JupData!$A$2:$K$10000,MATCH($A724&amp;M$1,JupData!$A$2:$A$10000&amp;JupData!$J$2:$J$10000,0),11))</f>
        <v/>
      </c>
      <c r="N724" t="str">
        <f t="array" ref="N724">IF($A724="","",INDEX(JupData!$A$2:$K$10000,MATCH($A724&amp;N$1,JupData!$A$2:$A$10000&amp;JupData!$J$2:$J$10000,0),11))</f>
        <v/>
      </c>
      <c r="O724" t="str">
        <f t="array" ref="O724">IF($A724="","",INDEX(JupData!$A$2:$K$10000,MATCH($A724&amp;O$1,JupData!$A$2:$A$10000&amp;JupData!$J$2:$J$10000,0),11))</f>
        <v/>
      </c>
      <c r="P724" t="str">
        <f t="array" ref="P724">IF($A724="","",INDEX(JupData!$A$2:$K$10000,MATCH($A724&amp;P$1,JupData!$A$2:$A$10000&amp;JupData!$J$2:$J$10000,0),11))</f>
        <v/>
      </c>
      <c r="Q724" t="str">
        <f t="array" ref="Q724">IF($A724="","",INDEX(JupData!$A$2:$K$10000,MATCH($A724&amp;Q$1,JupData!$A$2:$A$10000&amp;JupData!$J$2:$J$10000,0),11))</f>
        <v/>
      </c>
      <c r="R724" t="str">
        <f t="array" ref="R724">IF($A724="","",INDEX(JupData!$A$2:$K$10000,MATCH($A724&amp;R$1,JupData!$A$2:$A$10000&amp;JupData!$J$2:$J$10000,0),11))</f>
        <v/>
      </c>
      <c r="S724" t="str">
        <f t="array" ref="S724">IF($A724="","",INDEX(JupData!$A$2:$K$10000,MATCH($A724&amp;S$1,JupData!$A$2:$A$10000&amp;JupData!$J$2:$J$10000,0),11))</f>
        <v/>
      </c>
      <c r="T724" t="str">
        <f t="array" ref="T724">IF($A724="","",INDEX(JupData!$A$2:$K$10000,MATCH($A724&amp;T$1,JupData!$A$2:$A$10000&amp;JupData!$J$2:$J$10000,0),11))</f>
        <v/>
      </c>
      <c r="U724" t="str">
        <f t="array" ref="U724">IF($A724="","",INDEX(JupData!$A$2:$K$10000,MATCH($A724&amp;U$1,JupData!$A$2:$A$10000&amp;JupData!$J$2:$J$10000,0),11))</f>
        <v/>
      </c>
      <c r="V724" t="str">
        <f t="array" ref="V724">IF($A724="","",INDEX(JupData!$A$2:$K$10000,MATCH($A724&amp;V$1,JupData!$A$2:$A$10000&amp;JupData!$J$2:$J$10000,0),11))</f>
        <v/>
      </c>
      <c r="W724" t="str">
        <f t="array" ref="W724">IF($A724="","",INDEX(JupData!$A$2:$K$10000,MATCH($A724&amp;W$1,JupData!$A$2:$A$10000&amp;JupData!$J$2:$J$10000,0),11))</f>
        <v/>
      </c>
      <c r="X724" t="str">
        <f t="array" ref="X724">IF($A724="","",INDEX(JupData!$A$2:$K$10000,MATCH($A724&amp;X$1,JupData!$A$2:$A$10000&amp;JupData!$J$2:$J$10000,0),11))</f>
        <v/>
      </c>
      <c r="Y724" t="str">
        <f t="array" ref="Y724">IF($A724="","",INDEX(JupData!$A$2:$K$10000,MATCH($A724&amp;Y$1,JupData!$A$2:$A$10000&amp;JupData!$J$2:$J$10000,0),11))</f>
        <v/>
      </c>
      <c r="Z724" t="str">
        <f t="array" ref="Z724">IF($A724="","",INDEX(JupData!$A$2:$K$10000,MATCH($A724&amp;Z$1,JupData!$A$2:$A$10000&amp;JupData!$J$2:$J$10000,0),11))</f>
        <v/>
      </c>
      <c r="AA724" t="str">
        <f t="array" ref="AA724">IF($A724="","",INDEX(JupData!$A$2:$K$10000,MATCH($A724&amp;AA$1,JupData!$A$2:$A$10000&amp;JupData!$J$2:$J$10000,0),11))</f>
        <v/>
      </c>
      <c r="AB724" t="str">
        <f t="array" ref="AB724">IF($A724="","",INDEX(JupData!$A$2:$K$10000,MATCH($A724&amp;AB$1,JupData!$A$2:$A$10000&amp;JupData!$J$2:$J$10000,0),11))</f>
        <v/>
      </c>
      <c r="AC724" s="10" t="str">
        <f t="shared" si="121"/>
        <v/>
      </c>
      <c r="AD724" s="10" t="str">
        <f t="shared" si="122"/>
        <v/>
      </c>
      <c r="AE724" s="9" t="str">
        <f t="shared" si="123"/>
        <v/>
      </c>
      <c r="AF724" s="10" t="str">
        <f t="shared" si="124"/>
        <v/>
      </c>
      <c r="AG724" s="10" t="str">
        <f t="shared" si="125"/>
        <v/>
      </c>
      <c r="AH724" s="10" t="str">
        <f t="shared" si="126"/>
        <v/>
      </c>
      <c r="AI724" s="10" t="str">
        <f t="shared" si="127"/>
        <v/>
      </c>
      <c r="AJ724" s="10" t="str">
        <f t="shared" si="128"/>
        <v/>
      </c>
      <c r="AK724" s="10" t="str">
        <f t="shared" si="129"/>
        <v/>
      </c>
      <c r="AL724" s="14" t="str">
        <f t="shared" si="130"/>
        <v/>
      </c>
    </row>
    <row r="725" spans="1:38" x14ac:dyDescent="0.2">
      <c r="A725"/>
      <c r="B725" t="str">
        <f>IF($A725="","",VLOOKUP($A725,JupData!$A$2:$I$10000,4,FALSE))</f>
        <v/>
      </c>
      <c r="C725" s="7" t="str">
        <f>IF($A725="",IF(N(D725),0,""),VLOOKUP($A725,JupData!$A$2:$I$10000,7,FALSE))</f>
        <v/>
      </c>
      <c r="D725" t="str">
        <f t="shared" si="131"/>
        <v/>
      </c>
      <c r="E725" t="str">
        <f t="array" ref="E725">IF($A725="","",INDEX(JupData!$A$2:$K$10000,MATCH($A725&amp;E$1,JupData!$A$2:$A$10000&amp;JupData!$J$2:$J$10000,0),11))</f>
        <v/>
      </c>
      <c r="F725" t="str">
        <f t="array" ref="F725">IF($A725="","",INDEX(JupData!$A$2:$K$10000,MATCH($A725&amp;F$1,JupData!$A$2:$A$10000&amp;JupData!$J$2:$J$10000,0),11))</f>
        <v/>
      </c>
      <c r="G725" t="str">
        <f t="array" ref="G725">IF($A725="","",INDEX(JupData!$A$2:$K$10000,MATCH($A725&amp;G$1,JupData!$A$2:$A$10000&amp;JupData!$J$2:$J$10000,0),11))</f>
        <v/>
      </c>
      <c r="H725" t="str">
        <f t="array" ref="H725">IF($A725="","",INDEX(JupData!$A$2:$K$10000,MATCH($A725&amp;H$1,JupData!$A$2:$A$10000&amp;JupData!$J$2:$J$10000,0),11))</f>
        <v/>
      </c>
      <c r="I725" t="str">
        <f t="array" ref="I725">IF($A725="","",INDEX(JupData!$A$2:$K$10000,MATCH($A725&amp;I$1,JupData!$A$2:$A$10000&amp;JupData!$J$2:$J$10000,0),11))</f>
        <v/>
      </c>
      <c r="J725" t="str">
        <f t="array" ref="J725">IF($A725="","",INDEX(JupData!$A$2:$K$10000,MATCH($A725&amp;J$1,JupData!$A$2:$A$10000&amp;JupData!$J$2:$J$10000,0),11))</f>
        <v/>
      </c>
      <c r="K725" t="str">
        <f t="array" ref="K725">IF($A725="","",INDEX(JupData!$A$2:$K$10000,MATCH($A725&amp;K$1,JupData!$A$2:$A$10000&amp;JupData!$J$2:$J$10000,0),11))</f>
        <v/>
      </c>
      <c r="L725" t="str">
        <f t="array" ref="L725">IF($A725="","",INDEX(JupData!$A$2:$K$10000,MATCH($A725&amp;L$1,JupData!$A$2:$A$10000&amp;JupData!$J$2:$J$10000,0),11))</f>
        <v/>
      </c>
      <c r="M725" t="str">
        <f t="array" ref="M725">IF($A725="","",INDEX(JupData!$A$2:$K$10000,MATCH($A725&amp;M$1,JupData!$A$2:$A$10000&amp;JupData!$J$2:$J$10000,0),11))</f>
        <v/>
      </c>
      <c r="N725" t="str">
        <f t="array" ref="N725">IF($A725="","",INDEX(JupData!$A$2:$K$10000,MATCH($A725&amp;N$1,JupData!$A$2:$A$10000&amp;JupData!$J$2:$J$10000,0),11))</f>
        <v/>
      </c>
      <c r="O725" t="str">
        <f t="array" ref="O725">IF($A725="","",INDEX(JupData!$A$2:$K$10000,MATCH($A725&amp;O$1,JupData!$A$2:$A$10000&amp;JupData!$J$2:$J$10000,0),11))</f>
        <v/>
      </c>
      <c r="P725" t="str">
        <f t="array" ref="P725">IF($A725="","",INDEX(JupData!$A$2:$K$10000,MATCH($A725&amp;P$1,JupData!$A$2:$A$10000&amp;JupData!$J$2:$J$10000,0),11))</f>
        <v/>
      </c>
      <c r="Q725" t="str">
        <f t="array" ref="Q725">IF($A725="","",INDEX(JupData!$A$2:$K$10000,MATCH($A725&amp;Q$1,JupData!$A$2:$A$10000&amp;JupData!$J$2:$J$10000,0),11))</f>
        <v/>
      </c>
      <c r="R725" t="str">
        <f t="array" ref="R725">IF($A725="","",INDEX(JupData!$A$2:$K$10000,MATCH($A725&amp;R$1,JupData!$A$2:$A$10000&amp;JupData!$J$2:$J$10000,0),11))</f>
        <v/>
      </c>
      <c r="S725" t="str">
        <f t="array" ref="S725">IF($A725="","",INDEX(JupData!$A$2:$K$10000,MATCH($A725&amp;S$1,JupData!$A$2:$A$10000&amp;JupData!$J$2:$J$10000,0),11))</f>
        <v/>
      </c>
      <c r="T725" t="str">
        <f t="array" ref="T725">IF($A725="","",INDEX(JupData!$A$2:$K$10000,MATCH($A725&amp;T$1,JupData!$A$2:$A$10000&amp;JupData!$J$2:$J$10000,0),11))</f>
        <v/>
      </c>
      <c r="U725" t="str">
        <f t="array" ref="U725">IF($A725="","",INDEX(JupData!$A$2:$K$10000,MATCH($A725&amp;U$1,JupData!$A$2:$A$10000&amp;JupData!$J$2:$J$10000,0),11))</f>
        <v/>
      </c>
      <c r="V725" t="str">
        <f t="array" ref="V725">IF($A725="","",INDEX(JupData!$A$2:$K$10000,MATCH($A725&amp;V$1,JupData!$A$2:$A$10000&amp;JupData!$J$2:$J$10000,0),11))</f>
        <v/>
      </c>
      <c r="W725" t="str">
        <f t="array" ref="W725">IF($A725="","",INDEX(JupData!$A$2:$K$10000,MATCH($A725&amp;W$1,JupData!$A$2:$A$10000&amp;JupData!$J$2:$J$10000,0),11))</f>
        <v/>
      </c>
      <c r="X725" t="str">
        <f t="array" ref="X725">IF($A725="","",INDEX(JupData!$A$2:$K$10000,MATCH($A725&amp;X$1,JupData!$A$2:$A$10000&amp;JupData!$J$2:$J$10000,0),11))</f>
        <v/>
      </c>
      <c r="Y725" t="str">
        <f t="array" ref="Y725">IF($A725="","",INDEX(JupData!$A$2:$K$10000,MATCH($A725&amp;Y$1,JupData!$A$2:$A$10000&amp;JupData!$J$2:$J$10000,0),11))</f>
        <v/>
      </c>
      <c r="Z725" t="str">
        <f t="array" ref="Z725">IF($A725="","",INDEX(JupData!$A$2:$K$10000,MATCH($A725&amp;Z$1,JupData!$A$2:$A$10000&amp;JupData!$J$2:$J$10000,0),11))</f>
        <v/>
      </c>
      <c r="AA725" t="str">
        <f t="array" ref="AA725">IF($A725="","",INDEX(JupData!$A$2:$K$10000,MATCH($A725&amp;AA$1,JupData!$A$2:$A$10000&amp;JupData!$J$2:$J$10000,0),11))</f>
        <v/>
      </c>
      <c r="AB725" t="str">
        <f t="array" ref="AB725">IF($A725="","",INDEX(JupData!$A$2:$K$10000,MATCH($A725&amp;AB$1,JupData!$A$2:$A$10000&amp;JupData!$J$2:$J$10000,0),11))</f>
        <v/>
      </c>
      <c r="AC725" s="10" t="str">
        <f t="shared" si="121"/>
        <v/>
      </c>
      <c r="AD725" s="10" t="str">
        <f t="shared" si="122"/>
        <v/>
      </c>
      <c r="AE725" s="9" t="str">
        <f t="shared" si="123"/>
        <v/>
      </c>
      <c r="AF725" s="10" t="str">
        <f t="shared" si="124"/>
        <v/>
      </c>
      <c r="AG725" s="10" t="str">
        <f t="shared" si="125"/>
        <v/>
      </c>
      <c r="AH725" s="10" t="str">
        <f t="shared" si="126"/>
        <v/>
      </c>
      <c r="AI725" s="10" t="str">
        <f t="shared" si="127"/>
        <v/>
      </c>
      <c r="AJ725" s="10" t="str">
        <f t="shared" si="128"/>
        <v/>
      </c>
      <c r="AK725" s="10" t="str">
        <f t="shared" si="129"/>
        <v/>
      </c>
      <c r="AL725" s="14" t="str">
        <f t="shared" si="130"/>
        <v/>
      </c>
    </row>
    <row r="726" spans="1:38" x14ac:dyDescent="0.2">
      <c r="A726"/>
      <c r="B726" t="str">
        <f>IF($A726="","",VLOOKUP($A726,JupData!$A$2:$I$10000,4,FALSE))</f>
        <v/>
      </c>
      <c r="C726" s="7" t="str">
        <f>IF($A726="",IF(N(D726),0,""),VLOOKUP($A726,JupData!$A$2:$I$10000,7,FALSE))</f>
        <v/>
      </c>
      <c r="D726" t="str">
        <f t="shared" si="131"/>
        <v/>
      </c>
      <c r="E726" t="str">
        <f t="array" ref="E726">IF($A726="","",INDEX(JupData!$A$2:$K$10000,MATCH($A726&amp;E$1,JupData!$A$2:$A$10000&amp;JupData!$J$2:$J$10000,0),11))</f>
        <v/>
      </c>
      <c r="F726" t="str">
        <f t="array" ref="F726">IF($A726="","",INDEX(JupData!$A$2:$K$10000,MATCH($A726&amp;F$1,JupData!$A$2:$A$10000&amp;JupData!$J$2:$J$10000,0),11))</f>
        <v/>
      </c>
      <c r="G726" t="str">
        <f t="array" ref="G726">IF($A726="","",INDEX(JupData!$A$2:$K$10000,MATCH($A726&amp;G$1,JupData!$A$2:$A$10000&amp;JupData!$J$2:$J$10000,0),11))</f>
        <v/>
      </c>
      <c r="H726" t="str">
        <f t="array" ref="H726">IF($A726="","",INDEX(JupData!$A$2:$K$10000,MATCH($A726&amp;H$1,JupData!$A$2:$A$10000&amp;JupData!$J$2:$J$10000,0),11))</f>
        <v/>
      </c>
      <c r="I726" t="str">
        <f t="array" ref="I726">IF($A726="","",INDEX(JupData!$A$2:$K$10000,MATCH($A726&amp;I$1,JupData!$A$2:$A$10000&amp;JupData!$J$2:$J$10000,0),11))</f>
        <v/>
      </c>
      <c r="J726" t="str">
        <f t="array" ref="J726">IF($A726="","",INDEX(JupData!$A$2:$K$10000,MATCH($A726&amp;J$1,JupData!$A$2:$A$10000&amp;JupData!$J$2:$J$10000,0),11))</f>
        <v/>
      </c>
      <c r="K726" t="str">
        <f t="array" ref="K726">IF($A726="","",INDEX(JupData!$A$2:$K$10000,MATCH($A726&amp;K$1,JupData!$A$2:$A$10000&amp;JupData!$J$2:$J$10000,0),11))</f>
        <v/>
      </c>
      <c r="L726" t="str">
        <f t="array" ref="L726">IF($A726="","",INDEX(JupData!$A$2:$K$10000,MATCH($A726&amp;L$1,JupData!$A$2:$A$10000&amp;JupData!$J$2:$J$10000,0),11))</f>
        <v/>
      </c>
      <c r="M726" t="str">
        <f t="array" ref="M726">IF($A726="","",INDEX(JupData!$A$2:$K$10000,MATCH($A726&amp;M$1,JupData!$A$2:$A$10000&amp;JupData!$J$2:$J$10000,0),11))</f>
        <v/>
      </c>
      <c r="N726" t="str">
        <f t="array" ref="N726">IF($A726="","",INDEX(JupData!$A$2:$K$10000,MATCH($A726&amp;N$1,JupData!$A$2:$A$10000&amp;JupData!$J$2:$J$10000,0),11))</f>
        <v/>
      </c>
      <c r="O726" t="str">
        <f t="array" ref="O726">IF($A726="","",INDEX(JupData!$A$2:$K$10000,MATCH($A726&amp;O$1,JupData!$A$2:$A$10000&amp;JupData!$J$2:$J$10000,0),11))</f>
        <v/>
      </c>
      <c r="P726" t="str">
        <f t="array" ref="P726">IF($A726="","",INDEX(JupData!$A$2:$K$10000,MATCH($A726&amp;P$1,JupData!$A$2:$A$10000&amp;JupData!$J$2:$J$10000,0),11))</f>
        <v/>
      </c>
      <c r="Q726" t="str">
        <f t="array" ref="Q726">IF($A726="","",INDEX(JupData!$A$2:$K$10000,MATCH($A726&amp;Q$1,JupData!$A$2:$A$10000&amp;JupData!$J$2:$J$10000,0),11))</f>
        <v/>
      </c>
      <c r="R726" t="str">
        <f t="array" ref="R726">IF($A726="","",INDEX(JupData!$A$2:$K$10000,MATCH($A726&amp;R$1,JupData!$A$2:$A$10000&amp;JupData!$J$2:$J$10000,0),11))</f>
        <v/>
      </c>
      <c r="S726" t="str">
        <f t="array" ref="S726">IF($A726="","",INDEX(JupData!$A$2:$K$10000,MATCH($A726&amp;S$1,JupData!$A$2:$A$10000&amp;JupData!$J$2:$J$10000,0),11))</f>
        <v/>
      </c>
      <c r="T726" t="str">
        <f t="array" ref="T726">IF($A726="","",INDEX(JupData!$A$2:$K$10000,MATCH($A726&amp;T$1,JupData!$A$2:$A$10000&amp;JupData!$J$2:$J$10000,0),11))</f>
        <v/>
      </c>
      <c r="U726" t="str">
        <f t="array" ref="U726">IF($A726="","",INDEX(JupData!$A$2:$K$10000,MATCH($A726&amp;U$1,JupData!$A$2:$A$10000&amp;JupData!$J$2:$J$10000,0),11))</f>
        <v/>
      </c>
      <c r="V726" t="str">
        <f t="array" ref="V726">IF($A726="","",INDEX(JupData!$A$2:$K$10000,MATCH($A726&amp;V$1,JupData!$A$2:$A$10000&amp;JupData!$J$2:$J$10000,0),11))</f>
        <v/>
      </c>
      <c r="W726" t="str">
        <f t="array" ref="W726">IF($A726="","",INDEX(JupData!$A$2:$K$10000,MATCH($A726&amp;W$1,JupData!$A$2:$A$10000&amp;JupData!$J$2:$J$10000,0),11))</f>
        <v/>
      </c>
      <c r="X726" t="str">
        <f t="array" ref="X726">IF($A726="","",INDEX(JupData!$A$2:$K$10000,MATCH($A726&amp;X$1,JupData!$A$2:$A$10000&amp;JupData!$J$2:$J$10000,0),11))</f>
        <v/>
      </c>
      <c r="Y726" t="str">
        <f t="array" ref="Y726">IF($A726="","",INDEX(JupData!$A$2:$K$10000,MATCH($A726&amp;Y$1,JupData!$A$2:$A$10000&amp;JupData!$J$2:$J$10000,0),11))</f>
        <v/>
      </c>
      <c r="Z726" t="str">
        <f t="array" ref="Z726">IF($A726="","",INDEX(JupData!$A$2:$K$10000,MATCH($A726&amp;Z$1,JupData!$A$2:$A$10000&amp;JupData!$J$2:$J$10000,0),11))</f>
        <v/>
      </c>
      <c r="AA726" t="str">
        <f t="array" ref="AA726">IF($A726="","",INDEX(JupData!$A$2:$K$10000,MATCH($A726&amp;AA$1,JupData!$A$2:$A$10000&amp;JupData!$J$2:$J$10000,0),11))</f>
        <v/>
      </c>
      <c r="AB726" t="str">
        <f t="array" ref="AB726">IF($A726="","",INDEX(JupData!$A$2:$K$10000,MATCH($A726&amp;AB$1,JupData!$A$2:$A$10000&amp;JupData!$J$2:$J$10000,0),11))</f>
        <v/>
      </c>
      <c r="AC726" s="10" t="str">
        <f t="shared" si="121"/>
        <v/>
      </c>
      <c r="AD726" s="10" t="str">
        <f t="shared" si="122"/>
        <v/>
      </c>
      <c r="AE726" s="9" t="str">
        <f t="shared" si="123"/>
        <v/>
      </c>
      <c r="AF726" s="10" t="str">
        <f t="shared" si="124"/>
        <v/>
      </c>
      <c r="AG726" s="10" t="str">
        <f t="shared" si="125"/>
        <v/>
      </c>
      <c r="AH726" s="10" t="str">
        <f t="shared" si="126"/>
        <v/>
      </c>
      <c r="AI726" s="10" t="str">
        <f t="shared" si="127"/>
        <v/>
      </c>
      <c r="AJ726" s="10" t="str">
        <f t="shared" si="128"/>
        <v/>
      </c>
      <c r="AK726" s="10" t="str">
        <f t="shared" si="129"/>
        <v/>
      </c>
      <c r="AL726" s="14" t="str">
        <f t="shared" si="130"/>
        <v/>
      </c>
    </row>
    <row r="727" spans="1:38" x14ac:dyDescent="0.2">
      <c r="A727"/>
      <c r="B727" t="str">
        <f>IF($A727="","",VLOOKUP($A727,JupData!$A$2:$I$10000,4,FALSE))</f>
        <v/>
      </c>
      <c r="C727" s="7" t="str">
        <f>IF($A727="",IF(N(D727),0,""),VLOOKUP($A727,JupData!$A$2:$I$10000,7,FALSE))</f>
        <v/>
      </c>
      <c r="D727" t="str">
        <f t="shared" si="131"/>
        <v/>
      </c>
      <c r="E727" t="str">
        <f t="array" ref="E727">IF($A727="","",INDEX(JupData!$A$2:$K$10000,MATCH($A727&amp;E$1,JupData!$A$2:$A$10000&amp;JupData!$J$2:$J$10000,0),11))</f>
        <v/>
      </c>
      <c r="F727" t="str">
        <f t="array" ref="F727">IF($A727="","",INDEX(JupData!$A$2:$K$10000,MATCH($A727&amp;F$1,JupData!$A$2:$A$10000&amp;JupData!$J$2:$J$10000,0),11))</f>
        <v/>
      </c>
      <c r="G727" t="str">
        <f t="array" ref="G727">IF($A727="","",INDEX(JupData!$A$2:$K$10000,MATCH($A727&amp;G$1,JupData!$A$2:$A$10000&amp;JupData!$J$2:$J$10000,0),11))</f>
        <v/>
      </c>
      <c r="H727" t="str">
        <f t="array" ref="H727">IF($A727="","",INDEX(JupData!$A$2:$K$10000,MATCH($A727&amp;H$1,JupData!$A$2:$A$10000&amp;JupData!$J$2:$J$10000,0),11))</f>
        <v/>
      </c>
      <c r="I727" t="str">
        <f t="array" ref="I727">IF($A727="","",INDEX(JupData!$A$2:$K$10000,MATCH($A727&amp;I$1,JupData!$A$2:$A$10000&amp;JupData!$J$2:$J$10000,0),11))</f>
        <v/>
      </c>
      <c r="J727" t="str">
        <f t="array" ref="J727">IF($A727="","",INDEX(JupData!$A$2:$K$10000,MATCH($A727&amp;J$1,JupData!$A$2:$A$10000&amp;JupData!$J$2:$J$10000,0),11))</f>
        <v/>
      </c>
      <c r="K727" t="str">
        <f t="array" ref="K727">IF($A727="","",INDEX(JupData!$A$2:$K$10000,MATCH($A727&amp;K$1,JupData!$A$2:$A$10000&amp;JupData!$J$2:$J$10000,0),11))</f>
        <v/>
      </c>
      <c r="L727" t="str">
        <f t="array" ref="L727">IF($A727="","",INDEX(JupData!$A$2:$K$10000,MATCH($A727&amp;L$1,JupData!$A$2:$A$10000&amp;JupData!$J$2:$J$10000,0),11))</f>
        <v/>
      </c>
      <c r="M727" t="str">
        <f t="array" ref="M727">IF($A727="","",INDEX(JupData!$A$2:$K$10000,MATCH($A727&amp;M$1,JupData!$A$2:$A$10000&amp;JupData!$J$2:$J$10000,0),11))</f>
        <v/>
      </c>
      <c r="N727" t="str">
        <f t="array" ref="N727">IF($A727="","",INDEX(JupData!$A$2:$K$10000,MATCH($A727&amp;N$1,JupData!$A$2:$A$10000&amp;JupData!$J$2:$J$10000,0),11))</f>
        <v/>
      </c>
      <c r="O727" t="str">
        <f t="array" ref="O727">IF($A727="","",INDEX(JupData!$A$2:$K$10000,MATCH($A727&amp;O$1,JupData!$A$2:$A$10000&amp;JupData!$J$2:$J$10000,0),11))</f>
        <v/>
      </c>
      <c r="P727" t="str">
        <f t="array" ref="P727">IF($A727="","",INDEX(JupData!$A$2:$K$10000,MATCH($A727&amp;P$1,JupData!$A$2:$A$10000&amp;JupData!$J$2:$J$10000,0),11))</f>
        <v/>
      </c>
      <c r="Q727" t="str">
        <f t="array" ref="Q727">IF($A727="","",INDEX(JupData!$A$2:$K$10000,MATCH($A727&amp;Q$1,JupData!$A$2:$A$10000&amp;JupData!$J$2:$J$10000,0),11))</f>
        <v/>
      </c>
      <c r="R727" t="str">
        <f t="array" ref="R727">IF($A727="","",INDEX(JupData!$A$2:$K$10000,MATCH($A727&amp;R$1,JupData!$A$2:$A$10000&amp;JupData!$J$2:$J$10000,0),11))</f>
        <v/>
      </c>
      <c r="S727" t="str">
        <f t="array" ref="S727">IF($A727="","",INDEX(JupData!$A$2:$K$10000,MATCH($A727&amp;S$1,JupData!$A$2:$A$10000&amp;JupData!$J$2:$J$10000,0),11))</f>
        <v/>
      </c>
      <c r="T727" t="str">
        <f t="array" ref="T727">IF($A727="","",INDEX(JupData!$A$2:$K$10000,MATCH($A727&amp;T$1,JupData!$A$2:$A$10000&amp;JupData!$J$2:$J$10000,0),11))</f>
        <v/>
      </c>
      <c r="U727" t="str">
        <f t="array" ref="U727">IF($A727="","",INDEX(JupData!$A$2:$K$10000,MATCH($A727&amp;U$1,JupData!$A$2:$A$10000&amp;JupData!$J$2:$J$10000,0),11))</f>
        <v/>
      </c>
      <c r="V727" t="str">
        <f t="array" ref="V727">IF($A727="","",INDEX(JupData!$A$2:$K$10000,MATCH($A727&amp;V$1,JupData!$A$2:$A$10000&amp;JupData!$J$2:$J$10000,0),11))</f>
        <v/>
      </c>
      <c r="W727" t="str">
        <f t="array" ref="W727">IF($A727="","",INDEX(JupData!$A$2:$K$10000,MATCH($A727&amp;W$1,JupData!$A$2:$A$10000&amp;JupData!$J$2:$J$10000,0),11))</f>
        <v/>
      </c>
      <c r="X727" t="str">
        <f t="array" ref="X727">IF($A727="","",INDEX(JupData!$A$2:$K$10000,MATCH($A727&amp;X$1,JupData!$A$2:$A$10000&amp;JupData!$J$2:$J$10000,0),11))</f>
        <v/>
      </c>
      <c r="Y727" t="str">
        <f t="array" ref="Y727">IF($A727="","",INDEX(JupData!$A$2:$K$10000,MATCH($A727&amp;Y$1,JupData!$A$2:$A$10000&amp;JupData!$J$2:$J$10000,0),11))</f>
        <v/>
      </c>
      <c r="Z727" t="str">
        <f t="array" ref="Z727">IF($A727="","",INDEX(JupData!$A$2:$K$10000,MATCH($A727&amp;Z$1,JupData!$A$2:$A$10000&amp;JupData!$J$2:$J$10000,0),11))</f>
        <v/>
      </c>
      <c r="AA727" t="str">
        <f t="array" ref="AA727">IF($A727="","",INDEX(JupData!$A$2:$K$10000,MATCH($A727&amp;AA$1,JupData!$A$2:$A$10000&amp;JupData!$J$2:$J$10000,0),11))</f>
        <v/>
      </c>
      <c r="AB727" t="str">
        <f t="array" ref="AB727">IF($A727="","",INDEX(JupData!$A$2:$K$10000,MATCH($A727&amp;AB$1,JupData!$A$2:$A$10000&amp;JupData!$J$2:$J$10000,0),11))</f>
        <v/>
      </c>
      <c r="AC727" s="10" t="str">
        <f t="shared" si="121"/>
        <v/>
      </c>
      <c r="AD727" s="10" t="str">
        <f t="shared" si="122"/>
        <v/>
      </c>
      <c r="AE727" s="9" t="str">
        <f t="shared" si="123"/>
        <v/>
      </c>
      <c r="AF727" s="10" t="str">
        <f t="shared" si="124"/>
        <v/>
      </c>
      <c r="AG727" s="10" t="str">
        <f t="shared" si="125"/>
        <v/>
      </c>
      <c r="AH727" s="10" t="str">
        <f t="shared" si="126"/>
        <v/>
      </c>
      <c r="AI727" s="10" t="str">
        <f t="shared" si="127"/>
        <v/>
      </c>
      <c r="AJ727" s="10" t="str">
        <f t="shared" si="128"/>
        <v/>
      </c>
      <c r="AK727" s="10" t="str">
        <f t="shared" si="129"/>
        <v/>
      </c>
      <c r="AL727" s="14" t="str">
        <f t="shared" si="130"/>
        <v/>
      </c>
    </row>
    <row r="728" spans="1:38" x14ac:dyDescent="0.2">
      <c r="A728"/>
      <c r="B728" t="str">
        <f>IF($A728="","",VLOOKUP($A728,JupData!$A$2:$I$10000,4,FALSE))</f>
        <v/>
      </c>
      <c r="C728" s="7" t="str">
        <f>IF($A728="",IF(N(D728),0,""),VLOOKUP($A728,JupData!$A$2:$I$10000,7,FALSE))</f>
        <v/>
      </c>
      <c r="D728" t="str">
        <f t="shared" si="131"/>
        <v/>
      </c>
      <c r="E728" t="str">
        <f t="array" ref="E728">IF($A728="","",INDEX(JupData!$A$2:$K$10000,MATCH($A728&amp;E$1,JupData!$A$2:$A$10000&amp;JupData!$J$2:$J$10000,0),11))</f>
        <v/>
      </c>
      <c r="F728" t="str">
        <f t="array" ref="F728">IF($A728="","",INDEX(JupData!$A$2:$K$10000,MATCH($A728&amp;F$1,JupData!$A$2:$A$10000&amp;JupData!$J$2:$J$10000,0),11))</f>
        <v/>
      </c>
      <c r="G728" t="str">
        <f t="array" ref="G728">IF($A728="","",INDEX(JupData!$A$2:$K$10000,MATCH($A728&amp;G$1,JupData!$A$2:$A$10000&amp;JupData!$J$2:$J$10000,0),11))</f>
        <v/>
      </c>
      <c r="H728" t="str">
        <f t="array" ref="H728">IF($A728="","",INDEX(JupData!$A$2:$K$10000,MATCH($A728&amp;H$1,JupData!$A$2:$A$10000&amp;JupData!$J$2:$J$10000,0),11))</f>
        <v/>
      </c>
      <c r="I728" t="str">
        <f t="array" ref="I728">IF($A728="","",INDEX(JupData!$A$2:$K$10000,MATCH($A728&amp;I$1,JupData!$A$2:$A$10000&amp;JupData!$J$2:$J$10000,0),11))</f>
        <v/>
      </c>
      <c r="J728" t="str">
        <f t="array" ref="J728">IF($A728="","",INDEX(JupData!$A$2:$K$10000,MATCH($A728&amp;J$1,JupData!$A$2:$A$10000&amp;JupData!$J$2:$J$10000,0),11))</f>
        <v/>
      </c>
      <c r="K728" t="str">
        <f t="array" ref="K728">IF($A728="","",INDEX(JupData!$A$2:$K$10000,MATCH($A728&amp;K$1,JupData!$A$2:$A$10000&amp;JupData!$J$2:$J$10000,0),11))</f>
        <v/>
      </c>
      <c r="L728" t="str">
        <f t="array" ref="L728">IF($A728="","",INDEX(JupData!$A$2:$K$10000,MATCH($A728&amp;L$1,JupData!$A$2:$A$10000&amp;JupData!$J$2:$J$10000,0),11))</f>
        <v/>
      </c>
      <c r="M728" t="str">
        <f t="array" ref="M728">IF($A728="","",INDEX(JupData!$A$2:$K$10000,MATCH($A728&amp;M$1,JupData!$A$2:$A$10000&amp;JupData!$J$2:$J$10000,0),11))</f>
        <v/>
      </c>
      <c r="N728" t="str">
        <f t="array" ref="N728">IF($A728="","",INDEX(JupData!$A$2:$K$10000,MATCH($A728&amp;N$1,JupData!$A$2:$A$10000&amp;JupData!$J$2:$J$10000,0),11))</f>
        <v/>
      </c>
      <c r="O728" t="str">
        <f t="array" ref="O728">IF($A728="","",INDEX(JupData!$A$2:$K$10000,MATCH($A728&amp;O$1,JupData!$A$2:$A$10000&amp;JupData!$J$2:$J$10000,0),11))</f>
        <v/>
      </c>
      <c r="P728" t="str">
        <f t="array" ref="P728">IF($A728="","",INDEX(JupData!$A$2:$K$10000,MATCH($A728&amp;P$1,JupData!$A$2:$A$10000&amp;JupData!$J$2:$J$10000,0),11))</f>
        <v/>
      </c>
      <c r="Q728" t="str">
        <f t="array" ref="Q728">IF($A728="","",INDEX(JupData!$A$2:$K$10000,MATCH($A728&amp;Q$1,JupData!$A$2:$A$10000&amp;JupData!$J$2:$J$10000,0),11))</f>
        <v/>
      </c>
      <c r="R728" t="str">
        <f t="array" ref="R728">IF($A728="","",INDEX(JupData!$A$2:$K$10000,MATCH($A728&amp;R$1,JupData!$A$2:$A$10000&amp;JupData!$J$2:$J$10000,0),11))</f>
        <v/>
      </c>
      <c r="S728" t="str">
        <f t="array" ref="S728">IF($A728="","",INDEX(JupData!$A$2:$K$10000,MATCH($A728&amp;S$1,JupData!$A$2:$A$10000&amp;JupData!$J$2:$J$10000,0),11))</f>
        <v/>
      </c>
      <c r="T728" t="str">
        <f t="array" ref="T728">IF($A728="","",INDEX(JupData!$A$2:$K$10000,MATCH($A728&amp;T$1,JupData!$A$2:$A$10000&amp;JupData!$J$2:$J$10000,0),11))</f>
        <v/>
      </c>
      <c r="U728" t="str">
        <f t="array" ref="U728">IF($A728="","",INDEX(JupData!$A$2:$K$10000,MATCH($A728&amp;U$1,JupData!$A$2:$A$10000&amp;JupData!$J$2:$J$10000,0),11))</f>
        <v/>
      </c>
      <c r="V728" t="str">
        <f t="array" ref="V728">IF($A728="","",INDEX(JupData!$A$2:$K$10000,MATCH($A728&amp;V$1,JupData!$A$2:$A$10000&amp;JupData!$J$2:$J$10000,0),11))</f>
        <v/>
      </c>
      <c r="W728" t="str">
        <f t="array" ref="W728">IF($A728="","",INDEX(JupData!$A$2:$K$10000,MATCH($A728&amp;W$1,JupData!$A$2:$A$10000&amp;JupData!$J$2:$J$10000,0),11))</f>
        <v/>
      </c>
      <c r="X728" t="str">
        <f t="array" ref="X728">IF($A728="","",INDEX(JupData!$A$2:$K$10000,MATCH($A728&amp;X$1,JupData!$A$2:$A$10000&amp;JupData!$J$2:$J$10000,0),11))</f>
        <v/>
      </c>
      <c r="Y728" t="str">
        <f t="array" ref="Y728">IF($A728="","",INDEX(JupData!$A$2:$K$10000,MATCH($A728&amp;Y$1,JupData!$A$2:$A$10000&amp;JupData!$J$2:$J$10000,0),11))</f>
        <v/>
      </c>
      <c r="Z728" t="str">
        <f t="array" ref="Z728">IF($A728="","",INDEX(JupData!$A$2:$K$10000,MATCH($A728&amp;Z$1,JupData!$A$2:$A$10000&amp;JupData!$J$2:$J$10000,0),11))</f>
        <v/>
      </c>
      <c r="AA728" t="str">
        <f t="array" ref="AA728">IF($A728="","",INDEX(JupData!$A$2:$K$10000,MATCH($A728&amp;AA$1,JupData!$A$2:$A$10000&amp;JupData!$J$2:$J$10000,0),11))</f>
        <v/>
      </c>
      <c r="AB728" t="str">
        <f t="array" ref="AB728">IF($A728="","",INDEX(JupData!$A$2:$K$10000,MATCH($A728&amp;AB$1,JupData!$A$2:$A$10000&amp;JupData!$J$2:$J$10000,0),11))</f>
        <v/>
      </c>
      <c r="AC728" s="10" t="str">
        <f t="shared" si="121"/>
        <v/>
      </c>
      <c r="AD728" s="10" t="str">
        <f t="shared" si="122"/>
        <v/>
      </c>
      <c r="AE728" s="9" t="str">
        <f t="shared" si="123"/>
        <v/>
      </c>
      <c r="AF728" s="10" t="str">
        <f t="shared" si="124"/>
        <v/>
      </c>
      <c r="AG728" s="10" t="str">
        <f t="shared" si="125"/>
        <v/>
      </c>
      <c r="AH728" s="10" t="str">
        <f t="shared" si="126"/>
        <v/>
      </c>
      <c r="AI728" s="10" t="str">
        <f t="shared" si="127"/>
        <v/>
      </c>
      <c r="AJ728" s="10" t="str">
        <f t="shared" si="128"/>
        <v/>
      </c>
      <c r="AK728" s="10" t="str">
        <f t="shared" si="129"/>
        <v/>
      </c>
      <c r="AL728" s="14" t="str">
        <f t="shared" si="130"/>
        <v/>
      </c>
    </row>
    <row r="729" spans="1:38" x14ac:dyDescent="0.2">
      <c r="A729"/>
      <c r="B729" t="str">
        <f>IF($A729="","",VLOOKUP($A729,JupData!$A$2:$I$10000,4,FALSE))</f>
        <v/>
      </c>
      <c r="C729" s="7" t="str">
        <f>IF($A729="",IF(N(D729),0,""),VLOOKUP($A729,JupData!$A$2:$I$10000,7,FALSE))</f>
        <v/>
      </c>
      <c r="D729" t="str">
        <f t="shared" si="131"/>
        <v/>
      </c>
      <c r="E729" t="str">
        <f t="array" ref="E729">IF($A729="","",INDEX(JupData!$A$2:$K$10000,MATCH($A729&amp;E$1,JupData!$A$2:$A$10000&amp;JupData!$J$2:$J$10000,0),11))</f>
        <v/>
      </c>
      <c r="F729" t="str">
        <f t="array" ref="F729">IF($A729="","",INDEX(JupData!$A$2:$K$10000,MATCH($A729&amp;F$1,JupData!$A$2:$A$10000&amp;JupData!$J$2:$J$10000,0),11))</f>
        <v/>
      </c>
      <c r="G729" t="str">
        <f t="array" ref="G729">IF($A729="","",INDEX(JupData!$A$2:$K$10000,MATCH($A729&amp;G$1,JupData!$A$2:$A$10000&amp;JupData!$J$2:$J$10000,0),11))</f>
        <v/>
      </c>
      <c r="H729" t="str">
        <f t="array" ref="H729">IF($A729="","",INDEX(JupData!$A$2:$K$10000,MATCH($A729&amp;H$1,JupData!$A$2:$A$10000&amp;JupData!$J$2:$J$10000,0),11))</f>
        <v/>
      </c>
      <c r="I729" t="str">
        <f t="array" ref="I729">IF($A729="","",INDEX(JupData!$A$2:$K$10000,MATCH($A729&amp;I$1,JupData!$A$2:$A$10000&amp;JupData!$J$2:$J$10000,0),11))</f>
        <v/>
      </c>
      <c r="J729" t="str">
        <f t="array" ref="J729">IF($A729="","",INDEX(JupData!$A$2:$K$10000,MATCH($A729&amp;J$1,JupData!$A$2:$A$10000&amp;JupData!$J$2:$J$10000,0),11))</f>
        <v/>
      </c>
      <c r="K729" t="str">
        <f t="array" ref="K729">IF($A729="","",INDEX(JupData!$A$2:$K$10000,MATCH($A729&amp;K$1,JupData!$A$2:$A$10000&amp;JupData!$J$2:$J$10000,0),11))</f>
        <v/>
      </c>
      <c r="L729" t="str">
        <f t="array" ref="L729">IF($A729="","",INDEX(JupData!$A$2:$K$10000,MATCH($A729&amp;L$1,JupData!$A$2:$A$10000&amp;JupData!$J$2:$J$10000,0),11))</f>
        <v/>
      </c>
      <c r="M729" t="str">
        <f t="array" ref="M729">IF($A729="","",INDEX(JupData!$A$2:$K$10000,MATCH($A729&amp;M$1,JupData!$A$2:$A$10000&amp;JupData!$J$2:$J$10000,0),11))</f>
        <v/>
      </c>
      <c r="N729" t="str">
        <f t="array" ref="N729">IF($A729="","",INDEX(JupData!$A$2:$K$10000,MATCH($A729&amp;N$1,JupData!$A$2:$A$10000&amp;JupData!$J$2:$J$10000,0),11))</f>
        <v/>
      </c>
      <c r="O729" t="str">
        <f t="array" ref="O729">IF($A729="","",INDEX(JupData!$A$2:$K$10000,MATCH($A729&amp;O$1,JupData!$A$2:$A$10000&amp;JupData!$J$2:$J$10000,0),11))</f>
        <v/>
      </c>
      <c r="P729" t="str">
        <f t="array" ref="P729">IF($A729="","",INDEX(JupData!$A$2:$K$10000,MATCH($A729&amp;P$1,JupData!$A$2:$A$10000&amp;JupData!$J$2:$J$10000,0),11))</f>
        <v/>
      </c>
      <c r="Q729" t="str">
        <f t="array" ref="Q729">IF($A729="","",INDEX(JupData!$A$2:$K$10000,MATCH($A729&amp;Q$1,JupData!$A$2:$A$10000&amp;JupData!$J$2:$J$10000,0),11))</f>
        <v/>
      </c>
      <c r="R729" t="str">
        <f t="array" ref="R729">IF($A729="","",INDEX(JupData!$A$2:$K$10000,MATCH($A729&amp;R$1,JupData!$A$2:$A$10000&amp;JupData!$J$2:$J$10000,0),11))</f>
        <v/>
      </c>
      <c r="S729" t="str">
        <f t="array" ref="S729">IF($A729="","",INDEX(JupData!$A$2:$K$10000,MATCH($A729&amp;S$1,JupData!$A$2:$A$10000&amp;JupData!$J$2:$J$10000,0),11))</f>
        <v/>
      </c>
      <c r="T729" t="str">
        <f t="array" ref="T729">IF($A729="","",INDEX(JupData!$A$2:$K$10000,MATCH($A729&amp;T$1,JupData!$A$2:$A$10000&amp;JupData!$J$2:$J$10000,0),11))</f>
        <v/>
      </c>
      <c r="U729" t="str">
        <f t="array" ref="U729">IF($A729="","",INDEX(JupData!$A$2:$K$10000,MATCH($A729&amp;U$1,JupData!$A$2:$A$10000&amp;JupData!$J$2:$J$10000,0),11))</f>
        <v/>
      </c>
      <c r="V729" t="str">
        <f t="array" ref="V729">IF($A729="","",INDEX(JupData!$A$2:$K$10000,MATCH($A729&amp;V$1,JupData!$A$2:$A$10000&amp;JupData!$J$2:$J$10000,0),11))</f>
        <v/>
      </c>
      <c r="W729" t="str">
        <f t="array" ref="W729">IF($A729="","",INDEX(JupData!$A$2:$K$10000,MATCH($A729&amp;W$1,JupData!$A$2:$A$10000&amp;JupData!$J$2:$J$10000,0),11))</f>
        <v/>
      </c>
      <c r="X729" t="str">
        <f t="array" ref="X729">IF($A729="","",INDEX(JupData!$A$2:$K$10000,MATCH($A729&amp;X$1,JupData!$A$2:$A$10000&amp;JupData!$J$2:$J$10000,0),11))</f>
        <v/>
      </c>
      <c r="Y729" t="str">
        <f t="array" ref="Y729">IF($A729="","",INDEX(JupData!$A$2:$K$10000,MATCH($A729&amp;Y$1,JupData!$A$2:$A$10000&amp;JupData!$J$2:$J$10000,0),11))</f>
        <v/>
      </c>
      <c r="Z729" t="str">
        <f t="array" ref="Z729">IF($A729="","",INDEX(JupData!$A$2:$K$10000,MATCH($A729&amp;Z$1,JupData!$A$2:$A$10000&amp;JupData!$J$2:$J$10000,0),11))</f>
        <v/>
      </c>
      <c r="AA729" t="str">
        <f t="array" ref="AA729">IF($A729="","",INDEX(JupData!$A$2:$K$10000,MATCH($A729&amp;AA$1,JupData!$A$2:$A$10000&amp;JupData!$J$2:$J$10000,0),11))</f>
        <v/>
      </c>
      <c r="AB729" t="str">
        <f t="array" ref="AB729">IF($A729="","",INDEX(JupData!$A$2:$K$10000,MATCH($A729&amp;AB$1,JupData!$A$2:$A$10000&amp;JupData!$J$2:$J$10000,0),11))</f>
        <v/>
      </c>
      <c r="AC729" s="10" t="str">
        <f t="shared" si="121"/>
        <v/>
      </c>
      <c r="AD729" s="10" t="str">
        <f t="shared" si="122"/>
        <v/>
      </c>
      <c r="AE729" s="9" t="str">
        <f t="shared" si="123"/>
        <v/>
      </c>
      <c r="AF729" s="10" t="str">
        <f t="shared" si="124"/>
        <v/>
      </c>
      <c r="AG729" s="10" t="str">
        <f t="shared" si="125"/>
        <v/>
      </c>
      <c r="AH729" s="10" t="str">
        <f t="shared" si="126"/>
        <v/>
      </c>
      <c r="AI729" s="10" t="str">
        <f t="shared" si="127"/>
        <v/>
      </c>
      <c r="AJ729" s="10" t="str">
        <f t="shared" si="128"/>
        <v/>
      </c>
      <c r="AK729" s="10" t="str">
        <f t="shared" si="129"/>
        <v/>
      </c>
      <c r="AL729" s="14" t="str">
        <f t="shared" si="130"/>
        <v/>
      </c>
    </row>
    <row r="730" spans="1:38" x14ac:dyDescent="0.2">
      <c r="A730"/>
      <c r="B730" t="str">
        <f>IF($A730="","",VLOOKUP($A730,JupData!$A$2:$I$10000,4,FALSE))</f>
        <v/>
      </c>
      <c r="C730" s="7" t="str">
        <f>IF($A730="",IF(N(D730),0,""),VLOOKUP($A730,JupData!$A$2:$I$10000,7,FALSE))</f>
        <v/>
      </c>
      <c r="D730" t="str">
        <f t="shared" si="131"/>
        <v/>
      </c>
      <c r="E730" t="str">
        <f t="array" ref="E730">IF($A730="","",INDEX(JupData!$A$2:$K$10000,MATCH($A730&amp;E$1,JupData!$A$2:$A$10000&amp;JupData!$J$2:$J$10000,0),11))</f>
        <v/>
      </c>
      <c r="F730" t="str">
        <f t="array" ref="F730">IF($A730="","",INDEX(JupData!$A$2:$K$10000,MATCH($A730&amp;F$1,JupData!$A$2:$A$10000&amp;JupData!$J$2:$J$10000,0),11))</f>
        <v/>
      </c>
      <c r="G730" t="str">
        <f t="array" ref="G730">IF($A730="","",INDEX(JupData!$A$2:$K$10000,MATCH($A730&amp;G$1,JupData!$A$2:$A$10000&amp;JupData!$J$2:$J$10000,0),11))</f>
        <v/>
      </c>
      <c r="H730" t="str">
        <f t="array" ref="H730">IF($A730="","",INDEX(JupData!$A$2:$K$10000,MATCH($A730&amp;H$1,JupData!$A$2:$A$10000&amp;JupData!$J$2:$J$10000,0),11))</f>
        <v/>
      </c>
      <c r="I730" t="str">
        <f t="array" ref="I730">IF($A730="","",INDEX(JupData!$A$2:$K$10000,MATCH($A730&amp;I$1,JupData!$A$2:$A$10000&amp;JupData!$J$2:$J$10000,0),11))</f>
        <v/>
      </c>
      <c r="J730" t="str">
        <f t="array" ref="J730">IF($A730="","",INDEX(JupData!$A$2:$K$10000,MATCH($A730&amp;J$1,JupData!$A$2:$A$10000&amp;JupData!$J$2:$J$10000,0),11))</f>
        <v/>
      </c>
      <c r="K730" t="str">
        <f t="array" ref="K730">IF($A730="","",INDEX(JupData!$A$2:$K$10000,MATCH($A730&amp;K$1,JupData!$A$2:$A$10000&amp;JupData!$J$2:$J$10000,0),11))</f>
        <v/>
      </c>
      <c r="L730" t="str">
        <f t="array" ref="L730">IF($A730="","",INDEX(JupData!$A$2:$K$10000,MATCH($A730&amp;L$1,JupData!$A$2:$A$10000&amp;JupData!$J$2:$J$10000,0),11))</f>
        <v/>
      </c>
      <c r="M730" t="str">
        <f t="array" ref="M730">IF($A730="","",INDEX(JupData!$A$2:$K$10000,MATCH($A730&amp;M$1,JupData!$A$2:$A$10000&amp;JupData!$J$2:$J$10000,0),11))</f>
        <v/>
      </c>
      <c r="N730" t="str">
        <f t="array" ref="N730">IF($A730="","",INDEX(JupData!$A$2:$K$10000,MATCH($A730&amp;N$1,JupData!$A$2:$A$10000&amp;JupData!$J$2:$J$10000,0),11))</f>
        <v/>
      </c>
      <c r="O730" t="str">
        <f t="array" ref="O730">IF($A730="","",INDEX(JupData!$A$2:$K$10000,MATCH($A730&amp;O$1,JupData!$A$2:$A$10000&amp;JupData!$J$2:$J$10000,0),11))</f>
        <v/>
      </c>
      <c r="P730" t="str">
        <f t="array" ref="P730">IF($A730="","",INDEX(JupData!$A$2:$K$10000,MATCH($A730&amp;P$1,JupData!$A$2:$A$10000&amp;JupData!$J$2:$J$10000,0),11))</f>
        <v/>
      </c>
      <c r="Q730" t="str">
        <f t="array" ref="Q730">IF($A730="","",INDEX(JupData!$A$2:$K$10000,MATCH($A730&amp;Q$1,JupData!$A$2:$A$10000&amp;JupData!$J$2:$J$10000,0),11))</f>
        <v/>
      </c>
      <c r="R730" t="str">
        <f t="array" ref="R730">IF($A730="","",INDEX(JupData!$A$2:$K$10000,MATCH($A730&amp;R$1,JupData!$A$2:$A$10000&amp;JupData!$J$2:$J$10000,0),11))</f>
        <v/>
      </c>
      <c r="S730" t="str">
        <f t="array" ref="S730">IF($A730="","",INDEX(JupData!$A$2:$K$10000,MATCH($A730&amp;S$1,JupData!$A$2:$A$10000&amp;JupData!$J$2:$J$10000,0),11))</f>
        <v/>
      </c>
      <c r="T730" t="str">
        <f t="array" ref="T730">IF($A730="","",INDEX(JupData!$A$2:$K$10000,MATCH($A730&amp;T$1,JupData!$A$2:$A$10000&amp;JupData!$J$2:$J$10000,0),11))</f>
        <v/>
      </c>
      <c r="U730" t="str">
        <f t="array" ref="U730">IF($A730="","",INDEX(JupData!$A$2:$K$10000,MATCH($A730&amp;U$1,JupData!$A$2:$A$10000&amp;JupData!$J$2:$J$10000,0),11))</f>
        <v/>
      </c>
      <c r="V730" t="str">
        <f t="array" ref="V730">IF($A730="","",INDEX(JupData!$A$2:$K$10000,MATCH($A730&amp;V$1,JupData!$A$2:$A$10000&amp;JupData!$J$2:$J$10000,0),11))</f>
        <v/>
      </c>
      <c r="W730" t="str">
        <f t="array" ref="W730">IF($A730="","",INDEX(JupData!$A$2:$K$10000,MATCH($A730&amp;W$1,JupData!$A$2:$A$10000&amp;JupData!$J$2:$J$10000,0),11))</f>
        <v/>
      </c>
      <c r="X730" t="str">
        <f t="array" ref="X730">IF($A730="","",INDEX(JupData!$A$2:$K$10000,MATCH($A730&amp;X$1,JupData!$A$2:$A$10000&amp;JupData!$J$2:$J$10000,0),11))</f>
        <v/>
      </c>
      <c r="Y730" t="str">
        <f t="array" ref="Y730">IF($A730="","",INDEX(JupData!$A$2:$K$10000,MATCH($A730&amp;Y$1,JupData!$A$2:$A$10000&amp;JupData!$J$2:$J$10000,0),11))</f>
        <v/>
      </c>
      <c r="Z730" t="str">
        <f t="array" ref="Z730">IF($A730="","",INDEX(JupData!$A$2:$K$10000,MATCH($A730&amp;Z$1,JupData!$A$2:$A$10000&amp;JupData!$J$2:$J$10000,0),11))</f>
        <v/>
      </c>
      <c r="AA730" t="str">
        <f t="array" ref="AA730">IF($A730="","",INDEX(JupData!$A$2:$K$10000,MATCH($A730&amp;AA$1,JupData!$A$2:$A$10000&amp;JupData!$J$2:$J$10000,0),11))</f>
        <v/>
      </c>
      <c r="AB730" t="str">
        <f t="array" ref="AB730">IF($A730="","",INDEX(JupData!$A$2:$K$10000,MATCH($A730&amp;AB$1,JupData!$A$2:$A$10000&amp;JupData!$J$2:$J$10000,0),11))</f>
        <v/>
      </c>
      <c r="AC730" s="10" t="str">
        <f t="shared" si="121"/>
        <v/>
      </c>
      <c r="AD730" s="10" t="str">
        <f t="shared" si="122"/>
        <v/>
      </c>
      <c r="AE730" s="9" t="str">
        <f t="shared" si="123"/>
        <v/>
      </c>
      <c r="AF730" s="10" t="str">
        <f t="shared" si="124"/>
        <v/>
      </c>
      <c r="AG730" s="10" t="str">
        <f t="shared" si="125"/>
        <v/>
      </c>
      <c r="AH730" s="10" t="str">
        <f t="shared" si="126"/>
        <v/>
      </c>
      <c r="AI730" s="10" t="str">
        <f t="shared" si="127"/>
        <v/>
      </c>
      <c r="AJ730" s="10" t="str">
        <f t="shared" si="128"/>
        <v/>
      </c>
      <c r="AK730" s="10" t="str">
        <f t="shared" si="129"/>
        <v/>
      </c>
      <c r="AL730" s="14" t="str">
        <f t="shared" si="130"/>
        <v/>
      </c>
    </row>
    <row r="731" spans="1:38" x14ac:dyDescent="0.2">
      <c r="A731"/>
      <c r="B731" t="str">
        <f>IF($A731="","",VLOOKUP($A731,JupData!$A$2:$I$10000,4,FALSE))</f>
        <v/>
      </c>
      <c r="C731" s="7" t="str">
        <f>IF($A731="",IF(N(D731),0,""),VLOOKUP($A731,JupData!$A$2:$I$10000,7,FALSE))</f>
        <v/>
      </c>
      <c r="D731" t="str">
        <f t="shared" si="131"/>
        <v/>
      </c>
      <c r="E731" t="str">
        <f t="array" ref="E731">IF($A731="","",INDEX(JupData!$A$2:$K$10000,MATCH($A731&amp;E$1,JupData!$A$2:$A$10000&amp;JupData!$J$2:$J$10000,0),11))</f>
        <v/>
      </c>
      <c r="F731" t="str">
        <f t="array" ref="F731">IF($A731="","",INDEX(JupData!$A$2:$K$10000,MATCH($A731&amp;F$1,JupData!$A$2:$A$10000&amp;JupData!$J$2:$J$10000,0),11))</f>
        <v/>
      </c>
      <c r="G731" t="str">
        <f t="array" ref="G731">IF($A731="","",INDEX(JupData!$A$2:$K$10000,MATCH($A731&amp;G$1,JupData!$A$2:$A$10000&amp;JupData!$J$2:$J$10000,0),11))</f>
        <v/>
      </c>
      <c r="H731" t="str">
        <f t="array" ref="H731">IF($A731="","",INDEX(JupData!$A$2:$K$10000,MATCH($A731&amp;H$1,JupData!$A$2:$A$10000&amp;JupData!$J$2:$J$10000,0),11))</f>
        <v/>
      </c>
      <c r="I731" t="str">
        <f t="array" ref="I731">IF($A731="","",INDEX(JupData!$A$2:$K$10000,MATCH($A731&amp;I$1,JupData!$A$2:$A$10000&amp;JupData!$J$2:$J$10000,0),11))</f>
        <v/>
      </c>
      <c r="J731" t="str">
        <f t="array" ref="J731">IF($A731="","",INDEX(JupData!$A$2:$K$10000,MATCH($A731&amp;J$1,JupData!$A$2:$A$10000&amp;JupData!$J$2:$J$10000,0),11))</f>
        <v/>
      </c>
      <c r="K731" t="str">
        <f t="array" ref="K731">IF($A731="","",INDEX(JupData!$A$2:$K$10000,MATCH($A731&amp;K$1,JupData!$A$2:$A$10000&amp;JupData!$J$2:$J$10000,0),11))</f>
        <v/>
      </c>
      <c r="L731" t="str">
        <f t="array" ref="L731">IF($A731="","",INDEX(JupData!$A$2:$K$10000,MATCH($A731&amp;L$1,JupData!$A$2:$A$10000&amp;JupData!$J$2:$J$10000,0),11))</f>
        <v/>
      </c>
      <c r="M731" t="str">
        <f t="array" ref="M731">IF($A731="","",INDEX(JupData!$A$2:$K$10000,MATCH($A731&amp;M$1,JupData!$A$2:$A$10000&amp;JupData!$J$2:$J$10000,0),11))</f>
        <v/>
      </c>
      <c r="N731" t="str">
        <f t="array" ref="N731">IF($A731="","",INDEX(JupData!$A$2:$K$10000,MATCH($A731&amp;N$1,JupData!$A$2:$A$10000&amp;JupData!$J$2:$J$10000,0),11))</f>
        <v/>
      </c>
      <c r="O731" t="str">
        <f t="array" ref="O731">IF($A731="","",INDEX(JupData!$A$2:$K$10000,MATCH($A731&amp;O$1,JupData!$A$2:$A$10000&amp;JupData!$J$2:$J$10000,0),11))</f>
        <v/>
      </c>
      <c r="P731" t="str">
        <f t="array" ref="P731">IF($A731="","",INDEX(JupData!$A$2:$K$10000,MATCH($A731&amp;P$1,JupData!$A$2:$A$10000&amp;JupData!$J$2:$J$10000,0),11))</f>
        <v/>
      </c>
      <c r="Q731" t="str">
        <f t="array" ref="Q731">IF($A731="","",INDEX(JupData!$A$2:$K$10000,MATCH($A731&amp;Q$1,JupData!$A$2:$A$10000&amp;JupData!$J$2:$J$10000,0),11))</f>
        <v/>
      </c>
      <c r="R731" t="str">
        <f t="array" ref="R731">IF($A731="","",INDEX(JupData!$A$2:$K$10000,MATCH($A731&amp;R$1,JupData!$A$2:$A$10000&amp;JupData!$J$2:$J$10000,0),11))</f>
        <v/>
      </c>
      <c r="S731" t="str">
        <f t="array" ref="S731">IF($A731="","",INDEX(JupData!$A$2:$K$10000,MATCH($A731&amp;S$1,JupData!$A$2:$A$10000&amp;JupData!$J$2:$J$10000,0),11))</f>
        <v/>
      </c>
      <c r="T731" t="str">
        <f t="array" ref="T731">IF($A731="","",INDEX(JupData!$A$2:$K$10000,MATCH($A731&amp;T$1,JupData!$A$2:$A$10000&amp;JupData!$J$2:$J$10000,0),11))</f>
        <v/>
      </c>
      <c r="U731" t="str">
        <f t="array" ref="U731">IF($A731="","",INDEX(JupData!$A$2:$K$10000,MATCH($A731&amp;U$1,JupData!$A$2:$A$10000&amp;JupData!$J$2:$J$10000,0),11))</f>
        <v/>
      </c>
      <c r="V731" t="str">
        <f t="array" ref="V731">IF($A731="","",INDEX(JupData!$A$2:$K$10000,MATCH($A731&amp;V$1,JupData!$A$2:$A$10000&amp;JupData!$J$2:$J$10000,0),11))</f>
        <v/>
      </c>
      <c r="W731" t="str">
        <f t="array" ref="W731">IF($A731="","",INDEX(JupData!$A$2:$K$10000,MATCH($A731&amp;W$1,JupData!$A$2:$A$10000&amp;JupData!$J$2:$J$10000,0),11))</f>
        <v/>
      </c>
      <c r="X731" t="str">
        <f t="array" ref="X731">IF($A731="","",INDEX(JupData!$A$2:$K$10000,MATCH($A731&amp;X$1,JupData!$A$2:$A$10000&amp;JupData!$J$2:$J$10000,0),11))</f>
        <v/>
      </c>
      <c r="Y731" t="str">
        <f t="array" ref="Y731">IF($A731="","",INDEX(JupData!$A$2:$K$10000,MATCH($A731&amp;Y$1,JupData!$A$2:$A$10000&amp;JupData!$J$2:$J$10000,0),11))</f>
        <v/>
      </c>
      <c r="Z731" t="str">
        <f t="array" ref="Z731">IF($A731="","",INDEX(JupData!$A$2:$K$10000,MATCH($A731&amp;Z$1,JupData!$A$2:$A$10000&amp;JupData!$J$2:$J$10000,0),11))</f>
        <v/>
      </c>
      <c r="AA731" t="str">
        <f t="array" ref="AA731">IF($A731="","",INDEX(JupData!$A$2:$K$10000,MATCH($A731&amp;AA$1,JupData!$A$2:$A$10000&amp;JupData!$J$2:$J$10000,0),11))</f>
        <v/>
      </c>
      <c r="AB731" t="str">
        <f t="array" ref="AB731">IF($A731="","",INDEX(JupData!$A$2:$K$10000,MATCH($A731&amp;AB$1,JupData!$A$2:$A$10000&amp;JupData!$J$2:$J$10000,0),11))</f>
        <v/>
      </c>
      <c r="AC731" s="10" t="str">
        <f t="shared" si="121"/>
        <v/>
      </c>
      <c r="AD731" s="10" t="str">
        <f t="shared" si="122"/>
        <v/>
      </c>
      <c r="AE731" s="9" t="str">
        <f t="shared" si="123"/>
        <v/>
      </c>
      <c r="AF731" s="10" t="str">
        <f t="shared" si="124"/>
        <v/>
      </c>
      <c r="AG731" s="10" t="str">
        <f t="shared" si="125"/>
        <v/>
      </c>
      <c r="AH731" s="10" t="str">
        <f t="shared" si="126"/>
        <v/>
      </c>
      <c r="AI731" s="10" t="str">
        <f t="shared" si="127"/>
        <v/>
      </c>
      <c r="AJ731" s="10" t="str">
        <f t="shared" si="128"/>
        <v/>
      </c>
      <c r="AK731" s="10" t="str">
        <f t="shared" si="129"/>
        <v/>
      </c>
      <c r="AL731" s="14" t="str">
        <f t="shared" si="130"/>
        <v/>
      </c>
    </row>
    <row r="732" spans="1:38" x14ac:dyDescent="0.2">
      <c r="A732"/>
      <c r="B732" t="str">
        <f>IF($A732="","",VLOOKUP($A732,JupData!$A$2:$I$10000,4,FALSE))</f>
        <v/>
      </c>
      <c r="C732" s="7" t="str">
        <f>IF($A732="",IF(N(D732),0,""),VLOOKUP($A732,JupData!$A$2:$I$10000,7,FALSE))</f>
        <v/>
      </c>
      <c r="D732" t="str">
        <f t="shared" si="131"/>
        <v/>
      </c>
      <c r="E732" t="str">
        <f t="array" ref="E732">IF($A732="","",INDEX(JupData!$A$2:$K$10000,MATCH($A732&amp;E$1,JupData!$A$2:$A$10000&amp;JupData!$J$2:$J$10000,0),11))</f>
        <v/>
      </c>
      <c r="F732" t="str">
        <f t="array" ref="F732">IF($A732="","",INDEX(JupData!$A$2:$K$10000,MATCH($A732&amp;F$1,JupData!$A$2:$A$10000&amp;JupData!$J$2:$J$10000,0),11))</f>
        <v/>
      </c>
      <c r="G732" t="str">
        <f t="array" ref="G732">IF($A732="","",INDEX(JupData!$A$2:$K$10000,MATCH($A732&amp;G$1,JupData!$A$2:$A$10000&amp;JupData!$J$2:$J$10000,0),11))</f>
        <v/>
      </c>
      <c r="H732" t="str">
        <f t="array" ref="H732">IF($A732="","",INDEX(JupData!$A$2:$K$10000,MATCH($A732&amp;H$1,JupData!$A$2:$A$10000&amp;JupData!$J$2:$J$10000,0),11))</f>
        <v/>
      </c>
      <c r="I732" t="str">
        <f t="array" ref="I732">IF($A732="","",INDEX(JupData!$A$2:$K$10000,MATCH($A732&amp;I$1,JupData!$A$2:$A$10000&amp;JupData!$J$2:$J$10000,0),11))</f>
        <v/>
      </c>
      <c r="J732" t="str">
        <f t="array" ref="J732">IF($A732="","",INDEX(JupData!$A$2:$K$10000,MATCH($A732&amp;J$1,JupData!$A$2:$A$10000&amp;JupData!$J$2:$J$10000,0),11))</f>
        <v/>
      </c>
      <c r="K732" t="str">
        <f t="array" ref="K732">IF($A732="","",INDEX(JupData!$A$2:$K$10000,MATCH($A732&amp;K$1,JupData!$A$2:$A$10000&amp;JupData!$J$2:$J$10000,0),11))</f>
        <v/>
      </c>
      <c r="L732" t="str">
        <f t="array" ref="L732">IF($A732="","",INDEX(JupData!$A$2:$K$10000,MATCH($A732&amp;L$1,JupData!$A$2:$A$10000&amp;JupData!$J$2:$J$10000,0),11))</f>
        <v/>
      </c>
      <c r="M732" t="str">
        <f t="array" ref="M732">IF($A732="","",INDEX(JupData!$A$2:$K$10000,MATCH($A732&amp;M$1,JupData!$A$2:$A$10000&amp;JupData!$J$2:$J$10000,0),11))</f>
        <v/>
      </c>
      <c r="N732" t="str">
        <f t="array" ref="N732">IF($A732="","",INDEX(JupData!$A$2:$K$10000,MATCH($A732&amp;N$1,JupData!$A$2:$A$10000&amp;JupData!$J$2:$J$10000,0),11))</f>
        <v/>
      </c>
      <c r="O732" t="str">
        <f t="array" ref="O732">IF($A732="","",INDEX(JupData!$A$2:$K$10000,MATCH($A732&amp;O$1,JupData!$A$2:$A$10000&amp;JupData!$J$2:$J$10000,0),11))</f>
        <v/>
      </c>
      <c r="P732" t="str">
        <f t="array" ref="P732">IF($A732="","",INDEX(JupData!$A$2:$K$10000,MATCH($A732&amp;P$1,JupData!$A$2:$A$10000&amp;JupData!$J$2:$J$10000,0),11))</f>
        <v/>
      </c>
      <c r="Q732" t="str">
        <f t="array" ref="Q732">IF($A732="","",INDEX(JupData!$A$2:$K$10000,MATCH($A732&amp;Q$1,JupData!$A$2:$A$10000&amp;JupData!$J$2:$J$10000,0),11))</f>
        <v/>
      </c>
      <c r="R732" t="str">
        <f t="array" ref="R732">IF($A732="","",INDEX(JupData!$A$2:$K$10000,MATCH($A732&amp;R$1,JupData!$A$2:$A$10000&amp;JupData!$J$2:$J$10000,0),11))</f>
        <v/>
      </c>
      <c r="S732" t="str">
        <f t="array" ref="S732">IF($A732="","",INDEX(JupData!$A$2:$K$10000,MATCH($A732&amp;S$1,JupData!$A$2:$A$10000&amp;JupData!$J$2:$J$10000,0),11))</f>
        <v/>
      </c>
      <c r="T732" t="str">
        <f t="array" ref="T732">IF($A732="","",INDEX(JupData!$A$2:$K$10000,MATCH($A732&amp;T$1,JupData!$A$2:$A$10000&amp;JupData!$J$2:$J$10000,0),11))</f>
        <v/>
      </c>
      <c r="U732" t="str">
        <f t="array" ref="U732">IF($A732="","",INDEX(JupData!$A$2:$K$10000,MATCH($A732&amp;U$1,JupData!$A$2:$A$10000&amp;JupData!$J$2:$J$10000,0),11))</f>
        <v/>
      </c>
      <c r="V732" t="str">
        <f t="array" ref="V732">IF($A732="","",INDEX(JupData!$A$2:$K$10000,MATCH($A732&amp;V$1,JupData!$A$2:$A$10000&amp;JupData!$J$2:$J$10000,0),11))</f>
        <v/>
      </c>
      <c r="W732" t="str">
        <f t="array" ref="W732">IF($A732="","",INDEX(JupData!$A$2:$K$10000,MATCH($A732&amp;W$1,JupData!$A$2:$A$10000&amp;JupData!$J$2:$J$10000,0),11))</f>
        <v/>
      </c>
      <c r="X732" t="str">
        <f t="array" ref="X732">IF($A732="","",INDEX(JupData!$A$2:$K$10000,MATCH($A732&amp;X$1,JupData!$A$2:$A$10000&amp;JupData!$J$2:$J$10000,0),11))</f>
        <v/>
      </c>
      <c r="Y732" t="str">
        <f t="array" ref="Y732">IF($A732="","",INDEX(JupData!$A$2:$K$10000,MATCH($A732&amp;Y$1,JupData!$A$2:$A$10000&amp;JupData!$J$2:$J$10000,0),11))</f>
        <v/>
      </c>
      <c r="Z732" t="str">
        <f t="array" ref="Z732">IF($A732="","",INDEX(JupData!$A$2:$K$10000,MATCH($A732&amp;Z$1,JupData!$A$2:$A$10000&amp;JupData!$J$2:$J$10000,0),11))</f>
        <v/>
      </c>
      <c r="AA732" t="str">
        <f t="array" ref="AA732">IF($A732="","",INDEX(JupData!$A$2:$K$10000,MATCH($A732&amp;AA$1,JupData!$A$2:$A$10000&amp;JupData!$J$2:$J$10000,0),11))</f>
        <v/>
      </c>
      <c r="AB732" t="str">
        <f t="array" ref="AB732">IF($A732="","",INDEX(JupData!$A$2:$K$10000,MATCH($A732&amp;AB$1,JupData!$A$2:$A$10000&amp;JupData!$J$2:$J$10000,0),11))</f>
        <v/>
      </c>
      <c r="AC732" s="10" t="str">
        <f t="shared" si="121"/>
        <v/>
      </c>
      <c r="AD732" s="10" t="str">
        <f t="shared" si="122"/>
        <v/>
      </c>
      <c r="AE732" s="9" t="str">
        <f t="shared" si="123"/>
        <v/>
      </c>
      <c r="AF732" s="10" t="str">
        <f t="shared" si="124"/>
        <v/>
      </c>
      <c r="AG732" s="10" t="str">
        <f t="shared" si="125"/>
        <v/>
      </c>
      <c r="AH732" s="10" t="str">
        <f t="shared" si="126"/>
        <v/>
      </c>
      <c r="AI732" s="10" t="str">
        <f t="shared" si="127"/>
        <v/>
      </c>
      <c r="AJ732" s="10" t="str">
        <f t="shared" si="128"/>
        <v/>
      </c>
      <c r="AK732" s="10" t="str">
        <f t="shared" si="129"/>
        <v/>
      </c>
      <c r="AL732" s="14" t="str">
        <f t="shared" si="130"/>
        <v/>
      </c>
    </row>
    <row r="733" spans="1:38" x14ac:dyDescent="0.2">
      <c r="A733"/>
      <c r="B733" t="str">
        <f>IF($A733="","",VLOOKUP($A733,JupData!$A$2:$I$10000,4,FALSE))</f>
        <v/>
      </c>
      <c r="C733" s="7" t="str">
        <f>IF($A733="",IF(N(D733),0,""),VLOOKUP($A733,JupData!$A$2:$I$10000,7,FALSE))</f>
        <v/>
      </c>
      <c r="D733" t="str">
        <f t="shared" si="131"/>
        <v/>
      </c>
      <c r="E733" t="str">
        <f t="array" ref="E733">IF($A733="","",INDEX(JupData!$A$2:$K$10000,MATCH($A733&amp;E$1,JupData!$A$2:$A$10000&amp;JupData!$J$2:$J$10000,0),11))</f>
        <v/>
      </c>
      <c r="F733" t="str">
        <f t="array" ref="F733">IF($A733="","",INDEX(JupData!$A$2:$K$10000,MATCH($A733&amp;F$1,JupData!$A$2:$A$10000&amp;JupData!$J$2:$J$10000,0),11))</f>
        <v/>
      </c>
      <c r="G733" t="str">
        <f t="array" ref="G733">IF($A733="","",INDEX(JupData!$A$2:$K$10000,MATCH($A733&amp;G$1,JupData!$A$2:$A$10000&amp;JupData!$J$2:$J$10000,0),11))</f>
        <v/>
      </c>
      <c r="H733" t="str">
        <f t="array" ref="H733">IF($A733="","",INDEX(JupData!$A$2:$K$10000,MATCH($A733&amp;H$1,JupData!$A$2:$A$10000&amp;JupData!$J$2:$J$10000,0),11))</f>
        <v/>
      </c>
      <c r="I733" t="str">
        <f t="array" ref="I733">IF($A733="","",INDEX(JupData!$A$2:$K$10000,MATCH($A733&amp;I$1,JupData!$A$2:$A$10000&amp;JupData!$J$2:$J$10000,0),11))</f>
        <v/>
      </c>
      <c r="J733" t="str">
        <f t="array" ref="J733">IF($A733="","",INDEX(JupData!$A$2:$K$10000,MATCH($A733&amp;J$1,JupData!$A$2:$A$10000&amp;JupData!$J$2:$J$10000,0),11))</f>
        <v/>
      </c>
      <c r="K733" t="str">
        <f t="array" ref="K733">IF($A733="","",INDEX(JupData!$A$2:$K$10000,MATCH($A733&amp;K$1,JupData!$A$2:$A$10000&amp;JupData!$J$2:$J$10000,0),11))</f>
        <v/>
      </c>
      <c r="L733" t="str">
        <f t="array" ref="L733">IF($A733="","",INDEX(JupData!$A$2:$K$10000,MATCH($A733&amp;L$1,JupData!$A$2:$A$10000&amp;JupData!$J$2:$J$10000,0),11))</f>
        <v/>
      </c>
      <c r="M733" t="str">
        <f t="array" ref="M733">IF($A733="","",INDEX(JupData!$A$2:$K$10000,MATCH($A733&amp;M$1,JupData!$A$2:$A$10000&amp;JupData!$J$2:$J$10000,0),11))</f>
        <v/>
      </c>
      <c r="N733" t="str">
        <f t="array" ref="N733">IF($A733="","",INDEX(JupData!$A$2:$K$10000,MATCH($A733&amp;N$1,JupData!$A$2:$A$10000&amp;JupData!$J$2:$J$10000,0),11))</f>
        <v/>
      </c>
      <c r="O733" t="str">
        <f t="array" ref="O733">IF($A733="","",INDEX(JupData!$A$2:$K$10000,MATCH($A733&amp;O$1,JupData!$A$2:$A$10000&amp;JupData!$J$2:$J$10000,0),11))</f>
        <v/>
      </c>
      <c r="P733" t="str">
        <f t="array" ref="P733">IF($A733="","",INDEX(JupData!$A$2:$K$10000,MATCH($A733&amp;P$1,JupData!$A$2:$A$10000&amp;JupData!$J$2:$J$10000,0),11))</f>
        <v/>
      </c>
      <c r="Q733" t="str">
        <f t="array" ref="Q733">IF($A733="","",INDEX(JupData!$A$2:$K$10000,MATCH($A733&amp;Q$1,JupData!$A$2:$A$10000&amp;JupData!$J$2:$J$10000,0),11))</f>
        <v/>
      </c>
      <c r="R733" t="str">
        <f t="array" ref="R733">IF($A733="","",INDEX(JupData!$A$2:$K$10000,MATCH($A733&amp;R$1,JupData!$A$2:$A$10000&amp;JupData!$J$2:$J$10000,0),11))</f>
        <v/>
      </c>
      <c r="S733" t="str">
        <f t="array" ref="S733">IF($A733="","",INDEX(JupData!$A$2:$K$10000,MATCH($A733&amp;S$1,JupData!$A$2:$A$10000&amp;JupData!$J$2:$J$10000,0),11))</f>
        <v/>
      </c>
      <c r="T733" t="str">
        <f t="array" ref="T733">IF($A733="","",INDEX(JupData!$A$2:$K$10000,MATCH($A733&amp;T$1,JupData!$A$2:$A$10000&amp;JupData!$J$2:$J$10000,0),11))</f>
        <v/>
      </c>
      <c r="U733" t="str">
        <f t="array" ref="U733">IF($A733="","",INDEX(JupData!$A$2:$K$10000,MATCH($A733&amp;U$1,JupData!$A$2:$A$10000&amp;JupData!$J$2:$J$10000,0),11))</f>
        <v/>
      </c>
      <c r="V733" t="str">
        <f t="array" ref="V733">IF($A733="","",INDEX(JupData!$A$2:$K$10000,MATCH($A733&amp;V$1,JupData!$A$2:$A$10000&amp;JupData!$J$2:$J$10000,0),11))</f>
        <v/>
      </c>
      <c r="W733" t="str">
        <f t="array" ref="W733">IF($A733="","",INDEX(JupData!$A$2:$K$10000,MATCH($A733&amp;W$1,JupData!$A$2:$A$10000&amp;JupData!$J$2:$J$10000,0),11))</f>
        <v/>
      </c>
      <c r="X733" t="str">
        <f t="array" ref="X733">IF($A733="","",INDEX(JupData!$A$2:$K$10000,MATCH($A733&amp;X$1,JupData!$A$2:$A$10000&amp;JupData!$J$2:$J$10000,0),11))</f>
        <v/>
      </c>
      <c r="Y733" t="str">
        <f t="array" ref="Y733">IF($A733="","",INDEX(JupData!$A$2:$K$10000,MATCH($A733&amp;Y$1,JupData!$A$2:$A$10000&amp;JupData!$J$2:$J$10000,0),11))</f>
        <v/>
      </c>
      <c r="Z733" t="str">
        <f t="array" ref="Z733">IF($A733="","",INDEX(JupData!$A$2:$K$10000,MATCH($A733&amp;Z$1,JupData!$A$2:$A$10000&amp;JupData!$J$2:$J$10000,0),11))</f>
        <v/>
      </c>
      <c r="AA733" t="str">
        <f t="array" ref="AA733">IF($A733="","",INDEX(JupData!$A$2:$K$10000,MATCH($A733&amp;AA$1,JupData!$A$2:$A$10000&amp;JupData!$J$2:$J$10000,0),11))</f>
        <v/>
      </c>
      <c r="AB733" t="str">
        <f t="array" ref="AB733">IF($A733="","",INDEX(JupData!$A$2:$K$10000,MATCH($A733&amp;AB$1,JupData!$A$2:$A$10000&amp;JupData!$J$2:$J$10000,0),11))</f>
        <v/>
      </c>
      <c r="AC733" s="10" t="str">
        <f t="shared" si="121"/>
        <v/>
      </c>
      <c r="AD733" s="10" t="str">
        <f t="shared" si="122"/>
        <v/>
      </c>
      <c r="AE733" s="9" t="str">
        <f t="shared" si="123"/>
        <v/>
      </c>
      <c r="AF733" s="10" t="str">
        <f t="shared" si="124"/>
        <v/>
      </c>
      <c r="AG733" s="10" t="str">
        <f t="shared" si="125"/>
        <v/>
      </c>
      <c r="AH733" s="10" t="str">
        <f t="shared" si="126"/>
        <v/>
      </c>
      <c r="AI733" s="10" t="str">
        <f t="shared" si="127"/>
        <v/>
      </c>
      <c r="AJ733" s="10" t="str">
        <f t="shared" si="128"/>
        <v/>
      </c>
      <c r="AK733" s="10" t="str">
        <f t="shared" si="129"/>
        <v/>
      </c>
      <c r="AL733" s="14" t="str">
        <f t="shared" si="130"/>
        <v/>
      </c>
    </row>
    <row r="734" spans="1:38" x14ac:dyDescent="0.2">
      <c r="A734"/>
      <c r="B734" t="str">
        <f>IF($A734="","",VLOOKUP($A734,JupData!$A$2:$I$10000,4,FALSE))</f>
        <v/>
      </c>
      <c r="C734" s="7" t="str">
        <f>IF($A734="",IF(N(D734),0,""),VLOOKUP($A734,JupData!$A$2:$I$10000,7,FALSE))</f>
        <v/>
      </c>
      <c r="D734" t="str">
        <f t="shared" si="131"/>
        <v/>
      </c>
      <c r="E734" t="str">
        <f t="array" ref="E734">IF($A734="","",INDEX(JupData!$A$2:$K$10000,MATCH($A734&amp;E$1,JupData!$A$2:$A$10000&amp;JupData!$J$2:$J$10000,0),11))</f>
        <v/>
      </c>
      <c r="F734" t="str">
        <f t="array" ref="F734">IF($A734="","",INDEX(JupData!$A$2:$K$10000,MATCH($A734&amp;F$1,JupData!$A$2:$A$10000&amp;JupData!$J$2:$J$10000,0),11))</f>
        <v/>
      </c>
      <c r="G734" t="str">
        <f t="array" ref="G734">IF($A734="","",INDEX(JupData!$A$2:$K$10000,MATCH($A734&amp;G$1,JupData!$A$2:$A$10000&amp;JupData!$J$2:$J$10000,0),11))</f>
        <v/>
      </c>
      <c r="H734" t="str">
        <f t="array" ref="H734">IF($A734="","",INDEX(JupData!$A$2:$K$10000,MATCH($A734&amp;H$1,JupData!$A$2:$A$10000&amp;JupData!$J$2:$J$10000,0),11))</f>
        <v/>
      </c>
      <c r="I734" t="str">
        <f t="array" ref="I734">IF($A734="","",INDEX(JupData!$A$2:$K$10000,MATCH($A734&amp;I$1,JupData!$A$2:$A$10000&amp;JupData!$J$2:$J$10000,0),11))</f>
        <v/>
      </c>
      <c r="J734" t="str">
        <f t="array" ref="J734">IF($A734="","",INDEX(JupData!$A$2:$K$10000,MATCH($A734&amp;J$1,JupData!$A$2:$A$10000&amp;JupData!$J$2:$J$10000,0),11))</f>
        <v/>
      </c>
      <c r="K734" t="str">
        <f t="array" ref="K734">IF($A734="","",INDEX(JupData!$A$2:$K$10000,MATCH($A734&amp;K$1,JupData!$A$2:$A$10000&amp;JupData!$J$2:$J$10000,0),11))</f>
        <v/>
      </c>
      <c r="L734" t="str">
        <f t="array" ref="L734">IF($A734="","",INDEX(JupData!$A$2:$K$10000,MATCH($A734&amp;L$1,JupData!$A$2:$A$10000&amp;JupData!$J$2:$J$10000,0),11))</f>
        <v/>
      </c>
      <c r="M734" t="str">
        <f t="array" ref="M734">IF($A734="","",INDEX(JupData!$A$2:$K$10000,MATCH($A734&amp;M$1,JupData!$A$2:$A$10000&amp;JupData!$J$2:$J$10000,0),11))</f>
        <v/>
      </c>
      <c r="N734" t="str">
        <f t="array" ref="N734">IF($A734="","",INDEX(JupData!$A$2:$K$10000,MATCH($A734&amp;N$1,JupData!$A$2:$A$10000&amp;JupData!$J$2:$J$10000,0),11))</f>
        <v/>
      </c>
      <c r="O734" t="str">
        <f t="array" ref="O734">IF($A734="","",INDEX(JupData!$A$2:$K$10000,MATCH($A734&amp;O$1,JupData!$A$2:$A$10000&amp;JupData!$J$2:$J$10000,0),11))</f>
        <v/>
      </c>
      <c r="P734" t="str">
        <f t="array" ref="P734">IF($A734="","",INDEX(JupData!$A$2:$K$10000,MATCH($A734&amp;P$1,JupData!$A$2:$A$10000&amp;JupData!$J$2:$J$10000,0),11))</f>
        <v/>
      </c>
      <c r="Q734" t="str">
        <f t="array" ref="Q734">IF($A734="","",INDEX(JupData!$A$2:$K$10000,MATCH($A734&amp;Q$1,JupData!$A$2:$A$10000&amp;JupData!$J$2:$J$10000,0),11))</f>
        <v/>
      </c>
      <c r="R734" t="str">
        <f t="array" ref="R734">IF($A734="","",INDEX(JupData!$A$2:$K$10000,MATCH($A734&amp;R$1,JupData!$A$2:$A$10000&amp;JupData!$J$2:$J$10000,0),11))</f>
        <v/>
      </c>
      <c r="S734" t="str">
        <f t="array" ref="S734">IF($A734="","",INDEX(JupData!$A$2:$K$10000,MATCH($A734&amp;S$1,JupData!$A$2:$A$10000&amp;JupData!$J$2:$J$10000,0),11))</f>
        <v/>
      </c>
      <c r="T734" t="str">
        <f t="array" ref="T734">IF($A734="","",INDEX(JupData!$A$2:$K$10000,MATCH($A734&amp;T$1,JupData!$A$2:$A$10000&amp;JupData!$J$2:$J$10000,0),11))</f>
        <v/>
      </c>
      <c r="U734" t="str">
        <f t="array" ref="U734">IF($A734="","",INDEX(JupData!$A$2:$K$10000,MATCH($A734&amp;U$1,JupData!$A$2:$A$10000&amp;JupData!$J$2:$J$10000,0),11))</f>
        <v/>
      </c>
      <c r="V734" t="str">
        <f t="array" ref="V734">IF($A734="","",INDEX(JupData!$A$2:$K$10000,MATCH($A734&amp;V$1,JupData!$A$2:$A$10000&amp;JupData!$J$2:$J$10000,0),11))</f>
        <v/>
      </c>
      <c r="W734" t="str">
        <f t="array" ref="W734">IF($A734="","",INDEX(JupData!$A$2:$K$10000,MATCH($A734&amp;W$1,JupData!$A$2:$A$10000&amp;JupData!$J$2:$J$10000,0),11))</f>
        <v/>
      </c>
      <c r="X734" t="str">
        <f t="array" ref="X734">IF($A734="","",INDEX(JupData!$A$2:$K$10000,MATCH($A734&amp;X$1,JupData!$A$2:$A$10000&amp;JupData!$J$2:$J$10000,0),11))</f>
        <v/>
      </c>
      <c r="Y734" t="str">
        <f t="array" ref="Y734">IF($A734="","",INDEX(JupData!$A$2:$K$10000,MATCH($A734&amp;Y$1,JupData!$A$2:$A$10000&amp;JupData!$J$2:$J$10000,0),11))</f>
        <v/>
      </c>
      <c r="Z734" t="str">
        <f t="array" ref="Z734">IF($A734="","",INDEX(JupData!$A$2:$K$10000,MATCH($A734&amp;Z$1,JupData!$A$2:$A$10000&amp;JupData!$J$2:$J$10000,0),11))</f>
        <v/>
      </c>
      <c r="AA734" t="str">
        <f t="array" ref="AA734">IF($A734="","",INDEX(JupData!$A$2:$K$10000,MATCH($A734&amp;AA$1,JupData!$A$2:$A$10000&amp;JupData!$J$2:$J$10000,0),11))</f>
        <v/>
      </c>
      <c r="AB734" t="str">
        <f t="array" ref="AB734">IF($A734="","",INDEX(JupData!$A$2:$K$10000,MATCH($A734&amp;AB$1,JupData!$A$2:$A$10000&amp;JupData!$J$2:$J$10000,0),11))</f>
        <v/>
      </c>
      <c r="AC734" s="10" t="str">
        <f t="shared" si="121"/>
        <v/>
      </c>
      <c r="AD734" s="10" t="str">
        <f t="shared" si="122"/>
        <v/>
      </c>
      <c r="AE734" s="9" t="str">
        <f t="shared" si="123"/>
        <v/>
      </c>
      <c r="AF734" s="10" t="str">
        <f t="shared" si="124"/>
        <v/>
      </c>
      <c r="AG734" s="10" t="str">
        <f t="shared" si="125"/>
        <v/>
      </c>
      <c r="AH734" s="10" t="str">
        <f t="shared" si="126"/>
        <v/>
      </c>
      <c r="AI734" s="10" t="str">
        <f t="shared" si="127"/>
        <v/>
      </c>
      <c r="AJ734" s="10" t="str">
        <f t="shared" si="128"/>
        <v/>
      </c>
      <c r="AK734" s="10" t="str">
        <f t="shared" si="129"/>
        <v/>
      </c>
      <c r="AL734" s="14" t="str">
        <f t="shared" si="130"/>
        <v/>
      </c>
    </row>
    <row r="735" spans="1:38" x14ac:dyDescent="0.2">
      <c r="A735"/>
      <c r="B735" t="str">
        <f>IF($A735="","",VLOOKUP($A735,JupData!$A$2:$I$10000,4,FALSE))</f>
        <v/>
      </c>
      <c r="C735" s="7" t="str">
        <f>IF($A735="",IF(N(D735),0,""),VLOOKUP($A735,JupData!$A$2:$I$10000,7,FALSE))</f>
        <v/>
      </c>
      <c r="D735" t="str">
        <f t="shared" si="131"/>
        <v/>
      </c>
      <c r="E735" t="str">
        <f t="array" ref="E735">IF($A735="","",INDEX(JupData!$A$2:$K$10000,MATCH($A735&amp;E$1,JupData!$A$2:$A$10000&amp;JupData!$J$2:$J$10000,0),11))</f>
        <v/>
      </c>
      <c r="F735" t="str">
        <f t="array" ref="F735">IF($A735="","",INDEX(JupData!$A$2:$K$10000,MATCH($A735&amp;F$1,JupData!$A$2:$A$10000&amp;JupData!$J$2:$J$10000,0),11))</f>
        <v/>
      </c>
      <c r="G735" t="str">
        <f t="array" ref="G735">IF($A735="","",INDEX(JupData!$A$2:$K$10000,MATCH($A735&amp;G$1,JupData!$A$2:$A$10000&amp;JupData!$J$2:$J$10000,0),11))</f>
        <v/>
      </c>
      <c r="H735" t="str">
        <f t="array" ref="H735">IF($A735="","",INDEX(JupData!$A$2:$K$10000,MATCH($A735&amp;H$1,JupData!$A$2:$A$10000&amp;JupData!$J$2:$J$10000,0),11))</f>
        <v/>
      </c>
      <c r="I735" t="str">
        <f t="array" ref="I735">IF($A735="","",INDEX(JupData!$A$2:$K$10000,MATCH($A735&amp;I$1,JupData!$A$2:$A$10000&amp;JupData!$J$2:$J$10000,0),11))</f>
        <v/>
      </c>
      <c r="J735" t="str">
        <f t="array" ref="J735">IF($A735="","",INDEX(JupData!$A$2:$K$10000,MATCH($A735&amp;J$1,JupData!$A$2:$A$10000&amp;JupData!$J$2:$J$10000,0),11))</f>
        <v/>
      </c>
      <c r="K735" t="str">
        <f t="array" ref="K735">IF($A735="","",INDEX(JupData!$A$2:$K$10000,MATCH($A735&amp;K$1,JupData!$A$2:$A$10000&amp;JupData!$J$2:$J$10000,0),11))</f>
        <v/>
      </c>
      <c r="L735" t="str">
        <f t="array" ref="L735">IF($A735="","",INDEX(JupData!$A$2:$K$10000,MATCH($A735&amp;L$1,JupData!$A$2:$A$10000&amp;JupData!$J$2:$J$10000,0),11))</f>
        <v/>
      </c>
      <c r="M735" t="str">
        <f t="array" ref="M735">IF($A735="","",INDEX(JupData!$A$2:$K$10000,MATCH($A735&amp;M$1,JupData!$A$2:$A$10000&amp;JupData!$J$2:$J$10000,0),11))</f>
        <v/>
      </c>
      <c r="N735" t="str">
        <f t="array" ref="N735">IF($A735="","",INDEX(JupData!$A$2:$K$10000,MATCH($A735&amp;N$1,JupData!$A$2:$A$10000&amp;JupData!$J$2:$J$10000,0),11))</f>
        <v/>
      </c>
      <c r="O735" t="str">
        <f t="array" ref="O735">IF($A735="","",INDEX(JupData!$A$2:$K$10000,MATCH($A735&amp;O$1,JupData!$A$2:$A$10000&amp;JupData!$J$2:$J$10000,0),11))</f>
        <v/>
      </c>
      <c r="P735" t="str">
        <f t="array" ref="P735">IF($A735="","",INDEX(JupData!$A$2:$K$10000,MATCH($A735&amp;P$1,JupData!$A$2:$A$10000&amp;JupData!$J$2:$J$10000,0),11))</f>
        <v/>
      </c>
      <c r="Q735" t="str">
        <f t="array" ref="Q735">IF($A735="","",INDEX(JupData!$A$2:$K$10000,MATCH($A735&amp;Q$1,JupData!$A$2:$A$10000&amp;JupData!$J$2:$J$10000,0),11))</f>
        <v/>
      </c>
      <c r="R735" t="str">
        <f t="array" ref="R735">IF($A735="","",INDEX(JupData!$A$2:$K$10000,MATCH($A735&amp;R$1,JupData!$A$2:$A$10000&amp;JupData!$J$2:$J$10000,0),11))</f>
        <v/>
      </c>
      <c r="S735" t="str">
        <f t="array" ref="S735">IF($A735="","",INDEX(JupData!$A$2:$K$10000,MATCH($A735&amp;S$1,JupData!$A$2:$A$10000&amp;JupData!$J$2:$J$10000,0),11))</f>
        <v/>
      </c>
      <c r="T735" t="str">
        <f t="array" ref="T735">IF($A735="","",INDEX(JupData!$A$2:$K$10000,MATCH($A735&amp;T$1,JupData!$A$2:$A$10000&amp;JupData!$J$2:$J$10000,0),11))</f>
        <v/>
      </c>
      <c r="U735" t="str">
        <f t="array" ref="U735">IF($A735="","",INDEX(JupData!$A$2:$K$10000,MATCH($A735&amp;U$1,JupData!$A$2:$A$10000&amp;JupData!$J$2:$J$10000,0),11))</f>
        <v/>
      </c>
      <c r="V735" t="str">
        <f t="array" ref="V735">IF($A735="","",INDEX(JupData!$A$2:$K$10000,MATCH($A735&amp;V$1,JupData!$A$2:$A$10000&amp;JupData!$J$2:$J$10000,0),11))</f>
        <v/>
      </c>
      <c r="W735" t="str">
        <f t="array" ref="W735">IF($A735="","",INDEX(JupData!$A$2:$K$10000,MATCH($A735&amp;W$1,JupData!$A$2:$A$10000&amp;JupData!$J$2:$J$10000,0),11))</f>
        <v/>
      </c>
      <c r="X735" t="str">
        <f t="array" ref="X735">IF($A735="","",INDEX(JupData!$A$2:$K$10000,MATCH($A735&amp;X$1,JupData!$A$2:$A$10000&amp;JupData!$J$2:$J$10000,0),11))</f>
        <v/>
      </c>
      <c r="Y735" t="str">
        <f t="array" ref="Y735">IF($A735="","",INDEX(JupData!$A$2:$K$10000,MATCH($A735&amp;Y$1,JupData!$A$2:$A$10000&amp;JupData!$J$2:$J$10000,0),11))</f>
        <v/>
      </c>
      <c r="Z735" t="str">
        <f t="array" ref="Z735">IF($A735="","",INDEX(JupData!$A$2:$K$10000,MATCH($A735&amp;Z$1,JupData!$A$2:$A$10000&amp;JupData!$J$2:$J$10000,0),11))</f>
        <v/>
      </c>
      <c r="AA735" t="str">
        <f t="array" ref="AA735">IF($A735="","",INDEX(JupData!$A$2:$K$10000,MATCH($A735&amp;AA$1,JupData!$A$2:$A$10000&amp;JupData!$J$2:$J$10000,0),11))</f>
        <v/>
      </c>
      <c r="AB735" t="str">
        <f t="array" ref="AB735">IF($A735="","",INDEX(JupData!$A$2:$K$10000,MATCH($A735&amp;AB$1,JupData!$A$2:$A$10000&amp;JupData!$J$2:$J$10000,0),11))</f>
        <v/>
      </c>
      <c r="AC735" s="10" t="str">
        <f t="shared" si="121"/>
        <v/>
      </c>
      <c r="AD735" s="10" t="str">
        <f t="shared" si="122"/>
        <v/>
      </c>
      <c r="AE735" s="9" t="str">
        <f t="shared" si="123"/>
        <v/>
      </c>
      <c r="AF735" s="10" t="str">
        <f t="shared" si="124"/>
        <v/>
      </c>
      <c r="AG735" s="10" t="str">
        <f t="shared" si="125"/>
        <v/>
      </c>
      <c r="AH735" s="10" t="str">
        <f t="shared" si="126"/>
        <v/>
      </c>
      <c r="AI735" s="10" t="str">
        <f t="shared" si="127"/>
        <v/>
      </c>
      <c r="AJ735" s="10" t="str">
        <f t="shared" si="128"/>
        <v/>
      </c>
      <c r="AK735" s="10" t="str">
        <f t="shared" si="129"/>
        <v/>
      </c>
      <c r="AL735" s="14" t="str">
        <f t="shared" si="130"/>
        <v/>
      </c>
    </row>
    <row r="736" spans="1:38" x14ac:dyDescent="0.2">
      <c r="A736"/>
      <c r="B736" t="str">
        <f>IF($A736="","",VLOOKUP($A736,JupData!$A$2:$I$10000,4,FALSE))</f>
        <v/>
      </c>
      <c r="C736" s="7" t="str">
        <f>IF($A736="",IF(N(D736),0,""),VLOOKUP($A736,JupData!$A$2:$I$10000,7,FALSE))</f>
        <v/>
      </c>
      <c r="D736" t="str">
        <f t="shared" si="131"/>
        <v/>
      </c>
      <c r="E736" t="str">
        <f t="array" ref="E736">IF($A736="","",INDEX(JupData!$A$2:$K$10000,MATCH($A736&amp;E$1,JupData!$A$2:$A$10000&amp;JupData!$J$2:$J$10000,0),11))</f>
        <v/>
      </c>
      <c r="F736" t="str">
        <f t="array" ref="F736">IF($A736="","",INDEX(JupData!$A$2:$K$10000,MATCH($A736&amp;F$1,JupData!$A$2:$A$10000&amp;JupData!$J$2:$J$10000,0),11))</f>
        <v/>
      </c>
      <c r="G736" t="str">
        <f t="array" ref="G736">IF($A736="","",INDEX(JupData!$A$2:$K$10000,MATCH($A736&amp;G$1,JupData!$A$2:$A$10000&amp;JupData!$J$2:$J$10000,0),11))</f>
        <v/>
      </c>
      <c r="H736" t="str">
        <f t="array" ref="H736">IF($A736="","",INDEX(JupData!$A$2:$K$10000,MATCH($A736&amp;H$1,JupData!$A$2:$A$10000&amp;JupData!$J$2:$J$10000,0),11))</f>
        <v/>
      </c>
      <c r="I736" t="str">
        <f t="array" ref="I736">IF($A736="","",INDEX(JupData!$A$2:$K$10000,MATCH($A736&amp;I$1,JupData!$A$2:$A$10000&amp;JupData!$J$2:$J$10000,0),11))</f>
        <v/>
      </c>
      <c r="J736" t="str">
        <f t="array" ref="J736">IF($A736="","",INDEX(JupData!$A$2:$K$10000,MATCH($A736&amp;J$1,JupData!$A$2:$A$10000&amp;JupData!$J$2:$J$10000,0),11))</f>
        <v/>
      </c>
      <c r="K736" t="str">
        <f t="array" ref="K736">IF($A736="","",INDEX(JupData!$A$2:$K$10000,MATCH($A736&amp;K$1,JupData!$A$2:$A$10000&amp;JupData!$J$2:$J$10000,0),11))</f>
        <v/>
      </c>
      <c r="L736" t="str">
        <f t="array" ref="L736">IF($A736="","",INDEX(JupData!$A$2:$K$10000,MATCH($A736&amp;L$1,JupData!$A$2:$A$10000&amp;JupData!$J$2:$J$10000,0),11))</f>
        <v/>
      </c>
      <c r="M736" t="str">
        <f t="array" ref="M736">IF($A736="","",INDEX(JupData!$A$2:$K$10000,MATCH($A736&amp;M$1,JupData!$A$2:$A$10000&amp;JupData!$J$2:$J$10000,0),11))</f>
        <v/>
      </c>
      <c r="N736" t="str">
        <f t="array" ref="N736">IF($A736="","",INDEX(JupData!$A$2:$K$10000,MATCH($A736&amp;N$1,JupData!$A$2:$A$10000&amp;JupData!$J$2:$J$10000,0),11))</f>
        <v/>
      </c>
      <c r="O736" t="str">
        <f t="array" ref="O736">IF($A736="","",INDEX(JupData!$A$2:$K$10000,MATCH($A736&amp;O$1,JupData!$A$2:$A$10000&amp;JupData!$J$2:$J$10000,0),11))</f>
        <v/>
      </c>
      <c r="P736" t="str">
        <f t="array" ref="P736">IF($A736="","",INDEX(JupData!$A$2:$K$10000,MATCH($A736&amp;P$1,JupData!$A$2:$A$10000&amp;JupData!$J$2:$J$10000,0),11))</f>
        <v/>
      </c>
      <c r="Q736" t="str">
        <f t="array" ref="Q736">IF($A736="","",INDEX(JupData!$A$2:$K$10000,MATCH($A736&amp;Q$1,JupData!$A$2:$A$10000&amp;JupData!$J$2:$J$10000,0),11))</f>
        <v/>
      </c>
      <c r="R736" t="str">
        <f t="array" ref="R736">IF($A736="","",INDEX(JupData!$A$2:$K$10000,MATCH($A736&amp;R$1,JupData!$A$2:$A$10000&amp;JupData!$J$2:$J$10000,0),11))</f>
        <v/>
      </c>
      <c r="S736" t="str">
        <f t="array" ref="S736">IF($A736="","",INDEX(JupData!$A$2:$K$10000,MATCH($A736&amp;S$1,JupData!$A$2:$A$10000&amp;JupData!$J$2:$J$10000,0),11))</f>
        <v/>
      </c>
      <c r="T736" t="str">
        <f t="array" ref="T736">IF($A736="","",INDEX(JupData!$A$2:$K$10000,MATCH($A736&amp;T$1,JupData!$A$2:$A$10000&amp;JupData!$J$2:$J$10000,0),11))</f>
        <v/>
      </c>
      <c r="U736" t="str">
        <f t="array" ref="U736">IF($A736="","",INDEX(JupData!$A$2:$K$10000,MATCH($A736&amp;U$1,JupData!$A$2:$A$10000&amp;JupData!$J$2:$J$10000,0),11))</f>
        <v/>
      </c>
      <c r="V736" t="str">
        <f t="array" ref="V736">IF($A736="","",INDEX(JupData!$A$2:$K$10000,MATCH($A736&amp;V$1,JupData!$A$2:$A$10000&amp;JupData!$J$2:$J$10000,0),11))</f>
        <v/>
      </c>
      <c r="W736" t="str">
        <f t="array" ref="W736">IF($A736="","",INDEX(JupData!$A$2:$K$10000,MATCH($A736&amp;W$1,JupData!$A$2:$A$10000&amp;JupData!$J$2:$J$10000,0),11))</f>
        <v/>
      </c>
      <c r="X736" t="str">
        <f t="array" ref="X736">IF($A736="","",INDEX(JupData!$A$2:$K$10000,MATCH($A736&amp;X$1,JupData!$A$2:$A$10000&amp;JupData!$J$2:$J$10000,0),11))</f>
        <v/>
      </c>
      <c r="Y736" t="str">
        <f t="array" ref="Y736">IF($A736="","",INDEX(JupData!$A$2:$K$10000,MATCH($A736&amp;Y$1,JupData!$A$2:$A$10000&amp;JupData!$J$2:$J$10000,0),11))</f>
        <v/>
      </c>
      <c r="Z736" t="str">
        <f t="array" ref="Z736">IF($A736="","",INDEX(JupData!$A$2:$K$10000,MATCH($A736&amp;Z$1,JupData!$A$2:$A$10000&amp;JupData!$J$2:$J$10000,0),11))</f>
        <v/>
      </c>
      <c r="AA736" t="str">
        <f t="array" ref="AA736">IF($A736="","",INDEX(JupData!$A$2:$K$10000,MATCH($A736&amp;AA$1,JupData!$A$2:$A$10000&amp;JupData!$J$2:$J$10000,0),11))</f>
        <v/>
      </c>
      <c r="AB736" t="str">
        <f t="array" ref="AB736">IF($A736="","",INDEX(JupData!$A$2:$K$10000,MATCH($A736&amp;AB$1,JupData!$A$2:$A$10000&amp;JupData!$J$2:$J$10000,0),11))</f>
        <v/>
      </c>
      <c r="AC736" s="10" t="str">
        <f t="shared" si="121"/>
        <v/>
      </c>
      <c r="AD736" s="10" t="str">
        <f t="shared" si="122"/>
        <v/>
      </c>
      <c r="AE736" s="9" t="str">
        <f t="shared" si="123"/>
        <v/>
      </c>
      <c r="AF736" s="10" t="str">
        <f t="shared" si="124"/>
        <v/>
      </c>
      <c r="AG736" s="10" t="str">
        <f t="shared" si="125"/>
        <v/>
      </c>
      <c r="AH736" s="10" t="str">
        <f t="shared" si="126"/>
        <v/>
      </c>
      <c r="AI736" s="10" t="str">
        <f t="shared" si="127"/>
        <v/>
      </c>
      <c r="AJ736" s="10" t="str">
        <f t="shared" si="128"/>
        <v/>
      </c>
      <c r="AK736" s="10" t="str">
        <f t="shared" si="129"/>
        <v/>
      </c>
      <c r="AL736" s="14" t="str">
        <f t="shared" si="130"/>
        <v/>
      </c>
    </row>
    <row r="737" spans="1:38" x14ac:dyDescent="0.2">
      <c r="A737"/>
      <c r="B737" t="str">
        <f>IF($A737="","",VLOOKUP($A737,JupData!$A$2:$I$10000,4,FALSE))</f>
        <v/>
      </c>
      <c r="C737" s="7" t="str">
        <f>IF($A737="",IF(N(D737),0,""),VLOOKUP($A737,JupData!$A$2:$I$10000,7,FALSE))</f>
        <v/>
      </c>
      <c r="D737" t="str">
        <f t="shared" si="131"/>
        <v/>
      </c>
      <c r="E737" t="str">
        <f t="array" ref="E737">IF($A737="","",INDEX(JupData!$A$2:$K$10000,MATCH($A737&amp;E$1,JupData!$A$2:$A$10000&amp;JupData!$J$2:$J$10000,0),11))</f>
        <v/>
      </c>
      <c r="F737" t="str">
        <f t="array" ref="F737">IF($A737="","",INDEX(JupData!$A$2:$K$10000,MATCH($A737&amp;F$1,JupData!$A$2:$A$10000&amp;JupData!$J$2:$J$10000,0),11))</f>
        <v/>
      </c>
      <c r="G737" t="str">
        <f t="array" ref="G737">IF($A737="","",INDEX(JupData!$A$2:$K$10000,MATCH($A737&amp;G$1,JupData!$A$2:$A$10000&amp;JupData!$J$2:$J$10000,0),11))</f>
        <v/>
      </c>
      <c r="H737" t="str">
        <f t="array" ref="H737">IF($A737="","",INDEX(JupData!$A$2:$K$10000,MATCH($A737&amp;H$1,JupData!$A$2:$A$10000&amp;JupData!$J$2:$J$10000,0),11))</f>
        <v/>
      </c>
      <c r="I737" t="str">
        <f t="array" ref="I737">IF($A737="","",INDEX(JupData!$A$2:$K$10000,MATCH($A737&amp;I$1,JupData!$A$2:$A$10000&amp;JupData!$J$2:$J$10000,0),11))</f>
        <v/>
      </c>
      <c r="J737" t="str">
        <f t="array" ref="J737">IF($A737="","",INDEX(JupData!$A$2:$K$10000,MATCH($A737&amp;J$1,JupData!$A$2:$A$10000&amp;JupData!$J$2:$J$10000,0),11))</f>
        <v/>
      </c>
      <c r="K737" t="str">
        <f t="array" ref="K737">IF($A737="","",INDEX(JupData!$A$2:$K$10000,MATCH($A737&amp;K$1,JupData!$A$2:$A$10000&amp;JupData!$J$2:$J$10000,0),11))</f>
        <v/>
      </c>
      <c r="L737" t="str">
        <f t="array" ref="L737">IF($A737="","",INDEX(JupData!$A$2:$K$10000,MATCH($A737&amp;L$1,JupData!$A$2:$A$10000&amp;JupData!$J$2:$J$10000,0),11))</f>
        <v/>
      </c>
      <c r="M737" t="str">
        <f t="array" ref="M737">IF($A737="","",INDEX(JupData!$A$2:$K$10000,MATCH($A737&amp;M$1,JupData!$A$2:$A$10000&amp;JupData!$J$2:$J$10000,0),11))</f>
        <v/>
      </c>
      <c r="N737" t="str">
        <f t="array" ref="N737">IF($A737="","",INDEX(JupData!$A$2:$K$10000,MATCH($A737&amp;N$1,JupData!$A$2:$A$10000&amp;JupData!$J$2:$J$10000,0),11))</f>
        <v/>
      </c>
      <c r="O737" t="str">
        <f t="array" ref="O737">IF($A737="","",INDEX(JupData!$A$2:$K$10000,MATCH($A737&amp;O$1,JupData!$A$2:$A$10000&amp;JupData!$J$2:$J$10000,0),11))</f>
        <v/>
      </c>
      <c r="P737" t="str">
        <f t="array" ref="P737">IF($A737="","",INDEX(JupData!$A$2:$K$10000,MATCH($A737&amp;P$1,JupData!$A$2:$A$10000&amp;JupData!$J$2:$J$10000,0),11))</f>
        <v/>
      </c>
      <c r="Q737" t="str">
        <f t="array" ref="Q737">IF($A737="","",INDEX(JupData!$A$2:$K$10000,MATCH($A737&amp;Q$1,JupData!$A$2:$A$10000&amp;JupData!$J$2:$J$10000,0),11))</f>
        <v/>
      </c>
      <c r="R737" t="str">
        <f t="array" ref="R737">IF($A737="","",INDEX(JupData!$A$2:$K$10000,MATCH($A737&amp;R$1,JupData!$A$2:$A$10000&amp;JupData!$J$2:$J$10000,0),11))</f>
        <v/>
      </c>
      <c r="S737" t="str">
        <f t="array" ref="S737">IF($A737="","",INDEX(JupData!$A$2:$K$10000,MATCH($A737&amp;S$1,JupData!$A$2:$A$10000&amp;JupData!$J$2:$J$10000,0),11))</f>
        <v/>
      </c>
      <c r="T737" t="str">
        <f t="array" ref="T737">IF($A737="","",INDEX(JupData!$A$2:$K$10000,MATCH($A737&amp;T$1,JupData!$A$2:$A$10000&amp;JupData!$J$2:$J$10000,0),11))</f>
        <v/>
      </c>
      <c r="U737" t="str">
        <f t="array" ref="U737">IF($A737="","",INDEX(JupData!$A$2:$K$10000,MATCH($A737&amp;U$1,JupData!$A$2:$A$10000&amp;JupData!$J$2:$J$10000,0),11))</f>
        <v/>
      </c>
      <c r="V737" t="str">
        <f t="array" ref="V737">IF($A737="","",INDEX(JupData!$A$2:$K$10000,MATCH($A737&amp;V$1,JupData!$A$2:$A$10000&amp;JupData!$J$2:$J$10000,0),11))</f>
        <v/>
      </c>
      <c r="W737" t="str">
        <f t="array" ref="W737">IF($A737="","",INDEX(JupData!$A$2:$K$10000,MATCH($A737&amp;W$1,JupData!$A$2:$A$10000&amp;JupData!$J$2:$J$10000,0),11))</f>
        <v/>
      </c>
      <c r="X737" t="str">
        <f t="array" ref="X737">IF($A737="","",INDEX(JupData!$A$2:$K$10000,MATCH($A737&amp;X$1,JupData!$A$2:$A$10000&amp;JupData!$J$2:$J$10000,0),11))</f>
        <v/>
      </c>
      <c r="Y737" t="str">
        <f t="array" ref="Y737">IF($A737="","",INDEX(JupData!$A$2:$K$10000,MATCH($A737&amp;Y$1,JupData!$A$2:$A$10000&amp;JupData!$J$2:$J$10000,0),11))</f>
        <v/>
      </c>
      <c r="Z737" t="str">
        <f t="array" ref="Z737">IF($A737="","",INDEX(JupData!$A$2:$K$10000,MATCH($A737&amp;Z$1,JupData!$A$2:$A$10000&amp;JupData!$J$2:$J$10000,0),11))</f>
        <v/>
      </c>
      <c r="AA737" t="str">
        <f t="array" ref="AA737">IF($A737="","",INDEX(JupData!$A$2:$K$10000,MATCH($A737&amp;AA$1,JupData!$A$2:$A$10000&amp;JupData!$J$2:$J$10000,0),11))</f>
        <v/>
      </c>
      <c r="AB737" t="str">
        <f t="array" ref="AB737">IF($A737="","",INDEX(JupData!$A$2:$K$10000,MATCH($A737&amp;AB$1,JupData!$A$2:$A$10000&amp;JupData!$J$2:$J$10000,0),11))</f>
        <v/>
      </c>
      <c r="AC737" s="10" t="str">
        <f t="shared" si="121"/>
        <v/>
      </c>
      <c r="AD737" s="10" t="str">
        <f t="shared" si="122"/>
        <v/>
      </c>
      <c r="AE737" s="9" t="str">
        <f t="shared" si="123"/>
        <v/>
      </c>
      <c r="AF737" s="10" t="str">
        <f t="shared" si="124"/>
        <v/>
      </c>
      <c r="AG737" s="10" t="str">
        <f t="shared" si="125"/>
        <v/>
      </c>
      <c r="AH737" s="10" t="str">
        <f t="shared" si="126"/>
        <v/>
      </c>
      <c r="AI737" s="10" t="str">
        <f t="shared" si="127"/>
        <v/>
      </c>
      <c r="AJ737" s="10" t="str">
        <f t="shared" si="128"/>
        <v/>
      </c>
      <c r="AK737" s="10" t="str">
        <f t="shared" si="129"/>
        <v/>
      </c>
      <c r="AL737" s="14" t="str">
        <f t="shared" si="130"/>
        <v/>
      </c>
    </row>
    <row r="738" spans="1:38" x14ac:dyDescent="0.2">
      <c r="A738"/>
      <c r="B738" t="str">
        <f>IF($A738="","",VLOOKUP($A738,JupData!$A$2:$I$10000,4,FALSE))</f>
        <v/>
      </c>
      <c r="C738" s="7" t="str">
        <f>IF($A738="",IF(N(D738),0,""),VLOOKUP($A738,JupData!$A$2:$I$10000,7,FALSE))</f>
        <v/>
      </c>
      <c r="D738" t="str">
        <f t="shared" si="131"/>
        <v/>
      </c>
      <c r="E738" t="str">
        <f t="array" ref="E738">IF($A738="","",INDEX(JupData!$A$2:$K$10000,MATCH($A738&amp;E$1,JupData!$A$2:$A$10000&amp;JupData!$J$2:$J$10000,0),11))</f>
        <v/>
      </c>
      <c r="F738" t="str">
        <f t="array" ref="F738">IF($A738="","",INDEX(JupData!$A$2:$K$10000,MATCH($A738&amp;F$1,JupData!$A$2:$A$10000&amp;JupData!$J$2:$J$10000,0),11))</f>
        <v/>
      </c>
      <c r="G738" t="str">
        <f t="array" ref="G738">IF($A738="","",INDEX(JupData!$A$2:$K$10000,MATCH($A738&amp;G$1,JupData!$A$2:$A$10000&amp;JupData!$J$2:$J$10000,0),11))</f>
        <v/>
      </c>
      <c r="H738" t="str">
        <f t="array" ref="H738">IF($A738="","",INDEX(JupData!$A$2:$K$10000,MATCH($A738&amp;H$1,JupData!$A$2:$A$10000&amp;JupData!$J$2:$J$10000,0),11))</f>
        <v/>
      </c>
      <c r="I738" t="str">
        <f t="array" ref="I738">IF($A738="","",INDEX(JupData!$A$2:$K$10000,MATCH($A738&amp;I$1,JupData!$A$2:$A$10000&amp;JupData!$J$2:$J$10000,0),11))</f>
        <v/>
      </c>
      <c r="J738" t="str">
        <f t="array" ref="J738">IF($A738="","",INDEX(JupData!$A$2:$K$10000,MATCH($A738&amp;J$1,JupData!$A$2:$A$10000&amp;JupData!$J$2:$J$10000,0),11))</f>
        <v/>
      </c>
      <c r="K738" t="str">
        <f t="array" ref="K738">IF($A738="","",INDEX(JupData!$A$2:$K$10000,MATCH($A738&amp;K$1,JupData!$A$2:$A$10000&amp;JupData!$J$2:$J$10000,0),11))</f>
        <v/>
      </c>
      <c r="L738" t="str">
        <f t="array" ref="L738">IF($A738="","",INDEX(JupData!$A$2:$K$10000,MATCH($A738&amp;L$1,JupData!$A$2:$A$10000&amp;JupData!$J$2:$J$10000,0),11))</f>
        <v/>
      </c>
      <c r="M738" t="str">
        <f t="array" ref="M738">IF($A738="","",INDEX(JupData!$A$2:$K$10000,MATCH($A738&amp;M$1,JupData!$A$2:$A$10000&amp;JupData!$J$2:$J$10000,0),11))</f>
        <v/>
      </c>
      <c r="N738" t="str">
        <f t="array" ref="N738">IF($A738="","",INDEX(JupData!$A$2:$K$10000,MATCH($A738&amp;N$1,JupData!$A$2:$A$10000&amp;JupData!$J$2:$J$10000,0),11))</f>
        <v/>
      </c>
      <c r="O738" t="str">
        <f t="array" ref="O738">IF($A738="","",INDEX(JupData!$A$2:$K$10000,MATCH($A738&amp;O$1,JupData!$A$2:$A$10000&amp;JupData!$J$2:$J$10000,0),11))</f>
        <v/>
      </c>
      <c r="P738" t="str">
        <f t="array" ref="P738">IF($A738="","",INDEX(JupData!$A$2:$K$10000,MATCH($A738&amp;P$1,JupData!$A$2:$A$10000&amp;JupData!$J$2:$J$10000,0),11))</f>
        <v/>
      </c>
      <c r="Q738" t="str">
        <f t="array" ref="Q738">IF($A738="","",INDEX(JupData!$A$2:$K$10000,MATCH($A738&amp;Q$1,JupData!$A$2:$A$10000&amp;JupData!$J$2:$J$10000,0),11))</f>
        <v/>
      </c>
      <c r="R738" t="str">
        <f t="array" ref="R738">IF($A738="","",INDEX(JupData!$A$2:$K$10000,MATCH($A738&amp;R$1,JupData!$A$2:$A$10000&amp;JupData!$J$2:$J$10000,0),11))</f>
        <v/>
      </c>
      <c r="S738" t="str">
        <f t="array" ref="S738">IF($A738="","",INDEX(JupData!$A$2:$K$10000,MATCH($A738&amp;S$1,JupData!$A$2:$A$10000&amp;JupData!$J$2:$J$10000,0),11))</f>
        <v/>
      </c>
      <c r="T738" t="str">
        <f t="array" ref="T738">IF($A738="","",INDEX(JupData!$A$2:$K$10000,MATCH($A738&amp;T$1,JupData!$A$2:$A$10000&amp;JupData!$J$2:$J$10000,0),11))</f>
        <v/>
      </c>
      <c r="U738" t="str">
        <f t="array" ref="U738">IF($A738="","",INDEX(JupData!$A$2:$K$10000,MATCH($A738&amp;U$1,JupData!$A$2:$A$10000&amp;JupData!$J$2:$J$10000,0),11))</f>
        <v/>
      </c>
      <c r="V738" t="str">
        <f t="array" ref="V738">IF($A738="","",INDEX(JupData!$A$2:$K$10000,MATCH($A738&amp;V$1,JupData!$A$2:$A$10000&amp;JupData!$J$2:$J$10000,0),11))</f>
        <v/>
      </c>
      <c r="W738" t="str">
        <f t="array" ref="W738">IF($A738="","",INDEX(JupData!$A$2:$K$10000,MATCH($A738&amp;W$1,JupData!$A$2:$A$10000&amp;JupData!$J$2:$J$10000,0),11))</f>
        <v/>
      </c>
      <c r="X738" t="str">
        <f t="array" ref="X738">IF($A738="","",INDEX(JupData!$A$2:$K$10000,MATCH($A738&amp;X$1,JupData!$A$2:$A$10000&amp;JupData!$J$2:$J$10000,0),11))</f>
        <v/>
      </c>
      <c r="Y738" t="str">
        <f t="array" ref="Y738">IF($A738="","",INDEX(JupData!$A$2:$K$10000,MATCH($A738&amp;Y$1,JupData!$A$2:$A$10000&amp;JupData!$J$2:$J$10000,0),11))</f>
        <v/>
      </c>
      <c r="Z738" t="str">
        <f t="array" ref="Z738">IF($A738="","",INDEX(JupData!$A$2:$K$10000,MATCH($A738&amp;Z$1,JupData!$A$2:$A$10000&amp;JupData!$J$2:$J$10000,0),11))</f>
        <v/>
      </c>
      <c r="AA738" t="str">
        <f t="array" ref="AA738">IF($A738="","",INDEX(JupData!$A$2:$K$10000,MATCH($A738&amp;AA$1,JupData!$A$2:$A$10000&amp;JupData!$J$2:$J$10000,0),11))</f>
        <v/>
      </c>
      <c r="AB738" t="str">
        <f t="array" ref="AB738">IF($A738="","",INDEX(JupData!$A$2:$K$10000,MATCH($A738&amp;AB$1,JupData!$A$2:$A$10000&amp;JupData!$J$2:$J$10000,0),11))</f>
        <v/>
      </c>
      <c r="AC738" s="10" t="str">
        <f t="shared" si="121"/>
        <v/>
      </c>
      <c r="AD738" s="10" t="str">
        <f t="shared" si="122"/>
        <v/>
      </c>
      <c r="AE738" s="9" t="str">
        <f t="shared" si="123"/>
        <v/>
      </c>
      <c r="AF738" s="10" t="str">
        <f t="shared" si="124"/>
        <v/>
      </c>
      <c r="AG738" s="10" t="str">
        <f t="shared" si="125"/>
        <v/>
      </c>
      <c r="AH738" s="10" t="str">
        <f t="shared" si="126"/>
        <v/>
      </c>
      <c r="AI738" s="10" t="str">
        <f t="shared" si="127"/>
        <v/>
      </c>
      <c r="AJ738" s="10" t="str">
        <f t="shared" si="128"/>
        <v/>
      </c>
      <c r="AK738" s="10" t="str">
        <f t="shared" si="129"/>
        <v/>
      </c>
      <c r="AL738" s="14" t="str">
        <f t="shared" si="130"/>
        <v/>
      </c>
    </row>
    <row r="739" spans="1:38" x14ac:dyDescent="0.2">
      <c r="A739"/>
      <c r="B739" t="str">
        <f>IF($A739="","",VLOOKUP($A739,JupData!$A$2:$I$10000,4,FALSE))</f>
        <v/>
      </c>
      <c r="C739" s="7" t="str">
        <f>IF($A739="",IF(N(D739),0,""),VLOOKUP($A739,JupData!$A$2:$I$10000,7,FALSE))</f>
        <v/>
      </c>
      <c r="D739" t="str">
        <f t="shared" si="131"/>
        <v/>
      </c>
      <c r="E739" t="str">
        <f t="array" ref="E739">IF($A739="","",INDEX(JupData!$A$2:$K$10000,MATCH($A739&amp;E$1,JupData!$A$2:$A$10000&amp;JupData!$J$2:$J$10000,0),11))</f>
        <v/>
      </c>
      <c r="F739" t="str">
        <f t="array" ref="F739">IF($A739="","",INDEX(JupData!$A$2:$K$10000,MATCH($A739&amp;F$1,JupData!$A$2:$A$10000&amp;JupData!$J$2:$J$10000,0),11))</f>
        <v/>
      </c>
      <c r="G739" t="str">
        <f t="array" ref="G739">IF($A739="","",INDEX(JupData!$A$2:$K$10000,MATCH($A739&amp;G$1,JupData!$A$2:$A$10000&amp;JupData!$J$2:$J$10000,0),11))</f>
        <v/>
      </c>
      <c r="H739" t="str">
        <f t="array" ref="H739">IF($A739="","",INDEX(JupData!$A$2:$K$10000,MATCH($A739&amp;H$1,JupData!$A$2:$A$10000&amp;JupData!$J$2:$J$10000,0),11))</f>
        <v/>
      </c>
      <c r="I739" t="str">
        <f t="array" ref="I739">IF($A739="","",INDEX(JupData!$A$2:$K$10000,MATCH($A739&amp;I$1,JupData!$A$2:$A$10000&amp;JupData!$J$2:$J$10000,0),11))</f>
        <v/>
      </c>
      <c r="J739" t="str">
        <f t="array" ref="J739">IF($A739="","",INDEX(JupData!$A$2:$K$10000,MATCH($A739&amp;J$1,JupData!$A$2:$A$10000&amp;JupData!$J$2:$J$10000,0),11))</f>
        <v/>
      </c>
      <c r="K739" t="str">
        <f t="array" ref="K739">IF($A739="","",INDEX(JupData!$A$2:$K$10000,MATCH($A739&amp;K$1,JupData!$A$2:$A$10000&amp;JupData!$J$2:$J$10000,0),11))</f>
        <v/>
      </c>
      <c r="L739" t="str">
        <f t="array" ref="L739">IF($A739="","",INDEX(JupData!$A$2:$K$10000,MATCH($A739&amp;L$1,JupData!$A$2:$A$10000&amp;JupData!$J$2:$J$10000,0),11))</f>
        <v/>
      </c>
      <c r="M739" t="str">
        <f t="array" ref="M739">IF($A739="","",INDEX(JupData!$A$2:$K$10000,MATCH($A739&amp;M$1,JupData!$A$2:$A$10000&amp;JupData!$J$2:$J$10000,0),11))</f>
        <v/>
      </c>
      <c r="N739" t="str">
        <f t="array" ref="N739">IF($A739="","",INDEX(JupData!$A$2:$K$10000,MATCH($A739&amp;N$1,JupData!$A$2:$A$10000&amp;JupData!$J$2:$J$10000,0),11))</f>
        <v/>
      </c>
      <c r="O739" t="str">
        <f t="array" ref="O739">IF($A739="","",INDEX(JupData!$A$2:$K$10000,MATCH($A739&amp;O$1,JupData!$A$2:$A$10000&amp;JupData!$J$2:$J$10000,0),11))</f>
        <v/>
      </c>
      <c r="P739" t="str">
        <f t="array" ref="P739">IF($A739="","",INDEX(JupData!$A$2:$K$10000,MATCH($A739&amp;P$1,JupData!$A$2:$A$10000&amp;JupData!$J$2:$J$10000,0),11))</f>
        <v/>
      </c>
      <c r="Q739" t="str">
        <f t="array" ref="Q739">IF($A739="","",INDEX(JupData!$A$2:$K$10000,MATCH($A739&amp;Q$1,JupData!$A$2:$A$10000&amp;JupData!$J$2:$J$10000,0),11))</f>
        <v/>
      </c>
      <c r="R739" t="str">
        <f t="array" ref="R739">IF($A739="","",INDEX(JupData!$A$2:$K$10000,MATCH($A739&amp;R$1,JupData!$A$2:$A$10000&amp;JupData!$J$2:$J$10000,0),11))</f>
        <v/>
      </c>
      <c r="S739" t="str">
        <f t="array" ref="S739">IF($A739="","",INDEX(JupData!$A$2:$K$10000,MATCH($A739&amp;S$1,JupData!$A$2:$A$10000&amp;JupData!$J$2:$J$10000,0),11))</f>
        <v/>
      </c>
      <c r="T739" t="str">
        <f t="array" ref="T739">IF($A739="","",INDEX(JupData!$A$2:$K$10000,MATCH($A739&amp;T$1,JupData!$A$2:$A$10000&amp;JupData!$J$2:$J$10000,0),11))</f>
        <v/>
      </c>
      <c r="U739" t="str">
        <f t="array" ref="U739">IF($A739="","",INDEX(JupData!$A$2:$K$10000,MATCH($A739&amp;U$1,JupData!$A$2:$A$10000&amp;JupData!$J$2:$J$10000,0),11))</f>
        <v/>
      </c>
      <c r="V739" t="str">
        <f t="array" ref="V739">IF($A739="","",INDEX(JupData!$A$2:$K$10000,MATCH($A739&amp;V$1,JupData!$A$2:$A$10000&amp;JupData!$J$2:$J$10000,0),11))</f>
        <v/>
      </c>
      <c r="W739" t="str">
        <f t="array" ref="W739">IF($A739="","",INDEX(JupData!$A$2:$K$10000,MATCH($A739&amp;W$1,JupData!$A$2:$A$10000&amp;JupData!$J$2:$J$10000,0),11))</f>
        <v/>
      </c>
      <c r="X739" t="str">
        <f t="array" ref="X739">IF($A739="","",INDEX(JupData!$A$2:$K$10000,MATCH($A739&amp;X$1,JupData!$A$2:$A$10000&amp;JupData!$J$2:$J$10000,0),11))</f>
        <v/>
      </c>
      <c r="Y739" t="str">
        <f t="array" ref="Y739">IF($A739="","",INDEX(JupData!$A$2:$K$10000,MATCH($A739&amp;Y$1,JupData!$A$2:$A$10000&amp;JupData!$J$2:$J$10000,0),11))</f>
        <v/>
      </c>
      <c r="Z739" t="str">
        <f t="array" ref="Z739">IF($A739="","",INDEX(JupData!$A$2:$K$10000,MATCH($A739&amp;Z$1,JupData!$A$2:$A$10000&amp;JupData!$J$2:$J$10000,0),11))</f>
        <v/>
      </c>
      <c r="AA739" t="str">
        <f t="array" ref="AA739">IF($A739="","",INDEX(JupData!$A$2:$K$10000,MATCH($A739&amp;AA$1,JupData!$A$2:$A$10000&amp;JupData!$J$2:$J$10000,0),11))</f>
        <v/>
      </c>
      <c r="AB739" t="str">
        <f t="array" ref="AB739">IF($A739="","",INDEX(JupData!$A$2:$K$10000,MATCH($A739&amp;AB$1,JupData!$A$2:$A$10000&amp;JupData!$J$2:$J$10000,0),11))</f>
        <v/>
      </c>
      <c r="AC739" s="10" t="str">
        <f t="shared" si="121"/>
        <v/>
      </c>
      <c r="AD739" s="10" t="str">
        <f t="shared" si="122"/>
        <v/>
      </c>
      <c r="AE739" s="9" t="str">
        <f t="shared" si="123"/>
        <v/>
      </c>
      <c r="AF739" s="10" t="str">
        <f t="shared" si="124"/>
        <v/>
      </c>
      <c r="AG739" s="10" t="str">
        <f t="shared" si="125"/>
        <v/>
      </c>
      <c r="AH739" s="10" t="str">
        <f t="shared" si="126"/>
        <v/>
      </c>
      <c r="AI739" s="10" t="str">
        <f t="shared" si="127"/>
        <v/>
      </c>
      <c r="AJ739" s="10" t="str">
        <f t="shared" si="128"/>
        <v/>
      </c>
      <c r="AK739" s="10" t="str">
        <f t="shared" si="129"/>
        <v/>
      </c>
      <c r="AL739" s="14" t="str">
        <f t="shared" si="130"/>
        <v/>
      </c>
    </row>
    <row r="740" spans="1:38" x14ac:dyDescent="0.2">
      <c r="A740"/>
      <c r="B740" t="str">
        <f>IF($A740="","",VLOOKUP($A740,JupData!$A$2:$I$10000,4,FALSE))</f>
        <v/>
      </c>
      <c r="C740" s="7" t="str">
        <f>IF($A740="",IF(N(D740),0,""),VLOOKUP($A740,JupData!$A$2:$I$10000,7,FALSE))</f>
        <v/>
      </c>
      <c r="D740" t="str">
        <f t="shared" si="131"/>
        <v/>
      </c>
      <c r="E740" t="str">
        <f t="array" ref="E740">IF($A740="","",INDEX(JupData!$A$2:$K$10000,MATCH($A740&amp;E$1,JupData!$A$2:$A$10000&amp;JupData!$J$2:$J$10000,0),11))</f>
        <v/>
      </c>
      <c r="F740" t="str">
        <f t="array" ref="F740">IF($A740="","",INDEX(JupData!$A$2:$K$10000,MATCH($A740&amp;F$1,JupData!$A$2:$A$10000&amp;JupData!$J$2:$J$10000,0),11))</f>
        <v/>
      </c>
      <c r="G740" t="str">
        <f t="array" ref="G740">IF($A740="","",INDEX(JupData!$A$2:$K$10000,MATCH($A740&amp;G$1,JupData!$A$2:$A$10000&amp;JupData!$J$2:$J$10000,0),11))</f>
        <v/>
      </c>
      <c r="H740" t="str">
        <f t="array" ref="H740">IF($A740="","",INDEX(JupData!$A$2:$K$10000,MATCH($A740&amp;H$1,JupData!$A$2:$A$10000&amp;JupData!$J$2:$J$10000,0),11))</f>
        <v/>
      </c>
      <c r="I740" t="str">
        <f t="array" ref="I740">IF($A740="","",INDEX(JupData!$A$2:$K$10000,MATCH($A740&amp;I$1,JupData!$A$2:$A$10000&amp;JupData!$J$2:$J$10000,0),11))</f>
        <v/>
      </c>
      <c r="J740" t="str">
        <f t="array" ref="J740">IF($A740="","",INDEX(JupData!$A$2:$K$10000,MATCH($A740&amp;J$1,JupData!$A$2:$A$10000&amp;JupData!$J$2:$J$10000,0),11))</f>
        <v/>
      </c>
      <c r="K740" t="str">
        <f t="array" ref="K740">IF($A740="","",INDEX(JupData!$A$2:$K$10000,MATCH($A740&amp;K$1,JupData!$A$2:$A$10000&amp;JupData!$J$2:$J$10000,0),11))</f>
        <v/>
      </c>
      <c r="L740" t="str">
        <f t="array" ref="L740">IF($A740="","",INDEX(JupData!$A$2:$K$10000,MATCH($A740&amp;L$1,JupData!$A$2:$A$10000&amp;JupData!$J$2:$J$10000,0),11))</f>
        <v/>
      </c>
      <c r="M740" t="str">
        <f t="array" ref="M740">IF($A740="","",INDEX(JupData!$A$2:$K$10000,MATCH($A740&amp;M$1,JupData!$A$2:$A$10000&amp;JupData!$J$2:$J$10000,0),11))</f>
        <v/>
      </c>
      <c r="N740" t="str">
        <f t="array" ref="N740">IF($A740="","",INDEX(JupData!$A$2:$K$10000,MATCH($A740&amp;N$1,JupData!$A$2:$A$10000&amp;JupData!$J$2:$J$10000,0),11))</f>
        <v/>
      </c>
      <c r="O740" t="str">
        <f t="array" ref="O740">IF($A740="","",INDEX(JupData!$A$2:$K$10000,MATCH($A740&amp;O$1,JupData!$A$2:$A$10000&amp;JupData!$J$2:$J$10000,0),11))</f>
        <v/>
      </c>
      <c r="P740" t="str">
        <f t="array" ref="P740">IF($A740="","",INDEX(JupData!$A$2:$K$10000,MATCH($A740&amp;P$1,JupData!$A$2:$A$10000&amp;JupData!$J$2:$J$10000,0),11))</f>
        <v/>
      </c>
      <c r="Q740" t="str">
        <f t="array" ref="Q740">IF($A740="","",INDEX(JupData!$A$2:$K$10000,MATCH($A740&amp;Q$1,JupData!$A$2:$A$10000&amp;JupData!$J$2:$J$10000,0),11))</f>
        <v/>
      </c>
      <c r="R740" t="str">
        <f t="array" ref="R740">IF($A740="","",INDEX(JupData!$A$2:$K$10000,MATCH($A740&amp;R$1,JupData!$A$2:$A$10000&amp;JupData!$J$2:$J$10000,0),11))</f>
        <v/>
      </c>
      <c r="S740" t="str">
        <f t="array" ref="S740">IF($A740="","",INDEX(JupData!$A$2:$K$10000,MATCH($A740&amp;S$1,JupData!$A$2:$A$10000&amp;JupData!$J$2:$J$10000,0),11))</f>
        <v/>
      </c>
      <c r="T740" t="str">
        <f t="array" ref="T740">IF($A740="","",INDEX(JupData!$A$2:$K$10000,MATCH($A740&amp;T$1,JupData!$A$2:$A$10000&amp;JupData!$J$2:$J$10000,0),11))</f>
        <v/>
      </c>
      <c r="U740" t="str">
        <f t="array" ref="U740">IF($A740="","",INDEX(JupData!$A$2:$K$10000,MATCH($A740&amp;U$1,JupData!$A$2:$A$10000&amp;JupData!$J$2:$J$10000,0),11))</f>
        <v/>
      </c>
      <c r="V740" t="str">
        <f t="array" ref="V740">IF($A740="","",INDEX(JupData!$A$2:$K$10000,MATCH($A740&amp;V$1,JupData!$A$2:$A$10000&amp;JupData!$J$2:$J$10000,0),11))</f>
        <v/>
      </c>
      <c r="W740" t="str">
        <f t="array" ref="W740">IF($A740="","",INDEX(JupData!$A$2:$K$10000,MATCH($A740&amp;W$1,JupData!$A$2:$A$10000&amp;JupData!$J$2:$J$10000,0),11))</f>
        <v/>
      </c>
      <c r="X740" t="str">
        <f t="array" ref="X740">IF($A740="","",INDEX(JupData!$A$2:$K$10000,MATCH($A740&amp;X$1,JupData!$A$2:$A$10000&amp;JupData!$J$2:$J$10000,0),11))</f>
        <v/>
      </c>
      <c r="Y740" t="str">
        <f t="array" ref="Y740">IF($A740="","",INDEX(JupData!$A$2:$K$10000,MATCH($A740&amp;Y$1,JupData!$A$2:$A$10000&amp;JupData!$J$2:$J$10000,0),11))</f>
        <v/>
      </c>
      <c r="Z740" t="str">
        <f t="array" ref="Z740">IF($A740="","",INDEX(JupData!$A$2:$K$10000,MATCH($A740&amp;Z$1,JupData!$A$2:$A$10000&amp;JupData!$J$2:$J$10000,0),11))</f>
        <v/>
      </c>
      <c r="AA740" t="str">
        <f t="array" ref="AA740">IF($A740="","",INDEX(JupData!$A$2:$K$10000,MATCH($A740&amp;AA$1,JupData!$A$2:$A$10000&amp;JupData!$J$2:$J$10000,0),11))</f>
        <v/>
      </c>
      <c r="AB740" t="str">
        <f t="array" ref="AB740">IF($A740="","",INDEX(JupData!$A$2:$K$10000,MATCH($A740&amp;AB$1,JupData!$A$2:$A$10000&amp;JupData!$J$2:$J$10000,0),11))</f>
        <v/>
      </c>
      <c r="AC740" s="10" t="str">
        <f t="shared" si="121"/>
        <v/>
      </c>
      <c r="AD740" s="10" t="str">
        <f t="shared" si="122"/>
        <v/>
      </c>
      <c r="AE740" s="9" t="str">
        <f t="shared" si="123"/>
        <v/>
      </c>
      <c r="AF740" s="10" t="str">
        <f t="shared" si="124"/>
        <v/>
      </c>
      <c r="AG740" s="10" t="str">
        <f t="shared" si="125"/>
        <v/>
      </c>
      <c r="AH740" s="10" t="str">
        <f t="shared" si="126"/>
        <v/>
      </c>
      <c r="AI740" s="10" t="str">
        <f t="shared" si="127"/>
        <v/>
      </c>
      <c r="AJ740" s="10" t="str">
        <f t="shared" si="128"/>
        <v/>
      </c>
      <c r="AK740" s="10" t="str">
        <f t="shared" si="129"/>
        <v/>
      </c>
      <c r="AL740" s="14" t="str">
        <f t="shared" si="130"/>
        <v/>
      </c>
    </row>
    <row r="741" spans="1:38" x14ac:dyDescent="0.2">
      <c r="A741"/>
      <c r="B741" t="str">
        <f>IF($A741="","",VLOOKUP($A741,JupData!$A$2:$I$10000,4,FALSE))</f>
        <v/>
      </c>
      <c r="C741" s="7" t="str">
        <f>IF($A741="",IF(N(D741),0,""),VLOOKUP($A741,JupData!$A$2:$I$10000,7,FALSE))</f>
        <v/>
      </c>
      <c r="D741" t="str">
        <f t="shared" si="131"/>
        <v/>
      </c>
      <c r="E741" t="str">
        <f t="array" ref="E741">IF($A741="","",INDEX(JupData!$A$2:$K$10000,MATCH($A741&amp;E$1,JupData!$A$2:$A$10000&amp;JupData!$J$2:$J$10000,0),11))</f>
        <v/>
      </c>
      <c r="F741" t="str">
        <f t="array" ref="F741">IF($A741="","",INDEX(JupData!$A$2:$K$10000,MATCH($A741&amp;F$1,JupData!$A$2:$A$10000&amp;JupData!$J$2:$J$10000,0),11))</f>
        <v/>
      </c>
      <c r="G741" t="str">
        <f t="array" ref="G741">IF($A741="","",INDEX(JupData!$A$2:$K$10000,MATCH($A741&amp;G$1,JupData!$A$2:$A$10000&amp;JupData!$J$2:$J$10000,0),11))</f>
        <v/>
      </c>
      <c r="H741" t="str">
        <f t="array" ref="H741">IF($A741="","",INDEX(JupData!$A$2:$K$10000,MATCH($A741&amp;H$1,JupData!$A$2:$A$10000&amp;JupData!$J$2:$J$10000,0),11))</f>
        <v/>
      </c>
      <c r="I741" t="str">
        <f t="array" ref="I741">IF($A741="","",INDEX(JupData!$A$2:$K$10000,MATCH($A741&amp;I$1,JupData!$A$2:$A$10000&amp;JupData!$J$2:$J$10000,0),11))</f>
        <v/>
      </c>
      <c r="J741" t="str">
        <f t="array" ref="J741">IF($A741="","",INDEX(JupData!$A$2:$K$10000,MATCH($A741&amp;J$1,JupData!$A$2:$A$10000&amp;JupData!$J$2:$J$10000,0),11))</f>
        <v/>
      </c>
      <c r="K741" t="str">
        <f t="array" ref="K741">IF($A741="","",INDEX(JupData!$A$2:$K$10000,MATCH($A741&amp;K$1,JupData!$A$2:$A$10000&amp;JupData!$J$2:$J$10000,0),11))</f>
        <v/>
      </c>
      <c r="L741" t="str">
        <f t="array" ref="L741">IF($A741="","",INDEX(JupData!$A$2:$K$10000,MATCH($A741&amp;L$1,JupData!$A$2:$A$10000&amp;JupData!$J$2:$J$10000,0),11))</f>
        <v/>
      </c>
      <c r="M741" t="str">
        <f t="array" ref="M741">IF($A741="","",INDEX(JupData!$A$2:$K$10000,MATCH($A741&amp;M$1,JupData!$A$2:$A$10000&amp;JupData!$J$2:$J$10000,0),11))</f>
        <v/>
      </c>
      <c r="N741" t="str">
        <f t="array" ref="N741">IF($A741="","",INDEX(JupData!$A$2:$K$10000,MATCH($A741&amp;N$1,JupData!$A$2:$A$10000&amp;JupData!$J$2:$J$10000,0),11))</f>
        <v/>
      </c>
      <c r="O741" t="str">
        <f t="array" ref="O741">IF($A741="","",INDEX(JupData!$A$2:$K$10000,MATCH($A741&amp;O$1,JupData!$A$2:$A$10000&amp;JupData!$J$2:$J$10000,0),11))</f>
        <v/>
      </c>
      <c r="P741" t="str">
        <f t="array" ref="P741">IF($A741="","",INDEX(JupData!$A$2:$K$10000,MATCH($A741&amp;P$1,JupData!$A$2:$A$10000&amp;JupData!$J$2:$J$10000,0),11))</f>
        <v/>
      </c>
      <c r="Q741" t="str">
        <f t="array" ref="Q741">IF($A741="","",INDEX(JupData!$A$2:$K$10000,MATCH($A741&amp;Q$1,JupData!$A$2:$A$10000&amp;JupData!$J$2:$J$10000,0),11))</f>
        <v/>
      </c>
      <c r="R741" t="str">
        <f t="array" ref="R741">IF($A741="","",INDEX(JupData!$A$2:$K$10000,MATCH($A741&amp;R$1,JupData!$A$2:$A$10000&amp;JupData!$J$2:$J$10000,0),11))</f>
        <v/>
      </c>
      <c r="S741" t="str">
        <f t="array" ref="S741">IF($A741="","",INDEX(JupData!$A$2:$K$10000,MATCH($A741&amp;S$1,JupData!$A$2:$A$10000&amp;JupData!$J$2:$J$10000,0),11))</f>
        <v/>
      </c>
      <c r="T741" t="str">
        <f t="array" ref="T741">IF($A741="","",INDEX(JupData!$A$2:$K$10000,MATCH($A741&amp;T$1,JupData!$A$2:$A$10000&amp;JupData!$J$2:$J$10000,0),11))</f>
        <v/>
      </c>
      <c r="U741" t="str">
        <f t="array" ref="U741">IF($A741="","",INDEX(JupData!$A$2:$K$10000,MATCH($A741&amp;U$1,JupData!$A$2:$A$10000&amp;JupData!$J$2:$J$10000,0),11))</f>
        <v/>
      </c>
      <c r="V741" t="str">
        <f t="array" ref="V741">IF($A741="","",INDEX(JupData!$A$2:$K$10000,MATCH($A741&amp;V$1,JupData!$A$2:$A$10000&amp;JupData!$J$2:$J$10000,0),11))</f>
        <v/>
      </c>
      <c r="W741" t="str">
        <f t="array" ref="W741">IF($A741="","",INDEX(JupData!$A$2:$K$10000,MATCH($A741&amp;W$1,JupData!$A$2:$A$10000&amp;JupData!$J$2:$J$10000,0),11))</f>
        <v/>
      </c>
      <c r="X741" t="str">
        <f t="array" ref="X741">IF($A741="","",INDEX(JupData!$A$2:$K$10000,MATCH($A741&amp;X$1,JupData!$A$2:$A$10000&amp;JupData!$J$2:$J$10000,0),11))</f>
        <v/>
      </c>
      <c r="Y741" t="str">
        <f t="array" ref="Y741">IF($A741="","",INDEX(JupData!$A$2:$K$10000,MATCH($A741&amp;Y$1,JupData!$A$2:$A$10000&amp;JupData!$J$2:$J$10000,0),11))</f>
        <v/>
      </c>
      <c r="Z741" t="str">
        <f t="array" ref="Z741">IF($A741="","",INDEX(JupData!$A$2:$K$10000,MATCH($A741&amp;Z$1,JupData!$A$2:$A$10000&amp;JupData!$J$2:$J$10000,0),11))</f>
        <v/>
      </c>
      <c r="AA741" t="str">
        <f t="array" ref="AA741">IF($A741="","",INDEX(JupData!$A$2:$K$10000,MATCH($A741&amp;AA$1,JupData!$A$2:$A$10000&amp;JupData!$J$2:$J$10000,0),11))</f>
        <v/>
      </c>
      <c r="AB741" t="str">
        <f t="array" ref="AB741">IF($A741="","",INDEX(JupData!$A$2:$K$10000,MATCH($A741&amp;AB$1,JupData!$A$2:$A$10000&amp;JupData!$J$2:$J$10000,0),11))</f>
        <v/>
      </c>
      <c r="AC741" s="10" t="str">
        <f t="shared" si="121"/>
        <v/>
      </c>
      <c r="AD741" s="10" t="str">
        <f t="shared" si="122"/>
        <v/>
      </c>
      <c r="AE741" s="9" t="str">
        <f t="shared" si="123"/>
        <v/>
      </c>
      <c r="AF741" s="10" t="str">
        <f t="shared" si="124"/>
        <v/>
      </c>
      <c r="AG741" s="10" t="str">
        <f t="shared" si="125"/>
        <v/>
      </c>
      <c r="AH741" s="10" t="str">
        <f t="shared" si="126"/>
        <v/>
      </c>
      <c r="AI741" s="10" t="str">
        <f t="shared" si="127"/>
        <v/>
      </c>
      <c r="AJ741" s="10" t="str">
        <f t="shared" si="128"/>
        <v/>
      </c>
      <c r="AK741" s="10" t="str">
        <f t="shared" si="129"/>
        <v/>
      </c>
      <c r="AL741" s="14" t="str">
        <f t="shared" si="130"/>
        <v/>
      </c>
    </row>
    <row r="742" spans="1:38" x14ac:dyDescent="0.2">
      <c r="A742"/>
      <c r="B742" t="str">
        <f>IF($A742="","",VLOOKUP($A742,JupData!$A$2:$I$10000,4,FALSE))</f>
        <v/>
      </c>
      <c r="C742" s="7" t="str">
        <f>IF($A742="",IF(N(D742),0,""),VLOOKUP($A742,JupData!$A$2:$I$10000,7,FALSE))</f>
        <v/>
      </c>
      <c r="D742" t="str">
        <f t="shared" si="131"/>
        <v/>
      </c>
      <c r="E742" t="str">
        <f t="array" ref="E742">IF($A742="","",INDEX(JupData!$A$2:$K$10000,MATCH($A742&amp;E$1,JupData!$A$2:$A$10000&amp;JupData!$J$2:$J$10000,0),11))</f>
        <v/>
      </c>
      <c r="F742" t="str">
        <f t="array" ref="F742">IF($A742="","",INDEX(JupData!$A$2:$K$10000,MATCH($A742&amp;F$1,JupData!$A$2:$A$10000&amp;JupData!$J$2:$J$10000,0),11))</f>
        <v/>
      </c>
      <c r="G742" t="str">
        <f t="array" ref="G742">IF($A742="","",INDEX(JupData!$A$2:$K$10000,MATCH($A742&amp;G$1,JupData!$A$2:$A$10000&amp;JupData!$J$2:$J$10000,0),11))</f>
        <v/>
      </c>
      <c r="H742" t="str">
        <f t="array" ref="H742">IF($A742="","",INDEX(JupData!$A$2:$K$10000,MATCH($A742&amp;H$1,JupData!$A$2:$A$10000&amp;JupData!$J$2:$J$10000,0),11))</f>
        <v/>
      </c>
      <c r="I742" t="str">
        <f t="array" ref="I742">IF($A742="","",INDEX(JupData!$A$2:$K$10000,MATCH($A742&amp;I$1,JupData!$A$2:$A$10000&amp;JupData!$J$2:$J$10000,0),11))</f>
        <v/>
      </c>
      <c r="J742" t="str">
        <f t="array" ref="J742">IF($A742="","",INDEX(JupData!$A$2:$K$10000,MATCH($A742&amp;J$1,JupData!$A$2:$A$10000&amp;JupData!$J$2:$J$10000,0),11))</f>
        <v/>
      </c>
      <c r="K742" t="str">
        <f t="array" ref="K742">IF($A742="","",INDEX(JupData!$A$2:$K$10000,MATCH($A742&amp;K$1,JupData!$A$2:$A$10000&amp;JupData!$J$2:$J$10000,0),11))</f>
        <v/>
      </c>
      <c r="L742" t="str">
        <f t="array" ref="L742">IF($A742="","",INDEX(JupData!$A$2:$K$10000,MATCH($A742&amp;L$1,JupData!$A$2:$A$10000&amp;JupData!$J$2:$J$10000,0),11))</f>
        <v/>
      </c>
      <c r="M742" t="str">
        <f t="array" ref="M742">IF($A742="","",INDEX(JupData!$A$2:$K$10000,MATCH($A742&amp;M$1,JupData!$A$2:$A$10000&amp;JupData!$J$2:$J$10000,0),11))</f>
        <v/>
      </c>
      <c r="N742" t="str">
        <f t="array" ref="N742">IF($A742="","",INDEX(JupData!$A$2:$K$10000,MATCH($A742&amp;N$1,JupData!$A$2:$A$10000&amp;JupData!$J$2:$J$10000,0),11))</f>
        <v/>
      </c>
      <c r="O742" t="str">
        <f t="array" ref="O742">IF($A742="","",INDEX(JupData!$A$2:$K$10000,MATCH($A742&amp;O$1,JupData!$A$2:$A$10000&amp;JupData!$J$2:$J$10000,0),11))</f>
        <v/>
      </c>
      <c r="P742" t="str">
        <f t="array" ref="P742">IF($A742="","",INDEX(JupData!$A$2:$K$10000,MATCH($A742&amp;P$1,JupData!$A$2:$A$10000&amp;JupData!$J$2:$J$10000,0),11))</f>
        <v/>
      </c>
      <c r="Q742" t="str">
        <f t="array" ref="Q742">IF($A742="","",INDEX(JupData!$A$2:$K$10000,MATCH($A742&amp;Q$1,JupData!$A$2:$A$10000&amp;JupData!$J$2:$J$10000,0),11))</f>
        <v/>
      </c>
      <c r="R742" t="str">
        <f t="array" ref="R742">IF($A742="","",INDEX(JupData!$A$2:$K$10000,MATCH($A742&amp;R$1,JupData!$A$2:$A$10000&amp;JupData!$J$2:$J$10000,0),11))</f>
        <v/>
      </c>
      <c r="S742" t="str">
        <f t="array" ref="S742">IF($A742="","",INDEX(JupData!$A$2:$K$10000,MATCH($A742&amp;S$1,JupData!$A$2:$A$10000&amp;JupData!$J$2:$J$10000,0),11))</f>
        <v/>
      </c>
      <c r="T742" t="str">
        <f t="array" ref="T742">IF($A742="","",INDEX(JupData!$A$2:$K$10000,MATCH($A742&amp;T$1,JupData!$A$2:$A$10000&amp;JupData!$J$2:$J$10000,0),11))</f>
        <v/>
      </c>
      <c r="U742" t="str">
        <f t="array" ref="U742">IF($A742="","",INDEX(JupData!$A$2:$K$10000,MATCH($A742&amp;U$1,JupData!$A$2:$A$10000&amp;JupData!$J$2:$J$10000,0),11))</f>
        <v/>
      </c>
      <c r="V742" t="str">
        <f t="array" ref="V742">IF($A742="","",INDEX(JupData!$A$2:$K$10000,MATCH($A742&amp;V$1,JupData!$A$2:$A$10000&amp;JupData!$J$2:$J$10000,0),11))</f>
        <v/>
      </c>
      <c r="W742" t="str">
        <f t="array" ref="W742">IF($A742="","",INDEX(JupData!$A$2:$K$10000,MATCH($A742&amp;W$1,JupData!$A$2:$A$10000&amp;JupData!$J$2:$J$10000,0),11))</f>
        <v/>
      </c>
      <c r="X742" t="str">
        <f t="array" ref="X742">IF($A742="","",INDEX(JupData!$A$2:$K$10000,MATCH($A742&amp;X$1,JupData!$A$2:$A$10000&amp;JupData!$J$2:$J$10000,0),11))</f>
        <v/>
      </c>
      <c r="Y742" t="str">
        <f t="array" ref="Y742">IF($A742="","",INDEX(JupData!$A$2:$K$10000,MATCH($A742&amp;Y$1,JupData!$A$2:$A$10000&amp;JupData!$J$2:$J$10000,0),11))</f>
        <v/>
      </c>
      <c r="Z742" t="str">
        <f t="array" ref="Z742">IF($A742="","",INDEX(JupData!$A$2:$K$10000,MATCH($A742&amp;Z$1,JupData!$A$2:$A$10000&amp;JupData!$J$2:$J$10000,0),11))</f>
        <v/>
      </c>
      <c r="AA742" t="str">
        <f t="array" ref="AA742">IF($A742="","",INDEX(JupData!$A$2:$K$10000,MATCH($A742&amp;AA$1,JupData!$A$2:$A$10000&amp;JupData!$J$2:$J$10000,0),11))</f>
        <v/>
      </c>
      <c r="AB742" t="str">
        <f t="array" ref="AB742">IF($A742="","",INDEX(JupData!$A$2:$K$10000,MATCH($A742&amp;AB$1,JupData!$A$2:$A$10000&amp;JupData!$J$2:$J$10000,0),11))</f>
        <v/>
      </c>
      <c r="AC742" s="10" t="str">
        <f t="shared" si="121"/>
        <v/>
      </c>
      <c r="AD742" s="10" t="str">
        <f t="shared" si="122"/>
        <v/>
      </c>
      <c r="AE742" s="9" t="str">
        <f t="shared" si="123"/>
        <v/>
      </c>
      <c r="AF742" s="10" t="str">
        <f t="shared" si="124"/>
        <v/>
      </c>
      <c r="AG742" s="10" t="str">
        <f t="shared" si="125"/>
        <v/>
      </c>
      <c r="AH742" s="10" t="str">
        <f t="shared" si="126"/>
        <v/>
      </c>
      <c r="AI742" s="10" t="str">
        <f t="shared" si="127"/>
        <v/>
      </c>
      <c r="AJ742" s="10" t="str">
        <f t="shared" si="128"/>
        <v/>
      </c>
      <c r="AK742" s="10" t="str">
        <f t="shared" si="129"/>
        <v/>
      </c>
      <c r="AL742" s="14" t="str">
        <f t="shared" si="130"/>
        <v/>
      </c>
    </row>
    <row r="743" spans="1:38" x14ac:dyDescent="0.2">
      <c r="A743"/>
      <c r="B743" t="str">
        <f>IF($A743="","",VLOOKUP($A743,JupData!$A$2:$I$10000,4,FALSE))</f>
        <v/>
      </c>
      <c r="C743" s="7" t="str">
        <f>IF($A743="",IF(N(D743),0,""),VLOOKUP($A743,JupData!$A$2:$I$10000,7,FALSE))</f>
        <v/>
      </c>
      <c r="D743" t="str">
        <f t="shared" si="131"/>
        <v/>
      </c>
      <c r="E743" t="str">
        <f t="array" ref="E743">IF($A743="","",INDEX(JupData!$A$2:$K$10000,MATCH($A743&amp;E$1,JupData!$A$2:$A$10000&amp;JupData!$J$2:$J$10000,0),11))</f>
        <v/>
      </c>
      <c r="F743" t="str">
        <f t="array" ref="F743">IF($A743="","",INDEX(JupData!$A$2:$K$10000,MATCH($A743&amp;F$1,JupData!$A$2:$A$10000&amp;JupData!$J$2:$J$10000,0),11))</f>
        <v/>
      </c>
      <c r="G743" t="str">
        <f t="array" ref="G743">IF($A743="","",INDEX(JupData!$A$2:$K$10000,MATCH($A743&amp;G$1,JupData!$A$2:$A$10000&amp;JupData!$J$2:$J$10000,0),11))</f>
        <v/>
      </c>
      <c r="H743" t="str">
        <f t="array" ref="H743">IF($A743="","",INDEX(JupData!$A$2:$K$10000,MATCH($A743&amp;H$1,JupData!$A$2:$A$10000&amp;JupData!$J$2:$J$10000,0),11))</f>
        <v/>
      </c>
      <c r="I743" t="str">
        <f t="array" ref="I743">IF($A743="","",INDEX(JupData!$A$2:$K$10000,MATCH($A743&amp;I$1,JupData!$A$2:$A$10000&amp;JupData!$J$2:$J$10000,0),11))</f>
        <v/>
      </c>
      <c r="J743" t="str">
        <f t="array" ref="J743">IF($A743="","",INDEX(JupData!$A$2:$K$10000,MATCH($A743&amp;J$1,JupData!$A$2:$A$10000&amp;JupData!$J$2:$J$10000,0),11))</f>
        <v/>
      </c>
      <c r="K743" t="str">
        <f t="array" ref="K743">IF($A743="","",INDEX(JupData!$A$2:$K$10000,MATCH($A743&amp;K$1,JupData!$A$2:$A$10000&amp;JupData!$J$2:$J$10000,0),11))</f>
        <v/>
      </c>
      <c r="L743" t="str">
        <f t="array" ref="L743">IF($A743="","",INDEX(JupData!$A$2:$K$10000,MATCH($A743&amp;L$1,JupData!$A$2:$A$10000&amp;JupData!$J$2:$J$10000,0),11))</f>
        <v/>
      </c>
      <c r="M743" t="str">
        <f t="array" ref="M743">IF($A743="","",INDEX(JupData!$A$2:$K$10000,MATCH($A743&amp;M$1,JupData!$A$2:$A$10000&amp;JupData!$J$2:$J$10000,0),11))</f>
        <v/>
      </c>
      <c r="N743" t="str">
        <f t="array" ref="N743">IF($A743="","",INDEX(JupData!$A$2:$K$10000,MATCH($A743&amp;N$1,JupData!$A$2:$A$10000&amp;JupData!$J$2:$J$10000,0),11))</f>
        <v/>
      </c>
      <c r="O743" t="str">
        <f t="array" ref="O743">IF($A743="","",INDEX(JupData!$A$2:$K$10000,MATCH($A743&amp;O$1,JupData!$A$2:$A$10000&amp;JupData!$J$2:$J$10000,0),11))</f>
        <v/>
      </c>
      <c r="P743" t="str">
        <f t="array" ref="P743">IF($A743="","",INDEX(JupData!$A$2:$K$10000,MATCH($A743&amp;P$1,JupData!$A$2:$A$10000&amp;JupData!$J$2:$J$10000,0),11))</f>
        <v/>
      </c>
      <c r="Q743" t="str">
        <f t="array" ref="Q743">IF($A743="","",INDEX(JupData!$A$2:$K$10000,MATCH($A743&amp;Q$1,JupData!$A$2:$A$10000&amp;JupData!$J$2:$J$10000,0),11))</f>
        <v/>
      </c>
      <c r="R743" t="str">
        <f t="array" ref="R743">IF($A743="","",INDEX(JupData!$A$2:$K$10000,MATCH($A743&amp;R$1,JupData!$A$2:$A$10000&amp;JupData!$J$2:$J$10000,0),11))</f>
        <v/>
      </c>
      <c r="S743" t="str">
        <f t="array" ref="S743">IF($A743="","",INDEX(JupData!$A$2:$K$10000,MATCH($A743&amp;S$1,JupData!$A$2:$A$10000&amp;JupData!$J$2:$J$10000,0),11))</f>
        <v/>
      </c>
      <c r="T743" t="str">
        <f t="array" ref="T743">IF($A743="","",INDEX(JupData!$A$2:$K$10000,MATCH($A743&amp;T$1,JupData!$A$2:$A$10000&amp;JupData!$J$2:$J$10000,0),11))</f>
        <v/>
      </c>
      <c r="U743" t="str">
        <f t="array" ref="U743">IF($A743="","",INDEX(JupData!$A$2:$K$10000,MATCH($A743&amp;U$1,JupData!$A$2:$A$10000&amp;JupData!$J$2:$J$10000,0),11))</f>
        <v/>
      </c>
      <c r="V743" t="str">
        <f t="array" ref="V743">IF($A743="","",INDEX(JupData!$A$2:$K$10000,MATCH($A743&amp;V$1,JupData!$A$2:$A$10000&amp;JupData!$J$2:$J$10000,0),11))</f>
        <v/>
      </c>
      <c r="W743" t="str">
        <f t="array" ref="W743">IF($A743="","",INDEX(JupData!$A$2:$K$10000,MATCH($A743&amp;W$1,JupData!$A$2:$A$10000&amp;JupData!$J$2:$J$10000,0),11))</f>
        <v/>
      </c>
      <c r="X743" t="str">
        <f t="array" ref="X743">IF($A743="","",INDEX(JupData!$A$2:$K$10000,MATCH($A743&amp;X$1,JupData!$A$2:$A$10000&amp;JupData!$J$2:$J$10000,0),11))</f>
        <v/>
      </c>
      <c r="Y743" t="str">
        <f t="array" ref="Y743">IF($A743="","",INDEX(JupData!$A$2:$K$10000,MATCH($A743&amp;Y$1,JupData!$A$2:$A$10000&amp;JupData!$J$2:$J$10000,0),11))</f>
        <v/>
      </c>
      <c r="Z743" t="str">
        <f t="array" ref="Z743">IF($A743="","",INDEX(JupData!$A$2:$K$10000,MATCH($A743&amp;Z$1,JupData!$A$2:$A$10000&amp;JupData!$J$2:$J$10000,0),11))</f>
        <v/>
      </c>
      <c r="AA743" t="str">
        <f t="array" ref="AA743">IF($A743="","",INDEX(JupData!$A$2:$K$10000,MATCH($A743&amp;AA$1,JupData!$A$2:$A$10000&amp;JupData!$J$2:$J$10000,0),11))</f>
        <v/>
      </c>
      <c r="AB743" t="str">
        <f t="array" ref="AB743">IF($A743="","",INDEX(JupData!$A$2:$K$10000,MATCH($A743&amp;AB$1,JupData!$A$2:$A$10000&amp;JupData!$J$2:$J$10000,0),11))</f>
        <v/>
      </c>
      <c r="AC743" s="10" t="str">
        <f t="shared" si="121"/>
        <v/>
      </c>
      <c r="AD743" s="10" t="str">
        <f t="shared" si="122"/>
        <v/>
      </c>
      <c r="AE743" s="9" t="str">
        <f t="shared" si="123"/>
        <v/>
      </c>
      <c r="AF743" s="10" t="str">
        <f t="shared" si="124"/>
        <v/>
      </c>
      <c r="AG743" s="10" t="str">
        <f t="shared" si="125"/>
        <v/>
      </c>
      <c r="AH743" s="10" t="str">
        <f t="shared" si="126"/>
        <v/>
      </c>
      <c r="AI743" s="10" t="str">
        <f t="shared" si="127"/>
        <v/>
      </c>
      <c r="AJ743" s="10" t="str">
        <f t="shared" si="128"/>
        <v/>
      </c>
      <c r="AK743" s="10" t="str">
        <f t="shared" si="129"/>
        <v/>
      </c>
      <c r="AL743" s="14" t="str">
        <f t="shared" si="130"/>
        <v/>
      </c>
    </row>
    <row r="744" spans="1:38" x14ac:dyDescent="0.2">
      <c r="A744"/>
      <c r="B744" t="str">
        <f>IF($A744="","",VLOOKUP($A744,JupData!$A$2:$I$10000,4,FALSE))</f>
        <v/>
      </c>
      <c r="C744" s="7" t="str">
        <f>IF($A744="",IF(N(D744),0,""),VLOOKUP($A744,JupData!$A$2:$I$10000,7,FALSE))</f>
        <v/>
      </c>
      <c r="D744" t="str">
        <f t="shared" si="131"/>
        <v/>
      </c>
      <c r="E744" t="str">
        <f t="array" ref="E744">IF($A744="","",INDEX(JupData!$A$2:$K$10000,MATCH($A744&amp;E$1,JupData!$A$2:$A$10000&amp;JupData!$J$2:$J$10000,0),11))</f>
        <v/>
      </c>
      <c r="F744" t="str">
        <f t="array" ref="F744">IF($A744="","",INDEX(JupData!$A$2:$K$10000,MATCH($A744&amp;F$1,JupData!$A$2:$A$10000&amp;JupData!$J$2:$J$10000,0),11))</f>
        <v/>
      </c>
      <c r="G744" t="str">
        <f t="array" ref="G744">IF($A744="","",INDEX(JupData!$A$2:$K$10000,MATCH($A744&amp;G$1,JupData!$A$2:$A$10000&amp;JupData!$J$2:$J$10000,0),11))</f>
        <v/>
      </c>
      <c r="H744" t="str">
        <f t="array" ref="H744">IF($A744="","",INDEX(JupData!$A$2:$K$10000,MATCH($A744&amp;H$1,JupData!$A$2:$A$10000&amp;JupData!$J$2:$J$10000,0),11))</f>
        <v/>
      </c>
      <c r="I744" t="str">
        <f t="array" ref="I744">IF($A744="","",INDEX(JupData!$A$2:$K$10000,MATCH($A744&amp;I$1,JupData!$A$2:$A$10000&amp;JupData!$J$2:$J$10000,0),11))</f>
        <v/>
      </c>
      <c r="J744" t="str">
        <f t="array" ref="J744">IF($A744="","",INDEX(JupData!$A$2:$K$10000,MATCH($A744&amp;J$1,JupData!$A$2:$A$10000&amp;JupData!$J$2:$J$10000,0),11))</f>
        <v/>
      </c>
      <c r="K744" t="str">
        <f t="array" ref="K744">IF($A744="","",INDEX(JupData!$A$2:$K$10000,MATCH($A744&amp;K$1,JupData!$A$2:$A$10000&amp;JupData!$J$2:$J$10000,0),11))</f>
        <v/>
      </c>
      <c r="L744" t="str">
        <f t="array" ref="L744">IF($A744="","",INDEX(JupData!$A$2:$K$10000,MATCH($A744&amp;L$1,JupData!$A$2:$A$10000&amp;JupData!$J$2:$J$10000,0),11))</f>
        <v/>
      </c>
      <c r="M744" t="str">
        <f t="array" ref="M744">IF($A744="","",INDEX(JupData!$A$2:$K$10000,MATCH($A744&amp;M$1,JupData!$A$2:$A$10000&amp;JupData!$J$2:$J$10000,0),11))</f>
        <v/>
      </c>
      <c r="N744" t="str">
        <f t="array" ref="N744">IF($A744="","",INDEX(JupData!$A$2:$K$10000,MATCH($A744&amp;N$1,JupData!$A$2:$A$10000&amp;JupData!$J$2:$J$10000,0),11))</f>
        <v/>
      </c>
      <c r="O744" t="str">
        <f t="array" ref="O744">IF($A744="","",INDEX(JupData!$A$2:$K$10000,MATCH($A744&amp;O$1,JupData!$A$2:$A$10000&amp;JupData!$J$2:$J$10000,0),11))</f>
        <v/>
      </c>
      <c r="P744" t="str">
        <f t="array" ref="P744">IF($A744="","",INDEX(JupData!$A$2:$K$10000,MATCH($A744&amp;P$1,JupData!$A$2:$A$10000&amp;JupData!$J$2:$J$10000,0),11))</f>
        <v/>
      </c>
      <c r="Q744" t="str">
        <f t="array" ref="Q744">IF($A744="","",INDEX(JupData!$A$2:$K$10000,MATCH($A744&amp;Q$1,JupData!$A$2:$A$10000&amp;JupData!$J$2:$J$10000,0),11))</f>
        <v/>
      </c>
      <c r="R744" t="str">
        <f t="array" ref="R744">IF($A744="","",INDEX(JupData!$A$2:$K$10000,MATCH($A744&amp;R$1,JupData!$A$2:$A$10000&amp;JupData!$J$2:$J$10000,0),11))</f>
        <v/>
      </c>
      <c r="S744" t="str">
        <f t="array" ref="S744">IF($A744="","",INDEX(JupData!$A$2:$K$10000,MATCH($A744&amp;S$1,JupData!$A$2:$A$10000&amp;JupData!$J$2:$J$10000,0),11))</f>
        <v/>
      </c>
      <c r="T744" t="str">
        <f t="array" ref="T744">IF($A744="","",INDEX(JupData!$A$2:$K$10000,MATCH($A744&amp;T$1,JupData!$A$2:$A$10000&amp;JupData!$J$2:$J$10000,0),11))</f>
        <v/>
      </c>
      <c r="U744" t="str">
        <f t="array" ref="U744">IF($A744="","",INDEX(JupData!$A$2:$K$10000,MATCH($A744&amp;U$1,JupData!$A$2:$A$10000&amp;JupData!$J$2:$J$10000,0),11))</f>
        <v/>
      </c>
      <c r="V744" t="str">
        <f t="array" ref="V744">IF($A744="","",INDEX(JupData!$A$2:$K$10000,MATCH($A744&amp;V$1,JupData!$A$2:$A$10000&amp;JupData!$J$2:$J$10000,0),11))</f>
        <v/>
      </c>
      <c r="W744" t="str">
        <f t="array" ref="W744">IF($A744="","",INDEX(JupData!$A$2:$K$10000,MATCH($A744&amp;W$1,JupData!$A$2:$A$10000&amp;JupData!$J$2:$J$10000,0),11))</f>
        <v/>
      </c>
      <c r="X744" t="str">
        <f t="array" ref="X744">IF($A744="","",INDEX(JupData!$A$2:$K$10000,MATCH($A744&amp;X$1,JupData!$A$2:$A$10000&amp;JupData!$J$2:$J$10000,0),11))</f>
        <v/>
      </c>
      <c r="Y744" t="str">
        <f t="array" ref="Y744">IF($A744="","",INDEX(JupData!$A$2:$K$10000,MATCH($A744&amp;Y$1,JupData!$A$2:$A$10000&amp;JupData!$J$2:$J$10000,0),11))</f>
        <v/>
      </c>
      <c r="Z744" t="str">
        <f t="array" ref="Z744">IF($A744="","",INDEX(JupData!$A$2:$K$10000,MATCH($A744&amp;Z$1,JupData!$A$2:$A$10000&amp;JupData!$J$2:$J$10000,0),11))</f>
        <v/>
      </c>
      <c r="AA744" t="str">
        <f t="array" ref="AA744">IF($A744="","",INDEX(JupData!$A$2:$K$10000,MATCH($A744&amp;AA$1,JupData!$A$2:$A$10000&amp;JupData!$J$2:$J$10000,0),11))</f>
        <v/>
      </c>
      <c r="AB744" t="str">
        <f t="array" ref="AB744">IF($A744="","",INDEX(JupData!$A$2:$K$10000,MATCH($A744&amp;AB$1,JupData!$A$2:$A$10000&amp;JupData!$J$2:$J$10000,0),11))</f>
        <v/>
      </c>
      <c r="AC744" s="10" t="str">
        <f t="shared" si="121"/>
        <v/>
      </c>
      <c r="AD744" s="10" t="str">
        <f t="shared" si="122"/>
        <v/>
      </c>
      <c r="AE744" s="9" t="str">
        <f t="shared" si="123"/>
        <v/>
      </c>
      <c r="AF744" s="10" t="str">
        <f t="shared" si="124"/>
        <v/>
      </c>
      <c r="AG744" s="10" t="str">
        <f t="shared" si="125"/>
        <v/>
      </c>
      <c r="AH744" s="10" t="str">
        <f t="shared" si="126"/>
        <v/>
      </c>
      <c r="AI744" s="10" t="str">
        <f t="shared" si="127"/>
        <v/>
      </c>
      <c r="AJ744" s="10" t="str">
        <f t="shared" si="128"/>
        <v/>
      </c>
      <c r="AK744" s="10" t="str">
        <f t="shared" si="129"/>
        <v/>
      </c>
      <c r="AL744" s="14" t="str">
        <f t="shared" si="130"/>
        <v/>
      </c>
    </row>
    <row r="745" spans="1:38" x14ac:dyDescent="0.2">
      <c r="A745"/>
      <c r="B745" t="str">
        <f>IF($A745="","",VLOOKUP($A745,JupData!$A$2:$I$10000,4,FALSE))</f>
        <v/>
      </c>
      <c r="C745" s="7" t="str">
        <f>IF($A745="",IF(N(D745),0,""),VLOOKUP($A745,JupData!$A$2:$I$10000,7,FALSE))</f>
        <v/>
      </c>
      <c r="D745" t="str">
        <f t="shared" si="131"/>
        <v/>
      </c>
      <c r="E745" t="str">
        <f t="array" ref="E745">IF($A745="","",INDEX(JupData!$A$2:$K$10000,MATCH($A745&amp;E$1,JupData!$A$2:$A$10000&amp;JupData!$J$2:$J$10000,0),11))</f>
        <v/>
      </c>
      <c r="F745" t="str">
        <f t="array" ref="F745">IF($A745="","",INDEX(JupData!$A$2:$K$10000,MATCH($A745&amp;F$1,JupData!$A$2:$A$10000&amp;JupData!$J$2:$J$10000,0),11))</f>
        <v/>
      </c>
      <c r="G745" t="str">
        <f t="array" ref="G745">IF($A745="","",INDEX(JupData!$A$2:$K$10000,MATCH($A745&amp;G$1,JupData!$A$2:$A$10000&amp;JupData!$J$2:$J$10000,0),11))</f>
        <v/>
      </c>
      <c r="H745" t="str">
        <f t="array" ref="H745">IF($A745="","",INDEX(JupData!$A$2:$K$10000,MATCH($A745&amp;H$1,JupData!$A$2:$A$10000&amp;JupData!$J$2:$J$10000,0),11))</f>
        <v/>
      </c>
      <c r="I745" t="str">
        <f t="array" ref="I745">IF($A745="","",INDEX(JupData!$A$2:$K$10000,MATCH($A745&amp;I$1,JupData!$A$2:$A$10000&amp;JupData!$J$2:$J$10000,0),11))</f>
        <v/>
      </c>
      <c r="J745" t="str">
        <f t="array" ref="J745">IF($A745="","",INDEX(JupData!$A$2:$K$10000,MATCH($A745&amp;J$1,JupData!$A$2:$A$10000&amp;JupData!$J$2:$J$10000,0),11))</f>
        <v/>
      </c>
      <c r="K745" t="str">
        <f t="array" ref="K745">IF($A745="","",INDEX(JupData!$A$2:$K$10000,MATCH($A745&amp;K$1,JupData!$A$2:$A$10000&amp;JupData!$J$2:$J$10000,0),11))</f>
        <v/>
      </c>
      <c r="L745" t="str">
        <f t="array" ref="L745">IF($A745="","",INDEX(JupData!$A$2:$K$10000,MATCH($A745&amp;L$1,JupData!$A$2:$A$10000&amp;JupData!$J$2:$J$10000,0),11))</f>
        <v/>
      </c>
      <c r="M745" t="str">
        <f t="array" ref="M745">IF($A745="","",INDEX(JupData!$A$2:$K$10000,MATCH($A745&amp;M$1,JupData!$A$2:$A$10000&amp;JupData!$J$2:$J$10000,0),11))</f>
        <v/>
      </c>
      <c r="N745" t="str">
        <f t="array" ref="N745">IF($A745="","",INDEX(JupData!$A$2:$K$10000,MATCH($A745&amp;N$1,JupData!$A$2:$A$10000&amp;JupData!$J$2:$J$10000,0),11))</f>
        <v/>
      </c>
      <c r="O745" t="str">
        <f t="array" ref="O745">IF($A745="","",INDEX(JupData!$A$2:$K$10000,MATCH($A745&amp;O$1,JupData!$A$2:$A$10000&amp;JupData!$J$2:$J$10000,0),11))</f>
        <v/>
      </c>
      <c r="P745" t="str">
        <f t="array" ref="P745">IF($A745="","",INDEX(JupData!$A$2:$K$10000,MATCH($A745&amp;P$1,JupData!$A$2:$A$10000&amp;JupData!$J$2:$J$10000,0),11))</f>
        <v/>
      </c>
      <c r="Q745" t="str">
        <f t="array" ref="Q745">IF($A745="","",INDEX(JupData!$A$2:$K$10000,MATCH($A745&amp;Q$1,JupData!$A$2:$A$10000&amp;JupData!$J$2:$J$10000,0),11))</f>
        <v/>
      </c>
      <c r="R745" t="str">
        <f t="array" ref="R745">IF($A745="","",INDEX(JupData!$A$2:$K$10000,MATCH($A745&amp;R$1,JupData!$A$2:$A$10000&amp;JupData!$J$2:$J$10000,0),11))</f>
        <v/>
      </c>
      <c r="S745" t="str">
        <f t="array" ref="S745">IF($A745="","",INDEX(JupData!$A$2:$K$10000,MATCH($A745&amp;S$1,JupData!$A$2:$A$10000&amp;JupData!$J$2:$J$10000,0),11))</f>
        <v/>
      </c>
      <c r="T745" t="str">
        <f t="array" ref="T745">IF($A745="","",INDEX(JupData!$A$2:$K$10000,MATCH($A745&amp;T$1,JupData!$A$2:$A$10000&amp;JupData!$J$2:$J$10000,0),11))</f>
        <v/>
      </c>
      <c r="U745" t="str">
        <f t="array" ref="U745">IF($A745="","",INDEX(JupData!$A$2:$K$10000,MATCH($A745&amp;U$1,JupData!$A$2:$A$10000&amp;JupData!$J$2:$J$10000,0),11))</f>
        <v/>
      </c>
      <c r="V745" t="str">
        <f t="array" ref="V745">IF($A745="","",INDEX(JupData!$A$2:$K$10000,MATCH($A745&amp;V$1,JupData!$A$2:$A$10000&amp;JupData!$J$2:$J$10000,0),11))</f>
        <v/>
      </c>
      <c r="W745" t="str">
        <f t="array" ref="W745">IF($A745="","",INDEX(JupData!$A$2:$K$10000,MATCH($A745&amp;W$1,JupData!$A$2:$A$10000&amp;JupData!$J$2:$J$10000,0),11))</f>
        <v/>
      </c>
      <c r="X745" t="str">
        <f t="array" ref="X745">IF($A745="","",INDEX(JupData!$A$2:$K$10000,MATCH($A745&amp;X$1,JupData!$A$2:$A$10000&amp;JupData!$J$2:$J$10000,0),11))</f>
        <v/>
      </c>
      <c r="Y745" t="str">
        <f t="array" ref="Y745">IF($A745="","",INDEX(JupData!$A$2:$K$10000,MATCH($A745&amp;Y$1,JupData!$A$2:$A$10000&amp;JupData!$J$2:$J$10000,0),11))</f>
        <v/>
      </c>
      <c r="Z745" t="str">
        <f t="array" ref="Z745">IF($A745="","",INDEX(JupData!$A$2:$K$10000,MATCH($A745&amp;Z$1,JupData!$A$2:$A$10000&amp;JupData!$J$2:$J$10000,0),11))</f>
        <v/>
      </c>
      <c r="AA745" t="str">
        <f t="array" ref="AA745">IF($A745="","",INDEX(JupData!$A$2:$K$10000,MATCH($A745&amp;AA$1,JupData!$A$2:$A$10000&amp;JupData!$J$2:$J$10000,0),11))</f>
        <v/>
      </c>
      <c r="AB745" t="str">
        <f t="array" ref="AB745">IF($A745="","",INDEX(JupData!$A$2:$K$10000,MATCH($A745&amp;AB$1,JupData!$A$2:$A$10000&amp;JupData!$J$2:$J$10000,0),11))</f>
        <v/>
      </c>
      <c r="AC745" s="10" t="str">
        <f t="shared" si="121"/>
        <v/>
      </c>
      <c r="AD745" s="10" t="str">
        <f t="shared" si="122"/>
        <v/>
      </c>
      <c r="AE745" s="9" t="str">
        <f t="shared" si="123"/>
        <v/>
      </c>
      <c r="AF745" s="10" t="str">
        <f t="shared" si="124"/>
        <v/>
      </c>
      <c r="AG745" s="10" t="str">
        <f t="shared" si="125"/>
        <v/>
      </c>
      <c r="AH745" s="10" t="str">
        <f t="shared" si="126"/>
        <v/>
      </c>
      <c r="AI745" s="10" t="str">
        <f t="shared" si="127"/>
        <v/>
      </c>
      <c r="AJ745" s="10" t="str">
        <f t="shared" si="128"/>
        <v/>
      </c>
      <c r="AK745" s="10" t="str">
        <f t="shared" si="129"/>
        <v/>
      </c>
      <c r="AL745" s="14" t="str">
        <f t="shared" si="130"/>
        <v/>
      </c>
    </row>
    <row r="746" spans="1:38" x14ac:dyDescent="0.2">
      <c r="A746"/>
      <c r="B746" t="str">
        <f>IF($A746="","",VLOOKUP($A746,JupData!$A$2:$I$10000,4,FALSE))</f>
        <v/>
      </c>
      <c r="C746" s="7" t="str">
        <f>IF($A746="",IF(N(D746),0,""),VLOOKUP($A746,JupData!$A$2:$I$10000,7,FALSE))</f>
        <v/>
      </c>
      <c r="D746" t="str">
        <f t="shared" si="131"/>
        <v/>
      </c>
      <c r="E746" t="str">
        <f t="array" ref="E746">IF($A746="","",INDEX(JupData!$A$2:$K$10000,MATCH($A746&amp;E$1,JupData!$A$2:$A$10000&amp;JupData!$J$2:$J$10000,0),11))</f>
        <v/>
      </c>
      <c r="F746" t="str">
        <f t="array" ref="F746">IF($A746="","",INDEX(JupData!$A$2:$K$10000,MATCH($A746&amp;F$1,JupData!$A$2:$A$10000&amp;JupData!$J$2:$J$10000,0),11))</f>
        <v/>
      </c>
      <c r="G746" t="str">
        <f t="array" ref="G746">IF($A746="","",INDEX(JupData!$A$2:$K$10000,MATCH($A746&amp;G$1,JupData!$A$2:$A$10000&amp;JupData!$J$2:$J$10000,0),11))</f>
        <v/>
      </c>
      <c r="H746" t="str">
        <f t="array" ref="H746">IF($A746="","",INDEX(JupData!$A$2:$K$10000,MATCH($A746&amp;H$1,JupData!$A$2:$A$10000&amp;JupData!$J$2:$J$10000,0),11))</f>
        <v/>
      </c>
      <c r="I746" t="str">
        <f t="array" ref="I746">IF($A746="","",INDEX(JupData!$A$2:$K$10000,MATCH($A746&amp;I$1,JupData!$A$2:$A$10000&amp;JupData!$J$2:$J$10000,0),11))</f>
        <v/>
      </c>
      <c r="J746" t="str">
        <f t="array" ref="J746">IF($A746="","",INDEX(JupData!$A$2:$K$10000,MATCH($A746&amp;J$1,JupData!$A$2:$A$10000&amp;JupData!$J$2:$J$10000,0),11))</f>
        <v/>
      </c>
      <c r="K746" t="str">
        <f t="array" ref="K746">IF($A746="","",INDEX(JupData!$A$2:$K$10000,MATCH($A746&amp;K$1,JupData!$A$2:$A$10000&amp;JupData!$J$2:$J$10000,0),11))</f>
        <v/>
      </c>
      <c r="L746" t="str">
        <f t="array" ref="L746">IF($A746="","",INDEX(JupData!$A$2:$K$10000,MATCH($A746&amp;L$1,JupData!$A$2:$A$10000&amp;JupData!$J$2:$J$10000,0),11))</f>
        <v/>
      </c>
      <c r="M746" t="str">
        <f t="array" ref="M746">IF($A746="","",INDEX(JupData!$A$2:$K$10000,MATCH($A746&amp;M$1,JupData!$A$2:$A$10000&amp;JupData!$J$2:$J$10000,0),11))</f>
        <v/>
      </c>
      <c r="N746" t="str">
        <f t="array" ref="N746">IF($A746="","",INDEX(JupData!$A$2:$K$10000,MATCH($A746&amp;N$1,JupData!$A$2:$A$10000&amp;JupData!$J$2:$J$10000,0),11))</f>
        <v/>
      </c>
      <c r="O746" t="str">
        <f t="array" ref="O746">IF($A746="","",INDEX(JupData!$A$2:$K$10000,MATCH($A746&amp;O$1,JupData!$A$2:$A$10000&amp;JupData!$J$2:$J$10000,0),11))</f>
        <v/>
      </c>
      <c r="P746" t="str">
        <f t="array" ref="P746">IF($A746="","",INDEX(JupData!$A$2:$K$10000,MATCH($A746&amp;P$1,JupData!$A$2:$A$10000&amp;JupData!$J$2:$J$10000,0),11))</f>
        <v/>
      </c>
      <c r="Q746" t="str">
        <f t="array" ref="Q746">IF($A746="","",INDEX(JupData!$A$2:$K$10000,MATCH($A746&amp;Q$1,JupData!$A$2:$A$10000&amp;JupData!$J$2:$J$10000,0),11))</f>
        <v/>
      </c>
      <c r="R746" t="str">
        <f t="array" ref="R746">IF($A746="","",INDEX(JupData!$A$2:$K$10000,MATCH($A746&amp;R$1,JupData!$A$2:$A$10000&amp;JupData!$J$2:$J$10000,0),11))</f>
        <v/>
      </c>
      <c r="S746" t="str">
        <f t="array" ref="S746">IF($A746="","",INDEX(JupData!$A$2:$K$10000,MATCH($A746&amp;S$1,JupData!$A$2:$A$10000&amp;JupData!$J$2:$J$10000,0),11))</f>
        <v/>
      </c>
      <c r="T746" t="str">
        <f t="array" ref="T746">IF($A746="","",INDEX(JupData!$A$2:$K$10000,MATCH($A746&amp;T$1,JupData!$A$2:$A$10000&amp;JupData!$J$2:$J$10000,0),11))</f>
        <v/>
      </c>
      <c r="U746" t="str">
        <f t="array" ref="U746">IF($A746="","",INDEX(JupData!$A$2:$K$10000,MATCH($A746&amp;U$1,JupData!$A$2:$A$10000&amp;JupData!$J$2:$J$10000,0),11))</f>
        <v/>
      </c>
      <c r="V746" t="str">
        <f t="array" ref="V746">IF($A746="","",INDEX(JupData!$A$2:$K$10000,MATCH($A746&amp;V$1,JupData!$A$2:$A$10000&amp;JupData!$J$2:$J$10000,0),11))</f>
        <v/>
      </c>
      <c r="W746" t="str">
        <f t="array" ref="W746">IF($A746="","",INDEX(JupData!$A$2:$K$10000,MATCH($A746&amp;W$1,JupData!$A$2:$A$10000&amp;JupData!$J$2:$J$10000,0),11))</f>
        <v/>
      </c>
      <c r="X746" t="str">
        <f t="array" ref="X746">IF($A746="","",INDEX(JupData!$A$2:$K$10000,MATCH($A746&amp;X$1,JupData!$A$2:$A$10000&amp;JupData!$J$2:$J$10000,0),11))</f>
        <v/>
      </c>
      <c r="Y746" t="str">
        <f t="array" ref="Y746">IF($A746="","",INDEX(JupData!$A$2:$K$10000,MATCH($A746&amp;Y$1,JupData!$A$2:$A$10000&amp;JupData!$J$2:$J$10000,0),11))</f>
        <v/>
      </c>
      <c r="Z746" t="str">
        <f t="array" ref="Z746">IF($A746="","",INDEX(JupData!$A$2:$K$10000,MATCH($A746&amp;Z$1,JupData!$A$2:$A$10000&amp;JupData!$J$2:$J$10000,0),11))</f>
        <v/>
      </c>
      <c r="AA746" t="str">
        <f t="array" ref="AA746">IF($A746="","",INDEX(JupData!$A$2:$K$10000,MATCH($A746&amp;AA$1,JupData!$A$2:$A$10000&amp;JupData!$J$2:$J$10000,0),11))</f>
        <v/>
      </c>
      <c r="AB746" t="str">
        <f t="array" ref="AB746">IF($A746="","",INDEX(JupData!$A$2:$K$10000,MATCH($A746&amp;AB$1,JupData!$A$2:$A$10000&amp;JupData!$J$2:$J$10000,0),11))</f>
        <v/>
      </c>
      <c r="AC746" s="10" t="str">
        <f t="shared" si="121"/>
        <v/>
      </c>
      <c r="AD746" s="10" t="str">
        <f t="shared" si="122"/>
        <v/>
      </c>
      <c r="AE746" s="9" t="str">
        <f t="shared" si="123"/>
        <v/>
      </c>
      <c r="AF746" s="10" t="str">
        <f t="shared" si="124"/>
        <v/>
      </c>
      <c r="AG746" s="10" t="str">
        <f t="shared" si="125"/>
        <v/>
      </c>
      <c r="AH746" s="10" t="str">
        <f t="shared" si="126"/>
        <v/>
      </c>
      <c r="AI746" s="10" t="str">
        <f t="shared" si="127"/>
        <v/>
      </c>
      <c r="AJ746" s="10" t="str">
        <f t="shared" si="128"/>
        <v/>
      </c>
      <c r="AK746" s="10" t="str">
        <f t="shared" si="129"/>
        <v/>
      </c>
      <c r="AL746" s="14" t="str">
        <f t="shared" si="130"/>
        <v/>
      </c>
    </row>
    <row r="747" spans="1:38" x14ac:dyDescent="0.2">
      <c r="A747"/>
      <c r="B747" t="str">
        <f>IF($A747="","",VLOOKUP($A747,JupData!$A$2:$I$10000,4,FALSE))</f>
        <v/>
      </c>
      <c r="C747" s="7" t="str">
        <f>IF($A747="",IF(N(D747),0,""),VLOOKUP($A747,JupData!$A$2:$I$10000,7,FALSE))</f>
        <v/>
      </c>
      <c r="D747" t="str">
        <f t="shared" si="131"/>
        <v/>
      </c>
      <c r="E747" t="str">
        <f t="array" ref="E747">IF($A747="","",INDEX(JupData!$A$2:$K$10000,MATCH($A747&amp;E$1,JupData!$A$2:$A$10000&amp;JupData!$J$2:$J$10000,0),11))</f>
        <v/>
      </c>
      <c r="F747" t="str">
        <f t="array" ref="F747">IF($A747="","",INDEX(JupData!$A$2:$K$10000,MATCH($A747&amp;F$1,JupData!$A$2:$A$10000&amp;JupData!$J$2:$J$10000,0),11))</f>
        <v/>
      </c>
      <c r="G747" t="str">
        <f t="array" ref="G747">IF($A747="","",INDEX(JupData!$A$2:$K$10000,MATCH($A747&amp;G$1,JupData!$A$2:$A$10000&amp;JupData!$J$2:$J$10000,0),11))</f>
        <v/>
      </c>
      <c r="H747" t="str">
        <f t="array" ref="H747">IF($A747="","",INDEX(JupData!$A$2:$K$10000,MATCH($A747&amp;H$1,JupData!$A$2:$A$10000&amp;JupData!$J$2:$J$10000,0),11))</f>
        <v/>
      </c>
      <c r="I747" t="str">
        <f t="array" ref="I747">IF($A747="","",INDEX(JupData!$A$2:$K$10000,MATCH($A747&amp;I$1,JupData!$A$2:$A$10000&amp;JupData!$J$2:$J$10000,0),11))</f>
        <v/>
      </c>
      <c r="J747" t="str">
        <f t="array" ref="J747">IF($A747="","",INDEX(JupData!$A$2:$K$10000,MATCH($A747&amp;J$1,JupData!$A$2:$A$10000&amp;JupData!$J$2:$J$10000,0),11))</f>
        <v/>
      </c>
      <c r="K747" t="str">
        <f t="array" ref="K747">IF($A747="","",INDEX(JupData!$A$2:$K$10000,MATCH($A747&amp;K$1,JupData!$A$2:$A$10000&amp;JupData!$J$2:$J$10000,0),11))</f>
        <v/>
      </c>
      <c r="L747" t="str">
        <f t="array" ref="L747">IF($A747="","",INDEX(JupData!$A$2:$K$10000,MATCH($A747&amp;L$1,JupData!$A$2:$A$10000&amp;JupData!$J$2:$J$10000,0),11))</f>
        <v/>
      </c>
      <c r="M747" t="str">
        <f t="array" ref="M747">IF($A747="","",INDEX(JupData!$A$2:$K$10000,MATCH($A747&amp;M$1,JupData!$A$2:$A$10000&amp;JupData!$J$2:$J$10000,0),11))</f>
        <v/>
      </c>
      <c r="N747" t="str">
        <f t="array" ref="N747">IF($A747="","",INDEX(JupData!$A$2:$K$10000,MATCH($A747&amp;N$1,JupData!$A$2:$A$10000&amp;JupData!$J$2:$J$10000,0),11))</f>
        <v/>
      </c>
      <c r="O747" t="str">
        <f t="array" ref="O747">IF($A747="","",INDEX(JupData!$A$2:$K$10000,MATCH($A747&amp;O$1,JupData!$A$2:$A$10000&amp;JupData!$J$2:$J$10000,0),11))</f>
        <v/>
      </c>
      <c r="P747" t="str">
        <f t="array" ref="P747">IF($A747="","",INDEX(JupData!$A$2:$K$10000,MATCH($A747&amp;P$1,JupData!$A$2:$A$10000&amp;JupData!$J$2:$J$10000,0),11))</f>
        <v/>
      </c>
      <c r="Q747" t="str">
        <f t="array" ref="Q747">IF($A747="","",INDEX(JupData!$A$2:$K$10000,MATCH($A747&amp;Q$1,JupData!$A$2:$A$10000&amp;JupData!$J$2:$J$10000,0),11))</f>
        <v/>
      </c>
      <c r="R747" t="str">
        <f t="array" ref="R747">IF($A747="","",INDEX(JupData!$A$2:$K$10000,MATCH($A747&amp;R$1,JupData!$A$2:$A$10000&amp;JupData!$J$2:$J$10000,0),11))</f>
        <v/>
      </c>
      <c r="S747" t="str">
        <f t="array" ref="S747">IF($A747="","",INDEX(JupData!$A$2:$K$10000,MATCH($A747&amp;S$1,JupData!$A$2:$A$10000&amp;JupData!$J$2:$J$10000,0),11))</f>
        <v/>
      </c>
      <c r="T747" t="str">
        <f t="array" ref="T747">IF($A747="","",INDEX(JupData!$A$2:$K$10000,MATCH($A747&amp;T$1,JupData!$A$2:$A$10000&amp;JupData!$J$2:$J$10000,0),11))</f>
        <v/>
      </c>
      <c r="U747" t="str">
        <f t="array" ref="U747">IF($A747="","",INDEX(JupData!$A$2:$K$10000,MATCH($A747&amp;U$1,JupData!$A$2:$A$10000&amp;JupData!$J$2:$J$10000,0),11))</f>
        <v/>
      </c>
      <c r="V747" t="str">
        <f t="array" ref="V747">IF($A747="","",INDEX(JupData!$A$2:$K$10000,MATCH($A747&amp;V$1,JupData!$A$2:$A$10000&amp;JupData!$J$2:$J$10000,0),11))</f>
        <v/>
      </c>
      <c r="W747" t="str">
        <f t="array" ref="W747">IF($A747="","",INDEX(JupData!$A$2:$K$10000,MATCH($A747&amp;W$1,JupData!$A$2:$A$10000&amp;JupData!$J$2:$J$10000,0),11))</f>
        <v/>
      </c>
      <c r="X747" t="str">
        <f t="array" ref="X747">IF($A747="","",INDEX(JupData!$A$2:$K$10000,MATCH($A747&amp;X$1,JupData!$A$2:$A$10000&amp;JupData!$J$2:$J$10000,0),11))</f>
        <v/>
      </c>
      <c r="Y747" t="str">
        <f t="array" ref="Y747">IF($A747="","",INDEX(JupData!$A$2:$K$10000,MATCH($A747&amp;Y$1,JupData!$A$2:$A$10000&amp;JupData!$J$2:$J$10000,0),11))</f>
        <v/>
      </c>
      <c r="Z747" t="str">
        <f t="array" ref="Z747">IF($A747="","",INDEX(JupData!$A$2:$K$10000,MATCH($A747&amp;Z$1,JupData!$A$2:$A$10000&amp;JupData!$J$2:$J$10000,0),11))</f>
        <v/>
      </c>
      <c r="AA747" t="str">
        <f t="array" ref="AA747">IF($A747="","",INDEX(JupData!$A$2:$K$10000,MATCH($A747&amp;AA$1,JupData!$A$2:$A$10000&amp;JupData!$J$2:$J$10000,0),11))</f>
        <v/>
      </c>
      <c r="AB747" t="str">
        <f t="array" ref="AB747">IF($A747="","",INDEX(JupData!$A$2:$K$10000,MATCH($A747&amp;AB$1,JupData!$A$2:$A$10000&amp;JupData!$J$2:$J$10000,0),11))</f>
        <v/>
      </c>
      <c r="AC747" s="10" t="str">
        <f t="shared" si="121"/>
        <v/>
      </c>
      <c r="AD747" s="10" t="str">
        <f t="shared" si="122"/>
        <v/>
      </c>
      <c r="AE747" s="9" t="str">
        <f t="shared" si="123"/>
        <v/>
      </c>
      <c r="AF747" s="10" t="str">
        <f t="shared" si="124"/>
        <v/>
      </c>
      <c r="AG747" s="10" t="str">
        <f t="shared" si="125"/>
        <v/>
      </c>
      <c r="AH747" s="10" t="str">
        <f t="shared" si="126"/>
        <v/>
      </c>
      <c r="AI747" s="10" t="str">
        <f t="shared" si="127"/>
        <v/>
      </c>
      <c r="AJ747" s="10" t="str">
        <f t="shared" si="128"/>
        <v/>
      </c>
      <c r="AK747" s="10" t="str">
        <f t="shared" si="129"/>
        <v/>
      </c>
      <c r="AL747" s="14" t="str">
        <f t="shared" si="130"/>
        <v/>
      </c>
    </row>
    <row r="748" spans="1:38" x14ac:dyDescent="0.2">
      <c r="A748"/>
      <c r="B748" t="str">
        <f>IF($A748="","",VLOOKUP($A748,JupData!$A$2:$I$10000,4,FALSE))</f>
        <v/>
      </c>
      <c r="C748" s="7" t="str">
        <f>IF($A748="",IF(N(D748),0,""),VLOOKUP($A748,JupData!$A$2:$I$10000,7,FALSE))</f>
        <v/>
      </c>
      <c r="D748" t="str">
        <f t="shared" si="131"/>
        <v/>
      </c>
      <c r="E748" t="str">
        <f t="array" ref="E748">IF($A748="","",INDEX(JupData!$A$2:$K$10000,MATCH($A748&amp;E$1,JupData!$A$2:$A$10000&amp;JupData!$J$2:$J$10000,0),11))</f>
        <v/>
      </c>
      <c r="F748" t="str">
        <f t="array" ref="F748">IF($A748="","",INDEX(JupData!$A$2:$K$10000,MATCH($A748&amp;F$1,JupData!$A$2:$A$10000&amp;JupData!$J$2:$J$10000,0),11))</f>
        <v/>
      </c>
      <c r="G748" t="str">
        <f t="array" ref="G748">IF($A748="","",INDEX(JupData!$A$2:$K$10000,MATCH($A748&amp;G$1,JupData!$A$2:$A$10000&amp;JupData!$J$2:$J$10000,0),11))</f>
        <v/>
      </c>
      <c r="H748" t="str">
        <f t="array" ref="H748">IF($A748="","",INDEX(JupData!$A$2:$K$10000,MATCH($A748&amp;H$1,JupData!$A$2:$A$10000&amp;JupData!$J$2:$J$10000,0),11))</f>
        <v/>
      </c>
      <c r="I748" t="str">
        <f t="array" ref="I748">IF($A748="","",INDEX(JupData!$A$2:$K$10000,MATCH($A748&amp;I$1,JupData!$A$2:$A$10000&amp;JupData!$J$2:$J$10000,0),11))</f>
        <v/>
      </c>
      <c r="J748" t="str">
        <f t="array" ref="J748">IF($A748="","",INDEX(JupData!$A$2:$K$10000,MATCH($A748&amp;J$1,JupData!$A$2:$A$10000&amp;JupData!$J$2:$J$10000,0),11))</f>
        <v/>
      </c>
      <c r="K748" t="str">
        <f t="array" ref="K748">IF($A748="","",INDEX(JupData!$A$2:$K$10000,MATCH($A748&amp;K$1,JupData!$A$2:$A$10000&amp;JupData!$J$2:$J$10000,0),11))</f>
        <v/>
      </c>
      <c r="L748" t="str">
        <f t="array" ref="L748">IF($A748="","",INDEX(JupData!$A$2:$K$10000,MATCH($A748&amp;L$1,JupData!$A$2:$A$10000&amp;JupData!$J$2:$J$10000,0),11))</f>
        <v/>
      </c>
      <c r="M748" t="str">
        <f t="array" ref="M748">IF($A748="","",INDEX(JupData!$A$2:$K$10000,MATCH($A748&amp;M$1,JupData!$A$2:$A$10000&amp;JupData!$J$2:$J$10000,0),11))</f>
        <v/>
      </c>
      <c r="N748" t="str">
        <f t="array" ref="N748">IF($A748="","",INDEX(JupData!$A$2:$K$10000,MATCH($A748&amp;N$1,JupData!$A$2:$A$10000&amp;JupData!$J$2:$J$10000,0),11))</f>
        <v/>
      </c>
      <c r="O748" t="str">
        <f t="array" ref="O748">IF($A748="","",INDEX(JupData!$A$2:$K$10000,MATCH($A748&amp;O$1,JupData!$A$2:$A$10000&amp;JupData!$J$2:$J$10000,0),11))</f>
        <v/>
      </c>
      <c r="P748" t="str">
        <f t="array" ref="P748">IF($A748="","",INDEX(JupData!$A$2:$K$10000,MATCH($A748&amp;P$1,JupData!$A$2:$A$10000&amp;JupData!$J$2:$J$10000,0),11))</f>
        <v/>
      </c>
      <c r="Q748" t="str">
        <f t="array" ref="Q748">IF($A748="","",INDEX(JupData!$A$2:$K$10000,MATCH($A748&amp;Q$1,JupData!$A$2:$A$10000&amp;JupData!$J$2:$J$10000,0),11))</f>
        <v/>
      </c>
      <c r="R748" t="str">
        <f t="array" ref="R748">IF($A748="","",INDEX(JupData!$A$2:$K$10000,MATCH($A748&amp;R$1,JupData!$A$2:$A$10000&amp;JupData!$J$2:$J$10000,0),11))</f>
        <v/>
      </c>
      <c r="S748" t="str">
        <f t="array" ref="S748">IF($A748="","",INDEX(JupData!$A$2:$K$10000,MATCH($A748&amp;S$1,JupData!$A$2:$A$10000&amp;JupData!$J$2:$J$10000,0),11))</f>
        <v/>
      </c>
      <c r="T748" t="str">
        <f t="array" ref="T748">IF($A748="","",INDEX(JupData!$A$2:$K$10000,MATCH($A748&amp;T$1,JupData!$A$2:$A$10000&amp;JupData!$J$2:$J$10000,0),11))</f>
        <v/>
      </c>
      <c r="U748" t="str">
        <f t="array" ref="U748">IF($A748="","",INDEX(JupData!$A$2:$K$10000,MATCH($A748&amp;U$1,JupData!$A$2:$A$10000&amp;JupData!$J$2:$J$10000,0),11))</f>
        <v/>
      </c>
      <c r="V748" t="str">
        <f t="array" ref="V748">IF($A748="","",INDEX(JupData!$A$2:$K$10000,MATCH($A748&amp;V$1,JupData!$A$2:$A$10000&amp;JupData!$J$2:$J$10000,0),11))</f>
        <v/>
      </c>
      <c r="W748" t="str">
        <f t="array" ref="W748">IF($A748="","",INDEX(JupData!$A$2:$K$10000,MATCH($A748&amp;W$1,JupData!$A$2:$A$10000&amp;JupData!$J$2:$J$10000,0),11))</f>
        <v/>
      </c>
      <c r="X748" t="str">
        <f t="array" ref="X748">IF($A748="","",INDEX(JupData!$A$2:$K$10000,MATCH($A748&amp;X$1,JupData!$A$2:$A$10000&amp;JupData!$J$2:$J$10000,0),11))</f>
        <v/>
      </c>
      <c r="Y748" t="str">
        <f t="array" ref="Y748">IF($A748="","",INDEX(JupData!$A$2:$K$10000,MATCH($A748&amp;Y$1,JupData!$A$2:$A$10000&amp;JupData!$J$2:$J$10000,0),11))</f>
        <v/>
      </c>
      <c r="Z748" t="str">
        <f t="array" ref="Z748">IF($A748="","",INDEX(JupData!$A$2:$K$10000,MATCH($A748&amp;Z$1,JupData!$A$2:$A$10000&amp;JupData!$J$2:$J$10000,0),11))</f>
        <v/>
      </c>
      <c r="AA748" t="str">
        <f t="array" ref="AA748">IF($A748="","",INDEX(JupData!$A$2:$K$10000,MATCH($A748&amp;AA$1,JupData!$A$2:$A$10000&amp;JupData!$J$2:$J$10000,0),11))</f>
        <v/>
      </c>
      <c r="AB748" t="str">
        <f t="array" ref="AB748">IF($A748="","",INDEX(JupData!$A$2:$K$10000,MATCH($A748&amp;AB$1,JupData!$A$2:$A$10000&amp;JupData!$J$2:$J$10000,0),11))</f>
        <v/>
      </c>
      <c r="AC748" s="10" t="str">
        <f t="shared" si="121"/>
        <v/>
      </c>
      <c r="AD748" s="10" t="str">
        <f t="shared" si="122"/>
        <v/>
      </c>
      <c r="AE748" s="9" t="str">
        <f t="shared" si="123"/>
        <v/>
      </c>
      <c r="AF748" s="10" t="str">
        <f t="shared" si="124"/>
        <v/>
      </c>
      <c r="AG748" s="10" t="str">
        <f t="shared" si="125"/>
        <v/>
      </c>
      <c r="AH748" s="10" t="str">
        <f t="shared" si="126"/>
        <v/>
      </c>
      <c r="AI748" s="10" t="str">
        <f t="shared" si="127"/>
        <v/>
      </c>
      <c r="AJ748" s="10" t="str">
        <f t="shared" si="128"/>
        <v/>
      </c>
      <c r="AK748" s="10" t="str">
        <f t="shared" si="129"/>
        <v/>
      </c>
      <c r="AL748" s="14" t="str">
        <f t="shared" si="130"/>
        <v/>
      </c>
    </row>
    <row r="749" spans="1:38" x14ac:dyDescent="0.2">
      <c r="A749"/>
      <c r="B749" t="str">
        <f>IF($A749="","",VLOOKUP($A749,JupData!$A$2:$I$10000,4,FALSE))</f>
        <v/>
      </c>
      <c r="C749" s="7" t="str">
        <f>IF($A749="",IF(N(D749),0,""),VLOOKUP($A749,JupData!$A$2:$I$10000,7,FALSE))</f>
        <v/>
      </c>
      <c r="D749" t="str">
        <f t="shared" si="131"/>
        <v/>
      </c>
      <c r="E749" t="str">
        <f t="array" ref="E749">IF($A749="","",INDEX(JupData!$A$2:$K$10000,MATCH($A749&amp;E$1,JupData!$A$2:$A$10000&amp;JupData!$J$2:$J$10000,0),11))</f>
        <v/>
      </c>
      <c r="F749" t="str">
        <f t="array" ref="F749">IF($A749="","",INDEX(JupData!$A$2:$K$10000,MATCH($A749&amp;F$1,JupData!$A$2:$A$10000&amp;JupData!$J$2:$J$10000,0),11))</f>
        <v/>
      </c>
      <c r="G749" t="str">
        <f t="array" ref="G749">IF($A749="","",INDEX(JupData!$A$2:$K$10000,MATCH($A749&amp;G$1,JupData!$A$2:$A$10000&amp;JupData!$J$2:$J$10000,0),11))</f>
        <v/>
      </c>
      <c r="H749" t="str">
        <f t="array" ref="H749">IF($A749="","",INDEX(JupData!$A$2:$K$10000,MATCH($A749&amp;H$1,JupData!$A$2:$A$10000&amp;JupData!$J$2:$J$10000,0),11))</f>
        <v/>
      </c>
      <c r="I749" t="str">
        <f t="array" ref="I749">IF($A749="","",INDEX(JupData!$A$2:$K$10000,MATCH($A749&amp;I$1,JupData!$A$2:$A$10000&amp;JupData!$J$2:$J$10000,0),11))</f>
        <v/>
      </c>
      <c r="J749" t="str">
        <f t="array" ref="J749">IF($A749="","",INDEX(JupData!$A$2:$K$10000,MATCH($A749&amp;J$1,JupData!$A$2:$A$10000&amp;JupData!$J$2:$J$10000,0),11))</f>
        <v/>
      </c>
      <c r="K749" t="str">
        <f t="array" ref="K749">IF($A749="","",INDEX(JupData!$A$2:$K$10000,MATCH($A749&amp;K$1,JupData!$A$2:$A$10000&amp;JupData!$J$2:$J$10000,0),11))</f>
        <v/>
      </c>
      <c r="L749" t="str">
        <f t="array" ref="L749">IF($A749="","",INDEX(JupData!$A$2:$K$10000,MATCH($A749&amp;L$1,JupData!$A$2:$A$10000&amp;JupData!$J$2:$J$10000,0),11))</f>
        <v/>
      </c>
      <c r="M749" t="str">
        <f t="array" ref="M749">IF($A749="","",INDEX(JupData!$A$2:$K$10000,MATCH($A749&amp;M$1,JupData!$A$2:$A$10000&amp;JupData!$J$2:$J$10000,0),11))</f>
        <v/>
      </c>
      <c r="N749" t="str">
        <f t="array" ref="N749">IF($A749="","",INDEX(JupData!$A$2:$K$10000,MATCH($A749&amp;N$1,JupData!$A$2:$A$10000&amp;JupData!$J$2:$J$10000,0),11))</f>
        <v/>
      </c>
      <c r="O749" t="str">
        <f t="array" ref="O749">IF($A749="","",INDEX(JupData!$A$2:$K$10000,MATCH($A749&amp;O$1,JupData!$A$2:$A$10000&amp;JupData!$J$2:$J$10000,0),11))</f>
        <v/>
      </c>
      <c r="P749" t="str">
        <f t="array" ref="P749">IF($A749="","",INDEX(JupData!$A$2:$K$10000,MATCH($A749&amp;P$1,JupData!$A$2:$A$10000&amp;JupData!$J$2:$J$10000,0),11))</f>
        <v/>
      </c>
      <c r="Q749" t="str">
        <f t="array" ref="Q749">IF($A749="","",INDEX(JupData!$A$2:$K$10000,MATCH($A749&amp;Q$1,JupData!$A$2:$A$10000&amp;JupData!$J$2:$J$10000,0),11))</f>
        <v/>
      </c>
      <c r="R749" t="str">
        <f t="array" ref="R749">IF($A749="","",INDEX(JupData!$A$2:$K$10000,MATCH($A749&amp;R$1,JupData!$A$2:$A$10000&amp;JupData!$J$2:$J$10000,0),11))</f>
        <v/>
      </c>
      <c r="S749" t="str">
        <f t="array" ref="S749">IF($A749="","",INDEX(JupData!$A$2:$K$10000,MATCH($A749&amp;S$1,JupData!$A$2:$A$10000&amp;JupData!$J$2:$J$10000,0),11))</f>
        <v/>
      </c>
      <c r="T749" t="str">
        <f t="array" ref="T749">IF($A749="","",INDEX(JupData!$A$2:$K$10000,MATCH($A749&amp;T$1,JupData!$A$2:$A$10000&amp;JupData!$J$2:$J$10000,0),11))</f>
        <v/>
      </c>
      <c r="U749" t="str">
        <f t="array" ref="U749">IF($A749="","",INDEX(JupData!$A$2:$K$10000,MATCH($A749&amp;U$1,JupData!$A$2:$A$10000&amp;JupData!$J$2:$J$10000,0),11))</f>
        <v/>
      </c>
      <c r="V749" t="str">
        <f t="array" ref="V749">IF($A749="","",INDEX(JupData!$A$2:$K$10000,MATCH($A749&amp;V$1,JupData!$A$2:$A$10000&amp;JupData!$J$2:$J$10000,0),11))</f>
        <v/>
      </c>
      <c r="W749" t="str">
        <f t="array" ref="W749">IF($A749="","",INDEX(JupData!$A$2:$K$10000,MATCH($A749&amp;W$1,JupData!$A$2:$A$10000&amp;JupData!$J$2:$J$10000,0),11))</f>
        <v/>
      </c>
      <c r="X749" t="str">
        <f t="array" ref="X749">IF($A749="","",INDEX(JupData!$A$2:$K$10000,MATCH($A749&amp;X$1,JupData!$A$2:$A$10000&amp;JupData!$J$2:$J$10000,0),11))</f>
        <v/>
      </c>
      <c r="Y749" t="str">
        <f t="array" ref="Y749">IF($A749="","",INDEX(JupData!$A$2:$K$10000,MATCH($A749&amp;Y$1,JupData!$A$2:$A$10000&amp;JupData!$J$2:$J$10000,0),11))</f>
        <v/>
      </c>
      <c r="Z749" t="str">
        <f t="array" ref="Z749">IF($A749="","",INDEX(JupData!$A$2:$K$10000,MATCH($A749&amp;Z$1,JupData!$A$2:$A$10000&amp;JupData!$J$2:$J$10000,0),11))</f>
        <v/>
      </c>
      <c r="AA749" t="str">
        <f t="array" ref="AA749">IF($A749="","",INDEX(JupData!$A$2:$K$10000,MATCH($A749&amp;AA$1,JupData!$A$2:$A$10000&amp;JupData!$J$2:$J$10000,0),11))</f>
        <v/>
      </c>
      <c r="AB749" t="str">
        <f t="array" ref="AB749">IF($A749="","",INDEX(JupData!$A$2:$K$10000,MATCH($A749&amp;AB$1,JupData!$A$2:$A$10000&amp;JupData!$J$2:$J$10000,0),11))</f>
        <v/>
      </c>
      <c r="AC749" s="10" t="str">
        <f t="shared" si="121"/>
        <v/>
      </c>
      <c r="AD749" s="10" t="str">
        <f t="shared" si="122"/>
        <v/>
      </c>
      <c r="AE749" s="9" t="str">
        <f t="shared" si="123"/>
        <v/>
      </c>
      <c r="AF749" s="10" t="str">
        <f t="shared" si="124"/>
        <v/>
      </c>
      <c r="AG749" s="10" t="str">
        <f t="shared" si="125"/>
        <v/>
      </c>
      <c r="AH749" s="10" t="str">
        <f t="shared" si="126"/>
        <v/>
      </c>
      <c r="AI749" s="10" t="str">
        <f t="shared" si="127"/>
        <v/>
      </c>
      <c r="AJ749" s="10" t="str">
        <f t="shared" si="128"/>
        <v/>
      </c>
      <c r="AK749" s="10" t="str">
        <f t="shared" si="129"/>
        <v/>
      </c>
      <c r="AL749" s="14" t="str">
        <f t="shared" si="130"/>
        <v/>
      </c>
    </row>
    <row r="750" spans="1:38" x14ac:dyDescent="0.2">
      <c r="A750"/>
      <c r="B750" t="str">
        <f>IF($A750="","",VLOOKUP($A750,JupData!$A$2:$I$10000,4,FALSE))</f>
        <v/>
      </c>
      <c r="C750" s="7" t="str">
        <f>IF($A750="",IF(N(D750),0,""),VLOOKUP($A750,JupData!$A$2:$I$10000,7,FALSE))</f>
        <v/>
      </c>
      <c r="D750" t="str">
        <f t="shared" si="131"/>
        <v/>
      </c>
      <c r="E750" t="str">
        <f t="array" ref="E750">IF($A750="","",INDEX(JupData!$A$2:$K$10000,MATCH($A750&amp;E$1,JupData!$A$2:$A$10000&amp;JupData!$J$2:$J$10000,0),11))</f>
        <v/>
      </c>
      <c r="F750" t="str">
        <f t="array" ref="F750">IF($A750="","",INDEX(JupData!$A$2:$K$10000,MATCH($A750&amp;F$1,JupData!$A$2:$A$10000&amp;JupData!$J$2:$J$10000,0),11))</f>
        <v/>
      </c>
      <c r="G750" t="str">
        <f t="array" ref="G750">IF($A750="","",INDEX(JupData!$A$2:$K$10000,MATCH($A750&amp;G$1,JupData!$A$2:$A$10000&amp;JupData!$J$2:$J$10000,0),11))</f>
        <v/>
      </c>
      <c r="H750" t="str">
        <f t="array" ref="H750">IF($A750="","",INDEX(JupData!$A$2:$K$10000,MATCH($A750&amp;H$1,JupData!$A$2:$A$10000&amp;JupData!$J$2:$J$10000,0),11))</f>
        <v/>
      </c>
      <c r="I750" t="str">
        <f t="array" ref="I750">IF($A750="","",INDEX(JupData!$A$2:$K$10000,MATCH($A750&amp;I$1,JupData!$A$2:$A$10000&amp;JupData!$J$2:$J$10000,0),11))</f>
        <v/>
      </c>
      <c r="J750" t="str">
        <f t="array" ref="J750">IF($A750="","",INDEX(JupData!$A$2:$K$10000,MATCH($A750&amp;J$1,JupData!$A$2:$A$10000&amp;JupData!$J$2:$J$10000,0),11))</f>
        <v/>
      </c>
      <c r="K750" t="str">
        <f t="array" ref="K750">IF($A750="","",INDEX(JupData!$A$2:$K$10000,MATCH($A750&amp;K$1,JupData!$A$2:$A$10000&amp;JupData!$J$2:$J$10000,0),11))</f>
        <v/>
      </c>
      <c r="L750" t="str">
        <f t="array" ref="L750">IF($A750="","",INDEX(JupData!$A$2:$K$10000,MATCH($A750&amp;L$1,JupData!$A$2:$A$10000&amp;JupData!$J$2:$J$10000,0),11))</f>
        <v/>
      </c>
      <c r="M750" t="str">
        <f t="array" ref="M750">IF($A750="","",INDEX(JupData!$A$2:$K$10000,MATCH($A750&amp;M$1,JupData!$A$2:$A$10000&amp;JupData!$J$2:$J$10000,0),11))</f>
        <v/>
      </c>
      <c r="N750" t="str">
        <f t="array" ref="N750">IF($A750="","",INDEX(JupData!$A$2:$K$10000,MATCH($A750&amp;N$1,JupData!$A$2:$A$10000&amp;JupData!$J$2:$J$10000,0),11))</f>
        <v/>
      </c>
      <c r="O750" t="str">
        <f t="array" ref="O750">IF($A750="","",INDEX(JupData!$A$2:$K$10000,MATCH($A750&amp;O$1,JupData!$A$2:$A$10000&amp;JupData!$J$2:$J$10000,0),11))</f>
        <v/>
      </c>
      <c r="P750" t="str">
        <f t="array" ref="P750">IF($A750="","",INDEX(JupData!$A$2:$K$10000,MATCH($A750&amp;P$1,JupData!$A$2:$A$10000&amp;JupData!$J$2:$J$10000,0),11))</f>
        <v/>
      </c>
      <c r="Q750" t="str">
        <f t="array" ref="Q750">IF($A750="","",INDEX(JupData!$A$2:$K$10000,MATCH($A750&amp;Q$1,JupData!$A$2:$A$10000&amp;JupData!$J$2:$J$10000,0),11))</f>
        <v/>
      </c>
      <c r="R750" t="str">
        <f t="array" ref="R750">IF($A750="","",INDEX(JupData!$A$2:$K$10000,MATCH($A750&amp;R$1,JupData!$A$2:$A$10000&amp;JupData!$J$2:$J$10000,0),11))</f>
        <v/>
      </c>
      <c r="S750" t="str">
        <f t="array" ref="S750">IF($A750="","",INDEX(JupData!$A$2:$K$10000,MATCH($A750&amp;S$1,JupData!$A$2:$A$10000&amp;JupData!$J$2:$J$10000,0),11))</f>
        <v/>
      </c>
      <c r="T750" t="str">
        <f t="array" ref="T750">IF($A750="","",INDEX(JupData!$A$2:$K$10000,MATCH($A750&amp;T$1,JupData!$A$2:$A$10000&amp;JupData!$J$2:$J$10000,0),11))</f>
        <v/>
      </c>
      <c r="U750" t="str">
        <f t="array" ref="U750">IF($A750="","",INDEX(JupData!$A$2:$K$10000,MATCH($A750&amp;U$1,JupData!$A$2:$A$10000&amp;JupData!$J$2:$J$10000,0),11))</f>
        <v/>
      </c>
      <c r="V750" t="str">
        <f t="array" ref="V750">IF($A750="","",INDEX(JupData!$A$2:$K$10000,MATCH($A750&amp;V$1,JupData!$A$2:$A$10000&amp;JupData!$J$2:$J$10000,0),11))</f>
        <v/>
      </c>
      <c r="W750" t="str">
        <f t="array" ref="W750">IF($A750="","",INDEX(JupData!$A$2:$K$10000,MATCH($A750&amp;W$1,JupData!$A$2:$A$10000&amp;JupData!$J$2:$J$10000,0),11))</f>
        <v/>
      </c>
      <c r="X750" t="str">
        <f t="array" ref="X750">IF($A750="","",INDEX(JupData!$A$2:$K$10000,MATCH($A750&amp;X$1,JupData!$A$2:$A$10000&amp;JupData!$J$2:$J$10000,0),11))</f>
        <v/>
      </c>
      <c r="Y750" t="str">
        <f t="array" ref="Y750">IF($A750="","",INDEX(JupData!$A$2:$K$10000,MATCH($A750&amp;Y$1,JupData!$A$2:$A$10000&amp;JupData!$J$2:$J$10000,0),11))</f>
        <v/>
      </c>
      <c r="Z750" t="str">
        <f t="array" ref="Z750">IF($A750="","",INDEX(JupData!$A$2:$K$10000,MATCH($A750&amp;Z$1,JupData!$A$2:$A$10000&amp;JupData!$J$2:$J$10000,0),11))</f>
        <v/>
      </c>
      <c r="AA750" t="str">
        <f t="array" ref="AA750">IF($A750="","",INDEX(JupData!$A$2:$K$10000,MATCH($A750&amp;AA$1,JupData!$A$2:$A$10000&amp;JupData!$J$2:$J$10000,0),11))</f>
        <v/>
      </c>
      <c r="AB750" t="str">
        <f t="array" ref="AB750">IF($A750="","",INDEX(JupData!$A$2:$K$10000,MATCH($A750&amp;AB$1,JupData!$A$2:$A$10000&amp;JupData!$J$2:$J$10000,0),11))</f>
        <v/>
      </c>
      <c r="AC750" s="10" t="str">
        <f t="shared" si="121"/>
        <v/>
      </c>
      <c r="AD750" s="10" t="str">
        <f t="shared" si="122"/>
        <v/>
      </c>
      <c r="AE750" s="9" t="str">
        <f t="shared" si="123"/>
        <v/>
      </c>
      <c r="AF750" s="10" t="str">
        <f t="shared" si="124"/>
        <v/>
      </c>
      <c r="AG750" s="10" t="str">
        <f t="shared" si="125"/>
        <v/>
      </c>
      <c r="AH750" s="10" t="str">
        <f t="shared" si="126"/>
        <v/>
      </c>
      <c r="AI750" s="10" t="str">
        <f t="shared" si="127"/>
        <v/>
      </c>
      <c r="AJ750" s="10" t="str">
        <f t="shared" si="128"/>
        <v/>
      </c>
      <c r="AK750" s="10" t="str">
        <f t="shared" si="129"/>
        <v/>
      </c>
      <c r="AL750" s="14" t="str">
        <f t="shared" si="130"/>
        <v/>
      </c>
    </row>
    <row r="751" spans="1:38" x14ac:dyDescent="0.2">
      <c r="A751"/>
      <c r="B751" t="str">
        <f>IF($A751="","",VLOOKUP($A751,JupData!$A$2:$I$10000,4,FALSE))</f>
        <v/>
      </c>
      <c r="C751" s="7" t="str">
        <f>IF($A751="",IF(N(D751),0,""),VLOOKUP($A751,JupData!$A$2:$I$10000,7,FALSE))</f>
        <v/>
      </c>
      <c r="D751" t="str">
        <f t="shared" si="131"/>
        <v/>
      </c>
      <c r="E751" t="str">
        <f t="array" ref="E751">IF($A751="","",INDEX(JupData!$A$2:$K$10000,MATCH($A751&amp;E$1,JupData!$A$2:$A$10000&amp;JupData!$J$2:$J$10000,0),11))</f>
        <v/>
      </c>
      <c r="F751" t="str">
        <f t="array" ref="F751">IF($A751="","",INDEX(JupData!$A$2:$K$10000,MATCH($A751&amp;F$1,JupData!$A$2:$A$10000&amp;JupData!$J$2:$J$10000,0),11))</f>
        <v/>
      </c>
      <c r="G751" t="str">
        <f t="array" ref="G751">IF($A751="","",INDEX(JupData!$A$2:$K$10000,MATCH($A751&amp;G$1,JupData!$A$2:$A$10000&amp;JupData!$J$2:$J$10000,0),11))</f>
        <v/>
      </c>
      <c r="H751" t="str">
        <f t="array" ref="H751">IF($A751="","",INDEX(JupData!$A$2:$K$10000,MATCH($A751&amp;H$1,JupData!$A$2:$A$10000&amp;JupData!$J$2:$J$10000,0),11))</f>
        <v/>
      </c>
      <c r="I751" t="str">
        <f t="array" ref="I751">IF($A751="","",INDEX(JupData!$A$2:$K$10000,MATCH($A751&amp;I$1,JupData!$A$2:$A$10000&amp;JupData!$J$2:$J$10000,0),11))</f>
        <v/>
      </c>
      <c r="J751" t="str">
        <f t="array" ref="J751">IF($A751="","",INDEX(JupData!$A$2:$K$10000,MATCH($A751&amp;J$1,JupData!$A$2:$A$10000&amp;JupData!$J$2:$J$10000,0),11))</f>
        <v/>
      </c>
      <c r="K751" t="str">
        <f t="array" ref="K751">IF($A751="","",INDEX(JupData!$A$2:$K$10000,MATCH($A751&amp;K$1,JupData!$A$2:$A$10000&amp;JupData!$J$2:$J$10000,0),11))</f>
        <v/>
      </c>
      <c r="L751" t="str">
        <f t="array" ref="L751">IF($A751="","",INDEX(JupData!$A$2:$K$10000,MATCH($A751&amp;L$1,JupData!$A$2:$A$10000&amp;JupData!$J$2:$J$10000,0),11))</f>
        <v/>
      </c>
      <c r="M751" t="str">
        <f t="array" ref="M751">IF($A751="","",INDEX(JupData!$A$2:$K$10000,MATCH($A751&amp;M$1,JupData!$A$2:$A$10000&amp;JupData!$J$2:$J$10000,0),11))</f>
        <v/>
      </c>
      <c r="N751" t="str">
        <f t="array" ref="N751">IF($A751="","",INDEX(JupData!$A$2:$K$10000,MATCH($A751&amp;N$1,JupData!$A$2:$A$10000&amp;JupData!$J$2:$J$10000,0),11))</f>
        <v/>
      </c>
      <c r="O751" t="str">
        <f t="array" ref="O751">IF($A751="","",INDEX(JupData!$A$2:$K$10000,MATCH($A751&amp;O$1,JupData!$A$2:$A$10000&amp;JupData!$J$2:$J$10000,0),11))</f>
        <v/>
      </c>
      <c r="P751" t="str">
        <f t="array" ref="P751">IF($A751="","",INDEX(JupData!$A$2:$K$10000,MATCH($A751&amp;P$1,JupData!$A$2:$A$10000&amp;JupData!$J$2:$J$10000,0),11))</f>
        <v/>
      </c>
      <c r="Q751" t="str">
        <f t="array" ref="Q751">IF($A751="","",INDEX(JupData!$A$2:$K$10000,MATCH($A751&amp;Q$1,JupData!$A$2:$A$10000&amp;JupData!$J$2:$J$10000,0),11))</f>
        <v/>
      </c>
      <c r="R751" t="str">
        <f t="array" ref="R751">IF($A751="","",INDEX(JupData!$A$2:$K$10000,MATCH($A751&amp;R$1,JupData!$A$2:$A$10000&amp;JupData!$J$2:$J$10000,0),11))</f>
        <v/>
      </c>
      <c r="S751" t="str">
        <f t="array" ref="S751">IF($A751="","",INDEX(JupData!$A$2:$K$10000,MATCH($A751&amp;S$1,JupData!$A$2:$A$10000&amp;JupData!$J$2:$J$10000,0),11))</f>
        <v/>
      </c>
      <c r="T751" t="str">
        <f t="array" ref="T751">IF($A751="","",INDEX(JupData!$A$2:$K$10000,MATCH($A751&amp;T$1,JupData!$A$2:$A$10000&amp;JupData!$J$2:$J$10000,0),11))</f>
        <v/>
      </c>
      <c r="U751" t="str">
        <f t="array" ref="U751">IF($A751="","",INDEX(JupData!$A$2:$K$10000,MATCH($A751&amp;U$1,JupData!$A$2:$A$10000&amp;JupData!$J$2:$J$10000,0),11))</f>
        <v/>
      </c>
      <c r="V751" t="str">
        <f t="array" ref="V751">IF($A751="","",INDEX(JupData!$A$2:$K$10000,MATCH($A751&amp;V$1,JupData!$A$2:$A$10000&amp;JupData!$J$2:$J$10000,0),11))</f>
        <v/>
      </c>
      <c r="W751" t="str">
        <f t="array" ref="W751">IF($A751="","",INDEX(JupData!$A$2:$K$10000,MATCH($A751&amp;W$1,JupData!$A$2:$A$10000&amp;JupData!$J$2:$J$10000,0),11))</f>
        <v/>
      </c>
      <c r="X751" t="str">
        <f t="array" ref="X751">IF($A751="","",INDEX(JupData!$A$2:$K$10000,MATCH($A751&amp;X$1,JupData!$A$2:$A$10000&amp;JupData!$J$2:$J$10000,0),11))</f>
        <v/>
      </c>
      <c r="Y751" t="str">
        <f t="array" ref="Y751">IF($A751="","",INDEX(JupData!$A$2:$K$10000,MATCH($A751&amp;Y$1,JupData!$A$2:$A$10000&amp;JupData!$J$2:$J$10000,0),11))</f>
        <v/>
      </c>
      <c r="Z751" t="str">
        <f t="array" ref="Z751">IF($A751="","",INDEX(JupData!$A$2:$K$10000,MATCH($A751&amp;Z$1,JupData!$A$2:$A$10000&amp;JupData!$J$2:$J$10000,0),11))</f>
        <v/>
      </c>
      <c r="AA751" t="str">
        <f t="array" ref="AA751">IF($A751="","",INDEX(JupData!$A$2:$K$10000,MATCH($A751&amp;AA$1,JupData!$A$2:$A$10000&amp;JupData!$J$2:$J$10000,0),11))</f>
        <v/>
      </c>
      <c r="AB751" t="str">
        <f t="array" ref="AB751">IF($A751="","",INDEX(JupData!$A$2:$K$10000,MATCH($A751&amp;AB$1,JupData!$A$2:$A$10000&amp;JupData!$J$2:$J$10000,0),11))</f>
        <v/>
      </c>
      <c r="AC751" s="10" t="str">
        <f t="shared" si="121"/>
        <v/>
      </c>
      <c r="AD751" s="10" t="str">
        <f t="shared" si="122"/>
        <v/>
      </c>
      <c r="AE751" s="9" t="str">
        <f t="shared" si="123"/>
        <v/>
      </c>
      <c r="AF751" s="10" t="str">
        <f t="shared" si="124"/>
        <v/>
      </c>
      <c r="AG751" s="10" t="str">
        <f t="shared" si="125"/>
        <v/>
      </c>
      <c r="AH751" s="10" t="str">
        <f t="shared" si="126"/>
        <v/>
      </c>
      <c r="AI751" s="10" t="str">
        <f t="shared" si="127"/>
        <v/>
      </c>
      <c r="AJ751" s="10" t="str">
        <f t="shared" si="128"/>
        <v/>
      </c>
      <c r="AK751" s="10" t="str">
        <f t="shared" si="129"/>
        <v/>
      </c>
      <c r="AL751" s="14" t="str">
        <f t="shared" si="130"/>
        <v/>
      </c>
    </row>
    <row r="752" spans="1:38" x14ac:dyDescent="0.2">
      <c r="A752"/>
      <c r="B752" t="str">
        <f>IF($A752="","",VLOOKUP($A752,JupData!$A$2:$I$10000,4,FALSE))</f>
        <v/>
      </c>
      <c r="C752" s="7" t="str">
        <f>IF($A752="",IF(N(D752),0,""),VLOOKUP($A752,JupData!$A$2:$I$10000,7,FALSE))</f>
        <v/>
      </c>
      <c r="D752" t="str">
        <f t="shared" si="131"/>
        <v/>
      </c>
      <c r="E752" t="str">
        <f t="array" ref="E752">IF($A752="","",INDEX(JupData!$A$2:$K$10000,MATCH($A752&amp;E$1,JupData!$A$2:$A$10000&amp;JupData!$J$2:$J$10000,0),11))</f>
        <v/>
      </c>
      <c r="F752" t="str">
        <f t="array" ref="F752">IF($A752="","",INDEX(JupData!$A$2:$K$10000,MATCH($A752&amp;F$1,JupData!$A$2:$A$10000&amp;JupData!$J$2:$J$10000,0),11))</f>
        <v/>
      </c>
      <c r="G752" t="str">
        <f t="array" ref="G752">IF($A752="","",INDEX(JupData!$A$2:$K$10000,MATCH($A752&amp;G$1,JupData!$A$2:$A$10000&amp;JupData!$J$2:$J$10000,0),11))</f>
        <v/>
      </c>
      <c r="H752" t="str">
        <f t="array" ref="H752">IF($A752="","",INDEX(JupData!$A$2:$K$10000,MATCH($A752&amp;H$1,JupData!$A$2:$A$10000&amp;JupData!$J$2:$J$10000,0),11))</f>
        <v/>
      </c>
      <c r="I752" t="str">
        <f t="array" ref="I752">IF($A752="","",INDEX(JupData!$A$2:$K$10000,MATCH($A752&amp;I$1,JupData!$A$2:$A$10000&amp;JupData!$J$2:$J$10000,0),11))</f>
        <v/>
      </c>
      <c r="J752" t="str">
        <f t="array" ref="J752">IF($A752="","",INDEX(JupData!$A$2:$K$10000,MATCH($A752&amp;J$1,JupData!$A$2:$A$10000&amp;JupData!$J$2:$J$10000,0),11))</f>
        <v/>
      </c>
      <c r="K752" t="str">
        <f t="array" ref="K752">IF($A752="","",INDEX(JupData!$A$2:$K$10000,MATCH($A752&amp;K$1,JupData!$A$2:$A$10000&amp;JupData!$J$2:$J$10000,0),11))</f>
        <v/>
      </c>
      <c r="L752" t="str">
        <f t="array" ref="L752">IF($A752="","",INDEX(JupData!$A$2:$K$10000,MATCH($A752&amp;L$1,JupData!$A$2:$A$10000&amp;JupData!$J$2:$J$10000,0),11))</f>
        <v/>
      </c>
      <c r="M752" t="str">
        <f t="array" ref="M752">IF($A752="","",INDEX(JupData!$A$2:$K$10000,MATCH($A752&amp;M$1,JupData!$A$2:$A$10000&amp;JupData!$J$2:$J$10000,0),11))</f>
        <v/>
      </c>
      <c r="N752" t="str">
        <f t="array" ref="N752">IF($A752="","",INDEX(JupData!$A$2:$K$10000,MATCH($A752&amp;N$1,JupData!$A$2:$A$10000&amp;JupData!$J$2:$J$10000,0),11))</f>
        <v/>
      </c>
      <c r="O752" t="str">
        <f t="array" ref="O752">IF($A752="","",INDEX(JupData!$A$2:$K$10000,MATCH($A752&amp;O$1,JupData!$A$2:$A$10000&amp;JupData!$J$2:$J$10000,0),11))</f>
        <v/>
      </c>
      <c r="P752" t="str">
        <f t="array" ref="P752">IF($A752="","",INDEX(JupData!$A$2:$K$10000,MATCH($A752&amp;P$1,JupData!$A$2:$A$10000&amp;JupData!$J$2:$J$10000,0),11))</f>
        <v/>
      </c>
      <c r="Q752" t="str">
        <f t="array" ref="Q752">IF($A752="","",INDEX(JupData!$A$2:$K$10000,MATCH($A752&amp;Q$1,JupData!$A$2:$A$10000&amp;JupData!$J$2:$J$10000,0),11))</f>
        <v/>
      </c>
      <c r="R752" t="str">
        <f t="array" ref="R752">IF($A752="","",INDEX(JupData!$A$2:$K$10000,MATCH($A752&amp;R$1,JupData!$A$2:$A$10000&amp;JupData!$J$2:$J$10000,0),11))</f>
        <v/>
      </c>
      <c r="S752" t="str">
        <f t="array" ref="S752">IF($A752="","",INDEX(JupData!$A$2:$K$10000,MATCH($A752&amp;S$1,JupData!$A$2:$A$10000&amp;JupData!$J$2:$J$10000,0),11))</f>
        <v/>
      </c>
      <c r="T752" t="str">
        <f t="array" ref="T752">IF($A752="","",INDEX(JupData!$A$2:$K$10000,MATCH($A752&amp;T$1,JupData!$A$2:$A$10000&amp;JupData!$J$2:$J$10000,0),11))</f>
        <v/>
      </c>
      <c r="U752" t="str">
        <f t="array" ref="U752">IF($A752="","",INDEX(JupData!$A$2:$K$10000,MATCH($A752&amp;U$1,JupData!$A$2:$A$10000&amp;JupData!$J$2:$J$10000,0),11))</f>
        <v/>
      </c>
      <c r="V752" t="str">
        <f t="array" ref="V752">IF($A752="","",INDEX(JupData!$A$2:$K$10000,MATCH($A752&amp;V$1,JupData!$A$2:$A$10000&amp;JupData!$J$2:$J$10000,0),11))</f>
        <v/>
      </c>
      <c r="W752" t="str">
        <f t="array" ref="W752">IF($A752="","",INDEX(JupData!$A$2:$K$10000,MATCH($A752&amp;W$1,JupData!$A$2:$A$10000&amp;JupData!$J$2:$J$10000,0),11))</f>
        <v/>
      </c>
      <c r="X752" t="str">
        <f t="array" ref="X752">IF($A752="","",INDEX(JupData!$A$2:$K$10000,MATCH($A752&amp;X$1,JupData!$A$2:$A$10000&amp;JupData!$J$2:$J$10000,0),11))</f>
        <v/>
      </c>
      <c r="Y752" t="str">
        <f t="array" ref="Y752">IF($A752="","",INDEX(JupData!$A$2:$K$10000,MATCH($A752&amp;Y$1,JupData!$A$2:$A$10000&amp;JupData!$J$2:$J$10000,0),11))</f>
        <v/>
      </c>
      <c r="Z752" t="str">
        <f t="array" ref="Z752">IF($A752="","",INDEX(JupData!$A$2:$K$10000,MATCH($A752&amp;Z$1,JupData!$A$2:$A$10000&amp;JupData!$J$2:$J$10000,0),11))</f>
        <v/>
      </c>
      <c r="AA752" t="str">
        <f t="array" ref="AA752">IF($A752="","",INDEX(JupData!$A$2:$K$10000,MATCH($A752&amp;AA$1,JupData!$A$2:$A$10000&amp;JupData!$J$2:$J$10000,0),11))</f>
        <v/>
      </c>
      <c r="AB752" t="str">
        <f t="array" ref="AB752">IF($A752="","",INDEX(JupData!$A$2:$K$10000,MATCH($A752&amp;AB$1,JupData!$A$2:$A$10000&amp;JupData!$J$2:$J$10000,0),11))</f>
        <v/>
      </c>
      <c r="AC752" s="10" t="str">
        <f t="shared" si="121"/>
        <v/>
      </c>
      <c r="AD752" s="10" t="str">
        <f t="shared" si="122"/>
        <v/>
      </c>
      <c r="AE752" s="9" t="str">
        <f t="shared" si="123"/>
        <v/>
      </c>
      <c r="AF752" s="10" t="str">
        <f t="shared" si="124"/>
        <v/>
      </c>
      <c r="AG752" s="10" t="str">
        <f t="shared" si="125"/>
        <v/>
      </c>
      <c r="AH752" s="10" t="str">
        <f t="shared" si="126"/>
        <v/>
      </c>
      <c r="AI752" s="10" t="str">
        <f t="shared" si="127"/>
        <v/>
      </c>
      <c r="AJ752" s="10" t="str">
        <f t="shared" si="128"/>
        <v/>
      </c>
      <c r="AK752" s="10" t="str">
        <f t="shared" si="129"/>
        <v/>
      </c>
      <c r="AL752" s="14" t="str">
        <f t="shared" si="130"/>
        <v/>
      </c>
    </row>
    <row r="753" spans="1:38" x14ac:dyDescent="0.2">
      <c r="A753"/>
      <c r="B753" t="str">
        <f>IF($A753="","",VLOOKUP($A753,JupData!$A$2:$I$10000,4,FALSE))</f>
        <v/>
      </c>
      <c r="C753" s="7" t="str">
        <f>IF($A753="",IF(N(D753),0,""),VLOOKUP($A753,JupData!$A$2:$I$10000,7,FALSE))</f>
        <v/>
      </c>
      <c r="D753" t="str">
        <f t="shared" si="131"/>
        <v/>
      </c>
      <c r="E753" t="str">
        <f t="array" ref="E753">IF($A753="","",INDEX(JupData!$A$2:$K$10000,MATCH($A753&amp;E$1,JupData!$A$2:$A$10000&amp;JupData!$J$2:$J$10000,0),11))</f>
        <v/>
      </c>
      <c r="F753" t="str">
        <f t="array" ref="F753">IF($A753="","",INDEX(JupData!$A$2:$K$10000,MATCH($A753&amp;F$1,JupData!$A$2:$A$10000&amp;JupData!$J$2:$J$10000,0),11))</f>
        <v/>
      </c>
      <c r="G753" t="str">
        <f t="array" ref="G753">IF($A753="","",INDEX(JupData!$A$2:$K$10000,MATCH($A753&amp;G$1,JupData!$A$2:$A$10000&amp;JupData!$J$2:$J$10000,0),11))</f>
        <v/>
      </c>
      <c r="H753" t="str">
        <f t="array" ref="H753">IF($A753="","",INDEX(JupData!$A$2:$K$10000,MATCH($A753&amp;H$1,JupData!$A$2:$A$10000&amp;JupData!$J$2:$J$10000,0),11))</f>
        <v/>
      </c>
      <c r="I753" t="str">
        <f t="array" ref="I753">IF($A753="","",INDEX(JupData!$A$2:$K$10000,MATCH($A753&amp;I$1,JupData!$A$2:$A$10000&amp;JupData!$J$2:$J$10000,0),11))</f>
        <v/>
      </c>
      <c r="J753" t="str">
        <f t="array" ref="J753">IF($A753="","",INDEX(JupData!$A$2:$K$10000,MATCH($A753&amp;J$1,JupData!$A$2:$A$10000&amp;JupData!$J$2:$J$10000,0),11))</f>
        <v/>
      </c>
      <c r="K753" t="str">
        <f t="array" ref="K753">IF($A753="","",INDEX(JupData!$A$2:$K$10000,MATCH($A753&amp;K$1,JupData!$A$2:$A$10000&amp;JupData!$J$2:$J$10000,0),11))</f>
        <v/>
      </c>
      <c r="L753" t="str">
        <f t="array" ref="L753">IF($A753="","",INDEX(JupData!$A$2:$K$10000,MATCH($A753&amp;L$1,JupData!$A$2:$A$10000&amp;JupData!$J$2:$J$10000,0),11))</f>
        <v/>
      </c>
      <c r="M753" t="str">
        <f t="array" ref="M753">IF($A753="","",INDEX(JupData!$A$2:$K$10000,MATCH($A753&amp;M$1,JupData!$A$2:$A$10000&amp;JupData!$J$2:$J$10000,0),11))</f>
        <v/>
      </c>
      <c r="N753" t="str">
        <f t="array" ref="N753">IF($A753="","",INDEX(JupData!$A$2:$K$10000,MATCH($A753&amp;N$1,JupData!$A$2:$A$10000&amp;JupData!$J$2:$J$10000,0),11))</f>
        <v/>
      </c>
      <c r="O753" t="str">
        <f t="array" ref="O753">IF($A753="","",INDEX(JupData!$A$2:$K$10000,MATCH($A753&amp;O$1,JupData!$A$2:$A$10000&amp;JupData!$J$2:$J$10000,0),11))</f>
        <v/>
      </c>
      <c r="P753" t="str">
        <f t="array" ref="P753">IF($A753="","",INDEX(JupData!$A$2:$K$10000,MATCH($A753&amp;P$1,JupData!$A$2:$A$10000&amp;JupData!$J$2:$J$10000,0),11))</f>
        <v/>
      </c>
      <c r="Q753" t="str">
        <f t="array" ref="Q753">IF($A753="","",INDEX(JupData!$A$2:$K$10000,MATCH($A753&amp;Q$1,JupData!$A$2:$A$10000&amp;JupData!$J$2:$J$10000,0),11))</f>
        <v/>
      </c>
      <c r="R753" t="str">
        <f t="array" ref="R753">IF($A753="","",INDEX(JupData!$A$2:$K$10000,MATCH($A753&amp;R$1,JupData!$A$2:$A$10000&amp;JupData!$J$2:$J$10000,0),11))</f>
        <v/>
      </c>
      <c r="S753" t="str">
        <f t="array" ref="S753">IF($A753="","",INDEX(JupData!$A$2:$K$10000,MATCH($A753&amp;S$1,JupData!$A$2:$A$10000&amp;JupData!$J$2:$J$10000,0),11))</f>
        <v/>
      </c>
      <c r="T753" t="str">
        <f t="array" ref="T753">IF($A753="","",INDEX(JupData!$A$2:$K$10000,MATCH($A753&amp;T$1,JupData!$A$2:$A$10000&amp;JupData!$J$2:$J$10000,0),11))</f>
        <v/>
      </c>
      <c r="U753" t="str">
        <f t="array" ref="U753">IF($A753="","",INDEX(JupData!$A$2:$K$10000,MATCH($A753&amp;U$1,JupData!$A$2:$A$10000&amp;JupData!$J$2:$J$10000,0),11))</f>
        <v/>
      </c>
      <c r="V753" t="str">
        <f t="array" ref="V753">IF($A753="","",INDEX(JupData!$A$2:$K$10000,MATCH($A753&amp;V$1,JupData!$A$2:$A$10000&amp;JupData!$J$2:$J$10000,0),11))</f>
        <v/>
      </c>
      <c r="W753" t="str">
        <f t="array" ref="W753">IF($A753="","",INDEX(JupData!$A$2:$K$10000,MATCH($A753&amp;W$1,JupData!$A$2:$A$10000&amp;JupData!$J$2:$J$10000,0),11))</f>
        <v/>
      </c>
      <c r="X753" t="str">
        <f t="array" ref="X753">IF($A753="","",INDEX(JupData!$A$2:$K$10000,MATCH($A753&amp;X$1,JupData!$A$2:$A$10000&amp;JupData!$J$2:$J$10000,0),11))</f>
        <v/>
      </c>
      <c r="Y753" t="str">
        <f t="array" ref="Y753">IF($A753="","",INDEX(JupData!$A$2:$K$10000,MATCH($A753&amp;Y$1,JupData!$A$2:$A$10000&amp;JupData!$J$2:$J$10000,0),11))</f>
        <v/>
      </c>
      <c r="Z753" t="str">
        <f t="array" ref="Z753">IF($A753="","",INDEX(JupData!$A$2:$K$10000,MATCH($A753&amp;Z$1,JupData!$A$2:$A$10000&amp;JupData!$J$2:$J$10000,0),11))</f>
        <v/>
      </c>
      <c r="AA753" t="str">
        <f t="array" ref="AA753">IF($A753="","",INDEX(JupData!$A$2:$K$10000,MATCH($A753&amp;AA$1,JupData!$A$2:$A$10000&amp;JupData!$J$2:$J$10000,0),11))</f>
        <v/>
      </c>
      <c r="AB753" t="str">
        <f t="array" ref="AB753">IF($A753="","",INDEX(JupData!$A$2:$K$10000,MATCH($A753&amp;AB$1,JupData!$A$2:$A$10000&amp;JupData!$J$2:$J$10000,0),11))</f>
        <v/>
      </c>
      <c r="AC753" s="10" t="str">
        <f t="shared" si="121"/>
        <v/>
      </c>
      <c r="AD753" s="10" t="str">
        <f t="shared" si="122"/>
        <v/>
      </c>
      <c r="AE753" s="9" t="str">
        <f t="shared" si="123"/>
        <v/>
      </c>
      <c r="AF753" s="10" t="str">
        <f t="shared" si="124"/>
        <v/>
      </c>
      <c r="AG753" s="10" t="str">
        <f t="shared" si="125"/>
        <v/>
      </c>
      <c r="AH753" s="10" t="str">
        <f t="shared" si="126"/>
        <v/>
      </c>
      <c r="AI753" s="10" t="str">
        <f t="shared" si="127"/>
        <v/>
      </c>
      <c r="AJ753" s="10" t="str">
        <f t="shared" si="128"/>
        <v/>
      </c>
      <c r="AK753" s="10" t="str">
        <f t="shared" si="129"/>
        <v/>
      </c>
      <c r="AL753" s="14" t="str">
        <f t="shared" si="130"/>
        <v/>
      </c>
    </row>
    <row r="754" spans="1:38" x14ac:dyDescent="0.2">
      <c r="A754"/>
      <c r="B754" t="str">
        <f>IF($A754="","",VLOOKUP($A754,JupData!$A$2:$I$10000,4,FALSE))</f>
        <v/>
      </c>
      <c r="C754" s="7" t="str">
        <f>IF($A754="",IF(N(D754),0,""),VLOOKUP($A754,JupData!$A$2:$I$10000,7,FALSE))</f>
        <v/>
      </c>
      <c r="D754" t="str">
        <f t="shared" si="131"/>
        <v/>
      </c>
      <c r="E754" t="str">
        <f t="array" ref="E754">IF($A754="","",INDEX(JupData!$A$2:$K$10000,MATCH($A754&amp;E$1,JupData!$A$2:$A$10000&amp;JupData!$J$2:$J$10000,0),11))</f>
        <v/>
      </c>
      <c r="F754" t="str">
        <f t="array" ref="F754">IF($A754="","",INDEX(JupData!$A$2:$K$10000,MATCH($A754&amp;F$1,JupData!$A$2:$A$10000&amp;JupData!$J$2:$J$10000,0),11))</f>
        <v/>
      </c>
      <c r="G754" t="str">
        <f t="array" ref="G754">IF($A754="","",INDEX(JupData!$A$2:$K$10000,MATCH($A754&amp;G$1,JupData!$A$2:$A$10000&amp;JupData!$J$2:$J$10000,0),11))</f>
        <v/>
      </c>
      <c r="H754" t="str">
        <f t="array" ref="H754">IF($A754="","",INDEX(JupData!$A$2:$K$10000,MATCH($A754&amp;H$1,JupData!$A$2:$A$10000&amp;JupData!$J$2:$J$10000,0),11))</f>
        <v/>
      </c>
      <c r="I754" t="str">
        <f t="array" ref="I754">IF($A754="","",INDEX(JupData!$A$2:$K$10000,MATCH($A754&amp;I$1,JupData!$A$2:$A$10000&amp;JupData!$J$2:$J$10000,0),11))</f>
        <v/>
      </c>
      <c r="J754" t="str">
        <f t="array" ref="J754">IF($A754="","",INDEX(JupData!$A$2:$K$10000,MATCH($A754&amp;J$1,JupData!$A$2:$A$10000&amp;JupData!$J$2:$J$10000,0),11))</f>
        <v/>
      </c>
      <c r="K754" t="str">
        <f t="array" ref="K754">IF($A754="","",INDEX(JupData!$A$2:$K$10000,MATCH($A754&amp;K$1,JupData!$A$2:$A$10000&amp;JupData!$J$2:$J$10000,0),11))</f>
        <v/>
      </c>
      <c r="L754" t="str">
        <f t="array" ref="L754">IF($A754="","",INDEX(JupData!$A$2:$K$10000,MATCH($A754&amp;L$1,JupData!$A$2:$A$10000&amp;JupData!$J$2:$J$10000,0),11))</f>
        <v/>
      </c>
      <c r="M754" t="str">
        <f t="array" ref="M754">IF($A754="","",INDEX(JupData!$A$2:$K$10000,MATCH($A754&amp;M$1,JupData!$A$2:$A$10000&amp;JupData!$J$2:$J$10000,0),11))</f>
        <v/>
      </c>
      <c r="N754" t="str">
        <f t="array" ref="N754">IF($A754="","",INDEX(JupData!$A$2:$K$10000,MATCH($A754&amp;N$1,JupData!$A$2:$A$10000&amp;JupData!$J$2:$J$10000,0),11))</f>
        <v/>
      </c>
      <c r="O754" t="str">
        <f t="array" ref="O754">IF($A754="","",INDEX(JupData!$A$2:$K$10000,MATCH($A754&amp;O$1,JupData!$A$2:$A$10000&amp;JupData!$J$2:$J$10000,0),11))</f>
        <v/>
      </c>
      <c r="P754" t="str">
        <f t="array" ref="P754">IF($A754="","",INDEX(JupData!$A$2:$K$10000,MATCH($A754&amp;P$1,JupData!$A$2:$A$10000&amp;JupData!$J$2:$J$10000,0),11))</f>
        <v/>
      </c>
      <c r="Q754" t="str">
        <f t="array" ref="Q754">IF($A754="","",INDEX(JupData!$A$2:$K$10000,MATCH($A754&amp;Q$1,JupData!$A$2:$A$10000&amp;JupData!$J$2:$J$10000,0),11))</f>
        <v/>
      </c>
      <c r="R754" t="str">
        <f t="array" ref="R754">IF($A754="","",INDEX(JupData!$A$2:$K$10000,MATCH($A754&amp;R$1,JupData!$A$2:$A$10000&amp;JupData!$J$2:$J$10000,0),11))</f>
        <v/>
      </c>
      <c r="S754" t="str">
        <f t="array" ref="S754">IF($A754="","",INDEX(JupData!$A$2:$K$10000,MATCH($A754&amp;S$1,JupData!$A$2:$A$10000&amp;JupData!$J$2:$J$10000,0),11))</f>
        <v/>
      </c>
      <c r="T754" t="str">
        <f t="array" ref="T754">IF($A754="","",INDEX(JupData!$A$2:$K$10000,MATCH($A754&amp;T$1,JupData!$A$2:$A$10000&amp;JupData!$J$2:$J$10000,0),11))</f>
        <v/>
      </c>
      <c r="U754" t="str">
        <f t="array" ref="U754">IF($A754="","",INDEX(JupData!$A$2:$K$10000,MATCH($A754&amp;U$1,JupData!$A$2:$A$10000&amp;JupData!$J$2:$J$10000,0),11))</f>
        <v/>
      </c>
      <c r="V754" t="str">
        <f t="array" ref="V754">IF($A754="","",INDEX(JupData!$A$2:$K$10000,MATCH($A754&amp;V$1,JupData!$A$2:$A$10000&amp;JupData!$J$2:$J$10000,0),11))</f>
        <v/>
      </c>
      <c r="W754" t="str">
        <f t="array" ref="W754">IF($A754="","",INDEX(JupData!$A$2:$K$10000,MATCH($A754&amp;W$1,JupData!$A$2:$A$10000&amp;JupData!$J$2:$J$10000,0),11))</f>
        <v/>
      </c>
      <c r="X754" t="str">
        <f t="array" ref="X754">IF($A754="","",INDEX(JupData!$A$2:$K$10000,MATCH($A754&amp;X$1,JupData!$A$2:$A$10000&amp;JupData!$J$2:$J$10000,0),11))</f>
        <v/>
      </c>
      <c r="Y754" t="str">
        <f t="array" ref="Y754">IF($A754="","",INDEX(JupData!$A$2:$K$10000,MATCH($A754&amp;Y$1,JupData!$A$2:$A$10000&amp;JupData!$J$2:$J$10000,0),11))</f>
        <v/>
      </c>
      <c r="Z754" t="str">
        <f t="array" ref="Z754">IF($A754="","",INDEX(JupData!$A$2:$K$10000,MATCH($A754&amp;Z$1,JupData!$A$2:$A$10000&amp;JupData!$J$2:$J$10000,0),11))</f>
        <v/>
      </c>
      <c r="AA754" t="str">
        <f t="array" ref="AA754">IF($A754="","",INDEX(JupData!$A$2:$K$10000,MATCH($A754&amp;AA$1,JupData!$A$2:$A$10000&amp;JupData!$J$2:$J$10000,0),11))</f>
        <v/>
      </c>
      <c r="AB754" t="str">
        <f t="array" ref="AB754">IF($A754="","",INDEX(JupData!$A$2:$K$10000,MATCH($A754&amp;AB$1,JupData!$A$2:$A$10000&amp;JupData!$J$2:$J$10000,0),11))</f>
        <v/>
      </c>
      <c r="AC754" s="10" t="str">
        <f t="shared" si="121"/>
        <v/>
      </c>
      <c r="AD754" s="10" t="str">
        <f t="shared" si="122"/>
        <v/>
      </c>
      <c r="AE754" s="9" t="str">
        <f t="shared" si="123"/>
        <v/>
      </c>
      <c r="AF754" s="10" t="str">
        <f t="shared" si="124"/>
        <v/>
      </c>
      <c r="AG754" s="10" t="str">
        <f t="shared" si="125"/>
        <v/>
      </c>
      <c r="AH754" s="10" t="str">
        <f t="shared" si="126"/>
        <v/>
      </c>
      <c r="AI754" s="10" t="str">
        <f t="shared" si="127"/>
        <v/>
      </c>
      <c r="AJ754" s="10" t="str">
        <f t="shared" si="128"/>
        <v/>
      </c>
      <c r="AK754" s="10" t="str">
        <f t="shared" si="129"/>
        <v/>
      </c>
      <c r="AL754" s="14" t="str">
        <f t="shared" si="130"/>
        <v/>
      </c>
    </row>
    <row r="755" spans="1:38" x14ac:dyDescent="0.2">
      <c r="A755"/>
      <c r="B755" t="str">
        <f>IF($A755="","",VLOOKUP($A755,JupData!$A$2:$I$10000,4,FALSE))</f>
        <v/>
      </c>
      <c r="C755" s="7" t="str">
        <f>IF($A755="",IF(N(D755),0,""),VLOOKUP($A755,JupData!$A$2:$I$10000,7,FALSE))</f>
        <v/>
      </c>
      <c r="D755" t="str">
        <f t="shared" si="131"/>
        <v/>
      </c>
      <c r="E755" t="str">
        <f t="array" ref="E755">IF($A755="","",INDEX(JupData!$A$2:$K$10000,MATCH($A755&amp;E$1,JupData!$A$2:$A$10000&amp;JupData!$J$2:$J$10000,0),11))</f>
        <v/>
      </c>
      <c r="F755" t="str">
        <f t="array" ref="F755">IF($A755="","",INDEX(JupData!$A$2:$K$10000,MATCH($A755&amp;F$1,JupData!$A$2:$A$10000&amp;JupData!$J$2:$J$10000,0),11))</f>
        <v/>
      </c>
      <c r="G755" t="str">
        <f t="array" ref="G755">IF($A755="","",INDEX(JupData!$A$2:$K$10000,MATCH($A755&amp;G$1,JupData!$A$2:$A$10000&amp;JupData!$J$2:$J$10000,0),11))</f>
        <v/>
      </c>
      <c r="H755" t="str">
        <f t="array" ref="H755">IF($A755="","",INDEX(JupData!$A$2:$K$10000,MATCH($A755&amp;H$1,JupData!$A$2:$A$10000&amp;JupData!$J$2:$J$10000,0),11))</f>
        <v/>
      </c>
      <c r="I755" t="str">
        <f t="array" ref="I755">IF($A755="","",INDEX(JupData!$A$2:$K$10000,MATCH($A755&amp;I$1,JupData!$A$2:$A$10000&amp;JupData!$J$2:$J$10000,0),11))</f>
        <v/>
      </c>
      <c r="J755" t="str">
        <f t="array" ref="J755">IF($A755="","",INDEX(JupData!$A$2:$K$10000,MATCH($A755&amp;J$1,JupData!$A$2:$A$10000&amp;JupData!$J$2:$J$10000,0),11))</f>
        <v/>
      </c>
      <c r="K755" t="str">
        <f t="array" ref="K755">IF($A755="","",INDEX(JupData!$A$2:$K$10000,MATCH($A755&amp;K$1,JupData!$A$2:$A$10000&amp;JupData!$J$2:$J$10000,0),11))</f>
        <v/>
      </c>
      <c r="L755" t="str">
        <f t="array" ref="L755">IF($A755="","",INDEX(JupData!$A$2:$K$10000,MATCH($A755&amp;L$1,JupData!$A$2:$A$10000&amp;JupData!$J$2:$J$10000,0),11))</f>
        <v/>
      </c>
      <c r="M755" t="str">
        <f t="array" ref="M755">IF($A755="","",INDEX(JupData!$A$2:$K$10000,MATCH($A755&amp;M$1,JupData!$A$2:$A$10000&amp;JupData!$J$2:$J$10000,0),11))</f>
        <v/>
      </c>
      <c r="N755" t="str">
        <f t="array" ref="N755">IF($A755="","",INDEX(JupData!$A$2:$K$10000,MATCH($A755&amp;N$1,JupData!$A$2:$A$10000&amp;JupData!$J$2:$J$10000,0),11))</f>
        <v/>
      </c>
      <c r="O755" t="str">
        <f t="array" ref="O755">IF($A755="","",INDEX(JupData!$A$2:$K$10000,MATCH($A755&amp;O$1,JupData!$A$2:$A$10000&amp;JupData!$J$2:$J$10000,0),11))</f>
        <v/>
      </c>
      <c r="P755" t="str">
        <f t="array" ref="P755">IF($A755="","",INDEX(JupData!$A$2:$K$10000,MATCH($A755&amp;P$1,JupData!$A$2:$A$10000&amp;JupData!$J$2:$J$10000,0),11))</f>
        <v/>
      </c>
      <c r="Q755" t="str">
        <f t="array" ref="Q755">IF($A755="","",INDEX(JupData!$A$2:$K$10000,MATCH($A755&amp;Q$1,JupData!$A$2:$A$10000&amp;JupData!$J$2:$J$10000,0),11))</f>
        <v/>
      </c>
      <c r="R755" t="str">
        <f t="array" ref="R755">IF($A755="","",INDEX(JupData!$A$2:$K$10000,MATCH($A755&amp;R$1,JupData!$A$2:$A$10000&amp;JupData!$J$2:$J$10000,0),11))</f>
        <v/>
      </c>
      <c r="S755" t="str">
        <f t="array" ref="S755">IF($A755="","",INDEX(JupData!$A$2:$K$10000,MATCH($A755&amp;S$1,JupData!$A$2:$A$10000&amp;JupData!$J$2:$J$10000,0),11))</f>
        <v/>
      </c>
      <c r="T755" t="str">
        <f t="array" ref="T755">IF($A755="","",INDEX(JupData!$A$2:$K$10000,MATCH($A755&amp;T$1,JupData!$A$2:$A$10000&amp;JupData!$J$2:$J$10000,0),11))</f>
        <v/>
      </c>
      <c r="U755" t="str">
        <f t="array" ref="U755">IF($A755="","",INDEX(JupData!$A$2:$K$10000,MATCH($A755&amp;U$1,JupData!$A$2:$A$10000&amp;JupData!$J$2:$J$10000,0),11))</f>
        <v/>
      </c>
      <c r="V755" t="str">
        <f t="array" ref="V755">IF($A755="","",INDEX(JupData!$A$2:$K$10000,MATCH($A755&amp;V$1,JupData!$A$2:$A$10000&amp;JupData!$J$2:$J$10000,0),11))</f>
        <v/>
      </c>
      <c r="W755" t="str">
        <f t="array" ref="W755">IF($A755="","",INDEX(JupData!$A$2:$K$10000,MATCH($A755&amp;W$1,JupData!$A$2:$A$10000&amp;JupData!$J$2:$J$10000,0),11))</f>
        <v/>
      </c>
      <c r="X755" t="str">
        <f t="array" ref="X755">IF($A755="","",INDEX(JupData!$A$2:$K$10000,MATCH($A755&amp;X$1,JupData!$A$2:$A$10000&amp;JupData!$J$2:$J$10000,0),11))</f>
        <v/>
      </c>
      <c r="Y755" t="str">
        <f t="array" ref="Y755">IF($A755="","",INDEX(JupData!$A$2:$K$10000,MATCH($A755&amp;Y$1,JupData!$A$2:$A$10000&amp;JupData!$J$2:$J$10000,0),11))</f>
        <v/>
      </c>
      <c r="Z755" t="str">
        <f t="array" ref="Z755">IF($A755="","",INDEX(JupData!$A$2:$K$10000,MATCH($A755&amp;Z$1,JupData!$A$2:$A$10000&amp;JupData!$J$2:$J$10000,0),11))</f>
        <v/>
      </c>
      <c r="AA755" t="str">
        <f t="array" ref="AA755">IF($A755="","",INDEX(JupData!$A$2:$K$10000,MATCH($A755&amp;AA$1,JupData!$A$2:$A$10000&amp;JupData!$J$2:$J$10000,0),11))</f>
        <v/>
      </c>
      <c r="AB755" t="str">
        <f t="array" ref="AB755">IF($A755="","",INDEX(JupData!$A$2:$K$10000,MATCH($A755&amp;AB$1,JupData!$A$2:$A$10000&amp;JupData!$J$2:$J$10000,0),11))</f>
        <v/>
      </c>
      <c r="AC755" s="10" t="str">
        <f t="shared" si="121"/>
        <v/>
      </c>
      <c r="AD755" s="10" t="str">
        <f t="shared" si="122"/>
        <v/>
      </c>
      <c r="AE755" s="9" t="str">
        <f t="shared" si="123"/>
        <v/>
      </c>
      <c r="AF755" s="10" t="str">
        <f t="shared" si="124"/>
        <v/>
      </c>
      <c r="AG755" s="10" t="str">
        <f t="shared" si="125"/>
        <v/>
      </c>
      <c r="AH755" s="10" t="str">
        <f t="shared" si="126"/>
        <v/>
      </c>
      <c r="AI755" s="10" t="str">
        <f t="shared" si="127"/>
        <v/>
      </c>
      <c r="AJ755" s="10" t="str">
        <f t="shared" si="128"/>
        <v/>
      </c>
      <c r="AK755" s="10" t="str">
        <f t="shared" si="129"/>
        <v/>
      </c>
      <c r="AL755" s="14" t="str">
        <f t="shared" si="130"/>
        <v/>
      </c>
    </row>
    <row r="756" spans="1:38" x14ac:dyDescent="0.2">
      <c r="A756"/>
      <c r="B756" t="str">
        <f>IF($A756="","",VLOOKUP($A756,JupData!$A$2:$I$10000,4,FALSE))</f>
        <v/>
      </c>
      <c r="C756" s="7" t="str">
        <f>IF($A756="",IF(N(D756),0,""),VLOOKUP($A756,JupData!$A$2:$I$10000,7,FALSE))</f>
        <v/>
      </c>
      <c r="D756" t="str">
        <f t="shared" si="131"/>
        <v/>
      </c>
      <c r="E756" t="str">
        <f t="array" ref="E756">IF($A756="","",INDEX(JupData!$A$2:$K$10000,MATCH($A756&amp;E$1,JupData!$A$2:$A$10000&amp;JupData!$J$2:$J$10000,0),11))</f>
        <v/>
      </c>
      <c r="F756" t="str">
        <f t="array" ref="F756">IF($A756="","",INDEX(JupData!$A$2:$K$10000,MATCH($A756&amp;F$1,JupData!$A$2:$A$10000&amp;JupData!$J$2:$J$10000,0),11))</f>
        <v/>
      </c>
      <c r="G756" t="str">
        <f t="array" ref="G756">IF($A756="","",INDEX(JupData!$A$2:$K$10000,MATCH($A756&amp;G$1,JupData!$A$2:$A$10000&amp;JupData!$J$2:$J$10000,0),11))</f>
        <v/>
      </c>
      <c r="H756" t="str">
        <f t="array" ref="H756">IF($A756="","",INDEX(JupData!$A$2:$K$10000,MATCH($A756&amp;H$1,JupData!$A$2:$A$10000&amp;JupData!$J$2:$J$10000,0),11))</f>
        <v/>
      </c>
      <c r="I756" t="str">
        <f t="array" ref="I756">IF($A756="","",INDEX(JupData!$A$2:$K$10000,MATCH($A756&amp;I$1,JupData!$A$2:$A$10000&amp;JupData!$J$2:$J$10000,0),11))</f>
        <v/>
      </c>
      <c r="J756" t="str">
        <f t="array" ref="J756">IF($A756="","",INDEX(JupData!$A$2:$K$10000,MATCH($A756&amp;J$1,JupData!$A$2:$A$10000&amp;JupData!$J$2:$J$10000,0),11))</f>
        <v/>
      </c>
      <c r="K756" t="str">
        <f t="array" ref="K756">IF($A756="","",INDEX(JupData!$A$2:$K$10000,MATCH($A756&amp;K$1,JupData!$A$2:$A$10000&amp;JupData!$J$2:$J$10000,0),11))</f>
        <v/>
      </c>
      <c r="L756" t="str">
        <f t="array" ref="L756">IF($A756="","",INDEX(JupData!$A$2:$K$10000,MATCH($A756&amp;L$1,JupData!$A$2:$A$10000&amp;JupData!$J$2:$J$10000,0),11))</f>
        <v/>
      </c>
      <c r="M756" t="str">
        <f t="array" ref="M756">IF($A756="","",INDEX(JupData!$A$2:$K$10000,MATCH($A756&amp;M$1,JupData!$A$2:$A$10000&amp;JupData!$J$2:$J$10000,0),11))</f>
        <v/>
      </c>
      <c r="N756" t="str">
        <f t="array" ref="N756">IF($A756="","",INDEX(JupData!$A$2:$K$10000,MATCH($A756&amp;N$1,JupData!$A$2:$A$10000&amp;JupData!$J$2:$J$10000,0),11))</f>
        <v/>
      </c>
      <c r="O756" t="str">
        <f t="array" ref="O756">IF($A756="","",INDEX(JupData!$A$2:$K$10000,MATCH($A756&amp;O$1,JupData!$A$2:$A$10000&amp;JupData!$J$2:$J$10000,0),11))</f>
        <v/>
      </c>
      <c r="P756" t="str">
        <f t="array" ref="P756">IF($A756="","",INDEX(JupData!$A$2:$K$10000,MATCH($A756&amp;P$1,JupData!$A$2:$A$10000&amp;JupData!$J$2:$J$10000,0),11))</f>
        <v/>
      </c>
      <c r="Q756" t="str">
        <f t="array" ref="Q756">IF($A756="","",INDEX(JupData!$A$2:$K$10000,MATCH($A756&amp;Q$1,JupData!$A$2:$A$10000&amp;JupData!$J$2:$J$10000,0),11))</f>
        <v/>
      </c>
      <c r="R756" t="str">
        <f t="array" ref="R756">IF($A756="","",INDEX(JupData!$A$2:$K$10000,MATCH($A756&amp;R$1,JupData!$A$2:$A$10000&amp;JupData!$J$2:$J$10000,0),11))</f>
        <v/>
      </c>
      <c r="S756" t="str">
        <f t="array" ref="S756">IF($A756="","",INDEX(JupData!$A$2:$K$10000,MATCH($A756&amp;S$1,JupData!$A$2:$A$10000&amp;JupData!$J$2:$J$10000,0),11))</f>
        <v/>
      </c>
      <c r="T756" t="str">
        <f t="array" ref="T756">IF($A756="","",INDEX(JupData!$A$2:$K$10000,MATCH($A756&amp;T$1,JupData!$A$2:$A$10000&amp;JupData!$J$2:$J$10000,0),11))</f>
        <v/>
      </c>
      <c r="U756" t="str">
        <f t="array" ref="U756">IF($A756="","",INDEX(JupData!$A$2:$K$10000,MATCH($A756&amp;U$1,JupData!$A$2:$A$10000&amp;JupData!$J$2:$J$10000,0),11))</f>
        <v/>
      </c>
      <c r="V756" t="str">
        <f t="array" ref="V756">IF($A756="","",INDEX(JupData!$A$2:$K$10000,MATCH($A756&amp;V$1,JupData!$A$2:$A$10000&amp;JupData!$J$2:$J$10000,0),11))</f>
        <v/>
      </c>
      <c r="W756" t="str">
        <f t="array" ref="W756">IF($A756="","",INDEX(JupData!$A$2:$K$10000,MATCH($A756&amp;W$1,JupData!$A$2:$A$10000&amp;JupData!$J$2:$J$10000,0),11))</f>
        <v/>
      </c>
      <c r="X756" t="str">
        <f t="array" ref="X756">IF($A756="","",INDEX(JupData!$A$2:$K$10000,MATCH($A756&amp;X$1,JupData!$A$2:$A$10000&amp;JupData!$J$2:$J$10000,0),11))</f>
        <v/>
      </c>
      <c r="Y756" t="str">
        <f t="array" ref="Y756">IF($A756="","",INDEX(JupData!$A$2:$K$10000,MATCH($A756&amp;Y$1,JupData!$A$2:$A$10000&amp;JupData!$J$2:$J$10000,0),11))</f>
        <v/>
      </c>
      <c r="Z756" t="str">
        <f t="array" ref="Z756">IF($A756="","",INDEX(JupData!$A$2:$K$10000,MATCH($A756&amp;Z$1,JupData!$A$2:$A$10000&amp;JupData!$J$2:$J$10000,0),11))</f>
        <v/>
      </c>
      <c r="AA756" t="str">
        <f t="array" ref="AA756">IF($A756="","",INDEX(JupData!$A$2:$K$10000,MATCH($A756&amp;AA$1,JupData!$A$2:$A$10000&amp;JupData!$J$2:$J$10000,0),11))</f>
        <v/>
      </c>
      <c r="AB756" t="str">
        <f t="array" ref="AB756">IF($A756="","",INDEX(JupData!$A$2:$K$10000,MATCH($A756&amp;AB$1,JupData!$A$2:$A$10000&amp;JupData!$J$2:$J$10000,0),11))</f>
        <v/>
      </c>
      <c r="AC756" s="10" t="str">
        <f t="shared" si="121"/>
        <v/>
      </c>
      <c r="AD756" s="10" t="str">
        <f t="shared" si="122"/>
        <v/>
      </c>
      <c r="AE756" s="9" t="str">
        <f t="shared" si="123"/>
        <v/>
      </c>
      <c r="AF756" s="10" t="str">
        <f t="shared" si="124"/>
        <v/>
      </c>
      <c r="AG756" s="10" t="str">
        <f t="shared" si="125"/>
        <v/>
      </c>
      <c r="AH756" s="10" t="str">
        <f t="shared" si="126"/>
        <v/>
      </c>
      <c r="AI756" s="10" t="str">
        <f t="shared" si="127"/>
        <v/>
      </c>
      <c r="AJ756" s="10" t="str">
        <f t="shared" si="128"/>
        <v/>
      </c>
      <c r="AK756" s="10" t="str">
        <f t="shared" si="129"/>
        <v/>
      </c>
      <c r="AL756" s="14" t="str">
        <f t="shared" si="130"/>
        <v/>
      </c>
    </row>
    <row r="757" spans="1:38" x14ac:dyDescent="0.2">
      <c r="A757"/>
      <c r="B757" t="str">
        <f>IF($A757="","",VLOOKUP($A757,JupData!$A$2:$I$10000,4,FALSE))</f>
        <v/>
      </c>
      <c r="C757" s="7" t="str">
        <f>IF($A757="",IF(N(D757),0,""),VLOOKUP($A757,JupData!$A$2:$I$10000,7,FALSE))</f>
        <v/>
      </c>
      <c r="D757" t="str">
        <f t="shared" si="131"/>
        <v/>
      </c>
      <c r="E757" t="str">
        <f t="array" ref="E757">IF($A757="","",INDEX(JupData!$A$2:$K$10000,MATCH($A757&amp;E$1,JupData!$A$2:$A$10000&amp;JupData!$J$2:$J$10000,0),11))</f>
        <v/>
      </c>
      <c r="F757" t="str">
        <f t="array" ref="F757">IF($A757="","",INDEX(JupData!$A$2:$K$10000,MATCH($A757&amp;F$1,JupData!$A$2:$A$10000&amp;JupData!$J$2:$J$10000,0),11))</f>
        <v/>
      </c>
      <c r="G757" t="str">
        <f t="array" ref="G757">IF($A757="","",INDEX(JupData!$A$2:$K$10000,MATCH($A757&amp;G$1,JupData!$A$2:$A$10000&amp;JupData!$J$2:$J$10000,0),11))</f>
        <v/>
      </c>
      <c r="H757" t="str">
        <f t="array" ref="H757">IF($A757="","",INDEX(JupData!$A$2:$K$10000,MATCH($A757&amp;H$1,JupData!$A$2:$A$10000&amp;JupData!$J$2:$J$10000,0),11))</f>
        <v/>
      </c>
      <c r="I757" t="str">
        <f t="array" ref="I757">IF($A757="","",INDEX(JupData!$A$2:$K$10000,MATCH($A757&amp;I$1,JupData!$A$2:$A$10000&amp;JupData!$J$2:$J$10000,0),11))</f>
        <v/>
      </c>
      <c r="J757" t="str">
        <f t="array" ref="J757">IF($A757="","",INDEX(JupData!$A$2:$K$10000,MATCH($A757&amp;J$1,JupData!$A$2:$A$10000&amp;JupData!$J$2:$J$10000,0),11))</f>
        <v/>
      </c>
      <c r="K757" t="str">
        <f t="array" ref="K757">IF($A757="","",INDEX(JupData!$A$2:$K$10000,MATCH($A757&amp;K$1,JupData!$A$2:$A$10000&amp;JupData!$J$2:$J$10000,0),11))</f>
        <v/>
      </c>
      <c r="L757" t="str">
        <f t="array" ref="L757">IF($A757="","",INDEX(JupData!$A$2:$K$10000,MATCH($A757&amp;L$1,JupData!$A$2:$A$10000&amp;JupData!$J$2:$J$10000,0),11))</f>
        <v/>
      </c>
      <c r="M757" t="str">
        <f t="array" ref="M757">IF($A757="","",INDEX(JupData!$A$2:$K$10000,MATCH($A757&amp;M$1,JupData!$A$2:$A$10000&amp;JupData!$J$2:$J$10000,0),11))</f>
        <v/>
      </c>
      <c r="N757" t="str">
        <f t="array" ref="N757">IF($A757="","",INDEX(JupData!$A$2:$K$10000,MATCH($A757&amp;N$1,JupData!$A$2:$A$10000&amp;JupData!$J$2:$J$10000,0),11))</f>
        <v/>
      </c>
      <c r="O757" t="str">
        <f t="array" ref="O757">IF($A757="","",INDEX(JupData!$A$2:$K$10000,MATCH($A757&amp;O$1,JupData!$A$2:$A$10000&amp;JupData!$J$2:$J$10000,0),11))</f>
        <v/>
      </c>
      <c r="P757" t="str">
        <f t="array" ref="P757">IF($A757="","",INDEX(JupData!$A$2:$K$10000,MATCH($A757&amp;P$1,JupData!$A$2:$A$10000&amp;JupData!$J$2:$J$10000,0),11))</f>
        <v/>
      </c>
      <c r="Q757" t="str">
        <f t="array" ref="Q757">IF($A757="","",INDEX(JupData!$A$2:$K$10000,MATCH($A757&amp;Q$1,JupData!$A$2:$A$10000&amp;JupData!$J$2:$J$10000,0),11))</f>
        <v/>
      </c>
      <c r="R757" t="str">
        <f t="array" ref="R757">IF($A757="","",INDEX(JupData!$A$2:$K$10000,MATCH($A757&amp;R$1,JupData!$A$2:$A$10000&amp;JupData!$J$2:$J$10000,0),11))</f>
        <v/>
      </c>
      <c r="S757" t="str">
        <f t="array" ref="S757">IF($A757="","",INDEX(JupData!$A$2:$K$10000,MATCH($A757&amp;S$1,JupData!$A$2:$A$10000&amp;JupData!$J$2:$J$10000,0),11))</f>
        <v/>
      </c>
      <c r="T757" t="str">
        <f t="array" ref="T757">IF($A757="","",INDEX(JupData!$A$2:$K$10000,MATCH($A757&amp;T$1,JupData!$A$2:$A$10000&amp;JupData!$J$2:$J$10000,0),11))</f>
        <v/>
      </c>
      <c r="U757" t="str">
        <f t="array" ref="U757">IF($A757="","",INDEX(JupData!$A$2:$K$10000,MATCH($A757&amp;U$1,JupData!$A$2:$A$10000&amp;JupData!$J$2:$J$10000,0),11))</f>
        <v/>
      </c>
      <c r="V757" t="str">
        <f t="array" ref="V757">IF($A757="","",INDEX(JupData!$A$2:$K$10000,MATCH($A757&amp;V$1,JupData!$A$2:$A$10000&amp;JupData!$J$2:$J$10000,0),11))</f>
        <v/>
      </c>
      <c r="W757" t="str">
        <f t="array" ref="W757">IF($A757="","",INDEX(JupData!$A$2:$K$10000,MATCH($A757&amp;W$1,JupData!$A$2:$A$10000&amp;JupData!$J$2:$J$10000,0),11))</f>
        <v/>
      </c>
      <c r="X757" t="str">
        <f t="array" ref="X757">IF($A757="","",INDEX(JupData!$A$2:$K$10000,MATCH($A757&amp;X$1,JupData!$A$2:$A$10000&amp;JupData!$J$2:$J$10000,0),11))</f>
        <v/>
      </c>
      <c r="Y757" t="str">
        <f t="array" ref="Y757">IF($A757="","",INDEX(JupData!$A$2:$K$10000,MATCH($A757&amp;Y$1,JupData!$A$2:$A$10000&amp;JupData!$J$2:$J$10000,0),11))</f>
        <v/>
      </c>
      <c r="Z757" t="str">
        <f t="array" ref="Z757">IF($A757="","",INDEX(JupData!$A$2:$K$10000,MATCH($A757&amp;Z$1,JupData!$A$2:$A$10000&amp;JupData!$J$2:$J$10000,0),11))</f>
        <v/>
      </c>
      <c r="AA757" t="str">
        <f t="array" ref="AA757">IF($A757="","",INDEX(JupData!$A$2:$K$10000,MATCH($A757&amp;AA$1,JupData!$A$2:$A$10000&amp;JupData!$J$2:$J$10000,0),11))</f>
        <v/>
      </c>
      <c r="AB757" t="str">
        <f t="array" ref="AB757">IF($A757="","",INDEX(JupData!$A$2:$K$10000,MATCH($A757&amp;AB$1,JupData!$A$2:$A$10000&amp;JupData!$J$2:$J$10000,0),11))</f>
        <v/>
      </c>
      <c r="AC757" s="10" t="str">
        <f t="shared" si="121"/>
        <v/>
      </c>
      <c r="AD757" s="10" t="str">
        <f t="shared" si="122"/>
        <v/>
      </c>
      <c r="AE757" s="9" t="str">
        <f t="shared" si="123"/>
        <v/>
      </c>
      <c r="AF757" s="10" t="str">
        <f t="shared" si="124"/>
        <v/>
      </c>
      <c r="AG757" s="10" t="str">
        <f t="shared" si="125"/>
        <v/>
      </c>
      <c r="AH757" s="10" t="str">
        <f t="shared" si="126"/>
        <v/>
      </c>
      <c r="AI757" s="10" t="str">
        <f t="shared" si="127"/>
        <v/>
      </c>
      <c r="AJ757" s="10" t="str">
        <f t="shared" si="128"/>
        <v/>
      </c>
      <c r="AK757" s="10" t="str">
        <f t="shared" si="129"/>
        <v/>
      </c>
      <c r="AL757" s="14" t="str">
        <f t="shared" si="130"/>
        <v/>
      </c>
    </row>
    <row r="758" spans="1:38" x14ac:dyDescent="0.2">
      <c r="A758"/>
      <c r="B758" t="str">
        <f>IF($A758="","",VLOOKUP($A758,JupData!$A$2:$I$10000,4,FALSE))</f>
        <v/>
      </c>
      <c r="C758" s="7" t="str">
        <f>IF($A758="",IF(N(D758),0,""),VLOOKUP($A758,JupData!$A$2:$I$10000,7,FALSE))</f>
        <v/>
      </c>
      <c r="D758" t="str">
        <f t="shared" si="131"/>
        <v/>
      </c>
      <c r="E758" t="str">
        <f t="array" ref="E758">IF($A758="","",INDEX(JupData!$A$2:$K$10000,MATCH($A758&amp;E$1,JupData!$A$2:$A$10000&amp;JupData!$J$2:$J$10000,0),11))</f>
        <v/>
      </c>
      <c r="F758" t="str">
        <f t="array" ref="F758">IF($A758="","",INDEX(JupData!$A$2:$K$10000,MATCH($A758&amp;F$1,JupData!$A$2:$A$10000&amp;JupData!$J$2:$J$10000,0),11))</f>
        <v/>
      </c>
      <c r="G758" t="str">
        <f t="array" ref="G758">IF($A758="","",INDEX(JupData!$A$2:$K$10000,MATCH($A758&amp;G$1,JupData!$A$2:$A$10000&amp;JupData!$J$2:$J$10000,0),11))</f>
        <v/>
      </c>
      <c r="H758" t="str">
        <f t="array" ref="H758">IF($A758="","",INDEX(JupData!$A$2:$K$10000,MATCH($A758&amp;H$1,JupData!$A$2:$A$10000&amp;JupData!$J$2:$J$10000,0),11))</f>
        <v/>
      </c>
      <c r="I758" t="str">
        <f t="array" ref="I758">IF($A758="","",INDEX(JupData!$A$2:$K$10000,MATCH($A758&amp;I$1,JupData!$A$2:$A$10000&amp;JupData!$J$2:$J$10000,0),11))</f>
        <v/>
      </c>
      <c r="J758" t="str">
        <f t="array" ref="J758">IF($A758="","",INDEX(JupData!$A$2:$K$10000,MATCH($A758&amp;J$1,JupData!$A$2:$A$10000&amp;JupData!$J$2:$J$10000,0),11))</f>
        <v/>
      </c>
      <c r="K758" t="str">
        <f t="array" ref="K758">IF($A758="","",INDEX(JupData!$A$2:$K$10000,MATCH($A758&amp;K$1,JupData!$A$2:$A$10000&amp;JupData!$J$2:$J$10000,0),11))</f>
        <v/>
      </c>
      <c r="L758" t="str">
        <f t="array" ref="L758">IF($A758="","",INDEX(JupData!$A$2:$K$10000,MATCH($A758&amp;L$1,JupData!$A$2:$A$10000&amp;JupData!$J$2:$J$10000,0),11))</f>
        <v/>
      </c>
      <c r="M758" t="str">
        <f t="array" ref="M758">IF($A758="","",INDEX(JupData!$A$2:$K$10000,MATCH($A758&amp;M$1,JupData!$A$2:$A$10000&amp;JupData!$J$2:$J$10000,0),11))</f>
        <v/>
      </c>
      <c r="N758" t="str">
        <f t="array" ref="N758">IF($A758="","",INDEX(JupData!$A$2:$K$10000,MATCH($A758&amp;N$1,JupData!$A$2:$A$10000&amp;JupData!$J$2:$J$10000,0),11))</f>
        <v/>
      </c>
      <c r="O758" t="str">
        <f t="array" ref="O758">IF($A758="","",INDEX(JupData!$A$2:$K$10000,MATCH($A758&amp;O$1,JupData!$A$2:$A$10000&amp;JupData!$J$2:$J$10000,0),11))</f>
        <v/>
      </c>
      <c r="P758" t="str">
        <f t="array" ref="P758">IF($A758="","",INDEX(JupData!$A$2:$K$10000,MATCH($A758&amp;P$1,JupData!$A$2:$A$10000&amp;JupData!$J$2:$J$10000,0),11))</f>
        <v/>
      </c>
      <c r="Q758" t="str">
        <f t="array" ref="Q758">IF($A758="","",INDEX(JupData!$A$2:$K$10000,MATCH($A758&amp;Q$1,JupData!$A$2:$A$10000&amp;JupData!$J$2:$J$10000,0),11))</f>
        <v/>
      </c>
      <c r="R758" t="str">
        <f t="array" ref="R758">IF($A758="","",INDEX(JupData!$A$2:$K$10000,MATCH($A758&amp;R$1,JupData!$A$2:$A$10000&amp;JupData!$J$2:$J$10000,0),11))</f>
        <v/>
      </c>
      <c r="S758" t="str">
        <f t="array" ref="S758">IF($A758="","",INDEX(JupData!$A$2:$K$10000,MATCH($A758&amp;S$1,JupData!$A$2:$A$10000&amp;JupData!$J$2:$J$10000,0),11))</f>
        <v/>
      </c>
      <c r="T758" t="str">
        <f t="array" ref="T758">IF($A758="","",INDEX(JupData!$A$2:$K$10000,MATCH($A758&amp;T$1,JupData!$A$2:$A$10000&amp;JupData!$J$2:$J$10000,0),11))</f>
        <v/>
      </c>
      <c r="U758" t="str">
        <f t="array" ref="U758">IF($A758="","",INDEX(JupData!$A$2:$K$10000,MATCH($A758&amp;U$1,JupData!$A$2:$A$10000&amp;JupData!$J$2:$J$10000,0),11))</f>
        <v/>
      </c>
      <c r="V758" t="str">
        <f t="array" ref="V758">IF($A758="","",INDEX(JupData!$A$2:$K$10000,MATCH($A758&amp;V$1,JupData!$A$2:$A$10000&amp;JupData!$J$2:$J$10000,0),11))</f>
        <v/>
      </c>
      <c r="W758" t="str">
        <f t="array" ref="W758">IF($A758="","",INDEX(JupData!$A$2:$K$10000,MATCH($A758&amp;W$1,JupData!$A$2:$A$10000&amp;JupData!$J$2:$J$10000,0),11))</f>
        <v/>
      </c>
      <c r="X758" t="str">
        <f t="array" ref="X758">IF($A758="","",INDEX(JupData!$A$2:$K$10000,MATCH($A758&amp;X$1,JupData!$A$2:$A$10000&amp;JupData!$J$2:$J$10000,0),11))</f>
        <v/>
      </c>
      <c r="Y758" t="str">
        <f t="array" ref="Y758">IF($A758="","",INDEX(JupData!$A$2:$K$10000,MATCH($A758&amp;Y$1,JupData!$A$2:$A$10000&amp;JupData!$J$2:$J$10000,0),11))</f>
        <v/>
      </c>
      <c r="Z758" t="str">
        <f t="array" ref="Z758">IF($A758="","",INDEX(JupData!$A$2:$K$10000,MATCH($A758&amp;Z$1,JupData!$A$2:$A$10000&amp;JupData!$J$2:$J$10000,0),11))</f>
        <v/>
      </c>
      <c r="AA758" t="str">
        <f t="array" ref="AA758">IF($A758="","",INDEX(JupData!$A$2:$K$10000,MATCH($A758&amp;AA$1,JupData!$A$2:$A$10000&amp;JupData!$J$2:$J$10000,0),11))</f>
        <v/>
      </c>
      <c r="AB758" t="str">
        <f t="array" ref="AB758">IF($A758="","",INDEX(JupData!$A$2:$K$10000,MATCH($A758&amp;AB$1,JupData!$A$2:$A$10000&amp;JupData!$J$2:$J$10000,0),11))</f>
        <v/>
      </c>
      <c r="AC758" s="10" t="str">
        <f t="shared" si="121"/>
        <v/>
      </c>
      <c r="AD758" s="10" t="str">
        <f t="shared" si="122"/>
        <v/>
      </c>
      <c r="AE758" s="9" t="str">
        <f t="shared" si="123"/>
        <v/>
      </c>
      <c r="AF758" s="10" t="str">
        <f t="shared" si="124"/>
        <v/>
      </c>
      <c r="AG758" s="10" t="str">
        <f t="shared" si="125"/>
        <v/>
      </c>
      <c r="AH758" s="10" t="str">
        <f t="shared" si="126"/>
        <v/>
      </c>
      <c r="AI758" s="10" t="str">
        <f t="shared" si="127"/>
        <v/>
      </c>
      <c r="AJ758" s="10" t="str">
        <f t="shared" si="128"/>
        <v/>
      </c>
      <c r="AK758" s="10" t="str">
        <f t="shared" si="129"/>
        <v/>
      </c>
      <c r="AL758" s="14" t="str">
        <f t="shared" si="130"/>
        <v/>
      </c>
    </row>
    <row r="759" spans="1:38" x14ac:dyDescent="0.2">
      <c r="A759"/>
      <c r="B759" t="str">
        <f>IF($A759="","",VLOOKUP($A759,JupData!$A$2:$I$10000,4,FALSE))</f>
        <v/>
      </c>
      <c r="C759" s="7" t="str">
        <f>IF($A759="",IF(N(D759),0,""),VLOOKUP($A759,JupData!$A$2:$I$10000,7,FALSE))</f>
        <v/>
      </c>
      <c r="D759" t="str">
        <f t="shared" si="131"/>
        <v/>
      </c>
      <c r="E759" t="str">
        <f t="array" ref="E759">IF($A759="","",INDEX(JupData!$A$2:$K$10000,MATCH($A759&amp;E$1,JupData!$A$2:$A$10000&amp;JupData!$J$2:$J$10000,0),11))</f>
        <v/>
      </c>
      <c r="F759" t="str">
        <f t="array" ref="F759">IF($A759="","",INDEX(JupData!$A$2:$K$10000,MATCH($A759&amp;F$1,JupData!$A$2:$A$10000&amp;JupData!$J$2:$J$10000,0),11))</f>
        <v/>
      </c>
      <c r="G759" t="str">
        <f t="array" ref="G759">IF($A759="","",INDEX(JupData!$A$2:$K$10000,MATCH($A759&amp;G$1,JupData!$A$2:$A$10000&amp;JupData!$J$2:$J$10000,0),11))</f>
        <v/>
      </c>
      <c r="H759" t="str">
        <f t="array" ref="H759">IF($A759="","",INDEX(JupData!$A$2:$K$10000,MATCH($A759&amp;H$1,JupData!$A$2:$A$10000&amp;JupData!$J$2:$J$10000,0),11))</f>
        <v/>
      </c>
      <c r="I759" t="str">
        <f t="array" ref="I759">IF($A759="","",INDEX(JupData!$A$2:$K$10000,MATCH($A759&amp;I$1,JupData!$A$2:$A$10000&amp;JupData!$J$2:$J$10000,0),11))</f>
        <v/>
      </c>
      <c r="J759" t="str">
        <f t="array" ref="J759">IF($A759="","",INDEX(JupData!$A$2:$K$10000,MATCH($A759&amp;J$1,JupData!$A$2:$A$10000&amp;JupData!$J$2:$J$10000,0),11))</f>
        <v/>
      </c>
      <c r="K759" t="str">
        <f t="array" ref="K759">IF($A759="","",INDEX(JupData!$A$2:$K$10000,MATCH($A759&amp;K$1,JupData!$A$2:$A$10000&amp;JupData!$J$2:$J$10000,0),11))</f>
        <v/>
      </c>
      <c r="L759" t="str">
        <f t="array" ref="L759">IF($A759="","",INDEX(JupData!$A$2:$K$10000,MATCH($A759&amp;L$1,JupData!$A$2:$A$10000&amp;JupData!$J$2:$J$10000,0),11))</f>
        <v/>
      </c>
      <c r="M759" t="str">
        <f t="array" ref="M759">IF($A759="","",INDEX(JupData!$A$2:$K$10000,MATCH($A759&amp;M$1,JupData!$A$2:$A$10000&amp;JupData!$J$2:$J$10000,0),11))</f>
        <v/>
      </c>
      <c r="N759" t="str">
        <f t="array" ref="N759">IF($A759="","",INDEX(JupData!$A$2:$K$10000,MATCH($A759&amp;N$1,JupData!$A$2:$A$10000&amp;JupData!$J$2:$J$10000,0),11))</f>
        <v/>
      </c>
      <c r="O759" t="str">
        <f t="array" ref="O759">IF($A759="","",INDEX(JupData!$A$2:$K$10000,MATCH($A759&amp;O$1,JupData!$A$2:$A$10000&amp;JupData!$J$2:$J$10000,0),11))</f>
        <v/>
      </c>
      <c r="P759" t="str">
        <f t="array" ref="P759">IF($A759="","",INDEX(JupData!$A$2:$K$10000,MATCH($A759&amp;P$1,JupData!$A$2:$A$10000&amp;JupData!$J$2:$J$10000,0),11))</f>
        <v/>
      </c>
      <c r="Q759" t="str">
        <f t="array" ref="Q759">IF($A759="","",INDEX(JupData!$A$2:$K$10000,MATCH($A759&amp;Q$1,JupData!$A$2:$A$10000&amp;JupData!$J$2:$J$10000,0),11))</f>
        <v/>
      </c>
      <c r="R759" t="str">
        <f t="array" ref="R759">IF($A759="","",INDEX(JupData!$A$2:$K$10000,MATCH($A759&amp;R$1,JupData!$A$2:$A$10000&amp;JupData!$J$2:$J$10000,0),11))</f>
        <v/>
      </c>
      <c r="S759" t="str">
        <f t="array" ref="S759">IF($A759="","",INDEX(JupData!$A$2:$K$10000,MATCH($A759&amp;S$1,JupData!$A$2:$A$10000&amp;JupData!$J$2:$J$10000,0),11))</f>
        <v/>
      </c>
      <c r="T759" t="str">
        <f t="array" ref="T759">IF($A759="","",INDEX(JupData!$A$2:$K$10000,MATCH($A759&amp;T$1,JupData!$A$2:$A$10000&amp;JupData!$J$2:$J$10000,0),11))</f>
        <v/>
      </c>
      <c r="U759" t="str">
        <f t="array" ref="U759">IF($A759="","",INDEX(JupData!$A$2:$K$10000,MATCH($A759&amp;U$1,JupData!$A$2:$A$10000&amp;JupData!$J$2:$J$10000,0),11))</f>
        <v/>
      </c>
      <c r="V759" t="str">
        <f t="array" ref="V759">IF($A759="","",INDEX(JupData!$A$2:$K$10000,MATCH($A759&amp;V$1,JupData!$A$2:$A$10000&amp;JupData!$J$2:$J$10000,0),11))</f>
        <v/>
      </c>
      <c r="W759" t="str">
        <f t="array" ref="W759">IF($A759="","",INDEX(JupData!$A$2:$K$10000,MATCH($A759&amp;W$1,JupData!$A$2:$A$10000&amp;JupData!$J$2:$J$10000,0),11))</f>
        <v/>
      </c>
      <c r="X759" t="str">
        <f t="array" ref="X759">IF($A759="","",INDEX(JupData!$A$2:$K$10000,MATCH($A759&amp;X$1,JupData!$A$2:$A$10000&amp;JupData!$J$2:$J$10000,0),11))</f>
        <v/>
      </c>
      <c r="Y759" t="str">
        <f t="array" ref="Y759">IF($A759="","",INDEX(JupData!$A$2:$K$10000,MATCH($A759&amp;Y$1,JupData!$A$2:$A$10000&amp;JupData!$J$2:$J$10000,0),11))</f>
        <v/>
      </c>
      <c r="Z759" t="str">
        <f t="array" ref="Z759">IF($A759="","",INDEX(JupData!$A$2:$K$10000,MATCH($A759&amp;Z$1,JupData!$A$2:$A$10000&amp;JupData!$J$2:$J$10000,0),11))</f>
        <v/>
      </c>
      <c r="AA759" t="str">
        <f t="array" ref="AA759">IF($A759="","",INDEX(JupData!$A$2:$K$10000,MATCH($A759&amp;AA$1,JupData!$A$2:$A$10000&amp;JupData!$J$2:$J$10000,0),11))</f>
        <v/>
      </c>
      <c r="AB759" t="str">
        <f t="array" ref="AB759">IF($A759="","",INDEX(JupData!$A$2:$K$10000,MATCH($A759&amp;AB$1,JupData!$A$2:$A$10000&amp;JupData!$J$2:$J$10000,0),11))</f>
        <v/>
      </c>
      <c r="AC759" s="10" t="str">
        <f t="shared" si="121"/>
        <v/>
      </c>
      <c r="AD759" s="10" t="str">
        <f t="shared" si="122"/>
        <v/>
      </c>
      <c r="AE759" s="9" t="str">
        <f t="shared" si="123"/>
        <v/>
      </c>
      <c r="AF759" s="10" t="str">
        <f t="shared" si="124"/>
        <v/>
      </c>
      <c r="AG759" s="10" t="str">
        <f t="shared" si="125"/>
        <v/>
      </c>
      <c r="AH759" s="10" t="str">
        <f t="shared" si="126"/>
        <v/>
      </c>
      <c r="AI759" s="10" t="str">
        <f t="shared" si="127"/>
        <v/>
      </c>
      <c r="AJ759" s="10" t="str">
        <f t="shared" si="128"/>
        <v/>
      </c>
      <c r="AK759" s="10" t="str">
        <f t="shared" si="129"/>
        <v/>
      </c>
      <c r="AL759" s="14" t="str">
        <f t="shared" si="130"/>
        <v/>
      </c>
    </row>
    <row r="760" spans="1:38" x14ac:dyDescent="0.2">
      <c r="A760"/>
      <c r="B760" t="str">
        <f>IF($A760="","",VLOOKUP($A760,JupData!$A$2:$I$10000,4,FALSE))</f>
        <v/>
      </c>
      <c r="C760" s="7" t="str">
        <f>IF($A760="",IF(N(D760),0,""),VLOOKUP($A760,JupData!$A$2:$I$10000,7,FALSE))</f>
        <v/>
      </c>
      <c r="D760" t="str">
        <f t="shared" si="131"/>
        <v/>
      </c>
      <c r="E760" t="str">
        <f t="array" ref="E760">IF($A760="","",INDEX(JupData!$A$2:$K$10000,MATCH($A760&amp;E$1,JupData!$A$2:$A$10000&amp;JupData!$J$2:$J$10000,0),11))</f>
        <v/>
      </c>
      <c r="F760" t="str">
        <f t="array" ref="F760">IF($A760="","",INDEX(JupData!$A$2:$K$10000,MATCH($A760&amp;F$1,JupData!$A$2:$A$10000&amp;JupData!$J$2:$J$10000,0),11))</f>
        <v/>
      </c>
      <c r="G760" t="str">
        <f t="array" ref="G760">IF($A760="","",INDEX(JupData!$A$2:$K$10000,MATCH($A760&amp;G$1,JupData!$A$2:$A$10000&amp;JupData!$J$2:$J$10000,0),11))</f>
        <v/>
      </c>
      <c r="H760" t="str">
        <f t="array" ref="H760">IF($A760="","",INDEX(JupData!$A$2:$K$10000,MATCH($A760&amp;H$1,JupData!$A$2:$A$10000&amp;JupData!$J$2:$J$10000,0),11))</f>
        <v/>
      </c>
      <c r="I760" t="str">
        <f t="array" ref="I760">IF($A760="","",INDEX(JupData!$A$2:$K$10000,MATCH($A760&amp;I$1,JupData!$A$2:$A$10000&amp;JupData!$J$2:$J$10000,0),11))</f>
        <v/>
      </c>
      <c r="J760" t="str">
        <f t="array" ref="J760">IF($A760="","",INDEX(JupData!$A$2:$K$10000,MATCH($A760&amp;J$1,JupData!$A$2:$A$10000&amp;JupData!$J$2:$J$10000,0),11))</f>
        <v/>
      </c>
      <c r="K760" t="str">
        <f t="array" ref="K760">IF($A760="","",INDEX(JupData!$A$2:$K$10000,MATCH($A760&amp;K$1,JupData!$A$2:$A$10000&amp;JupData!$J$2:$J$10000,0),11))</f>
        <v/>
      </c>
      <c r="L760" t="str">
        <f t="array" ref="L760">IF($A760="","",INDEX(JupData!$A$2:$K$10000,MATCH($A760&amp;L$1,JupData!$A$2:$A$10000&amp;JupData!$J$2:$J$10000,0),11))</f>
        <v/>
      </c>
      <c r="M760" t="str">
        <f t="array" ref="M760">IF($A760="","",INDEX(JupData!$A$2:$K$10000,MATCH($A760&amp;M$1,JupData!$A$2:$A$10000&amp;JupData!$J$2:$J$10000,0),11))</f>
        <v/>
      </c>
      <c r="N760" t="str">
        <f t="array" ref="N760">IF($A760="","",INDEX(JupData!$A$2:$K$10000,MATCH($A760&amp;N$1,JupData!$A$2:$A$10000&amp;JupData!$J$2:$J$10000,0),11))</f>
        <v/>
      </c>
      <c r="O760" t="str">
        <f t="array" ref="O760">IF($A760="","",INDEX(JupData!$A$2:$K$10000,MATCH($A760&amp;O$1,JupData!$A$2:$A$10000&amp;JupData!$J$2:$J$10000,0),11))</f>
        <v/>
      </c>
      <c r="P760" t="str">
        <f t="array" ref="P760">IF($A760="","",INDEX(JupData!$A$2:$K$10000,MATCH($A760&amp;P$1,JupData!$A$2:$A$10000&amp;JupData!$J$2:$J$10000,0),11))</f>
        <v/>
      </c>
      <c r="Q760" t="str">
        <f t="array" ref="Q760">IF($A760="","",INDEX(JupData!$A$2:$K$10000,MATCH($A760&amp;Q$1,JupData!$A$2:$A$10000&amp;JupData!$J$2:$J$10000,0),11))</f>
        <v/>
      </c>
      <c r="R760" t="str">
        <f t="array" ref="R760">IF($A760="","",INDEX(JupData!$A$2:$K$10000,MATCH($A760&amp;R$1,JupData!$A$2:$A$10000&amp;JupData!$J$2:$J$10000,0),11))</f>
        <v/>
      </c>
      <c r="S760" t="str">
        <f t="array" ref="S760">IF($A760="","",INDEX(JupData!$A$2:$K$10000,MATCH($A760&amp;S$1,JupData!$A$2:$A$10000&amp;JupData!$J$2:$J$10000,0),11))</f>
        <v/>
      </c>
      <c r="T760" t="str">
        <f t="array" ref="T760">IF($A760="","",INDEX(JupData!$A$2:$K$10000,MATCH($A760&amp;T$1,JupData!$A$2:$A$10000&amp;JupData!$J$2:$J$10000,0),11))</f>
        <v/>
      </c>
      <c r="U760" t="str">
        <f t="array" ref="U760">IF($A760="","",INDEX(JupData!$A$2:$K$10000,MATCH($A760&amp;U$1,JupData!$A$2:$A$10000&amp;JupData!$J$2:$J$10000,0),11))</f>
        <v/>
      </c>
      <c r="V760" t="str">
        <f t="array" ref="V760">IF($A760="","",INDEX(JupData!$A$2:$K$10000,MATCH($A760&amp;V$1,JupData!$A$2:$A$10000&amp;JupData!$J$2:$J$10000,0),11))</f>
        <v/>
      </c>
      <c r="W760" t="str">
        <f t="array" ref="W760">IF($A760="","",INDEX(JupData!$A$2:$K$10000,MATCH($A760&amp;W$1,JupData!$A$2:$A$10000&amp;JupData!$J$2:$J$10000,0),11))</f>
        <v/>
      </c>
      <c r="X760" t="str">
        <f t="array" ref="X760">IF($A760="","",INDEX(JupData!$A$2:$K$10000,MATCH($A760&amp;X$1,JupData!$A$2:$A$10000&amp;JupData!$J$2:$J$10000,0),11))</f>
        <v/>
      </c>
      <c r="Y760" t="str">
        <f t="array" ref="Y760">IF($A760="","",INDEX(JupData!$A$2:$K$10000,MATCH($A760&amp;Y$1,JupData!$A$2:$A$10000&amp;JupData!$J$2:$J$10000,0),11))</f>
        <v/>
      </c>
      <c r="Z760" t="str">
        <f t="array" ref="Z760">IF($A760="","",INDEX(JupData!$A$2:$K$10000,MATCH($A760&amp;Z$1,JupData!$A$2:$A$10000&amp;JupData!$J$2:$J$10000,0),11))</f>
        <v/>
      </c>
      <c r="AA760" t="str">
        <f t="array" ref="AA760">IF($A760="","",INDEX(JupData!$A$2:$K$10000,MATCH($A760&amp;AA$1,JupData!$A$2:$A$10000&amp;JupData!$J$2:$J$10000,0),11))</f>
        <v/>
      </c>
      <c r="AB760" t="str">
        <f t="array" ref="AB760">IF($A760="","",INDEX(JupData!$A$2:$K$10000,MATCH($A760&amp;AB$1,JupData!$A$2:$A$10000&amp;JupData!$J$2:$J$10000,0),11))</f>
        <v/>
      </c>
      <c r="AC760" s="10" t="str">
        <f t="shared" si="121"/>
        <v/>
      </c>
      <c r="AD760" s="10" t="str">
        <f t="shared" si="122"/>
        <v/>
      </c>
      <c r="AE760" s="9" t="str">
        <f t="shared" si="123"/>
        <v/>
      </c>
      <c r="AF760" s="10" t="str">
        <f t="shared" si="124"/>
        <v/>
      </c>
      <c r="AG760" s="10" t="str">
        <f t="shared" si="125"/>
        <v/>
      </c>
      <c r="AH760" s="10" t="str">
        <f t="shared" si="126"/>
        <v/>
      </c>
      <c r="AI760" s="10" t="str">
        <f t="shared" si="127"/>
        <v/>
      </c>
      <c r="AJ760" s="10" t="str">
        <f t="shared" si="128"/>
        <v/>
      </c>
      <c r="AK760" s="10" t="str">
        <f t="shared" si="129"/>
        <v/>
      </c>
      <c r="AL760" s="14" t="str">
        <f t="shared" si="130"/>
        <v/>
      </c>
    </row>
    <row r="761" spans="1:38" x14ac:dyDescent="0.2">
      <c r="A761"/>
      <c r="B761" t="str">
        <f>IF($A761="","",VLOOKUP($A761,JupData!$A$2:$I$10000,4,FALSE))</f>
        <v/>
      </c>
      <c r="C761" s="7" t="str">
        <f>IF($A761="",IF(N(D761),0,""),VLOOKUP($A761,JupData!$A$2:$I$10000,7,FALSE))</f>
        <v/>
      </c>
      <c r="D761" t="str">
        <f t="shared" si="131"/>
        <v/>
      </c>
      <c r="E761" t="str">
        <f t="array" ref="E761">IF($A761="","",INDEX(JupData!$A$2:$K$10000,MATCH($A761&amp;E$1,JupData!$A$2:$A$10000&amp;JupData!$J$2:$J$10000,0),11))</f>
        <v/>
      </c>
      <c r="F761" t="str">
        <f t="array" ref="F761">IF($A761="","",INDEX(JupData!$A$2:$K$10000,MATCH($A761&amp;F$1,JupData!$A$2:$A$10000&amp;JupData!$J$2:$J$10000,0),11))</f>
        <v/>
      </c>
      <c r="G761" t="str">
        <f t="array" ref="G761">IF($A761="","",INDEX(JupData!$A$2:$K$10000,MATCH($A761&amp;G$1,JupData!$A$2:$A$10000&amp;JupData!$J$2:$J$10000,0),11))</f>
        <v/>
      </c>
      <c r="H761" t="str">
        <f t="array" ref="H761">IF($A761="","",INDEX(JupData!$A$2:$K$10000,MATCH($A761&amp;H$1,JupData!$A$2:$A$10000&amp;JupData!$J$2:$J$10000,0),11))</f>
        <v/>
      </c>
      <c r="I761" t="str">
        <f t="array" ref="I761">IF($A761="","",INDEX(JupData!$A$2:$K$10000,MATCH($A761&amp;I$1,JupData!$A$2:$A$10000&amp;JupData!$J$2:$J$10000,0),11))</f>
        <v/>
      </c>
      <c r="J761" t="str">
        <f t="array" ref="J761">IF($A761="","",INDEX(JupData!$A$2:$K$10000,MATCH($A761&amp;J$1,JupData!$A$2:$A$10000&amp;JupData!$J$2:$J$10000,0),11))</f>
        <v/>
      </c>
      <c r="K761" t="str">
        <f t="array" ref="K761">IF($A761="","",INDEX(JupData!$A$2:$K$10000,MATCH($A761&amp;K$1,JupData!$A$2:$A$10000&amp;JupData!$J$2:$J$10000,0),11))</f>
        <v/>
      </c>
      <c r="L761" t="str">
        <f t="array" ref="L761">IF($A761="","",INDEX(JupData!$A$2:$K$10000,MATCH($A761&amp;L$1,JupData!$A$2:$A$10000&amp;JupData!$J$2:$J$10000,0),11))</f>
        <v/>
      </c>
      <c r="M761" t="str">
        <f t="array" ref="M761">IF($A761="","",INDEX(JupData!$A$2:$K$10000,MATCH($A761&amp;M$1,JupData!$A$2:$A$10000&amp;JupData!$J$2:$J$10000,0),11))</f>
        <v/>
      </c>
      <c r="N761" t="str">
        <f t="array" ref="N761">IF($A761="","",INDEX(JupData!$A$2:$K$10000,MATCH($A761&amp;N$1,JupData!$A$2:$A$10000&amp;JupData!$J$2:$J$10000,0),11))</f>
        <v/>
      </c>
      <c r="O761" t="str">
        <f t="array" ref="O761">IF($A761="","",INDEX(JupData!$A$2:$K$10000,MATCH($A761&amp;O$1,JupData!$A$2:$A$10000&amp;JupData!$J$2:$J$10000,0),11))</f>
        <v/>
      </c>
      <c r="P761" t="str">
        <f t="array" ref="P761">IF($A761="","",INDEX(JupData!$A$2:$K$10000,MATCH($A761&amp;P$1,JupData!$A$2:$A$10000&amp;JupData!$J$2:$J$10000,0),11))</f>
        <v/>
      </c>
      <c r="Q761" t="str">
        <f t="array" ref="Q761">IF($A761="","",INDEX(JupData!$A$2:$K$10000,MATCH($A761&amp;Q$1,JupData!$A$2:$A$10000&amp;JupData!$J$2:$J$10000,0),11))</f>
        <v/>
      </c>
      <c r="R761" t="str">
        <f t="array" ref="R761">IF($A761="","",INDEX(JupData!$A$2:$K$10000,MATCH($A761&amp;R$1,JupData!$A$2:$A$10000&amp;JupData!$J$2:$J$10000,0),11))</f>
        <v/>
      </c>
      <c r="S761" t="str">
        <f t="array" ref="S761">IF($A761="","",INDEX(JupData!$A$2:$K$10000,MATCH($A761&amp;S$1,JupData!$A$2:$A$10000&amp;JupData!$J$2:$J$10000,0),11))</f>
        <v/>
      </c>
      <c r="T761" t="str">
        <f t="array" ref="T761">IF($A761="","",INDEX(JupData!$A$2:$K$10000,MATCH($A761&amp;T$1,JupData!$A$2:$A$10000&amp;JupData!$J$2:$J$10000,0),11))</f>
        <v/>
      </c>
      <c r="U761" t="str">
        <f t="array" ref="U761">IF($A761="","",INDEX(JupData!$A$2:$K$10000,MATCH($A761&amp;U$1,JupData!$A$2:$A$10000&amp;JupData!$J$2:$J$10000,0),11))</f>
        <v/>
      </c>
      <c r="V761" t="str">
        <f t="array" ref="V761">IF($A761="","",INDEX(JupData!$A$2:$K$10000,MATCH($A761&amp;V$1,JupData!$A$2:$A$10000&amp;JupData!$J$2:$J$10000,0),11))</f>
        <v/>
      </c>
      <c r="W761" t="str">
        <f t="array" ref="W761">IF($A761="","",INDEX(JupData!$A$2:$K$10000,MATCH($A761&amp;W$1,JupData!$A$2:$A$10000&amp;JupData!$J$2:$J$10000,0),11))</f>
        <v/>
      </c>
      <c r="X761" t="str">
        <f t="array" ref="X761">IF($A761="","",INDEX(JupData!$A$2:$K$10000,MATCH($A761&amp;X$1,JupData!$A$2:$A$10000&amp;JupData!$J$2:$J$10000,0),11))</f>
        <v/>
      </c>
      <c r="Y761" t="str">
        <f t="array" ref="Y761">IF($A761="","",INDEX(JupData!$A$2:$K$10000,MATCH($A761&amp;Y$1,JupData!$A$2:$A$10000&amp;JupData!$J$2:$J$10000,0),11))</f>
        <v/>
      </c>
      <c r="Z761" t="str">
        <f t="array" ref="Z761">IF($A761="","",INDEX(JupData!$A$2:$K$10000,MATCH($A761&amp;Z$1,JupData!$A$2:$A$10000&amp;JupData!$J$2:$J$10000,0),11))</f>
        <v/>
      </c>
      <c r="AA761" t="str">
        <f t="array" ref="AA761">IF($A761="","",INDEX(JupData!$A$2:$K$10000,MATCH($A761&amp;AA$1,JupData!$A$2:$A$10000&amp;JupData!$J$2:$J$10000,0),11))</f>
        <v/>
      </c>
      <c r="AB761" t="str">
        <f t="array" ref="AB761">IF($A761="","",INDEX(JupData!$A$2:$K$10000,MATCH($A761&amp;AB$1,JupData!$A$2:$A$10000&amp;JupData!$J$2:$J$10000,0),11))</f>
        <v/>
      </c>
      <c r="AC761" s="10" t="str">
        <f t="shared" si="121"/>
        <v/>
      </c>
      <c r="AD761" s="10" t="str">
        <f t="shared" si="122"/>
        <v/>
      </c>
      <c r="AE761" s="9" t="str">
        <f t="shared" si="123"/>
        <v/>
      </c>
      <c r="AF761" s="10" t="str">
        <f t="shared" si="124"/>
        <v/>
      </c>
      <c r="AG761" s="10" t="str">
        <f t="shared" si="125"/>
        <v/>
      </c>
      <c r="AH761" s="10" t="str">
        <f t="shared" si="126"/>
        <v/>
      </c>
      <c r="AI761" s="10" t="str">
        <f t="shared" si="127"/>
        <v/>
      </c>
      <c r="AJ761" s="10" t="str">
        <f t="shared" si="128"/>
        <v/>
      </c>
      <c r="AK761" s="10" t="str">
        <f t="shared" si="129"/>
        <v/>
      </c>
      <c r="AL761" s="14" t="str">
        <f t="shared" si="130"/>
        <v/>
      </c>
    </row>
    <row r="762" spans="1:38" x14ac:dyDescent="0.2">
      <c r="A762"/>
      <c r="B762" t="str">
        <f>IF($A762="","",VLOOKUP($A762,JupData!$A$2:$I$10000,4,FALSE))</f>
        <v/>
      </c>
      <c r="C762" s="7" t="str">
        <f>IF($A762="",IF(N(D762),0,""),VLOOKUP($A762,JupData!$A$2:$I$10000,7,FALSE))</f>
        <v/>
      </c>
      <c r="D762" t="str">
        <f t="shared" si="131"/>
        <v/>
      </c>
      <c r="E762" t="str">
        <f t="array" ref="E762">IF($A762="","",INDEX(JupData!$A$2:$K$10000,MATCH($A762&amp;E$1,JupData!$A$2:$A$10000&amp;JupData!$J$2:$J$10000,0),11))</f>
        <v/>
      </c>
      <c r="F762" t="str">
        <f t="array" ref="F762">IF($A762="","",INDEX(JupData!$A$2:$K$10000,MATCH($A762&amp;F$1,JupData!$A$2:$A$10000&amp;JupData!$J$2:$J$10000,0),11))</f>
        <v/>
      </c>
      <c r="G762" t="str">
        <f t="array" ref="G762">IF($A762="","",INDEX(JupData!$A$2:$K$10000,MATCH($A762&amp;G$1,JupData!$A$2:$A$10000&amp;JupData!$J$2:$J$10000,0),11))</f>
        <v/>
      </c>
      <c r="H762" t="str">
        <f t="array" ref="H762">IF($A762="","",INDEX(JupData!$A$2:$K$10000,MATCH($A762&amp;H$1,JupData!$A$2:$A$10000&amp;JupData!$J$2:$J$10000,0),11))</f>
        <v/>
      </c>
      <c r="I762" t="str">
        <f t="array" ref="I762">IF($A762="","",INDEX(JupData!$A$2:$K$10000,MATCH($A762&amp;I$1,JupData!$A$2:$A$10000&amp;JupData!$J$2:$J$10000,0),11))</f>
        <v/>
      </c>
      <c r="J762" t="str">
        <f t="array" ref="J762">IF($A762="","",INDEX(JupData!$A$2:$K$10000,MATCH($A762&amp;J$1,JupData!$A$2:$A$10000&amp;JupData!$J$2:$J$10000,0),11))</f>
        <v/>
      </c>
      <c r="K762" t="str">
        <f t="array" ref="K762">IF($A762="","",INDEX(JupData!$A$2:$K$10000,MATCH($A762&amp;K$1,JupData!$A$2:$A$10000&amp;JupData!$J$2:$J$10000,0),11))</f>
        <v/>
      </c>
      <c r="L762" t="str">
        <f t="array" ref="L762">IF($A762="","",INDEX(JupData!$A$2:$K$10000,MATCH($A762&amp;L$1,JupData!$A$2:$A$10000&amp;JupData!$J$2:$J$10000,0),11))</f>
        <v/>
      </c>
      <c r="M762" t="str">
        <f t="array" ref="M762">IF($A762="","",INDEX(JupData!$A$2:$K$10000,MATCH($A762&amp;M$1,JupData!$A$2:$A$10000&amp;JupData!$J$2:$J$10000,0),11))</f>
        <v/>
      </c>
      <c r="N762" t="str">
        <f t="array" ref="N762">IF($A762="","",INDEX(JupData!$A$2:$K$10000,MATCH($A762&amp;N$1,JupData!$A$2:$A$10000&amp;JupData!$J$2:$J$10000,0),11))</f>
        <v/>
      </c>
      <c r="O762" t="str">
        <f t="array" ref="O762">IF($A762="","",INDEX(JupData!$A$2:$K$10000,MATCH($A762&amp;O$1,JupData!$A$2:$A$10000&amp;JupData!$J$2:$J$10000,0),11))</f>
        <v/>
      </c>
      <c r="P762" t="str">
        <f t="array" ref="P762">IF($A762="","",INDEX(JupData!$A$2:$K$10000,MATCH($A762&amp;P$1,JupData!$A$2:$A$10000&amp;JupData!$J$2:$J$10000,0),11))</f>
        <v/>
      </c>
      <c r="Q762" t="str">
        <f t="array" ref="Q762">IF($A762="","",INDEX(JupData!$A$2:$K$10000,MATCH($A762&amp;Q$1,JupData!$A$2:$A$10000&amp;JupData!$J$2:$J$10000,0),11))</f>
        <v/>
      </c>
      <c r="R762" t="str">
        <f t="array" ref="R762">IF($A762="","",INDEX(JupData!$A$2:$K$10000,MATCH($A762&amp;R$1,JupData!$A$2:$A$10000&amp;JupData!$J$2:$J$10000,0),11))</f>
        <v/>
      </c>
      <c r="S762" t="str">
        <f t="array" ref="S762">IF($A762="","",INDEX(JupData!$A$2:$K$10000,MATCH($A762&amp;S$1,JupData!$A$2:$A$10000&amp;JupData!$J$2:$J$10000,0),11))</f>
        <v/>
      </c>
      <c r="T762" t="str">
        <f t="array" ref="T762">IF($A762="","",INDEX(JupData!$A$2:$K$10000,MATCH($A762&amp;T$1,JupData!$A$2:$A$10000&amp;JupData!$J$2:$J$10000,0),11))</f>
        <v/>
      </c>
      <c r="U762" t="str">
        <f t="array" ref="U762">IF($A762="","",INDEX(JupData!$A$2:$K$10000,MATCH($A762&amp;U$1,JupData!$A$2:$A$10000&amp;JupData!$J$2:$J$10000,0),11))</f>
        <v/>
      </c>
      <c r="V762" t="str">
        <f t="array" ref="V762">IF($A762="","",INDEX(JupData!$A$2:$K$10000,MATCH($A762&amp;V$1,JupData!$A$2:$A$10000&amp;JupData!$J$2:$J$10000,0),11))</f>
        <v/>
      </c>
      <c r="W762" t="str">
        <f t="array" ref="W762">IF($A762="","",INDEX(JupData!$A$2:$K$10000,MATCH($A762&amp;W$1,JupData!$A$2:$A$10000&amp;JupData!$J$2:$J$10000,0),11))</f>
        <v/>
      </c>
      <c r="X762" t="str">
        <f t="array" ref="X762">IF($A762="","",INDEX(JupData!$A$2:$K$10000,MATCH($A762&amp;X$1,JupData!$A$2:$A$10000&amp;JupData!$J$2:$J$10000,0),11))</f>
        <v/>
      </c>
      <c r="Y762" t="str">
        <f t="array" ref="Y762">IF($A762="","",INDEX(JupData!$A$2:$K$10000,MATCH($A762&amp;Y$1,JupData!$A$2:$A$10000&amp;JupData!$J$2:$J$10000,0),11))</f>
        <v/>
      </c>
      <c r="Z762" t="str">
        <f t="array" ref="Z762">IF($A762="","",INDEX(JupData!$A$2:$K$10000,MATCH($A762&amp;Z$1,JupData!$A$2:$A$10000&amp;JupData!$J$2:$J$10000,0),11))</f>
        <v/>
      </c>
      <c r="AA762" t="str">
        <f t="array" ref="AA762">IF($A762="","",INDEX(JupData!$A$2:$K$10000,MATCH($A762&amp;AA$1,JupData!$A$2:$A$10000&amp;JupData!$J$2:$J$10000,0),11))</f>
        <v/>
      </c>
      <c r="AB762" t="str">
        <f t="array" ref="AB762">IF($A762="","",INDEX(JupData!$A$2:$K$10000,MATCH($A762&amp;AB$1,JupData!$A$2:$A$10000&amp;JupData!$J$2:$J$10000,0),11))</f>
        <v/>
      </c>
      <c r="AC762" s="10" t="str">
        <f t="shared" si="121"/>
        <v/>
      </c>
      <c r="AD762" s="10" t="str">
        <f t="shared" si="122"/>
        <v/>
      </c>
      <c r="AE762" s="9" t="str">
        <f t="shared" si="123"/>
        <v/>
      </c>
      <c r="AF762" s="10" t="str">
        <f t="shared" si="124"/>
        <v/>
      </c>
      <c r="AG762" s="10" t="str">
        <f t="shared" si="125"/>
        <v/>
      </c>
      <c r="AH762" s="10" t="str">
        <f t="shared" si="126"/>
        <v/>
      </c>
      <c r="AI762" s="10" t="str">
        <f t="shared" si="127"/>
        <v/>
      </c>
      <c r="AJ762" s="10" t="str">
        <f t="shared" si="128"/>
        <v/>
      </c>
      <c r="AK762" s="10" t="str">
        <f t="shared" si="129"/>
        <v/>
      </c>
      <c r="AL762" s="14" t="str">
        <f t="shared" si="130"/>
        <v/>
      </c>
    </row>
    <row r="763" spans="1:38" x14ac:dyDescent="0.2">
      <c r="A763"/>
      <c r="B763" t="str">
        <f>IF($A763="","",VLOOKUP($A763,JupData!$A$2:$I$10000,4,FALSE))</f>
        <v/>
      </c>
      <c r="C763" s="7" t="str">
        <f>IF($A763="",IF(N(D763),0,""),VLOOKUP($A763,JupData!$A$2:$I$10000,7,FALSE))</f>
        <v/>
      </c>
      <c r="D763" t="str">
        <f t="shared" si="131"/>
        <v/>
      </c>
      <c r="E763" t="str">
        <f t="array" ref="E763">IF($A763="","",INDEX(JupData!$A$2:$K$10000,MATCH($A763&amp;E$1,JupData!$A$2:$A$10000&amp;JupData!$J$2:$J$10000,0),11))</f>
        <v/>
      </c>
      <c r="F763" t="str">
        <f t="array" ref="F763">IF($A763="","",INDEX(JupData!$A$2:$K$10000,MATCH($A763&amp;F$1,JupData!$A$2:$A$10000&amp;JupData!$J$2:$J$10000,0),11))</f>
        <v/>
      </c>
      <c r="G763" t="str">
        <f t="array" ref="G763">IF($A763="","",INDEX(JupData!$A$2:$K$10000,MATCH($A763&amp;G$1,JupData!$A$2:$A$10000&amp;JupData!$J$2:$J$10000,0),11))</f>
        <v/>
      </c>
      <c r="H763" t="str">
        <f t="array" ref="H763">IF($A763="","",INDEX(JupData!$A$2:$K$10000,MATCH($A763&amp;H$1,JupData!$A$2:$A$10000&amp;JupData!$J$2:$J$10000,0),11))</f>
        <v/>
      </c>
      <c r="I763" t="str">
        <f t="array" ref="I763">IF($A763="","",INDEX(JupData!$A$2:$K$10000,MATCH($A763&amp;I$1,JupData!$A$2:$A$10000&amp;JupData!$J$2:$J$10000,0),11))</f>
        <v/>
      </c>
      <c r="J763" t="str">
        <f t="array" ref="J763">IF($A763="","",INDEX(JupData!$A$2:$K$10000,MATCH($A763&amp;J$1,JupData!$A$2:$A$10000&amp;JupData!$J$2:$J$10000,0),11))</f>
        <v/>
      </c>
      <c r="K763" t="str">
        <f t="array" ref="K763">IF($A763="","",INDEX(JupData!$A$2:$K$10000,MATCH($A763&amp;K$1,JupData!$A$2:$A$10000&amp;JupData!$J$2:$J$10000,0),11))</f>
        <v/>
      </c>
      <c r="L763" t="str">
        <f t="array" ref="L763">IF($A763="","",INDEX(JupData!$A$2:$K$10000,MATCH($A763&amp;L$1,JupData!$A$2:$A$10000&amp;JupData!$J$2:$J$10000,0),11))</f>
        <v/>
      </c>
      <c r="M763" t="str">
        <f t="array" ref="M763">IF($A763="","",INDEX(JupData!$A$2:$K$10000,MATCH($A763&amp;M$1,JupData!$A$2:$A$10000&amp;JupData!$J$2:$J$10000,0),11))</f>
        <v/>
      </c>
      <c r="N763" t="str">
        <f t="array" ref="N763">IF($A763="","",INDEX(JupData!$A$2:$K$10000,MATCH($A763&amp;N$1,JupData!$A$2:$A$10000&amp;JupData!$J$2:$J$10000,0),11))</f>
        <v/>
      </c>
      <c r="O763" t="str">
        <f t="array" ref="O763">IF($A763="","",INDEX(JupData!$A$2:$K$10000,MATCH($A763&amp;O$1,JupData!$A$2:$A$10000&amp;JupData!$J$2:$J$10000,0),11))</f>
        <v/>
      </c>
      <c r="P763" t="str">
        <f t="array" ref="P763">IF($A763="","",INDEX(JupData!$A$2:$K$10000,MATCH($A763&amp;P$1,JupData!$A$2:$A$10000&amp;JupData!$J$2:$J$10000,0),11))</f>
        <v/>
      </c>
      <c r="Q763" t="str">
        <f t="array" ref="Q763">IF($A763="","",INDEX(JupData!$A$2:$K$10000,MATCH($A763&amp;Q$1,JupData!$A$2:$A$10000&amp;JupData!$J$2:$J$10000,0),11))</f>
        <v/>
      </c>
      <c r="R763" t="str">
        <f t="array" ref="R763">IF($A763="","",INDEX(JupData!$A$2:$K$10000,MATCH($A763&amp;R$1,JupData!$A$2:$A$10000&amp;JupData!$J$2:$J$10000,0),11))</f>
        <v/>
      </c>
      <c r="S763" t="str">
        <f t="array" ref="S763">IF($A763="","",INDEX(JupData!$A$2:$K$10000,MATCH($A763&amp;S$1,JupData!$A$2:$A$10000&amp;JupData!$J$2:$J$10000,0),11))</f>
        <v/>
      </c>
      <c r="T763" t="str">
        <f t="array" ref="T763">IF($A763="","",INDEX(JupData!$A$2:$K$10000,MATCH($A763&amp;T$1,JupData!$A$2:$A$10000&amp;JupData!$J$2:$J$10000,0),11))</f>
        <v/>
      </c>
      <c r="U763" t="str">
        <f t="array" ref="U763">IF($A763="","",INDEX(JupData!$A$2:$K$10000,MATCH($A763&amp;U$1,JupData!$A$2:$A$10000&amp;JupData!$J$2:$J$10000,0),11))</f>
        <v/>
      </c>
      <c r="V763" t="str">
        <f t="array" ref="V763">IF($A763="","",INDEX(JupData!$A$2:$K$10000,MATCH($A763&amp;V$1,JupData!$A$2:$A$10000&amp;JupData!$J$2:$J$10000,0),11))</f>
        <v/>
      </c>
      <c r="W763" t="str">
        <f t="array" ref="W763">IF($A763="","",INDEX(JupData!$A$2:$K$10000,MATCH($A763&amp;W$1,JupData!$A$2:$A$10000&amp;JupData!$J$2:$J$10000,0),11))</f>
        <v/>
      </c>
      <c r="X763" t="str">
        <f t="array" ref="X763">IF($A763="","",INDEX(JupData!$A$2:$K$10000,MATCH($A763&amp;X$1,JupData!$A$2:$A$10000&amp;JupData!$J$2:$J$10000,0),11))</f>
        <v/>
      </c>
      <c r="Y763" t="str">
        <f t="array" ref="Y763">IF($A763="","",INDEX(JupData!$A$2:$K$10000,MATCH($A763&amp;Y$1,JupData!$A$2:$A$10000&amp;JupData!$J$2:$J$10000,0),11))</f>
        <v/>
      </c>
      <c r="Z763" t="str">
        <f t="array" ref="Z763">IF($A763="","",INDEX(JupData!$A$2:$K$10000,MATCH($A763&amp;Z$1,JupData!$A$2:$A$10000&amp;JupData!$J$2:$J$10000,0),11))</f>
        <v/>
      </c>
      <c r="AA763" t="str">
        <f t="array" ref="AA763">IF($A763="","",INDEX(JupData!$A$2:$K$10000,MATCH($A763&amp;AA$1,JupData!$A$2:$A$10000&amp;JupData!$J$2:$J$10000,0),11))</f>
        <v/>
      </c>
      <c r="AB763" t="str">
        <f t="array" ref="AB763">IF($A763="","",INDEX(JupData!$A$2:$K$10000,MATCH($A763&amp;AB$1,JupData!$A$2:$A$10000&amp;JupData!$J$2:$J$10000,0),11))</f>
        <v/>
      </c>
      <c r="AC763" s="10" t="str">
        <f t="shared" si="121"/>
        <v/>
      </c>
      <c r="AD763" s="10" t="str">
        <f t="shared" si="122"/>
        <v/>
      </c>
      <c r="AE763" s="9" t="str">
        <f t="shared" si="123"/>
        <v/>
      </c>
      <c r="AF763" s="10" t="str">
        <f t="shared" si="124"/>
        <v/>
      </c>
      <c r="AG763" s="10" t="str">
        <f t="shared" si="125"/>
        <v/>
      </c>
      <c r="AH763" s="10" t="str">
        <f t="shared" si="126"/>
        <v/>
      </c>
      <c r="AI763" s="10" t="str">
        <f t="shared" si="127"/>
        <v/>
      </c>
      <c r="AJ763" s="10" t="str">
        <f t="shared" si="128"/>
        <v/>
      </c>
      <c r="AK763" s="10" t="str">
        <f t="shared" si="129"/>
        <v/>
      </c>
      <c r="AL763" s="14" t="str">
        <f t="shared" si="130"/>
        <v/>
      </c>
    </row>
    <row r="764" spans="1:38" x14ac:dyDescent="0.2">
      <c r="A764"/>
      <c r="B764" t="str">
        <f>IF($A764="","",VLOOKUP($A764,JupData!$A$2:$I$10000,4,FALSE))</f>
        <v/>
      </c>
      <c r="C764" s="7" t="str">
        <f>IF($A764="",IF(N(D764),0,""),VLOOKUP($A764,JupData!$A$2:$I$10000,7,FALSE))</f>
        <v/>
      </c>
      <c r="D764" t="str">
        <f t="shared" si="131"/>
        <v/>
      </c>
      <c r="E764" t="str">
        <f t="array" ref="E764">IF($A764="","",INDEX(JupData!$A$2:$K$10000,MATCH($A764&amp;E$1,JupData!$A$2:$A$10000&amp;JupData!$J$2:$J$10000,0),11))</f>
        <v/>
      </c>
      <c r="F764" t="str">
        <f t="array" ref="F764">IF($A764="","",INDEX(JupData!$A$2:$K$10000,MATCH($A764&amp;F$1,JupData!$A$2:$A$10000&amp;JupData!$J$2:$J$10000,0),11))</f>
        <v/>
      </c>
      <c r="G764" t="str">
        <f t="array" ref="G764">IF($A764="","",INDEX(JupData!$A$2:$K$10000,MATCH($A764&amp;G$1,JupData!$A$2:$A$10000&amp;JupData!$J$2:$J$10000,0),11))</f>
        <v/>
      </c>
      <c r="H764" t="str">
        <f t="array" ref="H764">IF($A764="","",INDEX(JupData!$A$2:$K$10000,MATCH($A764&amp;H$1,JupData!$A$2:$A$10000&amp;JupData!$J$2:$J$10000,0),11))</f>
        <v/>
      </c>
      <c r="I764" t="str">
        <f t="array" ref="I764">IF($A764="","",INDEX(JupData!$A$2:$K$10000,MATCH($A764&amp;I$1,JupData!$A$2:$A$10000&amp;JupData!$J$2:$J$10000,0),11))</f>
        <v/>
      </c>
      <c r="J764" t="str">
        <f t="array" ref="J764">IF($A764="","",INDEX(JupData!$A$2:$K$10000,MATCH($A764&amp;J$1,JupData!$A$2:$A$10000&amp;JupData!$J$2:$J$10000,0),11))</f>
        <v/>
      </c>
      <c r="K764" t="str">
        <f t="array" ref="K764">IF($A764="","",INDEX(JupData!$A$2:$K$10000,MATCH($A764&amp;K$1,JupData!$A$2:$A$10000&amp;JupData!$J$2:$J$10000,0),11))</f>
        <v/>
      </c>
      <c r="L764" t="str">
        <f t="array" ref="L764">IF($A764="","",INDEX(JupData!$A$2:$K$10000,MATCH($A764&amp;L$1,JupData!$A$2:$A$10000&amp;JupData!$J$2:$J$10000,0),11))</f>
        <v/>
      </c>
      <c r="M764" t="str">
        <f t="array" ref="M764">IF($A764="","",INDEX(JupData!$A$2:$K$10000,MATCH($A764&amp;M$1,JupData!$A$2:$A$10000&amp;JupData!$J$2:$J$10000,0),11))</f>
        <v/>
      </c>
      <c r="N764" t="str">
        <f t="array" ref="N764">IF($A764="","",INDEX(JupData!$A$2:$K$10000,MATCH($A764&amp;N$1,JupData!$A$2:$A$10000&amp;JupData!$J$2:$J$10000,0),11))</f>
        <v/>
      </c>
      <c r="O764" t="str">
        <f t="array" ref="O764">IF($A764="","",INDEX(JupData!$A$2:$K$10000,MATCH($A764&amp;O$1,JupData!$A$2:$A$10000&amp;JupData!$J$2:$J$10000,0),11))</f>
        <v/>
      </c>
      <c r="P764" t="str">
        <f t="array" ref="P764">IF($A764="","",INDEX(JupData!$A$2:$K$10000,MATCH($A764&amp;P$1,JupData!$A$2:$A$10000&amp;JupData!$J$2:$J$10000,0),11))</f>
        <v/>
      </c>
      <c r="Q764" t="str">
        <f t="array" ref="Q764">IF($A764="","",INDEX(JupData!$A$2:$K$10000,MATCH($A764&amp;Q$1,JupData!$A$2:$A$10000&amp;JupData!$J$2:$J$10000,0),11))</f>
        <v/>
      </c>
      <c r="R764" t="str">
        <f t="array" ref="R764">IF($A764="","",INDEX(JupData!$A$2:$K$10000,MATCH($A764&amp;R$1,JupData!$A$2:$A$10000&amp;JupData!$J$2:$J$10000,0),11))</f>
        <v/>
      </c>
      <c r="S764" t="str">
        <f t="array" ref="S764">IF($A764="","",INDEX(JupData!$A$2:$K$10000,MATCH($A764&amp;S$1,JupData!$A$2:$A$10000&amp;JupData!$J$2:$J$10000,0),11))</f>
        <v/>
      </c>
      <c r="T764" t="str">
        <f t="array" ref="T764">IF($A764="","",INDEX(JupData!$A$2:$K$10000,MATCH($A764&amp;T$1,JupData!$A$2:$A$10000&amp;JupData!$J$2:$J$10000,0),11))</f>
        <v/>
      </c>
      <c r="U764" t="str">
        <f t="array" ref="U764">IF($A764="","",INDEX(JupData!$A$2:$K$10000,MATCH($A764&amp;U$1,JupData!$A$2:$A$10000&amp;JupData!$J$2:$J$10000,0),11))</f>
        <v/>
      </c>
      <c r="V764" t="str">
        <f t="array" ref="V764">IF($A764="","",INDEX(JupData!$A$2:$K$10000,MATCH($A764&amp;V$1,JupData!$A$2:$A$10000&amp;JupData!$J$2:$J$10000,0),11))</f>
        <v/>
      </c>
      <c r="W764" t="str">
        <f t="array" ref="W764">IF($A764="","",INDEX(JupData!$A$2:$K$10000,MATCH($A764&amp;W$1,JupData!$A$2:$A$10000&amp;JupData!$J$2:$J$10000,0),11))</f>
        <v/>
      </c>
      <c r="X764" t="str">
        <f t="array" ref="X764">IF($A764="","",INDEX(JupData!$A$2:$K$10000,MATCH($A764&amp;X$1,JupData!$A$2:$A$10000&amp;JupData!$J$2:$J$10000,0),11))</f>
        <v/>
      </c>
      <c r="Y764" t="str">
        <f t="array" ref="Y764">IF($A764="","",INDEX(JupData!$A$2:$K$10000,MATCH($A764&amp;Y$1,JupData!$A$2:$A$10000&amp;JupData!$J$2:$J$10000,0),11))</f>
        <v/>
      </c>
      <c r="Z764" t="str">
        <f t="array" ref="Z764">IF($A764="","",INDEX(JupData!$A$2:$K$10000,MATCH($A764&amp;Z$1,JupData!$A$2:$A$10000&amp;JupData!$J$2:$J$10000,0),11))</f>
        <v/>
      </c>
      <c r="AA764" t="str">
        <f t="array" ref="AA764">IF($A764="","",INDEX(JupData!$A$2:$K$10000,MATCH($A764&amp;AA$1,JupData!$A$2:$A$10000&amp;JupData!$J$2:$J$10000,0),11))</f>
        <v/>
      </c>
      <c r="AB764" t="str">
        <f t="array" ref="AB764">IF($A764="","",INDEX(JupData!$A$2:$K$10000,MATCH($A764&amp;AB$1,JupData!$A$2:$A$10000&amp;JupData!$J$2:$J$10000,0),11))</f>
        <v/>
      </c>
      <c r="AC764" s="10" t="str">
        <f t="shared" si="121"/>
        <v/>
      </c>
      <c r="AD764" s="10" t="str">
        <f t="shared" si="122"/>
        <v/>
      </c>
      <c r="AE764" s="9" t="str">
        <f t="shared" si="123"/>
        <v/>
      </c>
      <c r="AF764" s="10" t="str">
        <f t="shared" si="124"/>
        <v/>
      </c>
      <c r="AG764" s="10" t="str">
        <f t="shared" si="125"/>
        <v/>
      </c>
      <c r="AH764" s="10" t="str">
        <f t="shared" si="126"/>
        <v/>
      </c>
      <c r="AI764" s="10" t="str">
        <f t="shared" si="127"/>
        <v/>
      </c>
      <c r="AJ764" s="10" t="str">
        <f t="shared" si="128"/>
        <v/>
      </c>
      <c r="AK764" s="10" t="str">
        <f t="shared" si="129"/>
        <v/>
      </c>
      <c r="AL764" s="14" t="str">
        <f t="shared" si="130"/>
        <v/>
      </c>
    </row>
    <row r="765" spans="1:38" x14ac:dyDescent="0.2">
      <c r="A765"/>
      <c r="B765" t="str">
        <f>IF($A765="","",VLOOKUP($A765,JupData!$A$2:$I$10000,4,FALSE))</f>
        <v/>
      </c>
      <c r="C765" s="7" t="str">
        <f>IF($A765="",IF(N(D765),0,""),VLOOKUP($A765,JupData!$A$2:$I$10000,7,FALSE))</f>
        <v/>
      </c>
      <c r="D765" t="str">
        <f t="shared" si="131"/>
        <v/>
      </c>
      <c r="E765" t="str">
        <f t="array" ref="E765">IF($A765="","",INDEX(JupData!$A$2:$K$10000,MATCH($A765&amp;E$1,JupData!$A$2:$A$10000&amp;JupData!$J$2:$J$10000,0),11))</f>
        <v/>
      </c>
      <c r="F765" t="str">
        <f t="array" ref="F765">IF($A765="","",INDEX(JupData!$A$2:$K$10000,MATCH($A765&amp;F$1,JupData!$A$2:$A$10000&amp;JupData!$J$2:$J$10000,0),11))</f>
        <v/>
      </c>
      <c r="G765" t="str">
        <f t="array" ref="G765">IF($A765="","",INDEX(JupData!$A$2:$K$10000,MATCH($A765&amp;G$1,JupData!$A$2:$A$10000&amp;JupData!$J$2:$J$10000,0),11))</f>
        <v/>
      </c>
      <c r="H765" t="str">
        <f t="array" ref="H765">IF($A765="","",INDEX(JupData!$A$2:$K$10000,MATCH($A765&amp;H$1,JupData!$A$2:$A$10000&amp;JupData!$J$2:$J$10000,0),11))</f>
        <v/>
      </c>
      <c r="I765" t="str">
        <f t="array" ref="I765">IF($A765="","",INDEX(JupData!$A$2:$K$10000,MATCH($A765&amp;I$1,JupData!$A$2:$A$10000&amp;JupData!$J$2:$J$10000,0),11))</f>
        <v/>
      </c>
      <c r="J765" t="str">
        <f t="array" ref="J765">IF($A765="","",INDEX(JupData!$A$2:$K$10000,MATCH($A765&amp;J$1,JupData!$A$2:$A$10000&amp;JupData!$J$2:$J$10000,0),11))</f>
        <v/>
      </c>
      <c r="K765" t="str">
        <f t="array" ref="K765">IF($A765="","",INDEX(JupData!$A$2:$K$10000,MATCH($A765&amp;K$1,JupData!$A$2:$A$10000&amp;JupData!$J$2:$J$10000,0),11))</f>
        <v/>
      </c>
      <c r="L765" t="str">
        <f t="array" ref="L765">IF($A765="","",INDEX(JupData!$A$2:$K$10000,MATCH($A765&amp;L$1,JupData!$A$2:$A$10000&amp;JupData!$J$2:$J$10000,0),11))</f>
        <v/>
      </c>
      <c r="M765" t="str">
        <f t="array" ref="M765">IF($A765="","",INDEX(JupData!$A$2:$K$10000,MATCH($A765&amp;M$1,JupData!$A$2:$A$10000&amp;JupData!$J$2:$J$10000,0),11))</f>
        <v/>
      </c>
      <c r="N765" t="str">
        <f t="array" ref="N765">IF($A765="","",INDEX(JupData!$A$2:$K$10000,MATCH($A765&amp;N$1,JupData!$A$2:$A$10000&amp;JupData!$J$2:$J$10000,0),11))</f>
        <v/>
      </c>
      <c r="O765" t="str">
        <f t="array" ref="O765">IF($A765="","",INDEX(JupData!$A$2:$K$10000,MATCH($A765&amp;O$1,JupData!$A$2:$A$10000&amp;JupData!$J$2:$J$10000,0),11))</f>
        <v/>
      </c>
      <c r="P765" t="str">
        <f t="array" ref="P765">IF($A765="","",INDEX(JupData!$A$2:$K$10000,MATCH($A765&amp;P$1,JupData!$A$2:$A$10000&amp;JupData!$J$2:$J$10000,0),11))</f>
        <v/>
      </c>
      <c r="Q765" t="str">
        <f t="array" ref="Q765">IF($A765="","",INDEX(JupData!$A$2:$K$10000,MATCH($A765&amp;Q$1,JupData!$A$2:$A$10000&amp;JupData!$J$2:$J$10000,0),11))</f>
        <v/>
      </c>
      <c r="R765" t="str">
        <f t="array" ref="R765">IF($A765="","",INDEX(JupData!$A$2:$K$10000,MATCH($A765&amp;R$1,JupData!$A$2:$A$10000&amp;JupData!$J$2:$J$10000,0),11))</f>
        <v/>
      </c>
      <c r="S765" t="str">
        <f t="array" ref="S765">IF($A765="","",INDEX(JupData!$A$2:$K$10000,MATCH($A765&amp;S$1,JupData!$A$2:$A$10000&amp;JupData!$J$2:$J$10000,0),11))</f>
        <v/>
      </c>
      <c r="T765" t="str">
        <f t="array" ref="T765">IF($A765="","",INDEX(JupData!$A$2:$K$10000,MATCH($A765&amp;T$1,JupData!$A$2:$A$10000&amp;JupData!$J$2:$J$10000,0),11))</f>
        <v/>
      </c>
      <c r="U765" t="str">
        <f t="array" ref="U765">IF($A765="","",INDEX(JupData!$A$2:$K$10000,MATCH($A765&amp;U$1,JupData!$A$2:$A$10000&amp;JupData!$J$2:$J$10000,0),11))</f>
        <v/>
      </c>
      <c r="V765" t="str">
        <f t="array" ref="V765">IF($A765="","",INDEX(JupData!$A$2:$K$10000,MATCH($A765&amp;V$1,JupData!$A$2:$A$10000&amp;JupData!$J$2:$J$10000,0),11))</f>
        <v/>
      </c>
      <c r="W765" t="str">
        <f t="array" ref="W765">IF($A765="","",INDEX(JupData!$A$2:$K$10000,MATCH($A765&amp;W$1,JupData!$A$2:$A$10000&amp;JupData!$J$2:$J$10000,0),11))</f>
        <v/>
      </c>
      <c r="X765" t="str">
        <f t="array" ref="X765">IF($A765="","",INDEX(JupData!$A$2:$K$10000,MATCH($A765&amp;X$1,JupData!$A$2:$A$10000&amp;JupData!$J$2:$J$10000,0),11))</f>
        <v/>
      </c>
      <c r="Y765" t="str">
        <f t="array" ref="Y765">IF($A765="","",INDEX(JupData!$A$2:$K$10000,MATCH($A765&amp;Y$1,JupData!$A$2:$A$10000&amp;JupData!$J$2:$J$10000,0),11))</f>
        <v/>
      </c>
      <c r="Z765" t="str">
        <f t="array" ref="Z765">IF($A765="","",INDEX(JupData!$A$2:$K$10000,MATCH($A765&amp;Z$1,JupData!$A$2:$A$10000&amp;JupData!$J$2:$J$10000,0),11))</f>
        <v/>
      </c>
      <c r="AA765" t="str">
        <f t="array" ref="AA765">IF($A765="","",INDEX(JupData!$A$2:$K$10000,MATCH($A765&amp;AA$1,JupData!$A$2:$A$10000&amp;JupData!$J$2:$J$10000,0),11))</f>
        <v/>
      </c>
      <c r="AB765" t="str">
        <f t="array" ref="AB765">IF($A765="","",INDEX(JupData!$A$2:$K$10000,MATCH($A765&amp;AB$1,JupData!$A$2:$A$10000&amp;JupData!$J$2:$J$10000,0),11))</f>
        <v/>
      </c>
      <c r="AC765" s="10" t="str">
        <f t="shared" si="121"/>
        <v/>
      </c>
      <c r="AD765" s="10" t="str">
        <f t="shared" si="122"/>
        <v/>
      </c>
      <c r="AE765" s="9" t="str">
        <f t="shared" si="123"/>
        <v/>
      </c>
      <c r="AF765" s="10" t="str">
        <f t="shared" si="124"/>
        <v/>
      </c>
      <c r="AG765" s="10" t="str">
        <f t="shared" si="125"/>
        <v/>
      </c>
      <c r="AH765" s="10" t="str">
        <f t="shared" si="126"/>
        <v/>
      </c>
      <c r="AI765" s="10" t="str">
        <f t="shared" si="127"/>
        <v/>
      </c>
      <c r="AJ765" s="10" t="str">
        <f t="shared" si="128"/>
        <v/>
      </c>
      <c r="AK765" s="10" t="str">
        <f t="shared" si="129"/>
        <v/>
      </c>
      <c r="AL765" s="14" t="str">
        <f t="shared" si="130"/>
        <v/>
      </c>
    </row>
    <row r="766" spans="1:38" x14ac:dyDescent="0.2">
      <c r="A766"/>
      <c r="B766" t="str">
        <f>IF($A766="","",VLOOKUP($A766,JupData!$A$2:$I$10000,4,FALSE))</f>
        <v/>
      </c>
      <c r="C766" s="7" t="str">
        <f>IF($A766="",IF(N(D766),0,""),VLOOKUP($A766,JupData!$A$2:$I$10000,7,FALSE))</f>
        <v/>
      </c>
      <c r="D766" t="str">
        <f t="shared" si="131"/>
        <v/>
      </c>
      <c r="E766" t="str">
        <f t="array" ref="E766">IF($A766="","",INDEX(JupData!$A$2:$K$10000,MATCH($A766&amp;E$1,JupData!$A$2:$A$10000&amp;JupData!$J$2:$J$10000,0),11))</f>
        <v/>
      </c>
      <c r="F766" t="str">
        <f t="array" ref="F766">IF($A766="","",INDEX(JupData!$A$2:$K$10000,MATCH($A766&amp;F$1,JupData!$A$2:$A$10000&amp;JupData!$J$2:$J$10000,0),11))</f>
        <v/>
      </c>
      <c r="G766" t="str">
        <f t="array" ref="G766">IF($A766="","",INDEX(JupData!$A$2:$K$10000,MATCH($A766&amp;G$1,JupData!$A$2:$A$10000&amp;JupData!$J$2:$J$10000,0),11))</f>
        <v/>
      </c>
      <c r="H766" t="str">
        <f t="array" ref="H766">IF($A766="","",INDEX(JupData!$A$2:$K$10000,MATCH($A766&amp;H$1,JupData!$A$2:$A$10000&amp;JupData!$J$2:$J$10000,0),11))</f>
        <v/>
      </c>
      <c r="I766" t="str">
        <f t="array" ref="I766">IF($A766="","",INDEX(JupData!$A$2:$K$10000,MATCH($A766&amp;I$1,JupData!$A$2:$A$10000&amp;JupData!$J$2:$J$10000,0),11))</f>
        <v/>
      </c>
      <c r="J766" t="str">
        <f t="array" ref="J766">IF($A766="","",INDEX(JupData!$A$2:$K$10000,MATCH($A766&amp;J$1,JupData!$A$2:$A$10000&amp;JupData!$J$2:$J$10000,0),11))</f>
        <v/>
      </c>
      <c r="K766" t="str">
        <f t="array" ref="K766">IF($A766="","",INDEX(JupData!$A$2:$K$10000,MATCH($A766&amp;K$1,JupData!$A$2:$A$10000&amp;JupData!$J$2:$J$10000,0),11))</f>
        <v/>
      </c>
      <c r="L766" t="str">
        <f t="array" ref="L766">IF($A766="","",INDEX(JupData!$A$2:$K$10000,MATCH($A766&amp;L$1,JupData!$A$2:$A$10000&amp;JupData!$J$2:$J$10000,0),11))</f>
        <v/>
      </c>
      <c r="M766" t="str">
        <f t="array" ref="M766">IF($A766="","",INDEX(JupData!$A$2:$K$10000,MATCH($A766&amp;M$1,JupData!$A$2:$A$10000&amp;JupData!$J$2:$J$10000,0),11))</f>
        <v/>
      </c>
      <c r="N766" t="str">
        <f t="array" ref="N766">IF($A766="","",INDEX(JupData!$A$2:$K$10000,MATCH($A766&amp;N$1,JupData!$A$2:$A$10000&amp;JupData!$J$2:$J$10000,0),11))</f>
        <v/>
      </c>
      <c r="O766" t="str">
        <f t="array" ref="O766">IF($A766="","",INDEX(JupData!$A$2:$K$10000,MATCH($A766&amp;O$1,JupData!$A$2:$A$10000&amp;JupData!$J$2:$J$10000,0),11))</f>
        <v/>
      </c>
      <c r="P766" t="str">
        <f t="array" ref="P766">IF($A766="","",INDEX(JupData!$A$2:$K$10000,MATCH($A766&amp;P$1,JupData!$A$2:$A$10000&amp;JupData!$J$2:$J$10000,0),11))</f>
        <v/>
      </c>
      <c r="Q766" t="str">
        <f t="array" ref="Q766">IF($A766="","",INDEX(JupData!$A$2:$K$10000,MATCH($A766&amp;Q$1,JupData!$A$2:$A$10000&amp;JupData!$J$2:$J$10000,0),11))</f>
        <v/>
      </c>
      <c r="R766" t="str">
        <f t="array" ref="R766">IF($A766="","",INDEX(JupData!$A$2:$K$10000,MATCH($A766&amp;R$1,JupData!$A$2:$A$10000&amp;JupData!$J$2:$J$10000,0),11))</f>
        <v/>
      </c>
      <c r="S766" t="str">
        <f t="array" ref="S766">IF($A766="","",INDEX(JupData!$A$2:$K$10000,MATCH($A766&amp;S$1,JupData!$A$2:$A$10000&amp;JupData!$J$2:$J$10000,0),11))</f>
        <v/>
      </c>
      <c r="T766" t="str">
        <f t="array" ref="T766">IF($A766="","",INDEX(JupData!$A$2:$K$10000,MATCH($A766&amp;T$1,JupData!$A$2:$A$10000&amp;JupData!$J$2:$J$10000,0),11))</f>
        <v/>
      </c>
      <c r="U766" t="str">
        <f t="array" ref="U766">IF($A766="","",INDEX(JupData!$A$2:$K$10000,MATCH($A766&amp;U$1,JupData!$A$2:$A$10000&amp;JupData!$J$2:$J$10000,0),11))</f>
        <v/>
      </c>
      <c r="V766" t="str">
        <f t="array" ref="V766">IF($A766="","",INDEX(JupData!$A$2:$K$10000,MATCH($A766&amp;V$1,JupData!$A$2:$A$10000&amp;JupData!$J$2:$J$10000,0),11))</f>
        <v/>
      </c>
      <c r="W766" t="str">
        <f t="array" ref="W766">IF($A766="","",INDEX(JupData!$A$2:$K$10000,MATCH($A766&amp;W$1,JupData!$A$2:$A$10000&amp;JupData!$J$2:$J$10000,0),11))</f>
        <v/>
      </c>
      <c r="X766" t="str">
        <f t="array" ref="X766">IF($A766="","",INDEX(JupData!$A$2:$K$10000,MATCH($A766&amp;X$1,JupData!$A$2:$A$10000&amp;JupData!$J$2:$J$10000,0),11))</f>
        <v/>
      </c>
      <c r="Y766" t="str">
        <f t="array" ref="Y766">IF($A766="","",INDEX(JupData!$A$2:$K$10000,MATCH($A766&amp;Y$1,JupData!$A$2:$A$10000&amp;JupData!$J$2:$J$10000,0),11))</f>
        <v/>
      </c>
      <c r="Z766" t="str">
        <f t="array" ref="Z766">IF($A766="","",INDEX(JupData!$A$2:$K$10000,MATCH($A766&amp;Z$1,JupData!$A$2:$A$10000&amp;JupData!$J$2:$J$10000,0),11))</f>
        <v/>
      </c>
      <c r="AA766" t="str">
        <f t="array" ref="AA766">IF($A766="","",INDEX(JupData!$A$2:$K$10000,MATCH($A766&amp;AA$1,JupData!$A$2:$A$10000&amp;JupData!$J$2:$J$10000,0),11))</f>
        <v/>
      </c>
      <c r="AB766" t="str">
        <f t="array" ref="AB766">IF($A766="","",INDEX(JupData!$A$2:$K$10000,MATCH($A766&amp;AB$1,JupData!$A$2:$A$10000&amp;JupData!$J$2:$J$10000,0),11))</f>
        <v/>
      </c>
      <c r="AC766" s="10" t="str">
        <f t="shared" si="121"/>
        <v/>
      </c>
      <c r="AD766" s="10" t="str">
        <f t="shared" si="122"/>
        <v/>
      </c>
      <c r="AE766" s="9" t="str">
        <f t="shared" si="123"/>
        <v/>
      </c>
      <c r="AF766" s="10" t="str">
        <f t="shared" si="124"/>
        <v/>
      </c>
      <c r="AG766" s="10" t="str">
        <f t="shared" si="125"/>
        <v/>
      </c>
      <c r="AH766" s="10" t="str">
        <f t="shared" si="126"/>
        <v/>
      </c>
      <c r="AI766" s="10" t="str">
        <f t="shared" si="127"/>
        <v/>
      </c>
      <c r="AJ766" s="10" t="str">
        <f t="shared" si="128"/>
        <v/>
      </c>
      <c r="AK766" s="10" t="str">
        <f t="shared" si="129"/>
        <v/>
      </c>
      <c r="AL766" s="14" t="str">
        <f t="shared" si="130"/>
        <v/>
      </c>
    </row>
    <row r="767" spans="1:38" x14ac:dyDescent="0.2">
      <c r="A767"/>
      <c r="B767" t="str">
        <f>IF($A767="","",VLOOKUP($A767,JupData!$A$2:$I$10000,4,FALSE))</f>
        <v/>
      </c>
      <c r="C767" s="7" t="str">
        <f>IF($A767="",IF(N(D767),0,""),VLOOKUP($A767,JupData!$A$2:$I$10000,7,FALSE))</f>
        <v/>
      </c>
      <c r="D767" t="str">
        <f t="shared" si="131"/>
        <v/>
      </c>
      <c r="E767" t="str">
        <f t="array" ref="E767">IF($A767="","",INDEX(JupData!$A$2:$K$10000,MATCH($A767&amp;E$1,JupData!$A$2:$A$10000&amp;JupData!$J$2:$J$10000,0),11))</f>
        <v/>
      </c>
      <c r="F767" t="str">
        <f t="array" ref="F767">IF($A767="","",INDEX(JupData!$A$2:$K$10000,MATCH($A767&amp;F$1,JupData!$A$2:$A$10000&amp;JupData!$J$2:$J$10000,0),11))</f>
        <v/>
      </c>
      <c r="G767" t="str">
        <f t="array" ref="G767">IF($A767="","",INDEX(JupData!$A$2:$K$10000,MATCH($A767&amp;G$1,JupData!$A$2:$A$10000&amp;JupData!$J$2:$J$10000,0),11))</f>
        <v/>
      </c>
      <c r="H767" t="str">
        <f t="array" ref="H767">IF($A767="","",INDEX(JupData!$A$2:$K$10000,MATCH($A767&amp;H$1,JupData!$A$2:$A$10000&amp;JupData!$J$2:$J$10000,0),11))</f>
        <v/>
      </c>
      <c r="I767" t="str">
        <f t="array" ref="I767">IF($A767="","",INDEX(JupData!$A$2:$K$10000,MATCH($A767&amp;I$1,JupData!$A$2:$A$10000&amp;JupData!$J$2:$J$10000,0),11))</f>
        <v/>
      </c>
      <c r="J767" t="str">
        <f t="array" ref="J767">IF($A767="","",INDEX(JupData!$A$2:$K$10000,MATCH($A767&amp;J$1,JupData!$A$2:$A$10000&amp;JupData!$J$2:$J$10000,0),11))</f>
        <v/>
      </c>
      <c r="K767" t="str">
        <f t="array" ref="K767">IF($A767="","",INDEX(JupData!$A$2:$K$10000,MATCH($A767&amp;K$1,JupData!$A$2:$A$10000&amp;JupData!$J$2:$J$10000,0),11))</f>
        <v/>
      </c>
      <c r="L767" t="str">
        <f t="array" ref="L767">IF($A767="","",INDEX(JupData!$A$2:$K$10000,MATCH($A767&amp;L$1,JupData!$A$2:$A$10000&amp;JupData!$J$2:$J$10000,0),11))</f>
        <v/>
      </c>
      <c r="M767" t="str">
        <f t="array" ref="M767">IF($A767="","",INDEX(JupData!$A$2:$K$10000,MATCH($A767&amp;M$1,JupData!$A$2:$A$10000&amp;JupData!$J$2:$J$10000,0),11))</f>
        <v/>
      </c>
      <c r="N767" t="str">
        <f t="array" ref="N767">IF($A767="","",INDEX(JupData!$A$2:$K$10000,MATCH($A767&amp;N$1,JupData!$A$2:$A$10000&amp;JupData!$J$2:$J$10000,0),11))</f>
        <v/>
      </c>
      <c r="O767" t="str">
        <f t="array" ref="O767">IF($A767="","",INDEX(JupData!$A$2:$K$10000,MATCH($A767&amp;O$1,JupData!$A$2:$A$10000&amp;JupData!$J$2:$J$10000,0),11))</f>
        <v/>
      </c>
      <c r="P767" t="str">
        <f t="array" ref="P767">IF($A767="","",INDEX(JupData!$A$2:$K$10000,MATCH($A767&amp;P$1,JupData!$A$2:$A$10000&amp;JupData!$J$2:$J$10000,0),11))</f>
        <v/>
      </c>
      <c r="Q767" t="str">
        <f t="array" ref="Q767">IF($A767="","",INDEX(JupData!$A$2:$K$10000,MATCH($A767&amp;Q$1,JupData!$A$2:$A$10000&amp;JupData!$J$2:$J$10000,0),11))</f>
        <v/>
      </c>
      <c r="R767" t="str">
        <f t="array" ref="R767">IF($A767="","",INDEX(JupData!$A$2:$K$10000,MATCH($A767&amp;R$1,JupData!$A$2:$A$10000&amp;JupData!$J$2:$J$10000,0),11))</f>
        <v/>
      </c>
      <c r="S767" t="str">
        <f t="array" ref="S767">IF($A767="","",INDEX(JupData!$A$2:$K$10000,MATCH($A767&amp;S$1,JupData!$A$2:$A$10000&amp;JupData!$J$2:$J$10000,0),11))</f>
        <v/>
      </c>
      <c r="T767" t="str">
        <f t="array" ref="T767">IF($A767="","",INDEX(JupData!$A$2:$K$10000,MATCH($A767&amp;T$1,JupData!$A$2:$A$10000&amp;JupData!$J$2:$J$10000,0),11))</f>
        <v/>
      </c>
      <c r="U767" t="str">
        <f t="array" ref="U767">IF($A767="","",INDEX(JupData!$A$2:$K$10000,MATCH($A767&amp;U$1,JupData!$A$2:$A$10000&amp;JupData!$J$2:$J$10000,0),11))</f>
        <v/>
      </c>
      <c r="V767" t="str">
        <f t="array" ref="V767">IF($A767="","",INDEX(JupData!$A$2:$K$10000,MATCH($A767&amp;V$1,JupData!$A$2:$A$10000&amp;JupData!$J$2:$J$10000,0),11))</f>
        <v/>
      </c>
      <c r="W767" t="str">
        <f t="array" ref="W767">IF($A767="","",INDEX(JupData!$A$2:$K$10000,MATCH($A767&amp;W$1,JupData!$A$2:$A$10000&amp;JupData!$J$2:$J$10000,0),11))</f>
        <v/>
      </c>
      <c r="X767" t="str">
        <f t="array" ref="X767">IF($A767="","",INDEX(JupData!$A$2:$K$10000,MATCH($A767&amp;X$1,JupData!$A$2:$A$10000&amp;JupData!$J$2:$J$10000,0),11))</f>
        <v/>
      </c>
      <c r="Y767" t="str">
        <f t="array" ref="Y767">IF($A767="","",INDEX(JupData!$A$2:$K$10000,MATCH($A767&amp;Y$1,JupData!$A$2:$A$10000&amp;JupData!$J$2:$J$10000,0),11))</f>
        <v/>
      </c>
      <c r="Z767" t="str">
        <f t="array" ref="Z767">IF($A767="","",INDEX(JupData!$A$2:$K$10000,MATCH($A767&amp;Z$1,JupData!$A$2:$A$10000&amp;JupData!$J$2:$J$10000,0),11))</f>
        <v/>
      </c>
      <c r="AA767" t="str">
        <f t="array" ref="AA767">IF($A767="","",INDEX(JupData!$A$2:$K$10000,MATCH($A767&amp;AA$1,JupData!$A$2:$A$10000&amp;JupData!$J$2:$J$10000,0),11))</f>
        <v/>
      </c>
      <c r="AB767" t="str">
        <f t="array" ref="AB767">IF($A767="","",INDEX(JupData!$A$2:$K$10000,MATCH($A767&amp;AB$1,JupData!$A$2:$A$10000&amp;JupData!$J$2:$J$10000,0),11))</f>
        <v/>
      </c>
      <c r="AC767" s="10" t="str">
        <f t="shared" si="121"/>
        <v/>
      </c>
      <c r="AD767" s="10" t="str">
        <f t="shared" si="122"/>
        <v/>
      </c>
      <c r="AE767" s="9" t="str">
        <f t="shared" si="123"/>
        <v/>
      </c>
      <c r="AF767" s="10" t="str">
        <f t="shared" si="124"/>
        <v/>
      </c>
      <c r="AG767" s="10" t="str">
        <f t="shared" si="125"/>
        <v/>
      </c>
      <c r="AH767" s="10" t="str">
        <f t="shared" si="126"/>
        <v/>
      </c>
      <c r="AI767" s="10" t="str">
        <f t="shared" si="127"/>
        <v/>
      </c>
      <c r="AJ767" s="10" t="str">
        <f t="shared" si="128"/>
        <v/>
      </c>
      <c r="AK767" s="10" t="str">
        <f t="shared" si="129"/>
        <v/>
      </c>
      <c r="AL767" s="14" t="str">
        <f t="shared" si="130"/>
        <v/>
      </c>
    </row>
    <row r="768" spans="1:38" x14ac:dyDescent="0.2">
      <c r="A768"/>
      <c r="B768" t="str">
        <f>IF($A768="","",VLOOKUP($A768,JupData!$A$2:$I$10000,4,FALSE))</f>
        <v/>
      </c>
      <c r="C768" s="7" t="str">
        <f>IF($A768="",IF(N(D768),0,""),VLOOKUP($A768,JupData!$A$2:$I$10000,7,FALSE))</f>
        <v/>
      </c>
      <c r="D768" t="str">
        <f t="shared" si="131"/>
        <v/>
      </c>
      <c r="E768" t="str">
        <f t="array" ref="E768">IF($A768="","",INDEX(JupData!$A$2:$K$10000,MATCH($A768&amp;E$1,JupData!$A$2:$A$10000&amp;JupData!$J$2:$J$10000,0),11))</f>
        <v/>
      </c>
      <c r="F768" t="str">
        <f t="array" ref="F768">IF($A768="","",INDEX(JupData!$A$2:$K$10000,MATCH($A768&amp;F$1,JupData!$A$2:$A$10000&amp;JupData!$J$2:$J$10000,0),11))</f>
        <v/>
      </c>
      <c r="G768" t="str">
        <f t="array" ref="G768">IF($A768="","",INDEX(JupData!$A$2:$K$10000,MATCH($A768&amp;G$1,JupData!$A$2:$A$10000&amp;JupData!$J$2:$J$10000,0),11))</f>
        <v/>
      </c>
      <c r="H768" t="str">
        <f t="array" ref="H768">IF($A768="","",INDEX(JupData!$A$2:$K$10000,MATCH($A768&amp;H$1,JupData!$A$2:$A$10000&amp;JupData!$J$2:$J$10000,0),11))</f>
        <v/>
      </c>
      <c r="I768" t="str">
        <f t="array" ref="I768">IF($A768="","",INDEX(JupData!$A$2:$K$10000,MATCH($A768&amp;I$1,JupData!$A$2:$A$10000&amp;JupData!$J$2:$J$10000,0),11))</f>
        <v/>
      </c>
      <c r="J768" t="str">
        <f t="array" ref="J768">IF($A768="","",INDEX(JupData!$A$2:$K$10000,MATCH($A768&amp;J$1,JupData!$A$2:$A$10000&amp;JupData!$J$2:$J$10000,0),11))</f>
        <v/>
      </c>
      <c r="K768" t="str">
        <f t="array" ref="K768">IF($A768="","",INDEX(JupData!$A$2:$K$10000,MATCH($A768&amp;K$1,JupData!$A$2:$A$10000&amp;JupData!$J$2:$J$10000,0),11))</f>
        <v/>
      </c>
      <c r="L768" t="str">
        <f t="array" ref="L768">IF($A768="","",INDEX(JupData!$A$2:$K$10000,MATCH($A768&amp;L$1,JupData!$A$2:$A$10000&amp;JupData!$J$2:$J$10000,0),11))</f>
        <v/>
      </c>
      <c r="M768" t="str">
        <f t="array" ref="M768">IF($A768="","",INDEX(JupData!$A$2:$K$10000,MATCH($A768&amp;M$1,JupData!$A$2:$A$10000&amp;JupData!$J$2:$J$10000,0),11))</f>
        <v/>
      </c>
      <c r="N768" t="str">
        <f t="array" ref="N768">IF($A768="","",INDEX(JupData!$A$2:$K$10000,MATCH($A768&amp;N$1,JupData!$A$2:$A$10000&amp;JupData!$J$2:$J$10000,0),11))</f>
        <v/>
      </c>
      <c r="O768" t="str">
        <f t="array" ref="O768">IF($A768="","",INDEX(JupData!$A$2:$K$10000,MATCH($A768&amp;O$1,JupData!$A$2:$A$10000&amp;JupData!$J$2:$J$10000,0),11))</f>
        <v/>
      </c>
      <c r="P768" t="str">
        <f t="array" ref="P768">IF($A768="","",INDEX(JupData!$A$2:$K$10000,MATCH($A768&amp;P$1,JupData!$A$2:$A$10000&amp;JupData!$J$2:$J$10000,0),11))</f>
        <v/>
      </c>
      <c r="Q768" t="str">
        <f t="array" ref="Q768">IF($A768="","",INDEX(JupData!$A$2:$K$10000,MATCH($A768&amp;Q$1,JupData!$A$2:$A$10000&amp;JupData!$J$2:$J$10000,0),11))</f>
        <v/>
      </c>
      <c r="R768" t="str">
        <f t="array" ref="R768">IF($A768="","",INDEX(JupData!$A$2:$K$10000,MATCH($A768&amp;R$1,JupData!$A$2:$A$10000&amp;JupData!$J$2:$J$10000,0),11))</f>
        <v/>
      </c>
      <c r="S768" t="str">
        <f t="array" ref="S768">IF($A768="","",INDEX(JupData!$A$2:$K$10000,MATCH($A768&amp;S$1,JupData!$A$2:$A$10000&amp;JupData!$J$2:$J$10000,0),11))</f>
        <v/>
      </c>
      <c r="T768" t="str">
        <f t="array" ref="T768">IF($A768="","",INDEX(JupData!$A$2:$K$10000,MATCH($A768&amp;T$1,JupData!$A$2:$A$10000&amp;JupData!$J$2:$J$10000,0),11))</f>
        <v/>
      </c>
      <c r="U768" t="str">
        <f t="array" ref="U768">IF($A768="","",INDEX(JupData!$A$2:$K$10000,MATCH($A768&amp;U$1,JupData!$A$2:$A$10000&amp;JupData!$J$2:$J$10000,0),11))</f>
        <v/>
      </c>
      <c r="V768" t="str">
        <f t="array" ref="V768">IF($A768="","",INDEX(JupData!$A$2:$K$10000,MATCH($A768&amp;V$1,JupData!$A$2:$A$10000&amp;JupData!$J$2:$J$10000,0),11))</f>
        <v/>
      </c>
      <c r="W768" t="str">
        <f t="array" ref="W768">IF($A768="","",INDEX(JupData!$A$2:$K$10000,MATCH($A768&amp;W$1,JupData!$A$2:$A$10000&amp;JupData!$J$2:$J$10000,0),11))</f>
        <v/>
      </c>
      <c r="X768" t="str">
        <f t="array" ref="X768">IF($A768="","",INDEX(JupData!$A$2:$K$10000,MATCH($A768&amp;X$1,JupData!$A$2:$A$10000&amp;JupData!$J$2:$J$10000,0),11))</f>
        <v/>
      </c>
      <c r="Y768" t="str">
        <f t="array" ref="Y768">IF($A768="","",INDEX(JupData!$A$2:$K$10000,MATCH($A768&amp;Y$1,JupData!$A$2:$A$10000&amp;JupData!$J$2:$J$10000,0),11))</f>
        <v/>
      </c>
      <c r="Z768" t="str">
        <f t="array" ref="Z768">IF($A768="","",INDEX(JupData!$A$2:$K$10000,MATCH($A768&amp;Z$1,JupData!$A$2:$A$10000&amp;JupData!$J$2:$J$10000,0),11))</f>
        <v/>
      </c>
      <c r="AA768" t="str">
        <f t="array" ref="AA768">IF($A768="","",INDEX(JupData!$A$2:$K$10000,MATCH($A768&amp;AA$1,JupData!$A$2:$A$10000&amp;JupData!$J$2:$J$10000,0),11))</f>
        <v/>
      </c>
      <c r="AB768" t="str">
        <f t="array" ref="AB768">IF($A768="","",INDEX(JupData!$A$2:$K$10000,MATCH($A768&amp;AB$1,JupData!$A$2:$A$10000&amp;JupData!$J$2:$J$10000,0),11))</f>
        <v/>
      </c>
      <c r="AC768" s="10" t="str">
        <f t="shared" si="121"/>
        <v/>
      </c>
      <c r="AD768" s="10" t="str">
        <f t="shared" si="122"/>
        <v/>
      </c>
      <c r="AE768" s="9" t="str">
        <f t="shared" si="123"/>
        <v/>
      </c>
      <c r="AF768" s="10" t="str">
        <f t="shared" si="124"/>
        <v/>
      </c>
      <c r="AG768" s="10" t="str">
        <f t="shared" si="125"/>
        <v/>
      </c>
      <c r="AH768" s="10" t="str">
        <f t="shared" si="126"/>
        <v/>
      </c>
      <c r="AI768" s="10" t="str">
        <f t="shared" si="127"/>
        <v/>
      </c>
      <c r="AJ768" s="10" t="str">
        <f t="shared" si="128"/>
        <v/>
      </c>
      <c r="AK768" s="10" t="str">
        <f t="shared" si="129"/>
        <v/>
      </c>
      <c r="AL768" s="14" t="str">
        <f t="shared" si="130"/>
        <v/>
      </c>
    </row>
    <row r="769" spans="1:38" x14ac:dyDescent="0.2">
      <c r="A769"/>
      <c r="B769" t="str">
        <f>IF($A769="","",VLOOKUP($A769,JupData!$A$2:$I$10000,4,FALSE))</f>
        <v/>
      </c>
      <c r="C769" s="7" t="str">
        <f>IF($A769="",IF(N(D769),0,""),VLOOKUP($A769,JupData!$A$2:$I$10000,7,FALSE))</f>
        <v/>
      </c>
      <c r="D769" t="str">
        <f t="shared" si="131"/>
        <v/>
      </c>
      <c r="E769" t="str">
        <f t="array" ref="E769">IF($A769="","",INDEX(JupData!$A$2:$K$10000,MATCH($A769&amp;E$1,JupData!$A$2:$A$10000&amp;JupData!$J$2:$J$10000,0),11))</f>
        <v/>
      </c>
      <c r="F769" t="str">
        <f t="array" ref="F769">IF($A769="","",INDEX(JupData!$A$2:$K$10000,MATCH($A769&amp;F$1,JupData!$A$2:$A$10000&amp;JupData!$J$2:$J$10000,0),11))</f>
        <v/>
      </c>
      <c r="G769" t="str">
        <f t="array" ref="G769">IF($A769="","",INDEX(JupData!$A$2:$K$10000,MATCH($A769&amp;G$1,JupData!$A$2:$A$10000&amp;JupData!$J$2:$J$10000,0),11))</f>
        <v/>
      </c>
      <c r="H769" t="str">
        <f t="array" ref="H769">IF($A769="","",INDEX(JupData!$A$2:$K$10000,MATCH($A769&amp;H$1,JupData!$A$2:$A$10000&amp;JupData!$J$2:$J$10000,0),11))</f>
        <v/>
      </c>
      <c r="I769" t="str">
        <f t="array" ref="I769">IF($A769="","",INDEX(JupData!$A$2:$K$10000,MATCH($A769&amp;I$1,JupData!$A$2:$A$10000&amp;JupData!$J$2:$J$10000,0),11))</f>
        <v/>
      </c>
      <c r="J769" t="str">
        <f t="array" ref="J769">IF($A769="","",INDEX(JupData!$A$2:$K$10000,MATCH($A769&amp;J$1,JupData!$A$2:$A$10000&amp;JupData!$J$2:$J$10000,0),11))</f>
        <v/>
      </c>
      <c r="K769" t="str">
        <f t="array" ref="K769">IF($A769="","",INDEX(JupData!$A$2:$K$10000,MATCH($A769&amp;K$1,JupData!$A$2:$A$10000&amp;JupData!$J$2:$J$10000,0),11))</f>
        <v/>
      </c>
      <c r="L769" t="str">
        <f t="array" ref="L769">IF($A769="","",INDEX(JupData!$A$2:$K$10000,MATCH($A769&amp;L$1,JupData!$A$2:$A$10000&amp;JupData!$J$2:$J$10000,0),11))</f>
        <v/>
      </c>
      <c r="M769" t="str">
        <f t="array" ref="M769">IF($A769="","",INDEX(JupData!$A$2:$K$10000,MATCH($A769&amp;M$1,JupData!$A$2:$A$10000&amp;JupData!$J$2:$J$10000,0),11))</f>
        <v/>
      </c>
      <c r="N769" t="str">
        <f t="array" ref="N769">IF($A769="","",INDEX(JupData!$A$2:$K$10000,MATCH($A769&amp;N$1,JupData!$A$2:$A$10000&amp;JupData!$J$2:$J$10000,0),11))</f>
        <v/>
      </c>
      <c r="O769" t="str">
        <f t="array" ref="O769">IF($A769="","",INDEX(JupData!$A$2:$K$10000,MATCH($A769&amp;O$1,JupData!$A$2:$A$10000&amp;JupData!$J$2:$J$10000,0),11))</f>
        <v/>
      </c>
      <c r="P769" t="str">
        <f t="array" ref="P769">IF($A769="","",INDEX(JupData!$A$2:$K$10000,MATCH($A769&amp;P$1,JupData!$A$2:$A$10000&amp;JupData!$J$2:$J$10000,0),11))</f>
        <v/>
      </c>
      <c r="Q769" t="str">
        <f t="array" ref="Q769">IF($A769="","",INDEX(JupData!$A$2:$K$10000,MATCH($A769&amp;Q$1,JupData!$A$2:$A$10000&amp;JupData!$J$2:$J$10000,0),11))</f>
        <v/>
      </c>
      <c r="R769" t="str">
        <f t="array" ref="R769">IF($A769="","",INDEX(JupData!$A$2:$K$10000,MATCH($A769&amp;R$1,JupData!$A$2:$A$10000&amp;JupData!$J$2:$J$10000,0),11))</f>
        <v/>
      </c>
      <c r="S769" t="str">
        <f t="array" ref="S769">IF($A769="","",INDEX(JupData!$A$2:$K$10000,MATCH($A769&amp;S$1,JupData!$A$2:$A$10000&amp;JupData!$J$2:$J$10000,0),11))</f>
        <v/>
      </c>
      <c r="T769" t="str">
        <f t="array" ref="T769">IF($A769="","",INDEX(JupData!$A$2:$K$10000,MATCH($A769&amp;T$1,JupData!$A$2:$A$10000&amp;JupData!$J$2:$J$10000,0),11))</f>
        <v/>
      </c>
      <c r="U769" t="str">
        <f t="array" ref="U769">IF($A769="","",INDEX(JupData!$A$2:$K$10000,MATCH($A769&amp;U$1,JupData!$A$2:$A$10000&amp;JupData!$J$2:$J$10000,0),11))</f>
        <v/>
      </c>
      <c r="V769" t="str">
        <f t="array" ref="V769">IF($A769="","",INDEX(JupData!$A$2:$K$10000,MATCH($A769&amp;V$1,JupData!$A$2:$A$10000&amp;JupData!$J$2:$J$10000,0),11))</f>
        <v/>
      </c>
      <c r="W769" t="str">
        <f t="array" ref="W769">IF($A769="","",INDEX(JupData!$A$2:$K$10000,MATCH($A769&amp;W$1,JupData!$A$2:$A$10000&amp;JupData!$J$2:$J$10000,0),11))</f>
        <v/>
      </c>
      <c r="X769" t="str">
        <f t="array" ref="X769">IF($A769="","",INDEX(JupData!$A$2:$K$10000,MATCH($A769&amp;X$1,JupData!$A$2:$A$10000&amp;JupData!$J$2:$J$10000,0),11))</f>
        <v/>
      </c>
      <c r="Y769" t="str">
        <f t="array" ref="Y769">IF($A769="","",INDEX(JupData!$A$2:$K$10000,MATCH($A769&amp;Y$1,JupData!$A$2:$A$10000&amp;JupData!$J$2:$J$10000,0),11))</f>
        <v/>
      </c>
      <c r="Z769" t="str">
        <f t="array" ref="Z769">IF($A769="","",INDEX(JupData!$A$2:$K$10000,MATCH($A769&amp;Z$1,JupData!$A$2:$A$10000&amp;JupData!$J$2:$J$10000,0),11))</f>
        <v/>
      </c>
      <c r="AA769" t="str">
        <f t="array" ref="AA769">IF($A769="","",INDEX(JupData!$A$2:$K$10000,MATCH($A769&amp;AA$1,JupData!$A$2:$A$10000&amp;JupData!$J$2:$J$10000,0),11))</f>
        <v/>
      </c>
      <c r="AB769" t="str">
        <f t="array" ref="AB769">IF($A769="","",INDEX(JupData!$A$2:$K$10000,MATCH($A769&amp;AB$1,JupData!$A$2:$A$10000&amp;JupData!$J$2:$J$10000,0),11))</f>
        <v/>
      </c>
      <c r="AC769" s="10" t="str">
        <f t="shared" si="121"/>
        <v/>
      </c>
      <c r="AD769" s="10" t="str">
        <f t="shared" si="122"/>
        <v/>
      </c>
      <c r="AE769" s="9" t="str">
        <f t="shared" si="123"/>
        <v/>
      </c>
      <c r="AF769" s="10" t="str">
        <f t="shared" si="124"/>
        <v/>
      </c>
      <c r="AG769" s="10" t="str">
        <f t="shared" si="125"/>
        <v/>
      </c>
      <c r="AH769" s="10" t="str">
        <f t="shared" si="126"/>
        <v/>
      </c>
      <c r="AI769" s="10" t="str">
        <f t="shared" si="127"/>
        <v/>
      </c>
      <c r="AJ769" s="10" t="str">
        <f t="shared" si="128"/>
        <v/>
      </c>
      <c r="AK769" s="10" t="str">
        <f t="shared" si="129"/>
        <v/>
      </c>
      <c r="AL769" s="14" t="str">
        <f t="shared" si="130"/>
        <v/>
      </c>
    </row>
    <row r="770" spans="1:38" x14ac:dyDescent="0.2">
      <c r="A770"/>
      <c r="B770" t="str">
        <f>IF($A770="","",VLOOKUP($A770,JupData!$A$2:$I$10000,4,FALSE))</f>
        <v/>
      </c>
      <c r="C770" s="7" t="str">
        <f>IF($A770="",IF(N(D770),0,""),VLOOKUP($A770,JupData!$A$2:$I$10000,7,FALSE))</f>
        <v/>
      </c>
      <c r="D770" t="str">
        <f t="shared" si="131"/>
        <v/>
      </c>
      <c r="E770" t="str">
        <f t="array" ref="E770">IF($A770="","",INDEX(JupData!$A$2:$K$10000,MATCH($A770&amp;E$1,JupData!$A$2:$A$10000&amp;JupData!$J$2:$J$10000,0),11))</f>
        <v/>
      </c>
      <c r="F770" t="str">
        <f t="array" ref="F770">IF($A770="","",INDEX(JupData!$A$2:$K$10000,MATCH($A770&amp;F$1,JupData!$A$2:$A$10000&amp;JupData!$J$2:$J$10000,0),11))</f>
        <v/>
      </c>
      <c r="G770" t="str">
        <f t="array" ref="G770">IF($A770="","",INDEX(JupData!$A$2:$K$10000,MATCH($A770&amp;G$1,JupData!$A$2:$A$10000&amp;JupData!$J$2:$J$10000,0),11))</f>
        <v/>
      </c>
      <c r="H770" t="str">
        <f t="array" ref="H770">IF($A770="","",INDEX(JupData!$A$2:$K$10000,MATCH($A770&amp;H$1,JupData!$A$2:$A$10000&amp;JupData!$J$2:$J$10000,0),11))</f>
        <v/>
      </c>
      <c r="I770" t="str">
        <f t="array" ref="I770">IF($A770="","",INDEX(JupData!$A$2:$K$10000,MATCH($A770&amp;I$1,JupData!$A$2:$A$10000&amp;JupData!$J$2:$J$10000,0),11))</f>
        <v/>
      </c>
      <c r="J770" t="str">
        <f t="array" ref="J770">IF($A770="","",INDEX(JupData!$A$2:$K$10000,MATCH($A770&amp;J$1,JupData!$A$2:$A$10000&amp;JupData!$J$2:$J$10000,0),11))</f>
        <v/>
      </c>
      <c r="K770" t="str">
        <f t="array" ref="K770">IF($A770="","",INDEX(JupData!$A$2:$K$10000,MATCH($A770&amp;K$1,JupData!$A$2:$A$10000&amp;JupData!$J$2:$J$10000,0),11))</f>
        <v/>
      </c>
      <c r="L770" t="str">
        <f t="array" ref="L770">IF($A770="","",INDEX(JupData!$A$2:$K$10000,MATCH($A770&amp;L$1,JupData!$A$2:$A$10000&amp;JupData!$J$2:$J$10000,0),11))</f>
        <v/>
      </c>
      <c r="M770" t="str">
        <f t="array" ref="M770">IF($A770="","",INDEX(JupData!$A$2:$K$10000,MATCH($A770&amp;M$1,JupData!$A$2:$A$10000&amp;JupData!$J$2:$J$10000,0),11))</f>
        <v/>
      </c>
      <c r="N770" t="str">
        <f t="array" ref="N770">IF($A770="","",INDEX(JupData!$A$2:$K$10000,MATCH($A770&amp;N$1,JupData!$A$2:$A$10000&amp;JupData!$J$2:$J$10000,0),11))</f>
        <v/>
      </c>
      <c r="O770" t="str">
        <f t="array" ref="O770">IF($A770="","",INDEX(JupData!$A$2:$K$10000,MATCH($A770&amp;O$1,JupData!$A$2:$A$10000&amp;JupData!$J$2:$J$10000,0),11))</f>
        <v/>
      </c>
      <c r="P770" t="str">
        <f t="array" ref="P770">IF($A770="","",INDEX(JupData!$A$2:$K$10000,MATCH($A770&amp;P$1,JupData!$A$2:$A$10000&amp;JupData!$J$2:$J$10000,0),11))</f>
        <v/>
      </c>
      <c r="Q770" t="str">
        <f t="array" ref="Q770">IF($A770="","",INDEX(JupData!$A$2:$K$10000,MATCH($A770&amp;Q$1,JupData!$A$2:$A$10000&amp;JupData!$J$2:$J$10000,0),11))</f>
        <v/>
      </c>
      <c r="R770" t="str">
        <f t="array" ref="R770">IF($A770="","",INDEX(JupData!$A$2:$K$10000,MATCH($A770&amp;R$1,JupData!$A$2:$A$10000&amp;JupData!$J$2:$J$10000,0),11))</f>
        <v/>
      </c>
      <c r="S770" t="str">
        <f t="array" ref="S770">IF($A770="","",INDEX(JupData!$A$2:$K$10000,MATCH($A770&amp;S$1,JupData!$A$2:$A$10000&amp;JupData!$J$2:$J$10000,0),11))</f>
        <v/>
      </c>
      <c r="T770" t="str">
        <f t="array" ref="T770">IF($A770="","",INDEX(JupData!$A$2:$K$10000,MATCH($A770&amp;T$1,JupData!$A$2:$A$10000&amp;JupData!$J$2:$J$10000,0),11))</f>
        <v/>
      </c>
      <c r="U770" t="str">
        <f t="array" ref="U770">IF($A770="","",INDEX(JupData!$A$2:$K$10000,MATCH($A770&amp;U$1,JupData!$A$2:$A$10000&amp;JupData!$J$2:$J$10000,0),11))</f>
        <v/>
      </c>
      <c r="V770" t="str">
        <f t="array" ref="V770">IF($A770="","",INDEX(JupData!$A$2:$K$10000,MATCH($A770&amp;V$1,JupData!$A$2:$A$10000&amp;JupData!$J$2:$J$10000,0),11))</f>
        <v/>
      </c>
      <c r="W770" t="str">
        <f t="array" ref="W770">IF($A770="","",INDEX(JupData!$A$2:$K$10000,MATCH($A770&amp;W$1,JupData!$A$2:$A$10000&amp;JupData!$J$2:$J$10000,0),11))</f>
        <v/>
      </c>
      <c r="X770" t="str">
        <f t="array" ref="X770">IF($A770="","",INDEX(JupData!$A$2:$K$10000,MATCH($A770&amp;X$1,JupData!$A$2:$A$10000&amp;JupData!$J$2:$J$10000,0),11))</f>
        <v/>
      </c>
      <c r="Y770" t="str">
        <f t="array" ref="Y770">IF($A770="","",INDEX(JupData!$A$2:$K$10000,MATCH($A770&amp;Y$1,JupData!$A$2:$A$10000&amp;JupData!$J$2:$J$10000,0),11))</f>
        <v/>
      </c>
      <c r="Z770" t="str">
        <f t="array" ref="Z770">IF($A770="","",INDEX(JupData!$A$2:$K$10000,MATCH($A770&amp;Z$1,JupData!$A$2:$A$10000&amp;JupData!$J$2:$J$10000,0),11))</f>
        <v/>
      </c>
      <c r="AA770" t="str">
        <f t="array" ref="AA770">IF($A770="","",INDEX(JupData!$A$2:$K$10000,MATCH($A770&amp;AA$1,JupData!$A$2:$A$10000&amp;JupData!$J$2:$J$10000,0),11))</f>
        <v/>
      </c>
      <c r="AB770" t="str">
        <f t="array" ref="AB770">IF($A770="","",INDEX(JupData!$A$2:$K$10000,MATCH($A770&amp;AB$1,JupData!$A$2:$A$10000&amp;JupData!$J$2:$J$10000,0),11))</f>
        <v/>
      </c>
      <c r="AC770" s="10" t="str">
        <f t="shared" si="121"/>
        <v/>
      </c>
      <c r="AD770" s="10" t="str">
        <f t="shared" si="122"/>
        <v/>
      </c>
      <c r="AE770" s="9" t="str">
        <f t="shared" si="123"/>
        <v/>
      </c>
      <c r="AF770" s="10" t="str">
        <f t="shared" si="124"/>
        <v/>
      </c>
      <c r="AG770" s="10" t="str">
        <f t="shared" si="125"/>
        <v/>
      </c>
      <c r="AH770" s="10" t="str">
        <f t="shared" si="126"/>
        <v/>
      </c>
      <c r="AI770" s="10" t="str">
        <f t="shared" si="127"/>
        <v/>
      </c>
      <c r="AJ770" s="10" t="str">
        <f t="shared" si="128"/>
        <v/>
      </c>
      <c r="AK770" s="10" t="str">
        <f t="shared" si="129"/>
        <v/>
      </c>
      <c r="AL770" s="14" t="str">
        <f t="shared" si="130"/>
        <v/>
      </c>
    </row>
    <row r="771" spans="1:38" x14ac:dyDescent="0.2">
      <c r="A771"/>
      <c r="B771" t="str">
        <f>IF($A771="","",VLOOKUP($A771,JupData!$A$2:$I$10000,4,FALSE))</f>
        <v/>
      </c>
      <c r="C771" s="7" t="str">
        <f>IF($A771="",IF(N(D771),0,""),VLOOKUP($A771,JupData!$A$2:$I$10000,7,FALSE))</f>
        <v/>
      </c>
      <c r="D771" t="str">
        <f t="shared" si="131"/>
        <v/>
      </c>
      <c r="E771" t="str">
        <f t="array" ref="E771">IF($A771="","",INDEX(JupData!$A$2:$K$10000,MATCH($A771&amp;E$1,JupData!$A$2:$A$10000&amp;JupData!$J$2:$J$10000,0),11))</f>
        <v/>
      </c>
      <c r="F771" t="str">
        <f t="array" ref="F771">IF($A771="","",INDEX(JupData!$A$2:$K$10000,MATCH($A771&amp;F$1,JupData!$A$2:$A$10000&amp;JupData!$J$2:$J$10000,0),11))</f>
        <v/>
      </c>
      <c r="G771" t="str">
        <f t="array" ref="G771">IF($A771="","",INDEX(JupData!$A$2:$K$10000,MATCH($A771&amp;G$1,JupData!$A$2:$A$10000&amp;JupData!$J$2:$J$10000,0),11))</f>
        <v/>
      </c>
      <c r="H771" t="str">
        <f t="array" ref="H771">IF($A771="","",INDEX(JupData!$A$2:$K$10000,MATCH($A771&amp;H$1,JupData!$A$2:$A$10000&amp;JupData!$J$2:$J$10000,0),11))</f>
        <v/>
      </c>
      <c r="I771" t="str">
        <f t="array" ref="I771">IF($A771="","",INDEX(JupData!$A$2:$K$10000,MATCH($A771&amp;I$1,JupData!$A$2:$A$10000&amp;JupData!$J$2:$J$10000,0),11))</f>
        <v/>
      </c>
      <c r="J771" t="str">
        <f t="array" ref="J771">IF($A771="","",INDEX(JupData!$A$2:$K$10000,MATCH($A771&amp;J$1,JupData!$A$2:$A$10000&amp;JupData!$J$2:$J$10000,0),11))</f>
        <v/>
      </c>
      <c r="K771" t="str">
        <f t="array" ref="K771">IF($A771="","",INDEX(JupData!$A$2:$K$10000,MATCH($A771&amp;K$1,JupData!$A$2:$A$10000&amp;JupData!$J$2:$J$10000,0),11))</f>
        <v/>
      </c>
      <c r="L771" t="str">
        <f t="array" ref="L771">IF($A771="","",INDEX(JupData!$A$2:$K$10000,MATCH($A771&amp;L$1,JupData!$A$2:$A$10000&amp;JupData!$J$2:$J$10000,0),11))</f>
        <v/>
      </c>
      <c r="M771" t="str">
        <f t="array" ref="M771">IF($A771="","",INDEX(JupData!$A$2:$K$10000,MATCH($A771&amp;M$1,JupData!$A$2:$A$10000&amp;JupData!$J$2:$J$10000,0),11))</f>
        <v/>
      </c>
      <c r="N771" t="str">
        <f t="array" ref="N771">IF($A771="","",INDEX(JupData!$A$2:$K$10000,MATCH($A771&amp;N$1,JupData!$A$2:$A$10000&amp;JupData!$J$2:$J$10000,0),11))</f>
        <v/>
      </c>
      <c r="O771" t="str">
        <f t="array" ref="O771">IF($A771="","",INDEX(JupData!$A$2:$K$10000,MATCH($A771&amp;O$1,JupData!$A$2:$A$10000&amp;JupData!$J$2:$J$10000,0),11))</f>
        <v/>
      </c>
      <c r="P771" t="str">
        <f t="array" ref="P771">IF($A771="","",INDEX(JupData!$A$2:$K$10000,MATCH($A771&amp;P$1,JupData!$A$2:$A$10000&amp;JupData!$J$2:$J$10000,0),11))</f>
        <v/>
      </c>
      <c r="Q771" t="str">
        <f t="array" ref="Q771">IF($A771="","",INDEX(JupData!$A$2:$K$10000,MATCH($A771&amp;Q$1,JupData!$A$2:$A$10000&amp;JupData!$J$2:$J$10000,0),11))</f>
        <v/>
      </c>
      <c r="R771" t="str">
        <f t="array" ref="R771">IF($A771="","",INDEX(JupData!$A$2:$K$10000,MATCH($A771&amp;R$1,JupData!$A$2:$A$10000&amp;JupData!$J$2:$J$10000,0),11))</f>
        <v/>
      </c>
      <c r="S771" t="str">
        <f t="array" ref="S771">IF($A771="","",INDEX(JupData!$A$2:$K$10000,MATCH($A771&amp;S$1,JupData!$A$2:$A$10000&amp;JupData!$J$2:$J$10000,0),11))</f>
        <v/>
      </c>
      <c r="T771" t="str">
        <f t="array" ref="T771">IF($A771="","",INDEX(JupData!$A$2:$K$10000,MATCH($A771&amp;T$1,JupData!$A$2:$A$10000&amp;JupData!$J$2:$J$10000,0),11))</f>
        <v/>
      </c>
      <c r="U771" t="str">
        <f t="array" ref="U771">IF($A771="","",INDEX(JupData!$A$2:$K$10000,MATCH($A771&amp;U$1,JupData!$A$2:$A$10000&amp;JupData!$J$2:$J$10000,0),11))</f>
        <v/>
      </c>
      <c r="V771" t="str">
        <f t="array" ref="V771">IF($A771="","",INDEX(JupData!$A$2:$K$10000,MATCH($A771&amp;V$1,JupData!$A$2:$A$10000&amp;JupData!$J$2:$J$10000,0),11))</f>
        <v/>
      </c>
      <c r="W771" t="str">
        <f t="array" ref="W771">IF($A771="","",INDEX(JupData!$A$2:$K$10000,MATCH($A771&amp;W$1,JupData!$A$2:$A$10000&amp;JupData!$J$2:$J$10000,0),11))</f>
        <v/>
      </c>
      <c r="X771" t="str">
        <f t="array" ref="X771">IF($A771="","",INDEX(JupData!$A$2:$K$10000,MATCH($A771&amp;X$1,JupData!$A$2:$A$10000&amp;JupData!$J$2:$J$10000,0),11))</f>
        <v/>
      </c>
      <c r="Y771" t="str">
        <f t="array" ref="Y771">IF($A771="","",INDEX(JupData!$A$2:$K$10000,MATCH($A771&amp;Y$1,JupData!$A$2:$A$10000&amp;JupData!$J$2:$J$10000,0),11))</f>
        <v/>
      </c>
      <c r="Z771" t="str">
        <f t="array" ref="Z771">IF($A771="","",INDEX(JupData!$A$2:$K$10000,MATCH($A771&amp;Z$1,JupData!$A$2:$A$10000&amp;JupData!$J$2:$J$10000,0),11))</f>
        <v/>
      </c>
      <c r="AA771" t="str">
        <f t="array" ref="AA771">IF($A771="","",INDEX(JupData!$A$2:$K$10000,MATCH($A771&amp;AA$1,JupData!$A$2:$A$10000&amp;JupData!$J$2:$J$10000,0),11))</f>
        <v/>
      </c>
      <c r="AB771" t="str">
        <f t="array" ref="AB771">IF($A771="","",INDEX(JupData!$A$2:$K$10000,MATCH($A771&amp;AB$1,JupData!$A$2:$A$10000&amp;JupData!$J$2:$J$10000,0),11))</f>
        <v/>
      </c>
      <c r="AC771" s="10" t="str">
        <f t="shared" ref="AC771:AC834" si="132">IF(A771="","",2*H771/40.08+2*I771/24.3+J771/22.99+K771/39.1+Y771/18.04)</f>
        <v/>
      </c>
      <c r="AD771" s="10" t="str">
        <f t="shared" ref="AD771:AD834" si="133">IF(A771="","",R771/61.02+2*S771/96.06+T771/35.45+U771/19+W771/62)</f>
        <v/>
      </c>
      <c r="AE771" s="9" t="str">
        <f t="shared" ref="AE771:AE834" si="134">IF(A771="","",IF(AD771&lt;0,((AC771+AD771)/(AC771-AD771)),((AC771-AD771)/(AC771+AD771))))</f>
        <v/>
      </c>
      <c r="AF771" s="10" t="str">
        <f t="shared" ref="AF771:AF834" si="135">IF(A771="","",(J771/22.99)/(T771/35.45))</f>
        <v/>
      </c>
      <c r="AG771" s="10" t="str">
        <f t="shared" ref="AG771:AG834" si="136">IF(A771="","",2*((H771/40.08)+(I771/24.3))/(R771/61.02))</f>
        <v/>
      </c>
      <c r="AH771" s="10" t="str">
        <f t="shared" ref="AH771:AH834" si="137">IF(A771="","",(J771/22.99)/((J771/22.99)+2*(H771/40.08)))</f>
        <v/>
      </c>
      <c r="AI771" s="10" t="str">
        <f t="shared" ref="AI771:AI834" si="138">IF(A771="","",H771/40.08)</f>
        <v/>
      </c>
      <c r="AJ771" s="10" t="str">
        <f t="shared" ref="AJ771:AJ834" si="139">IF(A771="","",S771/96.06)</f>
        <v/>
      </c>
      <c r="AK771" s="10" t="str">
        <f t="shared" ref="AK771:AK834" si="140">IF(A771="","",IF(W771&gt;=1,IF(L771&lt;0.2,IF(G771&gt;1,"A","B"),"X1"),IF(L771&gt;=0.2,IF(S771&gt;=20,IF(S771&gt;70,"C2","C1"),IF(AG771&lt;=1,"D","X3")),"X2")))</f>
        <v/>
      </c>
      <c r="AL771" s="14" t="str">
        <f t="shared" ref="AL771:AL834" si="141">IF(F771="","",(H771/40.1+I771/24.3)*5.6)</f>
        <v/>
      </c>
    </row>
    <row r="772" spans="1:38" x14ac:dyDescent="0.2">
      <c r="A772"/>
      <c r="B772" t="str">
        <f>IF($A772="","",VLOOKUP($A772,JupData!$A$2:$I$10000,4,FALSE))</f>
        <v/>
      </c>
      <c r="C772" s="7" t="str">
        <f>IF($A772="",IF(N(D772),0,""),VLOOKUP($A772,JupData!$A$2:$I$10000,7,FALSE))</f>
        <v/>
      </c>
      <c r="D772" t="str">
        <f t="shared" ref="D772:D835" si="142">IF(A772="",IF(D771&lt;20,D771+1,""),IF(B771="",1,IF(B771=B772,D771,D771+1)))</f>
        <v/>
      </c>
      <c r="E772" t="str">
        <f t="array" ref="E772">IF($A772="","",INDEX(JupData!$A$2:$K$10000,MATCH($A772&amp;E$1,JupData!$A$2:$A$10000&amp;JupData!$J$2:$J$10000,0),11))</f>
        <v/>
      </c>
      <c r="F772" t="str">
        <f t="array" ref="F772">IF($A772="","",INDEX(JupData!$A$2:$K$10000,MATCH($A772&amp;F$1,JupData!$A$2:$A$10000&amp;JupData!$J$2:$J$10000,0),11))</f>
        <v/>
      </c>
      <c r="G772" t="str">
        <f t="array" ref="G772">IF($A772="","",INDEX(JupData!$A$2:$K$10000,MATCH($A772&amp;G$1,JupData!$A$2:$A$10000&amp;JupData!$J$2:$J$10000,0),11))</f>
        <v/>
      </c>
      <c r="H772" t="str">
        <f t="array" ref="H772">IF($A772="","",INDEX(JupData!$A$2:$K$10000,MATCH($A772&amp;H$1,JupData!$A$2:$A$10000&amp;JupData!$J$2:$J$10000,0),11))</f>
        <v/>
      </c>
      <c r="I772" t="str">
        <f t="array" ref="I772">IF($A772="","",INDEX(JupData!$A$2:$K$10000,MATCH($A772&amp;I$1,JupData!$A$2:$A$10000&amp;JupData!$J$2:$J$10000,0),11))</f>
        <v/>
      </c>
      <c r="J772" t="str">
        <f t="array" ref="J772">IF($A772="","",INDEX(JupData!$A$2:$K$10000,MATCH($A772&amp;J$1,JupData!$A$2:$A$10000&amp;JupData!$J$2:$J$10000,0),11))</f>
        <v/>
      </c>
      <c r="K772" t="str">
        <f t="array" ref="K772">IF($A772="","",INDEX(JupData!$A$2:$K$10000,MATCH($A772&amp;K$1,JupData!$A$2:$A$10000&amp;JupData!$J$2:$J$10000,0),11))</f>
        <v/>
      </c>
      <c r="L772" t="str">
        <f t="array" ref="L772">IF($A772="","",INDEX(JupData!$A$2:$K$10000,MATCH($A772&amp;L$1,JupData!$A$2:$A$10000&amp;JupData!$J$2:$J$10000,0),11))</f>
        <v/>
      </c>
      <c r="M772" t="str">
        <f t="array" ref="M772">IF($A772="","",INDEX(JupData!$A$2:$K$10000,MATCH($A772&amp;M$1,JupData!$A$2:$A$10000&amp;JupData!$J$2:$J$10000,0),11))</f>
        <v/>
      </c>
      <c r="N772" t="str">
        <f t="array" ref="N772">IF($A772="","",INDEX(JupData!$A$2:$K$10000,MATCH($A772&amp;N$1,JupData!$A$2:$A$10000&amp;JupData!$J$2:$J$10000,0),11))</f>
        <v/>
      </c>
      <c r="O772" t="str">
        <f t="array" ref="O772">IF($A772="","",INDEX(JupData!$A$2:$K$10000,MATCH($A772&amp;O$1,JupData!$A$2:$A$10000&amp;JupData!$J$2:$J$10000,0),11))</f>
        <v/>
      </c>
      <c r="P772" t="str">
        <f t="array" ref="P772">IF($A772="","",INDEX(JupData!$A$2:$K$10000,MATCH($A772&amp;P$1,JupData!$A$2:$A$10000&amp;JupData!$J$2:$J$10000,0),11))</f>
        <v/>
      </c>
      <c r="Q772" t="str">
        <f t="array" ref="Q772">IF($A772="","",INDEX(JupData!$A$2:$K$10000,MATCH($A772&amp;Q$1,JupData!$A$2:$A$10000&amp;JupData!$J$2:$J$10000,0),11))</f>
        <v/>
      </c>
      <c r="R772" t="str">
        <f t="array" ref="R772">IF($A772="","",INDEX(JupData!$A$2:$K$10000,MATCH($A772&amp;R$1,JupData!$A$2:$A$10000&amp;JupData!$J$2:$J$10000,0),11))</f>
        <v/>
      </c>
      <c r="S772" t="str">
        <f t="array" ref="S772">IF($A772="","",INDEX(JupData!$A$2:$K$10000,MATCH($A772&amp;S$1,JupData!$A$2:$A$10000&amp;JupData!$J$2:$J$10000,0),11))</f>
        <v/>
      </c>
      <c r="T772" t="str">
        <f t="array" ref="T772">IF($A772="","",INDEX(JupData!$A$2:$K$10000,MATCH($A772&amp;T$1,JupData!$A$2:$A$10000&amp;JupData!$J$2:$J$10000,0),11))</f>
        <v/>
      </c>
      <c r="U772" t="str">
        <f t="array" ref="U772">IF($A772="","",INDEX(JupData!$A$2:$K$10000,MATCH($A772&amp;U$1,JupData!$A$2:$A$10000&amp;JupData!$J$2:$J$10000,0),11))</f>
        <v/>
      </c>
      <c r="V772" t="str">
        <f t="array" ref="V772">IF($A772="","",INDEX(JupData!$A$2:$K$10000,MATCH($A772&amp;V$1,JupData!$A$2:$A$10000&amp;JupData!$J$2:$J$10000,0),11))</f>
        <v/>
      </c>
      <c r="W772" t="str">
        <f t="array" ref="W772">IF($A772="","",INDEX(JupData!$A$2:$K$10000,MATCH($A772&amp;W$1,JupData!$A$2:$A$10000&amp;JupData!$J$2:$J$10000,0),11))</f>
        <v/>
      </c>
      <c r="X772" t="str">
        <f t="array" ref="X772">IF($A772="","",INDEX(JupData!$A$2:$K$10000,MATCH($A772&amp;X$1,JupData!$A$2:$A$10000&amp;JupData!$J$2:$J$10000,0),11))</f>
        <v/>
      </c>
      <c r="Y772" t="str">
        <f t="array" ref="Y772">IF($A772="","",INDEX(JupData!$A$2:$K$10000,MATCH($A772&amp;Y$1,JupData!$A$2:$A$10000&amp;JupData!$J$2:$J$10000,0),11))</f>
        <v/>
      </c>
      <c r="Z772" t="str">
        <f t="array" ref="Z772">IF($A772="","",INDEX(JupData!$A$2:$K$10000,MATCH($A772&amp;Z$1,JupData!$A$2:$A$10000&amp;JupData!$J$2:$J$10000,0),11))</f>
        <v/>
      </c>
      <c r="AA772" t="str">
        <f t="array" ref="AA772">IF($A772="","",INDEX(JupData!$A$2:$K$10000,MATCH($A772&amp;AA$1,JupData!$A$2:$A$10000&amp;JupData!$J$2:$J$10000,0),11))</f>
        <v/>
      </c>
      <c r="AB772" t="str">
        <f t="array" ref="AB772">IF($A772="","",INDEX(JupData!$A$2:$K$10000,MATCH($A772&amp;AB$1,JupData!$A$2:$A$10000&amp;JupData!$J$2:$J$10000,0),11))</f>
        <v/>
      </c>
      <c r="AC772" s="10" t="str">
        <f t="shared" si="132"/>
        <v/>
      </c>
      <c r="AD772" s="10" t="str">
        <f t="shared" si="133"/>
        <v/>
      </c>
      <c r="AE772" s="9" t="str">
        <f t="shared" si="134"/>
        <v/>
      </c>
      <c r="AF772" s="10" t="str">
        <f t="shared" si="135"/>
        <v/>
      </c>
      <c r="AG772" s="10" t="str">
        <f t="shared" si="136"/>
        <v/>
      </c>
      <c r="AH772" s="10" t="str">
        <f t="shared" si="137"/>
        <v/>
      </c>
      <c r="AI772" s="10" t="str">
        <f t="shared" si="138"/>
        <v/>
      </c>
      <c r="AJ772" s="10" t="str">
        <f t="shared" si="139"/>
        <v/>
      </c>
      <c r="AK772" s="10" t="str">
        <f t="shared" si="140"/>
        <v/>
      </c>
      <c r="AL772" s="14" t="str">
        <f t="shared" si="141"/>
        <v/>
      </c>
    </row>
    <row r="773" spans="1:38" x14ac:dyDescent="0.2">
      <c r="A773"/>
      <c r="B773" t="str">
        <f>IF($A773="","",VLOOKUP($A773,JupData!$A$2:$I$10000,4,FALSE))</f>
        <v/>
      </c>
      <c r="C773" s="7" t="str">
        <f>IF($A773="",IF(N(D773),0,""),VLOOKUP($A773,JupData!$A$2:$I$10000,7,FALSE))</f>
        <v/>
      </c>
      <c r="D773" t="str">
        <f t="shared" si="142"/>
        <v/>
      </c>
      <c r="E773" t="str">
        <f t="array" ref="E773">IF($A773="","",INDEX(JupData!$A$2:$K$10000,MATCH($A773&amp;E$1,JupData!$A$2:$A$10000&amp;JupData!$J$2:$J$10000,0),11))</f>
        <v/>
      </c>
      <c r="F773" t="str">
        <f t="array" ref="F773">IF($A773="","",INDEX(JupData!$A$2:$K$10000,MATCH($A773&amp;F$1,JupData!$A$2:$A$10000&amp;JupData!$J$2:$J$10000,0),11))</f>
        <v/>
      </c>
      <c r="G773" t="str">
        <f t="array" ref="G773">IF($A773="","",INDEX(JupData!$A$2:$K$10000,MATCH($A773&amp;G$1,JupData!$A$2:$A$10000&amp;JupData!$J$2:$J$10000,0),11))</f>
        <v/>
      </c>
      <c r="H773" t="str">
        <f t="array" ref="H773">IF($A773="","",INDEX(JupData!$A$2:$K$10000,MATCH($A773&amp;H$1,JupData!$A$2:$A$10000&amp;JupData!$J$2:$J$10000,0),11))</f>
        <v/>
      </c>
      <c r="I773" t="str">
        <f t="array" ref="I773">IF($A773="","",INDEX(JupData!$A$2:$K$10000,MATCH($A773&amp;I$1,JupData!$A$2:$A$10000&amp;JupData!$J$2:$J$10000,0),11))</f>
        <v/>
      </c>
      <c r="J773" t="str">
        <f t="array" ref="J773">IF($A773="","",INDEX(JupData!$A$2:$K$10000,MATCH($A773&amp;J$1,JupData!$A$2:$A$10000&amp;JupData!$J$2:$J$10000,0),11))</f>
        <v/>
      </c>
      <c r="K773" t="str">
        <f t="array" ref="K773">IF($A773="","",INDEX(JupData!$A$2:$K$10000,MATCH($A773&amp;K$1,JupData!$A$2:$A$10000&amp;JupData!$J$2:$J$10000,0),11))</f>
        <v/>
      </c>
      <c r="L773" t="str">
        <f t="array" ref="L773">IF($A773="","",INDEX(JupData!$A$2:$K$10000,MATCH($A773&amp;L$1,JupData!$A$2:$A$10000&amp;JupData!$J$2:$J$10000,0),11))</f>
        <v/>
      </c>
      <c r="M773" t="str">
        <f t="array" ref="M773">IF($A773="","",INDEX(JupData!$A$2:$K$10000,MATCH($A773&amp;M$1,JupData!$A$2:$A$10000&amp;JupData!$J$2:$J$10000,0),11))</f>
        <v/>
      </c>
      <c r="N773" t="str">
        <f t="array" ref="N773">IF($A773="","",INDEX(JupData!$A$2:$K$10000,MATCH($A773&amp;N$1,JupData!$A$2:$A$10000&amp;JupData!$J$2:$J$10000,0),11))</f>
        <v/>
      </c>
      <c r="O773" t="str">
        <f t="array" ref="O773">IF($A773="","",INDEX(JupData!$A$2:$K$10000,MATCH($A773&amp;O$1,JupData!$A$2:$A$10000&amp;JupData!$J$2:$J$10000,0),11))</f>
        <v/>
      </c>
      <c r="P773" t="str">
        <f t="array" ref="P773">IF($A773="","",INDEX(JupData!$A$2:$K$10000,MATCH($A773&amp;P$1,JupData!$A$2:$A$10000&amp;JupData!$J$2:$J$10000,0),11))</f>
        <v/>
      </c>
      <c r="Q773" t="str">
        <f t="array" ref="Q773">IF($A773="","",INDEX(JupData!$A$2:$K$10000,MATCH($A773&amp;Q$1,JupData!$A$2:$A$10000&amp;JupData!$J$2:$J$10000,0),11))</f>
        <v/>
      </c>
      <c r="R773" t="str">
        <f t="array" ref="R773">IF($A773="","",INDEX(JupData!$A$2:$K$10000,MATCH($A773&amp;R$1,JupData!$A$2:$A$10000&amp;JupData!$J$2:$J$10000,0),11))</f>
        <v/>
      </c>
      <c r="S773" t="str">
        <f t="array" ref="S773">IF($A773="","",INDEX(JupData!$A$2:$K$10000,MATCH($A773&amp;S$1,JupData!$A$2:$A$10000&amp;JupData!$J$2:$J$10000,0),11))</f>
        <v/>
      </c>
      <c r="T773" t="str">
        <f t="array" ref="T773">IF($A773="","",INDEX(JupData!$A$2:$K$10000,MATCH($A773&amp;T$1,JupData!$A$2:$A$10000&amp;JupData!$J$2:$J$10000,0),11))</f>
        <v/>
      </c>
      <c r="U773" t="str">
        <f t="array" ref="U773">IF($A773="","",INDEX(JupData!$A$2:$K$10000,MATCH($A773&amp;U$1,JupData!$A$2:$A$10000&amp;JupData!$J$2:$J$10000,0),11))</f>
        <v/>
      </c>
      <c r="V773" t="str">
        <f t="array" ref="V773">IF($A773="","",INDEX(JupData!$A$2:$K$10000,MATCH($A773&amp;V$1,JupData!$A$2:$A$10000&amp;JupData!$J$2:$J$10000,0),11))</f>
        <v/>
      </c>
      <c r="W773" t="str">
        <f t="array" ref="W773">IF($A773="","",INDEX(JupData!$A$2:$K$10000,MATCH($A773&amp;W$1,JupData!$A$2:$A$10000&amp;JupData!$J$2:$J$10000,0),11))</f>
        <v/>
      </c>
      <c r="X773" t="str">
        <f t="array" ref="X773">IF($A773="","",INDEX(JupData!$A$2:$K$10000,MATCH($A773&amp;X$1,JupData!$A$2:$A$10000&amp;JupData!$J$2:$J$10000,0),11))</f>
        <v/>
      </c>
      <c r="Y773" t="str">
        <f t="array" ref="Y773">IF($A773="","",INDEX(JupData!$A$2:$K$10000,MATCH($A773&amp;Y$1,JupData!$A$2:$A$10000&amp;JupData!$J$2:$J$10000,0),11))</f>
        <v/>
      </c>
      <c r="Z773" t="str">
        <f t="array" ref="Z773">IF($A773="","",INDEX(JupData!$A$2:$K$10000,MATCH($A773&amp;Z$1,JupData!$A$2:$A$10000&amp;JupData!$J$2:$J$10000,0),11))</f>
        <v/>
      </c>
      <c r="AA773" t="str">
        <f t="array" ref="AA773">IF($A773="","",INDEX(JupData!$A$2:$K$10000,MATCH($A773&amp;AA$1,JupData!$A$2:$A$10000&amp;JupData!$J$2:$J$10000,0),11))</f>
        <v/>
      </c>
      <c r="AB773" t="str">
        <f t="array" ref="AB773">IF($A773="","",INDEX(JupData!$A$2:$K$10000,MATCH($A773&amp;AB$1,JupData!$A$2:$A$10000&amp;JupData!$J$2:$J$10000,0),11))</f>
        <v/>
      </c>
      <c r="AC773" s="10" t="str">
        <f t="shared" si="132"/>
        <v/>
      </c>
      <c r="AD773" s="10" t="str">
        <f t="shared" si="133"/>
        <v/>
      </c>
      <c r="AE773" s="9" t="str">
        <f t="shared" si="134"/>
        <v/>
      </c>
      <c r="AF773" s="10" t="str">
        <f t="shared" si="135"/>
        <v/>
      </c>
      <c r="AG773" s="10" t="str">
        <f t="shared" si="136"/>
        <v/>
      </c>
      <c r="AH773" s="10" t="str">
        <f t="shared" si="137"/>
        <v/>
      </c>
      <c r="AI773" s="10" t="str">
        <f t="shared" si="138"/>
        <v/>
      </c>
      <c r="AJ773" s="10" t="str">
        <f t="shared" si="139"/>
        <v/>
      </c>
      <c r="AK773" s="10" t="str">
        <f t="shared" si="140"/>
        <v/>
      </c>
      <c r="AL773" s="14" t="str">
        <f t="shared" si="141"/>
        <v/>
      </c>
    </row>
    <row r="774" spans="1:38" x14ac:dyDescent="0.2">
      <c r="A774"/>
      <c r="B774" t="str">
        <f>IF($A774="","",VLOOKUP($A774,JupData!$A$2:$I$10000,4,FALSE))</f>
        <v/>
      </c>
      <c r="C774" s="7" t="str">
        <f>IF($A774="",IF(N(D774),0,""),VLOOKUP($A774,JupData!$A$2:$I$10000,7,FALSE))</f>
        <v/>
      </c>
      <c r="D774" t="str">
        <f t="shared" si="142"/>
        <v/>
      </c>
      <c r="E774" t="str">
        <f t="array" ref="E774">IF($A774="","",INDEX(JupData!$A$2:$K$10000,MATCH($A774&amp;E$1,JupData!$A$2:$A$10000&amp;JupData!$J$2:$J$10000,0),11))</f>
        <v/>
      </c>
      <c r="F774" t="str">
        <f t="array" ref="F774">IF($A774="","",INDEX(JupData!$A$2:$K$10000,MATCH($A774&amp;F$1,JupData!$A$2:$A$10000&amp;JupData!$J$2:$J$10000,0),11))</f>
        <v/>
      </c>
      <c r="G774" t="str">
        <f t="array" ref="G774">IF($A774="","",INDEX(JupData!$A$2:$K$10000,MATCH($A774&amp;G$1,JupData!$A$2:$A$10000&amp;JupData!$J$2:$J$10000,0),11))</f>
        <v/>
      </c>
      <c r="H774" t="str">
        <f t="array" ref="H774">IF($A774="","",INDEX(JupData!$A$2:$K$10000,MATCH($A774&amp;H$1,JupData!$A$2:$A$10000&amp;JupData!$J$2:$J$10000,0),11))</f>
        <v/>
      </c>
      <c r="I774" t="str">
        <f t="array" ref="I774">IF($A774="","",INDEX(JupData!$A$2:$K$10000,MATCH($A774&amp;I$1,JupData!$A$2:$A$10000&amp;JupData!$J$2:$J$10000,0),11))</f>
        <v/>
      </c>
      <c r="J774" t="str">
        <f t="array" ref="J774">IF($A774="","",INDEX(JupData!$A$2:$K$10000,MATCH($A774&amp;J$1,JupData!$A$2:$A$10000&amp;JupData!$J$2:$J$10000,0),11))</f>
        <v/>
      </c>
      <c r="K774" t="str">
        <f t="array" ref="K774">IF($A774="","",INDEX(JupData!$A$2:$K$10000,MATCH($A774&amp;K$1,JupData!$A$2:$A$10000&amp;JupData!$J$2:$J$10000,0),11))</f>
        <v/>
      </c>
      <c r="L774" t="str">
        <f t="array" ref="L774">IF($A774="","",INDEX(JupData!$A$2:$K$10000,MATCH($A774&amp;L$1,JupData!$A$2:$A$10000&amp;JupData!$J$2:$J$10000,0),11))</f>
        <v/>
      </c>
      <c r="M774" t="str">
        <f t="array" ref="M774">IF($A774="","",INDEX(JupData!$A$2:$K$10000,MATCH($A774&amp;M$1,JupData!$A$2:$A$10000&amp;JupData!$J$2:$J$10000,0),11))</f>
        <v/>
      </c>
      <c r="N774" t="str">
        <f t="array" ref="N774">IF($A774="","",INDEX(JupData!$A$2:$K$10000,MATCH($A774&amp;N$1,JupData!$A$2:$A$10000&amp;JupData!$J$2:$J$10000,0),11))</f>
        <v/>
      </c>
      <c r="O774" t="str">
        <f t="array" ref="O774">IF($A774="","",INDEX(JupData!$A$2:$K$10000,MATCH($A774&amp;O$1,JupData!$A$2:$A$10000&amp;JupData!$J$2:$J$10000,0),11))</f>
        <v/>
      </c>
      <c r="P774" t="str">
        <f t="array" ref="P774">IF($A774="","",INDEX(JupData!$A$2:$K$10000,MATCH($A774&amp;P$1,JupData!$A$2:$A$10000&amp;JupData!$J$2:$J$10000,0),11))</f>
        <v/>
      </c>
      <c r="Q774" t="str">
        <f t="array" ref="Q774">IF($A774="","",INDEX(JupData!$A$2:$K$10000,MATCH($A774&amp;Q$1,JupData!$A$2:$A$10000&amp;JupData!$J$2:$J$10000,0),11))</f>
        <v/>
      </c>
      <c r="R774" t="str">
        <f t="array" ref="R774">IF($A774="","",INDEX(JupData!$A$2:$K$10000,MATCH($A774&amp;R$1,JupData!$A$2:$A$10000&amp;JupData!$J$2:$J$10000,0),11))</f>
        <v/>
      </c>
      <c r="S774" t="str">
        <f t="array" ref="S774">IF($A774="","",INDEX(JupData!$A$2:$K$10000,MATCH($A774&amp;S$1,JupData!$A$2:$A$10000&amp;JupData!$J$2:$J$10000,0),11))</f>
        <v/>
      </c>
      <c r="T774" t="str">
        <f t="array" ref="T774">IF($A774="","",INDEX(JupData!$A$2:$K$10000,MATCH($A774&amp;T$1,JupData!$A$2:$A$10000&amp;JupData!$J$2:$J$10000,0),11))</f>
        <v/>
      </c>
      <c r="U774" t="str">
        <f t="array" ref="U774">IF($A774="","",INDEX(JupData!$A$2:$K$10000,MATCH($A774&amp;U$1,JupData!$A$2:$A$10000&amp;JupData!$J$2:$J$10000,0),11))</f>
        <v/>
      </c>
      <c r="V774" t="str">
        <f t="array" ref="V774">IF($A774="","",INDEX(JupData!$A$2:$K$10000,MATCH($A774&amp;V$1,JupData!$A$2:$A$10000&amp;JupData!$J$2:$J$10000,0),11))</f>
        <v/>
      </c>
      <c r="W774" t="str">
        <f t="array" ref="W774">IF($A774="","",INDEX(JupData!$A$2:$K$10000,MATCH($A774&amp;W$1,JupData!$A$2:$A$10000&amp;JupData!$J$2:$J$10000,0),11))</f>
        <v/>
      </c>
      <c r="X774" t="str">
        <f t="array" ref="X774">IF($A774="","",INDEX(JupData!$A$2:$K$10000,MATCH($A774&amp;X$1,JupData!$A$2:$A$10000&amp;JupData!$J$2:$J$10000,0),11))</f>
        <v/>
      </c>
      <c r="Y774" t="str">
        <f t="array" ref="Y774">IF($A774="","",INDEX(JupData!$A$2:$K$10000,MATCH($A774&amp;Y$1,JupData!$A$2:$A$10000&amp;JupData!$J$2:$J$10000,0),11))</f>
        <v/>
      </c>
      <c r="Z774" t="str">
        <f t="array" ref="Z774">IF($A774="","",INDEX(JupData!$A$2:$K$10000,MATCH($A774&amp;Z$1,JupData!$A$2:$A$10000&amp;JupData!$J$2:$J$10000,0),11))</f>
        <v/>
      </c>
      <c r="AA774" t="str">
        <f t="array" ref="AA774">IF($A774="","",INDEX(JupData!$A$2:$K$10000,MATCH($A774&amp;AA$1,JupData!$A$2:$A$10000&amp;JupData!$J$2:$J$10000,0),11))</f>
        <v/>
      </c>
      <c r="AB774" t="str">
        <f t="array" ref="AB774">IF($A774="","",INDEX(JupData!$A$2:$K$10000,MATCH($A774&amp;AB$1,JupData!$A$2:$A$10000&amp;JupData!$J$2:$J$10000,0),11))</f>
        <v/>
      </c>
      <c r="AC774" s="10" t="str">
        <f t="shared" si="132"/>
        <v/>
      </c>
      <c r="AD774" s="10" t="str">
        <f t="shared" si="133"/>
        <v/>
      </c>
      <c r="AE774" s="9" t="str">
        <f t="shared" si="134"/>
        <v/>
      </c>
      <c r="AF774" s="10" t="str">
        <f t="shared" si="135"/>
        <v/>
      </c>
      <c r="AG774" s="10" t="str">
        <f t="shared" si="136"/>
        <v/>
      </c>
      <c r="AH774" s="10" t="str">
        <f t="shared" si="137"/>
        <v/>
      </c>
      <c r="AI774" s="10" t="str">
        <f t="shared" si="138"/>
        <v/>
      </c>
      <c r="AJ774" s="10" t="str">
        <f t="shared" si="139"/>
        <v/>
      </c>
      <c r="AK774" s="10" t="str">
        <f t="shared" si="140"/>
        <v/>
      </c>
      <c r="AL774" s="14" t="str">
        <f t="shared" si="141"/>
        <v/>
      </c>
    </row>
    <row r="775" spans="1:38" x14ac:dyDescent="0.2">
      <c r="A775"/>
      <c r="B775" t="str">
        <f>IF($A775="","",VLOOKUP($A775,JupData!$A$2:$I$10000,4,FALSE))</f>
        <v/>
      </c>
      <c r="C775" s="7" t="str">
        <f>IF($A775="",IF(N(D775),0,""),VLOOKUP($A775,JupData!$A$2:$I$10000,7,FALSE))</f>
        <v/>
      </c>
      <c r="D775" t="str">
        <f t="shared" si="142"/>
        <v/>
      </c>
      <c r="E775" t="str">
        <f t="array" ref="E775">IF($A775="","",INDEX(JupData!$A$2:$K$10000,MATCH($A775&amp;E$1,JupData!$A$2:$A$10000&amp;JupData!$J$2:$J$10000,0),11))</f>
        <v/>
      </c>
      <c r="F775" t="str">
        <f t="array" ref="F775">IF($A775="","",INDEX(JupData!$A$2:$K$10000,MATCH($A775&amp;F$1,JupData!$A$2:$A$10000&amp;JupData!$J$2:$J$10000,0),11))</f>
        <v/>
      </c>
      <c r="G775" t="str">
        <f t="array" ref="G775">IF($A775="","",INDEX(JupData!$A$2:$K$10000,MATCH($A775&amp;G$1,JupData!$A$2:$A$10000&amp;JupData!$J$2:$J$10000,0),11))</f>
        <v/>
      </c>
      <c r="H775" t="str">
        <f t="array" ref="H775">IF($A775="","",INDEX(JupData!$A$2:$K$10000,MATCH($A775&amp;H$1,JupData!$A$2:$A$10000&amp;JupData!$J$2:$J$10000,0),11))</f>
        <v/>
      </c>
      <c r="I775" t="str">
        <f t="array" ref="I775">IF($A775="","",INDEX(JupData!$A$2:$K$10000,MATCH($A775&amp;I$1,JupData!$A$2:$A$10000&amp;JupData!$J$2:$J$10000,0),11))</f>
        <v/>
      </c>
      <c r="J775" t="str">
        <f t="array" ref="J775">IF($A775="","",INDEX(JupData!$A$2:$K$10000,MATCH($A775&amp;J$1,JupData!$A$2:$A$10000&amp;JupData!$J$2:$J$10000,0),11))</f>
        <v/>
      </c>
      <c r="K775" t="str">
        <f t="array" ref="K775">IF($A775="","",INDEX(JupData!$A$2:$K$10000,MATCH($A775&amp;K$1,JupData!$A$2:$A$10000&amp;JupData!$J$2:$J$10000,0),11))</f>
        <v/>
      </c>
      <c r="L775" t="str">
        <f t="array" ref="L775">IF($A775="","",INDEX(JupData!$A$2:$K$10000,MATCH($A775&amp;L$1,JupData!$A$2:$A$10000&amp;JupData!$J$2:$J$10000,0),11))</f>
        <v/>
      </c>
      <c r="M775" t="str">
        <f t="array" ref="M775">IF($A775="","",INDEX(JupData!$A$2:$K$10000,MATCH($A775&amp;M$1,JupData!$A$2:$A$10000&amp;JupData!$J$2:$J$10000,0),11))</f>
        <v/>
      </c>
      <c r="N775" t="str">
        <f t="array" ref="N775">IF($A775="","",INDEX(JupData!$A$2:$K$10000,MATCH($A775&amp;N$1,JupData!$A$2:$A$10000&amp;JupData!$J$2:$J$10000,0),11))</f>
        <v/>
      </c>
      <c r="O775" t="str">
        <f t="array" ref="O775">IF($A775="","",INDEX(JupData!$A$2:$K$10000,MATCH($A775&amp;O$1,JupData!$A$2:$A$10000&amp;JupData!$J$2:$J$10000,0),11))</f>
        <v/>
      </c>
      <c r="P775" t="str">
        <f t="array" ref="P775">IF($A775="","",INDEX(JupData!$A$2:$K$10000,MATCH($A775&amp;P$1,JupData!$A$2:$A$10000&amp;JupData!$J$2:$J$10000,0),11))</f>
        <v/>
      </c>
      <c r="Q775" t="str">
        <f t="array" ref="Q775">IF($A775="","",INDEX(JupData!$A$2:$K$10000,MATCH($A775&amp;Q$1,JupData!$A$2:$A$10000&amp;JupData!$J$2:$J$10000,0),11))</f>
        <v/>
      </c>
      <c r="R775" t="str">
        <f t="array" ref="R775">IF($A775="","",INDEX(JupData!$A$2:$K$10000,MATCH($A775&amp;R$1,JupData!$A$2:$A$10000&amp;JupData!$J$2:$J$10000,0),11))</f>
        <v/>
      </c>
      <c r="S775" t="str">
        <f t="array" ref="S775">IF($A775="","",INDEX(JupData!$A$2:$K$10000,MATCH($A775&amp;S$1,JupData!$A$2:$A$10000&amp;JupData!$J$2:$J$10000,0),11))</f>
        <v/>
      </c>
      <c r="T775" t="str">
        <f t="array" ref="T775">IF($A775="","",INDEX(JupData!$A$2:$K$10000,MATCH($A775&amp;T$1,JupData!$A$2:$A$10000&amp;JupData!$J$2:$J$10000,0),11))</f>
        <v/>
      </c>
      <c r="U775" t="str">
        <f t="array" ref="U775">IF($A775="","",INDEX(JupData!$A$2:$K$10000,MATCH($A775&amp;U$1,JupData!$A$2:$A$10000&amp;JupData!$J$2:$J$10000,0),11))</f>
        <v/>
      </c>
      <c r="V775" t="str">
        <f t="array" ref="V775">IF($A775="","",INDEX(JupData!$A$2:$K$10000,MATCH($A775&amp;V$1,JupData!$A$2:$A$10000&amp;JupData!$J$2:$J$10000,0),11))</f>
        <v/>
      </c>
      <c r="W775" t="str">
        <f t="array" ref="W775">IF($A775="","",INDEX(JupData!$A$2:$K$10000,MATCH($A775&amp;W$1,JupData!$A$2:$A$10000&amp;JupData!$J$2:$J$10000,0),11))</f>
        <v/>
      </c>
      <c r="X775" t="str">
        <f t="array" ref="X775">IF($A775="","",INDEX(JupData!$A$2:$K$10000,MATCH($A775&amp;X$1,JupData!$A$2:$A$10000&amp;JupData!$J$2:$J$10000,0),11))</f>
        <v/>
      </c>
      <c r="Y775" t="str">
        <f t="array" ref="Y775">IF($A775="","",INDEX(JupData!$A$2:$K$10000,MATCH($A775&amp;Y$1,JupData!$A$2:$A$10000&amp;JupData!$J$2:$J$10000,0),11))</f>
        <v/>
      </c>
      <c r="Z775" t="str">
        <f t="array" ref="Z775">IF($A775="","",INDEX(JupData!$A$2:$K$10000,MATCH($A775&amp;Z$1,JupData!$A$2:$A$10000&amp;JupData!$J$2:$J$10000,0),11))</f>
        <v/>
      </c>
      <c r="AA775" t="str">
        <f t="array" ref="AA775">IF($A775="","",INDEX(JupData!$A$2:$K$10000,MATCH($A775&amp;AA$1,JupData!$A$2:$A$10000&amp;JupData!$J$2:$J$10000,0),11))</f>
        <v/>
      </c>
      <c r="AB775" t="str">
        <f t="array" ref="AB775">IF($A775="","",INDEX(JupData!$A$2:$K$10000,MATCH($A775&amp;AB$1,JupData!$A$2:$A$10000&amp;JupData!$J$2:$J$10000,0),11))</f>
        <v/>
      </c>
      <c r="AC775" s="10" t="str">
        <f t="shared" si="132"/>
        <v/>
      </c>
      <c r="AD775" s="10" t="str">
        <f t="shared" si="133"/>
        <v/>
      </c>
      <c r="AE775" s="9" t="str">
        <f t="shared" si="134"/>
        <v/>
      </c>
      <c r="AF775" s="10" t="str">
        <f t="shared" si="135"/>
        <v/>
      </c>
      <c r="AG775" s="10" t="str">
        <f t="shared" si="136"/>
        <v/>
      </c>
      <c r="AH775" s="10" t="str">
        <f t="shared" si="137"/>
        <v/>
      </c>
      <c r="AI775" s="10" t="str">
        <f t="shared" si="138"/>
        <v/>
      </c>
      <c r="AJ775" s="10" t="str">
        <f t="shared" si="139"/>
        <v/>
      </c>
      <c r="AK775" s="10" t="str">
        <f t="shared" si="140"/>
        <v/>
      </c>
      <c r="AL775" s="14" t="str">
        <f t="shared" si="141"/>
        <v/>
      </c>
    </row>
    <row r="776" spans="1:38" x14ac:dyDescent="0.2">
      <c r="A776"/>
      <c r="B776" t="str">
        <f>IF($A776="","",VLOOKUP($A776,JupData!$A$2:$I$10000,4,FALSE))</f>
        <v/>
      </c>
      <c r="C776" s="7" t="str">
        <f>IF($A776="",IF(N(D776),0,""),VLOOKUP($A776,JupData!$A$2:$I$10000,7,FALSE))</f>
        <v/>
      </c>
      <c r="D776" t="str">
        <f t="shared" si="142"/>
        <v/>
      </c>
      <c r="E776" t="str">
        <f t="array" ref="E776">IF($A776="","",INDEX(JupData!$A$2:$K$10000,MATCH($A776&amp;E$1,JupData!$A$2:$A$10000&amp;JupData!$J$2:$J$10000,0),11))</f>
        <v/>
      </c>
      <c r="F776" t="str">
        <f t="array" ref="F776">IF($A776="","",INDEX(JupData!$A$2:$K$10000,MATCH($A776&amp;F$1,JupData!$A$2:$A$10000&amp;JupData!$J$2:$J$10000,0),11))</f>
        <v/>
      </c>
      <c r="G776" t="str">
        <f t="array" ref="G776">IF($A776="","",INDEX(JupData!$A$2:$K$10000,MATCH($A776&amp;G$1,JupData!$A$2:$A$10000&amp;JupData!$J$2:$J$10000,0),11))</f>
        <v/>
      </c>
      <c r="H776" t="str">
        <f t="array" ref="H776">IF($A776="","",INDEX(JupData!$A$2:$K$10000,MATCH($A776&amp;H$1,JupData!$A$2:$A$10000&amp;JupData!$J$2:$J$10000,0),11))</f>
        <v/>
      </c>
      <c r="I776" t="str">
        <f t="array" ref="I776">IF($A776="","",INDEX(JupData!$A$2:$K$10000,MATCH($A776&amp;I$1,JupData!$A$2:$A$10000&amp;JupData!$J$2:$J$10000,0),11))</f>
        <v/>
      </c>
      <c r="J776" t="str">
        <f t="array" ref="J776">IF($A776="","",INDEX(JupData!$A$2:$K$10000,MATCH($A776&amp;J$1,JupData!$A$2:$A$10000&amp;JupData!$J$2:$J$10000,0),11))</f>
        <v/>
      </c>
      <c r="K776" t="str">
        <f t="array" ref="K776">IF($A776="","",INDEX(JupData!$A$2:$K$10000,MATCH($A776&amp;K$1,JupData!$A$2:$A$10000&amp;JupData!$J$2:$J$10000,0),11))</f>
        <v/>
      </c>
      <c r="L776" t="str">
        <f t="array" ref="L776">IF($A776="","",INDEX(JupData!$A$2:$K$10000,MATCH($A776&amp;L$1,JupData!$A$2:$A$10000&amp;JupData!$J$2:$J$10000,0),11))</f>
        <v/>
      </c>
      <c r="M776" t="str">
        <f t="array" ref="M776">IF($A776="","",INDEX(JupData!$A$2:$K$10000,MATCH($A776&amp;M$1,JupData!$A$2:$A$10000&amp;JupData!$J$2:$J$10000,0),11))</f>
        <v/>
      </c>
      <c r="N776" t="str">
        <f t="array" ref="N776">IF($A776="","",INDEX(JupData!$A$2:$K$10000,MATCH($A776&amp;N$1,JupData!$A$2:$A$10000&amp;JupData!$J$2:$J$10000,0),11))</f>
        <v/>
      </c>
      <c r="O776" t="str">
        <f t="array" ref="O776">IF($A776="","",INDEX(JupData!$A$2:$K$10000,MATCH($A776&amp;O$1,JupData!$A$2:$A$10000&amp;JupData!$J$2:$J$10000,0),11))</f>
        <v/>
      </c>
      <c r="P776" t="str">
        <f t="array" ref="P776">IF($A776="","",INDEX(JupData!$A$2:$K$10000,MATCH($A776&amp;P$1,JupData!$A$2:$A$10000&amp;JupData!$J$2:$J$10000,0),11))</f>
        <v/>
      </c>
      <c r="Q776" t="str">
        <f t="array" ref="Q776">IF($A776="","",INDEX(JupData!$A$2:$K$10000,MATCH($A776&amp;Q$1,JupData!$A$2:$A$10000&amp;JupData!$J$2:$J$10000,0),11))</f>
        <v/>
      </c>
      <c r="R776" t="str">
        <f t="array" ref="R776">IF($A776="","",INDEX(JupData!$A$2:$K$10000,MATCH($A776&amp;R$1,JupData!$A$2:$A$10000&amp;JupData!$J$2:$J$10000,0),11))</f>
        <v/>
      </c>
      <c r="S776" t="str">
        <f t="array" ref="S776">IF($A776="","",INDEX(JupData!$A$2:$K$10000,MATCH($A776&amp;S$1,JupData!$A$2:$A$10000&amp;JupData!$J$2:$J$10000,0),11))</f>
        <v/>
      </c>
      <c r="T776" t="str">
        <f t="array" ref="T776">IF($A776="","",INDEX(JupData!$A$2:$K$10000,MATCH($A776&amp;T$1,JupData!$A$2:$A$10000&amp;JupData!$J$2:$J$10000,0),11))</f>
        <v/>
      </c>
      <c r="U776" t="str">
        <f t="array" ref="U776">IF($A776="","",INDEX(JupData!$A$2:$K$10000,MATCH($A776&amp;U$1,JupData!$A$2:$A$10000&amp;JupData!$J$2:$J$10000,0),11))</f>
        <v/>
      </c>
      <c r="V776" t="str">
        <f t="array" ref="V776">IF($A776="","",INDEX(JupData!$A$2:$K$10000,MATCH($A776&amp;V$1,JupData!$A$2:$A$10000&amp;JupData!$J$2:$J$10000,0),11))</f>
        <v/>
      </c>
      <c r="W776" t="str">
        <f t="array" ref="W776">IF($A776="","",INDEX(JupData!$A$2:$K$10000,MATCH($A776&amp;W$1,JupData!$A$2:$A$10000&amp;JupData!$J$2:$J$10000,0),11))</f>
        <v/>
      </c>
      <c r="X776" t="str">
        <f t="array" ref="X776">IF($A776="","",INDEX(JupData!$A$2:$K$10000,MATCH($A776&amp;X$1,JupData!$A$2:$A$10000&amp;JupData!$J$2:$J$10000,0),11))</f>
        <v/>
      </c>
      <c r="Y776" t="str">
        <f t="array" ref="Y776">IF($A776="","",INDEX(JupData!$A$2:$K$10000,MATCH($A776&amp;Y$1,JupData!$A$2:$A$10000&amp;JupData!$J$2:$J$10000,0),11))</f>
        <v/>
      </c>
      <c r="Z776" t="str">
        <f t="array" ref="Z776">IF($A776="","",INDEX(JupData!$A$2:$K$10000,MATCH($A776&amp;Z$1,JupData!$A$2:$A$10000&amp;JupData!$J$2:$J$10000,0),11))</f>
        <v/>
      </c>
      <c r="AA776" t="str">
        <f t="array" ref="AA776">IF($A776="","",INDEX(JupData!$A$2:$K$10000,MATCH($A776&amp;AA$1,JupData!$A$2:$A$10000&amp;JupData!$J$2:$J$10000,0),11))</f>
        <v/>
      </c>
      <c r="AB776" t="str">
        <f t="array" ref="AB776">IF($A776="","",INDEX(JupData!$A$2:$K$10000,MATCH($A776&amp;AB$1,JupData!$A$2:$A$10000&amp;JupData!$J$2:$J$10000,0),11))</f>
        <v/>
      </c>
      <c r="AC776" s="10" t="str">
        <f t="shared" si="132"/>
        <v/>
      </c>
      <c r="AD776" s="10" t="str">
        <f t="shared" si="133"/>
        <v/>
      </c>
      <c r="AE776" s="9" t="str">
        <f t="shared" si="134"/>
        <v/>
      </c>
      <c r="AF776" s="10" t="str">
        <f t="shared" si="135"/>
        <v/>
      </c>
      <c r="AG776" s="10" t="str">
        <f t="shared" si="136"/>
        <v/>
      </c>
      <c r="AH776" s="10" t="str">
        <f t="shared" si="137"/>
        <v/>
      </c>
      <c r="AI776" s="10" t="str">
        <f t="shared" si="138"/>
        <v/>
      </c>
      <c r="AJ776" s="10" t="str">
        <f t="shared" si="139"/>
        <v/>
      </c>
      <c r="AK776" s="10" t="str">
        <f t="shared" si="140"/>
        <v/>
      </c>
      <c r="AL776" s="14" t="str">
        <f t="shared" si="141"/>
        <v/>
      </c>
    </row>
    <row r="777" spans="1:38" x14ac:dyDescent="0.2">
      <c r="A777"/>
      <c r="B777" t="str">
        <f>IF($A777="","",VLOOKUP($A777,JupData!$A$2:$I$10000,4,FALSE))</f>
        <v/>
      </c>
      <c r="C777" s="7" t="str">
        <f>IF($A777="",IF(N(D777),0,""),VLOOKUP($A777,JupData!$A$2:$I$10000,7,FALSE))</f>
        <v/>
      </c>
      <c r="D777" t="str">
        <f t="shared" si="142"/>
        <v/>
      </c>
      <c r="E777" t="str">
        <f t="array" ref="E777">IF($A777="","",INDEX(JupData!$A$2:$K$10000,MATCH($A777&amp;E$1,JupData!$A$2:$A$10000&amp;JupData!$J$2:$J$10000,0),11))</f>
        <v/>
      </c>
      <c r="F777" t="str">
        <f t="array" ref="F777">IF($A777="","",INDEX(JupData!$A$2:$K$10000,MATCH($A777&amp;F$1,JupData!$A$2:$A$10000&amp;JupData!$J$2:$J$10000,0),11))</f>
        <v/>
      </c>
      <c r="G777" t="str">
        <f t="array" ref="G777">IF($A777="","",INDEX(JupData!$A$2:$K$10000,MATCH($A777&amp;G$1,JupData!$A$2:$A$10000&amp;JupData!$J$2:$J$10000,0),11))</f>
        <v/>
      </c>
      <c r="H777" t="str">
        <f t="array" ref="H777">IF($A777="","",INDEX(JupData!$A$2:$K$10000,MATCH($A777&amp;H$1,JupData!$A$2:$A$10000&amp;JupData!$J$2:$J$10000,0),11))</f>
        <v/>
      </c>
      <c r="I777" t="str">
        <f t="array" ref="I777">IF($A777="","",INDEX(JupData!$A$2:$K$10000,MATCH($A777&amp;I$1,JupData!$A$2:$A$10000&amp;JupData!$J$2:$J$10000,0),11))</f>
        <v/>
      </c>
      <c r="J777" t="str">
        <f t="array" ref="J777">IF($A777="","",INDEX(JupData!$A$2:$K$10000,MATCH($A777&amp;J$1,JupData!$A$2:$A$10000&amp;JupData!$J$2:$J$10000,0),11))</f>
        <v/>
      </c>
      <c r="K777" t="str">
        <f t="array" ref="K777">IF($A777="","",INDEX(JupData!$A$2:$K$10000,MATCH($A777&amp;K$1,JupData!$A$2:$A$10000&amp;JupData!$J$2:$J$10000,0),11))</f>
        <v/>
      </c>
      <c r="L777" t="str">
        <f t="array" ref="L777">IF($A777="","",INDEX(JupData!$A$2:$K$10000,MATCH($A777&amp;L$1,JupData!$A$2:$A$10000&amp;JupData!$J$2:$J$10000,0),11))</f>
        <v/>
      </c>
      <c r="M777" t="str">
        <f t="array" ref="M777">IF($A777="","",INDEX(JupData!$A$2:$K$10000,MATCH($A777&amp;M$1,JupData!$A$2:$A$10000&amp;JupData!$J$2:$J$10000,0),11))</f>
        <v/>
      </c>
      <c r="N777" t="str">
        <f t="array" ref="N777">IF($A777="","",INDEX(JupData!$A$2:$K$10000,MATCH($A777&amp;N$1,JupData!$A$2:$A$10000&amp;JupData!$J$2:$J$10000,0),11))</f>
        <v/>
      </c>
      <c r="O777" t="str">
        <f t="array" ref="O777">IF($A777="","",INDEX(JupData!$A$2:$K$10000,MATCH($A777&amp;O$1,JupData!$A$2:$A$10000&amp;JupData!$J$2:$J$10000,0),11))</f>
        <v/>
      </c>
      <c r="P777" t="str">
        <f t="array" ref="P777">IF($A777="","",INDEX(JupData!$A$2:$K$10000,MATCH($A777&amp;P$1,JupData!$A$2:$A$10000&amp;JupData!$J$2:$J$10000,0),11))</f>
        <v/>
      </c>
      <c r="Q777" t="str">
        <f t="array" ref="Q777">IF($A777="","",INDEX(JupData!$A$2:$K$10000,MATCH($A777&amp;Q$1,JupData!$A$2:$A$10000&amp;JupData!$J$2:$J$10000,0),11))</f>
        <v/>
      </c>
      <c r="R777" t="str">
        <f t="array" ref="R777">IF($A777="","",INDEX(JupData!$A$2:$K$10000,MATCH($A777&amp;R$1,JupData!$A$2:$A$10000&amp;JupData!$J$2:$J$10000,0),11))</f>
        <v/>
      </c>
      <c r="S777" t="str">
        <f t="array" ref="S777">IF($A777="","",INDEX(JupData!$A$2:$K$10000,MATCH($A777&amp;S$1,JupData!$A$2:$A$10000&amp;JupData!$J$2:$J$10000,0),11))</f>
        <v/>
      </c>
      <c r="T777" t="str">
        <f t="array" ref="T777">IF($A777="","",INDEX(JupData!$A$2:$K$10000,MATCH($A777&amp;T$1,JupData!$A$2:$A$10000&amp;JupData!$J$2:$J$10000,0),11))</f>
        <v/>
      </c>
      <c r="U777" t="str">
        <f t="array" ref="U777">IF($A777="","",INDEX(JupData!$A$2:$K$10000,MATCH($A777&amp;U$1,JupData!$A$2:$A$10000&amp;JupData!$J$2:$J$10000,0),11))</f>
        <v/>
      </c>
      <c r="V777" t="str">
        <f t="array" ref="V777">IF($A777="","",INDEX(JupData!$A$2:$K$10000,MATCH($A777&amp;V$1,JupData!$A$2:$A$10000&amp;JupData!$J$2:$J$10000,0),11))</f>
        <v/>
      </c>
      <c r="W777" t="str">
        <f t="array" ref="W777">IF($A777="","",INDEX(JupData!$A$2:$K$10000,MATCH($A777&amp;W$1,JupData!$A$2:$A$10000&amp;JupData!$J$2:$J$10000,0),11))</f>
        <v/>
      </c>
      <c r="X777" t="str">
        <f t="array" ref="X777">IF($A777="","",INDEX(JupData!$A$2:$K$10000,MATCH($A777&amp;X$1,JupData!$A$2:$A$10000&amp;JupData!$J$2:$J$10000,0),11))</f>
        <v/>
      </c>
      <c r="Y777" t="str">
        <f t="array" ref="Y777">IF($A777="","",INDEX(JupData!$A$2:$K$10000,MATCH($A777&amp;Y$1,JupData!$A$2:$A$10000&amp;JupData!$J$2:$J$10000,0),11))</f>
        <v/>
      </c>
      <c r="Z777" t="str">
        <f t="array" ref="Z777">IF($A777="","",INDEX(JupData!$A$2:$K$10000,MATCH($A777&amp;Z$1,JupData!$A$2:$A$10000&amp;JupData!$J$2:$J$10000,0),11))</f>
        <v/>
      </c>
      <c r="AA777" t="str">
        <f t="array" ref="AA777">IF($A777="","",INDEX(JupData!$A$2:$K$10000,MATCH($A777&amp;AA$1,JupData!$A$2:$A$10000&amp;JupData!$J$2:$J$10000,0),11))</f>
        <v/>
      </c>
      <c r="AB777" t="str">
        <f t="array" ref="AB777">IF($A777="","",INDEX(JupData!$A$2:$K$10000,MATCH($A777&amp;AB$1,JupData!$A$2:$A$10000&amp;JupData!$J$2:$J$10000,0),11))</f>
        <v/>
      </c>
      <c r="AC777" s="10" t="str">
        <f t="shared" si="132"/>
        <v/>
      </c>
      <c r="AD777" s="10" t="str">
        <f t="shared" si="133"/>
        <v/>
      </c>
      <c r="AE777" s="9" t="str">
        <f t="shared" si="134"/>
        <v/>
      </c>
      <c r="AF777" s="10" t="str">
        <f t="shared" si="135"/>
        <v/>
      </c>
      <c r="AG777" s="10" t="str">
        <f t="shared" si="136"/>
        <v/>
      </c>
      <c r="AH777" s="10" t="str">
        <f t="shared" si="137"/>
        <v/>
      </c>
      <c r="AI777" s="10" t="str">
        <f t="shared" si="138"/>
        <v/>
      </c>
      <c r="AJ777" s="10" t="str">
        <f t="shared" si="139"/>
        <v/>
      </c>
      <c r="AK777" s="10" t="str">
        <f t="shared" si="140"/>
        <v/>
      </c>
      <c r="AL777" s="14" t="str">
        <f t="shared" si="141"/>
        <v/>
      </c>
    </row>
    <row r="778" spans="1:38" x14ac:dyDescent="0.2">
      <c r="A778"/>
      <c r="B778" t="str">
        <f>IF($A778="","",VLOOKUP($A778,JupData!$A$2:$I$10000,4,FALSE))</f>
        <v/>
      </c>
      <c r="C778" s="7" t="str">
        <f>IF($A778="",IF(N(D778),0,""),VLOOKUP($A778,JupData!$A$2:$I$10000,7,FALSE))</f>
        <v/>
      </c>
      <c r="D778" t="str">
        <f t="shared" si="142"/>
        <v/>
      </c>
      <c r="E778" t="str">
        <f t="array" ref="E778">IF($A778="","",INDEX(JupData!$A$2:$K$10000,MATCH($A778&amp;E$1,JupData!$A$2:$A$10000&amp;JupData!$J$2:$J$10000,0),11))</f>
        <v/>
      </c>
      <c r="F778" t="str">
        <f t="array" ref="F778">IF($A778="","",INDEX(JupData!$A$2:$K$10000,MATCH($A778&amp;F$1,JupData!$A$2:$A$10000&amp;JupData!$J$2:$J$10000,0),11))</f>
        <v/>
      </c>
      <c r="G778" t="str">
        <f t="array" ref="G778">IF($A778="","",INDEX(JupData!$A$2:$K$10000,MATCH($A778&amp;G$1,JupData!$A$2:$A$10000&amp;JupData!$J$2:$J$10000,0),11))</f>
        <v/>
      </c>
      <c r="H778" t="str">
        <f t="array" ref="H778">IF($A778="","",INDEX(JupData!$A$2:$K$10000,MATCH($A778&amp;H$1,JupData!$A$2:$A$10000&amp;JupData!$J$2:$J$10000,0),11))</f>
        <v/>
      </c>
      <c r="I778" t="str">
        <f t="array" ref="I778">IF($A778="","",INDEX(JupData!$A$2:$K$10000,MATCH($A778&amp;I$1,JupData!$A$2:$A$10000&amp;JupData!$J$2:$J$10000,0),11))</f>
        <v/>
      </c>
      <c r="J778" t="str">
        <f t="array" ref="J778">IF($A778="","",INDEX(JupData!$A$2:$K$10000,MATCH($A778&amp;J$1,JupData!$A$2:$A$10000&amp;JupData!$J$2:$J$10000,0),11))</f>
        <v/>
      </c>
      <c r="K778" t="str">
        <f t="array" ref="K778">IF($A778="","",INDEX(JupData!$A$2:$K$10000,MATCH($A778&amp;K$1,JupData!$A$2:$A$10000&amp;JupData!$J$2:$J$10000,0),11))</f>
        <v/>
      </c>
      <c r="L778" t="str">
        <f t="array" ref="L778">IF($A778="","",INDEX(JupData!$A$2:$K$10000,MATCH($A778&amp;L$1,JupData!$A$2:$A$10000&amp;JupData!$J$2:$J$10000,0),11))</f>
        <v/>
      </c>
      <c r="M778" t="str">
        <f t="array" ref="M778">IF($A778="","",INDEX(JupData!$A$2:$K$10000,MATCH($A778&amp;M$1,JupData!$A$2:$A$10000&amp;JupData!$J$2:$J$10000,0),11))</f>
        <v/>
      </c>
      <c r="N778" t="str">
        <f t="array" ref="N778">IF($A778="","",INDEX(JupData!$A$2:$K$10000,MATCH($A778&amp;N$1,JupData!$A$2:$A$10000&amp;JupData!$J$2:$J$10000,0),11))</f>
        <v/>
      </c>
      <c r="O778" t="str">
        <f t="array" ref="O778">IF($A778="","",INDEX(JupData!$A$2:$K$10000,MATCH($A778&amp;O$1,JupData!$A$2:$A$10000&amp;JupData!$J$2:$J$10000,0),11))</f>
        <v/>
      </c>
      <c r="P778" t="str">
        <f t="array" ref="P778">IF($A778="","",INDEX(JupData!$A$2:$K$10000,MATCH($A778&amp;P$1,JupData!$A$2:$A$10000&amp;JupData!$J$2:$J$10000,0),11))</f>
        <v/>
      </c>
      <c r="Q778" t="str">
        <f t="array" ref="Q778">IF($A778="","",INDEX(JupData!$A$2:$K$10000,MATCH($A778&amp;Q$1,JupData!$A$2:$A$10000&amp;JupData!$J$2:$J$10000,0),11))</f>
        <v/>
      </c>
      <c r="R778" t="str">
        <f t="array" ref="R778">IF($A778="","",INDEX(JupData!$A$2:$K$10000,MATCH($A778&amp;R$1,JupData!$A$2:$A$10000&amp;JupData!$J$2:$J$10000,0),11))</f>
        <v/>
      </c>
      <c r="S778" t="str">
        <f t="array" ref="S778">IF($A778="","",INDEX(JupData!$A$2:$K$10000,MATCH($A778&amp;S$1,JupData!$A$2:$A$10000&amp;JupData!$J$2:$J$10000,0),11))</f>
        <v/>
      </c>
      <c r="T778" t="str">
        <f t="array" ref="T778">IF($A778="","",INDEX(JupData!$A$2:$K$10000,MATCH($A778&amp;T$1,JupData!$A$2:$A$10000&amp;JupData!$J$2:$J$10000,0),11))</f>
        <v/>
      </c>
      <c r="U778" t="str">
        <f t="array" ref="U778">IF($A778="","",INDEX(JupData!$A$2:$K$10000,MATCH($A778&amp;U$1,JupData!$A$2:$A$10000&amp;JupData!$J$2:$J$10000,0),11))</f>
        <v/>
      </c>
      <c r="V778" t="str">
        <f t="array" ref="V778">IF($A778="","",INDEX(JupData!$A$2:$K$10000,MATCH($A778&amp;V$1,JupData!$A$2:$A$10000&amp;JupData!$J$2:$J$10000,0),11))</f>
        <v/>
      </c>
      <c r="W778" t="str">
        <f t="array" ref="W778">IF($A778="","",INDEX(JupData!$A$2:$K$10000,MATCH($A778&amp;W$1,JupData!$A$2:$A$10000&amp;JupData!$J$2:$J$10000,0),11))</f>
        <v/>
      </c>
      <c r="X778" t="str">
        <f t="array" ref="X778">IF($A778="","",INDEX(JupData!$A$2:$K$10000,MATCH($A778&amp;X$1,JupData!$A$2:$A$10000&amp;JupData!$J$2:$J$10000,0),11))</f>
        <v/>
      </c>
      <c r="Y778" t="str">
        <f t="array" ref="Y778">IF($A778="","",INDEX(JupData!$A$2:$K$10000,MATCH($A778&amp;Y$1,JupData!$A$2:$A$10000&amp;JupData!$J$2:$J$10000,0),11))</f>
        <v/>
      </c>
      <c r="Z778" t="str">
        <f t="array" ref="Z778">IF($A778="","",INDEX(JupData!$A$2:$K$10000,MATCH($A778&amp;Z$1,JupData!$A$2:$A$10000&amp;JupData!$J$2:$J$10000,0),11))</f>
        <v/>
      </c>
      <c r="AA778" t="str">
        <f t="array" ref="AA778">IF($A778="","",INDEX(JupData!$A$2:$K$10000,MATCH($A778&amp;AA$1,JupData!$A$2:$A$10000&amp;JupData!$J$2:$J$10000,0),11))</f>
        <v/>
      </c>
      <c r="AB778" t="str">
        <f t="array" ref="AB778">IF($A778="","",INDEX(JupData!$A$2:$K$10000,MATCH($A778&amp;AB$1,JupData!$A$2:$A$10000&amp;JupData!$J$2:$J$10000,0),11))</f>
        <v/>
      </c>
      <c r="AC778" s="10" t="str">
        <f t="shared" si="132"/>
        <v/>
      </c>
      <c r="AD778" s="10" t="str">
        <f t="shared" si="133"/>
        <v/>
      </c>
      <c r="AE778" s="9" t="str">
        <f t="shared" si="134"/>
        <v/>
      </c>
      <c r="AF778" s="10" t="str">
        <f t="shared" si="135"/>
        <v/>
      </c>
      <c r="AG778" s="10" t="str">
        <f t="shared" si="136"/>
        <v/>
      </c>
      <c r="AH778" s="10" t="str">
        <f t="shared" si="137"/>
        <v/>
      </c>
      <c r="AI778" s="10" t="str">
        <f t="shared" si="138"/>
        <v/>
      </c>
      <c r="AJ778" s="10" t="str">
        <f t="shared" si="139"/>
        <v/>
      </c>
      <c r="AK778" s="10" t="str">
        <f t="shared" si="140"/>
        <v/>
      </c>
      <c r="AL778" s="14" t="str">
        <f t="shared" si="141"/>
        <v/>
      </c>
    </row>
    <row r="779" spans="1:38" x14ac:dyDescent="0.2">
      <c r="A779"/>
      <c r="B779" t="str">
        <f>IF($A779="","",VLOOKUP($A779,JupData!$A$2:$I$10000,4,FALSE))</f>
        <v/>
      </c>
      <c r="C779" s="7" t="str">
        <f>IF($A779="",IF(N(D779),0,""),VLOOKUP($A779,JupData!$A$2:$I$10000,7,FALSE))</f>
        <v/>
      </c>
      <c r="D779" t="str">
        <f t="shared" si="142"/>
        <v/>
      </c>
      <c r="E779" t="str">
        <f t="array" ref="E779">IF($A779="","",INDEX(JupData!$A$2:$K$10000,MATCH($A779&amp;E$1,JupData!$A$2:$A$10000&amp;JupData!$J$2:$J$10000,0),11))</f>
        <v/>
      </c>
      <c r="F779" t="str">
        <f t="array" ref="F779">IF($A779="","",INDEX(JupData!$A$2:$K$10000,MATCH($A779&amp;F$1,JupData!$A$2:$A$10000&amp;JupData!$J$2:$J$10000,0),11))</f>
        <v/>
      </c>
      <c r="G779" t="str">
        <f t="array" ref="G779">IF($A779="","",INDEX(JupData!$A$2:$K$10000,MATCH($A779&amp;G$1,JupData!$A$2:$A$10000&amp;JupData!$J$2:$J$10000,0),11))</f>
        <v/>
      </c>
      <c r="H779" t="str">
        <f t="array" ref="H779">IF($A779="","",INDEX(JupData!$A$2:$K$10000,MATCH($A779&amp;H$1,JupData!$A$2:$A$10000&amp;JupData!$J$2:$J$10000,0),11))</f>
        <v/>
      </c>
      <c r="I779" t="str">
        <f t="array" ref="I779">IF($A779="","",INDEX(JupData!$A$2:$K$10000,MATCH($A779&amp;I$1,JupData!$A$2:$A$10000&amp;JupData!$J$2:$J$10000,0),11))</f>
        <v/>
      </c>
      <c r="J779" t="str">
        <f t="array" ref="J779">IF($A779="","",INDEX(JupData!$A$2:$K$10000,MATCH($A779&amp;J$1,JupData!$A$2:$A$10000&amp;JupData!$J$2:$J$10000,0),11))</f>
        <v/>
      </c>
      <c r="K779" t="str">
        <f t="array" ref="K779">IF($A779="","",INDEX(JupData!$A$2:$K$10000,MATCH($A779&amp;K$1,JupData!$A$2:$A$10000&amp;JupData!$J$2:$J$10000,0),11))</f>
        <v/>
      </c>
      <c r="L779" t="str">
        <f t="array" ref="L779">IF($A779="","",INDEX(JupData!$A$2:$K$10000,MATCH($A779&amp;L$1,JupData!$A$2:$A$10000&amp;JupData!$J$2:$J$10000,0),11))</f>
        <v/>
      </c>
      <c r="M779" t="str">
        <f t="array" ref="M779">IF($A779="","",INDEX(JupData!$A$2:$K$10000,MATCH($A779&amp;M$1,JupData!$A$2:$A$10000&amp;JupData!$J$2:$J$10000,0),11))</f>
        <v/>
      </c>
      <c r="N779" t="str">
        <f t="array" ref="N779">IF($A779="","",INDEX(JupData!$A$2:$K$10000,MATCH($A779&amp;N$1,JupData!$A$2:$A$10000&amp;JupData!$J$2:$J$10000,0),11))</f>
        <v/>
      </c>
      <c r="O779" t="str">
        <f t="array" ref="O779">IF($A779="","",INDEX(JupData!$A$2:$K$10000,MATCH($A779&amp;O$1,JupData!$A$2:$A$10000&amp;JupData!$J$2:$J$10000,0),11))</f>
        <v/>
      </c>
      <c r="P779" t="str">
        <f t="array" ref="P779">IF($A779="","",INDEX(JupData!$A$2:$K$10000,MATCH($A779&amp;P$1,JupData!$A$2:$A$10000&amp;JupData!$J$2:$J$10000,0),11))</f>
        <v/>
      </c>
      <c r="Q779" t="str">
        <f t="array" ref="Q779">IF($A779="","",INDEX(JupData!$A$2:$K$10000,MATCH($A779&amp;Q$1,JupData!$A$2:$A$10000&amp;JupData!$J$2:$J$10000,0),11))</f>
        <v/>
      </c>
      <c r="R779" t="str">
        <f t="array" ref="R779">IF($A779="","",INDEX(JupData!$A$2:$K$10000,MATCH($A779&amp;R$1,JupData!$A$2:$A$10000&amp;JupData!$J$2:$J$10000,0),11))</f>
        <v/>
      </c>
      <c r="S779" t="str">
        <f t="array" ref="S779">IF($A779="","",INDEX(JupData!$A$2:$K$10000,MATCH($A779&amp;S$1,JupData!$A$2:$A$10000&amp;JupData!$J$2:$J$10000,0),11))</f>
        <v/>
      </c>
      <c r="T779" t="str">
        <f t="array" ref="T779">IF($A779="","",INDEX(JupData!$A$2:$K$10000,MATCH($A779&amp;T$1,JupData!$A$2:$A$10000&amp;JupData!$J$2:$J$10000,0),11))</f>
        <v/>
      </c>
      <c r="U779" t="str">
        <f t="array" ref="U779">IF($A779="","",INDEX(JupData!$A$2:$K$10000,MATCH($A779&amp;U$1,JupData!$A$2:$A$10000&amp;JupData!$J$2:$J$10000,0),11))</f>
        <v/>
      </c>
      <c r="V779" t="str">
        <f t="array" ref="V779">IF($A779="","",INDEX(JupData!$A$2:$K$10000,MATCH($A779&amp;V$1,JupData!$A$2:$A$10000&amp;JupData!$J$2:$J$10000,0),11))</f>
        <v/>
      </c>
      <c r="W779" t="str">
        <f t="array" ref="W779">IF($A779="","",INDEX(JupData!$A$2:$K$10000,MATCH($A779&amp;W$1,JupData!$A$2:$A$10000&amp;JupData!$J$2:$J$10000,0),11))</f>
        <v/>
      </c>
      <c r="X779" t="str">
        <f t="array" ref="X779">IF($A779="","",INDEX(JupData!$A$2:$K$10000,MATCH($A779&amp;X$1,JupData!$A$2:$A$10000&amp;JupData!$J$2:$J$10000,0),11))</f>
        <v/>
      </c>
      <c r="Y779" t="str">
        <f t="array" ref="Y779">IF($A779="","",INDEX(JupData!$A$2:$K$10000,MATCH($A779&amp;Y$1,JupData!$A$2:$A$10000&amp;JupData!$J$2:$J$10000,0),11))</f>
        <v/>
      </c>
      <c r="Z779" t="str">
        <f t="array" ref="Z779">IF($A779="","",INDEX(JupData!$A$2:$K$10000,MATCH($A779&amp;Z$1,JupData!$A$2:$A$10000&amp;JupData!$J$2:$J$10000,0),11))</f>
        <v/>
      </c>
      <c r="AA779" t="str">
        <f t="array" ref="AA779">IF($A779="","",INDEX(JupData!$A$2:$K$10000,MATCH($A779&amp;AA$1,JupData!$A$2:$A$10000&amp;JupData!$J$2:$J$10000,0),11))</f>
        <v/>
      </c>
      <c r="AB779" t="str">
        <f t="array" ref="AB779">IF($A779="","",INDEX(JupData!$A$2:$K$10000,MATCH($A779&amp;AB$1,JupData!$A$2:$A$10000&amp;JupData!$J$2:$J$10000,0),11))</f>
        <v/>
      </c>
      <c r="AC779" s="10" t="str">
        <f t="shared" si="132"/>
        <v/>
      </c>
      <c r="AD779" s="10" t="str">
        <f t="shared" si="133"/>
        <v/>
      </c>
      <c r="AE779" s="9" t="str">
        <f t="shared" si="134"/>
        <v/>
      </c>
      <c r="AF779" s="10" t="str">
        <f t="shared" si="135"/>
        <v/>
      </c>
      <c r="AG779" s="10" t="str">
        <f t="shared" si="136"/>
        <v/>
      </c>
      <c r="AH779" s="10" t="str">
        <f t="shared" si="137"/>
        <v/>
      </c>
      <c r="AI779" s="10" t="str">
        <f t="shared" si="138"/>
        <v/>
      </c>
      <c r="AJ779" s="10" t="str">
        <f t="shared" si="139"/>
        <v/>
      </c>
      <c r="AK779" s="10" t="str">
        <f t="shared" si="140"/>
        <v/>
      </c>
      <c r="AL779" s="14" t="str">
        <f t="shared" si="141"/>
        <v/>
      </c>
    </row>
    <row r="780" spans="1:38" x14ac:dyDescent="0.2">
      <c r="A780"/>
      <c r="B780" t="str">
        <f>IF($A780="","",VLOOKUP($A780,JupData!$A$2:$I$10000,4,FALSE))</f>
        <v/>
      </c>
      <c r="C780" s="7" t="str">
        <f>IF($A780="",IF(N(D780),0,""),VLOOKUP($A780,JupData!$A$2:$I$10000,7,FALSE))</f>
        <v/>
      </c>
      <c r="D780" t="str">
        <f t="shared" si="142"/>
        <v/>
      </c>
      <c r="E780" t="str">
        <f t="array" ref="E780">IF($A780="","",INDEX(JupData!$A$2:$K$10000,MATCH($A780&amp;E$1,JupData!$A$2:$A$10000&amp;JupData!$J$2:$J$10000,0),11))</f>
        <v/>
      </c>
      <c r="F780" t="str">
        <f t="array" ref="F780">IF($A780="","",INDEX(JupData!$A$2:$K$10000,MATCH($A780&amp;F$1,JupData!$A$2:$A$10000&amp;JupData!$J$2:$J$10000,0),11))</f>
        <v/>
      </c>
      <c r="G780" t="str">
        <f t="array" ref="G780">IF($A780="","",INDEX(JupData!$A$2:$K$10000,MATCH($A780&amp;G$1,JupData!$A$2:$A$10000&amp;JupData!$J$2:$J$10000,0),11))</f>
        <v/>
      </c>
      <c r="H780" t="str">
        <f t="array" ref="H780">IF($A780="","",INDEX(JupData!$A$2:$K$10000,MATCH($A780&amp;H$1,JupData!$A$2:$A$10000&amp;JupData!$J$2:$J$10000,0),11))</f>
        <v/>
      </c>
      <c r="I780" t="str">
        <f t="array" ref="I780">IF($A780="","",INDEX(JupData!$A$2:$K$10000,MATCH($A780&amp;I$1,JupData!$A$2:$A$10000&amp;JupData!$J$2:$J$10000,0),11))</f>
        <v/>
      </c>
      <c r="J780" t="str">
        <f t="array" ref="J780">IF($A780="","",INDEX(JupData!$A$2:$K$10000,MATCH($A780&amp;J$1,JupData!$A$2:$A$10000&amp;JupData!$J$2:$J$10000,0),11))</f>
        <v/>
      </c>
      <c r="K780" t="str">
        <f t="array" ref="K780">IF($A780="","",INDEX(JupData!$A$2:$K$10000,MATCH($A780&amp;K$1,JupData!$A$2:$A$10000&amp;JupData!$J$2:$J$10000,0),11))</f>
        <v/>
      </c>
      <c r="L780" t="str">
        <f t="array" ref="L780">IF($A780="","",INDEX(JupData!$A$2:$K$10000,MATCH($A780&amp;L$1,JupData!$A$2:$A$10000&amp;JupData!$J$2:$J$10000,0),11))</f>
        <v/>
      </c>
      <c r="M780" t="str">
        <f t="array" ref="M780">IF($A780="","",INDEX(JupData!$A$2:$K$10000,MATCH($A780&amp;M$1,JupData!$A$2:$A$10000&amp;JupData!$J$2:$J$10000,0),11))</f>
        <v/>
      </c>
      <c r="N780" t="str">
        <f t="array" ref="N780">IF($A780="","",INDEX(JupData!$A$2:$K$10000,MATCH($A780&amp;N$1,JupData!$A$2:$A$10000&amp;JupData!$J$2:$J$10000,0),11))</f>
        <v/>
      </c>
      <c r="O780" t="str">
        <f t="array" ref="O780">IF($A780="","",INDEX(JupData!$A$2:$K$10000,MATCH($A780&amp;O$1,JupData!$A$2:$A$10000&amp;JupData!$J$2:$J$10000,0),11))</f>
        <v/>
      </c>
      <c r="P780" t="str">
        <f t="array" ref="P780">IF($A780="","",INDEX(JupData!$A$2:$K$10000,MATCH($A780&amp;P$1,JupData!$A$2:$A$10000&amp;JupData!$J$2:$J$10000,0),11))</f>
        <v/>
      </c>
      <c r="Q780" t="str">
        <f t="array" ref="Q780">IF($A780="","",INDEX(JupData!$A$2:$K$10000,MATCH($A780&amp;Q$1,JupData!$A$2:$A$10000&amp;JupData!$J$2:$J$10000,0),11))</f>
        <v/>
      </c>
      <c r="R780" t="str">
        <f t="array" ref="R780">IF($A780="","",INDEX(JupData!$A$2:$K$10000,MATCH($A780&amp;R$1,JupData!$A$2:$A$10000&amp;JupData!$J$2:$J$10000,0),11))</f>
        <v/>
      </c>
      <c r="S780" t="str">
        <f t="array" ref="S780">IF($A780="","",INDEX(JupData!$A$2:$K$10000,MATCH($A780&amp;S$1,JupData!$A$2:$A$10000&amp;JupData!$J$2:$J$10000,0),11))</f>
        <v/>
      </c>
      <c r="T780" t="str">
        <f t="array" ref="T780">IF($A780="","",INDEX(JupData!$A$2:$K$10000,MATCH($A780&amp;T$1,JupData!$A$2:$A$10000&amp;JupData!$J$2:$J$10000,0),11))</f>
        <v/>
      </c>
      <c r="U780" t="str">
        <f t="array" ref="U780">IF($A780="","",INDEX(JupData!$A$2:$K$10000,MATCH($A780&amp;U$1,JupData!$A$2:$A$10000&amp;JupData!$J$2:$J$10000,0),11))</f>
        <v/>
      </c>
      <c r="V780" t="str">
        <f t="array" ref="V780">IF($A780="","",INDEX(JupData!$A$2:$K$10000,MATCH($A780&amp;V$1,JupData!$A$2:$A$10000&amp;JupData!$J$2:$J$10000,0),11))</f>
        <v/>
      </c>
      <c r="W780" t="str">
        <f t="array" ref="W780">IF($A780="","",INDEX(JupData!$A$2:$K$10000,MATCH($A780&amp;W$1,JupData!$A$2:$A$10000&amp;JupData!$J$2:$J$10000,0),11))</f>
        <v/>
      </c>
      <c r="X780" t="str">
        <f t="array" ref="X780">IF($A780="","",INDEX(JupData!$A$2:$K$10000,MATCH($A780&amp;X$1,JupData!$A$2:$A$10000&amp;JupData!$J$2:$J$10000,0),11))</f>
        <v/>
      </c>
      <c r="Y780" t="str">
        <f t="array" ref="Y780">IF($A780="","",INDEX(JupData!$A$2:$K$10000,MATCH($A780&amp;Y$1,JupData!$A$2:$A$10000&amp;JupData!$J$2:$J$10000,0),11))</f>
        <v/>
      </c>
      <c r="Z780" t="str">
        <f t="array" ref="Z780">IF($A780="","",INDEX(JupData!$A$2:$K$10000,MATCH($A780&amp;Z$1,JupData!$A$2:$A$10000&amp;JupData!$J$2:$J$10000,0),11))</f>
        <v/>
      </c>
      <c r="AA780" t="str">
        <f t="array" ref="AA780">IF($A780="","",INDEX(JupData!$A$2:$K$10000,MATCH($A780&amp;AA$1,JupData!$A$2:$A$10000&amp;JupData!$J$2:$J$10000,0),11))</f>
        <v/>
      </c>
      <c r="AB780" t="str">
        <f t="array" ref="AB780">IF($A780="","",INDEX(JupData!$A$2:$K$10000,MATCH($A780&amp;AB$1,JupData!$A$2:$A$10000&amp;JupData!$J$2:$J$10000,0),11))</f>
        <v/>
      </c>
      <c r="AC780" s="10" t="str">
        <f t="shared" si="132"/>
        <v/>
      </c>
      <c r="AD780" s="10" t="str">
        <f t="shared" si="133"/>
        <v/>
      </c>
      <c r="AE780" s="9" t="str">
        <f t="shared" si="134"/>
        <v/>
      </c>
      <c r="AF780" s="10" t="str">
        <f t="shared" si="135"/>
        <v/>
      </c>
      <c r="AG780" s="10" t="str">
        <f t="shared" si="136"/>
        <v/>
      </c>
      <c r="AH780" s="10" t="str">
        <f t="shared" si="137"/>
        <v/>
      </c>
      <c r="AI780" s="10" t="str">
        <f t="shared" si="138"/>
        <v/>
      </c>
      <c r="AJ780" s="10" t="str">
        <f t="shared" si="139"/>
        <v/>
      </c>
      <c r="AK780" s="10" t="str">
        <f t="shared" si="140"/>
        <v/>
      </c>
      <c r="AL780" s="14" t="str">
        <f t="shared" si="141"/>
        <v/>
      </c>
    </row>
    <row r="781" spans="1:38" x14ac:dyDescent="0.2">
      <c r="A781"/>
      <c r="B781" t="str">
        <f>IF($A781="","",VLOOKUP($A781,JupData!$A$2:$I$10000,4,FALSE))</f>
        <v/>
      </c>
      <c r="C781" s="7" t="str">
        <f>IF($A781="",IF(N(D781),0,""),VLOOKUP($A781,JupData!$A$2:$I$10000,7,FALSE))</f>
        <v/>
      </c>
      <c r="D781" t="str">
        <f t="shared" si="142"/>
        <v/>
      </c>
      <c r="E781" t="str">
        <f t="array" ref="E781">IF($A781="","",INDEX(JupData!$A$2:$K$10000,MATCH($A781&amp;E$1,JupData!$A$2:$A$10000&amp;JupData!$J$2:$J$10000,0),11))</f>
        <v/>
      </c>
      <c r="F781" t="str">
        <f t="array" ref="F781">IF($A781="","",INDEX(JupData!$A$2:$K$10000,MATCH($A781&amp;F$1,JupData!$A$2:$A$10000&amp;JupData!$J$2:$J$10000,0),11))</f>
        <v/>
      </c>
      <c r="G781" t="str">
        <f t="array" ref="G781">IF($A781="","",INDEX(JupData!$A$2:$K$10000,MATCH($A781&amp;G$1,JupData!$A$2:$A$10000&amp;JupData!$J$2:$J$10000,0),11))</f>
        <v/>
      </c>
      <c r="H781" t="str">
        <f t="array" ref="H781">IF($A781="","",INDEX(JupData!$A$2:$K$10000,MATCH($A781&amp;H$1,JupData!$A$2:$A$10000&amp;JupData!$J$2:$J$10000,0),11))</f>
        <v/>
      </c>
      <c r="I781" t="str">
        <f t="array" ref="I781">IF($A781="","",INDEX(JupData!$A$2:$K$10000,MATCH($A781&amp;I$1,JupData!$A$2:$A$10000&amp;JupData!$J$2:$J$10000,0),11))</f>
        <v/>
      </c>
      <c r="J781" t="str">
        <f t="array" ref="J781">IF($A781="","",INDEX(JupData!$A$2:$K$10000,MATCH($A781&amp;J$1,JupData!$A$2:$A$10000&amp;JupData!$J$2:$J$10000,0),11))</f>
        <v/>
      </c>
      <c r="K781" t="str">
        <f t="array" ref="K781">IF($A781="","",INDEX(JupData!$A$2:$K$10000,MATCH($A781&amp;K$1,JupData!$A$2:$A$10000&amp;JupData!$J$2:$J$10000,0),11))</f>
        <v/>
      </c>
      <c r="L781" t="str">
        <f t="array" ref="L781">IF($A781="","",INDEX(JupData!$A$2:$K$10000,MATCH($A781&amp;L$1,JupData!$A$2:$A$10000&amp;JupData!$J$2:$J$10000,0),11))</f>
        <v/>
      </c>
      <c r="M781" t="str">
        <f t="array" ref="M781">IF($A781="","",INDEX(JupData!$A$2:$K$10000,MATCH($A781&amp;M$1,JupData!$A$2:$A$10000&amp;JupData!$J$2:$J$10000,0),11))</f>
        <v/>
      </c>
      <c r="N781" t="str">
        <f t="array" ref="N781">IF($A781="","",INDEX(JupData!$A$2:$K$10000,MATCH($A781&amp;N$1,JupData!$A$2:$A$10000&amp;JupData!$J$2:$J$10000,0),11))</f>
        <v/>
      </c>
      <c r="O781" t="str">
        <f t="array" ref="O781">IF($A781="","",INDEX(JupData!$A$2:$K$10000,MATCH($A781&amp;O$1,JupData!$A$2:$A$10000&amp;JupData!$J$2:$J$10000,0),11))</f>
        <v/>
      </c>
      <c r="P781" t="str">
        <f t="array" ref="P781">IF($A781="","",INDEX(JupData!$A$2:$K$10000,MATCH($A781&amp;P$1,JupData!$A$2:$A$10000&amp;JupData!$J$2:$J$10000,0),11))</f>
        <v/>
      </c>
      <c r="Q781" t="str">
        <f t="array" ref="Q781">IF($A781="","",INDEX(JupData!$A$2:$K$10000,MATCH($A781&amp;Q$1,JupData!$A$2:$A$10000&amp;JupData!$J$2:$J$10000,0),11))</f>
        <v/>
      </c>
      <c r="R781" t="str">
        <f t="array" ref="R781">IF($A781="","",INDEX(JupData!$A$2:$K$10000,MATCH($A781&amp;R$1,JupData!$A$2:$A$10000&amp;JupData!$J$2:$J$10000,0),11))</f>
        <v/>
      </c>
      <c r="S781" t="str">
        <f t="array" ref="S781">IF($A781="","",INDEX(JupData!$A$2:$K$10000,MATCH($A781&amp;S$1,JupData!$A$2:$A$10000&amp;JupData!$J$2:$J$10000,0),11))</f>
        <v/>
      </c>
      <c r="T781" t="str">
        <f t="array" ref="T781">IF($A781="","",INDEX(JupData!$A$2:$K$10000,MATCH($A781&amp;T$1,JupData!$A$2:$A$10000&amp;JupData!$J$2:$J$10000,0),11))</f>
        <v/>
      </c>
      <c r="U781" t="str">
        <f t="array" ref="U781">IF($A781="","",INDEX(JupData!$A$2:$K$10000,MATCH($A781&amp;U$1,JupData!$A$2:$A$10000&amp;JupData!$J$2:$J$10000,0),11))</f>
        <v/>
      </c>
      <c r="V781" t="str">
        <f t="array" ref="V781">IF($A781="","",INDEX(JupData!$A$2:$K$10000,MATCH($A781&amp;V$1,JupData!$A$2:$A$10000&amp;JupData!$J$2:$J$10000,0),11))</f>
        <v/>
      </c>
      <c r="W781" t="str">
        <f t="array" ref="W781">IF($A781="","",INDEX(JupData!$A$2:$K$10000,MATCH($A781&amp;W$1,JupData!$A$2:$A$10000&amp;JupData!$J$2:$J$10000,0),11))</f>
        <v/>
      </c>
      <c r="X781" t="str">
        <f t="array" ref="X781">IF($A781="","",INDEX(JupData!$A$2:$K$10000,MATCH($A781&amp;X$1,JupData!$A$2:$A$10000&amp;JupData!$J$2:$J$10000,0),11))</f>
        <v/>
      </c>
      <c r="Y781" t="str">
        <f t="array" ref="Y781">IF($A781="","",INDEX(JupData!$A$2:$K$10000,MATCH($A781&amp;Y$1,JupData!$A$2:$A$10000&amp;JupData!$J$2:$J$10000,0),11))</f>
        <v/>
      </c>
      <c r="Z781" t="str">
        <f t="array" ref="Z781">IF($A781="","",INDEX(JupData!$A$2:$K$10000,MATCH($A781&amp;Z$1,JupData!$A$2:$A$10000&amp;JupData!$J$2:$J$10000,0),11))</f>
        <v/>
      </c>
      <c r="AA781" t="str">
        <f t="array" ref="AA781">IF($A781="","",INDEX(JupData!$A$2:$K$10000,MATCH($A781&amp;AA$1,JupData!$A$2:$A$10000&amp;JupData!$J$2:$J$10000,0),11))</f>
        <v/>
      </c>
      <c r="AB781" t="str">
        <f t="array" ref="AB781">IF($A781="","",INDEX(JupData!$A$2:$K$10000,MATCH($A781&amp;AB$1,JupData!$A$2:$A$10000&amp;JupData!$J$2:$J$10000,0),11))</f>
        <v/>
      </c>
      <c r="AC781" s="10" t="str">
        <f t="shared" si="132"/>
        <v/>
      </c>
      <c r="AD781" s="10" t="str">
        <f t="shared" si="133"/>
        <v/>
      </c>
      <c r="AE781" s="9" t="str">
        <f t="shared" si="134"/>
        <v/>
      </c>
      <c r="AF781" s="10" t="str">
        <f t="shared" si="135"/>
        <v/>
      </c>
      <c r="AG781" s="10" t="str">
        <f t="shared" si="136"/>
        <v/>
      </c>
      <c r="AH781" s="10" t="str">
        <f t="shared" si="137"/>
        <v/>
      </c>
      <c r="AI781" s="10" t="str">
        <f t="shared" si="138"/>
        <v/>
      </c>
      <c r="AJ781" s="10" t="str">
        <f t="shared" si="139"/>
        <v/>
      </c>
      <c r="AK781" s="10" t="str">
        <f t="shared" si="140"/>
        <v/>
      </c>
      <c r="AL781" s="14" t="str">
        <f t="shared" si="141"/>
        <v/>
      </c>
    </row>
    <row r="782" spans="1:38" x14ac:dyDescent="0.2">
      <c r="A782"/>
      <c r="B782" t="str">
        <f>IF($A782="","",VLOOKUP($A782,JupData!$A$2:$I$10000,4,FALSE))</f>
        <v/>
      </c>
      <c r="C782" s="7" t="str">
        <f>IF($A782="",IF(N(D782),0,""),VLOOKUP($A782,JupData!$A$2:$I$10000,7,FALSE))</f>
        <v/>
      </c>
      <c r="D782" t="str">
        <f t="shared" si="142"/>
        <v/>
      </c>
      <c r="E782" t="str">
        <f t="array" ref="E782">IF($A782="","",INDEX(JupData!$A$2:$K$10000,MATCH($A782&amp;E$1,JupData!$A$2:$A$10000&amp;JupData!$J$2:$J$10000,0),11))</f>
        <v/>
      </c>
      <c r="F782" t="str">
        <f t="array" ref="F782">IF($A782="","",INDEX(JupData!$A$2:$K$10000,MATCH($A782&amp;F$1,JupData!$A$2:$A$10000&amp;JupData!$J$2:$J$10000,0),11))</f>
        <v/>
      </c>
      <c r="G782" t="str">
        <f t="array" ref="G782">IF($A782="","",INDEX(JupData!$A$2:$K$10000,MATCH($A782&amp;G$1,JupData!$A$2:$A$10000&amp;JupData!$J$2:$J$10000,0),11))</f>
        <v/>
      </c>
      <c r="H782" t="str">
        <f t="array" ref="H782">IF($A782="","",INDEX(JupData!$A$2:$K$10000,MATCH($A782&amp;H$1,JupData!$A$2:$A$10000&amp;JupData!$J$2:$J$10000,0),11))</f>
        <v/>
      </c>
      <c r="I782" t="str">
        <f t="array" ref="I782">IF($A782="","",INDEX(JupData!$A$2:$K$10000,MATCH($A782&amp;I$1,JupData!$A$2:$A$10000&amp;JupData!$J$2:$J$10000,0),11))</f>
        <v/>
      </c>
      <c r="J782" t="str">
        <f t="array" ref="J782">IF($A782="","",INDEX(JupData!$A$2:$K$10000,MATCH($A782&amp;J$1,JupData!$A$2:$A$10000&amp;JupData!$J$2:$J$10000,0),11))</f>
        <v/>
      </c>
      <c r="K782" t="str">
        <f t="array" ref="K782">IF($A782="","",INDEX(JupData!$A$2:$K$10000,MATCH($A782&amp;K$1,JupData!$A$2:$A$10000&amp;JupData!$J$2:$J$10000,0),11))</f>
        <v/>
      </c>
      <c r="L782" t="str">
        <f t="array" ref="L782">IF($A782="","",INDEX(JupData!$A$2:$K$10000,MATCH($A782&amp;L$1,JupData!$A$2:$A$10000&amp;JupData!$J$2:$J$10000,0),11))</f>
        <v/>
      </c>
      <c r="M782" t="str">
        <f t="array" ref="M782">IF($A782="","",INDEX(JupData!$A$2:$K$10000,MATCH($A782&amp;M$1,JupData!$A$2:$A$10000&amp;JupData!$J$2:$J$10000,0),11))</f>
        <v/>
      </c>
      <c r="N782" t="str">
        <f t="array" ref="N782">IF($A782="","",INDEX(JupData!$A$2:$K$10000,MATCH($A782&amp;N$1,JupData!$A$2:$A$10000&amp;JupData!$J$2:$J$10000,0),11))</f>
        <v/>
      </c>
      <c r="O782" t="str">
        <f t="array" ref="O782">IF($A782="","",INDEX(JupData!$A$2:$K$10000,MATCH($A782&amp;O$1,JupData!$A$2:$A$10000&amp;JupData!$J$2:$J$10000,0),11))</f>
        <v/>
      </c>
      <c r="P782" t="str">
        <f t="array" ref="P782">IF($A782="","",INDEX(JupData!$A$2:$K$10000,MATCH($A782&amp;P$1,JupData!$A$2:$A$10000&amp;JupData!$J$2:$J$10000,0),11))</f>
        <v/>
      </c>
      <c r="Q782" t="str">
        <f t="array" ref="Q782">IF($A782="","",INDEX(JupData!$A$2:$K$10000,MATCH($A782&amp;Q$1,JupData!$A$2:$A$10000&amp;JupData!$J$2:$J$10000,0),11))</f>
        <v/>
      </c>
      <c r="R782" t="str">
        <f t="array" ref="R782">IF($A782="","",INDEX(JupData!$A$2:$K$10000,MATCH($A782&amp;R$1,JupData!$A$2:$A$10000&amp;JupData!$J$2:$J$10000,0),11))</f>
        <v/>
      </c>
      <c r="S782" t="str">
        <f t="array" ref="S782">IF($A782="","",INDEX(JupData!$A$2:$K$10000,MATCH($A782&amp;S$1,JupData!$A$2:$A$10000&amp;JupData!$J$2:$J$10000,0),11))</f>
        <v/>
      </c>
      <c r="T782" t="str">
        <f t="array" ref="T782">IF($A782="","",INDEX(JupData!$A$2:$K$10000,MATCH($A782&amp;T$1,JupData!$A$2:$A$10000&amp;JupData!$J$2:$J$10000,0),11))</f>
        <v/>
      </c>
      <c r="U782" t="str">
        <f t="array" ref="U782">IF($A782="","",INDEX(JupData!$A$2:$K$10000,MATCH($A782&amp;U$1,JupData!$A$2:$A$10000&amp;JupData!$J$2:$J$10000,0),11))</f>
        <v/>
      </c>
      <c r="V782" t="str">
        <f t="array" ref="V782">IF($A782="","",INDEX(JupData!$A$2:$K$10000,MATCH($A782&amp;V$1,JupData!$A$2:$A$10000&amp;JupData!$J$2:$J$10000,0),11))</f>
        <v/>
      </c>
      <c r="W782" t="str">
        <f t="array" ref="W782">IF($A782="","",INDEX(JupData!$A$2:$K$10000,MATCH($A782&amp;W$1,JupData!$A$2:$A$10000&amp;JupData!$J$2:$J$10000,0),11))</f>
        <v/>
      </c>
      <c r="X782" t="str">
        <f t="array" ref="X782">IF($A782="","",INDEX(JupData!$A$2:$K$10000,MATCH($A782&amp;X$1,JupData!$A$2:$A$10000&amp;JupData!$J$2:$J$10000,0),11))</f>
        <v/>
      </c>
      <c r="Y782" t="str">
        <f t="array" ref="Y782">IF($A782="","",INDEX(JupData!$A$2:$K$10000,MATCH($A782&amp;Y$1,JupData!$A$2:$A$10000&amp;JupData!$J$2:$J$10000,0),11))</f>
        <v/>
      </c>
      <c r="Z782" t="str">
        <f t="array" ref="Z782">IF($A782="","",INDEX(JupData!$A$2:$K$10000,MATCH($A782&amp;Z$1,JupData!$A$2:$A$10000&amp;JupData!$J$2:$J$10000,0),11))</f>
        <v/>
      </c>
      <c r="AA782" t="str">
        <f t="array" ref="AA782">IF($A782="","",INDEX(JupData!$A$2:$K$10000,MATCH($A782&amp;AA$1,JupData!$A$2:$A$10000&amp;JupData!$J$2:$J$10000,0),11))</f>
        <v/>
      </c>
      <c r="AB782" t="str">
        <f t="array" ref="AB782">IF($A782="","",INDEX(JupData!$A$2:$K$10000,MATCH($A782&amp;AB$1,JupData!$A$2:$A$10000&amp;JupData!$J$2:$J$10000,0),11))</f>
        <v/>
      </c>
      <c r="AC782" s="10" t="str">
        <f t="shared" si="132"/>
        <v/>
      </c>
      <c r="AD782" s="10" t="str">
        <f t="shared" si="133"/>
        <v/>
      </c>
      <c r="AE782" s="9" t="str">
        <f t="shared" si="134"/>
        <v/>
      </c>
      <c r="AF782" s="10" t="str">
        <f t="shared" si="135"/>
        <v/>
      </c>
      <c r="AG782" s="10" t="str">
        <f t="shared" si="136"/>
        <v/>
      </c>
      <c r="AH782" s="10" t="str">
        <f t="shared" si="137"/>
        <v/>
      </c>
      <c r="AI782" s="10" t="str">
        <f t="shared" si="138"/>
        <v/>
      </c>
      <c r="AJ782" s="10" t="str">
        <f t="shared" si="139"/>
        <v/>
      </c>
      <c r="AK782" s="10" t="str">
        <f t="shared" si="140"/>
        <v/>
      </c>
      <c r="AL782" s="14" t="str">
        <f t="shared" si="141"/>
        <v/>
      </c>
    </row>
    <row r="783" spans="1:38" x14ac:dyDescent="0.2">
      <c r="A783"/>
      <c r="B783" t="str">
        <f>IF($A783="","",VLOOKUP($A783,JupData!$A$2:$I$10000,4,FALSE))</f>
        <v/>
      </c>
      <c r="C783" s="7" t="str">
        <f>IF($A783="",IF(N(D783),0,""),VLOOKUP($A783,JupData!$A$2:$I$10000,7,FALSE))</f>
        <v/>
      </c>
      <c r="D783" t="str">
        <f t="shared" si="142"/>
        <v/>
      </c>
      <c r="E783" t="str">
        <f t="array" ref="E783">IF($A783="","",INDEX(JupData!$A$2:$K$10000,MATCH($A783&amp;E$1,JupData!$A$2:$A$10000&amp;JupData!$J$2:$J$10000,0),11))</f>
        <v/>
      </c>
      <c r="F783" t="str">
        <f t="array" ref="F783">IF($A783="","",INDEX(JupData!$A$2:$K$10000,MATCH($A783&amp;F$1,JupData!$A$2:$A$10000&amp;JupData!$J$2:$J$10000,0),11))</f>
        <v/>
      </c>
      <c r="G783" t="str">
        <f t="array" ref="G783">IF($A783="","",INDEX(JupData!$A$2:$K$10000,MATCH($A783&amp;G$1,JupData!$A$2:$A$10000&amp;JupData!$J$2:$J$10000,0),11))</f>
        <v/>
      </c>
      <c r="H783" t="str">
        <f t="array" ref="H783">IF($A783="","",INDEX(JupData!$A$2:$K$10000,MATCH($A783&amp;H$1,JupData!$A$2:$A$10000&amp;JupData!$J$2:$J$10000,0),11))</f>
        <v/>
      </c>
      <c r="I783" t="str">
        <f t="array" ref="I783">IF($A783="","",INDEX(JupData!$A$2:$K$10000,MATCH($A783&amp;I$1,JupData!$A$2:$A$10000&amp;JupData!$J$2:$J$10000,0),11))</f>
        <v/>
      </c>
      <c r="J783" t="str">
        <f t="array" ref="J783">IF($A783="","",INDEX(JupData!$A$2:$K$10000,MATCH($A783&amp;J$1,JupData!$A$2:$A$10000&amp;JupData!$J$2:$J$10000,0),11))</f>
        <v/>
      </c>
      <c r="K783" t="str">
        <f t="array" ref="K783">IF($A783="","",INDEX(JupData!$A$2:$K$10000,MATCH($A783&amp;K$1,JupData!$A$2:$A$10000&amp;JupData!$J$2:$J$10000,0),11))</f>
        <v/>
      </c>
      <c r="L783" t="str">
        <f t="array" ref="L783">IF($A783="","",INDEX(JupData!$A$2:$K$10000,MATCH($A783&amp;L$1,JupData!$A$2:$A$10000&amp;JupData!$J$2:$J$10000,0),11))</f>
        <v/>
      </c>
      <c r="M783" t="str">
        <f t="array" ref="M783">IF($A783="","",INDEX(JupData!$A$2:$K$10000,MATCH($A783&amp;M$1,JupData!$A$2:$A$10000&amp;JupData!$J$2:$J$10000,0),11))</f>
        <v/>
      </c>
      <c r="N783" t="str">
        <f t="array" ref="N783">IF($A783="","",INDEX(JupData!$A$2:$K$10000,MATCH($A783&amp;N$1,JupData!$A$2:$A$10000&amp;JupData!$J$2:$J$10000,0),11))</f>
        <v/>
      </c>
      <c r="O783" t="str">
        <f t="array" ref="O783">IF($A783="","",INDEX(JupData!$A$2:$K$10000,MATCH($A783&amp;O$1,JupData!$A$2:$A$10000&amp;JupData!$J$2:$J$10000,0),11))</f>
        <v/>
      </c>
      <c r="P783" t="str">
        <f t="array" ref="P783">IF($A783="","",INDEX(JupData!$A$2:$K$10000,MATCH($A783&amp;P$1,JupData!$A$2:$A$10000&amp;JupData!$J$2:$J$10000,0),11))</f>
        <v/>
      </c>
      <c r="Q783" t="str">
        <f t="array" ref="Q783">IF($A783="","",INDEX(JupData!$A$2:$K$10000,MATCH($A783&amp;Q$1,JupData!$A$2:$A$10000&amp;JupData!$J$2:$J$10000,0),11))</f>
        <v/>
      </c>
      <c r="R783" t="str">
        <f t="array" ref="R783">IF($A783="","",INDEX(JupData!$A$2:$K$10000,MATCH($A783&amp;R$1,JupData!$A$2:$A$10000&amp;JupData!$J$2:$J$10000,0),11))</f>
        <v/>
      </c>
      <c r="S783" t="str">
        <f t="array" ref="S783">IF($A783="","",INDEX(JupData!$A$2:$K$10000,MATCH($A783&amp;S$1,JupData!$A$2:$A$10000&amp;JupData!$J$2:$J$10000,0),11))</f>
        <v/>
      </c>
      <c r="T783" t="str">
        <f t="array" ref="T783">IF($A783="","",INDEX(JupData!$A$2:$K$10000,MATCH($A783&amp;T$1,JupData!$A$2:$A$10000&amp;JupData!$J$2:$J$10000,0),11))</f>
        <v/>
      </c>
      <c r="U783" t="str">
        <f t="array" ref="U783">IF($A783="","",INDEX(JupData!$A$2:$K$10000,MATCH($A783&amp;U$1,JupData!$A$2:$A$10000&amp;JupData!$J$2:$J$10000,0),11))</f>
        <v/>
      </c>
      <c r="V783" t="str">
        <f t="array" ref="V783">IF($A783="","",INDEX(JupData!$A$2:$K$10000,MATCH($A783&amp;V$1,JupData!$A$2:$A$10000&amp;JupData!$J$2:$J$10000,0),11))</f>
        <v/>
      </c>
      <c r="W783" t="str">
        <f t="array" ref="W783">IF($A783="","",INDEX(JupData!$A$2:$K$10000,MATCH($A783&amp;W$1,JupData!$A$2:$A$10000&amp;JupData!$J$2:$J$10000,0),11))</f>
        <v/>
      </c>
      <c r="X783" t="str">
        <f t="array" ref="X783">IF($A783="","",INDEX(JupData!$A$2:$K$10000,MATCH($A783&amp;X$1,JupData!$A$2:$A$10000&amp;JupData!$J$2:$J$10000,0),11))</f>
        <v/>
      </c>
      <c r="Y783" t="str">
        <f t="array" ref="Y783">IF($A783="","",INDEX(JupData!$A$2:$K$10000,MATCH($A783&amp;Y$1,JupData!$A$2:$A$10000&amp;JupData!$J$2:$J$10000,0),11))</f>
        <v/>
      </c>
      <c r="Z783" t="str">
        <f t="array" ref="Z783">IF($A783="","",INDEX(JupData!$A$2:$K$10000,MATCH($A783&amp;Z$1,JupData!$A$2:$A$10000&amp;JupData!$J$2:$J$10000,0),11))</f>
        <v/>
      </c>
      <c r="AA783" t="str">
        <f t="array" ref="AA783">IF($A783="","",INDEX(JupData!$A$2:$K$10000,MATCH($A783&amp;AA$1,JupData!$A$2:$A$10000&amp;JupData!$J$2:$J$10000,0),11))</f>
        <v/>
      </c>
      <c r="AB783" t="str">
        <f t="array" ref="AB783">IF($A783="","",INDEX(JupData!$A$2:$K$10000,MATCH($A783&amp;AB$1,JupData!$A$2:$A$10000&amp;JupData!$J$2:$J$10000,0),11))</f>
        <v/>
      </c>
      <c r="AC783" s="10" t="str">
        <f t="shared" si="132"/>
        <v/>
      </c>
      <c r="AD783" s="10" t="str">
        <f t="shared" si="133"/>
        <v/>
      </c>
      <c r="AE783" s="9" t="str">
        <f t="shared" si="134"/>
        <v/>
      </c>
      <c r="AF783" s="10" t="str">
        <f t="shared" si="135"/>
        <v/>
      </c>
      <c r="AG783" s="10" t="str">
        <f t="shared" si="136"/>
        <v/>
      </c>
      <c r="AH783" s="10" t="str">
        <f t="shared" si="137"/>
        <v/>
      </c>
      <c r="AI783" s="10" t="str">
        <f t="shared" si="138"/>
        <v/>
      </c>
      <c r="AJ783" s="10" t="str">
        <f t="shared" si="139"/>
        <v/>
      </c>
      <c r="AK783" s="10" t="str">
        <f t="shared" si="140"/>
        <v/>
      </c>
      <c r="AL783" s="14" t="str">
        <f t="shared" si="141"/>
        <v/>
      </c>
    </row>
    <row r="784" spans="1:38" x14ac:dyDescent="0.2">
      <c r="A784"/>
      <c r="B784" t="str">
        <f>IF($A784="","",VLOOKUP($A784,JupData!$A$2:$I$10000,4,FALSE))</f>
        <v/>
      </c>
      <c r="C784" s="7" t="str">
        <f>IF($A784="",IF(N(D784),0,""),VLOOKUP($A784,JupData!$A$2:$I$10000,7,FALSE))</f>
        <v/>
      </c>
      <c r="D784" t="str">
        <f t="shared" si="142"/>
        <v/>
      </c>
      <c r="E784" t="str">
        <f t="array" ref="E784">IF($A784="","",INDEX(JupData!$A$2:$K$10000,MATCH($A784&amp;E$1,JupData!$A$2:$A$10000&amp;JupData!$J$2:$J$10000,0),11))</f>
        <v/>
      </c>
      <c r="F784" t="str">
        <f t="array" ref="F784">IF($A784="","",INDEX(JupData!$A$2:$K$10000,MATCH($A784&amp;F$1,JupData!$A$2:$A$10000&amp;JupData!$J$2:$J$10000,0),11))</f>
        <v/>
      </c>
      <c r="G784" t="str">
        <f t="array" ref="G784">IF($A784="","",INDEX(JupData!$A$2:$K$10000,MATCH($A784&amp;G$1,JupData!$A$2:$A$10000&amp;JupData!$J$2:$J$10000,0),11))</f>
        <v/>
      </c>
      <c r="H784" t="str">
        <f t="array" ref="H784">IF($A784="","",INDEX(JupData!$A$2:$K$10000,MATCH($A784&amp;H$1,JupData!$A$2:$A$10000&amp;JupData!$J$2:$J$10000,0),11))</f>
        <v/>
      </c>
      <c r="I784" t="str">
        <f t="array" ref="I784">IF($A784="","",INDEX(JupData!$A$2:$K$10000,MATCH($A784&amp;I$1,JupData!$A$2:$A$10000&amp;JupData!$J$2:$J$10000,0),11))</f>
        <v/>
      </c>
      <c r="J784" t="str">
        <f t="array" ref="J784">IF($A784="","",INDEX(JupData!$A$2:$K$10000,MATCH($A784&amp;J$1,JupData!$A$2:$A$10000&amp;JupData!$J$2:$J$10000,0),11))</f>
        <v/>
      </c>
      <c r="K784" t="str">
        <f t="array" ref="K784">IF($A784="","",INDEX(JupData!$A$2:$K$10000,MATCH($A784&amp;K$1,JupData!$A$2:$A$10000&amp;JupData!$J$2:$J$10000,0),11))</f>
        <v/>
      </c>
      <c r="L784" t="str">
        <f t="array" ref="L784">IF($A784="","",INDEX(JupData!$A$2:$K$10000,MATCH($A784&amp;L$1,JupData!$A$2:$A$10000&amp;JupData!$J$2:$J$10000,0),11))</f>
        <v/>
      </c>
      <c r="M784" t="str">
        <f t="array" ref="M784">IF($A784="","",INDEX(JupData!$A$2:$K$10000,MATCH($A784&amp;M$1,JupData!$A$2:$A$10000&amp;JupData!$J$2:$J$10000,0),11))</f>
        <v/>
      </c>
      <c r="N784" t="str">
        <f t="array" ref="N784">IF($A784="","",INDEX(JupData!$A$2:$K$10000,MATCH($A784&amp;N$1,JupData!$A$2:$A$10000&amp;JupData!$J$2:$J$10000,0),11))</f>
        <v/>
      </c>
      <c r="O784" t="str">
        <f t="array" ref="O784">IF($A784="","",INDEX(JupData!$A$2:$K$10000,MATCH($A784&amp;O$1,JupData!$A$2:$A$10000&amp;JupData!$J$2:$J$10000,0),11))</f>
        <v/>
      </c>
      <c r="P784" t="str">
        <f t="array" ref="P784">IF($A784="","",INDEX(JupData!$A$2:$K$10000,MATCH($A784&amp;P$1,JupData!$A$2:$A$10000&amp;JupData!$J$2:$J$10000,0),11))</f>
        <v/>
      </c>
      <c r="Q784" t="str">
        <f t="array" ref="Q784">IF($A784="","",INDEX(JupData!$A$2:$K$10000,MATCH($A784&amp;Q$1,JupData!$A$2:$A$10000&amp;JupData!$J$2:$J$10000,0),11))</f>
        <v/>
      </c>
      <c r="R784" t="str">
        <f t="array" ref="R784">IF($A784="","",INDEX(JupData!$A$2:$K$10000,MATCH($A784&amp;R$1,JupData!$A$2:$A$10000&amp;JupData!$J$2:$J$10000,0),11))</f>
        <v/>
      </c>
      <c r="S784" t="str">
        <f t="array" ref="S784">IF($A784="","",INDEX(JupData!$A$2:$K$10000,MATCH($A784&amp;S$1,JupData!$A$2:$A$10000&amp;JupData!$J$2:$J$10000,0),11))</f>
        <v/>
      </c>
      <c r="T784" t="str">
        <f t="array" ref="T784">IF($A784="","",INDEX(JupData!$A$2:$K$10000,MATCH($A784&amp;T$1,JupData!$A$2:$A$10000&amp;JupData!$J$2:$J$10000,0),11))</f>
        <v/>
      </c>
      <c r="U784" t="str">
        <f t="array" ref="U784">IF($A784="","",INDEX(JupData!$A$2:$K$10000,MATCH($A784&amp;U$1,JupData!$A$2:$A$10000&amp;JupData!$J$2:$J$10000,0),11))</f>
        <v/>
      </c>
      <c r="V784" t="str">
        <f t="array" ref="V784">IF($A784="","",INDEX(JupData!$A$2:$K$10000,MATCH($A784&amp;V$1,JupData!$A$2:$A$10000&amp;JupData!$J$2:$J$10000,0),11))</f>
        <v/>
      </c>
      <c r="W784" t="str">
        <f t="array" ref="W784">IF($A784="","",INDEX(JupData!$A$2:$K$10000,MATCH($A784&amp;W$1,JupData!$A$2:$A$10000&amp;JupData!$J$2:$J$10000,0),11))</f>
        <v/>
      </c>
      <c r="X784" t="str">
        <f t="array" ref="X784">IF($A784="","",INDEX(JupData!$A$2:$K$10000,MATCH($A784&amp;X$1,JupData!$A$2:$A$10000&amp;JupData!$J$2:$J$10000,0),11))</f>
        <v/>
      </c>
      <c r="Y784" t="str">
        <f t="array" ref="Y784">IF($A784="","",INDEX(JupData!$A$2:$K$10000,MATCH($A784&amp;Y$1,JupData!$A$2:$A$10000&amp;JupData!$J$2:$J$10000,0),11))</f>
        <v/>
      </c>
      <c r="Z784" t="str">
        <f t="array" ref="Z784">IF($A784="","",INDEX(JupData!$A$2:$K$10000,MATCH($A784&amp;Z$1,JupData!$A$2:$A$10000&amp;JupData!$J$2:$J$10000,0),11))</f>
        <v/>
      </c>
      <c r="AA784" t="str">
        <f t="array" ref="AA784">IF($A784="","",INDEX(JupData!$A$2:$K$10000,MATCH($A784&amp;AA$1,JupData!$A$2:$A$10000&amp;JupData!$J$2:$J$10000,0),11))</f>
        <v/>
      </c>
      <c r="AB784" t="str">
        <f t="array" ref="AB784">IF($A784="","",INDEX(JupData!$A$2:$K$10000,MATCH($A784&amp;AB$1,JupData!$A$2:$A$10000&amp;JupData!$J$2:$J$10000,0),11))</f>
        <v/>
      </c>
      <c r="AC784" s="10" t="str">
        <f t="shared" si="132"/>
        <v/>
      </c>
      <c r="AD784" s="10" t="str">
        <f t="shared" si="133"/>
        <v/>
      </c>
      <c r="AE784" s="9" t="str">
        <f t="shared" si="134"/>
        <v/>
      </c>
      <c r="AF784" s="10" t="str">
        <f t="shared" si="135"/>
        <v/>
      </c>
      <c r="AG784" s="10" t="str">
        <f t="shared" si="136"/>
        <v/>
      </c>
      <c r="AH784" s="10" t="str">
        <f t="shared" si="137"/>
        <v/>
      </c>
      <c r="AI784" s="10" t="str">
        <f t="shared" si="138"/>
        <v/>
      </c>
      <c r="AJ784" s="10" t="str">
        <f t="shared" si="139"/>
        <v/>
      </c>
      <c r="AK784" s="10" t="str">
        <f t="shared" si="140"/>
        <v/>
      </c>
      <c r="AL784" s="14" t="str">
        <f t="shared" si="141"/>
        <v/>
      </c>
    </row>
    <row r="785" spans="1:38" x14ac:dyDescent="0.2">
      <c r="A785"/>
      <c r="B785" t="str">
        <f>IF($A785="","",VLOOKUP($A785,JupData!$A$2:$I$10000,4,FALSE))</f>
        <v/>
      </c>
      <c r="C785" s="7" t="str">
        <f>IF($A785="",IF(N(D785),0,""),VLOOKUP($A785,JupData!$A$2:$I$10000,7,FALSE))</f>
        <v/>
      </c>
      <c r="D785" t="str">
        <f t="shared" si="142"/>
        <v/>
      </c>
      <c r="E785" t="str">
        <f t="array" ref="E785">IF($A785="","",INDEX(JupData!$A$2:$K$10000,MATCH($A785&amp;E$1,JupData!$A$2:$A$10000&amp;JupData!$J$2:$J$10000,0),11))</f>
        <v/>
      </c>
      <c r="F785" t="str">
        <f t="array" ref="F785">IF($A785="","",INDEX(JupData!$A$2:$K$10000,MATCH($A785&amp;F$1,JupData!$A$2:$A$10000&amp;JupData!$J$2:$J$10000,0),11))</f>
        <v/>
      </c>
      <c r="G785" t="str">
        <f t="array" ref="G785">IF($A785="","",INDEX(JupData!$A$2:$K$10000,MATCH($A785&amp;G$1,JupData!$A$2:$A$10000&amp;JupData!$J$2:$J$10000,0),11))</f>
        <v/>
      </c>
      <c r="H785" t="str">
        <f t="array" ref="H785">IF($A785="","",INDEX(JupData!$A$2:$K$10000,MATCH($A785&amp;H$1,JupData!$A$2:$A$10000&amp;JupData!$J$2:$J$10000,0),11))</f>
        <v/>
      </c>
      <c r="I785" t="str">
        <f t="array" ref="I785">IF($A785="","",INDEX(JupData!$A$2:$K$10000,MATCH($A785&amp;I$1,JupData!$A$2:$A$10000&amp;JupData!$J$2:$J$10000,0),11))</f>
        <v/>
      </c>
      <c r="J785" t="str">
        <f t="array" ref="J785">IF($A785="","",INDEX(JupData!$A$2:$K$10000,MATCH($A785&amp;J$1,JupData!$A$2:$A$10000&amp;JupData!$J$2:$J$10000,0),11))</f>
        <v/>
      </c>
      <c r="K785" t="str">
        <f t="array" ref="K785">IF($A785="","",INDEX(JupData!$A$2:$K$10000,MATCH($A785&amp;K$1,JupData!$A$2:$A$10000&amp;JupData!$J$2:$J$10000,0),11))</f>
        <v/>
      </c>
      <c r="L785" t="str">
        <f t="array" ref="L785">IF($A785="","",INDEX(JupData!$A$2:$K$10000,MATCH($A785&amp;L$1,JupData!$A$2:$A$10000&amp;JupData!$J$2:$J$10000,0),11))</f>
        <v/>
      </c>
      <c r="M785" t="str">
        <f t="array" ref="M785">IF($A785="","",INDEX(JupData!$A$2:$K$10000,MATCH($A785&amp;M$1,JupData!$A$2:$A$10000&amp;JupData!$J$2:$J$10000,0),11))</f>
        <v/>
      </c>
      <c r="N785" t="str">
        <f t="array" ref="N785">IF($A785="","",INDEX(JupData!$A$2:$K$10000,MATCH($A785&amp;N$1,JupData!$A$2:$A$10000&amp;JupData!$J$2:$J$10000,0),11))</f>
        <v/>
      </c>
      <c r="O785" t="str">
        <f t="array" ref="O785">IF($A785="","",INDEX(JupData!$A$2:$K$10000,MATCH($A785&amp;O$1,JupData!$A$2:$A$10000&amp;JupData!$J$2:$J$10000,0),11))</f>
        <v/>
      </c>
      <c r="P785" t="str">
        <f t="array" ref="P785">IF($A785="","",INDEX(JupData!$A$2:$K$10000,MATCH($A785&amp;P$1,JupData!$A$2:$A$10000&amp;JupData!$J$2:$J$10000,0),11))</f>
        <v/>
      </c>
      <c r="Q785" t="str">
        <f t="array" ref="Q785">IF($A785="","",INDEX(JupData!$A$2:$K$10000,MATCH($A785&amp;Q$1,JupData!$A$2:$A$10000&amp;JupData!$J$2:$J$10000,0),11))</f>
        <v/>
      </c>
      <c r="R785" t="str">
        <f t="array" ref="R785">IF($A785="","",INDEX(JupData!$A$2:$K$10000,MATCH($A785&amp;R$1,JupData!$A$2:$A$10000&amp;JupData!$J$2:$J$10000,0),11))</f>
        <v/>
      </c>
      <c r="S785" t="str">
        <f t="array" ref="S785">IF($A785="","",INDEX(JupData!$A$2:$K$10000,MATCH($A785&amp;S$1,JupData!$A$2:$A$10000&amp;JupData!$J$2:$J$10000,0),11))</f>
        <v/>
      </c>
      <c r="T785" t="str">
        <f t="array" ref="T785">IF($A785="","",INDEX(JupData!$A$2:$K$10000,MATCH($A785&amp;T$1,JupData!$A$2:$A$10000&amp;JupData!$J$2:$J$10000,0),11))</f>
        <v/>
      </c>
      <c r="U785" t="str">
        <f t="array" ref="U785">IF($A785="","",INDEX(JupData!$A$2:$K$10000,MATCH($A785&amp;U$1,JupData!$A$2:$A$10000&amp;JupData!$J$2:$J$10000,0),11))</f>
        <v/>
      </c>
      <c r="V785" t="str">
        <f t="array" ref="V785">IF($A785="","",INDEX(JupData!$A$2:$K$10000,MATCH($A785&amp;V$1,JupData!$A$2:$A$10000&amp;JupData!$J$2:$J$10000,0),11))</f>
        <v/>
      </c>
      <c r="W785" t="str">
        <f t="array" ref="W785">IF($A785="","",INDEX(JupData!$A$2:$K$10000,MATCH($A785&amp;W$1,JupData!$A$2:$A$10000&amp;JupData!$J$2:$J$10000,0),11))</f>
        <v/>
      </c>
      <c r="X785" t="str">
        <f t="array" ref="X785">IF($A785="","",INDEX(JupData!$A$2:$K$10000,MATCH($A785&amp;X$1,JupData!$A$2:$A$10000&amp;JupData!$J$2:$J$10000,0),11))</f>
        <v/>
      </c>
      <c r="Y785" t="str">
        <f t="array" ref="Y785">IF($A785="","",INDEX(JupData!$A$2:$K$10000,MATCH($A785&amp;Y$1,JupData!$A$2:$A$10000&amp;JupData!$J$2:$J$10000,0),11))</f>
        <v/>
      </c>
      <c r="Z785" t="str">
        <f t="array" ref="Z785">IF($A785="","",INDEX(JupData!$A$2:$K$10000,MATCH($A785&amp;Z$1,JupData!$A$2:$A$10000&amp;JupData!$J$2:$J$10000,0),11))</f>
        <v/>
      </c>
      <c r="AA785" t="str">
        <f t="array" ref="AA785">IF($A785="","",INDEX(JupData!$A$2:$K$10000,MATCH($A785&amp;AA$1,JupData!$A$2:$A$10000&amp;JupData!$J$2:$J$10000,0),11))</f>
        <v/>
      </c>
      <c r="AB785" t="str">
        <f t="array" ref="AB785">IF($A785="","",INDEX(JupData!$A$2:$K$10000,MATCH($A785&amp;AB$1,JupData!$A$2:$A$10000&amp;JupData!$J$2:$J$10000,0),11))</f>
        <v/>
      </c>
      <c r="AC785" s="10" t="str">
        <f t="shared" si="132"/>
        <v/>
      </c>
      <c r="AD785" s="10" t="str">
        <f t="shared" si="133"/>
        <v/>
      </c>
      <c r="AE785" s="9" t="str">
        <f t="shared" si="134"/>
        <v/>
      </c>
      <c r="AF785" s="10" t="str">
        <f t="shared" si="135"/>
        <v/>
      </c>
      <c r="AG785" s="10" t="str">
        <f t="shared" si="136"/>
        <v/>
      </c>
      <c r="AH785" s="10" t="str">
        <f t="shared" si="137"/>
        <v/>
      </c>
      <c r="AI785" s="10" t="str">
        <f t="shared" si="138"/>
        <v/>
      </c>
      <c r="AJ785" s="10" t="str">
        <f t="shared" si="139"/>
        <v/>
      </c>
      <c r="AK785" s="10" t="str">
        <f t="shared" si="140"/>
        <v/>
      </c>
      <c r="AL785" s="14" t="str">
        <f t="shared" si="141"/>
        <v/>
      </c>
    </row>
    <row r="786" spans="1:38" x14ac:dyDescent="0.2">
      <c r="A786"/>
      <c r="B786" t="str">
        <f>IF($A786="","",VLOOKUP($A786,JupData!$A$2:$I$10000,4,FALSE))</f>
        <v/>
      </c>
      <c r="C786" s="7" t="str">
        <f>IF($A786="",IF(N(D786),0,""),VLOOKUP($A786,JupData!$A$2:$I$10000,7,FALSE))</f>
        <v/>
      </c>
      <c r="D786" t="str">
        <f t="shared" si="142"/>
        <v/>
      </c>
      <c r="E786" t="str">
        <f t="array" ref="E786">IF($A786="","",INDEX(JupData!$A$2:$K$10000,MATCH($A786&amp;E$1,JupData!$A$2:$A$10000&amp;JupData!$J$2:$J$10000,0),11))</f>
        <v/>
      </c>
      <c r="F786" t="str">
        <f t="array" ref="F786">IF($A786="","",INDEX(JupData!$A$2:$K$10000,MATCH($A786&amp;F$1,JupData!$A$2:$A$10000&amp;JupData!$J$2:$J$10000,0),11))</f>
        <v/>
      </c>
      <c r="G786" t="str">
        <f t="array" ref="G786">IF($A786="","",INDEX(JupData!$A$2:$K$10000,MATCH($A786&amp;G$1,JupData!$A$2:$A$10000&amp;JupData!$J$2:$J$10000,0),11))</f>
        <v/>
      </c>
      <c r="H786" t="str">
        <f t="array" ref="H786">IF($A786="","",INDEX(JupData!$A$2:$K$10000,MATCH($A786&amp;H$1,JupData!$A$2:$A$10000&amp;JupData!$J$2:$J$10000,0),11))</f>
        <v/>
      </c>
      <c r="I786" t="str">
        <f t="array" ref="I786">IF($A786="","",INDEX(JupData!$A$2:$K$10000,MATCH($A786&amp;I$1,JupData!$A$2:$A$10000&amp;JupData!$J$2:$J$10000,0),11))</f>
        <v/>
      </c>
      <c r="J786" t="str">
        <f t="array" ref="J786">IF($A786="","",INDEX(JupData!$A$2:$K$10000,MATCH($A786&amp;J$1,JupData!$A$2:$A$10000&amp;JupData!$J$2:$J$10000,0),11))</f>
        <v/>
      </c>
      <c r="K786" t="str">
        <f t="array" ref="K786">IF($A786="","",INDEX(JupData!$A$2:$K$10000,MATCH($A786&amp;K$1,JupData!$A$2:$A$10000&amp;JupData!$J$2:$J$10000,0),11))</f>
        <v/>
      </c>
      <c r="L786" t="str">
        <f t="array" ref="L786">IF($A786="","",INDEX(JupData!$A$2:$K$10000,MATCH($A786&amp;L$1,JupData!$A$2:$A$10000&amp;JupData!$J$2:$J$10000,0),11))</f>
        <v/>
      </c>
      <c r="M786" t="str">
        <f t="array" ref="M786">IF($A786="","",INDEX(JupData!$A$2:$K$10000,MATCH($A786&amp;M$1,JupData!$A$2:$A$10000&amp;JupData!$J$2:$J$10000,0),11))</f>
        <v/>
      </c>
      <c r="N786" t="str">
        <f t="array" ref="N786">IF($A786="","",INDEX(JupData!$A$2:$K$10000,MATCH($A786&amp;N$1,JupData!$A$2:$A$10000&amp;JupData!$J$2:$J$10000,0),11))</f>
        <v/>
      </c>
      <c r="O786" t="str">
        <f t="array" ref="O786">IF($A786="","",INDEX(JupData!$A$2:$K$10000,MATCH($A786&amp;O$1,JupData!$A$2:$A$10000&amp;JupData!$J$2:$J$10000,0),11))</f>
        <v/>
      </c>
      <c r="P786" t="str">
        <f t="array" ref="P786">IF($A786="","",INDEX(JupData!$A$2:$K$10000,MATCH($A786&amp;P$1,JupData!$A$2:$A$10000&amp;JupData!$J$2:$J$10000,0),11))</f>
        <v/>
      </c>
      <c r="Q786" t="str">
        <f t="array" ref="Q786">IF($A786="","",INDEX(JupData!$A$2:$K$10000,MATCH($A786&amp;Q$1,JupData!$A$2:$A$10000&amp;JupData!$J$2:$J$10000,0),11))</f>
        <v/>
      </c>
      <c r="R786" t="str">
        <f t="array" ref="R786">IF($A786="","",INDEX(JupData!$A$2:$K$10000,MATCH($A786&amp;R$1,JupData!$A$2:$A$10000&amp;JupData!$J$2:$J$10000,0),11))</f>
        <v/>
      </c>
      <c r="S786" t="str">
        <f t="array" ref="S786">IF($A786="","",INDEX(JupData!$A$2:$K$10000,MATCH($A786&amp;S$1,JupData!$A$2:$A$10000&amp;JupData!$J$2:$J$10000,0),11))</f>
        <v/>
      </c>
      <c r="T786" t="str">
        <f t="array" ref="T786">IF($A786="","",INDEX(JupData!$A$2:$K$10000,MATCH($A786&amp;T$1,JupData!$A$2:$A$10000&amp;JupData!$J$2:$J$10000,0),11))</f>
        <v/>
      </c>
      <c r="U786" t="str">
        <f t="array" ref="U786">IF($A786="","",INDEX(JupData!$A$2:$K$10000,MATCH($A786&amp;U$1,JupData!$A$2:$A$10000&amp;JupData!$J$2:$J$10000,0),11))</f>
        <v/>
      </c>
      <c r="V786" t="str">
        <f t="array" ref="V786">IF($A786="","",INDEX(JupData!$A$2:$K$10000,MATCH($A786&amp;V$1,JupData!$A$2:$A$10000&amp;JupData!$J$2:$J$10000,0),11))</f>
        <v/>
      </c>
      <c r="W786" t="str">
        <f t="array" ref="W786">IF($A786="","",INDEX(JupData!$A$2:$K$10000,MATCH($A786&amp;W$1,JupData!$A$2:$A$10000&amp;JupData!$J$2:$J$10000,0),11))</f>
        <v/>
      </c>
      <c r="X786" t="str">
        <f t="array" ref="X786">IF($A786="","",INDEX(JupData!$A$2:$K$10000,MATCH($A786&amp;X$1,JupData!$A$2:$A$10000&amp;JupData!$J$2:$J$10000,0),11))</f>
        <v/>
      </c>
      <c r="Y786" t="str">
        <f t="array" ref="Y786">IF($A786="","",INDEX(JupData!$A$2:$K$10000,MATCH($A786&amp;Y$1,JupData!$A$2:$A$10000&amp;JupData!$J$2:$J$10000,0),11))</f>
        <v/>
      </c>
      <c r="Z786" t="str">
        <f t="array" ref="Z786">IF($A786="","",INDEX(JupData!$A$2:$K$10000,MATCH($A786&amp;Z$1,JupData!$A$2:$A$10000&amp;JupData!$J$2:$J$10000,0),11))</f>
        <v/>
      </c>
      <c r="AA786" t="str">
        <f t="array" ref="AA786">IF($A786="","",INDEX(JupData!$A$2:$K$10000,MATCH($A786&amp;AA$1,JupData!$A$2:$A$10000&amp;JupData!$J$2:$J$10000,0),11))</f>
        <v/>
      </c>
      <c r="AB786" t="str">
        <f t="array" ref="AB786">IF($A786="","",INDEX(JupData!$A$2:$K$10000,MATCH($A786&amp;AB$1,JupData!$A$2:$A$10000&amp;JupData!$J$2:$J$10000,0),11))</f>
        <v/>
      </c>
      <c r="AC786" s="10" t="str">
        <f t="shared" si="132"/>
        <v/>
      </c>
      <c r="AD786" s="10" t="str">
        <f t="shared" si="133"/>
        <v/>
      </c>
      <c r="AE786" s="9" t="str">
        <f t="shared" si="134"/>
        <v/>
      </c>
      <c r="AF786" s="10" t="str">
        <f t="shared" si="135"/>
        <v/>
      </c>
      <c r="AG786" s="10" t="str">
        <f t="shared" si="136"/>
        <v/>
      </c>
      <c r="AH786" s="10" t="str">
        <f t="shared" si="137"/>
        <v/>
      </c>
      <c r="AI786" s="10" t="str">
        <f t="shared" si="138"/>
        <v/>
      </c>
      <c r="AJ786" s="10" t="str">
        <f t="shared" si="139"/>
        <v/>
      </c>
      <c r="AK786" s="10" t="str">
        <f t="shared" si="140"/>
        <v/>
      </c>
      <c r="AL786" s="14" t="str">
        <f t="shared" si="141"/>
        <v/>
      </c>
    </row>
    <row r="787" spans="1:38" x14ac:dyDescent="0.2">
      <c r="A787"/>
      <c r="B787" t="str">
        <f>IF($A787="","",VLOOKUP($A787,JupData!$A$2:$I$10000,4,FALSE))</f>
        <v/>
      </c>
      <c r="C787" s="7" t="str">
        <f>IF($A787="",IF(N(D787),0,""),VLOOKUP($A787,JupData!$A$2:$I$10000,7,FALSE))</f>
        <v/>
      </c>
      <c r="D787" t="str">
        <f t="shared" si="142"/>
        <v/>
      </c>
      <c r="E787" t="str">
        <f t="array" ref="E787">IF($A787="","",INDEX(JupData!$A$2:$K$10000,MATCH($A787&amp;E$1,JupData!$A$2:$A$10000&amp;JupData!$J$2:$J$10000,0),11))</f>
        <v/>
      </c>
      <c r="F787" t="str">
        <f t="array" ref="F787">IF($A787="","",INDEX(JupData!$A$2:$K$10000,MATCH($A787&amp;F$1,JupData!$A$2:$A$10000&amp;JupData!$J$2:$J$10000,0),11))</f>
        <v/>
      </c>
      <c r="G787" t="str">
        <f t="array" ref="G787">IF($A787="","",INDEX(JupData!$A$2:$K$10000,MATCH($A787&amp;G$1,JupData!$A$2:$A$10000&amp;JupData!$J$2:$J$10000,0),11))</f>
        <v/>
      </c>
      <c r="H787" t="str">
        <f t="array" ref="H787">IF($A787="","",INDEX(JupData!$A$2:$K$10000,MATCH($A787&amp;H$1,JupData!$A$2:$A$10000&amp;JupData!$J$2:$J$10000,0),11))</f>
        <v/>
      </c>
      <c r="I787" t="str">
        <f t="array" ref="I787">IF($A787="","",INDEX(JupData!$A$2:$K$10000,MATCH($A787&amp;I$1,JupData!$A$2:$A$10000&amp;JupData!$J$2:$J$10000,0),11))</f>
        <v/>
      </c>
      <c r="J787" t="str">
        <f t="array" ref="J787">IF($A787="","",INDEX(JupData!$A$2:$K$10000,MATCH($A787&amp;J$1,JupData!$A$2:$A$10000&amp;JupData!$J$2:$J$10000,0),11))</f>
        <v/>
      </c>
      <c r="K787" t="str">
        <f t="array" ref="K787">IF($A787="","",INDEX(JupData!$A$2:$K$10000,MATCH($A787&amp;K$1,JupData!$A$2:$A$10000&amp;JupData!$J$2:$J$10000,0),11))</f>
        <v/>
      </c>
      <c r="L787" t="str">
        <f t="array" ref="L787">IF($A787="","",INDEX(JupData!$A$2:$K$10000,MATCH($A787&amp;L$1,JupData!$A$2:$A$10000&amp;JupData!$J$2:$J$10000,0),11))</f>
        <v/>
      </c>
      <c r="M787" t="str">
        <f t="array" ref="M787">IF($A787="","",INDEX(JupData!$A$2:$K$10000,MATCH($A787&amp;M$1,JupData!$A$2:$A$10000&amp;JupData!$J$2:$J$10000,0),11))</f>
        <v/>
      </c>
      <c r="N787" t="str">
        <f t="array" ref="N787">IF($A787="","",INDEX(JupData!$A$2:$K$10000,MATCH($A787&amp;N$1,JupData!$A$2:$A$10000&amp;JupData!$J$2:$J$10000,0),11))</f>
        <v/>
      </c>
      <c r="O787" t="str">
        <f t="array" ref="O787">IF($A787="","",INDEX(JupData!$A$2:$K$10000,MATCH($A787&amp;O$1,JupData!$A$2:$A$10000&amp;JupData!$J$2:$J$10000,0),11))</f>
        <v/>
      </c>
      <c r="P787" t="str">
        <f t="array" ref="P787">IF($A787="","",INDEX(JupData!$A$2:$K$10000,MATCH($A787&amp;P$1,JupData!$A$2:$A$10000&amp;JupData!$J$2:$J$10000,0),11))</f>
        <v/>
      </c>
      <c r="Q787" t="str">
        <f t="array" ref="Q787">IF($A787="","",INDEX(JupData!$A$2:$K$10000,MATCH($A787&amp;Q$1,JupData!$A$2:$A$10000&amp;JupData!$J$2:$J$10000,0),11))</f>
        <v/>
      </c>
      <c r="R787" t="str">
        <f t="array" ref="R787">IF($A787="","",INDEX(JupData!$A$2:$K$10000,MATCH($A787&amp;R$1,JupData!$A$2:$A$10000&amp;JupData!$J$2:$J$10000,0),11))</f>
        <v/>
      </c>
      <c r="S787" t="str">
        <f t="array" ref="S787">IF($A787="","",INDEX(JupData!$A$2:$K$10000,MATCH($A787&amp;S$1,JupData!$A$2:$A$10000&amp;JupData!$J$2:$J$10000,0),11))</f>
        <v/>
      </c>
      <c r="T787" t="str">
        <f t="array" ref="T787">IF($A787="","",INDEX(JupData!$A$2:$K$10000,MATCH($A787&amp;T$1,JupData!$A$2:$A$10000&amp;JupData!$J$2:$J$10000,0),11))</f>
        <v/>
      </c>
      <c r="U787" t="str">
        <f t="array" ref="U787">IF($A787="","",INDEX(JupData!$A$2:$K$10000,MATCH($A787&amp;U$1,JupData!$A$2:$A$10000&amp;JupData!$J$2:$J$10000,0),11))</f>
        <v/>
      </c>
      <c r="V787" t="str">
        <f t="array" ref="V787">IF($A787="","",INDEX(JupData!$A$2:$K$10000,MATCH($A787&amp;V$1,JupData!$A$2:$A$10000&amp;JupData!$J$2:$J$10000,0),11))</f>
        <v/>
      </c>
      <c r="W787" t="str">
        <f t="array" ref="W787">IF($A787="","",INDEX(JupData!$A$2:$K$10000,MATCH($A787&amp;W$1,JupData!$A$2:$A$10000&amp;JupData!$J$2:$J$10000,0),11))</f>
        <v/>
      </c>
      <c r="X787" t="str">
        <f t="array" ref="X787">IF($A787="","",INDEX(JupData!$A$2:$K$10000,MATCH($A787&amp;X$1,JupData!$A$2:$A$10000&amp;JupData!$J$2:$J$10000,0),11))</f>
        <v/>
      </c>
      <c r="Y787" t="str">
        <f t="array" ref="Y787">IF($A787="","",INDEX(JupData!$A$2:$K$10000,MATCH($A787&amp;Y$1,JupData!$A$2:$A$10000&amp;JupData!$J$2:$J$10000,0),11))</f>
        <v/>
      </c>
      <c r="Z787" t="str">
        <f t="array" ref="Z787">IF($A787="","",INDEX(JupData!$A$2:$K$10000,MATCH($A787&amp;Z$1,JupData!$A$2:$A$10000&amp;JupData!$J$2:$J$10000,0),11))</f>
        <v/>
      </c>
      <c r="AA787" t="str">
        <f t="array" ref="AA787">IF($A787="","",INDEX(JupData!$A$2:$K$10000,MATCH($A787&amp;AA$1,JupData!$A$2:$A$10000&amp;JupData!$J$2:$J$10000,0),11))</f>
        <v/>
      </c>
      <c r="AB787" t="str">
        <f t="array" ref="AB787">IF($A787="","",INDEX(JupData!$A$2:$K$10000,MATCH($A787&amp;AB$1,JupData!$A$2:$A$10000&amp;JupData!$J$2:$J$10000,0),11))</f>
        <v/>
      </c>
      <c r="AC787" s="10" t="str">
        <f t="shared" si="132"/>
        <v/>
      </c>
      <c r="AD787" s="10" t="str">
        <f t="shared" si="133"/>
        <v/>
      </c>
      <c r="AE787" s="9" t="str">
        <f t="shared" si="134"/>
        <v/>
      </c>
      <c r="AF787" s="10" t="str">
        <f t="shared" si="135"/>
        <v/>
      </c>
      <c r="AG787" s="10" t="str">
        <f t="shared" si="136"/>
        <v/>
      </c>
      <c r="AH787" s="10" t="str">
        <f t="shared" si="137"/>
        <v/>
      </c>
      <c r="AI787" s="10" t="str">
        <f t="shared" si="138"/>
        <v/>
      </c>
      <c r="AJ787" s="10" t="str">
        <f t="shared" si="139"/>
        <v/>
      </c>
      <c r="AK787" s="10" t="str">
        <f t="shared" si="140"/>
        <v/>
      </c>
      <c r="AL787" s="14" t="str">
        <f t="shared" si="141"/>
        <v/>
      </c>
    </row>
    <row r="788" spans="1:38" x14ac:dyDescent="0.2">
      <c r="A788"/>
      <c r="B788" t="str">
        <f>IF($A788="","",VLOOKUP($A788,JupData!$A$2:$I$10000,4,FALSE))</f>
        <v/>
      </c>
      <c r="C788" s="7" t="str">
        <f>IF($A788="",IF(N(D788),0,""),VLOOKUP($A788,JupData!$A$2:$I$10000,7,FALSE))</f>
        <v/>
      </c>
      <c r="D788" t="str">
        <f t="shared" si="142"/>
        <v/>
      </c>
      <c r="E788" t="str">
        <f t="array" ref="E788">IF($A788="","",INDEX(JupData!$A$2:$K$10000,MATCH($A788&amp;E$1,JupData!$A$2:$A$10000&amp;JupData!$J$2:$J$10000,0),11))</f>
        <v/>
      </c>
      <c r="F788" t="str">
        <f t="array" ref="F788">IF($A788="","",INDEX(JupData!$A$2:$K$10000,MATCH($A788&amp;F$1,JupData!$A$2:$A$10000&amp;JupData!$J$2:$J$10000,0),11))</f>
        <v/>
      </c>
      <c r="G788" t="str">
        <f t="array" ref="G788">IF($A788="","",INDEX(JupData!$A$2:$K$10000,MATCH($A788&amp;G$1,JupData!$A$2:$A$10000&amp;JupData!$J$2:$J$10000,0),11))</f>
        <v/>
      </c>
      <c r="H788" t="str">
        <f t="array" ref="H788">IF($A788="","",INDEX(JupData!$A$2:$K$10000,MATCH($A788&amp;H$1,JupData!$A$2:$A$10000&amp;JupData!$J$2:$J$10000,0),11))</f>
        <v/>
      </c>
      <c r="I788" t="str">
        <f t="array" ref="I788">IF($A788="","",INDEX(JupData!$A$2:$K$10000,MATCH($A788&amp;I$1,JupData!$A$2:$A$10000&amp;JupData!$J$2:$J$10000,0),11))</f>
        <v/>
      </c>
      <c r="J788" t="str">
        <f t="array" ref="J788">IF($A788="","",INDEX(JupData!$A$2:$K$10000,MATCH($A788&amp;J$1,JupData!$A$2:$A$10000&amp;JupData!$J$2:$J$10000,0),11))</f>
        <v/>
      </c>
      <c r="K788" t="str">
        <f t="array" ref="K788">IF($A788="","",INDEX(JupData!$A$2:$K$10000,MATCH($A788&amp;K$1,JupData!$A$2:$A$10000&amp;JupData!$J$2:$J$10000,0),11))</f>
        <v/>
      </c>
      <c r="L788" t="str">
        <f t="array" ref="L788">IF($A788="","",INDEX(JupData!$A$2:$K$10000,MATCH($A788&amp;L$1,JupData!$A$2:$A$10000&amp;JupData!$J$2:$J$10000,0),11))</f>
        <v/>
      </c>
      <c r="M788" t="str">
        <f t="array" ref="M788">IF($A788="","",INDEX(JupData!$A$2:$K$10000,MATCH($A788&amp;M$1,JupData!$A$2:$A$10000&amp;JupData!$J$2:$J$10000,0),11))</f>
        <v/>
      </c>
      <c r="N788" t="str">
        <f t="array" ref="N788">IF($A788="","",INDEX(JupData!$A$2:$K$10000,MATCH($A788&amp;N$1,JupData!$A$2:$A$10000&amp;JupData!$J$2:$J$10000,0),11))</f>
        <v/>
      </c>
      <c r="O788" t="str">
        <f t="array" ref="O788">IF($A788="","",INDEX(JupData!$A$2:$K$10000,MATCH($A788&amp;O$1,JupData!$A$2:$A$10000&amp;JupData!$J$2:$J$10000,0),11))</f>
        <v/>
      </c>
      <c r="P788" t="str">
        <f t="array" ref="P788">IF($A788="","",INDEX(JupData!$A$2:$K$10000,MATCH($A788&amp;P$1,JupData!$A$2:$A$10000&amp;JupData!$J$2:$J$10000,0),11))</f>
        <v/>
      </c>
      <c r="Q788" t="str">
        <f t="array" ref="Q788">IF($A788="","",INDEX(JupData!$A$2:$K$10000,MATCH($A788&amp;Q$1,JupData!$A$2:$A$10000&amp;JupData!$J$2:$J$10000,0),11))</f>
        <v/>
      </c>
      <c r="R788" t="str">
        <f t="array" ref="R788">IF($A788="","",INDEX(JupData!$A$2:$K$10000,MATCH($A788&amp;R$1,JupData!$A$2:$A$10000&amp;JupData!$J$2:$J$10000,0),11))</f>
        <v/>
      </c>
      <c r="S788" t="str">
        <f t="array" ref="S788">IF($A788="","",INDEX(JupData!$A$2:$K$10000,MATCH($A788&amp;S$1,JupData!$A$2:$A$10000&amp;JupData!$J$2:$J$10000,0),11))</f>
        <v/>
      </c>
      <c r="T788" t="str">
        <f t="array" ref="T788">IF($A788="","",INDEX(JupData!$A$2:$K$10000,MATCH($A788&amp;T$1,JupData!$A$2:$A$10000&amp;JupData!$J$2:$J$10000,0),11))</f>
        <v/>
      </c>
      <c r="U788" t="str">
        <f t="array" ref="U788">IF($A788="","",INDEX(JupData!$A$2:$K$10000,MATCH($A788&amp;U$1,JupData!$A$2:$A$10000&amp;JupData!$J$2:$J$10000,0),11))</f>
        <v/>
      </c>
      <c r="V788" t="str">
        <f t="array" ref="V788">IF($A788="","",INDEX(JupData!$A$2:$K$10000,MATCH($A788&amp;V$1,JupData!$A$2:$A$10000&amp;JupData!$J$2:$J$10000,0),11))</f>
        <v/>
      </c>
      <c r="W788" t="str">
        <f t="array" ref="W788">IF($A788="","",INDEX(JupData!$A$2:$K$10000,MATCH($A788&amp;W$1,JupData!$A$2:$A$10000&amp;JupData!$J$2:$J$10000,0),11))</f>
        <v/>
      </c>
      <c r="X788" t="str">
        <f t="array" ref="X788">IF($A788="","",INDEX(JupData!$A$2:$K$10000,MATCH($A788&amp;X$1,JupData!$A$2:$A$10000&amp;JupData!$J$2:$J$10000,0),11))</f>
        <v/>
      </c>
      <c r="Y788" t="str">
        <f t="array" ref="Y788">IF($A788="","",INDEX(JupData!$A$2:$K$10000,MATCH($A788&amp;Y$1,JupData!$A$2:$A$10000&amp;JupData!$J$2:$J$10000,0),11))</f>
        <v/>
      </c>
      <c r="Z788" t="str">
        <f t="array" ref="Z788">IF($A788="","",INDEX(JupData!$A$2:$K$10000,MATCH($A788&amp;Z$1,JupData!$A$2:$A$10000&amp;JupData!$J$2:$J$10000,0),11))</f>
        <v/>
      </c>
      <c r="AA788" t="str">
        <f t="array" ref="AA788">IF($A788="","",INDEX(JupData!$A$2:$K$10000,MATCH($A788&amp;AA$1,JupData!$A$2:$A$10000&amp;JupData!$J$2:$J$10000,0),11))</f>
        <v/>
      </c>
      <c r="AB788" t="str">
        <f t="array" ref="AB788">IF($A788="","",INDEX(JupData!$A$2:$K$10000,MATCH($A788&amp;AB$1,JupData!$A$2:$A$10000&amp;JupData!$J$2:$J$10000,0),11))</f>
        <v/>
      </c>
      <c r="AC788" s="10" t="str">
        <f t="shared" si="132"/>
        <v/>
      </c>
      <c r="AD788" s="10" t="str">
        <f t="shared" si="133"/>
        <v/>
      </c>
      <c r="AE788" s="9" t="str">
        <f t="shared" si="134"/>
        <v/>
      </c>
      <c r="AF788" s="10" t="str">
        <f t="shared" si="135"/>
        <v/>
      </c>
      <c r="AG788" s="10" t="str">
        <f t="shared" si="136"/>
        <v/>
      </c>
      <c r="AH788" s="10" t="str">
        <f t="shared" si="137"/>
        <v/>
      </c>
      <c r="AI788" s="10" t="str">
        <f t="shared" si="138"/>
        <v/>
      </c>
      <c r="AJ788" s="10" t="str">
        <f t="shared" si="139"/>
        <v/>
      </c>
      <c r="AK788" s="10" t="str">
        <f t="shared" si="140"/>
        <v/>
      </c>
      <c r="AL788" s="14" t="str">
        <f t="shared" si="141"/>
        <v/>
      </c>
    </row>
    <row r="789" spans="1:38" x14ac:dyDescent="0.2">
      <c r="A789"/>
      <c r="B789" t="str">
        <f>IF($A789="","",VLOOKUP($A789,JupData!$A$2:$I$10000,4,FALSE))</f>
        <v/>
      </c>
      <c r="C789" s="7" t="str">
        <f>IF($A789="",IF(N(D789),0,""),VLOOKUP($A789,JupData!$A$2:$I$10000,7,FALSE))</f>
        <v/>
      </c>
      <c r="D789" t="str">
        <f t="shared" si="142"/>
        <v/>
      </c>
      <c r="E789" t="str">
        <f t="array" ref="E789">IF($A789="","",INDEX(JupData!$A$2:$K$10000,MATCH($A789&amp;E$1,JupData!$A$2:$A$10000&amp;JupData!$J$2:$J$10000,0),11))</f>
        <v/>
      </c>
      <c r="F789" t="str">
        <f t="array" ref="F789">IF($A789="","",INDEX(JupData!$A$2:$K$10000,MATCH($A789&amp;F$1,JupData!$A$2:$A$10000&amp;JupData!$J$2:$J$10000,0),11))</f>
        <v/>
      </c>
      <c r="G789" t="str">
        <f t="array" ref="G789">IF($A789="","",INDEX(JupData!$A$2:$K$10000,MATCH($A789&amp;G$1,JupData!$A$2:$A$10000&amp;JupData!$J$2:$J$10000,0),11))</f>
        <v/>
      </c>
      <c r="H789" t="str">
        <f t="array" ref="H789">IF($A789="","",INDEX(JupData!$A$2:$K$10000,MATCH($A789&amp;H$1,JupData!$A$2:$A$10000&amp;JupData!$J$2:$J$10000,0),11))</f>
        <v/>
      </c>
      <c r="I789" t="str">
        <f t="array" ref="I789">IF($A789="","",INDEX(JupData!$A$2:$K$10000,MATCH($A789&amp;I$1,JupData!$A$2:$A$10000&amp;JupData!$J$2:$J$10000,0),11))</f>
        <v/>
      </c>
      <c r="J789" t="str">
        <f t="array" ref="J789">IF($A789="","",INDEX(JupData!$A$2:$K$10000,MATCH($A789&amp;J$1,JupData!$A$2:$A$10000&amp;JupData!$J$2:$J$10000,0),11))</f>
        <v/>
      </c>
      <c r="K789" t="str">
        <f t="array" ref="K789">IF($A789="","",INDEX(JupData!$A$2:$K$10000,MATCH($A789&amp;K$1,JupData!$A$2:$A$10000&amp;JupData!$J$2:$J$10000,0),11))</f>
        <v/>
      </c>
      <c r="L789" t="str">
        <f t="array" ref="L789">IF($A789="","",INDEX(JupData!$A$2:$K$10000,MATCH($A789&amp;L$1,JupData!$A$2:$A$10000&amp;JupData!$J$2:$J$10000,0),11))</f>
        <v/>
      </c>
      <c r="M789" t="str">
        <f t="array" ref="M789">IF($A789="","",INDEX(JupData!$A$2:$K$10000,MATCH($A789&amp;M$1,JupData!$A$2:$A$10000&amp;JupData!$J$2:$J$10000,0),11))</f>
        <v/>
      </c>
      <c r="N789" t="str">
        <f t="array" ref="N789">IF($A789="","",INDEX(JupData!$A$2:$K$10000,MATCH($A789&amp;N$1,JupData!$A$2:$A$10000&amp;JupData!$J$2:$J$10000,0),11))</f>
        <v/>
      </c>
      <c r="O789" t="str">
        <f t="array" ref="O789">IF($A789="","",INDEX(JupData!$A$2:$K$10000,MATCH($A789&amp;O$1,JupData!$A$2:$A$10000&amp;JupData!$J$2:$J$10000,0),11))</f>
        <v/>
      </c>
      <c r="P789" t="str">
        <f t="array" ref="P789">IF($A789="","",INDEX(JupData!$A$2:$K$10000,MATCH($A789&amp;P$1,JupData!$A$2:$A$10000&amp;JupData!$J$2:$J$10000,0),11))</f>
        <v/>
      </c>
      <c r="Q789" t="str">
        <f t="array" ref="Q789">IF($A789="","",INDEX(JupData!$A$2:$K$10000,MATCH($A789&amp;Q$1,JupData!$A$2:$A$10000&amp;JupData!$J$2:$J$10000,0),11))</f>
        <v/>
      </c>
      <c r="R789" t="str">
        <f t="array" ref="R789">IF($A789="","",INDEX(JupData!$A$2:$K$10000,MATCH($A789&amp;R$1,JupData!$A$2:$A$10000&amp;JupData!$J$2:$J$10000,0),11))</f>
        <v/>
      </c>
      <c r="S789" t="str">
        <f t="array" ref="S789">IF($A789="","",INDEX(JupData!$A$2:$K$10000,MATCH($A789&amp;S$1,JupData!$A$2:$A$10000&amp;JupData!$J$2:$J$10000,0),11))</f>
        <v/>
      </c>
      <c r="T789" t="str">
        <f t="array" ref="T789">IF($A789="","",INDEX(JupData!$A$2:$K$10000,MATCH($A789&amp;T$1,JupData!$A$2:$A$10000&amp;JupData!$J$2:$J$10000,0),11))</f>
        <v/>
      </c>
      <c r="U789" t="str">
        <f t="array" ref="U789">IF($A789="","",INDEX(JupData!$A$2:$K$10000,MATCH($A789&amp;U$1,JupData!$A$2:$A$10000&amp;JupData!$J$2:$J$10000,0),11))</f>
        <v/>
      </c>
      <c r="V789" t="str">
        <f t="array" ref="V789">IF($A789="","",INDEX(JupData!$A$2:$K$10000,MATCH($A789&amp;V$1,JupData!$A$2:$A$10000&amp;JupData!$J$2:$J$10000,0),11))</f>
        <v/>
      </c>
      <c r="W789" t="str">
        <f t="array" ref="W789">IF($A789="","",INDEX(JupData!$A$2:$K$10000,MATCH($A789&amp;W$1,JupData!$A$2:$A$10000&amp;JupData!$J$2:$J$10000,0),11))</f>
        <v/>
      </c>
      <c r="X789" t="str">
        <f t="array" ref="X789">IF($A789="","",INDEX(JupData!$A$2:$K$10000,MATCH($A789&amp;X$1,JupData!$A$2:$A$10000&amp;JupData!$J$2:$J$10000,0),11))</f>
        <v/>
      </c>
      <c r="Y789" t="str">
        <f t="array" ref="Y789">IF($A789="","",INDEX(JupData!$A$2:$K$10000,MATCH($A789&amp;Y$1,JupData!$A$2:$A$10000&amp;JupData!$J$2:$J$10000,0),11))</f>
        <v/>
      </c>
      <c r="Z789" t="str">
        <f t="array" ref="Z789">IF($A789="","",INDEX(JupData!$A$2:$K$10000,MATCH($A789&amp;Z$1,JupData!$A$2:$A$10000&amp;JupData!$J$2:$J$10000,0),11))</f>
        <v/>
      </c>
      <c r="AA789" t="str">
        <f t="array" ref="AA789">IF($A789="","",INDEX(JupData!$A$2:$K$10000,MATCH($A789&amp;AA$1,JupData!$A$2:$A$10000&amp;JupData!$J$2:$J$10000,0),11))</f>
        <v/>
      </c>
      <c r="AB789" t="str">
        <f t="array" ref="AB789">IF($A789="","",INDEX(JupData!$A$2:$K$10000,MATCH($A789&amp;AB$1,JupData!$A$2:$A$10000&amp;JupData!$J$2:$J$10000,0),11))</f>
        <v/>
      </c>
      <c r="AC789" s="10" t="str">
        <f t="shared" si="132"/>
        <v/>
      </c>
      <c r="AD789" s="10" t="str">
        <f t="shared" si="133"/>
        <v/>
      </c>
      <c r="AE789" s="9" t="str">
        <f t="shared" si="134"/>
        <v/>
      </c>
      <c r="AF789" s="10" t="str">
        <f t="shared" si="135"/>
        <v/>
      </c>
      <c r="AG789" s="10" t="str">
        <f t="shared" si="136"/>
        <v/>
      </c>
      <c r="AH789" s="10" t="str">
        <f t="shared" si="137"/>
        <v/>
      </c>
      <c r="AI789" s="10" t="str">
        <f t="shared" si="138"/>
        <v/>
      </c>
      <c r="AJ789" s="10" t="str">
        <f t="shared" si="139"/>
        <v/>
      </c>
      <c r="AK789" s="10" t="str">
        <f t="shared" si="140"/>
        <v/>
      </c>
      <c r="AL789" s="14" t="str">
        <f t="shared" si="141"/>
        <v/>
      </c>
    </row>
    <row r="790" spans="1:38" x14ac:dyDescent="0.2">
      <c r="A790"/>
      <c r="B790" t="str">
        <f>IF($A790="","",VLOOKUP($A790,JupData!$A$2:$I$10000,4,FALSE))</f>
        <v/>
      </c>
      <c r="C790" s="7" t="str">
        <f>IF($A790="",IF(N(D790),0,""),VLOOKUP($A790,JupData!$A$2:$I$10000,7,FALSE))</f>
        <v/>
      </c>
      <c r="D790" t="str">
        <f t="shared" si="142"/>
        <v/>
      </c>
      <c r="E790" t="str">
        <f t="array" ref="E790">IF($A790="","",INDEX(JupData!$A$2:$K$10000,MATCH($A790&amp;E$1,JupData!$A$2:$A$10000&amp;JupData!$J$2:$J$10000,0),11))</f>
        <v/>
      </c>
      <c r="F790" t="str">
        <f t="array" ref="F790">IF($A790="","",INDEX(JupData!$A$2:$K$10000,MATCH($A790&amp;F$1,JupData!$A$2:$A$10000&amp;JupData!$J$2:$J$10000,0),11))</f>
        <v/>
      </c>
      <c r="G790" t="str">
        <f t="array" ref="G790">IF($A790="","",INDEX(JupData!$A$2:$K$10000,MATCH($A790&amp;G$1,JupData!$A$2:$A$10000&amp;JupData!$J$2:$J$10000,0),11))</f>
        <v/>
      </c>
      <c r="H790" t="str">
        <f t="array" ref="H790">IF($A790="","",INDEX(JupData!$A$2:$K$10000,MATCH($A790&amp;H$1,JupData!$A$2:$A$10000&amp;JupData!$J$2:$J$10000,0),11))</f>
        <v/>
      </c>
      <c r="I790" t="str">
        <f t="array" ref="I790">IF($A790="","",INDEX(JupData!$A$2:$K$10000,MATCH($A790&amp;I$1,JupData!$A$2:$A$10000&amp;JupData!$J$2:$J$10000,0),11))</f>
        <v/>
      </c>
      <c r="J790" t="str">
        <f t="array" ref="J790">IF($A790="","",INDEX(JupData!$A$2:$K$10000,MATCH($A790&amp;J$1,JupData!$A$2:$A$10000&amp;JupData!$J$2:$J$10000,0),11))</f>
        <v/>
      </c>
      <c r="K790" t="str">
        <f t="array" ref="K790">IF($A790="","",INDEX(JupData!$A$2:$K$10000,MATCH($A790&amp;K$1,JupData!$A$2:$A$10000&amp;JupData!$J$2:$J$10000,0),11))</f>
        <v/>
      </c>
      <c r="L790" t="str">
        <f t="array" ref="L790">IF($A790="","",INDEX(JupData!$A$2:$K$10000,MATCH($A790&amp;L$1,JupData!$A$2:$A$10000&amp;JupData!$J$2:$J$10000,0),11))</f>
        <v/>
      </c>
      <c r="M790" t="str">
        <f t="array" ref="M790">IF($A790="","",INDEX(JupData!$A$2:$K$10000,MATCH($A790&amp;M$1,JupData!$A$2:$A$10000&amp;JupData!$J$2:$J$10000,0),11))</f>
        <v/>
      </c>
      <c r="N790" t="str">
        <f t="array" ref="N790">IF($A790="","",INDEX(JupData!$A$2:$K$10000,MATCH($A790&amp;N$1,JupData!$A$2:$A$10000&amp;JupData!$J$2:$J$10000,0),11))</f>
        <v/>
      </c>
      <c r="O790" t="str">
        <f t="array" ref="O790">IF($A790="","",INDEX(JupData!$A$2:$K$10000,MATCH($A790&amp;O$1,JupData!$A$2:$A$10000&amp;JupData!$J$2:$J$10000,0),11))</f>
        <v/>
      </c>
      <c r="P790" t="str">
        <f t="array" ref="P790">IF($A790="","",INDEX(JupData!$A$2:$K$10000,MATCH($A790&amp;P$1,JupData!$A$2:$A$10000&amp;JupData!$J$2:$J$10000,0),11))</f>
        <v/>
      </c>
      <c r="Q790" t="str">
        <f t="array" ref="Q790">IF($A790="","",INDEX(JupData!$A$2:$K$10000,MATCH($A790&amp;Q$1,JupData!$A$2:$A$10000&amp;JupData!$J$2:$J$10000,0),11))</f>
        <v/>
      </c>
      <c r="R790" t="str">
        <f t="array" ref="R790">IF($A790="","",INDEX(JupData!$A$2:$K$10000,MATCH($A790&amp;R$1,JupData!$A$2:$A$10000&amp;JupData!$J$2:$J$10000,0),11))</f>
        <v/>
      </c>
      <c r="S790" t="str">
        <f t="array" ref="S790">IF($A790="","",INDEX(JupData!$A$2:$K$10000,MATCH($A790&amp;S$1,JupData!$A$2:$A$10000&amp;JupData!$J$2:$J$10000,0),11))</f>
        <v/>
      </c>
      <c r="T790" t="str">
        <f t="array" ref="T790">IF($A790="","",INDEX(JupData!$A$2:$K$10000,MATCH($A790&amp;T$1,JupData!$A$2:$A$10000&amp;JupData!$J$2:$J$10000,0),11))</f>
        <v/>
      </c>
      <c r="U790" t="str">
        <f t="array" ref="U790">IF($A790="","",INDEX(JupData!$A$2:$K$10000,MATCH($A790&amp;U$1,JupData!$A$2:$A$10000&amp;JupData!$J$2:$J$10000,0),11))</f>
        <v/>
      </c>
      <c r="V790" t="str">
        <f t="array" ref="V790">IF($A790="","",INDEX(JupData!$A$2:$K$10000,MATCH($A790&amp;V$1,JupData!$A$2:$A$10000&amp;JupData!$J$2:$J$10000,0),11))</f>
        <v/>
      </c>
      <c r="W790" t="str">
        <f t="array" ref="W790">IF($A790="","",INDEX(JupData!$A$2:$K$10000,MATCH($A790&amp;W$1,JupData!$A$2:$A$10000&amp;JupData!$J$2:$J$10000,0),11))</f>
        <v/>
      </c>
      <c r="X790" t="str">
        <f t="array" ref="X790">IF($A790="","",INDEX(JupData!$A$2:$K$10000,MATCH($A790&amp;X$1,JupData!$A$2:$A$10000&amp;JupData!$J$2:$J$10000,0),11))</f>
        <v/>
      </c>
      <c r="Y790" t="str">
        <f t="array" ref="Y790">IF($A790="","",INDEX(JupData!$A$2:$K$10000,MATCH($A790&amp;Y$1,JupData!$A$2:$A$10000&amp;JupData!$J$2:$J$10000,0),11))</f>
        <v/>
      </c>
      <c r="Z790" t="str">
        <f t="array" ref="Z790">IF($A790="","",INDEX(JupData!$A$2:$K$10000,MATCH($A790&amp;Z$1,JupData!$A$2:$A$10000&amp;JupData!$J$2:$J$10000,0),11))</f>
        <v/>
      </c>
      <c r="AA790" t="str">
        <f t="array" ref="AA790">IF($A790="","",INDEX(JupData!$A$2:$K$10000,MATCH($A790&amp;AA$1,JupData!$A$2:$A$10000&amp;JupData!$J$2:$J$10000,0),11))</f>
        <v/>
      </c>
      <c r="AB790" t="str">
        <f t="array" ref="AB790">IF($A790="","",INDEX(JupData!$A$2:$K$10000,MATCH($A790&amp;AB$1,JupData!$A$2:$A$10000&amp;JupData!$J$2:$J$10000,0),11))</f>
        <v/>
      </c>
      <c r="AC790" s="10" t="str">
        <f t="shared" si="132"/>
        <v/>
      </c>
      <c r="AD790" s="10" t="str">
        <f t="shared" si="133"/>
        <v/>
      </c>
      <c r="AE790" s="9" t="str">
        <f t="shared" si="134"/>
        <v/>
      </c>
      <c r="AF790" s="10" t="str">
        <f t="shared" si="135"/>
        <v/>
      </c>
      <c r="AG790" s="10" t="str">
        <f t="shared" si="136"/>
        <v/>
      </c>
      <c r="AH790" s="10" t="str">
        <f t="shared" si="137"/>
        <v/>
      </c>
      <c r="AI790" s="10" t="str">
        <f t="shared" si="138"/>
        <v/>
      </c>
      <c r="AJ790" s="10" t="str">
        <f t="shared" si="139"/>
        <v/>
      </c>
      <c r="AK790" s="10" t="str">
        <f t="shared" si="140"/>
        <v/>
      </c>
      <c r="AL790" s="14" t="str">
        <f t="shared" si="141"/>
        <v/>
      </c>
    </row>
    <row r="791" spans="1:38" x14ac:dyDescent="0.2">
      <c r="A791"/>
      <c r="B791" t="str">
        <f>IF($A791="","",VLOOKUP($A791,JupData!$A$2:$I$10000,4,FALSE))</f>
        <v/>
      </c>
      <c r="C791" s="7" t="str">
        <f>IF($A791="",IF(N(D791),0,""),VLOOKUP($A791,JupData!$A$2:$I$10000,7,FALSE))</f>
        <v/>
      </c>
      <c r="D791" t="str">
        <f t="shared" si="142"/>
        <v/>
      </c>
      <c r="E791" t="str">
        <f t="array" ref="E791">IF($A791="","",INDEX(JupData!$A$2:$K$10000,MATCH($A791&amp;E$1,JupData!$A$2:$A$10000&amp;JupData!$J$2:$J$10000,0),11))</f>
        <v/>
      </c>
      <c r="F791" t="str">
        <f t="array" ref="F791">IF($A791="","",INDEX(JupData!$A$2:$K$10000,MATCH($A791&amp;F$1,JupData!$A$2:$A$10000&amp;JupData!$J$2:$J$10000,0),11))</f>
        <v/>
      </c>
      <c r="G791" t="str">
        <f t="array" ref="G791">IF($A791="","",INDEX(JupData!$A$2:$K$10000,MATCH($A791&amp;G$1,JupData!$A$2:$A$10000&amp;JupData!$J$2:$J$10000,0),11))</f>
        <v/>
      </c>
      <c r="H791" t="str">
        <f t="array" ref="H791">IF($A791="","",INDEX(JupData!$A$2:$K$10000,MATCH($A791&amp;H$1,JupData!$A$2:$A$10000&amp;JupData!$J$2:$J$10000,0),11))</f>
        <v/>
      </c>
      <c r="I791" t="str">
        <f t="array" ref="I791">IF($A791="","",INDEX(JupData!$A$2:$K$10000,MATCH($A791&amp;I$1,JupData!$A$2:$A$10000&amp;JupData!$J$2:$J$10000,0),11))</f>
        <v/>
      </c>
      <c r="J791" t="str">
        <f t="array" ref="J791">IF($A791="","",INDEX(JupData!$A$2:$K$10000,MATCH($A791&amp;J$1,JupData!$A$2:$A$10000&amp;JupData!$J$2:$J$10000,0),11))</f>
        <v/>
      </c>
      <c r="K791" t="str">
        <f t="array" ref="K791">IF($A791="","",INDEX(JupData!$A$2:$K$10000,MATCH($A791&amp;K$1,JupData!$A$2:$A$10000&amp;JupData!$J$2:$J$10000,0),11))</f>
        <v/>
      </c>
      <c r="L791" t="str">
        <f t="array" ref="L791">IF($A791="","",INDEX(JupData!$A$2:$K$10000,MATCH($A791&amp;L$1,JupData!$A$2:$A$10000&amp;JupData!$J$2:$J$10000,0),11))</f>
        <v/>
      </c>
      <c r="M791" t="str">
        <f t="array" ref="M791">IF($A791="","",INDEX(JupData!$A$2:$K$10000,MATCH($A791&amp;M$1,JupData!$A$2:$A$10000&amp;JupData!$J$2:$J$10000,0),11))</f>
        <v/>
      </c>
      <c r="N791" t="str">
        <f t="array" ref="N791">IF($A791="","",INDEX(JupData!$A$2:$K$10000,MATCH($A791&amp;N$1,JupData!$A$2:$A$10000&amp;JupData!$J$2:$J$10000,0),11))</f>
        <v/>
      </c>
      <c r="O791" t="str">
        <f t="array" ref="O791">IF($A791="","",INDEX(JupData!$A$2:$K$10000,MATCH($A791&amp;O$1,JupData!$A$2:$A$10000&amp;JupData!$J$2:$J$10000,0),11))</f>
        <v/>
      </c>
      <c r="P791" t="str">
        <f t="array" ref="P791">IF($A791="","",INDEX(JupData!$A$2:$K$10000,MATCH($A791&amp;P$1,JupData!$A$2:$A$10000&amp;JupData!$J$2:$J$10000,0),11))</f>
        <v/>
      </c>
      <c r="Q791" t="str">
        <f t="array" ref="Q791">IF($A791="","",INDEX(JupData!$A$2:$K$10000,MATCH($A791&amp;Q$1,JupData!$A$2:$A$10000&amp;JupData!$J$2:$J$10000,0),11))</f>
        <v/>
      </c>
      <c r="R791" t="str">
        <f t="array" ref="R791">IF($A791="","",INDEX(JupData!$A$2:$K$10000,MATCH($A791&amp;R$1,JupData!$A$2:$A$10000&amp;JupData!$J$2:$J$10000,0),11))</f>
        <v/>
      </c>
      <c r="S791" t="str">
        <f t="array" ref="S791">IF($A791="","",INDEX(JupData!$A$2:$K$10000,MATCH($A791&amp;S$1,JupData!$A$2:$A$10000&amp;JupData!$J$2:$J$10000,0),11))</f>
        <v/>
      </c>
      <c r="T791" t="str">
        <f t="array" ref="T791">IF($A791="","",INDEX(JupData!$A$2:$K$10000,MATCH($A791&amp;T$1,JupData!$A$2:$A$10000&amp;JupData!$J$2:$J$10000,0),11))</f>
        <v/>
      </c>
      <c r="U791" t="str">
        <f t="array" ref="U791">IF($A791="","",INDEX(JupData!$A$2:$K$10000,MATCH($A791&amp;U$1,JupData!$A$2:$A$10000&amp;JupData!$J$2:$J$10000,0),11))</f>
        <v/>
      </c>
      <c r="V791" t="str">
        <f t="array" ref="V791">IF($A791="","",INDEX(JupData!$A$2:$K$10000,MATCH($A791&amp;V$1,JupData!$A$2:$A$10000&amp;JupData!$J$2:$J$10000,0),11))</f>
        <v/>
      </c>
      <c r="W791" t="str">
        <f t="array" ref="W791">IF($A791="","",INDEX(JupData!$A$2:$K$10000,MATCH($A791&amp;W$1,JupData!$A$2:$A$10000&amp;JupData!$J$2:$J$10000,0),11))</f>
        <v/>
      </c>
      <c r="X791" t="str">
        <f t="array" ref="X791">IF($A791="","",INDEX(JupData!$A$2:$K$10000,MATCH($A791&amp;X$1,JupData!$A$2:$A$10000&amp;JupData!$J$2:$J$10000,0),11))</f>
        <v/>
      </c>
      <c r="Y791" t="str">
        <f t="array" ref="Y791">IF($A791="","",INDEX(JupData!$A$2:$K$10000,MATCH($A791&amp;Y$1,JupData!$A$2:$A$10000&amp;JupData!$J$2:$J$10000,0),11))</f>
        <v/>
      </c>
      <c r="Z791" t="str">
        <f t="array" ref="Z791">IF($A791="","",INDEX(JupData!$A$2:$K$10000,MATCH($A791&amp;Z$1,JupData!$A$2:$A$10000&amp;JupData!$J$2:$J$10000,0),11))</f>
        <v/>
      </c>
      <c r="AA791" t="str">
        <f t="array" ref="AA791">IF($A791="","",INDEX(JupData!$A$2:$K$10000,MATCH($A791&amp;AA$1,JupData!$A$2:$A$10000&amp;JupData!$J$2:$J$10000,0),11))</f>
        <v/>
      </c>
      <c r="AB791" t="str">
        <f t="array" ref="AB791">IF($A791="","",INDEX(JupData!$A$2:$K$10000,MATCH($A791&amp;AB$1,JupData!$A$2:$A$10000&amp;JupData!$J$2:$J$10000,0),11))</f>
        <v/>
      </c>
      <c r="AC791" s="10" t="str">
        <f t="shared" si="132"/>
        <v/>
      </c>
      <c r="AD791" s="10" t="str">
        <f t="shared" si="133"/>
        <v/>
      </c>
      <c r="AE791" s="9" t="str">
        <f t="shared" si="134"/>
        <v/>
      </c>
      <c r="AF791" s="10" t="str">
        <f t="shared" si="135"/>
        <v/>
      </c>
      <c r="AG791" s="10" t="str">
        <f t="shared" si="136"/>
        <v/>
      </c>
      <c r="AH791" s="10" t="str">
        <f t="shared" si="137"/>
        <v/>
      </c>
      <c r="AI791" s="10" t="str">
        <f t="shared" si="138"/>
        <v/>
      </c>
      <c r="AJ791" s="10" t="str">
        <f t="shared" si="139"/>
        <v/>
      </c>
      <c r="AK791" s="10" t="str">
        <f t="shared" si="140"/>
        <v/>
      </c>
      <c r="AL791" s="14" t="str">
        <f t="shared" si="141"/>
        <v/>
      </c>
    </row>
    <row r="792" spans="1:38" x14ac:dyDescent="0.2">
      <c r="A792"/>
      <c r="B792" t="str">
        <f>IF($A792="","",VLOOKUP($A792,JupData!$A$2:$I$10000,4,FALSE))</f>
        <v/>
      </c>
      <c r="C792" s="7" t="str">
        <f>IF($A792="",IF(N(D792),0,""),VLOOKUP($A792,JupData!$A$2:$I$10000,7,FALSE))</f>
        <v/>
      </c>
      <c r="D792" t="str">
        <f t="shared" si="142"/>
        <v/>
      </c>
      <c r="E792" t="str">
        <f t="array" ref="E792">IF($A792="","",INDEX(JupData!$A$2:$K$10000,MATCH($A792&amp;E$1,JupData!$A$2:$A$10000&amp;JupData!$J$2:$J$10000,0),11))</f>
        <v/>
      </c>
      <c r="F792" t="str">
        <f t="array" ref="F792">IF($A792="","",INDEX(JupData!$A$2:$K$10000,MATCH($A792&amp;F$1,JupData!$A$2:$A$10000&amp;JupData!$J$2:$J$10000,0),11))</f>
        <v/>
      </c>
      <c r="G792" t="str">
        <f t="array" ref="G792">IF($A792="","",INDEX(JupData!$A$2:$K$10000,MATCH($A792&amp;G$1,JupData!$A$2:$A$10000&amp;JupData!$J$2:$J$10000,0),11))</f>
        <v/>
      </c>
      <c r="H792" t="str">
        <f t="array" ref="H792">IF($A792="","",INDEX(JupData!$A$2:$K$10000,MATCH($A792&amp;H$1,JupData!$A$2:$A$10000&amp;JupData!$J$2:$J$10000,0),11))</f>
        <v/>
      </c>
      <c r="I792" t="str">
        <f t="array" ref="I792">IF($A792="","",INDEX(JupData!$A$2:$K$10000,MATCH($A792&amp;I$1,JupData!$A$2:$A$10000&amp;JupData!$J$2:$J$10000,0),11))</f>
        <v/>
      </c>
      <c r="J792" t="str">
        <f t="array" ref="J792">IF($A792="","",INDEX(JupData!$A$2:$K$10000,MATCH($A792&amp;J$1,JupData!$A$2:$A$10000&amp;JupData!$J$2:$J$10000,0),11))</f>
        <v/>
      </c>
      <c r="K792" t="str">
        <f t="array" ref="K792">IF($A792="","",INDEX(JupData!$A$2:$K$10000,MATCH($A792&amp;K$1,JupData!$A$2:$A$10000&amp;JupData!$J$2:$J$10000,0),11))</f>
        <v/>
      </c>
      <c r="L792" t="str">
        <f t="array" ref="L792">IF($A792="","",INDEX(JupData!$A$2:$K$10000,MATCH($A792&amp;L$1,JupData!$A$2:$A$10000&amp;JupData!$J$2:$J$10000,0),11))</f>
        <v/>
      </c>
      <c r="M792" t="str">
        <f t="array" ref="M792">IF($A792="","",INDEX(JupData!$A$2:$K$10000,MATCH($A792&amp;M$1,JupData!$A$2:$A$10000&amp;JupData!$J$2:$J$10000,0),11))</f>
        <v/>
      </c>
      <c r="N792" t="str">
        <f t="array" ref="N792">IF($A792="","",INDEX(JupData!$A$2:$K$10000,MATCH($A792&amp;N$1,JupData!$A$2:$A$10000&amp;JupData!$J$2:$J$10000,0),11))</f>
        <v/>
      </c>
      <c r="O792" t="str">
        <f t="array" ref="O792">IF($A792="","",INDEX(JupData!$A$2:$K$10000,MATCH($A792&amp;O$1,JupData!$A$2:$A$10000&amp;JupData!$J$2:$J$10000,0),11))</f>
        <v/>
      </c>
      <c r="P792" t="str">
        <f t="array" ref="P792">IF($A792="","",INDEX(JupData!$A$2:$K$10000,MATCH($A792&amp;P$1,JupData!$A$2:$A$10000&amp;JupData!$J$2:$J$10000,0),11))</f>
        <v/>
      </c>
      <c r="Q792" t="str">
        <f t="array" ref="Q792">IF($A792="","",INDEX(JupData!$A$2:$K$10000,MATCH($A792&amp;Q$1,JupData!$A$2:$A$10000&amp;JupData!$J$2:$J$10000,0),11))</f>
        <v/>
      </c>
      <c r="R792" t="str">
        <f t="array" ref="R792">IF($A792="","",INDEX(JupData!$A$2:$K$10000,MATCH($A792&amp;R$1,JupData!$A$2:$A$10000&amp;JupData!$J$2:$J$10000,0),11))</f>
        <v/>
      </c>
      <c r="S792" t="str">
        <f t="array" ref="S792">IF($A792="","",INDEX(JupData!$A$2:$K$10000,MATCH($A792&amp;S$1,JupData!$A$2:$A$10000&amp;JupData!$J$2:$J$10000,0),11))</f>
        <v/>
      </c>
      <c r="T792" t="str">
        <f t="array" ref="T792">IF($A792="","",INDEX(JupData!$A$2:$K$10000,MATCH($A792&amp;T$1,JupData!$A$2:$A$10000&amp;JupData!$J$2:$J$10000,0),11))</f>
        <v/>
      </c>
      <c r="U792" t="str">
        <f t="array" ref="U792">IF($A792="","",INDEX(JupData!$A$2:$K$10000,MATCH($A792&amp;U$1,JupData!$A$2:$A$10000&amp;JupData!$J$2:$J$10000,0),11))</f>
        <v/>
      </c>
      <c r="V792" t="str">
        <f t="array" ref="V792">IF($A792="","",INDEX(JupData!$A$2:$K$10000,MATCH($A792&amp;V$1,JupData!$A$2:$A$10000&amp;JupData!$J$2:$J$10000,0),11))</f>
        <v/>
      </c>
      <c r="W792" t="str">
        <f t="array" ref="W792">IF($A792="","",INDEX(JupData!$A$2:$K$10000,MATCH($A792&amp;W$1,JupData!$A$2:$A$10000&amp;JupData!$J$2:$J$10000,0),11))</f>
        <v/>
      </c>
      <c r="X792" t="str">
        <f t="array" ref="X792">IF($A792="","",INDEX(JupData!$A$2:$K$10000,MATCH($A792&amp;X$1,JupData!$A$2:$A$10000&amp;JupData!$J$2:$J$10000,0),11))</f>
        <v/>
      </c>
      <c r="Y792" t="str">
        <f t="array" ref="Y792">IF($A792="","",INDEX(JupData!$A$2:$K$10000,MATCH($A792&amp;Y$1,JupData!$A$2:$A$10000&amp;JupData!$J$2:$J$10000,0),11))</f>
        <v/>
      </c>
      <c r="Z792" t="str">
        <f t="array" ref="Z792">IF($A792="","",INDEX(JupData!$A$2:$K$10000,MATCH($A792&amp;Z$1,JupData!$A$2:$A$10000&amp;JupData!$J$2:$J$10000,0),11))</f>
        <v/>
      </c>
      <c r="AA792" t="str">
        <f t="array" ref="AA792">IF($A792="","",INDEX(JupData!$A$2:$K$10000,MATCH($A792&amp;AA$1,JupData!$A$2:$A$10000&amp;JupData!$J$2:$J$10000,0),11))</f>
        <v/>
      </c>
      <c r="AB792" t="str">
        <f t="array" ref="AB792">IF($A792="","",INDEX(JupData!$A$2:$K$10000,MATCH($A792&amp;AB$1,JupData!$A$2:$A$10000&amp;JupData!$J$2:$J$10000,0),11))</f>
        <v/>
      </c>
      <c r="AC792" s="10" t="str">
        <f t="shared" si="132"/>
        <v/>
      </c>
      <c r="AD792" s="10" t="str">
        <f t="shared" si="133"/>
        <v/>
      </c>
      <c r="AE792" s="9" t="str">
        <f t="shared" si="134"/>
        <v/>
      </c>
      <c r="AF792" s="10" t="str">
        <f t="shared" si="135"/>
        <v/>
      </c>
      <c r="AG792" s="10" t="str">
        <f t="shared" si="136"/>
        <v/>
      </c>
      <c r="AH792" s="10" t="str">
        <f t="shared" si="137"/>
        <v/>
      </c>
      <c r="AI792" s="10" t="str">
        <f t="shared" si="138"/>
        <v/>
      </c>
      <c r="AJ792" s="10" t="str">
        <f t="shared" si="139"/>
        <v/>
      </c>
      <c r="AK792" s="10" t="str">
        <f t="shared" si="140"/>
        <v/>
      </c>
      <c r="AL792" s="14" t="str">
        <f t="shared" si="141"/>
        <v/>
      </c>
    </row>
    <row r="793" spans="1:38" x14ac:dyDescent="0.2">
      <c r="A793"/>
      <c r="B793" t="str">
        <f>IF($A793="","",VLOOKUP($A793,JupData!$A$2:$I$10000,4,FALSE))</f>
        <v/>
      </c>
      <c r="C793" s="7" t="str">
        <f>IF($A793="",IF(N(D793),0,""),VLOOKUP($A793,JupData!$A$2:$I$10000,7,FALSE))</f>
        <v/>
      </c>
      <c r="D793" t="str">
        <f t="shared" si="142"/>
        <v/>
      </c>
      <c r="E793" t="str">
        <f t="array" ref="E793">IF($A793="","",INDEX(JupData!$A$2:$K$10000,MATCH($A793&amp;E$1,JupData!$A$2:$A$10000&amp;JupData!$J$2:$J$10000,0),11))</f>
        <v/>
      </c>
      <c r="F793" t="str">
        <f t="array" ref="F793">IF($A793="","",INDEX(JupData!$A$2:$K$10000,MATCH($A793&amp;F$1,JupData!$A$2:$A$10000&amp;JupData!$J$2:$J$10000,0),11))</f>
        <v/>
      </c>
      <c r="G793" t="str">
        <f t="array" ref="G793">IF($A793="","",INDEX(JupData!$A$2:$K$10000,MATCH($A793&amp;G$1,JupData!$A$2:$A$10000&amp;JupData!$J$2:$J$10000,0),11))</f>
        <v/>
      </c>
      <c r="H793" t="str">
        <f t="array" ref="H793">IF($A793="","",INDEX(JupData!$A$2:$K$10000,MATCH($A793&amp;H$1,JupData!$A$2:$A$10000&amp;JupData!$J$2:$J$10000,0),11))</f>
        <v/>
      </c>
      <c r="I793" t="str">
        <f t="array" ref="I793">IF($A793="","",INDEX(JupData!$A$2:$K$10000,MATCH($A793&amp;I$1,JupData!$A$2:$A$10000&amp;JupData!$J$2:$J$10000,0),11))</f>
        <v/>
      </c>
      <c r="J793" t="str">
        <f t="array" ref="J793">IF($A793="","",INDEX(JupData!$A$2:$K$10000,MATCH($A793&amp;J$1,JupData!$A$2:$A$10000&amp;JupData!$J$2:$J$10000,0),11))</f>
        <v/>
      </c>
      <c r="K793" t="str">
        <f t="array" ref="K793">IF($A793="","",INDEX(JupData!$A$2:$K$10000,MATCH($A793&amp;K$1,JupData!$A$2:$A$10000&amp;JupData!$J$2:$J$10000,0),11))</f>
        <v/>
      </c>
      <c r="L793" t="str">
        <f t="array" ref="L793">IF($A793="","",INDEX(JupData!$A$2:$K$10000,MATCH($A793&amp;L$1,JupData!$A$2:$A$10000&amp;JupData!$J$2:$J$10000,0),11))</f>
        <v/>
      </c>
      <c r="M793" t="str">
        <f t="array" ref="M793">IF($A793="","",INDEX(JupData!$A$2:$K$10000,MATCH($A793&amp;M$1,JupData!$A$2:$A$10000&amp;JupData!$J$2:$J$10000,0),11))</f>
        <v/>
      </c>
      <c r="N793" t="str">
        <f t="array" ref="N793">IF($A793="","",INDEX(JupData!$A$2:$K$10000,MATCH($A793&amp;N$1,JupData!$A$2:$A$10000&amp;JupData!$J$2:$J$10000,0),11))</f>
        <v/>
      </c>
      <c r="O793" t="str">
        <f t="array" ref="O793">IF($A793="","",INDEX(JupData!$A$2:$K$10000,MATCH($A793&amp;O$1,JupData!$A$2:$A$10000&amp;JupData!$J$2:$J$10000,0),11))</f>
        <v/>
      </c>
      <c r="P793" t="str">
        <f t="array" ref="P793">IF($A793="","",INDEX(JupData!$A$2:$K$10000,MATCH($A793&amp;P$1,JupData!$A$2:$A$10000&amp;JupData!$J$2:$J$10000,0),11))</f>
        <v/>
      </c>
      <c r="Q793" t="str">
        <f t="array" ref="Q793">IF($A793="","",INDEX(JupData!$A$2:$K$10000,MATCH($A793&amp;Q$1,JupData!$A$2:$A$10000&amp;JupData!$J$2:$J$10000,0),11))</f>
        <v/>
      </c>
      <c r="R793" t="str">
        <f t="array" ref="R793">IF($A793="","",INDEX(JupData!$A$2:$K$10000,MATCH($A793&amp;R$1,JupData!$A$2:$A$10000&amp;JupData!$J$2:$J$10000,0),11))</f>
        <v/>
      </c>
      <c r="S793" t="str">
        <f t="array" ref="S793">IF($A793="","",INDEX(JupData!$A$2:$K$10000,MATCH($A793&amp;S$1,JupData!$A$2:$A$10000&amp;JupData!$J$2:$J$10000,0),11))</f>
        <v/>
      </c>
      <c r="T793" t="str">
        <f t="array" ref="T793">IF($A793="","",INDEX(JupData!$A$2:$K$10000,MATCH($A793&amp;T$1,JupData!$A$2:$A$10000&amp;JupData!$J$2:$J$10000,0),11))</f>
        <v/>
      </c>
      <c r="U793" t="str">
        <f t="array" ref="U793">IF($A793="","",INDEX(JupData!$A$2:$K$10000,MATCH($A793&amp;U$1,JupData!$A$2:$A$10000&amp;JupData!$J$2:$J$10000,0),11))</f>
        <v/>
      </c>
      <c r="V793" t="str">
        <f t="array" ref="V793">IF($A793="","",INDEX(JupData!$A$2:$K$10000,MATCH($A793&amp;V$1,JupData!$A$2:$A$10000&amp;JupData!$J$2:$J$10000,0),11))</f>
        <v/>
      </c>
      <c r="W793" t="str">
        <f t="array" ref="W793">IF($A793="","",INDEX(JupData!$A$2:$K$10000,MATCH($A793&amp;W$1,JupData!$A$2:$A$10000&amp;JupData!$J$2:$J$10000,0),11))</f>
        <v/>
      </c>
      <c r="X793" t="str">
        <f t="array" ref="X793">IF($A793="","",INDEX(JupData!$A$2:$K$10000,MATCH($A793&amp;X$1,JupData!$A$2:$A$10000&amp;JupData!$J$2:$J$10000,0),11))</f>
        <v/>
      </c>
      <c r="Y793" t="str">
        <f t="array" ref="Y793">IF($A793="","",INDEX(JupData!$A$2:$K$10000,MATCH($A793&amp;Y$1,JupData!$A$2:$A$10000&amp;JupData!$J$2:$J$10000,0),11))</f>
        <v/>
      </c>
      <c r="Z793" t="str">
        <f t="array" ref="Z793">IF($A793="","",INDEX(JupData!$A$2:$K$10000,MATCH($A793&amp;Z$1,JupData!$A$2:$A$10000&amp;JupData!$J$2:$J$10000,0),11))</f>
        <v/>
      </c>
      <c r="AA793" t="str">
        <f t="array" ref="AA793">IF($A793="","",INDEX(JupData!$A$2:$K$10000,MATCH($A793&amp;AA$1,JupData!$A$2:$A$10000&amp;JupData!$J$2:$J$10000,0),11))</f>
        <v/>
      </c>
      <c r="AB793" t="str">
        <f t="array" ref="AB793">IF($A793="","",INDEX(JupData!$A$2:$K$10000,MATCH($A793&amp;AB$1,JupData!$A$2:$A$10000&amp;JupData!$J$2:$J$10000,0),11))</f>
        <v/>
      </c>
      <c r="AC793" s="10" t="str">
        <f t="shared" si="132"/>
        <v/>
      </c>
      <c r="AD793" s="10" t="str">
        <f t="shared" si="133"/>
        <v/>
      </c>
      <c r="AE793" s="9" t="str">
        <f t="shared" si="134"/>
        <v/>
      </c>
      <c r="AF793" s="10" t="str">
        <f t="shared" si="135"/>
        <v/>
      </c>
      <c r="AG793" s="10" t="str">
        <f t="shared" si="136"/>
        <v/>
      </c>
      <c r="AH793" s="10" t="str">
        <f t="shared" si="137"/>
        <v/>
      </c>
      <c r="AI793" s="10" t="str">
        <f t="shared" si="138"/>
        <v/>
      </c>
      <c r="AJ793" s="10" t="str">
        <f t="shared" si="139"/>
        <v/>
      </c>
      <c r="AK793" s="10" t="str">
        <f t="shared" si="140"/>
        <v/>
      </c>
      <c r="AL793" s="14" t="str">
        <f t="shared" si="141"/>
        <v/>
      </c>
    </row>
    <row r="794" spans="1:38" x14ac:dyDescent="0.2">
      <c r="A794"/>
      <c r="B794" t="str">
        <f>IF($A794="","",VLOOKUP($A794,JupData!$A$2:$I$10000,4,FALSE))</f>
        <v/>
      </c>
      <c r="C794" s="7" t="str">
        <f>IF($A794="",IF(N(D794),0,""),VLOOKUP($A794,JupData!$A$2:$I$10000,7,FALSE))</f>
        <v/>
      </c>
      <c r="D794" t="str">
        <f t="shared" si="142"/>
        <v/>
      </c>
      <c r="E794" t="str">
        <f t="array" ref="E794">IF($A794="","",INDEX(JupData!$A$2:$K$10000,MATCH($A794&amp;E$1,JupData!$A$2:$A$10000&amp;JupData!$J$2:$J$10000,0),11))</f>
        <v/>
      </c>
      <c r="F794" t="str">
        <f t="array" ref="F794">IF($A794="","",INDEX(JupData!$A$2:$K$10000,MATCH($A794&amp;F$1,JupData!$A$2:$A$10000&amp;JupData!$J$2:$J$10000,0),11))</f>
        <v/>
      </c>
      <c r="G794" t="str">
        <f t="array" ref="G794">IF($A794="","",INDEX(JupData!$A$2:$K$10000,MATCH($A794&amp;G$1,JupData!$A$2:$A$10000&amp;JupData!$J$2:$J$10000,0),11))</f>
        <v/>
      </c>
      <c r="H794" t="str">
        <f t="array" ref="H794">IF($A794="","",INDEX(JupData!$A$2:$K$10000,MATCH($A794&amp;H$1,JupData!$A$2:$A$10000&amp;JupData!$J$2:$J$10000,0),11))</f>
        <v/>
      </c>
      <c r="I794" t="str">
        <f t="array" ref="I794">IF($A794="","",INDEX(JupData!$A$2:$K$10000,MATCH($A794&amp;I$1,JupData!$A$2:$A$10000&amp;JupData!$J$2:$J$10000,0),11))</f>
        <v/>
      </c>
      <c r="J794" t="str">
        <f t="array" ref="J794">IF($A794="","",INDEX(JupData!$A$2:$K$10000,MATCH($A794&amp;J$1,JupData!$A$2:$A$10000&amp;JupData!$J$2:$J$10000,0),11))</f>
        <v/>
      </c>
      <c r="K794" t="str">
        <f t="array" ref="K794">IF($A794="","",INDEX(JupData!$A$2:$K$10000,MATCH($A794&amp;K$1,JupData!$A$2:$A$10000&amp;JupData!$J$2:$J$10000,0),11))</f>
        <v/>
      </c>
      <c r="L794" t="str">
        <f t="array" ref="L794">IF($A794="","",INDEX(JupData!$A$2:$K$10000,MATCH($A794&amp;L$1,JupData!$A$2:$A$10000&amp;JupData!$J$2:$J$10000,0),11))</f>
        <v/>
      </c>
      <c r="M794" t="str">
        <f t="array" ref="M794">IF($A794="","",INDEX(JupData!$A$2:$K$10000,MATCH($A794&amp;M$1,JupData!$A$2:$A$10000&amp;JupData!$J$2:$J$10000,0),11))</f>
        <v/>
      </c>
      <c r="N794" t="str">
        <f t="array" ref="N794">IF($A794="","",INDEX(JupData!$A$2:$K$10000,MATCH($A794&amp;N$1,JupData!$A$2:$A$10000&amp;JupData!$J$2:$J$10000,0),11))</f>
        <v/>
      </c>
      <c r="O794" t="str">
        <f t="array" ref="O794">IF($A794="","",INDEX(JupData!$A$2:$K$10000,MATCH($A794&amp;O$1,JupData!$A$2:$A$10000&amp;JupData!$J$2:$J$10000,0),11))</f>
        <v/>
      </c>
      <c r="P794" t="str">
        <f t="array" ref="P794">IF($A794="","",INDEX(JupData!$A$2:$K$10000,MATCH($A794&amp;P$1,JupData!$A$2:$A$10000&amp;JupData!$J$2:$J$10000,0),11))</f>
        <v/>
      </c>
      <c r="Q794" t="str">
        <f t="array" ref="Q794">IF($A794="","",INDEX(JupData!$A$2:$K$10000,MATCH($A794&amp;Q$1,JupData!$A$2:$A$10000&amp;JupData!$J$2:$J$10000,0),11))</f>
        <v/>
      </c>
      <c r="R794" t="str">
        <f t="array" ref="R794">IF($A794="","",INDEX(JupData!$A$2:$K$10000,MATCH($A794&amp;R$1,JupData!$A$2:$A$10000&amp;JupData!$J$2:$J$10000,0),11))</f>
        <v/>
      </c>
      <c r="S794" t="str">
        <f t="array" ref="S794">IF($A794="","",INDEX(JupData!$A$2:$K$10000,MATCH($A794&amp;S$1,JupData!$A$2:$A$10000&amp;JupData!$J$2:$J$10000,0),11))</f>
        <v/>
      </c>
      <c r="T794" t="str">
        <f t="array" ref="T794">IF($A794="","",INDEX(JupData!$A$2:$K$10000,MATCH($A794&amp;T$1,JupData!$A$2:$A$10000&amp;JupData!$J$2:$J$10000,0),11))</f>
        <v/>
      </c>
      <c r="U794" t="str">
        <f t="array" ref="U794">IF($A794="","",INDEX(JupData!$A$2:$K$10000,MATCH($A794&amp;U$1,JupData!$A$2:$A$10000&amp;JupData!$J$2:$J$10000,0),11))</f>
        <v/>
      </c>
      <c r="V794" t="str">
        <f t="array" ref="V794">IF($A794="","",INDEX(JupData!$A$2:$K$10000,MATCH($A794&amp;V$1,JupData!$A$2:$A$10000&amp;JupData!$J$2:$J$10000,0),11))</f>
        <v/>
      </c>
      <c r="W794" t="str">
        <f t="array" ref="W794">IF($A794="","",INDEX(JupData!$A$2:$K$10000,MATCH($A794&amp;W$1,JupData!$A$2:$A$10000&amp;JupData!$J$2:$J$10000,0),11))</f>
        <v/>
      </c>
      <c r="X794" t="str">
        <f t="array" ref="X794">IF($A794="","",INDEX(JupData!$A$2:$K$10000,MATCH($A794&amp;X$1,JupData!$A$2:$A$10000&amp;JupData!$J$2:$J$10000,0),11))</f>
        <v/>
      </c>
      <c r="Y794" t="str">
        <f t="array" ref="Y794">IF($A794="","",INDEX(JupData!$A$2:$K$10000,MATCH($A794&amp;Y$1,JupData!$A$2:$A$10000&amp;JupData!$J$2:$J$10000,0),11))</f>
        <v/>
      </c>
      <c r="Z794" t="str">
        <f t="array" ref="Z794">IF($A794="","",INDEX(JupData!$A$2:$K$10000,MATCH($A794&amp;Z$1,JupData!$A$2:$A$10000&amp;JupData!$J$2:$J$10000,0),11))</f>
        <v/>
      </c>
      <c r="AA794" t="str">
        <f t="array" ref="AA794">IF($A794="","",INDEX(JupData!$A$2:$K$10000,MATCH($A794&amp;AA$1,JupData!$A$2:$A$10000&amp;JupData!$J$2:$J$10000,0),11))</f>
        <v/>
      </c>
      <c r="AB794" t="str">
        <f t="array" ref="AB794">IF($A794="","",INDEX(JupData!$A$2:$K$10000,MATCH($A794&amp;AB$1,JupData!$A$2:$A$10000&amp;JupData!$J$2:$J$10000,0),11))</f>
        <v/>
      </c>
      <c r="AC794" s="10" t="str">
        <f t="shared" si="132"/>
        <v/>
      </c>
      <c r="AD794" s="10" t="str">
        <f t="shared" si="133"/>
        <v/>
      </c>
      <c r="AE794" s="9" t="str">
        <f t="shared" si="134"/>
        <v/>
      </c>
      <c r="AF794" s="10" t="str">
        <f t="shared" si="135"/>
        <v/>
      </c>
      <c r="AG794" s="10" t="str">
        <f t="shared" si="136"/>
        <v/>
      </c>
      <c r="AH794" s="10" t="str">
        <f t="shared" si="137"/>
        <v/>
      </c>
      <c r="AI794" s="10" t="str">
        <f t="shared" si="138"/>
        <v/>
      </c>
      <c r="AJ794" s="10" t="str">
        <f t="shared" si="139"/>
        <v/>
      </c>
      <c r="AK794" s="10" t="str">
        <f t="shared" si="140"/>
        <v/>
      </c>
      <c r="AL794" s="14" t="str">
        <f t="shared" si="141"/>
        <v/>
      </c>
    </row>
    <row r="795" spans="1:38" x14ac:dyDescent="0.2">
      <c r="A795"/>
      <c r="B795" t="str">
        <f>IF($A795="","",VLOOKUP($A795,JupData!$A$2:$I$10000,4,FALSE))</f>
        <v/>
      </c>
      <c r="C795" s="7" t="str">
        <f>IF($A795="",IF(N(D795),0,""),VLOOKUP($A795,JupData!$A$2:$I$10000,7,FALSE))</f>
        <v/>
      </c>
      <c r="D795" t="str">
        <f t="shared" si="142"/>
        <v/>
      </c>
      <c r="E795" t="str">
        <f t="array" ref="E795">IF($A795="","",INDEX(JupData!$A$2:$K$10000,MATCH($A795&amp;E$1,JupData!$A$2:$A$10000&amp;JupData!$J$2:$J$10000,0),11))</f>
        <v/>
      </c>
      <c r="F795" t="str">
        <f t="array" ref="F795">IF($A795="","",INDEX(JupData!$A$2:$K$10000,MATCH($A795&amp;F$1,JupData!$A$2:$A$10000&amp;JupData!$J$2:$J$10000,0),11))</f>
        <v/>
      </c>
      <c r="G795" t="str">
        <f t="array" ref="G795">IF($A795="","",INDEX(JupData!$A$2:$K$10000,MATCH($A795&amp;G$1,JupData!$A$2:$A$10000&amp;JupData!$J$2:$J$10000,0),11))</f>
        <v/>
      </c>
      <c r="H795" t="str">
        <f t="array" ref="H795">IF($A795="","",INDEX(JupData!$A$2:$K$10000,MATCH($A795&amp;H$1,JupData!$A$2:$A$10000&amp;JupData!$J$2:$J$10000,0),11))</f>
        <v/>
      </c>
      <c r="I795" t="str">
        <f t="array" ref="I795">IF($A795="","",INDEX(JupData!$A$2:$K$10000,MATCH($A795&amp;I$1,JupData!$A$2:$A$10000&amp;JupData!$J$2:$J$10000,0),11))</f>
        <v/>
      </c>
      <c r="J795" t="str">
        <f t="array" ref="J795">IF($A795="","",INDEX(JupData!$A$2:$K$10000,MATCH($A795&amp;J$1,JupData!$A$2:$A$10000&amp;JupData!$J$2:$J$10000,0),11))</f>
        <v/>
      </c>
      <c r="K795" t="str">
        <f t="array" ref="K795">IF($A795="","",INDEX(JupData!$A$2:$K$10000,MATCH($A795&amp;K$1,JupData!$A$2:$A$10000&amp;JupData!$J$2:$J$10000,0),11))</f>
        <v/>
      </c>
      <c r="L795" t="str">
        <f t="array" ref="L795">IF($A795="","",INDEX(JupData!$A$2:$K$10000,MATCH($A795&amp;L$1,JupData!$A$2:$A$10000&amp;JupData!$J$2:$J$10000,0),11))</f>
        <v/>
      </c>
      <c r="M795" t="str">
        <f t="array" ref="M795">IF($A795="","",INDEX(JupData!$A$2:$K$10000,MATCH($A795&amp;M$1,JupData!$A$2:$A$10000&amp;JupData!$J$2:$J$10000,0),11))</f>
        <v/>
      </c>
      <c r="N795" t="str">
        <f t="array" ref="N795">IF($A795="","",INDEX(JupData!$A$2:$K$10000,MATCH($A795&amp;N$1,JupData!$A$2:$A$10000&amp;JupData!$J$2:$J$10000,0),11))</f>
        <v/>
      </c>
      <c r="O795" t="str">
        <f t="array" ref="O795">IF($A795="","",INDEX(JupData!$A$2:$K$10000,MATCH($A795&amp;O$1,JupData!$A$2:$A$10000&amp;JupData!$J$2:$J$10000,0),11))</f>
        <v/>
      </c>
      <c r="P795" t="str">
        <f t="array" ref="P795">IF($A795="","",INDEX(JupData!$A$2:$K$10000,MATCH($A795&amp;P$1,JupData!$A$2:$A$10000&amp;JupData!$J$2:$J$10000,0),11))</f>
        <v/>
      </c>
      <c r="Q795" t="str">
        <f t="array" ref="Q795">IF($A795="","",INDEX(JupData!$A$2:$K$10000,MATCH($A795&amp;Q$1,JupData!$A$2:$A$10000&amp;JupData!$J$2:$J$10000,0),11))</f>
        <v/>
      </c>
      <c r="R795" t="str">
        <f t="array" ref="R795">IF($A795="","",INDEX(JupData!$A$2:$K$10000,MATCH($A795&amp;R$1,JupData!$A$2:$A$10000&amp;JupData!$J$2:$J$10000,0),11))</f>
        <v/>
      </c>
      <c r="S795" t="str">
        <f t="array" ref="S795">IF($A795="","",INDEX(JupData!$A$2:$K$10000,MATCH($A795&amp;S$1,JupData!$A$2:$A$10000&amp;JupData!$J$2:$J$10000,0),11))</f>
        <v/>
      </c>
      <c r="T795" t="str">
        <f t="array" ref="T795">IF($A795="","",INDEX(JupData!$A$2:$K$10000,MATCH($A795&amp;T$1,JupData!$A$2:$A$10000&amp;JupData!$J$2:$J$10000,0),11))</f>
        <v/>
      </c>
      <c r="U795" t="str">
        <f t="array" ref="U795">IF($A795="","",INDEX(JupData!$A$2:$K$10000,MATCH($A795&amp;U$1,JupData!$A$2:$A$10000&amp;JupData!$J$2:$J$10000,0),11))</f>
        <v/>
      </c>
      <c r="V795" t="str">
        <f t="array" ref="V795">IF($A795="","",INDEX(JupData!$A$2:$K$10000,MATCH($A795&amp;V$1,JupData!$A$2:$A$10000&amp;JupData!$J$2:$J$10000,0),11))</f>
        <v/>
      </c>
      <c r="W795" t="str">
        <f t="array" ref="W795">IF($A795="","",INDEX(JupData!$A$2:$K$10000,MATCH($A795&amp;W$1,JupData!$A$2:$A$10000&amp;JupData!$J$2:$J$10000,0),11))</f>
        <v/>
      </c>
      <c r="X795" t="str">
        <f t="array" ref="X795">IF($A795="","",INDEX(JupData!$A$2:$K$10000,MATCH($A795&amp;X$1,JupData!$A$2:$A$10000&amp;JupData!$J$2:$J$10000,0),11))</f>
        <v/>
      </c>
      <c r="Y795" t="str">
        <f t="array" ref="Y795">IF($A795="","",INDEX(JupData!$A$2:$K$10000,MATCH($A795&amp;Y$1,JupData!$A$2:$A$10000&amp;JupData!$J$2:$J$10000,0),11))</f>
        <v/>
      </c>
      <c r="Z795" t="str">
        <f t="array" ref="Z795">IF($A795="","",INDEX(JupData!$A$2:$K$10000,MATCH($A795&amp;Z$1,JupData!$A$2:$A$10000&amp;JupData!$J$2:$J$10000,0),11))</f>
        <v/>
      </c>
      <c r="AA795" t="str">
        <f t="array" ref="AA795">IF($A795="","",INDEX(JupData!$A$2:$K$10000,MATCH($A795&amp;AA$1,JupData!$A$2:$A$10000&amp;JupData!$J$2:$J$10000,0),11))</f>
        <v/>
      </c>
      <c r="AB795" t="str">
        <f t="array" ref="AB795">IF($A795="","",INDEX(JupData!$A$2:$K$10000,MATCH($A795&amp;AB$1,JupData!$A$2:$A$10000&amp;JupData!$J$2:$J$10000,0),11))</f>
        <v/>
      </c>
      <c r="AC795" s="10" t="str">
        <f t="shared" si="132"/>
        <v/>
      </c>
      <c r="AD795" s="10" t="str">
        <f t="shared" si="133"/>
        <v/>
      </c>
      <c r="AE795" s="9" t="str">
        <f t="shared" si="134"/>
        <v/>
      </c>
      <c r="AF795" s="10" t="str">
        <f t="shared" si="135"/>
        <v/>
      </c>
      <c r="AG795" s="10" t="str">
        <f t="shared" si="136"/>
        <v/>
      </c>
      <c r="AH795" s="10" t="str">
        <f t="shared" si="137"/>
        <v/>
      </c>
      <c r="AI795" s="10" t="str">
        <f t="shared" si="138"/>
        <v/>
      </c>
      <c r="AJ795" s="10" t="str">
        <f t="shared" si="139"/>
        <v/>
      </c>
      <c r="AK795" s="10" t="str">
        <f t="shared" si="140"/>
        <v/>
      </c>
      <c r="AL795" s="14" t="str">
        <f t="shared" si="141"/>
        <v/>
      </c>
    </row>
    <row r="796" spans="1:38" x14ac:dyDescent="0.2">
      <c r="A796"/>
      <c r="B796" t="str">
        <f>IF($A796="","",VLOOKUP($A796,JupData!$A$2:$I$10000,4,FALSE))</f>
        <v/>
      </c>
      <c r="C796" s="7" t="str">
        <f>IF($A796="",IF(N(D796),0,""),VLOOKUP($A796,JupData!$A$2:$I$10000,7,FALSE))</f>
        <v/>
      </c>
      <c r="D796" t="str">
        <f t="shared" si="142"/>
        <v/>
      </c>
      <c r="E796" t="str">
        <f t="array" ref="E796">IF($A796="","",INDEX(JupData!$A$2:$K$10000,MATCH($A796&amp;E$1,JupData!$A$2:$A$10000&amp;JupData!$J$2:$J$10000,0),11))</f>
        <v/>
      </c>
      <c r="F796" t="str">
        <f t="array" ref="F796">IF($A796="","",INDEX(JupData!$A$2:$K$10000,MATCH($A796&amp;F$1,JupData!$A$2:$A$10000&amp;JupData!$J$2:$J$10000,0),11))</f>
        <v/>
      </c>
      <c r="G796" t="str">
        <f t="array" ref="G796">IF($A796="","",INDEX(JupData!$A$2:$K$10000,MATCH($A796&amp;G$1,JupData!$A$2:$A$10000&amp;JupData!$J$2:$J$10000,0),11))</f>
        <v/>
      </c>
      <c r="H796" t="str">
        <f t="array" ref="H796">IF($A796="","",INDEX(JupData!$A$2:$K$10000,MATCH($A796&amp;H$1,JupData!$A$2:$A$10000&amp;JupData!$J$2:$J$10000,0),11))</f>
        <v/>
      </c>
      <c r="I796" t="str">
        <f t="array" ref="I796">IF($A796="","",INDEX(JupData!$A$2:$K$10000,MATCH($A796&amp;I$1,JupData!$A$2:$A$10000&amp;JupData!$J$2:$J$10000,0),11))</f>
        <v/>
      </c>
      <c r="J796" t="str">
        <f t="array" ref="J796">IF($A796="","",INDEX(JupData!$A$2:$K$10000,MATCH($A796&amp;J$1,JupData!$A$2:$A$10000&amp;JupData!$J$2:$J$10000,0),11))</f>
        <v/>
      </c>
      <c r="K796" t="str">
        <f t="array" ref="K796">IF($A796="","",INDEX(JupData!$A$2:$K$10000,MATCH($A796&amp;K$1,JupData!$A$2:$A$10000&amp;JupData!$J$2:$J$10000,0),11))</f>
        <v/>
      </c>
      <c r="L796" t="str">
        <f t="array" ref="L796">IF($A796="","",INDEX(JupData!$A$2:$K$10000,MATCH($A796&amp;L$1,JupData!$A$2:$A$10000&amp;JupData!$J$2:$J$10000,0),11))</f>
        <v/>
      </c>
      <c r="M796" t="str">
        <f t="array" ref="M796">IF($A796="","",INDEX(JupData!$A$2:$K$10000,MATCH($A796&amp;M$1,JupData!$A$2:$A$10000&amp;JupData!$J$2:$J$10000,0),11))</f>
        <v/>
      </c>
      <c r="N796" t="str">
        <f t="array" ref="N796">IF($A796="","",INDEX(JupData!$A$2:$K$10000,MATCH($A796&amp;N$1,JupData!$A$2:$A$10000&amp;JupData!$J$2:$J$10000,0),11))</f>
        <v/>
      </c>
      <c r="O796" t="str">
        <f t="array" ref="O796">IF($A796="","",INDEX(JupData!$A$2:$K$10000,MATCH($A796&amp;O$1,JupData!$A$2:$A$10000&amp;JupData!$J$2:$J$10000,0),11))</f>
        <v/>
      </c>
      <c r="P796" t="str">
        <f t="array" ref="P796">IF($A796="","",INDEX(JupData!$A$2:$K$10000,MATCH($A796&amp;P$1,JupData!$A$2:$A$10000&amp;JupData!$J$2:$J$10000,0),11))</f>
        <v/>
      </c>
      <c r="Q796" t="str">
        <f t="array" ref="Q796">IF($A796="","",INDEX(JupData!$A$2:$K$10000,MATCH($A796&amp;Q$1,JupData!$A$2:$A$10000&amp;JupData!$J$2:$J$10000,0),11))</f>
        <v/>
      </c>
      <c r="R796" t="str">
        <f t="array" ref="R796">IF($A796="","",INDEX(JupData!$A$2:$K$10000,MATCH($A796&amp;R$1,JupData!$A$2:$A$10000&amp;JupData!$J$2:$J$10000,0),11))</f>
        <v/>
      </c>
      <c r="S796" t="str">
        <f t="array" ref="S796">IF($A796="","",INDEX(JupData!$A$2:$K$10000,MATCH($A796&amp;S$1,JupData!$A$2:$A$10000&amp;JupData!$J$2:$J$10000,0),11))</f>
        <v/>
      </c>
      <c r="T796" t="str">
        <f t="array" ref="T796">IF($A796="","",INDEX(JupData!$A$2:$K$10000,MATCH($A796&amp;T$1,JupData!$A$2:$A$10000&amp;JupData!$J$2:$J$10000,0),11))</f>
        <v/>
      </c>
      <c r="U796" t="str">
        <f t="array" ref="U796">IF($A796="","",INDEX(JupData!$A$2:$K$10000,MATCH($A796&amp;U$1,JupData!$A$2:$A$10000&amp;JupData!$J$2:$J$10000,0),11))</f>
        <v/>
      </c>
      <c r="V796" t="str">
        <f t="array" ref="V796">IF($A796="","",INDEX(JupData!$A$2:$K$10000,MATCH($A796&amp;V$1,JupData!$A$2:$A$10000&amp;JupData!$J$2:$J$10000,0),11))</f>
        <v/>
      </c>
      <c r="W796" t="str">
        <f t="array" ref="W796">IF($A796="","",INDEX(JupData!$A$2:$K$10000,MATCH($A796&amp;W$1,JupData!$A$2:$A$10000&amp;JupData!$J$2:$J$10000,0),11))</f>
        <v/>
      </c>
      <c r="X796" t="str">
        <f t="array" ref="X796">IF($A796="","",INDEX(JupData!$A$2:$K$10000,MATCH($A796&amp;X$1,JupData!$A$2:$A$10000&amp;JupData!$J$2:$J$10000,0),11))</f>
        <v/>
      </c>
      <c r="Y796" t="str">
        <f t="array" ref="Y796">IF($A796="","",INDEX(JupData!$A$2:$K$10000,MATCH($A796&amp;Y$1,JupData!$A$2:$A$10000&amp;JupData!$J$2:$J$10000,0),11))</f>
        <v/>
      </c>
      <c r="Z796" t="str">
        <f t="array" ref="Z796">IF($A796="","",INDEX(JupData!$A$2:$K$10000,MATCH($A796&amp;Z$1,JupData!$A$2:$A$10000&amp;JupData!$J$2:$J$10000,0),11))</f>
        <v/>
      </c>
      <c r="AA796" t="str">
        <f t="array" ref="AA796">IF($A796="","",INDEX(JupData!$A$2:$K$10000,MATCH($A796&amp;AA$1,JupData!$A$2:$A$10000&amp;JupData!$J$2:$J$10000,0),11))</f>
        <v/>
      </c>
      <c r="AB796" t="str">
        <f t="array" ref="AB796">IF($A796="","",INDEX(JupData!$A$2:$K$10000,MATCH($A796&amp;AB$1,JupData!$A$2:$A$10000&amp;JupData!$J$2:$J$10000,0),11))</f>
        <v/>
      </c>
      <c r="AC796" s="10" t="str">
        <f t="shared" si="132"/>
        <v/>
      </c>
      <c r="AD796" s="10" t="str">
        <f t="shared" si="133"/>
        <v/>
      </c>
      <c r="AE796" s="9" t="str">
        <f t="shared" si="134"/>
        <v/>
      </c>
      <c r="AF796" s="10" t="str">
        <f t="shared" si="135"/>
        <v/>
      </c>
      <c r="AG796" s="10" t="str">
        <f t="shared" si="136"/>
        <v/>
      </c>
      <c r="AH796" s="10" t="str">
        <f t="shared" si="137"/>
        <v/>
      </c>
      <c r="AI796" s="10" t="str">
        <f t="shared" si="138"/>
        <v/>
      </c>
      <c r="AJ796" s="10" t="str">
        <f t="shared" si="139"/>
        <v/>
      </c>
      <c r="AK796" s="10" t="str">
        <f t="shared" si="140"/>
        <v/>
      </c>
      <c r="AL796" s="14" t="str">
        <f t="shared" si="141"/>
        <v/>
      </c>
    </row>
    <row r="797" spans="1:38" x14ac:dyDescent="0.2">
      <c r="A797"/>
      <c r="B797" t="str">
        <f>IF($A797="","",VLOOKUP($A797,JupData!$A$2:$I$10000,4,FALSE))</f>
        <v/>
      </c>
      <c r="C797" s="7" t="str">
        <f>IF($A797="",IF(N(D797),0,""),VLOOKUP($A797,JupData!$A$2:$I$10000,7,FALSE))</f>
        <v/>
      </c>
      <c r="D797" t="str">
        <f t="shared" si="142"/>
        <v/>
      </c>
      <c r="E797" t="str">
        <f t="array" ref="E797">IF($A797="","",INDEX(JupData!$A$2:$K$10000,MATCH($A797&amp;E$1,JupData!$A$2:$A$10000&amp;JupData!$J$2:$J$10000,0),11))</f>
        <v/>
      </c>
      <c r="F797" t="str">
        <f t="array" ref="F797">IF($A797="","",INDEX(JupData!$A$2:$K$10000,MATCH($A797&amp;F$1,JupData!$A$2:$A$10000&amp;JupData!$J$2:$J$10000,0),11))</f>
        <v/>
      </c>
      <c r="G797" t="str">
        <f t="array" ref="G797">IF($A797="","",INDEX(JupData!$A$2:$K$10000,MATCH($A797&amp;G$1,JupData!$A$2:$A$10000&amp;JupData!$J$2:$J$10000,0),11))</f>
        <v/>
      </c>
      <c r="H797" t="str">
        <f t="array" ref="H797">IF($A797="","",INDEX(JupData!$A$2:$K$10000,MATCH($A797&amp;H$1,JupData!$A$2:$A$10000&amp;JupData!$J$2:$J$10000,0),11))</f>
        <v/>
      </c>
      <c r="I797" t="str">
        <f t="array" ref="I797">IF($A797="","",INDEX(JupData!$A$2:$K$10000,MATCH($A797&amp;I$1,JupData!$A$2:$A$10000&amp;JupData!$J$2:$J$10000,0),11))</f>
        <v/>
      </c>
      <c r="J797" t="str">
        <f t="array" ref="J797">IF($A797="","",INDEX(JupData!$A$2:$K$10000,MATCH($A797&amp;J$1,JupData!$A$2:$A$10000&amp;JupData!$J$2:$J$10000,0),11))</f>
        <v/>
      </c>
      <c r="K797" t="str">
        <f t="array" ref="K797">IF($A797="","",INDEX(JupData!$A$2:$K$10000,MATCH($A797&amp;K$1,JupData!$A$2:$A$10000&amp;JupData!$J$2:$J$10000,0),11))</f>
        <v/>
      </c>
      <c r="L797" t="str">
        <f t="array" ref="L797">IF($A797="","",INDEX(JupData!$A$2:$K$10000,MATCH($A797&amp;L$1,JupData!$A$2:$A$10000&amp;JupData!$J$2:$J$10000,0),11))</f>
        <v/>
      </c>
      <c r="M797" t="str">
        <f t="array" ref="M797">IF($A797="","",INDEX(JupData!$A$2:$K$10000,MATCH($A797&amp;M$1,JupData!$A$2:$A$10000&amp;JupData!$J$2:$J$10000,0),11))</f>
        <v/>
      </c>
      <c r="N797" t="str">
        <f t="array" ref="N797">IF($A797="","",INDEX(JupData!$A$2:$K$10000,MATCH($A797&amp;N$1,JupData!$A$2:$A$10000&amp;JupData!$J$2:$J$10000,0),11))</f>
        <v/>
      </c>
      <c r="O797" t="str">
        <f t="array" ref="O797">IF($A797="","",INDEX(JupData!$A$2:$K$10000,MATCH($A797&amp;O$1,JupData!$A$2:$A$10000&amp;JupData!$J$2:$J$10000,0),11))</f>
        <v/>
      </c>
      <c r="P797" t="str">
        <f t="array" ref="P797">IF($A797="","",INDEX(JupData!$A$2:$K$10000,MATCH($A797&amp;P$1,JupData!$A$2:$A$10000&amp;JupData!$J$2:$J$10000,0),11))</f>
        <v/>
      </c>
      <c r="Q797" t="str">
        <f t="array" ref="Q797">IF($A797="","",INDEX(JupData!$A$2:$K$10000,MATCH($A797&amp;Q$1,JupData!$A$2:$A$10000&amp;JupData!$J$2:$J$10000,0),11))</f>
        <v/>
      </c>
      <c r="R797" t="str">
        <f t="array" ref="R797">IF($A797="","",INDEX(JupData!$A$2:$K$10000,MATCH($A797&amp;R$1,JupData!$A$2:$A$10000&amp;JupData!$J$2:$J$10000,0),11))</f>
        <v/>
      </c>
      <c r="S797" t="str">
        <f t="array" ref="S797">IF($A797="","",INDEX(JupData!$A$2:$K$10000,MATCH($A797&amp;S$1,JupData!$A$2:$A$10000&amp;JupData!$J$2:$J$10000,0),11))</f>
        <v/>
      </c>
      <c r="T797" t="str">
        <f t="array" ref="T797">IF($A797="","",INDEX(JupData!$A$2:$K$10000,MATCH($A797&amp;T$1,JupData!$A$2:$A$10000&amp;JupData!$J$2:$J$10000,0),11))</f>
        <v/>
      </c>
      <c r="U797" t="str">
        <f t="array" ref="U797">IF($A797="","",INDEX(JupData!$A$2:$K$10000,MATCH($A797&amp;U$1,JupData!$A$2:$A$10000&amp;JupData!$J$2:$J$10000,0),11))</f>
        <v/>
      </c>
      <c r="V797" t="str">
        <f t="array" ref="V797">IF($A797="","",INDEX(JupData!$A$2:$K$10000,MATCH($A797&amp;V$1,JupData!$A$2:$A$10000&amp;JupData!$J$2:$J$10000,0),11))</f>
        <v/>
      </c>
      <c r="W797" t="str">
        <f t="array" ref="W797">IF($A797="","",INDEX(JupData!$A$2:$K$10000,MATCH($A797&amp;W$1,JupData!$A$2:$A$10000&amp;JupData!$J$2:$J$10000,0),11))</f>
        <v/>
      </c>
      <c r="X797" t="str">
        <f t="array" ref="X797">IF($A797="","",INDEX(JupData!$A$2:$K$10000,MATCH($A797&amp;X$1,JupData!$A$2:$A$10000&amp;JupData!$J$2:$J$10000,0),11))</f>
        <v/>
      </c>
      <c r="Y797" t="str">
        <f t="array" ref="Y797">IF($A797="","",INDEX(JupData!$A$2:$K$10000,MATCH($A797&amp;Y$1,JupData!$A$2:$A$10000&amp;JupData!$J$2:$J$10000,0),11))</f>
        <v/>
      </c>
      <c r="Z797" t="str">
        <f t="array" ref="Z797">IF($A797="","",INDEX(JupData!$A$2:$K$10000,MATCH($A797&amp;Z$1,JupData!$A$2:$A$10000&amp;JupData!$J$2:$J$10000,0),11))</f>
        <v/>
      </c>
      <c r="AA797" t="str">
        <f t="array" ref="AA797">IF($A797="","",INDEX(JupData!$A$2:$K$10000,MATCH($A797&amp;AA$1,JupData!$A$2:$A$10000&amp;JupData!$J$2:$J$10000,0),11))</f>
        <v/>
      </c>
      <c r="AB797" t="str">
        <f t="array" ref="AB797">IF($A797="","",INDEX(JupData!$A$2:$K$10000,MATCH($A797&amp;AB$1,JupData!$A$2:$A$10000&amp;JupData!$J$2:$J$10000,0),11))</f>
        <v/>
      </c>
      <c r="AC797" s="10" t="str">
        <f t="shared" si="132"/>
        <v/>
      </c>
      <c r="AD797" s="10" t="str">
        <f t="shared" si="133"/>
        <v/>
      </c>
      <c r="AE797" s="9" t="str">
        <f t="shared" si="134"/>
        <v/>
      </c>
      <c r="AF797" s="10" t="str">
        <f t="shared" si="135"/>
        <v/>
      </c>
      <c r="AG797" s="10" t="str">
        <f t="shared" si="136"/>
        <v/>
      </c>
      <c r="AH797" s="10" t="str">
        <f t="shared" si="137"/>
        <v/>
      </c>
      <c r="AI797" s="10" t="str">
        <f t="shared" si="138"/>
        <v/>
      </c>
      <c r="AJ797" s="10" t="str">
        <f t="shared" si="139"/>
        <v/>
      </c>
      <c r="AK797" s="10" t="str">
        <f t="shared" si="140"/>
        <v/>
      </c>
      <c r="AL797" s="14" t="str">
        <f t="shared" si="141"/>
        <v/>
      </c>
    </row>
    <row r="798" spans="1:38" x14ac:dyDescent="0.2">
      <c r="A798"/>
      <c r="B798" t="str">
        <f>IF($A798="","",VLOOKUP($A798,JupData!$A$2:$I$10000,4,FALSE))</f>
        <v/>
      </c>
      <c r="C798" s="7" t="str">
        <f>IF($A798="",IF(N(D798),0,""),VLOOKUP($A798,JupData!$A$2:$I$10000,7,FALSE))</f>
        <v/>
      </c>
      <c r="D798" t="str">
        <f t="shared" si="142"/>
        <v/>
      </c>
      <c r="E798" t="str">
        <f t="array" ref="E798">IF($A798="","",INDEX(JupData!$A$2:$K$10000,MATCH($A798&amp;E$1,JupData!$A$2:$A$10000&amp;JupData!$J$2:$J$10000,0),11))</f>
        <v/>
      </c>
      <c r="F798" t="str">
        <f t="array" ref="F798">IF($A798="","",INDEX(JupData!$A$2:$K$10000,MATCH($A798&amp;F$1,JupData!$A$2:$A$10000&amp;JupData!$J$2:$J$10000,0),11))</f>
        <v/>
      </c>
      <c r="G798" t="str">
        <f t="array" ref="G798">IF($A798="","",INDEX(JupData!$A$2:$K$10000,MATCH($A798&amp;G$1,JupData!$A$2:$A$10000&amp;JupData!$J$2:$J$10000,0),11))</f>
        <v/>
      </c>
      <c r="H798" t="str">
        <f t="array" ref="H798">IF($A798="","",INDEX(JupData!$A$2:$K$10000,MATCH($A798&amp;H$1,JupData!$A$2:$A$10000&amp;JupData!$J$2:$J$10000,0),11))</f>
        <v/>
      </c>
      <c r="I798" t="str">
        <f t="array" ref="I798">IF($A798="","",INDEX(JupData!$A$2:$K$10000,MATCH($A798&amp;I$1,JupData!$A$2:$A$10000&amp;JupData!$J$2:$J$10000,0),11))</f>
        <v/>
      </c>
      <c r="J798" t="str">
        <f t="array" ref="J798">IF($A798="","",INDEX(JupData!$A$2:$K$10000,MATCH($A798&amp;J$1,JupData!$A$2:$A$10000&amp;JupData!$J$2:$J$10000,0),11))</f>
        <v/>
      </c>
      <c r="K798" t="str">
        <f t="array" ref="K798">IF($A798="","",INDEX(JupData!$A$2:$K$10000,MATCH($A798&amp;K$1,JupData!$A$2:$A$10000&amp;JupData!$J$2:$J$10000,0),11))</f>
        <v/>
      </c>
      <c r="L798" t="str">
        <f t="array" ref="L798">IF($A798="","",INDEX(JupData!$A$2:$K$10000,MATCH($A798&amp;L$1,JupData!$A$2:$A$10000&amp;JupData!$J$2:$J$10000,0),11))</f>
        <v/>
      </c>
      <c r="M798" t="str">
        <f t="array" ref="M798">IF($A798="","",INDEX(JupData!$A$2:$K$10000,MATCH($A798&amp;M$1,JupData!$A$2:$A$10000&amp;JupData!$J$2:$J$10000,0),11))</f>
        <v/>
      </c>
      <c r="N798" t="str">
        <f t="array" ref="N798">IF($A798="","",INDEX(JupData!$A$2:$K$10000,MATCH($A798&amp;N$1,JupData!$A$2:$A$10000&amp;JupData!$J$2:$J$10000,0),11))</f>
        <v/>
      </c>
      <c r="O798" t="str">
        <f t="array" ref="O798">IF($A798="","",INDEX(JupData!$A$2:$K$10000,MATCH($A798&amp;O$1,JupData!$A$2:$A$10000&amp;JupData!$J$2:$J$10000,0),11))</f>
        <v/>
      </c>
      <c r="P798" t="str">
        <f t="array" ref="P798">IF($A798="","",INDEX(JupData!$A$2:$K$10000,MATCH($A798&amp;P$1,JupData!$A$2:$A$10000&amp;JupData!$J$2:$J$10000,0),11))</f>
        <v/>
      </c>
      <c r="Q798" t="str">
        <f t="array" ref="Q798">IF($A798="","",INDEX(JupData!$A$2:$K$10000,MATCH($A798&amp;Q$1,JupData!$A$2:$A$10000&amp;JupData!$J$2:$J$10000,0),11))</f>
        <v/>
      </c>
      <c r="R798" t="str">
        <f t="array" ref="R798">IF($A798="","",INDEX(JupData!$A$2:$K$10000,MATCH($A798&amp;R$1,JupData!$A$2:$A$10000&amp;JupData!$J$2:$J$10000,0),11))</f>
        <v/>
      </c>
      <c r="S798" t="str">
        <f t="array" ref="S798">IF($A798="","",INDEX(JupData!$A$2:$K$10000,MATCH($A798&amp;S$1,JupData!$A$2:$A$10000&amp;JupData!$J$2:$J$10000,0),11))</f>
        <v/>
      </c>
      <c r="T798" t="str">
        <f t="array" ref="T798">IF($A798="","",INDEX(JupData!$A$2:$K$10000,MATCH($A798&amp;T$1,JupData!$A$2:$A$10000&amp;JupData!$J$2:$J$10000,0),11))</f>
        <v/>
      </c>
      <c r="U798" t="str">
        <f t="array" ref="U798">IF($A798="","",INDEX(JupData!$A$2:$K$10000,MATCH($A798&amp;U$1,JupData!$A$2:$A$10000&amp;JupData!$J$2:$J$10000,0),11))</f>
        <v/>
      </c>
      <c r="V798" t="str">
        <f t="array" ref="V798">IF($A798="","",INDEX(JupData!$A$2:$K$10000,MATCH($A798&amp;V$1,JupData!$A$2:$A$10000&amp;JupData!$J$2:$J$10000,0),11))</f>
        <v/>
      </c>
      <c r="W798" t="str">
        <f t="array" ref="W798">IF($A798="","",INDEX(JupData!$A$2:$K$10000,MATCH($A798&amp;W$1,JupData!$A$2:$A$10000&amp;JupData!$J$2:$J$10000,0),11))</f>
        <v/>
      </c>
      <c r="X798" t="str">
        <f t="array" ref="X798">IF($A798="","",INDEX(JupData!$A$2:$K$10000,MATCH($A798&amp;X$1,JupData!$A$2:$A$10000&amp;JupData!$J$2:$J$10000,0),11))</f>
        <v/>
      </c>
      <c r="Y798" t="str">
        <f t="array" ref="Y798">IF($A798="","",INDEX(JupData!$A$2:$K$10000,MATCH($A798&amp;Y$1,JupData!$A$2:$A$10000&amp;JupData!$J$2:$J$10000,0),11))</f>
        <v/>
      </c>
      <c r="Z798" t="str">
        <f t="array" ref="Z798">IF($A798="","",INDEX(JupData!$A$2:$K$10000,MATCH($A798&amp;Z$1,JupData!$A$2:$A$10000&amp;JupData!$J$2:$J$10000,0),11))</f>
        <v/>
      </c>
      <c r="AA798" t="str">
        <f t="array" ref="AA798">IF($A798="","",INDEX(JupData!$A$2:$K$10000,MATCH($A798&amp;AA$1,JupData!$A$2:$A$10000&amp;JupData!$J$2:$J$10000,0),11))</f>
        <v/>
      </c>
      <c r="AB798" t="str">
        <f t="array" ref="AB798">IF($A798="","",INDEX(JupData!$A$2:$K$10000,MATCH($A798&amp;AB$1,JupData!$A$2:$A$10000&amp;JupData!$J$2:$J$10000,0),11))</f>
        <v/>
      </c>
      <c r="AC798" s="10" t="str">
        <f t="shared" si="132"/>
        <v/>
      </c>
      <c r="AD798" s="10" t="str">
        <f t="shared" si="133"/>
        <v/>
      </c>
      <c r="AE798" s="9" t="str">
        <f t="shared" si="134"/>
        <v/>
      </c>
      <c r="AF798" s="10" t="str">
        <f t="shared" si="135"/>
        <v/>
      </c>
      <c r="AG798" s="10" t="str">
        <f t="shared" si="136"/>
        <v/>
      </c>
      <c r="AH798" s="10" t="str">
        <f t="shared" si="137"/>
        <v/>
      </c>
      <c r="AI798" s="10" t="str">
        <f t="shared" si="138"/>
        <v/>
      </c>
      <c r="AJ798" s="10" t="str">
        <f t="shared" si="139"/>
        <v/>
      </c>
      <c r="AK798" s="10" t="str">
        <f t="shared" si="140"/>
        <v/>
      </c>
      <c r="AL798" s="14" t="str">
        <f t="shared" si="141"/>
        <v/>
      </c>
    </row>
    <row r="799" spans="1:38" x14ac:dyDescent="0.2">
      <c r="A799"/>
      <c r="B799" t="str">
        <f>IF($A799="","",VLOOKUP($A799,JupData!$A$2:$I$10000,4,FALSE))</f>
        <v/>
      </c>
      <c r="C799" s="7" t="str">
        <f>IF($A799="",IF(N(D799),0,""),VLOOKUP($A799,JupData!$A$2:$I$10000,7,FALSE))</f>
        <v/>
      </c>
      <c r="D799" t="str">
        <f t="shared" si="142"/>
        <v/>
      </c>
      <c r="E799" t="str">
        <f t="array" ref="E799">IF($A799="","",INDEX(JupData!$A$2:$K$10000,MATCH($A799&amp;E$1,JupData!$A$2:$A$10000&amp;JupData!$J$2:$J$10000,0),11))</f>
        <v/>
      </c>
      <c r="F799" t="str">
        <f t="array" ref="F799">IF($A799="","",INDEX(JupData!$A$2:$K$10000,MATCH($A799&amp;F$1,JupData!$A$2:$A$10000&amp;JupData!$J$2:$J$10000,0),11))</f>
        <v/>
      </c>
      <c r="G799" t="str">
        <f t="array" ref="G799">IF($A799="","",INDEX(JupData!$A$2:$K$10000,MATCH($A799&amp;G$1,JupData!$A$2:$A$10000&amp;JupData!$J$2:$J$10000,0),11))</f>
        <v/>
      </c>
      <c r="H799" t="str">
        <f t="array" ref="H799">IF($A799="","",INDEX(JupData!$A$2:$K$10000,MATCH($A799&amp;H$1,JupData!$A$2:$A$10000&amp;JupData!$J$2:$J$10000,0),11))</f>
        <v/>
      </c>
      <c r="I799" t="str">
        <f t="array" ref="I799">IF($A799="","",INDEX(JupData!$A$2:$K$10000,MATCH($A799&amp;I$1,JupData!$A$2:$A$10000&amp;JupData!$J$2:$J$10000,0),11))</f>
        <v/>
      </c>
      <c r="J799" t="str">
        <f t="array" ref="J799">IF($A799="","",INDEX(JupData!$A$2:$K$10000,MATCH($A799&amp;J$1,JupData!$A$2:$A$10000&amp;JupData!$J$2:$J$10000,0),11))</f>
        <v/>
      </c>
      <c r="K799" t="str">
        <f t="array" ref="K799">IF($A799="","",INDEX(JupData!$A$2:$K$10000,MATCH($A799&amp;K$1,JupData!$A$2:$A$10000&amp;JupData!$J$2:$J$10000,0),11))</f>
        <v/>
      </c>
      <c r="L799" t="str">
        <f t="array" ref="L799">IF($A799="","",INDEX(JupData!$A$2:$K$10000,MATCH($A799&amp;L$1,JupData!$A$2:$A$10000&amp;JupData!$J$2:$J$10000,0),11))</f>
        <v/>
      </c>
      <c r="M799" t="str">
        <f t="array" ref="M799">IF($A799="","",INDEX(JupData!$A$2:$K$10000,MATCH($A799&amp;M$1,JupData!$A$2:$A$10000&amp;JupData!$J$2:$J$10000,0),11))</f>
        <v/>
      </c>
      <c r="N799" t="str">
        <f t="array" ref="N799">IF($A799="","",INDEX(JupData!$A$2:$K$10000,MATCH($A799&amp;N$1,JupData!$A$2:$A$10000&amp;JupData!$J$2:$J$10000,0),11))</f>
        <v/>
      </c>
      <c r="O799" t="str">
        <f t="array" ref="O799">IF($A799="","",INDEX(JupData!$A$2:$K$10000,MATCH($A799&amp;O$1,JupData!$A$2:$A$10000&amp;JupData!$J$2:$J$10000,0),11))</f>
        <v/>
      </c>
      <c r="P799" t="str">
        <f t="array" ref="P799">IF($A799="","",INDEX(JupData!$A$2:$K$10000,MATCH($A799&amp;P$1,JupData!$A$2:$A$10000&amp;JupData!$J$2:$J$10000,0),11))</f>
        <v/>
      </c>
      <c r="Q799" t="str">
        <f t="array" ref="Q799">IF($A799="","",INDEX(JupData!$A$2:$K$10000,MATCH($A799&amp;Q$1,JupData!$A$2:$A$10000&amp;JupData!$J$2:$J$10000,0),11))</f>
        <v/>
      </c>
      <c r="R799" t="str">
        <f t="array" ref="R799">IF($A799="","",INDEX(JupData!$A$2:$K$10000,MATCH($A799&amp;R$1,JupData!$A$2:$A$10000&amp;JupData!$J$2:$J$10000,0),11))</f>
        <v/>
      </c>
      <c r="S799" t="str">
        <f t="array" ref="S799">IF($A799="","",INDEX(JupData!$A$2:$K$10000,MATCH($A799&amp;S$1,JupData!$A$2:$A$10000&amp;JupData!$J$2:$J$10000,0),11))</f>
        <v/>
      </c>
      <c r="T799" t="str">
        <f t="array" ref="T799">IF($A799="","",INDEX(JupData!$A$2:$K$10000,MATCH($A799&amp;T$1,JupData!$A$2:$A$10000&amp;JupData!$J$2:$J$10000,0),11))</f>
        <v/>
      </c>
      <c r="U799" t="str">
        <f t="array" ref="U799">IF($A799="","",INDEX(JupData!$A$2:$K$10000,MATCH($A799&amp;U$1,JupData!$A$2:$A$10000&amp;JupData!$J$2:$J$10000,0),11))</f>
        <v/>
      </c>
      <c r="V799" t="str">
        <f t="array" ref="V799">IF($A799="","",INDEX(JupData!$A$2:$K$10000,MATCH($A799&amp;V$1,JupData!$A$2:$A$10000&amp;JupData!$J$2:$J$10000,0),11))</f>
        <v/>
      </c>
      <c r="W799" t="str">
        <f t="array" ref="W799">IF($A799="","",INDEX(JupData!$A$2:$K$10000,MATCH($A799&amp;W$1,JupData!$A$2:$A$10000&amp;JupData!$J$2:$J$10000,0),11))</f>
        <v/>
      </c>
      <c r="X799" t="str">
        <f t="array" ref="X799">IF($A799="","",INDEX(JupData!$A$2:$K$10000,MATCH($A799&amp;X$1,JupData!$A$2:$A$10000&amp;JupData!$J$2:$J$10000,0),11))</f>
        <v/>
      </c>
      <c r="Y799" t="str">
        <f t="array" ref="Y799">IF($A799="","",INDEX(JupData!$A$2:$K$10000,MATCH($A799&amp;Y$1,JupData!$A$2:$A$10000&amp;JupData!$J$2:$J$10000,0),11))</f>
        <v/>
      </c>
      <c r="Z799" t="str">
        <f t="array" ref="Z799">IF($A799="","",INDEX(JupData!$A$2:$K$10000,MATCH($A799&amp;Z$1,JupData!$A$2:$A$10000&amp;JupData!$J$2:$J$10000,0),11))</f>
        <v/>
      </c>
      <c r="AA799" t="str">
        <f t="array" ref="AA799">IF($A799="","",INDEX(JupData!$A$2:$K$10000,MATCH($A799&amp;AA$1,JupData!$A$2:$A$10000&amp;JupData!$J$2:$J$10000,0),11))</f>
        <v/>
      </c>
      <c r="AB799" t="str">
        <f t="array" ref="AB799">IF($A799="","",INDEX(JupData!$A$2:$K$10000,MATCH($A799&amp;AB$1,JupData!$A$2:$A$10000&amp;JupData!$J$2:$J$10000,0),11))</f>
        <v/>
      </c>
      <c r="AC799" s="10" t="str">
        <f t="shared" si="132"/>
        <v/>
      </c>
      <c r="AD799" s="10" t="str">
        <f t="shared" si="133"/>
        <v/>
      </c>
      <c r="AE799" s="9" t="str">
        <f t="shared" si="134"/>
        <v/>
      </c>
      <c r="AF799" s="10" t="str">
        <f t="shared" si="135"/>
        <v/>
      </c>
      <c r="AG799" s="10" t="str">
        <f t="shared" si="136"/>
        <v/>
      </c>
      <c r="AH799" s="10" t="str">
        <f t="shared" si="137"/>
        <v/>
      </c>
      <c r="AI799" s="10" t="str">
        <f t="shared" si="138"/>
        <v/>
      </c>
      <c r="AJ799" s="10" t="str">
        <f t="shared" si="139"/>
        <v/>
      </c>
      <c r="AK799" s="10" t="str">
        <f t="shared" si="140"/>
        <v/>
      </c>
      <c r="AL799" s="14" t="str">
        <f t="shared" si="141"/>
        <v/>
      </c>
    </row>
    <row r="800" spans="1:38" x14ac:dyDescent="0.2">
      <c r="A800"/>
      <c r="B800" t="str">
        <f>IF($A800="","",VLOOKUP($A800,JupData!$A$2:$I$10000,4,FALSE))</f>
        <v/>
      </c>
      <c r="C800" s="7" t="str">
        <f>IF($A800="",IF(N(D800),0,""),VLOOKUP($A800,JupData!$A$2:$I$10000,7,FALSE))</f>
        <v/>
      </c>
      <c r="D800" t="str">
        <f t="shared" si="142"/>
        <v/>
      </c>
      <c r="E800" t="str">
        <f t="array" ref="E800">IF($A800="","",INDEX(JupData!$A$2:$K$10000,MATCH($A800&amp;E$1,JupData!$A$2:$A$10000&amp;JupData!$J$2:$J$10000,0),11))</f>
        <v/>
      </c>
      <c r="F800" t="str">
        <f t="array" ref="F800">IF($A800="","",INDEX(JupData!$A$2:$K$10000,MATCH($A800&amp;F$1,JupData!$A$2:$A$10000&amp;JupData!$J$2:$J$10000,0),11))</f>
        <v/>
      </c>
      <c r="G800" t="str">
        <f t="array" ref="G800">IF($A800="","",INDEX(JupData!$A$2:$K$10000,MATCH($A800&amp;G$1,JupData!$A$2:$A$10000&amp;JupData!$J$2:$J$10000,0),11))</f>
        <v/>
      </c>
      <c r="H800" t="str">
        <f t="array" ref="H800">IF($A800="","",INDEX(JupData!$A$2:$K$10000,MATCH($A800&amp;H$1,JupData!$A$2:$A$10000&amp;JupData!$J$2:$J$10000,0),11))</f>
        <v/>
      </c>
      <c r="I800" t="str">
        <f t="array" ref="I800">IF($A800="","",INDEX(JupData!$A$2:$K$10000,MATCH($A800&amp;I$1,JupData!$A$2:$A$10000&amp;JupData!$J$2:$J$10000,0),11))</f>
        <v/>
      </c>
      <c r="J800" t="str">
        <f t="array" ref="J800">IF($A800="","",INDEX(JupData!$A$2:$K$10000,MATCH($A800&amp;J$1,JupData!$A$2:$A$10000&amp;JupData!$J$2:$J$10000,0),11))</f>
        <v/>
      </c>
      <c r="K800" t="str">
        <f t="array" ref="K800">IF($A800="","",INDEX(JupData!$A$2:$K$10000,MATCH($A800&amp;K$1,JupData!$A$2:$A$10000&amp;JupData!$J$2:$J$10000,0),11))</f>
        <v/>
      </c>
      <c r="L800" t="str">
        <f t="array" ref="L800">IF($A800="","",INDEX(JupData!$A$2:$K$10000,MATCH($A800&amp;L$1,JupData!$A$2:$A$10000&amp;JupData!$J$2:$J$10000,0),11))</f>
        <v/>
      </c>
      <c r="M800" t="str">
        <f t="array" ref="M800">IF($A800="","",INDEX(JupData!$A$2:$K$10000,MATCH($A800&amp;M$1,JupData!$A$2:$A$10000&amp;JupData!$J$2:$J$10000,0),11))</f>
        <v/>
      </c>
      <c r="N800" t="str">
        <f t="array" ref="N800">IF($A800="","",INDEX(JupData!$A$2:$K$10000,MATCH($A800&amp;N$1,JupData!$A$2:$A$10000&amp;JupData!$J$2:$J$10000,0),11))</f>
        <v/>
      </c>
      <c r="O800" t="str">
        <f t="array" ref="O800">IF($A800="","",INDEX(JupData!$A$2:$K$10000,MATCH($A800&amp;O$1,JupData!$A$2:$A$10000&amp;JupData!$J$2:$J$10000,0),11))</f>
        <v/>
      </c>
      <c r="P800" t="str">
        <f t="array" ref="P800">IF($A800="","",INDEX(JupData!$A$2:$K$10000,MATCH($A800&amp;P$1,JupData!$A$2:$A$10000&amp;JupData!$J$2:$J$10000,0),11))</f>
        <v/>
      </c>
      <c r="Q800" t="str">
        <f t="array" ref="Q800">IF($A800="","",INDEX(JupData!$A$2:$K$10000,MATCH($A800&amp;Q$1,JupData!$A$2:$A$10000&amp;JupData!$J$2:$J$10000,0),11))</f>
        <v/>
      </c>
      <c r="R800" t="str">
        <f t="array" ref="R800">IF($A800="","",INDEX(JupData!$A$2:$K$10000,MATCH($A800&amp;R$1,JupData!$A$2:$A$10000&amp;JupData!$J$2:$J$10000,0),11))</f>
        <v/>
      </c>
      <c r="S800" t="str">
        <f t="array" ref="S800">IF($A800="","",INDEX(JupData!$A$2:$K$10000,MATCH($A800&amp;S$1,JupData!$A$2:$A$10000&amp;JupData!$J$2:$J$10000,0),11))</f>
        <v/>
      </c>
      <c r="T800" t="str">
        <f t="array" ref="T800">IF($A800="","",INDEX(JupData!$A$2:$K$10000,MATCH($A800&amp;T$1,JupData!$A$2:$A$10000&amp;JupData!$J$2:$J$10000,0),11))</f>
        <v/>
      </c>
      <c r="U800" t="str">
        <f t="array" ref="U800">IF($A800="","",INDEX(JupData!$A$2:$K$10000,MATCH($A800&amp;U$1,JupData!$A$2:$A$10000&amp;JupData!$J$2:$J$10000,0),11))</f>
        <v/>
      </c>
      <c r="V800" t="str">
        <f t="array" ref="V800">IF($A800="","",INDEX(JupData!$A$2:$K$10000,MATCH($A800&amp;V$1,JupData!$A$2:$A$10000&amp;JupData!$J$2:$J$10000,0),11))</f>
        <v/>
      </c>
      <c r="W800" t="str">
        <f t="array" ref="W800">IF($A800="","",INDEX(JupData!$A$2:$K$10000,MATCH($A800&amp;W$1,JupData!$A$2:$A$10000&amp;JupData!$J$2:$J$10000,0),11))</f>
        <v/>
      </c>
      <c r="X800" t="str">
        <f t="array" ref="X800">IF($A800="","",INDEX(JupData!$A$2:$K$10000,MATCH($A800&amp;X$1,JupData!$A$2:$A$10000&amp;JupData!$J$2:$J$10000,0),11))</f>
        <v/>
      </c>
      <c r="Y800" t="str">
        <f t="array" ref="Y800">IF($A800="","",INDEX(JupData!$A$2:$K$10000,MATCH($A800&amp;Y$1,JupData!$A$2:$A$10000&amp;JupData!$J$2:$J$10000,0),11))</f>
        <v/>
      </c>
      <c r="Z800" t="str">
        <f t="array" ref="Z800">IF($A800="","",INDEX(JupData!$A$2:$K$10000,MATCH($A800&amp;Z$1,JupData!$A$2:$A$10000&amp;JupData!$J$2:$J$10000,0),11))</f>
        <v/>
      </c>
      <c r="AA800" t="str">
        <f t="array" ref="AA800">IF($A800="","",INDEX(JupData!$A$2:$K$10000,MATCH($A800&amp;AA$1,JupData!$A$2:$A$10000&amp;JupData!$J$2:$J$10000,0),11))</f>
        <v/>
      </c>
      <c r="AB800" t="str">
        <f t="array" ref="AB800">IF($A800="","",INDEX(JupData!$A$2:$K$10000,MATCH($A800&amp;AB$1,JupData!$A$2:$A$10000&amp;JupData!$J$2:$J$10000,0),11))</f>
        <v/>
      </c>
      <c r="AC800" s="10" t="str">
        <f t="shared" si="132"/>
        <v/>
      </c>
      <c r="AD800" s="10" t="str">
        <f t="shared" si="133"/>
        <v/>
      </c>
      <c r="AE800" s="9" t="str">
        <f t="shared" si="134"/>
        <v/>
      </c>
      <c r="AF800" s="10" t="str">
        <f t="shared" si="135"/>
        <v/>
      </c>
      <c r="AG800" s="10" t="str">
        <f t="shared" si="136"/>
        <v/>
      </c>
      <c r="AH800" s="10" t="str">
        <f t="shared" si="137"/>
        <v/>
      </c>
      <c r="AI800" s="10" t="str">
        <f t="shared" si="138"/>
        <v/>
      </c>
      <c r="AJ800" s="10" t="str">
        <f t="shared" si="139"/>
        <v/>
      </c>
      <c r="AK800" s="10" t="str">
        <f t="shared" si="140"/>
        <v/>
      </c>
      <c r="AL800" s="14" t="str">
        <f t="shared" si="141"/>
        <v/>
      </c>
    </row>
    <row r="801" spans="1:38" x14ac:dyDescent="0.2">
      <c r="A801"/>
      <c r="B801" t="str">
        <f>IF($A801="","",VLOOKUP($A801,JupData!$A$2:$I$10000,4,FALSE))</f>
        <v/>
      </c>
      <c r="C801" s="7" t="str">
        <f>IF($A801="",IF(N(D801),0,""),VLOOKUP($A801,JupData!$A$2:$I$10000,7,FALSE))</f>
        <v/>
      </c>
      <c r="D801" t="str">
        <f t="shared" si="142"/>
        <v/>
      </c>
      <c r="E801" t="str">
        <f t="array" ref="E801">IF($A801="","",INDEX(JupData!$A$2:$K$10000,MATCH($A801&amp;E$1,JupData!$A$2:$A$10000&amp;JupData!$J$2:$J$10000,0),11))</f>
        <v/>
      </c>
      <c r="F801" t="str">
        <f t="array" ref="F801">IF($A801="","",INDEX(JupData!$A$2:$K$10000,MATCH($A801&amp;F$1,JupData!$A$2:$A$10000&amp;JupData!$J$2:$J$10000,0),11))</f>
        <v/>
      </c>
      <c r="G801" t="str">
        <f t="array" ref="G801">IF($A801="","",INDEX(JupData!$A$2:$K$10000,MATCH($A801&amp;G$1,JupData!$A$2:$A$10000&amp;JupData!$J$2:$J$10000,0),11))</f>
        <v/>
      </c>
      <c r="H801" t="str">
        <f t="array" ref="H801">IF($A801="","",INDEX(JupData!$A$2:$K$10000,MATCH($A801&amp;H$1,JupData!$A$2:$A$10000&amp;JupData!$J$2:$J$10000,0),11))</f>
        <v/>
      </c>
      <c r="I801" t="str">
        <f t="array" ref="I801">IF($A801="","",INDEX(JupData!$A$2:$K$10000,MATCH($A801&amp;I$1,JupData!$A$2:$A$10000&amp;JupData!$J$2:$J$10000,0),11))</f>
        <v/>
      </c>
      <c r="J801" t="str">
        <f t="array" ref="J801">IF($A801="","",INDEX(JupData!$A$2:$K$10000,MATCH($A801&amp;J$1,JupData!$A$2:$A$10000&amp;JupData!$J$2:$J$10000,0),11))</f>
        <v/>
      </c>
      <c r="K801" t="str">
        <f t="array" ref="K801">IF($A801="","",INDEX(JupData!$A$2:$K$10000,MATCH($A801&amp;K$1,JupData!$A$2:$A$10000&amp;JupData!$J$2:$J$10000,0),11))</f>
        <v/>
      </c>
      <c r="L801" t="str">
        <f t="array" ref="L801">IF($A801="","",INDEX(JupData!$A$2:$K$10000,MATCH($A801&amp;L$1,JupData!$A$2:$A$10000&amp;JupData!$J$2:$J$10000,0),11))</f>
        <v/>
      </c>
      <c r="M801" t="str">
        <f t="array" ref="M801">IF($A801="","",INDEX(JupData!$A$2:$K$10000,MATCH($A801&amp;M$1,JupData!$A$2:$A$10000&amp;JupData!$J$2:$J$10000,0),11))</f>
        <v/>
      </c>
      <c r="N801" t="str">
        <f t="array" ref="N801">IF($A801="","",INDEX(JupData!$A$2:$K$10000,MATCH($A801&amp;N$1,JupData!$A$2:$A$10000&amp;JupData!$J$2:$J$10000,0),11))</f>
        <v/>
      </c>
      <c r="O801" t="str">
        <f t="array" ref="O801">IF($A801="","",INDEX(JupData!$A$2:$K$10000,MATCH($A801&amp;O$1,JupData!$A$2:$A$10000&amp;JupData!$J$2:$J$10000,0),11))</f>
        <v/>
      </c>
      <c r="P801" t="str">
        <f t="array" ref="P801">IF($A801="","",INDEX(JupData!$A$2:$K$10000,MATCH($A801&amp;P$1,JupData!$A$2:$A$10000&amp;JupData!$J$2:$J$10000,0),11))</f>
        <v/>
      </c>
      <c r="Q801" t="str">
        <f t="array" ref="Q801">IF($A801="","",INDEX(JupData!$A$2:$K$10000,MATCH($A801&amp;Q$1,JupData!$A$2:$A$10000&amp;JupData!$J$2:$J$10000,0),11))</f>
        <v/>
      </c>
      <c r="R801" t="str">
        <f t="array" ref="R801">IF($A801="","",INDEX(JupData!$A$2:$K$10000,MATCH($A801&amp;R$1,JupData!$A$2:$A$10000&amp;JupData!$J$2:$J$10000,0),11))</f>
        <v/>
      </c>
      <c r="S801" t="str">
        <f t="array" ref="S801">IF($A801="","",INDEX(JupData!$A$2:$K$10000,MATCH($A801&amp;S$1,JupData!$A$2:$A$10000&amp;JupData!$J$2:$J$10000,0),11))</f>
        <v/>
      </c>
      <c r="T801" t="str">
        <f t="array" ref="T801">IF($A801="","",INDEX(JupData!$A$2:$K$10000,MATCH($A801&amp;T$1,JupData!$A$2:$A$10000&amp;JupData!$J$2:$J$10000,0),11))</f>
        <v/>
      </c>
      <c r="U801" t="str">
        <f t="array" ref="U801">IF($A801="","",INDEX(JupData!$A$2:$K$10000,MATCH($A801&amp;U$1,JupData!$A$2:$A$10000&amp;JupData!$J$2:$J$10000,0),11))</f>
        <v/>
      </c>
      <c r="V801" t="str">
        <f t="array" ref="V801">IF($A801="","",INDEX(JupData!$A$2:$K$10000,MATCH($A801&amp;V$1,JupData!$A$2:$A$10000&amp;JupData!$J$2:$J$10000,0),11))</f>
        <v/>
      </c>
      <c r="W801" t="str">
        <f t="array" ref="W801">IF($A801="","",INDEX(JupData!$A$2:$K$10000,MATCH($A801&amp;W$1,JupData!$A$2:$A$10000&amp;JupData!$J$2:$J$10000,0),11))</f>
        <v/>
      </c>
      <c r="X801" t="str">
        <f t="array" ref="X801">IF($A801="","",INDEX(JupData!$A$2:$K$10000,MATCH($A801&amp;X$1,JupData!$A$2:$A$10000&amp;JupData!$J$2:$J$10000,0),11))</f>
        <v/>
      </c>
      <c r="Y801" t="str">
        <f t="array" ref="Y801">IF($A801="","",INDEX(JupData!$A$2:$K$10000,MATCH($A801&amp;Y$1,JupData!$A$2:$A$10000&amp;JupData!$J$2:$J$10000,0),11))</f>
        <v/>
      </c>
      <c r="Z801" t="str">
        <f t="array" ref="Z801">IF($A801="","",INDEX(JupData!$A$2:$K$10000,MATCH($A801&amp;Z$1,JupData!$A$2:$A$10000&amp;JupData!$J$2:$J$10000,0),11))</f>
        <v/>
      </c>
      <c r="AA801" t="str">
        <f t="array" ref="AA801">IF($A801="","",INDEX(JupData!$A$2:$K$10000,MATCH($A801&amp;AA$1,JupData!$A$2:$A$10000&amp;JupData!$J$2:$J$10000,0),11))</f>
        <v/>
      </c>
      <c r="AB801" t="str">
        <f t="array" ref="AB801">IF($A801="","",INDEX(JupData!$A$2:$K$10000,MATCH($A801&amp;AB$1,JupData!$A$2:$A$10000&amp;JupData!$J$2:$J$10000,0),11))</f>
        <v/>
      </c>
      <c r="AC801" s="10" t="str">
        <f t="shared" si="132"/>
        <v/>
      </c>
      <c r="AD801" s="10" t="str">
        <f t="shared" si="133"/>
        <v/>
      </c>
      <c r="AE801" s="9" t="str">
        <f t="shared" si="134"/>
        <v/>
      </c>
      <c r="AF801" s="10" t="str">
        <f t="shared" si="135"/>
        <v/>
      </c>
      <c r="AG801" s="10" t="str">
        <f t="shared" si="136"/>
        <v/>
      </c>
      <c r="AH801" s="10" t="str">
        <f t="shared" si="137"/>
        <v/>
      </c>
      <c r="AI801" s="10" t="str">
        <f t="shared" si="138"/>
        <v/>
      </c>
      <c r="AJ801" s="10" t="str">
        <f t="shared" si="139"/>
        <v/>
      </c>
      <c r="AK801" s="10" t="str">
        <f t="shared" si="140"/>
        <v/>
      </c>
      <c r="AL801" s="14" t="str">
        <f t="shared" si="141"/>
        <v/>
      </c>
    </row>
    <row r="802" spans="1:38" x14ac:dyDescent="0.2">
      <c r="A802"/>
      <c r="B802" t="str">
        <f>IF($A802="","",VLOOKUP($A802,JupData!$A$2:$I$10000,4,FALSE))</f>
        <v/>
      </c>
      <c r="C802" s="7" t="str">
        <f>IF($A802="",IF(N(D802),0,""),VLOOKUP($A802,JupData!$A$2:$I$10000,7,FALSE))</f>
        <v/>
      </c>
      <c r="D802" t="str">
        <f t="shared" si="142"/>
        <v/>
      </c>
      <c r="E802" t="str">
        <f t="array" ref="E802">IF($A802="","",INDEX(JupData!$A$2:$K$10000,MATCH($A802&amp;E$1,JupData!$A$2:$A$10000&amp;JupData!$J$2:$J$10000,0),11))</f>
        <v/>
      </c>
      <c r="F802" t="str">
        <f t="array" ref="F802">IF($A802="","",INDEX(JupData!$A$2:$K$10000,MATCH($A802&amp;F$1,JupData!$A$2:$A$10000&amp;JupData!$J$2:$J$10000,0),11))</f>
        <v/>
      </c>
      <c r="G802" t="str">
        <f t="array" ref="G802">IF($A802="","",INDEX(JupData!$A$2:$K$10000,MATCH($A802&amp;G$1,JupData!$A$2:$A$10000&amp;JupData!$J$2:$J$10000,0),11))</f>
        <v/>
      </c>
      <c r="H802" t="str">
        <f t="array" ref="H802">IF($A802="","",INDEX(JupData!$A$2:$K$10000,MATCH($A802&amp;H$1,JupData!$A$2:$A$10000&amp;JupData!$J$2:$J$10000,0),11))</f>
        <v/>
      </c>
      <c r="I802" t="str">
        <f t="array" ref="I802">IF($A802="","",INDEX(JupData!$A$2:$K$10000,MATCH($A802&amp;I$1,JupData!$A$2:$A$10000&amp;JupData!$J$2:$J$10000,0),11))</f>
        <v/>
      </c>
      <c r="J802" t="str">
        <f t="array" ref="J802">IF($A802="","",INDEX(JupData!$A$2:$K$10000,MATCH($A802&amp;J$1,JupData!$A$2:$A$10000&amp;JupData!$J$2:$J$10000,0),11))</f>
        <v/>
      </c>
      <c r="K802" t="str">
        <f t="array" ref="K802">IF($A802="","",INDEX(JupData!$A$2:$K$10000,MATCH($A802&amp;K$1,JupData!$A$2:$A$10000&amp;JupData!$J$2:$J$10000,0),11))</f>
        <v/>
      </c>
      <c r="L802" t="str">
        <f t="array" ref="L802">IF($A802="","",INDEX(JupData!$A$2:$K$10000,MATCH($A802&amp;L$1,JupData!$A$2:$A$10000&amp;JupData!$J$2:$J$10000,0),11))</f>
        <v/>
      </c>
      <c r="M802" t="str">
        <f t="array" ref="M802">IF($A802="","",INDEX(JupData!$A$2:$K$10000,MATCH($A802&amp;M$1,JupData!$A$2:$A$10000&amp;JupData!$J$2:$J$10000,0),11))</f>
        <v/>
      </c>
      <c r="N802" t="str">
        <f t="array" ref="N802">IF($A802="","",INDEX(JupData!$A$2:$K$10000,MATCH($A802&amp;N$1,JupData!$A$2:$A$10000&amp;JupData!$J$2:$J$10000,0),11))</f>
        <v/>
      </c>
      <c r="O802" t="str">
        <f t="array" ref="O802">IF($A802="","",INDEX(JupData!$A$2:$K$10000,MATCH($A802&amp;O$1,JupData!$A$2:$A$10000&amp;JupData!$J$2:$J$10000,0),11))</f>
        <v/>
      </c>
      <c r="P802" t="str">
        <f t="array" ref="P802">IF($A802="","",INDEX(JupData!$A$2:$K$10000,MATCH($A802&amp;P$1,JupData!$A$2:$A$10000&amp;JupData!$J$2:$J$10000,0),11))</f>
        <v/>
      </c>
      <c r="Q802" t="str">
        <f t="array" ref="Q802">IF($A802="","",INDEX(JupData!$A$2:$K$10000,MATCH($A802&amp;Q$1,JupData!$A$2:$A$10000&amp;JupData!$J$2:$J$10000,0),11))</f>
        <v/>
      </c>
      <c r="R802" t="str">
        <f t="array" ref="R802">IF($A802="","",INDEX(JupData!$A$2:$K$10000,MATCH($A802&amp;R$1,JupData!$A$2:$A$10000&amp;JupData!$J$2:$J$10000,0),11))</f>
        <v/>
      </c>
      <c r="S802" t="str">
        <f t="array" ref="S802">IF($A802="","",INDEX(JupData!$A$2:$K$10000,MATCH($A802&amp;S$1,JupData!$A$2:$A$10000&amp;JupData!$J$2:$J$10000,0),11))</f>
        <v/>
      </c>
      <c r="T802" t="str">
        <f t="array" ref="T802">IF($A802="","",INDEX(JupData!$A$2:$K$10000,MATCH($A802&amp;T$1,JupData!$A$2:$A$10000&amp;JupData!$J$2:$J$10000,0),11))</f>
        <v/>
      </c>
      <c r="U802" t="str">
        <f t="array" ref="U802">IF($A802="","",INDEX(JupData!$A$2:$K$10000,MATCH($A802&amp;U$1,JupData!$A$2:$A$10000&amp;JupData!$J$2:$J$10000,0),11))</f>
        <v/>
      </c>
      <c r="V802" t="str">
        <f t="array" ref="V802">IF($A802="","",INDEX(JupData!$A$2:$K$10000,MATCH($A802&amp;V$1,JupData!$A$2:$A$10000&amp;JupData!$J$2:$J$10000,0),11))</f>
        <v/>
      </c>
      <c r="W802" t="str">
        <f t="array" ref="W802">IF($A802="","",INDEX(JupData!$A$2:$K$10000,MATCH($A802&amp;W$1,JupData!$A$2:$A$10000&amp;JupData!$J$2:$J$10000,0),11))</f>
        <v/>
      </c>
      <c r="X802" t="str">
        <f t="array" ref="X802">IF($A802="","",INDEX(JupData!$A$2:$K$10000,MATCH($A802&amp;X$1,JupData!$A$2:$A$10000&amp;JupData!$J$2:$J$10000,0),11))</f>
        <v/>
      </c>
      <c r="Y802" t="str">
        <f t="array" ref="Y802">IF($A802="","",INDEX(JupData!$A$2:$K$10000,MATCH($A802&amp;Y$1,JupData!$A$2:$A$10000&amp;JupData!$J$2:$J$10000,0),11))</f>
        <v/>
      </c>
      <c r="Z802" t="str">
        <f t="array" ref="Z802">IF($A802="","",INDEX(JupData!$A$2:$K$10000,MATCH($A802&amp;Z$1,JupData!$A$2:$A$10000&amp;JupData!$J$2:$J$10000,0),11))</f>
        <v/>
      </c>
      <c r="AA802" t="str">
        <f t="array" ref="AA802">IF($A802="","",INDEX(JupData!$A$2:$K$10000,MATCH($A802&amp;AA$1,JupData!$A$2:$A$10000&amp;JupData!$J$2:$J$10000,0),11))</f>
        <v/>
      </c>
      <c r="AB802" t="str">
        <f t="array" ref="AB802">IF($A802="","",INDEX(JupData!$A$2:$K$10000,MATCH($A802&amp;AB$1,JupData!$A$2:$A$10000&amp;JupData!$J$2:$J$10000,0),11))</f>
        <v/>
      </c>
      <c r="AC802" s="10" t="str">
        <f t="shared" si="132"/>
        <v/>
      </c>
      <c r="AD802" s="10" t="str">
        <f t="shared" si="133"/>
        <v/>
      </c>
      <c r="AE802" s="9" t="str">
        <f t="shared" si="134"/>
        <v/>
      </c>
      <c r="AF802" s="10" t="str">
        <f t="shared" si="135"/>
        <v/>
      </c>
      <c r="AG802" s="10" t="str">
        <f t="shared" si="136"/>
        <v/>
      </c>
      <c r="AH802" s="10" t="str">
        <f t="shared" si="137"/>
        <v/>
      </c>
      <c r="AI802" s="10" t="str">
        <f t="shared" si="138"/>
        <v/>
      </c>
      <c r="AJ802" s="10" t="str">
        <f t="shared" si="139"/>
        <v/>
      </c>
      <c r="AK802" s="10" t="str">
        <f t="shared" si="140"/>
        <v/>
      </c>
      <c r="AL802" s="14" t="str">
        <f t="shared" si="141"/>
        <v/>
      </c>
    </row>
    <row r="803" spans="1:38" x14ac:dyDescent="0.2">
      <c r="A803"/>
      <c r="B803" t="str">
        <f>IF($A803="","",VLOOKUP($A803,JupData!$A$2:$I$10000,4,FALSE))</f>
        <v/>
      </c>
      <c r="C803" s="7" t="str">
        <f>IF($A803="",IF(N(D803),0,""),VLOOKUP($A803,JupData!$A$2:$I$10000,7,FALSE))</f>
        <v/>
      </c>
      <c r="D803" t="str">
        <f t="shared" si="142"/>
        <v/>
      </c>
      <c r="E803" t="str">
        <f t="array" ref="E803">IF($A803="","",INDEX(JupData!$A$2:$K$10000,MATCH($A803&amp;E$1,JupData!$A$2:$A$10000&amp;JupData!$J$2:$J$10000,0),11))</f>
        <v/>
      </c>
      <c r="F803" t="str">
        <f t="array" ref="F803">IF($A803="","",INDEX(JupData!$A$2:$K$10000,MATCH($A803&amp;F$1,JupData!$A$2:$A$10000&amp;JupData!$J$2:$J$10000,0),11))</f>
        <v/>
      </c>
      <c r="G803" t="str">
        <f t="array" ref="G803">IF($A803="","",INDEX(JupData!$A$2:$K$10000,MATCH($A803&amp;G$1,JupData!$A$2:$A$10000&amp;JupData!$J$2:$J$10000,0),11))</f>
        <v/>
      </c>
      <c r="H803" t="str">
        <f t="array" ref="H803">IF($A803="","",INDEX(JupData!$A$2:$K$10000,MATCH($A803&amp;H$1,JupData!$A$2:$A$10000&amp;JupData!$J$2:$J$10000,0),11))</f>
        <v/>
      </c>
      <c r="I803" t="str">
        <f t="array" ref="I803">IF($A803="","",INDEX(JupData!$A$2:$K$10000,MATCH($A803&amp;I$1,JupData!$A$2:$A$10000&amp;JupData!$J$2:$J$10000,0),11))</f>
        <v/>
      </c>
      <c r="J803" t="str">
        <f t="array" ref="J803">IF($A803="","",INDEX(JupData!$A$2:$K$10000,MATCH($A803&amp;J$1,JupData!$A$2:$A$10000&amp;JupData!$J$2:$J$10000,0),11))</f>
        <v/>
      </c>
      <c r="K803" t="str">
        <f t="array" ref="K803">IF($A803="","",INDEX(JupData!$A$2:$K$10000,MATCH($A803&amp;K$1,JupData!$A$2:$A$10000&amp;JupData!$J$2:$J$10000,0),11))</f>
        <v/>
      </c>
      <c r="L803" t="str">
        <f t="array" ref="L803">IF($A803="","",INDEX(JupData!$A$2:$K$10000,MATCH($A803&amp;L$1,JupData!$A$2:$A$10000&amp;JupData!$J$2:$J$10000,0),11))</f>
        <v/>
      </c>
      <c r="M803" t="str">
        <f t="array" ref="M803">IF($A803="","",INDEX(JupData!$A$2:$K$10000,MATCH($A803&amp;M$1,JupData!$A$2:$A$10000&amp;JupData!$J$2:$J$10000,0),11))</f>
        <v/>
      </c>
      <c r="N803" t="str">
        <f t="array" ref="N803">IF($A803="","",INDEX(JupData!$A$2:$K$10000,MATCH($A803&amp;N$1,JupData!$A$2:$A$10000&amp;JupData!$J$2:$J$10000,0),11))</f>
        <v/>
      </c>
      <c r="O803" t="str">
        <f t="array" ref="O803">IF($A803="","",INDEX(JupData!$A$2:$K$10000,MATCH($A803&amp;O$1,JupData!$A$2:$A$10000&amp;JupData!$J$2:$J$10000,0),11))</f>
        <v/>
      </c>
      <c r="P803" t="str">
        <f t="array" ref="P803">IF($A803="","",INDEX(JupData!$A$2:$K$10000,MATCH($A803&amp;P$1,JupData!$A$2:$A$10000&amp;JupData!$J$2:$J$10000,0),11))</f>
        <v/>
      </c>
      <c r="Q803" t="str">
        <f t="array" ref="Q803">IF($A803="","",INDEX(JupData!$A$2:$K$10000,MATCH($A803&amp;Q$1,JupData!$A$2:$A$10000&amp;JupData!$J$2:$J$10000,0),11))</f>
        <v/>
      </c>
      <c r="R803" t="str">
        <f t="array" ref="R803">IF($A803="","",INDEX(JupData!$A$2:$K$10000,MATCH($A803&amp;R$1,JupData!$A$2:$A$10000&amp;JupData!$J$2:$J$10000,0),11))</f>
        <v/>
      </c>
      <c r="S803" t="str">
        <f t="array" ref="S803">IF($A803="","",INDEX(JupData!$A$2:$K$10000,MATCH($A803&amp;S$1,JupData!$A$2:$A$10000&amp;JupData!$J$2:$J$10000,0),11))</f>
        <v/>
      </c>
      <c r="T803" t="str">
        <f t="array" ref="T803">IF($A803="","",INDEX(JupData!$A$2:$K$10000,MATCH($A803&amp;T$1,JupData!$A$2:$A$10000&amp;JupData!$J$2:$J$10000,0),11))</f>
        <v/>
      </c>
      <c r="U803" t="str">
        <f t="array" ref="U803">IF($A803="","",INDEX(JupData!$A$2:$K$10000,MATCH($A803&amp;U$1,JupData!$A$2:$A$10000&amp;JupData!$J$2:$J$10000,0),11))</f>
        <v/>
      </c>
      <c r="V803" t="str">
        <f t="array" ref="V803">IF($A803="","",INDEX(JupData!$A$2:$K$10000,MATCH($A803&amp;V$1,JupData!$A$2:$A$10000&amp;JupData!$J$2:$J$10000,0),11))</f>
        <v/>
      </c>
      <c r="W803" t="str">
        <f t="array" ref="W803">IF($A803="","",INDEX(JupData!$A$2:$K$10000,MATCH($A803&amp;W$1,JupData!$A$2:$A$10000&amp;JupData!$J$2:$J$10000,0),11))</f>
        <v/>
      </c>
      <c r="X803" t="str">
        <f t="array" ref="X803">IF($A803="","",INDEX(JupData!$A$2:$K$10000,MATCH($A803&amp;X$1,JupData!$A$2:$A$10000&amp;JupData!$J$2:$J$10000,0),11))</f>
        <v/>
      </c>
      <c r="Y803" t="str">
        <f t="array" ref="Y803">IF($A803="","",INDEX(JupData!$A$2:$K$10000,MATCH($A803&amp;Y$1,JupData!$A$2:$A$10000&amp;JupData!$J$2:$J$10000,0),11))</f>
        <v/>
      </c>
      <c r="Z803" t="str">
        <f t="array" ref="Z803">IF($A803="","",INDEX(JupData!$A$2:$K$10000,MATCH($A803&amp;Z$1,JupData!$A$2:$A$10000&amp;JupData!$J$2:$J$10000,0),11))</f>
        <v/>
      </c>
      <c r="AA803" t="str">
        <f t="array" ref="AA803">IF($A803="","",INDEX(JupData!$A$2:$K$10000,MATCH($A803&amp;AA$1,JupData!$A$2:$A$10000&amp;JupData!$J$2:$J$10000,0),11))</f>
        <v/>
      </c>
      <c r="AB803" t="str">
        <f t="array" ref="AB803">IF($A803="","",INDEX(JupData!$A$2:$K$10000,MATCH($A803&amp;AB$1,JupData!$A$2:$A$10000&amp;JupData!$J$2:$J$10000,0),11))</f>
        <v/>
      </c>
      <c r="AC803" s="10" t="str">
        <f t="shared" si="132"/>
        <v/>
      </c>
      <c r="AD803" s="10" t="str">
        <f t="shared" si="133"/>
        <v/>
      </c>
      <c r="AE803" s="9" t="str">
        <f t="shared" si="134"/>
        <v/>
      </c>
      <c r="AF803" s="10" t="str">
        <f t="shared" si="135"/>
        <v/>
      </c>
      <c r="AG803" s="10" t="str">
        <f t="shared" si="136"/>
        <v/>
      </c>
      <c r="AH803" s="10" t="str">
        <f t="shared" si="137"/>
        <v/>
      </c>
      <c r="AI803" s="10" t="str">
        <f t="shared" si="138"/>
        <v/>
      </c>
      <c r="AJ803" s="10" t="str">
        <f t="shared" si="139"/>
        <v/>
      </c>
      <c r="AK803" s="10" t="str">
        <f t="shared" si="140"/>
        <v/>
      </c>
      <c r="AL803" s="14" t="str">
        <f t="shared" si="141"/>
        <v/>
      </c>
    </row>
    <row r="804" spans="1:38" x14ac:dyDescent="0.2">
      <c r="A804"/>
      <c r="B804" t="str">
        <f>IF($A804="","",VLOOKUP($A804,JupData!$A$2:$I$10000,4,FALSE))</f>
        <v/>
      </c>
      <c r="C804" s="7" t="str">
        <f>IF($A804="",IF(N(D804),0,""),VLOOKUP($A804,JupData!$A$2:$I$10000,7,FALSE))</f>
        <v/>
      </c>
      <c r="D804" t="str">
        <f t="shared" si="142"/>
        <v/>
      </c>
      <c r="E804" t="str">
        <f t="array" ref="E804">IF($A804="","",INDEX(JupData!$A$2:$K$10000,MATCH($A804&amp;E$1,JupData!$A$2:$A$10000&amp;JupData!$J$2:$J$10000,0),11))</f>
        <v/>
      </c>
      <c r="F804" t="str">
        <f t="array" ref="F804">IF($A804="","",INDEX(JupData!$A$2:$K$10000,MATCH($A804&amp;F$1,JupData!$A$2:$A$10000&amp;JupData!$J$2:$J$10000,0),11))</f>
        <v/>
      </c>
      <c r="G804" t="str">
        <f t="array" ref="G804">IF($A804="","",INDEX(JupData!$A$2:$K$10000,MATCH($A804&amp;G$1,JupData!$A$2:$A$10000&amp;JupData!$J$2:$J$10000,0),11))</f>
        <v/>
      </c>
      <c r="H804" t="str">
        <f t="array" ref="H804">IF($A804="","",INDEX(JupData!$A$2:$K$10000,MATCH($A804&amp;H$1,JupData!$A$2:$A$10000&amp;JupData!$J$2:$J$10000,0),11))</f>
        <v/>
      </c>
      <c r="I804" t="str">
        <f t="array" ref="I804">IF($A804="","",INDEX(JupData!$A$2:$K$10000,MATCH($A804&amp;I$1,JupData!$A$2:$A$10000&amp;JupData!$J$2:$J$10000,0),11))</f>
        <v/>
      </c>
      <c r="J804" t="str">
        <f t="array" ref="J804">IF($A804="","",INDEX(JupData!$A$2:$K$10000,MATCH($A804&amp;J$1,JupData!$A$2:$A$10000&amp;JupData!$J$2:$J$10000,0),11))</f>
        <v/>
      </c>
      <c r="K804" t="str">
        <f t="array" ref="K804">IF($A804="","",INDEX(JupData!$A$2:$K$10000,MATCH($A804&amp;K$1,JupData!$A$2:$A$10000&amp;JupData!$J$2:$J$10000,0),11))</f>
        <v/>
      </c>
      <c r="L804" t="str">
        <f t="array" ref="L804">IF($A804="","",INDEX(JupData!$A$2:$K$10000,MATCH($A804&amp;L$1,JupData!$A$2:$A$10000&amp;JupData!$J$2:$J$10000,0),11))</f>
        <v/>
      </c>
      <c r="M804" t="str">
        <f t="array" ref="M804">IF($A804="","",INDEX(JupData!$A$2:$K$10000,MATCH($A804&amp;M$1,JupData!$A$2:$A$10000&amp;JupData!$J$2:$J$10000,0),11))</f>
        <v/>
      </c>
      <c r="N804" t="str">
        <f t="array" ref="N804">IF($A804="","",INDEX(JupData!$A$2:$K$10000,MATCH($A804&amp;N$1,JupData!$A$2:$A$10000&amp;JupData!$J$2:$J$10000,0),11))</f>
        <v/>
      </c>
      <c r="O804" t="str">
        <f t="array" ref="O804">IF($A804="","",INDEX(JupData!$A$2:$K$10000,MATCH($A804&amp;O$1,JupData!$A$2:$A$10000&amp;JupData!$J$2:$J$10000,0),11))</f>
        <v/>
      </c>
      <c r="P804" t="str">
        <f t="array" ref="P804">IF($A804="","",INDEX(JupData!$A$2:$K$10000,MATCH($A804&amp;P$1,JupData!$A$2:$A$10000&amp;JupData!$J$2:$J$10000,0),11))</f>
        <v/>
      </c>
      <c r="Q804" t="str">
        <f t="array" ref="Q804">IF($A804="","",INDEX(JupData!$A$2:$K$10000,MATCH($A804&amp;Q$1,JupData!$A$2:$A$10000&amp;JupData!$J$2:$J$10000,0),11))</f>
        <v/>
      </c>
      <c r="R804" t="str">
        <f t="array" ref="R804">IF($A804="","",INDEX(JupData!$A$2:$K$10000,MATCH($A804&amp;R$1,JupData!$A$2:$A$10000&amp;JupData!$J$2:$J$10000,0),11))</f>
        <v/>
      </c>
      <c r="S804" t="str">
        <f t="array" ref="S804">IF($A804="","",INDEX(JupData!$A$2:$K$10000,MATCH($A804&amp;S$1,JupData!$A$2:$A$10000&amp;JupData!$J$2:$J$10000,0),11))</f>
        <v/>
      </c>
      <c r="T804" t="str">
        <f t="array" ref="T804">IF($A804="","",INDEX(JupData!$A$2:$K$10000,MATCH($A804&amp;T$1,JupData!$A$2:$A$10000&amp;JupData!$J$2:$J$10000,0),11))</f>
        <v/>
      </c>
      <c r="U804" t="str">
        <f t="array" ref="U804">IF($A804="","",INDEX(JupData!$A$2:$K$10000,MATCH($A804&amp;U$1,JupData!$A$2:$A$10000&amp;JupData!$J$2:$J$10000,0),11))</f>
        <v/>
      </c>
      <c r="V804" t="str">
        <f t="array" ref="V804">IF($A804="","",INDEX(JupData!$A$2:$K$10000,MATCH($A804&amp;V$1,JupData!$A$2:$A$10000&amp;JupData!$J$2:$J$10000,0),11))</f>
        <v/>
      </c>
      <c r="W804" t="str">
        <f t="array" ref="W804">IF($A804="","",INDEX(JupData!$A$2:$K$10000,MATCH($A804&amp;W$1,JupData!$A$2:$A$10000&amp;JupData!$J$2:$J$10000,0),11))</f>
        <v/>
      </c>
      <c r="X804" t="str">
        <f t="array" ref="X804">IF($A804="","",INDEX(JupData!$A$2:$K$10000,MATCH($A804&amp;X$1,JupData!$A$2:$A$10000&amp;JupData!$J$2:$J$10000,0),11))</f>
        <v/>
      </c>
      <c r="Y804" t="str">
        <f t="array" ref="Y804">IF($A804="","",INDEX(JupData!$A$2:$K$10000,MATCH($A804&amp;Y$1,JupData!$A$2:$A$10000&amp;JupData!$J$2:$J$10000,0),11))</f>
        <v/>
      </c>
      <c r="Z804" t="str">
        <f t="array" ref="Z804">IF($A804="","",INDEX(JupData!$A$2:$K$10000,MATCH($A804&amp;Z$1,JupData!$A$2:$A$10000&amp;JupData!$J$2:$J$10000,0),11))</f>
        <v/>
      </c>
      <c r="AA804" t="str">
        <f t="array" ref="AA804">IF($A804="","",INDEX(JupData!$A$2:$K$10000,MATCH($A804&amp;AA$1,JupData!$A$2:$A$10000&amp;JupData!$J$2:$J$10000,0),11))</f>
        <v/>
      </c>
      <c r="AB804" t="str">
        <f t="array" ref="AB804">IF($A804="","",INDEX(JupData!$A$2:$K$10000,MATCH($A804&amp;AB$1,JupData!$A$2:$A$10000&amp;JupData!$J$2:$J$10000,0),11))</f>
        <v/>
      </c>
      <c r="AC804" s="10" t="str">
        <f t="shared" si="132"/>
        <v/>
      </c>
      <c r="AD804" s="10" t="str">
        <f t="shared" si="133"/>
        <v/>
      </c>
      <c r="AE804" s="9" t="str">
        <f t="shared" si="134"/>
        <v/>
      </c>
      <c r="AF804" s="10" t="str">
        <f t="shared" si="135"/>
        <v/>
      </c>
      <c r="AG804" s="10" t="str">
        <f t="shared" si="136"/>
        <v/>
      </c>
      <c r="AH804" s="10" t="str">
        <f t="shared" si="137"/>
        <v/>
      </c>
      <c r="AI804" s="10" t="str">
        <f t="shared" si="138"/>
        <v/>
      </c>
      <c r="AJ804" s="10" t="str">
        <f t="shared" si="139"/>
        <v/>
      </c>
      <c r="AK804" s="10" t="str">
        <f t="shared" si="140"/>
        <v/>
      </c>
      <c r="AL804" s="14" t="str">
        <f t="shared" si="141"/>
        <v/>
      </c>
    </row>
    <row r="805" spans="1:38" x14ac:dyDescent="0.2">
      <c r="A805"/>
      <c r="B805" t="str">
        <f>IF($A805="","",VLOOKUP($A805,JupData!$A$2:$I$10000,4,FALSE))</f>
        <v/>
      </c>
      <c r="C805" s="7" t="str">
        <f>IF($A805="",IF(N(D805),0,""),VLOOKUP($A805,JupData!$A$2:$I$10000,7,FALSE))</f>
        <v/>
      </c>
      <c r="D805" t="str">
        <f t="shared" si="142"/>
        <v/>
      </c>
      <c r="E805" t="str">
        <f t="array" ref="E805">IF($A805="","",INDEX(JupData!$A$2:$K$10000,MATCH($A805&amp;E$1,JupData!$A$2:$A$10000&amp;JupData!$J$2:$J$10000,0),11))</f>
        <v/>
      </c>
      <c r="F805" t="str">
        <f t="array" ref="F805">IF($A805="","",INDEX(JupData!$A$2:$K$10000,MATCH($A805&amp;F$1,JupData!$A$2:$A$10000&amp;JupData!$J$2:$J$10000,0),11))</f>
        <v/>
      </c>
      <c r="G805" t="str">
        <f t="array" ref="G805">IF($A805="","",INDEX(JupData!$A$2:$K$10000,MATCH($A805&amp;G$1,JupData!$A$2:$A$10000&amp;JupData!$J$2:$J$10000,0),11))</f>
        <v/>
      </c>
      <c r="H805" t="str">
        <f t="array" ref="H805">IF($A805="","",INDEX(JupData!$A$2:$K$10000,MATCH($A805&amp;H$1,JupData!$A$2:$A$10000&amp;JupData!$J$2:$J$10000,0),11))</f>
        <v/>
      </c>
      <c r="I805" t="str">
        <f t="array" ref="I805">IF($A805="","",INDEX(JupData!$A$2:$K$10000,MATCH($A805&amp;I$1,JupData!$A$2:$A$10000&amp;JupData!$J$2:$J$10000,0),11))</f>
        <v/>
      </c>
      <c r="J805" t="str">
        <f t="array" ref="J805">IF($A805="","",INDEX(JupData!$A$2:$K$10000,MATCH($A805&amp;J$1,JupData!$A$2:$A$10000&amp;JupData!$J$2:$J$10000,0),11))</f>
        <v/>
      </c>
      <c r="K805" t="str">
        <f t="array" ref="K805">IF($A805="","",INDEX(JupData!$A$2:$K$10000,MATCH($A805&amp;K$1,JupData!$A$2:$A$10000&amp;JupData!$J$2:$J$10000,0),11))</f>
        <v/>
      </c>
      <c r="L805" t="str">
        <f t="array" ref="L805">IF($A805="","",INDEX(JupData!$A$2:$K$10000,MATCH($A805&amp;L$1,JupData!$A$2:$A$10000&amp;JupData!$J$2:$J$10000,0),11))</f>
        <v/>
      </c>
      <c r="M805" t="str">
        <f t="array" ref="M805">IF($A805="","",INDEX(JupData!$A$2:$K$10000,MATCH($A805&amp;M$1,JupData!$A$2:$A$10000&amp;JupData!$J$2:$J$10000,0),11))</f>
        <v/>
      </c>
      <c r="N805" t="str">
        <f t="array" ref="N805">IF($A805="","",INDEX(JupData!$A$2:$K$10000,MATCH($A805&amp;N$1,JupData!$A$2:$A$10000&amp;JupData!$J$2:$J$10000,0),11))</f>
        <v/>
      </c>
      <c r="O805" t="str">
        <f t="array" ref="O805">IF($A805="","",INDEX(JupData!$A$2:$K$10000,MATCH($A805&amp;O$1,JupData!$A$2:$A$10000&amp;JupData!$J$2:$J$10000,0),11))</f>
        <v/>
      </c>
      <c r="P805" t="str">
        <f t="array" ref="P805">IF($A805="","",INDEX(JupData!$A$2:$K$10000,MATCH($A805&amp;P$1,JupData!$A$2:$A$10000&amp;JupData!$J$2:$J$10000,0),11))</f>
        <v/>
      </c>
      <c r="Q805" t="str">
        <f t="array" ref="Q805">IF($A805="","",INDEX(JupData!$A$2:$K$10000,MATCH($A805&amp;Q$1,JupData!$A$2:$A$10000&amp;JupData!$J$2:$J$10000,0),11))</f>
        <v/>
      </c>
      <c r="R805" t="str">
        <f t="array" ref="R805">IF($A805="","",INDEX(JupData!$A$2:$K$10000,MATCH($A805&amp;R$1,JupData!$A$2:$A$10000&amp;JupData!$J$2:$J$10000,0),11))</f>
        <v/>
      </c>
      <c r="S805" t="str">
        <f t="array" ref="S805">IF($A805="","",INDEX(JupData!$A$2:$K$10000,MATCH($A805&amp;S$1,JupData!$A$2:$A$10000&amp;JupData!$J$2:$J$10000,0),11))</f>
        <v/>
      </c>
      <c r="T805" t="str">
        <f t="array" ref="T805">IF($A805="","",INDEX(JupData!$A$2:$K$10000,MATCH($A805&amp;T$1,JupData!$A$2:$A$10000&amp;JupData!$J$2:$J$10000,0),11))</f>
        <v/>
      </c>
      <c r="U805" t="str">
        <f t="array" ref="U805">IF($A805="","",INDEX(JupData!$A$2:$K$10000,MATCH($A805&amp;U$1,JupData!$A$2:$A$10000&amp;JupData!$J$2:$J$10000,0),11))</f>
        <v/>
      </c>
      <c r="V805" t="str">
        <f t="array" ref="V805">IF($A805="","",INDEX(JupData!$A$2:$K$10000,MATCH($A805&amp;V$1,JupData!$A$2:$A$10000&amp;JupData!$J$2:$J$10000,0),11))</f>
        <v/>
      </c>
      <c r="W805" t="str">
        <f t="array" ref="W805">IF($A805="","",INDEX(JupData!$A$2:$K$10000,MATCH($A805&amp;W$1,JupData!$A$2:$A$10000&amp;JupData!$J$2:$J$10000,0),11))</f>
        <v/>
      </c>
      <c r="X805" t="str">
        <f t="array" ref="X805">IF($A805="","",INDEX(JupData!$A$2:$K$10000,MATCH($A805&amp;X$1,JupData!$A$2:$A$10000&amp;JupData!$J$2:$J$10000,0),11))</f>
        <v/>
      </c>
      <c r="Y805" t="str">
        <f t="array" ref="Y805">IF($A805="","",INDEX(JupData!$A$2:$K$10000,MATCH($A805&amp;Y$1,JupData!$A$2:$A$10000&amp;JupData!$J$2:$J$10000,0),11))</f>
        <v/>
      </c>
      <c r="Z805" t="str">
        <f t="array" ref="Z805">IF($A805="","",INDEX(JupData!$A$2:$K$10000,MATCH($A805&amp;Z$1,JupData!$A$2:$A$10000&amp;JupData!$J$2:$J$10000,0),11))</f>
        <v/>
      </c>
      <c r="AA805" t="str">
        <f t="array" ref="AA805">IF($A805="","",INDEX(JupData!$A$2:$K$10000,MATCH($A805&amp;AA$1,JupData!$A$2:$A$10000&amp;JupData!$J$2:$J$10000,0),11))</f>
        <v/>
      </c>
      <c r="AB805" t="str">
        <f t="array" ref="AB805">IF($A805="","",INDEX(JupData!$A$2:$K$10000,MATCH($A805&amp;AB$1,JupData!$A$2:$A$10000&amp;JupData!$J$2:$J$10000,0),11))</f>
        <v/>
      </c>
      <c r="AC805" s="10" t="str">
        <f t="shared" si="132"/>
        <v/>
      </c>
      <c r="AD805" s="10" t="str">
        <f t="shared" si="133"/>
        <v/>
      </c>
      <c r="AE805" s="9" t="str">
        <f t="shared" si="134"/>
        <v/>
      </c>
      <c r="AF805" s="10" t="str">
        <f t="shared" si="135"/>
        <v/>
      </c>
      <c r="AG805" s="10" t="str">
        <f t="shared" si="136"/>
        <v/>
      </c>
      <c r="AH805" s="10" t="str">
        <f t="shared" si="137"/>
        <v/>
      </c>
      <c r="AI805" s="10" t="str">
        <f t="shared" si="138"/>
        <v/>
      </c>
      <c r="AJ805" s="10" t="str">
        <f t="shared" si="139"/>
        <v/>
      </c>
      <c r="AK805" s="10" t="str">
        <f t="shared" si="140"/>
        <v/>
      </c>
      <c r="AL805" s="14" t="str">
        <f t="shared" si="141"/>
        <v/>
      </c>
    </row>
    <row r="806" spans="1:38" x14ac:dyDescent="0.2">
      <c r="A806"/>
      <c r="B806" t="str">
        <f>IF($A806="","",VLOOKUP($A806,JupData!$A$2:$I$10000,4,FALSE))</f>
        <v/>
      </c>
      <c r="C806" s="7" t="str">
        <f>IF($A806="",IF(N(D806),0,""),VLOOKUP($A806,JupData!$A$2:$I$10000,7,FALSE))</f>
        <v/>
      </c>
      <c r="D806" t="str">
        <f t="shared" si="142"/>
        <v/>
      </c>
      <c r="E806" t="str">
        <f t="array" ref="E806">IF($A806="","",INDEX(JupData!$A$2:$K$10000,MATCH($A806&amp;E$1,JupData!$A$2:$A$10000&amp;JupData!$J$2:$J$10000,0),11))</f>
        <v/>
      </c>
      <c r="F806" t="str">
        <f t="array" ref="F806">IF($A806="","",INDEX(JupData!$A$2:$K$10000,MATCH($A806&amp;F$1,JupData!$A$2:$A$10000&amp;JupData!$J$2:$J$10000,0),11))</f>
        <v/>
      </c>
      <c r="G806" t="str">
        <f t="array" ref="G806">IF($A806="","",INDEX(JupData!$A$2:$K$10000,MATCH($A806&amp;G$1,JupData!$A$2:$A$10000&amp;JupData!$J$2:$J$10000,0),11))</f>
        <v/>
      </c>
      <c r="H806" t="str">
        <f t="array" ref="H806">IF($A806="","",INDEX(JupData!$A$2:$K$10000,MATCH($A806&amp;H$1,JupData!$A$2:$A$10000&amp;JupData!$J$2:$J$10000,0),11))</f>
        <v/>
      </c>
      <c r="I806" t="str">
        <f t="array" ref="I806">IF($A806="","",INDEX(JupData!$A$2:$K$10000,MATCH($A806&amp;I$1,JupData!$A$2:$A$10000&amp;JupData!$J$2:$J$10000,0),11))</f>
        <v/>
      </c>
      <c r="J806" t="str">
        <f t="array" ref="J806">IF($A806="","",INDEX(JupData!$A$2:$K$10000,MATCH($A806&amp;J$1,JupData!$A$2:$A$10000&amp;JupData!$J$2:$J$10000,0),11))</f>
        <v/>
      </c>
      <c r="K806" t="str">
        <f t="array" ref="K806">IF($A806="","",INDEX(JupData!$A$2:$K$10000,MATCH($A806&amp;K$1,JupData!$A$2:$A$10000&amp;JupData!$J$2:$J$10000,0),11))</f>
        <v/>
      </c>
      <c r="L806" t="str">
        <f t="array" ref="L806">IF($A806="","",INDEX(JupData!$A$2:$K$10000,MATCH($A806&amp;L$1,JupData!$A$2:$A$10000&amp;JupData!$J$2:$J$10000,0),11))</f>
        <v/>
      </c>
      <c r="M806" t="str">
        <f t="array" ref="M806">IF($A806="","",INDEX(JupData!$A$2:$K$10000,MATCH($A806&amp;M$1,JupData!$A$2:$A$10000&amp;JupData!$J$2:$J$10000,0),11))</f>
        <v/>
      </c>
      <c r="N806" t="str">
        <f t="array" ref="N806">IF($A806="","",INDEX(JupData!$A$2:$K$10000,MATCH($A806&amp;N$1,JupData!$A$2:$A$10000&amp;JupData!$J$2:$J$10000,0),11))</f>
        <v/>
      </c>
      <c r="O806" t="str">
        <f t="array" ref="O806">IF($A806="","",INDEX(JupData!$A$2:$K$10000,MATCH($A806&amp;O$1,JupData!$A$2:$A$10000&amp;JupData!$J$2:$J$10000,0),11))</f>
        <v/>
      </c>
      <c r="P806" t="str">
        <f t="array" ref="P806">IF($A806="","",INDEX(JupData!$A$2:$K$10000,MATCH($A806&amp;P$1,JupData!$A$2:$A$10000&amp;JupData!$J$2:$J$10000,0),11))</f>
        <v/>
      </c>
      <c r="Q806" t="str">
        <f t="array" ref="Q806">IF($A806="","",INDEX(JupData!$A$2:$K$10000,MATCH($A806&amp;Q$1,JupData!$A$2:$A$10000&amp;JupData!$J$2:$J$10000,0),11))</f>
        <v/>
      </c>
      <c r="R806" t="str">
        <f t="array" ref="R806">IF($A806="","",INDEX(JupData!$A$2:$K$10000,MATCH($A806&amp;R$1,JupData!$A$2:$A$10000&amp;JupData!$J$2:$J$10000,0),11))</f>
        <v/>
      </c>
      <c r="S806" t="str">
        <f t="array" ref="S806">IF($A806="","",INDEX(JupData!$A$2:$K$10000,MATCH($A806&amp;S$1,JupData!$A$2:$A$10000&amp;JupData!$J$2:$J$10000,0),11))</f>
        <v/>
      </c>
      <c r="T806" t="str">
        <f t="array" ref="T806">IF($A806="","",INDEX(JupData!$A$2:$K$10000,MATCH($A806&amp;T$1,JupData!$A$2:$A$10000&amp;JupData!$J$2:$J$10000,0),11))</f>
        <v/>
      </c>
      <c r="U806" t="str">
        <f t="array" ref="U806">IF($A806="","",INDEX(JupData!$A$2:$K$10000,MATCH($A806&amp;U$1,JupData!$A$2:$A$10000&amp;JupData!$J$2:$J$10000,0),11))</f>
        <v/>
      </c>
      <c r="V806" t="str">
        <f t="array" ref="V806">IF($A806="","",INDEX(JupData!$A$2:$K$10000,MATCH($A806&amp;V$1,JupData!$A$2:$A$10000&amp;JupData!$J$2:$J$10000,0),11))</f>
        <v/>
      </c>
      <c r="W806" t="str">
        <f t="array" ref="W806">IF($A806="","",INDEX(JupData!$A$2:$K$10000,MATCH($A806&amp;W$1,JupData!$A$2:$A$10000&amp;JupData!$J$2:$J$10000,0),11))</f>
        <v/>
      </c>
      <c r="X806" t="str">
        <f t="array" ref="X806">IF($A806="","",INDEX(JupData!$A$2:$K$10000,MATCH($A806&amp;X$1,JupData!$A$2:$A$10000&amp;JupData!$J$2:$J$10000,0),11))</f>
        <v/>
      </c>
      <c r="Y806" t="str">
        <f t="array" ref="Y806">IF($A806="","",INDEX(JupData!$A$2:$K$10000,MATCH($A806&amp;Y$1,JupData!$A$2:$A$10000&amp;JupData!$J$2:$J$10000,0),11))</f>
        <v/>
      </c>
      <c r="Z806" t="str">
        <f t="array" ref="Z806">IF($A806="","",INDEX(JupData!$A$2:$K$10000,MATCH($A806&amp;Z$1,JupData!$A$2:$A$10000&amp;JupData!$J$2:$J$10000,0),11))</f>
        <v/>
      </c>
      <c r="AA806" t="str">
        <f t="array" ref="AA806">IF($A806="","",INDEX(JupData!$A$2:$K$10000,MATCH($A806&amp;AA$1,JupData!$A$2:$A$10000&amp;JupData!$J$2:$J$10000,0),11))</f>
        <v/>
      </c>
      <c r="AB806" t="str">
        <f t="array" ref="AB806">IF($A806="","",INDEX(JupData!$A$2:$K$10000,MATCH($A806&amp;AB$1,JupData!$A$2:$A$10000&amp;JupData!$J$2:$J$10000,0),11))</f>
        <v/>
      </c>
      <c r="AC806" s="10" t="str">
        <f t="shared" si="132"/>
        <v/>
      </c>
      <c r="AD806" s="10" t="str">
        <f t="shared" si="133"/>
        <v/>
      </c>
      <c r="AE806" s="9" t="str">
        <f t="shared" si="134"/>
        <v/>
      </c>
      <c r="AF806" s="10" t="str">
        <f t="shared" si="135"/>
        <v/>
      </c>
      <c r="AG806" s="10" t="str">
        <f t="shared" si="136"/>
        <v/>
      </c>
      <c r="AH806" s="10" t="str">
        <f t="shared" si="137"/>
        <v/>
      </c>
      <c r="AI806" s="10" t="str">
        <f t="shared" si="138"/>
        <v/>
      </c>
      <c r="AJ806" s="10" t="str">
        <f t="shared" si="139"/>
        <v/>
      </c>
      <c r="AK806" s="10" t="str">
        <f t="shared" si="140"/>
        <v/>
      </c>
      <c r="AL806" s="14" t="str">
        <f t="shared" si="141"/>
        <v/>
      </c>
    </row>
    <row r="807" spans="1:38" x14ac:dyDescent="0.2">
      <c r="A807"/>
      <c r="B807" t="str">
        <f>IF($A807="","",VLOOKUP($A807,JupData!$A$2:$I$10000,4,FALSE))</f>
        <v/>
      </c>
      <c r="C807" s="7" t="str">
        <f>IF($A807="",IF(N(D807),0,""),VLOOKUP($A807,JupData!$A$2:$I$10000,7,FALSE))</f>
        <v/>
      </c>
      <c r="D807" t="str">
        <f t="shared" si="142"/>
        <v/>
      </c>
      <c r="E807" t="str">
        <f t="array" ref="E807">IF($A807="","",INDEX(JupData!$A$2:$K$10000,MATCH($A807&amp;E$1,JupData!$A$2:$A$10000&amp;JupData!$J$2:$J$10000,0),11))</f>
        <v/>
      </c>
      <c r="F807" t="str">
        <f t="array" ref="F807">IF($A807="","",INDEX(JupData!$A$2:$K$10000,MATCH($A807&amp;F$1,JupData!$A$2:$A$10000&amp;JupData!$J$2:$J$10000,0),11))</f>
        <v/>
      </c>
      <c r="G807" t="str">
        <f t="array" ref="G807">IF($A807="","",INDEX(JupData!$A$2:$K$10000,MATCH($A807&amp;G$1,JupData!$A$2:$A$10000&amp;JupData!$J$2:$J$10000,0),11))</f>
        <v/>
      </c>
      <c r="H807" t="str">
        <f t="array" ref="H807">IF($A807="","",INDEX(JupData!$A$2:$K$10000,MATCH($A807&amp;H$1,JupData!$A$2:$A$10000&amp;JupData!$J$2:$J$10000,0),11))</f>
        <v/>
      </c>
      <c r="I807" t="str">
        <f t="array" ref="I807">IF($A807="","",INDEX(JupData!$A$2:$K$10000,MATCH($A807&amp;I$1,JupData!$A$2:$A$10000&amp;JupData!$J$2:$J$10000,0),11))</f>
        <v/>
      </c>
      <c r="J807" t="str">
        <f t="array" ref="J807">IF($A807="","",INDEX(JupData!$A$2:$K$10000,MATCH($A807&amp;J$1,JupData!$A$2:$A$10000&amp;JupData!$J$2:$J$10000,0),11))</f>
        <v/>
      </c>
      <c r="K807" t="str">
        <f t="array" ref="K807">IF($A807="","",INDEX(JupData!$A$2:$K$10000,MATCH($A807&amp;K$1,JupData!$A$2:$A$10000&amp;JupData!$J$2:$J$10000,0),11))</f>
        <v/>
      </c>
      <c r="L807" t="str">
        <f t="array" ref="L807">IF($A807="","",INDEX(JupData!$A$2:$K$10000,MATCH($A807&amp;L$1,JupData!$A$2:$A$10000&amp;JupData!$J$2:$J$10000,0),11))</f>
        <v/>
      </c>
      <c r="M807" t="str">
        <f t="array" ref="M807">IF($A807="","",INDEX(JupData!$A$2:$K$10000,MATCH($A807&amp;M$1,JupData!$A$2:$A$10000&amp;JupData!$J$2:$J$10000,0),11))</f>
        <v/>
      </c>
      <c r="N807" t="str">
        <f t="array" ref="N807">IF($A807="","",INDEX(JupData!$A$2:$K$10000,MATCH($A807&amp;N$1,JupData!$A$2:$A$10000&amp;JupData!$J$2:$J$10000,0),11))</f>
        <v/>
      </c>
      <c r="O807" t="str">
        <f t="array" ref="O807">IF($A807="","",INDEX(JupData!$A$2:$K$10000,MATCH($A807&amp;O$1,JupData!$A$2:$A$10000&amp;JupData!$J$2:$J$10000,0),11))</f>
        <v/>
      </c>
      <c r="P807" t="str">
        <f t="array" ref="P807">IF($A807="","",INDEX(JupData!$A$2:$K$10000,MATCH($A807&amp;P$1,JupData!$A$2:$A$10000&amp;JupData!$J$2:$J$10000,0),11))</f>
        <v/>
      </c>
      <c r="Q807" t="str">
        <f t="array" ref="Q807">IF($A807="","",INDEX(JupData!$A$2:$K$10000,MATCH($A807&amp;Q$1,JupData!$A$2:$A$10000&amp;JupData!$J$2:$J$10000,0),11))</f>
        <v/>
      </c>
      <c r="R807" t="str">
        <f t="array" ref="R807">IF($A807="","",INDEX(JupData!$A$2:$K$10000,MATCH($A807&amp;R$1,JupData!$A$2:$A$10000&amp;JupData!$J$2:$J$10000,0),11))</f>
        <v/>
      </c>
      <c r="S807" t="str">
        <f t="array" ref="S807">IF($A807="","",INDEX(JupData!$A$2:$K$10000,MATCH($A807&amp;S$1,JupData!$A$2:$A$10000&amp;JupData!$J$2:$J$10000,0),11))</f>
        <v/>
      </c>
      <c r="T807" t="str">
        <f t="array" ref="T807">IF($A807="","",INDEX(JupData!$A$2:$K$10000,MATCH($A807&amp;T$1,JupData!$A$2:$A$10000&amp;JupData!$J$2:$J$10000,0),11))</f>
        <v/>
      </c>
      <c r="U807" t="str">
        <f t="array" ref="U807">IF($A807="","",INDEX(JupData!$A$2:$K$10000,MATCH($A807&amp;U$1,JupData!$A$2:$A$10000&amp;JupData!$J$2:$J$10000,0),11))</f>
        <v/>
      </c>
      <c r="V807" t="str">
        <f t="array" ref="V807">IF($A807="","",INDEX(JupData!$A$2:$K$10000,MATCH($A807&amp;V$1,JupData!$A$2:$A$10000&amp;JupData!$J$2:$J$10000,0),11))</f>
        <v/>
      </c>
      <c r="W807" t="str">
        <f t="array" ref="W807">IF($A807="","",INDEX(JupData!$A$2:$K$10000,MATCH($A807&amp;W$1,JupData!$A$2:$A$10000&amp;JupData!$J$2:$J$10000,0),11))</f>
        <v/>
      </c>
      <c r="X807" t="str">
        <f t="array" ref="X807">IF($A807="","",INDEX(JupData!$A$2:$K$10000,MATCH($A807&amp;X$1,JupData!$A$2:$A$10000&amp;JupData!$J$2:$J$10000,0),11))</f>
        <v/>
      </c>
      <c r="Y807" t="str">
        <f t="array" ref="Y807">IF($A807="","",INDEX(JupData!$A$2:$K$10000,MATCH($A807&amp;Y$1,JupData!$A$2:$A$10000&amp;JupData!$J$2:$J$10000,0),11))</f>
        <v/>
      </c>
      <c r="Z807" t="str">
        <f t="array" ref="Z807">IF($A807="","",INDEX(JupData!$A$2:$K$10000,MATCH($A807&amp;Z$1,JupData!$A$2:$A$10000&amp;JupData!$J$2:$J$10000,0),11))</f>
        <v/>
      </c>
      <c r="AA807" t="str">
        <f t="array" ref="AA807">IF($A807="","",INDEX(JupData!$A$2:$K$10000,MATCH($A807&amp;AA$1,JupData!$A$2:$A$10000&amp;JupData!$J$2:$J$10000,0),11))</f>
        <v/>
      </c>
      <c r="AB807" t="str">
        <f t="array" ref="AB807">IF($A807="","",INDEX(JupData!$A$2:$K$10000,MATCH($A807&amp;AB$1,JupData!$A$2:$A$10000&amp;JupData!$J$2:$J$10000,0),11))</f>
        <v/>
      </c>
      <c r="AC807" s="10" t="str">
        <f t="shared" si="132"/>
        <v/>
      </c>
      <c r="AD807" s="10" t="str">
        <f t="shared" si="133"/>
        <v/>
      </c>
      <c r="AE807" s="9" t="str">
        <f t="shared" si="134"/>
        <v/>
      </c>
      <c r="AF807" s="10" t="str">
        <f t="shared" si="135"/>
        <v/>
      </c>
      <c r="AG807" s="10" t="str">
        <f t="shared" si="136"/>
        <v/>
      </c>
      <c r="AH807" s="10" t="str">
        <f t="shared" si="137"/>
        <v/>
      </c>
      <c r="AI807" s="10" t="str">
        <f t="shared" si="138"/>
        <v/>
      </c>
      <c r="AJ807" s="10" t="str">
        <f t="shared" si="139"/>
        <v/>
      </c>
      <c r="AK807" s="10" t="str">
        <f t="shared" si="140"/>
        <v/>
      </c>
      <c r="AL807" s="14" t="str">
        <f t="shared" si="141"/>
        <v/>
      </c>
    </row>
    <row r="808" spans="1:38" x14ac:dyDescent="0.2">
      <c r="A808"/>
      <c r="B808" t="str">
        <f>IF($A808="","",VLOOKUP($A808,JupData!$A$2:$I$10000,4,FALSE))</f>
        <v/>
      </c>
      <c r="C808" s="7" t="str">
        <f>IF($A808="",IF(N(D808),0,""),VLOOKUP($A808,JupData!$A$2:$I$10000,7,FALSE))</f>
        <v/>
      </c>
      <c r="D808" t="str">
        <f t="shared" si="142"/>
        <v/>
      </c>
      <c r="E808" t="str">
        <f t="array" ref="E808">IF($A808="","",INDEX(JupData!$A$2:$K$10000,MATCH($A808&amp;E$1,JupData!$A$2:$A$10000&amp;JupData!$J$2:$J$10000,0),11))</f>
        <v/>
      </c>
      <c r="F808" t="str">
        <f t="array" ref="F808">IF($A808="","",INDEX(JupData!$A$2:$K$10000,MATCH($A808&amp;F$1,JupData!$A$2:$A$10000&amp;JupData!$J$2:$J$10000,0),11))</f>
        <v/>
      </c>
      <c r="G808" t="str">
        <f t="array" ref="G808">IF($A808="","",INDEX(JupData!$A$2:$K$10000,MATCH($A808&amp;G$1,JupData!$A$2:$A$10000&amp;JupData!$J$2:$J$10000,0),11))</f>
        <v/>
      </c>
      <c r="H808" t="str">
        <f t="array" ref="H808">IF($A808="","",INDEX(JupData!$A$2:$K$10000,MATCH($A808&amp;H$1,JupData!$A$2:$A$10000&amp;JupData!$J$2:$J$10000,0),11))</f>
        <v/>
      </c>
      <c r="I808" t="str">
        <f t="array" ref="I808">IF($A808="","",INDEX(JupData!$A$2:$K$10000,MATCH($A808&amp;I$1,JupData!$A$2:$A$10000&amp;JupData!$J$2:$J$10000,0),11))</f>
        <v/>
      </c>
      <c r="J808" t="str">
        <f t="array" ref="J808">IF($A808="","",INDEX(JupData!$A$2:$K$10000,MATCH($A808&amp;J$1,JupData!$A$2:$A$10000&amp;JupData!$J$2:$J$10000,0),11))</f>
        <v/>
      </c>
      <c r="K808" t="str">
        <f t="array" ref="K808">IF($A808="","",INDEX(JupData!$A$2:$K$10000,MATCH($A808&amp;K$1,JupData!$A$2:$A$10000&amp;JupData!$J$2:$J$10000,0),11))</f>
        <v/>
      </c>
      <c r="L808" t="str">
        <f t="array" ref="L808">IF($A808="","",INDEX(JupData!$A$2:$K$10000,MATCH($A808&amp;L$1,JupData!$A$2:$A$10000&amp;JupData!$J$2:$J$10000,0),11))</f>
        <v/>
      </c>
      <c r="M808" t="str">
        <f t="array" ref="M808">IF($A808="","",INDEX(JupData!$A$2:$K$10000,MATCH($A808&amp;M$1,JupData!$A$2:$A$10000&amp;JupData!$J$2:$J$10000,0),11))</f>
        <v/>
      </c>
      <c r="N808" t="str">
        <f t="array" ref="N808">IF($A808="","",INDEX(JupData!$A$2:$K$10000,MATCH($A808&amp;N$1,JupData!$A$2:$A$10000&amp;JupData!$J$2:$J$10000,0),11))</f>
        <v/>
      </c>
      <c r="O808" t="str">
        <f t="array" ref="O808">IF($A808="","",INDEX(JupData!$A$2:$K$10000,MATCH($A808&amp;O$1,JupData!$A$2:$A$10000&amp;JupData!$J$2:$J$10000,0),11))</f>
        <v/>
      </c>
      <c r="P808" t="str">
        <f t="array" ref="P808">IF($A808="","",INDEX(JupData!$A$2:$K$10000,MATCH($A808&amp;P$1,JupData!$A$2:$A$10000&amp;JupData!$J$2:$J$10000,0),11))</f>
        <v/>
      </c>
      <c r="Q808" t="str">
        <f t="array" ref="Q808">IF($A808="","",INDEX(JupData!$A$2:$K$10000,MATCH($A808&amp;Q$1,JupData!$A$2:$A$10000&amp;JupData!$J$2:$J$10000,0),11))</f>
        <v/>
      </c>
      <c r="R808" t="str">
        <f t="array" ref="R808">IF($A808="","",INDEX(JupData!$A$2:$K$10000,MATCH($A808&amp;R$1,JupData!$A$2:$A$10000&amp;JupData!$J$2:$J$10000,0),11))</f>
        <v/>
      </c>
      <c r="S808" t="str">
        <f t="array" ref="S808">IF($A808="","",INDEX(JupData!$A$2:$K$10000,MATCH($A808&amp;S$1,JupData!$A$2:$A$10000&amp;JupData!$J$2:$J$10000,0),11))</f>
        <v/>
      </c>
      <c r="T808" t="str">
        <f t="array" ref="T808">IF($A808="","",INDEX(JupData!$A$2:$K$10000,MATCH($A808&amp;T$1,JupData!$A$2:$A$10000&amp;JupData!$J$2:$J$10000,0),11))</f>
        <v/>
      </c>
      <c r="U808" t="str">
        <f t="array" ref="U808">IF($A808="","",INDEX(JupData!$A$2:$K$10000,MATCH($A808&amp;U$1,JupData!$A$2:$A$10000&amp;JupData!$J$2:$J$10000,0),11))</f>
        <v/>
      </c>
      <c r="V808" t="str">
        <f t="array" ref="V808">IF($A808="","",INDEX(JupData!$A$2:$K$10000,MATCH($A808&amp;V$1,JupData!$A$2:$A$10000&amp;JupData!$J$2:$J$10000,0),11))</f>
        <v/>
      </c>
      <c r="W808" t="str">
        <f t="array" ref="W808">IF($A808="","",INDEX(JupData!$A$2:$K$10000,MATCH($A808&amp;W$1,JupData!$A$2:$A$10000&amp;JupData!$J$2:$J$10000,0),11))</f>
        <v/>
      </c>
      <c r="X808" t="str">
        <f t="array" ref="X808">IF($A808="","",INDEX(JupData!$A$2:$K$10000,MATCH($A808&amp;X$1,JupData!$A$2:$A$10000&amp;JupData!$J$2:$J$10000,0),11))</f>
        <v/>
      </c>
      <c r="Y808" t="str">
        <f t="array" ref="Y808">IF($A808="","",INDEX(JupData!$A$2:$K$10000,MATCH($A808&amp;Y$1,JupData!$A$2:$A$10000&amp;JupData!$J$2:$J$10000,0),11))</f>
        <v/>
      </c>
      <c r="Z808" t="str">
        <f t="array" ref="Z808">IF($A808="","",INDEX(JupData!$A$2:$K$10000,MATCH($A808&amp;Z$1,JupData!$A$2:$A$10000&amp;JupData!$J$2:$J$10000,0),11))</f>
        <v/>
      </c>
      <c r="AA808" t="str">
        <f t="array" ref="AA808">IF($A808="","",INDEX(JupData!$A$2:$K$10000,MATCH($A808&amp;AA$1,JupData!$A$2:$A$10000&amp;JupData!$J$2:$J$10000,0),11))</f>
        <v/>
      </c>
      <c r="AB808" t="str">
        <f t="array" ref="AB808">IF($A808="","",INDEX(JupData!$A$2:$K$10000,MATCH($A808&amp;AB$1,JupData!$A$2:$A$10000&amp;JupData!$J$2:$J$10000,0),11))</f>
        <v/>
      </c>
      <c r="AC808" s="10" t="str">
        <f t="shared" si="132"/>
        <v/>
      </c>
      <c r="AD808" s="10" t="str">
        <f t="shared" si="133"/>
        <v/>
      </c>
      <c r="AE808" s="9" t="str">
        <f t="shared" si="134"/>
        <v/>
      </c>
      <c r="AF808" s="10" t="str">
        <f t="shared" si="135"/>
        <v/>
      </c>
      <c r="AG808" s="10" t="str">
        <f t="shared" si="136"/>
        <v/>
      </c>
      <c r="AH808" s="10" t="str">
        <f t="shared" si="137"/>
        <v/>
      </c>
      <c r="AI808" s="10" t="str">
        <f t="shared" si="138"/>
        <v/>
      </c>
      <c r="AJ808" s="10" t="str">
        <f t="shared" si="139"/>
        <v/>
      </c>
      <c r="AK808" s="10" t="str">
        <f t="shared" si="140"/>
        <v/>
      </c>
      <c r="AL808" s="14" t="str">
        <f t="shared" si="141"/>
        <v/>
      </c>
    </row>
    <row r="809" spans="1:38" x14ac:dyDescent="0.2">
      <c r="A809"/>
      <c r="B809" t="str">
        <f>IF($A809="","",VLOOKUP($A809,JupData!$A$2:$I$10000,4,FALSE))</f>
        <v/>
      </c>
      <c r="C809" s="7" t="str">
        <f>IF($A809="",IF(N(D809),0,""),VLOOKUP($A809,JupData!$A$2:$I$10000,7,FALSE))</f>
        <v/>
      </c>
      <c r="D809" t="str">
        <f t="shared" si="142"/>
        <v/>
      </c>
      <c r="E809" t="str">
        <f t="array" ref="E809">IF($A809="","",INDEX(JupData!$A$2:$K$10000,MATCH($A809&amp;E$1,JupData!$A$2:$A$10000&amp;JupData!$J$2:$J$10000,0),11))</f>
        <v/>
      </c>
      <c r="F809" t="str">
        <f t="array" ref="F809">IF($A809="","",INDEX(JupData!$A$2:$K$10000,MATCH($A809&amp;F$1,JupData!$A$2:$A$10000&amp;JupData!$J$2:$J$10000,0),11))</f>
        <v/>
      </c>
      <c r="G809" t="str">
        <f t="array" ref="G809">IF($A809="","",INDEX(JupData!$A$2:$K$10000,MATCH($A809&amp;G$1,JupData!$A$2:$A$10000&amp;JupData!$J$2:$J$10000,0),11))</f>
        <v/>
      </c>
      <c r="H809" t="str">
        <f t="array" ref="H809">IF($A809="","",INDEX(JupData!$A$2:$K$10000,MATCH($A809&amp;H$1,JupData!$A$2:$A$10000&amp;JupData!$J$2:$J$10000,0),11))</f>
        <v/>
      </c>
      <c r="I809" t="str">
        <f t="array" ref="I809">IF($A809="","",INDEX(JupData!$A$2:$K$10000,MATCH($A809&amp;I$1,JupData!$A$2:$A$10000&amp;JupData!$J$2:$J$10000,0),11))</f>
        <v/>
      </c>
      <c r="J809" t="str">
        <f t="array" ref="J809">IF($A809="","",INDEX(JupData!$A$2:$K$10000,MATCH($A809&amp;J$1,JupData!$A$2:$A$10000&amp;JupData!$J$2:$J$10000,0),11))</f>
        <v/>
      </c>
      <c r="K809" t="str">
        <f t="array" ref="K809">IF($A809="","",INDEX(JupData!$A$2:$K$10000,MATCH($A809&amp;K$1,JupData!$A$2:$A$10000&amp;JupData!$J$2:$J$10000,0),11))</f>
        <v/>
      </c>
      <c r="L809" t="str">
        <f t="array" ref="L809">IF($A809="","",INDEX(JupData!$A$2:$K$10000,MATCH($A809&amp;L$1,JupData!$A$2:$A$10000&amp;JupData!$J$2:$J$10000,0),11))</f>
        <v/>
      </c>
      <c r="M809" t="str">
        <f t="array" ref="M809">IF($A809="","",INDEX(JupData!$A$2:$K$10000,MATCH($A809&amp;M$1,JupData!$A$2:$A$10000&amp;JupData!$J$2:$J$10000,0),11))</f>
        <v/>
      </c>
      <c r="N809" t="str">
        <f t="array" ref="N809">IF($A809="","",INDEX(JupData!$A$2:$K$10000,MATCH($A809&amp;N$1,JupData!$A$2:$A$10000&amp;JupData!$J$2:$J$10000,0),11))</f>
        <v/>
      </c>
      <c r="O809" t="str">
        <f t="array" ref="O809">IF($A809="","",INDEX(JupData!$A$2:$K$10000,MATCH($A809&amp;O$1,JupData!$A$2:$A$10000&amp;JupData!$J$2:$J$10000,0),11))</f>
        <v/>
      </c>
      <c r="P809" t="str">
        <f t="array" ref="P809">IF($A809="","",INDEX(JupData!$A$2:$K$10000,MATCH($A809&amp;P$1,JupData!$A$2:$A$10000&amp;JupData!$J$2:$J$10000,0),11))</f>
        <v/>
      </c>
      <c r="Q809" t="str">
        <f t="array" ref="Q809">IF($A809="","",INDEX(JupData!$A$2:$K$10000,MATCH($A809&amp;Q$1,JupData!$A$2:$A$10000&amp;JupData!$J$2:$J$10000,0),11))</f>
        <v/>
      </c>
      <c r="R809" t="str">
        <f t="array" ref="R809">IF($A809="","",INDEX(JupData!$A$2:$K$10000,MATCH($A809&amp;R$1,JupData!$A$2:$A$10000&amp;JupData!$J$2:$J$10000,0),11))</f>
        <v/>
      </c>
      <c r="S809" t="str">
        <f t="array" ref="S809">IF($A809="","",INDEX(JupData!$A$2:$K$10000,MATCH($A809&amp;S$1,JupData!$A$2:$A$10000&amp;JupData!$J$2:$J$10000,0),11))</f>
        <v/>
      </c>
      <c r="T809" t="str">
        <f t="array" ref="T809">IF($A809="","",INDEX(JupData!$A$2:$K$10000,MATCH($A809&amp;T$1,JupData!$A$2:$A$10000&amp;JupData!$J$2:$J$10000,0),11))</f>
        <v/>
      </c>
      <c r="U809" t="str">
        <f t="array" ref="U809">IF($A809="","",INDEX(JupData!$A$2:$K$10000,MATCH($A809&amp;U$1,JupData!$A$2:$A$10000&amp;JupData!$J$2:$J$10000,0),11))</f>
        <v/>
      </c>
      <c r="V809" t="str">
        <f t="array" ref="V809">IF($A809="","",INDEX(JupData!$A$2:$K$10000,MATCH($A809&amp;V$1,JupData!$A$2:$A$10000&amp;JupData!$J$2:$J$10000,0),11))</f>
        <v/>
      </c>
      <c r="W809" t="str">
        <f t="array" ref="W809">IF($A809="","",INDEX(JupData!$A$2:$K$10000,MATCH($A809&amp;W$1,JupData!$A$2:$A$10000&amp;JupData!$J$2:$J$10000,0),11))</f>
        <v/>
      </c>
      <c r="X809" t="str">
        <f t="array" ref="X809">IF($A809="","",INDEX(JupData!$A$2:$K$10000,MATCH($A809&amp;X$1,JupData!$A$2:$A$10000&amp;JupData!$J$2:$J$10000,0),11))</f>
        <v/>
      </c>
      <c r="Y809" t="str">
        <f t="array" ref="Y809">IF($A809="","",INDEX(JupData!$A$2:$K$10000,MATCH($A809&amp;Y$1,JupData!$A$2:$A$10000&amp;JupData!$J$2:$J$10000,0),11))</f>
        <v/>
      </c>
      <c r="Z809" t="str">
        <f t="array" ref="Z809">IF($A809="","",INDEX(JupData!$A$2:$K$10000,MATCH($A809&amp;Z$1,JupData!$A$2:$A$10000&amp;JupData!$J$2:$J$10000,0),11))</f>
        <v/>
      </c>
      <c r="AA809" t="str">
        <f t="array" ref="AA809">IF($A809="","",INDEX(JupData!$A$2:$K$10000,MATCH($A809&amp;AA$1,JupData!$A$2:$A$10000&amp;JupData!$J$2:$J$10000,0),11))</f>
        <v/>
      </c>
      <c r="AB809" t="str">
        <f t="array" ref="AB809">IF($A809="","",INDEX(JupData!$A$2:$K$10000,MATCH($A809&amp;AB$1,JupData!$A$2:$A$10000&amp;JupData!$J$2:$J$10000,0),11))</f>
        <v/>
      </c>
      <c r="AC809" s="10" t="str">
        <f t="shared" si="132"/>
        <v/>
      </c>
      <c r="AD809" s="10" t="str">
        <f t="shared" si="133"/>
        <v/>
      </c>
      <c r="AE809" s="9" t="str">
        <f t="shared" si="134"/>
        <v/>
      </c>
      <c r="AF809" s="10" t="str">
        <f t="shared" si="135"/>
        <v/>
      </c>
      <c r="AG809" s="10" t="str">
        <f t="shared" si="136"/>
        <v/>
      </c>
      <c r="AH809" s="10" t="str">
        <f t="shared" si="137"/>
        <v/>
      </c>
      <c r="AI809" s="10" t="str">
        <f t="shared" si="138"/>
        <v/>
      </c>
      <c r="AJ809" s="10" t="str">
        <f t="shared" si="139"/>
        <v/>
      </c>
      <c r="AK809" s="10" t="str">
        <f t="shared" si="140"/>
        <v/>
      </c>
      <c r="AL809" s="14" t="str">
        <f t="shared" si="141"/>
        <v/>
      </c>
    </row>
    <row r="810" spans="1:38" x14ac:dyDescent="0.2">
      <c r="A810"/>
      <c r="B810" t="str">
        <f>IF($A810="","",VLOOKUP($A810,JupData!$A$2:$I$10000,4,FALSE))</f>
        <v/>
      </c>
      <c r="C810" s="7" t="str">
        <f>IF($A810="",IF(N(D810),0,""),VLOOKUP($A810,JupData!$A$2:$I$10000,7,FALSE))</f>
        <v/>
      </c>
      <c r="D810" t="str">
        <f t="shared" si="142"/>
        <v/>
      </c>
      <c r="E810" t="str">
        <f t="array" ref="E810">IF($A810="","",INDEX(JupData!$A$2:$K$10000,MATCH($A810&amp;E$1,JupData!$A$2:$A$10000&amp;JupData!$J$2:$J$10000,0),11))</f>
        <v/>
      </c>
      <c r="F810" t="str">
        <f t="array" ref="F810">IF($A810="","",INDEX(JupData!$A$2:$K$10000,MATCH($A810&amp;F$1,JupData!$A$2:$A$10000&amp;JupData!$J$2:$J$10000,0),11))</f>
        <v/>
      </c>
      <c r="G810" t="str">
        <f t="array" ref="G810">IF($A810="","",INDEX(JupData!$A$2:$K$10000,MATCH($A810&amp;G$1,JupData!$A$2:$A$10000&amp;JupData!$J$2:$J$10000,0),11))</f>
        <v/>
      </c>
      <c r="H810" t="str">
        <f t="array" ref="H810">IF($A810="","",INDEX(JupData!$A$2:$K$10000,MATCH($A810&amp;H$1,JupData!$A$2:$A$10000&amp;JupData!$J$2:$J$10000,0),11))</f>
        <v/>
      </c>
      <c r="I810" t="str">
        <f t="array" ref="I810">IF($A810="","",INDEX(JupData!$A$2:$K$10000,MATCH($A810&amp;I$1,JupData!$A$2:$A$10000&amp;JupData!$J$2:$J$10000,0),11))</f>
        <v/>
      </c>
      <c r="J810" t="str">
        <f t="array" ref="J810">IF($A810="","",INDEX(JupData!$A$2:$K$10000,MATCH($A810&amp;J$1,JupData!$A$2:$A$10000&amp;JupData!$J$2:$J$10000,0),11))</f>
        <v/>
      </c>
      <c r="K810" t="str">
        <f t="array" ref="K810">IF($A810="","",INDEX(JupData!$A$2:$K$10000,MATCH($A810&amp;K$1,JupData!$A$2:$A$10000&amp;JupData!$J$2:$J$10000,0),11))</f>
        <v/>
      </c>
      <c r="L810" t="str">
        <f t="array" ref="L810">IF($A810="","",INDEX(JupData!$A$2:$K$10000,MATCH($A810&amp;L$1,JupData!$A$2:$A$10000&amp;JupData!$J$2:$J$10000,0),11))</f>
        <v/>
      </c>
      <c r="M810" t="str">
        <f t="array" ref="M810">IF($A810="","",INDEX(JupData!$A$2:$K$10000,MATCH($A810&amp;M$1,JupData!$A$2:$A$10000&amp;JupData!$J$2:$J$10000,0),11))</f>
        <v/>
      </c>
      <c r="N810" t="str">
        <f t="array" ref="N810">IF($A810="","",INDEX(JupData!$A$2:$K$10000,MATCH($A810&amp;N$1,JupData!$A$2:$A$10000&amp;JupData!$J$2:$J$10000,0),11))</f>
        <v/>
      </c>
      <c r="O810" t="str">
        <f t="array" ref="O810">IF($A810="","",INDEX(JupData!$A$2:$K$10000,MATCH($A810&amp;O$1,JupData!$A$2:$A$10000&amp;JupData!$J$2:$J$10000,0),11))</f>
        <v/>
      </c>
      <c r="P810" t="str">
        <f t="array" ref="P810">IF($A810="","",INDEX(JupData!$A$2:$K$10000,MATCH($A810&amp;P$1,JupData!$A$2:$A$10000&amp;JupData!$J$2:$J$10000,0),11))</f>
        <v/>
      </c>
      <c r="Q810" t="str">
        <f t="array" ref="Q810">IF($A810="","",INDEX(JupData!$A$2:$K$10000,MATCH($A810&amp;Q$1,JupData!$A$2:$A$10000&amp;JupData!$J$2:$J$10000,0),11))</f>
        <v/>
      </c>
      <c r="R810" t="str">
        <f t="array" ref="R810">IF($A810="","",INDEX(JupData!$A$2:$K$10000,MATCH($A810&amp;R$1,JupData!$A$2:$A$10000&amp;JupData!$J$2:$J$10000,0),11))</f>
        <v/>
      </c>
      <c r="S810" t="str">
        <f t="array" ref="S810">IF($A810="","",INDEX(JupData!$A$2:$K$10000,MATCH($A810&amp;S$1,JupData!$A$2:$A$10000&amp;JupData!$J$2:$J$10000,0),11))</f>
        <v/>
      </c>
      <c r="T810" t="str">
        <f t="array" ref="T810">IF($A810="","",INDEX(JupData!$A$2:$K$10000,MATCH($A810&amp;T$1,JupData!$A$2:$A$10000&amp;JupData!$J$2:$J$10000,0),11))</f>
        <v/>
      </c>
      <c r="U810" t="str">
        <f t="array" ref="U810">IF($A810="","",INDEX(JupData!$A$2:$K$10000,MATCH($A810&amp;U$1,JupData!$A$2:$A$10000&amp;JupData!$J$2:$J$10000,0),11))</f>
        <v/>
      </c>
      <c r="V810" t="str">
        <f t="array" ref="V810">IF($A810="","",INDEX(JupData!$A$2:$K$10000,MATCH($A810&amp;V$1,JupData!$A$2:$A$10000&amp;JupData!$J$2:$J$10000,0),11))</f>
        <v/>
      </c>
      <c r="W810" t="str">
        <f t="array" ref="W810">IF($A810="","",INDEX(JupData!$A$2:$K$10000,MATCH($A810&amp;W$1,JupData!$A$2:$A$10000&amp;JupData!$J$2:$J$10000,0),11))</f>
        <v/>
      </c>
      <c r="X810" t="str">
        <f t="array" ref="X810">IF($A810="","",INDEX(JupData!$A$2:$K$10000,MATCH($A810&amp;X$1,JupData!$A$2:$A$10000&amp;JupData!$J$2:$J$10000,0),11))</f>
        <v/>
      </c>
      <c r="Y810" t="str">
        <f t="array" ref="Y810">IF($A810="","",INDEX(JupData!$A$2:$K$10000,MATCH($A810&amp;Y$1,JupData!$A$2:$A$10000&amp;JupData!$J$2:$J$10000,0),11))</f>
        <v/>
      </c>
      <c r="Z810" t="str">
        <f t="array" ref="Z810">IF($A810="","",INDEX(JupData!$A$2:$K$10000,MATCH($A810&amp;Z$1,JupData!$A$2:$A$10000&amp;JupData!$J$2:$J$10000,0),11))</f>
        <v/>
      </c>
      <c r="AA810" t="str">
        <f t="array" ref="AA810">IF($A810="","",INDEX(JupData!$A$2:$K$10000,MATCH($A810&amp;AA$1,JupData!$A$2:$A$10000&amp;JupData!$J$2:$J$10000,0),11))</f>
        <v/>
      </c>
      <c r="AB810" t="str">
        <f t="array" ref="AB810">IF($A810="","",INDEX(JupData!$A$2:$K$10000,MATCH($A810&amp;AB$1,JupData!$A$2:$A$10000&amp;JupData!$J$2:$J$10000,0),11))</f>
        <v/>
      </c>
      <c r="AC810" s="10" t="str">
        <f t="shared" si="132"/>
        <v/>
      </c>
      <c r="AD810" s="10" t="str">
        <f t="shared" si="133"/>
        <v/>
      </c>
      <c r="AE810" s="9" t="str">
        <f t="shared" si="134"/>
        <v/>
      </c>
      <c r="AF810" s="10" t="str">
        <f t="shared" si="135"/>
        <v/>
      </c>
      <c r="AG810" s="10" t="str">
        <f t="shared" si="136"/>
        <v/>
      </c>
      <c r="AH810" s="10" t="str">
        <f t="shared" si="137"/>
        <v/>
      </c>
      <c r="AI810" s="10" t="str">
        <f t="shared" si="138"/>
        <v/>
      </c>
      <c r="AJ810" s="10" t="str">
        <f t="shared" si="139"/>
        <v/>
      </c>
      <c r="AK810" s="10" t="str">
        <f t="shared" si="140"/>
        <v/>
      </c>
      <c r="AL810" s="14" t="str">
        <f t="shared" si="141"/>
        <v/>
      </c>
    </row>
    <row r="811" spans="1:38" x14ac:dyDescent="0.2">
      <c r="A811"/>
      <c r="B811" t="str">
        <f>IF($A811="","",VLOOKUP($A811,JupData!$A$2:$I$10000,4,FALSE))</f>
        <v/>
      </c>
      <c r="C811" s="7" t="str">
        <f>IF($A811="",IF(N(D811),0,""),VLOOKUP($A811,JupData!$A$2:$I$10000,7,FALSE))</f>
        <v/>
      </c>
      <c r="D811" t="str">
        <f t="shared" si="142"/>
        <v/>
      </c>
      <c r="E811" t="str">
        <f t="array" ref="E811">IF($A811="","",INDEX(JupData!$A$2:$K$10000,MATCH($A811&amp;E$1,JupData!$A$2:$A$10000&amp;JupData!$J$2:$J$10000,0),11))</f>
        <v/>
      </c>
      <c r="F811" t="str">
        <f t="array" ref="F811">IF($A811="","",INDEX(JupData!$A$2:$K$10000,MATCH($A811&amp;F$1,JupData!$A$2:$A$10000&amp;JupData!$J$2:$J$10000,0),11))</f>
        <v/>
      </c>
      <c r="G811" t="str">
        <f t="array" ref="G811">IF($A811="","",INDEX(JupData!$A$2:$K$10000,MATCH($A811&amp;G$1,JupData!$A$2:$A$10000&amp;JupData!$J$2:$J$10000,0),11))</f>
        <v/>
      </c>
      <c r="H811" t="str">
        <f t="array" ref="H811">IF($A811="","",INDEX(JupData!$A$2:$K$10000,MATCH($A811&amp;H$1,JupData!$A$2:$A$10000&amp;JupData!$J$2:$J$10000,0),11))</f>
        <v/>
      </c>
      <c r="I811" t="str">
        <f t="array" ref="I811">IF($A811="","",INDEX(JupData!$A$2:$K$10000,MATCH($A811&amp;I$1,JupData!$A$2:$A$10000&amp;JupData!$J$2:$J$10000,0),11))</f>
        <v/>
      </c>
      <c r="J811" t="str">
        <f t="array" ref="J811">IF($A811="","",INDEX(JupData!$A$2:$K$10000,MATCH($A811&amp;J$1,JupData!$A$2:$A$10000&amp;JupData!$J$2:$J$10000,0),11))</f>
        <v/>
      </c>
      <c r="K811" t="str">
        <f t="array" ref="K811">IF($A811="","",INDEX(JupData!$A$2:$K$10000,MATCH($A811&amp;K$1,JupData!$A$2:$A$10000&amp;JupData!$J$2:$J$10000,0),11))</f>
        <v/>
      </c>
      <c r="L811" t="str">
        <f t="array" ref="L811">IF($A811="","",INDEX(JupData!$A$2:$K$10000,MATCH($A811&amp;L$1,JupData!$A$2:$A$10000&amp;JupData!$J$2:$J$10000,0),11))</f>
        <v/>
      </c>
      <c r="M811" t="str">
        <f t="array" ref="M811">IF($A811="","",INDEX(JupData!$A$2:$K$10000,MATCH($A811&amp;M$1,JupData!$A$2:$A$10000&amp;JupData!$J$2:$J$10000,0),11))</f>
        <v/>
      </c>
      <c r="N811" t="str">
        <f t="array" ref="N811">IF($A811="","",INDEX(JupData!$A$2:$K$10000,MATCH($A811&amp;N$1,JupData!$A$2:$A$10000&amp;JupData!$J$2:$J$10000,0),11))</f>
        <v/>
      </c>
      <c r="O811" t="str">
        <f t="array" ref="O811">IF($A811="","",INDEX(JupData!$A$2:$K$10000,MATCH($A811&amp;O$1,JupData!$A$2:$A$10000&amp;JupData!$J$2:$J$10000,0),11))</f>
        <v/>
      </c>
      <c r="P811" t="str">
        <f t="array" ref="P811">IF($A811="","",INDEX(JupData!$A$2:$K$10000,MATCH($A811&amp;P$1,JupData!$A$2:$A$10000&amp;JupData!$J$2:$J$10000,0),11))</f>
        <v/>
      </c>
      <c r="Q811" t="str">
        <f t="array" ref="Q811">IF($A811="","",INDEX(JupData!$A$2:$K$10000,MATCH($A811&amp;Q$1,JupData!$A$2:$A$10000&amp;JupData!$J$2:$J$10000,0),11))</f>
        <v/>
      </c>
      <c r="R811" t="str">
        <f t="array" ref="R811">IF($A811="","",INDEX(JupData!$A$2:$K$10000,MATCH($A811&amp;R$1,JupData!$A$2:$A$10000&amp;JupData!$J$2:$J$10000,0),11))</f>
        <v/>
      </c>
      <c r="S811" t="str">
        <f t="array" ref="S811">IF($A811="","",INDEX(JupData!$A$2:$K$10000,MATCH($A811&amp;S$1,JupData!$A$2:$A$10000&amp;JupData!$J$2:$J$10000,0),11))</f>
        <v/>
      </c>
      <c r="T811" t="str">
        <f t="array" ref="T811">IF($A811="","",INDEX(JupData!$A$2:$K$10000,MATCH($A811&amp;T$1,JupData!$A$2:$A$10000&amp;JupData!$J$2:$J$10000,0),11))</f>
        <v/>
      </c>
      <c r="U811" t="str">
        <f t="array" ref="U811">IF($A811="","",INDEX(JupData!$A$2:$K$10000,MATCH($A811&amp;U$1,JupData!$A$2:$A$10000&amp;JupData!$J$2:$J$10000,0),11))</f>
        <v/>
      </c>
      <c r="V811" t="str">
        <f t="array" ref="V811">IF($A811="","",INDEX(JupData!$A$2:$K$10000,MATCH($A811&amp;V$1,JupData!$A$2:$A$10000&amp;JupData!$J$2:$J$10000,0),11))</f>
        <v/>
      </c>
      <c r="W811" t="str">
        <f t="array" ref="W811">IF($A811="","",INDEX(JupData!$A$2:$K$10000,MATCH($A811&amp;W$1,JupData!$A$2:$A$10000&amp;JupData!$J$2:$J$10000,0),11))</f>
        <v/>
      </c>
      <c r="X811" t="str">
        <f t="array" ref="X811">IF($A811="","",INDEX(JupData!$A$2:$K$10000,MATCH($A811&amp;X$1,JupData!$A$2:$A$10000&amp;JupData!$J$2:$J$10000,0),11))</f>
        <v/>
      </c>
      <c r="Y811" t="str">
        <f t="array" ref="Y811">IF($A811="","",INDEX(JupData!$A$2:$K$10000,MATCH($A811&amp;Y$1,JupData!$A$2:$A$10000&amp;JupData!$J$2:$J$10000,0),11))</f>
        <v/>
      </c>
      <c r="Z811" t="str">
        <f t="array" ref="Z811">IF($A811="","",INDEX(JupData!$A$2:$K$10000,MATCH($A811&amp;Z$1,JupData!$A$2:$A$10000&amp;JupData!$J$2:$J$10000,0),11))</f>
        <v/>
      </c>
      <c r="AA811" t="str">
        <f t="array" ref="AA811">IF($A811="","",INDEX(JupData!$A$2:$K$10000,MATCH($A811&amp;AA$1,JupData!$A$2:$A$10000&amp;JupData!$J$2:$J$10000,0),11))</f>
        <v/>
      </c>
      <c r="AB811" t="str">
        <f t="array" ref="AB811">IF($A811="","",INDEX(JupData!$A$2:$K$10000,MATCH($A811&amp;AB$1,JupData!$A$2:$A$10000&amp;JupData!$J$2:$J$10000,0),11))</f>
        <v/>
      </c>
      <c r="AC811" s="10" t="str">
        <f t="shared" si="132"/>
        <v/>
      </c>
      <c r="AD811" s="10" t="str">
        <f t="shared" si="133"/>
        <v/>
      </c>
      <c r="AE811" s="9" t="str">
        <f t="shared" si="134"/>
        <v/>
      </c>
      <c r="AF811" s="10" t="str">
        <f t="shared" si="135"/>
        <v/>
      </c>
      <c r="AG811" s="10" t="str">
        <f t="shared" si="136"/>
        <v/>
      </c>
      <c r="AH811" s="10" t="str">
        <f t="shared" si="137"/>
        <v/>
      </c>
      <c r="AI811" s="10" t="str">
        <f t="shared" si="138"/>
        <v/>
      </c>
      <c r="AJ811" s="10" t="str">
        <f t="shared" si="139"/>
        <v/>
      </c>
      <c r="AK811" s="10" t="str">
        <f t="shared" si="140"/>
        <v/>
      </c>
      <c r="AL811" s="14" t="str">
        <f t="shared" si="141"/>
        <v/>
      </c>
    </row>
    <row r="812" spans="1:38" x14ac:dyDescent="0.2">
      <c r="A812"/>
      <c r="B812" t="str">
        <f>IF($A812="","",VLOOKUP($A812,JupData!$A$2:$I$10000,4,FALSE))</f>
        <v/>
      </c>
      <c r="C812" s="7" t="str">
        <f>IF($A812="",IF(N(D812),0,""),VLOOKUP($A812,JupData!$A$2:$I$10000,7,FALSE))</f>
        <v/>
      </c>
      <c r="D812" t="str">
        <f t="shared" si="142"/>
        <v/>
      </c>
      <c r="E812" t="str">
        <f t="array" ref="E812">IF($A812="","",INDEX(JupData!$A$2:$K$10000,MATCH($A812&amp;E$1,JupData!$A$2:$A$10000&amp;JupData!$J$2:$J$10000,0),11))</f>
        <v/>
      </c>
      <c r="F812" t="str">
        <f t="array" ref="F812">IF($A812="","",INDEX(JupData!$A$2:$K$10000,MATCH($A812&amp;F$1,JupData!$A$2:$A$10000&amp;JupData!$J$2:$J$10000,0),11))</f>
        <v/>
      </c>
      <c r="G812" t="str">
        <f t="array" ref="G812">IF($A812="","",INDEX(JupData!$A$2:$K$10000,MATCH($A812&amp;G$1,JupData!$A$2:$A$10000&amp;JupData!$J$2:$J$10000,0),11))</f>
        <v/>
      </c>
      <c r="H812" t="str">
        <f t="array" ref="H812">IF($A812="","",INDEX(JupData!$A$2:$K$10000,MATCH($A812&amp;H$1,JupData!$A$2:$A$10000&amp;JupData!$J$2:$J$10000,0),11))</f>
        <v/>
      </c>
      <c r="I812" t="str">
        <f t="array" ref="I812">IF($A812="","",INDEX(JupData!$A$2:$K$10000,MATCH($A812&amp;I$1,JupData!$A$2:$A$10000&amp;JupData!$J$2:$J$10000,0),11))</f>
        <v/>
      </c>
      <c r="J812" t="str">
        <f t="array" ref="J812">IF($A812="","",INDEX(JupData!$A$2:$K$10000,MATCH($A812&amp;J$1,JupData!$A$2:$A$10000&amp;JupData!$J$2:$J$10000,0),11))</f>
        <v/>
      </c>
      <c r="K812" t="str">
        <f t="array" ref="K812">IF($A812="","",INDEX(JupData!$A$2:$K$10000,MATCH($A812&amp;K$1,JupData!$A$2:$A$10000&amp;JupData!$J$2:$J$10000,0),11))</f>
        <v/>
      </c>
      <c r="L812" t="str">
        <f t="array" ref="L812">IF($A812="","",INDEX(JupData!$A$2:$K$10000,MATCH($A812&amp;L$1,JupData!$A$2:$A$10000&amp;JupData!$J$2:$J$10000,0),11))</f>
        <v/>
      </c>
      <c r="M812" t="str">
        <f t="array" ref="M812">IF($A812="","",INDEX(JupData!$A$2:$K$10000,MATCH($A812&amp;M$1,JupData!$A$2:$A$10000&amp;JupData!$J$2:$J$10000,0),11))</f>
        <v/>
      </c>
      <c r="N812" t="str">
        <f t="array" ref="N812">IF($A812="","",INDEX(JupData!$A$2:$K$10000,MATCH($A812&amp;N$1,JupData!$A$2:$A$10000&amp;JupData!$J$2:$J$10000,0),11))</f>
        <v/>
      </c>
      <c r="O812" t="str">
        <f t="array" ref="O812">IF($A812="","",INDEX(JupData!$A$2:$K$10000,MATCH($A812&amp;O$1,JupData!$A$2:$A$10000&amp;JupData!$J$2:$J$10000,0),11))</f>
        <v/>
      </c>
      <c r="P812" t="str">
        <f t="array" ref="P812">IF($A812="","",INDEX(JupData!$A$2:$K$10000,MATCH($A812&amp;P$1,JupData!$A$2:$A$10000&amp;JupData!$J$2:$J$10000,0),11))</f>
        <v/>
      </c>
      <c r="Q812" t="str">
        <f t="array" ref="Q812">IF($A812="","",INDEX(JupData!$A$2:$K$10000,MATCH($A812&amp;Q$1,JupData!$A$2:$A$10000&amp;JupData!$J$2:$J$10000,0),11))</f>
        <v/>
      </c>
      <c r="R812" t="str">
        <f t="array" ref="R812">IF($A812="","",INDEX(JupData!$A$2:$K$10000,MATCH($A812&amp;R$1,JupData!$A$2:$A$10000&amp;JupData!$J$2:$J$10000,0),11))</f>
        <v/>
      </c>
      <c r="S812" t="str">
        <f t="array" ref="S812">IF($A812="","",INDEX(JupData!$A$2:$K$10000,MATCH($A812&amp;S$1,JupData!$A$2:$A$10000&amp;JupData!$J$2:$J$10000,0),11))</f>
        <v/>
      </c>
      <c r="T812" t="str">
        <f t="array" ref="T812">IF($A812="","",INDEX(JupData!$A$2:$K$10000,MATCH($A812&amp;T$1,JupData!$A$2:$A$10000&amp;JupData!$J$2:$J$10000,0),11))</f>
        <v/>
      </c>
      <c r="U812" t="str">
        <f t="array" ref="U812">IF($A812="","",INDEX(JupData!$A$2:$K$10000,MATCH($A812&amp;U$1,JupData!$A$2:$A$10000&amp;JupData!$J$2:$J$10000,0),11))</f>
        <v/>
      </c>
      <c r="V812" t="str">
        <f t="array" ref="V812">IF($A812="","",INDEX(JupData!$A$2:$K$10000,MATCH($A812&amp;V$1,JupData!$A$2:$A$10000&amp;JupData!$J$2:$J$10000,0),11))</f>
        <v/>
      </c>
      <c r="W812" t="str">
        <f t="array" ref="W812">IF($A812="","",INDEX(JupData!$A$2:$K$10000,MATCH($A812&amp;W$1,JupData!$A$2:$A$10000&amp;JupData!$J$2:$J$10000,0),11))</f>
        <v/>
      </c>
      <c r="X812" t="str">
        <f t="array" ref="X812">IF($A812="","",INDEX(JupData!$A$2:$K$10000,MATCH($A812&amp;X$1,JupData!$A$2:$A$10000&amp;JupData!$J$2:$J$10000,0),11))</f>
        <v/>
      </c>
      <c r="Y812" t="str">
        <f t="array" ref="Y812">IF($A812="","",INDEX(JupData!$A$2:$K$10000,MATCH($A812&amp;Y$1,JupData!$A$2:$A$10000&amp;JupData!$J$2:$J$10000,0),11))</f>
        <v/>
      </c>
      <c r="Z812" t="str">
        <f t="array" ref="Z812">IF($A812="","",INDEX(JupData!$A$2:$K$10000,MATCH($A812&amp;Z$1,JupData!$A$2:$A$10000&amp;JupData!$J$2:$J$10000,0),11))</f>
        <v/>
      </c>
      <c r="AA812" t="str">
        <f t="array" ref="AA812">IF($A812="","",INDEX(JupData!$A$2:$K$10000,MATCH($A812&amp;AA$1,JupData!$A$2:$A$10000&amp;JupData!$J$2:$J$10000,0),11))</f>
        <v/>
      </c>
      <c r="AB812" t="str">
        <f t="array" ref="AB812">IF($A812="","",INDEX(JupData!$A$2:$K$10000,MATCH($A812&amp;AB$1,JupData!$A$2:$A$10000&amp;JupData!$J$2:$J$10000,0),11))</f>
        <v/>
      </c>
      <c r="AC812" s="10" t="str">
        <f t="shared" si="132"/>
        <v/>
      </c>
      <c r="AD812" s="10" t="str">
        <f t="shared" si="133"/>
        <v/>
      </c>
      <c r="AE812" s="9" t="str">
        <f t="shared" si="134"/>
        <v/>
      </c>
      <c r="AF812" s="10" t="str">
        <f t="shared" si="135"/>
        <v/>
      </c>
      <c r="AG812" s="10" t="str">
        <f t="shared" si="136"/>
        <v/>
      </c>
      <c r="AH812" s="10" t="str">
        <f t="shared" si="137"/>
        <v/>
      </c>
      <c r="AI812" s="10" t="str">
        <f t="shared" si="138"/>
        <v/>
      </c>
      <c r="AJ812" s="10" t="str">
        <f t="shared" si="139"/>
        <v/>
      </c>
      <c r="AK812" s="10" t="str">
        <f t="shared" si="140"/>
        <v/>
      </c>
      <c r="AL812" s="14" t="str">
        <f t="shared" si="141"/>
        <v/>
      </c>
    </row>
    <row r="813" spans="1:38" x14ac:dyDescent="0.2">
      <c r="A813"/>
      <c r="B813" t="str">
        <f>IF($A813="","",VLOOKUP($A813,JupData!$A$2:$I$10000,4,FALSE))</f>
        <v/>
      </c>
      <c r="C813" s="7" t="str">
        <f>IF($A813="",IF(N(D813),0,""),VLOOKUP($A813,JupData!$A$2:$I$10000,7,FALSE))</f>
        <v/>
      </c>
      <c r="D813" t="str">
        <f t="shared" si="142"/>
        <v/>
      </c>
      <c r="E813" t="str">
        <f t="array" ref="E813">IF($A813="","",INDEX(JupData!$A$2:$K$10000,MATCH($A813&amp;E$1,JupData!$A$2:$A$10000&amp;JupData!$J$2:$J$10000,0),11))</f>
        <v/>
      </c>
      <c r="F813" t="str">
        <f t="array" ref="F813">IF($A813="","",INDEX(JupData!$A$2:$K$10000,MATCH($A813&amp;F$1,JupData!$A$2:$A$10000&amp;JupData!$J$2:$J$10000,0),11))</f>
        <v/>
      </c>
      <c r="G813" t="str">
        <f t="array" ref="G813">IF($A813="","",INDEX(JupData!$A$2:$K$10000,MATCH($A813&amp;G$1,JupData!$A$2:$A$10000&amp;JupData!$J$2:$J$10000,0),11))</f>
        <v/>
      </c>
      <c r="H813" t="str">
        <f t="array" ref="H813">IF($A813="","",INDEX(JupData!$A$2:$K$10000,MATCH($A813&amp;H$1,JupData!$A$2:$A$10000&amp;JupData!$J$2:$J$10000,0),11))</f>
        <v/>
      </c>
      <c r="I813" t="str">
        <f t="array" ref="I813">IF($A813="","",INDEX(JupData!$A$2:$K$10000,MATCH($A813&amp;I$1,JupData!$A$2:$A$10000&amp;JupData!$J$2:$J$10000,0),11))</f>
        <v/>
      </c>
      <c r="J813" t="str">
        <f t="array" ref="J813">IF($A813="","",INDEX(JupData!$A$2:$K$10000,MATCH($A813&amp;J$1,JupData!$A$2:$A$10000&amp;JupData!$J$2:$J$10000,0),11))</f>
        <v/>
      </c>
      <c r="K813" t="str">
        <f t="array" ref="K813">IF($A813="","",INDEX(JupData!$A$2:$K$10000,MATCH($A813&amp;K$1,JupData!$A$2:$A$10000&amp;JupData!$J$2:$J$10000,0),11))</f>
        <v/>
      </c>
      <c r="L813" t="str">
        <f t="array" ref="L813">IF($A813="","",INDEX(JupData!$A$2:$K$10000,MATCH($A813&amp;L$1,JupData!$A$2:$A$10000&amp;JupData!$J$2:$J$10000,0),11))</f>
        <v/>
      </c>
      <c r="M813" t="str">
        <f t="array" ref="M813">IF($A813="","",INDEX(JupData!$A$2:$K$10000,MATCH($A813&amp;M$1,JupData!$A$2:$A$10000&amp;JupData!$J$2:$J$10000,0),11))</f>
        <v/>
      </c>
      <c r="N813" t="str">
        <f t="array" ref="N813">IF($A813="","",INDEX(JupData!$A$2:$K$10000,MATCH($A813&amp;N$1,JupData!$A$2:$A$10000&amp;JupData!$J$2:$J$10000,0),11))</f>
        <v/>
      </c>
      <c r="O813" t="str">
        <f t="array" ref="O813">IF($A813="","",INDEX(JupData!$A$2:$K$10000,MATCH($A813&amp;O$1,JupData!$A$2:$A$10000&amp;JupData!$J$2:$J$10000,0),11))</f>
        <v/>
      </c>
      <c r="P813" t="str">
        <f t="array" ref="P813">IF($A813="","",INDEX(JupData!$A$2:$K$10000,MATCH($A813&amp;P$1,JupData!$A$2:$A$10000&amp;JupData!$J$2:$J$10000,0),11))</f>
        <v/>
      </c>
      <c r="Q813" t="str">
        <f t="array" ref="Q813">IF($A813="","",INDEX(JupData!$A$2:$K$10000,MATCH($A813&amp;Q$1,JupData!$A$2:$A$10000&amp;JupData!$J$2:$J$10000,0),11))</f>
        <v/>
      </c>
      <c r="R813" t="str">
        <f t="array" ref="R813">IF($A813="","",INDEX(JupData!$A$2:$K$10000,MATCH($A813&amp;R$1,JupData!$A$2:$A$10000&amp;JupData!$J$2:$J$10000,0),11))</f>
        <v/>
      </c>
      <c r="S813" t="str">
        <f t="array" ref="S813">IF($A813="","",INDEX(JupData!$A$2:$K$10000,MATCH($A813&amp;S$1,JupData!$A$2:$A$10000&amp;JupData!$J$2:$J$10000,0),11))</f>
        <v/>
      </c>
      <c r="T813" t="str">
        <f t="array" ref="T813">IF($A813="","",INDEX(JupData!$A$2:$K$10000,MATCH($A813&amp;T$1,JupData!$A$2:$A$10000&amp;JupData!$J$2:$J$10000,0),11))</f>
        <v/>
      </c>
      <c r="U813" t="str">
        <f t="array" ref="U813">IF($A813="","",INDEX(JupData!$A$2:$K$10000,MATCH($A813&amp;U$1,JupData!$A$2:$A$10000&amp;JupData!$J$2:$J$10000,0),11))</f>
        <v/>
      </c>
      <c r="V813" t="str">
        <f t="array" ref="V813">IF($A813="","",INDEX(JupData!$A$2:$K$10000,MATCH($A813&amp;V$1,JupData!$A$2:$A$10000&amp;JupData!$J$2:$J$10000,0),11))</f>
        <v/>
      </c>
      <c r="W813" t="str">
        <f t="array" ref="W813">IF($A813="","",INDEX(JupData!$A$2:$K$10000,MATCH($A813&amp;W$1,JupData!$A$2:$A$10000&amp;JupData!$J$2:$J$10000,0),11))</f>
        <v/>
      </c>
      <c r="X813" t="str">
        <f t="array" ref="X813">IF($A813="","",INDEX(JupData!$A$2:$K$10000,MATCH($A813&amp;X$1,JupData!$A$2:$A$10000&amp;JupData!$J$2:$J$10000,0),11))</f>
        <v/>
      </c>
      <c r="Y813" t="str">
        <f t="array" ref="Y813">IF($A813="","",INDEX(JupData!$A$2:$K$10000,MATCH($A813&amp;Y$1,JupData!$A$2:$A$10000&amp;JupData!$J$2:$J$10000,0),11))</f>
        <v/>
      </c>
      <c r="Z813" t="str">
        <f t="array" ref="Z813">IF($A813="","",INDEX(JupData!$A$2:$K$10000,MATCH($A813&amp;Z$1,JupData!$A$2:$A$10000&amp;JupData!$J$2:$J$10000,0),11))</f>
        <v/>
      </c>
      <c r="AA813" t="str">
        <f t="array" ref="AA813">IF($A813="","",INDEX(JupData!$A$2:$K$10000,MATCH($A813&amp;AA$1,JupData!$A$2:$A$10000&amp;JupData!$J$2:$J$10000,0),11))</f>
        <v/>
      </c>
      <c r="AB813" t="str">
        <f t="array" ref="AB813">IF($A813="","",INDEX(JupData!$A$2:$K$10000,MATCH($A813&amp;AB$1,JupData!$A$2:$A$10000&amp;JupData!$J$2:$J$10000,0),11))</f>
        <v/>
      </c>
      <c r="AC813" s="10" t="str">
        <f t="shared" si="132"/>
        <v/>
      </c>
      <c r="AD813" s="10" t="str">
        <f t="shared" si="133"/>
        <v/>
      </c>
      <c r="AE813" s="9" t="str">
        <f t="shared" si="134"/>
        <v/>
      </c>
      <c r="AF813" s="10" t="str">
        <f t="shared" si="135"/>
        <v/>
      </c>
      <c r="AG813" s="10" t="str">
        <f t="shared" si="136"/>
        <v/>
      </c>
      <c r="AH813" s="10" t="str">
        <f t="shared" si="137"/>
        <v/>
      </c>
      <c r="AI813" s="10" t="str">
        <f t="shared" si="138"/>
        <v/>
      </c>
      <c r="AJ813" s="10" t="str">
        <f t="shared" si="139"/>
        <v/>
      </c>
      <c r="AK813" s="10" t="str">
        <f t="shared" si="140"/>
        <v/>
      </c>
      <c r="AL813" s="14" t="str">
        <f t="shared" si="141"/>
        <v/>
      </c>
    </row>
    <row r="814" spans="1:38" x14ac:dyDescent="0.2">
      <c r="A814"/>
      <c r="B814" t="str">
        <f>IF($A814="","",VLOOKUP($A814,JupData!$A$2:$I$10000,4,FALSE))</f>
        <v/>
      </c>
      <c r="C814" s="7" t="str">
        <f>IF($A814="",IF(N(D814),0,""),VLOOKUP($A814,JupData!$A$2:$I$10000,7,FALSE))</f>
        <v/>
      </c>
      <c r="D814" t="str">
        <f t="shared" si="142"/>
        <v/>
      </c>
      <c r="E814" t="str">
        <f t="array" ref="E814">IF($A814="","",INDEX(JupData!$A$2:$K$10000,MATCH($A814&amp;E$1,JupData!$A$2:$A$10000&amp;JupData!$J$2:$J$10000,0),11))</f>
        <v/>
      </c>
      <c r="F814" t="str">
        <f t="array" ref="F814">IF($A814="","",INDEX(JupData!$A$2:$K$10000,MATCH($A814&amp;F$1,JupData!$A$2:$A$10000&amp;JupData!$J$2:$J$10000,0),11))</f>
        <v/>
      </c>
      <c r="G814" t="str">
        <f t="array" ref="G814">IF($A814="","",INDEX(JupData!$A$2:$K$10000,MATCH($A814&amp;G$1,JupData!$A$2:$A$10000&amp;JupData!$J$2:$J$10000,0),11))</f>
        <v/>
      </c>
      <c r="H814" t="str">
        <f t="array" ref="H814">IF($A814="","",INDEX(JupData!$A$2:$K$10000,MATCH($A814&amp;H$1,JupData!$A$2:$A$10000&amp;JupData!$J$2:$J$10000,0),11))</f>
        <v/>
      </c>
      <c r="I814" t="str">
        <f t="array" ref="I814">IF($A814="","",INDEX(JupData!$A$2:$K$10000,MATCH($A814&amp;I$1,JupData!$A$2:$A$10000&amp;JupData!$J$2:$J$10000,0),11))</f>
        <v/>
      </c>
      <c r="J814" t="str">
        <f t="array" ref="J814">IF($A814="","",INDEX(JupData!$A$2:$K$10000,MATCH($A814&amp;J$1,JupData!$A$2:$A$10000&amp;JupData!$J$2:$J$10000,0),11))</f>
        <v/>
      </c>
      <c r="K814" t="str">
        <f t="array" ref="K814">IF($A814="","",INDEX(JupData!$A$2:$K$10000,MATCH($A814&amp;K$1,JupData!$A$2:$A$10000&amp;JupData!$J$2:$J$10000,0),11))</f>
        <v/>
      </c>
      <c r="L814" t="str">
        <f t="array" ref="L814">IF($A814="","",INDEX(JupData!$A$2:$K$10000,MATCH($A814&amp;L$1,JupData!$A$2:$A$10000&amp;JupData!$J$2:$J$10000,0),11))</f>
        <v/>
      </c>
      <c r="M814" t="str">
        <f t="array" ref="M814">IF($A814="","",INDEX(JupData!$A$2:$K$10000,MATCH($A814&amp;M$1,JupData!$A$2:$A$10000&amp;JupData!$J$2:$J$10000,0),11))</f>
        <v/>
      </c>
      <c r="N814" t="str">
        <f t="array" ref="N814">IF($A814="","",INDEX(JupData!$A$2:$K$10000,MATCH($A814&amp;N$1,JupData!$A$2:$A$10000&amp;JupData!$J$2:$J$10000,0),11))</f>
        <v/>
      </c>
      <c r="O814" t="str">
        <f t="array" ref="O814">IF($A814="","",INDEX(JupData!$A$2:$K$10000,MATCH($A814&amp;O$1,JupData!$A$2:$A$10000&amp;JupData!$J$2:$J$10000,0),11))</f>
        <v/>
      </c>
      <c r="P814" t="str">
        <f t="array" ref="P814">IF($A814="","",INDEX(JupData!$A$2:$K$10000,MATCH($A814&amp;P$1,JupData!$A$2:$A$10000&amp;JupData!$J$2:$J$10000,0),11))</f>
        <v/>
      </c>
      <c r="Q814" t="str">
        <f t="array" ref="Q814">IF($A814="","",INDEX(JupData!$A$2:$K$10000,MATCH($A814&amp;Q$1,JupData!$A$2:$A$10000&amp;JupData!$J$2:$J$10000,0),11))</f>
        <v/>
      </c>
      <c r="R814" t="str">
        <f t="array" ref="R814">IF($A814="","",INDEX(JupData!$A$2:$K$10000,MATCH($A814&amp;R$1,JupData!$A$2:$A$10000&amp;JupData!$J$2:$J$10000,0),11))</f>
        <v/>
      </c>
      <c r="S814" t="str">
        <f t="array" ref="S814">IF($A814="","",INDEX(JupData!$A$2:$K$10000,MATCH($A814&amp;S$1,JupData!$A$2:$A$10000&amp;JupData!$J$2:$J$10000,0),11))</f>
        <v/>
      </c>
      <c r="T814" t="str">
        <f t="array" ref="T814">IF($A814="","",INDEX(JupData!$A$2:$K$10000,MATCH($A814&amp;T$1,JupData!$A$2:$A$10000&amp;JupData!$J$2:$J$10000,0),11))</f>
        <v/>
      </c>
      <c r="U814" t="str">
        <f t="array" ref="U814">IF($A814="","",INDEX(JupData!$A$2:$K$10000,MATCH($A814&amp;U$1,JupData!$A$2:$A$10000&amp;JupData!$J$2:$J$10000,0),11))</f>
        <v/>
      </c>
      <c r="V814" t="str">
        <f t="array" ref="V814">IF($A814="","",INDEX(JupData!$A$2:$K$10000,MATCH($A814&amp;V$1,JupData!$A$2:$A$10000&amp;JupData!$J$2:$J$10000,0),11))</f>
        <v/>
      </c>
      <c r="W814" t="str">
        <f t="array" ref="W814">IF($A814="","",INDEX(JupData!$A$2:$K$10000,MATCH($A814&amp;W$1,JupData!$A$2:$A$10000&amp;JupData!$J$2:$J$10000,0),11))</f>
        <v/>
      </c>
      <c r="X814" t="str">
        <f t="array" ref="X814">IF($A814="","",INDEX(JupData!$A$2:$K$10000,MATCH($A814&amp;X$1,JupData!$A$2:$A$10000&amp;JupData!$J$2:$J$10000,0),11))</f>
        <v/>
      </c>
      <c r="Y814" t="str">
        <f t="array" ref="Y814">IF($A814="","",INDEX(JupData!$A$2:$K$10000,MATCH($A814&amp;Y$1,JupData!$A$2:$A$10000&amp;JupData!$J$2:$J$10000,0),11))</f>
        <v/>
      </c>
      <c r="Z814" t="str">
        <f t="array" ref="Z814">IF($A814="","",INDEX(JupData!$A$2:$K$10000,MATCH($A814&amp;Z$1,JupData!$A$2:$A$10000&amp;JupData!$J$2:$J$10000,0),11))</f>
        <v/>
      </c>
      <c r="AA814" t="str">
        <f t="array" ref="AA814">IF($A814="","",INDEX(JupData!$A$2:$K$10000,MATCH($A814&amp;AA$1,JupData!$A$2:$A$10000&amp;JupData!$J$2:$J$10000,0),11))</f>
        <v/>
      </c>
      <c r="AB814" t="str">
        <f t="array" ref="AB814">IF($A814="","",INDEX(JupData!$A$2:$K$10000,MATCH($A814&amp;AB$1,JupData!$A$2:$A$10000&amp;JupData!$J$2:$J$10000,0),11))</f>
        <v/>
      </c>
      <c r="AC814" s="10" t="str">
        <f t="shared" si="132"/>
        <v/>
      </c>
      <c r="AD814" s="10" t="str">
        <f t="shared" si="133"/>
        <v/>
      </c>
      <c r="AE814" s="9" t="str">
        <f t="shared" si="134"/>
        <v/>
      </c>
      <c r="AF814" s="10" t="str">
        <f t="shared" si="135"/>
        <v/>
      </c>
      <c r="AG814" s="10" t="str">
        <f t="shared" si="136"/>
        <v/>
      </c>
      <c r="AH814" s="10" t="str">
        <f t="shared" si="137"/>
        <v/>
      </c>
      <c r="AI814" s="10" t="str">
        <f t="shared" si="138"/>
        <v/>
      </c>
      <c r="AJ814" s="10" t="str">
        <f t="shared" si="139"/>
        <v/>
      </c>
      <c r="AK814" s="10" t="str">
        <f t="shared" si="140"/>
        <v/>
      </c>
      <c r="AL814" s="14" t="str">
        <f t="shared" si="141"/>
        <v/>
      </c>
    </row>
    <row r="815" spans="1:38" x14ac:dyDescent="0.2">
      <c r="A815"/>
      <c r="B815" t="str">
        <f>IF($A815="","",VLOOKUP($A815,JupData!$A$2:$I$10000,4,FALSE))</f>
        <v/>
      </c>
      <c r="C815" s="7" t="str">
        <f>IF($A815="",IF(N(D815),0,""),VLOOKUP($A815,JupData!$A$2:$I$10000,7,FALSE))</f>
        <v/>
      </c>
      <c r="D815" t="str">
        <f t="shared" si="142"/>
        <v/>
      </c>
      <c r="E815" t="str">
        <f t="array" ref="E815">IF($A815="","",INDEX(JupData!$A$2:$K$10000,MATCH($A815&amp;E$1,JupData!$A$2:$A$10000&amp;JupData!$J$2:$J$10000,0),11))</f>
        <v/>
      </c>
      <c r="F815" t="str">
        <f t="array" ref="F815">IF($A815="","",INDEX(JupData!$A$2:$K$10000,MATCH($A815&amp;F$1,JupData!$A$2:$A$10000&amp;JupData!$J$2:$J$10000,0),11))</f>
        <v/>
      </c>
      <c r="G815" t="str">
        <f t="array" ref="G815">IF($A815="","",INDEX(JupData!$A$2:$K$10000,MATCH($A815&amp;G$1,JupData!$A$2:$A$10000&amp;JupData!$J$2:$J$10000,0),11))</f>
        <v/>
      </c>
      <c r="H815" t="str">
        <f t="array" ref="H815">IF($A815="","",INDEX(JupData!$A$2:$K$10000,MATCH($A815&amp;H$1,JupData!$A$2:$A$10000&amp;JupData!$J$2:$J$10000,0),11))</f>
        <v/>
      </c>
      <c r="I815" t="str">
        <f t="array" ref="I815">IF($A815="","",INDEX(JupData!$A$2:$K$10000,MATCH($A815&amp;I$1,JupData!$A$2:$A$10000&amp;JupData!$J$2:$J$10000,0),11))</f>
        <v/>
      </c>
      <c r="J815" t="str">
        <f t="array" ref="J815">IF($A815="","",INDEX(JupData!$A$2:$K$10000,MATCH($A815&amp;J$1,JupData!$A$2:$A$10000&amp;JupData!$J$2:$J$10000,0),11))</f>
        <v/>
      </c>
      <c r="K815" t="str">
        <f t="array" ref="K815">IF($A815="","",INDEX(JupData!$A$2:$K$10000,MATCH($A815&amp;K$1,JupData!$A$2:$A$10000&amp;JupData!$J$2:$J$10000,0),11))</f>
        <v/>
      </c>
      <c r="L815" t="str">
        <f t="array" ref="L815">IF($A815="","",INDEX(JupData!$A$2:$K$10000,MATCH($A815&amp;L$1,JupData!$A$2:$A$10000&amp;JupData!$J$2:$J$10000,0),11))</f>
        <v/>
      </c>
      <c r="M815" t="str">
        <f t="array" ref="M815">IF($A815="","",INDEX(JupData!$A$2:$K$10000,MATCH($A815&amp;M$1,JupData!$A$2:$A$10000&amp;JupData!$J$2:$J$10000,0),11))</f>
        <v/>
      </c>
      <c r="N815" t="str">
        <f t="array" ref="N815">IF($A815="","",INDEX(JupData!$A$2:$K$10000,MATCH($A815&amp;N$1,JupData!$A$2:$A$10000&amp;JupData!$J$2:$J$10000,0),11))</f>
        <v/>
      </c>
      <c r="O815" t="str">
        <f t="array" ref="O815">IF($A815="","",INDEX(JupData!$A$2:$K$10000,MATCH($A815&amp;O$1,JupData!$A$2:$A$10000&amp;JupData!$J$2:$J$10000,0),11))</f>
        <v/>
      </c>
      <c r="P815" t="str">
        <f t="array" ref="P815">IF($A815="","",INDEX(JupData!$A$2:$K$10000,MATCH($A815&amp;P$1,JupData!$A$2:$A$10000&amp;JupData!$J$2:$J$10000,0),11))</f>
        <v/>
      </c>
      <c r="Q815" t="str">
        <f t="array" ref="Q815">IF($A815="","",INDEX(JupData!$A$2:$K$10000,MATCH($A815&amp;Q$1,JupData!$A$2:$A$10000&amp;JupData!$J$2:$J$10000,0),11))</f>
        <v/>
      </c>
      <c r="R815" t="str">
        <f t="array" ref="R815">IF($A815="","",INDEX(JupData!$A$2:$K$10000,MATCH($A815&amp;R$1,JupData!$A$2:$A$10000&amp;JupData!$J$2:$J$10000,0),11))</f>
        <v/>
      </c>
      <c r="S815" t="str">
        <f t="array" ref="S815">IF($A815="","",INDEX(JupData!$A$2:$K$10000,MATCH($A815&amp;S$1,JupData!$A$2:$A$10000&amp;JupData!$J$2:$J$10000,0),11))</f>
        <v/>
      </c>
      <c r="T815" t="str">
        <f t="array" ref="T815">IF($A815="","",INDEX(JupData!$A$2:$K$10000,MATCH($A815&amp;T$1,JupData!$A$2:$A$10000&amp;JupData!$J$2:$J$10000,0),11))</f>
        <v/>
      </c>
      <c r="U815" t="str">
        <f t="array" ref="U815">IF($A815="","",INDEX(JupData!$A$2:$K$10000,MATCH($A815&amp;U$1,JupData!$A$2:$A$10000&amp;JupData!$J$2:$J$10000,0),11))</f>
        <v/>
      </c>
      <c r="V815" t="str">
        <f t="array" ref="V815">IF($A815="","",INDEX(JupData!$A$2:$K$10000,MATCH($A815&amp;V$1,JupData!$A$2:$A$10000&amp;JupData!$J$2:$J$10000,0),11))</f>
        <v/>
      </c>
      <c r="W815" t="str">
        <f t="array" ref="W815">IF($A815="","",INDEX(JupData!$A$2:$K$10000,MATCH($A815&amp;W$1,JupData!$A$2:$A$10000&amp;JupData!$J$2:$J$10000,0),11))</f>
        <v/>
      </c>
      <c r="X815" t="str">
        <f t="array" ref="X815">IF($A815="","",INDEX(JupData!$A$2:$K$10000,MATCH($A815&amp;X$1,JupData!$A$2:$A$10000&amp;JupData!$J$2:$J$10000,0),11))</f>
        <v/>
      </c>
      <c r="Y815" t="str">
        <f t="array" ref="Y815">IF($A815="","",INDEX(JupData!$A$2:$K$10000,MATCH($A815&amp;Y$1,JupData!$A$2:$A$10000&amp;JupData!$J$2:$J$10000,0),11))</f>
        <v/>
      </c>
      <c r="Z815" t="str">
        <f t="array" ref="Z815">IF($A815="","",INDEX(JupData!$A$2:$K$10000,MATCH($A815&amp;Z$1,JupData!$A$2:$A$10000&amp;JupData!$J$2:$J$10000,0),11))</f>
        <v/>
      </c>
      <c r="AA815" t="str">
        <f t="array" ref="AA815">IF($A815="","",INDEX(JupData!$A$2:$K$10000,MATCH($A815&amp;AA$1,JupData!$A$2:$A$10000&amp;JupData!$J$2:$J$10000,0),11))</f>
        <v/>
      </c>
      <c r="AB815" t="str">
        <f t="array" ref="AB815">IF($A815="","",INDEX(JupData!$A$2:$K$10000,MATCH($A815&amp;AB$1,JupData!$A$2:$A$10000&amp;JupData!$J$2:$J$10000,0),11))</f>
        <v/>
      </c>
      <c r="AC815" s="10" t="str">
        <f t="shared" si="132"/>
        <v/>
      </c>
      <c r="AD815" s="10" t="str">
        <f t="shared" si="133"/>
        <v/>
      </c>
      <c r="AE815" s="9" t="str">
        <f t="shared" si="134"/>
        <v/>
      </c>
      <c r="AF815" s="10" t="str">
        <f t="shared" si="135"/>
        <v/>
      </c>
      <c r="AG815" s="10" t="str">
        <f t="shared" si="136"/>
        <v/>
      </c>
      <c r="AH815" s="10" t="str">
        <f t="shared" si="137"/>
        <v/>
      </c>
      <c r="AI815" s="10" t="str">
        <f t="shared" si="138"/>
        <v/>
      </c>
      <c r="AJ815" s="10" t="str">
        <f t="shared" si="139"/>
        <v/>
      </c>
      <c r="AK815" s="10" t="str">
        <f t="shared" si="140"/>
        <v/>
      </c>
      <c r="AL815" s="14" t="str">
        <f t="shared" si="141"/>
        <v/>
      </c>
    </row>
    <row r="816" spans="1:38" x14ac:dyDescent="0.2">
      <c r="A816"/>
      <c r="B816" t="str">
        <f>IF($A816="","",VLOOKUP($A816,JupData!$A$2:$I$10000,4,FALSE))</f>
        <v/>
      </c>
      <c r="C816" s="7" t="str">
        <f>IF($A816="",IF(N(D816),0,""),VLOOKUP($A816,JupData!$A$2:$I$10000,7,FALSE))</f>
        <v/>
      </c>
      <c r="D816" t="str">
        <f t="shared" si="142"/>
        <v/>
      </c>
      <c r="E816" t="str">
        <f t="array" ref="E816">IF($A816="","",INDEX(JupData!$A$2:$K$10000,MATCH($A816&amp;E$1,JupData!$A$2:$A$10000&amp;JupData!$J$2:$J$10000,0),11))</f>
        <v/>
      </c>
      <c r="F816" t="str">
        <f t="array" ref="F816">IF($A816="","",INDEX(JupData!$A$2:$K$10000,MATCH($A816&amp;F$1,JupData!$A$2:$A$10000&amp;JupData!$J$2:$J$10000,0),11))</f>
        <v/>
      </c>
      <c r="G816" t="str">
        <f t="array" ref="G816">IF($A816="","",INDEX(JupData!$A$2:$K$10000,MATCH($A816&amp;G$1,JupData!$A$2:$A$10000&amp;JupData!$J$2:$J$10000,0),11))</f>
        <v/>
      </c>
      <c r="H816" t="str">
        <f t="array" ref="H816">IF($A816="","",INDEX(JupData!$A$2:$K$10000,MATCH($A816&amp;H$1,JupData!$A$2:$A$10000&amp;JupData!$J$2:$J$10000,0),11))</f>
        <v/>
      </c>
      <c r="I816" t="str">
        <f t="array" ref="I816">IF($A816="","",INDEX(JupData!$A$2:$K$10000,MATCH($A816&amp;I$1,JupData!$A$2:$A$10000&amp;JupData!$J$2:$J$10000,0),11))</f>
        <v/>
      </c>
      <c r="J816" t="str">
        <f t="array" ref="J816">IF($A816="","",INDEX(JupData!$A$2:$K$10000,MATCH($A816&amp;J$1,JupData!$A$2:$A$10000&amp;JupData!$J$2:$J$10000,0),11))</f>
        <v/>
      </c>
      <c r="K816" t="str">
        <f t="array" ref="K816">IF($A816="","",INDEX(JupData!$A$2:$K$10000,MATCH($A816&amp;K$1,JupData!$A$2:$A$10000&amp;JupData!$J$2:$J$10000,0),11))</f>
        <v/>
      </c>
      <c r="L816" t="str">
        <f t="array" ref="L816">IF($A816="","",INDEX(JupData!$A$2:$K$10000,MATCH($A816&amp;L$1,JupData!$A$2:$A$10000&amp;JupData!$J$2:$J$10000,0),11))</f>
        <v/>
      </c>
      <c r="M816" t="str">
        <f t="array" ref="M816">IF($A816="","",INDEX(JupData!$A$2:$K$10000,MATCH($A816&amp;M$1,JupData!$A$2:$A$10000&amp;JupData!$J$2:$J$10000,0),11))</f>
        <v/>
      </c>
      <c r="N816" t="str">
        <f t="array" ref="N816">IF($A816="","",INDEX(JupData!$A$2:$K$10000,MATCH($A816&amp;N$1,JupData!$A$2:$A$10000&amp;JupData!$J$2:$J$10000,0),11))</f>
        <v/>
      </c>
      <c r="O816" t="str">
        <f t="array" ref="O816">IF($A816="","",INDEX(JupData!$A$2:$K$10000,MATCH($A816&amp;O$1,JupData!$A$2:$A$10000&amp;JupData!$J$2:$J$10000,0),11))</f>
        <v/>
      </c>
      <c r="P816" t="str">
        <f t="array" ref="P816">IF($A816="","",INDEX(JupData!$A$2:$K$10000,MATCH($A816&amp;P$1,JupData!$A$2:$A$10000&amp;JupData!$J$2:$J$10000,0),11))</f>
        <v/>
      </c>
      <c r="Q816" t="str">
        <f t="array" ref="Q816">IF($A816="","",INDEX(JupData!$A$2:$K$10000,MATCH($A816&amp;Q$1,JupData!$A$2:$A$10000&amp;JupData!$J$2:$J$10000,0),11))</f>
        <v/>
      </c>
      <c r="R816" t="str">
        <f t="array" ref="R816">IF($A816="","",INDEX(JupData!$A$2:$K$10000,MATCH($A816&amp;R$1,JupData!$A$2:$A$10000&amp;JupData!$J$2:$J$10000,0),11))</f>
        <v/>
      </c>
      <c r="S816" t="str">
        <f t="array" ref="S816">IF($A816="","",INDEX(JupData!$A$2:$K$10000,MATCH($A816&amp;S$1,JupData!$A$2:$A$10000&amp;JupData!$J$2:$J$10000,0),11))</f>
        <v/>
      </c>
      <c r="T816" t="str">
        <f t="array" ref="T816">IF($A816="","",INDEX(JupData!$A$2:$K$10000,MATCH($A816&amp;T$1,JupData!$A$2:$A$10000&amp;JupData!$J$2:$J$10000,0),11))</f>
        <v/>
      </c>
      <c r="U816" t="str">
        <f t="array" ref="U816">IF($A816="","",INDEX(JupData!$A$2:$K$10000,MATCH($A816&amp;U$1,JupData!$A$2:$A$10000&amp;JupData!$J$2:$J$10000,0),11))</f>
        <v/>
      </c>
      <c r="V816" t="str">
        <f t="array" ref="V816">IF($A816="","",INDEX(JupData!$A$2:$K$10000,MATCH($A816&amp;V$1,JupData!$A$2:$A$10000&amp;JupData!$J$2:$J$10000,0),11))</f>
        <v/>
      </c>
      <c r="W816" t="str">
        <f t="array" ref="W816">IF($A816="","",INDEX(JupData!$A$2:$K$10000,MATCH($A816&amp;W$1,JupData!$A$2:$A$10000&amp;JupData!$J$2:$J$10000,0),11))</f>
        <v/>
      </c>
      <c r="X816" t="str">
        <f t="array" ref="X816">IF($A816="","",INDEX(JupData!$A$2:$K$10000,MATCH($A816&amp;X$1,JupData!$A$2:$A$10000&amp;JupData!$J$2:$J$10000,0),11))</f>
        <v/>
      </c>
      <c r="Y816" t="str">
        <f t="array" ref="Y816">IF($A816="","",INDEX(JupData!$A$2:$K$10000,MATCH($A816&amp;Y$1,JupData!$A$2:$A$10000&amp;JupData!$J$2:$J$10000,0),11))</f>
        <v/>
      </c>
      <c r="Z816" t="str">
        <f t="array" ref="Z816">IF($A816="","",INDEX(JupData!$A$2:$K$10000,MATCH($A816&amp;Z$1,JupData!$A$2:$A$10000&amp;JupData!$J$2:$J$10000,0),11))</f>
        <v/>
      </c>
      <c r="AA816" t="str">
        <f t="array" ref="AA816">IF($A816="","",INDEX(JupData!$A$2:$K$10000,MATCH($A816&amp;AA$1,JupData!$A$2:$A$10000&amp;JupData!$J$2:$J$10000,0),11))</f>
        <v/>
      </c>
      <c r="AB816" t="str">
        <f t="array" ref="AB816">IF($A816="","",INDEX(JupData!$A$2:$K$10000,MATCH($A816&amp;AB$1,JupData!$A$2:$A$10000&amp;JupData!$J$2:$J$10000,0),11))</f>
        <v/>
      </c>
      <c r="AC816" s="10" t="str">
        <f t="shared" si="132"/>
        <v/>
      </c>
      <c r="AD816" s="10" t="str">
        <f t="shared" si="133"/>
        <v/>
      </c>
      <c r="AE816" s="9" t="str">
        <f t="shared" si="134"/>
        <v/>
      </c>
      <c r="AF816" s="10" t="str">
        <f t="shared" si="135"/>
        <v/>
      </c>
      <c r="AG816" s="10" t="str">
        <f t="shared" si="136"/>
        <v/>
      </c>
      <c r="AH816" s="10" t="str">
        <f t="shared" si="137"/>
        <v/>
      </c>
      <c r="AI816" s="10" t="str">
        <f t="shared" si="138"/>
        <v/>
      </c>
      <c r="AJ816" s="10" t="str">
        <f t="shared" si="139"/>
        <v/>
      </c>
      <c r="AK816" s="10" t="str">
        <f t="shared" si="140"/>
        <v/>
      </c>
      <c r="AL816" s="14" t="str">
        <f t="shared" si="141"/>
        <v/>
      </c>
    </row>
    <row r="817" spans="1:38" x14ac:dyDescent="0.2">
      <c r="A817"/>
      <c r="B817" t="str">
        <f>IF($A817="","",VLOOKUP($A817,JupData!$A$2:$I$10000,4,FALSE))</f>
        <v/>
      </c>
      <c r="C817" s="7" t="str">
        <f>IF($A817="",IF(N(D817),0,""),VLOOKUP($A817,JupData!$A$2:$I$10000,7,FALSE))</f>
        <v/>
      </c>
      <c r="D817" t="str">
        <f t="shared" si="142"/>
        <v/>
      </c>
      <c r="E817" t="str">
        <f t="array" ref="E817">IF($A817="","",INDEX(JupData!$A$2:$K$10000,MATCH($A817&amp;E$1,JupData!$A$2:$A$10000&amp;JupData!$J$2:$J$10000,0),11))</f>
        <v/>
      </c>
      <c r="F817" t="str">
        <f t="array" ref="F817">IF($A817="","",INDEX(JupData!$A$2:$K$10000,MATCH($A817&amp;F$1,JupData!$A$2:$A$10000&amp;JupData!$J$2:$J$10000,0),11))</f>
        <v/>
      </c>
      <c r="G817" t="str">
        <f t="array" ref="G817">IF($A817="","",INDEX(JupData!$A$2:$K$10000,MATCH($A817&amp;G$1,JupData!$A$2:$A$10000&amp;JupData!$J$2:$J$10000,0),11))</f>
        <v/>
      </c>
      <c r="H817" t="str">
        <f t="array" ref="H817">IF($A817="","",INDEX(JupData!$A$2:$K$10000,MATCH($A817&amp;H$1,JupData!$A$2:$A$10000&amp;JupData!$J$2:$J$10000,0),11))</f>
        <v/>
      </c>
      <c r="I817" t="str">
        <f t="array" ref="I817">IF($A817="","",INDEX(JupData!$A$2:$K$10000,MATCH($A817&amp;I$1,JupData!$A$2:$A$10000&amp;JupData!$J$2:$J$10000,0),11))</f>
        <v/>
      </c>
      <c r="J817" t="str">
        <f t="array" ref="J817">IF($A817="","",INDEX(JupData!$A$2:$K$10000,MATCH($A817&amp;J$1,JupData!$A$2:$A$10000&amp;JupData!$J$2:$J$10000,0),11))</f>
        <v/>
      </c>
      <c r="K817" t="str">
        <f t="array" ref="K817">IF($A817="","",INDEX(JupData!$A$2:$K$10000,MATCH($A817&amp;K$1,JupData!$A$2:$A$10000&amp;JupData!$J$2:$J$10000,0),11))</f>
        <v/>
      </c>
      <c r="L817" t="str">
        <f t="array" ref="L817">IF($A817="","",INDEX(JupData!$A$2:$K$10000,MATCH($A817&amp;L$1,JupData!$A$2:$A$10000&amp;JupData!$J$2:$J$10000,0),11))</f>
        <v/>
      </c>
      <c r="M817" t="str">
        <f t="array" ref="M817">IF($A817="","",INDEX(JupData!$A$2:$K$10000,MATCH($A817&amp;M$1,JupData!$A$2:$A$10000&amp;JupData!$J$2:$J$10000,0),11))</f>
        <v/>
      </c>
      <c r="N817" t="str">
        <f t="array" ref="N817">IF($A817="","",INDEX(JupData!$A$2:$K$10000,MATCH($A817&amp;N$1,JupData!$A$2:$A$10000&amp;JupData!$J$2:$J$10000,0),11))</f>
        <v/>
      </c>
      <c r="O817" t="str">
        <f t="array" ref="O817">IF($A817="","",INDEX(JupData!$A$2:$K$10000,MATCH($A817&amp;O$1,JupData!$A$2:$A$10000&amp;JupData!$J$2:$J$10000,0),11))</f>
        <v/>
      </c>
      <c r="P817" t="str">
        <f t="array" ref="P817">IF($A817="","",INDEX(JupData!$A$2:$K$10000,MATCH($A817&amp;P$1,JupData!$A$2:$A$10000&amp;JupData!$J$2:$J$10000,0),11))</f>
        <v/>
      </c>
      <c r="Q817" t="str">
        <f t="array" ref="Q817">IF($A817="","",INDEX(JupData!$A$2:$K$10000,MATCH($A817&amp;Q$1,JupData!$A$2:$A$10000&amp;JupData!$J$2:$J$10000,0),11))</f>
        <v/>
      </c>
      <c r="R817" t="str">
        <f t="array" ref="R817">IF($A817="","",INDEX(JupData!$A$2:$K$10000,MATCH($A817&amp;R$1,JupData!$A$2:$A$10000&amp;JupData!$J$2:$J$10000,0),11))</f>
        <v/>
      </c>
      <c r="S817" t="str">
        <f t="array" ref="S817">IF($A817="","",INDEX(JupData!$A$2:$K$10000,MATCH($A817&amp;S$1,JupData!$A$2:$A$10000&amp;JupData!$J$2:$J$10000,0),11))</f>
        <v/>
      </c>
      <c r="T817" t="str">
        <f t="array" ref="T817">IF($A817="","",INDEX(JupData!$A$2:$K$10000,MATCH($A817&amp;T$1,JupData!$A$2:$A$10000&amp;JupData!$J$2:$J$10000,0),11))</f>
        <v/>
      </c>
      <c r="U817" t="str">
        <f t="array" ref="U817">IF($A817="","",INDEX(JupData!$A$2:$K$10000,MATCH($A817&amp;U$1,JupData!$A$2:$A$10000&amp;JupData!$J$2:$J$10000,0),11))</f>
        <v/>
      </c>
      <c r="V817" t="str">
        <f t="array" ref="V817">IF($A817="","",INDEX(JupData!$A$2:$K$10000,MATCH($A817&amp;V$1,JupData!$A$2:$A$10000&amp;JupData!$J$2:$J$10000,0),11))</f>
        <v/>
      </c>
      <c r="W817" t="str">
        <f t="array" ref="W817">IF($A817="","",INDEX(JupData!$A$2:$K$10000,MATCH($A817&amp;W$1,JupData!$A$2:$A$10000&amp;JupData!$J$2:$J$10000,0),11))</f>
        <v/>
      </c>
      <c r="X817" t="str">
        <f t="array" ref="X817">IF($A817="","",INDEX(JupData!$A$2:$K$10000,MATCH($A817&amp;X$1,JupData!$A$2:$A$10000&amp;JupData!$J$2:$J$10000,0),11))</f>
        <v/>
      </c>
      <c r="Y817" t="str">
        <f t="array" ref="Y817">IF($A817="","",INDEX(JupData!$A$2:$K$10000,MATCH($A817&amp;Y$1,JupData!$A$2:$A$10000&amp;JupData!$J$2:$J$10000,0),11))</f>
        <v/>
      </c>
      <c r="Z817" t="str">
        <f t="array" ref="Z817">IF($A817="","",INDEX(JupData!$A$2:$K$10000,MATCH($A817&amp;Z$1,JupData!$A$2:$A$10000&amp;JupData!$J$2:$J$10000,0),11))</f>
        <v/>
      </c>
      <c r="AA817" t="str">
        <f t="array" ref="AA817">IF($A817="","",INDEX(JupData!$A$2:$K$10000,MATCH($A817&amp;AA$1,JupData!$A$2:$A$10000&amp;JupData!$J$2:$J$10000,0),11))</f>
        <v/>
      </c>
      <c r="AB817" t="str">
        <f t="array" ref="AB817">IF($A817="","",INDEX(JupData!$A$2:$K$10000,MATCH($A817&amp;AB$1,JupData!$A$2:$A$10000&amp;JupData!$J$2:$J$10000,0),11))</f>
        <v/>
      </c>
      <c r="AC817" s="10" t="str">
        <f t="shared" si="132"/>
        <v/>
      </c>
      <c r="AD817" s="10" t="str">
        <f t="shared" si="133"/>
        <v/>
      </c>
      <c r="AE817" s="9" t="str">
        <f t="shared" si="134"/>
        <v/>
      </c>
      <c r="AF817" s="10" t="str">
        <f t="shared" si="135"/>
        <v/>
      </c>
      <c r="AG817" s="10" t="str">
        <f t="shared" si="136"/>
        <v/>
      </c>
      <c r="AH817" s="10" t="str">
        <f t="shared" si="137"/>
        <v/>
      </c>
      <c r="AI817" s="10" t="str">
        <f t="shared" si="138"/>
        <v/>
      </c>
      <c r="AJ817" s="10" t="str">
        <f t="shared" si="139"/>
        <v/>
      </c>
      <c r="AK817" s="10" t="str">
        <f t="shared" si="140"/>
        <v/>
      </c>
      <c r="AL817" s="14" t="str">
        <f t="shared" si="141"/>
        <v/>
      </c>
    </row>
    <row r="818" spans="1:38" x14ac:dyDescent="0.2">
      <c r="A818"/>
      <c r="B818" t="str">
        <f>IF($A818="","",VLOOKUP($A818,JupData!$A$2:$I$10000,4,FALSE))</f>
        <v/>
      </c>
      <c r="C818" s="7" t="str">
        <f>IF($A818="",IF(N(D818),0,""),VLOOKUP($A818,JupData!$A$2:$I$10000,7,FALSE))</f>
        <v/>
      </c>
      <c r="D818" t="str">
        <f t="shared" si="142"/>
        <v/>
      </c>
      <c r="E818" t="str">
        <f t="array" ref="E818">IF($A818="","",INDEX(JupData!$A$2:$K$10000,MATCH($A818&amp;E$1,JupData!$A$2:$A$10000&amp;JupData!$J$2:$J$10000,0),11))</f>
        <v/>
      </c>
      <c r="F818" t="str">
        <f t="array" ref="F818">IF($A818="","",INDEX(JupData!$A$2:$K$10000,MATCH($A818&amp;F$1,JupData!$A$2:$A$10000&amp;JupData!$J$2:$J$10000,0),11))</f>
        <v/>
      </c>
      <c r="G818" t="str">
        <f t="array" ref="G818">IF($A818="","",INDEX(JupData!$A$2:$K$10000,MATCH($A818&amp;G$1,JupData!$A$2:$A$10000&amp;JupData!$J$2:$J$10000,0),11))</f>
        <v/>
      </c>
      <c r="H818" t="str">
        <f t="array" ref="H818">IF($A818="","",INDEX(JupData!$A$2:$K$10000,MATCH($A818&amp;H$1,JupData!$A$2:$A$10000&amp;JupData!$J$2:$J$10000,0),11))</f>
        <v/>
      </c>
      <c r="I818" t="str">
        <f t="array" ref="I818">IF($A818="","",INDEX(JupData!$A$2:$K$10000,MATCH($A818&amp;I$1,JupData!$A$2:$A$10000&amp;JupData!$J$2:$J$10000,0),11))</f>
        <v/>
      </c>
      <c r="J818" t="str">
        <f t="array" ref="J818">IF($A818="","",INDEX(JupData!$A$2:$K$10000,MATCH($A818&amp;J$1,JupData!$A$2:$A$10000&amp;JupData!$J$2:$J$10000,0),11))</f>
        <v/>
      </c>
      <c r="K818" t="str">
        <f t="array" ref="K818">IF($A818="","",INDEX(JupData!$A$2:$K$10000,MATCH($A818&amp;K$1,JupData!$A$2:$A$10000&amp;JupData!$J$2:$J$10000,0),11))</f>
        <v/>
      </c>
      <c r="L818" t="str">
        <f t="array" ref="L818">IF($A818="","",INDEX(JupData!$A$2:$K$10000,MATCH($A818&amp;L$1,JupData!$A$2:$A$10000&amp;JupData!$J$2:$J$10000,0),11))</f>
        <v/>
      </c>
      <c r="M818" t="str">
        <f t="array" ref="M818">IF($A818="","",INDEX(JupData!$A$2:$K$10000,MATCH($A818&amp;M$1,JupData!$A$2:$A$10000&amp;JupData!$J$2:$J$10000,0),11))</f>
        <v/>
      </c>
      <c r="N818" t="str">
        <f t="array" ref="N818">IF($A818="","",INDEX(JupData!$A$2:$K$10000,MATCH($A818&amp;N$1,JupData!$A$2:$A$10000&amp;JupData!$J$2:$J$10000,0),11))</f>
        <v/>
      </c>
      <c r="O818" t="str">
        <f t="array" ref="O818">IF($A818="","",INDEX(JupData!$A$2:$K$10000,MATCH($A818&amp;O$1,JupData!$A$2:$A$10000&amp;JupData!$J$2:$J$10000,0),11))</f>
        <v/>
      </c>
      <c r="P818" t="str">
        <f t="array" ref="P818">IF($A818="","",INDEX(JupData!$A$2:$K$10000,MATCH($A818&amp;P$1,JupData!$A$2:$A$10000&amp;JupData!$J$2:$J$10000,0),11))</f>
        <v/>
      </c>
      <c r="Q818" t="str">
        <f t="array" ref="Q818">IF($A818="","",INDEX(JupData!$A$2:$K$10000,MATCH($A818&amp;Q$1,JupData!$A$2:$A$10000&amp;JupData!$J$2:$J$10000,0),11))</f>
        <v/>
      </c>
      <c r="R818" t="str">
        <f t="array" ref="R818">IF($A818="","",INDEX(JupData!$A$2:$K$10000,MATCH($A818&amp;R$1,JupData!$A$2:$A$10000&amp;JupData!$J$2:$J$10000,0),11))</f>
        <v/>
      </c>
      <c r="S818" t="str">
        <f t="array" ref="S818">IF($A818="","",INDEX(JupData!$A$2:$K$10000,MATCH($A818&amp;S$1,JupData!$A$2:$A$10000&amp;JupData!$J$2:$J$10000,0),11))</f>
        <v/>
      </c>
      <c r="T818" t="str">
        <f t="array" ref="T818">IF($A818="","",INDEX(JupData!$A$2:$K$10000,MATCH($A818&amp;T$1,JupData!$A$2:$A$10000&amp;JupData!$J$2:$J$10000,0),11))</f>
        <v/>
      </c>
      <c r="U818" t="str">
        <f t="array" ref="U818">IF($A818="","",INDEX(JupData!$A$2:$K$10000,MATCH($A818&amp;U$1,JupData!$A$2:$A$10000&amp;JupData!$J$2:$J$10000,0),11))</f>
        <v/>
      </c>
      <c r="V818" t="str">
        <f t="array" ref="V818">IF($A818="","",INDEX(JupData!$A$2:$K$10000,MATCH($A818&amp;V$1,JupData!$A$2:$A$10000&amp;JupData!$J$2:$J$10000,0),11))</f>
        <v/>
      </c>
      <c r="W818" t="str">
        <f t="array" ref="W818">IF($A818="","",INDEX(JupData!$A$2:$K$10000,MATCH($A818&amp;W$1,JupData!$A$2:$A$10000&amp;JupData!$J$2:$J$10000,0),11))</f>
        <v/>
      </c>
      <c r="X818" t="str">
        <f t="array" ref="X818">IF($A818="","",INDEX(JupData!$A$2:$K$10000,MATCH($A818&amp;X$1,JupData!$A$2:$A$10000&amp;JupData!$J$2:$J$10000,0),11))</f>
        <v/>
      </c>
      <c r="Y818" t="str">
        <f t="array" ref="Y818">IF($A818="","",INDEX(JupData!$A$2:$K$10000,MATCH($A818&amp;Y$1,JupData!$A$2:$A$10000&amp;JupData!$J$2:$J$10000,0),11))</f>
        <v/>
      </c>
      <c r="Z818" t="str">
        <f t="array" ref="Z818">IF($A818="","",INDEX(JupData!$A$2:$K$10000,MATCH($A818&amp;Z$1,JupData!$A$2:$A$10000&amp;JupData!$J$2:$J$10000,0),11))</f>
        <v/>
      </c>
      <c r="AA818" t="str">
        <f t="array" ref="AA818">IF($A818="","",INDEX(JupData!$A$2:$K$10000,MATCH($A818&amp;AA$1,JupData!$A$2:$A$10000&amp;JupData!$J$2:$J$10000,0),11))</f>
        <v/>
      </c>
      <c r="AB818" t="str">
        <f t="array" ref="AB818">IF($A818="","",INDEX(JupData!$A$2:$K$10000,MATCH($A818&amp;AB$1,JupData!$A$2:$A$10000&amp;JupData!$J$2:$J$10000,0),11))</f>
        <v/>
      </c>
      <c r="AC818" s="10" t="str">
        <f t="shared" si="132"/>
        <v/>
      </c>
      <c r="AD818" s="10" t="str">
        <f t="shared" si="133"/>
        <v/>
      </c>
      <c r="AE818" s="9" t="str">
        <f t="shared" si="134"/>
        <v/>
      </c>
      <c r="AF818" s="10" t="str">
        <f t="shared" si="135"/>
        <v/>
      </c>
      <c r="AG818" s="10" t="str">
        <f t="shared" si="136"/>
        <v/>
      </c>
      <c r="AH818" s="10" t="str">
        <f t="shared" si="137"/>
        <v/>
      </c>
      <c r="AI818" s="10" t="str">
        <f t="shared" si="138"/>
        <v/>
      </c>
      <c r="AJ818" s="10" t="str">
        <f t="shared" si="139"/>
        <v/>
      </c>
      <c r="AK818" s="10" t="str">
        <f t="shared" si="140"/>
        <v/>
      </c>
      <c r="AL818" s="14" t="str">
        <f t="shared" si="141"/>
        <v/>
      </c>
    </row>
    <row r="819" spans="1:38" x14ac:dyDescent="0.2">
      <c r="A819"/>
      <c r="B819" t="str">
        <f>IF($A819="","",VLOOKUP($A819,JupData!$A$2:$I$10000,4,FALSE))</f>
        <v/>
      </c>
      <c r="C819" s="7" t="str">
        <f>IF($A819="",IF(N(D819),0,""),VLOOKUP($A819,JupData!$A$2:$I$10000,7,FALSE))</f>
        <v/>
      </c>
      <c r="D819" t="str">
        <f t="shared" si="142"/>
        <v/>
      </c>
      <c r="E819" t="str">
        <f t="array" ref="E819">IF($A819="","",INDEX(JupData!$A$2:$K$10000,MATCH($A819&amp;E$1,JupData!$A$2:$A$10000&amp;JupData!$J$2:$J$10000,0),11))</f>
        <v/>
      </c>
      <c r="F819" t="str">
        <f t="array" ref="F819">IF($A819="","",INDEX(JupData!$A$2:$K$10000,MATCH($A819&amp;F$1,JupData!$A$2:$A$10000&amp;JupData!$J$2:$J$10000,0),11))</f>
        <v/>
      </c>
      <c r="G819" t="str">
        <f t="array" ref="G819">IF($A819="","",INDEX(JupData!$A$2:$K$10000,MATCH($A819&amp;G$1,JupData!$A$2:$A$10000&amp;JupData!$J$2:$J$10000,0),11))</f>
        <v/>
      </c>
      <c r="H819" t="str">
        <f t="array" ref="H819">IF($A819="","",INDEX(JupData!$A$2:$K$10000,MATCH($A819&amp;H$1,JupData!$A$2:$A$10000&amp;JupData!$J$2:$J$10000,0),11))</f>
        <v/>
      </c>
      <c r="I819" t="str">
        <f t="array" ref="I819">IF($A819="","",INDEX(JupData!$A$2:$K$10000,MATCH($A819&amp;I$1,JupData!$A$2:$A$10000&amp;JupData!$J$2:$J$10000,0),11))</f>
        <v/>
      </c>
      <c r="J819" t="str">
        <f t="array" ref="J819">IF($A819="","",INDEX(JupData!$A$2:$K$10000,MATCH($A819&amp;J$1,JupData!$A$2:$A$10000&amp;JupData!$J$2:$J$10000,0),11))</f>
        <v/>
      </c>
      <c r="K819" t="str">
        <f t="array" ref="K819">IF($A819="","",INDEX(JupData!$A$2:$K$10000,MATCH($A819&amp;K$1,JupData!$A$2:$A$10000&amp;JupData!$J$2:$J$10000,0),11))</f>
        <v/>
      </c>
      <c r="L819" t="str">
        <f t="array" ref="L819">IF($A819="","",INDEX(JupData!$A$2:$K$10000,MATCH($A819&amp;L$1,JupData!$A$2:$A$10000&amp;JupData!$J$2:$J$10000,0),11))</f>
        <v/>
      </c>
      <c r="M819" t="str">
        <f t="array" ref="M819">IF($A819="","",INDEX(JupData!$A$2:$K$10000,MATCH($A819&amp;M$1,JupData!$A$2:$A$10000&amp;JupData!$J$2:$J$10000,0),11))</f>
        <v/>
      </c>
      <c r="N819" t="str">
        <f t="array" ref="N819">IF($A819="","",INDEX(JupData!$A$2:$K$10000,MATCH($A819&amp;N$1,JupData!$A$2:$A$10000&amp;JupData!$J$2:$J$10000,0),11))</f>
        <v/>
      </c>
      <c r="O819" t="str">
        <f t="array" ref="O819">IF($A819="","",INDEX(JupData!$A$2:$K$10000,MATCH($A819&amp;O$1,JupData!$A$2:$A$10000&amp;JupData!$J$2:$J$10000,0),11))</f>
        <v/>
      </c>
      <c r="P819" t="str">
        <f t="array" ref="P819">IF($A819="","",INDEX(JupData!$A$2:$K$10000,MATCH($A819&amp;P$1,JupData!$A$2:$A$10000&amp;JupData!$J$2:$J$10000,0),11))</f>
        <v/>
      </c>
      <c r="Q819" t="str">
        <f t="array" ref="Q819">IF($A819="","",INDEX(JupData!$A$2:$K$10000,MATCH($A819&amp;Q$1,JupData!$A$2:$A$10000&amp;JupData!$J$2:$J$10000,0),11))</f>
        <v/>
      </c>
      <c r="R819" t="str">
        <f t="array" ref="R819">IF($A819="","",INDEX(JupData!$A$2:$K$10000,MATCH($A819&amp;R$1,JupData!$A$2:$A$10000&amp;JupData!$J$2:$J$10000,0),11))</f>
        <v/>
      </c>
      <c r="S819" t="str">
        <f t="array" ref="S819">IF($A819="","",INDEX(JupData!$A$2:$K$10000,MATCH($A819&amp;S$1,JupData!$A$2:$A$10000&amp;JupData!$J$2:$J$10000,0),11))</f>
        <v/>
      </c>
      <c r="T819" t="str">
        <f t="array" ref="T819">IF($A819="","",INDEX(JupData!$A$2:$K$10000,MATCH($A819&amp;T$1,JupData!$A$2:$A$10000&amp;JupData!$J$2:$J$10000,0),11))</f>
        <v/>
      </c>
      <c r="U819" t="str">
        <f t="array" ref="U819">IF($A819="","",INDEX(JupData!$A$2:$K$10000,MATCH($A819&amp;U$1,JupData!$A$2:$A$10000&amp;JupData!$J$2:$J$10000,0),11))</f>
        <v/>
      </c>
      <c r="V819" t="str">
        <f t="array" ref="V819">IF($A819="","",INDEX(JupData!$A$2:$K$10000,MATCH($A819&amp;V$1,JupData!$A$2:$A$10000&amp;JupData!$J$2:$J$10000,0),11))</f>
        <v/>
      </c>
      <c r="W819" t="str">
        <f t="array" ref="W819">IF($A819="","",INDEX(JupData!$A$2:$K$10000,MATCH($A819&amp;W$1,JupData!$A$2:$A$10000&amp;JupData!$J$2:$J$10000,0),11))</f>
        <v/>
      </c>
      <c r="X819" t="str">
        <f t="array" ref="X819">IF($A819="","",INDEX(JupData!$A$2:$K$10000,MATCH($A819&amp;X$1,JupData!$A$2:$A$10000&amp;JupData!$J$2:$J$10000,0),11))</f>
        <v/>
      </c>
      <c r="Y819" t="str">
        <f t="array" ref="Y819">IF($A819="","",INDEX(JupData!$A$2:$K$10000,MATCH($A819&amp;Y$1,JupData!$A$2:$A$10000&amp;JupData!$J$2:$J$10000,0),11))</f>
        <v/>
      </c>
      <c r="Z819" t="str">
        <f t="array" ref="Z819">IF($A819="","",INDEX(JupData!$A$2:$K$10000,MATCH($A819&amp;Z$1,JupData!$A$2:$A$10000&amp;JupData!$J$2:$J$10000,0),11))</f>
        <v/>
      </c>
      <c r="AA819" t="str">
        <f t="array" ref="AA819">IF($A819="","",INDEX(JupData!$A$2:$K$10000,MATCH($A819&amp;AA$1,JupData!$A$2:$A$10000&amp;JupData!$J$2:$J$10000,0),11))</f>
        <v/>
      </c>
      <c r="AB819" t="str">
        <f t="array" ref="AB819">IF($A819="","",INDEX(JupData!$A$2:$K$10000,MATCH($A819&amp;AB$1,JupData!$A$2:$A$10000&amp;JupData!$J$2:$J$10000,0),11))</f>
        <v/>
      </c>
      <c r="AC819" s="10" t="str">
        <f t="shared" si="132"/>
        <v/>
      </c>
      <c r="AD819" s="10" t="str">
        <f t="shared" si="133"/>
        <v/>
      </c>
      <c r="AE819" s="9" t="str">
        <f t="shared" si="134"/>
        <v/>
      </c>
      <c r="AF819" s="10" t="str">
        <f t="shared" si="135"/>
        <v/>
      </c>
      <c r="AG819" s="10" t="str">
        <f t="shared" si="136"/>
        <v/>
      </c>
      <c r="AH819" s="10" t="str">
        <f t="shared" si="137"/>
        <v/>
      </c>
      <c r="AI819" s="10" t="str">
        <f t="shared" si="138"/>
        <v/>
      </c>
      <c r="AJ819" s="10" t="str">
        <f t="shared" si="139"/>
        <v/>
      </c>
      <c r="AK819" s="10" t="str">
        <f t="shared" si="140"/>
        <v/>
      </c>
      <c r="AL819" s="14" t="str">
        <f t="shared" si="141"/>
        <v/>
      </c>
    </row>
    <row r="820" spans="1:38" x14ac:dyDescent="0.2">
      <c r="A820"/>
      <c r="B820" t="str">
        <f>IF($A820="","",VLOOKUP($A820,JupData!$A$2:$I$10000,4,FALSE))</f>
        <v/>
      </c>
      <c r="C820" s="7" t="str">
        <f>IF($A820="",IF(N(D820),0,""),VLOOKUP($A820,JupData!$A$2:$I$10000,7,FALSE))</f>
        <v/>
      </c>
      <c r="D820" t="str">
        <f t="shared" si="142"/>
        <v/>
      </c>
      <c r="E820" t="str">
        <f t="array" ref="E820">IF($A820="","",INDEX(JupData!$A$2:$K$10000,MATCH($A820&amp;E$1,JupData!$A$2:$A$10000&amp;JupData!$J$2:$J$10000,0),11))</f>
        <v/>
      </c>
      <c r="F820" t="str">
        <f t="array" ref="F820">IF($A820="","",INDEX(JupData!$A$2:$K$10000,MATCH($A820&amp;F$1,JupData!$A$2:$A$10000&amp;JupData!$J$2:$J$10000,0),11))</f>
        <v/>
      </c>
      <c r="G820" t="str">
        <f t="array" ref="G820">IF($A820="","",INDEX(JupData!$A$2:$K$10000,MATCH($A820&amp;G$1,JupData!$A$2:$A$10000&amp;JupData!$J$2:$J$10000,0),11))</f>
        <v/>
      </c>
      <c r="H820" t="str">
        <f t="array" ref="H820">IF($A820="","",INDEX(JupData!$A$2:$K$10000,MATCH($A820&amp;H$1,JupData!$A$2:$A$10000&amp;JupData!$J$2:$J$10000,0),11))</f>
        <v/>
      </c>
      <c r="I820" t="str">
        <f t="array" ref="I820">IF($A820="","",INDEX(JupData!$A$2:$K$10000,MATCH($A820&amp;I$1,JupData!$A$2:$A$10000&amp;JupData!$J$2:$J$10000,0),11))</f>
        <v/>
      </c>
      <c r="J820" t="str">
        <f t="array" ref="J820">IF($A820="","",INDEX(JupData!$A$2:$K$10000,MATCH($A820&amp;J$1,JupData!$A$2:$A$10000&amp;JupData!$J$2:$J$10000,0),11))</f>
        <v/>
      </c>
      <c r="K820" t="str">
        <f t="array" ref="K820">IF($A820="","",INDEX(JupData!$A$2:$K$10000,MATCH($A820&amp;K$1,JupData!$A$2:$A$10000&amp;JupData!$J$2:$J$10000,0),11))</f>
        <v/>
      </c>
      <c r="L820" t="str">
        <f t="array" ref="L820">IF($A820="","",INDEX(JupData!$A$2:$K$10000,MATCH($A820&amp;L$1,JupData!$A$2:$A$10000&amp;JupData!$J$2:$J$10000,0),11))</f>
        <v/>
      </c>
      <c r="M820" t="str">
        <f t="array" ref="M820">IF($A820="","",INDEX(JupData!$A$2:$K$10000,MATCH($A820&amp;M$1,JupData!$A$2:$A$10000&amp;JupData!$J$2:$J$10000,0),11))</f>
        <v/>
      </c>
      <c r="N820" t="str">
        <f t="array" ref="N820">IF($A820="","",INDEX(JupData!$A$2:$K$10000,MATCH($A820&amp;N$1,JupData!$A$2:$A$10000&amp;JupData!$J$2:$J$10000,0),11))</f>
        <v/>
      </c>
      <c r="O820" t="str">
        <f t="array" ref="O820">IF($A820="","",INDEX(JupData!$A$2:$K$10000,MATCH($A820&amp;O$1,JupData!$A$2:$A$10000&amp;JupData!$J$2:$J$10000,0),11))</f>
        <v/>
      </c>
      <c r="P820" t="str">
        <f t="array" ref="P820">IF($A820="","",INDEX(JupData!$A$2:$K$10000,MATCH($A820&amp;P$1,JupData!$A$2:$A$10000&amp;JupData!$J$2:$J$10000,0),11))</f>
        <v/>
      </c>
      <c r="Q820" t="str">
        <f t="array" ref="Q820">IF($A820="","",INDEX(JupData!$A$2:$K$10000,MATCH($A820&amp;Q$1,JupData!$A$2:$A$10000&amp;JupData!$J$2:$J$10000,0),11))</f>
        <v/>
      </c>
      <c r="R820" t="str">
        <f t="array" ref="R820">IF($A820="","",INDEX(JupData!$A$2:$K$10000,MATCH($A820&amp;R$1,JupData!$A$2:$A$10000&amp;JupData!$J$2:$J$10000,0),11))</f>
        <v/>
      </c>
      <c r="S820" t="str">
        <f t="array" ref="S820">IF($A820="","",INDEX(JupData!$A$2:$K$10000,MATCH($A820&amp;S$1,JupData!$A$2:$A$10000&amp;JupData!$J$2:$J$10000,0),11))</f>
        <v/>
      </c>
      <c r="T820" t="str">
        <f t="array" ref="T820">IF($A820="","",INDEX(JupData!$A$2:$K$10000,MATCH($A820&amp;T$1,JupData!$A$2:$A$10000&amp;JupData!$J$2:$J$10000,0),11))</f>
        <v/>
      </c>
      <c r="U820" t="str">
        <f t="array" ref="U820">IF($A820="","",INDEX(JupData!$A$2:$K$10000,MATCH($A820&amp;U$1,JupData!$A$2:$A$10000&amp;JupData!$J$2:$J$10000,0),11))</f>
        <v/>
      </c>
      <c r="V820" t="str">
        <f t="array" ref="V820">IF($A820="","",INDEX(JupData!$A$2:$K$10000,MATCH($A820&amp;V$1,JupData!$A$2:$A$10000&amp;JupData!$J$2:$J$10000,0),11))</f>
        <v/>
      </c>
      <c r="W820" t="str">
        <f t="array" ref="W820">IF($A820="","",INDEX(JupData!$A$2:$K$10000,MATCH($A820&amp;W$1,JupData!$A$2:$A$10000&amp;JupData!$J$2:$J$10000,0),11))</f>
        <v/>
      </c>
      <c r="X820" t="str">
        <f t="array" ref="X820">IF($A820="","",INDEX(JupData!$A$2:$K$10000,MATCH($A820&amp;X$1,JupData!$A$2:$A$10000&amp;JupData!$J$2:$J$10000,0),11))</f>
        <v/>
      </c>
      <c r="Y820" t="str">
        <f t="array" ref="Y820">IF($A820="","",INDEX(JupData!$A$2:$K$10000,MATCH($A820&amp;Y$1,JupData!$A$2:$A$10000&amp;JupData!$J$2:$J$10000,0),11))</f>
        <v/>
      </c>
      <c r="Z820" t="str">
        <f t="array" ref="Z820">IF($A820="","",INDEX(JupData!$A$2:$K$10000,MATCH($A820&amp;Z$1,JupData!$A$2:$A$10000&amp;JupData!$J$2:$J$10000,0),11))</f>
        <v/>
      </c>
      <c r="AA820" t="str">
        <f t="array" ref="AA820">IF($A820="","",INDEX(JupData!$A$2:$K$10000,MATCH($A820&amp;AA$1,JupData!$A$2:$A$10000&amp;JupData!$J$2:$J$10000,0),11))</f>
        <v/>
      </c>
      <c r="AB820" t="str">
        <f t="array" ref="AB820">IF($A820="","",INDEX(JupData!$A$2:$K$10000,MATCH($A820&amp;AB$1,JupData!$A$2:$A$10000&amp;JupData!$J$2:$J$10000,0),11))</f>
        <v/>
      </c>
      <c r="AC820" s="10" t="str">
        <f t="shared" si="132"/>
        <v/>
      </c>
      <c r="AD820" s="10" t="str">
        <f t="shared" si="133"/>
        <v/>
      </c>
      <c r="AE820" s="9" t="str">
        <f t="shared" si="134"/>
        <v/>
      </c>
      <c r="AF820" s="10" t="str">
        <f t="shared" si="135"/>
        <v/>
      </c>
      <c r="AG820" s="10" t="str">
        <f t="shared" si="136"/>
        <v/>
      </c>
      <c r="AH820" s="10" t="str">
        <f t="shared" si="137"/>
        <v/>
      </c>
      <c r="AI820" s="10" t="str">
        <f t="shared" si="138"/>
        <v/>
      </c>
      <c r="AJ820" s="10" t="str">
        <f t="shared" si="139"/>
        <v/>
      </c>
      <c r="AK820" s="10" t="str">
        <f t="shared" si="140"/>
        <v/>
      </c>
      <c r="AL820" s="14" t="str">
        <f t="shared" si="141"/>
        <v/>
      </c>
    </row>
    <row r="821" spans="1:38" x14ac:dyDescent="0.2">
      <c r="A821"/>
      <c r="B821" t="str">
        <f>IF($A821="","",VLOOKUP($A821,JupData!$A$2:$I$10000,4,FALSE))</f>
        <v/>
      </c>
      <c r="C821" s="7" t="str">
        <f>IF($A821="",IF(N(D821),0,""),VLOOKUP($A821,JupData!$A$2:$I$10000,7,FALSE))</f>
        <v/>
      </c>
      <c r="D821" t="str">
        <f t="shared" si="142"/>
        <v/>
      </c>
      <c r="E821" t="str">
        <f t="array" ref="E821">IF($A821="","",INDEX(JupData!$A$2:$K$10000,MATCH($A821&amp;E$1,JupData!$A$2:$A$10000&amp;JupData!$J$2:$J$10000,0),11))</f>
        <v/>
      </c>
      <c r="F821" t="str">
        <f t="array" ref="F821">IF($A821="","",INDEX(JupData!$A$2:$K$10000,MATCH($A821&amp;F$1,JupData!$A$2:$A$10000&amp;JupData!$J$2:$J$10000,0),11))</f>
        <v/>
      </c>
      <c r="G821" t="str">
        <f t="array" ref="G821">IF($A821="","",INDEX(JupData!$A$2:$K$10000,MATCH($A821&amp;G$1,JupData!$A$2:$A$10000&amp;JupData!$J$2:$J$10000,0),11))</f>
        <v/>
      </c>
      <c r="H821" t="str">
        <f t="array" ref="H821">IF($A821="","",INDEX(JupData!$A$2:$K$10000,MATCH($A821&amp;H$1,JupData!$A$2:$A$10000&amp;JupData!$J$2:$J$10000,0),11))</f>
        <v/>
      </c>
      <c r="I821" t="str">
        <f t="array" ref="I821">IF($A821="","",INDEX(JupData!$A$2:$K$10000,MATCH($A821&amp;I$1,JupData!$A$2:$A$10000&amp;JupData!$J$2:$J$10000,0),11))</f>
        <v/>
      </c>
      <c r="J821" t="str">
        <f t="array" ref="J821">IF($A821="","",INDEX(JupData!$A$2:$K$10000,MATCH($A821&amp;J$1,JupData!$A$2:$A$10000&amp;JupData!$J$2:$J$10000,0),11))</f>
        <v/>
      </c>
      <c r="K821" t="str">
        <f t="array" ref="K821">IF($A821="","",INDEX(JupData!$A$2:$K$10000,MATCH($A821&amp;K$1,JupData!$A$2:$A$10000&amp;JupData!$J$2:$J$10000,0),11))</f>
        <v/>
      </c>
      <c r="L821" t="str">
        <f t="array" ref="L821">IF($A821="","",INDEX(JupData!$A$2:$K$10000,MATCH($A821&amp;L$1,JupData!$A$2:$A$10000&amp;JupData!$J$2:$J$10000,0),11))</f>
        <v/>
      </c>
      <c r="M821" t="str">
        <f t="array" ref="M821">IF($A821="","",INDEX(JupData!$A$2:$K$10000,MATCH($A821&amp;M$1,JupData!$A$2:$A$10000&amp;JupData!$J$2:$J$10000,0),11))</f>
        <v/>
      </c>
      <c r="N821" t="str">
        <f t="array" ref="N821">IF($A821="","",INDEX(JupData!$A$2:$K$10000,MATCH($A821&amp;N$1,JupData!$A$2:$A$10000&amp;JupData!$J$2:$J$10000,0),11))</f>
        <v/>
      </c>
      <c r="O821" t="str">
        <f t="array" ref="O821">IF($A821="","",INDEX(JupData!$A$2:$K$10000,MATCH($A821&amp;O$1,JupData!$A$2:$A$10000&amp;JupData!$J$2:$J$10000,0),11))</f>
        <v/>
      </c>
      <c r="P821" t="str">
        <f t="array" ref="P821">IF($A821="","",INDEX(JupData!$A$2:$K$10000,MATCH($A821&amp;P$1,JupData!$A$2:$A$10000&amp;JupData!$J$2:$J$10000,0),11))</f>
        <v/>
      </c>
      <c r="Q821" t="str">
        <f t="array" ref="Q821">IF($A821="","",INDEX(JupData!$A$2:$K$10000,MATCH($A821&amp;Q$1,JupData!$A$2:$A$10000&amp;JupData!$J$2:$J$10000,0),11))</f>
        <v/>
      </c>
      <c r="R821" t="str">
        <f t="array" ref="R821">IF($A821="","",INDEX(JupData!$A$2:$K$10000,MATCH($A821&amp;R$1,JupData!$A$2:$A$10000&amp;JupData!$J$2:$J$10000,0),11))</f>
        <v/>
      </c>
      <c r="S821" t="str">
        <f t="array" ref="S821">IF($A821="","",INDEX(JupData!$A$2:$K$10000,MATCH($A821&amp;S$1,JupData!$A$2:$A$10000&amp;JupData!$J$2:$J$10000,0),11))</f>
        <v/>
      </c>
      <c r="T821" t="str">
        <f t="array" ref="T821">IF($A821="","",INDEX(JupData!$A$2:$K$10000,MATCH($A821&amp;T$1,JupData!$A$2:$A$10000&amp;JupData!$J$2:$J$10000,0),11))</f>
        <v/>
      </c>
      <c r="U821" t="str">
        <f t="array" ref="U821">IF($A821="","",INDEX(JupData!$A$2:$K$10000,MATCH($A821&amp;U$1,JupData!$A$2:$A$10000&amp;JupData!$J$2:$J$10000,0),11))</f>
        <v/>
      </c>
      <c r="V821" t="str">
        <f t="array" ref="V821">IF($A821="","",INDEX(JupData!$A$2:$K$10000,MATCH($A821&amp;V$1,JupData!$A$2:$A$10000&amp;JupData!$J$2:$J$10000,0),11))</f>
        <v/>
      </c>
      <c r="W821" t="str">
        <f t="array" ref="W821">IF($A821="","",INDEX(JupData!$A$2:$K$10000,MATCH($A821&amp;W$1,JupData!$A$2:$A$10000&amp;JupData!$J$2:$J$10000,0),11))</f>
        <v/>
      </c>
      <c r="X821" t="str">
        <f t="array" ref="X821">IF($A821="","",INDEX(JupData!$A$2:$K$10000,MATCH($A821&amp;X$1,JupData!$A$2:$A$10000&amp;JupData!$J$2:$J$10000,0),11))</f>
        <v/>
      </c>
      <c r="Y821" t="str">
        <f t="array" ref="Y821">IF($A821="","",INDEX(JupData!$A$2:$K$10000,MATCH($A821&amp;Y$1,JupData!$A$2:$A$10000&amp;JupData!$J$2:$J$10000,0),11))</f>
        <v/>
      </c>
      <c r="Z821" t="str">
        <f t="array" ref="Z821">IF($A821="","",INDEX(JupData!$A$2:$K$10000,MATCH($A821&amp;Z$1,JupData!$A$2:$A$10000&amp;JupData!$J$2:$J$10000,0),11))</f>
        <v/>
      </c>
      <c r="AA821" t="str">
        <f t="array" ref="AA821">IF($A821="","",INDEX(JupData!$A$2:$K$10000,MATCH($A821&amp;AA$1,JupData!$A$2:$A$10000&amp;JupData!$J$2:$J$10000,0),11))</f>
        <v/>
      </c>
      <c r="AB821" t="str">
        <f t="array" ref="AB821">IF($A821="","",INDEX(JupData!$A$2:$K$10000,MATCH($A821&amp;AB$1,JupData!$A$2:$A$10000&amp;JupData!$J$2:$J$10000,0),11))</f>
        <v/>
      </c>
      <c r="AC821" s="10" t="str">
        <f t="shared" si="132"/>
        <v/>
      </c>
      <c r="AD821" s="10" t="str">
        <f t="shared" si="133"/>
        <v/>
      </c>
      <c r="AE821" s="9" t="str">
        <f t="shared" si="134"/>
        <v/>
      </c>
      <c r="AF821" s="10" t="str">
        <f t="shared" si="135"/>
        <v/>
      </c>
      <c r="AG821" s="10" t="str">
        <f t="shared" si="136"/>
        <v/>
      </c>
      <c r="AH821" s="10" t="str">
        <f t="shared" si="137"/>
        <v/>
      </c>
      <c r="AI821" s="10" t="str">
        <f t="shared" si="138"/>
        <v/>
      </c>
      <c r="AJ821" s="10" t="str">
        <f t="shared" si="139"/>
        <v/>
      </c>
      <c r="AK821" s="10" t="str">
        <f t="shared" si="140"/>
        <v/>
      </c>
      <c r="AL821" s="14" t="str">
        <f t="shared" si="141"/>
        <v/>
      </c>
    </row>
    <row r="822" spans="1:38" x14ac:dyDescent="0.2">
      <c r="A822"/>
      <c r="B822" t="str">
        <f>IF($A822="","",VLOOKUP($A822,JupData!$A$2:$I$10000,4,FALSE))</f>
        <v/>
      </c>
      <c r="C822" s="7" t="str">
        <f>IF($A822="",IF(N(D822),0,""),VLOOKUP($A822,JupData!$A$2:$I$10000,7,FALSE))</f>
        <v/>
      </c>
      <c r="D822" t="str">
        <f t="shared" si="142"/>
        <v/>
      </c>
      <c r="E822" t="str">
        <f t="array" ref="E822">IF($A822="","",INDEX(JupData!$A$2:$K$10000,MATCH($A822&amp;E$1,JupData!$A$2:$A$10000&amp;JupData!$J$2:$J$10000,0),11))</f>
        <v/>
      </c>
      <c r="F822" t="str">
        <f t="array" ref="F822">IF($A822="","",INDEX(JupData!$A$2:$K$10000,MATCH($A822&amp;F$1,JupData!$A$2:$A$10000&amp;JupData!$J$2:$J$10000,0),11))</f>
        <v/>
      </c>
      <c r="G822" t="str">
        <f t="array" ref="G822">IF($A822="","",INDEX(JupData!$A$2:$K$10000,MATCH($A822&amp;G$1,JupData!$A$2:$A$10000&amp;JupData!$J$2:$J$10000,0),11))</f>
        <v/>
      </c>
      <c r="H822" t="str">
        <f t="array" ref="H822">IF($A822="","",INDEX(JupData!$A$2:$K$10000,MATCH($A822&amp;H$1,JupData!$A$2:$A$10000&amp;JupData!$J$2:$J$10000,0),11))</f>
        <v/>
      </c>
      <c r="I822" t="str">
        <f t="array" ref="I822">IF($A822="","",INDEX(JupData!$A$2:$K$10000,MATCH($A822&amp;I$1,JupData!$A$2:$A$10000&amp;JupData!$J$2:$J$10000,0),11))</f>
        <v/>
      </c>
      <c r="J822" t="str">
        <f t="array" ref="J822">IF($A822="","",INDEX(JupData!$A$2:$K$10000,MATCH($A822&amp;J$1,JupData!$A$2:$A$10000&amp;JupData!$J$2:$J$10000,0),11))</f>
        <v/>
      </c>
      <c r="K822" t="str">
        <f t="array" ref="K822">IF($A822="","",INDEX(JupData!$A$2:$K$10000,MATCH($A822&amp;K$1,JupData!$A$2:$A$10000&amp;JupData!$J$2:$J$10000,0),11))</f>
        <v/>
      </c>
      <c r="L822" t="str">
        <f t="array" ref="L822">IF($A822="","",INDEX(JupData!$A$2:$K$10000,MATCH($A822&amp;L$1,JupData!$A$2:$A$10000&amp;JupData!$J$2:$J$10000,0),11))</f>
        <v/>
      </c>
      <c r="M822" t="str">
        <f t="array" ref="M822">IF($A822="","",INDEX(JupData!$A$2:$K$10000,MATCH($A822&amp;M$1,JupData!$A$2:$A$10000&amp;JupData!$J$2:$J$10000,0),11))</f>
        <v/>
      </c>
      <c r="N822" t="str">
        <f t="array" ref="N822">IF($A822="","",INDEX(JupData!$A$2:$K$10000,MATCH($A822&amp;N$1,JupData!$A$2:$A$10000&amp;JupData!$J$2:$J$10000,0),11))</f>
        <v/>
      </c>
      <c r="O822" t="str">
        <f t="array" ref="O822">IF($A822="","",INDEX(JupData!$A$2:$K$10000,MATCH($A822&amp;O$1,JupData!$A$2:$A$10000&amp;JupData!$J$2:$J$10000,0),11))</f>
        <v/>
      </c>
      <c r="P822" t="str">
        <f t="array" ref="P822">IF($A822="","",INDEX(JupData!$A$2:$K$10000,MATCH($A822&amp;P$1,JupData!$A$2:$A$10000&amp;JupData!$J$2:$J$10000,0),11))</f>
        <v/>
      </c>
      <c r="Q822" t="str">
        <f t="array" ref="Q822">IF($A822="","",INDEX(JupData!$A$2:$K$10000,MATCH($A822&amp;Q$1,JupData!$A$2:$A$10000&amp;JupData!$J$2:$J$10000,0),11))</f>
        <v/>
      </c>
      <c r="R822" t="str">
        <f t="array" ref="R822">IF($A822="","",INDEX(JupData!$A$2:$K$10000,MATCH($A822&amp;R$1,JupData!$A$2:$A$10000&amp;JupData!$J$2:$J$10000,0),11))</f>
        <v/>
      </c>
      <c r="S822" t="str">
        <f t="array" ref="S822">IF($A822="","",INDEX(JupData!$A$2:$K$10000,MATCH($A822&amp;S$1,JupData!$A$2:$A$10000&amp;JupData!$J$2:$J$10000,0),11))</f>
        <v/>
      </c>
      <c r="T822" t="str">
        <f t="array" ref="T822">IF($A822="","",INDEX(JupData!$A$2:$K$10000,MATCH($A822&amp;T$1,JupData!$A$2:$A$10000&amp;JupData!$J$2:$J$10000,0),11))</f>
        <v/>
      </c>
      <c r="U822" t="str">
        <f t="array" ref="U822">IF($A822="","",INDEX(JupData!$A$2:$K$10000,MATCH($A822&amp;U$1,JupData!$A$2:$A$10000&amp;JupData!$J$2:$J$10000,0),11))</f>
        <v/>
      </c>
      <c r="V822" t="str">
        <f t="array" ref="V822">IF($A822="","",INDEX(JupData!$A$2:$K$10000,MATCH($A822&amp;V$1,JupData!$A$2:$A$10000&amp;JupData!$J$2:$J$10000,0),11))</f>
        <v/>
      </c>
      <c r="W822" t="str">
        <f t="array" ref="W822">IF($A822="","",INDEX(JupData!$A$2:$K$10000,MATCH($A822&amp;W$1,JupData!$A$2:$A$10000&amp;JupData!$J$2:$J$10000,0),11))</f>
        <v/>
      </c>
      <c r="X822" t="str">
        <f t="array" ref="X822">IF($A822="","",INDEX(JupData!$A$2:$K$10000,MATCH($A822&amp;X$1,JupData!$A$2:$A$10000&amp;JupData!$J$2:$J$10000,0),11))</f>
        <v/>
      </c>
      <c r="Y822" t="str">
        <f t="array" ref="Y822">IF($A822="","",INDEX(JupData!$A$2:$K$10000,MATCH($A822&amp;Y$1,JupData!$A$2:$A$10000&amp;JupData!$J$2:$J$10000,0),11))</f>
        <v/>
      </c>
      <c r="Z822" t="str">
        <f t="array" ref="Z822">IF($A822="","",INDEX(JupData!$A$2:$K$10000,MATCH($A822&amp;Z$1,JupData!$A$2:$A$10000&amp;JupData!$J$2:$J$10000,0),11))</f>
        <v/>
      </c>
      <c r="AA822" t="str">
        <f t="array" ref="AA822">IF($A822="","",INDEX(JupData!$A$2:$K$10000,MATCH($A822&amp;AA$1,JupData!$A$2:$A$10000&amp;JupData!$J$2:$J$10000,0),11))</f>
        <v/>
      </c>
      <c r="AB822" t="str">
        <f t="array" ref="AB822">IF($A822="","",INDEX(JupData!$A$2:$K$10000,MATCH($A822&amp;AB$1,JupData!$A$2:$A$10000&amp;JupData!$J$2:$J$10000,0),11))</f>
        <v/>
      </c>
      <c r="AC822" s="10" t="str">
        <f t="shared" si="132"/>
        <v/>
      </c>
      <c r="AD822" s="10" t="str">
        <f t="shared" si="133"/>
        <v/>
      </c>
      <c r="AE822" s="9" t="str">
        <f t="shared" si="134"/>
        <v/>
      </c>
      <c r="AF822" s="10" t="str">
        <f t="shared" si="135"/>
        <v/>
      </c>
      <c r="AG822" s="10" t="str">
        <f t="shared" si="136"/>
        <v/>
      </c>
      <c r="AH822" s="10" t="str">
        <f t="shared" si="137"/>
        <v/>
      </c>
      <c r="AI822" s="10" t="str">
        <f t="shared" si="138"/>
        <v/>
      </c>
      <c r="AJ822" s="10" t="str">
        <f t="shared" si="139"/>
        <v/>
      </c>
      <c r="AK822" s="10" t="str">
        <f t="shared" si="140"/>
        <v/>
      </c>
      <c r="AL822" s="14" t="str">
        <f t="shared" si="141"/>
        <v/>
      </c>
    </row>
    <row r="823" spans="1:38" x14ac:dyDescent="0.2">
      <c r="A823"/>
      <c r="B823" t="str">
        <f>IF($A823="","",VLOOKUP($A823,JupData!$A$2:$I$10000,4,FALSE))</f>
        <v/>
      </c>
      <c r="C823" s="7" t="str">
        <f>IF($A823="",IF(N(D823),0,""),VLOOKUP($A823,JupData!$A$2:$I$10000,7,FALSE))</f>
        <v/>
      </c>
      <c r="D823" t="str">
        <f t="shared" si="142"/>
        <v/>
      </c>
      <c r="E823" t="str">
        <f t="array" ref="E823">IF($A823="","",INDEX(JupData!$A$2:$K$10000,MATCH($A823&amp;E$1,JupData!$A$2:$A$10000&amp;JupData!$J$2:$J$10000,0),11))</f>
        <v/>
      </c>
      <c r="F823" t="str">
        <f t="array" ref="F823">IF($A823="","",INDEX(JupData!$A$2:$K$10000,MATCH($A823&amp;F$1,JupData!$A$2:$A$10000&amp;JupData!$J$2:$J$10000,0),11))</f>
        <v/>
      </c>
      <c r="G823" t="str">
        <f t="array" ref="G823">IF($A823="","",INDEX(JupData!$A$2:$K$10000,MATCH($A823&amp;G$1,JupData!$A$2:$A$10000&amp;JupData!$J$2:$J$10000,0),11))</f>
        <v/>
      </c>
      <c r="H823" t="str">
        <f t="array" ref="H823">IF($A823="","",INDEX(JupData!$A$2:$K$10000,MATCH($A823&amp;H$1,JupData!$A$2:$A$10000&amp;JupData!$J$2:$J$10000,0),11))</f>
        <v/>
      </c>
      <c r="I823" t="str">
        <f t="array" ref="I823">IF($A823="","",INDEX(JupData!$A$2:$K$10000,MATCH($A823&amp;I$1,JupData!$A$2:$A$10000&amp;JupData!$J$2:$J$10000,0),11))</f>
        <v/>
      </c>
      <c r="J823" t="str">
        <f t="array" ref="J823">IF($A823="","",INDEX(JupData!$A$2:$K$10000,MATCH($A823&amp;J$1,JupData!$A$2:$A$10000&amp;JupData!$J$2:$J$10000,0),11))</f>
        <v/>
      </c>
      <c r="K823" t="str">
        <f t="array" ref="K823">IF($A823="","",INDEX(JupData!$A$2:$K$10000,MATCH($A823&amp;K$1,JupData!$A$2:$A$10000&amp;JupData!$J$2:$J$10000,0),11))</f>
        <v/>
      </c>
      <c r="L823" t="str">
        <f t="array" ref="L823">IF($A823="","",INDEX(JupData!$A$2:$K$10000,MATCH($A823&amp;L$1,JupData!$A$2:$A$10000&amp;JupData!$J$2:$J$10000,0),11))</f>
        <v/>
      </c>
      <c r="M823" t="str">
        <f t="array" ref="M823">IF($A823="","",INDEX(JupData!$A$2:$K$10000,MATCH($A823&amp;M$1,JupData!$A$2:$A$10000&amp;JupData!$J$2:$J$10000,0),11))</f>
        <v/>
      </c>
      <c r="N823" t="str">
        <f t="array" ref="N823">IF($A823="","",INDEX(JupData!$A$2:$K$10000,MATCH($A823&amp;N$1,JupData!$A$2:$A$10000&amp;JupData!$J$2:$J$10000,0),11))</f>
        <v/>
      </c>
      <c r="O823" t="str">
        <f t="array" ref="O823">IF($A823="","",INDEX(JupData!$A$2:$K$10000,MATCH($A823&amp;O$1,JupData!$A$2:$A$10000&amp;JupData!$J$2:$J$10000,0),11))</f>
        <v/>
      </c>
      <c r="P823" t="str">
        <f t="array" ref="P823">IF($A823="","",INDEX(JupData!$A$2:$K$10000,MATCH($A823&amp;P$1,JupData!$A$2:$A$10000&amp;JupData!$J$2:$J$10000,0),11))</f>
        <v/>
      </c>
      <c r="Q823" t="str">
        <f t="array" ref="Q823">IF($A823="","",INDEX(JupData!$A$2:$K$10000,MATCH($A823&amp;Q$1,JupData!$A$2:$A$10000&amp;JupData!$J$2:$J$10000,0),11))</f>
        <v/>
      </c>
      <c r="R823" t="str">
        <f t="array" ref="R823">IF($A823="","",INDEX(JupData!$A$2:$K$10000,MATCH($A823&amp;R$1,JupData!$A$2:$A$10000&amp;JupData!$J$2:$J$10000,0),11))</f>
        <v/>
      </c>
      <c r="S823" t="str">
        <f t="array" ref="S823">IF($A823="","",INDEX(JupData!$A$2:$K$10000,MATCH($A823&amp;S$1,JupData!$A$2:$A$10000&amp;JupData!$J$2:$J$10000,0),11))</f>
        <v/>
      </c>
      <c r="T823" t="str">
        <f t="array" ref="T823">IF($A823="","",INDEX(JupData!$A$2:$K$10000,MATCH($A823&amp;T$1,JupData!$A$2:$A$10000&amp;JupData!$J$2:$J$10000,0),11))</f>
        <v/>
      </c>
      <c r="U823" t="str">
        <f t="array" ref="U823">IF($A823="","",INDEX(JupData!$A$2:$K$10000,MATCH($A823&amp;U$1,JupData!$A$2:$A$10000&amp;JupData!$J$2:$J$10000,0),11))</f>
        <v/>
      </c>
      <c r="V823" t="str">
        <f t="array" ref="V823">IF($A823="","",INDEX(JupData!$A$2:$K$10000,MATCH($A823&amp;V$1,JupData!$A$2:$A$10000&amp;JupData!$J$2:$J$10000,0),11))</f>
        <v/>
      </c>
      <c r="W823" t="str">
        <f t="array" ref="W823">IF($A823="","",INDEX(JupData!$A$2:$K$10000,MATCH($A823&amp;W$1,JupData!$A$2:$A$10000&amp;JupData!$J$2:$J$10000,0),11))</f>
        <v/>
      </c>
      <c r="X823" t="str">
        <f t="array" ref="X823">IF($A823="","",INDEX(JupData!$A$2:$K$10000,MATCH($A823&amp;X$1,JupData!$A$2:$A$10000&amp;JupData!$J$2:$J$10000,0),11))</f>
        <v/>
      </c>
      <c r="Y823" t="str">
        <f t="array" ref="Y823">IF($A823="","",INDEX(JupData!$A$2:$K$10000,MATCH($A823&amp;Y$1,JupData!$A$2:$A$10000&amp;JupData!$J$2:$J$10000,0),11))</f>
        <v/>
      </c>
      <c r="Z823" t="str">
        <f t="array" ref="Z823">IF($A823="","",INDEX(JupData!$A$2:$K$10000,MATCH($A823&amp;Z$1,JupData!$A$2:$A$10000&amp;JupData!$J$2:$J$10000,0),11))</f>
        <v/>
      </c>
      <c r="AA823" t="str">
        <f t="array" ref="AA823">IF($A823="","",INDEX(JupData!$A$2:$K$10000,MATCH($A823&amp;AA$1,JupData!$A$2:$A$10000&amp;JupData!$J$2:$J$10000,0),11))</f>
        <v/>
      </c>
      <c r="AB823" t="str">
        <f t="array" ref="AB823">IF($A823="","",INDEX(JupData!$A$2:$K$10000,MATCH($A823&amp;AB$1,JupData!$A$2:$A$10000&amp;JupData!$J$2:$J$10000,0),11))</f>
        <v/>
      </c>
      <c r="AC823" s="10" t="str">
        <f t="shared" si="132"/>
        <v/>
      </c>
      <c r="AD823" s="10" t="str">
        <f t="shared" si="133"/>
        <v/>
      </c>
      <c r="AE823" s="9" t="str">
        <f t="shared" si="134"/>
        <v/>
      </c>
      <c r="AF823" s="10" t="str">
        <f t="shared" si="135"/>
        <v/>
      </c>
      <c r="AG823" s="10" t="str">
        <f t="shared" si="136"/>
        <v/>
      </c>
      <c r="AH823" s="10" t="str">
        <f t="shared" si="137"/>
        <v/>
      </c>
      <c r="AI823" s="10" t="str">
        <f t="shared" si="138"/>
        <v/>
      </c>
      <c r="AJ823" s="10" t="str">
        <f t="shared" si="139"/>
        <v/>
      </c>
      <c r="AK823" s="10" t="str">
        <f t="shared" si="140"/>
        <v/>
      </c>
      <c r="AL823" s="14" t="str">
        <f t="shared" si="141"/>
        <v/>
      </c>
    </row>
    <row r="824" spans="1:38" x14ac:dyDescent="0.2">
      <c r="A824"/>
      <c r="B824" t="str">
        <f>IF($A824="","",VLOOKUP($A824,JupData!$A$2:$I$10000,4,FALSE))</f>
        <v/>
      </c>
      <c r="C824" s="7" t="str">
        <f>IF($A824="",IF(N(D824),0,""),VLOOKUP($A824,JupData!$A$2:$I$10000,7,FALSE))</f>
        <v/>
      </c>
      <c r="D824" t="str">
        <f t="shared" si="142"/>
        <v/>
      </c>
      <c r="E824" t="str">
        <f t="array" ref="E824">IF($A824="","",INDEX(JupData!$A$2:$K$10000,MATCH($A824&amp;E$1,JupData!$A$2:$A$10000&amp;JupData!$J$2:$J$10000,0),11))</f>
        <v/>
      </c>
      <c r="F824" t="str">
        <f t="array" ref="F824">IF($A824="","",INDEX(JupData!$A$2:$K$10000,MATCH($A824&amp;F$1,JupData!$A$2:$A$10000&amp;JupData!$J$2:$J$10000,0),11))</f>
        <v/>
      </c>
      <c r="G824" t="str">
        <f t="array" ref="G824">IF($A824="","",INDEX(JupData!$A$2:$K$10000,MATCH($A824&amp;G$1,JupData!$A$2:$A$10000&amp;JupData!$J$2:$J$10000,0),11))</f>
        <v/>
      </c>
      <c r="H824" t="str">
        <f t="array" ref="H824">IF($A824="","",INDEX(JupData!$A$2:$K$10000,MATCH($A824&amp;H$1,JupData!$A$2:$A$10000&amp;JupData!$J$2:$J$10000,0),11))</f>
        <v/>
      </c>
      <c r="I824" t="str">
        <f t="array" ref="I824">IF($A824="","",INDEX(JupData!$A$2:$K$10000,MATCH($A824&amp;I$1,JupData!$A$2:$A$10000&amp;JupData!$J$2:$J$10000,0),11))</f>
        <v/>
      </c>
      <c r="J824" t="str">
        <f t="array" ref="J824">IF($A824="","",INDEX(JupData!$A$2:$K$10000,MATCH($A824&amp;J$1,JupData!$A$2:$A$10000&amp;JupData!$J$2:$J$10000,0),11))</f>
        <v/>
      </c>
      <c r="K824" t="str">
        <f t="array" ref="K824">IF($A824="","",INDEX(JupData!$A$2:$K$10000,MATCH($A824&amp;K$1,JupData!$A$2:$A$10000&amp;JupData!$J$2:$J$10000,0),11))</f>
        <v/>
      </c>
      <c r="L824" t="str">
        <f t="array" ref="L824">IF($A824="","",INDEX(JupData!$A$2:$K$10000,MATCH($A824&amp;L$1,JupData!$A$2:$A$10000&amp;JupData!$J$2:$J$10000,0),11))</f>
        <v/>
      </c>
      <c r="M824" t="str">
        <f t="array" ref="M824">IF($A824="","",INDEX(JupData!$A$2:$K$10000,MATCH($A824&amp;M$1,JupData!$A$2:$A$10000&amp;JupData!$J$2:$J$10000,0),11))</f>
        <v/>
      </c>
      <c r="N824" t="str">
        <f t="array" ref="N824">IF($A824="","",INDEX(JupData!$A$2:$K$10000,MATCH($A824&amp;N$1,JupData!$A$2:$A$10000&amp;JupData!$J$2:$J$10000,0),11))</f>
        <v/>
      </c>
      <c r="O824" t="str">
        <f t="array" ref="O824">IF($A824="","",INDEX(JupData!$A$2:$K$10000,MATCH($A824&amp;O$1,JupData!$A$2:$A$10000&amp;JupData!$J$2:$J$10000,0),11))</f>
        <v/>
      </c>
      <c r="P824" t="str">
        <f t="array" ref="P824">IF($A824="","",INDEX(JupData!$A$2:$K$10000,MATCH($A824&amp;P$1,JupData!$A$2:$A$10000&amp;JupData!$J$2:$J$10000,0),11))</f>
        <v/>
      </c>
      <c r="Q824" t="str">
        <f t="array" ref="Q824">IF($A824="","",INDEX(JupData!$A$2:$K$10000,MATCH($A824&amp;Q$1,JupData!$A$2:$A$10000&amp;JupData!$J$2:$J$10000,0),11))</f>
        <v/>
      </c>
      <c r="R824" t="str">
        <f t="array" ref="R824">IF($A824="","",INDEX(JupData!$A$2:$K$10000,MATCH($A824&amp;R$1,JupData!$A$2:$A$10000&amp;JupData!$J$2:$J$10000,0),11))</f>
        <v/>
      </c>
      <c r="S824" t="str">
        <f t="array" ref="S824">IF($A824="","",INDEX(JupData!$A$2:$K$10000,MATCH($A824&amp;S$1,JupData!$A$2:$A$10000&amp;JupData!$J$2:$J$10000,0),11))</f>
        <v/>
      </c>
      <c r="T824" t="str">
        <f t="array" ref="T824">IF($A824="","",INDEX(JupData!$A$2:$K$10000,MATCH($A824&amp;T$1,JupData!$A$2:$A$10000&amp;JupData!$J$2:$J$10000,0),11))</f>
        <v/>
      </c>
      <c r="U824" t="str">
        <f t="array" ref="U824">IF($A824="","",INDEX(JupData!$A$2:$K$10000,MATCH($A824&amp;U$1,JupData!$A$2:$A$10000&amp;JupData!$J$2:$J$10000,0),11))</f>
        <v/>
      </c>
      <c r="V824" t="str">
        <f t="array" ref="V824">IF($A824="","",INDEX(JupData!$A$2:$K$10000,MATCH($A824&amp;V$1,JupData!$A$2:$A$10000&amp;JupData!$J$2:$J$10000,0),11))</f>
        <v/>
      </c>
      <c r="W824" t="str">
        <f t="array" ref="W824">IF($A824="","",INDEX(JupData!$A$2:$K$10000,MATCH($A824&amp;W$1,JupData!$A$2:$A$10000&amp;JupData!$J$2:$J$10000,0),11))</f>
        <v/>
      </c>
      <c r="X824" t="str">
        <f t="array" ref="X824">IF($A824="","",INDEX(JupData!$A$2:$K$10000,MATCH($A824&amp;X$1,JupData!$A$2:$A$10000&amp;JupData!$J$2:$J$10000,0),11))</f>
        <v/>
      </c>
      <c r="Y824" t="str">
        <f t="array" ref="Y824">IF($A824="","",INDEX(JupData!$A$2:$K$10000,MATCH($A824&amp;Y$1,JupData!$A$2:$A$10000&amp;JupData!$J$2:$J$10000,0),11))</f>
        <v/>
      </c>
      <c r="Z824" t="str">
        <f t="array" ref="Z824">IF($A824="","",INDEX(JupData!$A$2:$K$10000,MATCH($A824&amp;Z$1,JupData!$A$2:$A$10000&amp;JupData!$J$2:$J$10000,0),11))</f>
        <v/>
      </c>
      <c r="AA824" t="str">
        <f t="array" ref="AA824">IF($A824="","",INDEX(JupData!$A$2:$K$10000,MATCH($A824&amp;AA$1,JupData!$A$2:$A$10000&amp;JupData!$J$2:$J$10000,0),11))</f>
        <v/>
      </c>
      <c r="AB824" t="str">
        <f t="array" ref="AB824">IF($A824="","",INDEX(JupData!$A$2:$K$10000,MATCH($A824&amp;AB$1,JupData!$A$2:$A$10000&amp;JupData!$J$2:$J$10000,0),11))</f>
        <v/>
      </c>
      <c r="AC824" s="10" t="str">
        <f t="shared" si="132"/>
        <v/>
      </c>
      <c r="AD824" s="10" t="str">
        <f t="shared" si="133"/>
        <v/>
      </c>
      <c r="AE824" s="9" t="str">
        <f t="shared" si="134"/>
        <v/>
      </c>
      <c r="AF824" s="10" t="str">
        <f t="shared" si="135"/>
        <v/>
      </c>
      <c r="AG824" s="10" t="str">
        <f t="shared" si="136"/>
        <v/>
      </c>
      <c r="AH824" s="10" t="str">
        <f t="shared" si="137"/>
        <v/>
      </c>
      <c r="AI824" s="10" t="str">
        <f t="shared" si="138"/>
        <v/>
      </c>
      <c r="AJ824" s="10" t="str">
        <f t="shared" si="139"/>
        <v/>
      </c>
      <c r="AK824" s="10" t="str">
        <f t="shared" si="140"/>
        <v/>
      </c>
      <c r="AL824" s="14" t="str">
        <f t="shared" si="141"/>
        <v/>
      </c>
    </row>
    <row r="825" spans="1:38" x14ac:dyDescent="0.2">
      <c r="A825"/>
      <c r="B825" t="str">
        <f>IF($A825="","",VLOOKUP($A825,JupData!$A$2:$I$10000,4,FALSE))</f>
        <v/>
      </c>
      <c r="C825" s="7" t="str">
        <f>IF($A825="",IF(N(D825),0,""),VLOOKUP($A825,JupData!$A$2:$I$10000,7,FALSE))</f>
        <v/>
      </c>
      <c r="D825" t="str">
        <f t="shared" si="142"/>
        <v/>
      </c>
      <c r="E825" t="str">
        <f t="array" ref="E825">IF($A825="","",INDEX(JupData!$A$2:$K$10000,MATCH($A825&amp;E$1,JupData!$A$2:$A$10000&amp;JupData!$J$2:$J$10000,0),11))</f>
        <v/>
      </c>
      <c r="F825" t="str">
        <f t="array" ref="F825">IF($A825="","",INDEX(JupData!$A$2:$K$10000,MATCH($A825&amp;F$1,JupData!$A$2:$A$10000&amp;JupData!$J$2:$J$10000,0),11))</f>
        <v/>
      </c>
      <c r="G825" t="str">
        <f t="array" ref="G825">IF($A825="","",INDEX(JupData!$A$2:$K$10000,MATCH($A825&amp;G$1,JupData!$A$2:$A$10000&amp;JupData!$J$2:$J$10000,0),11))</f>
        <v/>
      </c>
      <c r="H825" t="str">
        <f t="array" ref="H825">IF($A825="","",INDEX(JupData!$A$2:$K$10000,MATCH($A825&amp;H$1,JupData!$A$2:$A$10000&amp;JupData!$J$2:$J$10000,0),11))</f>
        <v/>
      </c>
      <c r="I825" t="str">
        <f t="array" ref="I825">IF($A825="","",INDEX(JupData!$A$2:$K$10000,MATCH($A825&amp;I$1,JupData!$A$2:$A$10000&amp;JupData!$J$2:$J$10000,0),11))</f>
        <v/>
      </c>
      <c r="J825" t="str">
        <f t="array" ref="J825">IF($A825="","",INDEX(JupData!$A$2:$K$10000,MATCH($A825&amp;J$1,JupData!$A$2:$A$10000&amp;JupData!$J$2:$J$10000,0),11))</f>
        <v/>
      </c>
      <c r="K825" t="str">
        <f t="array" ref="K825">IF($A825="","",INDEX(JupData!$A$2:$K$10000,MATCH($A825&amp;K$1,JupData!$A$2:$A$10000&amp;JupData!$J$2:$J$10000,0),11))</f>
        <v/>
      </c>
      <c r="L825" t="str">
        <f t="array" ref="L825">IF($A825="","",INDEX(JupData!$A$2:$K$10000,MATCH($A825&amp;L$1,JupData!$A$2:$A$10000&amp;JupData!$J$2:$J$10000,0),11))</f>
        <v/>
      </c>
      <c r="M825" t="str">
        <f t="array" ref="M825">IF($A825="","",INDEX(JupData!$A$2:$K$10000,MATCH($A825&amp;M$1,JupData!$A$2:$A$10000&amp;JupData!$J$2:$J$10000,0),11))</f>
        <v/>
      </c>
      <c r="N825" t="str">
        <f t="array" ref="N825">IF($A825="","",INDEX(JupData!$A$2:$K$10000,MATCH($A825&amp;N$1,JupData!$A$2:$A$10000&amp;JupData!$J$2:$J$10000,0),11))</f>
        <v/>
      </c>
      <c r="O825" t="str">
        <f t="array" ref="O825">IF($A825="","",INDEX(JupData!$A$2:$K$10000,MATCH($A825&amp;O$1,JupData!$A$2:$A$10000&amp;JupData!$J$2:$J$10000,0),11))</f>
        <v/>
      </c>
      <c r="P825" t="str">
        <f t="array" ref="P825">IF($A825="","",INDEX(JupData!$A$2:$K$10000,MATCH($A825&amp;P$1,JupData!$A$2:$A$10000&amp;JupData!$J$2:$J$10000,0),11))</f>
        <v/>
      </c>
      <c r="Q825" t="str">
        <f t="array" ref="Q825">IF($A825="","",INDEX(JupData!$A$2:$K$10000,MATCH($A825&amp;Q$1,JupData!$A$2:$A$10000&amp;JupData!$J$2:$J$10000,0),11))</f>
        <v/>
      </c>
      <c r="R825" t="str">
        <f t="array" ref="R825">IF($A825="","",INDEX(JupData!$A$2:$K$10000,MATCH($A825&amp;R$1,JupData!$A$2:$A$10000&amp;JupData!$J$2:$J$10000,0),11))</f>
        <v/>
      </c>
      <c r="S825" t="str">
        <f t="array" ref="S825">IF($A825="","",INDEX(JupData!$A$2:$K$10000,MATCH($A825&amp;S$1,JupData!$A$2:$A$10000&amp;JupData!$J$2:$J$10000,0),11))</f>
        <v/>
      </c>
      <c r="T825" t="str">
        <f t="array" ref="T825">IF($A825="","",INDEX(JupData!$A$2:$K$10000,MATCH($A825&amp;T$1,JupData!$A$2:$A$10000&amp;JupData!$J$2:$J$10000,0),11))</f>
        <v/>
      </c>
      <c r="U825" t="str">
        <f t="array" ref="U825">IF($A825="","",INDEX(JupData!$A$2:$K$10000,MATCH($A825&amp;U$1,JupData!$A$2:$A$10000&amp;JupData!$J$2:$J$10000,0),11))</f>
        <v/>
      </c>
      <c r="V825" t="str">
        <f t="array" ref="V825">IF($A825="","",INDEX(JupData!$A$2:$K$10000,MATCH($A825&amp;V$1,JupData!$A$2:$A$10000&amp;JupData!$J$2:$J$10000,0),11))</f>
        <v/>
      </c>
      <c r="W825" t="str">
        <f t="array" ref="W825">IF($A825="","",INDEX(JupData!$A$2:$K$10000,MATCH($A825&amp;W$1,JupData!$A$2:$A$10000&amp;JupData!$J$2:$J$10000,0),11))</f>
        <v/>
      </c>
      <c r="X825" t="str">
        <f t="array" ref="X825">IF($A825="","",INDEX(JupData!$A$2:$K$10000,MATCH($A825&amp;X$1,JupData!$A$2:$A$10000&amp;JupData!$J$2:$J$10000,0),11))</f>
        <v/>
      </c>
      <c r="Y825" t="str">
        <f t="array" ref="Y825">IF($A825="","",INDEX(JupData!$A$2:$K$10000,MATCH($A825&amp;Y$1,JupData!$A$2:$A$10000&amp;JupData!$J$2:$J$10000,0),11))</f>
        <v/>
      </c>
      <c r="Z825" t="str">
        <f t="array" ref="Z825">IF($A825="","",INDEX(JupData!$A$2:$K$10000,MATCH($A825&amp;Z$1,JupData!$A$2:$A$10000&amp;JupData!$J$2:$J$10000,0),11))</f>
        <v/>
      </c>
      <c r="AA825" t="str">
        <f t="array" ref="AA825">IF($A825="","",INDEX(JupData!$A$2:$K$10000,MATCH($A825&amp;AA$1,JupData!$A$2:$A$10000&amp;JupData!$J$2:$J$10000,0),11))</f>
        <v/>
      </c>
      <c r="AB825" t="str">
        <f t="array" ref="AB825">IF($A825="","",INDEX(JupData!$A$2:$K$10000,MATCH($A825&amp;AB$1,JupData!$A$2:$A$10000&amp;JupData!$J$2:$J$10000,0),11))</f>
        <v/>
      </c>
      <c r="AC825" s="10" t="str">
        <f t="shared" si="132"/>
        <v/>
      </c>
      <c r="AD825" s="10" t="str">
        <f t="shared" si="133"/>
        <v/>
      </c>
      <c r="AE825" s="9" t="str">
        <f t="shared" si="134"/>
        <v/>
      </c>
      <c r="AF825" s="10" t="str">
        <f t="shared" si="135"/>
        <v/>
      </c>
      <c r="AG825" s="10" t="str">
        <f t="shared" si="136"/>
        <v/>
      </c>
      <c r="AH825" s="10" t="str">
        <f t="shared" si="137"/>
        <v/>
      </c>
      <c r="AI825" s="10" t="str">
        <f t="shared" si="138"/>
        <v/>
      </c>
      <c r="AJ825" s="10" t="str">
        <f t="shared" si="139"/>
        <v/>
      </c>
      <c r="AK825" s="10" t="str">
        <f t="shared" si="140"/>
        <v/>
      </c>
      <c r="AL825" s="14" t="str">
        <f t="shared" si="141"/>
        <v/>
      </c>
    </row>
    <row r="826" spans="1:38" x14ac:dyDescent="0.2">
      <c r="A826"/>
      <c r="B826" t="str">
        <f>IF($A826="","",VLOOKUP($A826,JupData!$A$2:$I$10000,4,FALSE))</f>
        <v/>
      </c>
      <c r="C826" s="7" t="str">
        <f>IF($A826="",IF(N(D826),0,""),VLOOKUP($A826,JupData!$A$2:$I$10000,7,FALSE))</f>
        <v/>
      </c>
      <c r="D826" t="str">
        <f t="shared" si="142"/>
        <v/>
      </c>
      <c r="E826" t="str">
        <f t="array" ref="E826">IF($A826="","",INDEX(JupData!$A$2:$K$10000,MATCH($A826&amp;E$1,JupData!$A$2:$A$10000&amp;JupData!$J$2:$J$10000,0),11))</f>
        <v/>
      </c>
      <c r="F826" t="str">
        <f t="array" ref="F826">IF($A826="","",INDEX(JupData!$A$2:$K$10000,MATCH($A826&amp;F$1,JupData!$A$2:$A$10000&amp;JupData!$J$2:$J$10000,0),11))</f>
        <v/>
      </c>
      <c r="G826" t="str">
        <f t="array" ref="G826">IF($A826="","",INDEX(JupData!$A$2:$K$10000,MATCH($A826&amp;G$1,JupData!$A$2:$A$10000&amp;JupData!$J$2:$J$10000,0),11))</f>
        <v/>
      </c>
      <c r="H826" t="str">
        <f t="array" ref="H826">IF($A826="","",INDEX(JupData!$A$2:$K$10000,MATCH($A826&amp;H$1,JupData!$A$2:$A$10000&amp;JupData!$J$2:$J$10000,0),11))</f>
        <v/>
      </c>
      <c r="I826" t="str">
        <f t="array" ref="I826">IF($A826="","",INDEX(JupData!$A$2:$K$10000,MATCH($A826&amp;I$1,JupData!$A$2:$A$10000&amp;JupData!$J$2:$J$10000,0),11))</f>
        <v/>
      </c>
      <c r="J826" t="str">
        <f t="array" ref="J826">IF($A826="","",INDEX(JupData!$A$2:$K$10000,MATCH($A826&amp;J$1,JupData!$A$2:$A$10000&amp;JupData!$J$2:$J$10000,0),11))</f>
        <v/>
      </c>
      <c r="K826" t="str">
        <f t="array" ref="K826">IF($A826="","",INDEX(JupData!$A$2:$K$10000,MATCH($A826&amp;K$1,JupData!$A$2:$A$10000&amp;JupData!$J$2:$J$10000,0),11))</f>
        <v/>
      </c>
      <c r="L826" t="str">
        <f t="array" ref="L826">IF($A826="","",INDEX(JupData!$A$2:$K$10000,MATCH($A826&amp;L$1,JupData!$A$2:$A$10000&amp;JupData!$J$2:$J$10000,0),11))</f>
        <v/>
      </c>
      <c r="M826" t="str">
        <f t="array" ref="M826">IF($A826="","",INDEX(JupData!$A$2:$K$10000,MATCH($A826&amp;M$1,JupData!$A$2:$A$10000&amp;JupData!$J$2:$J$10000,0),11))</f>
        <v/>
      </c>
      <c r="N826" t="str">
        <f t="array" ref="N826">IF($A826="","",INDEX(JupData!$A$2:$K$10000,MATCH($A826&amp;N$1,JupData!$A$2:$A$10000&amp;JupData!$J$2:$J$10000,0),11))</f>
        <v/>
      </c>
      <c r="O826" t="str">
        <f t="array" ref="O826">IF($A826="","",INDEX(JupData!$A$2:$K$10000,MATCH($A826&amp;O$1,JupData!$A$2:$A$10000&amp;JupData!$J$2:$J$10000,0),11))</f>
        <v/>
      </c>
      <c r="P826" t="str">
        <f t="array" ref="P826">IF($A826="","",INDEX(JupData!$A$2:$K$10000,MATCH($A826&amp;P$1,JupData!$A$2:$A$10000&amp;JupData!$J$2:$J$10000,0),11))</f>
        <v/>
      </c>
      <c r="Q826" t="str">
        <f t="array" ref="Q826">IF($A826="","",INDEX(JupData!$A$2:$K$10000,MATCH($A826&amp;Q$1,JupData!$A$2:$A$10000&amp;JupData!$J$2:$J$10000,0),11))</f>
        <v/>
      </c>
      <c r="R826" t="str">
        <f t="array" ref="R826">IF($A826="","",INDEX(JupData!$A$2:$K$10000,MATCH($A826&amp;R$1,JupData!$A$2:$A$10000&amp;JupData!$J$2:$J$10000,0),11))</f>
        <v/>
      </c>
      <c r="S826" t="str">
        <f t="array" ref="S826">IF($A826="","",INDEX(JupData!$A$2:$K$10000,MATCH($A826&amp;S$1,JupData!$A$2:$A$10000&amp;JupData!$J$2:$J$10000,0),11))</f>
        <v/>
      </c>
      <c r="T826" t="str">
        <f t="array" ref="T826">IF($A826="","",INDEX(JupData!$A$2:$K$10000,MATCH($A826&amp;T$1,JupData!$A$2:$A$10000&amp;JupData!$J$2:$J$10000,0),11))</f>
        <v/>
      </c>
      <c r="U826" t="str">
        <f t="array" ref="U826">IF($A826="","",INDEX(JupData!$A$2:$K$10000,MATCH($A826&amp;U$1,JupData!$A$2:$A$10000&amp;JupData!$J$2:$J$10000,0),11))</f>
        <v/>
      </c>
      <c r="V826" t="str">
        <f t="array" ref="V826">IF($A826="","",INDEX(JupData!$A$2:$K$10000,MATCH($A826&amp;V$1,JupData!$A$2:$A$10000&amp;JupData!$J$2:$J$10000,0),11))</f>
        <v/>
      </c>
      <c r="W826" t="str">
        <f t="array" ref="W826">IF($A826="","",INDEX(JupData!$A$2:$K$10000,MATCH($A826&amp;W$1,JupData!$A$2:$A$10000&amp;JupData!$J$2:$J$10000,0),11))</f>
        <v/>
      </c>
      <c r="X826" t="str">
        <f t="array" ref="X826">IF($A826="","",INDEX(JupData!$A$2:$K$10000,MATCH($A826&amp;X$1,JupData!$A$2:$A$10000&amp;JupData!$J$2:$J$10000,0),11))</f>
        <v/>
      </c>
      <c r="Y826" t="str">
        <f t="array" ref="Y826">IF($A826="","",INDEX(JupData!$A$2:$K$10000,MATCH($A826&amp;Y$1,JupData!$A$2:$A$10000&amp;JupData!$J$2:$J$10000,0),11))</f>
        <v/>
      </c>
      <c r="Z826" t="str">
        <f t="array" ref="Z826">IF($A826="","",INDEX(JupData!$A$2:$K$10000,MATCH($A826&amp;Z$1,JupData!$A$2:$A$10000&amp;JupData!$J$2:$J$10000,0),11))</f>
        <v/>
      </c>
      <c r="AA826" t="str">
        <f t="array" ref="AA826">IF($A826="","",INDEX(JupData!$A$2:$K$10000,MATCH($A826&amp;AA$1,JupData!$A$2:$A$10000&amp;JupData!$J$2:$J$10000,0),11))</f>
        <v/>
      </c>
      <c r="AB826" t="str">
        <f t="array" ref="AB826">IF($A826="","",INDEX(JupData!$A$2:$K$10000,MATCH($A826&amp;AB$1,JupData!$A$2:$A$10000&amp;JupData!$J$2:$J$10000,0),11))</f>
        <v/>
      </c>
      <c r="AC826" s="10" t="str">
        <f t="shared" si="132"/>
        <v/>
      </c>
      <c r="AD826" s="10" t="str">
        <f t="shared" si="133"/>
        <v/>
      </c>
      <c r="AE826" s="9" t="str">
        <f t="shared" si="134"/>
        <v/>
      </c>
      <c r="AF826" s="10" t="str">
        <f t="shared" si="135"/>
        <v/>
      </c>
      <c r="AG826" s="10" t="str">
        <f t="shared" si="136"/>
        <v/>
      </c>
      <c r="AH826" s="10" t="str">
        <f t="shared" si="137"/>
        <v/>
      </c>
      <c r="AI826" s="10" t="str">
        <f t="shared" si="138"/>
        <v/>
      </c>
      <c r="AJ826" s="10" t="str">
        <f t="shared" si="139"/>
        <v/>
      </c>
      <c r="AK826" s="10" t="str">
        <f t="shared" si="140"/>
        <v/>
      </c>
      <c r="AL826" s="14" t="str">
        <f t="shared" si="141"/>
        <v/>
      </c>
    </row>
    <row r="827" spans="1:38" x14ac:dyDescent="0.2">
      <c r="A827"/>
      <c r="B827" t="str">
        <f>IF($A827="","",VLOOKUP($A827,JupData!$A$2:$I$10000,4,FALSE))</f>
        <v/>
      </c>
      <c r="C827" s="7" t="str">
        <f>IF($A827="",IF(N(D827),0,""),VLOOKUP($A827,JupData!$A$2:$I$10000,7,FALSE))</f>
        <v/>
      </c>
      <c r="D827" t="str">
        <f t="shared" si="142"/>
        <v/>
      </c>
      <c r="E827" t="str">
        <f t="array" ref="E827">IF($A827="","",INDEX(JupData!$A$2:$K$10000,MATCH($A827&amp;E$1,JupData!$A$2:$A$10000&amp;JupData!$J$2:$J$10000,0),11))</f>
        <v/>
      </c>
      <c r="F827" t="str">
        <f t="array" ref="F827">IF($A827="","",INDEX(JupData!$A$2:$K$10000,MATCH($A827&amp;F$1,JupData!$A$2:$A$10000&amp;JupData!$J$2:$J$10000,0),11))</f>
        <v/>
      </c>
      <c r="G827" t="str">
        <f t="array" ref="G827">IF($A827="","",INDEX(JupData!$A$2:$K$10000,MATCH($A827&amp;G$1,JupData!$A$2:$A$10000&amp;JupData!$J$2:$J$10000,0),11))</f>
        <v/>
      </c>
      <c r="H827" t="str">
        <f t="array" ref="H827">IF($A827="","",INDEX(JupData!$A$2:$K$10000,MATCH($A827&amp;H$1,JupData!$A$2:$A$10000&amp;JupData!$J$2:$J$10000,0),11))</f>
        <v/>
      </c>
      <c r="I827" t="str">
        <f t="array" ref="I827">IF($A827="","",INDEX(JupData!$A$2:$K$10000,MATCH($A827&amp;I$1,JupData!$A$2:$A$10000&amp;JupData!$J$2:$J$10000,0),11))</f>
        <v/>
      </c>
      <c r="J827" t="str">
        <f t="array" ref="J827">IF($A827="","",INDEX(JupData!$A$2:$K$10000,MATCH($A827&amp;J$1,JupData!$A$2:$A$10000&amp;JupData!$J$2:$J$10000,0),11))</f>
        <v/>
      </c>
      <c r="K827" t="str">
        <f t="array" ref="K827">IF($A827="","",INDEX(JupData!$A$2:$K$10000,MATCH($A827&amp;K$1,JupData!$A$2:$A$10000&amp;JupData!$J$2:$J$10000,0),11))</f>
        <v/>
      </c>
      <c r="L827" t="str">
        <f t="array" ref="L827">IF($A827="","",INDEX(JupData!$A$2:$K$10000,MATCH($A827&amp;L$1,JupData!$A$2:$A$10000&amp;JupData!$J$2:$J$10000,0),11))</f>
        <v/>
      </c>
      <c r="M827" t="str">
        <f t="array" ref="M827">IF($A827="","",INDEX(JupData!$A$2:$K$10000,MATCH($A827&amp;M$1,JupData!$A$2:$A$10000&amp;JupData!$J$2:$J$10000,0),11))</f>
        <v/>
      </c>
      <c r="N827" t="str">
        <f t="array" ref="N827">IF($A827="","",INDEX(JupData!$A$2:$K$10000,MATCH($A827&amp;N$1,JupData!$A$2:$A$10000&amp;JupData!$J$2:$J$10000,0),11))</f>
        <v/>
      </c>
      <c r="O827" t="str">
        <f t="array" ref="O827">IF($A827="","",INDEX(JupData!$A$2:$K$10000,MATCH($A827&amp;O$1,JupData!$A$2:$A$10000&amp;JupData!$J$2:$J$10000,0),11))</f>
        <v/>
      </c>
      <c r="P827" t="str">
        <f t="array" ref="P827">IF($A827="","",INDEX(JupData!$A$2:$K$10000,MATCH($A827&amp;P$1,JupData!$A$2:$A$10000&amp;JupData!$J$2:$J$10000,0),11))</f>
        <v/>
      </c>
      <c r="Q827" t="str">
        <f t="array" ref="Q827">IF($A827="","",INDEX(JupData!$A$2:$K$10000,MATCH($A827&amp;Q$1,JupData!$A$2:$A$10000&amp;JupData!$J$2:$J$10000,0),11))</f>
        <v/>
      </c>
      <c r="R827" t="str">
        <f t="array" ref="R827">IF($A827="","",INDEX(JupData!$A$2:$K$10000,MATCH($A827&amp;R$1,JupData!$A$2:$A$10000&amp;JupData!$J$2:$J$10000,0),11))</f>
        <v/>
      </c>
      <c r="S827" t="str">
        <f t="array" ref="S827">IF($A827="","",INDEX(JupData!$A$2:$K$10000,MATCH($A827&amp;S$1,JupData!$A$2:$A$10000&amp;JupData!$J$2:$J$10000,0),11))</f>
        <v/>
      </c>
      <c r="T827" t="str">
        <f t="array" ref="T827">IF($A827="","",INDEX(JupData!$A$2:$K$10000,MATCH($A827&amp;T$1,JupData!$A$2:$A$10000&amp;JupData!$J$2:$J$10000,0),11))</f>
        <v/>
      </c>
      <c r="U827" t="str">
        <f t="array" ref="U827">IF($A827="","",INDEX(JupData!$A$2:$K$10000,MATCH($A827&amp;U$1,JupData!$A$2:$A$10000&amp;JupData!$J$2:$J$10000,0),11))</f>
        <v/>
      </c>
      <c r="V827" t="str">
        <f t="array" ref="V827">IF($A827="","",INDEX(JupData!$A$2:$K$10000,MATCH($A827&amp;V$1,JupData!$A$2:$A$10000&amp;JupData!$J$2:$J$10000,0),11))</f>
        <v/>
      </c>
      <c r="W827" t="str">
        <f t="array" ref="W827">IF($A827="","",INDEX(JupData!$A$2:$K$10000,MATCH($A827&amp;W$1,JupData!$A$2:$A$10000&amp;JupData!$J$2:$J$10000,0),11))</f>
        <v/>
      </c>
      <c r="X827" t="str">
        <f t="array" ref="X827">IF($A827="","",INDEX(JupData!$A$2:$K$10000,MATCH($A827&amp;X$1,JupData!$A$2:$A$10000&amp;JupData!$J$2:$J$10000,0),11))</f>
        <v/>
      </c>
      <c r="Y827" t="str">
        <f t="array" ref="Y827">IF($A827="","",INDEX(JupData!$A$2:$K$10000,MATCH($A827&amp;Y$1,JupData!$A$2:$A$10000&amp;JupData!$J$2:$J$10000,0),11))</f>
        <v/>
      </c>
      <c r="Z827" t="str">
        <f t="array" ref="Z827">IF($A827="","",INDEX(JupData!$A$2:$K$10000,MATCH($A827&amp;Z$1,JupData!$A$2:$A$10000&amp;JupData!$J$2:$J$10000,0),11))</f>
        <v/>
      </c>
      <c r="AA827" t="str">
        <f t="array" ref="AA827">IF($A827="","",INDEX(JupData!$A$2:$K$10000,MATCH($A827&amp;AA$1,JupData!$A$2:$A$10000&amp;JupData!$J$2:$J$10000,0),11))</f>
        <v/>
      </c>
      <c r="AB827" t="str">
        <f t="array" ref="AB827">IF($A827="","",INDEX(JupData!$A$2:$K$10000,MATCH($A827&amp;AB$1,JupData!$A$2:$A$10000&amp;JupData!$J$2:$J$10000,0),11))</f>
        <v/>
      </c>
      <c r="AC827" s="10" t="str">
        <f t="shared" si="132"/>
        <v/>
      </c>
      <c r="AD827" s="10" t="str">
        <f t="shared" si="133"/>
        <v/>
      </c>
      <c r="AE827" s="9" t="str">
        <f t="shared" si="134"/>
        <v/>
      </c>
      <c r="AF827" s="10" t="str">
        <f t="shared" si="135"/>
        <v/>
      </c>
      <c r="AG827" s="10" t="str">
        <f t="shared" si="136"/>
        <v/>
      </c>
      <c r="AH827" s="10" t="str">
        <f t="shared" si="137"/>
        <v/>
      </c>
      <c r="AI827" s="10" t="str">
        <f t="shared" si="138"/>
        <v/>
      </c>
      <c r="AJ827" s="10" t="str">
        <f t="shared" si="139"/>
        <v/>
      </c>
      <c r="AK827" s="10" t="str">
        <f t="shared" si="140"/>
        <v/>
      </c>
      <c r="AL827" s="14" t="str">
        <f t="shared" si="141"/>
        <v/>
      </c>
    </row>
    <row r="828" spans="1:38" x14ac:dyDescent="0.2">
      <c r="A828"/>
      <c r="B828" t="str">
        <f>IF($A828="","",VLOOKUP($A828,JupData!$A$2:$I$10000,4,FALSE))</f>
        <v/>
      </c>
      <c r="C828" s="7" t="str">
        <f>IF($A828="",IF(N(D828),0,""),VLOOKUP($A828,JupData!$A$2:$I$10000,7,FALSE))</f>
        <v/>
      </c>
      <c r="D828" t="str">
        <f t="shared" si="142"/>
        <v/>
      </c>
      <c r="E828" t="str">
        <f t="array" ref="E828">IF($A828="","",INDEX(JupData!$A$2:$K$10000,MATCH($A828&amp;E$1,JupData!$A$2:$A$10000&amp;JupData!$J$2:$J$10000,0),11))</f>
        <v/>
      </c>
      <c r="F828" t="str">
        <f t="array" ref="F828">IF($A828="","",INDEX(JupData!$A$2:$K$10000,MATCH($A828&amp;F$1,JupData!$A$2:$A$10000&amp;JupData!$J$2:$J$10000,0),11))</f>
        <v/>
      </c>
      <c r="G828" t="str">
        <f t="array" ref="G828">IF($A828="","",INDEX(JupData!$A$2:$K$10000,MATCH($A828&amp;G$1,JupData!$A$2:$A$10000&amp;JupData!$J$2:$J$10000,0),11))</f>
        <v/>
      </c>
      <c r="H828" t="str">
        <f t="array" ref="H828">IF($A828="","",INDEX(JupData!$A$2:$K$10000,MATCH($A828&amp;H$1,JupData!$A$2:$A$10000&amp;JupData!$J$2:$J$10000,0),11))</f>
        <v/>
      </c>
      <c r="I828" t="str">
        <f t="array" ref="I828">IF($A828="","",INDEX(JupData!$A$2:$K$10000,MATCH($A828&amp;I$1,JupData!$A$2:$A$10000&amp;JupData!$J$2:$J$10000,0),11))</f>
        <v/>
      </c>
      <c r="J828" t="str">
        <f t="array" ref="J828">IF($A828="","",INDEX(JupData!$A$2:$K$10000,MATCH($A828&amp;J$1,JupData!$A$2:$A$10000&amp;JupData!$J$2:$J$10000,0),11))</f>
        <v/>
      </c>
      <c r="K828" t="str">
        <f t="array" ref="K828">IF($A828="","",INDEX(JupData!$A$2:$K$10000,MATCH($A828&amp;K$1,JupData!$A$2:$A$10000&amp;JupData!$J$2:$J$10000,0),11))</f>
        <v/>
      </c>
      <c r="L828" t="str">
        <f t="array" ref="L828">IF($A828="","",INDEX(JupData!$A$2:$K$10000,MATCH($A828&amp;L$1,JupData!$A$2:$A$10000&amp;JupData!$J$2:$J$10000,0),11))</f>
        <v/>
      </c>
      <c r="M828" t="str">
        <f t="array" ref="M828">IF($A828="","",INDEX(JupData!$A$2:$K$10000,MATCH($A828&amp;M$1,JupData!$A$2:$A$10000&amp;JupData!$J$2:$J$10000,0),11))</f>
        <v/>
      </c>
      <c r="N828" t="str">
        <f t="array" ref="N828">IF($A828="","",INDEX(JupData!$A$2:$K$10000,MATCH($A828&amp;N$1,JupData!$A$2:$A$10000&amp;JupData!$J$2:$J$10000,0),11))</f>
        <v/>
      </c>
      <c r="O828" t="str">
        <f t="array" ref="O828">IF($A828="","",INDEX(JupData!$A$2:$K$10000,MATCH($A828&amp;O$1,JupData!$A$2:$A$10000&amp;JupData!$J$2:$J$10000,0),11))</f>
        <v/>
      </c>
      <c r="P828" t="str">
        <f t="array" ref="P828">IF($A828="","",INDEX(JupData!$A$2:$K$10000,MATCH($A828&amp;P$1,JupData!$A$2:$A$10000&amp;JupData!$J$2:$J$10000,0),11))</f>
        <v/>
      </c>
      <c r="Q828" t="str">
        <f t="array" ref="Q828">IF($A828="","",INDEX(JupData!$A$2:$K$10000,MATCH($A828&amp;Q$1,JupData!$A$2:$A$10000&amp;JupData!$J$2:$J$10000,0),11))</f>
        <v/>
      </c>
      <c r="R828" t="str">
        <f t="array" ref="R828">IF($A828="","",INDEX(JupData!$A$2:$K$10000,MATCH($A828&amp;R$1,JupData!$A$2:$A$10000&amp;JupData!$J$2:$J$10000,0),11))</f>
        <v/>
      </c>
      <c r="S828" t="str">
        <f t="array" ref="S828">IF($A828="","",INDEX(JupData!$A$2:$K$10000,MATCH($A828&amp;S$1,JupData!$A$2:$A$10000&amp;JupData!$J$2:$J$10000,0),11))</f>
        <v/>
      </c>
      <c r="T828" t="str">
        <f t="array" ref="T828">IF($A828="","",INDEX(JupData!$A$2:$K$10000,MATCH($A828&amp;T$1,JupData!$A$2:$A$10000&amp;JupData!$J$2:$J$10000,0),11))</f>
        <v/>
      </c>
      <c r="U828" t="str">
        <f t="array" ref="U828">IF($A828="","",INDEX(JupData!$A$2:$K$10000,MATCH($A828&amp;U$1,JupData!$A$2:$A$10000&amp;JupData!$J$2:$J$10000,0),11))</f>
        <v/>
      </c>
      <c r="V828" t="str">
        <f t="array" ref="V828">IF($A828="","",INDEX(JupData!$A$2:$K$10000,MATCH($A828&amp;V$1,JupData!$A$2:$A$10000&amp;JupData!$J$2:$J$10000,0),11))</f>
        <v/>
      </c>
      <c r="W828" t="str">
        <f t="array" ref="W828">IF($A828="","",INDEX(JupData!$A$2:$K$10000,MATCH($A828&amp;W$1,JupData!$A$2:$A$10000&amp;JupData!$J$2:$J$10000,0),11))</f>
        <v/>
      </c>
      <c r="X828" t="str">
        <f t="array" ref="X828">IF($A828="","",INDEX(JupData!$A$2:$K$10000,MATCH($A828&amp;X$1,JupData!$A$2:$A$10000&amp;JupData!$J$2:$J$10000,0),11))</f>
        <v/>
      </c>
      <c r="Y828" t="str">
        <f t="array" ref="Y828">IF($A828="","",INDEX(JupData!$A$2:$K$10000,MATCH($A828&amp;Y$1,JupData!$A$2:$A$10000&amp;JupData!$J$2:$J$10000,0),11))</f>
        <v/>
      </c>
      <c r="Z828" t="str">
        <f t="array" ref="Z828">IF($A828="","",INDEX(JupData!$A$2:$K$10000,MATCH($A828&amp;Z$1,JupData!$A$2:$A$10000&amp;JupData!$J$2:$J$10000,0),11))</f>
        <v/>
      </c>
      <c r="AA828" t="str">
        <f t="array" ref="AA828">IF($A828="","",INDEX(JupData!$A$2:$K$10000,MATCH($A828&amp;AA$1,JupData!$A$2:$A$10000&amp;JupData!$J$2:$J$10000,0),11))</f>
        <v/>
      </c>
      <c r="AB828" t="str">
        <f t="array" ref="AB828">IF($A828="","",INDEX(JupData!$A$2:$K$10000,MATCH($A828&amp;AB$1,JupData!$A$2:$A$10000&amp;JupData!$J$2:$J$10000,0),11))</f>
        <v/>
      </c>
      <c r="AC828" s="10" t="str">
        <f t="shared" si="132"/>
        <v/>
      </c>
      <c r="AD828" s="10" t="str">
        <f t="shared" si="133"/>
        <v/>
      </c>
      <c r="AE828" s="9" t="str">
        <f t="shared" si="134"/>
        <v/>
      </c>
      <c r="AF828" s="10" t="str">
        <f t="shared" si="135"/>
        <v/>
      </c>
      <c r="AG828" s="10" t="str">
        <f t="shared" si="136"/>
        <v/>
      </c>
      <c r="AH828" s="10" t="str">
        <f t="shared" si="137"/>
        <v/>
      </c>
      <c r="AI828" s="10" t="str">
        <f t="shared" si="138"/>
        <v/>
      </c>
      <c r="AJ828" s="10" t="str">
        <f t="shared" si="139"/>
        <v/>
      </c>
      <c r="AK828" s="10" t="str">
        <f t="shared" si="140"/>
        <v/>
      </c>
      <c r="AL828" s="14" t="str">
        <f t="shared" si="141"/>
        <v/>
      </c>
    </row>
    <row r="829" spans="1:38" x14ac:dyDescent="0.2">
      <c r="A829"/>
      <c r="B829" t="str">
        <f>IF($A829="","",VLOOKUP($A829,JupData!$A$2:$I$10000,4,FALSE))</f>
        <v/>
      </c>
      <c r="C829" s="7" t="str">
        <f>IF($A829="",IF(N(D829),0,""),VLOOKUP($A829,JupData!$A$2:$I$10000,7,FALSE))</f>
        <v/>
      </c>
      <c r="D829" t="str">
        <f t="shared" si="142"/>
        <v/>
      </c>
      <c r="E829" t="str">
        <f t="array" ref="E829">IF($A829="","",INDEX(JupData!$A$2:$K$10000,MATCH($A829&amp;E$1,JupData!$A$2:$A$10000&amp;JupData!$J$2:$J$10000,0),11))</f>
        <v/>
      </c>
      <c r="F829" t="str">
        <f t="array" ref="F829">IF($A829="","",INDEX(JupData!$A$2:$K$10000,MATCH($A829&amp;F$1,JupData!$A$2:$A$10000&amp;JupData!$J$2:$J$10000,0),11))</f>
        <v/>
      </c>
      <c r="G829" t="str">
        <f t="array" ref="G829">IF($A829="","",INDEX(JupData!$A$2:$K$10000,MATCH($A829&amp;G$1,JupData!$A$2:$A$10000&amp;JupData!$J$2:$J$10000,0),11))</f>
        <v/>
      </c>
      <c r="H829" t="str">
        <f t="array" ref="H829">IF($A829="","",INDEX(JupData!$A$2:$K$10000,MATCH($A829&amp;H$1,JupData!$A$2:$A$10000&amp;JupData!$J$2:$J$10000,0),11))</f>
        <v/>
      </c>
      <c r="I829" t="str">
        <f t="array" ref="I829">IF($A829="","",INDEX(JupData!$A$2:$K$10000,MATCH($A829&amp;I$1,JupData!$A$2:$A$10000&amp;JupData!$J$2:$J$10000,0),11))</f>
        <v/>
      </c>
      <c r="J829" t="str">
        <f t="array" ref="J829">IF($A829="","",INDEX(JupData!$A$2:$K$10000,MATCH($A829&amp;J$1,JupData!$A$2:$A$10000&amp;JupData!$J$2:$J$10000,0),11))</f>
        <v/>
      </c>
      <c r="K829" t="str">
        <f t="array" ref="K829">IF($A829="","",INDEX(JupData!$A$2:$K$10000,MATCH($A829&amp;K$1,JupData!$A$2:$A$10000&amp;JupData!$J$2:$J$10000,0),11))</f>
        <v/>
      </c>
      <c r="L829" t="str">
        <f t="array" ref="L829">IF($A829="","",INDEX(JupData!$A$2:$K$10000,MATCH($A829&amp;L$1,JupData!$A$2:$A$10000&amp;JupData!$J$2:$J$10000,0),11))</f>
        <v/>
      </c>
      <c r="M829" t="str">
        <f t="array" ref="M829">IF($A829="","",INDEX(JupData!$A$2:$K$10000,MATCH($A829&amp;M$1,JupData!$A$2:$A$10000&amp;JupData!$J$2:$J$10000,0),11))</f>
        <v/>
      </c>
      <c r="N829" t="str">
        <f t="array" ref="N829">IF($A829="","",INDEX(JupData!$A$2:$K$10000,MATCH($A829&amp;N$1,JupData!$A$2:$A$10000&amp;JupData!$J$2:$J$10000,0),11))</f>
        <v/>
      </c>
      <c r="O829" t="str">
        <f t="array" ref="O829">IF($A829="","",INDEX(JupData!$A$2:$K$10000,MATCH($A829&amp;O$1,JupData!$A$2:$A$10000&amp;JupData!$J$2:$J$10000,0),11))</f>
        <v/>
      </c>
      <c r="P829" t="str">
        <f t="array" ref="P829">IF($A829="","",INDEX(JupData!$A$2:$K$10000,MATCH($A829&amp;P$1,JupData!$A$2:$A$10000&amp;JupData!$J$2:$J$10000,0),11))</f>
        <v/>
      </c>
      <c r="Q829" t="str">
        <f t="array" ref="Q829">IF($A829="","",INDEX(JupData!$A$2:$K$10000,MATCH($A829&amp;Q$1,JupData!$A$2:$A$10000&amp;JupData!$J$2:$J$10000,0),11))</f>
        <v/>
      </c>
      <c r="R829" t="str">
        <f t="array" ref="R829">IF($A829="","",INDEX(JupData!$A$2:$K$10000,MATCH($A829&amp;R$1,JupData!$A$2:$A$10000&amp;JupData!$J$2:$J$10000,0),11))</f>
        <v/>
      </c>
      <c r="S829" t="str">
        <f t="array" ref="S829">IF($A829="","",INDEX(JupData!$A$2:$K$10000,MATCH($A829&amp;S$1,JupData!$A$2:$A$10000&amp;JupData!$J$2:$J$10000,0),11))</f>
        <v/>
      </c>
      <c r="T829" t="str">
        <f t="array" ref="T829">IF($A829="","",INDEX(JupData!$A$2:$K$10000,MATCH($A829&amp;T$1,JupData!$A$2:$A$10000&amp;JupData!$J$2:$J$10000,0),11))</f>
        <v/>
      </c>
      <c r="U829" t="str">
        <f t="array" ref="U829">IF($A829="","",INDEX(JupData!$A$2:$K$10000,MATCH($A829&amp;U$1,JupData!$A$2:$A$10000&amp;JupData!$J$2:$J$10000,0),11))</f>
        <v/>
      </c>
      <c r="V829" t="str">
        <f t="array" ref="V829">IF($A829="","",INDEX(JupData!$A$2:$K$10000,MATCH($A829&amp;V$1,JupData!$A$2:$A$10000&amp;JupData!$J$2:$J$10000,0),11))</f>
        <v/>
      </c>
      <c r="W829" t="str">
        <f t="array" ref="W829">IF($A829="","",INDEX(JupData!$A$2:$K$10000,MATCH($A829&amp;W$1,JupData!$A$2:$A$10000&amp;JupData!$J$2:$J$10000,0),11))</f>
        <v/>
      </c>
      <c r="X829" t="str">
        <f t="array" ref="X829">IF($A829="","",INDEX(JupData!$A$2:$K$10000,MATCH($A829&amp;X$1,JupData!$A$2:$A$10000&amp;JupData!$J$2:$J$10000,0),11))</f>
        <v/>
      </c>
      <c r="Y829" t="str">
        <f t="array" ref="Y829">IF($A829="","",INDEX(JupData!$A$2:$K$10000,MATCH($A829&amp;Y$1,JupData!$A$2:$A$10000&amp;JupData!$J$2:$J$10000,0),11))</f>
        <v/>
      </c>
      <c r="Z829" t="str">
        <f t="array" ref="Z829">IF($A829="","",INDEX(JupData!$A$2:$K$10000,MATCH($A829&amp;Z$1,JupData!$A$2:$A$10000&amp;JupData!$J$2:$J$10000,0),11))</f>
        <v/>
      </c>
      <c r="AA829" t="str">
        <f t="array" ref="AA829">IF($A829="","",INDEX(JupData!$A$2:$K$10000,MATCH($A829&amp;AA$1,JupData!$A$2:$A$10000&amp;JupData!$J$2:$J$10000,0),11))</f>
        <v/>
      </c>
      <c r="AB829" t="str">
        <f t="array" ref="AB829">IF($A829="","",INDEX(JupData!$A$2:$K$10000,MATCH($A829&amp;AB$1,JupData!$A$2:$A$10000&amp;JupData!$J$2:$J$10000,0),11))</f>
        <v/>
      </c>
      <c r="AC829" s="10" t="str">
        <f t="shared" si="132"/>
        <v/>
      </c>
      <c r="AD829" s="10" t="str">
        <f t="shared" si="133"/>
        <v/>
      </c>
      <c r="AE829" s="9" t="str">
        <f t="shared" si="134"/>
        <v/>
      </c>
      <c r="AF829" s="10" t="str">
        <f t="shared" si="135"/>
        <v/>
      </c>
      <c r="AG829" s="10" t="str">
        <f t="shared" si="136"/>
        <v/>
      </c>
      <c r="AH829" s="10" t="str">
        <f t="shared" si="137"/>
        <v/>
      </c>
      <c r="AI829" s="10" t="str">
        <f t="shared" si="138"/>
        <v/>
      </c>
      <c r="AJ829" s="10" t="str">
        <f t="shared" si="139"/>
        <v/>
      </c>
      <c r="AK829" s="10" t="str">
        <f t="shared" si="140"/>
        <v/>
      </c>
      <c r="AL829" s="14" t="str">
        <f t="shared" si="141"/>
        <v/>
      </c>
    </row>
    <row r="830" spans="1:38" x14ac:dyDescent="0.2">
      <c r="A830"/>
      <c r="B830" t="str">
        <f>IF($A830="","",VLOOKUP($A830,JupData!$A$2:$I$10000,4,FALSE))</f>
        <v/>
      </c>
      <c r="C830" s="7" t="str">
        <f>IF($A830="",IF(N(D830),0,""),VLOOKUP($A830,JupData!$A$2:$I$10000,7,FALSE))</f>
        <v/>
      </c>
      <c r="D830" t="str">
        <f t="shared" si="142"/>
        <v/>
      </c>
      <c r="E830" t="str">
        <f t="array" ref="E830">IF($A830="","",INDEX(JupData!$A$2:$K$10000,MATCH($A830&amp;E$1,JupData!$A$2:$A$10000&amp;JupData!$J$2:$J$10000,0),11))</f>
        <v/>
      </c>
      <c r="F830" t="str">
        <f t="array" ref="F830">IF($A830="","",INDEX(JupData!$A$2:$K$10000,MATCH($A830&amp;F$1,JupData!$A$2:$A$10000&amp;JupData!$J$2:$J$10000,0),11))</f>
        <v/>
      </c>
      <c r="G830" t="str">
        <f t="array" ref="G830">IF($A830="","",INDEX(JupData!$A$2:$K$10000,MATCH($A830&amp;G$1,JupData!$A$2:$A$10000&amp;JupData!$J$2:$J$10000,0),11))</f>
        <v/>
      </c>
      <c r="H830" t="str">
        <f t="array" ref="H830">IF($A830="","",INDEX(JupData!$A$2:$K$10000,MATCH($A830&amp;H$1,JupData!$A$2:$A$10000&amp;JupData!$J$2:$J$10000,0),11))</f>
        <v/>
      </c>
      <c r="I830" t="str">
        <f t="array" ref="I830">IF($A830="","",INDEX(JupData!$A$2:$K$10000,MATCH($A830&amp;I$1,JupData!$A$2:$A$10000&amp;JupData!$J$2:$J$10000,0),11))</f>
        <v/>
      </c>
      <c r="J830" t="str">
        <f t="array" ref="J830">IF($A830="","",INDEX(JupData!$A$2:$K$10000,MATCH($A830&amp;J$1,JupData!$A$2:$A$10000&amp;JupData!$J$2:$J$10000,0),11))</f>
        <v/>
      </c>
      <c r="K830" t="str">
        <f t="array" ref="K830">IF($A830="","",INDEX(JupData!$A$2:$K$10000,MATCH($A830&amp;K$1,JupData!$A$2:$A$10000&amp;JupData!$J$2:$J$10000,0),11))</f>
        <v/>
      </c>
      <c r="L830" t="str">
        <f t="array" ref="L830">IF($A830="","",INDEX(JupData!$A$2:$K$10000,MATCH($A830&amp;L$1,JupData!$A$2:$A$10000&amp;JupData!$J$2:$J$10000,0),11))</f>
        <v/>
      </c>
      <c r="M830" t="str">
        <f t="array" ref="M830">IF($A830="","",INDEX(JupData!$A$2:$K$10000,MATCH($A830&amp;M$1,JupData!$A$2:$A$10000&amp;JupData!$J$2:$J$10000,0),11))</f>
        <v/>
      </c>
      <c r="N830" t="str">
        <f t="array" ref="N830">IF($A830="","",INDEX(JupData!$A$2:$K$10000,MATCH($A830&amp;N$1,JupData!$A$2:$A$10000&amp;JupData!$J$2:$J$10000,0),11))</f>
        <v/>
      </c>
      <c r="O830" t="str">
        <f t="array" ref="O830">IF($A830="","",INDEX(JupData!$A$2:$K$10000,MATCH($A830&amp;O$1,JupData!$A$2:$A$10000&amp;JupData!$J$2:$J$10000,0),11))</f>
        <v/>
      </c>
      <c r="P830" t="str">
        <f t="array" ref="P830">IF($A830="","",INDEX(JupData!$A$2:$K$10000,MATCH($A830&amp;P$1,JupData!$A$2:$A$10000&amp;JupData!$J$2:$J$10000,0),11))</f>
        <v/>
      </c>
      <c r="Q830" t="str">
        <f t="array" ref="Q830">IF($A830="","",INDEX(JupData!$A$2:$K$10000,MATCH($A830&amp;Q$1,JupData!$A$2:$A$10000&amp;JupData!$J$2:$J$10000,0),11))</f>
        <v/>
      </c>
      <c r="R830" t="str">
        <f t="array" ref="R830">IF($A830="","",INDEX(JupData!$A$2:$K$10000,MATCH($A830&amp;R$1,JupData!$A$2:$A$10000&amp;JupData!$J$2:$J$10000,0),11))</f>
        <v/>
      </c>
      <c r="S830" t="str">
        <f t="array" ref="S830">IF($A830="","",INDEX(JupData!$A$2:$K$10000,MATCH($A830&amp;S$1,JupData!$A$2:$A$10000&amp;JupData!$J$2:$J$10000,0),11))</f>
        <v/>
      </c>
      <c r="T830" t="str">
        <f t="array" ref="T830">IF($A830="","",INDEX(JupData!$A$2:$K$10000,MATCH($A830&amp;T$1,JupData!$A$2:$A$10000&amp;JupData!$J$2:$J$10000,0),11))</f>
        <v/>
      </c>
      <c r="U830" t="str">
        <f t="array" ref="U830">IF($A830="","",INDEX(JupData!$A$2:$K$10000,MATCH($A830&amp;U$1,JupData!$A$2:$A$10000&amp;JupData!$J$2:$J$10000,0),11))</f>
        <v/>
      </c>
      <c r="V830" t="str">
        <f t="array" ref="V830">IF($A830="","",INDEX(JupData!$A$2:$K$10000,MATCH($A830&amp;V$1,JupData!$A$2:$A$10000&amp;JupData!$J$2:$J$10000,0),11))</f>
        <v/>
      </c>
      <c r="W830" t="str">
        <f t="array" ref="W830">IF($A830="","",INDEX(JupData!$A$2:$K$10000,MATCH($A830&amp;W$1,JupData!$A$2:$A$10000&amp;JupData!$J$2:$J$10000,0),11))</f>
        <v/>
      </c>
      <c r="X830" t="str">
        <f t="array" ref="X830">IF($A830="","",INDEX(JupData!$A$2:$K$10000,MATCH($A830&amp;X$1,JupData!$A$2:$A$10000&amp;JupData!$J$2:$J$10000,0),11))</f>
        <v/>
      </c>
      <c r="Y830" t="str">
        <f t="array" ref="Y830">IF($A830="","",INDEX(JupData!$A$2:$K$10000,MATCH($A830&amp;Y$1,JupData!$A$2:$A$10000&amp;JupData!$J$2:$J$10000,0),11))</f>
        <v/>
      </c>
      <c r="Z830" t="str">
        <f t="array" ref="Z830">IF($A830="","",INDEX(JupData!$A$2:$K$10000,MATCH($A830&amp;Z$1,JupData!$A$2:$A$10000&amp;JupData!$J$2:$J$10000,0),11))</f>
        <v/>
      </c>
      <c r="AA830" t="str">
        <f t="array" ref="AA830">IF($A830="","",INDEX(JupData!$A$2:$K$10000,MATCH($A830&amp;AA$1,JupData!$A$2:$A$10000&amp;JupData!$J$2:$J$10000,0),11))</f>
        <v/>
      </c>
      <c r="AB830" t="str">
        <f t="array" ref="AB830">IF($A830="","",INDEX(JupData!$A$2:$K$10000,MATCH($A830&amp;AB$1,JupData!$A$2:$A$10000&amp;JupData!$J$2:$J$10000,0),11))</f>
        <v/>
      </c>
      <c r="AC830" s="10" t="str">
        <f t="shared" si="132"/>
        <v/>
      </c>
      <c r="AD830" s="10" t="str">
        <f t="shared" si="133"/>
        <v/>
      </c>
      <c r="AE830" s="9" t="str">
        <f t="shared" si="134"/>
        <v/>
      </c>
      <c r="AF830" s="10" t="str">
        <f t="shared" si="135"/>
        <v/>
      </c>
      <c r="AG830" s="10" t="str">
        <f t="shared" si="136"/>
        <v/>
      </c>
      <c r="AH830" s="10" t="str">
        <f t="shared" si="137"/>
        <v/>
      </c>
      <c r="AI830" s="10" t="str">
        <f t="shared" si="138"/>
        <v/>
      </c>
      <c r="AJ830" s="10" t="str">
        <f t="shared" si="139"/>
        <v/>
      </c>
      <c r="AK830" s="10" t="str">
        <f t="shared" si="140"/>
        <v/>
      </c>
      <c r="AL830" s="14" t="str">
        <f t="shared" si="141"/>
        <v/>
      </c>
    </row>
    <row r="831" spans="1:38" x14ac:dyDescent="0.2">
      <c r="A831"/>
      <c r="B831" t="str">
        <f>IF($A831="","",VLOOKUP($A831,JupData!$A$2:$I$10000,4,FALSE))</f>
        <v/>
      </c>
      <c r="C831" s="7" t="str">
        <f>IF($A831="",IF(N(D831),0,""),VLOOKUP($A831,JupData!$A$2:$I$10000,7,FALSE))</f>
        <v/>
      </c>
      <c r="D831" t="str">
        <f t="shared" si="142"/>
        <v/>
      </c>
      <c r="E831" t="str">
        <f t="array" ref="E831">IF($A831="","",INDEX(JupData!$A$2:$K$10000,MATCH($A831&amp;E$1,JupData!$A$2:$A$10000&amp;JupData!$J$2:$J$10000,0),11))</f>
        <v/>
      </c>
      <c r="F831" t="str">
        <f t="array" ref="F831">IF($A831="","",INDEX(JupData!$A$2:$K$10000,MATCH($A831&amp;F$1,JupData!$A$2:$A$10000&amp;JupData!$J$2:$J$10000,0),11))</f>
        <v/>
      </c>
      <c r="G831" t="str">
        <f t="array" ref="G831">IF($A831="","",INDEX(JupData!$A$2:$K$10000,MATCH($A831&amp;G$1,JupData!$A$2:$A$10000&amp;JupData!$J$2:$J$10000,0),11))</f>
        <v/>
      </c>
      <c r="H831" t="str">
        <f t="array" ref="H831">IF($A831="","",INDEX(JupData!$A$2:$K$10000,MATCH($A831&amp;H$1,JupData!$A$2:$A$10000&amp;JupData!$J$2:$J$10000,0),11))</f>
        <v/>
      </c>
      <c r="I831" t="str">
        <f t="array" ref="I831">IF($A831="","",INDEX(JupData!$A$2:$K$10000,MATCH($A831&amp;I$1,JupData!$A$2:$A$10000&amp;JupData!$J$2:$J$10000,0),11))</f>
        <v/>
      </c>
      <c r="J831" t="str">
        <f t="array" ref="J831">IF($A831="","",INDEX(JupData!$A$2:$K$10000,MATCH($A831&amp;J$1,JupData!$A$2:$A$10000&amp;JupData!$J$2:$J$10000,0),11))</f>
        <v/>
      </c>
      <c r="K831" t="str">
        <f t="array" ref="K831">IF($A831="","",INDEX(JupData!$A$2:$K$10000,MATCH($A831&amp;K$1,JupData!$A$2:$A$10000&amp;JupData!$J$2:$J$10000,0),11))</f>
        <v/>
      </c>
      <c r="L831" t="str">
        <f t="array" ref="L831">IF($A831="","",INDEX(JupData!$A$2:$K$10000,MATCH($A831&amp;L$1,JupData!$A$2:$A$10000&amp;JupData!$J$2:$J$10000,0),11))</f>
        <v/>
      </c>
      <c r="M831" t="str">
        <f t="array" ref="M831">IF($A831="","",INDEX(JupData!$A$2:$K$10000,MATCH($A831&amp;M$1,JupData!$A$2:$A$10000&amp;JupData!$J$2:$J$10000,0),11))</f>
        <v/>
      </c>
      <c r="N831" t="str">
        <f t="array" ref="N831">IF($A831="","",INDEX(JupData!$A$2:$K$10000,MATCH($A831&amp;N$1,JupData!$A$2:$A$10000&amp;JupData!$J$2:$J$10000,0),11))</f>
        <v/>
      </c>
      <c r="O831" t="str">
        <f t="array" ref="O831">IF($A831="","",INDEX(JupData!$A$2:$K$10000,MATCH($A831&amp;O$1,JupData!$A$2:$A$10000&amp;JupData!$J$2:$J$10000,0),11))</f>
        <v/>
      </c>
      <c r="P831" t="str">
        <f t="array" ref="P831">IF($A831="","",INDEX(JupData!$A$2:$K$10000,MATCH($A831&amp;P$1,JupData!$A$2:$A$10000&amp;JupData!$J$2:$J$10000,0),11))</f>
        <v/>
      </c>
      <c r="Q831" t="str">
        <f t="array" ref="Q831">IF($A831="","",INDEX(JupData!$A$2:$K$10000,MATCH($A831&amp;Q$1,JupData!$A$2:$A$10000&amp;JupData!$J$2:$J$10000,0),11))</f>
        <v/>
      </c>
      <c r="R831" t="str">
        <f t="array" ref="R831">IF($A831="","",INDEX(JupData!$A$2:$K$10000,MATCH($A831&amp;R$1,JupData!$A$2:$A$10000&amp;JupData!$J$2:$J$10000,0),11))</f>
        <v/>
      </c>
      <c r="S831" t="str">
        <f t="array" ref="S831">IF($A831="","",INDEX(JupData!$A$2:$K$10000,MATCH($A831&amp;S$1,JupData!$A$2:$A$10000&amp;JupData!$J$2:$J$10000,0),11))</f>
        <v/>
      </c>
      <c r="T831" t="str">
        <f t="array" ref="T831">IF($A831="","",INDEX(JupData!$A$2:$K$10000,MATCH($A831&amp;T$1,JupData!$A$2:$A$10000&amp;JupData!$J$2:$J$10000,0),11))</f>
        <v/>
      </c>
      <c r="U831" t="str">
        <f t="array" ref="U831">IF($A831="","",INDEX(JupData!$A$2:$K$10000,MATCH($A831&amp;U$1,JupData!$A$2:$A$10000&amp;JupData!$J$2:$J$10000,0),11))</f>
        <v/>
      </c>
      <c r="V831" t="str">
        <f t="array" ref="V831">IF($A831="","",INDEX(JupData!$A$2:$K$10000,MATCH($A831&amp;V$1,JupData!$A$2:$A$10000&amp;JupData!$J$2:$J$10000,0),11))</f>
        <v/>
      </c>
      <c r="W831" t="str">
        <f t="array" ref="W831">IF($A831="","",INDEX(JupData!$A$2:$K$10000,MATCH($A831&amp;W$1,JupData!$A$2:$A$10000&amp;JupData!$J$2:$J$10000,0),11))</f>
        <v/>
      </c>
      <c r="X831" t="str">
        <f t="array" ref="X831">IF($A831="","",INDEX(JupData!$A$2:$K$10000,MATCH($A831&amp;X$1,JupData!$A$2:$A$10000&amp;JupData!$J$2:$J$10000,0),11))</f>
        <v/>
      </c>
      <c r="Y831" t="str">
        <f t="array" ref="Y831">IF($A831="","",INDEX(JupData!$A$2:$K$10000,MATCH($A831&amp;Y$1,JupData!$A$2:$A$10000&amp;JupData!$J$2:$J$10000,0),11))</f>
        <v/>
      </c>
      <c r="Z831" t="str">
        <f t="array" ref="Z831">IF($A831="","",INDEX(JupData!$A$2:$K$10000,MATCH($A831&amp;Z$1,JupData!$A$2:$A$10000&amp;JupData!$J$2:$J$10000,0),11))</f>
        <v/>
      </c>
      <c r="AA831" t="str">
        <f t="array" ref="AA831">IF($A831="","",INDEX(JupData!$A$2:$K$10000,MATCH($A831&amp;AA$1,JupData!$A$2:$A$10000&amp;JupData!$J$2:$J$10000,0),11))</f>
        <v/>
      </c>
      <c r="AB831" t="str">
        <f t="array" ref="AB831">IF($A831="","",INDEX(JupData!$A$2:$K$10000,MATCH($A831&amp;AB$1,JupData!$A$2:$A$10000&amp;JupData!$J$2:$J$10000,0),11))</f>
        <v/>
      </c>
      <c r="AC831" s="10" t="str">
        <f t="shared" si="132"/>
        <v/>
      </c>
      <c r="AD831" s="10" t="str">
        <f t="shared" si="133"/>
        <v/>
      </c>
      <c r="AE831" s="9" t="str">
        <f t="shared" si="134"/>
        <v/>
      </c>
      <c r="AF831" s="10" t="str">
        <f t="shared" si="135"/>
        <v/>
      </c>
      <c r="AG831" s="10" t="str">
        <f t="shared" si="136"/>
        <v/>
      </c>
      <c r="AH831" s="10" t="str">
        <f t="shared" si="137"/>
        <v/>
      </c>
      <c r="AI831" s="10" t="str">
        <f t="shared" si="138"/>
        <v/>
      </c>
      <c r="AJ831" s="10" t="str">
        <f t="shared" si="139"/>
        <v/>
      </c>
      <c r="AK831" s="10" t="str">
        <f t="shared" si="140"/>
        <v/>
      </c>
      <c r="AL831" s="14" t="str">
        <f t="shared" si="141"/>
        <v/>
      </c>
    </row>
    <row r="832" spans="1:38" x14ac:dyDescent="0.2">
      <c r="A832"/>
      <c r="B832" t="str">
        <f>IF($A832="","",VLOOKUP($A832,JupData!$A$2:$I$10000,4,FALSE))</f>
        <v/>
      </c>
      <c r="C832" s="7" t="str">
        <f>IF($A832="",IF(N(D832),0,""),VLOOKUP($A832,JupData!$A$2:$I$10000,7,FALSE))</f>
        <v/>
      </c>
      <c r="D832" t="str">
        <f t="shared" si="142"/>
        <v/>
      </c>
      <c r="E832" t="str">
        <f t="array" ref="E832">IF($A832="","",INDEX(JupData!$A$2:$K$10000,MATCH($A832&amp;E$1,JupData!$A$2:$A$10000&amp;JupData!$J$2:$J$10000,0),11))</f>
        <v/>
      </c>
      <c r="F832" t="str">
        <f t="array" ref="F832">IF($A832="","",INDEX(JupData!$A$2:$K$10000,MATCH($A832&amp;F$1,JupData!$A$2:$A$10000&amp;JupData!$J$2:$J$10000,0),11))</f>
        <v/>
      </c>
      <c r="G832" t="str">
        <f t="array" ref="G832">IF($A832="","",INDEX(JupData!$A$2:$K$10000,MATCH($A832&amp;G$1,JupData!$A$2:$A$10000&amp;JupData!$J$2:$J$10000,0),11))</f>
        <v/>
      </c>
      <c r="H832" t="str">
        <f t="array" ref="H832">IF($A832="","",INDEX(JupData!$A$2:$K$10000,MATCH($A832&amp;H$1,JupData!$A$2:$A$10000&amp;JupData!$J$2:$J$10000,0),11))</f>
        <v/>
      </c>
      <c r="I832" t="str">
        <f t="array" ref="I832">IF($A832="","",INDEX(JupData!$A$2:$K$10000,MATCH($A832&amp;I$1,JupData!$A$2:$A$10000&amp;JupData!$J$2:$J$10000,0),11))</f>
        <v/>
      </c>
      <c r="J832" t="str">
        <f t="array" ref="J832">IF($A832="","",INDEX(JupData!$A$2:$K$10000,MATCH($A832&amp;J$1,JupData!$A$2:$A$10000&amp;JupData!$J$2:$J$10000,0),11))</f>
        <v/>
      </c>
      <c r="K832" t="str">
        <f t="array" ref="K832">IF($A832="","",INDEX(JupData!$A$2:$K$10000,MATCH($A832&amp;K$1,JupData!$A$2:$A$10000&amp;JupData!$J$2:$J$10000,0),11))</f>
        <v/>
      </c>
      <c r="L832" t="str">
        <f t="array" ref="L832">IF($A832="","",INDEX(JupData!$A$2:$K$10000,MATCH($A832&amp;L$1,JupData!$A$2:$A$10000&amp;JupData!$J$2:$J$10000,0),11))</f>
        <v/>
      </c>
      <c r="M832" t="str">
        <f t="array" ref="M832">IF($A832="","",INDEX(JupData!$A$2:$K$10000,MATCH($A832&amp;M$1,JupData!$A$2:$A$10000&amp;JupData!$J$2:$J$10000,0),11))</f>
        <v/>
      </c>
      <c r="N832" t="str">
        <f t="array" ref="N832">IF($A832="","",INDEX(JupData!$A$2:$K$10000,MATCH($A832&amp;N$1,JupData!$A$2:$A$10000&amp;JupData!$J$2:$J$10000,0),11))</f>
        <v/>
      </c>
      <c r="O832" t="str">
        <f t="array" ref="O832">IF($A832="","",INDEX(JupData!$A$2:$K$10000,MATCH($A832&amp;O$1,JupData!$A$2:$A$10000&amp;JupData!$J$2:$J$10000,0),11))</f>
        <v/>
      </c>
      <c r="P832" t="str">
        <f t="array" ref="P832">IF($A832="","",INDEX(JupData!$A$2:$K$10000,MATCH($A832&amp;P$1,JupData!$A$2:$A$10000&amp;JupData!$J$2:$J$10000,0),11))</f>
        <v/>
      </c>
      <c r="Q832" t="str">
        <f t="array" ref="Q832">IF($A832="","",INDEX(JupData!$A$2:$K$10000,MATCH($A832&amp;Q$1,JupData!$A$2:$A$10000&amp;JupData!$J$2:$J$10000,0),11))</f>
        <v/>
      </c>
      <c r="R832" t="str">
        <f t="array" ref="R832">IF($A832="","",INDEX(JupData!$A$2:$K$10000,MATCH($A832&amp;R$1,JupData!$A$2:$A$10000&amp;JupData!$J$2:$J$10000,0),11))</f>
        <v/>
      </c>
      <c r="S832" t="str">
        <f t="array" ref="S832">IF($A832="","",INDEX(JupData!$A$2:$K$10000,MATCH($A832&amp;S$1,JupData!$A$2:$A$10000&amp;JupData!$J$2:$J$10000,0),11))</f>
        <v/>
      </c>
      <c r="T832" t="str">
        <f t="array" ref="T832">IF($A832="","",INDEX(JupData!$A$2:$K$10000,MATCH($A832&amp;T$1,JupData!$A$2:$A$10000&amp;JupData!$J$2:$J$10000,0),11))</f>
        <v/>
      </c>
      <c r="U832" t="str">
        <f t="array" ref="U832">IF($A832="","",INDEX(JupData!$A$2:$K$10000,MATCH($A832&amp;U$1,JupData!$A$2:$A$10000&amp;JupData!$J$2:$J$10000,0),11))</f>
        <v/>
      </c>
      <c r="V832" t="str">
        <f t="array" ref="V832">IF($A832="","",INDEX(JupData!$A$2:$K$10000,MATCH($A832&amp;V$1,JupData!$A$2:$A$10000&amp;JupData!$J$2:$J$10000,0),11))</f>
        <v/>
      </c>
      <c r="W832" t="str">
        <f t="array" ref="W832">IF($A832="","",INDEX(JupData!$A$2:$K$10000,MATCH($A832&amp;W$1,JupData!$A$2:$A$10000&amp;JupData!$J$2:$J$10000,0),11))</f>
        <v/>
      </c>
      <c r="X832" t="str">
        <f t="array" ref="X832">IF($A832="","",INDEX(JupData!$A$2:$K$10000,MATCH($A832&amp;X$1,JupData!$A$2:$A$10000&amp;JupData!$J$2:$J$10000,0),11))</f>
        <v/>
      </c>
      <c r="Y832" t="str">
        <f t="array" ref="Y832">IF($A832="","",INDEX(JupData!$A$2:$K$10000,MATCH($A832&amp;Y$1,JupData!$A$2:$A$10000&amp;JupData!$J$2:$J$10000,0),11))</f>
        <v/>
      </c>
      <c r="Z832" t="str">
        <f t="array" ref="Z832">IF($A832="","",INDEX(JupData!$A$2:$K$10000,MATCH($A832&amp;Z$1,JupData!$A$2:$A$10000&amp;JupData!$J$2:$J$10000,0),11))</f>
        <v/>
      </c>
      <c r="AA832" t="str">
        <f t="array" ref="AA832">IF($A832="","",INDEX(JupData!$A$2:$K$10000,MATCH($A832&amp;AA$1,JupData!$A$2:$A$10000&amp;JupData!$J$2:$J$10000,0),11))</f>
        <v/>
      </c>
      <c r="AB832" t="str">
        <f t="array" ref="AB832">IF($A832="","",INDEX(JupData!$A$2:$K$10000,MATCH($A832&amp;AB$1,JupData!$A$2:$A$10000&amp;JupData!$J$2:$J$10000,0),11))</f>
        <v/>
      </c>
      <c r="AC832" s="10" t="str">
        <f t="shared" si="132"/>
        <v/>
      </c>
      <c r="AD832" s="10" t="str">
        <f t="shared" si="133"/>
        <v/>
      </c>
      <c r="AE832" s="9" t="str">
        <f t="shared" si="134"/>
        <v/>
      </c>
      <c r="AF832" s="10" t="str">
        <f t="shared" si="135"/>
        <v/>
      </c>
      <c r="AG832" s="10" t="str">
        <f t="shared" si="136"/>
        <v/>
      </c>
      <c r="AH832" s="10" t="str">
        <f t="shared" si="137"/>
        <v/>
      </c>
      <c r="AI832" s="10" t="str">
        <f t="shared" si="138"/>
        <v/>
      </c>
      <c r="AJ832" s="10" t="str">
        <f t="shared" si="139"/>
        <v/>
      </c>
      <c r="AK832" s="10" t="str">
        <f t="shared" si="140"/>
        <v/>
      </c>
      <c r="AL832" s="14" t="str">
        <f t="shared" si="141"/>
        <v/>
      </c>
    </row>
    <row r="833" spans="1:38" x14ac:dyDescent="0.2">
      <c r="A833"/>
      <c r="B833" t="str">
        <f>IF($A833="","",VLOOKUP($A833,JupData!$A$2:$I$10000,4,FALSE))</f>
        <v/>
      </c>
      <c r="C833" s="7" t="str">
        <f>IF($A833="",IF(N(D833),0,""),VLOOKUP($A833,JupData!$A$2:$I$10000,7,FALSE))</f>
        <v/>
      </c>
      <c r="D833" t="str">
        <f t="shared" si="142"/>
        <v/>
      </c>
      <c r="E833" t="str">
        <f t="array" ref="E833">IF($A833="","",INDEX(JupData!$A$2:$K$10000,MATCH($A833&amp;E$1,JupData!$A$2:$A$10000&amp;JupData!$J$2:$J$10000,0),11))</f>
        <v/>
      </c>
      <c r="F833" t="str">
        <f t="array" ref="F833">IF($A833="","",INDEX(JupData!$A$2:$K$10000,MATCH($A833&amp;F$1,JupData!$A$2:$A$10000&amp;JupData!$J$2:$J$10000,0),11))</f>
        <v/>
      </c>
      <c r="G833" t="str">
        <f t="array" ref="G833">IF($A833="","",INDEX(JupData!$A$2:$K$10000,MATCH($A833&amp;G$1,JupData!$A$2:$A$10000&amp;JupData!$J$2:$J$10000,0),11))</f>
        <v/>
      </c>
      <c r="H833" t="str">
        <f t="array" ref="H833">IF($A833="","",INDEX(JupData!$A$2:$K$10000,MATCH($A833&amp;H$1,JupData!$A$2:$A$10000&amp;JupData!$J$2:$J$10000,0),11))</f>
        <v/>
      </c>
      <c r="I833" t="str">
        <f t="array" ref="I833">IF($A833="","",INDEX(JupData!$A$2:$K$10000,MATCH($A833&amp;I$1,JupData!$A$2:$A$10000&amp;JupData!$J$2:$J$10000,0),11))</f>
        <v/>
      </c>
      <c r="J833" t="str">
        <f t="array" ref="J833">IF($A833="","",INDEX(JupData!$A$2:$K$10000,MATCH($A833&amp;J$1,JupData!$A$2:$A$10000&amp;JupData!$J$2:$J$10000,0),11))</f>
        <v/>
      </c>
      <c r="K833" t="str">
        <f t="array" ref="K833">IF($A833="","",INDEX(JupData!$A$2:$K$10000,MATCH($A833&amp;K$1,JupData!$A$2:$A$10000&amp;JupData!$J$2:$J$10000,0),11))</f>
        <v/>
      </c>
      <c r="L833" t="str">
        <f t="array" ref="L833">IF($A833="","",INDEX(JupData!$A$2:$K$10000,MATCH($A833&amp;L$1,JupData!$A$2:$A$10000&amp;JupData!$J$2:$J$10000,0),11))</f>
        <v/>
      </c>
      <c r="M833" t="str">
        <f t="array" ref="M833">IF($A833="","",INDEX(JupData!$A$2:$K$10000,MATCH($A833&amp;M$1,JupData!$A$2:$A$10000&amp;JupData!$J$2:$J$10000,0),11))</f>
        <v/>
      </c>
      <c r="N833" t="str">
        <f t="array" ref="N833">IF($A833="","",INDEX(JupData!$A$2:$K$10000,MATCH($A833&amp;N$1,JupData!$A$2:$A$10000&amp;JupData!$J$2:$J$10000,0),11))</f>
        <v/>
      </c>
      <c r="O833" t="str">
        <f t="array" ref="O833">IF($A833="","",INDEX(JupData!$A$2:$K$10000,MATCH($A833&amp;O$1,JupData!$A$2:$A$10000&amp;JupData!$J$2:$J$10000,0),11))</f>
        <v/>
      </c>
      <c r="P833" t="str">
        <f t="array" ref="P833">IF($A833="","",INDEX(JupData!$A$2:$K$10000,MATCH($A833&amp;P$1,JupData!$A$2:$A$10000&amp;JupData!$J$2:$J$10000,0),11))</f>
        <v/>
      </c>
      <c r="Q833" t="str">
        <f t="array" ref="Q833">IF($A833="","",INDEX(JupData!$A$2:$K$10000,MATCH($A833&amp;Q$1,JupData!$A$2:$A$10000&amp;JupData!$J$2:$J$10000,0),11))</f>
        <v/>
      </c>
      <c r="R833" t="str">
        <f t="array" ref="R833">IF($A833="","",INDEX(JupData!$A$2:$K$10000,MATCH($A833&amp;R$1,JupData!$A$2:$A$10000&amp;JupData!$J$2:$J$10000,0),11))</f>
        <v/>
      </c>
      <c r="S833" t="str">
        <f t="array" ref="S833">IF($A833="","",INDEX(JupData!$A$2:$K$10000,MATCH($A833&amp;S$1,JupData!$A$2:$A$10000&amp;JupData!$J$2:$J$10000,0),11))</f>
        <v/>
      </c>
      <c r="T833" t="str">
        <f t="array" ref="T833">IF($A833="","",INDEX(JupData!$A$2:$K$10000,MATCH($A833&amp;T$1,JupData!$A$2:$A$10000&amp;JupData!$J$2:$J$10000,0),11))</f>
        <v/>
      </c>
      <c r="U833" t="str">
        <f t="array" ref="U833">IF($A833="","",INDEX(JupData!$A$2:$K$10000,MATCH($A833&amp;U$1,JupData!$A$2:$A$10000&amp;JupData!$J$2:$J$10000,0),11))</f>
        <v/>
      </c>
      <c r="V833" t="str">
        <f t="array" ref="V833">IF($A833="","",INDEX(JupData!$A$2:$K$10000,MATCH($A833&amp;V$1,JupData!$A$2:$A$10000&amp;JupData!$J$2:$J$10000,0),11))</f>
        <v/>
      </c>
      <c r="W833" t="str">
        <f t="array" ref="W833">IF($A833="","",INDEX(JupData!$A$2:$K$10000,MATCH($A833&amp;W$1,JupData!$A$2:$A$10000&amp;JupData!$J$2:$J$10000,0),11))</f>
        <v/>
      </c>
      <c r="X833" t="str">
        <f t="array" ref="X833">IF($A833="","",INDEX(JupData!$A$2:$K$10000,MATCH($A833&amp;X$1,JupData!$A$2:$A$10000&amp;JupData!$J$2:$J$10000,0),11))</f>
        <v/>
      </c>
      <c r="Y833" t="str">
        <f t="array" ref="Y833">IF($A833="","",INDEX(JupData!$A$2:$K$10000,MATCH($A833&amp;Y$1,JupData!$A$2:$A$10000&amp;JupData!$J$2:$J$10000,0),11))</f>
        <v/>
      </c>
      <c r="Z833" t="str">
        <f t="array" ref="Z833">IF($A833="","",INDEX(JupData!$A$2:$K$10000,MATCH($A833&amp;Z$1,JupData!$A$2:$A$10000&amp;JupData!$J$2:$J$10000,0),11))</f>
        <v/>
      </c>
      <c r="AA833" t="str">
        <f t="array" ref="AA833">IF($A833="","",INDEX(JupData!$A$2:$K$10000,MATCH($A833&amp;AA$1,JupData!$A$2:$A$10000&amp;JupData!$J$2:$J$10000,0),11))</f>
        <v/>
      </c>
      <c r="AB833" t="str">
        <f t="array" ref="AB833">IF($A833="","",INDEX(JupData!$A$2:$K$10000,MATCH($A833&amp;AB$1,JupData!$A$2:$A$10000&amp;JupData!$J$2:$J$10000,0),11))</f>
        <v/>
      </c>
      <c r="AC833" s="10" t="str">
        <f t="shared" si="132"/>
        <v/>
      </c>
      <c r="AD833" s="10" t="str">
        <f t="shared" si="133"/>
        <v/>
      </c>
      <c r="AE833" s="9" t="str">
        <f t="shared" si="134"/>
        <v/>
      </c>
      <c r="AF833" s="10" t="str">
        <f t="shared" si="135"/>
        <v/>
      </c>
      <c r="AG833" s="10" t="str">
        <f t="shared" si="136"/>
        <v/>
      </c>
      <c r="AH833" s="10" t="str">
        <f t="shared" si="137"/>
        <v/>
      </c>
      <c r="AI833" s="10" t="str">
        <f t="shared" si="138"/>
        <v/>
      </c>
      <c r="AJ833" s="10" t="str">
        <f t="shared" si="139"/>
        <v/>
      </c>
      <c r="AK833" s="10" t="str">
        <f t="shared" si="140"/>
        <v/>
      </c>
      <c r="AL833" s="14" t="str">
        <f t="shared" si="141"/>
        <v/>
      </c>
    </row>
    <row r="834" spans="1:38" x14ac:dyDescent="0.2">
      <c r="A834"/>
      <c r="B834" t="str">
        <f>IF($A834="","",VLOOKUP($A834,JupData!$A$2:$I$10000,4,FALSE))</f>
        <v/>
      </c>
      <c r="C834" s="7" t="str">
        <f>IF($A834="",IF(N(D834),0,""),VLOOKUP($A834,JupData!$A$2:$I$10000,7,FALSE))</f>
        <v/>
      </c>
      <c r="D834" t="str">
        <f t="shared" si="142"/>
        <v/>
      </c>
      <c r="E834" t="str">
        <f t="array" ref="E834">IF($A834="","",INDEX(JupData!$A$2:$K$10000,MATCH($A834&amp;E$1,JupData!$A$2:$A$10000&amp;JupData!$J$2:$J$10000,0),11))</f>
        <v/>
      </c>
      <c r="F834" t="str">
        <f t="array" ref="F834">IF($A834="","",INDEX(JupData!$A$2:$K$10000,MATCH($A834&amp;F$1,JupData!$A$2:$A$10000&amp;JupData!$J$2:$J$10000,0),11))</f>
        <v/>
      </c>
      <c r="G834" t="str">
        <f t="array" ref="G834">IF($A834="","",INDEX(JupData!$A$2:$K$10000,MATCH($A834&amp;G$1,JupData!$A$2:$A$10000&amp;JupData!$J$2:$J$10000,0),11))</f>
        <v/>
      </c>
      <c r="H834" t="str">
        <f t="array" ref="H834">IF($A834="","",INDEX(JupData!$A$2:$K$10000,MATCH($A834&amp;H$1,JupData!$A$2:$A$10000&amp;JupData!$J$2:$J$10000,0),11))</f>
        <v/>
      </c>
      <c r="I834" t="str">
        <f t="array" ref="I834">IF($A834="","",INDEX(JupData!$A$2:$K$10000,MATCH($A834&amp;I$1,JupData!$A$2:$A$10000&amp;JupData!$J$2:$J$10000,0),11))</f>
        <v/>
      </c>
      <c r="J834" t="str">
        <f t="array" ref="J834">IF($A834="","",INDEX(JupData!$A$2:$K$10000,MATCH($A834&amp;J$1,JupData!$A$2:$A$10000&amp;JupData!$J$2:$J$10000,0),11))</f>
        <v/>
      </c>
      <c r="K834" t="str">
        <f t="array" ref="K834">IF($A834="","",INDEX(JupData!$A$2:$K$10000,MATCH($A834&amp;K$1,JupData!$A$2:$A$10000&amp;JupData!$J$2:$J$10000,0),11))</f>
        <v/>
      </c>
      <c r="L834" t="str">
        <f t="array" ref="L834">IF($A834="","",INDEX(JupData!$A$2:$K$10000,MATCH($A834&amp;L$1,JupData!$A$2:$A$10000&amp;JupData!$J$2:$J$10000,0),11))</f>
        <v/>
      </c>
      <c r="M834" t="str">
        <f t="array" ref="M834">IF($A834="","",INDEX(JupData!$A$2:$K$10000,MATCH($A834&amp;M$1,JupData!$A$2:$A$10000&amp;JupData!$J$2:$J$10000,0),11))</f>
        <v/>
      </c>
      <c r="N834" t="str">
        <f t="array" ref="N834">IF($A834="","",INDEX(JupData!$A$2:$K$10000,MATCH($A834&amp;N$1,JupData!$A$2:$A$10000&amp;JupData!$J$2:$J$10000,0),11))</f>
        <v/>
      </c>
      <c r="O834" t="str">
        <f t="array" ref="O834">IF($A834="","",INDEX(JupData!$A$2:$K$10000,MATCH($A834&amp;O$1,JupData!$A$2:$A$10000&amp;JupData!$J$2:$J$10000,0),11))</f>
        <v/>
      </c>
      <c r="P834" t="str">
        <f t="array" ref="P834">IF($A834="","",INDEX(JupData!$A$2:$K$10000,MATCH($A834&amp;P$1,JupData!$A$2:$A$10000&amp;JupData!$J$2:$J$10000,0),11))</f>
        <v/>
      </c>
      <c r="Q834" t="str">
        <f t="array" ref="Q834">IF($A834="","",INDEX(JupData!$A$2:$K$10000,MATCH($A834&amp;Q$1,JupData!$A$2:$A$10000&amp;JupData!$J$2:$J$10000,0),11))</f>
        <v/>
      </c>
      <c r="R834" t="str">
        <f t="array" ref="R834">IF($A834="","",INDEX(JupData!$A$2:$K$10000,MATCH($A834&amp;R$1,JupData!$A$2:$A$10000&amp;JupData!$J$2:$J$10000,0),11))</f>
        <v/>
      </c>
      <c r="S834" t="str">
        <f t="array" ref="S834">IF($A834="","",INDEX(JupData!$A$2:$K$10000,MATCH($A834&amp;S$1,JupData!$A$2:$A$10000&amp;JupData!$J$2:$J$10000,0),11))</f>
        <v/>
      </c>
      <c r="T834" t="str">
        <f t="array" ref="T834">IF($A834="","",INDEX(JupData!$A$2:$K$10000,MATCH($A834&amp;T$1,JupData!$A$2:$A$10000&amp;JupData!$J$2:$J$10000,0),11))</f>
        <v/>
      </c>
      <c r="U834" t="str">
        <f t="array" ref="U834">IF($A834="","",INDEX(JupData!$A$2:$K$10000,MATCH($A834&amp;U$1,JupData!$A$2:$A$10000&amp;JupData!$J$2:$J$10000,0),11))</f>
        <v/>
      </c>
      <c r="V834" t="str">
        <f t="array" ref="V834">IF($A834="","",INDEX(JupData!$A$2:$K$10000,MATCH($A834&amp;V$1,JupData!$A$2:$A$10000&amp;JupData!$J$2:$J$10000,0),11))</f>
        <v/>
      </c>
      <c r="W834" t="str">
        <f t="array" ref="W834">IF($A834="","",INDEX(JupData!$A$2:$K$10000,MATCH($A834&amp;W$1,JupData!$A$2:$A$10000&amp;JupData!$J$2:$J$10000,0),11))</f>
        <v/>
      </c>
      <c r="X834" t="str">
        <f t="array" ref="X834">IF($A834="","",INDEX(JupData!$A$2:$K$10000,MATCH($A834&amp;X$1,JupData!$A$2:$A$10000&amp;JupData!$J$2:$J$10000,0),11))</f>
        <v/>
      </c>
      <c r="Y834" t="str">
        <f t="array" ref="Y834">IF($A834="","",INDEX(JupData!$A$2:$K$10000,MATCH($A834&amp;Y$1,JupData!$A$2:$A$10000&amp;JupData!$J$2:$J$10000,0),11))</f>
        <v/>
      </c>
      <c r="Z834" t="str">
        <f t="array" ref="Z834">IF($A834="","",INDEX(JupData!$A$2:$K$10000,MATCH($A834&amp;Z$1,JupData!$A$2:$A$10000&amp;JupData!$J$2:$J$10000,0),11))</f>
        <v/>
      </c>
      <c r="AA834" t="str">
        <f t="array" ref="AA834">IF($A834="","",INDEX(JupData!$A$2:$K$10000,MATCH($A834&amp;AA$1,JupData!$A$2:$A$10000&amp;JupData!$J$2:$J$10000,0),11))</f>
        <v/>
      </c>
      <c r="AB834" t="str">
        <f t="array" ref="AB834">IF($A834="","",INDEX(JupData!$A$2:$K$10000,MATCH($A834&amp;AB$1,JupData!$A$2:$A$10000&amp;JupData!$J$2:$J$10000,0),11))</f>
        <v/>
      </c>
      <c r="AC834" s="10" t="str">
        <f t="shared" si="132"/>
        <v/>
      </c>
      <c r="AD834" s="10" t="str">
        <f t="shared" si="133"/>
        <v/>
      </c>
      <c r="AE834" s="9" t="str">
        <f t="shared" si="134"/>
        <v/>
      </c>
      <c r="AF834" s="10" t="str">
        <f t="shared" si="135"/>
        <v/>
      </c>
      <c r="AG834" s="10" t="str">
        <f t="shared" si="136"/>
        <v/>
      </c>
      <c r="AH834" s="10" t="str">
        <f t="shared" si="137"/>
        <v/>
      </c>
      <c r="AI834" s="10" t="str">
        <f t="shared" si="138"/>
        <v/>
      </c>
      <c r="AJ834" s="10" t="str">
        <f t="shared" si="139"/>
        <v/>
      </c>
      <c r="AK834" s="10" t="str">
        <f t="shared" si="140"/>
        <v/>
      </c>
      <c r="AL834" s="14" t="str">
        <f t="shared" si="141"/>
        <v/>
      </c>
    </row>
    <row r="835" spans="1:38" x14ac:dyDescent="0.2">
      <c r="A835"/>
      <c r="B835" t="str">
        <f>IF($A835="","",VLOOKUP($A835,JupData!$A$2:$I$10000,4,FALSE))</f>
        <v/>
      </c>
      <c r="C835" s="7" t="str">
        <f>IF($A835="",IF(N(D835),0,""),VLOOKUP($A835,JupData!$A$2:$I$10000,7,FALSE))</f>
        <v/>
      </c>
      <c r="D835" t="str">
        <f t="shared" si="142"/>
        <v/>
      </c>
      <c r="E835" t="str">
        <f t="array" ref="E835">IF($A835="","",INDEX(JupData!$A$2:$K$10000,MATCH($A835&amp;E$1,JupData!$A$2:$A$10000&amp;JupData!$J$2:$J$10000,0),11))</f>
        <v/>
      </c>
      <c r="F835" t="str">
        <f t="array" ref="F835">IF($A835="","",INDEX(JupData!$A$2:$K$10000,MATCH($A835&amp;F$1,JupData!$A$2:$A$10000&amp;JupData!$J$2:$J$10000,0),11))</f>
        <v/>
      </c>
      <c r="G835" t="str">
        <f t="array" ref="G835">IF($A835="","",INDEX(JupData!$A$2:$K$10000,MATCH($A835&amp;G$1,JupData!$A$2:$A$10000&amp;JupData!$J$2:$J$10000,0),11))</f>
        <v/>
      </c>
      <c r="H835" t="str">
        <f t="array" ref="H835">IF($A835="","",INDEX(JupData!$A$2:$K$10000,MATCH($A835&amp;H$1,JupData!$A$2:$A$10000&amp;JupData!$J$2:$J$10000,0),11))</f>
        <v/>
      </c>
      <c r="I835" t="str">
        <f t="array" ref="I835">IF($A835="","",INDEX(JupData!$A$2:$K$10000,MATCH($A835&amp;I$1,JupData!$A$2:$A$10000&amp;JupData!$J$2:$J$10000,0),11))</f>
        <v/>
      </c>
      <c r="J835" t="str">
        <f t="array" ref="J835">IF($A835="","",INDEX(JupData!$A$2:$K$10000,MATCH($A835&amp;J$1,JupData!$A$2:$A$10000&amp;JupData!$J$2:$J$10000,0),11))</f>
        <v/>
      </c>
      <c r="K835" t="str">
        <f t="array" ref="K835">IF($A835="","",INDEX(JupData!$A$2:$K$10000,MATCH($A835&amp;K$1,JupData!$A$2:$A$10000&amp;JupData!$J$2:$J$10000,0),11))</f>
        <v/>
      </c>
      <c r="L835" t="str">
        <f t="array" ref="L835">IF($A835="","",INDEX(JupData!$A$2:$K$10000,MATCH($A835&amp;L$1,JupData!$A$2:$A$10000&amp;JupData!$J$2:$J$10000,0),11))</f>
        <v/>
      </c>
      <c r="M835" t="str">
        <f t="array" ref="M835">IF($A835="","",INDEX(JupData!$A$2:$K$10000,MATCH($A835&amp;M$1,JupData!$A$2:$A$10000&amp;JupData!$J$2:$J$10000,0),11))</f>
        <v/>
      </c>
      <c r="N835" t="str">
        <f t="array" ref="N835">IF($A835="","",INDEX(JupData!$A$2:$K$10000,MATCH($A835&amp;N$1,JupData!$A$2:$A$10000&amp;JupData!$J$2:$J$10000,0),11))</f>
        <v/>
      </c>
      <c r="O835" t="str">
        <f t="array" ref="O835">IF($A835="","",INDEX(JupData!$A$2:$K$10000,MATCH($A835&amp;O$1,JupData!$A$2:$A$10000&amp;JupData!$J$2:$J$10000,0),11))</f>
        <v/>
      </c>
      <c r="P835" t="str">
        <f t="array" ref="P835">IF($A835="","",INDEX(JupData!$A$2:$K$10000,MATCH($A835&amp;P$1,JupData!$A$2:$A$10000&amp;JupData!$J$2:$J$10000,0),11))</f>
        <v/>
      </c>
      <c r="Q835" t="str">
        <f t="array" ref="Q835">IF($A835="","",INDEX(JupData!$A$2:$K$10000,MATCH($A835&amp;Q$1,JupData!$A$2:$A$10000&amp;JupData!$J$2:$J$10000,0),11))</f>
        <v/>
      </c>
      <c r="R835" t="str">
        <f t="array" ref="R835">IF($A835="","",INDEX(JupData!$A$2:$K$10000,MATCH($A835&amp;R$1,JupData!$A$2:$A$10000&amp;JupData!$J$2:$J$10000,0),11))</f>
        <v/>
      </c>
      <c r="S835" t="str">
        <f t="array" ref="S835">IF($A835="","",INDEX(JupData!$A$2:$K$10000,MATCH($A835&amp;S$1,JupData!$A$2:$A$10000&amp;JupData!$J$2:$J$10000,0),11))</f>
        <v/>
      </c>
      <c r="T835" t="str">
        <f t="array" ref="T835">IF($A835="","",INDEX(JupData!$A$2:$K$10000,MATCH($A835&amp;T$1,JupData!$A$2:$A$10000&amp;JupData!$J$2:$J$10000,0),11))</f>
        <v/>
      </c>
      <c r="U835" t="str">
        <f t="array" ref="U835">IF($A835="","",INDEX(JupData!$A$2:$K$10000,MATCH($A835&amp;U$1,JupData!$A$2:$A$10000&amp;JupData!$J$2:$J$10000,0),11))</f>
        <v/>
      </c>
      <c r="V835" t="str">
        <f t="array" ref="V835">IF($A835="","",INDEX(JupData!$A$2:$K$10000,MATCH($A835&amp;V$1,JupData!$A$2:$A$10000&amp;JupData!$J$2:$J$10000,0),11))</f>
        <v/>
      </c>
      <c r="W835" t="str">
        <f t="array" ref="W835">IF($A835="","",INDEX(JupData!$A$2:$K$10000,MATCH($A835&amp;W$1,JupData!$A$2:$A$10000&amp;JupData!$J$2:$J$10000,0),11))</f>
        <v/>
      </c>
      <c r="X835" t="str">
        <f t="array" ref="X835">IF($A835="","",INDEX(JupData!$A$2:$K$10000,MATCH($A835&amp;X$1,JupData!$A$2:$A$10000&amp;JupData!$J$2:$J$10000,0),11))</f>
        <v/>
      </c>
      <c r="Y835" t="str">
        <f t="array" ref="Y835">IF($A835="","",INDEX(JupData!$A$2:$K$10000,MATCH($A835&amp;Y$1,JupData!$A$2:$A$10000&amp;JupData!$J$2:$J$10000,0),11))</f>
        <v/>
      </c>
      <c r="Z835" t="str">
        <f t="array" ref="Z835">IF($A835="","",INDEX(JupData!$A$2:$K$10000,MATCH($A835&amp;Z$1,JupData!$A$2:$A$10000&amp;JupData!$J$2:$J$10000,0),11))</f>
        <v/>
      </c>
      <c r="AA835" t="str">
        <f t="array" ref="AA835">IF($A835="","",INDEX(JupData!$A$2:$K$10000,MATCH($A835&amp;AA$1,JupData!$A$2:$A$10000&amp;JupData!$J$2:$J$10000,0),11))</f>
        <v/>
      </c>
      <c r="AB835" t="str">
        <f t="array" ref="AB835">IF($A835="","",INDEX(JupData!$A$2:$K$10000,MATCH($A835&amp;AB$1,JupData!$A$2:$A$10000&amp;JupData!$J$2:$J$10000,0),11))</f>
        <v/>
      </c>
      <c r="AC835" s="10" t="str">
        <f t="shared" ref="AC835:AC898" si="143">IF(A835="","",2*H835/40.08+2*I835/24.3+J835/22.99+K835/39.1+Y835/18.04)</f>
        <v/>
      </c>
      <c r="AD835" s="10" t="str">
        <f t="shared" ref="AD835:AD898" si="144">IF(A835="","",R835/61.02+2*S835/96.06+T835/35.45+U835/19+W835/62)</f>
        <v/>
      </c>
      <c r="AE835" s="9" t="str">
        <f t="shared" ref="AE835:AE898" si="145">IF(A835="","",IF(AD835&lt;0,((AC835+AD835)/(AC835-AD835)),((AC835-AD835)/(AC835+AD835))))</f>
        <v/>
      </c>
      <c r="AF835" s="10" t="str">
        <f t="shared" ref="AF835:AF898" si="146">IF(A835="","",(J835/22.99)/(T835/35.45))</f>
        <v/>
      </c>
      <c r="AG835" s="10" t="str">
        <f t="shared" ref="AG835:AG898" si="147">IF(A835="","",2*((H835/40.08)+(I835/24.3))/(R835/61.02))</f>
        <v/>
      </c>
      <c r="AH835" s="10" t="str">
        <f t="shared" ref="AH835:AH898" si="148">IF(A835="","",(J835/22.99)/((J835/22.99)+2*(H835/40.08)))</f>
        <v/>
      </c>
      <c r="AI835" s="10" t="str">
        <f t="shared" ref="AI835:AI898" si="149">IF(A835="","",H835/40.08)</f>
        <v/>
      </c>
      <c r="AJ835" s="10" t="str">
        <f t="shared" ref="AJ835:AJ898" si="150">IF(A835="","",S835/96.06)</f>
        <v/>
      </c>
      <c r="AK835" s="10" t="str">
        <f t="shared" ref="AK835:AK898" si="151">IF(A835="","",IF(W835&gt;=1,IF(L835&lt;0.2,IF(G835&gt;1,"A","B"),"X1"),IF(L835&gt;=0.2,IF(S835&gt;=20,IF(S835&gt;70,"C2","C1"),IF(AG835&lt;=1,"D","X3")),"X2")))</f>
        <v/>
      </c>
      <c r="AL835" s="14" t="str">
        <f t="shared" ref="AL835:AL898" si="152">IF(F835="","",(H835/40.1+I835/24.3)*5.6)</f>
        <v/>
      </c>
    </row>
    <row r="836" spans="1:38" x14ac:dyDescent="0.2">
      <c r="A836"/>
      <c r="B836" t="str">
        <f>IF($A836="","",VLOOKUP($A836,JupData!$A$2:$I$10000,4,FALSE))</f>
        <v/>
      </c>
      <c r="C836" s="7" t="str">
        <f>IF($A836="",IF(N(D836),0,""),VLOOKUP($A836,JupData!$A$2:$I$10000,7,FALSE))</f>
        <v/>
      </c>
      <c r="D836" t="str">
        <f t="shared" ref="D836:D899" si="153">IF(A836="",IF(D835&lt;20,D835+1,""),IF(B835="",1,IF(B835=B836,D835,D835+1)))</f>
        <v/>
      </c>
      <c r="E836" t="str">
        <f t="array" ref="E836">IF($A836="","",INDEX(JupData!$A$2:$K$10000,MATCH($A836&amp;E$1,JupData!$A$2:$A$10000&amp;JupData!$J$2:$J$10000,0),11))</f>
        <v/>
      </c>
      <c r="F836" t="str">
        <f t="array" ref="F836">IF($A836="","",INDEX(JupData!$A$2:$K$10000,MATCH($A836&amp;F$1,JupData!$A$2:$A$10000&amp;JupData!$J$2:$J$10000,0),11))</f>
        <v/>
      </c>
      <c r="G836" t="str">
        <f t="array" ref="G836">IF($A836="","",INDEX(JupData!$A$2:$K$10000,MATCH($A836&amp;G$1,JupData!$A$2:$A$10000&amp;JupData!$J$2:$J$10000,0),11))</f>
        <v/>
      </c>
      <c r="H836" t="str">
        <f t="array" ref="H836">IF($A836="","",INDEX(JupData!$A$2:$K$10000,MATCH($A836&amp;H$1,JupData!$A$2:$A$10000&amp;JupData!$J$2:$J$10000,0),11))</f>
        <v/>
      </c>
      <c r="I836" t="str">
        <f t="array" ref="I836">IF($A836="","",INDEX(JupData!$A$2:$K$10000,MATCH($A836&amp;I$1,JupData!$A$2:$A$10000&amp;JupData!$J$2:$J$10000,0),11))</f>
        <v/>
      </c>
      <c r="J836" t="str">
        <f t="array" ref="J836">IF($A836="","",INDEX(JupData!$A$2:$K$10000,MATCH($A836&amp;J$1,JupData!$A$2:$A$10000&amp;JupData!$J$2:$J$10000,0),11))</f>
        <v/>
      </c>
      <c r="K836" t="str">
        <f t="array" ref="K836">IF($A836="","",INDEX(JupData!$A$2:$K$10000,MATCH($A836&amp;K$1,JupData!$A$2:$A$10000&amp;JupData!$J$2:$J$10000,0),11))</f>
        <v/>
      </c>
      <c r="L836" t="str">
        <f t="array" ref="L836">IF($A836="","",INDEX(JupData!$A$2:$K$10000,MATCH($A836&amp;L$1,JupData!$A$2:$A$10000&amp;JupData!$J$2:$J$10000,0),11))</f>
        <v/>
      </c>
      <c r="M836" t="str">
        <f t="array" ref="M836">IF($A836="","",INDEX(JupData!$A$2:$K$10000,MATCH($A836&amp;M$1,JupData!$A$2:$A$10000&amp;JupData!$J$2:$J$10000,0),11))</f>
        <v/>
      </c>
      <c r="N836" t="str">
        <f t="array" ref="N836">IF($A836="","",INDEX(JupData!$A$2:$K$10000,MATCH($A836&amp;N$1,JupData!$A$2:$A$10000&amp;JupData!$J$2:$J$10000,0),11))</f>
        <v/>
      </c>
      <c r="O836" t="str">
        <f t="array" ref="O836">IF($A836="","",INDEX(JupData!$A$2:$K$10000,MATCH($A836&amp;O$1,JupData!$A$2:$A$10000&amp;JupData!$J$2:$J$10000,0),11))</f>
        <v/>
      </c>
      <c r="P836" t="str">
        <f t="array" ref="P836">IF($A836="","",INDEX(JupData!$A$2:$K$10000,MATCH($A836&amp;P$1,JupData!$A$2:$A$10000&amp;JupData!$J$2:$J$10000,0),11))</f>
        <v/>
      </c>
      <c r="Q836" t="str">
        <f t="array" ref="Q836">IF($A836="","",INDEX(JupData!$A$2:$K$10000,MATCH($A836&amp;Q$1,JupData!$A$2:$A$10000&amp;JupData!$J$2:$J$10000,0),11))</f>
        <v/>
      </c>
      <c r="R836" t="str">
        <f t="array" ref="R836">IF($A836="","",INDEX(JupData!$A$2:$K$10000,MATCH($A836&amp;R$1,JupData!$A$2:$A$10000&amp;JupData!$J$2:$J$10000,0),11))</f>
        <v/>
      </c>
      <c r="S836" t="str">
        <f t="array" ref="S836">IF($A836="","",INDEX(JupData!$A$2:$K$10000,MATCH($A836&amp;S$1,JupData!$A$2:$A$10000&amp;JupData!$J$2:$J$10000,0),11))</f>
        <v/>
      </c>
      <c r="T836" t="str">
        <f t="array" ref="T836">IF($A836="","",INDEX(JupData!$A$2:$K$10000,MATCH($A836&amp;T$1,JupData!$A$2:$A$10000&amp;JupData!$J$2:$J$10000,0),11))</f>
        <v/>
      </c>
      <c r="U836" t="str">
        <f t="array" ref="U836">IF($A836="","",INDEX(JupData!$A$2:$K$10000,MATCH($A836&amp;U$1,JupData!$A$2:$A$10000&amp;JupData!$J$2:$J$10000,0),11))</f>
        <v/>
      </c>
      <c r="V836" t="str">
        <f t="array" ref="V836">IF($A836="","",INDEX(JupData!$A$2:$K$10000,MATCH($A836&amp;V$1,JupData!$A$2:$A$10000&amp;JupData!$J$2:$J$10000,0),11))</f>
        <v/>
      </c>
      <c r="W836" t="str">
        <f t="array" ref="W836">IF($A836="","",INDEX(JupData!$A$2:$K$10000,MATCH($A836&amp;W$1,JupData!$A$2:$A$10000&amp;JupData!$J$2:$J$10000,0),11))</f>
        <v/>
      </c>
      <c r="X836" t="str">
        <f t="array" ref="X836">IF($A836="","",INDEX(JupData!$A$2:$K$10000,MATCH($A836&amp;X$1,JupData!$A$2:$A$10000&amp;JupData!$J$2:$J$10000,0),11))</f>
        <v/>
      </c>
      <c r="Y836" t="str">
        <f t="array" ref="Y836">IF($A836="","",INDEX(JupData!$A$2:$K$10000,MATCH($A836&amp;Y$1,JupData!$A$2:$A$10000&amp;JupData!$J$2:$J$10000,0),11))</f>
        <v/>
      </c>
      <c r="Z836" t="str">
        <f t="array" ref="Z836">IF($A836="","",INDEX(JupData!$A$2:$K$10000,MATCH($A836&amp;Z$1,JupData!$A$2:$A$10000&amp;JupData!$J$2:$J$10000,0),11))</f>
        <v/>
      </c>
      <c r="AA836" t="str">
        <f t="array" ref="AA836">IF($A836="","",INDEX(JupData!$A$2:$K$10000,MATCH($A836&amp;AA$1,JupData!$A$2:$A$10000&amp;JupData!$J$2:$J$10000,0),11))</f>
        <v/>
      </c>
      <c r="AB836" t="str">
        <f t="array" ref="AB836">IF($A836="","",INDEX(JupData!$A$2:$K$10000,MATCH($A836&amp;AB$1,JupData!$A$2:$A$10000&amp;JupData!$J$2:$J$10000,0),11))</f>
        <v/>
      </c>
      <c r="AC836" s="10" t="str">
        <f t="shared" si="143"/>
        <v/>
      </c>
      <c r="AD836" s="10" t="str">
        <f t="shared" si="144"/>
        <v/>
      </c>
      <c r="AE836" s="9" t="str">
        <f t="shared" si="145"/>
        <v/>
      </c>
      <c r="AF836" s="10" t="str">
        <f t="shared" si="146"/>
        <v/>
      </c>
      <c r="AG836" s="10" t="str">
        <f t="shared" si="147"/>
        <v/>
      </c>
      <c r="AH836" s="10" t="str">
        <f t="shared" si="148"/>
        <v/>
      </c>
      <c r="AI836" s="10" t="str">
        <f t="shared" si="149"/>
        <v/>
      </c>
      <c r="AJ836" s="10" t="str">
        <f t="shared" si="150"/>
        <v/>
      </c>
      <c r="AK836" s="10" t="str">
        <f t="shared" si="151"/>
        <v/>
      </c>
      <c r="AL836" s="14" t="str">
        <f t="shared" si="152"/>
        <v/>
      </c>
    </row>
    <row r="837" spans="1:38" x14ac:dyDescent="0.2">
      <c r="A837"/>
      <c r="B837" t="str">
        <f>IF($A837="","",VLOOKUP($A837,JupData!$A$2:$I$10000,4,FALSE))</f>
        <v/>
      </c>
      <c r="C837" s="7" t="str">
        <f>IF($A837="",IF(N(D837),0,""),VLOOKUP($A837,JupData!$A$2:$I$10000,7,FALSE))</f>
        <v/>
      </c>
      <c r="D837" t="str">
        <f t="shared" si="153"/>
        <v/>
      </c>
      <c r="E837" t="str">
        <f t="array" ref="E837">IF($A837="","",INDEX(JupData!$A$2:$K$10000,MATCH($A837&amp;E$1,JupData!$A$2:$A$10000&amp;JupData!$J$2:$J$10000,0),11))</f>
        <v/>
      </c>
      <c r="F837" t="str">
        <f t="array" ref="F837">IF($A837="","",INDEX(JupData!$A$2:$K$10000,MATCH($A837&amp;F$1,JupData!$A$2:$A$10000&amp;JupData!$J$2:$J$10000,0),11))</f>
        <v/>
      </c>
      <c r="G837" t="str">
        <f t="array" ref="G837">IF($A837="","",INDEX(JupData!$A$2:$K$10000,MATCH($A837&amp;G$1,JupData!$A$2:$A$10000&amp;JupData!$J$2:$J$10000,0),11))</f>
        <v/>
      </c>
      <c r="H837" t="str">
        <f t="array" ref="H837">IF($A837="","",INDEX(JupData!$A$2:$K$10000,MATCH($A837&amp;H$1,JupData!$A$2:$A$10000&amp;JupData!$J$2:$J$10000,0),11))</f>
        <v/>
      </c>
      <c r="I837" t="str">
        <f t="array" ref="I837">IF($A837="","",INDEX(JupData!$A$2:$K$10000,MATCH($A837&amp;I$1,JupData!$A$2:$A$10000&amp;JupData!$J$2:$J$10000,0),11))</f>
        <v/>
      </c>
      <c r="J837" t="str">
        <f t="array" ref="J837">IF($A837="","",INDEX(JupData!$A$2:$K$10000,MATCH($A837&amp;J$1,JupData!$A$2:$A$10000&amp;JupData!$J$2:$J$10000,0),11))</f>
        <v/>
      </c>
      <c r="K837" t="str">
        <f t="array" ref="K837">IF($A837="","",INDEX(JupData!$A$2:$K$10000,MATCH($A837&amp;K$1,JupData!$A$2:$A$10000&amp;JupData!$J$2:$J$10000,0),11))</f>
        <v/>
      </c>
      <c r="L837" t="str">
        <f t="array" ref="L837">IF($A837="","",INDEX(JupData!$A$2:$K$10000,MATCH($A837&amp;L$1,JupData!$A$2:$A$10000&amp;JupData!$J$2:$J$10000,0),11))</f>
        <v/>
      </c>
      <c r="M837" t="str">
        <f t="array" ref="M837">IF($A837="","",INDEX(JupData!$A$2:$K$10000,MATCH($A837&amp;M$1,JupData!$A$2:$A$10000&amp;JupData!$J$2:$J$10000,0),11))</f>
        <v/>
      </c>
      <c r="N837" t="str">
        <f t="array" ref="N837">IF($A837="","",INDEX(JupData!$A$2:$K$10000,MATCH($A837&amp;N$1,JupData!$A$2:$A$10000&amp;JupData!$J$2:$J$10000,0),11))</f>
        <v/>
      </c>
      <c r="O837" t="str">
        <f t="array" ref="O837">IF($A837="","",INDEX(JupData!$A$2:$K$10000,MATCH($A837&amp;O$1,JupData!$A$2:$A$10000&amp;JupData!$J$2:$J$10000,0),11))</f>
        <v/>
      </c>
      <c r="P837" t="str">
        <f t="array" ref="P837">IF($A837="","",INDEX(JupData!$A$2:$K$10000,MATCH($A837&amp;P$1,JupData!$A$2:$A$10000&amp;JupData!$J$2:$J$10000,0),11))</f>
        <v/>
      </c>
      <c r="Q837" t="str">
        <f t="array" ref="Q837">IF($A837="","",INDEX(JupData!$A$2:$K$10000,MATCH($A837&amp;Q$1,JupData!$A$2:$A$10000&amp;JupData!$J$2:$J$10000,0),11))</f>
        <v/>
      </c>
      <c r="R837" t="str">
        <f t="array" ref="R837">IF($A837="","",INDEX(JupData!$A$2:$K$10000,MATCH($A837&amp;R$1,JupData!$A$2:$A$10000&amp;JupData!$J$2:$J$10000,0),11))</f>
        <v/>
      </c>
      <c r="S837" t="str">
        <f t="array" ref="S837">IF($A837="","",INDEX(JupData!$A$2:$K$10000,MATCH($A837&amp;S$1,JupData!$A$2:$A$10000&amp;JupData!$J$2:$J$10000,0),11))</f>
        <v/>
      </c>
      <c r="T837" t="str">
        <f t="array" ref="T837">IF($A837="","",INDEX(JupData!$A$2:$K$10000,MATCH($A837&amp;T$1,JupData!$A$2:$A$10000&amp;JupData!$J$2:$J$10000,0),11))</f>
        <v/>
      </c>
      <c r="U837" t="str">
        <f t="array" ref="U837">IF($A837="","",INDEX(JupData!$A$2:$K$10000,MATCH($A837&amp;U$1,JupData!$A$2:$A$10000&amp;JupData!$J$2:$J$10000,0),11))</f>
        <v/>
      </c>
      <c r="V837" t="str">
        <f t="array" ref="V837">IF($A837="","",INDEX(JupData!$A$2:$K$10000,MATCH($A837&amp;V$1,JupData!$A$2:$A$10000&amp;JupData!$J$2:$J$10000,0),11))</f>
        <v/>
      </c>
      <c r="W837" t="str">
        <f t="array" ref="W837">IF($A837="","",INDEX(JupData!$A$2:$K$10000,MATCH($A837&amp;W$1,JupData!$A$2:$A$10000&amp;JupData!$J$2:$J$10000,0),11))</f>
        <v/>
      </c>
      <c r="X837" t="str">
        <f t="array" ref="X837">IF($A837="","",INDEX(JupData!$A$2:$K$10000,MATCH($A837&amp;X$1,JupData!$A$2:$A$10000&amp;JupData!$J$2:$J$10000,0),11))</f>
        <v/>
      </c>
      <c r="Y837" t="str">
        <f t="array" ref="Y837">IF($A837="","",INDEX(JupData!$A$2:$K$10000,MATCH($A837&amp;Y$1,JupData!$A$2:$A$10000&amp;JupData!$J$2:$J$10000,0),11))</f>
        <v/>
      </c>
      <c r="Z837" t="str">
        <f t="array" ref="Z837">IF($A837="","",INDEX(JupData!$A$2:$K$10000,MATCH($A837&amp;Z$1,JupData!$A$2:$A$10000&amp;JupData!$J$2:$J$10000,0),11))</f>
        <v/>
      </c>
      <c r="AA837" t="str">
        <f t="array" ref="AA837">IF($A837="","",INDEX(JupData!$A$2:$K$10000,MATCH($A837&amp;AA$1,JupData!$A$2:$A$10000&amp;JupData!$J$2:$J$10000,0),11))</f>
        <v/>
      </c>
      <c r="AB837" t="str">
        <f t="array" ref="AB837">IF($A837="","",INDEX(JupData!$A$2:$K$10000,MATCH($A837&amp;AB$1,JupData!$A$2:$A$10000&amp;JupData!$J$2:$J$10000,0),11))</f>
        <v/>
      </c>
      <c r="AC837" s="10" t="str">
        <f t="shared" si="143"/>
        <v/>
      </c>
      <c r="AD837" s="10" t="str">
        <f t="shared" si="144"/>
        <v/>
      </c>
      <c r="AE837" s="9" t="str">
        <f t="shared" si="145"/>
        <v/>
      </c>
      <c r="AF837" s="10" t="str">
        <f t="shared" si="146"/>
        <v/>
      </c>
      <c r="AG837" s="10" t="str">
        <f t="shared" si="147"/>
        <v/>
      </c>
      <c r="AH837" s="10" t="str">
        <f t="shared" si="148"/>
        <v/>
      </c>
      <c r="AI837" s="10" t="str">
        <f t="shared" si="149"/>
        <v/>
      </c>
      <c r="AJ837" s="10" t="str">
        <f t="shared" si="150"/>
        <v/>
      </c>
      <c r="AK837" s="10" t="str">
        <f t="shared" si="151"/>
        <v/>
      </c>
      <c r="AL837" s="14" t="str">
        <f t="shared" si="152"/>
        <v/>
      </c>
    </row>
    <row r="838" spans="1:38" x14ac:dyDescent="0.2">
      <c r="A838"/>
      <c r="B838" t="str">
        <f>IF($A838="","",VLOOKUP($A838,JupData!$A$2:$I$10000,4,FALSE))</f>
        <v/>
      </c>
      <c r="C838" s="7" t="str">
        <f>IF($A838="",IF(N(D838),0,""),VLOOKUP($A838,JupData!$A$2:$I$10000,7,FALSE))</f>
        <v/>
      </c>
      <c r="D838" t="str">
        <f t="shared" si="153"/>
        <v/>
      </c>
      <c r="E838" t="str">
        <f t="array" ref="E838">IF($A838="","",INDEX(JupData!$A$2:$K$10000,MATCH($A838&amp;E$1,JupData!$A$2:$A$10000&amp;JupData!$J$2:$J$10000,0),11))</f>
        <v/>
      </c>
      <c r="F838" t="str">
        <f t="array" ref="F838">IF($A838="","",INDEX(JupData!$A$2:$K$10000,MATCH($A838&amp;F$1,JupData!$A$2:$A$10000&amp;JupData!$J$2:$J$10000,0),11))</f>
        <v/>
      </c>
      <c r="G838" t="str">
        <f t="array" ref="G838">IF($A838="","",INDEX(JupData!$A$2:$K$10000,MATCH($A838&amp;G$1,JupData!$A$2:$A$10000&amp;JupData!$J$2:$J$10000,0),11))</f>
        <v/>
      </c>
      <c r="H838" t="str">
        <f t="array" ref="H838">IF($A838="","",INDEX(JupData!$A$2:$K$10000,MATCH($A838&amp;H$1,JupData!$A$2:$A$10000&amp;JupData!$J$2:$J$10000,0),11))</f>
        <v/>
      </c>
      <c r="I838" t="str">
        <f t="array" ref="I838">IF($A838="","",INDEX(JupData!$A$2:$K$10000,MATCH($A838&amp;I$1,JupData!$A$2:$A$10000&amp;JupData!$J$2:$J$10000,0),11))</f>
        <v/>
      </c>
      <c r="J838" t="str">
        <f t="array" ref="J838">IF($A838="","",INDEX(JupData!$A$2:$K$10000,MATCH($A838&amp;J$1,JupData!$A$2:$A$10000&amp;JupData!$J$2:$J$10000,0),11))</f>
        <v/>
      </c>
      <c r="K838" t="str">
        <f t="array" ref="K838">IF($A838="","",INDEX(JupData!$A$2:$K$10000,MATCH($A838&amp;K$1,JupData!$A$2:$A$10000&amp;JupData!$J$2:$J$10000,0),11))</f>
        <v/>
      </c>
      <c r="L838" t="str">
        <f t="array" ref="L838">IF($A838="","",INDEX(JupData!$A$2:$K$10000,MATCH($A838&amp;L$1,JupData!$A$2:$A$10000&amp;JupData!$J$2:$J$10000,0),11))</f>
        <v/>
      </c>
      <c r="M838" t="str">
        <f t="array" ref="M838">IF($A838="","",INDEX(JupData!$A$2:$K$10000,MATCH($A838&amp;M$1,JupData!$A$2:$A$10000&amp;JupData!$J$2:$J$10000,0),11))</f>
        <v/>
      </c>
      <c r="N838" t="str">
        <f t="array" ref="N838">IF($A838="","",INDEX(JupData!$A$2:$K$10000,MATCH($A838&amp;N$1,JupData!$A$2:$A$10000&amp;JupData!$J$2:$J$10000,0),11))</f>
        <v/>
      </c>
      <c r="O838" t="str">
        <f t="array" ref="O838">IF($A838="","",INDEX(JupData!$A$2:$K$10000,MATCH($A838&amp;O$1,JupData!$A$2:$A$10000&amp;JupData!$J$2:$J$10000,0),11))</f>
        <v/>
      </c>
      <c r="P838" t="str">
        <f t="array" ref="P838">IF($A838="","",INDEX(JupData!$A$2:$K$10000,MATCH($A838&amp;P$1,JupData!$A$2:$A$10000&amp;JupData!$J$2:$J$10000,0),11))</f>
        <v/>
      </c>
      <c r="Q838" t="str">
        <f t="array" ref="Q838">IF($A838="","",INDEX(JupData!$A$2:$K$10000,MATCH($A838&amp;Q$1,JupData!$A$2:$A$10000&amp;JupData!$J$2:$J$10000,0),11))</f>
        <v/>
      </c>
      <c r="R838" t="str">
        <f t="array" ref="R838">IF($A838="","",INDEX(JupData!$A$2:$K$10000,MATCH($A838&amp;R$1,JupData!$A$2:$A$10000&amp;JupData!$J$2:$J$10000,0),11))</f>
        <v/>
      </c>
      <c r="S838" t="str">
        <f t="array" ref="S838">IF($A838="","",INDEX(JupData!$A$2:$K$10000,MATCH($A838&amp;S$1,JupData!$A$2:$A$10000&amp;JupData!$J$2:$J$10000,0),11))</f>
        <v/>
      </c>
      <c r="T838" t="str">
        <f t="array" ref="T838">IF($A838="","",INDEX(JupData!$A$2:$K$10000,MATCH($A838&amp;T$1,JupData!$A$2:$A$10000&amp;JupData!$J$2:$J$10000,0),11))</f>
        <v/>
      </c>
      <c r="U838" t="str">
        <f t="array" ref="U838">IF($A838="","",INDEX(JupData!$A$2:$K$10000,MATCH($A838&amp;U$1,JupData!$A$2:$A$10000&amp;JupData!$J$2:$J$10000,0),11))</f>
        <v/>
      </c>
      <c r="V838" t="str">
        <f t="array" ref="V838">IF($A838="","",INDEX(JupData!$A$2:$K$10000,MATCH($A838&amp;V$1,JupData!$A$2:$A$10000&amp;JupData!$J$2:$J$10000,0),11))</f>
        <v/>
      </c>
      <c r="W838" t="str">
        <f t="array" ref="W838">IF($A838="","",INDEX(JupData!$A$2:$K$10000,MATCH($A838&amp;W$1,JupData!$A$2:$A$10000&amp;JupData!$J$2:$J$10000,0),11))</f>
        <v/>
      </c>
      <c r="X838" t="str">
        <f t="array" ref="X838">IF($A838="","",INDEX(JupData!$A$2:$K$10000,MATCH($A838&amp;X$1,JupData!$A$2:$A$10000&amp;JupData!$J$2:$J$10000,0),11))</f>
        <v/>
      </c>
      <c r="Y838" t="str">
        <f t="array" ref="Y838">IF($A838="","",INDEX(JupData!$A$2:$K$10000,MATCH($A838&amp;Y$1,JupData!$A$2:$A$10000&amp;JupData!$J$2:$J$10000,0),11))</f>
        <v/>
      </c>
      <c r="Z838" t="str">
        <f t="array" ref="Z838">IF($A838="","",INDEX(JupData!$A$2:$K$10000,MATCH($A838&amp;Z$1,JupData!$A$2:$A$10000&amp;JupData!$J$2:$J$10000,0),11))</f>
        <v/>
      </c>
      <c r="AA838" t="str">
        <f t="array" ref="AA838">IF($A838="","",INDEX(JupData!$A$2:$K$10000,MATCH($A838&amp;AA$1,JupData!$A$2:$A$10000&amp;JupData!$J$2:$J$10000,0),11))</f>
        <v/>
      </c>
      <c r="AB838" t="str">
        <f t="array" ref="AB838">IF($A838="","",INDEX(JupData!$A$2:$K$10000,MATCH($A838&amp;AB$1,JupData!$A$2:$A$10000&amp;JupData!$J$2:$J$10000,0),11))</f>
        <v/>
      </c>
      <c r="AC838" s="10" t="str">
        <f t="shared" si="143"/>
        <v/>
      </c>
      <c r="AD838" s="10" t="str">
        <f t="shared" si="144"/>
        <v/>
      </c>
      <c r="AE838" s="9" t="str">
        <f t="shared" si="145"/>
        <v/>
      </c>
      <c r="AF838" s="10" t="str">
        <f t="shared" si="146"/>
        <v/>
      </c>
      <c r="AG838" s="10" t="str">
        <f t="shared" si="147"/>
        <v/>
      </c>
      <c r="AH838" s="10" t="str">
        <f t="shared" si="148"/>
        <v/>
      </c>
      <c r="AI838" s="10" t="str">
        <f t="shared" si="149"/>
        <v/>
      </c>
      <c r="AJ838" s="10" t="str">
        <f t="shared" si="150"/>
        <v/>
      </c>
      <c r="AK838" s="10" t="str">
        <f t="shared" si="151"/>
        <v/>
      </c>
      <c r="AL838" s="14" t="str">
        <f t="shared" si="152"/>
        <v/>
      </c>
    </row>
    <row r="839" spans="1:38" x14ac:dyDescent="0.2">
      <c r="A839"/>
      <c r="B839" t="str">
        <f>IF($A839="","",VLOOKUP($A839,JupData!$A$2:$I$10000,4,FALSE))</f>
        <v/>
      </c>
      <c r="C839" s="7" t="str">
        <f>IF($A839="",IF(N(D839),0,""),VLOOKUP($A839,JupData!$A$2:$I$10000,7,FALSE))</f>
        <v/>
      </c>
      <c r="D839" t="str">
        <f t="shared" si="153"/>
        <v/>
      </c>
      <c r="E839" t="str">
        <f t="array" ref="E839">IF($A839="","",INDEX(JupData!$A$2:$K$10000,MATCH($A839&amp;E$1,JupData!$A$2:$A$10000&amp;JupData!$J$2:$J$10000,0),11))</f>
        <v/>
      </c>
      <c r="F839" t="str">
        <f t="array" ref="F839">IF($A839="","",INDEX(JupData!$A$2:$K$10000,MATCH($A839&amp;F$1,JupData!$A$2:$A$10000&amp;JupData!$J$2:$J$10000,0),11))</f>
        <v/>
      </c>
      <c r="G839" t="str">
        <f t="array" ref="G839">IF($A839="","",INDEX(JupData!$A$2:$K$10000,MATCH($A839&amp;G$1,JupData!$A$2:$A$10000&amp;JupData!$J$2:$J$10000,0),11))</f>
        <v/>
      </c>
      <c r="H839" t="str">
        <f t="array" ref="H839">IF($A839="","",INDEX(JupData!$A$2:$K$10000,MATCH($A839&amp;H$1,JupData!$A$2:$A$10000&amp;JupData!$J$2:$J$10000,0),11))</f>
        <v/>
      </c>
      <c r="I839" t="str">
        <f t="array" ref="I839">IF($A839="","",INDEX(JupData!$A$2:$K$10000,MATCH($A839&amp;I$1,JupData!$A$2:$A$10000&amp;JupData!$J$2:$J$10000,0),11))</f>
        <v/>
      </c>
      <c r="J839" t="str">
        <f t="array" ref="J839">IF($A839="","",INDEX(JupData!$A$2:$K$10000,MATCH($A839&amp;J$1,JupData!$A$2:$A$10000&amp;JupData!$J$2:$J$10000,0),11))</f>
        <v/>
      </c>
      <c r="K839" t="str">
        <f t="array" ref="K839">IF($A839="","",INDEX(JupData!$A$2:$K$10000,MATCH($A839&amp;K$1,JupData!$A$2:$A$10000&amp;JupData!$J$2:$J$10000,0),11))</f>
        <v/>
      </c>
      <c r="L839" t="str">
        <f t="array" ref="L839">IF($A839="","",INDEX(JupData!$A$2:$K$10000,MATCH($A839&amp;L$1,JupData!$A$2:$A$10000&amp;JupData!$J$2:$J$10000,0),11))</f>
        <v/>
      </c>
      <c r="M839" t="str">
        <f t="array" ref="M839">IF($A839="","",INDEX(JupData!$A$2:$K$10000,MATCH($A839&amp;M$1,JupData!$A$2:$A$10000&amp;JupData!$J$2:$J$10000,0),11))</f>
        <v/>
      </c>
      <c r="N839" t="str">
        <f t="array" ref="N839">IF($A839="","",INDEX(JupData!$A$2:$K$10000,MATCH($A839&amp;N$1,JupData!$A$2:$A$10000&amp;JupData!$J$2:$J$10000,0),11))</f>
        <v/>
      </c>
      <c r="O839" t="str">
        <f t="array" ref="O839">IF($A839="","",INDEX(JupData!$A$2:$K$10000,MATCH($A839&amp;O$1,JupData!$A$2:$A$10000&amp;JupData!$J$2:$J$10000,0),11))</f>
        <v/>
      </c>
      <c r="P839" t="str">
        <f t="array" ref="P839">IF($A839="","",INDEX(JupData!$A$2:$K$10000,MATCH($A839&amp;P$1,JupData!$A$2:$A$10000&amp;JupData!$J$2:$J$10000,0),11))</f>
        <v/>
      </c>
      <c r="Q839" t="str">
        <f t="array" ref="Q839">IF($A839="","",INDEX(JupData!$A$2:$K$10000,MATCH($A839&amp;Q$1,JupData!$A$2:$A$10000&amp;JupData!$J$2:$J$10000,0),11))</f>
        <v/>
      </c>
      <c r="R839" t="str">
        <f t="array" ref="R839">IF($A839="","",INDEX(JupData!$A$2:$K$10000,MATCH($A839&amp;R$1,JupData!$A$2:$A$10000&amp;JupData!$J$2:$J$10000,0),11))</f>
        <v/>
      </c>
      <c r="S839" t="str">
        <f t="array" ref="S839">IF($A839="","",INDEX(JupData!$A$2:$K$10000,MATCH($A839&amp;S$1,JupData!$A$2:$A$10000&amp;JupData!$J$2:$J$10000,0),11))</f>
        <v/>
      </c>
      <c r="T839" t="str">
        <f t="array" ref="T839">IF($A839="","",INDEX(JupData!$A$2:$K$10000,MATCH($A839&amp;T$1,JupData!$A$2:$A$10000&amp;JupData!$J$2:$J$10000,0),11))</f>
        <v/>
      </c>
      <c r="U839" t="str">
        <f t="array" ref="U839">IF($A839="","",INDEX(JupData!$A$2:$K$10000,MATCH($A839&amp;U$1,JupData!$A$2:$A$10000&amp;JupData!$J$2:$J$10000,0),11))</f>
        <v/>
      </c>
      <c r="V839" t="str">
        <f t="array" ref="V839">IF($A839="","",INDEX(JupData!$A$2:$K$10000,MATCH($A839&amp;V$1,JupData!$A$2:$A$10000&amp;JupData!$J$2:$J$10000,0),11))</f>
        <v/>
      </c>
      <c r="W839" t="str">
        <f t="array" ref="W839">IF($A839="","",INDEX(JupData!$A$2:$K$10000,MATCH($A839&amp;W$1,JupData!$A$2:$A$10000&amp;JupData!$J$2:$J$10000,0),11))</f>
        <v/>
      </c>
      <c r="X839" t="str">
        <f t="array" ref="X839">IF($A839="","",INDEX(JupData!$A$2:$K$10000,MATCH($A839&amp;X$1,JupData!$A$2:$A$10000&amp;JupData!$J$2:$J$10000,0),11))</f>
        <v/>
      </c>
      <c r="Y839" t="str">
        <f t="array" ref="Y839">IF($A839="","",INDEX(JupData!$A$2:$K$10000,MATCH($A839&amp;Y$1,JupData!$A$2:$A$10000&amp;JupData!$J$2:$J$10000,0),11))</f>
        <v/>
      </c>
      <c r="Z839" t="str">
        <f t="array" ref="Z839">IF($A839="","",INDEX(JupData!$A$2:$K$10000,MATCH($A839&amp;Z$1,JupData!$A$2:$A$10000&amp;JupData!$J$2:$J$10000,0),11))</f>
        <v/>
      </c>
      <c r="AA839" t="str">
        <f t="array" ref="AA839">IF($A839="","",INDEX(JupData!$A$2:$K$10000,MATCH($A839&amp;AA$1,JupData!$A$2:$A$10000&amp;JupData!$J$2:$J$10000,0),11))</f>
        <v/>
      </c>
      <c r="AB839" t="str">
        <f t="array" ref="AB839">IF($A839="","",INDEX(JupData!$A$2:$K$10000,MATCH($A839&amp;AB$1,JupData!$A$2:$A$10000&amp;JupData!$J$2:$J$10000,0),11))</f>
        <v/>
      </c>
      <c r="AC839" s="10" t="str">
        <f t="shared" si="143"/>
        <v/>
      </c>
      <c r="AD839" s="10" t="str">
        <f t="shared" si="144"/>
        <v/>
      </c>
      <c r="AE839" s="9" t="str">
        <f t="shared" si="145"/>
        <v/>
      </c>
      <c r="AF839" s="10" t="str">
        <f t="shared" si="146"/>
        <v/>
      </c>
      <c r="AG839" s="10" t="str">
        <f t="shared" si="147"/>
        <v/>
      </c>
      <c r="AH839" s="10" t="str">
        <f t="shared" si="148"/>
        <v/>
      </c>
      <c r="AI839" s="10" t="str">
        <f t="shared" si="149"/>
        <v/>
      </c>
      <c r="AJ839" s="10" t="str">
        <f t="shared" si="150"/>
        <v/>
      </c>
      <c r="AK839" s="10" t="str">
        <f t="shared" si="151"/>
        <v/>
      </c>
      <c r="AL839" s="14" t="str">
        <f t="shared" si="152"/>
        <v/>
      </c>
    </row>
    <row r="840" spans="1:38" x14ac:dyDescent="0.2">
      <c r="A840"/>
      <c r="B840" t="str">
        <f>IF($A840="","",VLOOKUP($A840,JupData!$A$2:$I$10000,4,FALSE))</f>
        <v/>
      </c>
      <c r="C840" s="7" t="str">
        <f>IF($A840="",IF(N(D840),0,""),VLOOKUP($A840,JupData!$A$2:$I$10000,7,FALSE))</f>
        <v/>
      </c>
      <c r="D840" t="str">
        <f t="shared" si="153"/>
        <v/>
      </c>
      <c r="E840" t="str">
        <f t="array" ref="E840">IF($A840="","",INDEX(JupData!$A$2:$K$10000,MATCH($A840&amp;E$1,JupData!$A$2:$A$10000&amp;JupData!$J$2:$J$10000,0),11))</f>
        <v/>
      </c>
      <c r="F840" t="str">
        <f t="array" ref="F840">IF($A840="","",INDEX(JupData!$A$2:$K$10000,MATCH($A840&amp;F$1,JupData!$A$2:$A$10000&amp;JupData!$J$2:$J$10000,0),11))</f>
        <v/>
      </c>
      <c r="G840" t="str">
        <f t="array" ref="G840">IF($A840="","",INDEX(JupData!$A$2:$K$10000,MATCH($A840&amp;G$1,JupData!$A$2:$A$10000&amp;JupData!$J$2:$J$10000,0),11))</f>
        <v/>
      </c>
      <c r="H840" t="str">
        <f t="array" ref="H840">IF($A840="","",INDEX(JupData!$A$2:$K$10000,MATCH($A840&amp;H$1,JupData!$A$2:$A$10000&amp;JupData!$J$2:$J$10000,0),11))</f>
        <v/>
      </c>
      <c r="I840" t="str">
        <f t="array" ref="I840">IF($A840="","",INDEX(JupData!$A$2:$K$10000,MATCH($A840&amp;I$1,JupData!$A$2:$A$10000&amp;JupData!$J$2:$J$10000,0),11))</f>
        <v/>
      </c>
      <c r="J840" t="str">
        <f t="array" ref="J840">IF($A840="","",INDEX(JupData!$A$2:$K$10000,MATCH($A840&amp;J$1,JupData!$A$2:$A$10000&amp;JupData!$J$2:$J$10000,0),11))</f>
        <v/>
      </c>
      <c r="K840" t="str">
        <f t="array" ref="K840">IF($A840="","",INDEX(JupData!$A$2:$K$10000,MATCH($A840&amp;K$1,JupData!$A$2:$A$10000&amp;JupData!$J$2:$J$10000,0),11))</f>
        <v/>
      </c>
      <c r="L840" t="str">
        <f t="array" ref="L840">IF($A840="","",INDEX(JupData!$A$2:$K$10000,MATCH($A840&amp;L$1,JupData!$A$2:$A$10000&amp;JupData!$J$2:$J$10000,0),11))</f>
        <v/>
      </c>
      <c r="M840" t="str">
        <f t="array" ref="M840">IF($A840="","",INDEX(JupData!$A$2:$K$10000,MATCH($A840&amp;M$1,JupData!$A$2:$A$10000&amp;JupData!$J$2:$J$10000,0),11))</f>
        <v/>
      </c>
      <c r="N840" t="str">
        <f t="array" ref="N840">IF($A840="","",INDEX(JupData!$A$2:$K$10000,MATCH($A840&amp;N$1,JupData!$A$2:$A$10000&amp;JupData!$J$2:$J$10000,0),11))</f>
        <v/>
      </c>
      <c r="O840" t="str">
        <f t="array" ref="O840">IF($A840="","",INDEX(JupData!$A$2:$K$10000,MATCH($A840&amp;O$1,JupData!$A$2:$A$10000&amp;JupData!$J$2:$J$10000,0),11))</f>
        <v/>
      </c>
      <c r="P840" t="str">
        <f t="array" ref="P840">IF($A840="","",INDEX(JupData!$A$2:$K$10000,MATCH($A840&amp;P$1,JupData!$A$2:$A$10000&amp;JupData!$J$2:$J$10000,0),11))</f>
        <v/>
      </c>
      <c r="Q840" t="str">
        <f t="array" ref="Q840">IF($A840="","",INDEX(JupData!$A$2:$K$10000,MATCH($A840&amp;Q$1,JupData!$A$2:$A$10000&amp;JupData!$J$2:$J$10000,0),11))</f>
        <v/>
      </c>
      <c r="R840" t="str">
        <f t="array" ref="R840">IF($A840="","",INDEX(JupData!$A$2:$K$10000,MATCH($A840&amp;R$1,JupData!$A$2:$A$10000&amp;JupData!$J$2:$J$10000,0),11))</f>
        <v/>
      </c>
      <c r="S840" t="str">
        <f t="array" ref="S840">IF($A840="","",INDEX(JupData!$A$2:$K$10000,MATCH($A840&amp;S$1,JupData!$A$2:$A$10000&amp;JupData!$J$2:$J$10000,0),11))</f>
        <v/>
      </c>
      <c r="T840" t="str">
        <f t="array" ref="T840">IF($A840="","",INDEX(JupData!$A$2:$K$10000,MATCH($A840&amp;T$1,JupData!$A$2:$A$10000&amp;JupData!$J$2:$J$10000,0),11))</f>
        <v/>
      </c>
      <c r="U840" t="str">
        <f t="array" ref="U840">IF($A840="","",INDEX(JupData!$A$2:$K$10000,MATCH($A840&amp;U$1,JupData!$A$2:$A$10000&amp;JupData!$J$2:$J$10000,0),11))</f>
        <v/>
      </c>
      <c r="V840" t="str">
        <f t="array" ref="V840">IF($A840="","",INDEX(JupData!$A$2:$K$10000,MATCH($A840&amp;V$1,JupData!$A$2:$A$10000&amp;JupData!$J$2:$J$10000,0),11))</f>
        <v/>
      </c>
      <c r="W840" t="str">
        <f t="array" ref="W840">IF($A840="","",INDEX(JupData!$A$2:$K$10000,MATCH($A840&amp;W$1,JupData!$A$2:$A$10000&amp;JupData!$J$2:$J$10000,0),11))</f>
        <v/>
      </c>
      <c r="X840" t="str">
        <f t="array" ref="X840">IF($A840="","",INDEX(JupData!$A$2:$K$10000,MATCH($A840&amp;X$1,JupData!$A$2:$A$10000&amp;JupData!$J$2:$J$10000,0),11))</f>
        <v/>
      </c>
      <c r="Y840" t="str">
        <f t="array" ref="Y840">IF($A840="","",INDEX(JupData!$A$2:$K$10000,MATCH($A840&amp;Y$1,JupData!$A$2:$A$10000&amp;JupData!$J$2:$J$10000,0),11))</f>
        <v/>
      </c>
      <c r="Z840" t="str">
        <f t="array" ref="Z840">IF($A840="","",INDEX(JupData!$A$2:$K$10000,MATCH($A840&amp;Z$1,JupData!$A$2:$A$10000&amp;JupData!$J$2:$J$10000,0),11))</f>
        <v/>
      </c>
      <c r="AA840" t="str">
        <f t="array" ref="AA840">IF($A840="","",INDEX(JupData!$A$2:$K$10000,MATCH($A840&amp;AA$1,JupData!$A$2:$A$10000&amp;JupData!$J$2:$J$10000,0),11))</f>
        <v/>
      </c>
      <c r="AB840" t="str">
        <f t="array" ref="AB840">IF($A840="","",INDEX(JupData!$A$2:$K$10000,MATCH($A840&amp;AB$1,JupData!$A$2:$A$10000&amp;JupData!$J$2:$J$10000,0),11))</f>
        <v/>
      </c>
      <c r="AC840" s="10" t="str">
        <f t="shared" si="143"/>
        <v/>
      </c>
      <c r="AD840" s="10" t="str">
        <f t="shared" si="144"/>
        <v/>
      </c>
      <c r="AE840" s="9" t="str">
        <f t="shared" si="145"/>
        <v/>
      </c>
      <c r="AF840" s="10" t="str">
        <f t="shared" si="146"/>
        <v/>
      </c>
      <c r="AG840" s="10" t="str">
        <f t="shared" si="147"/>
        <v/>
      </c>
      <c r="AH840" s="10" t="str">
        <f t="shared" si="148"/>
        <v/>
      </c>
      <c r="AI840" s="10" t="str">
        <f t="shared" si="149"/>
        <v/>
      </c>
      <c r="AJ840" s="10" t="str">
        <f t="shared" si="150"/>
        <v/>
      </c>
      <c r="AK840" s="10" t="str">
        <f t="shared" si="151"/>
        <v/>
      </c>
      <c r="AL840" s="14" t="str">
        <f t="shared" si="152"/>
        <v/>
      </c>
    </row>
    <row r="841" spans="1:38" x14ac:dyDescent="0.2">
      <c r="A841"/>
      <c r="B841" t="str">
        <f>IF($A841="","",VLOOKUP($A841,JupData!$A$2:$I$10000,4,FALSE))</f>
        <v/>
      </c>
      <c r="C841" s="7" t="str">
        <f>IF($A841="",IF(N(D841),0,""),VLOOKUP($A841,JupData!$A$2:$I$10000,7,FALSE))</f>
        <v/>
      </c>
      <c r="D841" t="str">
        <f t="shared" si="153"/>
        <v/>
      </c>
      <c r="E841" t="str">
        <f t="array" ref="E841">IF($A841="","",INDEX(JupData!$A$2:$K$10000,MATCH($A841&amp;E$1,JupData!$A$2:$A$10000&amp;JupData!$J$2:$J$10000,0),11))</f>
        <v/>
      </c>
      <c r="F841" t="str">
        <f t="array" ref="F841">IF($A841="","",INDEX(JupData!$A$2:$K$10000,MATCH($A841&amp;F$1,JupData!$A$2:$A$10000&amp;JupData!$J$2:$J$10000,0),11))</f>
        <v/>
      </c>
      <c r="G841" t="str">
        <f t="array" ref="G841">IF($A841="","",INDEX(JupData!$A$2:$K$10000,MATCH($A841&amp;G$1,JupData!$A$2:$A$10000&amp;JupData!$J$2:$J$10000,0),11))</f>
        <v/>
      </c>
      <c r="H841" t="str">
        <f t="array" ref="H841">IF($A841="","",INDEX(JupData!$A$2:$K$10000,MATCH($A841&amp;H$1,JupData!$A$2:$A$10000&amp;JupData!$J$2:$J$10000,0),11))</f>
        <v/>
      </c>
      <c r="I841" t="str">
        <f t="array" ref="I841">IF($A841="","",INDEX(JupData!$A$2:$K$10000,MATCH($A841&amp;I$1,JupData!$A$2:$A$10000&amp;JupData!$J$2:$J$10000,0),11))</f>
        <v/>
      </c>
      <c r="J841" t="str">
        <f t="array" ref="J841">IF($A841="","",INDEX(JupData!$A$2:$K$10000,MATCH($A841&amp;J$1,JupData!$A$2:$A$10000&amp;JupData!$J$2:$J$10000,0),11))</f>
        <v/>
      </c>
      <c r="K841" t="str">
        <f t="array" ref="K841">IF($A841="","",INDEX(JupData!$A$2:$K$10000,MATCH($A841&amp;K$1,JupData!$A$2:$A$10000&amp;JupData!$J$2:$J$10000,0),11))</f>
        <v/>
      </c>
      <c r="L841" t="str">
        <f t="array" ref="L841">IF($A841="","",INDEX(JupData!$A$2:$K$10000,MATCH($A841&amp;L$1,JupData!$A$2:$A$10000&amp;JupData!$J$2:$J$10000,0),11))</f>
        <v/>
      </c>
      <c r="M841" t="str">
        <f t="array" ref="M841">IF($A841="","",INDEX(JupData!$A$2:$K$10000,MATCH($A841&amp;M$1,JupData!$A$2:$A$10000&amp;JupData!$J$2:$J$10000,0),11))</f>
        <v/>
      </c>
      <c r="N841" t="str">
        <f t="array" ref="N841">IF($A841="","",INDEX(JupData!$A$2:$K$10000,MATCH($A841&amp;N$1,JupData!$A$2:$A$10000&amp;JupData!$J$2:$J$10000,0),11))</f>
        <v/>
      </c>
      <c r="O841" t="str">
        <f t="array" ref="O841">IF($A841="","",INDEX(JupData!$A$2:$K$10000,MATCH($A841&amp;O$1,JupData!$A$2:$A$10000&amp;JupData!$J$2:$J$10000,0),11))</f>
        <v/>
      </c>
      <c r="P841" t="str">
        <f t="array" ref="P841">IF($A841="","",INDEX(JupData!$A$2:$K$10000,MATCH($A841&amp;P$1,JupData!$A$2:$A$10000&amp;JupData!$J$2:$J$10000,0),11))</f>
        <v/>
      </c>
      <c r="Q841" t="str">
        <f t="array" ref="Q841">IF($A841="","",INDEX(JupData!$A$2:$K$10000,MATCH($A841&amp;Q$1,JupData!$A$2:$A$10000&amp;JupData!$J$2:$J$10000,0),11))</f>
        <v/>
      </c>
      <c r="R841" t="str">
        <f t="array" ref="R841">IF($A841="","",INDEX(JupData!$A$2:$K$10000,MATCH($A841&amp;R$1,JupData!$A$2:$A$10000&amp;JupData!$J$2:$J$10000,0),11))</f>
        <v/>
      </c>
      <c r="S841" t="str">
        <f t="array" ref="S841">IF($A841="","",INDEX(JupData!$A$2:$K$10000,MATCH($A841&amp;S$1,JupData!$A$2:$A$10000&amp;JupData!$J$2:$J$10000,0),11))</f>
        <v/>
      </c>
      <c r="T841" t="str">
        <f t="array" ref="T841">IF($A841="","",INDEX(JupData!$A$2:$K$10000,MATCH($A841&amp;T$1,JupData!$A$2:$A$10000&amp;JupData!$J$2:$J$10000,0),11))</f>
        <v/>
      </c>
      <c r="U841" t="str">
        <f t="array" ref="U841">IF($A841="","",INDEX(JupData!$A$2:$K$10000,MATCH($A841&amp;U$1,JupData!$A$2:$A$10000&amp;JupData!$J$2:$J$10000,0),11))</f>
        <v/>
      </c>
      <c r="V841" t="str">
        <f t="array" ref="V841">IF($A841="","",INDEX(JupData!$A$2:$K$10000,MATCH($A841&amp;V$1,JupData!$A$2:$A$10000&amp;JupData!$J$2:$J$10000,0),11))</f>
        <v/>
      </c>
      <c r="W841" t="str">
        <f t="array" ref="W841">IF($A841="","",INDEX(JupData!$A$2:$K$10000,MATCH($A841&amp;W$1,JupData!$A$2:$A$10000&amp;JupData!$J$2:$J$10000,0),11))</f>
        <v/>
      </c>
      <c r="X841" t="str">
        <f t="array" ref="X841">IF($A841="","",INDEX(JupData!$A$2:$K$10000,MATCH($A841&amp;X$1,JupData!$A$2:$A$10000&amp;JupData!$J$2:$J$10000,0),11))</f>
        <v/>
      </c>
      <c r="Y841" t="str">
        <f t="array" ref="Y841">IF($A841="","",INDEX(JupData!$A$2:$K$10000,MATCH($A841&amp;Y$1,JupData!$A$2:$A$10000&amp;JupData!$J$2:$J$10000,0),11))</f>
        <v/>
      </c>
      <c r="Z841" t="str">
        <f t="array" ref="Z841">IF($A841="","",INDEX(JupData!$A$2:$K$10000,MATCH($A841&amp;Z$1,JupData!$A$2:$A$10000&amp;JupData!$J$2:$J$10000,0),11))</f>
        <v/>
      </c>
      <c r="AA841" t="str">
        <f t="array" ref="AA841">IF($A841="","",INDEX(JupData!$A$2:$K$10000,MATCH($A841&amp;AA$1,JupData!$A$2:$A$10000&amp;JupData!$J$2:$J$10000,0),11))</f>
        <v/>
      </c>
      <c r="AB841" t="str">
        <f t="array" ref="AB841">IF($A841="","",INDEX(JupData!$A$2:$K$10000,MATCH($A841&amp;AB$1,JupData!$A$2:$A$10000&amp;JupData!$J$2:$J$10000,0),11))</f>
        <v/>
      </c>
      <c r="AC841" s="10" t="str">
        <f t="shared" si="143"/>
        <v/>
      </c>
      <c r="AD841" s="10" t="str">
        <f t="shared" si="144"/>
        <v/>
      </c>
      <c r="AE841" s="9" t="str">
        <f t="shared" si="145"/>
        <v/>
      </c>
      <c r="AF841" s="10" t="str">
        <f t="shared" si="146"/>
        <v/>
      </c>
      <c r="AG841" s="10" t="str">
        <f t="shared" si="147"/>
        <v/>
      </c>
      <c r="AH841" s="10" t="str">
        <f t="shared" si="148"/>
        <v/>
      </c>
      <c r="AI841" s="10" t="str">
        <f t="shared" si="149"/>
        <v/>
      </c>
      <c r="AJ841" s="10" t="str">
        <f t="shared" si="150"/>
        <v/>
      </c>
      <c r="AK841" s="10" t="str">
        <f t="shared" si="151"/>
        <v/>
      </c>
      <c r="AL841" s="14" t="str">
        <f t="shared" si="152"/>
        <v/>
      </c>
    </row>
    <row r="842" spans="1:38" x14ac:dyDescent="0.2">
      <c r="A842"/>
      <c r="B842" t="str">
        <f>IF($A842="","",VLOOKUP($A842,JupData!$A$2:$I$10000,4,FALSE))</f>
        <v/>
      </c>
      <c r="C842" s="7" t="str">
        <f>IF($A842="",IF(N(D842),0,""),VLOOKUP($A842,JupData!$A$2:$I$10000,7,FALSE))</f>
        <v/>
      </c>
      <c r="D842" t="str">
        <f t="shared" si="153"/>
        <v/>
      </c>
      <c r="E842" t="str">
        <f t="array" ref="E842">IF($A842="","",INDEX(JupData!$A$2:$K$10000,MATCH($A842&amp;E$1,JupData!$A$2:$A$10000&amp;JupData!$J$2:$J$10000,0),11))</f>
        <v/>
      </c>
      <c r="F842" t="str">
        <f t="array" ref="F842">IF($A842="","",INDEX(JupData!$A$2:$K$10000,MATCH($A842&amp;F$1,JupData!$A$2:$A$10000&amp;JupData!$J$2:$J$10000,0),11))</f>
        <v/>
      </c>
      <c r="G842" t="str">
        <f t="array" ref="G842">IF($A842="","",INDEX(JupData!$A$2:$K$10000,MATCH($A842&amp;G$1,JupData!$A$2:$A$10000&amp;JupData!$J$2:$J$10000,0),11))</f>
        <v/>
      </c>
      <c r="H842" t="str">
        <f t="array" ref="H842">IF($A842="","",INDEX(JupData!$A$2:$K$10000,MATCH($A842&amp;H$1,JupData!$A$2:$A$10000&amp;JupData!$J$2:$J$10000,0),11))</f>
        <v/>
      </c>
      <c r="I842" t="str">
        <f t="array" ref="I842">IF($A842="","",INDEX(JupData!$A$2:$K$10000,MATCH($A842&amp;I$1,JupData!$A$2:$A$10000&amp;JupData!$J$2:$J$10000,0),11))</f>
        <v/>
      </c>
      <c r="J842" t="str">
        <f t="array" ref="J842">IF($A842="","",INDEX(JupData!$A$2:$K$10000,MATCH($A842&amp;J$1,JupData!$A$2:$A$10000&amp;JupData!$J$2:$J$10000,0),11))</f>
        <v/>
      </c>
      <c r="K842" t="str">
        <f t="array" ref="K842">IF($A842="","",INDEX(JupData!$A$2:$K$10000,MATCH($A842&amp;K$1,JupData!$A$2:$A$10000&amp;JupData!$J$2:$J$10000,0),11))</f>
        <v/>
      </c>
      <c r="L842" t="str">
        <f t="array" ref="L842">IF($A842="","",INDEX(JupData!$A$2:$K$10000,MATCH($A842&amp;L$1,JupData!$A$2:$A$10000&amp;JupData!$J$2:$J$10000,0),11))</f>
        <v/>
      </c>
      <c r="M842" t="str">
        <f t="array" ref="M842">IF($A842="","",INDEX(JupData!$A$2:$K$10000,MATCH($A842&amp;M$1,JupData!$A$2:$A$10000&amp;JupData!$J$2:$J$10000,0),11))</f>
        <v/>
      </c>
      <c r="N842" t="str">
        <f t="array" ref="N842">IF($A842="","",INDEX(JupData!$A$2:$K$10000,MATCH($A842&amp;N$1,JupData!$A$2:$A$10000&amp;JupData!$J$2:$J$10000,0),11))</f>
        <v/>
      </c>
      <c r="O842" t="str">
        <f t="array" ref="O842">IF($A842="","",INDEX(JupData!$A$2:$K$10000,MATCH($A842&amp;O$1,JupData!$A$2:$A$10000&amp;JupData!$J$2:$J$10000,0),11))</f>
        <v/>
      </c>
      <c r="P842" t="str">
        <f t="array" ref="P842">IF($A842="","",INDEX(JupData!$A$2:$K$10000,MATCH($A842&amp;P$1,JupData!$A$2:$A$10000&amp;JupData!$J$2:$J$10000,0),11))</f>
        <v/>
      </c>
      <c r="Q842" t="str">
        <f t="array" ref="Q842">IF($A842="","",INDEX(JupData!$A$2:$K$10000,MATCH($A842&amp;Q$1,JupData!$A$2:$A$10000&amp;JupData!$J$2:$J$10000,0),11))</f>
        <v/>
      </c>
      <c r="R842" t="str">
        <f t="array" ref="R842">IF($A842="","",INDEX(JupData!$A$2:$K$10000,MATCH($A842&amp;R$1,JupData!$A$2:$A$10000&amp;JupData!$J$2:$J$10000,0),11))</f>
        <v/>
      </c>
      <c r="S842" t="str">
        <f t="array" ref="S842">IF($A842="","",INDEX(JupData!$A$2:$K$10000,MATCH($A842&amp;S$1,JupData!$A$2:$A$10000&amp;JupData!$J$2:$J$10000,0),11))</f>
        <v/>
      </c>
      <c r="T842" t="str">
        <f t="array" ref="T842">IF($A842="","",INDEX(JupData!$A$2:$K$10000,MATCH($A842&amp;T$1,JupData!$A$2:$A$10000&amp;JupData!$J$2:$J$10000,0),11))</f>
        <v/>
      </c>
      <c r="U842" t="str">
        <f t="array" ref="U842">IF($A842="","",INDEX(JupData!$A$2:$K$10000,MATCH($A842&amp;U$1,JupData!$A$2:$A$10000&amp;JupData!$J$2:$J$10000,0),11))</f>
        <v/>
      </c>
      <c r="V842" t="str">
        <f t="array" ref="V842">IF($A842="","",INDEX(JupData!$A$2:$K$10000,MATCH($A842&amp;V$1,JupData!$A$2:$A$10000&amp;JupData!$J$2:$J$10000,0),11))</f>
        <v/>
      </c>
      <c r="W842" t="str">
        <f t="array" ref="W842">IF($A842="","",INDEX(JupData!$A$2:$K$10000,MATCH($A842&amp;W$1,JupData!$A$2:$A$10000&amp;JupData!$J$2:$J$10000,0),11))</f>
        <v/>
      </c>
      <c r="X842" t="str">
        <f t="array" ref="X842">IF($A842="","",INDEX(JupData!$A$2:$K$10000,MATCH($A842&amp;X$1,JupData!$A$2:$A$10000&amp;JupData!$J$2:$J$10000,0),11))</f>
        <v/>
      </c>
      <c r="Y842" t="str">
        <f t="array" ref="Y842">IF($A842="","",INDEX(JupData!$A$2:$K$10000,MATCH($A842&amp;Y$1,JupData!$A$2:$A$10000&amp;JupData!$J$2:$J$10000,0),11))</f>
        <v/>
      </c>
      <c r="Z842" t="str">
        <f t="array" ref="Z842">IF($A842="","",INDEX(JupData!$A$2:$K$10000,MATCH($A842&amp;Z$1,JupData!$A$2:$A$10000&amp;JupData!$J$2:$J$10000,0),11))</f>
        <v/>
      </c>
      <c r="AA842" t="str">
        <f t="array" ref="AA842">IF($A842="","",INDEX(JupData!$A$2:$K$10000,MATCH($A842&amp;AA$1,JupData!$A$2:$A$10000&amp;JupData!$J$2:$J$10000,0),11))</f>
        <v/>
      </c>
      <c r="AB842" t="str">
        <f t="array" ref="AB842">IF($A842="","",INDEX(JupData!$A$2:$K$10000,MATCH($A842&amp;AB$1,JupData!$A$2:$A$10000&amp;JupData!$J$2:$J$10000,0),11))</f>
        <v/>
      </c>
      <c r="AC842" s="10" t="str">
        <f t="shared" si="143"/>
        <v/>
      </c>
      <c r="AD842" s="10" t="str">
        <f t="shared" si="144"/>
        <v/>
      </c>
      <c r="AE842" s="9" t="str">
        <f t="shared" si="145"/>
        <v/>
      </c>
      <c r="AF842" s="10" t="str">
        <f t="shared" si="146"/>
        <v/>
      </c>
      <c r="AG842" s="10" t="str">
        <f t="shared" si="147"/>
        <v/>
      </c>
      <c r="AH842" s="10" t="str">
        <f t="shared" si="148"/>
        <v/>
      </c>
      <c r="AI842" s="10" t="str">
        <f t="shared" si="149"/>
        <v/>
      </c>
      <c r="AJ842" s="10" t="str">
        <f t="shared" si="150"/>
        <v/>
      </c>
      <c r="AK842" s="10" t="str">
        <f t="shared" si="151"/>
        <v/>
      </c>
      <c r="AL842" s="14" t="str">
        <f t="shared" si="152"/>
        <v/>
      </c>
    </row>
    <row r="843" spans="1:38" x14ac:dyDescent="0.2">
      <c r="A843"/>
      <c r="B843" t="str">
        <f>IF($A843="","",VLOOKUP($A843,JupData!$A$2:$I$10000,4,FALSE))</f>
        <v/>
      </c>
      <c r="C843" s="7" t="str">
        <f>IF($A843="",IF(N(D843),0,""),VLOOKUP($A843,JupData!$A$2:$I$10000,7,FALSE))</f>
        <v/>
      </c>
      <c r="D843" t="str">
        <f t="shared" si="153"/>
        <v/>
      </c>
      <c r="E843" t="str">
        <f t="array" ref="E843">IF($A843="","",INDEX(JupData!$A$2:$K$10000,MATCH($A843&amp;E$1,JupData!$A$2:$A$10000&amp;JupData!$J$2:$J$10000,0),11))</f>
        <v/>
      </c>
      <c r="F843" t="str">
        <f t="array" ref="F843">IF($A843="","",INDEX(JupData!$A$2:$K$10000,MATCH($A843&amp;F$1,JupData!$A$2:$A$10000&amp;JupData!$J$2:$J$10000,0),11))</f>
        <v/>
      </c>
      <c r="G843" t="str">
        <f t="array" ref="G843">IF($A843="","",INDEX(JupData!$A$2:$K$10000,MATCH($A843&amp;G$1,JupData!$A$2:$A$10000&amp;JupData!$J$2:$J$10000,0),11))</f>
        <v/>
      </c>
      <c r="H843" t="str">
        <f t="array" ref="H843">IF($A843="","",INDEX(JupData!$A$2:$K$10000,MATCH($A843&amp;H$1,JupData!$A$2:$A$10000&amp;JupData!$J$2:$J$10000,0),11))</f>
        <v/>
      </c>
      <c r="I843" t="str">
        <f t="array" ref="I843">IF($A843="","",INDEX(JupData!$A$2:$K$10000,MATCH($A843&amp;I$1,JupData!$A$2:$A$10000&amp;JupData!$J$2:$J$10000,0),11))</f>
        <v/>
      </c>
      <c r="J843" t="str">
        <f t="array" ref="J843">IF($A843="","",INDEX(JupData!$A$2:$K$10000,MATCH($A843&amp;J$1,JupData!$A$2:$A$10000&amp;JupData!$J$2:$J$10000,0),11))</f>
        <v/>
      </c>
      <c r="K843" t="str">
        <f t="array" ref="K843">IF($A843="","",INDEX(JupData!$A$2:$K$10000,MATCH($A843&amp;K$1,JupData!$A$2:$A$10000&amp;JupData!$J$2:$J$10000,0),11))</f>
        <v/>
      </c>
      <c r="L843" t="str">
        <f t="array" ref="L843">IF($A843="","",INDEX(JupData!$A$2:$K$10000,MATCH($A843&amp;L$1,JupData!$A$2:$A$10000&amp;JupData!$J$2:$J$10000,0),11))</f>
        <v/>
      </c>
      <c r="M843" t="str">
        <f t="array" ref="M843">IF($A843="","",INDEX(JupData!$A$2:$K$10000,MATCH($A843&amp;M$1,JupData!$A$2:$A$10000&amp;JupData!$J$2:$J$10000,0),11))</f>
        <v/>
      </c>
      <c r="N843" t="str">
        <f t="array" ref="N843">IF($A843="","",INDEX(JupData!$A$2:$K$10000,MATCH($A843&amp;N$1,JupData!$A$2:$A$10000&amp;JupData!$J$2:$J$10000,0),11))</f>
        <v/>
      </c>
      <c r="O843" t="str">
        <f t="array" ref="O843">IF($A843="","",INDEX(JupData!$A$2:$K$10000,MATCH($A843&amp;O$1,JupData!$A$2:$A$10000&amp;JupData!$J$2:$J$10000,0),11))</f>
        <v/>
      </c>
      <c r="P843" t="str">
        <f t="array" ref="P843">IF($A843="","",INDEX(JupData!$A$2:$K$10000,MATCH($A843&amp;P$1,JupData!$A$2:$A$10000&amp;JupData!$J$2:$J$10000,0),11))</f>
        <v/>
      </c>
      <c r="Q843" t="str">
        <f t="array" ref="Q843">IF($A843="","",INDEX(JupData!$A$2:$K$10000,MATCH($A843&amp;Q$1,JupData!$A$2:$A$10000&amp;JupData!$J$2:$J$10000,0),11))</f>
        <v/>
      </c>
      <c r="R843" t="str">
        <f t="array" ref="R843">IF($A843="","",INDEX(JupData!$A$2:$K$10000,MATCH($A843&amp;R$1,JupData!$A$2:$A$10000&amp;JupData!$J$2:$J$10000,0),11))</f>
        <v/>
      </c>
      <c r="S843" t="str">
        <f t="array" ref="S843">IF($A843="","",INDEX(JupData!$A$2:$K$10000,MATCH($A843&amp;S$1,JupData!$A$2:$A$10000&amp;JupData!$J$2:$J$10000,0),11))</f>
        <v/>
      </c>
      <c r="T843" t="str">
        <f t="array" ref="T843">IF($A843="","",INDEX(JupData!$A$2:$K$10000,MATCH($A843&amp;T$1,JupData!$A$2:$A$10000&amp;JupData!$J$2:$J$10000,0),11))</f>
        <v/>
      </c>
      <c r="U843" t="str">
        <f t="array" ref="U843">IF($A843="","",INDEX(JupData!$A$2:$K$10000,MATCH($A843&amp;U$1,JupData!$A$2:$A$10000&amp;JupData!$J$2:$J$10000,0),11))</f>
        <v/>
      </c>
      <c r="V843" t="str">
        <f t="array" ref="V843">IF($A843="","",INDEX(JupData!$A$2:$K$10000,MATCH($A843&amp;V$1,JupData!$A$2:$A$10000&amp;JupData!$J$2:$J$10000,0),11))</f>
        <v/>
      </c>
      <c r="W843" t="str">
        <f t="array" ref="W843">IF($A843="","",INDEX(JupData!$A$2:$K$10000,MATCH($A843&amp;W$1,JupData!$A$2:$A$10000&amp;JupData!$J$2:$J$10000,0),11))</f>
        <v/>
      </c>
      <c r="X843" t="str">
        <f t="array" ref="X843">IF($A843="","",INDEX(JupData!$A$2:$K$10000,MATCH($A843&amp;X$1,JupData!$A$2:$A$10000&amp;JupData!$J$2:$J$10000,0),11))</f>
        <v/>
      </c>
      <c r="Y843" t="str">
        <f t="array" ref="Y843">IF($A843="","",INDEX(JupData!$A$2:$K$10000,MATCH($A843&amp;Y$1,JupData!$A$2:$A$10000&amp;JupData!$J$2:$J$10000,0),11))</f>
        <v/>
      </c>
      <c r="Z843" t="str">
        <f t="array" ref="Z843">IF($A843="","",INDEX(JupData!$A$2:$K$10000,MATCH($A843&amp;Z$1,JupData!$A$2:$A$10000&amp;JupData!$J$2:$J$10000,0),11))</f>
        <v/>
      </c>
      <c r="AA843" t="str">
        <f t="array" ref="AA843">IF($A843="","",INDEX(JupData!$A$2:$K$10000,MATCH($A843&amp;AA$1,JupData!$A$2:$A$10000&amp;JupData!$J$2:$J$10000,0),11))</f>
        <v/>
      </c>
      <c r="AB843" t="str">
        <f t="array" ref="AB843">IF($A843="","",INDEX(JupData!$A$2:$K$10000,MATCH($A843&amp;AB$1,JupData!$A$2:$A$10000&amp;JupData!$J$2:$J$10000,0),11))</f>
        <v/>
      </c>
      <c r="AC843" s="10" t="str">
        <f t="shared" si="143"/>
        <v/>
      </c>
      <c r="AD843" s="10" t="str">
        <f t="shared" si="144"/>
        <v/>
      </c>
      <c r="AE843" s="9" t="str">
        <f t="shared" si="145"/>
        <v/>
      </c>
      <c r="AF843" s="10" t="str">
        <f t="shared" si="146"/>
        <v/>
      </c>
      <c r="AG843" s="10" t="str">
        <f t="shared" si="147"/>
        <v/>
      </c>
      <c r="AH843" s="10" t="str">
        <f t="shared" si="148"/>
        <v/>
      </c>
      <c r="AI843" s="10" t="str">
        <f t="shared" si="149"/>
        <v/>
      </c>
      <c r="AJ843" s="10" t="str">
        <f t="shared" si="150"/>
        <v/>
      </c>
      <c r="AK843" s="10" t="str">
        <f t="shared" si="151"/>
        <v/>
      </c>
      <c r="AL843" s="14" t="str">
        <f t="shared" si="152"/>
        <v/>
      </c>
    </row>
    <row r="844" spans="1:38" x14ac:dyDescent="0.2">
      <c r="A844"/>
      <c r="B844" t="str">
        <f>IF($A844="","",VLOOKUP($A844,JupData!$A$2:$I$10000,4,FALSE))</f>
        <v/>
      </c>
      <c r="C844" s="7" t="str">
        <f>IF($A844="",IF(N(D844),0,""),VLOOKUP($A844,JupData!$A$2:$I$10000,7,FALSE))</f>
        <v/>
      </c>
      <c r="D844" t="str">
        <f t="shared" si="153"/>
        <v/>
      </c>
      <c r="E844" t="str">
        <f t="array" ref="E844">IF($A844="","",INDEX(JupData!$A$2:$K$10000,MATCH($A844&amp;E$1,JupData!$A$2:$A$10000&amp;JupData!$J$2:$J$10000,0),11))</f>
        <v/>
      </c>
      <c r="F844" t="str">
        <f t="array" ref="F844">IF($A844="","",INDEX(JupData!$A$2:$K$10000,MATCH($A844&amp;F$1,JupData!$A$2:$A$10000&amp;JupData!$J$2:$J$10000,0),11))</f>
        <v/>
      </c>
      <c r="G844" t="str">
        <f t="array" ref="G844">IF($A844="","",INDEX(JupData!$A$2:$K$10000,MATCH($A844&amp;G$1,JupData!$A$2:$A$10000&amp;JupData!$J$2:$J$10000,0),11))</f>
        <v/>
      </c>
      <c r="H844" t="str">
        <f t="array" ref="H844">IF($A844="","",INDEX(JupData!$A$2:$K$10000,MATCH($A844&amp;H$1,JupData!$A$2:$A$10000&amp;JupData!$J$2:$J$10000,0),11))</f>
        <v/>
      </c>
      <c r="I844" t="str">
        <f t="array" ref="I844">IF($A844="","",INDEX(JupData!$A$2:$K$10000,MATCH($A844&amp;I$1,JupData!$A$2:$A$10000&amp;JupData!$J$2:$J$10000,0),11))</f>
        <v/>
      </c>
      <c r="J844" t="str">
        <f t="array" ref="J844">IF($A844="","",INDEX(JupData!$A$2:$K$10000,MATCH($A844&amp;J$1,JupData!$A$2:$A$10000&amp;JupData!$J$2:$J$10000,0),11))</f>
        <v/>
      </c>
      <c r="K844" t="str">
        <f t="array" ref="K844">IF($A844="","",INDEX(JupData!$A$2:$K$10000,MATCH($A844&amp;K$1,JupData!$A$2:$A$10000&amp;JupData!$J$2:$J$10000,0),11))</f>
        <v/>
      </c>
      <c r="L844" t="str">
        <f t="array" ref="L844">IF($A844="","",INDEX(JupData!$A$2:$K$10000,MATCH($A844&amp;L$1,JupData!$A$2:$A$10000&amp;JupData!$J$2:$J$10000,0),11))</f>
        <v/>
      </c>
      <c r="M844" t="str">
        <f t="array" ref="M844">IF($A844="","",INDEX(JupData!$A$2:$K$10000,MATCH($A844&amp;M$1,JupData!$A$2:$A$10000&amp;JupData!$J$2:$J$10000,0),11))</f>
        <v/>
      </c>
      <c r="N844" t="str">
        <f t="array" ref="N844">IF($A844="","",INDEX(JupData!$A$2:$K$10000,MATCH($A844&amp;N$1,JupData!$A$2:$A$10000&amp;JupData!$J$2:$J$10000,0),11))</f>
        <v/>
      </c>
      <c r="O844" t="str">
        <f t="array" ref="O844">IF($A844="","",INDEX(JupData!$A$2:$K$10000,MATCH($A844&amp;O$1,JupData!$A$2:$A$10000&amp;JupData!$J$2:$J$10000,0),11))</f>
        <v/>
      </c>
      <c r="P844" t="str">
        <f t="array" ref="P844">IF($A844="","",INDEX(JupData!$A$2:$K$10000,MATCH($A844&amp;P$1,JupData!$A$2:$A$10000&amp;JupData!$J$2:$J$10000,0),11))</f>
        <v/>
      </c>
      <c r="Q844" t="str">
        <f t="array" ref="Q844">IF($A844="","",INDEX(JupData!$A$2:$K$10000,MATCH($A844&amp;Q$1,JupData!$A$2:$A$10000&amp;JupData!$J$2:$J$10000,0),11))</f>
        <v/>
      </c>
      <c r="R844" t="str">
        <f t="array" ref="R844">IF($A844="","",INDEX(JupData!$A$2:$K$10000,MATCH($A844&amp;R$1,JupData!$A$2:$A$10000&amp;JupData!$J$2:$J$10000,0),11))</f>
        <v/>
      </c>
      <c r="S844" t="str">
        <f t="array" ref="S844">IF($A844="","",INDEX(JupData!$A$2:$K$10000,MATCH($A844&amp;S$1,JupData!$A$2:$A$10000&amp;JupData!$J$2:$J$10000,0),11))</f>
        <v/>
      </c>
      <c r="T844" t="str">
        <f t="array" ref="T844">IF($A844="","",INDEX(JupData!$A$2:$K$10000,MATCH($A844&amp;T$1,JupData!$A$2:$A$10000&amp;JupData!$J$2:$J$10000,0),11))</f>
        <v/>
      </c>
      <c r="U844" t="str">
        <f t="array" ref="U844">IF($A844="","",INDEX(JupData!$A$2:$K$10000,MATCH($A844&amp;U$1,JupData!$A$2:$A$10000&amp;JupData!$J$2:$J$10000,0),11))</f>
        <v/>
      </c>
      <c r="V844" t="str">
        <f t="array" ref="V844">IF($A844="","",INDEX(JupData!$A$2:$K$10000,MATCH($A844&amp;V$1,JupData!$A$2:$A$10000&amp;JupData!$J$2:$J$10000,0),11))</f>
        <v/>
      </c>
      <c r="W844" t="str">
        <f t="array" ref="W844">IF($A844="","",INDEX(JupData!$A$2:$K$10000,MATCH($A844&amp;W$1,JupData!$A$2:$A$10000&amp;JupData!$J$2:$J$10000,0),11))</f>
        <v/>
      </c>
      <c r="X844" t="str">
        <f t="array" ref="X844">IF($A844="","",INDEX(JupData!$A$2:$K$10000,MATCH($A844&amp;X$1,JupData!$A$2:$A$10000&amp;JupData!$J$2:$J$10000,0),11))</f>
        <v/>
      </c>
      <c r="Y844" t="str">
        <f t="array" ref="Y844">IF($A844="","",INDEX(JupData!$A$2:$K$10000,MATCH($A844&amp;Y$1,JupData!$A$2:$A$10000&amp;JupData!$J$2:$J$10000,0),11))</f>
        <v/>
      </c>
      <c r="Z844" t="str">
        <f t="array" ref="Z844">IF($A844="","",INDEX(JupData!$A$2:$K$10000,MATCH($A844&amp;Z$1,JupData!$A$2:$A$10000&amp;JupData!$J$2:$J$10000,0),11))</f>
        <v/>
      </c>
      <c r="AA844" t="str">
        <f t="array" ref="AA844">IF($A844="","",INDEX(JupData!$A$2:$K$10000,MATCH($A844&amp;AA$1,JupData!$A$2:$A$10000&amp;JupData!$J$2:$J$10000,0),11))</f>
        <v/>
      </c>
      <c r="AB844" t="str">
        <f t="array" ref="AB844">IF($A844="","",INDEX(JupData!$A$2:$K$10000,MATCH($A844&amp;AB$1,JupData!$A$2:$A$10000&amp;JupData!$J$2:$J$10000,0),11))</f>
        <v/>
      </c>
      <c r="AC844" s="10" t="str">
        <f t="shared" si="143"/>
        <v/>
      </c>
      <c r="AD844" s="10" t="str">
        <f t="shared" si="144"/>
        <v/>
      </c>
      <c r="AE844" s="9" t="str">
        <f t="shared" si="145"/>
        <v/>
      </c>
      <c r="AF844" s="10" t="str">
        <f t="shared" si="146"/>
        <v/>
      </c>
      <c r="AG844" s="10" t="str">
        <f t="shared" si="147"/>
        <v/>
      </c>
      <c r="AH844" s="10" t="str">
        <f t="shared" si="148"/>
        <v/>
      </c>
      <c r="AI844" s="10" t="str">
        <f t="shared" si="149"/>
        <v/>
      </c>
      <c r="AJ844" s="10" t="str">
        <f t="shared" si="150"/>
        <v/>
      </c>
      <c r="AK844" s="10" t="str">
        <f t="shared" si="151"/>
        <v/>
      </c>
      <c r="AL844" s="14" t="str">
        <f t="shared" si="152"/>
        <v/>
      </c>
    </row>
    <row r="845" spans="1:38" x14ac:dyDescent="0.2">
      <c r="A845"/>
      <c r="B845" t="str">
        <f>IF($A845="","",VLOOKUP($A845,JupData!$A$2:$I$10000,4,FALSE))</f>
        <v/>
      </c>
      <c r="C845" s="7" t="str">
        <f>IF($A845="",IF(N(D845),0,""),VLOOKUP($A845,JupData!$A$2:$I$10000,7,FALSE))</f>
        <v/>
      </c>
      <c r="D845" t="str">
        <f t="shared" si="153"/>
        <v/>
      </c>
      <c r="E845" t="str">
        <f t="array" ref="E845">IF($A845="","",INDEX(JupData!$A$2:$K$10000,MATCH($A845&amp;E$1,JupData!$A$2:$A$10000&amp;JupData!$J$2:$J$10000,0),11))</f>
        <v/>
      </c>
      <c r="F845" t="str">
        <f t="array" ref="F845">IF($A845="","",INDEX(JupData!$A$2:$K$10000,MATCH($A845&amp;F$1,JupData!$A$2:$A$10000&amp;JupData!$J$2:$J$10000,0),11))</f>
        <v/>
      </c>
      <c r="G845" t="str">
        <f t="array" ref="G845">IF($A845="","",INDEX(JupData!$A$2:$K$10000,MATCH($A845&amp;G$1,JupData!$A$2:$A$10000&amp;JupData!$J$2:$J$10000,0),11))</f>
        <v/>
      </c>
      <c r="H845" t="str">
        <f t="array" ref="H845">IF($A845="","",INDEX(JupData!$A$2:$K$10000,MATCH($A845&amp;H$1,JupData!$A$2:$A$10000&amp;JupData!$J$2:$J$10000,0),11))</f>
        <v/>
      </c>
      <c r="I845" t="str">
        <f t="array" ref="I845">IF($A845="","",INDEX(JupData!$A$2:$K$10000,MATCH($A845&amp;I$1,JupData!$A$2:$A$10000&amp;JupData!$J$2:$J$10000,0),11))</f>
        <v/>
      </c>
      <c r="J845" t="str">
        <f t="array" ref="J845">IF($A845="","",INDEX(JupData!$A$2:$K$10000,MATCH($A845&amp;J$1,JupData!$A$2:$A$10000&amp;JupData!$J$2:$J$10000,0),11))</f>
        <v/>
      </c>
      <c r="K845" t="str">
        <f t="array" ref="K845">IF($A845="","",INDEX(JupData!$A$2:$K$10000,MATCH($A845&amp;K$1,JupData!$A$2:$A$10000&amp;JupData!$J$2:$J$10000,0),11))</f>
        <v/>
      </c>
      <c r="L845" t="str">
        <f t="array" ref="L845">IF($A845="","",INDEX(JupData!$A$2:$K$10000,MATCH($A845&amp;L$1,JupData!$A$2:$A$10000&amp;JupData!$J$2:$J$10000,0),11))</f>
        <v/>
      </c>
      <c r="M845" t="str">
        <f t="array" ref="M845">IF($A845="","",INDEX(JupData!$A$2:$K$10000,MATCH($A845&amp;M$1,JupData!$A$2:$A$10000&amp;JupData!$J$2:$J$10000,0),11))</f>
        <v/>
      </c>
      <c r="N845" t="str">
        <f t="array" ref="N845">IF($A845="","",INDEX(JupData!$A$2:$K$10000,MATCH($A845&amp;N$1,JupData!$A$2:$A$10000&amp;JupData!$J$2:$J$10000,0),11))</f>
        <v/>
      </c>
      <c r="O845" t="str">
        <f t="array" ref="O845">IF($A845="","",INDEX(JupData!$A$2:$K$10000,MATCH($A845&amp;O$1,JupData!$A$2:$A$10000&amp;JupData!$J$2:$J$10000,0),11))</f>
        <v/>
      </c>
      <c r="P845" t="str">
        <f t="array" ref="P845">IF($A845="","",INDEX(JupData!$A$2:$K$10000,MATCH($A845&amp;P$1,JupData!$A$2:$A$10000&amp;JupData!$J$2:$J$10000,0),11))</f>
        <v/>
      </c>
      <c r="Q845" t="str">
        <f t="array" ref="Q845">IF($A845="","",INDEX(JupData!$A$2:$K$10000,MATCH($A845&amp;Q$1,JupData!$A$2:$A$10000&amp;JupData!$J$2:$J$10000,0),11))</f>
        <v/>
      </c>
      <c r="R845" t="str">
        <f t="array" ref="R845">IF($A845="","",INDEX(JupData!$A$2:$K$10000,MATCH($A845&amp;R$1,JupData!$A$2:$A$10000&amp;JupData!$J$2:$J$10000,0),11))</f>
        <v/>
      </c>
      <c r="S845" t="str">
        <f t="array" ref="S845">IF($A845="","",INDEX(JupData!$A$2:$K$10000,MATCH($A845&amp;S$1,JupData!$A$2:$A$10000&amp;JupData!$J$2:$J$10000,0),11))</f>
        <v/>
      </c>
      <c r="T845" t="str">
        <f t="array" ref="T845">IF($A845="","",INDEX(JupData!$A$2:$K$10000,MATCH($A845&amp;T$1,JupData!$A$2:$A$10000&amp;JupData!$J$2:$J$10000,0),11))</f>
        <v/>
      </c>
      <c r="U845" t="str">
        <f t="array" ref="U845">IF($A845="","",INDEX(JupData!$A$2:$K$10000,MATCH($A845&amp;U$1,JupData!$A$2:$A$10000&amp;JupData!$J$2:$J$10000,0),11))</f>
        <v/>
      </c>
      <c r="V845" t="str">
        <f t="array" ref="V845">IF($A845="","",INDEX(JupData!$A$2:$K$10000,MATCH($A845&amp;V$1,JupData!$A$2:$A$10000&amp;JupData!$J$2:$J$10000,0),11))</f>
        <v/>
      </c>
      <c r="W845" t="str">
        <f t="array" ref="W845">IF($A845="","",INDEX(JupData!$A$2:$K$10000,MATCH($A845&amp;W$1,JupData!$A$2:$A$10000&amp;JupData!$J$2:$J$10000,0),11))</f>
        <v/>
      </c>
      <c r="X845" t="str">
        <f t="array" ref="X845">IF($A845="","",INDEX(JupData!$A$2:$K$10000,MATCH($A845&amp;X$1,JupData!$A$2:$A$10000&amp;JupData!$J$2:$J$10000,0),11))</f>
        <v/>
      </c>
      <c r="Y845" t="str">
        <f t="array" ref="Y845">IF($A845="","",INDEX(JupData!$A$2:$K$10000,MATCH($A845&amp;Y$1,JupData!$A$2:$A$10000&amp;JupData!$J$2:$J$10000,0),11))</f>
        <v/>
      </c>
      <c r="Z845" t="str">
        <f t="array" ref="Z845">IF($A845="","",INDEX(JupData!$A$2:$K$10000,MATCH($A845&amp;Z$1,JupData!$A$2:$A$10000&amp;JupData!$J$2:$J$10000,0),11))</f>
        <v/>
      </c>
      <c r="AA845" t="str">
        <f t="array" ref="AA845">IF($A845="","",INDEX(JupData!$A$2:$K$10000,MATCH($A845&amp;AA$1,JupData!$A$2:$A$10000&amp;JupData!$J$2:$J$10000,0),11))</f>
        <v/>
      </c>
      <c r="AB845" t="str">
        <f t="array" ref="AB845">IF($A845="","",INDEX(JupData!$A$2:$K$10000,MATCH($A845&amp;AB$1,JupData!$A$2:$A$10000&amp;JupData!$J$2:$J$10000,0),11))</f>
        <v/>
      </c>
      <c r="AC845" s="10" t="str">
        <f t="shared" si="143"/>
        <v/>
      </c>
      <c r="AD845" s="10" t="str">
        <f t="shared" si="144"/>
        <v/>
      </c>
      <c r="AE845" s="9" t="str">
        <f t="shared" si="145"/>
        <v/>
      </c>
      <c r="AF845" s="10" t="str">
        <f t="shared" si="146"/>
        <v/>
      </c>
      <c r="AG845" s="10" t="str">
        <f t="shared" si="147"/>
        <v/>
      </c>
      <c r="AH845" s="10" t="str">
        <f t="shared" si="148"/>
        <v/>
      </c>
      <c r="AI845" s="10" t="str">
        <f t="shared" si="149"/>
        <v/>
      </c>
      <c r="AJ845" s="10" t="str">
        <f t="shared" si="150"/>
        <v/>
      </c>
      <c r="AK845" s="10" t="str">
        <f t="shared" si="151"/>
        <v/>
      </c>
      <c r="AL845" s="14" t="str">
        <f t="shared" si="152"/>
        <v/>
      </c>
    </row>
    <row r="846" spans="1:38" x14ac:dyDescent="0.2">
      <c r="A846"/>
      <c r="B846" t="str">
        <f>IF($A846="","",VLOOKUP($A846,JupData!$A$2:$I$10000,4,FALSE))</f>
        <v/>
      </c>
      <c r="C846" s="7" t="str">
        <f>IF($A846="",IF(N(D846),0,""),VLOOKUP($A846,JupData!$A$2:$I$10000,7,FALSE))</f>
        <v/>
      </c>
      <c r="D846" t="str">
        <f t="shared" si="153"/>
        <v/>
      </c>
      <c r="E846" t="str">
        <f t="array" ref="E846">IF($A846="","",INDEX(JupData!$A$2:$K$10000,MATCH($A846&amp;E$1,JupData!$A$2:$A$10000&amp;JupData!$J$2:$J$10000,0),11))</f>
        <v/>
      </c>
      <c r="F846" t="str">
        <f t="array" ref="F846">IF($A846="","",INDEX(JupData!$A$2:$K$10000,MATCH($A846&amp;F$1,JupData!$A$2:$A$10000&amp;JupData!$J$2:$J$10000,0),11))</f>
        <v/>
      </c>
      <c r="G846" t="str">
        <f t="array" ref="G846">IF($A846="","",INDEX(JupData!$A$2:$K$10000,MATCH($A846&amp;G$1,JupData!$A$2:$A$10000&amp;JupData!$J$2:$J$10000,0),11))</f>
        <v/>
      </c>
      <c r="H846" t="str">
        <f t="array" ref="H846">IF($A846="","",INDEX(JupData!$A$2:$K$10000,MATCH($A846&amp;H$1,JupData!$A$2:$A$10000&amp;JupData!$J$2:$J$10000,0),11))</f>
        <v/>
      </c>
      <c r="I846" t="str">
        <f t="array" ref="I846">IF($A846="","",INDEX(JupData!$A$2:$K$10000,MATCH($A846&amp;I$1,JupData!$A$2:$A$10000&amp;JupData!$J$2:$J$10000,0),11))</f>
        <v/>
      </c>
      <c r="J846" t="str">
        <f t="array" ref="J846">IF($A846="","",INDEX(JupData!$A$2:$K$10000,MATCH($A846&amp;J$1,JupData!$A$2:$A$10000&amp;JupData!$J$2:$J$10000,0),11))</f>
        <v/>
      </c>
      <c r="K846" t="str">
        <f t="array" ref="K846">IF($A846="","",INDEX(JupData!$A$2:$K$10000,MATCH($A846&amp;K$1,JupData!$A$2:$A$10000&amp;JupData!$J$2:$J$10000,0),11))</f>
        <v/>
      </c>
      <c r="L846" t="str">
        <f t="array" ref="L846">IF($A846="","",INDEX(JupData!$A$2:$K$10000,MATCH($A846&amp;L$1,JupData!$A$2:$A$10000&amp;JupData!$J$2:$J$10000,0),11))</f>
        <v/>
      </c>
      <c r="M846" t="str">
        <f t="array" ref="M846">IF($A846="","",INDEX(JupData!$A$2:$K$10000,MATCH($A846&amp;M$1,JupData!$A$2:$A$10000&amp;JupData!$J$2:$J$10000,0),11))</f>
        <v/>
      </c>
      <c r="N846" t="str">
        <f t="array" ref="N846">IF($A846="","",INDEX(JupData!$A$2:$K$10000,MATCH($A846&amp;N$1,JupData!$A$2:$A$10000&amp;JupData!$J$2:$J$10000,0),11))</f>
        <v/>
      </c>
      <c r="O846" t="str">
        <f t="array" ref="O846">IF($A846="","",INDEX(JupData!$A$2:$K$10000,MATCH($A846&amp;O$1,JupData!$A$2:$A$10000&amp;JupData!$J$2:$J$10000,0),11))</f>
        <v/>
      </c>
      <c r="P846" t="str">
        <f t="array" ref="P846">IF($A846="","",INDEX(JupData!$A$2:$K$10000,MATCH($A846&amp;P$1,JupData!$A$2:$A$10000&amp;JupData!$J$2:$J$10000,0),11))</f>
        <v/>
      </c>
      <c r="Q846" t="str">
        <f t="array" ref="Q846">IF($A846="","",INDEX(JupData!$A$2:$K$10000,MATCH($A846&amp;Q$1,JupData!$A$2:$A$10000&amp;JupData!$J$2:$J$10000,0),11))</f>
        <v/>
      </c>
      <c r="R846" t="str">
        <f t="array" ref="R846">IF($A846="","",INDEX(JupData!$A$2:$K$10000,MATCH($A846&amp;R$1,JupData!$A$2:$A$10000&amp;JupData!$J$2:$J$10000,0),11))</f>
        <v/>
      </c>
      <c r="S846" t="str">
        <f t="array" ref="S846">IF($A846="","",INDEX(JupData!$A$2:$K$10000,MATCH($A846&amp;S$1,JupData!$A$2:$A$10000&amp;JupData!$J$2:$J$10000,0),11))</f>
        <v/>
      </c>
      <c r="T846" t="str">
        <f t="array" ref="T846">IF($A846="","",INDEX(JupData!$A$2:$K$10000,MATCH($A846&amp;T$1,JupData!$A$2:$A$10000&amp;JupData!$J$2:$J$10000,0),11))</f>
        <v/>
      </c>
      <c r="U846" t="str">
        <f t="array" ref="U846">IF($A846="","",INDEX(JupData!$A$2:$K$10000,MATCH($A846&amp;U$1,JupData!$A$2:$A$10000&amp;JupData!$J$2:$J$10000,0),11))</f>
        <v/>
      </c>
      <c r="V846" t="str">
        <f t="array" ref="V846">IF($A846="","",INDEX(JupData!$A$2:$K$10000,MATCH($A846&amp;V$1,JupData!$A$2:$A$10000&amp;JupData!$J$2:$J$10000,0),11))</f>
        <v/>
      </c>
      <c r="W846" t="str">
        <f t="array" ref="W846">IF($A846="","",INDEX(JupData!$A$2:$K$10000,MATCH($A846&amp;W$1,JupData!$A$2:$A$10000&amp;JupData!$J$2:$J$10000,0),11))</f>
        <v/>
      </c>
      <c r="X846" t="str">
        <f t="array" ref="X846">IF($A846="","",INDEX(JupData!$A$2:$K$10000,MATCH($A846&amp;X$1,JupData!$A$2:$A$10000&amp;JupData!$J$2:$J$10000,0),11))</f>
        <v/>
      </c>
      <c r="Y846" t="str">
        <f t="array" ref="Y846">IF($A846="","",INDEX(JupData!$A$2:$K$10000,MATCH($A846&amp;Y$1,JupData!$A$2:$A$10000&amp;JupData!$J$2:$J$10000,0),11))</f>
        <v/>
      </c>
      <c r="Z846" t="str">
        <f t="array" ref="Z846">IF($A846="","",INDEX(JupData!$A$2:$K$10000,MATCH($A846&amp;Z$1,JupData!$A$2:$A$10000&amp;JupData!$J$2:$J$10000,0),11))</f>
        <v/>
      </c>
      <c r="AA846" t="str">
        <f t="array" ref="AA846">IF($A846="","",INDEX(JupData!$A$2:$K$10000,MATCH($A846&amp;AA$1,JupData!$A$2:$A$10000&amp;JupData!$J$2:$J$10000,0),11))</f>
        <v/>
      </c>
      <c r="AB846" t="str">
        <f t="array" ref="AB846">IF($A846="","",INDEX(JupData!$A$2:$K$10000,MATCH($A846&amp;AB$1,JupData!$A$2:$A$10000&amp;JupData!$J$2:$J$10000,0),11))</f>
        <v/>
      </c>
      <c r="AC846" s="10" t="str">
        <f t="shared" si="143"/>
        <v/>
      </c>
      <c r="AD846" s="10" t="str">
        <f t="shared" si="144"/>
        <v/>
      </c>
      <c r="AE846" s="9" t="str">
        <f t="shared" si="145"/>
        <v/>
      </c>
      <c r="AF846" s="10" t="str">
        <f t="shared" si="146"/>
        <v/>
      </c>
      <c r="AG846" s="10" t="str">
        <f t="shared" si="147"/>
        <v/>
      </c>
      <c r="AH846" s="10" t="str">
        <f t="shared" si="148"/>
        <v/>
      </c>
      <c r="AI846" s="10" t="str">
        <f t="shared" si="149"/>
        <v/>
      </c>
      <c r="AJ846" s="10" t="str">
        <f t="shared" si="150"/>
        <v/>
      </c>
      <c r="AK846" s="10" t="str">
        <f t="shared" si="151"/>
        <v/>
      </c>
      <c r="AL846" s="14" t="str">
        <f t="shared" si="152"/>
        <v/>
      </c>
    </row>
    <row r="847" spans="1:38" x14ac:dyDescent="0.2">
      <c r="A847"/>
      <c r="B847" t="str">
        <f>IF($A847="","",VLOOKUP($A847,JupData!$A$2:$I$10000,4,FALSE))</f>
        <v/>
      </c>
      <c r="C847" s="7" t="str">
        <f>IF($A847="",IF(N(D847),0,""),VLOOKUP($A847,JupData!$A$2:$I$10000,7,FALSE))</f>
        <v/>
      </c>
      <c r="D847" t="str">
        <f t="shared" si="153"/>
        <v/>
      </c>
      <c r="E847" t="str">
        <f t="array" ref="E847">IF($A847="","",INDEX(JupData!$A$2:$K$10000,MATCH($A847&amp;E$1,JupData!$A$2:$A$10000&amp;JupData!$J$2:$J$10000,0),11))</f>
        <v/>
      </c>
      <c r="F847" t="str">
        <f t="array" ref="F847">IF($A847="","",INDEX(JupData!$A$2:$K$10000,MATCH($A847&amp;F$1,JupData!$A$2:$A$10000&amp;JupData!$J$2:$J$10000,0),11))</f>
        <v/>
      </c>
      <c r="G847" t="str">
        <f t="array" ref="G847">IF($A847="","",INDEX(JupData!$A$2:$K$10000,MATCH($A847&amp;G$1,JupData!$A$2:$A$10000&amp;JupData!$J$2:$J$10000,0),11))</f>
        <v/>
      </c>
      <c r="H847" t="str">
        <f t="array" ref="H847">IF($A847="","",INDEX(JupData!$A$2:$K$10000,MATCH($A847&amp;H$1,JupData!$A$2:$A$10000&amp;JupData!$J$2:$J$10000,0),11))</f>
        <v/>
      </c>
      <c r="I847" t="str">
        <f t="array" ref="I847">IF($A847="","",INDEX(JupData!$A$2:$K$10000,MATCH($A847&amp;I$1,JupData!$A$2:$A$10000&amp;JupData!$J$2:$J$10000,0),11))</f>
        <v/>
      </c>
      <c r="J847" t="str">
        <f t="array" ref="J847">IF($A847="","",INDEX(JupData!$A$2:$K$10000,MATCH($A847&amp;J$1,JupData!$A$2:$A$10000&amp;JupData!$J$2:$J$10000,0),11))</f>
        <v/>
      </c>
      <c r="K847" t="str">
        <f t="array" ref="K847">IF($A847="","",INDEX(JupData!$A$2:$K$10000,MATCH($A847&amp;K$1,JupData!$A$2:$A$10000&amp;JupData!$J$2:$J$10000,0),11))</f>
        <v/>
      </c>
      <c r="L847" t="str">
        <f t="array" ref="L847">IF($A847="","",INDEX(JupData!$A$2:$K$10000,MATCH($A847&amp;L$1,JupData!$A$2:$A$10000&amp;JupData!$J$2:$J$10000,0),11))</f>
        <v/>
      </c>
      <c r="M847" t="str">
        <f t="array" ref="M847">IF($A847="","",INDEX(JupData!$A$2:$K$10000,MATCH($A847&amp;M$1,JupData!$A$2:$A$10000&amp;JupData!$J$2:$J$10000,0),11))</f>
        <v/>
      </c>
      <c r="N847" t="str">
        <f t="array" ref="N847">IF($A847="","",INDEX(JupData!$A$2:$K$10000,MATCH($A847&amp;N$1,JupData!$A$2:$A$10000&amp;JupData!$J$2:$J$10000,0),11))</f>
        <v/>
      </c>
      <c r="O847" t="str">
        <f t="array" ref="O847">IF($A847="","",INDEX(JupData!$A$2:$K$10000,MATCH($A847&amp;O$1,JupData!$A$2:$A$10000&amp;JupData!$J$2:$J$10000,0),11))</f>
        <v/>
      </c>
      <c r="P847" t="str">
        <f t="array" ref="P847">IF($A847="","",INDEX(JupData!$A$2:$K$10000,MATCH($A847&amp;P$1,JupData!$A$2:$A$10000&amp;JupData!$J$2:$J$10000,0),11))</f>
        <v/>
      </c>
      <c r="Q847" t="str">
        <f t="array" ref="Q847">IF($A847="","",INDEX(JupData!$A$2:$K$10000,MATCH($A847&amp;Q$1,JupData!$A$2:$A$10000&amp;JupData!$J$2:$J$10000,0),11))</f>
        <v/>
      </c>
      <c r="R847" t="str">
        <f t="array" ref="R847">IF($A847="","",INDEX(JupData!$A$2:$K$10000,MATCH($A847&amp;R$1,JupData!$A$2:$A$10000&amp;JupData!$J$2:$J$10000,0),11))</f>
        <v/>
      </c>
      <c r="S847" t="str">
        <f t="array" ref="S847">IF($A847="","",INDEX(JupData!$A$2:$K$10000,MATCH($A847&amp;S$1,JupData!$A$2:$A$10000&amp;JupData!$J$2:$J$10000,0),11))</f>
        <v/>
      </c>
      <c r="T847" t="str">
        <f t="array" ref="T847">IF($A847="","",INDEX(JupData!$A$2:$K$10000,MATCH($A847&amp;T$1,JupData!$A$2:$A$10000&amp;JupData!$J$2:$J$10000,0),11))</f>
        <v/>
      </c>
      <c r="U847" t="str">
        <f t="array" ref="U847">IF($A847="","",INDEX(JupData!$A$2:$K$10000,MATCH($A847&amp;U$1,JupData!$A$2:$A$10000&amp;JupData!$J$2:$J$10000,0),11))</f>
        <v/>
      </c>
      <c r="V847" t="str">
        <f t="array" ref="V847">IF($A847="","",INDEX(JupData!$A$2:$K$10000,MATCH($A847&amp;V$1,JupData!$A$2:$A$10000&amp;JupData!$J$2:$J$10000,0),11))</f>
        <v/>
      </c>
      <c r="W847" t="str">
        <f t="array" ref="W847">IF($A847="","",INDEX(JupData!$A$2:$K$10000,MATCH($A847&amp;W$1,JupData!$A$2:$A$10000&amp;JupData!$J$2:$J$10000,0),11))</f>
        <v/>
      </c>
      <c r="X847" t="str">
        <f t="array" ref="X847">IF($A847="","",INDEX(JupData!$A$2:$K$10000,MATCH($A847&amp;X$1,JupData!$A$2:$A$10000&amp;JupData!$J$2:$J$10000,0),11))</f>
        <v/>
      </c>
      <c r="Y847" t="str">
        <f t="array" ref="Y847">IF($A847="","",INDEX(JupData!$A$2:$K$10000,MATCH($A847&amp;Y$1,JupData!$A$2:$A$10000&amp;JupData!$J$2:$J$10000,0),11))</f>
        <v/>
      </c>
      <c r="Z847" t="str">
        <f t="array" ref="Z847">IF($A847="","",INDEX(JupData!$A$2:$K$10000,MATCH($A847&amp;Z$1,JupData!$A$2:$A$10000&amp;JupData!$J$2:$J$10000,0),11))</f>
        <v/>
      </c>
      <c r="AA847" t="str">
        <f t="array" ref="AA847">IF($A847="","",INDEX(JupData!$A$2:$K$10000,MATCH($A847&amp;AA$1,JupData!$A$2:$A$10000&amp;JupData!$J$2:$J$10000,0),11))</f>
        <v/>
      </c>
      <c r="AB847" t="str">
        <f t="array" ref="AB847">IF($A847="","",INDEX(JupData!$A$2:$K$10000,MATCH($A847&amp;AB$1,JupData!$A$2:$A$10000&amp;JupData!$J$2:$J$10000,0),11))</f>
        <v/>
      </c>
      <c r="AC847" s="10" t="str">
        <f t="shared" si="143"/>
        <v/>
      </c>
      <c r="AD847" s="10" t="str">
        <f t="shared" si="144"/>
        <v/>
      </c>
      <c r="AE847" s="9" t="str">
        <f t="shared" si="145"/>
        <v/>
      </c>
      <c r="AF847" s="10" t="str">
        <f t="shared" si="146"/>
        <v/>
      </c>
      <c r="AG847" s="10" t="str">
        <f t="shared" si="147"/>
        <v/>
      </c>
      <c r="AH847" s="10" t="str">
        <f t="shared" si="148"/>
        <v/>
      </c>
      <c r="AI847" s="10" t="str">
        <f t="shared" si="149"/>
        <v/>
      </c>
      <c r="AJ847" s="10" t="str">
        <f t="shared" si="150"/>
        <v/>
      </c>
      <c r="AK847" s="10" t="str">
        <f t="shared" si="151"/>
        <v/>
      </c>
      <c r="AL847" s="14" t="str">
        <f t="shared" si="152"/>
        <v/>
      </c>
    </row>
    <row r="848" spans="1:38" x14ac:dyDescent="0.2">
      <c r="A848"/>
      <c r="B848" t="str">
        <f>IF($A848="","",VLOOKUP($A848,JupData!$A$2:$I$10000,4,FALSE))</f>
        <v/>
      </c>
      <c r="C848" s="7" t="str">
        <f>IF($A848="",IF(N(D848),0,""),VLOOKUP($A848,JupData!$A$2:$I$10000,7,FALSE))</f>
        <v/>
      </c>
      <c r="D848" t="str">
        <f t="shared" si="153"/>
        <v/>
      </c>
      <c r="E848" t="str">
        <f t="array" ref="E848">IF($A848="","",INDEX(JupData!$A$2:$K$10000,MATCH($A848&amp;E$1,JupData!$A$2:$A$10000&amp;JupData!$J$2:$J$10000,0),11))</f>
        <v/>
      </c>
      <c r="F848" t="str">
        <f t="array" ref="F848">IF($A848="","",INDEX(JupData!$A$2:$K$10000,MATCH($A848&amp;F$1,JupData!$A$2:$A$10000&amp;JupData!$J$2:$J$10000,0),11))</f>
        <v/>
      </c>
      <c r="G848" t="str">
        <f t="array" ref="G848">IF($A848="","",INDEX(JupData!$A$2:$K$10000,MATCH($A848&amp;G$1,JupData!$A$2:$A$10000&amp;JupData!$J$2:$J$10000,0),11))</f>
        <v/>
      </c>
      <c r="H848" t="str">
        <f t="array" ref="H848">IF($A848="","",INDEX(JupData!$A$2:$K$10000,MATCH($A848&amp;H$1,JupData!$A$2:$A$10000&amp;JupData!$J$2:$J$10000,0),11))</f>
        <v/>
      </c>
      <c r="I848" t="str">
        <f t="array" ref="I848">IF($A848="","",INDEX(JupData!$A$2:$K$10000,MATCH($A848&amp;I$1,JupData!$A$2:$A$10000&amp;JupData!$J$2:$J$10000,0),11))</f>
        <v/>
      </c>
      <c r="J848" t="str">
        <f t="array" ref="J848">IF($A848="","",INDEX(JupData!$A$2:$K$10000,MATCH($A848&amp;J$1,JupData!$A$2:$A$10000&amp;JupData!$J$2:$J$10000,0),11))</f>
        <v/>
      </c>
      <c r="K848" t="str">
        <f t="array" ref="K848">IF($A848="","",INDEX(JupData!$A$2:$K$10000,MATCH($A848&amp;K$1,JupData!$A$2:$A$10000&amp;JupData!$J$2:$J$10000,0),11))</f>
        <v/>
      </c>
      <c r="L848" t="str">
        <f t="array" ref="L848">IF($A848="","",INDEX(JupData!$A$2:$K$10000,MATCH($A848&amp;L$1,JupData!$A$2:$A$10000&amp;JupData!$J$2:$J$10000,0),11))</f>
        <v/>
      </c>
      <c r="M848" t="str">
        <f t="array" ref="M848">IF($A848="","",INDEX(JupData!$A$2:$K$10000,MATCH($A848&amp;M$1,JupData!$A$2:$A$10000&amp;JupData!$J$2:$J$10000,0),11))</f>
        <v/>
      </c>
      <c r="N848" t="str">
        <f t="array" ref="N848">IF($A848="","",INDEX(JupData!$A$2:$K$10000,MATCH($A848&amp;N$1,JupData!$A$2:$A$10000&amp;JupData!$J$2:$J$10000,0),11))</f>
        <v/>
      </c>
      <c r="O848" t="str">
        <f t="array" ref="O848">IF($A848="","",INDEX(JupData!$A$2:$K$10000,MATCH($A848&amp;O$1,JupData!$A$2:$A$10000&amp;JupData!$J$2:$J$10000,0),11))</f>
        <v/>
      </c>
      <c r="P848" t="str">
        <f t="array" ref="P848">IF($A848="","",INDEX(JupData!$A$2:$K$10000,MATCH($A848&amp;P$1,JupData!$A$2:$A$10000&amp;JupData!$J$2:$J$10000,0),11))</f>
        <v/>
      </c>
      <c r="Q848" t="str">
        <f t="array" ref="Q848">IF($A848="","",INDEX(JupData!$A$2:$K$10000,MATCH($A848&amp;Q$1,JupData!$A$2:$A$10000&amp;JupData!$J$2:$J$10000,0),11))</f>
        <v/>
      </c>
      <c r="R848" t="str">
        <f t="array" ref="R848">IF($A848="","",INDEX(JupData!$A$2:$K$10000,MATCH($A848&amp;R$1,JupData!$A$2:$A$10000&amp;JupData!$J$2:$J$10000,0),11))</f>
        <v/>
      </c>
      <c r="S848" t="str">
        <f t="array" ref="S848">IF($A848="","",INDEX(JupData!$A$2:$K$10000,MATCH($A848&amp;S$1,JupData!$A$2:$A$10000&amp;JupData!$J$2:$J$10000,0),11))</f>
        <v/>
      </c>
      <c r="T848" t="str">
        <f t="array" ref="T848">IF($A848="","",INDEX(JupData!$A$2:$K$10000,MATCH($A848&amp;T$1,JupData!$A$2:$A$10000&amp;JupData!$J$2:$J$10000,0),11))</f>
        <v/>
      </c>
      <c r="U848" t="str">
        <f t="array" ref="U848">IF($A848="","",INDEX(JupData!$A$2:$K$10000,MATCH($A848&amp;U$1,JupData!$A$2:$A$10000&amp;JupData!$J$2:$J$10000,0),11))</f>
        <v/>
      </c>
      <c r="V848" t="str">
        <f t="array" ref="V848">IF($A848="","",INDEX(JupData!$A$2:$K$10000,MATCH($A848&amp;V$1,JupData!$A$2:$A$10000&amp;JupData!$J$2:$J$10000,0),11))</f>
        <v/>
      </c>
      <c r="W848" t="str">
        <f t="array" ref="W848">IF($A848="","",INDEX(JupData!$A$2:$K$10000,MATCH($A848&amp;W$1,JupData!$A$2:$A$10000&amp;JupData!$J$2:$J$10000,0),11))</f>
        <v/>
      </c>
      <c r="X848" t="str">
        <f t="array" ref="X848">IF($A848="","",INDEX(JupData!$A$2:$K$10000,MATCH($A848&amp;X$1,JupData!$A$2:$A$10000&amp;JupData!$J$2:$J$10000,0),11))</f>
        <v/>
      </c>
      <c r="Y848" t="str">
        <f t="array" ref="Y848">IF($A848="","",INDEX(JupData!$A$2:$K$10000,MATCH($A848&amp;Y$1,JupData!$A$2:$A$10000&amp;JupData!$J$2:$J$10000,0),11))</f>
        <v/>
      </c>
      <c r="Z848" t="str">
        <f t="array" ref="Z848">IF($A848="","",INDEX(JupData!$A$2:$K$10000,MATCH($A848&amp;Z$1,JupData!$A$2:$A$10000&amp;JupData!$J$2:$J$10000,0),11))</f>
        <v/>
      </c>
      <c r="AA848" t="str">
        <f t="array" ref="AA848">IF($A848="","",INDEX(JupData!$A$2:$K$10000,MATCH($A848&amp;AA$1,JupData!$A$2:$A$10000&amp;JupData!$J$2:$J$10000,0),11))</f>
        <v/>
      </c>
      <c r="AB848" t="str">
        <f t="array" ref="AB848">IF($A848="","",INDEX(JupData!$A$2:$K$10000,MATCH($A848&amp;AB$1,JupData!$A$2:$A$10000&amp;JupData!$J$2:$J$10000,0),11))</f>
        <v/>
      </c>
      <c r="AC848" s="10" t="str">
        <f t="shared" si="143"/>
        <v/>
      </c>
      <c r="AD848" s="10" t="str">
        <f t="shared" si="144"/>
        <v/>
      </c>
      <c r="AE848" s="9" t="str">
        <f t="shared" si="145"/>
        <v/>
      </c>
      <c r="AF848" s="10" t="str">
        <f t="shared" si="146"/>
        <v/>
      </c>
      <c r="AG848" s="10" t="str">
        <f t="shared" si="147"/>
        <v/>
      </c>
      <c r="AH848" s="10" t="str">
        <f t="shared" si="148"/>
        <v/>
      </c>
      <c r="AI848" s="10" t="str">
        <f t="shared" si="149"/>
        <v/>
      </c>
      <c r="AJ848" s="10" t="str">
        <f t="shared" si="150"/>
        <v/>
      </c>
      <c r="AK848" s="10" t="str">
        <f t="shared" si="151"/>
        <v/>
      </c>
      <c r="AL848" s="14" t="str">
        <f t="shared" si="152"/>
        <v/>
      </c>
    </row>
    <row r="849" spans="1:38" x14ac:dyDescent="0.2">
      <c r="A849"/>
      <c r="B849" t="str">
        <f>IF($A849="","",VLOOKUP($A849,JupData!$A$2:$I$10000,4,FALSE))</f>
        <v/>
      </c>
      <c r="C849" s="7" t="str">
        <f>IF($A849="",IF(N(D849),0,""),VLOOKUP($A849,JupData!$A$2:$I$10000,7,FALSE))</f>
        <v/>
      </c>
      <c r="D849" t="str">
        <f t="shared" si="153"/>
        <v/>
      </c>
      <c r="E849" t="str">
        <f t="array" ref="E849">IF($A849="","",INDEX(JupData!$A$2:$K$10000,MATCH($A849&amp;E$1,JupData!$A$2:$A$10000&amp;JupData!$J$2:$J$10000,0),11))</f>
        <v/>
      </c>
      <c r="F849" t="str">
        <f t="array" ref="F849">IF($A849="","",INDEX(JupData!$A$2:$K$10000,MATCH($A849&amp;F$1,JupData!$A$2:$A$10000&amp;JupData!$J$2:$J$10000,0),11))</f>
        <v/>
      </c>
      <c r="G849" t="str">
        <f t="array" ref="G849">IF($A849="","",INDEX(JupData!$A$2:$K$10000,MATCH($A849&amp;G$1,JupData!$A$2:$A$10000&amp;JupData!$J$2:$J$10000,0),11))</f>
        <v/>
      </c>
      <c r="H849" t="str">
        <f t="array" ref="H849">IF($A849="","",INDEX(JupData!$A$2:$K$10000,MATCH($A849&amp;H$1,JupData!$A$2:$A$10000&amp;JupData!$J$2:$J$10000,0),11))</f>
        <v/>
      </c>
      <c r="I849" t="str">
        <f t="array" ref="I849">IF($A849="","",INDEX(JupData!$A$2:$K$10000,MATCH($A849&amp;I$1,JupData!$A$2:$A$10000&amp;JupData!$J$2:$J$10000,0),11))</f>
        <v/>
      </c>
      <c r="J849" t="str">
        <f t="array" ref="J849">IF($A849="","",INDEX(JupData!$A$2:$K$10000,MATCH($A849&amp;J$1,JupData!$A$2:$A$10000&amp;JupData!$J$2:$J$10000,0),11))</f>
        <v/>
      </c>
      <c r="K849" t="str">
        <f t="array" ref="K849">IF($A849="","",INDEX(JupData!$A$2:$K$10000,MATCH($A849&amp;K$1,JupData!$A$2:$A$10000&amp;JupData!$J$2:$J$10000,0),11))</f>
        <v/>
      </c>
      <c r="L849" t="str">
        <f t="array" ref="L849">IF($A849="","",INDEX(JupData!$A$2:$K$10000,MATCH($A849&amp;L$1,JupData!$A$2:$A$10000&amp;JupData!$J$2:$J$10000,0),11))</f>
        <v/>
      </c>
      <c r="M849" t="str">
        <f t="array" ref="M849">IF($A849="","",INDEX(JupData!$A$2:$K$10000,MATCH($A849&amp;M$1,JupData!$A$2:$A$10000&amp;JupData!$J$2:$J$10000,0),11))</f>
        <v/>
      </c>
      <c r="N849" t="str">
        <f t="array" ref="N849">IF($A849="","",INDEX(JupData!$A$2:$K$10000,MATCH($A849&amp;N$1,JupData!$A$2:$A$10000&amp;JupData!$J$2:$J$10000,0),11))</f>
        <v/>
      </c>
      <c r="O849" t="str">
        <f t="array" ref="O849">IF($A849="","",INDEX(JupData!$A$2:$K$10000,MATCH($A849&amp;O$1,JupData!$A$2:$A$10000&amp;JupData!$J$2:$J$10000,0),11))</f>
        <v/>
      </c>
      <c r="P849" t="str">
        <f t="array" ref="P849">IF($A849="","",INDEX(JupData!$A$2:$K$10000,MATCH($A849&amp;P$1,JupData!$A$2:$A$10000&amp;JupData!$J$2:$J$10000,0),11))</f>
        <v/>
      </c>
      <c r="Q849" t="str">
        <f t="array" ref="Q849">IF($A849="","",INDEX(JupData!$A$2:$K$10000,MATCH($A849&amp;Q$1,JupData!$A$2:$A$10000&amp;JupData!$J$2:$J$10000,0),11))</f>
        <v/>
      </c>
      <c r="R849" t="str">
        <f t="array" ref="R849">IF($A849="","",INDEX(JupData!$A$2:$K$10000,MATCH($A849&amp;R$1,JupData!$A$2:$A$10000&amp;JupData!$J$2:$J$10000,0),11))</f>
        <v/>
      </c>
      <c r="S849" t="str">
        <f t="array" ref="S849">IF($A849="","",INDEX(JupData!$A$2:$K$10000,MATCH($A849&amp;S$1,JupData!$A$2:$A$10000&amp;JupData!$J$2:$J$10000,0),11))</f>
        <v/>
      </c>
      <c r="T849" t="str">
        <f t="array" ref="T849">IF($A849="","",INDEX(JupData!$A$2:$K$10000,MATCH($A849&amp;T$1,JupData!$A$2:$A$10000&amp;JupData!$J$2:$J$10000,0),11))</f>
        <v/>
      </c>
      <c r="U849" t="str">
        <f t="array" ref="U849">IF($A849="","",INDEX(JupData!$A$2:$K$10000,MATCH($A849&amp;U$1,JupData!$A$2:$A$10000&amp;JupData!$J$2:$J$10000,0),11))</f>
        <v/>
      </c>
      <c r="V849" t="str">
        <f t="array" ref="V849">IF($A849="","",INDEX(JupData!$A$2:$K$10000,MATCH($A849&amp;V$1,JupData!$A$2:$A$10000&amp;JupData!$J$2:$J$10000,0),11))</f>
        <v/>
      </c>
      <c r="W849" t="str">
        <f t="array" ref="W849">IF($A849="","",INDEX(JupData!$A$2:$K$10000,MATCH($A849&amp;W$1,JupData!$A$2:$A$10000&amp;JupData!$J$2:$J$10000,0),11))</f>
        <v/>
      </c>
      <c r="X849" t="str">
        <f t="array" ref="X849">IF($A849="","",INDEX(JupData!$A$2:$K$10000,MATCH($A849&amp;X$1,JupData!$A$2:$A$10000&amp;JupData!$J$2:$J$10000,0),11))</f>
        <v/>
      </c>
      <c r="Y849" t="str">
        <f t="array" ref="Y849">IF($A849="","",INDEX(JupData!$A$2:$K$10000,MATCH($A849&amp;Y$1,JupData!$A$2:$A$10000&amp;JupData!$J$2:$J$10000,0),11))</f>
        <v/>
      </c>
      <c r="Z849" t="str">
        <f t="array" ref="Z849">IF($A849="","",INDEX(JupData!$A$2:$K$10000,MATCH($A849&amp;Z$1,JupData!$A$2:$A$10000&amp;JupData!$J$2:$J$10000,0),11))</f>
        <v/>
      </c>
      <c r="AA849" t="str">
        <f t="array" ref="AA849">IF($A849="","",INDEX(JupData!$A$2:$K$10000,MATCH($A849&amp;AA$1,JupData!$A$2:$A$10000&amp;JupData!$J$2:$J$10000,0),11))</f>
        <v/>
      </c>
      <c r="AB849" t="str">
        <f t="array" ref="AB849">IF($A849="","",INDEX(JupData!$A$2:$K$10000,MATCH($A849&amp;AB$1,JupData!$A$2:$A$10000&amp;JupData!$J$2:$J$10000,0),11))</f>
        <v/>
      </c>
      <c r="AC849" s="10" t="str">
        <f t="shared" si="143"/>
        <v/>
      </c>
      <c r="AD849" s="10" t="str">
        <f t="shared" si="144"/>
        <v/>
      </c>
      <c r="AE849" s="9" t="str">
        <f t="shared" si="145"/>
        <v/>
      </c>
      <c r="AF849" s="10" t="str">
        <f t="shared" si="146"/>
        <v/>
      </c>
      <c r="AG849" s="10" t="str">
        <f t="shared" si="147"/>
        <v/>
      </c>
      <c r="AH849" s="10" t="str">
        <f t="shared" si="148"/>
        <v/>
      </c>
      <c r="AI849" s="10" t="str">
        <f t="shared" si="149"/>
        <v/>
      </c>
      <c r="AJ849" s="10" t="str">
        <f t="shared" si="150"/>
        <v/>
      </c>
      <c r="AK849" s="10" t="str">
        <f t="shared" si="151"/>
        <v/>
      </c>
      <c r="AL849" s="14" t="str">
        <f t="shared" si="152"/>
        <v/>
      </c>
    </row>
    <row r="850" spans="1:38" x14ac:dyDescent="0.2">
      <c r="A850"/>
      <c r="B850" t="str">
        <f>IF($A850="","",VLOOKUP($A850,JupData!$A$2:$I$10000,4,FALSE))</f>
        <v/>
      </c>
      <c r="C850" s="7" t="str">
        <f>IF($A850="",IF(N(D850),0,""),VLOOKUP($A850,JupData!$A$2:$I$10000,7,FALSE))</f>
        <v/>
      </c>
      <c r="D850" t="str">
        <f t="shared" si="153"/>
        <v/>
      </c>
      <c r="E850" t="str">
        <f t="array" ref="E850">IF($A850="","",INDEX(JupData!$A$2:$K$10000,MATCH($A850&amp;E$1,JupData!$A$2:$A$10000&amp;JupData!$J$2:$J$10000,0),11))</f>
        <v/>
      </c>
      <c r="F850" t="str">
        <f t="array" ref="F850">IF($A850="","",INDEX(JupData!$A$2:$K$10000,MATCH($A850&amp;F$1,JupData!$A$2:$A$10000&amp;JupData!$J$2:$J$10000,0),11))</f>
        <v/>
      </c>
      <c r="G850" t="str">
        <f t="array" ref="G850">IF($A850="","",INDEX(JupData!$A$2:$K$10000,MATCH($A850&amp;G$1,JupData!$A$2:$A$10000&amp;JupData!$J$2:$J$10000,0),11))</f>
        <v/>
      </c>
      <c r="H850" t="str">
        <f t="array" ref="H850">IF($A850="","",INDEX(JupData!$A$2:$K$10000,MATCH($A850&amp;H$1,JupData!$A$2:$A$10000&amp;JupData!$J$2:$J$10000,0),11))</f>
        <v/>
      </c>
      <c r="I850" t="str">
        <f t="array" ref="I850">IF($A850="","",INDEX(JupData!$A$2:$K$10000,MATCH($A850&amp;I$1,JupData!$A$2:$A$10000&amp;JupData!$J$2:$J$10000,0),11))</f>
        <v/>
      </c>
      <c r="J850" t="str">
        <f t="array" ref="J850">IF($A850="","",INDEX(JupData!$A$2:$K$10000,MATCH($A850&amp;J$1,JupData!$A$2:$A$10000&amp;JupData!$J$2:$J$10000,0),11))</f>
        <v/>
      </c>
      <c r="K850" t="str">
        <f t="array" ref="K850">IF($A850="","",INDEX(JupData!$A$2:$K$10000,MATCH($A850&amp;K$1,JupData!$A$2:$A$10000&amp;JupData!$J$2:$J$10000,0),11))</f>
        <v/>
      </c>
      <c r="L850" t="str">
        <f t="array" ref="L850">IF($A850="","",INDEX(JupData!$A$2:$K$10000,MATCH($A850&amp;L$1,JupData!$A$2:$A$10000&amp;JupData!$J$2:$J$10000,0),11))</f>
        <v/>
      </c>
      <c r="M850" t="str">
        <f t="array" ref="M850">IF($A850="","",INDEX(JupData!$A$2:$K$10000,MATCH($A850&amp;M$1,JupData!$A$2:$A$10000&amp;JupData!$J$2:$J$10000,0),11))</f>
        <v/>
      </c>
      <c r="N850" t="str">
        <f t="array" ref="N850">IF($A850="","",INDEX(JupData!$A$2:$K$10000,MATCH($A850&amp;N$1,JupData!$A$2:$A$10000&amp;JupData!$J$2:$J$10000,0),11))</f>
        <v/>
      </c>
      <c r="O850" t="str">
        <f t="array" ref="O850">IF($A850="","",INDEX(JupData!$A$2:$K$10000,MATCH($A850&amp;O$1,JupData!$A$2:$A$10000&amp;JupData!$J$2:$J$10000,0),11))</f>
        <v/>
      </c>
      <c r="P850" t="str">
        <f t="array" ref="P850">IF($A850="","",INDEX(JupData!$A$2:$K$10000,MATCH($A850&amp;P$1,JupData!$A$2:$A$10000&amp;JupData!$J$2:$J$10000,0),11))</f>
        <v/>
      </c>
      <c r="Q850" t="str">
        <f t="array" ref="Q850">IF($A850="","",INDEX(JupData!$A$2:$K$10000,MATCH($A850&amp;Q$1,JupData!$A$2:$A$10000&amp;JupData!$J$2:$J$10000,0),11))</f>
        <v/>
      </c>
      <c r="R850" t="str">
        <f t="array" ref="R850">IF($A850="","",INDEX(JupData!$A$2:$K$10000,MATCH($A850&amp;R$1,JupData!$A$2:$A$10000&amp;JupData!$J$2:$J$10000,0),11))</f>
        <v/>
      </c>
      <c r="S850" t="str">
        <f t="array" ref="S850">IF($A850="","",INDEX(JupData!$A$2:$K$10000,MATCH($A850&amp;S$1,JupData!$A$2:$A$10000&amp;JupData!$J$2:$J$10000,0),11))</f>
        <v/>
      </c>
      <c r="T850" t="str">
        <f t="array" ref="T850">IF($A850="","",INDEX(JupData!$A$2:$K$10000,MATCH($A850&amp;T$1,JupData!$A$2:$A$10000&amp;JupData!$J$2:$J$10000,0),11))</f>
        <v/>
      </c>
      <c r="U850" t="str">
        <f t="array" ref="U850">IF($A850="","",INDEX(JupData!$A$2:$K$10000,MATCH($A850&amp;U$1,JupData!$A$2:$A$10000&amp;JupData!$J$2:$J$10000,0),11))</f>
        <v/>
      </c>
      <c r="V850" t="str">
        <f t="array" ref="V850">IF($A850="","",INDEX(JupData!$A$2:$K$10000,MATCH($A850&amp;V$1,JupData!$A$2:$A$10000&amp;JupData!$J$2:$J$10000,0),11))</f>
        <v/>
      </c>
      <c r="W850" t="str">
        <f t="array" ref="W850">IF($A850="","",INDEX(JupData!$A$2:$K$10000,MATCH($A850&amp;W$1,JupData!$A$2:$A$10000&amp;JupData!$J$2:$J$10000,0),11))</f>
        <v/>
      </c>
      <c r="X850" t="str">
        <f t="array" ref="X850">IF($A850="","",INDEX(JupData!$A$2:$K$10000,MATCH($A850&amp;X$1,JupData!$A$2:$A$10000&amp;JupData!$J$2:$J$10000,0),11))</f>
        <v/>
      </c>
      <c r="Y850" t="str">
        <f t="array" ref="Y850">IF($A850="","",INDEX(JupData!$A$2:$K$10000,MATCH($A850&amp;Y$1,JupData!$A$2:$A$10000&amp;JupData!$J$2:$J$10000,0),11))</f>
        <v/>
      </c>
      <c r="Z850" t="str">
        <f t="array" ref="Z850">IF($A850="","",INDEX(JupData!$A$2:$K$10000,MATCH($A850&amp;Z$1,JupData!$A$2:$A$10000&amp;JupData!$J$2:$J$10000,0),11))</f>
        <v/>
      </c>
      <c r="AA850" t="str">
        <f t="array" ref="AA850">IF($A850="","",INDEX(JupData!$A$2:$K$10000,MATCH($A850&amp;AA$1,JupData!$A$2:$A$10000&amp;JupData!$J$2:$J$10000,0),11))</f>
        <v/>
      </c>
      <c r="AB850" t="str">
        <f t="array" ref="AB850">IF($A850="","",INDEX(JupData!$A$2:$K$10000,MATCH($A850&amp;AB$1,JupData!$A$2:$A$10000&amp;JupData!$J$2:$J$10000,0),11))</f>
        <v/>
      </c>
      <c r="AC850" s="10" t="str">
        <f t="shared" si="143"/>
        <v/>
      </c>
      <c r="AD850" s="10" t="str">
        <f t="shared" si="144"/>
        <v/>
      </c>
      <c r="AE850" s="9" t="str">
        <f t="shared" si="145"/>
        <v/>
      </c>
      <c r="AF850" s="10" t="str">
        <f t="shared" si="146"/>
        <v/>
      </c>
      <c r="AG850" s="10" t="str">
        <f t="shared" si="147"/>
        <v/>
      </c>
      <c r="AH850" s="10" t="str">
        <f t="shared" si="148"/>
        <v/>
      </c>
      <c r="AI850" s="10" t="str">
        <f t="shared" si="149"/>
        <v/>
      </c>
      <c r="AJ850" s="10" t="str">
        <f t="shared" si="150"/>
        <v/>
      </c>
      <c r="AK850" s="10" t="str">
        <f t="shared" si="151"/>
        <v/>
      </c>
      <c r="AL850" s="14" t="str">
        <f t="shared" si="152"/>
        <v/>
      </c>
    </row>
    <row r="851" spans="1:38" x14ac:dyDescent="0.2">
      <c r="A851"/>
      <c r="B851" t="str">
        <f>IF($A851="","",VLOOKUP($A851,JupData!$A$2:$I$10000,4,FALSE))</f>
        <v/>
      </c>
      <c r="C851" s="7" t="str">
        <f>IF($A851="",IF(N(D851),0,""),VLOOKUP($A851,JupData!$A$2:$I$10000,7,FALSE))</f>
        <v/>
      </c>
      <c r="D851" t="str">
        <f t="shared" si="153"/>
        <v/>
      </c>
      <c r="E851" t="str">
        <f t="array" ref="E851">IF($A851="","",INDEX(JupData!$A$2:$K$10000,MATCH($A851&amp;E$1,JupData!$A$2:$A$10000&amp;JupData!$J$2:$J$10000,0),11))</f>
        <v/>
      </c>
      <c r="F851" t="str">
        <f t="array" ref="F851">IF($A851="","",INDEX(JupData!$A$2:$K$10000,MATCH($A851&amp;F$1,JupData!$A$2:$A$10000&amp;JupData!$J$2:$J$10000,0),11))</f>
        <v/>
      </c>
      <c r="G851" t="str">
        <f t="array" ref="G851">IF($A851="","",INDEX(JupData!$A$2:$K$10000,MATCH($A851&amp;G$1,JupData!$A$2:$A$10000&amp;JupData!$J$2:$J$10000,0),11))</f>
        <v/>
      </c>
      <c r="H851" t="str">
        <f t="array" ref="H851">IF($A851="","",INDEX(JupData!$A$2:$K$10000,MATCH($A851&amp;H$1,JupData!$A$2:$A$10000&amp;JupData!$J$2:$J$10000,0),11))</f>
        <v/>
      </c>
      <c r="I851" t="str">
        <f t="array" ref="I851">IF($A851="","",INDEX(JupData!$A$2:$K$10000,MATCH($A851&amp;I$1,JupData!$A$2:$A$10000&amp;JupData!$J$2:$J$10000,0),11))</f>
        <v/>
      </c>
      <c r="J851" t="str">
        <f t="array" ref="J851">IF($A851="","",INDEX(JupData!$A$2:$K$10000,MATCH($A851&amp;J$1,JupData!$A$2:$A$10000&amp;JupData!$J$2:$J$10000,0),11))</f>
        <v/>
      </c>
      <c r="K851" t="str">
        <f t="array" ref="K851">IF($A851="","",INDEX(JupData!$A$2:$K$10000,MATCH($A851&amp;K$1,JupData!$A$2:$A$10000&amp;JupData!$J$2:$J$10000,0),11))</f>
        <v/>
      </c>
      <c r="L851" t="str">
        <f t="array" ref="L851">IF($A851="","",INDEX(JupData!$A$2:$K$10000,MATCH($A851&amp;L$1,JupData!$A$2:$A$10000&amp;JupData!$J$2:$J$10000,0),11))</f>
        <v/>
      </c>
      <c r="M851" t="str">
        <f t="array" ref="M851">IF($A851="","",INDEX(JupData!$A$2:$K$10000,MATCH($A851&amp;M$1,JupData!$A$2:$A$10000&amp;JupData!$J$2:$J$10000,0),11))</f>
        <v/>
      </c>
      <c r="N851" t="str">
        <f t="array" ref="N851">IF($A851="","",INDEX(JupData!$A$2:$K$10000,MATCH($A851&amp;N$1,JupData!$A$2:$A$10000&amp;JupData!$J$2:$J$10000,0),11))</f>
        <v/>
      </c>
      <c r="O851" t="str">
        <f t="array" ref="O851">IF($A851="","",INDEX(JupData!$A$2:$K$10000,MATCH($A851&amp;O$1,JupData!$A$2:$A$10000&amp;JupData!$J$2:$J$10000,0),11))</f>
        <v/>
      </c>
      <c r="P851" t="str">
        <f t="array" ref="P851">IF($A851="","",INDEX(JupData!$A$2:$K$10000,MATCH($A851&amp;P$1,JupData!$A$2:$A$10000&amp;JupData!$J$2:$J$10000,0),11))</f>
        <v/>
      </c>
      <c r="Q851" t="str">
        <f t="array" ref="Q851">IF($A851="","",INDEX(JupData!$A$2:$K$10000,MATCH($A851&amp;Q$1,JupData!$A$2:$A$10000&amp;JupData!$J$2:$J$10000,0),11))</f>
        <v/>
      </c>
      <c r="R851" t="str">
        <f t="array" ref="R851">IF($A851="","",INDEX(JupData!$A$2:$K$10000,MATCH($A851&amp;R$1,JupData!$A$2:$A$10000&amp;JupData!$J$2:$J$10000,0),11))</f>
        <v/>
      </c>
      <c r="S851" t="str">
        <f t="array" ref="S851">IF($A851="","",INDEX(JupData!$A$2:$K$10000,MATCH($A851&amp;S$1,JupData!$A$2:$A$10000&amp;JupData!$J$2:$J$10000,0),11))</f>
        <v/>
      </c>
      <c r="T851" t="str">
        <f t="array" ref="T851">IF($A851="","",INDEX(JupData!$A$2:$K$10000,MATCH($A851&amp;T$1,JupData!$A$2:$A$10000&amp;JupData!$J$2:$J$10000,0),11))</f>
        <v/>
      </c>
      <c r="U851" t="str">
        <f t="array" ref="U851">IF($A851="","",INDEX(JupData!$A$2:$K$10000,MATCH($A851&amp;U$1,JupData!$A$2:$A$10000&amp;JupData!$J$2:$J$10000,0),11))</f>
        <v/>
      </c>
      <c r="V851" t="str">
        <f t="array" ref="V851">IF($A851="","",INDEX(JupData!$A$2:$K$10000,MATCH($A851&amp;V$1,JupData!$A$2:$A$10000&amp;JupData!$J$2:$J$10000,0),11))</f>
        <v/>
      </c>
      <c r="W851" t="str">
        <f t="array" ref="W851">IF($A851="","",INDEX(JupData!$A$2:$K$10000,MATCH($A851&amp;W$1,JupData!$A$2:$A$10000&amp;JupData!$J$2:$J$10000,0),11))</f>
        <v/>
      </c>
      <c r="X851" t="str">
        <f t="array" ref="X851">IF($A851="","",INDEX(JupData!$A$2:$K$10000,MATCH($A851&amp;X$1,JupData!$A$2:$A$10000&amp;JupData!$J$2:$J$10000,0),11))</f>
        <v/>
      </c>
      <c r="Y851" t="str">
        <f t="array" ref="Y851">IF($A851="","",INDEX(JupData!$A$2:$K$10000,MATCH($A851&amp;Y$1,JupData!$A$2:$A$10000&amp;JupData!$J$2:$J$10000,0),11))</f>
        <v/>
      </c>
      <c r="Z851" t="str">
        <f t="array" ref="Z851">IF($A851="","",INDEX(JupData!$A$2:$K$10000,MATCH($A851&amp;Z$1,JupData!$A$2:$A$10000&amp;JupData!$J$2:$J$10000,0),11))</f>
        <v/>
      </c>
      <c r="AA851" t="str">
        <f t="array" ref="AA851">IF($A851="","",INDEX(JupData!$A$2:$K$10000,MATCH($A851&amp;AA$1,JupData!$A$2:$A$10000&amp;JupData!$J$2:$J$10000,0),11))</f>
        <v/>
      </c>
      <c r="AB851" t="str">
        <f t="array" ref="AB851">IF($A851="","",INDEX(JupData!$A$2:$K$10000,MATCH($A851&amp;AB$1,JupData!$A$2:$A$10000&amp;JupData!$J$2:$J$10000,0),11))</f>
        <v/>
      </c>
      <c r="AC851" s="10" t="str">
        <f t="shared" si="143"/>
        <v/>
      </c>
      <c r="AD851" s="10" t="str">
        <f t="shared" si="144"/>
        <v/>
      </c>
      <c r="AE851" s="9" t="str">
        <f t="shared" si="145"/>
        <v/>
      </c>
      <c r="AF851" s="10" t="str">
        <f t="shared" si="146"/>
        <v/>
      </c>
      <c r="AG851" s="10" t="str">
        <f t="shared" si="147"/>
        <v/>
      </c>
      <c r="AH851" s="10" t="str">
        <f t="shared" si="148"/>
        <v/>
      </c>
      <c r="AI851" s="10" t="str">
        <f t="shared" si="149"/>
        <v/>
      </c>
      <c r="AJ851" s="10" t="str">
        <f t="shared" si="150"/>
        <v/>
      </c>
      <c r="AK851" s="10" t="str">
        <f t="shared" si="151"/>
        <v/>
      </c>
      <c r="AL851" s="14" t="str">
        <f t="shared" si="152"/>
        <v/>
      </c>
    </row>
    <row r="852" spans="1:38" x14ac:dyDescent="0.2">
      <c r="A852"/>
      <c r="B852" t="str">
        <f>IF($A852="","",VLOOKUP($A852,JupData!$A$2:$I$10000,4,FALSE))</f>
        <v/>
      </c>
      <c r="C852" s="7" t="str">
        <f>IF($A852="",IF(N(D852),0,""),VLOOKUP($A852,JupData!$A$2:$I$10000,7,FALSE))</f>
        <v/>
      </c>
      <c r="D852" t="str">
        <f t="shared" si="153"/>
        <v/>
      </c>
      <c r="E852" t="str">
        <f t="array" ref="E852">IF($A852="","",INDEX(JupData!$A$2:$K$10000,MATCH($A852&amp;E$1,JupData!$A$2:$A$10000&amp;JupData!$J$2:$J$10000,0),11))</f>
        <v/>
      </c>
      <c r="F852" t="str">
        <f t="array" ref="F852">IF($A852="","",INDEX(JupData!$A$2:$K$10000,MATCH($A852&amp;F$1,JupData!$A$2:$A$10000&amp;JupData!$J$2:$J$10000,0),11))</f>
        <v/>
      </c>
      <c r="G852" t="str">
        <f t="array" ref="G852">IF($A852="","",INDEX(JupData!$A$2:$K$10000,MATCH($A852&amp;G$1,JupData!$A$2:$A$10000&amp;JupData!$J$2:$J$10000,0),11))</f>
        <v/>
      </c>
      <c r="H852" t="str">
        <f t="array" ref="H852">IF($A852="","",INDEX(JupData!$A$2:$K$10000,MATCH($A852&amp;H$1,JupData!$A$2:$A$10000&amp;JupData!$J$2:$J$10000,0),11))</f>
        <v/>
      </c>
      <c r="I852" t="str">
        <f t="array" ref="I852">IF($A852="","",INDEX(JupData!$A$2:$K$10000,MATCH($A852&amp;I$1,JupData!$A$2:$A$10000&amp;JupData!$J$2:$J$10000,0),11))</f>
        <v/>
      </c>
      <c r="J852" t="str">
        <f t="array" ref="J852">IF($A852="","",INDEX(JupData!$A$2:$K$10000,MATCH($A852&amp;J$1,JupData!$A$2:$A$10000&amp;JupData!$J$2:$J$10000,0),11))</f>
        <v/>
      </c>
      <c r="K852" t="str">
        <f t="array" ref="K852">IF($A852="","",INDEX(JupData!$A$2:$K$10000,MATCH($A852&amp;K$1,JupData!$A$2:$A$10000&amp;JupData!$J$2:$J$10000,0),11))</f>
        <v/>
      </c>
      <c r="L852" t="str">
        <f t="array" ref="L852">IF($A852="","",INDEX(JupData!$A$2:$K$10000,MATCH($A852&amp;L$1,JupData!$A$2:$A$10000&amp;JupData!$J$2:$J$10000,0),11))</f>
        <v/>
      </c>
      <c r="M852" t="str">
        <f t="array" ref="M852">IF($A852="","",INDEX(JupData!$A$2:$K$10000,MATCH($A852&amp;M$1,JupData!$A$2:$A$10000&amp;JupData!$J$2:$J$10000,0),11))</f>
        <v/>
      </c>
      <c r="N852" t="str">
        <f t="array" ref="N852">IF($A852="","",INDEX(JupData!$A$2:$K$10000,MATCH($A852&amp;N$1,JupData!$A$2:$A$10000&amp;JupData!$J$2:$J$10000,0),11))</f>
        <v/>
      </c>
      <c r="O852" t="str">
        <f t="array" ref="O852">IF($A852="","",INDEX(JupData!$A$2:$K$10000,MATCH($A852&amp;O$1,JupData!$A$2:$A$10000&amp;JupData!$J$2:$J$10000,0),11))</f>
        <v/>
      </c>
      <c r="P852" t="str">
        <f t="array" ref="P852">IF($A852="","",INDEX(JupData!$A$2:$K$10000,MATCH($A852&amp;P$1,JupData!$A$2:$A$10000&amp;JupData!$J$2:$J$10000,0),11))</f>
        <v/>
      </c>
      <c r="Q852" t="str">
        <f t="array" ref="Q852">IF($A852="","",INDEX(JupData!$A$2:$K$10000,MATCH($A852&amp;Q$1,JupData!$A$2:$A$10000&amp;JupData!$J$2:$J$10000,0),11))</f>
        <v/>
      </c>
      <c r="R852" t="str">
        <f t="array" ref="R852">IF($A852="","",INDEX(JupData!$A$2:$K$10000,MATCH($A852&amp;R$1,JupData!$A$2:$A$10000&amp;JupData!$J$2:$J$10000,0),11))</f>
        <v/>
      </c>
      <c r="S852" t="str">
        <f t="array" ref="S852">IF($A852="","",INDEX(JupData!$A$2:$K$10000,MATCH($A852&amp;S$1,JupData!$A$2:$A$10000&amp;JupData!$J$2:$J$10000,0),11))</f>
        <v/>
      </c>
      <c r="T852" t="str">
        <f t="array" ref="T852">IF($A852="","",INDEX(JupData!$A$2:$K$10000,MATCH($A852&amp;T$1,JupData!$A$2:$A$10000&amp;JupData!$J$2:$J$10000,0),11))</f>
        <v/>
      </c>
      <c r="U852" t="str">
        <f t="array" ref="U852">IF($A852="","",INDEX(JupData!$A$2:$K$10000,MATCH($A852&amp;U$1,JupData!$A$2:$A$10000&amp;JupData!$J$2:$J$10000,0),11))</f>
        <v/>
      </c>
      <c r="V852" t="str">
        <f t="array" ref="V852">IF($A852="","",INDEX(JupData!$A$2:$K$10000,MATCH($A852&amp;V$1,JupData!$A$2:$A$10000&amp;JupData!$J$2:$J$10000,0),11))</f>
        <v/>
      </c>
      <c r="W852" t="str">
        <f t="array" ref="W852">IF($A852="","",INDEX(JupData!$A$2:$K$10000,MATCH($A852&amp;W$1,JupData!$A$2:$A$10000&amp;JupData!$J$2:$J$10000,0),11))</f>
        <v/>
      </c>
      <c r="X852" t="str">
        <f t="array" ref="X852">IF($A852="","",INDEX(JupData!$A$2:$K$10000,MATCH($A852&amp;X$1,JupData!$A$2:$A$10000&amp;JupData!$J$2:$J$10000,0),11))</f>
        <v/>
      </c>
      <c r="Y852" t="str">
        <f t="array" ref="Y852">IF($A852="","",INDEX(JupData!$A$2:$K$10000,MATCH($A852&amp;Y$1,JupData!$A$2:$A$10000&amp;JupData!$J$2:$J$10000,0),11))</f>
        <v/>
      </c>
      <c r="Z852" t="str">
        <f t="array" ref="Z852">IF($A852="","",INDEX(JupData!$A$2:$K$10000,MATCH($A852&amp;Z$1,JupData!$A$2:$A$10000&amp;JupData!$J$2:$J$10000,0),11))</f>
        <v/>
      </c>
      <c r="AA852" t="str">
        <f t="array" ref="AA852">IF($A852="","",INDEX(JupData!$A$2:$K$10000,MATCH($A852&amp;AA$1,JupData!$A$2:$A$10000&amp;JupData!$J$2:$J$10000,0),11))</f>
        <v/>
      </c>
      <c r="AB852" t="str">
        <f t="array" ref="AB852">IF($A852="","",INDEX(JupData!$A$2:$K$10000,MATCH($A852&amp;AB$1,JupData!$A$2:$A$10000&amp;JupData!$J$2:$J$10000,0),11))</f>
        <v/>
      </c>
      <c r="AC852" s="10" t="str">
        <f t="shared" si="143"/>
        <v/>
      </c>
      <c r="AD852" s="10" t="str">
        <f t="shared" si="144"/>
        <v/>
      </c>
      <c r="AE852" s="9" t="str">
        <f t="shared" si="145"/>
        <v/>
      </c>
      <c r="AF852" s="10" t="str">
        <f t="shared" si="146"/>
        <v/>
      </c>
      <c r="AG852" s="10" t="str">
        <f t="shared" si="147"/>
        <v/>
      </c>
      <c r="AH852" s="10" t="str">
        <f t="shared" si="148"/>
        <v/>
      </c>
      <c r="AI852" s="10" t="str">
        <f t="shared" si="149"/>
        <v/>
      </c>
      <c r="AJ852" s="10" t="str">
        <f t="shared" si="150"/>
        <v/>
      </c>
      <c r="AK852" s="10" t="str">
        <f t="shared" si="151"/>
        <v/>
      </c>
      <c r="AL852" s="14" t="str">
        <f t="shared" si="152"/>
        <v/>
      </c>
    </row>
    <row r="853" spans="1:38" x14ac:dyDescent="0.2">
      <c r="A853"/>
      <c r="B853" t="str">
        <f>IF($A853="","",VLOOKUP($A853,JupData!$A$2:$I$10000,4,FALSE))</f>
        <v/>
      </c>
      <c r="C853" s="7" t="str">
        <f>IF($A853="",IF(N(D853),0,""),VLOOKUP($A853,JupData!$A$2:$I$10000,7,FALSE))</f>
        <v/>
      </c>
      <c r="D853" t="str">
        <f t="shared" si="153"/>
        <v/>
      </c>
      <c r="E853" t="str">
        <f t="array" ref="E853">IF($A853="","",INDEX(JupData!$A$2:$K$10000,MATCH($A853&amp;E$1,JupData!$A$2:$A$10000&amp;JupData!$J$2:$J$10000,0),11))</f>
        <v/>
      </c>
      <c r="F853" t="str">
        <f t="array" ref="F853">IF($A853="","",INDEX(JupData!$A$2:$K$10000,MATCH($A853&amp;F$1,JupData!$A$2:$A$10000&amp;JupData!$J$2:$J$10000,0),11))</f>
        <v/>
      </c>
      <c r="G853" t="str">
        <f t="array" ref="G853">IF($A853="","",INDEX(JupData!$A$2:$K$10000,MATCH($A853&amp;G$1,JupData!$A$2:$A$10000&amp;JupData!$J$2:$J$10000,0),11))</f>
        <v/>
      </c>
      <c r="H853" t="str">
        <f t="array" ref="H853">IF($A853="","",INDEX(JupData!$A$2:$K$10000,MATCH($A853&amp;H$1,JupData!$A$2:$A$10000&amp;JupData!$J$2:$J$10000,0),11))</f>
        <v/>
      </c>
      <c r="I853" t="str">
        <f t="array" ref="I853">IF($A853="","",INDEX(JupData!$A$2:$K$10000,MATCH($A853&amp;I$1,JupData!$A$2:$A$10000&amp;JupData!$J$2:$J$10000,0),11))</f>
        <v/>
      </c>
      <c r="J853" t="str">
        <f t="array" ref="J853">IF($A853="","",INDEX(JupData!$A$2:$K$10000,MATCH($A853&amp;J$1,JupData!$A$2:$A$10000&amp;JupData!$J$2:$J$10000,0),11))</f>
        <v/>
      </c>
      <c r="K853" t="str">
        <f t="array" ref="K853">IF($A853="","",INDEX(JupData!$A$2:$K$10000,MATCH($A853&amp;K$1,JupData!$A$2:$A$10000&amp;JupData!$J$2:$J$10000,0),11))</f>
        <v/>
      </c>
      <c r="L853" t="str">
        <f t="array" ref="L853">IF($A853="","",INDEX(JupData!$A$2:$K$10000,MATCH($A853&amp;L$1,JupData!$A$2:$A$10000&amp;JupData!$J$2:$J$10000,0),11))</f>
        <v/>
      </c>
      <c r="M853" t="str">
        <f t="array" ref="M853">IF($A853="","",INDEX(JupData!$A$2:$K$10000,MATCH($A853&amp;M$1,JupData!$A$2:$A$10000&amp;JupData!$J$2:$J$10000,0),11))</f>
        <v/>
      </c>
      <c r="N853" t="str">
        <f t="array" ref="N853">IF($A853="","",INDEX(JupData!$A$2:$K$10000,MATCH($A853&amp;N$1,JupData!$A$2:$A$10000&amp;JupData!$J$2:$J$10000,0),11))</f>
        <v/>
      </c>
      <c r="O853" t="str">
        <f t="array" ref="O853">IF($A853="","",INDEX(JupData!$A$2:$K$10000,MATCH($A853&amp;O$1,JupData!$A$2:$A$10000&amp;JupData!$J$2:$J$10000,0),11))</f>
        <v/>
      </c>
      <c r="P853" t="str">
        <f t="array" ref="P853">IF($A853="","",INDEX(JupData!$A$2:$K$10000,MATCH($A853&amp;P$1,JupData!$A$2:$A$10000&amp;JupData!$J$2:$J$10000,0),11))</f>
        <v/>
      </c>
      <c r="Q853" t="str">
        <f t="array" ref="Q853">IF($A853="","",INDEX(JupData!$A$2:$K$10000,MATCH($A853&amp;Q$1,JupData!$A$2:$A$10000&amp;JupData!$J$2:$J$10000,0),11))</f>
        <v/>
      </c>
      <c r="R853" t="str">
        <f t="array" ref="R853">IF($A853="","",INDEX(JupData!$A$2:$K$10000,MATCH($A853&amp;R$1,JupData!$A$2:$A$10000&amp;JupData!$J$2:$J$10000,0),11))</f>
        <v/>
      </c>
      <c r="S853" t="str">
        <f t="array" ref="S853">IF($A853="","",INDEX(JupData!$A$2:$K$10000,MATCH($A853&amp;S$1,JupData!$A$2:$A$10000&amp;JupData!$J$2:$J$10000,0),11))</f>
        <v/>
      </c>
      <c r="T853" t="str">
        <f t="array" ref="T853">IF($A853="","",INDEX(JupData!$A$2:$K$10000,MATCH($A853&amp;T$1,JupData!$A$2:$A$10000&amp;JupData!$J$2:$J$10000,0),11))</f>
        <v/>
      </c>
      <c r="U853" t="str">
        <f t="array" ref="U853">IF($A853="","",INDEX(JupData!$A$2:$K$10000,MATCH($A853&amp;U$1,JupData!$A$2:$A$10000&amp;JupData!$J$2:$J$10000,0),11))</f>
        <v/>
      </c>
      <c r="V853" t="str">
        <f t="array" ref="V853">IF($A853="","",INDEX(JupData!$A$2:$K$10000,MATCH($A853&amp;V$1,JupData!$A$2:$A$10000&amp;JupData!$J$2:$J$10000,0),11))</f>
        <v/>
      </c>
      <c r="W853" t="str">
        <f t="array" ref="W853">IF($A853="","",INDEX(JupData!$A$2:$K$10000,MATCH($A853&amp;W$1,JupData!$A$2:$A$10000&amp;JupData!$J$2:$J$10000,0),11))</f>
        <v/>
      </c>
      <c r="X853" t="str">
        <f t="array" ref="X853">IF($A853="","",INDEX(JupData!$A$2:$K$10000,MATCH($A853&amp;X$1,JupData!$A$2:$A$10000&amp;JupData!$J$2:$J$10000,0),11))</f>
        <v/>
      </c>
      <c r="Y853" t="str">
        <f t="array" ref="Y853">IF($A853="","",INDEX(JupData!$A$2:$K$10000,MATCH($A853&amp;Y$1,JupData!$A$2:$A$10000&amp;JupData!$J$2:$J$10000,0),11))</f>
        <v/>
      </c>
      <c r="Z853" t="str">
        <f t="array" ref="Z853">IF($A853="","",INDEX(JupData!$A$2:$K$10000,MATCH($A853&amp;Z$1,JupData!$A$2:$A$10000&amp;JupData!$J$2:$J$10000,0),11))</f>
        <v/>
      </c>
      <c r="AA853" t="str">
        <f t="array" ref="AA853">IF($A853="","",INDEX(JupData!$A$2:$K$10000,MATCH($A853&amp;AA$1,JupData!$A$2:$A$10000&amp;JupData!$J$2:$J$10000,0),11))</f>
        <v/>
      </c>
      <c r="AB853" t="str">
        <f t="array" ref="AB853">IF($A853="","",INDEX(JupData!$A$2:$K$10000,MATCH($A853&amp;AB$1,JupData!$A$2:$A$10000&amp;JupData!$J$2:$J$10000,0),11))</f>
        <v/>
      </c>
      <c r="AC853" s="10" t="str">
        <f t="shared" si="143"/>
        <v/>
      </c>
      <c r="AD853" s="10" t="str">
        <f t="shared" si="144"/>
        <v/>
      </c>
      <c r="AE853" s="9" t="str">
        <f t="shared" si="145"/>
        <v/>
      </c>
      <c r="AF853" s="10" t="str">
        <f t="shared" si="146"/>
        <v/>
      </c>
      <c r="AG853" s="10" t="str">
        <f t="shared" si="147"/>
        <v/>
      </c>
      <c r="AH853" s="10" t="str">
        <f t="shared" si="148"/>
        <v/>
      </c>
      <c r="AI853" s="10" t="str">
        <f t="shared" si="149"/>
        <v/>
      </c>
      <c r="AJ853" s="10" t="str">
        <f t="shared" si="150"/>
        <v/>
      </c>
      <c r="AK853" s="10" t="str">
        <f t="shared" si="151"/>
        <v/>
      </c>
      <c r="AL853" s="14" t="str">
        <f t="shared" si="152"/>
        <v/>
      </c>
    </row>
    <row r="854" spans="1:38" x14ac:dyDescent="0.2">
      <c r="A854"/>
      <c r="B854" t="str">
        <f>IF($A854="","",VLOOKUP($A854,JupData!$A$2:$I$10000,4,FALSE))</f>
        <v/>
      </c>
      <c r="C854" s="7" t="str">
        <f>IF($A854="",IF(N(D854),0,""),VLOOKUP($A854,JupData!$A$2:$I$10000,7,FALSE))</f>
        <v/>
      </c>
      <c r="D854" t="str">
        <f t="shared" si="153"/>
        <v/>
      </c>
      <c r="E854" t="str">
        <f t="array" ref="E854">IF($A854="","",INDEX(JupData!$A$2:$K$10000,MATCH($A854&amp;E$1,JupData!$A$2:$A$10000&amp;JupData!$J$2:$J$10000,0),11))</f>
        <v/>
      </c>
      <c r="F854" t="str">
        <f t="array" ref="F854">IF($A854="","",INDEX(JupData!$A$2:$K$10000,MATCH($A854&amp;F$1,JupData!$A$2:$A$10000&amp;JupData!$J$2:$J$10000,0),11))</f>
        <v/>
      </c>
      <c r="G854" t="str">
        <f t="array" ref="G854">IF($A854="","",INDEX(JupData!$A$2:$K$10000,MATCH($A854&amp;G$1,JupData!$A$2:$A$10000&amp;JupData!$J$2:$J$10000,0),11))</f>
        <v/>
      </c>
      <c r="H854" t="str">
        <f t="array" ref="H854">IF($A854="","",INDEX(JupData!$A$2:$K$10000,MATCH($A854&amp;H$1,JupData!$A$2:$A$10000&amp;JupData!$J$2:$J$10000,0),11))</f>
        <v/>
      </c>
      <c r="I854" t="str">
        <f t="array" ref="I854">IF($A854="","",INDEX(JupData!$A$2:$K$10000,MATCH($A854&amp;I$1,JupData!$A$2:$A$10000&amp;JupData!$J$2:$J$10000,0),11))</f>
        <v/>
      </c>
      <c r="J854" t="str">
        <f t="array" ref="J854">IF($A854="","",INDEX(JupData!$A$2:$K$10000,MATCH($A854&amp;J$1,JupData!$A$2:$A$10000&amp;JupData!$J$2:$J$10000,0),11))</f>
        <v/>
      </c>
      <c r="K854" t="str">
        <f t="array" ref="K854">IF($A854="","",INDEX(JupData!$A$2:$K$10000,MATCH($A854&amp;K$1,JupData!$A$2:$A$10000&amp;JupData!$J$2:$J$10000,0),11))</f>
        <v/>
      </c>
      <c r="L854" t="str">
        <f t="array" ref="L854">IF($A854="","",INDEX(JupData!$A$2:$K$10000,MATCH($A854&amp;L$1,JupData!$A$2:$A$10000&amp;JupData!$J$2:$J$10000,0),11))</f>
        <v/>
      </c>
      <c r="M854" t="str">
        <f t="array" ref="M854">IF($A854="","",INDEX(JupData!$A$2:$K$10000,MATCH($A854&amp;M$1,JupData!$A$2:$A$10000&amp;JupData!$J$2:$J$10000,0),11))</f>
        <v/>
      </c>
      <c r="N854" t="str">
        <f t="array" ref="N854">IF($A854="","",INDEX(JupData!$A$2:$K$10000,MATCH($A854&amp;N$1,JupData!$A$2:$A$10000&amp;JupData!$J$2:$J$10000,0),11))</f>
        <v/>
      </c>
      <c r="O854" t="str">
        <f t="array" ref="O854">IF($A854="","",INDEX(JupData!$A$2:$K$10000,MATCH($A854&amp;O$1,JupData!$A$2:$A$10000&amp;JupData!$J$2:$J$10000,0),11))</f>
        <v/>
      </c>
      <c r="P854" t="str">
        <f t="array" ref="P854">IF($A854="","",INDEX(JupData!$A$2:$K$10000,MATCH($A854&amp;P$1,JupData!$A$2:$A$10000&amp;JupData!$J$2:$J$10000,0),11))</f>
        <v/>
      </c>
      <c r="Q854" t="str">
        <f t="array" ref="Q854">IF($A854="","",INDEX(JupData!$A$2:$K$10000,MATCH($A854&amp;Q$1,JupData!$A$2:$A$10000&amp;JupData!$J$2:$J$10000,0),11))</f>
        <v/>
      </c>
      <c r="R854" t="str">
        <f t="array" ref="R854">IF($A854="","",INDEX(JupData!$A$2:$K$10000,MATCH($A854&amp;R$1,JupData!$A$2:$A$10000&amp;JupData!$J$2:$J$10000,0),11))</f>
        <v/>
      </c>
      <c r="S854" t="str">
        <f t="array" ref="S854">IF($A854="","",INDEX(JupData!$A$2:$K$10000,MATCH($A854&amp;S$1,JupData!$A$2:$A$10000&amp;JupData!$J$2:$J$10000,0),11))</f>
        <v/>
      </c>
      <c r="T854" t="str">
        <f t="array" ref="T854">IF($A854="","",INDEX(JupData!$A$2:$K$10000,MATCH($A854&amp;T$1,JupData!$A$2:$A$10000&amp;JupData!$J$2:$J$10000,0),11))</f>
        <v/>
      </c>
      <c r="U854" t="str">
        <f t="array" ref="U854">IF($A854="","",INDEX(JupData!$A$2:$K$10000,MATCH($A854&amp;U$1,JupData!$A$2:$A$10000&amp;JupData!$J$2:$J$10000,0),11))</f>
        <v/>
      </c>
      <c r="V854" t="str">
        <f t="array" ref="V854">IF($A854="","",INDEX(JupData!$A$2:$K$10000,MATCH($A854&amp;V$1,JupData!$A$2:$A$10000&amp;JupData!$J$2:$J$10000,0),11))</f>
        <v/>
      </c>
      <c r="W854" t="str">
        <f t="array" ref="W854">IF($A854="","",INDEX(JupData!$A$2:$K$10000,MATCH($A854&amp;W$1,JupData!$A$2:$A$10000&amp;JupData!$J$2:$J$10000,0),11))</f>
        <v/>
      </c>
      <c r="X854" t="str">
        <f t="array" ref="X854">IF($A854="","",INDEX(JupData!$A$2:$K$10000,MATCH($A854&amp;X$1,JupData!$A$2:$A$10000&amp;JupData!$J$2:$J$10000,0),11))</f>
        <v/>
      </c>
      <c r="Y854" t="str">
        <f t="array" ref="Y854">IF($A854="","",INDEX(JupData!$A$2:$K$10000,MATCH($A854&amp;Y$1,JupData!$A$2:$A$10000&amp;JupData!$J$2:$J$10000,0),11))</f>
        <v/>
      </c>
      <c r="Z854" t="str">
        <f t="array" ref="Z854">IF($A854="","",INDEX(JupData!$A$2:$K$10000,MATCH($A854&amp;Z$1,JupData!$A$2:$A$10000&amp;JupData!$J$2:$J$10000,0),11))</f>
        <v/>
      </c>
      <c r="AA854" t="str">
        <f t="array" ref="AA854">IF($A854="","",INDEX(JupData!$A$2:$K$10000,MATCH($A854&amp;AA$1,JupData!$A$2:$A$10000&amp;JupData!$J$2:$J$10000,0),11))</f>
        <v/>
      </c>
      <c r="AB854" t="str">
        <f t="array" ref="AB854">IF($A854="","",INDEX(JupData!$A$2:$K$10000,MATCH($A854&amp;AB$1,JupData!$A$2:$A$10000&amp;JupData!$J$2:$J$10000,0),11))</f>
        <v/>
      </c>
      <c r="AC854" s="10" t="str">
        <f t="shared" si="143"/>
        <v/>
      </c>
      <c r="AD854" s="10" t="str">
        <f t="shared" si="144"/>
        <v/>
      </c>
      <c r="AE854" s="9" t="str">
        <f t="shared" si="145"/>
        <v/>
      </c>
      <c r="AF854" s="10" t="str">
        <f t="shared" si="146"/>
        <v/>
      </c>
      <c r="AG854" s="10" t="str">
        <f t="shared" si="147"/>
        <v/>
      </c>
      <c r="AH854" s="10" t="str">
        <f t="shared" si="148"/>
        <v/>
      </c>
      <c r="AI854" s="10" t="str">
        <f t="shared" si="149"/>
        <v/>
      </c>
      <c r="AJ854" s="10" t="str">
        <f t="shared" si="150"/>
        <v/>
      </c>
      <c r="AK854" s="10" t="str">
        <f t="shared" si="151"/>
        <v/>
      </c>
      <c r="AL854" s="14" t="str">
        <f t="shared" si="152"/>
        <v/>
      </c>
    </row>
    <row r="855" spans="1:38" x14ac:dyDescent="0.2">
      <c r="A855"/>
      <c r="B855" t="str">
        <f>IF($A855="","",VLOOKUP($A855,JupData!$A$2:$I$10000,4,FALSE))</f>
        <v/>
      </c>
      <c r="C855" s="7" t="str">
        <f>IF($A855="",IF(N(D855),0,""),VLOOKUP($A855,JupData!$A$2:$I$10000,7,FALSE))</f>
        <v/>
      </c>
      <c r="D855" t="str">
        <f t="shared" si="153"/>
        <v/>
      </c>
      <c r="E855" t="str">
        <f t="array" ref="E855">IF($A855="","",INDEX(JupData!$A$2:$K$10000,MATCH($A855&amp;E$1,JupData!$A$2:$A$10000&amp;JupData!$J$2:$J$10000,0),11))</f>
        <v/>
      </c>
      <c r="F855" t="str">
        <f t="array" ref="F855">IF($A855="","",INDEX(JupData!$A$2:$K$10000,MATCH($A855&amp;F$1,JupData!$A$2:$A$10000&amp;JupData!$J$2:$J$10000,0),11))</f>
        <v/>
      </c>
      <c r="G855" t="str">
        <f t="array" ref="G855">IF($A855="","",INDEX(JupData!$A$2:$K$10000,MATCH($A855&amp;G$1,JupData!$A$2:$A$10000&amp;JupData!$J$2:$J$10000,0),11))</f>
        <v/>
      </c>
      <c r="H855" t="str">
        <f t="array" ref="H855">IF($A855="","",INDEX(JupData!$A$2:$K$10000,MATCH($A855&amp;H$1,JupData!$A$2:$A$10000&amp;JupData!$J$2:$J$10000,0),11))</f>
        <v/>
      </c>
      <c r="I855" t="str">
        <f t="array" ref="I855">IF($A855="","",INDEX(JupData!$A$2:$K$10000,MATCH($A855&amp;I$1,JupData!$A$2:$A$10000&amp;JupData!$J$2:$J$10000,0),11))</f>
        <v/>
      </c>
      <c r="J855" t="str">
        <f t="array" ref="J855">IF($A855="","",INDEX(JupData!$A$2:$K$10000,MATCH($A855&amp;J$1,JupData!$A$2:$A$10000&amp;JupData!$J$2:$J$10000,0),11))</f>
        <v/>
      </c>
      <c r="K855" t="str">
        <f t="array" ref="K855">IF($A855="","",INDEX(JupData!$A$2:$K$10000,MATCH($A855&amp;K$1,JupData!$A$2:$A$10000&amp;JupData!$J$2:$J$10000,0),11))</f>
        <v/>
      </c>
      <c r="L855" t="str">
        <f t="array" ref="L855">IF($A855="","",INDEX(JupData!$A$2:$K$10000,MATCH($A855&amp;L$1,JupData!$A$2:$A$10000&amp;JupData!$J$2:$J$10000,0),11))</f>
        <v/>
      </c>
      <c r="M855" t="str">
        <f t="array" ref="M855">IF($A855="","",INDEX(JupData!$A$2:$K$10000,MATCH($A855&amp;M$1,JupData!$A$2:$A$10000&amp;JupData!$J$2:$J$10000,0),11))</f>
        <v/>
      </c>
      <c r="N855" t="str">
        <f t="array" ref="N855">IF($A855="","",INDEX(JupData!$A$2:$K$10000,MATCH($A855&amp;N$1,JupData!$A$2:$A$10000&amp;JupData!$J$2:$J$10000,0),11))</f>
        <v/>
      </c>
      <c r="O855" t="str">
        <f t="array" ref="O855">IF($A855="","",INDEX(JupData!$A$2:$K$10000,MATCH($A855&amp;O$1,JupData!$A$2:$A$10000&amp;JupData!$J$2:$J$10000,0),11))</f>
        <v/>
      </c>
      <c r="P855" t="str">
        <f t="array" ref="P855">IF($A855="","",INDEX(JupData!$A$2:$K$10000,MATCH($A855&amp;P$1,JupData!$A$2:$A$10000&amp;JupData!$J$2:$J$10000,0),11))</f>
        <v/>
      </c>
      <c r="Q855" t="str">
        <f t="array" ref="Q855">IF($A855="","",INDEX(JupData!$A$2:$K$10000,MATCH($A855&amp;Q$1,JupData!$A$2:$A$10000&amp;JupData!$J$2:$J$10000,0),11))</f>
        <v/>
      </c>
      <c r="R855" t="str">
        <f t="array" ref="R855">IF($A855="","",INDEX(JupData!$A$2:$K$10000,MATCH($A855&amp;R$1,JupData!$A$2:$A$10000&amp;JupData!$J$2:$J$10000,0),11))</f>
        <v/>
      </c>
      <c r="S855" t="str">
        <f t="array" ref="S855">IF($A855="","",INDEX(JupData!$A$2:$K$10000,MATCH($A855&amp;S$1,JupData!$A$2:$A$10000&amp;JupData!$J$2:$J$10000,0),11))</f>
        <v/>
      </c>
      <c r="T855" t="str">
        <f t="array" ref="T855">IF($A855="","",INDEX(JupData!$A$2:$K$10000,MATCH($A855&amp;T$1,JupData!$A$2:$A$10000&amp;JupData!$J$2:$J$10000,0),11))</f>
        <v/>
      </c>
      <c r="U855" t="str">
        <f t="array" ref="U855">IF($A855="","",INDEX(JupData!$A$2:$K$10000,MATCH($A855&amp;U$1,JupData!$A$2:$A$10000&amp;JupData!$J$2:$J$10000,0),11))</f>
        <v/>
      </c>
      <c r="V855" t="str">
        <f t="array" ref="V855">IF($A855="","",INDEX(JupData!$A$2:$K$10000,MATCH($A855&amp;V$1,JupData!$A$2:$A$10000&amp;JupData!$J$2:$J$10000,0),11))</f>
        <v/>
      </c>
      <c r="W855" t="str">
        <f t="array" ref="W855">IF($A855="","",INDEX(JupData!$A$2:$K$10000,MATCH($A855&amp;W$1,JupData!$A$2:$A$10000&amp;JupData!$J$2:$J$10000,0),11))</f>
        <v/>
      </c>
      <c r="X855" t="str">
        <f t="array" ref="X855">IF($A855="","",INDEX(JupData!$A$2:$K$10000,MATCH($A855&amp;X$1,JupData!$A$2:$A$10000&amp;JupData!$J$2:$J$10000,0),11))</f>
        <v/>
      </c>
      <c r="Y855" t="str">
        <f t="array" ref="Y855">IF($A855="","",INDEX(JupData!$A$2:$K$10000,MATCH($A855&amp;Y$1,JupData!$A$2:$A$10000&amp;JupData!$J$2:$J$10000,0),11))</f>
        <v/>
      </c>
      <c r="Z855" t="str">
        <f t="array" ref="Z855">IF($A855="","",INDEX(JupData!$A$2:$K$10000,MATCH($A855&amp;Z$1,JupData!$A$2:$A$10000&amp;JupData!$J$2:$J$10000,0),11))</f>
        <v/>
      </c>
      <c r="AA855" t="str">
        <f t="array" ref="AA855">IF($A855="","",INDEX(JupData!$A$2:$K$10000,MATCH($A855&amp;AA$1,JupData!$A$2:$A$10000&amp;JupData!$J$2:$J$10000,0),11))</f>
        <v/>
      </c>
      <c r="AB855" t="str">
        <f t="array" ref="AB855">IF($A855="","",INDEX(JupData!$A$2:$K$10000,MATCH($A855&amp;AB$1,JupData!$A$2:$A$10000&amp;JupData!$J$2:$J$10000,0),11))</f>
        <v/>
      </c>
      <c r="AC855" s="10" t="str">
        <f t="shared" si="143"/>
        <v/>
      </c>
      <c r="AD855" s="10" t="str">
        <f t="shared" si="144"/>
        <v/>
      </c>
      <c r="AE855" s="9" t="str">
        <f t="shared" si="145"/>
        <v/>
      </c>
      <c r="AF855" s="10" t="str">
        <f t="shared" si="146"/>
        <v/>
      </c>
      <c r="AG855" s="10" t="str">
        <f t="shared" si="147"/>
        <v/>
      </c>
      <c r="AH855" s="10" t="str">
        <f t="shared" si="148"/>
        <v/>
      </c>
      <c r="AI855" s="10" t="str">
        <f t="shared" si="149"/>
        <v/>
      </c>
      <c r="AJ855" s="10" t="str">
        <f t="shared" si="150"/>
        <v/>
      </c>
      <c r="AK855" s="10" t="str">
        <f t="shared" si="151"/>
        <v/>
      </c>
      <c r="AL855" s="14" t="str">
        <f t="shared" si="152"/>
        <v/>
      </c>
    </row>
    <row r="856" spans="1:38" x14ac:dyDescent="0.2">
      <c r="A856"/>
      <c r="B856" t="str">
        <f>IF($A856="","",VLOOKUP($A856,JupData!$A$2:$I$10000,4,FALSE))</f>
        <v/>
      </c>
      <c r="C856" s="7" t="str">
        <f>IF($A856="",IF(N(D856),0,""),VLOOKUP($A856,JupData!$A$2:$I$10000,7,FALSE))</f>
        <v/>
      </c>
      <c r="D856" t="str">
        <f t="shared" si="153"/>
        <v/>
      </c>
      <c r="E856" t="str">
        <f t="array" ref="E856">IF($A856="","",INDEX(JupData!$A$2:$K$10000,MATCH($A856&amp;E$1,JupData!$A$2:$A$10000&amp;JupData!$J$2:$J$10000,0),11))</f>
        <v/>
      </c>
      <c r="F856" t="str">
        <f t="array" ref="F856">IF($A856="","",INDEX(JupData!$A$2:$K$10000,MATCH($A856&amp;F$1,JupData!$A$2:$A$10000&amp;JupData!$J$2:$J$10000,0),11))</f>
        <v/>
      </c>
      <c r="G856" t="str">
        <f t="array" ref="G856">IF($A856="","",INDEX(JupData!$A$2:$K$10000,MATCH($A856&amp;G$1,JupData!$A$2:$A$10000&amp;JupData!$J$2:$J$10000,0),11))</f>
        <v/>
      </c>
      <c r="H856" t="str">
        <f t="array" ref="H856">IF($A856="","",INDEX(JupData!$A$2:$K$10000,MATCH($A856&amp;H$1,JupData!$A$2:$A$10000&amp;JupData!$J$2:$J$10000,0),11))</f>
        <v/>
      </c>
      <c r="I856" t="str">
        <f t="array" ref="I856">IF($A856="","",INDEX(JupData!$A$2:$K$10000,MATCH($A856&amp;I$1,JupData!$A$2:$A$10000&amp;JupData!$J$2:$J$10000,0),11))</f>
        <v/>
      </c>
      <c r="J856" t="str">
        <f t="array" ref="J856">IF($A856="","",INDEX(JupData!$A$2:$K$10000,MATCH($A856&amp;J$1,JupData!$A$2:$A$10000&amp;JupData!$J$2:$J$10000,0),11))</f>
        <v/>
      </c>
      <c r="K856" t="str">
        <f t="array" ref="K856">IF($A856="","",INDEX(JupData!$A$2:$K$10000,MATCH($A856&amp;K$1,JupData!$A$2:$A$10000&amp;JupData!$J$2:$J$10000,0),11))</f>
        <v/>
      </c>
      <c r="L856" t="str">
        <f t="array" ref="L856">IF($A856="","",INDEX(JupData!$A$2:$K$10000,MATCH($A856&amp;L$1,JupData!$A$2:$A$10000&amp;JupData!$J$2:$J$10000,0),11))</f>
        <v/>
      </c>
      <c r="M856" t="str">
        <f t="array" ref="M856">IF($A856="","",INDEX(JupData!$A$2:$K$10000,MATCH($A856&amp;M$1,JupData!$A$2:$A$10000&amp;JupData!$J$2:$J$10000,0),11))</f>
        <v/>
      </c>
      <c r="N856" t="str">
        <f t="array" ref="N856">IF($A856="","",INDEX(JupData!$A$2:$K$10000,MATCH($A856&amp;N$1,JupData!$A$2:$A$10000&amp;JupData!$J$2:$J$10000,0),11))</f>
        <v/>
      </c>
      <c r="O856" t="str">
        <f t="array" ref="O856">IF($A856="","",INDEX(JupData!$A$2:$K$10000,MATCH($A856&amp;O$1,JupData!$A$2:$A$10000&amp;JupData!$J$2:$J$10000,0),11))</f>
        <v/>
      </c>
      <c r="P856" t="str">
        <f t="array" ref="P856">IF($A856="","",INDEX(JupData!$A$2:$K$10000,MATCH($A856&amp;P$1,JupData!$A$2:$A$10000&amp;JupData!$J$2:$J$10000,0),11))</f>
        <v/>
      </c>
      <c r="Q856" t="str">
        <f t="array" ref="Q856">IF($A856="","",INDEX(JupData!$A$2:$K$10000,MATCH($A856&amp;Q$1,JupData!$A$2:$A$10000&amp;JupData!$J$2:$J$10000,0),11))</f>
        <v/>
      </c>
      <c r="R856" t="str">
        <f t="array" ref="R856">IF($A856="","",INDEX(JupData!$A$2:$K$10000,MATCH($A856&amp;R$1,JupData!$A$2:$A$10000&amp;JupData!$J$2:$J$10000,0),11))</f>
        <v/>
      </c>
      <c r="S856" t="str">
        <f t="array" ref="S856">IF($A856="","",INDEX(JupData!$A$2:$K$10000,MATCH($A856&amp;S$1,JupData!$A$2:$A$10000&amp;JupData!$J$2:$J$10000,0),11))</f>
        <v/>
      </c>
      <c r="T856" t="str">
        <f t="array" ref="T856">IF($A856="","",INDEX(JupData!$A$2:$K$10000,MATCH($A856&amp;T$1,JupData!$A$2:$A$10000&amp;JupData!$J$2:$J$10000,0),11))</f>
        <v/>
      </c>
      <c r="U856" t="str">
        <f t="array" ref="U856">IF($A856="","",INDEX(JupData!$A$2:$K$10000,MATCH($A856&amp;U$1,JupData!$A$2:$A$10000&amp;JupData!$J$2:$J$10000,0),11))</f>
        <v/>
      </c>
      <c r="V856" t="str">
        <f t="array" ref="V856">IF($A856="","",INDEX(JupData!$A$2:$K$10000,MATCH($A856&amp;V$1,JupData!$A$2:$A$10000&amp;JupData!$J$2:$J$10000,0),11))</f>
        <v/>
      </c>
      <c r="W856" t="str">
        <f t="array" ref="W856">IF($A856="","",INDEX(JupData!$A$2:$K$10000,MATCH($A856&amp;W$1,JupData!$A$2:$A$10000&amp;JupData!$J$2:$J$10000,0),11))</f>
        <v/>
      </c>
      <c r="X856" t="str">
        <f t="array" ref="X856">IF($A856="","",INDEX(JupData!$A$2:$K$10000,MATCH($A856&amp;X$1,JupData!$A$2:$A$10000&amp;JupData!$J$2:$J$10000,0),11))</f>
        <v/>
      </c>
      <c r="Y856" t="str">
        <f t="array" ref="Y856">IF($A856="","",INDEX(JupData!$A$2:$K$10000,MATCH($A856&amp;Y$1,JupData!$A$2:$A$10000&amp;JupData!$J$2:$J$10000,0),11))</f>
        <v/>
      </c>
      <c r="Z856" t="str">
        <f t="array" ref="Z856">IF($A856="","",INDEX(JupData!$A$2:$K$10000,MATCH($A856&amp;Z$1,JupData!$A$2:$A$10000&amp;JupData!$J$2:$J$10000,0),11))</f>
        <v/>
      </c>
      <c r="AA856" t="str">
        <f t="array" ref="AA856">IF($A856="","",INDEX(JupData!$A$2:$K$10000,MATCH($A856&amp;AA$1,JupData!$A$2:$A$10000&amp;JupData!$J$2:$J$10000,0),11))</f>
        <v/>
      </c>
      <c r="AB856" t="str">
        <f t="array" ref="AB856">IF($A856="","",INDEX(JupData!$A$2:$K$10000,MATCH($A856&amp;AB$1,JupData!$A$2:$A$10000&amp;JupData!$J$2:$J$10000,0),11))</f>
        <v/>
      </c>
      <c r="AC856" s="10" t="str">
        <f t="shared" si="143"/>
        <v/>
      </c>
      <c r="AD856" s="10" t="str">
        <f t="shared" si="144"/>
        <v/>
      </c>
      <c r="AE856" s="9" t="str">
        <f t="shared" si="145"/>
        <v/>
      </c>
      <c r="AF856" s="10" t="str">
        <f t="shared" si="146"/>
        <v/>
      </c>
      <c r="AG856" s="10" t="str">
        <f t="shared" si="147"/>
        <v/>
      </c>
      <c r="AH856" s="10" t="str">
        <f t="shared" si="148"/>
        <v/>
      </c>
      <c r="AI856" s="10" t="str">
        <f t="shared" si="149"/>
        <v/>
      </c>
      <c r="AJ856" s="10" t="str">
        <f t="shared" si="150"/>
        <v/>
      </c>
      <c r="AK856" s="10" t="str">
        <f t="shared" si="151"/>
        <v/>
      </c>
      <c r="AL856" s="14" t="str">
        <f t="shared" si="152"/>
        <v/>
      </c>
    </row>
    <row r="857" spans="1:38" x14ac:dyDescent="0.2">
      <c r="A857"/>
      <c r="B857" t="str">
        <f>IF($A857="","",VLOOKUP($A857,JupData!$A$2:$I$10000,4,FALSE))</f>
        <v/>
      </c>
      <c r="C857" s="7" t="str">
        <f>IF($A857="",IF(N(D857),0,""),VLOOKUP($A857,JupData!$A$2:$I$10000,7,FALSE))</f>
        <v/>
      </c>
      <c r="D857" t="str">
        <f t="shared" si="153"/>
        <v/>
      </c>
      <c r="E857" t="str">
        <f t="array" ref="E857">IF($A857="","",INDEX(JupData!$A$2:$K$10000,MATCH($A857&amp;E$1,JupData!$A$2:$A$10000&amp;JupData!$J$2:$J$10000,0),11))</f>
        <v/>
      </c>
      <c r="F857" t="str">
        <f t="array" ref="F857">IF($A857="","",INDEX(JupData!$A$2:$K$10000,MATCH($A857&amp;F$1,JupData!$A$2:$A$10000&amp;JupData!$J$2:$J$10000,0),11))</f>
        <v/>
      </c>
      <c r="G857" t="str">
        <f t="array" ref="G857">IF($A857="","",INDEX(JupData!$A$2:$K$10000,MATCH($A857&amp;G$1,JupData!$A$2:$A$10000&amp;JupData!$J$2:$J$10000,0),11))</f>
        <v/>
      </c>
      <c r="H857" t="str">
        <f t="array" ref="H857">IF($A857="","",INDEX(JupData!$A$2:$K$10000,MATCH($A857&amp;H$1,JupData!$A$2:$A$10000&amp;JupData!$J$2:$J$10000,0),11))</f>
        <v/>
      </c>
      <c r="I857" t="str">
        <f t="array" ref="I857">IF($A857="","",INDEX(JupData!$A$2:$K$10000,MATCH($A857&amp;I$1,JupData!$A$2:$A$10000&amp;JupData!$J$2:$J$10000,0),11))</f>
        <v/>
      </c>
      <c r="J857" t="str">
        <f t="array" ref="J857">IF($A857="","",INDEX(JupData!$A$2:$K$10000,MATCH($A857&amp;J$1,JupData!$A$2:$A$10000&amp;JupData!$J$2:$J$10000,0),11))</f>
        <v/>
      </c>
      <c r="K857" t="str">
        <f t="array" ref="K857">IF($A857="","",INDEX(JupData!$A$2:$K$10000,MATCH($A857&amp;K$1,JupData!$A$2:$A$10000&amp;JupData!$J$2:$J$10000,0),11))</f>
        <v/>
      </c>
      <c r="L857" t="str">
        <f t="array" ref="L857">IF($A857="","",INDEX(JupData!$A$2:$K$10000,MATCH($A857&amp;L$1,JupData!$A$2:$A$10000&amp;JupData!$J$2:$J$10000,0),11))</f>
        <v/>
      </c>
      <c r="M857" t="str">
        <f t="array" ref="M857">IF($A857="","",INDEX(JupData!$A$2:$K$10000,MATCH($A857&amp;M$1,JupData!$A$2:$A$10000&amp;JupData!$J$2:$J$10000,0),11))</f>
        <v/>
      </c>
      <c r="N857" t="str">
        <f t="array" ref="N857">IF($A857="","",INDEX(JupData!$A$2:$K$10000,MATCH($A857&amp;N$1,JupData!$A$2:$A$10000&amp;JupData!$J$2:$J$10000,0),11))</f>
        <v/>
      </c>
      <c r="O857" t="str">
        <f t="array" ref="O857">IF($A857="","",INDEX(JupData!$A$2:$K$10000,MATCH($A857&amp;O$1,JupData!$A$2:$A$10000&amp;JupData!$J$2:$J$10000,0),11))</f>
        <v/>
      </c>
      <c r="P857" t="str">
        <f t="array" ref="P857">IF($A857="","",INDEX(JupData!$A$2:$K$10000,MATCH($A857&amp;P$1,JupData!$A$2:$A$10000&amp;JupData!$J$2:$J$10000,0),11))</f>
        <v/>
      </c>
      <c r="Q857" t="str">
        <f t="array" ref="Q857">IF($A857="","",INDEX(JupData!$A$2:$K$10000,MATCH($A857&amp;Q$1,JupData!$A$2:$A$10000&amp;JupData!$J$2:$J$10000,0),11))</f>
        <v/>
      </c>
      <c r="R857" t="str">
        <f t="array" ref="R857">IF($A857="","",INDEX(JupData!$A$2:$K$10000,MATCH($A857&amp;R$1,JupData!$A$2:$A$10000&amp;JupData!$J$2:$J$10000,0),11))</f>
        <v/>
      </c>
      <c r="S857" t="str">
        <f t="array" ref="S857">IF($A857="","",INDEX(JupData!$A$2:$K$10000,MATCH($A857&amp;S$1,JupData!$A$2:$A$10000&amp;JupData!$J$2:$J$10000,0),11))</f>
        <v/>
      </c>
      <c r="T857" t="str">
        <f t="array" ref="T857">IF($A857="","",INDEX(JupData!$A$2:$K$10000,MATCH($A857&amp;T$1,JupData!$A$2:$A$10000&amp;JupData!$J$2:$J$10000,0),11))</f>
        <v/>
      </c>
      <c r="U857" t="str">
        <f t="array" ref="U857">IF($A857="","",INDEX(JupData!$A$2:$K$10000,MATCH($A857&amp;U$1,JupData!$A$2:$A$10000&amp;JupData!$J$2:$J$10000,0),11))</f>
        <v/>
      </c>
      <c r="V857" t="str">
        <f t="array" ref="V857">IF($A857="","",INDEX(JupData!$A$2:$K$10000,MATCH($A857&amp;V$1,JupData!$A$2:$A$10000&amp;JupData!$J$2:$J$10000,0),11))</f>
        <v/>
      </c>
      <c r="W857" t="str">
        <f t="array" ref="W857">IF($A857="","",INDEX(JupData!$A$2:$K$10000,MATCH($A857&amp;W$1,JupData!$A$2:$A$10000&amp;JupData!$J$2:$J$10000,0),11))</f>
        <v/>
      </c>
      <c r="X857" t="str">
        <f t="array" ref="X857">IF($A857="","",INDEX(JupData!$A$2:$K$10000,MATCH($A857&amp;X$1,JupData!$A$2:$A$10000&amp;JupData!$J$2:$J$10000,0),11))</f>
        <v/>
      </c>
      <c r="Y857" t="str">
        <f t="array" ref="Y857">IF($A857="","",INDEX(JupData!$A$2:$K$10000,MATCH($A857&amp;Y$1,JupData!$A$2:$A$10000&amp;JupData!$J$2:$J$10000,0),11))</f>
        <v/>
      </c>
      <c r="Z857" t="str">
        <f t="array" ref="Z857">IF($A857="","",INDEX(JupData!$A$2:$K$10000,MATCH($A857&amp;Z$1,JupData!$A$2:$A$10000&amp;JupData!$J$2:$J$10000,0),11))</f>
        <v/>
      </c>
      <c r="AA857" t="str">
        <f t="array" ref="AA857">IF($A857="","",INDEX(JupData!$A$2:$K$10000,MATCH($A857&amp;AA$1,JupData!$A$2:$A$10000&amp;JupData!$J$2:$J$10000,0),11))</f>
        <v/>
      </c>
      <c r="AB857" t="str">
        <f t="array" ref="AB857">IF($A857="","",INDEX(JupData!$A$2:$K$10000,MATCH($A857&amp;AB$1,JupData!$A$2:$A$10000&amp;JupData!$J$2:$J$10000,0),11))</f>
        <v/>
      </c>
      <c r="AC857" s="10" t="str">
        <f t="shared" si="143"/>
        <v/>
      </c>
      <c r="AD857" s="10" t="str">
        <f t="shared" si="144"/>
        <v/>
      </c>
      <c r="AE857" s="9" t="str">
        <f t="shared" si="145"/>
        <v/>
      </c>
      <c r="AF857" s="10" t="str">
        <f t="shared" si="146"/>
        <v/>
      </c>
      <c r="AG857" s="10" t="str">
        <f t="shared" si="147"/>
        <v/>
      </c>
      <c r="AH857" s="10" t="str">
        <f t="shared" si="148"/>
        <v/>
      </c>
      <c r="AI857" s="10" t="str">
        <f t="shared" si="149"/>
        <v/>
      </c>
      <c r="AJ857" s="10" t="str">
        <f t="shared" si="150"/>
        <v/>
      </c>
      <c r="AK857" s="10" t="str">
        <f t="shared" si="151"/>
        <v/>
      </c>
      <c r="AL857" s="14" t="str">
        <f t="shared" si="152"/>
        <v/>
      </c>
    </row>
    <row r="858" spans="1:38" x14ac:dyDescent="0.2">
      <c r="A858"/>
      <c r="B858" t="str">
        <f>IF($A858="","",VLOOKUP($A858,JupData!$A$2:$I$10000,4,FALSE))</f>
        <v/>
      </c>
      <c r="C858" s="7" t="str">
        <f>IF($A858="",IF(N(D858),0,""),VLOOKUP($A858,JupData!$A$2:$I$10000,7,FALSE))</f>
        <v/>
      </c>
      <c r="D858" t="str">
        <f t="shared" si="153"/>
        <v/>
      </c>
      <c r="E858" t="str">
        <f t="array" ref="E858">IF($A858="","",INDEX(JupData!$A$2:$K$10000,MATCH($A858&amp;E$1,JupData!$A$2:$A$10000&amp;JupData!$J$2:$J$10000,0),11))</f>
        <v/>
      </c>
      <c r="F858" t="str">
        <f t="array" ref="F858">IF($A858="","",INDEX(JupData!$A$2:$K$10000,MATCH($A858&amp;F$1,JupData!$A$2:$A$10000&amp;JupData!$J$2:$J$10000,0),11))</f>
        <v/>
      </c>
      <c r="G858" t="str">
        <f t="array" ref="G858">IF($A858="","",INDEX(JupData!$A$2:$K$10000,MATCH($A858&amp;G$1,JupData!$A$2:$A$10000&amp;JupData!$J$2:$J$10000,0),11))</f>
        <v/>
      </c>
      <c r="H858" t="str">
        <f t="array" ref="H858">IF($A858="","",INDEX(JupData!$A$2:$K$10000,MATCH($A858&amp;H$1,JupData!$A$2:$A$10000&amp;JupData!$J$2:$J$10000,0),11))</f>
        <v/>
      </c>
      <c r="I858" t="str">
        <f t="array" ref="I858">IF($A858="","",INDEX(JupData!$A$2:$K$10000,MATCH($A858&amp;I$1,JupData!$A$2:$A$10000&amp;JupData!$J$2:$J$10000,0),11))</f>
        <v/>
      </c>
      <c r="J858" t="str">
        <f t="array" ref="J858">IF($A858="","",INDEX(JupData!$A$2:$K$10000,MATCH($A858&amp;J$1,JupData!$A$2:$A$10000&amp;JupData!$J$2:$J$10000,0),11))</f>
        <v/>
      </c>
      <c r="K858" t="str">
        <f t="array" ref="K858">IF($A858="","",INDEX(JupData!$A$2:$K$10000,MATCH($A858&amp;K$1,JupData!$A$2:$A$10000&amp;JupData!$J$2:$J$10000,0),11))</f>
        <v/>
      </c>
      <c r="L858" t="str">
        <f t="array" ref="L858">IF($A858="","",INDEX(JupData!$A$2:$K$10000,MATCH($A858&amp;L$1,JupData!$A$2:$A$10000&amp;JupData!$J$2:$J$10000,0),11))</f>
        <v/>
      </c>
      <c r="M858" t="str">
        <f t="array" ref="M858">IF($A858="","",INDEX(JupData!$A$2:$K$10000,MATCH($A858&amp;M$1,JupData!$A$2:$A$10000&amp;JupData!$J$2:$J$10000,0),11))</f>
        <v/>
      </c>
      <c r="N858" t="str">
        <f t="array" ref="N858">IF($A858="","",INDEX(JupData!$A$2:$K$10000,MATCH($A858&amp;N$1,JupData!$A$2:$A$10000&amp;JupData!$J$2:$J$10000,0),11))</f>
        <v/>
      </c>
      <c r="O858" t="str">
        <f t="array" ref="O858">IF($A858="","",INDEX(JupData!$A$2:$K$10000,MATCH($A858&amp;O$1,JupData!$A$2:$A$10000&amp;JupData!$J$2:$J$10000,0),11))</f>
        <v/>
      </c>
      <c r="P858" t="str">
        <f t="array" ref="P858">IF($A858="","",INDEX(JupData!$A$2:$K$10000,MATCH($A858&amp;P$1,JupData!$A$2:$A$10000&amp;JupData!$J$2:$J$10000,0),11))</f>
        <v/>
      </c>
      <c r="Q858" t="str">
        <f t="array" ref="Q858">IF($A858="","",INDEX(JupData!$A$2:$K$10000,MATCH($A858&amp;Q$1,JupData!$A$2:$A$10000&amp;JupData!$J$2:$J$10000,0),11))</f>
        <v/>
      </c>
      <c r="R858" t="str">
        <f t="array" ref="R858">IF($A858="","",INDEX(JupData!$A$2:$K$10000,MATCH($A858&amp;R$1,JupData!$A$2:$A$10000&amp;JupData!$J$2:$J$10000,0),11))</f>
        <v/>
      </c>
      <c r="S858" t="str">
        <f t="array" ref="S858">IF($A858="","",INDEX(JupData!$A$2:$K$10000,MATCH($A858&amp;S$1,JupData!$A$2:$A$10000&amp;JupData!$J$2:$J$10000,0),11))</f>
        <v/>
      </c>
      <c r="T858" t="str">
        <f t="array" ref="T858">IF($A858="","",INDEX(JupData!$A$2:$K$10000,MATCH($A858&amp;T$1,JupData!$A$2:$A$10000&amp;JupData!$J$2:$J$10000,0),11))</f>
        <v/>
      </c>
      <c r="U858" t="str">
        <f t="array" ref="U858">IF($A858="","",INDEX(JupData!$A$2:$K$10000,MATCH($A858&amp;U$1,JupData!$A$2:$A$10000&amp;JupData!$J$2:$J$10000,0),11))</f>
        <v/>
      </c>
      <c r="V858" t="str">
        <f t="array" ref="V858">IF($A858="","",INDEX(JupData!$A$2:$K$10000,MATCH($A858&amp;V$1,JupData!$A$2:$A$10000&amp;JupData!$J$2:$J$10000,0),11))</f>
        <v/>
      </c>
      <c r="W858" t="str">
        <f t="array" ref="W858">IF($A858="","",INDEX(JupData!$A$2:$K$10000,MATCH($A858&amp;W$1,JupData!$A$2:$A$10000&amp;JupData!$J$2:$J$10000,0),11))</f>
        <v/>
      </c>
      <c r="X858" t="str">
        <f t="array" ref="X858">IF($A858="","",INDEX(JupData!$A$2:$K$10000,MATCH($A858&amp;X$1,JupData!$A$2:$A$10000&amp;JupData!$J$2:$J$10000,0),11))</f>
        <v/>
      </c>
      <c r="Y858" t="str">
        <f t="array" ref="Y858">IF($A858="","",INDEX(JupData!$A$2:$K$10000,MATCH($A858&amp;Y$1,JupData!$A$2:$A$10000&amp;JupData!$J$2:$J$10000,0),11))</f>
        <v/>
      </c>
      <c r="Z858" t="str">
        <f t="array" ref="Z858">IF($A858="","",INDEX(JupData!$A$2:$K$10000,MATCH($A858&amp;Z$1,JupData!$A$2:$A$10000&amp;JupData!$J$2:$J$10000,0),11))</f>
        <v/>
      </c>
      <c r="AA858" t="str">
        <f t="array" ref="AA858">IF($A858="","",INDEX(JupData!$A$2:$K$10000,MATCH($A858&amp;AA$1,JupData!$A$2:$A$10000&amp;JupData!$J$2:$J$10000,0),11))</f>
        <v/>
      </c>
      <c r="AB858" t="str">
        <f t="array" ref="AB858">IF($A858="","",INDEX(JupData!$A$2:$K$10000,MATCH($A858&amp;AB$1,JupData!$A$2:$A$10000&amp;JupData!$J$2:$J$10000,0),11))</f>
        <v/>
      </c>
      <c r="AC858" s="10" t="str">
        <f t="shared" si="143"/>
        <v/>
      </c>
      <c r="AD858" s="10" t="str">
        <f t="shared" si="144"/>
        <v/>
      </c>
      <c r="AE858" s="9" t="str">
        <f t="shared" si="145"/>
        <v/>
      </c>
      <c r="AF858" s="10" t="str">
        <f t="shared" si="146"/>
        <v/>
      </c>
      <c r="AG858" s="10" t="str">
        <f t="shared" si="147"/>
        <v/>
      </c>
      <c r="AH858" s="10" t="str">
        <f t="shared" si="148"/>
        <v/>
      </c>
      <c r="AI858" s="10" t="str">
        <f t="shared" si="149"/>
        <v/>
      </c>
      <c r="AJ858" s="10" t="str">
        <f t="shared" si="150"/>
        <v/>
      </c>
      <c r="AK858" s="10" t="str">
        <f t="shared" si="151"/>
        <v/>
      </c>
      <c r="AL858" s="14" t="str">
        <f t="shared" si="152"/>
        <v/>
      </c>
    </row>
    <row r="859" spans="1:38" x14ac:dyDescent="0.2">
      <c r="A859"/>
      <c r="B859" t="str">
        <f>IF($A859="","",VLOOKUP($A859,JupData!$A$2:$I$10000,4,FALSE))</f>
        <v/>
      </c>
      <c r="C859" s="7" t="str">
        <f>IF($A859="",IF(N(D859),0,""),VLOOKUP($A859,JupData!$A$2:$I$10000,7,FALSE))</f>
        <v/>
      </c>
      <c r="D859" t="str">
        <f t="shared" si="153"/>
        <v/>
      </c>
      <c r="E859" t="str">
        <f t="array" ref="E859">IF($A859="","",INDEX(JupData!$A$2:$K$10000,MATCH($A859&amp;E$1,JupData!$A$2:$A$10000&amp;JupData!$J$2:$J$10000,0),11))</f>
        <v/>
      </c>
      <c r="F859" t="str">
        <f t="array" ref="F859">IF($A859="","",INDEX(JupData!$A$2:$K$10000,MATCH($A859&amp;F$1,JupData!$A$2:$A$10000&amp;JupData!$J$2:$J$10000,0),11))</f>
        <v/>
      </c>
      <c r="G859" t="str">
        <f t="array" ref="G859">IF($A859="","",INDEX(JupData!$A$2:$K$10000,MATCH($A859&amp;G$1,JupData!$A$2:$A$10000&amp;JupData!$J$2:$J$10000,0),11))</f>
        <v/>
      </c>
      <c r="H859" t="str">
        <f t="array" ref="H859">IF($A859="","",INDEX(JupData!$A$2:$K$10000,MATCH($A859&amp;H$1,JupData!$A$2:$A$10000&amp;JupData!$J$2:$J$10000,0),11))</f>
        <v/>
      </c>
      <c r="I859" t="str">
        <f t="array" ref="I859">IF($A859="","",INDEX(JupData!$A$2:$K$10000,MATCH($A859&amp;I$1,JupData!$A$2:$A$10000&amp;JupData!$J$2:$J$10000,0),11))</f>
        <v/>
      </c>
      <c r="J859" t="str">
        <f t="array" ref="J859">IF($A859="","",INDEX(JupData!$A$2:$K$10000,MATCH($A859&amp;J$1,JupData!$A$2:$A$10000&amp;JupData!$J$2:$J$10000,0),11))</f>
        <v/>
      </c>
      <c r="K859" t="str">
        <f t="array" ref="K859">IF($A859="","",INDEX(JupData!$A$2:$K$10000,MATCH($A859&amp;K$1,JupData!$A$2:$A$10000&amp;JupData!$J$2:$J$10000,0),11))</f>
        <v/>
      </c>
      <c r="L859" t="str">
        <f t="array" ref="L859">IF($A859="","",INDEX(JupData!$A$2:$K$10000,MATCH($A859&amp;L$1,JupData!$A$2:$A$10000&amp;JupData!$J$2:$J$10000,0),11))</f>
        <v/>
      </c>
      <c r="M859" t="str">
        <f t="array" ref="M859">IF($A859="","",INDEX(JupData!$A$2:$K$10000,MATCH($A859&amp;M$1,JupData!$A$2:$A$10000&amp;JupData!$J$2:$J$10000,0),11))</f>
        <v/>
      </c>
      <c r="N859" t="str">
        <f t="array" ref="N859">IF($A859="","",INDEX(JupData!$A$2:$K$10000,MATCH($A859&amp;N$1,JupData!$A$2:$A$10000&amp;JupData!$J$2:$J$10000,0),11))</f>
        <v/>
      </c>
      <c r="O859" t="str">
        <f t="array" ref="O859">IF($A859="","",INDEX(JupData!$A$2:$K$10000,MATCH($A859&amp;O$1,JupData!$A$2:$A$10000&amp;JupData!$J$2:$J$10000,0),11))</f>
        <v/>
      </c>
      <c r="P859" t="str">
        <f t="array" ref="P859">IF($A859="","",INDEX(JupData!$A$2:$K$10000,MATCH($A859&amp;P$1,JupData!$A$2:$A$10000&amp;JupData!$J$2:$J$10000,0),11))</f>
        <v/>
      </c>
      <c r="Q859" t="str">
        <f t="array" ref="Q859">IF($A859="","",INDEX(JupData!$A$2:$K$10000,MATCH($A859&amp;Q$1,JupData!$A$2:$A$10000&amp;JupData!$J$2:$J$10000,0),11))</f>
        <v/>
      </c>
      <c r="R859" t="str">
        <f t="array" ref="R859">IF($A859="","",INDEX(JupData!$A$2:$K$10000,MATCH($A859&amp;R$1,JupData!$A$2:$A$10000&amp;JupData!$J$2:$J$10000,0),11))</f>
        <v/>
      </c>
      <c r="S859" t="str">
        <f t="array" ref="S859">IF($A859="","",INDEX(JupData!$A$2:$K$10000,MATCH($A859&amp;S$1,JupData!$A$2:$A$10000&amp;JupData!$J$2:$J$10000,0),11))</f>
        <v/>
      </c>
      <c r="T859" t="str">
        <f t="array" ref="T859">IF($A859="","",INDEX(JupData!$A$2:$K$10000,MATCH($A859&amp;T$1,JupData!$A$2:$A$10000&amp;JupData!$J$2:$J$10000,0),11))</f>
        <v/>
      </c>
      <c r="U859" t="str">
        <f t="array" ref="U859">IF($A859="","",INDEX(JupData!$A$2:$K$10000,MATCH($A859&amp;U$1,JupData!$A$2:$A$10000&amp;JupData!$J$2:$J$10000,0),11))</f>
        <v/>
      </c>
      <c r="V859" t="str">
        <f t="array" ref="V859">IF($A859="","",INDEX(JupData!$A$2:$K$10000,MATCH($A859&amp;V$1,JupData!$A$2:$A$10000&amp;JupData!$J$2:$J$10000,0),11))</f>
        <v/>
      </c>
      <c r="W859" t="str">
        <f t="array" ref="W859">IF($A859="","",INDEX(JupData!$A$2:$K$10000,MATCH($A859&amp;W$1,JupData!$A$2:$A$10000&amp;JupData!$J$2:$J$10000,0),11))</f>
        <v/>
      </c>
      <c r="X859" t="str">
        <f t="array" ref="X859">IF($A859="","",INDEX(JupData!$A$2:$K$10000,MATCH($A859&amp;X$1,JupData!$A$2:$A$10000&amp;JupData!$J$2:$J$10000,0),11))</f>
        <v/>
      </c>
      <c r="Y859" t="str">
        <f t="array" ref="Y859">IF($A859="","",INDEX(JupData!$A$2:$K$10000,MATCH($A859&amp;Y$1,JupData!$A$2:$A$10000&amp;JupData!$J$2:$J$10000,0),11))</f>
        <v/>
      </c>
      <c r="Z859" t="str">
        <f t="array" ref="Z859">IF($A859="","",INDEX(JupData!$A$2:$K$10000,MATCH($A859&amp;Z$1,JupData!$A$2:$A$10000&amp;JupData!$J$2:$J$10000,0),11))</f>
        <v/>
      </c>
      <c r="AA859" t="str">
        <f t="array" ref="AA859">IF($A859="","",INDEX(JupData!$A$2:$K$10000,MATCH($A859&amp;AA$1,JupData!$A$2:$A$10000&amp;JupData!$J$2:$J$10000,0),11))</f>
        <v/>
      </c>
      <c r="AB859" t="str">
        <f t="array" ref="AB859">IF($A859="","",INDEX(JupData!$A$2:$K$10000,MATCH($A859&amp;AB$1,JupData!$A$2:$A$10000&amp;JupData!$J$2:$J$10000,0),11))</f>
        <v/>
      </c>
      <c r="AC859" s="10" t="str">
        <f t="shared" si="143"/>
        <v/>
      </c>
      <c r="AD859" s="10" t="str">
        <f t="shared" si="144"/>
        <v/>
      </c>
      <c r="AE859" s="9" t="str">
        <f t="shared" si="145"/>
        <v/>
      </c>
      <c r="AF859" s="10" t="str">
        <f t="shared" si="146"/>
        <v/>
      </c>
      <c r="AG859" s="10" t="str">
        <f t="shared" si="147"/>
        <v/>
      </c>
      <c r="AH859" s="10" t="str">
        <f t="shared" si="148"/>
        <v/>
      </c>
      <c r="AI859" s="10" t="str">
        <f t="shared" si="149"/>
        <v/>
      </c>
      <c r="AJ859" s="10" t="str">
        <f t="shared" si="150"/>
        <v/>
      </c>
      <c r="AK859" s="10" t="str">
        <f t="shared" si="151"/>
        <v/>
      </c>
      <c r="AL859" s="14" t="str">
        <f t="shared" si="152"/>
        <v/>
      </c>
    </row>
    <row r="860" spans="1:38" x14ac:dyDescent="0.2">
      <c r="A860"/>
      <c r="B860" t="str">
        <f>IF($A860="","",VLOOKUP($A860,JupData!$A$2:$I$10000,4,FALSE))</f>
        <v/>
      </c>
      <c r="C860" s="7" t="str">
        <f>IF($A860="",IF(N(D860),0,""),VLOOKUP($A860,JupData!$A$2:$I$10000,7,FALSE))</f>
        <v/>
      </c>
      <c r="D860" t="str">
        <f t="shared" si="153"/>
        <v/>
      </c>
      <c r="E860" t="str">
        <f t="array" ref="E860">IF($A860="","",INDEX(JupData!$A$2:$K$10000,MATCH($A860&amp;E$1,JupData!$A$2:$A$10000&amp;JupData!$J$2:$J$10000,0),11))</f>
        <v/>
      </c>
      <c r="F860" t="str">
        <f t="array" ref="F860">IF($A860="","",INDEX(JupData!$A$2:$K$10000,MATCH($A860&amp;F$1,JupData!$A$2:$A$10000&amp;JupData!$J$2:$J$10000,0),11))</f>
        <v/>
      </c>
      <c r="G860" t="str">
        <f t="array" ref="G860">IF($A860="","",INDEX(JupData!$A$2:$K$10000,MATCH($A860&amp;G$1,JupData!$A$2:$A$10000&amp;JupData!$J$2:$J$10000,0),11))</f>
        <v/>
      </c>
      <c r="H860" t="str">
        <f t="array" ref="H860">IF($A860="","",INDEX(JupData!$A$2:$K$10000,MATCH($A860&amp;H$1,JupData!$A$2:$A$10000&amp;JupData!$J$2:$J$10000,0),11))</f>
        <v/>
      </c>
      <c r="I860" t="str">
        <f t="array" ref="I860">IF($A860="","",INDEX(JupData!$A$2:$K$10000,MATCH($A860&amp;I$1,JupData!$A$2:$A$10000&amp;JupData!$J$2:$J$10000,0),11))</f>
        <v/>
      </c>
      <c r="J860" t="str">
        <f t="array" ref="J860">IF($A860="","",INDEX(JupData!$A$2:$K$10000,MATCH($A860&amp;J$1,JupData!$A$2:$A$10000&amp;JupData!$J$2:$J$10000,0),11))</f>
        <v/>
      </c>
      <c r="K860" t="str">
        <f t="array" ref="K860">IF($A860="","",INDEX(JupData!$A$2:$K$10000,MATCH($A860&amp;K$1,JupData!$A$2:$A$10000&amp;JupData!$J$2:$J$10000,0),11))</f>
        <v/>
      </c>
      <c r="L860" t="str">
        <f t="array" ref="L860">IF($A860="","",INDEX(JupData!$A$2:$K$10000,MATCH($A860&amp;L$1,JupData!$A$2:$A$10000&amp;JupData!$J$2:$J$10000,0),11))</f>
        <v/>
      </c>
      <c r="M860" t="str">
        <f t="array" ref="M860">IF($A860="","",INDEX(JupData!$A$2:$K$10000,MATCH($A860&amp;M$1,JupData!$A$2:$A$10000&amp;JupData!$J$2:$J$10000,0),11))</f>
        <v/>
      </c>
      <c r="N860" t="str">
        <f t="array" ref="N860">IF($A860="","",INDEX(JupData!$A$2:$K$10000,MATCH($A860&amp;N$1,JupData!$A$2:$A$10000&amp;JupData!$J$2:$J$10000,0),11))</f>
        <v/>
      </c>
      <c r="O860" t="str">
        <f t="array" ref="O860">IF($A860="","",INDEX(JupData!$A$2:$K$10000,MATCH($A860&amp;O$1,JupData!$A$2:$A$10000&amp;JupData!$J$2:$J$10000,0),11))</f>
        <v/>
      </c>
      <c r="P860" t="str">
        <f t="array" ref="P860">IF($A860="","",INDEX(JupData!$A$2:$K$10000,MATCH($A860&amp;P$1,JupData!$A$2:$A$10000&amp;JupData!$J$2:$J$10000,0),11))</f>
        <v/>
      </c>
      <c r="Q860" t="str">
        <f t="array" ref="Q860">IF($A860="","",INDEX(JupData!$A$2:$K$10000,MATCH($A860&amp;Q$1,JupData!$A$2:$A$10000&amp;JupData!$J$2:$J$10000,0),11))</f>
        <v/>
      </c>
      <c r="R860" t="str">
        <f t="array" ref="R860">IF($A860="","",INDEX(JupData!$A$2:$K$10000,MATCH($A860&amp;R$1,JupData!$A$2:$A$10000&amp;JupData!$J$2:$J$10000,0),11))</f>
        <v/>
      </c>
      <c r="S860" t="str">
        <f t="array" ref="S860">IF($A860="","",INDEX(JupData!$A$2:$K$10000,MATCH($A860&amp;S$1,JupData!$A$2:$A$10000&amp;JupData!$J$2:$J$10000,0),11))</f>
        <v/>
      </c>
      <c r="T860" t="str">
        <f t="array" ref="T860">IF($A860="","",INDEX(JupData!$A$2:$K$10000,MATCH($A860&amp;T$1,JupData!$A$2:$A$10000&amp;JupData!$J$2:$J$10000,0),11))</f>
        <v/>
      </c>
      <c r="U860" t="str">
        <f t="array" ref="U860">IF($A860="","",INDEX(JupData!$A$2:$K$10000,MATCH($A860&amp;U$1,JupData!$A$2:$A$10000&amp;JupData!$J$2:$J$10000,0),11))</f>
        <v/>
      </c>
      <c r="V860" t="str">
        <f t="array" ref="V860">IF($A860="","",INDEX(JupData!$A$2:$K$10000,MATCH($A860&amp;V$1,JupData!$A$2:$A$10000&amp;JupData!$J$2:$J$10000,0),11))</f>
        <v/>
      </c>
      <c r="W860" t="str">
        <f t="array" ref="W860">IF($A860="","",INDEX(JupData!$A$2:$K$10000,MATCH($A860&amp;W$1,JupData!$A$2:$A$10000&amp;JupData!$J$2:$J$10000,0),11))</f>
        <v/>
      </c>
      <c r="X860" t="str">
        <f t="array" ref="X860">IF($A860="","",INDEX(JupData!$A$2:$K$10000,MATCH($A860&amp;X$1,JupData!$A$2:$A$10000&amp;JupData!$J$2:$J$10000,0),11))</f>
        <v/>
      </c>
      <c r="Y860" t="str">
        <f t="array" ref="Y860">IF($A860="","",INDEX(JupData!$A$2:$K$10000,MATCH($A860&amp;Y$1,JupData!$A$2:$A$10000&amp;JupData!$J$2:$J$10000,0),11))</f>
        <v/>
      </c>
      <c r="Z860" t="str">
        <f t="array" ref="Z860">IF($A860="","",INDEX(JupData!$A$2:$K$10000,MATCH($A860&amp;Z$1,JupData!$A$2:$A$10000&amp;JupData!$J$2:$J$10000,0),11))</f>
        <v/>
      </c>
      <c r="AA860" t="str">
        <f t="array" ref="AA860">IF($A860="","",INDEX(JupData!$A$2:$K$10000,MATCH($A860&amp;AA$1,JupData!$A$2:$A$10000&amp;JupData!$J$2:$J$10000,0),11))</f>
        <v/>
      </c>
      <c r="AB860" t="str">
        <f t="array" ref="AB860">IF($A860="","",INDEX(JupData!$A$2:$K$10000,MATCH($A860&amp;AB$1,JupData!$A$2:$A$10000&amp;JupData!$J$2:$J$10000,0),11))</f>
        <v/>
      </c>
      <c r="AC860" s="10" t="str">
        <f t="shared" si="143"/>
        <v/>
      </c>
      <c r="AD860" s="10" t="str">
        <f t="shared" si="144"/>
        <v/>
      </c>
      <c r="AE860" s="9" t="str">
        <f t="shared" si="145"/>
        <v/>
      </c>
      <c r="AF860" s="10" t="str">
        <f t="shared" si="146"/>
        <v/>
      </c>
      <c r="AG860" s="10" t="str">
        <f t="shared" si="147"/>
        <v/>
      </c>
      <c r="AH860" s="10" t="str">
        <f t="shared" si="148"/>
        <v/>
      </c>
      <c r="AI860" s="10" t="str">
        <f t="shared" si="149"/>
        <v/>
      </c>
      <c r="AJ860" s="10" t="str">
        <f t="shared" si="150"/>
        <v/>
      </c>
      <c r="AK860" s="10" t="str">
        <f t="shared" si="151"/>
        <v/>
      </c>
      <c r="AL860" s="14" t="str">
        <f t="shared" si="152"/>
        <v/>
      </c>
    </row>
    <row r="861" spans="1:38" x14ac:dyDescent="0.2">
      <c r="A861"/>
      <c r="B861" t="str">
        <f>IF($A861="","",VLOOKUP($A861,JupData!$A$2:$I$10000,4,FALSE))</f>
        <v/>
      </c>
      <c r="C861" s="7" t="str">
        <f>IF($A861="",IF(N(D861),0,""),VLOOKUP($A861,JupData!$A$2:$I$10000,7,FALSE))</f>
        <v/>
      </c>
      <c r="D861" t="str">
        <f t="shared" si="153"/>
        <v/>
      </c>
      <c r="E861" t="str">
        <f t="array" ref="E861">IF($A861="","",INDEX(JupData!$A$2:$K$10000,MATCH($A861&amp;E$1,JupData!$A$2:$A$10000&amp;JupData!$J$2:$J$10000,0),11))</f>
        <v/>
      </c>
      <c r="F861" t="str">
        <f t="array" ref="F861">IF($A861="","",INDEX(JupData!$A$2:$K$10000,MATCH($A861&amp;F$1,JupData!$A$2:$A$10000&amp;JupData!$J$2:$J$10000,0),11))</f>
        <v/>
      </c>
      <c r="G861" t="str">
        <f t="array" ref="G861">IF($A861="","",INDEX(JupData!$A$2:$K$10000,MATCH($A861&amp;G$1,JupData!$A$2:$A$10000&amp;JupData!$J$2:$J$10000,0),11))</f>
        <v/>
      </c>
      <c r="H861" t="str">
        <f t="array" ref="H861">IF($A861="","",INDEX(JupData!$A$2:$K$10000,MATCH($A861&amp;H$1,JupData!$A$2:$A$10000&amp;JupData!$J$2:$J$10000,0),11))</f>
        <v/>
      </c>
      <c r="I861" t="str">
        <f t="array" ref="I861">IF($A861="","",INDEX(JupData!$A$2:$K$10000,MATCH($A861&amp;I$1,JupData!$A$2:$A$10000&amp;JupData!$J$2:$J$10000,0),11))</f>
        <v/>
      </c>
      <c r="J861" t="str">
        <f t="array" ref="J861">IF($A861="","",INDEX(JupData!$A$2:$K$10000,MATCH($A861&amp;J$1,JupData!$A$2:$A$10000&amp;JupData!$J$2:$J$10000,0),11))</f>
        <v/>
      </c>
      <c r="K861" t="str">
        <f t="array" ref="K861">IF($A861="","",INDEX(JupData!$A$2:$K$10000,MATCH($A861&amp;K$1,JupData!$A$2:$A$10000&amp;JupData!$J$2:$J$10000,0),11))</f>
        <v/>
      </c>
      <c r="L861" t="str">
        <f t="array" ref="L861">IF($A861="","",INDEX(JupData!$A$2:$K$10000,MATCH($A861&amp;L$1,JupData!$A$2:$A$10000&amp;JupData!$J$2:$J$10000,0),11))</f>
        <v/>
      </c>
      <c r="M861" t="str">
        <f t="array" ref="M861">IF($A861="","",INDEX(JupData!$A$2:$K$10000,MATCH($A861&amp;M$1,JupData!$A$2:$A$10000&amp;JupData!$J$2:$J$10000,0),11))</f>
        <v/>
      </c>
      <c r="N861" t="str">
        <f t="array" ref="N861">IF($A861="","",INDEX(JupData!$A$2:$K$10000,MATCH($A861&amp;N$1,JupData!$A$2:$A$10000&amp;JupData!$J$2:$J$10000,0),11))</f>
        <v/>
      </c>
      <c r="O861" t="str">
        <f t="array" ref="O861">IF($A861="","",INDEX(JupData!$A$2:$K$10000,MATCH($A861&amp;O$1,JupData!$A$2:$A$10000&amp;JupData!$J$2:$J$10000,0),11))</f>
        <v/>
      </c>
      <c r="P861" t="str">
        <f t="array" ref="P861">IF($A861="","",INDEX(JupData!$A$2:$K$10000,MATCH($A861&amp;P$1,JupData!$A$2:$A$10000&amp;JupData!$J$2:$J$10000,0),11))</f>
        <v/>
      </c>
      <c r="Q861" t="str">
        <f t="array" ref="Q861">IF($A861="","",INDEX(JupData!$A$2:$K$10000,MATCH($A861&amp;Q$1,JupData!$A$2:$A$10000&amp;JupData!$J$2:$J$10000,0),11))</f>
        <v/>
      </c>
      <c r="R861" t="str">
        <f t="array" ref="R861">IF($A861="","",INDEX(JupData!$A$2:$K$10000,MATCH($A861&amp;R$1,JupData!$A$2:$A$10000&amp;JupData!$J$2:$J$10000,0),11))</f>
        <v/>
      </c>
      <c r="S861" t="str">
        <f t="array" ref="S861">IF($A861="","",INDEX(JupData!$A$2:$K$10000,MATCH($A861&amp;S$1,JupData!$A$2:$A$10000&amp;JupData!$J$2:$J$10000,0),11))</f>
        <v/>
      </c>
      <c r="T861" t="str">
        <f t="array" ref="T861">IF($A861="","",INDEX(JupData!$A$2:$K$10000,MATCH($A861&amp;T$1,JupData!$A$2:$A$10000&amp;JupData!$J$2:$J$10000,0),11))</f>
        <v/>
      </c>
      <c r="U861" t="str">
        <f t="array" ref="U861">IF($A861="","",INDEX(JupData!$A$2:$K$10000,MATCH($A861&amp;U$1,JupData!$A$2:$A$10000&amp;JupData!$J$2:$J$10000,0),11))</f>
        <v/>
      </c>
      <c r="V861" t="str">
        <f t="array" ref="V861">IF($A861="","",INDEX(JupData!$A$2:$K$10000,MATCH($A861&amp;V$1,JupData!$A$2:$A$10000&amp;JupData!$J$2:$J$10000,0),11))</f>
        <v/>
      </c>
      <c r="W861" t="str">
        <f t="array" ref="W861">IF($A861="","",INDEX(JupData!$A$2:$K$10000,MATCH($A861&amp;W$1,JupData!$A$2:$A$10000&amp;JupData!$J$2:$J$10000,0),11))</f>
        <v/>
      </c>
      <c r="X861" t="str">
        <f t="array" ref="X861">IF($A861="","",INDEX(JupData!$A$2:$K$10000,MATCH($A861&amp;X$1,JupData!$A$2:$A$10000&amp;JupData!$J$2:$J$10000,0),11))</f>
        <v/>
      </c>
      <c r="Y861" t="str">
        <f t="array" ref="Y861">IF($A861="","",INDEX(JupData!$A$2:$K$10000,MATCH($A861&amp;Y$1,JupData!$A$2:$A$10000&amp;JupData!$J$2:$J$10000,0),11))</f>
        <v/>
      </c>
      <c r="Z861" t="str">
        <f t="array" ref="Z861">IF($A861="","",INDEX(JupData!$A$2:$K$10000,MATCH($A861&amp;Z$1,JupData!$A$2:$A$10000&amp;JupData!$J$2:$J$10000,0),11))</f>
        <v/>
      </c>
      <c r="AA861" t="str">
        <f t="array" ref="AA861">IF($A861="","",INDEX(JupData!$A$2:$K$10000,MATCH($A861&amp;AA$1,JupData!$A$2:$A$10000&amp;JupData!$J$2:$J$10000,0),11))</f>
        <v/>
      </c>
      <c r="AB861" t="str">
        <f t="array" ref="AB861">IF($A861="","",INDEX(JupData!$A$2:$K$10000,MATCH($A861&amp;AB$1,JupData!$A$2:$A$10000&amp;JupData!$J$2:$J$10000,0),11))</f>
        <v/>
      </c>
      <c r="AC861" s="10" t="str">
        <f t="shared" si="143"/>
        <v/>
      </c>
      <c r="AD861" s="10" t="str">
        <f t="shared" si="144"/>
        <v/>
      </c>
      <c r="AE861" s="9" t="str">
        <f t="shared" si="145"/>
        <v/>
      </c>
      <c r="AF861" s="10" t="str">
        <f t="shared" si="146"/>
        <v/>
      </c>
      <c r="AG861" s="10" t="str">
        <f t="shared" si="147"/>
        <v/>
      </c>
      <c r="AH861" s="10" t="str">
        <f t="shared" si="148"/>
        <v/>
      </c>
      <c r="AI861" s="10" t="str">
        <f t="shared" si="149"/>
        <v/>
      </c>
      <c r="AJ861" s="10" t="str">
        <f t="shared" si="150"/>
        <v/>
      </c>
      <c r="AK861" s="10" t="str">
        <f t="shared" si="151"/>
        <v/>
      </c>
      <c r="AL861" s="14" t="str">
        <f t="shared" si="152"/>
        <v/>
      </c>
    </row>
    <row r="862" spans="1:38" x14ac:dyDescent="0.2">
      <c r="A862"/>
      <c r="B862" t="str">
        <f>IF($A862="","",VLOOKUP($A862,JupData!$A$2:$I$10000,4,FALSE))</f>
        <v/>
      </c>
      <c r="C862" s="7" t="str">
        <f>IF($A862="",IF(N(D862),0,""),VLOOKUP($A862,JupData!$A$2:$I$10000,7,FALSE))</f>
        <v/>
      </c>
      <c r="D862" t="str">
        <f t="shared" si="153"/>
        <v/>
      </c>
      <c r="E862" t="str">
        <f t="array" ref="E862">IF($A862="","",INDEX(JupData!$A$2:$K$10000,MATCH($A862&amp;E$1,JupData!$A$2:$A$10000&amp;JupData!$J$2:$J$10000,0),11))</f>
        <v/>
      </c>
      <c r="F862" t="str">
        <f t="array" ref="F862">IF($A862="","",INDEX(JupData!$A$2:$K$10000,MATCH($A862&amp;F$1,JupData!$A$2:$A$10000&amp;JupData!$J$2:$J$10000,0),11))</f>
        <v/>
      </c>
      <c r="G862" t="str">
        <f t="array" ref="G862">IF($A862="","",INDEX(JupData!$A$2:$K$10000,MATCH($A862&amp;G$1,JupData!$A$2:$A$10000&amp;JupData!$J$2:$J$10000,0),11))</f>
        <v/>
      </c>
      <c r="H862" t="str">
        <f t="array" ref="H862">IF($A862="","",INDEX(JupData!$A$2:$K$10000,MATCH($A862&amp;H$1,JupData!$A$2:$A$10000&amp;JupData!$J$2:$J$10000,0),11))</f>
        <v/>
      </c>
      <c r="I862" t="str">
        <f t="array" ref="I862">IF($A862="","",INDEX(JupData!$A$2:$K$10000,MATCH($A862&amp;I$1,JupData!$A$2:$A$10000&amp;JupData!$J$2:$J$10000,0),11))</f>
        <v/>
      </c>
      <c r="J862" t="str">
        <f t="array" ref="J862">IF($A862="","",INDEX(JupData!$A$2:$K$10000,MATCH($A862&amp;J$1,JupData!$A$2:$A$10000&amp;JupData!$J$2:$J$10000,0),11))</f>
        <v/>
      </c>
      <c r="K862" t="str">
        <f t="array" ref="K862">IF($A862="","",INDEX(JupData!$A$2:$K$10000,MATCH($A862&amp;K$1,JupData!$A$2:$A$10000&amp;JupData!$J$2:$J$10000,0),11))</f>
        <v/>
      </c>
      <c r="L862" t="str">
        <f t="array" ref="L862">IF($A862="","",INDEX(JupData!$A$2:$K$10000,MATCH($A862&amp;L$1,JupData!$A$2:$A$10000&amp;JupData!$J$2:$J$10000,0),11))</f>
        <v/>
      </c>
      <c r="M862" t="str">
        <f t="array" ref="M862">IF($A862="","",INDEX(JupData!$A$2:$K$10000,MATCH($A862&amp;M$1,JupData!$A$2:$A$10000&amp;JupData!$J$2:$J$10000,0),11))</f>
        <v/>
      </c>
      <c r="N862" t="str">
        <f t="array" ref="N862">IF($A862="","",INDEX(JupData!$A$2:$K$10000,MATCH($A862&amp;N$1,JupData!$A$2:$A$10000&amp;JupData!$J$2:$J$10000,0),11))</f>
        <v/>
      </c>
      <c r="O862" t="str">
        <f t="array" ref="O862">IF($A862="","",INDEX(JupData!$A$2:$K$10000,MATCH($A862&amp;O$1,JupData!$A$2:$A$10000&amp;JupData!$J$2:$J$10000,0),11))</f>
        <v/>
      </c>
      <c r="P862" t="str">
        <f t="array" ref="P862">IF($A862="","",INDEX(JupData!$A$2:$K$10000,MATCH($A862&amp;P$1,JupData!$A$2:$A$10000&amp;JupData!$J$2:$J$10000,0),11))</f>
        <v/>
      </c>
      <c r="Q862" t="str">
        <f t="array" ref="Q862">IF($A862="","",INDEX(JupData!$A$2:$K$10000,MATCH($A862&amp;Q$1,JupData!$A$2:$A$10000&amp;JupData!$J$2:$J$10000,0),11))</f>
        <v/>
      </c>
      <c r="R862" t="str">
        <f t="array" ref="R862">IF($A862="","",INDEX(JupData!$A$2:$K$10000,MATCH($A862&amp;R$1,JupData!$A$2:$A$10000&amp;JupData!$J$2:$J$10000,0),11))</f>
        <v/>
      </c>
      <c r="S862" t="str">
        <f t="array" ref="S862">IF($A862="","",INDEX(JupData!$A$2:$K$10000,MATCH($A862&amp;S$1,JupData!$A$2:$A$10000&amp;JupData!$J$2:$J$10000,0),11))</f>
        <v/>
      </c>
      <c r="T862" t="str">
        <f t="array" ref="T862">IF($A862="","",INDEX(JupData!$A$2:$K$10000,MATCH($A862&amp;T$1,JupData!$A$2:$A$10000&amp;JupData!$J$2:$J$10000,0),11))</f>
        <v/>
      </c>
      <c r="U862" t="str">
        <f t="array" ref="U862">IF($A862="","",INDEX(JupData!$A$2:$K$10000,MATCH($A862&amp;U$1,JupData!$A$2:$A$10000&amp;JupData!$J$2:$J$10000,0),11))</f>
        <v/>
      </c>
      <c r="V862" t="str">
        <f t="array" ref="V862">IF($A862="","",INDEX(JupData!$A$2:$K$10000,MATCH($A862&amp;V$1,JupData!$A$2:$A$10000&amp;JupData!$J$2:$J$10000,0),11))</f>
        <v/>
      </c>
      <c r="W862" t="str">
        <f t="array" ref="W862">IF($A862="","",INDEX(JupData!$A$2:$K$10000,MATCH($A862&amp;W$1,JupData!$A$2:$A$10000&amp;JupData!$J$2:$J$10000,0),11))</f>
        <v/>
      </c>
      <c r="X862" t="str">
        <f t="array" ref="X862">IF($A862="","",INDEX(JupData!$A$2:$K$10000,MATCH($A862&amp;X$1,JupData!$A$2:$A$10000&amp;JupData!$J$2:$J$10000,0),11))</f>
        <v/>
      </c>
      <c r="Y862" t="str">
        <f t="array" ref="Y862">IF($A862="","",INDEX(JupData!$A$2:$K$10000,MATCH($A862&amp;Y$1,JupData!$A$2:$A$10000&amp;JupData!$J$2:$J$10000,0),11))</f>
        <v/>
      </c>
      <c r="Z862" t="str">
        <f t="array" ref="Z862">IF($A862="","",INDEX(JupData!$A$2:$K$10000,MATCH($A862&amp;Z$1,JupData!$A$2:$A$10000&amp;JupData!$J$2:$J$10000,0),11))</f>
        <v/>
      </c>
      <c r="AA862" t="str">
        <f t="array" ref="AA862">IF($A862="","",INDEX(JupData!$A$2:$K$10000,MATCH($A862&amp;AA$1,JupData!$A$2:$A$10000&amp;JupData!$J$2:$J$10000,0),11))</f>
        <v/>
      </c>
      <c r="AB862" t="str">
        <f t="array" ref="AB862">IF($A862="","",INDEX(JupData!$A$2:$K$10000,MATCH($A862&amp;AB$1,JupData!$A$2:$A$10000&amp;JupData!$J$2:$J$10000,0),11))</f>
        <v/>
      </c>
      <c r="AC862" s="10" t="str">
        <f t="shared" si="143"/>
        <v/>
      </c>
      <c r="AD862" s="10" t="str">
        <f t="shared" si="144"/>
        <v/>
      </c>
      <c r="AE862" s="9" t="str">
        <f t="shared" si="145"/>
        <v/>
      </c>
      <c r="AF862" s="10" t="str">
        <f t="shared" si="146"/>
        <v/>
      </c>
      <c r="AG862" s="10" t="str">
        <f t="shared" si="147"/>
        <v/>
      </c>
      <c r="AH862" s="10" t="str">
        <f t="shared" si="148"/>
        <v/>
      </c>
      <c r="AI862" s="10" t="str">
        <f t="shared" si="149"/>
        <v/>
      </c>
      <c r="AJ862" s="10" t="str">
        <f t="shared" si="150"/>
        <v/>
      </c>
      <c r="AK862" s="10" t="str">
        <f t="shared" si="151"/>
        <v/>
      </c>
      <c r="AL862" s="14" t="str">
        <f t="shared" si="152"/>
        <v/>
      </c>
    </row>
    <row r="863" spans="1:38" x14ac:dyDescent="0.2">
      <c r="A863"/>
      <c r="B863" t="str">
        <f>IF($A863="","",VLOOKUP($A863,JupData!$A$2:$I$10000,4,FALSE))</f>
        <v/>
      </c>
      <c r="C863" s="7" t="str">
        <f>IF($A863="",IF(N(D863),0,""),VLOOKUP($A863,JupData!$A$2:$I$10000,7,FALSE))</f>
        <v/>
      </c>
      <c r="D863" t="str">
        <f t="shared" si="153"/>
        <v/>
      </c>
      <c r="E863" t="str">
        <f t="array" ref="E863">IF($A863="","",INDEX(JupData!$A$2:$K$10000,MATCH($A863&amp;E$1,JupData!$A$2:$A$10000&amp;JupData!$J$2:$J$10000,0),11))</f>
        <v/>
      </c>
      <c r="F863" t="str">
        <f t="array" ref="F863">IF($A863="","",INDEX(JupData!$A$2:$K$10000,MATCH($A863&amp;F$1,JupData!$A$2:$A$10000&amp;JupData!$J$2:$J$10000,0),11))</f>
        <v/>
      </c>
      <c r="G863" t="str">
        <f t="array" ref="G863">IF($A863="","",INDEX(JupData!$A$2:$K$10000,MATCH($A863&amp;G$1,JupData!$A$2:$A$10000&amp;JupData!$J$2:$J$10000,0),11))</f>
        <v/>
      </c>
      <c r="H863" t="str">
        <f t="array" ref="H863">IF($A863="","",INDEX(JupData!$A$2:$K$10000,MATCH($A863&amp;H$1,JupData!$A$2:$A$10000&amp;JupData!$J$2:$J$10000,0),11))</f>
        <v/>
      </c>
      <c r="I863" t="str">
        <f t="array" ref="I863">IF($A863="","",INDEX(JupData!$A$2:$K$10000,MATCH($A863&amp;I$1,JupData!$A$2:$A$10000&amp;JupData!$J$2:$J$10000,0),11))</f>
        <v/>
      </c>
      <c r="J863" t="str">
        <f t="array" ref="J863">IF($A863="","",INDEX(JupData!$A$2:$K$10000,MATCH($A863&amp;J$1,JupData!$A$2:$A$10000&amp;JupData!$J$2:$J$10000,0),11))</f>
        <v/>
      </c>
      <c r="K863" t="str">
        <f t="array" ref="K863">IF($A863="","",INDEX(JupData!$A$2:$K$10000,MATCH($A863&amp;K$1,JupData!$A$2:$A$10000&amp;JupData!$J$2:$J$10000,0),11))</f>
        <v/>
      </c>
      <c r="L863" t="str">
        <f t="array" ref="L863">IF($A863="","",INDEX(JupData!$A$2:$K$10000,MATCH($A863&amp;L$1,JupData!$A$2:$A$10000&amp;JupData!$J$2:$J$10000,0),11))</f>
        <v/>
      </c>
      <c r="M863" t="str">
        <f t="array" ref="M863">IF($A863="","",INDEX(JupData!$A$2:$K$10000,MATCH($A863&amp;M$1,JupData!$A$2:$A$10000&amp;JupData!$J$2:$J$10000,0),11))</f>
        <v/>
      </c>
      <c r="N863" t="str">
        <f t="array" ref="N863">IF($A863="","",INDEX(JupData!$A$2:$K$10000,MATCH($A863&amp;N$1,JupData!$A$2:$A$10000&amp;JupData!$J$2:$J$10000,0),11))</f>
        <v/>
      </c>
      <c r="O863" t="str">
        <f t="array" ref="O863">IF($A863="","",INDEX(JupData!$A$2:$K$10000,MATCH($A863&amp;O$1,JupData!$A$2:$A$10000&amp;JupData!$J$2:$J$10000,0),11))</f>
        <v/>
      </c>
      <c r="P863" t="str">
        <f t="array" ref="P863">IF($A863="","",INDEX(JupData!$A$2:$K$10000,MATCH($A863&amp;P$1,JupData!$A$2:$A$10000&amp;JupData!$J$2:$J$10000,0),11))</f>
        <v/>
      </c>
      <c r="Q863" t="str">
        <f t="array" ref="Q863">IF($A863="","",INDEX(JupData!$A$2:$K$10000,MATCH($A863&amp;Q$1,JupData!$A$2:$A$10000&amp;JupData!$J$2:$J$10000,0),11))</f>
        <v/>
      </c>
      <c r="R863" t="str">
        <f t="array" ref="R863">IF($A863="","",INDEX(JupData!$A$2:$K$10000,MATCH($A863&amp;R$1,JupData!$A$2:$A$10000&amp;JupData!$J$2:$J$10000,0),11))</f>
        <v/>
      </c>
      <c r="S863" t="str">
        <f t="array" ref="S863">IF($A863="","",INDEX(JupData!$A$2:$K$10000,MATCH($A863&amp;S$1,JupData!$A$2:$A$10000&amp;JupData!$J$2:$J$10000,0),11))</f>
        <v/>
      </c>
      <c r="T863" t="str">
        <f t="array" ref="T863">IF($A863="","",INDEX(JupData!$A$2:$K$10000,MATCH($A863&amp;T$1,JupData!$A$2:$A$10000&amp;JupData!$J$2:$J$10000,0),11))</f>
        <v/>
      </c>
      <c r="U863" t="str">
        <f t="array" ref="U863">IF($A863="","",INDEX(JupData!$A$2:$K$10000,MATCH($A863&amp;U$1,JupData!$A$2:$A$10000&amp;JupData!$J$2:$J$10000,0),11))</f>
        <v/>
      </c>
      <c r="V863" t="str">
        <f t="array" ref="V863">IF($A863="","",INDEX(JupData!$A$2:$K$10000,MATCH($A863&amp;V$1,JupData!$A$2:$A$10000&amp;JupData!$J$2:$J$10000,0),11))</f>
        <v/>
      </c>
      <c r="W863" t="str">
        <f t="array" ref="W863">IF($A863="","",INDEX(JupData!$A$2:$K$10000,MATCH($A863&amp;W$1,JupData!$A$2:$A$10000&amp;JupData!$J$2:$J$10000,0),11))</f>
        <v/>
      </c>
      <c r="X863" t="str">
        <f t="array" ref="X863">IF($A863="","",INDEX(JupData!$A$2:$K$10000,MATCH($A863&amp;X$1,JupData!$A$2:$A$10000&amp;JupData!$J$2:$J$10000,0),11))</f>
        <v/>
      </c>
      <c r="Y863" t="str">
        <f t="array" ref="Y863">IF($A863="","",INDEX(JupData!$A$2:$K$10000,MATCH($A863&amp;Y$1,JupData!$A$2:$A$10000&amp;JupData!$J$2:$J$10000,0),11))</f>
        <v/>
      </c>
      <c r="Z863" t="str">
        <f t="array" ref="Z863">IF($A863="","",INDEX(JupData!$A$2:$K$10000,MATCH($A863&amp;Z$1,JupData!$A$2:$A$10000&amp;JupData!$J$2:$J$10000,0),11))</f>
        <v/>
      </c>
      <c r="AA863" t="str">
        <f t="array" ref="AA863">IF($A863="","",INDEX(JupData!$A$2:$K$10000,MATCH($A863&amp;AA$1,JupData!$A$2:$A$10000&amp;JupData!$J$2:$J$10000,0),11))</f>
        <v/>
      </c>
      <c r="AB863" t="str">
        <f t="array" ref="AB863">IF($A863="","",INDEX(JupData!$A$2:$K$10000,MATCH($A863&amp;AB$1,JupData!$A$2:$A$10000&amp;JupData!$J$2:$J$10000,0),11))</f>
        <v/>
      </c>
      <c r="AC863" s="10" t="str">
        <f t="shared" si="143"/>
        <v/>
      </c>
      <c r="AD863" s="10" t="str">
        <f t="shared" si="144"/>
        <v/>
      </c>
      <c r="AE863" s="9" t="str">
        <f t="shared" si="145"/>
        <v/>
      </c>
      <c r="AF863" s="10" t="str">
        <f t="shared" si="146"/>
        <v/>
      </c>
      <c r="AG863" s="10" t="str">
        <f t="shared" si="147"/>
        <v/>
      </c>
      <c r="AH863" s="10" t="str">
        <f t="shared" si="148"/>
        <v/>
      </c>
      <c r="AI863" s="10" t="str">
        <f t="shared" si="149"/>
        <v/>
      </c>
      <c r="AJ863" s="10" t="str">
        <f t="shared" si="150"/>
        <v/>
      </c>
      <c r="AK863" s="10" t="str">
        <f t="shared" si="151"/>
        <v/>
      </c>
      <c r="AL863" s="14" t="str">
        <f t="shared" si="152"/>
        <v/>
      </c>
    </row>
    <row r="864" spans="1:38" x14ac:dyDescent="0.2">
      <c r="A864"/>
      <c r="B864" t="str">
        <f>IF($A864="","",VLOOKUP($A864,JupData!$A$2:$I$10000,4,FALSE))</f>
        <v/>
      </c>
      <c r="C864" s="7" t="str">
        <f>IF($A864="",IF(N(D864),0,""),VLOOKUP($A864,JupData!$A$2:$I$10000,7,FALSE))</f>
        <v/>
      </c>
      <c r="D864" t="str">
        <f t="shared" si="153"/>
        <v/>
      </c>
      <c r="E864" t="str">
        <f t="array" ref="E864">IF($A864="","",INDEX(JupData!$A$2:$K$10000,MATCH($A864&amp;E$1,JupData!$A$2:$A$10000&amp;JupData!$J$2:$J$10000,0),11))</f>
        <v/>
      </c>
      <c r="F864" t="str">
        <f t="array" ref="F864">IF($A864="","",INDEX(JupData!$A$2:$K$10000,MATCH($A864&amp;F$1,JupData!$A$2:$A$10000&amp;JupData!$J$2:$J$10000,0),11))</f>
        <v/>
      </c>
      <c r="G864" t="str">
        <f t="array" ref="G864">IF($A864="","",INDEX(JupData!$A$2:$K$10000,MATCH($A864&amp;G$1,JupData!$A$2:$A$10000&amp;JupData!$J$2:$J$10000,0),11))</f>
        <v/>
      </c>
      <c r="H864" t="str">
        <f t="array" ref="H864">IF($A864="","",INDEX(JupData!$A$2:$K$10000,MATCH($A864&amp;H$1,JupData!$A$2:$A$10000&amp;JupData!$J$2:$J$10000,0),11))</f>
        <v/>
      </c>
      <c r="I864" t="str">
        <f t="array" ref="I864">IF($A864="","",INDEX(JupData!$A$2:$K$10000,MATCH($A864&amp;I$1,JupData!$A$2:$A$10000&amp;JupData!$J$2:$J$10000,0),11))</f>
        <v/>
      </c>
      <c r="J864" t="str">
        <f t="array" ref="J864">IF($A864="","",INDEX(JupData!$A$2:$K$10000,MATCH($A864&amp;J$1,JupData!$A$2:$A$10000&amp;JupData!$J$2:$J$10000,0),11))</f>
        <v/>
      </c>
      <c r="K864" t="str">
        <f t="array" ref="K864">IF($A864="","",INDEX(JupData!$A$2:$K$10000,MATCH($A864&amp;K$1,JupData!$A$2:$A$10000&amp;JupData!$J$2:$J$10000,0),11))</f>
        <v/>
      </c>
      <c r="L864" t="str">
        <f t="array" ref="L864">IF($A864="","",INDEX(JupData!$A$2:$K$10000,MATCH($A864&amp;L$1,JupData!$A$2:$A$10000&amp;JupData!$J$2:$J$10000,0),11))</f>
        <v/>
      </c>
      <c r="M864" t="str">
        <f t="array" ref="M864">IF($A864="","",INDEX(JupData!$A$2:$K$10000,MATCH($A864&amp;M$1,JupData!$A$2:$A$10000&amp;JupData!$J$2:$J$10000,0),11))</f>
        <v/>
      </c>
      <c r="N864" t="str">
        <f t="array" ref="N864">IF($A864="","",INDEX(JupData!$A$2:$K$10000,MATCH($A864&amp;N$1,JupData!$A$2:$A$10000&amp;JupData!$J$2:$J$10000,0),11))</f>
        <v/>
      </c>
      <c r="O864" t="str">
        <f t="array" ref="O864">IF($A864="","",INDEX(JupData!$A$2:$K$10000,MATCH($A864&amp;O$1,JupData!$A$2:$A$10000&amp;JupData!$J$2:$J$10000,0),11))</f>
        <v/>
      </c>
      <c r="P864" t="str">
        <f t="array" ref="P864">IF($A864="","",INDEX(JupData!$A$2:$K$10000,MATCH($A864&amp;P$1,JupData!$A$2:$A$10000&amp;JupData!$J$2:$J$10000,0),11))</f>
        <v/>
      </c>
      <c r="Q864" t="str">
        <f t="array" ref="Q864">IF($A864="","",INDEX(JupData!$A$2:$K$10000,MATCH($A864&amp;Q$1,JupData!$A$2:$A$10000&amp;JupData!$J$2:$J$10000,0),11))</f>
        <v/>
      </c>
      <c r="R864" t="str">
        <f t="array" ref="R864">IF($A864="","",INDEX(JupData!$A$2:$K$10000,MATCH($A864&amp;R$1,JupData!$A$2:$A$10000&amp;JupData!$J$2:$J$10000,0),11))</f>
        <v/>
      </c>
      <c r="S864" t="str">
        <f t="array" ref="S864">IF($A864="","",INDEX(JupData!$A$2:$K$10000,MATCH($A864&amp;S$1,JupData!$A$2:$A$10000&amp;JupData!$J$2:$J$10000,0),11))</f>
        <v/>
      </c>
      <c r="T864" t="str">
        <f t="array" ref="T864">IF($A864="","",INDEX(JupData!$A$2:$K$10000,MATCH($A864&amp;T$1,JupData!$A$2:$A$10000&amp;JupData!$J$2:$J$10000,0),11))</f>
        <v/>
      </c>
      <c r="U864" t="str">
        <f t="array" ref="U864">IF($A864="","",INDEX(JupData!$A$2:$K$10000,MATCH($A864&amp;U$1,JupData!$A$2:$A$10000&amp;JupData!$J$2:$J$10000,0),11))</f>
        <v/>
      </c>
      <c r="V864" t="str">
        <f t="array" ref="V864">IF($A864="","",INDEX(JupData!$A$2:$K$10000,MATCH($A864&amp;V$1,JupData!$A$2:$A$10000&amp;JupData!$J$2:$J$10000,0),11))</f>
        <v/>
      </c>
      <c r="W864" t="str">
        <f t="array" ref="W864">IF($A864="","",INDEX(JupData!$A$2:$K$10000,MATCH($A864&amp;W$1,JupData!$A$2:$A$10000&amp;JupData!$J$2:$J$10000,0),11))</f>
        <v/>
      </c>
      <c r="X864" t="str">
        <f t="array" ref="X864">IF($A864="","",INDEX(JupData!$A$2:$K$10000,MATCH($A864&amp;X$1,JupData!$A$2:$A$10000&amp;JupData!$J$2:$J$10000,0),11))</f>
        <v/>
      </c>
      <c r="Y864" t="str">
        <f t="array" ref="Y864">IF($A864="","",INDEX(JupData!$A$2:$K$10000,MATCH($A864&amp;Y$1,JupData!$A$2:$A$10000&amp;JupData!$J$2:$J$10000,0),11))</f>
        <v/>
      </c>
      <c r="Z864" t="str">
        <f t="array" ref="Z864">IF($A864="","",INDEX(JupData!$A$2:$K$10000,MATCH($A864&amp;Z$1,JupData!$A$2:$A$10000&amp;JupData!$J$2:$J$10000,0),11))</f>
        <v/>
      </c>
      <c r="AA864" t="str">
        <f t="array" ref="AA864">IF($A864="","",INDEX(JupData!$A$2:$K$10000,MATCH($A864&amp;AA$1,JupData!$A$2:$A$10000&amp;JupData!$J$2:$J$10000,0),11))</f>
        <v/>
      </c>
      <c r="AB864" t="str">
        <f t="array" ref="AB864">IF($A864="","",INDEX(JupData!$A$2:$K$10000,MATCH($A864&amp;AB$1,JupData!$A$2:$A$10000&amp;JupData!$J$2:$J$10000,0),11))</f>
        <v/>
      </c>
      <c r="AC864" s="10" t="str">
        <f t="shared" si="143"/>
        <v/>
      </c>
      <c r="AD864" s="10" t="str">
        <f t="shared" si="144"/>
        <v/>
      </c>
      <c r="AE864" s="9" t="str">
        <f t="shared" si="145"/>
        <v/>
      </c>
      <c r="AF864" s="10" t="str">
        <f t="shared" si="146"/>
        <v/>
      </c>
      <c r="AG864" s="10" t="str">
        <f t="shared" si="147"/>
        <v/>
      </c>
      <c r="AH864" s="10" t="str">
        <f t="shared" si="148"/>
        <v/>
      </c>
      <c r="AI864" s="10" t="str">
        <f t="shared" si="149"/>
        <v/>
      </c>
      <c r="AJ864" s="10" t="str">
        <f t="shared" si="150"/>
        <v/>
      </c>
      <c r="AK864" s="10" t="str">
        <f t="shared" si="151"/>
        <v/>
      </c>
      <c r="AL864" s="14" t="str">
        <f t="shared" si="152"/>
        <v/>
      </c>
    </row>
    <row r="865" spans="1:38" x14ac:dyDescent="0.2">
      <c r="A865"/>
      <c r="B865" t="str">
        <f>IF($A865="","",VLOOKUP($A865,JupData!$A$2:$I$10000,4,FALSE))</f>
        <v/>
      </c>
      <c r="C865" s="7" t="str">
        <f>IF($A865="",IF(N(D865),0,""),VLOOKUP($A865,JupData!$A$2:$I$10000,7,FALSE))</f>
        <v/>
      </c>
      <c r="D865" t="str">
        <f t="shared" si="153"/>
        <v/>
      </c>
      <c r="E865" t="str">
        <f t="array" ref="E865">IF($A865="","",INDEX(JupData!$A$2:$K$10000,MATCH($A865&amp;E$1,JupData!$A$2:$A$10000&amp;JupData!$J$2:$J$10000,0),11))</f>
        <v/>
      </c>
      <c r="F865" t="str">
        <f t="array" ref="F865">IF($A865="","",INDEX(JupData!$A$2:$K$10000,MATCH($A865&amp;F$1,JupData!$A$2:$A$10000&amp;JupData!$J$2:$J$10000,0),11))</f>
        <v/>
      </c>
      <c r="G865" t="str">
        <f t="array" ref="G865">IF($A865="","",INDEX(JupData!$A$2:$K$10000,MATCH($A865&amp;G$1,JupData!$A$2:$A$10000&amp;JupData!$J$2:$J$10000,0),11))</f>
        <v/>
      </c>
      <c r="H865" t="str">
        <f t="array" ref="H865">IF($A865="","",INDEX(JupData!$A$2:$K$10000,MATCH($A865&amp;H$1,JupData!$A$2:$A$10000&amp;JupData!$J$2:$J$10000,0),11))</f>
        <v/>
      </c>
      <c r="I865" t="str">
        <f t="array" ref="I865">IF($A865="","",INDEX(JupData!$A$2:$K$10000,MATCH($A865&amp;I$1,JupData!$A$2:$A$10000&amp;JupData!$J$2:$J$10000,0),11))</f>
        <v/>
      </c>
      <c r="J865" t="str">
        <f t="array" ref="J865">IF($A865="","",INDEX(JupData!$A$2:$K$10000,MATCH($A865&amp;J$1,JupData!$A$2:$A$10000&amp;JupData!$J$2:$J$10000,0),11))</f>
        <v/>
      </c>
      <c r="K865" t="str">
        <f t="array" ref="K865">IF($A865="","",INDEX(JupData!$A$2:$K$10000,MATCH($A865&amp;K$1,JupData!$A$2:$A$10000&amp;JupData!$J$2:$J$10000,0),11))</f>
        <v/>
      </c>
      <c r="L865" t="str">
        <f t="array" ref="L865">IF($A865="","",INDEX(JupData!$A$2:$K$10000,MATCH($A865&amp;L$1,JupData!$A$2:$A$10000&amp;JupData!$J$2:$J$10000,0),11))</f>
        <v/>
      </c>
      <c r="M865" t="str">
        <f t="array" ref="M865">IF($A865="","",INDEX(JupData!$A$2:$K$10000,MATCH($A865&amp;M$1,JupData!$A$2:$A$10000&amp;JupData!$J$2:$J$10000,0),11))</f>
        <v/>
      </c>
      <c r="N865" t="str">
        <f t="array" ref="N865">IF($A865="","",INDEX(JupData!$A$2:$K$10000,MATCH($A865&amp;N$1,JupData!$A$2:$A$10000&amp;JupData!$J$2:$J$10000,0),11))</f>
        <v/>
      </c>
      <c r="O865" t="str">
        <f t="array" ref="O865">IF($A865="","",INDEX(JupData!$A$2:$K$10000,MATCH($A865&amp;O$1,JupData!$A$2:$A$10000&amp;JupData!$J$2:$J$10000,0),11))</f>
        <v/>
      </c>
      <c r="P865" t="str">
        <f t="array" ref="P865">IF($A865="","",INDEX(JupData!$A$2:$K$10000,MATCH($A865&amp;P$1,JupData!$A$2:$A$10000&amp;JupData!$J$2:$J$10000,0),11))</f>
        <v/>
      </c>
      <c r="Q865" t="str">
        <f t="array" ref="Q865">IF($A865="","",INDEX(JupData!$A$2:$K$10000,MATCH($A865&amp;Q$1,JupData!$A$2:$A$10000&amp;JupData!$J$2:$J$10000,0),11))</f>
        <v/>
      </c>
      <c r="R865" t="str">
        <f t="array" ref="R865">IF($A865="","",INDEX(JupData!$A$2:$K$10000,MATCH($A865&amp;R$1,JupData!$A$2:$A$10000&amp;JupData!$J$2:$J$10000,0),11))</f>
        <v/>
      </c>
      <c r="S865" t="str">
        <f t="array" ref="S865">IF($A865="","",INDEX(JupData!$A$2:$K$10000,MATCH($A865&amp;S$1,JupData!$A$2:$A$10000&amp;JupData!$J$2:$J$10000,0),11))</f>
        <v/>
      </c>
      <c r="T865" t="str">
        <f t="array" ref="T865">IF($A865="","",INDEX(JupData!$A$2:$K$10000,MATCH($A865&amp;T$1,JupData!$A$2:$A$10000&amp;JupData!$J$2:$J$10000,0),11))</f>
        <v/>
      </c>
      <c r="U865" t="str">
        <f t="array" ref="U865">IF($A865="","",INDEX(JupData!$A$2:$K$10000,MATCH($A865&amp;U$1,JupData!$A$2:$A$10000&amp;JupData!$J$2:$J$10000,0),11))</f>
        <v/>
      </c>
      <c r="V865" t="str">
        <f t="array" ref="V865">IF($A865="","",INDEX(JupData!$A$2:$K$10000,MATCH($A865&amp;V$1,JupData!$A$2:$A$10000&amp;JupData!$J$2:$J$10000,0),11))</f>
        <v/>
      </c>
      <c r="W865" t="str">
        <f t="array" ref="W865">IF($A865="","",INDEX(JupData!$A$2:$K$10000,MATCH($A865&amp;W$1,JupData!$A$2:$A$10000&amp;JupData!$J$2:$J$10000,0),11))</f>
        <v/>
      </c>
      <c r="X865" t="str">
        <f t="array" ref="X865">IF($A865="","",INDEX(JupData!$A$2:$K$10000,MATCH($A865&amp;X$1,JupData!$A$2:$A$10000&amp;JupData!$J$2:$J$10000,0),11))</f>
        <v/>
      </c>
      <c r="Y865" t="str">
        <f t="array" ref="Y865">IF($A865="","",INDEX(JupData!$A$2:$K$10000,MATCH($A865&amp;Y$1,JupData!$A$2:$A$10000&amp;JupData!$J$2:$J$10000,0),11))</f>
        <v/>
      </c>
      <c r="Z865" t="str">
        <f t="array" ref="Z865">IF($A865="","",INDEX(JupData!$A$2:$K$10000,MATCH($A865&amp;Z$1,JupData!$A$2:$A$10000&amp;JupData!$J$2:$J$10000,0),11))</f>
        <v/>
      </c>
      <c r="AA865" t="str">
        <f t="array" ref="AA865">IF($A865="","",INDEX(JupData!$A$2:$K$10000,MATCH($A865&amp;AA$1,JupData!$A$2:$A$10000&amp;JupData!$J$2:$J$10000,0),11))</f>
        <v/>
      </c>
      <c r="AB865" t="str">
        <f t="array" ref="AB865">IF($A865="","",INDEX(JupData!$A$2:$K$10000,MATCH($A865&amp;AB$1,JupData!$A$2:$A$10000&amp;JupData!$J$2:$J$10000,0),11))</f>
        <v/>
      </c>
      <c r="AC865" s="10" t="str">
        <f t="shared" si="143"/>
        <v/>
      </c>
      <c r="AD865" s="10" t="str">
        <f t="shared" si="144"/>
        <v/>
      </c>
      <c r="AE865" s="9" t="str">
        <f t="shared" si="145"/>
        <v/>
      </c>
      <c r="AF865" s="10" t="str">
        <f t="shared" si="146"/>
        <v/>
      </c>
      <c r="AG865" s="10" t="str">
        <f t="shared" si="147"/>
        <v/>
      </c>
      <c r="AH865" s="10" t="str">
        <f t="shared" si="148"/>
        <v/>
      </c>
      <c r="AI865" s="10" t="str">
        <f t="shared" si="149"/>
        <v/>
      </c>
      <c r="AJ865" s="10" t="str">
        <f t="shared" si="150"/>
        <v/>
      </c>
      <c r="AK865" s="10" t="str">
        <f t="shared" si="151"/>
        <v/>
      </c>
      <c r="AL865" s="14" t="str">
        <f t="shared" si="152"/>
        <v/>
      </c>
    </row>
    <row r="866" spans="1:38" x14ac:dyDescent="0.2">
      <c r="A866"/>
      <c r="B866" t="str">
        <f>IF($A866="","",VLOOKUP($A866,JupData!$A$2:$I$10000,4,FALSE))</f>
        <v/>
      </c>
      <c r="C866" s="7" t="str">
        <f>IF($A866="",IF(N(D866),0,""),VLOOKUP($A866,JupData!$A$2:$I$10000,7,FALSE))</f>
        <v/>
      </c>
      <c r="D866" t="str">
        <f t="shared" si="153"/>
        <v/>
      </c>
      <c r="E866" t="str">
        <f t="array" ref="E866">IF($A866="","",INDEX(JupData!$A$2:$K$10000,MATCH($A866&amp;E$1,JupData!$A$2:$A$10000&amp;JupData!$J$2:$J$10000,0),11))</f>
        <v/>
      </c>
      <c r="F866" t="str">
        <f t="array" ref="F866">IF($A866="","",INDEX(JupData!$A$2:$K$10000,MATCH($A866&amp;F$1,JupData!$A$2:$A$10000&amp;JupData!$J$2:$J$10000,0),11))</f>
        <v/>
      </c>
      <c r="G866" t="str">
        <f t="array" ref="G866">IF($A866="","",INDEX(JupData!$A$2:$K$10000,MATCH($A866&amp;G$1,JupData!$A$2:$A$10000&amp;JupData!$J$2:$J$10000,0),11))</f>
        <v/>
      </c>
      <c r="H866" t="str">
        <f t="array" ref="H866">IF($A866="","",INDEX(JupData!$A$2:$K$10000,MATCH($A866&amp;H$1,JupData!$A$2:$A$10000&amp;JupData!$J$2:$J$10000,0),11))</f>
        <v/>
      </c>
      <c r="I866" t="str">
        <f t="array" ref="I866">IF($A866="","",INDEX(JupData!$A$2:$K$10000,MATCH($A866&amp;I$1,JupData!$A$2:$A$10000&amp;JupData!$J$2:$J$10000,0),11))</f>
        <v/>
      </c>
      <c r="J866" t="str">
        <f t="array" ref="J866">IF($A866="","",INDEX(JupData!$A$2:$K$10000,MATCH($A866&amp;J$1,JupData!$A$2:$A$10000&amp;JupData!$J$2:$J$10000,0),11))</f>
        <v/>
      </c>
      <c r="K866" t="str">
        <f t="array" ref="K866">IF($A866="","",INDEX(JupData!$A$2:$K$10000,MATCH($A866&amp;K$1,JupData!$A$2:$A$10000&amp;JupData!$J$2:$J$10000,0),11))</f>
        <v/>
      </c>
      <c r="L866" t="str">
        <f t="array" ref="L866">IF($A866="","",INDEX(JupData!$A$2:$K$10000,MATCH($A866&amp;L$1,JupData!$A$2:$A$10000&amp;JupData!$J$2:$J$10000,0),11))</f>
        <v/>
      </c>
      <c r="M866" t="str">
        <f t="array" ref="M866">IF($A866="","",INDEX(JupData!$A$2:$K$10000,MATCH($A866&amp;M$1,JupData!$A$2:$A$10000&amp;JupData!$J$2:$J$10000,0),11))</f>
        <v/>
      </c>
      <c r="N866" t="str">
        <f t="array" ref="N866">IF($A866="","",INDEX(JupData!$A$2:$K$10000,MATCH($A866&amp;N$1,JupData!$A$2:$A$10000&amp;JupData!$J$2:$J$10000,0),11))</f>
        <v/>
      </c>
      <c r="O866" t="str">
        <f t="array" ref="O866">IF($A866="","",INDEX(JupData!$A$2:$K$10000,MATCH($A866&amp;O$1,JupData!$A$2:$A$10000&amp;JupData!$J$2:$J$10000,0),11))</f>
        <v/>
      </c>
      <c r="P866" t="str">
        <f t="array" ref="P866">IF($A866="","",INDEX(JupData!$A$2:$K$10000,MATCH($A866&amp;P$1,JupData!$A$2:$A$10000&amp;JupData!$J$2:$J$10000,0),11))</f>
        <v/>
      </c>
      <c r="Q866" t="str">
        <f t="array" ref="Q866">IF($A866="","",INDEX(JupData!$A$2:$K$10000,MATCH($A866&amp;Q$1,JupData!$A$2:$A$10000&amp;JupData!$J$2:$J$10000,0),11))</f>
        <v/>
      </c>
      <c r="R866" t="str">
        <f t="array" ref="R866">IF($A866="","",INDEX(JupData!$A$2:$K$10000,MATCH($A866&amp;R$1,JupData!$A$2:$A$10000&amp;JupData!$J$2:$J$10000,0),11))</f>
        <v/>
      </c>
      <c r="S866" t="str">
        <f t="array" ref="S866">IF($A866="","",INDEX(JupData!$A$2:$K$10000,MATCH($A866&amp;S$1,JupData!$A$2:$A$10000&amp;JupData!$J$2:$J$10000,0),11))</f>
        <v/>
      </c>
      <c r="T866" t="str">
        <f t="array" ref="T866">IF($A866="","",INDEX(JupData!$A$2:$K$10000,MATCH($A866&amp;T$1,JupData!$A$2:$A$10000&amp;JupData!$J$2:$J$10000,0),11))</f>
        <v/>
      </c>
      <c r="U866" t="str">
        <f t="array" ref="U866">IF($A866="","",INDEX(JupData!$A$2:$K$10000,MATCH($A866&amp;U$1,JupData!$A$2:$A$10000&amp;JupData!$J$2:$J$10000,0),11))</f>
        <v/>
      </c>
      <c r="V866" t="str">
        <f t="array" ref="V866">IF($A866="","",INDEX(JupData!$A$2:$K$10000,MATCH($A866&amp;V$1,JupData!$A$2:$A$10000&amp;JupData!$J$2:$J$10000,0),11))</f>
        <v/>
      </c>
      <c r="W866" t="str">
        <f t="array" ref="W866">IF($A866="","",INDEX(JupData!$A$2:$K$10000,MATCH($A866&amp;W$1,JupData!$A$2:$A$10000&amp;JupData!$J$2:$J$10000,0),11))</f>
        <v/>
      </c>
      <c r="X866" t="str">
        <f t="array" ref="X866">IF($A866="","",INDEX(JupData!$A$2:$K$10000,MATCH($A866&amp;X$1,JupData!$A$2:$A$10000&amp;JupData!$J$2:$J$10000,0),11))</f>
        <v/>
      </c>
      <c r="Y866" t="str">
        <f t="array" ref="Y866">IF($A866="","",INDEX(JupData!$A$2:$K$10000,MATCH($A866&amp;Y$1,JupData!$A$2:$A$10000&amp;JupData!$J$2:$J$10000,0),11))</f>
        <v/>
      </c>
      <c r="Z866" t="str">
        <f t="array" ref="Z866">IF($A866="","",INDEX(JupData!$A$2:$K$10000,MATCH($A866&amp;Z$1,JupData!$A$2:$A$10000&amp;JupData!$J$2:$J$10000,0),11))</f>
        <v/>
      </c>
      <c r="AA866" t="str">
        <f t="array" ref="AA866">IF($A866="","",INDEX(JupData!$A$2:$K$10000,MATCH($A866&amp;AA$1,JupData!$A$2:$A$10000&amp;JupData!$J$2:$J$10000,0),11))</f>
        <v/>
      </c>
      <c r="AB866" t="str">
        <f t="array" ref="AB866">IF($A866="","",INDEX(JupData!$A$2:$K$10000,MATCH($A866&amp;AB$1,JupData!$A$2:$A$10000&amp;JupData!$J$2:$J$10000,0),11))</f>
        <v/>
      </c>
      <c r="AC866" s="10" t="str">
        <f t="shared" si="143"/>
        <v/>
      </c>
      <c r="AD866" s="10" t="str">
        <f t="shared" si="144"/>
        <v/>
      </c>
      <c r="AE866" s="9" t="str">
        <f t="shared" si="145"/>
        <v/>
      </c>
      <c r="AF866" s="10" t="str">
        <f t="shared" si="146"/>
        <v/>
      </c>
      <c r="AG866" s="10" t="str">
        <f t="shared" si="147"/>
        <v/>
      </c>
      <c r="AH866" s="10" t="str">
        <f t="shared" si="148"/>
        <v/>
      </c>
      <c r="AI866" s="10" t="str">
        <f t="shared" si="149"/>
        <v/>
      </c>
      <c r="AJ866" s="10" t="str">
        <f t="shared" si="150"/>
        <v/>
      </c>
      <c r="AK866" s="10" t="str">
        <f t="shared" si="151"/>
        <v/>
      </c>
      <c r="AL866" s="14" t="str">
        <f t="shared" si="152"/>
        <v/>
      </c>
    </row>
    <row r="867" spans="1:38" x14ac:dyDescent="0.2">
      <c r="A867"/>
      <c r="B867" t="str">
        <f>IF($A867="","",VLOOKUP($A867,JupData!$A$2:$I$10000,4,FALSE))</f>
        <v/>
      </c>
      <c r="C867" s="7" t="str">
        <f>IF($A867="",IF(N(D867),0,""),VLOOKUP($A867,JupData!$A$2:$I$10000,7,FALSE))</f>
        <v/>
      </c>
      <c r="D867" t="str">
        <f t="shared" si="153"/>
        <v/>
      </c>
      <c r="E867" t="str">
        <f t="array" ref="E867">IF($A867="","",INDEX(JupData!$A$2:$K$10000,MATCH($A867&amp;E$1,JupData!$A$2:$A$10000&amp;JupData!$J$2:$J$10000,0),11))</f>
        <v/>
      </c>
      <c r="F867" t="str">
        <f t="array" ref="F867">IF($A867="","",INDEX(JupData!$A$2:$K$10000,MATCH($A867&amp;F$1,JupData!$A$2:$A$10000&amp;JupData!$J$2:$J$10000,0),11))</f>
        <v/>
      </c>
      <c r="G867" t="str">
        <f t="array" ref="G867">IF($A867="","",INDEX(JupData!$A$2:$K$10000,MATCH($A867&amp;G$1,JupData!$A$2:$A$10000&amp;JupData!$J$2:$J$10000,0),11))</f>
        <v/>
      </c>
      <c r="H867" t="str">
        <f t="array" ref="H867">IF($A867="","",INDEX(JupData!$A$2:$K$10000,MATCH($A867&amp;H$1,JupData!$A$2:$A$10000&amp;JupData!$J$2:$J$10000,0),11))</f>
        <v/>
      </c>
      <c r="I867" t="str">
        <f t="array" ref="I867">IF($A867="","",INDEX(JupData!$A$2:$K$10000,MATCH($A867&amp;I$1,JupData!$A$2:$A$10000&amp;JupData!$J$2:$J$10000,0),11))</f>
        <v/>
      </c>
      <c r="J867" t="str">
        <f t="array" ref="J867">IF($A867="","",INDEX(JupData!$A$2:$K$10000,MATCH($A867&amp;J$1,JupData!$A$2:$A$10000&amp;JupData!$J$2:$J$10000,0),11))</f>
        <v/>
      </c>
      <c r="K867" t="str">
        <f t="array" ref="K867">IF($A867="","",INDEX(JupData!$A$2:$K$10000,MATCH($A867&amp;K$1,JupData!$A$2:$A$10000&amp;JupData!$J$2:$J$10000,0),11))</f>
        <v/>
      </c>
      <c r="L867" t="str">
        <f t="array" ref="L867">IF($A867="","",INDEX(JupData!$A$2:$K$10000,MATCH($A867&amp;L$1,JupData!$A$2:$A$10000&amp;JupData!$J$2:$J$10000,0),11))</f>
        <v/>
      </c>
      <c r="M867" t="str">
        <f t="array" ref="M867">IF($A867="","",INDEX(JupData!$A$2:$K$10000,MATCH($A867&amp;M$1,JupData!$A$2:$A$10000&amp;JupData!$J$2:$J$10000,0),11))</f>
        <v/>
      </c>
      <c r="N867" t="str">
        <f t="array" ref="N867">IF($A867="","",INDEX(JupData!$A$2:$K$10000,MATCH($A867&amp;N$1,JupData!$A$2:$A$10000&amp;JupData!$J$2:$J$10000,0),11))</f>
        <v/>
      </c>
      <c r="O867" t="str">
        <f t="array" ref="O867">IF($A867="","",INDEX(JupData!$A$2:$K$10000,MATCH($A867&amp;O$1,JupData!$A$2:$A$10000&amp;JupData!$J$2:$J$10000,0),11))</f>
        <v/>
      </c>
      <c r="P867" t="str">
        <f t="array" ref="P867">IF($A867="","",INDEX(JupData!$A$2:$K$10000,MATCH($A867&amp;P$1,JupData!$A$2:$A$10000&amp;JupData!$J$2:$J$10000,0),11))</f>
        <v/>
      </c>
      <c r="Q867" t="str">
        <f t="array" ref="Q867">IF($A867="","",INDEX(JupData!$A$2:$K$10000,MATCH($A867&amp;Q$1,JupData!$A$2:$A$10000&amp;JupData!$J$2:$J$10000,0),11))</f>
        <v/>
      </c>
      <c r="R867" t="str">
        <f t="array" ref="R867">IF($A867="","",INDEX(JupData!$A$2:$K$10000,MATCH($A867&amp;R$1,JupData!$A$2:$A$10000&amp;JupData!$J$2:$J$10000,0),11))</f>
        <v/>
      </c>
      <c r="S867" t="str">
        <f t="array" ref="S867">IF($A867="","",INDEX(JupData!$A$2:$K$10000,MATCH($A867&amp;S$1,JupData!$A$2:$A$10000&amp;JupData!$J$2:$J$10000,0),11))</f>
        <v/>
      </c>
      <c r="T867" t="str">
        <f t="array" ref="T867">IF($A867="","",INDEX(JupData!$A$2:$K$10000,MATCH($A867&amp;T$1,JupData!$A$2:$A$10000&amp;JupData!$J$2:$J$10000,0),11))</f>
        <v/>
      </c>
      <c r="U867" t="str">
        <f t="array" ref="U867">IF($A867="","",INDEX(JupData!$A$2:$K$10000,MATCH($A867&amp;U$1,JupData!$A$2:$A$10000&amp;JupData!$J$2:$J$10000,0),11))</f>
        <v/>
      </c>
      <c r="V867" t="str">
        <f t="array" ref="V867">IF($A867="","",INDEX(JupData!$A$2:$K$10000,MATCH($A867&amp;V$1,JupData!$A$2:$A$10000&amp;JupData!$J$2:$J$10000,0),11))</f>
        <v/>
      </c>
      <c r="W867" t="str">
        <f t="array" ref="W867">IF($A867="","",INDEX(JupData!$A$2:$K$10000,MATCH($A867&amp;W$1,JupData!$A$2:$A$10000&amp;JupData!$J$2:$J$10000,0),11))</f>
        <v/>
      </c>
      <c r="X867" t="str">
        <f t="array" ref="X867">IF($A867="","",INDEX(JupData!$A$2:$K$10000,MATCH($A867&amp;X$1,JupData!$A$2:$A$10000&amp;JupData!$J$2:$J$10000,0),11))</f>
        <v/>
      </c>
      <c r="Y867" t="str">
        <f t="array" ref="Y867">IF($A867="","",INDEX(JupData!$A$2:$K$10000,MATCH($A867&amp;Y$1,JupData!$A$2:$A$10000&amp;JupData!$J$2:$J$10000,0),11))</f>
        <v/>
      </c>
      <c r="Z867" t="str">
        <f t="array" ref="Z867">IF($A867="","",INDEX(JupData!$A$2:$K$10000,MATCH($A867&amp;Z$1,JupData!$A$2:$A$10000&amp;JupData!$J$2:$J$10000,0),11))</f>
        <v/>
      </c>
      <c r="AA867" t="str">
        <f t="array" ref="AA867">IF($A867="","",INDEX(JupData!$A$2:$K$10000,MATCH($A867&amp;AA$1,JupData!$A$2:$A$10000&amp;JupData!$J$2:$J$10000,0),11))</f>
        <v/>
      </c>
      <c r="AB867" t="str">
        <f t="array" ref="AB867">IF($A867="","",INDEX(JupData!$A$2:$K$10000,MATCH($A867&amp;AB$1,JupData!$A$2:$A$10000&amp;JupData!$J$2:$J$10000,0),11))</f>
        <v/>
      </c>
      <c r="AC867" s="10" t="str">
        <f t="shared" si="143"/>
        <v/>
      </c>
      <c r="AD867" s="10" t="str">
        <f t="shared" si="144"/>
        <v/>
      </c>
      <c r="AE867" s="9" t="str">
        <f t="shared" si="145"/>
        <v/>
      </c>
      <c r="AF867" s="10" t="str">
        <f t="shared" si="146"/>
        <v/>
      </c>
      <c r="AG867" s="10" t="str">
        <f t="shared" si="147"/>
        <v/>
      </c>
      <c r="AH867" s="10" t="str">
        <f t="shared" si="148"/>
        <v/>
      </c>
      <c r="AI867" s="10" t="str">
        <f t="shared" si="149"/>
        <v/>
      </c>
      <c r="AJ867" s="10" t="str">
        <f t="shared" si="150"/>
        <v/>
      </c>
      <c r="AK867" s="10" t="str">
        <f t="shared" si="151"/>
        <v/>
      </c>
      <c r="AL867" s="14" t="str">
        <f t="shared" si="152"/>
        <v/>
      </c>
    </row>
    <row r="868" spans="1:38" x14ac:dyDescent="0.2">
      <c r="A868"/>
      <c r="B868" t="str">
        <f>IF($A868="","",VLOOKUP($A868,JupData!$A$2:$I$10000,4,FALSE))</f>
        <v/>
      </c>
      <c r="C868" s="7" t="str">
        <f>IF($A868="",IF(N(D868),0,""),VLOOKUP($A868,JupData!$A$2:$I$10000,7,FALSE))</f>
        <v/>
      </c>
      <c r="D868" t="str">
        <f t="shared" si="153"/>
        <v/>
      </c>
      <c r="E868" t="str">
        <f t="array" ref="E868">IF($A868="","",INDEX(JupData!$A$2:$K$10000,MATCH($A868&amp;E$1,JupData!$A$2:$A$10000&amp;JupData!$J$2:$J$10000,0),11))</f>
        <v/>
      </c>
      <c r="F868" t="str">
        <f t="array" ref="F868">IF($A868="","",INDEX(JupData!$A$2:$K$10000,MATCH($A868&amp;F$1,JupData!$A$2:$A$10000&amp;JupData!$J$2:$J$10000,0),11))</f>
        <v/>
      </c>
      <c r="G868" t="str">
        <f t="array" ref="G868">IF($A868="","",INDEX(JupData!$A$2:$K$10000,MATCH($A868&amp;G$1,JupData!$A$2:$A$10000&amp;JupData!$J$2:$J$10000,0),11))</f>
        <v/>
      </c>
      <c r="H868" t="str">
        <f t="array" ref="H868">IF($A868="","",INDEX(JupData!$A$2:$K$10000,MATCH($A868&amp;H$1,JupData!$A$2:$A$10000&amp;JupData!$J$2:$J$10000,0),11))</f>
        <v/>
      </c>
      <c r="I868" t="str">
        <f t="array" ref="I868">IF($A868="","",INDEX(JupData!$A$2:$K$10000,MATCH($A868&amp;I$1,JupData!$A$2:$A$10000&amp;JupData!$J$2:$J$10000,0),11))</f>
        <v/>
      </c>
      <c r="J868" t="str">
        <f t="array" ref="J868">IF($A868="","",INDEX(JupData!$A$2:$K$10000,MATCH($A868&amp;J$1,JupData!$A$2:$A$10000&amp;JupData!$J$2:$J$10000,0),11))</f>
        <v/>
      </c>
      <c r="K868" t="str">
        <f t="array" ref="K868">IF($A868="","",INDEX(JupData!$A$2:$K$10000,MATCH($A868&amp;K$1,JupData!$A$2:$A$10000&amp;JupData!$J$2:$J$10000,0),11))</f>
        <v/>
      </c>
      <c r="L868" t="str">
        <f t="array" ref="L868">IF($A868="","",INDEX(JupData!$A$2:$K$10000,MATCH($A868&amp;L$1,JupData!$A$2:$A$10000&amp;JupData!$J$2:$J$10000,0),11))</f>
        <v/>
      </c>
      <c r="M868" t="str">
        <f t="array" ref="M868">IF($A868="","",INDEX(JupData!$A$2:$K$10000,MATCH($A868&amp;M$1,JupData!$A$2:$A$10000&amp;JupData!$J$2:$J$10000,0),11))</f>
        <v/>
      </c>
      <c r="N868" t="str">
        <f t="array" ref="N868">IF($A868="","",INDEX(JupData!$A$2:$K$10000,MATCH($A868&amp;N$1,JupData!$A$2:$A$10000&amp;JupData!$J$2:$J$10000,0),11))</f>
        <v/>
      </c>
      <c r="O868" t="str">
        <f t="array" ref="O868">IF($A868="","",INDEX(JupData!$A$2:$K$10000,MATCH($A868&amp;O$1,JupData!$A$2:$A$10000&amp;JupData!$J$2:$J$10000,0),11))</f>
        <v/>
      </c>
      <c r="P868" t="str">
        <f t="array" ref="P868">IF($A868="","",INDEX(JupData!$A$2:$K$10000,MATCH($A868&amp;P$1,JupData!$A$2:$A$10000&amp;JupData!$J$2:$J$10000,0),11))</f>
        <v/>
      </c>
      <c r="Q868" t="str">
        <f t="array" ref="Q868">IF($A868="","",INDEX(JupData!$A$2:$K$10000,MATCH($A868&amp;Q$1,JupData!$A$2:$A$10000&amp;JupData!$J$2:$J$10000,0),11))</f>
        <v/>
      </c>
      <c r="R868" t="str">
        <f t="array" ref="R868">IF($A868="","",INDEX(JupData!$A$2:$K$10000,MATCH($A868&amp;R$1,JupData!$A$2:$A$10000&amp;JupData!$J$2:$J$10000,0),11))</f>
        <v/>
      </c>
      <c r="S868" t="str">
        <f t="array" ref="S868">IF($A868="","",INDEX(JupData!$A$2:$K$10000,MATCH($A868&amp;S$1,JupData!$A$2:$A$10000&amp;JupData!$J$2:$J$10000,0),11))</f>
        <v/>
      </c>
      <c r="T868" t="str">
        <f t="array" ref="T868">IF($A868="","",INDEX(JupData!$A$2:$K$10000,MATCH($A868&amp;T$1,JupData!$A$2:$A$10000&amp;JupData!$J$2:$J$10000,0),11))</f>
        <v/>
      </c>
      <c r="U868" t="str">
        <f t="array" ref="U868">IF($A868="","",INDEX(JupData!$A$2:$K$10000,MATCH($A868&amp;U$1,JupData!$A$2:$A$10000&amp;JupData!$J$2:$J$10000,0),11))</f>
        <v/>
      </c>
      <c r="V868" t="str">
        <f t="array" ref="V868">IF($A868="","",INDEX(JupData!$A$2:$K$10000,MATCH($A868&amp;V$1,JupData!$A$2:$A$10000&amp;JupData!$J$2:$J$10000,0),11))</f>
        <v/>
      </c>
      <c r="W868" t="str">
        <f t="array" ref="W868">IF($A868="","",INDEX(JupData!$A$2:$K$10000,MATCH($A868&amp;W$1,JupData!$A$2:$A$10000&amp;JupData!$J$2:$J$10000,0),11))</f>
        <v/>
      </c>
      <c r="X868" t="str">
        <f t="array" ref="X868">IF($A868="","",INDEX(JupData!$A$2:$K$10000,MATCH($A868&amp;X$1,JupData!$A$2:$A$10000&amp;JupData!$J$2:$J$10000,0),11))</f>
        <v/>
      </c>
      <c r="Y868" t="str">
        <f t="array" ref="Y868">IF($A868="","",INDEX(JupData!$A$2:$K$10000,MATCH($A868&amp;Y$1,JupData!$A$2:$A$10000&amp;JupData!$J$2:$J$10000,0),11))</f>
        <v/>
      </c>
      <c r="Z868" t="str">
        <f t="array" ref="Z868">IF($A868="","",INDEX(JupData!$A$2:$K$10000,MATCH($A868&amp;Z$1,JupData!$A$2:$A$10000&amp;JupData!$J$2:$J$10000,0),11))</f>
        <v/>
      </c>
      <c r="AA868" t="str">
        <f t="array" ref="AA868">IF($A868="","",INDEX(JupData!$A$2:$K$10000,MATCH($A868&amp;AA$1,JupData!$A$2:$A$10000&amp;JupData!$J$2:$J$10000,0),11))</f>
        <v/>
      </c>
      <c r="AB868" t="str">
        <f t="array" ref="AB868">IF($A868="","",INDEX(JupData!$A$2:$K$10000,MATCH($A868&amp;AB$1,JupData!$A$2:$A$10000&amp;JupData!$J$2:$J$10000,0),11))</f>
        <v/>
      </c>
      <c r="AC868" s="10" t="str">
        <f t="shared" si="143"/>
        <v/>
      </c>
      <c r="AD868" s="10" t="str">
        <f t="shared" si="144"/>
        <v/>
      </c>
      <c r="AE868" s="9" t="str">
        <f t="shared" si="145"/>
        <v/>
      </c>
      <c r="AF868" s="10" t="str">
        <f t="shared" si="146"/>
        <v/>
      </c>
      <c r="AG868" s="10" t="str">
        <f t="shared" si="147"/>
        <v/>
      </c>
      <c r="AH868" s="10" t="str">
        <f t="shared" si="148"/>
        <v/>
      </c>
      <c r="AI868" s="10" t="str">
        <f t="shared" si="149"/>
        <v/>
      </c>
      <c r="AJ868" s="10" t="str">
        <f t="shared" si="150"/>
        <v/>
      </c>
      <c r="AK868" s="10" t="str">
        <f t="shared" si="151"/>
        <v/>
      </c>
      <c r="AL868" s="14" t="str">
        <f t="shared" si="152"/>
        <v/>
      </c>
    </row>
    <row r="869" spans="1:38" x14ac:dyDescent="0.2">
      <c r="A869"/>
      <c r="B869" t="str">
        <f>IF($A869="","",VLOOKUP($A869,JupData!$A$2:$I$10000,4,FALSE))</f>
        <v/>
      </c>
      <c r="C869" s="7" t="str">
        <f>IF($A869="",IF(N(D869),0,""),VLOOKUP($A869,JupData!$A$2:$I$10000,7,FALSE))</f>
        <v/>
      </c>
      <c r="D869" t="str">
        <f t="shared" si="153"/>
        <v/>
      </c>
      <c r="E869" t="str">
        <f t="array" ref="E869">IF($A869="","",INDEX(JupData!$A$2:$K$10000,MATCH($A869&amp;E$1,JupData!$A$2:$A$10000&amp;JupData!$J$2:$J$10000,0),11))</f>
        <v/>
      </c>
      <c r="F869" t="str">
        <f t="array" ref="F869">IF($A869="","",INDEX(JupData!$A$2:$K$10000,MATCH($A869&amp;F$1,JupData!$A$2:$A$10000&amp;JupData!$J$2:$J$10000,0),11))</f>
        <v/>
      </c>
      <c r="G869" t="str">
        <f t="array" ref="G869">IF($A869="","",INDEX(JupData!$A$2:$K$10000,MATCH($A869&amp;G$1,JupData!$A$2:$A$10000&amp;JupData!$J$2:$J$10000,0),11))</f>
        <v/>
      </c>
      <c r="H869" t="str">
        <f t="array" ref="H869">IF($A869="","",INDEX(JupData!$A$2:$K$10000,MATCH($A869&amp;H$1,JupData!$A$2:$A$10000&amp;JupData!$J$2:$J$10000,0),11))</f>
        <v/>
      </c>
      <c r="I869" t="str">
        <f t="array" ref="I869">IF($A869="","",INDEX(JupData!$A$2:$K$10000,MATCH($A869&amp;I$1,JupData!$A$2:$A$10000&amp;JupData!$J$2:$J$10000,0),11))</f>
        <v/>
      </c>
      <c r="J869" t="str">
        <f t="array" ref="J869">IF($A869="","",INDEX(JupData!$A$2:$K$10000,MATCH($A869&amp;J$1,JupData!$A$2:$A$10000&amp;JupData!$J$2:$J$10000,0),11))</f>
        <v/>
      </c>
      <c r="K869" t="str">
        <f t="array" ref="K869">IF($A869="","",INDEX(JupData!$A$2:$K$10000,MATCH($A869&amp;K$1,JupData!$A$2:$A$10000&amp;JupData!$J$2:$J$10000,0),11))</f>
        <v/>
      </c>
      <c r="L869" t="str">
        <f t="array" ref="L869">IF($A869="","",INDEX(JupData!$A$2:$K$10000,MATCH($A869&amp;L$1,JupData!$A$2:$A$10000&amp;JupData!$J$2:$J$10000,0),11))</f>
        <v/>
      </c>
      <c r="M869" t="str">
        <f t="array" ref="M869">IF($A869="","",INDEX(JupData!$A$2:$K$10000,MATCH($A869&amp;M$1,JupData!$A$2:$A$10000&amp;JupData!$J$2:$J$10000,0),11))</f>
        <v/>
      </c>
      <c r="N869" t="str">
        <f t="array" ref="N869">IF($A869="","",INDEX(JupData!$A$2:$K$10000,MATCH($A869&amp;N$1,JupData!$A$2:$A$10000&amp;JupData!$J$2:$J$10000,0),11))</f>
        <v/>
      </c>
      <c r="O869" t="str">
        <f t="array" ref="O869">IF($A869="","",INDEX(JupData!$A$2:$K$10000,MATCH($A869&amp;O$1,JupData!$A$2:$A$10000&amp;JupData!$J$2:$J$10000,0),11))</f>
        <v/>
      </c>
      <c r="P869" t="str">
        <f t="array" ref="P869">IF($A869="","",INDEX(JupData!$A$2:$K$10000,MATCH($A869&amp;P$1,JupData!$A$2:$A$10000&amp;JupData!$J$2:$J$10000,0),11))</f>
        <v/>
      </c>
      <c r="Q869" t="str">
        <f t="array" ref="Q869">IF($A869="","",INDEX(JupData!$A$2:$K$10000,MATCH($A869&amp;Q$1,JupData!$A$2:$A$10000&amp;JupData!$J$2:$J$10000,0),11))</f>
        <v/>
      </c>
      <c r="R869" t="str">
        <f t="array" ref="R869">IF($A869="","",INDEX(JupData!$A$2:$K$10000,MATCH($A869&amp;R$1,JupData!$A$2:$A$10000&amp;JupData!$J$2:$J$10000,0),11))</f>
        <v/>
      </c>
      <c r="S869" t="str">
        <f t="array" ref="S869">IF($A869="","",INDEX(JupData!$A$2:$K$10000,MATCH($A869&amp;S$1,JupData!$A$2:$A$10000&amp;JupData!$J$2:$J$10000,0),11))</f>
        <v/>
      </c>
      <c r="T869" t="str">
        <f t="array" ref="T869">IF($A869="","",INDEX(JupData!$A$2:$K$10000,MATCH($A869&amp;T$1,JupData!$A$2:$A$10000&amp;JupData!$J$2:$J$10000,0),11))</f>
        <v/>
      </c>
      <c r="U869" t="str">
        <f t="array" ref="U869">IF($A869="","",INDEX(JupData!$A$2:$K$10000,MATCH($A869&amp;U$1,JupData!$A$2:$A$10000&amp;JupData!$J$2:$J$10000,0),11))</f>
        <v/>
      </c>
      <c r="V869" t="str">
        <f t="array" ref="V869">IF($A869="","",INDEX(JupData!$A$2:$K$10000,MATCH($A869&amp;V$1,JupData!$A$2:$A$10000&amp;JupData!$J$2:$J$10000,0),11))</f>
        <v/>
      </c>
      <c r="W869" t="str">
        <f t="array" ref="W869">IF($A869="","",INDEX(JupData!$A$2:$K$10000,MATCH($A869&amp;W$1,JupData!$A$2:$A$10000&amp;JupData!$J$2:$J$10000,0),11))</f>
        <v/>
      </c>
      <c r="X869" t="str">
        <f t="array" ref="X869">IF($A869="","",INDEX(JupData!$A$2:$K$10000,MATCH($A869&amp;X$1,JupData!$A$2:$A$10000&amp;JupData!$J$2:$J$10000,0),11))</f>
        <v/>
      </c>
      <c r="Y869" t="str">
        <f t="array" ref="Y869">IF($A869="","",INDEX(JupData!$A$2:$K$10000,MATCH($A869&amp;Y$1,JupData!$A$2:$A$10000&amp;JupData!$J$2:$J$10000,0),11))</f>
        <v/>
      </c>
      <c r="Z869" t="str">
        <f t="array" ref="Z869">IF($A869="","",INDEX(JupData!$A$2:$K$10000,MATCH($A869&amp;Z$1,JupData!$A$2:$A$10000&amp;JupData!$J$2:$J$10000,0),11))</f>
        <v/>
      </c>
      <c r="AA869" t="str">
        <f t="array" ref="AA869">IF($A869="","",INDEX(JupData!$A$2:$K$10000,MATCH($A869&amp;AA$1,JupData!$A$2:$A$10000&amp;JupData!$J$2:$J$10000,0),11))</f>
        <v/>
      </c>
      <c r="AB869" t="str">
        <f t="array" ref="AB869">IF($A869="","",INDEX(JupData!$A$2:$K$10000,MATCH($A869&amp;AB$1,JupData!$A$2:$A$10000&amp;JupData!$J$2:$J$10000,0),11))</f>
        <v/>
      </c>
      <c r="AC869" s="10" t="str">
        <f t="shared" si="143"/>
        <v/>
      </c>
      <c r="AD869" s="10" t="str">
        <f t="shared" si="144"/>
        <v/>
      </c>
      <c r="AE869" s="9" t="str">
        <f t="shared" si="145"/>
        <v/>
      </c>
      <c r="AF869" s="10" t="str">
        <f t="shared" si="146"/>
        <v/>
      </c>
      <c r="AG869" s="10" t="str">
        <f t="shared" si="147"/>
        <v/>
      </c>
      <c r="AH869" s="10" t="str">
        <f t="shared" si="148"/>
        <v/>
      </c>
      <c r="AI869" s="10" t="str">
        <f t="shared" si="149"/>
        <v/>
      </c>
      <c r="AJ869" s="10" t="str">
        <f t="shared" si="150"/>
        <v/>
      </c>
      <c r="AK869" s="10" t="str">
        <f t="shared" si="151"/>
        <v/>
      </c>
      <c r="AL869" s="14" t="str">
        <f t="shared" si="152"/>
        <v/>
      </c>
    </row>
    <row r="870" spans="1:38" x14ac:dyDescent="0.2">
      <c r="A870"/>
      <c r="B870" t="str">
        <f>IF($A870="","",VLOOKUP($A870,JupData!$A$2:$I$10000,4,FALSE))</f>
        <v/>
      </c>
      <c r="C870" s="7" t="str">
        <f>IF($A870="",IF(N(D870),0,""),VLOOKUP($A870,JupData!$A$2:$I$10000,7,FALSE))</f>
        <v/>
      </c>
      <c r="D870" t="str">
        <f t="shared" si="153"/>
        <v/>
      </c>
      <c r="E870" t="str">
        <f t="array" ref="E870">IF($A870="","",INDEX(JupData!$A$2:$K$10000,MATCH($A870&amp;E$1,JupData!$A$2:$A$10000&amp;JupData!$J$2:$J$10000,0),11))</f>
        <v/>
      </c>
      <c r="F870" t="str">
        <f t="array" ref="F870">IF($A870="","",INDEX(JupData!$A$2:$K$10000,MATCH($A870&amp;F$1,JupData!$A$2:$A$10000&amp;JupData!$J$2:$J$10000,0),11))</f>
        <v/>
      </c>
      <c r="G870" t="str">
        <f t="array" ref="G870">IF($A870="","",INDEX(JupData!$A$2:$K$10000,MATCH($A870&amp;G$1,JupData!$A$2:$A$10000&amp;JupData!$J$2:$J$10000,0),11))</f>
        <v/>
      </c>
      <c r="H870" t="str">
        <f t="array" ref="H870">IF($A870="","",INDEX(JupData!$A$2:$K$10000,MATCH($A870&amp;H$1,JupData!$A$2:$A$10000&amp;JupData!$J$2:$J$10000,0),11))</f>
        <v/>
      </c>
      <c r="I870" t="str">
        <f t="array" ref="I870">IF($A870="","",INDEX(JupData!$A$2:$K$10000,MATCH($A870&amp;I$1,JupData!$A$2:$A$10000&amp;JupData!$J$2:$J$10000,0),11))</f>
        <v/>
      </c>
      <c r="J870" t="str">
        <f t="array" ref="J870">IF($A870="","",INDEX(JupData!$A$2:$K$10000,MATCH($A870&amp;J$1,JupData!$A$2:$A$10000&amp;JupData!$J$2:$J$10000,0),11))</f>
        <v/>
      </c>
      <c r="K870" t="str">
        <f t="array" ref="K870">IF($A870="","",INDEX(JupData!$A$2:$K$10000,MATCH($A870&amp;K$1,JupData!$A$2:$A$10000&amp;JupData!$J$2:$J$10000,0),11))</f>
        <v/>
      </c>
      <c r="L870" t="str">
        <f t="array" ref="L870">IF($A870="","",INDEX(JupData!$A$2:$K$10000,MATCH($A870&amp;L$1,JupData!$A$2:$A$10000&amp;JupData!$J$2:$J$10000,0),11))</f>
        <v/>
      </c>
      <c r="M870" t="str">
        <f t="array" ref="M870">IF($A870="","",INDEX(JupData!$A$2:$K$10000,MATCH($A870&amp;M$1,JupData!$A$2:$A$10000&amp;JupData!$J$2:$J$10000,0),11))</f>
        <v/>
      </c>
      <c r="N870" t="str">
        <f t="array" ref="N870">IF($A870="","",INDEX(JupData!$A$2:$K$10000,MATCH($A870&amp;N$1,JupData!$A$2:$A$10000&amp;JupData!$J$2:$J$10000,0),11))</f>
        <v/>
      </c>
      <c r="O870" t="str">
        <f t="array" ref="O870">IF($A870="","",INDEX(JupData!$A$2:$K$10000,MATCH($A870&amp;O$1,JupData!$A$2:$A$10000&amp;JupData!$J$2:$J$10000,0),11))</f>
        <v/>
      </c>
      <c r="P870" t="str">
        <f t="array" ref="P870">IF($A870="","",INDEX(JupData!$A$2:$K$10000,MATCH($A870&amp;P$1,JupData!$A$2:$A$10000&amp;JupData!$J$2:$J$10000,0),11))</f>
        <v/>
      </c>
      <c r="Q870" t="str">
        <f t="array" ref="Q870">IF($A870="","",INDEX(JupData!$A$2:$K$10000,MATCH($A870&amp;Q$1,JupData!$A$2:$A$10000&amp;JupData!$J$2:$J$10000,0),11))</f>
        <v/>
      </c>
      <c r="R870" t="str">
        <f t="array" ref="R870">IF($A870="","",INDEX(JupData!$A$2:$K$10000,MATCH($A870&amp;R$1,JupData!$A$2:$A$10000&amp;JupData!$J$2:$J$10000,0),11))</f>
        <v/>
      </c>
      <c r="S870" t="str">
        <f t="array" ref="S870">IF($A870="","",INDEX(JupData!$A$2:$K$10000,MATCH($A870&amp;S$1,JupData!$A$2:$A$10000&amp;JupData!$J$2:$J$10000,0),11))</f>
        <v/>
      </c>
      <c r="T870" t="str">
        <f t="array" ref="T870">IF($A870="","",INDEX(JupData!$A$2:$K$10000,MATCH($A870&amp;T$1,JupData!$A$2:$A$10000&amp;JupData!$J$2:$J$10000,0),11))</f>
        <v/>
      </c>
      <c r="U870" t="str">
        <f t="array" ref="U870">IF($A870="","",INDEX(JupData!$A$2:$K$10000,MATCH($A870&amp;U$1,JupData!$A$2:$A$10000&amp;JupData!$J$2:$J$10000,0),11))</f>
        <v/>
      </c>
      <c r="V870" t="str">
        <f t="array" ref="V870">IF($A870="","",INDEX(JupData!$A$2:$K$10000,MATCH($A870&amp;V$1,JupData!$A$2:$A$10000&amp;JupData!$J$2:$J$10000,0),11))</f>
        <v/>
      </c>
      <c r="W870" t="str">
        <f t="array" ref="W870">IF($A870="","",INDEX(JupData!$A$2:$K$10000,MATCH($A870&amp;W$1,JupData!$A$2:$A$10000&amp;JupData!$J$2:$J$10000,0),11))</f>
        <v/>
      </c>
      <c r="X870" t="str">
        <f t="array" ref="X870">IF($A870="","",INDEX(JupData!$A$2:$K$10000,MATCH($A870&amp;X$1,JupData!$A$2:$A$10000&amp;JupData!$J$2:$J$10000,0),11))</f>
        <v/>
      </c>
      <c r="Y870" t="str">
        <f t="array" ref="Y870">IF($A870="","",INDEX(JupData!$A$2:$K$10000,MATCH($A870&amp;Y$1,JupData!$A$2:$A$10000&amp;JupData!$J$2:$J$10000,0),11))</f>
        <v/>
      </c>
      <c r="Z870" t="str">
        <f t="array" ref="Z870">IF($A870="","",INDEX(JupData!$A$2:$K$10000,MATCH($A870&amp;Z$1,JupData!$A$2:$A$10000&amp;JupData!$J$2:$J$10000,0),11))</f>
        <v/>
      </c>
      <c r="AA870" t="str">
        <f t="array" ref="AA870">IF($A870="","",INDEX(JupData!$A$2:$K$10000,MATCH($A870&amp;AA$1,JupData!$A$2:$A$10000&amp;JupData!$J$2:$J$10000,0),11))</f>
        <v/>
      </c>
      <c r="AB870" t="str">
        <f t="array" ref="AB870">IF($A870="","",INDEX(JupData!$A$2:$K$10000,MATCH($A870&amp;AB$1,JupData!$A$2:$A$10000&amp;JupData!$J$2:$J$10000,0),11))</f>
        <v/>
      </c>
      <c r="AC870" s="10" t="str">
        <f t="shared" si="143"/>
        <v/>
      </c>
      <c r="AD870" s="10" t="str">
        <f t="shared" si="144"/>
        <v/>
      </c>
      <c r="AE870" s="9" t="str">
        <f t="shared" si="145"/>
        <v/>
      </c>
      <c r="AF870" s="10" t="str">
        <f t="shared" si="146"/>
        <v/>
      </c>
      <c r="AG870" s="10" t="str">
        <f t="shared" si="147"/>
        <v/>
      </c>
      <c r="AH870" s="10" t="str">
        <f t="shared" si="148"/>
        <v/>
      </c>
      <c r="AI870" s="10" t="str">
        <f t="shared" si="149"/>
        <v/>
      </c>
      <c r="AJ870" s="10" t="str">
        <f t="shared" si="150"/>
        <v/>
      </c>
      <c r="AK870" s="10" t="str">
        <f t="shared" si="151"/>
        <v/>
      </c>
      <c r="AL870" s="14" t="str">
        <f t="shared" si="152"/>
        <v/>
      </c>
    </row>
    <row r="871" spans="1:38" x14ac:dyDescent="0.2">
      <c r="A871"/>
      <c r="B871" t="str">
        <f>IF($A871="","",VLOOKUP($A871,JupData!$A$2:$I$10000,4,FALSE))</f>
        <v/>
      </c>
      <c r="C871" s="7" t="str">
        <f>IF($A871="",IF(N(D871),0,""),VLOOKUP($A871,JupData!$A$2:$I$10000,7,FALSE))</f>
        <v/>
      </c>
      <c r="D871" t="str">
        <f t="shared" si="153"/>
        <v/>
      </c>
      <c r="E871" t="str">
        <f t="array" ref="E871">IF($A871="","",INDEX(JupData!$A$2:$K$10000,MATCH($A871&amp;E$1,JupData!$A$2:$A$10000&amp;JupData!$J$2:$J$10000,0),11))</f>
        <v/>
      </c>
      <c r="F871" t="str">
        <f t="array" ref="F871">IF($A871="","",INDEX(JupData!$A$2:$K$10000,MATCH($A871&amp;F$1,JupData!$A$2:$A$10000&amp;JupData!$J$2:$J$10000,0),11))</f>
        <v/>
      </c>
      <c r="G871" t="str">
        <f t="array" ref="G871">IF($A871="","",INDEX(JupData!$A$2:$K$10000,MATCH($A871&amp;G$1,JupData!$A$2:$A$10000&amp;JupData!$J$2:$J$10000,0),11))</f>
        <v/>
      </c>
      <c r="H871" t="str">
        <f t="array" ref="H871">IF($A871="","",INDEX(JupData!$A$2:$K$10000,MATCH($A871&amp;H$1,JupData!$A$2:$A$10000&amp;JupData!$J$2:$J$10000,0),11))</f>
        <v/>
      </c>
      <c r="I871" t="str">
        <f t="array" ref="I871">IF($A871="","",INDEX(JupData!$A$2:$K$10000,MATCH($A871&amp;I$1,JupData!$A$2:$A$10000&amp;JupData!$J$2:$J$10000,0),11))</f>
        <v/>
      </c>
      <c r="J871" t="str">
        <f t="array" ref="J871">IF($A871="","",INDEX(JupData!$A$2:$K$10000,MATCH($A871&amp;J$1,JupData!$A$2:$A$10000&amp;JupData!$J$2:$J$10000,0),11))</f>
        <v/>
      </c>
      <c r="K871" t="str">
        <f t="array" ref="K871">IF($A871="","",INDEX(JupData!$A$2:$K$10000,MATCH($A871&amp;K$1,JupData!$A$2:$A$10000&amp;JupData!$J$2:$J$10000,0),11))</f>
        <v/>
      </c>
      <c r="L871" t="str">
        <f t="array" ref="L871">IF($A871="","",INDEX(JupData!$A$2:$K$10000,MATCH($A871&amp;L$1,JupData!$A$2:$A$10000&amp;JupData!$J$2:$J$10000,0),11))</f>
        <v/>
      </c>
      <c r="M871" t="str">
        <f t="array" ref="M871">IF($A871="","",INDEX(JupData!$A$2:$K$10000,MATCH($A871&amp;M$1,JupData!$A$2:$A$10000&amp;JupData!$J$2:$J$10000,0),11))</f>
        <v/>
      </c>
      <c r="N871" t="str">
        <f t="array" ref="N871">IF($A871="","",INDEX(JupData!$A$2:$K$10000,MATCH($A871&amp;N$1,JupData!$A$2:$A$10000&amp;JupData!$J$2:$J$10000,0),11))</f>
        <v/>
      </c>
      <c r="O871" t="str">
        <f t="array" ref="O871">IF($A871="","",INDEX(JupData!$A$2:$K$10000,MATCH($A871&amp;O$1,JupData!$A$2:$A$10000&amp;JupData!$J$2:$J$10000,0),11))</f>
        <v/>
      </c>
      <c r="P871" t="str">
        <f t="array" ref="P871">IF($A871="","",INDEX(JupData!$A$2:$K$10000,MATCH($A871&amp;P$1,JupData!$A$2:$A$10000&amp;JupData!$J$2:$J$10000,0),11))</f>
        <v/>
      </c>
      <c r="Q871" t="str">
        <f t="array" ref="Q871">IF($A871="","",INDEX(JupData!$A$2:$K$10000,MATCH($A871&amp;Q$1,JupData!$A$2:$A$10000&amp;JupData!$J$2:$J$10000,0),11))</f>
        <v/>
      </c>
      <c r="R871" t="str">
        <f t="array" ref="R871">IF($A871="","",INDEX(JupData!$A$2:$K$10000,MATCH($A871&amp;R$1,JupData!$A$2:$A$10000&amp;JupData!$J$2:$J$10000,0),11))</f>
        <v/>
      </c>
      <c r="S871" t="str">
        <f t="array" ref="S871">IF($A871="","",INDEX(JupData!$A$2:$K$10000,MATCH($A871&amp;S$1,JupData!$A$2:$A$10000&amp;JupData!$J$2:$J$10000,0),11))</f>
        <v/>
      </c>
      <c r="T871" t="str">
        <f t="array" ref="T871">IF($A871="","",INDEX(JupData!$A$2:$K$10000,MATCH($A871&amp;T$1,JupData!$A$2:$A$10000&amp;JupData!$J$2:$J$10000,0),11))</f>
        <v/>
      </c>
      <c r="U871" t="str">
        <f t="array" ref="U871">IF($A871="","",INDEX(JupData!$A$2:$K$10000,MATCH($A871&amp;U$1,JupData!$A$2:$A$10000&amp;JupData!$J$2:$J$10000,0),11))</f>
        <v/>
      </c>
      <c r="V871" t="str">
        <f t="array" ref="V871">IF($A871="","",INDEX(JupData!$A$2:$K$10000,MATCH($A871&amp;V$1,JupData!$A$2:$A$10000&amp;JupData!$J$2:$J$10000,0),11))</f>
        <v/>
      </c>
      <c r="W871" t="str">
        <f t="array" ref="W871">IF($A871="","",INDEX(JupData!$A$2:$K$10000,MATCH($A871&amp;W$1,JupData!$A$2:$A$10000&amp;JupData!$J$2:$J$10000,0),11))</f>
        <v/>
      </c>
      <c r="X871" t="str">
        <f t="array" ref="X871">IF($A871="","",INDEX(JupData!$A$2:$K$10000,MATCH($A871&amp;X$1,JupData!$A$2:$A$10000&amp;JupData!$J$2:$J$10000,0),11))</f>
        <v/>
      </c>
      <c r="Y871" t="str">
        <f t="array" ref="Y871">IF($A871="","",INDEX(JupData!$A$2:$K$10000,MATCH($A871&amp;Y$1,JupData!$A$2:$A$10000&amp;JupData!$J$2:$J$10000,0),11))</f>
        <v/>
      </c>
      <c r="Z871" t="str">
        <f t="array" ref="Z871">IF($A871="","",INDEX(JupData!$A$2:$K$10000,MATCH($A871&amp;Z$1,JupData!$A$2:$A$10000&amp;JupData!$J$2:$J$10000,0),11))</f>
        <v/>
      </c>
      <c r="AA871" t="str">
        <f t="array" ref="AA871">IF($A871="","",INDEX(JupData!$A$2:$K$10000,MATCH($A871&amp;AA$1,JupData!$A$2:$A$10000&amp;JupData!$J$2:$J$10000,0),11))</f>
        <v/>
      </c>
      <c r="AB871" t="str">
        <f t="array" ref="AB871">IF($A871="","",INDEX(JupData!$A$2:$K$10000,MATCH($A871&amp;AB$1,JupData!$A$2:$A$10000&amp;JupData!$J$2:$J$10000,0),11))</f>
        <v/>
      </c>
      <c r="AC871" s="10" t="str">
        <f t="shared" si="143"/>
        <v/>
      </c>
      <c r="AD871" s="10" t="str">
        <f t="shared" si="144"/>
        <v/>
      </c>
      <c r="AE871" s="9" t="str">
        <f t="shared" si="145"/>
        <v/>
      </c>
      <c r="AF871" s="10" t="str">
        <f t="shared" si="146"/>
        <v/>
      </c>
      <c r="AG871" s="10" t="str">
        <f t="shared" si="147"/>
        <v/>
      </c>
      <c r="AH871" s="10" t="str">
        <f t="shared" si="148"/>
        <v/>
      </c>
      <c r="AI871" s="10" t="str">
        <f t="shared" si="149"/>
        <v/>
      </c>
      <c r="AJ871" s="10" t="str">
        <f t="shared" si="150"/>
        <v/>
      </c>
      <c r="AK871" s="10" t="str">
        <f t="shared" si="151"/>
        <v/>
      </c>
      <c r="AL871" s="14" t="str">
        <f t="shared" si="152"/>
        <v/>
      </c>
    </row>
    <row r="872" spans="1:38" x14ac:dyDescent="0.2">
      <c r="A872"/>
      <c r="B872" t="str">
        <f>IF($A872="","",VLOOKUP($A872,JupData!$A$2:$I$10000,4,FALSE))</f>
        <v/>
      </c>
      <c r="C872" s="7" t="str">
        <f>IF($A872="",IF(N(D872),0,""),VLOOKUP($A872,JupData!$A$2:$I$10000,7,FALSE))</f>
        <v/>
      </c>
      <c r="D872" t="str">
        <f t="shared" si="153"/>
        <v/>
      </c>
      <c r="E872" t="str">
        <f t="array" ref="E872">IF($A872="","",INDEX(JupData!$A$2:$K$10000,MATCH($A872&amp;E$1,JupData!$A$2:$A$10000&amp;JupData!$J$2:$J$10000,0),11))</f>
        <v/>
      </c>
      <c r="F872" t="str">
        <f t="array" ref="F872">IF($A872="","",INDEX(JupData!$A$2:$K$10000,MATCH($A872&amp;F$1,JupData!$A$2:$A$10000&amp;JupData!$J$2:$J$10000,0),11))</f>
        <v/>
      </c>
      <c r="G872" t="str">
        <f t="array" ref="G872">IF($A872="","",INDEX(JupData!$A$2:$K$10000,MATCH($A872&amp;G$1,JupData!$A$2:$A$10000&amp;JupData!$J$2:$J$10000,0),11))</f>
        <v/>
      </c>
      <c r="H872" t="str">
        <f t="array" ref="H872">IF($A872="","",INDEX(JupData!$A$2:$K$10000,MATCH($A872&amp;H$1,JupData!$A$2:$A$10000&amp;JupData!$J$2:$J$10000,0),11))</f>
        <v/>
      </c>
      <c r="I872" t="str">
        <f t="array" ref="I872">IF($A872="","",INDEX(JupData!$A$2:$K$10000,MATCH($A872&amp;I$1,JupData!$A$2:$A$10000&amp;JupData!$J$2:$J$10000,0),11))</f>
        <v/>
      </c>
      <c r="J872" t="str">
        <f t="array" ref="J872">IF($A872="","",INDEX(JupData!$A$2:$K$10000,MATCH($A872&amp;J$1,JupData!$A$2:$A$10000&amp;JupData!$J$2:$J$10000,0),11))</f>
        <v/>
      </c>
      <c r="K872" t="str">
        <f t="array" ref="K872">IF($A872="","",INDEX(JupData!$A$2:$K$10000,MATCH($A872&amp;K$1,JupData!$A$2:$A$10000&amp;JupData!$J$2:$J$10000,0),11))</f>
        <v/>
      </c>
      <c r="L872" t="str">
        <f t="array" ref="L872">IF($A872="","",INDEX(JupData!$A$2:$K$10000,MATCH($A872&amp;L$1,JupData!$A$2:$A$10000&amp;JupData!$J$2:$J$10000,0),11))</f>
        <v/>
      </c>
      <c r="M872" t="str">
        <f t="array" ref="M872">IF($A872="","",INDEX(JupData!$A$2:$K$10000,MATCH($A872&amp;M$1,JupData!$A$2:$A$10000&amp;JupData!$J$2:$J$10000,0),11))</f>
        <v/>
      </c>
      <c r="N872" t="str">
        <f t="array" ref="N872">IF($A872="","",INDEX(JupData!$A$2:$K$10000,MATCH($A872&amp;N$1,JupData!$A$2:$A$10000&amp;JupData!$J$2:$J$10000,0),11))</f>
        <v/>
      </c>
      <c r="O872" t="str">
        <f t="array" ref="O872">IF($A872="","",INDEX(JupData!$A$2:$K$10000,MATCH($A872&amp;O$1,JupData!$A$2:$A$10000&amp;JupData!$J$2:$J$10000,0),11))</f>
        <v/>
      </c>
      <c r="P872" t="str">
        <f t="array" ref="P872">IF($A872="","",INDEX(JupData!$A$2:$K$10000,MATCH($A872&amp;P$1,JupData!$A$2:$A$10000&amp;JupData!$J$2:$J$10000,0),11))</f>
        <v/>
      </c>
      <c r="Q872" t="str">
        <f t="array" ref="Q872">IF($A872="","",INDEX(JupData!$A$2:$K$10000,MATCH($A872&amp;Q$1,JupData!$A$2:$A$10000&amp;JupData!$J$2:$J$10000,0),11))</f>
        <v/>
      </c>
      <c r="R872" t="str">
        <f t="array" ref="R872">IF($A872="","",INDEX(JupData!$A$2:$K$10000,MATCH($A872&amp;R$1,JupData!$A$2:$A$10000&amp;JupData!$J$2:$J$10000,0),11))</f>
        <v/>
      </c>
      <c r="S872" t="str">
        <f t="array" ref="S872">IF($A872="","",INDEX(JupData!$A$2:$K$10000,MATCH($A872&amp;S$1,JupData!$A$2:$A$10000&amp;JupData!$J$2:$J$10000,0),11))</f>
        <v/>
      </c>
      <c r="T872" t="str">
        <f t="array" ref="T872">IF($A872="","",INDEX(JupData!$A$2:$K$10000,MATCH($A872&amp;T$1,JupData!$A$2:$A$10000&amp;JupData!$J$2:$J$10000,0),11))</f>
        <v/>
      </c>
      <c r="U872" t="str">
        <f t="array" ref="U872">IF($A872="","",INDEX(JupData!$A$2:$K$10000,MATCH($A872&amp;U$1,JupData!$A$2:$A$10000&amp;JupData!$J$2:$J$10000,0),11))</f>
        <v/>
      </c>
      <c r="V872" t="str">
        <f t="array" ref="V872">IF($A872="","",INDEX(JupData!$A$2:$K$10000,MATCH($A872&amp;V$1,JupData!$A$2:$A$10000&amp;JupData!$J$2:$J$10000,0),11))</f>
        <v/>
      </c>
      <c r="W872" t="str">
        <f t="array" ref="W872">IF($A872="","",INDEX(JupData!$A$2:$K$10000,MATCH($A872&amp;W$1,JupData!$A$2:$A$10000&amp;JupData!$J$2:$J$10000,0),11))</f>
        <v/>
      </c>
      <c r="X872" t="str">
        <f t="array" ref="X872">IF($A872="","",INDEX(JupData!$A$2:$K$10000,MATCH($A872&amp;X$1,JupData!$A$2:$A$10000&amp;JupData!$J$2:$J$10000,0),11))</f>
        <v/>
      </c>
      <c r="Y872" t="str">
        <f t="array" ref="Y872">IF($A872="","",INDEX(JupData!$A$2:$K$10000,MATCH($A872&amp;Y$1,JupData!$A$2:$A$10000&amp;JupData!$J$2:$J$10000,0),11))</f>
        <v/>
      </c>
      <c r="Z872" t="str">
        <f t="array" ref="Z872">IF($A872="","",INDEX(JupData!$A$2:$K$10000,MATCH($A872&amp;Z$1,JupData!$A$2:$A$10000&amp;JupData!$J$2:$J$10000,0),11))</f>
        <v/>
      </c>
      <c r="AA872" t="str">
        <f t="array" ref="AA872">IF($A872="","",INDEX(JupData!$A$2:$K$10000,MATCH($A872&amp;AA$1,JupData!$A$2:$A$10000&amp;JupData!$J$2:$J$10000,0),11))</f>
        <v/>
      </c>
      <c r="AB872" t="str">
        <f t="array" ref="AB872">IF($A872="","",INDEX(JupData!$A$2:$K$10000,MATCH($A872&amp;AB$1,JupData!$A$2:$A$10000&amp;JupData!$J$2:$J$10000,0),11))</f>
        <v/>
      </c>
      <c r="AC872" s="10" t="str">
        <f t="shared" si="143"/>
        <v/>
      </c>
      <c r="AD872" s="10" t="str">
        <f t="shared" si="144"/>
        <v/>
      </c>
      <c r="AE872" s="9" t="str">
        <f t="shared" si="145"/>
        <v/>
      </c>
      <c r="AF872" s="10" t="str">
        <f t="shared" si="146"/>
        <v/>
      </c>
      <c r="AG872" s="10" t="str">
        <f t="shared" si="147"/>
        <v/>
      </c>
      <c r="AH872" s="10" t="str">
        <f t="shared" si="148"/>
        <v/>
      </c>
      <c r="AI872" s="10" t="str">
        <f t="shared" si="149"/>
        <v/>
      </c>
      <c r="AJ872" s="10" t="str">
        <f t="shared" si="150"/>
        <v/>
      </c>
      <c r="AK872" s="10" t="str">
        <f t="shared" si="151"/>
        <v/>
      </c>
      <c r="AL872" s="14" t="str">
        <f t="shared" si="152"/>
        <v/>
      </c>
    </row>
    <row r="873" spans="1:38" x14ac:dyDescent="0.2">
      <c r="A873"/>
      <c r="B873" t="str">
        <f>IF($A873="","",VLOOKUP($A873,JupData!$A$2:$I$10000,4,FALSE))</f>
        <v/>
      </c>
      <c r="C873" s="7" t="str">
        <f>IF($A873="",IF(N(D873),0,""),VLOOKUP($A873,JupData!$A$2:$I$10000,7,FALSE))</f>
        <v/>
      </c>
      <c r="D873" t="str">
        <f t="shared" si="153"/>
        <v/>
      </c>
      <c r="E873" t="str">
        <f t="array" ref="E873">IF($A873="","",INDEX(JupData!$A$2:$K$10000,MATCH($A873&amp;E$1,JupData!$A$2:$A$10000&amp;JupData!$J$2:$J$10000,0),11))</f>
        <v/>
      </c>
      <c r="F873" t="str">
        <f t="array" ref="F873">IF($A873="","",INDEX(JupData!$A$2:$K$10000,MATCH($A873&amp;F$1,JupData!$A$2:$A$10000&amp;JupData!$J$2:$J$10000,0),11))</f>
        <v/>
      </c>
      <c r="G873" t="str">
        <f t="array" ref="G873">IF($A873="","",INDEX(JupData!$A$2:$K$10000,MATCH($A873&amp;G$1,JupData!$A$2:$A$10000&amp;JupData!$J$2:$J$10000,0),11))</f>
        <v/>
      </c>
      <c r="H873" t="str">
        <f t="array" ref="H873">IF($A873="","",INDEX(JupData!$A$2:$K$10000,MATCH($A873&amp;H$1,JupData!$A$2:$A$10000&amp;JupData!$J$2:$J$10000,0),11))</f>
        <v/>
      </c>
      <c r="I873" t="str">
        <f t="array" ref="I873">IF($A873="","",INDEX(JupData!$A$2:$K$10000,MATCH($A873&amp;I$1,JupData!$A$2:$A$10000&amp;JupData!$J$2:$J$10000,0),11))</f>
        <v/>
      </c>
      <c r="J873" t="str">
        <f t="array" ref="J873">IF($A873="","",INDEX(JupData!$A$2:$K$10000,MATCH($A873&amp;J$1,JupData!$A$2:$A$10000&amp;JupData!$J$2:$J$10000,0),11))</f>
        <v/>
      </c>
      <c r="K873" t="str">
        <f t="array" ref="K873">IF($A873="","",INDEX(JupData!$A$2:$K$10000,MATCH($A873&amp;K$1,JupData!$A$2:$A$10000&amp;JupData!$J$2:$J$10000,0),11))</f>
        <v/>
      </c>
      <c r="L873" t="str">
        <f t="array" ref="L873">IF($A873="","",INDEX(JupData!$A$2:$K$10000,MATCH($A873&amp;L$1,JupData!$A$2:$A$10000&amp;JupData!$J$2:$J$10000,0),11))</f>
        <v/>
      </c>
      <c r="M873" t="str">
        <f t="array" ref="M873">IF($A873="","",INDEX(JupData!$A$2:$K$10000,MATCH($A873&amp;M$1,JupData!$A$2:$A$10000&amp;JupData!$J$2:$J$10000,0),11))</f>
        <v/>
      </c>
      <c r="N873" t="str">
        <f t="array" ref="N873">IF($A873="","",INDEX(JupData!$A$2:$K$10000,MATCH($A873&amp;N$1,JupData!$A$2:$A$10000&amp;JupData!$J$2:$J$10000,0),11))</f>
        <v/>
      </c>
      <c r="O873" t="str">
        <f t="array" ref="O873">IF($A873="","",INDEX(JupData!$A$2:$K$10000,MATCH($A873&amp;O$1,JupData!$A$2:$A$10000&amp;JupData!$J$2:$J$10000,0),11))</f>
        <v/>
      </c>
      <c r="P873" t="str">
        <f t="array" ref="P873">IF($A873="","",INDEX(JupData!$A$2:$K$10000,MATCH($A873&amp;P$1,JupData!$A$2:$A$10000&amp;JupData!$J$2:$J$10000,0),11))</f>
        <v/>
      </c>
      <c r="Q873" t="str">
        <f t="array" ref="Q873">IF($A873="","",INDEX(JupData!$A$2:$K$10000,MATCH($A873&amp;Q$1,JupData!$A$2:$A$10000&amp;JupData!$J$2:$J$10000,0),11))</f>
        <v/>
      </c>
      <c r="R873" t="str">
        <f t="array" ref="R873">IF($A873="","",INDEX(JupData!$A$2:$K$10000,MATCH($A873&amp;R$1,JupData!$A$2:$A$10000&amp;JupData!$J$2:$J$10000,0),11))</f>
        <v/>
      </c>
      <c r="S873" t="str">
        <f t="array" ref="S873">IF($A873="","",INDEX(JupData!$A$2:$K$10000,MATCH($A873&amp;S$1,JupData!$A$2:$A$10000&amp;JupData!$J$2:$J$10000,0),11))</f>
        <v/>
      </c>
      <c r="T873" t="str">
        <f t="array" ref="T873">IF($A873="","",INDEX(JupData!$A$2:$K$10000,MATCH($A873&amp;T$1,JupData!$A$2:$A$10000&amp;JupData!$J$2:$J$10000,0),11))</f>
        <v/>
      </c>
      <c r="U873" t="str">
        <f t="array" ref="U873">IF($A873="","",INDEX(JupData!$A$2:$K$10000,MATCH($A873&amp;U$1,JupData!$A$2:$A$10000&amp;JupData!$J$2:$J$10000,0),11))</f>
        <v/>
      </c>
      <c r="V873" t="str">
        <f t="array" ref="V873">IF($A873="","",INDEX(JupData!$A$2:$K$10000,MATCH($A873&amp;V$1,JupData!$A$2:$A$10000&amp;JupData!$J$2:$J$10000,0),11))</f>
        <v/>
      </c>
      <c r="W873" t="str">
        <f t="array" ref="W873">IF($A873="","",INDEX(JupData!$A$2:$K$10000,MATCH($A873&amp;W$1,JupData!$A$2:$A$10000&amp;JupData!$J$2:$J$10000,0),11))</f>
        <v/>
      </c>
      <c r="X873" t="str">
        <f t="array" ref="X873">IF($A873="","",INDEX(JupData!$A$2:$K$10000,MATCH($A873&amp;X$1,JupData!$A$2:$A$10000&amp;JupData!$J$2:$J$10000,0),11))</f>
        <v/>
      </c>
      <c r="Y873" t="str">
        <f t="array" ref="Y873">IF($A873="","",INDEX(JupData!$A$2:$K$10000,MATCH($A873&amp;Y$1,JupData!$A$2:$A$10000&amp;JupData!$J$2:$J$10000,0),11))</f>
        <v/>
      </c>
      <c r="Z873" t="str">
        <f t="array" ref="Z873">IF($A873="","",INDEX(JupData!$A$2:$K$10000,MATCH($A873&amp;Z$1,JupData!$A$2:$A$10000&amp;JupData!$J$2:$J$10000,0),11))</f>
        <v/>
      </c>
      <c r="AA873" t="str">
        <f t="array" ref="AA873">IF($A873="","",INDEX(JupData!$A$2:$K$10000,MATCH($A873&amp;AA$1,JupData!$A$2:$A$10000&amp;JupData!$J$2:$J$10000,0),11))</f>
        <v/>
      </c>
      <c r="AB873" t="str">
        <f t="array" ref="AB873">IF($A873="","",INDEX(JupData!$A$2:$K$10000,MATCH($A873&amp;AB$1,JupData!$A$2:$A$10000&amp;JupData!$J$2:$J$10000,0),11))</f>
        <v/>
      </c>
      <c r="AC873" s="10" t="str">
        <f t="shared" si="143"/>
        <v/>
      </c>
      <c r="AD873" s="10" t="str">
        <f t="shared" si="144"/>
        <v/>
      </c>
      <c r="AE873" s="9" t="str">
        <f t="shared" si="145"/>
        <v/>
      </c>
      <c r="AF873" s="10" t="str">
        <f t="shared" si="146"/>
        <v/>
      </c>
      <c r="AG873" s="10" t="str">
        <f t="shared" si="147"/>
        <v/>
      </c>
      <c r="AH873" s="10" t="str">
        <f t="shared" si="148"/>
        <v/>
      </c>
      <c r="AI873" s="10" t="str">
        <f t="shared" si="149"/>
        <v/>
      </c>
      <c r="AJ873" s="10" t="str">
        <f t="shared" si="150"/>
        <v/>
      </c>
      <c r="AK873" s="10" t="str">
        <f t="shared" si="151"/>
        <v/>
      </c>
      <c r="AL873" s="14" t="str">
        <f t="shared" si="152"/>
        <v/>
      </c>
    </row>
    <row r="874" spans="1:38" x14ac:dyDescent="0.2">
      <c r="A874"/>
      <c r="B874" t="str">
        <f>IF($A874="","",VLOOKUP($A874,JupData!$A$2:$I$10000,4,FALSE))</f>
        <v/>
      </c>
      <c r="C874" s="7" t="str">
        <f>IF($A874="",IF(N(D874),0,""),VLOOKUP($A874,JupData!$A$2:$I$10000,7,FALSE))</f>
        <v/>
      </c>
      <c r="D874" t="str">
        <f t="shared" si="153"/>
        <v/>
      </c>
      <c r="E874" t="str">
        <f t="array" ref="E874">IF($A874="","",INDEX(JupData!$A$2:$K$10000,MATCH($A874&amp;E$1,JupData!$A$2:$A$10000&amp;JupData!$J$2:$J$10000,0),11))</f>
        <v/>
      </c>
      <c r="F874" t="str">
        <f t="array" ref="F874">IF($A874="","",INDEX(JupData!$A$2:$K$10000,MATCH($A874&amp;F$1,JupData!$A$2:$A$10000&amp;JupData!$J$2:$J$10000,0),11))</f>
        <v/>
      </c>
      <c r="G874" t="str">
        <f t="array" ref="G874">IF($A874="","",INDEX(JupData!$A$2:$K$10000,MATCH($A874&amp;G$1,JupData!$A$2:$A$10000&amp;JupData!$J$2:$J$10000,0),11))</f>
        <v/>
      </c>
      <c r="H874" t="str">
        <f t="array" ref="H874">IF($A874="","",INDEX(JupData!$A$2:$K$10000,MATCH($A874&amp;H$1,JupData!$A$2:$A$10000&amp;JupData!$J$2:$J$10000,0),11))</f>
        <v/>
      </c>
      <c r="I874" t="str">
        <f t="array" ref="I874">IF($A874="","",INDEX(JupData!$A$2:$K$10000,MATCH($A874&amp;I$1,JupData!$A$2:$A$10000&amp;JupData!$J$2:$J$10000,0),11))</f>
        <v/>
      </c>
      <c r="J874" t="str">
        <f t="array" ref="J874">IF($A874="","",INDEX(JupData!$A$2:$K$10000,MATCH($A874&amp;J$1,JupData!$A$2:$A$10000&amp;JupData!$J$2:$J$10000,0),11))</f>
        <v/>
      </c>
      <c r="K874" t="str">
        <f t="array" ref="K874">IF($A874="","",INDEX(JupData!$A$2:$K$10000,MATCH($A874&amp;K$1,JupData!$A$2:$A$10000&amp;JupData!$J$2:$J$10000,0),11))</f>
        <v/>
      </c>
      <c r="L874" t="str">
        <f t="array" ref="L874">IF($A874="","",INDEX(JupData!$A$2:$K$10000,MATCH($A874&amp;L$1,JupData!$A$2:$A$10000&amp;JupData!$J$2:$J$10000,0),11))</f>
        <v/>
      </c>
      <c r="M874" t="str">
        <f t="array" ref="M874">IF($A874="","",INDEX(JupData!$A$2:$K$10000,MATCH($A874&amp;M$1,JupData!$A$2:$A$10000&amp;JupData!$J$2:$J$10000,0),11))</f>
        <v/>
      </c>
      <c r="N874" t="str">
        <f t="array" ref="N874">IF($A874="","",INDEX(JupData!$A$2:$K$10000,MATCH($A874&amp;N$1,JupData!$A$2:$A$10000&amp;JupData!$J$2:$J$10000,0),11))</f>
        <v/>
      </c>
      <c r="O874" t="str">
        <f t="array" ref="O874">IF($A874="","",INDEX(JupData!$A$2:$K$10000,MATCH($A874&amp;O$1,JupData!$A$2:$A$10000&amp;JupData!$J$2:$J$10000,0),11))</f>
        <v/>
      </c>
      <c r="P874" t="str">
        <f t="array" ref="P874">IF($A874="","",INDEX(JupData!$A$2:$K$10000,MATCH($A874&amp;P$1,JupData!$A$2:$A$10000&amp;JupData!$J$2:$J$10000,0),11))</f>
        <v/>
      </c>
      <c r="Q874" t="str">
        <f t="array" ref="Q874">IF($A874="","",INDEX(JupData!$A$2:$K$10000,MATCH($A874&amp;Q$1,JupData!$A$2:$A$10000&amp;JupData!$J$2:$J$10000,0),11))</f>
        <v/>
      </c>
      <c r="R874" t="str">
        <f t="array" ref="R874">IF($A874="","",INDEX(JupData!$A$2:$K$10000,MATCH($A874&amp;R$1,JupData!$A$2:$A$10000&amp;JupData!$J$2:$J$10000,0),11))</f>
        <v/>
      </c>
      <c r="S874" t="str">
        <f t="array" ref="S874">IF($A874="","",INDEX(JupData!$A$2:$K$10000,MATCH($A874&amp;S$1,JupData!$A$2:$A$10000&amp;JupData!$J$2:$J$10000,0),11))</f>
        <v/>
      </c>
      <c r="T874" t="str">
        <f t="array" ref="T874">IF($A874="","",INDEX(JupData!$A$2:$K$10000,MATCH($A874&amp;T$1,JupData!$A$2:$A$10000&amp;JupData!$J$2:$J$10000,0),11))</f>
        <v/>
      </c>
      <c r="U874" t="str">
        <f t="array" ref="U874">IF($A874="","",INDEX(JupData!$A$2:$K$10000,MATCH($A874&amp;U$1,JupData!$A$2:$A$10000&amp;JupData!$J$2:$J$10000,0),11))</f>
        <v/>
      </c>
      <c r="V874" t="str">
        <f t="array" ref="V874">IF($A874="","",INDEX(JupData!$A$2:$K$10000,MATCH($A874&amp;V$1,JupData!$A$2:$A$10000&amp;JupData!$J$2:$J$10000,0),11))</f>
        <v/>
      </c>
      <c r="W874" t="str">
        <f t="array" ref="W874">IF($A874="","",INDEX(JupData!$A$2:$K$10000,MATCH($A874&amp;W$1,JupData!$A$2:$A$10000&amp;JupData!$J$2:$J$10000,0),11))</f>
        <v/>
      </c>
      <c r="X874" t="str">
        <f t="array" ref="X874">IF($A874="","",INDEX(JupData!$A$2:$K$10000,MATCH($A874&amp;X$1,JupData!$A$2:$A$10000&amp;JupData!$J$2:$J$10000,0),11))</f>
        <v/>
      </c>
      <c r="Y874" t="str">
        <f t="array" ref="Y874">IF($A874="","",INDEX(JupData!$A$2:$K$10000,MATCH($A874&amp;Y$1,JupData!$A$2:$A$10000&amp;JupData!$J$2:$J$10000,0),11))</f>
        <v/>
      </c>
      <c r="Z874" t="str">
        <f t="array" ref="Z874">IF($A874="","",INDEX(JupData!$A$2:$K$10000,MATCH($A874&amp;Z$1,JupData!$A$2:$A$10000&amp;JupData!$J$2:$J$10000,0),11))</f>
        <v/>
      </c>
      <c r="AA874" t="str">
        <f t="array" ref="AA874">IF($A874="","",INDEX(JupData!$A$2:$K$10000,MATCH($A874&amp;AA$1,JupData!$A$2:$A$10000&amp;JupData!$J$2:$J$10000,0),11))</f>
        <v/>
      </c>
      <c r="AB874" t="str">
        <f t="array" ref="AB874">IF($A874="","",INDEX(JupData!$A$2:$K$10000,MATCH($A874&amp;AB$1,JupData!$A$2:$A$10000&amp;JupData!$J$2:$J$10000,0),11))</f>
        <v/>
      </c>
      <c r="AC874" s="10" t="str">
        <f t="shared" si="143"/>
        <v/>
      </c>
      <c r="AD874" s="10" t="str">
        <f t="shared" si="144"/>
        <v/>
      </c>
      <c r="AE874" s="9" t="str">
        <f t="shared" si="145"/>
        <v/>
      </c>
      <c r="AF874" s="10" t="str">
        <f t="shared" si="146"/>
        <v/>
      </c>
      <c r="AG874" s="10" t="str">
        <f t="shared" si="147"/>
        <v/>
      </c>
      <c r="AH874" s="10" t="str">
        <f t="shared" si="148"/>
        <v/>
      </c>
      <c r="AI874" s="10" t="str">
        <f t="shared" si="149"/>
        <v/>
      </c>
      <c r="AJ874" s="10" t="str">
        <f t="shared" si="150"/>
        <v/>
      </c>
      <c r="AK874" s="10" t="str">
        <f t="shared" si="151"/>
        <v/>
      </c>
      <c r="AL874" s="14" t="str">
        <f t="shared" si="152"/>
        <v/>
      </c>
    </row>
    <row r="875" spans="1:38" x14ac:dyDescent="0.2">
      <c r="A875"/>
      <c r="B875" t="str">
        <f>IF($A875="","",VLOOKUP($A875,JupData!$A$2:$I$10000,4,FALSE))</f>
        <v/>
      </c>
      <c r="C875" s="7" t="str">
        <f>IF($A875="",IF(N(D875),0,""),VLOOKUP($A875,JupData!$A$2:$I$10000,7,FALSE))</f>
        <v/>
      </c>
      <c r="D875" t="str">
        <f t="shared" si="153"/>
        <v/>
      </c>
      <c r="E875" t="str">
        <f t="array" ref="E875">IF($A875="","",INDEX(JupData!$A$2:$K$10000,MATCH($A875&amp;E$1,JupData!$A$2:$A$10000&amp;JupData!$J$2:$J$10000,0),11))</f>
        <v/>
      </c>
      <c r="F875" t="str">
        <f t="array" ref="F875">IF($A875="","",INDEX(JupData!$A$2:$K$10000,MATCH($A875&amp;F$1,JupData!$A$2:$A$10000&amp;JupData!$J$2:$J$10000,0),11))</f>
        <v/>
      </c>
      <c r="G875" t="str">
        <f t="array" ref="G875">IF($A875="","",INDEX(JupData!$A$2:$K$10000,MATCH($A875&amp;G$1,JupData!$A$2:$A$10000&amp;JupData!$J$2:$J$10000,0),11))</f>
        <v/>
      </c>
      <c r="H875" t="str">
        <f t="array" ref="H875">IF($A875="","",INDEX(JupData!$A$2:$K$10000,MATCH($A875&amp;H$1,JupData!$A$2:$A$10000&amp;JupData!$J$2:$J$10000,0),11))</f>
        <v/>
      </c>
      <c r="I875" t="str">
        <f t="array" ref="I875">IF($A875="","",INDEX(JupData!$A$2:$K$10000,MATCH($A875&amp;I$1,JupData!$A$2:$A$10000&amp;JupData!$J$2:$J$10000,0),11))</f>
        <v/>
      </c>
      <c r="J875" t="str">
        <f t="array" ref="J875">IF($A875="","",INDEX(JupData!$A$2:$K$10000,MATCH($A875&amp;J$1,JupData!$A$2:$A$10000&amp;JupData!$J$2:$J$10000,0),11))</f>
        <v/>
      </c>
      <c r="K875" t="str">
        <f t="array" ref="K875">IF($A875="","",INDEX(JupData!$A$2:$K$10000,MATCH($A875&amp;K$1,JupData!$A$2:$A$10000&amp;JupData!$J$2:$J$10000,0),11))</f>
        <v/>
      </c>
      <c r="L875" t="str">
        <f t="array" ref="L875">IF($A875="","",INDEX(JupData!$A$2:$K$10000,MATCH($A875&amp;L$1,JupData!$A$2:$A$10000&amp;JupData!$J$2:$J$10000,0),11))</f>
        <v/>
      </c>
      <c r="M875" t="str">
        <f t="array" ref="M875">IF($A875="","",INDEX(JupData!$A$2:$K$10000,MATCH($A875&amp;M$1,JupData!$A$2:$A$10000&amp;JupData!$J$2:$J$10000,0),11))</f>
        <v/>
      </c>
      <c r="N875" t="str">
        <f t="array" ref="N875">IF($A875="","",INDEX(JupData!$A$2:$K$10000,MATCH($A875&amp;N$1,JupData!$A$2:$A$10000&amp;JupData!$J$2:$J$10000,0),11))</f>
        <v/>
      </c>
      <c r="O875" t="str">
        <f t="array" ref="O875">IF($A875="","",INDEX(JupData!$A$2:$K$10000,MATCH($A875&amp;O$1,JupData!$A$2:$A$10000&amp;JupData!$J$2:$J$10000,0),11))</f>
        <v/>
      </c>
      <c r="P875" t="str">
        <f t="array" ref="P875">IF($A875="","",INDEX(JupData!$A$2:$K$10000,MATCH($A875&amp;P$1,JupData!$A$2:$A$10000&amp;JupData!$J$2:$J$10000,0),11))</f>
        <v/>
      </c>
      <c r="Q875" t="str">
        <f t="array" ref="Q875">IF($A875="","",INDEX(JupData!$A$2:$K$10000,MATCH($A875&amp;Q$1,JupData!$A$2:$A$10000&amp;JupData!$J$2:$J$10000,0),11))</f>
        <v/>
      </c>
      <c r="R875" t="str">
        <f t="array" ref="R875">IF($A875="","",INDEX(JupData!$A$2:$K$10000,MATCH($A875&amp;R$1,JupData!$A$2:$A$10000&amp;JupData!$J$2:$J$10000,0),11))</f>
        <v/>
      </c>
      <c r="S875" t="str">
        <f t="array" ref="S875">IF($A875="","",INDEX(JupData!$A$2:$K$10000,MATCH($A875&amp;S$1,JupData!$A$2:$A$10000&amp;JupData!$J$2:$J$10000,0),11))</f>
        <v/>
      </c>
      <c r="T875" t="str">
        <f t="array" ref="T875">IF($A875="","",INDEX(JupData!$A$2:$K$10000,MATCH($A875&amp;T$1,JupData!$A$2:$A$10000&amp;JupData!$J$2:$J$10000,0),11))</f>
        <v/>
      </c>
      <c r="U875" t="str">
        <f t="array" ref="U875">IF($A875="","",INDEX(JupData!$A$2:$K$10000,MATCH($A875&amp;U$1,JupData!$A$2:$A$10000&amp;JupData!$J$2:$J$10000,0),11))</f>
        <v/>
      </c>
      <c r="V875" t="str">
        <f t="array" ref="V875">IF($A875="","",INDEX(JupData!$A$2:$K$10000,MATCH($A875&amp;V$1,JupData!$A$2:$A$10000&amp;JupData!$J$2:$J$10000,0),11))</f>
        <v/>
      </c>
      <c r="W875" t="str">
        <f t="array" ref="W875">IF($A875="","",INDEX(JupData!$A$2:$K$10000,MATCH($A875&amp;W$1,JupData!$A$2:$A$10000&amp;JupData!$J$2:$J$10000,0),11))</f>
        <v/>
      </c>
      <c r="X875" t="str">
        <f t="array" ref="X875">IF($A875="","",INDEX(JupData!$A$2:$K$10000,MATCH($A875&amp;X$1,JupData!$A$2:$A$10000&amp;JupData!$J$2:$J$10000,0),11))</f>
        <v/>
      </c>
      <c r="Y875" t="str">
        <f t="array" ref="Y875">IF($A875="","",INDEX(JupData!$A$2:$K$10000,MATCH($A875&amp;Y$1,JupData!$A$2:$A$10000&amp;JupData!$J$2:$J$10000,0),11))</f>
        <v/>
      </c>
      <c r="Z875" t="str">
        <f t="array" ref="Z875">IF($A875="","",INDEX(JupData!$A$2:$K$10000,MATCH($A875&amp;Z$1,JupData!$A$2:$A$10000&amp;JupData!$J$2:$J$10000,0),11))</f>
        <v/>
      </c>
      <c r="AA875" t="str">
        <f t="array" ref="AA875">IF($A875="","",INDEX(JupData!$A$2:$K$10000,MATCH($A875&amp;AA$1,JupData!$A$2:$A$10000&amp;JupData!$J$2:$J$10000,0),11))</f>
        <v/>
      </c>
      <c r="AB875" t="str">
        <f t="array" ref="AB875">IF($A875="","",INDEX(JupData!$A$2:$K$10000,MATCH($A875&amp;AB$1,JupData!$A$2:$A$10000&amp;JupData!$J$2:$J$10000,0),11))</f>
        <v/>
      </c>
      <c r="AC875" s="10" t="str">
        <f t="shared" si="143"/>
        <v/>
      </c>
      <c r="AD875" s="10" t="str">
        <f t="shared" si="144"/>
        <v/>
      </c>
      <c r="AE875" s="9" t="str">
        <f t="shared" si="145"/>
        <v/>
      </c>
      <c r="AF875" s="10" t="str">
        <f t="shared" si="146"/>
        <v/>
      </c>
      <c r="AG875" s="10" t="str">
        <f t="shared" si="147"/>
        <v/>
      </c>
      <c r="AH875" s="10" t="str">
        <f t="shared" si="148"/>
        <v/>
      </c>
      <c r="AI875" s="10" t="str">
        <f t="shared" si="149"/>
        <v/>
      </c>
      <c r="AJ875" s="10" t="str">
        <f t="shared" si="150"/>
        <v/>
      </c>
      <c r="AK875" s="10" t="str">
        <f t="shared" si="151"/>
        <v/>
      </c>
      <c r="AL875" s="14" t="str">
        <f t="shared" si="152"/>
        <v/>
      </c>
    </row>
    <row r="876" spans="1:38" x14ac:dyDescent="0.2">
      <c r="A876"/>
      <c r="B876" t="str">
        <f>IF($A876="","",VLOOKUP($A876,JupData!$A$2:$I$10000,4,FALSE))</f>
        <v/>
      </c>
      <c r="C876" s="7" t="str">
        <f>IF($A876="",IF(N(D876),0,""),VLOOKUP($A876,JupData!$A$2:$I$10000,7,FALSE))</f>
        <v/>
      </c>
      <c r="D876" t="str">
        <f t="shared" si="153"/>
        <v/>
      </c>
      <c r="E876" t="str">
        <f t="array" ref="E876">IF($A876="","",INDEX(JupData!$A$2:$K$10000,MATCH($A876&amp;E$1,JupData!$A$2:$A$10000&amp;JupData!$J$2:$J$10000,0),11))</f>
        <v/>
      </c>
      <c r="F876" t="str">
        <f t="array" ref="F876">IF($A876="","",INDEX(JupData!$A$2:$K$10000,MATCH($A876&amp;F$1,JupData!$A$2:$A$10000&amp;JupData!$J$2:$J$10000,0),11))</f>
        <v/>
      </c>
      <c r="G876" t="str">
        <f t="array" ref="G876">IF($A876="","",INDEX(JupData!$A$2:$K$10000,MATCH($A876&amp;G$1,JupData!$A$2:$A$10000&amp;JupData!$J$2:$J$10000,0),11))</f>
        <v/>
      </c>
      <c r="H876" t="str">
        <f t="array" ref="H876">IF($A876="","",INDEX(JupData!$A$2:$K$10000,MATCH($A876&amp;H$1,JupData!$A$2:$A$10000&amp;JupData!$J$2:$J$10000,0),11))</f>
        <v/>
      </c>
      <c r="I876" t="str">
        <f t="array" ref="I876">IF($A876="","",INDEX(JupData!$A$2:$K$10000,MATCH($A876&amp;I$1,JupData!$A$2:$A$10000&amp;JupData!$J$2:$J$10000,0),11))</f>
        <v/>
      </c>
      <c r="J876" t="str">
        <f t="array" ref="J876">IF($A876="","",INDEX(JupData!$A$2:$K$10000,MATCH($A876&amp;J$1,JupData!$A$2:$A$10000&amp;JupData!$J$2:$J$10000,0),11))</f>
        <v/>
      </c>
      <c r="K876" t="str">
        <f t="array" ref="K876">IF($A876="","",INDEX(JupData!$A$2:$K$10000,MATCH($A876&amp;K$1,JupData!$A$2:$A$10000&amp;JupData!$J$2:$J$10000,0),11))</f>
        <v/>
      </c>
      <c r="L876" t="str">
        <f t="array" ref="L876">IF($A876="","",INDEX(JupData!$A$2:$K$10000,MATCH($A876&amp;L$1,JupData!$A$2:$A$10000&amp;JupData!$J$2:$J$10000,0),11))</f>
        <v/>
      </c>
      <c r="M876" t="str">
        <f t="array" ref="M876">IF($A876="","",INDEX(JupData!$A$2:$K$10000,MATCH($A876&amp;M$1,JupData!$A$2:$A$10000&amp;JupData!$J$2:$J$10000,0),11))</f>
        <v/>
      </c>
      <c r="N876" t="str">
        <f t="array" ref="N876">IF($A876="","",INDEX(JupData!$A$2:$K$10000,MATCH($A876&amp;N$1,JupData!$A$2:$A$10000&amp;JupData!$J$2:$J$10000,0),11))</f>
        <v/>
      </c>
      <c r="O876" t="str">
        <f t="array" ref="O876">IF($A876="","",INDEX(JupData!$A$2:$K$10000,MATCH($A876&amp;O$1,JupData!$A$2:$A$10000&amp;JupData!$J$2:$J$10000,0),11))</f>
        <v/>
      </c>
      <c r="P876" t="str">
        <f t="array" ref="P876">IF($A876="","",INDEX(JupData!$A$2:$K$10000,MATCH($A876&amp;P$1,JupData!$A$2:$A$10000&amp;JupData!$J$2:$J$10000,0),11))</f>
        <v/>
      </c>
      <c r="Q876" t="str">
        <f t="array" ref="Q876">IF($A876="","",INDEX(JupData!$A$2:$K$10000,MATCH($A876&amp;Q$1,JupData!$A$2:$A$10000&amp;JupData!$J$2:$J$10000,0),11))</f>
        <v/>
      </c>
      <c r="R876" t="str">
        <f t="array" ref="R876">IF($A876="","",INDEX(JupData!$A$2:$K$10000,MATCH($A876&amp;R$1,JupData!$A$2:$A$10000&amp;JupData!$J$2:$J$10000,0),11))</f>
        <v/>
      </c>
      <c r="S876" t="str">
        <f t="array" ref="S876">IF($A876="","",INDEX(JupData!$A$2:$K$10000,MATCH($A876&amp;S$1,JupData!$A$2:$A$10000&amp;JupData!$J$2:$J$10000,0),11))</f>
        <v/>
      </c>
      <c r="T876" t="str">
        <f t="array" ref="T876">IF($A876="","",INDEX(JupData!$A$2:$K$10000,MATCH($A876&amp;T$1,JupData!$A$2:$A$10000&amp;JupData!$J$2:$J$10000,0),11))</f>
        <v/>
      </c>
      <c r="U876" t="str">
        <f t="array" ref="U876">IF($A876="","",INDEX(JupData!$A$2:$K$10000,MATCH($A876&amp;U$1,JupData!$A$2:$A$10000&amp;JupData!$J$2:$J$10000,0),11))</f>
        <v/>
      </c>
      <c r="V876" t="str">
        <f t="array" ref="V876">IF($A876="","",INDEX(JupData!$A$2:$K$10000,MATCH($A876&amp;V$1,JupData!$A$2:$A$10000&amp;JupData!$J$2:$J$10000,0),11))</f>
        <v/>
      </c>
      <c r="W876" t="str">
        <f t="array" ref="W876">IF($A876="","",INDEX(JupData!$A$2:$K$10000,MATCH($A876&amp;W$1,JupData!$A$2:$A$10000&amp;JupData!$J$2:$J$10000,0),11))</f>
        <v/>
      </c>
      <c r="X876" t="str">
        <f t="array" ref="X876">IF($A876="","",INDEX(JupData!$A$2:$K$10000,MATCH($A876&amp;X$1,JupData!$A$2:$A$10000&amp;JupData!$J$2:$J$10000,0),11))</f>
        <v/>
      </c>
      <c r="Y876" t="str">
        <f t="array" ref="Y876">IF($A876="","",INDEX(JupData!$A$2:$K$10000,MATCH($A876&amp;Y$1,JupData!$A$2:$A$10000&amp;JupData!$J$2:$J$10000,0),11))</f>
        <v/>
      </c>
      <c r="Z876" t="str">
        <f t="array" ref="Z876">IF($A876="","",INDEX(JupData!$A$2:$K$10000,MATCH($A876&amp;Z$1,JupData!$A$2:$A$10000&amp;JupData!$J$2:$J$10000,0),11))</f>
        <v/>
      </c>
      <c r="AA876" t="str">
        <f t="array" ref="AA876">IF($A876="","",INDEX(JupData!$A$2:$K$10000,MATCH($A876&amp;AA$1,JupData!$A$2:$A$10000&amp;JupData!$J$2:$J$10000,0),11))</f>
        <v/>
      </c>
      <c r="AB876" t="str">
        <f t="array" ref="AB876">IF($A876="","",INDEX(JupData!$A$2:$K$10000,MATCH($A876&amp;AB$1,JupData!$A$2:$A$10000&amp;JupData!$J$2:$J$10000,0),11))</f>
        <v/>
      </c>
      <c r="AC876" s="10" t="str">
        <f t="shared" si="143"/>
        <v/>
      </c>
      <c r="AD876" s="10" t="str">
        <f t="shared" si="144"/>
        <v/>
      </c>
      <c r="AE876" s="9" t="str">
        <f t="shared" si="145"/>
        <v/>
      </c>
      <c r="AF876" s="10" t="str">
        <f t="shared" si="146"/>
        <v/>
      </c>
      <c r="AG876" s="10" t="str">
        <f t="shared" si="147"/>
        <v/>
      </c>
      <c r="AH876" s="10" t="str">
        <f t="shared" si="148"/>
        <v/>
      </c>
      <c r="AI876" s="10" t="str">
        <f t="shared" si="149"/>
        <v/>
      </c>
      <c r="AJ876" s="10" t="str">
        <f t="shared" si="150"/>
        <v/>
      </c>
      <c r="AK876" s="10" t="str">
        <f t="shared" si="151"/>
        <v/>
      </c>
      <c r="AL876" s="14" t="str">
        <f t="shared" si="152"/>
        <v/>
      </c>
    </row>
    <row r="877" spans="1:38" x14ac:dyDescent="0.2">
      <c r="A877"/>
      <c r="B877" t="str">
        <f>IF($A877="","",VLOOKUP($A877,JupData!$A$2:$I$10000,4,FALSE))</f>
        <v/>
      </c>
      <c r="C877" s="7" t="str">
        <f>IF($A877="",IF(N(D877),0,""),VLOOKUP($A877,JupData!$A$2:$I$10000,7,FALSE))</f>
        <v/>
      </c>
      <c r="D877" t="str">
        <f t="shared" si="153"/>
        <v/>
      </c>
      <c r="E877" t="str">
        <f t="array" ref="E877">IF($A877="","",INDEX(JupData!$A$2:$K$10000,MATCH($A877&amp;E$1,JupData!$A$2:$A$10000&amp;JupData!$J$2:$J$10000,0),11))</f>
        <v/>
      </c>
      <c r="F877" t="str">
        <f t="array" ref="F877">IF($A877="","",INDEX(JupData!$A$2:$K$10000,MATCH($A877&amp;F$1,JupData!$A$2:$A$10000&amp;JupData!$J$2:$J$10000,0),11))</f>
        <v/>
      </c>
      <c r="G877" t="str">
        <f t="array" ref="G877">IF($A877="","",INDEX(JupData!$A$2:$K$10000,MATCH($A877&amp;G$1,JupData!$A$2:$A$10000&amp;JupData!$J$2:$J$10000,0),11))</f>
        <v/>
      </c>
      <c r="H877" t="str">
        <f t="array" ref="H877">IF($A877="","",INDEX(JupData!$A$2:$K$10000,MATCH($A877&amp;H$1,JupData!$A$2:$A$10000&amp;JupData!$J$2:$J$10000,0),11))</f>
        <v/>
      </c>
      <c r="I877" t="str">
        <f t="array" ref="I877">IF($A877="","",INDEX(JupData!$A$2:$K$10000,MATCH($A877&amp;I$1,JupData!$A$2:$A$10000&amp;JupData!$J$2:$J$10000,0),11))</f>
        <v/>
      </c>
      <c r="J877" t="str">
        <f t="array" ref="J877">IF($A877="","",INDEX(JupData!$A$2:$K$10000,MATCH($A877&amp;J$1,JupData!$A$2:$A$10000&amp;JupData!$J$2:$J$10000,0),11))</f>
        <v/>
      </c>
      <c r="K877" t="str">
        <f t="array" ref="K877">IF($A877="","",INDEX(JupData!$A$2:$K$10000,MATCH($A877&amp;K$1,JupData!$A$2:$A$10000&amp;JupData!$J$2:$J$10000,0),11))</f>
        <v/>
      </c>
      <c r="L877" t="str">
        <f t="array" ref="L877">IF($A877="","",INDEX(JupData!$A$2:$K$10000,MATCH($A877&amp;L$1,JupData!$A$2:$A$10000&amp;JupData!$J$2:$J$10000,0),11))</f>
        <v/>
      </c>
      <c r="M877" t="str">
        <f t="array" ref="M877">IF($A877="","",INDEX(JupData!$A$2:$K$10000,MATCH($A877&amp;M$1,JupData!$A$2:$A$10000&amp;JupData!$J$2:$J$10000,0),11))</f>
        <v/>
      </c>
      <c r="N877" t="str">
        <f t="array" ref="N877">IF($A877="","",INDEX(JupData!$A$2:$K$10000,MATCH($A877&amp;N$1,JupData!$A$2:$A$10000&amp;JupData!$J$2:$J$10000,0),11))</f>
        <v/>
      </c>
      <c r="O877" t="str">
        <f t="array" ref="O877">IF($A877="","",INDEX(JupData!$A$2:$K$10000,MATCH($A877&amp;O$1,JupData!$A$2:$A$10000&amp;JupData!$J$2:$J$10000,0),11))</f>
        <v/>
      </c>
      <c r="P877" t="str">
        <f t="array" ref="P877">IF($A877="","",INDEX(JupData!$A$2:$K$10000,MATCH($A877&amp;P$1,JupData!$A$2:$A$10000&amp;JupData!$J$2:$J$10000,0),11))</f>
        <v/>
      </c>
      <c r="Q877" t="str">
        <f t="array" ref="Q877">IF($A877="","",INDEX(JupData!$A$2:$K$10000,MATCH($A877&amp;Q$1,JupData!$A$2:$A$10000&amp;JupData!$J$2:$J$10000,0),11))</f>
        <v/>
      </c>
      <c r="R877" t="str">
        <f t="array" ref="R877">IF($A877="","",INDEX(JupData!$A$2:$K$10000,MATCH($A877&amp;R$1,JupData!$A$2:$A$10000&amp;JupData!$J$2:$J$10000,0),11))</f>
        <v/>
      </c>
      <c r="S877" t="str">
        <f t="array" ref="S877">IF($A877="","",INDEX(JupData!$A$2:$K$10000,MATCH($A877&amp;S$1,JupData!$A$2:$A$10000&amp;JupData!$J$2:$J$10000,0),11))</f>
        <v/>
      </c>
      <c r="T877" t="str">
        <f t="array" ref="T877">IF($A877="","",INDEX(JupData!$A$2:$K$10000,MATCH($A877&amp;T$1,JupData!$A$2:$A$10000&amp;JupData!$J$2:$J$10000,0),11))</f>
        <v/>
      </c>
      <c r="U877" t="str">
        <f t="array" ref="U877">IF($A877="","",INDEX(JupData!$A$2:$K$10000,MATCH($A877&amp;U$1,JupData!$A$2:$A$10000&amp;JupData!$J$2:$J$10000,0),11))</f>
        <v/>
      </c>
      <c r="V877" t="str">
        <f t="array" ref="V877">IF($A877="","",INDEX(JupData!$A$2:$K$10000,MATCH($A877&amp;V$1,JupData!$A$2:$A$10000&amp;JupData!$J$2:$J$10000,0),11))</f>
        <v/>
      </c>
      <c r="W877" t="str">
        <f t="array" ref="W877">IF($A877="","",INDEX(JupData!$A$2:$K$10000,MATCH($A877&amp;W$1,JupData!$A$2:$A$10000&amp;JupData!$J$2:$J$10000,0),11))</f>
        <v/>
      </c>
      <c r="X877" t="str">
        <f t="array" ref="X877">IF($A877="","",INDEX(JupData!$A$2:$K$10000,MATCH($A877&amp;X$1,JupData!$A$2:$A$10000&amp;JupData!$J$2:$J$10000,0),11))</f>
        <v/>
      </c>
      <c r="Y877" t="str">
        <f t="array" ref="Y877">IF($A877="","",INDEX(JupData!$A$2:$K$10000,MATCH($A877&amp;Y$1,JupData!$A$2:$A$10000&amp;JupData!$J$2:$J$10000,0),11))</f>
        <v/>
      </c>
      <c r="Z877" t="str">
        <f t="array" ref="Z877">IF($A877="","",INDEX(JupData!$A$2:$K$10000,MATCH($A877&amp;Z$1,JupData!$A$2:$A$10000&amp;JupData!$J$2:$J$10000,0),11))</f>
        <v/>
      </c>
      <c r="AA877" t="str">
        <f t="array" ref="AA877">IF($A877="","",INDEX(JupData!$A$2:$K$10000,MATCH($A877&amp;AA$1,JupData!$A$2:$A$10000&amp;JupData!$J$2:$J$10000,0),11))</f>
        <v/>
      </c>
      <c r="AB877" t="str">
        <f t="array" ref="AB877">IF($A877="","",INDEX(JupData!$A$2:$K$10000,MATCH($A877&amp;AB$1,JupData!$A$2:$A$10000&amp;JupData!$J$2:$J$10000,0),11))</f>
        <v/>
      </c>
      <c r="AC877" s="10" t="str">
        <f t="shared" si="143"/>
        <v/>
      </c>
      <c r="AD877" s="10" t="str">
        <f t="shared" si="144"/>
        <v/>
      </c>
      <c r="AE877" s="9" t="str">
        <f t="shared" si="145"/>
        <v/>
      </c>
      <c r="AF877" s="10" t="str">
        <f t="shared" si="146"/>
        <v/>
      </c>
      <c r="AG877" s="10" t="str">
        <f t="shared" si="147"/>
        <v/>
      </c>
      <c r="AH877" s="10" t="str">
        <f t="shared" si="148"/>
        <v/>
      </c>
      <c r="AI877" s="10" t="str">
        <f t="shared" si="149"/>
        <v/>
      </c>
      <c r="AJ877" s="10" t="str">
        <f t="shared" si="150"/>
        <v/>
      </c>
      <c r="AK877" s="10" t="str">
        <f t="shared" si="151"/>
        <v/>
      </c>
      <c r="AL877" s="14" t="str">
        <f t="shared" si="152"/>
        <v/>
      </c>
    </row>
    <row r="878" spans="1:38" x14ac:dyDescent="0.2">
      <c r="A878"/>
      <c r="B878" t="str">
        <f>IF($A878="","",VLOOKUP($A878,JupData!$A$2:$I$10000,4,FALSE))</f>
        <v/>
      </c>
      <c r="C878" s="7" t="str">
        <f>IF($A878="",IF(N(D878),0,""),VLOOKUP($A878,JupData!$A$2:$I$10000,7,FALSE))</f>
        <v/>
      </c>
      <c r="D878" t="str">
        <f t="shared" si="153"/>
        <v/>
      </c>
      <c r="E878" t="str">
        <f t="array" ref="E878">IF($A878="","",INDEX(JupData!$A$2:$K$10000,MATCH($A878&amp;E$1,JupData!$A$2:$A$10000&amp;JupData!$J$2:$J$10000,0),11))</f>
        <v/>
      </c>
      <c r="F878" t="str">
        <f t="array" ref="F878">IF($A878="","",INDEX(JupData!$A$2:$K$10000,MATCH($A878&amp;F$1,JupData!$A$2:$A$10000&amp;JupData!$J$2:$J$10000,0),11))</f>
        <v/>
      </c>
      <c r="G878" t="str">
        <f t="array" ref="G878">IF($A878="","",INDEX(JupData!$A$2:$K$10000,MATCH($A878&amp;G$1,JupData!$A$2:$A$10000&amp;JupData!$J$2:$J$10000,0),11))</f>
        <v/>
      </c>
      <c r="H878" t="str">
        <f t="array" ref="H878">IF($A878="","",INDEX(JupData!$A$2:$K$10000,MATCH($A878&amp;H$1,JupData!$A$2:$A$10000&amp;JupData!$J$2:$J$10000,0),11))</f>
        <v/>
      </c>
      <c r="I878" t="str">
        <f t="array" ref="I878">IF($A878="","",INDEX(JupData!$A$2:$K$10000,MATCH($A878&amp;I$1,JupData!$A$2:$A$10000&amp;JupData!$J$2:$J$10000,0),11))</f>
        <v/>
      </c>
      <c r="J878" t="str">
        <f t="array" ref="J878">IF($A878="","",INDEX(JupData!$A$2:$K$10000,MATCH($A878&amp;J$1,JupData!$A$2:$A$10000&amp;JupData!$J$2:$J$10000,0),11))</f>
        <v/>
      </c>
      <c r="K878" t="str">
        <f t="array" ref="K878">IF($A878="","",INDEX(JupData!$A$2:$K$10000,MATCH($A878&amp;K$1,JupData!$A$2:$A$10000&amp;JupData!$J$2:$J$10000,0),11))</f>
        <v/>
      </c>
      <c r="L878" t="str">
        <f t="array" ref="L878">IF($A878="","",INDEX(JupData!$A$2:$K$10000,MATCH($A878&amp;L$1,JupData!$A$2:$A$10000&amp;JupData!$J$2:$J$10000,0),11))</f>
        <v/>
      </c>
      <c r="M878" t="str">
        <f t="array" ref="M878">IF($A878="","",INDEX(JupData!$A$2:$K$10000,MATCH($A878&amp;M$1,JupData!$A$2:$A$10000&amp;JupData!$J$2:$J$10000,0),11))</f>
        <v/>
      </c>
      <c r="N878" t="str">
        <f t="array" ref="N878">IF($A878="","",INDEX(JupData!$A$2:$K$10000,MATCH($A878&amp;N$1,JupData!$A$2:$A$10000&amp;JupData!$J$2:$J$10000,0),11))</f>
        <v/>
      </c>
      <c r="O878" t="str">
        <f t="array" ref="O878">IF($A878="","",INDEX(JupData!$A$2:$K$10000,MATCH($A878&amp;O$1,JupData!$A$2:$A$10000&amp;JupData!$J$2:$J$10000,0),11))</f>
        <v/>
      </c>
      <c r="P878" t="str">
        <f t="array" ref="P878">IF($A878="","",INDEX(JupData!$A$2:$K$10000,MATCH($A878&amp;P$1,JupData!$A$2:$A$10000&amp;JupData!$J$2:$J$10000,0),11))</f>
        <v/>
      </c>
      <c r="Q878" t="str">
        <f t="array" ref="Q878">IF($A878="","",INDEX(JupData!$A$2:$K$10000,MATCH($A878&amp;Q$1,JupData!$A$2:$A$10000&amp;JupData!$J$2:$J$10000,0),11))</f>
        <v/>
      </c>
      <c r="R878" t="str">
        <f t="array" ref="R878">IF($A878="","",INDEX(JupData!$A$2:$K$10000,MATCH($A878&amp;R$1,JupData!$A$2:$A$10000&amp;JupData!$J$2:$J$10000,0),11))</f>
        <v/>
      </c>
      <c r="S878" t="str">
        <f t="array" ref="S878">IF($A878="","",INDEX(JupData!$A$2:$K$10000,MATCH($A878&amp;S$1,JupData!$A$2:$A$10000&amp;JupData!$J$2:$J$10000,0),11))</f>
        <v/>
      </c>
      <c r="T878" t="str">
        <f t="array" ref="T878">IF($A878="","",INDEX(JupData!$A$2:$K$10000,MATCH($A878&amp;T$1,JupData!$A$2:$A$10000&amp;JupData!$J$2:$J$10000,0),11))</f>
        <v/>
      </c>
      <c r="U878" t="str">
        <f t="array" ref="U878">IF($A878="","",INDEX(JupData!$A$2:$K$10000,MATCH($A878&amp;U$1,JupData!$A$2:$A$10000&amp;JupData!$J$2:$J$10000,0),11))</f>
        <v/>
      </c>
      <c r="V878" t="str">
        <f t="array" ref="V878">IF($A878="","",INDEX(JupData!$A$2:$K$10000,MATCH($A878&amp;V$1,JupData!$A$2:$A$10000&amp;JupData!$J$2:$J$10000,0),11))</f>
        <v/>
      </c>
      <c r="W878" t="str">
        <f t="array" ref="W878">IF($A878="","",INDEX(JupData!$A$2:$K$10000,MATCH($A878&amp;W$1,JupData!$A$2:$A$10000&amp;JupData!$J$2:$J$10000,0),11))</f>
        <v/>
      </c>
      <c r="X878" t="str">
        <f t="array" ref="X878">IF($A878="","",INDEX(JupData!$A$2:$K$10000,MATCH($A878&amp;X$1,JupData!$A$2:$A$10000&amp;JupData!$J$2:$J$10000,0),11))</f>
        <v/>
      </c>
      <c r="Y878" t="str">
        <f t="array" ref="Y878">IF($A878="","",INDEX(JupData!$A$2:$K$10000,MATCH($A878&amp;Y$1,JupData!$A$2:$A$10000&amp;JupData!$J$2:$J$10000,0),11))</f>
        <v/>
      </c>
      <c r="Z878" t="str">
        <f t="array" ref="Z878">IF($A878="","",INDEX(JupData!$A$2:$K$10000,MATCH($A878&amp;Z$1,JupData!$A$2:$A$10000&amp;JupData!$J$2:$J$10000,0),11))</f>
        <v/>
      </c>
      <c r="AA878" t="str">
        <f t="array" ref="AA878">IF($A878="","",INDEX(JupData!$A$2:$K$10000,MATCH($A878&amp;AA$1,JupData!$A$2:$A$10000&amp;JupData!$J$2:$J$10000,0),11))</f>
        <v/>
      </c>
      <c r="AB878" t="str">
        <f t="array" ref="AB878">IF($A878="","",INDEX(JupData!$A$2:$K$10000,MATCH($A878&amp;AB$1,JupData!$A$2:$A$10000&amp;JupData!$J$2:$J$10000,0),11))</f>
        <v/>
      </c>
      <c r="AC878" s="10" t="str">
        <f t="shared" si="143"/>
        <v/>
      </c>
      <c r="AD878" s="10" t="str">
        <f t="shared" si="144"/>
        <v/>
      </c>
      <c r="AE878" s="9" t="str">
        <f t="shared" si="145"/>
        <v/>
      </c>
      <c r="AF878" s="10" t="str">
        <f t="shared" si="146"/>
        <v/>
      </c>
      <c r="AG878" s="10" t="str">
        <f t="shared" si="147"/>
        <v/>
      </c>
      <c r="AH878" s="10" t="str">
        <f t="shared" si="148"/>
        <v/>
      </c>
      <c r="AI878" s="10" t="str">
        <f t="shared" si="149"/>
        <v/>
      </c>
      <c r="AJ878" s="10" t="str">
        <f t="shared" si="150"/>
        <v/>
      </c>
      <c r="AK878" s="10" t="str">
        <f t="shared" si="151"/>
        <v/>
      </c>
      <c r="AL878" s="14" t="str">
        <f t="shared" si="152"/>
        <v/>
      </c>
    </row>
    <row r="879" spans="1:38" x14ac:dyDescent="0.2">
      <c r="A879"/>
      <c r="B879" t="str">
        <f>IF($A879="","",VLOOKUP($A879,JupData!$A$2:$I$10000,4,FALSE))</f>
        <v/>
      </c>
      <c r="C879" s="7" t="str">
        <f>IF($A879="",IF(N(D879),0,""),VLOOKUP($A879,JupData!$A$2:$I$10000,7,FALSE))</f>
        <v/>
      </c>
      <c r="D879" t="str">
        <f t="shared" si="153"/>
        <v/>
      </c>
      <c r="E879" t="str">
        <f t="array" ref="E879">IF($A879="","",INDEX(JupData!$A$2:$K$10000,MATCH($A879&amp;E$1,JupData!$A$2:$A$10000&amp;JupData!$J$2:$J$10000,0),11))</f>
        <v/>
      </c>
      <c r="F879" t="str">
        <f t="array" ref="F879">IF($A879="","",INDEX(JupData!$A$2:$K$10000,MATCH($A879&amp;F$1,JupData!$A$2:$A$10000&amp;JupData!$J$2:$J$10000,0),11))</f>
        <v/>
      </c>
      <c r="G879" t="str">
        <f t="array" ref="G879">IF($A879="","",INDEX(JupData!$A$2:$K$10000,MATCH($A879&amp;G$1,JupData!$A$2:$A$10000&amp;JupData!$J$2:$J$10000,0),11))</f>
        <v/>
      </c>
      <c r="H879" t="str">
        <f t="array" ref="H879">IF($A879="","",INDEX(JupData!$A$2:$K$10000,MATCH($A879&amp;H$1,JupData!$A$2:$A$10000&amp;JupData!$J$2:$J$10000,0),11))</f>
        <v/>
      </c>
      <c r="I879" t="str">
        <f t="array" ref="I879">IF($A879="","",INDEX(JupData!$A$2:$K$10000,MATCH($A879&amp;I$1,JupData!$A$2:$A$10000&amp;JupData!$J$2:$J$10000,0),11))</f>
        <v/>
      </c>
      <c r="J879" t="str">
        <f t="array" ref="J879">IF($A879="","",INDEX(JupData!$A$2:$K$10000,MATCH($A879&amp;J$1,JupData!$A$2:$A$10000&amp;JupData!$J$2:$J$10000,0),11))</f>
        <v/>
      </c>
      <c r="K879" t="str">
        <f t="array" ref="K879">IF($A879="","",INDEX(JupData!$A$2:$K$10000,MATCH($A879&amp;K$1,JupData!$A$2:$A$10000&amp;JupData!$J$2:$J$10000,0),11))</f>
        <v/>
      </c>
      <c r="L879" t="str">
        <f t="array" ref="L879">IF($A879="","",INDEX(JupData!$A$2:$K$10000,MATCH($A879&amp;L$1,JupData!$A$2:$A$10000&amp;JupData!$J$2:$J$10000,0),11))</f>
        <v/>
      </c>
      <c r="M879" t="str">
        <f t="array" ref="M879">IF($A879="","",INDEX(JupData!$A$2:$K$10000,MATCH($A879&amp;M$1,JupData!$A$2:$A$10000&amp;JupData!$J$2:$J$10000,0),11))</f>
        <v/>
      </c>
      <c r="N879" t="str">
        <f t="array" ref="N879">IF($A879="","",INDEX(JupData!$A$2:$K$10000,MATCH($A879&amp;N$1,JupData!$A$2:$A$10000&amp;JupData!$J$2:$J$10000,0),11))</f>
        <v/>
      </c>
      <c r="O879" t="str">
        <f t="array" ref="O879">IF($A879="","",INDEX(JupData!$A$2:$K$10000,MATCH($A879&amp;O$1,JupData!$A$2:$A$10000&amp;JupData!$J$2:$J$10000,0),11))</f>
        <v/>
      </c>
      <c r="P879" t="str">
        <f t="array" ref="P879">IF($A879="","",INDEX(JupData!$A$2:$K$10000,MATCH($A879&amp;P$1,JupData!$A$2:$A$10000&amp;JupData!$J$2:$J$10000,0),11))</f>
        <v/>
      </c>
      <c r="Q879" t="str">
        <f t="array" ref="Q879">IF($A879="","",INDEX(JupData!$A$2:$K$10000,MATCH($A879&amp;Q$1,JupData!$A$2:$A$10000&amp;JupData!$J$2:$J$10000,0),11))</f>
        <v/>
      </c>
      <c r="R879" t="str">
        <f t="array" ref="R879">IF($A879="","",INDEX(JupData!$A$2:$K$10000,MATCH($A879&amp;R$1,JupData!$A$2:$A$10000&amp;JupData!$J$2:$J$10000,0),11))</f>
        <v/>
      </c>
      <c r="S879" t="str">
        <f t="array" ref="S879">IF($A879="","",INDEX(JupData!$A$2:$K$10000,MATCH($A879&amp;S$1,JupData!$A$2:$A$10000&amp;JupData!$J$2:$J$10000,0),11))</f>
        <v/>
      </c>
      <c r="T879" t="str">
        <f t="array" ref="T879">IF($A879="","",INDEX(JupData!$A$2:$K$10000,MATCH($A879&amp;T$1,JupData!$A$2:$A$10000&amp;JupData!$J$2:$J$10000,0),11))</f>
        <v/>
      </c>
      <c r="U879" t="str">
        <f t="array" ref="U879">IF($A879="","",INDEX(JupData!$A$2:$K$10000,MATCH($A879&amp;U$1,JupData!$A$2:$A$10000&amp;JupData!$J$2:$J$10000,0),11))</f>
        <v/>
      </c>
      <c r="V879" t="str">
        <f t="array" ref="V879">IF($A879="","",INDEX(JupData!$A$2:$K$10000,MATCH($A879&amp;V$1,JupData!$A$2:$A$10000&amp;JupData!$J$2:$J$10000,0),11))</f>
        <v/>
      </c>
      <c r="W879" t="str">
        <f t="array" ref="W879">IF($A879="","",INDEX(JupData!$A$2:$K$10000,MATCH($A879&amp;W$1,JupData!$A$2:$A$10000&amp;JupData!$J$2:$J$10000,0),11))</f>
        <v/>
      </c>
      <c r="X879" t="str">
        <f t="array" ref="X879">IF($A879="","",INDEX(JupData!$A$2:$K$10000,MATCH($A879&amp;X$1,JupData!$A$2:$A$10000&amp;JupData!$J$2:$J$10000,0),11))</f>
        <v/>
      </c>
      <c r="Y879" t="str">
        <f t="array" ref="Y879">IF($A879="","",INDEX(JupData!$A$2:$K$10000,MATCH($A879&amp;Y$1,JupData!$A$2:$A$10000&amp;JupData!$J$2:$J$10000,0),11))</f>
        <v/>
      </c>
      <c r="Z879" t="str">
        <f t="array" ref="Z879">IF($A879="","",INDEX(JupData!$A$2:$K$10000,MATCH($A879&amp;Z$1,JupData!$A$2:$A$10000&amp;JupData!$J$2:$J$10000,0),11))</f>
        <v/>
      </c>
      <c r="AA879" t="str">
        <f t="array" ref="AA879">IF($A879="","",INDEX(JupData!$A$2:$K$10000,MATCH($A879&amp;AA$1,JupData!$A$2:$A$10000&amp;JupData!$J$2:$J$10000,0),11))</f>
        <v/>
      </c>
      <c r="AB879" t="str">
        <f t="array" ref="AB879">IF($A879="","",INDEX(JupData!$A$2:$K$10000,MATCH($A879&amp;AB$1,JupData!$A$2:$A$10000&amp;JupData!$J$2:$J$10000,0),11))</f>
        <v/>
      </c>
      <c r="AC879" s="10" t="str">
        <f t="shared" si="143"/>
        <v/>
      </c>
      <c r="AD879" s="10" t="str">
        <f t="shared" si="144"/>
        <v/>
      </c>
      <c r="AE879" s="9" t="str">
        <f t="shared" si="145"/>
        <v/>
      </c>
      <c r="AF879" s="10" t="str">
        <f t="shared" si="146"/>
        <v/>
      </c>
      <c r="AG879" s="10" t="str">
        <f t="shared" si="147"/>
        <v/>
      </c>
      <c r="AH879" s="10" t="str">
        <f t="shared" si="148"/>
        <v/>
      </c>
      <c r="AI879" s="10" t="str">
        <f t="shared" si="149"/>
        <v/>
      </c>
      <c r="AJ879" s="10" t="str">
        <f t="shared" si="150"/>
        <v/>
      </c>
      <c r="AK879" s="10" t="str">
        <f t="shared" si="151"/>
        <v/>
      </c>
      <c r="AL879" s="14" t="str">
        <f t="shared" si="152"/>
        <v/>
      </c>
    </row>
    <row r="880" spans="1:38" x14ac:dyDescent="0.2">
      <c r="A880"/>
      <c r="B880" t="str">
        <f>IF($A880="","",VLOOKUP($A880,JupData!$A$2:$I$10000,4,FALSE))</f>
        <v/>
      </c>
      <c r="C880" s="7" t="str">
        <f>IF($A880="",IF(N(D880),0,""),VLOOKUP($A880,JupData!$A$2:$I$10000,7,FALSE))</f>
        <v/>
      </c>
      <c r="D880" t="str">
        <f t="shared" si="153"/>
        <v/>
      </c>
      <c r="E880" t="str">
        <f t="array" ref="E880">IF($A880="","",INDEX(JupData!$A$2:$K$10000,MATCH($A880&amp;E$1,JupData!$A$2:$A$10000&amp;JupData!$J$2:$J$10000,0),11))</f>
        <v/>
      </c>
      <c r="F880" t="str">
        <f t="array" ref="F880">IF($A880="","",INDEX(JupData!$A$2:$K$10000,MATCH($A880&amp;F$1,JupData!$A$2:$A$10000&amp;JupData!$J$2:$J$10000,0),11))</f>
        <v/>
      </c>
      <c r="G880" t="str">
        <f t="array" ref="G880">IF($A880="","",INDEX(JupData!$A$2:$K$10000,MATCH($A880&amp;G$1,JupData!$A$2:$A$10000&amp;JupData!$J$2:$J$10000,0),11))</f>
        <v/>
      </c>
      <c r="H880" t="str">
        <f t="array" ref="H880">IF($A880="","",INDEX(JupData!$A$2:$K$10000,MATCH($A880&amp;H$1,JupData!$A$2:$A$10000&amp;JupData!$J$2:$J$10000,0),11))</f>
        <v/>
      </c>
      <c r="I880" t="str">
        <f t="array" ref="I880">IF($A880="","",INDEX(JupData!$A$2:$K$10000,MATCH($A880&amp;I$1,JupData!$A$2:$A$10000&amp;JupData!$J$2:$J$10000,0),11))</f>
        <v/>
      </c>
      <c r="J880" t="str">
        <f t="array" ref="J880">IF($A880="","",INDEX(JupData!$A$2:$K$10000,MATCH($A880&amp;J$1,JupData!$A$2:$A$10000&amp;JupData!$J$2:$J$10000,0),11))</f>
        <v/>
      </c>
      <c r="K880" t="str">
        <f t="array" ref="K880">IF($A880="","",INDEX(JupData!$A$2:$K$10000,MATCH($A880&amp;K$1,JupData!$A$2:$A$10000&amp;JupData!$J$2:$J$10000,0),11))</f>
        <v/>
      </c>
      <c r="L880" t="str">
        <f t="array" ref="L880">IF($A880="","",INDEX(JupData!$A$2:$K$10000,MATCH($A880&amp;L$1,JupData!$A$2:$A$10000&amp;JupData!$J$2:$J$10000,0),11))</f>
        <v/>
      </c>
      <c r="M880" t="str">
        <f t="array" ref="M880">IF($A880="","",INDEX(JupData!$A$2:$K$10000,MATCH($A880&amp;M$1,JupData!$A$2:$A$10000&amp;JupData!$J$2:$J$10000,0),11))</f>
        <v/>
      </c>
      <c r="N880" t="str">
        <f t="array" ref="N880">IF($A880="","",INDEX(JupData!$A$2:$K$10000,MATCH($A880&amp;N$1,JupData!$A$2:$A$10000&amp;JupData!$J$2:$J$10000,0),11))</f>
        <v/>
      </c>
      <c r="O880" t="str">
        <f t="array" ref="O880">IF($A880="","",INDEX(JupData!$A$2:$K$10000,MATCH($A880&amp;O$1,JupData!$A$2:$A$10000&amp;JupData!$J$2:$J$10000,0),11))</f>
        <v/>
      </c>
      <c r="P880" t="str">
        <f t="array" ref="P880">IF($A880="","",INDEX(JupData!$A$2:$K$10000,MATCH($A880&amp;P$1,JupData!$A$2:$A$10000&amp;JupData!$J$2:$J$10000,0),11))</f>
        <v/>
      </c>
      <c r="Q880" t="str">
        <f t="array" ref="Q880">IF($A880="","",INDEX(JupData!$A$2:$K$10000,MATCH($A880&amp;Q$1,JupData!$A$2:$A$10000&amp;JupData!$J$2:$J$10000,0),11))</f>
        <v/>
      </c>
      <c r="R880" t="str">
        <f t="array" ref="R880">IF($A880="","",INDEX(JupData!$A$2:$K$10000,MATCH($A880&amp;R$1,JupData!$A$2:$A$10000&amp;JupData!$J$2:$J$10000,0),11))</f>
        <v/>
      </c>
      <c r="S880" t="str">
        <f t="array" ref="S880">IF($A880="","",INDEX(JupData!$A$2:$K$10000,MATCH($A880&amp;S$1,JupData!$A$2:$A$10000&amp;JupData!$J$2:$J$10000,0),11))</f>
        <v/>
      </c>
      <c r="T880" t="str">
        <f t="array" ref="T880">IF($A880="","",INDEX(JupData!$A$2:$K$10000,MATCH($A880&amp;T$1,JupData!$A$2:$A$10000&amp;JupData!$J$2:$J$10000,0),11))</f>
        <v/>
      </c>
      <c r="U880" t="str">
        <f t="array" ref="U880">IF($A880="","",INDEX(JupData!$A$2:$K$10000,MATCH($A880&amp;U$1,JupData!$A$2:$A$10000&amp;JupData!$J$2:$J$10000,0),11))</f>
        <v/>
      </c>
      <c r="V880" t="str">
        <f t="array" ref="V880">IF($A880="","",INDEX(JupData!$A$2:$K$10000,MATCH($A880&amp;V$1,JupData!$A$2:$A$10000&amp;JupData!$J$2:$J$10000,0),11))</f>
        <v/>
      </c>
      <c r="W880" t="str">
        <f t="array" ref="W880">IF($A880="","",INDEX(JupData!$A$2:$K$10000,MATCH($A880&amp;W$1,JupData!$A$2:$A$10000&amp;JupData!$J$2:$J$10000,0),11))</f>
        <v/>
      </c>
      <c r="X880" t="str">
        <f t="array" ref="X880">IF($A880="","",INDEX(JupData!$A$2:$K$10000,MATCH($A880&amp;X$1,JupData!$A$2:$A$10000&amp;JupData!$J$2:$J$10000,0),11))</f>
        <v/>
      </c>
      <c r="Y880" t="str">
        <f t="array" ref="Y880">IF($A880="","",INDEX(JupData!$A$2:$K$10000,MATCH($A880&amp;Y$1,JupData!$A$2:$A$10000&amp;JupData!$J$2:$J$10000,0),11))</f>
        <v/>
      </c>
      <c r="Z880" t="str">
        <f t="array" ref="Z880">IF($A880="","",INDEX(JupData!$A$2:$K$10000,MATCH($A880&amp;Z$1,JupData!$A$2:$A$10000&amp;JupData!$J$2:$J$10000,0),11))</f>
        <v/>
      </c>
      <c r="AA880" t="str">
        <f t="array" ref="AA880">IF($A880="","",INDEX(JupData!$A$2:$K$10000,MATCH($A880&amp;AA$1,JupData!$A$2:$A$10000&amp;JupData!$J$2:$J$10000,0),11))</f>
        <v/>
      </c>
      <c r="AB880" t="str">
        <f t="array" ref="AB880">IF($A880="","",INDEX(JupData!$A$2:$K$10000,MATCH($A880&amp;AB$1,JupData!$A$2:$A$10000&amp;JupData!$J$2:$J$10000,0),11))</f>
        <v/>
      </c>
      <c r="AC880" s="10" t="str">
        <f t="shared" si="143"/>
        <v/>
      </c>
      <c r="AD880" s="10" t="str">
        <f t="shared" si="144"/>
        <v/>
      </c>
      <c r="AE880" s="9" t="str">
        <f t="shared" si="145"/>
        <v/>
      </c>
      <c r="AF880" s="10" t="str">
        <f t="shared" si="146"/>
        <v/>
      </c>
      <c r="AG880" s="10" t="str">
        <f t="shared" si="147"/>
        <v/>
      </c>
      <c r="AH880" s="10" t="str">
        <f t="shared" si="148"/>
        <v/>
      </c>
      <c r="AI880" s="10" t="str">
        <f t="shared" si="149"/>
        <v/>
      </c>
      <c r="AJ880" s="10" t="str">
        <f t="shared" si="150"/>
        <v/>
      </c>
      <c r="AK880" s="10" t="str">
        <f t="shared" si="151"/>
        <v/>
      </c>
      <c r="AL880" s="14" t="str">
        <f t="shared" si="152"/>
        <v/>
      </c>
    </row>
    <row r="881" spans="1:38" x14ac:dyDescent="0.2">
      <c r="A881"/>
      <c r="B881" t="str">
        <f>IF($A881="","",VLOOKUP($A881,JupData!$A$2:$I$10000,4,FALSE))</f>
        <v/>
      </c>
      <c r="C881" s="7" t="str">
        <f>IF($A881="",IF(N(D881),0,""),VLOOKUP($A881,JupData!$A$2:$I$10000,7,FALSE))</f>
        <v/>
      </c>
      <c r="D881" t="str">
        <f t="shared" si="153"/>
        <v/>
      </c>
      <c r="E881" t="str">
        <f t="array" ref="E881">IF($A881="","",INDEX(JupData!$A$2:$K$10000,MATCH($A881&amp;E$1,JupData!$A$2:$A$10000&amp;JupData!$J$2:$J$10000,0),11))</f>
        <v/>
      </c>
      <c r="F881" t="str">
        <f t="array" ref="F881">IF($A881="","",INDEX(JupData!$A$2:$K$10000,MATCH($A881&amp;F$1,JupData!$A$2:$A$10000&amp;JupData!$J$2:$J$10000,0),11))</f>
        <v/>
      </c>
      <c r="G881" t="str">
        <f t="array" ref="G881">IF($A881="","",INDEX(JupData!$A$2:$K$10000,MATCH($A881&amp;G$1,JupData!$A$2:$A$10000&amp;JupData!$J$2:$J$10000,0),11))</f>
        <v/>
      </c>
      <c r="H881" t="str">
        <f t="array" ref="H881">IF($A881="","",INDEX(JupData!$A$2:$K$10000,MATCH($A881&amp;H$1,JupData!$A$2:$A$10000&amp;JupData!$J$2:$J$10000,0),11))</f>
        <v/>
      </c>
      <c r="I881" t="str">
        <f t="array" ref="I881">IF($A881="","",INDEX(JupData!$A$2:$K$10000,MATCH($A881&amp;I$1,JupData!$A$2:$A$10000&amp;JupData!$J$2:$J$10000,0),11))</f>
        <v/>
      </c>
      <c r="J881" t="str">
        <f t="array" ref="J881">IF($A881="","",INDEX(JupData!$A$2:$K$10000,MATCH($A881&amp;J$1,JupData!$A$2:$A$10000&amp;JupData!$J$2:$J$10000,0),11))</f>
        <v/>
      </c>
      <c r="K881" t="str">
        <f t="array" ref="K881">IF($A881="","",INDEX(JupData!$A$2:$K$10000,MATCH($A881&amp;K$1,JupData!$A$2:$A$10000&amp;JupData!$J$2:$J$10000,0),11))</f>
        <v/>
      </c>
      <c r="L881" t="str">
        <f t="array" ref="L881">IF($A881="","",INDEX(JupData!$A$2:$K$10000,MATCH($A881&amp;L$1,JupData!$A$2:$A$10000&amp;JupData!$J$2:$J$10000,0),11))</f>
        <v/>
      </c>
      <c r="M881" t="str">
        <f t="array" ref="M881">IF($A881="","",INDEX(JupData!$A$2:$K$10000,MATCH($A881&amp;M$1,JupData!$A$2:$A$10000&amp;JupData!$J$2:$J$10000,0),11))</f>
        <v/>
      </c>
      <c r="N881" t="str">
        <f t="array" ref="N881">IF($A881="","",INDEX(JupData!$A$2:$K$10000,MATCH($A881&amp;N$1,JupData!$A$2:$A$10000&amp;JupData!$J$2:$J$10000,0),11))</f>
        <v/>
      </c>
      <c r="O881" t="str">
        <f t="array" ref="O881">IF($A881="","",INDEX(JupData!$A$2:$K$10000,MATCH($A881&amp;O$1,JupData!$A$2:$A$10000&amp;JupData!$J$2:$J$10000,0),11))</f>
        <v/>
      </c>
      <c r="P881" t="str">
        <f t="array" ref="P881">IF($A881="","",INDEX(JupData!$A$2:$K$10000,MATCH($A881&amp;P$1,JupData!$A$2:$A$10000&amp;JupData!$J$2:$J$10000,0),11))</f>
        <v/>
      </c>
      <c r="Q881" t="str">
        <f t="array" ref="Q881">IF($A881="","",INDEX(JupData!$A$2:$K$10000,MATCH($A881&amp;Q$1,JupData!$A$2:$A$10000&amp;JupData!$J$2:$J$10000,0),11))</f>
        <v/>
      </c>
      <c r="R881" t="str">
        <f t="array" ref="R881">IF($A881="","",INDEX(JupData!$A$2:$K$10000,MATCH($A881&amp;R$1,JupData!$A$2:$A$10000&amp;JupData!$J$2:$J$10000,0),11))</f>
        <v/>
      </c>
      <c r="S881" t="str">
        <f t="array" ref="S881">IF($A881="","",INDEX(JupData!$A$2:$K$10000,MATCH($A881&amp;S$1,JupData!$A$2:$A$10000&amp;JupData!$J$2:$J$10000,0),11))</f>
        <v/>
      </c>
      <c r="T881" t="str">
        <f t="array" ref="T881">IF($A881="","",INDEX(JupData!$A$2:$K$10000,MATCH($A881&amp;T$1,JupData!$A$2:$A$10000&amp;JupData!$J$2:$J$10000,0),11))</f>
        <v/>
      </c>
      <c r="U881" t="str">
        <f t="array" ref="U881">IF($A881="","",INDEX(JupData!$A$2:$K$10000,MATCH($A881&amp;U$1,JupData!$A$2:$A$10000&amp;JupData!$J$2:$J$10000,0),11))</f>
        <v/>
      </c>
      <c r="V881" t="str">
        <f t="array" ref="V881">IF($A881="","",INDEX(JupData!$A$2:$K$10000,MATCH($A881&amp;V$1,JupData!$A$2:$A$10000&amp;JupData!$J$2:$J$10000,0),11))</f>
        <v/>
      </c>
      <c r="W881" t="str">
        <f t="array" ref="W881">IF($A881="","",INDEX(JupData!$A$2:$K$10000,MATCH($A881&amp;W$1,JupData!$A$2:$A$10000&amp;JupData!$J$2:$J$10000,0),11))</f>
        <v/>
      </c>
      <c r="X881" t="str">
        <f t="array" ref="X881">IF($A881="","",INDEX(JupData!$A$2:$K$10000,MATCH($A881&amp;X$1,JupData!$A$2:$A$10000&amp;JupData!$J$2:$J$10000,0),11))</f>
        <v/>
      </c>
      <c r="Y881" t="str">
        <f t="array" ref="Y881">IF($A881="","",INDEX(JupData!$A$2:$K$10000,MATCH($A881&amp;Y$1,JupData!$A$2:$A$10000&amp;JupData!$J$2:$J$10000,0),11))</f>
        <v/>
      </c>
      <c r="Z881" t="str">
        <f t="array" ref="Z881">IF($A881="","",INDEX(JupData!$A$2:$K$10000,MATCH($A881&amp;Z$1,JupData!$A$2:$A$10000&amp;JupData!$J$2:$J$10000,0),11))</f>
        <v/>
      </c>
      <c r="AA881" t="str">
        <f t="array" ref="AA881">IF($A881="","",INDEX(JupData!$A$2:$K$10000,MATCH($A881&amp;AA$1,JupData!$A$2:$A$10000&amp;JupData!$J$2:$J$10000,0),11))</f>
        <v/>
      </c>
      <c r="AB881" t="str">
        <f t="array" ref="AB881">IF($A881="","",INDEX(JupData!$A$2:$K$10000,MATCH($A881&amp;AB$1,JupData!$A$2:$A$10000&amp;JupData!$J$2:$J$10000,0),11))</f>
        <v/>
      </c>
      <c r="AC881" s="10" t="str">
        <f t="shared" si="143"/>
        <v/>
      </c>
      <c r="AD881" s="10" t="str">
        <f t="shared" si="144"/>
        <v/>
      </c>
      <c r="AE881" s="9" t="str">
        <f t="shared" si="145"/>
        <v/>
      </c>
      <c r="AF881" s="10" t="str">
        <f t="shared" si="146"/>
        <v/>
      </c>
      <c r="AG881" s="10" t="str">
        <f t="shared" si="147"/>
        <v/>
      </c>
      <c r="AH881" s="10" t="str">
        <f t="shared" si="148"/>
        <v/>
      </c>
      <c r="AI881" s="10" t="str">
        <f t="shared" si="149"/>
        <v/>
      </c>
      <c r="AJ881" s="10" t="str">
        <f t="shared" si="150"/>
        <v/>
      </c>
      <c r="AK881" s="10" t="str">
        <f t="shared" si="151"/>
        <v/>
      </c>
      <c r="AL881" s="14" t="str">
        <f t="shared" si="152"/>
        <v/>
      </c>
    </row>
    <row r="882" spans="1:38" x14ac:dyDescent="0.2">
      <c r="A882"/>
      <c r="B882" t="str">
        <f>IF($A882="","",VLOOKUP($A882,JupData!$A$2:$I$10000,4,FALSE))</f>
        <v/>
      </c>
      <c r="C882" s="7" t="str">
        <f>IF($A882="",IF(N(D882),0,""),VLOOKUP($A882,JupData!$A$2:$I$10000,7,FALSE))</f>
        <v/>
      </c>
      <c r="D882" t="str">
        <f t="shared" si="153"/>
        <v/>
      </c>
      <c r="E882" t="str">
        <f t="array" ref="E882">IF($A882="","",INDEX(JupData!$A$2:$K$10000,MATCH($A882&amp;E$1,JupData!$A$2:$A$10000&amp;JupData!$J$2:$J$10000,0),11))</f>
        <v/>
      </c>
      <c r="F882" t="str">
        <f t="array" ref="F882">IF($A882="","",INDEX(JupData!$A$2:$K$10000,MATCH($A882&amp;F$1,JupData!$A$2:$A$10000&amp;JupData!$J$2:$J$10000,0),11))</f>
        <v/>
      </c>
      <c r="G882" t="str">
        <f t="array" ref="G882">IF($A882="","",INDEX(JupData!$A$2:$K$10000,MATCH($A882&amp;G$1,JupData!$A$2:$A$10000&amp;JupData!$J$2:$J$10000,0),11))</f>
        <v/>
      </c>
      <c r="H882" t="str">
        <f t="array" ref="H882">IF($A882="","",INDEX(JupData!$A$2:$K$10000,MATCH($A882&amp;H$1,JupData!$A$2:$A$10000&amp;JupData!$J$2:$J$10000,0),11))</f>
        <v/>
      </c>
      <c r="I882" t="str">
        <f t="array" ref="I882">IF($A882="","",INDEX(JupData!$A$2:$K$10000,MATCH($A882&amp;I$1,JupData!$A$2:$A$10000&amp;JupData!$J$2:$J$10000,0),11))</f>
        <v/>
      </c>
      <c r="J882" t="str">
        <f t="array" ref="J882">IF($A882="","",INDEX(JupData!$A$2:$K$10000,MATCH($A882&amp;J$1,JupData!$A$2:$A$10000&amp;JupData!$J$2:$J$10000,0),11))</f>
        <v/>
      </c>
      <c r="K882" t="str">
        <f t="array" ref="K882">IF($A882="","",INDEX(JupData!$A$2:$K$10000,MATCH($A882&amp;K$1,JupData!$A$2:$A$10000&amp;JupData!$J$2:$J$10000,0),11))</f>
        <v/>
      </c>
      <c r="L882" t="str">
        <f t="array" ref="L882">IF($A882="","",INDEX(JupData!$A$2:$K$10000,MATCH($A882&amp;L$1,JupData!$A$2:$A$10000&amp;JupData!$J$2:$J$10000,0),11))</f>
        <v/>
      </c>
      <c r="M882" t="str">
        <f t="array" ref="M882">IF($A882="","",INDEX(JupData!$A$2:$K$10000,MATCH($A882&amp;M$1,JupData!$A$2:$A$10000&amp;JupData!$J$2:$J$10000,0),11))</f>
        <v/>
      </c>
      <c r="N882" t="str">
        <f t="array" ref="N882">IF($A882="","",INDEX(JupData!$A$2:$K$10000,MATCH($A882&amp;N$1,JupData!$A$2:$A$10000&amp;JupData!$J$2:$J$10000,0),11))</f>
        <v/>
      </c>
      <c r="O882" t="str">
        <f t="array" ref="O882">IF($A882="","",INDEX(JupData!$A$2:$K$10000,MATCH($A882&amp;O$1,JupData!$A$2:$A$10000&amp;JupData!$J$2:$J$10000,0),11))</f>
        <v/>
      </c>
      <c r="P882" t="str">
        <f t="array" ref="P882">IF($A882="","",INDEX(JupData!$A$2:$K$10000,MATCH($A882&amp;P$1,JupData!$A$2:$A$10000&amp;JupData!$J$2:$J$10000,0),11))</f>
        <v/>
      </c>
      <c r="Q882" t="str">
        <f t="array" ref="Q882">IF($A882="","",INDEX(JupData!$A$2:$K$10000,MATCH($A882&amp;Q$1,JupData!$A$2:$A$10000&amp;JupData!$J$2:$J$10000,0),11))</f>
        <v/>
      </c>
      <c r="R882" t="str">
        <f t="array" ref="R882">IF($A882="","",INDEX(JupData!$A$2:$K$10000,MATCH($A882&amp;R$1,JupData!$A$2:$A$10000&amp;JupData!$J$2:$J$10000,0),11))</f>
        <v/>
      </c>
      <c r="S882" t="str">
        <f t="array" ref="S882">IF($A882="","",INDEX(JupData!$A$2:$K$10000,MATCH($A882&amp;S$1,JupData!$A$2:$A$10000&amp;JupData!$J$2:$J$10000,0),11))</f>
        <v/>
      </c>
      <c r="T882" t="str">
        <f t="array" ref="T882">IF($A882="","",INDEX(JupData!$A$2:$K$10000,MATCH($A882&amp;T$1,JupData!$A$2:$A$10000&amp;JupData!$J$2:$J$10000,0),11))</f>
        <v/>
      </c>
      <c r="U882" t="str">
        <f t="array" ref="U882">IF($A882="","",INDEX(JupData!$A$2:$K$10000,MATCH($A882&amp;U$1,JupData!$A$2:$A$10000&amp;JupData!$J$2:$J$10000,0),11))</f>
        <v/>
      </c>
      <c r="V882" t="str">
        <f t="array" ref="V882">IF($A882="","",INDEX(JupData!$A$2:$K$10000,MATCH($A882&amp;V$1,JupData!$A$2:$A$10000&amp;JupData!$J$2:$J$10000,0),11))</f>
        <v/>
      </c>
      <c r="W882" t="str">
        <f t="array" ref="W882">IF($A882="","",INDEX(JupData!$A$2:$K$10000,MATCH($A882&amp;W$1,JupData!$A$2:$A$10000&amp;JupData!$J$2:$J$10000,0),11))</f>
        <v/>
      </c>
      <c r="X882" t="str">
        <f t="array" ref="X882">IF($A882="","",INDEX(JupData!$A$2:$K$10000,MATCH($A882&amp;X$1,JupData!$A$2:$A$10000&amp;JupData!$J$2:$J$10000,0),11))</f>
        <v/>
      </c>
      <c r="Y882" t="str">
        <f t="array" ref="Y882">IF($A882="","",INDEX(JupData!$A$2:$K$10000,MATCH($A882&amp;Y$1,JupData!$A$2:$A$10000&amp;JupData!$J$2:$J$10000,0),11))</f>
        <v/>
      </c>
      <c r="Z882" t="str">
        <f t="array" ref="Z882">IF($A882="","",INDEX(JupData!$A$2:$K$10000,MATCH($A882&amp;Z$1,JupData!$A$2:$A$10000&amp;JupData!$J$2:$J$10000,0),11))</f>
        <v/>
      </c>
      <c r="AA882" t="str">
        <f t="array" ref="AA882">IF($A882="","",INDEX(JupData!$A$2:$K$10000,MATCH($A882&amp;AA$1,JupData!$A$2:$A$10000&amp;JupData!$J$2:$J$10000,0),11))</f>
        <v/>
      </c>
      <c r="AB882" t="str">
        <f t="array" ref="AB882">IF($A882="","",INDEX(JupData!$A$2:$K$10000,MATCH($A882&amp;AB$1,JupData!$A$2:$A$10000&amp;JupData!$J$2:$J$10000,0),11))</f>
        <v/>
      </c>
      <c r="AC882" s="10" t="str">
        <f t="shared" si="143"/>
        <v/>
      </c>
      <c r="AD882" s="10" t="str">
        <f t="shared" si="144"/>
        <v/>
      </c>
      <c r="AE882" s="9" t="str">
        <f t="shared" si="145"/>
        <v/>
      </c>
      <c r="AF882" s="10" t="str">
        <f t="shared" si="146"/>
        <v/>
      </c>
      <c r="AG882" s="10" t="str">
        <f t="shared" si="147"/>
        <v/>
      </c>
      <c r="AH882" s="10" t="str">
        <f t="shared" si="148"/>
        <v/>
      </c>
      <c r="AI882" s="10" t="str">
        <f t="shared" si="149"/>
        <v/>
      </c>
      <c r="AJ882" s="10" t="str">
        <f t="shared" si="150"/>
        <v/>
      </c>
      <c r="AK882" s="10" t="str">
        <f t="shared" si="151"/>
        <v/>
      </c>
      <c r="AL882" s="14" t="str">
        <f t="shared" si="152"/>
        <v/>
      </c>
    </row>
    <row r="883" spans="1:38" x14ac:dyDescent="0.2">
      <c r="A883"/>
      <c r="B883" t="str">
        <f>IF($A883="","",VLOOKUP($A883,JupData!$A$2:$I$10000,4,FALSE))</f>
        <v/>
      </c>
      <c r="C883" s="7" t="str">
        <f>IF($A883="",IF(N(D883),0,""),VLOOKUP($A883,JupData!$A$2:$I$10000,7,FALSE))</f>
        <v/>
      </c>
      <c r="D883" t="str">
        <f t="shared" si="153"/>
        <v/>
      </c>
      <c r="E883" t="str">
        <f t="array" ref="E883">IF($A883="","",INDEX(JupData!$A$2:$K$10000,MATCH($A883&amp;E$1,JupData!$A$2:$A$10000&amp;JupData!$J$2:$J$10000,0),11))</f>
        <v/>
      </c>
      <c r="F883" t="str">
        <f t="array" ref="F883">IF($A883="","",INDEX(JupData!$A$2:$K$10000,MATCH($A883&amp;F$1,JupData!$A$2:$A$10000&amp;JupData!$J$2:$J$10000,0),11))</f>
        <v/>
      </c>
      <c r="G883" t="str">
        <f t="array" ref="G883">IF($A883="","",INDEX(JupData!$A$2:$K$10000,MATCH($A883&amp;G$1,JupData!$A$2:$A$10000&amp;JupData!$J$2:$J$10000,0),11))</f>
        <v/>
      </c>
      <c r="H883" t="str">
        <f t="array" ref="H883">IF($A883="","",INDEX(JupData!$A$2:$K$10000,MATCH($A883&amp;H$1,JupData!$A$2:$A$10000&amp;JupData!$J$2:$J$10000,0),11))</f>
        <v/>
      </c>
      <c r="I883" t="str">
        <f t="array" ref="I883">IF($A883="","",INDEX(JupData!$A$2:$K$10000,MATCH($A883&amp;I$1,JupData!$A$2:$A$10000&amp;JupData!$J$2:$J$10000,0),11))</f>
        <v/>
      </c>
      <c r="J883" t="str">
        <f t="array" ref="J883">IF($A883="","",INDEX(JupData!$A$2:$K$10000,MATCH($A883&amp;J$1,JupData!$A$2:$A$10000&amp;JupData!$J$2:$J$10000,0),11))</f>
        <v/>
      </c>
      <c r="K883" t="str">
        <f t="array" ref="K883">IF($A883="","",INDEX(JupData!$A$2:$K$10000,MATCH($A883&amp;K$1,JupData!$A$2:$A$10000&amp;JupData!$J$2:$J$10000,0),11))</f>
        <v/>
      </c>
      <c r="L883" t="str">
        <f t="array" ref="L883">IF($A883="","",INDEX(JupData!$A$2:$K$10000,MATCH($A883&amp;L$1,JupData!$A$2:$A$10000&amp;JupData!$J$2:$J$10000,0),11))</f>
        <v/>
      </c>
      <c r="M883" t="str">
        <f t="array" ref="M883">IF($A883="","",INDEX(JupData!$A$2:$K$10000,MATCH($A883&amp;M$1,JupData!$A$2:$A$10000&amp;JupData!$J$2:$J$10000,0),11))</f>
        <v/>
      </c>
      <c r="N883" t="str">
        <f t="array" ref="N883">IF($A883="","",INDEX(JupData!$A$2:$K$10000,MATCH($A883&amp;N$1,JupData!$A$2:$A$10000&amp;JupData!$J$2:$J$10000,0),11))</f>
        <v/>
      </c>
      <c r="O883" t="str">
        <f t="array" ref="O883">IF($A883="","",INDEX(JupData!$A$2:$K$10000,MATCH($A883&amp;O$1,JupData!$A$2:$A$10000&amp;JupData!$J$2:$J$10000,0),11))</f>
        <v/>
      </c>
      <c r="P883" t="str">
        <f t="array" ref="P883">IF($A883="","",INDEX(JupData!$A$2:$K$10000,MATCH($A883&amp;P$1,JupData!$A$2:$A$10000&amp;JupData!$J$2:$J$10000,0),11))</f>
        <v/>
      </c>
      <c r="Q883" t="str">
        <f t="array" ref="Q883">IF($A883="","",INDEX(JupData!$A$2:$K$10000,MATCH($A883&amp;Q$1,JupData!$A$2:$A$10000&amp;JupData!$J$2:$J$10000,0),11))</f>
        <v/>
      </c>
      <c r="R883" t="str">
        <f t="array" ref="R883">IF($A883="","",INDEX(JupData!$A$2:$K$10000,MATCH($A883&amp;R$1,JupData!$A$2:$A$10000&amp;JupData!$J$2:$J$10000,0),11))</f>
        <v/>
      </c>
      <c r="S883" t="str">
        <f t="array" ref="S883">IF($A883="","",INDEX(JupData!$A$2:$K$10000,MATCH($A883&amp;S$1,JupData!$A$2:$A$10000&amp;JupData!$J$2:$J$10000,0),11))</f>
        <v/>
      </c>
      <c r="T883" t="str">
        <f t="array" ref="T883">IF($A883="","",INDEX(JupData!$A$2:$K$10000,MATCH($A883&amp;T$1,JupData!$A$2:$A$10000&amp;JupData!$J$2:$J$10000,0),11))</f>
        <v/>
      </c>
      <c r="U883" t="str">
        <f t="array" ref="U883">IF($A883="","",INDEX(JupData!$A$2:$K$10000,MATCH($A883&amp;U$1,JupData!$A$2:$A$10000&amp;JupData!$J$2:$J$10000,0),11))</f>
        <v/>
      </c>
      <c r="V883" t="str">
        <f t="array" ref="V883">IF($A883="","",INDEX(JupData!$A$2:$K$10000,MATCH($A883&amp;V$1,JupData!$A$2:$A$10000&amp;JupData!$J$2:$J$10000,0),11))</f>
        <v/>
      </c>
      <c r="W883" t="str">
        <f t="array" ref="W883">IF($A883="","",INDEX(JupData!$A$2:$K$10000,MATCH($A883&amp;W$1,JupData!$A$2:$A$10000&amp;JupData!$J$2:$J$10000,0),11))</f>
        <v/>
      </c>
      <c r="X883" t="str">
        <f t="array" ref="X883">IF($A883="","",INDEX(JupData!$A$2:$K$10000,MATCH($A883&amp;X$1,JupData!$A$2:$A$10000&amp;JupData!$J$2:$J$10000,0),11))</f>
        <v/>
      </c>
      <c r="Y883" t="str">
        <f t="array" ref="Y883">IF($A883="","",INDEX(JupData!$A$2:$K$10000,MATCH($A883&amp;Y$1,JupData!$A$2:$A$10000&amp;JupData!$J$2:$J$10000,0),11))</f>
        <v/>
      </c>
      <c r="Z883" t="str">
        <f t="array" ref="Z883">IF($A883="","",INDEX(JupData!$A$2:$K$10000,MATCH($A883&amp;Z$1,JupData!$A$2:$A$10000&amp;JupData!$J$2:$J$10000,0),11))</f>
        <v/>
      </c>
      <c r="AA883" t="str">
        <f t="array" ref="AA883">IF($A883="","",INDEX(JupData!$A$2:$K$10000,MATCH($A883&amp;AA$1,JupData!$A$2:$A$10000&amp;JupData!$J$2:$J$10000,0),11))</f>
        <v/>
      </c>
      <c r="AB883" t="str">
        <f t="array" ref="AB883">IF($A883="","",INDEX(JupData!$A$2:$K$10000,MATCH($A883&amp;AB$1,JupData!$A$2:$A$10000&amp;JupData!$J$2:$J$10000,0),11))</f>
        <v/>
      </c>
      <c r="AC883" s="10" t="str">
        <f t="shared" si="143"/>
        <v/>
      </c>
      <c r="AD883" s="10" t="str">
        <f t="shared" si="144"/>
        <v/>
      </c>
      <c r="AE883" s="9" t="str">
        <f t="shared" si="145"/>
        <v/>
      </c>
      <c r="AF883" s="10" t="str">
        <f t="shared" si="146"/>
        <v/>
      </c>
      <c r="AG883" s="10" t="str">
        <f t="shared" si="147"/>
        <v/>
      </c>
      <c r="AH883" s="10" t="str">
        <f t="shared" si="148"/>
        <v/>
      </c>
      <c r="AI883" s="10" t="str">
        <f t="shared" si="149"/>
        <v/>
      </c>
      <c r="AJ883" s="10" t="str">
        <f t="shared" si="150"/>
        <v/>
      </c>
      <c r="AK883" s="10" t="str">
        <f t="shared" si="151"/>
        <v/>
      </c>
      <c r="AL883" s="14" t="str">
        <f t="shared" si="152"/>
        <v/>
      </c>
    </row>
    <row r="884" spans="1:38" x14ac:dyDescent="0.2">
      <c r="A884"/>
      <c r="B884" t="str">
        <f>IF($A884="","",VLOOKUP($A884,JupData!$A$2:$I$10000,4,FALSE))</f>
        <v/>
      </c>
      <c r="C884" s="7" t="str">
        <f>IF($A884="",IF(N(D884),0,""),VLOOKUP($A884,JupData!$A$2:$I$10000,7,FALSE))</f>
        <v/>
      </c>
      <c r="D884" t="str">
        <f t="shared" si="153"/>
        <v/>
      </c>
      <c r="E884" t="str">
        <f t="array" ref="E884">IF($A884="","",INDEX(JupData!$A$2:$K$10000,MATCH($A884&amp;E$1,JupData!$A$2:$A$10000&amp;JupData!$J$2:$J$10000,0),11))</f>
        <v/>
      </c>
      <c r="F884" t="str">
        <f t="array" ref="F884">IF($A884="","",INDEX(JupData!$A$2:$K$10000,MATCH($A884&amp;F$1,JupData!$A$2:$A$10000&amp;JupData!$J$2:$J$10000,0),11))</f>
        <v/>
      </c>
      <c r="G884" t="str">
        <f t="array" ref="G884">IF($A884="","",INDEX(JupData!$A$2:$K$10000,MATCH($A884&amp;G$1,JupData!$A$2:$A$10000&amp;JupData!$J$2:$J$10000,0),11))</f>
        <v/>
      </c>
      <c r="H884" t="str">
        <f t="array" ref="H884">IF($A884="","",INDEX(JupData!$A$2:$K$10000,MATCH($A884&amp;H$1,JupData!$A$2:$A$10000&amp;JupData!$J$2:$J$10000,0),11))</f>
        <v/>
      </c>
      <c r="I884" t="str">
        <f t="array" ref="I884">IF($A884="","",INDEX(JupData!$A$2:$K$10000,MATCH($A884&amp;I$1,JupData!$A$2:$A$10000&amp;JupData!$J$2:$J$10000,0),11))</f>
        <v/>
      </c>
      <c r="J884" t="str">
        <f t="array" ref="J884">IF($A884="","",INDEX(JupData!$A$2:$K$10000,MATCH($A884&amp;J$1,JupData!$A$2:$A$10000&amp;JupData!$J$2:$J$10000,0),11))</f>
        <v/>
      </c>
      <c r="K884" t="str">
        <f t="array" ref="K884">IF($A884="","",INDEX(JupData!$A$2:$K$10000,MATCH($A884&amp;K$1,JupData!$A$2:$A$10000&amp;JupData!$J$2:$J$10000,0),11))</f>
        <v/>
      </c>
      <c r="L884" t="str">
        <f t="array" ref="L884">IF($A884="","",INDEX(JupData!$A$2:$K$10000,MATCH($A884&amp;L$1,JupData!$A$2:$A$10000&amp;JupData!$J$2:$J$10000,0),11))</f>
        <v/>
      </c>
      <c r="M884" t="str">
        <f t="array" ref="M884">IF($A884="","",INDEX(JupData!$A$2:$K$10000,MATCH($A884&amp;M$1,JupData!$A$2:$A$10000&amp;JupData!$J$2:$J$10000,0),11))</f>
        <v/>
      </c>
      <c r="N884" t="str">
        <f t="array" ref="N884">IF($A884="","",INDEX(JupData!$A$2:$K$10000,MATCH($A884&amp;N$1,JupData!$A$2:$A$10000&amp;JupData!$J$2:$J$10000,0),11))</f>
        <v/>
      </c>
      <c r="O884" t="str">
        <f t="array" ref="O884">IF($A884="","",INDEX(JupData!$A$2:$K$10000,MATCH($A884&amp;O$1,JupData!$A$2:$A$10000&amp;JupData!$J$2:$J$10000,0),11))</f>
        <v/>
      </c>
      <c r="P884" t="str">
        <f t="array" ref="P884">IF($A884="","",INDEX(JupData!$A$2:$K$10000,MATCH($A884&amp;P$1,JupData!$A$2:$A$10000&amp;JupData!$J$2:$J$10000,0),11))</f>
        <v/>
      </c>
      <c r="Q884" t="str">
        <f t="array" ref="Q884">IF($A884="","",INDEX(JupData!$A$2:$K$10000,MATCH($A884&amp;Q$1,JupData!$A$2:$A$10000&amp;JupData!$J$2:$J$10000,0),11))</f>
        <v/>
      </c>
      <c r="R884" t="str">
        <f t="array" ref="R884">IF($A884="","",INDEX(JupData!$A$2:$K$10000,MATCH($A884&amp;R$1,JupData!$A$2:$A$10000&amp;JupData!$J$2:$J$10000,0),11))</f>
        <v/>
      </c>
      <c r="S884" t="str">
        <f t="array" ref="S884">IF($A884="","",INDEX(JupData!$A$2:$K$10000,MATCH($A884&amp;S$1,JupData!$A$2:$A$10000&amp;JupData!$J$2:$J$10000,0),11))</f>
        <v/>
      </c>
      <c r="T884" t="str">
        <f t="array" ref="T884">IF($A884="","",INDEX(JupData!$A$2:$K$10000,MATCH($A884&amp;T$1,JupData!$A$2:$A$10000&amp;JupData!$J$2:$J$10000,0),11))</f>
        <v/>
      </c>
      <c r="U884" t="str">
        <f t="array" ref="U884">IF($A884="","",INDEX(JupData!$A$2:$K$10000,MATCH($A884&amp;U$1,JupData!$A$2:$A$10000&amp;JupData!$J$2:$J$10000,0),11))</f>
        <v/>
      </c>
      <c r="V884" t="str">
        <f t="array" ref="V884">IF($A884="","",INDEX(JupData!$A$2:$K$10000,MATCH($A884&amp;V$1,JupData!$A$2:$A$10000&amp;JupData!$J$2:$J$10000,0),11))</f>
        <v/>
      </c>
      <c r="W884" t="str">
        <f t="array" ref="W884">IF($A884="","",INDEX(JupData!$A$2:$K$10000,MATCH($A884&amp;W$1,JupData!$A$2:$A$10000&amp;JupData!$J$2:$J$10000,0),11))</f>
        <v/>
      </c>
      <c r="X884" t="str">
        <f t="array" ref="X884">IF($A884="","",INDEX(JupData!$A$2:$K$10000,MATCH($A884&amp;X$1,JupData!$A$2:$A$10000&amp;JupData!$J$2:$J$10000,0),11))</f>
        <v/>
      </c>
      <c r="Y884" t="str">
        <f t="array" ref="Y884">IF($A884="","",INDEX(JupData!$A$2:$K$10000,MATCH($A884&amp;Y$1,JupData!$A$2:$A$10000&amp;JupData!$J$2:$J$10000,0),11))</f>
        <v/>
      </c>
      <c r="Z884" t="str">
        <f t="array" ref="Z884">IF($A884="","",INDEX(JupData!$A$2:$K$10000,MATCH($A884&amp;Z$1,JupData!$A$2:$A$10000&amp;JupData!$J$2:$J$10000,0),11))</f>
        <v/>
      </c>
      <c r="AA884" t="str">
        <f t="array" ref="AA884">IF($A884="","",INDEX(JupData!$A$2:$K$10000,MATCH($A884&amp;AA$1,JupData!$A$2:$A$10000&amp;JupData!$J$2:$J$10000,0),11))</f>
        <v/>
      </c>
      <c r="AB884" t="str">
        <f t="array" ref="AB884">IF($A884="","",INDEX(JupData!$A$2:$K$10000,MATCH($A884&amp;AB$1,JupData!$A$2:$A$10000&amp;JupData!$J$2:$J$10000,0),11))</f>
        <v/>
      </c>
      <c r="AC884" s="10" t="str">
        <f t="shared" si="143"/>
        <v/>
      </c>
      <c r="AD884" s="10" t="str">
        <f t="shared" si="144"/>
        <v/>
      </c>
      <c r="AE884" s="9" t="str">
        <f t="shared" si="145"/>
        <v/>
      </c>
      <c r="AF884" s="10" t="str">
        <f t="shared" si="146"/>
        <v/>
      </c>
      <c r="AG884" s="10" t="str">
        <f t="shared" si="147"/>
        <v/>
      </c>
      <c r="AH884" s="10" t="str">
        <f t="shared" si="148"/>
        <v/>
      </c>
      <c r="AI884" s="10" t="str">
        <f t="shared" si="149"/>
        <v/>
      </c>
      <c r="AJ884" s="10" t="str">
        <f t="shared" si="150"/>
        <v/>
      </c>
      <c r="AK884" s="10" t="str">
        <f t="shared" si="151"/>
        <v/>
      </c>
      <c r="AL884" s="14" t="str">
        <f t="shared" si="152"/>
        <v/>
      </c>
    </row>
    <row r="885" spans="1:38" x14ac:dyDescent="0.2">
      <c r="A885"/>
      <c r="B885" t="str">
        <f>IF($A885="","",VLOOKUP($A885,JupData!$A$2:$I$10000,4,FALSE))</f>
        <v/>
      </c>
      <c r="C885" s="7" t="str">
        <f>IF($A885="",IF(N(D885),0,""),VLOOKUP($A885,JupData!$A$2:$I$10000,7,FALSE))</f>
        <v/>
      </c>
      <c r="D885" t="str">
        <f t="shared" si="153"/>
        <v/>
      </c>
      <c r="E885" t="str">
        <f t="array" ref="E885">IF($A885="","",INDEX(JupData!$A$2:$K$10000,MATCH($A885&amp;E$1,JupData!$A$2:$A$10000&amp;JupData!$J$2:$J$10000,0),11))</f>
        <v/>
      </c>
      <c r="F885" t="str">
        <f t="array" ref="F885">IF($A885="","",INDEX(JupData!$A$2:$K$10000,MATCH($A885&amp;F$1,JupData!$A$2:$A$10000&amp;JupData!$J$2:$J$10000,0),11))</f>
        <v/>
      </c>
      <c r="G885" t="str">
        <f t="array" ref="G885">IF($A885="","",INDEX(JupData!$A$2:$K$10000,MATCH($A885&amp;G$1,JupData!$A$2:$A$10000&amp;JupData!$J$2:$J$10000,0),11))</f>
        <v/>
      </c>
      <c r="H885" t="str">
        <f t="array" ref="H885">IF($A885="","",INDEX(JupData!$A$2:$K$10000,MATCH($A885&amp;H$1,JupData!$A$2:$A$10000&amp;JupData!$J$2:$J$10000,0),11))</f>
        <v/>
      </c>
      <c r="I885" t="str">
        <f t="array" ref="I885">IF($A885="","",INDEX(JupData!$A$2:$K$10000,MATCH($A885&amp;I$1,JupData!$A$2:$A$10000&amp;JupData!$J$2:$J$10000,0),11))</f>
        <v/>
      </c>
      <c r="J885" t="str">
        <f t="array" ref="J885">IF($A885="","",INDEX(JupData!$A$2:$K$10000,MATCH($A885&amp;J$1,JupData!$A$2:$A$10000&amp;JupData!$J$2:$J$10000,0),11))</f>
        <v/>
      </c>
      <c r="K885" t="str">
        <f t="array" ref="K885">IF($A885="","",INDEX(JupData!$A$2:$K$10000,MATCH($A885&amp;K$1,JupData!$A$2:$A$10000&amp;JupData!$J$2:$J$10000,0),11))</f>
        <v/>
      </c>
      <c r="L885" t="str">
        <f t="array" ref="L885">IF($A885="","",INDEX(JupData!$A$2:$K$10000,MATCH($A885&amp;L$1,JupData!$A$2:$A$10000&amp;JupData!$J$2:$J$10000,0),11))</f>
        <v/>
      </c>
      <c r="M885" t="str">
        <f t="array" ref="M885">IF($A885="","",INDEX(JupData!$A$2:$K$10000,MATCH($A885&amp;M$1,JupData!$A$2:$A$10000&amp;JupData!$J$2:$J$10000,0),11))</f>
        <v/>
      </c>
      <c r="N885" t="str">
        <f t="array" ref="N885">IF($A885="","",INDEX(JupData!$A$2:$K$10000,MATCH($A885&amp;N$1,JupData!$A$2:$A$10000&amp;JupData!$J$2:$J$10000,0),11))</f>
        <v/>
      </c>
      <c r="O885" t="str">
        <f t="array" ref="O885">IF($A885="","",INDEX(JupData!$A$2:$K$10000,MATCH($A885&amp;O$1,JupData!$A$2:$A$10000&amp;JupData!$J$2:$J$10000,0),11))</f>
        <v/>
      </c>
      <c r="P885" t="str">
        <f t="array" ref="P885">IF($A885="","",INDEX(JupData!$A$2:$K$10000,MATCH($A885&amp;P$1,JupData!$A$2:$A$10000&amp;JupData!$J$2:$J$10000,0),11))</f>
        <v/>
      </c>
      <c r="Q885" t="str">
        <f t="array" ref="Q885">IF($A885="","",INDEX(JupData!$A$2:$K$10000,MATCH($A885&amp;Q$1,JupData!$A$2:$A$10000&amp;JupData!$J$2:$J$10000,0),11))</f>
        <v/>
      </c>
      <c r="R885" t="str">
        <f t="array" ref="R885">IF($A885="","",INDEX(JupData!$A$2:$K$10000,MATCH($A885&amp;R$1,JupData!$A$2:$A$10000&amp;JupData!$J$2:$J$10000,0),11))</f>
        <v/>
      </c>
      <c r="S885" t="str">
        <f t="array" ref="S885">IF($A885="","",INDEX(JupData!$A$2:$K$10000,MATCH($A885&amp;S$1,JupData!$A$2:$A$10000&amp;JupData!$J$2:$J$10000,0),11))</f>
        <v/>
      </c>
      <c r="T885" t="str">
        <f t="array" ref="T885">IF($A885="","",INDEX(JupData!$A$2:$K$10000,MATCH($A885&amp;T$1,JupData!$A$2:$A$10000&amp;JupData!$J$2:$J$10000,0),11))</f>
        <v/>
      </c>
      <c r="U885" t="str">
        <f t="array" ref="U885">IF($A885="","",INDEX(JupData!$A$2:$K$10000,MATCH($A885&amp;U$1,JupData!$A$2:$A$10000&amp;JupData!$J$2:$J$10000,0),11))</f>
        <v/>
      </c>
      <c r="V885" t="str">
        <f t="array" ref="V885">IF($A885="","",INDEX(JupData!$A$2:$K$10000,MATCH($A885&amp;V$1,JupData!$A$2:$A$10000&amp;JupData!$J$2:$J$10000,0),11))</f>
        <v/>
      </c>
      <c r="W885" t="str">
        <f t="array" ref="W885">IF($A885="","",INDEX(JupData!$A$2:$K$10000,MATCH($A885&amp;W$1,JupData!$A$2:$A$10000&amp;JupData!$J$2:$J$10000,0),11))</f>
        <v/>
      </c>
      <c r="X885" t="str">
        <f t="array" ref="X885">IF($A885="","",INDEX(JupData!$A$2:$K$10000,MATCH($A885&amp;X$1,JupData!$A$2:$A$10000&amp;JupData!$J$2:$J$10000,0),11))</f>
        <v/>
      </c>
      <c r="Y885" t="str">
        <f t="array" ref="Y885">IF($A885="","",INDEX(JupData!$A$2:$K$10000,MATCH($A885&amp;Y$1,JupData!$A$2:$A$10000&amp;JupData!$J$2:$J$10000,0),11))</f>
        <v/>
      </c>
      <c r="Z885" t="str">
        <f t="array" ref="Z885">IF($A885="","",INDEX(JupData!$A$2:$K$10000,MATCH($A885&amp;Z$1,JupData!$A$2:$A$10000&amp;JupData!$J$2:$J$10000,0),11))</f>
        <v/>
      </c>
      <c r="AA885" t="str">
        <f t="array" ref="AA885">IF($A885="","",INDEX(JupData!$A$2:$K$10000,MATCH($A885&amp;AA$1,JupData!$A$2:$A$10000&amp;JupData!$J$2:$J$10000,0),11))</f>
        <v/>
      </c>
      <c r="AB885" t="str">
        <f t="array" ref="AB885">IF($A885="","",INDEX(JupData!$A$2:$K$10000,MATCH($A885&amp;AB$1,JupData!$A$2:$A$10000&amp;JupData!$J$2:$J$10000,0),11))</f>
        <v/>
      </c>
      <c r="AC885" s="10" t="str">
        <f t="shared" si="143"/>
        <v/>
      </c>
      <c r="AD885" s="10" t="str">
        <f t="shared" si="144"/>
        <v/>
      </c>
      <c r="AE885" s="9" t="str">
        <f t="shared" si="145"/>
        <v/>
      </c>
      <c r="AF885" s="10" t="str">
        <f t="shared" si="146"/>
        <v/>
      </c>
      <c r="AG885" s="10" t="str">
        <f t="shared" si="147"/>
        <v/>
      </c>
      <c r="AH885" s="10" t="str">
        <f t="shared" si="148"/>
        <v/>
      </c>
      <c r="AI885" s="10" t="str">
        <f t="shared" si="149"/>
        <v/>
      </c>
      <c r="AJ885" s="10" t="str">
        <f t="shared" si="150"/>
        <v/>
      </c>
      <c r="AK885" s="10" t="str">
        <f t="shared" si="151"/>
        <v/>
      </c>
      <c r="AL885" s="14" t="str">
        <f t="shared" si="152"/>
        <v/>
      </c>
    </row>
    <row r="886" spans="1:38" x14ac:dyDescent="0.2">
      <c r="A886"/>
      <c r="B886" t="str">
        <f>IF($A886="","",VLOOKUP($A886,JupData!$A$2:$I$10000,4,FALSE))</f>
        <v/>
      </c>
      <c r="C886" s="7" t="str">
        <f>IF($A886="",IF(N(D886),0,""),VLOOKUP($A886,JupData!$A$2:$I$10000,7,FALSE))</f>
        <v/>
      </c>
      <c r="D886" t="str">
        <f t="shared" si="153"/>
        <v/>
      </c>
      <c r="E886" t="str">
        <f t="array" ref="E886">IF($A886="","",INDEX(JupData!$A$2:$K$10000,MATCH($A886&amp;E$1,JupData!$A$2:$A$10000&amp;JupData!$J$2:$J$10000,0),11))</f>
        <v/>
      </c>
      <c r="F886" t="str">
        <f t="array" ref="F886">IF($A886="","",INDEX(JupData!$A$2:$K$10000,MATCH($A886&amp;F$1,JupData!$A$2:$A$10000&amp;JupData!$J$2:$J$10000,0),11))</f>
        <v/>
      </c>
      <c r="G886" t="str">
        <f t="array" ref="G886">IF($A886="","",INDEX(JupData!$A$2:$K$10000,MATCH($A886&amp;G$1,JupData!$A$2:$A$10000&amp;JupData!$J$2:$J$10000,0),11))</f>
        <v/>
      </c>
      <c r="H886" t="str">
        <f t="array" ref="H886">IF($A886="","",INDEX(JupData!$A$2:$K$10000,MATCH($A886&amp;H$1,JupData!$A$2:$A$10000&amp;JupData!$J$2:$J$10000,0),11))</f>
        <v/>
      </c>
      <c r="I886" t="str">
        <f t="array" ref="I886">IF($A886="","",INDEX(JupData!$A$2:$K$10000,MATCH($A886&amp;I$1,JupData!$A$2:$A$10000&amp;JupData!$J$2:$J$10000,0),11))</f>
        <v/>
      </c>
      <c r="J886" t="str">
        <f t="array" ref="J886">IF($A886="","",INDEX(JupData!$A$2:$K$10000,MATCH($A886&amp;J$1,JupData!$A$2:$A$10000&amp;JupData!$J$2:$J$10000,0),11))</f>
        <v/>
      </c>
      <c r="K886" t="str">
        <f t="array" ref="K886">IF($A886="","",INDEX(JupData!$A$2:$K$10000,MATCH($A886&amp;K$1,JupData!$A$2:$A$10000&amp;JupData!$J$2:$J$10000,0),11))</f>
        <v/>
      </c>
      <c r="L886" t="str">
        <f t="array" ref="L886">IF($A886="","",INDEX(JupData!$A$2:$K$10000,MATCH($A886&amp;L$1,JupData!$A$2:$A$10000&amp;JupData!$J$2:$J$10000,0),11))</f>
        <v/>
      </c>
      <c r="M886" t="str">
        <f t="array" ref="M886">IF($A886="","",INDEX(JupData!$A$2:$K$10000,MATCH($A886&amp;M$1,JupData!$A$2:$A$10000&amp;JupData!$J$2:$J$10000,0),11))</f>
        <v/>
      </c>
      <c r="N886" t="str">
        <f t="array" ref="N886">IF($A886="","",INDEX(JupData!$A$2:$K$10000,MATCH($A886&amp;N$1,JupData!$A$2:$A$10000&amp;JupData!$J$2:$J$10000,0),11))</f>
        <v/>
      </c>
      <c r="O886" t="str">
        <f t="array" ref="O886">IF($A886="","",INDEX(JupData!$A$2:$K$10000,MATCH($A886&amp;O$1,JupData!$A$2:$A$10000&amp;JupData!$J$2:$J$10000,0),11))</f>
        <v/>
      </c>
      <c r="P886" t="str">
        <f t="array" ref="P886">IF($A886="","",INDEX(JupData!$A$2:$K$10000,MATCH($A886&amp;P$1,JupData!$A$2:$A$10000&amp;JupData!$J$2:$J$10000,0),11))</f>
        <v/>
      </c>
      <c r="Q886" t="str">
        <f t="array" ref="Q886">IF($A886="","",INDEX(JupData!$A$2:$K$10000,MATCH($A886&amp;Q$1,JupData!$A$2:$A$10000&amp;JupData!$J$2:$J$10000,0),11))</f>
        <v/>
      </c>
      <c r="R886" t="str">
        <f t="array" ref="R886">IF($A886="","",INDEX(JupData!$A$2:$K$10000,MATCH($A886&amp;R$1,JupData!$A$2:$A$10000&amp;JupData!$J$2:$J$10000,0),11))</f>
        <v/>
      </c>
      <c r="S886" t="str">
        <f t="array" ref="S886">IF($A886="","",INDEX(JupData!$A$2:$K$10000,MATCH($A886&amp;S$1,JupData!$A$2:$A$10000&amp;JupData!$J$2:$J$10000,0),11))</f>
        <v/>
      </c>
      <c r="T886" t="str">
        <f t="array" ref="T886">IF($A886="","",INDEX(JupData!$A$2:$K$10000,MATCH($A886&amp;T$1,JupData!$A$2:$A$10000&amp;JupData!$J$2:$J$10000,0),11))</f>
        <v/>
      </c>
      <c r="U886" t="str">
        <f t="array" ref="U886">IF($A886="","",INDEX(JupData!$A$2:$K$10000,MATCH($A886&amp;U$1,JupData!$A$2:$A$10000&amp;JupData!$J$2:$J$10000,0),11))</f>
        <v/>
      </c>
      <c r="V886" t="str">
        <f t="array" ref="V886">IF($A886="","",INDEX(JupData!$A$2:$K$10000,MATCH($A886&amp;V$1,JupData!$A$2:$A$10000&amp;JupData!$J$2:$J$10000,0),11))</f>
        <v/>
      </c>
      <c r="W886" t="str">
        <f t="array" ref="W886">IF($A886="","",INDEX(JupData!$A$2:$K$10000,MATCH($A886&amp;W$1,JupData!$A$2:$A$10000&amp;JupData!$J$2:$J$10000,0),11))</f>
        <v/>
      </c>
      <c r="X886" t="str">
        <f t="array" ref="X886">IF($A886="","",INDEX(JupData!$A$2:$K$10000,MATCH($A886&amp;X$1,JupData!$A$2:$A$10000&amp;JupData!$J$2:$J$10000,0),11))</f>
        <v/>
      </c>
      <c r="Y886" t="str">
        <f t="array" ref="Y886">IF($A886="","",INDEX(JupData!$A$2:$K$10000,MATCH($A886&amp;Y$1,JupData!$A$2:$A$10000&amp;JupData!$J$2:$J$10000,0),11))</f>
        <v/>
      </c>
      <c r="Z886" t="str">
        <f t="array" ref="Z886">IF($A886="","",INDEX(JupData!$A$2:$K$10000,MATCH($A886&amp;Z$1,JupData!$A$2:$A$10000&amp;JupData!$J$2:$J$10000,0),11))</f>
        <v/>
      </c>
      <c r="AA886" t="str">
        <f t="array" ref="AA886">IF($A886="","",INDEX(JupData!$A$2:$K$10000,MATCH($A886&amp;AA$1,JupData!$A$2:$A$10000&amp;JupData!$J$2:$J$10000,0),11))</f>
        <v/>
      </c>
      <c r="AB886" t="str">
        <f t="array" ref="AB886">IF($A886="","",INDEX(JupData!$A$2:$K$10000,MATCH($A886&amp;AB$1,JupData!$A$2:$A$10000&amp;JupData!$J$2:$J$10000,0),11))</f>
        <v/>
      </c>
      <c r="AC886" s="10" t="str">
        <f t="shared" si="143"/>
        <v/>
      </c>
      <c r="AD886" s="10" t="str">
        <f t="shared" si="144"/>
        <v/>
      </c>
      <c r="AE886" s="9" t="str">
        <f t="shared" si="145"/>
        <v/>
      </c>
      <c r="AF886" s="10" t="str">
        <f t="shared" si="146"/>
        <v/>
      </c>
      <c r="AG886" s="10" t="str">
        <f t="shared" si="147"/>
        <v/>
      </c>
      <c r="AH886" s="10" t="str">
        <f t="shared" si="148"/>
        <v/>
      </c>
      <c r="AI886" s="10" t="str">
        <f t="shared" si="149"/>
        <v/>
      </c>
      <c r="AJ886" s="10" t="str">
        <f t="shared" si="150"/>
        <v/>
      </c>
      <c r="AK886" s="10" t="str">
        <f t="shared" si="151"/>
        <v/>
      </c>
      <c r="AL886" s="14" t="str">
        <f t="shared" si="152"/>
        <v/>
      </c>
    </row>
    <row r="887" spans="1:38" x14ac:dyDescent="0.2">
      <c r="A887"/>
      <c r="B887" t="str">
        <f>IF($A887="","",VLOOKUP($A887,JupData!$A$2:$I$10000,4,FALSE))</f>
        <v/>
      </c>
      <c r="C887" s="7" t="str">
        <f>IF($A887="",IF(N(D887),0,""),VLOOKUP($A887,JupData!$A$2:$I$10000,7,FALSE))</f>
        <v/>
      </c>
      <c r="D887" t="str">
        <f t="shared" si="153"/>
        <v/>
      </c>
      <c r="E887" t="str">
        <f t="array" ref="E887">IF($A887="","",INDEX(JupData!$A$2:$K$10000,MATCH($A887&amp;E$1,JupData!$A$2:$A$10000&amp;JupData!$J$2:$J$10000,0),11))</f>
        <v/>
      </c>
      <c r="F887" t="str">
        <f t="array" ref="F887">IF($A887="","",INDEX(JupData!$A$2:$K$10000,MATCH($A887&amp;F$1,JupData!$A$2:$A$10000&amp;JupData!$J$2:$J$10000,0),11))</f>
        <v/>
      </c>
      <c r="G887" t="str">
        <f t="array" ref="G887">IF($A887="","",INDEX(JupData!$A$2:$K$10000,MATCH($A887&amp;G$1,JupData!$A$2:$A$10000&amp;JupData!$J$2:$J$10000,0),11))</f>
        <v/>
      </c>
      <c r="H887" t="str">
        <f t="array" ref="H887">IF($A887="","",INDEX(JupData!$A$2:$K$10000,MATCH($A887&amp;H$1,JupData!$A$2:$A$10000&amp;JupData!$J$2:$J$10000,0),11))</f>
        <v/>
      </c>
      <c r="I887" t="str">
        <f t="array" ref="I887">IF($A887="","",INDEX(JupData!$A$2:$K$10000,MATCH($A887&amp;I$1,JupData!$A$2:$A$10000&amp;JupData!$J$2:$J$10000,0),11))</f>
        <v/>
      </c>
      <c r="J887" t="str">
        <f t="array" ref="J887">IF($A887="","",INDEX(JupData!$A$2:$K$10000,MATCH($A887&amp;J$1,JupData!$A$2:$A$10000&amp;JupData!$J$2:$J$10000,0),11))</f>
        <v/>
      </c>
      <c r="K887" t="str">
        <f t="array" ref="K887">IF($A887="","",INDEX(JupData!$A$2:$K$10000,MATCH($A887&amp;K$1,JupData!$A$2:$A$10000&amp;JupData!$J$2:$J$10000,0),11))</f>
        <v/>
      </c>
      <c r="L887" t="str">
        <f t="array" ref="L887">IF($A887="","",INDEX(JupData!$A$2:$K$10000,MATCH($A887&amp;L$1,JupData!$A$2:$A$10000&amp;JupData!$J$2:$J$10000,0),11))</f>
        <v/>
      </c>
      <c r="M887" t="str">
        <f t="array" ref="M887">IF($A887="","",INDEX(JupData!$A$2:$K$10000,MATCH($A887&amp;M$1,JupData!$A$2:$A$10000&amp;JupData!$J$2:$J$10000,0),11))</f>
        <v/>
      </c>
      <c r="N887" t="str">
        <f t="array" ref="N887">IF($A887="","",INDEX(JupData!$A$2:$K$10000,MATCH($A887&amp;N$1,JupData!$A$2:$A$10000&amp;JupData!$J$2:$J$10000,0),11))</f>
        <v/>
      </c>
      <c r="O887" t="str">
        <f t="array" ref="O887">IF($A887="","",INDEX(JupData!$A$2:$K$10000,MATCH($A887&amp;O$1,JupData!$A$2:$A$10000&amp;JupData!$J$2:$J$10000,0),11))</f>
        <v/>
      </c>
      <c r="P887" t="str">
        <f t="array" ref="P887">IF($A887="","",INDEX(JupData!$A$2:$K$10000,MATCH($A887&amp;P$1,JupData!$A$2:$A$10000&amp;JupData!$J$2:$J$10000,0),11))</f>
        <v/>
      </c>
      <c r="Q887" t="str">
        <f t="array" ref="Q887">IF($A887="","",INDEX(JupData!$A$2:$K$10000,MATCH($A887&amp;Q$1,JupData!$A$2:$A$10000&amp;JupData!$J$2:$J$10000,0),11))</f>
        <v/>
      </c>
      <c r="R887" t="str">
        <f t="array" ref="R887">IF($A887="","",INDEX(JupData!$A$2:$K$10000,MATCH($A887&amp;R$1,JupData!$A$2:$A$10000&amp;JupData!$J$2:$J$10000,0),11))</f>
        <v/>
      </c>
      <c r="S887" t="str">
        <f t="array" ref="S887">IF($A887="","",INDEX(JupData!$A$2:$K$10000,MATCH($A887&amp;S$1,JupData!$A$2:$A$10000&amp;JupData!$J$2:$J$10000,0),11))</f>
        <v/>
      </c>
      <c r="T887" t="str">
        <f t="array" ref="T887">IF($A887="","",INDEX(JupData!$A$2:$K$10000,MATCH($A887&amp;T$1,JupData!$A$2:$A$10000&amp;JupData!$J$2:$J$10000,0),11))</f>
        <v/>
      </c>
      <c r="U887" t="str">
        <f t="array" ref="U887">IF($A887="","",INDEX(JupData!$A$2:$K$10000,MATCH($A887&amp;U$1,JupData!$A$2:$A$10000&amp;JupData!$J$2:$J$10000,0),11))</f>
        <v/>
      </c>
      <c r="V887" t="str">
        <f t="array" ref="V887">IF($A887="","",INDEX(JupData!$A$2:$K$10000,MATCH($A887&amp;V$1,JupData!$A$2:$A$10000&amp;JupData!$J$2:$J$10000,0),11))</f>
        <v/>
      </c>
      <c r="W887" t="str">
        <f t="array" ref="W887">IF($A887="","",INDEX(JupData!$A$2:$K$10000,MATCH($A887&amp;W$1,JupData!$A$2:$A$10000&amp;JupData!$J$2:$J$10000,0),11))</f>
        <v/>
      </c>
      <c r="X887" t="str">
        <f t="array" ref="X887">IF($A887="","",INDEX(JupData!$A$2:$K$10000,MATCH($A887&amp;X$1,JupData!$A$2:$A$10000&amp;JupData!$J$2:$J$10000,0),11))</f>
        <v/>
      </c>
      <c r="Y887" t="str">
        <f t="array" ref="Y887">IF($A887="","",INDEX(JupData!$A$2:$K$10000,MATCH($A887&amp;Y$1,JupData!$A$2:$A$10000&amp;JupData!$J$2:$J$10000,0),11))</f>
        <v/>
      </c>
      <c r="Z887" t="str">
        <f t="array" ref="Z887">IF($A887="","",INDEX(JupData!$A$2:$K$10000,MATCH($A887&amp;Z$1,JupData!$A$2:$A$10000&amp;JupData!$J$2:$J$10000,0),11))</f>
        <v/>
      </c>
      <c r="AA887" t="str">
        <f t="array" ref="AA887">IF($A887="","",INDEX(JupData!$A$2:$K$10000,MATCH($A887&amp;AA$1,JupData!$A$2:$A$10000&amp;JupData!$J$2:$J$10000,0),11))</f>
        <v/>
      </c>
      <c r="AB887" t="str">
        <f t="array" ref="AB887">IF($A887="","",INDEX(JupData!$A$2:$K$10000,MATCH($A887&amp;AB$1,JupData!$A$2:$A$10000&amp;JupData!$J$2:$J$10000,0),11))</f>
        <v/>
      </c>
      <c r="AC887" s="10" t="str">
        <f t="shared" si="143"/>
        <v/>
      </c>
      <c r="AD887" s="10" t="str">
        <f t="shared" si="144"/>
        <v/>
      </c>
      <c r="AE887" s="9" t="str">
        <f t="shared" si="145"/>
        <v/>
      </c>
      <c r="AF887" s="10" t="str">
        <f t="shared" si="146"/>
        <v/>
      </c>
      <c r="AG887" s="10" t="str">
        <f t="shared" si="147"/>
        <v/>
      </c>
      <c r="AH887" s="10" t="str">
        <f t="shared" si="148"/>
        <v/>
      </c>
      <c r="AI887" s="10" t="str">
        <f t="shared" si="149"/>
        <v/>
      </c>
      <c r="AJ887" s="10" t="str">
        <f t="shared" si="150"/>
        <v/>
      </c>
      <c r="AK887" s="10" t="str">
        <f t="shared" si="151"/>
        <v/>
      </c>
      <c r="AL887" s="14" t="str">
        <f t="shared" si="152"/>
        <v/>
      </c>
    </row>
    <row r="888" spans="1:38" x14ac:dyDescent="0.2">
      <c r="A888"/>
      <c r="B888" t="str">
        <f>IF($A888="","",VLOOKUP($A888,JupData!$A$2:$I$10000,4,FALSE))</f>
        <v/>
      </c>
      <c r="C888" s="7" t="str">
        <f>IF($A888="",IF(N(D888),0,""),VLOOKUP($A888,JupData!$A$2:$I$10000,7,FALSE))</f>
        <v/>
      </c>
      <c r="D888" t="str">
        <f t="shared" si="153"/>
        <v/>
      </c>
      <c r="E888" t="str">
        <f t="array" ref="E888">IF($A888="","",INDEX(JupData!$A$2:$K$10000,MATCH($A888&amp;E$1,JupData!$A$2:$A$10000&amp;JupData!$J$2:$J$10000,0),11))</f>
        <v/>
      </c>
      <c r="F888" t="str">
        <f t="array" ref="F888">IF($A888="","",INDEX(JupData!$A$2:$K$10000,MATCH($A888&amp;F$1,JupData!$A$2:$A$10000&amp;JupData!$J$2:$J$10000,0),11))</f>
        <v/>
      </c>
      <c r="G888" t="str">
        <f t="array" ref="G888">IF($A888="","",INDEX(JupData!$A$2:$K$10000,MATCH($A888&amp;G$1,JupData!$A$2:$A$10000&amp;JupData!$J$2:$J$10000,0),11))</f>
        <v/>
      </c>
      <c r="H888" t="str">
        <f t="array" ref="H888">IF($A888="","",INDEX(JupData!$A$2:$K$10000,MATCH($A888&amp;H$1,JupData!$A$2:$A$10000&amp;JupData!$J$2:$J$10000,0),11))</f>
        <v/>
      </c>
      <c r="I888" t="str">
        <f t="array" ref="I888">IF($A888="","",INDEX(JupData!$A$2:$K$10000,MATCH($A888&amp;I$1,JupData!$A$2:$A$10000&amp;JupData!$J$2:$J$10000,0),11))</f>
        <v/>
      </c>
      <c r="J888" t="str">
        <f t="array" ref="J888">IF($A888="","",INDEX(JupData!$A$2:$K$10000,MATCH($A888&amp;J$1,JupData!$A$2:$A$10000&amp;JupData!$J$2:$J$10000,0),11))</f>
        <v/>
      </c>
      <c r="K888" t="str">
        <f t="array" ref="K888">IF($A888="","",INDEX(JupData!$A$2:$K$10000,MATCH($A888&amp;K$1,JupData!$A$2:$A$10000&amp;JupData!$J$2:$J$10000,0),11))</f>
        <v/>
      </c>
      <c r="L888" t="str">
        <f t="array" ref="L888">IF($A888="","",INDEX(JupData!$A$2:$K$10000,MATCH($A888&amp;L$1,JupData!$A$2:$A$10000&amp;JupData!$J$2:$J$10000,0),11))</f>
        <v/>
      </c>
      <c r="M888" t="str">
        <f t="array" ref="M888">IF($A888="","",INDEX(JupData!$A$2:$K$10000,MATCH($A888&amp;M$1,JupData!$A$2:$A$10000&amp;JupData!$J$2:$J$10000,0),11))</f>
        <v/>
      </c>
      <c r="N888" t="str">
        <f t="array" ref="N888">IF($A888="","",INDEX(JupData!$A$2:$K$10000,MATCH($A888&amp;N$1,JupData!$A$2:$A$10000&amp;JupData!$J$2:$J$10000,0),11))</f>
        <v/>
      </c>
      <c r="O888" t="str">
        <f t="array" ref="O888">IF($A888="","",INDEX(JupData!$A$2:$K$10000,MATCH($A888&amp;O$1,JupData!$A$2:$A$10000&amp;JupData!$J$2:$J$10000,0),11))</f>
        <v/>
      </c>
      <c r="P888" t="str">
        <f t="array" ref="P888">IF($A888="","",INDEX(JupData!$A$2:$K$10000,MATCH($A888&amp;P$1,JupData!$A$2:$A$10000&amp;JupData!$J$2:$J$10000,0),11))</f>
        <v/>
      </c>
      <c r="Q888" t="str">
        <f t="array" ref="Q888">IF($A888="","",INDEX(JupData!$A$2:$K$10000,MATCH($A888&amp;Q$1,JupData!$A$2:$A$10000&amp;JupData!$J$2:$J$10000,0),11))</f>
        <v/>
      </c>
      <c r="R888" t="str">
        <f t="array" ref="R888">IF($A888="","",INDEX(JupData!$A$2:$K$10000,MATCH($A888&amp;R$1,JupData!$A$2:$A$10000&amp;JupData!$J$2:$J$10000,0),11))</f>
        <v/>
      </c>
      <c r="S888" t="str">
        <f t="array" ref="S888">IF($A888="","",INDEX(JupData!$A$2:$K$10000,MATCH($A888&amp;S$1,JupData!$A$2:$A$10000&amp;JupData!$J$2:$J$10000,0),11))</f>
        <v/>
      </c>
      <c r="T888" t="str">
        <f t="array" ref="T888">IF($A888="","",INDEX(JupData!$A$2:$K$10000,MATCH($A888&amp;T$1,JupData!$A$2:$A$10000&amp;JupData!$J$2:$J$10000,0),11))</f>
        <v/>
      </c>
      <c r="U888" t="str">
        <f t="array" ref="U888">IF($A888="","",INDEX(JupData!$A$2:$K$10000,MATCH($A888&amp;U$1,JupData!$A$2:$A$10000&amp;JupData!$J$2:$J$10000,0),11))</f>
        <v/>
      </c>
      <c r="V888" t="str">
        <f t="array" ref="V888">IF($A888="","",INDEX(JupData!$A$2:$K$10000,MATCH($A888&amp;V$1,JupData!$A$2:$A$10000&amp;JupData!$J$2:$J$10000,0),11))</f>
        <v/>
      </c>
      <c r="W888" t="str">
        <f t="array" ref="W888">IF($A888="","",INDEX(JupData!$A$2:$K$10000,MATCH($A888&amp;W$1,JupData!$A$2:$A$10000&amp;JupData!$J$2:$J$10000,0),11))</f>
        <v/>
      </c>
      <c r="X888" t="str">
        <f t="array" ref="X888">IF($A888="","",INDEX(JupData!$A$2:$K$10000,MATCH($A888&amp;X$1,JupData!$A$2:$A$10000&amp;JupData!$J$2:$J$10000,0),11))</f>
        <v/>
      </c>
      <c r="Y888" t="str">
        <f t="array" ref="Y888">IF($A888="","",INDEX(JupData!$A$2:$K$10000,MATCH($A888&amp;Y$1,JupData!$A$2:$A$10000&amp;JupData!$J$2:$J$10000,0),11))</f>
        <v/>
      </c>
      <c r="Z888" t="str">
        <f t="array" ref="Z888">IF($A888="","",INDEX(JupData!$A$2:$K$10000,MATCH($A888&amp;Z$1,JupData!$A$2:$A$10000&amp;JupData!$J$2:$J$10000,0),11))</f>
        <v/>
      </c>
      <c r="AA888" t="str">
        <f t="array" ref="AA888">IF($A888="","",INDEX(JupData!$A$2:$K$10000,MATCH($A888&amp;AA$1,JupData!$A$2:$A$10000&amp;JupData!$J$2:$J$10000,0),11))</f>
        <v/>
      </c>
      <c r="AB888" t="str">
        <f t="array" ref="AB888">IF($A888="","",INDEX(JupData!$A$2:$K$10000,MATCH($A888&amp;AB$1,JupData!$A$2:$A$10000&amp;JupData!$J$2:$J$10000,0),11))</f>
        <v/>
      </c>
      <c r="AC888" s="10" t="str">
        <f t="shared" si="143"/>
        <v/>
      </c>
      <c r="AD888" s="10" t="str">
        <f t="shared" si="144"/>
        <v/>
      </c>
      <c r="AE888" s="9" t="str">
        <f t="shared" si="145"/>
        <v/>
      </c>
      <c r="AF888" s="10" t="str">
        <f t="shared" si="146"/>
        <v/>
      </c>
      <c r="AG888" s="10" t="str">
        <f t="shared" si="147"/>
        <v/>
      </c>
      <c r="AH888" s="10" t="str">
        <f t="shared" si="148"/>
        <v/>
      </c>
      <c r="AI888" s="10" t="str">
        <f t="shared" si="149"/>
        <v/>
      </c>
      <c r="AJ888" s="10" t="str">
        <f t="shared" si="150"/>
        <v/>
      </c>
      <c r="AK888" s="10" t="str">
        <f t="shared" si="151"/>
        <v/>
      </c>
      <c r="AL888" s="14" t="str">
        <f t="shared" si="152"/>
        <v/>
      </c>
    </row>
    <row r="889" spans="1:38" x14ac:dyDescent="0.2">
      <c r="A889"/>
      <c r="B889" t="str">
        <f>IF($A889="","",VLOOKUP($A889,JupData!$A$2:$I$10000,4,FALSE))</f>
        <v/>
      </c>
      <c r="C889" s="7" t="str">
        <f>IF($A889="",IF(N(D889),0,""),VLOOKUP($A889,JupData!$A$2:$I$10000,7,FALSE))</f>
        <v/>
      </c>
      <c r="D889" t="str">
        <f t="shared" si="153"/>
        <v/>
      </c>
      <c r="E889" t="str">
        <f t="array" ref="E889">IF($A889="","",INDEX(JupData!$A$2:$K$10000,MATCH($A889&amp;E$1,JupData!$A$2:$A$10000&amp;JupData!$J$2:$J$10000,0),11))</f>
        <v/>
      </c>
      <c r="F889" t="str">
        <f t="array" ref="F889">IF($A889="","",INDEX(JupData!$A$2:$K$10000,MATCH($A889&amp;F$1,JupData!$A$2:$A$10000&amp;JupData!$J$2:$J$10000,0),11))</f>
        <v/>
      </c>
      <c r="G889" t="str">
        <f t="array" ref="G889">IF($A889="","",INDEX(JupData!$A$2:$K$10000,MATCH($A889&amp;G$1,JupData!$A$2:$A$10000&amp;JupData!$J$2:$J$10000,0),11))</f>
        <v/>
      </c>
      <c r="H889" t="str">
        <f t="array" ref="H889">IF($A889="","",INDEX(JupData!$A$2:$K$10000,MATCH($A889&amp;H$1,JupData!$A$2:$A$10000&amp;JupData!$J$2:$J$10000,0),11))</f>
        <v/>
      </c>
      <c r="I889" t="str">
        <f t="array" ref="I889">IF($A889="","",INDEX(JupData!$A$2:$K$10000,MATCH($A889&amp;I$1,JupData!$A$2:$A$10000&amp;JupData!$J$2:$J$10000,0),11))</f>
        <v/>
      </c>
      <c r="J889" t="str">
        <f t="array" ref="J889">IF($A889="","",INDEX(JupData!$A$2:$K$10000,MATCH($A889&amp;J$1,JupData!$A$2:$A$10000&amp;JupData!$J$2:$J$10000,0),11))</f>
        <v/>
      </c>
      <c r="K889" t="str">
        <f t="array" ref="K889">IF($A889="","",INDEX(JupData!$A$2:$K$10000,MATCH($A889&amp;K$1,JupData!$A$2:$A$10000&amp;JupData!$J$2:$J$10000,0),11))</f>
        <v/>
      </c>
      <c r="L889" t="str">
        <f t="array" ref="L889">IF($A889="","",INDEX(JupData!$A$2:$K$10000,MATCH($A889&amp;L$1,JupData!$A$2:$A$10000&amp;JupData!$J$2:$J$10000,0),11))</f>
        <v/>
      </c>
      <c r="M889" t="str">
        <f t="array" ref="M889">IF($A889="","",INDEX(JupData!$A$2:$K$10000,MATCH($A889&amp;M$1,JupData!$A$2:$A$10000&amp;JupData!$J$2:$J$10000,0),11))</f>
        <v/>
      </c>
      <c r="N889" t="str">
        <f t="array" ref="N889">IF($A889="","",INDEX(JupData!$A$2:$K$10000,MATCH($A889&amp;N$1,JupData!$A$2:$A$10000&amp;JupData!$J$2:$J$10000,0),11))</f>
        <v/>
      </c>
      <c r="O889" t="str">
        <f t="array" ref="O889">IF($A889="","",INDEX(JupData!$A$2:$K$10000,MATCH($A889&amp;O$1,JupData!$A$2:$A$10000&amp;JupData!$J$2:$J$10000,0),11))</f>
        <v/>
      </c>
      <c r="P889" t="str">
        <f t="array" ref="P889">IF($A889="","",INDEX(JupData!$A$2:$K$10000,MATCH($A889&amp;P$1,JupData!$A$2:$A$10000&amp;JupData!$J$2:$J$10000,0),11))</f>
        <v/>
      </c>
      <c r="Q889" t="str">
        <f t="array" ref="Q889">IF($A889="","",INDEX(JupData!$A$2:$K$10000,MATCH($A889&amp;Q$1,JupData!$A$2:$A$10000&amp;JupData!$J$2:$J$10000,0),11))</f>
        <v/>
      </c>
      <c r="R889" t="str">
        <f t="array" ref="R889">IF($A889="","",INDEX(JupData!$A$2:$K$10000,MATCH($A889&amp;R$1,JupData!$A$2:$A$10000&amp;JupData!$J$2:$J$10000,0),11))</f>
        <v/>
      </c>
      <c r="S889" t="str">
        <f t="array" ref="S889">IF($A889="","",INDEX(JupData!$A$2:$K$10000,MATCH($A889&amp;S$1,JupData!$A$2:$A$10000&amp;JupData!$J$2:$J$10000,0),11))</f>
        <v/>
      </c>
      <c r="T889" t="str">
        <f t="array" ref="T889">IF($A889="","",INDEX(JupData!$A$2:$K$10000,MATCH($A889&amp;T$1,JupData!$A$2:$A$10000&amp;JupData!$J$2:$J$10000,0),11))</f>
        <v/>
      </c>
      <c r="U889" t="str">
        <f t="array" ref="U889">IF($A889="","",INDEX(JupData!$A$2:$K$10000,MATCH($A889&amp;U$1,JupData!$A$2:$A$10000&amp;JupData!$J$2:$J$10000,0),11))</f>
        <v/>
      </c>
      <c r="V889" t="str">
        <f t="array" ref="V889">IF($A889="","",INDEX(JupData!$A$2:$K$10000,MATCH($A889&amp;V$1,JupData!$A$2:$A$10000&amp;JupData!$J$2:$J$10000,0),11))</f>
        <v/>
      </c>
      <c r="W889" t="str">
        <f t="array" ref="W889">IF($A889="","",INDEX(JupData!$A$2:$K$10000,MATCH($A889&amp;W$1,JupData!$A$2:$A$10000&amp;JupData!$J$2:$J$10000,0),11))</f>
        <v/>
      </c>
      <c r="X889" t="str">
        <f t="array" ref="X889">IF($A889="","",INDEX(JupData!$A$2:$K$10000,MATCH($A889&amp;X$1,JupData!$A$2:$A$10000&amp;JupData!$J$2:$J$10000,0),11))</f>
        <v/>
      </c>
      <c r="Y889" t="str">
        <f t="array" ref="Y889">IF($A889="","",INDEX(JupData!$A$2:$K$10000,MATCH($A889&amp;Y$1,JupData!$A$2:$A$10000&amp;JupData!$J$2:$J$10000,0),11))</f>
        <v/>
      </c>
      <c r="Z889" t="str">
        <f t="array" ref="Z889">IF($A889="","",INDEX(JupData!$A$2:$K$10000,MATCH($A889&amp;Z$1,JupData!$A$2:$A$10000&amp;JupData!$J$2:$J$10000,0),11))</f>
        <v/>
      </c>
      <c r="AA889" t="str">
        <f t="array" ref="AA889">IF($A889="","",INDEX(JupData!$A$2:$K$10000,MATCH($A889&amp;AA$1,JupData!$A$2:$A$10000&amp;JupData!$J$2:$J$10000,0),11))</f>
        <v/>
      </c>
      <c r="AB889" t="str">
        <f t="array" ref="AB889">IF($A889="","",INDEX(JupData!$A$2:$K$10000,MATCH($A889&amp;AB$1,JupData!$A$2:$A$10000&amp;JupData!$J$2:$J$10000,0),11))</f>
        <v/>
      </c>
      <c r="AC889" s="10" t="str">
        <f t="shared" si="143"/>
        <v/>
      </c>
      <c r="AD889" s="10" t="str">
        <f t="shared" si="144"/>
        <v/>
      </c>
      <c r="AE889" s="9" t="str">
        <f t="shared" si="145"/>
        <v/>
      </c>
      <c r="AF889" s="10" t="str">
        <f t="shared" si="146"/>
        <v/>
      </c>
      <c r="AG889" s="10" t="str">
        <f t="shared" si="147"/>
        <v/>
      </c>
      <c r="AH889" s="10" t="str">
        <f t="shared" si="148"/>
        <v/>
      </c>
      <c r="AI889" s="10" t="str">
        <f t="shared" si="149"/>
        <v/>
      </c>
      <c r="AJ889" s="10" t="str">
        <f t="shared" si="150"/>
        <v/>
      </c>
      <c r="AK889" s="10" t="str">
        <f t="shared" si="151"/>
        <v/>
      </c>
      <c r="AL889" s="14" t="str">
        <f t="shared" si="152"/>
        <v/>
      </c>
    </row>
    <row r="890" spans="1:38" x14ac:dyDescent="0.2">
      <c r="A890"/>
      <c r="B890" t="str">
        <f>IF($A890="","",VLOOKUP($A890,JupData!$A$2:$I$10000,4,FALSE))</f>
        <v/>
      </c>
      <c r="C890" s="7" t="str">
        <f>IF($A890="",IF(N(D890),0,""),VLOOKUP($A890,JupData!$A$2:$I$10000,7,FALSE))</f>
        <v/>
      </c>
      <c r="D890" t="str">
        <f t="shared" si="153"/>
        <v/>
      </c>
      <c r="E890" t="str">
        <f t="array" ref="E890">IF($A890="","",INDEX(JupData!$A$2:$K$10000,MATCH($A890&amp;E$1,JupData!$A$2:$A$10000&amp;JupData!$J$2:$J$10000,0),11))</f>
        <v/>
      </c>
      <c r="F890" t="str">
        <f t="array" ref="F890">IF($A890="","",INDEX(JupData!$A$2:$K$10000,MATCH($A890&amp;F$1,JupData!$A$2:$A$10000&amp;JupData!$J$2:$J$10000,0),11))</f>
        <v/>
      </c>
      <c r="G890" t="str">
        <f t="array" ref="G890">IF($A890="","",INDEX(JupData!$A$2:$K$10000,MATCH($A890&amp;G$1,JupData!$A$2:$A$10000&amp;JupData!$J$2:$J$10000,0),11))</f>
        <v/>
      </c>
      <c r="H890" t="str">
        <f t="array" ref="H890">IF($A890="","",INDEX(JupData!$A$2:$K$10000,MATCH($A890&amp;H$1,JupData!$A$2:$A$10000&amp;JupData!$J$2:$J$10000,0),11))</f>
        <v/>
      </c>
      <c r="I890" t="str">
        <f t="array" ref="I890">IF($A890="","",INDEX(JupData!$A$2:$K$10000,MATCH($A890&amp;I$1,JupData!$A$2:$A$10000&amp;JupData!$J$2:$J$10000,0),11))</f>
        <v/>
      </c>
      <c r="J890" t="str">
        <f t="array" ref="J890">IF($A890="","",INDEX(JupData!$A$2:$K$10000,MATCH($A890&amp;J$1,JupData!$A$2:$A$10000&amp;JupData!$J$2:$J$10000,0),11))</f>
        <v/>
      </c>
      <c r="K890" t="str">
        <f t="array" ref="K890">IF($A890="","",INDEX(JupData!$A$2:$K$10000,MATCH($A890&amp;K$1,JupData!$A$2:$A$10000&amp;JupData!$J$2:$J$10000,0),11))</f>
        <v/>
      </c>
      <c r="L890" t="str">
        <f t="array" ref="L890">IF($A890="","",INDEX(JupData!$A$2:$K$10000,MATCH($A890&amp;L$1,JupData!$A$2:$A$10000&amp;JupData!$J$2:$J$10000,0),11))</f>
        <v/>
      </c>
      <c r="M890" t="str">
        <f t="array" ref="M890">IF($A890="","",INDEX(JupData!$A$2:$K$10000,MATCH($A890&amp;M$1,JupData!$A$2:$A$10000&amp;JupData!$J$2:$J$10000,0),11))</f>
        <v/>
      </c>
      <c r="N890" t="str">
        <f t="array" ref="N890">IF($A890="","",INDEX(JupData!$A$2:$K$10000,MATCH($A890&amp;N$1,JupData!$A$2:$A$10000&amp;JupData!$J$2:$J$10000,0),11))</f>
        <v/>
      </c>
      <c r="O890" t="str">
        <f t="array" ref="O890">IF($A890="","",INDEX(JupData!$A$2:$K$10000,MATCH($A890&amp;O$1,JupData!$A$2:$A$10000&amp;JupData!$J$2:$J$10000,0),11))</f>
        <v/>
      </c>
      <c r="P890" t="str">
        <f t="array" ref="P890">IF($A890="","",INDEX(JupData!$A$2:$K$10000,MATCH($A890&amp;P$1,JupData!$A$2:$A$10000&amp;JupData!$J$2:$J$10000,0),11))</f>
        <v/>
      </c>
      <c r="Q890" t="str">
        <f t="array" ref="Q890">IF($A890="","",INDEX(JupData!$A$2:$K$10000,MATCH($A890&amp;Q$1,JupData!$A$2:$A$10000&amp;JupData!$J$2:$J$10000,0),11))</f>
        <v/>
      </c>
      <c r="R890" t="str">
        <f t="array" ref="R890">IF($A890="","",INDEX(JupData!$A$2:$K$10000,MATCH($A890&amp;R$1,JupData!$A$2:$A$10000&amp;JupData!$J$2:$J$10000,0),11))</f>
        <v/>
      </c>
      <c r="S890" t="str">
        <f t="array" ref="S890">IF($A890="","",INDEX(JupData!$A$2:$K$10000,MATCH($A890&amp;S$1,JupData!$A$2:$A$10000&amp;JupData!$J$2:$J$10000,0),11))</f>
        <v/>
      </c>
      <c r="T890" t="str">
        <f t="array" ref="T890">IF($A890="","",INDEX(JupData!$A$2:$K$10000,MATCH($A890&amp;T$1,JupData!$A$2:$A$10000&amp;JupData!$J$2:$J$10000,0),11))</f>
        <v/>
      </c>
      <c r="U890" t="str">
        <f t="array" ref="U890">IF($A890="","",INDEX(JupData!$A$2:$K$10000,MATCH($A890&amp;U$1,JupData!$A$2:$A$10000&amp;JupData!$J$2:$J$10000,0),11))</f>
        <v/>
      </c>
      <c r="V890" t="str">
        <f t="array" ref="V890">IF($A890="","",INDEX(JupData!$A$2:$K$10000,MATCH($A890&amp;V$1,JupData!$A$2:$A$10000&amp;JupData!$J$2:$J$10000,0),11))</f>
        <v/>
      </c>
      <c r="W890" t="str">
        <f t="array" ref="W890">IF($A890="","",INDEX(JupData!$A$2:$K$10000,MATCH($A890&amp;W$1,JupData!$A$2:$A$10000&amp;JupData!$J$2:$J$10000,0),11))</f>
        <v/>
      </c>
      <c r="X890" t="str">
        <f t="array" ref="X890">IF($A890="","",INDEX(JupData!$A$2:$K$10000,MATCH($A890&amp;X$1,JupData!$A$2:$A$10000&amp;JupData!$J$2:$J$10000,0),11))</f>
        <v/>
      </c>
      <c r="Y890" t="str">
        <f t="array" ref="Y890">IF($A890="","",INDEX(JupData!$A$2:$K$10000,MATCH($A890&amp;Y$1,JupData!$A$2:$A$10000&amp;JupData!$J$2:$J$10000,0),11))</f>
        <v/>
      </c>
      <c r="Z890" t="str">
        <f t="array" ref="Z890">IF($A890="","",INDEX(JupData!$A$2:$K$10000,MATCH($A890&amp;Z$1,JupData!$A$2:$A$10000&amp;JupData!$J$2:$J$10000,0),11))</f>
        <v/>
      </c>
      <c r="AA890" t="str">
        <f t="array" ref="AA890">IF($A890="","",INDEX(JupData!$A$2:$K$10000,MATCH($A890&amp;AA$1,JupData!$A$2:$A$10000&amp;JupData!$J$2:$J$10000,0),11))</f>
        <v/>
      </c>
      <c r="AB890" t="str">
        <f t="array" ref="AB890">IF($A890="","",INDEX(JupData!$A$2:$K$10000,MATCH($A890&amp;AB$1,JupData!$A$2:$A$10000&amp;JupData!$J$2:$J$10000,0),11))</f>
        <v/>
      </c>
      <c r="AC890" s="10" t="str">
        <f t="shared" si="143"/>
        <v/>
      </c>
      <c r="AD890" s="10" t="str">
        <f t="shared" si="144"/>
        <v/>
      </c>
      <c r="AE890" s="9" t="str">
        <f t="shared" si="145"/>
        <v/>
      </c>
      <c r="AF890" s="10" t="str">
        <f t="shared" si="146"/>
        <v/>
      </c>
      <c r="AG890" s="10" t="str">
        <f t="shared" si="147"/>
        <v/>
      </c>
      <c r="AH890" s="10" t="str">
        <f t="shared" si="148"/>
        <v/>
      </c>
      <c r="AI890" s="10" t="str">
        <f t="shared" si="149"/>
        <v/>
      </c>
      <c r="AJ890" s="10" t="str">
        <f t="shared" si="150"/>
        <v/>
      </c>
      <c r="AK890" s="10" t="str">
        <f t="shared" si="151"/>
        <v/>
      </c>
      <c r="AL890" s="14" t="str">
        <f t="shared" si="152"/>
        <v/>
      </c>
    </row>
    <row r="891" spans="1:38" x14ac:dyDescent="0.2">
      <c r="A891"/>
      <c r="B891" t="str">
        <f>IF($A891="","",VLOOKUP($A891,JupData!$A$2:$I$10000,4,FALSE))</f>
        <v/>
      </c>
      <c r="C891" s="7" t="str">
        <f>IF($A891="",IF(N(D891),0,""),VLOOKUP($A891,JupData!$A$2:$I$10000,7,FALSE))</f>
        <v/>
      </c>
      <c r="D891" t="str">
        <f t="shared" si="153"/>
        <v/>
      </c>
      <c r="E891" t="str">
        <f t="array" ref="E891">IF($A891="","",INDEX(JupData!$A$2:$K$10000,MATCH($A891&amp;E$1,JupData!$A$2:$A$10000&amp;JupData!$J$2:$J$10000,0),11))</f>
        <v/>
      </c>
      <c r="F891" t="str">
        <f t="array" ref="F891">IF($A891="","",INDEX(JupData!$A$2:$K$10000,MATCH($A891&amp;F$1,JupData!$A$2:$A$10000&amp;JupData!$J$2:$J$10000,0),11))</f>
        <v/>
      </c>
      <c r="G891" t="str">
        <f t="array" ref="G891">IF($A891="","",INDEX(JupData!$A$2:$K$10000,MATCH($A891&amp;G$1,JupData!$A$2:$A$10000&amp;JupData!$J$2:$J$10000,0),11))</f>
        <v/>
      </c>
      <c r="H891" t="str">
        <f t="array" ref="H891">IF($A891="","",INDEX(JupData!$A$2:$K$10000,MATCH($A891&amp;H$1,JupData!$A$2:$A$10000&amp;JupData!$J$2:$J$10000,0),11))</f>
        <v/>
      </c>
      <c r="I891" t="str">
        <f t="array" ref="I891">IF($A891="","",INDEX(JupData!$A$2:$K$10000,MATCH($A891&amp;I$1,JupData!$A$2:$A$10000&amp;JupData!$J$2:$J$10000,0),11))</f>
        <v/>
      </c>
      <c r="J891" t="str">
        <f t="array" ref="J891">IF($A891="","",INDEX(JupData!$A$2:$K$10000,MATCH($A891&amp;J$1,JupData!$A$2:$A$10000&amp;JupData!$J$2:$J$10000,0),11))</f>
        <v/>
      </c>
      <c r="K891" t="str">
        <f t="array" ref="K891">IF($A891="","",INDEX(JupData!$A$2:$K$10000,MATCH($A891&amp;K$1,JupData!$A$2:$A$10000&amp;JupData!$J$2:$J$10000,0),11))</f>
        <v/>
      </c>
      <c r="L891" t="str">
        <f t="array" ref="L891">IF($A891="","",INDEX(JupData!$A$2:$K$10000,MATCH($A891&amp;L$1,JupData!$A$2:$A$10000&amp;JupData!$J$2:$J$10000,0),11))</f>
        <v/>
      </c>
      <c r="M891" t="str">
        <f t="array" ref="M891">IF($A891="","",INDEX(JupData!$A$2:$K$10000,MATCH($A891&amp;M$1,JupData!$A$2:$A$10000&amp;JupData!$J$2:$J$10000,0),11))</f>
        <v/>
      </c>
      <c r="N891" t="str">
        <f t="array" ref="N891">IF($A891="","",INDEX(JupData!$A$2:$K$10000,MATCH($A891&amp;N$1,JupData!$A$2:$A$10000&amp;JupData!$J$2:$J$10000,0),11))</f>
        <v/>
      </c>
      <c r="O891" t="str">
        <f t="array" ref="O891">IF($A891="","",INDEX(JupData!$A$2:$K$10000,MATCH($A891&amp;O$1,JupData!$A$2:$A$10000&amp;JupData!$J$2:$J$10000,0),11))</f>
        <v/>
      </c>
      <c r="P891" t="str">
        <f t="array" ref="P891">IF($A891="","",INDEX(JupData!$A$2:$K$10000,MATCH($A891&amp;P$1,JupData!$A$2:$A$10000&amp;JupData!$J$2:$J$10000,0),11))</f>
        <v/>
      </c>
      <c r="Q891" t="str">
        <f t="array" ref="Q891">IF($A891="","",INDEX(JupData!$A$2:$K$10000,MATCH($A891&amp;Q$1,JupData!$A$2:$A$10000&amp;JupData!$J$2:$J$10000,0),11))</f>
        <v/>
      </c>
      <c r="R891" t="str">
        <f t="array" ref="R891">IF($A891="","",INDEX(JupData!$A$2:$K$10000,MATCH($A891&amp;R$1,JupData!$A$2:$A$10000&amp;JupData!$J$2:$J$10000,0),11))</f>
        <v/>
      </c>
      <c r="S891" t="str">
        <f t="array" ref="S891">IF($A891="","",INDEX(JupData!$A$2:$K$10000,MATCH($A891&amp;S$1,JupData!$A$2:$A$10000&amp;JupData!$J$2:$J$10000,0),11))</f>
        <v/>
      </c>
      <c r="T891" t="str">
        <f t="array" ref="T891">IF($A891="","",INDEX(JupData!$A$2:$K$10000,MATCH($A891&amp;T$1,JupData!$A$2:$A$10000&amp;JupData!$J$2:$J$10000,0),11))</f>
        <v/>
      </c>
      <c r="U891" t="str">
        <f t="array" ref="U891">IF($A891="","",INDEX(JupData!$A$2:$K$10000,MATCH($A891&amp;U$1,JupData!$A$2:$A$10000&amp;JupData!$J$2:$J$10000,0),11))</f>
        <v/>
      </c>
      <c r="V891" t="str">
        <f t="array" ref="V891">IF($A891="","",INDEX(JupData!$A$2:$K$10000,MATCH($A891&amp;V$1,JupData!$A$2:$A$10000&amp;JupData!$J$2:$J$10000,0),11))</f>
        <v/>
      </c>
      <c r="W891" t="str">
        <f t="array" ref="W891">IF($A891="","",INDEX(JupData!$A$2:$K$10000,MATCH($A891&amp;W$1,JupData!$A$2:$A$10000&amp;JupData!$J$2:$J$10000,0),11))</f>
        <v/>
      </c>
      <c r="X891" t="str">
        <f t="array" ref="X891">IF($A891="","",INDEX(JupData!$A$2:$K$10000,MATCH($A891&amp;X$1,JupData!$A$2:$A$10000&amp;JupData!$J$2:$J$10000,0),11))</f>
        <v/>
      </c>
      <c r="Y891" t="str">
        <f t="array" ref="Y891">IF($A891="","",INDEX(JupData!$A$2:$K$10000,MATCH($A891&amp;Y$1,JupData!$A$2:$A$10000&amp;JupData!$J$2:$J$10000,0),11))</f>
        <v/>
      </c>
      <c r="Z891" t="str">
        <f t="array" ref="Z891">IF($A891="","",INDEX(JupData!$A$2:$K$10000,MATCH($A891&amp;Z$1,JupData!$A$2:$A$10000&amp;JupData!$J$2:$J$10000,0),11))</f>
        <v/>
      </c>
      <c r="AA891" t="str">
        <f t="array" ref="AA891">IF($A891="","",INDEX(JupData!$A$2:$K$10000,MATCH($A891&amp;AA$1,JupData!$A$2:$A$10000&amp;JupData!$J$2:$J$10000,0),11))</f>
        <v/>
      </c>
      <c r="AB891" t="str">
        <f t="array" ref="AB891">IF($A891="","",INDEX(JupData!$A$2:$K$10000,MATCH($A891&amp;AB$1,JupData!$A$2:$A$10000&amp;JupData!$J$2:$J$10000,0),11))</f>
        <v/>
      </c>
      <c r="AC891" s="10" t="str">
        <f t="shared" si="143"/>
        <v/>
      </c>
      <c r="AD891" s="10" t="str">
        <f t="shared" si="144"/>
        <v/>
      </c>
      <c r="AE891" s="9" t="str">
        <f t="shared" si="145"/>
        <v/>
      </c>
      <c r="AF891" s="10" t="str">
        <f t="shared" si="146"/>
        <v/>
      </c>
      <c r="AG891" s="10" t="str">
        <f t="shared" si="147"/>
        <v/>
      </c>
      <c r="AH891" s="10" t="str">
        <f t="shared" si="148"/>
        <v/>
      </c>
      <c r="AI891" s="10" t="str">
        <f t="shared" si="149"/>
        <v/>
      </c>
      <c r="AJ891" s="10" t="str">
        <f t="shared" si="150"/>
        <v/>
      </c>
      <c r="AK891" s="10" t="str">
        <f t="shared" si="151"/>
        <v/>
      </c>
      <c r="AL891" s="14" t="str">
        <f t="shared" si="152"/>
        <v/>
      </c>
    </row>
    <row r="892" spans="1:38" x14ac:dyDescent="0.2">
      <c r="A892"/>
      <c r="B892" t="str">
        <f>IF($A892="","",VLOOKUP($A892,JupData!$A$2:$I$10000,4,FALSE))</f>
        <v/>
      </c>
      <c r="C892" s="7" t="str">
        <f>IF($A892="",IF(N(D892),0,""),VLOOKUP($A892,JupData!$A$2:$I$10000,7,FALSE))</f>
        <v/>
      </c>
      <c r="D892" t="str">
        <f t="shared" si="153"/>
        <v/>
      </c>
      <c r="E892" t="str">
        <f t="array" ref="E892">IF($A892="","",INDEX(JupData!$A$2:$K$10000,MATCH($A892&amp;E$1,JupData!$A$2:$A$10000&amp;JupData!$J$2:$J$10000,0),11))</f>
        <v/>
      </c>
      <c r="F892" t="str">
        <f t="array" ref="F892">IF($A892="","",INDEX(JupData!$A$2:$K$10000,MATCH($A892&amp;F$1,JupData!$A$2:$A$10000&amp;JupData!$J$2:$J$10000,0),11))</f>
        <v/>
      </c>
      <c r="G892" t="str">
        <f t="array" ref="G892">IF($A892="","",INDEX(JupData!$A$2:$K$10000,MATCH($A892&amp;G$1,JupData!$A$2:$A$10000&amp;JupData!$J$2:$J$10000,0),11))</f>
        <v/>
      </c>
      <c r="H892" t="str">
        <f t="array" ref="H892">IF($A892="","",INDEX(JupData!$A$2:$K$10000,MATCH($A892&amp;H$1,JupData!$A$2:$A$10000&amp;JupData!$J$2:$J$10000,0),11))</f>
        <v/>
      </c>
      <c r="I892" t="str">
        <f t="array" ref="I892">IF($A892="","",INDEX(JupData!$A$2:$K$10000,MATCH($A892&amp;I$1,JupData!$A$2:$A$10000&amp;JupData!$J$2:$J$10000,0),11))</f>
        <v/>
      </c>
      <c r="J892" t="str">
        <f t="array" ref="J892">IF($A892="","",INDEX(JupData!$A$2:$K$10000,MATCH($A892&amp;J$1,JupData!$A$2:$A$10000&amp;JupData!$J$2:$J$10000,0),11))</f>
        <v/>
      </c>
      <c r="K892" t="str">
        <f t="array" ref="K892">IF($A892="","",INDEX(JupData!$A$2:$K$10000,MATCH($A892&amp;K$1,JupData!$A$2:$A$10000&amp;JupData!$J$2:$J$10000,0),11))</f>
        <v/>
      </c>
      <c r="L892" t="str">
        <f t="array" ref="L892">IF($A892="","",INDEX(JupData!$A$2:$K$10000,MATCH($A892&amp;L$1,JupData!$A$2:$A$10000&amp;JupData!$J$2:$J$10000,0),11))</f>
        <v/>
      </c>
      <c r="M892" t="str">
        <f t="array" ref="M892">IF($A892="","",INDEX(JupData!$A$2:$K$10000,MATCH($A892&amp;M$1,JupData!$A$2:$A$10000&amp;JupData!$J$2:$J$10000,0),11))</f>
        <v/>
      </c>
      <c r="N892" t="str">
        <f t="array" ref="N892">IF($A892="","",INDEX(JupData!$A$2:$K$10000,MATCH($A892&amp;N$1,JupData!$A$2:$A$10000&amp;JupData!$J$2:$J$10000,0),11))</f>
        <v/>
      </c>
      <c r="O892" t="str">
        <f t="array" ref="O892">IF($A892="","",INDEX(JupData!$A$2:$K$10000,MATCH($A892&amp;O$1,JupData!$A$2:$A$10000&amp;JupData!$J$2:$J$10000,0),11))</f>
        <v/>
      </c>
      <c r="P892" t="str">
        <f t="array" ref="P892">IF($A892="","",INDEX(JupData!$A$2:$K$10000,MATCH($A892&amp;P$1,JupData!$A$2:$A$10000&amp;JupData!$J$2:$J$10000,0),11))</f>
        <v/>
      </c>
      <c r="Q892" t="str">
        <f t="array" ref="Q892">IF($A892="","",INDEX(JupData!$A$2:$K$10000,MATCH($A892&amp;Q$1,JupData!$A$2:$A$10000&amp;JupData!$J$2:$J$10000,0),11))</f>
        <v/>
      </c>
      <c r="R892" t="str">
        <f t="array" ref="R892">IF($A892="","",INDEX(JupData!$A$2:$K$10000,MATCH($A892&amp;R$1,JupData!$A$2:$A$10000&amp;JupData!$J$2:$J$10000,0),11))</f>
        <v/>
      </c>
      <c r="S892" t="str">
        <f t="array" ref="S892">IF($A892="","",INDEX(JupData!$A$2:$K$10000,MATCH($A892&amp;S$1,JupData!$A$2:$A$10000&amp;JupData!$J$2:$J$10000,0),11))</f>
        <v/>
      </c>
      <c r="T892" t="str">
        <f t="array" ref="T892">IF($A892="","",INDEX(JupData!$A$2:$K$10000,MATCH($A892&amp;T$1,JupData!$A$2:$A$10000&amp;JupData!$J$2:$J$10000,0),11))</f>
        <v/>
      </c>
      <c r="U892" t="str">
        <f t="array" ref="U892">IF($A892="","",INDEX(JupData!$A$2:$K$10000,MATCH($A892&amp;U$1,JupData!$A$2:$A$10000&amp;JupData!$J$2:$J$10000,0),11))</f>
        <v/>
      </c>
      <c r="V892" t="str">
        <f t="array" ref="V892">IF($A892="","",INDEX(JupData!$A$2:$K$10000,MATCH($A892&amp;V$1,JupData!$A$2:$A$10000&amp;JupData!$J$2:$J$10000,0),11))</f>
        <v/>
      </c>
      <c r="W892" t="str">
        <f t="array" ref="W892">IF($A892="","",INDEX(JupData!$A$2:$K$10000,MATCH($A892&amp;W$1,JupData!$A$2:$A$10000&amp;JupData!$J$2:$J$10000,0),11))</f>
        <v/>
      </c>
      <c r="X892" t="str">
        <f t="array" ref="X892">IF($A892="","",INDEX(JupData!$A$2:$K$10000,MATCH($A892&amp;X$1,JupData!$A$2:$A$10000&amp;JupData!$J$2:$J$10000,0),11))</f>
        <v/>
      </c>
      <c r="Y892" t="str">
        <f t="array" ref="Y892">IF($A892="","",INDEX(JupData!$A$2:$K$10000,MATCH($A892&amp;Y$1,JupData!$A$2:$A$10000&amp;JupData!$J$2:$J$10000,0),11))</f>
        <v/>
      </c>
      <c r="Z892" t="str">
        <f t="array" ref="Z892">IF($A892="","",INDEX(JupData!$A$2:$K$10000,MATCH($A892&amp;Z$1,JupData!$A$2:$A$10000&amp;JupData!$J$2:$J$10000,0),11))</f>
        <v/>
      </c>
      <c r="AA892" t="str">
        <f t="array" ref="AA892">IF($A892="","",INDEX(JupData!$A$2:$K$10000,MATCH($A892&amp;AA$1,JupData!$A$2:$A$10000&amp;JupData!$J$2:$J$10000,0),11))</f>
        <v/>
      </c>
      <c r="AB892" t="str">
        <f t="array" ref="AB892">IF($A892="","",INDEX(JupData!$A$2:$K$10000,MATCH($A892&amp;AB$1,JupData!$A$2:$A$10000&amp;JupData!$J$2:$J$10000,0),11))</f>
        <v/>
      </c>
      <c r="AC892" s="10" t="str">
        <f t="shared" si="143"/>
        <v/>
      </c>
      <c r="AD892" s="10" t="str">
        <f t="shared" si="144"/>
        <v/>
      </c>
      <c r="AE892" s="9" t="str">
        <f t="shared" si="145"/>
        <v/>
      </c>
      <c r="AF892" s="10" t="str">
        <f t="shared" si="146"/>
        <v/>
      </c>
      <c r="AG892" s="10" t="str">
        <f t="shared" si="147"/>
        <v/>
      </c>
      <c r="AH892" s="10" t="str">
        <f t="shared" si="148"/>
        <v/>
      </c>
      <c r="AI892" s="10" t="str">
        <f t="shared" si="149"/>
        <v/>
      </c>
      <c r="AJ892" s="10" t="str">
        <f t="shared" si="150"/>
        <v/>
      </c>
      <c r="AK892" s="10" t="str">
        <f t="shared" si="151"/>
        <v/>
      </c>
      <c r="AL892" s="14" t="str">
        <f t="shared" si="152"/>
        <v/>
      </c>
    </row>
    <row r="893" spans="1:38" x14ac:dyDescent="0.2">
      <c r="A893"/>
      <c r="B893" t="str">
        <f>IF($A893="","",VLOOKUP($A893,JupData!$A$2:$I$10000,4,FALSE))</f>
        <v/>
      </c>
      <c r="C893" s="7" t="str">
        <f>IF($A893="",IF(N(D893),0,""),VLOOKUP($A893,JupData!$A$2:$I$10000,7,FALSE))</f>
        <v/>
      </c>
      <c r="D893" t="str">
        <f t="shared" si="153"/>
        <v/>
      </c>
      <c r="E893" t="str">
        <f t="array" ref="E893">IF($A893="","",INDEX(JupData!$A$2:$K$10000,MATCH($A893&amp;E$1,JupData!$A$2:$A$10000&amp;JupData!$J$2:$J$10000,0),11))</f>
        <v/>
      </c>
      <c r="F893" t="str">
        <f t="array" ref="F893">IF($A893="","",INDEX(JupData!$A$2:$K$10000,MATCH($A893&amp;F$1,JupData!$A$2:$A$10000&amp;JupData!$J$2:$J$10000,0),11))</f>
        <v/>
      </c>
      <c r="G893" t="str">
        <f t="array" ref="G893">IF($A893="","",INDEX(JupData!$A$2:$K$10000,MATCH($A893&amp;G$1,JupData!$A$2:$A$10000&amp;JupData!$J$2:$J$10000,0),11))</f>
        <v/>
      </c>
      <c r="H893" t="str">
        <f t="array" ref="H893">IF($A893="","",INDEX(JupData!$A$2:$K$10000,MATCH($A893&amp;H$1,JupData!$A$2:$A$10000&amp;JupData!$J$2:$J$10000,0),11))</f>
        <v/>
      </c>
      <c r="I893" t="str">
        <f t="array" ref="I893">IF($A893="","",INDEX(JupData!$A$2:$K$10000,MATCH($A893&amp;I$1,JupData!$A$2:$A$10000&amp;JupData!$J$2:$J$10000,0),11))</f>
        <v/>
      </c>
      <c r="J893" t="str">
        <f t="array" ref="J893">IF($A893="","",INDEX(JupData!$A$2:$K$10000,MATCH($A893&amp;J$1,JupData!$A$2:$A$10000&amp;JupData!$J$2:$J$10000,0),11))</f>
        <v/>
      </c>
      <c r="K893" t="str">
        <f t="array" ref="K893">IF($A893="","",INDEX(JupData!$A$2:$K$10000,MATCH($A893&amp;K$1,JupData!$A$2:$A$10000&amp;JupData!$J$2:$J$10000,0),11))</f>
        <v/>
      </c>
      <c r="L893" t="str">
        <f t="array" ref="L893">IF($A893="","",INDEX(JupData!$A$2:$K$10000,MATCH($A893&amp;L$1,JupData!$A$2:$A$10000&amp;JupData!$J$2:$J$10000,0),11))</f>
        <v/>
      </c>
      <c r="M893" t="str">
        <f t="array" ref="M893">IF($A893="","",INDEX(JupData!$A$2:$K$10000,MATCH($A893&amp;M$1,JupData!$A$2:$A$10000&amp;JupData!$J$2:$J$10000,0),11))</f>
        <v/>
      </c>
      <c r="N893" t="str">
        <f t="array" ref="N893">IF($A893="","",INDEX(JupData!$A$2:$K$10000,MATCH($A893&amp;N$1,JupData!$A$2:$A$10000&amp;JupData!$J$2:$J$10000,0),11))</f>
        <v/>
      </c>
      <c r="O893" t="str">
        <f t="array" ref="O893">IF($A893="","",INDEX(JupData!$A$2:$K$10000,MATCH($A893&amp;O$1,JupData!$A$2:$A$10000&amp;JupData!$J$2:$J$10000,0),11))</f>
        <v/>
      </c>
      <c r="P893" t="str">
        <f t="array" ref="P893">IF($A893="","",INDEX(JupData!$A$2:$K$10000,MATCH($A893&amp;P$1,JupData!$A$2:$A$10000&amp;JupData!$J$2:$J$10000,0),11))</f>
        <v/>
      </c>
      <c r="Q893" t="str">
        <f t="array" ref="Q893">IF($A893="","",INDEX(JupData!$A$2:$K$10000,MATCH($A893&amp;Q$1,JupData!$A$2:$A$10000&amp;JupData!$J$2:$J$10000,0),11))</f>
        <v/>
      </c>
      <c r="R893" t="str">
        <f t="array" ref="R893">IF($A893="","",INDEX(JupData!$A$2:$K$10000,MATCH($A893&amp;R$1,JupData!$A$2:$A$10000&amp;JupData!$J$2:$J$10000,0),11))</f>
        <v/>
      </c>
      <c r="S893" t="str">
        <f t="array" ref="S893">IF($A893="","",INDEX(JupData!$A$2:$K$10000,MATCH($A893&amp;S$1,JupData!$A$2:$A$10000&amp;JupData!$J$2:$J$10000,0),11))</f>
        <v/>
      </c>
      <c r="T893" t="str">
        <f t="array" ref="T893">IF($A893="","",INDEX(JupData!$A$2:$K$10000,MATCH($A893&amp;T$1,JupData!$A$2:$A$10000&amp;JupData!$J$2:$J$10000,0),11))</f>
        <v/>
      </c>
      <c r="U893" t="str">
        <f t="array" ref="U893">IF($A893="","",INDEX(JupData!$A$2:$K$10000,MATCH($A893&amp;U$1,JupData!$A$2:$A$10000&amp;JupData!$J$2:$J$10000,0),11))</f>
        <v/>
      </c>
      <c r="V893" t="str">
        <f t="array" ref="V893">IF($A893="","",INDEX(JupData!$A$2:$K$10000,MATCH($A893&amp;V$1,JupData!$A$2:$A$10000&amp;JupData!$J$2:$J$10000,0),11))</f>
        <v/>
      </c>
      <c r="W893" t="str">
        <f t="array" ref="W893">IF($A893="","",INDEX(JupData!$A$2:$K$10000,MATCH($A893&amp;W$1,JupData!$A$2:$A$10000&amp;JupData!$J$2:$J$10000,0),11))</f>
        <v/>
      </c>
      <c r="X893" t="str">
        <f t="array" ref="X893">IF($A893="","",INDEX(JupData!$A$2:$K$10000,MATCH($A893&amp;X$1,JupData!$A$2:$A$10000&amp;JupData!$J$2:$J$10000,0),11))</f>
        <v/>
      </c>
      <c r="Y893" t="str">
        <f t="array" ref="Y893">IF($A893="","",INDEX(JupData!$A$2:$K$10000,MATCH($A893&amp;Y$1,JupData!$A$2:$A$10000&amp;JupData!$J$2:$J$10000,0),11))</f>
        <v/>
      </c>
      <c r="Z893" t="str">
        <f t="array" ref="Z893">IF($A893="","",INDEX(JupData!$A$2:$K$10000,MATCH($A893&amp;Z$1,JupData!$A$2:$A$10000&amp;JupData!$J$2:$J$10000,0),11))</f>
        <v/>
      </c>
      <c r="AA893" t="str">
        <f t="array" ref="AA893">IF($A893="","",INDEX(JupData!$A$2:$K$10000,MATCH($A893&amp;AA$1,JupData!$A$2:$A$10000&amp;JupData!$J$2:$J$10000,0),11))</f>
        <v/>
      </c>
      <c r="AB893" t="str">
        <f t="array" ref="AB893">IF($A893="","",INDEX(JupData!$A$2:$K$10000,MATCH($A893&amp;AB$1,JupData!$A$2:$A$10000&amp;JupData!$J$2:$J$10000,0),11))</f>
        <v/>
      </c>
      <c r="AC893" s="10" t="str">
        <f t="shared" si="143"/>
        <v/>
      </c>
      <c r="AD893" s="10" t="str">
        <f t="shared" si="144"/>
        <v/>
      </c>
      <c r="AE893" s="9" t="str">
        <f t="shared" si="145"/>
        <v/>
      </c>
      <c r="AF893" s="10" t="str">
        <f t="shared" si="146"/>
        <v/>
      </c>
      <c r="AG893" s="10" t="str">
        <f t="shared" si="147"/>
        <v/>
      </c>
      <c r="AH893" s="10" t="str">
        <f t="shared" si="148"/>
        <v/>
      </c>
      <c r="AI893" s="10" t="str">
        <f t="shared" si="149"/>
        <v/>
      </c>
      <c r="AJ893" s="10" t="str">
        <f t="shared" si="150"/>
        <v/>
      </c>
      <c r="AK893" s="10" t="str">
        <f t="shared" si="151"/>
        <v/>
      </c>
      <c r="AL893" s="14" t="str">
        <f t="shared" si="152"/>
        <v/>
      </c>
    </row>
    <row r="894" spans="1:38" x14ac:dyDescent="0.2">
      <c r="A894"/>
      <c r="B894" t="str">
        <f>IF($A894="","",VLOOKUP($A894,JupData!$A$2:$I$10000,4,FALSE))</f>
        <v/>
      </c>
      <c r="C894" s="7" t="str">
        <f>IF($A894="",IF(N(D894),0,""),VLOOKUP($A894,JupData!$A$2:$I$10000,7,FALSE))</f>
        <v/>
      </c>
      <c r="D894" t="str">
        <f t="shared" si="153"/>
        <v/>
      </c>
      <c r="E894" t="str">
        <f t="array" ref="E894">IF($A894="","",INDEX(JupData!$A$2:$K$10000,MATCH($A894&amp;E$1,JupData!$A$2:$A$10000&amp;JupData!$J$2:$J$10000,0),11))</f>
        <v/>
      </c>
      <c r="F894" t="str">
        <f t="array" ref="F894">IF($A894="","",INDEX(JupData!$A$2:$K$10000,MATCH($A894&amp;F$1,JupData!$A$2:$A$10000&amp;JupData!$J$2:$J$10000,0),11))</f>
        <v/>
      </c>
      <c r="G894" t="str">
        <f t="array" ref="G894">IF($A894="","",INDEX(JupData!$A$2:$K$10000,MATCH($A894&amp;G$1,JupData!$A$2:$A$10000&amp;JupData!$J$2:$J$10000,0),11))</f>
        <v/>
      </c>
      <c r="H894" t="str">
        <f t="array" ref="H894">IF($A894="","",INDEX(JupData!$A$2:$K$10000,MATCH($A894&amp;H$1,JupData!$A$2:$A$10000&amp;JupData!$J$2:$J$10000,0),11))</f>
        <v/>
      </c>
      <c r="I894" t="str">
        <f t="array" ref="I894">IF($A894="","",INDEX(JupData!$A$2:$K$10000,MATCH($A894&amp;I$1,JupData!$A$2:$A$10000&amp;JupData!$J$2:$J$10000,0),11))</f>
        <v/>
      </c>
      <c r="J894" t="str">
        <f t="array" ref="J894">IF($A894="","",INDEX(JupData!$A$2:$K$10000,MATCH($A894&amp;J$1,JupData!$A$2:$A$10000&amp;JupData!$J$2:$J$10000,0),11))</f>
        <v/>
      </c>
      <c r="K894" t="str">
        <f t="array" ref="K894">IF($A894="","",INDEX(JupData!$A$2:$K$10000,MATCH($A894&amp;K$1,JupData!$A$2:$A$10000&amp;JupData!$J$2:$J$10000,0),11))</f>
        <v/>
      </c>
      <c r="L894" t="str">
        <f t="array" ref="L894">IF($A894="","",INDEX(JupData!$A$2:$K$10000,MATCH($A894&amp;L$1,JupData!$A$2:$A$10000&amp;JupData!$J$2:$J$10000,0),11))</f>
        <v/>
      </c>
      <c r="M894" t="str">
        <f t="array" ref="M894">IF($A894="","",INDEX(JupData!$A$2:$K$10000,MATCH($A894&amp;M$1,JupData!$A$2:$A$10000&amp;JupData!$J$2:$J$10000,0),11))</f>
        <v/>
      </c>
      <c r="N894" t="str">
        <f t="array" ref="N894">IF($A894="","",INDEX(JupData!$A$2:$K$10000,MATCH($A894&amp;N$1,JupData!$A$2:$A$10000&amp;JupData!$J$2:$J$10000,0),11))</f>
        <v/>
      </c>
      <c r="O894" t="str">
        <f t="array" ref="O894">IF($A894="","",INDEX(JupData!$A$2:$K$10000,MATCH($A894&amp;O$1,JupData!$A$2:$A$10000&amp;JupData!$J$2:$J$10000,0),11))</f>
        <v/>
      </c>
      <c r="P894" t="str">
        <f t="array" ref="P894">IF($A894="","",INDEX(JupData!$A$2:$K$10000,MATCH($A894&amp;P$1,JupData!$A$2:$A$10000&amp;JupData!$J$2:$J$10000,0),11))</f>
        <v/>
      </c>
      <c r="Q894" t="str">
        <f t="array" ref="Q894">IF($A894="","",INDEX(JupData!$A$2:$K$10000,MATCH($A894&amp;Q$1,JupData!$A$2:$A$10000&amp;JupData!$J$2:$J$10000,0),11))</f>
        <v/>
      </c>
      <c r="R894" t="str">
        <f t="array" ref="R894">IF($A894="","",INDEX(JupData!$A$2:$K$10000,MATCH($A894&amp;R$1,JupData!$A$2:$A$10000&amp;JupData!$J$2:$J$10000,0),11))</f>
        <v/>
      </c>
      <c r="S894" t="str">
        <f t="array" ref="S894">IF($A894="","",INDEX(JupData!$A$2:$K$10000,MATCH($A894&amp;S$1,JupData!$A$2:$A$10000&amp;JupData!$J$2:$J$10000,0),11))</f>
        <v/>
      </c>
      <c r="T894" t="str">
        <f t="array" ref="T894">IF($A894="","",INDEX(JupData!$A$2:$K$10000,MATCH($A894&amp;T$1,JupData!$A$2:$A$10000&amp;JupData!$J$2:$J$10000,0),11))</f>
        <v/>
      </c>
      <c r="U894" t="str">
        <f t="array" ref="U894">IF($A894="","",INDEX(JupData!$A$2:$K$10000,MATCH($A894&amp;U$1,JupData!$A$2:$A$10000&amp;JupData!$J$2:$J$10000,0),11))</f>
        <v/>
      </c>
      <c r="V894" t="str">
        <f t="array" ref="V894">IF($A894="","",INDEX(JupData!$A$2:$K$10000,MATCH($A894&amp;V$1,JupData!$A$2:$A$10000&amp;JupData!$J$2:$J$10000,0),11))</f>
        <v/>
      </c>
      <c r="W894" t="str">
        <f t="array" ref="W894">IF($A894="","",INDEX(JupData!$A$2:$K$10000,MATCH($A894&amp;W$1,JupData!$A$2:$A$10000&amp;JupData!$J$2:$J$10000,0),11))</f>
        <v/>
      </c>
      <c r="X894" t="str">
        <f t="array" ref="X894">IF($A894="","",INDEX(JupData!$A$2:$K$10000,MATCH($A894&amp;X$1,JupData!$A$2:$A$10000&amp;JupData!$J$2:$J$10000,0),11))</f>
        <v/>
      </c>
      <c r="Y894" t="str">
        <f t="array" ref="Y894">IF($A894="","",INDEX(JupData!$A$2:$K$10000,MATCH($A894&amp;Y$1,JupData!$A$2:$A$10000&amp;JupData!$J$2:$J$10000,0),11))</f>
        <v/>
      </c>
      <c r="Z894" t="str">
        <f t="array" ref="Z894">IF($A894="","",INDEX(JupData!$A$2:$K$10000,MATCH($A894&amp;Z$1,JupData!$A$2:$A$10000&amp;JupData!$J$2:$J$10000,0),11))</f>
        <v/>
      </c>
      <c r="AA894" t="str">
        <f t="array" ref="AA894">IF($A894="","",INDEX(JupData!$A$2:$K$10000,MATCH($A894&amp;AA$1,JupData!$A$2:$A$10000&amp;JupData!$J$2:$J$10000,0),11))</f>
        <v/>
      </c>
      <c r="AB894" t="str">
        <f t="array" ref="AB894">IF($A894="","",INDEX(JupData!$A$2:$K$10000,MATCH($A894&amp;AB$1,JupData!$A$2:$A$10000&amp;JupData!$J$2:$J$10000,0),11))</f>
        <v/>
      </c>
      <c r="AC894" s="10" t="str">
        <f t="shared" si="143"/>
        <v/>
      </c>
      <c r="AD894" s="10" t="str">
        <f t="shared" si="144"/>
        <v/>
      </c>
      <c r="AE894" s="9" t="str">
        <f t="shared" si="145"/>
        <v/>
      </c>
      <c r="AF894" s="10" t="str">
        <f t="shared" si="146"/>
        <v/>
      </c>
      <c r="AG894" s="10" t="str">
        <f t="shared" si="147"/>
        <v/>
      </c>
      <c r="AH894" s="10" t="str">
        <f t="shared" si="148"/>
        <v/>
      </c>
      <c r="AI894" s="10" t="str">
        <f t="shared" si="149"/>
        <v/>
      </c>
      <c r="AJ894" s="10" t="str">
        <f t="shared" si="150"/>
        <v/>
      </c>
      <c r="AK894" s="10" t="str">
        <f t="shared" si="151"/>
        <v/>
      </c>
      <c r="AL894" s="14" t="str">
        <f t="shared" si="152"/>
        <v/>
      </c>
    </row>
    <row r="895" spans="1:38" x14ac:dyDescent="0.2">
      <c r="A895"/>
      <c r="B895" t="str">
        <f>IF($A895="","",VLOOKUP($A895,JupData!$A$2:$I$10000,4,FALSE))</f>
        <v/>
      </c>
      <c r="C895" s="7" t="str">
        <f>IF($A895="",IF(N(D895),0,""),VLOOKUP($A895,JupData!$A$2:$I$10000,7,FALSE))</f>
        <v/>
      </c>
      <c r="D895" t="str">
        <f t="shared" si="153"/>
        <v/>
      </c>
      <c r="E895" t="str">
        <f t="array" ref="E895">IF($A895="","",INDEX(JupData!$A$2:$K$10000,MATCH($A895&amp;E$1,JupData!$A$2:$A$10000&amp;JupData!$J$2:$J$10000,0),11))</f>
        <v/>
      </c>
      <c r="F895" t="str">
        <f t="array" ref="F895">IF($A895="","",INDEX(JupData!$A$2:$K$10000,MATCH($A895&amp;F$1,JupData!$A$2:$A$10000&amp;JupData!$J$2:$J$10000,0),11))</f>
        <v/>
      </c>
      <c r="G895" t="str">
        <f t="array" ref="G895">IF($A895="","",INDEX(JupData!$A$2:$K$10000,MATCH($A895&amp;G$1,JupData!$A$2:$A$10000&amp;JupData!$J$2:$J$10000,0),11))</f>
        <v/>
      </c>
      <c r="H895" t="str">
        <f t="array" ref="H895">IF($A895="","",INDEX(JupData!$A$2:$K$10000,MATCH($A895&amp;H$1,JupData!$A$2:$A$10000&amp;JupData!$J$2:$J$10000,0),11))</f>
        <v/>
      </c>
      <c r="I895" t="str">
        <f t="array" ref="I895">IF($A895="","",INDEX(JupData!$A$2:$K$10000,MATCH($A895&amp;I$1,JupData!$A$2:$A$10000&amp;JupData!$J$2:$J$10000,0),11))</f>
        <v/>
      </c>
      <c r="J895" t="str">
        <f t="array" ref="J895">IF($A895="","",INDEX(JupData!$A$2:$K$10000,MATCH($A895&amp;J$1,JupData!$A$2:$A$10000&amp;JupData!$J$2:$J$10000,0),11))</f>
        <v/>
      </c>
      <c r="K895" t="str">
        <f t="array" ref="K895">IF($A895="","",INDEX(JupData!$A$2:$K$10000,MATCH($A895&amp;K$1,JupData!$A$2:$A$10000&amp;JupData!$J$2:$J$10000,0),11))</f>
        <v/>
      </c>
      <c r="L895" t="str">
        <f t="array" ref="L895">IF($A895="","",INDEX(JupData!$A$2:$K$10000,MATCH($A895&amp;L$1,JupData!$A$2:$A$10000&amp;JupData!$J$2:$J$10000,0),11))</f>
        <v/>
      </c>
      <c r="M895" t="str">
        <f t="array" ref="M895">IF($A895="","",INDEX(JupData!$A$2:$K$10000,MATCH($A895&amp;M$1,JupData!$A$2:$A$10000&amp;JupData!$J$2:$J$10000,0),11))</f>
        <v/>
      </c>
      <c r="N895" t="str">
        <f t="array" ref="N895">IF($A895="","",INDEX(JupData!$A$2:$K$10000,MATCH($A895&amp;N$1,JupData!$A$2:$A$10000&amp;JupData!$J$2:$J$10000,0),11))</f>
        <v/>
      </c>
      <c r="O895" t="str">
        <f t="array" ref="O895">IF($A895="","",INDEX(JupData!$A$2:$K$10000,MATCH($A895&amp;O$1,JupData!$A$2:$A$10000&amp;JupData!$J$2:$J$10000,0),11))</f>
        <v/>
      </c>
      <c r="P895" t="str">
        <f t="array" ref="P895">IF($A895="","",INDEX(JupData!$A$2:$K$10000,MATCH($A895&amp;P$1,JupData!$A$2:$A$10000&amp;JupData!$J$2:$J$10000,0),11))</f>
        <v/>
      </c>
      <c r="Q895" t="str">
        <f t="array" ref="Q895">IF($A895="","",INDEX(JupData!$A$2:$K$10000,MATCH($A895&amp;Q$1,JupData!$A$2:$A$10000&amp;JupData!$J$2:$J$10000,0),11))</f>
        <v/>
      </c>
      <c r="R895" t="str">
        <f t="array" ref="R895">IF($A895="","",INDEX(JupData!$A$2:$K$10000,MATCH($A895&amp;R$1,JupData!$A$2:$A$10000&amp;JupData!$J$2:$J$10000,0),11))</f>
        <v/>
      </c>
      <c r="S895" t="str">
        <f t="array" ref="S895">IF($A895="","",INDEX(JupData!$A$2:$K$10000,MATCH($A895&amp;S$1,JupData!$A$2:$A$10000&amp;JupData!$J$2:$J$10000,0),11))</f>
        <v/>
      </c>
      <c r="T895" t="str">
        <f t="array" ref="T895">IF($A895="","",INDEX(JupData!$A$2:$K$10000,MATCH($A895&amp;T$1,JupData!$A$2:$A$10000&amp;JupData!$J$2:$J$10000,0),11))</f>
        <v/>
      </c>
      <c r="U895" t="str">
        <f t="array" ref="U895">IF($A895="","",INDEX(JupData!$A$2:$K$10000,MATCH($A895&amp;U$1,JupData!$A$2:$A$10000&amp;JupData!$J$2:$J$10000,0),11))</f>
        <v/>
      </c>
      <c r="V895" t="str">
        <f t="array" ref="V895">IF($A895="","",INDEX(JupData!$A$2:$K$10000,MATCH($A895&amp;V$1,JupData!$A$2:$A$10000&amp;JupData!$J$2:$J$10000,0),11))</f>
        <v/>
      </c>
      <c r="W895" t="str">
        <f t="array" ref="W895">IF($A895="","",INDEX(JupData!$A$2:$K$10000,MATCH($A895&amp;W$1,JupData!$A$2:$A$10000&amp;JupData!$J$2:$J$10000,0),11))</f>
        <v/>
      </c>
      <c r="X895" t="str">
        <f t="array" ref="X895">IF($A895="","",INDEX(JupData!$A$2:$K$10000,MATCH($A895&amp;X$1,JupData!$A$2:$A$10000&amp;JupData!$J$2:$J$10000,0),11))</f>
        <v/>
      </c>
      <c r="Y895" t="str">
        <f t="array" ref="Y895">IF($A895="","",INDEX(JupData!$A$2:$K$10000,MATCH($A895&amp;Y$1,JupData!$A$2:$A$10000&amp;JupData!$J$2:$J$10000,0),11))</f>
        <v/>
      </c>
      <c r="Z895" t="str">
        <f t="array" ref="Z895">IF($A895="","",INDEX(JupData!$A$2:$K$10000,MATCH($A895&amp;Z$1,JupData!$A$2:$A$10000&amp;JupData!$J$2:$J$10000,0),11))</f>
        <v/>
      </c>
      <c r="AA895" t="str">
        <f t="array" ref="AA895">IF($A895="","",INDEX(JupData!$A$2:$K$10000,MATCH($A895&amp;AA$1,JupData!$A$2:$A$10000&amp;JupData!$J$2:$J$10000,0),11))</f>
        <v/>
      </c>
      <c r="AB895" t="str">
        <f t="array" ref="AB895">IF($A895="","",INDEX(JupData!$A$2:$K$10000,MATCH($A895&amp;AB$1,JupData!$A$2:$A$10000&amp;JupData!$J$2:$J$10000,0),11))</f>
        <v/>
      </c>
      <c r="AC895" s="10" t="str">
        <f t="shared" si="143"/>
        <v/>
      </c>
      <c r="AD895" s="10" t="str">
        <f t="shared" si="144"/>
        <v/>
      </c>
      <c r="AE895" s="9" t="str">
        <f t="shared" si="145"/>
        <v/>
      </c>
      <c r="AF895" s="10" t="str">
        <f t="shared" si="146"/>
        <v/>
      </c>
      <c r="AG895" s="10" t="str">
        <f t="shared" si="147"/>
        <v/>
      </c>
      <c r="AH895" s="10" t="str">
        <f t="shared" si="148"/>
        <v/>
      </c>
      <c r="AI895" s="10" t="str">
        <f t="shared" si="149"/>
        <v/>
      </c>
      <c r="AJ895" s="10" t="str">
        <f t="shared" si="150"/>
        <v/>
      </c>
      <c r="AK895" s="10" t="str">
        <f t="shared" si="151"/>
        <v/>
      </c>
      <c r="AL895" s="14" t="str">
        <f t="shared" si="152"/>
        <v/>
      </c>
    </row>
    <row r="896" spans="1:38" x14ac:dyDescent="0.2">
      <c r="A896"/>
      <c r="B896" t="str">
        <f>IF($A896="","",VLOOKUP($A896,JupData!$A$2:$I$10000,4,FALSE))</f>
        <v/>
      </c>
      <c r="C896" s="7" t="str">
        <f>IF($A896="",IF(N(D896),0,""),VLOOKUP($A896,JupData!$A$2:$I$10000,7,FALSE))</f>
        <v/>
      </c>
      <c r="D896" t="str">
        <f t="shared" si="153"/>
        <v/>
      </c>
      <c r="E896" t="str">
        <f t="array" ref="E896">IF($A896="","",INDEX(JupData!$A$2:$K$10000,MATCH($A896&amp;E$1,JupData!$A$2:$A$10000&amp;JupData!$J$2:$J$10000,0),11))</f>
        <v/>
      </c>
      <c r="F896" t="str">
        <f t="array" ref="F896">IF($A896="","",INDEX(JupData!$A$2:$K$10000,MATCH($A896&amp;F$1,JupData!$A$2:$A$10000&amp;JupData!$J$2:$J$10000,0),11))</f>
        <v/>
      </c>
      <c r="G896" t="str">
        <f t="array" ref="G896">IF($A896="","",INDEX(JupData!$A$2:$K$10000,MATCH($A896&amp;G$1,JupData!$A$2:$A$10000&amp;JupData!$J$2:$J$10000,0),11))</f>
        <v/>
      </c>
      <c r="H896" t="str">
        <f t="array" ref="H896">IF($A896="","",INDEX(JupData!$A$2:$K$10000,MATCH($A896&amp;H$1,JupData!$A$2:$A$10000&amp;JupData!$J$2:$J$10000,0),11))</f>
        <v/>
      </c>
      <c r="I896" t="str">
        <f t="array" ref="I896">IF($A896="","",INDEX(JupData!$A$2:$K$10000,MATCH($A896&amp;I$1,JupData!$A$2:$A$10000&amp;JupData!$J$2:$J$10000,0),11))</f>
        <v/>
      </c>
      <c r="J896" t="str">
        <f t="array" ref="J896">IF($A896="","",INDEX(JupData!$A$2:$K$10000,MATCH($A896&amp;J$1,JupData!$A$2:$A$10000&amp;JupData!$J$2:$J$10000,0),11))</f>
        <v/>
      </c>
      <c r="K896" t="str">
        <f t="array" ref="K896">IF($A896="","",INDEX(JupData!$A$2:$K$10000,MATCH($A896&amp;K$1,JupData!$A$2:$A$10000&amp;JupData!$J$2:$J$10000,0),11))</f>
        <v/>
      </c>
      <c r="L896" t="str">
        <f t="array" ref="L896">IF($A896="","",INDEX(JupData!$A$2:$K$10000,MATCH($A896&amp;L$1,JupData!$A$2:$A$10000&amp;JupData!$J$2:$J$10000,0),11))</f>
        <v/>
      </c>
      <c r="M896" t="str">
        <f t="array" ref="M896">IF($A896="","",INDEX(JupData!$A$2:$K$10000,MATCH($A896&amp;M$1,JupData!$A$2:$A$10000&amp;JupData!$J$2:$J$10000,0),11))</f>
        <v/>
      </c>
      <c r="N896" t="str">
        <f t="array" ref="N896">IF($A896="","",INDEX(JupData!$A$2:$K$10000,MATCH($A896&amp;N$1,JupData!$A$2:$A$10000&amp;JupData!$J$2:$J$10000,0),11))</f>
        <v/>
      </c>
      <c r="O896" t="str">
        <f t="array" ref="O896">IF($A896="","",INDEX(JupData!$A$2:$K$10000,MATCH($A896&amp;O$1,JupData!$A$2:$A$10000&amp;JupData!$J$2:$J$10000,0),11))</f>
        <v/>
      </c>
      <c r="P896" t="str">
        <f t="array" ref="P896">IF($A896="","",INDEX(JupData!$A$2:$K$10000,MATCH($A896&amp;P$1,JupData!$A$2:$A$10000&amp;JupData!$J$2:$J$10000,0),11))</f>
        <v/>
      </c>
      <c r="Q896" t="str">
        <f t="array" ref="Q896">IF($A896="","",INDEX(JupData!$A$2:$K$10000,MATCH($A896&amp;Q$1,JupData!$A$2:$A$10000&amp;JupData!$J$2:$J$10000,0),11))</f>
        <v/>
      </c>
      <c r="R896" t="str">
        <f t="array" ref="R896">IF($A896="","",INDEX(JupData!$A$2:$K$10000,MATCH($A896&amp;R$1,JupData!$A$2:$A$10000&amp;JupData!$J$2:$J$10000,0),11))</f>
        <v/>
      </c>
      <c r="S896" t="str">
        <f t="array" ref="S896">IF($A896="","",INDEX(JupData!$A$2:$K$10000,MATCH($A896&amp;S$1,JupData!$A$2:$A$10000&amp;JupData!$J$2:$J$10000,0),11))</f>
        <v/>
      </c>
      <c r="T896" t="str">
        <f t="array" ref="T896">IF($A896="","",INDEX(JupData!$A$2:$K$10000,MATCH($A896&amp;T$1,JupData!$A$2:$A$10000&amp;JupData!$J$2:$J$10000,0),11))</f>
        <v/>
      </c>
      <c r="U896" t="str">
        <f t="array" ref="U896">IF($A896="","",INDEX(JupData!$A$2:$K$10000,MATCH($A896&amp;U$1,JupData!$A$2:$A$10000&amp;JupData!$J$2:$J$10000,0),11))</f>
        <v/>
      </c>
      <c r="V896" t="str">
        <f t="array" ref="V896">IF($A896="","",INDEX(JupData!$A$2:$K$10000,MATCH($A896&amp;V$1,JupData!$A$2:$A$10000&amp;JupData!$J$2:$J$10000,0),11))</f>
        <v/>
      </c>
      <c r="W896" t="str">
        <f t="array" ref="W896">IF($A896="","",INDEX(JupData!$A$2:$K$10000,MATCH($A896&amp;W$1,JupData!$A$2:$A$10000&amp;JupData!$J$2:$J$10000,0),11))</f>
        <v/>
      </c>
      <c r="X896" t="str">
        <f t="array" ref="X896">IF($A896="","",INDEX(JupData!$A$2:$K$10000,MATCH($A896&amp;X$1,JupData!$A$2:$A$10000&amp;JupData!$J$2:$J$10000,0),11))</f>
        <v/>
      </c>
      <c r="Y896" t="str">
        <f t="array" ref="Y896">IF($A896="","",INDEX(JupData!$A$2:$K$10000,MATCH($A896&amp;Y$1,JupData!$A$2:$A$10000&amp;JupData!$J$2:$J$10000,0),11))</f>
        <v/>
      </c>
      <c r="Z896" t="str">
        <f t="array" ref="Z896">IF($A896="","",INDEX(JupData!$A$2:$K$10000,MATCH($A896&amp;Z$1,JupData!$A$2:$A$10000&amp;JupData!$J$2:$J$10000,0),11))</f>
        <v/>
      </c>
      <c r="AA896" t="str">
        <f t="array" ref="AA896">IF($A896="","",INDEX(JupData!$A$2:$K$10000,MATCH($A896&amp;AA$1,JupData!$A$2:$A$10000&amp;JupData!$J$2:$J$10000,0),11))</f>
        <v/>
      </c>
      <c r="AB896" t="str">
        <f t="array" ref="AB896">IF($A896="","",INDEX(JupData!$A$2:$K$10000,MATCH($A896&amp;AB$1,JupData!$A$2:$A$10000&amp;JupData!$J$2:$J$10000,0),11))</f>
        <v/>
      </c>
      <c r="AC896" s="10" t="str">
        <f t="shared" si="143"/>
        <v/>
      </c>
      <c r="AD896" s="10" t="str">
        <f t="shared" si="144"/>
        <v/>
      </c>
      <c r="AE896" s="9" t="str">
        <f t="shared" si="145"/>
        <v/>
      </c>
      <c r="AF896" s="10" t="str">
        <f t="shared" si="146"/>
        <v/>
      </c>
      <c r="AG896" s="10" t="str">
        <f t="shared" si="147"/>
        <v/>
      </c>
      <c r="AH896" s="10" t="str">
        <f t="shared" si="148"/>
        <v/>
      </c>
      <c r="AI896" s="10" t="str">
        <f t="shared" si="149"/>
        <v/>
      </c>
      <c r="AJ896" s="10" t="str">
        <f t="shared" si="150"/>
        <v/>
      </c>
      <c r="AK896" s="10" t="str">
        <f t="shared" si="151"/>
        <v/>
      </c>
      <c r="AL896" s="14" t="str">
        <f t="shared" si="152"/>
        <v/>
      </c>
    </row>
    <row r="897" spans="1:38" x14ac:dyDescent="0.2">
      <c r="A897"/>
      <c r="B897" t="str">
        <f>IF($A897="","",VLOOKUP($A897,JupData!$A$2:$I$10000,4,FALSE))</f>
        <v/>
      </c>
      <c r="C897" s="7" t="str">
        <f>IF($A897="",IF(N(D897),0,""),VLOOKUP($A897,JupData!$A$2:$I$10000,7,FALSE))</f>
        <v/>
      </c>
      <c r="D897" t="str">
        <f t="shared" si="153"/>
        <v/>
      </c>
      <c r="E897" t="str">
        <f t="array" ref="E897">IF($A897="","",INDEX(JupData!$A$2:$K$10000,MATCH($A897&amp;E$1,JupData!$A$2:$A$10000&amp;JupData!$J$2:$J$10000,0),11))</f>
        <v/>
      </c>
      <c r="F897" t="str">
        <f t="array" ref="F897">IF($A897="","",INDEX(JupData!$A$2:$K$10000,MATCH($A897&amp;F$1,JupData!$A$2:$A$10000&amp;JupData!$J$2:$J$10000,0),11))</f>
        <v/>
      </c>
      <c r="G897" t="str">
        <f t="array" ref="G897">IF($A897="","",INDEX(JupData!$A$2:$K$10000,MATCH($A897&amp;G$1,JupData!$A$2:$A$10000&amp;JupData!$J$2:$J$10000,0),11))</f>
        <v/>
      </c>
      <c r="H897" t="str">
        <f t="array" ref="H897">IF($A897="","",INDEX(JupData!$A$2:$K$10000,MATCH($A897&amp;H$1,JupData!$A$2:$A$10000&amp;JupData!$J$2:$J$10000,0),11))</f>
        <v/>
      </c>
      <c r="I897" t="str">
        <f t="array" ref="I897">IF($A897="","",INDEX(JupData!$A$2:$K$10000,MATCH($A897&amp;I$1,JupData!$A$2:$A$10000&amp;JupData!$J$2:$J$10000,0),11))</f>
        <v/>
      </c>
      <c r="J897" t="str">
        <f t="array" ref="J897">IF($A897="","",INDEX(JupData!$A$2:$K$10000,MATCH($A897&amp;J$1,JupData!$A$2:$A$10000&amp;JupData!$J$2:$J$10000,0),11))</f>
        <v/>
      </c>
      <c r="K897" t="str">
        <f t="array" ref="K897">IF($A897="","",INDEX(JupData!$A$2:$K$10000,MATCH($A897&amp;K$1,JupData!$A$2:$A$10000&amp;JupData!$J$2:$J$10000,0),11))</f>
        <v/>
      </c>
      <c r="L897" t="str">
        <f t="array" ref="L897">IF($A897="","",INDEX(JupData!$A$2:$K$10000,MATCH($A897&amp;L$1,JupData!$A$2:$A$10000&amp;JupData!$J$2:$J$10000,0),11))</f>
        <v/>
      </c>
      <c r="M897" t="str">
        <f t="array" ref="M897">IF($A897="","",INDEX(JupData!$A$2:$K$10000,MATCH($A897&amp;M$1,JupData!$A$2:$A$10000&amp;JupData!$J$2:$J$10000,0),11))</f>
        <v/>
      </c>
      <c r="N897" t="str">
        <f t="array" ref="N897">IF($A897="","",INDEX(JupData!$A$2:$K$10000,MATCH($A897&amp;N$1,JupData!$A$2:$A$10000&amp;JupData!$J$2:$J$10000,0),11))</f>
        <v/>
      </c>
      <c r="O897" t="str">
        <f t="array" ref="O897">IF($A897="","",INDEX(JupData!$A$2:$K$10000,MATCH($A897&amp;O$1,JupData!$A$2:$A$10000&amp;JupData!$J$2:$J$10000,0),11))</f>
        <v/>
      </c>
      <c r="P897" t="str">
        <f t="array" ref="P897">IF($A897="","",INDEX(JupData!$A$2:$K$10000,MATCH($A897&amp;P$1,JupData!$A$2:$A$10000&amp;JupData!$J$2:$J$10000,0),11))</f>
        <v/>
      </c>
      <c r="Q897" t="str">
        <f t="array" ref="Q897">IF($A897="","",INDEX(JupData!$A$2:$K$10000,MATCH($A897&amp;Q$1,JupData!$A$2:$A$10000&amp;JupData!$J$2:$J$10000,0),11))</f>
        <v/>
      </c>
      <c r="R897" t="str">
        <f t="array" ref="R897">IF($A897="","",INDEX(JupData!$A$2:$K$10000,MATCH($A897&amp;R$1,JupData!$A$2:$A$10000&amp;JupData!$J$2:$J$10000,0),11))</f>
        <v/>
      </c>
      <c r="S897" t="str">
        <f t="array" ref="S897">IF($A897="","",INDEX(JupData!$A$2:$K$10000,MATCH($A897&amp;S$1,JupData!$A$2:$A$10000&amp;JupData!$J$2:$J$10000,0),11))</f>
        <v/>
      </c>
      <c r="T897" t="str">
        <f t="array" ref="T897">IF($A897="","",INDEX(JupData!$A$2:$K$10000,MATCH($A897&amp;T$1,JupData!$A$2:$A$10000&amp;JupData!$J$2:$J$10000,0),11))</f>
        <v/>
      </c>
      <c r="U897" t="str">
        <f t="array" ref="U897">IF($A897="","",INDEX(JupData!$A$2:$K$10000,MATCH($A897&amp;U$1,JupData!$A$2:$A$10000&amp;JupData!$J$2:$J$10000,0),11))</f>
        <v/>
      </c>
      <c r="V897" t="str">
        <f t="array" ref="V897">IF($A897="","",INDEX(JupData!$A$2:$K$10000,MATCH($A897&amp;V$1,JupData!$A$2:$A$10000&amp;JupData!$J$2:$J$10000,0),11))</f>
        <v/>
      </c>
      <c r="W897" t="str">
        <f t="array" ref="W897">IF($A897="","",INDEX(JupData!$A$2:$K$10000,MATCH($A897&amp;W$1,JupData!$A$2:$A$10000&amp;JupData!$J$2:$J$10000,0),11))</f>
        <v/>
      </c>
      <c r="X897" t="str">
        <f t="array" ref="X897">IF($A897="","",INDEX(JupData!$A$2:$K$10000,MATCH($A897&amp;X$1,JupData!$A$2:$A$10000&amp;JupData!$J$2:$J$10000,0),11))</f>
        <v/>
      </c>
      <c r="Y897" t="str">
        <f t="array" ref="Y897">IF($A897="","",INDEX(JupData!$A$2:$K$10000,MATCH($A897&amp;Y$1,JupData!$A$2:$A$10000&amp;JupData!$J$2:$J$10000,0),11))</f>
        <v/>
      </c>
      <c r="Z897" t="str">
        <f t="array" ref="Z897">IF($A897="","",INDEX(JupData!$A$2:$K$10000,MATCH($A897&amp;Z$1,JupData!$A$2:$A$10000&amp;JupData!$J$2:$J$10000,0),11))</f>
        <v/>
      </c>
      <c r="AA897" t="str">
        <f t="array" ref="AA897">IF($A897="","",INDEX(JupData!$A$2:$K$10000,MATCH($A897&amp;AA$1,JupData!$A$2:$A$10000&amp;JupData!$J$2:$J$10000,0),11))</f>
        <v/>
      </c>
      <c r="AB897" t="str">
        <f t="array" ref="AB897">IF($A897="","",INDEX(JupData!$A$2:$K$10000,MATCH($A897&amp;AB$1,JupData!$A$2:$A$10000&amp;JupData!$J$2:$J$10000,0),11))</f>
        <v/>
      </c>
      <c r="AC897" s="10" t="str">
        <f t="shared" si="143"/>
        <v/>
      </c>
      <c r="AD897" s="10" t="str">
        <f t="shared" si="144"/>
        <v/>
      </c>
      <c r="AE897" s="9" t="str">
        <f t="shared" si="145"/>
        <v/>
      </c>
      <c r="AF897" s="10" t="str">
        <f t="shared" si="146"/>
        <v/>
      </c>
      <c r="AG897" s="10" t="str">
        <f t="shared" si="147"/>
        <v/>
      </c>
      <c r="AH897" s="10" t="str">
        <f t="shared" si="148"/>
        <v/>
      </c>
      <c r="AI897" s="10" t="str">
        <f t="shared" si="149"/>
        <v/>
      </c>
      <c r="AJ897" s="10" t="str">
        <f t="shared" si="150"/>
        <v/>
      </c>
      <c r="AK897" s="10" t="str">
        <f t="shared" si="151"/>
        <v/>
      </c>
      <c r="AL897" s="14" t="str">
        <f t="shared" si="152"/>
        <v/>
      </c>
    </row>
    <row r="898" spans="1:38" x14ac:dyDescent="0.2">
      <c r="A898"/>
      <c r="B898" t="str">
        <f>IF($A898="","",VLOOKUP($A898,JupData!$A$2:$I$10000,4,FALSE))</f>
        <v/>
      </c>
      <c r="C898" s="7" t="str">
        <f>IF($A898="",IF(N(D898),0,""),VLOOKUP($A898,JupData!$A$2:$I$10000,7,FALSE))</f>
        <v/>
      </c>
      <c r="D898" t="str">
        <f t="shared" si="153"/>
        <v/>
      </c>
      <c r="E898" t="str">
        <f t="array" ref="E898">IF($A898="","",INDEX(JupData!$A$2:$K$10000,MATCH($A898&amp;E$1,JupData!$A$2:$A$10000&amp;JupData!$J$2:$J$10000,0),11))</f>
        <v/>
      </c>
      <c r="F898" t="str">
        <f t="array" ref="F898">IF($A898="","",INDEX(JupData!$A$2:$K$10000,MATCH($A898&amp;F$1,JupData!$A$2:$A$10000&amp;JupData!$J$2:$J$10000,0),11))</f>
        <v/>
      </c>
      <c r="G898" t="str">
        <f t="array" ref="G898">IF($A898="","",INDEX(JupData!$A$2:$K$10000,MATCH($A898&amp;G$1,JupData!$A$2:$A$10000&amp;JupData!$J$2:$J$10000,0),11))</f>
        <v/>
      </c>
      <c r="H898" t="str">
        <f t="array" ref="H898">IF($A898="","",INDEX(JupData!$A$2:$K$10000,MATCH($A898&amp;H$1,JupData!$A$2:$A$10000&amp;JupData!$J$2:$J$10000,0),11))</f>
        <v/>
      </c>
      <c r="I898" t="str">
        <f t="array" ref="I898">IF($A898="","",INDEX(JupData!$A$2:$K$10000,MATCH($A898&amp;I$1,JupData!$A$2:$A$10000&amp;JupData!$J$2:$J$10000,0),11))</f>
        <v/>
      </c>
      <c r="J898" t="str">
        <f t="array" ref="J898">IF($A898="","",INDEX(JupData!$A$2:$K$10000,MATCH($A898&amp;J$1,JupData!$A$2:$A$10000&amp;JupData!$J$2:$J$10000,0),11))</f>
        <v/>
      </c>
      <c r="K898" t="str">
        <f t="array" ref="K898">IF($A898="","",INDEX(JupData!$A$2:$K$10000,MATCH($A898&amp;K$1,JupData!$A$2:$A$10000&amp;JupData!$J$2:$J$10000,0),11))</f>
        <v/>
      </c>
      <c r="L898" t="str">
        <f t="array" ref="L898">IF($A898="","",INDEX(JupData!$A$2:$K$10000,MATCH($A898&amp;L$1,JupData!$A$2:$A$10000&amp;JupData!$J$2:$J$10000,0),11))</f>
        <v/>
      </c>
      <c r="M898" t="str">
        <f t="array" ref="M898">IF($A898="","",INDEX(JupData!$A$2:$K$10000,MATCH($A898&amp;M$1,JupData!$A$2:$A$10000&amp;JupData!$J$2:$J$10000,0),11))</f>
        <v/>
      </c>
      <c r="N898" t="str">
        <f t="array" ref="N898">IF($A898="","",INDEX(JupData!$A$2:$K$10000,MATCH($A898&amp;N$1,JupData!$A$2:$A$10000&amp;JupData!$J$2:$J$10000,0),11))</f>
        <v/>
      </c>
      <c r="O898" t="str">
        <f t="array" ref="O898">IF($A898="","",INDEX(JupData!$A$2:$K$10000,MATCH($A898&amp;O$1,JupData!$A$2:$A$10000&amp;JupData!$J$2:$J$10000,0),11))</f>
        <v/>
      </c>
      <c r="P898" t="str">
        <f t="array" ref="P898">IF($A898="","",INDEX(JupData!$A$2:$K$10000,MATCH($A898&amp;P$1,JupData!$A$2:$A$10000&amp;JupData!$J$2:$J$10000,0),11))</f>
        <v/>
      </c>
      <c r="Q898" t="str">
        <f t="array" ref="Q898">IF($A898="","",INDEX(JupData!$A$2:$K$10000,MATCH($A898&amp;Q$1,JupData!$A$2:$A$10000&amp;JupData!$J$2:$J$10000,0),11))</f>
        <v/>
      </c>
      <c r="R898" t="str">
        <f t="array" ref="R898">IF($A898="","",INDEX(JupData!$A$2:$K$10000,MATCH($A898&amp;R$1,JupData!$A$2:$A$10000&amp;JupData!$J$2:$J$10000,0),11))</f>
        <v/>
      </c>
      <c r="S898" t="str">
        <f t="array" ref="S898">IF($A898="","",INDEX(JupData!$A$2:$K$10000,MATCH($A898&amp;S$1,JupData!$A$2:$A$10000&amp;JupData!$J$2:$J$10000,0),11))</f>
        <v/>
      </c>
      <c r="T898" t="str">
        <f t="array" ref="T898">IF($A898="","",INDEX(JupData!$A$2:$K$10000,MATCH($A898&amp;T$1,JupData!$A$2:$A$10000&amp;JupData!$J$2:$J$10000,0),11))</f>
        <v/>
      </c>
      <c r="U898" t="str">
        <f t="array" ref="U898">IF($A898="","",INDEX(JupData!$A$2:$K$10000,MATCH($A898&amp;U$1,JupData!$A$2:$A$10000&amp;JupData!$J$2:$J$10000,0),11))</f>
        <v/>
      </c>
      <c r="V898" t="str">
        <f t="array" ref="V898">IF($A898="","",INDEX(JupData!$A$2:$K$10000,MATCH($A898&amp;V$1,JupData!$A$2:$A$10000&amp;JupData!$J$2:$J$10000,0),11))</f>
        <v/>
      </c>
      <c r="W898" t="str">
        <f t="array" ref="W898">IF($A898="","",INDEX(JupData!$A$2:$K$10000,MATCH($A898&amp;W$1,JupData!$A$2:$A$10000&amp;JupData!$J$2:$J$10000,0),11))</f>
        <v/>
      </c>
      <c r="X898" t="str">
        <f t="array" ref="X898">IF($A898="","",INDEX(JupData!$A$2:$K$10000,MATCH($A898&amp;X$1,JupData!$A$2:$A$10000&amp;JupData!$J$2:$J$10000,0),11))</f>
        <v/>
      </c>
      <c r="Y898" t="str">
        <f t="array" ref="Y898">IF($A898="","",INDEX(JupData!$A$2:$K$10000,MATCH($A898&amp;Y$1,JupData!$A$2:$A$10000&amp;JupData!$J$2:$J$10000,0),11))</f>
        <v/>
      </c>
      <c r="Z898" t="str">
        <f t="array" ref="Z898">IF($A898="","",INDEX(JupData!$A$2:$K$10000,MATCH($A898&amp;Z$1,JupData!$A$2:$A$10000&amp;JupData!$J$2:$J$10000,0),11))</f>
        <v/>
      </c>
      <c r="AA898" t="str">
        <f t="array" ref="AA898">IF($A898="","",INDEX(JupData!$A$2:$K$10000,MATCH($A898&amp;AA$1,JupData!$A$2:$A$10000&amp;JupData!$J$2:$J$10000,0),11))</f>
        <v/>
      </c>
      <c r="AB898" t="str">
        <f t="array" ref="AB898">IF($A898="","",INDEX(JupData!$A$2:$K$10000,MATCH($A898&amp;AB$1,JupData!$A$2:$A$10000&amp;JupData!$J$2:$J$10000,0),11))</f>
        <v/>
      </c>
      <c r="AC898" s="10" t="str">
        <f t="shared" si="143"/>
        <v/>
      </c>
      <c r="AD898" s="10" t="str">
        <f t="shared" si="144"/>
        <v/>
      </c>
      <c r="AE898" s="9" t="str">
        <f t="shared" si="145"/>
        <v/>
      </c>
      <c r="AF898" s="10" t="str">
        <f t="shared" si="146"/>
        <v/>
      </c>
      <c r="AG898" s="10" t="str">
        <f t="shared" si="147"/>
        <v/>
      </c>
      <c r="AH898" s="10" t="str">
        <f t="shared" si="148"/>
        <v/>
      </c>
      <c r="AI898" s="10" t="str">
        <f t="shared" si="149"/>
        <v/>
      </c>
      <c r="AJ898" s="10" t="str">
        <f t="shared" si="150"/>
        <v/>
      </c>
      <c r="AK898" s="10" t="str">
        <f t="shared" si="151"/>
        <v/>
      </c>
      <c r="AL898" s="14" t="str">
        <f t="shared" si="152"/>
        <v/>
      </c>
    </row>
    <row r="899" spans="1:38" x14ac:dyDescent="0.2">
      <c r="A899"/>
      <c r="B899" t="str">
        <f>IF($A899="","",VLOOKUP($A899,JupData!$A$2:$I$10000,4,FALSE))</f>
        <v/>
      </c>
      <c r="C899" s="7" t="str">
        <f>IF($A899="",IF(N(D899),0,""),VLOOKUP($A899,JupData!$A$2:$I$10000,7,FALSE))</f>
        <v/>
      </c>
      <c r="D899" t="str">
        <f t="shared" si="153"/>
        <v/>
      </c>
      <c r="E899" t="str">
        <f t="array" ref="E899">IF($A899="","",INDEX(JupData!$A$2:$K$10000,MATCH($A899&amp;E$1,JupData!$A$2:$A$10000&amp;JupData!$J$2:$J$10000,0),11))</f>
        <v/>
      </c>
      <c r="F899" t="str">
        <f t="array" ref="F899">IF($A899="","",INDEX(JupData!$A$2:$K$10000,MATCH($A899&amp;F$1,JupData!$A$2:$A$10000&amp;JupData!$J$2:$J$10000,0),11))</f>
        <v/>
      </c>
      <c r="G899" t="str">
        <f t="array" ref="G899">IF($A899="","",INDEX(JupData!$A$2:$K$10000,MATCH($A899&amp;G$1,JupData!$A$2:$A$10000&amp;JupData!$J$2:$J$10000,0),11))</f>
        <v/>
      </c>
      <c r="H899" t="str">
        <f t="array" ref="H899">IF($A899="","",INDEX(JupData!$A$2:$K$10000,MATCH($A899&amp;H$1,JupData!$A$2:$A$10000&amp;JupData!$J$2:$J$10000,0),11))</f>
        <v/>
      </c>
      <c r="I899" t="str">
        <f t="array" ref="I899">IF($A899="","",INDEX(JupData!$A$2:$K$10000,MATCH($A899&amp;I$1,JupData!$A$2:$A$10000&amp;JupData!$J$2:$J$10000,0),11))</f>
        <v/>
      </c>
      <c r="J899" t="str">
        <f t="array" ref="J899">IF($A899="","",INDEX(JupData!$A$2:$K$10000,MATCH($A899&amp;J$1,JupData!$A$2:$A$10000&amp;JupData!$J$2:$J$10000,0),11))</f>
        <v/>
      </c>
      <c r="K899" t="str">
        <f t="array" ref="K899">IF($A899="","",INDEX(JupData!$A$2:$K$10000,MATCH($A899&amp;K$1,JupData!$A$2:$A$10000&amp;JupData!$J$2:$J$10000,0),11))</f>
        <v/>
      </c>
      <c r="L899" t="str">
        <f t="array" ref="L899">IF($A899="","",INDEX(JupData!$A$2:$K$10000,MATCH($A899&amp;L$1,JupData!$A$2:$A$10000&amp;JupData!$J$2:$J$10000,0),11))</f>
        <v/>
      </c>
      <c r="M899" t="str">
        <f t="array" ref="M899">IF($A899="","",INDEX(JupData!$A$2:$K$10000,MATCH($A899&amp;M$1,JupData!$A$2:$A$10000&amp;JupData!$J$2:$J$10000,0),11))</f>
        <v/>
      </c>
      <c r="N899" t="str">
        <f t="array" ref="N899">IF($A899="","",INDEX(JupData!$A$2:$K$10000,MATCH($A899&amp;N$1,JupData!$A$2:$A$10000&amp;JupData!$J$2:$J$10000,0),11))</f>
        <v/>
      </c>
      <c r="O899" t="str">
        <f t="array" ref="O899">IF($A899="","",INDEX(JupData!$A$2:$K$10000,MATCH($A899&amp;O$1,JupData!$A$2:$A$10000&amp;JupData!$J$2:$J$10000,0),11))</f>
        <v/>
      </c>
      <c r="P899" t="str">
        <f t="array" ref="P899">IF($A899="","",INDEX(JupData!$A$2:$K$10000,MATCH($A899&amp;P$1,JupData!$A$2:$A$10000&amp;JupData!$J$2:$J$10000,0),11))</f>
        <v/>
      </c>
      <c r="Q899" t="str">
        <f t="array" ref="Q899">IF($A899="","",INDEX(JupData!$A$2:$K$10000,MATCH($A899&amp;Q$1,JupData!$A$2:$A$10000&amp;JupData!$J$2:$J$10000,0),11))</f>
        <v/>
      </c>
      <c r="R899" t="str">
        <f t="array" ref="R899">IF($A899="","",INDEX(JupData!$A$2:$K$10000,MATCH($A899&amp;R$1,JupData!$A$2:$A$10000&amp;JupData!$J$2:$J$10000,0),11))</f>
        <v/>
      </c>
      <c r="S899" t="str">
        <f t="array" ref="S899">IF($A899="","",INDEX(JupData!$A$2:$K$10000,MATCH($A899&amp;S$1,JupData!$A$2:$A$10000&amp;JupData!$J$2:$J$10000,0),11))</f>
        <v/>
      </c>
      <c r="T899" t="str">
        <f t="array" ref="T899">IF($A899="","",INDEX(JupData!$A$2:$K$10000,MATCH($A899&amp;T$1,JupData!$A$2:$A$10000&amp;JupData!$J$2:$J$10000,0),11))</f>
        <v/>
      </c>
      <c r="U899" t="str">
        <f t="array" ref="U899">IF($A899="","",INDEX(JupData!$A$2:$K$10000,MATCH($A899&amp;U$1,JupData!$A$2:$A$10000&amp;JupData!$J$2:$J$10000,0),11))</f>
        <v/>
      </c>
      <c r="V899" t="str">
        <f t="array" ref="V899">IF($A899="","",INDEX(JupData!$A$2:$K$10000,MATCH($A899&amp;V$1,JupData!$A$2:$A$10000&amp;JupData!$J$2:$J$10000,0),11))</f>
        <v/>
      </c>
      <c r="W899" t="str">
        <f t="array" ref="W899">IF($A899="","",INDEX(JupData!$A$2:$K$10000,MATCH($A899&amp;W$1,JupData!$A$2:$A$10000&amp;JupData!$J$2:$J$10000,0),11))</f>
        <v/>
      </c>
      <c r="X899" t="str">
        <f t="array" ref="X899">IF($A899="","",INDEX(JupData!$A$2:$K$10000,MATCH($A899&amp;X$1,JupData!$A$2:$A$10000&amp;JupData!$J$2:$J$10000,0),11))</f>
        <v/>
      </c>
      <c r="Y899" t="str">
        <f t="array" ref="Y899">IF($A899="","",INDEX(JupData!$A$2:$K$10000,MATCH($A899&amp;Y$1,JupData!$A$2:$A$10000&amp;JupData!$J$2:$J$10000,0),11))</f>
        <v/>
      </c>
      <c r="Z899" t="str">
        <f t="array" ref="Z899">IF($A899="","",INDEX(JupData!$A$2:$K$10000,MATCH($A899&amp;Z$1,JupData!$A$2:$A$10000&amp;JupData!$J$2:$J$10000,0),11))</f>
        <v/>
      </c>
      <c r="AA899" t="str">
        <f t="array" ref="AA899">IF($A899="","",INDEX(JupData!$A$2:$K$10000,MATCH($A899&amp;AA$1,JupData!$A$2:$A$10000&amp;JupData!$J$2:$J$10000,0),11))</f>
        <v/>
      </c>
      <c r="AB899" t="str">
        <f t="array" ref="AB899">IF($A899="","",INDEX(JupData!$A$2:$K$10000,MATCH($A899&amp;AB$1,JupData!$A$2:$A$10000&amp;JupData!$J$2:$J$10000,0),11))</f>
        <v/>
      </c>
      <c r="AC899" s="10" t="str">
        <f t="shared" ref="AC899:AC962" si="154">IF(A899="","",2*H899/40.08+2*I899/24.3+J899/22.99+K899/39.1+Y899/18.04)</f>
        <v/>
      </c>
      <c r="AD899" s="10" t="str">
        <f t="shared" ref="AD899:AD962" si="155">IF(A899="","",R899/61.02+2*S899/96.06+T899/35.45+U899/19+W899/62)</f>
        <v/>
      </c>
      <c r="AE899" s="9" t="str">
        <f t="shared" ref="AE899:AE962" si="156">IF(A899="","",IF(AD899&lt;0,((AC899+AD899)/(AC899-AD899)),((AC899-AD899)/(AC899+AD899))))</f>
        <v/>
      </c>
      <c r="AF899" s="10" t="str">
        <f t="shared" ref="AF899:AF962" si="157">IF(A899="","",(J899/22.99)/(T899/35.45))</f>
        <v/>
      </c>
      <c r="AG899" s="10" t="str">
        <f t="shared" ref="AG899:AG962" si="158">IF(A899="","",2*((H899/40.08)+(I899/24.3))/(R899/61.02))</f>
        <v/>
      </c>
      <c r="AH899" s="10" t="str">
        <f t="shared" ref="AH899:AH963" si="159">IF(A899="","",(J899/22.99)/((J899/22.99)+2*(H899/40.08)))</f>
        <v/>
      </c>
      <c r="AI899" s="10" t="str">
        <f t="shared" ref="AI899:AI962" si="160">IF(A899="","",H899/40.08)</f>
        <v/>
      </c>
      <c r="AJ899" s="10" t="str">
        <f t="shared" ref="AJ899:AJ962" si="161">IF(A899="","",S899/96.06)</f>
        <v/>
      </c>
      <c r="AK899" s="10" t="str">
        <f t="shared" ref="AK899:AK962" si="162">IF(A899="","",IF(W899&gt;=1,IF(L899&lt;0.2,IF(G899&gt;1,"A","B"),"X1"),IF(L899&gt;=0.2,IF(S899&gt;=20,IF(S899&gt;70,"C2","C1"),IF(AG899&lt;=1,"D","X3")),"X2")))</f>
        <v/>
      </c>
      <c r="AL899" s="14" t="str">
        <f t="shared" ref="AL899:AL962" si="163">IF(F899="","",(H899/40.1+I899/24.3)*5.6)</f>
        <v/>
      </c>
    </row>
    <row r="900" spans="1:38" x14ac:dyDescent="0.2">
      <c r="A900"/>
      <c r="B900" t="str">
        <f>IF($A900="","",VLOOKUP($A900,JupData!$A$2:$I$10000,4,FALSE))</f>
        <v/>
      </c>
      <c r="C900" s="7" t="str">
        <f>IF($A900="",IF(N(D900),0,""),VLOOKUP($A900,JupData!$A$2:$I$10000,7,FALSE))</f>
        <v/>
      </c>
      <c r="D900" t="str">
        <f t="shared" ref="D900:D963" si="164">IF(A900="",IF(D899&lt;20,D899+1,""),IF(B899="",1,IF(B899=B900,D899,D899+1)))</f>
        <v/>
      </c>
      <c r="E900" t="str">
        <f t="array" ref="E900">IF($A900="","",INDEX(JupData!$A$2:$K$10000,MATCH($A900&amp;E$1,JupData!$A$2:$A$10000&amp;JupData!$J$2:$J$10000,0),11))</f>
        <v/>
      </c>
      <c r="F900" t="str">
        <f t="array" ref="F900">IF($A900="","",INDEX(JupData!$A$2:$K$10000,MATCH($A900&amp;F$1,JupData!$A$2:$A$10000&amp;JupData!$J$2:$J$10000,0),11))</f>
        <v/>
      </c>
      <c r="G900" t="str">
        <f t="array" ref="G900">IF($A900="","",INDEX(JupData!$A$2:$K$10000,MATCH($A900&amp;G$1,JupData!$A$2:$A$10000&amp;JupData!$J$2:$J$10000,0),11))</f>
        <v/>
      </c>
      <c r="H900" t="str">
        <f t="array" ref="H900">IF($A900="","",INDEX(JupData!$A$2:$K$10000,MATCH($A900&amp;H$1,JupData!$A$2:$A$10000&amp;JupData!$J$2:$J$10000,0),11))</f>
        <v/>
      </c>
      <c r="I900" t="str">
        <f t="array" ref="I900">IF($A900="","",INDEX(JupData!$A$2:$K$10000,MATCH($A900&amp;I$1,JupData!$A$2:$A$10000&amp;JupData!$J$2:$J$10000,0),11))</f>
        <v/>
      </c>
      <c r="J900" t="str">
        <f t="array" ref="J900">IF($A900="","",INDEX(JupData!$A$2:$K$10000,MATCH($A900&amp;J$1,JupData!$A$2:$A$10000&amp;JupData!$J$2:$J$10000,0),11))</f>
        <v/>
      </c>
      <c r="K900" t="str">
        <f t="array" ref="K900">IF($A900="","",INDEX(JupData!$A$2:$K$10000,MATCH($A900&amp;K$1,JupData!$A$2:$A$10000&amp;JupData!$J$2:$J$10000,0),11))</f>
        <v/>
      </c>
      <c r="L900" t="str">
        <f t="array" ref="L900">IF($A900="","",INDEX(JupData!$A$2:$K$10000,MATCH($A900&amp;L$1,JupData!$A$2:$A$10000&amp;JupData!$J$2:$J$10000,0),11))</f>
        <v/>
      </c>
      <c r="M900" t="str">
        <f t="array" ref="M900">IF($A900="","",INDEX(JupData!$A$2:$K$10000,MATCH($A900&amp;M$1,JupData!$A$2:$A$10000&amp;JupData!$J$2:$J$10000,0),11))</f>
        <v/>
      </c>
      <c r="N900" t="str">
        <f t="array" ref="N900">IF($A900="","",INDEX(JupData!$A$2:$K$10000,MATCH($A900&amp;N$1,JupData!$A$2:$A$10000&amp;JupData!$J$2:$J$10000,0),11))</f>
        <v/>
      </c>
      <c r="O900" t="str">
        <f t="array" ref="O900">IF($A900="","",INDEX(JupData!$A$2:$K$10000,MATCH($A900&amp;O$1,JupData!$A$2:$A$10000&amp;JupData!$J$2:$J$10000,0),11))</f>
        <v/>
      </c>
      <c r="P900" t="str">
        <f t="array" ref="P900">IF($A900="","",INDEX(JupData!$A$2:$K$10000,MATCH($A900&amp;P$1,JupData!$A$2:$A$10000&amp;JupData!$J$2:$J$10000,0),11))</f>
        <v/>
      </c>
      <c r="Q900" t="str">
        <f t="array" ref="Q900">IF($A900="","",INDEX(JupData!$A$2:$K$10000,MATCH($A900&amp;Q$1,JupData!$A$2:$A$10000&amp;JupData!$J$2:$J$10000,0),11))</f>
        <v/>
      </c>
      <c r="R900" t="str">
        <f t="array" ref="R900">IF($A900="","",INDEX(JupData!$A$2:$K$10000,MATCH($A900&amp;R$1,JupData!$A$2:$A$10000&amp;JupData!$J$2:$J$10000,0),11))</f>
        <v/>
      </c>
      <c r="S900" t="str">
        <f t="array" ref="S900">IF($A900="","",INDEX(JupData!$A$2:$K$10000,MATCH($A900&amp;S$1,JupData!$A$2:$A$10000&amp;JupData!$J$2:$J$10000,0),11))</f>
        <v/>
      </c>
      <c r="T900" t="str">
        <f t="array" ref="T900">IF($A900="","",INDEX(JupData!$A$2:$K$10000,MATCH($A900&amp;T$1,JupData!$A$2:$A$10000&amp;JupData!$J$2:$J$10000,0),11))</f>
        <v/>
      </c>
      <c r="U900" t="str">
        <f t="array" ref="U900">IF($A900="","",INDEX(JupData!$A$2:$K$10000,MATCH($A900&amp;U$1,JupData!$A$2:$A$10000&amp;JupData!$J$2:$J$10000,0),11))</f>
        <v/>
      </c>
      <c r="V900" t="str">
        <f t="array" ref="V900">IF($A900="","",INDEX(JupData!$A$2:$K$10000,MATCH($A900&amp;V$1,JupData!$A$2:$A$10000&amp;JupData!$J$2:$J$10000,0),11))</f>
        <v/>
      </c>
      <c r="W900" t="str">
        <f t="array" ref="W900">IF($A900="","",INDEX(JupData!$A$2:$K$10000,MATCH($A900&amp;W$1,JupData!$A$2:$A$10000&amp;JupData!$J$2:$J$10000,0),11))</f>
        <v/>
      </c>
      <c r="X900" t="str">
        <f t="array" ref="X900">IF($A900="","",INDEX(JupData!$A$2:$K$10000,MATCH($A900&amp;X$1,JupData!$A$2:$A$10000&amp;JupData!$J$2:$J$10000,0),11))</f>
        <v/>
      </c>
      <c r="Y900" t="str">
        <f t="array" ref="Y900">IF($A900="","",INDEX(JupData!$A$2:$K$10000,MATCH($A900&amp;Y$1,JupData!$A$2:$A$10000&amp;JupData!$J$2:$J$10000,0),11))</f>
        <v/>
      </c>
      <c r="Z900" t="str">
        <f t="array" ref="Z900">IF($A900="","",INDEX(JupData!$A$2:$K$10000,MATCH($A900&amp;Z$1,JupData!$A$2:$A$10000&amp;JupData!$J$2:$J$10000,0),11))</f>
        <v/>
      </c>
      <c r="AA900" t="str">
        <f t="array" ref="AA900">IF($A900="","",INDEX(JupData!$A$2:$K$10000,MATCH($A900&amp;AA$1,JupData!$A$2:$A$10000&amp;JupData!$J$2:$J$10000,0),11))</f>
        <v/>
      </c>
      <c r="AB900" t="str">
        <f t="array" ref="AB900">IF($A900="","",INDEX(JupData!$A$2:$K$10000,MATCH($A900&amp;AB$1,JupData!$A$2:$A$10000&amp;JupData!$J$2:$J$10000,0),11))</f>
        <v/>
      </c>
      <c r="AC900" s="10" t="str">
        <f t="shared" si="154"/>
        <v/>
      </c>
      <c r="AD900" s="10" t="str">
        <f t="shared" si="155"/>
        <v/>
      </c>
      <c r="AE900" s="9" t="str">
        <f t="shared" si="156"/>
        <v/>
      </c>
      <c r="AF900" s="10" t="str">
        <f t="shared" si="157"/>
        <v/>
      </c>
      <c r="AG900" s="10" t="str">
        <f t="shared" si="158"/>
        <v/>
      </c>
      <c r="AH900" s="10" t="str">
        <f t="shared" si="159"/>
        <v/>
      </c>
      <c r="AI900" s="10" t="str">
        <f t="shared" si="160"/>
        <v/>
      </c>
      <c r="AJ900" s="10" t="str">
        <f t="shared" si="161"/>
        <v/>
      </c>
      <c r="AK900" s="10" t="str">
        <f t="shared" si="162"/>
        <v/>
      </c>
      <c r="AL900" s="14" t="str">
        <f t="shared" si="163"/>
        <v/>
      </c>
    </row>
    <row r="901" spans="1:38" x14ac:dyDescent="0.2">
      <c r="A901"/>
      <c r="B901" t="str">
        <f>IF($A901="","",VLOOKUP($A901,JupData!$A$2:$I$10000,4,FALSE))</f>
        <v/>
      </c>
      <c r="C901" s="7" t="str">
        <f>IF($A901="",IF(N(D901),0,""),VLOOKUP($A901,JupData!$A$2:$I$10000,7,FALSE))</f>
        <v/>
      </c>
      <c r="D901" t="str">
        <f t="shared" si="164"/>
        <v/>
      </c>
      <c r="E901" t="str">
        <f t="array" ref="E901">IF($A901="","",INDEX(JupData!$A$2:$K$10000,MATCH($A901&amp;E$1,JupData!$A$2:$A$10000&amp;JupData!$J$2:$J$10000,0),11))</f>
        <v/>
      </c>
      <c r="F901" t="str">
        <f t="array" ref="F901">IF($A901="","",INDEX(JupData!$A$2:$K$10000,MATCH($A901&amp;F$1,JupData!$A$2:$A$10000&amp;JupData!$J$2:$J$10000,0),11))</f>
        <v/>
      </c>
      <c r="G901" t="str">
        <f t="array" ref="G901">IF($A901="","",INDEX(JupData!$A$2:$K$10000,MATCH($A901&amp;G$1,JupData!$A$2:$A$10000&amp;JupData!$J$2:$J$10000,0),11))</f>
        <v/>
      </c>
      <c r="H901" t="str">
        <f t="array" ref="H901">IF($A901="","",INDEX(JupData!$A$2:$K$10000,MATCH($A901&amp;H$1,JupData!$A$2:$A$10000&amp;JupData!$J$2:$J$10000,0),11))</f>
        <v/>
      </c>
      <c r="I901" t="str">
        <f t="array" ref="I901">IF($A901="","",INDEX(JupData!$A$2:$K$10000,MATCH($A901&amp;I$1,JupData!$A$2:$A$10000&amp;JupData!$J$2:$J$10000,0),11))</f>
        <v/>
      </c>
      <c r="J901" t="str">
        <f t="array" ref="J901">IF($A901="","",INDEX(JupData!$A$2:$K$10000,MATCH($A901&amp;J$1,JupData!$A$2:$A$10000&amp;JupData!$J$2:$J$10000,0),11))</f>
        <v/>
      </c>
      <c r="K901" t="str">
        <f t="array" ref="K901">IF($A901="","",INDEX(JupData!$A$2:$K$10000,MATCH($A901&amp;K$1,JupData!$A$2:$A$10000&amp;JupData!$J$2:$J$10000,0),11))</f>
        <v/>
      </c>
      <c r="L901" t="str">
        <f t="array" ref="L901">IF($A901="","",INDEX(JupData!$A$2:$K$10000,MATCH($A901&amp;L$1,JupData!$A$2:$A$10000&amp;JupData!$J$2:$J$10000,0),11))</f>
        <v/>
      </c>
      <c r="M901" t="str">
        <f t="array" ref="M901">IF($A901="","",INDEX(JupData!$A$2:$K$10000,MATCH($A901&amp;M$1,JupData!$A$2:$A$10000&amp;JupData!$J$2:$J$10000,0),11))</f>
        <v/>
      </c>
      <c r="N901" t="str">
        <f t="array" ref="N901">IF($A901="","",INDEX(JupData!$A$2:$K$10000,MATCH($A901&amp;N$1,JupData!$A$2:$A$10000&amp;JupData!$J$2:$J$10000,0),11))</f>
        <v/>
      </c>
      <c r="O901" t="str">
        <f t="array" ref="O901">IF($A901="","",INDEX(JupData!$A$2:$K$10000,MATCH($A901&amp;O$1,JupData!$A$2:$A$10000&amp;JupData!$J$2:$J$10000,0),11))</f>
        <v/>
      </c>
      <c r="P901" t="str">
        <f t="array" ref="P901">IF($A901="","",INDEX(JupData!$A$2:$K$10000,MATCH($A901&amp;P$1,JupData!$A$2:$A$10000&amp;JupData!$J$2:$J$10000,0),11))</f>
        <v/>
      </c>
      <c r="Q901" t="str">
        <f t="array" ref="Q901">IF($A901="","",INDEX(JupData!$A$2:$K$10000,MATCH($A901&amp;Q$1,JupData!$A$2:$A$10000&amp;JupData!$J$2:$J$10000,0),11))</f>
        <v/>
      </c>
      <c r="R901" t="str">
        <f t="array" ref="R901">IF($A901="","",INDEX(JupData!$A$2:$K$10000,MATCH($A901&amp;R$1,JupData!$A$2:$A$10000&amp;JupData!$J$2:$J$10000,0),11))</f>
        <v/>
      </c>
      <c r="S901" t="str">
        <f t="array" ref="S901">IF($A901="","",INDEX(JupData!$A$2:$K$10000,MATCH($A901&amp;S$1,JupData!$A$2:$A$10000&amp;JupData!$J$2:$J$10000,0),11))</f>
        <v/>
      </c>
      <c r="T901" t="str">
        <f t="array" ref="T901">IF($A901="","",INDEX(JupData!$A$2:$K$10000,MATCH($A901&amp;T$1,JupData!$A$2:$A$10000&amp;JupData!$J$2:$J$10000,0),11))</f>
        <v/>
      </c>
      <c r="U901" t="str">
        <f t="array" ref="U901">IF($A901="","",INDEX(JupData!$A$2:$K$10000,MATCH($A901&amp;U$1,JupData!$A$2:$A$10000&amp;JupData!$J$2:$J$10000,0),11))</f>
        <v/>
      </c>
      <c r="V901" t="str">
        <f t="array" ref="V901">IF($A901="","",INDEX(JupData!$A$2:$K$10000,MATCH($A901&amp;V$1,JupData!$A$2:$A$10000&amp;JupData!$J$2:$J$10000,0),11))</f>
        <v/>
      </c>
      <c r="W901" t="str">
        <f t="array" ref="W901">IF($A901="","",INDEX(JupData!$A$2:$K$10000,MATCH($A901&amp;W$1,JupData!$A$2:$A$10000&amp;JupData!$J$2:$J$10000,0),11))</f>
        <v/>
      </c>
      <c r="X901" t="str">
        <f t="array" ref="X901">IF($A901="","",INDEX(JupData!$A$2:$K$10000,MATCH($A901&amp;X$1,JupData!$A$2:$A$10000&amp;JupData!$J$2:$J$10000,0),11))</f>
        <v/>
      </c>
      <c r="Y901" t="str">
        <f t="array" ref="Y901">IF($A901="","",INDEX(JupData!$A$2:$K$10000,MATCH($A901&amp;Y$1,JupData!$A$2:$A$10000&amp;JupData!$J$2:$J$10000,0),11))</f>
        <v/>
      </c>
      <c r="Z901" t="str">
        <f t="array" ref="Z901">IF($A901="","",INDEX(JupData!$A$2:$K$10000,MATCH($A901&amp;Z$1,JupData!$A$2:$A$10000&amp;JupData!$J$2:$J$10000,0),11))</f>
        <v/>
      </c>
      <c r="AA901" t="str">
        <f t="array" ref="AA901">IF($A901="","",INDEX(JupData!$A$2:$K$10000,MATCH($A901&amp;AA$1,JupData!$A$2:$A$10000&amp;JupData!$J$2:$J$10000,0),11))</f>
        <v/>
      </c>
      <c r="AB901" t="str">
        <f t="array" ref="AB901">IF($A901="","",INDEX(JupData!$A$2:$K$10000,MATCH($A901&amp;AB$1,JupData!$A$2:$A$10000&amp;JupData!$J$2:$J$10000,0),11))</f>
        <v/>
      </c>
      <c r="AC901" s="10" t="str">
        <f t="shared" si="154"/>
        <v/>
      </c>
      <c r="AD901" s="10" t="str">
        <f t="shared" si="155"/>
        <v/>
      </c>
      <c r="AE901" s="9" t="str">
        <f t="shared" si="156"/>
        <v/>
      </c>
      <c r="AF901" s="10" t="str">
        <f t="shared" si="157"/>
        <v/>
      </c>
      <c r="AG901" s="10" t="str">
        <f t="shared" si="158"/>
        <v/>
      </c>
      <c r="AH901" s="10" t="str">
        <f t="shared" si="159"/>
        <v/>
      </c>
      <c r="AI901" s="10" t="str">
        <f t="shared" si="160"/>
        <v/>
      </c>
      <c r="AJ901" s="10" t="str">
        <f t="shared" si="161"/>
        <v/>
      </c>
      <c r="AK901" s="10" t="str">
        <f t="shared" si="162"/>
        <v/>
      </c>
      <c r="AL901" s="14" t="str">
        <f t="shared" si="163"/>
        <v/>
      </c>
    </row>
    <row r="902" spans="1:38" x14ac:dyDescent="0.2">
      <c r="A902"/>
      <c r="B902" t="str">
        <f>IF($A902="","",VLOOKUP($A902,JupData!$A$2:$I$10000,4,FALSE))</f>
        <v/>
      </c>
      <c r="C902" s="7" t="str">
        <f>IF($A902="",IF(N(D902),0,""),VLOOKUP($A902,JupData!$A$2:$I$10000,7,FALSE))</f>
        <v/>
      </c>
      <c r="D902" t="str">
        <f t="shared" si="164"/>
        <v/>
      </c>
      <c r="E902" t="str">
        <f t="array" ref="E902">IF($A902="","",INDEX(JupData!$A$2:$K$10000,MATCH($A902&amp;E$1,JupData!$A$2:$A$10000&amp;JupData!$J$2:$J$10000,0),11))</f>
        <v/>
      </c>
      <c r="F902" t="str">
        <f t="array" ref="F902">IF($A902="","",INDEX(JupData!$A$2:$K$10000,MATCH($A902&amp;F$1,JupData!$A$2:$A$10000&amp;JupData!$J$2:$J$10000,0),11))</f>
        <v/>
      </c>
      <c r="G902" t="str">
        <f t="array" ref="G902">IF($A902="","",INDEX(JupData!$A$2:$K$10000,MATCH($A902&amp;G$1,JupData!$A$2:$A$10000&amp;JupData!$J$2:$J$10000,0),11))</f>
        <v/>
      </c>
      <c r="H902" t="str">
        <f t="array" ref="H902">IF($A902="","",INDEX(JupData!$A$2:$K$10000,MATCH($A902&amp;H$1,JupData!$A$2:$A$10000&amp;JupData!$J$2:$J$10000,0),11))</f>
        <v/>
      </c>
      <c r="I902" t="str">
        <f t="array" ref="I902">IF($A902="","",INDEX(JupData!$A$2:$K$10000,MATCH($A902&amp;I$1,JupData!$A$2:$A$10000&amp;JupData!$J$2:$J$10000,0),11))</f>
        <v/>
      </c>
      <c r="J902" t="str">
        <f t="array" ref="J902">IF($A902="","",INDEX(JupData!$A$2:$K$10000,MATCH($A902&amp;J$1,JupData!$A$2:$A$10000&amp;JupData!$J$2:$J$10000,0),11))</f>
        <v/>
      </c>
      <c r="K902" t="str">
        <f t="array" ref="K902">IF($A902="","",INDEX(JupData!$A$2:$K$10000,MATCH($A902&amp;K$1,JupData!$A$2:$A$10000&amp;JupData!$J$2:$J$10000,0),11))</f>
        <v/>
      </c>
      <c r="L902" t="str">
        <f t="array" ref="L902">IF($A902="","",INDEX(JupData!$A$2:$K$10000,MATCH($A902&amp;L$1,JupData!$A$2:$A$10000&amp;JupData!$J$2:$J$10000,0),11))</f>
        <v/>
      </c>
      <c r="M902" t="str">
        <f t="array" ref="M902">IF($A902="","",INDEX(JupData!$A$2:$K$10000,MATCH($A902&amp;M$1,JupData!$A$2:$A$10000&amp;JupData!$J$2:$J$10000,0),11))</f>
        <v/>
      </c>
      <c r="N902" t="str">
        <f t="array" ref="N902">IF($A902="","",INDEX(JupData!$A$2:$K$10000,MATCH($A902&amp;N$1,JupData!$A$2:$A$10000&amp;JupData!$J$2:$J$10000,0),11))</f>
        <v/>
      </c>
      <c r="O902" t="str">
        <f t="array" ref="O902">IF($A902="","",INDEX(JupData!$A$2:$K$10000,MATCH($A902&amp;O$1,JupData!$A$2:$A$10000&amp;JupData!$J$2:$J$10000,0),11))</f>
        <v/>
      </c>
      <c r="P902" t="str">
        <f t="array" ref="P902">IF($A902="","",INDEX(JupData!$A$2:$K$10000,MATCH($A902&amp;P$1,JupData!$A$2:$A$10000&amp;JupData!$J$2:$J$10000,0),11))</f>
        <v/>
      </c>
      <c r="Q902" t="str">
        <f t="array" ref="Q902">IF($A902="","",INDEX(JupData!$A$2:$K$10000,MATCH($A902&amp;Q$1,JupData!$A$2:$A$10000&amp;JupData!$J$2:$J$10000,0),11))</f>
        <v/>
      </c>
      <c r="R902" t="str">
        <f t="array" ref="R902">IF($A902="","",INDEX(JupData!$A$2:$K$10000,MATCH($A902&amp;R$1,JupData!$A$2:$A$10000&amp;JupData!$J$2:$J$10000,0),11))</f>
        <v/>
      </c>
      <c r="S902" t="str">
        <f t="array" ref="S902">IF($A902="","",INDEX(JupData!$A$2:$K$10000,MATCH($A902&amp;S$1,JupData!$A$2:$A$10000&amp;JupData!$J$2:$J$10000,0),11))</f>
        <v/>
      </c>
      <c r="T902" t="str">
        <f t="array" ref="T902">IF($A902="","",INDEX(JupData!$A$2:$K$10000,MATCH($A902&amp;T$1,JupData!$A$2:$A$10000&amp;JupData!$J$2:$J$10000,0),11))</f>
        <v/>
      </c>
      <c r="U902" t="str">
        <f t="array" ref="U902">IF($A902="","",INDEX(JupData!$A$2:$K$10000,MATCH($A902&amp;U$1,JupData!$A$2:$A$10000&amp;JupData!$J$2:$J$10000,0),11))</f>
        <v/>
      </c>
      <c r="V902" t="str">
        <f t="array" ref="V902">IF($A902="","",INDEX(JupData!$A$2:$K$10000,MATCH($A902&amp;V$1,JupData!$A$2:$A$10000&amp;JupData!$J$2:$J$10000,0),11))</f>
        <v/>
      </c>
      <c r="W902" t="str">
        <f t="array" ref="W902">IF($A902="","",INDEX(JupData!$A$2:$K$10000,MATCH($A902&amp;W$1,JupData!$A$2:$A$10000&amp;JupData!$J$2:$J$10000,0),11))</f>
        <v/>
      </c>
      <c r="X902" t="str">
        <f t="array" ref="X902">IF($A902="","",INDEX(JupData!$A$2:$K$10000,MATCH($A902&amp;X$1,JupData!$A$2:$A$10000&amp;JupData!$J$2:$J$10000,0),11))</f>
        <v/>
      </c>
      <c r="Y902" t="str">
        <f t="array" ref="Y902">IF($A902="","",INDEX(JupData!$A$2:$K$10000,MATCH($A902&amp;Y$1,JupData!$A$2:$A$10000&amp;JupData!$J$2:$J$10000,0),11))</f>
        <v/>
      </c>
      <c r="Z902" t="str">
        <f t="array" ref="Z902">IF($A902="","",INDEX(JupData!$A$2:$K$10000,MATCH($A902&amp;Z$1,JupData!$A$2:$A$10000&amp;JupData!$J$2:$J$10000,0),11))</f>
        <v/>
      </c>
      <c r="AA902" t="str">
        <f t="array" ref="AA902">IF($A902="","",INDEX(JupData!$A$2:$K$10000,MATCH($A902&amp;AA$1,JupData!$A$2:$A$10000&amp;JupData!$J$2:$J$10000,0),11))</f>
        <v/>
      </c>
      <c r="AB902" t="str">
        <f t="array" ref="AB902">IF($A902="","",INDEX(JupData!$A$2:$K$10000,MATCH($A902&amp;AB$1,JupData!$A$2:$A$10000&amp;JupData!$J$2:$J$10000,0),11))</f>
        <v/>
      </c>
      <c r="AC902" s="10" t="str">
        <f t="shared" si="154"/>
        <v/>
      </c>
      <c r="AD902" s="10" t="str">
        <f t="shared" si="155"/>
        <v/>
      </c>
      <c r="AE902" s="9" t="str">
        <f t="shared" si="156"/>
        <v/>
      </c>
      <c r="AF902" s="10" t="str">
        <f t="shared" si="157"/>
        <v/>
      </c>
      <c r="AG902" s="10" t="str">
        <f t="shared" si="158"/>
        <v/>
      </c>
      <c r="AH902" s="10" t="str">
        <f t="shared" si="159"/>
        <v/>
      </c>
      <c r="AI902" s="10" t="str">
        <f t="shared" si="160"/>
        <v/>
      </c>
      <c r="AJ902" s="10" t="str">
        <f t="shared" si="161"/>
        <v/>
      </c>
      <c r="AK902" s="10" t="str">
        <f t="shared" si="162"/>
        <v/>
      </c>
      <c r="AL902" s="14" t="str">
        <f t="shared" si="163"/>
        <v/>
      </c>
    </row>
    <row r="903" spans="1:38" x14ac:dyDescent="0.2">
      <c r="A903"/>
      <c r="B903" t="str">
        <f>IF($A903="","",VLOOKUP($A903,JupData!$A$2:$I$10000,4,FALSE))</f>
        <v/>
      </c>
      <c r="C903" s="7" t="str">
        <f>IF($A903="",IF(N(D903),0,""),VLOOKUP($A903,JupData!$A$2:$I$10000,7,FALSE))</f>
        <v/>
      </c>
      <c r="D903" t="str">
        <f t="shared" si="164"/>
        <v/>
      </c>
      <c r="E903" t="str">
        <f t="array" ref="E903">IF($A903="","",INDEX(JupData!$A$2:$K$10000,MATCH($A903&amp;E$1,JupData!$A$2:$A$10000&amp;JupData!$J$2:$J$10000,0),11))</f>
        <v/>
      </c>
      <c r="F903" t="str">
        <f t="array" ref="F903">IF($A903="","",INDEX(JupData!$A$2:$K$10000,MATCH($A903&amp;F$1,JupData!$A$2:$A$10000&amp;JupData!$J$2:$J$10000,0),11))</f>
        <v/>
      </c>
      <c r="G903" t="str">
        <f t="array" ref="G903">IF($A903="","",INDEX(JupData!$A$2:$K$10000,MATCH($A903&amp;G$1,JupData!$A$2:$A$10000&amp;JupData!$J$2:$J$10000,0),11))</f>
        <v/>
      </c>
      <c r="H903" t="str">
        <f t="array" ref="H903">IF($A903="","",INDEX(JupData!$A$2:$K$10000,MATCH($A903&amp;H$1,JupData!$A$2:$A$10000&amp;JupData!$J$2:$J$10000,0),11))</f>
        <v/>
      </c>
      <c r="I903" t="str">
        <f t="array" ref="I903">IF($A903="","",INDEX(JupData!$A$2:$K$10000,MATCH($A903&amp;I$1,JupData!$A$2:$A$10000&amp;JupData!$J$2:$J$10000,0),11))</f>
        <v/>
      </c>
      <c r="J903" t="str">
        <f t="array" ref="J903">IF($A903="","",INDEX(JupData!$A$2:$K$10000,MATCH($A903&amp;J$1,JupData!$A$2:$A$10000&amp;JupData!$J$2:$J$10000,0),11))</f>
        <v/>
      </c>
      <c r="K903" t="str">
        <f t="array" ref="K903">IF($A903="","",INDEX(JupData!$A$2:$K$10000,MATCH($A903&amp;K$1,JupData!$A$2:$A$10000&amp;JupData!$J$2:$J$10000,0),11))</f>
        <v/>
      </c>
      <c r="L903" t="str">
        <f t="array" ref="L903">IF($A903="","",INDEX(JupData!$A$2:$K$10000,MATCH($A903&amp;L$1,JupData!$A$2:$A$10000&amp;JupData!$J$2:$J$10000,0),11))</f>
        <v/>
      </c>
      <c r="M903" t="str">
        <f t="array" ref="M903">IF($A903="","",INDEX(JupData!$A$2:$K$10000,MATCH($A903&amp;M$1,JupData!$A$2:$A$10000&amp;JupData!$J$2:$J$10000,0),11))</f>
        <v/>
      </c>
      <c r="N903" t="str">
        <f t="array" ref="N903">IF($A903="","",INDEX(JupData!$A$2:$K$10000,MATCH($A903&amp;N$1,JupData!$A$2:$A$10000&amp;JupData!$J$2:$J$10000,0),11))</f>
        <v/>
      </c>
      <c r="O903" t="str">
        <f t="array" ref="O903">IF($A903="","",INDEX(JupData!$A$2:$K$10000,MATCH($A903&amp;O$1,JupData!$A$2:$A$10000&amp;JupData!$J$2:$J$10000,0),11))</f>
        <v/>
      </c>
      <c r="P903" t="str">
        <f t="array" ref="P903">IF($A903="","",INDEX(JupData!$A$2:$K$10000,MATCH($A903&amp;P$1,JupData!$A$2:$A$10000&amp;JupData!$J$2:$J$10000,0),11))</f>
        <v/>
      </c>
      <c r="Q903" t="str">
        <f t="array" ref="Q903">IF($A903="","",INDEX(JupData!$A$2:$K$10000,MATCH($A903&amp;Q$1,JupData!$A$2:$A$10000&amp;JupData!$J$2:$J$10000,0),11))</f>
        <v/>
      </c>
      <c r="R903" t="str">
        <f t="array" ref="R903">IF($A903="","",INDEX(JupData!$A$2:$K$10000,MATCH($A903&amp;R$1,JupData!$A$2:$A$10000&amp;JupData!$J$2:$J$10000,0),11))</f>
        <v/>
      </c>
      <c r="S903" t="str">
        <f t="array" ref="S903">IF($A903="","",INDEX(JupData!$A$2:$K$10000,MATCH($A903&amp;S$1,JupData!$A$2:$A$10000&amp;JupData!$J$2:$J$10000,0),11))</f>
        <v/>
      </c>
      <c r="T903" t="str">
        <f t="array" ref="T903">IF($A903="","",INDEX(JupData!$A$2:$K$10000,MATCH($A903&amp;T$1,JupData!$A$2:$A$10000&amp;JupData!$J$2:$J$10000,0),11))</f>
        <v/>
      </c>
      <c r="U903" t="str">
        <f t="array" ref="U903">IF($A903="","",INDEX(JupData!$A$2:$K$10000,MATCH($A903&amp;U$1,JupData!$A$2:$A$10000&amp;JupData!$J$2:$J$10000,0),11))</f>
        <v/>
      </c>
      <c r="V903" t="str">
        <f t="array" ref="V903">IF($A903="","",INDEX(JupData!$A$2:$K$10000,MATCH($A903&amp;V$1,JupData!$A$2:$A$10000&amp;JupData!$J$2:$J$10000,0),11))</f>
        <v/>
      </c>
      <c r="W903" t="str">
        <f t="array" ref="W903">IF($A903="","",INDEX(JupData!$A$2:$K$10000,MATCH($A903&amp;W$1,JupData!$A$2:$A$10000&amp;JupData!$J$2:$J$10000,0),11))</f>
        <v/>
      </c>
      <c r="X903" t="str">
        <f t="array" ref="X903">IF($A903="","",INDEX(JupData!$A$2:$K$10000,MATCH($A903&amp;X$1,JupData!$A$2:$A$10000&amp;JupData!$J$2:$J$10000,0),11))</f>
        <v/>
      </c>
      <c r="Y903" t="str">
        <f t="array" ref="Y903">IF($A903="","",INDEX(JupData!$A$2:$K$10000,MATCH($A903&amp;Y$1,JupData!$A$2:$A$10000&amp;JupData!$J$2:$J$10000,0),11))</f>
        <v/>
      </c>
      <c r="Z903" t="str">
        <f t="array" ref="Z903">IF($A903="","",INDEX(JupData!$A$2:$K$10000,MATCH($A903&amp;Z$1,JupData!$A$2:$A$10000&amp;JupData!$J$2:$J$10000,0),11))</f>
        <v/>
      </c>
      <c r="AA903" t="str">
        <f t="array" ref="AA903">IF($A903="","",INDEX(JupData!$A$2:$K$10000,MATCH($A903&amp;AA$1,JupData!$A$2:$A$10000&amp;JupData!$J$2:$J$10000,0),11))</f>
        <v/>
      </c>
      <c r="AB903" t="str">
        <f t="array" ref="AB903">IF($A903="","",INDEX(JupData!$A$2:$K$10000,MATCH($A903&amp;AB$1,JupData!$A$2:$A$10000&amp;JupData!$J$2:$J$10000,0),11))</f>
        <v/>
      </c>
      <c r="AC903" s="10" t="str">
        <f t="shared" si="154"/>
        <v/>
      </c>
      <c r="AD903" s="10" t="str">
        <f t="shared" si="155"/>
        <v/>
      </c>
      <c r="AE903" s="9" t="str">
        <f t="shared" si="156"/>
        <v/>
      </c>
      <c r="AF903" s="10" t="str">
        <f t="shared" si="157"/>
        <v/>
      </c>
      <c r="AG903" s="10" t="str">
        <f t="shared" si="158"/>
        <v/>
      </c>
      <c r="AH903" s="10" t="str">
        <f t="shared" si="159"/>
        <v/>
      </c>
      <c r="AI903" s="10" t="str">
        <f t="shared" si="160"/>
        <v/>
      </c>
      <c r="AJ903" s="10" t="str">
        <f t="shared" si="161"/>
        <v/>
      </c>
      <c r="AK903" s="10" t="str">
        <f t="shared" si="162"/>
        <v/>
      </c>
      <c r="AL903" s="14" t="str">
        <f t="shared" si="163"/>
        <v/>
      </c>
    </row>
    <row r="904" spans="1:38" x14ac:dyDescent="0.2">
      <c r="A904"/>
      <c r="B904" t="str">
        <f>IF($A904="","",VLOOKUP($A904,JupData!$A$2:$I$10000,4,FALSE))</f>
        <v/>
      </c>
      <c r="C904" s="7" t="str">
        <f>IF($A904="",IF(N(D904),0,""),VLOOKUP($A904,JupData!$A$2:$I$10000,7,FALSE))</f>
        <v/>
      </c>
      <c r="D904" t="str">
        <f t="shared" si="164"/>
        <v/>
      </c>
      <c r="E904" t="str">
        <f t="array" ref="E904">IF($A904="","",INDEX(JupData!$A$2:$K$10000,MATCH($A904&amp;E$1,JupData!$A$2:$A$10000&amp;JupData!$J$2:$J$10000,0),11))</f>
        <v/>
      </c>
      <c r="F904" t="str">
        <f t="array" ref="F904">IF($A904="","",INDEX(JupData!$A$2:$K$10000,MATCH($A904&amp;F$1,JupData!$A$2:$A$10000&amp;JupData!$J$2:$J$10000,0),11))</f>
        <v/>
      </c>
      <c r="G904" t="str">
        <f t="array" ref="G904">IF($A904="","",INDEX(JupData!$A$2:$K$10000,MATCH($A904&amp;G$1,JupData!$A$2:$A$10000&amp;JupData!$J$2:$J$10000,0),11))</f>
        <v/>
      </c>
      <c r="H904" t="str">
        <f t="array" ref="H904">IF($A904="","",INDEX(JupData!$A$2:$K$10000,MATCH($A904&amp;H$1,JupData!$A$2:$A$10000&amp;JupData!$J$2:$J$10000,0),11))</f>
        <v/>
      </c>
      <c r="I904" t="str">
        <f t="array" ref="I904">IF($A904="","",INDEX(JupData!$A$2:$K$10000,MATCH($A904&amp;I$1,JupData!$A$2:$A$10000&amp;JupData!$J$2:$J$10000,0),11))</f>
        <v/>
      </c>
      <c r="J904" t="str">
        <f t="array" ref="J904">IF($A904="","",INDEX(JupData!$A$2:$K$10000,MATCH($A904&amp;J$1,JupData!$A$2:$A$10000&amp;JupData!$J$2:$J$10000,0),11))</f>
        <v/>
      </c>
      <c r="K904" t="str">
        <f t="array" ref="K904">IF($A904="","",INDEX(JupData!$A$2:$K$10000,MATCH($A904&amp;K$1,JupData!$A$2:$A$10000&amp;JupData!$J$2:$J$10000,0),11))</f>
        <v/>
      </c>
      <c r="L904" t="str">
        <f t="array" ref="L904">IF($A904="","",INDEX(JupData!$A$2:$K$10000,MATCH($A904&amp;L$1,JupData!$A$2:$A$10000&amp;JupData!$J$2:$J$10000,0),11))</f>
        <v/>
      </c>
      <c r="M904" t="str">
        <f t="array" ref="M904">IF($A904="","",INDEX(JupData!$A$2:$K$10000,MATCH($A904&amp;M$1,JupData!$A$2:$A$10000&amp;JupData!$J$2:$J$10000,0),11))</f>
        <v/>
      </c>
      <c r="N904" t="str">
        <f t="array" ref="N904">IF($A904="","",INDEX(JupData!$A$2:$K$10000,MATCH($A904&amp;N$1,JupData!$A$2:$A$10000&amp;JupData!$J$2:$J$10000,0),11))</f>
        <v/>
      </c>
      <c r="O904" t="str">
        <f t="array" ref="O904">IF($A904="","",INDEX(JupData!$A$2:$K$10000,MATCH($A904&amp;O$1,JupData!$A$2:$A$10000&amp;JupData!$J$2:$J$10000,0),11))</f>
        <v/>
      </c>
      <c r="P904" t="str">
        <f t="array" ref="P904">IF($A904="","",INDEX(JupData!$A$2:$K$10000,MATCH($A904&amp;P$1,JupData!$A$2:$A$10000&amp;JupData!$J$2:$J$10000,0),11))</f>
        <v/>
      </c>
      <c r="Q904" t="str">
        <f t="array" ref="Q904">IF($A904="","",INDEX(JupData!$A$2:$K$10000,MATCH($A904&amp;Q$1,JupData!$A$2:$A$10000&amp;JupData!$J$2:$J$10000,0),11))</f>
        <v/>
      </c>
      <c r="R904" t="str">
        <f t="array" ref="R904">IF($A904="","",INDEX(JupData!$A$2:$K$10000,MATCH($A904&amp;R$1,JupData!$A$2:$A$10000&amp;JupData!$J$2:$J$10000,0),11))</f>
        <v/>
      </c>
      <c r="S904" t="str">
        <f t="array" ref="S904">IF($A904="","",INDEX(JupData!$A$2:$K$10000,MATCH($A904&amp;S$1,JupData!$A$2:$A$10000&amp;JupData!$J$2:$J$10000,0),11))</f>
        <v/>
      </c>
      <c r="T904" t="str">
        <f t="array" ref="T904">IF($A904="","",INDEX(JupData!$A$2:$K$10000,MATCH($A904&amp;T$1,JupData!$A$2:$A$10000&amp;JupData!$J$2:$J$10000,0),11))</f>
        <v/>
      </c>
      <c r="U904" t="str">
        <f t="array" ref="U904">IF($A904="","",INDEX(JupData!$A$2:$K$10000,MATCH($A904&amp;U$1,JupData!$A$2:$A$10000&amp;JupData!$J$2:$J$10000,0),11))</f>
        <v/>
      </c>
      <c r="V904" t="str">
        <f t="array" ref="V904">IF($A904="","",INDEX(JupData!$A$2:$K$10000,MATCH($A904&amp;V$1,JupData!$A$2:$A$10000&amp;JupData!$J$2:$J$10000,0),11))</f>
        <v/>
      </c>
      <c r="W904" t="str">
        <f t="array" ref="W904">IF($A904="","",INDEX(JupData!$A$2:$K$10000,MATCH($A904&amp;W$1,JupData!$A$2:$A$10000&amp;JupData!$J$2:$J$10000,0),11))</f>
        <v/>
      </c>
      <c r="X904" t="str">
        <f t="array" ref="X904">IF($A904="","",INDEX(JupData!$A$2:$K$10000,MATCH($A904&amp;X$1,JupData!$A$2:$A$10000&amp;JupData!$J$2:$J$10000,0),11))</f>
        <v/>
      </c>
      <c r="Y904" t="str">
        <f t="array" ref="Y904">IF($A904="","",INDEX(JupData!$A$2:$K$10000,MATCH($A904&amp;Y$1,JupData!$A$2:$A$10000&amp;JupData!$J$2:$J$10000,0),11))</f>
        <v/>
      </c>
      <c r="Z904" t="str">
        <f t="array" ref="Z904">IF($A904="","",INDEX(JupData!$A$2:$K$10000,MATCH($A904&amp;Z$1,JupData!$A$2:$A$10000&amp;JupData!$J$2:$J$10000,0),11))</f>
        <v/>
      </c>
      <c r="AA904" t="str">
        <f t="array" ref="AA904">IF($A904="","",INDEX(JupData!$A$2:$K$10000,MATCH($A904&amp;AA$1,JupData!$A$2:$A$10000&amp;JupData!$J$2:$J$10000,0),11))</f>
        <v/>
      </c>
      <c r="AB904" t="str">
        <f t="array" ref="AB904">IF($A904="","",INDEX(JupData!$A$2:$K$10000,MATCH($A904&amp;AB$1,JupData!$A$2:$A$10000&amp;JupData!$J$2:$J$10000,0),11))</f>
        <v/>
      </c>
      <c r="AC904" s="10" t="str">
        <f t="shared" si="154"/>
        <v/>
      </c>
      <c r="AD904" s="10" t="str">
        <f t="shared" si="155"/>
        <v/>
      </c>
      <c r="AE904" s="9" t="str">
        <f t="shared" si="156"/>
        <v/>
      </c>
      <c r="AF904" s="10" t="str">
        <f t="shared" si="157"/>
        <v/>
      </c>
      <c r="AG904" s="10" t="str">
        <f t="shared" si="158"/>
        <v/>
      </c>
      <c r="AH904" s="10" t="str">
        <f t="shared" si="159"/>
        <v/>
      </c>
      <c r="AI904" s="10" t="str">
        <f t="shared" si="160"/>
        <v/>
      </c>
      <c r="AJ904" s="10" t="str">
        <f t="shared" si="161"/>
        <v/>
      </c>
      <c r="AK904" s="10" t="str">
        <f t="shared" si="162"/>
        <v/>
      </c>
      <c r="AL904" s="14" t="str">
        <f t="shared" si="163"/>
        <v/>
      </c>
    </row>
    <row r="905" spans="1:38" x14ac:dyDescent="0.2">
      <c r="A905"/>
      <c r="B905" t="str">
        <f>IF($A905="","",VLOOKUP($A905,JupData!$A$2:$I$10000,4,FALSE))</f>
        <v/>
      </c>
      <c r="C905" s="7" t="str">
        <f>IF($A905="",IF(N(D905),0,""),VLOOKUP($A905,JupData!$A$2:$I$10000,7,FALSE))</f>
        <v/>
      </c>
      <c r="D905" t="str">
        <f t="shared" si="164"/>
        <v/>
      </c>
      <c r="E905" t="str">
        <f t="array" ref="E905">IF($A905="","",INDEX(JupData!$A$2:$K$10000,MATCH($A905&amp;E$1,JupData!$A$2:$A$10000&amp;JupData!$J$2:$J$10000,0),11))</f>
        <v/>
      </c>
      <c r="F905" t="str">
        <f t="array" ref="F905">IF($A905="","",INDEX(JupData!$A$2:$K$10000,MATCH($A905&amp;F$1,JupData!$A$2:$A$10000&amp;JupData!$J$2:$J$10000,0),11))</f>
        <v/>
      </c>
      <c r="G905" t="str">
        <f t="array" ref="G905">IF($A905="","",INDEX(JupData!$A$2:$K$10000,MATCH($A905&amp;G$1,JupData!$A$2:$A$10000&amp;JupData!$J$2:$J$10000,0),11))</f>
        <v/>
      </c>
      <c r="H905" t="str">
        <f t="array" ref="H905">IF($A905="","",INDEX(JupData!$A$2:$K$10000,MATCH($A905&amp;H$1,JupData!$A$2:$A$10000&amp;JupData!$J$2:$J$10000,0),11))</f>
        <v/>
      </c>
      <c r="I905" t="str">
        <f t="array" ref="I905">IF($A905="","",INDEX(JupData!$A$2:$K$10000,MATCH($A905&amp;I$1,JupData!$A$2:$A$10000&amp;JupData!$J$2:$J$10000,0),11))</f>
        <v/>
      </c>
      <c r="J905" t="str">
        <f t="array" ref="J905">IF($A905="","",INDEX(JupData!$A$2:$K$10000,MATCH($A905&amp;J$1,JupData!$A$2:$A$10000&amp;JupData!$J$2:$J$10000,0),11))</f>
        <v/>
      </c>
      <c r="K905" t="str">
        <f t="array" ref="K905">IF($A905="","",INDEX(JupData!$A$2:$K$10000,MATCH($A905&amp;K$1,JupData!$A$2:$A$10000&amp;JupData!$J$2:$J$10000,0),11))</f>
        <v/>
      </c>
      <c r="L905" t="str">
        <f t="array" ref="L905">IF($A905="","",INDEX(JupData!$A$2:$K$10000,MATCH($A905&amp;L$1,JupData!$A$2:$A$10000&amp;JupData!$J$2:$J$10000,0),11))</f>
        <v/>
      </c>
      <c r="M905" t="str">
        <f t="array" ref="M905">IF($A905="","",INDEX(JupData!$A$2:$K$10000,MATCH($A905&amp;M$1,JupData!$A$2:$A$10000&amp;JupData!$J$2:$J$10000,0),11))</f>
        <v/>
      </c>
      <c r="N905" t="str">
        <f t="array" ref="N905">IF($A905="","",INDEX(JupData!$A$2:$K$10000,MATCH($A905&amp;N$1,JupData!$A$2:$A$10000&amp;JupData!$J$2:$J$10000,0),11))</f>
        <v/>
      </c>
      <c r="O905" t="str">
        <f t="array" ref="O905">IF($A905="","",INDEX(JupData!$A$2:$K$10000,MATCH($A905&amp;O$1,JupData!$A$2:$A$10000&amp;JupData!$J$2:$J$10000,0),11))</f>
        <v/>
      </c>
      <c r="P905" t="str">
        <f t="array" ref="P905">IF($A905="","",INDEX(JupData!$A$2:$K$10000,MATCH($A905&amp;P$1,JupData!$A$2:$A$10000&amp;JupData!$J$2:$J$10000,0),11))</f>
        <v/>
      </c>
      <c r="Q905" t="str">
        <f t="array" ref="Q905">IF($A905="","",INDEX(JupData!$A$2:$K$10000,MATCH($A905&amp;Q$1,JupData!$A$2:$A$10000&amp;JupData!$J$2:$J$10000,0),11))</f>
        <v/>
      </c>
      <c r="R905" t="str">
        <f t="array" ref="R905">IF($A905="","",INDEX(JupData!$A$2:$K$10000,MATCH($A905&amp;R$1,JupData!$A$2:$A$10000&amp;JupData!$J$2:$J$10000,0),11))</f>
        <v/>
      </c>
      <c r="S905" t="str">
        <f t="array" ref="S905">IF($A905="","",INDEX(JupData!$A$2:$K$10000,MATCH($A905&amp;S$1,JupData!$A$2:$A$10000&amp;JupData!$J$2:$J$10000,0),11))</f>
        <v/>
      </c>
      <c r="T905" t="str">
        <f t="array" ref="T905">IF($A905="","",INDEX(JupData!$A$2:$K$10000,MATCH($A905&amp;T$1,JupData!$A$2:$A$10000&amp;JupData!$J$2:$J$10000,0),11))</f>
        <v/>
      </c>
      <c r="U905" t="str">
        <f t="array" ref="U905">IF($A905="","",INDEX(JupData!$A$2:$K$10000,MATCH($A905&amp;U$1,JupData!$A$2:$A$10000&amp;JupData!$J$2:$J$10000,0),11))</f>
        <v/>
      </c>
      <c r="V905" t="str">
        <f t="array" ref="V905">IF($A905="","",INDEX(JupData!$A$2:$K$10000,MATCH($A905&amp;V$1,JupData!$A$2:$A$10000&amp;JupData!$J$2:$J$10000,0),11))</f>
        <v/>
      </c>
      <c r="W905" t="str">
        <f t="array" ref="W905">IF($A905="","",INDEX(JupData!$A$2:$K$10000,MATCH($A905&amp;W$1,JupData!$A$2:$A$10000&amp;JupData!$J$2:$J$10000,0),11))</f>
        <v/>
      </c>
      <c r="X905" t="str">
        <f t="array" ref="X905">IF($A905="","",INDEX(JupData!$A$2:$K$10000,MATCH($A905&amp;X$1,JupData!$A$2:$A$10000&amp;JupData!$J$2:$J$10000,0),11))</f>
        <v/>
      </c>
      <c r="Y905" t="str">
        <f t="array" ref="Y905">IF($A905="","",INDEX(JupData!$A$2:$K$10000,MATCH($A905&amp;Y$1,JupData!$A$2:$A$10000&amp;JupData!$J$2:$J$10000,0),11))</f>
        <v/>
      </c>
      <c r="Z905" t="str">
        <f t="array" ref="Z905">IF($A905="","",INDEX(JupData!$A$2:$K$10000,MATCH($A905&amp;Z$1,JupData!$A$2:$A$10000&amp;JupData!$J$2:$J$10000,0),11))</f>
        <v/>
      </c>
      <c r="AA905" t="str">
        <f t="array" ref="AA905">IF($A905="","",INDEX(JupData!$A$2:$K$10000,MATCH($A905&amp;AA$1,JupData!$A$2:$A$10000&amp;JupData!$J$2:$J$10000,0),11))</f>
        <v/>
      </c>
      <c r="AB905" t="str">
        <f t="array" ref="AB905">IF($A905="","",INDEX(JupData!$A$2:$K$10000,MATCH($A905&amp;AB$1,JupData!$A$2:$A$10000&amp;JupData!$J$2:$J$10000,0),11))</f>
        <v/>
      </c>
      <c r="AC905" s="10" t="str">
        <f t="shared" si="154"/>
        <v/>
      </c>
      <c r="AD905" s="10" t="str">
        <f t="shared" si="155"/>
        <v/>
      </c>
      <c r="AE905" s="9" t="str">
        <f t="shared" si="156"/>
        <v/>
      </c>
      <c r="AF905" s="10" t="str">
        <f t="shared" si="157"/>
        <v/>
      </c>
      <c r="AG905" s="10" t="str">
        <f t="shared" si="158"/>
        <v/>
      </c>
      <c r="AH905" s="10" t="str">
        <f t="shared" si="159"/>
        <v/>
      </c>
      <c r="AI905" s="10" t="str">
        <f t="shared" si="160"/>
        <v/>
      </c>
      <c r="AJ905" s="10" t="str">
        <f t="shared" si="161"/>
        <v/>
      </c>
      <c r="AK905" s="10" t="str">
        <f t="shared" si="162"/>
        <v/>
      </c>
      <c r="AL905" s="14" t="str">
        <f t="shared" si="163"/>
        <v/>
      </c>
    </row>
    <row r="906" spans="1:38" x14ac:dyDescent="0.2">
      <c r="A906"/>
      <c r="B906" t="str">
        <f>IF($A906="","",VLOOKUP($A906,JupData!$A$2:$I$10000,4,FALSE))</f>
        <v/>
      </c>
      <c r="C906" s="7" t="str">
        <f>IF($A906="",IF(N(D906),0,""),VLOOKUP($A906,JupData!$A$2:$I$10000,7,FALSE))</f>
        <v/>
      </c>
      <c r="D906" t="str">
        <f t="shared" si="164"/>
        <v/>
      </c>
      <c r="E906" t="str">
        <f t="array" ref="E906">IF($A906="","",INDEX(JupData!$A$2:$K$10000,MATCH($A906&amp;E$1,JupData!$A$2:$A$10000&amp;JupData!$J$2:$J$10000,0),11))</f>
        <v/>
      </c>
      <c r="F906" t="str">
        <f t="array" ref="F906">IF($A906="","",INDEX(JupData!$A$2:$K$10000,MATCH($A906&amp;F$1,JupData!$A$2:$A$10000&amp;JupData!$J$2:$J$10000,0),11))</f>
        <v/>
      </c>
      <c r="G906" t="str">
        <f t="array" ref="G906">IF($A906="","",INDEX(JupData!$A$2:$K$10000,MATCH($A906&amp;G$1,JupData!$A$2:$A$10000&amp;JupData!$J$2:$J$10000,0),11))</f>
        <v/>
      </c>
      <c r="H906" t="str">
        <f t="array" ref="H906">IF($A906="","",INDEX(JupData!$A$2:$K$10000,MATCH($A906&amp;H$1,JupData!$A$2:$A$10000&amp;JupData!$J$2:$J$10000,0),11))</f>
        <v/>
      </c>
      <c r="I906" t="str">
        <f t="array" ref="I906">IF($A906="","",INDEX(JupData!$A$2:$K$10000,MATCH($A906&amp;I$1,JupData!$A$2:$A$10000&amp;JupData!$J$2:$J$10000,0),11))</f>
        <v/>
      </c>
      <c r="J906" t="str">
        <f t="array" ref="J906">IF($A906="","",INDEX(JupData!$A$2:$K$10000,MATCH($A906&amp;J$1,JupData!$A$2:$A$10000&amp;JupData!$J$2:$J$10000,0),11))</f>
        <v/>
      </c>
      <c r="K906" t="str">
        <f t="array" ref="K906">IF($A906="","",INDEX(JupData!$A$2:$K$10000,MATCH($A906&amp;K$1,JupData!$A$2:$A$10000&amp;JupData!$J$2:$J$10000,0),11))</f>
        <v/>
      </c>
      <c r="L906" t="str">
        <f t="array" ref="L906">IF($A906="","",INDEX(JupData!$A$2:$K$10000,MATCH($A906&amp;L$1,JupData!$A$2:$A$10000&amp;JupData!$J$2:$J$10000,0),11))</f>
        <v/>
      </c>
      <c r="M906" t="str">
        <f t="array" ref="M906">IF($A906="","",INDEX(JupData!$A$2:$K$10000,MATCH($A906&amp;M$1,JupData!$A$2:$A$10000&amp;JupData!$J$2:$J$10000,0),11))</f>
        <v/>
      </c>
      <c r="N906" t="str">
        <f t="array" ref="N906">IF($A906="","",INDEX(JupData!$A$2:$K$10000,MATCH($A906&amp;N$1,JupData!$A$2:$A$10000&amp;JupData!$J$2:$J$10000,0),11))</f>
        <v/>
      </c>
      <c r="O906" t="str">
        <f t="array" ref="O906">IF($A906="","",INDEX(JupData!$A$2:$K$10000,MATCH($A906&amp;O$1,JupData!$A$2:$A$10000&amp;JupData!$J$2:$J$10000,0),11))</f>
        <v/>
      </c>
      <c r="P906" t="str">
        <f t="array" ref="P906">IF($A906="","",INDEX(JupData!$A$2:$K$10000,MATCH($A906&amp;P$1,JupData!$A$2:$A$10000&amp;JupData!$J$2:$J$10000,0),11))</f>
        <v/>
      </c>
      <c r="Q906" t="str">
        <f t="array" ref="Q906">IF($A906="","",INDEX(JupData!$A$2:$K$10000,MATCH($A906&amp;Q$1,JupData!$A$2:$A$10000&amp;JupData!$J$2:$J$10000,0),11))</f>
        <v/>
      </c>
      <c r="R906" t="str">
        <f t="array" ref="R906">IF($A906="","",INDEX(JupData!$A$2:$K$10000,MATCH($A906&amp;R$1,JupData!$A$2:$A$10000&amp;JupData!$J$2:$J$10000,0),11))</f>
        <v/>
      </c>
      <c r="S906" t="str">
        <f t="array" ref="S906">IF($A906="","",INDEX(JupData!$A$2:$K$10000,MATCH($A906&amp;S$1,JupData!$A$2:$A$10000&amp;JupData!$J$2:$J$10000,0),11))</f>
        <v/>
      </c>
      <c r="T906" t="str">
        <f t="array" ref="T906">IF($A906="","",INDEX(JupData!$A$2:$K$10000,MATCH($A906&amp;T$1,JupData!$A$2:$A$10000&amp;JupData!$J$2:$J$10000,0),11))</f>
        <v/>
      </c>
      <c r="U906" t="str">
        <f t="array" ref="U906">IF($A906="","",INDEX(JupData!$A$2:$K$10000,MATCH($A906&amp;U$1,JupData!$A$2:$A$10000&amp;JupData!$J$2:$J$10000,0),11))</f>
        <v/>
      </c>
      <c r="V906" t="str">
        <f t="array" ref="V906">IF($A906="","",INDEX(JupData!$A$2:$K$10000,MATCH($A906&amp;V$1,JupData!$A$2:$A$10000&amp;JupData!$J$2:$J$10000,0),11))</f>
        <v/>
      </c>
      <c r="W906" t="str">
        <f t="array" ref="W906">IF($A906="","",INDEX(JupData!$A$2:$K$10000,MATCH($A906&amp;W$1,JupData!$A$2:$A$10000&amp;JupData!$J$2:$J$10000,0),11))</f>
        <v/>
      </c>
      <c r="X906" t="str">
        <f t="array" ref="X906">IF($A906="","",INDEX(JupData!$A$2:$K$10000,MATCH($A906&amp;X$1,JupData!$A$2:$A$10000&amp;JupData!$J$2:$J$10000,0),11))</f>
        <v/>
      </c>
      <c r="Y906" t="str">
        <f t="array" ref="Y906">IF($A906="","",INDEX(JupData!$A$2:$K$10000,MATCH($A906&amp;Y$1,JupData!$A$2:$A$10000&amp;JupData!$J$2:$J$10000,0),11))</f>
        <v/>
      </c>
      <c r="Z906" t="str">
        <f t="array" ref="Z906">IF($A906="","",INDEX(JupData!$A$2:$K$10000,MATCH($A906&amp;Z$1,JupData!$A$2:$A$10000&amp;JupData!$J$2:$J$10000,0),11))</f>
        <v/>
      </c>
      <c r="AA906" t="str">
        <f t="array" ref="AA906">IF($A906="","",INDEX(JupData!$A$2:$K$10000,MATCH($A906&amp;AA$1,JupData!$A$2:$A$10000&amp;JupData!$J$2:$J$10000,0),11))</f>
        <v/>
      </c>
      <c r="AB906" t="str">
        <f t="array" ref="AB906">IF($A906="","",INDEX(JupData!$A$2:$K$10000,MATCH($A906&amp;AB$1,JupData!$A$2:$A$10000&amp;JupData!$J$2:$J$10000,0),11))</f>
        <v/>
      </c>
      <c r="AC906" s="10" t="str">
        <f t="shared" si="154"/>
        <v/>
      </c>
      <c r="AD906" s="10" t="str">
        <f t="shared" si="155"/>
        <v/>
      </c>
      <c r="AE906" s="9" t="str">
        <f t="shared" si="156"/>
        <v/>
      </c>
      <c r="AF906" s="10" t="str">
        <f t="shared" si="157"/>
        <v/>
      </c>
      <c r="AG906" s="10" t="str">
        <f t="shared" si="158"/>
        <v/>
      </c>
      <c r="AH906" s="10" t="str">
        <f t="shared" si="159"/>
        <v/>
      </c>
      <c r="AI906" s="10" t="str">
        <f t="shared" si="160"/>
        <v/>
      </c>
      <c r="AJ906" s="10" t="str">
        <f t="shared" si="161"/>
        <v/>
      </c>
      <c r="AK906" s="10" t="str">
        <f t="shared" si="162"/>
        <v/>
      </c>
      <c r="AL906" s="14" t="str">
        <f t="shared" si="163"/>
        <v/>
      </c>
    </row>
    <row r="907" spans="1:38" x14ac:dyDescent="0.2">
      <c r="A907"/>
      <c r="B907" t="str">
        <f>IF($A907="","",VLOOKUP($A907,JupData!$A$2:$I$10000,4,FALSE))</f>
        <v/>
      </c>
      <c r="C907" s="7" t="str">
        <f>IF($A907="",IF(N(D907),0,""),VLOOKUP($A907,JupData!$A$2:$I$10000,7,FALSE))</f>
        <v/>
      </c>
      <c r="D907" t="str">
        <f t="shared" si="164"/>
        <v/>
      </c>
      <c r="E907" t="str">
        <f t="array" ref="E907">IF($A907="","",INDEX(JupData!$A$2:$K$10000,MATCH($A907&amp;E$1,JupData!$A$2:$A$10000&amp;JupData!$J$2:$J$10000,0),11))</f>
        <v/>
      </c>
      <c r="F907" t="str">
        <f t="array" ref="F907">IF($A907="","",INDEX(JupData!$A$2:$K$10000,MATCH($A907&amp;F$1,JupData!$A$2:$A$10000&amp;JupData!$J$2:$J$10000,0),11))</f>
        <v/>
      </c>
      <c r="G907" t="str">
        <f t="array" ref="G907">IF($A907="","",INDEX(JupData!$A$2:$K$10000,MATCH($A907&amp;G$1,JupData!$A$2:$A$10000&amp;JupData!$J$2:$J$10000,0),11))</f>
        <v/>
      </c>
      <c r="H907" t="str">
        <f t="array" ref="H907">IF($A907="","",INDEX(JupData!$A$2:$K$10000,MATCH($A907&amp;H$1,JupData!$A$2:$A$10000&amp;JupData!$J$2:$J$10000,0),11))</f>
        <v/>
      </c>
      <c r="I907" t="str">
        <f t="array" ref="I907">IF($A907="","",INDEX(JupData!$A$2:$K$10000,MATCH($A907&amp;I$1,JupData!$A$2:$A$10000&amp;JupData!$J$2:$J$10000,0),11))</f>
        <v/>
      </c>
      <c r="J907" t="str">
        <f t="array" ref="J907">IF($A907="","",INDEX(JupData!$A$2:$K$10000,MATCH($A907&amp;J$1,JupData!$A$2:$A$10000&amp;JupData!$J$2:$J$10000,0),11))</f>
        <v/>
      </c>
      <c r="K907" t="str">
        <f t="array" ref="K907">IF($A907="","",INDEX(JupData!$A$2:$K$10000,MATCH($A907&amp;K$1,JupData!$A$2:$A$10000&amp;JupData!$J$2:$J$10000,0),11))</f>
        <v/>
      </c>
      <c r="L907" t="str">
        <f t="array" ref="L907">IF($A907="","",INDEX(JupData!$A$2:$K$10000,MATCH($A907&amp;L$1,JupData!$A$2:$A$10000&amp;JupData!$J$2:$J$10000,0),11))</f>
        <v/>
      </c>
      <c r="M907" t="str">
        <f t="array" ref="M907">IF($A907="","",INDEX(JupData!$A$2:$K$10000,MATCH($A907&amp;M$1,JupData!$A$2:$A$10000&amp;JupData!$J$2:$J$10000,0),11))</f>
        <v/>
      </c>
      <c r="N907" t="str">
        <f t="array" ref="N907">IF($A907="","",INDEX(JupData!$A$2:$K$10000,MATCH($A907&amp;N$1,JupData!$A$2:$A$10000&amp;JupData!$J$2:$J$10000,0),11))</f>
        <v/>
      </c>
      <c r="O907" t="str">
        <f t="array" ref="O907">IF($A907="","",INDEX(JupData!$A$2:$K$10000,MATCH($A907&amp;O$1,JupData!$A$2:$A$10000&amp;JupData!$J$2:$J$10000,0),11))</f>
        <v/>
      </c>
      <c r="P907" t="str">
        <f t="array" ref="P907">IF($A907="","",INDEX(JupData!$A$2:$K$10000,MATCH($A907&amp;P$1,JupData!$A$2:$A$10000&amp;JupData!$J$2:$J$10000,0),11))</f>
        <v/>
      </c>
      <c r="Q907" t="str">
        <f t="array" ref="Q907">IF($A907="","",INDEX(JupData!$A$2:$K$10000,MATCH($A907&amp;Q$1,JupData!$A$2:$A$10000&amp;JupData!$J$2:$J$10000,0),11))</f>
        <v/>
      </c>
      <c r="R907" t="str">
        <f t="array" ref="R907">IF($A907="","",INDEX(JupData!$A$2:$K$10000,MATCH($A907&amp;R$1,JupData!$A$2:$A$10000&amp;JupData!$J$2:$J$10000,0),11))</f>
        <v/>
      </c>
      <c r="S907" t="str">
        <f t="array" ref="S907">IF($A907="","",INDEX(JupData!$A$2:$K$10000,MATCH($A907&amp;S$1,JupData!$A$2:$A$10000&amp;JupData!$J$2:$J$10000,0),11))</f>
        <v/>
      </c>
      <c r="T907" t="str">
        <f t="array" ref="T907">IF($A907="","",INDEX(JupData!$A$2:$K$10000,MATCH($A907&amp;T$1,JupData!$A$2:$A$10000&amp;JupData!$J$2:$J$10000,0),11))</f>
        <v/>
      </c>
      <c r="U907" t="str">
        <f t="array" ref="U907">IF($A907="","",INDEX(JupData!$A$2:$K$10000,MATCH($A907&amp;U$1,JupData!$A$2:$A$10000&amp;JupData!$J$2:$J$10000,0),11))</f>
        <v/>
      </c>
      <c r="V907" t="str">
        <f t="array" ref="V907">IF($A907="","",INDEX(JupData!$A$2:$K$10000,MATCH($A907&amp;V$1,JupData!$A$2:$A$10000&amp;JupData!$J$2:$J$10000,0),11))</f>
        <v/>
      </c>
      <c r="W907" t="str">
        <f t="array" ref="W907">IF($A907="","",INDEX(JupData!$A$2:$K$10000,MATCH($A907&amp;W$1,JupData!$A$2:$A$10000&amp;JupData!$J$2:$J$10000,0),11))</f>
        <v/>
      </c>
      <c r="X907" t="str">
        <f t="array" ref="X907">IF($A907="","",INDEX(JupData!$A$2:$K$10000,MATCH($A907&amp;X$1,JupData!$A$2:$A$10000&amp;JupData!$J$2:$J$10000,0),11))</f>
        <v/>
      </c>
      <c r="Y907" t="str">
        <f t="array" ref="Y907">IF($A907="","",INDEX(JupData!$A$2:$K$10000,MATCH($A907&amp;Y$1,JupData!$A$2:$A$10000&amp;JupData!$J$2:$J$10000,0),11))</f>
        <v/>
      </c>
      <c r="Z907" t="str">
        <f t="array" ref="Z907">IF($A907="","",INDEX(JupData!$A$2:$K$10000,MATCH($A907&amp;Z$1,JupData!$A$2:$A$10000&amp;JupData!$J$2:$J$10000,0),11))</f>
        <v/>
      </c>
      <c r="AA907" t="str">
        <f t="array" ref="AA907">IF($A907="","",INDEX(JupData!$A$2:$K$10000,MATCH($A907&amp;AA$1,JupData!$A$2:$A$10000&amp;JupData!$J$2:$J$10000,0),11))</f>
        <v/>
      </c>
      <c r="AB907" t="str">
        <f t="array" ref="AB907">IF($A907="","",INDEX(JupData!$A$2:$K$10000,MATCH($A907&amp;AB$1,JupData!$A$2:$A$10000&amp;JupData!$J$2:$J$10000,0),11))</f>
        <v/>
      </c>
      <c r="AC907" s="10" t="str">
        <f t="shared" si="154"/>
        <v/>
      </c>
      <c r="AD907" s="10" t="str">
        <f t="shared" si="155"/>
        <v/>
      </c>
      <c r="AE907" s="9" t="str">
        <f t="shared" si="156"/>
        <v/>
      </c>
      <c r="AF907" s="10" t="str">
        <f t="shared" si="157"/>
        <v/>
      </c>
      <c r="AG907" s="10" t="str">
        <f t="shared" si="158"/>
        <v/>
      </c>
      <c r="AH907" s="10" t="str">
        <f t="shared" si="159"/>
        <v/>
      </c>
      <c r="AI907" s="10" t="str">
        <f t="shared" si="160"/>
        <v/>
      </c>
      <c r="AJ907" s="10" t="str">
        <f t="shared" si="161"/>
        <v/>
      </c>
      <c r="AK907" s="10" t="str">
        <f t="shared" si="162"/>
        <v/>
      </c>
      <c r="AL907" s="14" t="str">
        <f t="shared" si="163"/>
        <v/>
      </c>
    </row>
    <row r="908" spans="1:38" x14ac:dyDescent="0.2">
      <c r="A908"/>
      <c r="B908" t="str">
        <f>IF($A908="","",VLOOKUP($A908,JupData!$A$2:$I$10000,4,FALSE))</f>
        <v/>
      </c>
      <c r="C908" s="7" t="str">
        <f>IF($A908="",IF(N(D908),0,""),VLOOKUP($A908,JupData!$A$2:$I$10000,7,FALSE))</f>
        <v/>
      </c>
      <c r="D908" t="str">
        <f t="shared" si="164"/>
        <v/>
      </c>
      <c r="E908" t="str">
        <f t="array" ref="E908">IF($A908="","",INDEX(JupData!$A$2:$K$10000,MATCH($A908&amp;E$1,JupData!$A$2:$A$10000&amp;JupData!$J$2:$J$10000,0),11))</f>
        <v/>
      </c>
      <c r="F908" t="str">
        <f t="array" ref="F908">IF($A908="","",INDEX(JupData!$A$2:$K$10000,MATCH($A908&amp;F$1,JupData!$A$2:$A$10000&amp;JupData!$J$2:$J$10000,0),11))</f>
        <v/>
      </c>
      <c r="G908" t="str">
        <f t="array" ref="G908">IF($A908="","",INDEX(JupData!$A$2:$K$10000,MATCH($A908&amp;G$1,JupData!$A$2:$A$10000&amp;JupData!$J$2:$J$10000,0),11))</f>
        <v/>
      </c>
      <c r="H908" t="str">
        <f t="array" ref="H908">IF($A908="","",INDEX(JupData!$A$2:$K$10000,MATCH($A908&amp;H$1,JupData!$A$2:$A$10000&amp;JupData!$J$2:$J$10000,0),11))</f>
        <v/>
      </c>
      <c r="I908" t="str">
        <f t="array" ref="I908">IF($A908="","",INDEX(JupData!$A$2:$K$10000,MATCH($A908&amp;I$1,JupData!$A$2:$A$10000&amp;JupData!$J$2:$J$10000,0),11))</f>
        <v/>
      </c>
      <c r="J908" t="str">
        <f t="array" ref="J908">IF($A908="","",INDEX(JupData!$A$2:$K$10000,MATCH($A908&amp;J$1,JupData!$A$2:$A$10000&amp;JupData!$J$2:$J$10000,0),11))</f>
        <v/>
      </c>
      <c r="K908" t="str">
        <f t="array" ref="K908">IF($A908="","",INDEX(JupData!$A$2:$K$10000,MATCH($A908&amp;K$1,JupData!$A$2:$A$10000&amp;JupData!$J$2:$J$10000,0),11))</f>
        <v/>
      </c>
      <c r="L908" t="str">
        <f t="array" ref="L908">IF($A908="","",INDEX(JupData!$A$2:$K$10000,MATCH($A908&amp;L$1,JupData!$A$2:$A$10000&amp;JupData!$J$2:$J$10000,0),11))</f>
        <v/>
      </c>
      <c r="M908" t="str">
        <f t="array" ref="M908">IF($A908="","",INDEX(JupData!$A$2:$K$10000,MATCH($A908&amp;M$1,JupData!$A$2:$A$10000&amp;JupData!$J$2:$J$10000,0),11))</f>
        <v/>
      </c>
      <c r="N908" t="str">
        <f t="array" ref="N908">IF($A908="","",INDEX(JupData!$A$2:$K$10000,MATCH($A908&amp;N$1,JupData!$A$2:$A$10000&amp;JupData!$J$2:$J$10000,0),11))</f>
        <v/>
      </c>
      <c r="O908" t="str">
        <f t="array" ref="O908">IF($A908="","",INDEX(JupData!$A$2:$K$10000,MATCH($A908&amp;O$1,JupData!$A$2:$A$10000&amp;JupData!$J$2:$J$10000,0),11))</f>
        <v/>
      </c>
      <c r="P908" t="str">
        <f t="array" ref="P908">IF($A908="","",INDEX(JupData!$A$2:$K$10000,MATCH($A908&amp;P$1,JupData!$A$2:$A$10000&amp;JupData!$J$2:$J$10000,0),11))</f>
        <v/>
      </c>
      <c r="Q908" t="str">
        <f t="array" ref="Q908">IF($A908="","",INDEX(JupData!$A$2:$K$10000,MATCH($A908&amp;Q$1,JupData!$A$2:$A$10000&amp;JupData!$J$2:$J$10000,0),11))</f>
        <v/>
      </c>
      <c r="R908" t="str">
        <f t="array" ref="R908">IF($A908="","",INDEX(JupData!$A$2:$K$10000,MATCH($A908&amp;R$1,JupData!$A$2:$A$10000&amp;JupData!$J$2:$J$10000,0),11))</f>
        <v/>
      </c>
      <c r="S908" t="str">
        <f t="array" ref="S908">IF($A908="","",INDEX(JupData!$A$2:$K$10000,MATCH($A908&amp;S$1,JupData!$A$2:$A$10000&amp;JupData!$J$2:$J$10000,0),11))</f>
        <v/>
      </c>
      <c r="T908" t="str">
        <f t="array" ref="T908">IF($A908="","",INDEX(JupData!$A$2:$K$10000,MATCH($A908&amp;T$1,JupData!$A$2:$A$10000&amp;JupData!$J$2:$J$10000,0),11))</f>
        <v/>
      </c>
      <c r="U908" t="str">
        <f t="array" ref="U908">IF($A908="","",INDEX(JupData!$A$2:$K$10000,MATCH($A908&amp;U$1,JupData!$A$2:$A$10000&amp;JupData!$J$2:$J$10000,0),11))</f>
        <v/>
      </c>
      <c r="V908" t="str">
        <f t="array" ref="V908">IF($A908="","",INDEX(JupData!$A$2:$K$10000,MATCH($A908&amp;V$1,JupData!$A$2:$A$10000&amp;JupData!$J$2:$J$10000,0),11))</f>
        <v/>
      </c>
      <c r="W908" t="str">
        <f t="array" ref="W908">IF($A908="","",INDEX(JupData!$A$2:$K$10000,MATCH($A908&amp;W$1,JupData!$A$2:$A$10000&amp;JupData!$J$2:$J$10000,0),11))</f>
        <v/>
      </c>
      <c r="X908" t="str">
        <f t="array" ref="X908">IF($A908="","",INDEX(JupData!$A$2:$K$10000,MATCH($A908&amp;X$1,JupData!$A$2:$A$10000&amp;JupData!$J$2:$J$10000,0),11))</f>
        <v/>
      </c>
      <c r="Y908" t="str">
        <f t="array" ref="Y908">IF($A908="","",INDEX(JupData!$A$2:$K$10000,MATCH($A908&amp;Y$1,JupData!$A$2:$A$10000&amp;JupData!$J$2:$J$10000,0),11))</f>
        <v/>
      </c>
      <c r="Z908" t="str">
        <f t="array" ref="Z908">IF($A908="","",INDEX(JupData!$A$2:$K$10000,MATCH($A908&amp;Z$1,JupData!$A$2:$A$10000&amp;JupData!$J$2:$J$10000,0),11))</f>
        <v/>
      </c>
      <c r="AA908" t="str">
        <f t="array" ref="AA908">IF($A908="","",INDEX(JupData!$A$2:$K$10000,MATCH($A908&amp;AA$1,JupData!$A$2:$A$10000&amp;JupData!$J$2:$J$10000,0),11))</f>
        <v/>
      </c>
      <c r="AB908" t="str">
        <f t="array" ref="AB908">IF($A908="","",INDEX(JupData!$A$2:$K$10000,MATCH($A908&amp;AB$1,JupData!$A$2:$A$10000&amp;JupData!$J$2:$J$10000,0),11))</f>
        <v/>
      </c>
      <c r="AC908" s="10" t="str">
        <f t="shared" si="154"/>
        <v/>
      </c>
      <c r="AD908" s="10" t="str">
        <f t="shared" si="155"/>
        <v/>
      </c>
      <c r="AE908" s="9" t="str">
        <f t="shared" si="156"/>
        <v/>
      </c>
      <c r="AF908" s="10" t="str">
        <f t="shared" si="157"/>
        <v/>
      </c>
      <c r="AG908" s="10" t="str">
        <f t="shared" si="158"/>
        <v/>
      </c>
      <c r="AH908" s="10" t="str">
        <f t="shared" si="159"/>
        <v/>
      </c>
      <c r="AI908" s="10" t="str">
        <f t="shared" si="160"/>
        <v/>
      </c>
      <c r="AJ908" s="10" t="str">
        <f t="shared" si="161"/>
        <v/>
      </c>
      <c r="AK908" s="10" t="str">
        <f t="shared" si="162"/>
        <v/>
      </c>
      <c r="AL908" s="14" t="str">
        <f t="shared" si="163"/>
        <v/>
      </c>
    </row>
    <row r="909" spans="1:38" x14ac:dyDescent="0.2">
      <c r="A909"/>
      <c r="B909" t="str">
        <f>IF($A909="","",VLOOKUP($A909,JupData!$A$2:$I$10000,4,FALSE))</f>
        <v/>
      </c>
      <c r="C909" s="7" t="str">
        <f>IF($A909="",IF(N(D909),0,""),VLOOKUP($A909,JupData!$A$2:$I$10000,7,FALSE))</f>
        <v/>
      </c>
      <c r="D909" t="str">
        <f t="shared" si="164"/>
        <v/>
      </c>
      <c r="E909" t="str">
        <f t="array" ref="E909">IF($A909="","",INDEX(JupData!$A$2:$K$10000,MATCH($A909&amp;E$1,JupData!$A$2:$A$10000&amp;JupData!$J$2:$J$10000,0),11))</f>
        <v/>
      </c>
      <c r="F909" t="str">
        <f t="array" ref="F909">IF($A909="","",INDEX(JupData!$A$2:$K$10000,MATCH($A909&amp;F$1,JupData!$A$2:$A$10000&amp;JupData!$J$2:$J$10000,0),11))</f>
        <v/>
      </c>
      <c r="G909" t="str">
        <f t="array" ref="G909">IF($A909="","",INDEX(JupData!$A$2:$K$10000,MATCH($A909&amp;G$1,JupData!$A$2:$A$10000&amp;JupData!$J$2:$J$10000,0),11))</f>
        <v/>
      </c>
      <c r="H909" t="str">
        <f t="array" ref="H909">IF($A909="","",INDEX(JupData!$A$2:$K$10000,MATCH($A909&amp;H$1,JupData!$A$2:$A$10000&amp;JupData!$J$2:$J$10000,0),11))</f>
        <v/>
      </c>
      <c r="I909" t="str">
        <f t="array" ref="I909">IF($A909="","",INDEX(JupData!$A$2:$K$10000,MATCH($A909&amp;I$1,JupData!$A$2:$A$10000&amp;JupData!$J$2:$J$10000,0),11))</f>
        <v/>
      </c>
      <c r="J909" t="str">
        <f t="array" ref="J909">IF($A909="","",INDEX(JupData!$A$2:$K$10000,MATCH($A909&amp;J$1,JupData!$A$2:$A$10000&amp;JupData!$J$2:$J$10000,0),11))</f>
        <v/>
      </c>
      <c r="K909" t="str">
        <f t="array" ref="K909">IF($A909="","",INDEX(JupData!$A$2:$K$10000,MATCH($A909&amp;K$1,JupData!$A$2:$A$10000&amp;JupData!$J$2:$J$10000,0),11))</f>
        <v/>
      </c>
      <c r="L909" t="str">
        <f t="array" ref="L909">IF($A909="","",INDEX(JupData!$A$2:$K$10000,MATCH($A909&amp;L$1,JupData!$A$2:$A$10000&amp;JupData!$J$2:$J$10000,0),11))</f>
        <v/>
      </c>
      <c r="M909" t="str">
        <f t="array" ref="M909">IF($A909="","",INDEX(JupData!$A$2:$K$10000,MATCH($A909&amp;M$1,JupData!$A$2:$A$10000&amp;JupData!$J$2:$J$10000,0),11))</f>
        <v/>
      </c>
      <c r="N909" t="str">
        <f t="array" ref="N909">IF($A909="","",INDEX(JupData!$A$2:$K$10000,MATCH($A909&amp;N$1,JupData!$A$2:$A$10000&amp;JupData!$J$2:$J$10000,0),11))</f>
        <v/>
      </c>
      <c r="O909" t="str">
        <f t="array" ref="O909">IF($A909="","",INDEX(JupData!$A$2:$K$10000,MATCH($A909&amp;O$1,JupData!$A$2:$A$10000&amp;JupData!$J$2:$J$10000,0),11))</f>
        <v/>
      </c>
      <c r="P909" t="str">
        <f t="array" ref="P909">IF($A909="","",INDEX(JupData!$A$2:$K$10000,MATCH($A909&amp;P$1,JupData!$A$2:$A$10000&amp;JupData!$J$2:$J$10000,0),11))</f>
        <v/>
      </c>
      <c r="Q909" t="str">
        <f t="array" ref="Q909">IF($A909="","",INDEX(JupData!$A$2:$K$10000,MATCH($A909&amp;Q$1,JupData!$A$2:$A$10000&amp;JupData!$J$2:$J$10000,0),11))</f>
        <v/>
      </c>
      <c r="R909" t="str">
        <f t="array" ref="R909">IF($A909="","",INDEX(JupData!$A$2:$K$10000,MATCH($A909&amp;R$1,JupData!$A$2:$A$10000&amp;JupData!$J$2:$J$10000,0),11))</f>
        <v/>
      </c>
      <c r="S909" t="str">
        <f t="array" ref="S909">IF($A909="","",INDEX(JupData!$A$2:$K$10000,MATCH($A909&amp;S$1,JupData!$A$2:$A$10000&amp;JupData!$J$2:$J$10000,0),11))</f>
        <v/>
      </c>
      <c r="T909" t="str">
        <f t="array" ref="T909">IF($A909="","",INDEX(JupData!$A$2:$K$10000,MATCH($A909&amp;T$1,JupData!$A$2:$A$10000&amp;JupData!$J$2:$J$10000,0),11))</f>
        <v/>
      </c>
      <c r="U909" t="str">
        <f t="array" ref="U909">IF($A909="","",INDEX(JupData!$A$2:$K$10000,MATCH($A909&amp;U$1,JupData!$A$2:$A$10000&amp;JupData!$J$2:$J$10000,0),11))</f>
        <v/>
      </c>
      <c r="V909" t="str">
        <f t="array" ref="V909">IF($A909="","",INDEX(JupData!$A$2:$K$10000,MATCH($A909&amp;V$1,JupData!$A$2:$A$10000&amp;JupData!$J$2:$J$10000,0),11))</f>
        <v/>
      </c>
      <c r="W909" t="str">
        <f t="array" ref="W909">IF($A909="","",INDEX(JupData!$A$2:$K$10000,MATCH($A909&amp;W$1,JupData!$A$2:$A$10000&amp;JupData!$J$2:$J$10000,0),11))</f>
        <v/>
      </c>
      <c r="X909" t="str">
        <f t="array" ref="X909">IF($A909="","",INDEX(JupData!$A$2:$K$10000,MATCH($A909&amp;X$1,JupData!$A$2:$A$10000&amp;JupData!$J$2:$J$10000,0),11))</f>
        <v/>
      </c>
      <c r="Y909" t="str">
        <f t="array" ref="Y909">IF($A909="","",INDEX(JupData!$A$2:$K$10000,MATCH($A909&amp;Y$1,JupData!$A$2:$A$10000&amp;JupData!$J$2:$J$10000,0),11))</f>
        <v/>
      </c>
      <c r="Z909" t="str">
        <f t="array" ref="Z909">IF($A909="","",INDEX(JupData!$A$2:$K$10000,MATCH($A909&amp;Z$1,JupData!$A$2:$A$10000&amp;JupData!$J$2:$J$10000,0),11))</f>
        <v/>
      </c>
      <c r="AA909" t="str">
        <f t="array" ref="AA909">IF($A909="","",INDEX(JupData!$A$2:$K$10000,MATCH($A909&amp;AA$1,JupData!$A$2:$A$10000&amp;JupData!$J$2:$J$10000,0),11))</f>
        <v/>
      </c>
      <c r="AB909" t="str">
        <f t="array" ref="AB909">IF($A909="","",INDEX(JupData!$A$2:$K$10000,MATCH($A909&amp;AB$1,JupData!$A$2:$A$10000&amp;JupData!$J$2:$J$10000,0),11))</f>
        <v/>
      </c>
      <c r="AC909" s="10" t="str">
        <f t="shared" si="154"/>
        <v/>
      </c>
      <c r="AD909" s="10" t="str">
        <f t="shared" si="155"/>
        <v/>
      </c>
      <c r="AE909" s="9" t="str">
        <f t="shared" si="156"/>
        <v/>
      </c>
      <c r="AF909" s="10" t="str">
        <f t="shared" si="157"/>
        <v/>
      </c>
      <c r="AG909" s="10" t="str">
        <f t="shared" si="158"/>
        <v/>
      </c>
      <c r="AH909" s="10" t="str">
        <f t="shared" si="159"/>
        <v/>
      </c>
      <c r="AI909" s="10" t="str">
        <f t="shared" si="160"/>
        <v/>
      </c>
      <c r="AJ909" s="10" t="str">
        <f t="shared" si="161"/>
        <v/>
      </c>
      <c r="AK909" s="10" t="str">
        <f t="shared" si="162"/>
        <v/>
      </c>
      <c r="AL909" s="14" t="str">
        <f t="shared" si="163"/>
        <v/>
      </c>
    </row>
    <row r="910" spans="1:38" x14ac:dyDescent="0.2">
      <c r="A910"/>
      <c r="B910" t="str">
        <f>IF($A910="","",VLOOKUP($A910,JupData!$A$2:$I$10000,4,FALSE))</f>
        <v/>
      </c>
      <c r="C910" s="7" t="str">
        <f>IF($A910="",IF(N(D910),0,""),VLOOKUP($A910,JupData!$A$2:$I$10000,7,FALSE))</f>
        <v/>
      </c>
      <c r="D910" t="str">
        <f t="shared" si="164"/>
        <v/>
      </c>
      <c r="E910" t="str">
        <f t="array" ref="E910">IF($A910="","",INDEX(JupData!$A$2:$K$10000,MATCH($A910&amp;E$1,JupData!$A$2:$A$10000&amp;JupData!$J$2:$J$10000,0),11))</f>
        <v/>
      </c>
      <c r="F910" t="str">
        <f t="array" ref="F910">IF($A910="","",INDEX(JupData!$A$2:$K$10000,MATCH($A910&amp;F$1,JupData!$A$2:$A$10000&amp;JupData!$J$2:$J$10000,0),11))</f>
        <v/>
      </c>
      <c r="G910" t="str">
        <f t="array" ref="G910">IF($A910="","",INDEX(JupData!$A$2:$K$10000,MATCH($A910&amp;G$1,JupData!$A$2:$A$10000&amp;JupData!$J$2:$J$10000,0),11))</f>
        <v/>
      </c>
      <c r="H910" t="str">
        <f t="array" ref="H910">IF($A910="","",INDEX(JupData!$A$2:$K$10000,MATCH($A910&amp;H$1,JupData!$A$2:$A$10000&amp;JupData!$J$2:$J$10000,0),11))</f>
        <v/>
      </c>
      <c r="I910" t="str">
        <f t="array" ref="I910">IF($A910="","",INDEX(JupData!$A$2:$K$10000,MATCH($A910&amp;I$1,JupData!$A$2:$A$10000&amp;JupData!$J$2:$J$10000,0),11))</f>
        <v/>
      </c>
      <c r="J910" t="str">
        <f t="array" ref="J910">IF($A910="","",INDEX(JupData!$A$2:$K$10000,MATCH($A910&amp;J$1,JupData!$A$2:$A$10000&amp;JupData!$J$2:$J$10000,0),11))</f>
        <v/>
      </c>
      <c r="K910" t="str">
        <f t="array" ref="K910">IF($A910="","",INDEX(JupData!$A$2:$K$10000,MATCH($A910&amp;K$1,JupData!$A$2:$A$10000&amp;JupData!$J$2:$J$10000,0),11))</f>
        <v/>
      </c>
      <c r="L910" t="str">
        <f t="array" ref="L910">IF($A910="","",INDEX(JupData!$A$2:$K$10000,MATCH($A910&amp;L$1,JupData!$A$2:$A$10000&amp;JupData!$J$2:$J$10000,0),11))</f>
        <v/>
      </c>
      <c r="M910" t="str">
        <f t="array" ref="M910">IF($A910="","",INDEX(JupData!$A$2:$K$10000,MATCH($A910&amp;M$1,JupData!$A$2:$A$10000&amp;JupData!$J$2:$J$10000,0),11))</f>
        <v/>
      </c>
      <c r="N910" t="str">
        <f t="array" ref="N910">IF($A910="","",INDEX(JupData!$A$2:$K$10000,MATCH($A910&amp;N$1,JupData!$A$2:$A$10000&amp;JupData!$J$2:$J$10000,0),11))</f>
        <v/>
      </c>
      <c r="O910" t="str">
        <f t="array" ref="O910">IF($A910="","",INDEX(JupData!$A$2:$K$10000,MATCH($A910&amp;O$1,JupData!$A$2:$A$10000&amp;JupData!$J$2:$J$10000,0),11))</f>
        <v/>
      </c>
      <c r="P910" t="str">
        <f t="array" ref="P910">IF($A910="","",INDEX(JupData!$A$2:$K$10000,MATCH($A910&amp;P$1,JupData!$A$2:$A$10000&amp;JupData!$J$2:$J$10000,0),11))</f>
        <v/>
      </c>
      <c r="Q910" t="str">
        <f t="array" ref="Q910">IF($A910="","",INDEX(JupData!$A$2:$K$10000,MATCH($A910&amp;Q$1,JupData!$A$2:$A$10000&amp;JupData!$J$2:$J$10000,0),11))</f>
        <v/>
      </c>
      <c r="R910" t="str">
        <f t="array" ref="R910">IF($A910="","",INDEX(JupData!$A$2:$K$10000,MATCH($A910&amp;R$1,JupData!$A$2:$A$10000&amp;JupData!$J$2:$J$10000,0),11))</f>
        <v/>
      </c>
      <c r="S910" t="str">
        <f t="array" ref="S910">IF($A910="","",INDEX(JupData!$A$2:$K$10000,MATCH($A910&amp;S$1,JupData!$A$2:$A$10000&amp;JupData!$J$2:$J$10000,0),11))</f>
        <v/>
      </c>
      <c r="T910" t="str">
        <f t="array" ref="T910">IF($A910="","",INDEX(JupData!$A$2:$K$10000,MATCH($A910&amp;T$1,JupData!$A$2:$A$10000&amp;JupData!$J$2:$J$10000,0),11))</f>
        <v/>
      </c>
      <c r="U910" t="str">
        <f t="array" ref="U910">IF($A910="","",INDEX(JupData!$A$2:$K$10000,MATCH($A910&amp;U$1,JupData!$A$2:$A$10000&amp;JupData!$J$2:$J$10000,0),11))</f>
        <v/>
      </c>
      <c r="V910" t="str">
        <f t="array" ref="V910">IF($A910="","",INDEX(JupData!$A$2:$K$10000,MATCH($A910&amp;V$1,JupData!$A$2:$A$10000&amp;JupData!$J$2:$J$10000,0),11))</f>
        <v/>
      </c>
      <c r="W910" t="str">
        <f t="array" ref="W910">IF($A910="","",INDEX(JupData!$A$2:$K$10000,MATCH($A910&amp;W$1,JupData!$A$2:$A$10000&amp;JupData!$J$2:$J$10000,0),11))</f>
        <v/>
      </c>
      <c r="X910" t="str">
        <f t="array" ref="X910">IF($A910="","",INDEX(JupData!$A$2:$K$10000,MATCH($A910&amp;X$1,JupData!$A$2:$A$10000&amp;JupData!$J$2:$J$10000,0),11))</f>
        <v/>
      </c>
      <c r="Y910" t="str">
        <f t="array" ref="Y910">IF($A910="","",INDEX(JupData!$A$2:$K$10000,MATCH($A910&amp;Y$1,JupData!$A$2:$A$10000&amp;JupData!$J$2:$J$10000,0),11))</f>
        <v/>
      </c>
      <c r="Z910" t="str">
        <f t="array" ref="Z910">IF($A910="","",INDEX(JupData!$A$2:$K$10000,MATCH($A910&amp;Z$1,JupData!$A$2:$A$10000&amp;JupData!$J$2:$J$10000,0),11))</f>
        <v/>
      </c>
      <c r="AA910" t="str">
        <f t="array" ref="AA910">IF($A910="","",INDEX(JupData!$A$2:$K$10000,MATCH($A910&amp;AA$1,JupData!$A$2:$A$10000&amp;JupData!$J$2:$J$10000,0),11))</f>
        <v/>
      </c>
      <c r="AB910" t="str">
        <f t="array" ref="AB910">IF($A910="","",INDEX(JupData!$A$2:$K$10000,MATCH($A910&amp;AB$1,JupData!$A$2:$A$10000&amp;JupData!$J$2:$J$10000,0),11))</f>
        <v/>
      </c>
      <c r="AC910" s="10" t="str">
        <f t="shared" si="154"/>
        <v/>
      </c>
      <c r="AD910" s="10" t="str">
        <f t="shared" si="155"/>
        <v/>
      </c>
      <c r="AE910" s="9" t="str">
        <f t="shared" si="156"/>
        <v/>
      </c>
      <c r="AF910" s="10" t="str">
        <f t="shared" si="157"/>
        <v/>
      </c>
      <c r="AG910" s="10" t="str">
        <f t="shared" si="158"/>
        <v/>
      </c>
      <c r="AH910" s="10" t="str">
        <f t="shared" si="159"/>
        <v/>
      </c>
      <c r="AI910" s="10" t="str">
        <f t="shared" si="160"/>
        <v/>
      </c>
      <c r="AJ910" s="10" t="str">
        <f t="shared" si="161"/>
        <v/>
      </c>
      <c r="AK910" s="10" t="str">
        <f t="shared" si="162"/>
        <v/>
      </c>
      <c r="AL910" s="14" t="str">
        <f t="shared" si="163"/>
        <v/>
      </c>
    </row>
    <row r="911" spans="1:38" x14ac:dyDescent="0.2">
      <c r="A911"/>
      <c r="B911" t="str">
        <f>IF($A911="","",VLOOKUP($A911,JupData!$A$2:$I$10000,4,FALSE))</f>
        <v/>
      </c>
      <c r="C911" s="7" t="str">
        <f>IF($A911="",IF(N(D911),0,""),VLOOKUP($A911,JupData!$A$2:$I$10000,7,FALSE))</f>
        <v/>
      </c>
      <c r="D911" t="str">
        <f t="shared" si="164"/>
        <v/>
      </c>
      <c r="E911" t="str">
        <f t="array" ref="E911">IF($A911="","",INDEX(JupData!$A$2:$K$10000,MATCH($A911&amp;E$1,JupData!$A$2:$A$10000&amp;JupData!$J$2:$J$10000,0),11))</f>
        <v/>
      </c>
      <c r="F911" t="str">
        <f t="array" ref="F911">IF($A911="","",INDEX(JupData!$A$2:$K$10000,MATCH($A911&amp;F$1,JupData!$A$2:$A$10000&amp;JupData!$J$2:$J$10000,0),11))</f>
        <v/>
      </c>
      <c r="G911" t="str">
        <f t="array" ref="G911">IF($A911="","",INDEX(JupData!$A$2:$K$10000,MATCH($A911&amp;G$1,JupData!$A$2:$A$10000&amp;JupData!$J$2:$J$10000,0),11))</f>
        <v/>
      </c>
      <c r="H911" t="str">
        <f t="array" ref="H911">IF($A911="","",INDEX(JupData!$A$2:$K$10000,MATCH($A911&amp;H$1,JupData!$A$2:$A$10000&amp;JupData!$J$2:$J$10000,0),11))</f>
        <v/>
      </c>
      <c r="I911" t="str">
        <f t="array" ref="I911">IF($A911="","",INDEX(JupData!$A$2:$K$10000,MATCH($A911&amp;I$1,JupData!$A$2:$A$10000&amp;JupData!$J$2:$J$10000,0),11))</f>
        <v/>
      </c>
      <c r="J911" t="str">
        <f t="array" ref="J911">IF($A911="","",INDEX(JupData!$A$2:$K$10000,MATCH($A911&amp;J$1,JupData!$A$2:$A$10000&amp;JupData!$J$2:$J$10000,0),11))</f>
        <v/>
      </c>
      <c r="K911" t="str">
        <f t="array" ref="K911">IF($A911="","",INDEX(JupData!$A$2:$K$10000,MATCH($A911&amp;K$1,JupData!$A$2:$A$10000&amp;JupData!$J$2:$J$10000,0),11))</f>
        <v/>
      </c>
      <c r="L911" t="str">
        <f t="array" ref="L911">IF($A911="","",INDEX(JupData!$A$2:$K$10000,MATCH($A911&amp;L$1,JupData!$A$2:$A$10000&amp;JupData!$J$2:$J$10000,0),11))</f>
        <v/>
      </c>
      <c r="M911" t="str">
        <f t="array" ref="M911">IF($A911="","",INDEX(JupData!$A$2:$K$10000,MATCH($A911&amp;M$1,JupData!$A$2:$A$10000&amp;JupData!$J$2:$J$10000,0),11))</f>
        <v/>
      </c>
      <c r="N911" t="str">
        <f t="array" ref="N911">IF($A911="","",INDEX(JupData!$A$2:$K$10000,MATCH($A911&amp;N$1,JupData!$A$2:$A$10000&amp;JupData!$J$2:$J$10000,0),11))</f>
        <v/>
      </c>
      <c r="O911" t="str">
        <f t="array" ref="O911">IF($A911="","",INDEX(JupData!$A$2:$K$10000,MATCH($A911&amp;O$1,JupData!$A$2:$A$10000&amp;JupData!$J$2:$J$10000,0),11))</f>
        <v/>
      </c>
      <c r="P911" t="str">
        <f t="array" ref="P911">IF($A911="","",INDEX(JupData!$A$2:$K$10000,MATCH($A911&amp;P$1,JupData!$A$2:$A$10000&amp;JupData!$J$2:$J$10000,0),11))</f>
        <v/>
      </c>
      <c r="Q911" t="str">
        <f t="array" ref="Q911">IF($A911="","",INDEX(JupData!$A$2:$K$10000,MATCH($A911&amp;Q$1,JupData!$A$2:$A$10000&amp;JupData!$J$2:$J$10000,0),11))</f>
        <v/>
      </c>
      <c r="R911" t="str">
        <f t="array" ref="R911">IF($A911="","",INDEX(JupData!$A$2:$K$10000,MATCH($A911&amp;R$1,JupData!$A$2:$A$10000&amp;JupData!$J$2:$J$10000,0),11))</f>
        <v/>
      </c>
      <c r="S911" t="str">
        <f t="array" ref="S911">IF($A911="","",INDEX(JupData!$A$2:$K$10000,MATCH($A911&amp;S$1,JupData!$A$2:$A$10000&amp;JupData!$J$2:$J$10000,0),11))</f>
        <v/>
      </c>
      <c r="T911" t="str">
        <f t="array" ref="T911">IF($A911="","",INDEX(JupData!$A$2:$K$10000,MATCH($A911&amp;T$1,JupData!$A$2:$A$10000&amp;JupData!$J$2:$J$10000,0),11))</f>
        <v/>
      </c>
      <c r="U911" t="str">
        <f t="array" ref="U911">IF($A911="","",INDEX(JupData!$A$2:$K$10000,MATCH($A911&amp;U$1,JupData!$A$2:$A$10000&amp;JupData!$J$2:$J$10000,0),11))</f>
        <v/>
      </c>
      <c r="V911" t="str">
        <f t="array" ref="V911">IF($A911="","",INDEX(JupData!$A$2:$K$10000,MATCH($A911&amp;V$1,JupData!$A$2:$A$10000&amp;JupData!$J$2:$J$10000,0),11))</f>
        <v/>
      </c>
      <c r="W911" t="str">
        <f t="array" ref="W911">IF($A911="","",INDEX(JupData!$A$2:$K$10000,MATCH($A911&amp;W$1,JupData!$A$2:$A$10000&amp;JupData!$J$2:$J$10000,0),11))</f>
        <v/>
      </c>
      <c r="X911" t="str">
        <f t="array" ref="X911">IF($A911="","",INDEX(JupData!$A$2:$K$10000,MATCH($A911&amp;X$1,JupData!$A$2:$A$10000&amp;JupData!$J$2:$J$10000,0),11))</f>
        <v/>
      </c>
      <c r="Y911" t="str">
        <f t="array" ref="Y911">IF($A911="","",INDEX(JupData!$A$2:$K$10000,MATCH($A911&amp;Y$1,JupData!$A$2:$A$10000&amp;JupData!$J$2:$J$10000,0),11))</f>
        <v/>
      </c>
      <c r="Z911" t="str">
        <f t="array" ref="Z911">IF($A911="","",INDEX(JupData!$A$2:$K$10000,MATCH($A911&amp;Z$1,JupData!$A$2:$A$10000&amp;JupData!$J$2:$J$10000,0),11))</f>
        <v/>
      </c>
      <c r="AA911" t="str">
        <f t="array" ref="AA911">IF($A911="","",INDEX(JupData!$A$2:$K$10000,MATCH($A911&amp;AA$1,JupData!$A$2:$A$10000&amp;JupData!$J$2:$J$10000,0),11))</f>
        <v/>
      </c>
      <c r="AB911" t="str">
        <f t="array" ref="AB911">IF($A911="","",INDEX(JupData!$A$2:$K$10000,MATCH($A911&amp;AB$1,JupData!$A$2:$A$10000&amp;JupData!$J$2:$J$10000,0),11))</f>
        <v/>
      </c>
      <c r="AC911" s="10" t="str">
        <f t="shared" si="154"/>
        <v/>
      </c>
      <c r="AD911" s="10" t="str">
        <f t="shared" si="155"/>
        <v/>
      </c>
      <c r="AE911" s="9" t="str">
        <f t="shared" si="156"/>
        <v/>
      </c>
      <c r="AF911" s="10" t="str">
        <f t="shared" si="157"/>
        <v/>
      </c>
      <c r="AG911" s="10" t="str">
        <f t="shared" si="158"/>
        <v/>
      </c>
      <c r="AH911" s="10" t="str">
        <f t="shared" si="159"/>
        <v/>
      </c>
      <c r="AI911" s="10" t="str">
        <f t="shared" si="160"/>
        <v/>
      </c>
      <c r="AJ911" s="10" t="str">
        <f t="shared" si="161"/>
        <v/>
      </c>
      <c r="AK911" s="10" t="str">
        <f t="shared" si="162"/>
        <v/>
      </c>
      <c r="AL911" s="14" t="str">
        <f t="shared" si="163"/>
        <v/>
      </c>
    </row>
    <row r="912" spans="1:38" x14ac:dyDescent="0.2">
      <c r="A912"/>
      <c r="B912" t="str">
        <f>IF($A912="","",VLOOKUP($A912,JupData!$A$2:$I$10000,4,FALSE))</f>
        <v/>
      </c>
      <c r="C912" s="7" t="str">
        <f>IF($A912="",IF(N(D912),0,""),VLOOKUP($A912,JupData!$A$2:$I$10000,7,FALSE))</f>
        <v/>
      </c>
      <c r="D912" t="str">
        <f t="shared" si="164"/>
        <v/>
      </c>
      <c r="E912" t="str">
        <f t="array" ref="E912">IF($A912="","",INDEX(JupData!$A$2:$K$10000,MATCH($A912&amp;E$1,JupData!$A$2:$A$10000&amp;JupData!$J$2:$J$10000,0),11))</f>
        <v/>
      </c>
      <c r="F912" t="str">
        <f t="array" ref="F912">IF($A912="","",INDEX(JupData!$A$2:$K$10000,MATCH($A912&amp;F$1,JupData!$A$2:$A$10000&amp;JupData!$J$2:$J$10000,0),11))</f>
        <v/>
      </c>
      <c r="G912" t="str">
        <f t="array" ref="G912">IF($A912="","",INDEX(JupData!$A$2:$K$10000,MATCH($A912&amp;G$1,JupData!$A$2:$A$10000&amp;JupData!$J$2:$J$10000,0),11))</f>
        <v/>
      </c>
      <c r="H912" t="str">
        <f t="array" ref="H912">IF($A912="","",INDEX(JupData!$A$2:$K$10000,MATCH($A912&amp;H$1,JupData!$A$2:$A$10000&amp;JupData!$J$2:$J$10000,0),11))</f>
        <v/>
      </c>
      <c r="I912" t="str">
        <f t="array" ref="I912">IF($A912="","",INDEX(JupData!$A$2:$K$10000,MATCH($A912&amp;I$1,JupData!$A$2:$A$10000&amp;JupData!$J$2:$J$10000,0),11))</f>
        <v/>
      </c>
      <c r="J912" t="str">
        <f t="array" ref="J912">IF($A912="","",INDEX(JupData!$A$2:$K$10000,MATCH($A912&amp;J$1,JupData!$A$2:$A$10000&amp;JupData!$J$2:$J$10000,0),11))</f>
        <v/>
      </c>
      <c r="K912" t="str">
        <f t="array" ref="K912">IF($A912="","",INDEX(JupData!$A$2:$K$10000,MATCH($A912&amp;K$1,JupData!$A$2:$A$10000&amp;JupData!$J$2:$J$10000,0),11))</f>
        <v/>
      </c>
      <c r="L912" t="str">
        <f t="array" ref="L912">IF($A912="","",INDEX(JupData!$A$2:$K$10000,MATCH($A912&amp;L$1,JupData!$A$2:$A$10000&amp;JupData!$J$2:$J$10000,0),11))</f>
        <v/>
      </c>
      <c r="M912" t="str">
        <f t="array" ref="M912">IF($A912="","",INDEX(JupData!$A$2:$K$10000,MATCH($A912&amp;M$1,JupData!$A$2:$A$10000&amp;JupData!$J$2:$J$10000,0),11))</f>
        <v/>
      </c>
      <c r="N912" t="str">
        <f t="array" ref="N912">IF($A912="","",INDEX(JupData!$A$2:$K$10000,MATCH($A912&amp;N$1,JupData!$A$2:$A$10000&amp;JupData!$J$2:$J$10000,0),11))</f>
        <v/>
      </c>
      <c r="O912" t="str">
        <f t="array" ref="O912">IF($A912="","",INDEX(JupData!$A$2:$K$10000,MATCH($A912&amp;O$1,JupData!$A$2:$A$10000&amp;JupData!$J$2:$J$10000,0),11))</f>
        <v/>
      </c>
      <c r="P912" t="str">
        <f t="array" ref="P912">IF($A912="","",INDEX(JupData!$A$2:$K$10000,MATCH($A912&amp;P$1,JupData!$A$2:$A$10000&amp;JupData!$J$2:$J$10000,0),11))</f>
        <v/>
      </c>
      <c r="Q912" t="str">
        <f t="array" ref="Q912">IF($A912="","",INDEX(JupData!$A$2:$K$10000,MATCH($A912&amp;Q$1,JupData!$A$2:$A$10000&amp;JupData!$J$2:$J$10000,0),11))</f>
        <v/>
      </c>
      <c r="R912" t="str">
        <f t="array" ref="R912">IF($A912="","",INDEX(JupData!$A$2:$K$10000,MATCH($A912&amp;R$1,JupData!$A$2:$A$10000&amp;JupData!$J$2:$J$10000,0),11))</f>
        <v/>
      </c>
      <c r="S912" t="str">
        <f t="array" ref="S912">IF($A912="","",INDEX(JupData!$A$2:$K$10000,MATCH($A912&amp;S$1,JupData!$A$2:$A$10000&amp;JupData!$J$2:$J$10000,0),11))</f>
        <v/>
      </c>
      <c r="T912" t="str">
        <f t="array" ref="T912">IF($A912="","",INDEX(JupData!$A$2:$K$10000,MATCH($A912&amp;T$1,JupData!$A$2:$A$10000&amp;JupData!$J$2:$J$10000,0),11))</f>
        <v/>
      </c>
      <c r="U912" t="str">
        <f t="array" ref="U912">IF($A912="","",INDEX(JupData!$A$2:$K$10000,MATCH($A912&amp;U$1,JupData!$A$2:$A$10000&amp;JupData!$J$2:$J$10000,0),11))</f>
        <v/>
      </c>
      <c r="V912" t="str">
        <f t="array" ref="V912">IF($A912="","",INDEX(JupData!$A$2:$K$10000,MATCH($A912&amp;V$1,JupData!$A$2:$A$10000&amp;JupData!$J$2:$J$10000,0),11))</f>
        <v/>
      </c>
      <c r="W912" t="str">
        <f t="array" ref="W912">IF($A912="","",INDEX(JupData!$A$2:$K$10000,MATCH($A912&amp;W$1,JupData!$A$2:$A$10000&amp;JupData!$J$2:$J$10000,0),11))</f>
        <v/>
      </c>
      <c r="X912" t="str">
        <f t="array" ref="X912">IF($A912="","",INDEX(JupData!$A$2:$K$10000,MATCH($A912&amp;X$1,JupData!$A$2:$A$10000&amp;JupData!$J$2:$J$10000,0),11))</f>
        <v/>
      </c>
      <c r="Y912" t="str">
        <f t="array" ref="Y912">IF($A912="","",INDEX(JupData!$A$2:$K$10000,MATCH($A912&amp;Y$1,JupData!$A$2:$A$10000&amp;JupData!$J$2:$J$10000,0),11))</f>
        <v/>
      </c>
      <c r="Z912" t="str">
        <f t="array" ref="Z912">IF($A912="","",INDEX(JupData!$A$2:$K$10000,MATCH($A912&amp;Z$1,JupData!$A$2:$A$10000&amp;JupData!$J$2:$J$10000,0),11))</f>
        <v/>
      </c>
      <c r="AA912" t="str">
        <f t="array" ref="AA912">IF($A912="","",INDEX(JupData!$A$2:$K$10000,MATCH($A912&amp;AA$1,JupData!$A$2:$A$10000&amp;JupData!$J$2:$J$10000,0),11))</f>
        <v/>
      </c>
      <c r="AB912" t="str">
        <f t="array" ref="AB912">IF($A912="","",INDEX(JupData!$A$2:$K$10000,MATCH($A912&amp;AB$1,JupData!$A$2:$A$10000&amp;JupData!$J$2:$J$10000,0),11))</f>
        <v/>
      </c>
      <c r="AC912" s="10" t="str">
        <f t="shared" si="154"/>
        <v/>
      </c>
      <c r="AD912" s="10" t="str">
        <f t="shared" si="155"/>
        <v/>
      </c>
      <c r="AE912" s="9" t="str">
        <f t="shared" si="156"/>
        <v/>
      </c>
      <c r="AF912" s="10" t="str">
        <f t="shared" si="157"/>
        <v/>
      </c>
      <c r="AG912" s="10" t="str">
        <f t="shared" si="158"/>
        <v/>
      </c>
      <c r="AH912" s="10" t="str">
        <f t="shared" si="159"/>
        <v/>
      </c>
      <c r="AI912" s="10" t="str">
        <f t="shared" si="160"/>
        <v/>
      </c>
      <c r="AJ912" s="10" t="str">
        <f t="shared" si="161"/>
        <v/>
      </c>
      <c r="AK912" s="10" t="str">
        <f t="shared" si="162"/>
        <v/>
      </c>
      <c r="AL912" s="14" t="str">
        <f t="shared" si="163"/>
        <v/>
      </c>
    </row>
    <row r="913" spans="1:38" x14ac:dyDescent="0.2">
      <c r="A913"/>
      <c r="B913" t="str">
        <f>IF($A913="","",VLOOKUP($A913,JupData!$A$2:$I$10000,4,FALSE))</f>
        <v/>
      </c>
      <c r="C913" s="7" t="str">
        <f>IF($A913="",IF(N(D913),0,""),VLOOKUP($A913,JupData!$A$2:$I$10000,7,FALSE))</f>
        <v/>
      </c>
      <c r="D913" t="str">
        <f t="shared" si="164"/>
        <v/>
      </c>
      <c r="E913" t="str">
        <f t="array" ref="E913">IF($A913="","",INDEX(JupData!$A$2:$K$10000,MATCH($A913&amp;E$1,JupData!$A$2:$A$10000&amp;JupData!$J$2:$J$10000,0),11))</f>
        <v/>
      </c>
      <c r="F913" t="str">
        <f t="array" ref="F913">IF($A913="","",INDEX(JupData!$A$2:$K$10000,MATCH($A913&amp;F$1,JupData!$A$2:$A$10000&amp;JupData!$J$2:$J$10000,0),11))</f>
        <v/>
      </c>
      <c r="G913" t="str">
        <f t="array" ref="G913">IF($A913="","",INDEX(JupData!$A$2:$K$10000,MATCH($A913&amp;G$1,JupData!$A$2:$A$10000&amp;JupData!$J$2:$J$10000,0),11))</f>
        <v/>
      </c>
      <c r="H913" t="str">
        <f t="array" ref="H913">IF($A913="","",INDEX(JupData!$A$2:$K$10000,MATCH($A913&amp;H$1,JupData!$A$2:$A$10000&amp;JupData!$J$2:$J$10000,0),11))</f>
        <v/>
      </c>
      <c r="I913" t="str">
        <f t="array" ref="I913">IF($A913="","",INDEX(JupData!$A$2:$K$10000,MATCH($A913&amp;I$1,JupData!$A$2:$A$10000&amp;JupData!$J$2:$J$10000,0),11))</f>
        <v/>
      </c>
      <c r="J913" t="str">
        <f t="array" ref="J913">IF($A913="","",INDEX(JupData!$A$2:$K$10000,MATCH($A913&amp;J$1,JupData!$A$2:$A$10000&amp;JupData!$J$2:$J$10000,0),11))</f>
        <v/>
      </c>
      <c r="K913" t="str">
        <f t="array" ref="K913">IF($A913="","",INDEX(JupData!$A$2:$K$10000,MATCH($A913&amp;K$1,JupData!$A$2:$A$10000&amp;JupData!$J$2:$J$10000,0),11))</f>
        <v/>
      </c>
      <c r="L913" t="str">
        <f t="array" ref="L913">IF($A913="","",INDEX(JupData!$A$2:$K$10000,MATCH($A913&amp;L$1,JupData!$A$2:$A$10000&amp;JupData!$J$2:$J$10000,0),11))</f>
        <v/>
      </c>
      <c r="M913" t="str">
        <f t="array" ref="M913">IF($A913="","",INDEX(JupData!$A$2:$K$10000,MATCH($A913&amp;M$1,JupData!$A$2:$A$10000&amp;JupData!$J$2:$J$10000,0),11))</f>
        <v/>
      </c>
      <c r="N913" t="str">
        <f t="array" ref="N913">IF($A913="","",INDEX(JupData!$A$2:$K$10000,MATCH($A913&amp;N$1,JupData!$A$2:$A$10000&amp;JupData!$J$2:$J$10000,0),11))</f>
        <v/>
      </c>
      <c r="O913" t="str">
        <f t="array" ref="O913">IF($A913="","",INDEX(JupData!$A$2:$K$10000,MATCH($A913&amp;O$1,JupData!$A$2:$A$10000&amp;JupData!$J$2:$J$10000,0),11))</f>
        <v/>
      </c>
      <c r="P913" t="str">
        <f t="array" ref="P913">IF($A913="","",INDEX(JupData!$A$2:$K$10000,MATCH($A913&amp;P$1,JupData!$A$2:$A$10000&amp;JupData!$J$2:$J$10000,0),11))</f>
        <v/>
      </c>
      <c r="Q913" t="str">
        <f t="array" ref="Q913">IF($A913="","",INDEX(JupData!$A$2:$K$10000,MATCH($A913&amp;Q$1,JupData!$A$2:$A$10000&amp;JupData!$J$2:$J$10000,0),11))</f>
        <v/>
      </c>
      <c r="R913" t="str">
        <f t="array" ref="R913">IF($A913="","",INDEX(JupData!$A$2:$K$10000,MATCH($A913&amp;R$1,JupData!$A$2:$A$10000&amp;JupData!$J$2:$J$10000,0),11))</f>
        <v/>
      </c>
      <c r="S913" t="str">
        <f t="array" ref="S913">IF($A913="","",INDEX(JupData!$A$2:$K$10000,MATCH($A913&amp;S$1,JupData!$A$2:$A$10000&amp;JupData!$J$2:$J$10000,0),11))</f>
        <v/>
      </c>
      <c r="T913" t="str">
        <f t="array" ref="T913">IF($A913="","",INDEX(JupData!$A$2:$K$10000,MATCH($A913&amp;T$1,JupData!$A$2:$A$10000&amp;JupData!$J$2:$J$10000,0),11))</f>
        <v/>
      </c>
      <c r="U913" t="str">
        <f t="array" ref="U913">IF($A913="","",INDEX(JupData!$A$2:$K$10000,MATCH($A913&amp;U$1,JupData!$A$2:$A$10000&amp;JupData!$J$2:$J$10000,0),11))</f>
        <v/>
      </c>
      <c r="V913" t="str">
        <f t="array" ref="V913">IF($A913="","",INDEX(JupData!$A$2:$K$10000,MATCH($A913&amp;V$1,JupData!$A$2:$A$10000&amp;JupData!$J$2:$J$10000,0),11))</f>
        <v/>
      </c>
      <c r="W913" t="str">
        <f t="array" ref="W913">IF($A913="","",INDEX(JupData!$A$2:$K$10000,MATCH($A913&amp;W$1,JupData!$A$2:$A$10000&amp;JupData!$J$2:$J$10000,0),11))</f>
        <v/>
      </c>
      <c r="X913" t="str">
        <f t="array" ref="X913">IF($A913="","",INDEX(JupData!$A$2:$K$10000,MATCH($A913&amp;X$1,JupData!$A$2:$A$10000&amp;JupData!$J$2:$J$10000,0),11))</f>
        <v/>
      </c>
      <c r="Y913" t="str">
        <f t="array" ref="Y913">IF($A913="","",INDEX(JupData!$A$2:$K$10000,MATCH($A913&amp;Y$1,JupData!$A$2:$A$10000&amp;JupData!$J$2:$J$10000,0),11))</f>
        <v/>
      </c>
      <c r="Z913" t="str">
        <f t="array" ref="Z913">IF($A913="","",INDEX(JupData!$A$2:$K$10000,MATCH($A913&amp;Z$1,JupData!$A$2:$A$10000&amp;JupData!$J$2:$J$10000,0),11))</f>
        <v/>
      </c>
      <c r="AA913" t="str">
        <f t="array" ref="AA913">IF($A913="","",INDEX(JupData!$A$2:$K$10000,MATCH($A913&amp;AA$1,JupData!$A$2:$A$10000&amp;JupData!$J$2:$J$10000,0),11))</f>
        <v/>
      </c>
      <c r="AB913" t="str">
        <f t="array" ref="AB913">IF($A913="","",INDEX(JupData!$A$2:$K$10000,MATCH($A913&amp;AB$1,JupData!$A$2:$A$10000&amp;JupData!$J$2:$J$10000,0),11))</f>
        <v/>
      </c>
      <c r="AC913" s="10" t="str">
        <f t="shared" si="154"/>
        <v/>
      </c>
      <c r="AD913" s="10" t="str">
        <f t="shared" si="155"/>
        <v/>
      </c>
      <c r="AE913" s="9" t="str">
        <f t="shared" si="156"/>
        <v/>
      </c>
      <c r="AF913" s="10" t="str">
        <f t="shared" si="157"/>
        <v/>
      </c>
      <c r="AG913" s="10" t="str">
        <f t="shared" si="158"/>
        <v/>
      </c>
      <c r="AH913" s="10" t="str">
        <f t="shared" si="159"/>
        <v/>
      </c>
      <c r="AI913" s="10" t="str">
        <f t="shared" si="160"/>
        <v/>
      </c>
      <c r="AJ913" s="10" t="str">
        <f t="shared" si="161"/>
        <v/>
      </c>
      <c r="AK913" s="10" t="str">
        <f t="shared" si="162"/>
        <v/>
      </c>
      <c r="AL913" s="14" t="str">
        <f t="shared" si="163"/>
        <v/>
      </c>
    </row>
    <row r="914" spans="1:38" x14ac:dyDescent="0.2">
      <c r="A914"/>
      <c r="B914" t="str">
        <f>IF($A914="","",VLOOKUP($A914,JupData!$A$2:$I$10000,4,FALSE))</f>
        <v/>
      </c>
      <c r="C914" s="7" t="str">
        <f>IF($A914="",IF(N(D914),0,""),VLOOKUP($A914,JupData!$A$2:$I$10000,7,FALSE))</f>
        <v/>
      </c>
      <c r="D914" t="str">
        <f t="shared" si="164"/>
        <v/>
      </c>
      <c r="E914" t="str">
        <f t="array" ref="E914">IF($A914="","",INDEX(JupData!$A$2:$K$10000,MATCH($A914&amp;E$1,JupData!$A$2:$A$10000&amp;JupData!$J$2:$J$10000,0),11))</f>
        <v/>
      </c>
      <c r="F914" t="str">
        <f t="array" ref="F914">IF($A914="","",INDEX(JupData!$A$2:$K$10000,MATCH($A914&amp;F$1,JupData!$A$2:$A$10000&amp;JupData!$J$2:$J$10000,0),11))</f>
        <v/>
      </c>
      <c r="G914" t="str">
        <f t="array" ref="G914">IF($A914="","",INDEX(JupData!$A$2:$K$10000,MATCH($A914&amp;G$1,JupData!$A$2:$A$10000&amp;JupData!$J$2:$J$10000,0),11))</f>
        <v/>
      </c>
      <c r="H914" t="str">
        <f t="array" ref="H914">IF($A914="","",INDEX(JupData!$A$2:$K$10000,MATCH($A914&amp;H$1,JupData!$A$2:$A$10000&amp;JupData!$J$2:$J$10000,0),11))</f>
        <v/>
      </c>
      <c r="I914" t="str">
        <f t="array" ref="I914">IF($A914="","",INDEX(JupData!$A$2:$K$10000,MATCH($A914&amp;I$1,JupData!$A$2:$A$10000&amp;JupData!$J$2:$J$10000,0),11))</f>
        <v/>
      </c>
      <c r="J914" t="str">
        <f t="array" ref="J914">IF($A914="","",INDEX(JupData!$A$2:$K$10000,MATCH($A914&amp;J$1,JupData!$A$2:$A$10000&amp;JupData!$J$2:$J$10000,0),11))</f>
        <v/>
      </c>
      <c r="K914" t="str">
        <f t="array" ref="K914">IF($A914="","",INDEX(JupData!$A$2:$K$10000,MATCH($A914&amp;K$1,JupData!$A$2:$A$10000&amp;JupData!$J$2:$J$10000,0),11))</f>
        <v/>
      </c>
      <c r="L914" t="str">
        <f t="array" ref="L914">IF($A914="","",INDEX(JupData!$A$2:$K$10000,MATCH($A914&amp;L$1,JupData!$A$2:$A$10000&amp;JupData!$J$2:$J$10000,0),11))</f>
        <v/>
      </c>
      <c r="M914" t="str">
        <f t="array" ref="M914">IF($A914="","",INDEX(JupData!$A$2:$K$10000,MATCH($A914&amp;M$1,JupData!$A$2:$A$10000&amp;JupData!$J$2:$J$10000,0),11))</f>
        <v/>
      </c>
      <c r="N914" t="str">
        <f t="array" ref="N914">IF($A914="","",INDEX(JupData!$A$2:$K$10000,MATCH($A914&amp;N$1,JupData!$A$2:$A$10000&amp;JupData!$J$2:$J$10000,0),11))</f>
        <v/>
      </c>
      <c r="O914" t="str">
        <f t="array" ref="O914">IF($A914="","",INDEX(JupData!$A$2:$K$10000,MATCH($A914&amp;O$1,JupData!$A$2:$A$10000&amp;JupData!$J$2:$J$10000,0),11))</f>
        <v/>
      </c>
      <c r="P914" t="str">
        <f t="array" ref="P914">IF($A914="","",INDEX(JupData!$A$2:$K$10000,MATCH($A914&amp;P$1,JupData!$A$2:$A$10000&amp;JupData!$J$2:$J$10000,0),11))</f>
        <v/>
      </c>
      <c r="Q914" t="str">
        <f t="array" ref="Q914">IF($A914="","",INDEX(JupData!$A$2:$K$10000,MATCH($A914&amp;Q$1,JupData!$A$2:$A$10000&amp;JupData!$J$2:$J$10000,0),11))</f>
        <v/>
      </c>
      <c r="R914" t="str">
        <f t="array" ref="R914">IF($A914="","",INDEX(JupData!$A$2:$K$10000,MATCH($A914&amp;R$1,JupData!$A$2:$A$10000&amp;JupData!$J$2:$J$10000,0),11))</f>
        <v/>
      </c>
      <c r="S914" t="str">
        <f t="array" ref="S914">IF($A914="","",INDEX(JupData!$A$2:$K$10000,MATCH($A914&amp;S$1,JupData!$A$2:$A$10000&amp;JupData!$J$2:$J$10000,0),11))</f>
        <v/>
      </c>
      <c r="T914" t="str">
        <f t="array" ref="T914">IF($A914="","",INDEX(JupData!$A$2:$K$10000,MATCH($A914&amp;T$1,JupData!$A$2:$A$10000&amp;JupData!$J$2:$J$10000,0),11))</f>
        <v/>
      </c>
      <c r="U914" t="str">
        <f t="array" ref="U914">IF($A914="","",INDEX(JupData!$A$2:$K$10000,MATCH($A914&amp;U$1,JupData!$A$2:$A$10000&amp;JupData!$J$2:$J$10000,0),11))</f>
        <v/>
      </c>
      <c r="V914" t="str">
        <f t="array" ref="V914">IF($A914="","",INDEX(JupData!$A$2:$K$10000,MATCH($A914&amp;V$1,JupData!$A$2:$A$10000&amp;JupData!$J$2:$J$10000,0),11))</f>
        <v/>
      </c>
      <c r="W914" t="str">
        <f t="array" ref="W914">IF($A914="","",INDEX(JupData!$A$2:$K$10000,MATCH($A914&amp;W$1,JupData!$A$2:$A$10000&amp;JupData!$J$2:$J$10000,0),11))</f>
        <v/>
      </c>
      <c r="X914" t="str">
        <f t="array" ref="X914">IF($A914="","",INDEX(JupData!$A$2:$K$10000,MATCH($A914&amp;X$1,JupData!$A$2:$A$10000&amp;JupData!$J$2:$J$10000,0),11))</f>
        <v/>
      </c>
      <c r="Y914" t="str">
        <f t="array" ref="Y914">IF($A914="","",INDEX(JupData!$A$2:$K$10000,MATCH($A914&amp;Y$1,JupData!$A$2:$A$10000&amp;JupData!$J$2:$J$10000,0),11))</f>
        <v/>
      </c>
      <c r="Z914" t="str">
        <f t="array" ref="Z914">IF($A914="","",INDEX(JupData!$A$2:$K$10000,MATCH($A914&amp;Z$1,JupData!$A$2:$A$10000&amp;JupData!$J$2:$J$10000,0),11))</f>
        <v/>
      </c>
      <c r="AA914" t="str">
        <f t="array" ref="AA914">IF($A914="","",INDEX(JupData!$A$2:$K$10000,MATCH($A914&amp;AA$1,JupData!$A$2:$A$10000&amp;JupData!$J$2:$J$10000,0),11))</f>
        <v/>
      </c>
      <c r="AB914" t="str">
        <f t="array" ref="AB914">IF($A914="","",INDEX(JupData!$A$2:$K$10000,MATCH($A914&amp;AB$1,JupData!$A$2:$A$10000&amp;JupData!$J$2:$J$10000,0),11))</f>
        <v/>
      </c>
      <c r="AC914" s="10" t="str">
        <f t="shared" si="154"/>
        <v/>
      </c>
      <c r="AD914" s="10" t="str">
        <f t="shared" si="155"/>
        <v/>
      </c>
      <c r="AE914" s="9" t="str">
        <f t="shared" si="156"/>
        <v/>
      </c>
      <c r="AF914" s="10" t="str">
        <f t="shared" si="157"/>
        <v/>
      </c>
      <c r="AG914" s="10" t="str">
        <f t="shared" si="158"/>
        <v/>
      </c>
      <c r="AH914" s="10" t="str">
        <f t="shared" si="159"/>
        <v/>
      </c>
      <c r="AI914" s="10" t="str">
        <f t="shared" si="160"/>
        <v/>
      </c>
      <c r="AJ914" s="10" t="str">
        <f t="shared" si="161"/>
        <v/>
      </c>
      <c r="AK914" s="10" t="str">
        <f t="shared" si="162"/>
        <v/>
      </c>
      <c r="AL914" s="14" t="str">
        <f t="shared" si="163"/>
        <v/>
      </c>
    </row>
    <row r="915" spans="1:38" x14ac:dyDescent="0.2">
      <c r="A915"/>
      <c r="B915" t="str">
        <f>IF($A915="","",VLOOKUP($A915,JupData!$A$2:$I$10000,4,FALSE))</f>
        <v/>
      </c>
      <c r="C915" s="7" t="str">
        <f>IF($A915="",IF(N(D915),0,""),VLOOKUP($A915,JupData!$A$2:$I$10000,7,FALSE))</f>
        <v/>
      </c>
      <c r="D915" t="str">
        <f t="shared" si="164"/>
        <v/>
      </c>
      <c r="E915" t="str">
        <f t="array" ref="E915">IF($A915="","",INDEX(JupData!$A$2:$K$10000,MATCH($A915&amp;E$1,JupData!$A$2:$A$10000&amp;JupData!$J$2:$J$10000,0),11))</f>
        <v/>
      </c>
      <c r="F915" t="str">
        <f t="array" ref="F915">IF($A915="","",INDEX(JupData!$A$2:$K$10000,MATCH($A915&amp;F$1,JupData!$A$2:$A$10000&amp;JupData!$J$2:$J$10000,0),11))</f>
        <v/>
      </c>
      <c r="G915" t="str">
        <f t="array" ref="G915">IF($A915="","",INDEX(JupData!$A$2:$K$10000,MATCH($A915&amp;G$1,JupData!$A$2:$A$10000&amp;JupData!$J$2:$J$10000,0),11))</f>
        <v/>
      </c>
      <c r="H915" t="str">
        <f t="array" ref="H915">IF($A915="","",INDEX(JupData!$A$2:$K$10000,MATCH($A915&amp;H$1,JupData!$A$2:$A$10000&amp;JupData!$J$2:$J$10000,0),11))</f>
        <v/>
      </c>
      <c r="I915" t="str">
        <f t="array" ref="I915">IF($A915="","",INDEX(JupData!$A$2:$K$10000,MATCH($A915&amp;I$1,JupData!$A$2:$A$10000&amp;JupData!$J$2:$J$10000,0),11))</f>
        <v/>
      </c>
      <c r="J915" t="str">
        <f t="array" ref="J915">IF($A915="","",INDEX(JupData!$A$2:$K$10000,MATCH($A915&amp;J$1,JupData!$A$2:$A$10000&amp;JupData!$J$2:$J$10000,0),11))</f>
        <v/>
      </c>
      <c r="K915" t="str">
        <f t="array" ref="K915">IF($A915="","",INDEX(JupData!$A$2:$K$10000,MATCH($A915&amp;K$1,JupData!$A$2:$A$10000&amp;JupData!$J$2:$J$10000,0),11))</f>
        <v/>
      </c>
      <c r="L915" t="str">
        <f t="array" ref="L915">IF($A915="","",INDEX(JupData!$A$2:$K$10000,MATCH($A915&amp;L$1,JupData!$A$2:$A$10000&amp;JupData!$J$2:$J$10000,0),11))</f>
        <v/>
      </c>
      <c r="M915" t="str">
        <f t="array" ref="M915">IF($A915="","",INDEX(JupData!$A$2:$K$10000,MATCH($A915&amp;M$1,JupData!$A$2:$A$10000&amp;JupData!$J$2:$J$10000,0),11))</f>
        <v/>
      </c>
      <c r="N915" t="str">
        <f t="array" ref="N915">IF($A915="","",INDEX(JupData!$A$2:$K$10000,MATCH($A915&amp;N$1,JupData!$A$2:$A$10000&amp;JupData!$J$2:$J$10000,0),11))</f>
        <v/>
      </c>
      <c r="O915" t="str">
        <f t="array" ref="O915">IF($A915="","",INDEX(JupData!$A$2:$K$10000,MATCH($A915&amp;O$1,JupData!$A$2:$A$10000&amp;JupData!$J$2:$J$10000,0),11))</f>
        <v/>
      </c>
      <c r="P915" t="str">
        <f t="array" ref="P915">IF($A915="","",INDEX(JupData!$A$2:$K$10000,MATCH($A915&amp;P$1,JupData!$A$2:$A$10000&amp;JupData!$J$2:$J$10000,0),11))</f>
        <v/>
      </c>
      <c r="Q915" t="str">
        <f t="array" ref="Q915">IF($A915="","",INDEX(JupData!$A$2:$K$10000,MATCH($A915&amp;Q$1,JupData!$A$2:$A$10000&amp;JupData!$J$2:$J$10000,0),11))</f>
        <v/>
      </c>
      <c r="R915" t="str">
        <f t="array" ref="R915">IF($A915="","",INDEX(JupData!$A$2:$K$10000,MATCH($A915&amp;R$1,JupData!$A$2:$A$10000&amp;JupData!$J$2:$J$10000,0),11))</f>
        <v/>
      </c>
      <c r="S915" t="str">
        <f t="array" ref="S915">IF($A915="","",INDEX(JupData!$A$2:$K$10000,MATCH($A915&amp;S$1,JupData!$A$2:$A$10000&amp;JupData!$J$2:$J$10000,0),11))</f>
        <v/>
      </c>
      <c r="T915" t="str">
        <f t="array" ref="T915">IF($A915="","",INDEX(JupData!$A$2:$K$10000,MATCH($A915&amp;T$1,JupData!$A$2:$A$10000&amp;JupData!$J$2:$J$10000,0),11))</f>
        <v/>
      </c>
      <c r="U915" t="str">
        <f t="array" ref="U915">IF($A915="","",INDEX(JupData!$A$2:$K$10000,MATCH($A915&amp;U$1,JupData!$A$2:$A$10000&amp;JupData!$J$2:$J$10000,0),11))</f>
        <v/>
      </c>
      <c r="V915" t="str">
        <f t="array" ref="V915">IF($A915="","",INDEX(JupData!$A$2:$K$10000,MATCH($A915&amp;V$1,JupData!$A$2:$A$10000&amp;JupData!$J$2:$J$10000,0),11))</f>
        <v/>
      </c>
      <c r="W915" t="str">
        <f t="array" ref="W915">IF($A915="","",INDEX(JupData!$A$2:$K$10000,MATCH($A915&amp;W$1,JupData!$A$2:$A$10000&amp;JupData!$J$2:$J$10000,0),11))</f>
        <v/>
      </c>
      <c r="X915" t="str">
        <f t="array" ref="X915">IF($A915="","",INDEX(JupData!$A$2:$K$10000,MATCH($A915&amp;X$1,JupData!$A$2:$A$10000&amp;JupData!$J$2:$J$10000,0),11))</f>
        <v/>
      </c>
      <c r="Y915" t="str">
        <f t="array" ref="Y915">IF($A915="","",INDEX(JupData!$A$2:$K$10000,MATCH($A915&amp;Y$1,JupData!$A$2:$A$10000&amp;JupData!$J$2:$J$10000,0),11))</f>
        <v/>
      </c>
      <c r="Z915" t="str">
        <f t="array" ref="Z915">IF($A915="","",INDEX(JupData!$A$2:$K$10000,MATCH($A915&amp;Z$1,JupData!$A$2:$A$10000&amp;JupData!$J$2:$J$10000,0),11))</f>
        <v/>
      </c>
      <c r="AA915" t="str">
        <f t="array" ref="AA915">IF($A915="","",INDEX(JupData!$A$2:$K$10000,MATCH($A915&amp;AA$1,JupData!$A$2:$A$10000&amp;JupData!$J$2:$J$10000,0),11))</f>
        <v/>
      </c>
      <c r="AB915" t="str">
        <f t="array" ref="AB915">IF($A915="","",INDEX(JupData!$A$2:$K$10000,MATCH($A915&amp;AB$1,JupData!$A$2:$A$10000&amp;JupData!$J$2:$J$10000,0),11))</f>
        <v/>
      </c>
      <c r="AC915" s="10" t="str">
        <f t="shared" si="154"/>
        <v/>
      </c>
      <c r="AD915" s="10" t="str">
        <f t="shared" si="155"/>
        <v/>
      </c>
      <c r="AE915" s="9" t="str">
        <f t="shared" si="156"/>
        <v/>
      </c>
      <c r="AF915" s="10" t="str">
        <f t="shared" si="157"/>
        <v/>
      </c>
      <c r="AG915" s="10" t="str">
        <f t="shared" si="158"/>
        <v/>
      </c>
      <c r="AH915" s="10" t="str">
        <f t="shared" si="159"/>
        <v/>
      </c>
      <c r="AI915" s="10" t="str">
        <f t="shared" si="160"/>
        <v/>
      </c>
      <c r="AJ915" s="10" t="str">
        <f t="shared" si="161"/>
        <v/>
      </c>
      <c r="AK915" s="10" t="str">
        <f t="shared" si="162"/>
        <v/>
      </c>
      <c r="AL915" s="14" t="str">
        <f t="shared" si="163"/>
        <v/>
      </c>
    </row>
    <row r="916" spans="1:38" x14ac:dyDescent="0.2">
      <c r="A916"/>
      <c r="B916" t="str">
        <f>IF($A916="","",VLOOKUP($A916,JupData!$A$2:$I$10000,4,FALSE))</f>
        <v/>
      </c>
      <c r="C916" s="7" t="str">
        <f>IF($A916="",IF(N(D916),0,""),VLOOKUP($A916,JupData!$A$2:$I$10000,7,FALSE))</f>
        <v/>
      </c>
      <c r="D916" t="str">
        <f t="shared" si="164"/>
        <v/>
      </c>
      <c r="E916" t="str">
        <f t="array" ref="E916">IF($A916="","",INDEX(JupData!$A$2:$K$10000,MATCH($A916&amp;E$1,JupData!$A$2:$A$10000&amp;JupData!$J$2:$J$10000,0),11))</f>
        <v/>
      </c>
      <c r="F916" t="str">
        <f t="array" ref="F916">IF($A916="","",INDEX(JupData!$A$2:$K$10000,MATCH($A916&amp;F$1,JupData!$A$2:$A$10000&amp;JupData!$J$2:$J$10000,0),11))</f>
        <v/>
      </c>
      <c r="G916" t="str">
        <f t="array" ref="G916">IF($A916="","",INDEX(JupData!$A$2:$K$10000,MATCH($A916&amp;G$1,JupData!$A$2:$A$10000&amp;JupData!$J$2:$J$10000,0),11))</f>
        <v/>
      </c>
      <c r="H916" t="str">
        <f t="array" ref="H916">IF($A916="","",INDEX(JupData!$A$2:$K$10000,MATCH($A916&amp;H$1,JupData!$A$2:$A$10000&amp;JupData!$J$2:$J$10000,0),11))</f>
        <v/>
      </c>
      <c r="I916" t="str">
        <f t="array" ref="I916">IF($A916="","",INDEX(JupData!$A$2:$K$10000,MATCH($A916&amp;I$1,JupData!$A$2:$A$10000&amp;JupData!$J$2:$J$10000,0),11))</f>
        <v/>
      </c>
      <c r="J916" t="str">
        <f t="array" ref="J916">IF($A916="","",INDEX(JupData!$A$2:$K$10000,MATCH($A916&amp;J$1,JupData!$A$2:$A$10000&amp;JupData!$J$2:$J$10000,0),11))</f>
        <v/>
      </c>
      <c r="K916" t="str">
        <f t="array" ref="K916">IF($A916="","",INDEX(JupData!$A$2:$K$10000,MATCH($A916&amp;K$1,JupData!$A$2:$A$10000&amp;JupData!$J$2:$J$10000,0),11))</f>
        <v/>
      </c>
      <c r="L916" t="str">
        <f t="array" ref="L916">IF($A916="","",INDEX(JupData!$A$2:$K$10000,MATCH($A916&amp;L$1,JupData!$A$2:$A$10000&amp;JupData!$J$2:$J$10000,0),11))</f>
        <v/>
      </c>
      <c r="M916" t="str">
        <f t="array" ref="M916">IF($A916="","",INDEX(JupData!$A$2:$K$10000,MATCH($A916&amp;M$1,JupData!$A$2:$A$10000&amp;JupData!$J$2:$J$10000,0),11))</f>
        <v/>
      </c>
      <c r="N916" t="str">
        <f t="array" ref="N916">IF($A916="","",INDEX(JupData!$A$2:$K$10000,MATCH($A916&amp;N$1,JupData!$A$2:$A$10000&amp;JupData!$J$2:$J$10000,0),11))</f>
        <v/>
      </c>
      <c r="O916" t="str">
        <f t="array" ref="O916">IF($A916="","",INDEX(JupData!$A$2:$K$10000,MATCH($A916&amp;O$1,JupData!$A$2:$A$10000&amp;JupData!$J$2:$J$10000,0),11))</f>
        <v/>
      </c>
      <c r="P916" t="str">
        <f t="array" ref="P916">IF($A916="","",INDEX(JupData!$A$2:$K$10000,MATCH($A916&amp;P$1,JupData!$A$2:$A$10000&amp;JupData!$J$2:$J$10000,0),11))</f>
        <v/>
      </c>
      <c r="Q916" t="str">
        <f t="array" ref="Q916">IF($A916="","",INDEX(JupData!$A$2:$K$10000,MATCH($A916&amp;Q$1,JupData!$A$2:$A$10000&amp;JupData!$J$2:$J$10000,0),11))</f>
        <v/>
      </c>
      <c r="R916" t="str">
        <f t="array" ref="R916">IF($A916="","",INDEX(JupData!$A$2:$K$10000,MATCH($A916&amp;R$1,JupData!$A$2:$A$10000&amp;JupData!$J$2:$J$10000,0),11))</f>
        <v/>
      </c>
      <c r="S916" t="str">
        <f t="array" ref="S916">IF($A916="","",INDEX(JupData!$A$2:$K$10000,MATCH($A916&amp;S$1,JupData!$A$2:$A$10000&amp;JupData!$J$2:$J$10000,0),11))</f>
        <v/>
      </c>
      <c r="T916" t="str">
        <f t="array" ref="T916">IF($A916="","",INDEX(JupData!$A$2:$K$10000,MATCH($A916&amp;T$1,JupData!$A$2:$A$10000&amp;JupData!$J$2:$J$10000,0),11))</f>
        <v/>
      </c>
      <c r="U916" t="str">
        <f t="array" ref="U916">IF($A916="","",INDEX(JupData!$A$2:$K$10000,MATCH($A916&amp;U$1,JupData!$A$2:$A$10000&amp;JupData!$J$2:$J$10000,0),11))</f>
        <v/>
      </c>
      <c r="V916" t="str">
        <f t="array" ref="V916">IF($A916="","",INDEX(JupData!$A$2:$K$10000,MATCH($A916&amp;V$1,JupData!$A$2:$A$10000&amp;JupData!$J$2:$J$10000,0),11))</f>
        <v/>
      </c>
      <c r="W916" t="str">
        <f t="array" ref="W916">IF($A916="","",INDEX(JupData!$A$2:$K$10000,MATCH($A916&amp;W$1,JupData!$A$2:$A$10000&amp;JupData!$J$2:$J$10000,0),11))</f>
        <v/>
      </c>
      <c r="X916" t="str">
        <f t="array" ref="X916">IF($A916="","",INDEX(JupData!$A$2:$K$10000,MATCH($A916&amp;X$1,JupData!$A$2:$A$10000&amp;JupData!$J$2:$J$10000,0),11))</f>
        <v/>
      </c>
      <c r="Y916" t="str">
        <f t="array" ref="Y916">IF($A916="","",INDEX(JupData!$A$2:$K$10000,MATCH($A916&amp;Y$1,JupData!$A$2:$A$10000&amp;JupData!$J$2:$J$10000,0),11))</f>
        <v/>
      </c>
      <c r="Z916" t="str">
        <f t="array" ref="Z916">IF($A916="","",INDEX(JupData!$A$2:$K$10000,MATCH($A916&amp;Z$1,JupData!$A$2:$A$10000&amp;JupData!$J$2:$J$10000,0),11))</f>
        <v/>
      </c>
      <c r="AA916" t="str">
        <f t="array" ref="AA916">IF($A916="","",INDEX(JupData!$A$2:$K$10000,MATCH($A916&amp;AA$1,JupData!$A$2:$A$10000&amp;JupData!$J$2:$J$10000,0),11))</f>
        <v/>
      </c>
      <c r="AB916" t="str">
        <f t="array" ref="AB916">IF($A916="","",INDEX(JupData!$A$2:$K$10000,MATCH($A916&amp;AB$1,JupData!$A$2:$A$10000&amp;JupData!$J$2:$J$10000,0),11))</f>
        <v/>
      </c>
      <c r="AC916" s="10" t="str">
        <f t="shared" si="154"/>
        <v/>
      </c>
      <c r="AD916" s="10" t="str">
        <f t="shared" si="155"/>
        <v/>
      </c>
      <c r="AE916" s="9" t="str">
        <f t="shared" si="156"/>
        <v/>
      </c>
      <c r="AF916" s="10" t="str">
        <f t="shared" si="157"/>
        <v/>
      </c>
      <c r="AG916" s="10" t="str">
        <f t="shared" si="158"/>
        <v/>
      </c>
      <c r="AH916" s="10" t="str">
        <f t="shared" si="159"/>
        <v/>
      </c>
      <c r="AI916" s="10" t="str">
        <f t="shared" si="160"/>
        <v/>
      </c>
      <c r="AJ916" s="10" t="str">
        <f t="shared" si="161"/>
        <v/>
      </c>
      <c r="AK916" s="10" t="str">
        <f t="shared" si="162"/>
        <v/>
      </c>
      <c r="AL916" s="14" t="str">
        <f t="shared" si="163"/>
        <v/>
      </c>
    </row>
    <row r="917" spans="1:38" x14ac:dyDescent="0.2">
      <c r="A917"/>
      <c r="B917" t="str">
        <f>IF($A917="","",VLOOKUP($A917,JupData!$A$2:$I$10000,4,FALSE))</f>
        <v/>
      </c>
      <c r="C917" s="7" t="str">
        <f>IF($A917="",IF(N(D917),0,""),VLOOKUP($A917,JupData!$A$2:$I$10000,7,FALSE))</f>
        <v/>
      </c>
      <c r="D917" t="str">
        <f t="shared" si="164"/>
        <v/>
      </c>
      <c r="E917" t="str">
        <f t="array" ref="E917">IF($A917="","",INDEX(JupData!$A$2:$K$10000,MATCH($A917&amp;E$1,JupData!$A$2:$A$10000&amp;JupData!$J$2:$J$10000,0),11))</f>
        <v/>
      </c>
      <c r="F917" t="str">
        <f t="array" ref="F917">IF($A917="","",INDEX(JupData!$A$2:$K$10000,MATCH($A917&amp;F$1,JupData!$A$2:$A$10000&amp;JupData!$J$2:$J$10000,0),11))</f>
        <v/>
      </c>
      <c r="G917" t="str">
        <f t="array" ref="G917">IF($A917="","",INDEX(JupData!$A$2:$K$10000,MATCH($A917&amp;G$1,JupData!$A$2:$A$10000&amp;JupData!$J$2:$J$10000,0),11))</f>
        <v/>
      </c>
      <c r="H917" t="str">
        <f t="array" ref="H917">IF($A917="","",INDEX(JupData!$A$2:$K$10000,MATCH($A917&amp;H$1,JupData!$A$2:$A$10000&amp;JupData!$J$2:$J$10000,0),11))</f>
        <v/>
      </c>
      <c r="I917" t="str">
        <f t="array" ref="I917">IF($A917="","",INDEX(JupData!$A$2:$K$10000,MATCH($A917&amp;I$1,JupData!$A$2:$A$10000&amp;JupData!$J$2:$J$10000,0),11))</f>
        <v/>
      </c>
      <c r="J917" t="str">
        <f t="array" ref="J917">IF($A917="","",INDEX(JupData!$A$2:$K$10000,MATCH($A917&amp;J$1,JupData!$A$2:$A$10000&amp;JupData!$J$2:$J$10000,0),11))</f>
        <v/>
      </c>
      <c r="K917" t="str">
        <f t="array" ref="K917">IF($A917="","",INDEX(JupData!$A$2:$K$10000,MATCH($A917&amp;K$1,JupData!$A$2:$A$10000&amp;JupData!$J$2:$J$10000,0),11))</f>
        <v/>
      </c>
      <c r="L917" t="str">
        <f t="array" ref="L917">IF($A917="","",INDEX(JupData!$A$2:$K$10000,MATCH($A917&amp;L$1,JupData!$A$2:$A$10000&amp;JupData!$J$2:$J$10000,0),11))</f>
        <v/>
      </c>
      <c r="M917" t="str">
        <f t="array" ref="M917">IF($A917="","",INDEX(JupData!$A$2:$K$10000,MATCH($A917&amp;M$1,JupData!$A$2:$A$10000&amp;JupData!$J$2:$J$10000,0),11))</f>
        <v/>
      </c>
      <c r="N917" t="str">
        <f t="array" ref="N917">IF($A917="","",INDEX(JupData!$A$2:$K$10000,MATCH($A917&amp;N$1,JupData!$A$2:$A$10000&amp;JupData!$J$2:$J$10000,0),11))</f>
        <v/>
      </c>
      <c r="O917" t="str">
        <f t="array" ref="O917">IF($A917="","",INDEX(JupData!$A$2:$K$10000,MATCH($A917&amp;O$1,JupData!$A$2:$A$10000&amp;JupData!$J$2:$J$10000,0),11))</f>
        <v/>
      </c>
      <c r="P917" t="str">
        <f t="array" ref="P917">IF($A917="","",INDEX(JupData!$A$2:$K$10000,MATCH($A917&amp;P$1,JupData!$A$2:$A$10000&amp;JupData!$J$2:$J$10000,0),11))</f>
        <v/>
      </c>
      <c r="Q917" t="str">
        <f t="array" ref="Q917">IF($A917="","",INDEX(JupData!$A$2:$K$10000,MATCH($A917&amp;Q$1,JupData!$A$2:$A$10000&amp;JupData!$J$2:$J$10000,0),11))</f>
        <v/>
      </c>
      <c r="R917" t="str">
        <f t="array" ref="R917">IF($A917="","",INDEX(JupData!$A$2:$K$10000,MATCH($A917&amp;R$1,JupData!$A$2:$A$10000&amp;JupData!$J$2:$J$10000,0),11))</f>
        <v/>
      </c>
      <c r="S917" t="str">
        <f t="array" ref="S917">IF($A917="","",INDEX(JupData!$A$2:$K$10000,MATCH($A917&amp;S$1,JupData!$A$2:$A$10000&amp;JupData!$J$2:$J$10000,0),11))</f>
        <v/>
      </c>
      <c r="T917" t="str">
        <f t="array" ref="T917">IF($A917="","",INDEX(JupData!$A$2:$K$10000,MATCH($A917&amp;T$1,JupData!$A$2:$A$10000&amp;JupData!$J$2:$J$10000,0),11))</f>
        <v/>
      </c>
      <c r="U917" t="str">
        <f t="array" ref="U917">IF($A917="","",INDEX(JupData!$A$2:$K$10000,MATCH($A917&amp;U$1,JupData!$A$2:$A$10000&amp;JupData!$J$2:$J$10000,0),11))</f>
        <v/>
      </c>
      <c r="V917" t="str">
        <f t="array" ref="V917">IF($A917="","",INDEX(JupData!$A$2:$K$10000,MATCH($A917&amp;V$1,JupData!$A$2:$A$10000&amp;JupData!$J$2:$J$10000,0),11))</f>
        <v/>
      </c>
      <c r="W917" t="str">
        <f t="array" ref="W917">IF($A917="","",INDEX(JupData!$A$2:$K$10000,MATCH($A917&amp;W$1,JupData!$A$2:$A$10000&amp;JupData!$J$2:$J$10000,0),11))</f>
        <v/>
      </c>
      <c r="X917" t="str">
        <f t="array" ref="X917">IF($A917="","",INDEX(JupData!$A$2:$K$10000,MATCH($A917&amp;X$1,JupData!$A$2:$A$10000&amp;JupData!$J$2:$J$10000,0),11))</f>
        <v/>
      </c>
      <c r="Y917" t="str">
        <f t="array" ref="Y917">IF($A917="","",INDEX(JupData!$A$2:$K$10000,MATCH($A917&amp;Y$1,JupData!$A$2:$A$10000&amp;JupData!$J$2:$J$10000,0),11))</f>
        <v/>
      </c>
      <c r="Z917" t="str">
        <f t="array" ref="Z917">IF($A917="","",INDEX(JupData!$A$2:$K$10000,MATCH($A917&amp;Z$1,JupData!$A$2:$A$10000&amp;JupData!$J$2:$J$10000,0),11))</f>
        <v/>
      </c>
      <c r="AA917" t="str">
        <f t="array" ref="AA917">IF($A917="","",INDEX(JupData!$A$2:$K$10000,MATCH($A917&amp;AA$1,JupData!$A$2:$A$10000&amp;JupData!$J$2:$J$10000,0),11))</f>
        <v/>
      </c>
      <c r="AB917" t="str">
        <f t="array" ref="AB917">IF($A917="","",INDEX(JupData!$A$2:$K$10000,MATCH($A917&amp;AB$1,JupData!$A$2:$A$10000&amp;JupData!$J$2:$J$10000,0),11))</f>
        <v/>
      </c>
      <c r="AC917" s="10" t="str">
        <f t="shared" si="154"/>
        <v/>
      </c>
      <c r="AD917" s="10" t="str">
        <f t="shared" si="155"/>
        <v/>
      </c>
      <c r="AE917" s="9" t="str">
        <f t="shared" si="156"/>
        <v/>
      </c>
      <c r="AF917" s="10" t="str">
        <f t="shared" si="157"/>
        <v/>
      </c>
      <c r="AG917" s="10" t="str">
        <f t="shared" si="158"/>
        <v/>
      </c>
      <c r="AH917" s="10" t="str">
        <f t="shared" si="159"/>
        <v/>
      </c>
      <c r="AI917" s="10" t="str">
        <f t="shared" si="160"/>
        <v/>
      </c>
      <c r="AJ917" s="10" t="str">
        <f t="shared" si="161"/>
        <v/>
      </c>
      <c r="AK917" s="10" t="str">
        <f t="shared" si="162"/>
        <v/>
      </c>
      <c r="AL917" s="14" t="str">
        <f t="shared" si="163"/>
        <v/>
      </c>
    </row>
    <row r="918" spans="1:38" x14ac:dyDescent="0.2">
      <c r="A918"/>
      <c r="B918" t="str">
        <f>IF($A918="","",VLOOKUP($A918,JupData!$A$2:$I$10000,4,FALSE))</f>
        <v/>
      </c>
      <c r="C918" s="7" t="str">
        <f>IF($A918="",IF(N(D918),0,""),VLOOKUP($A918,JupData!$A$2:$I$10000,7,FALSE))</f>
        <v/>
      </c>
      <c r="D918" t="str">
        <f t="shared" si="164"/>
        <v/>
      </c>
      <c r="E918" t="str">
        <f t="array" ref="E918">IF($A918="","",INDEX(JupData!$A$2:$K$10000,MATCH($A918&amp;E$1,JupData!$A$2:$A$10000&amp;JupData!$J$2:$J$10000,0),11))</f>
        <v/>
      </c>
      <c r="F918" t="str">
        <f t="array" ref="F918">IF($A918="","",INDEX(JupData!$A$2:$K$10000,MATCH($A918&amp;F$1,JupData!$A$2:$A$10000&amp;JupData!$J$2:$J$10000,0),11))</f>
        <v/>
      </c>
      <c r="G918" t="str">
        <f t="array" ref="G918">IF($A918="","",INDEX(JupData!$A$2:$K$10000,MATCH($A918&amp;G$1,JupData!$A$2:$A$10000&amp;JupData!$J$2:$J$10000,0),11))</f>
        <v/>
      </c>
      <c r="H918" t="str">
        <f t="array" ref="H918">IF($A918="","",INDEX(JupData!$A$2:$K$10000,MATCH($A918&amp;H$1,JupData!$A$2:$A$10000&amp;JupData!$J$2:$J$10000,0),11))</f>
        <v/>
      </c>
      <c r="I918" t="str">
        <f t="array" ref="I918">IF($A918="","",INDEX(JupData!$A$2:$K$10000,MATCH($A918&amp;I$1,JupData!$A$2:$A$10000&amp;JupData!$J$2:$J$10000,0),11))</f>
        <v/>
      </c>
      <c r="J918" t="str">
        <f t="array" ref="J918">IF($A918="","",INDEX(JupData!$A$2:$K$10000,MATCH($A918&amp;J$1,JupData!$A$2:$A$10000&amp;JupData!$J$2:$J$10000,0),11))</f>
        <v/>
      </c>
      <c r="K918" t="str">
        <f t="array" ref="K918">IF($A918="","",INDEX(JupData!$A$2:$K$10000,MATCH($A918&amp;K$1,JupData!$A$2:$A$10000&amp;JupData!$J$2:$J$10000,0),11))</f>
        <v/>
      </c>
      <c r="L918" t="str">
        <f t="array" ref="L918">IF($A918="","",INDEX(JupData!$A$2:$K$10000,MATCH($A918&amp;L$1,JupData!$A$2:$A$10000&amp;JupData!$J$2:$J$10000,0),11))</f>
        <v/>
      </c>
      <c r="M918" t="str">
        <f t="array" ref="M918">IF($A918="","",INDEX(JupData!$A$2:$K$10000,MATCH($A918&amp;M$1,JupData!$A$2:$A$10000&amp;JupData!$J$2:$J$10000,0),11))</f>
        <v/>
      </c>
      <c r="N918" t="str">
        <f t="array" ref="N918">IF($A918="","",INDEX(JupData!$A$2:$K$10000,MATCH($A918&amp;N$1,JupData!$A$2:$A$10000&amp;JupData!$J$2:$J$10000,0),11))</f>
        <v/>
      </c>
      <c r="O918" t="str">
        <f t="array" ref="O918">IF($A918="","",INDEX(JupData!$A$2:$K$10000,MATCH($A918&amp;O$1,JupData!$A$2:$A$10000&amp;JupData!$J$2:$J$10000,0),11))</f>
        <v/>
      </c>
      <c r="P918" t="str">
        <f t="array" ref="P918">IF($A918="","",INDEX(JupData!$A$2:$K$10000,MATCH($A918&amp;P$1,JupData!$A$2:$A$10000&amp;JupData!$J$2:$J$10000,0),11))</f>
        <v/>
      </c>
      <c r="Q918" t="str">
        <f t="array" ref="Q918">IF($A918="","",INDEX(JupData!$A$2:$K$10000,MATCH($A918&amp;Q$1,JupData!$A$2:$A$10000&amp;JupData!$J$2:$J$10000,0),11))</f>
        <v/>
      </c>
      <c r="R918" t="str">
        <f t="array" ref="R918">IF($A918="","",INDEX(JupData!$A$2:$K$10000,MATCH($A918&amp;R$1,JupData!$A$2:$A$10000&amp;JupData!$J$2:$J$10000,0),11))</f>
        <v/>
      </c>
      <c r="S918" t="str">
        <f t="array" ref="S918">IF($A918="","",INDEX(JupData!$A$2:$K$10000,MATCH($A918&amp;S$1,JupData!$A$2:$A$10000&amp;JupData!$J$2:$J$10000,0),11))</f>
        <v/>
      </c>
      <c r="T918" t="str">
        <f t="array" ref="T918">IF($A918="","",INDEX(JupData!$A$2:$K$10000,MATCH($A918&amp;T$1,JupData!$A$2:$A$10000&amp;JupData!$J$2:$J$10000,0),11))</f>
        <v/>
      </c>
      <c r="U918" t="str">
        <f t="array" ref="U918">IF($A918="","",INDEX(JupData!$A$2:$K$10000,MATCH($A918&amp;U$1,JupData!$A$2:$A$10000&amp;JupData!$J$2:$J$10000,0),11))</f>
        <v/>
      </c>
      <c r="V918" t="str">
        <f t="array" ref="V918">IF($A918="","",INDEX(JupData!$A$2:$K$10000,MATCH($A918&amp;V$1,JupData!$A$2:$A$10000&amp;JupData!$J$2:$J$10000,0),11))</f>
        <v/>
      </c>
      <c r="W918" t="str">
        <f t="array" ref="W918">IF($A918="","",INDEX(JupData!$A$2:$K$10000,MATCH($A918&amp;W$1,JupData!$A$2:$A$10000&amp;JupData!$J$2:$J$10000,0),11))</f>
        <v/>
      </c>
      <c r="X918" t="str">
        <f t="array" ref="X918">IF($A918="","",INDEX(JupData!$A$2:$K$10000,MATCH($A918&amp;X$1,JupData!$A$2:$A$10000&amp;JupData!$J$2:$J$10000,0),11))</f>
        <v/>
      </c>
      <c r="Y918" t="str">
        <f t="array" ref="Y918">IF($A918="","",INDEX(JupData!$A$2:$K$10000,MATCH($A918&amp;Y$1,JupData!$A$2:$A$10000&amp;JupData!$J$2:$J$10000,0),11))</f>
        <v/>
      </c>
      <c r="Z918" t="str">
        <f t="array" ref="Z918">IF($A918="","",INDEX(JupData!$A$2:$K$10000,MATCH($A918&amp;Z$1,JupData!$A$2:$A$10000&amp;JupData!$J$2:$J$10000,0),11))</f>
        <v/>
      </c>
      <c r="AA918" t="str">
        <f t="array" ref="AA918">IF($A918="","",INDEX(JupData!$A$2:$K$10000,MATCH($A918&amp;AA$1,JupData!$A$2:$A$10000&amp;JupData!$J$2:$J$10000,0),11))</f>
        <v/>
      </c>
      <c r="AB918" t="str">
        <f t="array" ref="AB918">IF($A918="","",INDEX(JupData!$A$2:$K$10000,MATCH($A918&amp;AB$1,JupData!$A$2:$A$10000&amp;JupData!$J$2:$J$10000,0),11))</f>
        <v/>
      </c>
      <c r="AC918" s="10" t="str">
        <f t="shared" si="154"/>
        <v/>
      </c>
      <c r="AD918" s="10" t="str">
        <f t="shared" si="155"/>
        <v/>
      </c>
      <c r="AE918" s="9" t="str">
        <f t="shared" si="156"/>
        <v/>
      </c>
      <c r="AF918" s="10" t="str">
        <f t="shared" si="157"/>
        <v/>
      </c>
      <c r="AG918" s="10" t="str">
        <f t="shared" si="158"/>
        <v/>
      </c>
      <c r="AH918" s="10" t="str">
        <f t="shared" si="159"/>
        <v/>
      </c>
      <c r="AI918" s="10" t="str">
        <f t="shared" si="160"/>
        <v/>
      </c>
      <c r="AJ918" s="10" t="str">
        <f t="shared" si="161"/>
        <v/>
      </c>
      <c r="AK918" s="10" t="str">
        <f t="shared" si="162"/>
        <v/>
      </c>
      <c r="AL918" s="14" t="str">
        <f t="shared" si="163"/>
        <v/>
      </c>
    </row>
    <row r="919" spans="1:38" x14ac:dyDescent="0.2">
      <c r="A919"/>
      <c r="B919" t="str">
        <f>IF($A919="","",VLOOKUP($A919,JupData!$A$2:$I$10000,4,FALSE))</f>
        <v/>
      </c>
      <c r="C919" s="7" t="str">
        <f>IF($A919="",IF(N(D919),0,""),VLOOKUP($A919,JupData!$A$2:$I$10000,7,FALSE))</f>
        <v/>
      </c>
      <c r="D919" t="str">
        <f t="shared" si="164"/>
        <v/>
      </c>
      <c r="E919" t="str">
        <f t="array" ref="E919">IF($A919="","",INDEX(JupData!$A$2:$K$10000,MATCH($A919&amp;E$1,JupData!$A$2:$A$10000&amp;JupData!$J$2:$J$10000,0),11))</f>
        <v/>
      </c>
      <c r="F919" t="str">
        <f t="array" ref="F919">IF($A919="","",INDEX(JupData!$A$2:$K$10000,MATCH($A919&amp;F$1,JupData!$A$2:$A$10000&amp;JupData!$J$2:$J$10000,0),11))</f>
        <v/>
      </c>
      <c r="G919" t="str">
        <f t="array" ref="G919">IF($A919="","",INDEX(JupData!$A$2:$K$10000,MATCH($A919&amp;G$1,JupData!$A$2:$A$10000&amp;JupData!$J$2:$J$10000,0),11))</f>
        <v/>
      </c>
      <c r="H919" t="str">
        <f t="array" ref="H919">IF($A919="","",INDEX(JupData!$A$2:$K$10000,MATCH($A919&amp;H$1,JupData!$A$2:$A$10000&amp;JupData!$J$2:$J$10000,0),11))</f>
        <v/>
      </c>
      <c r="I919" t="str">
        <f t="array" ref="I919">IF($A919="","",INDEX(JupData!$A$2:$K$10000,MATCH($A919&amp;I$1,JupData!$A$2:$A$10000&amp;JupData!$J$2:$J$10000,0),11))</f>
        <v/>
      </c>
      <c r="J919" t="str">
        <f t="array" ref="J919">IF($A919="","",INDEX(JupData!$A$2:$K$10000,MATCH($A919&amp;J$1,JupData!$A$2:$A$10000&amp;JupData!$J$2:$J$10000,0),11))</f>
        <v/>
      </c>
      <c r="K919" t="str">
        <f t="array" ref="K919">IF($A919="","",INDEX(JupData!$A$2:$K$10000,MATCH($A919&amp;K$1,JupData!$A$2:$A$10000&amp;JupData!$J$2:$J$10000,0),11))</f>
        <v/>
      </c>
      <c r="L919" t="str">
        <f t="array" ref="L919">IF($A919="","",INDEX(JupData!$A$2:$K$10000,MATCH($A919&amp;L$1,JupData!$A$2:$A$10000&amp;JupData!$J$2:$J$10000,0),11))</f>
        <v/>
      </c>
      <c r="M919" t="str">
        <f t="array" ref="M919">IF($A919="","",INDEX(JupData!$A$2:$K$10000,MATCH($A919&amp;M$1,JupData!$A$2:$A$10000&amp;JupData!$J$2:$J$10000,0),11))</f>
        <v/>
      </c>
      <c r="N919" t="str">
        <f t="array" ref="N919">IF($A919="","",INDEX(JupData!$A$2:$K$10000,MATCH($A919&amp;N$1,JupData!$A$2:$A$10000&amp;JupData!$J$2:$J$10000,0),11))</f>
        <v/>
      </c>
      <c r="O919" t="str">
        <f t="array" ref="O919">IF($A919="","",INDEX(JupData!$A$2:$K$10000,MATCH($A919&amp;O$1,JupData!$A$2:$A$10000&amp;JupData!$J$2:$J$10000,0),11))</f>
        <v/>
      </c>
      <c r="P919" t="str">
        <f t="array" ref="P919">IF($A919="","",INDEX(JupData!$A$2:$K$10000,MATCH($A919&amp;P$1,JupData!$A$2:$A$10000&amp;JupData!$J$2:$J$10000,0),11))</f>
        <v/>
      </c>
      <c r="Q919" t="str">
        <f t="array" ref="Q919">IF($A919="","",INDEX(JupData!$A$2:$K$10000,MATCH($A919&amp;Q$1,JupData!$A$2:$A$10000&amp;JupData!$J$2:$J$10000,0),11))</f>
        <v/>
      </c>
      <c r="R919" t="str">
        <f t="array" ref="R919">IF($A919="","",INDEX(JupData!$A$2:$K$10000,MATCH($A919&amp;R$1,JupData!$A$2:$A$10000&amp;JupData!$J$2:$J$10000,0),11))</f>
        <v/>
      </c>
      <c r="S919" t="str">
        <f t="array" ref="S919">IF($A919="","",INDEX(JupData!$A$2:$K$10000,MATCH($A919&amp;S$1,JupData!$A$2:$A$10000&amp;JupData!$J$2:$J$10000,0),11))</f>
        <v/>
      </c>
      <c r="T919" t="str">
        <f t="array" ref="T919">IF($A919="","",INDEX(JupData!$A$2:$K$10000,MATCH($A919&amp;T$1,JupData!$A$2:$A$10000&amp;JupData!$J$2:$J$10000,0),11))</f>
        <v/>
      </c>
      <c r="U919" t="str">
        <f t="array" ref="U919">IF($A919="","",INDEX(JupData!$A$2:$K$10000,MATCH($A919&amp;U$1,JupData!$A$2:$A$10000&amp;JupData!$J$2:$J$10000,0),11))</f>
        <v/>
      </c>
      <c r="V919" t="str">
        <f t="array" ref="V919">IF($A919="","",INDEX(JupData!$A$2:$K$10000,MATCH($A919&amp;V$1,JupData!$A$2:$A$10000&amp;JupData!$J$2:$J$10000,0),11))</f>
        <v/>
      </c>
      <c r="W919" t="str">
        <f t="array" ref="W919">IF($A919="","",INDEX(JupData!$A$2:$K$10000,MATCH($A919&amp;W$1,JupData!$A$2:$A$10000&amp;JupData!$J$2:$J$10000,0),11))</f>
        <v/>
      </c>
      <c r="X919" t="str">
        <f t="array" ref="X919">IF($A919="","",INDEX(JupData!$A$2:$K$10000,MATCH($A919&amp;X$1,JupData!$A$2:$A$10000&amp;JupData!$J$2:$J$10000,0),11))</f>
        <v/>
      </c>
      <c r="Y919" t="str">
        <f t="array" ref="Y919">IF($A919="","",INDEX(JupData!$A$2:$K$10000,MATCH($A919&amp;Y$1,JupData!$A$2:$A$10000&amp;JupData!$J$2:$J$10000,0),11))</f>
        <v/>
      </c>
      <c r="Z919" t="str">
        <f t="array" ref="Z919">IF($A919="","",INDEX(JupData!$A$2:$K$10000,MATCH($A919&amp;Z$1,JupData!$A$2:$A$10000&amp;JupData!$J$2:$J$10000,0),11))</f>
        <v/>
      </c>
      <c r="AA919" t="str">
        <f t="array" ref="AA919">IF($A919="","",INDEX(JupData!$A$2:$K$10000,MATCH($A919&amp;AA$1,JupData!$A$2:$A$10000&amp;JupData!$J$2:$J$10000,0),11))</f>
        <v/>
      </c>
      <c r="AB919" t="str">
        <f t="array" ref="AB919">IF($A919="","",INDEX(JupData!$A$2:$K$10000,MATCH($A919&amp;AB$1,JupData!$A$2:$A$10000&amp;JupData!$J$2:$J$10000,0),11))</f>
        <v/>
      </c>
      <c r="AC919" s="10" t="str">
        <f t="shared" si="154"/>
        <v/>
      </c>
      <c r="AD919" s="10" t="str">
        <f t="shared" si="155"/>
        <v/>
      </c>
      <c r="AE919" s="9" t="str">
        <f t="shared" si="156"/>
        <v/>
      </c>
      <c r="AF919" s="10" t="str">
        <f t="shared" si="157"/>
        <v/>
      </c>
      <c r="AG919" s="10" t="str">
        <f t="shared" si="158"/>
        <v/>
      </c>
      <c r="AH919" s="10" t="str">
        <f t="shared" si="159"/>
        <v/>
      </c>
      <c r="AI919" s="10" t="str">
        <f t="shared" si="160"/>
        <v/>
      </c>
      <c r="AJ919" s="10" t="str">
        <f t="shared" si="161"/>
        <v/>
      </c>
      <c r="AK919" s="10" t="str">
        <f t="shared" si="162"/>
        <v/>
      </c>
      <c r="AL919" s="14" t="str">
        <f t="shared" si="163"/>
        <v/>
      </c>
    </row>
    <row r="920" spans="1:38" x14ac:dyDescent="0.2">
      <c r="A920"/>
      <c r="B920" t="str">
        <f>IF($A920="","",VLOOKUP($A920,JupData!$A$2:$I$10000,4,FALSE))</f>
        <v/>
      </c>
      <c r="C920" s="7" t="str">
        <f>IF($A920="",IF(N(D920),0,""),VLOOKUP($A920,JupData!$A$2:$I$10000,7,FALSE))</f>
        <v/>
      </c>
      <c r="D920" t="str">
        <f t="shared" si="164"/>
        <v/>
      </c>
      <c r="E920" t="str">
        <f t="array" ref="E920">IF($A920="","",INDEX(JupData!$A$2:$K$10000,MATCH($A920&amp;E$1,JupData!$A$2:$A$10000&amp;JupData!$J$2:$J$10000,0),11))</f>
        <v/>
      </c>
      <c r="F920" t="str">
        <f t="array" ref="F920">IF($A920="","",INDEX(JupData!$A$2:$K$10000,MATCH($A920&amp;F$1,JupData!$A$2:$A$10000&amp;JupData!$J$2:$J$10000,0),11))</f>
        <v/>
      </c>
      <c r="G920" t="str">
        <f t="array" ref="G920">IF($A920="","",INDEX(JupData!$A$2:$K$10000,MATCH($A920&amp;G$1,JupData!$A$2:$A$10000&amp;JupData!$J$2:$J$10000,0),11))</f>
        <v/>
      </c>
      <c r="H920" t="str">
        <f t="array" ref="H920">IF($A920="","",INDEX(JupData!$A$2:$K$10000,MATCH($A920&amp;H$1,JupData!$A$2:$A$10000&amp;JupData!$J$2:$J$10000,0),11))</f>
        <v/>
      </c>
      <c r="I920" t="str">
        <f t="array" ref="I920">IF($A920="","",INDEX(JupData!$A$2:$K$10000,MATCH($A920&amp;I$1,JupData!$A$2:$A$10000&amp;JupData!$J$2:$J$10000,0),11))</f>
        <v/>
      </c>
      <c r="J920" t="str">
        <f t="array" ref="J920">IF($A920="","",INDEX(JupData!$A$2:$K$10000,MATCH($A920&amp;J$1,JupData!$A$2:$A$10000&amp;JupData!$J$2:$J$10000,0),11))</f>
        <v/>
      </c>
      <c r="K920" t="str">
        <f t="array" ref="K920">IF($A920="","",INDEX(JupData!$A$2:$K$10000,MATCH($A920&amp;K$1,JupData!$A$2:$A$10000&amp;JupData!$J$2:$J$10000,0),11))</f>
        <v/>
      </c>
      <c r="L920" t="str">
        <f t="array" ref="L920">IF($A920="","",INDEX(JupData!$A$2:$K$10000,MATCH($A920&amp;L$1,JupData!$A$2:$A$10000&amp;JupData!$J$2:$J$10000,0),11))</f>
        <v/>
      </c>
      <c r="M920" t="str">
        <f t="array" ref="M920">IF($A920="","",INDEX(JupData!$A$2:$K$10000,MATCH($A920&amp;M$1,JupData!$A$2:$A$10000&amp;JupData!$J$2:$J$10000,0),11))</f>
        <v/>
      </c>
      <c r="N920" t="str">
        <f t="array" ref="N920">IF($A920="","",INDEX(JupData!$A$2:$K$10000,MATCH($A920&amp;N$1,JupData!$A$2:$A$10000&amp;JupData!$J$2:$J$10000,0),11))</f>
        <v/>
      </c>
      <c r="O920" t="str">
        <f t="array" ref="O920">IF($A920="","",INDEX(JupData!$A$2:$K$10000,MATCH($A920&amp;O$1,JupData!$A$2:$A$10000&amp;JupData!$J$2:$J$10000,0),11))</f>
        <v/>
      </c>
      <c r="P920" t="str">
        <f t="array" ref="P920">IF($A920="","",INDEX(JupData!$A$2:$K$10000,MATCH($A920&amp;P$1,JupData!$A$2:$A$10000&amp;JupData!$J$2:$J$10000,0),11))</f>
        <v/>
      </c>
      <c r="Q920" t="str">
        <f t="array" ref="Q920">IF($A920="","",INDEX(JupData!$A$2:$K$10000,MATCH($A920&amp;Q$1,JupData!$A$2:$A$10000&amp;JupData!$J$2:$J$10000,0),11))</f>
        <v/>
      </c>
      <c r="R920" t="str">
        <f t="array" ref="R920">IF($A920="","",INDEX(JupData!$A$2:$K$10000,MATCH($A920&amp;R$1,JupData!$A$2:$A$10000&amp;JupData!$J$2:$J$10000,0),11))</f>
        <v/>
      </c>
      <c r="S920" t="str">
        <f t="array" ref="S920">IF($A920="","",INDEX(JupData!$A$2:$K$10000,MATCH($A920&amp;S$1,JupData!$A$2:$A$10000&amp;JupData!$J$2:$J$10000,0),11))</f>
        <v/>
      </c>
      <c r="T920" t="str">
        <f t="array" ref="T920">IF($A920="","",INDEX(JupData!$A$2:$K$10000,MATCH($A920&amp;T$1,JupData!$A$2:$A$10000&amp;JupData!$J$2:$J$10000,0),11))</f>
        <v/>
      </c>
      <c r="U920" t="str">
        <f t="array" ref="U920">IF($A920="","",INDEX(JupData!$A$2:$K$10000,MATCH($A920&amp;U$1,JupData!$A$2:$A$10000&amp;JupData!$J$2:$J$10000,0),11))</f>
        <v/>
      </c>
      <c r="V920" t="str">
        <f t="array" ref="V920">IF($A920="","",INDEX(JupData!$A$2:$K$10000,MATCH($A920&amp;V$1,JupData!$A$2:$A$10000&amp;JupData!$J$2:$J$10000,0),11))</f>
        <v/>
      </c>
      <c r="W920" t="str">
        <f t="array" ref="W920">IF($A920="","",INDEX(JupData!$A$2:$K$10000,MATCH($A920&amp;W$1,JupData!$A$2:$A$10000&amp;JupData!$J$2:$J$10000,0),11))</f>
        <v/>
      </c>
      <c r="X920" t="str">
        <f t="array" ref="X920">IF($A920="","",INDEX(JupData!$A$2:$K$10000,MATCH($A920&amp;X$1,JupData!$A$2:$A$10000&amp;JupData!$J$2:$J$10000,0),11))</f>
        <v/>
      </c>
      <c r="Y920" t="str">
        <f t="array" ref="Y920">IF($A920="","",INDEX(JupData!$A$2:$K$10000,MATCH($A920&amp;Y$1,JupData!$A$2:$A$10000&amp;JupData!$J$2:$J$10000,0),11))</f>
        <v/>
      </c>
      <c r="Z920" t="str">
        <f t="array" ref="Z920">IF($A920="","",INDEX(JupData!$A$2:$K$10000,MATCH($A920&amp;Z$1,JupData!$A$2:$A$10000&amp;JupData!$J$2:$J$10000,0),11))</f>
        <v/>
      </c>
      <c r="AA920" t="str">
        <f t="array" ref="AA920">IF($A920="","",INDEX(JupData!$A$2:$K$10000,MATCH($A920&amp;AA$1,JupData!$A$2:$A$10000&amp;JupData!$J$2:$J$10000,0),11))</f>
        <v/>
      </c>
      <c r="AB920" t="str">
        <f t="array" ref="AB920">IF($A920="","",INDEX(JupData!$A$2:$K$10000,MATCH($A920&amp;AB$1,JupData!$A$2:$A$10000&amp;JupData!$J$2:$J$10000,0),11))</f>
        <v/>
      </c>
      <c r="AC920" s="10" t="str">
        <f t="shared" si="154"/>
        <v/>
      </c>
      <c r="AD920" s="10" t="str">
        <f t="shared" si="155"/>
        <v/>
      </c>
      <c r="AE920" s="9" t="str">
        <f t="shared" si="156"/>
        <v/>
      </c>
      <c r="AF920" s="10" t="str">
        <f t="shared" si="157"/>
        <v/>
      </c>
      <c r="AG920" s="10" t="str">
        <f t="shared" si="158"/>
        <v/>
      </c>
      <c r="AH920" s="10" t="str">
        <f t="shared" si="159"/>
        <v/>
      </c>
      <c r="AI920" s="10" t="str">
        <f t="shared" si="160"/>
        <v/>
      </c>
      <c r="AJ920" s="10" t="str">
        <f t="shared" si="161"/>
        <v/>
      </c>
      <c r="AK920" s="10" t="str">
        <f t="shared" si="162"/>
        <v/>
      </c>
      <c r="AL920" s="14" t="str">
        <f t="shared" si="163"/>
        <v/>
      </c>
    </row>
    <row r="921" spans="1:38" x14ac:dyDescent="0.2">
      <c r="A921"/>
      <c r="B921" t="str">
        <f>IF($A921="","",VLOOKUP($A921,JupData!$A$2:$I$10000,4,FALSE))</f>
        <v/>
      </c>
      <c r="C921" s="7" t="str">
        <f>IF($A921="",IF(N(D921),0,""),VLOOKUP($A921,JupData!$A$2:$I$10000,7,FALSE))</f>
        <v/>
      </c>
      <c r="D921" t="str">
        <f t="shared" si="164"/>
        <v/>
      </c>
      <c r="E921" t="str">
        <f t="array" ref="E921">IF($A921="","",INDEX(JupData!$A$2:$K$10000,MATCH($A921&amp;E$1,JupData!$A$2:$A$10000&amp;JupData!$J$2:$J$10000,0),11))</f>
        <v/>
      </c>
      <c r="F921" t="str">
        <f t="array" ref="F921">IF($A921="","",INDEX(JupData!$A$2:$K$10000,MATCH($A921&amp;F$1,JupData!$A$2:$A$10000&amp;JupData!$J$2:$J$10000,0),11))</f>
        <v/>
      </c>
      <c r="G921" t="str">
        <f t="array" ref="G921">IF($A921="","",INDEX(JupData!$A$2:$K$10000,MATCH($A921&amp;G$1,JupData!$A$2:$A$10000&amp;JupData!$J$2:$J$10000,0),11))</f>
        <v/>
      </c>
      <c r="H921" t="str">
        <f t="array" ref="H921">IF($A921="","",INDEX(JupData!$A$2:$K$10000,MATCH($A921&amp;H$1,JupData!$A$2:$A$10000&amp;JupData!$J$2:$J$10000,0),11))</f>
        <v/>
      </c>
      <c r="I921" t="str">
        <f t="array" ref="I921">IF($A921="","",INDEX(JupData!$A$2:$K$10000,MATCH($A921&amp;I$1,JupData!$A$2:$A$10000&amp;JupData!$J$2:$J$10000,0),11))</f>
        <v/>
      </c>
      <c r="J921" t="str">
        <f t="array" ref="J921">IF($A921="","",INDEX(JupData!$A$2:$K$10000,MATCH($A921&amp;J$1,JupData!$A$2:$A$10000&amp;JupData!$J$2:$J$10000,0),11))</f>
        <v/>
      </c>
      <c r="K921" t="str">
        <f t="array" ref="K921">IF($A921="","",INDEX(JupData!$A$2:$K$10000,MATCH($A921&amp;K$1,JupData!$A$2:$A$10000&amp;JupData!$J$2:$J$10000,0),11))</f>
        <v/>
      </c>
      <c r="L921" t="str">
        <f t="array" ref="L921">IF($A921="","",INDEX(JupData!$A$2:$K$10000,MATCH($A921&amp;L$1,JupData!$A$2:$A$10000&amp;JupData!$J$2:$J$10000,0),11))</f>
        <v/>
      </c>
      <c r="M921" t="str">
        <f t="array" ref="M921">IF($A921="","",INDEX(JupData!$A$2:$K$10000,MATCH($A921&amp;M$1,JupData!$A$2:$A$10000&amp;JupData!$J$2:$J$10000,0),11))</f>
        <v/>
      </c>
      <c r="N921" t="str">
        <f t="array" ref="N921">IF($A921="","",INDEX(JupData!$A$2:$K$10000,MATCH($A921&amp;N$1,JupData!$A$2:$A$10000&amp;JupData!$J$2:$J$10000,0),11))</f>
        <v/>
      </c>
      <c r="O921" t="str">
        <f t="array" ref="O921">IF($A921="","",INDEX(JupData!$A$2:$K$10000,MATCH($A921&amp;O$1,JupData!$A$2:$A$10000&amp;JupData!$J$2:$J$10000,0),11))</f>
        <v/>
      </c>
      <c r="P921" t="str">
        <f t="array" ref="P921">IF($A921="","",INDEX(JupData!$A$2:$K$10000,MATCH($A921&amp;P$1,JupData!$A$2:$A$10000&amp;JupData!$J$2:$J$10000,0),11))</f>
        <v/>
      </c>
      <c r="Q921" t="str">
        <f t="array" ref="Q921">IF($A921="","",INDEX(JupData!$A$2:$K$10000,MATCH($A921&amp;Q$1,JupData!$A$2:$A$10000&amp;JupData!$J$2:$J$10000,0),11))</f>
        <v/>
      </c>
      <c r="R921" t="str">
        <f t="array" ref="R921">IF($A921="","",INDEX(JupData!$A$2:$K$10000,MATCH($A921&amp;R$1,JupData!$A$2:$A$10000&amp;JupData!$J$2:$J$10000,0),11))</f>
        <v/>
      </c>
      <c r="S921" t="str">
        <f t="array" ref="S921">IF($A921="","",INDEX(JupData!$A$2:$K$10000,MATCH($A921&amp;S$1,JupData!$A$2:$A$10000&amp;JupData!$J$2:$J$10000,0),11))</f>
        <v/>
      </c>
      <c r="T921" t="str">
        <f t="array" ref="T921">IF($A921="","",INDEX(JupData!$A$2:$K$10000,MATCH($A921&amp;T$1,JupData!$A$2:$A$10000&amp;JupData!$J$2:$J$10000,0),11))</f>
        <v/>
      </c>
      <c r="U921" t="str">
        <f t="array" ref="U921">IF($A921="","",INDEX(JupData!$A$2:$K$10000,MATCH($A921&amp;U$1,JupData!$A$2:$A$10000&amp;JupData!$J$2:$J$10000,0),11))</f>
        <v/>
      </c>
      <c r="V921" t="str">
        <f t="array" ref="V921">IF($A921="","",INDEX(JupData!$A$2:$K$10000,MATCH($A921&amp;V$1,JupData!$A$2:$A$10000&amp;JupData!$J$2:$J$10000,0),11))</f>
        <v/>
      </c>
      <c r="W921" t="str">
        <f t="array" ref="W921">IF($A921="","",INDEX(JupData!$A$2:$K$10000,MATCH($A921&amp;W$1,JupData!$A$2:$A$10000&amp;JupData!$J$2:$J$10000,0),11))</f>
        <v/>
      </c>
      <c r="X921" t="str">
        <f t="array" ref="X921">IF($A921="","",INDEX(JupData!$A$2:$K$10000,MATCH($A921&amp;X$1,JupData!$A$2:$A$10000&amp;JupData!$J$2:$J$10000,0),11))</f>
        <v/>
      </c>
      <c r="Y921" t="str">
        <f t="array" ref="Y921">IF($A921="","",INDEX(JupData!$A$2:$K$10000,MATCH($A921&amp;Y$1,JupData!$A$2:$A$10000&amp;JupData!$J$2:$J$10000,0),11))</f>
        <v/>
      </c>
      <c r="Z921" t="str">
        <f t="array" ref="Z921">IF($A921="","",INDEX(JupData!$A$2:$K$10000,MATCH($A921&amp;Z$1,JupData!$A$2:$A$10000&amp;JupData!$J$2:$J$10000,0),11))</f>
        <v/>
      </c>
      <c r="AA921" t="str">
        <f t="array" ref="AA921">IF($A921="","",INDEX(JupData!$A$2:$K$10000,MATCH($A921&amp;AA$1,JupData!$A$2:$A$10000&amp;JupData!$J$2:$J$10000,0),11))</f>
        <v/>
      </c>
      <c r="AB921" t="str">
        <f t="array" ref="AB921">IF($A921="","",INDEX(JupData!$A$2:$K$10000,MATCH($A921&amp;AB$1,JupData!$A$2:$A$10000&amp;JupData!$J$2:$J$10000,0),11))</f>
        <v/>
      </c>
      <c r="AC921" s="10" t="str">
        <f t="shared" si="154"/>
        <v/>
      </c>
      <c r="AD921" s="10" t="str">
        <f t="shared" si="155"/>
        <v/>
      </c>
      <c r="AE921" s="9" t="str">
        <f t="shared" si="156"/>
        <v/>
      </c>
      <c r="AF921" s="10" t="str">
        <f t="shared" si="157"/>
        <v/>
      </c>
      <c r="AG921" s="10" t="str">
        <f t="shared" si="158"/>
        <v/>
      </c>
      <c r="AH921" s="10" t="str">
        <f t="shared" si="159"/>
        <v/>
      </c>
      <c r="AI921" s="10" t="str">
        <f t="shared" si="160"/>
        <v/>
      </c>
      <c r="AJ921" s="10" t="str">
        <f t="shared" si="161"/>
        <v/>
      </c>
      <c r="AK921" s="10" t="str">
        <f t="shared" si="162"/>
        <v/>
      </c>
      <c r="AL921" s="14" t="str">
        <f t="shared" si="163"/>
        <v/>
      </c>
    </row>
    <row r="922" spans="1:38" x14ac:dyDescent="0.2">
      <c r="A922"/>
      <c r="B922" t="str">
        <f>IF($A922="","",VLOOKUP($A922,JupData!$A$2:$I$10000,4,FALSE))</f>
        <v/>
      </c>
      <c r="C922" s="7" t="str">
        <f>IF($A922="",IF(N(D922),0,""),VLOOKUP($A922,JupData!$A$2:$I$10000,7,FALSE))</f>
        <v/>
      </c>
      <c r="D922" t="str">
        <f t="shared" si="164"/>
        <v/>
      </c>
      <c r="E922" t="str">
        <f t="array" ref="E922">IF($A922="","",INDEX(JupData!$A$2:$K$10000,MATCH($A922&amp;E$1,JupData!$A$2:$A$10000&amp;JupData!$J$2:$J$10000,0),11))</f>
        <v/>
      </c>
      <c r="F922" t="str">
        <f t="array" ref="F922">IF($A922="","",INDEX(JupData!$A$2:$K$10000,MATCH($A922&amp;F$1,JupData!$A$2:$A$10000&amp;JupData!$J$2:$J$10000,0),11))</f>
        <v/>
      </c>
      <c r="G922" t="str">
        <f t="array" ref="G922">IF($A922="","",INDEX(JupData!$A$2:$K$10000,MATCH($A922&amp;G$1,JupData!$A$2:$A$10000&amp;JupData!$J$2:$J$10000,0),11))</f>
        <v/>
      </c>
      <c r="H922" t="str">
        <f t="array" ref="H922">IF($A922="","",INDEX(JupData!$A$2:$K$10000,MATCH($A922&amp;H$1,JupData!$A$2:$A$10000&amp;JupData!$J$2:$J$10000,0),11))</f>
        <v/>
      </c>
      <c r="I922" t="str">
        <f t="array" ref="I922">IF($A922="","",INDEX(JupData!$A$2:$K$10000,MATCH($A922&amp;I$1,JupData!$A$2:$A$10000&amp;JupData!$J$2:$J$10000,0),11))</f>
        <v/>
      </c>
      <c r="J922" t="str">
        <f t="array" ref="J922">IF($A922="","",INDEX(JupData!$A$2:$K$10000,MATCH($A922&amp;J$1,JupData!$A$2:$A$10000&amp;JupData!$J$2:$J$10000,0),11))</f>
        <v/>
      </c>
      <c r="K922" t="str">
        <f t="array" ref="K922">IF($A922="","",INDEX(JupData!$A$2:$K$10000,MATCH($A922&amp;K$1,JupData!$A$2:$A$10000&amp;JupData!$J$2:$J$10000,0),11))</f>
        <v/>
      </c>
      <c r="L922" t="str">
        <f t="array" ref="L922">IF($A922="","",INDEX(JupData!$A$2:$K$10000,MATCH($A922&amp;L$1,JupData!$A$2:$A$10000&amp;JupData!$J$2:$J$10000,0),11))</f>
        <v/>
      </c>
      <c r="M922" t="str">
        <f t="array" ref="M922">IF($A922="","",INDEX(JupData!$A$2:$K$10000,MATCH($A922&amp;M$1,JupData!$A$2:$A$10000&amp;JupData!$J$2:$J$10000,0),11))</f>
        <v/>
      </c>
      <c r="N922" t="str">
        <f t="array" ref="N922">IF($A922="","",INDEX(JupData!$A$2:$K$10000,MATCH($A922&amp;N$1,JupData!$A$2:$A$10000&amp;JupData!$J$2:$J$10000,0),11))</f>
        <v/>
      </c>
      <c r="O922" t="str">
        <f t="array" ref="O922">IF($A922="","",INDEX(JupData!$A$2:$K$10000,MATCH($A922&amp;O$1,JupData!$A$2:$A$10000&amp;JupData!$J$2:$J$10000,0),11))</f>
        <v/>
      </c>
      <c r="P922" t="str">
        <f t="array" ref="P922">IF($A922="","",INDEX(JupData!$A$2:$K$10000,MATCH($A922&amp;P$1,JupData!$A$2:$A$10000&amp;JupData!$J$2:$J$10000,0),11))</f>
        <v/>
      </c>
      <c r="Q922" t="str">
        <f t="array" ref="Q922">IF($A922="","",INDEX(JupData!$A$2:$K$10000,MATCH($A922&amp;Q$1,JupData!$A$2:$A$10000&amp;JupData!$J$2:$J$10000,0),11))</f>
        <v/>
      </c>
      <c r="R922" t="str">
        <f t="array" ref="R922">IF($A922="","",INDEX(JupData!$A$2:$K$10000,MATCH($A922&amp;R$1,JupData!$A$2:$A$10000&amp;JupData!$J$2:$J$10000,0),11))</f>
        <v/>
      </c>
      <c r="S922" t="str">
        <f t="array" ref="S922">IF($A922="","",INDEX(JupData!$A$2:$K$10000,MATCH($A922&amp;S$1,JupData!$A$2:$A$10000&amp;JupData!$J$2:$J$10000,0),11))</f>
        <v/>
      </c>
      <c r="T922" t="str">
        <f t="array" ref="T922">IF($A922="","",INDEX(JupData!$A$2:$K$10000,MATCH($A922&amp;T$1,JupData!$A$2:$A$10000&amp;JupData!$J$2:$J$10000,0),11))</f>
        <v/>
      </c>
      <c r="U922" t="str">
        <f t="array" ref="U922">IF($A922="","",INDEX(JupData!$A$2:$K$10000,MATCH($A922&amp;U$1,JupData!$A$2:$A$10000&amp;JupData!$J$2:$J$10000,0),11))</f>
        <v/>
      </c>
      <c r="V922" t="str">
        <f t="array" ref="V922">IF($A922="","",INDEX(JupData!$A$2:$K$10000,MATCH($A922&amp;V$1,JupData!$A$2:$A$10000&amp;JupData!$J$2:$J$10000,0),11))</f>
        <v/>
      </c>
      <c r="W922" t="str">
        <f t="array" ref="W922">IF($A922="","",INDEX(JupData!$A$2:$K$10000,MATCH($A922&amp;W$1,JupData!$A$2:$A$10000&amp;JupData!$J$2:$J$10000,0),11))</f>
        <v/>
      </c>
      <c r="X922" t="str">
        <f t="array" ref="X922">IF($A922="","",INDEX(JupData!$A$2:$K$10000,MATCH($A922&amp;X$1,JupData!$A$2:$A$10000&amp;JupData!$J$2:$J$10000,0),11))</f>
        <v/>
      </c>
      <c r="Y922" t="str">
        <f t="array" ref="Y922">IF($A922="","",INDEX(JupData!$A$2:$K$10000,MATCH($A922&amp;Y$1,JupData!$A$2:$A$10000&amp;JupData!$J$2:$J$10000,0),11))</f>
        <v/>
      </c>
      <c r="Z922" t="str">
        <f t="array" ref="Z922">IF($A922="","",INDEX(JupData!$A$2:$K$10000,MATCH($A922&amp;Z$1,JupData!$A$2:$A$10000&amp;JupData!$J$2:$J$10000,0),11))</f>
        <v/>
      </c>
      <c r="AA922" t="str">
        <f t="array" ref="AA922">IF($A922="","",INDEX(JupData!$A$2:$K$10000,MATCH($A922&amp;AA$1,JupData!$A$2:$A$10000&amp;JupData!$J$2:$J$10000,0),11))</f>
        <v/>
      </c>
      <c r="AB922" t="str">
        <f t="array" ref="AB922">IF($A922="","",INDEX(JupData!$A$2:$K$10000,MATCH($A922&amp;AB$1,JupData!$A$2:$A$10000&amp;JupData!$J$2:$J$10000,0),11))</f>
        <v/>
      </c>
      <c r="AC922" s="10" t="str">
        <f t="shared" si="154"/>
        <v/>
      </c>
      <c r="AD922" s="10" t="str">
        <f t="shared" si="155"/>
        <v/>
      </c>
      <c r="AE922" s="9" t="str">
        <f t="shared" si="156"/>
        <v/>
      </c>
      <c r="AF922" s="10" t="str">
        <f t="shared" si="157"/>
        <v/>
      </c>
      <c r="AG922" s="10" t="str">
        <f t="shared" si="158"/>
        <v/>
      </c>
      <c r="AH922" s="10" t="str">
        <f t="shared" si="159"/>
        <v/>
      </c>
      <c r="AI922" s="10" t="str">
        <f t="shared" si="160"/>
        <v/>
      </c>
      <c r="AJ922" s="10" t="str">
        <f t="shared" si="161"/>
        <v/>
      </c>
      <c r="AK922" s="10" t="str">
        <f t="shared" si="162"/>
        <v/>
      </c>
      <c r="AL922" s="14" t="str">
        <f t="shared" si="163"/>
        <v/>
      </c>
    </row>
    <row r="923" spans="1:38" x14ac:dyDescent="0.2">
      <c r="A923"/>
      <c r="B923" t="str">
        <f>IF($A923="","",VLOOKUP($A923,JupData!$A$2:$I$10000,4,FALSE))</f>
        <v/>
      </c>
      <c r="C923" s="7" t="str">
        <f>IF($A923="",IF(N(D923),0,""),VLOOKUP($A923,JupData!$A$2:$I$10000,7,FALSE))</f>
        <v/>
      </c>
      <c r="D923" t="str">
        <f t="shared" si="164"/>
        <v/>
      </c>
      <c r="E923" t="str">
        <f t="array" ref="E923">IF($A923="","",INDEX(JupData!$A$2:$K$10000,MATCH($A923&amp;E$1,JupData!$A$2:$A$10000&amp;JupData!$J$2:$J$10000,0),11))</f>
        <v/>
      </c>
      <c r="F923" t="str">
        <f t="array" ref="F923">IF($A923="","",INDEX(JupData!$A$2:$K$10000,MATCH($A923&amp;F$1,JupData!$A$2:$A$10000&amp;JupData!$J$2:$J$10000,0),11))</f>
        <v/>
      </c>
      <c r="G923" t="str">
        <f t="array" ref="G923">IF($A923="","",INDEX(JupData!$A$2:$K$10000,MATCH($A923&amp;G$1,JupData!$A$2:$A$10000&amp;JupData!$J$2:$J$10000,0),11))</f>
        <v/>
      </c>
      <c r="H923" t="str">
        <f t="array" ref="H923">IF($A923="","",INDEX(JupData!$A$2:$K$10000,MATCH($A923&amp;H$1,JupData!$A$2:$A$10000&amp;JupData!$J$2:$J$10000,0),11))</f>
        <v/>
      </c>
      <c r="I923" t="str">
        <f t="array" ref="I923">IF($A923="","",INDEX(JupData!$A$2:$K$10000,MATCH($A923&amp;I$1,JupData!$A$2:$A$10000&amp;JupData!$J$2:$J$10000,0),11))</f>
        <v/>
      </c>
      <c r="J923" t="str">
        <f t="array" ref="J923">IF($A923="","",INDEX(JupData!$A$2:$K$10000,MATCH($A923&amp;J$1,JupData!$A$2:$A$10000&amp;JupData!$J$2:$J$10000,0),11))</f>
        <v/>
      </c>
      <c r="K923" t="str">
        <f t="array" ref="K923">IF($A923="","",INDEX(JupData!$A$2:$K$10000,MATCH($A923&amp;K$1,JupData!$A$2:$A$10000&amp;JupData!$J$2:$J$10000,0),11))</f>
        <v/>
      </c>
      <c r="L923" t="str">
        <f t="array" ref="L923">IF($A923="","",INDEX(JupData!$A$2:$K$10000,MATCH($A923&amp;L$1,JupData!$A$2:$A$10000&amp;JupData!$J$2:$J$10000,0),11))</f>
        <v/>
      </c>
      <c r="M923" t="str">
        <f t="array" ref="M923">IF($A923="","",INDEX(JupData!$A$2:$K$10000,MATCH($A923&amp;M$1,JupData!$A$2:$A$10000&amp;JupData!$J$2:$J$10000,0),11))</f>
        <v/>
      </c>
      <c r="N923" t="str">
        <f t="array" ref="N923">IF($A923="","",INDEX(JupData!$A$2:$K$10000,MATCH($A923&amp;N$1,JupData!$A$2:$A$10000&amp;JupData!$J$2:$J$10000,0),11))</f>
        <v/>
      </c>
      <c r="O923" t="str">
        <f t="array" ref="O923">IF($A923="","",INDEX(JupData!$A$2:$K$10000,MATCH($A923&amp;O$1,JupData!$A$2:$A$10000&amp;JupData!$J$2:$J$10000,0),11))</f>
        <v/>
      </c>
      <c r="P923" t="str">
        <f t="array" ref="P923">IF($A923="","",INDEX(JupData!$A$2:$K$10000,MATCH($A923&amp;P$1,JupData!$A$2:$A$10000&amp;JupData!$J$2:$J$10000,0),11))</f>
        <v/>
      </c>
      <c r="Q923" t="str">
        <f t="array" ref="Q923">IF($A923="","",INDEX(JupData!$A$2:$K$10000,MATCH($A923&amp;Q$1,JupData!$A$2:$A$10000&amp;JupData!$J$2:$J$10000,0),11))</f>
        <v/>
      </c>
      <c r="R923" t="str">
        <f t="array" ref="R923">IF($A923="","",INDEX(JupData!$A$2:$K$10000,MATCH($A923&amp;R$1,JupData!$A$2:$A$10000&amp;JupData!$J$2:$J$10000,0),11))</f>
        <v/>
      </c>
      <c r="S923" t="str">
        <f t="array" ref="S923">IF($A923="","",INDEX(JupData!$A$2:$K$10000,MATCH($A923&amp;S$1,JupData!$A$2:$A$10000&amp;JupData!$J$2:$J$10000,0),11))</f>
        <v/>
      </c>
      <c r="T923" t="str">
        <f t="array" ref="T923">IF($A923="","",INDEX(JupData!$A$2:$K$10000,MATCH($A923&amp;T$1,JupData!$A$2:$A$10000&amp;JupData!$J$2:$J$10000,0),11))</f>
        <v/>
      </c>
      <c r="U923" t="str">
        <f t="array" ref="U923">IF($A923="","",INDEX(JupData!$A$2:$K$10000,MATCH($A923&amp;U$1,JupData!$A$2:$A$10000&amp;JupData!$J$2:$J$10000,0),11))</f>
        <v/>
      </c>
      <c r="V923" t="str">
        <f t="array" ref="V923">IF($A923="","",INDEX(JupData!$A$2:$K$10000,MATCH($A923&amp;V$1,JupData!$A$2:$A$10000&amp;JupData!$J$2:$J$10000,0),11))</f>
        <v/>
      </c>
      <c r="W923" t="str">
        <f t="array" ref="W923">IF($A923="","",INDEX(JupData!$A$2:$K$10000,MATCH($A923&amp;W$1,JupData!$A$2:$A$10000&amp;JupData!$J$2:$J$10000,0),11))</f>
        <v/>
      </c>
      <c r="X923" t="str">
        <f t="array" ref="X923">IF($A923="","",INDEX(JupData!$A$2:$K$10000,MATCH($A923&amp;X$1,JupData!$A$2:$A$10000&amp;JupData!$J$2:$J$10000,0),11))</f>
        <v/>
      </c>
      <c r="Y923" t="str">
        <f t="array" ref="Y923">IF($A923="","",INDEX(JupData!$A$2:$K$10000,MATCH($A923&amp;Y$1,JupData!$A$2:$A$10000&amp;JupData!$J$2:$J$10000,0),11))</f>
        <v/>
      </c>
      <c r="Z923" t="str">
        <f t="array" ref="Z923">IF($A923="","",INDEX(JupData!$A$2:$K$10000,MATCH($A923&amp;Z$1,JupData!$A$2:$A$10000&amp;JupData!$J$2:$J$10000,0),11))</f>
        <v/>
      </c>
      <c r="AA923" t="str">
        <f t="array" ref="AA923">IF($A923="","",INDEX(JupData!$A$2:$K$10000,MATCH($A923&amp;AA$1,JupData!$A$2:$A$10000&amp;JupData!$J$2:$J$10000,0),11))</f>
        <v/>
      </c>
      <c r="AB923" t="str">
        <f t="array" ref="AB923">IF($A923="","",INDEX(JupData!$A$2:$K$10000,MATCH($A923&amp;AB$1,JupData!$A$2:$A$10000&amp;JupData!$J$2:$J$10000,0),11))</f>
        <v/>
      </c>
      <c r="AC923" s="10" t="str">
        <f t="shared" si="154"/>
        <v/>
      </c>
      <c r="AD923" s="10" t="str">
        <f t="shared" si="155"/>
        <v/>
      </c>
      <c r="AE923" s="9" t="str">
        <f t="shared" si="156"/>
        <v/>
      </c>
      <c r="AF923" s="10" t="str">
        <f t="shared" si="157"/>
        <v/>
      </c>
      <c r="AG923" s="10" t="str">
        <f t="shared" si="158"/>
        <v/>
      </c>
      <c r="AH923" s="10" t="str">
        <f t="shared" si="159"/>
        <v/>
      </c>
      <c r="AI923" s="10" t="str">
        <f t="shared" si="160"/>
        <v/>
      </c>
      <c r="AJ923" s="10" t="str">
        <f t="shared" si="161"/>
        <v/>
      </c>
      <c r="AK923" s="10" t="str">
        <f t="shared" si="162"/>
        <v/>
      </c>
      <c r="AL923" s="14" t="str">
        <f t="shared" si="163"/>
        <v/>
      </c>
    </row>
    <row r="924" spans="1:38" x14ac:dyDescent="0.2">
      <c r="A924"/>
      <c r="B924" t="str">
        <f>IF($A924="","",VLOOKUP($A924,JupData!$A$2:$I$10000,4,FALSE))</f>
        <v/>
      </c>
      <c r="C924" s="7" t="str">
        <f>IF($A924="",IF(N(D924),0,""),VLOOKUP($A924,JupData!$A$2:$I$10000,7,FALSE))</f>
        <v/>
      </c>
      <c r="D924" t="str">
        <f t="shared" si="164"/>
        <v/>
      </c>
      <c r="E924" t="str">
        <f t="array" ref="E924">IF($A924="","",INDEX(JupData!$A$2:$K$10000,MATCH($A924&amp;E$1,JupData!$A$2:$A$10000&amp;JupData!$J$2:$J$10000,0),11))</f>
        <v/>
      </c>
      <c r="F924" t="str">
        <f t="array" ref="F924">IF($A924="","",INDEX(JupData!$A$2:$K$10000,MATCH($A924&amp;F$1,JupData!$A$2:$A$10000&amp;JupData!$J$2:$J$10000,0),11))</f>
        <v/>
      </c>
      <c r="G924" t="str">
        <f t="array" ref="G924">IF($A924="","",INDEX(JupData!$A$2:$K$10000,MATCH($A924&amp;G$1,JupData!$A$2:$A$10000&amp;JupData!$J$2:$J$10000,0),11))</f>
        <v/>
      </c>
      <c r="H924" t="str">
        <f t="array" ref="H924">IF($A924="","",INDEX(JupData!$A$2:$K$10000,MATCH($A924&amp;H$1,JupData!$A$2:$A$10000&amp;JupData!$J$2:$J$10000,0),11))</f>
        <v/>
      </c>
      <c r="I924" t="str">
        <f t="array" ref="I924">IF($A924="","",INDEX(JupData!$A$2:$K$10000,MATCH($A924&amp;I$1,JupData!$A$2:$A$10000&amp;JupData!$J$2:$J$10000,0),11))</f>
        <v/>
      </c>
      <c r="J924" t="str">
        <f t="array" ref="J924">IF($A924="","",INDEX(JupData!$A$2:$K$10000,MATCH($A924&amp;J$1,JupData!$A$2:$A$10000&amp;JupData!$J$2:$J$10000,0),11))</f>
        <v/>
      </c>
      <c r="K924" t="str">
        <f t="array" ref="K924">IF($A924="","",INDEX(JupData!$A$2:$K$10000,MATCH($A924&amp;K$1,JupData!$A$2:$A$10000&amp;JupData!$J$2:$J$10000,0),11))</f>
        <v/>
      </c>
      <c r="L924" t="str">
        <f t="array" ref="L924">IF($A924="","",INDEX(JupData!$A$2:$K$10000,MATCH($A924&amp;L$1,JupData!$A$2:$A$10000&amp;JupData!$J$2:$J$10000,0),11))</f>
        <v/>
      </c>
      <c r="M924" t="str">
        <f t="array" ref="M924">IF($A924="","",INDEX(JupData!$A$2:$K$10000,MATCH($A924&amp;M$1,JupData!$A$2:$A$10000&amp;JupData!$J$2:$J$10000,0),11))</f>
        <v/>
      </c>
      <c r="N924" t="str">
        <f t="array" ref="N924">IF($A924="","",INDEX(JupData!$A$2:$K$10000,MATCH($A924&amp;N$1,JupData!$A$2:$A$10000&amp;JupData!$J$2:$J$10000,0),11))</f>
        <v/>
      </c>
      <c r="O924" t="str">
        <f t="array" ref="O924">IF($A924="","",INDEX(JupData!$A$2:$K$10000,MATCH($A924&amp;O$1,JupData!$A$2:$A$10000&amp;JupData!$J$2:$J$10000,0),11))</f>
        <v/>
      </c>
      <c r="P924" t="str">
        <f t="array" ref="P924">IF($A924="","",INDEX(JupData!$A$2:$K$10000,MATCH($A924&amp;P$1,JupData!$A$2:$A$10000&amp;JupData!$J$2:$J$10000,0),11))</f>
        <v/>
      </c>
      <c r="Q924" t="str">
        <f t="array" ref="Q924">IF($A924="","",INDEX(JupData!$A$2:$K$10000,MATCH($A924&amp;Q$1,JupData!$A$2:$A$10000&amp;JupData!$J$2:$J$10000,0),11))</f>
        <v/>
      </c>
      <c r="R924" t="str">
        <f t="array" ref="R924">IF($A924="","",INDEX(JupData!$A$2:$K$10000,MATCH($A924&amp;R$1,JupData!$A$2:$A$10000&amp;JupData!$J$2:$J$10000,0),11))</f>
        <v/>
      </c>
      <c r="S924" t="str">
        <f t="array" ref="S924">IF($A924="","",INDEX(JupData!$A$2:$K$10000,MATCH($A924&amp;S$1,JupData!$A$2:$A$10000&amp;JupData!$J$2:$J$10000,0),11))</f>
        <v/>
      </c>
      <c r="T924" t="str">
        <f t="array" ref="T924">IF($A924="","",INDEX(JupData!$A$2:$K$10000,MATCH($A924&amp;T$1,JupData!$A$2:$A$10000&amp;JupData!$J$2:$J$10000,0),11))</f>
        <v/>
      </c>
      <c r="U924" t="str">
        <f t="array" ref="U924">IF($A924="","",INDEX(JupData!$A$2:$K$10000,MATCH($A924&amp;U$1,JupData!$A$2:$A$10000&amp;JupData!$J$2:$J$10000,0),11))</f>
        <v/>
      </c>
      <c r="V924" t="str">
        <f t="array" ref="V924">IF($A924="","",INDEX(JupData!$A$2:$K$10000,MATCH($A924&amp;V$1,JupData!$A$2:$A$10000&amp;JupData!$J$2:$J$10000,0),11))</f>
        <v/>
      </c>
      <c r="W924" t="str">
        <f t="array" ref="W924">IF($A924="","",INDEX(JupData!$A$2:$K$10000,MATCH($A924&amp;W$1,JupData!$A$2:$A$10000&amp;JupData!$J$2:$J$10000,0),11))</f>
        <v/>
      </c>
      <c r="X924" t="str">
        <f t="array" ref="X924">IF($A924="","",INDEX(JupData!$A$2:$K$10000,MATCH($A924&amp;X$1,JupData!$A$2:$A$10000&amp;JupData!$J$2:$J$10000,0),11))</f>
        <v/>
      </c>
      <c r="Y924" t="str">
        <f t="array" ref="Y924">IF($A924="","",INDEX(JupData!$A$2:$K$10000,MATCH($A924&amp;Y$1,JupData!$A$2:$A$10000&amp;JupData!$J$2:$J$10000,0),11))</f>
        <v/>
      </c>
      <c r="Z924" t="str">
        <f t="array" ref="Z924">IF($A924="","",INDEX(JupData!$A$2:$K$10000,MATCH($A924&amp;Z$1,JupData!$A$2:$A$10000&amp;JupData!$J$2:$J$10000,0),11))</f>
        <v/>
      </c>
      <c r="AA924" t="str">
        <f t="array" ref="AA924">IF($A924="","",INDEX(JupData!$A$2:$K$10000,MATCH($A924&amp;AA$1,JupData!$A$2:$A$10000&amp;JupData!$J$2:$J$10000,0),11))</f>
        <v/>
      </c>
      <c r="AB924" t="str">
        <f t="array" ref="AB924">IF($A924="","",INDEX(JupData!$A$2:$K$10000,MATCH($A924&amp;AB$1,JupData!$A$2:$A$10000&amp;JupData!$J$2:$J$10000,0),11))</f>
        <v/>
      </c>
      <c r="AC924" s="10" t="str">
        <f t="shared" si="154"/>
        <v/>
      </c>
      <c r="AD924" s="10" t="str">
        <f t="shared" si="155"/>
        <v/>
      </c>
      <c r="AE924" s="9" t="str">
        <f t="shared" si="156"/>
        <v/>
      </c>
      <c r="AF924" s="10" t="str">
        <f t="shared" si="157"/>
        <v/>
      </c>
      <c r="AG924" s="10" t="str">
        <f t="shared" si="158"/>
        <v/>
      </c>
      <c r="AH924" s="10" t="str">
        <f t="shared" si="159"/>
        <v/>
      </c>
      <c r="AI924" s="10" t="str">
        <f t="shared" si="160"/>
        <v/>
      </c>
      <c r="AJ924" s="10" t="str">
        <f t="shared" si="161"/>
        <v/>
      </c>
      <c r="AK924" s="10" t="str">
        <f t="shared" si="162"/>
        <v/>
      </c>
      <c r="AL924" s="14" t="str">
        <f t="shared" si="163"/>
        <v/>
      </c>
    </row>
    <row r="925" spans="1:38" x14ac:dyDescent="0.2">
      <c r="A925"/>
      <c r="B925" t="str">
        <f>IF($A925="","",VLOOKUP($A925,JupData!$A$2:$I$10000,4,FALSE))</f>
        <v/>
      </c>
      <c r="C925" s="7" t="str">
        <f>IF($A925="",IF(N(D925),0,""),VLOOKUP($A925,JupData!$A$2:$I$10000,7,FALSE))</f>
        <v/>
      </c>
      <c r="D925" t="str">
        <f t="shared" si="164"/>
        <v/>
      </c>
      <c r="E925" t="str">
        <f t="array" ref="E925">IF($A925="","",INDEX(JupData!$A$2:$K$10000,MATCH($A925&amp;E$1,JupData!$A$2:$A$10000&amp;JupData!$J$2:$J$10000,0),11))</f>
        <v/>
      </c>
      <c r="F925" t="str">
        <f t="array" ref="F925">IF($A925="","",INDEX(JupData!$A$2:$K$10000,MATCH($A925&amp;F$1,JupData!$A$2:$A$10000&amp;JupData!$J$2:$J$10000,0),11))</f>
        <v/>
      </c>
      <c r="G925" t="str">
        <f t="array" ref="G925">IF($A925="","",INDEX(JupData!$A$2:$K$10000,MATCH($A925&amp;G$1,JupData!$A$2:$A$10000&amp;JupData!$J$2:$J$10000,0),11))</f>
        <v/>
      </c>
      <c r="H925" t="str">
        <f t="array" ref="H925">IF($A925="","",INDEX(JupData!$A$2:$K$10000,MATCH($A925&amp;H$1,JupData!$A$2:$A$10000&amp;JupData!$J$2:$J$10000,0),11))</f>
        <v/>
      </c>
      <c r="I925" t="str">
        <f t="array" ref="I925">IF($A925="","",INDEX(JupData!$A$2:$K$10000,MATCH($A925&amp;I$1,JupData!$A$2:$A$10000&amp;JupData!$J$2:$J$10000,0),11))</f>
        <v/>
      </c>
      <c r="J925" t="str">
        <f t="array" ref="J925">IF($A925="","",INDEX(JupData!$A$2:$K$10000,MATCH($A925&amp;J$1,JupData!$A$2:$A$10000&amp;JupData!$J$2:$J$10000,0),11))</f>
        <v/>
      </c>
      <c r="K925" t="str">
        <f t="array" ref="K925">IF($A925="","",INDEX(JupData!$A$2:$K$10000,MATCH($A925&amp;K$1,JupData!$A$2:$A$10000&amp;JupData!$J$2:$J$10000,0),11))</f>
        <v/>
      </c>
      <c r="L925" t="str">
        <f t="array" ref="L925">IF($A925="","",INDEX(JupData!$A$2:$K$10000,MATCH($A925&amp;L$1,JupData!$A$2:$A$10000&amp;JupData!$J$2:$J$10000,0),11))</f>
        <v/>
      </c>
      <c r="M925" t="str">
        <f t="array" ref="M925">IF($A925="","",INDEX(JupData!$A$2:$K$10000,MATCH($A925&amp;M$1,JupData!$A$2:$A$10000&amp;JupData!$J$2:$J$10000,0),11))</f>
        <v/>
      </c>
      <c r="N925" t="str">
        <f t="array" ref="N925">IF($A925="","",INDEX(JupData!$A$2:$K$10000,MATCH($A925&amp;N$1,JupData!$A$2:$A$10000&amp;JupData!$J$2:$J$10000,0),11))</f>
        <v/>
      </c>
      <c r="O925" t="str">
        <f t="array" ref="O925">IF($A925="","",INDEX(JupData!$A$2:$K$10000,MATCH($A925&amp;O$1,JupData!$A$2:$A$10000&amp;JupData!$J$2:$J$10000,0),11))</f>
        <v/>
      </c>
      <c r="P925" t="str">
        <f t="array" ref="P925">IF($A925="","",INDEX(JupData!$A$2:$K$10000,MATCH($A925&amp;P$1,JupData!$A$2:$A$10000&amp;JupData!$J$2:$J$10000,0),11))</f>
        <v/>
      </c>
      <c r="Q925" t="str">
        <f t="array" ref="Q925">IF($A925="","",INDEX(JupData!$A$2:$K$10000,MATCH($A925&amp;Q$1,JupData!$A$2:$A$10000&amp;JupData!$J$2:$J$10000,0),11))</f>
        <v/>
      </c>
      <c r="R925" t="str">
        <f t="array" ref="R925">IF($A925="","",INDEX(JupData!$A$2:$K$10000,MATCH($A925&amp;R$1,JupData!$A$2:$A$10000&amp;JupData!$J$2:$J$10000,0),11))</f>
        <v/>
      </c>
      <c r="S925" t="str">
        <f t="array" ref="S925">IF($A925="","",INDEX(JupData!$A$2:$K$10000,MATCH($A925&amp;S$1,JupData!$A$2:$A$10000&amp;JupData!$J$2:$J$10000,0),11))</f>
        <v/>
      </c>
      <c r="T925" t="str">
        <f t="array" ref="T925">IF($A925="","",INDEX(JupData!$A$2:$K$10000,MATCH($A925&amp;T$1,JupData!$A$2:$A$10000&amp;JupData!$J$2:$J$10000,0),11))</f>
        <v/>
      </c>
      <c r="U925" t="str">
        <f t="array" ref="U925">IF($A925="","",INDEX(JupData!$A$2:$K$10000,MATCH($A925&amp;U$1,JupData!$A$2:$A$10000&amp;JupData!$J$2:$J$10000,0),11))</f>
        <v/>
      </c>
      <c r="V925" t="str">
        <f t="array" ref="V925">IF($A925="","",INDEX(JupData!$A$2:$K$10000,MATCH($A925&amp;V$1,JupData!$A$2:$A$10000&amp;JupData!$J$2:$J$10000,0),11))</f>
        <v/>
      </c>
      <c r="W925" t="str">
        <f t="array" ref="W925">IF($A925="","",INDEX(JupData!$A$2:$K$10000,MATCH($A925&amp;W$1,JupData!$A$2:$A$10000&amp;JupData!$J$2:$J$10000,0),11))</f>
        <v/>
      </c>
      <c r="X925" t="str">
        <f t="array" ref="X925">IF($A925="","",INDEX(JupData!$A$2:$K$10000,MATCH($A925&amp;X$1,JupData!$A$2:$A$10000&amp;JupData!$J$2:$J$10000,0),11))</f>
        <v/>
      </c>
      <c r="Y925" t="str">
        <f t="array" ref="Y925">IF($A925="","",INDEX(JupData!$A$2:$K$10000,MATCH($A925&amp;Y$1,JupData!$A$2:$A$10000&amp;JupData!$J$2:$J$10000,0),11))</f>
        <v/>
      </c>
      <c r="Z925" t="str">
        <f t="array" ref="Z925">IF($A925="","",INDEX(JupData!$A$2:$K$10000,MATCH($A925&amp;Z$1,JupData!$A$2:$A$10000&amp;JupData!$J$2:$J$10000,0),11))</f>
        <v/>
      </c>
      <c r="AA925" t="str">
        <f t="array" ref="AA925">IF($A925="","",INDEX(JupData!$A$2:$K$10000,MATCH($A925&amp;AA$1,JupData!$A$2:$A$10000&amp;JupData!$J$2:$J$10000,0),11))</f>
        <v/>
      </c>
      <c r="AB925" t="str">
        <f t="array" ref="AB925">IF($A925="","",INDEX(JupData!$A$2:$K$10000,MATCH($A925&amp;AB$1,JupData!$A$2:$A$10000&amp;JupData!$J$2:$J$10000,0),11))</f>
        <v/>
      </c>
      <c r="AC925" s="10" t="str">
        <f t="shared" si="154"/>
        <v/>
      </c>
      <c r="AD925" s="10" t="str">
        <f t="shared" si="155"/>
        <v/>
      </c>
      <c r="AE925" s="9" t="str">
        <f t="shared" si="156"/>
        <v/>
      </c>
      <c r="AF925" s="10" t="str">
        <f t="shared" si="157"/>
        <v/>
      </c>
      <c r="AG925" s="10" t="str">
        <f t="shared" si="158"/>
        <v/>
      </c>
      <c r="AH925" s="10" t="str">
        <f t="shared" si="159"/>
        <v/>
      </c>
      <c r="AI925" s="10" t="str">
        <f t="shared" si="160"/>
        <v/>
      </c>
      <c r="AJ925" s="10" t="str">
        <f t="shared" si="161"/>
        <v/>
      </c>
      <c r="AK925" s="10" t="str">
        <f t="shared" si="162"/>
        <v/>
      </c>
      <c r="AL925" s="14" t="str">
        <f t="shared" si="163"/>
        <v/>
      </c>
    </row>
    <row r="926" spans="1:38" x14ac:dyDescent="0.2">
      <c r="A926"/>
      <c r="B926" t="str">
        <f>IF($A926="","",VLOOKUP($A926,JupData!$A$2:$I$10000,4,FALSE))</f>
        <v/>
      </c>
      <c r="C926" s="7" t="str">
        <f>IF($A926="",IF(N(D926),0,""),VLOOKUP($A926,JupData!$A$2:$I$10000,7,FALSE))</f>
        <v/>
      </c>
      <c r="D926" t="str">
        <f t="shared" si="164"/>
        <v/>
      </c>
      <c r="E926" t="str">
        <f t="array" ref="E926">IF($A926="","",INDEX(JupData!$A$2:$K$10000,MATCH($A926&amp;E$1,JupData!$A$2:$A$10000&amp;JupData!$J$2:$J$10000,0),11))</f>
        <v/>
      </c>
      <c r="F926" t="str">
        <f t="array" ref="F926">IF($A926="","",INDEX(JupData!$A$2:$K$10000,MATCH($A926&amp;F$1,JupData!$A$2:$A$10000&amp;JupData!$J$2:$J$10000,0),11))</f>
        <v/>
      </c>
      <c r="G926" t="str">
        <f t="array" ref="G926">IF($A926="","",INDEX(JupData!$A$2:$K$10000,MATCH($A926&amp;G$1,JupData!$A$2:$A$10000&amp;JupData!$J$2:$J$10000,0),11))</f>
        <v/>
      </c>
      <c r="H926" t="str">
        <f t="array" ref="H926">IF($A926="","",INDEX(JupData!$A$2:$K$10000,MATCH($A926&amp;H$1,JupData!$A$2:$A$10000&amp;JupData!$J$2:$J$10000,0),11))</f>
        <v/>
      </c>
      <c r="I926" t="str">
        <f t="array" ref="I926">IF($A926="","",INDEX(JupData!$A$2:$K$10000,MATCH($A926&amp;I$1,JupData!$A$2:$A$10000&amp;JupData!$J$2:$J$10000,0),11))</f>
        <v/>
      </c>
      <c r="J926" t="str">
        <f t="array" ref="J926">IF($A926="","",INDEX(JupData!$A$2:$K$10000,MATCH($A926&amp;J$1,JupData!$A$2:$A$10000&amp;JupData!$J$2:$J$10000,0),11))</f>
        <v/>
      </c>
      <c r="K926" t="str">
        <f t="array" ref="K926">IF($A926="","",INDEX(JupData!$A$2:$K$10000,MATCH($A926&amp;K$1,JupData!$A$2:$A$10000&amp;JupData!$J$2:$J$10000,0),11))</f>
        <v/>
      </c>
      <c r="L926" t="str">
        <f t="array" ref="L926">IF($A926="","",INDEX(JupData!$A$2:$K$10000,MATCH($A926&amp;L$1,JupData!$A$2:$A$10000&amp;JupData!$J$2:$J$10000,0),11))</f>
        <v/>
      </c>
      <c r="M926" t="str">
        <f t="array" ref="M926">IF($A926="","",INDEX(JupData!$A$2:$K$10000,MATCH($A926&amp;M$1,JupData!$A$2:$A$10000&amp;JupData!$J$2:$J$10000,0),11))</f>
        <v/>
      </c>
      <c r="N926" t="str">
        <f t="array" ref="N926">IF($A926="","",INDEX(JupData!$A$2:$K$10000,MATCH($A926&amp;N$1,JupData!$A$2:$A$10000&amp;JupData!$J$2:$J$10000,0),11))</f>
        <v/>
      </c>
      <c r="O926" t="str">
        <f t="array" ref="O926">IF($A926="","",INDEX(JupData!$A$2:$K$10000,MATCH($A926&amp;O$1,JupData!$A$2:$A$10000&amp;JupData!$J$2:$J$10000,0),11))</f>
        <v/>
      </c>
      <c r="P926" t="str">
        <f t="array" ref="P926">IF($A926="","",INDEX(JupData!$A$2:$K$10000,MATCH($A926&amp;P$1,JupData!$A$2:$A$10000&amp;JupData!$J$2:$J$10000,0),11))</f>
        <v/>
      </c>
      <c r="Q926" t="str">
        <f t="array" ref="Q926">IF($A926="","",INDEX(JupData!$A$2:$K$10000,MATCH($A926&amp;Q$1,JupData!$A$2:$A$10000&amp;JupData!$J$2:$J$10000,0),11))</f>
        <v/>
      </c>
      <c r="R926" t="str">
        <f t="array" ref="R926">IF($A926="","",INDEX(JupData!$A$2:$K$10000,MATCH($A926&amp;R$1,JupData!$A$2:$A$10000&amp;JupData!$J$2:$J$10000,0),11))</f>
        <v/>
      </c>
      <c r="S926" t="str">
        <f t="array" ref="S926">IF($A926="","",INDEX(JupData!$A$2:$K$10000,MATCH($A926&amp;S$1,JupData!$A$2:$A$10000&amp;JupData!$J$2:$J$10000,0),11))</f>
        <v/>
      </c>
      <c r="T926" t="str">
        <f t="array" ref="T926">IF($A926="","",INDEX(JupData!$A$2:$K$10000,MATCH($A926&amp;T$1,JupData!$A$2:$A$10000&amp;JupData!$J$2:$J$10000,0),11))</f>
        <v/>
      </c>
      <c r="U926" t="str">
        <f t="array" ref="U926">IF($A926="","",INDEX(JupData!$A$2:$K$10000,MATCH($A926&amp;U$1,JupData!$A$2:$A$10000&amp;JupData!$J$2:$J$10000,0),11))</f>
        <v/>
      </c>
      <c r="V926" t="str">
        <f t="array" ref="V926">IF($A926="","",INDEX(JupData!$A$2:$K$10000,MATCH($A926&amp;V$1,JupData!$A$2:$A$10000&amp;JupData!$J$2:$J$10000,0),11))</f>
        <v/>
      </c>
      <c r="W926" t="str">
        <f t="array" ref="W926">IF($A926="","",INDEX(JupData!$A$2:$K$10000,MATCH($A926&amp;W$1,JupData!$A$2:$A$10000&amp;JupData!$J$2:$J$10000,0),11))</f>
        <v/>
      </c>
      <c r="X926" t="str">
        <f t="array" ref="X926">IF($A926="","",INDEX(JupData!$A$2:$K$10000,MATCH($A926&amp;X$1,JupData!$A$2:$A$10000&amp;JupData!$J$2:$J$10000,0),11))</f>
        <v/>
      </c>
      <c r="Y926" t="str">
        <f t="array" ref="Y926">IF($A926="","",INDEX(JupData!$A$2:$K$10000,MATCH($A926&amp;Y$1,JupData!$A$2:$A$10000&amp;JupData!$J$2:$J$10000,0),11))</f>
        <v/>
      </c>
      <c r="Z926" t="str">
        <f t="array" ref="Z926">IF($A926="","",INDEX(JupData!$A$2:$K$10000,MATCH($A926&amp;Z$1,JupData!$A$2:$A$10000&amp;JupData!$J$2:$J$10000,0),11))</f>
        <v/>
      </c>
      <c r="AA926" t="str">
        <f t="array" ref="AA926">IF($A926="","",INDEX(JupData!$A$2:$K$10000,MATCH($A926&amp;AA$1,JupData!$A$2:$A$10000&amp;JupData!$J$2:$J$10000,0),11))</f>
        <v/>
      </c>
      <c r="AB926" t="str">
        <f t="array" ref="AB926">IF($A926="","",INDEX(JupData!$A$2:$K$10000,MATCH($A926&amp;AB$1,JupData!$A$2:$A$10000&amp;JupData!$J$2:$J$10000,0),11))</f>
        <v/>
      </c>
      <c r="AC926" s="10" t="str">
        <f t="shared" si="154"/>
        <v/>
      </c>
      <c r="AD926" s="10" t="str">
        <f t="shared" si="155"/>
        <v/>
      </c>
      <c r="AE926" s="9" t="str">
        <f t="shared" si="156"/>
        <v/>
      </c>
      <c r="AF926" s="10" t="str">
        <f t="shared" si="157"/>
        <v/>
      </c>
      <c r="AG926" s="10" t="str">
        <f t="shared" si="158"/>
        <v/>
      </c>
      <c r="AH926" s="10" t="str">
        <f t="shared" si="159"/>
        <v/>
      </c>
      <c r="AI926" s="10" t="str">
        <f t="shared" si="160"/>
        <v/>
      </c>
      <c r="AJ926" s="10" t="str">
        <f t="shared" si="161"/>
        <v/>
      </c>
      <c r="AK926" s="10" t="str">
        <f t="shared" si="162"/>
        <v/>
      </c>
      <c r="AL926" s="14" t="str">
        <f t="shared" si="163"/>
        <v/>
      </c>
    </row>
    <row r="927" spans="1:38" x14ac:dyDescent="0.2">
      <c r="A927"/>
      <c r="B927" t="str">
        <f>IF($A927="","",VLOOKUP($A927,JupData!$A$2:$I$10000,4,FALSE))</f>
        <v/>
      </c>
      <c r="C927" s="7" t="str">
        <f>IF($A927="",IF(N(D927),0,""),VLOOKUP($A927,JupData!$A$2:$I$10000,7,FALSE))</f>
        <v/>
      </c>
      <c r="D927" t="str">
        <f t="shared" si="164"/>
        <v/>
      </c>
      <c r="E927" t="str">
        <f t="array" ref="E927">IF($A927="","",INDEX(JupData!$A$2:$K$10000,MATCH($A927&amp;E$1,JupData!$A$2:$A$10000&amp;JupData!$J$2:$J$10000,0),11))</f>
        <v/>
      </c>
      <c r="F927" t="str">
        <f t="array" ref="F927">IF($A927="","",INDEX(JupData!$A$2:$K$10000,MATCH($A927&amp;F$1,JupData!$A$2:$A$10000&amp;JupData!$J$2:$J$10000,0),11))</f>
        <v/>
      </c>
      <c r="G927" t="str">
        <f t="array" ref="G927">IF($A927="","",INDEX(JupData!$A$2:$K$10000,MATCH($A927&amp;G$1,JupData!$A$2:$A$10000&amp;JupData!$J$2:$J$10000,0),11))</f>
        <v/>
      </c>
      <c r="H927" t="str">
        <f t="array" ref="H927">IF($A927="","",INDEX(JupData!$A$2:$K$10000,MATCH($A927&amp;H$1,JupData!$A$2:$A$10000&amp;JupData!$J$2:$J$10000,0),11))</f>
        <v/>
      </c>
      <c r="I927" t="str">
        <f t="array" ref="I927">IF($A927="","",INDEX(JupData!$A$2:$K$10000,MATCH($A927&amp;I$1,JupData!$A$2:$A$10000&amp;JupData!$J$2:$J$10000,0),11))</f>
        <v/>
      </c>
      <c r="J927" t="str">
        <f t="array" ref="J927">IF($A927="","",INDEX(JupData!$A$2:$K$10000,MATCH($A927&amp;J$1,JupData!$A$2:$A$10000&amp;JupData!$J$2:$J$10000,0),11))</f>
        <v/>
      </c>
      <c r="K927" t="str">
        <f t="array" ref="K927">IF($A927="","",INDEX(JupData!$A$2:$K$10000,MATCH($A927&amp;K$1,JupData!$A$2:$A$10000&amp;JupData!$J$2:$J$10000,0),11))</f>
        <v/>
      </c>
      <c r="L927" t="str">
        <f t="array" ref="L927">IF($A927="","",INDEX(JupData!$A$2:$K$10000,MATCH($A927&amp;L$1,JupData!$A$2:$A$10000&amp;JupData!$J$2:$J$10000,0),11))</f>
        <v/>
      </c>
      <c r="M927" t="str">
        <f t="array" ref="M927">IF($A927="","",INDEX(JupData!$A$2:$K$10000,MATCH($A927&amp;M$1,JupData!$A$2:$A$10000&amp;JupData!$J$2:$J$10000,0),11))</f>
        <v/>
      </c>
      <c r="N927" t="str">
        <f t="array" ref="N927">IF($A927="","",INDEX(JupData!$A$2:$K$10000,MATCH($A927&amp;N$1,JupData!$A$2:$A$10000&amp;JupData!$J$2:$J$10000,0),11))</f>
        <v/>
      </c>
      <c r="O927" t="str">
        <f t="array" ref="O927">IF($A927="","",INDEX(JupData!$A$2:$K$10000,MATCH($A927&amp;O$1,JupData!$A$2:$A$10000&amp;JupData!$J$2:$J$10000,0),11))</f>
        <v/>
      </c>
      <c r="P927" t="str">
        <f t="array" ref="P927">IF($A927="","",INDEX(JupData!$A$2:$K$10000,MATCH($A927&amp;P$1,JupData!$A$2:$A$10000&amp;JupData!$J$2:$J$10000,0),11))</f>
        <v/>
      </c>
      <c r="Q927" t="str">
        <f t="array" ref="Q927">IF($A927="","",INDEX(JupData!$A$2:$K$10000,MATCH($A927&amp;Q$1,JupData!$A$2:$A$10000&amp;JupData!$J$2:$J$10000,0),11))</f>
        <v/>
      </c>
      <c r="R927" t="str">
        <f t="array" ref="R927">IF($A927="","",INDEX(JupData!$A$2:$K$10000,MATCH($A927&amp;R$1,JupData!$A$2:$A$10000&amp;JupData!$J$2:$J$10000,0),11))</f>
        <v/>
      </c>
      <c r="S927" t="str">
        <f t="array" ref="S927">IF($A927="","",INDEX(JupData!$A$2:$K$10000,MATCH($A927&amp;S$1,JupData!$A$2:$A$10000&amp;JupData!$J$2:$J$10000,0),11))</f>
        <v/>
      </c>
      <c r="T927" t="str">
        <f t="array" ref="T927">IF($A927="","",INDEX(JupData!$A$2:$K$10000,MATCH($A927&amp;T$1,JupData!$A$2:$A$10000&amp;JupData!$J$2:$J$10000,0),11))</f>
        <v/>
      </c>
      <c r="U927" t="str">
        <f t="array" ref="U927">IF($A927="","",INDEX(JupData!$A$2:$K$10000,MATCH($A927&amp;U$1,JupData!$A$2:$A$10000&amp;JupData!$J$2:$J$10000,0),11))</f>
        <v/>
      </c>
      <c r="V927" t="str">
        <f t="array" ref="V927">IF($A927="","",INDEX(JupData!$A$2:$K$10000,MATCH($A927&amp;V$1,JupData!$A$2:$A$10000&amp;JupData!$J$2:$J$10000,0),11))</f>
        <v/>
      </c>
      <c r="W927" t="str">
        <f t="array" ref="W927">IF($A927="","",INDEX(JupData!$A$2:$K$10000,MATCH($A927&amp;W$1,JupData!$A$2:$A$10000&amp;JupData!$J$2:$J$10000,0),11))</f>
        <v/>
      </c>
      <c r="X927" t="str">
        <f t="array" ref="X927">IF($A927="","",INDEX(JupData!$A$2:$K$10000,MATCH($A927&amp;X$1,JupData!$A$2:$A$10000&amp;JupData!$J$2:$J$10000,0),11))</f>
        <v/>
      </c>
      <c r="Y927" t="str">
        <f t="array" ref="Y927">IF($A927="","",INDEX(JupData!$A$2:$K$10000,MATCH($A927&amp;Y$1,JupData!$A$2:$A$10000&amp;JupData!$J$2:$J$10000,0),11))</f>
        <v/>
      </c>
      <c r="Z927" t="str">
        <f t="array" ref="Z927">IF($A927="","",INDEX(JupData!$A$2:$K$10000,MATCH($A927&amp;Z$1,JupData!$A$2:$A$10000&amp;JupData!$J$2:$J$10000,0),11))</f>
        <v/>
      </c>
      <c r="AA927" t="str">
        <f t="array" ref="AA927">IF($A927="","",INDEX(JupData!$A$2:$K$10000,MATCH($A927&amp;AA$1,JupData!$A$2:$A$10000&amp;JupData!$J$2:$J$10000,0),11))</f>
        <v/>
      </c>
      <c r="AB927" t="str">
        <f t="array" ref="AB927">IF($A927="","",INDEX(JupData!$A$2:$K$10000,MATCH($A927&amp;AB$1,JupData!$A$2:$A$10000&amp;JupData!$J$2:$J$10000,0),11))</f>
        <v/>
      </c>
      <c r="AC927" s="10" t="str">
        <f t="shared" si="154"/>
        <v/>
      </c>
      <c r="AD927" s="10" t="str">
        <f t="shared" si="155"/>
        <v/>
      </c>
      <c r="AE927" s="9" t="str">
        <f t="shared" si="156"/>
        <v/>
      </c>
      <c r="AF927" s="10" t="str">
        <f t="shared" si="157"/>
        <v/>
      </c>
      <c r="AG927" s="10" t="str">
        <f t="shared" si="158"/>
        <v/>
      </c>
      <c r="AH927" s="10" t="str">
        <f t="shared" si="159"/>
        <v/>
      </c>
      <c r="AI927" s="10" t="str">
        <f t="shared" si="160"/>
        <v/>
      </c>
      <c r="AJ927" s="10" t="str">
        <f t="shared" si="161"/>
        <v/>
      </c>
      <c r="AK927" s="10" t="str">
        <f t="shared" si="162"/>
        <v/>
      </c>
      <c r="AL927" s="14" t="str">
        <f t="shared" si="163"/>
        <v/>
      </c>
    </row>
    <row r="928" spans="1:38" x14ac:dyDescent="0.2">
      <c r="A928"/>
      <c r="B928" t="str">
        <f>IF($A928="","",VLOOKUP($A928,JupData!$A$2:$I$10000,4,FALSE))</f>
        <v/>
      </c>
      <c r="C928" s="7" t="str">
        <f>IF($A928="",IF(N(D928),0,""),VLOOKUP($A928,JupData!$A$2:$I$10000,7,FALSE))</f>
        <v/>
      </c>
      <c r="D928" t="str">
        <f t="shared" si="164"/>
        <v/>
      </c>
      <c r="E928" t="str">
        <f t="array" ref="E928">IF($A928="","",INDEX(JupData!$A$2:$K$10000,MATCH($A928&amp;E$1,JupData!$A$2:$A$10000&amp;JupData!$J$2:$J$10000,0),11))</f>
        <v/>
      </c>
      <c r="F928" t="str">
        <f t="array" ref="F928">IF($A928="","",INDEX(JupData!$A$2:$K$10000,MATCH($A928&amp;F$1,JupData!$A$2:$A$10000&amp;JupData!$J$2:$J$10000,0),11))</f>
        <v/>
      </c>
      <c r="G928" t="str">
        <f t="array" ref="G928">IF($A928="","",INDEX(JupData!$A$2:$K$10000,MATCH($A928&amp;G$1,JupData!$A$2:$A$10000&amp;JupData!$J$2:$J$10000,0),11))</f>
        <v/>
      </c>
      <c r="H928" t="str">
        <f t="array" ref="H928">IF($A928="","",INDEX(JupData!$A$2:$K$10000,MATCH($A928&amp;H$1,JupData!$A$2:$A$10000&amp;JupData!$J$2:$J$10000,0),11))</f>
        <v/>
      </c>
      <c r="I928" t="str">
        <f t="array" ref="I928">IF($A928="","",INDEX(JupData!$A$2:$K$10000,MATCH($A928&amp;I$1,JupData!$A$2:$A$10000&amp;JupData!$J$2:$J$10000,0),11))</f>
        <v/>
      </c>
      <c r="J928" t="str">
        <f t="array" ref="J928">IF($A928="","",INDEX(JupData!$A$2:$K$10000,MATCH($A928&amp;J$1,JupData!$A$2:$A$10000&amp;JupData!$J$2:$J$10000,0),11))</f>
        <v/>
      </c>
      <c r="K928" t="str">
        <f t="array" ref="K928">IF($A928="","",INDEX(JupData!$A$2:$K$10000,MATCH($A928&amp;K$1,JupData!$A$2:$A$10000&amp;JupData!$J$2:$J$10000,0),11))</f>
        <v/>
      </c>
      <c r="L928" t="str">
        <f t="array" ref="L928">IF($A928="","",INDEX(JupData!$A$2:$K$10000,MATCH($A928&amp;L$1,JupData!$A$2:$A$10000&amp;JupData!$J$2:$J$10000,0),11))</f>
        <v/>
      </c>
      <c r="M928" t="str">
        <f t="array" ref="M928">IF($A928="","",INDEX(JupData!$A$2:$K$10000,MATCH($A928&amp;M$1,JupData!$A$2:$A$10000&amp;JupData!$J$2:$J$10000,0),11))</f>
        <v/>
      </c>
      <c r="N928" t="str">
        <f t="array" ref="N928">IF($A928="","",INDEX(JupData!$A$2:$K$10000,MATCH($A928&amp;N$1,JupData!$A$2:$A$10000&amp;JupData!$J$2:$J$10000,0),11))</f>
        <v/>
      </c>
      <c r="O928" t="str">
        <f t="array" ref="O928">IF($A928="","",INDEX(JupData!$A$2:$K$10000,MATCH($A928&amp;O$1,JupData!$A$2:$A$10000&amp;JupData!$J$2:$J$10000,0),11))</f>
        <v/>
      </c>
      <c r="P928" t="str">
        <f t="array" ref="P928">IF($A928="","",INDEX(JupData!$A$2:$K$10000,MATCH($A928&amp;P$1,JupData!$A$2:$A$10000&amp;JupData!$J$2:$J$10000,0),11))</f>
        <v/>
      </c>
      <c r="Q928" t="str">
        <f t="array" ref="Q928">IF($A928="","",INDEX(JupData!$A$2:$K$10000,MATCH($A928&amp;Q$1,JupData!$A$2:$A$10000&amp;JupData!$J$2:$J$10000,0),11))</f>
        <v/>
      </c>
      <c r="R928" t="str">
        <f t="array" ref="R928">IF($A928="","",INDEX(JupData!$A$2:$K$10000,MATCH($A928&amp;R$1,JupData!$A$2:$A$10000&amp;JupData!$J$2:$J$10000,0),11))</f>
        <v/>
      </c>
      <c r="S928" t="str">
        <f t="array" ref="S928">IF($A928="","",INDEX(JupData!$A$2:$K$10000,MATCH($A928&amp;S$1,JupData!$A$2:$A$10000&amp;JupData!$J$2:$J$10000,0),11))</f>
        <v/>
      </c>
      <c r="T928" t="str">
        <f t="array" ref="T928">IF($A928="","",INDEX(JupData!$A$2:$K$10000,MATCH($A928&amp;T$1,JupData!$A$2:$A$10000&amp;JupData!$J$2:$J$10000,0),11))</f>
        <v/>
      </c>
      <c r="U928" t="str">
        <f t="array" ref="U928">IF($A928="","",INDEX(JupData!$A$2:$K$10000,MATCH($A928&amp;U$1,JupData!$A$2:$A$10000&amp;JupData!$J$2:$J$10000,0),11))</f>
        <v/>
      </c>
      <c r="V928" t="str">
        <f t="array" ref="V928">IF($A928="","",INDEX(JupData!$A$2:$K$10000,MATCH($A928&amp;V$1,JupData!$A$2:$A$10000&amp;JupData!$J$2:$J$10000,0),11))</f>
        <v/>
      </c>
      <c r="W928" t="str">
        <f t="array" ref="W928">IF($A928="","",INDEX(JupData!$A$2:$K$10000,MATCH($A928&amp;W$1,JupData!$A$2:$A$10000&amp;JupData!$J$2:$J$10000,0),11))</f>
        <v/>
      </c>
      <c r="X928" t="str">
        <f t="array" ref="X928">IF($A928="","",INDEX(JupData!$A$2:$K$10000,MATCH($A928&amp;X$1,JupData!$A$2:$A$10000&amp;JupData!$J$2:$J$10000,0),11))</f>
        <v/>
      </c>
      <c r="Y928" t="str">
        <f t="array" ref="Y928">IF($A928="","",INDEX(JupData!$A$2:$K$10000,MATCH($A928&amp;Y$1,JupData!$A$2:$A$10000&amp;JupData!$J$2:$J$10000,0),11))</f>
        <v/>
      </c>
      <c r="Z928" t="str">
        <f t="array" ref="Z928">IF($A928="","",INDEX(JupData!$A$2:$K$10000,MATCH($A928&amp;Z$1,JupData!$A$2:$A$10000&amp;JupData!$J$2:$J$10000,0),11))</f>
        <v/>
      </c>
      <c r="AA928" t="str">
        <f t="array" ref="AA928">IF($A928="","",INDEX(JupData!$A$2:$K$10000,MATCH($A928&amp;AA$1,JupData!$A$2:$A$10000&amp;JupData!$J$2:$J$10000,0),11))</f>
        <v/>
      </c>
      <c r="AB928" t="str">
        <f t="array" ref="AB928">IF($A928="","",INDEX(JupData!$A$2:$K$10000,MATCH($A928&amp;AB$1,JupData!$A$2:$A$10000&amp;JupData!$J$2:$J$10000,0),11))</f>
        <v/>
      </c>
      <c r="AC928" s="10" t="str">
        <f t="shared" si="154"/>
        <v/>
      </c>
      <c r="AD928" s="10" t="str">
        <f t="shared" si="155"/>
        <v/>
      </c>
      <c r="AE928" s="9" t="str">
        <f t="shared" si="156"/>
        <v/>
      </c>
      <c r="AF928" s="10" t="str">
        <f t="shared" si="157"/>
        <v/>
      </c>
      <c r="AG928" s="10" t="str">
        <f t="shared" si="158"/>
        <v/>
      </c>
      <c r="AH928" s="10" t="str">
        <f t="shared" si="159"/>
        <v/>
      </c>
      <c r="AI928" s="10" t="str">
        <f t="shared" si="160"/>
        <v/>
      </c>
      <c r="AJ928" s="10" t="str">
        <f t="shared" si="161"/>
        <v/>
      </c>
      <c r="AK928" s="10" t="str">
        <f t="shared" si="162"/>
        <v/>
      </c>
      <c r="AL928" s="14" t="str">
        <f t="shared" si="163"/>
        <v/>
      </c>
    </row>
    <row r="929" spans="1:38" x14ac:dyDescent="0.2">
      <c r="A929"/>
      <c r="B929" t="str">
        <f>IF($A929="","",VLOOKUP($A929,JupData!$A$2:$I$10000,4,FALSE))</f>
        <v/>
      </c>
      <c r="C929" s="7" t="str">
        <f>IF($A929="",IF(N(D929),0,""),VLOOKUP($A929,JupData!$A$2:$I$10000,7,FALSE))</f>
        <v/>
      </c>
      <c r="D929" t="str">
        <f t="shared" si="164"/>
        <v/>
      </c>
      <c r="E929" t="str">
        <f t="array" ref="E929">IF($A929="","",INDEX(JupData!$A$2:$K$10000,MATCH($A929&amp;E$1,JupData!$A$2:$A$10000&amp;JupData!$J$2:$J$10000,0),11))</f>
        <v/>
      </c>
      <c r="F929" t="str">
        <f t="array" ref="F929">IF($A929="","",INDEX(JupData!$A$2:$K$10000,MATCH($A929&amp;F$1,JupData!$A$2:$A$10000&amp;JupData!$J$2:$J$10000,0),11))</f>
        <v/>
      </c>
      <c r="G929" t="str">
        <f t="array" ref="G929">IF($A929="","",INDEX(JupData!$A$2:$K$10000,MATCH($A929&amp;G$1,JupData!$A$2:$A$10000&amp;JupData!$J$2:$J$10000,0),11))</f>
        <v/>
      </c>
      <c r="H929" t="str">
        <f t="array" ref="H929">IF($A929="","",INDEX(JupData!$A$2:$K$10000,MATCH($A929&amp;H$1,JupData!$A$2:$A$10000&amp;JupData!$J$2:$J$10000,0),11))</f>
        <v/>
      </c>
      <c r="I929" t="str">
        <f t="array" ref="I929">IF($A929="","",INDEX(JupData!$A$2:$K$10000,MATCH($A929&amp;I$1,JupData!$A$2:$A$10000&amp;JupData!$J$2:$J$10000,0),11))</f>
        <v/>
      </c>
      <c r="J929" t="str">
        <f t="array" ref="J929">IF($A929="","",INDEX(JupData!$A$2:$K$10000,MATCH($A929&amp;J$1,JupData!$A$2:$A$10000&amp;JupData!$J$2:$J$10000,0),11))</f>
        <v/>
      </c>
      <c r="K929" t="str">
        <f t="array" ref="K929">IF($A929="","",INDEX(JupData!$A$2:$K$10000,MATCH($A929&amp;K$1,JupData!$A$2:$A$10000&amp;JupData!$J$2:$J$10000,0),11))</f>
        <v/>
      </c>
      <c r="L929" t="str">
        <f t="array" ref="L929">IF($A929="","",INDEX(JupData!$A$2:$K$10000,MATCH($A929&amp;L$1,JupData!$A$2:$A$10000&amp;JupData!$J$2:$J$10000,0),11))</f>
        <v/>
      </c>
      <c r="M929" t="str">
        <f t="array" ref="M929">IF($A929="","",INDEX(JupData!$A$2:$K$10000,MATCH($A929&amp;M$1,JupData!$A$2:$A$10000&amp;JupData!$J$2:$J$10000,0),11))</f>
        <v/>
      </c>
      <c r="N929" t="str">
        <f t="array" ref="N929">IF($A929="","",INDEX(JupData!$A$2:$K$10000,MATCH($A929&amp;N$1,JupData!$A$2:$A$10000&amp;JupData!$J$2:$J$10000,0),11))</f>
        <v/>
      </c>
      <c r="O929" t="str">
        <f t="array" ref="O929">IF($A929="","",INDEX(JupData!$A$2:$K$10000,MATCH($A929&amp;O$1,JupData!$A$2:$A$10000&amp;JupData!$J$2:$J$10000,0),11))</f>
        <v/>
      </c>
      <c r="P929" t="str">
        <f t="array" ref="P929">IF($A929="","",INDEX(JupData!$A$2:$K$10000,MATCH($A929&amp;P$1,JupData!$A$2:$A$10000&amp;JupData!$J$2:$J$10000,0),11))</f>
        <v/>
      </c>
      <c r="Q929" t="str">
        <f t="array" ref="Q929">IF($A929="","",INDEX(JupData!$A$2:$K$10000,MATCH($A929&amp;Q$1,JupData!$A$2:$A$10000&amp;JupData!$J$2:$J$10000,0),11))</f>
        <v/>
      </c>
      <c r="R929" t="str">
        <f t="array" ref="R929">IF($A929="","",INDEX(JupData!$A$2:$K$10000,MATCH($A929&amp;R$1,JupData!$A$2:$A$10000&amp;JupData!$J$2:$J$10000,0),11))</f>
        <v/>
      </c>
      <c r="S929" t="str">
        <f t="array" ref="S929">IF($A929="","",INDEX(JupData!$A$2:$K$10000,MATCH($A929&amp;S$1,JupData!$A$2:$A$10000&amp;JupData!$J$2:$J$10000,0),11))</f>
        <v/>
      </c>
      <c r="T929" t="str">
        <f t="array" ref="T929">IF($A929="","",INDEX(JupData!$A$2:$K$10000,MATCH($A929&amp;T$1,JupData!$A$2:$A$10000&amp;JupData!$J$2:$J$10000,0),11))</f>
        <v/>
      </c>
      <c r="U929" t="str">
        <f t="array" ref="U929">IF($A929="","",INDEX(JupData!$A$2:$K$10000,MATCH($A929&amp;U$1,JupData!$A$2:$A$10000&amp;JupData!$J$2:$J$10000,0),11))</f>
        <v/>
      </c>
      <c r="V929" t="str">
        <f t="array" ref="V929">IF($A929="","",INDEX(JupData!$A$2:$K$10000,MATCH($A929&amp;V$1,JupData!$A$2:$A$10000&amp;JupData!$J$2:$J$10000,0),11))</f>
        <v/>
      </c>
      <c r="W929" t="str">
        <f t="array" ref="W929">IF($A929="","",INDEX(JupData!$A$2:$K$10000,MATCH($A929&amp;W$1,JupData!$A$2:$A$10000&amp;JupData!$J$2:$J$10000,0),11))</f>
        <v/>
      </c>
      <c r="X929" t="str">
        <f t="array" ref="X929">IF($A929="","",INDEX(JupData!$A$2:$K$10000,MATCH($A929&amp;X$1,JupData!$A$2:$A$10000&amp;JupData!$J$2:$J$10000,0),11))</f>
        <v/>
      </c>
      <c r="Y929" t="str">
        <f t="array" ref="Y929">IF($A929="","",INDEX(JupData!$A$2:$K$10000,MATCH($A929&amp;Y$1,JupData!$A$2:$A$10000&amp;JupData!$J$2:$J$10000,0),11))</f>
        <v/>
      </c>
      <c r="Z929" t="str">
        <f t="array" ref="Z929">IF($A929="","",INDEX(JupData!$A$2:$K$10000,MATCH($A929&amp;Z$1,JupData!$A$2:$A$10000&amp;JupData!$J$2:$J$10000,0),11))</f>
        <v/>
      </c>
      <c r="AA929" t="str">
        <f t="array" ref="AA929">IF($A929="","",INDEX(JupData!$A$2:$K$10000,MATCH($A929&amp;AA$1,JupData!$A$2:$A$10000&amp;JupData!$J$2:$J$10000,0),11))</f>
        <v/>
      </c>
      <c r="AB929" t="str">
        <f t="array" ref="AB929">IF($A929="","",INDEX(JupData!$A$2:$K$10000,MATCH($A929&amp;AB$1,JupData!$A$2:$A$10000&amp;JupData!$J$2:$J$10000,0),11))</f>
        <v/>
      </c>
      <c r="AC929" s="10" t="str">
        <f t="shared" si="154"/>
        <v/>
      </c>
      <c r="AD929" s="10" t="str">
        <f t="shared" si="155"/>
        <v/>
      </c>
      <c r="AE929" s="9" t="str">
        <f t="shared" si="156"/>
        <v/>
      </c>
      <c r="AF929" s="10" t="str">
        <f t="shared" si="157"/>
        <v/>
      </c>
      <c r="AG929" s="10" t="str">
        <f t="shared" si="158"/>
        <v/>
      </c>
      <c r="AH929" s="10" t="str">
        <f t="shared" si="159"/>
        <v/>
      </c>
      <c r="AI929" s="10" t="str">
        <f t="shared" si="160"/>
        <v/>
      </c>
      <c r="AJ929" s="10" t="str">
        <f t="shared" si="161"/>
        <v/>
      </c>
      <c r="AK929" s="10" t="str">
        <f t="shared" si="162"/>
        <v/>
      </c>
      <c r="AL929" s="14" t="str">
        <f t="shared" si="163"/>
        <v/>
      </c>
    </row>
    <row r="930" spans="1:38" x14ac:dyDescent="0.2">
      <c r="A930"/>
      <c r="B930" t="str">
        <f>IF($A930="","",VLOOKUP($A930,JupData!$A$2:$I$10000,4,FALSE))</f>
        <v/>
      </c>
      <c r="C930" s="7" t="str">
        <f>IF($A930="",IF(N(D930),0,""),VLOOKUP($A930,JupData!$A$2:$I$10000,7,FALSE))</f>
        <v/>
      </c>
      <c r="D930" t="str">
        <f t="shared" si="164"/>
        <v/>
      </c>
      <c r="E930" t="str">
        <f t="array" ref="E930">IF($A930="","",INDEX(JupData!$A$2:$K$10000,MATCH($A930&amp;E$1,JupData!$A$2:$A$10000&amp;JupData!$J$2:$J$10000,0),11))</f>
        <v/>
      </c>
      <c r="F930" t="str">
        <f t="array" ref="F930">IF($A930="","",INDEX(JupData!$A$2:$K$10000,MATCH($A930&amp;F$1,JupData!$A$2:$A$10000&amp;JupData!$J$2:$J$10000,0),11))</f>
        <v/>
      </c>
      <c r="G930" t="str">
        <f t="array" ref="G930">IF($A930="","",INDEX(JupData!$A$2:$K$10000,MATCH($A930&amp;G$1,JupData!$A$2:$A$10000&amp;JupData!$J$2:$J$10000,0),11))</f>
        <v/>
      </c>
      <c r="H930" t="str">
        <f t="array" ref="H930">IF($A930="","",INDEX(JupData!$A$2:$K$10000,MATCH($A930&amp;H$1,JupData!$A$2:$A$10000&amp;JupData!$J$2:$J$10000,0),11))</f>
        <v/>
      </c>
      <c r="I930" t="str">
        <f t="array" ref="I930">IF($A930="","",INDEX(JupData!$A$2:$K$10000,MATCH($A930&amp;I$1,JupData!$A$2:$A$10000&amp;JupData!$J$2:$J$10000,0),11))</f>
        <v/>
      </c>
      <c r="J930" t="str">
        <f t="array" ref="J930">IF($A930="","",INDEX(JupData!$A$2:$K$10000,MATCH($A930&amp;J$1,JupData!$A$2:$A$10000&amp;JupData!$J$2:$J$10000,0),11))</f>
        <v/>
      </c>
      <c r="K930" t="str">
        <f t="array" ref="K930">IF($A930="","",INDEX(JupData!$A$2:$K$10000,MATCH($A930&amp;K$1,JupData!$A$2:$A$10000&amp;JupData!$J$2:$J$10000,0),11))</f>
        <v/>
      </c>
      <c r="L930" t="str">
        <f t="array" ref="L930">IF($A930="","",INDEX(JupData!$A$2:$K$10000,MATCH($A930&amp;L$1,JupData!$A$2:$A$10000&amp;JupData!$J$2:$J$10000,0),11))</f>
        <v/>
      </c>
      <c r="M930" t="str">
        <f t="array" ref="M930">IF($A930="","",INDEX(JupData!$A$2:$K$10000,MATCH($A930&amp;M$1,JupData!$A$2:$A$10000&amp;JupData!$J$2:$J$10000,0),11))</f>
        <v/>
      </c>
      <c r="N930" t="str">
        <f t="array" ref="N930">IF($A930="","",INDEX(JupData!$A$2:$K$10000,MATCH($A930&amp;N$1,JupData!$A$2:$A$10000&amp;JupData!$J$2:$J$10000,0),11))</f>
        <v/>
      </c>
      <c r="O930" t="str">
        <f t="array" ref="O930">IF($A930="","",INDEX(JupData!$A$2:$K$10000,MATCH($A930&amp;O$1,JupData!$A$2:$A$10000&amp;JupData!$J$2:$J$10000,0),11))</f>
        <v/>
      </c>
      <c r="P930" t="str">
        <f t="array" ref="P930">IF($A930="","",INDEX(JupData!$A$2:$K$10000,MATCH($A930&amp;P$1,JupData!$A$2:$A$10000&amp;JupData!$J$2:$J$10000,0),11))</f>
        <v/>
      </c>
      <c r="Q930" t="str">
        <f t="array" ref="Q930">IF($A930="","",INDEX(JupData!$A$2:$K$10000,MATCH($A930&amp;Q$1,JupData!$A$2:$A$10000&amp;JupData!$J$2:$J$10000,0),11))</f>
        <v/>
      </c>
      <c r="R930" t="str">
        <f t="array" ref="R930">IF($A930="","",INDEX(JupData!$A$2:$K$10000,MATCH($A930&amp;R$1,JupData!$A$2:$A$10000&amp;JupData!$J$2:$J$10000,0),11))</f>
        <v/>
      </c>
      <c r="S930" t="str">
        <f t="array" ref="S930">IF($A930="","",INDEX(JupData!$A$2:$K$10000,MATCH($A930&amp;S$1,JupData!$A$2:$A$10000&amp;JupData!$J$2:$J$10000,0),11))</f>
        <v/>
      </c>
      <c r="T930" t="str">
        <f t="array" ref="T930">IF($A930="","",INDEX(JupData!$A$2:$K$10000,MATCH($A930&amp;T$1,JupData!$A$2:$A$10000&amp;JupData!$J$2:$J$10000,0),11))</f>
        <v/>
      </c>
      <c r="U930" t="str">
        <f t="array" ref="U930">IF($A930="","",INDEX(JupData!$A$2:$K$10000,MATCH($A930&amp;U$1,JupData!$A$2:$A$10000&amp;JupData!$J$2:$J$10000,0),11))</f>
        <v/>
      </c>
      <c r="V930" t="str">
        <f t="array" ref="V930">IF($A930="","",INDEX(JupData!$A$2:$K$10000,MATCH($A930&amp;V$1,JupData!$A$2:$A$10000&amp;JupData!$J$2:$J$10000,0),11))</f>
        <v/>
      </c>
      <c r="W930" t="str">
        <f t="array" ref="W930">IF($A930="","",INDEX(JupData!$A$2:$K$10000,MATCH($A930&amp;W$1,JupData!$A$2:$A$10000&amp;JupData!$J$2:$J$10000,0),11))</f>
        <v/>
      </c>
      <c r="X930" t="str">
        <f t="array" ref="X930">IF($A930="","",INDEX(JupData!$A$2:$K$10000,MATCH($A930&amp;X$1,JupData!$A$2:$A$10000&amp;JupData!$J$2:$J$10000,0),11))</f>
        <v/>
      </c>
      <c r="Y930" t="str">
        <f t="array" ref="Y930">IF($A930="","",INDEX(JupData!$A$2:$K$10000,MATCH($A930&amp;Y$1,JupData!$A$2:$A$10000&amp;JupData!$J$2:$J$10000,0),11))</f>
        <v/>
      </c>
      <c r="Z930" t="str">
        <f t="array" ref="Z930">IF($A930="","",INDEX(JupData!$A$2:$K$10000,MATCH($A930&amp;Z$1,JupData!$A$2:$A$10000&amp;JupData!$J$2:$J$10000,0),11))</f>
        <v/>
      </c>
      <c r="AA930" t="str">
        <f t="array" ref="AA930">IF($A930="","",INDEX(JupData!$A$2:$K$10000,MATCH($A930&amp;AA$1,JupData!$A$2:$A$10000&amp;JupData!$J$2:$J$10000,0),11))</f>
        <v/>
      </c>
      <c r="AB930" t="str">
        <f t="array" ref="AB930">IF($A930="","",INDEX(JupData!$A$2:$K$10000,MATCH($A930&amp;AB$1,JupData!$A$2:$A$10000&amp;JupData!$J$2:$J$10000,0),11))</f>
        <v/>
      </c>
      <c r="AC930" s="10" t="str">
        <f t="shared" si="154"/>
        <v/>
      </c>
      <c r="AD930" s="10" t="str">
        <f t="shared" si="155"/>
        <v/>
      </c>
      <c r="AE930" s="9" t="str">
        <f t="shared" si="156"/>
        <v/>
      </c>
      <c r="AF930" s="10" t="str">
        <f t="shared" si="157"/>
        <v/>
      </c>
      <c r="AG930" s="10" t="str">
        <f t="shared" si="158"/>
        <v/>
      </c>
      <c r="AH930" s="10" t="str">
        <f t="shared" si="159"/>
        <v/>
      </c>
      <c r="AI930" s="10" t="str">
        <f t="shared" si="160"/>
        <v/>
      </c>
      <c r="AJ930" s="10" t="str">
        <f t="shared" si="161"/>
        <v/>
      </c>
      <c r="AK930" s="10" t="str">
        <f t="shared" si="162"/>
        <v/>
      </c>
      <c r="AL930" s="14" t="str">
        <f t="shared" si="163"/>
        <v/>
      </c>
    </row>
    <row r="931" spans="1:38" x14ac:dyDescent="0.2">
      <c r="A931"/>
      <c r="B931" t="str">
        <f>IF($A931="","",VLOOKUP($A931,JupData!$A$2:$I$10000,4,FALSE))</f>
        <v/>
      </c>
      <c r="C931" s="7" t="str">
        <f>IF($A931="",IF(N(D931),0,""),VLOOKUP($A931,JupData!$A$2:$I$10000,7,FALSE))</f>
        <v/>
      </c>
      <c r="D931" t="str">
        <f t="shared" si="164"/>
        <v/>
      </c>
      <c r="E931" t="str">
        <f t="array" ref="E931">IF($A931="","",INDEX(JupData!$A$2:$K$10000,MATCH($A931&amp;E$1,JupData!$A$2:$A$10000&amp;JupData!$J$2:$J$10000,0),11))</f>
        <v/>
      </c>
      <c r="F931" t="str">
        <f t="array" ref="F931">IF($A931="","",INDEX(JupData!$A$2:$K$10000,MATCH($A931&amp;F$1,JupData!$A$2:$A$10000&amp;JupData!$J$2:$J$10000,0),11))</f>
        <v/>
      </c>
      <c r="G931" t="str">
        <f t="array" ref="G931">IF($A931="","",INDEX(JupData!$A$2:$K$10000,MATCH($A931&amp;G$1,JupData!$A$2:$A$10000&amp;JupData!$J$2:$J$10000,0),11))</f>
        <v/>
      </c>
      <c r="H931" t="str">
        <f t="array" ref="H931">IF($A931="","",INDEX(JupData!$A$2:$K$10000,MATCH($A931&amp;H$1,JupData!$A$2:$A$10000&amp;JupData!$J$2:$J$10000,0),11))</f>
        <v/>
      </c>
      <c r="I931" t="str">
        <f t="array" ref="I931">IF($A931="","",INDEX(JupData!$A$2:$K$10000,MATCH($A931&amp;I$1,JupData!$A$2:$A$10000&amp;JupData!$J$2:$J$10000,0),11))</f>
        <v/>
      </c>
      <c r="J931" t="str">
        <f t="array" ref="J931">IF($A931="","",INDEX(JupData!$A$2:$K$10000,MATCH($A931&amp;J$1,JupData!$A$2:$A$10000&amp;JupData!$J$2:$J$10000,0),11))</f>
        <v/>
      </c>
      <c r="K931" t="str">
        <f t="array" ref="K931">IF($A931="","",INDEX(JupData!$A$2:$K$10000,MATCH($A931&amp;K$1,JupData!$A$2:$A$10000&amp;JupData!$J$2:$J$10000,0),11))</f>
        <v/>
      </c>
      <c r="L931" t="str">
        <f t="array" ref="L931">IF($A931="","",INDEX(JupData!$A$2:$K$10000,MATCH($A931&amp;L$1,JupData!$A$2:$A$10000&amp;JupData!$J$2:$J$10000,0),11))</f>
        <v/>
      </c>
      <c r="M931" t="str">
        <f t="array" ref="M931">IF($A931="","",INDEX(JupData!$A$2:$K$10000,MATCH($A931&amp;M$1,JupData!$A$2:$A$10000&amp;JupData!$J$2:$J$10000,0),11))</f>
        <v/>
      </c>
      <c r="N931" t="str">
        <f t="array" ref="N931">IF($A931="","",INDEX(JupData!$A$2:$K$10000,MATCH($A931&amp;N$1,JupData!$A$2:$A$10000&amp;JupData!$J$2:$J$10000,0),11))</f>
        <v/>
      </c>
      <c r="O931" t="str">
        <f t="array" ref="O931">IF($A931="","",INDEX(JupData!$A$2:$K$10000,MATCH($A931&amp;O$1,JupData!$A$2:$A$10000&amp;JupData!$J$2:$J$10000,0),11))</f>
        <v/>
      </c>
      <c r="P931" t="str">
        <f t="array" ref="P931">IF($A931="","",INDEX(JupData!$A$2:$K$10000,MATCH($A931&amp;P$1,JupData!$A$2:$A$10000&amp;JupData!$J$2:$J$10000,0),11))</f>
        <v/>
      </c>
      <c r="Q931" t="str">
        <f t="array" ref="Q931">IF($A931="","",INDEX(JupData!$A$2:$K$10000,MATCH($A931&amp;Q$1,JupData!$A$2:$A$10000&amp;JupData!$J$2:$J$10000,0),11))</f>
        <v/>
      </c>
      <c r="R931" t="str">
        <f t="array" ref="R931">IF($A931="","",INDEX(JupData!$A$2:$K$10000,MATCH($A931&amp;R$1,JupData!$A$2:$A$10000&amp;JupData!$J$2:$J$10000,0),11))</f>
        <v/>
      </c>
      <c r="S931" t="str">
        <f t="array" ref="S931">IF($A931="","",INDEX(JupData!$A$2:$K$10000,MATCH($A931&amp;S$1,JupData!$A$2:$A$10000&amp;JupData!$J$2:$J$10000,0),11))</f>
        <v/>
      </c>
      <c r="T931" t="str">
        <f t="array" ref="T931">IF($A931="","",INDEX(JupData!$A$2:$K$10000,MATCH($A931&amp;T$1,JupData!$A$2:$A$10000&amp;JupData!$J$2:$J$10000,0),11))</f>
        <v/>
      </c>
      <c r="U931" t="str">
        <f t="array" ref="U931">IF($A931="","",INDEX(JupData!$A$2:$K$10000,MATCH($A931&amp;U$1,JupData!$A$2:$A$10000&amp;JupData!$J$2:$J$10000,0),11))</f>
        <v/>
      </c>
      <c r="V931" t="str">
        <f t="array" ref="V931">IF($A931="","",INDEX(JupData!$A$2:$K$10000,MATCH($A931&amp;V$1,JupData!$A$2:$A$10000&amp;JupData!$J$2:$J$10000,0),11))</f>
        <v/>
      </c>
      <c r="W931" t="str">
        <f t="array" ref="W931">IF($A931="","",INDEX(JupData!$A$2:$K$10000,MATCH($A931&amp;W$1,JupData!$A$2:$A$10000&amp;JupData!$J$2:$J$10000,0),11))</f>
        <v/>
      </c>
      <c r="X931" t="str">
        <f t="array" ref="X931">IF($A931="","",INDEX(JupData!$A$2:$K$10000,MATCH($A931&amp;X$1,JupData!$A$2:$A$10000&amp;JupData!$J$2:$J$10000,0),11))</f>
        <v/>
      </c>
      <c r="Y931" t="str">
        <f t="array" ref="Y931">IF($A931="","",INDEX(JupData!$A$2:$K$10000,MATCH($A931&amp;Y$1,JupData!$A$2:$A$10000&amp;JupData!$J$2:$J$10000,0),11))</f>
        <v/>
      </c>
      <c r="Z931" t="str">
        <f t="array" ref="Z931">IF($A931="","",INDEX(JupData!$A$2:$K$10000,MATCH($A931&amp;Z$1,JupData!$A$2:$A$10000&amp;JupData!$J$2:$J$10000,0),11))</f>
        <v/>
      </c>
      <c r="AA931" t="str">
        <f t="array" ref="AA931">IF($A931="","",INDEX(JupData!$A$2:$K$10000,MATCH($A931&amp;AA$1,JupData!$A$2:$A$10000&amp;JupData!$J$2:$J$10000,0),11))</f>
        <v/>
      </c>
      <c r="AB931" t="str">
        <f t="array" ref="AB931">IF($A931="","",INDEX(JupData!$A$2:$K$10000,MATCH($A931&amp;AB$1,JupData!$A$2:$A$10000&amp;JupData!$J$2:$J$10000,0),11))</f>
        <v/>
      </c>
      <c r="AC931" s="10" t="str">
        <f t="shared" si="154"/>
        <v/>
      </c>
      <c r="AD931" s="10" t="str">
        <f t="shared" si="155"/>
        <v/>
      </c>
      <c r="AE931" s="9" t="str">
        <f t="shared" si="156"/>
        <v/>
      </c>
      <c r="AF931" s="10" t="str">
        <f t="shared" si="157"/>
        <v/>
      </c>
      <c r="AG931" s="10" t="str">
        <f t="shared" si="158"/>
        <v/>
      </c>
      <c r="AH931" s="10" t="str">
        <f t="shared" si="159"/>
        <v/>
      </c>
      <c r="AI931" s="10" t="str">
        <f t="shared" si="160"/>
        <v/>
      </c>
      <c r="AJ931" s="10" t="str">
        <f t="shared" si="161"/>
        <v/>
      </c>
      <c r="AK931" s="10" t="str">
        <f t="shared" si="162"/>
        <v/>
      </c>
      <c r="AL931" s="14" t="str">
        <f t="shared" si="163"/>
        <v/>
      </c>
    </row>
    <row r="932" spans="1:38" x14ac:dyDescent="0.2">
      <c r="A932"/>
      <c r="B932" t="str">
        <f>IF($A932="","",VLOOKUP($A932,JupData!$A$2:$I$10000,4,FALSE))</f>
        <v/>
      </c>
      <c r="C932" s="7" t="str">
        <f>IF($A932="",IF(N(D932),0,""),VLOOKUP($A932,JupData!$A$2:$I$10000,7,FALSE))</f>
        <v/>
      </c>
      <c r="D932" t="str">
        <f t="shared" si="164"/>
        <v/>
      </c>
      <c r="E932" t="str">
        <f t="array" ref="E932">IF($A932="","",INDEX(JupData!$A$2:$K$10000,MATCH($A932&amp;E$1,JupData!$A$2:$A$10000&amp;JupData!$J$2:$J$10000,0),11))</f>
        <v/>
      </c>
      <c r="F932" t="str">
        <f t="array" ref="F932">IF($A932="","",INDEX(JupData!$A$2:$K$10000,MATCH($A932&amp;F$1,JupData!$A$2:$A$10000&amp;JupData!$J$2:$J$10000,0),11))</f>
        <v/>
      </c>
      <c r="G932" t="str">
        <f t="array" ref="G932">IF($A932="","",INDEX(JupData!$A$2:$K$10000,MATCH($A932&amp;G$1,JupData!$A$2:$A$10000&amp;JupData!$J$2:$J$10000,0),11))</f>
        <v/>
      </c>
      <c r="H932" t="str">
        <f t="array" ref="H932">IF($A932="","",INDEX(JupData!$A$2:$K$10000,MATCH($A932&amp;H$1,JupData!$A$2:$A$10000&amp;JupData!$J$2:$J$10000,0),11))</f>
        <v/>
      </c>
      <c r="I932" t="str">
        <f t="array" ref="I932">IF($A932="","",INDEX(JupData!$A$2:$K$10000,MATCH($A932&amp;I$1,JupData!$A$2:$A$10000&amp;JupData!$J$2:$J$10000,0),11))</f>
        <v/>
      </c>
      <c r="J932" t="str">
        <f t="array" ref="J932">IF($A932="","",INDEX(JupData!$A$2:$K$10000,MATCH($A932&amp;J$1,JupData!$A$2:$A$10000&amp;JupData!$J$2:$J$10000,0),11))</f>
        <v/>
      </c>
      <c r="K932" t="str">
        <f t="array" ref="K932">IF($A932="","",INDEX(JupData!$A$2:$K$10000,MATCH($A932&amp;K$1,JupData!$A$2:$A$10000&amp;JupData!$J$2:$J$10000,0),11))</f>
        <v/>
      </c>
      <c r="L932" t="str">
        <f t="array" ref="L932">IF($A932="","",INDEX(JupData!$A$2:$K$10000,MATCH($A932&amp;L$1,JupData!$A$2:$A$10000&amp;JupData!$J$2:$J$10000,0),11))</f>
        <v/>
      </c>
      <c r="M932" t="str">
        <f t="array" ref="M932">IF($A932="","",INDEX(JupData!$A$2:$K$10000,MATCH($A932&amp;M$1,JupData!$A$2:$A$10000&amp;JupData!$J$2:$J$10000,0),11))</f>
        <v/>
      </c>
      <c r="N932" t="str">
        <f t="array" ref="N932">IF($A932="","",INDEX(JupData!$A$2:$K$10000,MATCH($A932&amp;N$1,JupData!$A$2:$A$10000&amp;JupData!$J$2:$J$10000,0),11))</f>
        <v/>
      </c>
      <c r="O932" t="str">
        <f t="array" ref="O932">IF($A932="","",INDEX(JupData!$A$2:$K$10000,MATCH($A932&amp;O$1,JupData!$A$2:$A$10000&amp;JupData!$J$2:$J$10000,0),11))</f>
        <v/>
      </c>
      <c r="P932" t="str">
        <f t="array" ref="P932">IF($A932="","",INDEX(JupData!$A$2:$K$10000,MATCH($A932&amp;P$1,JupData!$A$2:$A$10000&amp;JupData!$J$2:$J$10000,0),11))</f>
        <v/>
      </c>
      <c r="Q932" t="str">
        <f t="array" ref="Q932">IF($A932="","",INDEX(JupData!$A$2:$K$10000,MATCH($A932&amp;Q$1,JupData!$A$2:$A$10000&amp;JupData!$J$2:$J$10000,0),11))</f>
        <v/>
      </c>
      <c r="R932" t="str">
        <f t="array" ref="R932">IF($A932="","",INDEX(JupData!$A$2:$K$10000,MATCH($A932&amp;R$1,JupData!$A$2:$A$10000&amp;JupData!$J$2:$J$10000,0),11))</f>
        <v/>
      </c>
      <c r="S932" t="str">
        <f t="array" ref="S932">IF($A932="","",INDEX(JupData!$A$2:$K$10000,MATCH($A932&amp;S$1,JupData!$A$2:$A$10000&amp;JupData!$J$2:$J$10000,0),11))</f>
        <v/>
      </c>
      <c r="T932" t="str">
        <f t="array" ref="T932">IF($A932="","",INDEX(JupData!$A$2:$K$10000,MATCH($A932&amp;T$1,JupData!$A$2:$A$10000&amp;JupData!$J$2:$J$10000,0),11))</f>
        <v/>
      </c>
      <c r="U932" t="str">
        <f t="array" ref="U932">IF($A932="","",INDEX(JupData!$A$2:$K$10000,MATCH($A932&amp;U$1,JupData!$A$2:$A$10000&amp;JupData!$J$2:$J$10000,0),11))</f>
        <v/>
      </c>
      <c r="V932" t="str">
        <f t="array" ref="V932">IF($A932="","",INDEX(JupData!$A$2:$K$10000,MATCH($A932&amp;V$1,JupData!$A$2:$A$10000&amp;JupData!$J$2:$J$10000,0),11))</f>
        <v/>
      </c>
      <c r="W932" t="str">
        <f t="array" ref="W932">IF($A932="","",INDEX(JupData!$A$2:$K$10000,MATCH($A932&amp;W$1,JupData!$A$2:$A$10000&amp;JupData!$J$2:$J$10000,0),11))</f>
        <v/>
      </c>
      <c r="X932" t="str">
        <f t="array" ref="X932">IF($A932="","",INDEX(JupData!$A$2:$K$10000,MATCH($A932&amp;X$1,JupData!$A$2:$A$10000&amp;JupData!$J$2:$J$10000,0),11))</f>
        <v/>
      </c>
      <c r="Y932" t="str">
        <f t="array" ref="Y932">IF($A932="","",INDEX(JupData!$A$2:$K$10000,MATCH($A932&amp;Y$1,JupData!$A$2:$A$10000&amp;JupData!$J$2:$J$10000,0),11))</f>
        <v/>
      </c>
      <c r="Z932" t="str">
        <f t="array" ref="Z932">IF($A932="","",INDEX(JupData!$A$2:$K$10000,MATCH($A932&amp;Z$1,JupData!$A$2:$A$10000&amp;JupData!$J$2:$J$10000,0),11))</f>
        <v/>
      </c>
      <c r="AA932" t="str">
        <f t="array" ref="AA932">IF($A932="","",INDEX(JupData!$A$2:$K$10000,MATCH($A932&amp;AA$1,JupData!$A$2:$A$10000&amp;JupData!$J$2:$J$10000,0),11))</f>
        <v/>
      </c>
      <c r="AB932" t="str">
        <f t="array" ref="AB932">IF($A932="","",INDEX(JupData!$A$2:$K$10000,MATCH($A932&amp;AB$1,JupData!$A$2:$A$10000&amp;JupData!$J$2:$J$10000,0),11))</f>
        <v/>
      </c>
      <c r="AC932" s="10" t="str">
        <f t="shared" si="154"/>
        <v/>
      </c>
      <c r="AD932" s="10" t="str">
        <f t="shared" si="155"/>
        <v/>
      </c>
      <c r="AE932" s="9" t="str">
        <f t="shared" si="156"/>
        <v/>
      </c>
      <c r="AF932" s="10" t="str">
        <f t="shared" si="157"/>
        <v/>
      </c>
      <c r="AG932" s="10" t="str">
        <f t="shared" si="158"/>
        <v/>
      </c>
      <c r="AH932" s="10" t="str">
        <f t="shared" si="159"/>
        <v/>
      </c>
      <c r="AI932" s="10" t="str">
        <f t="shared" si="160"/>
        <v/>
      </c>
      <c r="AJ932" s="10" t="str">
        <f t="shared" si="161"/>
        <v/>
      </c>
      <c r="AK932" s="10" t="str">
        <f t="shared" si="162"/>
        <v/>
      </c>
      <c r="AL932" s="14" t="str">
        <f t="shared" si="163"/>
        <v/>
      </c>
    </row>
    <row r="933" spans="1:38" x14ac:dyDescent="0.2">
      <c r="A933"/>
      <c r="B933" t="str">
        <f>IF($A933="","",VLOOKUP($A933,JupData!$A$2:$I$10000,4,FALSE))</f>
        <v/>
      </c>
      <c r="C933" s="7" t="str">
        <f>IF($A933="",IF(N(D933),0,""),VLOOKUP($A933,JupData!$A$2:$I$10000,7,FALSE))</f>
        <v/>
      </c>
      <c r="D933" t="str">
        <f t="shared" si="164"/>
        <v/>
      </c>
      <c r="E933" t="str">
        <f t="array" ref="E933">IF($A933="","",INDEX(JupData!$A$2:$K$10000,MATCH($A933&amp;E$1,JupData!$A$2:$A$10000&amp;JupData!$J$2:$J$10000,0),11))</f>
        <v/>
      </c>
      <c r="F933" t="str">
        <f t="array" ref="F933">IF($A933="","",INDEX(JupData!$A$2:$K$10000,MATCH($A933&amp;F$1,JupData!$A$2:$A$10000&amp;JupData!$J$2:$J$10000,0),11))</f>
        <v/>
      </c>
      <c r="G933" t="str">
        <f t="array" ref="G933">IF($A933="","",INDEX(JupData!$A$2:$K$10000,MATCH($A933&amp;G$1,JupData!$A$2:$A$10000&amp;JupData!$J$2:$J$10000,0),11))</f>
        <v/>
      </c>
      <c r="H933" t="str">
        <f t="array" ref="H933">IF($A933="","",INDEX(JupData!$A$2:$K$10000,MATCH($A933&amp;H$1,JupData!$A$2:$A$10000&amp;JupData!$J$2:$J$10000,0),11))</f>
        <v/>
      </c>
      <c r="I933" t="str">
        <f t="array" ref="I933">IF($A933="","",INDEX(JupData!$A$2:$K$10000,MATCH($A933&amp;I$1,JupData!$A$2:$A$10000&amp;JupData!$J$2:$J$10000,0),11))</f>
        <v/>
      </c>
      <c r="J933" t="str">
        <f t="array" ref="J933">IF($A933="","",INDEX(JupData!$A$2:$K$10000,MATCH($A933&amp;J$1,JupData!$A$2:$A$10000&amp;JupData!$J$2:$J$10000,0),11))</f>
        <v/>
      </c>
      <c r="K933" t="str">
        <f t="array" ref="K933">IF($A933="","",INDEX(JupData!$A$2:$K$10000,MATCH($A933&amp;K$1,JupData!$A$2:$A$10000&amp;JupData!$J$2:$J$10000,0),11))</f>
        <v/>
      </c>
      <c r="L933" t="str">
        <f t="array" ref="L933">IF($A933="","",INDEX(JupData!$A$2:$K$10000,MATCH($A933&amp;L$1,JupData!$A$2:$A$10000&amp;JupData!$J$2:$J$10000,0),11))</f>
        <v/>
      </c>
      <c r="M933" t="str">
        <f t="array" ref="M933">IF($A933="","",INDEX(JupData!$A$2:$K$10000,MATCH($A933&amp;M$1,JupData!$A$2:$A$10000&amp;JupData!$J$2:$J$10000,0),11))</f>
        <v/>
      </c>
      <c r="N933" t="str">
        <f t="array" ref="N933">IF($A933="","",INDEX(JupData!$A$2:$K$10000,MATCH($A933&amp;N$1,JupData!$A$2:$A$10000&amp;JupData!$J$2:$J$10000,0),11))</f>
        <v/>
      </c>
      <c r="O933" t="str">
        <f t="array" ref="O933">IF($A933="","",INDEX(JupData!$A$2:$K$10000,MATCH($A933&amp;O$1,JupData!$A$2:$A$10000&amp;JupData!$J$2:$J$10000,0),11))</f>
        <v/>
      </c>
      <c r="P933" t="str">
        <f t="array" ref="P933">IF($A933="","",INDEX(JupData!$A$2:$K$10000,MATCH($A933&amp;P$1,JupData!$A$2:$A$10000&amp;JupData!$J$2:$J$10000,0),11))</f>
        <v/>
      </c>
      <c r="Q933" t="str">
        <f t="array" ref="Q933">IF($A933="","",INDEX(JupData!$A$2:$K$10000,MATCH($A933&amp;Q$1,JupData!$A$2:$A$10000&amp;JupData!$J$2:$J$10000,0),11))</f>
        <v/>
      </c>
      <c r="R933" t="str">
        <f t="array" ref="R933">IF($A933="","",INDEX(JupData!$A$2:$K$10000,MATCH($A933&amp;R$1,JupData!$A$2:$A$10000&amp;JupData!$J$2:$J$10000,0),11))</f>
        <v/>
      </c>
      <c r="S933" t="str">
        <f t="array" ref="S933">IF($A933="","",INDEX(JupData!$A$2:$K$10000,MATCH($A933&amp;S$1,JupData!$A$2:$A$10000&amp;JupData!$J$2:$J$10000,0),11))</f>
        <v/>
      </c>
      <c r="T933" t="str">
        <f t="array" ref="T933">IF($A933="","",INDEX(JupData!$A$2:$K$10000,MATCH($A933&amp;T$1,JupData!$A$2:$A$10000&amp;JupData!$J$2:$J$10000,0),11))</f>
        <v/>
      </c>
      <c r="U933" t="str">
        <f t="array" ref="U933">IF($A933="","",INDEX(JupData!$A$2:$K$10000,MATCH($A933&amp;U$1,JupData!$A$2:$A$10000&amp;JupData!$J$2:$J$10000,0),11))</f>
        <v/>
      </c>
      <c r="V933" t="str">
        <f t="array" ref="V933">IF($A933="","",INDEX(JupData!$A$2:$K$10000,MATCH($A933&amp;V$1,JupData!$A$2:$A$10000&amp;JupData!$J$2:$J$10000,0),11))</f>
        <v/>
      </c>
      <c r="W933" t="str">
        <f t="array" ref="W933">IF($A933="","",INDEX(JupData!$A$2:$K$10000,MATCH($A933&amp;W$1,JupData!$A$2:$A$10000&amp;JupData!$J$2:$J$10000,0),11))</f>
        <v/>
      </c>
      <c r="X933" t="str">
        <f t="array" ref="X933">IF($A933="","",INDEX(JupData!$A$2:$K$10000,MATCH($A933&amp;X$1,JupData!$A$2:$A$10000&amp;JupData!$J$2:$J$10000,0),11))</f>
        <v/>
      </c>
      <c r="Y933" t="str">
        <f t="array" ref="Y933">IF($A933="","",INDEX(JupData!$A$2:$K$10000,MATCH($A933&amp;Y$1,JupData!$A$2:$A$10000&amp;JupData!$J$2:$J$10000,0),11))</f>
        <v/>
      </c>
      <c r="Z933" t="str">
        <f t="array" ref="Z933">IF($A933="","",INDEX(JupData!$A$2:$K$10000,MATCH($A933&amp;Z$1,JupData!$A$2:$A$10000&amp;JupData!$J$2:$J$10000,0),11))</f>
        <v/>
      </c>
      <c r="AA933" t="str">
        <f t="array" ref="AA933">IF($A933="","",INDEX(JupData!$A$2:$K$10000,MATCH($A933&amp;AA$1,JupData!$A$2:$A$10000&amp;JupData!$J$2:$J$10000,0),11))</f>
        <v/>
      </c>
      <c r="AB933" t="str">
        <f t="array" ref="AB933">IF($A933="","",INDEX(JupData!$A$2:$K$10000,MATCH($A933&amp;AB$1,JupData!$A$2:$A$10000&amp;JupData!$J$2:$J$10000,0),11))</f>
        <v/>
      </c>
      <c r="AC933" s="10" t="str">
        <f t="shared" si="154"/>
        <v/>
      </c>
      <c r="AD933" s="10" t="str">
        <f t="shared" si="155"/>
        <v/>
      </c>
      <c r="AE933" s="9" t="str">
        <f t="shared" si="156"/>
        <v/>
      </c>
      <c r="AF933" s="10" t="str">
        <f t="shared" si="157"/>
        <v/>
      </c>
      <c r="AG933" s="10" t="str">
        <f t="shared" si="158"/>
        <v/>
      </c>
      <c r="AH933" s="10" t="str">
        <f t="shared" si="159"/>
        <v/>
      </c>
      <c r="AI933" s="10" t="str">
        <f t="shared" si="160"/>
        <v/>
      </c>
      <c r="AJ933" s="10" t="str">
        <f t="shared" si="161"/>
        <v/>
      </c>
      <c r="AK933" s="10" t="str">
        <f t="shared" si="162"/>
        <v/>
      </c>
      <c r="AL933" s="14" t="str">
        <f t="shared" si="163"/>
        <v/>
      </c>
    </row>
    <row r="934" spans="1:38" x14ac:dyDescent="0.2">
      <c r="A934"/>
      <c r="B934" t="str">
        <f>IF($A934="","",VLOOKUP($A934,JupData!$A$2:$I$10000,4,FALSE))</f>
        <v/>
      </c>
      <c r="C934" s="7" t="str">
        <f>IF($A934="",IF(N(D934),0,""),VLOOKUP($A934,JupData!$A$2:$I$10000,7,FALSE))</f>
        <v/>
      </c>
      <c r="D934" t="str">
        <f t="shared" si="164"/>
        <v/>
      </c>
      <c r="E934" t="str">
        <f t="array" ref="E934">IF($A934="","",INDEX(JupData!$A$2:$K$10000,MATCH($A934&amp;E$1,JupData!$A$2:$A$10000&amp;JupData!$J$2:$J$10000,0),11))</f>
        <v/>
      </c>
      <c r="F934" t="str">
        <f t="array" ref="F934">IF($A934="","",INDEX(JupData!$A$2:$K$10000,MATCH($A934&amp;F$1,JupData!$A$2:$A$10000&amp;JupData!$J$2:$J$10000,0),11))</f>
        <v/>
      </c>
      <c r="G934" t="str">
        <f t="array" ref="G934">IF($A934="","",INDEX(JupData!$A$2:$K$10000,MATCH($A934&amp;G$1,JupData!$A$2:$A$10000&amp;JupData!$J$2:$J$10000,0),11))</f>
        <v/>
      </c>
      <c r="H934" t="str">
        <f t="array" ref="H934">IF($A934="","",INDEX(JupData!$A$2:$K$10000,MATCH($A934&amp;H$1,JupData!$A$2:$A$10000&amp;JupData!$J$2:$J$10000,0),11))</f>
        <v/>
      </c>
      <c r="I934" t="str">
        <f t="array" ref="I934">IF($A934="","",INDEX(JupData!$A$2:$K$10000,MATCH($A934&amp;I$1,JupData!$A$2:$A$10000&amp;JupData!$J$2:$J$10000,0),11))</f>
        <v/>
      </c>
      <c r="J934" t="str">
        <f t="array" ref="J934">IF($A934="","",INDEX(JupData!$A$2:$K$10000,MATCH($A934&amp;J$1,JupData!$A$2:$A$10000&amp;JupData!$J$2:$J$10000,0),11))</f>
        <v/>
      </c>
      <c r="K934" t="str">
        <f t="array" ref="K934">IF($A934="","",INDEX(JupData!$A$2:$K$10000,MATCH($A934&amp;K$1,JupData!$A$2:$A$10000&amp;JupData!$J$2:$J$10000,0),11))</f>
        <v/>
      </c>
      <c r="L934" t="str">
        <f t="array" ref="L934">IF($A934="","",INDEX(JupData!$A$2:$K$10000,MATCH($A934&amp;L$1,JupData!$A$2:$A$10000&amp;JupData!$J$2:$J$10000,0),11))</f>
        <v/>
      </c>
      <c r="M934" t="str">
        <f t="array" ref="M934">IF($A934="","",INDEX(JupData!$A$2:$K$10000,MATCH($A934&amp;M$1,JupData!$A$2:$A$10000&amp;JupData!$J$2:$J$10000,0),11))</f>
        <v/>
      </c>
      <c r="N934" t="str">
        <f t="array" ref="N934">IF($A934="","",INDEX(JupData!$A$2:$K$10000,MATCH($A934&amp;N$1,JupData!$A$2:$A$10000&amp;JupData!$J$2:$J$10000,0),11))</f>
        <v/>
      </c>
      <c r="O934" t="str">
        <f t="array" ref="O934">IF($A934="","",INDEX(JupData!$A$2:$K$10000,MATCH($A934&amp;O$1,JupData!$A$2:$A$10000&amp;JupData!$J$2:$J$10000,0),11))</f>
        <v/>
      </c>
      <c r="P934" t="str">
        <f t="array" ref="P934">IF($A934="","",INDEX(JupData!$A$2:$K$10000,MATCH($A934&amp;P$1,JupData!$A$2:$A$10000&amp;JupData!$J$2:$J$10000,0),11))</f>
        <v/>
      </c>
      <c r="Q934" t="str">
        <f t="array" ref="Q934">IF($A934="","",INDEX(JupData!$A$2:$K$10000,MATCH($A934&amp;Q$1,JupData!$A$2:$A$10000&amp;JupData!$J$2:$J$10000,0),11))</f>
        <v/>
      </c>
      <c r="R934" t="str">
        <f t="array" ref="R934">IF($A934="","",INDEX(JupData!$A$2:$K$10000,MATCH($A934&amp;R$1,JupData!$A$2:$A$10000&amp;JupData!$J$2:$J$10000,0),11))</f>
        <v/>
      </c>
      <c r="S934" t="str">
        <f t="array" ref="S934">IF($A934="","",INDEX(JupData!$A$2:$K$10000,MATCH($A934&amp;S$1,JupData!$A$2:$A$10000&amp;JupData!$J$2:$J$10000,0),11))</f>
        <v/>
      </c>
      <c r="T934" t="str">
        <f t="array" ref="T934">IF($A934="","",INDEX(JupData!$A$2:$K$10000,MATCH($A934&amp;T$1,JupData!$A$2:$A$10000&amp;JupData!$J$2:$J$10000,0),11))</f>
        <v/>
      </c>
      <c r="U934" t="str">
        <f t="array" ref="U934">IF($A934="","",INDEX(JupData!$A$2:$K$10000,MATCH($A934&amp;U$1,JupData!$A$2:$A$10000&amp;JupData!$J$2:$J$10000,0),11))</f>
        <v/>
      </c>
      <c r="V934" t="str">
        <f t="array" ref="V934">IF($A934="","",INDEX(JupData!$A$2:$K$10000,MATCH($A934&amp;V$1,JupData!$A$2:$A$10000&amp;JupData!$J$2:$J$10000,0),11))</f>
        <v/>
      </c>
      <c r="W934" t="str">
        <f t="array" ref="W934">IF($A934="","",INDEX(JupData!$A$2:$K$10000,MATCH($A934&amp;W$1,JupData!$A$2:$A$10000&amp;JupData!$J$2:$J$10000,0),11))</f>
        <v/>
      </c>
      <c r="X934" t="str">
        <f t="array" ref="X934">IF($A934="","",INDEX(JupData!$A$2:$K$10000,MATCH($A934&amp;X$1,JupData!$A$2:$A$10000&amp;JupData!$J$2:$J$10000,0),11))</f>
        <v/>
      </c>
      <c r="Y934" t="str">
        <f t="array" ref="Y934">IF($A934="","",INDEX(JupData!$A$2:$K$10000,MATCH($A934&amp;Y$1,JupData!$A$2:$A$10000&amp;JupData!$J$2:$J$10000,0),11))</f>
        <v/>
      </c>
      <c r="Z934" t="str">
        <f t="array" ref="Z934">IF($A934="","",INDEX(JupData!$A$2:$K$10000,MATCH($A934&amp;Z$1,JupData!$A$2:$A$10000&amp;JupData!$J$2:$J$10000,0),11))</f>
        <v/>
      </c>
      <c r="AA934" t="str">
        <f t="array" ref="AA934">IF($A934="","",INDEX(JupData!$A$2:$K$10000,MATCH($A934&amp;AA$1,JupData!$A$2:$A$10000&amp;JupData!$J$2:$J$10000,0),11))</f>
        <v/>
      </c>
      <c r="AB934" t="str">
        <f t="array" ref="AB934">IF($A934="","",INDEX(JupData!$A$2:$K$10000,MATCH($A934&amp;AB$1,JupData!$A$2:$A$10000&amp;JupData!$J$2:$J$10000,0),11))</f>
        <v/>
      </c>
      <c r="AC934" s="10" t="str">
        <f t="shared" si="154"/>
        <v/>
      </c>
      <c r="AD934" s="10" t="str">
        <f t="shared" si="155"/>
        <v/>
      </c>
      <c r="AE934" s="9" t="str">
        <f t="shared" si="156"/>
        <v/>
      </c>
      <c r="AF934" s="10" t="str">
        <f t="shared" si="157"/>
        <v/>
      </c>
      <c r="AG934" s="10" t="str">
        <f t="shared" si="158"/>
        <v/>
      </c>
      <c r="AH934" s="10" t="str">
        <f t="shared" si="159"/>
        <v/>
      </c>
      <c r="AI934" s="10" t="str">
        <f t="shared" si="160"/>
        <v/>
      </c>
      <c r="AJ934" s="10" t="str">
        <f t="shared" si="161"/>
        <v/>
      </c>
      <c r="AK934" s="10" t="str">
        <f t="shared" si="162"/>
        <v/>
      </c>
      <c r="AL934" s="14" t="str">
        <f t="shared" si="163"/>
        <v/>
      </c>
    </row>
    <row r="935" spans="1:38" x14ac:dyDescent="0.2">
      <c r="A935"/>
      <c r="B935" t="str">
        <f>IF($A935="","",VLOOKUP($A935,JupData!$A$2:$I$10000,4,FALSE))</f>
        <v/>
      </c>
      <c r="C935" s="7" t="str">
        <f>IF($A935="",IF(N(D935),0,""),VLOOKUP($A935,JupData!$A$2:$I$10000,7,FALSE))</f>
        <v/>
      </c>
      <c r="D935" t="str">
        <f t="shared" si="164"/>
        <v/>
      </c>
      <c r="E935" t="str">
        <f t="array" ref="E935">IF($A935="","",INDEX(JupData!$A$2:$K$10000,MATCH($A935&amp;E$1,JupData!$A$2:$A$10000&amp;JupData!$J$2:$J$10000,0),11))</f>
        <v/>
      </c>
      <c r="F935" t="str">
        <f t="array" ref="F935">IF($A935="","",INDEX(JupData!$A$2:$K$10000,MATCH($A935&amp;F$1,JupData!$A$2:$A$10000&amp;JupData!$J$2:$J$10000,0),11))</f>
        <v/>
      </c>
      <c r="G935" t="str">
        <f t="array" ref="G935">IF($A935="","",INDEX(JupData!$A$2:$K$10000,MATCH($A935&amp;G$1,JupData!$A$2:$A$10000&amp;JupData!$J$2:$J$10000,0),11))</f>
        <v/>
      </c>
      <c r="H935" t="str">
        <f t="array" ref="H935">IF($A935="","",INDEX(JupData!$A$2:$K$10000,MATCH($A935&amp;H$1,JupData!$A$2:$A$10000&amp;JupData!$J$2:$J$10000,0),11))</f>
        <v/>
      </c>
      <c r="I935" t="str">
        <f t="array" ref="I935">IF($A935="","",INDEX(JupData!$A$2:$K$10000,MATCH($A935&amp;I$1,JupData!$A$2:$A$10000&amp;JupData!$J$2:$J$10000,0),11))</f>
        <v/>
      </c>
      <c r="J935" t="str">
        <f t="array" ref="J935">IF($A935="","",INDEX(JupData!$A$2:$K$10000,MATCH($A935&amp;J$1,JupData!$A$2:$A$10000&amp;JupData!$J$2:$J$10000,0),11))</f>
        <v/>
      </c>
      <c r="K935" t="str">
        <f t="array" ref="K935">IF($A935="","",INDEX(JupData!$A$2:$K$10000,MATCH($A935&amp;K$1,JupData!$A$2:$A$10000&amp;JupData!$J$2:$J$10000,0),11))</f>
        <v/>
      </c>
      <c r="L935" t="str">
        <f t="array" ref="L935">IF($A935="","",INDEX(JupData!$A$2:$K$10000,MATCH($A935&amp;L$1,JupData!$A$2:$A$10000&amp;JupData!$J$2:$J$10000,0),11))</f>
        <v/>
      </c>
      <c r="M935" t="str">
        <f t="array" ref="M935">IF($A935="","",INDEX(JupData!$A$2:$K$10000,MATCH($A935&amp;M$1,JupData!$A$2:$A$10000&amp;JupData!$J$2:$J$10000,0),11))</f>
        <v/>
      </c>
      <c r="N935" t="str">
        <f t="array" ref="N935">IF($A935="","",INDEX(JupData!$A$2:$K$10000,MATCH($A935&amp;N$1,JupData!$A$2:$A$10000&amp;JupData!$J$2:$J$10000,0),11))</f>
        <v/>
      </c>
      <c r="O935" t="str">
        <f t="array" ref="O935">IF($A935="","",INDEX(JupData!$A$2:$K$10000,MATCH($A935&amp;O$1,JupData!$A$2:$A$10000&amp;JupData!$J$2:$J$10000,0),11))</f>
        <v/>
      </c>
      <c r="P935" t="str">
        <f t="array" ref="P935">IF($A935="","",INDEX(JupData!$A$2:$K$10000,MATCH($A935&amp;P$1,JupData!$A$2:$A$10000&amp;JupData!$J$2:$J$10000,0),11))</f>
        <v/>
      </c>
      <c r="Q935" t="str">
        <f t="array" ref="Q935">IF($A935="","",INDEX(JupData!$A$2:$K$10000,MATCH($A935&amp;Q$1,JupData!$A$2:$A$10000&amp;JupData!$J$2:$J$10000,0),11))</f>
        <v/>
      </c>
      <c r="R935" t="str">
        <f t="array" ref="R935">IF($A935="","",INDEX(JupData!$A$2:$K$10000,MATCH($A935&amp;R$1,JupData!$A$2:$A$10000&amp;JupData!$J$2:$J$10000,0),11))</f>
        <v/>
      </c>
      <c r="S935" t="str">
        <f t="array" ref="S935">IF($A935="","",INDEX(JupData!$A$2:$K$10000,MATCH($A935&amp;S$1,JupData!$A$2:$A$10000&amp;JupData!$J$2:$J$10000,0),11))</f>
        <v/>
      </c>
      <c r="T935" t="str">
        <f t="array" ref="T935">IF($A935="","",INDEX(JupData!$A$2:$K$10000,MATCH($A935&amp;T$1,JupData!$A$2:$A$10000&amp;JupData!$J$2:$J$10000,0),11))</f>
        <v/>
      </c>
      <c r="U935" t="str">
        <f t="array" ref="U935">IF($A935="","",INDEX(JupData!$A$2:$K$10000,MATCH($A935&amp;U$1,JupData!$A$2:$A$10000&amp;JupData!$J$2:$J$10000,0),11))</f>
        <v/>
      </c>
      <c r="V935" t="str">
        <f t="array" ref="V935">IF($A935="","",INDEX(JupData!$A$2:$K$10000,MATCH($A935&amp;V$1,JupData!$A$2:$A$10000&amp;JupData!$J$2:$J$10000,0),11))</f>
        <v/>
      </c>
      <c r="W935" t="str">
        <f t="array" ref="W935">IF($A935="","",INDEX(JupData!$A$2:$K$10000,MATCH($A935&amp;W$1,JupData!$A$2:$A$10000&amp;JupData!$J$2:$J$10000,0),11))</f>
        <v/>
      </c>
      <c r="X935" t="str">
        <f t="array" ref="X935">IF($A935="","",INDEX(JupData!$A$2:$K$10000,MATCH($A935&amp;X$1,JupData!$A$2:$A$10000&amp;JupData!$J$2:$J$10000,0),11))</f>
        <v/>
      </c>
      <c r="Y935" t="str">
        <f t="array" ref="Y935">IF($A935="","",INDEX(JupData!$A$2:$K$10000,MATCH($A935&amp;Y$1,JupData!$A$2:$A$10000&amp;JupData!$J$2:$J$10000,0),11))</f>
        <v/>
      </c>
      <c r="Z935" t="str">
        <f t="array" ref="Z935">IF($A935="","",INDEX(JupData!$A$2:$K$10000,MATCH($A935&amp;Z$1,JupData!$A$2:$A$10000&amp;JupData!$J$2:$J$10000,0),11))</f>
        <v/>
      </c>
      <c r="AA935" t="str">
        <f t="array" ref="AA935">IF($A935="","",INDEX(JupData!$A$2:$K$10000,MATCH($A935&amp;AA$1,JupData!$A$2:$A$10000&amp;JupData!$J$2:$J$10000,0),11))</f>
        <v/>
      </c>
      <c r="AB935" t="str">
        <f t="array" ref="AB935">IF($A935="","",INDEX(JupData!$A$2:$K$10000,MATCH($A935&amp;AB$1,JupData!$A$2:$A$10000&amp;JupData!$J$2:$J$10000,0),11))</f>
        <v/>
      </c>
      <c r="AC935" s="10" t="str">
        <f t="shared" si="154"/>
        <v/>
      </c>
      <c r="AD935" s="10" t="str">
        <f t="shared" si="155"/>
        <v/>
      </c>
      <c r="AE935" s="9" t="str">
        <f t="shared" si="156"/>
        <v/>
      </c>
      <c r="AF935" s="10" t="str">
        <f t="shared" si="157"/>
        <v/>
      </c>
      <c r="AG935" s="10" t="str">
        <f t="shared" si="158"/>
        <v/>
      </c>
      <c r="AH935" s="10" t="str">
        <f t="shared" si="159"/>
        <v/>
      </c>
      <c r="AI935" s="10" t="str">
        <f t="shared" si="160"/>
        <v/>
      </c>
      <c r="AJ935" s="10" t="str">
        <f t="shared" si="161"/>
        <v/>
      </c>
      <c r="AK935" s="10" t="str">
        <f t="shared" si="162"/>
        <v/>
      </c>
      <c r="AL935" s="14" t="str">
        <f t="shared" si="163"/>
        <v/>
      </c>
    </row>
    <row r="936" spans="1:38" x14ac:dyDescent="0.2">
      <c r="A936"/>
      <c r="B936" t="str">
        <f>IF($A936="","",VLOOKUP($A936,JupData!$A$2:$I$10000,4,FALSE))</f>
        <v/>
      </c>
      <c r="C936" s="7" t="str">
        <f>IF($A936="",IF(N(D936),0,""),VLOOKUP($A936,JupData!$A$2:$I$10000,7,FALSE))</f>
        <v/>
      </c>
      <c r="D936" t="str">
        <f t="shared" si="164"/>
        <v/>
      </c>
      <c r="E936" t="str">
        <f t="array" ref="E936">IF($A936="","",INDEX(JupData!$A$2:$K$10000,MATCH($A936&amp;E$1,JupData!$A$2:$A$10000&amp;JupData!$J$2:$J$10000,0),11))</f>
        <v/>
      </c>
      <c r="F936" t="str">
        <f t="array" ref="F936">IF($A936="","",INDEX(JupData!$A$2:$K$10000,MATCH($A936&amp;F$1,JupData!$A$2:$A$10000&amp;JupData!$J$2:$J$10000,0),11))</f>
        <v/>
      </c>
      <c r="G936" t="str">
        <f t="array" ref="G936">IF($A936="","",INDEX(JupData!$A$2:$K$10000,MATCH($A936&amp;G$1,JupData!$A$2:$A$10000&amp;JupData!$J$2:$J$10000,0),11))</f>
        <v/>
      </c>
      <c r="H936" t="str">
        <f t="array" ref="H936">IF($A936="","",INDEX(JupData!$A$2:$K$10000,MATCH($A936&amp;H$1,JupData!$A$2:$A$10000&amp;JupData!$J$2:$J$10000,0),11))</f>
        <v/>
      </c>
      <c r="I936" t="str">
        <f t="array" ref="I936">IF($A936="","",INDEX(JupData!$A$2:$K$10000,MATCH($A936&amp;I$1,JupData!$A$2:$A$10000&amp;JupData!$J$2:$J$10000,0),11))</f>
        <v/>
      </c>
      <c r="J936" t="str">
        <f t="array" ref="J936">IF($A936="","",INDEX(JupData!$A$2:$K$10000,MATCH($A936&amp;J$1,JupData!$A$2:$A$10000&amp;JupData!$J$2:$J$10000,0),11))</f>
        <v/>
      </c>
      <c r="K936" t="str">
        <f t="array" ref="K936">IF($A936="","",INDEX(JupData!$A$2:$K$10000,MATCH($A936&amp;K$1,JupData!$A$2:$A$10000&amp;JupData!$J$2:$J$10000,0),11))</f>
        <v/>
      </c>
      <c r="L936" t="str">
        <f t="array" ref="L936">IF($A936="","",INDEX(JupData!$A$2:$K$10000,MATCH($A936&amp;L$1,JupData!$A$2:$A$10000&amp;JupData!$J$2:$J$10000,0),11))</f>
        <v/>
      </c>
      <c r="M936" t="str">
        <f t="array" ref="M936">IF($A936="","",INDEX(JupData!$A$2:$K$10000,MATCH($A936&amp;M$1,JupData!$A$2:$A$10000&amp;JupData!$J$2:$J$10000,0),11))</f>
        <v/>
      </c>
      <c r="N936" t="str">
        <f t="array" ref="N936">IF($A936="","",INDEX(JupData!$A$2:$K$10000,MATCH($A936&amp;N$1,JupData!$A$2:$A$10000&amp;JupData!$J$2:$J$10000,0),11))</f>
        <v/>
      </c>
      <c r="O936" t="str">
        <f t="array" ref="O936">IF($A936="","",INDEX(JupData!$A$2:$K$10000,MATCH($A936&amp;O$1,JupData!$A$2:$A$10000&amp;JupData!$J$2:$J$10000,0),11))</f>
        <v/>
      </c>
      <c r="P936" t="str">
        <f t="array" ref="P936">IF($A936="","",INDEX(JupData!$A$2:$K$10000,MATCH($A936&amp;P$1,JupData!$A$2:$A$10000&amp;JupData!$J$2:$J$10000,0),11))</f>
        <v/>
      </c>
      <c r="Q936" t="str">
        <f t="array" ref="Q936">IF($A936="","",INDEX(JupData!$A$2:$K$10000,MATCH($A936&amp;Q$1,JupData!$A$2:$A$10000&amp;JupData!$J$2:$J$10000,0),11))</f>
        <v/>
      </c>
      <c r="R936" t="str">
        <f t="array" ref="R936">IF($A936="","",INDEX(JupData!$A$2:$K$10000,MATCH($A936&amp;R$1,JupData!$A$2:$A$10000&amp;JupData!$J$2:$J$10000,0),11))</f>
        <v/>
      </c>
      <c r="S936" t="str">
        <f t="array" ref="S936">IF($A936="","",INDEX(JupData!$A$2:$K$10000,MATCH($A936&amp;S$1,JupData!$A$2:$A$10000&amp;JupData!$J$2:$J$10000,0),11))</f>
        <v/>
      </c>
      <c r="T936" t="str">
        <f t="array" ref="T936">IF($A936="","",INDEX(JupData!$A$2:$K$10000,MATCH($A936&amp;T$1,JupData!$A$2:$A$10000&amp;JupData!$J$2:$J$10000,0),11))</f>
        <v/>
      </c>
      <c r="U936" t="str">
        <f t="array" ref="U936">IF($A936="","",INDEX(JupData!$A$2:$K$10000,MATCH($A936&amp;U$1,JupData!$A$2:$A$10000&amp;JupData!$J$2:$J$10000,0),11))</f>
        <v/>
      </c>
      <c r="V936" t="str">
        <f t="array" ref="V936">IF($A936="","",INDEX(JupData!$A$2:$K$10000,MATCH($A936&amp;V$1,JupData!$A$2:$A$10000&amp;JupData!$J$2:$J$10000,0),11))</f>
        <v/>
      </c>
      <c r="W936" t="str">
        <f t="array" ref="W936">IF($A936="","",INDEX(JupData!$A$2:$K$10000,MATCH($A936&amp;W$1,JupData!$A$2:$A$10000&amp;JupData!$J$2:$J$10000,0),11))</f>
        <v/>
      </c>
      <c r="X936" t="str">
        <f t="array" ref="X936">IF($A936="","",INDEX(JupData!$A$2:$K$10000,MATCH($A936&amp;X$1,JupData!$A$2:$A$10000&amp;JupData!$J$2:$J$10000,0),11))</f>
        <v/>
      </c>
      <c r="Y936" t="str">
        <f t="array" ref="Y936">IF($A936="","",INDEX(JupData!$A$2:$K$10000,MATCH($A936&amp;Y$1,JupData!$A$2:$A$10000&amp;JupData!$J$2:$J$10000,0),11))</f>
        <v/>
      </c>
      <c r="Z936" t="str">
        <f t="array" ref="Z936">IF($A936="","",INDEX(JupData!$A$2:$K$10000,MATCH($A936&amp;Z$1,JupData!$A$2:$A$10000&amp;JupData!$J$2:$J$10000,0),11))</f>
        <v/>
      </c>
      <c r="AA936" t="str">
        <f t="array" ref="AA936">IF($A936="","",INDEX(JupData!$A$2:$K$10000,MATCH($A936&amp;AA$1,JupData!$A$2:$A$10000&amp;JupData!$J$2:$J$10000,0),11))</f>
        <v/>
      </c>
      <c r="AB936" t="str">
        <f t="array" ref="AB936">IF($A936="","",INDEX(JupData!$A$2:$K$10000,MATCH($A936&amp;AB$1,JupData!$A$2:$A$10000&amp;JupData!$J$2:$J$10000,0),11))</f>
        <v/>
      </c>
      <c r="AC936" s="10" t="str">
        <f t="shared" si="154"/>
        <v/>
      </c>
      <c r="AD936" s="10" t="str">
        <f t="shared" si="155"/>
        <v/>
      </c>
      <c r="AE936" s="9" t="str">
        <f t="shared" si="156"/>
        <v/>
      </c>
      <c r="AF936" s="10" t="str">
        <f t="shared" si="157"/>
        <v/>
      </c>
      <c r="AG936" s="10" t="str">
        <f t="shared" si="158"/>
        <v/>
      </c>
      <c r="AH936" s="10" t="str">
        <f t="shared" si="159"/>
        <v/>
      </c>
      <c r="AI936" s="10" t="str">
        <f t="shared" si="160"/>
        <v/>
      </c>
      <c r="AJ936" s="10" t="str">
        <f t="shared" si="161"/>
        <v/>
      </c>
      <c r="AK936" s="10" t="str">
        <f t="shared" si="162"/>
        <v/>
      </c>
      <c r="AL936" s="14" t="str">
        <f t="shared" si="163"/>
        <v/>
      </c>
    </row>
    <row r="937" spans="1:38" x14ac:dyDescent="0.2">
      <c r="A937"/>
      <c r="B937" t="str">
        <f>IF($A937="","",VLOOKUP($A937,JupData!$A$2:$I$10000,4,FALSE))</f>
        <v/>
      </c>
      <c r="C937" s="7" t="str">
        <f>IF($A937="",IF(N(D937),0,""),VLOOKUP($A937,JupData!$A$2:$I$10000,7,FALSE))</f>
        <v/>
      </c>
      <c r="D937" t="str">
        <f t="shared" si="164"/>
        <v/>
      </c>
      <c r="E937" t="str">
        <f t="array" ref="E937">IF($A937="","",INDEX(JupData!$A$2:$K$10000,MATCH($A937&amp;E$1,JupData!$A$2:$A$10000&amp;JupData!$J$2:$J$10000,0),11))</f>
        <v/>
      </c>
      <c r="F937" t="str">
        <f t="array" ref="F937">IF($A937="","",INDEX(JupData!$A$2:$K$10000,MATCH($A937&amp;F$1,JupData!$A$2:$A$10000&amp;JupData!$J$2:$J$10000,0),11))</f>
        <v/>
      </c>
      <c r="G937" t="str">
        <f t="array" ref="G937">IF($A937="","",INDEX(JupData!$A$2:$K$10000,MATCH($A937&amp;G$1,JupData!$A$2:$A$10000&amp;JupData!$J$2:$J$10000,0),11))</f>
        <v/>
      </c>
      <c r="H937" t="str">
        <f t="array" ref="H937">IF($A937="","",INDEX(JupData!$A$2:$K$10000,MATCH($A937&amp;H$1,JupData!$A$2:$A$10000&amp;JupData!$J$2:$J$10000,0),11))</f>
        <v/>
      </c>
      <c r="I937" t="str">
        <f t="array" ref="I937">IF($A937="","",INDEX(JupData!$A$2:$K$10000,MATCH($A937&amp;I$1,JupData!$A$2:$A$10000&amp;JupData!$J$2:$J$10000,0),11))</f>
        <v/>
      </c>
      <c r="J937" t="str">
        <f t="array" ref="J937">IF($A937="","",INDEX(JupData!$A$2:$K$10000,MATCH($A937&amp;J$1,JupData!$A$2:$A$10000&amp;JupData!$J$2:$J$10000,0),11))</f>
        <v/>
      </c>
      <c r="K937" t="str">
        <f t="array" ref="K937">IF($A937="","",INDEX(JupData!$A$2:$K$10000,MATCH($A937&amp;K$1,JupData!$A$2:$A$10000&amp;JupData!$J$2:$J$10000,0),11))</f>
        <v/>
      </c>
      <c r="L937" t="str">
        <f t="array" ref="L937">IF($A937="","",INDEX(JupData!$A$2:$K$10000,MATCH($A937&amp;L$1,JupData!$A$2:$A$10000&amp;JupData!$J$2:$J$10000,0),11))</f>
        <v/>
      </c>
      <c r="M937" t="str">
        <f t="array" ref="M937">IF($A937="","",INDEX(JupData!$A$2:$K$10000,MATCH($A937&amp;M$1,JupData!$A$2:$A$10000&amp;JupData!$J$2:$J$10000,0),11))</f>
        <v/>
      </c>
      <c r="N937" t="str">
        <f t="array" ref="N937">IF($A937="","",INDEX(JupData!$A$2:$K$10000,MATCH($A937&amp;N$1,JupData!$A$2:$A$10000&amp;JupData!$J$2:$J$10000,0),11))</f>
        <v/>
      </c>
      <c r="O937" t="str">
        <f t="array" ref="O937">IF($A937="","",INDEX(JupData!$A$2:$K$10000,MATCH($A937&amp;O$1,JupData!$A$2:$A$10000&amp;JupData!$J$2:$J$10000,0),11))</f>
        <v/>
      </c>
      <c r="P937" t="str">
        <f t="array" ref="P937">IF($A937="","",INDEX(JupData!$A$2:$K$10000,MATCH($A937&amp;P$1,JupData!$A$2:$A$10000&amp;JupData!$J$2:$J$10000,0),11))</f>
        <v/>
      </c>
      <c r="Q937" t="str">
        <f t="array" ref="Q937">IF($A937="","",INDEX(JupData!$A$2:$K$10000,MATCH($A937&amp;Q$1,JupData!$A$2:$A$10000&amp;JupData!$J$2:$J$10000,0),11))</f>
        <v/>
      </c>
      <c r="R937" t="str">
        <f t="array" ref="R937">IF($A937="","",INDEX(JupData!$A$2:$K$10000,MATCH($A937&amp;R$1,JupData!$A$2:$A$10000&amp;JupData!$J$2:$J$10000,0),11))</f>
        <v/>
      </c>
      <c r="S937" t="str">
        <f t="array" ref="S937">IF($A937="","",INDEX(JupData!$A$2:$K$10000,MATCH($A937&amp;S$1,JupData!$A$2:$A$10000&amp;JupData!$J$2:$J$10000,0),11))</f>
        <v/>
      </c>
      <c r="T937" t="str">
        <f t="array" ref="T937">IF($A937="","",INDEX(JupData!$A$2:$K$10000,MATCH($A937&amp;T$1,JupData!$A$2:$A$10000&amp;JupData!$J$2:$J$10000,0),11))</f>
        <v/>
      </c>
      <c r="U937" t="str">
        <f t="array" ref="U937">IF($A937="","",INDEX(JupData!$A$2:$K$10000,MATCH($A937&amp;U$1,JupData!$A$2:$A$10000&amp;JupData!$J$2:$J$10000,0),11))</f>
        <v/>
      </c>
      <c r="V937" t="str">
        <f t="array" ref="V937">IF($A937="","",INDEX(JupData!$A$2:$K$10000,MATCH($A937&amp;V$1,JupData!$A$2:$A$10000&amp;JupData!$J$2:$J$10000,0),11))</f>
        <v/>
      </c>
      <c r="W937" t="str">
        <f t="array" ref="W937">IF($A937="","",INDEX(JupData!$A$2:$K$10000,MATCH($A937&amp;W$1,JupData!$A$2:$A$10000&amp;JupData!$J$2:$J$10000,0),11))</f>
        <v/>
      </c>
      <c r="X937" t="str">
        <f t="array" ref="X937">IF($A937="","",INDEX(JupData!$A$2:$K$10000,MATCH($A937&amp;X$1,JupData!$A$2:$A$10000&amp;JupData!$J$2:$J$10000,0),11))</f>
        <v/>
      </c>
      <c r="Y937" t="str">
        <f t="array" ref="Y937">IF($A937="","",INDEX(JupData!$A$2:$K$10000,MATCH($A937&amp;Y$1,JupData!$A$2:$A$10000&amp;JupData!$J$2:$J$10000,0),11))</f>
        <v/>
      </c>
      <c r="Z937" t="str">
        <f t="array" ref="Z937">IF($A937="","",INDEX(JupData!$A$2:$K$10000,MATCH($A937&amp;Z$1,JupData!$A$2:$A$10000&amp;JupData!$J$2:$J$10000,0),11))</f>
        <v/>
      </c>
      <c r="AA937" t="str">
        <f t="array" ref="AA937">IF($A937="","",INDEX(JupData!$A$2:$K$10000,MATCH($A937&amp;AA$1,JupData!$A$2:$A$10000&amp;JupData!$J$2:$J$10000,0),11))</f>
        <v/>
      </c>
      <c r="AB937" t="str">
        <f t="array" ref="AB937">IF($A937="","",INDEX(JupData!$A$2:$K$10000,MATCH($A937&amp;AB$1,JupData!$A$2:$A$10000&amp;JupData!$J$2:$J$10000,0),11))</f>
        <v/>
      </c>
      <c r="AC937" s="10" t="str">
        <f t="shared" si="154"/>
        <v/>
      </c>
      <c r="AD937" s="10" t="str">
        <f t="shared" si="155"/>
        <v/>
      </c>
      <c r="AE937" s="9" t="str">
        <f t="shared" si="156"/>
        <v/>
      </c>
      <c r="AF937" s="10" t="str">
        <f t="shared" si="157"/>
        <v/>
      </c>
      <c r="AG937" s="10" t="str">
        <f t="shared" si="158"/>
        <v/>
      </c>
      <c r="AH937" s="10" t="str">
        <f t="shared" si="159"/>
        <v/>
      </c>
      <c r="AI937" s="10" t="str">
        <f t="shared" si="160"/>
        <v/>
      </c>
      <c r="AJ937" s="10" t="str">
        <f t="shared" si="161"/>
        <v/>
      </c>
      <c r="AK937" s="10" t="str">
        <f t="shared" si="162"/>
        <v/>
      </c>
      <c r="AL937" s="14" t="str">
        <f t="shared" si="163"/>
        <v/>
      </c>
    </row>
    <row r="938" spans="1:38" x14ac:dyDescent="0.2">
      <c r="A938"/>
      <c r="B938" t="str">
        <f>IF($A938="","",VLOOKUP($A938,JupData!$A$2:$I$10000,4,FALSE))</f>
        <v/>
      </c>
      <c r="C938" s="7" t="str">
        <f>IF($A938="",IF(N(D938),0,""),VLOOKUP($A938,JupData!$A$2:$I$10000,7,FALSE))</f>
        <v/>
      </c>
      <c r="D938" t="str">
        <f t="shared" si="164"/>
        <v/>
      </c>
      <c r="E938" t="str">
        <f t="array" ref="E938">IF($A938="","",INDEX(JupData!$A$2:$K$10000,MATCH($A938&amp;E$1,JupData!$A$2:$A$10000&amp;JupData!$J$2:$J$10000,0),11))</f>
        <v/>
      </c>
      <c r="F938" t="str">
        <f t="array" ref="F938">IF($A938="","",INDEX(JupData!$A$2:$K$10000,MATCH($A938&amp;F$1,JupData!$A$2:$A$10000&amp;JupData!$J$2:$J$10000,0),11))</f>
        <v/>
      </c>
      <c r="G938" t="str">
        <f t="array" ref="G938">IF($A938="","",INDEX(JupData!$A$2:$K$10000,MATCH($A938&amp;G$1,JupData!$A$2:$A$10000&amp;JupData!$J$2:$J$10000,0),11))</f>
        <v/>
      </c>
      <c r="H938" t="str">
        <f t="array" ref="H938">IF($A938="","",INDEX(JupData!$A$2:$K$10000,MATCH($A938&amp;H$1,JupData!$A$2:$A$10000&amp;JupData!$J$2:$J$10000,0),11))</f>
        <v/>
      </c>
      <c r="I938" t="str">
        <f t="array" ref="I938">IF($A938="","",INDEX(JupData!$A$2:$K$10000,MATCH($A938&amp;I$1,JupData!$A$2:$A$10000&amp;JupData!$J$2:$J$10000,0),11))</f>
        <v/>
      </c>
      <c r="J938" t="str">
        <f t="array" ref="J938">IF($A938="","",INDEX(JupData!$A$2:$K$10000,MATCH($A938&amp;J$1,JupData!$A$2:$A$10000&amp;JupData!$J$2:$J$10000,0),11))</f>
        <v/>
      </c>
      <c r="K938" t="str">
        <f t="array" ref="K938">IF($A938="","",INDEX(JupData!$A$2:$K$10000,MATCH($A938&amp;K$1,JupData!$A$2:$A$10000&amp;JupData!$J$2:$J$10000,0),11))</f>
        <v/>
      </c>
      <c r="L938" t="str">
        <f t="array" ref="L938">IF($A938="","",INDEX(JupData!$A$2:$K$10000,MATCH($A938&amp;L$1,JupData!$A$2:$A$10000&amp;JupData!$J$2:$J$10000,0),11))</f>
        <v/>
      </c>
      <c r="M938" t="str">
        <f t="array" ref="M938">IF($A938="","",INDEX(JupData!$A$2:$K$10000,MATCH($A938&amp;M$1,JupData!$A$2:$A$10000&amp;JupData!$J$2:$J$10000,0),11))</f>
        <v/>
      </c>
      <c r="N938" t="str">
        <f t="array" ref="N938">IF($A938="","",INDEX(JupData!$A$2:$K$10000,MATCH($A938&amp;N$1,JupData!$A$2:$A$10000&amp;JupData!$J$2:$J$10000,0),11))</f>
        <v/>
      </c>
      <c r="O938" t="str">
        <f t="array" ref="O938">IF($A938="","",INDEX(JupData!$A$2:$K$10000,MATCH($A938&amp;O$1,JupData!$A$2:$A$10000&amp;JupData!$J$2:$J$10000,0),11))</f>
        <v/>
      </c>
      <c r="P938" t="str">
        <f t="array" ref="P938">IF($A938="","",INDEX(JupData!$A$2:$K$10000,MATCH($A938&amp;P$1,JupData!$A$2:$A$10000&amp;JupData!$J$2:$J$10000,0),11))</f>
        <v/>
      </c>
      <c r="Q938" t="str">
        <f t="array" ref="Q938">IF($A938="","",INDEX(JupData!$A$2:$K$10000,MATCH($A938&amp;Q$1,JupData!$A$2:$A$10000&amp;JupData!$J$2:$J$10000,0),11))</f>
        <v/>
      </c>
      <c r="R938" t="str">
        <f t="array" ref="R938">IF($A938="","",INDEX(JupData!$A$2:$K$10000,MATCH($A938&amp;R$1,JupData!$A$2:$A$10000&amp;JupData!$J$2:$J$10000,0),11))</f>
        <v/>
      </c>
      <c r="S938" t="str">
        <f t="array" ref="S938">IF($A938="","",INDEX(JupData!$A$2:$K$10000,MATCH($A938&amp;S$1,JupData!$A$2:$A$10000&amp;JupData!$J$2:$J$10000,0),11))</f>
        <v/>
      </c>
      <c r="T938" t="str">
        <f t="array" ref="T938">IF($A938="","",INDEX(JupData!$A$2:$K$10000,MATCH($A938&amp;T$1,JupData!$A$2:$A$10000&amp;JupData!$J$2:$J$10000,0),11))</f>
        <v/>
      </c>
      <c r="U938" t="str">
        <f t="array" ref="U938">IF($A938="","",INDEX(JupData!$A$2:$K$10000,MATCH($A938&amp;U$1,JupData!$A$2:$A$10000&amp;JupData!$J$2:$J$10000,0),11))</f>
        <v/>
      </c>
      <c r="V938" t="str">
        <f t="array" ref="V938">IF($A938="","",INDEX(JupData!$A$2:$K$10000,MATCH($A938&amp;V$1,JupData!$A$2:$A$10000&amp;JupData!$J$2:$J$10000,0),11))</f>
        <v/>
      </c>
      <c r="W938" t="str">
        <f t="array" ref="W938">IF($A938="","",INDEX(JupData!$A$2:$K$10000,MATCH($A938&amp;W$1,JupData!$A$2:$A$10000&amp;JupData!$J$2:$J$10000,0),11))</f>
        <v/>
      </c>
      <c r="X938" t="str">
        <f t="array" ref="X938">IF($A938="","",INDEX(JupData!$A$2:$K$10000,MATCH($A938&amp;X$1,JupData!$A$2:$A$10000&amp;JupData!$J$2:$J$10000,0),11))</f>
        <v/>
      </c>
      <c r="Y938" t="str">
        <f t="array" ref="Y938">IF($A938="","",INDEX(JupData!$A$2:$K$10000,MATCH($A938&amp;Y$1,JupData!$A$2:$A$10000&amp;JupData!$J$2:$J$10000,0),11))</f>
        <v/>
      </c>
      <c r="Z938" t="str">
        <f t="array" ref="Z938">IF($A938="","",INDEX(JupData!$A$2:$K$10000,MATCH($A938&amp;Z$1,JupData!$A$2:$A$10000&amp;JupData!$J$2:$J$10000,0),11))</f>
        <v/>
      </c>
      <c r="AA938" t="str">
        <f t="array" ref="AA938">IF($A938="","",INDEX(JupData!$A$2:$K$10000,MATCH($A938&amp;AA$1,JupData!$A$2:$A$10000&amp;JupData!$J$2:$J$10000,0),11))</f>
        <v/>
      </c>
      <c r="AB938" t="str">
        <f t="array" ref="AB938">IF($A938="","",INDEX(JupData!$A$2:$K$10000,MATCH($A938&amp;AB$1,JupData!$A$2:$A$10000&amp;JupData!$J$2:$J$10000,0),11))</f>
        <v/>
      </c>
      <c r="AC938" s="10" t="str">
        <f t="shared" si="154"/>
        <v/>
      </c>
      <c r="AD938" s="10" t="str">
        <f t="shared" si="155"/>
        <v/>
      </c>
      <c r="AE938" s="9" t="str">
        <f t="shared" si="156"/>
        <v/>
      </c>
      <c r="AF938" s="10" t="str">
        <f t="shared" si="157"/>
        <v/>
      </c>
      <c r="AG938" s="10" t="str">
        <f t="shared" si="158"/>
        <v/>
      </c>
      <c r="AH938" s="10" t="str">
        <f t="shared" si="159"/>
        <v/>
      </c>
      <c r="AI938" s="10" t="str">
        <f t="shared" si="160"/>
        <v/>
      </c>
      <c r="AJ938" s="10" t="str">
        <f t="shared" si="161"/>
        <v/>
      </c>
      <c r="AK938" s="10" t="str">
        <f t="shared" si="162"/>
        <v/>
      </c>
      <c r="AL938" s="14" t="str">
        <f t="shared" si="163"/>
        <v/>
      </c>
    </row>
    <row r="939" spans="1:38" x14ac:dyDescent="0.2">
      <c r="A939"/>
      <c r="B939" t="str">
        <f>IF($A939="","",VLOOKUP($A939,JupData!$A$2:$I$10000,4,FALSE))</f>
        <v/>
      </c>
      <c r="C939" s="7" t="str">
        <f>IF($A939="",IF(N(D939),0,""),VLOOKUP($A939,JupData!$A$2:$I$10000,7,FALSE))</f>
        <v/>
      </c>
      <c r="D939" t="str">
        <f t="shared" si="164"/>
        <v/>
      </c>
      <c r="E939" t="str">
        <f t="array" ref="E939">IF($A939="","",INDEX(JupData!$A$2:$K$10000,MATCH($A939&amp;E$1,JupData!$A$2:$A$10000&amp;JupData!$J$2:$J$10000,0),11))</f>
        <v/>
      </c>
      <c r="F939" t="str">
        <f t="array" ref="F939">IF($A939="","",INDEX(JupData!$A$2:$K$10000,MATCH($A939&amp;F$1,JupData!$A$2:$A$10000&amp;JupData!$J$2:$J$10000,0),11))</f>
        <v/>
      </c>
      <c r="G939" t="str">
        <f t="array" ref="G939">IF($A939="","",INDEX(JupData!$A$2:$K$10000,MATCH($A939&amp;G$1,JupData!$A$2:$A$10000&amp;JupData!$J$2:$J$10000,0),11))</f>
        <v/>
      </c>
      <c r="H939" t="str">
        <f t="array" ref="H939">IF($A939="","",INDEX(JupData!$A$2:$K$10000,MATCH($A939&amp;H$1,JupData!$A$2:$A$10000&amp;JupData!$J$2:$J$10000,0),11))</f>
        <v/>
      </c>
      <c r="I939" t="str">
        <f t="array" ref="I939">IF($A939="","",INDEX(JupData!$A$2:$K$10000,MATCH($A939&amp;I$1,JupData!$A$2:$A$10000&amp;JupData!$J$2:$J$10000,0),11))</f>
        <v/>
      </c>
      <c r="J939" t="str">
        <f t="array" ref="J939">IF($A939="","",INDEX(JupData!$A$2:$K$10000,MATCH($A939&amp;J$1,JupData!$A$2:$A$10000&amp;JupData!$J$2:$J$10000,0),11))</f>
        <v/>
      </c>
      <c r="K939" t="str">
        <f t="array" ref="K939">IF($A939="","",INDEX(JupData!$A$2:$K$10000,MATCH($A939&amp;K$1,JupData!$A$2:$A$10000&amp;JupData!$J$2:$J$10000,0),11))</f>
        <v/>
      </c>
      <c r="L939" t="str">
        <f t="array" ref="L939">IF($A939="","",INDEX(JupData!$A$2:$K$10000,MATCH($A939&amp;L$1,JupData!$A$2:$A$10000&amp;JupData!$J$2:$J$10000,0),11))</f>
        <v/>
      </c>
      <c r="M939" t="str">
        <f t="array" ref="M939">IF($A939="","",INDEX(JupData!$A$2:$K$10000,MATCH($A939&amp;M$1,JupData!$A$2:$A$10000&amp;JupData!$J$2:$J$10000,0),11))</f>
        <v/>
      </c>
      <c r="N939" t="str">
        <f t="array" ref="N939">IF($A939="","",INDEX(JupData!$A$2:$K$10000,MATCH($A939&amp;N$1,JupData!$A$2:$A$10000&amp;JupData!$J$2:$J$10000,0),11))</f>
        <v/>
      </c>
      <c r="O939" t="str">
        <f t="array" ref="O939">IF($A939="","",INDEX(JupData!$A$2:$K$10000,MATCH($A939&amp;O$1,JupData!$A$2:$A$10000&amp;JupData!$J$2:$J$10000,0),11))</f>
        <v/>
      </c>
      <c r="P939" t="str">
        <f t="array" ref="P939">IF($A939="","",INDEX(JupData!$A$2:$K$10000,MATCH($A939&amp;P$1,JupData!$A$2:$A$10000&amp;JupData!$J$2:$J$10000,0),11))</f>
        <v/>
      </c>
      <c r="Q939" t="str">
        <f t="array" ref="Q939">IF($A939="","",INDEX(JupData!$A$2:$K$10000,MATCH($A939&amp;Q$1,JupData!$A$2:$A$10000&amp;JupData!$J$2:$J$10000,0),11))</f>
        <v/>
      </c>
      <c r="R939" t="str">
        <f t="array" ref="R939">IF($A939="","",INDEX(JupData!$A$2:$K$10000,MATCH($A939&amp;R$1,JupData!$A$2:$A$10000&amp;JupData!$J$2:$J$10000,0),11))</f>
        <v/>
      </c>
      <c r="S939" t="str">
        <f t="array" ref="S939">IF($A939="","",INDEX(JupData!$A$2:$K$10000,MATCH($A939&amp;S$1,JupData!$A$2:$A$10000&amp;JupData!$J$2:$J$10000,0),11))</f>
        <v/>
      </c>
      <c r="T939" t="str">
        <f t="array" ref="T939">IF($A939="","",INDEX(JupData!$A$2:$K$10000,MATCH($A939&amp;T$1,JupData!$A$2:$A$10000&amp;JupData!$J$2:$J$10000,0),11))</f>
        <v/>
      </c>
      <c r="U939" t="str">
        <f t="array" ref="U939">IF($A939="","",INDEX(JupData!$A$2:$K$10000,MATCH($A939&amp;U$1,JupData!$A$2:$A$10000&amp;JupData!$J$2:$J$10000,0),11))</f>
        <v/>
      </c>
      <c r="V939" t="str">
        <f t="array" ref="V939">IF($A939="","",INDEX(JupData!$A$2:$K$10000,MATCH($A939&amp;V$1,JupData!$A$2:$A$10000&amp;JupData!$J$2:$J$10000,0),11))</f>
        <v/>
      </c>
      <c r="W939" t="str">
        <f t="array" ref="W939">IF($A939="","",INDEX(JupData!$A$2:$K$10000,MATCH($A939&amp;W$1,JupData!$A$2:$A$10000&amp;JupData!$J$2:$J$10000,0),11))</f>
        <v/>
      </c>
      <c r="X939" t="str">
        <f t="array" ref="X939">IF($A939="","",INDEX(JupData!$A$2:$K$10000,MATCH($A939&amp;X$1,JupData!$A$2:$A$10000&amp;JupData!$J$2:$J$10000,0),11))</f>
        <v/>
      </c>
      <c r="Y939" t="str">
        <f t="array" ref="Y939">IF($A939="","",INDEX(JupData!$A$2:$K$10000,MATCH($A939&amp;Y$1,JupData!$A$2:$A$10000&amp;JupData!$J$2:$J$10000,0),11))</f>
        <v/>
      </c>
      <c r="Z939" t="str">
        <f t="array" ref="Z939">IF($A939="","",INDEX(JupData!$A$2:$K$10000,MATCH($A939&amp;Z$1,JupData!$A$2:$A$10000&amp;JupData!$J$2:$J$10000,0),11))</f>
        <v/>
      </c>
      <c r="AA939" t="str">
        <f t="array" ref="AA939">IF($A939="","",INDEX(JupData!$A$2:$K$10000,MATCH($A939&amp;AA$1,JupData!$A$2:$A$10000&amp;JupData!$J$2:$J$10000,0),11))</f>
        <v/>
      </c>
      <c r="AB939" t="str">
        <f t="array" ref="AB939">IF($A939="","",INDEX(JupData!$A$2:$K$10000,MATCH($A939&amp;AB$1,JupData!$A$2:$A$10000&amp;JupData!$J$2:$J$10000,0),11))</f>
        <v/>
      </c>
      <c r="AC939" s="10" t="str">
        <f t="shared" si="154"/>
        <v/>
      </c>
      <c r="AD939" s="10" t="str">
        <f t="shared" si="155"/>
        <v/>
      </c>
      <c r="AE939" s="9" t="str">
        <f t="shared" si="156"/>
        <v/>
      </c>
      <c r="AF939" s="10" t="str">
        <f t="shared" si="157"/>
        <v/>
      </c>
      <c r="AG939" s="10" t="str">
        <f t="shared" si="158"/>
        <v/>
      </c>
      <c r="AH939" s="10" t="str">
        <f t="shared" si="159"/>
        <v/>
      </c>
      <c r="AI939" s="10" t="str">
        <f t="shared" si="160"/>
        <v/>
      </c>
      <c r="AJ939" s="10" t="str">
        <f t="shared" si="161"/>
        <v/>
      </c>
      <c r="AK939" s="10" t="str">
        <f t="shared" si="162"/>
        <v/>
      </c>
      <c r="AL939" s="14" t="str">
        <f t="shared" si="163"/>
        <v/>
      </c>
    </row>
    <row r="940" spans="1:38" x14ac:dyDescent="0.2">
      <c r="A940"/>
      <c r="B940" t="str">
        <f>IF($A940="","",VLOOKUP($A940,JupData!$A$2:$I$10000,4,FALSE))</f>
        <v/>
      </c>
      <c r="C940" s="7" t="str">
        <f>IF($A940="",IF(N(D940),0,""),VLOOKUP($A940,JupData!$A$2:$I$10000,7,FALSE))</f>
        <v/>
      </c>
      <c r="D940" t="str">
        <f t="shared" si="164"/>
        <v/>
      </c>
      <c r="E940" t="str">
        <f t="array" ref="E940">IF($A940="","",INDEX(JupData!$A$2:$K$10000,MATCH($A940&amp;E$1,JupData!$A$2:$A$10000&amp;JupData!$J$2:$J$10000,0),11))</f>
        <v/>
      </c>
      <c r="F940" t="str">
        <f t="array" ref="F940">IF($A940="","",INDEX(JupData!$A$2:$K$10000,MATCH($A940&amp;F$1,JupData!$A$2:$A$10000&amp;JupData!$J$2:$J$10000,0),11))</f>
        <v/>
      </c>
      <c r="G940" t="str">
        <f t="array" ref="G940">IF($A940="","",INDEX(JupData!$A$2:$K$10000,MATCH($A940&amp;G$1,JupData!$A$2:$A$10000&amp;JupData!$J$2:$J$10000,0),11))</f>
        <v/>
      </c>
      <c r="H940" t="str">
        <f t="array" ref="H940">IF($A940="","",INDEX(JupData!$A$2:$K$10000,MATCH($A940&amp;H$1,JupData!$A$2:$A$10000&amp;JupData!$J$2:$J$10000,0),11))</f>
        <v/>
      </c>
      <c r="I940" t="str">
        <f t="array" ref="I940">IF($A940="","",INDEX(JupData!$A$2:$K$10000,MATCH($A940&amp;I$1,JupData!$A$2:$A$10000&amp;JupData!$J$2:$J$10000,0),11))</f>
        <v/>
      </c>
      <c r="J940" t="str">
        <f t="array" ref="J940">IF($A940="","",INDEX(JupData!$A$2:$K$10000,MATCH($A940&amp;J$1,JupData!$A$2:$A$10000&amp;JupData!$J$2:$J$10000,0),11))</f>
        <v/>
      </c>
      <c r="K940" t="str">
        <f t="array" ref="K940">IF($A940="","",INDEX(JupData!$A$2:$K$10000,MATCH($A940&amp;K$1,JupData!$A$2:$A$10000&amp;JupData!$J$2:$J$10000,0),11))</f>
        <v/>
      </c>
      <c r="L940" t="str">
        <f t="array" ref="L940">IF($A940="","",INDEX(JupData!$A$2:$K$10000,MATCH($A940&amp;L$1,JupData!$A$2:$A$10000&amp;JupData!$J$2:$J$10000,0),11))</f>
        <v/>
      </c>
      <c r="M940" t="str">
        <f t="array" ref="M940">IF($A940="","",INDEX(JupData!$A$2:$K$10000,MATCH($A940&amp;M$1,JupData!$A$2:$A$10000&amp;JupData!$J$2:$J$10000,0),11))</f>
        <v/>
      </c>
      <c r="N940" t="str">
        <f t="array" ref="N940">IF($A940="","",INDEX(JupData!$A$2:$K$10000,MATCH($A940&amp;N$1,JupData!$A$2:$A$10000&amp;JupData!$J$2:$J$10000,0),11))</f>
        <v/>
      </c>
      <c r="O940" t="str">
        <f t="array" ref="O940">IF($A940="","",INDEX(JupData!$A$2:$K$10000,MATCH($A940&amp;O$1,JupData!$A$2:$A$10000&amp;JupData!$J$2:$J$10000,0),11))</f>
        <v/>
      </c>
      <c r="P940" t="str">
        <f t="array" ref="P940">IF($A940="","",INDEX(JupData!$A$2:$K$10000,MATCH($A940&amp;P$1,JupData!$A$2:$A$10000&amp;JupData!$J$2:$J$10000,0),11))</f>
        <v/>
      </c>
      <c r="Q940" t="str">
        <f t="array" ref="Q940">IF($A940="","",INDEX(JupData!$A$2:$K$10000,MATCH($A940&amp;Q$1,JupData!$A$2:$A$10000&amp;JupData!$J$2:$J$10000,0),11))</f>
        <v/>
      </c>
      <c r="R940" t="str">
        <f t="array" ref="R940">IF($A940="","",INDEX(JupData!$A$2:$K$10000,MATCH($A940&amp;R$1,JupData!$A$2:$A$10000&amp;JupData!$J$2:$J$10000,0),11))</f>
        <v/>
      </c>
      <c r="S940" t="str">
        <f t="array" ref="S940">IF($A940="","",INDEX(JupData!$A$2:$K$10000,MATCH($A940&amp;S$1,JupData!$A$2:$A$10000&amp;JupData!$J$2:$J$10000,0),11))</f>
        <v/>
      </c>
      <c r="T940" t="str">
        <f t="array" ref="T940">IF($A940="","",INDEX(JupData!$A$2:$K$10000,MATCH($A940&amp;T$1,JupData!$A$2:$A$10000&amp;JupData!$J$2:$J$10000,0),11))</f>
        <v/>
      </c>
      <c r="U940" t="str">
        <f t="array" ref="U940">IF($A940="","",INDEX(JupData!$A$2:$K$10000,MATCH($A940&amp;U$1,JupData!$A$2:$A$10000&amp;JupData!$J$2:$J$10000,0),11))</f>
        <v/>
      </c>
      <c r="V940" t="str">
        <f t="array" ref="V940">IF($A940="","",INDEX(JupData!$A$2:$K$10000,MATCH($A940&amp;V$1,JupData!$A$2:$A$10000&amp;JupData!$J$2:$J$10000,0),11))</f>
        <v/>
      </c>
      <c r="W940" t="str">
        <f t="array" ref="W940">IF($A940="","",INDEX(JupData!$A$2:$K$10000,MATCH($A940&amp;W$1,JupData!$A$2:$A$10000&amp;JupData!$J$2:$J$10000,0),11))</f>
        <v/>
      </c>
      <c r="X940" t="str">
        <f t="array" ref="X940">IF($A940="","",INDEX(JupData!$A$2:$K$10000,MATCH($A940&amp;X$1,JupData!$A$2:$A$10000&amp;JupData!$J$2:$J$10000,0),11))</f>
        <v/>
      </c>
      <c r="Y940" t="str">
        <f t="array" ref="Y940">IF($A940="","",INDEX(JupData!$A$2:$K$10000,MATCH($A940&amp;Y$1,JupData!$A$2:$A$10000&amp;JupData!$J$2:$J$10000,0),11))</f>
        <v/>
      </c>
      <c r="Z940" t="str">
        <f t="array" ref="Z940">IF($A940="","",INDEX(JupData!$A$2:$K$10000,MATCH($A940&amp;Z$1,JupData!$A$2:$A$10000&amp;JupData!$J$2:$J$10000,0),11))</f>
        <v/>
      </c>
      <c r="AA940" t="str">
        <f t="array" ref="AA940">IF($A940="","",INDEX(JupData!$A$2:$K$10000,MATCH($A940&amp;AA$1,JupData!$A$2:$A$10000&amp;JupData!$J$2:$J$10000,0),11))</f>
        <v/>
      </c>
      <c r="AB940" t="str">
        <f t="array" ref="AB940">IF($A940="","",INDEX(JupData!$A$2:$K$10000,MATCH($A940&amp;AB$1,JupData!$A$2:$A$10000&amp;JupData!$J$2:$J$10000,0),11))</f>
        <v/>
      </c>
      <c r="AC940" s="10" t="str">
        <f t="shared" si="154"/>
        <v/>
      </c>
      <c r="AD940" s="10" t="str">
        <f t="shared" si="155"/>
        <v/>
      </c>
      <c r="AE940" s="9" t="str">
        <f t="shared" si="156"/>
        <v/>
      </c>
      <c r="AF940" s="10" t="str">
        <f t="shared" si="157"/>
        <v/>
      </c>
      <c r="AG940" s="10" t="str">
        <f t="shared" si="158"/>
        <v/>
      </c>
      <c r="AH940" s="10" t="str">
        <f t="shared" si="159"/>
        <v/>
      </c>
      <c r="AI940" s="10" t="str">
        <f t="shared" si="160"/>
        <v/>
      </c>
      <c r="AJ940" s="10" t="str">
        <f t="shared" si="161"/>
        <v/>
      </c>
      <c r="AK940" s="10" t="str">
        <f t="shared" si="162"/>
        <v/>
      </c>
      <c r="AL940" s="14" t="str">
        <f t="shared" si="163"/>
        <v/>
      </c>
    </row>
    <row r="941" spans="1:38" x14ac:dyDescent="0.2">
      <c r="A941"/>
      <c r="B941" t="str">
        <f>IF($A941="","",VLOOKUP($A941,JupData!$A$2:$I$10000,4,FALSE))</f>
        <v/>
      </c>
      <c r="C941" s="7" t="str">
        <f>IF($A941="",IF(N(D941),0,""),VLOOKUP($A941,JupData!$A$2:$I$10000,7,FALSE))</f>
        <v/>
      </c>
      <c r="D941" t="str">
        <f t="shared" si="164"/>
        <v/>
      </c>
      <c r="E941" t="str">
        <f t="array" ref="E941">IF($A941="","",INDEX(JupData!$A$2:$K$10000,MATCH($A941&amp;E$1,JupData!$A$2:$A$10000&amp;JupData!$J$2:$J$10000,0),11))</f>
        <v/>
      </c>
      <c r="F941" t="str">
        <f t="array" ref="F941">IF($A941="","",INDEX(JupData!$A$2:$K$10000,MATCH($A941&amp;F$1,JupData!$A$2:$A$10000&amp;JupData!$J$2:$J$10000,0),11))</f>
        <v/>
      </c>
      <c r="G941" t="str">
        <f t="array" ref="G941">IF($A941="","",INDEX(JupData!$A$2:$K$10000,MATCH($A941&amp;G$1,JupData!$A$2:$A$10000&amp;JupData!$J$2:$J$10000,0),11))</f>
        <v/>
      </c>
      <c r="H941" t="str">
        <f t="array" ref="H941">IF($A941="","",INDEX(JupData!$A$2:$K$10000,MATCH($A941&amp;H$1,JupData!$A$2:$A$10000&amp;JupData!$J$2:$J$10000,0),11))</f>
        <v/>
      </c>
      <c r="I941" t="str">
        <f t="array" ref="I941">IF($A941="","",INDEX(JupData!$A$2:$K$10000,MATCH($A941&amp;I$1,JupData!$A$2:$A$10000&amp;JupData!$J$2:$J$10000,0),11))</f>
        <v/>
      </c>
      <c r="J941" t="str">
        <f t="array" ref="J941">IF($A941="","",INDEX(JupData!$A$2:$K$10000,MATCH($A941&amp;J$1,JupData!$A$2:$A$10000&amp;JupData!$J$2:$J$10000,0),11))</f>
        <v/>
      </c>
      <c r="K941" t="str">
        <f t="array" ref="K941">IF($A941="","",INDEX(JupData!$A$2:$K$10000,MATCH($A941&amp;K$1,JupData!$A$2:$A$10000&amp;JupData!$J$2:$J$10000,0),11))</f>
        <v/>
      </c>
      <c r="L941" t="str">
        <f t="array" ref="L941">IF($A941="","",INDEX(JupData!$A$2:$K$10000,MATCH($A941&amp;L$1,JupData!$A$2:$A$10000&amp;JupData!$J$2:$J$10000,0),11))</f>
        <v/>
      </c>
      <c r="M941" t="str">
        <f t="array" ref="M941">IF($A941="","",INDEX(JupData!$A$2:$K$10000,MATCH($A941&amp;M$1,JupData!$A$2:$A$10000&amp;JupData!$J$2:$J$10000,0),11))</f>
        <v/>
      </c>
      <c r="N941" t="str">
        <f t="array" ref="N941">IF($A941="","",INDEX(JupData!$A$2:$K$10000,MATCH($A941&amp;N$1,JupData!$A$2:$A$10000&amp;JupData!$J$2:$J$10000,0),11))</f>
        <v/>
      </c>
      <c r="O941" t="str">
        <f t="array" ref="O941">IF($A941="","",INDEX(JupData!$A$2:$K$10000,MATCH($A941&amp;O$1,JupData!$A$2:$A$10000&amp;JupData!$J$2:$J$10000,0),11))</f>
        <v/>
      </c>
      <c r="P941" t="str">
        <f t="array" ref="P941">IF($A941="","",INDEX(JupData!$A$2:$K$10000,MATCH($A941&amp;P$1,JupData!$A$2:$A$10000&amp;JupData!$J$2:$J$10000,0),11))</f>
        <v/>
      </c>
      <c r="Q941" t="str">
        <f t="array" ref="Q941">IF($A941="","",INDEX(JupData!$A$2:$K$10000,MATCH($A941&amp;Q$1,JupData!$A$2:$A$10000&amp;JupData!$J$2:$J$10000,0),11))</f>
        <v/>
      </c>
      <c r="R941" t="str">
        <f t="array" ref="R941">IF($A941="","",INDEX(JupData!$A$2:$K$10000,MATCH($A941&amp;R$1,JupData!$A$2:$A$10000&amp;JupData!$J$2:$J$10000,0),11))</f>
        <v/>
      </c>
      <c r="S941" t="str">
        <f t="array" ref="S941">IF($A941="","",INDEX(JupData!$A$2:$K$10000,MATCH($A941&amp;S$1,JupData!$A$2:$A$10000&amp;JupData!$J$2:$J$10000,0),11))</f>
        <v/>
      </c>
      <c r="T941" t="str">
        <f t="array" ref="T941">IF($A941="","",INDEX(JupData!$A$2:$K$10000,MATCH($A941&amp;T$1,JupData!$A$2:$A$10000&amp;JupData!$J$2:$J$10000,0),11))</f>
        <v/>
      </c>
      <c r="U941" t="str">
        <f t="array" ref="U941">IF($A941="","",INDEX(JupData!$A$2:$K$10000,MATCH($A941&amp;U$1,JupData!$A$2:$A$10000&amp;JupData!$J$2:$J$10000,0),11))</f>
        <v/>
      </c>
      <c r="V941" t="str">
        <f t="array" ref="V941">IF($A941="","",INDEX(JupData!$A$2:$K$10000,MATCH($A941&amp;V$1,JupData!$A$2:$A$10000&amp;JupData!$J$2:$J$10000,0),11))</f>
        <v/>
      </c>
      <c r="W941" t="str">
        <f t="array" ref="W941">IF($A941="","",INDEX(JupData!$A$2:$K$10000,MATCH($A941&amp;W$1,JupData!$A$2:$A$10000&amp;JupData!$J$2:$J$10000,0),11))</f>
        <v/>
      </c>
      <c r="X941" t="str">
        <f t="array" ref="X941">IF($A941="","",INDEX(JupData!$A$2:$K$10000,MATCH($A941&amp;X$1,JupData!$A$2:$A$10000&amp;JupData!$J$2:$J$10000,0),11))</f>
        <v/>
      </c>
      <c r="Y941" t="str">
        <f t="array" ref="Y941">IF($A941="","",INDEX(JupData!$A$2:$K$10000,MATCH($A941&amp;Y$1,JupData!$A$2:$A$10000&amp;JupData!$J$2:$J$10000,0),11))</f>
        <v/>
      </c>
      <c r="Z941" t="str">
        <f t="array" ref="Z941">IF($A941="","",INDEX(JupData!$A$2:$K$10000,MATCH($A941&amp;Z$1,JupData!$A$2:$A$10000&amp;JupData!$J$2:$J$10000,0),11))</f>
        <v/>
      </c>
      <c r="AA941" t="str">
        <f t="array" ref="AA941">IF($A941="","",INDEX(JupData!$A$2:$K$10000,MATCH($A941&amp;AA$1,JupData!$A$2:$A$10000&amp;JupData!$J$2:$J$10000,0),11))</f>
        <v/>
      </c>
      <c r="AB941" t="str">
        <f t="array" ref="AB941">IF($A941="","",INDEX(JupData!$A$2:$K$10000,MATCH($A941&amp;AB$1,JupData!$A$2:$A$10000&amp;JupData!$J$2:$J$10000,0),11))</f>
        <v/>
      </c>
      <c r="AC941" s="10" t="str">
        <f t="shared" si="154"/>
        <v/>
      </c>
      <c r="AD941" s="10" t="str">
        <f t="shared" si="155"/>
        <v/>
      </c>
      <c r="AE941" s="9" t="str">
        <f t="shared" si="156"/>
        <v/>
      </c>
      <c r="AF941" s="10" t="str">
        <f t="shared" si="157"/>
        <v/>
      </c>
      <c r="AG941" s="10" t="str">
        <f t="shared" si="158"/>
        <v/>
      </c>
      <c r="AH941" s="10" t="str">
        <f t="shared" si="159"/>
        <v/>
      </c>
      <c r="AI941" s="10" t="str">
        <f t="shared" si="160"/>
        <v/>
      </c>
      <c r="AJ941" s="10" t="str">
        <f t="shared" si="161"/>
        <v/>
      </c>
      <c r="AK941" s="10" t="str">
        <f t="shared" si="162"/>
        <v/>
      </c>
      <c r="AL941" s="14" t="str">
        <f t="shared" si="163"/>
        <v/>
      </c>
    </row>
    <row r="942" spans="1:38" x14ac:dyDescent="0.2">
      <c r="A942"/>
      <c r="B942" t="str">
        <f>IF($A942="","",VLOOKUP($A942,JupData!$A$2:$I$10000,4,FALSE))</f>
        <v/>
      </c>
      <c r="C942" s="7" t="str">
        <f>IF($A942="",IF(N(D942),0,""),VLOOKUP($A942,JupData!$A$2:$I$10000,7,FALSE))</f>
        <v/>
      </c>
      <c r="D942" t="str">
        <f t="shared" si="164"/>
        <v/>
      </c>
      <c r="E942" t="str">
        <f t="array" ref="E942">IF($A942="","",INDEX(JupData!$A$2:$K$10000,MATCH($A942&amp;E$1,JupData!$A$2:$A$10000&amp;JupData!$J$2:$J$10000,0),11))</f>
        <v/>
      </c>
      <c r="F942" t="str">
        <f t="array" ref="F942">IF($A942="","",INDEX(JupData!$A$2:$K$10000,MATCH($A942&amp;F$1,JupData!$A$2:$A$10000&amp;JupData!$J$2:$J$10000,0),11))</f>
        <v/>
      </c>
      <c r="G942" t="str">
        <f t="array" ref="G942">IF($A942="","",INDEX(JupData!$A$2:$K$10000,MATCH($A942&amp;G$1,JupData!$A$2:$A$10000&amp;JupData!$J$2:$J$10000,0),11))</f>
        <v/>
      </c>
      <c r="H942" t="str">
        <f t="array" ref="H942">IF($A942="","",INDEX(JupData!$A$2:$K$10000,MATCH($A942&amp;H$1,JupData!$A$2:$A$10000&amp;JupData!$J$2:$J$10000,0),11))</f>
        <v/>
      </c>
      <c r="I942" t="str">
        <f t="array" ref="I942">IF($A942="","",INDEX(JupData!$A$2:$K$10000,MATCH($A942&amp;I$1,JupData!$A$2:$A$10000&amp;JupData!$J$2:$J$10000,0),11))</f>
        <v/>
      </c>
      <c r="J942" t="str">
        <f t="array" ref="J942">IF($A942="","",INDEX(JupData!$A$2:$K$10000,MATCH($A942&amp;J$1,JupData!$A$2:$A$10000&amp;JupData!$J$2:$J$10000,0),11))</f>
        <v/>
      </c>
      <c r="K942" t="str">
        <f t="array" ref="K942">IF($A942="","",INDEX(JupData!$A$2:$K$10000,MATCH($A942&amp;K$1,JupData!$A$2:$A$10000&amp;JupData!$J$2:$J$10000,0),11))</f>
        <v/>
      </c>
      <c r="L942" t="str">
        <f t="array" ref="L942">IF($A942="","",INDEX(JupData!$A$2:$K$10000,MATCH($A942&amp;L$1,JupData!$A$2:$A$10000&amp;JupData!$J$2:$J$10000,0),11))</f>
        <v/>
      </c>
      <c r="M942" t="str">
        <f t="array" ref="M942">IF($A942="","",INDEX(JupData!$A$2:$K$10000,MATCH($A942&amp;M$1,JupData!$A$2:$A$10000&amp;JupData!$J$2:$J$10000,0),11))</f>
        <v/>
      </c>
      <c r="N942" t="str">
        <f t="array" ref="N942">IF($A942="","",INDEX(JupData!$A$2:$K$10000,MATCH($A942&amp;N$1,JupData!$A$2:$A$10000&amp;JupData!$J$2:$J$10000,0),11))</f>
        <v/>
      </c>
      <c r="O942" t="str">
        <f t="array" ref="O942">IF($A942="","",INDEX(JupData!$A$2:$K$10000,MATCH($A942&amp;O$1,JupData!$A$2:$A$10000&amp;JupData!$J$2:$J$10000,0),11))</f>
        <v/>
      </c>
      <c r="P942" t="str">
        <f t="array" ref="P942">IF($A942="","",INDEX(JupData!$A$2:$K$10000,MATCH($A942&amp;P$1,JupData!$A$2:$A$10000&amp;JupData!$J$2:$J$10000,0),11))</f>
        <v/>
      </c>
      <c r="Q942" t="str">
        <f t="array" ref="Q942">IF($A942="","",INDEX(JupData!$A$2:$K$10000,MATCH($A942&amp;Q$1,JupData!$A$2:$A$10000&amp;JupData!$J$2:$J$10000,0),11))</f>
        <v/>
      </c>
      <c r="R942" t="str">
        <f t="array" ref="R942">IF($A942="","",INDEX(JupData!$A$2:$K$10000,MATCH($A942&amp;R$1,JupData!$A$2:$A$10000&amp;JupData!$J$2:$J$10000,0),11))</f>
        <v/>
      </c>
      <c r="S942" t="str">
        <f t="array" ref="S942">IF($A942="","",INDEX(JupData!$A$2:$K$10000,MATCH($A942&amp;S$1,JupData!$A$2:$A$10000&amp;JupData!$J$2:$J$10000,0),11))</f>
        <v/>
      </c>
      <c r="T942" t="str">
        <f t="array" ref="T942">IF($A942="","",INDEX(JupData!$A$2:$K$10000,MATCH($A942&amp;T$1,JupData!$A$2:$A$10000&amp;JupData!$J$2:$J$10000,0),11))</f>
        <v/>
      </c>
      <c r="U942" t="str">
        <f t="array" ref="U942">IF($A942="","",INDEX(JupData!$A$2:$K$10000,MATCH($A942&amp;U$1,JupData!$A$2:$A$10000&amp;JupData!$J$2:$J$10000,0),11))</f>
        <v/>
      </c>
      <c r="V942" t="str">
        <f t="array" ref="V942">IF($A942="","",INDEX(JupData!$A$2:$K$10000,MATCH($A942&amp;V$1,JupData!$A$2:$A$10000&amp;JupData!$J$2:$J$10000,0),11))</f>
        <v/>
      </c>
      <c r="W942" t="str">
        <f t="array" ref="W942">IF($A942="","",INDEX(JupData!$A$2:$K$10000,MATCH($A942&amp;W$1,JupData!$A$2:$A$10000&amp;JupData!$J$2:$J$10000,0),11))</f>
        <v/>
      </c>
      <c r="X942" t="str">
        <f t="array" ref="X942">IF($A942="","",INDEX(JupData!$A$2:$K$10000,MATCH($A942&amp;X$1,JupData!$A$2:$A$10000&amp;JupData!$J$2:$J$10000,0),11))</f>
        <v/>
      </c>
      <c r="Y942" t="str">
        <f t="array" ref="Y942">IF($A942="","",INDEX(JupData!$A$2:$K$10000,MATCH($A942&amp;Y$1,JupData!$A$2:$A$10000&amp;JupData!$J$2:$J$10000,0),11))</f>
        <v/>
      </c>
      <c r="Z942" t="str">
        <f t="array" ref="Z942">IF($A942="","",INDEX(JupData!$A$2:$K$10000,MATCH($A942&amp;Z$1,JupData!$A$2:$A$10000&amp;JupData!$J$2:$J$10000,0),11))</f>
        <v/>
      </c>
      <c r="AA942" t="str">
        <f t="array" ref="AA942">IF($A942="","",INDEX(JupData!$A$2:$K$10000,MATCH($A942&amp;AA$1,JupData!$A$2:$A$10000&amp;JupData!$J$2:$J$10000,0),11))</f>
        <v/>
      </c>
      <c r="AB942" t="str">
        <f t="array" ref="AB942">IF($A942="","",INDEX(JupData!$A$2:$K$10000,MATCH($A942&amp;AB$1,JupData!$A$2:$A$10000&amp;JupData!$J$2:$J$10000,0),11))</f>
        <v/>
      </c>
      <c r="AC942" s="10" t="str">
        <f t="shared" si="154"/>
        <v/>
      </c>
      <c r="AD942" s="10" t="str">
        <f t="shared" si="155"/>
        <v/>
      </c>
      <c r="AE942" s="9" t="str">
        <f t="shared" si="156"/>
        <v/>
      </c>
      <c r="AF942" s="10" t="str">
        <f t="shared" si="157"/>
        <v/>
      </c>
      <c r="AG942" s="10" t="str">
        <f t="shared" si="158"/>
        <v/>
      </c>
      <c r="AH942" s="10" t="str">
        <f t="shared" si="159"/>
        <v/>
      </c>
      <c r="AI942" s="10" t="str">
        <f t="shared" si="160"/>
        <v/>
      </c>
      <c r="AJ942" s="10" t="str">
        <f t="shared" si="161"/>
        <v/>
      </c>
      <c r="AK942" s="10" t="str">
        <f t="shared" si="162"/>
        <v/>
      </c>
      <c r="AL942" s="14" t="str">
        <f t="shared" si="163"/>
        <v/>
      </c>
    </row>
    <row r="943" spans="1:38" x14ac:dyDescent="0.2">
      <c r="A943"/>
      <c r="B943" t="str">
        <f>IF($A943="","",VLOOKUP($A943,JupData!$A$2:$I$10000,4,FALSE))</f>
        <v/>
      </c>
      <c r="C943" s="7" t="str">
        <f>IF($A943="",IF(N(D943),0,""),VLOOKUP($A943,JupData!$A$2:$I$10000,7,FALSE))</f>
        <v/>
      </c>
      <c r="D943" t="str">
        <f t="shared" si="164"/>
        <v/>
      </c>
      <c r="E943" t="str">
        <f t="array" ref="E943">IF($A943="","",INDEX(JupData!$A$2:$K$10000,MATCH($A943&amp;E$1,JupData!$A$2:$A$10000&amp;JupData!$J$2:$J$10000,0),11))</f>
        <v/>
      </c>
      <c r="F943" t="str">
        <f t="array" ref="F943">IF($A943="","",INDEX(JupData!$A$2:$K$10000,MATCH($A943&amp;F$1,JupData!$A$2:$A$10000&amp;JupData!$J$2:$J$10000,0),11))</f>
        <v/>
      </c>
      <c r="G943" t="str">
        <f t="array" ref="G943">IF($A943="","",INDEX(JupData!$A$2:$K$10000,MATCH($A943&amp;G$1,JupData!$A$2:$A$10000&amp;JupData!$J$2:$J$10000,0),11))</f>
        <v/>
      </c>
      <c r="H943" t="str">
        <f t="array" ref="H943">IF($A943="","",INDEX(JupData!$A$2:$K$10000,MATCH($A943&amp;H$1,JupData!$A$2:$A$10000&amp;JupData!$J$2:$J$10000,0),11))</f>
        <v/>
      </c>
      <c r="I943" t="str">
        <f t="array" ref="I943">IF($A943="","",INDEX(JupData!$A$2:$K$10000,MATCH($A943&amp;I$1,JupData!$A$2:$A$10000&amp;JupData!$J$2:$J$10000,0),11))</f>
        <v/>
      </c>
      <c r="J943" t="str">
        <f t="array" ref="J943">IF($A943="","",INDEX(JupData!$A$2:$K$10000,MATCH($A943&amp;J$1,JupData!$A$2:$A$10000&amp;JupData!$J$2:$J$10000,0),11))</f>
        <v/>
      </c>
      <c r="K943" t="str">
        <f t="array" ref="K943">IF($A943="","",INDEX(JupData!$A$2:$K$10000,MATCH($A943&amp;K$1,JupData!$A$2:$A$10000&amp;JupData!$J$2:$J$10000,0),11))</f>
        <v/>
      </c>
      <c r="L943" t="str">
        <f t="array" ref="L943">IF($A943="","",INDEX(JupData!$A$2:$K$10000,MATCH($A943&amp;L$1,JupData!$A$2:$A$10000&amp;JupData!$J$2:$J$10000,0),11))</f>
        <v/>
      </c>
      <c r="M943" t="str">
        <f t="array" ref="M943">IF($A943="","",INDEX(JupData!$A$2:$K$10000,MATCH($A943&amp;M$1,JupData!$A$2:$A$10000&amp;JupData!$J$2:$J$10000,0),11))</f>
        <v/>
      </c>
      <c r="N943" t="str">
        <f t="array" ref="N943">IF($A943="","",INDEX(JupData!$A$2:$K$10000,MATCH($A943&amp;N$1,JupData!$A$2:$A$10000&amp;JupData!$J$2:$J$10000,0),11))</f>
        <v/>
      </c>
      <c r="O943" t="str">
        <f t="array" ref="O943">IF($A943="","",INDEX(JupData!$A$2:$K$10000,MATCH($A943&amp;O$1,JupData!$A$2:$A$10000&amp;JupData!$J$2:$J$10000,0),11))</f>
        <v/>
      </c>
      <c r="P943" t="str">
        <f t="array" ref="P943">IF($A943="","",INDEX(JupData!$A$2:$K$10000,MATCH($A943&amp;P$1,JupData!$A$2:$A$10000&amp;JupData!$J$2:$J$10000,0),11))</f>
        <v/>
      </c>
      <c r="Q943" t="str">
        <f t="array" ref="Q943">IF($A943="","",INDEX(JupData!$A$2:$K$10000,MATCH($A943&amp;Q$1,JupData!$A$2:$A$10000&amp;JupData!$J$2:$J$10000,0),11))</f>
        <v/>
      </c>
      <c r="R943" t="str">
        <f t="array" ref="R943">IF($A943="","",INDEX(JupData!$A$2:$K$10000,MATCH($A943&amp;R$1,JupData!$A$2:$A$10000&amp;JupData!$J$2:$J$10000,0),11))</f>
        <v/>
      </c>
      <c r="S943" t="str">
        <f t="array" ref="S943">IF($A943="","",INDEX(JupData!$A$2:$K$10000,MATCH($A943&amp;S$1,JupData!$A$2:$A$10000&amp;JupData!$J$2:$J$10000,0),11))</f>
        <v/>
      </c>
      <c r="T943" t="str">
        <f t="array" ref="T943">IF($A943="","",INDEX(JupData!$A$2:$K$10000,MATCH($A943&amp;T$1,JupData!$A$2:$A$10000&amp;JupData!$J$2:$J$10000,0),11))</f>
        <v/>
      </c>
      <c r="U943" t="str">
        <f t="array" ref="U943">IF($A943="","",INDEX(JupData!$A$2:$K$10000,MATCH($A943&amp;U$1,JupData!$A$2:$A$10000&amp;JupData!$J$2:$J$10000,0),11))</f>
        <v/>
      </c>
      <c r="V943" t="str">
        <f t="array" ref="V943">IF($A943="","",INDEX(JupData!$A$2:$K$10000,MATCH($A943&amp;V$1,JupData!$A$2:$A$10000&amp;JupData!$J$2:$J$10000,0),11))</f>
        <v/>
      </c>
      <c r="W943" t="str">
        <f t="array" ref="W943">IF($A943="","",INDEX(JupData!$A$2:$K$10000,MATCH($A943&amp;W$1,JupData!$A$2:$A$10000&amp;JupData!$J$2:$J$10000,0),11))</f>
        <v/>
      </c>
      <c r="X943" t="str">
        <f t="array" ref="X943">IF($A943="","",INDEX(JupData!$A$2:$K$10000,MATCH($A943&amp;X$1,JupData!$A$2:$A$10000&amp;JupData!$J$2:$J$10000,0),11))</f>
        <v/>
      </c>
      <c r="Y943" t="str">
        <f t="array" ref="Y943">IF($A943="","",INDEX(JupData!$A$2:$K$10000,MATCH($A943&amp;Y$1,JupData!$A$2:$A$10000&amp;JupData!$J$2:$J$10000,0),11))</f>
        <v/>
      </c>
      <c r="Z943" t="str">
        <f t="array" ref="Z943">IF($A943="","",INDEX(JupData!$A$2:$K$10000,MATCH($A943&amp;Z$1,JupData!$A$2:$A$10000&amp;JupData!$J$2:$J$10000,0),11))</f>
        <v/>
      </c>
      <c r="AA943" t="str">
        <f t="array" ref="AA943">IF($A943="","",INDEX(JupData!$A$2:$K$10000,MATCH($A943&amp;AA$1,JupData!$A$2:$A$10000&amp;JupData!$J$2:$J$10000,0),11))</f>
        <v/>
      </c>
      <c r="AB943" t="str">
        <f t="array" ref="AB943">IF($A943="","",INDEX(JupData!$A$2:$K$10000,MATCH($A943&amp;AB$1,JupData!$A$2:$A$10000&amp;JupData!$J$2:$J$10000,0),11))</f>
        <v/>
      </c>
      <c r="AC943" s="10" t="str">
        <f t="shared" si="154"/>
        <v/>
      </c>
      <c r="AD943" s="10" t="str">
        <f t="shared" si="155"/>
        <v/>
      </c>
      <c r="AE943" s="9" t="str">
        <f t="shared" si="156"/>
        <v/>
      </c>
      <c r="AF943" s="10" t="str">
        <f t="shared" si="157"/>
        <v/>
      </c>
      <c r="AG943" s="10" t="str">
        <f t="shared" si="158"/>
        <v/>
      </c>
      <c r="AH943" s="10" t="str">
        <f t="shared" si="159"/>
        <v/>
      </c>
      <c r="AI943" s="10" t="str">
        <f t="shared" si="160"/>
        <v/>
      </c>
      <c r="AJ943" s="10" t="str">
        <f t="shared" si="161"/>
        <v/>
      </c>
      <c r="AK943" s="10" t="str">
        <f t="shared" si="162"/>
        <v/>
      </c>
      <c r="AL943" s="14" t="str">
        <f t="shared" si="163"/>
        <v/>
      </c>
    </row>
    <row r="944" spans="1:38" x14ac:dyDescent="0.2">
      <c r="A944"/>
      <c r="B944" t="str">
        <f>IF($A944="","",VLOOKUP($A944,JupData!$A$2:$I$10000,4,FALSE))</f>
        <v/>
      </c>
      <c r="C944" s="7" t="str">
        <f>IF($A944="",IF(N(D944),0,""),VLOOKUP($A944,JupData!$A$2:$I$10000,7,FALSE))</f>
        <v/>
      </c>
      <c r="D944" t="str">
        <f t="shared" si="164"/>
        <v/>
      </c>
      <c r="E944" t="str">
        <f t="array" ref="E944">IF($A944="","",INDEX(JupData!$A$2:$K$10000,MATCH($A944&amp;E$1,JupData!$A$2:$A$10000&amp;JupData!$J$2:$J$10000,0),11))</f>
        <v/>
      </c>
      <c r="F944" t="str">
        <f t="array" ref="F944">IF($A944="","",INDEX(JupData!$A$2:$K$10000,MATCH($A944&amp;F$1,JupData!$A$2:$A$10000&amp;JupData!$J$2:$J$10000,0),11))</f>
        <v/>
      </c>
      <c r="G944" t="str">
        <f t="array" ref="G944">IF($A944="","",INDEX(JupData!$A$2:$K$10000,MATCH($A944&amp;G$1,JupData!$A$2:$A$10000&amp;JupData!$J$2:$J$10000,0),11))</f>
        <v/>
      </c>
      <c r="H944" t="str">
        <f t="array" ref="H944">IF($A944="","",INDEX(JupData!$A$2:$K$10000,MATCH($A944&amp;H$1,JupData!$A$2:$A$10000&amp;JupData!$J$2:$J$10000,0),11))</f>
        <v/>
      </c>
      <c r="I944" t="str">
        <f t="array" ref="I944">IF($A944="","",INDEX(JupData!$A$2:$K$10000,MATCH($A944&amp;I$1,JupData!$A$2:$A$10000&amp;JupData!$J$2:$J$10000,0),11))</f>
        <v/>
      </c>
      <c r="J944" t="str">
        <f t="array" ref="J944">IF($A944="","",INDEX(JupData!$A$2:$K$10000,MATCH($A944&amp;J$1,JupData!$A$2:$A$10000&amp;JupData!$J$2:$J$10000,0),11))</f>
        <v/>
      </c>
      <c r="K944" t="str">
        <f t="array" ref="K944">IF($A944="","",INDEX(JupData!$A$2:$K$10000,MATCH($A944&amp;K$1,JupData!$A$2:$A$10000&amp;JupData!$J$2:$J$10000,0),11))</f>
        <v/>
      </c>
      <c r="L944" t="str">
        <f t="array" ref="L944">IF($A944="","",INDEX(JupData!$A$2:$K$10000,MATCH($A944&amp;L$1,JupData!$A$2:$A$10000&amp;JupData!$J$2:$J$10000,0),11))</f>
        <v/>
      </c>
      <c r="M944" t="str">
        <f t="array" ref="M944">IF($A944="","",INDEX(JupData!$A$2:$K$10000,MATCH($A944&amp;M$1,JupData!$A$2:$A$10000&amp;JupData!$J$2:$J$10000,0),11))</f>
        <v/>
      </c>
      <c r="N944" t="str">
        <f t="array" ref="N944">IF($A944="","",INDEX(JupData!$A$2:$K$10000,MATCH($A944&amp;N$1,JupData!$A$2:$A$10000&amp;JupData!$J$2:$J$10000,0),11))</f>
        <v/>
      </c>
      <c r="O944" t="str">
        <f t="array" ref="O944">IF($A944="","",INDEX(JupData!$A$2:$K$10000,MATCH($A944&amp;O$1,JupData!$A$2:$A$10000&amp;JupData!$J$2:$J$10000,0),11))</f>
        <v/>
      </c>
      <c r="P944" t="str">
        <f t="array" ref="P944">IF($A944="","",INDEX(JupData!$A$2:$K$10000,MATCH($A944&amp;P$1,JupData!$A$2:$A$10000&amp;JupData!$J$2:$J$10000,0),11))</f>
        <v/>
      </c>
      <c r="Q944" t="str">
        <f t="array" ref="Q944">IF($A944="","",INDEX(JupData!$A$2:$K$10000,MATCH($A944&amp;Q$1,JupData!$A$2:$A$10000&amp;JupData!$J$2:$J$10000,0),11))</f>
        <v/>
      </c>
      <c r="R944" t="str">
        <f t="array" ref="R944">IF($A944="","",INDEX(JupData!$A$2:$K$10000,MATCH($A944&amp;R$1,JupData!$A$2:$A$10000&amp;JupData!$J$2:$J$10000,0),11))</f>
        <v/>
      </c>
      <c r="S944" t="str">
        <f t="array" ref="S944">IF($A944="","",INDEX(JupData!$A$2:$K$10000,MATCH($A944&amp;S$1,JupData!$A$2:$A$10000&amp;JupData!$J$2:$J$10000,0),11))</f>
        <v/>
      </c>
      <c r="T944" t="str">
        <f t="array" ref="T944">IF($A944="","",INDEX(JupData!$A$2:$K$10000,MATCH($A944&amp;T$1,JupData!$A$2:$A$10000&amp;JupData!$J$2:$J$10000,0),11))</f>
        <v/>
      </c>
      <c r="U944" t="str">
        <f t="array" ref="U944">IF($A944="","",INDEX(JupData!$A$2:$K$10000,MATCH($A944&amp;U$1,JupData!$A$2:$A$10000&amp;JupData!$J$2:$J$10000,0),11))</f>
        <v/>
      </c>
      <c r="V944" t="str">
        <f t="array" ref="V944">IF($A944="","",INDEX(JupData!$A$2:$K$10000,MATCH($A944&amp;V$1,JupData!$A$2:$A$10000&amp;JupData!$J$2:$J$10000,0),11))</f>
        <v/>
      </c>
      <c r="W944" t="str">
        <f t="array" ref="W944">IF($A944="","",INDEX(JupData!$A$2:$K$10000,MATCH($A944&amp;W$1,JupData!$A$2:$A$10000&amp;JupData!$J$2:$J$10000,0),11))</f>
        <v/>
      </c>
      <c r="X944" t="str">
        <f t="array" ref="X944">IF($A944="","",INDEX(JupData!$A$2:$K$10000,MATCH($A944&amp;X$1,JupData!$A$2:$A$10000&amp;JupData!$J$2:$J$10000,0),11))</f>
        <v/>
      </c>
      <c r="Y944" t="str">
        <f t="array" ref="Y944">IF($A944="","",INDEX(JupData!$A$2:$K$10000,MATCH($A944&amp;Y$1,JupData!$A$2:$A$10000&amp;JupData!$J$2:$J$10000,0),11))</f>
        <v/>
      </c>
      <c r="Z944" t="str">
        <f t="array" ref="Z944">IF($A944="","",INDEX(JupData!$A$2:$K$10000,MATCH($A944&amp;Z$1,JupData!$A$2:$A$10000&amp;JupData!$J$2:$J$10000,0),11))</f>
        <v/>
      </c>
      <c r="AA944" t="str">
        <f t="array" ref="AA944">IF($A944="","",INDEX(JupData!$A$2:$K$10000,MATCH($A944&amp;AA$1,JupData!$A$2:$A$10000&amp;JupData!$J$2:$J$10000,0),11))</f>
        <v/>
      </c>
      <c r="AB944" t="str">
        <f t="array" ref="AB944">IF($A944="","",INDEX(JupData!$A$2:$K$10000,MATCH($A944&amp;AB$1,JupData!$A$2:$A$10000&amp;JupData!$J$2:$J$10000,0),11))</f>
        <v/>
      </c>
      <c r="AC944" s="10" t="str">
        <f t="shared" si="154"/>
        <v/>
      </c>
      <c r="AD944" s="10" t="str">
        <f t="shared" si="155"/>
        <v/>
      </c>
      <c r="AE944" s="9" t="str">
        <f t="shared" si="156"/>
        <v/>
      </c>
      <c r="AF944" s="10" t="str">
        <f t="shared" si="157"/>
        <v/>
      </c>
      <c r="AG944" s="10" t="str">
        <f t="shared" si="158"/>
        <v/>
      </c>
      <c r="AH944" s="10" t="str">
        <f t="shared" si="159"/>
        <v/>
      </c>
      <c r="AI944" s="10" t="str">
        <f t="shared" si="160"/>
        <v/>
      </c>
      <c r="AJ944" s="10" t="str">
        <f t="shared" si="161"/>
        <v/>
      </c>
      <c r="AK944" s="10" t="str">
        <f t="shared" si="162"/>
        <v/>
      </c>
      <c r="AL944" s="14" t="str">
        <f t="shared" si="163"/>
        <v/>
      </c>
    </row>
    <row r="945" spans="1:38" x14ac:dyDescent="0.2">
      <c r="A945"/>
      <c r="B945" t="str">
        <f>IF($A945="","",VLOOKUP($A945,JupData!$A$2:$I$10000,4,FALSE))</f>
        <v/>
      </c>
      <c r="C945" s="7" t="str">
        <f>IF($A945="",IF(N(D945),0,""),VLOOKUP($A945,JupData!$A$2:$I$10000,7,FALSE))</f>
        <v/>
      </c>
      <c r="D945" t="str">
        <f t="shared" si="164"/>
        <v/>
      </c>
      <c r="E945" t="str">
        <f t="array" ref="E945">IF($A945="","",INDEX(JupData!$A$2:$K$10000,MATCH($A945&amp;E$1,JupData!$A$2:$A$10000&amp;JupData!$J$2:$J$10000,0),11))</f>
        <v/>
      </c>
      <c r="F945" t="str">
        <f t="array" ref="F945">IF($A945="","",INDEX(JupData!$A$2:$K$10000,MATCH($A945&amp;F$1,JupData!$A$2:$A$10000&amp;JupData!$J$2:$J$10000,0),11))</f>
        <v/>
      </c>
      <c r="G945" t="str">
        <f t="array" ref="G945">IF($A945="","",INDEX(JupData!$A$2:$K$10000,MATCH($A945&amp;G$1,JupData!$A$2:$A$10000&amp;JupData!$J$2:$J$10000,0),11))</f>
        <v/>
      </c>
      <c r="H945" t="str">
        <f t="array" ref="H945">IF($A945="","",INDEX(JupData!$A$2:$K$10000,MATCH($A945&amp;H$1,JupData!$A$2:$A$10000&amp;JupData!$J$2:$J$10000,0),11))</f>
        <v/>
      </c>
      <c r="I945" t="str">
        <f t="array" ref="I945">IF($A945="","",INDEX(JupData!$A$2:$K$10000,MATCH($A945&amp;I$1,JupData!$A$2:$A$10000&amp;JupData!$J$2:$J$10000,0),11))</f>
        <v/>
      </c>
      <c r="J945" t="str">
        <f t="array" ref="J945">IF($A945="","",INDEX(JupData!$A$2:$K$10000,MATCH($A945&amp;J$1,JupData!$A$2:$A$10000&amp;JupData!$J$2:$J$10000,0),11))</f>
        <v/>
      </c>
      <c r="K945" t="str">
        <f t="array" ref="K945">IF($A945="","",INDEX(JupData!$A$2:$K$10000,MATCH($A945&amp;K$1,JupData!$A$2:$A$10000&amp;JupData!$J$2:$J$10000,0),11))</f>
        <v/>
      </c>
      <c r="L945" t="str">
        <f t="array" ref="L945">IF($A945="","",INDEX(JupData!$A$2:$K$10000,MATCH($A945&amp;L$1,JupData!$A$2:$A$10000&amp;JupData!$J$2:$J$10000,0),11))</f>
        <v/>
      </c>
      <c r="M945" t="str">
        <f t="array" ref="M945">IF($A945="","",INDEX(JupData!$A$2:$K$10000,MATCH($A945&amp;M$1,JupData!$A$2:$A$10000&amp;JupData!$J$2:$J$10000,0),11))</f>
        <v/>
      </c>
      <c r="N945" t="str">
        <f t="array" ref="N945">IF($A945="","",INDEX(JupData!$A$2:$K$10000,MATCH($A945&amp;N$1,JupData!$A$2:$A$10000&amp;JupData!$J$2:$J$10000,0),11))</f>
        <v/>
      </c>
      <c r="O945" t="str">
        <f t="array" ref="O945">IF($A945="","",INDEX(JupData!$A$2:$K$10000,MATCH($A945&amp;O$1,JupData!$A$2:$A$10000&amp;JupData!$J$2:$J$10000,0),11))</f>
        <v/>
      </c>
      <c r="P945" t="str">
        <f t="array" ref="P945">IF($A945="","",INDEX(JupData!$A$2:$K$10000,MATCH($A945&amp;P$1,JupData!$A$2:$A$10000&amp;JupData!$J$2:$J$10000,0),11))</f>
        <v/>
      </c>
      <c r="Q945" t="str">
        <f t="array" ref="Q945">IF($A945="","",INDEX(JupData!$A$2:$K$10000,MATCH($A945&amp;Q$1,JupData!$A$2:$A$10000&amp;JupData!$J$2:$J$10000,0),11))</f>
        <v/>
      </c>
      <c r="R945" t="str">
        <f t="array" ref="R945">IF($A945="","",INDEX(JupData!$A$2:$K$10000,MATCH($A945&amp;R$1,JupData!$A$2:$A$10000&amp;JupData!$J$2:$J$10000,0),11))</f>
        <v/>
      </c>
      <c r="S945" t="str">
        <f t="array" ref="S945">IF($A945="","",INDEX(JupData!$A$2:$K$10000,MATCH($A945&amp;S$1,JupData!$A$2:$A$10000&amp;JupData!$J$2:$J$10000,0),11))</f>
        <v/>
      </c>
      <c r="T945" t="str">
        <f t="array" ref="T945">IF($A945="","",INDEX(JupData!$A$2:$K$10000,MATCH($A945&amp;T$1,JupData!$A$2:$A$10000&amp;JupData!$J$2:$J$10000,0),11))</f>
        <v/>
      </c>
      <c r="U945" t="str">
        <f t="array" ref="U945">IF($A945="","",INDEX(JupData!$A$2:$K$10000,MATCH($A945&amp;U$1,JupData!$A$2:$A$10000&amp;JupData!$J$2:$J$10000,0),11))</f>
        <v/>
      </c>
      <c r="V945" t="str">
        <f t="array" ref="V945">IF($A945="","",INDEX(JupData!$A$2:$K$10000,MATCH($A945&amp;V$1,JupData!$A$2:$A$10000&amp;JupData!$J$2:$J$10000,0),11))</f>
        <v/>
      </c>
      <c r="W945" t="str">
        <f t="array" ref="W945">IF($A945="","",INDEX(JupData!$A$2:$K$10000,MATCH($A945&amp;W$1,JupData!$A$2:$A$10000&amp;JupData!$J$2:$J$10000,0),11))</f>
        <v/>
      </c>
      <c r="X945" t="str">
        <f t="array" ref="X945">IF($A945="","",INDEX(JupData!$A$2:$K$10000,MATCH($A945&amp;X$1,JupData!$A$2:$A$10000&amp;JupData!$J$2:$J$10000,0),11))</f>
        <v/>
      </c>
      <c r="Y945" t="str">
        <f t="array" ref="Y945">IF($A945="","",INDEX(JupData!$A$2:$K$10000,MATCH($A945&amp;Y$1,JupData!$A$2:$A$10000&amp;JupData!$J$2:$J$10000,0),11))</f>
        <v/>
      </c>
      <c r="Z945" t="str">
        <f t="array" ref="Z945">IF($A945="","",INDEX(JupData!$A$2:$K$10000,MATCH($A945&amp;Z$1,JupData!$A$2:$A$10000&amp;JupData!$J$2:$J$10000,0),11))</f>
        <v/>
      </c>
      <c r="AA945" t="str">
        <f t="array" ref="AA945">IF($A945="","",INDEX(JupData!$A$2:$K$10000,MATCH($A945&amp;AA$1,JupData!$A$2:$A$10000&amp;JupData!$J$2:$J$10000,0),11))</f>
        <v/>
      </c>
      <c r="AB945" t="str">
        <f t="array" ref="AB945">IF($A945="","",INDEX(JupData!$A$2:$K$10000,MATCH($A945&amp;AB$1,JupData!$A$2:$A$10000&amp;JupData!$J$2:$J$10000,0),11))</f>
        <v/>
      </c>
      <c r="AC945" s="10" t="str">
        <f t="shared" si="154"/>
        <v/>
      </c>
      <c r="AD945" s="10" t="str">
        <f t="shared" si="155"/>
        <v/>
      </c>
      <c r="AE945" s="9" t="str">
        <f t="shared" si="156"/>
        <v/>
      </c>
      <c r="AF945" s="10" t="str">
        <f t="shared" si="157"/>
        <v/>
      </c>
      <c r="AG945" s="10" t="str">
        <f t="shared" si="158"/>
        <v/>
      </c>
      <c r="AH945" s="10" t="str">
        <f t="shared" si="159"/>
        <v/>
      </c>
      <c r="AI945" s="10" t="str">
        <f t="shared" si="160"/>
        <v/>
      </c>
      <c r="AJ945" s="10" t="str">
        <f t="shared" si="161"/>
        <v/>
      </c>
      <c r="AK945" s="10" t="str">
        <f t="shared" si="162"/>
        <v/>
      </c>
      <c r="AL945" s="14" t="str">
        <f t="shared" si="163"/>
        <v/>
      </c>
    </row>
    <row r="946" spans="1:38" x14ac:dyDescent="0.2">
      <c r="A946"/>
      <c r="B946" t="str">
        <f>IF($A946="","",VLOOKUP($A946,JupData!$A$2:$I$10000,4,FALSE))</f>
        <v/>
      </c>
      <c r="C946" s="7" t="str">
        <f>IF($A946="",IF(N(D946),0,""),VLOOKUP($A946,JupData!$A$2:$I$10000,7,FALSE))</f>
        <v/>
      </c>
      <c r="D946" t="str">
        <f t="shared" si="164"/>
        <v/>
      </c>
      <c r="E946" t="str">
        <f t="array" ref="E946">IF($A946="","",INDEX(JupData!$A$2:$K$10000,MATCH($A946&amp;E$1,JupData!$A$2:$A$10000&amp;JupData!$J$2:$J$10000,0),11))</f>
        <v/>
      </c>
      <c r="F946" t="str">
        <f t="array" ref="F946">IF($A946="","",INDEX(JupData!$A$2:$K$10000,MATCH($A946&amp;F$1,JupData!$A$2:$A$10000&amp;JupData!$J$2:$J$10000,0),11))</f>
        <v/>
      </c>
      <c r="G946" t="str">
        <f t="array" ref="G946">IF($A946="","",INDEX(JupData!$A$2:$K$10000,MATCH($A946&amp;G$1,JupData!$A$2:$A$10000&amp;JupData!$J$2:$J$10000,0),11))</f>
        <v/>
      </c>
      <c r="H946" t="str">
        <f t="array" ref="H946">IF($A946="","",INDEX(JupData!$A$2:$K$10000,MATCH($A946&amp;H$1,JupData!$A$2:$A$10000&amp;JupData!$J$2:$J$10000,0),11))</f>
        <v/>
      </c>
      <c r="I946" t="str">
        <f t="array" ref="I946">IF($A946="","",INDEX(JupData!$A$2:$K$10000,MATCH($A946&amp;I$1,JupData!$A$2:$A$10000&amp;JupData!$J$2:$J$10000,0),11))</f>
        <v/>
      </c>
      <c r="J946" t="str">
        <f t="array" ref="J946">IF($A946="","",INDEX(JupData!$A$2:$K$10000,MATCH($A946&amp;J$1,JupData!$A$2:$A$10000&amp;JupData!$J$2:$J$10000,0),11))</f>
        <v/>
      </c>
      <c r="K946" t="str">
        <f t="array" ref="K946">IF($A946="","",INDEX(JupData!$A$2:$K$10000,MATCH($A946&amp;K$1,JupData!$A$2:$A$10000&amp;JupData!$J$2:$J$10000,0),11))</f>
        <v/>
      </c>
      <c r="L946" t="str">
        <f t="array" ref="L946">IF($A946="","",INDEX(JupData!$A$2:$K$10000,MATCH($A946&amp;L$1,JupData!$A$2:$A$10000&amp;JupData!$J$2:$J$10000,0),11))</f>
        <v/>
      </c>
      <c r="M946" t="str">
        <f t="array" ref="M946">IF($A946="","",INDEX(JupData!$A$2:$K$10000,MATCH($A946&amp;M$1,JupData!$A$2:$A$10000&amp;JupData!$J$2:$J$10000,0),11))</f>
        <v/>
      </c>
      <c r="N946" t="str">
        <f t="array" ref="N946">IF($A946="","",INDEX(JupData!$A$2:$K$10000,MATCH($A946&amp;N$1,JupData!$A$2:$A$10000&amp;JupData!$J$2:$J$10000,0),11))</f>
        <v/>
      </c>
      <c r="O946" t="str">
        <f t="array" ref="O946">IF($A946="","",INDEX(JupData!$A$2:$K$10000,MATCH($A946&amp;O$1,JupData!$A$2:$A$10000&amp;JupData!$J$2:$J$10000,0),11))</f>
        <v/>
      </c>
      <c r="P946" t="str">
        <f t="array" ref="P946">IF($A946="","",INDEX(JupData!$A$2:$K$10000,MATCH($A946&amp;P$1,JupData!$A$2:$A$10000&amp;JupData!$J$2:$J$10000,0),11))</f>
        <v/>
      </c>
      <c r="Q946" t="str">
        <f t="array" ref="Q946">IF($A946="","",INDEX(JupData!$A$2:$K$10000,MATCH($A946&amp;Q$1,JupData!$A$2:$A$10000&amp;JupData!$J$2:$J$10000,0),11))</f>
        <v/>
      </c>
      <c r="R946" t="str">
        <f t="array" ref="R946">IF($A946="","",INDEX(JupData!$A$2:$K$10000,MATCH($A946&amp;R$1,JupData!$A$2:$A$10000&amp;JupData!$J$2:$J$10000,0),11))</f>
        <v/>
      </c>
      <c r="S946" t="str">
        <f t="array" ref="S946">IF($A946="","",INDEX(JupData!$A$2:$K$10000,MATCH($A946&amp;S$1,JupData!$A$2:$A$10000&amp;JupData!$J$2:$J$10000,0),11))</f>
        <v/>
      </c>
      <c r="T946" t="str">
        <f t="array" ref="T946">IF($A946="","",INDEX(JupData!$A$2:$K$10000,MATCH($A946&amp;T$1,JupData!$A$2:$A$10000&amp;JupData!$J$2:$J$10000,0),11))</f>
        <v/>
      </c>
      <c r="U946" t="str">
        <f t="array" ref="U946">IF($A946="","",INDEX(JupData!$A$2:$K$10000,MATCH($A946&amp;U$1,JupData!$A$2:$A$10000&amp;JupData!$J$2:$J$10000,0),11))</f>
        <v/>
      </c>
      <c r="V946" t="str">
        <f t="array" ref="V946">IF($A946="","",INDEX(JupData!$A$2:$K$10000,MATCH($A946&amp;V$1,JupData!$A$2:$A$10000&amp;JupData!$J$2:$J$10000,0),11))</f>
        <v/>
      </c>
      <c r="W946" t="str">
        <f t="array" ref="W946">IF($A946="","",INDEX(JupData!$A$2:$K$10000,MATCH($A946&amp;W$1,JupData!$A$2:$A$10000&amp;JupData!$J$2:$J$10000,0),11))</f>
        <v/>
      </c>
      <c r="X946" t="str">
        <f t="array" ref="X946">IF($A946="","",INDEX(JupData!$A$2:$K$10000,MATCH($A946&amp;X$1,JupData!$A$2:$A$10000&amp;JupData!$J$2:$J$10000,0),11))</f>
        <v/>
      </c>
      <c r="Y946" t="str">
        <f t="array" ref="Y946">IF($A946="","",INDEX(JupData!$A$2:$K$10000,MATCH($A946&amp;Y$1,JupData!$A$2:$A$10000&amp;JupData!$J$2:$J$10000,0),11))</f>
        <v/>
      </c>
      <c r="Z946" t="str">
        <f t="array" ref="Z946">IF($A946="","",INDEX(JupData!$A$2:$K$10000,MATCH($A946&amp;Z$1,JupData!$A$2:$A$10000&amp;JupData!$J$2:$J$10000,0),11))</f>
        <v/>
      </c>
      <c r="AA946" t="str">
        <f t="array" ref="AA946">IF($A946="","",INDEX(JupData!$A$2:$K$10000,MATCH($A946&amp;AA$1,JupData!$A$2:$A$10000&amp;JupData!$J$2:$J$10000,0),11))</f>
        <v/>
      </c>
      <c r="AB946" t="str">
        <f t="array" ref="AB946">IF($A946="","",INDEX(JupData!$A$2:$K$10000,MATCH($A946&amp;AB$1,JupData!$A$2:$A$10000&amp;JupData!$J$2:$J$10000,0),11))</f>
        <v/>
      </c>
      <c r="AC946" s="10" t="str">
        <f t="shared" si="154"/>
        <v/>
      </c>
      <c r="AD946" s="10" t="str">
        <f t="shared" si="155"/>
        <v/>
      </c>
      <c r="AE946" s="9" t="str">
        <f t="shared" si="156"/>
        <v/>
      </c>
      <c r="AF946" s="10" t="str">
        <f t="shared" si="157"/>
        <v/>
      </c>
      <c r="AG946" s="10" t="str">
        <f t="shared" si="158"/>
        <v/>
      </c>
      <c r="AH946" s="10" t="str">
        <f t="shared" si="159"/>
        <v/>
      </c>
      <c r="AI946" s="10" t="str">
        <f t="shared" si="160"/>
        <v/>
      </c>
      <c r="AJ946" s="10" t="str">
        <f t="shared" si="161"/>
        <v/>
      </c>
      <c r="AK946" s="10" t="str">
        <f t="shared" si="162"/>
        <v/>
      </c>
      <c r="AL946" s="14" t="str">
        <f t="shared" si="163"/>
        <v/>
      </c>
    </row>
    <row r="947" spans="1:38" x14ac:dyDescent="0.2">
      <c r="A947"/>
      <c r="B947" t="str">
        <f>IF($A947="","",VLOOKUP($A947,JupData!$A$2:$I$10000,4,FALSE))</f>
        <v/>
      </c>
      <c r="C947" s="7" t="str">
        <f>IF($A947="",IF(N(D947),0,""),VLOOKUP($A947,JupData!$A$2:$I$10000,7,FALSE))</f>
        <v/>
      </c>
      <c r="D947" t="str">
        <f t="shared" si="164"/>
        <v/>
      </c>
      <c r="E947" t="str">
        <f t="array" ref="E947">IF($A947="","",INDEX(JupData!$A$2:$K$10000,MATCH($A947&amp;E$1,JupData!$A$2:$A$10000&amp;JupData!$J$2:$J$10000,0),11))</f>
        <v/>
      </c>
      <c r="F947" t="str">
        <f t="array" ref="F947">IF($A947="","",INDEX(JupData!$A$2:$K$10000,MATCH($A947&amp;F$1,JupData!$A$2:$A$10000&amp;JupData!$J$2:$J$10000,0),11))</f>
        <v/>
      </c>
      <c r="G947" t="str">
        <f t="array" ref="G947">IF($A947="","",INDEX(JupData!$A$2:$K$10000,MATCH($A947&amp;G$1,JupData!$A$2:$A$10000&amp;JupData!$J$2:$J$10000,0),11))</f>
        <v/>
      </c>
      <c r="H947" t="str">
        <f t="array" ref="H947">IF($A947="","",INDEX(JupData!$A$2:$K$10000,MATCH($A947&amp;H$1,JupData!$A$2:$A$10000&amp;JupData!$J$2:$J$10000,0),11))</f>
        <v/>
      </c>
      <c r="I947" t="str">
        <f t="array" ref="I947">IF($A947="","",INDEX(JupData!$A$2:$K$10000,MATCH($A947&amp;I$1,JupData!$A$2:$A$10000&amp;JupData!$J$2:$J$10000,0),11))</f>
        <v/>
      </c>
      <c r="J947" t="str">
        <f t="array" ref="J947">IF($A947="","",INDEX(JupData!$A$2:$K$10000,MATCH($A947&amp;J$1,JupData!$A$2:$A$10000&amp;JupData!$J$2:$J$10000,0),11))</f>
        <v/>
      </c>
      <c r="K947" t="str">
        <f t="array" ref="K947">IF($A947="","",INDEX(JupData!$A$2:$K$10000,MATCH($A947&amp;K$1,JupData!$A$2:$A$10000&amp;JupData!$J$2:$J$10000,0),11))</f>
        <v/>
      </c>
      <c r="L947" t="str">
        <f t="array" ref="L947">IF($A947="","",INDEX(JupData!$A$2:$K$10000,MATCH($A947&amp;L$1,JupData!$A$2:$A$10000&amp;JupData!$J$2:$J$10000,0),11))</f>
        <v/>
      </c>
      <c r="M947" t="str">
        <f t="array" ref="M947">IF($A947="","",INDEX(JupData!$A$2:$K$10000,MATCH($A947&amp;M$1,JupData!$A$2:$A$10000&amp;JupData!$J$2:$J$10000,0),11))</f>
        <v/>
      </c>
      <c r="N947" t="str">
        <f t="array" ref="N947">IF($A947="","",INDEX(JupData!$A$2:$K$10000,MATCH($A947&amp;N$1,JupData!$A$2:$A$10000&amp;JupData!$J$2:$J$10000,0),11))</f>
        <v/>
      </c>
      <c r="O947" t="str">
        <f t="array" ref="O947">IF($A947="","",INDEX(JupData!$A$2:$K$10000,MATCH($A947&amp;O$1,JupData!$A$2:$A$10000&amp;JupData!$J$2:$J$10000,0),11))</f>
        <v/>
      </c>
      <c r="P947" t="str">
        <f t="array" ref="P947">IF($A947="","",INDEX(JupData!$A$2:$K$10000,MATCH($A947&amp;P$1,JupData!$A$2:$A$10000&amp;JupData!$J$2:$J$10000,0),11))</f>
        <v/>
      </c>
      <c r="Q947" t="str">
        <f t="array" ref="Q947">IF($A947="","",INDEX(JupData!$A$2:$K$10000,MATCH($A947&amp;Q$1,JupData!$A$2:$A$10000&amp;JupData!$J$2:$J$10000,0),11))</f>
        <v/>
      </c>
      <c r="R947" t="str">
        <f t="array" ref="R947">IF($A947="","",INDEX(JupData!$A$2:$K$10000,MATCH($A947&amp;R$1,JupData!$A$2:$A$10000&amp;JupData!$J$2:$J$10000,0),11))</f>
        <v/>
      </c>
      <c r="S947" t="str">
        <f t="array" ref="S947">IF($A947="","",INDEX(JupData!$A$2:$K$10000,MATCH($A947&amp;S$1,JupData!$A$2:$A$10000&amp;JupData!$J$2:$J$10000,0),11))</f>
        <v/>
      </c>
      <c r="T947" t="str">
        <f t="array" ref="T947">IF($A947="","",INDEX(JupData!$A$2:$K$10000,MATCH($A947&amp;T$1,JupData!$A$2:$A$10000&amp;JupData!$J$2:$J$10000,0),11))</f>
        <v/>
      </c>
      <c r="U947" t="str">
        <f t="array" ref="U947">IF($A947="","",INDEX(JupData!$A$2:$K$10000,MATCH($A947&amp;U$1,JupData!$A$2:$A$10000&amp;JupData!$J$2:$J$10000,0),11))</f>
        <v/>
      </c>
      <c r="V947" t="str">
        <f t="array" ref="V947">IF($A947="","",INDEX(JupData!$A$2:$K$10000,MATCH($A947&amp;V$1,JupData!$A$2:$A$10000&amp;JupData!$J$2:$J$10000,0),11))</f>
        <v/>
      </c>
      <c r="W947" t="str">
        <f t="array" ref="W947">IF($A947="","",INDEX(JupData!$A$2:$K$10000,MATCH($A947&amp;W$1,JupData!$A$2:$A$10000&amp;JupData!$J$2:$J$10000,0),11))</f>
        <v/>
      </c>
      <c r="X947" t="str">
        <f t="array" ref="X947">IF($A947="","",INDEX(JupData!$A$2:$K$10000,MATCH($A947&amp;X$1,JupData!$A$2:$A$10000&amp;JupData!$J$2:$J$10000,0),11))</f>
        <v/>
      </c>
      <c r="Y947" t="str">
        <f t="array" ref="Y947">IF($A947="","",INDEX(JupData!$A$2:$K$10000,MATCH($A947&amp;Y$1,JupData!$A$2:$A$10000&amp;JupData!$J$2:$J$10000,0),11))</f>
        <v/>
      </c>
      <c r="Z947" t="str">
        <f t="array" ref="Z947">IF($A947="","",INDEX(JupData!$A$2:$K$10000,MATCH($A947&amp;Z$1,JupData!$A$2:$A$10000&amp;JupData!$J$2:$J$10000,0),11))</f>
        <v/>
      </c>
      <c r="AA947" t="str">
        <f t="array" ref="AA947">IF($A947="","",INDEX(JupData!$A$2:$K$10000,MATCH($A947&amp;AA$1,JupData!$A$2:$A$10000&amp;JupData!$J$2:$J$10000,0),11))</f>
        <v/>
      </c>
      <c r="AB947" t="str">
        <f t="array" ref="AB947">IF($A947="","",INDEX(JupData!$A$2:$K$10000,MATCH($A947&amp;AB$1,JupData!$A$2:$A$10000&amp;JupData!$J$2:$J$10000,0),11))</f>
        <v/>
      </c>
      <c r="AC947" s="10" t="str">
        <f t="shared" si="154"/>
        <v/>
      </c>
      <c r="AD947" s="10" t="str">
        <f t="shared" si="155"/>
        <v/>
      </c>
      <c r="AE947" s="9" t="str">
        <f t="shared" si="156"/>
        <v/>
      </c>
      <c r="AF947" s="10" t="str">
        <f t="shared" si="157"/>
        <v/>
      </c>
      <c r="AG947" s="10" t="str">
        <f t="shared" si="158"/>
        <v/>
      </c>
      <c r="AH947" s="10" t="str">
        <f t="shared" si="159"/>
        <v/>
      </c>
      <c r="AI947" s="10" t="str">
        <f t="shared" si="160"/>
        <v/>
      </c>
      <c r="AJ947" s="10" t="str">
        <f t="shared" si="161"/>
        <v/>
      </c>
      <c r="AK947" s="10" t="str">
        <f t="shared" si="162"/>
        <v/>
      </c>
      <c r="AL947" s="14" t="str">
        <f t="shared" si="163"/>
        <v/>
      </c>
    </row>
    <row r="948" spans="1:38" x14ac:dyDescent="0.2">
      <c r="A948"/>
      <c r="B948" t="str">
        <f>IF($A948="","",VLOOKUP($A948,JupData!$A$2:$I$10000,4,FALSE))</f>
        <v/>
      </c>
      <c r="C948" s="7" t="str">
        <f>IF($A948="",IF(N(D948),0,""),VLOOKUP($A948,JupData!$A$2:$I$10000,7,FALSE))</f>
        <v/>
      </c>
      <c r="D948" t="str">
        <f t="shared" si="164"/>
        <v/>
      </c>
      <c r="E948" t="str">
        <f t="array" ref="E948">IF($A948="","",INDEX(JupData!$A$2:$K$10000,MATCH($A948&amp;E$1,JupData!$A$2:$A$10000&amp;JupData!$J$2:$J$10000,0),11))</f>
        <v/>
      </c>
      <c r="F948" t="str">
        <f t="array" ref="F948">IF($A948="","",INDEX(JupData!$A$2:$K$10000,MATCH($A948&amp;F$1,JupData!$A$2:$A$10000&amp;JupData!$J$2:$J$10000,0),11))</f>
        <v/>
      </c>
      <c r="G948" t="str">
        <f t="array" ref="G948">IF($A948="","",INDEX(JupData!$A$2:$K$10000,MATCH($A948&amp;G$1,JupData!$A$2:$A$10000&amp;JupData!$J$2:$J$10000,0),11))</f>
        <v/>
      </c>
      <c r="H948" t="str">
        <f t="array" ref="H948">IF($A948="","",INDEX(JupData!$A$2:$K$10000,MATCH($A948&amp;H$1,JupData!$A$2:$A$10000&amp;JupData!$J$2:$J$10000,0),11))</f>
        <v/>
      </c>
      <c r="I948" t="str">
        <f t="array" ref="I948">IF($A948="","",INDEX(JupData!$A$2:$K$10000,MATCH($A948&amp;I$1,JupData!$A$2:$A$10000&amp;JupData!$J$2:$J$10000,0),11))</f>
        <v/>
      </c>
      <c r="J948" t="str">
        <f t="array" ref="J948">IF($A948="","",INDEX(JupData!$A$2:$K$10000,MATCH($A948&amp;J$1,JupData!$A$2:$A$10000&amp;JupData!$J$2:$J$10000,0),11))</f>
        <v/>
      </c>
      <c r="K948" t="str">
        <f t="array" ref="K948">IF($A948="","",INDEX(JupData!$A$2:$K$10000,MATCH($A948&amp;K$1,JupData!$A$2:$A$10000&amp;JupData!$J$2:$J$10000,0),11))</f>
        <v/>
      </c>
      <c r="L948" t="str">
        <f t="array" ref="L948">IF($A948="","",INDEX(JupData!$A$2:$K$10000,MATCH($A948&amp;L$1,JupData!$A$2:$A$10000&amp;JupData!$J$2:$J$10000,0),11))</f>
        <v/>
      </c>
      <c r="M948" t="str">
        <f t="array" ref="M948">IF($A948="","",INDEX(JupData!$A$2:$K$10000,MATCH($A948&amp;M$1,JupData!$A$2:$A$10000&amp;JupData!$J$2:$J$10000,0),11))</f>
        <v/>
      </c>
      <c r="N948" t="str">
        <f t="array" ref="N948">IF($A948="","",INDEX(JupData!$A$2:$K$10000,MATCH($A948&amp;N$1,JupData!$A$2:$A$10000&amp;JupData!$J$2:$J$10000,0),11))</f>
        <v/>
      </c>
      <c r="O948" t="str">
        <f t="array" ref="O948">IF($A948="","",INDEX(JupData!$A$2:$K$10000,MATCH($A948&amp;O$1,JupData!$A$2:$A$10000&amp;JupData!$J$2:$J$10000,0),11))</f>
        <v/>
      </c>
      <c r="P948" t="str">
        <f t="array" ref="P948">IF($A948="","",INDEX(JupData!$A$2:$K$10000,MATCH($A948&amp;P$1,JupData!$A$2:$A$10000&amp;JupData!$J$2:$J$10000,0),11))</f>
        <v/>
      </c>
      <c r="Q948" t="str">
        <f t="array" ref="Q948">IF($A948="","",INDEX(JupData!$A$2:$K$10000,MATCH($A948&amp;Q$1,JupData!$A$2:$A$10000&amp;JupData!$J$2:$J$10000,0),11))</f>
        <v/>
      </c>
      <c r="R948" t="str">
        <f t="array" ref="R948">IF($A948="","",INDEX(JupData!$A$2:$K$10000,MATCH($A948&amp;R$1,JupData!$A$2:$A$10000&amp;JupData!$J$2:$J$10000,0),11))</f>
        <v/>
      </c>
      <c r="S948" t="str">
        <f t="array" ref="S948">IF($A948="","",INDEX(JupData!$A$2:$K$10000,MATCH($A948&amp;S$1,JupData!$A$2:$A$10000&amp;JupData!$J$2:$J$10000,0),11))</f>
        <v/>
      </c>
      <c r="T948" t="str">
        <f t="array" ref="T948">IF($A948="","",INDEX(JupData!$A$2:$K$10000,MATCH($A948&amp;T$1,JupData!$A$2:$A$10000&amp;JupData!$J$2:$J$10000,0),11))</f>
        <v/>
      </c>
      <c r="U948" t="str">
        <f t="array" ref="U948">IF($A948="","",INDEX(JupData!$A$2:$K$10000,MATCH($A948&amp;U$1,JupData!$A$2:$A$10000&amp;JupData!$J$2:$J$10000,0),11))</f>
        <v/>
      </c>
      <c r="V948" t="str">
        <f t="array" ref="V948">IF($A948="","",INDEX(JupData!$A$2:$K$10000,MATCH($A948&amp;V$1,JupData!$A$2:$A$10000&amp;JupData!$J$2:$J$10000,0),11))</f>
        <v/>
      </c>
      <c r="W948" t="str">
        <f t="array" ref="W948">IF($A948="","",INDEX(JupData!$A$2:$K$10000,MATCH($A948&amp;W$1,JupData!$A$2:$A$10000&amp;JupData!$J$2:$J$10000,0),11))</f>
        <v/>
      </c>
      <c r="X948" t="str">
        <f t="array" ref="X948">IF($A948="","",INDEX(JupData!$A$2:$K$10000,MATCH($A948&amp;X$1,JupData!$A$2:$A$10000&amp;JupData!$J$2:$J$10000,0),11))</f>
        <v/>
      </c>
      <c r="Y948" t="str">
        <f t="array" ref="Y948">IF($A948="","",INDEX(JupData!$A$2:$K$10000,MATCH($A948&amp;Y$1,JupData!$A$2:$A$10000&amp;JupData!$J$2:$J$10000,0),11))</f>
        <v/>
      </c>
      <c r="Z948" t="str">
        <f t="array" ref="Z948">IF($A948="","",INDEX(JupData!$A$2:$K$10000,MATCH($A948&amp;Z$1,JupData!$A$2:$A$10000&amp;JupData!$J$2:$J$10000,0),11))</f>
        <v/>
      </c>
      <c r="AA948" t="str">
        <f t="array" ref="AA948">IF($A948="","",INDEX(JupData!$A$2:$K$10000,MATCH($A948&amp;AA$1,JupData!$A$2:$A$10000&amp;JupData!$J$2:$J$10000,0),11))</f>
        <v/>
      </c>
      <c r="AB948" t="str">
        <f t="array" ref="AB948">IF($A948="","",INDEX(JupData!$A$2:$K$10000,MATCH($A948&amp;AB$1,JupData!$A$2:$A$10000&amp;JupData!$J$2:$J$10000,0),11))</f>
        <v/>
      </c>
      <c r="AC948" s="10" t="str">
        <f t="shared" si="154"/>
        <v/>
      </c>
      <c r="AD948" s="10" t="str">
        <f t="shared" si="155"/>
        <v/>
      </c>
      <c r="AE948" s="9" t="str">
        <f t="shared" si="156"/>
        <v/>
      </c>
      <c r="AF948" s="10" t="str">
        <f t="shared" si="157"/>
        <v/>
      </c>
      <c r="AG948" s="10" t="str">
        <f t="shared" si="158"/>
        <v/>
      </c>
      <c r="AH948" s="10" t="str">
        <f t="shared" si="159"/>
        <v/>
      </c>
      <c r="AI948" s="10" t="str">
        <f t="shared" si="160"/>
        <v/>
      </c>
      <c r="AJ948" s="10" t="str">
        <f t="shared" si="161"/>
        <v/>
      </c>
      <c r="AK948" s="10" t="str">
        <f t="shared" si="162"/>
        <v/>
      </c>
      <c r="AL948" s="14" t="str">
        <f t="shared" si="163"/>
        <v/>
      </c>
    </row>
    <row r="949" spans="1:38" x14ac:dyDescent="0.2">
      <c r="A949"/>
      <c r="B949" t="str">
        <f>IF($A949="","",VLOOKUP($A949,JupData!$A$2:$I$10000,4,FALSE))</f>
        <v/>
      </c>
      <c r="C949" s="7" t="str">
        <f>IF($A949="",IF(N(D949),0,""),VLOOKUP($A949,JupData!$A$2:$I$10000,7,FALSE))</f>
        <v/>
      </c>
      <c r="D949" t="str">
        <f t="shared" si="164"/>
        <v/>
      </c>
      <c r="E949" t="str">
        <f t="array" ref="E949">IF($A949="","",INDEX(JupData!$A$2:$K$10000,MATCH($A949&amp;E$1,JupData!$A$2:$A$10000&amp;JupData!$J$2:$J$10000,0),11))</f>
        <v/>
      </c>
      <c r="F949" t="str">
        <f t="array" ref="F949">IF($A949="","",INDEX(JupData!$A$2:$K$10000,MATCH($A949&amp;F$1,JupData!$A$2:$A$10000&amp;JupData!$J$2:$J$10000,0),11))</f>
        <v/>
      </c>
      <c r="G949" t="str">
        <f t="array" ref="G949">IF($A949="","",INDEX(JupData!$A$2:$K$10000,MATCH($A949&amp;G$1,JupData!$A$2:$A$10000&amp;JupData!$J$2:$J$10000,0),11))</f>
        <v/>
      </c>
      <c r="H949" t="str">
        <f t="array" ref="H949">IF($A949="","",INDEX(JupData!$A$2:$K$10000,MATCH($A949&amp;H$1,JupData!$A$2:$A$10000&amp;JupData!$J$2:$J$10000,0),11))</f>
        <v/>
      </c>
      <c r="I949" t="str">
        <f t="array" ref="I949">IF($A949="","",INDEX(JupData!$A$2:$K$10000,MATCH($A949&amp;I$1,JupData!$A$2:$A$10000&amp;JupData!$J$2:$J$10000,0),11))</f>
        <v/>
      </c>
      <c r="J949" t="str">
        <f t="array" ref="J949">IF($A949="","",INDEX(JupData!$A$2:$K$10000,MATCH($A949&amp;J$1,JupData!$A$2:$A$10000&amp;JupData!$J$2:$J$10000,0),11))</f>
        <v/>
      </c>
      <c r="K949" t="str">
        <f t="array" ref="K949">IF($A949="","",INDEX(JupData!$A$2:$K$10000,MATCH($A949&amp;K$1,JupData!$A$2:$A$10000&amp;JupData!$J$2:$J$10000,0),11))</f>
        <v/>
      </c>
      <c r="L949" t="str">
        <f t="array" ref="L949">IF($A949="","",INDEX(JupData!$A$2:$K$10000,MATCH($A949&amp;L$1,JupData!$A$2:$A$10000&amp;JupData!$J$2:$J$10000,0),11))</f>
        <v/>
      </c>
      <c r="M949" t="str">
        <f t="array" ref="M949">IF($A949="","",INDEX(JupData!$A$2:$K$10000,MATCH($A949&amp;M$1,JupData!$A$2:$A$10000&amp;JupData!$J$2:$J$10000,0),11))</f>
        <v/>
      </c>
      <c r="N949" t="str">
        <f t="array" ref="N949">IF($A949="","",INDEX(JupData!$A$2:$K$10000,MATCH($A949&amp;N$1,JupData!$A$2:$A$10000&amp;JupData!$J$2:$J$10000,0),11))</f>
        <v/>
      </c>
      <c r="O949" t="str">
        <f t="array" ref="O949">IF($A949="","",INDEX(JupData!$A$2:$K$10000,MATCH($A949&amp;O$1,JupData!$A$2:$A$10000&amp;JupData!$J$2:$J$10000,0),11))</f>
        <v/>
      </c>
      <c r="P949" t="str">
        <f t="array" ref="P949">IF($A949="","",INDEX(JupData!$A$2:$K$10000,MATCH($A949&amp;P$1,JupData!$A$2:$A$10000&amp;JupData!$J$2:$J$10000,0),11))</f>
        <v/>
      </c>
      <c r="Q949" t="str">
        <f t="array" ref="Q949">IF($A949="","",INDEX(JupData!$A$2:$K$10000,MATCH($A949&amp;Q$1,JupData!$A$2:$A$10000&amp;JupData!$J$2:$J$10000,0),11))</f>
        <v/>
      </c>
      <c r="R949" t="str">
        <f t="array" ref="R949">IF($A949="","",INDEX(JupData!$A$2:$K$10000,MATCH($A949&amp;R$1,JupData!$A$2:$A$10000&amp;JupData!$J$2:$J$10000,0),11))</f>
        <v/>
      </c>
      <c r="S949" t="str">
        <f t="array" ref="S949">IF($A949="","",INDEX(JupData!$A$2:$K$10000,MATCH($A949&amp;S$1,JupData!$A$2:$A$10000&amp;JupData!$J$2:$J$10000,0),11))</f>
        <v/>
      </c>
      <c r="T949" t="str">
        <f t="array" ref="T949">IF($A949="","",INDEX(JupData!$A$2:$K$10000,MATCH($A949&amp;T$1,JupData!$A$2:$A$10000&amp;JupData!$J$2:$J$10000,0),11))</f>
        <v/>
      </c>
      <c r="U949" t="str">
        <f t="array" ref="U949">IF($A949="","",INDEX(JupData!$A$2:$K$10000,MATCH($A949&amp;U$1,JupData!$A$2:$A$10000&amp;JupData!$J$2:$J$10000,0),11))</f>
        <v/>
      </c>
      <c r="V949" t="str">
        <f t="array" ref="V949">IF($A949="","",INDEX(JupData!$A$2:$K$10000,MATCH($A949&amp;V$1,JupData!$A$2:$A$10000&amp;JupData!$J$2:$J$10000,0),11))</f>
        <v/>
      </c>
      <c r="W949" t="str">
        <f t="array" ref="W949">IF($A949="","",INDEX(JupData!$A$2:$K$10000,MATCH($A949&amp;W$1,JupData!$A$2:$A$10000&amp;JupData!$J$2:$J$10000,0),11))</f>
        <v/>
      </c>
      <c r="X949" t="str">
        <f t="array" ref="X949">IF($A949="","",INDEX(JupData!$A$2:$K$10000,MATCH($A949&amp;X$1,JupData!$A$2:$A$10000&amp;JupData!$J$2:$J$10000,0),11))</f>
        <v/>
      </c>
      <c r="Y949" t="str">
        <f t="array" ref="Y949">IF($A949="","",INDEX(JupData!$A$2:$K$10000,MATCH($A949&amp;Y$1,JupData!$A$2:$A$10000&amp;JupData!$J$2:$J$10000,0),11))</f>
        <v/>
      </c>
      <c r="Z949" t="str">
        <f t="array" ref="Z949">IF($A949="","",INDEX(JupData!$A$2:$K$10000,MATCH($A949&amp;Z$1,JupData!$A$2:$A$10000&amp;JupData!$J$2:$J$10000,0),11))</f>
        <v/>
      </c>
      <c r="AA949" t="str">
        <f t="array" ref="AA949">IF($A949="","",INDEX(JupData!$A$2:$K$10000,MATCH($A949&amp;AA$1,JupData!$A$2:$A$10000&amp;JupData!$J$2:$J$10000,0),11))</f>
        <v/>
      </c>
      <c r="AB949" t="str">
        <f t="array" ref="AB949">IF($A949="","",INDEX(JupData!$A$2:$K$10000,MATCH($A949&amp;AB$1,JupData!$A$2:$A$10000&amp;JupData!$J$2:$J$10000,0),11))</f>
        <v/>
      </c>
      <c r="AC949" s="10" t="str">
        <f t="shared" si="154"/>
        <v/>
      </c>
      <c r="AD949" s="10" t="str">
        <f t="shared" si="155"/>
        <v/>
      </c>
      <c r="AE949" s="9" t="str">
        <f t="shared" si="156"/>
        <v/>
      </c>
      <c r="AF949" s="10" t="str">
        <f t="shared" si="157"/>
        <v/>
      </c>
      <c r="AG949" s="10" t="str">
        <f t="shared" si="158"/>
        <v/>
      </c>
      <c r="AH949" s="10" t="str">
        <f t="shared" si="159"/>
        <v/>
      </c>
      <c r="AI949" s="10" t="str">
        <f t="shared" si="160"/>
        <v/>
      </c>
      <c r="AJ949" s="10" t="str">
        <f t="shared" si="161"/>
        <v/>
      </c>
      <c r="AK949" s="10" t="str">
        <f t="shared" si="162"/>
        <v/>
      </c>
      <c r="AL949" s="14" t="str">
        <f t="shared" si="163"/>
        <v/>
      </c>
    </row>
    <row r="950" spans="1:38" x14ac:dyDescent="0.2">
      <c r="A950"/>
      <c r="B950" t="str">
        <f>IF($A950="","",VLOOKUP($A950,JupData!$A$2:$I$10000,4,FALSE))</f>
        <v/>
      </c>
      <c r="C950" s="7" t="str">
        <f>IF($A950="",IF(N(D950),0,""),VLOOKUP($A950,JupData!$A$2:$I$10000,7,FALSE))</f>
        <v/>
      </c>
      <c r="D950" t="str">
        <f t="shared" si="164"/>
        <v/>
      </c>
      <c r="E950" t="str">
        <f t="array" ref="E950">IF($A950="","",INDEX(JupData!$A$2:$K$10000,MATCH($A950&amp;E$1,JupData!$A$2:$A$10000&amp;JupData!$J$2:$J$10000,0),11))</f>
        <v/>
      </c>
      <c r="F950" t="str">
        <f t="array" ref="F950">IF($A950="","",INDEX(JupData!$A$2:$K$10000,MATCH($A950&amp;F$1,JupData!$A$2:$A$10000&amp;JupData!$J$2:$J$10000,0),11))</f>
        <v/>
      </c>
      <c r="G950" t="str">
        <f t="array" ref="G950">IF($A950="","",INDEX(JupData!$A$2:$K$10000,MATCH($A950&amp;G$1,JupData!$A$2:$A$10000&amp;JupData!$J$2:$J$10000,0),11))</f>
        <v/>
      </c>
      <c r="H950" t="str">
        <f t="array" ref="H950">IF($A950="","",INDEX(JupData!$A$2:$K$10000,MATCH($A950&amp;H$1,JupData!$A$2:$A$10000&amp;JupData!$J$2:$J$10000,0),11))</f>
        <v/>
      </c>
      <c r="I950" t="str">
        <f t="array" ref="I950">IF($A950="","",INDEX(JupData!$A$2:$K$10000,MATCH($A950&amp;I$1,JupData!$A$2:$A$10000&amp;JupData!$J$2:$J$10000,0),11))</f>
        <v/>
      </c>
      <c r="J950" t="str">
        <f t="array" ref="J950">IF($A950="","",INDEX(JupData!$A$2:$K$10000,MATCH($A950&amp;J$1,JupData!$A$2:$A$10000&amp;JupData!$J$2:$J$10000,0),11))</f>
        <v/>
      </c>
      <c r="K950" t="str">
        <f t="array" ref="K950">IF($A950="","",INDEX(JupData!$A$2:$K$10000,MATCH($A950&amp;K$1,JupData!$A$2:$A$10000&amp;JupData!$J$2:$J$10000,0),11))</f>
        <v/>
      </c>
      <c r="L950" t="str">
        <f t="array" ref="L950">IF($A950="","",INDEX(JupData!$A$2:$K$10000,MATCH($A950&amp;L$1,JupData!$A$2:$A$10000&amp;JupData!$J$2:$J$10000,0),11))</f>
        <v/>
      </c>
      <c r="M950" t="str">
        <f t="array" ref="M950">IF($A950="","",INDEX(JupData!$A$2:$K$10000,MATCH($A950&amp;M$1,JupData!$A$2:$A$10000&amp;JupData!$J$2:$J$10000,0),11))</f>
        <v/>
      </c>
      <c r="N950" t="str">
        <f t="array" ref="N950">IF($A950="","",INDEX(JupData!$A$2:$K$10000,MATCH($A950&amp;N$1,JupData!$A$2:$A$10000&amp;JupData!$J$2:$J$10000,0),11))</f>
        <v/>
      </c>
      <c r="O950" t="str">
        <f t="array" ref="O950">IF($A950="","",INDEX(JupData!$A$2:$K$10000,MATCH($A950&amp;O$1,JupData!$A$2:$A$10000&amp;JupData!$J$2:$J$10000,0),11))</f>
        <v/>
      </c>
      <c r="P950" t="str">
        <f t="array" ref="P950">IF($A950="","",INDEX(JupData!$A$2:$K$10000,MATCH($A950&amp;P$1,JupData!$A$2:$A$10000&amp;JupData!$J$2:$J$10000,0),11))</f>
        <v/>
      </c>
      <c r="Q950" t="str">
        <f t="array" ref="Q950">IF($A950="","",INDEX(JupData!$A$2:$K$10000,MATCH($A950&amp;Q$1,JupData!$A$2:$A$10000&amp;JupData!$J$2:$J$10000,0),11))</f>
        <v/>
      </c>
      <c r="R950" t="str">
        <f t="array" ref="R950">IF($A950="","",INDEX(JupData!$A$2:$K$10000,MATCH($A950&amp;R$1,JupData!$A$2:$A$10000&amp;JupData!$J$2:$J$10000,0),11))</f>
        <v/>
      </c>
      <c r="S950" t="str">
        <f t="array" ref="S950">IF($A950="","",INDEX(JupData!$A$2:$K$10000,MATCH($A950&amp;S$1,JupData!$A$2:$A$10000&amp;JupData!$J$2:$J$10000,0),11))</f>
        <v/>
      </c>
      <c r="T950" t="str">
        <f t="array" ref="T950">IF($A950="","",INDEX(JupData!$A$2:$K$10000,MATCH($A950&amp;T$1,JupData!$A$2:$A$10000&amp;JupData!$J$2:$J$10000,0),11))</f>
        <v/>
      </c>
      <c r="U950" t="str">
        <f t="array" ref="U950">IF($A950="","",INDEX(JupData!$A$2:$K$10000,MATCH($A950&amp;U$1,JupData!$A$2:$A$10000&amp;JupData!$J$2:$J$10000,0),11))</f>
        <v/>
      </c>
      <c r="V950" t="str">
        <f t="array" ref="V950">IF($A950="","",INDEX(JupData!$A$2:$K$10000,MATCH($A950&amp;V$1,JupData!$A$2:$A$10000&amp;JupData!$J$2:$J$10000,0),11))</f>
        <v/>
      </c>
      <c r="W950" t="str">
        <f t="array" ref="W950">IF($A950="","",INDEX(JupData!$A$2:$K$10000,MATCH($A950&amp;W$1,JupData!$A$2:$A$10000&amp;JupData!$J$2:$J$10000,0),11))</f>
        <v/>
      </c>
      <c r="X950" t="str">
        <f t="array" ref="X950">IF($A950="","",INDEX(JupData!$A$2:$K$10000,MATCH($A950&amp;X$1,JupData!$A$2:$A$10000&amp;JupData!$J$2:$J$10000,0),11))</f>
        <v/>
      </c>
      <c r="Y950" t="str">
        <f t="array" ref="Y950">IF($A950="","",INDEX(JupData!$A$2:$K$10000,MATCH($A950&amp;Y$1,JupData!$A$2:$A$10000&amp;JupData!$J$2:$J$10000,0),11))</f>
        <v/>
      </c>
      <c r="Z950" t="str">
        <f t="array" ref="Z950">IF($A950="","",INDEX(JupData!$A$2:$K$10000,MATCH($A950&amp;Z$1,JupData!$A$2:$A$10000&amp;JupData!$J$2:$J$10000,0),11))</f>
        <v/>
      </c>
      <c r="AA950" t="str">
        <f t="array" ref="AA950">IF($A950="","",INDEX(JupData!$A$2:$K$10000,MATCH($A950&amp;AA$1,JupData!$A$2:$A$10000&amp;JupData!$J$2:$J$10000,0),11))</f>
        <v/>
      </c>
      <c r="AB950" t="str">
        <f t="array" ref="AB950">IF($A950="","",INDEX(JupData!$A$2:$K$10000,MATCH($A950&amp;AB$1,JupData!$A$2:$A$10000&amp;JupData!$J$2:$J$10000,0),11))</f>
        <v/>
      </c>
      <c r="AC950" s="10" t="str">
        <f t="shared" si="154"/>
        <v/>
      </c>
      <c r="AD950" s="10" t="str">
        <f t="shared" si="155"/>
        <v/>
      </c>
      <c r="AE950" s="9" t="str">
        <f t="shared" si="156"/>
        <v/>
      </c>
      <c r="AF950" s="10" t="str">
        <f t="shared" si="157"/>
        <v/>
      </c>
      <c r="AG950" s="10" t="str">
        <f t="shared" si="158"/>
        <v/>
      </c>
      <c r="AH950" s="10" t="str">
        <f t="shared" si="159"/>
        <v/>
      </c>
      <c r="AI950" s="10" t="str">
        <f t="shared" si="160"/>
        <v/>
      </c>
      <c r="AJ950" s="10" t="str">
        <f t="shared" si="161"/>
        <v/>
      </c>
      <c r="AK950" s="10" t="str">
        <f t="shared" si="162"/>
        <v/>
      </c>
      <c r="AL950" s="14" t="str">
        <f t="shared" si="163"/>
        <v/>
      </c>
    </row>
    <row r="951" spans="1:38" x14ac:dyDescent="0.2">
      <c r="A951"/>
      <c r="B951" t="str">
        <f>IF($A951="","",VLOOKUP($A951,JupData!$A$2:$I$10000,4,FALSE))</f>
        <v/>
      </c>
      <c r="C951" s="7" t="str">
        <f>IF($A951="",IF(N(D951),0,""),VLOOKUP($A951,JupData!$A$2:$I$10000,7,FALSE))</f>
        <v/>
      </c>
      <c r="D951" t="str">
        <f t="shared" si="164"/>
        <v/>
      </c>
      <c r="E951" t="str">
        <f t="array" ref="E951">IF($A951="","",INDEX(JupData!$A$2:$K$10000,MATCH($A951&amp;E$1,JupData!$A$2:$A$10000&amp;JupData!$J$2:$J$10000,0),11))</f>
        <v/>
      </c>
      <c r="F951" t="str">
        <f t="array" ref="F951">IF($A951="","",INDEX(JupData!$A$2:$K$10000,MATCH($A951&amp;F$1,JupData!$A$2:$A$10000&amp;JupData!$J$2:$J$10000,0),11))</f>
        <v/>
      </c>
      <c r="G951" t="str">
        <f t="array" ref="G951">IF($A951="","",INDEX(JupData!$A$2:$K$10000,MATCH($A951&amp;G$1,JupData!$A$2:$A$10000&amp;JupData!$J$2:$J$10000,0),11))</f>
        <v/>
      </c>
      <c r="H951" t="str">
        <f t="array" ref="H951">IF($A951="","",INDEX(JupData!$A$2:$K$10000,MATCH($A951&amp;H$1,JupData!$A$2:$A$10000&amp;JupData!$J$2:$J$10000,0),11))</f>
        <v/>
      </c>
      <c r="I951" t="str">
        <f t="array" ref="I951">IF($A951="","",INDEX(JupData!$A$2:$K$10000,MATCH($A951&amp;I$1,JupData!$A$2:$A$10000&amp;JupData!$J$2:$J$10000,0),11))</f>
        <v/>
      </c>
      <c r="J951" t="str">
        <f t="array" ref="J951">IF($A951="","",INDEX(JupData!$A$2:$K$10000,MATCH($A951&amp;J$1,JupData!$A$2:$A$10000&amp;JupData!$J$2:$J$10000,0),11))</f>
        <v/>
      </c>
      <c r="K951" t="str">
        <f t="array" ref="K951">IF($A951="","",INDEX(JupData!$A$2:$K$10000,MATCH($A951&amp;K$1,JupData!$A$2:$A$10000&amp;JupData!$J$2:$J$10000,0),11))</f>
        <v/>
      </c>
      <c r="L951" t="str">
        <f t="array" ref="L951">IF($A951="","",INDEX(JupData!$A$2:$K$10000,MATCH($A951&amp;L$1,JupData!$A$2:$A$10000&amp;JupData!$J$2:$J$10000,0),11))</f>
        <v/>
      </c>
      <c r="M951" t="str">
        <f t="array" ref="M951">IF($A951="","",INDEX(JupData!$A$2:$K$10000,MATCH($A951&amp;M$1,JupData!$A$2:$A$10000&amp;JupData!$J$2:$J$10000,0),11))</f>
        <v/>
      </c>
      <c r="N951" t="str">
        <f t="array" ref="N951">IF($A951="","",INDEX(JupData!$A$2:$K$10000,MATCH($A951&amp;N$1,JupData!$A$2:$A$10000&amp;JupData!$J$2:$J$10000,0),11))</f>
        <v/>
      </c>
      <c r="O951" t="str">
        <f t="array" ref="O951">IF($A951="","",INDEX(JupData!$A$2:$K$10000,MATCH($A951&amp;O$1,JupData!$A$2:$A$10000&amp;JupData!$J$2:$J$10000,0),11))</f>
        <v/>
      </c>
      <c r="P951" t="str">
        <f t="array" ref="P951">IF($A951="","",INDEX(JupData!$A$2:$K$10000,MATCH($A951&amp;P$1,JupData!$A$2:$A$10000&amp;JupData!$J$2:$J$10000,0),11))</f>
        <v/>
      </c>
      <c r="Q951" t="str">
        <f t="array" ref="Q951">IF($A951="","",INDEX(JupData!$A$2:$K$10000,MATCH($A951&amp;Q$1,JupData!$A$2:$A$10000&amp;JupData!$J$2:$J$10000,0),11))</f>
        <v/>
      </c>
      <c r="R951" t="str">
        <f t="array" ref="R951">IF($A951="","",INDEX(JupData!$A$2:$K$10000,MATCH($A951&amp;R$1,JupData!$A$2:$A$10000&amp;JupData!$J$2:$J$10000,0),11))</f>
        <v/>
      </c>
      <c r="S951" t="str">
        <f t="array" ref="S951">IF($A951="","",INDEX(JupData!$A$2:$K$10000,MATCH($A951&amp;S$1,JupData!$A$2:$A$10000&amp;JupData!$J$2:$J$10000,0),11))</f>
        <v/>
      </c>
      <c r="T951" t="str">
        <f t="array" ref="T951">IF($A951="","",INDEX(JupData!$A$2:$K$10000,MATCH($A951&amp;T$1,JupData!$A$2:$A$10000&amp;JupData!$J$2:$J$10000,0),11))</f>
        <v/>
      </c>
      <c r="U951" t="str">
        <f t="array" ref="U951">IF($A951="","",INDEX(JupData!$A$2:$K$10000,MATCH($A951&amp;U$1,JupData!$A$2:$A$10000&amp;JupData!$J$2:$J$10000,0),11))</f>
        <v/>
      </c>
      <c r="V951" t="str">
        <f t="array" ref="V951">IF($A951="","",INDEX(JupData!$A$2:$K$10000,MATCH($A951&amp;V$1,JupData!$A$2:$A$10000&amp;JupData!$J$2:$J$10000,0),11))</f>
        <v/>
      </c>
      <c r="W951" t="str">
        <f t="array" ref="W951">IF($A951="","",INDEX(JupData!$A$2:$K$10000,MATCH($A951&amp;W$1,JupData!$A$2:$A$10000&amp;JupData!$J$2:$J$10000,0),11))</f>
        <v/>
      </c>
      <c r="X951" t="str">
        <f t="array" ref="X951">IF($A951="","",INDEX(JupData!$A$2:$K$10000,MATCH($A951&amp;X$1,JupData!$A$2:$A$10000&amp;JupData!$J$2:$J$10000,0),11))</f>
        <v/>
      </c>
      <c r="Y951" t="str">
        <f t="array" ref="Y951">IF($A951="","",INDEX(JupData!$A$2:$K$10000,MATCH($A951&amp;Y$1,JupData!$A$2:$A$10000&amp;JupData!$J$2:$J$10000,0),11))</f>
        <v/>
      </c>
      <c r="Z951" t="str">
        <f t="array" ref="Z951">IF($A951="","",INDEX(JupData!$A$2:$K$10000,MATCH($A951&amp;Z$1,JupData!$A$2:$A$10000&amp;JupData!$J$2:$J$10000,0),11))</f>
        <v/>
      </c>
      <c r="AA951" t="str">
        <f t="array" ref="AA951">IF($A951="","",INDEX(JupData!$A$2:$K$10000,MATCH($A951&amp;AA$1,JupData!$A$2:$A$10000&amp;JupData!$J$2:$J$10000,0),11))</f>
        <v/>
      </c>
      <c r="AB951" t="str">
        <f t="array" ref="AB951">IF($A951="","",INDEX(JupData!$A$2:$K$10000,MATCH($A951&amp;AB$1,JupData!$A$2:$A$10000&amp;JupData!$J$2:$J$10000,0),11))</f>
        <v/>
      </c>
      <c r="AC951" s="10" t="str">
        <f t="shared" si="154"/>
        <v/>
      </c>
      <c r="AD951" s="10" t="str">
        <f t="shared" si="155"/>
        <v/>
      </c>
      <c r="AE951" s="9" t="str">
        <f t="shared" si="156"/>
        <v/>
      </c>
      <c r="AF951" s="10" t="str">
        <f t="shared" si="157"/>
        <v/>
      </c>
      <c r="AG951" s="10" t="str">
        <f t="shared" si="158"/>
        <v/>
      </c>
      <c r="AH951" s="10" t="str">
        <f t="shared" si="159"/>
        <v/>
      </c>
      <c r="AI951" s="10" t="str">
        <f t="shared" si="160"/>
        <v/>
      </c>
      <c r="AJ951" s="10" t="str">
        <f t="shared" si="161"/>
        <v/>
      </c>
      <c r="AK951" s="10" t="str">
        <f t="shared" si="162"/>
        <v/>
      </c>
      <c r="AL951" s="14" t="str">
        <f t="shared" si="163"/>
        <v/>
      </c>
    </row>
    <row r="952" spans="1:38" x14ac:dyDescent="0.2">
      <c r="A952"/>
      <c r="B952" t="str">
        <f>IF($A952="","",VLOOKUP($A952,JupData!$A$2:$I$10000,4,FALSE))</f>
        <v/>
      </c>
      <c r="C952" s="7" t="str">
        <f>IF($A952="",IF(N(D952),0,""),VLOOKUP($A952,JupData!$A$2:$I$10000,7,FALSE))</f>
        <v/>
      </c>
      <c r="D952" t="str">
        <f t="shared" si="164"/>
        <v/>
      </c>
      <c r="E952" t="str">
        <f t="array" ref="E952">IF($A952="","",INDEX(JupData!$A$2:$K$10000,MATCH($A952&amp;E$1,JupData!$A$2:$A$10000&amp;JupData!$J$2:$J$10000,0),11))</f>
        <v/>
      </c>
      <c r="F952" t="str">
        <f t="array" ref="F952">IF($A952="","",INDEX(JupData!$A$2:$K$10000,MATCH($A952&amp;F$1,JupData!$A$2:$A$10000&amp;JupData!$J$2:$J$10000,0),11))</f>
        <v/>
      </c>
      <c r="G952" t="str">
        <f t="array" ref="G952">IF($A952="","",INDEX(JupData!$A$2:$K$10000,MATCH($A952&amp;G$1,JupData!$A$2:$A$10000&amp;JupData!$J$2:$J$10000,0),11))</f>
        <v/>
      </c>
      <c r="H952" t="str">
        <f t="array" ref="H952">IF($A952="","",INDEX(JupData!$A$2:$K$10000,MATCH($A952&amp;H$1,JupData!$A$2:$A$10000&amp;JupData!$J$2:$J$10000,0),11))</f>
        <v/>
      </c>
      <c r="I952" t="str">
        <f t="array" ref="I952">IF($A952="","",INDEX(JupData!$A$2:$K$10000,MATCH($A952&amp;I$1,JupData!$A$2:$A$10000&amp;JupData!$J$2:$J$10000,0),11))</f>
        <v/>
      </c>
      <c r="J952" t="str">
        <f t="array" ref="J952">IF($A952="","",INDEX(JupData!$A$2:$K$10000,MATCH($A952&amp;J$1,JupData!$A$2:$A$10000&amp;JupData!$J$2:$J$10000,0),11))</f>
        <v/>
      </c>
      <c r="K952" t="str">
        <f t="array" ref="K952">IF($A952="","",INDEX(JupData!$A$2:$K$10000,MATCH($A952&amp;K$1,JupData!$A$2:$A$10000&amp;JupData!$J$2:$J$10000,0),11))</f>
        <v/>
      </c>
      <c r="L952" t="str">
        <f t="array" ref="L952">IF($A952="","",INDEX(JupData!$A$2:$K$10000,MATCH($A952&amp;L$1,JupData!$A$2:$A$10000&amp;JupData!$J$2:$J$10000,0),11))</f>
        <v/>
      </c>
      <c r="M952" t="str">
        <f t="array" ref="M952">IF($A952="","",INDEX(JupData!$A$2:$K$10000,MATCH($A952&amp;M$1,JupData!$A$2:$A$10000&amp;JupData!$J$2:$J$10000,0),11))</f>
        <v/>
      </c>
      <c r="N952" t="str">
        <f t="array" ref="N952">IF($A952="","",INDEX(JupData!$A$2:$K$10000,MATCH($A952&amp;N$1,JupData!$A$2:$A$10000&amp;JupData!$J$2:$J$10000,0),11))</f>
        <v/>
      </c>
      <c r="O952" t="str">
        <f t="array" ref="O952">IF($A952="","",INDEX(JupData!$A$2:$K$10000,MATCH($A952&amp;O$1,JupData!$A$2:$A$10000&amp;JupData!$J$2:$J$10000,0),11))</f>
        <v/>
      </c>
      <c r="P952" t="str">
        <f t="array" ref="P952">IF($A952="","",INDEX(JupData!$A$2:$K$10000,MATCH($A952&amp;P$1,JupData!$A$2:$A$10000&amp;JupData!$J$2:$J$10000,0),11))</f>
        <v/>
      </c>
      <c r="Q952" t="str">
        <f t="array" ref="Q952">IF($A952="","",INDEX(JupData!$A$2:$K$10000,MATCH($A952&amp;Q$1,JupData!$A$2:$A$10000&amp;JupData!$J$2:$J$10000,0),11))</f>
        <v/>
      </c>
      <c r="R952" t="str">
        <f t="array" ref="R952">IF($A952="","",INDEX(JupData!$A$2:$K$10000,MATCH($A952&amp;R$1,JupData!$A$2:$A$10000&amp;JupData!$J$2:$J$10000,0),11))</f>
        <v/>
      </c>
      <c r="S952" t="str">
        <f t="array" ref="S952">IF($A952="","",INDEX(JupData!$A$2:$K$10000,MATCH($A952&amp;S$1,JupData!$A$2:$A$10000&amp;JupData!$J$2:$J$10000,0),11))</f>
        <v/>
      </c>
      <c r="T952" t="str">
        <f t="array" ref="T952">IF($A952="","",INDEX(JupData!$A$2:$K$10000,MATCH($A952&amp;T$1,JupData!$A$2:$A$10000&amp;JupData!$J$2:$J$10000,0),11))</f>
        <v/>
      </c>
      <c r="U952" t="str">
        <f t="array" ref="U952">IF($A952="","",INDEX(JupData!$A$2:$K$10000,MATCH($A952&amp;U$1,JupData!$A$2:$A$10000&amp;JupData!$J$2:$J$10000,0),11))</f>
        <v/>
      </c>
      <c r="V952" t="str">
        <f t="array" ref="V952">IF($A952="","",INDEX(JupData!$A$2:$K$10000,MATCH($A952&amp;V$1,JupData!$A$2:$A$10000&amp;JupData!$J$2:$J$10000,0),11))</f>
        <v/>
      </c>
      <c r="W952" t="str">
        <f t="array" ref="W952">IF($A952="","",INDEX(JupData!$A$2:$K$10000,MATCH($A952&amp;W$1,JupData!$A$2:$A$10000&amp;JupData!$J$2:$J$10000,0),11))</f>
        <v/>
      </c>
      <c r="X952" t="str">
        <f t="array" ref="X952">IF($A952="","",INDEX(JupData!$A$2:$K$10000,MATCH($A952&amp;X$1,JupData!$A$2:$A$10000&amp;JupData!$J$2:$J$10000,0),11))</f>
        <v/>
      </c>
      <c r="Y952" t="str">
        <f t="array" ref="Y952">IF($A952="","",INDEX(JupData!$A$2:$K$10000,MATCH($A952&amp;Y$1,JupData!$A$2:$A$10000&amp;JupData!$J$2:$J$10000,0),11))</f>
        <v/>
      </c>
      <c r="Z952" t="str">
        <f t="array" ref="Z952">IF($A952="","",INDEX(JupData!$A$2:$K$10000,MATCH($A952&amp;Z$1,JupData!$A$2:$A$10000&amp;JupData!$J$2:$J$10000,0),11))</f>
        <v/>
      </c>
      <c r="AA952" t="str">
        <f t="array" ref="AA952">IF($A952="","",INDEX(JupData!$A$2:$K$10000,MATCH($A952&amp;AA$1,JupData!$A$2:$A$10000&amp;JupData!$J$2:$J$10000,0),11))</f>
        <v/>
      </c>
      <c r="AB952" t="str">
        <f t="array" ref="AB952">IF($A952="","",INDEX(JupData!$A$2:$K$10000,MATCH($A952&amp;AB$1,JupData!$A$2:$A$10000&amp;JupData!$J$2:$J$10000,0),11))</f>
        <v/>
      </c>
      <c r="AC952" s="10" t="str">
        <f t="shared" si="154"/>
        <v/>
      </c>
      <c r="AD952" s="10" t="str">
        <f t="shared" si="155"/>
        <v/>
      </c>
      <c r="AE952" s="9" t="str">
        <f t="shared" si="156"/>
        <v/>
      </c>
      <c r="AF952" s="10" t="str">
        <f t="shared" si="157"/>
        <v/>
      </c>
      <c r="AG952" s="10" t="str">
        <f t="shared" si="158"/>
        <v/>
      </c>
      <c r="AH952" s="10" t="str">
        <f t="shared" si="159"/>
        <v/>
      </c>
      <c r="AI952" s="10" t="str">
        <f t="shared" si="160"/>
        <v/>
      </c>
      <c r="AJ952" s="10" t="str">
        <f t="shared" si="161"/>
        <v/>
      </c>
      <c r="AK952" s="10" t="str">
        <f t="shared" si="162"/>
        <v/>
      </c>
      <c r="AL952" s="14" t="str">
        <f t="shared" si="163"/>
        <v/>
      </c>
    </row>
    <row r="953" spans="1:38" x14ac:dyDescent="0.2">
      <c r="A953"/>
      <c r="B953" t="str">
        <f>IF($A953="","",VLOOKUP($A953,JupData!$A$2:$I$10000,4,FALSE))</f>
        <v/>
      </c>
      <c r="C953" s="7" t="str">
        <f>IF($A953="",IF(N(D953),0,""),VLOOKUP($A953,JupData!$A$2:$I$10000,7,FALSE))</f>
        <v/>
      </c>
      <c r="D953" t="str">
        <f t="shared" si="164"/>
        <v/>
      </c>
      <c r="E953" t="str">
        <f t="array" ref="E953">IF($A953="","",INDEX(JupData!$A$2:$K$10000,MATCH($A953&amp;E$1,JupData!$A$2:$A$10000&amp;JupData!$J$2:$J$10000,0),11))</f>
        <v/>
      </c>
      <c r="F953" t="str">
        <f t="array" ref="F953">IF($A953="","",INDEX(JupData!$A$2:$K$10000,MATCH($A953&amp;F$1,JupData!$A$2:$A$10000&amp;JupData!$J$2:$J$10000,0),11))</f>
        <v/>
      </c>
      <c r="G953" t="str">
        <f t="array" ref="G953">IF($A953="","",INDEX(JupData!$A$2:$K$10000,MATCH($A953&amp;G$1,JupData!$A$2:$A$10000&amp;JupData!$J$2:$J$10000,0),11))</f>
        <v/>
      </c>
      <c r="H953" t="str">
        <f t="array" ref="H953">IF($A953="","",INDEX(JupData!$A$2:$K$10000,MATCH($A953&amp;H$1,JupData!$A$2:$A$10000&amp;JupData!$J$2:$J$10000,0),11))</f>
        <v/>
      </c>
      <c r="I953" t="str">
        <f t="array" ref="I953">IF($A953="","",INDEX(JupData!$A$2:$K$10000,MATCH($A953&amp;I$1,JupData!$A$2:$A$10000&amp;JupData!$J$2:$J$10000,0),11))</f>
        <v/>
      </c>
      <c r="J953" t="str">
        <f t="array" ref="J953">IF($A953="","",INDEX(JupData!$A$2:$K$10000,MATCH($A953&amp;J$1,JupData!$A$2:$A$10000&amp;JupData!$J$2:$J$10000,0),11))</f>
        <v/>
      </c>
      <c r="K953" t="str">
        <f t="array" ref="K953">IF($A953="","",INDEX(JupData!$A$2:$K$10000,MATCH($A953&amp;K$1,JupData!$A$2:$A$10000&amp;JupData!$J$2:$J$10000,0),11))</f>
        <v/>
      </c>
      <c r="L953" t="str">
        <f t="array" ref="L953">IF($A953="","",INDEX(JupData!$A$2:$K$10000,MATCH($A953&amp;L$1,JupData!$A$2:$A$10000&amp;JupData!$J$2:$J$10000,0),11))</f>
        <v/>
      </c>
      <c r="M953" t="str">
        <f t="array" ref="M953">IF($A953="","",INDEX(JupData!$A$2:$K$10000,MATCH($A953&amp;M$1,JupData!$A$2:$A$10000&amp;JupData!$J$2:$J$10000,0),11))</f>
        <v/>
      </c>
      <c r="N953" t="str">
        <f t="array" ref="N953">IF($A953="","",INDEX(JupData!$A$2:$K$10000,MATCH($A953&amp;N$1,JupData!$A$2:$A$10000&amp;JupData!$J$2:$J$10000,0),11))</f>
        <v/>
      </c>
      <c r="O953" t="str">
        <f t="array" ref="O953">IF($A953="","",INDEX(JupData!$A$2:$K$10000,MATCH($A953&amp;O$1,JupData!$A$2:$A$10000&amp;JupData!$J$2:$J$10000,0),11))</f>
        <v/>
      </c>
      <c r="P953" t="str">
        <f t="array" ref="P953">IF($A953="","",INDEX(JupData!$A$2:$K$10000,MATCH($A953&amp;P$1,JupData!$A$2:$A$10000&amp;JupData!$J$2:$J$10000,0),11))</f>
        <v/>
      </c>
      <c r="Q953" t="str">
        <f t="array" ref="Q953">IF($A953="","",INDEX(JupData!$A$2:$K$10000,MATCH($A953&amp;Q$1,JupData!$A$2:$A$10000&amp;JupData!$J$2:$J$10000,0),11))</f>
        <v/>
      </c>
      <c r="R953" t="str">
        <f t="array" ref="R953">IF($A953="","",INDEX(JupData!$A$2:$K$10000,MATCH($A953&amp;R$1,JupData!$A$2:$A$10000&amp;JupData!$J$2:$J$10000,0),11))</f>
        <v/>
      </c>
      <c r="S953" t="str">
        <f t="array" ref="S953">IF($A953="","",INDEX(JupData!$A$2:$K$10000,MATCH($A953&amp;S$1,JupData!$A$2:$A$10000&amp;JupData!$J$2:$J$10000,0),11))</f>
        <v/>
      </c>
      <c r="T953" t="str">
        <f t="array" ref="T953">IF($A953="","",INDEX(JupData!$A$2:$K$10000,MATCH($A953&amp;T$1,JupData!$A$2:$A$10000&amp;JupData!$J$2:$J$10000,0),11))</f>
        <v/>
      </c>
      <c r="U953" t="str">
        <f t="array" ref="U953">IF($A953="","",INDEX(JupData!$A$2:$K$10000,MATCH($A953&amp;U$1,JupData!$A$2:$A$10000&amp;JupData!$J$2:$J$10000,0),11))</f>
        <v/>
      </c>
      <c r="V953" t="str">
        <f t="array" ref="V953">IF($A953="","",INDEX(JupData!$A$2:$K$10000,MATCH($A953&amp;V$1,JupData!$A$2:$A$10000&amp;JupData!$J$2:$J$10000,0),11))</f>
        <v/>
      </c>
      <c r="W953" t="str">
        <f t="array" ref="W953">IF($A953="","",INDEX(JupData!$A$2:$K$10000,MATCH($A953&amp;W$1,JupData!$A$2:$A$10000&amp;JupData!$J$2:$J$10000,0),11))</f>
        <v/>
      </c>
      <c r="X953" t="str">
        <f t="array" ref="X953">IF($A953="","",INDEX(JupData!$A$2:$K$10000,MATCH($A953&amp;X$1,JupData!$A$2:$A$10000&amp;JupData!$J$2:$J$10000,0),11))</f>
        <v/>
      </c>
      <c r="Y953" t="str">
        <f t="array" ref="Y953">IF($A953="","",INDEX(JupData!$A$2:$K$10000,MATCH($A953&amp;Y$1,JupData!$A$2:$A$10000&amp;JupData!$J$2:$J$10000,0),11))</f>
        <v/>
      </c>
      <c r="Z953" t="str">
        <f t="array" ref="Z953">IF($A953="","",INDEX(JupData!$A$2:$K$10000,MATCH($A953&amp;Z$1,JupData!$A$2:$A$10000&amp;JupData!$J$2:$J$10000,0),11))</f>
        <v/>
      </c>
      <c r="AA953" t="str">
        <f t="array" ref="AA953">IF($A953="","",INDEX(JupData!$A$2:$K$10000,MATCH($A953&amp;AA$1,JupData!$A$2:$A$10000&amp;JupData!$J$2:$J$10000,0),11))</f>
        <v/>
      </c>
      <c r="AB953" t="str">
        <f t="array" ref="AB953">IF($A953="","",INDEX(JupData!$A$2:$K$10000,MATCH($A953&amp;AB$1,JupData!$A$2:$A$10000&amp;JupData!$J$2:$J$10000,0),11))</f>
        <v/>
      </c>
      <c r="AC953" s="10" t="str">
        <f t="shared" si="154"/>
        <v/>
      </c>
      <c r="AD953" s="10" t="str">
        <f t="shared" si="155"/>
        <v/>
      </c>
      <c r="AE953" s="9" t="str">
        <f t="shared" si="156"/>
        <v/>
      </c>
      <c r="AF953" s="10" t="str">
        <f t="shared" si="157"/>
        <v/>
      </c>
      <c r="AG953" s="10" t="str">
        <f t="shared" si="158"/>
        <v/>
      </c>
      <c r="AH953" s="10" t="str">
        <f t="shared" si="159"/>
        <v/>
      </c>
      <c r="AI953" s="10" t="str">
        <f t="shared" si="160"/>
        <v/>
      </c>
      <c r="AJ953" s="10" t="str">
        <f t="shared" si="161"/>
        <v/>
      </c>
      <c r="AK953" s="10" t="str">
        <f t="shared" si="162"/>
        <v/>
      </c>
      <c r="AL953" s="14" t="str">
        <f t="shared" si="163"/>
        <v/>
      </c>
    </row>
    <row r="954" spans="1:38" x14ac:dyDescent="0.2">
      <c r="A954"/>
      <c r="B954" t="str">
        <f>IF($A954="","",VLOOKUP($A954,JupData!$A$2:$I$10000,4,FALSE))</f>
        <v/>
      </c>
      <c r="C954" s="7" t="str">
        <f>IF($A954="",IF(N(D954),0,""),VLOOKUP($A954,JupData!$A$2:$I$10000,7,FALSE))</f>
        <v/>
      </c>
      <c r="D954" t="str">
        <f t="shared" si="164"/>
        <v/>
      </c>
      <c r="E954" t="str">
        <f t="array" ref="E954">IF($A954="","",INDEX(JupData!$A$2:$K$10000,MATCH($A954&amp;E$1,JupData!$A$2:$A$10000&amp;JupData!$J$2:$J$10000,0),11))</f>
        <v/>
      </c>
      <c r="F954" t="str">
        <f t="array" ref="F954">IF($A954="","",INDEX(JupData!$A$2:$K$10000,MATCH($A954&amp;F$1,JupData!$A$2:$A$10000&amp;JupData!$J$2:$J$10000,0),11))</f>
        <v/>
      </c>
      <c r="G954" t="str">
        <f t="array" ref="G954">IF($A954="","",INDEX(JupData!$A$2:$K$10000,MATCH($A954&amp;G$1,JupData!$A$2:$A$10000&amp;JupData!$J$2:$J$10000,0),11))</f>
        <v/>
      </c>
      <c r="H954" t="str">
        <f t="array" ref="H954">IF($A954="","",INDEX(JupData!$A$2:$K$10000,MATCH($A954&amp;H$1,JupData!$A$2:$A$10000&amp;JupData!$J$2:$J$10000,0),11))</f>
        <v/>
      </c>
      <c r="I954" t="str">
        <f t="array" ref="I954">IF($A954="","",INDEX(JupData!$A$2:$K$10000,MATCH($A954&amp;I$1,JupData!$A$2:$A$10000&amp;JupData!$J$2:$J$10000,0),11))</f>
        <v/>
      </c>
      <c r="J954" t="str">
        <f t="array" ref="J954">IF($A954="","",INDEX(JupData!$A$2:$K$10000,MATCH($A954&amp;J$1,JupData!$A$2:$A$10000&amp;JupData!$J$2:$J$10000,0),11))</f>
        <v/>
      </c>
      <c r="K954" t="str">
        <f t="array" ref="K954">IF($A954="","",INDEX(JupData!$A$2:$K$10000,MATCH($A954&amp;K$1,JupData!$A$2:$A$10000&amp;JupData!$J$2:$J$10000,0),11))</f>
        <v/>
      </c>
      <c r="L954" t="str">
        <f t="array" ref="L954">IF($A954="","",INDEX(JupData!$A$2:$K$10000,MATCH($A954&amp;L$1,JupData!$A$2:$A$10000&amp;JupData!$J$2:$J$10000,0),11))</f>
        <v/>
      </c>
      <c r="M954" t="str">
        <f t="array" ref="M954">IF($A954="","",INDEX(JupData!$A$2:$K$10000,MATCH($A954&amp;M$1,JupData!$A$2:$A$10000&amp;JupData!$J$2:$J$10000,0),11))</f>
        <v/>
      </c>
      <c r="N954" t="str">
        <f t="array" ref="N954">IF($A954="","",INDEX(JupData!$A$2:$K$10000,MATCH($A954&amp;N$1,JupData!$A$2:$A$10000&amp;JupData!$J$2:$J$10000,0),11))</f>
        <v/>
      </c>
      <c r="O954" t="str">
        <f t="array" ref="O954">IF($A954="","",INDEX(JupData!$A$2:$K$10000,MATCH($A954&amp;O$1,JupData!$A$2:$A$10000&amp;JupData!$J$2:$J$10000,0),11))</f>
        <v/>
      </c>
      <c r="P954" t="str">
        <f t="array" ref="P954">IF($A954="","",INDEX(JupData!$A$2:$K$10000,MATCH($A954&amp;P$1,JupData!$A$2:$A$10000&amp;JupData!$J$2:$J$10000,0),11))</f>
        <v/>
      </c>
      <c r="Q954" t="str">
        <f t="array" ref="Q954">IF($A954="","",INDEX(JupData!$A$2:$K$10000,MATCH($A954&amp;Q$1,JupData!$A$2:$A$10000&amp;JupData!$J$2:$J$10000,0),11))</f>
        <v/>
      </c>
      <c r="R954" t="str">
        <f t="array" ref="R954">IF($A954="","",INDEX(JupData!$A$2:$K$10000,MATCH($A954&amp;R$1,JupData!$A$2:$A$10000&amp;JupData!$J$2:$J$10000,0),11))</f>
        <v/>
      </c>
      <c r="S954" t="str">
        <f t="array" ref="S954">IF($A954="","",INDEX(JupData!$A$2:$K$10000,MATCH($A954&amp;S$1,JupData!$A$2:$A$10000&amp;JupData!$J$2:$J$10000,0),11))</f>
        <v/>
      </c>
      <c r="T954" t="str">
        <f t="array" ref="T954">IF($A954="","",INDEX(JupData!$A$2:$K$10000,MATCH($A954&amp;T$1,JupData!$A$2:$A$10000&amp;JupData!$J$2:$J$10000,0),11))</f>
        <v/>
      </c>
      <c r="U954" t="str">
        <f t="array" ref="U954">IF($A954="","",INDEX(JupData!$A$2:$K$10000,MATCH($A954&amp;U$1,JupData!$A$2:$A$10000&amp;JupData!$J$2:$J$10000,0),11))</f>
        <v/>
      </c>
      <c r="V954" t="str">
        <f t="array" ref="V954">IF($A954="","",INDEX(JupData!$A$2:$K$10000,MATCH($A954&amp;V$1,JupData!$A$2:$A$10000&amp;JupData!$J$2:$J$10000,0),11))</f>
        <v/>
      </c>
      <c r="W954" t="str">
        <f t="array" ref="W954">IF($A954="","",INDEX(JupData!$A$2:$K$10000,MATCH($A954&amp;W$1,JupData!$A$2:$A$10000&amp;JupData!$J$2:$J$10000,0),11))</f>
        <v/>
      </c>
      <c r="X954" t="str">
        <f t="array" ref="X954">IF($A954="","",INDEX(JupData!$A$2:$K$10000,MATCH($A954&amp;X$1,JupData!$A$2:$A$10000&amp;JupData!$J$2:$J$10000,0),11))</f>
        <v/>
      </c>
      <c r="Y954" t="str">
        <f t="array" ref="Y954">IF($A954="","",INDEX(JupData!$A$2:$K$10000,MATCH($A954&amp;Y$1,JupData!$A$2:$A$10000&amp;JupData!$J$2:$J$10000,0),11))</f>
        <v/>
      </c>
      <c r="Z954" t="str">
        <f t="array" ref="Z954">IF($A954="","",INDEX(JupData!$A$2:$K$10000,MATCH($A954&amp;Z$1,JupData!$A$2:$A$10000&amp;JupData!$J$2:$J$10000,0),11))</f>
        <v/>
      </c>
      <c r="AA954" t="str">
        <f t="array" ref="AA954">IF($A954="","",INDEX(JupData!$A$2:$K$10000,MATCH($A954&amp;AA$1,JupData!$A$2:$A$10000&amp;JupData!$J$2:$J$10000,0),11))</f>
        <v/>
      </c>
      <c r="AB954" t="str">
        <f t="array" ref="AB954">IF($A954="","",INDEX(JupData!$A$2:$K$10000,MATCH($A954&amp;AB$1,JupData!$A$2:$A$10000&amp;JupData!$J$2:$J$10000,0),11))</f>
        <v/>
      </c>
      <c r="AC954" s="10" t="str">
        <f t="shared" si="154"/>
        <v/>
      </c>
      <c r="AD954" s="10" t="str">
        <f t="shared" si="155"/>
        <v/>
      </c>
      <c r="AE954" s="9" t="str">
        <f t="shared" si="156"/>
        <v/>
      </c>
      <c r="AF954" s="10" t="str">
        <f t="shared" si="157"/>
        <v/>
      </c>
      <c r="AG954" s="10" t="str">
        <f t="shared" si="158"/>
        <v/>
      </c>
      <c r="AH954" s="10" t="str">
        <f t="shared" si="159"/>
        <v/>
      </c>
      <c r="AI954" s="10" t="str">
        <f t="shared" si="160"/>
        <v/>
      </c>
      <c r="AJ954" s="10" t="str">
        <f t="shared" si="161"/>
        <v/>
      </c>
      <c r="AK954" s="10" t="str">
        <f t="shared" si="162"/>
        <v/>
      </c>
      <c r="AL954" s="14" t="str">
        <f t="shared" si="163"/>
        <v/>
      </c>
    </row>
    <row r="955" spans="1:38" x14ac:dyDescent="0.2">
      <c r="A955"/>
      <c r="B955" t="str">
        <f>IF($A955="","",VLOOKUP($A955,JupData!$A$2:$I$10000,4,FALSE))</f>
        <v/>
      </c>
      <c r="C955" s="7" t="str">
        <f>IF($A955="",IF(N(D955),0,""),VLOOKUP($A955,JupData!$A$2:$I$10000,7,FALSE))</f>
        <v/>
      </c>
      <c r="D955" t="str">
        <f t="shared" si="164"/>
        <v/>
      </c>
      <c r="E955" t="str">
        <f t="array" ref="E955">IF($A955="","",INDEX(JupData!$A$2:$K$10000,MATCH($A955&amp;E$1,JupData!$A$2:$A$10000&amp;JupData!$J$2:$J$10000,0),11))</f>
        <v/>
      </c>
      <c r="F955" t="str">
        <f t="array" ref="F955">IF($A955="","",INDEX(JupData!$A$2:$K$10000,MATCH($A955&amp;F$1,JupData!$A$2:$A$10000&amp;JupData!$J$2:$J$10000,0),11))</f>
        <v/>
      </c>
      <c r="G955" t="str">
        <f t="array" ref="G955">IF($A955="","",INDEX(JupData!$A$2:$K$10000,MATCH($A955&amp;G$1,JupData!$A$2:$A$10000&amp;JupData!$J$2:$J$10000,0),11))</f>
        <v/>
      </c>
      <c r="H955" t="str">
        <f t="array" ref="H955">IF($A955="","",INDEX(JupData!$A$2:$K$10000,MATCH($A955&amp;H$1,JupData!$A$2:$A$10000&amp;JupData!$J$2:$J$10000,0),11))</f>
        <v/>
      </c>
      <c r="I955" t="str">
        <f t="array" ref="I955">IF($A955="","",INDEX(JupData!$A$2:$K$10000,MATCH($A955&amp;I$1,JupData!$A$2:$A$10000&amp;JupData!$J$2:$J$10000,0),11))</f>
        <v/>
      </c>
      <c r="J955" t="str">
        <f t="array" ref="J955">IF($A955="","",INDEX(JupData!$A$2:$K$10000,MATCH($A955&amp;J$1,JupData!$A$2:$A$10000&amp;JupData!$J$2:$J$10000,0),11))</f>
        <v/>
      </c>
      <c r="K955" t="str">
        <f t="array" ref="K955">IF($A955="","",INDEX(JupData!$A$2:$K$10000,MATCH($A955&amp;K$1,JupData!$A$2:$A$10000&amp;JupData!$J$2:$J$10000,0),11))</f>
        <v/>
      </c>
      <c r="L955" t="str">
        <f t="array" ref="L955">IF($A955="","",INDEX(JupData!$A$2:$K$10000,MATCH($A955&amp;L$1,JupData!$A$2:$A$10000&amp;JupData!$J$2:$J$10000,0),11))</f>
        <v/>
      </c>
      <c r="M955" t="str">
        <f t="array" ref="M955">IF($A955="","",INDEX(JupData!$A$2:$K$10000,MATCH($A955&amp;M$1,JupData!$A$2:$A$10000&amp;JupData!$J$2:$J$10000,0),11))</f>
        <v/>
      </c>
      <c r="N955" t="str">
        <f t="array" ref="N955">IF($A955="","",INDEX(JupData!$A$2:$K$10000,MATCH($A955&amp;N$1,JupData!$A$2:$A$10000&amp;JupData!$J$2:$J$10000,0),11))</f>
        <v/>
      </c>
      <c r="O955" t="str">
        <f t="array" ref="O955">IF($A955="","",INDEX(JupData!$A$2:$K$10000,MATCH($A955&amp;O$1,JupData!$A$2:$A$10000&amp;JupData!$J$2:$J$10000,0),11))</f>
        <v/>
      </c>
      <c r="P955" t="str">
        <f t="array" ref="P955">IF($A955="","",INDEX(JupData!$A$2:$K$10000,MATCH($A955&amp;P$1,JupData!$A$2:$A$10000&amp;JupData!$J$2:$J$10000,0),11))</f>
        <v/>
      </c>
      <c r="Q955" t="str">
        <f t="array" ref="Q955">IF($A955="","",INDEX(JupData!$A$2:$K$10000,MATCH($A955&amp;Q$1,JupData!$A$2:$A$10000&amp;JupData!$J$2:$J$10000,0),11))</f>
        <v/>
      </c>
      <c r="R955" t="str">
        <f t="array" ref="R955">IF($A955="","",INDEX(JupData!$A$2:$K$10000,MATCH($A955&amp;R$1,JupData!$A$2:$A$10000&amp;JupData!$J$2:$J$10000,0),11))</f>
        <v/>
      </c>
      <c r="S955" t="str">
        <f t="array" ref="S955">IF($A955="","",INDEX(JupData!$A$2:$K$10000,MATCH($A955&amp;S$1,JupData!$A$2:$A$10000&amp;JupData!$J$2:$J$10000,0),11))</f>
        <v/>
      </c>
      <c r="T955" t="str">
        <f t="array" ref="T955">IF($A955="","",INDEX(JupData!$A$2:$K$10000,MATCH($A955&amp;T$1,JupData!$A$2:$A$10000&amp;JupData!$J$2:$J$10000,0),11))</f>
        <v/>
      </c>
      <c r="U955" t="str">
        <f t="array" ref="U955">IF($A955="","",INDEX(JupData!$A$2:$K$10000,MATCH($A955&amp;U$1,JupData!$A$2:$A$10000&amp;JupData!$J$2:$J$10000,0),11))</f>
        <v/>
      </c>
      <c r="V955" t="str">
        <f t="array" ref="V955">IF($A955="","",INDEX(JupData!$A$2:$K$10000,MATCH($A955&amp;V$1,JupData!$A$2:$A$10000&amp;JupData!$J$2:$J$10000,0),11))</f>
        <v/>
      </c>
      <c r="W955" t="str">
        <f t="array" ref="W955">IF($A955="","",INDEX(JupData!$A$2:$K$10000,MATCH($A955&amp;W$1,JupData!$A$2:$A$10000&amp;JupData!$J$2:$J$10000,0),11))</f>
        <v/>
      </c>
      <c r="X955" t="str">
        <f t="array" ref="X955">IF($A955="","",INDEX(JupData!$A$2:$K$10000,MATCH($A955&amp;X$1,JupData!$A$2:$A$10000&amp;JupData!$J$2:$J$10000,0),11))</f>
        <v/>
      </c>
      <c r="Y955" t="str">
        <f t="array" ref="Y955">IF($A955="","",INDEX(JupData!$A$2:$K$10000,MATCH($A955&amp;Y$1,JupData!$A$2:$A$10000&amp;JupData!$J$2:$J$10000,0),11))</f>
        <v/>
      </c>
      <c r="Z955" t="str">
        <f t="array" ref="Z955">IF($A955="","",INDEX(JupData!$A$2:$K$10000,MATCH($A955&amp;Z$1,JupData!$A$2:$A$10000&amp;JupData!$J$2:$J$10000,0),11))</f>
        <v/>
      </c>
      <c r="AA955" t="str">
        <f t="array" ref="AA955">IF($A955="","",INDEX(JupData!$A$2:$K$10000,MATCH($A955&amp;AA$1,JupData!$A$2:$A$10000&amp;JupData!$J$2:$J$10000,0),11))</f>
        <v/>
      </c>
      <c r="AB955" t="str">
        <f t="array" ref="AB955">IF($A955="","",INDEX(JupData!$A$2:$K$10000,MATCH($A955&amp;AB$1,JupData!$A$2:$A$10000&amp;JupData!$J$2:$J$10000,0),11))</f>
        <v/>
      </c>
      <c r="AC955" s="10" t="str">
        <f t="shared" si="154"/>
        <v/>
      </c>
      <c r="AD955" s="10" t="str">
        <f t="shared" si="155"/>
        <v/>
      </c>
      <c r="AE955" s="9" t="str">
        <f t="shared" si="156"/>
        <v/>
      </c>
      <c r="AF955" s="10" t="str">
        <f t="shared" si="157"/>
        <v/>
      </c>
      <c r="AG955" s="10" t="str">
        <f t="shared" si="158"/>
        <v/>
      </c>
      <c r="AH955" s="10" t="str">
        <f t="shared" si="159"/>
        <v/>
      </c>
      <c r="AI955" s="10" t="str">
        <f t="shared" si="160"/>
        <v/>
      </c>
      <c r="AJ955" s="10" t="str">
        <f t="shared" si="161"/>
        <v/>
      </c>
      <c r="AK955" s="10" t="str">
        <f t="shared" si="162"/>
        <v/>
      </c>
      <c r="AL955" s="14" t="str">
        <f t="shared" si="163"/>
        <v/>
      </c>
    </row>
    <row r="956" spans="1:38" x14ac:dyDescent="0.2">
      <c r="A956"/>
      <c r="B956" t="str">
        <f>IF($A956="","",VLOOKUP($A956,JupData!$A$2:$I$10000,4,FALSE))</f>
        <v/>
      </c>
      <c r="C956" s="7" t="str">
        <f>IF($A956="",IF(N(D956),0,""),VLOOKUP($A956,JupData!$A$2:$I$10000,7,FALSE))</f>
        <v/>
      </c>
      <c r="D956" t="str">
        <f t="shared" si="164"/>
        <v/>
      </c>
      <c r="E956" t="str">
        <f t="array" ref="E956">IF($A956="","",INDEX(JupData!$A$2:$K$10000,MATCH($A956&amp;E$1,JupData!$A$2:$A$10000&amp;JupData!$J$2:$J$10000,0),11))</f>
        <v/>
      </c>
      <c r="F956" t="str">
        <f t="array" ref="F956">IF($A956="","",INDEX(JupData!$A$2:$K$10000,MATCH($A956&amp;F$1,JupData!$A$2:$A$10000&amp;JupData!$J$2:$J$10000,0),11))</f>
        <v/>
      </c>
      <c r="G956" t="str">
        <f t="array" ref="G956">IF($A956="","",INDEX(JupData!$A$2:$K$10000,MATCH($A956&amp;G$1,JupData!$A$2:$A$10000&amp;JupData!$J$2:$J$10000,0),11))</f>
        <v/>
      </c>
      <c r="H956" t="str">
        <f t="array" ref="H956">IF($A956="","",INDEX(JupData!$A$2:$K$10000,MATCH($A956&amp;H$1,JupData!$A$2:$A$10000&amp;JupData!$J$2:$J$10000,0),11))</f>
        <v/>
      </c>
      <c r="I956" t="str">
        <f t="array" ref="I956">IF($A956="","",INDEX(JupData!$A$2:$K$10000,MATCH($A956&amp;I$1,JupData!$A$2:$A$10000&amp;JupData!$J$2:$J$10000,0),11))</f>
        <v/>
      </c>
      <c r="J956" t="str">
        <f t="array" ref="J956">IF($A956="","",INDEX(JupData!$A$2:$K$10000,MATCH($A956&amp;J$1,JupData!$A$2:$A$10000&amp;JupData!$J$2:$J$10000,0),11))</f>
        <v/>
      </c>
      <c r="K956" t="str">
        <f t="array" ref="K956">IF($A956="","",INDEX(JupData!$A$2:$K$10000,MATCH($A956&amp;K$1,JupData!$A$2:$A$10000&amp;JupData!$J$2:$J$10000,0),11))</f>
        <v/>
      </c>
      <c r="L956" t="str">
        <f t="array" ref="L956">IF($A956="","",INDEX(JupData!$A$2:$K$10000,MATCH($A956&amp;L$1,JupData!$A$2:$A$10000&amp;JupData!$J$2:$J$10000,0),11))</f>
        <v/>
      </c>
      <c r="M956" t="str">
        <f t="array" ref="M956">IF($A956="","",INDEX(JupData!$A$2:$K$10000,MATCH($A956&amp;M$1,JupData!$A$2:$A$10000&amp;JupData!$J$2:$J$10000,0),11))</f>
        <v/>
      </c>
      <c r="N956" t="str">
        <f t="array" ref="N956">IF($A956="","",INDEX(JupData!$A$2:$K$10000,MATCH($A956&amp;N$1,JupData!$A$2:$A$10000&amp;JupData!$J$2:$J$10000,0),11))</f>
        <v/>
      </c>
      <c r="O956" t="str">
        <f t="array" ref="O956">IF($A956="","",INDEX(JupData!$A$2:$K$10000,MATCH($A956&amp;O$1,JupData!$A$2:$A$10000&amp;JupData!$J$2:$J$10000,0),11))</f>
        <v/>
      </c>
      <c r="P956" t="str">
        <f t="array" ref="P956">IF($A956="","",INDEX(JupData!$A$2:$K$10000,MATCH($A956&amp;P$1,JupData!$A$2:$A$10000&amp;JupData!$J$2:$J$10000,0),11))</f>
        <v/>
      </c>
      <c r="Q956" t="str">
        <f t="array" ref="Q956">IF($A956="","",INDEX(JupData!$A$2:$K$10000,MATCH($A956&amp;Q$1,JupData!$A$2:$A$10000&amp;JupData!$J$2:$J$10000,0),11))</f>
        <v/>
      </c>
      <c r="R956" t="str">
        <f t="array" ref="R956">IF($A956="","",INDEX(JupData!$A$2:$K$10000,MATCH($A956&amp;R$1,JupData!$A$2:$A$10000&amp;JupData!$J$2:$J$10000,0),11))</f>
        <v/>
      </c>
      <c r="S956" t="str">
        <f t="array" ref="S956">IF($A956="","",INDEX(JupData!$A$2:$K$10000,MATCH($A956&amp;S$1,JupData!$A$2:$A$10000&amp;JupData!$J$2:$J$10000,0),11))</f>
        <v/>
      </c>
      <c r="T956" t="str">
        <f t="array" ref="T956">IF($A956="","",INDEX(JupData!$A$2:$K$10000,MATCH($A956&amp;T$1,JupData!$A$2:$A$10000&amp;JupData!$J$2:$J$10000,0),11))</f>
        <v/>
      </c>
      <c r="U956" t="str">
        <f t="array" ref="U956">IF($A956="","",INDEX(JupData!$A$2:$K$10000,MATCH($A956&amp;U$1,JupData!$A$2:$A$10000&amp;JupData!$J$2:$J$10000,0),11))</f>
        <v/>
      </c>
      <c r="V956" t="str">
        <f t="array" ref="V956">IF($A956="","",INDEX(JupData!$A$2:$K$10000,MATCH($A956&amp;V$1,JupData!$A$2:$A$10000&amp;JupData!$J$2:$J$10000,0),11))</f>
        <v/>
      </c>
      <c r="W956" t="str">
        <f t="array" ref="W956">IF($A956="","",INDEX(JupData!$A$2:$K$10000,MATCH($A956&amp;W$1,JupData!$A$2:$A$10000&amp;JupData!$J$2:$J$10000,0),11))</f>
        <v/>
      </c>
      <c r="X956" t="str">
        <f t="array" ref="X956">IF($A956="","",INDEX(JupData!$A$2:$K$10000,MATCH($A956&amp;X$1,JupData!$A$2:$A$10000&amp;JupData!$J$2:$J$10000,0),11))</f>
        <v/>
      </c>
      <c r="Y956" t="str">
        <f t="array" ref="Y956">IF($A956="","",INDEX(JupData!$A$2:$K$10000,MATCH($A956&amp;Y$1,JupData!$A$2:$A$10000&amp;JupData!$J$2:$J$10000,0),11))</f>
        <v/>
      </c>
      <c r="Z956" t="str">
        <f t="array" ref="Z956">IF($A956="","",INDEX(JupData!$A$2:$K$10000,MATCH($A956&amp;Z$1,JupData!$A$2:$A$10000&amp;JupData!$J$2:$J$10000,0),11))</f>
        <v/>
      </c>
      <c r="AA956" t="str">
        <f t="array" ref="AA956">IF($A956="","",INDEX(JupData!$A$2:$K$10000,MATCH($A956&amp;AA$1,JupData!$A$2:$A$10000&amp;JupData!$J$2:$J$10000,0),11))</f>
        <v/>
      </c>
      <c r="AB956" t="str">
        <f t="array" ref="AB956">IF($A956="","",INDEX(JupData!$A$2:$K$10000,MATCH($A956&amp;AB$1,JupData!$A$2:$A$10000&amp;JupData!$J$2:$J$10000,0),11))</f>
        <v/>
      </c>
      <c r="AC956" s="10" t="str">
        <f t="shared" si="154"/>
        <v/>
      </c>
      <c r="AD956" s="10" t="str">
        <f t="shared" si="155"/>
        <v/>
      </c>
      <c r="AE956" s="9" t="str">
        <f t="shared" si="156"/>
        <v/>
      </c>
      <c r="AF956" s="10" t="str">
        <f t="shared" si="157"/>
        <v/>
      </c>
      <c r="AG956" s="10" t="str">
        <f t="shared" si="158"/>
        <v/>
      </c>
      <c r="AH956" s="10" t="str">
        <f t="shared" si="159"/>
        <v/>
      </c>
      <c r="AI956" s="10" t="str">
        <f t="shared" si="160"/>
        <v/>
      </c>
      <c r="AJ956" s="10" t="str">
        <f t="shared" si="161"/>
        <v/>
      </c>
      <c r="AK956" s="10" t="str">
        <f t="shared" si="162"/>
        <v/>
      </c>
      <c r="AL956" s="14" t="str">
        <f t="shared" si="163"/>
        <v/>
      </c>
    </row>
    <row r="957" spans="1:38" x14ac:dyDescent="0.2">
      <c r="A957"/>
      <c r="B957" t="str">
        <f>IF($A957="","",VLOOKUP($A957,JupData!$A$2:$I$10000,4,FALSE))</f>
        <v/>
      </c>
      <c r="C957" s="7" t="str">
        <f>IF($A957="",IF(N(D957),0,""),VLOOKUP($A957,JupData!$A$2:$I$10000,7,FALSE))</f>
        <v/>
      </c>
      <c r="D957" t="str">
        <f t="shared" si="164"/>
        <v/>
      </c>
      <c r="E957" t="str">
        <f t="array" ref="E957">IF($A957="","",INDEX(JupData!$A$2:$K$10000,MATCH($A957&amp;E$1,JupData!$A$2:$A$10000&amp;JupData!$J$2:$J$10000,0),11))</f>
        <v/>
      </c>
      <c r="F957" t="str">
        <f t="array" ref="F957">IF($A957="","",INDEX(JupData!$A$2:$K$10000,MATCH($A957&amp;F$1,JupData!$A$2:$A$10000&amp;JupData!$J$2:$J$10000,0),11))</f>
        <v/>
      </c>
      <c r="G957" t="str">
        <f t="array" ref="G957">IF($A957="","",INDEX(JupData!$A$2:$K$10000,MATCH($A957&amp;G$1,JupData!$A$2:$A$10000&amp;JupData!$J$2:$J$10000,0),11))</f>
        <v/>
      </c>
      <c r="H957" t="str">
        <f t="array" ref="H957">IF($A957="","",INDEX(JupData!$A$2:$K$10000,MATCH($A957&amp;H$1,JupData!$A$2:$A$10000&amp;JupData!$J$2:$J$10000,0),11))</f>
        <v/>
      </c>
      <c r="I957" t="str">
        <f t="array" ref="I957">IF($A957="","",INDEX(JupData!$A$2:$K$10000,MATCH($A957&amp;I$1,JupData!$A$2:$A$10000&amp;JupData!$J$2:$J$10000,0),11))</f>
        <v/>
      </c>
      <c r="J957" t="str">
        <f t="array" ref="J957">IF($A957="","",INDEX(JupData!$A$2:$K$10000,MATCH($A957&amp;J$1,JupData!$A$2:$A$10000&amp;JupData!$J$2:$J$10000,0),11))</f>
        <v/>
      </c>
      <c r="K957" t="str">
        <f t="array" ref="K957">IF($A957="","",INDEX(JupData!$A$2:$K$10000,MATCH($A957&amp;K$1,JupData!$A$2:$A$10000&amp;JupData!$J$2:$J$10000,0),11))</f>
        <v/>
      </c>
      <c r="L957" t="str">
        <f t="array" ref="L957">IF($A957="","",INDEX(JupData!$A$2:$K$10000,MATCH($A957&amp;L$1,JupData!$A$2:$A$10000&amp;JupData!$J$2:$J$10000,0),11))</f>
        <v/>
      </c>
      <c r="M957" t="str">
        <f t="array" ref="M957">IF($A957="","",INDEX(JupData!$A$2:$K$10000,MATCH($A957&amp;M$1,JupData!$A$2:$A$10000&amp;JupData!$J$2:$J$10000,0),11))</f>
        <v/>
      </c>
      <c r="N957" t="str">
        <f t="array" ref="N957">IF($A957="","",INDEX(JupData!$A$2:$K$10000,MATCH($A957&amp;N$1,JupData!$A$2:$A$10000&amp;JupData!$J$2:$J$10000,0),11))</f>
        <v/>
      </c>
      <c r="O957" t="str">
        <f t="array" ref="O957">IF($A957="","",INDEX(JupData!$A$2:$K$10000,MATCH($A957&amp;O$1,JupData!$A$2:$A$10000&amp;JupData!$J$2:$J$10000,0),11))</f>
        <v/>
      </c>
      <c r="P957" t="str">
        <f t="array" ref="P957">IF($A957="","",INDEX(JupData!$A$2:$K$10000,MATCH($A957&amp;P$1,JupData!$A$2:$A$10000&amp;JupData!$J$2:$J$10000,0),11))</f>
        <v/>
      </c>
      <c r="Q957" t="str">
        <f t="array" ref="Q957">IF($A957="","",INDEX(JupData!$A$2:$K$10000,MATCH($A957&amp;Q$1,JupData!$A$2:$A$10000&amp;JupData!$J$2:$J$10000,0),11))</f>
        <v/>
      </c>
      <c r="R957" t="str">
        <f t="array" ref="R957">IF($A957="","",INDEX(JupData!$A$2:$K$10000,MATCH($A957&amp;R$1,JupData!$A$2:$A$10000&amp;JupData!$J$2:$J$10000,0),11))</f>
        <v/>
      </c>
      <c r="S957" t="str">
        <f t="array" ref="S957">IF($A957="","",INDEX(JupData!$A$2:$K$10000,MATCH($A957&amp;S$1,JupData!$A$2:$A$10000&amp;JupData!$J$2:$J$10000,0),11))</f>
        <v/>
      </c>
      <c r="T957" t="str">
        <f t="array" ref="T957">IF($A957="","",INDEX(JupData!$A$2:$K$10000,MATCH($A957&amp;T$1,JupData!$A$2:$A$10000&amp;JupData!$J$2:$J$10000,0),11))</f>
        <v/>
      </c>
      <c r="U957" t="str">
        <f t="array" ref="U957">IF($A957="","",INDEX(JupData!$A$2:$K$10000,MATCH($A957&amp;U$1,JupData!$A$2:$A$10000&amp;JupData!$J$2:$J$10000,0),11))</f>
        <v/>
      </c>
      <c r="V957" t="str">
        <f t="array" ref="V957">IF($A957="","",INDEX(JupData!$A$2:$K$10000,MATCH($A957&amp;V$1,JupData!$A$2:$A$10000&amp;JupData!$J$2:$J$10000,0),11))</f>
        <v/>
      </c>
      <c r="W957" t="str">
        <f t="array" ref="W957">IF($A957="","",INDEX(JupData!$A$2:$K$10000,MATCH($A957&amp;W$1,JupData!$A$2:$A$10000&amp;JupData!$J$2:$J$10000,0),11))</f>
        <v/>
      </c>
      <c r="X957" t="str">
        <f t="array" ref="X957">IF($A957="","",INDEX(JupData!$A$2:$K$10000,MATCH($A957&amp;X$1,JupData!$A$2:$A$10000&amp;JupData!$J$2:$J$10000,0),11))</f>
        <v/>
      </c>
      <c r="Y957" t="str">
        <f t="array" ref="Y957">IF($A957="","",INDEX(JupData!$A$2:$K$10000,MATCH($A957&amp;Y$1,JupData!$A$2:$A$10000&amp;JupData!$J$2:$J$10000,0),11))</f>
        <v/>
      </c>
      <c r="Z957" t="str">
        <f t="array" ref="Z957">IF($A957="","",INDEX(JupData!$A$2:$K$10000,MATCH($A957&amp;Z$1,JupData!$A$2:$A$10000&amp;JupData!$J$2:$J$10000,0),11))</f>
        <v/>
      </c>
      <c r="AA957" t="str">
        <f t="array" ref="AA957">IF($A957="","",INDEX(JupData!$A$2:$K$10000,MATCH($A957&amp;AA$1,JupData!$A$2:$A$10000&amp;JupData!$J$2:$J$10000,0),11))</f>
        <v/>
      </c>
      <c r="AB957" t="str">
        <f t="array" ref="AB957">IF($A957="","",INDEX(JupData!$A$2:$K$10000,MATCH($A957&amp;AB$1,JupData!$A$2:$A$10000&amp;JupData!$J$2:$J$10000,0),11))</f>
        <v/>
      </c>
      <c r="AC957" s="10" t="str">
        <f t="shared" si="154"/>
        <v/>
      </c>
      <c r="AD957" s="10" t="str">
        <f t="shared" si="155"/>
        <v/>
      </c>
      <c r="AE957" s="9" t="str">
        <f t="shared" si="156"/>
        <v/>
      </c>
      <c r="AF957" s="10" t="str">
        <f t="shared" si="157"/>
        <v/>
      </c>
      <c r="AG957" s="10" t="str">
        <f t="shared" si="158"/>
        <v/>
      </c>
      <c r="AH957" s="10" t="str">
        <f t="shared" si="159"/>
        <v/>
      </c>
      <c r="AI957" s="10" t="str">
        <f t="shared" si="160"/>
        <v/>
      </c>
      <c r="AJ957" s="10" t="str">
        <f t="shared" si="161"/>
        <v/>
      </c>
      <c r="AK957" s="10" t="str">
        <f t="shared" si="162"/>
        <v/>
      </c>
      <c r="AL957" s="14" t="str">
        <f t="shared" si="163"/>
        <v/>
      </c>
    </row>
    <row r="958" spans="1:38" x14ac:dyDescent="0.2">
      <c r="A958"/>
      <c r="B958" t="str">
        <f>IF($A958="","",VLOOKUP($A958,JupData!$A$2:$I$10000,4,FALSE))</f>
        <v/>
      </c>
      <c r="C958" s="7" t="str">
        <f>IF($A958="",IF(N(D958),0,""),VLOOKUP($A958,JupData!$A$2:$I$10000,7,FALSE))</f>
        <v/>
      </c>
      <c r="D958" t="str">
        <f t="shared" si="164"/>
        <v/>
      </c>
      <c r="E958" t="str">
        <f t="array" ref="E958">IF($A958="","",INDEX(JupData!$A$2:$K$10000,MATCH($A958&amp;E$1,JupData!$A$2:$A$10000&amp;JupData!$J$2:$J$10000,0),11))</f>
        <v/>
      </c>
      <c r="F958" t="str">
        <f t="array" ref="F958">IF($A958="","",INDEX(JupData!$A$2:$K$10000,MATCH($A958&amp;F$1,JupData!$A$2:$A$10000&amp;JupData!$J$2:$J$10000,0),11))</f>
        <v/>
      </c>
      <c r="G958" t="str">
        <f t="array" ref="G958">IF($A958="","",INDEX(JupData!$A$2:$K$10000,MATCH($A958&amp;G$1,JupData!$A$2:$A$10000&amp;JupData!$J$2:$J$10000,0),11))</f>
        <v/>
      </c>
      <c r="H958" t="str">
        <f t="array" ref="H958">IF($A958="","",INDEX(JupData!$A$2:$K$10000,MATCH($A958&amp;H$1,JupData!$A$2:$A$10000&amp;JupData!$J$2:$J$10000,0),11))</f>
        <v/>
      </c>
      <c r="I958" t="str">
        <f t="array" ref="I958">IF($A958="","",INDEX(JupData!$A$2:$K$10000,MATCH($A958&amp;I$1,JupData!$A$2:$A$10000&amp;JupData!$J$2:$J$10000,0),11))</f>
        <v/>
      </c>
      <c r="J958" t="str">
        <f t="array" ref="J958">IF($A958="","",INDEX(JupData!$A$2:$K$10000,MATCH($A958&amp;J$1,JupData!$A$2:$A$10000&amp;JupData!$J$2:$J$10000,0),11))</f>
        <v/>
      </c>
      <c r="K958" t="str">
        <f t="array" ref="K958">IF($A958="","",INDEX(JupData!$A$2:$K$10000,MATCH($A958&amp;K$1,JupData!$A$2:$A$10000&amp;JupData!$J$2:$J$10000,0),11))</f>
        <v/>
      </c>
      <c r="L958" t="str">
        <f t="array" ref="L958">IF($A958="","",INDEX(JupData!$A$2:$K$10000,MATCH($A958&amp;L$1,JupData!$A$2:$A$10000&amp;JupData!$J$2:$J$10000,0),11))</f>
        <v/>
      </c>
      <c r="M958" t="str">
        <f t="array" ref="M958">IF($A958="","",INDEX(JupData!$A$2:$K$10000,MATCH($A958&amp;M$1,JupData!$A$2:$A$10000&amp;JupData!$J$2:$J$10000,0),11))</f>
        <v/>
      </c>
      <c r="N958" t="str">
        <f t="array" ref="N958">IF($A958="","",INDEX(JupData!$A$2:$K$10000,MATCH($A958&amp;N$1,JupData!$A$2:$A$10000&amp;JupData!$J$2:$J$10000,0),11))</f>
        <v/>
      </c>
      <c r="O958" t="str">
        <f t="array" ref="O958">IF($A958="","",INDEX(JupData!$A$2:$K$10000,MATCH($A958&amp;O$1,JupData!$A$2:$A$10000&amp;JupData!$J$2:$J$10000,0),11))</f>
        <v/>
      </c>
      <c r="P958" t="str">
        <f t="array" ref="P958">IF($A958="","",INDEX(JupData!$A$2:$K$10000,MATCH($A958&amp;P$1,JupData!$A$2:$A$10000&amp;JupData!$J$2:$J$10000,0),11))</f>
        <v/>
      </c>
      <c r="Q958" t="str">
        <f t="array" ref="Q958">IF($A958="","",INDEX(JupData!$A$2:$K$10000,MATCH($A958&amp;Q$1,JupData!$A$2:$A$10000&amp;JupData!$J$2:$J$10000,0),11))</f>
        <v/>
      </c>
      <c r="R958" t="str">
        <f t="array" ref="R958">IF($A958="","",INDEX(JupData!$A$2:$K$10000,MATCH($A958&amp;R$1,JupData!$A$2:$A$10000&amp;JupData!$J$2:$J$10000,0),11))</f>
        <v/>
      </c>
      <c r="S958" t="str">
        <f t="array" ref="S958">IF($A958="","",INDEX(JupData!$A$2:$K$10000,MATCH($A958&amp;S$1,JupData!$A$2:$A$10000&amp;JupData!$J$2:$J$10000,0),11))</f>
        <v/>
      </c>
      <c r="T958" t="str">
        <f t="array" ref="T958">IF($A958="","",INDEX(JupData!$A$2:$K$10000,MATCH($A958&amp;T$1,JupData!$A$2:$A$10000&amp;JupData!$J$2:$J$10000,0),11))</f>
        <v/>
      </c>
      <c r="U958" t="str">
        <f t="array" ref="U958">IF($A958="","",INDEX(JupData!$A$2:$K$10000,MATCH($A958&amp;U$1,JupData!$A$2:$A$10000&amp;JupData!$J$2:$J$10000,0),11))</f>
        <v/>
      </c>
      <c r="V958" t="str">
        <f t="array" ref="V958">IF($A958="","",INDEX(JupData!$A$2:$K$10000,MATCH($A958&amp;V$1,JupData!$A$2:$A$10000&amp;JupData!$J$2:$J$10000,0),11))</f>
        <v/>
      </c>
      <c r="W958" t="str">
        <f t="array" ref="W958">IF($A958="","",INDEX(JupData!$A$2:$K$10000,MATCH($A958&amp;W$1,JupData!$A$2:$A$10000&amp;JupData!$J$2:$J$10000,0),11))</f>
        <v/>
      </c>
      <c r="X958" t="str">
        <f t="array" ref="X958">IF($A958="","",INDEX(JupData!$A$2:$K$10000,MATCH($A958&amp;X$1,JupData!$A$2:$A$10000&amp;JupData!$J$2:$J$10000,0),11))</f>
        <v/>
      </c>
      <c r="Y958" t="str">
        <f t="array" ref="Y958">IF($A958="","",INDEX(JupData!$A$2:$K$10000,MATCH($A958&amp;Y$1,JupData!$A$2:$A$10000&amp;JupData!$J$2:$J$10000,0),11))</f>
        <v/>
      </c>
      <c r="Z958" t="str">
        <f t="array" ref="Z958">IF($A958="","",INDEX(JupData!$A$2:$K$10000,MATCH($A958&amp;Z$1,JupData!$A$2:$A$10000&amp;JupData!$J$2:$J$10000,0),11))</f>
        <v/>
      </c>
      <c r="AA958" t="str">
        <f t="array" ref="AA958">IF($A958="","",INDEX(JupData!$A$2:$K$10000,MATCH($A958&amp;AA$1,JupData!$A$2:$A$10000&amp;JupData!$J$2:$J$10000,0),11))</f>
        <v/>
      </c>
      <c r="AB958" t="str">
        <f t="array" ref="AB958">IF($A958="","",INDEX(JupData!$A$2:$K$10000,MATCH($A958&amp;AB$1,JupData!$A$2:$A$10000&amp;JupData!$J$2:$J$10000,0),11))</f>
        <v/>
      </c>
      <c r="AC958" s="10" t="str">
        <f t="shared" si="154"/>
        <v/>
      </c>
      <c r="AD958" s="10" t="str">
        <f t="shared" si="155"/>
        <v/>
      </c>
      <c r="AE958" s="9" t="str">
        <f t="shared" si="156"/>
        <v/>
      </c>
      <c r="AF958" s="10" t="str">
        <f t="shared" si="157"/>
        <v/>
      </c>
      <c r="AG958" s="10" t="str">
        <f t="shared" si="158"/>
        <v/>
      </c>
      <c r="AH958" s="10" t="str">
        <f t="shared" si="159"/>
        <v/>
      </c>
      <c r="AI958" s="10" t="str">
        <f t="shared" si="160"/>
        <v/>
      </c>
      <c r="AJ958" s="10" t="str">
        <f t="shared" si="161"/>
        <v/>
      </c>
      <c r="AK958" s="10" t="str">
        <f t="shared" si="162"/>
        <v/>
      </c>
      <c r="AL958" s="14" t="str">
        <f t="shared" si="163"/>
        <v/>
      </c>
    </row>
    <row r="959" spans="1:38" x14ac:dyDescent="0.2">
      <c r="A959"/>
      <c r="B959" t="str">
        <f>IF($A959="","",VLOOKUP($A959,JupData!$A$2:$I$10000,4,FALSE))</f>
        <v/>
      </c>
      <c r="C959" s="7" t="str">
        <f>IF($A959="",IF(N(D959),0,""),VLOOKUP($A959,JupData!$A$2:$I$10000,7,FALSE))</f>
        <v/>
      </c>
      <c r="D959" t="str">
        <f t="shared" si="164"/>
        <v/>
      </c>
      <c r="E959" t="str">
        <f t="array" ref="E959">IF($A959="","",INDEX(JupData!$A$2:$K$10000,MATCH($A959&amp;E$1,JupData!$A$2:$A$10000&amp;JupData!$J$2:$J$10000,0),11))</f>
        <v/>
      </c>
      <c r="F959" t="str">
        <f t="array" ref="F959">IF($A959="","",INDEX(JupData!$A$2:$K$10000,MATCH($A959&amp;F$1,JupData!$A$2:$A$10000&amp;JupData!$J$2:$J$10000,0),11))</f>
        <v/>
      </c>
      <c r="G959" t="str">
        <f t="array" ref="G959">IF($A959="","",INDEX(JupData!$A$2:$K$10000,MATCH($A959&amp;G$1,JupData!$A$2:$A$10000&amp;JupData!$J$2:$J$10000,0),11))</f>
        <v/>
      </c>
      <c r="H959" t="str">
        <f t="array" ref="H959">IF($A959="","",INDEX(JupData!$A$2:$K$10000,MATCH($A959&amp;H$1,JupData!$A$2:$A$10000&amp;JupData!$J$2:$J$10000,0),11))</f>
        <v/>
      </c>
      <c r="I959" t="str">
        <f t="array" ref="I959">IF($A959="","",INDEX(JupData!$A$2:$K$10000,MATCH($A959&amp;I$1,JupData!$A$2:$A$10000&amp;JupData!$J$2:$J$10000,0),11))</f>
        <v/>
      </c>
      <c r="J959" t="str">
        <f t="array" ref="J959">IF($A959="","",INDEX(JupData!$A$2:$K$10000,MATCH($A959&amp;J$1,JupData!$A$2:$A$10000&amp;JupData!$J$2:$J$10000,0),11))</f>
        <v/>
      </c>
      <c r="K959" t="str">
        <f t="array" ref="K959">IF($A959="","",INDEX(JupData!$A$2:$K$10000,MATCH($A959&amp;K$1,JupData!$A$2:$A$10000&amp;JupData!$J$2:$J$10000,0),11))</f>
        <v/>
      </c>
      <c r="L959" t="str">
        <f t="array" ref="L959">IF($A959="","",INDEX(JupData!$A$2:$K$10000,MATCH($A959&amp;L$1,JupData!$A$2:$A$10000&amp;JupData!$J$2:$J$10000,0),11))</f>
        <v/>
      </c>
      <c r="M959" t="str">
        <f t="array" ref="M959">IF($A959="","",INDEX(JupData!$A$2:$K$10000,MATCH($A959&amp;M$1,JupData!$A$2:$A$10000&amp;JupData!$J$2:$J$10000,0),11))</f>
        <v/>
      </c>
      <c r="N959" t="str">
        <f t="array" ref="N959">IF($A959="","",INDEX(JupData!$A$2:$K$10000,MATCH($A959&amp;N$1,JupData!$A$2:$A$10000&amp;JupData!$J$2:$J$10000,0),11))</f>
        <v/>
      </c>
      <c r="O959" t="str">
        <f t="array" ref="O959">IF($A959="","",INDEX(JupData!$A$2:$K$10000,MATCH($A959&amp;O$1,JupData!$A$2:$A$10000&amp;JupData!$J$2:$J$10000,0),11))</f>
        <v/>
      </c>
      <c r="P959" t="str">
        <f t="array" ref="P959">IF($A959="","",INDEX(JupData!$A$2:$K$10000,MATCH($A959&amp;P$1,JupData!$A$2:$A$10000&amp;JupData!$J$2:$J$10000,0),11))</f>
        <v/>
      </c>
      <c r="Q959" t="str">
        <f t="array" ref="Q959">IF($A959="","",INDEX(JupData!$A$2:$K$10000,MATCH($A959&amp;Q$1,JupData!$A$2:$A$10000&amp;JupData!$J$2:$J$10000,0),11))</f>
        <v/>
      </c>
      <c r="R959" t="str">
        <f t="array" ref="R959">IF($A959="","",INDEX(JupData!$A$2:$K$10000,MATCH($A959&amp;R$1,JupData!$A$2:$A$10000&amp;JupData!$J$2:$J$10000,0),11))</f>
        <v/>
      </c>
      <c r="S959" t="str">
        <f t="array" ref="S959">IF($A959="","",INDEX(JupData!$A$2:$K$10000,MATCH($A959&amp;S$1,JupData!$A$2:$A$10000&amp;JupData!$J$2:$J$10000,0),11))</f>
        <v/>
      </c>
      <c r="T959" t="str">
        <f t="array" ref="T959">IF($A959="","",INDEX(JupData!$A$2:$K$10000,MATCH($A959&amp;T$1,JupData!$A$2:$A$10000&amp;JupData!$J$2:$J$10000,0),11))</f>
        <v/>
      </c>
      <c r="U959" t="str">
        <f t="array" ref="U959">IF($A959="","",INDEX(JupData!$A$2:$K$10000,MATCH($A959&amp;U$1,JupData!$A$2:$A$10000&amp;JupData!$J$2:$J$10000,0),11))</f>
        <v/>
      </c>
      <c r="V959" t="str">
        <f t="array" ref="V959">IF($A959="","",INDEX(JupData!$A$2:$K$10000,MATCH($A959&amp;V$1,JupData!$A$2:$A$10000&amp;JupData!$J$2:$J$10000,0),11))</f>
        <v/>
      </c>
      <c r="W959" t="str">
        <f t="array" ref="W959">IF($A959="","",INDEX(JupData!$A$2:$K$10000,MATCH($A959&amp;W$1,JupData!$A$2:$A$10000&amp;JupData!$J$2:$J$10000,0),11))</f>
        <v/>
      </c>
      <c r="X959" t="str">
        <f t="array" ref="X959">IF($A959="","",INDEX(JupData!$A$2:$K$10000,MATCH($A959&amp;X$1,JupData!$A$2:$A$10000&amp;JupData!$J$2:$J$10000,0),11))</f>
        <v/>
      </c>
      <c r="Y959" t="str">
        <f t="array" ref="Y959">IF($A959="","",INDEX(JupData!$A$2:$K$10000,MATCH($A959&amp;Y$1,JupData!$A$2:$A$10000&amp;JupData!$J$2:$J$10000,0),11))</f>
        <v/>
      </c>
      <c r="Z959" t="str">
        <f t="array" ref="Z959">IF($A959="","",INDEX(JupData!$A$2:$K$10000,MATCH($A959&amp;Z$1,JupData!$A$2:$A$10000&amp;JupData!$J$2:$J$10000,0),11))</f>
        <v/>
      </c>
      <c r="AA959" t="str">
        <f t="array" ref="AA959">IF($A959="","",INDEX(JupData!$A$2:$K$10000,MATCH($A959&amp;AA$1,JupData!$A$2:$A$10000&amp;JupData!$J$2:$J$10000,0),11))</f>
        <v/>
      </c>
      <c r="AB959" t="str">
        <f t="array" ref="AB959">IF($A959="","",INDEX(JupData!$A$2:$K$10000,MATCH($A959&amp;AB$1,JupData!$A$2:$A$10000&amp;JupData!$J$2:$J$10000,0),11))</f>
        <v/>
      </c>
      <c r="AC959" s="10" t="str">
        <f t="shared" si="154"/>
        <v/>
      </c>
      <c r="AD959" s="10" t="str">
        <f t="shared" si="155"/>
        <v/>
      </c>
      <c r="AE959" s="9" t="str">
        <f t="shared" si="156"/>
        <v/>
      </c>
      <c r="AF959" s="10" t="str">
        <f t="shared" si="157"/>
        <v/>
      </c>
      <c r="AG959" s="10" t="str">
        <f t="shared" si="158"/>
        <v/>
      </c>
      <c r="AH959" s="10" t="str">
        <f t="shared" si="159"/>
        <v/>
      </c>
      <c r="AI959" s="10" t="str">
        <f t="shared" si="160"/>
        <v/>
      </c>
      <c r="AJ959" s="10" t="str">
        <f t="shared" si="161"/>
        <v/>
      </c>
      <c r="AK959" s="10" t="str">
        <f t="shared" si="162"/>
        <v/>
      </c>
      <c r="AL959" s="14" t="str">
        <f t="shared" si="163"/>
        <v/>
      </c>
    </row>
    <row r="960" spans="1:38" x14ac:dyDescent="0.2">
      <c r="A960"/>
      <c r="B960" t="str">
        <f>IF($A960="","",VLOOKUP($A960,JupData!$A$2:$I$10000,4,FALSE))</f>
        <v/>
      </c>
      <c r="C960" s="7" t="str">
        <f>IF($A960="",IF(N(D960),0,""),VLOOKUP($A960,JupData!$A$2:$I$10000,7,FALSE))</f>
        <v/>
      </c>
      <c r="D960" t="str">
        <f t="shared" si="164"/>
        <v/>
      </c>
      <c r="E960" t="str">
        <f t="array" ref="E960">IF($A960="","",INDEX(JupData!$A$2:$K$10000,MATCH($A960&amp;E$1,JupData!$A$2:$A$10000&amp;JupData!$J$2:$J$10000,0),11))</f>
        <v/>
      </c>
      <c r="F960" t="str">
        <f t="array" ref="F960">IF($A960="","",INDEX(JupData!$A$2:$K$10000,MATCH($A960&amp;F$1,JupData!$A$2:$A$10000&amp;JupData!$J$2:$J$10000,0),11))</f>
        <v/>
      </c>
      <c r="G960" t="str">
        <f t="array" ref="G960">IF($A960="","",INDEX(JupData!$A$2:$K$10000,MATCH($A960&amp;G$1,JupData!$A$2:$A$10000&amp;JupData!$J$2:$J$10000,0),11))</f>
        <v/>
      </c>
      <c r="H960" t="str">
        <f t="array" ref="H960">IF($A960="","",INDEX(JupData!$A$2:$K$10000,MATCH($A960&amp;H$1,JupData!$A$2:$A$10000&amp;JupData!$J$2:$J$10000,0),11))</f>
        <v/>
      </c>
      <c r="I960" t="str">
        <f t="array" ref="I960">IF($A960="","",INDEX(JupData!$A$2:$K$10000,MATCH($A960&amp;I$1,JupData!$A$2:$A$10000&amp;JupData!$J$2:$J$10000,0),11))</f>
        <v/>
      </c>
      <c r="J960" t="str">
        <f t="array" ref="J960">IF($A960="","",INDEX(JupData!$A$2:$K$10000,MATCH($A960&amp;J$1,JupData!$A$2:$A$10000&amp;JupData!$J$2:$J$10000,0),11))</f>
        <v/>
      </c>
      <c r="K960" t="str">
        <f t="array" ref="K960">IF($A960="","",INDEX(JupData!$A$2:$K$10000,MATCH($A960&amp;K$1,JupData!$A$2:$A$10000&amp;JupData!$J$2:$J$10000,0),11))</f>
        <v/>
      </c>
      <c r="L960" t="str">
        <f t="array" ref="L960">IF($A960="","",INDEX(JupData!$A$2:$K$10000,MATCH($A960&amp;L$1,JupData!$A$2:$A$10000&amp;JupData!$J$2:$J$10000,0),11))</f>
        <v/>
      </c>
      <c r="M960" t="str">
        <f t="array" ref="M960">IF($A960="","",INDEX(JupData!$A$2:$K$10000,MATCH($A960&amp;M$1,JupData!$A$2:$A$10000&amp;JupData!$J$2:$J$10000,0),11))</f>
        <v/>
      </c>
      <c r="N960" t="str">
        <f t="array" ref="N960">IF($A960="","",INDEX(JupData!$A$2:$K$10000,MATCH($A960&amp;N$1,JupData!$A$2:$A$10000&amp;JupData!$J$2:$J$10000,0),11))</f>
        <v/>
      </c>
      <c r="O960" t="str">
        <f t="array" ref="O960">IF($A960="","",INDEX(JupData!$A$2:$K$10000,MATCH($A960&amp;O$1,JupData!$A$2:$A$10000&amp;JupData!$J$2:$J$10000,0),11))</f>
        <v/>
      </c>
      <c r="P960" t="str">
        <f t="array" ref="P960">IF($A960="","",INDEX(JupData!$A$2:$K$10000,MATCH($A960&amp;P$1,JupData!$A$2:$A$10000&amp;JupData!$J$2:$J$10000,0),11))</f>
        <v/>
      </c>
      <c r="Q960" t="str">
        <f t="array" ref="Q960">IF($A960="","",INDEX(JupData!$A$2:$K$10000,MATCH($A960&amp;Q$1,JupData!$A$2:$A$10000&amp;JupData!$J$2:$J$10000,0),11))</f>
        <v/>
      </c>
      <c r="R960" t="str">
        <f t="array" ref="R960">IF($A960="","",INDEX(JupData!$A$2:$K$10000,MATCH($A960&amp;R$1,JupData!$A$2:$A$10000&amp;JupData!$J$2:$J$10000,0),11))</f>
        <v/>
      </c>
      <c r="S960" t="str">
        <f t="array" ref="S960">IF($A960="","",INDEX(JupData!$A$2:$K$10000,MATCH($A960&amp;S$1,JupData!$A$2:$A$10000&amp;JupData!$J$2:$J$10000,0),11))</f>
        <v/>
      </c>
      <c r="T960" t="str">
        <f t="array" ref="T960">IF($A960="","",INDEX(JupData!$A$2:$K$10000,MATCH($A960&amp;T$1,JupData!$A$2:$A$10000&amp;JupData!$J$2:$J$10000,0),11))</f>
        <v/>
      </c>
      <c r="U960" t="str">
        <f t="array" ref="U960">IF($A960="","",INDEX(JupData!$A$2:$K$10000,MATCH($A960&amp;U$1,JupData!$A$2:$A$10000&amp;JupData!$J$2:$J$10000,0),11))</f>
        <v/>
      </c>
      <c r="V960" t="str">
        <f t="array" ref="V960">IF($A960="","",INDEX(JupData!$A$2:$K$10000,MATCH($A960&amp;V$1,JupData!$A$2:$A$10000&amp;JupData!$J$2:$J$10000,0),11))</f>
        <v/>
      </c>
      <c r="W960" t="str">
        <f t="array" ref="W960">IF($A960="","",INDEX(JupData!$A$2:$K$10000,MATCH($A960&amp;W$1,JupData!$A$2:$A$10000&amp;JupData!$J$2:$J$10000,0),11))</f>
        <v/>
      </c>
      <c r="X960" t="str">
        <f t="array" ref="X960">IF($A960="","",INDEX(JupData!$A$2:$K$10000,MATCH($A960&amp;X$1,JupData!$A$2:$A$10000&amp;JupData!$J$2:$J$10000,0),11))</f>
        <v/>
      </c>
      <c r="Y960" t="str">
        <f t="array" ref="Y960">IF($A960="","",INDEX(JupData!$A$2:$K$10000,MATCH($A960&amp;Y$1,JupData!$A$2:$A$10000&amp;JupData!$J$2:$J$10000,0),11))</f>
        <v/>
      </c>
      <c r="Z960" t="str">
        <f t="array" ref="Z960">IF($A960="","",INDEX(JupData!$A$2:$K$10000,MATCH($A960&amp;Z$1,JupData!$A$2:$A$10000&amp;JupData!$J$2:$J$10000,0),11))</f>
        <v/>
      </c>
      <c r="AA960" t="str">
        <f t="array" ref="AA960">IF($A960="","",INDEX(JupData!$A$2:$K$10000,MATCH($A960&amp;AA$1,JupData!$A$2:$A$10000&amp;JupData!$J$2:$J$10000,0),11))</f>
        <v/>
      </c>
      <c r="AB960" t="str">
        <f t="array" ref="AB960">IF($A960="","",INDEX(JupData!$A$2:$K$10000,MATCH($A960&amp;AB$1,JupData!$A$2:$A$10000&amp;JupData!$J$2:$J$10000,0),11))</f>
        <v/>
      </c>
      <c r="AC960" s="10" t="str">
        <f t="shared" si="154"/>
        <v/>
      </c>
      <c r="AD960" s="10" t="str">
        <f t="shared" si="155"/>
        <v/>
      </c>
      <c r="AE960" s="9" t="str">
        <f t="shared" si="156"/>
        <v/>
      </c>
      <c r="AF960" s="10" t="str">
        <f t="shared" si="157"/>
        <v/>
      </c>
      <c r="AG960" s="10" t="str">
        <f t="shared" si="158"/>
        <v/>
      </c>
      <c r="AH960" s="10" t="str">
        <f t="shared" si="159"/>
        <v/>
      </c>
      <c r="AI960" s="10" t="str">
        <f t="shared" si="160"/>
        <v/>
      </c>
      <c r="AJ960" s="10" t="str">
        <f t="shared" si="161"/>
        <v/>
      </c>
      <c r="AK960" s="10" t="str">
        <f t="shared" si="162"/>
        <v/>
      </c>
      <c r="AL960" s="14" t="str">
        <f t="shared" si="163"/>
        <v/>
      </c>
    </row>
    <row r="961" spans="1:38" x14ac:dyDescent="0.2">
      <c r="A961"/>
      <c r="B961" t="str">
        <f>IF($A961="","",VLOOKUP($A961,JupData!$A$2:$I$10000,4,FALSE))</f>
        <v/>
      </c>
      <c r="C961" s="7" t="str">
        <f>IF($A961="",IF(N(D961),0,""),VLOOKUP($A961,JupData!$A$2:$I$10000,7,FALSE))</f>
        <v/>
      </c>
      <c r="D961" t="str">
        <f t="shared" si="164"/>
        <v/>
      </c>
      <c r="E961" t="str">
        <f t="array" ref="E961">IF($A961="","",INDEX(JupData!$A$2:$K$10000,MATCH($A961&amp;E$1,JupData!$A$2:$A$10000&amp;JupData!$J$2:$J$10000,0),11))</f>
        <v/>
      </c>
      <c r="F961" t="str">
        <f t="array" ref="F961">IF($A961="","",INDEX(JupData!$A$2:$K$10000,MATCH($A961&amp;F$1,JupData!$A$2:$A$10000&amp;JupData!$J$2:$J$10000,0),11))</f>
        <v/>
      </c>
      <c r="G961" t="str">
        <f t="array" ref="G961">IF($A961="","",INDEX(JupData!$A$2:$K$10000,MATCH($A961&amp;G$1,JupData!$A$2:$A$10000&amp;JupData!$J$2:$J$10000,0),11))</f>
        <v/>
      </c>
      <c r="H961" t="str">
        <f t="array" ref="H961">IF($A961="","",INDEX(JupData!$A$2:$K$10000,MATCH($A961&amp;H$1,JupData!$A$2:$A$10000&amp;JupData!$J$2:$J$10000,0),11))</f>
        <v/>
      </c>
      <c r="I961" t="str">
        <f t="array" ref="I961">IF($A961="","",INDEX(JupData!$A$2:$K$10000,MATCH($A961&amp;I$1,JupData!$A$2:$A$10000&amp;JupData!$J$2:$J$10000,0),11))</f>
        <v/>
      </c>
      <c r="J961" t="str">
        <f t="array" ref="J961">IF($A961="","",INDEX(JupData!$A$2:$K$10000,MATCH($A961&amp;J$1,JupData!$A$2:$A$10000&amp;JupData!$J$2:$J$10000,0),11))</f>
        <v/>
      </c>
      <c r="K961" t="str">
        <f t="array" ref="K961">IF($A961="","",INDEX(JupData!$A$2:$K$10000,MATCH($A961&amp;K$1,JupData!$A$2:$A$10000&amp;JupData!$J$2:$J$10000,0),11))</f>
        <v/>
      </c>
      <c r="L961" t="str">
        <f t="array" ref="L961">IF($A961="","",INDEX(JupData!$A$2:$K$10000,MATCH($A961&amp;L$1,JupData!$A$2:$A$10000&amp;JupData!$J$2:$J$10000,0),11))</f>
        <v/>
      </c>
      <c r="M961" t="str">
        <f t="array" ref="M961">IF($A961="","",INDEX(JupData!$A$2:$K$10000,MATCH($A961&amp;M$1,JupData!$A$2:$A$10000&amp;JupData!$J$2:$J$10000,0),11))</f>
        <v/>
      </c>
      <c r="N961" t="str">
        <f t="array" ref="N961">IF($A961="","",INDEX(JupData!$A$2:$K$10000,MATCH($A961&amp;N$1,JupData!$A$2:$A$10000&amp;JupData!$J$2:$J$10000,0),11))</f>
        <v/>
      </c>
      <c r="O961" t="str">
        <f t="array" ref="O961">IF($A961="","",INDEX(JupData!$A$2:$K$10000,MATCH($A961&amp;O$1,JupData!$A$2:$A$10000&amp;JupData!$J$2:$J$10000,0),11))</f>
        <v/>
      </c>
      <c r="P961" t="str">
        <f t="array" ref="P961">IF($A961="","",INDEX(JupData!$A$2:$K$10000,MATCH($A961&amp;P$1,JupData!$A$2:$A$10000&amp;JupData!$J$2:$J$10000,0),11))</f>
        <v/>
      </c>
      <c r="Q961" t="str">
        <f t="array" ref="Q961">IF($A961="","",INDEX(JupData!$A$2:$K$10000,MATCH($A961&amp;Q$1,JupData!$A$2:$A$10000&amp;JupData!$J$2:$J$10000,0),11))</f>
        <v/>
      </c>
      <c r="R961" t="str">
        <f t="array" ref="R961">IF($A961="","",INDEX(JupData!$A$2:$K$10000,MATCH($A961&amp;R$1,JupData!$A$2:$A$10000&amp;JupData!$J$2:$J$10000,0),11))</f>
        <v/>
      </c>
      <c r="S961" t="str">
        <f t="array" ref="S961">IF($A961="","",INDEX(JupData!$A$2:$K$10000,MATCH($A961&amp;S$1,JupData!$A$2:$A$10000&amp;JupData!$J$2:$J$10000,0),11))</f>
        <v/>
      </c>
      <c r="T961" t="str">
        <f t="array" ref="T961">IF($A961="","",INDEX(JupData!$A$2:$K$10000,MATCH($A961&amp;T$1,JupData!$A$2:$A$10000&amp;JupData!$J$2:$J$10000,0),11))</f>
        <v/>
      </c>
      <c r="U961" t="str">
        <f t="array" ref="U961">IF($A961="","",INDEX(JupData!$A$2:$K$10000,MATCH($A961&amp;U$1,JupData!$A$2:$A$10000&amp;JupData!$J$2:$J$10000,0),11))</f>
        <v/>
      </c>
      <c r="V961" t="str">
        <f t="array" ref="V961">IF($A961="","",INDEX(JupData!$A$2:$K$10000,MATCH($A961&amp;V$1,JupData!$A$2:$A$10000&amp;JupData!$J$2:$J$10000,0),11))</f>
        <v/>
      </c>
      <c r="W961" t="str">
        <f t="array" ref="W961">IF($A961="","",INDEX(JupData!$A$2:$K$10000,MATCH($A961&amp;W$1,JupData!$A$2:$A$10000&amp;JupData!$J$2:$J$10000,0),11))</f>
        <v/>
      </c>
      <c r="X961" t="str">
        <f t="array" ref="X961">IF($A961="","",INDEX(JupData!$A$2:$K$10000,MATCH($A961&amp;X$1,JupData!$A$2:$A$10000&amp;JupData!$J$2:$J$10000,0),11))</f>
        <v/>
      </c>
      <c r="Y961" t="str">
        <f t="array" ref="Y961">IF($A961="","",INDEX(JupData!$A$2:$K$10000,MATCH($A961&amp;Y$1,JupData!$A$2:$A$10000&amp;JupData!$J$2:$J$10000,0),11))</f>
        <v/>
      </c>
      <c r="Z961" t="str">
        <f t="array" ref="Z961">IF($A961="","",INDEX(JupData!$A$2:$K$10000,MATCH($A961&amp;Z$1,JupData!$A$2:$A$10000&amp;JupData!$J$2:$J$10000,0),11))</f>
        <v/>
      </c>
      <c r="AA961" t="str">
        <f t="array" ref="AA961">IF($A961="","",INDEX(JupData!$A$2:$K$10000,MATCH($A961&amp;AA$1,JupData!$A$2:$A$10000&amp;JupData!$J$2:$J$10000,0),11))</f>
        <v/>
      </c>
      <c r="AB961" t="str">
        <f t="array" ref="AB961">IF($A961="","",INDEX(JupData!$A$2:$K$10000,MATCH($A961&amp;AB$1,JupData!$A$2:$A$10000&amp;JupData!$J$2:$J$10000,0),11))</f>
        <v/>
      </c>
      <c r="AC961" s="10" t="str">
        <f t="shared" si="154"/>
        <v/>
      </c>
      <c r="AD961" s="10" t="str">
        <f t="shared" si="155"/>
        <v/>
      </c>
      <c r="AE961" s="9" t="str">
        <f t="shared" si="156"/>
        <v/>
      </c>
      <c r="AF961" s="10" t="str">
        <f t="shared" si="157"/>
        <v/>
      </c>
      <c r="AG961" s="10" t="str">
        <f t="shared" si="158"/>
        <v/>
      </c>
      <c r="AH961" s="10" t="str">
        <f t="shared" si="159"/>
        <v/>
      </c>
      <c r="AI961" s="10" t="str">
        <f t="shared" si="160"/>
        <v/>
      </c>
      <c r="AJ961" s="10" t="str">
        <f t="shared" si="161"/>
        <v/>
      </c>
      <c r="AK961" s="10" t="str">
        <f t="shared" si="162"/>
        <v/>
      </c>
      <c r="AL961" s="14" t="str">
        <f t="shared" si="163"/>
        <v/>
      </c>
    </row>
    <row r="962" spans="1:38" x14ac:dyDescent="0.2">
      <c r="A962"/>
      <c r="B962" t="str">
        <f>IF($A962="","",VLOOKUP($A962,JupData!$A$2:$I$10000,4,FALSE))</f>
        <v/>
      </c>
      <c r="C962" s="7" t="str">
        <f>IF($A962="",IF(N(D962),0,""),VLOOKUP($A962,JupData!$A$2:$I$10000,7,FALSE))</f>
        <v/>
      </c>
      <c r="D962" t="str">
        <f t="shared" si="164"/>
        <v/>
      </c>
      <c r="E962" t="str">
        <f t="array" ref="E962">IF($A962="","",INDEX(JupData!$A$2:$K$10000,MATCH($A962&amp;E$1,JupData!$A$2:$A$10000&amp;JupData!$J$2:$J$10000,0),11))</f>
        <v/>
      </c>
      <c r="F962" t="str">
        <f t="array" ref="F962">IF($A962="","",INDEX(JupData!$A$2:$K$10000,MATCH($A962&amp;F$1,JupData!$A$2:$A$10000&amp;JupData!$J$2:$J$10000,0),11))</f>
        <v/>
      </c>
      <c r="G962" t="str">
        <f t="array" ref="G962">IF($A962="","",INDEX(JupData!$A$2:$K$10000,MATCH($A962&amp;G$1,JupData!$A$2:$A$10000&amp;JupData!$J$2:$J$10000,0),11))</f>
        <v/>
      </c>
      <c r="H962" t="str">
        <f t="array" ref="H962">IF($A962="","",INDEX(JupData!$A$2:$K$10000,MATCH($A962&amp;H$1,JupData!$A$2:$A$10000&amp;JupData!$J$2:$J$10000,0),11))</f>
        <v/>
      </c>
      <c r="I962" t="str">
        <f t="array" ref="I962">IF($A962="","",INDEX(JupData!$A$2:$K$10000,MATCH($A962&amp;I$1,JupData!$A$2:$A$10000&amp;JupData!$J$2:$J$10000,0),11))</f>
        <v/>
      </c>
      <c r="J962" t="str">
        <f t="array" ref="J962">IF($A962="","",INDEX(JupData!$A$2:$K$10000,MATCH($A962&amp;J$1,JupData!$A$2:$A$10000&amp;JupData!$J$2:$J$10000,0),11))</f>
        <v/>
      </c>
      <c r="K962" t="str">
        <f t="array" ref="K962">IF($A962="","",INDEX(JupData!$A$2:$K$10000,MATCH($A962&amp;K$1,JupData!$A$2:$A$10000&amp;JupData!$J$2:$J$10000,0),11))</f>
        <v/>
      </c>
      <c r="L962" t="str">
        <f t="array" ref="L962">IF($A962="","",INDEX(JupData!$A$2:$K$10000,MATCH($A962&amp;L$1,JupData!$A$2:$A$10000&amp;JupData!$J$2:$J$10000,0),11))</f>
        <v/>
      </c>
      <c r="M962" t="str">
        <f t="array" ref="M962">IF($A962="","",INDEX(JupData!$A$2:$K$10000,MATCH($A962&amp;M$1,JupData!$A$2:$A$10000&amp;JupData!$J$2:$J$10000,0),11))</f>
        <v/>
      </c>
      <c r="N962" t="str">
        <f t="array" ref="N962">IF($A962="","",INDEX(JupData!$A$2:$K$10000,MATCH($A962&amp;N$1,JupData!$A$2:$A$10000&amp;JupData!$J$2:$J$10000,0),11))</f>
        <v/>
      </c>
      <c r="O962" t="str">
        <f t="array" ref="O962">IF($A962="","",INDEX(JupData!$A$2:$K$10000,MATCH($A962&amp;O$1,JupData!$A$2:$A$10000&amp;JupData!$J$2:$J$10000,0),11))</f>
        <v/>
      </c>
      <c r="P962" t="str">
        <f t="array" ref="P962">IF($A962="","",INDEX(JupData!$A$2:$K$10000,MATCH($A962&amp;P$1,JupData!$A$2:$A$10000&amp;JupData!$J$2:$J$10000,0),11))</f>
        <v/>
      </c>
      <c r="Q962" t="str">
        <f t="array" ref="Q962">IF($A962="","",INDEX(JupData!$A$2:$K$10000,MATCH($A962&amp;Q$1,JupData!$A$2:$A$10000&amp;JupData!$J$2:$J$10000,0),11))</f>
        <v/>
      </c>
      <c r="R962" t="str">
        <f t="array" ref="R962">IF($A962="","",INDEX(JupData!$A$2:$K$10000,MATCH($A962&amp;R$1,JupData!$A$2:$A$10000&amp;JupData!$J$2:$J$10000,0),11))</f>
        <v/>
      </c>
      <c r="S962" t="str">
        <f t="array" ref="S962">IF($A962="","",INDEX(JupData!$A$2:$K$10000,MATCH($A962&amp;S$1,JupData!$A$2:$A$10000&amp;JupData!$J$2:$J$10000,0),11))</f>
        <v/>
      </c>
      <c r="T962" t="str">
        <f t="array" ref="T962">IF($A962="","",INDEX(JupData!$A$2:$K$10000,MATCH($A962&amp;T$1,JupData!$A$2:$A$10000&amp;JupData!$J$2:$J$10000,0),11))</f>
        <v/>
      </c>
      <c r="U962" t="str">
        <f t="array" ref="U962">IF($A962="","",INDEX(JupData!$A$2:$K$10000,MATCH($A962&amp;U$1,JupData!$A$2:$A$10000&amp;JupData!$J$2:$J$10000,0),11))</f>
        <v/>
      </c>
      <c r="V962" t="str">
        <f t="array" ref="V962">IF($A962="","",INDEX(JupData!$A$2:$K$10000,MATCH($A962&amp;V$1,JupData!$A$2:$A$10000&amp;JupData!$J$2:$J$10000,0),11))</f>
        <v/>
      </c>
      <c r="W962" t="str">
        <f t="array" ref="W962">IF($A962="","",INDEX(JupData!$A$2:$K$10000,MATCH($A962&amp;W$1,JupData!$A$2:$A$10000&amp;JupData!$J$2:$J$10000,0),11))</f>
        <v/>
      </c>
      <c r="X962" t="str">
        <f t="array" ref="X962">IF($A962="","",INDEX(JupData!$A$2:$K$10000,MATCH($A962&amp;X$1,JupData!$A$2:$A$10000&amp;JupData!$J$2:$J$10000,0),11))</f>
        <v/>
      </c>
      <c r="Y962" t="str">
        <f t="array" ref="Y962">IF($A962="","",INDEX(JupData!$A$2:$K$10000,MATCH($A962&amp;Y$1,JupData!$A$2:$A$10000&amp;JupData!$J$2:$J$10000,0),11))</f>
        <v/>
      </c>
      <c r="Z962" t="str">
        <f t="array" ref="Z962">IF($A962="","",INDEX(JupData!$A$2:$K$10000,MATCH($A962&amp;Z$1,JupData!$A$2:$A$10000&amp;JupData!$J$2:$J$10000,0),11))</f>
        <v/>
      </c>
      <c r="AA962" t="str">
        <f t="array" ref="AA962">IF($A962="","",INDEX(JupData!$A$2:$K$10000,MATCH($A962&amp;AA$1,JupData!$A$2:$A$10000&amp;JupData!$J$2:$J$10000,0),11))</f>
        <v/>
      </c>
      <c r="AB962" t="str">
        <f t="array" ref="AB962">IF($A962="","",INDEX(JupData!$A$2:$K$10000,MATCH($A962&amp;AB$1,JupData!$A$2:$A$10000&amp;JupData!$J$2:$J$10000,0),11))</f>
        <v/>
      </c>
      <c r="AC962" s="10" t="str">
        <f t="shared" si="154"/>
        <v/>
      </c>
      <c r="AD962" s="10" t="str">
        <f t="shared" si="155"/>
        <v/>
      </c>
      <c r="AE962" s="9" t="str">
        <f t="shared" si="156"/>
        <v/>
      </c>
      <c r="AF962" s="10" t="str">
        <f t="shared" si="157"/>
        <v/>
      </c>
      <c r="AG962" s="10" t="str">
        <f t="shared" si="158"/>
        <v/>
      </c>
      <c r="AH962" s="10" t="str">
        <f t="shared" si="159"/>
        <v/>
      </c>
      <c r="AI962" s="10" t="str">
        <f t="shared" si="160"/>
        <v/>
      </c>
      <c r="AJ962" s="10" t="str">
        <f t="shared" si="161"/>
        <v/>
      </c>
      <c r="AK962" s="10" t="str">
        <f t="shared" si="162"/>
        <v/>
      </c>
      <c r="AL962" s="14" t="str">
        <f t="shared" si="163"/>
        <v/>
      </c>
    </row>
    <row r="963" spans="1:38" x14ac:dyDescent="0.2">
      <c r="A963"/>
      <c r="B963" t="str">
        <f>IF($A963="","",VLOOKUP($A963,JupData!$A$2:$I$10000,4,FALSE))</f>
        <v/>
      </c>
      <c r="C963" s="7" t="str">
        <f>IF($A963="",IF(N(D963),0,""),VLOOKUP($A963,JupData!$A$2:$I$10000,7,FALSE))</f>
        <v/>
      </c>
      <c r="D963" t="str">
        <f t="shared" si="164"/>
        <v/>
      </c>
      <c r="E963" t="str">
        <f t="array" ref="E963">IF($A963="","",INDEX(JupData!$A$2:$K$10000,MATCH($A963&amp;E$1,JupData!$A$2:$A$10000&amp;JupData!$J$2:$J$10000,0),11))</f>
        <v/>
      </c>
      <c r="F963" t="str">
        <f t="array" ref="F963">IF($A963="","",INDEX(JupData!$A$2:$K$10000,MATCH($A963&amp;F$1,JupData!$A$2:$A$10000&amp;JupData!$J$2:$J$10000,0),11))</f>
        <v/>
      </c>
      <c r="G963" t="str">
        <f t="array" ref="G963">IF($A963="","",INDEX(JupData!$A$2:$K$10000,MATCH($A963&amp;G$1,JupData!$A$2:$A$10000&amp;JupData!$J$2:$J$10000,0),11))</f>
        <v/>
      </c>
      <c r="H963" t="str">
        <f t="array" ref="H963">IF($A963="","",INDEX(JupData!$A$2:$K$10000,MATCH($A963&amp;H$1,JupData!$A$2:$A$10000&amp;JupData!$J$2:$J$10000,0),11))</f>
        <v/>
      </c>
      <c r="I963" t="str">
        <f t="array" ref="I963">IF($A963="","",INDEX(JupData!$A$2:$K$10000,MATCH($A963&amp;I$1,JupData!$A$2:$A$10000&amp;JupData!$J$2:$J$10000,0),11))</f>
        <v/>
      </c>
      <c r="J963" t="str">
        <f t="array" ref="J963">IF($A963="","",INDEX(JupData!$A$2:$K$10000,MATCH($A963&amp;J$1,JupData!$A$2:$A$10000&amp;JupData!$J$2:$J$10000,0),11))</f>
        <v/>
      </c>
      <c r="K963" t="str">
        <f t="array" ref="K963">IF($A963="","",INDEX(JupData!$A$2:$K$10000,MATCH($A963&amp;K$1,JupData!$A$2:$A$10000&amp;JupData!$J$2:$J$10000,0),11))</f>
        <v/>
      </c>
      <c r="L963" t="str">
        <f t="array" ref="L963">IF($A963="","",INDEX(JupData!$A$2:$K$10000,MATCH($A963&amp;L$1,JupData!$A$2:$A$10000&amp;JupData!$J$2:$J$10000,0),11))</f>
        <v/>
      </c>
      <c r="M963" t="str">
        <f t="array" ref="M963">IF($A963="","",INDEX(JupData!$A$2:$K$10000,MATCH($A963&amp;M$1,JupData!$A$2:$A$10000&amp;JupData!$J$2:$J$10000,0),11))</f>
        <v/>
      </c>
      <c r="N963" t="str">
        <f t="array" ref="N963">IF($A963="","",INDEX(JupData!$A$2:$K$10000,MATCH($A963&amp;N$1,JupData!$A$2:$A$10000&amp;JupData!$J$2:$J$10000,0),11))</f>
        <v/>
      </c>
      <c r="O963" t="str">
        <f t="array" ref="O963">IF($A963="","",INDEX(JupData!$A$2:$K$10000,MATCH($A963&amp;O$1,JupData!$A$2:$A$10000&amp;JupData!$J$2:$J$10000,0),11))</f>
        <v/>
      </c>
      <c r="P963" t="str">
        <f t="array" ref="P963">IF($A963="","",INDEX(JupData!$A$2:$K$10000,MATCH($A963&amp;P$1,JupData!$A$2:$A$10000&amp;JupData!$J$2:$J$10000,0),11))</f>
        <v/>
      </c>
      <c r="Q963" t="str">
        <f t="array" ref="Q963">IF($A963="","",INDEX(JupData!$A$2:$K$10000,MATCH($A963&amp;Q$1,JupData!$A$2:$A$10000&amp;JupData!$J$2:$J$10000,0),11))</f>
        <v/>
      </c>
      <c r="R963" t="str">
        <f t="array" ref="R963">IF($A963="","",INDEX(JupData!$A$2:$K$10000,MATCH($A963&amp;R$1,JupData!$A$2:$A$10000&amp;JupData!$J$2:$J$10000,0),11))</f>
        <v/>
      </c>
      <c r="S963" t="str">
        <f t="array" ref="S963">IF($A963="","",INDEX(JupData!$A$2:$K$10000,MATCH($A963&amp;S$1,JupData!$A$2:$A$10000&amp;JupData!$J$2:$J$10000,0),11))</f>
        <v/>
      </c>
      <c r="T963" t="str">
        <f t="array" ref="T963">IF($A963="","",INDEX(JupData!$A$2:$K$10000,MATCH($A963&amp;T$1,JupData!$A$2:$A$10000&amp;JupData!$J$2:$J$10000,0),11))</f>
        <v/>
      </c>
      <c r="U963" t="str">
        <f t="array" ref="U963">IF($A963="","",INDEX(JupData!$A$2:$K$10000,MATCH($A963&amp;U$1,JupData!$A$2:$A$10000&amp;JupData!$J$2:$J$10000,0),11))</f>
        <v/>
      </c>
      <c r="V963" t="str">
        <f t="array" ref="V963">IF($A963="","",INDEX(JupData!$A$2:$K$10000,MATCH($A963&amp;V$1,JupData!$A$2:$A$10000&amp;JupData!$J$2:$J$10000,0),11))</f>
        <v/>
      </c>
      <c r="W963" t="str">
        <f t="array" ref="W963">IF($A963="","",INDEX(JupData!$A$2:$K$10000,MATCH($A963&amp;W$1,JupData!$A$2:$A$10000&amp;JupData!$J$2:$J$10000,0),11))</f>
        <v/>
      </c>
      <c r="X963" t="str">
        <f t="array" ref="X963">IF($A963="","",INDEX(JupData!$A$2:$K$10000,MATCH($A963&amp;X$1,JupData!$A$2:$A$10000&amp;JupData!$J$2:$J$10000,0),11))</f>
        <v/>
      </c>
      <c r="Y963" t="str">
        <f t="array" ref="Y963">IF($A963="","",INDEX(JupData!$A$2:$K$10000,MATCH($A963&amp;Y$1,JupData!$A$2:$A$10000&amp;JupData!$J$2:$J$10000,0),11))</f>
        <v/>
      </c>
      <c r="Z963" t="str">
        <f t="array" ref="Z963">IF($A963="","",INDEX(JupData!$A$2:$K$10000,MATCH($A963&amp;Z$1,JupData!$A$2:$A$10000&amp;JupData!$J$2:$J$10000,0),11))</f>
        <v/>
      </c>
      <c r="AA963" t="str">
        <f t="array" ref="AA963">IF($A963="","",INDEX(JupData!$A$2:$K$10000,MATCH($A963&amp;AA$1,JupData!$A$2:$A$10000&amp;JupData!$J$2:$J$10000,0),11))</f>
        <v/>
      </c>
      <c r="AB963" t="str">
        <f t="array" ref="AB963">IF($A963="","",INDEX(JupData!$A$2:$K$10000,MATCH($A963&amp;AB$1,JupData!$A$2:$A$10000&amp;JupData!$J$2:$J$10000,0),11))</f>
        <v/>
      </c>
      <c r="AC963" s="10" t="str">
        <f t="shared" ref="AC963:AC1000" si="165">IF(A963="","",2*H963/40.08+2*I963/24.3+J963/22.99+K963/39.1+Y963/18.04)</f>
        <v/>
      </c>
      <c r="AD963" s="10" t="str">
        <f t="shared" ref="AD963:AD1000" si="166">IF(A963="","",R963/61.02+2*S963/96.06+T963/35.45+U963/19+W963/62)</f>
        <v/>
      </c>
      <c r="AE963" s="9" t="str">
        <f t="shared" ref="AE963:AE1000" si="167">IF(A963="","",IF(AD963&lt;0,((AC963+AD963)/(AC963-AD963)),((AC963-AD963)/(AC963+AD963))))</f>
        <v/>
      </c>
      <c r="AF963" s="10" t="str">
        <f t="shared" ref="AF963:AF1000" si="168">IF(A963="","",(J963/22.99)/(T963/35.45))</f>
        <v/>
      </c>
      <c r="AG963" s="10" t="str">
        <f t="shared" ref="AG963:AG1000" si="169">IF(A963="","",2*((H963/40.08)+(I963/24.3))/(R963/61.02))</f>
        <v/>
      </c>
      <c r="AH963" s="10" t="str">
        <f t="shared" si="159"/>
        <v/>
      </c>
      <c r="AI963" s="10" t="str">
        <f t="shared" ref="AI963:AI1000" si="170">IF(A963="","",H963/40.08)</f>
        <v/>
      </c>
      <c r="AJ963" s="10" t="str">
        <f t="shared" ref="AJ963:AJ1000" si="171">IF(A963="","",S963/96.06)</f>
        <v/>
      </c>
      <c r="AK963" s="10" t="str">
        <f t="shared" ref="AK963:AK1000" si="172">IF(A963="","",IF(W963&gt;=1,IF(L963&lt;0.2,IF(G963&gt;1,"A","B"),"X1"),IF(L963&gt;=0.2,IF(S963&gt;=20,IF(S963&gt;70,"C2","C1"),IF(AG963&lt;=1,"D","X3")),"X2")))</f>
        <v/>
      </c>
      <c r="AL963" s="14" t="str">
        <f t="shared" ref="AL963:AL1000" si="173">IF(F963="","",(H963/40.1+I963/24.3)*5.6)</f>
        <v/>
      </c>
    </row>
    <row r="964" spans="1:38" x14ac:dyDescent="0.2">
      <c r="A964"/>
      <c r="B964" t="str">
        <f>IF($A964="","",VLOOKUP($A964,JupData!$A$2:$I$10000,4,FALSE))</f>
        <v/>
      </c>
      <c r="C964" s="7" t="str">
        <f>IF($A964="",IF(N(D964),0,""),VLOOKUP($A964,JupData!$A$2:$I$10000,7,FALSE))</f>
        <v/>
      </c>
      <c r="D964" t="str">
        <f t="shared" ref="D964:D1000" si="174">IF(A964="",IF(D963&lt;20,D963+1,""),IF(B963="",1,IF(B963=B964,D963,D963+1)))</f>
        <v/>
      </c>
      <c r="E964" t="str">
        <f t="array" ref="E964">IF($A964="","",INDEX(JupData!$A$2:$K$10000,MATCH($A964&amp;E$1,JupData!$A$2:$A$10000&amp;JupData!$J$2:$J$10000,0),11))</f>
        <v/>
      </c>
      <c r="F964" t="str">
        <f t="array" ref="F964">IF($A964="","",INDEX(JupData!$A$2:$K$10000,MATCH($A964&amp;F$1,JupData!$A$2:$A$10000&amp;JupData!$J$2:$J$10000,0),11))</f>
        <v/>
      </c>
      <c r="G964" t="str">
        <f t="array" ref="G964">IF($A964="","",INDEX(JupData!$A$2:$K$10000,MATCH($A964&amp;G$1,JupData!$A$2:$A$10000&amp;JupData!$J$2:$J$10000,0),11))</f>
        <v/>
      </c>
      <c r="H964" t="str">
        <f t="array" ref="H964">IF($A964="","",INDEX(JupData!$A$2:$K$10000,MATCH($A964&amp;H$1,JupData!$A$2:$A$10000&amp;JupData!$J$2:$J$10000,0),11))</f>
        <v/>
      </c>
      <c r="I964" t="str">
        <f t="array" ref="I964">IF($A964="","",INDEX(JupData!$A$2:$K$10000,MATCH($A964&amp;I$1,JupData!$A$2:$A$10000&amp;JupData!$J$2:$J$10000,0),11))</f>
        <v/>
      </c>
      <c r="J964" t="str">
        <f t="array" ref="J964">IF($A964="","",INDEX(JupData!$A$2:$K$10000,MATCH($A964&amp;J$1,JupData!$A$2:$A$10000&amp;JupData!$J$2:$J$10000,0),11))</f>
        <v/>
      </c>
      <c r="K964" t="str">
        <f t="array" ref="K964">IF($A964="","",INDEX(JupData!$A$2:$K$10000,MATCH($A964&amp;K$1,JupData!$A$2:$A$10000&amp;JupData!$J$2:$J$10000,0),11))</f>
        <v/>
      </c>
      <c r="L964" t="str">
        <f t="array" ref="L964">IF($A964="","",INDEX(JupData!$A$2:$K$10000,MATCH($A964&amp;L$1,JupData!$A$2:$A$10000&amp;JupData!$J$2:$J$10000,0),11))</f>
        <v/>
      </c>
      <c r="M964" t="str">
        <f t="array" ref="M964">IF($A964="","",INDEX(JupData!$A$2:$K$10000,MATCH($A964&amp;M$1,JupData!$A$2:$A$10000&amp;JupData!$J$2:$J$10000,0),11))</f>
        <v/>
      </c>
      <c r="N964" t="str">
        <f t="array" ref="N964">IF($A964="","",INDEX(JupData!$A$2:$K$10000,MATCH($A964&amp;N$1,JupData!$A$2:$A$10000&amp;JupData!$J$2:$J$10000,0),11))</f>
        <v/>
      </c>
      <c r="O964" t="str">
        <f t="array" ref="O964">IF($A964="","",INDEX(JupData!$A$2:$K$10000,MATCH($A964&amp;O$1,JupData!$A$2:$A$10000&amp;JupData!$J$2:$J$10000,0),11))</f>
        <v/>
      </c>
      <c r="P964" t="str">
        <f t="array" ref="P964">IF($A964="","",INDEX(JupData!$A$2:$K$10000,MATCH($A964&amp;P$1,JupData!$A$2:$A$10000&amp;JupData!$J$2:$J$10000,0),11))</f>
        <v/>
      </c>
      <c r="Q964" t="str">
        <f t="array" ref="Q964">IF($A964="","",INDEX(JupData!$A$2:$K$10000,MATCH($A964&amp;Q$1,JupData!$A$2:$A$10000&amp;JupData!$J$2:$J$10000,0),11))</f>
        <v/>
      </c>
      <c r="R964" t="str">
        <f t="array" ref="R964">IF($A964="","",INDEX(JupData!$A$2:$K$10000,MATCH($A964&amp;R$1,JupData!$A$2:$A$10000&amp;JupData!$J$2:$J$10000,0),11))</f>
        <v/>
      </c>
      <c r="S964" t="str">
        <f t="array" ref="S964">IF($A964="","",INDEX(JupData!$A$2:$K$10000,MATCH($A964&amp;S$1,JupData!$A$2:$A$10000&amp;JupData!$J$2:$J$10000,0),11))</f>
        <v/>
      </c>
      <c r="T964" t="str">
        <f t="array" ref="T964">IF($A964="","",INDEX(JupData!$A$2:$K$10000,MATCH($A964&amp;T$1,JupData!$A$2:$A$10000&amp;JupData!$J$2:$J$10000,0),11))</f>
        <v/>
      </c>
      <c r="U964" t="str">
        <f t="array" ref="U964">IF($A964="","",INDEX(JupData!$A$2:$K$10000,MATCH($A964&amp;U$1,JupData!$A$2:$A$10000&amp;JupData!$J$2:$J$10000,0),11))</f>
        <v/>
      </c>
      <c r="V964" t="str">
        <f t="array" ref="V964">IF($A964="","",INDEX(JupData!$A$2:$K$10000,MATCH($A964&amp;V$1,JupData!$A$2:$A$10000&amp;JupData!$J$2:$J$10000,0),11))</f>
        <v/>
      </c>
      <c r="W964" t="str">
        <f t="array" ref="W964">IF($A964="","",INDEX(JupData!$A$2:$K$10000,MATCH($A964&amp;W$1,JupData!$A$2:$A$10000&amp;JupData!$J$2:$J$10000,0),11))</f>
        <v/>
      </c>
      <c r="X964" t="str">
        <f t="array" ref="X964">IF($A964="","",INDEX(JupData!$A$2:$K$10000,MATCH($A964&amp;X$1,JupData!$A$2:$A$10000&amp;JupData!$J$2:$J$10000,0),11))</f>
        <v/>
      </c>
      <c r="Y964" t="str">
        <f t="array" ref="Y964">IF($A964="","",INDEX(JupData!$A$2:$K$10000,MATCH($A964&amp;Y$1,JupData!$A$2:$A$10000&amp;JupData!$J$2:$J$10000,0),11))</f>
        <v/>
      </c>
      <c r="Z964" t="str">
        <f t="array" ref="Z964">IF($A964="","",INDEX(JupData!$A$2:$K$10000,MATCH($A964&amp;Z$1,JupData!$A$2:$A$10000&amp;JupData!$J$2:$J$10000,0),11))</f>
        <v/>
      </c>
      <c r="AA964" t="str">
        <f t="array" ref="AA964">IF($A964="","",INDEX(JupData!$A$2:$K$10000,MATCH($A964&amp;AA$1,JupData!$A$2:$A$10000&amp;JupData!$J$2:$J$10000,0),11))</f>
        <v/>
      </c>
      <c r="AB964" t="str">
        <f t="array" ref="AB964">IF($A964="","",INDEX(JupData!$A$2:$K$10000,MATCH($A964&amp;AB$1,JupData!$A$2:$A$10000&amp;JupData!$J$2:$J$10000,0),11))</f>
        <v/>
      </c>
      <c r="AC964" s="10" t="str">
        <f t="shared" si="165"/>
        <v/>
      </c>
      <c r="AD964" s="10" t="str">
        <f t="shared" si="166"/>
        <v/>
      </c>
      <c r="AE964" s="9" t="str">
        <f t="shared" si="167"/>
        <v/>
      </c>
      <c r="AF964" s="10" t="str">
        <f t="shared" si="168"/>
        <v/>
      </c>
      <c r="AG964" s="10" t="str">
        <f t="shared" si="169"/>
        <v/>
      </c>
      <c r="AH964" s="10" t="str">
        <f t="shared" ref="AH964:AH1000" si="175">IF(A964="","",(J964/22.99)/((J964/22.99)+2*(H964/40.08)))</f>
        <v/>
      </c>
      <c r="AI964" s="10" t="str">
        <f t="shared" si="170"/>
        <v/>
      </c>
      <c r="AJ964" s="10" t="str">
        <f t="shared" si="171"/>
        <v/>
      </c>
      <c r="AK964" s="10" t="str">
        <f t="shared" si="172"/>
        <v/>
      </c>
      <c r="AL964" s="14" t="str">
        <f t="shared" si="173"/>
        <v/>
      </c>
    </row>
    <row r="965" spans="1:38" x14ac:dyDescent="0.2">
      <c r="A965"/>
      <c r="B965" t="str">
        <f>IF($A965="","",VLOOKUP($A965,JupData!$A$2:$I$10000,4,FALSE))</f>
        <v/>
      </c>
      <c r="C965" s="7" t="str">
        <f>IF($A965="",IF(N(D965),0,""),VLOOKUP($A965,JupData!$A$2:$I$10000,7,FALSE))</f>
        <v/>
      </c>
      <c r="D965" t="str">
        <f t="shared" si="174"/>
        <v/>
      </c>
      <c r="E965" t="str">
        <f t="array" ref="E965">IF($A965="","",INDEX(JupData!$A$2:$K$10000,MATCH($A965&amp;E$1,JupData!$A$2:$A$10000&amp;JupData!$J$2:$J$10000,0),11))</f>
        <v/>
      </c>
      <c r="F965" t="str">
        <f t="array" ref="F965">IF($A965="","",INDEX(JupData!$A$2:$K$10000,MATCH($A965&amp;F$1,JupData!$A$2:$A$10000&amp;JupData!$J$2:$J$10000,0),11))</f>
        <v/>
      </c>
      <c r="G965" t="str">
        <f t="array" ref="G965">IF($A965="","",INDEX(JupData!$A$2:$K$10000,MATCH($A965&amp;G$1,JupData!$A$2:$A$10000&amp;JupData!$J$2:$J$10000,0),11))</f>
        <v/>
      </c>
      <c r="H965" t="str">
        <f t="array" ref="H965">IF($A965="","",INDEX(JupData!$A$2:$K$10000,MATCH($A965&amp;H$1,JupData!$A$2:$A$10000&amp;JupData!$J$2:$J$10000,0),11))</f>
        <v/>
      </c>
      <c r="I965" t="str">
        <f t="array" ref="I965">IF($A965="","",INDEX(JupData!$A$2:$K$10000,MATCH($A965&amp;I$1,JupData!$A$2:$A$10000&amp;JupData!$J$2:$J$10000,0),11))</f>
        <v/>
      </c>
      <c r="J965" t="str">
        <f t="array" ref="J965">IF($A965="","",INDEX(JupData!$A$2:$K$10000,MATCH($A965&amp;J$1,JupData!$A$2:$A$10000&amp;JupData!$J$2:$J$10000,0),11))</f>
        <v/>
      </c>
      <c r="K965" t="str">
        <f t="array" ref="K965">IF($A965="","",INDEX(JupData!$A$2:$K$10000,MATCH($A965&amp;K$1,JupData!$A$2:$A$10000&amp;JupData!$J$2:$J$10000,0),11))</f>
        <v/>
      </c>
      <c r="L965" t="str">
        <f t="array" ref="L965">IF($A965="","",INDEX(JupData!$A$2:$K$10000,MATCH($A965&amp;L$1,JupData!$A$2:$A$10000&amp;JupData!$J$2:$J$10000,0),11))</f>
        <v/>
      </c>
      <c r="M965" t="str">
        <f t="array" ref="M965">IF($A965="","",INDEX(JupData!$A$2:$K$10000,MATCH($A965&amp;M$1,JupData!$A$2:$A$10000&amp;JupData!$J$2:$J$10000,0),11))</f>
        <v/>
      </c>
      <c r="N965" t="str">
        <f t="array" ref="N965">IF($A965="","",INDEX(JupData!$A$2:$K$10000,MATCH($A965&amp;N$1,JupData!$A$2:$A$10000&amp;JupData!$J$2:$J$10000,0),11))</f>
        <v/>
      </c>
      <c r="O965" t="str">
        <f t="array" ref="O965">IF($A965="","",INDEX(JupData!$A$2:$K$10000,MATCH($A965&amp;O$1,JupData!$A$2:$A$10000&amp;JupData!$J$2:$J$10000,0),11))</f>
        <v/>
      </c>
      <c r="P965" t="str">
        <f t="array" ref="P965">IF($A965="","",INDEX(JupData!$A$2:$K$10000,MATCH($A965&amp;P$1,JupData!$A$2:$A$10000&amp;JupData!$J$2:$J$10000,0),11))</f>
        <v/>
      </c>
      <c r="Q965" t="str">
        <f t="array" ref="Q965">IF($A965="","",INDEX(JupData!$A$2:$K$10000,MATCH($A965&amp;Q$1,JupData!$A$2:$A$10000&amp;JupData!$J$2:$J$10000,0),11))</f>
        <v/>
      </c>
      <c r="R965" t="str">
        <f t="array" ref="R965">IF($A965="","",INDEX(JupData!$A$2:$K$10000,MATCH($A965&amp;R$1,JupData!$A$2:$A$10000&amp;JupData!$J$2:$J$10000,0),11))</f>
        <v/>
      </c>
      <c r="S965" t="str">
        <f t="array" ref="S965">IF($A965="","",INDEX(JupData!$A$2:$K$10000,MATCH($A965&amp;S$1,JupData!$A$2:$A$10000&amp;JupData!$J$2:$J$10000,0),11))</f>
        <v/>
      </c>
      <c r="T965" t="str">
        <f t="array" ref="T965">IF($A965="","",INDEX(JupData!$A$2:$K$10000,MATCH($A965&amp;T$1,JupData!$A$2:$A$10000&amp;JupData!$J$2:$J$10000,0),11))</f>
        <v/>
      </c>
      <c r="U965" t="str">
        <f t="array" ref="U965">IF($A965="","",INDEX(JupData!$A$2:$K$10000,MATCH($A965&amp;U$1,JupData!$A$2:$A$10000&amp;JupData!$J$2:$J$10000,0),11))</f>
        <v/>
      </c>
      <c r="V965" t="str">
        <f t="array" ref="V965">IF($A965="","",INDEX(JupData!$A$2:$K$10000,MATCH($A965&amp;V$1,JupData!$A$2:$A$10000&amp;JupData!$J$2:$J$10000,0),11))</f>
        <v/>
      </c>
      <c r="W965" t="str">
        <f t="array" ref="W965">IF($A965="","",INDEX(JupData!$A$2:$K$10000,MATCH($A965&amp;W$1,JupData!$A$2:$A$10000&amp;JupData!$J$2:$J$10000,0),11))</f>
        <v/>
      </c>
      <c r="X965" t="str">
        <f t="array" ref="X965">IF($A965="","",INDEX(JupData!$A$2:$K$10000,MATCH($A965&amp;X$1,JupData!$A$2:$A$10000&amp;JupData!$J$2:$J$10000,0),11))</f>
        <v/>
      </c>
      <c r="Y965" t="str">
        <f t="array" ref="Y965">IF($A965="","",INDEX(JupData!$A$2:$K$10000,MATCH($A965&amp;Y$1,JupData!$A$2:$A$10000&amp;JupData!$J$2:$J$10000,0),11))</f>
        <v/>
      </c>
      <c r="Z965" t="str">
        <f t="array" ref="Z965">IF($A965="","",INDEX(JupData!$A$2:$K$10000,MATCH($A965&amp;Z$1,JupData!$A$2:$A$10000&amp;JupData!$J$2:$J$10000,0),11))</f>
        <v/>
      </c>
      <c r="AA965" t="str">
        <f t="array" ref="AA965">IF($A965="","",INDEX(JupData!$A$2:$K$10000,MATCH($A965&amp;AA$1,JupData!$A$2:$A$10000&amp;JupData!$J$2:$J$10000,0),11))</f>
        <v/>
      </c>
      <c r="AB965" t="str">
        <f t="array" ref="AB965">IF($A965="","",INDEX(JupData!$A$2:$K$10000,MATCH($A965&amp;AB$1,JupData!$A$2:$A$10000&amp;JupData!$J$2:$J$10000,0),11))</f>
        <v/>
      </c>
      <c r="AC965" s="10" t="str">
        <f t="shared" si="165"/>
        <v/>
      </c>
      <c r="AD965" s="10" t="str">
        <f t="shared" si="166"/>
        <v/>
      </c>
      <c r="AE965" s="9" t="str">
        <f t="shared" si="167"/>
        <v/>
      </c>
      <c r="AF965" s="10" t="str">
        <f t="shared" si="168"/>
        <v/>
      </c>
      <c r="AG965" s="10" t="str">
        <f t="shared" si="169"/>
        <v/>
      </c>
      <c r="AH965" s="10" t="str">
        <f t="shared" si="175"/>
        <v/>
      </c>
      <c r="AI965" s="10" t="str">
        <f t="shared" si="170"/>
        <v/>
      </c>
      <c r="AJ965" s="10" t="str">
        <f t="shared" si="171"/>
        <v/>
      </c>
      <c r="AK965" s="10" t="str">
        <f t="shared" si="172"/>
        <v/>
      </c>
      <c r="AL965" s="14" t="str">
        <f t="shared" si="173"/>
        <v/>
      </c>
    </row>
    <row r="966" spans="1:38" x14ac:dyDescent="0.2">
      <c r="A966"/>
      <c r="B966" t="str">
        <f>IF($A966="","",VLOOKUP($A966,JupData!$A$2:$I$10000,4,FALSE))</f>
        <v/>
      </c>
      <c r="C966" s="7" t="str">
        <f>IF($A966="",IF(N(D966),0,""),VLOOKUP($A966,JupData!$A$2:$I$10000,7,FALSE))</f>
        <v/>
      </c>
      <c r="D966" t="str">
        <f t="shared" si="174"/>
        <v/>
      </c>
      <c r="E966" t="str">
        <f t="array" ref="E966">IF($A966="","",INDEX(JupData!$A$2:$K$10000,MATCH($A966&amp;E$1,JupData!$A$2:$A$10000&amp;JupData!$J$2:$J$10000,0),11))</f>
        <v/>
      </c>
      <c r="F966" t="str">
        <f t="array" ref="F966">IF($A966="","",INDEX(JupData!$A$2:$K$10000,MATCH($A966&amp;F$1,JupData!$A$2:$A$10000&amp;JupData!$J$2:$J$10000,0),11))</f>
        <v/>
      </c>
      <c r="G966" t="str">
        <f t="array" ref="G966">IF($A966="","",INDEX(JupData!$A$2:$K$10000,MATCH($A966&amp;G$1,JupData!$A$2:$A$10000&amp;JupData!$J$2:$J$10000,0),11))</f>
        <v/>
      </c>
      <c r="H966" t="str">
        <f t="array" ref="H966">IF($A966="","",INDEX(JupData!$A$2:$K$10000,MATCH($A966&amp;H$1,JupData!$A$2:$A$10000&amp;JupData!$J$2:$J$10000,0),11))</f>
        <v/>
      </c>
      <c r="I966" t="str">
        <f t="array" ref="I966">IF($A966="","",INDEX(JupData!$A$2:$K$10000,MATCH($A966&amp;I$1,JupData!$A$2:$A$10000&amp;JupData!$J$2:$J$10000,0),11))</f>
        <v/>
      </c>
      <c r="J966" t="str">
        <f t="array" ref="J966">IF($A966="","",INDEX(JupData!$A$2:$K$10000,MATCH($A966&amp;J$1,JupData!$A$2:$A$10000&amp;JupData!$J$2:$J$10000,0),11))</f>
        <v/>
      </c>
      <c r="K966" t="str">
        <f t="array" ref="K966">IF($A966="","",INDEX(JupData!$A$2:$K$10000,MATCH($A966&amp;K$1,JupData!$A$2:$A$10000&amp;JupData!$J$2:$J$10000,0),11))</f>
        <v/>
      </c>
      <c r="L966" t="str">
        <f t="array" ref="L966">IF($A966="","",INDEX(JupData!$A$2:$K$10000,MATCH($A966&amp;L$1,JupData!$A$2:$A$10000&amp;JupData!$J$2:$J$10000,0),11))</f>
        <v/>
      </c>
      <c r="M966" t="str">
        <f t="array" ref="M966">IF($A966="","",INDEX(JupData!$A$2:$K$10000,MATCH($A966&amp;M$1,JupData!$A$2:$A$10000&amp;JupData!$J$2:$J$10000,0),11))</f>
        <v/>
      </c>
      <c r="N966" t="str">
        <f t="array" ref="N966">IF($A966="","",INDEX(JupData!$A$2:$K$10000,MATCH($A966&amp;N$1,JupData!$A$2:$A$10000&amp;JupData!$J$2:$J$10000,0),11))</f>
        <v/>
      </c>
      <c r="O966" t="str">
        <f t="array" ref="O966">IF($A966="","",INDEX(JupData!$A$2:$K$10000,MATCH($A966&amp;O$1,JupData!$A$2:$A$10000&amp;JupData!$J$2:$J$10000,0),11))</f>
        <v/>
      </c>
      <c r="P966" t="str">
        <f t="array" ref="P966">IF($A966="","",INDEX(JupData!$A$2:$K$10000,MATCH($A966&amp;P$1,JupData!$A$2:$A$10000&amp;JupData!$J$2:$J$10000,0),11))</f>
        <v/>
      </c>
      <c r="Q966" t="str">
        <f t="array" ref="Q966">IF($A966="","",INDEX(JupData!$A$2:$K$10000,MATCH($A966&amp;Q$1,JupData!$A$2:$A$10000&amp;JupData!$J$2:$J$10000,0),11))</f>
        <v/>
      </c>
      <c r="R966" t="str">
        <f t="array" ref="R966">IF($A966="","",INDEX(JupData!$A$2:$K$10000,MATCH($A966&amp;R$1,JupData!$A$2:$A$10000&amp;JupData!$J$2:$J$10000,0),11))</f>
        <v/>
      </c>
      <c r="S966" t="str">
        <f t="array" ref="S966">IF($A966="","",INDEX(JupData!$A$2:$K$10000,MATCH($A966&amp;S$1,JupData!$A$2:$A$10000&amp;JupData!$J$2:$J$10000,0),11))</f>
        <v/>
      </c>
      <c r="T966" t="str">
        <f t="array" ref="T966">IF($A966="","",INDEX(JupData!$A$2:$K$10000,MATCH($A966&amp;T$1,JupData!$A$2:$A$10000&amp;JupData!$J$2:$J$10000,0),11))</f>
        <v/>
      </c>
      <c r="U966" t="str">
        <f t="array" ref="U966">IF($A966="","",INDEX(JupData!$A$2:$K$10000,MATCH($A966&amp;U$1,JupData!$A$2:$A$10000&amp;JupData!$J$2:$J$10000,0),11))</f>
        <v/>
      </c>
      <c r="V966" t="str">
        <f t="array" ref="V966">IF($A966="","",INDEX(JupData!$A$2:$K$10000,MATCH($A966&amp;V$1,JupData!$A$2:$A$10000&amp;JupData!$J$2:$J$10000,0),11))</f>
        <v/>
      </c>
      <c r="W966" t="str">
        <f t="array" ref="W966">IF($A966="","",INDEX(JupData!$A$2:$K$10000,MATCH($A966&amp;W$1,JupData!$A$2:$A$10000&amp;JupData!$J$2:$J$10000,0),11))</f>
        <v/>
      </c>
      <c r="X966" t="str">
        <f t="array" ref="X966">IF($A966="","",INDEX(JupData!$A$2:$K$10000,MATCH($A966&amp;X$1,JupData!$A$2:$A$10000&amp;JupData!$J$2:$J$10000,0),11))</f>
        <v/>
      </c>
      <c r="Y966" t="str">
        <f t="array" ref="Y966">IF($A966="","",INDEX(JupData!$A$2:$K$10000,MATCH($A966&amp;Y$1,JupData!$A$2:$A$10000&amp;JupData!$J$2:$J$10000,0),11))</f>
        <v/>
      </c>
      <c r="Z966" t="str">
        <f t="array" ref="Z966">IF($A966="","",INDEX(JupData!$A$2:$K$10000,MATCH($A966&amp;Z$1,JupData!$A$2:$A$10000&amp;JupData!$J$2:$J$10000,0),11))</f>
        <v/>
      </c>
      <c r="AA966" t="str">
        <f t="array" ref="AA966">IF($A966="","",INDEX(JupData!$A$2:$K$10000,MATCH($A966&amp;AA$1,JupData!$A$2:$A$10000&amp;JupData!$J$2:$J$10000,0),11))</f>
        <v/>
      </c>
      <c r="AB966" t="str">
        <f t="array" ref="AB966">IF($A966="","",INDEX(JupData!$A$2:$K$10000,MATCH($A966&amp;AB$1,JupData!$A$2:$A$10000&amp;JupData!$J$2:$J$10000,0),11))</f>
        <v/>
      </c>
      <c r="AC966" s="10" t="str">
        <f t="shared" si="165"/>
        <v/>
      </c>
      <c r="AD966" s="10" t="str">
        <f t="shared" si="166"/>
        <v/>
      </c>
      <c r="AE966" s="9" t="str">
        <f t="shared" si="167"/>
        <v/>
      </c>
      <c r="AF966" s="10" t="str">
        <f t="shared" si="168"/>
        <v/>
      </c>
      <c r="AG966" s="10" t="str">
        <f t="shared" si="169"/>
        <v/>
      </c>
      <c r="AH966" s="10" t="str">
        <f t="shared" si="175"/>
        <v/>
      </c>
      <c r="AI966" s="10" t="str">
        <f t="shared" si="170"/>
        <v/>
      </c>
      <c r="AJ966" s="10" t="str">
        <f t="shared" si="171"/>
        <v/>
      </c>
      <c r="AK966" s="10" t="str">
        <f t="shared" si="172"/>
        <v/>
      </c>
      <c r="AL966" s="14" t="str">
        <f t="shared" si="173"/>
        <v/>
      </c>
    </row>
    <row r="967" spans="1:38" x14ac:dyDescent="0.2">
      <c r="A967"/>
      <c r="B967" t="str">
        <f>IF($A967="","",VLOOKUP($A967,JupData!$A$2:$I$10000,4,FALSE))</f>
        <v/>
      </c>
      <c r="C967" s="7" t="str">
        <f>IF($A967="",IF(N(D967),0,""),VLOOKUP($A967,JupData!$A$2:$I$10000,7,FALSE))</f>
        <v/>
      </c>
      <c r="D967" t="str">
        <f t="shared" si="174"/>
        <v/>
      </c>
      <c r="E967" t="str">
        <f t="array" ref="E967">IF($A967="","",INDEX(JupData!$A$2:$K$10000,MATCH($A967&amp;E$1,JupData!$A$2:$A$10000&amp;JupData!$J$2:$J$10000,0),11))</f>
        <v/>
      </c>
      <c r="F967" t="str">
        <f t="array" ref="F967">IF($A967="","",INDEX(JupData!$A$2:$K$10000,MATCH($A967&amp;F$1,JupData!$A$2:$A$10000&amp;JupData!$J$2:$J$10000,0),11))</f>
        <v/>
      </c>
      <c r="G967" t="str">
        <f t="array" ref="G967">IF($A967="","",INDEX(JupData!$A$2:$K$10000,MATCH($A967&amp;G$1,JupData!$A$2:$A$10000&amp;JupData!$J$2:$J$10000,0),11))</f>
        <v/>
      </c>
      <c r="H967" t="str">
        <f t="array" ref="H967">IF($A967="","",INDEX(JupData!$A$2:$K$10000,MATCH($A967&amp;H$1,JupData!$A$2:$A$10000&amp;JupData!$J$2:$J$10000,0),11))</f>
        <v/>
      </c>
      <c r="I967" t="str">
        <f t="array" ref="I967">IF($A967="","",INDEX(JupData!$A$2:$K$10000,MATCH($A967&amp;I$1,JupData!$A$2:$A$10000&amp;JupData!$J$2:$J$10000,0),11))</f>
        <v/>
      </c>
      <c r="J967" t="str">
        <f t="array" ref="J967">IF($A967="","",INDEX(JupData!$A$2:$K$10000,MATCH($A967&amp;J$1,JupData!$A$2:$A$10000&amp;JupData!$J$2:$J$10000,0),11))</f>
        <v/>
      </c>
      <c r="K967" t="str">
        <f t="array" ref="K967">IF($A967="","",INDEX(JupData!$A$2:$K$10000,MATCH($A967&amp;K$1,JupData!$A$2:$A$10000&amp;JupData!$J$2:$J$10000,0),11))</f>
        <v/>
      </c>
      <c r="L967" t="str">
        <f t="array" ref="L967">IF($A967="","",INDEX(JupData!$A$2:$K$10000,MATCH($A967&amp;L$1,JupData!$A$2:$A$10000&amp;JupData!$J$2:$J$10000,0),11))</f>
        <v/>
      </c>
      <c r="M967" t="str">
        <f t="array" ref="M967">IF($A967="","",INDEX(JupData!$A$2:$K$10000,MATCH($A967&amp;M$1,JupData!$A$2:$A$10000&amp;JupData!$J$2:$J$10000,0),11))</f>
        <v/>
      </c>
      <c r="N967" t="str">
        <f t="array" ref="N967">IF($A967="","",INDEX(JupData!$A$2:$K$10000,MATCH($A967&amp;N$1,JupData!$A$2:$A$10000&amp;JupData!$J$2:$J$10000,0),11))</f>
        <v/>
      </c>
      <c r="O967" t="str">
        <f t="array" ref="O967">IF($A967="","",INDEX(JupData!$A$2:$K$10000,MATCH($A967&amp;O$1,JupData!$A$2:$A$10000&amp;JupData!$J$2:$J$10000,0),11))</f>
        <v/>
      </c>
      <c r="P967" t="str">
        <f t="array" ref="P967">IF($A967="","",INDEX(JupData!$A$2:$K$10000,MATCH($A967&amp;P$1,JupData!$A$2:$A$10000&amp;JupData!$J$2:$J$10000,0),11))</f>
        <v/>
      </c>
      <c r="Q967" t="str">
        <f t="array" ref="Q967">IF($A967="","",INDEX(JupData!$A$2:$K$10000,MATCH($A967&amp;Q$1,JupData!$A$2:$A$10000&amp;JupData!$J$2:$J$10000,0),11))</f>
        <v/>
      </c>
      <c r="R967" t="str">
        <f t="array" ref="R967">IF($A967="","",INDEX(JupData!$A$2:$K$10000,MATCH($A967&amp;R$1,JupData!$A$2:$A$10000&amp;JupData!$J$2:$J$10000,0),11))</f>
        <v/>
      </c>
      <c r="S967" t="str">
        <f t="array" ref="S967">IF($A967="","",INDEX(JupData!$A$2:$K$10000,MATCH($A967&amp;S$1,JupData!$A$2:$A$10000&amp;JupData!$J$2:$J$10000,0),11))</f>
        <v/>
      </c>
      <c r="T967" t="str">
        <f t="array" ref="T967">IF($A967="","",INDEX(JupData!$A$2:$K$10000,MATCH($A967&amp;T$1,JupData!$A$2:$A$10000&amp;JupData!$J$2:$J$10000,0),11))</f>
        <v/>
      </c>
      <c r="U967" t="str">
        <f t="array" ref="U967">IF($A967="","",INDEX(JupData!$A$2:$K$10000,MATCH($A967&amp;U$1,JupData!$A$2:$A$10000&amp;JupData!$J$2:$J$10000,0),11))</f>
        <v/>
      </c>
      <c r="V967" t="str">
        <f t="array" ref="V967">IF($A967="","",INDEX(JupData!$A$2:$K$10000,MATCH($A967&amp;V$1,JupData!$A$2:$A$10000&amp;JupData!$J$2:$J$10000,0),11))</f>
        <v/>
      </c>
      <c r="W967" t="str">
        <f t="array" ref="W967">IF($A967="","",INDEX(JupData!$A$2:$K$10000,MATCH($A967&amp;W$1,JupData!$A$2:$A$10000&amp;JupData!$J$2:$J$10000,0),11))</f>
        <v/>
      </c>
      <c r="X967" t="str">
        <f t="array" ref="X967">IF($A967="","",INDEX(JupData!$A$2:$K$10000,MATCH($A967&amp;X$1,JupData!$A$2:$A$10000&amp;JupData!$J$2:$J$10000,0),11))</f>
        <v/>
      </c>
      <c r="Y967" t="str">
        <f t="array" ref="Y967">IF($A967="","",INDEX(JupData!$A$2:$K$10000,MATCH($A967&amp;Y$1,JupData!$A$2:$A$10000&amp;JupData!$J$2:$J$10000,0),11))</f>
        <v/>
      </c>
      <c r="Z967" t="str">
        <f t="array" ref="Z967">IF($A967="","",INDEX(JupData!$A$2:$K$10000,MATCH($A967&amp;Z$1,JupData!$A$2:$A$10000&amp;JupData!$J$2:$J$10000,0),11))</f>
        <v/>
      </c>
      <c r="AA967" t="str">
        <f t="array" ref="AA967">IF($A967="","",INDEX(JupData!$A$2:$K$10000,MATCH($A967&amp;AA$1,JupData!$A$2:$A$10000&amp;JupData!$J$2:$J$10000,0),11))</f>
        <v/>
      </c>
      <c r="AB967" t="str">
        <f t="array" ref="AB967">IF($A967="","",INDEX(JupData!$A$2:$K$10000,MATCH($A967&amp;AB$1,JupData!$A$2:$A$10000&amp;JupData!$J$2:$J$10000,0),11))</f>
        <v/>
      </c>
      <c r="AC967" s="10" t="str">
        <f t="shared" si="165"/>
        <v/>
      </c>
      <c r="AD967" s="10" t="str">
        <f t="shared" si="166"/>
        <v/>
      </c>
      <c r="AE967" s="9" t="str">
        <f t="shared" si="167"/>
        <v/>
      </c>
      <c r="AF967" s="10" t="str">
        <f t="shared" si="168"/>
        <v/>
      </c>
      <c r="AG967" s="10" t="str">
        <f t="shared" si="169"/>
        <v/>
      </c>
      <c r="AH967" s="10" t="str">
        <f t="shared" si="175"/>
        <v/>
      </c>
      <c r="AI967" s="10" t="str">
        <f t="shared" si="170"/>
        <v/>
      </c>
      <c r="AJ967" s="10" t="str">
        <f t="shared" si="171"/>
        <v/>
      </c>
      <c r="AK967" s="10" t="str">
        <f t="shared" si="172"/>
        <v/>
      </c>
      <c r="AL967" s="14" t="str">
        <f t="shared" si="173"/>
        <v/>
      </c>
    </row>
    <row r="968" spans="1:38" x14ac:dyDescent="0.2">
      <c r="A968"/>
      <c r="B968" t="str">
        <f>IF($A968="","",VLOOKUP($A968,JupData!$A$2:$I$10000,4,FALSE))</f>
        <v/>
      </c>
      <c r="C968" s="7" t="str">
        <f>IF($A968="",IF(N(D968),0,""),VLOOKUP($A968,JupData!$A$2:$I$10000,7,FALSE))</f>
        <v/>
      </c>
      <c r="D968" t="str">
        <f t="shared" si="174"/>
        <v/>
      </c>
      <c r="E968" t="str">
        <f t="array" ref="E968">IF($A968="","",INDEX(JupData!$A$2:$K$10000,MATCH($A968&amp;E$1,JupData!$A$2:$A$10000&amp;JupData!$J$2:$J$10000,0),11))</f>
        <v/>
      </c>
      <c r="F968" t="str">
        <f t="array" ref="F968">IF($A968="","",INDEX(JupData!$A$2:$K$10000,MATCH($A968&amp;F$1,JupData!$A$2:$A$10000&amp;JupData!$J$2:$J$10000,0),11))</f>
        <v/>
      </c>
      <c r="G968" t="str">
        <f t="array" ref="G968">IF($A968="","",INDEX(JupData!$A$2:$K$10000,MATCH($A968&amp;G$1,JupData!$A$2:$A$10000&amp;JupData!$J$2:$J$10000,0),11))</f>
        <v/>
      </c>
      <c r="H968" t="str">
        <f t="array" ref="H968">IF($A968="","",INDEX(JupData!$A$2:$K$10000,MATCH($A968&amp;H$1,JupData!$A$2:$A$10000&amp;JupData!$J$2:$J$10000,0),11))</f>
        <v/>
      </c>
      <c r="I968" t="str">
        <f t="array" ref="I968">IF($A968="","",INDEX(JupData!$A$2:$K$10000,MATCH($A968&amp;I$1,JupData!$A$2:$A$10000&amp;JupData!$J$2:$J$10000,0),11))</f>
        <v/>
      </c>
      <c r="J968" t="str">
        <f t="array" ref="J968">IF($A968="","",INDEX(JupData!$A$2:$K$10000,MATCH($A968&amp;J$1,JupData!$A$2:$A$10000&amp;JupData!$J$2:$J$10000,0),11))</f>
        <v/>
      </c>
      <c r="K968" t="str">
        <f t="array" ref="K968">IF($A968="","",INDEX(JupData!$A$2:$K$10000,MATCH($A968&amp;K$1,JupData!$A$2:$A$10000&amp;JupData!$J$2:$J$10000,0),11))</f>
        <v/>
      </c>
      <c r="L968" t="str">
        <f t="array" ref="L968">IF($A968="","",INDEX(JupData!$A$2:$K$10000,MATCH($A968&amp;L$1,JupData!$A$2:$A$10000&amp;JupData!$J$2:$J$10000,0),11))</f>
        <v/>
      </c>
      <c r="M968" t="str">
        <f t="array" ref="M968">IF($A968="","",INDEX(JupData!$A$2:$K$10000,MATCH($A968&amp;M$1,JupData!$A$2:$A$10000&amp;JupData!$J$2:$J$10000,0),11))</f>
        <v/>
      </c>
      <c r="N968" t="str">
        <f t="array" ref="N968">IF($A968="","",INDEX(JupData!$A$2:$K$10000,MATCH($A968&amp;N$1,JupData!$A$2:$A$10000&amp;JupData!$J$2:$J$10000,0),11))</f>
        <v/>
      </c>
      <c r="O968" t="str">
        <f t="array" ref="O968">IF($A968="","",INDEX(JupData!$A$2:$K$10000,MATCH($A968&amp;O$1,JupData!$A$2:$A$10000&amp;JupData!$J$2:$J$10000,0),11))</f>
        <v/>
      </c>
      <c r="P968" t="str">
        <f t="array" ref="P968">IF($A968="","",INDEX(JupData!$A$2:$K$10000,MATCH($A968&amp;P$1,JupData!$A$2:$A$10000&amp;JupData!$J$2:$J$10000,0),11))</f>
        <v/>
      </c>
      <c r="Q968" t="str">
        <f t="array" ref="Q968">IF($A968="","",INDEX(JupData!$A$2:$K$10000,MATCH($A968&amp;Q$1,JupData!$A$2:$A$10000&amp;JupData!$J$2:$J$10000,0),11))</f>
        <v/>
      </c>
      <c r="R968" t="str">
        <f t="array" ref="R968">IF($A968="","",INDEX(JupData!$A$2:$K$10000,MATCH($A968&amp;R$1,JupData!$A$2:$A$10000&amp;JupData!$J$2:$J$10000,0),11))</f>
        <v/>
      </c>
      <c r="S968" t="str">
        <f t="array" ref="S968">IF($A968="","",INDEX(JupData!$A$2:$K$10000,MATCH($A968&amp;S$1,JupData!$A$2:$A$10000&amp;JupData!$J$2:$J$10000,0),11))</f>
        <v/>
      </c>
      <c r="T968" t="str">
        <f t="array" ref="T968">IF($A968="","",INDEX(JupData!$A$2:$K$10000,MATCH($A968&amp;T$1,JupData!$A$2:$A$10000&amp;JupData!$J$2:$J$10000,0),11))</f>
        <v/>
      </c>
      <c r="U968" t="str">
        <f t="array" ref="U968">IF($A968="","",INDEX(JupData!$A$2:$K$10000,MATCH($A968&amp;U$1,JupData!$A$2:$A$10000&amp;JupData!$J$2:$J$10000,0),11))</f>
        <v/>
      </c>
      <c r="V968" t="str">
        <f t="array" ref="V968">IF($A968="","",INDEX(JupData!$A$2:$K$10000,MATCH($A968&amp;V$1,JupData!$A$2:$A$10000&amp;JupData!$J$2:$J$10000,0),11))</f>
        <v/>
      </c>
      <c r="W968" t="str">
        <f t="array" ref="W968">IF($A968="","",INDEX(JupData!$A$2:$K$10000,MATCH($A968&amp;W$1,JupData!$A$2:$A$10000&amp;JupData!$J$2:$J$10000,0),11))</f>
        <v/>
      </c>
      <c r="X968" t="str">
        <f t="array" ref="X968">IF($A968="","",INDEX(JupData!$A$2:$K$10000,MATCH($A968&amp;X$1,JupData!$A$2:$A$10000&amp;JupData!$J$2:$J$10000,0),11))</f>
        <v/>
      </c>
      <c r="Y968" t="str">
        <f t="array" ref="Y968">IF($A968="","",INDEX(JupData!$A$2:$K$10000,MATCH($A968&amp;Y$1,JupData!$A$2:$A$10000&amp;JupData!$J$2:$J$10000,0),11))</f>
        <v/>
      </c>
      <c r="Z968" t="str">
        <f t="array" ref="Z968">IF($A968="","",INDEX(JupData!$A$2:$K$10000,MATCH($A968&amp;Z$1,JupData!$A$2:$A$10000&amp;JupData!$J$2:$J$10000,0),11))</f>
        <v/>
      </c>
      <c r="AA968" t="str">
        <f t="array" ref="AA968">IF($A968="","",INDEX(JupData!$A$2:$K$10000,MATCH($A968&amp;AA$1,JupData!$A$2:$A$10000&amp;JupData!$J$2:$J$10000,0),11))</f>
        <v/>
      </c>
      <c r="AB968" t="str">
        <f t="array" ref="AB968">IF($A968="","",INDEX(JupData!$A$2:$K$10000,MATCH($A968&amp;AB$1,JupData!$A$2:$A$10000&amp;JupData!$J$2:$J$10000,0),11))</f>
        <v/>
      </c>
      <c r="AC968" s="10" t="str">
        <f t="shared" si="165"/>
        <v/>
      </c>
      <c r="AD968" s="10" t="str">
        <f t="shared" si="166"/>
        <v/>
      </c>
      <c r="AE968" s="9" t="str">
        <f t="shared" si="167"/>
        <v/>
      </c>
      <c r="AF968" s="10" t="str">
        <f t="shared" si="168"/>
        <v/>
      </c>
      <c r="AG968" s="10" t="str">
        <f t="shared" si="169"/>
        <v/>
      </c>
      <c r="AH968" s="10" t="str">
        <f t="shared" si="175"/>
        <v/>
      </c>
      <c r="AI968" s="10" t="str">
        <f t="shared" si="170"/>
        <v/>
      </c>
      <c r="AJ968" s="10" t="str">
        <f t="shared" si="171"/>
        <v/>
      </c>
      <c r="AK968" s="10" t="str">
        <f t="shared" si="172"/>
        <v/>
      </c>
      <c r="AL968" s="14" t="str">
        <f t="shared" si="173"/>
        <v/>
      </c>
    </row>
    <row r="969" spans="1:38" x14ac:dyDescent="0.2">
      <c r="A969"/>
      <c r="B969" t="str">
        <f>IF($A969="","",VLOOKUP($A969,JupData!$A$2:$I$10000,4,FALSE))</f>
        <v/>
      </c>
      <c r="C969" s="7" t="str">
        <f>IF($A969="",IF(N(D969),0,""),VLOOKUP($A969,JupData!$A$2:$I$10000,7,FALSE))</f>
        <v/>
      </c>
      <c r="D969" t="str">
        <f t="shared" si="174"/>
        <v/>
      </c>
      <c r="E969" t="str">
        <f t="array" ref="E969">IF($A969="","",INDEX(JupData!$A$2:$K$10000,MATCH($A969&amp;E$1,JupData!$A$2:$A$10000&amp;JupData!$J$2:$J$10000,0),11))</f>
        <v/>
      </c>
      <c r="F969" t="str">
        <f t="array" ref="F969">IF($A969="","",INDEX(JupData!$A$2:$K$10000,MATCH($A969&amp;F$1,JupData!$A$2:$A$10000&amp;JupData!$J$2:$J$10000,0),11))</f>
        <v/>
      </c>
      <c r="G969" t="str">
        <f t="array" ref="G969">IF($A969="","",INDEX(JupData!$A$2:$K$10000,MATCH($A969&amp;G$1,JupData!$A$2:$A$10000&amp;JupData!$J$2:$J$10000,0),11))</f>
        <v/>
      </c>
      <c r="H969" t="str">
        <f t="array" ref="H969">IF($A969="","",INDEX(JupData!$A$2:$K$10000,MATCH($A969&amp;H$1,JupData!$A$2:$A$10000&amp;JupData!$J$2:$J$10000,0),11))</f>
        <v/>
      </c>
      <c r="I969" t="str">
        <f t="array" ref="I969">IF($A969="","",INDEX(JupData!$A$2:$K$10000,MATCH($A969&amp;I$1,JupData!$A$2:$A$10000&amp;JupData!$J$2:$J$10000,0),11))</f>
        <v/>
      </c>
      <c r="J969" t="str">
        <f t="array" ref="J969">IF($A969="","",INDEX(JupData!$A$2:$K$10000,MATCH($A969&amp;J$1,JupData!$A$2:$A$10000&amp;JupData!$J$2:$J$10000,0),11))</f>
        <v/>
      </c>
      <c r="K969" t="str">
        <f t="array" ref="K969">IF($A969="","",INDEX(JupData!$A$2:$K$10000,MATCH($A969&amp;K$1,JupData!$A$2:$A$10000&amp;JupData!$J$2:$J$10000,0),11))</f>
        <v/>
      </c>
      <c r="L969" t="str">
        <f t="array" ref="L969">IF($A969="","",INDEX(JupData!$A$2:$K$10000,MATCH($A969&amp;L$1,JupData!$A$2:$A$10000&amp;JupData!$J$2:$J$10000,0),11))</f>
        <v/>
      </c>
      <c r="M969" t="str">
        <f t="array" ref="M969">IF($A969="","",INDEX(JupData!$A$2:$K$10000,MATCH($A969&amp;M$1,JupData!$A$2:$A$10000&amp;JupData!$J$2:$J$10000,0),11))</f>
        <v/>
      </c>
      <c r="N969" t="str">
        <f t="array" ref="N969">IF($A969="","",INDEX(JupData!$A$2:$K$10000,MATCH($A969&amp;N$1,JupData!$A$2:$A$10000&amp;JupData!$J$2:$J$10000,0),11))</f>
        <v/>
      </c>
      <c r="O969" t="str">
        <f t="array" ref="O969">IF($A969="","",INDEX(JupData!$A$2:$K$10000,MATCH($A969&amp;O$1,JupData!$A$2:$A$10000&amp;JupData!$J$2:$J$10000,0),11))</f>
        <v/>
      </c>
      <c r="P969" t="str">
        <f t="array" ref="P969">IF($A969="","",INDEX(JupData!$A$2:$K$10000,MATCH($A969&amp;P$1,JupData!$A$2:$A$10000&amp;JupData!$J$2:$J$10000,0),11))</f>
        <v/>
      </c>
      <c r="Q969" t="str">
        <f t="array" ref="Q969">IF($A969="","",INDEX(JupData!$A$2:$K$10000,MATCH($A969&amp;Q$1,JupData!$A$2:$A$10000&amp;JupData!$J$2:$J$10000,0),11))</f>
        <v/>
      </c>
      <c r="R969" t="str">
        <f t="array" ref="R969">IF($A969="","",INDEX(JupData!$A$2:$K$10000,MATCH($A969&amp;R$1,JupData!$A$2:$A$10000&amp;JupData!$J$2:$J$10000,0),11))</f>
        <v/>
      </c>
      <c r="S969" t="str">
        <f t="array" ref="S969">IF($A969="","",INDEX(JupData!$A$2:$K$10000,MATCH($A969&amp;S$1,JupData!$A$2:$A$10000&amp;JupData!$J$2:$J$10000,0),11))</f>
        <v/>
      </c>
      <c r="T969" t="str">
        <f t="array" ref="T969">IF($A969="","",INDEX(JupData!$A$2:$K$10000,MATCH($A969&amp;T$1,JupData!$A$2:$A$10000&amp;JupData!$J$2:$J$10000,0),11))</f>
        <v/>
      </c>
      <c r="U969" t="str">
        <f t="array" ref="U969">IF($A969="","",INDEX(JupData!$A$2:$K$10000,MATCH($A969&amp;U$1,JupData!$A$2:$A$10000&amp;JupData!$J$2:$J$10000,0),11))</f>
        <v/>
      </c>
      <c r="V969" t="str">
        <f t="array" ref="V969">IF($A969="","",INDEX(JupData!$A$2:$K$10000,MATCH($A969&amp;V$1,JupData!$A$2:$A$10000&amp;JupData!$J$2:$J$10000,0),11))</f>
        <v/>
      </c>
      <c r="W969" t="str">
        <f t="array" ref="W969">IF($A969="","",INDEX(JupData!$A$2:$K$10000,MATCH($A969&amp;W$1,JupData!$A$2:$A$10000&amp;JupData!$J$2:$J$10000,0),11))</f>
        <v/>
      </c>
      <c r="X969" t="str">
        <f t="array" ref="X969">IF($A969="","",INDEX(JupData!$A$2:$K$10000,MATCH($A969&amp;X$1,JupData!$A$2:$A$10000&amp;JupData!$J$2:$J$10000,0),11))</f>
        <v/>
      </c>
      <c r="Y969" t="str">
        <f t="array" ref="Y969">IF($A969="","",INDEX(JupData!$A$2:$K$10000,MATCH($A969&amp;Y$1,JupData!$A$2:$A$10000&amp;JupData!$J$2:$J$10000,0),11))</f>
        <v/>
      </c>
      <c r="Z969" t="str">
        <f t="array" ref="Z969">IF($A969="","",INDEX(JupData!$A$2:$K$10000,MATCH($A969&amp;Z$1,JupData!$A$2:$A$10000&amp;JupData!$J$2:$J$10000,0),11))</f>
        <v/>
      </c>
      <c r="AA969" t="str">
        <f t="array" ref="AA969">IF($A969="","",INDEX(JupData!$A$2:$K$10000,MATCH($A969&amp;AA$1,JupData!$A$2:$A$10000&amp;JupData!$J$2:$J$10000,0),11))</f>
        <v/>
      </c>
      <c r="AB969" t="str">
        <f t="array" ref="AB969">IF($A969="","",INDEX(JupData!$A$2:$K$10000,MATCH($A969&amp;AB$1,JupData!$A$2:$A$10000&amp;JupData!$J$2:$J$10000,0),11))</f>
        <v/>
      </c>
      <c r="AC969" s="10" t="str">
        <f t="shared" si="165"/>
        <v/>
      </c>
      <c r="AD969" s="10" t="str">
        <f t="shared" si="166"/>
        <v/>
      </c>
      <c r="AE969" s="9" t="str">
        <f t="shared" si="167"/>
        <v/>
      </c>
      <c r="AF969" s="10" t="str">
        <f t="shared" si="168"/>
        <v/>
      </c>
      <c r="AG969" s="10" t="str">
        <f t="shared" si="169"/>
        <v/>
      </c>
      <c r="AH969" s="10" t="str">
        <f t="shared" si="175"/>
        <v/>
      </c>
      <c r="AI969" s="10" t="str">
        <f t="shared" si="170"/>
        <v/>
      </c>
      <c r="AJ969" s="10" t="str">
        <f t="shared" si="171"/>
        <v/>
      </c>
      <c r="AK969" s="10" t="str">
        <f t="shared" si="172"/>
        <v/>
      </c>
      <c r="AL969" s="14" t="str">
        <f t="shared" si="173"/>
        <v/>
      </c>
    </row>
    <row r="970" spans="1:38" x14ac:dyDescent="0.2">
      <c r="A970"/>
      <c r="B970" t="str">
        <f>IF($A970="","",VLOOKUP($A970,JupData!$A$2:$I$10000,4,FALSE))</f>
        <v/>
      </c>
      <c r="C970" s="7" t="str">
        <f>IF($A970="",IF(N(D970),0,""),VLOOKUP($A970,JupData!$A$2:$I$10000,7,FALSE))</f>
        <v/>
      </c>
      <c r="D970" t="str">
        <f t="shared" si="174"/>
        <v/>
      </c>
      <c r="E970" t="str">
        <f t="array" ref="E970">IF($A970="","",INDEX(JupData!$A$2:$K$10000,MATCH($A970&amp;E$1,JupData!$A$2:$A$10000&amp;JupData!$J$2:$J$10000,0),11))</f>
        <v/>
      </c>
      <c r="F970" t="str">
        <f t="array" ref="F970">IF($A970="","",INDEX(JupData!$A$2:$K$10000,MATCH($A970&amp;F$1,JupData!$A$2:$A$10000&amp;JupData!$J$2:$J$10000,0),11))</f>
        <v/>
      </c>
      <c r="G970" t="str">
        <f t="array" ref="G970">IF($A970="","",INDEX(JupData!$A$2:$K$10000,MATCH($A970&amp;G$1,JupData!$A$2:$A$10000&amp;JupData!$J$2:$J$10000,0),11))</f>
        <v/>
      </c>
      <c r="H970" t="str">
        <f t="array" ref="H970">IF($A970="","",INDEX(JupData!$A$2:$K$10000,MATCH($A970&amp;H$1,JupData!$A$2:$A$10000&amp;JupData!$J$2:$J$10000,0),11))</f>
        <v/>
      </c>
      <c r="I970" t="str">
        <f t="array" ref="I970">IF($A970="","",INDEX(JupData!$A$2:$K$10000,MATCH($A970&amp;I$1,JupData!$A$2:$A$10000&amp;JupData!$J$2:$J$10000,0),11))</f>
        <v/>
      </c>
      <c r="J970" t="str">
        <f t="array" ref="J970">IF($A970="","",INDEX(JupData!$A$2:$K$10000,MATCH($A970&amp;J$1,JupData!$A$2:$A$10000&amp;JupData!$J$2:$J$10000,0),11))</f>
        <v/>
      </c>
      <c r="K970" t="str">
        <f t="array" ref="K970">IF($A970="","",INDEX(JupData!$A$2:$K$10000,MATCH($A970&amp;K$1,JupData!$A$2:$A$10000&amp;JupData!$J$2:$J$10000,0),11))</f>
        <v/>
      </c>
      <c r="L970" t="str">
        <f t="array" ref="L970">IF($A970="","",INDEX(JupData!$A$2:$K$10000,MATCH($A970&amp;L$1,JupData!$A$2:$A$10000&amp;JupData!$J$2:$J$10000,0),11))</f>
        <v/>
      </c>
      <c r="M970" t="str">
        <f t="array" ref="M970">IF($A970="","",INDEX(JupData!$A$2:$K$10000,MATCH($A970&amp;M$1,JupData!$A$2:$A$10000&amp;JupData!$J$2:$J$10000,0),11))</f>
        <v/>
      </c>
      <c r="N970" t="str">
        <f t="array" ref="N970">IF($A970="","",INDEX(JupData!$A$2:$K$10000,MATCH($A970&amp;N$1,JupData!$A$2:$A$10000&amp;JupData!$J$2:$J$10000,0),11))</f>
        <v/>
      </c>
      <c r="O970" t="str">
        <f t="array" ref="O970">IF($A970="","",INDEX(JupData!$A$2:$K$10000,MATCH($A970&amp;O$1,JupData!$A$2:$A$10000&amp;JupData!$J$2:$J$10000,0),11))</f>
        <v/>
      </c>
      <c r="P970" t="str">
        <f t="array" ref="P970">IF($A970="","",INDEX(JupData!$A$2:$K$10000,MATCH($A970&amp;P$1,JupData!$A$2:$A$10000&amp;JupData!$J$2:$J$10000,0),11))</f>
        <v/>
      </c>
      <c r="Q970" t="str">
        <f t="array" ref="Q970">IF($A970="","",INDEX(JupData!$A$2:$K$10000,MATCH($A970&amp;Q$1,JupData!$A$2:$A$10000&amp;JupData!$J$2:$J$10000,0),11))</f>
        <v/>
      </c>
      <c r="R970" t="str">
        <f t="array" ref="R970">IF($A970="","",INDEX(JupData!$A$2:$K$10000,MATCH($A970&amp;R$1,JupData!$A$2:$A$10000&amp;JupData!$J$2:$J$10000,0),11))</f>
        <v/>
      </c>
      <c r="S970" t="str">
        <f t="array" ref="S970">IF($A970="","",INDEX(JupData!$A$2:$K$10000,MATCH($A970&amp;S$1,JupData!$A$2:$A$10000&amp;JupData!$J$2:$J$10000,0),11))</f>
        <v/>
      </c>
      <c r="T970" t="str">
        <f t="array" ref="T970">IF($A970="","",INDEX(JupData!$A$2:$K$10000,MATCH($A970&amp;T$1,JupData!$A$2:$A$10000&amp;JupData!$J$2:$J$10000,0),11))</f>
        <v/>
      </c>
      <c r="U970" t="str">
        <f t="array" ref="U970">IF($A970="","",INDEX(JupData!$A$2:$K$10000,MATCH($A970&amp;U$1,JupData!$A$2:$A$10000&amp;JupData!$J$2:$J$10000,0),11))</f>
        <v/>
      </c>
      <c r="V970" t="str">
        <f t="array" ref="V970">IF($A970="","",INDEX(JupData!$A$2:$K$10000,MATCH($A970&amp;V$1,JupData!$A$2:$A$10000&amp;JupData!$J$2:$J$10000,0),11))</f>
        <v/>
      </c>
      <c r="W970" t="str">
        <f t="array" ref="W970">IF($A970="","",INDEX(JupData!$A$2:$K$10000,MATCH($A970&amp;W$1,JupData!$A$2:$A$10000&amp;JupData!$J$2:$J$10000,0),11))</f>
        <v/>
      </c>
      <c r="X970" t="str">
        <f t="array" ref="X970">IF($A970="","",INDEX(JupData!$A$2:$K$10000,MATCH($A970&amp;X$1,JupData!$A$2:$A$10000&amp;JupData!$J$2:$J$10000,0),11))</f>
        <v/>
      </c>
      <c r="Y970" t="str">
        <f t="array" ref="Y970">IF($A970="","",INDEX(JupData!$A$2:$K$10000,MATCH($A970&amp;Y$1,JupData!$A$2:$A$10000&amp;JupData!$J$2:$J$10000,0),11))</f>
        <v/>
      </c>
      <c r="Z970" t="str">
        <f t="array" ref="Z970">IF($A970="","",INDEX(JupData!$A$2:$K$10000,MATCH($A970&amp;Z$1,JupData!$A$2:$A$10000&amp;JupData!$J$2:$J$10000,0),11))</f>
        <v/>
      </c>
      <c r="AA970" t="str">
        <f t="array" ref="AA970">IF($A970="","",INDEX(JupData!$A$2:$K$10000,MATCH($A970&amp;AA$1,JupData!$A$2:$A$10000&amp;JupData!$J$2:$J$10000,0),11))</f>
        <v/>
      </c>
      <c r="AB970" t="str">
        <f t="array" ref="AB970">IF($A970="","",INDEX(JupData!$A$2:$K$10000,MATCH($A970&amp;AB$1,JupData!$A$2:$A$10000&amp;JupData!$J$2:$J$10000,0),11))</f>
        <v/>
      </c>
      <c r="AC970" s="10" t="str">
        <f t="shared" si="165"/>
        <v/>
      </c>
      <c r="AD970" s="10" t="str">
        <f t="shared" si="166"/>
        <v/>
      </c>
      <c r="AE970" s="9" t="str">
        <f t="shared" si="167"/>
        <v/>
      </c>
      <c r="AF970" s="10" t="str">
        <f t="shared" si="168"/>
        <v/>
      </c>
      <c r="AG970" s="10" t="str">
        <f t="shared" si="169"/>
        <v/>
      </c>
      <c r="AH970" s="10" t="str">
        <f t="shared" si="175"/>
        <v/>
      </c>
      <c r="AI970" s="10" t="str">
        <f t="shared" si="170"/>
        <v/>
      </c>
      <c r="AJ970" s="10" t="str">
        <f t="shared" si="171"/>
        <v/>
      </c>
      <c r="AK970" s="10" t="str">
        <f t="shared" si="172"/>
        <v/>
      </c>
      <c r="AL970" s="14" t="str">
        <f t="shared" si="173"/>
        <v/>
      </c>
    </row>
    <row r="971" spans="1:38" x14ac:dyDescent="0.2">
      <c r="A971"/>
      <c r="B971" t="str">
        <f>IF($A971="","",VLOOKUP($A971,JupData!$A$2:$I$10000,4,FALSE))</f>
        <v/>
      </c>
      <c r="C971" s="7" t="str">
        <f>IF($A971="",IF(N(D971),0,""),VLOOKUP($A971,JupData!$A$2:$I$10000,7,FALSE))</f>
        <v/>
      </c>
      <c r="D971" t="str">
        <f t="shared" si="174"/>
        <v/>
      </c>
      <c r="E971" t="str">
        <f t="array" ref="E971">IF($A971="","",INDEX(JupData!$A$2:$K$10000,MATCH($A971&amp;E$1,JupData!$A$2:$A$10000&amp;JupData!$J$2:$J$10000,0),11))</f>
        <v/>
      </c>
      <c r="F971" t="str">
        <f t="array" ref="F971">IF($A971="","",INDEX(JupData!$A$2:$K$10000,MATCH($A971&amp;F$1,JupData!$A$2:$A$10000&amp;JupData!$J$2:$J$10000,0),11))</f>
        <v/>
      </c>
      <c r="G971" t="str">
        <f t="array" ref="G971">IF($A971="","",INDEX(JupData!$A$2:$K$10000,MATCH($A971&amp;G$1,JupData!$A$2:$A$10000&amp;JupData!$J$2:$J$10000,0),11))</f>
        <v/>
      </c>
      <c r="H971" t="str">
        <f t="array" ref="H971">IF($A971="","",INDEX(JupData!$A$2:$K$10000,MATCH($A971&amp;H$1,JupData!$A$2:$A$10000&amp;JupData!$J$2:$J$10000,0),11))</f>
        <v/>
      </c>
      <c r="I971" t="str">
        <f t="array" ref="I971">IF($A971="","",INDEX(JupData!$A$2:$K$10000,MATCH($A971&amp;I$1,JupData!$A$2:$A$10000&amp;JupData!$J$2:$J$10000,0),11))</f>
        <v/>
      </c>
      <c r="J971" t="str">
        <f t="array" ref="J971">IF($A971="","",INDEX(JupData!$A$2:$K$10000,MATCH($A971&amp;J$1,JupData!$A$2:$A$10000&amp;JupData!$J$2:$J$10000,0),11))</f>
        <v/>
      </c>
      <c r="K971" t="str">
        <f t="array" ref="K971">IF($A971="","",INDEX(JupData!$A$2:$K$10000,MATCH($A971&amp;K$1,JupData!$A$2:$A$10000&amp;JupData!$J$2:$J$10000,0),11))</f>
        <v/>
      </c>
      <c r="L971" t="str">
        <f t="array" ref="L971">IF($A971="","",INDEX(JupData!$A$2:$K$10000,MATCH($A971&amp;L$1,JupData!$A$2:$A$10000&amp;JupData!$J$2:$J$10000,0),11))</f>
        <v/>
      </c>
      <c r="M971" t="str">
        <f t="array" ref="M971">IF($A971="","",INDEX(JupData!$A$2:$K$10000,MATCH($A971&amp;M$1,JupData!$A$2:$A$10000&amp;JupData!$J$2:$J$10000,0),11))</f>
        <v/>
      </c>
      <c r="N971" t="str">
        <f t="array" ref="N971">IF($A971="","",INDEX(JupData!$A$2:$K$10000,MATCH($A971&amp;N$1,JupData!$A$2:$A$10000&amp;JupData!$J$2:$J$10000,0),11))</f>
        <v/>
      </c>
      <c r="O971" t="str">
        <f t="array" ref="O971">IF($A971="","",INDEX(JupData!$A$2:$K$10000,MATCH($A971&amp;O$1,JupData!$A$2:$A$10000&amp;JupData!$J$2:$J$10000,0),11))</f>
        <v/>
      </c>
      <c r="P971" t="str">
        <f t="array" ref="P971">IF($A971="","",INDEX(JupData!$A$2:$K$10000,MATCH($A971&amp;P$1,JupData!$A$2:$A$10000&amp;JupData!$J$2:$J$10000,0),11))</f>
        <v/>
      </c>
      <c r="Q971" t="str">
        <f t="array" ref="Q971">IF($A971="","",INDEX(JupData!$A$2:$K$10000,MATCH($A971&amp;Q$1,JupData!$A$2:$A$10000&amp;JupData!$J$2:$J$10000,0),11))</f>
        <v/>
      </c>
      <c r="R971" t="str">
        <f t="array" ref="R971">IF($A971="","",INDEX(JupData!$A$2:$K$10000,MATCH($A971&amp;R$1,JupData!$A$2:$A$10000&amp;JupData!$J$2:$J$10000,0),11))</f>
        <v/>
      </c>
      <c r="S971" t="str">
        <f t="array" ref="S971">IF($A971="","",INDEX(JupData!$A$2:$K$10000,MATCH($A971&amp;S$1,JupData!$A$2:$A$10000&amp;JupData!$J$2:$J$10000,0),11))</f>
        <v/>
      </c>
      <c r="T971" t="str">
        <f t="array" ref="T971">IF($A971="","",INDEX(JupData!$A$2:$K$10000,MATCH($A971&amp;T$1,JupData!$A$2:$A$10000&amp;JupData!$J$2:$J$10000,0),11))</f>
        <v/>
      </c>
      <c r="U971" t="str">
        <f t="array" ref="U971">IF($A971="","",INDEX(JupData!$A$2:$K$10000,MATCH($A971&amp;U$1,JupData!$A$2:$A$10000&amp;JupData!$J$2:$J$10000,0),11))</f>
        <v/>
      </c>
      <c r="V971" t="str">
        <f t="array" ref="V971">IF($A971="","",INDEX(JupData!$A$2:$K$10000,MATCH($A971&amp;V$1,JupData!$A$2:$A$10000&amp;JupData!$J$2:$J$10000,0),11))</f>
        <v/>
      </c>
      <c r="W971" t="str">
        <f t="array" ref="W971">IF($A971="","",INDEX(JupData!$A$2:$K$10000,MATCH($A971&amp;W$1,JupData!$A$2:$A$10000&amp;JupData!$J$2:$J$10000,0),11))</f>
        <v/>
      </c>
      <c r="X971" t="str">
        <f t="array" ref="X971">IF($A971="","",INDEX(JupData!$A$2:$K$10000,MATCH($A971&amp;X$1,JupData!$A$2:$A$10000&amp;JupData!$J$2:$J$10000,0),11))</f>
        <v/>
      </c>
      <c r="Y971" t="str">
        <f t="array" ref="Y971">IF($A971="","",INDEX(JupData!$A$2:$K$10000,MATCH($A971&amp;Y$1,JupData!$A$2:$A$10000&amp;JupData!$J$2:$J$10000,0),11))</f>
        <v/>
      </c>
      <c r="Z971" t="str">
        <f t="array" ref="Z971">IF($A971="","",INDEX(JupData!$A$2:$K$10000,MATCH($A971&amp;Z$1,JupData!$A$2:$A$10000&amp;JupData!$J$2:$J$10000,0),11))</f>
        <v/>
      </c>
      <c r="AA971" t="str">
        <f t="array" ref="AA971">IF($A971="","",INDEX(JupData!$A$2:$K$10000,MATCH($A971&amp;AA$1,JupData!$A$2:$A$10000&amp;JupData!$J$2:$J$10000,0),11))</f>
        <v/>
      </c>
      <c r="AB971" t="str">
        <f t="array" ref="AB971">IF($A971="","",INDEX(JupData!$A$2:$K$10000,MATCH($A971&amp;AB$1,JupData!$A$2:$A$10000&amp;JupData!$J$2:$J$10000,0),11))</f>
        <v/>
      </c>
      <c r="AC971" s="10" t="str">
        <f t="shared" si="165"/>
        <v/>
      </c>
      <c r="AD971" s="10" t="str">
        <f t="shared" si="166"/>
        <v/>
      </c>
      <c r="AE971" s="9" t="str">
        <f t="shared" si="167"/>
        <v/>
      </c>
      <c r="AF971" s="10" t="str">
        <f t="shared" si="168"/>
        <v/>
      </c>
      <c r="AG971" s="10" t="str">
        <f t="shared" si="169"/>
        <v/>
      </c>
      <c r="AH971" s="10" t="str">
        <f t="shared" si="175"/>
        <v/>
      </c>
      <c r="AI971" s="10" t="str">
        <f t="shared" si="170"/>
        <v/>
      </c>
      <c r="AJ971" s="10" t="str">
        <f t="shared" si="171"/>
        <v/>
      </c>
      <c r="AK971" s="10" t="str">
        <f t="shared" si="172"/>
        <v/>
      </c>
      <c r="AL971" s="14" t="str">
        <f t="shared" si="173"/>
        <v/>
      </c>
    </row>
    <row r="972" spans="1:38" x14ac:dyDescent="0.2">
      <c r="A972"/>
      <c r="B972" t="str">
        <f>IF($A972="","",VLOOKUP($A972,JupData!$A$2:$I$10000,4,FALSE))</f>
        <v/>
      </c>
      <c r="C972" s="7" t="str">
        <f>IF($A972="",IF(N(D972),0,""),VLOOKUP($A972,JupData!$A$2:$I$10000,7,FALSE))</f>
        <v/>
      </c>
      <c r="D972" t="str">
        <f t="shared" si="174"/>
        <v/>
      </c>
      <c r="E972" t="str">
        <f t="array" ref="E972">IF($A972="","",INDEX(JupData!$A$2:$K$10000,MATCH($A972&amp;E$1,JupData!$A$2:$A$10000&amp;JupData!$J$2:$J$10000,0),11))</f>
        <v/>
      </c>
      <c r="F972" t="str">
        <f t="array" ref="F972">IF($A972="","",INDEX(JupData!$A$2:$K$10000,MATCH($A972&amp;F$1,JupData!$A$2:$A$10000&amp;JupData!$J$2:$J$10000,0),11))</f>
        <v/>
      </c>
      <c r="G972" t="str">
        <f t="array" ref="G972">IF($A972="","",INDEX(JupData!$A$2:$K$10000,MATCH($A972&amp;G$1,JupData!$A$2:$A$10000&amp;JupData!$J$2:$J$10000,0),11))</f>
        <v/>
      </c>
      <c r="H972" t="str">
        <f t="array" ref="H972">IF($A972="","",INDEX(JupData!$A$2:$K$10000,MATCH($A972&amp;H$1,JupData!$A$2:$A$10000&amp;JupData!$J$2:$J$10000,0),11))</f>
        <v/>
      </c>
      <c r="I972" t="str">
        <f t="array" ref="I972">IF($A972="","",INDEX(JupData!$A$2:$K$10000,MATCH($A972&amp;I$1,JupData!$A$2:$A$10000&amp;JupData!$J$2:$J$10000,0),11))</f>
        <v/>
      </c>
      <c r="J972" t="str">
        <f t="array" ref="J972">IF($A972="","",INDEX(JupData!$A$2:$K$10000,MATCH($A972&amp;J$1,JupData!$A$2:$A$10000&amp;JupData!$J$2:$J$10000,0),11))</f>
        <v/>
      </c>
      <c r="K972" t="str">
        <f t="array" ref="K972">IF($A972="","",INDEX(JupData!$A$2:$K$10000,MATCH($A972&amp;K$1,JupData!$A$2:$A$10000&amp;JupData!$J$2:$J$10000,0),11))</f>
        <v/>
      </c>
      <c r="L972" t="str">
        <f t="array" ref="L972">IF($A972="","",INDEX(JupData!$A$2:$K$10000,MATCH($A972&amp;L$1,JupData!$A$2:$A$10000&amp;JupData!$J$2:$J$10000,0),11))</f>
        <v/>
      </c>
      <c r="M972" t="str">
        <f t="array" ref="M972">IF($A972="","",INDEX(JupData!$A$2:$K$10000,MATCH($A972&amp;M$1,JupData!$A$2:$A$10000&amp;JupData!$J$2:$J$10000,0),11))</f>
        <v/>
      </c>
      <c r="N972" t="str">
        <f t="array" ref="N972">IF($A972="","",INDEX(JupData!$A$2:$K$10000,MATCH($A972&amp;N$1,JupData!$A$2:$A$10000&amp;JupData!$J$2:$J$10000,0),11))</f>
        <v/>
      </c>
      <c r="O972" t="str">
        <f t="array" ref="O972">IF($A972="","",INDEX(JupData!$A$2:$K$10000,MATCH($A972&amp;O$1,JupData!$A$2:$A$10000&amp;JupData!$J$2:$J$10000,0),11))</f>
        <v/>
      </c>
      <c r="P972" t="str">
        <f t="array" ref="P972">IF($A972="","",INDEX(JupData!$A$2:$K$10000,MATCH($A972&amp;P$1,JupData!$A$2:$A$10000&amp;JupData!$J$2:$J$10000,0),11))</f>
        <v/>
      </c>
      <c r="Q972" t="str">
        <f t="array" ref="Q972">IF($A972="","",INDEX(JupData!$A$2:$K$10000,MATCH($A972&amp;Q$1,JupData!$A$2:$A$10000&amp;JupData!$J$2:$J$10000,0),11))</f>
        <v/>
      </c>
      <c r="R972" t="str">
        <f t="array" ref="R972">IF($A972="","",INDEX(JupData!$A$2:$K$10000,MATCH($A972&amp;R$1,JupData!$A$2:$A$10000&amp;JupData!$J$2:$J$10000,0),11))</f>
        <v/>
      </c>
      <c r="S972" t="str">
        <f t="array" ref="S972">IF($A972="","",INDEX(JupData!$A$2:$K$10000,MATCH($A972&amp;S$1,JupData!$A$2:$A$10000&amp;JupData!$J$2:$J$10000,0),11))</f>
        <v/>
      </c>
      <c r="T972" t="str">
        <f t="array" ref="T972">IF($A972="","",INDEX(JupData!$A$2:$K$10000,MATCH($A972&amp;T$1,JupData!$A$2:$A$10000&amp;JupData!$J$2:$J$10000,0),11))</f>
        <v/>
      </c>
      <c r="U972" t="str">
        <f t="array" ref="U972">IF($A972="","",INDEX(JupData!$A$2:$K$10000,MATCH($A972&amp;U$1,JupData!$A$2:$A$10000&amp;JupData!$J$2:$J$10000,0),11))</f>
        <v/>
      </c>
      <c r="V972" t="str">
        <f t="array" ref="V972">IF($A972="","",INDEX(JupData!$A$2:$K$10000,MATCH($A972&amp;V$1,JupData!$A$2:$A$10000&amp;JupData!$J$2:$J$10000,0),11))</f>
        <v/>
      </c>
      <c r="W972" t="str">
        <f t="array" ref="W972">IF($A972="","",INDEX(JupData!$A$2:$K$10000,MATCH($A972&amp;W$1,JupData!$A$2:$A$10000&amp;JupData!$J$2:$J$10000,0),11))</f>
        <v/>
      </c>
      <c r="X972" t="str">
        <f t="array" ref="X972">IF($A972="","",INDEX(JupData!$A$2:$K$10000,MATCH($A972&amp;X$1,JupData!$A$2:$A$10000&amp;JupData!$J$2:$J$10000,0),11))</f>
        <v/>
      </c>
      <c r="Y972" t="str">
        <f t="array" ref="Y972">IF($A972="","",INDEX(JupData!$A$2:$K$10000,MATCH($A972&amp;Y$1,JupData!$A$2:$A$10000&amp;JupData!$J$2:$J$10000,0),11))</f>
        <v/>
      </c>
      <c r="Z972" t="str">
        <f t="array" ref="Z972">IF($A972="","",INDEX(JupData!$A$2:$K$10000,MATCH($A972&amp;Z$1,JupData!$A$2:$A$10000&amp;JupData!$J$2:$J$10000,0),11))</f>
        <v/>
      </c>
      <c r="AA972" t="str">
        <f t="array" ref="AA972">IF($A972="","",INDEX(JupData!$A$2:$K$10000,MATCH($A972&amp;AA$1,JupData!$A$2:$A$10000&amp;JupData!$J$2:$J$10000,0),11))</f>
        <v/>
      </c>
      <c r="AB972" t="str">
        <f t="array" ref="AB972">IF($A972="","",INDEX(JupData!$A$2:$K$10000,MATCH($A972&amp;AB$1,JupData!$A$2:$A$10000&amp;JupData!$J$2:$J$10000,0),11))</f>
        <v/>
      </c>
      <c r="AC972" s="10" t="str">
        <f t="shared" si="165"/>
        <v/>
      </c>
      <c r="AD972" s="10" t="str">
        <f t="shared" si="166"/>
        <v/>
      </c>
      <c r="AE972" s="9" t="str">
        <f t="shared" si="167"/>
        <v/>
      </c>
      <c r="AF972" s="10" t="str">
        <f t="shared" si="168"/>
        <v/>
      </c>
      <c r="AG972" s="10" t="str">
        <f t="shared" si="169"/>
        <v/>
      </c>
      <c r="AH972" s="10" t="str">
        <f t="shared" si="175"/>
        <v/>
      </c>
      <c r="AI972" s="10" t="str">
        <f t="shared" si="170"/>
        <v/>
      </c>
      <c r="AJ972" s="10" t="str">
        <f t="shared" si="171"/>
        <v/>
      </c>
      <c r="AK972" s="10" t="str">
        <f t="shared" si="172"/>
        <v/>
      </c>
      <c r="AL972" s="14" t="str">
        <f t="shared" si="173"/>
        <v/>
      </c>
    </row>
    <row r="973" spans="1:38" x14ac:dyDescent="0.2">
      <c r="A973"/>
      <c r="B973" t="str">
        <f>IF($A973="","",VLOOKUP($A973,JupData!$A$2:$I$10000,4,FALSE))</f>
        <v/>
      </c>
      <c r="C973" s="7" t="str">
        <f>IF($A973="",IF(N(D973),0,""),VLOOKUP($A973,JupData!$A$2:$I$10000,7,FALSE))</f>
        <v/>
      </c>
      <c r="D973" t="str">
        <f t="shared" si="174"/>
        <v/>
      </c>
      <c r="E973" t="str">
        <f t="array" ref="E973">IF($A973="","",INDEX(JupData!$A$2:$K$10000,MATCH($A973&amp;E$1,JupData!$A$2:$A$10000&amp;JupData!$J$2:$J$10000,0),11))</f>
        <v/>
      </c>
      <c r="F973" t="str">
        <f t="array" ref="F973">IF($A973="","",INDEX(JupData!$A$2:$K$10000,MATCH($A973&amp;F$1,JupData!$A$2:$A$10000&amp;JupData!$J$2:$J$10000,0),11))</f>
        <v/>
      </c>
      <c r="G973" t="str">
        <f t="array" ref="G973">IF($A973="","",INDEX(JupData!$A$2:$K$10000,MATCH($A973&amp;G$1,JupData!$A$2:$A$10000&amp;JupData!$J$2:$J$10000,0),11))</f>
        <v/>
      </c>
      <c r="H973" t="str">
        <f t="array" ref="H973">IF($A973="","",INDEX(JupData!$A$2:$K$10000,MATCH($A973&amp;H$1,JupData!$A$2:$A$10000&amp;JupData!$J$2:$J$10000,0),11))</f>
        <v/>
      </c>
      <c r="I973" t="str">
        <f t="array" ref="I973">IF($A973="","",INDEX(JupData!$A$2:$K$10000,MATCH($A973&amp;I$1,JupData!$A$2:$A$10000&amp;JupData!$J$2:$J$10000,0),11))</f>
        <v/>
      </c>
      <c r="J973" t="str">
        <f t="array" ref="J973">IF($A973="","",INDEX(JupData!$A$2:$K$10000,MATCH($A973&amp;J$1,JupData!$A$2:$A$10000&amp;JupData!$J$2:$J$10000,0),11))</f>
        <v/>
      </c>
      <c r="K973" t="str">
        <f t="array" ref="K973">IF($A973="","",INDEX(JupData!$A$2:$K$10000,MATCH($A973&amp;K$1,JupData!$A$2:$A$10000&amp;JupData!$J$2:$J$10000,0),11))</f>
        <v/>
      </c>
      <c r="L973" t="str">
        <f t="array" ref="L973">IF($A973="","",INDEX(JupData!$A$2:$K$10000,MATCH($A973&amp;L$1,JupData!$A$2:$A$10000&amp;JupData!$J$2:$J$10000,0),11))</f>
        <v/>
      </c>
      <c r="M973" t="str">
        <f t="array" ref="M973">IF($A973="","",INDEX(JupData!$A$2:$K$10000,MATCH($A973&amp;M$1,JupData!$A$2:$A$10000&amp;JupData!$J$2:$J$10000,0),11))</f>
        <v/>
      </c>
      <c r="N973" t="str">
        <f t="array" ref="N973">IF($A973="","",INDEX(JupData!$A$2:$K$10000,MATCH($A973&amp;N$1,JupData!$A$2:$A$10000&amp;JupData!$J$2:$J$10000,0),11))</f>
        <v/>
      </c>
      <c r="O973" t="str">
        <f t="array" ref="O973">IF($A973="","",INDEX(JupData!$A$2:$K$10000,MATCH($A973&amp;O$1,JupData!$A$2:$A$10000&amp;JupData!$J$2:$J$10000,0),11))</f>
        <v/>
      </c>
      <c r="P973" t="str">
        <f t="array" ref="P973">IF($A973="","",INDEX(JupData!$A$2:$K$10000,MATCH($A973&amp;P$1,JupData!$A$2:$A$10000&amp;JupData!$J$2:$J$10000,0),11))</f>
        <v/>
      </c>
      <c r="Q973" t="str">
        <f t="array" ref="Q973">IF($A973="","",INDEX(JupData!$A$2:$K$10000,MATCH($A973&amp;Q$1,JupData!$A$2:$A$10000&amp;JupData!$J$2:$J$10000,0),11))</f>
        <v/>
      </c>
      <c r="R973" t="str">
        <f t="array" ref="R973">IF($A973="","",INDEX(JupData!$A$2:$K$10000,MATCH($A973&amp;R$1,JupData!$A$2:$A$10000&amp;JupData!$J$2:$J$10000,0),11))</f>
        <v/>
      </c>
      <c r="S973" t="str">
        <f t="array" ref="S973">IF($A973="","",INDEX(JupData!$A$2:$K$10000,MATCH($A973&amp;S$1,JupData!$A$2:$A$10000&amp;JupData!$J$2:$J$10000,0),11))</f>
        <v/>
      </c>
      <c r="T973" t="str">
        <f t="array" ref="T973">IF($A973="","",INDEX(JupData!$A$2:$K$10000,MATCH($A973&amp;T$1,JupData!$A$2:$A$10000&amp;JupData!$J$2:$J$10000,0),11))</f>
        <v/>
      </c>
      <c r="U973" t="str">
        <f t="array" ref="U973">IF($A973="","",INDEX(JupData!$A$2:$K$10000,MATCH($A973&amp;U$1,JupData!$A$2:$A$10000&amp;JupData!$J$2:$J$10000,0),11))</f>
        <v/>
      </c>
      <c r="V973" t="str">
        <f t="array" ref="V973">IF($A973="","",INDEX(JupData!$A$2:$K$10000,MATCH($A973&amp;V$1,JupData!$A$2:$A$10000&amp;JupData!$J$2:$J$10000,0),11))</f>
        <v/>
      </c>
      <c r="W973" t="str">
        <f t="array" ref="W973">IF($A973="","",INDEX(JupData!$A$2:$K$10000,MATCH($A973&amp;W$1,JupData!$A$2:$A$10000&amp;JupData!$J$2:$J$10000,0),11))</f>
        <v/>
      </c>
      <c r="X973" t="str">
        <f t="array" ref="X973">IF($A973="","",INDEX(JupData!$A$2:$K$10000,MATCH($A973&amp;X$1,JupData!$A$2:$A$10000&amp;JupData!$J$2:$J$10000,0),11))</f>
        <v/>
      </c>
      <c r="Y973" t="str">
        <f t="array" ref="Y973">IF($A973="","",INDEX(JupData!$A$2:$K$10000,MATCH($A973&amp;Y$1,JupData!$A$2:$A$10000&amp;JupData!$J$2:$J$10000,0),11))</f>
        <v/>
      </c>
      <c r="Z973" t="str">
        <f t="array" ref="Z973">IF($A973="","",INDEX(JupData!$A$2:$K$10000,MATCH($A973&amp;Z$1,JupData!$A$2:$A$10000&amp;JupData!$J$2:$J$10000,0),11))</f>
        <v/>
      </c>
      <c r="AA973" t="str">
        <f t="array" ref="AA973">IF($A973="","",INDEX(JupData!$A$2:$K$10000,MATCH($A973&amp;AA$1,JupData!$A$2:$A$10000&amp;JupData!$J$2:$J$10000,0),11))</f>
        <v/>
      </c>
      <c r="AB973" t="str">
        <f t="array" ref="AB973">IF($A973="","",INDEX(JupData!$A$2:$K$10000,MATCH($A973&amp;AB$1,JupData!$A$2:$A$10000&amp;JupData!$J$2:$J$10000,0),11))</f>
        <v/>
      </c>
      <c r="AC973" s="10" t="str">
        <f t="shared" si="165"/>
        <v/>
      </c>
      <c r="AD973" s="10" t="str">
        <f t="shared" si="166"/>
        <v/>
      </c>
      <c r="AE973" s="9" t="str">
        <f t="shared" si="167"/>
        <v/>
      </c>
      <c r="AF973" s="10" t="str">
        <f t="shared" si="168"/>
        <v/>
      </c>
      <c r="AG973" s="10" t="str">
        <f t="shared" si="169"/>
        <v/>
      </c>
      <c r="AH973" s="10" t="str">
        <f t="shared" si="175"/>
        <v/>
      </c>
      <c r="AI973" s="10" t="str">
        <f t="shared" si="170"/>
        <v/>
      </c>
      <c r="AJ973" s="10" t="str">
        <f t="shared" si="171"/>
        <v/>
      </c>
      <c r="AK973" s="10" t="str">
        <f t="shared" si="172"/>
        <v/>
      </c>
      <c r="AL973" s="14" t="str">
        <f t="shared" si="173"/>
        <v/>
      </c>
    </row>
    <row r="974" spans="1:38" x14ac:dyDescent="0.2">
      <c r="A974"/>
      <c r="B974" t="str">
        <f>IF($A974="","",VLOOKUP($A974,JupData!$A$2:$I$10000,4,FALSE))</f>
        <v/>
      </c>
      <c r="C974" s="7" t="str">
        <f>IF($A974="",IF(N(D974),0,""),VLOOKUP($A974,JupData!$A$2:$I$10000,7,FALSE))</f>
        <v/>
      </c>
      <c r="D974" t="str">
        <f t="shared" si="174"/>
        <v/>
      </c>
      <c r="E974" t="str">
        <f t="array" ref="E974">IF($A974="","",INDEX(JupData!$A$2:$K$10000,MATCH($A974&amp;E$1,JupData!$A$2:$A$10000&amp;JupData!$J$2:$J$10000,0),11))</f>
        <v/>
      </c>
      <c r="F974" t="str">
        <f t="array" ref="F974">IF($A974="","",INDEX(JupData!$A$2:$K$10000,MATCH($A974&amp;F$1,JupData!$A$2:$A$10000&amp;JupData!$J$2:$J$10000,0),11))</f>
        <v/>
      </c>
      <c r="G974" t="str">
        <f t="array" ref="G974">IF($A974="","",INDEX(JupData!$A$2:$K$10000,MATCH($A974&amp;G$1,JupData!$A$2:$A$10000&amp;JupData!$J$2:$J$10000,0),11))</f>
        <v/>
      </c>
      <c r="H974" t="str">
        <f t="array" ref="H974">IF($A974="","",INDEX(JupData!$A$2:$K$10000,MATCH($A974&amp;H$1,JupData!$A$2:$A$10000&amp;JupData!$J$2:$J$10000,0),11))</f>
        <v/>
      </c>
      <c r="I974" t="str">
        <f t="array" ref="I974">IF($A974="","",INDEX(JupData!$A$2:$K$10000,MATCH($A974&amp;I$1,JupData!$A$2:$A$10000&amp;JupData!$J$2:$J$10000,0),11))</f>
        <v/>
      </c>
      <c r="J974" t="str">
        <f t="array" ref="J974">IF($A974="","",INDEX(JupData!$A$2:$K$10000,MATCH($A974&amp;J$1,JupData!$A$2:$A$10000&amp;JupData!$J$2:$J$10000,0),11))</f>
        <v/>
      </c>
      <c r="K974" t="str">
        <f t="array" ref="K974">IF($A974="","",INDEX(JupData!$A$2:$K$10000,MATCH($A974&amp;K$1,JupData!$A$2:$A$10000&amp;JupData!$J$2:$J$10000,0),11))</f>
        <v/>
      </c>
      <c r="L974" t="str">
        <f t="array" ref="L974">IF($A974="","",INDEX(JupData!$A$2:$K$10000,MATCH($A974&amp;L$1,JupData!$A$2:$A$10000&amp;JupData!$J$2:$J$10000,0),11))</f>
        <v/>
      </c>
      <c r="M974" t="str">
        <f t="array" ref="M974">IF($A974="","",INDEX(JupData!$A$2:$K$10000,MATCH($A974&amp;M$1,JupData!$A$2:$A$10000&amp;JupData!$J$2:$J$10000,0),11))</f>
        <v/>
      </c>
      <c r="N974" t="str">
        <f t="array" ref="N974">IF($A974="","",INDEX(JupData!$A$2:$K$10000,MATCH($A974&amp;N$1,JupData!$A$2:$A$10000&amp;JupData!$J$2:$J$10000,0),11))</f>
        <v/>
      </c>
      <c r="O974" t="str">
        <f t="array" ref="O974">IF($A974="","",INDEX(JupData!$A$2:$K$10000,MATCH($A974&amp;O$1,JupData!$A$2:$A$10000&amp;JupData!$J$2:$J$10000,0),11))</f>
        <v/>
      </c>
      <c r="P974" t="str">
        <f t="array" ref="P974">IF($A974="","",INDEX(JupData!$A$2:$K$10000,MATCH($A974&amp;P$1,JupData!$A$2:$A$10000&amp;JupData!$J$2:$J$10000,0),11))</f>
        <v/>
      </c>
      <c r="Q974" t="str">
        <f t="array" ref="Q974">IF($A974="","",INDEX(JupData!$A$2:$K$10000,MATCH($A974&amp;Q$1,JupData!$A$2:$A$10000&amp;JupData!$J$2:$J$10000,0),11))</f>
        <v/>
      </c>
      <c r="R974" t="str">
        <f t="array" ref="R974">IF($A974="","",INDEX(JupData!$A$2:$K$10000,MATCH($A974&amp;R$1,JupData!$A$2:$A$10000&amp;JupData!$J$2:$J$10000,0),11))</f>
        <v/>
      </c>
      <c r="S974" t="str">
        <f t="array" ref="S974">IF($A974="","",INDEX(JupData!$A$2:$K$10000,MATCH($A974&amp;S$1,JupData!$A$2:$A$10000&amp;JupData!$J$2:$J$10000,0),11))</f>
        <v/>
      </c>
      <c r="T974" t="str">
        <f t="array" ref="T974">IF($A974="","",INDEX(JupData!$A$2:$K$10000,MATCH($A974&amp;T$1,JupData!$A$2:$A$10000&amp;JupData!$J$2:$J$10000,0),11))</f>
        <v/>
      </c>
      <c r="U974" t="str">
        <f t="array" ref="U974">IF($A974="","",INDEX(JupData!$A$2:$K$10000,MATCH($A974&amp;U$1,JupData!$A$2:$A$10000&amp;JupData!$J$2:$J$10000,0),11))</f>
        <v/>
      </c>
      <c r="V974" t="str">
        <f t="array" ref="V974">IF($A974="","",INDEX(JupData!$A$2:$K$10000,MATCH($A974&amp;V$1,JupData!$A$2:$A$10000&amp;JupData!$J$2:$J$10000,0),11))</f>
        <v/>
      </c>
      <c r="W974" t="str">
        <f t="array" ref="W974">IF($A974="","",INDEX(JupData!$A$2:$K$10000,MATCH($A974&amp;W$1,JupData!$A$2:$A$10000&amp;JupData!$J$2:$J$10000,0),11))</f>
        <v/>
      </c>
      <c r="X974" t="str">
        <f t="array" ref="X974">IF($A974="","",INDEX(JupData!$A$2:$K$10000,MATCH($A974&amp;X$1,JupData!$A$2:$A$10000&amp;JupData!$J$2:$J$10000,0),11))</f>
        <v/>
      </c>
      <c r="Y974" t="str">
        <f t="array" ref="Y974">IF($A974="","",INDEX(JupData!$A$2:$K$10000,MATCH($A974&amp;Y$1,JupData!$A$2:$A$10000&amp;JupData!$J$2:$J$10000,0),11))</f>
        <v/>
      </c>
      <c r="Z974" t="str">
        <f t="array" ref="Z974">IF($A974="","",INDEX(JupData!$A$2:$K$10000,MATCH($A974&amp;Z$1,JupData!$A$2:$A$10000&amp;JupData!$J$2:$J$10000,0),11))</f>
        <v/>
      </c>
      <c r="AA974" t="str">
        <f t="array" ref="AA974">IF($A974="","",INDEX(JupData!$A$2:$K$10000,MATCH($A974&amp;AA$1,JupData!$A$2:$A$10000&amp;JupData!$J$2:$J$10000,0),11))</f>
        <v/>
      </c>
      <c r="AB974" t="str">
        <f t="array" ref="AB974">IF($A974="","",INDEX(JupData!$A$2:$K$10000,MATCH($A974&amp;AB$1,JupData!$A$2:$A$10000&amp;JupData!$J$2:$J$10000,0),11))</f>
        <v/>
      </c>
      <c r="AC974" s="10" t="str">
        <f t="shared" si="165"/>
        <v/>
      </c>
      <c r="AD974" s="10" t="str">
        <f t="shared" si="166"/>
        <v/>
      </c>
      <c r="AE974" s="9" t="str">
        <f t="shared" si="167"/>
        <v/>
      </c>
      <c r="AF974" s="10" t="str">
        <f t="shared" si="168"/>
        <v/>
      </c>
      <c r="AG974" s="10" t="str">
        <f t="shared" si="169"/>
        <v/>
      </c>
      <c r="AH974" s="10" t="str">
        <f t="shared" si="175"/>
        <v/>
      </c>
      <c r="AI974" s="10" t="str">
        <f t="shared" si="170"/>
        <v/>
      </c>
      <c r="AJ974" s="10" t="str">
        <f t="shared" si="171"/>
        <v/>
      </c>
      <c r="AK974" s="10" t="str">
        <f t="shared" si="172"/>
        <v/>
      </c>
      <c r="AL974" s="14" t="str">
        <f t="shared" si="173"/>
        <v/>
      </c>
    </row>
    <row r="975" spans="1:38" x14ac:dyDescent="0.2">
      <c r="A975"/>
      <c r="B975" t="str">
        <f>IF($A975="","",VLOOKUP($A975,JupData!$A$2:$I$10000,4,FALSE))</f>
        <v/>
      </c>
      <c r="C975" s="7" t="str">
        <f>IF($A975="",IF(N(D975),0,""),VLOOKUP($A975,JupData!$A$2:$I$10000,7,FALSE))</f>
        <v/>
      </c>
      <c r="D975" t="str">
        <f t="shared" si="174"/>
        <v/>
      </c>
      <c r="E975" t="str">
        <f t="array" ref="E975">IF($A975="","",INDEX(JupData!$A$2:$K$10000,MATCH($A975&amp;E$1,JupData!$A$2:$A$10000&amp;JupData!$J$2:$J$10000,0),11))</f>
        <v/>
      </c>
      <c r="F975" t="str">
        <f t="array" ref="F975">IF($A975="","",INDEX(JupData!$A$2:$K$10000,MATCH($A975&amp;F$1,JupData!$A$2:$A$10000&amp;JupData!$J$2:$J$10000,0),11))</f>
        <v/>
      </c>
      <c r="G975" t="str">
        <f t="array" ref="G975">IF($A975="","",INDEX(JupData!$A$2:$K$10000,MATCH($A975&amp;G$1,JupData!$A$2:$A$10000&amp;JupData!$J$2:$J$10000,0),11))</f>
        <v/>
      </c>
      <c r="H975" t="str">
        <f t="array" ref="H975">IF($A975="","",INDEX(JupData!$A$2:$K$10000,MATCH($A975&amp;H$1,JupData!$A$2:$A$10000&amp;JupData!$J$2:$J$10000,0),11))</f>
        <v/>
      </c>
      <c r="I975" t="str">
        <f t="array" ref="I975">IF($A975="","",INDEX(JupData!$A$2:$K$10000,MATCH($A975&amp;I$1,JupData!$A$2:$A$10000&amp;JupData!$J$2:$J$10000,0),11))</f>
        <v/>
      </c>
      <c r="J975" t="str">
        <f t="array" ref="J975">IF($A975="","",INDEX(JupData!$A$2:$K$10000,MATCH($A975&amp;J$1,JupData!$A$2:$A$10000&amp;JupData!$J$2:$J$10000,0),11))</f>
        <v/>
      </c>
      <c r="K975" t="str">
        <f t="array" ref="K975">IF($A975="","",INDEX(JupData!$A$2:$K$10000,MATCH($A975&amp;K$1,JupData!$A$2:$A$10000&amp;JupData!$J$2:$J$10000,0),11))</f>
        <v/>
      </c>
      <c r="L975" t="str">
        <f t="array" ref="L975">IF($A975="","",INDEX(JupData!$A$2:$K$10000,MATCH($A975&amp;L$1,JupData!$A$2:$A$10000&amp;JupData!$J$2:$J$10000,0),11))</f>
        <v/>
      </c>
      <c r="M975" t="str">
        <f t="array" ref="M975">IF($A975="","",INDEX(JupData!$A$2:$K$10000,MATCH($A975&amp;M$1,JupData!$A$2:$A$10000&amp;JupData!$J$2:$J$10000,0),11))</f>
        <v/>
      </c>
      <c r="N975" t="str">
        <f t="array" ref="N975">IF($A975="","",INDEX(JupData!$A$2:$K$10000,MATCH($A975&amp;N$1,JupData!$A$2:$A$10000&amp;JupData!$J$2:$J$10000,0),11))</f>
        <v/>
      </c>
      <c r="O975" t="str">
        <f t="array" ref="O975">IF($A975="","",INDEX(JupData!$A$2:$K$10000,MATCH($A975&amp;O$1,JupData!$A$2:$A$10000&amp;JupData!$J$2:$J$10000,0),11))</f>
        <v/>
      </c>
      <c r="P975" t="str">
        <f t="array" ref="P975">IF($A975="","",INDEX(JupData!$A$2:$K$10000,MATCH($A975&amp;P$1,JupData!$A$2:$A$10000&amp;JupData!$J$2:$J$10000,0),11))</f>
        <v/>
      </c>
      <c r="Q975" t="str">
        <f t="array" ref="Q975">IF($A975="","",INDEX(JupData!$A$2:$K$10000,MATCH($A975&amp;Q$1,JupData!$A$2:$A$10000&amp;JupData!$J$2:$J$10000,0),11))</f>
        <v/>
      </c>
      <c r="R975" t="str">
        <f t="array" ref="R975">IF($A975="","",INDEX(JupData!$A$2:$K$10000,MATCH($A975&amp;R$1,JupData!$A$2:$A$10000&amp;JupData!$J$2:$J$10000,0),11))</f>
        <v/>
      </c>
      <c r="S975" t="str">
        <f t="array" ref="S975">IF($A975="","",INDEX(JupData!$A$2:$K$10000,MATCH($A975&amp;S$1,JupData!$A$2:$A$10000&amp;JupData!$J$2:$J$10000,0),11))</f>
        <v/>
      </c>
      <c r="T975" t="str">
        <f t="array" ref="T975">IF($A975="","",INDEX(JupData!$A$2:$K$10000,MATCH($A975&amp;T$1,JupData!$A$2:$A$10000&amp;JupData!$J$2:$J$10000,0),11))</f>
        <v/>
      </c>
      <c r="U975" t="str">
        <f t="array" ref="U975">IF($A975="","",INDEX(JupData!$A$2:$K$10000,MATCH($A975&amp;U$1,JupData!$A$2:$A$10000&amp;JupData!$J$2:$J$10000,0),11))</f>
        <v/>
      </c>
      <c r="V975" t="str">
        <f t="array" ref="V975">IF($A975="","",INDEX(JupData!$A$2:$K$10000,MATCH($A975&amp;V$1,JupData!$A$2:$A$10000&amp;JupData!$J$2:$J$10000,0),11))</f>
        <v/>
      </c>
      <c r="W975" t="str">
        <f t="array" ref="W975">IF($A975="","",INDEX(JupData!$A$2:$K$10000,MATCH($A975&amp;W$1,JupData!$A$2:$A$10000&amp;JupData!$J$2:$J$10000,0),11))</f>
        <v/>
      </c>
      <c r="X975" t="str">
        <f t="array" ref="X975">IF($A975="","",INDEX(JupData!$A$2:$K$10000,MATCH($A975&amp;X$1,JupData!$A$2:$A$10000&amp;JupData!$J$2:$J$10000,0),11))</f>
        <v/>
      </c>
      <c r="Y975" t="str">
        <f t="array" ref="Y975">IF($A975="","",INDEX(JupData!$A$2:$K$10000,MATCH($A975&amp;Y$1,JupData!$A$2:$A$10000&amp;JupData!$J$2:$J$10000,0),11))</f>
        <v/>
      </c>
      <c r="Z975" t="str">
        <f t="array" ref="Z975">IF($A975="","",INDEX(JupData!$A$2:$K$10000,MATCH($A975&amp;Z$1,JupData!$A$2:$A$10000&amp;JupData!$J$2:$J$10000,0),11))</f>
        <v/>
      </c>
      <c r="AA975" t="str">
        <f t="array" ref="AA975">IF($A975="","",INDEX(JupData!$A$2:$K$10000,MATCH($A975&amp;AA$1,JupData!$A$2:$A$10000&amp;JupData!$J$2:$J$10000,0),11))</f>
        <v/>
      </c>
      <c r="AB975" t="str">
        <f t="array" ref="AB975">IF($A975="","",INDEX(JupData!$A$2:$K$10000,MATCH($A975&amp;AB$1,JupData!$A$2:$A$10000&amp;JupData!$J$2:$J$10000,0),11))</f>
        <v/>
      </c>
      <c r="AC975" s="10" t="str">
        <f t="shared" si="165"/>
        <v/>
      </c>
      <c r="AD975" s="10" t="str">
        <f t="shared" si="166"/>
        <v/>
      </c>
      <c r="AE975" s="9" t="str">
        <f t="shared" si="167"/>
        <v/>
      </c>
      <c r="AF975" s="10" t="str">
        <f t="shared" si="168"/>
        <v/>
      </c>
      <c r="AG975" s="10" t="str">
        <f t="shared" si="169"/>
        <v/>
      </c>
      <c r="AH975" s="10" t="str">
        <f t="shared" si="175"/>
        <v/>
      </c>
      <c r="AI975" s="10" t="str">
        <f t="shared" si="170"/>
        <v/>
      </c>
      <c r="AJ975" s="10" t="str">
        <f t="shared" si="171"/>
        <v/>
      </c>
      <c r="AK975" s="10" t="str">
        <f t="shared" si="172"/>
        <v/>
      </c>
      <c r="AL975" s="14" t="str">
        <f t="shared" si="173"/>
        <v/>
      </c>
    </row>
    <row r="976" spans="1:38" x14ac:dyDescent="0.2">
      <c r="A976"/>
      <c r="B976" t="str">
        <f>IF($A976="","",VLOOKUP($A976,JupData!$A$2:$I$10000,4,FALSE))</f>
        <v/>
      </c>
      <c r="C976" s="7" t="str">
        <f>IF($A976="",IF(N(D976),0,""),VLOOKUP($A976,JupData!$A$2:$I$10000,7,FALSE))</f>
        <v/>
      </c>
      <c r="D976" t="str">
        <f t="shared" si="174"/>
        <v/>
      </c>
      <c r="E976" t="str">
        <f t="array" ref="E976">IF($A976="","",INDEX(JupData!$A$2:$K$10000,MATCH($A976&amp;E$1,JupData!$A$2:$A$10000&amp;JupData!$J$2:$J$10000,0),11))</f>
        <v/>
      </c>
      <c r="F976" t="str">
        <f t="array" ref="F976">IF($A976="","",INDEX(JupData!$A$2:$K$10000,MATCH($A976&amp;F$1,JupData!$A$2:$A$10000&amp;JupData!$J$2:$J$10000,0),11))</f>
        <v/>
      </c>
      <c r="G976" t="str">
        <f t="array" ref="G976">IF($A976="","",INDEX(JupData!$A$2:$K$10000,MATCH($A976&amp;G$1,JupData!$A$2:$A$10000&amp;JupData!$J$2:$J$10000,0),11))</f>
        <v/>
      </c>
      <c r="H976" t="str">
        <f t="array" ref="H976">IF($A976="","",INDEX(JupData!$A$2:$K$10000,MATCH($A976&amp;H$1,JupData!$A$2:$A$10000&amp;JupData!$J$2:$J$10000,0),11))</f>
        <v/>
      </c>
      <c r="I976" t="str">
        <f t="array" ref="I976">IF($A976="","",INDEX(JupData!$A$2:$K$10000,MATCH($A976&amp;I$1,JupData!$A$2:$A$10000&amp;JupData!$J$2:$J$10000,0),11))</f>
        <v/>
      </c>
      <c r="J976" t="str">
        <f t="array" ref="J976">IF($A976="","",INDEX(JupData!$A$2:$K$10000,MATCH($A976&amp;J$1,JupData!$A$2:$A$10000&amp;JupData!$J$2:$J$10000,0),11))</f>
        <v/>
      </c>
      <c r="K976" t="str">
        <f t="array" ref="K976">IF($A976="","",INDEX(JupData!$A$2:$K$10000,MATCH($A976&amp;K$1,JupData!$A$2:$A$10000&amp;JupData!$J$2:$J$10000,0),11))</f>
        <v/>
      </c>
      <c r="L976" t="str">
        <f t="array" ref="L976">IF($A976="","",INDEX(JupData!$A$2:$K$10000,MATCH($A976&amp;L$1,JupData!$A$2:$A$10000&amp;JupData!$J$2:$J$10000,0),11))</f>
        <v/>
      </c>
      <c r="M976" t="str">
        <f t="array" ref="M976">IF($A976="","",INDEX(JupData!$A$2:$K$10000,MATCH($A976&amp;M$1,JupData!$A$2:$A$10000&amp;JupData!$J$2:$J$10000,0),11))</f>
        <v/>
      </c>
      <c r="N976" t="str">
        <f t="array" ref="N976">IF($A976="","",INDEX(JupData!$A$2:$K$10000,MATCH($A976&amp;N$1,JupData!$A$2:$A$10000&amp;JupData!$J$2:$J$10000,0),11))</f>
        <v/>
      </c>
      <c r="O976" t="str">
        <f t="array" ref="O976">IF($A976="","",INDEX(JupData!$A$2:$K$10000,MATCH($A976&amp;O$1,JupData!$A$2:$A$10000&amp;JupData!$J$2:$J$10000,0),11))</f>
        <v/>
      </c>
      <c r="P976" t="str">
        <f t="array" ref="P976">IF($A976="","",INDEX(JupData!$A$2:$K$10000,MATCH($A976&amp;P$1,JupData!$A$2:$A$10000&amp;JupData!$J$2:$J$10000,0),11))</f>
        <v/>
      </c>
      <c r="Q976" t="str">
        <f t="array" ref="Q976">IF($A976="","",INDEX(JupData!$A$2:$K$10000,MATCH($A976&amp;Q$1,JupData!$A$2:$A$10000&amp;JupData!$J$2:$J$10000,0),11))</f>
        <v/>
      </c>
      <c r="R976" t="str">
        <f t="array" ref="R976">IF($A976="","",INDEX(JupData!$A$2:$K$10000,MATCH($A976&amp;R$1,JupData!$A$2:$A$10000&amp;JupData!$J$2:$J$10000,0),11))</f>
        <v/>
      </c>
      <c r="S976" t="str">
        <f t="array" ref="S976">IF($A976="","",INDEX(JupData!$A$2:$K$10000,MATCH($A976&amp;S$1,JupData!$A$2:$A$10000&amp;JupData!$J$2:$J$10000,0),11))</f>
        <v/>
      </c>
      <c r="T976" t="str">
        <f t="array" ref="T976">IF($A976="","",INDEX(JupData!$A$2:$K$10000,MATCH($A976&amp;T$1,JupData!$A$2:$A$10000&amp;JupData!$J$2:$J$10000,0),11))</f>
        <v/>
      </c>
      <c r="U976" t="str">
        <f t="array" ref="U976">IF($A976="","",INDEX(JupData!$A$2:$K$10000,MATCH($A976&amp;U$1,JupData!$A$2:$A$10000&amp;JupData!$J$2:$J$10000,0),11))</f>
        <v/>
      </c>
      <c r="V976" t="str">
        <f t="array" ref="V976">IF($A976="","",INDEX(JupData!$A$2:$K$10000,MATCH($A976&amp;V$1,JupData!$A$2:$A$10000&amp;JupData!$J$2:$J$10000,0),11))</f>
        <v/>
      </c>
      <c r="W976" t="str">
        <f t="array" ref="W976">IF($A976="","",INDEX(JupData!$A$2:$K$10000,MATCH($A976&amp;W$1,JupData!$A$2:$A$10000&amp;JupData!$J$2:$J$10000,0),11))</f>
        <v/>
      </c>
      <c r="X976" t="str">
        <f t="array" ref="X976">IF($A976="","",INDEX(JupData!$A$2:$K$10000,MATCH($A976&amp;X$1,JupData!$A$2:$A$10000&amp;JupData!$J$2:$J$10000,0),11))</f>
        <v/>
      </c>
      <c r="Y976" t="str">
        <f t="array" ref="Y976">IF($A976="","",INDEX(JupData!$A$2:$K$10000,MATCH($A976&amp;Y$1,JupData!$A$2:$A$10000&amp;JupData!$J$2:$J$10000,0),11))</f>
        <v/>
      </c>
      <c r="Z976" t="str">
        <f t="array" ref="Z976">IF($A976="","",INDEX(JupData!$A$2:$K$10000,MATCH($A976&amp;Z$1,JupData!$A$2:$A$10000&amp;JupData!$J$2:$J$10000,0),11))</f>
        <v/>
      </c>
      <c r="AA976" t="str">
        <f t="array" ref="AA976">IF($A976="","",INDEX(JupData!$A$2:$K$10000,MATCH($A976&amp;AA$1,JupData!$A$2:$A$10000&amp;JupData!$J$2:$J$10000,0),11))</f>
        <v/>
      </c>
      <c r="AB976" t="str">
        <f t="array" ref="AB976">IF($A976="","",INDEX(JupData!$A$2:$K$10000,MATCH($A976&amp;AB$1,JupData!$A$2:$A$10000&amp;JupData!$J$2:$J$10000,0),11))</f>
        <v/>
      </c>
      <c r="AC976" s="10" t="str">
        <f t="shared" si="165"/>
        <v/>
      </c>
      <c r="AD976" s="10" t="str">
        <f t="shared" si="166"/>
        <v/>
      </c>
      <c r="AE976" s="9" t="str">
        <f t="shared" si="167"/>
        <v/>
      </c>
      <c r="AF976" s="10" t="str">
        <f t="shared" si="168"/>
        <v/>
      </c>
      <c r="AG976" s="10" t="str">
        <f t="shared" si="169"/>
        <v/>
      </c>
      <c r="AH976" s="10" t="str">
        <f t="shared" si="175"/>
        <v/>
      </c>
      <c r="AI976" s="10" t="str">
        <f t="shared" si="170"/>
        <v/>
      </c>
      <c r="AJ976" s="10" t="str">
        <f t="shared" si="171"/>
        <v/>
      </c>
      <c r="AK976" s="10" t="str">
        <f t="shared" si="172"/>
        <v/>
      </c>
      <c r="AL976" s="14" t="str">
        <f t="shared" si="173"/>
        <v/>
      </c>
    </row>
    <row r="977" spans="1:38" x14ac:dyDescent="0.2">
      <c r="A977"/>
      <c r="B977" t="str">
        <f>IF($A977="","",VLOOKUP($A977,JupData!$A$2:$I$10000,4,FALSE))</f>
        <v/>
      </c>
      <c r="C977" s="7" t="str">
        <f>IF($A977="",IF(N(D977),0,""),VLOOKUP($A977,JupData!$A$2:$I$10000,7,FALSE))</f>
        <v/>
      </c>
      <c r="D977" t="str">
        <f t="shared" si="174"/>
        <v/>
      </c>
      <c r="E977" t="str">
        <f t="array" ref="E977">IF($A977="","",INDEX(JupData!$A$2:$K$10000,MATCH($A977&amp;E$1,JupData!$A$2:$A$10000&amp;JupData!$J$2:$J$10000,0),11))</f>
        <v/>
      </c>
      <c r="F977" t="str">
        <f t="array" ref="F977">IF($A977="","",INDEX(JupData!$A$2:$K$10000,MATCH($A977&amp;F$1,JupData!$A$2:$A$10000&amp;JupData!$J$2:$J$10000,0),11))</f>
        <v/>
      </c>
      <c r="G977" t="str">
        <f t="array" ref="G977">IF($A977="","",INDEX(JupData!$A$2:$K$10000,MATCH($A977&amp;G$1,JupData!$A$2:$A$10000&amp;JupData!$J$2:$J$10000,0),11))</f>
        <v/>
      </c>
      <c r="H977" t="str">
        <f t="array" ref="H977">IF($A977="","",INDEX(JupData!$A$2:$K$10000,MATCH($A977&amp;H$1,JupData!$A$2:$A$10000&amp;JupData!$J$2:$J$10000,0),11))</f>
        <v/>
      </c>
      <c r="I977" t="str">
        <f t="array" ref="I977">IF($A977="","",INDEX(JupData!$A$2:$K$10000,MATCH($A977&amp;I$1,JupData!$A$2:$A$10000&amp;JupData!$J$2:$J$10000,0),11))</f>
        <v/>
      </c>
      <c r="J977" t="str">
        <f t="array" ref="J977">IF($A977="","",INDEX(JupData!$A$2:$K$10000,MATCH($A977&amp;J$1,JupData!$A$2:$A$10000&amp;JupData!$J$2:$J$10000,0),11))</f>
        <v/>
      </c>
      <c r="K977" t="str">
        <f t="array" ref="K977">IF($A977="","",INDEX(JupData!$A$2:$K$10000,MATCH($A977&amp;K$1,JupData!$A$2:$A$10000&amp;JupData!$J$2:$J$10000,0),11))</f>
        <v/>
      </c>
      <c r="L977" t="str">
        <f t="array" ref="L977">IF($A977="","",INDEX(JupData!$A$2:$K$10000,MATCH($A977&amp;L$1,JupData!$A$2:$A$10000&amp;JupData!$J$2:$J$10000,0),11))</f>
        <v/>
      </c>
      <c r="M977" t="str">
        <f t="array" ref="M977">IF($A977="","",INDEX(JupData!$A$2:$K$10000,MATCH($A977&amp;M$1,JupData!$A$2:$A$10000&amp;JupData!$J$2:$J$10000,0),11))</f>
        <v/>
      </c>
      <c r="N977" t="str">
        <f t="array" ref="N977">IF($A977="","",INDEX(JupData!$A$2:$K$10000,MATCH($A977&amp;N$1,JupData!$A$2:$A$10000&amp;JupData!$J$2:$J$10000,0),11))</f>
        <v/>
      </c>
      <c r="O977" t="str">
        <f t="array" ref="O977">IF($A977="","",INDEX(JupData!$A$2:$K$10000,MATCH($A977&amp;O$1,JupData!$A$2:$A$10000&amp;JupData!$J$2:$J$10000,0),11))</f>
        <v/>
      </c>
      <c r="P977" t="str">
        <f t="array" ref="P977">IF($A977="","",INDEX(JupData!$A$2:$K$10000,MATCH($A977&amp;P$1,JupData!$A$2:$A$10000&amp;JupData!$J$2:$J$10000,0),11))</f>
        <v/>
      </c>
      <c r="Q977" t="str">
        <f t="array" ref="Q977">IF($A977="","",INDEX(JupData!$A$2:$K$10000,MATCH($A977&amp;Q$1,JupData!$A$2:$A$10000&amp;JupData!$J$2:$J$10000,0),11))</f>
        <v/>
      </c>
      <c r="R977" t="str">
        <f t="array" ref="R977">IF($A977="","",INDEX(JupData!$A$2:$K$10000,MATCH($A977&amp;R$1,JupData!$A$2:$A$10000&amp;JupData!$J$2:$J$10000,0),11))</f>
        <v/>
      </c>
      <c r="S977" t="str">
        <f t="array" ref="S977">IF($A977="","",INDEX(JupData!$A$2:$K$10000,MATCH($A977&amp;S$1,JupData!$A$2:$A$10000&amp;JupData!$J$2:$J$10000,0),11))</f>
        <v/>
      </c>
      <c r="T977" t="str">
        <f t="array" ref="T977">IF($A977="","",INDEX(JupData!$A$2:$K$10000,MATCH($A977&amp;T$1,JupData!$A$2:$A$10000&amp;JupData!$J$2:$J$10000,0),11))</f>
        <v/>
      </c>
      <c r="U977" t="str">
        <f t="array" ref="U977">IF($A977="","",INDEX(JupData!$A$2:$K$10000,MATCH($A977&amp;U$1,JupData!$A$2:$A$10000&amp;JupData!$J$2:$J$10000,0),11))</f>
        <v/>
      </c>
      <c r="V977" t="str">
        <f t="array" ref="V977">IF($A977="","",INDEX(JupData!$A$2:$K$10000,MATCH($A977&amp;V$1,JupData!$A$2:$A$10000&amp;JupData!$J$2:$J$10000,0),11))</f>
        <v/>
      </c>
      <c r="W977" t="str">
        <f t="array" ref="W977">IF($A977="","",INDEX(JupData!$A$2:$K$10000,MATCH($A977&amp;W$1,JupData!$A$2:$A$10000&amp;JupData!$J$2:$J$10000,0),11))</f>
        <v/>
      </c>
      <c r="X977" t="str">
        <f t="array" ref="X977">IF($A977="","",INDEX(JupData!$A$2:$K$10000,MATCH($A977&amp;X$1,JupData!$A$2:$A$10000&amp;JupData!$J$2:$J$10000,0),11))</f>
        <v/>
      </c>
      <c r="Y977" t="str">
        <f t="array" ref="Y977">IF($A977="","",INDEX(JupData!$A$2:$K$10000,MATCH($A977&amp;Y$1,JupData!$A$2:$A$10000&amp;JupData!$J$2:$J$10000,0),11))</f>
        <v/>
      </c>
      <c r="Z977" t="str">
        <f t="array" ref="Z977">IF($A977="","",INDEX(JupData!$A$2:$K$10000,MATCH($A977&amp;Z$1,JupData!$A$2:$A$10000&amp;JupData!$J$2:$J$10000,0),11))</f>
        <v/>
      </c>
      <c r="AA977" t="str">
        <f t="array" ref="AA977">IF($A977="","",INDEX(JupData!$A$2:$K$10000,MATCH($A977&amp;AA$1,JupData!$A$2:$A$10000&amp;JupData!$J$2:$J$10000,0),11))</f>
        <v/>
      </c>
      <c r="AB977" t="str">
        <f t="array" ref="AB977">IF($A977="","",INDEX(JupData!$A$2:$K$10000,MATCH($A977&amp;AB$1,JupData!$A$2:$A$10000&amp;JupData!$J$2:$J$10000,0),11))</f>
        <v/>
      </c>
      <c r="AC977" s="10" t="str">
        <f t="shared" si="165"/>
        <v/>
      </c>
      <c r="AD977" s="10" t="str">
        <f t="shared" si="166"/>
        <v/>
      </c>
      <c r="AE977" s="9" t="str">
        <f t="shared" si="167"/>
        <v/>
      </c>
      <c r="AF977" s="10" t="str">
        <f t="shared" si="168"/>
        <v/>
      </c>
      <c r="AG977" s="10" t="str">
        <f t="shared" si="169"/>
        <v/>
      </c>
      <c r="AH977" s="10" t="str">
        <f t="shared" si="175"/>
        <v/>
      </c>
      <c r="AI977" s="10" t="str">
        <f t="shared" si="170"/>
        <v/>
      </c>
      <c r="AJ977" s="10" t="str">
        <f t="shared" si="171"/>
        <v/>
      </c>
      <c r="AK977" s="10" t="str">
        <f t="shared" si="172"/>
        <v/>
      </c>
      <c r="AL977" s="14" t="str">
        <f t="shared" si="173"/>
        <v/>
      </c>
    </row>
    <row r="978" spans="1:38" x14ac:dyDescent="0.2">
      <c r="A978"/>
      <c r="B978" t="str">
        <f>IF($A978="","",VLOOKUP($A978,JupData!$A$2:$I$10000,4,FALSE))</f>
        <v/>
      </c>
      <c r="C978" s="7" t="str">
        <f>IF($A978="",IF(N(D978),0,""),VLOOKUP($A978,JupData!$A$2:$I$10000,7,FALSE))</f>
        <v/>
      </c>
      <c r="D978" t="str">
        <f t="shared" si="174"/>
        <v/>
      </c>
      <c r="E978" t="str">
        <f t="array" ref="E978">IF($A978="","",INDEX(JupData!$A$2:$K$10000,MATCH($A978&amp;E$1,JupData!$A$2:$A$10000&amp;JupData!$J$2:$J$10000,0),11))</f>
        <v/>
      </c>
      <c r="F978" t="str">
        <f t="array" ref="F978">IF($A978="","",INDEX(JupData!$A$2:$K$10000,MATCH($A978&amp;F$1,JupData!$A$2:$A$10000&amp;JupData!$J$2:$J$10000,0),11))</f>
        <v/>
      </c>
      <c r="G978" t="str">
        <f t="array" ref="G978">IF($A978="","",INDEX(JupData!$A$2:$K$10000,MATCH($A978&amp;G$1,JupData!$A$2:$A$10000&amp;JupData!$J$2:$J$10000,0),11))</f>
        <v/>
      </c>
      <c r="H978" t="str">
        <f t="array" ref="H978">IF($A978="","",INDEX(JupData!$A$2:$K$10000,MATCH($A978&amp;H$1,JupData!$A$2:$A$10000&amp;JupData!$J$2:$J$10000,0),11))</f>
        <v/>
      </c>
      <c r="I978" t="str">
        <f t="array" ref="I978">IF($A978="","",INDEX(JupData!$A$2:$K$10000,MATCH($A978&amp;I$1,JupData!$A$2:$A$10000&amp;JupData!$J$2:$J$10000,0),11))</f>
        <v/>
      </c>
      <c r="J978" t="str">
        <f t="array" ref="J978">IF($A978="","",INDEX(JupData!$A$2:$K$10000,MATCH($A978&amp;J$1,JupData!$A$2:$A$10000&amp;JupData!$J$2:$J$10000,0),11))</f>
        <v/>
      </c>
      <c r="K978" t="str">
        <f t="array" ref="K978">IF($A978="","",INDEX(JupData!$A$2:$K$10000,MATCH($A978&amp;K$1,JupData!$A$2:$A$10000&amp;JupData!$J$2:$J$10000,0),11))</f>
        <v/>
      </c>
      <c r="L978" t="str">
        <f t="array" ref="L978">IF($A978="","",INDEX(JupData!$A$2:$K$10000,MATCH($A978&amp;L$1,JupData!$A$2:$A$10000&amp;JupData!$J$2:$J$10000,0),11))</f>
        <v/>
      </c>
      <c r="M978" t="str">
        <f t="array" ref="M978">IF($A978="","",INDEX(JupData!$A$2:$K$10000,MATCH($A978&amp;M$1,JupData!$A$2:$A$10000&amp;JupData!$J$2:$J$10000,0),11))</f>
        <v/>
      </c>
      <c r="N978" t="str">
        <f t="array" ref="N978">IF($A978="","",INDEX(JupData!$A$2:$K$10000,MATCH($A978&amp;N$1,JupData!$A$2:$A$10000&amp;JupData!$J$2:$J$10000,0),11))</f>
        <v/>
      </c>
      <c r="O978" t="str">
        <f t="array" ref="O978">IF($A978="","",INDEX(JupData!$A$2:$K$10000,MATCH($A978&amp;O$1,JupData!$A$2:$A$10000&amp;JupData!$J$2:$J$10000,0),11))</f>
        <v/>
      </c>
      <c r="P978" t="str">
        <f t="array" ref="P978">IF($A978="","",INDEX(JupData!$A$2:$K$10000,MATCH($A978&amp;P$1,JupData!$A$2:$A$10000&amp;JupData!$J$2:$J$10000,0),11))</f>
        <v/>
      </c>
      <c r="Q978" t="str">
        <f t="array" ref="Q978">IF($A978="","",INDEX(JupData!$A$2:$K$10000,MATCH($A978&amp;Q$1,JupData!$A$2:$A$10000&amp;JupData!$J$2:$J$10000,0),11))</f>
        <v/>
      </c>
      <c r="R978" t="str">
        <f t="array" ref="R978">IF($A978="","",INDEX(JupData!$A$2:$K$10000,MATCH($A978&amp;R$1,JupData!$A$2:$A$10000&amp;JupData!$J$2:$J$10000,0),11))</f>
        <v/>
      </c>
      <c r="S978" t="str">
        <f t="array" ref="S978">IF($A978="","",INDEX(JupData!$A$2:$K$10000,MATCH($A978&amp;S$1,JupData!$A$2:$A$10000&amp;JupData!$J$2:$J$10000,0),11))</f>
        <v/>
      </c>
      <c r="T978" t="str">
        <f t="array" ref="T978">IF($A978="","",INDEX(JupData!$A$2:$K$10000,MATCH($A978&amp;T$1,JupData!$A$2:$A$10000&amp;JupData!$J$2:$J$10000,0),11))</f>
        <v/>
      </c>
      <c r="U978" t="str">
        <f t="array" ref="U978">IF($A978="","",INDEX(JupData!$A$2:$K$10000,MATCH($A978&amp;U$1,JupData!$A$2:$A$10000&amp;JupData!$J$2:$J$10000,0),11))</f>
        <v/>
      </c>
      <c r="V978" t="str">
        <f t="array" ref="V978">IF($A978="","",INDEX(JupData!$A$2:$K$10000,MATCH($A978&amp;V$1,JupData!$A$2:$A$10000&amp;JupData!$J$2:$J$10000,0),11))</f>
        <v/>
      </c>
      <c r="W978" t="str">
        <f t="array" ref="W978">IF($A978="","",INDEX(JupData!$A$2:$K$10000,MATCH($A978&amp;W$1,JupData!$A$2:$A$10000&amp;JupData!$J$2:$J$10000,0),11))</f>
        <v/>
      </c>
      <c r="X978" t="str">
        <f t="array" ref="X978">IF($A978="","",INDEX(JupData!$A$2:$K$10000,MATCH($A978&amp;X$1,JupData!$A$2:$A$10000&amp;JupData!$J$2:$J$10000,0),11))</f>
        <v/>
      </c>
      <c r="Y978" t="str">
        <f t="array" ref="Y978">IF($A978="","",INDEX(JupData!$A$2:$K$10000,MATCH($A978&amp;Y$1,JupData!$A$2:$A$10000&amp;JupData!$J$2:$J$10000,0),11))</f>
        <v/>
      </c>
      <c r="Z978" t="str">
        <f t="array" ref="Z978">IF($A978="","",INDEX(JupData!$A$2:$K$10000,MATCH($A978&amp;Z$1,JupData!$A$2:$A$10000&amp;JupData!$J$2:$J$10000,0),11))</f>
        <v/>
      </c>
      <c r="AA978" t="str">
        <f t="array" ref="AA978">IF($A978="","",INDEX(JupData!$A$2:$K$10000,MATCH($A978&amp;AA$1,JupData!$A$2:$A$10000&amp;JupData!$J$2:$J$10000,0),11))</f>
        <v/>
      </c>
      <c r="AB978" t="str">
        <f t="array" ref="AB978">IF($A978="","",INDEX(JupData!$A$2:$K$10000,MATCH($A978&amp;AB$1,JupData!$A$2:$A$10000&amp;JupData!$J$2:$J$10000,0),11))</f>
        <v/>
      </c>
      <c r="AC978" s="10" t="str">
        <f t="shared" si="165"/>
        <v/>
      </c>
      <c r="AD978" s="10" t="str">
        <f t="shared" si="166"/>
        <v/>
      </c>
      <c r="AE978" s="9" t="str">
        <f t="shared" si="167"/>
        <v/>
      </c>
      <c r="AF978" s="10" t="str">
        <f t="shared" si="168"/>
        <v/>
      </c>
      <c r="AG978" s="10" t="str">
        <f t="shared" si="169"/>
        <v/>
      </c>
      <c r="AH978" s="10" t="str">
        <f t="shared" si="175"/>
        <v/>
      </c>
      <c r="AI978" s="10" t="str">
        <f t="shared" si="170"/>
        <v/>
      </c>
      <c r="AJ978" s="10" t="str">
        <f t="shared" si="171"/>
        <v/>
      </c>
      <c r="AK978" s="10" t="str">
        <f t="shared" si="172"/>
        <v/>
      </c>
      <c r="AL978" s="14" t="str">
        <f t="shared" si="173"/>
        <v/>
      </c>
    </row>
    <row r="979" spans="1:38" x14ac:dyDescent="0.2">
      <c r="A979"/>
      <c r="B979" t="str">
        <f>IF($A979="","",VLOOKUP($A979,JupData!$A$2:$I$10000,4,FALSE))</f>
        <v/>
      </c>
      <c r="C979" s="7" t="str">
        <f>IF($A979="",IF(N(D979),0,""),VLOOKUP($A979,JupData!$A$2:$I$10000,7,FALSE))</f>
        <v/>
      </c>
      <c r="D979" t="str">
        <f t="shared" si="174"/>
        <v/>
      </c>
      <c r="E979" t="str">
        <f t="array" ref="E979">IF($A979="","",INDEX(JupData!$A$2:$K$10000,MATCH($A979&amp;E$1,JupData!$A$2:$A$10000&amp;JupData!$J$2:$J$10000,0),11))</f>
        <v/>
      </c>
      <c r="F979" t="str">
        <f t="array" ref="F979">IF($A979="","",INDEX(JupData!$A$2:$K$10000,MATCH($A979&amp;F$1,JupData!$A$2:$A$10000&amp;JupData!$J$2:$J$10000,0),11))</f>
        <v/>
      </c>
      <c r="G979" t="str">
        <f t="array" ref="G979">IF($A979="","",INDEX(JupData!$A$2:$K$10000,MATCH($A979&amp;G$1,JupData!$A$2:$A$10000&amp;JupData!$J$2:$J$10000,0),11))</f>
        <v/>
      </c>
      <c r="H979" t="str">
        <f t="array" ref="H979">IF($A979="","",INDEX(JupData!$A$2:$K$10000,MATCH($A979&amp;H$1,JupData!$A$2:$A$10000&amp;JupData!$J$2:$J$10000,0),11))</f>
        <v/>
      </c>
      <c r="I979" t="str">
        <f t="array" ref="I979">IF($A979="","",INDEX(JupData!$A$2:$K$10000,MATCH($A979&amp;I$1,JupData!$A$2:$A$10000&amp;JupData!$J$2:$J$10000,0),11))</f>
        <v/>
      </c>
      <c r="J979" t="str">
        <f t="array" ref="J979">IF($A979="","",INDEX(JupData!$A$2:$K$10000,MATCH($A979&amp;J$1,JupData!$A$2:$A$10000&amp;JupData!$J$2:$J$10000,0),11))</f>
        <v/>
      </c>
      <c r="K979" t="str">
        <f t="array" ref="K979">IF($A979="","",INDEX(JupData!$A$2:$K$10000,MATCH($A979&amp;K$1,JupData!$A$2:$A$10000&amp;JupData!$J$2:$J$10000,0),11))</f>
        <v/>
      </c>
      <c r="L979" t="str">
        <f t="array" ref="L979">IF($A979="","",INDEX(JupData!$A$2:$K$10000,MATCH($A979&amp;L$1,JupData!$A$2:$A$10000&amp;JupData!$J$2:$J$10000,0),11))</f>
        <v/>
      </c>
      <c r="M979" t="str">
        <f t="array" ref="M979">IF($A979="","",INDEX(JupData!$A$2:$K$10000,MATCH($A979&amp;M$1,JupData!$A$2:$A$10000&amp;JupData!$J$2:$J$10000,0),11))</f>
        <v/>
      </c>
      <c r="N979" t="str">
        <f t="array" ref="N979">IF($A979="","",INDEX(JupData!$A$2:$K$10000,MATCH($A979&amp;N$1,JupData!$A$2:$A$10000&amp;JupData!$J$2:$J$10000,0),11))</f>
        <v/>
      </c>
      <c r="O979" t="str">
        <f t="array" ref="O979">IF($A979="","",INDEX(JupData!$A$2:$K$10000,MATCH($A979&amp;O$1,JupData!$A$2:$A$10000&amp;JupData!$J$2:$J$10000,0),11))</f>
        <v/>
      </c>
      <c r="P979" t="str">
        <f t="array" ref="P979">IF($A979="","",INDEX(JupData!$A$2:$K$10000,MATCH($A979&amp;P$1,JupData!$A$2:$A$10000&amp;JupData!$J$2:$J$10000,0),11))</f>
        <v/>
      </c>
      <c r="Q979" t="str">
        <f t="array" ref="Q979">IF($A979="","",INDEX(JupData!$A$2:$K$10000,MATCH($A979&amp;Q$1,JupData!$A$2:$A$10000&amp;JupData!$J$2:$J$10000,0),11))</f>
        <v/>
      </c>
      <c r="R979" t="str">
        <f t="array" ref="R979">IF($A979="","",INDEX(JupData!$A$2:$K$10000,MATCH($A979&amp;R$1,JupData!$A$2:$A$10000&amp;JupData!$J$2:$J$10000,0),11))</f>
        <v/>
      </c>
      <c r="S979" t="str">
        <f t="array" ref="S979">IF($A979="","",INDEX(JupData!$A$2:$K$10000,MATCH($A979&amp;S$1,JupData!$A$2:$A$10000&amp;JupData!$J$2:$J$10000,0),11))</f>
        <v/>
      </c>
      <c r="T979" t="str">
        <f t="array" ref="T979">IF($A979="","",INDEX(JupData!$A$2:$K$10000,MATCH($A979&amp;T$1,JupData!$A$2:$A$10000&amp;JupData!$J$2:$J$10000,0),11))</f>
        <v/>
      </c>
      <c r="U979" t="str">
        <f t="array" ref="U979">IF($A979="","",INDEX(JupData!$A$2:$K$10000,MATCH($A979&amp;U$1,JupData!$A$2:$A$10000&amp;JupData!$J$2:$J$10000,0),11))</f>
        <v/>
      </c>
      <c r="V979" t="str">
        <f t="array" ref="V979">IF($A979="","",INDEX(JupData!$A$2:$K$10000,MATCH($A979&amp;V$1,JupData!$A$2:$A$10000&amp;JupData!$J$2:$J$10000,0),11))</f>
        <v/>
      </c>
      <c r="W979" t="str">
        <f t="array" ref="W979">IF($A979="","",INDEX(JupData!$A$2:$K$10000,MATCH($A979&amp;W$1,JupData!$A$2:$A$10000&amp;JupData!$J$2:$J$10000,0),11))</f>
        <v/>
      </c>
      <c r="X979" t="str">
        <f t="array" ref="X979">IF($A979="","",INDEX(JupData!$A$2:$K$10000,MATCH($A979&amp;X$1,JupData!$A$2:$A$10000&amp;JupData!$J$2:$J$10000,0),11))</f>
        <v/>
      </c>
      <c r="Y979" t="str">
        <f t="array" ref="Y979">IF($A979="","",INDEX(JupData!$A$2:$K$10000,MATCH($A979&amp;Y$1,JupData!$A$2:$A$10000&amp;JupData!$J$2:$J$10000,0),11))</f>
        <v/>
      </c>
      <c r="Z979" t="str">
        <f t="array" ref="Z979">IF($A979="","",INDEX(JupData!$A$2:$K$10000,MATCH($A979&amp;Z$1,JupData!$A$2:$A$10000&amp;JupData!$J$2:$J$10000,0),11))</f>
        <v/>
      </c>
      <c r="AA979" t="str">
        <f t="array" ref="AA979">IF($A979="","",INDEX(JupData!$A$2:$K$10000,MATCH($A979&amp;AA$1,JupData!$A$2:$A$10000&amp;JupData!$J$2:$J$10000,0),11))</f>
        <v/>
      </c>
      <c r="AB979" t="str">
        <f t="array" ref="AB979">IF($A979="","",INDEX(JupData!$A$2:$K$10000,MATCH($A979&amp;AB$1,JupData!$A$2:$A$10000&amp;JupData!$J$2:$J$10000,0),11))</f>
        <v/>
      </c>
      <c r="AC979" s="10" t="str">
        <f t="shared" si="165"/>
        <v/>
      </c>
      <c r="AD979" s="10" t="str">
        <f t="shared" si="166"/>
        <v/>
      </c>
      <c r="AE979" s="9" t="str">
        <f t="shared" si="167"/>
        <v/>
      </c>
      <c r="AF979" s="10" t="str">
        <f t="shared" si="168"/>
        <v/>
      </c>
      <c r="AG979" s="10" t="str">
        <f t="shared" si="169"/>
        <v/>
      </c>
      <c r="AH979" s="10" t="str">
        <f t="shared" si="175"/>
        <v/>
      </c>
      <c r="AI979" s="10" t="str">
        <f t="shared" si="170"/>
        <v/>
      </c>
      <c r="AJ979" s="10" t="str">
        <f t="shared" si="171"/>
        <v/>
      </c>
      <c r="AK979" s="10" t="str">
        <f t="shared" si="172"/>
        <v/>
      </c>
      <c r="AL979" s="14" t="str">
        <f t="shared" si="173"/>
        <v/>
      </c>
    </row>
    <row r="980" spans="1:38" x14ac:dyDescent="0.2">
      <c r="A980"/>
      <c r="B980" t="str">
        <f>IF($A980="","",VLOOKUP($A980,JupData!$A$2:$I$10000,4,FALSE))</f>
        <v/>
      </c>
      <c r="C980" s="7" t="str">
        <f>IF($A980="",IF(N(D980),0,""),VLOOKUP($A980,JupData!$A$2:$I$10000,7,FALSE))</f>
        <v/>
      </c>
      <c r="D980" t="str">
        <f t="shared" si="174"/>
        <v/>
      </c>
      <c r="E980" t="str">
        <f t="array" ref="E980">IF($A980="","",INDEX(JupData!$A$2:$K$10000,MATCH($A980&amp;E$1,JupData!$A$2:$A$10000&amp;JupData!$J$2:$J$10000,0),11))</f>
        <v/>
      </c>
      <c r="F980" t="str">
        <f t="array" ref="F980">IF($A980="","",INDEX(JupData!$A$2:$K$10000,MATCH($A980&amp;F$1,JupData!$A$2:$A$10000&amp;JupData!$J$2:$J$10000,0),11))</f>
        <v/>
      </c>
      <c r="G980" t="str">
        <f t="array" ref="G980">IF($A980="","",INDEX(JupData!$A$2:$K$10000,MATCH($A980&amp;G$1,JupData!$A$2:$A$10000&amp;JupData!$J$2:$J$10000,0),11))</f>
        <v/>
      </c>
      <c r="H980" t="str">
        <f t="array" ref="H980">IF($A980="","",INDEX(JupData!$A$2:$K$10000,MATCH($A980&amp;H$1,JupData!$A$2:$A$10000&amp;JupData!$J$2:$J$10000,0),11))</f>
        <v/>
      </c>
      <c r="I980" t="str">
        <f t="array" ref="I980">IF($A980="","",INDEX(JupData!$A$2:$K$10000,MATCH($A980&amp;I$1,JupData!$A$2:$A$10000&amp;JupData!$J$2:$J$10000,0),11))</f>
        <v/>
      </c>
      <c r="J980" t="str">
        <f t="array" ref="J980">IF($A980="","",INDEX(JupData!$A$2:$K$10000,MATCH($A980&amp;J$1,JupData!$A$2:$A$10000&amp;JupData!$J$2:$J$10000,0),11))</f>
        <v/>
      </c>
      <c r="K980" t="str">
        <f t="array" ref="K980">IF($A980="","",INDEX(JupData!$A$2:$K$10000,MATCH($A980&amp;K$1,JupData!$A$2:$A$10000&amp;JupData!$J$2:$J$10000,0),11))</f>
        <v/>
      </c>
      <c r="L980" t="str">
        <f t="array" ref="L980">IF($A980="","",INDEX(JupData!$A$2:$K$10000,MATCH($A980&amp;L$1,JupData!$A$2:$A$10000&amp;JupData!$J$2:$J$10000,0),11))</f>
        <v/>
      </c>
      <c r="M980" t="str">
        <f t="array" ref="M980">IF($A980="","",INDEX(JupData!$A$2:$K$10000,MATCH($A980&amp;M$1,JupData!$A$2:$A$10000&amp;JupData!$J$2:$J$10000,0),11))</f>
        <v/>
      </c>
      <c r="N980" t="str">
        <f t="array" ref="N980">IF($A980="","",INDEX(JupData!$A$2:$K$10000,MATCH($A980&amp;N$1,JupData!$A$2:$A$10000&amp;JupData!$J$2:$J$10000,0),11))</f>
        <v/>
      </c>
      <c r="O980" t="str">
        <f t="array" ref="O980">IF($A980="","",INDEX(JupData!$A$2:$K$10000,MATCH($A980&amp;O$1,JupData!$A$2:$A$10000&amp;JupData!$J$2:$J$10000,0),11))</f>
        <v/>
      </c>
      <c r="P980" t="str">
        <f t="array" ref="P980">IF($A980="","",INDEX(JupData!$A$2:$K$10000,MATCH($A980&amp;P$1,JupData!$A$2:$A$10000&amp;JupData!$J$2:$J$10000,0),11))</f>
        <v/>
      </c>
      <c r="Q980" t="str">
        <f t="array" ref="Q980">IF($A980="","",INDEX(JupData!$A$2:$K$10000,MATCH($A980&amp;Q$1,JupData!$A$2:$A$10000&amp;JupData!$J$2:$J$10000,0),11))</f>
        <v/>
      </c>
      <c r="R980" t="str">
        <f t="array" ref="R980">IF($A980="","",INDEX(JupData!$A$2:$K$10000,MATCH($A980&amp;R$1,JupData!$A$2:$A$10000&amp;JupData!$J$2:$J$10000,0),11))</f>
        <v/>
      </c>
      <c r="S980" t="str">
        <f t="array" ref="S980">IF($A980="","",INDEX(JupData!$A$2:$K$10000,MATCH($A980&amp;S$1,JupData!$A$2:$A$10000&amp;JupData!$J$2:$J$10000,0),11))</f>
        <v/>
      </c>
      <c r="T980" t="str">
        <f t="array" ref="T980">IF($A980="","",INDEX(JupData!$A$2:$K$10000,MATCH($A980&amp;T$1,JupData!$A$2:$A$10000&amp;JupData!$J$2:$J$10000,0),11))</f>
        <v/>
      </c>
      <c r="U980" t="str">
        <f t="array" ref="U980">IF($A980="","",INDEX(JupData!$A$2:$K$10000,MATCH($A980&amp;U$1,JupData!$A$2:$A$10000&amp;JupData!$J$2:$J$10000,0),11))</f>
        <v/>
      </c>
      <c r="V980" t="str">
        <f t="array" ref="V980">IF($A980="","",INDEX(JupData!$A$2:$K$10000,MATCH($A980&amp;V$1,JupData!$A$2:$A$10000&amp;JupData!$J$2:$J$10000,0),11))</f>
        <v/>
      </c>
      <c r="W980" t="str">
        <f t="array" ref="W980">IF($A980="","",INDEX(JupData!$A$2:$K$10000,MATCH($A980&amp;W$1,JupData!$A$2:$A$10000&amp;JupData!$J$2:$J$10000,0),11))</f>
        <v/>
      </c>
      <c r="X980" t="str">
        <f t="array" ref="X980">IF($A980="","",INDEX(JupData!$A$2:$K$10000,MATCH($A980&amp;X$1,JupData!$A$2:$A$10000&amp;JupData!$J$2:$J$10000,0),11))</f>
        <v/>
      </c>
      <c r="Y980" t="str">
        <f t="array" ref="Y980">IF($A980="","",INDEX(JupData!$A$2:$K$10000,MATCH($A980&amp;Y$1,JupData!$A$2:$A$10000&amp;JupData!$J$2:$J$10000,0),11))</f>
        <v/>
      </c>
      <c r="Z980" t="str">
        <f t="array" ref="Z980">IF($A980="","",INDEX(JupData!$A$2:$K$10000,MATCH($A980&amp;Z$1,JupData!$A$2:$A$10000&amp;JupData!$J$2:$J$10000,0),11))</f>
        <v/>
      </c>
      <c r="AA980" t="str">
        <f t="array" ref="AA980">IF($A980="","",INDEX(JupData!$A$2:$K$10000,MATCH($A980&amp;AA$1,JupData!$A$2:$A$10000&amp;JupData!$J$2:$J$10000,0),11))</f>
        <v/>
      </c>
      <c r="AB980" t="str">
        <f t="array" ref="AB980">IF($A980="","",INDEX(JupData!$A$2:$K$10000,MATCH($A980&amp;AB$1,JupData!$A$2:$A$10000&amp;JupData!$J$2:$J$10000,0),11))</f>
        <v/>
      </c>
      <c r="AC980" s="10" t="str">
        <f t="shared" si="165"/>
        <v/>
      </c>
      <c r="AD980" s="10" t="str">
        <f t="shared" si="166"/>
        <v/>
      </c>
      <c r="AE980" s="9" t="str">
        <f t="shared" si="167"/>
        <v/>
      </c>
      <c r="AF980" s="10" t="str">
        <f t="shared" si="168"/>
        <v/>
      </c>
      <c r="AG980" s="10" t="str">
        <f t="shared" si="169"/>
        <v/>
      </c>
      <c r="AH980" s="10" t="str">
        <f t="shared" si="175"/>
        <v/>
      </c>
      <c r="AI980" s="10" t="str">
        <f t="shared" si="170"/>
        <v/>
      </c>
      <c r="AJ980" s="10" t="str">
        <f t="shared" si="171"/>
        <v/>
      </c>
      <c r="AK980" s="10" t="str">
        <f t="shared" si="172"/>
        <v/>
      </c>
      <c r="AL980" s="14" t="str">
        <f t="shared" si="173"/>
        <v/>
      </c>
    </row>
    <row r="981" spans="1:38" x14ac:dyDescent="0.2">
      <c r="A981"/>
      <c r="B981" t="str">
        <f>IF($A981="","",VLOOKUP($A981,JupData!$A$2:$I$10000,4,FALSE))</f>
        <v/>
      </c>
      <c r="C981" s="7" t="str">
        <f>IF($A981="",IF(N(D981),0,""),VLOOKUP($A981,JupData!$A$2:$I$10000,7,FALSE))</f>
        <v/>
      </c>
      <c r="D981" t="str">
        <f t="shared" si="174"/>
        <v/>
      </c>
      <c r="E981" t="str">
        <f t="array" ref="E981">IF($A981="","",INDEX(JupData!$A$2:$K$10000,MATCH($A981&amp;E$1,JupData!$A$2:$A$10000&amp;JupData!$J$2:$J$10000,0),11))</f>
        <v/>
      </c>
      <c r="F981" t="str">
        <f t="array" ref="F981">IF($A981="","",INDEX(JupData!$A$2:$K$10000,MATCH($A981&amp;F$1,JupData!$A$2:$A$10000&amp;JupData!$J$2:$J$10000,0),11))</f>
        <v/>
      </c>
      <c r="G981" t="str">
        <f t="array" ref="G981">IF($A981="","",INDEX(JupData!$A$2:$K$10000,MATCH($A981&amp;G$1,JupData!$A$2:$A$10000&amp;JupData!$J$2:$J$10000,0),11))</f>
        <v/>
      </c>
      <c r="H981" t="str">
        <f t="array" ref="H981">IF($A981="","",INDEX(JupData!$A$2:$K$10000,MATCH($A981&amp;H$1,JupData!$A$2:$A$10000&amp;JupData!$J$2:$J$10000,0),11))</f>
        <v/>
      </c>
      <c r="I981" t="str">
        <f t="array" ref="I981">IF($A981="","",INDEX(JupData!$A$2:$K$10000,MATCH($A981&amp;I$1,JupData!$A$2:$A$10000&amp;JupData!$J$2:$J$10000,0),11))</f>
        <v/>
      </c>
      <c r="J981" t="str">
        <f t="array" ref="J981">IF($A981="","",INDEX(JupData!$A$2:$K$10000,MATCH($A981&amp;J$1,JupData!$A$2:$A$10000&amp;JupData!$J$2:$J$10000,0),11))</f>
        <v/>
      </c>
      <c r="K981" t="str">
        <f t="array" ref="K981">IF($A981="","",INDEX(JupData!$A$2:$K$10000,MATCH($A981&amp;K$1,JupData!$A$2:$A$10000&amp;JupData!$J$2:$J$10000,0),11))</f>
        <v/>
      </c>
      <c r="L981" t="str">
        <f t="array" ref="L981">IF($A981="","",INDEX(JupData!$A$2:$K$10000,MATCH($A981&amp;L$1,JupData!$A$2:$A$10000&amp;JupData!$J$2:$J$10000,0),11))</f>
        <v/>
      </c>
      <c r="M981" t="str">
        <f t="array" ref="M981">IF($A981="","",INDEX(JupData!$A$2:$K$10000,MATCH($A981&amp;M$1,JupData!$A$2:$A$10000&amp;JupData!$J$2:$J$10000,0),11))</f>
        <v/>
      </c>
      <c r="N981" t="str">
        <f t="array" ref="N981">IF($A981="","",INDEX(JupData!$A$2:$K$10000,MATCH($A981&amp;N$1,JupData!$A$2:$A$10000&amp;JupData!$J$2:$J$10000,0),11))</f>
        <v/>
      </c>
      <c r="O981" t="str">
        <f t="array" ref="O981">IF($A981="","",INDEX(JupData!$A$2:$K$10000,MATCH($A981&amp;O$1,JupData!$A$2:$A$10000&amp;JupData!$J$2:$J$10000,0),11))</f>
        <v/>
      </c>
      <c r="P981" t="str">
        <f t="array" ref="P981">IF($A981="","",INDEX(JupData!$A$2:$K$10000,MATCH($A981&amp;P$1,JupData!$A$2:$A$10000&amp;JupData!$J$2:$J$10000,0),11))</f>
        <v/>
      </c>
      <c r="Q981" t="str">
        <f t="array" ref="Q981">IF($A981="","",INDEX(JupData!$A$2:$K$10000,MATCH($A981&amp;Q$1,JupData!$A$2:$A$10000&amp;JupData!$J$2:$J$10000,0),11))</f>
        <v/>
      </c>
      <c r="R981" t="str">
        <f t="array" ref="R981">IF($A981="","",INDEX(JupData!$A$2:$K$10000,MATCH($A981&amp;R$1,JupData!$A$2:$A$10000&amp;JupData!$J$2:$J$10000,0),11))</f>
        <v/>
      </c>
      <c r="S981" t="str">
        <f t="array" ref="S981">IF($A981="","",INDEX(JupData!$A$2:$K$10000,MATCH($A981&amp;S$1,JupData!$A$2:$A$10000&amp;JupData!$J$2:$J$10000,0),11))</f>
        <v/>
      </c>
      <c r="T981" t="str">
        <f t="array" ref="T981">IF($A981="","",INDEX(JupData!$A$2:$K$10000,MATCH($A981&amp;T$1,JupData!$A$2:$A$10000&amp;JupData!$J$2:$J$10000,0),11))</f>
        <v/>
      </c>
      <c r="U981" t="str">
        <f t="array" ref="U981">IF($A981="","",INDEX(JupData!$A$2:$K$10000,MATCH($A981&amp;U$1,JupData!$A$2:$A$10000&amp;JupData!$J$2:$J$10000,0),11))</f>
        <v/>
      </c>
      <c r="V981" t="str">
        <f t="array" ref="V981">IF($A981="","",INDEX(JupData!$A$2:$K$10000,MATCH($A981&amp;V$1,JupData!$A$2:$A$10000&amp;JupData!$J$2:$J$10000,0),11))</f>
        <v/>
      </c>
      <c r="W981" t="str">
        <f t="array" ref="W981">IF($A981="","",INDEX(JupData!$A$2:$K$10000,MATCH($A981&amp;W$1,JupData!$A$2:$A$10000&amp;JupData!$J$2:$J$10000,0),11))</f>
        <v/>
      </c>
      <c r="X981" t="str">
        <f t="array" ref="X981">IF($A981="","",INDEX(JupData!$A$2:$K$10000,MATCH($A981&amp;X$1,JupData!$A$2:$A$10000&amp;JupData!$J$2:$J$10000,0),11))</f>
        <v/>
      </c>
      <c r="Y981" t="str">
        <f t="array" ref="Y981">IF($A981="","",INDEX(JupData!$A$2:$K$10000,MATCH($A981&amp;Y$1,JupData!$A$2:$A$10000&amp;JupData!$J$2:$J$10000,0),11))</f>
        <v/>
      </c>
      <c r="Z981" t="str">
        <f t="array" ref="Z981">IF($A981="","",INDEX(JupData!$A$2:$K$10000,MATCH($A981&amp;Z$1,JupData!$A$2:$A$10000&amp;JupData!$J$2:$J$10000,0),11))</f>
        <v/>
      </c>
      <c r="AA981" t="str">
        <f t="array" ref="AA981">IF($A981="","",INDEX(JupData!$A$2:$K$10000,MATCH($A981&amp;AA$1,JupData!$A$2:$A$10000&amp;JupData!$J$2:$J$10000,0),11))</f>
        <v/>
      </c>
      <c r="AB981" t="str">
        <f t="array" ref="AB981">IF($A981="","",INDEX(JupData!$A$2:$K$10000,MATCH($A981&amp;AB$1,JupData!$A$2:$A$10000&amp;JupData!$J$2:$J$10000,0),11))</f>
        <v/>
      </c>
      <c r="AC981" s="10" t="str">
        <f t="shared" si="165"/>
        <v/>
      </c>
      <c r="AD981" s="10" t="str">
        <f t="shared" si="166"/>
        <v/>
      </c>
      <c r="AE981" s="9" t="str">
        <f t="shared" si="167"/>
        <v/>
      </c>
      <c r="AF981" s="10" t="str">
        <f t="shared" si="168"/>
        <v/>
      </c>
      <c r="AG981" s="10" t="str">
        <f t="shared" si="169"/>
        <v/>
      </c>
      <c r="AH981" s="10" t="str">
        <f t="shared" si="175"/>
        <v/>
      </c>
      <c r="AI981" s="10" t="str">
        <f t="shared" si="170"/>
        <v/>
      </c>
      <c r="AJ981" s="10" t="str">
        <f t="shared" si="171"/>
        <v/>
      </c>
      <c r="AK981" s="10" t="str">
        <f t="shared" si="172"/>
        <v/>
      </c>
      <c r="AL981" s="14" t="str">
        <f t="shared" si="173"/>
        <v/>
      </c>
    </row>
    <row r="982" spans="1:38" x14ac:dyDescent="0.2">
      <c r="A982"/>
      <c r="B982" t="str">
        <f>IF($A982="","",VLOOKUP($A982,JupData!$A$2:$I$10000,4,FALSE))</f>
        <v/>
      </c>
      <c r="C982" s="7" t="str">
        <f>IF($A982="",IF(N(D982),0,""),VLOOKUP($A982,JupData!$A$2:$I$10000,7,FALSE))</f>
        <v/>
      </c>
      <c r="D982" t="str">
        <f t="shared" si="174"/>
        <v/>
      </c>
      <c r="E982" t="str">
        <f t="array" ref="E982">IF($A982="","",INDEX(JupData!$A$2:$K$10000,MATCH($A982&amp;E$1,JupData!$A$2:$A$10000&amp;JupData!$J$2:$J$10000,0),11))</f>
        <v/>
      </c>
      <c r="F982" t="str">
        <f t="array" ref="F982">IF($A982="","",INDEX(JupData!$A$2:$K$10000,MATCH($A982&amp;F$1,JupData!$A$2:$A$10000&amp;JupData!$J$2:$J$10000,0),11))</f>
        <v/>
      </c>
      <c r="G982" t="str">
        <f t="array" ref="G982">IF($A982="","",INDEX(JupData!$A$2:$K$10000,MATCH($A982&amp;G$1,JupData!$A$2:$A$10000&amp;JupData!$J$2:$J$10000,0),11))</f>
        <v/>
      </c>
      <c r="H982" t="str">
        <f t="array" ref="H982">IF($A982="","",INDEX(JupData!$A$2:$K$10000,MATCH($A982&amp;H$1,JupData!$A$2:$A$10000&amp;JupData!$J$2:$J$10000,0),11))</f>
        <v/>
      </c>
      <c r="I982" t="str">
        <f t="array" ref="I982">IF($A982="","",INDEX(JupData!$A$2:$K$10000,MATCH($A982&amp;I$1,JupData!$A$2:$A$10000&amp;JupData!$J$2:$J$10000,0),11))</f>
        <v/>
      </c>
      <c r="J982" t="str">
        <f t="array" ref="J982">IF($A982="","",INDEX(JupData!$A$2:$K$10000,MATCH($A982&amp;J$1,JupData!$A$2:$A$10000&amp;JupData!$J$2:$J$10000,0),11))</f>
        <v/>
      </c>
      <c r="K982" t="str">
        <f t="array" ref="K982">IF($A982="","",INDEX(JupData!$A$2:$K$10000,MATCH($A982&amp;K$1,JupData!$A$2:$A$10000&amp;JupData!$J$2:$J$10000,0),11))</f>
        <v/>
      </c>
      <c r="L982" t="str">
        <f t="array" ref="L982">IF($A982="","",INDEX(JupData!$A$2:$K$10000,MATCH($A982&amp;L$1,JupData!$A$2:$A$10000&amp;JupData!$J$2:$J$10000,0),11))</f>
        <v/>
      </c>
      <c r="M982" t="str">
        <f t="array" ref="M982">IF($A982="","",INDEX(JupData!$A$2:$K$10000,MATCH($A982&amp;M$1,JupData!$A$2:$A$10000&amp;JupData!$J$2:$J$10000,0),11))</f>
        <v/>
      </c>
      <c r="N982" t="str">
        <f t="array" ref="N982">IF($A982="","",INDEX(JupData!$A$2:$K$10000,MATCH($A982&amp;N$1,JupData!$A$2:$A$10000&amp;JupData!$J$2:$J$10000,0),11))</f>
        <v/>
      </c>
      <c r="O982" t="str">
        <f t="array" ref="O982">IF($A982="","",INDEX(JupData!$A$2:$K$10000,MATCH($A982&amp;O$1,JupData!$A$2:$A$10000&amp;JupData!$J$2:$J$10000,0),11))</f>
        <v/>
      </c>
      <c r="P982" t="str">
        <f t="array" ref="P982">IF($A982="","",INDEX(JupData!$A$2:$K$10000,MATCH($A982&amp;P$1,JupData!$A$2:$A$10000&amp;JupData!$J$2:$J$10000,0),11))</f>
        <v/>
      </c>
      <c r="Q982" t="str">
        <f t="array" ref="Q982">IF($A982="","",INDEX(JupData!$A$2:$K$10000,MATCH($A982&amp;Q$1,JupData!$A$2:$A$10000&amp;JupData!$J$2:$J$10000,0),11))</f>
        <v/>
      </c>
      <c r="R982" t="str">
        <f t="array" ref="R982">IF($A982="","",INDEX(JupData!$A$2:$K$10000,MATCH($A982&amp;R$1,JupData!$A$2:$A$10000&amp;JupData!$J$2:$J$10000,0),11))</f>
        <v/>
      </c>
      <c r="S982" t="str">
        <f t="array" ref="S982">IF($A982="","",INDEX(JupData!$A$2:$K$10000,MATCH($A982&amp;S$1,JupData!$A$2:$A$10000&amp;JupData!$J$2:$J$10000,0),11))</f>
        <v/>
      </c>
      <c r="T982" t="str">
        <f t="array" ref="T982">IF($A982="","",INDEX(JupData!$A$2:$K$10000,MATCH($A982&amp;T$1,JupData!$A$2:$A$10000&amp;JupData!$J$2:$J$10000,0),11))</f>
        <v/>
      </c>
      <c r="U982" t="str">
        <f t="array" ref="U982">IF($A982="","",INDEX(JupData!$A$2:$K$10000,MATCH($A982&amp;U$1,JupData!$A$2:$A$10000&amp;JupData!$J$2:$J$10000,0),11))</f>
        <v/>
      </c>
      <c r="V982" t="str">
        <f t="array" ref="V982">IF($A982="","",INDEX(JupData!$A$2:$K$10000,MATCH($A982&amp;V$1,JupData!$A$2:$A$10000&amp;JupData!$J$2:$J$10000,0),11))</f>
        <v/>
      </c>
      <c r="W982" t="str">
        <f t="array" ref="W982">IF($A982="","",INDEX(JupData!$A$2:$K$10000,MATCH($A982&amp;W$1,JupData!$A$2:$A$10000&amp;JupData!$J$2:$J$10000,0),11))</f>
        <v/>
      </c>
      <c r="X982" t="str">
        <f t="array" ref="X982">IF($A982="","",INDEX(JupData!$A$2:$K$10000,MATCH($A982&amp;X$1,JupData!$A$2:$A$10000&amp;JupData!$J$2:$J$10000,0),11))</f>
        <v/>
      </c>
      <c r="Y982" t="str">
        <f t="array" ref="Y982">IF($A982="","",INDEX(JupData!$A$2:$K$10000,MATCH($A982&amp;Y$1,JupData!$A$2:$A$10000&amp;JupData!$J$2:$J$10000,0),11))</f>
        <v/>
      </c>
      <c r="Z982" t="str">
        <f t="array" ref="Z982">IF($A982="","",INDEX(JupData!$A$2:$K$10000,MATCH($A982&amp;Z$1,JupData!$A$2:$A$10000&amp;JupData!$J$2:$J$10000,0),11))</f>
        <v/>
      </c>
      <c r="AA982" t="str">
        <f t="array" ref="AA982">IF($A982="","",INDEX(JupData!$A$2:$K$10000,MATCH($A982&amp;AA$1,JupData!$A$2:$A$10000&amp;JupData!$J$2:$J$10000,0),11))</f>
        <v/>
      </c>
      <c r="AB982" t="str">
        <f t="array" ref="AB982">IF($A982="","",INDEX(JupData!$A$2:$K$10000,MATCH($A982&amp;AB$1,JupData!$A$2:$A$10000&amp;JupData!$J$2:$J$10000,0),11))</f>
        <v/>
      </c>
      <c r="AC982" s="10" t="str">
        <f t="shared" si="165"/>
        <v/>
      </c>
      <c r="AD982" s="10" t="str">
        <f t="shared" si="166"/>
        <v/>
      </c>
      <c r="AE982" s="9" t="str">
        <f t="shared" si="167"/>
        <v/>
      </c>
      <c r="AF982" s="10" t="str">
        <f t="shared" si="168"/>
        <v/>
      </c>
      <c r="AG982" s="10" t="str">
        <f t="shared" si="169"/>
        <v/>
      </c>
      <c r="AH982" s="10" t="str">
        <f t="shared" si="175"/>
        <v/>
      </c>
      <c r="AI982" s="10" t="str">
        <f t="shared" si="170"/>
        <v/>
      </c>
      <c r="AJ982" s="10" t="str">
        <f t="shared" si="171"/>
        <v/>
      </c>
      <c r="AK982" s="10" t="str">
        <f t="shared" si="172"/>
        <v/>
      </c>
      <c r="AL982" s="14" t="str">
        <f t="shared" si="173"/>
        <v/>
      </c>
    </row>
    <row r="983" spans="1:38" x14ac:dyDescent="0.2">
      <c r="A983"/>
      <c r="B983" t="str">
        <f>IF($A983="","",VLOOKUP($A983,JupData!$A$2:$I$10000,4,FALSE))</f>
        <v/>
      </c>
      <c r="C983" s="7" t="str">
        <f>IF($A983="",IF(N(D983),0,""),VLOOKUP($A983,JupData!$A$2:$I$10000,7,FALSE))</f>
        <v/>
      </c>
      <c r="D983" t="str">
        <f t="shared" si="174"/>
        <v/>
      </c>
      <c r="E983" t="str">
        <f t="array" ref="E983">IF($A983="","",INDEX(JupData!$A$2:$K$10000,MATCH($A983&amp;E$1,JupData!$A$2:$A$10000&amp;JupData!$J$2:$J$10000,0),11))</f>
        <v/>
      </c>
      <c r="F983" t="str">
        <f t="array" ref="F983">IF($A983="","",INDEX(JupData!$A$2:$K$10000,MATCH($A983&amp;F$1,JupData!$A$2:$A$10000&amp;JupData!$J$2:$J$10000,0),11))</f>
        <v/>
      </c>
      <c r="G983" t="str">
        <f t="array" ref="G983">IF($A983="","",INDEX(JupData!$A$2:$K$10000,MATCH($A983&amp;G$1,JupData!$A$2:$A$10000&amp;JupData!$J$2:$J$10000,0),11))</f>
        <v/>
      </c>
      <c r="H983" t="str">
        <f t="array" ref="H983">IF($A983="","",INDEX(JupData!$A$2:$K$10000,MATCH($A983&amp;H$1,JupData!$A$2:$A$10000&amp;JupData!$J$2:$J$10000,0),11))</f>
        <v/>
      </c>
      <c r="I983" t="str">
        <f t="array" ref="I983">IF($A983="","",INDEX(JupData!$A$2:$K$10000,MATCH($A983&amp;I$1,JupData!$A$2:$A$10000&amp;JupData!$J$2:$J$10000,0),11))</f>
        <v/>
      </c>
      <c r="J983" t="str">
        <f t="array" ref="J983">IF($A983="","",INDEX(JupData!$A$2:$K$10000,MATCH($A983&amp;J$1,JupData!$A$2:$A$10000&amp;JupData!$J$2:$J$10000,0),11))</f>
        <v/>
      </c>
      <c r="K983" t="str">
        <f t="array" ref="K983">IF($A983="","",INDEX(JupData!$A$2:$K$10000,MATCH($A983&amp;K$1,JupData!$A$2:$A$10000&amp;JupData!$J$2:$J$10000,0),11))</f>
        <v/>
      </c>
      <c r="L983" t="str">
        <f t="array" ref="L983">IF($A983="","",INDEX(JupData!$A$2:$K$10000,MATCH($A983&amp;L$1,JupData!$A$2:$A$10000&amp;JupData!$J$2:$J$10000,0),11))</f>
        <v/>
      </c>
      <c r="M983" t="str">
        <f t="array" ref="M983">IF($A983="","",INDEX(JupData!$A$2:$K$10000,MATCH($A983&amp;M$1,JupData!$A$2:$A$10000&amp;JupData!$J$2:$J$10000,0),11))</f>
        <v/>
      </c>
      <c r="N983" t="str">
        <f t="array" ref="N983">IF($A983="","",INDEX(JupData!$A$2:$K$10000,MATCH($A983&amp;N$1,JupData!$A$2:$A$10000&amp;JupData!$J$2:$J$10000,0),11))</f>
        <v/>
      </c>
      <c r="O983" t="str">
        <f t="array" ref="O983">IF($A983="","",INDEX(JupData!$A$2:$K$10000,MATCH($A983&amp;O$1,JupData!$A$2:$A$10000&amp;JupData!$J$2:$J$10000,0),11))</f>
        <v/>
      </c>
      <c r="P983" t="str">
        <f t="array" ref="P983">IF($A983="","",INDEX(JupData!$A$2:$K$10000,MATCH($A983&amp;P$1,JupData!$A$2:$A$10000&amp;JupData!$J$2:$J$10000,0),11))</f>
        <v/>
      </c>
      <c r="Q983" t="str">
        <f t="array" ref="Q983">IF($A983="","",INDEX(JupData!$A$2:$K$10000,MATCH($A983&amp;Q$1,JupData!$A$2:$A$10000&amp;JupData!$J$2:$J$10000,0),11))</f>
        <v/>
      </c>
      <c r="R983" t="str">
        <f t="array" ref="R983">IF($A983="","",INDEX(JupData!$A$2:$K$10000,MATCH($A983&amp;R$1,JupData!$A$2:$A$10000&amp;JupData!$J$2:$J$10000,0),11))</f>
        <v/>
      </c>
      <c r="S983" t="str">
        <f t="array" ref="S983">IF($A983="","",INDEX(JupData!$A$2:$K$10000,MATCH($A983&amp;S$1,JupData!$A$2:$A$10000&amp;JupData!$J$2:$J$10000,0),11))</f>
        <v/>
      </c>
      <c r="T983" t="str">
        <f t="array" ref="T983">IF($A983="","",INDEX(JupData!$A$2:$K$10000,MATCH($A983&amp;T$1,JupData!$A$2:$A$10000&amp;JupData!$J$2:$J$10000,0),11))</f>
        <v/>
      </c>
      <c r="U983" t="str">
        <f t="array" ref="U983">IF($A983="","",INDEX(JupData!$A$2:$K$10000,MATCH($A983&amp;U$1,JupData!$A$2:$A$10000&amp;JupData!$J$2:$J$10000,0),11))</f>
        <v/>
      </c>
      <c r="V983" t="str">
        <f t="array" ref="V983">IF($A983="","",INDEX(JupData!$A$2:$K$10000,MATCH($A983&amp;V$1,JupData!$A$2:$A$10000&amp;JupData!$J$2:$J$10000,0),11))</f>
        <v/>
      </c>
      <c r="W983" t="str">
        <f t="array" ref="W983">IF($A983="","",INDEX(JupData!$A$2:$K$10000,MATCH($A983&amp;W$1,JupData!$A$2:$A$10000&amp;JupData!$J$2:$J$10000,0),11))</f>
        <v/>
      </c>
      <c r="X983" t="str">
        <f t="array" ref="X983">IF($A983="","",INDEX(JupData!$A$2:$K$10000,MATCH($A983&amp;X$1,JupData!$A$2:$A$10000&amp;JupData!$J$2:$J$10000,0),11))</f>
        <v/>
      </c>
      <c r="Y983" t="str">
        <f t="array" ref="Y983">IF($A983="","",INDEX(JupData!$A$2:$K$10000,MATCH($A983&amp;Y$1,JupData!$A$2:$A$10000&amp;JupData!$J$2:$J$10000,0),11))</f>
        <v/>
      </c>
      <c r="Z983" t="str">
        <f t="array" ref="Z983">IF($A983="","",INDEX(JupData!$A$2:$K$10000,MATCH($A983&amp;Z$1,JupData!$A$2:$A$10000&amp;JupData!$J$2:$J$10000,0),11))</f>
        <v/>
      </c>
      <c r="AA983" t="str">
        <f t="array" ref="AA983">IF($A983="","",INDEX(JupData!$A$2:$K$10000,MATCH($A983&amp;AA$1,JupData!$A$2:$A$10000&amp;JupData!$J$2:$J$10000,0),11))</f>
        <v/>
      </c>
      <c r="AB983" t="str">
        <f t="array" ref="AB983">IF($A983="","",INDEX(JupData!$A$2:$K$10000,MATCH($A983&amp;AB$1,JupData!$A$2:$A$10000&amp;JupData!$J$2:$J$10000,0),11))</f>
        <v/>
      </c>
      <c r="AC983" s="10" t="str">
        <f t="shared" si="165"/>
        <v/>
      </c>
      <c r="AD983" s="10" t="str">
        <f t="shared" si="166"/>
        <v/>
      </c>
      <c r="AE983" s="9" t="str">
        <f t="shared" si="167"/>
        <v/>
      </c>
      <c r="AF983" s="10" t="str">
        <f t="shared" si="168"/>
        <v/>
      </c>
      <c r="AG983" s="10" t="str">
        <f t="shared" si="169"/>
        <v/>
      </c>
      <c r="AH983" s="10" t="str">
        <f t="shared" si="175"/>
        <v/>
      </c>
      <c r="AI983" s="10" t="str">
        <f t="shared" si="170"/>
        <v/>
      </c>
      <c r="AJ983" s="10" t="str">
        <f t="shared" si="171"/>
        <v/>
      </c>
      <c r="AK983" s="10" t="str">
        <f t="shared" si="172"/>
        <v/>
      </c>
      <c r="AL983" s="14" t="str">
        <f t="shared" si="173"/>
        <v/>
      </c>
    </row>
    <row r="984" spans="1:38" x14ac:dyDescent="0.2">
      <c r="A984"/>
      <c r="B984" t="str">
        <f>IF($A984="","",VLOOKUP($A984,JupData!$A$2:$I$10000,4,FALSE))</f>
        <v/>
      </c>
      <c r="C984" s="7" t="str">
        <f>IF($A984="",IF(N(D984),0,""),VLOOKUP($A984,JupData!$A$2:$I$10000,7,FALSE))</f>
        <v/>
      </c>
      <c r="D984" t="str">
        <f t="shared" si="174"/>
        <v/>
      </c>
      <c r="E984" t="str">
        <f t="array" ref="E984">IF($A984="","",INDEX(JupData!$A$2:$K$10000,MATCH($A984&amp;E$1,JupData!$A$2:$A$10000&amp;JupData!$J$2:$J$10000,0),11))</f>
        <v/>
      </c>
      <c r="F984" t="str">
        <f t="array" ref="F984">IF($A984="","",INDEX(JupData!$A$2:$K$10000,MATCH($A984&amp;F$1,JupData!$A$2:$A$10000&amp;JupData!$J$2:$J$10000,0),11))</f>
        <v/>
      </c>
      <c r="G984" t="str">
        <f t="array" ref="G984">IF($A984="","",INDEX(JupData!$A$2:$K$10000,MATCH($A984&amp;G$1,JupData!$A$2:$A$10000&amp;JupData!$J$2:$J$10000,0),11))</f>
        <v/>
      </c>
      <c r="H984" t="str">
        <f t="array" ref="H984">IF($A984="","",INDEX(JupData!$A$2:$K$10000,MATCH($A984&amp;H$1,JupData!$A$2:$A$10000&amp;JupData!$J$2:$J$10000,0),11))</f>
        <v/>
      </c>
      <c r="I984" t="str">
        <f t="array" ref="I984">IF($A984="","",INDEX(JupData!$A$2:$K$10000,MATCH($A984&amp;I$1,JupData!$A$2:$A$10000&amp;JupData!$J$2:$J$10000,0),11))</f>
        <v/>
      </c>
      <c r="J984" t="str">
        <f t="array" ref="J984">IF($A984="","",INDEX(JupData!$A$2:$K$10000,MATCH($A984&amp;J$1,JupData!$A$2:$A$10000&amp;JupData!$J$2:$J$10000,0),11))</f>
        <v/>
      </c>
      <c r="K984" t="str">
        <f t="array" ref="K984">IF($A984="","",INDEX(JupData!$A$2:$K$10000,MATCH($A984&amp;K$1,JupData!$A$2:$A$10000&amp;JupData!$J$2:$J$10000,0),11))</f>
        <v/>
      </c>
      <c r="L984" t="str">
        <f t="array" ref="L984">IF($A984="","",INDEX(JupData!$A$2:$K$10000,MATCH($A984&amp;L$1,JupData!$A$2:$A$10000&amp;JupData!$J$2:$J$10000,0),11))</f>
        <v/>
      </c>
      <c r="M984" t="str">
        <f t="array" ref="M984">IF($A984="","",INDEX(JupData!$A$2:$K$10000,MATCH($A984&amp;M$1,JupData!$A$2:$A$10000&amp;JupData!$J$2:$J$10000,0),11))</f>
        <v/>
      </c>
      <c r="N984" t="str">
        <f t="array" ref="N984">IF($A984="","",INDEX(JupData!$A$2:$K$10000,MATCH($A984&amp;N$1,JupData!$A$2:$A$10000&amp;JupData!$J$2:$J$10000,0),11))</f>
        <v/>
      </c>
      <c r="O984" t="str">
        <f t="array" ref="O984">IF($A984="","",INDEX(JupData!$A$2:$K$10000,MATCH($A984&amp;O$1,JupData!$A$2:$A$10000&amp;JupData!$J$2:$J$10000,0),11))</f>
        <v/>
      </c>
      <c r="P984" t="str">
        <f t="array" ref="P984">IF($A984="","",INDEX(JupData!$A$2:$K$10000,MATCH($A984&amp;P$1,JupData!$A$2:$A$10000&amp;JupData!$J$2:$J$10000,0),11))</f>
        <v/>
      </c>
      <c r="Q984" t="str">
        <f t="array" ref="Q984">IF($A984="","",INDEX(JupData!$A$2:$K$10000,MATCH($A984&amp;Q$1,JupData!$A$2:$A$10000&amp;JupData!$J$2:$J$10000,0),11))</f>
        <v/>
      </c>
      <c r="R984" t="str">
        <f t="array" ref="R984">IF($A984="","",INDEX(JupData!$A$2:$K$10000,MATCH($A984&amp;R$1,JupData!$A$2:$A$10000&amp;JupData!$J$2:$J$10000,0),11))</f>
        <v/>
      </c>
      <c r="S984" t="str">
        <f t="array" ref="S984">IF($A984="","",INDEX(JupData!$A$2:$K$10000,MATCH($A984&amp;S$1,JupData!$A$2:$A$10000&amp;JupData!$J$2:$J$10000,0),11))</f>
        <v/>
      </c>
      <c r="T984" t="str">
        <f t="array" ref="T984">IF($A984="","",INDEX(JupData!$A$2:$K$10000,MATCH($A984&amp;T$1,JupData!$A$2:$A$10000&amp;JupData!$J$2:$J$10000,0),11))</f>
        <v/>
      </c>
      <c r="U984" t="str">
        <f t="array" ref="U984">IF($A984="","",INDEX(JupData!$A$2:$K$10000,MATCH($A984&amp;U$1,JupData!$A$2:$A$10000&amp;JupData!$J$2:$J$10000,0),11))</f>
        <v/>
      </c>
      <c r="V984" t="str">
        <f t="array" ref="V984">IF($A984="","",INDEX(JupData!$A$2:$K$10000,MATCH($A984&amp;V$1,JupData!$A$2:$A$10000&amp;JupData!$J$2:$J$10000,0),11))</f>
        <v/>
      </c>
      <c r="W984" t="str">
        <f t="array" ref="W984">IF($A984="","",INDEX(JupData!$A$2:$K$10000,MATCH($A984&amp;W$1,JupData!$A$2:$A$10000&amp;JupData!$J$2:$J$10000,0),11))</f>
        <v/>
      </c>
      <c r="X984" t="str">
        <f t="array" ref="X984">IF($A984="","",INDEX(JupData!$A$2:$K$10000,MATCH($A984&amp;X$1,JupData!$A$2:$A$10000&amp;JupData!$J$2:$J$10000,0),11))</f>
        <v/>
      </c>
      <c r="Y984" t="str">
        <f t="array" ref="Y984">IF($A984="","",INDEX(JupData!$A$2:$K$10000,MATCH($A984&amp;Y$1,JupData!$A$2:$A$10000&amp;JupData!$J$2:$J$10000,0),11))</f>
        <v/>
      </c>
      <c r="Z984" t="str">
        <f t="array" ref="Z984">IF($A984="","",INDEX(JupData!$A$2:$K$10000,MATCH($A984&amp;Z$1,JupData!$A$2:$A$10000&amp;JupData!$J$2:$J$10000,0),11))</f>
        <v/>
      </c>
      <c r="AA984" t="str">
        <f t="array" ref="AA984">IF($A984="","",INDEX(JupData!$A$2:$K$10000,MATCH($A984&amp;AA$1,JupData!$A$2:$A$10000&amp;JupData!$J$2:$J$10000,0),11))</f>
        <v/>
      </c>
      <c r="AB984" t="str">
        <f t="array" ref="AB984">IF($A984="","",INDEX(JupData!$A$2:$K$10000,MATCH($A984&amp;AB$1,JupData!$A$2:$A$10000&amp;JupData!$J$2:$J$10000,0),11))</f>
        <v/>
      </c>
      <c r="AC984" s="10" t="str">
        <f t="shared" si="165"/>
        <v/>
      </c>
      <c r="AD984" s="10" t="str">
        <f t="shared" si="166"/>
        <v/>
      </c>
      <c r="AE984" s="9" t="str">
        <f t="shared" si="167"/>
        <v/>
      </c>
      <c r="AF984" s="10" t="str">
        <f t="shared" si="168"/>
        <v/>
      </c>
      <c r="AG984" s="10" t="str">
        <f t="shared" si="169"/>
        <v/>
      </c>
      <c r="AH984" s="10" t="str">
        <f t="shared" si="175"/>
        <v/>
      </c>
      <c r="AI984" s="10" t="str">
        <f t="shared" si="170"/>
        <v/>
      </c>
      <c r="AJ984" s="10" t="str">
        <f t="shared" si="171"/>
        <v/>
      </c>
      <c r="AK984" s="10" t="str">
        <f t="shared" si="172"/>
        <v/>
      </c>
      <c r="AL984" s="14" t="str">
        <f t="shared" si="173"/>
        <v/>
      </c>
    </row>
    <row r="985" spans="1:38" x14ac:dyDescent="0.2">
      <c r="A985"/>
      <c r="B985" t="str">
        <f>IF($A985="","",VLOOKUP($A985,JupData!$A$2:$I$10000,4,FALSE))</f>
        <v/>
      </c>
      <c r="C985" s="7" t="str">
        <f>IF($A985="",IF(N(D985),0,""),VLOOKUP($A985,JupData!$A$2:$I$10000,7,FALSE))</f>
        <v/>
      </c>
      <c r="D985" t="str">
        <f t="shared" si="174"/>
        <v/>
      </c>
      <c r="E985" t="str">
        <f t="array" ref="E985">IF($A985="","",INDEX(JupData!$A$2:$K$10000,MATCH($A985&amp;E$1,JupData!$A$2:$A$10000&amp;JupData!$J$2:$J$10000,0),11))</f>
        <v/>
      </c>
      <c r="F985" t="str">
        <f t="array" ref="F985">IF($A985="","",INDEX(JupData!$A$2:$K$10000,MATCH($A985&amp;F$1,JupData!$A$2:$A$10000&amp;JupData!$J$2:$J$10000,0),11))</f>
        <v/>
      </c>
      <c r="G985" t="str">
        <f t="array" ref="G985">IF($A985="","",INDEX(JupData!$A$2:$K$10000,MATCH($A985&amp;G$1,JupData!$A$2:$A$10000&amp;JupData!$J$2:$J$10000,0),11))</f>
        <v/>
      </c>
      <c r="H985" t="str">
        <f t="array" ref="H985">IF($A985="","",INDEX(JupData!$A$2:$K$10000,MATCH($A985&amp;H$1,JupData!$A$2:$A$10000&amp;JupData!$J$2:$J$10000,0),11))</f>
        <v/>
      </c>
      <c r="I985" t="str">
        <f t="array" ref="I985">IF($A985="","",INDEX(JupData!$A$2:$K$10000,MATCH($A985&amp;I$1,JupData!$A$2:$A$10000&amp;JupData!$J$2:$J$10000,0),11))</f>
        <v/>
      </c>
      <c r="J985" t="str">
        <f t="array" ref="J985">IF($A985="","",INDEX(JupData!$A$2:$K$10000,MATCH($A985&amp;J$1,JupData!$A$2:$A$10000&amp;JupData!$J$2:$J$10000,0),11))</f>
        <v/>
      </c>
      <c r="K985" t="str">
        <f t="array" ref="K985">IF($A985="","",INDEX(JupData!$A$2:$K$10000,MATCH($A985&amp;K$1,JupData!$A$2:$A$10000&amp;JupData!$J$2:$J$10000,0),11))</f>
        <v/>
      </c>
      <c r="L985" t="str">
        <f t="array" ref="L985">IF($A985="","",INDEX(JupData!$A$2:$K$10000,MATCH($A985&amp;L$1,JupData!$A$2:$A$10000&amp;JupData!$J$2:$J$10000,0),11))</f>
        <v/>
      </c>
      <c r="M985" t="str">
        <f t="array" ref="M985">IF($A985="","",INDEX(JupData!$A$2:$K$10000,MATCH($A985&amp;M$1,JupData!$A$2:$A$10000&amp;JupData!$J$2:$J$10000,0),11))</f>
        <v/>
      </c>
      <c r="N985" t="str">
        <f t="array" ref="N985">IF($A985="","",INDEX(JupData!$A$2:$K$10000,MATCH($A985&amp;N$1,JupData!$A$2:$A$10000&amp;JupData!$J$2:$J$10000,0),11))</f>
        <v/>
      </c>
      <c r="O985" t="str">
        <f t="array" ref="O985">IF($A985="","",INDEX(JupData!$A$2:$K$10000,MATCH($A985&amp;O$1,JupData!$A$2:$A$10000&amp;JupData!$J$2:$J$10000,0),11))</f>
        <v/>
      </c>
      <c r="P985" t="str">
        <f t="array" ref="P985">IF($A985="","",INDEX(JupData!$A$2:$K$10000,MATCH($A985&amp;P$1,JupData!$A$2:$A$10000&amp;JupData!$J$2:$J$10000,0),11))</f>
        <v/>
      </c>
      <c r="Q985" t="str">
        <f t="array" ref="Q985">IF($A985="","",INDEX(JupData!$A$2:$K$10000,MATCH($A985&amp;Q$1,JupData!$A$2:$A$10000&amp;JupData!$J$2:$J$10000,0),11))</f>
        <v/>
      </c>
      <c r="R985" t="str">
        <f t="array" ref="R985">IF($A985="","",INDEX(JupData!$A$2:$K$10000,MATCH($A985&amp;R$1,JupData!$A$2:$A$10000&amp;JupData!$J$2:$J$10000,0),11))</f>
        <v/>
      </c>
      <c r="S985" t="str">
        <f t="array" ref="S985">IF($A985="","",INDEX(JupData!$A$2:$K$10000,MATCH($A985&amp;S$1,JupData!$A$2:$A$10000&amp;JupData!$J$2:$J$10000,0),11))</f>
        <v/>
      </c>
      <c r="T985" t="str">
        <f t="array" ref="T985">IF($A985="","",INDEX(JupData!$A$2:$K$10000,MATCH($A985&amp;T$1,JupData!$A$2:$A$10000&amp;JupData!$J$2:$J$10000,0),11))</f>
        <v/>
      </c>
      <c r="U985" t="str">
        <f t="array" ref="U985">IF($A985="","",INDEX(JupData!$A$2:$K$10000,MATCH($A985&amp;U$1,JupData!$A$2:$A$10000&amp;JupData!$J$2:$J$10000,0),11))</f>
        <v/>
      </c>
      <c r="V985" t="str">
        <f t="array" ref="V985">IF($A985="","",INDEX(JupData!$A$2:$K$10000,MATCH($A985&amp;V$1,JupData!$A$2:$A$10000&amp;JupData!$J$2:$J$10000,0),11))</f>
        <v/>
      </c>
      <c r="W985" t="str">
        <f t="array" ref="W985">IF($A985="","",INDEX(JupData!$A$2:$K$10000,MATCH($A985&amp;W$1,JupData!$A$2:$A$10000&amp;JupData!$J$2:$J$10000,0),11))</f>
        <v/>
      </c>
      <c r="X985" t="str">
        <f t="array" ref="X985">IF($A985="","",INDEX(JupData!$A$2:$K$10000,MATCH($A985&amp;X$1,JupData!$A$2:$A$10000&amp;JupData!$J$2:$J$10000,0),11))</f>
        <v/>
      </c>
      <c r="Y985" t="str">
        <f t="array" ref="Y985">IF($A985="","",INDEX(JupData!$A$2:$K$10000,MATCH($A985&amp;Y$1,JupData!$A$2:$A$10000&amp;JupData!$J$2:$J$10000,0),11))</f>
        <v/>
      </c>
      <c r="Z985" t="str">
        <f t="array" ref="Z985">IF($A985="","",INDEX(JupData!$A$2:$K$10000,MATCH($A985&amp;Z$1,JupData!$A$2:$A$10000&amp;JupData!$J$2:$J$10000,0),11))</f>
        <v/>
      </c>
      <c r="AA985" t="str">
        <f t="array" ref="AA985">IF($A985="","",INDEX(JupData!$A$2:$K$10000,MATCH($A985&amp;AA$1,JupData!$A$2:$A$10000&amp;JupData!$J$2:$J$10000,0),11))</f>
        <v/>
      </c>
      <c r="AB985" t="str">
        <f t="array" ref="AB985">IF($A985="","",INDEX(JupData!$A$2:$K$10000,MATCH($A985&amp;AB$1,JupData!$A$2:$A$10000&amp;JupData!$J$2:$J$10000,0),11))</f>
        <v/>
      </c>
      <c r="AC985" s="10" t="str">
        <f t="shared" si="165"/>
        <v/>
      </c>
      <c r="AD985" s="10" t="str">
        <f t="shared" si="166"/>
        <v/>
      </c>
      <c r="AE985" s="9" t="str">
        <f t="shared" si="167"/>
        <v/>
      </c>
      <c r="AF985" s="10" t="str">
        <f t="shared" si="168"/>
        <v/>
      </c>
      <c r="AG985" s="10" t="str">
        <f t="shared" si="169"/>
        <v/>
      </c>
      <c r="AH985" s="10" t="str">
        <f t="shared" si="175"/>
        <v/>
      </c>
      <c r="AI985" s="10" t="str">
        <f t="shared" si="170"/>
        <v/>
      </c>
      <c r="AJ985" s="10" t="str">
        <f t="shared" si="171"/>
        <v/>
      </c>
      <c r="AK985" s="10" t="str">
        <f t="shared" si="172"/>
        <v/>
      </c>
      <c r="AL985" s="14" t="str">
        <f t="shared" si="173"/>
        <v/>
      </c>
    </row>
    <row r="986" spans="1:38" x14ac:dyDescent="0.2">
      <c r="A986"/>
      <c r="B986" t="str">
        <f>IF($A986="","",VLOOKUP($A986,JupData!$A$2:$I$10000,4,FALSE))</f>
        <v/>
      </c>
      <c r="C986" s="7" t="str">
        <f>IF($A986="",IF(N(D986),0,""),VLOOKUP($A986,JupData!$A$2:$I$10000,7,FALSE))</f>
        <v/>
      </c>
      <c r="D986" t="str">
        <f t="shared" si="174"/>
        <v/>
      </c>
      <c r="E986" t="str">
        <f t="array" ref="E986">IF($A986="","",INDEX(JupData!$A$2:$K$10000,MATCH($A986&amp;E$1,JupData!$A$2:$A$10000&amp;JupData!$J$2:$J$10000,0),11))</f>
        <v/>
      </c>
      <c r="F986" t="str">
        <f t="array" ref="F986">IF($A986="","",INDEX(JupData!$A$2:$K$10000,MATCH($A986&amp;F$1,JupData!$A$2:$A$10000&amp;JupData!$J$2:$J$10000,0),11))</f>
        <v/>
      </c>
      <c r="G986" t="str">
        <f t="array" ref="G986">IF($A986="","",INDEX(JupData!$A$2:$K$10000,MATCH($A986&amp;G$1,JupData!$A$2:$A$10000&amp;JupData!$J$2:$J$10000,0),11))</f>
        <v/>
      </c>
      <c r="H986" t="str">
        <f t="array" ref="H986">IF($A986="","",INDEX(JupData!$A$2:$K$10000,MATCH($A986&amp;H$1,JupData!$A$2:$A$10000&amp;JupData!$J$2:$J$10000,0),11))</f>
        <v/>
      </c>
      <c r="I986" t="str">
        <f t="array" ref="I986">IF($A986="","",INDEX(JupData!$A$2:$K$10000,MATCH($A986&amp;I$1,JupData!$A$2:$A$10000&amp;JupData!$J$2:$J$10000,0),11))</f>
        <v/>
      </c>
      <c r="J986" t="str">
        <f t="array" ref="J986">IF($A986="","",INDEX(JupData!$A$2:$K$10000,MATCH($A986&amp;J$1,JupData!$A$2:$A$10000&amp;JupData!$J$2:$J$10000,0),11))</f>
        <v/>
      </c>
      <c r="K986" t="str">
        <f t="array" ref="K986">IF($A986="","",INDEX(JupData!$A$2:$K$10000,MATCH($A986&amp;K$1,JupData!$A$2:$A$10000&amp;JupData!$J$2:$J$10000,0),11))</f>
        <v/>
      </c>
      <c r="L986" t="str">
        <f t="array" ref="L986">IF($A986="","",INDEX(JupData!$A$2:$K$10000,MATCH($A986&amp;L$1,JupData!$A$2:$A$10000&amp;JupData!$J$2:$J$10000,0),11))</f>
        <v/>
      </c>
      <c r="M986" t="str">
        <f t="array" ref="M986">IF($A986="","",INDEX(JupData!$A$2:$K$10000,MATCH($A986&amp;M$1,JupData!$A$2:$A$10000&amp;JupData!$J$2:$J$10000,0),11))</f>
        <v/>
      </c>
      <c r="N986" t="str">
        <f t="array" ref="N986">IF($A986="","",INDEX(JupData!$A$2:$K$10000,MATCH($A986&amp;N$1,JupData!$A$2:$A$10000&amp;JupData!$J$2:$J$10000,0),11))</f>
        <v/>
      </c>
      <c r="O986" t="str">
        <f t="array" ref="O986">IF($A986="","",INDEX(JupData!$A$2:$K$10000,MATCH($A986&amp;O$1,JupData!$A$2:$A$10000&amp;JupData!$J$2:$J$10000,0),11))</f>
        <v/>
      </c>
      <c r="P986" t="str">
        <f t="array" ref="P986">IF($A986="","",INDEX(JupData!$A$2:$K$10000,MATCH($A986&amp;P$1,JupData!$A$2:$A$10000&amp;JupData!$J$2:$J$10000,0),11))</f>
        <v/>
      </c>
      <c r="Q986" t="str">
        <f t="array" ref="Q986">IF($A986="","",INDEX(JupData!$A$2:$K$10000,MATCH($A986&amp;Q$1,JupData!$A$2:$A$10000&amp;JupData!$J$2:$J$10000,0),11))</f>
        <v/>
      </c>
      <c r="R986" t="str">
        <f t="array" ref="R986">IF($A986="","",INDEX(JupData!$A$2:$K$10000,MATCH($A986&amp;R$1,JupData!$A$2:$A$10000&amp;JupData!$J$2:$J$10000,0),11))</f>
        <v/>
      </c>
      <c r="S986" t="str">
        <f t="array" ref="S986">IF($A986="","",INDEX(JupData!$A$2:$K$10000,MATCH($A986&amp;S$1,JupData!$A$2:$A$10000&amp;JupData!$J$2:$J$10000,0),11))</f>
        <v/>
      </c>
      <c r="T986" t="str">
        <f t="array" ref="T986">IF($A986="","",INDEX(JupData!$A$2:$K$10000,MATCH($A986&amp;T$1,JupData!$A$2:$A$10000&amp;JupData!$J$2:$J$10000,0),11))</f>
        <v/>
      </c>
      <c r="U986" t="str">
        <f t="array" ref="U986">IF($A986="","",INDEX(JupData!$A$2:$K$10000,MATCH($A986&amp;U$1,JupData!$A$2:$A$10000&amp;JupData!$J$2:$J$10000,0),11))</f>
        <v/>
      </c>
      <c r="V986" t="str">
        <f t="array" ref="V986">IF($A986="","",INDEX(JupData!$A$2:$K$10000,MATCH($A986&amp;V$1,JupData!$A$2:$A$10000&amp;JupData!$J$2:$J$10000,0),11))</f>
        <v/>
      </c>
      <c r="W986" t="str">
        <f t="array" ref="W986">IF($A986="","",INDEX(JupData!$A$2:$K$10000,MATCH($A986&amp;W$1,JupData!$A$2:$A$10000&amp;JupData!$J$2:$J$10000,0),11))</f>
        <v/>
      </c>
      <c r="X986" t="str">
        <f t="array" ref="X986">IF($A986="","",INDEX(JupData!$A$2:$K$10000,MATCH($A986&amp;X$1,JupData!$A$2:$A$10000&amp;JupData!$J$2:$J$10000,0),11))</f>
        <v/>
      </c>
      <c r="Y986" t="str">
        <f t="array" ref="Y986">IF($A986="","",INDEX(JupData!$A$2:$K$10000,MATCH($A986&amp;Y$1,JupData!$A$2:$A$10000&amp;JupData!$J$2:$J$10000,0),11))</f>
        <v/>
      </c>
      <c r="Z986" t="str">
        <f t="array" ref="Z986">IF($A986="","",INDEX(JupData!$A$2:$K$10000,MATCH($A986&amp;Z$1,JupData!$A$2:$A$10000&amp;JupData!$J$2:$J$10000,0),11))</f>
        <v/>
      </c>
      <c r="AA986" t="str">
        <f t="array" ref="AA986">IF($A986="","",INDEX(JupData!$A$2:$K$10000,MATCH($A986&amp;AA$1,JupData!$A$2:$A$10000&amp;JupData!$J$2:$J$10000,0),11))</f>
        <v/>
      </c>
      <c r="AB986" t="str">
        <f t="array" ref="AB986">IF($A986="","",INDEX(JupData!$A$2:$K$10000,MATCH($A986&amp;AB$1,JupData!$A$2:$A$10000&amp;JupData!$J$2:$J$10000,0),11))</f>
        <v/>
      </c>
      <c r="AC986" s="10" t="str">
        <f t="shared" si="165"/>
        <v/>
      </c>
      <c r="AD986" s="10" t="str">
        <f t="shared" si="166"/>
        <v/>
      </c>
      <c r="AE986" s="9" t="str">
        <f t="shared" si="167"/>
        <v/>
      </c>
      <c r="AF986" s="10" t="str">
        <f t="shared" si="168"/>
        <v/>
      </c>
      <c r="AG986" s="10" t="str">
        <f t="shared" si="169"/>
        <v/>
      </c>
      <c r="AH986" s="10" t="str">
        <f t="shared" si="175"/>
        <v/>
      </c>
      <c r="AI986" s="10" t="str">
        <f t="shared" si="170"/>
        <v/>
      </c>
      <c r="AJ986" s="10" t="str">
        <f t="shared" si="171"/>
        <v/>
      </c>
      <c r="AK986" s="10" t="str">
        <f t="shared" si="172"/>
        <v/>
      </c>
      <c r="AL986" s="14" t="str">
        <f t="shared" si="173"/>
        <v/>
      </c>
    </row>
    <row r="987" spans="1:38" x14ac:dyDescent="0.2">
      <c r="A987"/>
      <c r="B987" t="str">
        <f>IF($A987="","",VLOOKUP($A987,JupData!$A$2:$I$10000,4,FALSE))</f>
        <v/>
      </c>
      <c r="C987" s="7" t="str">
        <f>IF($A987="",IF(N(D987),0,""),VLOOKUP($A987,JupData!$A$2:$I$10000,7,FALSE))</f>
        <v/>
      </c>
      <c r="D987" t="str">
        <f t="shared" si="174"/>
        <v/>
      </c>
      <c r="E987" t="str">
        <f t="array" ref="E987">IF($A987="","",INDEX(JupData!$A$2:$K$10000,MATCH($A987&amp;E$1,JupData!$A$2:$A$10000&amp;JupData!$J$2:$J$10000,0),11))</f>
        <v/>
      </c>
      <c r="F987" t="str">
        <f t="array" ref="F987">IF($A987="","",INDEX(JupData!$A$2:$K$10000,MATCH($A987&amp;F$1,JupData!$A$2:$A$10000&amp;JupData!$J$2:$J$10000,0),11))</f>
        <v/>
      </c>
      <c r="G987" t="str">
        <f t="array" ref="G987">IF($A987="","",INDEX(JupData!$A$2:$K$10000,MATCH($A987&amp;G$1,JupData!$A$2:$A$10000&amp;JupData!$J$2:$J$10000,0),11))</f>
        <v/>
      </c>
      <c r="H987" t="str">
        <f t="array" ref="H987">IF($A987="","",INDEX(JupData!$A$2:$K$10000,MATCH($A987&amp;H$1,JupData!$A$2:$A$10000&amp;JupData!$J$2:$J$10000,0),11))</f>
        <v/>
      </c>
      <c r="I987" t="str">
        <f t="array" ref="I987">IF($A987="","",INDEX(JupData!$A$2:$K$10000,MATCH($A987&amp;I$1,JupData!$A$2:$A$10000&amp;JupData!$J$2:$J$10000,0),11))</f>
        <v/>
      </c>
      <c r="J987" t="str">
        <f t="array" ref="J987">IF($A987="","",INDEX(JupData!$A$2:$K$10000,MATCH($A987&amp;J$1,JupData!$A$2:$A$10000&amp;JupData!$J$2:$J$10000,0),11))</f>
        <v/>
      </c>
      <c r="K987" t="str">
        <f t="array" ref="K987">IF($A987="","",INDEX(JupData!$A$2:$K$10000,MATCH($A987&amp;K$1,JupData!$A$2:$A$10000&amp;JupData!$J$2:$J$10000,0),11))</f>
        <v/>
      </c>
      <c r="L987" t="str">
        <f t="array" ref="L987">IF($A987="","",INDEX(JupData!$A$2:$K$10000,MATCH($A987&amp;L$1,JupData!$A$2:$A$10000&amp;JupData!$J$2:$J$10000,0),11))</f>
        <v/>
      </c>
      <c r="M987" t="str">
        <f t="array" ref="M987">IF($A987="","",INDEX(JupData!$A$2:$K$10000,MATCH($A987&amp;M$1,JupData!$A$2:$A$10000&amp;JupData!$J$2:$J$10000,0),11))</f>
        <v/>
      </c>
      <c r="N987" t="str">
        <f t="array" ref="N987">IF($A987="","",INDEX(JupData!$A$2:$K$10000,MATCH($A987&amp;N$1,JupData!$A$2:$A$10000&amp;JupData!$J$2:$J$10000,0),11))</f>
        <v/>
      </c>
      <c r="O987" t="str">
        <f t="array" ref="O987">IF($A987="","",INDEX(JupData!$A$2:$K$10000,MATCH($A987&amp;O$1,JupData!$A$2:$A$10000&amp;JupData!$J$2:$J$10000,0),11))</f>
        <v/>
      </c>
      <c r="P987" t="str">
        <f t="array" ref="P987">IF($A987="","",INDEX(JupData!$A$2:$K$10000,MATCH($A987&amp;P$1,JupData!$A$2:$A$10000&amp;JupData!$J$2:$J$10000,0),11))</f>
        <v/>
      </c>
      <c r="Q987" t="str">
        <f t="array" ref="Q987">IF($A987="","",INDEX(JupData!$A$2:$K$10000,MATCH($A987&amp;Q$1,JupData!$A$2:$A$10000&amp;JupData!$J$2:$J$10000,0),11))</f>
        <v/>
      </c>
      <c r="R987" t="str">
        <f t="array" ref="R987">IF($A987="","",INDEX(JupData!$A$2:$K$10000,MATCH($A987&amp;R$1,JupData!$A$2:$A$10000&amp;JupData!$J$2:$J$10000,0),11))</f>
        <v/>
      </c>
      <c r="S987" t="str">
        <f t="array" ref="S987">IF($A987="","",INDEX(JupData!$A$2:$K$10000,MATCH($A987&amp;S$1,JupData!$A$2:$A$10000&amp;JupData!$J$2:$J$10000,0),11))</f>
        <v/>
      </c>
      <c r="T987" t="str">
        <f t="array" ref="T987">IF($A987="","",INDEX(JupData!$A$2:$K$10000,MATCH($A987&amp;T$1,JupData!$A$2:$A$10000&amp;JupData!$J$2:$J$10000,0),11))</f>
        <v/>
      </c>
      <c r="U987" t="str">
        <f t="array" ref="U987">IF($A987="","",INDEX(JupData!$A$2:$K$10000,MATCH($A987&amp;U$1,JupData!$A$2:$A$10000&amp;JupData!$J$2:$J$10000,0),11))</f>
        <v/>
      </c>
      <c r="V987" t="str">
        <f t="array" ref="V987">IF($A987="","",INDEX(JupData!$A$2:$K$10000,MATCH($A987&amp;V$1,JupData!$A$2:$A$10000&amp;JupData!$J$2:$J$10000,0),11))</f>
        <v/>
      </c>
      <c r="W987" t="str">
        <f t="array" ref="W987">IF($A987="","",INDEX(JupData!$A$2:$K$10000,MATCH($A987&amp;W$1,JupData!$A$2:$A$10000&amp;JupData!$J$2:$J$10000,0),11))</f>
        <v/>
      </c>
      <c r="X987" t="str">
        <f t="array" ref="X987">IF($A987="","",INDEX(JupData!$A$2:$K$10000,MATCH($A987&amp;X$1,JupData!$A$2:$A$10000&amp;JupData!$J$2:$J$10000,0),11))</f>
        <v/>
      </c>
      <c r="Y987" t="str">
        <f t="array" ref="Y987">IF($A987="","",INDEX(JupData!$A$2:$K$10000,MATCH($A987&amp;Y$1,JupData!$A$2:$A$10000&amp;JupData!$J$2:$J$10000,0),11))</f>
        <v/>
      </c>
      <c r="Z987" t="str">
        <f t="array" ref="Z987">IF($A987="","",INDEX(JupData!$A$2:$K$10000,MATCH($A987&amp;Z$1,JupData!$A$2:$A$10000&amp;JupData!$J$2:$J$10000,0),11))</f>
        <v/>
      </c>
      <c r="AA987" t="str">
        <f t="array" ref="AA987">IF($A987="","",INDEX(JupData!$A$2:$K$10000,MATCH($A987&amp;AA$1,JupData!$A$2:$A$10000&amp;JupData!$J$2:$J$10000,0),11))</f>
        <v/>
      </c>
      <c r="AB987" t="str">
        <f t="array" ref="AB987">IF($A987="","",INDEX(JupData!$A$2:$K$10000,MATCH($A987&amp;AB$1,JupData!$A$2:$A$10000&amp;JupData!$J$2:$J$10000,0),11))</f>
        <v/>
      </c>
      <c r="AC987" s="10" t="str">
        <f t="shared" si="165"/>
        <v/>
      </c>
      <c r="AD987" s="10" t="str">
        <f t="shared" si="166"/>
        <v/>
      </c>
      <c r="AE987" s="9" t="str">
        <f t="shared" si="167"/>
        <v/>
      </c>
      <c r="AF987" s="10" t="str">
        <f t="shared" si="168"/>
        <v/>
      </c>
      <c r="AG987" s="10" t="str">
        <f t="shared" si="169"/>
        <v/>
      </c>
      <c r="AH987" s="10" t="str">
        <f t="shared" si="175"/>
        <v/>
      </c>
      <c r="AI987" s="10" t="str">
        <f t="shared" si="170"/>
        <v/>
      </c>
      <c r="AJ987" s="10" t="str">
        <f t="shared" si="171"/>
        <v/>
      </c>
      <c r="AK987" s="10" t="str">
        <f t="shared" si="172"/>
        <v/>
      </c>
      <c r="AL987" s="14" t="str">
        <f t="shared" si="173"/>
        <v/>
      </c>
    </row>
    <row r="988" spans="1:38" x14ac:dyDescent="0.2">
      <c r="A988"/>
      <c r="B988" t="str">
        <f>IF($A988="","",VLOOKUP($A988,JupData!$A$2:$I$10000,4,FALSE))</f>
        <v/>
      </c>
      <c r="C988" s="7" t="str">
        <f>IF($A988="",IF(N(D988),0,""),VLOOKUP($A988,JupData!$A$2:$I$10000,7,FALSE))</f>
        <v/>
      </c>
      <c r="D988" t="str">
        <f t="shared" si="174"/>
        <v/>
      </c>
      <c r="E988" t="str">
        <f t="array" ref="E988">IF($A988="","",INDEX(JupData!$A$2:$K$10000,MATCH($A988&amp;E$1,JupData!$A$2:$A$10000&amp;JupData!$J$2:$J$10000,0),11))</f>
        <v/>
      </c>
      <c r="F988" t="str">
        <f t="array" ref="F988">IF($A988="","",INDEX(JupData!$A$2:$K$10000,MATCH($A988&amp;F$1,JupData!$A$2:$A$10000&amp;JupData!$J$2:$J$10000,0),11))</f>
        <v/>
      </c>
      <c r="G988" t="str">
        <f t="array" ref="G988">IF($A988="","",INDEX(JupData!$A$2:$K$10000,MATCH($A988&amp;G$1,JupData!$A$2:$A$10000&amp;JupData!$J$2:$J$10000,0),11))</f>
        <v/>
      </c>
      <c r="H988" t="str">
        <f t="array" ref="H988">IF($A988="","",INDEX(JupData!$A$2:$K$10000,MATCH($A988&amp;H$1,JupData!$A$2:$A$10000&amp;JupData!$J$2:$J$10000,0),11))</f>
        <v/>
      </c>
      <c r="I988" t="str">
        <f t="array" ref="I988">IF($A988="","",INDEX(JupData!$A$2:$K$10000,MATCH($A988&amp;I$1,JupData!$A$2:$A$10000&amp;JupData!$J$2:$J$10000,0),11))</f>
        <v/>
      </c>
      <c r="J988" t="str">
        <f t="array" ref="J988">IF($A988="","",INDEX(JupData!$A$2:$K$10000,MATCH($A988&amp;J$1,JupData!$A$2:$A$10000&amp;JupData!$J$2:$J$10000,0),11))</f>
        <v/>
      </c>
      <c r="K988" t="str">
        <f t="array" ref="K988">IF($A988="","",INDEX(JupData!$A$2:$K$10000,MATCH($A988&amp;K$1,JupData!$A$2:$A$10000&amp;JupData!$J$2:$J$10000,0),11))</f>
        <v/>
      </c>
      <c r="L988" t="str">
        <f t="array" ref="L988">IF($A988="","",INDEX(JupData!$A$2:$K$10000,MATCH($A988&amp;L$1,JupData!$A$2:$A$10000&amp;JupData!$J$2:$J$10000,0),11))</f>
        <v/>
      </c>
      <c r="M988" t="str">
        <f t="array" ref="M988">IF($A988="","",INDEX(JupData!$A$2:$K$10000,MATCH($A988&amp;M$1,JupData!$A$2:$A$10000&amp;JupData!$J$2:$J$10000,0),11))</f>
        <v/>
      </c>
      <c r="N988" t="str">
        <f t="array" ref="N988">IF($A988="","",INDEX(JupData!$A$2:$K$10000,MATCH($A988&amp;N$1,JupData!$A$2:$A$10000&amp;JupData!$J$2:$J$10000,0),11))</f>
        <v/>
      </c>
      <c r="O988" t="str">
        <f t="array" ref="O988">IF($A988="","",INDEX(JupData!$A$2:$K$10000,MATCH($A988&amp;O$1,JupData!$A$2:$A$10000&amp;JupData!$J$2:$J$10000,0),11))</f>
        <v/>
      </c>
      <c r="P988" t="str">
        <f t="array" ref="P988">IF($A988="","",INDEX(JupData!$A$2:$K$10000,MATCH($A988&amp;P$1,JupData!$A$2:$A$10000&amp;JupData!$J$2:$J$10000,0),11))</f>
        <v/>
      </c>
      <c r="Q988" t="str">
        <f t="array" ref="Q988">IF($A988="","",INDEX(JupData!$A$2:$K$10000,MATCH($A988&amp;Q$1,JupData!$A$2:$A$10000&amp;JupData!$J$2:$J$10000,0),11))</f>
        <v/>
      </c>
      <c r="R988" t="str">
        <f t="array" ref="R988">IF($A988="","",INDEX(JupData!$A$2:$K$10000,MATCH($A988&amp;R$1,JupData!$A$2:$A$10000&amp;JupData!$J$2:$J$10000,0),11))</f>
        <v/>
      </c>
      <c r="S988" t="str">
        <f t="array" ref="S988">IF($A988="","",INDEX(JupData!$A$2:$K$10000,MATCH($A988&amp;S$1,JupData!$A$2:$A$10000&amp;JupData!$J$2:$J$10000,0),11))</f>
        <v/>
      </c>
      <c r="T988" t="str">
        <f t="array" ref="T988">IF($A988="","",INDEX(JupData!$A$2:$K$10000,MATCH($A988&amp;T$1,JupData!$A$2:$A$10000&amp;JupData!$J$2:$J$10000,0),11))</f>
        <v/>
      </c>
      <c r="U988" t="str">
        <f t="array" ref="U988">IF($A988="","",INDEX(JupData!$A$2:$K$10000,MATCH($A988&amp;U$1,JupData!$A$2:$A$10000&amp;JupData!$J$2:$J$10000,0),11))</f>
        <v/>
      </c>
      <c r="V988" t="str">
        <f t="array" ref="V988">IF($A988="","",INDEX(JupData!$A$2:$K$10000,MATCH($A988&amp;V$1,JupData!$A$2:$A$10000&amp;JupData!$J$2:$J$10000,0),11))</f>
        <v/>
      </c>
      <c r="W988" t="str">
        <f t="array" ref="W988">IF($A988="","",INDEX(JupData!$A$2:$K$10000,MATCH($A988&amp;W$1,JupData!$A$2:$A$10000&amp;JupData!$J$2:$J$10000,0),11))</f>
        <v/>
      </c>
      <c r="X988" t="str">
        <f t="array" ref="X988">IF($A988="","",INDEX(JupData!$A$2:$K$10000,MATCH($A988&amp;X$1,JupData!$A$2:$A$10000&amp;JupData!$J$2:$J$10000,0),11))</f>
        <v/>
      </c>
      <c r="Y988" t="str">
        <f t="array" ref="Y988">IF($A988="","",INDEX(JupData!$A$2:$K$10000,MATCH($A988&amp;Y$1,JupData!$A$2:$A$10000&amp;JupData!$J$2:$J$10000,0),11))</f>
        <v/>
      </c>
      <c r="Z988" t="str">
        <f t="array" ref="Z988">IF($A988="","",INDEX(JupData!$A$2:$K$10000,MATCH($A988&amp;Z$1,JupData!$A$2:$A$10000&amp;JupData!$J$2:$J$10000,0),11))</f>
        <v/>
      </c>
      <c r="AA988" t="str">
        <f t="array" ref="AA988">IF($A988="","",INDEX(JupData!$A$2:$K$10000,MATCH($A988&amp;AA$1,JupData!$A$2:$A$10000&amp;JupData!$J$2:$J$10000,0),11))</f>
        <v/>
      </c>
      <c r="AB988" t="str">
        <f t="array" ref="AB988">IF($A988="","",INDEX(JupData!$A$2:$K$10000,MATCH($A988&amp;AB$1,JupData!$A$2:$A$10000&amp;JupData!$J$2:$J$10000,0),11))</f>
        <v/>
      </c>
      <c r="AC988" s="10" t="str">
        <f t="shared" si="165"/>
        <v/>
      </c>
      <c r="AD988" s="10" t="str">
        <f t="shared" si="166"/>
        <v/>
      </c>
      <c r="AE988" s="9" t="str">
        <f t="shared" si="167"/>
        <v/>
      </c>
      <c r="AF988" s="10" t="str">
        <f t="shared" si="168"/>
        <v/>
      </c>
      <c r="AG988" s="10" t="str">
        <f t="shared" si="169"/>
        <v/>
      </c>
      <c r="AH988" s="10" t="str">
        <f t="shared" si="175"/>
        <v/>
      </c>
      <c r="AI988" s="10" t="str">
        <f t="shared" si="170"/>
        <v/>
      </c>
      <c r="AJ988" s="10" t="str">
        <f t="shared" si="171"/>
        <v/>
      </c>
      <c r="AK988" s="10" t="str">
        <f t="shared" si="172"/>
        <v/>
      </c>
      <c r="AL988" s="14" t="str">
        <f t="shared" si="173"/>
        <v/>
      </c>
    </row>
    <row r="989" spans="1:38" x14ac:dyDescent="0.2">
      <c r="A989"/>
      <c r="B989" t="str">
        <f>IF($A989="","",VLOOKUP($A989,JupData!$A$2:$I$10000,4,FALSE))</f>
        <v/>
      </c>
      <c r="C989" s="7" t="str">
        <f>IF($A989="",IF(N(D989),0,""),VLOOKUP($A989,JupData!$A$2:$I$10000,7,FALSE))</f>
        <v/>
      </c>
      <c r="D989" t="str">
        <f t="shared" si="174"/>
        <v/>
      </c>
      <c r="E989" t="str">
        <f t="array" ref="E989">IF($A989="","",INDEX(JupData!$A$2:$K$10000,MATCH($A989&amp;E$1,JupData!$A$2:$A$10000&amp;JupData!$J$2:$J$10000,0),11))</f>
        <v/>
      </c>
      <c r="F989" t="str">
        <f t="array" ref="F989">IF($A989="","",INDEX(JupData!$A$2:$K$10000,MATCH($A989&amp;F$1,JupData!$A$2:$A$10000&amp;JupData!$J$2:$J$10000,0),11))</f>
        <v/>
      </c>
      <c r="G989" t="str">
        <f t="array" ref="G989">IF($A989="","",INDEX(JupData!$A$2:$K$10000,MATCH($A989&amp;G$1,JupData!$A$2:$A$10000&amp;JupData!$J$2:$J$10000,0),11))</f>
        <v/>
      </c>
      <c r="H989" t="str">
        <f t="array" ref="H989">IF($A989="","",INDEX(JupData!$A$2:$K$10000,MATCH($A989&amp;H$1,JupData!$A$2:$A$10000&amp;JupData!$J$2:$J$10000,0),11))</f>
        <v/>
      </c>
      <c r="I989" t="str">
        <f t="array" ref="I989">IF($A989="","",INDEX(JupData!$A$2:$K$10000,MATCH($A989&amp;I$1,JupData!$A$2:$A$10000&amp;JupData!$J$2:$J$10000,0),11))</f>
        <v/>
      </c>
      <c r="J989" t="str">
        <f t="array" ref="J989">IF($A989="","",INDEX(JupData!$A$2:$K$10000,MATCH($A989&amp;J$1,JupData!$A$2:$A$10000&amp;JupData!$J$2:$J$10000,0),11))</f>
        <v/>
      </c>
      <c r="K989" t="str">
        <f t="array" ref="K989">IF($A989="","",INDEX(JupData!$A$2:$K$10000,MATCH($A989&amp;K$1,JupData!$A$2:$A$10000&amp;JupData!$J$2:$J$10000,0),11))</f>
        <v/>
      </c>
      <c r="L989" t="str">
        <f t="array" ref="L989">IF($A989="","",INDEX(JupData!$A$2:$K$10000,MATCH($A989&amp;L$1,JupData!$A$2:$A$10000&amp;JupData!$J$2:$J$10000,0),11))</f>
        <v/>
      </c>
      <c r="M989" t="str">
        <f t="array" ref="M989">IF($A989="","",INDEX(JupData!$A$2:$K$10000,MATCH($A989&amp;M$1,JupData!$A$2:$A$10000&amp;JupData!$J$2:$J$10000,0),11))</f>
        <v/>
      </c>
      <c r="N989" t="str">
        <f t="array" ref="N989">IF($A989="","",INDEX(JupData!$A$2:$K$10000,MATCH($A989&amp;N$1,JupData!$A$2:$A$10000&amp;JupData!$J$2:$J$10000,0),11))</f>
        <v/>
      </c>
      <c r="O989" t="str">
        <f t="array" ref="O989">IF($A989="","",INDEX(JupData!$A$2:$K$10000,MATCH($A989&amp;O$1,JupData!$A$2:$A$10000&amp;JupData!$J$2:$J$10000,0),11))</f>
        <v/>
      </c>
      <c r="P989" t="str">
        <f t="array" ref="P989">IF($A989="","",INDEX(JupData!$A$2:$K$10000,MATCH($A989&amp;P$1,JupData!$A$2:$A$10000&amp;JupData!$J$2:$J$10000,0),11))</f>
        <v/>
      </c>
      <c r="Q989" t="str">
        <f t="array" ref="Q989">IF($A989="","",INDEX(JupData!$A$2:$K$10000,MATCH($A989&amp;Q$1,JupData!$A$2:$A$10000&amp;JupData!$J$2:$J$10000,0),11))</f>
        <v/>
      </c>
      <c r="R989" t="str">
        <f t="array" ref="R989">IF($A989="","",INDEX(JupData!$A$2:$K$10000,MATCH($A989&amp;R$1,JupData!$A$2:$A$10000&amp;JupData!$J$2:$J$10000,0),11))</f>
        <v/>
      </c>
      <c r="S989" t="str">
        <f t="array" ref="S989">IF($A989="","",INDEX(JupData!$A$2:$K$10000,MATCH($A989&amp;S$1,JupData!$A$2:$A$10000&amp;JupData!$J$2:$J$10000,0),11))</f>
        <v/>
      </c>
      <c r="T989" t="str">
        <f t="array" ref="T989">IF($A989="","",INDEX(JupData!$A$2:$K$10000,MATCH($A989&amp;T$1,JupData!$A$2:$A$10000&amp;JupData!$J$2:$J$10000,0),11))</f>
        <v/>
      </c>
      <c r="U989" t="str">
        <f t="array" ref="U989">IF($A989="","",INDEX(JupData!$A$2:$K$10000,MATCH($A989&amp;U$1,JupData!$A$2:$A$10000&amp;JupData!$J$2:$J$10000,0),11))</f>
        <v/>
      </c>
      <c r="V989" t="str">
        <f t="array" ref="V989">IF($A989="","",INDEX(JupData!$A$2:$K$10000,MATCH($A989&amp;V$1,JupData!$A$2:$A$10000&amp;JupData!$J$2:$J$10000,0),11))</f>
        <v/>
      </c>
      <c r="W989" t="str">
        <f t="array" ref="W989">IF($A989="","",INDEX(JupData!$A$2:$K$10000,MATCH($A989&amp;W$1,JupData!$A$2:$A$10000&amp;JupData!$J$2:$J$10000,0),11))</f>
        <v/>
      </c>
      <c r="X989" t="str">
        <f t="array" ref="X989">IF($A989="","",INDEX(JupData!$A$2:$K$10000,MATCH($A989&amp;X$1,JupData!$A$2:$A$10000&amp;JupData!$J$2:$J$10000,0),11))</f>
        <v/>
      </c>
      <c r="Y989" t="str">
        <f t="array" ref="Y989">IF($A989="","",INDEX(JupData!$A$2:$K$10000,MATCH($A989&amp;Y$1,JupData!$A$2:$A$10000&amp;JupData!$J$2:$J$10000,0),11))</f>
        <v/>
      </c>
      <c r="Z989" t="str">
        <f t="array" ref="Z989">IF($A989="","",INDEX(JupData!$A$2:$K$10000,MATCH($A989&amp;Z$1,JupData!$A$2:$A$10000&amp;JupData!$J$2:$J$10000,0),11))</f>
        <v/>
      </c>
      <c r="AA989" t="str">
        <f t="array" ref="AA989">IF($A989="","",INDEX(JupData!$A$2:$K$10000,MATCH($A989&amp;AA$1,JupData!$A$2:$A$10000&amp;JupData!$J$2:$J$10000,0),11))</f>
        <v/>
      </c>
      <c r="AB989" t="str">
        <f t="array" ref="AB989">IF($A989="","",INDEX(JupData!$A$2:$K$10000,MATCH($A989&amp;AB$1,JupData!$A$2:$A$10000&amp;JupData!$J$2:$J$10000,0),11))</f>
        <v/>
      </c>
      <c r="AC989" s="10" t="str">
        <f t="shared" si="165"/>
        <v/>
      </c>
      <c r="AD989" s="10" t="str">
        <f t="shared" si="166"/>
        <v/>
      </c>
      <c r="AE989" s="9" t="str">
        <f t="shared" si="167"/>
        <v/>
      </c>
      <c r="AF989" s="10" t="str">
        <f t="shared" si="168"/>
        <v/>
      </c>
      <c r="AG989" s="10" t="str">
        <f t="shared" si="169"/>
        <v/>
      </c>
      <c r="AH989" s="10" t="str">
        <f t="shared" si="175"/>
        <v/>
      </c>
      <c r="AI989" s="10" t="str">
        <f t="shared" si="170"/>
        <v/>
      </c>
      <c r="AJ989" s="10" t="str">
        <f t="shared" si="171"/>
        <v/>
      </c>
      <c r="AK989" s="10" t="str">
        <f t="shared" si="172"/>
        <v/>
      </c>
      <c r="AL989" s="14" t="str">
        <f t="shared" si="173"/>
        <v/>
      </c>
    </row>
    <row r="990" spans="1:38" x14ac:dyDescent="0.2">
      <c r="A990"/>
      <c r="B990" t="str">
        <f>IF($A990="","",VLOOKUP($A990,JupData!$A$2:$I$10000,4,FALSE))</f>
        <v/>
      </c>
      <c r="C990" s="7" t="str">
        <f>IF($A990="",IF(N(D990),0,""),VLOOKUP($A990,JupData!$A$2:$I$10000,7,FALSE))</f>
        <v/>
      </c>
      <c r="D990" t="str">
        <f t="shared" si="174"/>
        <v/>
      </c>
      <c r="E990" t="str">
        <f t="array" ref="E990">IF($A990="","",INDEX(JupData!$A$2:$K$10000,MATCH($A990&amp;E$1,JupData!$A$2:$A$10000&amp;JupData!$J$2:$J$10000,0),11))</f>
        <v/>
      </c>
      <c r="F990" t="str">
        <f t="array" ref="F990">IF($A990="","",INDEX(JupData!$A$2:$K$10000,MATCH($A990&amp;F$1,JupData!$A$2:$A$10000&amp;JupData!$J$2:$J$10000,0),11))</f>
        <v/>
      </c>
      <c r="G990" t="str">
        <f t="array" ref="G990">IF($A990="","",INDEX(JupData!$A$2:$K$10000,MATCH($A990&amp;G$1,JupData!$A$2:$A$10000&amp;JupData!$J$2:$J$10000,0),11))</f>
        <v/>
      </c>
      <c r="H990" t="str">
        <f t="array" ref="H990">IF($A990="","",INDEX(JupData!$A$2:$K$10000,MATCH($A990&amp;H$1,JupData!$A$2:$A$10000&amp;JupData!$J$2:$J$10000,0),11))</f>
        <v/>
      </c>
      <c r="I990" t="str">
        <f t="array" ref="I990">IF($A990="","",INDEX(JupData!$A$2:$K$10000,MATCH($A990&amp;I$1,JupData!$A$2:$A$10000&amp;JupData!$J$2:$J$10000,0),11))</f>
        <v/>
      </c>
      <c r="J990" t="str">
        <f t="array" ref="J990">IF($A990="","",INDEX(JupData!$A$2:$K$10000,MATCH($A990&amp;J$1,JupData!$A$2:$A$10000&amp;JupData!$J$2:$J$10000,0),11))</f>
        <v/>
      </c>
      <c r="K990" t="str">
        <f t="array" ref="K990">IF($A990="","",INDEX(JupData!$A$2:$K$10000,MATCH($A990&amp;K$1,JupData!$A$2:$A$10000&amp;JupData!$J$2:$J$10000,0),11))</f>
        <v/>
      </c>
      <c r="L990" t="str">
        <f t="array" ref="L990">IF($A990="","",INDEX(JupData!$A$2:$K$10000,MATCH($A990&amp;L$1,JupData!$A$2:$A$10000&amp;JupData!$J$2:$J$10000,0),11))</f>
        <v/>
      </c>
      <c r="M990" t="str">
        <f t="array" ref="M990">IF($A990="","",INDEX(JupData!$A$2:$K$10000,MATCH($A990&amp;M$1,JupData!$A$2:$A$10000&amp;JupData!$J$2:$J$10000,0),11))</f>
        <v/>
      </c>
      <c r="N990" t="str">
        <f t="array" ref="N990">IF($A990="","",INDEX(JupData!$A$2:$K$10000,MATCH($A990&amp;N$1,JupData!$A$2:$A$10000&amp;JupData!$J$2:$J$10000,0),11))</f>
        <v/>
      </c>
      <c r="O990" t="str">
        <f t="array" ref="O990">IF($A990="","",INDEX(JupData!$A$2:$K$10000,MATCH($A990&amp;O$1,JupData!$A$2:$A$10000&amp;JupData!$J$2:$J$10000,0),11))</f>
        <v/>
      </c>
      <c r="P990" t="str">
        <f t="array" ref="P990">IF($A990="","",INDEX(JupData!$A$2:$K$10000,MATCH($A990&amp;P$1,JupData!$A$2:$A$10000&amp;JupData!$J$2:$J$10000,0),11))</f>
        <v/>
      </c>
      <c r="Q990" t="str">
        <f t="array" ref="Q990">IF($A990="","",INDEX(JupData!$A$2:$K$10000,MATCH($A990&amp;Q$1,JupData!$A$2:$A$10000&amp;JupData!$J$2:$J$10000,0),11))</f>
        <v/>
      </c>
      <c r="R990" t="str">
        <f t="array" ref="R990">IF($A990="","",INDEX(JupData!$A$2:$K$10000,MATCH($A990&amp;R$1,JupData!$A$2:$A$10000&amp;JupData!$J$2:$J$10000,0),11))</f>
        <v/>
      </c>
      <c r="S990" t="str">
        <f t="array" ref="S990">IF($A990="","",INDEX(JupData!$A$2:$K$10000,MATCH($A990&amp;S$1,JupData!$A$2:$A$10000&amp;JupData!$J$2:$J$10000,0),11))</f>
        <v/>
      </c>
      <c r="T990" t="str">
        <f t="array" ref="T990">IF($A990="","",INDEX(JupData!$A$2:$K$10000,MATCH($A990&amp;T$1,JupData!$A$2:$A$10000&amp;JupData!$J$2:$J$10000,0),11))</f>
        <v/>
      </c>
      <c r="U990" t="str">
        <f t="array" ref="U990">IF($A990="","",INDEX(JupData!$A$2:$K$10000,MATCH($A990&amp;U$1,JupData!$A$2:$A$10000&amp;JupData!$J$2:$J$10000,0),11))</f>
        <v/>
      </c>
      <c r="V990" t="str">
        <f t="array" ref="V990">IF($A990="","",INDEX(JupData!$A$2:$K$10000,MATCH($A990&amp;V$1,JupData!$A$2:$A$10000&amp;JupData!$J$2:$J$10000,0),11))</f>
        <v/>
      </c>
      <c r="W990" t="str">
        <f t="array" ref="W990">IF($A990="","",INDEX(JupData!$A$2:$K$10000,MATCH($A990&amp;W$1,JupData!$A$2:$A$10000&amp;JupData!$J$2:$J$10000,0),11))</f>
        <v/>
      </c>
      <c r="X990" t="str">
        <f t="array" ref="X990">IF($A990="","",INDEX(JupData!$A$2:$K$10000,MATCH($A990&amp;X$1,JupData!$A$2:$A$10000&amp;JupData!$J$2:$J$10000,0),11))</f>
        <v/>
      </c>
      <c r="Y990" t="str">
        <f t="array" ref="Y990">IF($A990="","",INDEX(JupData!$A$2:$K$10000,MATCH($A990&amp;Y$1,JupData!$A$2:$A$10000&amp;JupData!$J$2:$J$10000,0),11))</f>
        <v/>
      </c>
      <c r="Z990" t="str">
        <f t="array" ref="Z990">IF($A990="","",INDEX(JupData!$A$2:$K$10000,MATCH($A990&amp;Z$1,JupData!$A$2:$A$10000&amp;JupData!$J$2:$J$10000,0),11))</f>
        <v/>
      </c>
      <c r="AA990" t="str">
        <f t="array" ref="AA990">IF($A990="","",INDEX(JupData!$A$2:$K$10000,MATCH($A990&amp;AA$1,JupData!$A$2:$A$10000&amp;JupData!$J$2:$J$10000,0),11))</f>
        <v/>
      </c>
      <c r="AB990" t="str">
        <f t="array" ref="AB990">IF($A990="","",INDEX(JupData!$A$2:$K$10000,MATCH($A990&amp;AB$1,JupData!$A$2:$A$10000&amp;JupData!$J$2:$J$10000,0),11))</f>
        <v/>
      </c>
      <c r="AC990" s="10" t="str">
        <f t="shared" si="165"/>
        <v/>
      </c>
      <c r="AD990" s="10" t="str">
        <f t="shared" si="166"/>
        <v/>
      </c>
      <c r="AE990" s="9" t="str">
        <f t="shared" si="167"/>
        <v/>
      </c>
      <c r="AF990" s="10" t="str">
        <f t="shared" si="168"/>
        <v/>
      </c>
      <c r="AG990" s="10" t="str">
        <f t="shared" si="169"/>
        <v/>
      </c>
      <c r="AH990" s="10" t="str">
        <f t="shared" si="175"/>
        <v/>
      </c>
      <c r="AI990" s="10" t="str">
        <f t="shared" si="170"/>
        <v/>
      </c>
      <c r="AJ990" s="10" t="str">
        <f t="shared" si="171"/>
        <v/>
      </c>
      <c r="AK990" s="10" t="str">
        <f t="shared" si="172"/>
        <v/>
      </c>
      <c r="AL990" s="14" t="str">
        <f t="shared" si="173"/>
        <v/>
      </c>
    </row>
    <row r="991" spans="1:38" x14ac:dyDescent="0.2">
      <c r="A991"/>
      <c r="B991" t="str">
        <f>IF($A991="","",VLOOKUP($A991,JupData!$A$2:$I$10000,4,FALSE))</f>
        <v/>
      </c>
      <c r="C991" s="7" t="str">
        <f>IF($A991="",IF(N(D991),0,""),VLOOKUP($A991,JupData!$A$2:$I$10000,7,FALSE))</f>
        <v/>
      </c>
      <c r="D991" t="str">
        <f t="shared" si="174"/>
        <v/>
      </c>
      <c r="E991" t="str">
        <f t="array" ref="E991">IF($A991="","",INDEX(JupData!$A$2:$K$10000,MATCH($A991&amp;E$1,JupData!$A$2:$A$10000&amp;JupData!$J$2:$J$10000,0),11))</f>
        <v/>
      </c>
      <c r="F991" t="str">
        <f t="array" ref="F991">IF($A991="","",INDEX(JupData!$A$2:$K$10000,MATCH($A991&amp;F$1,JupData!$A$2:$A$10000&amp;JupData!$J$2:$J$10000,0),11))</f>
        <v/>
      </c>
      <c r="G991" t="str">
        <f t="array" ref="G991">IF($A991="","",INDEX(JupData!$A$2:$K$10000,MATCH($A991&amp;G$1,JupData!$A$2:$A$10000&amp;JupData!$J$2:$J$10000,0),11))</f>
        <v/>
      </c>
      <c r="H991" t="str">
        <f t="array" ref="H991">IF($A991="","",INDEX(JupData!$A$2:$K$10000,MATCH($A991&amp;H$1,JupData!$A$2:$A$10000&amp;JupData!$J$2:$J$10000,0),11))</f>
        <v/>
      </c>
      <c r="I991" t="str">
        <f t="array" ref="I991">IF($A991="","",INDEX(JupData!$A$2:$K$10000,MATCH($A991&amp;I$1,JupData!$A$2:$A$10000&amp;JupData!$J$2:$J$10000,0),11))</f>
        <v/>
      </c>
      <c r="J991" t="str">
        <f t="array" ref="J991">IF($A991="","",INDEX(JupData!$A$2:$K$10000,MATCH($A991&amp;J$1,JupData!$A$2:$A$10000&amp;JupData!$J$2:$J$10000,0),11))</f>
        <v/>
      </c>
      <c r="K991" t="str">
        <f t="array" ref="K991">IF($A991="","",INDEX(JupData!$A$2:$K$10000,MATCH($A991&amp;K$1,JupData!$A$2:$A$10000&amp;JupData!$J$2:$J$10000,0),11))</f>
        <v/>
      </c>
      <c r="L991" t="str">
        <f t="array" ref="L991">IF($A991="","",INDEX(JupData!$A$2:$K$10000,MATCH($A991&amp;L$1,JupData!$A$2:$A$10000&amp;JupData!$J$2:$J$10000,0),11))</f>
        <v/>
      </c>
      <c r="M991" t="str">
        <f t="array" ref="M991">IF($A991="","",INDEX(JupData!$A$2:$K$10000,MATCH($A991&amp;M$1,JupData!$A$2:$A$10000&amp;JupData!$J$2:$J$10000,0),11))</f>
        <v/>
      </c>
      <c r="N991" t="str">
        <f t="array" ref="N991">IF($A991="","",INDEX(JupData!$A$2:$K$10000,MATCH($A991&amp;N$1,JupData!$A$2:$A$10000&amp;JupData!$J$2:$J$10000,0),11))</f>
        <v/>
      </c>
      <c r="O991" t="str">
        <f t="array" ref="O991">IF($A991="","",INDEX(JupData!$A$2:$K$10000,MATCH($A991&amp;O$1,JupData!$A$2:$A$10000&amp;JupData!$J$2:$J$10000,0),11))</f>
        <v/>
      </c>
      <c r="P991" t="str">
        <f t="array" ref="P991">IF($A991="","",INDEX(JupData!$A$2:$K$10000,MATCH($A991&amp;P$1,JupData!$A$2:$A$10000&amp;JupData!$J$2:$J$10000,0),11))</f>
        <v/>
      </c>
      <c r="Q991" t="str">
        <f t="array" ref="Q991">IF($A991="","",INDEX(JupData!$A$2:$K$10000,MATCH($A991&amp;Q$1,JupData!$A$2:$A$10000&amp;JupData!$J$2:$J$10000,0),11))</f>
        <v/>
      </c>
      <c r="R991" t="str">
        <f t="array" ref="R991">IF($A991="","",INDEX(JupData!$A$2:$K$10000,MATCH($A991&amp;R$1,JupData!$A$2:$A$10000&amp;JupData!$J$2:$J$10000,0),11))</f>
        <v/>
      </c>
      <c r="S991" t="str">
        <f t="array" ref="S991">IF($A991="","",INDEX(JupData!$A$2:$K$10000,MATCH($A991&amp;S$1,JupData!$A$2:$A$10000&amp;JupData!$J$2:$J$10000,0),11))</f>
        <v/>
      </c>
      <c r="T991" t="str">
        <f t="array" ref="T991">IF($A991="","",INDEX(JupData!$A$2:$K$10000,MATCH($A991&amp;T$1,JupData!$A$2:$A$10000&amp;JupData!$J$2:$J$10000,0),11))</f>
        <v/>
      </c>
      <c r="U991" t="str">
        <f t="array" ref="U991">IF($A991="","",INDEX(JupData!$A$2:$K$10000,MATCH($A991&amp;U$1,JupData!$A$2:$A$10000&amp;JupData!$J$2:$J$10000,0),11))</f>
        <v/>
      </c>
      <c r="V991" t="str">
        <f t="array" ref="V991">IF($A991="","",INDEX(JupData!$A$2:$K$10000,MATCH($A991&amp;V$1,JupData!$A$2:$A$10000&amp;JupData!$J$2:$J$10000,0),11))</f>
        <v/>
      </c>
      <c r="W991" t="str">
        <f t="array" ref="W991">IF($A991="","",INDEX(JupData!$A$2:$K$10000,MATCH($A991&amp;W$1,JupData!$A$2:$A$10000&amp;JupData!$J$2:$J$10000,0),11))</f>
        <v/>
      </c>
      <c r="X991" t="str">
        <f t="array" ref="X991">IF($A991="","",INDEX(JupData!$A$2:$K$10000,MATCH($A991&amp;X$1,JupData!$A$2:$A$10000&amp;JupData!$J$2:$J$10000,0),11))</f>
        <v/>
      </c>
      <c r="Y991" t="str">
        <f t="array" ref="Y991">IF($A991="","",INDEX(JupData!$A$2:$K$10000,MATCH($A991&amp;Y$1,JupData!$A$2:$A$10000&amp;JupData!$J$2:$J$10000,0),11))</f>
        <v/>
      </c>
      <c r="Z991" t="str">
        <f t="array" ref="Z991">IF($A991="","",INDEX(JupData!$A$2:$K$10000,MATCH($A991&amp;Z$1,JupData!$A$2:$A$10000&amp;JupData!$J$2:$J$10000,0),11))</f>
        <v/>
      </c>
      <c r="AA991" t="str">
        <f t="array" ref="AA991">IF($A991="","",INDEX(JupData!$A$2:$K$10000,MATCH($A991&amp;AA$1,JupData!$A$2:$A$10000&amp;JupData!$J$2:$J$10000,0),11))</f>
        <v/>
      </c>
      <c r="AB991" t="str">
        <f t="array" ref="AB991">IF($A991="","",INDEX(JupData!$A$2:$K$10000,MATCH($A991&amp;AB$1,JupData!$A$2:$A$10000&amp;JupData!$J$2:$J$10000,0),11))</f>
        <v/>
      </c>
      <c r="AC991" s="10" t="str">
        <f t="shared" si="165"/>
        <v/>
      </c>
      <c r="AD991" s="10" t="str">
        <f t="shared" si="166"/>
        <v/>
      </c>
      <c r="AE991" s="9" t="str">
        <f t="shared" si="167"/>
        <v/>
      </c>
      <c r="AF991" s="10" t="str">
        <f t="shared" si="168"/>
        <v/>
      </c>
      <c r="AG991" s="10" t="str">
        <f t="shared" si="169"/>
        <v/>
      </c>
      <c r="AH991" s="10" t="str">
        <f t="shared" si="175"/>
        <v/>
      </c>
      <c r="AI991" s="10" t="str">
        <f t="shared" si="170"/>
        <v/>
      </c>
      <c r="AJ991" s="10" t="str">
        <f t="shared" si="171"/>
        <v/>
      </c>
      <c r="AK991" s="10" t="str">
        <f t="shared" si="172"/>
        <v/>
      </c>
      <c r="AL991" s="14" t="str">
        <f t="shared" si="173"/>
        <v/>
      </c>
    </row>
    <row r="992" spans="1:38" x14ac:dyDescent="0.2">
      <c r="A992"/>
      <c r="B992" t="str">
        <f>IF($A992="","",VLOOKUP($A992,JupData!$A$2:$I$10000,4,FALSE))</f>
        <v/>
      </c>
      <c r="C992" s="7" t="str">
        <f>IF($A992="",IF(N(D992),0,""),VLOOKUP($A992,JupData!$A$2:$I$10000,7,FALSE))</f>
        <v/>
      </c>
      <c r="D992" t="str">
        <f t="shared" si="174"/>
        <v/>
      </c>
      <c r="E992" t="str">
        <f t="array" ref="E992">IF($A992="","",INDEX(JupData!$A$2:$K$10000,MATCH($A992&amp;E$1,JupData!$A$2:$A$10000&amp;JupData!$J$2:$J$10000,0),11))</f>
        <v/>
      </c>
      <c r="F992" t="str">
        <f t="array" ref="F992">IF($A992="","",INDEX(JupData!$A$2:$K$10000,MATCH($A992&amp;F$1,JupData!$A$2:$A$10000&amp;JupData!$J$2:$J$10000,0),11))</f>
        <v/>
      </c>
      <c r="G992" t="str">
        <f t="array" ref="G992">IF($A992="","",INDEX(JupData!$A$2:$K$10000,MATCH($A992&amp;G$1,JupData!$A$2:$A$10000&amp;JupData!$J$2:$J$10000,0),11))</f>
        <v/>
      </c>
      <c r="H992" t="str">
        <f t="array" ref="H992">IF($A992="","",INDEX(JupData!$A$2:$K$10000,MATCH($A992&amp;H$1,JupData!$A$2:$A$10000&amp;JupData!$J$2:$J$10000,0),11))</f>
        <v/>
      </c>
      <c r="I992" t="str">
        <f t="array" ref="I992">IF($A992="","",INDEX(JupData!$A$2:$K$10000,MATCH($A992&amp;I$1,JupData!$A$2:$A$10000&amp;JupData!$J$2:$J$10000,0),11))</f>
        <v/>
      </c>
      <c r="J992" t="str">
        <f t="array" ref="J992">IF($A992="","",INDEX(JupData!$A$2:$K$10000,MATCH($A992&amp;J$1,JupData!$A$2:$A$10000&amp;JupData!$J$2:$J$10000,0),11))</f>
        <v/>
      </c>
      <c r="K992" t="str">
        <f t="array" ref="K992">IF($A992="","",INDEX(JupData!$A$2:$K$10000,MATCH($A992&amp;K$1,JupData!$A$2:$A$10000&amp;JupData!$J$2:$J$10000,0),11))</f>
        <v/>
      </c>
      <c r="L992" t="str">
        <f t="array" ref="L992">IF($A992="","",INDEX(JupData!$A$2:$K$10000,MATCH($A992&amp;L$1,JupData!$A$2:$A$10000&amp;JupData!$J$2:$J$10000,0),11))</f>
        <v/>
      </c>
      <c r="M992" t="str">
        <f t="array" ref="M992">IF($A992="","",INDEX(JupData!$A$2:$K$10000,MATCH($A992&amp;M$1,JupData!$A$2:$A$10000&amp;JupData!$J$2:$J$10000,0),11))</f>
        <v/>
      </c>
      <c r="N992" t="str">
        <f t="array" ref="N992">IF($A992="","",INDEX(JupData!$A$2:$K$10000,MATCH($A992&amp;N$1,JupData!$A$2:$A$10000&amp;JupData!$J$2:$J$10000,0),11))</f>
        <v/>
      </c>
      <c r="O992" t="str">
        <f t="array" ref="O992">IF($A992="","",INDEX(JupData!$A$2:$K$10000,MATCH($A992&amp;O$1,JupData!$A$2:$A$10000&amp;JupData!$J$2:$J$10000,0),11))</f>
        <v/>
      </c>
      <c r="P992" t="str">
        <f t="array" ref="P992">IF($A992="","",INDEX(JupData!$A$2:$K$10000,MATCH($A992&amp;P$1,JupData!$A$2:$A$10000&amp;JupData!$J$2:$J$10000,0),11))</f>
        <v/>
      </c>
      <c r="Q992" t="str">
        <f t="array" ref="Q992">IF($A992="","",INDEX(JupData!$A$2:$K$10000,MATCH($A992&amp;Q$1,JupData!$A$2:$A$10000&amp;JupData!$J$2:$J$10000,0),11))</f>
        <v/>
      </c>
      <c r="R992" t="str">
        <f t="array" ref="R992">IF($A992="","",INDEX(JupData!$A$2:$K$10000,MATCH($A992&amp;R$1,JupData!$A$2:$A$10000&amp;JupData!$J$2:$J$10000,0),11))</f>
        <v/>
      </c>
      <c r="S992" t="str">
        <f t="array" ref="S992">IF($A992="","",INDEX(JupData!$A$2:$K$10000,MATCH($A992&amp;S$1,JupData!$A$2:$A$10000&amp;JupData!$J$2:$J$10000,0),11))</f>
        <v/>
      </c>
      <c r="T992" t="str">
        <f t="array" ref="T992">IF($A992="","",INDEX(JupData!$A$2:$K$10000,MATCH($A992&amp;T$1,JupData!$A$2:$A$10000&amp;JupData!$J$2:$J$10000,0),11))</f>
        <v/>
      </c>
      <c r="U992" t="str">
        <f t="array" ref="U992">IF($A992="","",INDEX(JupData!$A$2:$K$10000,MATCH($A992&amp;U$1,JupData!$A$2:$A$10000&amp;JupData!$J$2:$J$10000,0),11))</f>
        <v/>
      </c>
      <c r="V992" t="str">
        <f t="array" ref="V992">IF($A992="","",INDEX(JupData!$A$2:$K$10000,MATCH($A992&amp;V$1,JupData!$A$2:$A$10000&amp;JupData!$J$2:$J$10000,0),11))</f>
        <v/>
      </c>
      <c r="W992" t="str">
        <f t="array" ref="W992">IF($A992="","",INDEX(JupData!$A$2:$K$10000,MATCH($A992&amp;W$1,JupData!$A$2:$A$10000&amp;JupData!$J$2:$J$10000,0),11))</f>
        <v/>
      </c>
      <c r="X992" t="str">
        <f t="array" ref="X992">IF($A992="","",INDEX(JupData!$A$2:$K$10000,MATCH($A992&amp;X$1,JupData!$A$2:$A$10000&amp;JupData!$J$2:$J$10000,0),11))</f>
        <v/>
      </c>
      <c r="Y992" t="str">
        <f t="array" ref="Y992">IF($A992="","",INDEX(JupData!$A$2:$K$10000,MATCH($A992&amp;Y$1,JupData!$A$2:$A$10000&amp;JupData!$J$2:$J$10000,0),11))</f>
        <v/>
      </c>
      <c r="Z992" t="str">
        <f t="array" ref="Z992">IF($A992="","",INDEX(JupData!$A$2:$K$10000,MATCH($A992&amp;Z$1,JupData!$A$2:$A$10000&amp;JupData!$J$2:$J$10000,0),11))</f>
        <v/>
      </c>
      <c r="AA992" t="str">
        <f t="array" ref="AA992">IF($A992="","",INDEX(JupData!$A$2:$K$10000,MATCH($A992&amp;AA$1,JupData!$A$2:$A$10000&amp;JupData!$J$2:$J$10000,0),11))</f>
        <v/>
      </c>
      <c r="AB992" t="str">
        <f t="array" ref="AB992">IF($A992="","",INDEX(JupData!$A$2:$K$10000,MATCH($A992&amp;AB$1,JupData!$A$2:$A$10000&amp;JupData!$J$2:$J$10000,0),11))</f>
        <v/>
      </c>
      <c r="AC992" s="10" t="str">
        <f t="shared" si="165"/>
        <v/>
      </c>
      <c r="AD992" s="10" t="str">
        <f t="shared" si="166"/>
        <v/>
      </c>
      <c r="AE992" s="9" t="str">
        <f t="shared" si="167"/>
        <v/>
      </c>
      <c r="AF992" s="10" t="str">
        <f t="shared" si="168"/>
        <v/>
      </c>
      <c r="AG992" s="10" t="str">
        <f t="shared" si="169"/>
        <v/>
      </c>
      <c r="AH992" s="10" t="str">
        <f t="shared" si="175"/>
        <v/>
      </c>
      <c r="AI992" s="10" t="str">
        <f t="shared" si="170"/>
        <v/>
      </c>
      <c r="AJ992" s="10" t="str">
        <f t="shared" si="171"/>
        <v/>
      </c>
      <c r="AK992" s="10" t="str">
        <f t="shared" si="172"/>
        <v/>
      </c>
      <c r="AL992" s="14" t="str">
        <f t="shared" si="173"/>
        <v/>
      </c>
    </row>
    <row r="993" spans="1:38" x14ac:dyDescent="0.2">
      <c r="A993"/>
      <c r="B993" t="str">
        <f>IF($A993="","",VLOOKUP($A993,JupData!$A$2:$I$10000,4,FALSE))</f>
        <v/>
      </c>
      <c r="C993" s="7" t="str">
        <f>IF($A993="",IF(N(D993),0,""),VLOOKUP($A993,JupData!$A$2:$I$10000,7,FALSE))</f>
        <v/>
      </c>
      <c r="D993" t="str">
        <f t="shared" si="174"/>
        <v/>
      </c>
      <c r="E993" t="str">
        <f t="array" ref="E993">IF($A993="","",INDEX(JupData!$A$2:$K$10000,MATCH($A993&amp;E$1,JupData!$A$2:$A$10000&amp;JupData!$J$2:$J$10000,0),11))</f>
        <v/>
      </c>
      <c r="F993" t="str">
        <f t="array" ref="F993">IF($A993="","",INDEX(JupData!$A$2:$K$10000,MATCH($A993&amp;F$1,JupData!$A$2:$A$10000&amp;JupData!$J$2:$J$10000,0),11))</f>
        <v/>
      </c>
      <c r="G993" t="str">
        <f t="array" ref="G993">IF($A993="","",INDEX(JupData!$A$2:$K$10000,MATCH($A993&amp;G$1,JupData!$A$2:$A$10000&amp;JupData!$J$2:$J$10000,0),11))</f>
        <v/>
      </c>
      <c r="H993" t="str">
        <f t="array" ref="H993">IF($A993="","",INDEX(JupData!$A$2:$K$10000,MATCH($A993&amp;H$1,JupData!$A$2:$A$10000&amp;JupData!$J$2:$J$10000,0),11))</f>
        <v/>
      </c>
      <c r="I993" t="str">
        <f t="array" ref="I993">IF($A993="","",INDEX(JupData!$A$2:$K$10000,MATCH($A993&amp;I$1,JupData!$A$2:$A$10000&amp;JupData!$J$2:$J$10000,0),11))</f>
        <v/>
      </c>
      <c r="J993" t="str">
        <f t="array" ref="J993">IF($A993="","",INDEX(JupData!$A$2:$K$10000,MATCH($A993&amp;J$1,JupData!$A$2:$A$10000&amp;JupData!$J$2:$J$10000,0),11))</f>
        <v/>
      </c>
      <c r="K993" t="str">
        <f t="array" ref="K993">IF($A993="","",INDEX(JupData!$A$2:$K$10000,MATCH($A993&amp;K$1,JupData!$A$2:$A$10000&amp;JupData!$J$2:$J$10000,0),11))</f>
        <v/>
      </c>
      <c r="L993" t="str">
        <f t="array" ref="L993">IF($A993="","",INDEX(JupData!$A$2:$K$10000,MATCH($A993&amp;L$1,JupData!$A$2:$A$10000&amp;JupData!$J$2:$J$10000,0),11))</f>
        <v/>
      </c>
      <c r="M993" t="str">
        <f t="array" ref="M993">IF($A993="","",INDEX(JupData!$A$2:$K$10000,MATCH($A993&amp;M$1,JupData!$A$2:$A$10000&amp;JupData!$J$2:$J$10000,0),11))</f>
        <v/>
      </c>
      <c r="N993" t="str">
        <f t="array" ref="N993">IF($A993="","",INDEX(JupData!$A$2:$K$10000,MATCH($A993&amp;N$1,JupData!$A$2:$A$10000&amp;JupData!$J$2:$J$10000,0),11))</f>
        <v/>
      </c>
      <c r="O993" t="str">
        <f t="array" ref="O993">IF($A993="","",INDEX(JupData!$A$2:$K$10000,MATCH($A993&amp;O$1,JupData!$A$2:$A$10000&amp;JupData!$J$2:$J$10000,0),11))</f>
        <v/>
      </c>
      <c r="P993" t="str">
        <f t="array" ref="P993">IF($A993="","",INDEX(JupData!$A$2:$K$10000,MATCH($A993&amp;P$1,JupData!$A$2:$A$10000&amp;JupData!$J$2:$J$10000,0),11))</f>
        <v/>
      </c>
      <c r="Q993" t="str">
        <f t="array" ref="Q993">IF($A993="","",INDEX(JupData!$A$2:$K$10000,MATCH($A993&amp;Q$1,JupData!$A$2:$A$10000&amp;JupData!$J$2:$J$10000,0),11))</f>
        <v/>
      </c>
      <c r="R993" t="str">
        <f t="array" ref="R993">IF($A993="","",INDEX(JupData!$A$2:$K$10000,MATCH($A993&amp;R$1,JupData!$A$2:$A$10000&amp;JupData!$J$2:$J$10000,0),11))</f>
        <v/>
      </c>
      <c r="S993" t="str">
        <f t="array" ref="S993">IF($A993="","",INDEX(JupData!$A$2:$K$10000,MATCH($A993&amp;S$1,JupData!$A$2:$A$10000&amp;JupData!$J$2:$J$10000,0),11))</f>
        <v/>
      </c>
      <c r="T993" t="str">
        <f t="array" ref="T993">IF($A993="","",INDEX(JupData!$A$2:$K$10000,MATCH($A993&amp;T$1,JupData!$A$2:$A$10000&amp;JupData!$J$2:$J$10000,0),11))</f>
        <v/>
      </c>
      <c r="U993" t="str">
        <f t="array" ref="U993">IF($A993="","",INDEX(JupData!$A$2:$K$10000,MATCH($A993&amp;U$1,JupData!$A$2:$A$10000&amp;JupData!$J$2:$J$10000,0),11))</f>
        <v/>
      </c>
      <c r="V993" t="str">
        <f t="array" ref="V993">IF($A993="","",INDEX(JupData!$A$2:$K$10000,MATCH($A993&amp;V$1,JupData!$A$2:$A$10000&amp;JupData!$J$2:$J$10000,0),11))</f>
        <v/>
      </c>
      <c r="W993" t="str">
        <f t="array" ref="W993">IF($A993="","",INDEX(JupData!$A$2:$K$10000,MATCH($A993&amp;W$1,JupData!$A$2:$A$10000&amp;JupData!$J$2:$J$10000,0),11))</f>
        <v/>
      </c>
      <c r="X993" t="str">
        <f t="array" ref="X993">IF($A993="","",INDEX(JupData!$A$2:$K$10000,MATCH($A993&amp;X$1,JupData!$A$2:$A$10000&amp;JupData!$J$2:$J$10000,0),11))</f>
        <v/>
      </c>
      <c r="Y993" t="str">
        <f t="array" ref="Y993">IF($A993="","",INDEX(JupData!$A$2:$K$10000,MATCH($A993&amp;Y$1,JupData!$A$2:$A$10000&amp;JupData!$J$2:$J$10000,0),11))</f>
        <v/>
      </c>
      <c r="Z993" t="str">
        <f t="array" ref="Z993">IF($A993="","",INDEX(JupData!$A$2:$K$10000,MATCH($A993&amp;Z$1,JupData!$A$2:$A$10000&amp;JupData!$J$2:$J$10000,0),11))</f>
        <v/>
      </c>
      <c r="AA993" t="str">
        <f t="array" ref="AA993">IF($A993="","",INDEX(JupData!$A$2:$K$10000,MATCH($A993&amp;AA$1,JupData!$A$2:$A$10000&amp;JupData!$J$2:$J$10000,0),11))</f>
        <v/>
      </c>
      <c r="AB993" t="str">
        <f t="array" ref="AB993">IF($A993="","",INDEX(JupData!$A$2:$K$10000,MATCH($A993&amp;AB$1,JupData!$A$2:$A$10000&amp;JupData!$J$2:$J$10000,0),11))</f>
        <v/>
      </c>
      <c r="AC993" s="10" t="str">
        <f t="shared" si="165"/>
        <v/>
      </c>
      <c r="AD993" s="10" t="str">
        <f t="shared" si="166"/>
        <v/>
      </c>
      <c r="AE993" s="9" t="str">
        <f t="shared" si="167"/>
        <v/>
      </c>
      <c r="AF993" s="10" t="str">
        <f t="shared" si="168"/>
        <v/>
      </c>
      <c r="AG993" s="10" t="str">
        <f t="shared" si="169"/>
        <v/>
      </c>
      <c r="AH993" s="10" t="str">
        <f t="shared" si="175"/>
        <v/>
      </c>
      <c r="AI993" s="10" t="str">
        <f t="shared" si="170"/>
        <v/>
      </c>
      <c r="AJ993" s="10" t="str">
        <f t="shared" si="171"/>
        <v/>
      </c>
      <c r="AK993" s="10" t="str">
        <f t="shared" si="172"/>
        <v/>
      </c>
      <c r="AL993" s="14" t="str">
        <f t="shared" si="173"/>
        <v/>
      </c>
    </row>
    <row r="994" spans="1:38" x14ac:dyDescent="0.2">
      <c r="A994"/>
      <c r="B994" t="str">
        <f>IF($A994="","",VLOOKUP($A994,JupData!$A$2:$I$10000,4,FALSE))</f>
        <v/>
      </c>
      <c r="C994" s="7" t="str">
        <f>IF($A994="",IF(N(D994),0,""),VLOOKUP($A994,JupData!$A$2:$I$10000,7,FALSE))</f>
        <v/>
      </c>
      <c r="D994" t="str">
        <f t="shared" si="174"/>
        <v/>
      </c>
      <c r="E994" t="str">
        <f t="array" ref="E994">IF($A994="","",INDEX(JupData!$A$2:$K$10000,MATCH($A994&amp;E$1,JupData!$A$2:$A$10000&amp;JupData!$J$2:$J$10000,0),11))</f>
        <v/>
      </c>
      <c r="F994" t="str">
        <f t="array" ref="F994">IF($A994="","",INDEX(JupData!$A$2:$K$10000,MATCH($A994&amp;F$1,JupData!$A$2:$A$10000&amp;JupData!$J$2:$J$10000,0),11))</f>
        <v/>
      </c>
      <c r="G994" t="str">
        <f t="array" ref="G994">IF($A994="","",INDEX(JupData!$A$2:$K$10000,MATCH($A994&amp;G$1,JupData!$A$2:$A$10000&amp;JupData!$J$2:$J$10000,0),11))</f>
        <v/>
      </c>
      <c r="H994" t="str">
        <f t="array" ref="H994">IF($A994="","",INDEX(JupData!$A$2:$K$10000,MATCH($A994&amp;H$1,JupData!$A$2:$A$10000&amp;JupData!$J$2:$J$10000,0),11))</f>
        <v/>
      </c>
      <c r="I994" t="str">
        <f t="array" ref="I994">IF($A994="","",INDEX(JupData!$A$2:$K$10000,MATCH($A994&amp;I$1,JupData!$A$2:$A$10000&amp;JupData!$J$2:$J$10000,0),11))</f>
        <v/>
      </c>
      <c r="J994" t="str">
        <f t="array" ref="J994">IF($A994="","",INDEX(JupData!$A$2:$K$10000,MATCH($A994&amp;J$1,JupData!$A$2:$A$10000&amp;JupData!$J$2:$J$10000,0),11))</f>
        <v/>
      </c>
      <c r="K994" t="str">
        <f t="array" ref="K994">IF($A994="","",INDEX(JupData!$A$2:$K$10000,MATCH($A994&amp;K$1,JupData!$A$2:$A$10000&amp;JupData!$J$2:$J$10000,0),11))</f>
        <v/>
      </c>
      <c r="L994" t="str">
        <f t="array" ref="L994">IF($A994="","",INDEX(JupData!$A$2:$K$10000,MATCH($A994&amp;L$1,JupData!$A$2:$A$10000&amp;JupData!$J$2:$J$10000,0),11))</f>
        <v/>
      </c>
      <c r="M994" t="str">
        <f t="array" ref="M994">IF($A994="","",INDEX(JupData!$A$2:$K$10000,MATCH($A994&amp;M$1,JupData!$A$2:$A$10000&amp;JupData!$J$2:$J$10000,0),11))</f>
        <v/>
      </c>
      <c r="N994" t="str">
        <f t="array" ref="N994">IF($A994="","",INDEX(JupData!$A$2:$K$10000,MATCH($A994&amp;N$1,JupData!$A$2:$A$10000&amp;JupData!$J$2:$J$10000,0),11))</f>
        <v/>
      </c>
      <c r="O994" t="str">
        <f t="array" ref="O994">IF($A994="","",INDEX(JupData!$A$2:$K$10000,MATCH($A994&amp;O$1,JupData!$A$2:$A$10000&amp;JupData!$J$2:$J$10000,0),11))</f>
        <v/>
      </c>
      <c r="P994" t="str">
        <f t="array" ref="P994">IF($A994="","",INDEX(JupData!$A$2:$K$10000,MATCH($A994&amp;P$1,JupData!$A$2:$A$10000&amp;JupData!$J$2:$J$10000,0),11))</f>
        <v/>
      </c>
      <c r="Q994" t="str">
        <f t="array" ref="Q994">IF($A994="","",INDEX(JupData!$A$2:$K$10000,MATCH($A994&amp;Q$1,JupData!$A$2:$A$10000&amp;JupData!$J$2:$J$10000,0),11))</f>
        <v/>
      </c>
      <c r="R994" t="str">
        <f t="array" ref="R994">IF($A994="","",INDEX(JupData!$A$2:$K$10000,MATCH($A994&amp;R$1,JupData!$A$2:$A$10000&amp;JupData!$J$2:$J$10000,0),11))</f>
        <v/>
      </c>
      <c r="S994" t="str">
        <f t="array" ref="S994">IF($A994="","",INDEX(JupData!$A$2:$K$10000,MATCH($A994&amp;S$1,JupData!$A$2:$A$10000&amp;JupData!$J$2:$J$10000,0),11))</f>
        <v/>
      </c>
      <c r="T994" t="str">
        <f t="array" ref="T994">IF($A994="","",INDEX(JupData!$A$2:$K$10000,MATCH($A994&amp;T$1,JupData!$A$2:$A$10000&amp;JupData!$J$2:$J$10000,0),11))</f>
        <v/>
      </c>
      <c r="U994" t="str">
        <f t="array" ref="U994">IF($A994="","",INDEX(JupData!$A$2:$K$10000,MATCH($A994&amp;U$1,JupData!$A$2:$A$10000&amp;JupData!$J$2:$J$10000,0),11))</f>
        <v/>
      </c>
      <c r="V994" t="str">
        <f t="array" ref="V994">IF($A994="","",INDEX(JupData!$A$2:$K$10000,MATCH($A994&amp;V$1,JupData!$A$2:$A$10000&amp;JupData!$J$2:$J$10000,0),11))</f>
        <v/>
      </c>
      <c r="W994" t="str">
        <f t="array" ref="W994">IF($A994="","",INDEX(JupData!$A$2:$K$10000,MATCH($A994&amp;W$1,JupData!$A$2:$A$10000&amp;JupData!$J$2:$J$10000,0),11))</f>
        <v/>
      </c>
      <c r="X994" t="str">
        <f t="array" ref="X994">IF($A994="","",INDEX(JupData!$A$2:$K$10000,MATCH($A994&amp;X$1,JupData!$A$2:$A$10000&amp;JupData!$J$2:$J$10000,0),11))</f>
        <v/>
      </c>
      <c r="Y994" t="str">
        <f t="array" ref="Y994">IF($A994="","",INDEX(JupData!$A$2:$K$10000,MATCH($A994&amp;Y$1,JupData!$A$2:$A$10000&amp;JupData!$J$2:$J$10000,0),11))</f>
        <v/>
      </c>
      <c r="Z994" t="str">
        <f t="array" ref="Z994">IF($A994="","",INDEX(JupData!$A$2:$K$10000,MATCH($A994&amp;Z$1,JupData!$A$2:$A$10000&amp;JupData!$J$2:$J$10000,0),11))</f>
        <v/>
      </c>
      <c r="AA994" t="str">
        <f t="array" ref="AA994">IF($A994="","",INDEX(JupData!$A$2:$K$10000,MATCH($A994&amp;AA$1,JupData!$A$2:$A$10000&amp;JupData!$J$2:$J$10000,0),11))</f>
        <v/>
      </c>
      <c r="AB994" t="str">
        <f t="array" ref="AB994">IF($A994="","",INDEX(JupData!$A$2:$K$10000,MATCH($A994&amp;AB$1,JupData!$A$2:$A$10000&amp;JupData!$J$2:$J$10000,0),11))</f>
        <v/>
      </c>
      <c r="AC994" s="10" t="str">
        <f t="shared" si="165"/>
        <v/>
      </c>
      <c r="AD994" s="10" t="str">
        <f t="shared" si="166"/>
        <v/>
      </c>
      <c r="AE994" s="9" t="str">
        <f t="shared" si="167"/>
        <v/>
      </c>
      <c r="AF994" s="10" t="str">
        <f t="shared" si="168"/>
        <v/>
      </c>
      <c r="AG994" s="10" t="str">
        <f t="shared" si="169"/>
        <v/>
      </c>
      <c r="AH994" s="10" t="str">
        <f t="shared" si="175"/>
        <v/>
      </c>
      <c r="AI994" s="10" t="str">
        <f t="shared" si="170"/>
        <v/>
      </c>
      <c r="AJ994" s="10" t="str">
        <f t="shared" si="171"/>
        <v/>
      </c>
      <c r="AK994" s="10" t="str">
        <f t="shared" si="172"/>
        <v/>
      </c>
      <c r="AL994" s="14" t="str">
        <f t="shared" si="173"/>
        <v/>
      </c>
    </row>
    <row r="995" spans="1:38" x14ac:dyDescent="0.2">
      <c r="A995"/>
      <c r="B995" t="str">
        <f>IF($A995="","",VLOOKUP($A995,JupData!$A$2:$I$10000,4,FALSE))</f>
        <v/>
      </c>
      <c r="C995" s="7" t="str">
        <f>IF($A995="",IF(N(D995),0,""),VLOOKUP($A995,JupData!$A$2:$I$10000,7,FALSE))</f>
        <v/>
      </c>
      <c r="D995" t="str">
        <f t="shared" si="174"/>
        <v/>
      </c>
      <c r="E995" t="str">
        <f t="array" ref="E995">IF($A995="","",INDEX(JupData!$A$2:$K$10000,MATCH($A995&amp;E$1,JupData!$A$2:$A$10000&amp;JupData!$J$2:$J$10000,0),11))</f>
        <v/>
      </c>
      <c r="F995" t="str">
        <f t="array" ref="F995">IF($A995="","",INDEX(JupData!$A$2:$K$10000,MATCH($A995&amp;F$1,JupData!$A$2:$A$10000&amp;JupData!$J$2:$J$10000,0),11))</f>
        <v/>
      </c>
      <c r="G995" t="str">
        <f t="array" ref="G995">IF($A995="","",INDEX(JupData!$A$2:$K$10000,MATCH($A995&amp;G$1,JupData!$A$2:$A$10000&amp;JupData!$J$2:$J$10000,0),11))</f>
        <v/>
      </c>
      <c r="H995" t="str">
        <f t="array" ref="H995">IF($A995="","",INDEX(JupData!$A$2:$K$10000,MATCH($A995&amp;H$1,JupData!$A$2:$A$10000&amp;JupData!$J$2:$J$10000,0),11))</f>
        <v/>
      </c>
      <c r="I995" t="str">
        <f t="array" ref="I995">IF($A995="","",INDEX(JupData!$A$2:$K$10000,MATCH($A995&amp;I$1,JupData!$A$2:$A$10000&amp;JupData!$J$2:$J$10000,0),11))</f>
        <v/>
      </c>
      <c r="J995" t="str">
        <f t="array" ref="J995">IF($A995="","",INDEX(JupData!$A$2:$K$10000,MATCH($A995&amp;J$1,JupData!$A$2:$A$10000&amp;JupData!$J$2:$J$10000,0),11))</f>
        <v/>
      </c>
      <c r="K995" t="str">
        <f t="array" ref="K995">IF($A995="","",INDEX(JupData!$A$2:$K$10000,MATCH($A995&amp;K$1,JupData!$A$2:$A$10000&amp;JupData!$J$2:$J$10000,0),11))</f>
        <v/>
      </c>
      <c r="L995" t="str">
        <f t="array" ref="L995">IF($A995="","",INDEX(JupData!$A$2:$K$10000,MATCH($A995&amp;L$1,JupData!$A$2:$A$10000&amp;JupData!$J$2:$J$10000,0),11))</f>
        <v/>
      </c>
      <c r="M995" t="str">
        <f t="array" ref="M995">IF($A995="","",INDEX(JupData!$A$2:$K$10000,MATCH($A995&amp;M$1,JupData!$A$2:$A$10000&amp;JupData!$J$2:$J$10000,0),11))</f>
        <v/>
      </c>
      <c r="N995" t="str">
        <f t="array" ref="N995">IF($A995="","",INDEX(JupData!$A$2:$K$10000,MATCH($A995&amp;N$1,JupData!$A$2:$A$10000&amp;JupData!$J$2:$J$10000,0),11))</f>
        <v/>
      </c>
      <c r="O995" t="str">
        <f t="array" ref="O995">IF($A995="","",INDEX(JupData!$A$2:$K$10000,MATCH($A995&amp;O$1,JupData!$A$2:$A$10000&amp;JupData!$J$2:$J$10000,0),11))</f>
        <v/>
      </c>
      <c r="P995" t="str">
        <f t="array" ref="P995">IF($A995="","",INDEX(JupData!$A$2:$K$10000,MATCH($A995&amp;P$1,JupData!$A$2:$A$10000&amp;JupData!$J$2:$J$10000,0),11))</f>
        <v/>
      </c>
      <c r="Q995" t="str">
        <f t="array" ref="Q995">IF($A995="","",INDEX(JupData!$A$2:$K$10000,MATCH($A995&amp;Q$1,JupData!$A$2:$A$10000&amp;JupData!$J$2:$J$10000,0),11))</f>
        <v/>
      </c>
      <c r="R995" t="str">
        <f t="array" ref="R995">IF($A995="","",INDEX(JupData!$A$2:$K$10000,MATCH($A995&amp;R$1,JupData!$A$2:$A$10000&amp;JupData!$J$2:$J$10000,0),11))</f>
        <v/>
      </c>
      <c r="S995" t="str">
        <f t="array" ref="S995">IF($A995="","",INDEX(JupData!$A$2:$K$10000,MATCH($A995&amp;S$1,JupData!$A$2:$A$10000&amp;JupData!$J$2:$J$10000,0),11))</f>
        <v/>
      </c>
      <c r="T995" t="str">
        <f t="array" ref="T995">IF($A995="","",INDEX(JupData!$A$2:$K$10000,MATCH($A995&amp;T$1,JupData!$A$2:$A$10000&amp;JupData!$J$2:$J$10000,0),11))</f>
        <v/>
      </c>
      <c r="U995" t="str">
        <f t="array" ref="U995">IF($A995="","",INDEX(JupData!$A$2:$K$10000,MATCH($A995&amp;U$1,JupData!$A$2:$A$10000&amp;JupData!$J$2:$J$10000,0),11))</f>
        <v/>
      </c>
      <c r="V995" t="str">
        <f t="array" ref="V995">IF($A995="","",INDEX(JupData!$A$2:$K$10000,MATCH($A995&amp;V$1,JupData!$A$2:$A$10000&amp;JupData!$J$2:$J$10000,0),11))</f>
        <v/>
      </c>
      <c r="W995" t="str">
        <f t="array" ref="W995">IF($A995="","",INDEX(JupData!$A$2:$K$10000,MATCH($A995&amp;W$1,JupData!$A$2:$A$10000&amp;JupData!$J$2:$J$10000,0),11))</f>
        <v/>
      </c>
      <c r="X995" t="str">
        <f t="array" ref="X995">IF($A995="","",INDEX(JupData!$A$2:$K$10000,MATCH($A995&amp;X$1,JupData!$A$2:$A$10000&amp;JupData!$J$2:$J$10000,0),11))</f>
        <v/>
      </c>
      <c r="Y995" t="str">
        <f t="array" ref="Y995">IF($A995="","",INDEX(JupData!$A$2:$K$10000,MATCH($A995&amp;Y$1,JupData!$A$2:$A$10000&amp;JupData!$J$2:$J$10000,0),11))</f>
        <v/>
      </c>
      <c r="Z995" t="str">
        <f t="array" ref="Z995">IF($A995="","",INDEX(JupData!$A$2:$K$10000,MATCH($A995&amp;Z$1,JupData!$A$2:$A$10000&amp;JupData!$J$2:$J$10000,0),11))</f>
        <v/>
      </c>
      <c r="AA995" t="str">
        <f t="array" ref="AA995">IF($A995="","",INDEX(JupData!$A$2:$K$10000,MATCH($A995&amp;AA$1,JupData!$A$2:$A$10000&amp;JupData!$J$2:$J$10000,0),11))</f>
        <v/>
      </c>
      <c r="AB995" t="str">
        <f t="array" ref="AB995">IF($A995="","",INDEX(JupData!$A$2:$K$10000,MATCH($A995&amp;AB$1,JupData!$A$2:$A$10000&amp;JupData!$J$2:$J$10000,0),11))</f>
        <v/>
      </c>
      <c r="AC995" s="10" t="str">
        <f t="shared" si="165"/>
        <v/>
      </c>
      <c r="AD995" s="10" t="str">
        <f t="shared" si="166"/>
        <v/>
      </c>
      <c r="AE995" s="9" t="str">
        <f t="shared" si="167"/>
        <v/>
      </c>
      <c r="AF995" s="10" t="str">
        <f t="shared" si="168"/>
        <v/>
      </c>
      <c r="AG995" s="10" t="str">
        <f t="shared" si="169"/>
        <v/>
      </c>
      <c r="AH995" s="10" t="str">
        <f t="shared" si="175"/>
        <v/>
      </c>
      <c r="AI995" s="10" t="str">
        <f t="shared" si="170"/>
        <v/>
      </c>
      <c r="AJ995" s="10" t="str">
        <f t="shared" si="171"/>
        <v/>
      </c>
      <c r="AK995" s="10" t="str">
        <f t="shared" si="172"/>
        <v/>
      </c>
      <c r="AL995" s="14" t="str">
        <f t="shared" si="173"/>
        <v/>
      </c>
    </row>
    <row r="996" spans="1:38" x14ac:dyDescent="0.2">
      <c r="A996"/>
      <c r="B996" t="str">
        <f>IF($A996="","",VLOOKUP($A996,JupData!$A$2:$I$10000,4,FALSE))</f>
        <v/>
      </c>
      <c r="C996" s="7" t="str">
        <f>IF($A996="",IF(N(D996),0,""),VLOOKUP($A996,JupData!$A$2:$I$10000,7,FALSE))</f>
        <v/>
      </c>
      <c r="D996" t="str">
        <f t="shared" si="174"/>
        <v/>
      </c>
      <c r="E996" t="str">
        <f t="array" ref="E996">IF($A996="","",INDEX(JupData!$A$2:$K$10000,MATCH($A996&amp;E$1,JupData!$A$2:$A$10000&amp;JupData!$J$2:$J$10000,0),11))</f>
        <v/>
      </c>
      <c r="F996" t="str">
        <f t="array" ref="F996">IF($A996="","",INDEX(JupData!$A$2:$K$10000,MATCH($A996&amp;F$1,JupData!$A$2:$A$10000&amp;JupData!$J$2:$J$10000,0),11))</f>
        <v/>
      </c>
      <c r="G996" t="str">
        <f t="array" ref="G996">IF($A996="","",INDEX(JupData!$A$2:$K$10000,MATCH($A996&amp;G$1,JupData!$A$2:$A$10000&amp;JupData!$J$2:$J$10000,0),11))</f>
        <v/>
      </c>
      <c r="H996" t="str">
        <f t="array" ref="H996">IF($A996="","",INDEX(JupData!$A$2:$K$10000,MATCH($A996&amp;H$1,JupData!$A$2:$A$10000&amp;JupData!$J$2:$J$10000,0),11))</f>
        <v/>
      </c>
      <c r="I996" t="str">
        <f t="array" ref="I996">IF($A996="","",INDEX(JupData!$A$2:$K$10000,MATCH($A996&amp;I$1,JupData!$A$2:$A$10000&amp;JupData!$J$2:$J$10000,0),11))</f>
        <v/>
      </c>
      <c r="J996" t="str">
        <f t="array" ref="J996">IF($A996="","",INDEX(JupData!$A$2:$K$10000,MATCH($A996&amp;J$1,JupData!$A$2:$A$10000&amp;JupData!$J$2:$J$10000,0),11))</f>
        <v/>
      </c>
      <c r="K996" t="str">
        <f t="array" ref="K996">IF($A996="","",INDEX(JupData!$A$2:$K$10000,MATCH($A996&amp;K$1,JupData!$A$2:$A$10000&amp;JupData!$J$2:$J$10000,0),11))</f>
        <v/>
      </c>
      <c r="L996" t="str">
        <f t="array" ref="L996">IF($A996="","",INDEX(JupData!$A$2:$K$10000,MATCH($A996&amp;L$1,JupData!$A$2:$A$10000&amp;JupData!$J$2:$J$10000,0),11))</f>
        <v/>
      </c>
      <c r="M996" t="str">
        <f t="array" ref="M996">IF($A996="","",INDEX(JupData!$A$2:$K$10000,MATCH($A996&amp;M$1,JupData!$A$2:$A$10000&amp;JupData!$J$2:$J$10000,0),11))</f>
        <v/>
      </c>
      <c r="N996" t="str">
        <f t="array" ref="N996">IF($A996="","",INDEX(JupData!$A$2:$K$10000,MATCH($A996&amp;N$1,JupData!$A$2:$A$10000&amp;JupData!$J$2:$J$10000,0),11))</f>
        <v/>
      </c>
      <c r="O996" t="str">
        <f t="array" ref="O996">IF($A996="","",INDEX(JupData!$A$2:$K$10000,MATCH($A996&amp;O$1,JupData!$A$2:$A$10000&amp;JupData!$J$2:$J$10000,0),11))</f>
        <v/>
      </c>
      <c r="P996" t="str">
        <f t="array" ref="P996">IF($A996="","",INDEX(JupData!$A$2:$K$10000,MATCH($A996&amp;P$1,JupData!$A$2:$A$10000&amp;JupData!$J$2:$J$10000,0),11))</f>
        <v/>
      </c>
      <c r="Q996" t="str">
        <f t="array" ref="Q996">IF($A996="","",INDEX(JupData!$A$2:$K$10000,MATCH($A996&amp;Q$1,JupData!$A$2:$A$10000&amp;JupData!$J$2:$J$10000,0),11))</f>
        <v/>
      </c>
      <c r="R996" t="str">
        <f t="array" ref="R996">IF($A996="","",INDEX(JupData!$A$2:$K$10000,MATCH($A996&amp;R$1,JupData!$A$2:$A$10000&amp;JupData!$J$2:$J$10000,0),11))</f>
        <v/>
      </c>
      <c r="S996" t="str">
        <f t="array" ref="S996">IF($A996="","",INDEX(JupData!$A$2:$K$10000,MATCH($A996&amp;S$1,JupData!$A$2:$A$10000&amp;JupData!$J$2:$J$10000,0),11))</f>
        <v/>
      </c>
      <c r="T996" t="str">
        <f t="array" ref="T996">IF($A996="","",INDEX(JupData!$A$2:$K$10000,MATCH($A996&amp;T$1,JupData!$A$2:$A$10000&amp;JupData!$J$2:$J$10000,0),11))</f>
        <v/>
      </c>
      <c r="U996" t="str">
        <f t="array" ref="U996">IF($A996="","",INDEX(JupData!$A$2:$K$10000,MATCH($A996&amp;U$1,JupData!$A$2:$A$10000&amp;JupData!$J$2:$J$10000,0),11))</f>
        <v/>
      </c>
      <c r="V996" t="str">
        <f t="array" ref="V996">IF($A996="","",INDEX(JupData!$A$2:$K$10000,MATCH($A996&amp;V$1,JupData!$A$2:$A$10000&amp;JupData!$J$2:$J$10000,0),11))</f>
        <v/>
      </c>
      <c r="W996" t="str">
        <f t="array" ref="W996">IF($A996="","",INDEX(JupData!$A$2:$K$10000,MATCH($A996&amp;W$1,JupData!$A$2:$A$10000&amp;JupData!$J$2:$J$10000,0),11))</f>
        <v/>
      </c>
      <c r="X996" t="str">
        <f t="array" ref="X996">IF($A996="","",INDEX(JupData!$A$2:$K$10000,MATCH($A996&amp;X$1,JupData!$A$2:$A$10000&amp;JupData!$J$2:$J$10000,0),11))</f>
        <v/>
      </c>
      <c r="Y996" t="str">
        <f t="array" ref="Y996">IF($A996="","",INDEX(JupData!$A$2:$K$10000,MATCH($A996&amp;Y$1,JupData!$A$2:$A$10000&amp;JupData!$J$2:$J$10000,0),11))</f>
        <v/>
      </c>
      <c r="Z996" t="str">
        <f t="array" ref="Z996">IF($A996="","",INDEX(JupData!$A$2:$K$10000,MATCH($A996&amp;Z$1,JupData!$A$2:$A$10000&amp;JupData!$J$2:$J$10000,0),11))</f>
        <v/>
      </c>
      <c r="AA996" t="str">
        <f t="array" ref="AA996">IF($A996="","",INDEX(JupData!$A$2:$K$10000,MATCH($A996&amp;AA$1,JupData!$A$2:$A$10000&amp;JupData!$J$2:$J$10000,0),11))</f>
        <v/>
      </c>
      <c r="AB996" t="str">
        <f t="array" ref="AB996">IF($A996="","",INDEX(JupData!$A$2:$K$10000,MATCH($A996&amp;AB$1,JupData!$A$2:$A$10000&amp;JupData!$J$2:$J$10000,0),11))</f>
        <v/>
      </c>
      <c r="AC996" s="10" t="str">
        <f t="shared" si="165"/>
        <v/>
      </c>
      <c r="AD996" s="10" t="str">
        <f t="shared" si="166"/>
        <v/>
      </c>
      <c r="AE996" s="9" t="str">
        <f t="shared" si="167"/>
        <v/>
      </c>
      <c r="AF996" s="10" t="str">
        <f t="shared" si="168"/>
        <v/>
      </c>
      <c r="AG996" s="10" t="str">
        <f t="shared" si="169"/>
        <v/>
      </c>
      <c r="AH996" s="10" t="str">
        <f t="shared" si="175"/>
        <v/>
      </c>
      <c r="AI996" s="10" t="str">
        <f t="shared" si="170"/>
        <v/>
      </c>
      <c r="AJ996" s="10" t="str">
        <f t="shared" si="171"/>
        <v/>
      </c>
      <c r="AK996" s="10" t="str">
        <f t="shared" si="172"/>
        <v/>
      </c>
      <c r="AL996" s="14" t="str">
        <f t="shared" si="173"/>
        <v/>
      </c>
    </row>
    <row r="997" spans="1:38" x14ac:dyDescent="0.2">
      <c r="A997"/>
      <c r="B997" t="str">
        <f>IF($A997="","",VLOOKUP($A997,JupData!$A$2:$I$10000,4,FALSE))</f>
        <v/>
      </c>
      <c r="C997" s="7" t="str">
        <f>IF($A997="",IF(N(D997),0,""),VLOOKUP($A997,JupData!$A$2:$I$10000,7,FALSE))</f>
        <v/>
      </c>
      <c r="D997" t="str">
        <f t="shared" si="174"/>
        <v/>
      </c>
      <c r="E997" t="str">
        <f t="array" ref="E997">IF($A997="","",INDEX(JupData!$A$2:$K$10000,MATCH($A997&amp;E$1,JupData!$A$2:$A$10000&amp;JupData!$J$2:$J$10000,0),11))</f>
        <v/>
      </c>
      <c r="F997" t="str">
        <f t="array" ref="F997">IF($A997="","",INDEX(JupData!$A$2:$K$10000,MATCH($A997&amp;F$1,JupData!$A$2:$A$10000&amp;JupData!$J$2:$J$10000,0),11))</f>
        <v/>
      </c>
      <c r="G997" t="str">
        <f t="array" ref="G997">IF($A997="","",INDEX(JupData!$A$2:$K$10000,MATCH($A997&amp;G$1,JupData!$A$2:$A$10000&amp;JupData!$J$2:$J$10000,0),11))</f>
        <v/>
      </c>
      <c r="H997" t="str">
        <f t="array" ref="H997">IF($A997="","",INDEX(JupData!$A$2:$K$10000,MATCH($A997&amp;H$1,JupData!$A$2:$A$10000&amp;JupData!$J$2:$J$10000,0),11))</f>
        <v/>
      </c>
      <c r="I997" t="str">
        <f t="array" ref="I997">IF($A997="","",INDEX(JupData!$A$2:$K$10000,MATCH($A997&amp;I$1,JupData!$A$2:$A$10000&amp;JupData!$J$2:$J$10000,0),11))</f>
        <v/>
      </c>
      <c r="J997" t="str">
        <f t="array" ref="J997">IF($A997="","",INDEX(JupData!$A$2:$K$10000,MATCH($A997&amp;J$1,JupData!$A$2:$A$10000&amp;JupData!$J$2:$J$10000,0),11))</f>
        <v/>
      </c>
      <c r="K997" t="str">
        <f t="array" ref="K997">IF($A997="","",INDEX(JupData!$A$2:$K$10000,MATCH($A997&amp;K$1,JupData!$A$2:$A$10000&amp;JupData!$J$2:$J$10000,0),11))</f>
        <v/>
      </c>
      <c r="L997" t="str">
        <f t="array" ref="L997">IF($A997="","",INDEX(JupData!$A$2:$K$10000,MATCH($A997&amp;L$1,JupData!$A$2:$A$10000&amp;JupData!$J$2:$J$10000,0),11))</f>
        <v/>
      </c>
      <c r="M997" t="str">
        <f t="array" ref="M997">IF($A997="","",INDEX(JupData!$A$2:$K$10000,MATCH($A997&amp;M$1,JupData!$A$2:$A$10000&amp;JupData!$J$2:$J$10000,0),11))</f>
        <v/>
      </c>
      <c r="N997" t="str">
        <f t="array" ref="N997">IF($A997="","",INDEX(JupData!$A$2:$K$10000,MATCH($A997&amp;N$1,JupData!$A$2:$A$10000&amp;JupData!$J$2:$J$10000,0),11))</f>
        <v/>
      </c>
      <c r="O997" t="str">
        <f t="array" ref="O997">IF($A997="","",INDEX(JupData!$A$2:$K$10000,MATCH($A997&amp;O$1,JupData!$A$2:$A$10000&amp;JupData!$J$2:$J$10000,0),11))</f>
        <v/>
      </c>
      <c r="P997" t="str">
        <f t="array" ref="P997">IF($A997="","",INDEX(JupData!$A$2:$K$10000,MATCH($A997&amp;P$1,JupData!$A$2:$A$10000&amp;JupData!$J$2:$J$10000,0),11))</f>
        <v/>
      </c>
      <c r="Q997" t="str">
        <f t="array" ref="Q997">IF($A997="","",INDEX(JupData!$A$2:$K$10000,MATCH($A997&amp;Q$1,JupData!$A$2:$A$10000&amp;JupData!$J$2:$J$10000,0),11))</f>
        <v/>
      </c>
      <c r="R997" t="str">
        <f t="array" ref="R997">IF($A997="","",INDEX(JupData!$A$2:$K$10000,MATCH($A997&amp;R$1,JupData!$A$2:$A$10000&amp;JupData!$J$2:$J$10000,0),11))</f>
        <v/>
      </c>
      <c r="S997" t="str">
        <f t="array" ref="S997">IF($A997="","",INDEX(JupData!$A$2:$K$10000,MATCH($A997&amp;S$1,JupData!$A$2:$A$10000&amp;JupData!$J$2:$J$10000,0),11))</f>
        <v/>
      </c>
      <c r="T997" t="str">
        <f t="array" ref="T997">IF($A997="","",INDEX(JupData!$A$2:$K$10000,MATCH($A997&amp;T$1,JupData!$A$2:$A$10000&amp;JupData!$J$2:$J$10000,0),11))</f>
        <v/>
      </c>
      <c r="U997" t="str">
        <f t="array" ref="U997">IF($A997="","",INDEX(JupData!$A$2:$K$10000,MATCH($A997&amp;U$1,JupData!$A$2:$A$10000&amp;JupData!$J$2:$J$10000,0),11))</f>
        <v/>
      </c>
      <c r="V997" t="str">
        <f t="array" ref="V997">IF($A997="","",INDEX(JupData!$A$2:$K$10000,MATCH($A997&amp;V$1,JupData!$A$2:$A$10000&amp;JupData!$J$2:$J$10000,0),11))</f>
        <v/>
      </c>
      <c r="W997" t="str">
        <f t="array" ref="W997">IF($A997="","",INDEX(JupData!$A$2:$K$10000,MATCH($A997&amp;W$1,JupData!$A$2:$A$10000&amp;JupData!$J$2:$J$10000,0),11))</f>
        <v/>
      </c>
      <c r="X997" t="str">
        <f t="array" ref="X997">IF($A997="","",INDEX(JupData!$A$2:$K$10000,MATCH($A997&amp;X$1,JupData!$A$2:$A$10000&amp;JupData!$J$2:$J$10000,0),11))</f>
        <v/>
      </c>
      <c r="Y997" t="str">
        <f t="array" ref="Y997">IF($A997="","",INDEX(JupData!$A$2:$K$10000,MATCH($A997&amp;Y$1,JupData!$A$2:$A$10000&amp;JupData!$J$2:$J$10000,0),11))</f>
        <v/>
      </c>
      <c r="Z997" t="str">
        <f t="array" ref="Z997">IF($A997="","",INDEX(JupData!$A$2:$K$10000,MATCH($A997&amp;Z$1,JupData!$A$2:$A$10000&amp;JupData!$J$2:$J$10000,0),11))</f>
        <v/>
      </c>
      <c r="AA997" t="str">
        <f t="array" ref="AA997">IF($A997="","",INDEX(JupData!$A$2:$K$10000,MATCH($A997&amp;AA$1,JupData!$A$2:$A$10000&amp;JupData!$J$2:$J$10000,0),11))</f>
        <v/>
      </c>
      <c r="AB997" t="str">
        <f t="array" ref="AB997">IF($A997="","",INDEX(JupData!$A$2:$K$10000,MATCH($A997&amp;AB$1,JupData!$A$2:$A$10000&amp;JupData!$J$2:$J$10000,0),11))</f>
        <v/>
      </c>
      <c r="AC997" s="10" t="str">
        <f t="shared" si="165"/>
        <v/>
      </c>
      <c r="AD997" s="10" t="str">
        <f t="shared" si="166"/>
        <v/>
      </c>
      <c r="AE997" s="9" t="str">
        <f t="shared" si="167"/>
        <v/>
      </c>
      <c r="AF997" s="10" t="str">
        <f t="shared" si="168"/>
        <v/>
      </c>
      <c r="AG997" s="10" t="str">
        <f t="shared" si="169"/>
        <v/>
      </c>
      <c r="AH997" s="10" t="str">
        <f t="shared" si="175"/>
        <v/>
      </c>
      <c r="AI997" s="10" t="str">
        <f t="shared" si="170"/>
        <v/>
      </c>
      <c r="AJ997" s="10" t="str">
        <f t="shared" si="171"/>
        <v/>
      </c>
      <c r="AK997" s="10" t="str">
        <f t="shared" si="172"/>
        <v/>
      </c>
      <c r="AL997" s="14" t="str">
        <f t="shared" si="173"/>
        <v/>
      </c>
    </row>
    <row r="998" spans="1:38" x14ac:dyDescent="0.2">
      <c r="A998"/>
      <c r="B998" t="str">
        <f>IF($A998="","",VLOOKUP($A998,JupData!$A$2:$I$10000,4,FALSE))</f>
        <v/>
      </c>
      <c r="C998" s="7" t="str">
        <f>IF($A998="",IF(N(D998),0,""),VLOOKUP($A998,JupData!$A$2:$I$10000,7,FALSE))</f>
        <v/>
      </c>
      <c r="D998" t="str">
        <f t="shared" si="174"/>
        <v/>
      </c>
      <c r="E998" t="str">
        <f t="array" ref="E998">IF($A998="","",INDEX(JupData!$A$2:$K$10000,MATCH($A998&amp;E$1,JupData!$A$2:$A$10000&amp;JupData!$J$2:$J$10000,0),11))</f>
        <v/>
      </c>
      <c r="F998" t="str">
        <f t="array" ref="F998">IF($A998="","",INDEX(JupData!$A$2:$K$10000,MATCH($A998&amp;F$1,JupData!$A$2:$A$10000&amp;JupData!$J$2:$J$10000,0),11))</f>
        <v/>
      </c>
      <c r="G998" t="str">
        <f t="array" ref="G998">IF($A998="","",INDEX(JupData!$A$2:$K$10000,MATCH($A998&amp;G$1,JupData!$A$2:$A$10000&amp;JupData!$J$2:$J$10000,0),11))</f>
        <v/>
      </c>
      <c r="H998" t="str">
        <f t="array" ref="H998">IF($A998="","",INDEX(JupData!$A$2:$K$10000,MATCH($A998&amp;H$1,JupData!$A$2:$A$10000&amp;JupData!$J$2:$J$10000,0),11))</f>
        <v/>
      </c>
      <c r="I998" t="str">
        <f t="array" ref="I998">IF($A998="","",INDEX(JupData!$A$2:$K$10000,MATCH($A998&amp;I$1,JupData!$A$2:$A$10000&amp;JupData!$J$2:$J$10000,0),11))</f>
        <v/>
      </c>
      <c r="J998" t="str">
        <f t="array" ref="J998">IF($A998="","",INDEX(JupData!$A$2:$K$10000,MATCH($A998&amp;J$1,JupData!$A$2:$A$10000&amp;JupData!$J$2:$J$10000,0),11))</f>
        <v/>
      </c>
      <c r="K998" t="str">
        <f t="array" ref="K998">IF($A998="","",INDEX(JupData!$A$2:$K$10000,MATCH($A998&amp;K$1,JupData!$A$2:$A$10000&amp;JupData!$J$2:$J$10000,0),11))</f>
        <v/>
      </c>
      <c r="L998" t="str">
        <f t="array" ref="L998">IF($A998="","",INDEX(JupData!$A$2:$K$10000,MATCH($A998&amp;L$1,JupData!$A$2:$A$10000&amp;JupData!$J$2:$J$10000,0),11))</f>
        <v/>
      </c>
      <c r="M998" t="str">
        <f t="array" ref="M998">IF($A998="","",INDEX(JupData!$A$2:$K$10000,MATCH($A998&amp;M$1,JupData!$A$2:$A$10000&amp;JupData!$J$2:$J$10000,0),11))</f>
        <v/>
      </c>
      <c r="N998" t="str">
        <f t="array" ref="N998">IF($A998="","",INDEX(JupData!$A$2:$K$10000,MATCH($A998&amp;N$1,JupData!$A$2:$A$10000&amp;JupData!$J$2:$J$10000,0),11))</f>
        <v/>
      </c>
      <c r="O998" t="str">
        <f t="array" ref="O998">IF($A998="","",INDEX(JupData!$A$2:$K$10000,MATCH($A998&amp;O$1,JupData!$A$2:$A$10000&amp;JupData!$J$2:$J$10000,0),11))</f>
        <v/>
      </c>
      <c r="P998" t="str">
        <f t="array" ref="P998">IF($A998="","",INDEX(JupData!$A$2:$K$10000,MATCH($A998&amp;P$1,JupData!$A$2:$A$10000&amp;JupData!$J$2:$J$10000,0),11))</f>
        <v/>
      </c>
      <c r="Q998" t="str">
        <f t="array" ref="Q998">IF($A998="","",INDEX(JupData!$A$2:$K$10000,MATCH($A998&amp;Q$1,JupData!$A$2:$A$10000&amp;JupData!$J$2:$J$10000,0),11))</f>
        <v/>
      </c>
      <c r="R998" t="str">
        <f t="array" ref="R998">IF($A998="","",INDEX(JupData!$A$2:$K$10000,MATCH($A998&amp;R$1,JupData!$A$2:$A$10000&amp;JupData!$J$2:$J$10000,0),11))</f>
        <v/>
      </c>
      <c r="S998" t="str">
        <f t="array" ref="S998">IF($A998="","",INDEX(JupData!$A$2:$K$10000,MATCH($A998&amp;S$1,JupData!$A$2:$A$10000&amp;JupData!$J$2:$J$10000,0),11))</f>
        <v/>
      </c>
      <c r="T998" t="str">
        <f t="array" ref="T998">IF($A998="","",INDEX(JupData!$A$2:$K$10000,MATCH($A998&amp;T$1,JupData!$A$2:$A$10000&amp;JupData!$J$2:$J$10000,0),11))</f>
        <v/>
      </c>
      <c r="U998" t="str">
        <f t="array" ref="U998">IF($A998="","",INDEX(JupData!$A$2:$K$10000,MATCH($A998&amp;U$1,JupData!$A$2:$A$10000&amp;JupData!$J$2:$J$10000,0),11))</f>
        <v/>
      </c>
      <c r="V998" t="str">
        <f t="array" ref="V998">IF($A998="","",INDEX(JupData!$A$2:$K$10000,MATCH($A998&amp;V$1,JupData!$A$2:$A$10000&amp;JupData!$J$2:$J$10000,0),11))</f>
        <v/>
      </c>
      <c r="W998" t="str">
        <f t="array" ref="W998">IF($A998="","",INDEX(JupData!$A$2:$K$10000,MATCH($A998&amp;W$1,JupData!$A$2:$A$10000&amp;JupData!$J$2:$J$10000,0),11))</f>
        <v/>
      </c>
      <c r="X998" t="str">
        <f t="array" ref="X998">IF($A998="","",INDEX(JupData!$A$2:$K$10000,MATCH($A998&amp;X$1,JupData!$A$2:$A$10000&amp;JupData!$J$2:$J$10000,0),11))</f>
        <v/>
      </c>
      <c r="Y998" t="str">
        <f t="array" ref="Y998">IF($A998="","",INDEX(JupData!$A$2:$K$10000,MATCH($A998&amp;Y$1,JupData!$A$2:$A$10000&amp;JupData!$J$2:$J$10000,0),11))</f>
        <v/>
      </c>
      <c r="Z998" t="str">
        <f t="array" ref="Z998">IF($A998="","",INDEX(JupData!$A$2:$K$10000,MATCH($A998&amp;Z$1,JupData!$A$2:$A$10000&amp;JupData!$J$2:$J$10000,0),11))</f>
        <v/>
      </c>
      <c r="AA998" t="str">
        <f t="array" ref="AA998">IF($A998="","",INDEX(JupData!$A$2:$K$10000,MATCH($A998&amp;AA$1,JupData!$A$2:$A$10000&amp;JupData!$J$2:$J$10000,0),11))</f>
        <v/>
      </c>
      <c r="AB998" t="str">
        <f t="array" ref="AB998">IF($A998="","",INDEX(JupData!$A$2:$K$10000,MATCH($A998&amp;AB$1,JupData!$A$2:$A$10000&amp;JupData!$J$2:$J$10000,0),11))</f>
        <v/>
      </c>
      <c r="AC998" s="10" t="str">
        <f t="shared" si="165"/>
        <v/>
      </c>
      <c r="AD998" s="10" t="str">
        <f t="shared" si="166"/>
        <v/>
      </c>
      <c r="AE998" s="9" t="str">
        <f t="shared" si="167"/>
        <v/>
      </c>
      <c r="AF998" s="10" t="str">
        <f t="shared" si="168"/>
        <v/>
      </c>
      <c r="AG998" s="10" t="str">
        <f t="shared" si="169"/>
        <v/>
      </c>
      <c r="AH998" s="10" t="str">
        <f t="shared" si="175"/>
        <v/>
      </c>
      <c r="AI998" s="10" t="str">
        <f t="shared" si="170"/>
        <v/>
      </c>
      <c r="AJ998" s="10" t="str">
        <f t="shared" si="171"/>
        <v/>
      </c>
      <c r="AK998" s="10" t="str">
        <f t="shared" si="172"/>
        <v/>
      </c>
      <c r="AL998" s="14" t="str">
        <f t="shared" si="173"/>
        <v/>
      </c>
    </row>
    <row r="999" spans="1:38" x14ac:dyDescent="0.2">
      <c r="A999"/>
      <c r="B999" t="str">
        <f>IF($A999="","",VLOOKUP($A999,JupData!$A$2:$I$10000,4,FALSE))</f>
        <v/>
      </c>
      <c r="C999" s="7" t="str">
        <f>IF($A999="",IF(N(D999),0,""),VLOOKUP($A999,JupData!$A$2:$I$10000,7,FALSE))</f>
        <v/>
      </c>
      <c r="D999" t="str">
        <f t="shared" si="174"/>
        <v/>
      </c>
      <c r="E999" t="str">
        <f t="array" ref="E999">IF($A999="","",INDEX(JupData!$A$2:$K$10000,MATCH($A999&amp;E$1,JupData!$A$2:$A$10000&amp;JupData!$J$2:$J$10000,0),11))</f>
        <v/>
      </c>
      <c r="F999" t="str">
        <f t="array" ref="F999">IF($A999="","",INDEX(JupData!$A$2:$K$10000,MATCH($A999&amp;F$1,JupData!$A$2:$A$10000&amp;JupData!$J$2:$J$10000,0),11))</f>
        <v/>
      </c>
      <c r="G999" t="str">
        <f t="array" ref="G999">IF($A999="","",INDEX(JupData!$A$2:$K$10000,MATCH($A999&amp;G$1,JupData!$A$2:$A$10000&amp;JupData!$J$2:$J$10000,0),11))</f>
        <v/>
      </c>
      <c r="H999" t="str">
        <f t="array" ref="H999">IF($A999="","",INDEX(JupData!$A$2:$K$10000,MATCH($A999&amp;H$1,JupData!$A$2:$A$10000&amp;JupData!$J$2:$J$10000,0),11))</f>
        <v/>
      </c>
      <c r="I999" t="str">
        <f t="array" ref="I999">IF($A999="","",INDEX(JupData!$A$2:$K$10000,MATCH($A999&amp;I$1,JupData!$A$2:$A$10000&amp;JupData!$J$2:$J$10000,0),11))</f>
        <v/>
      </c>
      <c r="J999" t="str">
        <f t="array" ref="J999">IF($A999="","",INDEX(JupData!$A$2:$K$10000,MATCH($A999&amp;J$1,JupData!$A$2:$A$10000&amp;JupData!$J$2:$J$10000,0),11))</f>
        <v/>
      </c>
      <c r="K999" t="str">
        <f t="array" ref="K999">IF($A999="","",INDEX(JupData!$A$2:$K$10000,MATCH($A999&amp;K$1,JupData!$A$2:$A$10000&amp;JupData!$J$2:$J$10000,0),11))</f>
        <v/>
      </c>
      <c r="L999" t="str">
        <f t="array" ref="L999">IF($A999="","",INDEX(JupData!$A$2:$K$10000,MATCH($A999&amp;L$1,JupData!$A$2:$A$10000&amp;JupData!$J$2:$J$10000,0),11))</f>
        <v/>
      </c>
      <c r="M999" t="str">
        <f t="array" ref="M999">IF($A999="","",INDEX(JupData!$A$2:$K$10000,MATCH($A999&amp;M$1,JupData!$A$2:$A$10000&amp;JupData!$J$2:$J$10000,0),11))</f>
        <v/>
      </c>
      <c r="N999" t="str">
        <f t="array" ref="N999">IF($A999="","",INDEX(JupData!$A$2:$K$10000,MATCH($A999&amp;N$1,JupData!$A$2:$A$10000&amp;JupData!$J$2:$J$10000,0),11))</f>
        <v/>
      </c>
      <c r="O999" t="str">
        <f t="array" ref="O999">IF($A999="","",INDEX(JupData!$A$2:$K$10000,MATCH($A999&amp;O$1,JupData!$A$2:$A$10000&amp;JupData!$J$2:$J$10000,0),11))</f>
        <v/>
      </c>
      <c r="P999" t="str">
        <f t="array" ref="P999">IF($A999="","",INDEX(JupData!$A$2:$K$10000,MATCH($A999&amp;P$1,JupData!$A$2:$A$10000&amp;JupData!$J$2:$J$10000,0),11))</f>
        <v/>
      </c>
      <c r="Q999" t="str">
        <f t="array" ref="Q999">IF($A999="","",INDEX(JupData!$A$2:$K$10000,MATCH($A999&amp;Q$1,JupData!$A$2:$A$10000&amp;JupData!$J$2:$J$10000,0),11))</f>
        <v/>
      </c>
      <c r="R999" t="str">
        <f t="array" ref="R999">IF($A999="","",INDEX(JupData!$A$2:$K$10000,MATCH($A999&amp;R$1,JupData!$A$2:$A$10000&amp;JupData!$J$2:$J$10000,0),11))</f>
        <v/>
      </c>
      <c r="S999" t="str">
        <f t="array" ref="S999">IF($A999="","",INDEX(JupData!$A$2:$K$10000,MATCH($A999&amp;S$1,JupData!$A$2:$A$10000&amp;JupData!$J$2:$J$10000,0),11))</f>
        <v/>
      </c>
      <c r="T999" t="str">
        <f t="array" ref="T999">IF($A999="","",INDEX(JupData!$A$2:$K$10000,MATCH($A999&amp;T$1,JupData!$A$2:$A$10000&amp;JupData!$J$2:$J$10000,0),11))</f>
        <v/>
      </c>
      <c r="U999" t="str">
        <f t="array" ref="U999">IF($A999="","",INDEX(JupData!$A$2:$K$10000,MATCH($A999&amp;U$1,JupData!$A$2:$A$10000&amp;JupData!$J$2:$J$10000,0),11))</f>
        <v/>
      </c>
      <c r="V999" t="str">
        <f t="array" ref="V999">IF($A999="","",INDEX(JupData!$A$2:$K$10000,MATCH($A999&amp;V$1,JupData!$A$2:$A$10000&amp;JupData!$J$2:$J$10000,0),11))</f>
        <v/>
      </c>
      <c r="W999" t="str">
        <f t="array" ref="W999">IF($A999="","",INDEX(JupData!$A$2:$K$10000,MATCH($A999&amp;W$1,JupData!$A$2:$A$10000&amp;JupData!$J$2:$J$10000,0),11))</f>
        <v/>
      </c>
      <c r="X999" t="str">
        <f t="array" ref="X999">IF($A999="","",INDEX(JupData!$A$2:$K$10000,MATCH($A999&amp;X$1,JupData!$A$2:$A$10000&amp;JupData!$J$2:$J$10000,0),11))</f>
        <v/>
      </c>
      <c r="Y999" t="str">
        <f t="array" ref="Y999">IF($A999="","",INDEX(JupData!$A$2:$K$10000,MATCH($A999&amp;Y$1,JupData!$A$2:$A$10000&amp;JupData!$J$2:$J$10000,0),11))</f>
        <v/>
      </c>
      <c r="Z999" t="str">
        <f t="array" ref="Z999">IF($A999="","",INDEX(JupData!$A$2:$K$10000,MATCH($A999&amp;Z$1,JupData!$A$2:$A$10000&amp;JupData!$J$2:$J$10000,0),11))</f>
        <v/>
      </c>
      <c r="AA999" t="str">
        <f t="array" ref="AA999">IF($A999="","",INDEX(JupData!$A$2:$K$10000,MATCH($A999&amp;AA$1,JupData!$A$2:$A$10000&amp;JupData!$J$2:$J$10000,0),11))</f>
        <v/>
      </c>
      <c r="AB999" t="str">
        <f t="array" ref="AB999">IF($A999="","",INDEX(JupData!$A$2:$K$10000,MATCH($A999&amp;AB$1,JupData!$A$2:$A$10000&amp;JupData!$J$2:$J$10000,0),11))</f>
        <v/>
      </c>
      <c r="AC999" s="10" t="str">
        <f t="shared" si="165"/>
        <v/>
      </c>
      <c r="AD999" s="10" t="str">
        <f t="shared" si="166"/>
        <v/>
      </c>
      <c r="AE999" s="9" t="str">
        <f t="shared" si="167"/>
        <v/>
      </c>
      <c r="AF999" s="10" t="str">
        <f t="shared" si="168"/>
        <v/>
      </c>
      <c r="AG999" s="10" t="str">
        <f t="shared" si="169"/>
        <v/>
      </c>
      <c r="AH999" s="10" t="str">
        <f t="shared" si="175"/>
        <v/>
      </c>
      <c r="AI999" s="10" t="str">
        <f t="shared" si="170"/>
        <v/>
      </c>
      <c r="AJ999" s="10" t="str">
        <f t="shared" si="171"/>
        <v/>
      </c>
      <c r="AK999" s="10" t="str">
        <f t="shared" si="172"/>
        <v/>
      </c>
      <c r="AL999" s="14" t="str">
        <f t="shared" si="173"/>
        <v/>
      </c>
    </row>
    <row r="1000" spans="1:38" x14ac:dyDescent="0.2">
      <c r="A1000"/>
      <c r="B1000" t="str">
        <f>IF($A1000="","",VLOOKUP($A1000,JupData!$A$2:$I$10000,4,FALSE))</f>
        <v/>
      </c>
      <c r="C1000" s="7" t="str">
        <f>IF($A1000="",IF(N(D1000),0,""),VLOOKUP($A1000,JupData!$A$2:$I$10000,7,FALSE))</f>
        <v/>
      </c>
      <c r="D1000" t="str">
        <f t="shared" si="174"/>
        <v/>
      </c>
      <c r="E1000" t="str">
        <f t="array" ref="E1000">IF($A1000="","",INDEX(JupData!$A$2:$K$10000,MATCH($A1000&amp;E$1,JupData!$A$2:$A$10000&amp;JupData!$J$2:$J$10000,0),11))</f>
        <v/>
      </c>
      <c r="F1000" t="str">
        <f t="array" ref="F1000">IF($A1000="","",INDEX(JupData!$A$2:$K$10000,MATCH($A1000&amp;F$1,JupData!$A$2:$A$10000&amp;JupData!$J$2:$J$10000,0),11))</f>
        <v/>
      </c>
      <c r="G1000" t="str">
        <f t="array" ref="G1000">IF($A1000="","",INDEX(JupData!$A$2:$K$10000,MATCH($A1000&amp;G$1,JupData!$A$2:$A$10000&amp;JupData!$J$2:$J$10000,0),11))</f>
        <v/>
      </c>
      <c r="H1000" t="str">
        <f t="array" ref="H1000">IF($A1000="","",INDEX(JupData!$A$2:$K$10000,MATCH($A1000&amp;H$1,JupData!$A$2:$A$10000&amp;JupData!$J$2:$J$10000,0),11))</f>
        <v/>
      </c>
      <c r="I1000" t="str">
        <f t="array" ref="I1000">IF($A1000="","",INDEX(JupData!$A$2:$K$10000,MATCH($A1000&amp;I$1,JupData!$A$2:$A$10000&amp;JupData!$J$2:$J$10000,0),11))</f>
        <v/>
      </c>
      <c r="J1000" t="str">
        <f t="array" ref="J1000">IF($A1000="","",INDEX(JupData!$A$2:$K$10000,MATCH($A1000&amp;J$1,JupData!$A$2:$A$10000&amp;JupData!$J$2:$J$10000,0),11))</f>
        <v/>
      </c>
      <c r="K1000" t="str">
        <f t="array" ref="K1000">IF($A1000="","",INDEX(JupData!$A$2:$K$10000,MATCH($A1000&amp;K$1,JupData!$A$2:$A$10000&amp;JupData!$J$2:$J$10000,0),11))</f>
        <v/>
      </c>
      <c r="L1000" t="str">
        <f t="array" ref="L1000">IF($A1000="","",INDEX(JupData!$A$2:$K$10000,MATCH($A1000&amp;L$1,JupData!$A$2:$A$10000&amp;JupData!$J$2:$J$10000,0),11))</f>
        <v/>
      </c>
      <c r="M1000" t="str">
        <f t="array" ref="M1000">IF($A1000="","",INDEX(JupData!$A$2:$K$10000,MATCH($A1000&amp;M$1,JupData!$A$2:$A$10000&amp;JupData!$J$2:$J$10000,0),11))</f>
        <v/>
      </c>
      <c r="N1000" t="str">
        <f t="array" ref="N1000">IF($A1000="","",INDEX(JupData!$A$2:$K$10000,MATCH($A1000&amp;N$1,JupData!$A$2:$A$10000&amp;JupData!$J$2:$J$10000,0),11))</f>
        <v/>
      </c>
      <c r="O1000" t="str">
        <f t="array" ref="O1000">IF($A1000="","",INDEX(JupData!$A$2:$K$10000,MATCH($A1000&amp;O$1,JupData!$A$2:$A$10000&amp;JupData!$J$2:$J$10000,0),11))</f>
        <v/>
      </c>
      <c r="P1000" t="str">
        <f t="array" ref="P1000">IF($A1000="","",INDEX(JupData!$A$2:$K$10000,MATCH($A1000&amp;P$1,JupData!$A$2:$A$10000&amp;JupData!$J$2:$J$10000,0),11))</f>
        <v/>
      </c>
      <c r="Q1000" t="str">
        <f t="array" ref="Q1000">IF($A1000="","",INDEX(JupData!$A$2:$K$10000,MATCH($A1000&amp;Q$1,JupData!$A$2:$A$10000&amp;JupData!$J$2:$J$10000,0),11))</f>
        <v/>
      </c>
      <c r="R1000" t="str">
        <f t="array" ref="R1000">IF($A1000="","",INDEX(JupData!$A$2:$K$10000,MATCH($A1000&amp;R$1,JupData!$A$2:$A$10000&amp;JupData!$J$2:$J$10000,0),11))</f>
        <v/>
      </c>
      <c r="S1000" t="str">
        <f t="array" ref="S1000">IF($A1000="","",INDEX(JupData!$A$2:$K$10000,MATCH($A1000&amp;S$1,JupData!$A$2:$A$10000&amp;JupData!$J$2:$J$10000,0),11))</f>
        <v/>
      </c>
      <c r="T1000" t="str">
        <f t="array" ref="T1000">IF($A1000="","",INDEX(JupData!$A$2:$K$10000,MATCH($A1000&amp;T$1,JupData!$A$2:$A$10000&amp;JupData!$J$2:$J$10000,0),11))</f>
        <v/>
      </c>
      <c r="U1000" t="str">
        <f t="array" ref="U1000">IF($A1000="","",INDEX(JupData!$A$2:$K$10000,MATCH($A1000&amp;U$1,JupData!$A$2:$A$10000&amp;JupData!$J$2:$J$10000,0),11))</f>
        <v/>
      </c>
      <c r="V1000" t="str">
        <f t="array" ref="V1000">IF($A1000="","",INDEX(JupData!$A$2:$K$10000,MATCH($A1000&amp;V$1,JupData!$A$2:$A$10000&amp;JupData!$J$2:$J$10000,0),11))</f>
        <v/>
      </c>
      <c r="W1000" t="str">
        <f t="array" ref="W1000">IF($A1000="","",INDEX(JupData!$A$2:$K$10000,MATCH($A1000&amp;W$1,JupData!$A$2:$A$10000&amp;JupData!$J$2:$J$10000,0),11))</f>
        <v/>
      </c>
      <c r="X1000" t="str">
        <f t="array" ref="X1000">IF($A1000="","",INDEX(JupData!$A$2:$K$10000,MATCH($A1000&amp;X$1,JupData!$A$2:$A$10000&amp;JupData!$J$2:$J$10000,0),11))</f>
        <v/>
      </c>
      <c r="Y1000" t="str">
        <f t="array" ref="Y1000">IF($A1000="","",INDEX(JupData!$A$2:$K$10000,MATCH($A1000&amp;Y$1,JupData!$A$2:$A$10000&amp;JupData!$J$2:$J$10000,0),11))</f>
        <v/>
      </c>
      <c r="Z1000" t="str">
        <f t="array" ref="Z1000">IF($A1000="","",INDEX(JupData!$A$2:$K$10000,MATCH($A1000&amp;Z$1,JupData!$A$2:$A$10000&amp;JupData!$J$2:$J$10000,0),11))</f>
        <v/>
      </c>
      <c r="AA1000" t="str">
        <f t="array" ref="AA1000">IF($A1000="","",INDEX(JupData!$A$2:$K$10000,MATCH($A1000&amp;AA$1,JupData!$A$2:$A$10000&amp;JupData!$J$2:$J$10000,0),11))</f>
        <v/>
      </c>
      <c r="AB1000" t="str">
        <f t="array" ref="AB1000">IF($A1000="","",INDEX(JupData!$A$2:$K$10000,MATCH($A1000&amp;AB$1,JupData!$A$2:$A$10000&amp;JupData!$J$2:$J$10000,0),11))</f>
        <v/>
      </c>
      <c r="AC1000" s="10" t="str">
        <f t="shared" si="165"/>
        <v/>
      </c>
      <c r="AD1000" s="10" t="str">
        <f t="shared" si="166"/>
        <v/>
      </c>
      <c r="AE1000" s="9" t="str">
        <f t="shared" si="167"/>
        <v/>
      </c>
      <c r="AF1000" s="10" t="str">
        <f t="shared" si="168"/>
        <v/>
      </c>
      <c r="AG1000" s="10" t="str">
        <f t="shared" si="169"/>
        <v/>
      </c>
      <c r="AH1000" s="10" t="str">
        <f t="shared" si="175"/>
        <v/>
      </c>
      <c r="AI1000" s="10" t="str">
        <f t="shared" si="170"/>
        <v/>
      </c>
      <c r="AJ1000" s="10" t="str">
        <f t="shared" si="171"/>
        <v/>
      </c>
      <c r="AK1000" s="10" t="str">
        <f t="shared" si="172"/>
        <v/>
      </c>
      <c r="AL1000" s="14" t="str">
        <f t="shared" si="173"/>
        <v/>
      </c>
    </row>
    <row r="1001" spans="1:38" x14ac:dyDescent="0.2">
      <c r="A1001"/>
    </row>
    <row r="1002" spans="1:38" x14ac:dyDescent="0.2">
      <c r="A1002"/>
    </row>
    <row r="1003" spans="1:38" x14ac:dyDescent="0.2">
      <c r="A1003"/>
    </row>
    <row r="1004" spans="1:38" x14ac:dyDescent="0.2">
      <c r="A1004"/>
    </row>
    <row r="1005" spans="1:38" x14ac:dyDescent="0.2">
      <c r="A1005"/>
    </row>
    <row r="1006" spans="1:38" x14ac:dyDescent="0.2">
      <c r="A1006"/>
    </row>
    <row r="1007" spans="1:38" x14ac:dyDescent="0.2">
      <c r="A1007"/>
    </row>
    <row r="1008" spans="1:38" x14ac:dyDescent="0.2">
      <c r="A1008"/>
    </row>
    <row r="1009" spans="1:1" x14ac:dyDescent="0.2">
      <c r="A1009"/>
    </row>
    <row r="1010" spans="1:1" x14ac:dyDescent="0.2">
      <c r="A1010"/>
    </row>
    <row r="1011" spans="1:1" x14ac:dyDescent="0.2">
      <c r="A1011"/>
    </row>
    <row r="1012" spans="1:1" x14ac:dyDescent="0.2">
      <c r="A1012"/>
    </row>
    <row r="1013" spans="1:1" x14ac:dyDescent="0.2">
      <c r="A1013"/>
    </row>
    <row r="1014" spans="1:1" x14ac:dyDescent="0.2">
      <c r="A1014"/>
    </row>
    <row r="1015" spans="1:1" x14ac:dyDescent="0.2">
      <c r="A1015"/>
    </row>
    <row r="1016" spans="1:1" x14ac:dyDescent="0.2">
      <c r="A1016"/>
    </row>
    <row r="1017" spans="1:1" x14ac:dyDescent="0.2">
      <c r="A1017"/>
    </row>
    <row r="1018" spans="1:1" x14ac:dyDescent="0.2">
      <c r="A1018"/>
    </row>
    <row r="1019" spans="1:1" x14ac:dyDescent="0.2">
      <c r="A1019"/>
    </row>
    <row r="1020" spans="1:1" x14ac:dyDescent="0.2">
      <c r="A1020"/>
    </row>
    <row r="1021" spans="1:1" x14ac:dyDescent="0.2">
      <c r="A1021"/>
    </row>
    <row r="1022" spans="1:1" x14ac:dyDescent="0.2">
      <c r="A1022"/>
    </row>
    <row r="1023" spans="1:1" x14ac:dyDescent="0.2">
      <c r="A1023"/>
    </row>
    <row r="1024" spans="1:1" x14ac:dyDescent="0.2">
      <c r="A1024"/>
    </row>
    <row r="1025" spans="1:1" x14ac:dyDescent="0.2">
      <c r="A1025"/>
    </row>
    <row r="1026" spans="1:1" x14ac:dyDescent="0.2">
      <c r="A1026"/>
    </row>
    <row r="1027" spans="1:1" x14ac:dyDescent="0.2">
      <c r="A1027"/>
    </row>
    <row r="1028" spans="1:1" x14ac:dyDescent="0.2">
      <c r="A1028"/>
    </row>
    <row r="1029" spans="1:1" x14ac:dyDescent="0.2">
      <c r="A1029"/>
    </row>
    <row r="1030" spans="1:1" x14ac:dyDescent="0.2">
      <c r="A1030"/>
    </row>
    <row r="1031" spans="1:1" x14ac:dyDescent="0.2">
      <c r="A1031"/>
    </row>
    <row r="1032" spans="1:1" x14ac:dyDescent="0.2">
      <c r="A1032"/>
    </row>
    <row r="1033" spans="1:1" x14ac:dyDescent="0.2">
      <c r="A1033"/>
    </row>
    <row r="1034" spans="1:1" x14ac:dyDescent="0.2">
      <c r="A1034"/>
    </row>
    <row r="1035" spans="1:1" x14ac:dyDescent="0.2">
      <c r="A1035"/>
    </row>
    <row r="1036" spans="1:1" x14ac:dyDescent="0.2">
      <c r="A1036"/>
    </row>
    <row r="1037" spans="1:1" x14ac:dyDescent="0.2">
      <c r="A1037"/>
    </row>
    <row r="1038" spans="1:1" x14ac:dyDescent="0.2">
      <c r="A1038"/>
    </row>
    <row r="1039" spans="1:1" x14ac:dyDescent="0.2">
      <c r="A1039"/>
    </row>
    <row r="1040" spans="1:1" x14ac:dyDescent="0.2">
      <c r="A1040"/>
    </row>
    <row r="1041" spans="1:1" x14ac:dyDescent="0.2">
      <c r="A1041"/>
    </row>
    <row r="1042" spans="1:1" x14ac:dyDescent="0.2">
      <c r="A1042"/>
    </row>
    <row r="1043" spans="1:1" x14ac:dyDescent="0.2">
      <c r="A1043"/>
    </row>
    <row r="1044" spans="1:1" x14ac:dyDescent="0.2">
      <c r="A1044"/>
    </row>
    <row r="1045" spans="1:1" x14ac:dyDescent="0.2">
      <c r="A1045"/>
    </row>
    <row r="1046" spans="1:1" x14ac:dyDescent="0.2">
      <c r="A1046"/>
    </row>
    <row r="1047" spans="1:1" x14ac:dyDescent="0.2">
      <c r="A1047"/>
    </row>
    <row r="1048" spans="1:1" x14ac:dyDescent="0.2">
      <c r="A1048"/>
    </row>
    <row r="1049" spans="1:1" x14ac:dyDescent="0.2">
      <c r="A1049"/>
    </row>
    <row r="1050" spans="1:1" x14ac:dyDescent="0.2">
      <c r="A1050"/>
    </row>
    <row r="1051" spans="1:1" x14ac:dyDescent="0.2">
      <c r="A1051"/>
    </row>
    <row r="1052" spans="1:1" x14ac:dyDescent="0.2">
      <c r="A1052"/>
    </row>
    <row r="1053" spans="1:1" x14ac:dyDescent="0.2">
      <c r="A1053"/>
    </row>
    <row r="1054" spans="1:1" x14ac:dyDescent="0.2">
      <c r="A1054"/>
    </row>
    <row r="1055" spans="1:1" x14ac:dyDescent="0.2">
      <c r="A1055"/>
    </row>
    <row r="1056" spans="1:1" x14ac:dyDescent="0.2">
      <c r="A1056"/>
    </row>
    <row r="1057" spans="1:1" x14ac:dyDescent="0.2">
      <c r="A1057"/>
    </row>
    <row r="1058" spans="1:1" x14ac:dyDescent="0.2">
      <c r="A1058"/>
    </row>
    <row r="1059" spans="1:1" x14ac:dyDescent="0.2">
      <c r="A1059"/>
    </row>
    <row r="1060" spans="1:1" x14ac:dyDescent="0.2">
      <c r="A1060"/>
    </row>
    <row r="1061" spans="1:1" x14ac:dyDescent="0.2">
      <c r="A1061"/>
    </row>
    <row r="1062" spans="1:1" x14ac:dyDescent="0.2">
      <c r="A1062"/>
    </row>
    <row r="1063" spans="1:1" x14ac:dyDescent="0.2">
      <c r="A1063"/>
    </row>
    <row r="1064" spans="1:1" x14ac:dyDescent="0.2">
      <c r="A1064"/>
    </row>
    <row r="1065" spans="1:1" x14ac:dyDescent="0.2">
      <c r="A1065"/>
    </row>
    <row r="1066" spans="1:1" x14ac:dyDescent="0.2">
      <c r="A1066"/>
    </row>
    <row r="1067" spans="1:1" x14ac:dyDescent="0.2">
      <c r="A1067"/>
    </row>
    <row r="1068" spans="1:1" x14ac:dyDescent="0.2">
      <c r="A1068"/>
    </row>
    <row r="1069" spans="1:1" x14ac:dyDescent="0.2">
      <c r="A1069"/>
    </row>
    <row r="1070" spans="1:1" x14ac:dyDescent="0.2">
      <c r="A1070"/>
    </row>
    <row r="1071" spans="1:1" x14ac:dyDescent="0.2">
      <c r="A1071"/>
    </row>
    <row r="1072" spans="1:1" x14ac:dyDescent="0.2">
      <c r="A1072"/>
    </row>
    <row r="1073" spans="1:1" x14ac:dyDescent="0.2">
      <c r="A1073"/>
    </row>
    <row r="1074" spans="1:1" x14ac:dyDescent="0.2">
      <c r="A1074"/>
    </row>
    <row r="1075" spans="1:1" x14ac:dyDescent="0.2">
      <c r="A1075"/>
    </row>
    <row r="1076" spans="1:1" x14ac:dyDescent="0.2">
      <c r="A1076"/>
    </row>
    <row r="1077" spans="1:1" x14ac:dyDescent="0.2">
      <c r="A1077"/>
    </row>
    <row r="1078" spans="1:1" x14ac:dyDescent="0.2">
      <c r="A1078"/>
    </row>
    <row r="1079" spans="1:1" x14ac:dyDescent="0.2">
      <c r="A1079"/>
    </row>
    <row r="1080" spans="1:1" x14ac:dyDescent="0.2">
      <c r="A1080"/>
    </row>
    <row r="1081" spans="1:1" x14ac:dyDescent="0.2">
      <c r="A1081"/>
    </row>
    <row r="1082" spans="1:1" x14ac:dyDescent="0.2">
      <c r="A1082"/>
    </row>
    <row r="1083" spans="1:1" x14ac:dyDescent="0.2">
      <c r="A1083"/>
    </row>
    <row r="1084" spans="1:1" x14ac:dyDescent="0.2">
      <c r="A1084"/>
    </row>
    <row r="1085" spans="1:1" x14ac:dyDescent="0.2">
      <c r="A1085"/>
    </row>
    <row r="1086" spans="1:1" x14ac:dyDescent="0.2">
      <c r="A1086"/>
    </row>
    <row r="1087" spans="1:1" x14ac:dyDescent="0.2">
      <c r="A1087"/>
    </row>
    <row r="1088" spans="1:1" x14ac:dyDescent="0.2">
      <c r="A1088"/>
    </row>
    <row r="1089" spans="1:1" x14ac:dyDescent="0.2">
      <c r="A1089"/>
    </row>
    <row r="1090" spans="1:1" x14ac:dyDescent="0.2">
      <c r="A1090"/>
    </row>
    <row r="1091" spans="1:1" x14ac:dyDescent="0.2">
      <c r="A1091"/>
    </row>
    <row r="1092" spans="1:1" x14ac:dyDescent="0.2">
      <c r="A1092"/>
    </row>
    <row r="1093" spans="1:1" x14ac:dyDescent="0.2">
      <c r="A1093"/>
    </row>
    <row r="1094" spans="1:1" x14ac:dyDescent="0.2">
      <c r="A1094"/>
    </row>
    <row r="1095" spans="1:1" x14ac:dyDescent="0.2">
      <c r="A1095"/>
    </row>
    <row r="1096" spans="1:1" x14ac:dyDescent="0.2">
      <c r="A1096"/>
    </row>
    <row r="1097" spans="1:1" x14ac:dyDescent="0.2">
      <c r="A1097"/>
    </row>
    <row r="1098" spans="1:1" x14ac:dyDescent="0.2">
      <c r="A1098"/>
    </row>
    <row r="1099" spans="1:1" x14ac:dyDescent="0.2">
      <c r="A1099"/>
    </row>
    <row r="1100" spans="1:1" x14ac:dyDescent="0.2">
      <c r="A1100"/>
    </row>
    <row r="1101" spans="1:1" x14ac:dyDescent="0.2">
      <c r="A1101"/>
    </row>
    <row r="1102" spans="1:1" x14ac:dyDescent="0.2">
      <c r="A1102"/>
    </row>
    <row r="1103" spans="1:1" x14ac:dyDescent="0.2">
      <c r="A1103"/>
    </row>
    <row r="1104" spans="1:1" x14ac:dyDescent="0.2">
      <c r="A1104"/>
    </row>
    <row r="1105" spans="1:1" x14ac:dyDescent="0.2">
      <c r="A1105"/>
    </row>
    <row r="1106" spans="1:1" x14ac:dyDescent="0.2">
      <c r="A1106"/>
    </row>
    <row r="1107" spans="1:1" x14ac:dyDescent="0.2">
      <c r="A1107"/>
    </row>
    <row r="1108" spans="1:1" x14ac:dyDescent="0.2">
      <c r="A1108"/>
    </row>
    <row r="1109" spans="1:1" x14ac:dyDescent="0.2">
      <c r="A1109"/>
    </row>
    <row r="1110" spans="1:1" x14ac:dyDescent="0.2">
      <c r="A1110"/>
    </row>
    <row r="1111" spans="1:1" x14ac:dyDescent="0.2">
      <c r="A1111"/>
    </row>
    <row r="1112" spans="1:1" x14ac:dyDescent="0.2">
      <c r="A1112"/>
    </row>
    <row r="1113" spans="1:1" x14ac:dyDescent="0.2">
      <c r="A1113"/>
    </row>
    <row r="1114" spans="1:1" x14ac:dyDescent="0.2">
      <c r="A1114"/>
    </row>
    <row r="1115" spans="1:1" x14ac:dyDescent="0.2">
      <c r="A1115"/>
    </row>
    <row r="1116" spans="1:1" x14ac:dyDescent="0.2">
      <c r="A1116"/>
    </row>
    <row r="1117" spans="1:1" x14ac:dyDescent="0.2">
      <c r="A1117"/>
    </row>
    <row r="1118" spans="1:1" x14ac:dyDescent="0.2">
      <c r="A1118"/>
    </row>
    <row r="1119" spans="1:1" x14ac:dyDescent="0.2">
      <c r="A1119"/>
    </row>
    <row r="1120" spans="1:1" x14ac:dyDescent="0.2">
      <c r="A1120"/>
    </row>
    <row r="1121" spans="1:1" x14ac:dyDescent="0.2">
      <c r="A1121"/>
    </row>
    <row r="1122" spans="1:1" x14ac:dyDescent="0.2">
      <c r="A1122"/>
    </row>
    <row r="1123" spans="1:1" x14ac:dyDescent="0.2">
      <c r="A1123"/>
    </row>
    <row r="1124" spans="1:1" x14ac:dyDescent="0.2">
      <c r="A1124"/>
    </row>
    <row r="1125" spans="1:1" x14ac:dyDescent="0.2">
      <c r="A1125"/>
    </row>
    <row r="1126" spans="1:1" x14ac:dyDescent="0.2">
      <c r="A1126"/>
    </row>
    <row r="1127" spans="1:1" x14ac:dyDescent="0.2">
      <c r="A1127"/>
    </row>
    <row r="1128" spans="1:1" x14ac:dyDescent="0.2">
      <c r="A1128"/>
    </row>
    <row r="1129" spans="1:1" x14ac:dyDescent="0.2">
      <c r="A1129"/>
    </row>
    <row r="1130" spans="1:1" x14ac:dyDescent="0.2">
      <c r="A1130"/>
    </row>
    <row r="1131" spans="1:1" x14ac:dyDescent="0.2">
      <c r="A1131"/>
    </row>
    <row r="1132" spans="1:1" x14ac:dyDescent="0.2">
      <c r="A1132"/>
    </row>
    <row r="1133" spans="1:1" x14ac:dyDescent="0.2">
      <c r="A1133"/>
    </row>
    <row r="1134" spans="1:1" x14ac:dyDescent="0.2">
      <c r="A1134"/>
    </row>
    <row r="1135" spans="1:1" x14ac:dyDescent="0.2">
      <c r="A1135"/>
    </row>
    <row r="1136" spans="1:1" x14ac:dyDescent="0.2">
      <c r="A1136"/>
    </row>
    <row r="1137" spans="1:1" x14ac:dyDescent="0.2">
      <c r="A1137"/>
    </row>
    <row r="1138" spans="1:1" x14ac:dyDescent="0.2">
      <c r="A1138"/>
    </row>
    <row r="1139" spans="1:1" x14ac:dyDescent="0.2">
      <c r="A1139"/>
    </row>
    <row r="1140" spans="1:1" x14ac:dyDescent="0.2">
      <c r="A1140"/>
    </row>
    <row r="1141" spans="1:1" x14ac:dyDescent="0.2">
      <c r="A1141"/>
    </row>
    <row r="1142" spans="1:1" x14ac:dyDescent="0.2">
      <c r="A1142"/>
    </row>
    <row r="1143" spans="1:1" x14ac:dyDescent="0.2">
      <c r="A1143"/>
    </row>
    <row r="1144" spans="1:1" x14ac:dyDescent="0.2">
      <c r="A1144"/>
    </row>
    <row r="1145" spans="1:1" x14ac:dyDescent="0.2">
      <c r="A1145"/>
    </row>
    <row r="1146" spans="1:1" x14ac:dyDescent="0.2">
      <c r="A1146"/>
    </row>
    <row r="1147" spans="1:1" x14ac:dyDescent="0.2">
      <c r="A1147"/>
    </row>
    <row r="1148" spans="1:1" x14ac:dyDescent="0.2">
      <c r="A1148"/>
    </row>
    <row r="1149" spans="1:1" x14ac:dyDescent="0.2">
      <c r="A1149"/>
    </row>
    <row r="1150" spans="1:1" x14ac:dyDescent="0.2">
      <c r="A1150"/>
    </row>
    <row r="1151" spans="1:1" x14ac:dyDescent="0.2">
      <c r="A1151"/>
    </row>
    <row r="1152" spans="1:1" x14ac:dyDescent="0.2">
      <c r="A1152"/>
    </row>
    <row r="1153" spans="1:1" x14ac:dyDescent="0.2">
      <c r="A1153"/>
    </row>
    <row r="1154" spans="1:1" x14ac:dyDescent="0.2">
      <c r="A1154"/>
    </row>
    <row r="1155" spans="1:1" x14ac:dyDescent="0.2">
      <c r="A1155"/>
    </row>
    <row r="1156" spans="1:1" x14ac:dyDescent="0.2">
      <c r="A1156"/>
    </row>
    <row r="1157" spans="1:1" x14ac:dyDescent="0.2">
      <c r="A1157"/>
    </row>
    <row r="1158" spans="1:1" x14ac:dyDescent="0.2">
      <c r="A1158"/>
    </row>
    <row r="1159" spans="1:1" x14ac:dyDescent="0.2">
      <c r="A1159"/>
    </row>
    <row r="1160" spans="1:1" x14ac:dyDescent="0.2">
      <c r="A1160"/>
    </row>
    <row r="1161" spans="1:1" x14ac:dyDescent="0.2">
      <c r="A1161"/>
    </row>
    <row r="1162" spans="1:1" x14ac:dyDescent="0.2">
      <c r="A1162"/>
    </row>
    <row r="1163" spans="1:1" x14ac:dyDescent="0.2">
      <c r="A1163"/>
    </row>
    <row r="1164" spans="1:1" x14ac:dyDescent="0.2">
      <c r="A1164"/>
    </row>
    <row r="1165" spans="1:1" x14ac:dyDescent="0.2">
      <c r="A1165"/>
    </row>
    <row r="1166" spans="1:1" x14ac:dyDescent="0.2">
      <c r="A1166"/>
    </row>
    <row r="1167" spans="1:1" x14ac:dyDescent="0.2">
      <c r="A1167"/>
    </row>
    <row r="1168" spans="1:1" x14ac:dyDescent="0.2">
      <c r="A1168"/>
    </row>
    <row r="1169" spans="1:1" x14ac:dyDescent="0.2">
      <c r="A1169"/>
    </row>
    <row r="1170" spans="1:1" x14ac:dyDescent="0.2">
      <c r="A1170"/>
    </row>
    <row r="1171" spans="1:1" x14ac:dyDescent="0.2">
      <c r="A1171"/>
    </row>
    <row r="1172" spans="1:1" x14ac:dyDescent="0.2">
      <c r="A1172"/>
    </row>
    <row r="1173" spans="1:1" x14ac:dyDescent="0.2">
      <c r="A1173"/>
    </row>
    <row r="1174" spans="1:1" x14ac:dyDescent="0.2">
      <c r="A1174"/>
    </row>
    <row r="1175" spans="1:1" x14ac:dyDescent="0.2">
      <c r="A1175"/>
    </row>
    <row r="1176" spans="1:1" x14ac:dyDescent="0.2">
      <c r="A1176"/>
    </row>
    <row r="1177" spans="1:1" x14ac:dyDescent="0.2">
      <c r="A1177"/>
    </row>
    <row r="1178" spans="1:1" x14ac:dyDescent="0.2">
      <c r="A1178"/>
    </row>
    <row r="1179" spans="1:1" x14ac:dyDescent="0.2">
      <c r="A1179"/>
    </row>
    <row r="1180" spans="1:1" x14ac:dyDescent="0.2">
      <c r="A1180"/>
    </row>
    <row r="1181" spans="1:1" x14ac:dyDescent="0.2">
      <c r="A1181"/>
    </row>
    <row r="1182" spans="1:1" x14ac:dyDescent="0.2">
      <c r="A1182"/>
    </row>
    <row r="1183" spans="1:1" x14ac:dyDescent="0.2">
      <c r="A1183"/>
    </row>
    <row r="1184" spans="1:1" x14ac:dyDescent="0.2">
      <c r="A1184"/>
    </row>
    <row r="1185" spans="1:1" x14ac:dyDescent="0.2">
      <c r="A1185"/>
    </row>
    <row r="1186" spans="1:1" x14ac:dyDescent="0.2">
      <c r="A1186"/>
    </row>
    <row r="1187" spans="1:1" x14ac:dyDescent="0.2">
      <c r="A1187"/>
    </row>
    <row r="1188" spans="1:1" x14ac:dyDescent="0.2">
      <c r="A1188"/>
    </row>
    <row r="1189" spans="1:1" x14ac:dyDescent="0.2">
      <c r="A1189"/>
    </row>
    <row r="1190" spans="1:1" x14ac:dyDescent="0.2">
      <c r="A1190"/>
    </row>
    <row r="1191" spans="1:1" x14ac:dyDescent="0.2">
      <c r="A1191"/>
    </row>
    <row r="1192" spans="1:1" x14ac:dyDescent="0.2">
      <c r="A1192"/>
    </row>
    <row r="1193" spans="1:1" x14ac:dyDescent="0.2">
      <c r="A1193"/>
    </row>
    <row r="1194" spans="1:1" x14ac:dyDescent="0.2">
      <c r="A1194"/>
    </row>
    <row r="1195" spans="1:1" x14ac:dyDescent="0.2">
      <c r="A1195"/>
    </row>
    <row r="1196" spans="1:1" x14ac:dyDescent="0.2">
      <c r="A1196"/>
    </row>
    <row r="1197" spans="1:1" x14ac:dyDescent="0.2">
      <c r="A1197"/>
    </row>
    <row r="1198" spans="1:1" x14ac:dyDescent="0.2">
      <c r="A1198"/>
    </row>
    <row r="1199" spans="1:1" x14ac:dyDescent="0.2">
      <c r="A1199"/>
    </row>
    <row r="1200" spans="1:1" x14ac:dyDescent="0.2">
      <c r="A1200"/>
    </row>
    <row r="1201" spans="1:1" x14ac:dyDescent="0.2">
      <c r="A1201"/>
    </row>
    <row r="1202" spans="1:1" x14ac:dyDescent="0.2">
      <c r="A1202"/>
    </row>
    <row r="1203" spans="1:1" x14ac:dyDescent="0.2">
      <c r="A1203"/>
    </row>
    <row r="1204" spans="1:1" x14ac:dyDescent="0.2">
      <c r="A1204"/>
    </row>
    <row r="1205" spans="1:1" x14ac:dyDescent="0.2">
      <c r="A1205"/>
    </row>
    <row r="1206" spans="1:1" x14ac:dyDescent="0.2">
      <c r="A1206"/>
    </row>
    <row r="1207" spans="1:1" x14ac:dyDescent="0.2">
      <c r="A1207"/>
    </row>
    <row r="1208" spans="1:1" x14ac:dyDescent="0.2">
      <c r="A1208"/>
    </row>
    <row r="1209" spans="1:1" x14ac:dyDescent="0.2">
      <c r="A1209"/>
    </row>
    <row r="1210" spans="1:1" x14ac:dyDescent="0.2">
      <c r="A1210"/>
    </row>
    <row r="1211" spans="1:1" x14ac:dyDescent="0.2">
      <c r="A1211"/>
    </row>
    <row r="1212" spans="1:1" x14ac:dyDescent="0.2">
      <c r="A1212"/>
    </row>
    <row r="1213" spans="1:1" x14ac:dyDescent="0.2">
      <c r="A1213"/>
    </row>
    <row r="1214" spans="1:1" x14ac:dyDescent="0.2">
      <c r="A1214"/>
    </row>
    <row r="1215" spans="1:1" x14ac:dyDescent="0.2">
      <c r="A1215"/>
    </row>
    <row r="1216" spans="1:1" x14ac:dyDescent="0.2">
      <c r="A1216"/>
    </row>
    <row r="1217" spans="1:1" x14ac:dyDescent="0.2">
      <c r="A1217"/>
    </row>
    <row r="1218" spans="1:1" x14ac:dyDescent="0.2">
      <c r="A1218"/>
    </row>
    <row r="1219" spans="1:1" x14ac:dyDescent="0.2">
      <c r="A1219"/>
    </row>
    <row r="1220" spans="1:1" x14ac:dyDescent="0.2">
      <c r="A1220"/>
    </row>
    <row r="1221" spans="1:1" x14ac:dyDescent="0.2">
      <c r="A1221"/>
    </row>
    <row r="1222" spans="1:1" x14ac:dyDescent="0.2">
      <c r="A1222"/>
    </row>
    <row r="1223" spans="1:1" x14ac:dyDescent="0.2">
      <c r="A1223"/>
    </row>
    <row r="1224" spans="1:1" x14ac:dyDescent="0.2">
      <c r="A1224"/>
    </row>
    <row r="1225" spans="1:1" x14ac:dyDescent="0.2">
      <c r="A1225"/>
    </row>
    <row r="1226" spans="1:1" x14ac:dyDescent="0.2">
      <c r="A1226"/>
    </row>
    <row r="1227" spans="1:1" x14ac:dyDescent="0.2">
      <c r="A1227"/>
    </row>
    <row r="1228" spans="1:1" x14ac:dyDescent="0.2">
      <c r="A1228"/>
    </row>
    <row r="1229" spans="1:1" x14ac:dyDescent="0.2">
      <c r="A1229"/>
    </row>
    <row r="1230" spans="1:1" x14ac:dyDescent="0.2">
      <c r="A1230"/>
    </row>
    <row r="1231" spans="1:1" x14ac:dyDescent="0.2">
      <c r="A1231"/>
    </row>
    <row r="1232" spans="1:1" x14ac:dyDescent="0.2">
      <c r="A1232"/>
    </row>
    <row r="1233" spans="1:1" x14ac:dyDescent="0.2">
      <c r="A1233"/>
    </row>
    <row r="1234" spans="1:1" x14ac:dyDescent="0.2">
      <c r="A1234"/>
    </row>
    <row r="1235" spans="1:1" x14ac:dyDescent="0.2">
      <c r="A1235"/>
    </row>
    <row r="1236" spans="1:1" x14ac:dyDescent="0.2">
      <c r="A1236"/>
    </row>
    <row r="1237" spans="1:1" x14ac:dyDescent="0.2">
      <c r="A1237"/>
    </row>
    <row r="1238" spans="1:1" x14ac:dyDescent="0.2">
      <c r="A1238"/>
    </row>
    <row r="1239" spans="1:1" x14ac:dyDescent="0.2">
      <c r="A1239"/>
    </row>
    <row r="1240" spans="1:1" x14ac:dyDescent="0.2">
      <c r="A1240"/>
    </row>
    <row r="1241" spans="1:1" x14ac:dyDescent="0.2">
      <c r="A1241"/>
    </row>
    <row r="1242" spans="1:1" x14ac:dyDescent="0.2">
      <c r="A1242"/>
    </row>
    <row r="1243" spans="1:1" x14ac:dyDescent="0.2">
      <c r="A1243"/>
    </row>
    <row r="1244" spans="1:1" x14ac:dyDescent="0.2">
      <c r="A1244"/>
    </row>
    <row r="1245" spans="1:1" x14ac:dyDescent="0.2">
      <c r="A1245"/>
    </row>
    <row r="1246" spans="1:1" x14ac:dyDescent="0.2">
      <c r="A1246"/>
    </row>
    <row r="1247" spans="1:1" x14ac:dyDescent="0.2">
      <c r="A1247"/>
    </row>
    <row r="1248" spans="1:1" x14ac:dyDescent="0.2">
      <c r="A1248"/>
    </row>
    <row r="1249" spans="1:1" x14ac:dyDescent="0.2">
      <c r="A1249"/>
    </row>
    <row r="1250" spans="1:1" x14ac:dyDescent="0.2">
      <c r="A1250"/>
    </row>
    <row r="1251" spans="1:1" x14ac:dyDescent="0.2">
      <c r="A1251"/>
    </row>
    <row r="1252" spans="1:1" x14ac:dyDescent="0.2">
      <c r="A1252"/>
    </row>
    <row r="1253" spans="1:1" x14ac:dyDescent="0.2">
      <c r="A1253"/>
    </row>
    <row r="1254" spans="1:1" x14ac:dyDescent="0.2">
      <c r="A1254"/>
    </row>
    <row r="1255" spans="1:1" x14ac:dyDescent="0.2">
      <c r="A1255"/>
    </row>
    <row r="1256" spans="1:1" x14ac:dyDescent="0.2">
      <c r="A1256"/>
    </row>
    <row r="1257" spans="1:1" x14ac:dyDescent="0.2">
      <c r="A1257"/>
    </row>
    <row r="1258" spans="1:1" x14ac:dyDescent="0.2">
      <c r="A1258"/>
    </row>
    <row r="1259" spans="1:1" x14ac:dyDescent="0.2">
      <c r="A1259"/>
    </row>
    <row r="1260" spans="1:1" x14ac:dyDescent="0.2">
      <c r="A1260"/>
    </row>
    <row r="1261" spans="1:1" x14ac:dyDescent="0.2">
      <c r="A1261"/>
    </row>
    <row r="1262" spans="1:1" x14ac:dyDescent="0.2">
      <c r="A1262"/>
    </row>
    <row r="1263" spans="1:1" x14ac:dyDescent="0.2">
      <c r="A1263"/>
    </row>
    <row r="1264" spans="1:1" x14ac:dyDescent="0.2">
      <c r="A1264"/>
    </row>
    <row r="1265" spans="1:1" x14ac:dyDescent="0.2">
      <c r="A1265"/>
    </row>
    <row r="1266" spans="1:1" x14ac:dyDescent="0.2">
      <c r="A1266"/>
    </row>
    <row r="1267" spans="1:1" x14ac:dyDescent="0.2">
      <c r="A1267"/>
    </row>
    <row r="1268" spans="1:1" x14ac:dyDescent="0.2">
      <c r="A1268"/>
    </row>
    <row r="1269" spans="1:1" x14ac:dyDescent="0.2">
      <c r="A1269"/>
    </row>
    <row r="1270" spans="1:1" x14ac:dyDescent="0.2">
      <c r="A1270"/>
    </row>
    <row r="1271" spans="1:1" x14ac:dyDescent="0.2">
      <c r="A1271"/>
    </row>
    <row r="1272" spans="1:1" x14ac:dyDescent="0.2">
      <c r="A1272"/>
    </row>
    <row r="1273" spans="1:1" x14ac:dyDescent="0.2">
      <c r="A1273"/>
    </row>
    <row r="1274" spans="1:1" x14ac:dyDescent="0.2">
      <c r="A1274"/>
    </row>
    <row r="1275" spans="1:1" x14ac:dyDescent="0.2">
      <c r="A1275"/>
    </row>
    <row r="1276" spans="1:1" x14ac:dyDescent="0.2">
      <c r="A1276"/>
    </row>
    <row r="1277" spans="1:1" x14ac:dyDescent="0.2">
      <c r="A1277"/>
    </row>
    <row r="1278" spans="1:1" x14ac:dyDescent="0.2">
      <c r="A1278"/>
    </row>
    <row r="1279" spans="1:1" x14ac:dyDescent="0.2">
      <c r="A1279"/>
    </row>
    <row r="1280" spans="1:1" x14ac:dyDescent="0.2">
      <c r="A1280"/>
    </row>
    <row r="1281" spans="1:1" x14ac:dyDescent="0.2">
      <c r="A1281"/>
    </row>
    <row r="1282" spans="1:1" x14ac:dyDescent="0.2">
      <c r="A1282"/>
    </row>
    <row r="1283" spans="1:1" x14ac:dyDescent="0.2">
      <c r="A1283"/>
    </row>
    <row r="1284" spans="1:1" x14ac:dyDescent="0.2">
      <c r="A1284"/>
    </row>
    <row r="1285" spans="1:1" x14ac:dyDescent="0.2">
      <c r="A1285"/>
    </row>
    <row r="1286" spans="1:1" x14ac:dyDescent="0.2">
      <c r="A1286"/>
    </row>
    <row r="1287" spans="1:1" x14ac:dyDescent="0.2">
      <c r="A1287"/>
    </row>
    <row r="1288" spans="1:1" x14ac:dyDescent="0.2">
      <c r="A1288"/>
    </row>
    <row r="1289" spans="1:1" x14ac:dyDescent="0.2">
      <c r="A1289"/>
    </row>
    <row r="1290" spans="1:1" x14ac:dyDescent="0.2">
      <c r="A1290"/>
    </row>
    <row r="1291" spans="1:1" x14ac:dyDescent="0.2">
      <c r="A1291"/>
    </row>
    <row r="1292" spans="1:1" x14ac:dyDescent="0.2">
      <c r="A1292"/>
    </row>
    <row r="1293" spans="1:1" x14ac:dyDescent="0.2">
      <c r="A1293"/>
    </row>
    <row r="1294" spans="1:1" x14ac:dyDescent="0.2">
      <c r="A1294"/>
    </row>
    <row r="1295" spans="1:1" x14ac:dyDescent="0.2">
      <c r="A1295"/>
    </row>
    <row r="1296" spans="1:1" x14ac:dyDescent="0.2">
      <c r="A1296"/>
    </row>
    <row r="1297" spans="1:1" x14ac:dyDescent="0.2">
      <c r="A1297"/>
    </row>
    <row r="1298" spans="1:1" x14ac:dyDescent="0.2">
      <c r="A1298"/>
    </row>
    <row r="1299" spans="1:1" x14ac:dyDescent="0.2">
      <c r="A1299"/>
    </row>
    <row r="1300" spans="1:1" x14ac:dyDescent="0.2">
      <c r="A1300"/>
    </row>
    <row r="1301" spans="1:1" x14ac:dyDescent="0.2">
      <c r="A1301"/>
    </row>
    <row r="1302" spans="1:1" x14ac:dyDescent="0.2">
      <c r="A1302"/>
    </row>
    <row r="1303" spans="1:1" x14ac:dyDescent="0.2">
      <c r="A1303"/>
    </row>
    <row r="1304" spans="1:1" x14ac:dyDescent="0.2">
      <c r="A1304"/>
    </row>
    <row r="1305" spans="1:1" x14ac:dyDescent="0.2">
      <c r="A1305"/>
    </row>
    <row r="1306" spans="1:1" x14ac:dyDescent="0.2">
      <c r="A1306"/>
    </row>
    <row r="1307" spans="1:1" x14ac:dyDescent="0.2">
      <c r="A1307"/>
    </row>
    <row r="1308" spans="1:1" x14ac:dyDescent="0.2">
      <c r="A1308"/>
    </row>
    <row r="1309" spans="1:1" x14ac:dyDescent="0.2">
      <c r="A1309"/>
    </row>
    <row r="1310" spans="1:1" x14ac:dyDescent="0.2">
      <c r="A1310"/>
    </row>
    <row r="1311" spans="1:1" x14ac:dyDescent="0.2">
      <c r="A1311"/>
    </row>
    <row r="1312" spans="1:1" x14ac:dyDescent="0.2">
      <c r="A1312"/>
    </row>
    <row r="1313" spans="1:1" x14ac:dyDescent="0.2">
      <c r="A1313"/>
    </row>
    <row r="1314" spans="1:1" x14ac:dyDescent="0.2">
      <c r="A1314"/>
    </row>
    <row r="1315" spans="1:1" x14ac:dyDescent="0.2">
      <c r="A1315"/>
    </row>
    <row r="1316" spans="1:1" x14ac:dyDescent="0.2">
      <c r="A1316"/>
    </row>
    <row r="1317" spans="1:1" x14ac:dyDescent="0.2">
      <c r="A1317"/>
    </row>
    <row r="1318" spans="1:1" x14ac:dyDescent="0.2">
      <c r="A1318"/>
    </row>
    <row r="1319" spans="1:1" x14ac:dyDescent="0.2">
      <c r="A1319"/>
    </row>
    <row r="1320" spans="1:1" x14ac:dyDescent="0.2">
      <c r="A1320"/>
    </row>
    <row r="1321" spans="1:1" x14ac:dyDescent="0.2">
      <c r="A1321"/>
    </row>
    <row r="1322" spans="1:1" x14ac:dyDescent="0.2">
      <c r="A1322"/>
    </row>
    <row r="1323" spans="1:1" x14ac:dyDescent="0.2">
      <c r="A1323"/>
    </row>
    <row r="1324" spans="1:1" x14ac:dyDescent="0.2">
      <c r="A1324"/>
    </row>
    <row r="1325" spans="1:1" x14ac:dyDescent="0.2">
      <c r="A1325"/>
    </row>
    <row r="1326" spans="1:1" x14ac:dyDescent="0.2">
      <c r="A1326"/>
    </row>
    <row r="1327" spans="1:1" x14ac:dyDescent="0.2">
      <c r="A1327"/>
    </row>
    <row r="1328" spans="1:1" x14ac:dyDescent="0.2">
      <c r="A1328"/>
    </row>
    <row r="1329" spans="1:1" x14ac:dyDescent="0.2">
      <c r="A1329"/>
    </row>
    <row r="1330" spans="1:1" x14ac:dyDescent="0.2">
      <c r="A1330"/>
    </row>
    <row r="1331" spans="1:1" x14ac:dyDescent="0.2">
      <c r="A1331"/>
    </row>
    <row r="1332" spans="1:1" x14ac:dyDescent="0.2">
      <c r="A1332"/>
    </row>
    <row r="1333" spans="1:1" x14ac:dyDescent="0.2">
      <c r="A1333"/>
    </row>
    <row r="1334" spans="1:1" x14ac:dyDescent="0.2">
      <c r="A1334"/>
    </row>
    <row r="1335" spans="1:1" x14ac:dyDescent="0.2">
      <c r="A1335"/>
    </row>
    <row r="1336" spans="1:1" x14ac:dyDescent="0.2">
      <c r="A1336"/>
    </row>
    <row r="1337" spans="1:1" x14ac:dyDescent="0.2">
      <c r="A1337"/>
    </row>
    <row r="1338" spans="1:1" x14ac:dyDescent="0.2">
      <c r="A1338"/>
    </row>
    <row r="1339" spans="1:1" x14ac:dyDescent="0.2">
      <c r="A1339"/>
    </row>
    <row r="1340" spans="1:1" x14ac:dyDescent="0.2">
      <c r="A1340"/>
    </row>
    <row r="1341" spans="1:1" x14ac:dyDescent="0.2">
      <c r="A1341"/>
    </row>
    <row r="1342" spans="1:1" x14ac:dyDescent="0.2">
      <c r="A1342"/>
    </row>
    <row r="1343" spans="1:1" x14ac:dyDescent="0.2">
      <c r="A1343"/>
    </row>
    <row r="1344" spans="1:1" x14ac:dyDescent="0.2">
      <c r="A1344"/>
    </row>
    <row r="1345" spans="1:1" x14ac:dyDescent="0.2">
      <c r="A1345"/>
    </row>
    <row r="1346" spans="1:1" x14ac:dyDescent="0.2">
      <c r="A1346"/>
    </row>
    <row r="1347" spans="1:1" x14ac:dyDescent="0.2">
      <c r="A1347"/>
    </row>
    <row r="1348" spans="1:1" x14ac:dyDescent="0.2">
      <c r="A1348"/>
    </row>
    <row r="1349" spans="1:1" x14ac:dyDescent="0.2">
      <c r="A1349"/>
    </row>
    <row r="1350" spans="1:1" x14ac:dyDescent="0.2">
      <c r="A1350"/>
    </row>
    <row r="1351" spans="1:1" x14ac:dyDescent="0.2">
      <c r="A1351"/>
    </row>
    <row r="1352" spans="1:1" x14ac:dyDescent="0.2">
      <c r="A1352"/>
    </row>
    <row r="1353" spans="1:1" x14ac:dyDescent="0.2">
      <c r="A1353"/>
    </row>
    <row r="1354" spans="1:1" x14ac:dyDescent="0.2">
      <c r="A1354"/>
    </row>
    <row r="1355" spans="1:1" x14ac:dyDescent="0.2">
      <c r="A1355"/>
    </row>
    <row r="1356" spans="1:1" x14ac:dyDescent="0.2">
      <c r="A1356"/>
    </row>
    <row r="1357" spans="1:1" x14ac:dyDescent="0.2">
      <c r="A1357"/>
    </row>
    <row r="1358" spans="1:1" x14ac:dyDescent="0.2">
      <c r="A1358"/>
    </row>
    <row r="1359" spans="1:1" x14ac:dyDescent="0.2">
      <c r="A1359"/>
    </row>
    <row r="1360" spans="1:1" x14ac:dyDescent="0.2">
      <c r="A1360"/>
    </row>
    <row r="1361" spans="1:1" x14ac:dyDescent="0.2">
      <c r="A1361"/>
    </row>
    <row r="1362" spans="1:1" x14ac:dyDescent="0.2">
      <c r="A1362"/>
    </row>
    <row r="1363" spans="1:1" x14ac:dyDescent="0.2">
      <c r="A1363"/>
    </row>
    <row r="1364" spans="1:1" x14ac:dyDescent="0.2">
      <c r="A1364"/>
    </row>
    <row r="1365" spans="1:1" x14ac:dyDescent="0.2">
      <c r="A1365"/>
    </row>
    <row r="1366" spans="1:1" x14ac:dyDescent="0.2">
      <c r="A1366"/>
    </row>
    <row r="1367" spans="1:1" x14ac:dyDescent="0.2">
      <c r="A1367"/>
    </row>
    <row r="1368" spans="1:1" x14ac:dyDescent="0.2">
      <c r="A1368"/>
    </row>
    <row r="1369" spans="1:1" x14ac:dyDescent="0.2">
      <c r="A1369"/>
    </row>
    <row r="1370" spans="1:1" x14ac:dyDescent="0.2">
      <c r="A1370"/>
    </row>
    <row r="1371" spans="1:1" x14ac:dyDescent="0.2">
      <c r="A1371"/>
    </row>
    <row r="1372" spans="1:1" x14ac:dyDescent="0.2">
      <c r="A1372"/>
    </row>
    <row r="1373" spans="1:1" x14ac:dyDescent="0.2">
      <c r="A1373"/>
    </row>
    <row r="1374" spans="1:1" x14ac:dyDescent="0.2">
      <c r="A1374"/>
    </row>
    <row r="1375" spans="1:1" x14ac:dyDescent="0.2">
      <c r="A1375"/>
    </row>
    <row r="1376" spans="1:1" x14ac:dyDescent="0.2">
      <c r="A1376"/>
    </row>
    <row r="1377" spans="1:1" x14ac:dyDescent="0.2">
      <c r="A1377"/>
    </row>
    <row r="1378" spans="1:1" x14ac:dyDescent="0.2">
      <c r="A1378"/>
    </row>
    <row r="1379" spans="1:1" x14ac:dyDescent="0.2">
      <c r="A1379"/>
    </row>
    <row r="1380" spans="1:1" x14ac:dyDescent="0.2">
      <c r="A1380"/>
    </row>
    <row r="1381" spans="1:1" x14ac:dyDescent="0.2">
      <c r="A1381"/>
    </row>
    <row r="1382" spans="1:1" x14ac:dyDescent="0.2">
      <c r="A1382"/>
    </row>
    <row r="1383" spans="1:1" x14ac:dyDescent="0.2">
      <c r="A1383"/>
    </row>
    <row r="1384" spans="1:1" x14ac:dyDescent="0.2">
      <c r="A1384"/>
    </row>
    <row r="1385" spans="1:1" x14ac:dyDescent="0.2">
      <c r="A1385"/>
    </row>
    <row r="1386" spans="1:1" x14ac:dyDescent="0.2">
      <c r="A1386"/>
    </row>
    <row r="1387" spans="1:1" x14ac:dyDescent="0.2">
      <c r="A1387"/>
    </row>
    <row r="1388" spans="1:1" x14ac:dyDescent="0.2">
      <c r="A1388"/>
    </row>
    <row r="1389" spans="1:1" x14ac:dyDescent="0.2">
      <c r="A1389"/>
    </row>
    <row r="1390" spans="1:1" x14ac:dyDescent="0.2">
      <c r="A1390"/>
    </row>
    <row r="1391" spans="1:1" x14ac:dyDescent="0.2">
      <c r="A1391"/>
    </row>
    <row r="1392" spans="1:1" x14ac:dyDescent="0.2">
      <c r="A1392"/>
    </row>
    <row r="1393" spans="1:1" x14ac:dyDescent="0.2">
      <c r="A1393"/>
    </row>
    <row r="1394" spans="1:1" x14ac:dyDescent="0.2">
      <c r="A1394"/>
    </row>
    <row r="1395" spans="1:1" x14ac:dyDescent="0.2">
      <c r="A1395"/>
    </row>
    <row r="1396" spans="1:1" x14ac:dyDescent="0.2">
      <c r="A1396"/>
    </row>
    <row r="1397" spans="1:1" x14ac:dyDescent="0.2">
      <c r="A1397"/>
    </row>
    <row r="1398" spans="1:1" x14ac:dyDescent="0.2">
      <c r="A1398"/>
    </row>
    <row r="1399" spans="1:1" x14ac:dyDescent="0.2">
      <c r="A1399"/>
    </row>
    <row r="1400" spans="1:1" x14ac:dyDescent="0.2">
      <c r="A1400"/>
    </row>
    <row r="1401" spans="1:1" x14ac:dyDescent="0.2">
      <c r="A1401"/>
    </row>
    <row r="1402" spans="1:1" x14ac:dyDescent="0.2">
      <c r="A1402"/>
    </row>
    <row r="1403" spans="1:1" x14ac:dyDescent="0.2">
      <c r="A1403"/>
    </row>
    <row r="1404" spans="1:1" x14ac:dyDescent="0.2">
      <c r="A1404"/>
    </row>
    <row r="1405" spans="1:1" x14ac:dyDescent="0.2">
      <c r="A1405"/>
    </row>
    <row r="1406" spans="1:1" x14ac:dyDescent="0.2">
      <c r="A1406"/>
    </row>
    <row r="1407" spans="1:1" x14ac:dyDescent="0.2">
      <c r="A1407"/>
    </row>
    <row r="1408" spans="1:1" x14ac:dyDescent="0.2">
      <c r="A1408"/>
    </row>
    <row r="1409" spans="1:1" x14ac:dyDescent="0.2">
      <c r="A1409"/>
    </row>
    <row r="1410" spans="1:1" x14ac:dyDescent="0.2">
      <c r="A1410"/>
    </row>
    <row r="1411" spans="1:1" x14ac:dyDescent="0.2">
      <c r="A1411"/>
    </row>
    <row r="1412" spans="1:1" x14ac:dyDescent="0.2">
      <c r="A1412"/>
    </row>
    <row r="1413" spans="1:1" x14ac:dyDescent="0.2">
      <c r="A1413"/>
    </row>
    <row r="1414" spans="1:1" x14ac:dyDescent="0.2">
      <c r="A1414"/>
    </row>
    <row r="1415" spans="1:1" x14ac:dyDescent="0.2">
      <c r="A1415"/>
    </row>
    <row r="1416" spans="1:1" x14ac:dyDescent="0.2">
      <c r="A1416"/>
    </row>
    <row r="1417" spans="1:1" x14ac:dyDescent="0.2">
      <c r="A1417"/>
    </row>
    <row r="1418" spans="1:1" x14ac:dyDescent="0.2">
      <c r="A1418"/>
    </row>
    <row r="1419" spans="1:1" x14ac:dyDescent="0.2">
      <c r="A1419"/>
    </row>
    <row r="1420" spans="1:1" x14ac:dyDescent="0.2">
      <c r="A1420"/>
    </row>
    <row r="1421" spans="1:1" x14ac:dyDescent="0.2">
      <c r="A1421"/>
    </row>
    <row r="1422" spans="1:1" x14ac:dyDescent="0.2">
      <c r="A1422"/>
    </row>
    <row r="1423" spans="1:1" x14ac:dyDescent="0.2">
      <c r="A1423"/>
    </row>
    <row r="1424" spans="1:1" x14ac:dyDescent="0.2">
      <c r="A1424"/>
    </row>
    <row r="1425" spans="1:1" x14ac:dyDescent="0.2">
      <c r="A1425"/>
    </row>
    <row r="1426" spans="1:1" x14ac:dyDescent="0.2">
      <c r="A1426"/>
    </row>
    <row r="1427" spans="1:1" x14ac:dyDescent="0.2">
      <c r="A1427"/>
    </row>
    <row r="1428" spans="1:1" x14ac:dyDescent="0.2">
      <c r="A1428"/>
    </row>
    <row r="1429" spans="1:1" x14ac:dyDescent="0.2">
      <c r="A1429"/>
    </row>
    <row r="1430" spans="1:1" x14ac:dyDescent="0.2">
      <c r="A1430"/>
    </row>
    <row r="1431" spans="1:1" x14ac:dyDescent="0.2">
      <c r="A1431"/>
    </row>
    <row r="1432" spans="1:1" x14ac:dyDescent="0.2">
      <c r="A1432"/>
    </row>
    <row r="1433" spans="1:1" x14ac:dyDescent="0.2">
      <c r="A1433"/>
    </row>
    <row r="1434" spans="1:1" x14ac:dyDescent="0.2">
      <c r="A1434"/>
    </row>
    <row r="1435" spans="1:1" x14ac:dyDescent="0.2">
      <c r="A1435"/>
    </row>
    <row r="1436" spans="1:1" x14ac:dyDescent="0.2">
      <c r="A1436"/>
    </row>
    <row r="1437" spans="1:1" x14ac:dyDescent="0.2">
      <c r="A1437"/>
    </row>
    <row r="1438" spans="1:1" x14ac:dyDescent="0.2">
      <c r="A1438"/>
    </row>
    <row r="1439" spans="1:1" x14ac:dyDescent="0.2">
      <c r="A1439"/>
    </row>
    <row r="1440" spans="1:1" x14ac:dyDescent="0.2">
      <c r="A1440"/>
    </row>
    <row r="1441" spans="1:1" x14ac:dyDescent="0.2">
      <c r="A1441"/>
    </row>
    <row r="1442" spans="1:1" x14ac:dyDescent="0.2">
      <c r="A1442"/>
    </row>
    <row r="1443" spans="1:1" x14ac:dyDescent="0.2">
      <c r="A1443"/>
    </row>
    <row r="1444" spans="1:1" x14ac:dyDescent="0.2">
      <c r="A1444"/>
    </row>
    <row r="1445" spans="1:1" x14ac:dyDescent="0.2">
      <c r="A1445"/>
    </row>
    <row r="1446" spans="1:1" x14ac:dyDescent="0.2">
      <c r="A1446"/>
    </row>
    <row r="1447" spans="1:1" x14ac:dyDescent="0.2">
      <c r="A1447"/>
    </row>
    <row r="1448" spans="1:1" x14ac:dyDescent="0.2">
      <c r="A1448"/>
    </row>
    <row r="1449" spans="1:1" x14ac:dyDescent="0.2">
      <c r="A1449"/>
    </row>
    <row r="1450" spans="1:1" x14ac:dyDescent="0.2">
      <c r="A1450"/>
    </row>
    <row r="1451" spans="1:1" x14ac:dyDescent="0.2">
      <c r="A1451"/>
    </row>
    <row r="1452" spans="1:1" x14ac:dyDescent="0.2">
      <c r="A1452"/>
    </row>
    <row r="1453" spans="1:1" x14ac:dyDescent="0.2">
      <c r="A1453"/>
    </row>
    <row r="1454" spans="1:1" x14ac:dyDescent="0.2">
      <c r="A1454"/>
    </row>
    <row r="1455" spans="1:1" x14ac:dyDescent="0.2">
      <c r="A1455"/>
    </row>
    <row r="1456" spans="1:1" x14ac:dyDescent="0.2">
      <c r="A1456"/>
    </row>
    <row r="1457" spans="1:1" x14ac:dyDescent="0.2">
      <c r="A1457"/>
    </row>
    <row r="1458" spans="1:1" x14ac:dyDescent="0.2">
      <c r="A1458"/>
    </row>
    <row r="1459" spans="1:1" x14ac:dyDescent="0.2">
      <c r="A1459"/>
    </row>
    <row r="1460" spans="1:1" x14ac:dyDescent="0.2">
      <c r="A1460"/>
    </row>
    <row r="1461" spans="1:1" x14ac:dyDescent="0.2">
      <c r="A1461"/>
    </row>
    <row r="1462" spans="1:1" x14ac:dyDescent="0.2">
      <c r="A1462"/>
    </row>
    <row r="1463" spans="1:1" x14ac:dyDescent="0.2">
      <c r="A1463"/>
    </row>
    <row r="1464" spans="1:1" x14ac:dyDescent="0.2">
      <c r="A1464"/>
    </row>
    <row r="1465" spans="1:1" x14ac:dyDescent="0.2">
      <c r="A1465"/>
    </row>
    <row r="1466" spans="1:1" x14ac:dyDescent="0.2">
      <c r="A1466"/>
    </row>
    <row r="1467" spans="1:1" x14ac:dyDescent="0.2">
      <c r="A1467"/>
    </row>
    <row r="1468" spans="1:1" x14ac:dyDescent="0.2">
      <c r="A1468"/>
    </row>
    <row r="1469" spans="1:1" x14ac:dyDescent="0.2">
      <c r="A1469"/>
    </row>
    <row r="1470" spans="1:1" x14ac:dyDescent="0.2">
      <c r="A1470"/>
    </row>
    <row r="1471" spans="1:1" x14ac:dyDescent="0.2">
      <c r="A1471"/>
    </row>
    <row r="1472" spans="1:1" x14ac:dyDescent="0.2">
      <c r="A1472"/>
    </row>
    <row r="1473" spans="1:1" x14ac:dyDescent="0.2">
      <c r="A1473"/>
    </row>
    <row r="1474" spans="1:1" x14ac:dyDescent="0.2">
      <c r="A1474"/>
    </row>
    <row r="1475" spans="1:1" x14ac:dyDescent="0.2">
      <c r="A1475"/>
    </row>
    <row r="1476" spans="1:1" x14ac:dyDescent="0.2">
      <c r="A1476"/>
    </row>
    <row r="1477" spans="1:1" x14ac:dyDescent="0.2">
      <c r="A1477"/>
    </row>
    <row r="1478" spans="1:1" x14ac:dyDescent="0.2">
      <c r="A1478"/>
    </row>
    <row r="1479" spans="1:1" x14ac:dyDescent="0.2">
      <c r="A1479"/>
    </row>
    <row r="1480" spans="1:1" x14ac:dyDescent="0.2">
      <c r="A1480"/>
    </row>
    <row r="1481" spans="1:1" x14ac:dyDescent="0.2">
      <c r="A1481"/>
    </row>
    <row r="1482" spans="1:1" x14ac:dyDescent="0.2">
      <c r="A1482"/>
    </row>
    <row r="1483" spans="1:1" x14ac:dyDescent="0.2">
      <c r="A1483"/>
    </row>
    <row r="1484" spans="1:1" x14ac:dyDescent="0.2">
      <c r="A1484"/>
    </row>
    <row r="1485" spans="1:1" x14ac:dyDescent="0.2">
      <c r="A1485"/>
    </row>
    <row r="1486" spans="1:1" x14ac:dyDescent="0.2">
      <c r="A1486"/>
    </row>
    <row r="1487" spans="1:1" x14ac:dyDescent="0.2">
      <c r="A1487"/>
    </row>
    <row r="1488" spans="1:1" x14ac:dyDescent="0.2">
      <c r="A1488"/>
    </row>
    <row r="1489" spans="1:1" x14ac:dyDescent="0.2">
      <c r="A1489"/>
    </row>
    <row r="1490" spans="1:1" x14ac:dyDescent="0.2">
      <c r="A1490"/>
    </row>
    <row r="1491" spans="1:1" x14ac:dyDescent="0.2">
      <c r="A1491"/>
    </row>
    <row r="1492" spans="1:1" x14ac:dyDescent="0.2">
      <c r="A1492"/>
    </row>
    <row r="1493" spans="1:1" x14ac:dyDescent="0.2">
      <c r="A1493"/>
    </row>
    <row r="1494" spans="1:1" x14ac:dyDescent="0.2">
      <c r="A1494"/>
    </row>
    <row r="1495" spans="1:1" x14ac:dyDescent="0.2">
      <c r="A1495"/>
    </row>
    <row r="1496" spans="1:1" x14ac:dyDescent="0.2">
      <c r="A1496"/>
    </row>
    <row r="1497" spans="1:1" x14ac:dyDescent="0.2">
      <c r="A1497"/>
    </row>
    <row r="1498" spans="1:1" x14ac:dyDescent="0.2">
      <c r="A1498"/>
    </row>
    <row r="1499" spans="1:1" x14ac:dyDescent="0.2">
      <c r="A1499"/>
    </row>
    <row r="1500" spans="1:1" x14ac:dyDescent="0.2">
      <c r="A1500"/>
    </row>
    <row r="1501" spans="1:1" x14ac:dyDescent="0.2">
      <c r="A1501"/>
    </row>
    <row r="1502" spans="1:1" x14ac:dyDescent="0.2">
      <c r="A1502"/>
    </row>
    <row r="1503" spans="1:1" x14ac:dyDescent="0.2">
      <c r="A1503"/>
    </row>
    <row r="1504" spans="1:1" x14ac:dyDescent="0.2">
      <c r="A1504"/>
    </row>
    <row r="1505" spans="1:1" x14ac:dyDescent="0.2">
      <c r="A1505"/>
    </row>
    <row r="1506" spans="1:1" x14ac:dyDescent="0.2">
      <c r="A1506"/>
    </row>
    <row r="1507" spans="1:1" x14ac:dyDescent="0.2">
      <c r="A1507"/>
    </row>
    <row r="1508" spans="1:1" x14ac:dyDescent="0.2">
      <c r="A1508"/>
    </row>
    <row r="1509" spans="1:1" x14ac:dyDescent="0.2">
      <c r="A1509"/>
    </row>
    <row r="1510" spans="1:1" x14ac:dyDescent="0.2">
      <c r="A1510"/>
    </row>
    <row r="1511" spans="1:1" x14ac:dyDescent="0.2">
      <c r="A1511"/>
    </row>
    <row r="1512" spans="1:1" x14ac:dyDescent="0.2">
      <c r="A1512"/>
    </row>
    <row r="1513" spans="1:1" x14ac:dyDescent="0.2">
      <c r="A1513"/>
    </row>
    <row r="1514" spans="1:1" x14ac:dyDescent="0.2">
      <c r="A1514"/>
    </row>
    <row r="1515" spans="1:1" x14ac:dyDescent="0.2">
      <c r="A1515"/>
    </row>
    <row r="1516" spans="1:1" x14ac:dyDescent="0.2">
      <c r="A1516"/>
    </row>
    <row r="1517" spans="1:1" x14ac:dyDescent="0.2">
      <c r="A1517"/>
    </row>
    <row r="1518" spans="1:1" x14ac:dyDescent="0.2">
      <c r="A1518"/>
    </row>
    <row r="1519" spans="1:1" x14ac:dyDescent="0.2">
      <c r="A1519"/>
    </row>
    <row r="1520" spans="1:1" x14ac:dyDescent="0.2">
      <c r="A1520"/>
    </row>
    <row r="1521" spans="1:1" x14ac:dyDescent="0.2">
      <c r="A1521"/>
    </row>
    <row r="1522" spans="1:1" x14ac:dyDescent="0.2">
      <c r="A1522"/>
    </row>
    <row r="1523" spans="1:1" x14ac:dyDescent="0.2">
      <c r="A1523"/>
    </row>
    <row r="1524" spans="1:1" x14ac:dyDescent="0.2">
      <c r="A1524"/>
    </row>
    <row r="1525" spans="1:1" x14ac:dyDescent="0.2">
      <c r="A1525"/>
    </row>
    <row r="1526" spans="1:1" x14ac:dyDescent="0.2">
      <c r="A1526"/>
    </row>
    <row r="1527" spans="1:1" x14ac:dyDescent="0.2">
      <c r="A1527"/>
    </row>
    <row r="1528" spans="1:1" x14ac:dyDescent="0.2">
      <c r="A1528"/>
    </row>
    <row r="1529" spans="1:1" x14ac:dyDescent="0.2">
      <c r="A1529"/>
    </row>
    <row r="1530" spans="1:1" x14ac:dyDescent="0.2">
      <c r="A1530"/>
    </row>
    <row r="1531" spans="1:1" x14ac:dyDescent="0.2">
      <c r="A1531"/>
    </row>
    <row r="1532" spans="1:1" x14ac:dyDescent="0.2">
      <c r="A1532"/>
    </row>
    <row r="1533" spans="1:1" x14ac:dyDescent="0.2">
      <c r="A1533"/>
    </row>
    <row r="1534" spans="1:1" x14ac:dyDescent="0.2">
      <c r="A1534"/>
    </row>
    <row r="1535" spans="1:1" x14ac:dyDescent="0.2">
      <c r="A1535"/>
    </row>
    <row r="1536" spans="1:1" x14ac:dyDescent="0.2">
      <c r="A1536"/>
    </row>
    <row r="1537" spans="1:1" x14ac:dyDescent="0.2">
      <c r="A1537"/>
    </row>
    <row r="1538" spans="1:1" x14ac:dyDescent="0.2">
      <c r="A1538"/>
    </row>
    <row r="1539" spans="1:1" x14ac:dyDescent="0.2">
      <c r="A1539"/>
    </row>
    <row r="1540" spans="1:1" x14ac:dyDescent="0.2">
      <c r="A1540"/>
    </row>
    <row r="1541" spans="1:1" x14ac:dyDescent="0.2">
      <c r="A1541"/>
    </row>
    <row r="1542" spans="1:1" x14ac:dyDescent="0.2">
      <c r="A1542"/>
    </row>
    <row r="1543" spans="1:1" x14ac:dyDescent="0.2">
      <c r="A1543"/>
    </row>
    <row r="1544" spans="1:1" x14ac:dyDescent="0.2">
      <c r="A1544"/>
    </row>
    <row r="1545" spans="1:1" x14ac:dyDescent="0.2">
      <c r="A1545"/>
    </row>
    <row r="1546" spans="1:1" x14ac:dyDescent="0.2">
      <c r="A1546"/>
    </row>
    <row r="1547" spans="1:1" x14ac:dyDescent="0.2">
      <c r="A1547"/>
    </row>
    <row r="1548" spans="1:1" x14ac:dyDescent="0.2">
      <c r="A1548"/>
    </row>
    <row r="1549" spans="1:1" x14ac:dyDescent="0.2">
      <c r="A1549"/>
    </row>
    <row r="1550" spans="1:1" x14ac:dyDescent="0.2">
      <c r="A1550"/>
    </row>
    <row r="1551" spans="1:1" x14ac:dyDescent="0.2">
      <c r="A1551"/>
    </row>
    <row r="1552" spans="1:1" x14ac:dyDescent="0.2">
      <c r="A1552"/>
    </row>
    <row r="1553" spans="1:1" x14ac:dyDescent="0.2">
      <c r="A1553"/>
    </row>
    <row r="1554" spans="1:1" x14ac:dyDescent="0.2">
      <c r="A1554"/>
    </row>
    <row r="1555" spans="1:1" x14ac:dyDescent="0.2">
      <c r="A1555"/>
    </row>
    <row r="1556" spans="1:1" x14ac:dyDescent="0.2">
      <c r="A1556"/>
    </row>
    <row r="1557" spans="1:1" x14ac:dyDescent="0.2">
      <c r="A1557"/>
    </row>
    <row r="1558" spans="1:1" x14ac:dyDescent="0.2">
      <c r="A1558"/>
    </row>
    <row r="1559" spans="1:1" x14ac:dyDescent="0.2">
      <c r="A1559"/>
    </row>
    <row r="1560" spans="1:1" x14ac:dyDescent="0.2">
      <c r="A1560"/>
    </row>
    <row r="1561" spans="1:1" x14ac:dyDescent="0.2">
      <c r="A1561"/>
    </row>
    <row r="1562" spans="1:1" x14ac:dyDescent="0.2">
      <c r="A1562"/>
    </row>
    <row r="1563" spans="1:1" x14ac:dyDescent="0.2">
      <c r="A1563"/>
    </row>
    <row r="1564" spans="1:1" x14ac:dyDescent="0.2">
      <c r="A1564"/>
    </row>
    <row r="1565" spans="1:1" x14ac:dyDescent="0.2">
      <c r="A1565"/>
    </row>
    <row r="1566" spans="1:1" x14ac:dyDescent="0.2">
      <c r="A1566"/>
    </row>
    <row r="1567" spans="1:1" x14ac:dyDescent="0.2">
      <c r="A1567"/>
    </row>
    <row r="1568" spans="1:1" x14ac:dyDescent="0.2">
      <c r="A1568"/>
    </row>
    <row r="1569" spans="1:1" x14ac:dyDescent="0.2">
      <c r="A1569"/>
    </row>
    <row r="1570" spans="1:1" x14ac:dyDescent="0.2">
      <c r="A1570"/>
    </row>
    <row r="1571" spans="1:1" x14ac:dyDescent="0.2">
      <c r="A1571"/>
    </row>
    <row r="1572" spans="1:1" x14ac:dyDescent="0.2">
      <c r="A1572"/>
    </row>
    <row r="1573" spans="1:1" x14ac:dyDescent="0.2">
      <c r="A1573"/>
    </row>
    <row r="1574" spans="1:1" x14ac:dyDescent="0.2">
      <c r="A1574"/>
    </row>
    <row r="1575" spans="1:1" x14ac:dyDescent="0.2">
      <c r="A1575"/>
    </row>
    <row r="1576" spans="1:1" x14ac:dyDescent="0.2">
      <c r="A1576"/>
    </row>
    <row r="1577" spans="1:1" x14ac:dyDescent="0.2">
      <c r="A1577"/>
    </row>
    <row r="1578" spans="1:1" x14ac:dyDescent="0.2">
      <c r="A1578"/>
    </row>
    <row r="1579" spans="1:1" x14ac:dyDescent="0.2">
      <c r="A1579"/>
    </row>
    <row r="1580" spans="1:1" x14ac:dyDescent="0.2">
      <c r="A1580"/>
    </row>
    <row r="1581" spans="1:1" x14ac:dyDescent="0.2">
      <c r="A1581"/>
    </row>
    <row r="1582" spans="1:1" x14ac:dyDescent="0.2">
      <c r="A1582"/>
    </row>
    <row r="1583" spans="1:1" x14ac:dyDescent="0.2">
      <c r="A1583"/>
    </row>
    <row r="1584" spans="1:1" x14ac:dyDescent="0.2">
      <c r="A1584"/>
    </row>
    <row r="1585" spans="1:1" x14ac:dyDescent="0.2">
      <c r="A1585"/>
    </row>
    <row r="1586" spans="1:1" x14ac:dyDescent="0.2">
      <c r="A1586"/>
    </row>
    <row r="1587" spans="1:1" x14ac:dyDescent="0.2">
      <c r="A1587"/>
    </row>
    <row r="1588" spans="1:1" x14ac:dyDescent="0.2">
      <c r="A1588"/>
    </row>
    <row r="1589" spans="1:1" x14ac:dyDescent="0.2">
      <c r="A1589"/>
    </row>
    <row r="1590" spans="1:1" x14ac:dyDescent="0.2">
      <c r="A1590"/>
    </row>
    <row r="1591" spans="1:1" x14ac:dyDescent="0.2">
      <c r="A1591"/>
    </row>
    <row r="1592" spans="1:1" x14ac:dyDescent="0.2">
      <c r="A1592"/>
    </row>
    <row r="1593" spans="1:1" x14ac:dyDescent="0.2">
      <c r="A1593"/>
    </row>
    <row r="1594" spans="1:1" x14ac:dyDescent="0.2">
      <c r="A1594"/>
    </row>
    <row r="1595" spans="1:1" x14ac:dyDescent="0.2">
      <c r="A1595"/>
    </row>
    <row r="1596" spans="1:1" x14ac:dyDescent="0.2">
      <c r="A1596"/>
    </row>
    <row r="1597" spans="1:1" x14ac:dyDescent="0.2">
      <c r="A1597"/>
    </row>
    <row r="1598" spans="1:1" x14ac:dyDescent="0.2">
      <c r="A1598"/>
    </row>
    <row r="1599" spans="1:1" x14ac:dyDescent="0.2">
      <c r="A1599"/>
    </row>
    <row r="1600" spans="1:1" x14ac:dyDescent="0.2">
      <c r="A1600"/>
    </row>
    <row r="1601" spans="1:1" x14ac:dyDescent="0.2">
      <c r="A1601"/>
    </row>
    <row r="1602" spans="1:1" x14ac:dyDescent="0.2">
      <c r="A1602"/>
    </row>
    <row r="1603" spans="1:1" x14ac:dyDescent="0.2">
      <c r="A1603"/>
    </row>
    <row r="1604" spans="1:1" x14ac:dyDescent="0.2">
      <c r="A1604"/>
    </row>
    <row r="1605" spans="1:1" x14ac:dyDescent="0.2">
      <c r="A1605"/>
    </row>
    <row r="1606" spans="1:1" x14ac:dyDescent="0.2">
      <c r="A1606"/>
    </row>
    <row r="1607" spans="1:1" x14ac:dyDescent="0.2">
      <c r="A1607"/>
    </row>
    <row r="1608" spans="1:1" x14ac:dyDescent="0.2">
      <c r="A1608"/>
    </row>
    <row r="1609" spans="1:1" x14ac:dyDescent="0.2">
      <c r="A1609"/>
    </row>
    <row r="1610" spans="1:1" x14ac:dyDescent="0.2">
      <c r="A1610"/>
    </row>
    <row r="1611" spans="1:1" x14ac:dyDescent="0.2">
      <c r="A1611"/>
    </row>
    <row r="1612" spans="1:1" x14ac:dyDescent="0.2">
      <c r="A1612"/>
    </row>
    <row r="1613" spans="1:1" x14ac:dyDescent="0.2">
      <c r="A1613"/>
    </row>
    <row r="1614" spans="1:1" x14ac:dyDescent="0.2">
      <c r="A1614"/>
    </row>
    <row r="1615" spans="1:1" x14ac:dyDescent="0.2">
      <c r="A1615"/>
    </row>
    <row r="1616" spans="1:1" x14ac:dyDescent="0.2">
      <c r="A1616"/>
    </row>
    <row r="1617" spans="1:1" x14ac:dyDescent="0.2">
      <c r="A1617"/>
    </row>
    <row r="1618" spans="1:1" x14ac:dyDescent="0.2">
      <c r="A1618"/>
    </row>
    <row r="1619" spans="1:1" x14ac:dyDescent="0.2">
      <c r="A1619"/>
    </row>
    <row r="1620" spans="1:1" x14ac:dyDescent="0.2">
      <c r="A1620"/>
    </row>
    <row r="1621" spans="1:1" x14ac:dyDescent="0.2">
      <c r="A1621"/>
    </row>
    <row r="1622" spans="1:1" x14ac:dyDescent="0.2">
      <c r="A1622"/>
    </row>
    <row r="1623" spans="1:1" x14ac:dyDescent="0.2">
      <c r="A1623"/>
    </row>
    <row r="1624" spans="1:1" x14ac:dyDescent="0.2">
      <c r="A1624"/>
    </row>
    <row r="1625" spans="1:1" x14ac:dyDescent="0.2">
      <c r="A1625"/>
    </row>
    <row r="1626" spans="1:1" x14ac:dyDescent="0.2">
      <c r="A1626"/>
    </row>
    <row r="1627" spans="1:1" x14ac:dyDescent="0.2">
      <c r="A1627"/>
    </row>
    <row r="1628" spans="1:1" x14ac:dyDescent="0.2">
      <c r="A1628"/>
    </row>
    <row r="1629" spans="1:1" x14ac:dyDescent="0.2">
      <c r="A1629"/>
    </row>
    <row r="1630" spans="1:1" x14ac:dyDescent="0.2">
      <c r="A1630"/>
    </row>
    <row r="1631" spans="1:1" x14ac:dyDescent="0.2">
      <c r="A1631"/>
    </row>
    <row r="1632" spans="1:1" x14ac:dyDescent="0.2">
      <c r="A1632"/>
    </row>
    <row r="1633" spans="1:1" x14ac:dyDescent="0.2">
      <c r="A1633"/>
    </row>
    <row r="1634" spans="1:1" x14ac:dyDescent="0.2">
      <c r="A1634"/>
    </row>
    <row r="1635" spans="1:1" x14ac:dyDescent="0.2">
      <c r="A1635"/>
    </row>
    <row r="1636" spans="1:1" x14ac:dyDescent="0.2">
      <c r="A1636"/>
    </row>
    <row r="1637" spans="1:1" x14ac:dyDescent="0.2">
      <c r="A1637"/>
    </row>
    <row r="1638" spans="1:1" x14ac:dyDescent="0.2">
      <c r="A1638"/>
    </row>
    <row r="1639" spans="1:1" x14ac:dyDescent="0.2">
      <c r="A1639"/>
    </row>
    <row r="1640" spans="1:1" x14ac:dyDescent="0.2">
      <c r="A1640"/>
    </row>
    <row r="1641" spans="1:1" x14ac:dyDescent="0.2">
      <c r="A1641"/>
    </row>
    <row r="1642" spans="1:1" x14ac:dyDescent="0.2">
      <c r="A1642"/>
    </row>
    <row r="1643" spans="1:1" x14ac:dyDescent="0.2">
      <c r="A1643"/>
    </row>
    <row r="1644" spans="1:1" x14ac:dyDescent="0.2">
      <c r="A1644"/>
    </row>
    <row r="1645" spans="1:1" x14ac:dyDescent="0.2">
      <c r="A1645"/>
    </row>
    <row r="1646" spans="1:1" x14ac:dyDescent="0.2">
      <c r="A1646"/>
    </row>
    <row r="1647" spans="1:1" x14ac:dyDescent="0.2">
      <c r="A1647"/>
    </row>
    <row r="1648" spans="1:1" x14ac:dyDescent="0.2">
      <c r="A1648"/>
    </row>
    <row r="1649" spans="1:1" x14ac:dyDescent="0.2">
      <c r="A1649"/>
    </row>
    <row r="1650" spans="1:1" x14ac:dyDescent="0.2">
      <c r="A1650"/>
    </row>
    <row r="1651" spans="1:1" x14ac:dyDescent="0.2">
      <c r="A1651"/>
    </row>
    <row r="1652" spans="1:1" x14ac:dyDescent="0.2">
      <c r="A1652"/>
    </row>
    <row r="1653" spans="1:1" x14ac:dyDescent="0.2">
      <c r="A1653"/>
    </row>
    <row r="1654" spans="1:1" x14ac:dyDescent="0.2">
      <c r="A1654"/>
    </row>
    <row r="1655" spans="1:1" x14ac:dyDescent="0.2">
      <c r="A1655"/>
    </row>
    <row r="1656" spans="1:1" x14ac:dyDescent="0.2">
      <c r="A1656"/>
    </row>
    <row r="1657" spans="1:1" x14ac:dyDescent="0.2">
      <c r="A1657"/>
    </row>
    <row r="1658" spans="1:1" x14ac:dyDescent="0.2">
      <c r="A1658"/>
    </row>
    <row r="1659" spans="1:1" x14ac:dyDescent="0.2">
      <c r="A1659"/>
    </row>
    <row r="1660" spans="1:1" x14ac:dyDescent="0.2">
      <c r="A1660"/>
    </row>
    <row r="1661" spans="1:1" x14ac:dyDescent="0.2">
      <c r="A1661"/>
    </row>
    <row r="1662" spans="1:1" x14ac:dyDescent="0.2">
      <c r="A1662"/>
    </row>
    <row r="1663" spans="1:1" x14ac:dyDescent="0.2">
      <c r="A1663"/>
    </row>
    <row r="1664" spans="1:1" x14ac:dyDescent="0.2">
      <c r="A1664"/>
    </row>
    <row r="1665" spans="1:1" x14ac:dyDescent="0.2">
      <c r="A1665"/>
    </row>
    <row r="1666" spans="1:1" x14ac:dyDescent="0.2">
      <c r="A1666"/>
    </row>
    <row r="1667" spans="1:1" x14ac:dyDescent="0.2">
      <c r="A1667"/>
    </row>
    <row r="1668" spans="1:1" x14ac:dyDescent="0.2">
      <c r="A1668"/>
    </row>
    <row r="1669" spans="1:1" x14ac:dyDescent="0.2">
      <c r="A1669"/>
    </row>
    <row r="1670" spans="1:1" x14ac:dyDescent="0.2">
      <c r="A1670"/>
    </row>
    <row r="1671" spans="1:1" x14ac:dyDescent="0.2">
      <c r="A1671"/>
    </row>
    <row r="1672" spans="1:1" x14ac:dyDescent="0.2">
      <c r="A1672"/>
    </row>
    <row r="1673" spans="1:1" x14ac:dyDescent="0.2">
      <c r="A1673"/>
    </row>
    <row r="1674" spans="1:1" x14ac:dyDescent="0.2">
      <c r="A1674"/>
    </row>
    <row r="1675" spans="1:1" x14ac:dyDescent="0.2">
      <c r="A1675"/>
    </row>
    <row r="1676" spans="1:1" x14ac:dyDescent="0.2">
      <c r="A1676"/>
    </row>
    <row r="1677" spans="1:1" x14ac:dyDescent="0.2">
      <c r="A1677"/>
    </row>
    <row r="1678" spans="1:1" x14ac:dyDescent="0.2">
      <c r="A1678"/>
    </row>
    <row r="1679" spans="1:1" x14ac:dyDescent="0.2">
      <c r="A1679"/>
    </row>
    <row r="1680" spans="1:1" x14ac:dyDescent="0.2">
      <c r="A1680"/>
    </row>
    <row r="1681" spans="1:1" x14ac:dyDescent="0.2">
      <c r="A1681"/>
    </row>
    <row r="1682" spans="1:1" x14ac:dyDescent="0.2">
      <c r="A1682"/>
    </row>
    <row r="1683" spans="1:1" x14ac:dyDescent="0.2">
      <c r="A1683"/>
    </row>
    <row r="1684" spans="1:1" x14ac:dyDescent="0.2">
      <c r="A1684"/>
    </row>
    <row r="1685" spans="1:1" x14ac:dyDescent="0.2">
      <c r="A1685"/>
    </row>
    <row r="1686" spans="1:1" x14ac:dyDescent="0.2">
      <c r="A1686"/>
    </row>
    <row r="1687" spans="1:1" x14ac:dyDescent="0.2">
      <c r="A1687"/>
    </row>
    <row r="1688" spans="1:1" x14ac:dyDescent="0.2">
      <c r="A1688"/>
    </row>
    <row r="1689" spans="1:1" x14ac:dyDescent="0.2">
      <c r="A1689"/>
    </row>
    <row r="1690" spans="1:1" x14ac:dyDescent="0.2">
      <c r="A1690"/>
    </row>
    <row r="1691" spans="1:1" x14ac:dyDescent="0.2">
      <c r="A1691"/>
    </row>
    <row r="1692" spans="1:1" x14ac:dyDescent="0.2">
      <c r="A1692"/>
    </row>
    <row r="1693" spans="1:1" x14ac:dyDescent="0.2">
      <c r="A1693"/>
    </row>
    <row r="1694" spans="1:1" x14ac:dyDescent="0.2">
      <c r="A1694"/>
    </row>
    <row r="1695" spans="1:1" x14ac:dyDescent="0.2">
      <c r="A1695"/>
    </row>
    <row r="1696" spans="1:1" x14ac:dyDescent="0.2">
      <c r="A1696"/>
    </row>
    <row r="1697" spans="1:1" x14ac:dyDescent="0.2">
      <c r="A1697"/>
    </row>
    <row r="1698" spans="1:1" x14ac:dyDescent="0.2">
      <c r="A1698"/>
    </row>
    <row r="1699" spans="1:1" x14ac:dyDescent="0.2">
      <c r="A1699"/>
    </row>
    <row r="1700" spans="1:1" x14ac:dyDescent="0.2">
      <c r="A1700"/>
    </row>
    <row r="1701" spans="1:1" x14ac:dyDescent="0.2">
      <c r="A1701"/>
    </row>
    <row r="1702" spans="1:1" x14ac:dyDescent="0.2">
      <c r="A1702"/>
    </row>
    <row r="1703" spans="1:1" x14ac:dyDescent="0.2">
      <c r="A1703"/>
    </row>
    <row r="1704" spans="1:1" x14ac:dyDescent="0.2">
      <c r="A1704"/>
    </row>
    <row r="1705" spans="1:1" x14ac:dyDescent="0.2">
      <c r="A1705"/>
    </row>
    <row r="1706" spans="1:1" x14ac:dyDescent="0.2">
      <c r="A1706"/>
    </row>
    <row r="1707" spans="1:1" x14ac:dyDescent="0.2">
      <c r="A1707"/>
    </row>
    <row r="1708" spans="1:1" x14ac:dyDescent="0.2">
      <c r="A1708"/>
    </row>
    <row r="1709" spans="1:1" x14ac:dyDescent="0.2">
      <c r="A1709"/>
    </row>
    <row r="1710" spans="1:1" x14ac:dyDescent="0.2">
      <c r="A1710"/>
    </row>
    <row r="1711" spans="1:1" x14ac:dyDescent="0.2">
      <c r="A1711"/>
    </row>
    <row r="1712" spans="1:1" x14ac:dyDescent="0.2">
      <c r="A1712"/>
    </row>
    <row r="1713" spans="1:1" x14ac:dyDescent="0.2">
      <c r="A1713"/>
    </row>
    <row r="1714" spans="1:1" x14ac:dyDescent="0.2">
      <c r="A1714"/>
    </row>
    <row r="1715" spans="1:1" x14ac:dyDescent="0.2">
      <c r="A1715"/>
    </row>
    <row r="1716" spans="1:1" x14ac:dyDescent="0.2">
      <c r="A1716"/>
    </row>
    <row r="1717" spans="1:1" x14ac:dyDescent="0.2">
      <c r="A1717"/>
    </row>
    <row r="1718" spans="1:1" x14ac:dyDescent="0.2">
      <c r="A1718"/>
    </row>
    <row r="1719" spans="1:1" x14ac:dyDescent="0.2">
      <c r="A1719"/>
    </row>
    <row r="1720" spans="1:1" x14ac:dyDescent="0.2">
      <c r="A1720"/>
    </row>
    <row r="1721" spans="1:1" x14ac:dyDescent="0.2">
      <c r="A1721"/>
    </row>
    <row r="1722" spans="1:1" x14ac:dyDescent="0.2">
      <c r="A1722"/>
    </row>
    <row r="1723" spans="1:1" x14ac:dyDescent="0.2">
      <c r="A1723"/>
    </row>
    <row r="1724" spans="1:1" x14ac:dyDescent="0.2">
      <c r="A1724"/>
    </row>
    <row r="1725" spans="1:1" x14ac:dyDescent="0.2">
      <c r="A1725"/>
    </row>
    <row r="1726" spans="1:1" x14ac:dyDescent="0.2">
      <c r="A1726"/>
    </row>
    <row r="1727" spans="1:1" x14ac:dyDescent="0.2">
      <c r="A1727"/>
    </row>
    <row r="1728" spans="1:1" x14ac:dyDescent="0.2">
      <c r="A1728"/>
    </row>
    <row r="1729" spans="1:1" x14ac:dyDescent="0.2">
      <c r="A1729"/>
    </row>
    <row r="1730" spans="1:1" x14ac:dyDescent="0.2">
      <c r="A1730"/>
    </row>
    <row r="1731" spans="1:1" x14ac:dyDescent="0.2">
      <c r="A1731"/>
    </row>
    <row r="1732" spans="1:1" x14ac:dyDescent="0.2">
      <c r="A1732"/>
    </row>
    <row r="1733" spans="1:1" x14ac:dyDescent="0.2">
      <c r="A1733"/>
    </row>
    <row r="1734" spans="1:1" x14ac:dyDescent="0.2">
      <c r="A1734"/>
    </row>
    <row r="1735" spans="1:1" x14ac:dyDescent="0.2">
      <c r="A1735"/>
    </row>
    <row r="1736" spans="1:1" x14ac:dyDescent="0.2">
      <c r="A1736"/>
    </row>
    <row r="1737" spans="1:1" x14ac:dyDescent="0.2">
      <c r="A1737"/>
    </row>
    <row r="1738" spans="1:1" x14ac:dyDescent="0.2">
      <c r="A1738"/>
    </row>
    <row r="1739" spans="1:1" x14ac:dyDescent="0.2">
      <c r="A1739"/>
    </row>
    <row r="1740" spans="1:1" x14ac:dyDescent="0.2">
      <c r="A1740"/>
    </row>
    <row r="1741" spans="1:1" x14ac:dyDescent="0.2">
      <c r="A1741"/>
    </row>
    <row r="1742" spans="1:1" x14ac:dyDescent="0.2">
      <c r="A1742"/>
    </row>
    <row r="1743" spans="1:1" x14ac:dyDescent="0.2">
      <c r="A1743"/>
    </row>
    <row r="1744" spans="1:1" x14ac:dyDescent="0.2">
      <c r="A1744"/>
    </row>
    <row r="1745" spans="1:1" x14ac:dyDescent="0.2">
      <c r="A1745"/>
    </row>
    <row r="1746" spans="1:1" x14ac:dyDescent="0.2">
      <c r="A1746"/>
    </row>
    <row r="1747" spans="1:1" x14ac:dyDescent="0.2">
      <c r="A1747"/>
    </row>
    <row r="1748" spans="1:1" x14ac:dyDescent="0.2">
      <c r="A1748"/>
    </row>
    <row r="1749" spans="1:1" x14ac:dyDescent="0.2">
      <c r="A1749"/>
    </row>
    <row r="1750" spans="1:1" x14ac:dyDescent="0.2">
      <c r="A1750"/>
    </row>
    <row r="1751" spans="1:1" x14ac:dyDescent="0.2">
      <c r="A1751"/>
    </row>
    <row r="1752" spans="1:1" x14ac:dyDescent="0.2">
      <c r="A1752"/>
    </row>
    <row r="1753" spans="1:1" x14ac:dyDescent="0.2">
      <c r="A1753"/>
    </row>
    <row r="1754" spans="1:1" x14ac:dyDescent="0.2">
      <c r="A1754"/>
    </row>
    <row r="1755" spans="1:1" x14ac:dyDescent="0.2">
      <c r="A1755"/>
    </row>
    <row r="1756" spans="1:1" x14ac:dyDescent="0.2">
      <c r="A1756"/>
    </row>
    <row r="1757" spans="1:1" x14ac:dyDescent="0.2">
      <c r="A1757"/>
    </row>
    <row r="1758" spans="1:1" x14ac:dyDescent="0.2">
      <c r="A1758"/>
    </row>
    <row r="1759" spans="1:1" x14ac:dyDescent="0.2">
      <c r="A1759"/>
    </row>
    <row r="1760" spans="1:1" x14ac:dyDescent="0.2">
      <c r="A1760"/>
    </row>
    <row r="1761" spans="1:1" x14ac:dyDescent="0.2">
      <c r="A1761"/>
    </row>
    <row r="1762" spans="1:1" x14ac:dyDescent="0.2">
      <c r="A1762"/>
    </row>
    <row r="1763" spans="1:1" x14ac:dyDescent="0.2">
      <c r="A1763"/>
    </row>
    <row r="1764" spans="1:1" x14ac:dyDescent="0.2">
      <c r="A1764"/>
    </row>
    <row r="1765" spans="1:1" x14ac:dyDescent="0.2">
      <c r="A1765"/>
    </row>
    <row r="1766" spans="1:1" x14ac:dyDescent="0.2">
      <c r="A1766"/>
    </row>
    <row r="1767" spans="1:1" x14ac:dyDescent="0.2">
      <c r="A1767"/>
    </row>
    <row r="1768" spans="1:1" x14ac:dyDescent="0.2">
      <c r="A1768"/>
    </row>
    <row r="1769" spans="1:1" x14ac:dyDescent="0.2">
      <c r="A1769"/>
    </row>
    <row r="1770" spans="1:1" x14ac:dyDescent="0.2">
      <c r="A1770"/>
    </row>
    <row r="1771" spans="1:1" x14ac:dyDescent="0.2">
      <c r="A1771"/>
    </row>
    <row r="1772" spans="1:1" x14ac:dyDescent="0.2">
      <c r="A1772"/>
    </row>
    <row r="1773" spans="1:1" x14ac:dyDescent="0.2">
      <c r="A1773"/>
    </row>
    <row r="1774" spans="1:1" x14ac:dyDescent="0.2">
      <c r="A1774"/>
    </row>
    <row r="1775" spans="1:1" x14ac:dyDescent="0.2">
      <c r="A1775"/>
    </row>
    <row r="1776" spans="1:1" x14ac:dyDescent="0.2">
      <c r="A1776"/>
    </row>
    <row r="1777" spans="1:1" x14ac:dyDescent="0.2">
      <c r="A1777"/>
    </row>
    <row r="1778" spans="1:1" x14ac:dyDescent="0.2">
      <c r="A1778"/>
    </row>
    <row r="1779" spans="1:1" x14ac:dyDescent="0.2">
      <c r="A1779"/>
    </row>
    <row r="1780" spans="1:1" x14ac:dyDescent="0.2">
      <c r="A1780"/>
    </row>
    <row r="1781" spans="1:1" x14ac:dyDescent="0.2">
      <c r="A1781"/>
    </row>
    <row r="1782" spans="1:1" x14ac:dyDescent="0.2">
      <c r="A1782"/>
    </row>
    <row r="1783" spans="1:1" x14ac:dyDescent="0.2">
      <c r="A1783"/>
    </row>
    <row r="1784" spans="1:1" x14ac:dyDescent="0.2">
      <c r="A1784"/>
    </row>
    <row r="1785" spans="1:1" x14ac:dyDescent="0.2">
      <c r="A1785"/>
    </row>
    <row r="1786" spans="1:1" x14ac:dyDescent="0.2">
      <c r="A1786"/>
    </row>
    <row r="1787" spans="1:1" x14ac:dyDescent="0.2">
      <c r="A1787"/>
    </row>
    <row r="1788" spans="1:1" x14ac:dyDescent="0.2">
      <c r="A1788"/>
    </row>
    <row r="1789" spans="1:1" x14ac:dyDescent="0.2">
      <c r="A1789"/>
    </row>
    <row r="1790" spans="1:1" x14ac:dyDescent="0.2">
      <c r="A1790"/>
    </row>
    <row r="1791" spans="1:1" x14ac:dyDescent="0.2">
      <c r="A1791"/>
    </row>
    <row r="1792" spans="1:1" x14ac:dyDescent="0.2">
      <c r="A1792"/>
    </row>
    <row r="1793" spans="1:1" x14ac:dyDescent="0.2">
      <c r="A1793"/>
    </row>
    <row r="1794" spans="1:1" x14ac:dyDescent="0.2">
      <c r="A1794"/>
    </row>
    <row r="1795" spans="1:1" x14ac:dyDescent="0.2">
      <c r="A1795"/>
    </row>
    <row r="1796" spans="1:1" x14ac:dyDescent="0.2">
      <c r="A1796"/>
    </row>
    <row r="1797" spans="1:1" x14ac:dyDescent="0.2">
      <c r="A1797"/>
    </row>
    <row r="1798" spans="1:1" x14ac:dyDescent="0.2">
      <c r="A1798"/>
    </row>
    <row r="1799" spans="1:1" x14ac:dyDescent="0.2">
      <c r="A1799"/>
    </row>
    <row r="1800" spans="1:1" x14ac:dyDescent="0.2">
      <c r="A1800"/>
    </row>
    <row r="1801" spans="1:1" x14ac:dyDescent="0.2">
      <c r="A1801"/>
    </row>
    <row r="1802" spans="1:1" x14ac:dyDescent="0.2">
      <c r="A1802"/>
    </row>
    <row r="1803" spans="1:1" x14ac:dyDescent="0.2">
      <c r="A1803"/>
    </row>
    <row r="1804" spans="1:1" x14ac:dyDescent="0.2">
      <c r="A1804"/>
    </row>
    <row r="1805" spans="1:1" x14ac:dyDescent="0.2">
      <c r="A1805"/>
    </row>
    <row r="1806" spans="1:1" x14ac:dyDescent="0.2">
      <c r="A1806"/>
    </row>
    <row r="1807" spans="1:1" x14ac:dyDescent="0.2">
      <c r="A1807"/>
    </row>
    <row r="1808" spans="1:1" x14ac:dyDescent="0.2">
      <c r="A1808"/>
    </row>
    <row r="1809" spans="1:1" x14ac:dyDescent="0.2">
      <c r="A1809"/>
    </row>
    <row r="1810" spans="1:1" x14ac:dyDescent="0.2">
      <c r="A1810"/>
    </row>
    <row r="1811" spans="1:1" x14ac:dyDescent="0.2">
      <c r="A1811"/>
    </row>
    <row r="1812" spans="1:1" x14ac:dyDescent="0.2">
      <c r="A1812"/>
    </row>
    <row r="1813" spans="1:1" x14ac:dyDescent="0.2">
      <c r="A1813"/>
    </row>
    <row r="1814" spans="1:1" x14ac:dyDescent="0.2">
      <c r="A1814"/>
    </row>
    <row r="1815" spans="1:1" x14ac:dyDescent="0.2">
      <c r="A1815"/>
    </row>
    <row r="1816" spans="1:1" x14ac:dyDescent="0.2">
      <c r="A1816"/>
    </row>
    <row r="1817" spans="1:1" x14ac:dyDescent="0.2">
      <c r="A1817"/>
    </row>
    <row r="1818" spans="1:1" x14ac:dyDescent="0.2">
      <c r="A1818"/>
    </row>
    <row r="1819" spans="1:1" x14ac:dyDescent="0.2">
      <c r="A1819"/>
    </row>
    <row r="1820" spans="1:1" x14ac:dyDescent="0.2">
      <c r="A1820"/>
    </row>
    <row r="1821" spans="1:1" x14ac:dyDescent="0.2">
      <c r="A1821"/>
    </row>
    <row r="1822" spans="1:1" x14ac:dyDescent="0.2">
      <c r="A1822"/>
    </row>
    <row r="1823" spans="1:1" x14ac:dyDescent="0.2">
      <c r="A1823"/>
    </row>
    <row r="1824" spans="1:1" x14ac:dyDescent="0.2">
      <c r="A1824"/>
    </row>
    <row r="1825" spans="1:1" x14ac:dyDescent="0.2">
      <c r="A1825"/>
    </row>
    <row r="1826" spans="1:1" x14ac:dyDescent="0.2">
      <c r="A1826"/>
    </row>
    <row r="1827" spans="1:1" x14ac:dyDescent="0.2">
      <c r="A1827"/>
    </row>
    <row r="1828" spans="1:1" x14ac:dyDescent="0.2">
      <c r="A1828"/>
    </row>
    <row r="1829" spans="1:1" x14ac:dyDescent="0.2">
      <c r="A1829"/>
    </row>
    <row r="1830" spans="1:1" x14ac:dyDescent="0.2">
      <c r="A1830"/>
    </row>
    <row r="1831" spans="1:1" x14ac:dyDescent="0.2">
      <c r="A1831"/>
    </row>
    <row r="1832" spans="1:1" x14ac:dyDescent="0.2">
      <c r="A1832"/>
    </row>
    <row r="1833" spans="1:1" x14ac:dyDescent="0.2">
      <c r="A1833"/>
    </row>
    <row r="1834" spans="1:1" x14ac:dyDescent="0.2">
      <c r="A1834"/>
    </row>
    <row r="1835" spans="1:1" x14ac:dyDescent="0.2">
      <c r="A1835"/>
    </row>
    <row r="1836" spans="1:1" x14ac:dyDescent="0.2">
      <c r="A1836"/>
    </row>
    <row r="1837" spans="1:1" x14ac:dyDescent="0.2">
      <c r="A1837"/>
    </row>
    <row r="1838" spans="1:1" x14ac:dyDescent="0.2">
      <c r="A1838"/>
    </row>
    <row r="1839" spans="1:1" x14ac:dyDescent="0.2">
      <c r="A1839"/>
    </row>
    <row r="1840" spans="1:1" x14ac:dyDescent="0.2">
      <c r="A1840"/>
    </row>
    <row r="1841" spans="1:1" x14ac:dyDescent="0.2">
      <c r="A1841"/>
    </row>
    <row r="1842" spans="1:1" x14ac:dyDescent="0.2">
      <c r="A1842"/>
    </row>
    <row r="1843" spans="1:1" x14ac:dyDescent="0.2">
      <c r="A1843"/>
    </row>
    <row r="1844" spans="1:1" x14ac:dyDescent="0.2">
      <c r="A1844"/>
    </row>
    <row r="1845" spans="1:1" x14ac:dyDescent="0.2">
      <c r="A1845"/>
    </row>
    <row r="1846" spans="1:1" x14ac:dyDescent="0.2">
      <c r="A1846"/>
    </row>
    <row r="1847" spans="1:1" x14ac:dyDescent="0.2">
      <c r="A1847"/>
    </row>
    <row r="1848" spans="1:1" x14ac:dyDescent="0.2">
      <c r="A1848"/>
    </row>
    <row r="1849" spans="1:1" x14ac:dyDescent="0.2">
      <c r="A1849"/>
    </row>
    <row r="1850" spans="1:1" x14ac:dyDescent="0.2">
      <c r="A1850"/>
    </row>
    <row r="1851" spans="1:1" x14ac:dyDescent="0.2">
      <c r="A1851"/>
    </row>
    <row r="1852" spans="1:1" x14ac:dyDescent="0.2">
      <c r="A1852"/>
    </row>
    <row r="1853" spans="1:1" x14ac:dyDescent="0.2">
      <c r="A1853"/>
    </row>
    <row r="1854" spans="1:1" x14ac:dyDescent="0.2">
      <c r="A1854"/>
    </row>
    <row r="1855" spans="1:1" x14ac:dyDescent="0.2">
      <c r="A1855"/>
    </row>
    <row r="1856" spans="1:1" x14ac:dyDescent="0.2">
      <c r="A1856"/>
    </row>
    <row r="1857" spans="1:1" x14ac:dyDescent="0.2">
      <c r="A1857"/>
    </row>
    <row r="1858" spans="1:1" x14ac:dyDescent="0.2">
      <c r="A1858"/>
    </row>
    <row r="1859" spans="1:1" x14ac:dyDescent="0.2">
      <c r="A1859"/>
    </row>
    <row r="1860" spans="1:1" x14ac:dyDescent="0.2">
      <c r="A1860"/>
    </row>
    <row r="1861" spans="1:1" x14ac:dyDescent="0.2">
      <c r="A1861"/>
    </row>
    <row r="1862" spans="1:1" x14ac:dyDescent="0.2">
      <c r="A1862"/>
    </row>
    <row r="1863" spans="1:1" x14ac:dyDescent="0.2">
      <c r="A1863"/>
    </row>
    <row r="1864" spans="1:1" x14ac:dyDescent="0.2">
      <c r="A1864"/>
    </row>
    <row r="1865" spans="1:1" x14ac:dyDescent="0.2">
      <c r="A1865"/>
    </row>
    <row r="1866" spans="1:1" x14ac:dyDescent="0.2">
      <c r="A1866"/>
    </row>
    <row r="1867" spans="1:1" x14ac:dyDescent="0.2">
      <c r="A1867"/>
    </row>
    <row r="1868" spans="1:1" x14ac:dyDescent="0.2">
      <c r="A1868"/>
    </row>
    <row r="1869" spans="1:1" x14ac:dyDescent="0.2">
      <c r="A1869"/>
    </row>
    <row r="1870" spans="1:1" x14ac:dyDescent="0.2">
      <c r="A1870"/>
    </row>
    <row r="1871" spans="1:1" x14ac:dyDescent="0.2">
      <c r="A1871"/>
    </row>
    <row r="1872" spans="1:1" x14ac:dyDescent="0.2">
      <c r="A1872"/>
    </row>
    <row r="1873" spans="1:1" x14ac:dyDescent="0.2">
      <c r="A1873"/>
    </row>
    <row r="1874" spans="1:1" x14ac:dyDescent="0.2">
      <c r="A1874"/>
    </row>
    <row r="1875" spans="1:1" x14ac:dyDescent="0.2">
      <c r="A1875"/>
    </row>
    <row r="1876" spans="1:1" x14ac:dyDescent="0.2">
      <c r="A1876"/>
    </row>
    <row r="1877" spans="1:1" x14ac:dyDescent="0.2">
      <c r="A1877"/>
    </row>
    <row r="1878" spans="1:1" x14ac:dyDescent="0.2">
      <c r="A1878"/>
    </row>
    <row r="1879" spans="1:1" x14ac:dyDescent="0.2">
      <c r="A1879"/>
    </row>
    <row r="1880" spans="1:1" x14ac:dyDescent="0.2">
      <c r="A1880"/>
    </row>
    <row r="1881" spans="1:1" x14ac:dyDescent="0.2">
      <c r="A1881"/>
    </row>
    <row r="1882" spans="1:1" x14ac:dyDescent="0.2">
      <c r="A1882"/>
    </row>
    <row r="1883" spans="1:1" x14ac:dyDescent="0.2">
      <c r="A1883"/>
    </row>
    <row r="1884" spans="1:1" x14ac:dyDescent="0.2">
      <c r="A1884"/>
    </row>
    <row r="1885" spans="1:1" x14ac:dyDescent="0.2">
      <c r="A1885"/>
    </row>
    <row r="1886" spans="1:1" x14ac:dyDescent="0.2">
      <c r="A1886"/>
    </row>
    <row r="1887" spans="1:1" x14ac:dyDescent="0.2">
      <c r="A1887"/>
    </row>
    <row r="1888" spans="1:1" x14ac:dyDescent="0.2">
      <c r="A1888"/>
    </row>
    <row r="1889" spans="1:1" x14ac:dyDescent="0.2">
      <c r="A1889"/>
    </row>
    <row r="1890" spans="1:1" x14ac:dyDescent="0.2">
      <c r="A1890"/>
    </row>
    <row r="1891" spans="1:1" x14ac:dyDescent="0.2">
      <c r="A1891"/>
    </row>
    <row r="1892" spans="1:1" x14ac:dyDescent="0.2">
      <c r="A1892"/>
    </row>
    <row r="1893" spans="1:1" x14ac:dyDescent="0.2">
      <c r="A1893"/>
    </row>
    <row r="1894" spans="1:1" x14ac:dyDescent="0.2">
      <c r="A1894"/>
    </row>
    <row r="1895" spans="1:1" x14ac:dyDescent="0.2">
      <c r="A1895"/>
    </row>
    <row r="1896" spans="1:1" x14ac:dyDescent="0.2">
      <c r="A1896"/>
    </row>
    <row r="1897" spans="1:1" x14ac:dyDescent="0.2">
      <c r="A1897"/>
    </row>
    <row r="1898" spans="1:1" x14ac:dyDescent="0.2">
      <c r="A1898"/>
    </row>
    <row r="1899" spans="1:1" x14ac:dyDescent="0.2">
      <c r="A1899"/>
    </row>
    <row r="1900" spans="1:1" x14ac:dyDescent="0.2">
      <c r="A1900"/>
    </row>
    <row r="1901" spans="1:1" x14ac:dyDescent="0.2">
      <c r="A1901"/>
    </row>
    <row r="1902" spans="1:1" x14ac:dyDescent="0.2">
      <c r="A1902"/>
    </row>
    <row r="1903" spans="1:1" x14ac:dyDescent="0.2">
      <c r="A1903"/>
    </row>
    <row r="1904" spans="1:1" x14ac:dyDescent="0.2">
      <c r="A1904"/>
    </row>
    <row r="1905" spans="1:1" x14ac:dyDescent="0.2">
      <c r="A1905"/>
    </row>
    <row r="1906" spans="1:1" x14ac:dyDescent="0.2">
      <c r="A1906"/>
    </row>
    <row r="1907" spans="1:1" x14ac:dyDescent="0.2">
      <c r="A1907"/>
    </row>
    <row r="1908" spans="1:1" x14ac:dyDescent="0.2">
      <c r="A1908"/>
    </row>
    <row r="1909" spans="1:1" x14ac:dyDescent="0.2">
      <c r="A1909"/>
    </row>
    <row r="1910" spans="1:1" x14ac:dyDescent="0.2">
      <c r="A1910"/>
    </row>
    <row r="1911" spans="1:1" x14ac:dyDescent="0.2">
      <c r="A1911"/>
    </row>
    <row r="1912" spans="1:1" x14ac:dyDescent="0.2">
      <c r="A1912"/>
    </row>
    <row r="1913" spans="1:1" x14ac:dyDescent="0.2">
      <c r="A1913"/>
    </row>
    <row r="1914" spans="1:1" x14ac:dyDescent="0.2">
      <c r="A1914"/>
    </row>
    <row r="1915" spans="1:1" x14ac:dyDescent="0.2">
      <c r="A1915"/>
    </row>
    <row r="1916" spans="1:1" x14ac:dyDescent="0.2">
      <c r="A1916"/>
    </row>
    <row r="1917" spans="1:1" x14ac:dyDescent="0.2">
      <c r="A1917"/>
    </row>
    <row r="1918" spans="1:1" x14ac:dyDescent="0.2">
      <c r="A1918"/>
    </row>
    <row r="1919" spans="1:1" x14ac:dyDescent="0.2">
      <c r="A1919"/>
    </row>
    <row r="1920" spans="1:1" x14ac:dyDescent="0.2">
      <c r="A1920"/>
    </row>
    <row r="1921" spans="1:1" x14ac:dyDescent="0.2">
      <c r="A1921"/>
    </row>
    <row r="1922" spans="1:1" x14ac:dyDescent="0.2">
      <c r="A1922"/>
    </row>
    <row r="1923" spans="1:1" x14ac:dyDescent="0.2">
      <c r="A1923"/>
    </row>
    <row r="1924" spans="1:1" x14ac:dyDescent="0.2">
      <c r="A1924"/>
    </row>
    <row r="1925" spans="1:1" x14ac:dyDescent="0.2">
      <c r="A1925"/>
    </row>
    <row r="1926" spans="1:1" x14ac:dyDescent="0.2">
      <c r="A1926"/>
    </row>
    <row r="1927" spans="1:1" x14ac:dyDescent="0.2">
      <c r="A1927"/>
    </row>
    <row r="1928" spans="1:1" x14ac:dyDescent="0.2">
      <c r="A1928"/>
    </row>
    <row r="1929" spans="1:1" x14ac:dyDescent="0.2">
      <c r="A1929"/>
    </row>
    <row r="1930" spans="1:1" x14ac:dyDescent="0.2">
      <c r="A1930"/>
    </row>
    <row r="1931" spans="1:1" x14ac:dyDescent="0.2">
      <c r="A1931"/>
    </row>
    <row r="1932" spans="1:1" x14ac:dyDescent="0.2">
      <c r="A1932"/>
    </row>
    <row r="1933" spans="1:1" x14ac:dyDescent="0.2">
      <c r="A1933"/>
    </row>
    <row r="1934" spans="1:1" x14ac:dyDescent="0.2">
      <c r="A1934"/>
    </row>
    <row r="1935" spans="1:1" x14ac:dyDescent="0.2">
      <c r="A1935"/>
    </row>
    <row r="1936" spans="1:1" x14ac:dyDescent="0.2">
      <c r="A1936"/>
    </row>
    <row r="1937" spans="1:1" x14ac:dyDescent="0.2">
      <c r="A1937"/>
    </row>
    <row r="1938" spans="1:1" x14ac:dyDescent="0.2">
      <c r="A1938"/>
    </row>
    <row r="1939" spans="1:1" x14ac:dyDescent="0.2">
      <c r="A1939"/>
    </row>
    <row r="1940" spans="1:1" x14ac:dyDescent="0.2">
      <c r="A1940"/>
    </row>
    <row r="1941" spans="1:1" x14ac:dyDescent="0.2">
      <c r="A1941"/>
    </row>
    <row r="1942" spans="1:1" x14ac:dyDescent="0.2">
      <c r="A1942"/>
    </row>
    <row r="1943" spans="1:1" x14ac:dyDescent="0.2">
      <c r="A1943"/>
    </row>
    <row r="1944" spans="1:1" x14ac:dyDescent="0.2">
      <c r="A1944"/>
    </row>
    <row r="1945" spans="1:1" x14ac:dyDescent="0.2">
      <c r="A1945"/>
    </row>
    <row r="1946" spans="1:1" x14ac:dyDescent="0.2">
      <c r="A1946"/>
    </row>
    <row r="1947" spans="1:1" x14ac:dyDescent="0.2">
      <c r="A1947"/>
    </row>
    <row r="1948" spans="1:1" x14ac:dyDescent="0.2">
      <c r="A1948"/>
    </row>
    <row r="1949" spans="1:1" x14ac:dyDescent="0.2">
      <c r="A1949"/>
    </row>
    <row r="1950" spans="1:1" x14ac:dyDescent="0.2">
      <c r="A1950"/>
    </row>
    <row r="1951" spans="1:1" x14ac:dyDescent="0.2">
      <c r="A1951"/>
    </row>
    <row r="1952" spans="1:1" x14ac:dyDescent="0.2">
      <c r="A1952"/>
    </row>
    <row r="1953" spans="1:1" x14ac:dyDescent="0.2">
      <c r="A1953"/>
    </row>
    <row r="1954" spans="1:1" x14ac:dyDescent="0.2">
      <c r="A1954"/>
    </row>
    <row r="1955" spans="1:1" x14ac:dyDescent="0.2">
      <c r="A1955"/>
    </row>
    <row r="1956" spans="1:1" x14ac:dyDescent="0.2">
      <c r="A1956"/>
    </row>
    <row r="1957" spans="1:1" x14ac:dyDescent="0.2">
      <c r="A1957"/>
    </row>
    <row r="1958" spans="1:1" x14ac:dyDescent="0.2">
      <c r="A1958"/>
    </row>
    <row r="1959" spans="1:1" x14ac:dyDescent="0.2">
      <c r="A1959"/>
    </row>
    <row r="1960" spans="1:1" x14ac:dyDescent="0.2">
      <c r="A1960"/>
    </row>
    <row r="1961" spans="1:1" x14ac:dyDescent="0.2">
      <c r="A1961"/>
    </row>
    <row r="1962" spans="1:1" x14ac:dyDescent="0.2">
      <c r="A1962"/>
    </row>
    <row r="1963" spans="1:1" x14ac:dyDescent="0.2">
      <c r="A1963"/>
    </row>
    <row r="1964" spans="1:1" x14ac:dyDescent="0.2">
      <c r="A1964"/>
    </row>
    <row r="1965" spans="1:1" x14ac:dyDescent="0.2">
      <c r="A1965"/>
    </row>
    <row r="1966" spans="1:1" x14ac:dyDescent="0.2">
      <c r="A1966"/>
    </row>
    <row r="1967" spans="1:1" x14ac:dyDescent="0.2">
      <c r="A1967"/>
    </row>
    <row r="1968" spans="1:1" x14ac:dyDescent="0.2">
      <c r="A1968"/>
    </row>
    <row r="1969" spans="1:1" x14ac:dyDescent="0.2">
      <c r="A1969"/>
    </row>
    <row r="1970" spans="1:1" x14ac:dyDescent="0.2">
      <c r="A1970"/>
    </row>
    <row r="1971" spans="1:1" x14ac:dyDescent="0.2">
      <c r="A1971"/>
    </row>
    <row r="1972" spans="1:1" x14ac:dyDescent="0.2">
      <c r="A1972"/>
    </row>
    <row r="1973" spans="1:1" x14ac:dyDescent="0.2">
      <c r="A1973"/>
    </row>
    <row r="1974" spans="1:1" x14ac:dyDescent="0.2">
      <c r="A1974"/>
    </row>
    <row r="1975" spans="1:1" x14ac:dyDescent="0.2">
      <c r="A1975"/>
    </row>
    <row r="1976" spans="1:1" x14ac:dyDescent="0.2">
      <c r="A1976"/>
    </row>
    <row r="1977" spans="1:1" x14ac:dyDescent="0.2">
      <c r="A1977"/>
    </row>
    <row r="1978" spans="1:1" x14ac:dyDescent="0.2">
      <c r="A1978"/>
    </row>
    <row r="1979" spans="1:1" x14ac:dyDescent="0.2">
      <c r="A1979"/>
    </row>
    <row r="1980" spans="1:1" x14ac:dyDescent="0.2">
      <c r="A1980"/>
    </row>
    <row r="1981" spans="1:1" x14ac:dyDescent="0.2">
      <c r="A1981"/>
    </row>
    <row r="1982" spans="1:1" x14ac:dyDescent="0.2">
      <c r="A1982"/>
    </row>
    <row r="1983" spans="1:1" x14ac:dyDescent="0.2">
      <c r="A1983"/>
    </row>
    <row r="1984" spans="1:1" x14ac:dyDescent="0.2">
      <c r="A1984"/>
    </row>
    <row r="1985" spans="1:1" x14ac:dyDescent="0.2">
      <c r="A1985"/>
    </row>
    <row r="1986" spans="1:1" x14ac:dyDescent="0.2">
      <c r="A1986"/>
    </row>
    <row r="1987" spans="1:1" x14ac:dyDescent="0.2">
      <c r="A1987"/>
    </row>
    <row r="1988" spans="1:1" x14ac:dyDescent="0.2">
      <c r="A1988"/>
    </row>
    <row r="1989" spans="1:1" x14ac:dyDescent="0.2">
      <c r="A1989"/>
    </row>
    <row r="1990" spans="1:1" x14ac:dyDescent="0.2">
      <c r="A1990"/>
    </row>
    <row r="1991" spans="1:1" x14ac:dyDescent="0.2">
      <c r="A1991"/>
    </row>
    <row r="1992" spans="1:1" x14ac:dyDescent="0.2">
      <c r="A1992"/>
    </row>
    <row r="1993" spans="1:1" x14ac:dyDescent="0.2">
      <c r="A1993"/>
    </row>
    <row r="1994" spans="1:1" x14ac:dyDescent="0.2">
      <c r="A1994"/>
    </row>
    <row r="1995" spans="1:1" x14ac:dyDescent="0.2">
      <c r="A1995"/>
    </row>
    <row r="1996" spans="1:1" x14ac:dyDescent="0.2">
      <c r="A1996"/>
    </row>
    <row r="1997" spans="1:1" x14ac:dyDescent="0.2">
      <c r="A1997"/>
    </row>
    <row r="1998" spans="1:1" x14ac:dyDescent="0.2">
      <c r="A1998"/>
    </row>
    <row r="1999" spans="1:1" x14ac:dyDescent="0.2">
      <c r="A1999"/>
    </row>
    <row r="2000" spans="1:1" x14ac:dyDescent="0.2">
      <c r="A2000"/>
    </row>
    <row r="2001" spans="1:1" x14ac:dyDescent="0.2">
      <c r="A2001"/>
    </row>
    <row r="2002" spans="1:1" x14ac:dyDescent="0.2">
      <c r="A2002"/>
    </row>
    <row r="2003" spans="1:1" x14ac:dyDescent="0.2">
      <c r="A2003"/>
    </row>
    <row r="2004" spans="1:1" x14ac:dyDescent="0.2">
      <c r="A2004"/>
    </row>
    <row r="2005" spans="1:1" x14ac:dyDescent="0.2">
      <c r="A2005"/>
    </row>
    <row r="2006" spans="1:1" x14ac:dyDescent="0.2">
      <c r="A2006"/>
    </row>
    <row r="2007" spans="1:1" x14ac:dyDescent="0.2">
      <c r="A2007"/>
    </row>
    <row r="2008" spans="1:1" x14ac:dyDescent="0.2">
      <c r="A2008"/>
    </row>
    <row r="2009" spans="1:1" x14ac:dyDescent="0.2">
      <c r="A2009"/>
    </row>
    <row r="2010" spans="1:1" x14ac:dyDescent="0.2">
      <c r="A2010"/>
    </row>
    <row r="2011" spans="1:1" x14ac:dyDescent="0.2">
      <c r="A2011"/>
    </row>
    <row r="2012" spans="1:1" x14ac:dyDescent="0.2">
      <c r="A2012"/>
    </row>
    <row r="2013" spans="1:1" x14ac:dyDescent="0.2">
      <c r="A2013"/>
    </row>
    <row r="2014" spans="1:1" x14ac:dyDescent="0.2">
      <c r="A2014"/>
    </row>
    <row r="2015" spans="1:1" x14ac:dyDescent="0.2">
      <c r="A2015"/>
    </row>
    <row r="2016" spans="1:1" x14ac:dyDescent="0.2">
      <c r="A2016"/>
    </row>
    <row r="2017" spans="1:1" x14ac:dyDescent="0.2">
      <c r="A2017"/>
    </row>
    <row r="2018" spans="1:1" x14ac:dyDescent="0.2">
      <c r="A2018"/>
    </row>
    <row r="2019" spans="1:1" x14ac:dyDescent="0.2">
      <c r="A2019"/>
    </row>
    <row r="2020" spans="1:1" x14ac:dyDescent="0.2">
      <c r="A2020"/>
    </row>
    <row r="2021" spans="1:1" x14ac:dyDescent="0.2">
      <c r="A2021"/>
    </row>
    <row r="2022" spans="1:1" x14ac:dyDescent="0.2">
      <c r="A2022"/>
    </row>
    <row r="2023" spans="1:1" x14ac:dyDescent="0.2">
      <c r="A2023"/>
    </row>
    <row r="2024" spans="1:1" x14ac:dyDescent="0.2">
      <c r="A2024"/>
    </row>
    <row r="2025" spans="1:1" x14ac:dyDescent="0.2">
      <c r="A2025"/>
    </row>
    <row r="2026" spans="1:1" x14ac:dyDescent="0.2">
      <c r="A2026"/>
    </row>
    <row r="2027" spans="1:1" x14ac:dyDescent="0.2">
      <c r="A2027"/>
    </row>
    <row r="2028" spans="1:1" x14ac:dyDescent="0.2">
      <c r="A2028"/>
    </row>
    <row r="2029" spans="1:1" x14ac:dyDescent="0.2">
      <c r="A2029"/>
    </row>
    <row r="2030" spans="1:1" x14ac:dyDescent="0.2">
      <c r="A2030"/>
    </row>
    <row r="2031" spans="1:1" x14ac:dyDescent="0.2">
      <c r="A2031"/>
    </row>
    <row r="2032" spans="1:1" x14ac:dyDescent="0.2">
      <c r="A2032"/>
    </row>
    <row r="2033" spans="1:1" x14ac:dyDescent="0.2">
      <c r="A2033"/>
    </row>
    <row r="2034" spans="1:1" x14ac:dyDescent="0.2">
      <c r="A2034"/>
    </row>
    <row r="2035" spans="1:1" x14ac:dyDescent="0.2">
      <c r="A2035"/>
    </row>
    <row r="2036" spans="1:1" x14ac:dyDescent="0.2">
      <c r="A2036"/>
    </row>
    <row r="2037" spans="1:1" x14ac:dyDescent="0.2">
      <c r="A2037"/>
    </row>
    <row r="2038" spans="1:1" x14ac:dyDescent="0.2">
      <c r="A2038"/>
    </row>
    <row r="2039" spans="1:1" x14ac:dyDescent="0.2">
      <c r="A2039"/>
    </row>
    <row r="2040" spans="1:1" x14ac:dyDescent="0.2">
      <c r="A2040"/>
    </row>
    <row r="2041" spans="1:1" x14ac:dyDescent="0.2">
      <c r="A2041"/>
    </row>
    <row r="2042" spans="1:1" x14ac:dyDescent="0.2">
      <c r="A2042"/>
    </row>
    <row r="2043" spans="1:1" x14ac:dyDescent="0.2">
      <c r="A2043"/>
    </row>
    <row r="2044" spans="1:1" x14ac:dyDescent="0.2">
      <c r="A2044"/>
    </row>
    <row r="2045" spans="1:1" x14ac:dyDescent="0.2">
      <c r="A2045"/>
    </row>
    <row r="2046" spans="1:1" x14ac:dyDescent="0.2">
      <c r="A2046"/>
    </row>
    <row r="2047" spans="1:1" x14ac:dyDescent="0.2">
      <c r="A2047"/>
    </row>
    <row r="2048" spans="1:1" x14ac:dyDescent="0.2">
      <c r="A2048"/>
    </row>
    <row r="2049" spans="1:1" x14ac:dyDescent="0.2">
      <c r="A2049"/>
    </row>
    <row r="2050" spans="1:1" x14ac:dyDescent="0.2">
      <c r="A2050"/>
    </row>
    <row r="2051" spans="1:1" x14ac:dyDescent="0.2">
      <c r="A2051"/>
    </row>
    <row r="2052" spans="1:1" x14ac:dyDescent="0.2">
      <c r="A2052"/>
    </row>
    <row r="2053" spans="1:1" x14ac:dyDescent="0.2">
      <c r="A2053"/>
    </row>
    <row r="2054" spans="1:1" x14ac:dyDescent="0.2">
      <c r="A2054"/>
    </row>
    <row r="2055" spans="1:1" x14ac:dyDescent="0.2">
      <c r="A2055"/>
    </row>
    <row r="2056" spans="1:1" x14ac:dyDescent="0.2">
      <c r="A2056"/>
    </row>
    <row r="2057" spans="1:1" x14ac:dyDescent="0.2">
      <c r="A2057"/>
    </row>
    <row r="2058" spans="1:1" x14ac:dyDescent="0.2">
      <c r="A2058"/>
    </row>
    <row r="2059" spans="1:1" x14ac:dyDescent="0.2">
      <c r="A2059"/>
    </row>
    <row r="2060" spans="1:1" x14ac:dyDescent="0.2">
      <c r="A2060"/>
    </row>
    <row r="2061" spans="1:1" x14ac:dyDescent="0.2">
      <c r="A2061"/>
    </row>
    <row r="2062" spans="1:1" x14ac:dyDescent="0.2">
      <c r="A2062"/>
    </row>
    <row r="2063" spans="1:1" x14ac:dyDescent="0.2">
      <c r="A2063"/>
    </row>
    <row r="2064" spans="1:1" x14ac:dyDescent="0.2">
      <c r="A2064"/>
    </row>
    <row r="2065" spans="1:1" x14ac:dyDescent="0.2">
      <c r="A2065"/>
    </row>
    <row r="2066" spans="1:1" x14ac:dyDescent="0.2">
      <c r="A2066"/>
    </row>
    <row r="2067" spans="1:1" x14ac:dyDescent="0.2">
      <c r="A2067"/>
    </row>
    <row r="2068" spans="1:1" x14ac:dyDescent="0.2">
      <c r="A2068"/>
    </row>
    <row r="2069" spans="1:1" x14ac:dyDescent="0.2">
      <c r="A2069"/>
    </row>
    <row r="2070" spans="1:1" x14ac:dyDescent="0.2">
      <c r="A2070"/>
    </row>
    <row r="2071" spans="1:1" x14ac:dyDescent="0.2">
      <c r="A2071"/>
    </row>
    <row r="2072" spans="1:1" x14ac:dyDescent="0.2">
      <c r="A2072"/>
    </row>
    <row r="2073" spans="1:1" x14ac:dyDescent="0.2">
      <c r="A2073"/>
    </row>
    <row r="2074" spans="1:1" x14ac:dyDescent="0.2">
      <c r="A2074"/>
    </row>
    <row r="2075" spans="1:1" x14ac:dyDescent="0.2">
      <c r="A2075"/>
    </row>
    <row r="2076" spans="1:1" x14ac:dyDescent="0.2">
      <c r="A2076"/>
    </row>
    <row r="2077" spans="1:1" x14ac:dyDescent="0.2">
      <c r="A2077"/>
    </row>
    <row r="2078" spans="1:1" x14ac:dyDescent="0.2">
      <c r="A2078"/>
    </row>
    <row r="2079" spans="1:1" x14ac:dyDescent="0.2">
      <c r="A2079"/>
    </row>
    <row r="2080" spans="1:1" x14ac:dyDescent="0.2">
      <c r="A2080"/>
    </row>
    <row r="2081" spans="1:1" x14ac:dyDescent="0.2">
      <c r="A2081"/>
    </row>
    <row r="2082" spans="1:1" x14ac:dyDescent="0.2">
      <c r="A2082"/>
    </row>
    <row r="2083" spans="1:1" x14ac:dyDescent="0.2">
      <c r="A2083"/>
    </row>
    <row r="2084" spans="1:1" x14ac:dyDescent="0.2">
      <c r="A2084"/>
    </row>
    <row r="2085" spans="1:1" x14ac:dyDescent="0.2">
      <c r="A2085"/>
    </row>
    <row r="2086" spans="1:1" x14ac:dyDescent="0.2">
      <c r="A2086"/>
    </row>
    <row r="2087" spans="1:1" x14ac:dyDescent="0.2">
      <c r="A2087"/>
    </row>
    <row r="2088" spans="1:1" x14ac:dyDescent="0.2">
      <c r="A2088"/>
    </row>
    <row r="2089" spans="1:1" x14ac:dyDescent="0.2">
      <c r="A2089"/>
    </row>
    <row r="2090" spans="1:1" x14ac:dyDescent="0.2">
      <c r="A2090"/>
    </row>
    <row r="2091" spans="1:1" x14ac:dyDescent="0.2">
      <c r="A2091"/>
    </row>
    <row r="2092" spans="1:1" x14ac:dyDescent="0.2">
      <c r="A2092"/>
    </row>
    <row r="2093" spans="1:1" x14ac:dyDescent="0.2">
      <c r="A2093"/>
    </row>
    <row r="2094" spans="1:1" x14ac:dyDescent="0.2">
      <c r="A2094"/>
    </row>
    <row r="2095" spans="1:1" x14ac:dyDescent="0.2">
      <c r="A2095"/>
    </row>
    <row r="2096" spans="1:1" x14ac:dyDescent="0.2">
      <c r="A2096"/>
    </row>
    <row r="2097" spans="1:1" x14ac:dyDescent="0.2">
      <c r="A2097"/>
    </row>
    <row r="2098" spans="1:1" x14ac:dyDescent="0.2">
      <c r="A2098"/>
    </row>
    <row r="2099" spans="1:1" x14ac:dyDescent="0.2">
      <c r="A2099"/>
    </row>
    <row r="2100" spans="1:1" x14ac:dyDescent="0.2">
      <c r="A2100"/>
    </row>
    <row r="2101" spans="1:1" x14ac:dyDescent="0.2">
      <c r="A2101"/>
    </row>
    <row r="2102" spans="1:1" x14ac:dyDescent="0.2">
      <c r="A2102"/>
    </row>
    <row r="2103" spans="1:1" x14ac:dyDescent="0.2">
      <c r="A2103"/>
    </row>
    <row r="2104" spans="1:1" x14ac:dyDescent="0.2">
      <c r="A2104"/>
    </row>
    <row r="2105" spans="1:1" x14ac:dyDescent="0.2">
      <c r="A2105"/>
    </row>
    <row r="2106" spans="1:1" x14ac:dyDescent="0.2">
      <c r="A2106"/>
    </row>
    <row r="2107" spans="1:1" x14ac:dyDescent="0.2">
      <c r="A2107"/>
    </row>
    <row r="2108" spans="1:1" x14ac:dyDescent="0.2">
      <c r="A2108"/>
    </row>
    <row r="2109" spans="1:1" x14ac:dyDescent="0.2">
      <c r="A2109"/>
    </row>
    <row r="2110" spans="1:1" x14ac:dyDescent="0.2">
      <c r="A2110"/>
    </row>
    <row r="2111" spans="1:1" x14ac:dyDescent="0.2">
      <c r="A2111"/>
    </row>
    <row r="2112" spans="1:1" x14ac:dyDescent="0.2">
      <c r="A2112"/>
    </row>
    <row r="2113" spans="1:1" x14ac:dyDescent="0.2">
      <c r="A2113"/>
    </row>
    <row r="2114" spans="1:1" x14ac:dyDescent="0.2">
      <c r="A2114"/>
    </row>
    <row r="2115" spans="1:1" x14ac:dyDescent="0.2">
      <c r="A2115"/>
    </row>
    <row r="2116" spans="1:1" x14ac:dyDescent="0.2">
      <c r="A2116"/>
    </row>
    <row r="2117" spans="1:1" x14ac:dyDescent="0.2">
      <c r="A2117"/>
    </row>
    <row r="2118" spans="1:1" x14ac:dyDescent="0.2">
      <c r="A2118"/>
    </row>
    <row r="2119" spans="1:1" x14ac:dyDescent="0.2">
      <c r="A2119"/>
    </row>
    <row r="2120" spans="1:1" x14ac:dyDescent="0.2">
      <c r="A2120"/>
    </row>
    <row r="2121" spans="1:1" x14ac:dyDescent="0.2">
      <c r="A2121"/>
    </row>
    <row r="2122" spans="1:1" x14ac:dyDescent="0.2">
      <c r="A2122"/>
    </row>
    <row r="2123" spans="1:1" x14ac:dyDescent="0.2">
      <c r="A2123"/>
    </row>
    <row r="2124" spans="1:1" x14ac:dyDescent="0.2">
      <c r="A2124"/>
    </row>
    <row r="2125" spans="1:1" x14ac:dyDescent="0.2">
      <c r="A2125"/>
    </row>
    <row r="2126" spans="1:1" x14ac:dyDescent="0.2">
      <c r="A2126"/>
    </row>
    <row r="2127" spans="1:1" x14ac:dyDescent="0.2">
      <c r="A2127"/>
    </row>
    <row r="2128" spans="1:1" x14ac:dyDescent="0.2">
      <c r="A2128"/>
    </row>
    <row r="2129" spans="1:1" x14ac:dyDescent="0.2">
      <c r="A2129"/>
    </row>
    <row r="2130" spans="1:1" x14ac:dyDescent="0.2">
      <c r="A2130"/>
    </row>
    <row r="2131" spans="1:1" x14ac:dyDescent="0.2">
      <c r="A2131"/>
    </row>
    <row r="2132" spans="1:1" x14ac:dyDescent="0.2">
      <c r="A2132"/>
    </row>
    <row r="2133" spans="1:1" x14ac:dyDescent="0.2">
      <c r="A2133"/>
    </row>
    <row r="2134" spans="1:1" x14ac:dyDescent="0.2">
      <c r="A2134"/>
    </row>
    <row r="2135" spans="1:1" x14ac:dyDescent="0.2">
      <c r="A2135"/>
    </row>
    <row r="2136" spans="1:1" x14ac:dyDescent="0.2">
      <c r="A2136"/>
    </row>
    <row r="2137" spans="1:1" x14ac:dyDescent="0.2">
      <c r="A2137"/>
    </row>
    <row r="2138" spans="1:1" x14ac:dyDescent="0.2">
      <c r="A2138"/>
    </row>
    <row r="2139" spans="1:1" x14ac:dyDescent="0.2">
      <c r="A2139"/>
    </row>
    <row r="2140" spans="1:1" x14ac:dyDescent="0.2">
      <c r="A2140"/>
    </row>
    <row r="2141" spans="1:1" x14ac:dyDescent="0.2">
      <c r="A2141"/>
    </row>
    <row r="2142" spans="1:1" x14ac:dyDescent="0.2">
      <c r="A2142"/>
    </row>
    <row r="2143" spans="1:1" x14ac:dyDescent="0.2">
      <c r="A2143"/>
    </row>
    <row r="2144" spans="1:1" x14ac:dyDescent="0.2">
      <c r="A2144"/>
    </row>
    <row r="2145" spans="1:1" x14ac:dyDescent="0.2">
      <c r="A2145"/>
    </row>
    <row r="2146" spans="1:1" x14ac:dyDescent="0.2">
      <c r="A2146"/>
    </row>
    <row r="2147" spans="1:1" x14ac:dyDescent="0.2">
      <c r="A2147"/>
    </row>
    <row r="2148" spans="1:1" x14ac:dyDescent="0.2">
      <c r="A2148"/>
    </row>
    <row r="2149" spans="1:1" x14ac:dyDescent="0.2">
      <c r="A2149"/>
    </row>
    <row r="2150" spans="1:1" x14ac:dyDescent="0.2">
      <c r="A2150"/>
    </row>
    <row r="2151" spans="1:1" x14ac:dyDescent="0.2">
      <c r="A2151"/>
    </row>
    <row r="2152" spans="1:1" x14ac:dyDescent="0.2">
      <c r="A2152"/>
    </row>
    <row r="2153" spans="1:1" x14ac:dyDescent="0.2">
      <c r="A2153"/>
    </row>
    <row r="2154" spans="1:1" x14ac:dyDescent="0.2">
      <c r="A2154"/>
    </row>
    <row r="2155" spans="1:1" x14ac:dyDescent="0.2">
      <c r="A2155"/>
    </row>
    <row r="2156" spans="1:1" x14ac:dyDescent="0.2">
      <c r="A2156"/>
    </row>
    <row r="2157" spans="1:1" x14ac:dyDescent="0.2">
      <c r="A2157"/>
    </row>
    <row r="2158" spans="1:1" x14ac:dyDescent="0.2">
      <c r="A2158"/>
    </row>
    <row r="2159" spans="1:1" x14ac:dyDescent="0.2">
      <c r="A2159"/>
    </row>
    <row r="2160" spans="1:1" x14ac:dyDescent="0.2">
      <c r="A2160"/>
    </row>
    <row r="2161" spans="1:1" x14ac:dyDescent="0.2">
      <c r="A2161"/>
    </row>
    <row r="2162" spans="1:1" x14ac:dyDescent="0.2">
      <c r="A2162"/>
    </row>
    <row r="2163" spans="1:1" x14ac:dyDescent="0.2">
      <c r="A2163"/>
    </row>
    <row r="2164" spans="1:1" x14ac:dyDescent="0.2">
      <c r="A2164"/>
    </row>
    <row r="2165" spans="1:1" x14ac:dyDescent="0.2">
      <c r="A2165"/>
    </row>
    <row r="2166" spans="1:1" x14ac:dyDescent="0.2">
      <c r="A2166"/>
    </row>
    <row r="2167" spans="1:1" x14ac:dyDescent="0.2">
      <c r="A2167"/>
    </row>
    <row r="2168" spans="1:1" x14ac:dyDescent="0.2">
      <c r="A2168"/>
    </row>
    <row r="2169" spans="1:1" x14ac:dyDescent="0.2">
      <c r="A2169"/>
    </row>
    <row r="2170" spans="1:1" x14ac:dyDescent="0.2">
      <c r="A2170"/>
    </row>
    <row r="2171" spans="1:1" x14ac:dyDescent="0.2">
      <c r="A2171"/>
    </row>
    <row r="2172" spans="1:1" x14ac:dyDescent="0.2">
      <c r="A2172"/>
    </row>
    <row r="2173" spans="1:1" x14ac:dyDescent="0.2">
      <c r="A2173"/>
    </row>
    <row r="2174" spans="1:1" x14ac:dyDescent="0.2">
      <c r="A2174"/>
    </row>
    <row r="2175" spans="1:1" x14ac:dyDescent="0.2">
      <c r="A2175"/>
    </row>
    <row r="2176" spans="1:1" x14ac:dyDescent="0.2">
      <c r="A2176"/>
    </row>
    <row r="2177" spans="1:1" x14ac:dyDescent="0.2">
      <c r="A2177"/>
    </row>
    <row r="2178" spans="1:1" x14ac:dyDescent="0.2">
      <c r="A2178"/>
    </row>
    <row r="2179" spans="1:1" x14ac:dyDescent="0.2">
      <c r="A2179"/>
    </row>
    <row r="2180" spans="1:1" x14ac:dyDescent="0.2">
      <c r="A2180"/>
    </row>
    <row r="2181" spans="1:1" x14ac:dyDescent="0.2">
      <c r="A2181"/>
    </row>
    <row r="2182" spans="1:1" x14ac:dyDescent="0.2">
      <c r="A2182"/>
    </row>
    <row r="2183" spans="1:1" x14ac:dyDescent="0.2">
      <c r="A2183"/>
    </row>
    <row r="2184" spans="1:1" x14ac:dyDescent="0.2">
      <c r="A2184"/>
    </row>
    <row r="2185" spans="1:1" x14ac:dyDescent="0.2">
      <c r="A2185"/>
    </row>
    <row r="2186" spans="1:1" x14ac:dyDescent="0.2">
      <c r="A2186"/>
    </row>
    <row r="2187" spans="1:1" x14ac:dyDescent="0.2">
      <c r="A2187"/>
    </row>
    <row r="2188" spans="1:1" x14ac:dyDescent="0.2">
      <c r="A2188"/>
    </row>
    <row r="2189" spans="1:1" x14ac:dyDescent="0.2">
      <c r="A2189"/>
    </row>
    <row r="2190" spans="1:1" x14ac:dyDescent="0.2">
      <c r="A2190"/>
    </row>
    <row r="2191" spans="1:1" x14ac:dyDescent="0.2">
      <c r="A2191"/>
    </row>
    <row r="2192" spans="1:1" x14ac:dyDescent="0.2">
      <c r="A2192"/>
    </row>
    <row r="2193" spans="1:1" x14ac:dyDescent="0.2">
      <c r="A2193"/>
    </row>
    <row r="2194" spans="1:1" x14ac:dyDescent="0.2">
      <c r="A2194"/>
    </row>
    <row r="2195" spans="1:1" x14ac:dyDescent="0.2">
      <c r="A2195"/>
    </row>
    <row r="2196" spans="1:1" x14ac:dyDescent="0.2">
      <c r="A2196"/>
    </row>
    <row r="2197" spans="1:1" x14ac:dyDescent="0.2">
      <c r="A2197"/>
    </row>
    <row r="2198" spans="1:1" x14ac:dyDescent="0.2">
      <c r="A2198"/>
    </row>
    <row r="2199" spans="1:1" x14ac:dyDescent="0.2">
      <c r="A2199"/>
    </row>
    <row r="2200" spans="1:1" x14ac:dyDescent="0.2">
      <c r="A2200"/>
    </row>
    <row r="2201" spans="1:1" x14ac:dyDescent="0.2">
      <c r="A2201"/>
    </row>
    <row r="2202" spans="1:1" x14ac:dyDescent="0.2">
      <c r="A2202"/>
    </row>
    <row r="2203" spans="1:1" x14ac:dyDescent="0.2">
      <c r="A2203"/>
    </row>
    <row r="2204" spans="1:1" x14ac:dyDescent="0.2">
      <c r="A2204"/>
    </row>
    <row r="2205" spans="1:1" x14ac:dyDescent="0.2">
      <c r="A2205"/>
    </row>
    <row r="2206" spans="1:1" x14ac:dyDescent="0.2">
      <c r="A2206"/>
    </row>
    <row r="2207" spans="1:1" x14ac:dyDescent="0.2">
      <c r="A2207"/>
    </row>
    <row r="2208" spans="1:1" x14ac:dyDescent="0.2">
      <c r="A2208"/>
    </row>
    <row r="2209" spans="1:1" x14ac:dyDescent="0.2">
      <c r="A2209"/>
    </row>
    <row r="2210" spans="1:1" x14ac:dyDescent="0.2">
      <c r="A2210"/>
    </row>
    <row r="2211" spans="1:1" x14ac:dyDescent="0.2">
      <c r="A2211"/>
    </row>
    <row r="2212" spans="1:1" x14ac:dyDescent="0.2">
      <c r="A2212"/>
    </row>
    <row r="2213" spans="1:1" x14ac:dyDescent="0.2">
      <c r="A2213"/>
    </row>
    <row r="2214" spans="1:1" x14ac:dyDescent="0.2">
      <c r="A2214"/>
    </row>
    <row r="2215" spans="1:1" x14ac:dyDescent="0.2">
      <c r="A2215"/>
    </row>
    <row r="2216" spans="1:1" x14ac:dyDescent="0.2">
      <c r="A2216"/>
    </row>
    <row r="2217" spans="1:1" x14ac:dyDescent="0.2">
      <c r="A2217"/>
    </row>
    <row r="2218" spans="1:1" x14ac:dyDescent="0.2">
      <c r="A2218"/>
    </row>
    <row r="2219" spans="1:1" x14ac:dyDescent="0.2">
      <c r="A2219"/>
    </row>
    <row r="2220" spans="1:1" x14ac:dyDescent="0.2">
      <c r="A2220"/>
    </row>
    <row r="2221" spans="1:1" x14ac:dyDescent="0.2">
      <c r="A2221"/>
    </row>
    <row r="2222" spans="1:1" x14ac:dyDescent="0.2">
      <c r="A2222"/>
    </row>
    <row r="2223" spans="1:1" x14ac:dyDescent="0.2">
      <c r="A2223"/>
    </row>
    <row r="2224" spans="1:1" x14ac:dyDescent="0.2">
      <c r="A2224"/>
    </row>
    <row r="2225" spans="1:1" x14ac:dyDescent="0.2">
      <c r="A2225"/>
    </row>
    <row r="2226" spans="1:1" x14ac:dyDescent="0.2">
      <c r="A2226"/>
    </row>
    <row r="2227" spans="1:1" x14ac:dyDescent="0.2">
      <c r="A2227"/>
    </row>
    <row r="2228" spans="1:1" x14ac:dyDescent="0.2">
      <c r="A2228"/>
    </row>
    <row r="2229" spans="1:1" x14ac:dyDescent="0.2">
      <c r="A2229"/>
    </row>
    <row r="2230" spans="1:1" x14ac:dyDescent="0.2">
      <c r="A2230"/>
    </row>
    <row r="2231" spans="1:1" x14ac:dyDescent="0.2">
      <c r="A2231"/>
    </row>
    <row r="2232" spans="1:1" x14ac:dyDescent="0.2">
      <c r="A2232"/>
    </row>
    <row r="2233" spans="1:1" x14ac:dyDescent="0.2">
      <c r="A2233"/>
    </row>
    <row r="2234" spans="1:1" x14ac:dyDescent="0.2">
      <c r="A2234"/>
    </row>
    <row r="2235" spans="1:1" x14ac:dyDescent="0.2">
      <c r="A2235"/>
    </row>
    <row r="2236" spans="1:1" x14ac:dyDescent="0.2">
      <c r="A2236"/>
    </row>
    <row r="2237" spans="1:1" x14ac:dyDescent="0.2">
      <c r="A2237"/>
    </row>
    <row r="2238" spans="1:1" x14ac:dyDescent="0.2">
      <c r="A2238"/>
    </row>
    <row r="2239" spans="1:1" x14ac:dyDescent="0.2">
      <c r="A2239"/>
    </row>
    <row r="2240" spans="1:1" x14ac:dyDescent="0.2">
      <c r="A2240"/>
    </row>
    <row r="2241" spans="1:1" x14ac:dyDescent="0.2">
      <c r="A2241"/>
    </row>
    <row r="2242" spans="1:1" x14ac:dyDescent="0.2">
      <c r="A2242"/>
    </row>
    <row r="2243" spans="1:1" x14ac:dyDescent="0.2">
      <c r="A2243"/>
    </row>
    <row r="2244" spans="1:1" x14ac:dyDescent="0.2">
      <c r="A2244"/>
    </row>
    <row r="2245" spans="1:1" x14ac:dyDescent="0.2">
      <c r="A2245"/>
    </row>
    <row r="2246" spans="1:1" x14ac:dyDescent="0.2">
      <c r="A2246"/>
    </row>
    <row r="2247" spans="1:1" x14ac:dyDescent="0.2">
      <c r="A2247"/>
    </row>
    <row r="2248" spans="1:1" x14ac:dyDescent="0.2">
      <c r="A2248"/>
    </row>
    <row r="2249" spans="1:1" x14ac:dyDescent="0.2">
      <c r="A2249"/>
    </row>
    <row r="2250" spans="1:1" x14ac:dyDescent="0.2">
      <c r="A2250"/>
    </row>
    <row r="2251" spans="1:1" x14ac:dyDescent="0.2">
      <c r="A2251"/>
    </row>
    <row r="2252" spans="1:1" x14ac:dyDescent="0.2">
      <c r="A2252"/>
    </row>
    <row r="2253" spans="1:1" x14ac:dyDescent="0.2">
      <c r="A2253"/>
    </row>
    <row r="2254" spans="1:1" x14ac:dyDescent="0.2">
      <c r="A2254"/>
    </row>
    <row r="2255" spans="1:1" x14ac:dyDescent="0.2">
      <c r="A2255"/>
    </row>
    <row r="2256" spans="1:1" x14ac:dyDescent="0.2">
      <c r="A2256"/>
    </row>
    <row r="2257" spans="1:1" x14ac:dyDescent="0.2">
      <c r="A2257"/>
    </row>
    <row r="2258" spans="1:1" x14ac:dyDescent="0.2">
      <c r="A2258"/>
    </row>
    <row r="2259" spans="1:1" x14ac:dyDescent="0.2">
      <c r="A2259"/>
    </row>
    <row r="2260" spans="1:1" x14ac:dyDescent="0.2">
      <c r="A2260"/>
    </row>
    <row r="2261" spans="1:1" x14ac:dyDescent="0.2">
      <c r="A2261"/>
    </row>
    <row r="2262" spans="1:1" x14ac:dyDescent="0.2">
      <c r="A2262"/>
    </row>
    <row r="2263" spans="1:1" x14ac:dyDescent="0.2">
      <c r="A2263"/>
    </row>
    <row r="2264" spans="1:1" x14ac:dyDescent="0.2">
      <c r="A2264"/>
    </row>
    <row r="2265" spans="1:1" x14ac:dyDescent="0.2">
      <c r="A2265"/>
    </row>
    <row r="2266" spans="1:1" x14ac:dyDescent="0.2">
      <c r="A2266"/>
    </row>
    <row r="2267" spans="1:1" x14ac:dyDescent="0.2">
      <c r="A2267"/>
    </row>
    <row r="2268" spans="1:1" x14ac:dyDescent="0.2">
      <c r="A2268"/>
    </row>
    <row r="2269" spans="1:1" x14ac:dyDescent="0.2">
      <c r="A2269"/>
    </row>
    <row r="2270" spans="1:1" x14ac:dyDescent="0.2">
      <c r="A2270"/>
    </row>
    <row r="2271" spans="1:1" x14ac:dyDescent="0.2">
      <c r="A2271"/>
    </row>
    <row r="2272" spans="1:1" x14ac:dyDescent="0.2">
      <c r="A2272"/>
    </row>
    <row r="2273" spans="1:1" x14ac:dyDescent="0.2">
      <c r="A2273"/>
    </row>
    <row r="2274" spans="1:1" x14ac:dyDescent="0.2">
      <c r="A2274"/>
    </row>
    <row r="2275" spans="1:1" x14ac:dyDescent="0.2">
      <c r="A2275"/>
    </row>
    <row r="2276" spans="1:1" x14ac:dyDescent="0.2">
      <c r="A2276"/>
    </row>
    <row r="2277" spans="1:1" x14ac:dyDescent="0.2">
      <c r="A2277"/>
    </row>
    <row r="2278" spans="1:1" x14ac:dyDescent="0.2">
      <c r="A2278"/>
    </row>
    <row r="2279" spans="1:1" x14ac:dyDescent="0.2">
      <c r="A2279"/>
    </row>
    <row r="2280" spans="1:1" x14ac:dyDescent="0.2">
      <c r="A2280"/>
    </row>
    <row r="2281" spans="1:1" x14ac:dyDescent="0.2">
      <c r="A2281"/>
    </row>
    <row r="2282" spans="1:1" x14ac:dyDescent="0.2">
      <c r="A2282"/>
    </row>
    <row r="2283" spans="1:1" x14ac:dyDescent="0.2">
      <c r="A2283"/>
    </row>
    <row r="2284" spans="1:1" x14ac:dyDescent="0.2">
      <c r="A2284"/>
    </row>
    <row r="2285" spans="1:1" x14ac:dyDescent="0.2">
      <c r="A2285"/>
    </row>
    <row r="2286" spans="1:1" x14ac:dyDescent="0.2">
      <c r="A2286"/>
    </row>
    <row r="2287" spans="1:1" x14ac:dyDescent="0.2">
      <c r="A2287"/>
    </row>
    <row r="2288" spans="1:1" x14ac:dyDescent="0.2">
      <c r="A2288"/>
    </row>
    <row r="2289" spans="1:1" x14ac:dyDescent="0.2">
      <c r="A2289"/>
    </row>
    <row r="2290" spans="1:1" x14ac:dyDescent="0.2">
      <c r="A2290"/>
    </row>
    <row r="2291" spans="1:1" x14ac:dyDescent="0.2">
      <c r="A2291"/>
    </row>
    <row r="2292" spans="1:1" x14ac:dyDescent="0.2">
      <c r="A2292"/>
    </row>
    <row r="2293" spans="1:1" x14ac:dyDescent="0.2">
      <c r="A2293"/>
    </row>
    <row r="2294" spans="1:1" x14ac:dyDescent="0.2">
      <c r="A2294"/>
    </row>
    <row r="2295" spans="1:1" x14ac:dyDescent="0.2">
      <c r="A2295"/>
    </row>
    <row r="2296" spans="1:1" x14ac:dyDescent="0.2">
      <c r="A2296"/>
    </row>
    <row r="2297" spans="1:1" x14ac:dyDescent="0.2">
      <c r="A2297"/>
    </row>
    <row r="2298" spans="1:1" x14ac:dyDescent="0.2">
      <c r="A2298"/>
    </row>
    <row r="2299" spans="1:1" x14ac:dyDescent="0.2">
      <c r="A2299"/>
    </row>
    <row r="2300" spans="1:1" x14ac:dyDescent="0.2">
      <c r="A2300"/>
    </row>
    <row r="2301" spans="1:1" x14ac:dyDescent="0.2">
      <c r="A2301"/>
    </row>
    <row r="2302" spans="1:1" x14ac:dyDescent="0.2">
      <c r="A2302"/>
    </row>
    <row r="2303" spans="1:1" x14ac:dyDescent="0.2">
      <c r="A2303"/>
    </row>
    <row r="2304" spans="1:1" x14ac:dyDescent="0.2">
      <c r="A2304"/>
    </row>
    <row r="2305" spans="1:1" x14ac:dyDescent="0.2">
      <c r="A2305"/>
    </row>
    <row r="2306" spans="1:1" x14ac:dyDescent="0.2">
      <c r="A2306"/>
    </row>
    <row r="2307" spans="1:1" x14ac:dyDescent="0.2">
      <c r="A2307"/>
    </row>
    <row r="2308" spans="1:1" x14ac:dyDescent="0.2">
      <c r="A2308"/>
    </row>
    <row r="2309" spans="1:1" x14ac:dyDescent="0.2">
      <c r="A2309"/>
    </row>
    <row r="2310" spans="1:1" x14ac:dyDescent="0.2">
      <c r="A2310"/>
    </row>
    <row r="2311" spans="1:1" x14ac:dyDescent="0.2">
      <c r="A2311"/>
    </row>
    <row r="2312" spans="1:1" x14ac:dyDescent="0.2">
      <c r="A2312"/>
    </row>
    <row r="2313" spans="1:1" x14ac:dyDescent="0.2">
      <c r="A2313"/>
    </row>
    <row r="2314" spans="1:1" x14ac:dyDescent="0.2">
      <c r="A2314"/>
    </row>
    <row r="2315" spans="1:1" x14ac:dyDescent="0.2">
      <c r="A2315"/>
    </row>
    <row r="2316" spans="1:1" x14ac:dyDescent="0.2">
      <c r="A2316"/>
    </row>
    <row r="2317" spans="1:1" x14ac:dyDescent="0.2">
      <c r="A2317"/>
    </row>
    <row r="2318" spans="1:1" x14ac:dyDescent="0.2">
      <c r="A2318"/>
    </row>
    <row r="2319" spans="1:1" x14ac:dyDescent="0.2">
      <c r="A2319"/>
    </row>
    <row r="2320" spans="1:1" x14ac:dyDescent="0.2">
      <c r="A2320"/>
    </row>
    <row r="2321" spans="1:1" x14ac:dyDescent="0.2">
      <c r="A2321"/>
    </row>
    <row r="2322" spans="1:1" x14ac:dyDescent="0.2">
      <c r="A2322"/>
    </row>
    <row r="2323" spans="1:1" x14ac:dyDescent="0.2">
      <c r="A2323"/>
    </row>
    <row r="2324" spans="1:1" x14ac:dyDescent="0.2">
      <c r="A2324"/>
    </row>
    <row r="2325" spans="1:1" x14ac:dyDescent="0.2">
      <c r="A2325"/>
    </row>
    <row r="2326" spans="1:1" x14ac:dyDescent="0.2">
      <c r="A2326"/>
    </row>
    <row r="2327" spans="1:1" x14ac:dyDescent="0.2">
      <c r="A2327"/>
    </row>
    <row r="2328" spans="1:1" x14ac:dyDescent="0.2">
      <c r="A2328"/>
    </row>
    <row r="2329" spans="1:1" x14ac:dyDescent="0.2">
      <c r="A2329"/>
    </row>
    <row r="2330" spans="1:1" x14ac:dyDescent="0.2">
      <c r="A2330"/>
    </row>
    <row r="2331" spans="1:1" x14ac:dyDescent="0.2">
      <c r="A2331"/>
    </row>
    <row r="2332" spans="1:1" x14ac:dyDescent="0.2">
      <c r="A2332"/>
    </row>
    <row r="2333" spans="1:1" x14ac:dyDescent="0.2">
      <c r="A2333"/>
    </row>
    <row r="2334" spans="1:1" x14ac:dyDescent="0.2">
      <c r="A2334"/>
    </row>
    <row r="2335" spans="1:1" x14ac:dyDescent="0.2">
      <c r="A2335"/>
    </row>
    <row r="2336" spans="1:1" x14ac:dyDescent="0.2">
      <c r="A2336"/>
    </row>
    <row r="2337" spans="1:1" x14ac:dyDescent="0.2">
      <c r="A2337"/>
    </row>
    <row r="2338" spans="1:1" x14ac:dyDescent="0.2">
      <c r="A2338"/>
    </row>
    <row r="2339" spans="1:1" x14ac:dyDescent="0.2">
      <c r="A2339"/>
    </row>
    <row r="2340" spans="1:1" x14ac:dyDescent="0.2">
      <c r="A2340"/>
    </row>
    <row r="2341" spans="1:1" x14ac:dyDescent="0.2">
      <c r="A2341"/>
    </row>
    <row r="2342" spans="1:1" x14ac:dyDescent="0.2">
      <c r="A2342"/>
    </row>
    <row r="2343" spans="1:1" x14ac:dyDescent="0.2">
      <c r="A2343"/>
    </row>
    <row r="2344" spans="1:1" x14ac:dyDescent="0.2">
      <c r="A2344"/>
    </row>
    <row r="2345" spans="1:1" x14ac:dyDescent="0.2">
      <c r="A2345"/>
    </row>
    <row r="2346" spans="1:1" x14ac:dyDescent="0.2">
      <c r="A2346"/>
    </row>
    <row r="2347" spans="1:1" x14ac:dyDescent="0.2">
      <c r="A2347"/>
    </row>
    <row r="2348" spans="1:1" x14ac:dyDescent="0.2">
      <c r="A2348"/>
    </row>
    <row r="2349" spans="1:1" x14ac:dyDescent="0.2">
      <c r="A2349"/>
    </row>
    <row r="2350" spans="1:1" x14ac:dyDescent="0.2">
      <c r="A2350"/>
    </row>
    <row r="2351" spans="1:1" x14ac:dyDescent="0.2">
      <c r="A2351"/>
    </row>
    <row r="2352" spans="1:1" x14ac:dyDescent="0.2">
      <c r="A2352"/>
    </row>
    <row r="2353" spans="1:1" x14ac:dyDescent="0.2">
      <c r="A2353"/>
    </row>
    <row r="2354" spans="1:1" x14ac:dyDescent="0.2">
      <c r="A2354"/>
    </row>
    <row r="2355" spans="1:1" x14ac:dyDescent="0.2">
      <c r="A2355"/>
    </row>
    <row r="2356" spans="1:1" x14ac:dyDescent="0.2">
      <c r="A2356"/>
    </row>
    <row r="2357" spans="1:1" x14ac:dyDescent="0.2">
      <c r="A2357"/>
    </row>
    <row r="2358" spans="1:1" x14ac:dyDescent="0.2">
      <c r="A2358"/>
    </row>
    <row r="2359" spans="1:1" x14ac:dyDescent="0.2">
      <c r="A2359"/>
    </row>
    <row r="2360" spans="1:1" x14ac:dyDescent="0.2">
      <c r="A2360"/>
    </row>
    <row r="2361" spans="1:1" x14ac:dyDescent="0.2">
      <c r="A2361"/>
    </row>
    <row r="2362" spans="1:1" x14ac:dyDescent="0.2">
      <c r="A2362"/>
    </row>
    <row r="2363" spans="1:1" x14ac:dyDescent="0.2">
      <c r="A2363"/>
    </row>
    <row r="2364" spans="1:1" x14ac:dyDescent="0.2">
      <c r="A2364"/>
    </row>
    <row r="2365" spans="1:1" x14ac:dyDescent="0.2">
      <c r="A2365"/>
    </row>
    <row r="2366" spans="1:1" x14ac:dyDescent="0.2">
      <c r="A2366"/>
    </row>
    <row r="2367" spans="1:1" x14ac:dyDescent="0.2">
      <c r="A2367"/>
    </row>
    <row r="2368" spans="1:1" x14ac:dyDescent="0.2">
      <c r="A2368"/>
    </row>
    <row r="2369" spans="1:1" x14ac:dyDescent="0.2">
      <c r="A2369"/>
    </row>
    <row r="2370" spans="1:1" x14ac:dyDescent="0.2">
      <c r="A2370"/>
    </row>
    <row r="2371" spans="1:1" x14ac:dyDescent="0.2">
      <c r="A2371"/>
    </row>
    <row r="2372" spans="1:1" x14ac:dyDescent="0.2">
      <c r="A2372"/>
    </row>
    <row r="2373" spans="1:1" x14ac:dyDescent="0.2">
      <c r="A2373"/>
    </row>
    <row r="2374" spans="1:1" x14ac:dyDescent="0.2">
      <c r="A2374"/>
    </row>
    <row r="2375" spans="1:1" x14ac:dyDescent="0.2">
      <c r="A2375"/>
    </row>
    <row r="2376" spans="1:1" x14ac:dyDescent="0.2">
      <c r="A2376"/>
    </row>
    <row r="2377" spans="1:1" x14ac:dyDescent="0.2">
      <c r="A2377"/>
    </row>
    <row r="2378" spans="1:1" x14ac:dyDescent="0.2">
      <c r="A2378"/>
    </row>
    <row r="2379" spans="1:1" x14ac:dyDescent="0.2">
      <c r="A2379"/>
    </row>
    <row r="2380" spans="1:1" x14ac:dyDescent="0.2">
      <c r="A2380"/>
    </row>
    <row r="2381" spans="1:1" x14ac:dyDescent="0.2">
      <c r="A2381"/>
    </row>
    <row r="2382" spans="1:1" x14ac:dyDescent="0.2">
      <c r="A2382"/>
    </row>
    <row r="2383" spans="1:1" x14ac:dyDescent="0.2">
      <c r="A2383"/>
    </row>
    <row r="2384" spans="1:1" x14ac:dyDescent="0.2">
      <c r="A2384"/>
    </row>
    <row r="2385" spans="1:1" x14ac:dyDescent="0.2">
      <c r="A2385"/>
    </row>
    <row r="2386" spans="1:1" x14ac:dyDescent="0.2">
      <c r="A2386"/>
    </row>
    <row r="2387" spans="1:1" x14ac:dyDescent="0.2">
      <c r="A2387"/>
    </row>
    <row r="2388" spans="1:1" x14ac:dyDescent="0.2">
      <c r="A2388"/>
    </row>
    <row r="2389" spans="1:1" x14ac:dyDescent="0.2">
      <c r="A2389"/>
    </row>
    <row r="2390" spans="1:1" x14ac:dyDescent="0.2">
      <c r="A2390"/>
    </row>
    <row r="2391" spans="1:1" x14ac:dyDescent="0.2">
      <c r="A2391"/>
    </row>
    <row r="2392" spans="1:1" x14ac:dyDescent="0.2">
      <c r="A2392"/>
    </row>
    <row r="2393" spans="1:1" x14ac:dyDescent="0.2">
      <c r="A2393"/>
    </row>
    <row r="2394" spans="1:1" x14ac:dyDescent="0.2">
      <c r="A2394"/>
    </row>
    <row r="2395" spans="1:1" x14ac:dyDescent="0.2">
      <c r="A2395"/>
    </row>
    <row r="2396" spans="1:1" x14ac:dyDescent="0.2">
      <c r="A2396"/>
    </row>
    <row r="2397" spans="1:1" x14ac:dyDescent="0.2">
      <c r="A2397"/>
    </row>
    <row r="2398" spans="1:1" x14ac:dyDescent="0.2">
      <c r="A2398"/>
    </row>
    <row r="2399" spans="1:1" x14ac:dyDescent="0.2">
      <c r="A2399"/>
    </row>
    <row r="2400" spans="1:1" x14ac:dyDescent="0.2">
      <c r="A2400"/>
    </row>
    <row r="2401" spans="1:1" x14ac:dyDescent="0.2">
      <c r="A2401"/>
    </row>
    <row r="2402" spans="1:1" x14ac:dyDescent="0.2">
      <c r="A2402"/>
    </row>
    <row r="2403" spans="1:1" x14ac:dyDescent="0.2">
      <c r="A2403"/>
    </row>
    <row r="2404" spans="1:1" x14ac:dyDescent="0.2">
      <c r="A2404"/>
    </row>
    <row r="2405" spans="1:1" x14ac:dyDescent="0.2">
      <c r="A2405"/>
    </row>
    <row r="2406" spans="1:1" x14ac:dyDescent="0.2">
      <c r="A2406"/>
    </row>
    <row r="2407" spans="1:1" x14ac:dyDescent="0.2">
      <c r="A2407"/>
    </row>
    <row r="2408" spans="1:1" x14ac:dyDescent="0.2">
      <c r="A2408"/>
    </row>
    <row r="2409" spans="1:1" x14ac:dyDescent="0.2">
      <c r="A2409"/>
    </row>
    <row r="2410" spans="1:1" x14ac:dyDescent="0.2">
      <c r="A2410"/>
    </row>
    <row r="2411" spans="1:1" x14ac:dyDescent="0.2">
      <c r="A2411"/>
    </row>
    <row r="2412" spans="1:1" x14ac:dyDescent="0.2">
      <c r="A2412"/>
    </row>
    <row r="2413" spans="1:1" x14ac:dyDescent="0.2">
      <c r="A2413"/>
    </row>
    <row r="2414" spans="1:1" x14ac:dyDescent="0.2">
      <c r="A2414"/>
    </row>
    <row r="2415" spans="1:1" x14ac:dyDescent="0.2">
      <c r="A2415"/>
    </row>
    <row r="2416" spans="1:1" x14ac:dyDescent="0.2">
      <c r="A2416"/>
    </row>
    <row r="2417" spans="1:1" x14ac:dyDescent="0.2">
      <c r="A2417"/>
    </row>
    <row r="2418" spans="1:1" x14ac:dyDescent="0.2">
      <c r="A2418"/>
    </row>
    <row r="2419" spans="1:1" x14ac:dyDescent="0.2">
      <c r="A2419"/>
    </row>
    <row r="2420" spans="1:1" x14ac:dyDescent="0.2">
      <c r="A2420"/>
    </row>
    <row r="2421" spans="1:1" x14ac:dyDescent="0.2">
      <c r="A2421"/>
    </row>
    <row r="2422" spans="1:1" x14ac:dyDescent="0.2">
      <c r="A2422"/>
    </row>
    <row r="2423" spans="1:1" x14ac:dyDescent="0.2">
      <c r="A2423"/>
    </row>
    <row r="2424" spans="1:1" x14ac:dyDescent="0.2">
      <c r="A2424"/>
    </row>
    <row r="2425" spans="1:1" x14ac:dyDescent="0.2">
      <c r="A2425"/>
    </row>
    <row r="2426" spans="1:1" x14ac:dyDescent="0.2">
      <c r="A2426"/>
    </row>
    <row r="2427" spans="1:1" x14ac:dyDescent="0.2">
      <c r="A2427"/>
    </row>
    <row r="2428" spans="1:1" x14ac:dyDescent="0.2">
      <c r="A2428"/>
    </row>
    <row r="2429" spans="1:1" x14ac:dyDescent="0.2">
      <c r="A2429"/>
    </row>
    <row r="2430" spans="1:1" x14ac:dyDescent="0.2">
      <c r="A2430"/>
    </row>
    <row r="2431" spans="1:1" x14ac:dyDescent="0.2">
      <c r="A2431"/>
    </row>
    <row r="2432" spans="1:1" x14ac:dyDescent="0.2">
      <c r="A2432"/>
    </row>
    <row r="2433" spans="1:1" x14ac:dyDescent="0.2">
      <c r="A2433"/>
    </row>
    <row r="2434" spans="1:1" x14ac:dyDescent="0.2">
      <c r="A2434"/>
    </row>
    <row r="2435" spans="1:1" x14ac:dyDescent="0.2">
      <c r="A2435"/>
    </row>
    <row r="2436" spans="1:1" x14ac:dyDescent="0.2">
      <c r="A2436"/>
    </row>
    <row r="2437" spans="1:1" x14ac:dyDescent="0.2">
      <c r="A2437"/>
    </row>
    <row r="2438" spans="1:1" x14ac:dyDescent="0.2">
      <c r="A2438"/>
    </row>
    <row r="2439" spans="1:1" x14ac:dyDescent="0.2">
      <c r="A2439"/>
    </row>
    <row r="2440" spans="1:1" x14ac:dyDescent="0.2">
      <c r="A2440"/>
    </row>
    <row r="2441" spans="1:1" x14ac:dyDescent="0.2">
      <c r="A2441"/>
    </row>
    <row r="2442" spans="1:1" x14ac:dyDescent="0.2">
      <c r="A2442"/>
    </row>
    <row r="2443" spans="1:1" x14ac:dyDescent="0.2">
      <c r="A2443"/>
    </row>
    <row r="2444" spans="1:1" x14ac:dyDescent="0.2">
      <c r="A2444"/>
    </row>
    <row r="2445" spans="1:1" x14ac:dyDescent="0.2">
      <c r="A2445"/>
    </row>
    <row r="2446" spans="1:1" x14ac:dyDescent="0.2">
      <c r="A2446"/>
    </row>
    <row r="2447" spans="1:1" x14ac:dyDescent="0.2">
      <c r="A2447"/>
    </row>
    <row r="2448" spans="1:1" x14ac:dyDescent="0.2">
      <c r="A2448"/>
    </row>
    <row r="2449" spans="1:1" x14ac:dyDescent="0.2">
      <c r="A2449"/>
    </row>
    <row r="2450" spans="1:1" x14ac:dyDescent="0.2">
      <c r="A2450"/>
    </row>
    <row r="2451" spans="1:1" x14ac:dyDescent="0.2">
      <c r="A2451"/>
    </row>
    <row r="2452" spans="1:1" x14ac:dyDescent="0.2">
      <c r="A2452"/>
    </row>
    <row r="2453" spans="1:1" x14ac:dyDescent="0.2">
      <c r="A2453"/>
    </row>
    <row r="2454" spans="1:1" x14ac:dyDescent="0.2">
      <c r="A2454"/>
    </row>
    <row r="2455" spans="1:1" x14ac:dyDescent="0.2">
      <c r="A2455"/>
    </row>
    <row r="2456" spans="1:1" x14ac:dyDescent="0.2">
      <c r="A2456"/>
    </row>
    <row r="2457" spans="1:1" x14ac:dyDescent="0.2">
      <c r="A2457"/>
    </row>
    <row r="2458" spans="1:1" x14ac:dyDescent="0.2">
      <c r="A2458"/>
    </row>
    <row r="2459" spans="1:1" x14ac:dyDescent="0.2">
      <c r="A2459"/>
    </row>
    <row r="2460" spans="1:1" x14ac:dyDescent="0.2">
      <c r="A2460"/>
    </row>
    <row r="2461" spans="1:1" x14ac:dyDescent="0.2">
      <c r="A2461"/>
    </row>
    <row r="2462" spans="1:1" x14ac:dyDescent="0.2">
      <c r="A2462"/>
    </row>
    <row r="2463" spans="1:1" x14ac:dyDescent="0.2">
      <c r="A2463"/>
    </row>
    <row r="2464" spans="1:1" x14ac:dyDescent="0.2">
      <c r="A2464"/>
    </row>
    <row r="2465" spans="1:1" x14ac:dyDescent="0.2">
      <c r="A2465"/>
    </row>
    <row r="2466" spans="1:1" x14ac:dyDescent="0.2">
      <c r="A2466"/>
    </row>
    <row r="2467" spans="1:1" x14ac:dyDescent="0.2">
      <c r="A2467"/>
    </row>
    <row r="2468" spans="1:1" x14ac:dyDescent="0.2">
      <c r="A2468"/>
    </row>
    <row r="2469" spans="1:1" x14ac:dyDescent="0.2">
      <c r="A2469"/>
    </row>
    <row r="2470" spans="1:1" x14ac:dyDescent="0.2">
      <c r="A2470"/>
    </row>
    <row r="2471" spans="1:1" x14ac:dyDescent="0.2">
      <c r="A2471"/>
    </row>
    <row r="2472" spans="1:1" x14ac:dyDescent="0.2">
      <c r="A2472"/>
    </row>
    <row r="2473" spans="1:1" x14ac:dyDescent="0.2">
      <c r="A2473"/>
    </row>
    <row r="2474" spans="1:1" x14ac:dyDescent="0.2">
      <c r="A2474"/>
    </row>
    <row r="2475" spans="1:1" x14ac:dyDescent="0.2">
      <c r="A2475"/>
    </row>
    <row r="2476" spans="1:1" x14ac:dyDescent="0.2">
      <c r="A2476"/>
    </row>
    <row r="2477" spans="1:1" x14ac:dyDescent="0.2">
      <c r="A2477"/>
    </row>
    <row r="2478" spans="1:1" x14ac:dyDescent="0.2">
      <c r="A2478"/>
    </row>
    <row r="2479" spans="1:1" x14ac:dyDescent="0.2">
      <c r="A2479"/>
    </row>
    <row r="2480" spans="1:1" x14ac:dyDescent="0.2">
      <c r="A2480"/>
    </row>
    <row r="2481" spans="1:1" x14ac:dyDescent="0.2">
      <c r="A2481"/>
    </row>
    <row r="2482" spans="1:1" x14ac:dyDescent="0.2">
      <c r="A2482"/>
    </row>
    <row r="2483" spans="1:1" x14ac:dyDescent="0.2">
      <c r="A2483"/>
    </row>
    <row r="2484" spans="1:1" x14ac:dyDescent="0.2">
      <c r="A2484"/>
    </row>
    <row r="2485" spans="1:1" x14ac:dyDescent="0.2">
      <c r="A2485"/>
    </row>
    <row r="2486" spans="1:1" x14ac:dyDescent="0.2">
      <c r="A2486"/>
    </row>
    <row r="2487" spans="1:1" x14ac:dyDescent="0.2">
      <c r="A2487"/>
    </row>
    <row r="2488" spans="1:1" x14ac:dyDescent="0.2">
      <c r="A2488"/>
    </row>
    <row r="2489" spans="1:1" x14ac:dyDescent="0.2">
      <c r="A2489"/>
    </row>
    <row r="2490" spans="1:1" x14ac:dyDescent="0.2">
      <c r="A2490"/>
    </row>
    <row r="2491" spans="1:1" x14ac:dyDescent="0.2">
      <c r="A2491"/>
    </row>
    <row r="2492" spans="1:1" x14ac:dyDescent="0.2">
      <c r="A2492"/>
    </row>
    <row r="2493" spans="1:1" x14ac:dyDescent="0.2">
      <c r="A2493"/>
    </row>
    <row r="2494" spans="1:1" x14ac:dyDescent="0.2">
      <c r="A2494"/>
    </row>
    <row r="2495" spans="1:1" x14ac:dyDescent="0.2">
      <c r="A2495"/>
    </row>
    <row r="2496" spans="1:1" x14ac:dyDescent="0.2">
      <c r="A2496"/>
    </row>
    <row r="2497" spans="1:1" x14ac:dyDescent="0.2">
      <c r="A2497"/>
    </row>
    <row r="2498" spans="1:1" x14ac:dyDescent="0.2">
      <c r="A2498"/>
    </row>
    <row r="2499" spans="1:1" x14ac:dyDescent="0.2">
      <c r="A2499"/>
    </row>
    <row r="2500" spans="1:1" x14ac:dyDescent="0.2">
      <c r="A2500"/>
    </row>
    <row r="2501" spans="1:1" x14ac:dyDescent="0.2">
      <c r="A2501"/>
    </row>
    <row r="2502" spans="1:1" x14ac:dyDescent="0.2">
      <c r="A2502"/>
    </row>
    <row r="2503" spans="1:1" x14ac:dyDescent="0.2">
      <c r="A2503"/>
    </row>
    <row r="2504" spans="1:1" x14ac:dyDescent="0.2">
      <c r="A2504"/>
    </row>
    <row r="2505" spans="1:1" x14ac:dyDescent="0.2">
      <c r="A2505"/>
    </row>
    <row r="2506" spans="1:1" x14ac:dyDescent="0.2">
      <c r="A2506"/>
    </row>
    <row r="2507" spans="1:1" x14ac:dyDescent="0.2">
      <c r="A2507"/>
    </row>
    <row r="2508" spans="1:1" x14ac:dyDescent="0.2">
      <c r="A2508"/>
    </row>
    <row r="2509" spans="1:1" x14ac:dyDescent="0.2">
      <c r="A2509"/>
    </row>
    <row r="2510" spans="1:1" x14ac:dyDescent="0.2">
      <c r="A2510"/>
    </row>
    <row r="2511" spans="1:1" x14ac:dyDescent="0.2">
      <c r="A2511"/>
    </row>
    <row r="2512" spans="1:1" x14ac:dyDescent="0.2">
      <c r="A2512"/>
    </row>
    <row r="2513" spans="1:1" x14ac:dyDescent="0.2">
      <c r="A2513"/>
    </row>
    <row r="2514" spans="1:1" x14ac:dyDescent="0.2">
      <c r="A2514"/>
    </row>
    <row r="2515" spans="1:1" x14ac:dyDescent="0.2">
      <c r="A2515"/>
    </row>
    <row r="2516" spans="1:1" x14ac:dyDescent="0.2">
      <c r="A2516"/>
    </row>
    <row r="2517" spans="1:1" x14ac:dyDescent="0.2">
      <c r="A2517"/>
    </row>
    <row r="2518" spans="1:1" x14ac:dyDescent="0.2">
      <c r="A2518"/>
    </row>
    <row r="2519" spans="1:1" x14ac:dyDescent="0.2">
      <c r="A2519"/>
    </row>
    <row r="2520" spans="1:1" x14ac:dyDescent="0.2">
      <c r="A2520"/>
    </row>
    <row r="2521" spans="1:1" x14ac:dyDescent="0.2">
      <c r="A2521"/>
    </row>
    <row r="2522" spans="1:1" x14ac:dyDescent="0.2">
      <c r="A2522"/>
    </row>
    <row r="2523" spans="1:1" x14ac:dyDescent="0.2">
      <c r="A2523"/>
    </row>
    <row r="2524" spans="1:1" x14ac:dyDescent="0.2">
      <c r="A2524"/>
    </row>
    <row r="2525" spans="1:1" x14ac:dyDescent="0.2">
      <c r="A2525"/>
    </row>
    <row r="2526" spans="1:1" x14ac:dyDescent="0.2">
      <c r="A2526"/>
    </row>
    <row r="2527" spans="1:1" x14ac:dyDescent="0.2">
      <c r="A2527"/>
    </row>
    <row r="2528" spans="1:1" x14ac:dyDescent="0.2">
      <c r="A2528"/>
    </row>
    <row r="2529" spans="1:1" x14ac:dyDescent="0.2">
      <c r="A2529"/>
    </row>
    <row r="2530" spans="1:1" x14ac:dyDescent="0.2">
      <c r="A2530"/>
    </row>
    <row r="2531" spans="1:1" x14ac:dyDescent="0.2">
      <c r="A2531"/>
    </row>
    <row r="2532" spans="1:1" x14ac:dyDescent="0.2">
      <c r="A2532"/>
    </row>
    <row r="2533" spans="1:1" x14ac:dyDescent="0.2">
      <c r="A2533"/>
    </row>
    <row r="2534" spans="1:1" x14ac:dyDescent="0.2">
      <c r="A2534"/>
    </row>
    <row r="2535" spans="1:1" x14ac:dyDescent="0.2">
      <c r="A2535"/>
    </row>
    <row r="2536" spans="1:1" x14ac:dyDescent="0.2">
      <c r="A2536"/>
    </row>
    <row r="2537" spans="1:1" x14ac:dyDescent="0.2">
      <c r="A2537"/>
    </row>
    <row r="2538" spans="1:1" x14ac:dyDescent="0.2">
      <c r="A2538"/>
    </row>
    <row r="2539" spans="1:1" x14ac:dyDescent="0.2">
      <c r="A2539"/>
    </row>
    <row r="2540" spans="1:1" x14ac:dyDescent="0.2">
      <c r="A2540"/>
    </row>
    <row r="2541" spans="1:1" x14ac:dyDescent="0.2">
      <c r="A2541"/>
    </row>
    <row r="2542" spans="1:1" x14ac:dyDescent="0.2">
      <c r="A2542"/>
    </row>
    <row r="2543" spans="1:1" x14ac:dyDescent="0.2">
      <c r="A2543"/>
    </row>
    <row r="2544" spans="1:1" x14ac:dyDescent="0.2">
      <c r="A2544"/>
    </row>
    <row r="2545" spans="1:1" x14ac:dyDescent="0.2">
      <c r="A2545"/>
    </row>
    <row r="2546" spans="1:1" x14ac:dyDescent="0.2">
      <c r="A2546"/>
    </row>
    <row r="2547" spans="1:1" x14ac:dyDescent="0.2">
      <c r="A2547"/>
    </row>
    <row r="2548" spans="1:1" x14ac:dyDescent="0.2">
      <c r="A2548"/>
    </row>
    <row r="2549" spans="1:1" x14ac:dyDescent="0.2">
      <c r="A2549"/>
    </row>
    <row r="2550" spans="1:1" x14ac:dyDescent="0.2">
      <c r="A2550"/>
    </row>
    <row r="2551" spans="1:1" x14ac:dyDescent="0.2">
      <c r="A2551"/>
    </row>
    <row r="2552" spans="1:1" x14ac:dyDescent="0.2">
      <c r="A2552"/>
    </row>
    <row r="2553" spans="1:1" x14ac:dyDescent="0.2">
      <c r="A2553"/>
    </row>
    <row r="2554" spans="1:1" x14ac:dyDescent="0.2">
      <c r="A2554"/>
    </row>
    <row r="2555" spans="1:1" x14ac:dyDescent="0.2">
      <c r="A2555"/>
    </row>
    <row r="2556" spans="1:1" x14ac:dyDescent="0.2">
      <c r="A2556"/>
    </row>
    <row r="2557" spans="1:1" x14ac:dyDescent="0.2">
      <c r="A2557"/>
    </row>
    <row r="2558" spans="1:1" x14ac:dyDescent="0.2">
      <c r="A2558"/>
    </row>
    <row r="2559" spans="1:1" x14ac:dyDescent="0.2">
      <c r="A2559"/>
    </row>
    <row r="2560" spans="1:1" x14ac:dyDescent="0.2">
      <c r="A2560"/>
    </row>
    <row r="2561" spans="1:1" x14ac:dyDescent="0.2">
      <c r="A2561"/>
    </row>
    <row r="2562" spans="1:1" x14ac:dyDescent="0.2">
      <c r="A2562"/>
    </row>
    <row r="2563" spans="1:1" x14ac:dyDescent="0.2">
      <c r="A2563"/>
    </row>
    <row r="2564" spans="1:1" x14ac:dyDescent="0.2">
      <c r="A2564"/>
    </row>
    <row r="2565" spans="1:1" x14ac:dyDescent="0.2">
      <c r="A2565"/>
    </row>
    <row r="2566" spans="1:1" x14ac:dyDescent="0.2">
      <c r="A2566"/>
    </row>
    <row r="2567" spans="1:1" x14ac:dyDescent="0.2">
      <c r="A2567"/>
    </row>
    <row r="2568" spans="1:1" x14ac:dyDescent="0.2">
      <c r="A2568"/>
    </row>
    <row r="2569" spans="1:1" x14ac:dyDescent="0.2">
      <c r="A2569"/>
    </row>
    <row r="2570" spans="1:1" x14ac:dyDescent="0.2">
      <c r="A2570"/>
    </row>
    <row r="2571" spans="1:1" x14ac:dyDescent="0.2">
      <c r="A2571"/>
    </row>
    <row r="2572" spans="1:1" x14ac:dyDescent="0.2">
      <c r="A2572"/>
    </row>
    <row r="2573" spans="1:1" x14ac:dyDescent="0.2">
      <c r="A2573"/>
    </row>
    <row r="2574" spans="1:1" x14ac:dyDescent="0.2">
      <c r="A2574"/>
    </row>
    <row r="2575" spans="1:1" x14ac:dyDescent="0.2">
      <c r="A2575"/>
    </row>
    <row r="2576" spans="1:1" x14ac:dyDescent="0.2">
      <c r="A2576"/>
    </row>
    <row r="2577" spans="1:1" x14ac:dyDescent="0.2">
      <c r="A2577"/>
    </row>
    <row r="2578" spans="1:1" x14ac:dyDescent="0.2">
      <c r="A2578"/>
    </row>
    <row r="2579" spans="1:1" x14ac:dyDescent="0.2">
      <c r="A2579"/>
    </row>
    <row r="2580" spans="1:1" x14ac:dyDescent="0.2">
      <c r="A2580"/>
    </row>
    <row r="2581" spans="1:1" x14ac:dyDescent="0.2">
      <c r="A2581"/>
    </row>
    <row r="2582" spans="1:1" x14ac:dyDescent="0.2">
      <c r="A2582"/>
    </row>
    <row r="2583" spans="1:1" x14ac:dyDescent="0.2">
      <c r="A2583"/>
    </row>
    <row r="2584" spans="1:1" x14ac:dyDescent="0.2">
      <c r="A2584"/>
    </row>
    <row r="2585" spans="1:1" x14ac:dyDescent="0.2">
      <c r="A2585"/>
    </row>
    <row r="2586" spans="1:1" x14ac:dyDescent="0.2">
      <c r="A2586"/>
    </row>
    <row r="2587" spans="1:1" x14ac:dyDescent="0.2">
      <c r="A2587"/>
    </row>
    <row r="2588" spans="1:1" x14ac:dyDescent="0.2">
      <c r="A2588"/>
    </row>
    <row r="2589" spans="1:1" x14ac:dyDescent="0.2">
      <c r="A2589"/>
    </row>
    <row r="2590" spans="1:1" x14ac:dyDescent="0.2">
      <c r="A2590"/>
    </row>
    <row r="2591" spans="1:1" x14ac:dyDescent="0.2">
      <c r="A2591"/>
    </row>
    <row r="2592" spans="1:1" x14ac:dyDescent="0.2">
      <c r="A2592"/>
    </row>
    <row r="2593" spans="1:1" x14ac:dyDescent="0.2">
      <c r="A2593"/>
    </row>
    <row r="2594" spans="1:1" x14ac:dyDescent="0.2">
      <c r="A2594"/>
    </row>
    <row r="2595" spans="1:1" x14ac:dyDescent="0.2">
      <c r="A2595"/>
    </row>
    <row r="2596" spans="1:1" x14ac:dyDescent="0.2">
      <c r="A2596"/>
    </row>
    <row r="2597" spans="1:1" x14ac:dyDescent="0.2">
      <c r="A2597"/>
    </row>
    <row r="2598" spans="1:1" x14ac:dyDescent="0.2">
      <c r="A2598"/>
    </row>
    <row r="2599" spans="1:1" x14ac:dyDescent="0.2">
      <c r="A2599"/>
    </row>
    <row r="2600" spans="1:1" x14ac:dyDescent="0.2">
      <c r="A2600"/>
    </row>
    <row r="2601" spans="1:1" x14ac:dyDescent="0.2">
      <c r="A2601"/>
    </row>
    <row r="2602" spans="1:1" x14ac:dyDescent="0.2">
      <c r="A2602"/>
    </row>
    <row r="2603" spans="1:1" x14ac:dyDescent="0.2">
      <c r="A2603"/>
    </row>
    <row r="2604" spans="1:1" x14ac:dyDescent="0.2">
      <c r="A2604"/>
    </row>
    <row r="2605" spans="1:1" x14ac:dyDescent="0.2">
      <c r="A2605"/>
    </row>
    <row r="2606" spans="1:1" x14ac:dyDescent="0.2">
      <c r="A2606"/>
    </row>
    <row r="2607" spans="1:1" x14ac:dyDescent="0.2">
      <c r="A2607"/>
    </row>
    <row r="2608" spans="1:1" x14ac:dyDescent="0.2">
      <c r="A2608"/>
    </row>
    <row r="2609" spans="1:1" x14ac:dyDescent="0.2">
      <c r="A2609"/>
    </row>
    <row r="2610" spans="1:1" x14ac:dyDescent="0.2">
      <c r="A2610"/>
    </row>
    <row r="2611" spans="1:1" x14ac:dyDescent="0.2">
      <c r="A2611"/>
    </row>
    <row r="2612" spans="1:1" x14ac:dyDescent="0.2">
      <c r="A2612"/>
    </row>
    <row r="2613" spans="1:1" x14ac:dyDescent="0.2">
      <c r="A2613"/>
    </row>
    <row r="2614" spans="1:1" x14ac:dyDescent="0.2">
      <c r="A2614"/>
    </row>
    <row r="2615" spans="1:1" x14ac:dyDescent="0.2">
      <c r="A2615"/>
    </row>
    <row r="2616" spans="1:1" x14ac:dyDescent="0.2">
      <c r="A2616"/>
    </row>
    <row r="2617" spans="1:1" x14ac:dyDescent="0.2">
      <c r="A2617"/>
    </row>
    <row r="2618" spans="1:1" x14ac:dyDescent="0.2">
      <c r="A2618"/>
    </row>
    <row r="2619" spans="1:1" x14ac:dyDescent="0.2">
      <c r="A2619"/>
    </row>
    <row r="2620" spans="1:1" x14ac:dyDescent="0.2">
      <c r="A2620"/>
    </row>
    <row r="2621" spans="1:1" x14ac:dyDescent="0.2">
      <c r="A2621"/>
    </row>
    <row r="2622" spans="1:1" x14ac:dyDescent="0.2">
      <c r="A2622"/>
    </row>
    <row r="2623" spans="1:1" x14ac:dyDescent="0.2">
      <c r="A2623"/>
    </row>
    <row r="2624" spans="1:1" x14ac:dyDescent="0.2">
      <c r="A2624"/>
    </row>
    <row r="2625" spans="1:1" x14ac:dyDescent="0.2">
      <c r="A2625"/>
    </row>
    <row r="2626" spans="1:1" x14ac:dyDescent="0.2">
      <c r="A2626"/>
    </row>
    <row r="2627" spans="1:1" x14ac:dyDescent="0.2">
      <c r="A2627"/>
    </row>
    <row r="2628" spans="1:1" x14ac:dyDescent="0.2">
      <c r="A2628"/>
    </row>
    <row r="2629" spans="1:1" x14ac:dyDescent="0.2">
      <c r="A2629"/>
    </row>
    <row r="2630" spans="1:1" x14ac:dyDescent="0.2">
      <c r="A2630"/>
    </row>
    <row r="2631" spans="1:1" x14ac:dyDescent="0.2">
      <c r="A2631"/>
    </row>
    <row r="2632" spans="1:1" x14ac:dyDescent="0.2">
      <c r="A2632"/>
    </row>
    <row r="2633" spans="1:1" x14ac:dyDescent="0.2">
      <c r="A2633"/>
    </row>
    <row r="2634" spans="1:1" x14ac:dyDescent="0.2">
      <c r="A2634"/>
    </row>
    <row r="2635" spans="1:1" x14ac:dyDescent="0.2">
      <c r="A2635"/>
    </row>
    <row r="2636" spans="1:1" x14ac:dyDescent="0.2">
      <c r="A2636"/>
    </row>
    <row r="2637" spans="1:1" x14ac:dyDescent="0.2">
      <c r="A2637"/>
    </row>
    <row r="2638" spans="1:1" x14ac:dyDescent="0.2">
      <c r="A2638"/>
    </row>
    <row r="2639" spans="1:1" x14ac:dyDescent="0.2">
      <c r="A2639"/>
    </row>
    <row r="2640" spans="1:1" x14ac:dyDescent="0.2">
      <c r="A2640"/>
    </row>
    <row r="2641" spans="1:1" x14ac:dyDescent="0.2">
      <c r="A2641"/>
    </row>
    <row r="2642" spans="1:1" x14ac:dyDescent="0.2">
      <c r="A2642"/>
    </row>
    <row r="2643" spans="1:1" x14ac:dyDescent="0.2">
      <c r="A2643"/>
    </row>
    <row r="2644" spans="1:1" x14ac:dyDescent="0.2">
      <c r="A2644"/>
    </row>
    <row r="2645" spans="1:1" x14ac:dyDescent="0.2">
      <c r="A2645"/>
    </row>
    <row r="2646" spans="1:1" x14ac:dyDescent="0.2">
      <c r="A2646"/>
    </row>
    <row r="2647" spans="1:1" x14ac:dyDescent="0.2">
      <c r="A2647"/>
    </row>
    <row r="2648" spans="1:1" x14ac:dyDescent="0.2">
      <c r="A2648"/>
    </row>
    <row r="2649" spans="1:1" x14ac:dyDescent="0.2">
      <c r="A2649"/>
    </row>
    <row r="2650" spans="1:1" x14ac:dyDescent="0.2">
      <c r="A2650"/>
    </row>
    <row r="2651" spans="1:1" x14ac:dyDescent="0.2">
      <c r="A2651"/>
    </row>
    <row r="2652" spans="1:1" x14ac:dyDescent="0.2">
      <c r="A2652"/>
    </row>
    <row r="2653" spans="1:1" x14ac:dyDescent="0.2">
      <c r="A2653"/>
    </row>
    <row r="2654" spans="1:1" x14ac:dyDescent="0.2">
      <c r="A2654"/>
    </row>
    <row r="2655" spans="1:1" x14ac:dyDescent="0.2">
      <c r="A2655"/>
    </row>
    <row r="2656" spans="1:1" x14ac:dyDescent="0.2">
      <c r="A2656"/>
    </row>
    <row r="2657" spans="1:1" x14ac:dyDescent="0.2">
      <c r="A2657"/>
    </row>
    <row r="2658" spans="1:1" x14ac:dyDescent="0.2">
      <c r="A2658"/>
    </row>
    <row r="2659" spans="1:1" x14ac:dyDescent="0.2">
      <c r="A2659"/>
    </row>
    <row r="2660" spans="1:1" x14ac:dyDescent="0.2">
      <c r="A2660"/>
    </row>
    <row r="2661" spans="1:1" x14ac:dyDescent="0.2">
      <c r="A2661"/>
    </row>
    <row r="2662" spans="1:1" x14ac:dyDescent="0.2">
      <c r="A2662"/>
    </row>
    <row r="2663" spans="1:1" x14ac:dyDescent="0.2">
      <c r="A2663"/>
    </row>
    <row r="2664" spans="1:1" x14ac:dyDescent="0.2">
      <c r="A2664"/>
    </row>
    <row r="2665" spans="1:1" x14ac:dyDescent="0.2">
      <c r="A2665"/>
    </row>
    <row r="2666" spans="1:1" x14ac:dyDescent="0.2">
      <c r="A2666"/>
    </row>
    <row r="2667" spans="1:1" x14ac:dyDescent="0.2">
      <c r="A2667"/>
    </row>
    <row r="2668" spans="1:1" x14ac:dyDescent="0.2">
      <c r="A2668"/>
    </row>
    <row r="2669" spans="1:1" x14ac:dyDescent="0.2">
      <c r="A2669"/>
    </row>
    <row r="2670" spans="1:1" x14ac:dyDescent="0.2">
      <c r="A2670"/>
    </row>
    <row r="2671" spans="1:1" x14ac:dyDescent="0.2">
      <c r="A2671"/>
    </row>
    <row r="2672" spans="1:1" x14ac:dyDescent="0.2">
      <c r="A2672"/>
    </row>
    <row r="2673" spans="1:1" x14ac:dyDescent="0.2">
      <c r="A2673"/>
    </row>
    <row r="2674" spans="1:1" x14ac:dyDescent="0.2">
      <c r="A2674"/>
    </row>
    <row r="2675" spans="1:1" x14ac:dyDescent="0.2">
      <c r="A2675"/>
    </row>
    <row r="2676" spans="1:1" x14ac:dyDescent="0.2">
      <c r="A2676"/>
    </row>
    <row r="2677" spans="1:1" x14ac:dyDescent="0.2">
      <c r="A2677"/>
    </row>
    <row r="2678" spans="1:1" x14ac:dyDescent="0.2">
      <c r="A2678"/>
    </row>
    <row r="2679" spans="1:1" x14ac:dyDescent="0.2">
      <c r="A2679"/>
    </row>
    <row r="2680" spans="1:1" x14ac:dyDescent="0.2">
      <c r="A2680"/>
    </row>
    <row r="2681" spans="1:1" x14ac:dyDescent="0.2">
      <c r="A2681"/>
    </row>
    <row r="2682" spans="1:1" x14ac:dyDescent="0.2">
      <c r="A2682"/>
    </row>
    <row r="2683" spans="1:1" x14ac:dyDescent="0.2">
      <c r="A2683"/>
    </row>
    <row r="2684" spans="1:1" x14ac:dyDescent="0.2">
      <c r="A2684"/>
    </row>
    <row r="2685" spans="1:1" x14ac:dyDescent="0.2">
      <c r="A2685"/>
    </row>
    <row r="2686" spans="1:1" x14ac:dyDescent="0.2">
      <c r="A2686"/>
    </row>
    <row r="2687" spans="1:1" x14ac:dyDescent="0.2">
      <c r="A2687"/>
    </row>
    <row r="2688" spans="1:1" x14ac:dyDescent="0.2">
      <c r="A2688"/>
    </row>
    <row r="2689" spans="1:1" x14ac:dyDescent="0.2">
      <c r="A2689"/>
    </row>
    <row r="2690" spans="1:1" x14ac:dyDescent="0.2">
      <c r="A2690"/>
    </row>
    <row r="2691" spans="1:1" x14ac:dyDescent="0.2">
      <c r="A2691"/>
    </row>
    <row r="2692" spans="1:1" x14ac:dyDescent="0.2">
      <c r="A2692"/>
    </row>
    <row r="2693" spans="1:1" x14ac:dyDescent="0.2">
      <c r="A2693"/>
    </row>
    <row r="2694" spans="1:1" x14ac:dyDescent="0.2">
      <c r="A2694"/>
    </row>
    <row r="2695" spans="1:1" x14ac:dyDescent="0.2">
      <c r="A2695"/>
    </row>
    <row r="2696" spans="1:1" x14ac:dyDescent="0.2">
      <c r="A2696"/>
    </row>
    <row r="2697" spans="1:1" x14ac:dyDescent="0.2">
      <c r="A2697"/>
    </row>
    <row r="2698" spans="1:1" x14ac:dyDescent="0.2">
      <c r="A2698"/>
    </row>
    <row r="2699" spans="1:1" x14ac:dyDescent="0.2">
      <c r="A2699"/>
    </row>
    <row r="2700" spans="1:1" x14ac:dyDescent="0.2">
      <c r="A2700"/>
    </row>
    <row r="2701" spans="1:1" x14ac:dyDescent="0.2">
      <c r="A2701"/>
    </row>
    <row r="2702" spans="1:1" x14ac:dyDescent="0.2">
      <c r="A2702"/>
    </row>
    <row r="2703" spans="1:1" x14ac:dyDescent="0.2">
      <c r="A2703"/>
    </row>
    <row r="2704" spans="1:1" x14ac:dyDescent="0.2">
      <c r="A2704"/>
    </row>
    <row r="2705" spans="1:1" x14ac:dyDescent="0.2">
      <c r="A2705"/>
    </row>
    <row r="2706" spans="1:1" x14ac:dyDescent="0.2">
      <c r="A2706"/>
    </row>
    <row r="2707" spans="1:1" x14ac:dyDescent="0.2">
      <c r="A2707"/>
    </row>
    <row r="2708" spans="1:1" x14ac:dyDescent="0.2">
      <c r="A2708"/>
    </row>
    <row r="2709" spans="1:1" x14ac:dyDescent="0.2">
      <c r="A2709"/>
    </row>
    <row r="2710" spans="1:1" x14ac:dyDescent="0.2">
      <c r="A2710"/>
    </row>
    <row r="2711" spans="1:1" x14ac:dyDescent="0.2">
      <c r="A2711"/>
    </row>
    <row r="2712" spans="1:1" x14ac:dyDescent="0.2">
      <c r="A2712"/>
    </row>
    <row r="2713" spans="1:1" x14ac:dyDescent="0.2">
      <c r="A2713"/>
    </row>
    <row r="2714" spans="1:1" x14ac:dyDescent="0.2">
      <c r="A2714"/>
    </row>
    <row r="2715" spans="1:1" x14ac:dyDescent="0.2">
      <c r="A2715"/>
    </row>
    <row r="2716" spans="1:1" x14ac:dyDescent="0.2">
      <c r="A2716"/>
    </row>
    <row r="2717" spans="1:1" x14ac:dyDescent="0.2">
      <c r="A2717"/>
    </row>
    <row r="2718" spans="1:1" x14ac:dyDescent="0.2">
      <c r="A2718"/>
    </row>
    <row r="2719" spans="1:1" x14ac:dyDescent="0.2">
      <c r="A2719"/>
    </row>
    <row r="2720" spans="1:1" x14ac:dyDescent="0.2">
      <c r="A2720"/>
    </row>
    <row r="2721" spans="1:1" x14ac:dyDescent="0.2">
      <c r="A2721"/>
    </row>
    <row r="2722" spans="1:1" x14ac:dyDescent="0.2">
      <c r="A2722"/>
    </row>
    <row r="2723" spans="1:1" x14ac:dyDescent="0.2">
      <c r="A2723"/>
    </row>
    <row r="2724" spans="1:1" x14ac:dyDescent="0.2">
      <c r="A2724"/>
    </row>
    <row r="2725" spans="1:1" x14ac:dyDescent="0.2">
      <c r="A2725"/>
    </row>
    <row r="2726" spans="1:1" x14ac:dyDescent="0.2">
      <c r="A2726"/>
    </row>
    <row r="2727" spans="1:1" x14ac:dyDescent="0.2">
      <c r="A2727"/>
    </row>
    <row r="2728" spans="1:1" x14ac:dyDescent="0.2">
      <c r="A2728"/>
    </row>
    <row r="2729" spans="1:1" x14ac:dyDescent="0.2">
      <c r="A2729"/>
    </row>
    <row r="2730" spans="1:1" x14ac:dyDescent="0.2">
      <c r="A2730"/>
    </row>
    <row r="2731" spans="1:1" x14ac:dyDescent="0.2">
      <c r="A2731"/>
    </row>
    <row r="2732" spans="1:1" x14ac:dyDescent="0.2">
      <c r="A2732"/>
    </row>
    <row r="2733" spans="1:1" x14ac:dyDescent="0.2">
      <c r="A2733"/>
    </row>
    <row r="2734" spans="1:1" x14ac:dyDescent="0.2">
      <c r="A2734"/>
    </row>
    <row r="2735" spans="1:1" x14ac:dyDescent="0.2">
      <c r="A2735"/>
    </row>
    <row r="2736" spans="1:1" x14ac:dyDescent="0.2">
      <c r="A2736"/>
    </row>
    <row r="2737" spans="1:1" x14ac:dyDescent="0.2">
      <c r="A2737"/>
    </row>
    <row r="2738" spans="1:1" x14ac:dyDescent="0.2">
      <c r="A2738"/>
    </row>
    <row r="2739" spans="1:1" x14ac:dyDescent="0.2">
      <c r="A2739"/>
    </row>
    <row r="2740" spans="1:1" x14ac:dyDescent="0.2">
      <c r="A2740"/>
    </row>
    <row r="2741" spans="1:1" x14ac:dyDescent="0.2">
      <c r="A2741"/>
    </row>
    <row r="2742" spans="1:1" x14ac:dyDescent="0.2">
      <c r="A2742"/>
    </row>
    <row r="2743" spans="1:1" x14ac:dyDescent="0.2">
      <c r="A2743"/>
    </row>
    <row r="2744" spans="1:1" x14ac:dyDescent="0.2">
      <c r="A2744"/>
    </row>
    <row r="2745" spans="1:1" x14ac:dyDescent="0.2">
      <c r="A2745"/>
    </row>
    <row r="2746" spans="1:1" x14ac:dyDescent="0.2">
      <c r="A2746"/>
    </row>
    <row r="2747" spans="1:1" x14ac:dyDescent="0.2">
      <c r="A2747"/>
    </row>
    <row r="2748" spans="1:1" x14ac:dyDescent="0.2">
      <c r="A2748"/>
    </row>
    <row r="2749" spans="1:1" x14ac:dyDescent="0.2">
      <c r="A2749"/>
    </row>
    <row r="2750" spans="1:1" x14ac:dyDescent="0.2">
      <c r="A2750"/>
    </row>
    <row r="2751" spans="1:1" x14ac:dyDescent="0.2">
      <c r="A2751"/>
    </row>
    <row r="2752" spans="1:1" x14ac:dyDescent="0.2">
      <c r="A2752"/>
    </row>
    <row r="2753" spans="1:1" x14ac:dyDescent="0.2">
      <c r="A2753"/>
    </row>
    <row r="2754" spans="1:1" x14ac:dyDescent="0.2">
      <c r="A2754"/>
    </row>
    <row r="2755" spans="1:1" x14ac:dyDescent="0.2">
      <c r="A2755"/>
    </row>
    <row r="2756" spans="1:1" x14ac:dyDescent="0.2">
      <c r="A2756"/>
    </row>
    <row r="2757" spans="1:1" x14ac:dyDescent="0.2">
      <c r="A2757"/>
    </row>
    <row r="2758" spans="1:1" x14ac:dyDescent="0.2">
      <c r="A2758"/>
    </row>
    <row r="2759" spans="1:1" x14ac:dyDescent="0.2">
      <c r="A2759"/>
    </row>
    <row r="2760" spans="1:1" x14ac:dyDescent="0.2">
      <c r="A2760"/>
    </row>
    <row r="2761" spans="1:1" x14ac:dyDescent="0.2">
      <c r="A2761"/>
    </row>
    <row r="2762" spans="1:1" x14ac:dyDescent="0.2">
      <c r="A2762"/>
    </row>
    <row r="2763" spans="1:1" x14ac:dyDescent="0.2">
      <c r="A2763"/>
    </row>
    <row r="2764" spans="1:1" x14ac:dyDescent="0.2">
      <c r="A2764"/>
    </row>
    <row r="2765" spans="1:1" x14ac:dyDescent="0.2">
      <c r="A2765"/>
    </row>
    <row r="2766" spans="1:1" x14ac:dyDescent="0.2">
      <c r="A2766"/>
    </row>
    <row r="2767" spans="1:1" x14ac:dyDescent="0.2">
      <c r="A2767"/>
    </row>
    <row r="2768" spans="1:1" x14ac:dyDescent="0.2">
      <c r="A2768"/>
    </row>
    <row r="2769" spans="1:1" x14ac:dyDescent="0.2">
      <c r="A2769"/>
    </row>
    <row r="2770" spans="1:1" x14ac:dyDescent="0.2">
      <c r="A2770"/>
    </row>
    <row r="2771" spans="1:1" x14ac:dyDescent="0.2">
      <c r="A2771"/>
    </row>
    <row r="2772" spans="1:1" x14ac:dyDescent="0.2">
      <c r="A2772"/>
    </row>
    <row r="2773" spans="1:1" x14ac:dyDescent="0.2">
      <c r="A2773"/>
    </row>
    <row r="2774" spans="1:1" x14ac:dyDescent="0.2">
      <c r="A2774"/>
    </row>
    <row r="2775" spans="1:1" x14ac:dyDescent="0.2">
      <c r="A2775"/>
    </row>
    <row r="2776" spans="1:1" x14ac:dyDescent="0.2">
      <c r="A2776"/>
    </row>
    <row r="2777" spans="1:1" x14ac:dyDescent="0.2">
      <c r="A2777"/>
    </row>
    <row r="2778" spans="1:1" x14ac:dyDescent="0.2">
      <c r="A2778"/>
    </row>
    <row r="2779" spans="1:1" x14ac:dyDescent="0.2">
      <c r="A2779"/>
    </row>
    <row r="2780" spans="1:1" x14ac:dyDescent="0.2">
      <c r="A2780"/>
    </row>
    <row r="2781" spans="1:1" x14ac:dyDescent="0.2">
      <c r="A2781"/>
    </row>
    <row r="2782" spans="1:1" x14ac:dyDescent="0.2">
      <c r="A2782"/>
    </row>
    <row r="2783" spans="1:1" x14ac:dyDescent="0.2">
      <c r="A2783"/>
    </row>
    <row r="2784" spans="1:1" x14ac:dyDescent="0.2">
      <c r="A2784"/>
    </row>
    <row r="2785" spans="1:1" x14ac:dyDescent="0.2">
      <c r="A2785"/>
    </row>
    <row r="2786" spans="1:1" x14ac:dyDescent="0.2">
      <c r="A2786"/>
    </row>
    <row r="2787" spans="1:1" x14ac:dyDescent="0.2">
      <c r="A2787"/>
    </row>
    <row r="2788" spans="1:1" x14ac:dyDescent="0.2">
      <c r="A2788"/>
    </row>
    <row r="2789" spans="1:1" x14ac:dyDescent="0.2">
      <c r="A2789"/>
    </row>
    <row r="2790" spans="1:1" x14ac:dyDescent="0.2">
      <c r="A2790"/>
    </row>
    <row r="2791" spans="1:1" x14ac:dyDescent="0.2">
      <c r="A2791"/>
    </row>
    <row r="2792" spans="1:1" x14ac:dyDescent="0.2">
      <c r="A2792"/>
    </row>
    <row r="2793" spans="1:1" x14ac:dyDescent="0.2">
      <c r="A2793"/>
    </row>
    <row r="2794" spans="1:1" x14ac:dyDescent="0.2">
      <c r="A2794"/>
    </row>
    <row r="2795" spans="1:1" x14ac:dyDescent="0.2">
      <c r="A2795"/>
    </row>
    <row r="2796" spans="1:1" x14ac:dyDescent="0.2">
      <c r="A2796"/>
    </row>
    <row r="2797" spans="1:1" x14ac:dyDescent="0.2">
      <c r="A2797"/>
    </row>
    <row r="2798" spans="1:1" x14ac:dyDescent="0.2">
      <c r="A2798"/>
    </row>
    <row r="2799" spans="1:1" x14ac:dyDescent="0.2">
      <c r="A2799"/>
    </row>
    <row r="2800" spans="1:1" x14ac:dyDescent="0.2">
      <c r="A2800"/>
    </row>
    <row r="2801" spans="1:1" x14ac:dyDescent="0.2">
      <c r="A2801"/>
    </row>
    <row r="2802" spans="1:1" x14ac:dyDescent="0.2">
      <c r="A2802"/>
    </row>
    <row r="2803" spans="1:1" x14ac:dyDescent="0.2">
      <c r="A2803"/>
    </row>
    <row r="2804" spans="1:1" x14ac:dyDescent="0.2">
      <c r="A2804"/>
    </row>
    <row r="2805" spans="1:1" x14ac:dyDescent="0.2">
      <c r="A2805"/>
    </row>
    <row r="2806" spans="1:1" x14ac:dyDescent="0.2">
      <c r="A2806"/>
    </row>
    <row r="2807" spans="1:1" x14ac:dyDescent="0.2">
      <c r="A2807"/>
    </row>
    <row r="2808" spans="1:1" x14ac:dyDescent="0.2">
      <c r="A2808"/>
    </row>
    <row r="2809" spans="1:1" x14ac:dyDescent="0.2">
      <c r="A2809"/>
    </row>
    <row r="2810" spans="1:1" x14ac:dyDescent="0.2">
      <c r="A2810"/>
    </row>
    <row r="2811" spans="1:1" x14ac:dyDescent="0.2">
      <c r="A2811"/>
    </row>
    <row r="2812" spans="1:1" x14ac:dyDescent="0.2">
      <c r="A2812"/>
    </row>
    <row r="2813" spans="1:1" x14ac:dyDescent="0.2">
      <c r="A2813"/>
    </row>
    <row r="2814" spans="1:1" x14ac:dyDescent="0.2">
      <c r="A2814"/>
    </row>
    <row r="2815" spans="1:1" x14ac:dyDescent="0.2">
      <c r="A2815"/>
    </row>
    <row r="2816" spans="1:1" x14ac:dyDescent="0.2">
      <c r="A2816"/>
    </row>
    <row r="2817" spans="1:1" x14ac:dyDescent="0.2">
      <c r="A2817"/>
    </row>
    <row r="2818" spans="1:1" x14ac:dyDescent="0.2">
      <c r="A2818"/>
    </row>
    <row r="2819" spans="1:1" x14ac:dyDescent="0.2">
      <c r="A2819"/>
    </row>
    <row r="2820" spans="1:1" x14ac:dyDescent="0.2">
      <c r="A2820"/>
    </row>
    <row r="2821" spans="1:1" x14ac:dyDescent="0.2">
      <c r="A2821"/>
    </row>
    <row r="2822" spans="1:1" x14ac:dyDescent="0.2">
      <c r="A2822"/>
    </row>
    <row r="2823" spans="1:1" x14ac:dyDescent="0.2">
      <c r="A2823"/>
    </row>
    <row r="2824" spans="1:1" x14ac:dyDescent="0.2">
      <c r="A2824"/>
    </row>
    <row r="2825" spans="1:1" x14ac:dyDescent="0.2">
      <c r="A2825"/>
    </row>
    <row r="2826" spans="1:1" x14ac:dyDescent="0.2">
      <c r="A2826"/>
    </row>
    <row r="2827" spans="1:1" x14ac:dyDescent="0.2">
      <c r="A2827"/>
    </row>
    <row r="2828" spans="1:1" x14ac:dyDescent="0.2">
      <c r="A2828"/>
    </row>
    <row r="2829" spans="1:1" x14ac:dyDescent="0.2">
      <c r="A2829"/>
    </row>
    <row r="2830" spans="1:1" x14ac:dyDescent="0.2">
      <c r="A2830"/>
    </row>
    <row r="2831" spans="1:1" x14ac:dyDescent="0.2">
      <c r="A2831"/>
    </row>
    <row r="2832" spans="1:1" x14ac:dyDescent="0.2">
      <c r="A2832"/>
    </row>
    <row r="2833" spans="1:1" x14ac:dyDescent="0.2">
      <c r="A2833"/>
    </row>
    <row r="2834" spans="1:1" x14ac:dyDescent="0.2">
      <c r="A2834"/>
    </row>
    <row r="2835" spans="1:1" x14ac:dyDescent="0.2">
      <c r="A2835"/>
    </row>
    <row r="2836" spans="1:1" x14ac:dyDescent="0.2">
      <c r="A2836"/>
    </row>
    <row r="2837" spans="1:1" x14ac:dyDescent="0.2">
      <c r="A2837"/>
    </row>
    <row r="2838" spans="1:1" x14ac:dyDescent="0.2">
      <c r="A2838"/>
    </row>
    <row r="2839" spans="1:1" x14ac:dyDescent="0.2">
      <c r="A2839"/>
    </row>
    <row r="2840" spans="1:1" x14ac:dyDescent="0.2">
      <c r="A2840"/>
    </row>
    <row r="2841" spans="1:1" x14ac:dyDescent="0.2">
      <c r="A2841"/>
    </row>
    <row r="2842" spans="1:1" x14ac:dyDescent="0.2">
      <c r="A2842"/>
    </row>
    <row r="2843" spans="1:1" x14ac:dyDescent="0.2">
      <c r="A2843"/>
    </row>
    <row r="2844" spans="1:1" x14ac:dyDescent="0.2">
      <c r="A2844"/>
    </row>
    <row r="2845" spans="1:1" x14ac:dyDescent="0.2">
      <c r="A2845"/>
    </row>
    <row r="2846" spans="1:1" x14ac:dyDescent="0.2">
      <c r="A2846"/>
    </row>
    <row r="2847" spans="1:1" x14ac:dyDescent="0.2">
      <c r="A2847"/>
    </row>
    <row r="2848" spans="1:1" x14ac:dyDescent="0.2">
      <c r="A2848"/>
    </row>
    <row r="2849" spans="1:1" x14ac:dyDescent="0.2">
      <c r="A2849"/>
    </row>
    <row r="2850" spans="1:1" x14ac:dyDescent="0.2">
      <c r="A2850"/>
    </row>
    <row r="2851" spans="1:1" x14ac:dyDescent="0.2">
      <c r="A2851"/>
    </row>
    <row r="2852" spans="1:1" x14ac:dyDescent="0.2">
      <c r="A2852"/>
    </row>
    <row r="2853" spans="1:1" x14ac:dyDescent="0.2">
      <c r="A2853"/>
    </row>
    <row r="2854" spans="1:1" x14ac:dyDescent="0.2">
      <c r="A2854"/>
    </row>
    <row r="2855" spans="1:1" x14ac:dyDescent="0.2">
      <c r="A2855"/>
    </row>
    <row r="2856" spans="1:1" x14ac:dyDescent="0.2">
      <c r="A2856"/>
    </row>
    <row r="2857" spans="1:1" x14ac:dyDescent="0.2">
      <c r="A2857"/>
    </row>
    <row r="2858" spans="1:1" x14ac:dyDescent="0.2">
      <c r="A2858"/>
    </row>
    <row r="2859" spans="1:1" x14ac:dyDescent="0.2">
      <c r="A2859"/>
    </row>
    <row r="2860" spans="1:1" x14ac:dyDescent="0.2">
      <c r="A2860"/>
    </row>
    <row r="2861" spans="1:1" x14ac:dyDescent="0.2">
      <c r="A2861"/>
    </row>
    <row r="2862" spans="1:1" x14ac:dyDescent="0.2">
      <c r="A2862"/>
    </row>
    <row r="2863" spans="1:1" x14ac:dyDescent="0.2">
      <c r="A2863"/>
    </row>
    <row r="2864" spans="1:1" x14ac:dyDescent="0.2">
      <c r="A2864"/>
    </row>
    <row r="2865" spans="1:1" x14ac:dyDescent="0.2">
      <c r="A2865"/>
    </row>
    <row r="2866" spans="1:1" x14ac:dyDescent="0.2">
      <c r="A2866"/>
    </row>
    <row r="2867" spans="1:1" x14ac:dyDescent="0.2">
      <c r="A2867"/>
    </row>
    <row r="2868" spans="1:1" x14ac:dyDescent="0.2">
      <c r="A2868"/>
    </row>
    <row r="2869" spans="1:1" x14ac:dyDescent="0.2">
      <c r="A2869"/>
    </row>
    <row r="2870" spans="1:1" x14ac:dyDescent="0.2">
      <c r="A2870"/>
    </row>
    <row r="2871" spans="1:1" x14ac:dyDescent="0.2">
      <c r="A2871"/>
    </row>
    <row r="2872" spans="1:1" x14ac:dyDescent="0.2">
      <c r="A2872"/>
    </row>
    <row r="2873" spans="1:1" x14ac:dyDescent="0.2">
      <c r="A2873"/>
    </row>
    <row r="2874" spans="1:1" x14ac:dyDescent="0.2">
      <c r="A2874"/>
    </row>
    <row r="2875" spans="1:1" x14ac:dyDescent="0.2">
      <c r="A2875"/>
    </row>
    <row r="2876" spans="1:1" x14ac:dyDescent="0.2">
      <c r="A2876"/>
    </row>
    <row r="2877" spans="1:1" x14ac:dyDescent="0.2">
      <c r="A2877"/>
    </row>
    <row r="2878" spans="1:1" x14ac:dyDescent="0.2">
      <c r="A2878"/>
    </row>
    <row r="2879" spans="1:1" x14ac:dyDescent="0.2">
      <c r="A2879"/>
    </row>
    <row r="2880" spans="1:1" x14ac:dyDescent="0.2">
      <c r="A2880"/>
    </row>
    <row r="2881" spans="1:1" x14ac:dyDescent="0.2">
      <c r="A2881"/>
    </row>
    <row r="2882" spans="1:1" x14ac:dyDescent="0.2">
      <c r="A2882"/>
    </row>
    <row r="2883" spans="1:1" x14ac:dyDescent="0.2">
      <c r="A2883"/>
    </row>
    <row r="2884" spans="1:1" x14ac:dyDescent="0.2">
      <c r="A2884"/>
    </row>
    <row r="2885" spans="1:1" x14ac:dyDescent="0.2">
      <c r="A2885"/>
    </row>
    <row r="2886" spans="1:1" x14ac:dyDescent="0.2">
      <c r="A2886"/>
    </row>
    <row r="2887" spans="1:1" x14ac:dyDescent="0.2">
      <c r="A2887"/>
    </row>
    <row r="2888" spans="1:1" x14ac:dyDescent="0.2">
      <c r="A2888"/>
    </row>
    <row r="2889" spans="1:1" x14ac:dyDescent="0.2">
      <c r="A2889"/>
    </row>
    <row r="2890" spans="1:1" x14ac:dyDescent="0.2">
      <c r="A2890"/>
    </row>
    <row r="2891" spans="1:1" x14ac:dyDescent="0.2">
      <c r="A2891"/>
    </row>
    <row r="2892" spans="1:1" x14ac:dyDescent="0.2">
      <c r="A2892"/>
    </row>
    <row r="2893" spans="1:1" x14ac:dyDescent="0.2">
      <c r="A2893"/>
    </row>
    <row r="2894" spans="1:1" x14ac:dyDescent="0.2">
      <c r="A2894"/>
    </row>
    <row r="2895" spans="1:1" x14ac:dyDescent="0.2">
      <c r="A2895"/>
    </row>
    <row r="2896" spans="1:1" x14ac:dyDescent="0.2">
      <c r="A2896"/>
    </row>
    <row r="2897" spans="1:1" x14ac:dyDescent="0.2">
      <c r="A2897"/>
    </row>
    <row r="2898" spans="1:1" x14ac:dyDescent="0.2">
      <c r="A2898"/>
    </row>
    <row r="2899" spans="1:1" x14ac:dyDescent="0.2">
      <c r="A2899"/>
    </row>
    <row r="2900" spans="1:1" x14ac:dyDescent="0.2">
      <c r="A2900"/>
    </row>
    <row r="2901" spans="1:1" x14ac:dyDescent="0.2">
      <c r="A2901"/>
    </row>
    <row r="2902" spans="1:1" x14ac:dyDescent="0.2">
      <c r="A2902"/>
    </row>
    <row r="2903" spans="1:1" x14ac:dyDescent="0.2">
      <c r="A2903"/>
    </row>
    <row r="2904" spans="1:1" x14ac:dyDescent="0.2">
      <c r="A2904"/>
    </row>
    <row r="2905" spans="1:1" x14ac:dyDescent="0.2">
      <c r="A2905"/>
    </row>
    <row r="2906" spans="1:1" x14ac:dyDescent="0.2">
      <c r="A2906"/>
    </row>
    <row r="2907" spans="1:1" x14ac:dyDescent="0.2">
      <c r="A2907"/>
    </row>
    <row r="2908" spans="1:1" x14ac:dyDescent="0.2">
      <c r="A2908"/>
    </row>
    <row r="2909" spans="1:1" x14ac:dyDescent="0.2">
      <c r="A2909"/>
    </row>
    <row r="2910" spans="1:1" x14ac:dyDescent="0.2">
      <c r="A2910"/>
    </row>
    <row r="2911" spans="1:1" x14ac:dyDescent="0.2">
      <c r="A2911"/>
    </row>
    <row r="2912" spans="1:1" x14ac:dyDescent="0.2">
      <c r="A2912"/>
    </row>
    <row r="2913" spans="1:1" x14ac:dyDescent="0.2">
      <c r="A2913"/>
    </row>
    <row r="2914" spans="1:1" x14ac:dyDescent="0.2">
      <c r="A2914"/>
    </row>
    <row r="2915" spans="1:1" x14ac:dyDescent="0.2">
      <c r="A2915"/>
    </row>
    <row r="2916" spans="1:1" x14ac:dyDescent="0.2">
      <c r="A2916"/>
    </row>
    <row r="2917" spans="1:1" x14ac:dyDescent="0.2">
      <c r="A2917"/>
    </row>
    <row r="2918" spans="1:1" x14ac:dyDescent="0.2">
      <c r="A2918"/>
    </row>
    <row r="2919" spans="1:1" x14ac:dyDescent="0.2">
      <c r="A2919"/>
    </row>
    <row r="2920" spans="1:1" x14ac:dyDescent="0.2">
      <c r="A2920"/>
    </row>
    <row r="2921" spans="1:1" x14ac:dyDescent="0.2">
      <c r="A2921"/>
    </row>
    <row r="2922" spans="1:1" x14ac:dyDescent="0.2">
      <c r="A2922"/>
    </row>
    <row r="2923" spans="1:1" x14ac:dyDescent="0.2">
      <c r="A2923"/>
    </row>
    <row r="2924" spans="1:1" x14ac:dyDescent="0.2">
      <c r="A2924"/>
    </row>
    <row r="2925" spans="1:1" x14ac:dyDescent="0.2">
      <c r="A2925"/>
    </row>
    <row r="2926" spans="1:1" x14ac:dyDescent="0.2">
      <c r="A2926"/>
    </row>
    <row r="2927" spans="1:1" x14ac:dyDescent="0.2">
      <c r="A2927"/>
    </row>
    <row r="2928" spans="1:1" x14ac:dyDescent="0.2">
      <c r="A2928"/>
    </row>
    <row r="2929" spans="1:1" x14ac:dyDescent="0.2">
      <c r="A2929"/>
    </row>
    <row r="2930" spans="1:1" x14ac:dyDescent="0.2">
      <c r="A2930"/>
    </row>
    <row r="2931" spans="1:1" x14ac:dyDescent="0.2">
      <c r="A2931"/>
    </row>
    <row r="2932" spans="1:1" x14ac:dyDescent="0.2">
      <c r="A2932"/>
    </row>
    <row r="2933" spans="1:1" x14ac:dyDescent="0.2">
      <c r="A2933"/>
    </row>
    <row r="2934" spans="1:1" x14ac:dyDescent="0.2">
      <c r="A2934"/>
    </row>
    <row r="2935" spans="1:1" x14ac:dyDescent="0.2">
      <c r="A2935"/>
    </row>
    <row r="2936" spans="1:1" x14ac:dyDescent="0.2">
      <c r="A2936"/>
    </row>
    <row r="2937" spans="1:1" x14ac:dyDescent="0.2">
      <c r="A2937"/>
    </row>
    <row r="2938" spans="1:1" x14ac:dyDescent="0.2">
      <c r="A2938"/>
    </row>
    <row r="2939" spans="1:1" x14ac:dyDescent="0.2">
      <c r="A2939"/>
    </row>
    <row r="2940" spans="1:1" x14ac:dyDescent="0.2">
      <c r="A2940"/>
    </row>
    <row r="2941" spans="1:1" x14ac:dyDescent="0.2">
      <c r="A2941"/>
    </row>
    <row r="2942" spans="1:1" x14ac:dyDescent="0.2">
      <c r="A2942"/>
    </row>
    <row r="2943" spans="1:1" x14ac:dyDescent="0.2">
      <c r="A2943"/>
    </row>
    <row r="2944" spans="1:1" x14ac:dyDescent="0.2">
      <c r="A2944"/>
    </row>
    <row r="2945" spans="1:1" x14ac:dyDescent="0.2">
      <c r="A2945"/>
    </row>
    <row r="2946" spans="1:1" x14ac:dyDescent="0.2">
      <c r="A2946"/>
    </row>
    <row r="2947" spans="1:1" x14ac:dyDescent="0.2">
      <c r="A2947"/>
    </row>
    <row r="2948" spans="1:1" x14ac:dyDescent="0.2">
      <c r="A2948"/>
    </row>
    <row r="2949" spans="1:1" x14ac:dyDescent="0.2">
      <c r="A2949"/>
    </row>
    <row r="2950" spans="1:1" x14ac:dyDescent="0.2">
      <c r="A2950"/>
    </row>
    <row r="2951" spans="1:1" x14ac:dyDescent="0.2">
      <c r="A2951"/>
    </row>
    <row r="2952" spans="1:1" x14ac:dyDescent="0.2">
      <c r="A2952"/>
    </row>
    <row r="2953" spans="1:1" x14ac:dyDescent="0.2">
      <c r="A2953"/>
    </row>
    <row r="2954" spans="1:1" x14ac:dyDescent="0.2">
      <c r="A2954"/>
    </row>
    <row r="2955" spans="1:1" x14ac:dyDescent="0.2">
      <c r="A2955"/>
    </row>
    <row r="2956" spans="1:1" x14ac:dyDescent="0.2">
      <c r="A2956"/>
    </row>
    <row r="2957" spans="1:1" x14ac:dyDescent="0.2">
      <c r="A2957"/>
    </row>
    <row r="2958" spans="1:1" x14ac:dyDescent="0.2">
      <c r="A2958"/>
    </row>
    <row r="2959" spans="1:1" x14ac:dyDescent="0.2">
      <c r="A2959"/>
    </row>
    <row r="2960" spans="1:1" x14ac:dyDescent="0.2">
      <c r="A2960"/>
    </row>
    <row r="2961" spans="1:1" x14ac:dyDescent="0.2">
      <c r="A2961"/>
    </row>
    <row r="2962" spans="1:1" x14ac:dyDescent="0.2">
      <c r="A2962"/>
    </row>
    <row r="2963" spans="1:1" x14ac:dyDescent="0.2">
      <c r="A2963"/>
    </row>
    <row r="2964" spans="1:1" x14ac:dyDescent="0.2">
      <c r="A2964"/>
    </row>
    <row r="2965" spans="1:1" x14ac:dyDescent="0.2">
      <c r="A2965"/>
    </row>
    <row r="2966" spans="1:1" x14ac:dyDescent="0.2">
      <c r="A2966"/>
    </row>
    <row r="2967" spans="1:1" x14ac:dyDescent="0.2">
      <c r="A2967"/>
    </row>
    <row r="2968" spans="1:1" x14ac:dyDescent="0.2">
      <c r="A2968"/>
    </row>
    <row r="2969" spans="1:1" x14ac:dyDescent="0.2">
      <c r="A2969"/>
    </row>
    <row r="2970" spans="1:1" x14ac:dyDescent="0.2">
      <c r="A2970"/>
    </row>
    <row r="2971" spans="1:1" x14ac:dyDescent="0.2">
      <c r="A2971"/>
    </row>
    <row r="2972" spans="1:1" x14ac:dyDescent="0.2">
      <c r="A2972"/>
    </row>
    <row r="2973" spans="1:1" x14ac:dyDescent="0.2">
      <c r="A2973"/>
    </row>
    <row r="2974" spans="1:1" x14ac:dyDescent="0.2">
      <c r="A2974"/>
    </row>
    <row r="2975" spans="1:1" x14ac:dyDescent="0.2">
      <c r="A2975"/>
    </row>
    <row r="2976" spans="1:1" x14ac:dyDescent="0.2">
      <c r="A2976"/>
    </row>
    <row r="2977" spans="1:1" x14ac:dyDescent="0.2">
      <c r="A2977"/>
    </row>
    <row r="2978" spans="1:1" x14ac:dyDescent="0.2">
      <c r="A2978"/>
    </row>
    <row r="2979" spans="1:1" x14ac:dyDescent="0.2">
      <c r="A2979"/>
    </row>
    <row r="2980" spans="1:1" x14ac:dyDescent="0.2">
      <c r="A2980"/>
    </row>
    <row r="2981" spans="1:1" x14ac:dyDescent="0.2">
      <c r="A2981"/>
    </row>
    <row r="2982" spans="1:1" x14ac:dyDescent="0.2">
      <c r="A2982"/>
    </row>
    <row r="2983" spans="1:1" x14ac:dyDescent="0.2">
      <c r="A2983"/>
    </row>
    <row r="2984" spans="1:1" x14ac:dyDescent="0.2">
      <c r="A2984"/>
    </row>
    <row r="2985" spans="1:1" x14ac:dyDescent="0.2">
      <c r="A2985"/>
    </row>
    <row r="2986" spans="1:1" x14ac:dyDescent="0.2">
      <c r="A2986"/>
    </row>
    <row r="2987" spans="1:1" x14ac:dyDescent="0.2">
      <c r="A2987"/>
    </row>
    <row r="2988" spans="1:1" x14ac:dyDescent="0.2">
      <c r="A2988"/>
    </row>
    <row r="2989" spans="1:1" x14ac:dyDescent="0.2">
      <c r="A2989"/>
    </row>
    <row r="2990" spans="1:1" x14ac:dyDescent="0.2">
      <c r="A2990"/>
    </row>
    <row r="2991" spans="1:1" x14ac:dyDescent="0.2">
      <c r="A2991"/>
    </row>
    <row r="2992" spans="1:1" x14ac:dyDescent="0.2">
      <c r="A2992"/>
    </row>
    <row r="2993" spans="1:1" x14ac:dyDescent="0.2">
      <c r="A2993"/>
    </row>
    <row r="2994" spans="1:1" x14ac:dyDescent="0.2">
      <c r="A2994"/>
    </row>
    <row r="2995" spans="1:1" x14ac:dyDescent="0.2">
      <c r="A2995"/>
    </row>
    <row r="2996" spans="1:1" x14ac:dyDescent="0.2">
      <c r="A2996"/>
    </row>
    <row r="2997" spans="1:1" x14ac:dyDescent="0.2">
      <c r="A2997"/>
    </row>
    <row r="2998" spans="1:1" x14ac:dyDescent="0.2">
      <c r="A2998"/>
    </row>
    <row r="2999" spans="1:1" x14ac:dyDescent="0.2">
      <c r="A2999"/>
    </row>
    <row r="3000" spans="1:1" x14ac:dyDescent="0.2">
      <c r="A3000"/>
    </row>
    <row r="3001" spans="1:1" x14ac:dyDescent="0.2">
      <c r="A3001"/>
    </row>
    <row r="3002" spans="1:1" x14ac:dyDescent="0.2">
      <c r="A3002"/>
    </row>
    <row r="3003" spans="1:1" x14ac:dyDescent="0.2">
      <c r="A3003"/>
    </row>
    <row r="3004" spans="1:1" x14ac:dyDescent="0.2">
      <c r="A3004"/>
    </row>
    <row r="3005" spans="1:1" x14ac:dyDescent="0.2">
      <c r="A3005"/>
    </row>
    <row r="3006" spans="1:1" x14ac:dyDescent="0.2">
      <c r="A3006"/>
    </row>
    <row r="3007" spans="1:1" x14ac:dyDescent="0.2">
      <c r="A3007"/>
    </row>
    <row r="3008" spans="1:1" x14ac:dyDescent="0.2">
      <c r="A3008"/>
    </row>
    <row r="3009" spans="1:1" x14ac:dyDescent="0.2">
      <c r="A3009"/>
    </row>
    <row r="3010" spans="1:1" x14ac:dyDescent="0.2">
      <c r="A3010"/>
    </row>
    <row r="3011" spans="1:1" x14ac:dyDescent="0.2">
      <c r="A3011"/>
    </row>
    <row r="3012" spans="1:1" x14ac:dyDescent="0.2">
      <c r="A3012"/>
    </row>
    <row r="3013" spans="1:1" x14ac:dyDescent="0.2">
      <c r="A3013"/>
    </row>
    <row r="3014" spans="1:1" x14ac:dyDescent="0.2">
      <c r="A3014"/>
    </row>
    <row r="3015" spans="1:1" x14ac:dyDescent="0.2">
      <c r="A3015"/>
    </row>
    <row r="3016" spans="1:1" x14ac:dyDescent="0.2">
      <c r="A3016"/>
    </row>
    <row r="3017" spans="1:1" x14ac:dyDescent="0.2">
      <c r="A3017"/>
    </row>
    <row r="3018" spans="1:1" x14ac:dyDescent="0.2">
      <c r="A3018"/>
    </row>
    <row r="3019" spans="1:1" x14ac:dyDescent="0.2">
      <c r="A3019"/>
    </row>
    <row r="3020" spans="1:1" x14ac:dyDescent="0.2">
      <c r="A3020"/>
    </row>
    <row r="3021" spans="1:1" x14ac:dyDescent="0.2">
      <c r="A3021"/>
    </row>
    <row r="3022" spans="1:1" x14ac:dyDescent="0.2">
      <c r="A3022"/>
    </row>
    <row r="3023" spans="1:1" x14ac:dyDescent="0.2">
      <c r="A3023"/>
    </row>
    <row r="3024" spans="1:1" x14ac:dyDescent="0.2">
      <c r="A3024"/>
    </row>
    <row r="3025" spans="1:1" x14ac:dyDescent="0.2">
      <c r="A3025"/>
    </row>
    <row r="3026" spans="1:1" x14ac:dyDescent="0.2">
      <c r="A3026"/>
    </row>
    <row r="3027" spans="1:1" x14ac:dyDescent="0.2">
      <c r="A3027"/>
    </row>
    <row r="3028" spans="1:1" x14ac:dyDescent="0.2">
      <c r="A3028"/>
    </row>
    <row r="3029" spans="1:1" x14ac:dyDescent="0.2">
      <c r="A3029"/>
    </row>
    <row r="3030" spans="1:1" x14ac:dyDescent="0.2">
      <c r="A3030"/>
    </row>
    <row r="3031" spans="1:1" x14ac:dyDescent="0.2">
      <c r="A3031"/>
    </row>
    <row r="3032" spans="1:1" x14ac:dyDescent="0.2">
      <c r="A3032"/>
    </row>
    <row r="3033" spans="1:1" x14ac:dyDescent="0.2">
      <c r="A3033"/>
    </row>
    <row r="3034" spans="1:1" x14ac:dyDescent="0.2">
      <c r="A3034"/>
    </row>
    <row r="3035" spans="1:1" x14ac:dyDescent="0.2">
      <c r="A3035"/>
    </row>
    <row r="3036" spans="1:1" x14ac:dyDescent="0.2">
      <c r="A3036"/>
    </row>
    <row r="3037" spans="1:1" x14ac:dyDescent="0.2">
      <c r="A3037"/>
    </row>
    <row r="3038" spans="1:1" x14ac:dyDescent="0.2">
      <c r="A3038"/>
    </row>
    <row r="3039" spans="1:1" x14ac:dyDescent="0.2">
      <c r="A3039"/>
    </row>
    <row r="3040" spans="1:1" x14ac:dyDescent="0.2">
      <c r="A3040"/>
    </row>
    <row r="3041" spans="1:1" x14ac:dyDescent="0.2">
      <c r="A3041"/>
    </row>
    <row r="3042" spans="1:1" x14ac:dyDescent="0.2">
      <c r="A3042"/>
    </row>
    <row r="3043" spans="1:1" x14ac:dyDescent="0.2">
      <c r="A3043"/>
    </row>
    <row r="3044" spans="1:1" x14ac:dyDescent="0.2">
      <c r="A3044"/>
    </row>
    <row r="3045" spans="1:1" x14ac:dyDescent="0.2">
      <c r="A3045"/>
    </row>
    <row r="3046" spans="1:1" x14ac:dyDescent="0.2">
      <c r="A3046"/>
    </row>
    <row r="3047" spans="1:1" x14ac:dyDescent="0.2">
      <c r="A3047"/>
    </row>
    <row r="3048" spans="1:1" x14ac:dyDescent="0.2">
      <c r="A3048"/>
    </row>
    <row r="3049" spans="1:1" x14ac:dyDescent="0.2">
      <c r="A3049"/>
    </row>
    <row r="3050" spans="1:1" x14ac:dyDescent="0.2">
      <c r="A3050"/>
    </row>
    <row r="3051" spans="1:1" x14ac:dyDescent="0.2">
      <c r="A3051"/>
    </row>
    <row r="3052" spans="1:1" x14ac:dyDescent="0.2">
      <c r="A3052"/>
    </row>
    <row r="3053" spans="1:1" x14ac:dyDescent="0.2">
      <c r="A3053"/>
    </row>
    <row r="3054" spans="1:1" x14ac:dyDescent="0.2">
      <c r="A3054"/>
    </row>
    <row r="3055" spans="1:1" x14ac:dyDescent="0.2">
      <c r="A3055"/>
    </row>
    <row r="3056" spans="1:1" x14ac:dyDescent="0.2">
      <c r="A3056"/>
    </row>
    <row r="3057" spans="1:1" x14ac:dyDescent="0.2">
      <c r="A3057"/>
    </row>
    <row r="3058" spans="1:1" x14ac:dyDescent="0.2">
      <c r="A3058"/>
    </row>
    <row r="3059" spans="1:1" x14ac:dyDescent="0.2">
      <c r="A3059"/>
    </row>
    <row r="3060" spans="1:1" x14ac:dyDescent="0.2">
      <c r="A3060"/>
    </row>
    <row r="3061" spans="1:1" x14ac:dyDescent="0.2">
      <c r="A3061"/>
    </row>
    <row r="3062" spans="1:1" x14ac:dyDescent="0.2">
      <c r="A3062"/>
    </row>
    <row r="3063" spans="1:1" x14ac:dyDescent="0.2">
      <c r="A3063"/>
    </row>
    <row r="3064" spans="1:1" x14ac:dyDescent="0.2">
      <c r="A3064"/>
    </row>
    <row r="3065" spans="1:1" x14ac:dyDescent="0.2">
      <c r="A3065"/>
    </row>
    <row r="3066" spans="1:1" x14ac:dyDescent="0.2">
      <c r="A3066"/>
    </row>
    <row r="3067" spans="1:1" x14ac:dyDescent="0.2">
      <c r="A3067"/>
    </row>
    <row r="3068" spans="1:1" x14ac:dyDescent="0.2">
      <c r="A3068"/>
    </row>
    <row r="3069" spans="1:1" x14ac:dyDescent="0.2">
      <c r="A3069"/>
    </row>
    <row r="3070" spans="1:1" x14ac:dyDescent="0.2">
      <c r="A3070"/>
    </row>
    <row r="3071" spans="1:1" x14ac:dyDescent="0.2">
      <c r="A3071"/>
    </row>
    <row r="3072" spans="1:1" x14ac:dyDescent="0.2">
      <c r="A3072"/>
    </row>
    <row r="3073" spans="1:1" x14ac:dyDescent="0.2">
      <c r="A3073"/>
    </row>
    <row r="3074" spans="1:1" x14ac:dyDescent="0.2">
      <c r="A3074"/>
    </row>
    <row r="3075" spans="1:1" x14ac:dyDescent="0.2">
      <c r="A3075"/>
    </row>
    <row r="3076" spans="1:1" x14ac:dyDescent="0.2">
      <c r="A3076"/>
    </row>
    <row r="3077" spans="1:1" x14ac:dyDescent="0.2">
      <c r="A3077"/>
    </row>
    <row r="3078" spans="1:1" x14ac:dyDescent="0.2">
      <c r="A3078"/>
    </row>
    <row r="3079" spans="1:1" x14ac:dyDescent="0.2">
      <c r="A3079"/>
    </row>
    <row r="3080" spans="1:1" x14ac:dyDescent="0.2">
      <c r="A3080"/>
    </row>
    <row r="3081" spans="1:1" x14ac:dyDescent="0.2">
      <c r="A3081"/>
    </row>
    <row r="3082" spans="1:1" x14ac:dyDescent="0.2">
      <c r="A3082"/>
    </row>
    <row r="3083" spans="1:1" x14ac:dyDescent="0.2">
      <c r="A3083"/>
    </row>
    <row r="3084" spans="1:1" x14ac:dyDescent="0.2">
      <c r="A3084"/>
    </row>
    <row r="3085" spans="1:1" x14ac:dyDescent="0.2">
      <c r="A3085"/>
    </row>
    <row r="3086" spans="1:1" x14ac:dyDescent="0.2">
      <c r="A3086"/>
    </row>
    <row r="3087" spans="1:1" x14ac:dyDescent="0.2">
      <c r="A3087"/>
    </row>
    <row r="3088" spans="1:1" x14ac:dyDescent="0.2">
      <c r="A3088"/>
    </row>
    <row r="3089" spans="1:1" x14ac:dyDescent="0.2">
      <c r="A3089"/>
    </row>
    <row r="3090" spans="1:1" x14ac:dyDescent="0.2">
      <c r="A3090"/>
    </row>
    <row r="3091" spans="1:1" x14ac:dyDescent="0.2">
      <c r="A3091"/>
    </row>
    <row r="3092" spans="1:1" x14ac:dyDescent="0.2">
      <c r="A3092"/>
    </row>
    <row r="3093" spans="1:1" x14ac:dyDescent="0.2">
      <c r="A3093"/>
    </row>
    <row r="3094" spans="1:1" x14ac:dyDescent="0.2">
      <c r="A3094"/>
    </row>
    <row r="3095" spans="1:1" x14ac:dyDescent="0.2">
      <c r="A3095"/>
    </row>
    <row r="3096" spans="1:1" x14ac:dyDescent="0.2">
      <c r="A3096"/>
    </row>
    <row r="3097" spans="1:1" x14ac:dyDescent="0.2">
      <c r="A3097"/>
    </row>
    <row r="3098" spans="1:1" x14ac:dyDescent="0.2">
      <c r="A3098"/>
    </row>
    <row r="3099" spans="1:1" x14ac:dyDescent="0.2">
      <c r="A3099"/>
    </row>
    <row r="3100" spans="1:1" x14ac:dyDescent="0.2">
      <c r="A3100"/>
    </row>
    <row r="3101" spans="1:1" x14ac:dyDescent="0.2">
      <c r="A3101"/>
    </row>
    <row r="3102" spans="1:1" x14ac:dyDescent="0.2">
      <c r="A3102"/>
    </row>
    <row r="3103" spans="1:1" x14ac:dyDescent="0.2">
      <c r="A3103"/>
    </row>
    <row r="3104" spans="1:1" x14ac:dyDescent="0.2">
      <c r="A3104"/>
    </row>
    <row r="3105" spans="1:1" x14ac:dyDescent="0.2">
      <c r="A3105"/>
    </row>
    <row r="3106" spans="1:1" x14ac:dyDescent="0.2">
      <c r="A3106"/>
    </row>
    <row r="3107" spans="1:1" x14ac:dyDescent="0.2">
      <c r="A3107"/>
    </row>
    <row r="3108" spans="1:1" x14ac:dyDescent="0.2">
      <c r="A3108"/>
    </row>
    <row r="3109" spans="1:1" x14ac:dyDescent="0.2">
      <c r="A3109"/>
    </row>
    <row r="3110" spans="1:1" x14ac:dyDescent="0.2">
      <c r="A3110"/>
    </row>
    <row r="3111" spans="1:1" x14ac:dyDescent="0.2">
      <c r="A3111"/>
    </row>
    <row r="3112" spans="1:1" x14ac:dyDescent="0.2">
      <c r="A3112"/>
    </row>
    <row r="3113" spans="1:1" x14ac:dyDescent="0.2">
      <c r="A3113"/>
    </row>
    <row r="3114" spans="1:1" x14ac:dyDescent="0.2">
      <c r="A3114"/>
    </row>
    <row r="3115" spans="1:1" x14ac:dyDescent="0.2">
      <c r="A3115"/>
    </row>
    <row r="3116" spans="1:1" x14ac:dyDescent="0.2">
      <c r="A3116"/>
    </row>
    <row r="3117" spans="1:1" x14ac:dyDescent="0.2">
      <c r="A3117"/>
    </row>
    <row r="3118" spans="1:1" x14ac:dyDescent="0.2">
      <c r="A3118"/>
    </row>
    <row r="3119" spans="1:1" x14ac:dyDescent="0.2">
      <c r="A3119"/>
    </row>
    <row r="3120" spans="1:1" x14ac:dyDescent="0.2">
      <c r="A3120"/>
    </row>
    <row r="3121" spans="1:1" x14ac:dyDescent="0.2">
      <c r="A3121"/>
    </row>
    <row r="3122" spans="1:1" x14ac:dyDescent="0.2">
      <c r="A3122"/>
    </row>
    <row r="3123" spans="1:1" x14ac:dyDescent="0.2">
      <c r="A3123"/>
    </row>
    <row r="3124" spans="1:1" x14ac:dyDescent="0.2">
      <c r="A3124"/>
    </row>
    <row r="3125" spans="1:1" x14ac:dyDescent="0.2">
      <c r="A3125"/>
    </row>
    <row r="3126" spans="1:1" x14ac:dyDescent="0.2">
      <c r="A3126"/>
    </row>
    <row r="3127" spans="1:1" x14ac:dyDescent="0.2">
      <c r="A3127"/>
    </row>
    <row r="3128" spans="1:1" x14ac:dyDescent="0.2">
      <c r="A3128"/>
    </row>
    <row r="3129" spans="1:1" x14ac:dyDescent="0.2">
      <c r="A3129"/>
    </row>
    <row r="3130" spans="1:1" x14ac:dyDescent="0.2">
      <c r="A3130"/>
    </row>
    <row r="3131" spans="1:1" x14ac:dyDescent="0.2">
      <c r="A3131"/>
    </row>
    <row r="3132" spans="1:1" x14ac:dyDescent="0.2">
      <c r="A3132"/>
    </row>
    <row r="3133" spans="1:1" x14ac:dyDescent="0.2">
      <c r="A3133"/>
    </row>
    <row r="3134" spans="1:1" x14ac:dyDescent="0.2">
      <c r="A3134"/>
    </row>
    <row r="3135" spans="1:1" x14ac:dyDescent="0.2">
      <c r="A3135"/>
    </row>
    <row r="3136" spans="1:1" x14ac:dyDescent="0.2">
      <c r="A3136"/>
    </row>
    <row r="3137" spans="1:1" x14ac:dyDescent="0.2">
      <c r="A3137"/>
    </row>
    <row r="3138" spans="1:1" x14ac:dyDescent="0.2">
      <c r="A3138"/>
    </row>
    <row r="3139" spans="1:1" x14ac:dyDescent="0.2">
      <c r="A3139"/>
    </row>
    <row r="3140" spans="1:1" x14ac:dyDescent="0.2">
      <c r="A3140"/>
    </row>
    <row r="3141" spans="1:1" x14ac:dyDescent="0.2">
      <c r="A3141"/>
    </row>
    <row r="3142" spans="1:1" x14ac:dyDescent="0.2">
      <c r="A3142"/>
    </row>
    <row r="3143" spans="1:1" x14ac:dyDescent="0.2">
      <c r="A3143"/>
    </row>
    <row r="3144" spans="1:1" x14ac:dyDescent="0.2">
      <c r="A3144"/>
    </row>
    <row r="3145" spans="1:1" x14ac:dyDescent="0.2">
      <c r="A3145"/>
    </row>
    <row r="3146" spans="1:1" x14ac:dyDescent="0.2">
      <c r="A3146"/>
    </row>
    <row r="3147" spans="1:1" x14ac:dyDescent="0.2">
      <c r="A3147"/>
    </row>
    <row r="3148" spans="1:1" x14ac:dyDescent="0.2">
      <c r="A3148"/>
    </row>
    <row r="3149" spans="1:1" x14ac:dyDescent="0.2">
      <c r="A3149"/>
    </row>
    <row r="3150" spans="1:1" x14ac:dyDescent="0.2">
      <c r="A3150"/>
    </row>
    <row r="3151" spans="1:1" x14ac:dyDescent="0.2">
      <c r="A3151"/>
    </row>
    <row r="3152" spans="1:1" x14ac:dyDescent="0.2">
      <c r="A3152"/>
    </row>
    <row r="3153" spans="1:1" x14ac:dyDescent="0.2">
      <c r="A3153"/>
    </row>
    <row r="3154" spans="1:1" x14ac:dyDescent="0.2">
      <c r="A3154"/>
    </row>
    <row r="3155" spans="1:1" x14ac:dyDescent="0.2">
      <c r="A3155"/>
    </row>
    <row r="3156" spans="1:1" x14ac:dyDescent="0.2">
      <c r="A3156"/>
    </row>
    <row r="3157" spans="1:1" x14ac:dyDescent="0.2">
      <c r="A3157"/>
    </row>
    <row r="3158" spans="1:1" x14ac:dyDescent="0.2">
      <c r="A3158"/>
    </row>
    <row r="3159" spans="1:1" x14ac:dyDescent="0.2">
      <c r="A3159"/>
    </row>
    <row r="3160" spans="1:1" x14ac:dyDescent="0.2">
      <c r="A3160"/>
    </row>
    <row r="3161" spans="1:1" x14ac:dyDescent="0.2">
      <c r="A3161"/>
    </row>
    <row r="3162" spans="1:1" x14ac:dyDescent="0.2">
      <c r="A3162"/>
    </row>
    <row r="3163" spans="1:1" x14ac:dyDescent="0.2">
      <c r="A3163"/>
    </row>
    <row r="3164" spans="1:1" x14ac:dyDescent="0.2">
      <c r="A3164"/>
    </row>
    <row r="3165" spans="1:1" x14ac:dyDescent="0.2">
      <c r="A3165"/>
    </row>
    <row r="3166" spans="1:1" x14ac:dyDescent="0.2">
      <c r="A3166"/>
    </row>
    <row r="3167" spans="1:1" x14ac:dyDescent="0.2">
      <c r="A3167"/>
    </row>
    <row r="3168" spans="1:1" x14ac:dyDescent="0.2">
      <c r="A3168"/>
    </row>
    <row r="3169" spans="1:1" x14ac:dyDescent="0.2">
      <c r="A3169"/>
    </row>
    <row r="3170" spans="1:1" x14ac:dyDescent="0.2">
      <c r="A3170"/>
    </row>
    <row r="3171" spans="1:1" x14ac:dyDescent="0.2">
      <c r="A3171"/>
    </row>
    <row r="3172" spans="1:1" x14ac:dyDescent="0.2">
      <c r="A3172"/>
    </row>
    <row r="3173" spans="1:1" x14ac:dyDescent="0.2">
      <c r="A3173"/>
    </row>
    <row r="3174" spans="1:1" x14ac:dyDescent="0.2">
      <c r="A3174"/>
    </row>
    <row r="3175" spans="1:1" x14ac:dyDescent="0.2">
      <c r="A3175"/>
    </row>
    <row r="3176" spans="1:1" x14ac:dyDescent="0.2">
      <c r="A3176"/>
    </row>
    <row r="3177" spans="1:1" x14ac:dyDescent="0.2">
      <c r="A3177"/>
    </row>
    <row r="3178" spans="1:1" x14ac:dyDescent="0.2">
      <c r="A3178"/>
    </row>
    <row r="3179" spans="1:1" x14ac:dyDescent="0.2">
      <c r="A3179"/>
    </row>
    <row r="3180" spans="1:1" x14ac:dyDescent="0.2">
      <c r="A3180"/>
    </row>
    <row r="3181" spans="1:1" x14ac:dyDescent="0.2">
      <c r="A3181"/>
    </row>
    <row r="3182" spans="1:1" x14ac:dyDescent="0.2">
      <c r="A3182"/>
    </row>
    <row r="3183" spans="1:1" x14ac:dyDescent="0.2">
      <c r="A3183"/>
    </row>
    <row r="3184" spans="1:1" x14ac:dyDescent="0.2">
      <c r="A3184"/>
    </row>
    <row r="3185" spans="1:1" x14ac:dyDescent="0.2">
      <c r="A3185"/>
    </row>
    <row r="3186" spans="1:1" x14ac:dyDescent="0.2">
      <c r="A3186"/>
    </row>
    <row r="3187" spans="1:1" x14ac:dyDescent="0.2">
      <c r="A3187"/>
    </row>
    <row r="3188" spans="1:1" x14ac:dyDescent="0.2">
      <c r="A3188"/>
    </row>
    <row r="3189" spans="1:1" x14ac:dyDescent="0.2">
      <c r="A3189"/>
    </row>
    <row r="3190" spans="1:1" x14ac:dyDescent="0.2">
      <c r="A3190"/>
    </row>
    <row r="3191" spans="1:1" x14ac:dyDescent="0.2">
      <c r="A3191"/>
    </row>
    <row r="3192" spans="1:1" x14ac:dyDescent="0.2">
      <c r="A3192"/>
    </row>
    <row r="3193" spans="1:1" x14ac:dyDescent="0.2">
      <c r="A3193"/>
    </row>
    <row r="3194" spans="1:1" x14ac:dyDescent="0.2">
      <c r="A3194"/>
    </row>
    <row r="3195" spans="1:1" x14ac:dyDescent="0.2">
      <c r="A3195"/>
    </row>
    <row r="3196" spans="1:1" x14ac:dyDescent="0.2">
      <c r="A3196"/>
    </row>
    <row r="3197" spans="1:1" x14ac:dyDescent="0.2">
      <c r="A3197"/>
    </row>
    <row r="3198" spans="1:1" x14ac:dyDescent="0.2">
      <c r="A3198"/>
    </row>
    <row r="3199" spans="1:1" x14ac:dyDescent="0.2">
      <c r="A3199"/>
    </row>
    <row r="3200" spans="1:1" x14ac:dyDescent="0.2">
      <c r="A3200"/>
    </row>
    <row r="3201" spans="1:1" x14ac:dyDescent="0.2">
      <c r="A3201"/>
    </row>
    <row r="3202" spans="1:1" x14ac:dyDescent="0.2">
      <c r="A3202"/>
    </row>
    <row r="3203" spans="1:1" x14ac:dyDescent="0.2">
      <c r="A3203"/>
    </row>
    <row r="3204" spans="1:1" x14ac:dyDescent="0.2">
      <c r="A3204"/>
    </row>
    <row r="3205" spans="1:1" x14ac:dyDescent="0.2">
      <c r="A3205"/>
    </row>
    <row r="3206" spans="1:1" x14ac:dyDescent="0.2">
      <c r="A3206"/>
    </row>
    <row r="3207" spans="1:1" x14ac:dyDescent="0.2">
      <c r="A3207"/>
    </row>
    <row r="3208" spans="1:1" x14ac:dyDescent="0.2">
      <c r="A3208"/>
    </row>
    <row r="3209" spans="1:1" x14ac:dyDescent="0.2">
      <c r="A3209"/>
    </row>
    <row r="3210" spans="1:1" x14ac:dyDescent="0.2">
      <c r="A3210"/>
    </row>
    <row r="3211" spans="1:1" x14ac:dyDescent="0.2">
      <c r="A3211"/>
    </row>
    <row r="3212" spans="1:1" x14ac:dyDescent="0.2">
      <c r="A3212"/>
    </row>
    <row r="3213" spans="1:1" x14ac:dyDescent="0.2">
      <c r="A3213"/>
    </row>
    <row r="3214" spans="1:1" x14ac:dyDescent="0.2">
      <c r="A3214"/>
    </row>
    <row r="3215" spans="1:1" x14ac:dyDescent="0.2">
      <c r="A3215"/>
    </row>
    <row r="3216" spans="1:1" x14ac:dyDescent="0.2">
      <c r="A3216"/>
    </row>
    <row r="3217" spans="1:1" x14ac:dyDescent="0.2">
      <c r="A3217"/>
    </row>
    <row r="3218" spans="1:1" x14ac:dyDescent="0.2">
      <c r="A3218"/>
    </row>
    <row r="3219" spans="1:1" x14ac:dyDescent="0.2">
      <c r="A3219"/>
    </row>
    <row r="3220" spans="1:1" x14ac:dyDescent="0.2">
      <c r="A3220"/>
    </row>
    <row r="3221" spans="1:1" x14ac:dyDescent="0.2">
      <c r="A3221"/>
    </row>
    <row r="3222" spans="1:1" x14ac:dyDescent="0.2">
      <c r="A3222"/>
    </row>
    <row r="3223" spans="1:1" x14ac:dyDescent="0.2">
      <c r="A3223"/>
    </row>
    <row r="3224" spans="1:1" x14ac:dyDescent="0.2">
      <c r="A3224"/>
    </row>
    <row r="3225" spans="1:1" x14ac:dyDescent="0.2">
      <c r="A3225"/>
    </row>
    <row r="3226" spans="1:1" x14ac:dyDescent="0.2">
      <c r="A3226"/>
    </row>
    <row r="3227" spans="1:1" x14ac:dyDescent="0.2">
      <c r="A3227"/>
    </row>
    <row r="3228" spans="1:1" x14ac:dyDescent="0.2">
      <c r="A3228"/>
    </row>
    <row r="3229" spans="1:1" x14ac:dyDescent="0.2">
      <c r="A3229"/>
    </row>
    <row r="3230" spans="1:1" x14ac:dyDescent="0.2">
      <c r="A3230"/>
    </row>
    <row r="3231" spans="1:1" x14ac:dyDescent="0.2">
      <c r="A3231"/>
    </row>
    <row r="3232" spans="1:1" x14ac:dyDescent="0.2">
      <c r="A3232"/>
    </row>
    <row r="3233" spans="1:1" x14ac:dyDescent="0.2">
      <c r="A3233"/>
    </row>
    <row r="3234" spans="1:1" x14ac:dyDescent="0.2">
      <c r="A3234"/>
    </row>
    <row r="3235" spans="1:1" x14ac:dyDescent="0.2">
      <c r="A3235"/>
    </row>
    <row r="3236" spans="1:1" x14ac:dyDescent="0.2">
      <c r="A3236"/>
    </row>
    <row r="3237" spans="1:1" x14ac:dyDescent="0.2">
      <c r="A3237"/>
    </row>
    <row r="3238" spans="1:1" x14ac:dyDescent="0.2">
      <c r="A3238"/>
    </row>
    <row r="3239" spans="1:1" x14ac:dyDescent="0.2">
      <c r="A3239"/>
    </row>
    <row r="3240" spans="1:1" x14ac:dyDescent="0.2">
      <c r="A3240"/>
    </row>
    <row r="3241" spans="1:1" x14ac:dyDescent="0.2">
      <c r="A3241"/>
    </row>
    <row r="3242" spans="1:1" x14ac:dyDescent="0.2">
      <c r="A3242"/>
    </row>
    <row r="3243" spans="1:1" x14ac:dyDescent="0.2">
      <c r="A3243"/>
    </row>
    <row r="3244" spans="1:1" x14ac:dyDescent="0.2">
      <c r="A3244"/>
    </row>
    <row r="3245" spans="1:1" x14ac:dyDescent="0.2">
      <c r="A3245"/>
    </row>
    <row r="3246" spans="1:1" x14ac:dyDescent="0.2">
      <c r="A3246"/>
    </row>
    <row r="3247" spans="1:1" x14ac:dyDescent="0.2">
      <c r="A3247"/>
    </row>
    <row r="3248" spans="1:1" x14ac:dyDescent="0.2">
      <c r="A3248"/>
    </row>
    <row r="3249" spans="1:1" x14ac:dyDescent="0.2">
      <c r="A3249"/>
    </row>
    <row r="3250" spans="1:1" x14ac:dyDescent="0.2">
      <c r="A3250"/>
    </row>
    <row r="3251" spans="1:1" x14ac:dyDescent="0.2">
      <c r="A3251"/>
    </row>
    <row r="3252" spans="1:1" x14ac:dyDescent="0.2">
      <c r="A3252"/>
    </row>
    <row r="3253" spans="1:1" x14ac:dyDescent="0.2">
      <c r="A3253"/>
    </row>
    <row r="3254" spans="1:1" x14ac:dyDescent="0.2">
      <c r="A3254"/>
    </row>
    <row r="3255" spans="1:1" x14ac:dyDescent="0.2">
      <c r="A3255"/>
    </row>
    <row r="3256" spans="1:1" x14ac:dyDescent="0.2">
      <c r="A3256"/>
    </row>
    <row r="3257" spans="1:1" x14ac:dyDescent="0.2">
      <c r="A3257"/>
    </row>
    <row r="3258" spans="1:1" x14ac:dyDescent="0.2">
      <c r="A3258"/>
    </row>
    <row r="3259" spans="1:1" x14ac:dyDescent="0.2">
      <c r="A3259"/>
    </row>
    <row r="3260" spans="1:1" x14ac:dyDescent="0.2">
      <c r="A3260"/>
    </row>
    <row r="3261" spans="1:1" x14ac:dyDescent="0.2">
      <c r="A3261"/>
    </row>
    <row r="3262" spans="1:1" x14ac:dyDescent="0.2">
      <c r="A3262"/>
    </row>
    <row r="3263" spans="1:1" x14ac:dyDescent="0.2">
      <c r="A3263"/>
    </row>
    <row r="3264" spans="1:1" x14ac:dyDescent="0.2">
      <c r="A3264"/>
    </row>
    <row r="3265" spans="1:1" x14ac:dyDescent="0.2">
      <c r="A3265"/>
    </row>
    <row r="3266" spans="1:1" x14ac:dyDescent="0.2">
      <c r="A3266"/>
    </row>
    <row r="3267" spans="1:1" x14ac:dyDescent="0.2">
      <c r="A3267"/>
    </row>
    <row r="3268" spans="1:1" x14ac:dyDescent="0.2">
      <c r="A3268"/>
    </row>
    <row r="3269" spans="1:1" x14ac:dyDescent="0.2">
      <c r="A3269"/>
    </row>
    <row r="3270" spans="1:1" x14ac:dyDescent="0.2">
      <c r="A3270"/>
    </row>
    <row r="3271" spans="1:1" x14ac:dyDescent="0.2">
      <c r="A3271"/>
    </row>
    <row r="3272" spans="1:1" x14ac:dyDescent="0.2">
      <c r="A3272"/>
    </row>
    <row r="3273" spans="1:1" x14ac:dyDescent="0.2">
      <c r="A3273"/>
    </row>
    <row r="3274" spans="1:1" x14ac:dyDescent="0.2">
      <c r="A3274"/>
    </row>
    <row r="3275" spans="1:1" x14ac:dyDescent="0.2">
      <c r="A3275"/>
    </row>
    <row r="3276" spans="1:1" x14ac:dyDescent="0.2">
      <c r="A3276"/>
    </row>
    <row r="3277" spans="1:1" x14ac:dyDescent="0.2">
      <c r="A3277"/>
    </row>
    <row r="3278" spans="1:1" x14ac:dyDescent="0.2">
      <c r="A3278"/>
    </row>
    <row r="3279" spans="1:1" x14ac:dyDescent="0.2">
      <c r="A3279"/>
    </row>
    <row r="3280" spans="1:1" x14ac:dyDescent="0.2">
      <c r="A3280"/>
    </row>
    <row r="3281" spans="1:1" x14ac:dyDescent="0.2">
      <c r="A3281"/>
    </row>
    <row r="3282" spans="1:1" x14ac:dyDescent="0.2">
      <c r="A3282"/>
    </row>
    <row r="3283" spans="1:1" x14ac:dyDescent="0.2">
      <c r="A3283"/>
    </row>
    <row r="3284" spans="1:1" x14ac:dyDescent="0.2">
      <c r="A3284"/>
    </row>
    <row r="3285" spans="1:1" x14ac:dyDescent="0.2">
      <c r="A3285"/>
    </row>
    <row r="3286" spans="1:1" x14ac:dyDescent="0.2">
      <c r="A3286"/>
    </row>
    <row r="3287" spans="1:1" x14ac:dyDescent="0.2">
      <c r="A3287"/>
    </row>
    <row r="3288" spans="1:1" x14ac:dyDescent="0.2">
      <c r="A3288"/>
    </row>
    <row r="3289" spans="1:1" x14ac:dyDescent="0.2">
      <c r="A3289"/>
    </row>
    <row r="3290" spans="1:1" x14ac:dyDescent="0.2">
      <c r="A3290"/>
    </row>
    <row r="3291" spans="1:1" x14ac:dyDescent="0.2">
      <c r="A3291"/>
    </row>
    <row r="3292" spans="1:1" x14ac:dyDescent="0.2">
      <c r="A3292"/>
    </row>
    <row r="3293" spans="1:1" x14ac:dyDescent="0.2">
      <c r="A3293"/>
    </row>
    <row r="3294" spans="1:1" x14ac:dyDescent="0.2">
      <c r="A3294"/>
    </row>
    <row r="3295" spans="1:1" x14ac:dyDescent="0.2">
      <c r="A3295"/>
    </row>
    <row r="3296" spans="1:1" x14ac:dyDescent="0.2">
      <c r="A3296"/>
    </row>
    <row r="3297" spans="1:1" x14ac:dyDescent="0.2">
      <c r="A3297"/>
    </row>
    <row r="3298" spans="1:1" x14ac:dyDescent="0.2">
      <c r="A3298"/>
    </row>
    <row r="3299" spans="1:1" x14ac:dyDescent="0.2">
      <c r="A3299"/>
    </row>
    <row r="3300" spans="1:1" x14ac:dyDescent="0.2">
      <c r="A3300"/>
    </row>
    <row r="3301" spans="1:1" x14ac:dyDescent="0.2">
      <c r="A3301"/>
    </row>
    <row r="3302" spans="1:1" x14ac:dyDescent="0.2">
      <c r="A3302"/>
    </row>
    <row r="3303" spans="1:1" x14ac:dyDescent="0.2">
      <c r="A3303"/>
    </row>
    <row r="3304" spans="1:1" x14ac:dyDescent="0.2">
      <c r="A3304"/>
    </row>
    <row r="3305" spans="1:1" x14ac:dyDescent="0.2">
      <c r="A3305"/>
    </row>
    <row r="3306" spans="1:1" x14ac:dyDescent="0.2">
      <c r="A3306"/>
    </row>
    <row r="3307" spans="1:1" x14ac:dyDescent="0.2">
      <c r="A3307"/>
    </row>
    <row r="3308" spans="1:1" x14ac:dyDescent="0.2">
      <c r="A3308"/>
    </row>
    <row r="3309" spans="1:1" x14ac:dyDescent="0.2">
      <c r="A3309"/>
    </row>
    <row r="3310" spans="1:1" x14ac:dyDescent="0.2">
      <c r="A3310"/>
    </row>
    <row r="3311" spans="1:1" x14ac:dyDescent="0.2">
      <c r="A3311"/>
    </row>
    <row r="3312" spans="1:1" x14ac:dyDescent="0.2">
      <c r="A3312"/>
    </row>
    <row r="3313" spans="1:1" x14ac:dyDescent="0.2">
      <c r="A3313"/>
    </row>
    <row r="3314" spans="1:1" x14ac:dyDescent="0.2">
      <c r="A3314"/>
    </row>
    <row r="3315" spans="1:1" x14ac:dyDescent="0.2">
      <c r="A3315"/>
    </row>
    <row r="3316" spans="1:1" x14ac:dyDescent="0.2">
      <c r="A3316"/>
    </row>
    <row r="3317" spans="1:1" x14ac:dyDescent="0.2">
      <c r="A3317"/>
    </row>
    <row r="3318" spans="1:1" x14ac:dyDescent="0.2">
      <c r="A3318"/>
    </row>
    <row r="3319" spans="1:1" x14ac:dyDescent="0.2">
      <c r="A3319"/>
    </row>
    <row r="3320" spans="1:1" x14ac:dyDescent="0.2">
      <c r="A3320"/>
    </row>
    <row r="3321" spans="1:1" x14ac:dyDescent="0.2">
      <c r="A3321"/>
    </row>
    <row r="3322" spans="1:1" x14ac:dyDescent="0.2">
      <c r="A3322"/>
    </row>
    <row r="3323" spans="1:1" x14ac:dyDescent="0.2">
      <c r="A3323"/>
    </row>
    <row r="3324" spans="1:1" x14ac:dyDescent="0.2">
      <c r="A3324"/>
    </row>
    <row r="3325" spans="1:1" x14ac:dyDescent="0.2">
      <c r="A3325"/>
    </row>
    <row r="3326" spans="1:1" x14ac:dyDescent="0.2">
      <c r="A3326"/>
    </row>
    <row r="3327" spans="1:1" x14ac:dyDescent="0.2">
      <c r="A3327"/>
    </row>
    <row r="3328" spans="1:1" x14ac:dyDescent="0.2">
      <c r="A3328"/>
    </row>
    <row r="3329" spans="1:1" x14ac:dyDescent="0.2">
      <c r="A3329"/>
    </row>
    <row r="3330" spans="1:1" x14ac:dyDescent="0.2">
      <c r="A3330"/>
    </row>
    <row r="3331" spans="1:1" x14ac:dyDescent="0.2">
      <c r="A3331"/>
    </row>
    <row r="3332" spans="1:1" x14ac:dyDescent="0.2">
      <c r="A3332"/>
    </row>
    <row r="3333" spans="1:1" x14ac:dyDescent="0.2">
      <c r="A3333"/>
    </row>
    <row r="3334" spans="1:1" x14ac:dyDescent="0.2">
      <c r="A3334"/>
    </row>
    <row r="3335" spans="1:1" x14ac:dyDescent="0.2">
      <c r="A3335"/>
    </row>
    <row r="3336" spans="1:1" x14ac:dyDescent="0.2">
      <c r="A3336"/>
    </row>
    <row r="3337" spans="1:1" x14ac:dyDescent="0.2">
      <c r="A3337"/>
    </row>
    <row r="3338" spans="1:1" x14ac:dyDescent="0.2">
      <c r="A3338"/>
    </row>
    <row r="3339" spans="1:1" x14ac:dyDescent="0.2">
      <c r="A3339"/>
    </row>
    <row r="3340" spans="1:1" x14ac:dyDescent="0.2">
      <c r="A3340"/>
    </row>
    <row r="3341" spans="1:1" x14ac:dyDescent="0.2">
      <c r="A3341"/>
    </row>
    <row r="3342" spans="1:1" x14ac:dyDescent="0.2">
      <c r="A3342"/>
    </row>
    <row r="3343" spans="1:1" x14ac:dyDescent="0.2">
      <c r="A3343"/>
    </row>
    <row r="3344" spans="1:1" x14ac:dyDescent="0.2">
      <c r="A3344"/>
    </row>
    <row r="3345" spans="1:1" x14ac:dyDescent="0.2">
      <c r="A3345"/>
    </row>
    <row r="3346" spans="1:1" x14ac:dyDescent="0.2">
      <c r="A3346"/>
    </row>
    <row r="3347" spans="1:1" x14ac:dyDescent="0.2">
      <c r="A3347"/>
    </row>
    <row r="3348" spans="1:1" x14ac:dyDescent="0.2">
      <c r="A3348"/>
    </row>
    <row r="3349" spans="1:1" x14ac:dyDescent="0.2">
      <c r="A3349"/>
    </row>
    <row r="3350" spans="1:1" x14ac:dyDescent="0.2">
      <c r="A3350"/>
    </row>
    <row r="3351" spans="1:1" x14ac:dyDescent="0.2">
      <c r="A3351"/>
    </row>
    <row r="3352" spans="1:1" x14ac:dyDescent="0.2">
      <c r="A3352"/>
    </row>
    <row r="3353" spans="1:1" x14ac:dyDescent="0.2">
      <c r="A3353"/>
    </row>
    <row r="3354" spans="1:1" x14ac:dyDescent="0.2">
      <c r="A3354"/>
    </row>
    <row r="3355" spans="1:1" x14ac:dyDescent="0.2">
      <c r="A3355"/>
    </row>
    <row r="3356" spans="1:1" x14ac:dyDescent="0.2">
      <c r="A3356"/>
    </row>
    <row r="3357" spans="1:1" x14ac:dyDescent="0.2">
      <c r="A3357"/>
    </row>
    <row r="3358" spans="1:1" x14ac:dyDescent="0.2">
      <c r="A3358"/>
    </row>
    <row r="3359" spans="1:1" x14ac:dyDescent="0.2">
      <c r="A3359"/>
    </row>
    <row r="3360" spans="1:1" x14ac:dyDescent="0.2">
      <c r="A3360"/>
    </row>
    <row r="3361" spans="1:1" x14ac:dyDescent="0.2">
      <c r="A3361"/>
    </row>
    <row r="3362" spans="1:1" x14ac:dyDescent="0.2">
      <c r="A3362"/>
    </row>
    <row r="3363" spans="1:1" x14ac:dyDescent="0.2">
      <c r="A3363"/>
    </row>
    <row r="3364" spans="1:1" x14ac:dyDescent="0.2">
      <c r="A3364"/>
    </row>
    <row r="3365" spans="1:1" x14ac:dyDescent="0.2">
      <c r="A3365"/>
    </row>
    <row r="3366" spans="1:1" x14ac:dyDescent="0.2">
      <c r="A3366"/>
    </row>
    <row r="3367" spans="1:1" x14ac:dyDescent="0.2">
      <c r="A3367"/>
    </row>
    <row r="3368" spans="1:1" x14ac:dyDescent="0.2">
      <c r="A3368"/>
    </row>
    <row r="3369" spans="1:1" x14ac:dyDescent="0.2">
      <c r="A3369"/>
    </row>
    <row r="3370" spans="1:1" x14ac:dyDescent="0.2">
      <c r="A3370"/>
    </row>
    <row r="3371" spans="1:1" x14ac:dyDescent="0.2">
      <c r="A3371"/>
    </row>
    <row r="3372" spans="1:1" x14ac:dyDescent="0.2">
      <c r="A3372"/>
    </row>
    <row r="3373" spans="1:1" x14ac:dyDescent="0.2">
      <c r="A3373"/>
    </row>
    <row r="3374" spans="1:1" x14ac:dyDescent="0.2">
      <c r="A3374"/>
    </row>
    <row r="3375" spans="1:1" x14ac:dyDescent="0.2">
      <c r="A3375"/>
    </row>
    <row r="3376" spans="1:1" x14ac:dyDescent="0.2">
      <c r="A3376"/>
    </row>
    <row r="3377" spans="1:1" x14ac:dyDescent="0.2">
      <c r="A3377"/>
    </row>
    <row r="3378" spans="1:1" x14ac:dyDescent="0.2">
      <c r="A3378"/>
    </row>
    <row r="3379" spans="1:1" x14ac:dyDescent="0.2">
      <c r="A3379"/>
    </row>
    <row r="3380" spans="1:1" x14ac:dyDescent="0.2">
      <c r="A3380"/>
    </row>
    <row r="3381" spans="1:1" x14ac:dyDescent="0.2">
      <c r="A3381"/>
    </row>
    <row r="3382" spans="1:1" x14ac:dyDescent="0.2">
      <c r="A3382"/>
    </row>
    <row r="3383" spans="1:1" x14ac:dyDescent="0.2">
      <c r="A3383"/>
    </row>
    <row r="3384" spans="1:1" x14ac:dyDescent="0.2">
      <c r="A3384"/>
    </row>
    <row r="3385" spans="1:1" x14ac:dyDescent="0.2">
      <c r="A3385"/>
    </row>
    <row r="3386" spans="1:1" x14ac:dyDescent="0.2">
      <c r="A3386"/>
    </row>
    <row r="3387" spans="1:1" x14ac:dyDescent="0.2">
      <c r="A3387"/>
    </row>
    <row r="3388" spans="1:1" x14ac:dyDescent="0.2">
      <c r="A3388"/>
    </row>
    <row r="3389" spans="1:1" x14ac:dyDescent="0.2">
      <c r="A3389"/>
    </row>
    <row r="3390" spans="1:1" x14ac:dyDescent="0.2">
      <c r="A3390"/>
    </row>
    <row r="3391" spans="1:1" x14ac:dyDescent="0.2">
      <c r="A3391"/>
    </row>
    <row r="3392" spans="1:1" x14ac:dyDescent="0.2">
      <c r="A3392"/>
    </row>
    <row r="3393" spans="1:1" x14ac:dyDescent="0.2">
      <c r="A3393"/>
    </row>
    <row r="3394" spans="1:1" x14ac:dyDescent="0.2">
      <c r="A3394"/>
    </row>
    <row r="3395" spans="1:1" x14ac:dyDescent="0.2">
      <c r="A3395"/>
    </row>
    <row r="3396" spans="1:1" x14ac:dyDescent="0.2">
      <c r="A3396"/>
    </row>
    <row r="3397" spans="1:1" x14ac:dyDescent="0.2">
      <c r="A3397"/>
    </row>
    <row r="3398" spans="1:1" x14ac:dyDescent="0.2">
      <c r="A3398"/>
    </row>
    <row r="3399" spans="1:1" x14ac:dyDescent="0.2">
      <c r="A3399"/>
    </row>
    <row r="3400" spans="1:1" x14ac:dyDescent="0.2">
      <c r="A3400"/>
    </row>
    <row r="3401" spans="1:1" x14ac:dyDescent="0.2">
      <c r="A3401"/>
    </row>
    <row r="3402" spans="1:1" x14ac:dyDescent="0.2">
      <c r="A3402"/>
    </row>
    <row r="3403" spans="1:1" x14ac:dyDescent="0.2">
      <c r="A3403"/>
    </row>
    <row r="3404" spans="1:1" x14ac:dyDescent="0.2">
      <c r="A3404"/>
    </row>
    <row r="3405" spans="1:1" x14ac:dyDescent="0.2">
      <c r="A3405"/>
    </row>
    <row r="3406" spans="1:1" x14ac:dyDescent="0.2">
      <c r="A3406"/>
    </row>
    <row r="3407" spans="1:1" x14ac:dyDescent="0.2">
      <c r="A3407"/>
    </row>
    <row r="3408" spans="1:1" x14ac:dyDescent="0.2">
      <c r="A3408"/>
    </row>
    <row r="3409" spans="1:1" x14ac:dyDescent="0.2">
      <c r="A3409"/>
    </row>
    <row r="3410" spans="1:1" x14ac:dyDescent="0.2">
      <c r="A3410"/>
    </row>
    <row r="3411" spans="1:1" x14ac:dyDescent="0.2">
      <c r="A3411"/>
    </row>
    <row r="3412" spans="1:1" x14ac:dyDescent="0.2">
      <c r="A3412"/>
    </row>
    <row r="3413" spans="1:1" x14ac:dyDescent="0.2">
      <c r="A3413"/>
    </row>
    <row r="3414" spans="1:1" x14ac:dyDescent="0.2">
      <c r="A3414"/>
    </row>
    <row r="3415" spans="1:1" x14ac:dyDescent="0.2">
      <c r="A3415"/>
    </row>
    <row r="3416" spans="1:1" x14ac:dyDescent="0.2">
      <c r="A3416"/>
    </row>
    <row r="3417" spans="1:1" x14ac:dyDescent="0.2">
      <c r="A3417"/>
    </row>
    <row r="3418" spans="1:1" x14ac:dyDescent="0.2">
      <c r="A3418"/>
    </row>
    <row r="3419" spans="1:1" x14ac:dyDescent="0.2">
      <c r="A3419"/>
    </row>
    <row r="3420" spans="1:1" x14ac:dyDescent="0.2">
      <c r="A3420"/>
    </row>
    <row r="3421" spans="1:1" x14ac:dyDescent="0.2">
      <c r="A3421"/>
    </row>
    <row r="3422" spans="1:1" x14ac:dyDescent="0.2">
      <c r="A3422"/>
    </row>
    <row r="3423" spans="1:1" x14ac:dyDescent="0.2">
      <c r="A3423"/>
    </row>
    <row r="3424" spans="1:1" x14ac:dyDescent="0.2">
      <c r="A3424"/>
    </row>
    <row r="3425" spans="1:1" x14ac:dyDescent="0.2">
      <c r="A3425"/>
    </row>
    <row r="3426" spans="1:1" x14ac:dyDescent="0.2">
      <c r="A3426"/>
    </row>
    <row r="3427" spans="1:1" x14ac:dyDescent="0.2">
      <c r="A3427"/>
    </row>
    <row r="3428" spans="1:1" x14ac:dyDescent="0.2">
      <c r="A3428"/>
    </row>
    <row r="3429" spans="1:1" x14ac:dyDescent="0.2">
      <c r="A3429"/>
    </row>
    <row r="3430" spans="1:1" x14ac:dyDescent="0.2">
      <c r="A3430"/>
    </row>
    <row r="3431" spans="1:1" x14ac:dyDescent="0.2">
      <c r="A3431"/>
    </row>
    <row r="3432" spans="1:1" x14ac:dyDescent="0.2">
      <c r="A3432"/>
    </row>
    <row r="3433" spans="1:1" x14ac:dyDescent="0.2">
      <c r="A3433"/>
    </row>
    <row r="3434" spans="1:1" x14ac:dyDescent="0.2">
      <c r="A3434"/>
    </row>
    <row r="3435" spans="1:1" x14ac:dyDescent="0.2">
      <c r="A3435"/>
    </row>
    <row r="3436" spans="1:1" x14ac:dyDescent="0.2">
      <c r="A3436"/>
    </row>
    <row r="3437" spans="1:1" x14ac:dyDescent="0.2">
      <c r="A3437"/>
    </row>
    <row r="3438" spans="1:1" x14ac:dyDescent="0.2">
      <c r="A3438"/>
    </row>
    <row r="3439" spans="1:1" x14ac:dyDescent="0.2">
      <c r="A3439"/>
    </row>
    <row r="3440" spans="1:1" x14ac:dyDescent="0.2">
      <c r="A3440"/>
    </row>
    <row r="3441" spans="1:1" x14ac:dyDescent="0.2">
      <c r="A3441"/>
    </row>
    <row r="3442" spans="1:1" x14ac:dyDescent="0.2">
      <c r="A3442"/>
    </row>
    <row r="3443" spans="1:1" x14ac:dyDescent="0.2">
      <c r="A3443"/>
    </row>
    <row r="3444" spans="1:1" x14ac:dyDescent="0.2">
      <c r="A3444"/>
    </row>
    <row r="3445" spans="1:1" x14ac:dyDescent="0.2">
      <c r="A3445"/>
    </row>
    <row r="3446" spans="1:1" x14ac:dyDescent="0.2">
      <c r="A3446"/>
    </row>
    <row r="3447" spans="1:1" x14ac:dyDescent="0.2">
      <c r="A3447"/>
    </row>
    <row r="3448" spans="1:1" x14ac:dyDescent="0.2">
      <c r="A3448"/>
    </row>
    <row r="3449" spans="1:1" x14ac:dyDescent="0.2">
      <c r="A3449"/>
    </row>
    <row r="3450" spans="1:1" x14ac:dyDescent="0.2">
      <c r="A3450"/>
    </row>
    <row r="3451" spans="1:1" x14ac:dyDescent="0.2">
      <c r="A3451"/>
    </row>
    <row r="3452" spans="1:1" x14ac:dyDescent="0.2">
      <c r="A3452"/>
    </row>
    <row r="3453" spans="1:1" x14ac:dyDescent="0.2">
      <c r="A3453"/>
    </row>
    <row r="3454" spans="1:1" x14ac:dyDescent="0.2">
      <c r="A3454"/>
    </row>
    <row r="3455" spans="1:1" x14ac:dyDescent="0.2">
      <c r="A3455"/>
    </row>
    <row r="3456" spans="1:1" x14ac:dyDescent="0.2">
      <c r="A3456"/>
    </row>
    <row r="3457" spans="1:1" x14ac:dyDescent="0.2">
      <c r="A3457"/>
    </row>
    <row r="3458" spans="1:1" x14ac:dyDescent="0.2">
      <c r="A3458"/>
    </row>
    <row r="3459" spans="1:1" x14ac:dyDescent="0.2">
      <c r="A3459"/>
    </row>
    <row r="3460" spans="1:1" x14ac:dyDescent="0.2">
      <c r="A3460"/>
    </row>
    <row r="3461" spans="1:1" x14ac:dyDescent="0.2">
      <c r="A3461"/>
    </row>
    <row r="3462" spans="1:1" x14ac:dyDescent="0.2">
      <c r="A3462"/>
    </row>
    <row r="3463" spans="1:1" x14ac:dyDescent="0.2">
      <c r="A3463"/>
    </row>
    <row r="3464" spans="1:1" x14ac:dyDescent="0.2">
      <c r="A3464"/>
    </row>
    <row r="3465" spans="1:1" x14ac:dyDescent="0.2">
      <c r="A3465"/>
    </row>
    <row r="3466" spans="1:1" x14ac:dyDescent="0.2">
      <c r="A3466"/>
    </row>
    <row r="3467" spans="1:1" x14ac:dyDescent="0.2">
      <c r="A3467"/>
    </row>
    <row r="3468" spans="1:1" x14ac:dyDescent="0.2">
      <c r="A3468"/>
    </row>
    <row r="3469" spans="1:1" x14ac:dyDescent="0.2">
      <c r="A3469"/>
    </row>
    <row r="3470" spans="1:1" x14ac:dyDescent="0.2">
      <c r="A3470"/>
    </row>
    <row r="3471" spans="1:1" x14ac:dyDescent="0.2">
      <c r="A3471"/>
    </row>
    <row r="3472" spans="1:1" x14ac:dyDescent="0.2">
      <c r="A3472"/>
    </row>
    <row r="3473" spans="1:1" x14ac:dyDescent="0.2">
      <c r="A3473"/>
    </row>
    <row r="3474" spans="1:1" x14ac:dyDescent="0.2">
      <c r="A3474"/>
    </row>
    <row r="3475" spans="1:1" x14ac:dyDescent="0.2">
      <c r="A3475"/>
    </row>
    <row r="3476" spans="1:1" x14ac:dyDescent="0.2">
      <c r="A3476"/>
    </row>
    <row r="3477" spans="1:1" x14ac:dyDescent="0.2">
      <c r="A3477"/>
    </row>
    <row r="3478" spans="1:1" x14ac:dyDescent="0.2">
      <c r="A3478"/>
    </row>
    <row r="3479" spans="1:1" x14ac:dyDescent="0.2">
      <c r="A3479"/>
    </row>
    <row r="3480" spans="1:1" x14ac:dyDescent="0.2">
      <c r="A3480"/>
    </row>
    <row r="3481" spans="1:1" x14ac:dyDescent="0.2">
      <c r="A3481"/>
    </row>
    <row r="3482" spans="1:1" x14ac:dyDescent="0.2">
      <c r="A3482"/>
    </row>
    <row r="3483" spans="1:1" x14ac:dyDescent="0.2">
      <c r="A3483"/>
    </row>
    <row r="3484" spans="1:1" x14ac:dyDescent="0.2">
      <c r="A3484"/>
    </row>
    <row r="3485" spans="1:1" x14ac:dyDescent="0.2">
      <c r="A3485"/>
    </row>
    <row r="3486" spans="1:1" x14ac:dyDescent="0.2">
      <c r="A3486"/>
    </row>
    <row r="3487" spans="1:1" x14ac:dyDescent="0.2">
      <c r="A3487"/>
    </row>
    <row r="3488" spans="1:1" x14ac:dyDescent="0.2">
      <c r="A3488"/>
    </row>
    <row r="3489" spans="1:1" x14ac:dyDescent="0.2">
      <c r="A3489"/>
    </row>
    <row r="3490" spans="1:1" x14ac:dyDescent="0.2">
      <c r="A3490"/>
    </row>
    <row r="3491" spans="1:1" x14ac:dyDescent="0.2">
      <c r="A3491"/>
    </row>
    <row r="3492" spans="1:1" x14ac:dyDescent="0.2">
      <c r="A3492"/>
    </row>
    <row r="3493" spans="1:1" x14ac:dyDescent="0.2">
      <c r="A3493"/>
    </row>
    <row r="3494" spans="1:1" x14ac:dyDescent="0.2">
      <c r="A3494"/>
    </row>
    <row r="3495" spans="1:1" x14ac:dyDescent="0.2">
      <c r="A3495"/>
    </row>
    <row r="3496" spans="1:1" x14ac:dyDescent="0.2">
      <c r="A3496"/>
    </row>
    <row r="3497" spans="1:1" x14ac:dyDescent="0.2">
      <c r="A3497"/>
    </row>
    <row r="3498" spans="1:1" x14ac:dyDescent="0.2">
      <c r="A3498"/>
    </row>
    <row r="3499" spans="1:1" x14ac:dyDescent="0.2">
      <c r="A3499"/>
    </row>
    <row r="3500" spans="1:1" x14ac:dyDescent="0.2">
      <c r="A3500"/>
    </row>
    <row r="3501" spans="1:1" x14ac:dyDescent="0.2">
      <c r="A3501"/>
    </row>
    <row r="3502" spans="1:1" x14ac:dyDescent="0.2">
      <c r="A3502"/>
    </row>
    <row r="3503" spans="1:1" x14ac:dyDescent="0.2">
      <c r="A3503"/>
    </row>
    <row r="3504" spans="1:1" x14ac:dyDescent="0.2">
      <c r="A3504"/>
    </row>
    <row r="3505" spans="1:1" x14ac:dyDescent="0.2">
      <c r="A3505"/>
    </row>
    <row r="3506" spans="1:1" x14ac:dyDescent="0.2">
      <c r="A3506"/>
    </row>
    <row r="3507" spans="1:1" x14ac:dyDescent="0.2">
      <c r="A3507"/>
    </row>
    <row r="3508" spans="1:1" x14ac:dyDescent="0.2">
      <c r="A3508"/>
    </row>
    <row r="3509" spans="1:1" x14ac:dyDescent="0.2">
      <c r="A3509"/>
    </row>
    <row r="3510" spans="1:1" x14ac:dyDescent="0.2">
      <c r="A3510"/>
    </row>
    <row r="3511" spans="1:1" x14ac:dyDescent="0.2">
      <c r="A3511"/>
    </row>
    <row r="3512" spans="1:1" x14ac:dyDescent="0.2">
      <c r="A3512"/>
    </row>
    <row r="3513" spans="1:1" x14ac:dyDescent="0.2">
      <c r="A3513"/>
    </row>
    <row r="3514" spans="1:1" x14ac:dyDescent="0.2">
      <c r="A3514"/>
    </row>
    <row r="3515" spans="1:1" x14ac:dyDescent="0.2">
      <c r="A3515"/>
    </row>
    <row r="3516" spans="1:1" x14ac:dyDescent="0.2">
      <c r="A3516"/>
    </row>
    <row r="3517" spans="1:1" x14ac:dyDescent="0.2">
      <c r="A3517"/>
    </row>
    <row r="3518" spans="1:1" x14ac:dyDescent="0.2">
      <c r="A3518"/>
    </row>
    <row r="3519" spans="1:1" x14ac:dyDescent="0.2">
      <c r="A3519"/>
    </row>
    <row r="3520" spans="1:1" x14ac:dyDescent="0.2">
      <c r="A3520"/>
    </row>
    <row r="3521" spans="1:1" x14ac:dyDescent="0.2">
      <c r="A3521"/>
    </row>
    <row r="3522" spans="1:1" x14ac:dyDescent="0.2">
      <c r="A3522"/>
    </row>
    <row r="3523" spans="1:1" x14ac:dyDescent="0.2">
      <c r="A3523"/>
    </row>
    <row r="3524" spans="1:1" x14ac:dyDescent="0.2">
      <c r="A3524"/>
    </row>
    <row r="3525" spans="1:1" x14ac:dyDescent="0.2">
      <c r="A3525"/>
    </row>
    <row r="3526" spans="1:1" x14ac:dyDescent="0.2">
      <c r="A3526"/>
    </row>
    <row r="3527" spans="1:1" x14ac:dyDescent="0.2">
      <c r="A3527"/>
    </row>
    <row r="3528" spans="1:1" x14ac:dyDescent="0.2">
      <c r="A3528"/>
    </row>
    <row r="3529" spans="1:1" x14ac:dyDescent="0.2">
      <c r="A3529"/>
    </row>
    <row r="3530" spans="1:1" x14ac:dyDescent="0.2">
      <c r="A3530"/>
    </row>
    <row r="3531" spans="1:1" x14ac:dyDescent="0.2">
      <c r="A3531"/>
    </row>
    <row r="3532" spans="1:1" x14ac:dyDescent="0.2">
      <c r="A3532"/>
    </row>
    <row r="3533" spans="1:1" x14ac:dyDescent="0.2">
      <c r="A3533"/>
    </row>
    <row r="3534" spans="1:1" x14ac:dyDescent="0.2">
      <c r="A3534"/>
    </row>
    <row r="3535" spans="1:1" x14ac:dyDescent="0.2">
      <c r="A3535"/>
    </row>
    <row r="3536" spans="1:1" x14ac:dyDescent="0.2">
      <c r="A3536"/>
    </row>
    <row r="3537" spans="1:1" x14ac:dyDescent="0.2">
      <c r="A3537"/>
    </row>
    <row r="3538" spans="1:1" x14ac:dyDescent="0.2">
      <c r="A3538"/>
    </row>
    <row r="3539" spans="1:1" x14ac:dyDescent="0.2">
      <c r="A3539"/>
    </row>
    <row r="3540" spans="1:1" x14ac:dyDescent="0.2">
      <c r="A3540"/>
    </row>
    <row r="3541" spans="1:1" x14ac:dyDescent="0.2">
      <c r="A3541"/>
    </row>
    <row r="3542" spans="1:1" x14ac:dyDescent="0.2">
      <c r="A3542"/>
    </row>
    <row r="3543" spans="1:1" x14ac:dyDescent="0.2">
      <c r="A3543"/>
    </row>
    <row r="3544" spans="1:1" x14ac:dyDescent="0.2">
      <c r="A3544"/>
    </row>
    <row r="3545" spans="1:1" x14ac:dyDescent="0.2">
      <c r="A3545"/>
    </row>
    <row r="3546" spans="1:1" x14ac:dyDescent="0.2">
      <c r="A3546"/>
    </row>
    <row r="3547" spans="1:1" x14ac:dyDescent="0.2">
      <c r="A3547"/>
    </row>
    <row r="3548" spans="1:1" x14ac:dyDescent="0.2">
      <c r="A3548"/>
    </row>
    <row r="3549" spans="1:1" x14ac:dyDescent="0.2">
      <c r="A3549"/>
    </row>
    <row r="3550" spans="1:1" x14ac:dyDescent="0.2">
      <c r="A3550"/>
    </row>
    <row r="3551" spans="1:1" x14ac:dyDescent="0.2">
      <c r="A3551"/>
    </row>
    <row r="3552" spans="1:1" x14ac:dyDescent="0.2">
      <c r="A3552"/>
    </row>
    <row r="3553" spans="1:1" x14ac:dyDescent="0.2">
      <c r="A3553"/>
    </row>
    <row r="3554" spans="1:1" x14ac:dyDescent="0.2">
      <c r="A3554"/>
    </row>
    <row r="3555" spans="1:1" x14ac:dyDescent="0.2">
      <c r="A3555"/>
    </row>
    <row r="3556" spans="1:1" x14ac:dyDescent="0.2">
      <c r="A3556"/>
    </row>
    <row r="3557" spans="1:1" x14ac:dyDescent="0.2">
      <c r="A3557"/>
    </row>
    <row r="3558" spans="1:1" x14ac:dyDescent="0.2">
      <c r="A3558"/>
    </row>
    <row r="3559" spans="1:1" x14ac:dyDescent="0.2">
      <c r="A3559"/>
    </row>
    <row r="3560" spans="1:1" x14ac:dyDescent="0.2">
      <c r="A3560"/>
    </row>
    <row r="3561" spans="1:1" x14ac:dyDescent="0.2">
      <c r="A3561"/>
    </row>
    <row r="3562" spans="1:1" x14ac:dyDescent="0.2">
      <c r="A3562"/>
    </row>
    <row r="3563" spans="1:1" x14ac:dyDescent="0.2">
      <c r="A3563"/>
    </row>
    <row r="3564" spans="1:1" x14ac:dyDescent="0.2">
      <c r="A3564"/>
    </row>
    <row r="3565" spans="1:1" x14ac:dyDescent="0.2">
      <c r="A3565"/>
    </row>
    <row r="3566" spans="1:1" x14ac:dyDescent="0.2">
      <c r="A3566"/>
    </row>
    <row r="3567" spans="1:1" x14ac:dyDescent="0.2">
      <c r="A3567"/>
    </row>
    <row r="3568" spans="1:1" x14ac:dyDescent="0.2">
      <c r="A3568"/>
    </row>
    <row r="3569" spans="1:1" x14ac:dyDescent="0.2">
      <c r="A3569"/>
    </row>
    <row r="3570" spans="1:1" x14ac:dyDescent="0.2">
      <c r="A3570"/>
    </row>
    <row r="3571" spans="1:1" x14ac:dyDescent="0.2">
      <c r="A3571"/>
    </row>
    <row r="3572" spans="1:1" x14ac:dyDescent="0.2">
      <c r="A3572"/>
    </row>
    <row r="3573" spans="1:1" x14ac:dyDescent="0.2">
      <c r="A3573"/>
    </row>
    <row r="3574" spans="1:1" x14ac:dyDescent="0.2">
      <c r="A3574"/>
    </row>
    <row r="3575" spans="1:1" x14ac:dyDescent="0.2">
      <c r="A3575"/>
    </row>
    <row r="3576" spans="1:1" x14ac:dyDescent="0.2">
      <c r="A3576"/>
    </row>
    <row r="3577" spans="1:1" x14ac:dyDescent="0.2">
      <c r="A3577"/>
    </row>
    <row r="3578" spans="1:1" x14ac:dyDescent="0.2">
      <c r="A3578"/>
    </row>
    <row r="3579" spans="1:1" x14ac:dyDescent="0.2">
      <c r="A3579"/>
    </row>
    <row r="3580" spans="1:1" x14ac:dyDescent="0.2">
      <c r="A3580"/>
    </row>
    <row r="3581" spans="1:1" x14ac:dyDescent="0.2">
      <c r="A3581"/>
    </row>
    <row r="3582" spans="1:1" x14ac:dyDescent="0.2">
      <c r="A3582"/>
    </row>
    <row r="3583" spans="1:1" x14ac:dyDescent="0.2">
      <c r="A3583"/>
    </row>
    <row r="3584" spans="1:1" x14ac:dyDescent="0.2">
      <c r="A3584"/>
    </row>
    <row r="3585" spans="1:1" x14ac:dyDescent="0.2">
      <c r="A3585"/>
    </row>
    <row r="3586" spans="1:1" x14ac:dyDescent="0.2">
      <c r="A3586"/>
    </row>
    <row r="3587" spans="1:1" x14ac:dyDescent="0.2">
      <c r="A3587"/>
    </row>
    <row r="3588" spans="1:1" x14ac:dyDescent="0.2">
      <c r="A3588"/>
    </row>
    <row r="3589" spans="1:1" x14ac:dyDescent="0.2">
      <c r="A3589"/>
    </row>
    <row r="3590" spans="1:1" x14ac:dyDescent="0.2">
      <c r="A3590"/>
    </row>
    <row r="3591" spans="1:1" x14ac:dyDescent="0.2">
      <c r="A3591"/>
    </row>
    <row r="3592" spans="1:1" x14ac:dyDescent="0.2">
      <c r="A3592"/>
    </row>
    <row r="3593" spans="1:1" x14ac:dyDescent="0.2">
      <c r="A3593"/>
    </row>
    <row r="3594" spans="1:1" x14ac:dyDescent="0.2">
      <c r="A3594"/>
    </row>
    <row r="3595" spans="1:1" x14ac:dyDescent="0.2">
      <c r="A3595"/>
    </row>
    <row r="3596" spans="1:1" x14ac:dyDescent="0.2">
      <c r="A3596"/>
    </row>
    <row r="3597" spans="1:1" x14ac:dyDescent="0.2">
      <c r="A3597"/>
    </row>
    <row r="3598" spans="1:1" x14ac:dyDescent="0.2">
      <c r="A3598"/>
    </row>
    <row r="3599" spans="1:1" x14ac:dyDescent="0.2">
      <c r="A3599"/>
    </row>
    <row r="3600" spans="1:1" x14ac:dyDescent="0.2">
      <c r="A3600"/>
    </row>
    <row r="3601" spans="1:1" x14ac:dyDescent="0.2">
      <c r="A3601"/>
    </row>
    <row r="3602" spans="1:1" x14ac:dyDescent="0.2">
      <c r="A3602"/>
    </row>
    <row r="3603" spans="1:1" x14ac:dyDescent="0.2">
      <c r="A3603"/>
    </row>
    <row r="3604" spans="1:1" x14ac:dyDescent="0.2">
      <c r="A3604"/>
    </row>
    <row r="3605" spans="1:1" x14ac:dyDescent="0.2">
      <c r="A3605"/>
    </row>
    <row r="3606" spans="1:1" x14ac:dyDescent="0.2">
      <c r="A3606"/>
    </row>
    <row r="3607" spans="1:1" x14ac:dyDescent="0.2">
      <c r="A3607"/>
    </row>
    <row r="3608" spans="1:1" x14ac:dyDescent="0.2">
      <c r="A3608"/>
    </row>
    <row r="3609" spans="1:1" x14ac:dyDescent="0.2">
      <c r="A3609"/>
    </row>
    <row r="3610" spans="1:1" x14ac:dyDescent="0.2">
      <c r="A3610"/>
    </row>
    <row r="3611" spans="1:1" x14ac:dyDescent="0.2">
      <c r="A3611"/>
    </row>
    <row r="3612" spans="1:1" x14ac:dyDescent="0.2">
      <c r="A3612"/>
    </row>
    <row r="3613" spans="1:1" x14ac:dyDescent="0.2">
      <c r="A3613"/>
    </row>
    <row r="3614" spans="1:1" x14ac:dyDescent="0.2">
      <c r="A3614"/>
    </row>
    <row r="3615" spans="1:1" x14ac:dyDescent="0.2">
      <c r="A3615"/>
    </row>
    <row r="3616" spans="1:1" x14ac:dyDescent="0.2">
      <c r="A3616"/>
    </row>
    <row r="3617" spans="1:1" x14ac:dyDescent="0.2">
      <c r="A3617"/>
    </row>
    <row r="3618" spans="1:1" x14ac:dyDescent="0.2">
      <c r="A3618"/>
    </row>
    <row r="3619" spans="1:1" x14ac:dyDescent="0.2">
      <c r="A3619"/>
    </row>
    <row r="3620" spans="1:1" x14ac:dyDescent="0.2">
      <c r="A3620"/>
    </row>
    <row r="3621" spans="1:1" x14ac:dyDescent="0.2">
      <c r="A3621"/>
    </row>
    <row r="3622" spans="1:1" x14ac:dyDescent="0.2">
      <c r="A3622"/>
    </row>
    <row r="3623" spans="1:1" x14ac:dyDescent="0.2">
      <c r="A3623"/>
    </row>
    <row r="3624" spans="1:1" x14ac:dyDescent="0.2">
      <c r="A3624"/>
    </row>
    <row r="3625" spans="1:1" x14ac:dyDescent="0.2">
      <c r="A3625"/>
    </row>
    <row r="3626" spans="1:1" x14ac:dyDescent="0.2">
      <c r="A3626"/>
    </row>
    <row r="3627" spans="1:1" x14ac:dyDescent="0.2">
      <c r="A3627"/>
    </row>
    <row r="3628" spans="1:1" x14ac:dyDescent="0.2">
      <c r="A3628"/>
    </row>
    <row r="3629" spans="1:1" x14ac:dyDescent="0.2">
      <c r="A3629"/>
    </row>
    <row r="3630" spans="1:1" x14ac:dyDescent="0.2">
      <c r="A3630"/>
    </row>
    <row r="3631" spans="1:1" x14ac:dyDescent="0.2">
      <c r="A3631"/>
    </row>
    <row r="3632" spans="1:1" x14ac:dyDescent="0.2">
      <c r="A3632"/>
    </row>
    <row r="3633" spans="1:1" x14ac:dyDescent="0.2">
      <c r="A3633"/>
    </row>
    <row r="3634" spans="1:1" x14ac:dyDescent="0.2">
      <c r="A3634"/>
    </row>
    <row r="3635" spans="1:1" x14ac:dyDescent="0.2">
      <c r="A3635"/>
    </row>
    <row r="3636" spans="1:1" x14ac:dyDescent="0.2">
      <c r="A3636"/>
    </row>
    <row r="3637" spans="1:1" x14ac:dyDescent="0.2">
      <c r="A3637"/>
    </row>
    <row r="3638" spans="1:1" x14ac:dyDescent="0.2">
      <c r="A3638"/>
    </row>
    <row r="3639" spans="1:1" x14ac:dyDescent="0.2">
      <c r="A3639"/>
    </row>
    <row r="3640" spans="1:1" x14ac:dyDescent="0.2">
      <c r="A3640"/>
    </row>
    <row r="3641" spans="1:1" x14ac:dyDescent="0.2">
      <c r="A3641"/>
    </row>
    <row r="3642" spans="1:1" x14ac:dyDescent="0.2">
      <c r="A3642"/>
    </row>
    <row r="3643" spans="1:1" x14ac:dyDescent="0.2">
      <c r="A3643"/>
    </row>
    <row r="3644" spans="1:1" x14ac:dyDescent="0.2">
      <c r="A3644"/>
    </row>
    <row r="3645" spans="1:1" x14ac:dyDescent="0.2">
      <c r="A3645"/>
    </row>
    <row r="3646" spans="1:1" x14ac:dyDescent="0.2">
      <c r="A3646"/>
    </row>
    <row r="3647" spans="1:1" x14ac:dyDescent="0.2">
      <c r="A3647"/>
    </row>
    <row r="3648" spans="1:1" x14ac:dyDescent="0.2">
      <c r="A3648"/>
    </row>
    <row r="3649" spans="1:1" x14ac:dyDescent="0.2">
      <c r="A3649"/>
    </row>
    <row r="3650" spans="1:1" x14ac:dyDescent="0.2">
      <c r="A3650"/>
    </row>
    <row r="3651" spans="1:1" x14ac:dyDescent="0.2">
      <c r="A3651"/>
    </row>
    <row r="3652" spans="1:1" x14ac:dyDescent="0.2">
      <c r="A3652"/>
    </row>
    <row r="3653" spans="1:1" x14ac:dyDescent="0.2">
      <c r="A3653"/>
    </row>
    <row r="3654" spans="1:1" x14ac:dyDescent="0.2">
      <c r="A3654"/>
    </row>
    <row r="3655" spans="1:1" x14ac:dyDescent="0.2">
      <c r="A3655"/>
    </row>
    <row r="3656" spans="1:1" x14ac:dyDescent="0.2">
      <c r="A3656"/>
    </row>
    <row r="3657" spans="1:1" x14ac:dyDescent="0.2">
      <c r="A3657"/>
    </row>
    <row r="3658" spans="1:1" x14ac:dyDescent="0.2">
      <c r="A3658"/>
    </row>
    <row r="3659" spans="1:1" x14ac:dyDescent="0.2">
      <c r="A3659"/>
    </row>
    <row r="3660" spans="1:1" x14ac:dyDescent="0.2">
      <c r="A3660"/>
    </row>
    <row r="3661" spans="1:1" x14ac:dyDescent="0.2">
      <c r="A3661"/>
    </row>
    <row r="3662" spans="1:1" x14ac:dyDescent="0.2">
      <c r="A3662"/>
    </row>
    <row r="3663" spans="1:1" x14ac:dyDescent="0.2">
      <c r="A3663"/>
    </row>
    <row r="3664" spans="1:1" x14ac:dyDescent="0.2">
      <c r="A3664"/>
    </row>
    <row r="3665" spans="1:1" x14ac:dyDescent="0.2">
      <c r="A3665"/>
    </row>
    <row r="3666" spans="1:1" x14ac:dyDescent="0.2">
      <c r="A3666"/>
    </row>
    <row r="3667" spans="1:1" x14ac:dyDescent="0.2">
      <c r="A3667"/>
    </row>
    <row r="3668" spans="1:1" x14ac:dyDescent="0.2">
      <c r="A3668"/>
    </row>
    <row r="3669" spans="1:1" x14ac:dyDescent="0.2">
      <c r="A3669"/>
    </row>
    <row r="3670" spans="1:1" x14ac:dyDescent="0.2">
      <c r="A3670"/>
    </row>
    <row r="3671" spans="1:1" x14ac:dyDescent="0.2">
      <c r="A3671"/>
    </row>
    <row r="3672" spans="1:1" x14ac:dyDescent="0.2">
      <c r="A3672"/>
    </row>
    <row r="3673" spans="1:1" x14ac:dyDescent="0.2">
      <c r="A3673"/>
    </row>
    <row r="3674" spans="1:1" x14ac:dyDescent="0.2">
      <c r="A3674"/>
    </row>
    <row r="3675" spans="1:1" x14ac:dyDescent="0.2">
      <c r="A3675"/>
    </row>
    <row r="3676" spans="1:1" x14ac:dyDescent="0.2">
      <c r="A3676"/>
    </row>
    <row r="3677" spans="1:1" x14ac:dyDescent="0.2">
      <c r="A3677"/>
    </row>
    <row r="3678" spans="1:1" x14ac:dyDescent="0.2">
      <c r="A3678"/>
    </row>
    <row r="3679" spans="1:1" x14ac:dyDescent="0.2">
      <c r="A3679"/>
    </row>
    <row r="3680" spans="1:1" x14ac:dyDescent="0.2">
      <c r="A3680"/>
    </row>
    <row r="3681" spans="1:1" x14ac:dyDescent="0.2">
      <c r="A3681"/>
    </row>
    <row r="3682" spans="1:1" x14ac:dyDescent="0.2">
      <c r="A3682"/>
    </row>
    <row r="3683" spans="1:1" x14ac:dyDescent="0.2">
      <c r="A3683"/>
    </row>
    <row r="3684" spans="1:1" x14ac:dyDescent="0.2">
      <c r="A3684"/>
    </row>
    <row r="3685" spans="1:1" x14ac:dyDescent="0.2">
      <c r="A3685"/>
    </row>
    <row r="3686" spans="1:1" x14ac:dyDescent="0.2">
      <c r="A3686"/>
    </row>
    <row r="3687" spans="1:1" x14ac:dyDescent="0.2">
      <c r="A3687"/>
    </row>
    <row r="3688" spans="1:1" x14ac:dyDescent="0.2">
      <c r="A3688"/>
    </row>
    <row r="3689" spans="1:1" x14ac:dyDescent="0.2">
      <c r="A3689"/>
    </row>
    <row r="3690" spans="1:1" x14ac:dyDescent="0.2">
      <c r="A3690"/>
    </row>
    <row r="3691" spans="1:1" x14ac:dyDescent="0.2">
      <c r="A3691"/>
    </row>
    <row r="3692" spans="1:1" x14ac:dyDescent="0.2">
      <c r="A3692"/>
    </row>
    <row r="3693" spans="1:1" x14ac:dyDescent="0.2">
      <c r="A3693"/>
    </row>
    <row r="3694" spans="1:1" x14ac:dyDescent="0.2">
      <c r="A3694"/>
    </row>
    <row r="3695" spans="1:1" x14ac:dyDescent="0.2">
      <c r="A3695"/>
    </row>
    <row r="3696" spans="1:1" x14ac:dyDescent="0.2">
      <c r="A3696"/>
    </row>
    <row r="3697" spans="1:1" x14ac:dyDescent="0.2">
      <c r="A3697"/>
    </row>
    <row r="3698" spans="1:1" x14ac:dyDescent="0.2">
      <c r="A3698"/>
    </row>
    <row r="3699" spans="1:1" x14ac:dyDescent="0.2">
      <c r="A3699"/>
    </row>
    <row r="3700" spans="1:1" x14ac:dyDescent="0.2">
      <c r="A3700"/>
    </row>
    <row r="3701" spans="1:1" x14ac:dyDescent="0.2">
      <c r="A3701"/>
    </row>
    <row r="3702" spans="1:1" x14ac:dyDescent="0.2">
      <c r="A3702"/>
    </row>
    <row r="3703" spans="1:1" x14ac:dyDescent="0.2">
      <c r="A3703"/>
    </row>
    <row r="3704" spans="1:1" x14ac:dyDescent="0.2">
      <c r="A3704"/>
    </row>
    <row r="3705" spans="1:1" x14ac:dyDescent="0.2">
      <c r="A3705"/>
    </row>
    <row r="3706" spans="1:1" x14ac:dyDescent="0.2">
      <c r="A3706"/>
    </row>
    <row r="3707" spans="1:1" x14ac:dyDescent="0.2">
      <c r="A3707"/>
    </row>
    <row r="3708" spans="1:1" x14ac:dyDescent="0.2">
      <c r="A3708"/>
    </row>
    <row r="3709" spans="1:1" x14ac:dyDescent="0.2">
      <c r="A3709"/>
    </row>
    <row r="3710" spans="1:1" x14ac:dyDescent="0.2">
      <c r="A3710"/>
    </row>
    <row r="3711" spans="1:1" x14ac:dyDescent="0.2">
      <c r="A3711"/>
    </row>
    <row r="3712" spans="1:1" x14ac:dyDescent="0.2">
      <c r="A3712"/>
    </row>
    <row r="3713" spans="1:1" x14ac:dyDescent="0.2">
      <c r="A3713"/>
    </row>
    <row r="3714" spans="1:1" x14ac:dyDescent="0.2">
      <c r="A3714"/>
    </row>
    <row r="3715" spans="1:1" x14ac:dyDescent="0.2">
      <c r="A3715"/>
    </row>
    <row r="3716" spans="1:1" x14ac:dyDescent="0.2">
      <c r="A3716"/>
    </row>
    <row r="3717" spans="1:1" x14ac:dyDescent="0.2">
      <c r="A3717"/>
    </row>
    <row r="3718" spans="1:1" x14ac:dyDescent="0.2">
      <c r="A3718"/>
    </row>
    <row r="3719" spans="1:1" x14ac:dyDescent="0.2">
      <c r="A3719"/>
    </row>
    <row r="3720" spans="1:1" x14ac:dyDescent="0.2">
      <c r="A3720"/>
    </row>
    <row r="3721" spans="1:1" x14ac:dyDescent="0.2">
      <c r="A3721"/>
    </row>
    <row r="3722" spans="1:1" x14ac:dyDescent="0.2">
      <c r="A3722"/>
    </row>
    <row r="3723" spans="1:1" x14ac:dyDescent="0.2">
      <c r="A3723"/>
    </row>
    <row r="3724" spans="1:1" x14ac:dyDescent="0.2">
      <c r="A3724"/>
    </row>
    <row r="3725" spans="1:1" x14ac:dyDescent="0.2">
      <c r="A3725"/>
    </row>
    <row r="3726" spans="1:1" x14ac:dyDescent="0.2">
      <c r="A3726"/>
    </row>
    <row r="3727" spans="1:1" x14ac:dyDescent="0.2">
      <c r="A3727"/>
    </row>
    <row r="3728" spans="1:1" x14ac:dyDescent="0.2">
      <c r="A3728"/>
    </row>
    <row r="3729" spans="1:1" x14ac:dyDescent="0.2">
      <c r="A3729"/>
    </row>
    <row r="3730" spans="1:1" x14ac:dyDescent="0.2">
      <c r="A3730"/>
    </row>
    <row r="3731" spans="1:1" x14ac:dyDescent="0.2">
      <c r="A3731"/>
    </row>
    <row r="3732" spans="1:1" x14ac:dyDescent="0.2">
      <c r="A3732"/>
    </row>
    <row r="3733" spans="1:1" x14ac:dyDescent="0.2">
      <c r="A3733"/>
    </row>
    <row r="3734" spans="1:1" x14ac:dyDescent="0.2">
      <c r="A3734"/>
    </row>
    <row r="3735" spans="1:1" x14ac:dyDescent="0.2">
      <c r="A3735"/>
    </row>
    <row r="3736" spans="1:1" x14ac:dyDescent="0.2">
      <c r="A3736"/>
    </row>
    <row r="3737" spans="1:1" x14ac:dyDescent="0.2">
      <c r="A3737"/>
    </row>
    <row r="3738" spans="1:1" x14ac:dyDescent="0.2">
      <c r="A3738"/>
    </row>
    <row r="3739" spans="1:1" x14ac:dyDescent="0.2">
      <c r="A3739"/>
    </row>
    <row r="3740" spans="1:1" x14ac:dyDescent="0.2">
      <c r="A3740"/>
    </row>
    <row r="3741" spans="1:1" x14ac:dyDescent="0.2">
      <c r="A3741"/>
    </row>
    <row r="3742" spans="1:1" x14ac:dyDescent="0.2">
      <c r="A3742"/>
    </row>
    <row r="3743" spans="1:1" x14ac:dyDescent="0.2">
      <c r="A3743"/>
    </row>
    <row r="3744" spans="1:1" x14ac:dyDescent="0.2">
      <c r="A3744"/>
    </row>
    <row r="3745" spans="1:1" x14ac:dyDescent="0.2">
      <c r="A3745"/>
    </row>
    <row r="3746" spans="1:1" x14ac:dyDescent="0.2">
      <c r="A3746"/>
    </row>
    <row r="3747" spans="1:1" x14ac:dyDescent="0.2">
      <c r="A3747"/>
    </row>
    <row r="3748" spans="1:1" x14ac:dyDescent="0.2">
      <c r="A3748"/>
    </row>
    <row r="3749" spans="1:1" x14ac:dyDescent="0.2">
      <c r="A3749"/>
    </row>
    <row r="3750" spans="1:1" x14ac:dyDescent="0.2">
      <c r="A3750"/>
    </row>
    <row r="3751" spans="1:1" x14ac:dyDescent="0.2">
      <c r="A3751"/>
    </row>
    <row r="3752" spans="1:1" x14ac:dyDescent="0.2">
      <c r="A3752"/>
    </row>
    <row r="3753" spans="1:1" x14ac:dyDescent="0.2">
      <c r="A3753"/>
    </row>
    <row r="3754" spans="1:1" x14ac:dyDescent="0.2">
      <c r="A3754"/>
    </row>
    <row r="3755" spans="1:1" x14ac:dyDescent="0.2">
      <c r="A3755"/>
    </row>
    <row r="3756" spans="1:1" x14ac:dyDescent="0.2">
      <c r="A3756"/>
    </row>
    <row r="3757" spans="1:1" x14ac:dyDescent="0.2">
      <c r="A3757"/>
    </row>
    <row r="3758" spans="1:1" x14ac:dyDescent="0.2">
      <c r="A3758"/>
    </row>
    <row r="3759" spans="1:1" x14ac:dyDescent="0.2">
      <c r="A3759"/>
    </row>
    <row r="3760" spans="1:1" x14ac:dyDescent="0.2">
      <c r="A3760"/>
    </row>
    <row r="3761" spans="1:1" x14ac:dyDescent="0.2">
      <c r="A3761"/>
    </row>
    <row r="3762" spans="1:1" x14ac:dyDescent="0.2">
      <c r="A3762"/>
    </row>
    <row r="3763" spans="1:1" x14ac:dyDescent="0.2">
      <c r="A3763"/>
    </row>
    <row r="3764" spans="1:1" x14ac:dyDescent="0.2">
      <c r="A3764"/>
    </row>
    <row r="3765" spans="1:1" x14ac:dyDescent="0.2">
      <c r="A3765"/>
    </row>
    <row r="3766" spans="1:1" x14ac:dyDescent="0.2">
      <c r="A3766"/>
    </row>
    <row r="3767" spans="1:1" x14ac:dyDescent="0.2">
      <c r="A3767"/>
    </row>
    <row r="3768" spans="1:1" x14ac:dyDescent="0.2">
      <c r="A3768"/>
    </row>
    <row r="3769" spans="1:1" x14ac:dyDescent="0.2">
      <c r="A3769"/>
    </row>
    <row r="3770" spans="1:1" x14ac:dyDescent="0.2">
      <c r="A3770"/>
    </row>
    <row r="3771" spans="1:1" x14ac:dyDescent="0.2">
      <c r="A3771"/>
    </row>
    <row r="3772" spans="1:1" x14ac:dyDescent="0.2">
      <c r="A3772"/>
    </row>
    <row r="3773" spans="1:1" x14ac:dyDescent="0.2">
      <c r="A3773"/>
    </row>
    <row r="3774" spans="1:1" x14ac:dyDescent="0.2">
      <c r="A3774"/>
    </row>
    <row r="3775" spans="1:1" x14ac:dyDescent="0.2">
      <c r="A3775"/>
    </row>
    <row r="3776" spans="1:1" x14ac:dyDescent="0.2">
      <c r="A3776"/>
    </row>
    <row r="3777" spans="1:1" x14ac:dyDescent="0.2">
      <c r="A3777"/>
    </row>
    <row r="3778" spans="1:1" x14ac:dyDescent="0.2">
      <c r="A3778"/>
    </row>
    <row r="3779" spans="1:1" x14ac:dyDescent="0.2">
      <c r="A3779"/>
    </row>
    <row r="3780" spans="1:1" x14ac:dyDescent="0.2">
      <c r="A3780"/>
    </row>
    <row r="3781" spans="1:1" x14ac:dyDescent="0.2">
      <c r="A3781"/>
    </row>
    <row r="3782" spans="1:1" x14ac:dyDescent="0.2">
      <c r="A3782"/>
    </row>
    <row r="3783" spans="1:1" x14ac:dyDescent="0.2">
      <c r="A3783"/>
    </row>
    <row r="3784" spans="1:1" x14ac:dyDescent="0.2">
      <c r="A3784"/>
    </row>
    <row r="3785" spans="1:1" x14ac:dyDescent="0.2">
      <c r="A3785"/>
    </row>
    <row r="3786" spans="1:1" x14ac:dyDescent="0.2">
      <c r="A3786"/>
    </row>
    <row r="3787" spans="1:1" x14ac:dyDescent="0.2">
      <c r="A3787"/>
    </row>
    <row r="3788" spans="1:1" x14ac:dyDescent="0.2">
      <c r="A3788"/>
    </row>
    <row r="3789" spans="1:1" x14ac:dyDescent="0.2">
      <c r="A3789"/>
    </row>
    <row r="3790" spans="1:1" x14ac:dyDescent="0.2">
      <c r="A3790"/>
    </row>
    <row r="3791" spans="1:1" x14ac:dyDescent="0.2">
      <c r="A3791"/>
    </row>
    <row r="3792" spans="1:1" x14ac:dyDescent="0.2">
      <c r="A3792"/>
    </row>
    <row r="3793" spans="1:1" x14ac:dyDescent="0.2">
      <c r="A3793"/>
    </row>
    <row r="3794" spans="1:1" x14ac:dyDescent="0.2">
      <c r="A3794"/>
    </row>
    <row r="3795" spans="1:1" x14ac:dyDescent="0.2">
      <c r="A3795"/>
    </row>
    <row r="3796" spans="1:1" x14ac:dyDescent="0.2">
      <c r="A3796"/>
    </row>
    <row r="3797" spans="1:1" x14ac:dyDescent="0.2">
      <c r="A3797"/>
    </row>
    <row r="3798" spans="1:1" x14ac:dyDescent="0.2">
      <c r="A3798"/>
    </row>
    <row r="3799" spans="1:1" x14ac:dyDescent="0.2">
      <c r="A3799"/>
    </row>
    <row r="3800" spans="1:1" x14ac:dyDescent="0.2">
      <c r="A3800"/>
    </row>
    <row r="3801" spans="1:1" x14ac:dyDescent="0.2">
      <c r="A3801"/>
    </row>
    <row r="3802" spans="1:1" x14ac:dyDescent="0.2">
      <c r="A3802"/>
    </row>
    <row r="3803" spans="1:1" x14ac:dyDescent="0.2">
      <c r="A3803"/>
    </row>
    <row r="3804" spans="1:1" x14ac:dyDescent="0.2">
      <c r="A3804"/>
    </row>
    <row r="3805" spans="1:1" x14ac:dyDescent="0.2">
      <c r="A3805"/>
    </row>
    <row r="3806" spans="1:1" x14ac:dyDescent="0.2">
      <c r="A3806"/>
    </row>
    <row r="3807" spans="1:1" x14ac:dyDescent="0.2">
      <c r="A3807"/>
    </row>
    <row r="3808" spans="1:1" x14ac:dyDescent="0.2">
      <c r="A3808"/>
    </row>
    <row r="3809" spans="1:1" x14ac:dyDescent="0.2">
      <c r="A3809"/>
    </row>
    <row r="3810" spans="1:1" x14ac:dyDescent="0.2">
      <c r="A3810"/>
    </row>
    <row r="3811" spans="1:1" x14ac:dyDescent="0.2">
      <c r="A3811"/>
    </row>
    <row r="3812" spans="1:1" x14ac:dyDescent="0.2">
      <c r="A3812"/>
    </row>
    <row r="3813" spans="1:1" x14ac:dyDescent="0.2">
      <c r="A3813"/>
    </row>
    <row r="3814" spans="1:1" x14ac:dyDescent="0.2">
      <c r="A3814"/>
    </row>
    <row r="3815" spans="1:1" x14ac:dyDescent="0.2">
      <c r="A3815"/>
    </row>
    <row r="3816" spans="1:1" x14ac:dyDescent="0.2">
      <c r="A3816"/>
    </row>
    <row r="3817" spans="1:1" x14ac:dyDescent="0.2">
      <c r="A3817"/>
    </row>
    <row r="3818" spans="1:1" x14ac:dyDescent="0.2">
      <c r="A3818"/>
    </row>
    <row r="3819" spans="1:1" x14ac:dyDescent="0.2">
      <c r="A3819"/>
    </row>
    <row r="3820" spans="1:1" x14ac:dyDescent="0.2">
      <c r="A3820"/>
    </row>
    <row r="3821" spans="1:1" x14ac:dyDescent="0.2">
      <c r="A3821"/>
    </row>
    <row r="3822" spans="1:1" x14ac:dyDescent="0.2">
      <c r="A3822"/>
    </row>
    <row r="3823" spans="1:1" x14ac:dyDescent="0.2">
      <c r="A3823"/>
    </row>
    <row r="3824" spans="1:1" x14ac:dyDescent="0.2">
      <c r="A3824"/>
    </row>
    <row r="3825" spans="1:1" x14ac:dyDescent="0.2">
      <c r="A3825"/>
    </row>
    <row r="3826" spans="1:1" x14ac:dyDescent="0.2">
      <c r="A3826"/>
    </row>
    <row r="3827" spans="1:1" x14ac:dyDescent="0.2">
      <c r="A3827"/>
    </row>
    <row r="3828" spans="1:1" x14ac:dyDescent="0.2">
      <c r="A3828"/>
    </row>
    <row r="3829" spans="1:1" x14ac:dyDescent="0.2">
      <c r="A3829"/>
    </row>
    <row r="3830" spans="1:1" x14ac:dyDescent="0.2">
      <c r="A3830"/>
    </row>
    <row r="3831" spans="1:1" x14ac:dyDescent="0.2">
      <c r="A3831"/>
    </row>
    <row r="3832" spans="1:1" x14ac:dyDescent="0.2">
      <c r="A3832"/>
    </row>
    <row r="3833" spans="1:1" x14ac:dyDescent="0.2">
      <c r="A3833"/>
    </row>
    <row r="3834" spans="1:1" x14ac:dyDescent="0.2">
      <c r="A3834"/>
    </row>
    <row r="3835" spans="1:1" x14ac:dyDescent="0.2">
      <c r="A3835"/>
    </row>
    <row r="3836" spans="1:1" x14ac:dyDescent="0.2">
      <c r="A3836"/>
    </row>
    <row r="3837" spans="1:1" x14ac:dyDescent="0.2">
      <c r="A3837"/>
    </row>
    <row r="3838" spans="1:1" x14ac:dyDescent="0.2">
      <c r="A3838"/>
    </row>
    <row r="3839" spans="1:1" x14ac:dyDescent="0.2">
      <c r="A3839"/>
    </row>
    <row r="3840" spans="1:1" x14ac:dyDescent="0.2">
      <c r="A3840"/>
    </row>
    <row r="3841" spans="1:1" x14ac:dyDescent="0.2">
      <c r="A3841"/>
    </row>
    <row r="3842" spans="1:1" x14ac:dyDescent="0.2">
      <c r="A3842"/>
    </row>
    <row r="3843" spans="1:1" x14ac:dyDescent="0.2">
      <c r="A3843"/>
    </row>
    <row r="3844" spans="1:1" x14ac:dyDescent="0.2">
      <c r="A3844"/>
    </row>
    <row r="3845" spans="1:1" x14ac:dyDescent="0.2">
      <c r="A3845"/>
    </row>
    <row r="3846" spans="1:1" x14ac:dyDescent="0.2">
      <c r="A3846"/>
    </row>
    <row r="3847" spans="1:1" x14ac:dyDescent="0.2">
      <c r="A3847"/>
    </row>
    <row r="3848" spans="1:1" x14ac:dyDescent="0.2">
      <c r="A3848"/>
    </row>
    <row r="3849" spans="1:1" x14ac:dyDescent="0.2">
      <c r="A3849"/>
    </row>
    <row r="3850" spans="1:1" x14ac:dyDescent="0.2">
      <c r="A3850"/>
    </row>
    <row r="3851" spans="1:1" x14ac:dyDescent="0.2">
      <c r="A3851"/>
    </row>
    <row r="3852" spans="1:1" x14ac:dyDescent="0.2">
      <c r="A3852"/>
    </row>
    <row r="3853" spans="1:1" x14ac:dyDescent="0.2">
      <c r="A3853"/>
    </row>
    <row r="3854" spans="1:1" x14ac:dyDescent="0.2">
      <c r="A3854"/>
    </row>
    <row r="3855" spans="1:1" x14ac:dyDescent="0.2">
      <c r="A3855"/>
    </row>
    <row r="3856" spans="1:1" x14ac:dyDescent="0.2">
      <c r="A3856"/>
    </row>
    <row r="3857" spans="1:1" x14ac:dyDescent="0.2">
      <c r="A3857"/>
    </row>
    <row r="3858" spans="1:1" x14ac:dyDescent="0.2">
      <c r="A3858"/>
    </row>
    <row r="3859" spans="1:1" x14ac:dyDescent="0.2">
      <c r="A3859"/>
    </row>
    <row r="3860" spans="1:1" x14ac:dyDescent="0.2">
      <c r="A3860"/>
    </row>
    <row r="3861" spans="1:1" x14ac:dyDescent="0.2">
      <c r="A3861"/>
    </row>
    <row r="3862" spans="1:1" x14ac:dyDescent="0.2">
      <c r="A3862"/>
    </row>
    <row r="3863" spans="1:1" x14ac:dyDescent="0.2">
      <c r="A3863"/>
    </row>
    <row r="3864" spans="1:1" x14ac:dyDescent="0.2">
      <c r="A3864"/>
    </row>
    <row r="3865" spans="1:1" x14ac:dyDescent="0.2">
      <c r="A3865"/>
    </row>
    <row r="3866" spans="1:1" x14ac:dyDescent="0.2">
      <c r="A3866"/>
    </row>
    <row r="3867" spans="1:1" x14ac:dyDescent="0.2">
      <c r="A3867"/>
    </row>
    <row r="3868" spans="1:1" x14ac:dyDescent="0.2">
      <c r="A3868"/>
    </row>
    <row r="3869" spans="1:1" x14ac:dyDescent="0.2">
      <c r="A3869"/>
    </row>
    <row r="3870" spans="1:1" x14ac:dyDescent="0.2">
      <c r="A3870"/>
    </row>
    <row r="3871" spans="1:1" x14ac:dyDescent="0.2">
      <c r="A3871"/>
    </row>
    <row r="3872" spans="1:1" x14ac:dyDescent="0.2">
      <c r="A3872"/>
    </row>
    <row r="3873" spans="1:1" x14ac:dyDescent="0.2">
      <c r="A3873"/>
    </row>
    <row r="3874" spans="1:1" x14ac:dyDescent="0.2">
      <c r="A3874"/>
    </row>
    <row r="3875" spans="1:1" x14ac:dyDescent="0.2">
      <c r="A3875"/>
    </row>
    <row r="3876" spans="1:1" x14ac:dyDescent="0.2">
      <c r="A3876"/>
    </row>
    <row r="3877" spans="1:1" x14ac:dyDescent="0.2">
      <c r="A3877"/>
    </row>
    <row r="3878" spans="1:1" x14ac:dyDescent="0.2">
      <c r="A3878"/>
    </row>
    <row r="3879" spans="1:1" x14ac:dyDescent="0.2">
      <c r="A3879"/>
    </row>
    <row r="3880" spans="1:1" x14ac:dyDescent="0.2">
      <c r="A3880"/>
    </row>
    <row r="3881" spans="1:1" x14ac:dyDescent="0.2">
      <c r="A3881"/>
    </row>
    <row r="3882" spans="1:1" x14ac:dyDescent="0.2">
      <c r="A3882"/>
    </row>
    <row r="3883" spans="1:1" x14ac:dyDescent="0.2">
      <c r="A3883"/>
    </row>
    <row r="3884" spans="1:1" x14ac:dyDescent="0.2">
      <c r="A3884"/>
    </row>
    <row r="3885" spans="1:1" x14ac:dyDescent="0.2">
      <c r="A3885"/>
    </row>
    <row r="3886" spans="1:1" x14ac:dyDescent="0.2">
      <c r="A3886"/>
    </row>
    <row r="3887" spans="1:1" x14ac:dyDescent="0.2">
      <c r="A3887"/>
    </row>
    <row r="3888" spans="1:1" x14ac:dyDescent="0.2">
      <c r="A3888"/>
    </row>
    <row r="3889" spans="1:1" x14ac:dyDescent="0.2">
      <c r="A3889"/>
    </row>
    <row r="3890" spans="1:1" x14ac:dyDescent="0.2">
      <c r="A3890"/>
    </row>
    <row r="3891" spans="1:1" x14ac:dyDescent="0.2">
      <c r="A3891"/>
    </row>
    <row r="3892" spans="1:1" x14ac:dyDescent="0.2">
      <c r="A3892"/>
    </row>
    <row r="3893" spans="1:1" x14ac:dyDescent="0.2">
      <c r="A3893"/>
    </row>
    <row r="3894" spans="1:1" x14ac:dyDescent="0.2">
      <c r="A3894"/>
    </row>
    <row r="3895" spans="1:1" x14ac:dyDescent="0.2">
      <c r="A3895"/>
    </row>
    <row r="3896" spans="1:1" x14ac:dyDescent="0.2">
      <c r="A3896"/>
    </row>
    <row r="3897" spans="1:1" x14ac:dyDescent="0.2">
      <c r="A3897"/>
    </row>
    <row r="3898" spans="1:1" x14ac:dyDescent="0.2">
      <c r="A3898"/>
    </row>
    <row r="3899" spans="1:1" x14ac:dyDescent="0.2">
      <c r="A3899"/>
    </row>
    <row r="3900" spans="1:1" x14ac:dyDescent="0.2">
      <c r="A3900"/>
    </row>
    <row r="3901" spans="1:1" x14ac:dyDescent="0.2">
      <c r="A3901"/>
    </row>
    <row r="3902" spans="1:1" x14ac:dyDescent="0.2">
      <c r="A3902"/>
    </row>
    <row r="3903" spans="1:1" x14ac:dyDescent="0.2">
      <c r="A3903"/>
    </row>
    <row r="3904" spans="1:1" x14ac:dyDescent="0.2">
      <c r="A3904"/>
    </row>
    <row r="3905" spans="1:1" x14ac:dyDescent="0.2">
      <c r="A3905"/>
    </row>
    <row r="3906" spans="1:1" x14ac:dyDescent="0.2">
      <c r="A3906"/>
    </row>
    <row r="3907" spans="1:1" x14ac:dyDescent="0.2">
      <c r="A3907"/>
    </row>
    <row r="3908" spans="1:1" x14ac:dyDescent="0.2">
      <c r="A3908"/>
    </row>
    <row r="3909" spans="1:1" x14ac:dyDescent="0.2">
      <c r="A3909"/>
    </row>
    <row r="3910" spans="1:1" x14ac:dyDescent="0.2">
      <c r="A3910"/>
    </row>
    <row r="3911" spans="1:1" x14ac:dyDescent="0.2">
      <c r="A3911"/>
    </row>
    <row r="3912" spans="1:1" x14ac:dyDescent="0.2">
      <c r="A3912"/>
    </row>
    <row r="3913" spans="1:1" x14ac:dyDescent="0.2">
      <c r="A3913"/>
    </row>
    <row r="3914" spans="1:1" x14ac:dyDescent="0.2">
      <c r="A3914"/>
    </row>
    <row r="3915" spans="1:1" x14ac:dyDescent="0.2">
      <c r="A3915"/>
    </row>
    <row r="3916" spans="1:1" x14ac:dyDescent="0.2">
      <c r="A3916"/>
    </row>
    <row r="3917" spans="1:1" x14ac:dyDescent="0.2">
      <c r="A3917"/>
    </row>
    <row r="3918" spans="1:1" x14ac:dyDescent="0.2">
      <c r="A3918"/>
    </row>
    <row r="3919" spans="1:1" x14ac:dyDescent="0.2">
      <c r="A3919"/>
    </row>
    <row r="3920" spans="1:1" x14ac:dyDescent="0.2">
      <c r="A3920"/>
    </row>
    <row r="3921" spans="1:1" x14ac:dyDescent="0.2">
      <c r="A3921"/>
    </row>
    <row r="3922" spans="1:1" x14ac:dyDescent="0.2">
      <c r="A3922"/>
    </row>
    <row r="3923" spans="1:1" x14ac:dyDescent="0.2">
      <c r="A3923"/>
    </row>
    <row r="3924" spans="1:1" x14ac:dyDescent="0.2">
      <c r="A3924"/>
    </row>
    <row r="3925" spans="1:1" x14ac:dyDescent="0.2">
      <c r="A3925"/>
    </row>
    <row r="3926" spans="1:1" x14ac:dyDescent="0.2">
      <c r="A3926"/>
    </row>
    <row r="3927" spans="1:1" x14ac:dyDescent="0.2">
      <c r="A3927"/>
    </row>
    <row r="3928" spans="1:1" x14ac:dyDescent="0.2">
      <c r="A3928"/>
    </row>
    <row r="3929" spans="1:1" x14ac:dyDescent="0.2">
      <c r="A3929"/>
    </row>
    <row r="3930" spans="1:1" x14ac:dyDescent="0.2">
      <c r="A3930"/>
    </row>
    <row r="3931" spans="1:1" x14ac:dyDescent="0.2">
      <c r="A3931"/>
    </row>
    <row r="3932" spans="1:1" x14ac:dyDescent="0.2">
      <c r="A3932"/>
    </row>
    <row r="3933" spans="1:1" x14ac:dyDescent="0.2">
      <c r="A3933"/>
    </row>
    <row r="3934" spans="1:1" x14ac:dyDescent="0.2">
      <c r="A3934"/>
    </row>
    <row r="3935" spans="1:1" x14ac:dyDescent="0.2">
      <c r="A3935"/>
    </row>
    <row r="3936" spans="1:1" x14ac:dyDescent="0.2">
      <c r="A3936"/>
    </row>
    <row r="3937" spans="1:1" x14ac:dyDescent="0.2">
      <c r="A3937"/>
    </row>
    <row r="3938" spans="1:1" x14ac:dyDescent="0.2">
      <c r="A3938"/>
    </row>
    <row r="3939" spans="1:1" x14ac:dyDescent="0.2">
      <c r="A3939"/>
    </row>
    <row r="3940" spans="1:1" x14ac:dyDescent="0.2">
      <c r="A3940"/>
    </row>
    <row r="3941" spans="1:1" x14ac:dyDescent="0.2">
      <c r="A3941"/>
    </row>
    <row r="3942" spans="1:1" x14ac:dyDescent="0.2">
      <c r="A3942"/>
    </row>
    <row r="3943" spans="1:1" x14ac:dyDescent="0.2">
      <c r="A3943"/>
    </row>
    <row r="3944" spans="1:1" x14ac:dyDescent="0.2">
      <c r="A3944"/>
    </row>
    <row r="3945" spans="1:1" x14ac:dyDescent="0.2">
      <c r="A3945"/>
    </row>
    <row r="3946" spans="1:1" x14ac:dyDescent="0.2">
      <c r="A3946"/>
    </row>
    <row r="3947" spans="1:1" x14ac:dyDescent="0.2">
      <c r="A3947"/>
    </row>
    <row r="3948" spans="1:1" x14ac:dyDescent="0.2">
      <c r="A3948"/>
    </row>
    <row r="3949" spans="1:1" x14ac:dyDescent="0.2">
      <c r="A3949"/>
    </row>
    <row r="3950" spans="1:1" x14ac:dyDescent="0.2">
      <c r="A3950"/>
    </row>
    <row r="3951" spans="1:1" x14ac:dyDescent="0.2">
      <c r="A3951"/>
    </row>
    <row r="3952" spans="1:1" x14ac:dyDescent="0.2">
      <c r="A3952"/>
    </row>
    <row r="3953" spans="1:1" x14ac:dyDescent="0.2">
      <c r="A3953"/>
    </row>
    <row r="3954" spans="1:1" x14ac:dyDescent="0.2">
      <c r="A3954"/>
    </row>
    <row r="3955" spans="1:1" x14ac:dyDescent="0.2">
      <c r="A3955"/>
    </row>
    <row r="3956" spans="1:1" x14ac:dyDescent="0.2">
      <c r="A3956"/>
    </row>
    <row r="3957" spans="1:1" x14ac:dyDescent="0.2">
      <c r="A3957"/>
    </row>
    <row r="3958" spans="1:1" x14ac:dyDescent="0.2">
      <c r="A3958"/>
    </row>
    <row r="3959" spans="1:1" x14ac:dyDescent="0.2">
      <c r="A3959"/>
    </row>
    <row r="3960" spans="1:1" x14ac:dyDescent="0.2">
      <c r="A3960"/>
    </row>
    <row r="3961" spans="1:1" x14ac:dyDescent="0.2">
      <c r="A3961"/>
    </row>
    <row r="3962" spans="1:1" x14ac:dyDescent="0.2">
      <c r="A3962"/>
    </row>
    <row r="3963" spans="1:1" x14ac:dyDescent="0.2">
      <c r="A3963"/>
    </row>
    <row r="3964" spans="1:1" x14ac:dyDescent="0.2">
      <c r="A3964"/>
    </row>
    <row r="3965" spans="1:1" x14ac:dyDescent="0.2">
      <c r="A3965"/>
    </row>
    <row r="3966" spans="1:1" x14ac:dyDescent="0.2">
      <c r="A3966"/>
    </row>
    <row r="3967" spans="1:1" x14ac:dyDescent="0.2">
      <c r="A3967"/>
    </row>
    <row r="3968" spans="1:1" x14ac:dyDescent="0.2">
      <c r="A3968"/>
    </row>
    <row r="3969" spans="1:1" x14ac:dyDescent="0.2">
      <c r="A3969"/>
    </row>
    <row r="3970" spans="1:1" x14ac:dyDescent="0.2">
      <c r="A3970"/>
    </row>
    <row r="3971" spans="1:1" x14ac:dyDescent="0.2">
      <c r="A3971"/>
    </row>
    <row r="3972" spans="1:1" x14ac:dyDescent="0.2">
      <c r="A3972"/>
    </row>
    <row r="3973" spans="1:1" x14ac:dyDescent="0.2">
      <c r="A3973"/>
    </row>
    <row r="3974" spans="1:1" x14ac:dyDescent="0.2">
      <c r="A3974"/>
    </row>
    <row r="3975" spans="1:1" x14ac:dyDescent="0.2">
      <c r="A3975"/>
    </row>
    <row r="3976" spans="1:1" x14ac:dyDescent="0.2">
      <c r="A3976"/>
    </row>
    <row r="3977" spans="1:1" x14ac:dyDescent="0.2">
      <c r="A3977"/>
    </row>
    <row r="3978" spans="1:1" x14ac:dyDescent="0.2">
      <c r="A3978"/>
    </row>
    <row r="3979" spans="1:1" x14ac:dyDescent="0.2">
      <c r="A3979"/>
    </row>
    <row r="3980" spans="1:1" x14ac:dyDescent="0.2">
      <c r="A3980"/>
    </row>
    <row r="3981" spans="1:1" x14ac:dyDescent="0.2">
      <c r="A3981"/>
    </row>
    <row r="3982" spans="1:1" x14ac:dyDescent="0.2">
      <c r="A3982"/>
    </row>
    <row r="3983" spans="1:1" x14ac:dyDescent="0.2">
      <c r="A3983"/>
    </row>
    <row r="3984" spans="1:1" x14ac:dyDescent="0.2">
      <c r="A3984"/>
    </row>
    <row r="3985" spans="1:1" x14ac:dyDescent="0.2">
      <c r="A3985"/>
    </row>
    <row r="3986" spans="1:1" x14ac:dyDescent="0.2">
      <c r="A3986"/>
    </row>
    <row r="3987" spans="1:1" x14ac:dyDescent="0.2">
      <c r="A3987"/>
    </row>
    <row r="3988" spans="1:1" x14ac:dyDescent="0.2">
      <c r="A3988"/>
    </row>
    <row r="3989" spans="1:1" x14ac:dyDescent="0.2">
      <c r="A3989"/>
    </row>
    <row r="3990" spans="1:1" x14ac:dyDescent="0.2">
      <c r="A3990"/>
    </row>
    <row r="3991" spans="1:1" x14ac:dyDescent="0.2">
      <c r="A3991"/>
    </row>
    <row r="3992" spans="1:1" x14ac:dyDescent="0.2">
      <c r="A3992"/>
    </row>
    <row r="3993" spans="1:1" x14ac:dyDescent="0.2">
      <c r="A3993"/>
    </row>
    <row r="3994" spans="1:1" x14ac:dyDescent="0.2">
      <c r="A3994"/>
    </row>
    <row r="3995" spans="1:1" x14ac:dyDescent="0.2">
      <c r="A3995"/>
    </row>
    <row r="3996" spans="1:1" x14ac:dyDescent="0.2">
      <c r="A3996"/>
    </row>
    <row r="3997" spans="1:1" x14ac:dyDescent="0.2">
      <c r="A3997"/>
    </row>
    <row r="3998" spans="1:1" x14ac:dyDescent="0.2">
      <c r="A3998"/>
    </row>
    <row r="3999" spans="1:1" x14ac:dyDescent="0.2">
      <c r="A3999"/>
    </row>
    <row r="4000" spans="1:1" x14ac:dyDescent="0.2">
      <c r="A4000"/>
    </row>
    <row r="4001" spans="1:1" x14ac:dyDescent="0.2">
      <c r="A4001"/>
    </row>
    <row r="4002" spans="1:1" x14ac:dyDescent="0.2">
      <c r="A4002"/>
    </row>
    <row r="4003" spans="1:1" x14ac:dyDescent="0.2">
      <c r="A4003"/>
    </row>
    <row r="4004" spans="1:1" x14ac:dyDescent="0.2">
      <c r="A4004"/>
    </row>
    <row r="4005" spans="1:1" x14ac:dyDescent="0.2">
      <c r="A4005"/>
    </row>
    <row r="4006" spans="1:1" x14ac:dyDescent="0.2">
      <c r="A4006"/>
    </row>
    <row r="4007" spans="1:1" x14ac:dyDescent="0.2">
      <c r="A4007"/>
    </row>
    <row r="4008" spans="1:1" x14ac:dyDescent="0.2">
      <c r="A4008"/>
    </row>
    <row r="4009" spans="1:1" x14ac:dyDescent="0.2">
      <c r="A4009"/>
    </row>
    <row r="4010" spans="1:1" x14ac:dyDescent="0.2">
      <c r="A4010"/>
    </row>
    <row r="4011" spans="1:1" x14ac:dyDescent="0.2">
      <c r="A4011"/>
    </row>
    <row r="4012" spans="1:1" x14ac:dyDescent="0.2">
      <c r="A4012"/>
    </row>
    <row r="4013" spans="1:1" x14ac:dyDescent="0.2">
      <c r="A4013"/>
    </row>
    <row r="4014" spans="1:1" x14ac:dyDescent="0.2">
      <c r="A4014"/>
    </row>
    <row r="4015" spans="1:1" x14ac:dyDescent="0.2">
      <c r="A4015"/>
    </row>
    <row r="4016" spans="1:1" x14ac:dyDescent="0.2">
      <c r="A4016"/>
    </row>
    <row r="4017" spans="1:1" x14ac:dyDescent="0.2">
      <c r="A4017"/>
    </row>
    <row r="4018" spans="1:1" x14ac:dyDescent="0.2">
      <c r="A4018"/>
    </row>
    <row r="4019" spans="1:1" x14ac:dyDescent="0.2">
      <c r="A4019"/>
    </row>
    <row r="4020" spans="1:1" x14ac:dyDescent="0.2">
      <c r="A4020"/>
    </row>
    <row r="4021" spans="1:1" x14ac:dyDescent="0.2">
      <c r="A4021"/>
    </row>
    <row r="4022" spans="1:1" x14ac:dyDescent="0.2">
      <c r="A4022"/>
    </row>
    <row r="4023" spans="1:1" x14ac:dyDescent="0.2">
      <c r="A4023"/>
    </row>
    <row r="4024" spans="1:1" x14ac:dyDescent="0.2">
      <c r="A4024"/>
    </row>
    <row r="4025" spans="1:1" x14ac:dyDescent="0.2">
      <c r="A4025"/>
    </row>
    <row r="4026" spans="1:1" x14ac:dyDescent="0.2">
      <c r="A4026"/>
    </row>
    <row r="4027" spans="1:1" x14ac:dyDescent="0.2">
      <c r="A4027"/>
    </row>
    <row r="4028" spans="1:1" x14ac:dyDescent="0.2">
      <c r="A4028"/>
    </row>
    <row r="4029" spans="1:1" x14ac:dyDescent="0.2">
      <c r="A4029"/>
    </row>
    <row r="4030" spans="1:1" x14ac:dyDescent="0.2">
      <c r="A4030"/>
    </row>
    <row r="4031" spans="1:1" x14ac:dyDescent="0.2">
      <c r="A4031"/>
    </row>
    <row r="4032" spans="1:1" x14ac:dyDescent="0.2">
      <c r="A4032"/>
    </row>
    <row r="4033" spans="1:1" x14ac:dyDescent="0.2">
      <c r="A4033"/>
    </row>
    <row r="4034" spans="1:1" x14ac:dyDescent="0.2">
      <c r="A4034"/>
    </row>
    <row r="4035" spans="1:1" x14ac:dyDescent="0.2">
      <c r="A4035"/>
    </row>
    <row r="4036" spans="1:1" x14ac:dyDescent="0.2">
      <c r="A4036"/>
    </row>
    <row r="4037" spans="1:1" x14ac:dyDescent="0.2">
      <c r="A4037"/>
    </row>
    <row r="4038" spans="1:1" x14ac:dyDescent="0.2">
      <c r="A4038"/>
    </row>
    <row r="4039" spans="1:1" x14ac:dyDescent="0.2">
      <c r="A4039"/>
    </row>
    <row r="4040" spans="1:1" x14ac:dyDescent="0.2">
      <c r="A4040"/>
    </row>
    <row r="4041" spans="1:1" x14ac:dyDescent="0.2">
      <c r="A4041"/>
    </row>
    <row r="4042" spans="1:1" x14ac:dyDescent="0.2">
      <c r="A4042"/>
    </row>
    <row r="4043" spans="1:1" x14ac:dyDescent="0.2">
      <c r="A4043"/>
    </row>
    <row r="4044" spans="1:1" x14ac:dyDescent="0.2">
      <c r="A4044"/>
    </row>
    <row r="4045" spans="1:1" x14ac:dyDescent="0.2">
      <c r="A4045"/>
    </row>
    <row r="4046" spans="1:1" x14ac:dyDescent="0.2">
      <c r="A4046"/>
    </row>
    <row r="4047" spans="1:1" x14ac:dyDescent="0.2">
      <c r="A4047"/>
    </row>
    <row r="4048" spans="1:1" x14ac:dyDescent="0.2">
      <c r="A4048"/>
    </row>
    <row r="4049" spans="1:1" x14ac:dyDescent="0.2">
      <c r="A4049"/>
    </row>
    <row r="4050" spans="1:1" x14ac:dyDescent="0.2">
      <c r="A4050"/>
    </row>
    <row r="4051" spans="1:1" x14ac:dyDescent="0.2">
      <c r="A4051"/>
    </row>
    <row r="4052" spans="1:1" x14ac:dyDescent="0.2">
      <c r="A4052"/>
    </row>
    <row r="4053" spans="1:1" x14ac:dyDescent="0.2">
      <c r="A4053"/>
    </row>
    <row r="4054" spans="1:1" x14ac:dyDescent="0.2">
      <c r="A4054"/>
    </row>
    <row r="4055" spans="1:1" x14ac:dyDescent="0.2">
      <c r="A4055"/>
    </row>
    <row r="4056" spans="1:1" x14ac:dyDescent="0.2">
      <c r="A4056"/>
    </row>
    <row r="4057" spans="1:1" x14ac:dyDescent="0.2">
      <c r="A4057"/>
    </row>
    <row r="4058" spans="1:1" x14ac:dyDescent="0.2">
      <c r="A4058"/>
    </row>
    <row r="4059" spans="1:1" x14ac:dyDescent="0.2">
      <c r="A4059"/>
    </row>
    <row r="4060" spans="1:1" x14ac:dyDescent="0.2">
      <c r="A4060"/>
    </row>
    <row r="4061" spans="1:1" x14ac:dyDescent="0.2">
      <c r="A4061"/>
    </row>
    <row r="4062" spans="1:1" x14ac:dyDescent="0.2">
      <c r="A4062"/>
    </row>
    <row r="4063" spans="1:1" x14ac:dyDescent="0.2">
      <c r="A4063"/>
    </row>
    <row r="4064" spans="1:1" x14ac:dyDescent="0.2">
      <c r="A4064"/>
    </row>
    <row r="4065" spans="1:1" x14ac:dyDescent="0.2">
      <c r="A4065"/>
    </row>
    <row r="4066" spans="1:1" x14ac:dyDescent="0.2">
      <c r="A4066"/>
    </row>
    <row r="4067" spans="1:1" x14ac:dyDescent="0.2">
      <c r="A4067"/>
    </row>
    <row r="4068" spans="1:1" x14ac:dyDescent="0.2">
      <c r="A4068"/>
    </row>
    <row r="4069" spans="1:1" x14ac:dyDescent="0.2">
      <c r="A4069"/>
    </row>
    <row r="4070" spans="1:1" x14ac:dyDescent="0.2">
      <c r="A4070"/>
    </row>
    <row r="4071" spans="1:1" x14ac:dyDescent="0.2">
      <c r="A4071"/>
    </row>
    <row r="4072" spans="1:1" x14ac:dyDescent="0.2">
      <c r="A4072"/>
    </row>
    <row r="4073" spans="1:1" x14ac:dyDescent="0.2">
      <c r="A4073"/>
    </row>
    <row r="4074" spans="1:1" x14ac:dyDescent="0.2">
      <c r="A4074"/>
    </row>
    <row r="4075" spans="1:1" x14ac:dyDescent="0.2">
      <c r="A4075"/>
    </row>
    <row r="4076" spans="1:1" x14ac:dyDescent="0.2">
      <c r="A4076"/>
    </row>
    <row r="4077" spans="1:1" x14ac:dyDescent="0.2">
      <c r="A4077"/>
    </row>
    <row r="4078" spans="1:1" x14ac:dyDescent="0.2">
      <c r="A4078"/>
    </row>
    <row r="4079" spans="1:1" x14ac:dyDescent="0.2">
      <c r="A4079"/>
    </row>
    <row r="4080" spans="1:1" x14ac:dyDescent="0.2">
      <c r="A4080"/>
    </row>
    <row r="4081" spans="1:1" x14ac:dyDescent="0.2">
      <c r="A4081"/>
    </row>
    <row r="4082" spans="1:1" x14ac:dyDescent="0.2">
      <c r="A4082"/>
    </row>
    <row r="4083" spans="1:1" x14ac:dyDescent="0.2">
      <c r="A4083"/>
    </row>
    <row r="4084" spans="1:1" x14ac:dyDescent="0.2">
      <c r="A4084"/>
    </row>
    <row r="4085" spans="1:1" x14ac:dyDescent="0.2">
      <c r="A4085"/>
    </row>
    <row r="4086" spans="1:1" x14ac:dyDescent="0.2">
      <c r="A4086"/>
    </row>
    <row r="4087" spans="1:1" x14ac:dyDescent="0.2">
      <c r="A4087"/>
    </row>
    <row r="4088" spans="1:1" x14ac:dyDescent="0.2">
      <c r="A4088"/>
    </row>
    <row r="4089" spans="1:1" x14ac:dyDescent="0.2">
      <c r="A4089"/>
    </row>
    <row r="4090" spans="1:1" x14ac:dyDescent="0.2">
      <c r="A4090"/>
    </row>
    <row r="4091" spans="1:1" x14ac:dyDescent="0.2">
      <c r="A4091"/>
    </row>
    <row r="4092" spans="1:1" x14ac:dyDescent="0.2">
      <c r="A4092"/>
    </row>
    <row r="4093" spans="1:1" x14ac:dyDescent="0.2">
      <c r="A4093"/>
    </row>
    <row r="4094" spans="1:1" x14ac:dyDescent="0.2">
      <c r="A4094"/>
    </row>
    <row r="4095" spans="1:1" x14ac:dyDescent="0.2">
      <c r="A4095"/>
    </row>
    <row r="4096" spans="1:1" x14ac:dyDescent="0.2">
      <c r="A4096"/>
    </row>
    <row r="4097" spans="1:1" x14ac:dyDescent="0.2">
      <c r="A4097"/>
    </row>
    <row r="4098" spans="1:1" x14ac:dyDescent="0.2">
      <c r="A4098"/>
    </row>
    <row r="4099" spans="1:1" x14ac:dyDescent="0.2">
      <c r="A4099"/>
    </row>
    <row r="4100" spans="1:1" x14ac:dyDescent="0.2">
      <c r="A4100"/>
    </row>
    <row r="4101" spans="1:1" x14ac:dyDescent="0.2">
      <c r="A4101"/>
    </row>
    <row r="4102" spans="1:1" x14ac:dyDescent="0.2">
      <c r="A4102"/>
    </row>
    <row r="4103" spans="1:1" x14ac:dyDescent="0.2">
      <c r="A4103"/>
    </row>
    <row r="4104" spans="1:1" x14ac:dyDescent="0.2">
      <c r="A4104"/>
    </row>
    <row r="4105" spans="1:1" x14ac:dyDescent="0.2">
      <c r="A4105"/>
    </row>
    <row r="4106" spans="1:1" x14ac:dyDescent="0.2">
      <c r="A4106"/>
    </row>
    <row r="4107" spans="1:1" x14ac:dyDescent="0.2">
      <c r="A4107"/>
    </row>
    <row r="4108" spans="1:1" x14ac:dyDescent="0.2">
      <c r="A4108"/>
    </row>
    <row r="4109" spans="1:1" x14ac:dyDescent="0.2">
      <c r="A4109"/>
    </row>
    <row r="4110" spans="1:1" x14ac:dyDescent="0.2">
      <c r="A4110"/>
    </row>
    <row r="4111" spans="1:1" x14ac:dyDescent="0.2">
      <c r="A4111"/>
    </row>
    <row r="4112" spans="1:1" x14ac:dyDescent="0.2">
      <c r="A4112"/>
    </row>
    <row r="4113" spans="1:1" x14ac:dyDescent="0.2">
      <c r="A4113"/>
    </row>
    <row r="4114" spans="1:1" x14ac:dyDescent="0.2">
      <c r="A4114"/>
    </row>
    <row r="4115" spans="1:1" x14ac:dyDescent="0.2">
      <c r="A4115"/>
    </row>
    <row r="4116" spans="1:1" x14ac:dyDescent="0.2">
      <c r="A4116"/>
    </row>
    <row r="4117" spans="1:1" x14ac:dyDescent="0.2">
      <c r="A4117"/>
    </row>
    <row r="4118" spans="1:1" x14ac:dyDescent="0.2">
      <c r="A4118"/>
    </row>
    <row r="4119" spans="1:1" x14ac:dyDescent="0.2">
      <c r="A4119"/>
    </row>
    <row r="4120" spans="1:1" x14ac:dyDescent="0.2">
      <c r="A4120"/>
    </row>
    <row r="4121" spans="1:1" x14ac:dyDescent="0.2">
      <c r="A4121"/>
    </row>
    <row r="4122" spans="1:1" x14ac:dyDescent="0.2">
      <c r="A4122"/>
    </row>
    <row r="4123" spans="1:1" x14ac:dyDescent="0.2">
      <c r="A4123"/>
    </row>
    <row r="4124" spans="1:1" x14ac:dyDescent="0.2">
      <c r="A4124"/>
    </row>
    <row r="4125" spans="1:1" x14ac:dyDescent="0.2">
      <c r="A4125"/>
    </row>
    <row r="4126" spans="1:1" x14ac:dyDescent="0.2">
      <c r="A4126"/>
    </row>
    <row r="4127" spans="1:1" x14ac:dyDescent="0.2">
      <c r="A4127"/>
    </row>
    <row r="4128" spans="1:1" x14ac:dyDescent="0.2">
      <c r="A4128"/>
    </row>
    <row r="4129" spans="1:1" x14ac:dyDescent="0.2">
      <c r="A4129"/>
    </row>
    <row r="4130" spans="1:1" x14ac:dyDescent="0.2">
      <c r="A4130"/>
    </row>
    <row r="4131" spans="1:1" x14ac:dyDescent="0.2">
      <c r="A4131"/>
    </row>
    <row r="4132" spans="1:1" x14ac:dyDescent="0.2">
      <c r="A4132"/>
    </row>
    <row r="4133" spans="1:1" x14ac:dyDescent="0.2">
      <c r="A4133"/>
    </row>
    <row r="4134" spans="1:1" x14ac:dyDescent="0.2">
      <c r="A4134"/>
    </row>
    <row r="4135" spans="1:1" x14ac:dyDescent="0.2">
      <c r="A4135"/>
    </row>
    <row r="4136" spans="1:1" x14ac:dyDescent="0.2">
      <c r="A4136"/>
    </row>
    <row r="4137" spans="1:1" x14ac:dyDescent="0.2">
      <c r="A4137"/>
    </row>
    <row r="4138" spans="1:1" x14ac:dyDescent="0.2">
      <c r="A4138"/>
    </row>
    <row r="4139" spans="1:1" x14ac:dyDescent="0.2">
      <c r="A4139"/>
    </row>
    <row r="4140" spans="1:1" x14ac:dyDescent="0.2">
      <c r="A4140"/>
    </row>
    <row r="4141" spans="1:1" x14ac:dyDescent="0.2">
      <c r="A4141"/>
    </row>
    <row r="4142" spans="1:1" x14ac:dyDescent="0.2">
      <c r="A4142"/>
    </row>
    <row r="4143" spans="1:1" x14ac:dyDescent="0.2">
      <c r="A4143"/>
    </row>
    <row r="4144" spans="1:1" x14ac:dyDescent="0.2">
      <c r="A4144"/>
    </row>
    <row r="4145" spans="1:1" x14ac:dyDescent="0.2">
      <c r="A4145"/>
    </row>
    <row r="4146" spans="1:1" x14ac:dyDescent="0.2">
      <c r="A4146"/>
    </row>
    <row r="4147" spans="1:1" x14ac:dyDescent="0.2">
      <c r="A4147"/>
    </row>
    <row r="4148" spans="1:1" x14ac:dyDescent="0.2">
      <c r="A4148"/>
    </row>
    <row r="4149" spans="1:1" x14ac:dyDescent="0.2">
      <c r="A4149"/>
    </row>
    <row r="4150" spans="1:1" x14ac:dyDescent="0.2">
      <c r="A4150"/>
    </row>
    <row r="4151" spans="1:1" x14ac:dyDescent="0.2">
      <c r="A4151"/>
    </row>
    <row r="4152" spans="1:1" x14ac:dyDescent="0.2">
      <c r="A4152"/>
    </row>
    <row r="4153" spans="1:1" x14ac:dyDescent="0.2">
      <c r="A4153"/>
    </row>
    <row r="4154" spans="1:1" x14ac:dyDescent="0.2">
      <c r="A4154"/>
    </row>
    <row r="4155" spans="1:1" x14ac:dyDescent="0.2">
      <c r="A4155"/>
    </row>
    <row r="4156" spans="1:1" x14ac:dyDescent="0.2">
      <c r="A4156"/>
    </row>
    <row r="4157" spans="1:1" x14ac:dyDescent="0.2">
      <c r="A4157"/>
    </row>
    <row r="4158" spans="1:1" x14ac:dyDescent="0.2">
      <c r="A4158"/>
    </row>
    <row r="4159" spans="1:1" x14ac:dyDescent="0.2">
      <c r="A4159"/>
    </row>
    <row r="4160" spans="1:1" x14ac:dyDescent="0.2">
      <c r="A4160"/>
    </row>
    <row r="4161" spans="1:1" x14ac:dyDescent="0.2">
      <c r="A4161"/>
    </row>
    <row r="4162" spans="1:1" x14ac:dyDescent="0.2">
      <c r="A4162"/>
    </row>
    <row r="4163" spans="1:1" x14ac:dyDescent="0.2">
      <c r="A4163"/>
    </row>
    <row r="4164" spans="1:1" x14ac:dyDescent="0.2">
      <c r="A4164"/>
    </row>
    <row r="4165" spans="1:1" x14ac:dyDescent="0.2">
      <c r="A4165"/>
    </row>
    <row r="4166" spans="1:1" x14ac:dyDescent="0.2">
      <c r="A4166"/>
    </row>
    <row r="4167" spans="1:1" x14ac:dyDescent="0.2">
      <c r="A4167"/>
    </row>
    <row r="4168" spans="1:1" x14ac:dyDescent="0.2">
      <c r="A4168"/>
    </row>
    <row r="4169" spans="1:1" x14ac:dyDescent="0.2">
      <c r="A4169"/>
    </row>
    <row r="4170" spans="1:1" x14ac:dyDescent="0.2">
      <c r="A4170"/>
    </row>
    <row r="4171" spans="1:1" x14ac:dyDescent="0.2">
      <c r="A4171"/>
    </row>
    <row r="4172" spans="1:1" x14ac:dyDescent="0.2">
      <c r="A4172"/>
    </row>
    <row r="4173" spans="1:1" x14ac:dyDescent="0.2">
      <c r="A4173"/>
    </row>
    <row r="4174" spans="1:1" x14ac:dyDescent="0.2">
      <c r="A4174"/>
    </row>
    <row r="4175" spans="1:1" x14ac:dyDescent="0.2">
      <c r="A4175"/>
    </row>
    <row r="4176" spans="1:1" x14ac:dyDescent="0.2">
      <c r="A4176"/>
    </row>
    <row r="4177" spans="1:1" x14ac:dyDescent="0.2">
      <c r="A4177"/>
    </row>
    <row r="4178" spans="1:1" x14ac:dyDescent="0.2">
      <c r="A4178"/>
    </row>
    <row r="4179" spans="1:1" x14ac:dyDescent="0.2">
      <c r="A4179"/>
    </row>
    <row r="4180" spans="1:1" x14ac:dyDescent="0.2">
      <c r="A4180"/>
    </row>
    <row r="4181" spans="1:1" x14ac:dyDescent="0.2">
      <c r="A4181"/>
    </row>
    <row r="4182" spans="1:1" x14ac:dyDescent="0.2">
      <c r="A4182"/>
    </row>
    <row r="4183" spans="1:1" x14ac:dyDescent="0.2">
      <c r="A4183"/>
    </row>
    <row r="4184" spans="1:1" x14ac:dyDescent="0.2">
      <c r="A4184"/>
    </row>
    <row r="4185" spans="1:1" x14ac:dyDescent="0.2">
      <c r="A4185"/>
    </row>
    <row r="4186" spans="1:1" x14ac:dyDescent="0.2">
      <c r="A4186"/>
    </row>
    <row r="4187" spans="1:1" x14ac:dyDescent="0.2">
      <c r="A4187"/>
    </row>
    <row r="4188" spans="1:1" x14ac:dyDescent="0.2">
      <c r="A4188"/>
    </row>
    <row r="4189" spans="1:1" x14ac:dyDescent="0.2">
      <c r="A4189"/>
    </row>
    <row r="4190" spans="1:1" x14ac:dyDescent="0.2">
      <c r="A4190"/>
    </row>
    <row r="4191" spans="1:1" x14ac:dyDescent="0.2">
      <c r="A4191"/>
    </row>
    <row r="4192" spans="1:1" x14ac:dyDescent="0.2">
      <c r="A4192"/>
    </row>
    <row r="4193" spans="1:1" x14ac:dyDescent="0.2">
      <c r="A4193"/>
    </row>
    <row r="4194" spans="1:1" x14ac:dyDescent="0.2">
      <c r="A4194"/>
    </row>
    <row r="4195" spans="1:1" x14ac:dyDescent="0.2">
      <c r="A4195"/>
    </row>
    <row r="4196" spans="1:1" x14ac:dyDescent="0.2">
      <c r="A4196"/>
    </row>
    <row r="4197" spans="1:1" x14ac:dyDescent="0.2">
      <c r="A4197"/>
    </row>
    <row r="4198" spans="1:1" x14ac:dyDescent="0.2">
      <c r="A4198"/>
    </row>
    <row r="4199" spans="1:1" x14ac:dyDescent="0.2">
      <c r="A4199"/>
    </row>
    <row r="4200" spans="1:1" x14ac:dyDescent="0.2">
      <c r="A4200"/>
    </row>
    <row r="4201" spans="1:1" x14ac:dyDescent="0.2">
      <c r="A4201"/>
    </row>
    <row r="4202" spans="1:1" x14ac:dyDescent="0.2">
      <c r="A4202"/>
    </row>
    <row r="4203" spans="1:1" x14ac:dyDescent="0.2">
      <c r="A4203"/>
    </row>
    <row r="4204" spans="1:1" x14ac:dyDescent="0.2">
      <c r="A4204"/>
    </row>
    <row r="4205" spans="1:1" x14ac:dyDescent="0.2">
      <c r="A4205"/>
    </row>
    <row r="4206" spans="1:1" x14ac:dyDescent="0.2">
      <c r="A4206"/>
    </row>
    <row r="4207" spans="1:1" x14ac:dyDescent="0.2">
      <c r="A4207"/>
    </row>
    <row r="4208" spans="1:1" x14ac:dyDescent="0.2">
      <c r="A4208"/>
    </row>
    <row r="4209" spans="1:1" x14ac:dyDescent="0.2">
      <c r="A4209"/>
    </row>
    <row r="4210" spans="1:1" x14ac:dyDescent="0.2">
      <c r="A4210"/>
    </row>
    <row r="4211" spans="1:1" x14ac:dyDescent="0.2">
      <c r="A4211"/>
    </row>
    <row r="4212" spans="1:1" x14ac:dyDescent="0.2">
      <c r="A4212"/>
    </row>
    <row r="4213" spans="1:1" x14ac:dyDescent="0.2">
      <c r="A4213"/>
    </row>
    <row r="4214" spans="1:1" x14ac:dyDescent="0.2">
      <c r="A4214"/>
    </row>
    <row r="4215" spans="1:1" x14ac:dyDescent="0.2">
      <c r="A4215"/>
    </row>
    <row r="4216" spans="1:1" x14ac:dyDescent="0.2">
      <c r="A4216"/>
    </row>
    <row r="4217" spans="1:1" x14ac:dyDescent="0.2">
      <c r="A4217"/>
    </row>
    <row r="4218" spans="1:1" x14ac:dyDescent="0.2">
      <c r="A4218"/>
    </row>
    <row r="4219" spans="1:1" x14ac:dyDescent="0.2">
      <c r="A4219"/>
    </row>
    <row r="4220" spans="1:1" x14ac:dyDescent="0.2">
      <c r="A4220"/>
    </row>
    <row r="4221" spans="1:1" x14ac:dyDescent="0.2">
      <c r="A4221"/>
    </row>
    <row r="4222" spans="1:1" x14ac:dyDescent="0.2">
      <c r="A4222"/>
    </row>
    <row r="4223" spans="1:1" x14ac:dyDescent="0.2">
      <c r="A4223"/>
    </row>
    <row r="4224" spans="1:1" x14ac:dyDescent="0.2">
      <c r="A4224"/>
    </row>
    <row r="4225" spans="1:1" x14ac:dyDescent="0.2">
      <c r="A4225"/>
    </row>
    <row r="4226" spans="1:1" x14ac:dyDescent="0.2">
      <c r="A4226"/>
    </row>
    <row r="4227" spans="1:1" x14ac:dyDescent="0.2">
      <c r="A4227"/>
    </row>
    <row r="4228" spans="1:1" x14ac:dyDescent="0.2">
      <c r="A4228"/>
    </row>
    <row r="4229" spans="1:1" x14ac:dyDescent="0.2">
      <c r="A4229"/>
    </row>
    <row r="4230" spans="1:1" x14ac:dyDescent="0.2">
      <c r="A4230"/>
    </row>
    <row r="4231" spans="1:1" x14ac:dyDescent="0.2">
      <c r="A4231"/>
    </row>
    <row r="4232" spans="1:1" x14ac:dyDescent="0.2">
      <c r="A4232"/>
    </row>
    <row r="4233" spans="1:1" x14ac:dyDescent="0.2">
      <c r="A4233"/>
    </row>
    <row r="4234" spans="1:1" x14ac:dyDescent="0.2">
      <c r="A4234"/>
    </row>
    <row r="4235" spans="1:1" x14ac:dyDescent="0.2">
      <c r="A4235"/>
    </row>
    <row r="4236" spans="1:1" x14ac:dyDescent="0.2">
      <c r="A4236"/>
    </row>
    <row r="4237" spans="1:1" x14ac:dyDescent="0.2">
      <c r="A4237"/>
    </row>
    <row r="4238" spans="1:1" x14ac:dyDescent="0.2">
      <c r="A4238"/>
    </row>
    <row r="4239" spans="1:1" x14ac:dyDescent="0.2">
      <c r="A4239"/>
    </row>
    <row r="4240" spans="1:1" x14ac:dyDescent="0.2">
      <c r="A4240"/>
    </row>
    <row r="4241" spans="1:1" x14ac:dyDescent="0.2">
      <c r="A4241"/>
    </row>
    <row r="4242" spans="1:1" x14ac:dyDescent="0.2">
      <c r="A4242"/>
    </row>
    <row r="4243" spans="1:1" x14ac:dyDescent="0.2">
      <c r="A4243"/>
    </row>
    <row r="4244" spans="1:1" x14ac:dyDescent="0.2">
      <c r="A4244"/>
    </row>
    <row r="4245" spans="1:1" x14ac:dyDescent="0.2">
      <c r="A4245"/>
    </row>
    <row r="4246" spans="1:1" x14ac:dyDescent="0.2">
      <c r="A4246"/>
    </row>
    <row r="4247" spans="1:1" x14ac:dyDescent="0.2">
      <c r="A4247"/>
    </row>
    <row r="4248" spans="1:1" x14ac:dyDescent="0.2">
      <c r="A4248"/>
    </row>
    <row r="4249" spans="1:1" x14ac:dyDescent="0.2">
      <c r="A4249"/>
    </row>
    <row r="4250" spans="1:1" x14ac:dyDescent="0.2">
      <c r="A4250"/>
    </row>
    <row r="4251" spans="1:1" x14ac:dyDescent="0.2">
      <c r="A4251"/>
    </row>
    <row r="4252" spans="1:1" x14ac:dyDescent="0.2">
      <c r="A4252"/>
    </row>
    <row r="4253" spans="1:1" x14ac:dyDescent="0.2">
      <c r="A4253"/>
    </row>
    <row r="4254" spans="1:1" x14ac:dyDescent="0.2">
      <c r="A4254"/>
    </row>
    <row r="4255" spans="1:1" x14ac:dyDescent="0.2">
      <c r="A4255"/>
    </row>
    <row r="4256" spans="1:1" x14ac:dyDescent="0.2">
      <c r="A4256"/>
    </row>
    <row r="4257" spans="1:1" x14ac:dyDescent="0.2">
      <c r="A4257"/>
    </row>
    <row r="4258" spans="1:1" x14ac:dyDescent="0.2">
      <c r="A4258"/>
    </row>
    <row r="4259" spans="1:1" x14ac:dyDescent="0.2">
      <c r="A4259"/>
    </row>
    <row r="4260" spans="1:1" x14ac:dyDescent="0.2">
      <c r="A4260"/>
    </row>
    <row r="4261" spans="1:1" x14ac:dyDescent="0.2">
      <c r="A4261"/>
    </row>
    <row r="4262" spans="1:1" x14ac:dyDescent="0.2">
      <c r="A4262"/>
    </row>
    <row r="4263" spans="1:1" x14ac:dyDescent="0.2">
      <c r="A4263"/>
    </row>
    <row r="4264" spans="1:1" x14ac:dyDescent="0.2">
      <c r="A4264"/>
    </row>
    <row r="4265" spans="1:1" x14ac:dyDescent="0.2">
      <c r="A4265"/>
    </row>
    <row r="4266" spans="1:1" x14ac:dyDescent="0.2">
      <c r="A4266"/>
    </row>
    <row r="4267" spans="1:1" x14ac:dyDescent="0.2">
      <c r="A4267"/>
    </row>
    <row r="4268" spans="1:1" x14ac:dyDescent="0.2">
      <c r="A4268"/>
    </row>
    <row r="4269" spans="1:1" x14ac:dyDescent="0.2">
      <c r="A4269"/>
    </row>
    <row r="4270" spans="1:1" x14ac:dyDescent="0.2">
      <c r="A4270"/>
    </row>
    <row r="4271" spans="1:1" x14ac:dyDescent="0.2">
      <c r="A4271"/>
    </row>
    <row r="4272" spans="1:1" x14ac:dyDescent="0.2">
      <c r="A4272"/>
    </row>
    <row r="4273" spans="1:1" x14ac:dyDescent="0.2">
      <c r="A4273"/>
    </row>
    <row r="4274" spans="1:1" x14ac:dyDescent="0.2">
      <c r="A4274"/>
    </row>
    <row r="4275" spans="1:1" x14ac:dyDescent="0.2">
      <c r="A4275"/>
    </row>
    <row r="4276" spans="1:1" x14ac:dyDescent="0.2">
      <c r="A4276"/>
    </row>
    <row r="4277" spans="1:1" x14ac:dyDescent="0.2">
      <c r="A4277"/>
    </row>
    <row r="4278" spans="1:1" x14ac:dyDescent="0.2">
      <c r="A4278"/>
    </row>
    <row r="4279" spans="1:1" x14ac:dyDescent="0.2">
      <c r="A4279"/>
    </row>
    <row r="4280" spans="1:1" x14ac:dyDescent="0.2">
      <c r="A4280"/>
    </row>
    <row r="4281" spans="1:1" x14ac:dyDescent="0.2">
      <c r="A4281"/>
    </row>
    <row r="4282" spans="1:1" x14ac:dyDescent="0.2">
      <c r="A4282"/>
    </row>
    <row r="4283" spans="1:1" x14ac:dyDescent="0.2">
      <c r="A4283"/>
    </row>
    <row r="4284" spans="1:1" x14ac:dyDescent="0.2">
      <c r="A4284"/>
    </row>
    <row r="4285" spans="1:1" x14ac:dyDescent="0.2">
      <c r="A4285"/>
    </row>
    <row r="4286" spans="1:1" x14ac:dyDescent="0.2">
      <c r="A4286"/>
    </row>
    <row r="4287" spans="1:1" x14ac:dyDescent="0.2">
      <c r="A4287"/>
    </row>
    <row r="4288" spans="1:1" x14ac:dyDescent="0.2">
      <c r="A4288"/>
    </row>
    <row r="4289" spans="1:1" x14ac:dyDescent="0.2">
      <c r="A4289"/>
    </row>
    <row r="4290" spans="1:1" x14ac:dyDescent="0.2">
      <c r="A4290"/>
    </row>
    <row r="4291" spans="1:1" x14ac:dyDescent="0.2">
      <c r="A4291"/>
    </row>
    <row r="4292" spans="1:1" x14ac:dyDescent="0.2">
      <c r="A4292"/>
    </row>
    <row r="4293" spans="1:1" x14ac:dyDescent="0.2">
      <c r="A4293"/>
    </row>
    <row r="4294" spans="1:1" x14ac:dyDescent="0.2">
      <c r="A4294"/>
    </row>
    <row r="4295" spans="1:1" x14ac:dyDescent="0.2">
      <c r="A4295"/>
    </row>
    <row r="4296" spans="1:1" x14ac:dyDescent="0.2">
      <c r="A4296"/>
    </row>
    <row r="4297" spans="1:1" x14ac:dyDescent="0.2">
      <c r="A4297"/>
    </row>
    <row r="4298" spans="1:1" x14ac:dyDescent="0.2">
      <c r="A4298"/>
    </row>
    <row r="4299" spans="1:1" x14ac:dyDescent="0.2">
      <c r="A4299"/>
    </row>
    <row r="4300" spans="1:1" x14ac:dyDescent="0.2">
      <c r="A4300"/>
    </row>
    <row r="4301" spans="1:1" x14ac:dyDescent="0.2">
      <c r="A4301"/>
    </row>
    <row r="4302" spans="1:1" x14ac:dyDescent="0.2">
      <c r="A4302"/>
    </row>
    <row r="4303" spans="1:1" x14ac:dyDescent="0.2">
      <c r="A4303"/>
    </row>
    <row r="4304" spans="1:1" x14ac:dyDescent="0.2">
      <c r="A4304"/>
    </row>
    <row r="4305" spans="1:1" x14ac:dyDescent="0.2">
      <c r="A4305"/>
    </row>
    <row r="4306" spans="1:1" x14ac:dyDescent="0.2">
      <c r="A4306"/>
    </row>
    <row r="4307" spans="1:1" x14ac:dyDescent="0.2">
      <c r="A4307"/>
    </row>
    <row r="4308" spans="1:1" x14ac:dyDescent="0.2">
      <c r="A4308"/>
    </row>
    <row r="4309" spans="1:1" x14ac:dyDescent="0.2">
      <c r="A4309"/>
    </row>
    <row r="4310" spans="1:1" x14ac:dyDescent="0.2">
      <c r="A4310"/>
    </row>
    <row r="4311" spans="1:1" x14ac:dyDescent="0.2">
      <c r="A4311"/>
    </row>
    <row r="4312" spans="1:1" x14ac:dyDescent="0.2">
      <c r="A4312"/>
    </row>
    <row r="4313" spans="1:1" x14ac:dyDescent="0.2">
      <c r="A4313"/>
    </row>
    <row r="4314" spans="1:1" x14ac:dyDescent="0.2">
      <c r="A4314"/>
    </row>
    <row r="4315" spans="1:1" x14ac:dyDescent="0.2">
      <c r="A4315"/>
    </row>
    <row r="4316" spans="1:1" x14ac:dyDescent="0.2">
      <c r="A4316"/>
    </row>
    <row r="4317" spans="1:1" x14ac:dyDescent="0.2">
      <c r="A4317"/>
    </row>
    <row r="4318" spans="1:1" x14ac:dyDescent="0.2">
      <c r="A4318"/>
    </row>
    <row r="4319" spans="1:1" x14ac:dyDescent="0.2">
      <c r="A4319"/>
    </row>
    <row r="4320" spans="1:1" x14ac:dyDescent="0.2">
      <c r="A4320"/>
    </row>
    <row r="4321" spans="1:1" x14ac:dyDescent="0.2">
      <c r="A4321"/>
    </row>
    <row r="4322" spans="1:1" x14ac:dyDescent="0.2">
      <c r="A4322"/>
    </row>
    <row r="4323" spans="1:1" x14ac:dyDescent="0.2">
      <c r="A4323"/>
    </row>
    <row r="4324" spans="1:1" x14ac:dyDescent="0.2">
      <c r="A4324"/>
    </row>
    <row r="4325" spans="1:1" x14ac:dyDescent="0.2">
      <c r="A4325"/>
    </row>
    <row r="4326" spans="1:1" x14ac:dyDescent="0.2">
      <c r="A4326"/>
    </row>
    <row r="4327" spans="1:1" x14ac:dyDescent="0.2">
      <c r="A4327"/>
    </row>
    <row r="4328" spans="1:1" x14ac:dyDescent="0.2">
      <c r="A4328"/>
    </row>
    <row r="4329" spans="1:1" x14ac:dyDescent="0.2">
      <c r="A4329"/>
    </row>
    <row r="4330" spans="1:1" x14ac:dyDescent="0.2">
      <c r="A4330"/>
    </row>
    <row r="4331" spans="1:1" x14ac:dyDescent="0.2">
      <c r="A4331"/>
    </row>
    <row r="4332" spans="1:1" x14ac:dyDescent="0.2">
      <c r="A4332"/>
    </row>
    <row r="4333" spans="1:1" x14ac:dyDescent="0.2">
      <c r="A4333"/>
    </row>
    <row r="4334" spans="1:1" x14ac:dyDescent="0.2">
      <c r="A4334"/>
    </row>
    <row r="4335" spans="1:1" x14ac:dyDescent="0.2">
      <c r="A4335"/>
    </row>
    <row r="4336" spans="1:1" x14ac:dyDescent="0.2">
      <c r="A4336"/>
    </row>
    <row r="4337" spans="1:1" x14ac:dyDescent="0.2">
      <c r="A4337"/>
    </row>
    <row r="4338" spans="1:1" x14ac:dyDescent="0.2">
      <c r="A4338"/>
    </row>
    <row r="4339" spans="1:1" x14ac:dyDescent="0.2">
      <c r="A4339"/>
    </row>
    <row r="4340" spans="1:1" x14ac:dyDescent="0.2">
      <c r="A4340"/>
    </row>
    <row r="4341" spans="1:1" x14ac:dyDescent="0.2">
      <c r="A4341"/>
    </row>
    <row r="4342" spans="1:1" x14ac:dyDescent="0.2">
      <c r="A4342"/>
    </row>
    <row r="4343" spans="1:1" x14ac:dyDescent="0.2">
      <c r="A4343"/>
    </row>
    <row r="4344" spans="1:1" x14ac:dyDescent="0.2">
      <c r="A4344"/>
    </row>
    <row r="4345" spans="1:1" x14ac:dyDescent="0.2">
      <c r="A4345"/>
    </row>
    <row r="4346" spans="1:1" x14ac:dyDescent="0.2">
      <c r="A4346"/>
    </row>
    <row r="4347" spans="1:1" x14ac:dyDescent="0.2">
      <c r="A4347"/>
    </row>
    <row r="4348" spans="1:1" x14ac:dyDescent="0.2">
      <c r="A4348"/>
    </row>
    <row r="4349" spans="1:1" x14ac:dyDescent="0.2">
      <c r="A4349"/>
    </row>
    <row r="4350" spans="1:1" x14ac:dyDescent="0.2">
      <c r="A4350"/>
    </row>
    <row r="4351" spans="1:1" x14ac:dyDescent="0.2">
      <c r="A4351"/>
    </row>
    <row r="4352" spans="1:1" x14ac:dyDescent="0.2">
      <c r="A4352"/>
    </row>
    <row r="4353" spans="1:1" x14ac:dyDescent="0.2">
      <c r="A4353"/>
    </row>
    <row r="4354" spans="1:1" x14ac:dyDescent="0.2">
      <c r="A4354"/>
    </row>
    <row r="4355" spans="1:1" x14ac:dyDescent="0.2">
      <c r="A4355"/>
    </row>
    <row r="4356" spans="1:1" x14ac:dyDescent="0.2">
      <c r="A4356"/>
    </row>
    <row r="4357" spans="1:1" x14ac:dyDescent="0.2">
      <c r="A4357"/>
    </row>
    <row r="4358" spans="1:1" x14ac:dyDescent="0.2">
      <c r="A4358"/>
    </row>
    <row r="4359" spans="1:1" x14ac:dyDescent="0.2">
      <c r="A4359"/>
    </row>
    <row r="4360" spans="1:1" x14ac:dyDescent="0.2">
      <c r="A4360"/>
    </row>
    <row r="4361" spans="1:1" x14ac:dyDescent="0.2">
      <c r="A4361"/>
    </row>
    <row r="4362" spans="1:1" x14ac:dyDescent="0.2">
      <c r="A4362"/>
    </row>
    <row r="4363" spans="1:1" x14ac:dyDescent="0.2">
      <c r="A4363"/>
    </row>
    <row r="4364" spans="1:1" x14ac:dyDescent="0.2">
      <c r="A4364"/>
    </row>
    <row r="4365" spans="1:1" x14ac:dyDescent="0.2">
      <c r="A4365"/>
    </row>
    <row r="4366" spans="1:1" x14ac:dyDescent="0.2">
      <c r="A4366"/>
    </row>
    <row r="4367" spans="1:1" x14ac:dyDescent="0.2">
      <c r="A4367"/>
    </row>
    <row r="4368" spans="1:1" x14ac:dyDescent="0.2">
      <c r="A4368"/>
    </row>
    <row r="4369" spans="1:1" x14ac:dyDescent="0.2">
      <c r="A4369"/>
    </row>
    <row r="4370" spans="1:1" x14ac:dyDescent="0.2">
      <c r="A4370"/>
    </row>
    <row r="4371" spans="1:1" x14ac:dyDescent="0.2">
      <c r="A4371"/>
    </row>
    <row r="4372" spans="1:1" x14ac:dyDescent="0.2">
      <c r="A4372"/>
    </row>
    <row r="4373" spans="1:1" x14ac:dyDescent="0.2">
      <c r="A4373"/>
    </row>
    <row r="4374" spans="1:1" x14ac:dyDescent="0.2">
      <c r="A4374"/>
    </row>
    <row r="4375" spans="1:1" x14ac:dyDescent="0.2">
      <c r="A4375"/>
    </row>
    <row r="4376" spans="1:1" x14ac:dyDescent="0.2">
      <c r="A4376"/>
    </row>
    <row r="4377" spans="1:1" x14ac:dyDescent="0.2">
      <c r="A4377"/>
    </row>
    <row r="4378" spans="1:1" x14ac:dyDescent="0.2">
      <c r="A4378"/>
    </row>
    <row r="4379" spans="1:1" x14ac:dyDescent="0.2">
      <c r="A4379"/>
    </row>
    <row r="4380" spans="1:1" x14ac:dyDescent="0.2">
      <c r="A4380"/>
    </row>
    <row r="4381" spans="1:1" x14ac:dyDescent="0.2">
      <c r="A4381"/>
    </row>
    <row r="4382" spans="1:1" x14ac:dyDescent="0.2">
      <c r="A4382"/>
    </row>
    <row r="4383" spans="1:1" x14ac:dyDescent="0.2">
      <c r="A4383"/>
    </row>
    <row r="4384" spans="1:1" x14ac:dyDescent="0.2">
      <c r="A4384"/>
    </row>
    <row r="4385" spans="1:1" x14ac:dyDescent="0.2">
      <c r="A4385"/>
    </row>
    <row r="4386" spans="1:1" x14ac:dyDescent="0.2">
      <c r="A4386"/>
    </row>
    <row r="4387" spans="1:1" x14ac:dyDescent="0.2">
      <c r="A4387"/>
    </row>
    <row r="4388" spans="1:1" x14ac:dyDescent="0.2">
      <c r="A4388"/>
    </row>
    <row r="4389" spans="1:1" x14ac:dyDescent="0.2">
      <c r="A4389"/>
    </row>
    <row r="4390" spans="1:1" x14ac:dyDescent="0.2">
      <c r="A4390"/>
    </row>
    <row r="4391" spans="1:1" x14ac:dyDescent="0.2">
      <c r="A4391"/>
    </row>
    <row r="4392" spans="1:1" x14ac:dyDescent="0.2">
      <c r="A4392"/>
    </row>
    <row r="4393" spans="1:1" x14ac:dyDescent="0.2">
      <c r="A4393"/>
    </row>
    <row r="4394" spans="1:1" x14ac:dyDescent="0.2">
      <c r="A4394"/>
    </row>
    <row r="4395" spans="1:1" x14ac:dyDescent="0.2">
      <c r="A4395"/>
    </row>
    <row r="4396" spans="1:1" x14ac:dyDescent="0.2">
      <c r="A4396"/>
    </row>
    <row r="4397" spans="1:1" x14ac:dyDescent="0.2">
      <c r="A4397"/>
    </row>
    <row r="4398" spans="1:1" x14ac:dyDescent="0.2">
      <c r="A4398"/>
    </row>
    <row r="4399" spans="1:1" x14ac:dyDescent="0.2">
      <c r="A4399"/>
    </row>
    <row r="4400" spans="1:1" x14ac:dyDescent="0.2">
      <c r="A4400"/>
    </row>
    <row r="4401" spans="1:1" x14ac:dyDescent="0.2">
      <c r="A4401"/>
    </row>
    <row r="4402" spans="1:1" x14ac:dyDescent="0.2">
      <c r="A4402"/>
    </row>
    <row r="4403" spans="1:1" x14ac:dyDescent="0.2">
      <c r="A4403"/>
    </row>
    <row r="4404" spans="1:1" x14ac:dyDescent="0.2">
      <c r="A4404"/>
    </row>
    <row r="4405" spans="1:1" x14ac:dyDescent="0.2">
      <c r="A4405"/>
    </row>
    <row r="4406" spans="1:1" x14ac:dyDescent="0.2">
      <c r="A4406"/>
    </row>
    <row r="4407" spans="1:1" x14ac:dyDescent="0.2">
      <c r="A4407"/>
    </row>
    <row r="4408" spans="1:1" x14ac:dyDescent="0.2">
      <c r="A4408"/>
    </row>
    <row r="4409" spans="1:1" x14ac:dyDescent="0.2">
      <c r="A4409"/>
    </row>
    <row r="4410" spans="1:1" x14ac:dyDescent="0.2">
      <c r="A4410"/>
    </row>
    <row r="4411" spans="1:1" x14ac:dyDescent="0.2">
      <c r="A4411"/>
    </row>
    <row r="4412" spans="1:1" x14ac:dyDescent="0.2">
      <c r="A4412"/>
    </row>
    <row r="4413" spans="1:1" x14ac:dyDescent="0.2">
      <c r="A4413"/>
    </row>
    <row r="4414" spans="1:1" x14ac:dyDescent="0.2">
      <c r="A4414"/>
    </row>
    <row r="4415" spans="1:1" x14ac:dyDescent="0.2">
      <c r="A4415"/>
    </row>
    <row r="4416" spans="1:1" x14ac:dyDescent="0.2">
      <c r="A4416"/>
    </row>
    <row r="4417" spans="1:1" x14ac:dyDescent="0.2">
      <c r="A4417"/>
    </row>
    <row r="4418" spans="1:1" x14ac:dyDescent="0.2">
      <c r="A4418"/>
    </row>
    <row r="4419" spans="1:1" x14ac:dyDescent="0.2">
      <c r="A4419"/>
    </row>
    <row r="4420" spans="1:1" x14ac:dyDescent="0.2">
      <c r="A4420"/>
    </row>
    <row r="4421" spans="1:1" x14ac:dyDescent="0.2">
      <c r="A4421"/>
    </row>
    <row r="4422" spans="1:1" x14ac:dyDescent="0.2">
      <c r="A4422"/>
    </row>
    <row r="4423" spans="1:1" x14ac:dyDescent="0.2">
      <c r="A4423"/>
    </row>
    <row r="4424" spans="1:1" x14ac:dyDescent="0.2">
      <c r="A4424"/>
    </row>
    <row r="4425" spans="1:1" x14ac:dyDescent="0.2">
      <c r="A4425"/>
    </row>
    <row r="4426" spans="1:1" x14ac:dyDescent="0.2">
      <c r="A4426"/>
    </row>
    <row r="4427" spans="1:1" x14ac:dyDescent="0.2">
      <c r="A4427"/>
    </row>
    <row r="4428" spans="1:1" x14ac:dyDescent="0.2">
      <c r="A4428"/>
    </row>
    <row r="4429" spans="1:1" x14ac:dyDescent="0.2">
      <c r="A4429"/>
    </row>
    <row r="4430" spans="1:1" x14ac:dyDescent="0.2">
      <c r="A4430"/>
    </row>
    <row r="4431" spans="1:1" x14ac:dyDescent="0.2">
      <c r="A4431"/>
    </row>
    <row r="4432" spans="1:1" x14ac:dyDescent="0.2">
      <c r="A4432"/>
    </row>
    <row r="4433" spans="1:1" x14ac:dyDescent="0.2">
      <c r="A4433"/>
    </row>
    <row r="4434" spans="1:1" x14ac:dyDescent="0.2">
      <c r="A4434"/>
    </row>
    <row r="4435" spans="1:1" x14ac:dyDescent="0.2">
      <c r="A4435"/>
    </row>
    <row r="4436" spans="1:1" x14ac:dyDescent="0.2">
      <c r="A4436"/>
    </row>
    <row r="4437" spans="1:1" x14ac:dyDescent="0.2">
      <c r="A4437"/>
    </row>
    <row r="4438" spans="1:1" x14ac:dyDescent="0.2">
      <c r="A4438"/>
    </row>
    <row r="4439" spans="1:1" x14ac:dyDescent="0.2">
      <c r="A4439"/>
    </row>
    <row r="4440" spans="1:1" x14ac:dyDescent="0.2">
      <c r="A4440"/>
    </row>
    <row r="4441" spans="1:1" x14ac:dyDescent="0.2">
      <c r="A4441"/>
    </row>
    <row r="4442" spans="1:1" x14ac:dyDescent="0.2">
      <c r="A4442"/>
    </row>
    <row r="4443" spans="1:1" x14ac:dyDescent="0.2">
      <c r="A4443"/>
    </row>
    <row r="4444" spans="1:1" x14ac:dyDescent="0.2">
      <c r="A4444"/>
    </row>
    <row r="4445" spans="1:1" x14ac:dyDescent="0.2">
      <c r="A4445"/>
    </row>
    <row r="4446" spans="1:1" x14ac:dyDescent="0.2">
      <c r="A4446"/>
    </row>
    <row r="4447" spans="1:1" x14ac:dyDescent="0.2">
      <c r="A4447"/>
    </row>
    <row r="4448" spans="1:1" x14ac:dyDescent="0.2">
      <c r="A4448"/>
    </row>
    <row r="4449" spans="1:1" x14ac:dyDescent="0.2">
      <c r="A4449"/>
    </row>
    <row r="4450" spans="1:1" x14ac:dyDescent="0.2">
      <c r="A4450"/>
    </row>
    <row r="4451" spans="1:1" x14ac:dyDescent="0.2">
      <c r="A4451"/>
    </row>
    <row r="4452" spans="1:1" x14ac:dyDescent="0.2">
      <c r="A4452"/>
    </row>
    <row r="4453" spans="1:1" x14ac:dyDescent="0.2">
      <c r="A4453"/>
    </row>
    <row r="4454" spans="1:1" x14ac:dyDescent="0.2">
      <c r="A4454"/>
    </row>
    <row r="4455" spans="1:1" x14ac:dyDescent="0.2">
      <c r="A4455"/>
    </row>
    <row r="4456" spans="1:1" x14ac:dyDescent="0.2">
      <c r="A4456"/>
    </row>
    <row r="4457" spans="1:1" x14ac:dyDescent="0.2">
      <c r="A4457"/>
    </row>
    <row r="4458" spans="1:1" x14ac:dyDescent="0.2">
      <c r="A4458"/>
    </row>
    <row r="4459" spans="1:1" x14ac:dyDescent="0.2">
      <c r="A4459"/>
    </row>
    <row r="4460" spans="1:1" x14ac:dyDescent="0.2">
      <c r="A4460"/>
    </row>
    <row r="4461" spans="1:1" x14ac:dyDescent="0.2">
      <c r="A4461"/>
    </row>
    <row r="4462" spans="1:1" x14ac:dyDescent="0.2">
      <c r="A4462"/>
    </row>
    <row r="4463" spans="1:1" x14ac:dyDescent="0.2">
      <c r="A4463"/>
    </row>
    <row r="4464" spans="1:1" x14ac:dyDescent="0.2">
      <c r="A4464"/>
    </row>
    <row r="4465" spans="1:1" x14ac:dyDescent="0.2">
      <c r="A4465"/>
    </row>
    <row r="4466" spans="1:1" x14ac:dyDescent="0.2">
      <c r="A4466"/>
    </row>
    <row r="4467" spans="1:1" x14ac:dyDescent="0.2">
      <c r="A4467"/>
    </row>
    <row r="4468" spans="1:1" x14ac:dyDescent="0.2">
      <c r="A4468"/>
    </row>
    <row r="4469" spans="1:1" x14ac:dyDescent="0.2">
      <c r="A4469"/>
    </row>
    <row r="4470" spans="1:1" x14ac:dyDescent="0.2">
      <c r="A4470"/>
    </row>
    <row r="4471" spans="1:1" x14ac:dyDescent="0.2">
      <c r="A4471"/>
    </row>
    <row r="4472" spans="1:1" x14ac:dyDescent="0.2">
      <c r="A4472"/>
    </row>
    <row r="4473" spans="1:1" x14ac:dyDescent="0.2">
      <c r="A4473"/>
    </row>
    <row r="4474" spans="1:1" x14ac:dyDescent="0.2">
      <c r="A4474"/>
    </row>
    <row r="4475" spans="1:1" x14ac:dyDescent="0.2">
      <c r="A4475"/>
    </row>
    <row r="4476" spans="1:1" x14ac:dyDescent="0.2">
      <c r="A4476"/>
    </row>
    <row r="4477" spans="1:1" x14ac:dyDescent="0.2">
      <c r="A4477"/>
    </row>
    <row r="4478" spans="1:1" x14ac:dyDescent="0.2">
      <c r="A4478"/>
    </row>
    <row r="4479" spans="1:1" x14ac:dyDescent="0.2">
      <c r="A4479"/>
    </row>
    <row r="4480" spans="1:1" x14ac:dyDescent="0.2">
      <c r="A4480"/>
    </row>
    <row r="4481" spans="1:1" x14ac:dyDescent="0.2">
      <c r="A4481"/>
    </row>
    <row r="4482" spans="1:1" x14ac:dyDescent="0.2">
      <c r="A4482"/>
    </row>
    <row r="4483" spans="1:1" x14ac:dyDescent="0.2">
      <c r="A4483"/>
    </row>
    <row r="4484" spans="1:1" x14ac:dyDescent="0.2">
      <c r="A4484"/>
    </row>
    <row r="4485" spans="1:1" x14ac:dyDescent="0.2">
      <c r="A4485"/>
    </row>
    <row r="4486" spans="1:1" x14ac:dyDescent="0.2">
      <c r="A4486"/>
    </row>
    <row r="4487" spans="1:1" x14ac:dyDescent="0.2">
      <c r="A4487"/>
    </row>
    <row r="4488" spans="1:1" x14ac:dyDescent="0.2">
      <c r="A4488"/>
    </row>
    <row r="4489" spans="1:1" x14ac:dyDescent="0.2">
      <c r="A4489"/>
    </row>
    <row r="4490" spans="1:1" x14ac:dyDescent="0.2">
      <c r="A4490"/>
    </row>
    <row r="4491" spans="1:1" x14ac:dyDescent="0.2">
      <c r="A4491"/>
    </row>
    <row r="4492" spans="1:1" x14ac:dyDescent="0.2">
      <c r="A4492"/>
    </row>
    <row r="4493" spans="1:1" x14ac:dyDescent="0.2">
      <c r="A4493"/>
    </row>
    <row r="4494" spans="1:1" x14ac:dyDescent="0.2">
      <c r="A4494"/>
    </row>
    <row r="4495" spans="1:1" x14ac:dyDescent="0.2">
      <c r="A4495"/>
    </row>
    <row r="4496" spans="1:1" x14ac:dyDescent="0.2">
      <c r="A4496"/>
    </row>
    <row r="4497" spans="1:1" x14ac:dyDescent="0.2">
      <c r="A4497"/>
    </row>
    <row r="4498" spans="1:1" x14ac:dyDescent="0.2">
      <c r="A4498"/>
    </row>
    <row r="4499" spans="1:1" x14ac:dyDescent="0.2">
      <c r="A4499"/>
    </row>
    <row r="4500" spans="1:1" x14ac:dyDescent="0.2">
      <c r="A4500"/>
    </row>
    <row r="4501" spans="1:1" x14ac:dyDescent="0.2">
      <c r="A4501"/>
    </row>
    <row r="4502" spans="1:1" x14ac:dyDescent="0.2">
      <c r="A4502"/>
    </row>
    <row r="4503" spans="1:1" x14ac:dyDescent="0.2">
      <c r="A4503"/>
    </row>
    <row r="4504" spans="1:1" x14ac:dyDescent="0.2">
      <c r="A4504"/>
    </row>
    <row r="4505" spans="1:1" x14ac:dyDescent="0.2">
      <c r="A4505"/>
    </row>
    <row r="4506" spans="1:1" x14ac:dyDescent="0.2">
      <c r="A4506"/>
    </row>
    <row r="4507" spans="1:1" x14ac:dyDescent="0.2">
      <c r="A4507"/>
    </row>
    <row r="4508" spans="1:1" x14ac:dyDescent="0.2">
      <c r="A4508"/>
    </row>
    <row r="4509" spans="1:1" x14ac:dyDescent="0.2">
      <c r="A4509"/>
    </row>
    <row r="4510" spans="1:1" x14ac:dyDescent="0.2">
      <c r="A4510"/>
    </row>
    <row r="4511" spans="1:1" x14ac:dyDescent="0.2">
      <c r="A4511"/>
    </row>
    <row r="4512" spans="1:1" x14ac:dyDescent="0.2">
      <c r="A4512"/>
    </row>
    <row r="4513" spans="1:1" x14ac:dyDescent="0.2">
      <c r="A4513"/>
    </row>
    <row r="4514" spans="1:1" x14ac:dyDescent="0.2">
      <c r="A4514"/>
    </row>
    <row r="4515" spans="1:1" x14ac:dyDescent="0.2">
      <c r="A4515"/>
    </row>
    <row r="4516" spans="1:1" x14ac:dyDescent="0.2">
      <c r="A4516"/>
    </row>
    <row r="4517" spans="1:1" x14ac:dyDescent="0.2">
      <c r="A4517"/>
    </row>
    <row r="4518" spans="1:1" x14ac:dyDescent="0.2">
      <c r="A4518"/>
    </row>
    <row r="4519" spans="1:1" x14ac:dyDescent="0.2">
      <c r="A4519"/>
    </row>
    <row r="4520" spans="1:1" x14ac:dyDescent="0.2">
      <c r="A4520"/>
    </row>
    <row r="4521" spans="1:1" x14ac:dyDescent="0.2">
      <c r="A4521"/>
    </row>
    <row r="4522" spans="1:1" x14ac:dyDescent="0.2">
      <c r="A4522"/>
    </row>
    <row r="4523" spans="1:1" x14ac:dyDescent="0.2">
      <c r="A4523"/>
    </row>
    <row r="4524" spans="1:1" x14ac:dyDescent="0.2">
      <c r="A4524"/>
    </row>
    <row r="4525" spans="1:1" x14ac:dyDescent="0.2">
      <c r="A4525"/>
    </row>
    <row r="4526" spans="1:1" x14ac:dyDescent="0.2">
      <c r="A4526"/>
    </row>
    <row r="4527" spans="1:1" x14ac:dyDescent="0.2">
      <c r="A4527"/>
    </row>
    <row r="4528" spans="1:1" x14ac:dyDescent="0.2">
      <c r="A4528"/>
    </row>
    <row r="4529" spans="1:1" x14ac:dyDescent="0.2">
      <c r="A4529"/>
    </row>
    <row r="4530" spans="1:1" x14ac:dyDescent="0.2">
      <c r="A4530"/>
    </row>
    <row r="4531" spans="1:1" x14ac:dyDescent="0.2">
      <c r="A4531"/>
    </row>
    <row r="4532" spans="1:1" x14ac:dyDescent="0.2">
      <c r="A4532"/>
    </row>
    <row r="4533" spans="1:1" x14ac:dyDescent="0.2">
      <c r="A4533"/>
    </row>
    <row r="4534" spans="1:1" x14ac:dyDescent="0.2">
      <c r="A4534"/>
    </row>
    <row r="4535" spans="1:1" x14ac:dyDescent="0.2">
      <c r="A4535"/>
    </row>
    <row r="4536" spans="1:1" x14ac:dyDescent="0.2">
      <c r="A4536"/>
    </row>
    <row r="4537" spans="1:1" x14ac:dyDescent="0.2">
      <c r="A4537"/>
    </row>
    <row r="4538" spans="1:1" x14ac:dyDescent="0.2">
      <c r="A4538"/>
    </row>
    <row r="4539" spans="1:1" x14ac:dyDescent="0.2">
      <c r="A4539"/>
    </row>
    <row r="4540" spans="1:1" x14ac:dyDescent="0.2">
      <c r="A4540"/>
    </row>
    <row r="4541" spans="1:1" x14ac:dyDescent="0.2">
      <c r="A4541"/>
    </row>
    <row r="4542" spans="1:1" x14ac:dyDescent="0.2">
      <c r="A4542"/>
    </row>
    <row r="4543" spans="1:1" x14ac:dyDescent="0.2">
      <c r="A4543"/>
    </row>
    <row r="4544" spans="1:1" x14ac:dyDescent="0.2">
      <c r="A4544"/>
    </row>
    <row r="4545" spans="1:1" x14ac:dyDescent="0.2">
      <c r="A4545"/>
    </row>
    <row r="4546" spans="1:1" x14ac:dyDescent="0.2">
      <c r="A4546"/>
    </row>
    <row r="4547" spans="1:1" x14ac:dyDescent="0.2">
      <c r="A4547"/>
    </row>
    <row r="4548" spans="1:1" x14ac:dyDescent="0.2">
      <c r="A4548"/>
    </row>
    <row r="4549" spans="1:1" x14ac:dyDescent="0.2">
      <c r="A4549"/>
    </row>
    <row r="4550" spans="1:1" x14ac:dyDescent="0.2">
      <c r="A4550"/>
    </row>
    <row r="4551" spans="1:1" x14ac:dyDescent="0.2">
      <c r="A4551"/>
    </row>
    <row r="4552" spans="1:1" x14ac:dyDescent="0.2">
      <c r="A4552"/>
    </row>
    <row r="4553" spans="1:1" x14ac:dyDescent="0.2">
      <c r="A4553"/>
    </row>
    <row r="4554" spans="1:1" x14ac:dyDescent="0.2">
      <c r="A4554"/>
    </row>
    <row r="4555" spans="1:1" x14ac:dyDescent="0.2">
      <c r="A4555"/>
    </row>
    <row r="4556" spans="1:1" x14ac:dyDescent="0.2">
      <c r="A4556"/>
    </row>
    <row r="4557" spans="1:1" x14ac:dyDescent="0.2">
      <c r="A4557"/>
    </row>
    <row r="4558" spans="1:1" x14ac:dyDescent="0.2">
      <c r="A4558"/>
    </row>
    <row r="4559" spans="1:1" x14ac:dyDescent="0.2">
      <c r="A4559"/>
    </row>
    <row r="4560" spans="1:1" x14ac:dyDescent="0.2">
      <c r="A4560"/>
    </row>
    <row r="4561" spans="1:1" x14ac:dyDescent="0.2">
      <c r="A4561"/>
    </row>
    <row r="4562" spans="1:1" x14ac:dyDescent="0.2">
      <c r="A4562"/>
    </row>
    <row r="4563" spans="1:1" x14ac:dyDescent="0.2">
      <c r="A4563"/>
    </row>
    <row r="4564" spans="1:1" x14ac:dyDescent="0.2">
      <c r="A4564"/>
    </row>
    <row r="4565" spans="1:1" x14ac:dyDescent="0.2">
      <c r="A4565"/>
    </row>
    <row r="4566" spans="1:1" x14ac:dyDescent="0.2">
      <c r="A4566"/>
    </row>
    <row r="4567" spans="1:1" x14ac:dyDescent="0.2">
      <c r="A4567"/>
    </row>
    <row r="4568" spans="1:1" x14ac:dyDescent="0.2">
      <c r="A4568"/>
    </row>
    <row r="4569" spans="1:1" x14ac:dyDescent="0.2">
      <c r="A4569"/>
    </row>
    <row r="4570" spans="1:1" x14ac:dyDescent="0.2">
      <c r="A4570"/>
    </row>
    <row r="4571" spans="1:1" x14ac:dyDescent="0.2">
      <c r="A4571"/>
    </row>
    <row r="4572" spans="1:1" x14ac:dyDescent="0.2">
      <c r="A4572"/>
    </row>
    <row r="4573" spans="1:1" x14ac:dyDescent="0.2">
      <c r="A4573"/>
    </row>
    <row r="4574" spans="1:1" x14ac:dyDescent="0.2">
      <c r="A4574"/>
    </row>
    <row r="4575" spans="1:1" x14ac:dyDescent="0.2">
      <c r="A4575"/>
    </row>
    <row r="4576" spans="1:1" x14ac:dyDescent="0.2">
      <c r="A4576"/>
    </row>
    <row r="4577" spans="1:1" x14ac:dyDescent="0.2">
      <c r="A4577"/>
    </row>
    <row r="4578" spans="1:1" x14ac:dyDescent="0.2">
      <c r="A4578"/>
    </row>
    <row r="4579" spans="1:1" x14ac:dyDescent="0.2">
      <c r="A4579"/>
    </row>
    <row r="4580" spans="1:1" x14ac:dyDescent="0.2">
      <c r="A4580"/>
    </row>
    <row r="4581" spans="1:1" x14ac:dyDescent="0.2">
      <c r="A4581"/>
    </row>
    <row r="4582" spans="1:1" x14ac:dyDescent="0.2">
      <c r="A4582"/>
    </row>
    <row r="4583" spans="1:1" x14ac:dyDescent="0.2">
      <c r="A4583"/>
    </row>
    <row r="4584" spans="1:1" x14ac:dyDescent="0.2">
      <c r="A4584"/>
    </row>
    <row r="4585" spans="1:1" x14ac:dyDescent="0.2">
      <c r="A4585"/>
    </row>
    <row r="4586" spans="1:1" x14ac:dyDescent="0.2">
      <c r="A4586"/>
    </row>
    <row r="4587" spans="1:1" x14ac:dyDescent="0.2">
      <c r="A4587"/>
    </row>
    <row r="4588" spans="1:1" x14ac:dyDescent="0.2">
      <c r="A4588"/>
    </row>
    <row r="4589" spans="1:1" x14ac:dyDescent="0.2">
      <c r="A4589"/>
    </row>
    <row r="4590" spans="1:1" x14ac:dyDescent="0.2">
      <c r="A4590"/>
    </row>
    <row r="4591" spans="1:1" x14ac:dyDescent="0.2">
      <c r="A4591"/>
    </row>
    <row r="4592" spans="1:1" x14ac:dyDescent="0.2">
      <c r="A4592"/>
    </row>
    <row r="4593" spans="1:1" x14ac:dyDescent="0.2">
      <c r="A4593"/>
    </row>
    <row r="4594" spans="1:1" x14ac:dyDescent="0.2">
      <c r="A4594"/>
    </row>
    <row r="4595" spans="1:1" x14ac:dyDescent="0.2">
      <c r="A4595"/>
    </row>
    <row r="4596" spans="1:1" x14ac:dyDescent="0.2">
      <c r="A4596"/>
    </row>
    <row r="4597" spans="1:1" x14ac:dyDescent="0.2">
      <c r="A4597"/>
    </row>
    <row r="4598" spans="1:1" x14ac:dyDescent="0.2">
      <c r="A4598"/>
    </row>
    <row r="4599" spans="1:1" x14ac:dyDescent="0.2">
      <c r="A4599"/>
    </row>
    <row r="4600" spans="1:1" x14ac:dyDescent="0.2">
      <c r="A4600"/>
    </row>
    <row r="4601" spans="1:1" x14ac:dyDescent="0.2">
      <c r="A4601"/>
    </row>
    <row r="4602" spans="1:1" x14ac:dyDescent="0.2">
      <c r="A4602"/>
    </row>
    <row r="4603" spans="1:1" x14ac:dyDescent="0.2">
      <c r="A4603"/>
    </row>
    <row r="4604" spans="1:1" x14ac:dyDescent="0.2">
      <c r="A4604"/>
    </row>
    <row r="4605" spans="1:1" x14ac:dyDescent="0.2">
      <c r="A4605"/>
    </row>
    <row r="4606" spans="1:1" x14ac:dyDescent="0.2">
      <c r="A4606"/>
    </row>
    <row r="4607" spans="1:1" x14ac:dyDescent="0.2">
      <c r="A4607"/>
    </row>
    <row r="4608" spans="1:1" x14ac:dyDescent="0.2">
      <c r="A4608"/>
    </row>
    <row r="4609" spans="1:1" x14ac:dyDescent="0.2">
      <c r="A4609"/>
    </row>
    <row r="4610" spans="1:1" x14ac:dyDescent="0.2">
      <c r="A4610"/>
    </row>
    <row r="4611" spans="1:1" x14ac:dyDescent="0.2">
      <c r="A4611"/>
    </row>
    <row r="4612" spans="1:1" x14ac:dyDescent="0.2">
      <c r="A4612"/>
    </row>
    <row r="4613" spans="1:1" x14ac:dyDescent="0.2">
      <c r="A4613"/>
    </row>
    <row r="4614" spans="1:1" x14ac:dyDescent="0.2">
      <c r="A4614"/>
    </row>
    <row r="4615" spans="1:1" x14ac:dyDescent="0.2">
      <c r="A4615"/>
    </row>
    <row r="4616" spans="1:1" x14ac:dyDescent="0.2">
      <c r="A4616"/>
    </row>
    <row r="4617" spans="1:1" x14ac:dyDescent="0.2">
      <c r="A4617"/>
    </row>
    <row r="4618" spans="1:1" x14ac:dyDescent="0.2">
      <c r="A4618"/>
    </row>
    <row r="4619" spans="1:1" x14ac:dyDescent="0.2">
      <c r="A4619"/>
    </row>
    <row r="4620" spans="1:1" x14ac:dyDescent="0.2">
      <c r="A4620"/>
    </row>
    <row r="4621" spans="1:1" x14ac:dyDescent="0.2">
      <c r="A4621"/>
    </row>
    <row r="4622" spans="1:1" x14ac:dyDescent="0.2">
      <c r="A4622"/>
    </row>
    <row r="4623" spans="1:1" x14ac:dyDescent="0.2">
      <c r="A4623"/>
    </row>
    <row r="4624" spans="1:1" x14ac:dyDescent="0.2">
      <c r="A4624"/>
    </row>
    <row r="4625" spans="1:1" x14ac:dyDescent="0.2">
      <c r="A4625"/>
    </row>
    <row r="4626" spans="1:1" x14ac:dyDescent="0.2">
      <c r="A4626"/>
    </row>
    <row r="4627" spans="1:1" x14ac:dyDescent="0.2">
      <c r="A4627"/>
    </row>
    <row r="4628" spans="1:1" x14ac:dyDescent="0.2">
      <c r="A4628"/>
    </row>
    <row r="4629" spans="1:1" x14ac:dyDescent="0.2">
      <c r="A4629"/>
    </row>
    <row r="4630" spans="1:1" x14ac:dyDescent="0.2">
      <c r="A4630"/>
    </row>
    <row r="4631" spans="1:1" x14ac:dyDescent="0.2">
      <c r="A4631"/>
    </row>
    <row r="4632" spans="1:1" x14ac:dyDescent="0.2">
      <c r="A4632"/>
    </row>
    <row r="4633" spans="1:1" x14ac:dyDescent="0.2">
      <c r="A4633"/>
    </row>
    <row r="4634" spans="1:1" x14ac:dyDescent="0.2">
      <c r="A4634"/>
    </row>
    <row r="4635" spans="1:1" x14ac:dyDescent="0.2">
      <c r="A4635"/>
    </row>
    <row r="4636" spans="1:1" x14ac:dyDescent="0.2">
      <c r="A4636"/>
    </row>
    <row r="4637" spans="1:1" x14ac:dyDescent="0.2">
      <c r="A4637"/>
    </row>
    <row r="4638" spans="1:1" x14ac:dyDescent="0.2">
      <c r="A4638"/>
    </row>
    <row r="4639" spans="1:1" x14ac:dyDescent="0.2">
      <c r="A4639"/>
    </row>
    <row r="4640" spans="1:1" x14ac:dyDescent="0.2">
      <c r="A4640"/>
    </row>
    <row r="4641" spans="1:1" x14ac:dyDescent="0.2">
      <c r="A4641"/>
    </row>
    <row r="4642" spans="1:1" x14ac:dyDescent="0.2">
      <c r="A4642"/>
    </row>
    <row r="4643" spans="1:1" x14ac:dyDescent="0.2">
      <c r="A4643"/>
    </row>
    <row r="4644" spans="1:1" x14ac:dyDescent="0.2">
      <c r="A4644"/>
    </row>
    <row r="4645" spans="1:1" x14ac:dyDescent="0.2">
      <c r="A4645"/>
    </row>
    <row r="4646" spans="1:1" x14ac:dyDescent="0.2">
      <c r="A4646"/>
    </row>
    <row r="4647" spans="1:1" x14ac:dyDescent="0.2">
      <c r="A4647"/>
    </row>
    <row r="4648" spans="1:1" x14ac:dyDescent="0.2">
      <c r="A4648"/>
    </row>
    <row r="4649" spans="1:1" x14ac:dyDescent="0.2">
      <c r="A4649"/>
    </row>
    <row r="4650" spans="1:1" x14ac:dyDescent="0.2">
      <c r="A4650"/>
    </row>
    <row r="4651" spans="1:1" x14ac:dyDescent="0.2">
      <c r="A4651"/>
    </row>
    <row r="4652" spans="1:1" x14ac:dyDescent="0.2">
      <c r="A4652"/>
    </row>
    <row r="4653" spans="1:1" x14ac:dyDescent="0.2">
      <c r="A4653"/>
    </row>
    <row r="4654" spans="1:1" x14ac:dyDescent="0.2">
      <c r="A4654"/>
    </row>
    <row r="4655" spans="1:1" x14ac:dyDescent="0.2">
      <c r="A4655"/>
    </row>
    <row r="4656" spans="1:1" x14ac:dyDescent="0.2">
      <c r="A4656"/>
    </row>
    <row r="4657" spans="1:1" x14ac:dyDescent="0.2">
      <c r="A4657"/>
    </row>
    <row r="4658" spans="1:1" x14ac:dyDescent="0.2">
      <c r="A4658"/>
    </row>
    <row r="4659" spans="1:1" x14ac:dyDescent="0.2">
      <c r="A4659"/>
    </row>
    <row r="4660" spans="1:1" x14ac:dyDescent="0.2">
      <c r="A4660"/>
    </row>
    <row r="4661" spans="1:1" x14ac:dyDescent="0.2">
      <c r="A4661"/>
    </row>
    <row r="4662" spans="1:1" x14ac:dyDescent="0.2">
      <c r="A4662"/>
    </row>
    <row r="4663" spans="1:1" x14ac:dyDescent="0.2">
      <c r="A4663"/>
    </row>
    <row r="4664" spans="1:1" x14ac:dyDescent="0.2">
      <c r="A4664"/>
    </row>
    <row r="4665" spans="1:1" x14ac:dyDescent="0.2">
      <c r="A4665"/>
    </row>
    <row r="4666" spans="1:1" x14ac:dyDescent="0.2">
      <c r="A4666"/>
    </row>
    <row r="4667" spans="1:1" x14ac:dyDescent="0.2">
      <c r="A4667"/>
    </row>
    <row r="4668" spans="1:1" x14ac:dyDescent="0.2">
      <c r="A4668"/>
    </row>
    <row r="4669" spans="1:1" x14ac:dyDescent="0.2">
      <c r="A4669"/>
    </row>
    <row r="4670" spans="1:1" x14ac:dyDescent="0.2">
      <c r="A4670"/>
    </row>
    <row r="4671" spans="1:1" x14ac:dyDescent="0.2">
      <c r="A4671"/>
    </row>
    <row r="4672" spans="1:1" x14ac:dyDescent="0.2">
      <c r="A4672"/>
    </row>
    <row r="4673" spans="1:1" x14ac:dyDescent="0.2">
      <c r="A4673"/>
    </row>
    <row r="4674" spans="1:1" x14ac:dyDescent="0.2">
      <c r="A4674"/>
    </row>
    <row r="4675" spans="1:1" x14ac:dyDescent="0.2">
      <c r="A4675"/>
    </row>
    <row r="4676" spans="1:1" x14ac:dyDescent="0.2">
      <c r="A4676"/>
    </row>
    <row r="4677" spans="1:1" x14ac:dyDescent="0.2">
      <c r="A4677"/>
    </row>
    <row r="4678" spans="1:1" x14ac:dyDescent="0.2">
      <c r="A4678"/>
    </row>
    <row r="4679" spans="1:1" x14ac:dyDescent="0.2">
      <c r="A4679"/>
    </row>
    <row r="4680" spans="1:1" x14ac:dyDescent="0.2">
      <c r="A4680"/>
    </row>
    <row r="4681" spans="1:1" x14ac:dyDescent="0.2">
      <c r="A4681"/>
    </row>
    <row r="4682" spans="1:1" x14ac:dyDescent="0.2">
      <c r="A4682"/>
    </row>
    <row r="4683" spans="1:1" x14ac:dyDescent="0.2">
      <c r="A4683"/>
    </row>
    <row r="4684" spans="1:1" x14ac:dyDescent="0.2">
      <c r="A4684"/>
    </row>
    <row r="4685" spans="1:1" x14ac:dyDescent="0.2">
      <c r="A4685"/>
    </row>
    <row r="4686" spans="1:1" x14ac:dyDescent="0.2">
      <c r="A4686"/>
    </row>
    <row r="4687" spans="1:1" x14ac:dyDescent="0.2">
      <c r="A4687"/>
    </row>
    <row r="4688" spans="1:1" x14ac:dyDescent="0.2">
      <c r="A4688"/>
    </row>
    <row r="4689" spans="1:1" x14ac:dyDescent="0.2">
      <c r="A4689"/>
    </row>
    <row r="4690" spans="1:1" x14ac:dyDescent="0.2">
      <c r="A4690"/>
    </row>
    <row r="4691" spans="1:1" x14ac:dyDescent="0.2">
      <c r="A4691"/>
    </row>
    <row r="4692" spans="1:1" x14ac:dyDescent="0.2">
      <c r="A4692"/>
    </row>
    <row r="4693" spans="1:1" x14ac:dyDescent="0.2">
      <c r="A4693"/>
    </row>
    <row r="4694" spans="1:1" x14ac:dyDescent="0.2">
      <c r="A4694"/>
    </row>
    <row r="4695" spans="1:1" x14ac:dyDescent="0.2">
      <c r="A4695"/>
    </row>
    <row r="4696" spans="1:1" x14ac:dyDescent="0.2">
      <c r="A4696"/>
    </row>
    <row r="4697" spans="1:1" x14ac:dyDescent="0.2">
      <c r="A4697"/>
    </row>
    <row r="4698" spans="1:1" x14ac:dyDescent="0.2">
      <c r="A4698"/>
    </row>
    <row r="4699" spans="1:1" x14ac:dyDescent="0.2">
      <c r="A4699"/>
    </row>
    <row r="4700" spans="1:1" x14ac:dyDescent="0.2">
      <c r="A4700"/>
    </row>
    <row r="4701" spans="1:1" x14ac:dyDescent="0.2">
      <c r="A4701"/>
    </row>
    <row r="4702" spans="1:1" x14ac:dyDescent="0.2">
      <c r="A4702"/>
    </row>
    <row r="4703" spans="1:1" x14ac:dyDescent="0.2">
      <c r="A4703"/>
    </row>
    <row r="4704" spans="1:1" x14ac:dyDescent="0.2">
      <c r="A4704"/>
    </row>
    <row r="4705" spans="1:1" x14ac:dyDescent="0.2">
      <c r="A4705"/>
    </row>
    <row r="4706" spans="1:1" x14ac:dyDescent="0.2">
      <c r="A4706"/>
    </row>
    <row r="4707" spans="1:1" x14ac:dyDescent="0.2">
      <c r="A4707"/>
    </row>
    <row r="4708" spans="1:1" x14ac:dyDescent="0.2">
      <c r="A4708"/>
    </row>
    <row r="4709" spans="1:1" x14ac:dyDescent="0.2">
      <c r="A4709"/>
    </row>
    <row r="4710" spans="1:1" x14ac:dyDescent="0.2">
      <c r="A4710"/>
    </row>
    <row r="4711" spans="1:1" x14ac:dyDescent="0.2">
      <c r="A4711"/>
    </row>
    <row r="4712" spans="1:1" x14ac:dyDescent="0.2">
      <c r="A4712"/>
    </row>
    <row r="4713" spans="1:1" x14ac:dyDescent="0.2">
      <c r="A4713"/>
    </row>
    <row r="4714" spans="1:1" x14ac:dyDescent="0.2">
      <c r="A4714"/>
    </row>
    <row r="4715" spans="1:1" x14ac:dyDescent="0.2">
      <c r="A4715"/>
    </row>
    <row r="4716" spans="1:1" x14ac:dyDescent="0.2">
      <c r="A4716"/>
    </row>
    <row r="4717" spans="1:1" x14ac:dyDescent="0.2">
      <c r="A4717"/>
    </row>
    <row r="4718" spans="1:1" x14ac:dyDescent="0.2">
      <c r="A4718"/>
    </row>
    <row r="4719" spans="1:1" x14ac:dyDescent="0.2">
      <c r="A4719"/>
    </row>
    <row r="4720" spans="1:1" x14ac:dyDescent="0.2">
      <c r="A4720"/>
    </row>
    <row r="4721" spans="1:1" x14ac:dyDescent="0.2">
      <c r="A4721"/>
    </row>
    <row r="4722" spans="1:1" x14ac:dyDescent="0.2">
      <c r="A4722"/>
    </row>
    <row r="4723" spans="1:1" x14ac:dyDescent="0.2">
      <c r="A4723"/>
    </row>
    <row r="4724" spans="1:1" x14ac:dyDescent="0.2">
      <c r="A4724"/>
    </row>
    <row r="4725" spans="1:1" x14ac:dyDescent="0.2">
      <c r="A4725"/>
    </row>
    <row r="4726" spans="1:1" x14ac:dyDescent="0.2">
      <c r="A4726"/>
    </row>
    <row r="4727" spans="1:1" x14ac:dyDescent="0.2">
      <c r="A4727"/>
    </row>
    <row r="4728" spans="1:1" x14ac:dyDescent="0.2">
      <c r="A4728"/>
    </row>
    <row r="4729" spans="1:1" x14ac:dyDescent="0.2">
      <c r="A4729"/>
    </row>
    <row r="4730" spans="1:1" x14ac:dyDescent="0.2">
      <c r="A4730"/>
    </row>
    <row r="4731" spans="1:1" x14ac:dyDescent="0.2">
      <c r="A4731"/>
    </row>
    <row r="4732" spans="1:1" x14ac:dyDescent="0.2">
      <c r="A4732"/>
    </row>
    <row r="4733" spans="1:1" x14ac:dyDescent="0.2">
      <c r="A4733"/>
    </row>
    <row r="4734" spans="1:1" x14ac:dyDescent="0.2">
      <c r="A4734"/>
    </row>
    <row r="4735" spans="1:1" x14ac:dyDescent="0.2">
      <c r="A4735"/>
    </row>
    <row r="4736" spans="1:1" x14ac:dyDescent="0.2">
      <c r="A4736"/>
    </row>
    <row r="4737" spans="1:1" x14ac:dyDescent="0.2">
      <c r="A4737"/>
    </row>
    <row r="4738" spans="1:1" x14ac:dyDescent="0.2">
      <c r="A4738"/>
    </row>
    <row r="4739" spans="1:1" x14ac:dyDescent="0.2">
      <c r="A4739"/>
    </row>
    <row r="4740" spans="1:1" x14ac:dyDescent="0.2">
      <c r="A4740"/>
    </row>
    <row r="4741" spans="1:1" x14ac:dyDescent="0.2">
      <c r="A4741"/>
    </row>
    <row r="4742" spans="1:1" x14ac:dyDescent="0.2">
      <c r="A4742"/>
    </row>
    <row r="4743" spans="1:1" x14ac:dyDescent="0.2">
      <c r="A4743"/>
    </row>
    <row r="4744" spans="1:1" x14ac:dyDescent="0.2">
      <c r="A4744"/>
    </row>
    <row r="4745" spans="1:1" x14ac:dyDescent="0.2">
      <c r="A4745"/>
    </row>
    <row r="4746" spans="1:1" x14ac:dyDescent="0.2">
      <c r="A4746"/>
    </row>
    <row r="4747" spans="1:1" x14ac:dyDescent="0.2">
      <c r="A4747"/>
    </row>
    <row r="4748" spans="1:1" x14ac:dyDescent="0.2">
      <c r="A4748"/>
    </row>
    <row r="4749" spans="1:1" x14ac:dyDescent="0.2">
      <c r="A4749"/>
    </row>
    <row r="4750" spans="1:1" x14ac:dyDescent="0.2">
      <c r="A4750"/>
    </row>
    <row r="4751" spans="1:1" x14ac:dyDescent="0.2">
      <c r="A4751"/>
    </row>
    <row r="4752" spans="1:1" x14ac:dyDescent="0.2">
      <c r="A4752"/>
    </row>
    <row r="4753" spans="1:1" x14ac:dyDescent="0.2">
      <c r="A4753"/>
    </row>
    <row r="4754" spans="1:1" x14ac:dyDescent="0.2">
      <c r="A4754"/>
    </row>
    <row r="4755" spans="1:1" x14ac:dyDescent="0.2">
      <c r="A4755"/>
    </row>
    <row r="4756" spans="1:1" x14ac:dyDescent="0.2">
      <c r="A4756"/>
    </row>
    <row r="4757" spans="1:1" x14ac:dyDescent="0.2">
      <c r="A4757"/>
    </row>
    <row r="4758" spans="1:1" x14ac:dyDescent="0.2">
      <c r="A4758"/>
    </row>
    <row r="4759" spans="1:1" x14ac:dyDescent="0.2">
      <c r="A4759"/>
    </row>
    <row r="4760" spans="1:1" x14ac:dyDescent="0.2">
      <c r="A4760"/>
    </row>
    <row r="4761" spans="1:1" x14ac:dyDescent="0.2">
      <c r="A4761"/>
    </row>
    <row r="4762" spans="1:1" x14ac:dyDescent="0.2">
      <c r="A4762"/>
    </row>
    <row r="4763" spans="1:1" x14ac:dyDescent="0.2">
      <c r="A4763"/>
    </row>
    <row r="4764" spans="1:1" x14ac:dyDescent="0.2">
      <c r="A4764"/>
    </row>
    <row r="4765" spans="1:1" x14ac:dyDescent="0.2">
      <c r="A4765"/>
    </row>
    <row r="4766" spans="1:1" x14ac:dyDescent="0.2">
      <c r="A4766"/>
    </row>
    <row r="4767" spans="1:1" x14ac:dyDescent="0.2">
      <c r="A4767"/>
    </row>
    <row r="4768" spans="1:1" x14ac:dyDescent="0.2">
      <c r="A4768"/>
    </row>
    <row r="4769" spans="1:1" x14ac:dyDescent="0.2">
      <c r="A4769"/>
    </row>
    <row r="4770" spans="1:1" x14ac:dyDescent="0.2">
      <c r="A4770"/>
    </row>
    <row r="4771" spans="1:1" x14ac:dyDescent="0.2">
      <c r="A4771"/>
    </row>
    <row r="4772" spans="1:1" x14ac:dyDescent="0.2">
      <c r="A4772"/>
    </row>
    <row r="4773" spans="1:1" x14ac:dyDescent="0.2">
      <c r="A4773"/>
    </row>
    <row r="4774" spans="1:1" x14ac:dyDescent="0.2">
      <c r="A4774"/>
    </row>
    <row r="4775" spans="1:1" x14ac:dyDescent="0.2">
      <c r="A4775"/>
    </row>
    <row r="4776" spans="1:1" x14ac:dyDescent="0.2">
      <c r="A4776"/>
    </row>
    <row r="4777" spans="1:1" x14ac:dyDescent="0.2">
      <c r="A4777"/>
    </row>
    <row r="4778" spans="1:1" x14ac:dyDescent="0.2">
      <c r="A4778"/>
    </row>
    <row r="4779" spans="1:1" x14ac:dyDescent="0.2">
      <c r="A4779"/>
    </row>
    <row r="4780" spans="1:1" x14ac:dyDescent="0.2">
      <c r="A4780"/>
    </row>
    <row r="4781" spans="1:1" x14ac:dyDescent="0.2">
      <c r="A4781"/>
    </row>
    <row r="4782" spans="1:1" x14ac:dyDescent="0.2">
      <c r="A4782"/>
    </row>
    <row r="4783" spans="1:1" x14ac:dyDescent="0.2">
      <c r="A4783"/>
    </row>
    <row r="4784" spans="1:1" x14ac:dyDescent="0.2">
      <c r="A4784"/>
    </row>
    <row r="4785" spans="1:1" x14ac:dyDescent="0.2">
      <c r="A4785"/>
    </row>
    <row r="4786" spans="1:1" x14ac:dyDescent="0.2">
      <c r="A4786"/>
    </row>
    <row r="4787" spans="1:1" x14ac:dyDescent="0.2">
      <c r="A4787"/>
    </row>
    <row r="4788" spans="1:1" x14ac:dyDescent="0.2">
      <c r="A4788"/>
    </row>
    <row r="4789" spans="1:1" x14ac:dyDescent="0.2">
      <c r="A4789"/>
    </row>
    <row r="4790" spans="1:1" x14ac:dyDescent="0.2">
      <c r="A4790"/>
    </row>
    <row r="4791" spans="1:1" x14ac:dyDescent="0.2">
      <c r="A4791"/>
    </row>
    <row r="4792" spans="1:1" x14ac:dyDescent="0.2">
      <c r="A4792"/>
    </row>
    <row r="4793" spans="1:1" x14ac:dyDescent="0.2">
      <c r="A4793"/>
    </row>
    <row r="4794" spans="1:1" x14ac:dyDescent="0.2">
      <c r="A4794"/>
    </row>
    <row r="4795" spans="1:1" x14ac:dyDescent="0.2">
      <c r="A4795"/>
    </row>
    <row r="4796" spans="1:1" x14ac:dyDescent="0.2">
      <c r="A4796"/>
    </row>
    <row r="4797" spans="1:1" x14ac:dyDescent="0.2">
      <c r="A4797"/>
    </row>
    <row r="4798" spans="1:1" x14ac:dyDescent="0.2">
      <c r="A4798"/>
    </row>
    <row r="4799" spans="1:1" x14ac:dyDescent="0.2">
      <c r="A4799"/>
    </row>
    <row r="4800" spans="1:1" x14ac:dyDescent="0.2">
      <c r="A4800"/>
    </row>
    <row r="4801" spans="1:1" x14ac:dyDescent="0.2">
      <c r="A4801"/>
    </row>
    <row r="4802" spans="1:1" x14ac:dyDescent="0.2">
      <c r="A4802"/>
    </row>
    <row r="4803" spans="1:1" x14ac:dyDescent="0.2">
      <c r="A4803"/>
    </row>
    <row r="4804" spans="1:1" x14ac:dyDescent="0.2">
      <c r="A4804"/>
    </row>
    <row r="4805" spans="1:1" x14ac:dyDescent="0.2">
      <c r="A4805"/>
    </row>
    <row r="4806" spans="1:1" x14ac:dyDescent="0.2">
      <c r="A4806"/>
    </row>
    <row r="4807" spans="1:1" x14ac:dyDescent="0.2">
      <c r="A4807"/>
    </row>
    <row r="4808" spans="1:1" x14ac:dyDescent="0.2">
      <c r="A4808"/>
    </row>
    <row r="4809" spans="1:1" x14ac:dyDescent="0.2">
      <c r="A4809"/>
    </row>
    <row r="4810" spans="1:1" x14ac:dyDescent="0.2">
      <c r="A4810"/>
    </row>
    <row r="4811" spans="1:1" x14ac:dyDescent="0.2">
      <c r="A4811"/>
    </row>
    <row r="4812" spans="1:1" x14ac:dyDescent="0.2">
      <c r="A4812"/>
    </row>
    <row r="4813" spans="1:1" x14ac:dyDescent="0.2">
      <c r="A4813"/>
    </row>
    <row r="4814" spans="1:1" x14ac:dyDescent="0.2">
      <c r="A4814"/>
    </row>
    <row r="4815" spans="1:1" x14ac:dyDescent="0.2">
      <c r="A4815"/>
    </row>
    <row r="4816" spans="1:1" x14ac:dyDescent="0.2">
      <c r="A4816"/>
    </row>
    <row r="4817" spans="1:1" x14ac:dyDescent="0.2">
      <c r="A4817"/>
    </row>
    <row r="4818" spans="1:1" x14ac:dyDescent="0.2">
      <c r="A4818"/>
    </row>
    <row r="4819" spans="1:1" x14ac:dyDescent="0.2">
      <c r="A4819"/>
    </row>
    <row r="4820" spans="1:1" x14ac:dyDescent="0.2">
      <c r="A4820"/>
    </row>
    <row r="4821" spans="1:1" x14ac:dyDescent="0.2">
      <c r="A4821"/>
    </row>
    <row r="4822" spans="1:1" x14ac:dyDescent="0.2">
      <c r="A4822"/>
    </row>
    <row r="4823" spans="1:1" x14ac:dyDescent="0.2">
      <c r="A4823"/>
    </row>
    <row r="4824" spans="1:1" x14ac:dyDescent="0.2">
      <c r="A4824"/>
    </row>
    <row r="4825" spans="1:1" x14ac:dyDescent="0.2">
      <c r="A4825"/>
    </row>
    <row r="4826" spans="1:1" x14ac:dyDescent="0.2">
      <c r="A4826"/>
    </row>
    <row r="4827" spans="1:1" x14ac:dyDescent="0.2">
      <c r="A4827"/>
    </row>
    <row r="4828" spans="1:1" x14ac:dyDescent="0.2">
      <c r="A4828"/>
    </row>
    <row r="4829" spans="1:1" x14ac:dyDescent="0.2">
      <c r="A4829"/>
    </row>
    <row r="4830" spans="1:1" x14ac:dyDescent="0.2">
      <c r="A4830"/>
    </row>
    <row r="4831" spans="1:1" x14ac:dyDescent="0.2">
      <c r="A4831"/>
    </row>
    <row r="4832" spans="1:1" x14ac:dyDescent="0.2">
      <c r="A4832"/>
    </row>
    <row r="4833" spans="1:1" x14ac:dyDescent="0.2">
      <c r="A4833"/>
    </row>
    <row r="4834" spans="1:1" x14ac:dyDescent="0.2">
      <c r="A4834"/>
    </row>
    <row r="4835" spans="1:1" x14ac:dyDescent="0.2">
      <c r="A4835"/>
    </row>
    <row r="4836" spans="1:1" x14ac:dyDescent="0.2">
      <c r="A4836"/>
    </row>
    <row r="4837" spans="1:1" x14ac:dyDescent="0.2">
      <c r="A4837"/>
    </row>
    <row r="4838" spans="1:1" x14ac:dyDescent="0.2">
      <c r="A4838"/>
    </row>
    <row r="4839" spans="1:1" x14ac:dyDescent="0.2">
      <c r="A4839"/>
    </row>
    <row r="4840" spans="1:1" x14ac:dyDescent="0.2">
      <c r="A4840"/>
    </row>
    <row r="4841" spans="1:1" x14ac:dyDescent="0.2">
      <c r="A4841"/>
    </row>
    <row r="4842" spans="1:1" x14ac:dyDescent="0.2">
      <c r="A4842"/>
    </row>
    <row r="4843" spans="1:1" x14ac:dyDescent="0.2">
      <c r="A4843"/>
    </row>
    <row r="4844" spans="1:1" x14ac:dyDescent="0.2">
      <c r="A4844"/>
    </row>
    <row r="4845" spans="1:1" x14ac:dyDescent="0.2">
      <c r="A4845"/>
    </row>
    <row r="4846" spans="1:1" x14ac:dyDescent="0.2">
      <c r="A4846"/>
    </row>
    <row r="4847" spans="1:1" x14ac:dyDescent="0.2">
      <c r="A4847"/>
    </row>
    <row r="4848" spans="1:1" x14ac:dyDescent="0.2">
      <c r="A4848"/>
    </row>
    <row r="4849" spans="1:1" x14ac:dyDescent="0.2">
      <c r="A4849"/>
    </row>
    <row r="4850" spans="1:1" x14ac:dyDescent="0.2">
      <c r="A4850"/>
    </row>
    <row r="4851" spans="1:1" x14ac:dyDescent="0.2">
      <c r="A4851"/>
    </row>
    <row r="4852" spans="1:1" x14ac:dyDescent="0.2">
      <c r="A4852"/>
    </row>
    <row r="4853" spans="1:1" x14ac:dyDescent="0.2">
      <c r="A4853"/>
    </row>
    <row r="4854" spans="1:1" x14ac:dyDescent="0.2">
      <c r="A4854"/>
    </row>
    <row r="4855" spans="1:1" x14ac:dyDescent="0.2">
      <c r="A4855"/>
    </row>
    <row r="4856" spans="1:1" x14ac:dyDescent="0.2">
      <c r="A4856"/>
    </row>
    <row r="4857" spans="1:1" x14ac:dyDescent="0.2">
      <c r="A4857"/>
    </row>
    <row r="4858" spans="1:1" x14ac:dyDescent="0.2">
      <c r="A4858"/>
    </row>
    <row r="4859" spans="1:1" x14ac:dyDescent="0.2">
      <c r="A4859"/>
    </row>
    <row r="4860" spans="1:1" x14ac:dyDescent="0.2">
      <c r="A4860"/>
    </row>
    <row r="4861" spans="1:1" x14ac:dyDescent="0.2">
      <c r="A4861"/>
    </row>
    <row r="4862" spans="1:1" x14ac:dyDescent="0.2">
      <c r="A4862"/>
    </row>
    <row r="4863" spans="1:1" x14ac:dyDescent="0.2">
      <c r="A4863"/>
    </row>
    <row r="4864" spans="1:1" x14ac:dyDescent="0.2">
      <c r="A4864"/>
    </row>
    <row r="4865" spans="1:1" x14ac:dyDescent="0.2">
      <c r="A4865"/>
    </row>
    <row r="4866" spans="1:1" x14ac:dyDescent="0.2">
      <c r="A4866"/>
    </row>
    <row r="4867" spans="1:1" x14ac:dyDescent="0.2">
      <c r="A4867"/>
    </row>
    <row r="4868" spans="1:1" x14ac:dyDescent="0.2">
      <c r="A4868"/>
    </row>
    <row r="4869" spans="1:1" x14ac:dyDescent="0.2">
      <c r="A4869"/>
    </row>
    <row r="4870" spans="1:1" x14ac:dyDescent="0.2">
      <c r="A4870"/>
    </row>
    <row r="4871" spans="1:1" x14ac:dyDescent="0.2">
      <c r="A4871"/>
    </row>
    <row r="4872" spans="1:1" x14ac:dyDescent="0.2">
      <c r="A4872"/>
    </row>
    <row r="4873" spans="1:1" x14ac:dyDescent="0.2">
      <c r="A4873"/>
    </row>
    <row r="4874" spans="1:1" x14ac:dyDescent="0.2">
      <c r="A4874"/>
    </row>
    <row r="4875" spans="1:1" x14ac:dyDescent="0.2">
      <c r="A4875"/>
    </row>
    <row r="4876" spans="1:1" x14ac:dyDescent="0.2">
      <c r="A4876"/>
    </row>
    <row r="4877" spans="1:1" x14ac:dyDescent="0.2">
      <c r="A4877"/>
    </row>
    <row r="4878" spans="1:1" x14ac:dyDescent="0.2">
      <c r="A4878"/>
    </row>
    <row r="4879" spans="1:1" x14ac:dyDescent="0.2">
      <c r="A4879"/>
    </row>
    <row r="4880" spans="1:1" x14ac:dyDescent="0.2">
      <c r="A4880"/>
    </row>
    <row r="4881" spans="1:1" x14ac:dyDescent="0.2">
      <c r="A4881"/>
    </row>
    <row r="4882" spans="1:1" x14ac:dyDescent="0.2">
      <c r="A4882"/>
    </row>
    <row r="4883" spans="1:1" x14ac:dyDescent="0.2">
      <c r="A4883"/>
    </row>
    <row r="4884" spans="1:1" x14ac:dyDescent="0.2">
      <c r="A4884"/>
    </row>
    <row r="4885" spans="1:1" x14ac:dyDescent="0.2">
      <c r="A4885"/>
    </row>
    <row r="4886" spans="1:1" x14ac:dyDescent="0.2">
      <c r="A4886"/>
    </row>
    <row r="4887" spans="1:1" x14ac:dyDescent="0.2">
      <c r="A4887"/>
    </row>
    <row r="4888" spans="1:1" x14ac:dyDescent="0.2">
      <c r="A4888"/>
    </row>
    <row r="4889" spans="1:1" x14ac:dyDescent="0.2">
      <c r="A4889"/>
    </row>
    <row r="4890" spans="1:1" x14ac:dyDescent="0.2">
      <c r="A4890"/>
    </row>
    <row r="4891" spans="1:1" x14ac:dyDescent="0.2">
      <c r="A4891"/>
    </row>
    <row r="4892" spans="1:1" x14ac:dyDescent="0.2">
      <c r="A4892"/>
    </row>
    <row r="4893" spans="1:1" x14ac:dyDescent="0.2">
      <c r="A4893"/>
    </row>
    <row r="4894" spans="1:1" x14ac:dyDescent="0.2">
      <c r="A4894"/>
    </row>
    <row r="4895" spans="1:1" x14ac:dyDescent="0.2">
      <c r="A4895"/>
    </row>
    <row r="4896" spans="1:1" x14ac:dyDescent="0.2">
      <c r="A4896"/>
    </row>
    <row r="4897" spans="1:1" x14ac:dyDescent="0.2">
      <c r="A4897"/>
    </row>
    <row r="4898" spans="1:1" x14ac:dyDescent="0.2">
      <c r="A4898"/>
    </row>
    <row r="4899" spans="1:1" x14ac:dyDescent="0.2">
      <c r="A4899"/>
    </row>
    <row r="4900" spans="1:1" x14ac:dyDescent="0.2">
      <c r="A4900"/>
    </row>
    <row r="4901" spans="1:1" x14ac:dyDescent="0.2">
      <c r="A4901"/>
    </row>
    <row r="4902" spans="1:1" x14ac:dyDescent="0.2">
      <c r="A4902"/>
    </row>
    <row r="4903" spans="1:1" x14ac:dyDescent="0.2">
      <c r="A4903"/>
    </row>
    <row r="4904" spans="1:1" x14ac:dyDescent="0.2">
      <c r="A4904"/>
    </row>
    <row r="4905" spans="1:1" x14ac:dyDescent="0.2">
      <c r="A4905"/>
    </row>
    <row r="4906" spans="1:1" x14ac:dyDescent="0.2">
      <c r="A4906"/>
    </row>
    <row r="4907" spans="1:1" x14ac:dyDescent="0.2">
      <c r="A4907"/>
    </row>
    <row r="4908" spans="1:1" x14ac:dyDescent="0.2">
      <c r="A4908"/>
    </row>
    <row r="4909" spans="1:1" x14ac:dyDescent="0.2">
      <c r="A4909"/>
    </row>
    <row r="4910" spans="1:1" x14ac:dyDescent="0.2">
      <c r="A4910"/>
    </row>
    <row r="4911" spans="1:1" x14ac:dyDescent="0.2">
      <c r="A4911"/>
    </row>
    <row r="4912" spans="1:1" x14ac:dyDescent="0.2">
      <c r="A4912"/>
    </row>
    <row r="4913" spans="1:1" x14ac:dyDescent="0.2">
      <c r="A4913"/>
    </row>
    <row r="4914" spans="1:1" x14ac:dyDescent="0.2">
      <c r="A4914"/>
    </row>
    <row r="4915" spans="1:1" x14ac:dyDescent="0.2">
      <c r="A4915"/>
    </row>
    <row r="4916" spans="1:1" x14ac:dyDescent="0.2">
      <c r="A4916"/>
    </row>
    <row r="4917" spans="1:1" x14ac:dyDescent="0.2">
      <c r="A4917"/>
    </row>
    <row r="4918" spans="1:1" x14ac:dyDescent="0.2">
      <c r="A4918"/>
    </row>
    <row r="4919" spans="1:1" x14ac:dyDescent="0.2">
      <c r="A4919"/>
    </row>
    <row r="4920" spans="1:1" x14ac:dyDescent="0.2">
      <c r="A4920"/>
    </row>
    <row r="4921" spans="1:1" x14ac:dyDescent="0.2">
      <c r="A4921"/>
    </row>
    <row r="4922" spans="1:1" x14ac:dyDescent="0.2">
      <c r="A4922"/>
    </row>
    <row r="4923" spans="1:1" x14ac:dyDescent="0.2">
      <c r="A4923"/>
    </row>
    <row r="4924" spans="1:1" x14ac:dyDescent="0.2">
      <c r="A4924"/>
    </row>
    <row r="4925" spans="1:1" x14ac:dyDescent="0.2">
      <c r="A4925"/>
    </row>
    <row r="4926" spans="1:1" x14ac:dyDescent="0.2">
      <c r="A4926"/>
    </row>
    <row r="4927" spans="1:1" x14ac:dyDescent="0.2">
      <c r="A4927"/>
    </row>
    <row r="4928" spans="1:1" x14ac:dyDescent="0.2">
      <c r="A4928"/>
    </row>
    <row r="4929" spans="1:1" x14ac:dyDescent="0.2">
      <c r="A4929"/>
    </row>
    <row r="4930" spans="1:1" x14ac:dyDescent="0.2">
      <c r="A4930"/>
    </row>
    <row r="4931" spans="1:1" x14ac:dyDescent="0.2">
      <c r="A4931"/>
    </row>
    <row r="4932" spans="1:1" x14ac:dyDescent="0.2">
      <c r="A4932"/>
    </row>
    <row r="4933" spans="1:1" x14ac:dyDescent="0.2">
      <c r="A4933"/>
    </row>
    <row r="4934" spans="1:1" x14ac:dyDescent="0.2">
      <c r="A4934"/>
    </row>
    <row r="4935" spans="1:1" x14ac:dyDescent="0.2">
      <c r="A4935"/>
    </row>
    <row r="4936" spans="1:1" x14ac:dyDescent="0.2">
      <c r="A4936"/>
    </row>
    <row r="4937" spans="1:1" x14ac:dyDescent="0.2">
      <c r="A4937"/>
    </row>
    <row r="4938" spans="1:1" x14ac:dyDescent="0.2">
      <c r="A4938"/>
    </row>
    <row r="4939" spans="1:1" x14ac:dyDescent="0.2">
      <c r="A4939"/>
    </row>
    <row r="4940" spans="1:1" x14ac:dyDescent="0.2">
      <c r="A4940"/>
    </row>
    <row r="4941" spans="1:1" x14ac:dyDescent="0.2">
      <c r="A4941"/>
    </row>
    <row r="4942" spans="1:1" x14ac:dyDescent="0.2">
      <c r="A4942"/>
    </row>
    <row r="4943" spans="1:1" x14ac:dyDescent="0.2">
      <c r="A4943"/>
    </row>
    <row r="4944" spans="1:1" x14ac:dyDescent="0.2">
      <c r="A4944"/>
    </row>
    <row r="4945" spans="1:1" x14ac:dyDescent="0.2">
      <c r="A4945"/>
    </row>
    <row r="4946" spans="1:1" x14ac:dyDescent="0.2">
      <c r="A4946"/>
    </row>
    <row r="4947" spans="1:1" x14ac:dyDescent="0.2">
      <c r="A4947"/>
    </row>
    <row r="4948" spans="1:1" x14ac:dyDescent="0.2">
      <c r="A4948"/>
    </row>
    <row r="4949" spans="1:1" x14ac:dyDescent="0.2">
      <c r="A4949"/>
    </row>
    <row r="4950" spans="1:1" x14ac:dyDescent="0.2">
      <c r="A4950"/>
    </row>
    <row r="4951" spans="1:1" x14ac:dyDescent="0.2">
      <c r="A4951"/>
    </row>
    <row r="4952" spans="1:1" x14ac:dyDescent="0.2">
      <c r="A4952"/>
    </row>
    <row r="4953" spans="1:1" x14ac:dyDescent="0.2">
      <c r="A4953"/>
    </row>
    <row r="4954" spans="1:1" x14ac:dyDescent="0.2">
      <c r="A4954"/>
    </row>
    <row r="4955" spans="1:1" x14ac:dyDescent="0.2">
      <c r="A4955"/>
    </row>
    <row r="4956" spans="1:1" x14ac:dyDescent="0.2">
      <c r="A4956"/>
    </row>
    <row r="4957" spans="1:1" x14ac:dyDescent="0.2">
      <c r="A4957"/>
    </row>
    <row r="4958" spans="1:1" x14ac:dyDescent="0.2">
      <c r="A4958"/>
    </row>
    <row r="4959" spans="1:1" x14ac:dyDescent="0.2">
      <c r="A4959"/>
    </row>
    <row r="4960" spans="1:1" x14ac:dyDescent="0.2">
      <c r="A4960"/>
    </row>
    <row r="4961" spans="1:1" x14ac:dyDescent="0.2">
      <c r="A4961"/>
    </row>
    <row r="4962" spans="1:1" x14ac:dyDescent="0.2">
      <c r="A4962"/>
    </row>
    <row r="4963" spans="1:1" x14ac:dyDescent="0.2">
      <c r="A4963"/>
    </row>
    <row r="4964" spans="1:1" x14ac:dyDescent="0.2">
      <c r="A4964"/>
    </row>
    <row r="4965" spans="1:1" x14ac:dyDescent="0.2">
      <c r="A4965"/>
    </row>
    <row r="4966" spans="1:1" x14ac:dyDescent="0.2">
      <c r="A4966"/>
    </row>
    <row r="4967" spans="1:1" x14ac:dyDescent="0.2">
      <c r="A4967"/>
    </row>
    <row r="4968" spans="1:1" x14ac:dyDescent="0.2">
      <c r="A4968"/>
    </row>
    <row r="4969" spans="1:1" x14ac:dyDescent="0.2">
      <c r="A4969"/>
    </row>
    <row r="4970" spans="1:1" x14ac:dyDescent="0.2">
      <c r="A4970"/>
    </row>
    <row r="4971" spans="1:1" x14ac:dyDescent="0.2">
      <c r="A4971"/>
    </row>
    <row r="4972" spans="1:1" x14ac:dyDescent="0.2">
      <c r="A4972"/>
    </row>
    <row r="4973" spans="1:1" x14ac:dyDescent="0.2">
      <c r="A4973"/>
    </row>
    <row r="4974" spans="1:1" x14ac:dyDescent="0.2">
      <c r="A4974"/>
    </row>
    <row r="4975" spans="1:1" x14ac:dyDescent="0.2">
      <c r="A4975"/>
    </row>
    <row r="4976" spans="1:1" x14ac:dyDescent="0.2">
      <c r="A4976"/>
    </row>
    <row r="4977" spans="1:1" x14ac:dyDescent="0.2">
      <c r="A4977"/>
    </row>
    <row r="4978" spans="1:1" x14ac:dyDescent="0.2">
      <c r="A4978"/>
    </row>
    <row r="4979" spans="1:1" x14ac:dyDescent="0.2">
      <c r="A4979"/>
    </row>
    <row r="4980" spans="1:1" x14ac:dyDescent="0.2">
      <c r="A4980"/>
    </row>
    <row r="4981" spans="1:1" x14ac:dyDescent="0.2">
      <c r="A4981"/>
    </row>
    <row r="4982" spans="1:1" x14ac:dyDescent="0.2">
      <c r="A4982"/>
    </row>
    <row r="4983" spans="1:1" x14ac:dyDescent="0.2">
      <c r="A4983"/>
    </row>
    <row r="4984" spans="1:1" x14ac:dyDescent="0.2">
      <c r="A4984"/>
    </row>
    <row r="4985" spans="1:1" x14ac:dyDescent="0.2">
      <c r="A4985"/>
    </row>
    <row r="4986" spans="1:1" x14ac:dyDescent="0.2">
      <c r="A4986"/>
    </row>
    <row r="4987" spans="1:1" x14ac:dyDescent="0.2">
      <c r="A4987"/>
    </row>
    <row r="4988" spans="1:1" x14ac:dyDescent="0.2">
      <c r="A4988"/>
    </row>
    <row r="4989" spans="1:1" x14ac:dyDescent="0.2">
      <c r="A4989"/>
    </row>
    <row r="4990" spans="1:1" x14ac:dyDescent="0.2">
      <c r="A4990"/>
    </row>
    <row r="4991" spans="1:1" x14ac:dyDescent="0.2">
      <c r="A4991"/>
    </row>
    <row r="4992" spans="1:1" x14ac:dyDescent="0.2">
      <c r="A4992"/>
    </row>
    <row r="4993" spans="1:1" x14ac:dyDescent="0.2">
      <c r="A4993"/>
    </row>
    <row r="4994" spans="1:1" x14ac:dyDescent="0.2">
      <c r="A4994"/>
    </row>
    <row r="4995" spans="1:1" x14ac:dyDescent="0.2">
      <c r="A4995"/>
    </row>
    <row r="4996" spans="1:1" x14ac:dyDescent="0.2">
      <c r="A4996"/>
    </row>
    <row r="4997" spans="1:1" x14ac:dyDescent="0.2">
      <c r="A4997"/>
    </row>
    <row r="4998" spans="1:1" x14ac:dyDescent="0.2">
      <c r="A4998"/>
    </row>
    <row r="4999" spans="1:1" x14ac:dyDescent="0.2">
      <c r="A4999"/>
    </row>
    <row r="5000" spans="1:1" x14ac:dyDescent="0.2">
      <c r="A5000"/>
    </row>
    <row r="5001" spans="1:1" x14ac:dyDescent="0.2">
      <c r="A5001"/>
    </row>
    <row r="5002" spans="1:1" x14ac:dyDescent="0.2">
      <c r="A5002"/>
    </row>
    <row r="5003" spans="1:1" x14ac:dyDescent="0.2">
      <c r="A5003"/>
    </row>
    <row r="5004" spans="1:1" x14ac:dyDescent="0.2">
      <c r="A5004"/>
    </row>
    <row r="5005" spans="1:1" x14ac:dyDescent="0.2">
      <c r="A5005"/>
    </row>
    <row r="5006" spans="1:1" x14ac:dyDescent="0.2">
      <c r="A5006"/>
    </row>
    <row r="5007" spans="1:1" x14ac:dyDescent="0.2">
      <c r="A5007"/>
    </row>
    <row r="5008" spans="1:1" x14ac:dyDescent="0.2">
      <c r="A5008"/>
    </row>
    <row r="5009" spans="1:1" x14ac:dyDescent="0.2">
      <c r="A5009"/>
    </row>
    <row r="5010" spans="1:1" x14ac:dyDescent="0.2">
      <c r="A5010"/>
    </row>
    <row r="5011" spans="1:1" x14ac:dyDescent="0.2">
      <c r="A5011"/>
    </row>
    <row r="5012" spans="1:1" x14ac:dyDescent="0.2">
      <c r="A5012"/>
    </row>
    <row r="5013" spans="1:1" x14ac:dyDescent="0.2">
      <c r="A5013"/>
    </row>
    <row r="5014" spans="1:1" x14ac:dyDescent="0.2">
      <c r="A5014"/>
    </row>
    <row r="5015" spans="1:1" x14ac:dyDescent="0.2">
      <c r="A5015"/>
    </row>
    <row r="5016" spans="1:1" x14ac:dyDescent="0.2">
      <c r="A5016"/>
    </row>
    <row r="5017" spans="1:1" x14ac:dyDescent="0.2">
      <c r="A5017"/>
    </row>
    <row r="5018" spans="1:1" x14ac:dyDescent="0.2">
      <c r="A5018"/>
    </row>
    <row r="5019" spans="1:1" x14ac:dyDescent="0.2">
      <c r="A5019"/>
    </row>
    <row r="5020" spans="1:1" x14ac:dyDescent="0.2">
      <c r="A5020"/>
    </row>
    <row r="5021" spans="1:1" x14ac:dyDescent="0.2">
      <c r="A5021"/>
    </row>
    <row r="5022" spans="1:1" x14ac:dyDescent="0.2">
      <c r="A5022"/>
    </row>
    <row r="5023" spans="1:1" x14ac:dyDescent="0.2">
      <c r="A5023"/>
    </row>
    <row r="5024" spans="1:1" x14ac:dyDescent="0.2">
      <c r="A5024"/>
    </row>
    <row r="5025" spans="1:1" x14ac:dyDescent="0.2">
      <c r="A5025"/>
    </row>
    <row r="5026" spans="1:1" x14ac:dyDescent="0.2">
      <c r="A5026"/>
    </row>
    <row r="5027" spans="1:1" x14ac:dyDescent="0.2">
      <c r="A5027"/>
    </row>
    <row r="5028" spans="1:1" x14ac:dyDescent="0.2">
      <c r="A5028"/>
    </row>
    <row r="5029" spans="1:1" x14ac:dyDescent="0.2">
      <c r="A5029"/>
    </row>
    <row r="5030" spans="1:1" x14ac:dyDescent="0.2">
      <c r="A5030"/>
    </row>
    <row r="5031" spans="1:1" x14ac:dyDescent="0.2">
      <c r="A5031"/>
    </row>
    <row r="5032" spans="1:1" x14ac:dyDescent="0.2">
      <c r="A5032"/>
    </row>
    <row r="5033" spans="1:1" x14ac:dyDescent="0.2">
      <c r="A5033"/>
    </row>
    <row r="5034" spans="1:1" x14ac:dyDescent="0.2">
      <c r="A5034"/>
    </row>
    <row r="5035" spans="1:1" x14ac:dyDescent="0.2">
      <c r="A5035"/>
    </row>
    <row r="5036" spans="1:1" x14ac:dyDescent="0.2">
      <c r="A5036"/>
    </row>
    <row r="5037" spans="1:1" x14ac:dyDescent="0.2">
      <c r="A5037"/>
    </row>
    <row r="5038" spans="1:1" x14ac:dyDescent="0.2">
      <c r="A5038"/>
    </row>
    <row r="5039" spans="1:1" x14ac:dyDescent="0.2">
      <c r="A5039"/>
    </row>
    <row r="5040" spans="1:1" x14ac:dyDescent="0.2">
      <c r="A5040"/>
    </row>
    <row r="5041" spans="1:1" x14ac:dyDescent="0.2">
      <c r="A5041"/>
    </row>
    <row r="5042" spans="1:1" x14ac:dyDescent="0.2">
      <c r="A5042"/>
    </row>
    <row r="5043" spans="1:1" x14ac:dyDescent="0.2">
      <c r="A5043"/>
    </row>
    <row r="5044" spans="1:1" x14ac:dyDescent="0.2">
      <c r="A5044"/>
    </row>
    <row r="5045" spans="1:1" x14ac:dyDescent="0.2">
      <c r="A5045"/>
    </row>
    <row r="5046" spans="1:1" x14ac:dyDescent="0.2">
      <c r="A5046"/>
    </row>
    <row r="5047" spans="1:1" x14ac:dyDescent="0.2">
      <c r="A5047"/>
    </row>
    <row r="5048" spans="1:1" x14ac:dyDescent="0.2">
      <c r="A5048"/>
    </row>
    <row r="5049" spans="1:1" x14ac:dyDescent="0.2">
      <c r="A5049"/>
    </row>
    <row r="5050" spans="1:1" x14ac:dyDescent="0.2">
      <c r="A5050"/>
    </row>
    <row r="5051" spans="1:1" x14ac:dyDescent="0.2">
      <c r="A5051"/>
    </row>
    <row r="5052" spans="1:1" x14ac:dyDescent="0.2">
      <c r="A5052"/>
    </row>
    <row r="5053" spans="1:1" x14ac:dyDescent="0.2">
      <c r="A5053"/>
    </row>
    <row r="5054" spans="1:1" x14ac:dyDescent="0.2">
      <c r="A5054"/>
    </row>
    <row r="5055" spans="1:1" x14ac:dyDescent="0.2">
      <c r="A5055"/>
    </row>
    <row r="5056" spans="1:1" x14ac:dyDescent="0.2">
      <c r="A5056"/>
    </row>
    <row r="5057" spans="1:1" x14ac:dyDescent="0.2">
      <c r="A5057"/>
    </row>
    <row r="5058" spans="1:1" x14ac:dyDescent="0.2">
      <c r="A5058"/>
    </row>
    <row r="5059" spans="1:1" x14ac:dyDescent="0.2">
      <c r="A5059"/>
    </row>
    <row r="5060" spans="1:1" x14ac:dyDescent="0.2">
      <c r="A5060"/>
    </row>
    <row r="5061" spans="1:1" x14ac:dyDescent="0.2">
      <c r="A5061"/>
    </row>
    <row r="5062" spans="1:1" x14ac:dyDescent="0.2">
      <c r="A5062"/>
    </row>
    <row r="5063" spans="1:1" x14ac:dyDescent="0.2">
      <c r="A5063"/>
    </row>
    <row r="5064" spans="1:1" x14ac:dyDescent="0.2">
      <c r="A5064"/>
    </row>
    <row r="5065" spans="1:1" x14ac:dyDescent="0.2">
      <c r="A5065"/>
    </row>
    <row r="5066" spans="1:1" x14ac:dyDescent="0.2">
      <c r="A5066"/>
    </row>
    <row r="5067" spans="1:1" x14ac:dyDescent="0.2">
      <c r="A5067"/>
    </row>
    <row r="5068" spans="1:1" x14ac:dyDescent="0.2">
      <c r="A5068"/>
    </row>
    <row r="5069" spans="1:1" x14ac:dyDescent="0.2">
      <c r="A5069"/>
    </row>
    <row r="5070" spans="1:1" x14ac:dyDescent="0.2">
      <c r="A5070"/>
    </row>
    <row r="5071" spans="1:1" x14ac:dyDescent="0.2">
      <c r="A5071"/>
    </row>
    <row r="5072" spans="1:1" x14ac:dyDescent="0.2">
      <c r="A5072"/>
    </row>
    <row r="5073" spans="1:1" x14ac:dyDescent="0.2">
      <c r="A5073"/>
    </row>
    <row r="5074" spans="1:1" x14ac:dyDescent="0.2">
      <c r="A5074"/>
    </row>
    <row r="5075" spans="1:1" x14ac:dyDescent="0.2">
      <c r="A5075"/>
    </row>
    <row r="5076" spans="1:1" x14ac:dyDescent="0.2">
      <c r="A5076"/>
    </row>
    <row r="5077" spans="1:1" x14ac:dyDescent="0.2">
      <c r="A5077"/>
    </row>
    <row r="5078" spans="1:1" x14ac:dyDescent="0.2">
      <c r="A5078"/>
    </row>
    <row r="5079" spans="1:1" x14ac:dyDescent="0.2">
      <c r="A5079"/>
    </row>
    <row r="5080" spans="1:1" x14ac:dyDescent="0.2">
      <c r="A5080"/>
    </row>
    <row r="5081" spans="1:1" x14ac:dyDescent="0.2">
      <c r="A5081"/>
    </row>
    <row r="5082" spans="1:1" x14ac:dyDescent="0.2">
      <c r="A5082"/>
    </row>
    <row r="5083" spans="1:1" x14ac:dyDescent="0.2">
      <c r="A5083"/>
    </row>
    <row r="5084" spans="1:1" x14ac:dyDescent="0.2">
      <c r="A5084"/>
    </row>
    <row r="5085" spans="1:1" x14ac:dyDescent="0.2">
      <c r="A5085"/>
    </row>
    <row r="5086" spans="1:1" x14ac:dyDescent="0.2">
      <c r="A5086"/>
    </row>
    <row r="5087" spans="1:1" x14ac:dyDescent="0.2">
      <c r="A5087"/>
    </row>
    <row r="5088" spans="1:1" x14ac:dyDescent="0.2">
      <c r="A5088"/>
    </row>
    <row r="5089" spans="1:1" x14ac:dyDescent="0.2">
      <c r="A5089"/>
    </row>
    <row r="5090" spans="1:1" x14ac:dyDescent="0.2">
      <c r="A5090"/>
    </row>
    <row r="5091" spans="1:1" x14ac:dyDescent="0.2">
      <c r="A5091"/>
    </row>
    <row r="5092" spans="1:1" x14ac:dyDescent="0.2">
      <c r="A5092"/>
    </row>
    <row r="5093" spans="1:1" x14ac:dyDescent="0.2">
      <c r="A5093"/>
    </row>
    <row r="5094" spans="1:1" x14ac:dyDescent="0.2">
      <c r="A5094"/>
    </row>
    <row r="5095" spans="1:1" x14ac:dyDescent="0.2">
      <c r="A5095"/>
    </row>
    <row r="5096" spans="1:1" x14ac:dyDescent="0.2">
      <c r="A5096"/>
    </row>
    <row r="5097" spans="1:1" x14ac:dyDescent="0.2">
      <c r="A5097"/>
    </row>
    <row r="5098" spans="1:1" x14ac:dyDescent="0.2">
      <c r="A5098"/>
    </row>
    <row r="5099" spans="1:1" x14ac:dyDescent="0.2">
      <c r="A5099"/>
    </row>
    <row r="5100" spans="1:1" x14ac:dyDescent="0.2">
      <c r="A5100"/>
    </row>
    <row r="5101" spans="1:1" x14ac:dyDescent="0.2">
      <c r="A5101"/>
    </row>
    <row r="5102" spans="1:1" x14ac:dyDescent="0.2">
      <c r="A5102"/>
    </row>
    <row r="5103" spans="1:1" x14ac:dyDescent="0.2">
      <c r="A5103"/>
    </row>
    <row r="5104" spans="1:1" x14ac:dyDescent="0.2">
      <c r="A5104"/>
    </row>
    <row r="5105" spans="1:1" x14ac:dyDescent="0.2">
      <c r="A5105"/>
    </row>
    <row r="5106" spans="1:1" x14ac:dyDescent="0.2">
      <c r="A5106"/>
    </row>
    <row r="5107" spans="1:1" x14ac:dyDescent="0.2">
      <c r="A5107"/>
    </row>
    <row r="5108" spans="1:1" x14ac:dyDescent="0.2">
      <c r="A5108"/>
    </row>
    <row r="5109" spans="1:1" x14ac:dyDescent="0.2">
      <c r="A5109"/>
    </row>
    <row r="5110" spans="1:1" x14ac:dyDescent="0.2">
      <c r="A5110"/>
    </row>
    <row r="5111" spans="1:1" x14ac:dyDescent="0.2">
      <c r="A5111"/>
    </row>
    <row r="5112" spans="1:1" x14ac:dyDescent="0.2">
      <c r="A5112"/>
    </row>
    <row r="5113" spans="1:1" x14ac:dyDescent="0.2">
      <c r="A5113"/>
    </row>
    <row r="5114" spans="1:1" x14ac:dyDescent="0.2">
      <c r="A5114"/>
    </row>
    <row r="5115" spans="1:1" x14ac:dyDescent="0.2">
      <c r="A5115"/>
    </row>
    <row r="5116" spans="1:1" x14ac:dyDescent="0.2">
      <c r="A5116"/>
    </row>
    <row r="5117" spans="1:1" x14ac:dyDescent="0.2">
      <c r="A5117"/>
    </row>
    <row r="5118" spans="1:1" x14ac:dyDescent="0.2">
      <c r="A5118"/>
    </row>
    <row r="5119" spans="1:1" x14ac:dyDescent="0.2">
      <c r="A5119"/>
    </row>
    <row r="5120" spans="1:1" x14ac:dyDescent="0.2">
      <c r="A5120"/>
    </row>
    <row r="5121" spans="1:1" x14ac:dyDescent="0.2">
      <c r="A5121"/>
    </row>
    <row r="5122" spans="1:1" x14ac:dyDescent="0.2">
      <c r="A5122"/>
    </row>
    <row r="5123" spans="1:1" x14ac:dyDescent="0.2">
      <c r="A5123"/>
    </row>
    <row r="5124" spans="1:1" x14ac:dyDescent="0.2">
      <c r="A5124"/>
    </row>
    <row r="5125" spans="1:1" x14ac:dyDescent="0.2">
      <c r="A5125"/>
    </row>
    <row r="5126" spans="1:1" x14ac:dyDescent="0.2">
      <c r="A5126"/>
    </row>
    <row r="5127" spans="1:1" x14ac:dyDescent="0.2">
      <c r="A5127"/>
    </row>
    <row r="5128" spans="1:1" x14ac:dyDescent="0.2">
      <c r="A5128"/>
    </row>
    <row r="5129" spans="1:1" x14ac:dyDescent="0.2">
      <c r="A5129"/>
    </row>
    <row r="5130" spans="1:1" x14ac:dyDescent="0.2">
      <c r="A5130"/>
    </row>
    <row r="5131" spans="1:1" x14ac:dyDescent="0.2">
      <c r="A5131"/>
    </row>
    <row r="5132" spans="1:1" x14ac:dyDescent="0.2">
      <c r="A5132"/>
    </row>
    <row r="5133" spans="1:1" x14ac:dyDescent="0.2">
      <c r="A5133"/>
    </row>
    <row r="5134" spans="1:1" x14ac:dyDescent="0.2">
      <c r="A5134"/>
    </row>
    <row r="5135" spans="1:1" x14ac:dyDescent="0.2">
      <c r="A5135"/>
    </row>
    <row r="5136" spans="1:1" x14ac:dyDescent="0.2">
      <c r="A5136"/>
    </row>
    <row r="5137" spans="1:1" x14ac:dyDescent="0.2">
      <c r="A5137"/>
    </row>
    <row r="5138" spans="1:1" x14ac:dyDescent="0.2">
      <c r="A5138"/>
    </row>
    <row r="5139" spans="1:1" x14ac:dyDescent="0.2">
      <c r="A5139"/>
    </row>
    <row r="5140" spans="1:1" x14ac:dyDescent="0.2">
      <c r="A5140"/>
    </row>
    <row r="5141" spans="1:1" x14ac:dyDescent="0.2">
      <c r="A5141"/>
    </row>
    <row r="5142" spans="1:1" x14ac:dyDescent="0.2">
      <c r="A5142"/>
    </row>
    <row r="5143" spans="1:1" x14ac:dyDescent="0.2">
      <c r="A5143"/>
    </row>
    <row r="5144" spans="1:1" x14ac:dyDescent="0.2">
      <c r="A5144"/>
    </row>
    <row r="5145" spans="1:1" x14ac:dyDescent="0.2">
      <c r="A5145"/>
    </row>
    <row r="5146" spans="1:1" x14ac:dyDescent="0.2">
      <c r="A5146"/>
    </row>
    <row r="5147" spans="1:1" x14ac:dyDescent="0.2">
      <c r="A5147"/>
    </row>
    <row r="5148" spans="1:1" x14ac:dyDescent="0.2">
      <c r="A5148"/>
    </row>
    <row r="5149" spans="1:1" x14ac:dyDescent="0.2">
      <c r="A5149"/>
    </row>
    <row r="5150" spans="1:1" x14ac:dyDescent="0.2">
      <c r="A5150"/>
    </row>
    <row r="5151" spans="1:1" x14ac:dyDescent="0.2">
      <c r="A5151"/>
    </row>
    <row r="5152" spans="1:1" x14ac:dyDescent="0.2">
      <c r="A5152"/>
    </row>
    <row r="5153" spans="1:1" x14ac:dyDescent="0.2">
      <c r="A5153"/>
    </row>
    <row r="5154" spans="1:1" x14ac:dyDescent="0.2">
      <c r="A5154"/>
    </row>
    <row r="5155" spans="1:1" x14ac:dyDescent="0.2">
      <c r="A5155"/>
    </row>
    <row r="5156" spans="1:1" x14ac:dyDescent="0.2">
      <c r="A5156"/>
    </row>
    <row r="5157" spans="1:1" x14ac:dyDescent="0.2">
      <c r="A5157"/>
    </row>
    <row r="5158" spans="1:1" x14ac:dyDescent="0.2">
      <c r="A5158"/>
    </row>
    <row r="5159" spans="1:1" x14ac:dyDescent="0.2">
      <c r="A5159"/>
    </row>
    <row r="5160" spans="1:1" x14ac:dyDescent="0.2">
      <c r="A5160"/>
    </row>
    <row r="5161" spans="1:1" x14ac:dyDescent="0.2">
      <c r="A5161"/>
    </row>
    <row r="5162" spans="1:1" x14ac:dyDescent="0.2">
      <c r="A5162"/>
    </row>
    <row r="5163" spans="1:1" x14ac:dyDescent="0.2">
      <c r="A5163"/>
    </row>
    <row r="5164" spans="1:1" x14ac:dyDescent="0.2">
      <c r="A5164"/>
    </row>
    <row r="5165" spans="1:1" x14ac:dyDescent="0.2">
      <c r="A5165"/>
    </row>
    <row r="5166" spans="1:1" x14ac:dyDescent="0.2">
      <c r="A5166"/>
    </row>
    <row r="5167" spans="1:1" x14ac:dyDescent="0.2">
      <c r="A5167"/>
    </row>
    <row r="5168" spans="1:1" x14ac:dyDescent="0.2">
      <c r="A5168"/>
    </row>
    <row r="5169" spans="1:1" x14ac:dyDescent="0.2">
      <c r="A5169"/>
    </row>
    <row r="5170" spans="1:1" x14ac:dyDescent="0.2">
      <c r="A5170"/>
    </row>
    <row r="5171" spans="1:1" x14ac:dyDescent="0.2">
      <c r="A5171"/>
    </row>
    <row r="5172" spans="1:1" x14ac:dyDescent="0.2">
      <c r="A5172"/>
    </row>
    <row r="5173" spans="1:1" x14ac:dyDescent="0.2">
      <c r="A5173"/>
    </row>
    <row r="5174" spans="1:1" x14ac:dyDescent="0.2">
      <c r="A5174"/>
    </row>
    <row r="5175" spans="1:1" x14ac:dyDescent="0.2">
      <c r="A5175"/>
    </row>
    <row r="5176" spans="1:1" x14ac:dyDescent="0.2">
      <c r="A5176"/>
    </row>
    <row r="5177" spans="1:1" x14ac:dyDescent="0.2">
      <c r="A5177"/>
    </row>
    <row r="5178" spans="1:1" x14ac:dyDescent="0.2">
      <c r="A5178"/>
    </row>
    <row r="5179" spans="1:1" x14ac:dyDescent="0.2">
      <c r="A5179"/>
    </row>
    <row r="5180" spans="1:1" x14ac:dyDescent="0.2">
      <c r="A5180"/>
    </row>
    <row r="5181" spans="1:1" x14ac:dyDescent="0.2">
      <c r="A5181"/>
    </row>
    <row r="5182" spans="1:1" x14ac:dyDescent="0.2">
      <c r="A5182"/>
    </row>
    <row r="5183" spans="1:1" x14ac:dyDescent="0.2">
      <c r="A5183"/>
    </row>
    <row r="5184" spans="1:1" x14ac:dyDescent="0.2">
      <c r="A5184"/>
    </row>
    <row r="5185" spans="1:1" x14ac:dyDescent="0.2">
      <c r="A5185"/>
    </row>
    <row r="5186" spans="1:1" x14ac:dyDescent="0.2">
      <c r="A5186"/>
    </row>
    <row r="5187" spans="1:1" x14ac:dyDescent="0.2">
      <c r="A5187"/>
    </row>
    <row r="5188" spans="1:1" x14ac:dyDescent="0.2">
      <c r="A5188"/>
    </row>
    <row r="5189" spans="1:1" x14ac:dyDescent="0.2">
      <c r="A5189"/>
    </row>
    <row r="5190" spans="1:1" x14ac:dyDescent="0.2">
      <c r="A5190"/>
    </row>
    <row r="5191" spans="1:1" x14ac:dyDescent="0.2">
      <c r="A5191"/>
    </row>
    <row r="5192" spans="1:1" x14ac:dyDescent="0.2">
      <c r="A5192"/>
    </row>
    <row r="5193" spans="1:1" x14ac:dyDescent="0.2">
      <c r="A5193"/>
    </row>
    <row r="5194" spans="1:1" x14ac:dyDescent="0.2">
      <c r="A5194"/>
    </row>
    <row r="5195" spans="1:1" x14ac:dyDescent="0.2">
      <c r="A5195"/>
    </row>
    <row r="5196" spans="1:1" x14ac:dyDescent="0.2">
      <c r="A5196"/>
    </row>
    <row r="5197" spans="1:1" x14ac:dyDescent="0.2">
      <c r="A5197"/>
    </row>
    <row r="5198" spans="1:1" x14ac:dyDescent="0.2">
      <c r="A5198"/>
    </row>
    <row r="5199" spans="1:1" x14ac:dyDescent="0.2">
      <c r="A5199"/>
    </row>
    <row r="5200" spans="1:1" x14ac:dyDescent="0.2">
      <c r="A5200"/>
    </row>
    <row r="5201" spans="1:1" x14ac:dyDescent="0.2">
      <c r="A5201"/>
    </row>
    <row r="5202" spans="1:1" x14ac:dyDescent="0.2">
      <c r="A5202"/>
    </row>
    <row r="5203" spans="1:1" x14ac:dyDescent="0.2">
      <c r="A5203"/>
    </row>
    <row r="5204" spans="1:1" x14ac:dyDescent="0.2">
      <c r="A5204"/>
    </row>
    <row r="5205" spans="1:1" x14ac:dyDescent="0.2">
      <c r="A5205"/>
    </row>
    <row r="5206" spans="1:1" x14ac:dyDescent="0.2">
      <c r="A5206"/>
    </row>
    <row r="5207" spans="1:1" x14ac:dyDescent="0.2">
      <c r="A5207"/>
    </row>
    <row r="5208" spans="1:1" x14ac:dyDescent="0.2">
      <c r="A5208"/>
    </row>
    <row r="5209" spans="1:1" x14ac:dyDescent="0.2">
      <c r="A5209"/>
    </row>
    <row r="5210" spans="1:1" x14ac:dyDescent="0.2">
      <c r="A5210"/>
    </row>
    <row r="5211" spans="1:1" x14ac:dyDescent="0.2">
      <c r="A5211"/>
    </row>
    <row r="5212" spans="1:1" x14ac:dyDescent="0.2">
      <c r="A5212"/>
    </row>
    <row r="5213" spans="1:1" x14ac:dyDescent="0.2">
      <c r="A5213"/>
    </row>
    <row r="5214" spans="1:1" x14ac:dyDescent="0.2">
      <c r="A5214"/>
    </row>
    <row r="5215" spans="1:1" x14ac:dyDescent="0.2">
      <c r="A5215"/>
    </row>
    <row r="5216" spans="1:1" x14ac:dyDescent="0.2">
      <c r="A5216"/>
    </row>
    <row r="5217" spans="1:1" x14ac:dyDescent="0.2">
      <c r="A5217"/>
    </row>
    <row r="5218" spans="1:1" x14ac:dyDescent="0.2">
      <c r="A5218"/>
    </row>
    <row r="5219" spans="1:1" x14ac:dyDescent="0.2">
      <c r="A5219"/>
    </row>
    <row r="5220" spans="1:1" x14ac:dyDescent="0.2">
      <c r="A5220"/>
    </row>
    <row r="5221" spans="1:1" x14ac:dyDescent="0.2">
      <c r="A5221"/>
    </row>
    <row r="5222" spans="1:1" x14ac:dyDescent="0.2">
      <c r="A5222"/>
    </row>
    <row r="5223" spans="1:1" x14ac:dyDescent="0.2">
      <c r="A5223"/>
    </row>
    <row r="5224" spans="1:1" x14ac:dyDescent="0.2">
      <c r="A5224"/>
    </row>
    <row r="5225" spans="1:1" x14ac:dyDescent="0.2">
      <c r="A5225"/>
    </row>
    <row r="5226" spans="1:1" x14ac:dyDescent="0.2">
      <c r="A5226"/>
    </row>
    <row r="5227" spans="1:1" x14ac:dyDescent="0.2">
      <c r="A5227"/>
    </row>
    <row r="5228" spans="1:1" x14ac:dyDescent="0.2">
      <c r="A5228"/>
    </row>
    <row r="5229" spans="1:1" x14ac:dyDescent="0.2">
      <c r="A5229"/>
    </row>
    <row r="5230" spans="1:1" x14ac:dyDescent="0.2">
      <c r="A5230"/>
    </row>
    <row r="5231" spans="1:1" x14ac:dyDescent="0.2">
      <c r="A5231"/>
    </row>
    <row r="5232" spans="1:1" x14ac:dyDescent="0.2">
      <c r="A5232"/>
    </row>
    <row r="5233" spans="1:1" x14ac:dyDescent="0.2">
      <c r="A5233"/>
    </row>
    <row r="5234" spans="1:1" x14ac:dyDescent="0.2">
      <c r="A5234"/>
    </row>
    <row r="5235" spans="1:1" x14ac:dyDescent="0.2">
      <c r="A5235"/>
    </row>
    <row r="5236" spans="1:1" x14ac:dyDescent="0.2">
      <c r="A5236"/>
    </row>
    <row r="5237" spans="1:1" x14ac:dyDescent="0.2">
      <c r="A5237"/>
    </row>
    <row r="5238" spans="1:1" x14ac:dyDescent="0.2">
      <c r="A5238"/>
    </row>
    <row r="5239" spans="1:1" x14ac:dyDescent="0.2">
      <c r="A5239"/>
    </row>
    <row r="5240" spans="1:1" x14ac:dyDescent="0.2">
      <c r="A5240"/>
    </row>
    <row r="5241" spans="1:1" x14ac:dyDescent="0.2">
      <c r="A5241"/>
    </row>
    <row r="5242" spans="1:1" x14ac:dyDescent="0.2">
      <c r="A5242"/>
    </row>
    <row r="5243" spans="1:1" x14ac:dyDescent="0.2">
      <c r="A5243"/>
    </row>
    <row r="5244" spans="1:1" x14ac:dyDescent="0.2">
      <c r="A5244"/>
    </row>
    <row r="5245" spans="1:1" x14ac:dyDescent="0.2">
      <c r="A5245"/>
    </row>
    <row r="5246" spans="1:1" x14ac:dyDescent="0.2">
      <c r="A5246"/>
    </row>
    <row r="5247" spans="1:1" x14ac:dyDescent="0.2">
      <c r="A5247"/>
    </row>
    <row r="5248" spans="1:1" x14ac:dyDescent="0.2">
      <c r="A5248"/>
    </row>
    <row r="5249" spans="1:1" x14ac:dyDescent="0.2">
      <c r="A5249"/>
    </row>
    <row r="5250" spans="1:1" x14ac:dyDescent="0.2">
      <c r="A5250"/>
    </row>
    <row r="5251" spans="1:1" x14ac:dyDescent="0.2">
      <c r="A5251"/>
    </row>
    <row r="5252" spans="1:1" x14ac:dyDescent="0.2">
      <c r="A5252"/>
    </row>
    <row r="5253" spans="1:1" x14ac:dyDescent="0.2">
      <c r="A5253"/>
    </row>
    <row r="5254" spans="1:1" x14ac:dyDescent="0.2">
      <c r="A5254"/>
    </row>
    <row r="5255" spans="1:1" x14ac:dyDescent="0.2">
      <c r="A5255"/>
    </row>
    <row r="5256" spans="1:1" x14ac:dyDescent="0.2">
      <c r="A5256"/>
    </row>
    <row r="5257" spans="1:1" x14ac:dyDescent="0.2">
      <c r="A5257"/>
    </row>
    <row r="5258" spans="1:1" x14ac:dyDescent="0.2">
      <c r="A5258"/>
    </row>
    <row r="5259" spans="1:1" x14ac:dyDescent="0.2">
      <c r="A5259"/>
    </row>
    <row r="5260" spans="1:1" x14ac:dyDescent="0.2">
      <c r="A5260"/>
    </row>
    <row r="5261" spans="1:1" x14ac:dyDescent="0.2">
      <c r="A5261"/>
    </row>
    <row r="5262" spans="1:1" x14ac:dyDescent="0.2">
      <c r="A5262"/>
    </row>
    <row r="5263" spans="1:1" x14ac:dyDescent="0.2">
      <c r="A5263"/>
    </row>
    <row r="5264" spans="1:1" x14ac:dyDescent="0.2">
      <c r="A5264"/>
    </row>
    <row r="5265" spans="1:1" x14ac:dyDescent="0.2">
      <c r="A5265"/>
    </row>
    <row r="5266" spans="1:1" x14ac:dyDescent="0.2">
      <c r="A5266"/>
    </row>
    <row r="5267" spans="1:1" x14ac:dyDescent="0.2">
      <c r="A5267"/>
    </row>
    <row r="5268" spans="1:1" x14ac:dyDescent="0.2">
      <c r="A5268"/>
    </row>
    <row r="5269" spans="1:1" x14ac:dyDescent="0.2">
      <c r="A5269"/>
    </row>
    <row r="5270" spans="1:1" x14ac:dyDescent="0.2">
      <c r="A5270"/>
    </row>
    <row r="5271" spans="1:1" x14ac:dyDescent="0.2">
      <c r="A5271"/>
    </row>
    <row r="5272" spans="1:1" x14ac:dyDescent="0.2">
      <c r="A5272"/>
    </row>
    <row r="5273" spans="1:1" x14ac:dyDescent="0.2">
      <c r="A5273"/>
    </row>
    <row r="5274" spans="1:1" x14ac:dyDescent="0.2">
      <c r="A5274"/>
    </row>
    <row r="5275" spans="1:1" x14ac:dyDescent="0.2">
      <c r="A5275"/>
    </row>
    <row r="5276" spans="1:1" x14ac:dyDescent="0.2">
      <c r="A5276"/>
    </row>
    <row r="5277" spans="1:1" x14ac:dyDescent="0.2">
      <c r="A5277"/>
    </row>
    <row r="5278" spans="1:1" x14ac:dyDescent="0.2">
      <c r="A5278"/>
    </row>
    <row r="5279" spans="1:1" x14ac:dyDescent="0.2">
      <c r="A5279"/>
    </row>
    <row r="5280" spans="1:1" x14ac:dyDescent="0.2">
      <c r="A5280"/>
    </row>
    <row r="5281" spans="1:1" x14ac:dyDescent="0.2">
      <c r="A5281"/>
    </row>
    <row r="5282" spans="1:1" x14ac:dyDescent="0.2">
      <c r="A5282"/>
    </row>
    <row r="5283" spans="1:1" x14ac:dyDescent="0.2">
      <c r="A5283"/>
    </row>
    <row r="5284" spans="1:1" x14ac:dyDescent="0.2">
      <c r="A5284"/>
    </row>
    <row r="5285" spans="1:1" x14ac:dyDescent="0.2">
      <c r="A5285"/>
    </row>
    <row r="5286" spans="1:1" x14ac:dyDescent="0.2">
      <c r="A5286"/>
    </row>
    <row r="5287" spans="1:1" x14ac:dyDescent="0.2">
      <c r="A5287"/>
    </row>
    <row r="5288" spans="1:1" x14ac:dyDescent="0.2">
      <c r="A5288"/>
    </row>
    <row r="5289" spans="1:1" x14ac:dyDescent="0.2">
      <c r="A5289"/>
    </row>
    <row r="5290" spans="1:1" x14ac:dyDescent="0.2">
      <c r="A5290"/>
    </row>
    <row r="5291" spans="1:1" x14ac:dyDescent="0.2">
      <c r="A5291"/>
    </row>
    <row r="5292" spans="1:1" x14ac:dyDescent="0.2">
      <c r="A5292"/>
    </row>
    <row r="5293" spans="1:1" x14ac:dyDescent="0.2">
      <c r="A5293"/>
    </row>
    <row r="5294" spans="1:1" x14ac:dyDescent="0.2">
      <c r="A5294"/>
    </row>
    <row r="5295" spans="1:1" x14ac:dyDescent="0.2">
      <c r="A5295"/>
    </row>
    <row r="5296" spans="1:1" x14ac:dyDescent="0.2">
      <c r="A5296"/>
    </row>
    <row r="5297" spans="1:1" x14ac:dyDescent="0.2">
      <c r="A5297"/>
    </row>
    <row r="5298" spans="1:1" x14ac:dyDescent="0.2">
      <c r="A5298"/>
    </row>
    <row r="5299" spans="1:1" x14ac:dyDescent="0.2">
      <c r="A5299"/>
    </row>
    <row r="5300" spans="1:1" x14ac:dyDescent="0.2">
      <c r="A5300"/>
    </row>
    <row r="5301" spans="1:1" x14ac:dyDescent="0.2">
      <c r="A5301"/>
    </row>
    <row r="5302" spans="1:1" x14ac:dyDescent="0.2">
      <c r="A5302"/>
    </row>
    <row r="5303" spans="1:1" x14ac:dyDescent="0.2">
      <c r="A5303"/>
    </row>
    <row r="5304" spans="1:1" x14ac:dyDescent="0.2">
      <c r="A5304"/>
    </row>
    <row r="5305" spans="1:1" x14ac:dyDescent="0.2">
      <c r="A5305"/>
    </row>
    <row r="5306" spans="1:1" x14ac:dyDescent="0.2">
      <c r="A5306"/>
    </row>
    <row r="5307" spans="1:1" x14ac:dyDescent="0.2">
      <c r="A5307"/>
    </row>
    <row r="5308" spans="1:1" x14ac:dyDescent="0.2">
      <c r="A5308"/>
    </row>
    <row r="5309" spans="1:1" x14ac:dyDescent="0.2">
      <c r="A5309"/>
    </row>
    <row r="5310" spans="1:1" x14ac:dyDescent="0.2">
      <c r="A5310"/>
    </row>
    <row r="5311" spans="1:1" x14ac:dyDescent="0.2">
      <c r="A5311"/>
    </row>
    <row r="5312" spans="1:1" x14ac:dyDescent="0.2">
      <c r="A5312"/>
    </row>
    <row r="5313" spans="1:1" x14ac:dyDescent="0.2">
      <c r="A5313"/>
    </row>
    <row r="5314" spans="1:1" x14ac:dyDescent="0.2">
      <c r="A5314"/>
    </row>
    <row r="5315" spans="1:1" x14ac:dyDescent="0.2">
      <c r="A5315"/>
    </row>
    <row r="5316" spans="1:1" x14ac:dyDescent="0.2">
      <c r="A5316"/>
    </row>
    <row r="5317" spans="1:1" x14ac:dyDescent="0.2">
      <c r="A5317"/>
    </row>
    <row r="5318" spans="1:1" x14ac:dyDescent="0.2">
      <c r="A5318"/>
    </row>
    <row r="5319" spans="1:1" x14ac:dyDescent="0.2">
      <c r="A5319"/>
    </row>
    <row r="5320" spans="1:1" x14ac:dyDescent="0.2">
      <c r="A5320"/>
    </row>
    <row r="5321" spans="1:1" x14ac:dyDescent="0.2">
      <c r="A5321"/>
    </row>
    <row r="5322" spans="1:1" x14ac:dyDescent="0.2">
      <c r="A5322"/>
    </row>
    <row r="5323" spans="1:1" x14ac:dyDescent="0.2">
      <c r="A5323"/>
    </row>
    <row r="5324" spans="1:1" x14ac:dyDescent="0.2">
      <c r="A5324"/>
    </row>
    <row r="5325" spans="1:1" x14ac:dyDescent="0.2">
      <c r="A5325"/>
    </row>
    <row r="5326" spans="1:1" x14ac:dyDescent="0.2">
      <c r="A5326"/>
    </row>
    <row r="5327" spans="1:1" x14ac:dyDescent="0.2">
      <c r="A5327"/>
    </row>
    <row r="5328" spans="1:1" x14ac:dyDescent="0.2">
      <c r="A5328"/>
    </row>
    <row r="5329" spans="1:1" x14ac:dyDescent="0.2">
      <c r="A5329"/>
    </row>
    <row r="5330" spans="1:1" x14ac:dyDescent="0.2">
      <c r="A5330"/>
    </row>
    <row r="5331" spans="1:1" x14ac:dyDescent="0.2">
      <c r="A5331"/>
    </row>
    <row r="5332" spans="1:1" x14ac:dyDescent="0.2">
      <c r="A5332"/>
    </row>
    <row r="5333" spans="1:1" x14ac:dyDescent="0.2">
      <c r="A5333"/>
    </row>
    <row r="5334" spans="1:1" x14ac:dyDescent="0.2">
      <c r="A5334"/>
    </row>
    <row r="5335" spans="1:1" x14ac:dyDescent="0.2">
      <c r="A5335"/>
    </row>
    <row r="5336" spans="1:1" x14ac:dyDescent="0.2">
      <c r="A5336"/>
    </row>
    <row r="5337" spans="1:1" x14ac:dyDescent="0.2">
      <c r="A5337"/>
    </row>
    <row r="5338" spans="1:1" x14ac:dyDescent="0.2">
      <c r="A5338"/>
    </row>
    <row r="5339" spans="1:1" x14ac:dyDescent="0.2">
      <c r="A5339"/>
    </row>
    <row r="5340" spans="1:1" x14ac:dyDescent="0.2">
      <c r="A5340"/>
    </row>
    <row r="5341" spans="1:1" x14ac:dyDescent="0.2">
      <c r="A5341"/>
    </row>
    <row r="5342" spans="1:1" x14ac:dyDescent="0.2">
      <c r="A5342"/>
    </row>
    <row r="5343" spans="1:1" x14ac:dyDescent="0.2">
      <c r="A5343"/>
    </row>
    <row r="5344" spans="1:1" x14ac:dyDescent="0.2">
      <c r="A5344"/>
    </row>
    <row r="5345" spans="1:1" x14ac:dyDescent="0.2">
      <c r="A5345"/>
    </row>
    <row r="5346" spans="1:1" x14ac:dyDescent="0.2">
      <c r="A5346"/>
    </row>
    <row r="5347" spans="1:1" x14ac:dyDescent="0.2">
      <c r="A5347"/>
    </row>
    <row r="5348" spans="1:1" x14ac:dyDescent="0.2">
      <c r="A5348"/>
    </row>
    <row r="5349" spans="1:1" x14ac:dyDescent="0.2">
      <c r="A5349"/>
    </row>
    <row r="5350" spans="1:1" x14ac:dyDescent="0.2">
      <c r="A5350"/>
    </row>
    <row r="5351" spans="1:1" x14ac:dyDescent="0.2">
      <c r="A5351"/>
    </row>
    <row r="5352" spans="1:1" x14ac:dyDescent="0.2">
      <c r="A5352"/>
    </row>
    <row r="5353" spans="1:1" x14ac:dyDescent="0.2">
      <c r="A5353"/>
    </row>
    <row r="5354" spans="1:1" x14ac:dyDescent="0.2">
      <c r="A5354"/>
    </row>
    <row r="5355" spans="1:1" x14ac:dyDescent="0.2">
      <c r="A5355"/>
    </row>
    <row r="5356" spans="1:1" x14ac:dyDescent="0.2">
      <c r="A5356"/>
    </row>
    <row r="5357" spans="1:1" x14ac:dyDescent="0.2">
      <c r="A5357"/>
    </row>
    <row r="5358" spans="1:1" x14ac:dyDescent="0.2">
      <c r="A5358"/>
    </row>
    <row r="5359" spans="1:1" x14ac:dyDescent="0.2">
      <c r="A5359"/>
    </row>
    <row r="5360" spans="1:1" x14ac:dyDescent="0.2">
      <c r="A5360"/>
    </row>
    <row r="5361" spans="1:1" x14ac:dyDescent="0.2">
      <c r="A5361"/>
    </row>
    <row r="5362" spans="1:1" x14ac:dyDescent="0.2">
      <c r="A5362"/>
    </row>
    <row r="5363" spans="1:1" x14ac:dyDescent="0.2">
      <c r="A5363"/>
    </row>
    <row r="5364" spans="1:1" x14ac:dyDescent="0.2">
      <c r="A5364"/>
    </row>
    <row r="5365" spans="1:1" x14ac:dyDescent="0.2">
      <c r="A5365"/>
    </row>
    <row r="5366" spans="1:1" x14ac:dyDescent="0.2">
      <c r="A5366"/>
    </row>
    <row r="5367" spans="1:1" x14ac:dyDescent="0.2">
      <c r="A5367"/>
    </row>
    <row r="5368" spans="1:1" x14ac:dyDescent="0.2">
      <c r="A5368"/>
    </row>
    <row r="5369" spans="1:1" x14ac:dyDescent="0.2">
      <c r="A5369"/>
    </row>
    <row r="5370" spans="1:1" x14ac:dyDescent="0.2">
      <c r="A5370"/>
    </row>
    <row r="5371" spans="1:1" x14ac:dyDescent="0.2">
      <c r="A5371"/>
    </row>
    <row r="5372" spans="1:1" x14ac:dyDescent="0.2">
      <c r="A5372"/>
    </row>
    <row r="5373" spans="1:1" x14ac:dyDescent="0.2">
      <c r="A5373"/>
    </row>
    <row r="5374" spans="1:1" x14ac:dyDescent="0.2">
      <c r="A5374"/>
    </row>
    <row r="5375" spans="1:1" x14ac:dyDescent="0.2">
      <c r="A5375"/>
    </row>
    <row r="5376" spans="1:1" x14ac:dyDescent="0.2">
      <c r="A5376"/>
    </row>
    <row r="5377" spans="1:1" x14ac:dyDescent="0.2">
      <c r="A5377"/>
    </row>
    <row r="5378" spans="1:1" x14ac:dyDescent="0.2">
      <c r="A5378"/>
    </row>
    <row r="5379" spans="1:1" x14ac:dyDescent="0.2">
      <c r="A5379"/>
    </row>
    <row r="5380" spans="1:1" x14ac:dyDescent="0.2">
      <c r="A5380"/>
    </row>
    <row r="5381" spans="1:1" x14ac:dyDescent="0.2">
      <c r="A5381"/>
    </row>
    <row r="5382" spans="1:1" x14ac:dyDescent="0.2">
      <c r="A5382"/>
    </row>
    <row r="5383" spans="1:1" x14ac:dyDescent="0.2">
      <c r="A5383"/>
    </row>
    <row r="5384" spans="1:1" x14ac:dyDescent="0.2">
      <c r="A5384"/>
    </row>
    <row r="5385" spans="1:1" x14ac:dyDescent="0.2">
      <c r="A5385"/>
    </row>
    <row r="5386" spans="1:1" x14ac:dyDescent="0.2">
      <c r="A5386"/>
    </row>
    <row r="5387" spans="1:1" x14ac:dyDescent="0.2">
      <c r="A5387"/>
    </row>
    <row r="5388" spans="1:1" x14ac:dyDescent="0.2">
      <c r="A5388"/>
    </row>
    <row r="5389" spans="1:1" x14ac:dyDescent="0.2">
      <c r="A5389"/>
    </row>
    <row r="5390" spans="1:1" x14ac:dyDescent="0.2">
      <c r="A5390"/>
    </row>
    <row r="5391" spans="1:1" x14ac:dyDescent="0.2">
      <c r="A5391"/>
    </row>
    <row r="5392" spans="1:1" x14ac:dyDescent="0.2">
      <c r="A5392"/>
    </row>
    <row r="5393" spans="1:1" x14ac:dyDescent="0.2">
      <c r="A5393"/>
    </row>
    <row r="5394" spans="1:1" x14ac:dyDescent="0.2">
      <c r="A5394"/>
    </row>
    <row r="5395" spans="1:1" x14ac:dyDescent="0.2">
      <c r="A5395"/>
    </row>
    <row r="5396" spans="1:1" x14ac:dyDescent="0.2">
      <c r="A5396"/>
    </row>
    <row r="5397" spans="1:1" x14ac:dyDescent="0.2">
      <c r="A5397"/>
    </row>
    <row r="5398" spans="1:1" x14ac:dyDescent="0.2">
      <c r="A5398"/>
    </row>
    <row r="5399" spans="1:1" x14ac:dyDescent="0.2">
      <c r="A5399"/>
    </row>
    <row r="5400" spans="1:1" x14ac:dyDescent="0.2">
      <c r="A5400"/>
    </row>
    <row r="5401" spans="1:1" x14ac:dyDescent="0.2">
      <c r="A5401"/>
    </row>
    <row r="5402" spans="1:1" x14ac:dyDescent="0.2">
      <c r="A5402"/>
    </row>
    <row r="5403" spans="1:1" x14ac:dyDescent="0.2">
      <c r="A5403"/>
    </row>
    <row r="5404" spans="1:1" x14ac:dyDescent="0.2">
      <c r="A5404"/>
    </row>
    <row r="5405" spans="1:1" x14ac:dyDescent="0.2">
      <c r="A5405"/>
    </row>
    <row r="5406" spans="1:1" x14ac:dyDescent="0.2">
      <c r="A5406"/>
    </row>
    <row r="5407" spans="1:1" x14ac:dyDescent="0.2">
      <c r="A5407"/>
    </row>
    <row r="5408" spans="1:1" x14ac:dyDescent="0.2">
      <c r="A5408"/>
    </row>
    <row r="5409" spans="1:1" x14ac:dyDescent="0.2">
      <c r="A5409"/>
    </row>
    <row r="5410" spans="1:1" x14ac:dyDescent="0.2">
      <c r="A5410"/>
    </row>
    <row r="5411" spans="1:1" x14ac:dyDescent="0.2">
      <c r="A5411"/>
    </row>
    <row r="5412" spans="1:1" x14ac:dyDescent="0.2">
      <c r="A5412"/>
    </row>
    <row r="5413" spans="1:1" x14ac:dyDescent="0.2">
      <c r="A5413"/>
    </row>
    <row r="5414" spans="1:1" x14ac:dyDescent="0.2">
      <c r="A5414"/>
    </row>
    <row r="5415" spans="1:1" x14ac:dyDescent="0.2">
      <c r="A5415"/>
    </row>
    <row r="5416" spans="1:1" x14ac:dyDescent="0.2">
      <c r="A5416"/>
    </row>
    <row r="5417" spans="1:1" x14ac:dyDescent="0.2">
      <c r="A5417"/>
    </row>
    <row r="5418" spans="1:1" x14ac:dyDescent="0.2">
      <c r="A5418"/>
    </row>
    <row r="5419" spans="1:1" x14ac:dyDescent="0.2">
      <c r="A5419"/>
    </row>
    <row r="5420" spans="1:1" x14ac:dyDescent="0.2">
      <c r="A5420"/>
    </row>
    <row r="5421" spans="1:1" x14ac:dyDescent="0.2">
      <c r="A5421"/>
    </row>
    <row r="5422" spans="1:1" x14ac:dyDescent="0.2">
      <c r="A5422"/>
    </row>
    <row r="5423" spans="1:1" x14ac:dyDescent="0.2">
      <c r="A5423"/>
    </row>
    <row r="5424" spans="1:1" x14ac:dyDescent="0.2">
      <c r="A5424"/>
    </row>
    <row r="5425" spans="1:1" x14ac:dyDescent="0.2">
      <c r="A5425"/>
    </row>
    <row r="5426" spans="1:1" x14ac:dyDescent="0.2">
      <c r="A5426"/>
    </row>
    <row r="5427" spans="1:1" x14ac:dyDescent="0.2">
      <c r="A5427"/>
    </row>
    <row r="5428" spans="1:1" x14ac:dyDescent="0.2">
      <c r="A5428"/>
    </row>
    <row r="5429" spans="1:1" x14ac:dyDescent="0.2">
      <c r="A5429"/>
    </row>
    <row r="5430" spans="1:1" x14ac:dyDescent="0.2">
      <c r="A5430"/>
    </row>
    <row r="5431" spans="1:1" x14ac:dyDescent="0.2">
      <c r="A5431"/>
    </row>
    <row r="5432" spans="1:1" x14ac:dyDescent="0.2">
      <c r="A5432"/>
    </row>
    <row r="5433" spans="1:1" x14ac:dyDescent="0.2">
      <c r="A5433"/>
    </row>
    <row r="5434" spans="1:1" x14ac:dyDescent="0.2">
      <c r="A5434"/>
    </row>
    <row r="5435" spans="1:1" x14ac:dyDescent="0.2">
      <c r="A5435"/>
    </row>
    <row r="5436" spans="1:1" x14ac:dyDescent="0.2">
      <c r="A5436"/>
    </row>
    <row r="5437" spans="1:1" x14ac:dyDescent="0.2">
      <c r="A5437"/>
    </row>
    <row r="5438" spans="1:1" x14ac:dyDescent="0.2">
      <c r="A5438"/>
    </row>
    <row r="5439" spans="1:1" x14ac:dyDescent="0.2">
      <c r="A5439"/>
    </row>
    <row r="5440" spans="1:1" x14ac:dyDescent="0.2">
      <c r="A5440"/>
    </row>
    <row r="5441" spans="1:1" x14ac:dyDescent="0.2">
      <c r="A5441"/>
    </row>
    <row r="5442" spans="1:1" x14ac:dyDescent="0.2">
      <c r="A5442"/>
    </row>
    <row r="5443" spans="1:1" x14ac:dyDescent="0.2">
      <c r="A5443"/>
    </row>
    <row r="5444" spans="1:1" x14ac:dyDescent="0.2">
      <c r="A5444"/>
    </row>
    <row r="5445" spans="1:1" x14ac:dyDescent="0.2">
      <c r="A5445"/>
    </row>
    <row r="5446" spans="1:1" x14ac:dyDescent="0.2">
      <c r="A5446"/>
    </row>
    <row r="5447" spans="1:1" x14ac:dyDescent="0.2">
      <c r="A5447"/>
    </row>
    <row r="5448" spans="1:1" x14ac:dyDescent="0.2">
      <c r="A5448"/>
    </row>
    <row r="5449" spans="1:1" x14ac:dyDescent="0.2">
      <c r="A5449"/>
    </row>
    <row r="5450" spans="1:1" x14ac:dyDescent="0.2">
      <c r="A5450"/>
    </row>
    <row r="5451" spans="1:1" x14ac:dyDescent="0.2">
      <c r="A5451"/>
    </row>
    <row r="5452" spans="1:1" x14ac:dyDescent="0.2">
      <c r="A5452"/>
    </row>
    <row r="5453" spans="1:1" x14ac:dyDescent="0.2">
      <c r="A5453"/>
    </row>
    <row r="5454" spans="1:1" x14ac:dyDescent="0.2">
      <c r="A5454"/>
    </row>
    <row r="5455" spans="1:1" x14ac:dyDescent="0.2">
      <c r="A5455"/>
    </row>
    <row r="5456" spans="1:1" x14ac:dyDescent="0.2">
      <c r="A5456"/>
    </row>
    <row r="5457" spans="1:1" x14ac:dyDescent="0.2">
      <c r="A5457"/>
    </row>
    <row r="5458" spans="1:1" x14ac:dyDescent="0.2">
      <c r="A5458"/>
    </row>
    <row r="5459" spans="1:1" x14ac:dyDescent="0.2">
      <c r="A5459"/>
    </row>
    <row r="5460" spans="1:1" x14ac:dyDescent="0.2">
      <c r="A5460"/>
    </row>
    <row r="5461" spans="1:1" x14ac:dyDescent="0.2">
      <c r="A5461"/>
    </row>
    <row r="5462" spans="1:1" x14ac:dyDescent="0.2">
      <c r="A5462"/>
    </row>
    <row r="5463" spans="1:1" x14ac:dyDescent="0.2">
      <c r="A5463"/>
    </row>
    <row r="5464" spans="1:1" x14ac:dyDescent="0.2">
      <c r="A5464"/>
    </row>
    <row r="5465" spans="1:1" x14ac:dyDescent="0.2">
      <c r="A5465"/>
    </row>
    <row r="5466" spans="1:1" x14ac:dyDescent="0.2">
      <c r="A5466"/>
    </row>
    <row r="5467" spans="1:1" x14ac:dyDescent="0.2">
      <c r="A5467"/>
    </row>
    <row r="5468" spans="1:1" x14ac:dyDescent="0.2">
      <c r="A5468"/>
    </row>
    <row r="5469" spans="1:1" x14ac:dyDescent="0.2">
      <c r="A5469"/>
    </row>
    <row r="5470" spans="1:1" x14ac:dyDescent="0.2">
      <c r="A5470"/>
    </row>
    <row r="5471" spans="1:1" x14ac:dyDescent="0.2">
      <c r="A5471"/>
    </row>
    <row r="5472" spans="1:1" x14ac:dyDescent="0.2">
      <c r="A5472"/>
    </row>
    <row r="5473" spans="1:1" x14ac:dyDescent="0.2">
      <c r="A5473"/>
    </row>
    <row r="5474" spans="1:1" x14ac:dyDescent="0.2">
      <c r="A5474"/>
    </row>
    <row r="5475" spans="1:1" x14ac:dyDescent="0.2">
      <c r="A5475"/>
    </row>
    <row r="5476" spans="1:1" x14ac:dyDescent="0.2">
      <c r="A5476"/>
    </row>
    <row r="5477" spans="1:1" x14ac:dyDescent="0.2">
      <c r="A5477"/>
    </row>
    <row r="5478" spans="1:1" x14ac:dyDescent="0.2">
      <c r="A5478"/>
    </row>
    <row r="5479" spans="1:1" x14ac:dyDescent="0.2">
      <c r="A5479"/>
    </row>
    <row r="5480" spans="1:1" x14ac:dyDescent="0.2">
      <c r="A5480"/>
    </row>
    <row r="5481" spans="1:1" x14ac:dyDescent="0.2">
      <c r="A5481"/>
    </row>
    <row r="5482" spans="1:1" x14ac:dyDescent="0.2">
      <c r="A5482"/>
    </row>
    <row r="5483" spans="1:1" x14ac:dyDescent="0.2">
      <c r="A5483"/>
    </row>
    <row r="5484" spans="1:1" x14ac:dyDescent="0.2">
      <c r="A5484"/>
    </row>
    <row r="5485" spans="1:1" x14ac:dyDescent="0.2">
      <c r="A5485"/>
    </row>
    <row r="5486" spans="1:1" x14ac:dyDescent="0.2">
      <c r="A5486"/>
    </row>
    <row r="5487" spans="1:1" x14ac:dyDescent="0.2">
      <c r="A5487"/>
    </row>
    <row r="5488" spans="1:1" x14ac:dyDescent="0.2">
      <c r="A5488"/>
    </row>
    <row r="5489" spans="1:1" x14ac:dyDescent="0.2">
      <c r="A5489"/>
    </row>
    <row r="5490" spans="1:1" x14ac:dyDescent="0.2">
      <c r="A5490"/>
    </row>
    <row r="5491" spans="1:1" x14ac:dyDescent="0.2">
      <c r="A5491"/>
    </row>
    <row r="5492" spans="1:1" x14ac:dyDescent="0.2">
      <c r="A5492"/>
    </row>
    <row r="5493" spans="1:1" x14ac:dyDescent="0.2">
      <c r="A5493"/>
    </row>
    <row r="5494" spans="1:1" x14ac:dyDescent="0.2">
      <c r="A5494"/>
    </row>
    <row r="5495" spans="1:1" x14ac:dyDescent="0.2">
      <c r="A5495"/>
    </row>
    <row r="5496" spans="1:1" x14ac:dyDescent="0.2">
      <c r="A5496"/>
    </row>
    <row r="5497" spans="1:1" x14ac:dyDescent="0.2">
      <c r="A5497"/>
    </row>
    <row r="5498" spans="1:1" x14ac:dyDescent="0.2">
      <c r="A5498"/>
    </row>
    <row r="5499" spans="1:1" x14ac:dyDescent="0.2">
      <c r="A5499"/>
    </row>
    <row r="5500" spans="1:1" x14ac:dyDescent="0.2">
      <c r="A5500"/>
    </row>
    <row r="5501" spans="1:1" x14ac:dyDescent="0.2">
      <c r="A5501"/>
    </row>
    <row r="5502" spans="1:1" x14ac:dyDescent="0.2">
      <c r="A5502"/>
    </row>
    <row r="5503" spans="1:1" x14ac:dyDescent="0.2">
      <c r="A5503"/>
    </row>
    <row r="5504" spans="1:1" x14ac:dyDescent="0.2">
      <c r="A5504"/>
    </row>
    <row r="5505" spans="1:1" x14ac:dyDescent="0.2">
      <c r="A5505"/>
    </row>
    <row r="5506" spans="1:1" x14ac:dyDescent="0.2">
      <c r="A5506"/>
    </row>
    <row r="5507" spans="1:1" x14ac:dyDescent="0.2">
      <c r="A5507"/>
    </row>
    <row r="5508" spans="1:1" x14ac:dyDescent="0.2">
      <c r="A5508"/>
    </row>
    <row r="5509" spans="1:1" x14ac:dyDescent="0.2">
      <c r="A5509"/>
    </row>
    <row r="5510" spans="1:1" x14ac:dyDescent="0.2">
      <c r="A5510"/>
    </row>
    <row r="5511" spans="1:1" x14ac:dyDescent="0.2">
      <c r="A5511"/>
    </row>
    <row r="5512" spans="1:1" x14ac:dyDescent="0.2">
      <c r="A5512"/>
    </row>
    <row r="5513" spans="1:1" x14ac:dyDescent="0.2">
      <c r="A5513"/>
    </row>
    <row r="5514" spans="1:1" x14ac:dyDescent="0.2">
      <c r="A5514"/>
    </row>
    <row r="5515" spans="1:1" x14ac:dyDescent="0.2">
      <c r="A5515"/>
    </row>
    <row r="5516" spans="1:1" x14ac:dyDescent="0.2">
      <c r="A5516"/>
    </row>
    <row r="5517" spans="1:1" x14ac:dyDescent="0.2">
      <c r="A5517"/>
    </row>
    <row r="5518" spans="1:1" x14ac:dyDescent="0.2">
      <c r="A5518"/>
    </row>
    <row r="5519" spans="1:1" x14ac:dyDescent="0.2">
      <c r="A5519"/>
    </row>
    <row r="5520" spans="1:1" x14ac:dyDescent="0.2">
      <c r="A5520"/>
    </row>
    <row r="5521" spans="1:1" x14ac:dyDescent="0.2">
      <c r="A5521"/>
    </row>
    <row r="5522" spans="1:1" x14ac:dyDescent="0.2">
      <c r="A5522"/>
    </row>
    <row r="5523" spans="1:1" x14ac:dyDescent="0.2">
      <c r="A5523"/>
    </row>
    <row r="5524" spans="1:1" x14ac:dyDescent="0.2">
      <c r="A5524"/>
    </row>
    <row r="5525" spans="1:1" x14ac:dyDescent="0.2">
      <c r="A5525"/>
    </row>
    <row r="5526" spans="1:1" x14ac:dyDescent="0.2">
      <c r="A5526"/>
    </row>
    <row r="5527" spans="1:1" x14ac:dyDescent="0.2">
      <c r="A5527"/>
    </row>
    <row r="5528" spans="1:1" x14ac:dyDescent="0.2">
      <c r="A5528"/>
    </row>
    <row r="5529" spans="1:1" x14ac:dyDescent="0.2">
      <c r="A5529"/>
    </row>
    <row r="5530" spans="1:1" x14ac:dyDescent="0.2">
      <c r="A5530"/>
    </row>
    <row r="5531" spans="1:1" x14ac:dyDescent="0.2">
      <c r="A5531"/>
    </row>
    <row r="5532" spans="1:1" x14ac:dyDescent="0.2">
      <c r="A5532"/>
    </row>
    <row r="5533" spans="1:1" x14ac:dyDescent="0.2">
      <c r="A5533"/>
    </row>
    <row r="5534" spans="1:1" x14ac:dyDescent="0.2">
      <c r="A5534"/>
    </row>
    <row r="5535" spans="1:1" x14ac:dyDescent="0.2">
      <c r="A5535"/>
    </row>
    <row r="5536" spans="1:1" x14ac:dyDescent="0.2">
      <c r="A5536"/>
    </row>
    <row r="5537" spans="1:1" x14ac:dyDescent="0.2">
      <c r="A5537"/>
    </row>
    <row r="5538" spans="1:1" x14ac:dyDescent="0.2">
      <c r="A5538"/>
    </row>
    <row r="5539" spans="1:1" x14ac:dyDescent="0.2">
      <c r="A5539"/>
    </row>
    <row r="5540" spans="1:1" x14ac:dyDescent="0.2">
      <c r="A5540"/>
    </row>
    <row r="5541" spans="1:1" x14ac:dyDescent="0.2">
      <c r="A5541"/>
    </row>
    <row r="5542" spans="1:1" x14ac:dyDescent="0.2">
      <c r="A5542"/>
    </row>
    <row r="5543" spans="1:1" x14ac:dyDescent="0.2">
      <c r="A5543"/>
    </row>
    <row r="5544" spans="1:1" x14ac:dyDescent="0.2">
      <c r="A5544"/>
    </row>
    <row r="5545" spans="1:1" x14ac:dyDescent="0.2">
      <c r="A5545"/>
    </row>
    <row r="5546" spans="1:1" x14ac:dyDescent="0.2">
      <c r="A5546"/>
    </row>
    <row r="5547" spans="1:1" x14ac:dyDescent="0.2">
      <c r="A5547"/>
    </row>
    <row r="5548" spans="1:1" x14ac:dyDescent="0.2">
      <c r="A5548"/>
    </row>
    <row r="5549" spans="1:1" x14ac:dyDescent="0.2">
      <c r="A5549"/>
    </row>
    <row r="5550" spans="1:1" x14ac:dyDescent="0.2">
      <c r="A5550"/>
    </row>
    <row r="5551" spans="1:1" x14ac:dyDescent="0.2">
      <c r="A5551"/>
    </row>
    <row r="5552" spans="1:1" x14ac:dyDescent="0.2">
      <c r="A5552"/>
    </row>
    <row r="5553" spans="1:1" x14ac:dyDescent="0.2">
      <c r="A5553"/>
    </row>
    <row r="5554" spans="1:1" x14ac:dyDescent="0.2">
      <c r="A5554"/>
    </row>
    <row r="5555" spans="1:1" x14ac:dyDescent="0.2">
      <c r="A5555"/>
    </row>
    <row r="5556" spans="1:1" x14ac:dyDescent="0.2">
      <c r="A5556"/>
    </row>
    <row r="5557" spans="1:1" x14ac:dyDescent="0.2">
      <c r="A5557"/>
    </row>
    <row r="5558" spans="1:1" x14ac:dyDescent="0.2">
      <c r="A5558"/>
    </row>
    <row r="5559" spans="1:1" x14ac:dyDescent="0.2">
      <c r="A5559"/>
    </row>
    <row r="5560" spans="1:1" x14ac:dyDescent="0.2">
      <c r="A5560"/>
    </row>
    <row r="5561" spans="1:1" x14ac:dyDescent="0.2">
      <c r="A5561"/>
    </row>
    <row r="5562" spans="1:1" x14ac:dyDescent="0.2">
      <c r="A5562"/>
    </row>
    <row r="5563" spans="1:1" x14ac:dyDescent="0.2">
      <c r="A5563"/>
    </row>
    <row r="5564" spans="1:1" x14ac:dyDescent="0.2">
      <c r="A5564"/>
    </row>
    <row r="5565" spans="1:1" x14ac:dyDescent="0.2">
      <c r="A5565"/>
    </row>
    <row r="5566" spans="1:1" x14ac:dyDescent="0.2">
      <c r="A5566"/>
    </row>
    <row r="5567" spans="1:1" x14ac:dyDescent="0.2">
      <c r="A5567"/>
    </row>
    <row r="5568" spans="1:1" x14ac:dyDescent="0.2">
      <c r="A5568"/>
    </row>
    <row r="5569" spans="1:1" x14ac:dyDescent="0.2">
      <c r="A5569"/>
    </row>
    <row r="5570" spans="1:1" x14ac:dyDescent="0.2">
      <c r="A5570"/>
    </row>
    <row r="5571" spans="1:1" x14ac:dyDescent="0.2">
      <c r="A5571"/>
    </row>
    <row r="5572" spans="1:1" x14ac:dyDescent="0.2">
      <c r="A5572"/>
    </row>
    <row r="5573" spans="1:1" x14ac:dyDescent="0.2">
      <c r="A5573"/>
    </row>
    <row r="5574" spans="1:1" x14ac:dyDescent="0.2">
      <c r="A5574"/>
    </row>
    <row r="5575" spans="1:1" x14ac:dyDescent="0.2">
      <c r="A5575"/>
    </row>
    <row r="5576" spans="1:1" x14ac:dyDescent="0.2">
      <c r="A5576"/>
    </row>
    <row r="5577" spans="1:1" x14ac:dyDescent="0.2">
      <c r="A5577"/>
    </row>
    <row r="5578" spans="1:1" x14ac:dyDescent="0.2">
      <c r="A5578"/>
    </row>
    <row r="5579" spans="1:1" x14ac:dyDescent="0.2">
      <c r="A5579"/>
    </row>
    <row r="5580" spans="1:1" x14ac:dyDescent="0.2">
      <c r="A5580"/>
    </row>
    <row r="5581" spans="1:1" x14ac:dyDescent="0.2">
      <c r="A5581"/>
    </row>
    <row r="5582" spans="1:1" x14ac:dyDescent="0.2">
      <c r="A5582"/>
    </row>
    <row r="5583" spans="1:1" x14ac:dyDescent="0.2">
      <c r="A5583"/>
    </row>
    <row r="5584" spans="1:1" x14ac:dyDescent="0.2">
      <c r="A5584"/>
    </row>
    <row r="5585" spans="1:1" x14ac:dyDescent="0.2">
      <c r="A5585"/>
    </row>
    <row r="5586" spans="1:1" x14ac:dyDescent="0.2">
      <c r="A5586"/>
    </row>
    <row r="5587" spans="1:1" x14ac:dyDescent="0.2">
      <c r="A5587"/>
    </row>
    <row r="5588" spans="1:1" x14ac:dyDescent="0.2">
      <c r="A5588"/>
    </row>
    <row r="5589" spans="1:1" x14ac:dyDescent="0.2">
      <c r="A5589"/>
    </row>
    <row r="5590" spans="1:1" x14ac:dyDescent="0.2">
      <c r="A5590"/>
    </row>
    <row r="5591" spans="1:1" x14ac:dyDescent="0.2">
      <c r="A5591"/>
    </row>
    <row r="5592" spans="1:1" x14ac:dyDescent="0.2">
      <c r="A5592"/>
    </row>
    <row r="5593" spans="1:1" x14ac:dyDescent="0.2">
      <c r="A5593"/>
    </row>
    <row r="5594" spans="1:1" x14ac:dyDescent="0.2">
      <c r="A5594"/>
    </row>
    <row r="5595" spans="1:1" x14ac:dyDescent="0.2">
      <c r="A5595"/>
    </row>
    <row r="5596" spans="1:1" x14ac:dyDescent="0.2">
      <c r="A5596"/>
    </row>
    <row r="5597" spans="1:1" x14ac:dyDescent="0.2">
      <c r="A5597"/>
    </row>
    <row r="5598" spans="1:1" x14ac:dyDescent="0.2">
      <c r="A5598"/>
    </row>
    <row r="5599" spans="1:1" x14ac:dyDescent="0.2">
      <c r="A5599"/>
    </row>
    <row r="5600" spans="1:1" x14ac:dyDescent="0.2">
      <c r="A5600"/>
    </row>
    <row r="5601" spans="1:1" x14ac:dyDescent="0.2">
      <c r="A5601"/>
    </row>
    <row r="5602" spans="1:1" x14ac:dyDescent="0.2">
      <c r="A5602"/>
    </row>
    <row r="5603" spans="1:1" x14ac:dyDescent="0.2">
      <c r="A5603"/>
    </row>
    <row r="5604" spans="1:1" x14ac:dyDescent="0.2">
      <c r="A5604"/>
    </row>
    <row r="5605" spans="1:1" x14ac:dyDescent="0.2">
      <c r="A5605"/>
    </row>
    <row r="5606" spans="1:1" x14ac:dyDescent="0.2">
      <c r="A5606"/>
    </row>
    <row r="5607" spans="1:1" x14ac:dyDescent="0.2">
      <c r="A5607"/>
    </row>
    <row r="5608" spans="1:1" x14ac:dyDescent="0.2">
      <c r="A5608"/>
    </row>
    <row r="5609" spans="1:1" x14ac:dyDescent="0.2">
      <c r="A5609"/>
    </row>
    <row r="5610" spans="1:1" x14ac:dyDescent="0.2">
      <c r="A5610"/>
    </row>
    <row r="5611" spans="1:1" x14ac:dyDescent="0.2">
      <c r="A5611"/>
    </row>
    <row r="5612" spans="1:1" x14ac:dyDescent="0.2">
      <c r="A5612"/>
    </row>
    <row r="5613" spans="1:1" x14ac:dyDescent="0.2">
      <c r="A5613"/>
    </row>
    <row r="5614" spans="1:1" x14ac:dyDescent="0.2">
      <c r="A5614"/>
    </row>
    <row r="5615" spans="1:1" x14ac:dyDescent="0.2">
      <c r="A5615"/>
    </row>
    <row r="5616" spans="1:1" x14ac:dyDescent="0.2">
      <c r="A5616"/>
    </row>
    <row r="5617" spans="1:1" x14ac:dyDescent="0.2">
      <c r="A5617"/>
    </row>
    <row r="5618" spans="1:1" x14ac:dyDescent="0.2">
      <c r="A5618"/>
    </row>
    <row r="5619" spans="1:1" x14ac:dyDescent="0.2">
      <c r="A5619"/>
    </row>
    <row r="5620" spans="1:1" x14ac:dyDescent="0.2">
      <c r="A5620"/>
    </row>
    <row r="5621" spans="1:1" x14ac:dyDescent="0.2">
      <c r="A5621"/>
    </row>
    <row r="5622" spans="1:1" x14ac:dyDescent="0.2">
      <c r="A5622"/>
    </row>
    <row r="5623" spans="1:1" x14ac:dyDescent="0.2">
      <c r="A5623"/>
    </row>
    <row r="5624" spans="1:1" x14ac:dyDescent="0.2">
      <c r="A5624"/>
    </row>
    <row r="5625" spans="1:1" x14ac:dyDescent="0.2">
      <c r="A5625"/>
    </row>
    <row r="5626" spans="1:1" x14ac:dyDescent="0.2">
      <c r="A5626"/>
    </row>
    <row r="5627" spans="1:1" x14ac:dyDescent="0.2">
      <c r="A5627"/>
    </row>
    <row r="5628" spans="1:1" x14ac:dyDescent="0.2">
      <c r="A5628"/>
    </row>
    <row r="5629" spans="1:1" x14ac:dyDescent="0.2">
      <c r="A5629"/>
    </row>
    <row r="5630" spans="1:1" x14ac:dyDescent="0.2">
      <c r="A5630"/>
    </row>
    <row r="5631" spans="1:1" x14ac:dyDescent="0.2">
      <c r="A5631"/>
    </row>
    <row r="5632" spans="1:1" x14ac:dyDescent="0.2">
      <c r="A5632"/>
    </row>
    <row r="5633" spans="1:1" x14ac:dyDescent="0.2">
      <c r="A5633"/>
    </row>
    <row r="5634" spans="1:1" x14ac:dyDescent="0.2">
      <c r="A5634"/>
    </row>
    <row r="5635" spans="1:1" x14ac:dyDescent="0.2">
      <c r="A5635"/>
    </row>
    <row r="5636" spans="1:1" x14ac:dyDescent="0.2">
      <c r="A5636"/>
    </row>
    <row r="5637" spans="1:1" x14ac:dyDescent="0.2">
      <c r="A5637"/>
    </row>
    <row r="5638" spans="1:1" x14ac:dyDescent="0.2">
      <c r="A5638"/>
    </row>
    <row r="5639" spans="1:1" x14ac:dyDescent="0.2">
      <c r="A5639"/>
    </row>
    <row r="5640" spans="1:1" x14ac:dyDescent="0.2">
      <c r="A5640"/>
    </row>
    <row r="5641" spans="1:1" x14ac:dyDescent="0.2">
      <c r="A5641"/>
    </row>
    <row r="5642" spans="1:1" x14ac:dyDescent="0.2">
      <c r="A5642"/>
    </row>
    <row r="5643" spans="1:1" x14ac:dyDescent="0.2">
      <c r="A5643"/>
    </row>
    <row r="5644" spans="1:1" x14ac:dyDescent="0.2">
      <c r="A5644"/>
    </row>
    <row r="5645" spans="1:1" x14ac:dyDescent="0.2">
      <c r="A5645"/>
    </row>
    <row r="5646" spans="1:1" x14ac:dyDescent="0.2">
      <c r="A5646"/>
    </row>
    <row r="5647" spans="1:1" x14ac:dyDescent="0.2">
      <c r="A5647"/>
    </row>
    <row r="5648" spans="1:1" x14ac:dyDescent="0.2">
      <c r="A5648"/>
    </row>
    <row r="5649" spans="1:1" x14ac:dyDescent="0.2">
      <c r="A5649"/>
    </row>
    <row r="5650" spans="1:1" x14ac:dyDescent="0.2">
      <c r="A5650"/>
    </row>
    <row r="5651" spans="1:1" x14ac:dyDescent="0.2">
      <c r="A5651"/>
    </row>
    <row r="5652" spans="1:1" x14ac:dyDescent="0.2">
      <c r="A5652"/>
    </row>
    <row r="5653" spans="1:1" x14ac:dyDescent="0.2">
      <c r="A5653"/>
    </row>
    <row r="5654" spans="1:1" x14ac:dyDescent="0.2">
      <c r="A5654"/>
    </row>
    <row r="5655" spans="1:1" x14ac:dyDescent="0.2">
      <c r="A5655"/>
    </row>
    <row r="5656" spans="1:1" x14ac:dyDescent="0.2">
      <c r="A5656"/>
    </row>
    <row r="5657" spans="1:1" x14ac:dyDescent="0.2">
      <c r="A5657"/>
    </row>
    <row r="5658" spans="1:1" x14ac:dyDescent="0.2">
      <c r="A5658"/>
    </row>
    <row r="5659" spans="1:1" x14ac:dyDescent="0.2">
      <c r="A5659"/>
    </row>
    <row r="5660" spans="1:1" x14ac:dyDescent="0.2">
      <c r="A5660"/>
    </row>
    <row r="5661" spans="1:1" x14ac:dyDescent="0.2">
      <c r="A5661"/>
    </row>
    <row r="5662" spans="1:1" x14ac:dyDescent="0.2">
      <c r="A5662"/>
    </row>
    <row r="5663" spans="1:1" x14ac:dyDescent="0.2">
      <c r="A5663"/>
    </row>
    <row r="5664" spans="1:1" x14ac:dyDescent="0.2">
      <c r="A5664"/>
    </row>
    <row r="5665" spans="1:1" x14ac:dyDescent="0.2">
      <c r="A5665"/>
    </row>
    <row r="5666" spans="1:1" x14ac:dyDescent="0.2">
      <c r="A5666"/>
    </row>
    <row r="5667" spans="1:1" x14ac:dyDescent="0.2">
      <c r="A5667"/>
    </row>
    <row r="5668" spans="1:1" x14ac:dyDescent="0.2">
      <c r="A5668"/>
    </row>
    <row r="5669" spans="1:1" x14ac:dyDescent="0.2">
      <c r="A5669"/>
    </row>
    <row r="5670" spans="1:1" x14ac:dyDescent="0.2">
      <c r="A5670"/>
    </row>
    <row r="5671" spans="1:1" x14ac:dyDescent="0.2">
      <c r="A5671"/>
    </row>
    <row r="5672" spans="1:1" x14ac:dyDescent="0.2">
      <c r="A5672"/>
    </row>
    <row r="5673" spans="1:1" x14ac:dyDescent="0.2">
      <c r="A5673"/>
    </row>
    <row r="5674" spans="1:1" x14ac:dyDescent="0.2">
      <c r="A5674"/>
    </row>
    <row r="5675" spans="1:1" x14ac:dyDescent="0.2">
      <c r="A5675"/>
    </row>
    <row r="5676" spans="1:1" x14ac:dyDescent="0.2">
      <c r="A5676"/>
    </row>
    <row r="5677" spans="1:1" x14ac:dyDescent="0.2">
      <c r="A5677"/>
    </row>
    <row r="5678" spans="1:1" x14ac:dyDescent="0.2">
      <c r="A5678"/>
    </row>
    <row r="5679" spans="1:1" x14ac:dyDescent="0.2">
      <c r="A5679"/>
    </row>
    <row r="5680" spans="1:1" x14ac:dyDescent="0.2">
      <c r="A5680"/>
    </row>
    <row r="5681" spans="1:1" x14ac:dyDescent="0.2">
      <c r="A5681"/>
    </row>
    <row r="5682" spans="1:1" x14ac:dyDescent="0.2">
      <c r="A5682"/>
    </row>
    <row r="5683" spans="1:1" x14ac:dyDescent="0.2">
      <c r="A5683"/>
    </row>
    <row r="5684" spans="1:1" x14ac:dyDescent="0.2">
      <c r="A5684"/>
    </row>
    <row r="5685" spans="1:1" x14ac:dyDescent="0.2">
      <c r="A5685"/>
    </row>
    <row r="5686" spans="1:1" x14ac:dyDescent="0.2">
      <c r="A5686"/>
    </row>
    <row r="5687" spans="1:1" x14ac:dyDescent="0.2">
      <c r="A5687"/>
    </row>
    <row r="5688" spans="1:1" x14ac:dyDescent="0.2">
      <c r="A5688"/>
    </row>
    <row r="5689" spans="1:1" x14ac:dyDescent="0.2">
      <c r="A5689"/>
    </row>
    <row r="5690" spans="1:1" x14ac:dyDescent="0.2">
      <c r="A5690"/>
    </row>
    <row r="5691" spans="1:1" x14ac:dyDescent="0.2">
      <c r="A5691"/>
    </row>
    <row r="5692" spans="1:1" x14ac:dyDescent="0.2">
      <c r="A5692"/>
    </row>
    <row r="5693" spans="1:1" x14ac:dyDescent="0.2">
      <c r="A5693"/>
    </row>
    <row r="5694" spans="1:1" x14ac:dyDescent="0.2">
      <c r="A5694"/>
    </row>
    <row r="5695" spans="1:1" x14ac:dyDescent="0.2">
      <c r="A5695"/>
    </row>
    <row r="5696" spans="1:1" x14ac:dyDescent="0.2">
      <c r="A5696"/>
    </row>
    <row r="5697" spans="1:1" x14ac:dyDescent="0.2">
      <c r="A5697"/>
    </row>
    <row r="5698" spans="1:1" x14ac:dyDescent="0.2">
      <c r="A5698"/>
    </row>
    <row r="5699" spans="1:1" x14ac:dyDescent="0.2">
      <c r="A5699"/>
    </row>
    <row r="5700" spans="1:1" x14ac:dyDescent="0.2">
      <c r="A5700"/>
    </row>
    <row r="5701" spans="1:1" x14ac:dyDescent="0.2">
      <c r="A5701"/>
    </row>
    <row r="5702" spans="1:1" x14ac:dyDescent="0.2">
      <c r="A5702"/>
    </row>
    <row r="5703" spans="1:1" x14ac:dyDescent="0.2">
      <c r="A5703"/>
    </row>
    <row r="5704" spans="1:1" x14ac:dyDescent="0.2">
      <c r="A5704"/>
    </row>
    <row r="5705" spans="1:1" x14ac:dyDescent="0.2">
      <c r="A5705"/>
    </row>
    <row r="5706" spans="1:1" x14ac:dyDescent="0.2">
      <c r="A5706"/>
    </row>
    <row r="5707" spans="1:1" x14ac:dyDescent="0.2">
      <c r="A5707"/>
    </row>
    <row r="5708" spans="1:1" x14ac:dyDescent="0.2">
      <c r="A5708"/>
    </row>
    <row r="5709" spans="1:1" x14ac:dyDescent="0.2">
      <c r="A5709"/>
    </row>
    <row r="5710" spans="1:1" x14ac:dyDescent="0.2">
      <c r="A5710"/>
    </row>
    <row r="5711" spans="1:1" x14ac:dyDescent="0.2">
      <c r="A5711"/>
    </row>
    <row r="5712" spans="1:1" x14ac:dyDescent="0.2">
      <c r="A5712"/>
    </row>
    <row r="5713" spans="1:1" x14ac:dyDescent="0.2">
      <c r="A5713"/>
    </row>
    <row r="5714" spans="1:1" x14ac:dyDescent="0.2">
      <c r="A5714"/>
    </row>
    <row r="5715" spans="1:1" x14ac:dyDescent="0.2">
      <c r="A5715"/>
    </row>
    <row r="5716" spans="1:1" x14ac:dyDescent="0.2">
      <c r="A5716"/>
    </row>
    <row r="5717" spans="1:1" x14ac:dyDescent="0.2">
      <c r="A5717"/>
    </row>
    <row r="5718" spans="1:1" x14ac:dyDescent="0.2">
      <c r="A5718"/>
    </row>
    <row r="5719" spans="1:1" x14ac:dyDescent="0.2">
      <c r="A5719"/>
    </row>
    <row r="5720" spans="1:1" x14ac:dyDescent="0.2">
      <c r="A5720"/>
    </row>
    <row r="5721" spans="1:1" x14ac:dyDescent="0.2">
      <c r="A5721"/>
    </row>
    <row r="5722" spans="1:1" x14ac:dyDescent="0.2">
      <c r="A5722"/>
    </row>
    <row r="5723" spans="1:1" x14ac:dyDescent="0.2">
      <c r="A5723"/>
    </row>
    <row r="5724" spans="1:1" x14ac:dyDescent="0.2">
      <c r="A5724"/>
    </row>
    <row r="5725" spans="1:1" x14ac:dyDescent="0.2">
      <c r="A5725"/>
    </row>
    <row r="5726" spans="1:1" x14ac:dyDescent="0.2">
      <c r="A5726"/>
    </row>
    <row r="5727" spans="1:1" x14ac:dyDescent="0.2">
      <c r="A5727"/>
    </row>
    <row r="5728" spans="1:1" x14ac:dyDescent="0.2">
      <c r="A5728"/>
    </row>
    <row r="5729" spans="1:1" x14ac:dyDescent="0.2">
      <c r="A5729"/>
    </row>
    <row r="5730" spans="1:1" x14ac:dyDescent="0.2">
      <c r="A5730"/>
    </row>
    <row r="5731" spans="1:1" x14ac:dyDescent="0.2">
      <c r="A5731"/>
    </row>
    <row r="5732" spans="1:1" x14ac:dyDescent="0.2">
      <c r="A5732"/>
    </row>
    <row r="5733" spans="1:1" x14ac:dyDescent="0.2">
      <c r="A5733"/>
    </row>
    <row r="5734" spans="1:1" x14ac:dyDescent="0.2">
      <c r="A5734"/>
    </row>
    <row r="5735" spans="1:1" x14ac:dyDescent="0.2">
      <c r="A5735"/>
    </row>
    <row r="5736" spans="1:1" x14ac:dyDescent="0.2">
      <c r="A5736"/>
    </row>
    <row r="5737" spans="1:1" x14ac:dyDescent="0.2">
      <c r="A5737"/>
    </row>
    <row r="5738" spans="1:1" x14ac:dyDescent="0.2">
      <c r="A5738"/>
    </row>
    <row r="5739" spans="1:1" x14ac:dyDescent="0.2">
      <c r="A5739"/>
    </row>
    <row r="5740" spans="1:1" x14ac:dyDescent="0.2">
      <c r="A5740"/>
    </row>
    <row r="5741" spans="1:1" x14ac:dyDescent="0.2">
      <c r="A5741"/>
    </row>
    <row r="5742" spans="1:1" x14ac:dyDescent="0.2">
      <c r="A5742"/>
    </row>
    <row r="5743" spans="1:1" x14ac:dyDescent="0.2">
      <c r="A5743"/>
    </row>
    <row r="5744" spans="1:1" x14ac:dyDescent="0.2">
      <c r="A5744"/>
    </row>
    <row r="5745" spans="1:1" x14ac:dyDescent="0.2">
      <c r="A5745"/>
    </row>
    <row r="5746" spans="1:1" x14ac:dyDescent="0.2">
      <c r="A5746"/>
    </row>
    <row r="5747" spans="1:1" x14ac:dyDescent="0.2">
      <c r="A5747"/>
    </row>
    <row r="5748" spans="1:1" x14ac:dyDescent="0.2">
      <c r="A5748"/>
    </row>
    <row r="5749" spans="1:1" x14ac:dyDescent="0.2">
      <c r="A5749"/>
    </row>
    <row r="5750" spans="1:1" x14ac:dyDescent="0.2">
      <c r="A5750"/>
    </row>
    <row r="5751" spans="1:1" x14ac:dyDescent="0.2">
      <c r="A5751"/>
    </row>
    <row r="5752" spans="1:1" x14ac:dyDescent="0.2">
      <c r="A5752"/>
    </row>
    <row r="5753" spans="1:1" x14ac:dyDescent="0.2">
      <c r="A5753"/>
    </row>
    <row r="5754" spans="1:1" x14ac:dyDescent="0.2">
      <c r="A5754"/>
    </row>
    <row r="5755" spans="1:1" x14ac:dyDescent="0.2">
      <c r="A5755"/>
    </row>
    <row r="5756" spans="1:1" x14ac:dyDescent="0.2">
      <c r="A5756"/>
    </row>
    <row r="5757" spans="1:1" x14ac:dyDescent="0.2">
      <c r="A5757"/>
    </row>
    <row r="5758" spans="1:1" x14ac:dyDescent="0.2">
      <c r="A5758"/>
    </row>
    <row r="5759" spans="1:1" x14ac:dyDescent="0.2">
      <c r="A5759"/>
    </row>
    <row r="5760" spans="1:1" x14ac:dyDescent="0.2">
      <c r="A5760"/>
    </row>
    <row r="5761" spans="1:1" x14ac:dyDescent="0.2">
      <c r="A5761"/>
    </row>
    <row r="5762" spans="1:1" x14ac:dyDescent="0.2">
      <c r="A5762"/>
    </row>
    <row r="5763" spans="1:1" x14ac:dyDescent="0.2">
      <c r="A5763"/>
    </row>
    <row r="5764" spans="1:1" x14ac:dyDescent="0.2">
      <c r="A5764"/>
    </row>
    <row r="5765" spans="1:1" x14ac:dyDescent="0.2">
      <c r="A5765"/>
    </row>
    <row r="5766" spans="1:1" x14ac:dyDescent="0.2">
      <c r="A5766"/>
    </row>
    <row r="5767" spans="1:1" x14ac:dyDescent="0.2">
      <c r="A5767"/>
    </row>
    <row r="5768" spans="1:1" x14ac:dyDescent="0.2">
      <c r="A5768"/>
    </row>
    <row r="5769" spans="1:1" x14ac:dyDescent="0.2">
      <c r="A5769"/>
    </row>
    <row r="5770" spans="1:1" x14ac:dyDescent="0.2">
      <c r="A5770"/>
    </row>
    <row r="5771" spans="1:1" x14ac:dyDescent="0.2">
      <c r="A5771"/>
    </row>
    <row r="5772" spans="1:1" x14ac:dyDescent="0.2">
      <c r="A5772"/>
    </row>
    <row r="5773" spans="1:1" x14ac:dyDescent="0.2">
      <c r="A5773"/>
    </row>
    <row r="5774" spans="1:1" x14ac:dyDescent="0.2">
      <c r="A5774"/>
    </row>
    <row r="5775" spans="1:1" x14ac:dyDescent="0.2">
      <c r="A5775"/>
    </row>
    <row r="5776" spans="1:1" x14ac:dyDescent="0.2">
      <c r="A5776"/>
    </row>
    <row r="5777" spans="1:1" x14ac:dyDescent="0.2">
      <c r="A5777"/>
    </row>
    <row r="5778" spans="1:1" x14ac:dyDescent="0.2">
      <c r="A5778"/>
    </row>
    <row r="5779" spans="1:1" x14ac:dyDescent="0.2">
      <c r="A5779"/>
    </row>
    <row r="5780" spans="1:1" x14ac:dyDescent="0.2">
      <c r="A5780"/>
    </row>
    <row r="5781" spans="1:1" x14ac:dyDescent="0.2">
      <c r="A5781"/>
    </row>
    <row r="5782" spans="1:1" x14ac:dyDescent="0.2">
      <c r="A5782"/>
    </row>
    <row r="5783" spans="1:1" x14ac:dyDescent="0.2">
      <c r="A5783"/>
    </row>
    <row r="5784" spans="1:1" x14ac:dyDescent="0.2">
      <c r="A5784"/>
    </row>
    <row r="5785" spans="1:1" x14ac:dyDescent="0.2">
      <c r="A5785"/>
    </row>
    <row r="5786" spans="1:1" x14ac:dyDescent="0.2">
      <c r="A5786"/>
    </row>
    <row r="5787" spans="1:1" x14ac:dyDescent="0.2">
      <c r="A5787"/>
    </row>
    <row r="5788" spans="1:1" x14ac:dyDescent="0.2">
      <c r="A5788"/>
    </row>
    <row r="5789" spans="1:1" x14ac:dyDescent="0.2">
      <c r="A5789"/>
    </row>
    <row r="5790" spans="1:1" x14ac:dyDescent="0.2">
      <c r="A5790"/>
    </row>
    <row r="5791" spans="1:1" x14ac:dyDescent="0.2">
      <c r="A5791"/>
    </row>
    <row r="5792" spans="1:1" x14ac:dyDescent="0.2">
      <c r="A5792"/>
    </row>
    <row r="5793" spans="1:1" x14ac:dyDescent="0.2">
      <c r="A5793"/>
    </row>
    <row r="5794" spans="1:1" x14ac:dyDescent="0.2">
      <c r="A5794"/>
    </row>
    <row r="5795" spans="1:1" x14ac:dyDescent="0.2">
      <c r="A5795"/>
    </row>
    <row r="5796" spans="1:1" x14ac:dyDescent="0.2">
      <c r="A5796"/>
    </row>
    <row r="5797" spans="1:1" x14ac:dyDescent="0.2">
      <c r="A5797"/>
    </row>
    <row r="5798" spans="1:1" x14ac:dyDescent="0.2">
      <c r="A5798"/>
    </row>
    <row r="5799" spans="1:1" x14ac:dyDescent="0.2">
      <c r="A5799"/>
    </row>
    <row r="5800" spans="1:1" x14ac:dyDescent="0.2">
      <c r="A5800"/>
    </row>
    <row r="5801" spans="1:1" x14ac:dyDescent="0.2">
      <c r="A5801"/>
    </row>
    <row r="5802" spans="1:1" x14ac:dyDescent="0.2">
      <c r="A5802"/>
    </row>
    <row r="5803" spans="1:1" x14ac:dyDescent="0.2">
      <c r="A5803"/>
    </row>
    <row r="5804" spans="1:1" x14ac:dyDescent="0.2">
      <c r="A5804"/>
    </row>
    <row r="5805" spans="1:1" x14ac:dyDescent="0.2">
      <c r="A5805"/>
    </row>
    <row r="5806" spans="1:1" x14ac:dyDescent="0.2">
      <c r="A5806"/>
    </row>
    <row r="5807" spans="1:1" x14ac:dyDescent="0.2">
      <c r="A5807"/>
    </row>
    <row r="5808" spans="1:1" x14ac:dyDescent="0.2">
      <c r="A5808"/>
    </row>
    <row r="5809" spans="1:1" x14ac:dyDescent="0.2">
      <c r="A5809"/>
    </row>
    <row r="5810" spans="1:1" x14ac:dyDescent="0.2">
      <c r="A5810"/>
    </row>
    <row r="5811" spans="1:1" x14ac:dyDescent="0.2">
      <c r="A5811"/>
    </row>
    <row r="5812" spans="1:1" x14ac:dyDescent="0.2">
      <c r="A5812"/>
    </row>
    <row r="5813" spans="1:1" x14ac:dyDescent="0.2">
      <c r="A5813"/>
    </row>
    <row r="5814" spans="1:1" x14ac:dyDescent="0.2">
      <c r="A5814"/>
    </row>
    <row r="5815" spans="1:1" x14ac:dyDescent="0.2">
      <c r="A5815"/>
    </row>
    <row r="5816" spans="1:1" x14ac:dyDescent="0.2">
      <c r="A5816"/>
    </row>
    <row r="5817" spans="1:1" x14ac:dyDescent="0.2">
      <c r="A5817"/>
    </row>
    <row r="5818" spans="1:1" x14ac:dyDescent="0.2">
      <c r="A5818"/>
    </row>
    <row r="5819" spans="1:1" x14ac:dyDescent="0.2">
      <c r="A5819"/>
    </row>
    <row r="5820" spans="1:1" x14ac:dyDescent="0.2">
      <c r="A5820"/>
    </row>
    <row r="5821" spans="1:1" x14ac:dyDescent="0.2">
      <c r="A5821"/>
    </row>
    <row r="5822" spans="1:1" x14ac:dyDescent="0.2">
      <c r="A5822"/>
    </row>
    <row r="5823" spans="1:1" x14ac:dyDescent="0.2">
      <c r="A5823"/>
    </row>
    <row r="5824" spans="1:1" x14ac:dyDescent="0.2">
      <c r="A5824"/>
    </row>
    <row r="5825" spans="1:1" x14ac:dyDescent="0.2">
      <c r="A5825"/>
    </row>
    <row r="5826" spans="1:1" x14ac:dyDescent="0.2">
      <c r="A5826"/>
    </row>
    <row r="5827" spans="1:1" x14ac:dyDescent="0.2">
      <c r="A5827"/>
    </row>
    <row r="5828" spans="1:1" x14ac:dyDescent="0.2">
      <c r="A5828"/>
    </row>
    <row r="5829" spans="1:1" x14ac:dyDescent="0.2">
      <c r="A5829"/>
    </row>
    <row r="5830" spans="1:1" x14ac:dyDescent="0.2">
      <c r="A5830"/>
    </row>
    <row r="5831" spans="1:1" x14ac:dyDescent="0.2">
      <c r="A5831"/>
    </row>
    <row r="5832" spans="1:1" x14ac:dyDescent="0.2">
      <c r="A5832"/>
    </row>
    <row r="5833" spans="1:1" x14ac:dyDescent="0.2">
      <c r="A5833"/>
    </row>
    <row r="5834" spans="1:1" x14ac:dyDescent="0.2">
      <c r="A5834"/>
    </row>
    <row r="5835" spans="1:1" x14ac:dyDescent="0.2">
      <c r="A5835"/>
    </row>
    <row r="5836" spans="1:1" x14ac:dyDescent="0.2">
      <c r="A5836"/>
    </row>
    <row r="5837" spans="1:1" x14ac:dyDescent="0.2">
      <c r="A5837"/>
    </row>
    <row r="5838" spans="1:1" x14ac:dyDescent="0.2">
      <c r="A5838"/>
    </row>
    <row r="5839" spans="1:1" x14ac:dyDescent="0.2">
      <c r="A5839"/>
    </row>
    <row r="5840" spans="1:1" x14ac:dyDescent="0.2">
      <c r="A5840"/>
    </row>
    <row r="5841" spans="1:1" x14ac:dyDescent="0.2">
      <c r="A5841"/>
    </row>
    <row r="5842" spans="1:1" x14ac:dyDescent="0.2">
      <c r="A5842"/>
    </row>
    <row r="5843" spans="1:1" x14ac:dyDescent="0.2">
      <c r="A5843"/>
    </row>
    <row r="5844" spans="1:1" x14ac:dyDescent="0.2">
      <c r="A5844"/>
    </row>
    <row r="5845" spans="1:1" x14ac:dyDescent="0.2">
      <c r="A5845"/>
    </row>
    <row r="5846" spans="1:1" x14ac:dyDescent="0.2">
      <c r="A5846"/>
    </row>
    <row r="5847" spans="1:1" x14ac:dyDescent="0.2">
      <c r="A5847"/>
    </row>
    <row r="5848" spans="1:1" x14ac:dyDescent="0.2">
      <c r="A5848"/>
    </row>
    <row r="5849" spans="1:1" x14ac:dyDescent="0.2">
      <c r="A5849"/>
    </row>
    <row r="5850" spans="1:1" x14ac:dyDescent="0.2">
      <c r="A5850"/>
    </row>
    <row r="5851" spans="1:1" x14ac:dyDescent="0.2">
      <c r="A5851"/>
    </row>
    <row r="5852" spans="1:1" x14ac:dyDescent="0.2">
      <c r="A5852"/>
    </row>
    <row r="5853" spans="1:1" x14ac:dyDescent="0.2">
      <c r="A5853"/>
    </row>
    <row r="5854" spans="1:1" x14ac:dyDescent="0.2">
      <c r="A5854"/>
    </row>
    <row r="5855" spans="1:1" x14ac:dyDescent="0.2">
      <c r="A5855"/>
    </row>
    <row r="5856" spans="1:1" x14ac:dyDescent="0.2">
      <c r="A5856"/>
    </row>
    <row r="5857" spans="1:1" x14ac:dyDescent="0.2">
      <c r="A5857"/>
    </row>
    <row r="5858" spans="1:1" x14ac:dyDescent="0.2">
      <c r="A5858"/>
    </row>
    <row r="5859" spans="1:1" x14ac:dyDescent="0.2">
      <c r="A5859"/>
    </row>
    <row r="5860" spans="1:1" x14ac:dyDescent="0.2">
      <c r="A5860"/>
    </row>
    <row r="5861" spans="1:1" x14ac:dyDescent="0.2">
      <c r="A5861"/>
    </row>
    <row r="5862" spans="1:1" x14ac:dyDescent="0.2">
      <c r="A5862"/>
    </row>
    <row r="5863" spans="1:1" x14ac:dyDescent="0.2">
      <c r="A5863"/>
    </row>
    <row r="5864" spans="1:1" x14ac:dyDescent="0.2">
      <c r="A5864"/>
    </row>
    <row r="5865" spans="1:1" x14ac:dyDescent="0.2">
      <c r="A5865"/>
    </row>
    <row r="5866" spans="1:1" x14ac:dyDescent="0.2">
      <c r="A5866"/>
    </row>
    <row r="5867" spans="1:1" x14ac:dyDescent="0.2">
      <c r="A5867"/>
    </row>
    <row r="5868" spans="1:1" x14ac:dyDescent="0.2">
      <c r="A5868"/>
    </row>
    <row r="5869" spans="1:1" x14ac:dyDescent="0.2">
      <c r="A5869"/>
    </row>
    <row r="5870" spans="1:1" x14ac:dyDescent="0.2">
      <c r="A5870"/>
    </row>
    <row r="5871" spans="1:1" x14ac:dyDescent="0.2">
      <c r="A5871"/>
    </row>
    <row r="5872" spans="1:1" x14ac:dyDescent="0.2">
      <c r="A5872"/>
    </row>
    <row r="5873" spans="1:1" x14ac:dyDescent="0.2">
      <c r="A5873"/>
    </row>
    <row r="5874" spans="1:1" x14ac:dyDescent="0.2">
      <c r="A5874"/>
    </row>
    <row r="5875" spans="1:1" x14ac:dyDescent="0.2">
      <c r="A5875"/>
    </row>
    <row r="5876" spans="1:1" x14ac:dyDescent="0.2">
      <c r="A5876"/>
    </row>
    <row r="5877" spans="1:1" x14ac:dyDescent="0.2">
      <c r="A5877"/>
    </row>
    <row r="5878" spans="1:1" x14ac:dyDescent="0.2">
      <c r="A5878"/>
    </row>
    <row r="5879" spans="1:1" x14ac:dyDescent="0.2">
      <c r="A5879"/>
    </row>
    <row r="5880" spans="1:1" x14ac:dyDescent="0.2">
      <c r="A5880"/>
    </row>
    <row r="5881" spans="1:1" x14ac:dyDescent="0.2">
      <c r="A5881"/>
    </row>
    <row r="5882" spans="1:1" x14ac:dyDescent="0.2">
      <c r="A5882"/>
    </row>
    <row r="5883" spans="1:1" x14ac:dyDescent="0.2">
      <c r="A5883"/>
    </row>
    <row r="5884" spans="1:1" x14ac:dyDescent="0.2">
      <c r="A5884"/>
    </row>
    <row r="5885" spans="1:1" x14ac:dyDescent="0.2">
      <c r="A5885"/>
    </row>
    <row r="5886" spans="1:1" x14ac:dyDescent="0.2">
      <c r="A5886"/>
    </row>
    <row r="5887" spans="1:1" x14ac:dyDescent="0.2">
      <c r="A5887"/>
    </row>
    <row r="5888" spans="1:1" x14ac:dyDescent="0.2">
      <c r="A5888"/>
    </row>
    <row r="5889" spans="1:1" x14ac:dyDescent="0.2">
      <c r="A5889"/>
    </row>
    <row r="5890" spans="1:1" x14ac:dyDescent="0.2">
      <c r="A5890"/>
    </row>
    <row r="5891" spans="1:1" x14ac:dyDescent="0.2">
      <c r="A5891"/>
    </row>
    <row r="5892" spans="1:1" x14ac:dyDescent="0.2">
      <c r="A5892"/>
    </row>
    <row r="5893" spans="1:1" x14ac:dyDescent="0.2">
      <c r="A5893"/>
    </row>
    <row r="5894" spans="1:1" x14ac:dyDescent="0.2">
      <c r="A5894"/>
    </row>
    <row r="5895" spans="1:1" x14ac:dyDescent="0.2">
      <c r="A5895"/>
    </row>
    <row r="5896" spans="1:1" x14ac:dyDescent="0.2">
      <c r="A5896"/>
    </row>
    <row r="5897" spans="1:1" x14ac:dyDescent="0.2">
      <c r="A5897"/>
    </row>
    <row r="5898" spans="1:1" x14ac:dyDescent="0.2">
      <c r="A5898"/>
    </row>
    <row r="5899" spans="1:1" x14ac:dyDescent="0.2">
      <c r="A5899"/>
    </row>
    <row r="5900" spans="1:1" x14ac:dyDescent="0.2">
      <c r="A5900"/>
    </row>
    <row r="5901" spans="1:1" x14ac:dyDescent="0.2">
      <c r="A5901"/>
    </row>
    <row r="5902" spans="1:1" x14ac:dyDescent="0.2">
      <c r="A5902"/>
    </row>
    <row r="5903" spans="1:1" x14ac:dyDescent="0.2">
      <c r="A5903"/>
    </row>
    <row r="5904" spans="1:1" x14ac:dyDescent="0.2">
      <c r="A5904"/>
    </row>
    <row r="5905" spans="1:1" x14ac:dyDescent="0.2">
      <c r="A5905"/>
    </row>
    <row r="5906" spans="1:1" x14ac:dyDescent="0.2">
      <c r="A5906"/>
    </row>
    <row r="5907" spans="1:1" x14ac:dyDescent="0.2">
      <c r="A5907"/>
    </row>
    <row r="5908" spans="1:1" x14ac:dyDescent="0.2">
      <c r="A5908"/>
    </row>
    <row r="5909" spans="1:1" x14ac:dyDescent="0.2">
      <c r="A5909"/>
    </row>
    <row r="5910" spans="1:1" x14ac:dyDescent="0.2">
      <c r="A5910"/>
    </row>
    <row r="5911" spans="1:1" x14ac:dyDescent="0.2">
      <c r="A5911"/>
    </row>
    <row r="5912" spans="1:1" x14ac:dyDescent="0.2">
      <c r="A5912"/>
    </row>
    <row r="5913" spans="1:1" x14ac:dyDescent="0.2">
      <c r="A5913"/>
    </row>
    <row r="5914" spans="1:1" x14ac:dyDescent="0.2">
      <c r="A5914"/>
    </row>
    <row r="5915" spans="1:1" x14ac:dyDescent="0.2">
      <c r="A5915"/>
    </row>
    <row r="5916" spans="1:1" x14ac:dyDescent="0.2">
      <c r="A5916"/>
    </row>
    <row r="5917" spans="1:1" x14ac:dyDescent="0.2">
      <c r="A5917"/>
    </row>
    <row r="5918" spans="1:1" x14ac:dyDescent="0.2">
      <c r="A5918"/>
    </row>
    <row r="5919" spans="1:1" x14ac:dyDescent="0.2">
      <c r="A5919"/>
    </row>
    <row r="5920" spans="1:1" x14ac:dyDescent="0.2">
      <c r="A5920"/>
    </row>
    <row r="5921" spans="1:1" x14ac:dyDescent="0.2">
      <c r="A5921"/>
    </row>
    <row r="5922" spans="1:1" x14ac:dyDescent="0.2">
      <c r="A5922"/>
    </row>
    <row r="5923" spans="1:1" x14ac:dyDescent="0.2">
      <c r="A5923"/>
    </row>
    <row r="5924" spans="1:1" x14ac:dyDescent="0.2">
      <c r="A5924"/>
    </row>
    <row r="5925" spans="1:1" x14ac:dyDescent="0.2">
      <c r="A5925"/>
    </row>
    <row r="5926" spans="1:1" x14ac:dyDescent="0.2">
      <c r="A5926"/>
    </row>
    <row r="5927" spans="1:1" x14ac:dyDescent="0.2">
      <c r="A5927"/>
    </row>
    <row r="5928" spans="1:1" x14ac:dyDescent="0.2">
      <c r="A5928"/>
    </row>
    <row r="5929" spans="1:1" x14ac:dyDescent="0.2">
      <c r="A5929"/>
    </row>
    <row r="5930" spans="1:1" x14ac:dyDescent="0.2">
      <c r="A5930"/>
    </row>
    <row r="5931" spans="1:1" x14ac:dyDescent="0.2">
      <c r="A5931"/>
    </row>
    <row r="5932" spans="1:1" x14ac:dyDescent="0.2">
      <c r="A5932"/>
    </row>
    <row r="5933" spans="1:1" x14ac:dyDescent="0.2">
      <c r="A5933"/>
    </row>
    <row r="5934" spans="1:1" x14ac:dyDescent="0.2">
      <c r="A5934"/>
    </row>
    <row r="5935" spans="1:1" x14ac:dyDescent="0.2">
      <c r="A5935"/>
    </row>
    <row r="5936" spans="1:1" x14ac:dyDescent="0.2">
      <c r="A5936"/>
    </row>
    <row r="5937" spans="1:1" x14ac:dyDescent="0.2">
      <c r="A5937"/>
    </row>
    <row r="5938" spans="1:1" x14ac:dyDescent="0.2">
      <c r="A5938"/>
    </row>
    <row r="5939" spans="1:1" x14ac:dyDescent="0.2">
      <c r="A5939"/>
    </row>
    <row r="5940" spans="1:1" x14ac:dyDescent="0.2">
      <c r="A5940"/>
    </row>
    <row r="5941" spans="1:1" x14ac:dyDescent="0.2">
      <c r="A5941"/>
    </row>
    <row r="5942" spans="1:1" x14ac:dyDescent="0.2">
      <c r="A5942"/>
    </row>
    <row r="5943" spans="1:1" x14ac:dyDescent="0.2">
      <c r="A5943"/>
    </row>
    <row r="5944" spans="1:1" x14ac:dyDescent="0.2">
      <c r="A5944"/>
    </row>
    <row r="5945" spans="1:1" x14ac:dyDescent="0.2">
      <c r="A5945"/>
    </row>
    <row r="5946" spans="1:1" x14ac:dyDescent="0.2">
      <c r="A5946"/>
    </row>
    <row r="5947" spans="1:1" x14ac:dyDescent="0.2">
      <c r="A5947"/>
    </row>
    <row r="5948" spans="1:1" x14ac:dyDescent="0.2">
      <c r="A5948"/>
    </row>
    <row r="5949" spans="1:1" x14ac:dyDescent="0.2">
      <c r="A5949"/>
    </row>
    <row r="5950" spans="1:1" x14ac:dyDescent="0.2">
      <c r="A5950"/>
    </row>
    <row r="5951" spans="1:1" x14ac:dyDescent="0.2">
      <c r="A5951"/>
    </row>
    <row r="5952" spans="1:1" x14ac:dyDescent="0.2">
      <c r="A5952"/>
    </row>
    <row r="5953" spans="1:1" x14ac:dyDescent="0.2">
      <c r="A5953"/>
    </row>
    <row r="5954" spans="1:1" x14ac:dyDescent="0.2">
      <c r="A5954"/>
    </row>
    <row r="5955" spans="1:1" x14ac:dyDescent="0.2">
      <c r="A5955"/>
    </row>
    <row r="5956" spans="1:1" x14ac:dyDescent="0.2">
      <c r="A5956"/>
    </row>
    <row r="5957" spans="1:1" x14ac:dyDescent="0.2">
      <c r="A5957"/>
    </row>
    <row r="5958" spans="1:1" x14ac:dyDescent="0.2">
      <c r="A5958"/>
    </row>
    <row r="5959" spans="1:1" x14ac:dyDescent="0.2">
      <c r="A5959"/>
    </row>
    <row r="5960" spans="1:1" x14ac:dyDescent="0.2">
      <c r="A5960"/>
    </row>
    <row r="5961" spans="1:1" x14ac:dyDescent="0.2">
      <c r="A5961"/>
    </row>
    <row r="5962" spans="1:1" x14ac:dyDescent="0.2">
      <c r="A5962"/>
    </row>
    <row r="5963" spans="1:1" x14ac:dyDescent="0.2">
      <c r="A5963"/>
    </row>
    <row r="5964" spans="1:1" x14ac:dyDescent="0.2">
      <c r="A5964"/>
    </row>
    <row r="5965" spans="1:1" x14ac:dyDescent="0.2">
      <c r="A5965"/>
    </row>
    <row r="5966" spans="1:1" x14ac:dyDescent="0.2">
      <c r="A5966"/>
    </row>
    <row r="5967" spans="1:1" x14ac:dyDescent="0.2">
      <c r="A5967"/>
    </row>
    <row r="5968" spans="1:1" x14ac:dyDescent="0.2">
      <c r="A5968"/>
    </row>
    <row r="5969" spans="1:1" x14ac:dyDescent="0.2">
      <c r="A5969"/>
    </row>
    <row r="5970" spans="1:1" x14ac:dyDescent="0.2">
      <c r="A5970"/>
    </row>
    <row r="5971" spans="1:1" x14ac:dyDescent="0.2">
      <c r="A5971"/>
    </row>
    <row r="5972" spans="1:1" x14ac:dyDescent="0.2">
      <c r="A5972"/>
    </row>
    <row r="5973" spans="1:1" x14ac:dyDescent="0.2">
      <c r="A5973"/>
    </row>
    <row r="5974" spans="1:1" x14ac:dyDescent="0.2">
      <c r="A5974"/>
    </row>
    <row r="5975" spans="1:1" x14ac:dyDescent="0.2">
      <c r="A5975"/>
    </row>
    <row r="5976" spans="1:1" x14ac:dyDescent="0.2">
      <c r="A5976"/>
    </row>
    <row r="5977" spans="1:1" x14ac:dyDescent="0.2">
      <c r="A5977"/>
    </row>
    <row r="5978" spans="1:1" x14ac:dyDescent="0.2">
      <c r="A5978"/>
    </row>
    <row r="5979" spans="1:1" x14ac:dyDescent="0.2">
      <c r="A5979"/>
    </row>
    <row r="5980" spans="1:1" x14ac:dyDescent="0.2">
      <c r="A5980"/>
    </row>
    <row r="5981" spans="1:1" x14ac:dyDescent="0.2">
      <c r="A5981"/>
    </row>
    <row r="5982" spans="1:1" x14ac:dyDescent="0.2">
      <c r="A5982"/>
    </row>
    <row r="5983" spans="1:1" x14ac:dyDescent="0.2">
      <c r="A5983"/>
    </row>
    <row r="5984" spans="1:1" x14ac:dyDescent="0.2">
      <c r="A5984"/>
    </row>
    <row r="5985" spans="1:1" x14ac:dyDescent="0.2">
      <c r="A5985"/>
    </row>
    <row r="5986" spans="1:1" x14ac:dyDescent="0.2">
      <c r="A5986"/>
    </row>
    <row r="5987" spans="1:1" x14ac:dyDescent="0.2">
      <c r="A5987"/>
    </row>
    <row r="5988" spans="1:1" x14ac:dyDescent="0.2">
      <c r="A5988"/>
    </row>
    <row r="5989" spans="1:1" x14ac:dyDescent="0.2">
      <c r="A5989"/>
    </row>
    <row r="5990" spans="1:1" x14ac:dyDescent="0.2">
      <c r="A5990"/>
    </row>
    <row r="5991" spans="1:1" x14ac:dyDescent="0.2">
      <c r="A5991"/>
    </row>
    <row r="5992" spans="1:1" x14ac:dyDescent="0.2">
      <c r="A5992"/>
    </row>
    <row r="5993" spans="1:1" x14ac:dyDescent="0.2">
      <c r="A5993"/>
    </row>
    <row r="5994" spans="1:1" x14ac:dyDescent="0.2">
      <c r="A5994"/>
    </row>
    <row r="5995" spans="1:1" x14ac:dyDescent="0.2">
      <c r="A5995"/>
    </row>
    <row r="5996" spans="1:1" x14ac:dyDescent="0.2">
      <c r="A5996"/>
    </row>
    <row r="5997" spans="1:1" x14ac:dyDescent="0.2">
      <c r="A5997"/>
    </row>
    <row r="5998" spans="1:1" x14ac:dyDescent="0.2">
      <c r="A5998"/>
    </row>
    <row r="5999" spans="1:1" x14ac:dyDescent="0.2">
      <c r="A5999"/>
    </row>
    <row r="6000" spans="1:1" x14ac:dyDescent="0.2">
      <c r="A6000"/>
    </row>
    <row r="6001" spans="1:1" x14ac:dyDescent="0.2">
      <c r="A6001"/>
    </row>
    <row r="6002" spans="1:1" x14ac:dyDescent="0.2">
      <c r="A6002"/>
    </row>
    <row r="6003" spans="1:1" x14ac:dyDescent="0.2">
      <c r="A6003"/>
    </row>
    <row r="6004" spans="1:1" x14ac:dyDescent="0.2">
      <c r="A6004"/>
    </row>
    <row r="6005" spans="1:1" x14ac:dyDescent="0.2">
      <c r="A6005"/>
    </row>
    <row r="6006" spans="1:1" x14ac:dyDescent="0.2">
      <c r="A6006"/>
    </row>
    <row r="6007" spans="1:1" x14ac:dyDescent="0.2">
      <c r="A6007"/>
    </row>
    <row r="6008" spans="1:1" x14ac:dyDescent="0.2">
      <c r="A6008"/>
    </row>
    <row r="6009" spans="1:1" x14ac:dyDescent="0.2">
      <c r="A6009"/>
    </row>
    <row r="6010" spans="1:1" x14ac:dyDescent="0.2">
      <c r="A6010"/>
    </row>
    <row r="6011" spans="1:1" x14ac:dyDescent="0.2">
      <c r="A6011"/>
    </row>
    <row r="6012" spans="1:1" x14ac:dyDescent="0.2">
      <c r="A6012"/>
    </row>
    <row r="6013" spans="1:1" x14ac:dyDescent="0.2">
      <c r="A6013"/>
    </row>
    <row r="6014" spans="1:1" x14ac:dyDescent="0.2">
      <c r="A6014"/>
    </row>
    <row r="6015" spans="1:1" x14ac:dyDescent="0.2">
      <c r="A6015"/>
    </row>
    <row r="6016" spans="1:1" x14ac:dyDescent="0.2">
      <c r="A6016"/>
    </row>
    <row r="6017" spans="1:1" x14ac:dyDescent="0.2">
      <c r="A6017"/>
    </row>
    <row r="6018" spans="1:1" x14ac:dyDescent="0.2">
      <c r="A6018"/>
    </row>
    <row r="6019" spans="1:1" x14ac:dyDescent="0.2">
      <c r="A6019"/>
    </row>
    <row r="6020" spans="1:1" x14ac:dyDescent="0.2">
      <c r="A6020"/>
    </row>
    <row r="6021" spans="1:1" x14ac:dyDescent="0.2">
      <c r="A6021"/>
    </row>
    <row r="6022" spans="1:1" x14ac:dyDescent="0.2">
      <c r="A6022"/>
    </row>
    <row r="6023" spans="1:1" x14ac:dyDescent="0.2">
      <c r="A6023"/>
    </row>
    <row r="6024" spans="1:1" x14ac:dyDescent="0.2">
      <c r="A6024"/>
    </row>
    <row r="6025" spans="1:1" x14ac:dyDescent="0.2">
      <c r="A6025"/>
    </row>
    <row r="6026" spans="1:1" x14ac:dyDescent="0.2">
      <c r="A6026"/>
    </row>
    <row r="6027" spans="1:1" x14ac:dyDescent="0.2">
      <c r="A6027"/>
    </row>
    <row r="6028" spans="1:1" x14ac:dyDescent="0.2">
      <c r="A6028"/>
    </row>
    <row r="6029" spans="1:1" x14ac:dyDescent="0.2">
      <c r="A6029"/>
    </row>
    <row r="6030" spans="1:1" x14ac:dyDescent="0.2">
      <c r="A6030"/>
    </row>
    <row r="6031" spans="1:1" x14ac:dyDescent="0.2">
      <c r="A6031"/>
    </row>
    <row r="6032" spans="1:1" x14ac:dyDescent="0.2">
      <c r="A6032"/>
    </row>
    <row r="6033" spans="1:1" x14ac:dyDescent="0.2">
      <c r="A6033"/>
    </row>
    <row r="6034" spans="1:1" x14ac:dyDescent="0.2">
      <c r="A6034"/>
    </row>
    <row r="6035" spans="1:1" x14ac:dyDescent="0.2">
      <c r="A6035"/>
    </row>
    <row r="6036" spans="1:1" x14ac:dyDescent="0.2">
      <c r="A6036"/>
    </row>
    <row r="6037" spans="1:1" x14ac:dyDescent="0.2">
      <c r="A6037"/>
    </row>
    <row r="6038" spans="1:1" x14ac:dyDescent="0.2">
      <c r="A6038"/>
    </row>
    <row r="6039" spans="1:1" x14ac:dyDescent="0.2">
      <c r="A6039"/>
    </row>
    <row r="6040" spans="1:1" x14ac:dyDescent="0.2">
      <c r="A6040"/>
    </row>
    <row r="6041" spans="1:1" x14ac:dyDescent="0.2">
      <c r="A6041"/>
    </row>
    <row r="6042" spans="1:1" x14ac:dyDescent="0.2">
      <c r="A6042"/>
    </row>
    <row r="6043" spans="1:1" x14ac:dyDescent="0.2">
      <c r="A6043"/>
    </row>
    <row r="6044" spans="1:1" x14ac:dyDescent="0.2">
      <c r="A6044"/>
    </row>
    <row r="6045" spans="1:1" x14ac:dyDescent="0.2">
      <c r="A6045"/>
    </row>
    <row r="6046" spans="1:1" x14ac:dyDescent="0.2">
      <c r="A6046"/>
    </row>
    <row r="6047" spans="1:1" x14ac:dyDescent="0.2">
      <c r="A6047"/>
    </row>
    <row r="6048" spans="1:1" x14ac:dyDescent="0.2">
      <c r="A6048"/>
    </row>
    <row r="6049" spans="1:1" x14ac:dyDescent="0.2">
      <c r="A6049"/>
    </row>
    <row r="6050" spans="1:1" x14ac:dyDescent="0.2">
      <c r="A6050"/>
    </row>
    <row r="6051" spans="1:1" x14ac:dyDescent="0.2">
      <c r="A6051"/>
    </row>
    <row r="6052" spans="1:1" x14ac:dyDescent="0.2">
      <c r="A6052"/>
    </row>
    <row r="6053" spans="1:1" x14ac:dyDescent="0.2">
      <c r="A6053"/>
    </row>
    <row r="6054" spans="1:1" x14ac:dyDescent="0.2">
      <c r="A6054"/>
    </row>
    <row r="6055" spans="1:1" x14ac:dyDescent="0.2">
      <c r="A6055"/>
    </row>
    <row r="6056" spans="1:1" x14ac:dyDescent="0.2">
      <c r="A6056"/>
    </row>
    <row r="6057" spans="1:1" x14ac:dyDescent="0.2">
      <c r="A6057"/>
    </row>
    <row r="6058" spans="1:1" x14ac:dyDescent="0.2">
      <c r="A6058"/>
    </row>
    <row r="6059" spans="1:1" x14ac:dyDescent="0.2">
      <c r="A6059"/>
    </row>
    <row r="6060" spans="1:1" x14ac:dyDescent="0.2">
      <c r="A6060"/>
    </row>
    <row r="6061" spans="1:1" x14ac:dyDescent="0.2">
      <c r="A6061"/>
    </row>
    <row r="6062" spans="1:1" x14ac:dyDescent="0.2">
      <c r="A6062"/>
    </row>
    <row r="6063" spans="1:1" x14ac:dyDescent="0.2">
      <c r="A6063"/>
    </row>
    <row r="6064" spans="1:1" x14ac:dyDescent="0.2">
      <c r="A6064"/>
    </row>
    <row r="6065" spans="1:1" x14ac:dyDescent="0.2">
      <c r="A6065"/>
    </row>
    <row r="6066" spans="1:1" x14ac:dyDescent="0.2">
      <c r="A6066"/>
    </row>
    <row r="6067" spans="1:1" x14ac:dyDescent="0.2">
      <c r="A6067"/>
    </row>
    <row r="6068" spans="1:1" x14ac:dyDescent="0.2">
      <c r="A6068"/>
    </row>
    <row r="6069" spans="1:1" x14ac:dyDescent="0.2">
      <c r="A6069"/>
    </row>
    <row r="6070" spans="1:1" x14ac:dyDescent="0.2">
      <c r="A6070"/>
    </row>
    <row r="6071" spans="1:1" x14ac:dyDescent="0.2">
      <c r="A6071"/>
    </row>
    <row r="6072" spans="1:1" x14ac:dyDescent="0.2">
      <c r="A6072"/>
    </row>
    <row r="6073" spans="1:1" x14ac:dyDescent="0.2">
      <c r="A6073"/>
    </row>
    <row r="6074" spans="1:1" x14ac:dyDescent="0.2">
      <c r="A6074"/>
    </row>
    <row r="6075" spans="1:1" x14ac:dyDescent="0.2">
      <c r="A6075"/>
    </row>
    <row r="6076" spans="1:1" x14ac:dyDescent="0.2">
      <c r="A6076"/>
    </row>
    <row r="6077" spans="1:1" x14ac:dyDescent="0.2">
      <c r="A6077"/>
    </row>
    <row r="6078" spans="1:1" x14ac:dyDescent="0.2">
      <c r="A6078"/>
    </row>
    <row r="6079" spans="1:1" x14ac:dyDescent="0.2">
      <c r="A6079"/>
    </row>
    <row r="6080" spans="1:1" x14ac:dyDescent="0.2">
      <c r="A6080"/>
    </row>
    <row r="6081" spans="1:1" x14ac:dyDescent="0.2">
      <c r="A6081"/>
    </row>
    <row r="6082" spans="1:1" x14ac:dyDescent="0.2">
      <c r="A6082"/>
    </row>
    <row r="6083" spans="1:1" x14ac:dyDescent="0.2">
      <c r="A6083"/>
    </row>
    <row r="6084" spans="1:1" x14ac:dyDescent="0.2">
      <c r="A6084"/>
    </row>
    <row r="6085" spans="1:1" x14ac:dyDescent="0.2">
      <c r="A6085"/>
    </row>
    <row r="6086" spans="1:1" x14ac:dyDescent="0.2">
      <c r="A6086"/>
    </row>
    <row r="6087" spans="1:1" x14ac:dyDescent="0.2">
      <c r="A6087"/>
    </row>
    <row r="6088" spans="1:1" x14ac:dyDescent="0.2">
      <c r="A6088"/>
    </row>
    <row r="6089" spans="1:1" x14ac:dyDescent="0.2">
      <c r="A6089"/>
    </row>
    <row r="6090" spans="1:1" x14ac:dyDescent="0.2">
      <c r="A6090"/>
    </row>
    <row r="6091" spans="1:1" x14ac:dyDescent="0.2">
      <c r="A6091"/>
    </row>
    <row r="6092" spans="1:1" x14ac:dyDescent="0.2">
      <c r="A6092"/>
    </row>
    <row r="6093" spans="1:1" x14ac:dyDescent="0.2">
      <c r="A6093"/>
    </row>
    <row r="6094" spans="1:1" x14ac:dyDescent="0.2">
      <c r="A6094"/>
    </row>
    <row r="6095" spans="1:1" x14ac:dyDescent="0.2">
      <c r="A6095"/>
    </row>
    <row r="6096" spans="1:1" x14ac:dyDescent="0.2">
      <c r="A6096"/>
    </row>
    <row r="6097" spans="1:1" x14ac:dyDescent="0.2">
      <c r="A6097"/>
    </row>
    <row r="6098" spans="1:1" x14ac:dyDescent="0.2">
      <c r="A6098"/>
    </row>
    <row r="6099" spans="1:1" x14ac:dyDescent="0.2">
      <c r="A6099"/>
    </row>
    <row r="6100" spans="1:1" x14ac:dyDescent="0.2">
      <c r="A6100"/>
    </row>
    <row r="6101" spans="1:1" x14ac:dyDescent="0.2">
      <c r="A6101"/>
    </row>
    <row r="6102" spans="1:1" x14ac:dyDescent="0.2">
      <c r="A6102"/>
    </row>
    <row r="6103" spans="1:1" x14ac:dyDescent="0.2">
      <c r="A6103"/>
    </row>
    <row r="6104" spans="1:1" x14ac:dyDescent="0.2">
      <c r="A6104"/>
    </row>
    <row r="6105" spans="1:1" x14ac:dyDescent="0.2">
      <c r="A6105"/>
    </row>
    <row r="6106" spans="1:1" x14ac:dyDescent="0.2">
      <c r="A6106"/>
    </row>
    <row r="6107" spans="1:1" x14ac:dyDescent="0.2">
      <c r="A6107"/>
    </row>
    <row r="6108" spans="1:1" x14ac:dyDescent="0.2">
      <c r="A6108"/>
    </row>
    <row r="6109" spans="1:1" x14ac:dyDescent="0.2">
      <c r="A6109"/>
    </row>
    <row r="6110" spans="1:1" x14ac:dyDescent="0.2">
      <c r="A6110"/>
    </row>
    <row r="6111" spans="1:1" x14ac:dyDescent="0.2">
      <c r="A6111"/>
    </row>
    <row r="6112" spans="1:1" x14ac:dyDescent="0.2">
      <c r="A6112"/>
    </row>
    <row r="6113" spans="1:1" x14ac:dyDescent="0.2">
      <c r="A6113"/>
    </row>
    <row r="6114" spans="1:1" x14ac:dyDescent="0.2">
      <c r="A6114"/>
    </row>
    <row r="6115" spans="1:1" x14ac:dyDescent="0.2">
      <c r="A6115"/>
    </row>
    <row r="6116" spans="1:1" x14ac:dyDescent="0.2">
      <c r="A6116"/>
    </row>
    <row r="6117" spans="1:1" x14ac:dyDescent="0.2">
      <c r="A6117"/>
    </row>
    <row r="6118" spans="1:1" x14ac:dyDescent="0.2">
      <c r="A6118"/>
    </row>
    <row r="6119" spans="1:1" x14ac:dyDescent="0.2">
      <c r="A6119"/>
    </row>
    <row r="6120" spans="1:1" x14ac:dyDescent="0.2">
      <c r="A6120"/>
    </row>
    <row r="6121" spans="1:1" x14ac:dyDescent="0.2">
      <c r="A6121"/>
    </row>
    <row r="6122" spans="1:1" x14ac:dyDescent="0.2">
      <c r="A6122"/>
    </row>
    <row r="6123" spans="1:1" x14ac:dyDescent="0.2">
      <c r="A6123"/>
    </row>
    <row r="6124" spans="1:1" x14ac:dyDescent="0.2">
      <c r="A6124"/>
    </row>
    <row r="6125" spans="1:1" x14ac:dyDescent="0.2">
      <c r="A6125"/>
    </row>
    <row r="6126" spans="1:1" x14ac:dyDescent="0.2">
      <c r="A6126"/>
    </row>
    <row r="6127" spans="1:1" x14ac:dyDescent="0.2">
      <c r="A6127"/>
    </row>
    <row r="6128" spans="1:1" x14ac:dyDescent="0.2">
      <c r="A6128"/>
    </row>
    <row r="6129" spans="1:1" x14ac:dyDescent="0.2">
      <c r="A6129"/>
    </row>
    <row r="6130" spans="1:1" x14ac:dyDescent="0.2">
      <c r="A6130"/>
    </row>
    <row r="6131" spans="1:1" x14ac:dyDescent="0.2">
      <c r="A6131"/>
    </row>
    <row r="6132" spans="1:1" x14ac:dyDescent="0.2">
      <c r="A6132"/>
    </row>
    <row r="6133" spans="1:1" x14ac:dyDescent="0.2">
      <c r="A6133"/>
    </row>
    <row r="6134" spans="1:1" x14ac:dyDescent="0.2">
      <c r="A6134"/>
    </row>
    <row r="6135" spans="1:1" x14ac:dyDescent="0.2">
      <c r="A6135"/>
    </row>
    <row r="6136" spans="1:1" x14ac:dyDescent="0.2">
      <c r="A6136"/>
    </row>
    <row r="6137" spans="1:1" x14ac:dyDescent="0.2">
      <c r="A6137"/>
    </row>
    <row r="6138" spans="1:1" x14ac:dyDescent="0.2">
      <c r="A6138"/>
    </row>
    <row r="6139" spans="1:1" x14ac:dyDescent="0.2">
      <c r="A6139"/>
    </row>
    <row r="6140" spans="1:1" x14ac:dyDescent="0.2">
      <c r="A6140"/>
    </row>
    <row r="6141" spans="1:1" x14ac:dyDescent="0.2">
      <c r="A6141"/>
    </row>
    <row r="6142" spans="1:1" x14ac:dyDescent="0.2">
      <c r="A6142"/>
    </row>
    <row r="6143" spans="1:1" x14ac:dyDescent="0.2">
      <c r="A6143"/>
    </row>
    <row r="6144" spans="1:1" x14ac:dyDescent="0.2">
      <c r="A6144"/>
    </row>
    <row r="6145" spans="1:1" x14ac:dyDescent="0.2">
      <c r="A6145"/>
    </row>
    <row r="6146" spans="1:1" x14ac:dyDescent="0.2">
      <c r="A6146"/>
    </row>
    <row r="6147" spans="1:1" x14ac:dyDescent="0.2">
      <c r="A6147"/>
    </row>
    <row r="6148" spans="1:1" x14ac:dyDescent="0.2">
      <c r="A6148"/>
    </row>
    <row r="6149" spans="1:1" x14ac:dyDescent="0.2">
      <c r="A6149"/>
    </row>
    <row r="6150" spans="1:1" x14ac:dyDescent="0.2">
      <c r="A6150"/>
    </row>
    <row r="6151" spans="1:1" x14ac:dyDescent="0.2">
      <c r="A6151"/>
    </row>
    <row r="6152" spans="1:1" x14ac:dyDescent="0.2">
      <c r="A6152"/>
    </row>
    <row r="6153" spans="1:1" x14ac:dyDescent="0.2">
      <c r="A6153"/>
    </row>
    <row r="6154" spans="1:1" x14ac:dyDescent="0.2">
      <c r="A6154"/>
    </row>
    <row r="6155" spans="1:1" x14ac:dyDescent="0.2">
      <c r="A6155"/>
    </row>
    <row r="6156" spans="1:1" x14ac:dyDescent="0.2">
      <c r="A6156"/>
    </row>
    <row r="6157" spans="1:1" x14ac:dyDescent="0.2">
      <c r="A6157"/>
    </row>
    <row r="6158" spans="1:1" x14ac:dyDescent="0.2">
      <c r="A6158"/>
    </row>
    <row r="6159" spans="1:1" x14ac:dyDescent="0.2">
      <c r="A6159"/>
    </row>
    <row r="6160" spans="1:1" x14ac:dyDescent="0.2">
      <c r="A6160"/>
    </row>
    <row r="6161" spans="1:1" x14ac:dyDescent="0.2">
      <c r="A6161"/>
    </row>
    <row r="6162" spans="1:1" x14ac:dyDescent="0.2">
      <c r="A6162"/>
    </row>
    <row r="6163" spans="1:1" x14ac:dyDescent="0.2">
      <c r="A6163"/>
    </row>
    <row r="6164" spans="1:1" x14ac:dyDescent="0.2">
      <c r="A6164"/>
    </row>
    <row r="6165" spans="1:1" x14ac:dyDescent="0.2">
      <c r="A6165"/>
    </row>
    <row r="6166" spans="1:1" x14ac:dyDescent="0.2">
      <c r="A6166"/>
    </row>
    <row r="6167" spans="1:1" x14ac:dyDescent="0.2">
      <c r="A6167"/>
    </row>
    <row r="6168" spans="1:1" x14ac:dyDescent="0.2">
      <c r="A6168"/>
    </row>
    <row r="6169" spans="1:1" x14ac:dyDescent="0.2">
      <c r="A6169"/>
    </row>
    <row r="6170" spans="1:1" x14ac:dyDescent="0.2">
      <c r="A6170"/>
    </row>
    <row r="6171" spans="1:1" x14ac:dyDescent="0.2">
      <c r="A6171"/>
    </row>
    <row r="6172" spans="1:1" x14ac:dyDescent="0.2">
      <c r="A6172"/>
    </row>
    <row r="6173" spans="1:1" x14ac:dyDescent="0.2">
      <c r="A6173"/>
    </row>
    <row r="6174" spans="1:1" x14ac:dyDescent="0.2">
      <c r="A6174"/>
    </row>
    <row r="6175" spans="1:1" x14ac:dyDescent="0.2">
      <c r="A6175"/>
    </row>
    <row r="6176" spans="1:1" x14ac:dyDescent="0.2">
      <c r="A6176"/>
    </row>
    <row r="6177" spans="1:1" x14ac:dyDescent="0.2">
      <c r="A6177"/>
    </row>
    <row r="6178" spans="1:1" x14ac:dyDescent="0.2">
      <c r="A6178"/>
    </row>
    <row r="6179" spans="1:1" x14ac:dyDescent="0.2">
      <c r="A6179"/>
    </row>
    <row r="6180" spans="1:1" x14ac:dyDescent="0.2">
      <c r="A6180"/>
    </row>
    <row r="6181" spans="1:1" x14ac:dyDescent="0.2">
      <c r="A6181"/>
    </row>
    <row r="6182" spans="1:1" x14ac:dyDescent="0.2">
      <c r="A6182"/>
    </row>
    <row r="6183" spans="1:1" x14ac:dyDescent="0.2">
      <c r="A6183"/>
    </row>
    <row r="6184" spans="1:1" x14ac:dyDescent="0.2">
      <c r="A6184"/>
    </row>
    <row r="6185" spans="1:1" x14ac:dyDescent="0.2">
      <c r="A6185"/>
    </row>
    <row r="6186" spans="1:1" x14ac:dyDescent="0.2">
      <c r="A6186"/>
    </row>
    <row r="6187" spans="1:1" x14ac:dyDescent="0.2">
      <c r="A6187"/>
    </row>
    <row r="6188" spans="1:1" x14ac:dyDescent="0.2">
      <c r="A6188"/>
    </row>
    <row r="6189" spans="1:1" x14ac:dyDescent="0.2">
      <c r="A6189"/>
    </row>
    <row r="6190" spans="1:1" x14ac:dyDescent="0.2">
      <c r="A6190"/>
    </row>
    <row r="6191" spans="1:1" x14ac:dyDescent="0.2">
      <c r="A6191"/>
    </row>
    <row r="6192" spans="1:1" x14ac:dyDescent="0.2">
      <c r="A6192"/>
    </row>
    <row r="6193" spans="1:1" x14ac:dyDescent="0.2">
      <c r="A6193"/>
    </row>
    <row r="6194" spans="1:1" x14ac:dyDescent="0.2">
      <c r="A6194"/>
    </row>
    <row r="6195" spans="1:1" x14ac:dyDescent="0.2">
      <c r="A6195"/>
    </row>
    <row r="6196" spans="1:1" x14ac:dyDescent="0.2">
      <c r="A6196"/>
    </row>
    <row r="6197" spans="1:1" x14ac:dyDescent="0.2">
      <c r="A6197"/>
    </row>
    <row r="6198" spans="1:1" x14ac:dyDescent="0.2">
      <c r="A6198"/>
    </row>
    <row r="6199" spans="1:1" x14ac:dyDescent="0.2">
      <c r="A6199"/>
    </row>
    <row r="6200" spans="1:1" x14ac:dyDescent="0.2">
      <c r="A6200"/>
    </row>
    <row r="6201" spans="1:1" x14ac:dyDescent="0.2">
      <c r="A6201"/>
    </row>
    <row r="6202" spans="1:1" x14ac:dyDescent="0.2">
      <c r="A6202"/>
    </row>
    <row r="6203" spans="1:1" x14ac:dyDescent="0.2">
      <c r="A6203"/>
    </row>
    <row r="6204" spans="1:1" x14ac:dyDescent="0.2">
      <c r="A6204"/>
    </row>
    <row r="6205" spans="1:1" x14ac:dyDescent="0.2">
      <c r="A6205"/>
    </row>
    <row r="6206" spans="1:1" x14ac:dyDescent="0.2">
      <c r="A6206"/>
    </row>
    <row r="6207" spans="1:1" x14ac:dyDescent="0.2">
      <c r="A6207"/>
    </row>
    <row r="6208" spans="1:1" x14ac:dyDescent="0.2">
      <c r="A6208"/>
    </row>
    <row r="6209" spans="1:1" x14ac:dyDescent="0.2">
      <c r="A6209"/>
    </row>
    <row r="6210" spans="1:1" x14ac:dyDescent="0.2">
      <c r="A6210"/>
    </row>
    <row r="6211" spans="1:1" x14ac:dyDescent="0.2">
      <c r="A6211"/>
    </row>
    <row r="6212" spans="1:1" x14ac:dyDescent="0.2">
      <c r="A6212"/>
    </row>
    <row r="6213" spans="1:1" x14ac:dyDescent="0.2">
      <c r="A6213"/>
    </row>
    <row r="6214" spans="1:1" x14ac:dyDescent="0.2">
      <c r="A6214"/>
    </row>
    <row r="6215" spans="1:1" x14ac:dyDescent="0.2">
      <c r="A6215"/>
    </row>
    <row r="6216" spans="1:1" x14ac:dyDescent="0.2">
      <c r="A6216"/>
    </row>
    <row r="6217" spans="1:1" x14ac:dyDescent="0.2">
      <c r="A6217"/>
    </row>
    <row r="6218" spans="1:1" x14ac:dyDescent="0.2">
      <c r="A6218"/>
    </row>
    <row r="6219" spans="1:1" x14ac:dyDescent="0.2">
      <c r="A6219"/>
    </row>
    <row r="6220" spans="1:1" x14ac:dyDescent="0.2">
      <c r="A6220"/>
    </row>
    <row r="6221" spans="1:1" x14ac:dyDescent="0.2">
      <c r="A6221"/>
    </row>
    <row r="6222" spans="1:1" x14ac:dyDescent="0.2">
      <c r="A6222"/>
    </row>
    <row r="6223" spans="1:1" x14ac:dyDescent="0.2">
      <c r="A6223"/>
    </row>
    <row r="6224" spans="1:1" x14ac:dyDescent="0.2">
      <c r="A6224"/>
    </row>
    <row r="6225" spans="1:1" x14ac:dyDescent="0.2">
      <c r="A6225"/>
    </row>
    <row r="6226" spans="1:1" x14ac:dyDescent="0.2">
      <c r="A6226"/>
    </row>
    <row r="6227" spans="1:1" x14ac:dyDescent="0.2">
      <c r="A6227"/>
    </row>
    <row r="6228" spans="1:1" x14ac:dyDescent="0.2">
      <c r="A6228"/>
    </row>
    <row r="6229" spans="1:1" x14ac:dyDescent="0.2">
      <c r="A6229"/>
    </row>
    <row r="6230" spans="1:1" x14ac:dyDescent="0.2">
      <c r="A6230"/>
    </row>
    <row r="6231" spans="1:1" x14ac:dyDescent="0.2">
      <c r="A6231"/>
    </row>
    <row r="6232" spans="1:1" x14ac:dyDescent="0.2">
      <c r="A6232"/>
    </row>
    <row r="6233" spans="1:1" x14ac:dyDescent="0.2">
      <c r="A6233"/>
    </row>
    <row r="6234" spans="1:1" x14ac:dyDescent="0.2">
      <c r="A6234"/>
    </row>
    <row r="6235" spans="1:1" x14ac:dyDescent="0.2">
      <c r="A6235"/>
    </row>
    <row r="6236" spans="1:1" x14ac:dyDescent="0.2">
      <c r="A6236"/>
    </row>
    <row r="6237" spans="1:1" x14ac:dyDescent="0.2">
      <c r="A6237"/>
    </row>
    <row r="6238" spans="1:1" x14ac:dyDescent="0.2">
      <c r="A6238"/>
    </row>
    <row r="6239" spans="1:1" x14ac:dyDescent="0.2">
      <c r="A6239"/>
    </row>
    <row r="6240" spans="1:1" x14ac:dyDescent="0.2">
      <c r="A6240"/>
    </row>
    <row r="6241" spans="1:1" x14ac:dyDescent="0.2">
      <c r="A6241"/>
    </row>
    <row r="6242" spans="1:1" x14ac:dyDescent="0.2">
      <c r="A6242"/>
    </row>
    <row r="6243" spans="1:1" x14ac:dyDescent="0.2">
      <c r="A6243"/>
    </row>
    <row r="6244" spans="1:1" x14ac:dyDescent="0.2">
      <c r="A6244"/>
    </row>
    <row r="6245" spans="1:1" x14ac:dyDescent="0.2">
      <c r="A6245"/>
    </row>
    <row r="6246" spans="1:1" x14ac:dyDescent="0.2">
      <c r="A6246"/>
    </row>
    <row r="6247" spans="1:1" x14ac:dyDescent="0.2">
      <c r="A6247"/>
    </row>
    <row r="6248" spans="1:1" x14ac:dyDescent="0.2">
      <c r="A6248"/>
    </row>
    <row r="6249" spans="1:1" x14ac:dyDescent="0.2">
      <c r="A6249"/>
    </row>
    <row r="6250" spans="1:1" x14ac:dyDescent="0.2">
      <c r="A6250"/>
    </row>
    <row r="6251" spans="1:1" x14ac:dyDescent="0.2">
      <c r="A6251"/>
    </row>
    <row r="6252" spans="1:1" x14ac:dyDescent="0.2">
      <c r="A6252"/>
    </row>
    <row r="6253" spans="1:1" x14ac:dyDescent="0.2">
      <c r="A6253"/>
    </row>
    <row r="6254" spans="1:1" x14ac:dyDescent="0.2">
      <c r="A6254"/>
    </row>
    <row r="6255" spans="1:1" x14ac:dyDescent="0.2">
      <c r="A6255"/>
    </row>
    <row r="6256" spans="1:1" x14ac:dyDescent="0.2">
      <c r="A6256"/>
    </row>
    <row r="6257" spans="1:1" x14ac:dyDescent="0.2">
      <c r="A6257"/>
    </row>
    <row r="6258" spans="1:1" x14ac:dyDescent="0.2">
      <c r="A6258"/>
    </row>
    <row r="6259" spans="1:1" x14ac:dyDescent="0.2">
      <c r="A6259"/>
    </row>
    <row r="6260" spans="1:1" x14ac:dyDescent="0.2">
      <c r="A6260"/>
    </row>
    <row r="6261" spans="1:1" x14ac:dyDescent="0.2">
      <c r="A6261"/>
    </row>
    <row r="6262" spans="1:1" x14ac:dyDescent="0.2">
      <c r="A6262"/>
    </row>
    <row r="6263" spans="1:1" x14ac:dyDescent="0.2">
      <c r="A6263"/>
    </row>
    <row r="6264" spans="1:1" x14ac:dyDescent="0.2">
      <c r="A6264"/>
    </row>
    <row r="6265" spans="1:1" x14ac:dyDescent="0.2">
      <c r="A6265"/>
    </row>
    <row r="6266" spans="1:1" x14ac:dyDescent="0.2">
      <c r="A6266"/>
    </row>
    <row r="6267" spans="1:1" x14ac:dyDescent="0.2">
      <c r="A6267"/>
    </row>
    <row r="6268" spans="1:1" x14ac:dyDescent="0.2">
      <c r="A6268"/>
    </row>
    <row r="6269" spans="1:1" x14ac:dyDescent="0.2">
      <c r="A6269"/>
    </row>
    <row r="6270" spans="1:1" x14ac:dyDescent="0.2">
      <c r="A6270"/>
    </row>
    <row r="6271" spans="1:1" x14ac:dyDescent="0.2">
      <c r="A6271"/>
    </row>
    <row r="6272" spans="1:1" x14ac:dyDescent="0.2">
      <c r="A6272"/>
    </row>
    <row r="6273" spans="1:1" x14ac:dyDescent="0.2">
      <c r="A6273"/>
    </row>
    <row r="6274" spans="1:1" x14ac:dyDescent="0.2">
      <c r="A6274"/>
    </row>
    <row r="6275" spans="1:1" x14ac:dyDescent="0.2">
      <c r="A6275"/>
    </row>
    <row r="6276" spans="1:1" x14ac:dyDescent="0.2">
      <c r="A6276"/>
    </row>
    <row r="6277" spans="1:1" x14ac:dyDescent="0.2">
      <c r="A6277"/>
    </row>
    <row r="6278" spans="1:1" x14ac:dyDescent="0.2">
      <c r="A6278"/>
    </row>
    <row r="6279" spans="1:1" x14ac:dyDescent="0.2">
      <c r="A6279"/>
    </row>
    <row r="6280" spans="1:1" x14ac:dyDescent="0.2">
      <c r="A6280"/>
    </row>
    <row r="6281" spans="1:1" x14ac:dyDescent="0.2">
      <c r="A6281"/>
    </row>
    <row r="6282" spans="1:1" x14ac:dyDescent="0.2">
      <c r="A6282"/>
    </row>
    <row r="6283" spans="1:1" x14ac:dyDescent="0.2">
      <c r="A6283"/>
    </row>
    <row r="6284" spans="1:1" x14ac:dyDescent="0.2">
      <c r="A6284"/>
    </row>
    <row r="6285" spans="1:1" x14ac:dyDescent="0.2">
      <c r="A6285"/>
    </row>
    <row r="6286" spans="1:1" x14ac:dyDescent="0.2">
      <c r="A6286"/>
    </row>
    <row r="6287" spans="1:1" x14ac:dyDescent="0.2">
      <c r="A6287"/>
    </row>
    <row r="6288" spans="1:1" x14ac:dyDescent="0.2">
      <c r="A6288"/>
    </row>
    <row r="6289" spans="1:1" x14ac:dyDescent="0.2">
      <c r="A6289"/>
    </row>
    <row r="6290" spans="1:1" x14ac:dyDescent="0.2">
      <c r="A6290"/>
    </row>
    <row r="6291" spans="1:1" x14ac:dyDescent="0.2">
      <c r="A6291"/>
    </row>
    <row r="6292" spans="1:1" x14ac:dyDescent="0.2">
      <c r="A6292"/>
    </row>
    <row r="6293" spans="1:1" x14ac:dyDescent="0.2">
      <c r="A6293"/>
    </row>
    <row r="6294" spans="1:1" x14ac:dyDescent="0.2">
      <c r="A6294"/>
    </row>
    <row r="6295" spans="1:1" x14ac:dyDescent="0.2">
      <c r="A6295"/>
    </row>
    <row r="6296" spans="1:1" x14ac:dyDescent="0.2">
      <c r="A6296"/>
    </row>
    <row r="6297" spans="1:1" x14ac:dyDescent="0.2">
      <c r="A6297"/>
    </row>
    <row r="6298" spans="1:1" x14ac:dyDescent="0.2">
      <c r="A6298"/>
    </row>
    <row r="6299" spans="1:1" x14ac:dyDescent="0.2">
      <c r="A6299"/>
    </row>
    <row r="6300" spans="1:1" x14ac:dyDescent="0.2">
      <c r="A6300"/>
    </row>
    <row r="6301" spans="1:1" x14ac:dyDescent="0.2">
      <c r="A6301"/>
    </row>
    <row r="6302" spans="1:1" x14ac:dyDescent="0.2">
      <c r="A6302"/>
    </row>
    <row r="6303" spans="1:1" x14ac:dyDescent="0.2">
      <c r="A6303"/>
    </row>
    <row r="6304" spans="1:1" x14ac:dyDescent="0.2">
      <c r="A6304"/>
    </row>
    <row r="6305" spans="1:1" x14ac:dyDescent="0.2">
      <c r="A6305"/>
    </row>
    <row r="6306" spans="1:1" x14ac:dyDescent="0.2">
      <c r="A6306"/>
    </row>
    <row r="6307" spans="1:1" x14ac:dyDescent="0.2">
      <c r="A6307"/>
    </row>
    <row r="6308" spans="1:1" x14ac:dyDescent="0.2">
      <c r="A6308"/>
    </row>
    <row r="6309" spans="1:1" x14ac:dyDescent="0.2">
      <c r="A6309"/>
    </row>
    <row r="6310" spans="1:1" x14ac:dyDescent="0.2">
      <c r="A6310"/>
    </row>
    <row r="6311" spans="1:1" x14ac:dyDescent="0.2">
      <c r="A6311"/>
    </row>
    <row r="6312" spans="1:1" x14ac:dyDescent="0.2">
      <c r="A6312"/>
    </row>
    <row r="6313" spans="1:1" x14ac:dyDescent="0.2">
      <c r="A6313"/>
    </row>
    <row r="6314" spans="1:1" x14ac:dyDescent="0.2">
      <c r="A6314"/>
    </row>
    <row r="6315" spans="1:1" x14ac:dyDescent="0.2">
      <c r="A6315"/>
    </row>
    <row r="6316" spans="1:1" x14ac:dyDescent="0.2">
      <c r="A6316"/>
    </row>
    <row r="6317" spans="1:1" x14ac:dyDescent="0.2">
      <c r="A6317"/>
    </row>
    <row r="6318" spans="1:1" x14ac:dyDescent="0.2">
      <c r="A6318"/>
    </row>
    <row r="6319" spans="1:1" x14ac:dyDescent="0.2">
      <c r="A6319"/>
    </row>
    <row r="6320" spans="1:1" x14ac:dyDescent="0.2">
      <c r="A6320"/>
    </row>
    <row r="6321" spans="1:1" x14ac:dyDescent="0.2">
      <c r="A6321"/>
    </row>
    <row r="6322" spans="1:1" x14ac:dyDescent="0.2">
      <c r="A6322"/>
    </row>
    <row r="6323" spans="1:1" x14ac:dyDescent="0.2">
      <c r="A6323"/>
    </row>
    <row r="6324" spans="1:1" x14ac:dyDescent="0.2">
      <c r="A6324"/>
    </row>
    <row r="6325" spans="1:1" x14ac:dyDescent="0.2">
      <c r="A6325"/>
    </row>
    <row r="6326" spans="1:1" x14ac:dyDescent="0.2">
      <c r="A6326"/>
    </row>
    <row r="6327" spans="1:1" x14ac:dyDescent="0.2">
      <c r="A6327"/>
    </row>
    <row r="6328" spans="1:1" x14ac:dyDescent="0.2">
      <c r="A6328"/>
    </row>
    <row r="6329" spans="1:1" x14ac:dyDescent="0.2">
      <c r="A6329"/>
    </row>
    <row r="6330" spans="1:1" x14ac:dyDescent="0.2">
      <c r="A6330"/>
    </row>
    <row r="6331" spans="1:1" x14ac:dyDescent="0.2">
      <c r="A6331"/>
    </row>
    <row r="6332" spans="1:1" x14ac:dyDescent="0.2">
      <c r="A6332"/>
    </row>
    <row r="6333" spans="1:1" x14ac:dyDescent="0.2">
      <c r="A6333"/>
    </row>
    <row r="6334" spans="1:1" x14ac:dyDescent="0.2">
      <c r="A6334"/>
    </row>
    <row r="6335" spans="1:1" x14ac:dyDescent="0.2">
      <c r="A6335"/>
    </row>
    <row r="6336" spans="1:1" x14ac:dyDescent="0.2">
      <c r="A6336"/>
    </row>
    <row r="6337" spans="1:1" x14ac:dyDescent="0.2">
      <c r="A6337"/>
    </row>
    <row r="6338" spans="1:1" x14ac:dyDescent="0.2">
      <c r="A6338"/>
    </row>
    <row r="6339" spans="1:1" x14ac:dyDescent="0.2">
      <c r="A6339"/>
    </row>
    <row r="6340" spans="1:1" x14ac:dyDescent="0.2">
      <c r="A6340"/>
    </row>
    <row r="6341" spans="1:1" x14ac:dyDescent="0.2">
      <c r="A6341"/>
    </row>
    <row r="6342" spans="1:1" x14ac:dyDescent="0.2">
      <c r="A6342"/>
    </row>
    <row r="6343" spans="1:1" x14ac:dyDescent="0.2">
      <c r="A6343"/>
    </row>
    <row r="6344" spans="1:1" x14ac:dyDescent="0.2">
      <c r="A6344"/>
    </row>
    <row r="6345" spans="1:1" x14ac:dyDescent="0.2">
      <c r="A6345"/>
    </row>
    <row r="6346" spans="1:1" x14ac:dyDescent="0.2">
      <c r="A6346"/>
    </row>
    <row r="6347" spans="1:1" x14ac:dyDescent="0.2">
      <c r="A6347"/>
    </row>
    <row r="6348" spans="1:1" x14ac:dyDescent="0.2">
      <c r="A6348"/>
    </row>
    <row r="6349" spans="1:1" x14ac:dyDescent="0.2">
      <c r="A6349"/>
    </row>
    <row r="6350" spans="1:1" x14ac:dyDescent="0.2">
      <c r="A6350"/>
    </row>
    <row r="6351" spans="1:1" x14ac:dyDescent="0.2">
      <c r="A6351"/>
    </row>
    <row r="6352" spans="1:1" x14ac:dyDescent="0.2">
      <c r="A6352"/>
    </row>
    <row r="6353" spans="1:1" x14ac:dyDescent="0.2">
      <c r="A6353"/>
    </row>
    <row r="6354" spans="1:1" x14ac:dyDescent="0.2">
      <c r="A6354"/>
    </row>
    <row r="6355" spans="1:1" x14ac:dyDescent="0.2">
      <c r="A6355"/>
    </row>
    <row r="6356" spans="1:1" x14ac:dyDescent="0.2">
      <c r="A6356"/>
    </row>
    <row r="6357" spans="1:1" x14ac:dyDescent="0.2">
      <c r="A6357"/>
    </row>
    <row r="6358" spans="1:1" x14ac:dyDescent="0.2">
      <c r="A6358"/>
    </row>
    <row r="6359" spans="1:1" x14ac:dyDescent="0.2">
      <c r="A6359"/>
    </row>
    <row r="6360" spans="1:1" x14ac:dyDescent="0.2">
      <c r="A6360"/>
    </row>
    <row r="6361" spans="1:1" x14ac:dyDescent="0.2">
      <c r="A6361"/>
    </row>
    <row r="6362" spans="1:1" x14ac:dyDescent="0.2">
      <c r="A6362"/>
    </row>
    <row r="6363" spans="1:1" x14ac:dyDescent="0.2">
      <c r="A6363"/>
    </row>
    <row r="6364" spans="1:1" x14ac:dyDescent="0.2">
      <c r="A6364"/>
    </row>
    <row r="6365" spans="1:1" x14ac:dyDescent="0.2">
      <c r="A6365"/>
    </row>
    <row r="6366" spans="1:1" x14ac:dyDescent="0.2">
      <c r="A6366"/>
    </row>
    <row r="6367" spans="1:1" x14ac:dyDescent="0.2">
      <c r="A6367"/>
    </row>
    <row r="6368" spans="1:1" x14ac:dyDescent="0.2">
      <c r="A6368"/>
    </row>
    <row r="6369" spans="1:1" x14ac:dyDescent="0.2">
      <c r="A6369"/>
    </row>
    <row r="6370" spans="1:1" x14ac:dyDescent="0.2">
      <c r="A6370"/>
    </row>
    <row r="6371" spans="1:1" x14ac:dyDescent="0.2">
      <c r="A6371"/>
    </row>
    <row r="6372" spans="1:1" x14ac:dyDescent="0.2">
      <c r="A6372"/>
    </row>
    <row r="6373" spans="1:1" x14ac:dyDescent="0.2">
      <c r="A6373"/>
    </row>
    <row r="6374" spans="1:1" x14ac:dyDescent="0.2">
      <c r="A6374"/>
    </row>
    <row r="6375" spans="1:1" x14ac:dyDescent="0.2">
      <c r="A6375"/>
    </row>
    <row r="6376" spans="1:1" x14ac:dyDescent="0.2">
      <c r="A6376"/>
    </row>
    <row r="6377" spans="1:1" x14ac:dyDescent="0.2">
      <c r="A6377"/>
    </row>
    <row r="6378" spans="1:1" x14ac:dyDescent="0.2">
      <c r="A6378"/>
    </row>
    <row r="6379" spans="1:1" x14ac:dyDescent="0.2">
      <c r="A6379"/>
    </row>
    <row r="6380" spans="1:1" x14ac:dyDescent="0.2">
      <c r="A6380"/>
    </row>
    <row r="6381" spans="1:1" x14ac:dyDescent="0.2">
      <c r="A6381"/>
    </row>
    <row r="6382" spans="1:1" x14ac:dyDescent="0.2">
      <c r="A6382"/>
    </row>
    <row r="6383" spans="1:1" x14ac:dyDescent="0.2">
      <c r="A6383"/>
    </row>
    <row r="6384" spans="1:1" x14ac:dyDescent="0.2">
      <c r="A6384"/>
    </row>
    <row r="6385" spans="1:1" x14ac:dyDescent="0.2">
      <c r="A6385"/>
    </row>
    <row r="6386" spans="1:1" x14ac:dyDescent="0.2">
      <c r="A6386"/>
    </row>
    <row r="6387" spans="1:1" x14ac:dyDescent="0.2">
      <c r="A6387"/>
    </row>
    <row r="6388" spans="1:1" x14ac:dyDescent="0.2">
      <c r="A6388"/>
    </row>
    <row r="6389" spans="1:1" x14ac:dyDescent="0.2">
      <c r="A6389"/>
    </row>
    <row r="6390" spans="1:1" x14ac:dyDescent="0.2">
      <c r="A6390"/>
    </row>
    <row r="6391" spans="1:1" x14ac:dyDescent="0.2">
      <c r="A6391"/>
    </row>
    <row r="6392" spans="1:1" x14ac:dyDescent="0.2">
      <c r="A6392"/>
    </row>
    <row r="6393" spans="1:1" x14ac:dyDescent="0.2">
      <c r="A6393"/>
    </row>
    <row r="6394" spans="1:1" x14ac:dyDescent="0.2">
      <c r="A6394"/>
    </row>
    <row r="6395" spans="1:1" x14ac:dyDescent="0.2">
      <c r="A6395"/>
    </row>
    <row r="6396" spans="1:1" x14ac:dyDescent="0.2">
      <c r="A6396"/>
    </row>
    <row r="6397" spans="1:1" x14ac:dyDescent="0.2">
      <c r="A6397"/>
    </row>
    <row r="6398" spans="1:1" x14ac:dyDescent="0.2">
      <c r="A6398"/>
    </row>
    <row r="6399" spans="1:1" x14ac:dyDescent="0.2">
      <c r="A6399"/>
    </row>
    <row r="6400" spans="1:1" x14ac:dyDescent="0.2">
      <c r="A6400"/>
    </row>
    <row r="6401" spans="1:1" x14ac:dyDescent="0.2">
      <c r="A6401"/>
    </row>
    <row r="6402" spans="1:1" x14ac:dyDescent="0.2">
      <c r="A6402"/>
    </row>
    <row r="6403" spans="1:1" x14ac:dyDescent="0.2">
      <c r="A6403"/>
    </row>
    <row r="6404" spans="1:1" x14ac:dyDescent="0.2">
      <c r="A6404"/>
    </row>
    <row r="6405" spans="1:1" x14ac:dyDescent="0.2">
      <c r="A6405"/>
    </row>
    <row r="6406" spans="1:1" x14ac:dyDescent="0.2">
      <c r="A6406"/>
    </row>
    <row r="6407" spans="1:1" x14ac:dyDescent="0.2">
      <c r="A6407"/>
    </row>
    <row r="6408" spans="1:1" x14ac:dyDescent="0.2">
      <c r="A6408"/>
    </row>
    <row r="6409" spans="1:1" x14ac:dyDescent="0.2">
      <c r="A6409"/>
    </row>
    <row r="6410" spans="1:1" x14ac:dyDescent="0.2">
      <c r="A6410"/>
    </row>
    <row r="6411" spans="1:1" x14ac:dyDescent="0.2">
      <c r="A6411"/>
    </row>
    <row r="6412" spans="1:1" x14ac:dyDescent="0.2">
      <c r="A6412"/>
    </row>
    <row r="6413" spans="1:1" x14ac:dyDescent="0.2">
      <c r="A6413"/>
    </row>
    <row r="6414" spans="1:1" x14ac:dyDescent="0.2">
      <c r="A6414"/>
    </row>
    <row r="6415" spans="1:1" x14ac:dyDescent="0.2">
      <c r="A6415"/>
    </row>
    <row r="6416" spans="1:1" x14ac:dyDescent="0.2">
      <c r="A6416"/>
    </row>
    <row r="6417" spans="1:1" x14ac:dyDescent="0.2">
      <c r="A6417"/>
    </row>
    <row r="6418" spans="1:1" x14ac:dyDescent="0.2">
      <c r="A6418"/>
    </row>
    <row r="6419" spans="1:1" x14ac:dyDescent="0.2">
      <c r="A6419"/>
    </row>
    <row r="6420" spans="1:1" x14ac:dyDescent="0.2">
      <c r="A6420"/>
    </row>
    <row r="6421" spans="1:1" x14ac:dyDescent="0.2">
      <c r="A6421"/>
    </row>
    <row r="6422" spans="1:1" x14ac:dyDescent="0.2">
      <c r="A6422"/>
    </row>
    <row r="6423" spans="1:1" x14ac:dyDescent="0.2">
      <c r="A6423"/>
    </row>
    <row r="6424" spans="1:1" x14ac:dyDescent="0.2">
      <c r="A6424"/>
    </row>
    <row r="6425" spans="1:1" x14ac:dyDescent="0.2">
      <c r="A6425"/>
    </row>
    <row r="6426" spans="1:1" x14ac:dyDescent="0.2">
      <c r="A6426"/>
    </row>
    <row r="6427" spans="1:1" x14ac:dyDescent="0.2">
      <c r="A6427"/>
    </row>
    <row r="6428" spans="1:1" x14ac:dyDescent="0.2">
      <c r="A6428"/>
    </row>
    <row r="6429" spans="1:1" x14ac:dyDescent="0.2">
      <c r="A6429"/>
    </row>
    <row r="6430" spans="1:1" x14ac:dyDescent="0.2">
      <c r="A6430"/>
    </row>
    <row r="6431" spans="1:1" x14ac:dyDescent="0.2">
      <c r="A6431"/>
    </row>
    <row r="6432" spans="1:1" x14ac:dyDescent="0.2">
      <c r="A6432"/>
    </row>
    <row r="6433" spans="1:1" x14ac:dyDescent="0.2">
      <c r="A6433"/>
    </row>
    <row r="6434" spans="1:1" x14ac:dyDescent="0.2">
      <c r="A6434"/>
    </row>
    <row r="6435" spans="1:1" x14ac:dyDescent="0.2">
      <c r="A6435"/>
    </row>
    <row r="6436" spans="1:1" x14ac:dyDescent="0.2">
      <c r="A6436"/>
    </row>
    <row r="6437" spans="1:1" x14ac:dyDescent="0.2">
      <c r="A6437"/>
    </row>
    <row r="6438" spans="1:1" x14ac:dyDescent="0.2">
      <c r="A6438"/>
    </row>
    <row r="6439" spans="1:1" x14ac:dyDescent="0.2">
      <c r="A6439"/>
    </row>
    <row r="6440" spans="1:1" x14ac:dyDescent="0.2">
      <c r="A6440"/>
    </row>
    <row r="6441" spans="1:1" x14ac:dyDescent="0.2">
      <c r="A6441"/>
    </row>
    <row r="6442" spans="1:1" x14ac:dyDescent="0.2">
      <c r="A6442"/>
    </row>
    <row r="6443" spans="1:1" x14ac:dyDescent="0.2">
      <c r="A6443"/>
    </row>
    <row r="6444" spans="1:1" x14ac:dyDescent="0.2">
      <c r="A6444"/>
    </row>
    <row r="6445" spans="1:1" x14ac:dyDescent="0.2">
      <c r="A6445"/>
    </row>
    <row r="6446" spans="1:1" x14ac:dyDescent="0.2">
      <c r="A6446"/>
    </row>
    <row r="6447" spans="1:1" x14ac:dyDescent="0.2">
      <c r="A6447"/>
    </row>
    <row r="6448" spans="1:1" x14ac:dyDescent="0.2">
      <c r="A6448"/>
    </row>
    <row r="6449" spans="1:1" x14ac:dyDescent="0.2">
      <c r="A6449"/>
    </row>
    <row r="6450" spans="1:1" x14ac:dyDescent="0.2">
      <c r="A6450"/>
    </row>
    <row r="6451" spans="1:1" x14ac:dyDescent="0.2">
      <c r="A6451"/>
    </row>
    <row r="6452" spans="1:1" x14ac:dyDescent="0.2">
      <c r="A6452"/>
    </row>
    <row r="6453" spans="1:1" x14ac:dyDescent="0.2">
      <c r="A6453"/>
    </row>
    <row r="6454" spans="1:1" x14ac:dyDescent="0.2">
      <c r="A6454"/>
    </row>
    <row r="6455" spans="1:1" x14ac:dyDescent="0.2">
      <c r="A6455"/>
    </row>
    <row r="6456" spans="1:1" x14ac:dyDescent="0.2">
      <c r="A6456"/>
    </row>
    <row r="6457" spans="1:1" x14ac:dyDescent="0.2">
      <c r="A6457"/>
    </row>
    <row r="6458" spans="1:1" x14ac:dyDescent="0.2">
      <c r="A6458"/>
    </row>
    <row r="6459" spans="1:1" x14ac:dyDescent="0.2">
      <c r="A6459"/>
    </row>
    <row r="6460" spans="1:1" x14ac:dyDescent="0.2">
      <c r="A6460"/>
    </row>
    <row r="6461" spans="1:1" x14ac:dyDescent="0.2">
      <c r="A6461"/>
    </row>
    <row r="6462" spans="1:1" x14ac:dyDescent="0.2">
      <c r="A6462"/>
    </row>
    <row r="6463" spans="1:1" x14ac:dyDescent="0.2">
      <c r="A6463"/>
    </row>
    <row r="6464" spans="1:1" x14ac:dyDescent="0.2">
      <c r="A6464"/>
    </row>
    <row r="6465" spans="1:1" x14ac:dyDescent="0.2">
      <c r="A6465"/>
    </row>
    <row r="6466" spans="1:1" x14ac:dyDescent="0.2">
      <c r="A6466"/>
    </row>
    <row r="6467" spans="1:1" x14ac:dyDescent="0.2">
      <c r="A6467"/>
    </row>
    <row r="6468" spans="1:1" x14ac:dyDescent="0.2">
      <c r="A6468"/>
    </row>
    <row r="6469" spans="1:1" x14ac:dyDescent="0.2">
      <c r="A6469"/>
    </row>
    <row r="6470" spans="1:1" x14ac:dyDescent="0.2">
      <c r="A6470"/>
    </row>
    <row r="6471" spans="1:1" x14ac:dyDescent="0.2">
      <c r="A6471"/>
    </row>
    <row r="6472" spans="1:1" x14ac:dyDescent="0.2">
      <c r="A6472"/>
    </row>
    <row r="6473" spans="1:1" x14ac:dyDescent="0.2">
      <c r="A6473"/>
    </row>
    <row r="6474" spans="1:1" x14ac:dyDescent="0.2">
      <c r="A6474"/>
    </row>
    <row r="6475" spans="1:1" x14ac:dyDescent="0.2">
      <c r="A6475"/>
    </row>
    <row r="6476" spans="1:1" x14ac:dyDescent="0.2">
      <c r="A6476"/>
    </row>
    <row r="6477" spans="1:1" x14ac:dyDescent="0.2">
      <c r="A6477"/>
    </row>
    <row r="6478" spans="1:1" x14ac:dyDescent="0.2">
      <c r="A6478"/>
    </row>
    <row r="6479" spans="1:1" x14ac:dyDescent="0.2">
      <c r="A6479"/>
    </row>
    <row r="6480" spans="1:1" x14ac:dyDescent="0.2">
      <c r="A6480"/>
    </row>
    <row r="6481" spans="1:1" x14ac:dyDescent="0.2">
      <c r="A6481"/>
    </row>
    <row r="6482" spans="1:1" x14ac:dyDescent="0.2">
      <c r="A6482"/>
    </row>
    <row r="6483" spans="1:1" x14ac:dyDescent="0.2">
      <c r="A6483"/>
    </row>
    <row r="6484" spans="1:1" x14ac:dyDescent="0.2">
      <c r="A6484"/>
    </row>
    <row r="6485" spans="1:1" x14ac:dyDescent="0.2">
      <c r="A6485"/>
    </row>
    <row r="6486" spans="1:1" x14ac:dyDescent="0.2">
      <c r="A6486"/>
    </row>
    <row r="6487" spans="1:1" x14ac:dyDescent="0.2">
      <c r="A6487"/>
    </row>
    <row r="6488" spans="1:1" x14ac:dyDescent="0.2">
      <c r="A6488"/>
    </row>
    <row r="6489" spans="1:1" x14ac:dyDescent="0.2">
      <c r="A6489"/>
    </row>
    <row r="6490" spans="1:1" x14ac:dyDescent="0.2">
      <c r="A6490"/>
    </row>
    <row r="6491" spans="1:1" x14ac:dyDescent="0.2">
      <c r="A6491"/>
    </row>
    <row r="6492" spans="1:1" x14ac:dyDescent="0.2">
      <c r="A6492"/>
    </row>
    <row r="6493" spans="1:1" x14ac:dyDescent="0.2">
      <c r="A6493"/>
    </row>
    <row r="6494" spans="1:1" x14ac:dyDescent="0.2">
      <c r="A6494"/>
    </row>
    <row r="6495" spans="1:1" x14ac:dyDescent="0.2">
      <c r="A6495"/>
    </row>
    <row r="6496" spans="1:1" x14ac:dyDescent="0.2">
      <c r="A6496"/>
    </row>
    <row r="6497" spans="1:1" x14ac:dyDescent="0.2">
      <c r="A6497"/>
    </row>
    <row r="6498" spans="1:1" x14ac:dyDescent="0.2">
      <c r="A6498"/>
    </row>
    <row r="6499" spans="1:1" x14ac:dyDescent="0.2">
      <c r="A6499"/>
    </row>
    <row r="6500" spans="1:1" x14ac:dyDescent="0.2">
      <c r="A6500"/>
    </row>
    <row r="6501" spans="1:1" x14ac:dyDescent="0.2">
      <c r="A6501"/>
    </row>
    <row r="6502" spans="1:1" x14ac:dyDescent="0.2">
      <c r="A6502"/>
    </row>
    <row r="6503" spans="1:1" x14ac:dyDescent="0.2">
      <c r="A6503"/>
    </row>
    <row r="6504" spans="1:1" x14ac:dyDescent="0.2">
      <c r="A6504"/>
    </row>
    <row r="6505" spans="1:1" x14ac:dyDescent="0.2">
      <c r="A6505"/>
    </row>
    <row r="6506" spans="1:1" x14ac:dyDescent="0.2">
      <c r="A6506"/>
    </row>
    <row r="6507" spans="1:1" x14ac:dyDescent="0.2">
      <c r="A6507"/>
    </row>
    <row r="6508" spans="1:1" x14ac:dyDescent="0.2">
      <c r="A6508"/>
    </row>
    <row r="6509" spans="1:1" x14ac:dyDescent="0.2">
      <c r="A6509"/>
    </row>
    <row r="6510" spans="1:1" x14ac:dyDescent="0.2">
      <c r="A6510"/>
    </row>
    <row r="6511" spans="1:1" x14ac:dyDescent="0.2">
      <c r="A6511"/>
    </row>
    <row r="6512" spans="1:1" x14ac:dyDescent="0.2">
      <c r="A6512"/>
    </row>
    <row r="6513" spans="1:1" x14ac:dyDescent="0.2">
      <c r="A6513"/>
    </row>
    <row r="6514" spans="1:1" x14ac:dyDescent="0.2">
      <c r="A6514"/>
    </row>
    <row r="6515" spans="1:1" x14ac:dyDescent="0.2">
      <c r="A6515"/>
    </row>
    <row r="6516" spans="1:1" x14ac:dyDescent="0.2">
      <c r="A6516"/>
    </row>
    <row r="6517" spans="1:1" x14ac:dyDescent="0.2">
      <c r="A6517"/>
    </row>
    <row r="6518" spans="1:1" x14ac:dyDescent="0.2">
      <c r="A6518"/>
    </row>
    <row r="6519" spans="1:1" x14ac:dyDescent="0.2">
      <c r="A6519"/>
    </row>
    <row r="6520" spans="1:1" x14ac:dyDescent="0.2">
      <c r="A6520"/>
    </row>
    <row r="6521" spans="1:1" x14ac:dyDescent="0.2">
      <c r="A6521"/>
    </row>
    <row r="6522" spans="1:1" x14ac:dyDescent="0.2">
      <c r="A6522"/>
    </row>
    <row r="6523" spans="1:1" x14ac:dyDescent="0.2">
      <c r="A6523"/>
    </row>
    <row r="6524" spans="1:1" x14ac:dyDescent="0.2">
      <c r="A6524"/>
    </row>
    <row r="6525" spans="1:1" x14ac:dyDescent="0.2">
      <c r="A6525"/>
    </row>
    <row r="6526" spans="1:1" x14ac:dyDescent="0.2">
      <c r="A6526"/>
    </row>
    <row r="6527" spans="1:1" x14ac:dyDescent="0.2">
      <c r="A6527"/>
    </row>
    <row r="6528" spans="1:1" x14ac:dyDescent="0.2">
      <c r="A6528"/>
    </row>
    <row r="6529" spans="1:1" x14ac:dyDescent="0.2">
      <c r="A6529"/>
    </row>
    <row r="6530" spans="1:1" x14ac:dyDescent="0.2">
      <c r="A6530"/>
    </row>
    <row r="6531" spans="1:1" x14ac:dyDescent="0.2">
      <c r="A6531"/>
    </row>
    <row r="6532" spans="1:1" x14ac:dyDescent="0.2">
      <c r="A6532"/>
    </row>
    <row r="6533" spans="1:1" x14ac:dyDescent="0.2">
      <c r="A6533"/>
    </row>
    <row r="6534" spans="1:1" x14ac:dyDescent="0.2">
      <c r="A6534"/>
    </row>
    <row r="6535" spans="1:1" x14ac:dyDescent="0.2">
      <c r="A6535"/>
    </row>
    <row r="6536" spans="1:1" x14ac:dyDescent="0.2">
      <c r="A6536"/>
    </row>
    <row r="6537" spans="1:1" x14ac:dyDescent="0.2">
      <c r="A6537"/>
    </row>
    <row r="6538" spans="1:1" x14ac:dyDescent="0.2">
      <c r="A6538"/>
    </row>
    <row r="6539" spans="1:1" x14ac:dyDescent="0.2">
      <c r="A6539"/>
    </row>
    <row r="6540" spans="1:1" x14ac:dyDescent="0.2">
      <c r="A6540"/>
    </row>
    <row r="6541" spans="1:1" x14ac:dyDescent="0.2">
      <c r="A6541"/>
    </row>
    <row r="6542" spans="1:1" x14ac:dyDescent="0.2">
      <c r="A6542"/>
    </row>
    <row r="6543" spans="1:1" x14ac:dyDescent="0.2">
      <c r="A6543"/>
    </row>
    <row r="6544" spans="1:1" x14ac:dyDescent="0.2">
      <c r="A6544"/>
    </row>
    <row r="6545" spans="1:1" x14ac:dyDescent="0.2">
      <c r="A6545"/>
    </row>
    <row r="6546" spans="1:1" x14ac:dyDescent="0.2">
      <c r="A6546"/>
    </row>
    <row r="6547" spans="1:1" x14ac:dyDescent="0.2">
      <c r="A6547"/>
    </row>
    <row r="6548" spans="1:1" x14ac:dyDescent="0.2">
      <c r="A6548"/>
    </row>
    <row r="6549" spans="1:1" x14ac:dyDescent="0.2">
      <c r="A6549"/>
    </row>
    <row r="6550" spans="1:1" x14ac:dyDescent="0.2">
      <c r="A6550"/>
    </row>
    <row r="6551" spans="1:1" x14ac:dyDescent="0.2">
      <c r="A6551"/>
    </row>
    <row r="6552" spans="1:1" x14ac:dyDescent="0.2">
      <c r="A6552"/>
    </row>
    <row r="6553" spans="1:1" x14ac:dyDescent="0.2">
      <c r="A6553"/>
    </row>
    <row r="6554" spans="1:1" x14ac:dyDescent="0.2">
      <c r="A6554"/>
    </row>
    <row r="6555" spans="1:1" x14ac:dyDescent="0.2">
      <c r="A6555"/>
    </row>
    <row r="6556" spans="1:1" x14ac:dyDescent="0.2">
      <c r="A6556"/>
    </row>
    <row r="6557" spans="1:1" x14ac:dyDescent="0.2">
      <c r="A6557"/>
    </row>
    <row r="6558" spans="1:1" x14ac:dyDescent="0.2">
      <c r="A6558"/>
    </row>
    <row r="6559" spans="1:1" x14ac:dyDescent="0.2">
      <c r="A6559"/>
    </row>
    <row r="6560" spans="1:1" x14ac:dyDescent="0.2">
      <c r="A6560"/>
    </row>
    <row r="6561" spans="1:1" x14ac:dyDescent="0.2">
      <c r="A6561"/>
    </row>
    <row r="6562" spans="1:1" x14ac:dyDescent="0.2">
      <c r="A6562"/>
    </row>
    <row r="6563" spans="1:1" x14ac:dyDescent="0.2">
      <c r="A6563"/>
    </row>
    <row r="6564" spans="1:1" x14ac:dyDescent="0.2">
      <c r="A6564"/>
    </row>
    <row r="6565" spans="1:1" x14ac:dyDescent="0.2">
      <c r="A6565"/>
    </row>
    <row r="6566" spans="1:1" x14ac:dyDescent="0.2">
      <c r="A6566"/>
    </row>
    <row r="6567" spans="1:1" x14ac:dyDescent="0.2">
      <c r="A6567"/>
    </row>
    <row r="6568" spans="1:1" x14ac:dyDescent="0.2">
      <c r="A6568"/>
    </row>
    <row r="6569" spans="1:1" x14ac:dyDescent="0.2">
      <c r="A6569"/>
    </row>
    <row r="6570" spans="1:1" x14ac:dyDescent="0.2">
      <c r="A6570"/>
    </row>
    <row r="6571" spans="1:1" x14ac:dyDescent="0.2">
      <c r="A6571"/>
    </row>
    <row r="6572" spans="1:1" x14ac:dyDescent="0.2">
      <c r="A6572"/>
    </row>
    <row r="6573" spans="1:1" x14ac:dyDescent="0.2">
      <c r="A6573"/>
    </row>
    <row r="6574" spans="1:1" x14ac:dyDescent="0.2">
      <c r="A6574"/>
    </row>
    <row r="6575" spans="1:1" x14ac:dyDescent="0.2">
      <c r="A6575"/>
    </row>
    <row r="6576" spans="1:1" x14ac:dyDescent="0.2">
      <c r="A6576"/>
    </row>
    <row r="6577" spans="1:1" x14ac:dyDescent="0.2">
      <c r="A6577"/>
    </row>
    <row r="6578" spans="1:1" x14ac:dyDescent="0.2">
      <c r="A6578"/>
    </row>
    <row r="6579" spans="1:1" x14ac:dyDescent="0.2">
      <c r="A6579"/>
    </row>
    <row r="6580" spans="1:1" x14ac:dyDescent="0.2">
      <c r="A6580"/>
    </row>
    <row r="6581" spans="1:1" x14ac:dyDescent="0.2">
      <c r="A6581"/>
    </row>
    <row r="6582" spans="1:1" x14ac:dyDescent="0.2">
      <c r="A6582"/>
    </row>
    <row r="6583" spans="1:1" x14ac:dyDescent="0.2">
      <c r="A6583"/>
    </row>
    <row r="6584" spans="1:1" x14ac:dyDescent="0.2">
      <c r="A6584"/>
    </row>
    <row r="6585" spans="1:1" x14ac:dyDescent="0.2">
      <c r="A6585"/>
    </row>
    <row r="6586" spans="1:1" x14ac:dyDescent="0.2">
      <c r="A6586"/>
    </row>
    <row r="6587" spans="1:1" x14ac:dyDescent="0.2">
      <c r="A6587"/>
    </row>
    <row r="6588" spans="1:1" x14ac:dyDescent="0.2">
      <c r="A6588"/>
    </row>
    <row r="6589" spans="1:1" x14ac:dyDescent="0.2">
      <c r="A6589"/>
    </row>
    <row r="6590" spans="1:1" x14ac:dyDescent="0.2">
      <c r="A6590"/>
    </row>
    <row r="6591" spans="1:1" x14ac:dyDescent="0.2">
      <c r="A6591"/>
    </row>
    <row r="6592" spans="1:1" x14ac:dyDescent="0.2">
      <c r="A6592"/>
    </row>
    <row r="6593" spans="1:1" x14ac:dyDescent="0.2">
      <c r="A6593"/>
    </row>
    <row r="6594" spans="1:1" x14ac:dyDescent="0.2">
      <c r="A6594"/>
    </row>
    <row r="6595" spans="1:1" x14ac:dyDescent="0.2">
      <c r="A6595"/>
    </row>
    <row r="6596" spans="1:1" x14ac:dyDescent="0.2">
      <c r="A6596"/>
    </row>
    <row r="6597" spans="1:1" x14ac:dyDescent="0.2">
      <c r="A6597"/>
    </row>
    <row r="6598" spans="1:1" x14ac:dyDescent="0.2">
      <c r="A6598"/>
    </row>
    <row r="6599" spans="1:1" x14ac:dyDescent="0.2">
      <c r="A6599"/>
    </row>
    <row r="6600" spans="1:1" x14ac:dyDescent="0.2">
      <c r="A6600"/>
    </row>
    <row r="6601" spans="1:1" x14ac:dyDescent="0.2">
      <c r="A6601"/>
    </row>
    <row r="6602" spans="1:1" x14ac:dyDescent="0.2">
      <c r="A6602"/>
    </row>
    <row r="6603" spans="1:1" x14ac:dyDescent="0.2">
      <c r="A6603"/>
    </row>
    <row r="6604" spans="1:1" x14ac:dyDescent="0.2">
      <c r="A6604"/>
    </row>
    <row r="6605" spans="1:1" x14ac:dyDescent="0.2">
      <c r="A6605"/>
    </row>
    <row r="6606" spans="1:1" x14ac:dyDescent="0.2">
      <c r="A6606"/>
    </row>
    <row r="6607" spans="1:1" x14ac:dyDescent="0.2">
      <c r="A6607"/>
    </row>
    <row r="6608" spans="1:1" x14ac:dyDescent="0.2">
      <c r="A6608"/>
    </row>
    <row r="6609" spans="1:1" x14ac:dyDescent="0.2">
      <c r="A6609"/>
    </row>
    <row r="6610" spans="1:1" x14ac:dyDescent="0.2">
      <c r="A6610"/>
    </row>
    <row r="6611" spans="1:1" x14ac:dyDescent="0.2">
      <c r="A6611"/>
    </row>
    <row r="6612" spans="1:1" x14ac:dyDescent="0.2">
      <c r="A6612"/>
    </row>
    <row r="6613" spans="1:1" x14ac:dyDescent="0.2">
      <c r="A6613"/>
    </row>
    <row r="6614" spans="1:1" x14ac:dyDescent="0.2">
      <c r="A6614"/>
    </row>
    <row r="6615" spans="1:1" x14ac:dyDescent="0.2">
      <c r="A6615"/>
    </row>
    <row r="6616" spans="1:1" x14ac:dyDescent="0.2">
      <c r="A6616"/>
    </row>
    <row r="6617" spans="1:1" x14ac:dyDescent="0.2">
      <c r="A6617"/>
    </row>
    <row r="6618" spans="1:1" x14ac:dyDescent="0.2">
      <c r="A6618"/>
    </row>
    <row r="6619" spans="1:1" x14ac:dyDescent="0.2">
      <c r="A6619"/>
    </row>
    <row r="6620" spans="1:1" x14ac:dyDescent="0.2">
      <c r="A6620"/>
    </row>
    <row r="6621" spans="1:1" x14ac:dyDescent="0.2">
      <c r="A6621"/>
    </row>
    <row r="6622" spans="1:1" x14ac:dyDescent="0.2">
      <c r="A6622"/>
    </row>
    <row r="6623" spans="1:1" x14ac:dyDescent="0.2">
      <c r="A6623"/>
    </row>
    <row r="6624" spans="1:1" x14ac:dyDescent="0.2">
      <c r="A6624"/>
    </row>
    <row r="6625" spans="1:1" x14ac:dyDescent="0.2">
      <c r="A6625"/>
    </row>
    <row r="6626" spans="1:1" x14ac:dyDescent="0.2">
      <c r="A6626"/>
    </row>
    <row r="6627" spans="1:1" x14ac:dyDescent="0.2">
      <c r="A6627"/>
    </row>
    <row r="6628" spans="1:1" x14ac:dyDescent="0.2">
      <c r="A6628"/>
    </row>
    <row r="6629" spans="1:1" x14ac:dyDescent="0.2">
      <c r="A6629"/>
    </row>
    <row r="6630" spans="1:1" x14ac:dyDescent="0.2">
      <c r="A6630"/>
    </row>
    <row r="6631" spans="1:1" x14ac:dyDescent="0.2">
      <c r="A6631"/>
    </row>
    <row r="6632" spans="1:1" x14ac:dyDescent="0.2">
      <c r="A6632"/>
    </row>
    <row r="6633" spans="1:1" x14ac:dyDescent="0.2">
      <c r="A6633"/>
    </row>
    <row r="6634" spans="1:1" x14ac:dyDescent="0.2">
      <c r="A6634"/>
    </row>
    <row r="6635" spans="1:1" x14ac:dyDescent="0.2">
      <c r="A6635"/>
    </row>
    <row r="6636" spans="1:1" x14ac:dyDescent="0.2">
      <c r="A6636"/>
    </row>
    <row r="6637" spans="1:1" x14ac:dyDescent="0.2">
      <c r="A6637"/>
    </row>
    <row r="6638" spans="1:1" x14ac:dyDescent="0.2">
      <c r="A6638"/>
    </row>
    <row r="6639" spans="1:1" x14ac:dyDescent="0.2">
      <c r="A6639"/>
    </row>
    <row r="6640" spans="1:1" x14ac:dyDescent="0.2">
      <c r="A6640"/>
    </row>
    <row r="6641" spans="1:1" x14ac:dyDescent="0.2">
      <c r="A6641"/>
    </row>
    <row r="6642" spans="1:1" x14ac:dyDescent="0.2">
      <c r="A6642"/>
    </row>
    <row r="6643" spans="1:1" x14ac:dyDescent="0.2">
      <c r="A6643"/>
    </row>
    <row r="6644" spans="1:1" x14ac:dyDescent="0.2">
      <c r="A6644"/>
    </row>
    <row r="6645" spans="1:1" x14ac:dyDescent="0.2">
      <c r="A6645"/>
    </row>
    <row r="6646" spans="1:1" x14ac:dyDescent="0.2">
      <c r="A6646"/>
    </row>
    <row r="6647" spans="1:1" x14ac:dyDescent="0.2">
      <c r="A6647"/>
    </row>
    <row r="6648" spans="1:1" x14ac:dyDescent="0.2">
      <c r="A6648"/>
    </row>
    <row r="6649" spans="1:1" x14ac:dyDescent="0.2">
      <c r="A6649"/>
    </row>
    <row r="6650" spans="1:1" x14ac:dyDescent="0.2">
      <c r="A6650"/>
    </row>
    <row r="6651" spans="1:1" x14ac:dyDescent="0.2">
      <c r="A6651"/>
    </row>
    <row r="6652" spans="1:1" x14ac:dyDescent="0.2">
      <c r="A6652"/>
    </row>
    <row r="6653" spans="1:1" x14ac:dyDescent="0.2">
      <c r="A6653"/>
    </row>
    <row r="6654" spans="1:1" x14ac:dyDescent="0.2">
      <c r="A6654"/>
    </row>
    <row r="6655" spans="1:1" x14ac:dyDescent="0.2">
      <c r="A6655"/>
    </row>
    <row r="6656" spans="1:1" x14ac:dyDescent="0.2">
      <c r="A6656"/>
    </row>
    <row r="6657" spans="1:1" x14ac:dyDescent="0.2">
      <c r="A6657"/>
    </row>
    <row r="6658" spans="1:1" x14ac:dyDescent="0.2">
      <c r="A6658"/>
    </row>
    <row r="6659" spans="1:1" x14ac:dyDescent="0.2">
      <c r="A6659"/>
    </row>
    <row r="6660" spans="1:1" x14ac:dyDescent="0.2">
      <c r="A6660"/>
    </row>
    <row r="6661" spans="1:1" x14ac:dyDescent="0.2">
      <c r="A6661"/>
    </row>
    <row r="6662" spans="1:1" x14ac:dyDescent="0.2">
      <c r="A6662"/>
    </row>
    <row r="6663" spans="1:1" x14ac:dyDescent="0.2">
      <c r="A6663"/>
    </row>
    <row r="6664" spans="1:1" x14ac:dyDescent="0.2">
      <c r="A6664"/>
    </row>
    <row r="6665" spans="1:1" x14ac:dyDescent="0.2">
      <c r="A6665"/>
    </row>
    <row r="6666" spans="1:1" x14ac:dyDescent="0.2">
      <c r="A6666"/>
    </row>
    <row r="6667" spans="1:1" x14ac:dyDescent="0.2">
      <c r="A6667"/>
    </row>
    <row r="6668" spans="1:1" x14ac:dyDescent="0.2">
      <c r="A6668"/>
    </row>
    <row r="6669" spans="1:1" x14ac:dyDescent="0.2">
      <c r="A6669"/>
    </row>
    <row r="6670" spans="1:1" x14ac:dyDescent="0.2">
      <c r="A6670"/>
    </row>
    <row r="6671" spans="1:1" x14ac:dyDescent="0.2">
      <c r="A6671"/>
    </row>
    <row r="6672" spans="1:1" x14ac:dyDescent="0.2">
      <c r="A6672"/>
    </row>
    <row r="6673" spans="1:1" x14ac:dyDescent="0.2">
      <c r="A6673"/>
    </row>
    <row r="6674" spans="1:1" x14ac:dyDescent="0.2">
      <c r="A6674"/>
    </row>
    <row r="6675" spans="1:1" x14ac:dyDescent="0.2">
      <c r="A6675"/>
    </row>
    <row r="6676" spans="1:1" x14ac:dyDescent="0.2">
      <c r="A6676"/>
    </row>
    <row r="6677" spans="1:1" x14ac:dyDescent="0.2">
      <c r="A6677"/>
    </row>
    <row r="6678" spans="1:1" x14ac:dyDescent="0.2">
      <c r="A6678"/>
    </row>
    <row r="6679" spans="1:1" x14ac:dyDescent="0.2">
      <c r="A6679"/>
    </row>
    <row r="6680" spans="1:1" x14ac:dyDescent="0.2">
      <c r="A6680"/>
    </row>
    <row r="6681" spans="1:1" x14ac:dyDescent="0.2">
      <c r="A6681"/>
    </row>
    <row r="6682" spans="1:1" x14ac:dyDescent="0.2">
      <c r="A6682"/>
    </row>
    <row r="6683" spans="1:1" x14ac:dyDescent="0.2">
      <c r="A6683"/>
    </row>
    <row r="6684" spans="1:1" x14ac:dyDescent="0.2">
      <c r="A6684"/>
    </row>
    <row r="6685" spans="1:1" x14ac:dyDescent="0.2">
      <c r="A6685"/>
    </row>
    <row r="6686" spans="1:1" x14ac:dyDescent="0.2">
      <c r="A6686"/>
    </row>
    <row r="6687" spans="1:1" x14ac:dyDescent="0.2">
      <c r="A6687"/>
    </row>
    <row r="6688" spans="1:1" x14ac:dyDescent="0.2">
      <c r="A6688"/>
    </row>
    <row r="6689" spans="1:1" x14ac:dyDescent="0.2">
      <c r="A6689"/>
    </row>
    <row r="6690" spans="1:1" x14ac:dyDescent="0.2">
      <c r="A6690"/>
    </row>
    <row r="6691" spans="1:1" x14ac:dyDescent="0.2">
      <c r="A6691"/>
    </row>
    <row r="6692" spans="1:1" x14ac:dyDescent="0.2">
      <c r="A6692"/>
    </row>
    <row r="6693" spans="1:1" x14ac:dyDescent="0.2">
      <c r="A6693"/>
    </row>
    <row r="6694" spans="1:1" x14ac:dyDescent="0.2">
      <c r="A6694"/>
    </row>
    <row r="6695" spans="1:1" x14ac:dyDescent="0.2">
      <c r="A6695"/>
    </row>
    <row r="6696" spans="1:1" x14ac:dyDescent="0.2">
      <c r="A6696"/>
    </row>
    <row r="6697" spans="1:1" x14ac:dyDescent="0.2">
      <c r="A6697"/>
    </row>
    <row r="6698" spans="1:1" x14ac:dyDescent="0.2">
      <c r="A6698"/>
    </row>
    <row r="6699" spans="1:1" x14ac:dyDescent="0.2">
      <c r="A6699"/>
    </row>
    <row r="6700" spans="1:1" x14ac:dyDescent="0.2">
      <c r="A6700"/>
    </row>
    <row r="6701" spans="1:1" x14ac:dyDescent="0.2">
      <c r="A6701"/>
    </row>
    <row r="6702" spans="1:1" x14ac:dyDescent="0.2">
      <c r="A6702"/>
    </row>
    <row r="6703" spans="1:1" x14ac:dyDescent="0.2">
      <c r="A6703"/>
    </row>
    <row r="6704" spans="1:1" x14ac:dyDescent="0.2">
      <c r="A6704"/>
    </row>
    <row r="6705" spans="1:1" x14ac:dyDescent="0.2">
      <c r="A6705"/>
    </row>
    <row r="6706" spans="1:1" x14ac:dyDescent="0.2">
      <c r="A6706"/>
    </row>
    <row r="6707" spans="1:1" x14ac:dyDescent="0.2">
      <c r="A6707"/>
    </row>
    <row r="6708" spans="1:1" x14ac:dyDescent="0.2">
      <c r="A6708"/>
    </row>
    <row r="6709" spans="1:1" x14ac:dyDescent="0.2">
      <c r="A6709"/>
    </row>
    <row r="6710" spans="1:1" x14ac:dyDescent="0.2">
      <c r="A6710"/>
    </row>
    <row r="6711" spans="1:1" x14ac:dyDescent="0.2">
      <c r="A6711"/>
    </row>
    <row r="6712" spans="1:1" x14ac:dyDescent="0.2">
      <c r="A6712"/>
    </row>
    <row r="6713" spans="1:1" x14ac:dyDescent="0.2">
      <c r="A6713"/>
    </row>
    <row r="6714" spans="1:1" x14ac:dyDescent="0.2">
      <c r="A6714"/>
    </row>
    <row r="6715" spans="1:1" x14ac:dyDescent="0.2">
      <c r="A6715"/>
    </row>
    <row r="6716" spans="1:1" x14ac:dyDescent="0.2">
      <c r="A6716"/>
    </row>
    <row r="6717" spans="1:1" x14ac:dyDescent="0.2">
      <c r="A6717"/>
    </row>
    <row r="6718" spans="1:1" x14ac:dyDescent="0.2">
      <c r="A6718"/>
    </row>
    <row r="6719" spans="1:1" x14ac:dyDescent="0.2">
      <c r="A6719"/>
    </row>
    <row r="6720" spans="1:1" x14ac:dyDescent="0.2">
      <c r="A6720"/>
    </row>
    <row r="6721" spans="1:1" x14ac:dyDescent="0.2">
      <c r="A6721"/>
    </row>
    <row r="6722" spans="1:1" x14ac:dyDescent="0.2">
      <c r="A6722"/>
    </row>
    <row r="6723" spans="1:1" x14ac:dyDescent="0.2">
      <c r="A6723"/>
    </row>
    <row r="6724" spans="1:1" x14ac:dyDescent="0.2">
      <c r="A6724"/>
    </row>
    <row r="6725" spans="1:1" x14ac:dyDescent="0.2">
      <c r="A6725"/>
    </row>
    <row r="6726" spans="1:1" x14ac:dyDescent="0.2">
      <c r="A6726"/>
    </row>
    <row r="6727" spans="1:1" x14ac:dyDescent="0.2">
      <c r="A6727"/>
    </row>
    <row r="6728" spans="1:1" x14ac:dyDescent="0.2">
      <c r="A6728"/>
    </row>
    <row r="6729" spans="1:1" x14ac:dyDescent="0.2">
      <c r="A6729"/>
    </row>
    <row r="6730" spans="1:1" x14ac:dyDescent="0.2">
      <c r="A6730"/>
    </row>
    <row r="6731" spans="1:1" x14ac:dyDescent="0.2">
      <c r="A6731"/>
    </row>
    <row r="6732" spans="1:1" x14ac:dyDescent="0.2">
      <c r="A6732"/>
    </row>
    <row r="6733" spans="1:1" x14ac:dyDescent="0.2">
      <c r="A6733"/>
    </row>
    <row r="6734" spans="1:1" x14ac:dyDescent="0.2">
      <c r="A6734"/>
    </row>
    <row r="6735" spans="1:1" x14ac:dyDescent="0.2">
      <c r="A6735"/>
    </row>
    <row r="6736" spans="1:1" x14ac:dyDescent="0.2">
      <c r="A6736"/>
    </row>
    <row r="6737" spans="1:1" x14ac:dyDescent="0.2">
      <c r="A6737"/>
    </row>
    <row r="6738" spans="1:1" x14ac:dyDescent="0.2">
      <c r="A6738"/>
    </row>
    <row r="6739" spans="1:1" x14ac:dyDescent="0.2">
      <c r="A6739"/>
    </row>
    <row r="6740" spans="1:1" x14ac:dyDescent="0.2">
      <c r="A6740"/>
    </row>
    <row r="6741" spans="1:1" x14ac:dyDescent="0.2">
      <c r="A6741"/>
    </row>
    <row r="6742" spans="1:1" x14ac:dyDescent="0.2">
      <c r="A6742"/>
    </row>
    <row r="6743" spans="1:1" x14ac:dyDescent="0.2">
      <c r="A6743"/>
    </row>
    <row r="6744" spans="1:1" x14ac:dyDescent="0.2">
      <c r="A6744"/>
    </row>
    <row r="6745" spans="1:1" x14ac:dyDescent="0.2">
      <c r="A6745"/>
    </row>
    <row r="6746" spans="1:1" x14ac:dyDescent="0.2">
      <c r="A6746"/>
    </row>
    <row r="6747" spans="1:1" x14ac:dyDescent="0.2">
      <c r="A6747"/>
    </row>
    <row r="6748" spans="1:1" x14ac:dyDescent="0.2">
      <c r="A6748"/>
    </row>
    <row r="6749" spans="1:1" x14ac:dyDescent="0.2">
      <c r="A6749"/>
    </row>
    <row r="6750" spans="1:1" x14ac:dyDescent="0.2">
      <c r="A6750"/>
    </row>
    <row r="6751" spans="1:1" x14ac:dyDescent="0.2">
      <c r="A6751"/>
    </row>
    <row r="6752" spans="1:1" x14ac:dyDescent="0.2">
      <c r="A6752"/>
    </row>
    <row r="6753" spans="1:1" x14ac:dyDescent="0.2">
      <c r="A6753"/>
    </row>
    <row r="6754" spans="1:1" x14ac:dyDescent="0.2">
      <c r="A6754"/>
    </row>
    <row r="6755" spans="1:1" x14ac:dyDescent="0.2">
      <c r="A6755"/>
    </row>
    <row r="6756" spans="1:1" x14ac:dyDescent="0.2">
      <c r="A6756"/>
    </row>
    <row r="6757" spans="1:1" x14ac:dyDescent="0.2">
      <c r="A6757"/>
    </row>
    <row r="6758" spans="1:1" x14ac:dyDescent="0.2">
      <c r="A6758"/>
    </row>
    <row r="6759" spans="1:1" x14ac:dyDescent="0.2">
      <c r="A6759"/>
    </row>
    <row r="6760" spans="1:1" x14ac:dyDescent="0.2">
      <c r="A6760"/>
    </row>
    <row r="6761" spans="1:1" x14ac:dyDescent="0.2">
      <c r="A6761"/>
    </row>
    <row r="6762" spans="1:1" x14ac:dyDescent="0.2">
      <c r="A6762"/>
    </row>
    <row r="6763" spans="1:1" x14ac:dyDescent="0.2">
      <c r="A6763"/>
    </row>
    <row r="6764" spans="1:1" x14ac:dyDescent="0.2">
      <c r="A6764"/>
    </row>
    <row r="6765" spans="1:1" x14ac:dyDescent="0.2">
      <c r="A6765"/>
    </row>
    <row r="6766" spans="1:1" x14ac:dyDescent="0.2">
      <c r="A6766"/>
    </row>
    <row r="6767" spans="1:1" x14ac:dyDescent="0.2">
      <c r="A6767"/>
    </row>
    <row r="6768" spans="1:1" x14ac:dyDescent="0.2">
      <c r="A6768"/>
    </row>
    <row r="6769" spans="1:1" x14ac:dyDescent="0.2">
      <c r="A6769"/>
    </row>
    <row r="6770" spans="1:1" x14ac:dyDescent="0.2">
      <c r="A6770"/>
    </row>
    <row r="6771" spans="1:1" x14ac:dyDescent="0.2">
      <c r="A6771"/>
    </row>
    <row r="6772" spans="1:1" x14ac:dyDescent="0.2">
      <c r="A6772"/>
    </row>
    <row r="6773" spans="1:1" x14ac:dyDescent="0.2">
      <c r="A6773"/>
    </row>
    <row r="6774" spans="1:1" x14ac:dyDescent="0.2">
      <c r="A6774"/>
    </row>
    <row r="6775" spans="1:1" x14ac:dyDescent="0.2">
      <c r="A6775"/>
    </row>
    <row r="6776" spans="1:1" x14ac:dyDescent="0.2">
      <c r="A6776"/>
    </row>
    <row r="6777" spans="1:1" x14ac:dyDescent="0.2">
      <c r="A6777"/>
    </row>
    <row r="6778" spans="1:1" x14ac:dyDescent="0.2">
      <c r="A6778"/>
    </row>
    <row r="6779" spans="1:1" x14ac:dyDescent="0.2">
      <c r="A6779"/>
    </row>
    <row r="6780" spans="1:1" x14ac:dyDescent="0.2">
      <c r="A6780"/>
    </row>
    <row r="6781" spans="1:1" x14ac:dyDescent="0.2">
      <c r="A6781"/>
    </row>
    <row r="6782" spans="1:1" x14ac:dyDescent="0.2">
      <c r="A6782"/>
    </row>
    <row r="6783" spans="1:1" x14ac:dyDescent="0.2">
      <c r="A6783"/>
    </row>
    <row r="6784" spans="1:1" x14ac:dyDescent="0.2">
      <c r="A6784"/>
    </row>
    <row r="6785" spans="1:1" x14ac:dyDescent="0.2">
      <c r="A6785"/>
    </row>
    <row r="6786" spans="1:1" x14ac:dyDescent="0.2">
      <c r="A6786"/>
    </row>
    <row r="6787" spans="1:1" x14ac:dyDescent="0.2">
      <c r="A6787"/>
    </row>
    <row r="6788" spans="1:1" x14ac:dyDescent="0.2">
      <c r="A6788"/>
    </row>
    <row r="6789" spans="1:1" x14ac:dyDescent="0.2">
      <c r="A6789"/>
    </row>
    <row r="6790" spans="1:1" x14ac:dyDescent="0.2">
      <c r="A6790"/>
    </row>
    <row r="6791" spans="1:1" x14ac:dyDescent="0.2">
      <c r="A6791"/>
    </row>
    <row r="6792" spans="1:1" x14ac:dyDescent="0.2">
      <c r="A6792"/>
    </row>
    <row r="6793" spans="1:1" x14ac:dyDescent="0.2">
      <c r="A6793"/>
    </row>
    <row r="6794" spans="1:1" x14ac:dyDescent="0.2">
      <c r="A6794"/>
    </row>
    <row r="6795" spans="1:1" x14ac:dyDescent="0.2">
      <c r="A6795"/>
    </row>
    <row r="6796" spans="1:1" x14ac:dyDescent="0.2">
      <c r="A6796"/>
    </row>
    <row r="6797" spans="1:1" x14ac:dyDescent="0.2">
      <c r="A6797"/>
    </row>
    <row r="6798" spans="1:1" x14ac:dyDescent="0.2">
      <c r="A6798"/>
    </row>
    <row r="6799" spans="1:1" x14ac:dyDescent="0.2">
      <c r="A6799"/>
    </row>
    <row r="6800" spans="1:1" x14ac:dyDescent="0.2">
      <c r="A6800"/>
    </row>
    <row r="6801" spans="1:1" x14ac:dyDescent="0.2">
      <c r="A6801"/>
    </row>
    <row r="6802" spans="1:1" x14ac:dyDescent="0.2">
      <c r="A6802"/>
    </row>
    <row r="6803" spans="1:1" x14ac:dyDescent="0.2">
      <c r="A6803"/>
    </row>
    <row r="6804" spans="1:1" x14ac:dyDescent="0.2">
      <c r="A6804"/>
    </row>
    <row r="6805" spans="1:1" x14ac:dyDescent="0.2">
      <c r="A6805"/>
    </row>
    <row r="6806" spans="1:1" x14ac:dyDescent="0.2">
      <c r="A6806"/>
    </row>
    <row r="6807" spans="1:1" x14ac:dyDescent="0.2">
      <c r="A6807"/>
    </row>
    <row r="6808" spans="1:1" x14ac:dyDescent="0.2">
      <c r="A6808"/>
    </row>
    <row r="6809" spans="1:1" x14ac:dyDescent="0.2">
      <c r="A6809"/>
    </row>
    <row r="6810" spans="1:1" x14ac:dyDescent="0.2">
      <c r="A6810"/>
    </row>
    <row r="6811" spans="1:1" x14ac:dyDescent="0.2">
      <c r="A6811"/>
    </row>
    <row r="6812" spans="1:1" x14ac:dyDescent="0.2">
      <c r="A6812"/>
    </row>
    <row r="6813" spans="1:1" x14ac:dyDescent="0.2">
      <c r="A6813"/>
    </row>
    <row r="6814" spans="1:1" x14ac:dyDescent="0.2">
      <c r="A6814"/>
    </row>
    <row r="6815" spans="1:1" x14ac:dyDescent="0.2">
      <c r="A6815"/>
    </row>
    <row r="6816" spans="1:1" x14ac:dyDescent="0.2">
      <c r="A6816"/>
    </row>
    <row r="6817" spans="1:1" x14ac:dyDescent="0.2">
      <c r="A6817"/>
    </row>
    <row r="6818" spans="1:1" x14ac:dyDescent="0.2">
      <c r="A6818"/>
    </row>
    <row r="6819" spans="1:1" x14ac:dyDescent="0.2">
      <c r="A6819"/>
    </row>
    <row r="6820" spans="1:1" x14ac:dyDescent="0.2">
      <c r="A6820"/>
    </row>
    <row r="6821" spans="1:1" x14ac:dyDescent="0.2">
      <c r="A6821"/>
    </row>
    <row r="6822" spans="1:1" x14ac:dyDescent="0.2">
      <c r="A6822"/>
    </row>
    <row r="6823" spans="1:1" x14ac:dyDescent="0.2">
      <c r="A6823"/>
    </row>
    <row r="6824" spans="1:1" x14ac:dyDescent="0.2">
      <c r="A6824"/>
    </row>
    <row r="6825" spans="1:1" x14ac:dyDescent="0.2">
      <c r="A6825"/>
    </row>
    <row r="6826" spans="1:1" x14ac:dyDescent="0.2">
      <c r="A6826"/>
    </row>
    <row r="6827" spans="1:1" x14ac:dyDescent="0.2">
      <c r="A6827"/>
    </row>
    <row r="6828" spans="1:1" x14ac:dyDescent="0.2">
      <c r="A6828"/>
    </row>
    <row r="6829" spans="1:1" x14ac:dyDescent="0.2">
      <c r="A6829"/>
    </row>
    <row r="6830" spans="1:1" x14ac:dyDescent="0.2">
      <c r="A6830"/>
    </row>
    <row r="6831" spans="1:1" x14ac:dyDescent="0.2">
      <c r="A6831"/>
    </row>
    <row r="6832" spans="1:1" x14ac:dyDescent="0.2">
      <c r="A6832"/>
    </row>
    <row r="6833" spans="1:1" x14ac:dyDescent="0.2">
      <c r="A6833"/>
    </row>
    <row r="6834" spans="1:1" x14ac:dyDescent="0.2">
      <c r="A6834"/>
    </row>
    <row r="6835" spans="1:1" x14ac:dyDescent="0.2">
      <c r="A6835"/>
    </row>
    <row r="6836" spans="1:1" x14ac:dyDescent="0.2">
      <c r="A6836"/>
    </row>
    <row r="6837" spans="1:1" x14ac:dyDescent="0.2">
      <c r="A6837"/>
    </row>
    <row r="6838" spans="1:1" x14ac:dyDescent="0.2">
      <c r="A6838"/>
    </row>
    <row r="6839" spans="1:1" x14ac:dyDescent="0.2">
      <c r="A6839"/>
    </row>
    <row r="6840" spans="1:1" x14ac:dyDescent="0.2">
      <c r="A6840"/>
    </row>
    <row r="6841" spans="1:1" x14ac:dyDescent="0.2">
      <c r="A6841"/>
    </row>
    <row r="6842" spans="1:1" x14ac:dyDescent="0.2">
      <c r="A6842"/>
    </row>
    <row r="6843" spans="1:1" x14ac:dyDescent="0.2">
      <c r="A6843"/>
    </row>
    <row r="6844" spans="1:1" x14ac:dyDescent="0.2">
      <c r="A6844"/>
    </row>
    <row r="6845" spans="1:1" x14ac:dyDescent="0.2">
      <c r="A6845"/>
    </row>
    <row r="6846" spans="1:1" x14ac:dyDescent="0.2">
      <c r="A6846"/>
    </row>
    <row r="6847" spans="1:1" x14ac:dyDescent="0.2">
      <c r="A6847"/>
    </row>
    <row r="6848" spans="1:1" x14ac:dyDescent="0.2">
      <c r="A6848"/>
    </row>
    <row r="6849" spans="1:1" x14ac:dyDescent="0.2">
      <c r="A6849"/>
    </row>
    <row r="6850" spans="1:1" x14ac:dyDescent="0.2">
      <c r="A6850"/>
    </row>
    <row r="6851" spans="1:1" x14ac:dyDescent="0.2">
      <c r="A6851"/>
    </row>
    <row r="6852" spans="1:1" x14ac:dyDescent="0.2">
      <c r="A6852"/>
    </row>
    <row r="6853" spans="1:1" x14ac:dyDescent="0.2">
      <c r="A6853"/>
    </row>
    <row r="6854" spans="1:1" x14ac:dyDescent="0.2">
      <c r="A6854"/>
    </row>
    <row r="6855" spans="1:1" x14ac:dyDescent="0.2">
      <c r="A6855"/>
    </row>
    <row r="6856" spans="1:1" x14ac:dyDescent="0.2">
      <c r="A6856"/>
    </row>
    <row r="6857" spans="1:1" x14ac:dyDescent="0.2">
      <c r="A6857"/>
    </row>
    <row r="6858" spans="1:1" x14ac:dyDescent="0.2">
      <c r="A6858"/>
    </row>
    <row r="6859" spans="1:1" x14ac:dyDescent="0.2">
      <c r="A6859"/>
    </row>
    <row r="6860" spans="1:1" x14ac:dyDescent="0.2">
      <c r="A6860"/>
    </row>
    <row r="6861" spans="1:1" x14ac:dyDescent="0.2">
      <c r="A6861"/>
    </row>
    <row r="6862" spans="1:1" x14ac:dyDescent="0.2">
      <c r="A6862"/>
    </row>
    <row r="6863" spans="1:1" x14ac:dyDescent="0.2">
      <c r="A6863"/>
    </row>
    <row r="6864" spans="1:1" x14ac:dyDescent="0.2">
      <c r="A6864"/>
    </row>
    <row r="6865" spans="1:1" x14ac:dyDescent="0.2">
      <c r="A6865"/>
    </row>
    <row r="6866" spans="1:1" x14ac:dyDescent="0.2">
      <c r="A6866"/>
    </row>
    <row r="6867" spans="1:1" x14ac:dyDescent="0.2">
      <c r="A6867"/>
    </row>
    <row r="6868" spans="1:1" x14ac:dyDescent="0.2">
      <c r="A6868"/>
    </row>
    <row r="6869" spans="1:1" x14ac:dyDescent="0.2">
      <c r="A6869"/>
    </row>
    <row r="6870" spans="1:1" x14ac:dyDescent="0.2">
      <c r="A6870"/>
    </row>
    <row r="6871" spans="1:1" x14ac:dyDescent="0.2">
      <c r="A6871"/>
    </row>
    <row r="6872" spans="1:1" x14ac:dyDescent="0.2">
      <c r="A6872"/>
    </row>
    <row r="6873" spans="1:1" x14ac:dyDescent="0.2">
      <c r="A6873"/>
    </row>
    <row r="6874" spans="1:1" x14ac:dyDescent="0.2">
      <c r="A6874"/>
    </row>
    <row r="6875" spans="1:1" x14ac:dyDescent="0.2">
      <c r="A6875"/>
    </row>
    <row r="6876" spans="1:1" x14ac:dyDescent="0.2">
      <c r="A6876"/>
    </row>
    <row r="6877" spans="1:1" x14ac:dyDescent="0.2">
      <c r="A6877"/>
    </row>
    <row r="6878" spans="1:1" x14ac:dyDescent="0.2">
      <c r="A6878"/>
    </row>
    <row r="6879" spans="1:1" x14ac:dyDescent="0.2">
      <c r="A6879"/>
    </row>
    <row r="6880" spans="1:1" x14ac:dyDescent="0.2">
      <c r="A6880"/>
    </row>
    <row r="6881" spans="1:1" x14ac:dyDescent="0.2">
      <c r="A6881"/>
    </row>
    <row r="6882" spans="1:1" x14ac:dyDescent="0.2">
      <c r="A6882"/>
    </row>
    <row r="6883" spans="1:1" x14ac:dyDescent="0.2">
      <c r="A6883"/>
    </row>
    <row r="6884" spans="1:1" x14ac:dyDescent="0.2">
      <c r="A6884"/>
    </row>
    <row r="6885" spans="1:1" x14ac:dyDescent="0.2">
      <c r="A6885"/>
    </row>
    <row r="6886" spans="1:1" x14ac:dyDescent="0.2">
      <c r="A6886"/>
    </row>
    <row r="6887" spans="1:1" x14ac:dyDescent="0.2">
      <c r="A6887"/>
    </row>
    <row r="6888" spans="1:1" x14ac:dyDescent="0.2">
      <c r="A6888"/>
    </row>
    <row r="6889" spans="1:1" x14ac:dyDescent="0.2">
      <c r="A6889"/>
    </row>
    <row r="6890" spans="1:1" x14ac:dyDescent="0.2">
      <c r="A6890"/>
    </row>
    <row r="6891" spans="1:1" x14ac:dyDescent="0.2">
      <c r="A6891"/>
    </row>
    <row r="6892" spans="1:1" x14ac:dyDescent="0.2">
      <c r="A6892"/>
    </row>
    <row r="6893" spans="1:1" x14ac:dyDescent="0.2">
      <c r="A6893"/>
    </row>
    <row r="6894" spans="1:1" x14ac:dyDescent="0.2">
      <c r="A6894"/>
    </row>
    <row r="6895" spans="1:1" x14ac:dyDescent="0.2">
      <c r="A6895"/>
    </row>
    <row r="6896" spans="1:1" x14ac:dyDescent="0.2">
      <c r="A6896"/>
    </row>
    <row r="6897" spans="1:1" x14ac:dyDescent="0.2">
      <c r="A6897"/>
    </row>
    <row r="6898" spans="1:1" x14ac:dyDescent="0.2">
      <c r="A6898"/>
    </row>
    <row r="6899" spans="1:1" x14ac:dyDescent="0.2">
      <c r="A6899"/>
    </row>
    <row r="6900" spans="1:1" x14ac:dyDescent="0.2">
      <c r="A6900"/>
    </row>
    <row r="6901" spans="1:1" x14ac:dyDescent="0.2">
      <c r="A6901"/>
    </row>
    <row r="6902" spans="1:1" x14ac:dyDescent="0.2">
      <c r="A6902"/>
    </row>
    <row r="6903" spans="1:1" x14ac:dyDescent="0.2">
      <c r="A6903"/>
    </row>
    <row r="6904" spans="1:1" x14ac:dyDescent="0.2">
      <c r="A6904"/>
    </row>
    <row r="6905" spans="1:1" x14ac:dyDescent="0.2">
      <c r="A6905"/>
    </row>
    <row r="6906" spans="1:1" x14ac:dyDescent="0.2">
      <c r="A6906"/>
    </row>
    <row r="6907" spans="1:1" x14ac:dyDescent="0.2">
      <c r="A6907"/>
    </row>
    <row r="6908" spans="1:1" x14ac:dyDescent="0.2">
      <c r="A6908"/>
    </row>
    <row r="6909" spans="1:1" x14ac:dyDescent="0.2">
      <c r="A6909"/>
    </row>
    <row r="6910" spans="1:1" x14ac:dyDescent="0.2">
      <c r="A6910"/>
    </row>
    <row r="6911" spans="1:1" x14ac:dyDescent="0.2">
      <c r="A6911"/>
    </row>
    <row r="6912" spans="1:1" x14ac:dyDescent="0.2">
      <c r="A6912"/>
    </row>
    <row r="6913" spans="1:1" x14ac:dyDescent="0.2">
      <c r="A6913"/>
    </row>
    <row r="6914" spans="1:1" x14ac:dyDescent="0.2">
      <c r="A6914"/>
    </row>
    <row r="6915" spans="1:1" x14ac:dyDescent="0.2">
      <c r="A6915"/>
    </row>
    <row r="6916" spans="1:1" x14ac:dyDescent="0.2">
      <c r="A6916"/>
    </row>
    <row r="6917" spans="1:1" x14ac:dyDescent="0.2">
      <c r="A6917"/>
    </row>
    <row r="6918" spans="1:1" x14ac:dyDescent="0.2">
      <c r="A6918"/>
    </row>
    <row r="6919" spans="1:1" x14ac:dyDescent="0.2">
      <c r="A6919"/>
    </row>
    <row r="6920" spans="1:1" x14ac:dyDescent="0.2">
      <c r="A6920"/>
    </row>
    <row r="6921" spans="1:1" x14ac:dyDescent="0.2">
      <c r="A6921"/>
    </row>
    <row r="6922" spans="1:1" x14ac:dyDescent="0.2">
      <c r="A6922"/>
    </row>
    <row r="6923" spans="1:1" x14ac:dyDescent="0.2">
      <c r="A6923"/>
    </row>
    <row r="6924" spans="1:1" x14ac:dyDescent="0.2">
      <c r="A6924"/>
    </row>
    <row r="6925" spans="1:1" x14ac:dyDescent="0.2">
      <c r="A6925"/>
    </row>
    <row r="6926" spans="1:1" x14ac:dyDescent="0.2">
      <c r="A6926"/>
    </row>
    <row r="6927" spans="1:1" x14ac:dyDescent="0.2">
      <c r="A6927"/>
    </row>
    <row r="6928" spans="1:1" x14ac:dyDescent="0.2">
      <c r="A6928"/>
    </row>
    <row r="6929" spans="1:1" x14ac:dyDescent="0.2">
      <c r="A6929"/>
    </row>
    <row r="6930" spans="1:1" x14ac:dyDescent="0.2">
      <c r="A6930"/>
    </row>
    <row r="6931" spans="1:1" x14ac:dyDescent="0.2">
      <c r="A6931"/>
    </row>
    <row r="6932" spans="1:1" x14ac:dyDescent="0.2">
      <c r="A6932"/>
    </row>
    <row r="6933" spans="1:1" x14ac:dyDescent="0.2">
      <c r="A6933"/>
    </row>
    <row r="6934" spans="1:1" x14ac:dyDescent="0.2">
      <c r="A6934"/>
    </row>
    <row r="6935" spans="1:1" x14ac:dyDescent="0.2">
      <c r="A6935"/>
    </row>
    <row r="6936" spans="1:1" x14ac:dyDescent="0.2">
      <c r="A6936"/>
    </row>
    <row r="6937" spans="1:1" x14ac:dyDescent="0.2">
      <c r="A6937"/>
    </row>
    <row r="6938" spans="1:1" x14ac:dyDescent="0.2">
      <c r="A6938"/>
    </row>
    <row r="6939" spans="1:1" x14ac:dyDescent="0.2">
      <c r="A6939"/>
    </row>
    <row r="6940" spans="1:1" x14ac:dyDescent="0.2">
      <c r="A6940"/>
    </row>
    <row r="6941" spans="1:1" x14ac:dyDescent="0.2">
      <c r="A6941"/>
    </row>
    <row r="6942" spans="1:1" x14ac:dyDescent="0.2">
      <c r="A6942"/>
    </row>
    <row r="6943" spans="1:1" x14ac:dyDescent="0.2">
      <c r="A6943"/>
    </row>
    <row r="6944" spans="1:1" x14ac:dyDescent="0.2">
      <c r="A6944"/>
    </row>
    <row r="6945" spans="1:1" x14ac:dyDescent="0.2">
      <c r="A6945"/>
    </row>
    <row r="6946" spans="1:1" x14ac:dyDescent="0.2">
      <c r="A6946"/>
    </row>
    <row r="6947" spans="1:1" x14ac:dyDescent="0.2">
      <c r="A6947"/>
    </row>
    <row r="6948" spans="1:1" x14ac:dyDescent="0.2">
      <c r="A6948"/>
    </row>
    <row r="6949" spans="1:1" x14ac:dyDescent="0.2">
      <c r="A6949"/>
    </row>
    <row r="6950" spans="1:1" x14ac:dyDescent="0.2">
      <c r="A6950"/>
    </row>
    <row r="6951" spans="1:1" x14ac:dyDescent="0.2">
      <c r="A6951"/>
    </row>
    <row r="6952" spans="1:1" x14ac:dyDescent="0.2">
      <c r="A6952"/>
    </row>
    <row r="6953" spans="1:1" x14ac:dyDescent="0.2">
      <c r="A6953"/>
    </row>
    <row r="6954" spans="1:1" x14ac:dyDescent="0.2">
      <c r="A6954"/>
    </row>
    <row r="6955" spans="1:1" x14ac:dyDescent="0.2">
      <c r="A6955"/>
    </row>
    <row r="6956" spans="1:1" x14ac:dyDescent="0.2">
      <c r="A6956"/>
    </row>
    <row r="6957" spans="1:1" x14ac:dyDescent="0.2">
      <c r="A6957"/>
    </row>
    <row r="6958" spans="1:1" x14ac:dyDescent="0.2">
      <c r="A6958"/>
    </row>
    <row r="6959" spans="1:1" x14ac:dyDescent="0.2">
      <c r="A6959"/>
    </row>
    <row r="6960" spans="1:1" x14ac:dyDescent="0.2">
      <c r="A6960"/>
    </row>
    <row r="6961" spans="1:1" x14ac:dyDescent="0.2">
      <c r="A6961"/>
    </row>
    <row r="6962" spans="1:1" x14ac:dyDescent="0.2">
      <c r="A6962"/>
    </row>
    <row r="6963" spans="1:1" x14ac:dyDescent="0.2">
      <c r="A6963"/>
    </row>
    <row r="6964" spans="1:1" x14ac:dyDescent="0.2">
      <c r="A6964"/>
    </row>
    <row r="6965" spans="1:1" x14ac:dyDescent="0.2">
      <c r="A6965"/>
    </row>
    <row r="6966" spans="1:1" x14ac:dyDescent="0.2">
      <c r="A6966"/>
    </row>
    <row r="6967" spans="1:1" x14ac:dyDescent="0.2">
      <c r="A6967"/>
    </row>
    <row r="6968" spans="1:1" x14ac:dyDescent="0.2">
      <c r="A6968"/>
    </row>
    <row r="6969" spans="1:1" x14ac:dyDescent="0.2">
      <c r="A6969"/>
    </row>
    <row r="6970" spans="1:1" x14ac:dyDescent="0.2">
      <c r="A6970"/>
    </row>
    <row r="6971" spans="1:1" x14ac:dyDescent="0.2">
      <c r="A6971"/>
    </row>
    <row r="6972" spans="1:1" x14ac:dyDescent="0.2">
      <c r="A6972"/>
    </row>
    <row r="6973" spans="1:1" x14ac:dyDescent="0.2">
      <c r="A6973"/>
    </row>
    <row r="6974" spans="1:1" x14ac:dyDescent="0.2">
      <c r="A6974"/>
    </row>
    <row r="6975" spans="1:1" x14ac:dyDescent="0.2">
      <c r="A6975"/>
    </row>
    <row r="6976" spans="1:1" x14ac:dyDescent="0.2">
      <c r="A6976"/>
    </row>
    <row r="6977" spans="1:1" x14ac:dyDescent="0.2">
      <c r="A6977"/>
    </row>
    <row r="6978" spans="1:1" x14ac:dyDescent="0.2">
      <c r="A6978"/>
    </row>
    <row r="6979" spans="1:1" x14ac:dyDescent="0.2">
      <c r="A6979"/>
    </row>
    <row r="6980" spans="1:1" x14ac:dyDescent="0.2">
      <c r="A6980"/>
    </row>
    <row r="6981" spans="1:1" x14ac:dyDescent="0.2">
      <c r="A6981"/>
    </row>
    <row r="6982" spans="1:1" x14ac:dyDescent="0.2">
      <c r="A6982"/>
    </row>
    <row r="6983" spans="1:1" x14ac:dyDescent="0.2">
      <c r="A6983"/>
    </row>
    <row r="6984" spans="1:1" x14ac:dyDescent="0.2">
      <c r="A6984"/>
    </row>
    <row r="6985" spans="1:1" x14ac:dyDescent="0.2">
      <c r="A6985"/>
    </row>
    <row r="6986" spans="1:1" x14ac:dyDescent="0.2">
      <c r="A6986"/>
    </row>
    <row r="6987" spans="1:1" x14ac:dyDescent="0.2">
      <c r="A6987"/>
    </row>
    <row r="6988" spans="1:1" x14ac:dyDescent="0.2">
      <c r="A6988"/>
    </row>
    <row r="6989" spans="1:1" x14ac:dyDescent="0.2">
      <c r="A6989"/>
    </row>
    <row r="6990" spans="1:1" x14ac:dyDescent="0.2">
      <c r="A6990"/>
    </row>
    <row r="6991" spans="1:1" x14ac:dyDescent="0.2">
      <c r="A6991"/>
    </row>
    <row r="6992" spans="1:1" x14ac:dyDescent="0.2">
      <c r="A6992"/>
    </row>
    <row r="6993" spans="1:1" x14ac:dyDescent="0.2">
      <c r="A6993"/>
    </row>
    <row r="6994" spans="1:1" x14ac:dyDescent="0.2">
      <c r="A6994"/>
    </row>
    <row r="6995" spans="1:1" x14ac:dyDescent="0.2">
      <c r="A6995"/>
    </row>
    <row r="6996" spans="1:1" x14ac:dyDescent="0.2">
      <c r="A6996"/>
    </row>
    <row r="6997" spans="1:1" x14ac:dyDescent="0.2">
      <c r="A6997"/>
    </row>
    <row r="6998" spans="1:1" x14ac:dyDescent="0.2">
      <c r="A6998"/>
    </row>
    <row r="6999" spans="1:1" x14ac:dyDescent="0.2">
      <c r="A6999"/>
    </row>
    <row r="7000" spans="1:1" x14ac:dyDescent="0.2">
      <c r="A7000"/>
    </row>
    <row r="7001" spans="1:1" x14ac:dyDescent="0.2">
      <c r="A7001"/>
    </row>
    <row r="7002" spans="1:1" x14ac:dyDescent="0.2">
      <c r="A7002"/>
    </row>
    <row r="7003" spans="1:1" x14ac:dyDescent="0.2">
      <c r="A7003"/>
    </row>
    <row r="7004" spans="1:1" x14ac:dyDescent="0.2">
      <c r="A7004"/>
    </row>
    <row r="7005" spans="1:1" x14ac:dyDescent="0.2">
      <c r="A7005"/>
    </row>
    <row r="7006" spans="1:1" x14ac:dyDescent="0.2">
      <c r="A7006"/>
    </row>
    <row r="7007" spans="1:1" x14ac:dyDescent="0.2">
      <c r="A7007"/>
    </row>
    <row r="7008" spans="1:1" x14ac:dyDescent="0.2">
      <c r="A7008"/>
    </row>
    <row r="7009" spans="1:1" x14ac:dyDescent="0.2">
      <c r="A7009"/>
    </row>
    <row r="7010" spans="1:1" x14ac:dyDescent="0.2">
      <c r="A7010"/>
    </row>
    <row r="7011" spans="1:1" x14ac:dyDescent="0.2">
      <c r="A7011"/>
    </row>
    <row r="7012" spans="1:1" x14ac:dyDescent="0.2">
      <c r="A7012"/>
    </row>
    <row r="7013" spans="1:1" x14ac:dyDescent="0.2">
      <c r="A7013"/>
    </row>
    <row r="7014" spans="1:1" x14ac:dyDescent="0.2">
      <c r="A7014"/>
    </row>
    <row r="7015" spans="1:1" x14ac:dyDescent="0.2">
      <c r="A7015"/>
    </row>
    <row r="7016" spans="1:1" x14ac:dyDescent="0.2">
      <c r="A7016"/>
    </row>
    <row r="7017" spans="1:1" x14ac:dyDescent="0.2">
      <c r="A7017"/>
    </row>
    <row r="7018" spans="1:1" x14ac:dyDescent="0.2">
      <c r="A7018"/>
    </row>
    <row r="7019" spans="1:1" x14ac:dyDescent="0.2">
      <c r="A7019"/>
    </row>
    <row r="7020" spans="1:1" x14ac:dyDescent="0.2">
      <c r="A7020"/>
    </row>
    <row r="7021" spans="1:1" x14ac:dyDescent="0.2">
      <c r="A7021"/>
    </row>
    <row r="7022" spans="1:1" x14ac:dyDescent="0.2">
      <c r="A7022"/>
    </row>
    <row r="7023" spans="1:1" x14ac:dyDescent="0.2">
      <c r="A7023"/>
    </row>
    <row r="7024" spans="1:1" x14ac:dyDescent="0.2">
      <c r="A7024"/>
    </row>
    <row r="7025" spans="1:1" x14ac:dyDescent="0.2">
      <c r="A7025"/>
    </row>
    <row r="7026" spans="1:1" x14ac:dyDescent="0.2">
      <c r="A7026"/>
    </row>
    <row r="7027" spans="1:1" x14ac:dyDescent="0.2">
      <c r="A7027"/>
    </row>
    <row r="7028" spans="1:1" x14ac:dyDescent="0.2">
      <c r="A7028"/>
    </row>
    <row r="7029" spans="1:1" x14ac:dyDescent="0.2">
      <c r="A7029"/>
    </row>
    <row r="7030" spans="1:1" x14ac:dyDescent="0.2">
      <c r="A7030"/>
    </row>
    <row r="7031" spans="1:1" x14ac:dyDescent="0.2">
      <c r="A7031"/>
    </row>
    <row r="7032" spans="1:1" x14ac:dyDescent="0.2">
      <c r="A7032"/>
    </row>
    <row r="7033" spans="1:1" x14ac:dyDescent="0.2">
      <c r="A7033"/>
    </row>
    <row r="7034" spans="1:1" x14ac:dyDescent="0.2">
      <c r="A7034"/>
    </row>
    <row r="7035" spans="1:1" x14ac:dyDescent="0.2">
      <c r="A7035"/>
    </row>
    <row r="7036" spans="1:1" x14ac:dyDescent="0.2">
      <c r="A7036"/>
    </row>
    <row r="7037" spans="1:1" x14ac:dyDescent="0.2">
      <c r="A7037"/>
    </row>
    <row r="7038" spans="1:1" x14ac:dyDescent="0.2">
      <c r="A7038"/>
    </row>
    <row r="7039" spans="1:1" x14ac:dyDescent="0.2">
      <c r="A7039"/>
    </row>
    <row r="7040" spans="1:1" x14ac:dyDescent="0.2">
      <c r="A7040"/>
    </row>
    <row r="7041" spans="1:1" x14ac:dyDescent="0.2">
      <c r="A7041"/>
    </row>
    <row r="7042" spans="1:1" x14ac:dyDescent="0.2">
      <c r="A7042"/>
    </row>
    <row r="7043" spans="1:1" x14ac:dyDescent="0.2">
      <c r="A7043"/>
    </row>
    <row r="7044" spans="1:1" x14ac:dyDescent="0.2">
      <c r="A7044"/>
    </row>
    <row r="7045" spans="1:1" x14ac:dyDescent="0.2">
      <c r="A7045"/>
    </row>
    <row r="7046" spans="1:1" x14ac:dyDescent="0.2">
      <c r="A7046"/>
    </row>
    <row r="7047" spans="1:1" x14ac:dyDescent="0.2">
      <c r="A7047"/>
    </row>
    <row r="7048" spans="1:1" x14ac:dyDescent="0.2">
      <c r="A7048"/>
    </row>
    <row r="7049" spans="1:1" x14ac:dyDescent="0.2">
      <c r="A7049"/>
    </row>
    <row r="7050" spans="1:1" x14ac:dyDescent="0.2">
      <c r="A7050"/>
    </row>
    <row r="7051" spans="1:1" x14ac:dyDescent="0.2">
      <c r="A7051"/>
    </row>
    <row r="7052" spans="1:1" x14ac:dyDescent="0.2">
      <c r="A7052"/>
    </row>
    <row r="7053" spans="1:1" x14ac:dyDescent="0.2">
      <c r="A7053"/>
    </row>
    <row r="7054" spans="1:1" x14ac:dyDescent="0.2">
      <c r="A7054"/>
    </row>
    <row r="7055" spans="1:1" x14ac:dyDescent="0.2">
      <c r="A7055"/>
    </row>
    <row r="7056" spans="1:1" x14ac:dyDescent="0.2">
      <c r="A7056"/>
    </row>
    <row r="7057" spans="1:1" x14ac:dyDescent="0.2">
      <c r="A7057"/>
    </row>
    <row r="7058" spans="1:1" x14ac:dyDescent="0.2">
      <c r="A7058"/>
    </row>
    <row r="7059" spans="1:1" x14ac:dyDescent="0.2">
      <c r="A7059"/>
    </row>
    <row r="7060" spans="1:1" x14ac:dyDescent="0.2">
      <c r="A7060"/>
    </row>
    <row r="7061" spans="1:1" x14ac:dyDescent="0.2">
      <c r="A7061"/>
    </row>
    <row r="7062" spans="1:1" x14ac:dyDescent="0.2">
      <c r="A7062"/>
    </row>
    <row r="7063" spans="1:1" x14ac:dyDescent="0.2">
      <c r="A7063"/>
    </row>
    <row r="7064" spans="1:1" x14ac:dyDescent="0.2">
      <c r="A7064"/>
    </row>
    <row r="7065" spans="1:1" x14ac:dyDescent="0.2">
      <c r="A7065"/>
    </row>
    <row r="7066" spans="1:1" x14ac:dyDescent="0.2">
      <c r="A7066"/>
    </row>
    <row r="7067" spans="1:1" x14ac:dyDescent="0.2">
      <c r="A7067"/>
    </row>
    <row r="7068" spans="1:1" x14ac:dyDescent="0.2">
      <c r="A7068"/>
    </row>
    <row r="7069" spans="1:1" x14ac:dyDescent="0.2">
      <c r="A7069"/>
    </row>
    <row r="7070" spans="1:1" x14ac:dyDescent="0.2">
      <c r="A7070"/>
    </row>
    <row r="7071" spans="1:1" x14ac:dyDescent="0.2">
      <c r="A7071"/>
    </row>
    <row r="7072" spans="1:1" x14ac:dyDescent="0.2">
      <c r="A7072"/>
    </row>
    <row r="7073" spans="1:1" x14ac:dyDescent="0.2">
      <c r="A7073"/>
    </row>
    <row r="7074" spans="1:1" x14ac:dyDescent="0.2">
      <c r="A7074"/>
    </row>
    <row r="7075" spans="1:1" x14ac:dyDescent="0.2">
      <c r="A7075"/>
    </row>
    <row r="7076" spans="1:1" x14ac:dyDescent="0.2">
      <c r="A7076"/>
    </row>
    <row r="7077" spans="1:1" x14ac:dyDescent="0.2">
      <c r="A7077"/>
    </row>
    <row r="7078" spans="1:1" x14ac:dyDescent="0.2">
      <c r="A7078"/>
    </row>
    <row r="7079" spans="1:1" x14ac:dyDescent="0.2">
      <c r="A7079"/>
    </row>
    <row r="7080" spans="1:1" x14ac:dyDescent="0.2">
      <c r="A7080"/>
    </row>
    <row r="7081" spans="1:1" x14ac:dyDescent="0.2">
      <c r="A7081"/>
    </row>
    <row r="7082" spans="1:1" x14ac:dyDescent="0.2">
      <c r="A7082"/>
    </row>
    <row r="7083" spans="1:1" x14ac:dyDescent="0.2">
      <c r="A7083"/>
    </row>
    <row r="7084" spans="1:1" x14ac:dyDescent="0.2">
      <c r="A7084"/>
    </row>
    <row r="7085" spans="1:1" x14ac:dyDescent="0.2">
      <c r="A7085"/>
    </row>
    <row r="7086" spans="1:1" x14ac:dyDescent="0.2">
      <c r="A7086"/>
    </row>
    <row r="7087" spans="1:1" x14ac:dyDescent="0.2">
      <c r="A7087"/>
    </row>
    <row r="7088" spans="1:1" x14ac:dyDescent="0.2">
      <c r="A7088"/>
    </row>
    <row r="7089" spans="1:1" x14ac:dyDescent="0.2">
      <c r="A7089"/>
    </row>
    <row r="7090" spans="1:1" x14ac:dyDescent="0.2">
      <c r="A7090"/>
    </row>
    <row r="7091" spans="1:1" x14ac:dyDescent="0.2">
      <c r="A7091"/>
    </row>
    <row r="7092" spans="1:1" x14ac:dyDescent="0.2">
      <c r="A7092"/>
    </row>
    <row r="7093" spans="1:1" x14ac:dyDescent="0.2">
      <c r="A7093"/>
    </row>
    <row r="7094" spans="1:1" x14ac:dyDescent="0.2">
      <c r="A7094"/>
    </row>
    <row r="7095" spans="1:1" x14ac:dyDescent="0.2">
      <c r="A7095"/>
    </row>
    <row r="7096" spans="1:1" x14ac:dyDescent="0.2">
      <c r="A7096"/>
    </row>
    <row r="7097" spans="1:1" x14ac:dyDescent="0.2">
      <c r="A7097"/>
    </row>
    <row r="7098" spans="1:1" x14ac:dyDescent="0.2">
      <c r="A7098"/>
    </row>
    <row r="7099" spans="1:1" x14ac:dyDescent="0.2">
      <c r="A7099"/>
    </row>
    <row r="7100" spans="1:1" x14ac:dyDescent="0.2">
      <c r="A7100"/>
    </row>
    <row r="7101" spans="1:1" x14ac:dyDescent="0.2">
      <c r="A7101"/>
    </row>
    <row r="7102" spans="1:1" x14ac:dyDescent="0.2">
      <c r="A7102"/>
    </row>
    <row r="7103" spans="1:1" x14ac:dyDescent="0.2">
      <c r="A7103"/>
    </row>
    <row r="7104" spans="1:1" x14ac:dyDescent="0.2">
      <c r="A7104"/>
    </row>
    <row r="7105" spans="1:1" x14ac:dyDescent="0.2">
      <c r="A7105"/>
    </row>
    <row r="7106" spans="1:1" x14ac:dyDescent="0.2">
      <c r="A7106"/>
    </row>
    <row r="7107" spans="1:1" x14ac:dyDescent="0.2">
      <c r="A7107"/>
    </row>
    <row r="7108" spans="1:1" x14ac:dyDescent="0.2">
      <c r="A7108"/>
    </row>
    <row r="7109" spans="1:1" x14ac:dyDescent="0.2">
      <c r="A7109"/>
    </row>
    <row r="7110" spans="1:1" x14ac:dyDescent="0.2">
      <c r="A7110"/>
    </row>
    <row r="7111" spans="1:1" x14ac:dyDescent="0.2">
      <c r="A7111"/>
    </row>
    <row r="7112" spans="1:1" x14ac:dyDescent="0.2">
      <c r="A7112"/>
    </row>
    <row r="7113" spans="1:1" x14ac:dyDescent="0.2">
      <c r="A7113"/>
    </row>
    <row r="7114" spans="1:1" x14ac:dyDescent="0.2">
      <c r="A7114"/>
    </row>
    <row r="7115" spans="1:1" x14ac:dyDescent="0.2">
      <c r="A7115"/>
    </row>
    <row r="7116" spans="1:1" x14ac:dyDescent="0.2">
      <c r="A7116"/>
    </row>
    <row r="7117" spans="1:1" x14ac:dyDescent="0.2">
      <c r="A7117"/>
    </row>
    <row r="7118" spans="1:1" x14ac:dyDescent="0.2">
      <c r="A7118"/>
    </row>
    <row r="7119" spans="1:1" x14ac:dyDescent="0.2">
      <c r="A7119"/>
    </row>
    <row r="7120" spans="1:1" x14ac:dyDescent="0.2">
      <c r="A7120"/>
    </row>
    <row r="7121" spans="1:1" x14ac:dyDescent="0.2">
      <c r="A7121"/>
    </row>
    <row r="7122" spans="1:1" x14ac:dyDescent="0.2">
      <c r="A7122"/>
    </row>
    <row r="7123" spans="1:1" x14ac:dyDescent="0.2">
      <c r="A7123"/>
    </row>
    <row r="7124" spans="1:1" x14ac:dyDescent="0.2">
      <c r="A7124"/>
    </row>
    <row r="7125" spans="1:1" x14ac:dyDescent="0.2">
      <c r="A7125"/>
    </row>
    <row r="7126" spans="1:1" x14ac:dyDescent="0.2">
      <c r="A7126"/>
    </row>
    <row r="7127" spans="1:1" x14ac:dyDescent="0.2">
      <c r="A7127"/>
    </row>
    <row r="7128" spans="1:1" x14ac:dyDescent="0.2">
      <c r="A7128"/>
    </row>
    <row r="7129" spans="1:1" x14ac:dyDescent="0.2">
      <c r="A7129"/>
    </row>
    <row r="7130" spans="1:1" x14ac:dyDescent="0.2">
      <c r="A7130"/>
    </row>
    <row r="7131" spans="1:1" x14ac:dyDescent="0.2">
      <c r="A7131"/>
    </row>
    <row r="7132" spans="1:1" x14ac:dyDescent="0.2">
      <c r="A7132"/>
    </row>
    <row r="7133" spans="1:1" x14ac:dyDescent="0.2">
      <c r="A7133"/>
    </row>
    <row r="7134" spans="1:1" x14ac:dyDescent="0.2">
      <c r="A7134"/>
    </row>
    <row r="7135" spans="1:1" x14ac:dyDescent="0.2">
      <c r="A7135"/>
    </row>
    <row r="7136" spans="1:1" x14ac:dyDescent="0.2">
      <c r="A7136"/>
    </row>
    <row r="7137" spans="1:1" x14ac:dyDescent="0.2">
      <c r="A7137"/>
    </row>
    <row r="7138" spans="1:1" x14ac:dyDescent="0.2">
      <c r="A7138"/>
    </row>
    <row r="7139" spans="1:1" x14ac:dyDescent="0.2">
      <c r="A7139"/>
    </row>
    <row r="7140" spans="1:1" x14ac:dyDescent="0.2">
      <c r="A7140"/>
    </row>
    <row r="7141" spans="1:1" x14ac:dyDescent="0.2">
      <c r="A7141"/>
    </row>
    <row r="7142" spans="1:1" x14ac:dyDescent="0.2">
      <c r="A7142"/>
    </row>
    <row r="7143" spans="1:1" x14ac:dyDescent="0.2">
      <c r="A7143"/>
    </row>
    <row r="7144" spans="1:1" x14ac:dyDescent="0.2">
      <c r="A7144"/>
    </row>
    <row r="7145" spans="1:1" x14ac:dyDescent="0.2">
      <c r="A7145"/>
    </row>
    <row r="7146" spans="1:1" x14ac:dyDescent="0.2">
      <c r="A7146"/>
    </row>
    <row r="7147" spans="1:1" x14ac:dyDescent="0.2">
      <c r="A7147"/>
    </row>
    <row r="7148" spans="1:1" x14ac:dyDescent="0.2">
      <c r="A7148"/>
    </row>
    <row r="7149" spans="1:1" x14ac:dyDescent="0.2">
      <c r="A7149"/>
    </row>
    <row r="7150" spans="1:1" x14ac:dyDescent="0.2">
      <c r="A7150"/>
    </row>
    <row r="7151" spans="1:1" x14ac:dyDescent="0.2">
      <c r="A7151"/>
    </row>
    <row r="7152" spans="1:1" x14ac:dyDescent="0.2">
      <c r="A7152"/>
    </row>
    <row r="7153" spans="1:1" x14ac:dyDescent="0.2">
      <c r="A7153"/>
    </row>
    <row r="7154" spans="1:1" x14ac:dyDescent="0.2">
      <c r="A7154"/>
    </row>
    <row r="7155" spans="1:1" x14ac:dyDescent="0.2">
      <c r="A7155"/>
    </row>
    <row r="7156" spans="1:1" x14ac:dyDescent="0.2">
      <c r="A7156"/>
    </row>
    <row r="7157" spans="1:1" x14ac:dyDescent="0.2">
      <c r="A7157"/>
    </row>
    <row r="7158" spans="1:1" x14ac:dyDescent="0.2">
      <c r="A7158"/>
    </row>
    <row r="7159" spans="1:1" x14ac:dyDescent="0.2">
      <c r="A7159"/>
    </row>
    <row r="7160" spans="1:1" x14ac:dyDescent="0.2">
      <c r="A7160"/>
    </row>
    <row r="7161" spans="1:1" x14ac:dyDescent="0.2">
      <c r="A7161"/>
    </row>
    <row r="7162" spans="1:1" x14ac:dyDescent="0.2">
      <c r="A7162"/>
    </row>
    <row r="7163" spans="1:1" x14ac:dyDescent="0.2">
      <c r="A7163"/>
    </row>
    <row r="7164" spans="1:1" x14ac:dyDescent="0.2">
      <c r="A7164"/>
    </row>
    <row r="7165" spans="1:1" x14ac:dyDescent="0.2">
      <c r="A7165"/>
    </row>
    <row r="7166" spans="1:1" x14ac:dyDescent="0.2">
      <c r="A7166"/>
    </row>
    <row r="7167" spans="1:1" x14ac:dyDescent="0.2">
      <c r="A7167"/>
    </row>
    <row r="7168" spans="1:1" x14ac:dyDescent="0.2">
      <c r="A7168"/>
    </row>
    <row r="7169" spans="1:1" x14ac:dyDescent="0.2">
      <c r="A7169"/>
    </row>
    <row r="7170" spans="1:1" x14ac:dyDescent="0.2">
      <c r="A7170"/>
    </row>
    <row r="7171" spans="1:1" x14ac:dyDescent="0.2">
      <c r="A7171"/>
    </row>
    <row r="7172" spans="1:1" x14ac:dyDescent="0.2">
      <c r="A7172"/>
    </row>
    <row r="7173" spans="1:1" x14ac:dyDescent="0.2">
      <c r="A7173"/>
    </row>
    <row r="7174" spans="1:1" x14ac:dyDescent="0.2">
      <c r="A7174"/>
    </row>
    <row r="7175" spans="1:1" x14ac:dyDescent="0.2">
      <c r="A7175"/>
    </row>
    <row r="7176" spans="1:1" x14ac:dyDescent="0.2">
      <c r="A7176"/>
    </row>
    <row r="7177" spans="1:1" x14ac:dyDescent="0.2">
      <c r="A7177"/>
    </row>
    <row r="7178" spans="1:1" x14ac:dyDescent="0.2">
      <c r="A7178"/>
    </row>
    <row r="7179" spans="1:1" x14ac:dyDescent="0.2">
      <c r="A7179"/>
    </row>
    <row r="7180" spans="1:1" x14ac:dyDescent="0.2">
      <c r="A7180"/>
    </row>
    <row r="7181" spans="1:1" x14ac:dyDescent="0.2">
      <c r="A7181"/>
    </row>
    <row r="7182" spans="1:1" x14ac:dyDescent="0.2">
      <c r="A7182"/>
    </row>
    <row r="7183" spans="1:1" x14ac:dyDescent="0.2">
      <c r="A7183"/>
    </row>
    <row r="7184" spans="1:1" x14ac:dyDescent="0.2">
      <c r="A7184"/>
    </row>
    <row r="7185" spans="1:1" x14ac:dyDescent="0.2">
      <c r="A7185"/>
    </row>
    <row r="7186" spans="1:1" x14ac:dyDescent="0.2">
      <c r="A7186"/>
    </row>
    <row r="7187" spans="1:1" x14ac:dyDescent="0.2">
      <c r="A7187"/>
    </row>
    <row r="7188" spans="1:1" x14ac:dyDescent="0.2">
      <c r="A7188"/>
    </row>
    <row r="7189" spans="1:1" x14ac:dyDescent="0.2">
      <c r="A7189"/>
    </row>
    <row r="7190" spans="1:1" x14ac:dyDescent="0.2">
      <c r="A7190"/>
    </row>
    <row r="7191" spans="1:1" x14ac:dyDescent="0.2">
      <c r="A7191"/>
    </row>
    <row r="7192" spans="1:1" x14ac:dyDescent="0.2">
      <c r="A7192"/>
    </row>
    <row r="7193" spans="1:1" x14ac:dyDescent="0.2">
      <c r="A7193"/>
    </row>
    <row r="7194" spans="1:1" x14ac:dyDescent="0.2">
      <c r="A7194"/>
    </row>
    <row r="7195" spans="1:1" x14ac:dyDescent="0.2">
      <c r="A7195"/>
    </row>
    <row r="7196" spans="1:1" x14ac:dyDescent="0.2">
      <c r="A7196"/>
    </row>
    <row r="7197" spans="1:1" x14ac:dyDescent="0.2">
      <c r="A7197"/>
    </row>
    <row r="7198" spans="1:1" x14ac:dyDescent="0.2">
      <c r="A7198"/>
    </row>
    <row r="7199" spans="1:1" x14ac:dyDescent="0.2">
      <c r="A7199"/>
    </row>
    <row r="7200" spans="1:1" x14ac:dyDescent="0.2">
      <c r="A7200"/>
    </row>
    <row r="7201" spans="1:1" x14ac:dyDescent="0.2">
      <c r="A7201"/>
    </row>
    <row r="7202" spans="1:1" x14ac:dyDescent="0.2">
      <c r="A7202"/>
    </row>
    <row r="7203" spans="1:1" x14ac:dyDescent="0.2">
      <c r="A7203"/>
    </row>
    <row r="7204" spans="1:1" x14ac:dyDescent="0.2">
      <c r="A7204"/>
    </row>
    <row r="7205" spans="1:1" x14ac:dyDescent="0.2">
      <c r="A7205"/>
    </row>
    <row r="7206" spans="1:1" x14ac:dyDescent="0.2">
      <c r="A7206"/>
    </row>
    <row r="7207" spans="1:1" x14ac:dyDescent="0.2">
      <c r="A7207"/>
    </row>
    <row r="7208" spans="1:1" x14ac:dyDescent="0.2">
      <c r="A7208"/>
    </row>
    <row r="7209" spans="1:1" x14ac:dyDescent="0.2">
      <c r="A7209"/>
    </row>
    <row r="7210" spans="1:1" x14ac:dyDescent="0.2">
      <c r="A7210"/>
    </row>
    <row r="7211" spans="1:1" x14ac:dyDescent="0.2">
      <c r="A7211"/>
    </row>
    <row r="7212" spans="1:1" x14ac:dyDescent="0.2">
      <c r="A7212"/>
    </row>
    <row r="7213" spans="1:1" x14ac:dyDescent="0.2">
      <c r="A7213"/>
    </row>
    <row r="7214" spans="1:1" x14ac:dyDescent="0.2">
      <c r="A7214"/>
    </row>
    <row r="7215" spans="1:1" x14ac:dyDescent="0.2">
      <c r="A7215"/>
    </row>
    <row r="7216" spans="1:1" x14ac:dyDescent="0.2">
      <c r="A7216"/>
    </row>
    <row r="7217" spans="1:1" x14ac:dyDescent="0.2">
      <c r="A7217"/>
    </row>
    <row r="7218" spans="1:1" x14ac:dyDescent="0.2">
      <c r="A7218"/>
    </row>
    <row r="7219" spans="1:1" x14ac:dyDescent="0.2">
      <c r="A7219"/>
    </row>
    <row r="7220" spans="1:1" x14ac:dyDescent="0.2">
      <c r="A7220"/>
    </row>
    <row r="7221" spans="1:1" x14ac:dyDescent="0.2">
      <c r="A7221"/>
    </row>
    <row r="7222" spans="1:1" x14ac:dyDescent="0.2">
      <c r="A7222"/>
    </row>
    <row r="7223" spans="1:1" x14ac:dyDescent="0.2">
      <c r="A7223"/>
    </row>
    <row r="7224" spans="1:1" x14ac:dyDescent="0.2">
      <c r="A7224"/>
    </row>
    <row r="7225" spans="1:1" x14ac:dyDescent="0.2">
      <c r="A7225"/>
    </row>
    <row r="7226" spans="1:1" x14ac:dyDescent="0.2">
      <c r="A7226"/>
    </row>
    <row r="7227" spans="1:1" x14ac:dyDescent="0.2">
      <c r="A7227"/>
    </row>
    <row r="7228" spans="1:1" x14ac:dyDescent="0.2">
      <c r="A7228"/>
    </row>
    <row r="7229" spans="1:1" x14ac:dyDescent="0.2">
      <c r="A7229"/>
    </row>
    <row r="7230" spans="1:1" x14ac:dyDescent="0.2">
      <c r="A7230"/>
    </row>
    <row r="7231" spans="1:1" x14ac:dyDescent="0.2">
      <c r="A7231"/>
    </row>
    <row r="7232" spans="1:1" x14ac:dyDescent="0.2">
      <c r="A7232"/>
    </row>
    <row r="7233" spans="1:1" x14ac:dyDescent="0.2">
      <c r="A7233"/>
    </row>
    <row r="7234" spans="1:1" x14ac:dyDescent="0.2">
      <c r="A7234"/>
    </row>
    <row r="7235" spans="1:1" x14ac:dyDescent="0.2">
      <c r="A7235"/>
    </row>
    <row r="7236" spans="1:1" x14ac:dyDescent="0.2">
      <c r="A7236"/>
    </row>
    <row r="7237" spans="1:1" x14ac:dyDescent="0.2">
      <c r="A7237"/>
    </row>
    <row r="7238" spans="1:1" x14ac:dyDescent="0.2">
      <c r="A7238"/>
    </row>
    <row r="7239" spans="1:1" x14ac:dyDescent="0.2">
      <c r="A7239"/>
    </row>
    <row r="7240" spans="1:1" x14ac:dyDescent="0.2">
      <c r="A7240"/>
    </row>
    <row r="7241" spans="1:1" x14ac:dyDescent="0.2">
      <c r="A7241"/>
    </row>
    <row r="7242" spans="1:1" x14ac:dyDescent="0.2">
      <c r="A7242"/>
    </row>
    <row r="7243" spans="1:1" x14ac:dyDescent="0.2">
      <c r="A7243"/>
    </row>
    <row r="7244" spans="1:1" x14ac:dyDescent="0.2">
      <c r="A7244"/>
    </row>
    <row r="7245" spans="1:1" x14ac:dyDescent="0.2">
      <c r="A7245"/>
    </row>
    <row r="7246" spans="1:1" x14ac:dyDescent="0.2">
      <c r="A7246"/>
    </row>
    <row r="7247" spans="1:1" x14ac:dyDescent="0.2">
      <c r="A7247"/>
    </row>
    <row r="7248" spans="1:1" x14ac:dyDescent="0.2">
      <c r="A7248"/>
    </row>
    <row r="7249" spans="1:1" x14ac:dyDescent="0.2">
      <c r="A7249"/>
    </row>
    <row r="7250" spans="1:1" x14ac:dyDescent="0.2">
      <c r="A7250"/>
    </row>
    <row r="7251" spans="1:1" x14ac:dyDescent="0.2">
      <c r="A7251"/>
    </row>
    <row r="7252" spans="1:1" x14ac:dyDescent="0.2">
      <c r="A7252"/>
    </row>
    <row r="7253" spans="1:1" x14ac:dyDescent="0.2">
      <c r="A7253"/>
    </row>
    <row r="7254" spans="1:1" x14ac:dyDescent="0.2">
      <c r="A7254"/>
    </row>
    <row r="7255" spans="1:1" x14ac:dyDescent="0.2">
      <c r="A7255"/>
    </row>
    <row r="7256" spans="1:1" x14ac:dyDescent="0.2">
      <c r="A7256"/>
    </row>
    <row r="7257" spans="1:1" x14ac:dyDescent="0.2">
      <c r="A7257"/>
    </row>
    <row r="7258" spans="1:1" x14ac:dyDescent="0.2">
      <c r="A7258"/>
    </row>
    <row r="7259" spans="1:1" x14ac:dyDescent="0.2">
      <c r="A7259"/>
    </row>
    <row r="7260" spans="1:1" x14ac:dyDescent="0.2">
      <c r="A7260"/>
    </row>
    <row r="7261" spans="1:1" x14ac:dyDescent="0.2">
      <c r="A7261"/>
    </row>
    <row r="7262" spans="1:1" x14ac:dyDescent="0.2">
      <c r="A7262"/>
    </row>
    <row r="7263" spans="1:1" x14ac:dyDescent="0.2">
      <c r="A7263"/>
    </row>
    <row r="7264" spans="1:1" x14ac:dyDescent="0.2">
      <c r="A7264"/>
    </row>
    <row r="7265" spans="1:1" x14ac:dyDescent="0.2">
      <c r="A7265"/>
    </row>
    <row r="7266" spans="1:1" x14ac:dyDescent="0.2">
      <c r="A7266"/>
    </row>
    <row r="7267" spans="1:1" x14ac:dyDescent="0.2">
      <c r="A7267"/>
    </row>
    <row r="7268" spans="1:1" x14ac:dyDescent="0.2">
      <c r="A7268"/>
    </row>
    <row r="7269" spans="1:1" x14ac:dyDescent="0.2">
      <c r="A7269"/>
    </row>
    <row r="7270" spans="1:1" x14ac:dyDescent="0.2">
      <c r="A7270"/>
    </row>
    <row r="7271" spans="1:1" x14ac:dyDescent="0.2">
      <c r="A7271"/>
    </row>
    <row r="7272" spans="1:1" x14ac:dyDescent="0.2">
      <c r="A7272"/>
    </row>
    <row r="7273" spans="1:1" x14ac:dyDescent="0.2">
      <c r="A7273"/>
    </row>
    <row r="7274" spans="1:1" x14ac:dyDescent="0.2">
      <c r="A7274"/>
    </row>
    <row r="7275" spans="1:1" x14ac:dyDescent="0.2">
      <c r="A7275"/>
    </row>
    <row r="7276" spans="1:1" x14ac:dyDescent="0.2">
      <c r="A7276"/>
    </row>
    <row r="7277" spans="1:1" x14ac:dyDescent="0.2">
      <c r="A7277"/>
    </row>
    <row r="7278" spans="1:1" x14ac:dyDescent="0.2">
      <c r="A7278"/>
    </row>
    <row r="7279" spans="1:1" x14ac:dyDescent="0.2">
      <c r="A7279"/>
    </row>
    <row r="7280" spans="1:1" x14ac:dyDescent="0.2">
      <c r="A7280"/>
    </row>
    <row r="7281" spans="1:1" x14ac:dyDescent="0.2">
      <c r="A7281"/>
    </row>
    <row r="7282" spans="1:1" x14ac:dyDescent="0.2">
      <c r="A7282"/>
    </row>
    <row r="7283" spans="1:1" x14ac:dyDescent="0.2">
      <c r="A7283"/>
    </row>
    <row r="7284" spans="1:1" x14ac:dyDescent="0.2">
      <c r="A7284"/>
    </row>
    <row r="7285" spans="1:1" x14ac:dyDescent="0.2">
      <c r="A7285"/>
    </row>
    <row r="7286" spans="1:1" x14ac:dyDescent="0.2">
      <c r="A7286"/>
    </row>
    <row r="7287" spans="1:1" x14ac:dyDescent="0.2">
      <c r="A7287"/>
    </row>
    <row r="7288" spans="1:1" x14ac:dyDescent="0.2">
      <c r="A7288"/>
    </row>
    <row r="7289" spans="1:1" x14ac:dyDescent="0.2">
      <c r="A7289"/>
    </row>
    <row r="7290" spans="1:1" x14ac:dyDescent="0.2">
      <c r="A7290"/>
    </row>
    <row r="7291" spans="1:1" x14ac:dyDescent="0.2">
      <c r="A7291"/>
    </row>
    <row r="7292" spans="1:1" x14ac:dyDescent="0.2">
      <c r="A7292"/>
    </row>
    <row r="7293" spans="1:1" x14ac:dyDescent="0.2">
      <c r="A7293"/>
    </row>
    <row r="7294" spans="1:1" x14ac:dyDescent="0.2">
      <c r="A7294"/>
    </row>
    <row r="7295" spans="1:1" x14ac:dyDescent="0.2">
      <c r="A7295"/>
    </row>
    <row r="7296" spans="1:1" x14ac:dyDescent="0.2">
      <c r="A7296"/>
    </row>
    <row r="7297" spans="1:1" x14ac:dyDescent="0.2">
      <c r="A7297"/>
    </row>
    <row r="7298" spans="1:1" x14ac:dyDescent="0.2">
      <c r="A7298"/>
    </row>
    <row r="7299" spans="1:1" x14ac:dyDescent="0.2">
      <c r="A7299"/>
    </row>
    <row r="7300" spans="1:1" x14ac:dyDescent="0.2">
      <c r="A7300"/>
    </row>
    <row r="7301" spans="1:1" x14ac:dyDescent="0.2">
      <c r="A7301"/>
    </row>
    <row r="7302" spans="1:1" x14ac:dyDescent="0.2">
      <c r="A7302"/>
    </row>
    <row r="7303" spans="1:1" x14ac:dyDescent="0.2">
      <c r="A7303"/>
    </row>
    <row r="7304" spans="1:1" x14ac:dyDescent="0.2">
      <c r="A7304"/>
    </row>
    <row r="7305" spans="1:1" x14ac:dyDescent="0.2">
      <c r="A7305"/>
    </row>
    <row r="7306" spans="1:1" x14ac:dyDescent="0.2">
      <c r="A7306"/>
    </row>
    <row r="7307" spans="1:1" x14ac:dyDescent="0.2">
      <c r="A7307"/>
    </row>
    <row r="7308" spans="1:1" x14ac:dyDescent="0.2">
      <c r="A7308"/>
    </row>
    <row r="7309" spans="1:1" x14ac:dyDescent="0.2">
      <c r="A7309"/>
    </row>
    <row r="7310" spans="1:1" x14ac:dyDescent="0.2">
      <c r="A7310"/>
    </row>
    <row r="7311" spans="1:1" x14ac:dyDescent="0.2">
      <c r="A7311"/>
    </row>
    <row r="7312" spans="1:1" x14ac:dyDescent="0.2">
      <c r="A7312"/>
    </row>
    <row r="7313" spans="1:1" x14ac:dyDescent="0.2">
      <c r="A7313"/>
    </row>
    <row r="7314" spans="1:1" x14ac:dyDescent="0.2">
      <c r="A7314"/>
    </row>
    <row r="7315" spans="1:1" x14ac:dyDescent="0.2">
      <c r="A7315"/>
    </row>
    <row r="7316" spans="1:1" x14ac:dyDescent="0.2">
      <c r="A7316"/>
    </row>
    <row r="7317" spans="1:1" x14ac:dyDescent="0.2">
      <c r="A7317"/>
    </row>
    <row r="7318" spans="1:1" x14ac:dyDescent="0.2">
      <c r="A7318"/>
    </row>
    <row r="7319" spans="1:1" x14ac:dyDescent="0.2">
      <c r="A7319"/>
    </row>
    <row r="7320" spans="1:1" x14ac:dyDescent="0.2">
      <c r="A7320"/>
    </row>
    <row r="7321" spans="1:1" x14ac:dyDescent="0.2">
      <c r="A7321"/>
    </row>
    <row r="7322" spans="1:1" x14ac:dyDescent="0.2">
      <c r="A7322"/>
    </row>
    <row r="7323" spans="1:1" x14ac:dyDescent="0.2">
      <c r="A7323"/>
    </row>
    <row r="7324" spans="1:1" x14ac:dyDescent="0.2">
      <c r="A7324"/>
    </row>
    <row r="7325" spans="1:1" x14ac:dyDescent="0.2">
      <c r="A7325"/>
    </row>
    <row r="7326" spans="1:1" x14ac:dyDescent="0.2">
      <c r="A7326"/>
    </row>
    <row r="7327" spans="1:1" x14ac:dyDescent="0.2">
      <c r="A7327"/>
    </row>
    <row r="7328" spans="1:1" x14ac:dyDescent="0.2">
      <c r="A7328"/>
    </row>
    <row r="7329" spans="1:1" x14ac:dyDescent="0.2">
      <c r="A7329"/>
    </row>
    <row r="7330" spans="1:1" x14ac:dyDescent="0.2">
      <c r="A7330"/>
    </row>
    <row r="7331" spans="1:1" x14ac:dyDescent="0.2">
      <c r="A7331"/>
    </row>
    <row r="7332" spans="1:1" x14ac:dyDescent="0.2">
      <c r="A7332"/>
    </row>
    <row r="7333" spans="1:1" x14ac:dyDescent="0.2">
      <c r="A7333"/>
    </row>
    <row r="7334" spans="1:1" x14ac:dyDescent="0.2">
      <c r="A7334"/>
    </row>
    <row r="7335" spans="1:1" x14ac:dyDescent="0.2">
      <c r="A7335"/>
    </row>
    <row r="7336" spans="1:1" x14ac:dyDescent="0.2">
      <c r="A7336"/>
    </row>
    <row r="7337" spans="1:1" x14ac:dyDescent="0.2">
      <c r="A7337"/>
    </row>
    <row r="7338" spans="1:1" x14ac:dyDescent="0.2">
      <c r="A7338"/>
    </row>
    <row r="7339" spans="1:1" x14ac:dyDescent="0.2">
      <c r="A7339"/>
    </row>
    <row r="7340" spans="1:1" x14ac:dyDescent="0.2">
      <c r="A7340"/>
    </row>
    <row r="7341" spans="1:1" x14ac:dyDescent="0.2">
      <c r="A7341"/>
    </row>
    <row r="7342" spans="1:1" x14ac:dyDescent="0.2">
      <c r="A7342"/>
    </row>
    <row r="7343" spans="1:1" x14ac:dyDescent="0.2">
      <c r="A7343"/>
    </row>
    <row r="7344" spans="1:1" x14ac:dyDescent="0.2">
      <c r="A7344"/>
    </row>
    <row r="7345" spans="1:1" x14ac:dyDescent="0.2">
      <c r="A7345"/>
    </row>
    <row r="7346" spans="1:1" x14ac:dyDescent="0.2">
      <c r="A7346"/>
    </row>
    <row r="7347" spans="1:1" x14ac:dyDescent="0.2">
      <c r="A7347"/>
    </row>
    <row r="7348" spans="1:1" x14ac:dyDescent="0.2">
      <c r="A7348"/>
    </row>
    <row r="7349" spans="1:1" x14ac:dyDescent="0.2">
      <c r="A7349"/>
    </row>
    <row r="7350" spans="1:1" x14ac:dyDescent="0.2">
      <c r="A7350"/>
    </row>
    <row r="7351" spans="1:1" x14ac:dyDescent="0.2">
      <c r="A7351"/>
    </row>
    <row r="7352" spans="1:1" x14ac:dyDescent="0.2">
      <c r="A7352"/>
    </row>
    <row r="7353" spans="1:1" x14ac:dyDescent="0.2">
      <c r="A7353"/>
    </row>
    <row r="7354" spans="1:1" x14ac:dyDescent="0.2">
      <c r="A7354"/>
    </row>
    <row r="7355" spans="1:1" x14ac:dyDescent="0.2">
      <c r="A7355"/>
    </row>
    <row r="7356" spans="1:1" x14ac:dyDescent="0.2">
      <c r="A7356"/>
    </row>
    <row r="7357" spans="1:1" x14ac:dyDescent="0.2">
      <c r="A7357"/>
    </row>
    <row r="7358" spans="1:1" x14ac:dyDescent="0.2">
      <c r="A7358"/>
    </row>
    <row r="7359" spans="1:1" x14ac:dyDescent="0.2">
      <c r="A7359"/>
    </row>
    <row r="7360" spans="1:1" x14ac:dyDescent="0.2">
      <c r="A7360"/>
    </row>
    <row r="7361" spans="1:1" x14ac:dyDescent="0.2">
      <c r="A7361"/>
    </row>
    <row r="7362" spans="1:1" x14ac:dyDescent="0.2">
      <c r="A7362"/>
    </row>
    <row r="7363" spans="1:1" x14ac:dyDescent="0.2">
      <c r="A7363"/>
    </row>
    <row r="7364" spans="1:1" x14ac:dyDescent="0.2">
      <c r="A7364"/>
    </row>
    <row r="7365" spans="1:1" x14ac:dyDescent="0.2">
      <c r="A7365"/>
    </row>
    <row r="7366" spans="1:1" x14ac:dyDescent="0.2">
      <c r="A7366"/>
    </row>
    <row r="7367" spans="1:1" x14ac:dyDescent="0.2">
      <c r="A7367"/>
    </row>
    <row r="7368" spans="1:1" x14ac:dyDescent="0.2">
      <c r="A7368"/>
    </row>
    <row r="7369" spans="1:1" x14ac:dyDescent="0.2">
      <c r="A7369"/>
    </row>
    <row r="7370" spans="1:1" x14ac:dyDescent="0.2">
      <c r="A7370"/>
    </row>
    <row r="7371" spans="1:1" x14ac:dyDescent="0.2">
      <c r="A7371"/>
    </row>
    <row r="7372" spans="1:1" x14ac:dyDescent="0.2">
      <c r="A7372"/>
    </row>
    <row r="7373" spans="1:1" x14ac:dyDescent="0.2">
      <c r="A7373"/>
    </row>
    <row r="7374" spans="1:1" x14ac:dyDescent="0.2">
      <c r="A7374"/>
    </row>
    <row r="7375" spans="1:1" x14ac:dyDescent="0.2">
      <c r="A7375"/>
    </row>
    <row r="7376" spans="1:1" x14ac:dyDescent="0.2">
      <c r="A7376"/>
    </row>
    <row r="7377" spans="1:1" x14ac:dyDescent="0.2">
      <c r="A7377"/>
    </row>
    <row r="7378" spans="1:1" x14ac:dyDescent="0.2">
      <c r="A7378"/>
    </row>
    <row r="7379" spans="1:1" x14ac:dyDescent="0.2">
      <c r="A7379"/>
    </row>
    <row r="7380" spans="1:1" x14ac:dyDescent="0.2">
      <c r="A7380"/>
    </row>
    <row r="7381" spans="1:1" x14ac:dyDescent="0.2">
      <c r="A7381"/>
    </row>
    <row r="7382" spans="1:1" x14ac:dyDescent="0.2">
      <c r="A7382"/>
    </row>
    <row r="7383" spans="1:1" x14ac:dyDescent="0.2">
      <c r="A7383"/>
    </row>
    <row r="7384" spans="1:1" x14ac:dyDescent="0.2">
      <c r="A7384"/>
    </row>
    <row r="7385" spans="1:1" x14ac:dyDescent="0.2">
      <c r="A7385"/>
    </row>
    <row r="7386" spans="1:1" x14ac:dyDescent="0.2">
      <c r="A7386"/>
    </row>
    <row r="7387" spans="1:1" x14ac:dyDescent="0.2">
      <c r="A7387"/>
    </row>
    <row r="7388" spans="1:1" x14ac:dyDescent="0.2">
      <c r="A7388"/>
    </row>
    <row r="7389" spans="1:1" x14ac:dyDescent="0.2">
      <c r="A7389"/>
    </row>
    <row r="7390" spans="1:1" x14ac:dyDescent="0.2">
      <c r="A7390"/>
    </row>
    <row r="7391" spans="1:1" x14ac:dyDescent="0.2">
      <c r="A7391"/>
    </row>
    <row r="7392" spans="1:1" x14ac:dyDescent="0.2">
      <c r="A7392"/>
    </row>
    <row r="7393" spans="1:1" x14ac:dyDescent="0.2">
      <c r="A7393"/>
    </row>
    <row r="7394" spans="1:1" x14ac:dyDescent="0.2">
      <c r="A7394"/>
    </row>
    <row r="7395" spans="1:1" x14ac:dyDescent="0.2">
      <c r="A7395"/>
    </row>
    <row r="7396" spans="1:1" x14ac:dyDescent="0.2">
      <c r="A7396"/>
    </row>
    <row r="7397" spans="1:1" x14ac:dyDescent="0.2">
      <c r="A7397"/>
    </row>
    <row r="7398" spans="1:1" x14ac:dyDescent="0.2">
      <c r="A7398"/>
    </row>
    <row r="7399" spans="1:1" x14ac:dyDescent="0.2">
      <c r="A7399"/>
    </row>
    <row r="7400" spans="1:1" x14ac:dyDescent="0.2">
      <c r="A7400"/>
    </row>
    <row r="7401" spans="1:1" x14ac:dyDescent="0.2">
      <c r="A7401"/>
    </row>
    <row r="7402" spans="1:1" x14ac:dyDescent="0.2">
      <c r="A7402"/>
    </row>
    <row r="7403" spans="1:1" x14ac:dyDescent="0.2">
      <c r="A7403"/>
    </row>
    <row r="7404" spans="1:1" x14ac:dyDescent="0.2">
      <c r="A7404"/>
    </row>
    <row r="7405" spans="1:1" x14ac:dyDescent="0.2">
      <c r="A7405"/>
    </row>
    <row r="7406" spans="1:1" x14ac:dyDescent="0.2">
      <c r="A7406"/>
    </row>
    <row r="7407" spans="1:1" x14ac:dyDescent="0.2">
      <c r="A7407"/>
    </row>
    <row r="7408" spans="1:1" x14ac:dyDescent="0.2">
      <c r="A7408"/>
    </row>
    <row r="7409" spans="1:1" x14ac:dyDescent="0.2">
      <c r="A7409"/>
    </row>
    <row r="7410" spans="1:1" x14ac:dyDescent="0.2">
      <c r="A7410"/>
    </row>
    <row r="7411" spans="1:1" x14ac:dyDescent="0.2">
      <c r="A7411"/>
    </row>
    <row r="7412" spans="1:1" x14ac:dyDescent="0.2">
      <c r="A7412"/>
    </row>
    <row r="7413" spans="1:1" x14ac:dyDescent="0.2">
      <c r="A7413"/>
    </row>
    <row r="7414" spans="1:1" x14ac:dyDescent="0.2">
      <c r="A7414"/>
    </row>
    <row r="7415" spans="1:1" x14ac:dyDescent="0.2">
      <c r="A7415"/>
    </row>
    <row r="7416" spans="1:1" x14ac:dyDescent="0.2">
      <c r="A7416"/>
    </row>
    <row r="7417" spans="1:1" x14ac:dyDescent="0.2">
      <c r="A7417"/>
    </row>
    <row r="7418" spans="1:1" x14ac:dyDescent="0.2">
      <c r="A7418"/>
    </row>
    <row r="7419" spans="1:1" x14ac:dyDescent="0.2">
      <c r="A7419"/>
    </row>
    <row r="7420" spans="1:1" x14ac:dyDescent="0.2">
      <c r="A7420"/>
    </row>
    <row r="7421" spans="1:1" x14ac:dyDescent="0.2">
      <c r="A7421"/>
    </row>
    <row r="7422" spans="1:1" x14ac:dyDescent="0.2">
      <c r="A7422"/>
    </row>
    <row r="7423" spans="1:1" x14ac:dyDescent="0.2">
      <c r="A7423"/>
    </row>
    <row r="7424" spans="1:1" x14ac:dyDescent="0.2">
      <c r="A7424"/>
    </row>
    <row r="7425" spans="1:1" x14ac:dyDescent="0.2">
      <c r="A7425"/>
    </row>
    <row r="7426" spans="1:1" x14ac:dyDescent="0.2">
      <c r="A7426"/>
    </row>
    <row r="7427" spans="1:1" x14ac:dyDescent="0.2">
      <c r="A7427"/>
    </row>
    <row r="7428" spans="1:1" x14ac:dyDescent="0.2">
      <c r="A7428"/>
    </row>
    <row r="7429" spans="1:1" x14ac:dyDescent="0.2">
      <c r="A7429"/>
    </row>
    <row r="7430" spans="1:1" x14ac:dyDescent="0.2">
      <c r="A7430"/>
    </row>
    <row r="7431" spans="1:1" x14ac:dyDescent="0.2">
      <c r="A7431"/>
    </row>
    <row r="7432" spans="1:1" x14ac:dyDescent="0.2">
      <c r="A7432"/>
    </row>
    <row r="7433" spans="1:1" x14ac:dyDescent="0.2">
      <c r="A7433"/>
    </row>
    <row r="7434" spans="1:1" x14ac:dyDescent="0.2">
      <c r="A7434"/>
    </row>
    <row r="7435" spans="1:1" x14ac:dyDescent="0.2">
      <c r="A7435"/>
    </row>
    <row r="7436" spans="1:1" x14ac:dyDescent="0.2">
      <c r="A7436"/>
    </row>
    <row r="7437" spans="1:1" x14ac:dyDescent="0.2">
      <c r="A7437"/>
    </row>
    <row r="7438" spans="1:1" x14ac:dyDescent="0.2">
      <c r="A7438"/>
    </row>
    <row r="7439" spans="1:1" x14ac:dyDescent="0.2">
      <c r="A7439"/>
    </row>
    <row r="7440" spans="1:1" x14ac:dyDescent="0.2">
      <c r="A7440"/>
    </row>
    <row r="7441" spans="1:1" x14ac:dyDescent="0.2">
      <c r="A7441"/>
    </row>
    <row r="7442" spans="1:1" x14ac:dyDescent="0.2">
      <c r="A7442"/>
    </row>
    <row r="7443" spans="1:1" x14ac:dyDescent="0.2">
      <c r="A7443"/>
    </row>
    <row r="7444" spans="1:1" x14ac:dyDescent="0.2">
      <c r="A7444"/>
    </row>
    <row r="7445" spans="1:1" x14ac:dyDescent="0.2">
      <c r="A7445"/>
    </row>
    <row r="7446" spans="1:1" x14ac:dyDescent="0.2">
      <c r="A7446"/>
    </row>
    <row r="7447" spans="1:1" x14ac:dyDescent="0.2">
      <c r="A7447"/>
    </row>
    <row r="7448" spans="1:1" x14ac:dyDescent="0.2">
      <c r="A7448"/>
    </row>
    <row r="7449" spans="1:1" x14ac:dyDescent="0.2">
      <c r="A7449"/>
    </row>
    <row r="7450" spans="1:1" x14ac:dyDescent="0.2">
      <c r="A7450"/>
    </row>
    <row r="7451" spans="1:1" x14ac:dyDescent="0.2">
      <c r="A7451"/>
    </row>
    <row r="7452" spans="1:1" x14ac:dyDescent="0.2">
      <c r="A7452"/>
    </row>
    <row r="7453" spans="1:1" x14ac:dyDescent="0.2">
      <c r="A7453"/>
    </row>
    <row r="7454" spans="1:1" x14ac:dyDescent="0.2">
      <c r="A7454"/>
    </row>
    <row r="7455" spans="1:1" x14ac:dyDescent="0.2">
      <c r="A7455"/>
    </row>
    <row r="7456" spans="1:1" x14ac:dyDescent="0.2">
      <c r="A7456"/>
    </row>
    <row r="7457" spans="1:1" x14ac:dyDescent="0.2">
      <c r="A7457"/>
    </row>
    <row r="7458" spans="1:1" x14ac:dyDescent="0.2">
      <c r="A7458"/>
    </row>
    <row r="7459" spans="1:1" x14ac:dyDescent="0.2">
      <c r="A7459"/>
    </row>
    <row r="7460" spans="1:1" x14ac:dyDescent="0.2">
      <c r="A7460"/>
    </row>
    <row r="7461" spans="1:1" x14ac:dyDescent="0.2">
      <c r="A7461"/>
    </row>
    <row r="7462" spans="1:1" x14ac:dyDescent="0.2">
      <c r="A7462"/>
    </row>
    <row r="7463" spans="1:1" x14ac:dyDescent="0.2">
      <c r="A7463"/>
    </row>
    <row r="7464" spans="1:1" x14ac:dyDescent="0.2">
      <c r="A7464"/>
    </row>
    <row r="7465" spans="1:1" x14ac:dyDescent="0.2">
      <c r="A7465"/>
    </row>
    <row r="7466" spans="1:1" x14ac:dyDescent="0.2">
      <c r="A7466"/>
    </row>
    <row r="7467" spans="1:1" x14ac:dyDescent="0.2">
      <c r="A7467"/>
    </row>
    <row r="7468" spans="1:1" x14ac:dyDescent="0.2">
      <c r="A7468"/>
    </row>
    <row r="7469" spans="1:1" x14ac:dyDescent="0.2">
      <c r="A7469"/>
    </row>
    <row r="7470" spans="1:1" x14ac:dyDescent="0.2">
      <c r="A7470"/>
    </row>
    <row r="7471" spans="1:1" x14ac:dyDescent="0.2">
      <c r="A7471"/>
    </row>
    <row r="7472" spans="1:1" x14ac:dyDescent="0.2">
      <c r="A7472"/>
    </row>
    <row r="7473" spans="1:1" x14ac:dyDescent="0.2">
      <c r="A7473"/>
    </row>
    <row r="7474" spans="1:1" x14ac:dyDescent="0.2">
      <c r="A7474"/>
    </row>
    <row r="7475" spans="1:1" x14ac:dyDescent="0.2">
      <c r="A7475"/>
    </row>
    <row r="7476" spans="1:1" x14ac:dyDescent="0.2">
      <c r="A7476"/>
    </row>
    <row r="7477" spans="1:1" x14ac:dyDescent="0.2">
      <c r="A7477"/>
    </row>
    <row r="7478" spans="1:1" x14ac:dyDescent="0.2">
      <c r="A7478"/>
    </row>
    <row r="7479" spans="1:1" x14ac:dyDescent="0.2">
      <c r="A7479"/>
    </row>
    <row r="7480" spans="1:1" x14ac:dyDescent="0.2">
      <c r="A7480"/>
    </row>
    <row r="7481" spans="1:1" x14ac:dyDescent="0.2">
      <c r="A7481"/>
    </row>
    <row r="7482" spans="1:1" x14ac:dyDescent="0.2">
      <c r="A7482"/>
    </row>
    <row r="7483" spans="1:1" x14ac:dyDescent="0.2">
      <c r="A7483"/>
    </row>
    <row r="7484" spans="1:1" x14ac:dyDescent="0.2">
      <c r="A7484"/>
    </row>
    <row r="7485" spans="1:1" x14ac:dyDescent="0.2">
      <c r="A7485"/>
    </row>
    <row r="7486" spans="1:1" x14ac:dyDescent="0.2">
      <c r="A7486"/>
    </row>
    <row r="7487" spans="1:1" x14ac:dyDescent="0.2">
      <c r="A7487"/>
    </row>
    <row r="7488" spans="1:1" x14ac:dyDescent="0.2">
      <c r="A7488"/>
    </row>
    <row r="7489" spans="1:1" x14ac:dyDescent="0.2">
      <c r="A7489"/>
    </row>
    <row r="7490" spans="1:1" x14ac:dyDescent="0.2">
      <c r="A7490"/>
    </row>
    <row r="7491" spans="1:1" x14ac:dyDescent="0.2">
      <c r="A7491"/>
    </row>
    <row r="7492" spans="1:1" x14ac:dyDescent="0.2">
      <c r="A7492"/>
    </row>
    <row r="7493" spans="1:1" x14ac:dyDescent="0.2">
      <c r="A7493"/>
    </row>
    <row r="7494" spans="1:1" x14ac:dyDescent="0.2">
      <c r="A7494"/>
    </row>
    <row r="7495" spans="1:1" x14ac:dyDescent="0.2">
      <c r="A7495"/>
    </row>
    <row r="7496" spans="1:1" x14ac:dyDescent="0.2">
      <c r="A7496"/>
    </row>
    <row r="7497" spans="1:1" x14ac:dyDescent="0.2">
      <c r="A7497"/>
    </row>
    <row r="7498" spans="1:1" x14ac:dyDescent="0.2">
      <c r="A7498"/>
    </row>
    <row r="7499" spans="1:1" x14ac:dyDescent="0.2">
      <c r="A7499"/>
    </row>
    <row r="7500" spans="1:1" x14ac:dyDescent="0.2">
      <c r="A7500"/>
    </row>
    <row r="7501" spans="1:1" x14ac:dyDescent="0.2">
      <c r="A7501"/>
    </row>
    <row r="7502" spans="1:1" x14ac:dyDescent="0.2">
      <c r="A7502"/>
    </row>
    <row r="7503" spans="1:1" x14ac:dyDescent="0.2">
      <c r="A7503"/>
    </row>
    <row r="7504" spans="1:1" x14ac:dyDescent="0.2">
      <c r="A7504"/>
    </row>
    <row r="7505" spans="1:1" x14ac:dyDescent="0.2">
      <c r="A7505"/>
    </row>
    <row r="7506" spans="1:1" x14ac:dyDescent="0.2">
      <c r="A7506"/>
    </row>
    <row r="7507" spans="1:1" x14ac:dyDescent="0.2">
      <c r="A7507"/>
    </row>
    <row r="7508" spans="1:1" x14ac:dyDescent="0.2">
      <c r="A7508"/>
    </row>
    <row r="7509" spans="1:1" x14ac:dyDescent="0.2">
      <c r="A7509"/>
    </row>
    <row r="7510" spans="1:1" x14ac:dyDescent="0.2">
      <c r="A7510"/>
    </row>
    <row r="7511" spans="1:1" x14ac:dyDescent="0.2">
      <c r="A7511"/>
    </row>
    <row r="7512" spans="1:1" x14ac:dyDescent="0.2">
      <c r="A7512"/>
    </row>
    <row r="7513" spans="1:1" x14ac:dyDescent="0.2">
      <c r="A7513"/>
    </row>
    <row r="7514" spans="1:1" x14ac:dyDescent="0.2">
      <c r="A7514"/>
    </row>
    <row r="7515" spans="1:1" x14ac:dyDescent="0.2">
      <c r="A7515"/>
    </row>
    <row r="7516" spans="1:1" x14ac:dyDescent="0.2">
      <c r="A7516"/>
    </row>
    <row r="7517" spans="1:1" x14ac:dyDescent="0.2">
      <c r="A7517"/>
    </row>
    <row r="7518" spans="1:1" x14ac:dyDescent="0.2">
      <c r="A7518"/>
    </row>
    <row r="7519" spans="1:1" x14ac:dyDescent="0.2">
      <c r="A7519"/>
    </row>
    <row r="7520" spans="1:1" x14ac:dyDescent="0.2">
      <c r="A7520"/>
    </row>
    <row r="7521" spans="1:1" x14ac:dyDescent="0.2">
      <c r="A7521"/>
    </row>
    <row r="7522" spans="1:1" x14ac:dyDescent="0.2">
      <c r="A7522"/>
    </row>
    <row r="7523" spans="1:1" x14ac:dyDescent="0.2">
      <c r="A7523"/>
    </row>
    <row r="7524" spans="1:1" x14ac:dyDescent="0.2">
      <c r="A7524"/>
    </row>
    <row r="7525" spans="1:1" x14ac:dyDescent="0.2">
      <c r="A7525"/>
    </row>
    <row r="7526" spans="1:1" x14ac:dyDescent="0.2">
      <c r="A7526"/>
    </row>
    <row r="7527" spans="1:1" x14ac:dyDescent="0.2">
      <c r="A7527"/>
    </row>
    <row r="7528" spans="1:1" x14ac:dyDescent="0.2">
      <c r="A7528"/>
    </row>
    <row r="7529" spans="1:1" x14ac:dyDescent="0.2">
      <c r="A7529"/>
    </row>
    <row r="7530" spans="1:1" x14ac:dyDescent="0.2">
      <c r="A7530"/>
    </row>
    <row r="7531" spans="1:1" x14ac:dyDescent="0.2">
      <c r="A7531"/>
    </row>
    <row r="7532" spans="1:1" x14ac:dyDescent="0.2">
      <c r="A7532"/>
    </row>
    <row r="7533" spans="1:1" x14ac:dyDescent="0.2">
      <c r="A7533"/>
    </row>
    <row r="7534" spans="1:1" x14ac:dyDescent="0.2">
      <c r="A7534"/>
    </row>
    <row r="7535" spans="1:1" x14ac:dyDescent="0.2">
      <c r="A7535"/>
    </row>
    <row r="7536" spans="1:1" x14ac:dyDescent="0.2">
      <c r="A7536"/>
    </row>
    <row r="7537" spans="1:1" x14ac:dyDescent="0.2">
      <c r="A7537"/>
    </row>
    <row r="7538" spans="1:1" x14ac:dyDescent="0.2">
      <c r="A7538"/>
    </row>
    <row r="7539" spans="1:1" x14ac:dyDescent="0.2">
      <c r="A7539"/>
    </row>
    <row r="7540" spans="1:1" x14ac:dyDescent="0.2">
      <c r="A7540"/>
    </row>
    <row r="7541" spans="1:1" x14ac:dyDescent="0.2">
      <c r="A7541"/>
    </row>
    <row r="7542" spans="1:1" x14ac:dyDescent="0.2">
      <c r="A7542"/>
    </row>
    <row r="7543" spans="1:1" x14ac:dyDescent="0.2">
      <c r="A7543"/>
    </row>
    <row r="7544" spans="1:1" x14ac:dyDescent="0.2">
      <c r="A7544"/>
    </row>
    <row r="7545" spans="1:1" x14ac:dyDescent="0.2">
      <c r="A7545"/>
    </row>
    <row r="7546" spans="1:1" x14ac:dyDescent="0.2">
      <c r="A7546"/>
    </row>
    <row r="7547" spans="1:1" x14ac:dyDescent="0.2">
      <c r="A7547"/>
    </row>
    <row r="7548" spans="1:1" x14ac:dyDescent="0.2">
      <c r="A7548"/>
    </row>
    <row r="7549" spans="1:1" x14ac:dyDescent="0.2">
      <c r="A7549"/>
    </row>
    <row r="7550" spans="1:1" x14ac:dyDescent="0.2">
      <c r="A7550"/>
    </row>
    <row r="7551" spans="1:1" x14ac:dyDescent="0.2">
      <c r="A7551"/>
    </row>
    <row r="7552" spans="1:1" x14ac:dyDescent="0.2">
      <c r="A7552"/>
    </row>
    <row r="7553" spans="1:1" x14ac:dyDescent="0.2">
      <c r="A7553"/>
    </row>
    <row r="7554" spans="1:1" x14ac:dyDescent="0.2">
      <c r="A7554"/>
    </row>
    <row r="7555" spans="1:1" x14ac:dyDescent="0.2">
      <c r="A7555"/>
    </row>
    <row r="7556" spans="1:1" x14ac:dyDescent="0.2">
      <c r="A7556"/>
    </row>
    <row r="7557" spans="1:1" x14ac:dyDescent="0.2">
      <c r="A7557"/>
    </row>
    <row r="7558" spans="1:1" x14ac:dyDescent="0.2">
      <c r="A7558"/>
    </row>
    <row r="7559" spans="1:1" x14ac:dyDescent="0.2">
      <c r="A7559"/>
    </row>
    <row r="7560" spans="1:1" x14ac:dyDescent="0.2">
      <c r="A7560"/>
    </row>
    <row r="7561" spans="1:1" x14ac:dyDescent="0.2">
      <c r="A7561"/>
    </row>
    <row r="7562" spans="1:1" x14ac:dyDescent="0.2">
      <c r="A7562"/>
    </row>
    <row r="7563" spans="1:1" x14ac:dyDescent="0.2">
      <c r="A7563"/>
    </row>
    <row r="7564" spans="1:1" x14ac:dyDescent="0.2">
      <c r="A7564"/>
    </row>
    <row r="7565" spans="1:1" x14ac:dyDescent="0.2">
      <c r="A7565"/>
    </row>
    <row r="7566" spans="1:1" x14ac:dyDescent="0.2">
      <c r="A7566"/>
    </row>
    <row r="7567" spans="1:1" x14ac:dyDescent="0.2">
      <c r="A7567"/>
    </row>
    <row r="7568" spans="1:1" x14ac:dyDescent="0.2">
      <c r="A7568"/>
    </row>
    <row r="7569" spans="1:1" x14ac:dyDescent="0.2">
      <c r="A7569"/>
    </row>
    <row r="7570" spans="1:1" x14ac:dyDescent="0.2">
      <c r="A7570"/>
    </row>
    <row r="7571" spans="1:1" x14ac:dyDescent="0.2">
      <c r="A7571"/>
    </row>
    <row r="7572" spans="1:1" x14ac:dyDescent="0.2">
      <c r="A7572"/>
    </row>
    <row r="7573" spans="1:1" x14ac:dyDescent="0.2">
      <c r="A7573"/>
    </row>
    <row r="7574" spans="1:1" x14ac:dyDescent="0.2">
      <c r="A7574"/>
    </row>
    <row r="7575" spans="1:1" x14ac:dyDescent="0.2">
      <c r="A7575"/>
    </row>
    <row r="7576" spans="1:1" x14ac:dyDescent="0.2">
      <c r="A7576"/>
    </row>
    <row r="7577" spans="1:1" x14ac:dyDescent="0.2">
      <c r="A7577"/>
    </row>
    <row r="7578" spans="1:1" x14ac:dyDescent="0.2">
      <c r="A7578"/>
    </row>
    <row r="7579" spans="1:1" x14ac:dyDescent="0.2">
      <c r="A7579"/>
    </row>
    <row r="7580" spans="1:1" x14ac:dyDescent="0.2">
      <c r="A7580"/>
    </row>
    <row r="7581" spans="1:1" x14ac:dyDescent="0.2">
      <c r="A7581"/>
    </row>
    <row r="7582" spans="1:1" x14ac:dyDescent="0.2">
      <c r="A7582"/>
    </row>
    <row r="7583" spans="1:1" x14ac:dyDescent="0.2">
      <c r="A7583"/>
    </row>
    <row r="7584" spans="1:1" x14ac:dyDescent="0.2">
      <c r="A7584"/>
    </row>
    <row r="7585" spans="1:1" x14ac:dyDescent="0.2">
      <c r="A7585"/>
    </row>
    <row r="7586" spans="1:1" x14ac:dyDescent="0.2">
      <c r="A7586"/>
    </row>
    <row r="7587" spans="1:1" x14ac:dyDescent="0.2">
      <c r="A7587"/>
    </row>
    <row r="7588" spans="1:1" x14ac:dyDescent="0.2">
      <c r="A7588"/>
    </row>
    <row r="7589" spans="1:1" x14ac:dyDescent="0.2">
      <c r="A7589"/>
    </row>
    <row r="7590" spans="1:1" x14ac:dyDescent="0.2">
      <c r="A7590"/>
    </row>
    <row r="7591" spans="1:1" x14ac:dyDescent="0.2">
      <c r="A7591"/>
    </row>
    <row r="7592" spans="1:1" x14ac:dyDescent="0.2">
      <c r="A7592"/>
    </row>
    <row r="7593" spans="1:1" x14ac:dyDescent="0.2">
      <c r="A7593"/>
    </row>
    <row r="7594" spans="1:1" x14ac:dyDescent="0.2">
      <c r="A7594"/>
    </row>
    <row r="7595" spans="1:1" x14ac:dyDescent="0.2">
      <c r="A7595"/>
    </row>
    <row r="7596" spans="1:1" x14ac:dyDescent="0.2">
      <c r="A7596"/>
    </row>
    <row r="7597" spans="1:1" x14ac:dyDescent="0.2">
      <c r="A7597"/>
    </row>
    <row r="7598" spans="1:1" x14ac:dyDescent="0.2">
      <c r="A7598"/>
    </row>
    <row r="7599" spans="1:1" x14ac:dyDescent="0.2">
      <c r="A7599"/>
    </row>
    <row r="7600" spans="1:1" x14ac:dyDescent="0.2">
      <c r="A7600"/>
    </row>
    <row r="7601" spans="1:1" x14ac:dyDescent="0.2">
      <c r="A7601"/>
    </row>
    <row r="7602" spans="1:1" x14ac:dyDescent="0.2">
      <c r="A7602"/>
    </row>
    <row r="7603" spans="1:1" x14ac:dyDescent="0.2">
      <c r="A7603"/>
    </row>
    <row r="7604" spans="1:1" x14ac:dyDescent="0.2">
      <c r="A7604"/>
    </row>
    <row r="7605" spans="1:1" x14ac:dyDescent="0.2">
      <c r="A7605"/>
    </row>
    <row r="7606" spans="1:1" x14ac:dyDescent="0.2">
      <c r="A7606"/>
    </row>
    <row r="7607" spans="1:1" x14ac:dyDescent="0.2">
      <c r="A7607"/>
    </row>
    <row r="7608" spans="1:1" x14ac:dyDescent="0.2">
      <c r="A7608"/>
    </row>
    <row r="7609" spans="1:1" x14ac:dyDescent="0.2">
      <c r="A7609"/>
    </row>
    <row r="7610" spans="1:1" x14ac:dyDescent="0.2">
      <c r="A7610"/>
    </row>
    <row r="7611" spans="1:1" x14ac:dyDescent="0.2">
      <c r="A7611"/>
    </row>
    <row r="7612" spans="1:1" x14ac:dyDescent="0.2">
      <c r="A7612"/>
    </row>
    <row r="7613" spans="1:1" x14ac:dyDescent="0.2">
      <c r="A7613"/>
    </row>
    <row r="7614" spans="1:1" x14ac:dyDescent="0.2">
      <c r="A7614"/>
    </row>
    <row r="7615" spans="1:1" x14ac:dyDescent="0.2">
      <c r="A7615"/>
    </row>
    <row r="7616" spans="1:1" x14ac:dyDescent="0.2">
      <c r="A7616"/>
    </row>
    <row r="7617" spans="1:1" x14ac:dyDescent="0.2">
      <c r="A7617"/>
    </row>
    <row r="7618" spans="1:1" x14ac:dyDescent="0.2">
      <c r="A7618"/>
    </row>
    <row r="7619" spans="1:1" x14ac:dyDescent="0.2">
      <c r="A7619"/>
    </row>
    <row r="7620" spans="1:1" x14ac:dyDescent="0.2">
      <c r="A7620"/>
    </row>
    <row r="7621" spans="1:1" x14ac:dyDescent="0.2">
      <c r="A7621"/>
    </row>
    <row r="7622" spans="1:1" x14ac:dyDescent="0.2">
      <c r="A7622"/>
    </row>
    <row r="7623" spans="1:1" x14ac:dyDescent="0.2">
      <c r="A7623"/>
    </row>
    <row r="7624" spans="1:1" x14ac:dyDescent="0.2">
      <c r="A7624"/>
    </row>
    <row r="7625" spans="1:1" x14ac:dyDescent="0.2">
      <c r="A7625"/>
    </row>
    <row r="7626" spans="1:1" x14ac:dyDescent="0.2">
      <c r="A7626"/>
    </row>
    <row r="7627" spans="1:1" x14ac:dyDescent="0.2">
      <c r="A7627"/>
    </row>
    <row r="7628" spans="1:1" x14ac:dyDescent="0.2">
      <c r="A7628"/>
    </row>
    <row r="7629" spans="1:1" x14ac:dyDescent="0.2">
      <c r="A7629"/>
    </row>
    <row r="7630" spans="1:1" x14ac:dyDescent="0.2">
      <c r="A7630"/>
    </row>
    <row r="7631" spans="1:1" x14ac:dyDescent="0.2">
      <c r="A7631"/>
    </row>
    <row r="7632" spans="1:1" x14ac:dyDescent="0.2">
      <c r="A7632"/>
    </row>
    <row r="7633" spans="1:1" x14ac:dyDescent="0.2">
      <c r="A7633"/>
    </row>
    <row r="7634" spans="1:1" x14ac:dyDescent="0.2">
      <c r="A7634"/>
    </row>
    <row r="7635" spans="1:1" x14ac:dyDescent="0.2">
      <c r="A7635"/>
    </row>
    <row r="7636" spans="1:1" x14ac:dyDescent="0.2">
      <c r="A7636"/>
    </row>
    <row r="7637" spans="1:1" x14ac:dyDescent="0.2">
      <c r="A7637"/>
    </row>
    <row r="7638" spans="1:1" x14ac:dyDescent="0.2">
      <c r="A7638"/>
    </row>
    <row r="7639" spans="1:1" x14ac:dyDescent="0.2">
      <c r="A7639"/>
    </row>
    <row r="7640" spans="1:1" x14ac:dyDescent="0.2">
      <c r="A7640"/>
    </row>
    <row r="7641" spans="1:1" x14ac:dyDescent="0.2">
      <c r="A7641"/>
    </row>
    <row r="7642" spans="1:1" x14ac:dyDescent="0.2">
      <c r="A7642"/>
    </row>
    <row r="7643" spans="1:1" x14ac:dyDescent="0.2">
      <c r="A7643"/>
    </row>
    <row r="7644" spans="1:1" x14ac:dyDescent="0.2">
      <c r="A7644"/>
    </row>
    <row r="7645" spans="1:1" x14ac:dyDescent="0.2">
      <c r="A7645"/>
    </row>
    <row r="7646" spans="1:1" x14ac:dyDescent="0.2">
      <c r="A7646"/>
    </row>
    <row r="7647" spans="1:1" x14ac:dyDescent="0.2">
      <c r="A7647"/>
    </row>
    <row r="7648" spans="1:1" x14ac:dyDescent="0.2">
      <c r="A7648"/>
    </row>
    <row r="7649" spans="1:1" x14ac:dyDescent="0.2">
      <c r="A7649"/>
    </row>
    <row r="7650" spans="1:1" x14ac:dyDescent="0.2">
      <c r="A7650"/>
    </row>
    <row r="7651" spans="1:1" x14ac:dyDescent="0.2">
      <c r="A7651"/>
    </row>
    <row r="7652" spans="1:1" x14ac:dyDescent="0.2">
      <c r="A7652"/>
    </row>
    <row r="7653" spans="1:1" x14ac:dyDescent="0.2">
      <c r="A7653"/>
    </row>
    <row r="7654" spans="1:1" x14ac:dyDescent="0.2">
      <c r="A7654"/>
    </row>
    <row r="7655" spans="1:1" x14ac:dyDescent="0.2">
      <c r="A7655"/>
    </row>
    <row r="7656" spans="1:1" x14ac:dyDescent="0.2">
      <c r="A7656"/>
    </row>
    <row r="7657" spans="1:1" x14ac:dyDescent="0.2">
      <c r="A7657"/>
    </row>
    <row r="7658" spans="1:1" x14ac:dyDescent="0.2">
      <c r="A7658"/>
    </row>
    <row r="7659" spans="1:1" x14ac:dyDescent="0.2">
      <c r="A7659"/>
    </row>
    <row r="7660" spans="1:1" x14ac:dyDescent="0.2">
      <c r="A7660"/>
    </row>
    <row r="7661" spans="1:1" x14ac:dyDescent="0.2">
      <c r="A7661"/>
    </row>
    <row r="7662" spans="1:1" x14ac:dyDescent="0.2">
      <c r="A7662"/>
    </row>
    <row r="7663" spans="1:1" x14ac:dyDescent="0.2">
      <c r="A7663"/>
    </row>
    <row r="7664" spans="1:1" x14ac:dyDescent="0.2">
      <c r="A7664"/>
    </row>
    <row r="7665" spans="1:1" x14ac:dyDescent="0.2">
      <c r="A7665"/>
    </row>
    <row r="7666" spans="1:1" x14ac:dyDescent="0.2">
      <c r="A7666"/>
    </row>
    <row r="7667" spans="1:1" x14ac:dyDescent="0.2">
      <c r="A7667"/>
    </row>
    <row r="7668" spans="1:1" x14ac:dyDescent="0.2">
      <c r="A7668"/>
    </row>
    <row r="7669" spans="1:1" x14ac:dyDescent="0.2">
      <c r="A7669"/>
    </row>
    <row r="7670" spans="1:1" x14ac:dyDescent="0.2">
      <c r="A7670"/>
    </row>
    <row r="7671" spans="1:1" x14ac:dyDescent="0.2">
      <c r="A7671"/>
    </row>
    <row r="7672" spans="1:1" x14ac:dyDescent="0.2">
      <c r="A7672"/>
    </row>
    <row r="7673" spans="1:1" x14ac:dyDescent="0.2">
      <c r="A7673"/>
    </row>
    <row r="7674" spans="1:1" x14ac:dyDescent="0.2">
      <c r="A7674"/>
    </row>
    <row r="7675" spans="1:1" x14ac:dyDescent="0.2">
      <c r="A7675"/>
    </row>
    <row r="7676" spans="1:1" x14ac:dyDescent="0.2">
      <c r="A7676"/>
    </row>
    <row r="7677" spans="1:1" x14ac:dyDescent="0.2">
      <c r="A7677"/>
    </row>
    <row r="7678" spans="1:1" x14ac:dyDescent="0.2">
      <c r="A7678"/>
    </row>
    <row r="7679" spans="1:1" x14ac:dyDescent="0.2">
      <c r="A7679"/>
    </row>
    <row r="7680" spans="1:1" x14ac:dyDescent="0.2">
      <c r="A7680"/>
    </row>
    <row r="7681" spans="1:1" x14ac:dyDescent="0.2">
      <c r="A7681"/>
    </row>
    <row r="7682" spans="1:1" x14ac:dyDescent="0.2">
      <c r="A7682"/>
    </row>
    <row r="7683" spans="1:1" x14ac:dyDescent="0.2">
      <c r="A7683"/>
    </row>
    <row r="7684" spans="1:1" x14ac:dyDescent="0.2">
      <c r="A7684"/>
    </row>
    <row r="7685" spans="1:1" x14ac:dyDescent="0.2">
      <c r="A7685"/>
    </row>
    <row r="7686" spans="1:1" x14ac:dyDescent="0.2">
      <c r="A7686"/>
    </row>
    <row r="7687" spans="1:1" x14ac:dyDescent="0.2">
      <c r="A7687"/>
    </row>
    <row r="7688" spans="1:1" x14ac:dyDescent="0.2">
      <c r="A7688"/>
    </row>
    <row r="7689" spans="1:1" x14ac:dyDescent="0.2">
      <c r="A7689"/>
    </row>
    <row r="7690" spans="1:1" x14ac:dyDescent="0.2">
      <c r="A7690"/>
    </row>
    <row r="7691" spans="1:1" x14ac:dyDescent="0.2">
      <c r="A7691"/>
    </row>
    <row r="7692" spans="1:1" x14ac:dyDescent="0.2">
      <c r="A7692"/>
    </row>
    <row r="7693" spans="1:1" x14ac:dyDescent="0.2">
      <c r="A7693"/>
    </row>
    <row r="7694" spans="1:1" x14ac:dyDescent="0.2">
      <c r="A7694"/>
    </row>
    <row r="7695" spans="1:1" x14ac:dyDescent="0.2">
      <c r="A7695"/>
    </row>
    <row r="7696" spans="1:1" x14ac:dyDescent="0.2">
      <c r="A7696"/>
    </row>
    <row r="7697" spans="1:1" x14ac:dyDescent="0.2">
      <c r="A7697"/>
    </row>
    <row r="7698" spans="1:1" x14ac:dyDescent="0.2">
      <c r="A7698"/>
    </row>
    <row r="7699" spans="1:1" x14ac:dyDescent="0.2">
      <c r="A7699"/>
    </row>
    <row r="7700" spans="1:1" x14ac:dyDescent="0.2">
      <c r="A7700"/>
    </row>
    <row r="7701" spans="1:1" x14ac:dyDescent="0.2">
      <c r="A7701"/>
    </row>
    <row r="7702" spans="1:1" x14ac:dyDescent="0.2">
      <c r="A7702"/>
    </row>
    <row r="7703" spans="1:1" x14ac:dyDescent="0.2">
      <c r="A7703"/>
    </row>
    <row r="7704" spans="1:1" x14ac:dyDescent="0.2">
      <c r="A7704"/>
    </row>
    <row r="7705" spans="1:1" x14ac:dyDescent="0.2">
      <c r="A7705"/>
    </row>
    <row r="7706" spans="1:1" x14ac:dyDescent="0.2">
      <c r="A7706"/>
    </row>
    <row r="7707" spans="1:1" x14ac:dyDescent="0.2">
      <c r="A7707"/>
    </row>
    <row r="7708" spans="1:1" x14ac:dyDescent="0.2">
      <c r="A7708"/>
    </row>
    <row r="7709" spans="1:1" x14ac:dyDescent="0.2">
      <c r="A7709"/>
    </row>
    <row r="7710" spans="1:1" x14ac:dyDescent="0.2">
      <c r="A7710"/>
    </row>
    <row r="7711" spans="1:1" x14ac:dyDescent="0.2">
      <c r="A7711"/>
    </row>
    <row r="7712" spans="1:1" x14ac:dyDescent="0.2">
      <c r="A7712"/>
    </row>
    <row r="7713" spans="1:1" x14ac:dyDescent="0.2">
      <c r="A7713"/>
    </row>
    <row r="7714" spans="1:1" x14ac:dyDescent="0.2">
      <c r="A7714"/>
    </row>
    <row r="7715" spans="1:1" x14ac:dyDescent="0.2">
      <c r="A7715"/>
    </row>
    <row r="7716" spans="1:1" x14ac:dyDescent="0.2">
      <c r="A7716"/>
    </row>
    <row r="7717" spans="1:1" x14ac:dyDescent="0.2">
      <c r="A7717"/>
    </row>
    <row r="7718" spans="1:1" x14ac:dyDescent="0.2">
      <c r="A7718"/>
    </row>
    <row r="7719" spans="1:1" x14ac:dyDescent="0.2">
      <c r="A7719"/>
    </row>
    <row r="7720" spans="1:1" x14ac:dyDescent="0.2">
      <c r="A7720"/>
    </row>
    <row r="7721" spans="1:1" x14ac:dyDescent="0.2">
      <c r="A7721"/>
    </row>
    <row r="7722" spans="1:1" x14ac:dyDescent="0.2">
      <c r="A7722"/>
    </row>
    <row r="7723" spans="1:1" x14ac:dyDescent="0.2">
      <c r="A7723"/>
    </row>
    <row r="7724" spans="1:1" x14ac:dyDescent="0.2">
      <c r="A7724"/>
    </row>
    <row r="7725" spans="1:1" x14ac:dyDescent="0.2">
      <c r="A7725"/>
    </row>
    <row r="7726" spans="1:1" x14ac:dyDescent="0.2">
      <c r="A7726"/>
    </row>
    <row r="7727" spans="1:1" x14ac:dyDescent="0.2">
      <c r="A7727"/>
    </row>
    <row r="7728" spans="1:1" x14ac:dyDescent="0.2">
      <c r="A7728"/>
    </row>
    <row r="7729" spans="1:1" x14ac:dyDescent="0.2">
      <c r="A7729"/>
    </row>
    <row r="7730" spans="1:1" x14ac:dyDescent="0.2">
      <c r="A7730"/>
    </row>
    <row r="7731" spans="1:1" x14ac:dyDescent="0.2">
      <c r="A7731"/>
    </row>
    <row r="7732" spans="1:1" x14ac:dyDescent="0.2">
      <c r="A7732"/>
    </row>
    <row r="7733" spans="1:1" x14ac:dyDescent="0.2">
      <c r="A7733"/>
    </row>
    <row r="7734" spans="1:1" x14ac:dyDescent="0.2">
      <c r="A7734"/>
    </row>
    <row r="7735" spans="1:1" x14ac:dyDescent="0.2">
      <c r="A7735"/>
    </row>
    <row r="7736" spans="1:1" x14ac:dyDescent="0.2">
      <c r="A7736"/>
    </row>
    <row r="7737" spans="1:1" x14ac:dyDescent="0.2">
      <c r="A7737"/>
    </row>
    <row r="7738" spans="1:1" x14ac:dyDescent="0.2">
      <c r="A7738"/>
    </row>
    <row r="7739" spans="1:1" x14ac:dyDescent="0.2">
      <c r="A7739"/>
    </row>
    <row r="7740" spans="1:1" x14ac:dyDescent="0.2">
      <c r="A7740"/>
    </row>
    <row r="7741" spans="1:1" x14ac:dyDescent="0.2">
      <c r="A7741"/>
    </row>
    <row r="7742" spans="1:1" x14ac:dyDescent="0.2">
      <c r="A7742"/>
    </row>
    <row r="7743" spans="1:1" x14ac:dyDescent="0.2">
      <c r="A7743"/>
    </row>
    <row r="7744" spans="1:1" x14ac:dyDescent="0.2">
      <c r="A7744"/>
    </row>
    <row r="7745" spans="1:1" x14ac:dyDescent="0.2">
      <c r="A7745"/>
    </row>
    <row r="7746" spans="1:1" x14ac:dyDescent="0.2">
      <c r="A7746"/>
    </row>
    <row r="7747" spans="1:1" x14ac:dyDescent="0.2">
      <c r="A7747"/>
    </row>
    <row r="7748" spans="1:1" x14ac:dyDescent="0.2">
      <c r="A7748"/>
    </row>
    <row r="7749" spans="1:1" x14ac:dyDescent="0.2">
      <c r="A7749"/>
    </row>
    <row r="7750" spans="1:1" x14ac:dyDescent="0.2">
      <c r="A7750"/>
    </row>
    <row r="7751" spans="1:1" x14ac:dyDescent="0.2">
      <c r="A7751"/>
    </row>
    <row r="7752" spans="1:1" x14ac:dyDescent="0.2">
      <c r="A7752"/>
    </row>
    <row r="7753" spans="1:1" x14ac:dyDescent="0.2">
      <c r="A7753"/>
    </row>
    <row r="7754" spans="1:1" x14ac:dyDescent="0.2">
      <c r="A7754"/>
    </row>
    <row r="7755" spans="1:1" x14ac:dyDescent="0.2">
      <c r="A7755"/>
    </row>
    <row r="7756" spans="1:1" x14ac:dyDescent="0.2">
      <c r="A7756"/>
    </row>
    <row r="7757" spans="1:1" x14ac:dyDescent="0.2">
      <c r="A7757"/>
    </row>
    <row r="7758" spans="1:1" x14ac:dyDescent="0.2">
      <c r="A7758"/>
    </row>
    <row r="7759" spans="1:1" x14ac:dyDescent="0.2">
      <c r="A7759"/>
    </row>
    <row r="7760" spans="1:1" x14ac:dyDescent="0.2">
      <c r="A7760"/>
    </row>
    <row r="7761" spans="1:1" x14ac:dyDescent="0.2">
      <c r="A7761"/>
    </row>
    <row r="7762" spans="1:1" x14ac:dyDescent="0.2">
      <c r="A7762"/>
    </row>
    <row r="7763" spans="1:1" x14ac:dyDescent="0.2">
      <c r="A7763"/>
    </row>
    <row r="7764" spans="1:1" x14ac:dyDescent="0.2">
      <c r="A7764"/>
    </row>
    <row r="7765" spans="1:1" x14ac:dyDescent="0.2">
      <c r="A7765"/>
    </row>
    <row r="7766" spans="1:1" x14ac:dyDescent="0.2">
      <c r="A7766"/>
    </row>
    <row r="7767" spans="1:1" x14ac:dyDescent="0.2">
      <c r="A7767"/>
    </row>
    <row r="7768" spans="1:1" x14ac:dyDescent="0.2">
      <c r="A7768"/>
    </row>
    <row r="7769" spans="1:1" x14ac:dyDescent="0.2">
      <c r="A7769"/>
    </row>
    <row r="7770" spans="1:1" x14ac:dyDescent="0.2">
      <c r="A7770"/>
    </row>
    <row r="7771" spans="1:1" x14ac:dyDescent="0.2">
      <c r="A7771"/>
    </row>
    <row r="7772" spans="1:1" x14ac:dyDescent="0.2">
      <c r="A7772"/>
    </row>
    <row r="7773" spans="1:1" x14ac:dyDescent="0.2">
      <c r="A7773"/>
    </row>
    <row r="7774" spans="1:1" x14ac:dyDescent="0.2">
      <c r="A7774"/>
    </row>
    <row r="7775" spans="1:1" x14ac:dyDescent="0.2">
      <c r="A7775"/>
    </row>
    <row r="7776" spans="1:1" x14ac:dyDescent="0.2">
      <c r="A7776"/>
    </row>
    <row r="7777" spans="1:1" x14ac:dyDescent="0.2">
      <c r="A7777"/>
    </row>
    <row r="7778" spans="1:1" x14ac:dyDescent="0.2">
      <c r="A7778"/>
    </row>
    <row r="7779" spans="1:1" x14ac:dyDescent="0.2">
      <c r="A7779"/>
    </row>
    <row r="7780" spans="1:1" x14ac:dyDescent="0.2">
      <c r="A7780"/>
    </row>
    <row r="7781" spans="1:1" x14ac:dyDescent="0.2">
      <c r="A7781"/>
    </row>
    <row r="7782" spans="1:1" x14ac:dyDescent="0.2">
      <c r="A7782"/>
    </row>
    <row r="7783" spans="1:1" x14ac:dyDescent="0.2">
      <c r="A7783"/>
    </row>
    <row r="7784" spans="1:1" x14ac:dyDescent="0.2">
      <c r="A7784"/>
    </row>
    <row r="7785" spans="1:1" x14ac:dyDescent="0.2">
      <c r="A7785"/>
    </row>
    <row r="7786" spans="1:1" x14ac:dyDescent="0.2">
      <c r="A7786"/>
    </row>
    <row r="7787" spans="1:1" x14ac:dyDescent="0.2">
      <c r="A7787"/>
    </row>
    <row r="7788" spans="1:1" x14ac:dyDescent="0.2">
      <c r="A7788"/>
    </row>
    <row r="7789" spans="1:1" x14ac:dyDescent="0.2">
      <c r="A7789"/>
    </row>
    <row r="7790" spans="1:1" x14ac:dyDescent="0.2">
      <c r="A7790"/>
    </row>
    <row r="7791" spans="1:1" x14ac:dyDescent="0.2">
      <c r="A7791"/>
    </row>
    <row r="7792" spans="1:1" x14ac:dyDescent="0.2">
      <c r="A7792"/>
    </row>
    <row r="7793" spans="1:1" x14ac:dyDescent="0.2">
      <c r="A7793"/>
    </row>
    <row r="7794" spans="1:1" x14ac:dyDescent="0.2">
      <c r="A7794"/>
    </row>
    <row r="7795" spans="1:1" x14ac:dyDescent="0.2">
      <c r="A7795"/>
    </row>
    <row r="7796" spans="1:1" x14ac:dyDescent="0.2">
      <c r="A7796"/>
    </row>
    <row r="7797" spans="1:1" x14ac:dyDescent="0.2">
      <c r="A7797"/>
    </row>
    <row r="7798" spans="1:1" x14ac:dyDescent="0.2">
      <c r="A7798"/>
    </row>
    <row r="7799" spans="1:1" x14ac:dyDescent="0.2">
      <c r="A7799"/>
    </row>
    <row r="7800" spans="1:1" x14ac:dyDescent="0.2">
      <c r="A7800"/>
    </row>
    <row r="7801" spans="1:1" x14ac:dyDescent="0.2">
      <c r="A7801"/>
    </row>
    <row r="7802" spans="1:1" x14ac:dyDescent="0.2">
      <c r="A7802"/>
    </row>
    <row r="7803" spans="1:1" x14ac:dyDescent="0.2">
      <c r="A7803"/>
    </row>
    <row r="7804" spans="1:1" x14ac:dyDescent="0.2">
      <c r="A7804"/>
    </row>
    <row r="7805" spans="1:1" x14ac:dyDescent="0.2">
      <c r="A7805"/>
    </row>
    <row r="7806" spans="1:1" x14ac:dyDescent="0.2">
      <c r="A7806"/>
    </row>
    <row r="7807" spans="1:1" x14ac:dyDescent="0.2">
      <c r="A7807"/>
    </row>
    <row r="7808" spans="1:1" x14ac:dyDescent="0.2">
      <c r="A7808"/>
    </row>
    <row r="7809" spans="1:1" x14ac:dyDescent="0.2">
      <c r="A7809"/>
    </row>
    <row r="7810" spans="1:1" x14ac:dyDescent="0.2">
      <c r="A7810"/>
    </row>
    <row r="7811" spans="1:1" x14ac:dyDescent="0.2">
      <c r="A7811"/>
    </row>
    <row r="7812" spans="1:1" x14ac:dyDescent="0.2">
      <c r="A7812"/>
    </row>
    <row r="7813" spans="1:1" x14ac:dyDescent="0.2">
      <c r="A7813"/>
    </row>
    <row r="7814" spans="1:1" x14ac:dyDescent="0.2">
      <c r="A7814"/>
    </row>
    <row r="7815" spans="1:1" x14ac:dyDescent="0.2">
      <c r="A7815"/>
    </row>
    <row r="7816" spans="1:1" x14ac:dyDescent="0.2">
      <c r="A7816"/>
    </row>
    <row r="7817" spans="1:1" x14ac:dyDescent="0.2">
      <c r="A7817"/>
    </row>
    <row r="7818" spans="1:1" x14ac:dyDescent="0.2">
      <c r="A7818"/>
    </row>
    <row r="7819" spans="1:1" x14ac:dyDescent="0.2">
      <c r="A7819"/>
    </row>
    <row r="7820" spans="1:1" x14ac:dyDescent="0.2">
      <c r="A7820"/>
    </row>
    <row r="7821" spans="1:1" x14ac:dyDescent="0.2">
      <c r="A7821"/>
    </row>
    <row r="7822" spans="1:1" x14ac:dyDescent="0.2">
      <c r="A7822"/>
    </row>
    <row r="7823" spans="1:1" x14ac:dyDescent="0.2">
      <c r="A7823"/>
    </row>
    <row r="7824" spans="1:1" x14ac:dyDescent="0.2">
      <c r="A7824"/>
    </row>
    <row r="7825" spans="1:1" x14ac:dyDescent="0.2">
      <c r="A7825"/>
    </row>
    <row r="7826" spans="1:1" x14ac:dyDescent="0.2">
      <c r="A7826"/>
    </row>
    <row r="7827" spans="1:1" x14ac:dyDescent="0.2">
      <c r="A7827"/>
    </row>
    <row r="7828" spans="1:1" x14ac:dyDescent="0.2">
      <c r="A7828"/>
    </row>
    <row r="7829" spans="1:1" x14ac:dyDescent="0.2">
      <c r="A7829"/>
    </row>
    <row r="7830" spans="1:1" x14ac:dyDescent="0.2">
      <c r="A7830"/>
    </row>
    <row r="7831" spans="1:1" x14ac:dyDescent="0.2">
      <c r="A7831"/>
    </row>
    <row r="7832" spans="1:1" x14ac:dyDescent="0.2">
      <c r="A7832"/>
    </row>
    <row r="7833" spans="1:1" x14ac:dyDescent="0.2">
      <c r="A7833"/>
    </row>
    <row r="7834" spans="1:1" x14ac:dyDescent="0.2">
      <c r="A7834"/>
    </row>
    <row r="7835" spans="1:1" x14ac:dyDescent="0.2">
      <c r="A7835"/>
    </row>
    <row r="7836" spans="1:1" x14ac:dyDescent="0.2">
      <c r="A7836"/>
    </row>
    <row r="7837" spans="1:1" x14ac:dyDescent="0.2">
      <c r="A7837"/>
    </row>
    <row r="7838" spans="1:1" x14ac:dyDescent="0.2">
      <c r="A7838"/>
    </row>
    <row r="7839" spans="1:1" x14ac:dyDescent="0.2">
      <c r="A7839"/>
    </row>
    <row r="7840" spans="1:1" x14ac:dyDescent="0.2">
      <c r="A7840"/>
    </row>
    <row r="7841" spans="1:1" x14ac:dyDescent="0.2">
      <c r="A7841"/>
    </row>
    <row r="7842" spans="1:1" x14ac:dyDescent="0.2">
      <c r="A7842"/>
    </row>
    <row r="7843" spans="1:1" x14ac:dyDescent="0.2">
      <c r="A7843"/>
    </row>
    <row r="7844" spans="1:1" x14ac:dyDescent="0.2">
      <c r="A7844"/>
    </row>
    <row r="7845" spans="1:1" x14ac:dyDescent="0.2">
      <c r="A7845"/>
    </row>
    <row r="7846" spans="1:1" x14ac:dyDescent="0.2">
      <c r="A7846"/>
    </row>
    <row r="7847" spans="1:1" x14ac:dyDescent="0.2">
      <c r="A7847"/>
    </row>
    <row r="7848" spans="1:1" x14ac:dyDescent="0.2">
      <c r="A7848"/>
    </row>
    <row r="7849" spans="1:1" x14ac:dyDescent="0.2">
      <c r="A7849"/>
    </row>
    <row r="7850" spans="1:1" x14ac:dyDescent="0.2">
      <c r="A7850"/>
    </row>
    <row r="7851" spans="1:1" x14ac:dyDescent="0.2">
      <c r="A7851"/>
    </row>
    <row r="7852" spans="1:1" x14ac:dyDescent="0.2">
      <c r="A7852"/>
    </row>
    <row r="7853" spans="1:1" x14ac:dyDescent="0.2">
      <c r="A7853"/>
    </row>
    <row r="7854" spans="1:1" x14ac:dyDescent="0.2">
      <c r="A7854"/>
    </row>
    <row r="7855" spans="1:1" x14ac:dyDescent="0.2">
      <c r="A7855"/>
    </row>
    <row r="7856" spans="1:1" x14ac:dyDescent="0.2">
      <c r="A7856"/>
    </row>
    <row r="7857" spans="1:1" x14ac:dyDescent="0.2">
      <c r="A7857"/>
    </row>
    <row r="7858" spans="1:1" x14ac:dyDescent="0.2">
      <c r="A7858"/>
    </row>
    <row r="7859" spans="1:1" x14ac:dyDescent="0.2">
      <c r="A7859"/>
    </row>
    <row r="7860" spans="1:1" x14ac:dyDescent="0.2">
      <c r="A7860"/>
    </row>
    <row r="7861" spans="1:1" x14ac:dyDescent="0.2">
      <c r="A7861"/>
    </row>
    <row r="7862" spans="1:1" x14ac:dyDescent="0.2">
      <c r="A7862"/>
    </row>
    <row r="7863" spans="1:1" x14ac:dyDescent="0.2">
      <c r="A7863"/>
    </row>
    <row r="7864" spans="1:1" x14ac:dyDescent="0.2">
      <c r="A7864"/>
    </row>
    <row r="7865" spans="1:1" x14ac:dyDescent="0.2">
      <c r="A7865"/>
    </row>
    <row r="7866" spans="1:1" x14ac:dyDescent="0.2">
      <c r="A7866"/>
    </row>
    <row r="7867" spans="1:1" x14ac:dyDescent="0.2">
      <c r="A7867"/>
    </row>
    <row r="7868" spans="1:1" x14ac:dyDescent="0.2">
      <c r="A7868"/>
    </row>
    <row r="7869" spans="1:1" x14ac:dyDescent="0.2">
      <c r="A7869"/>
    </row>
    <row r="7870" spans="1:1" x14ac:dyDescent="0.2">
      <c r="A7870"/>
    </row>
    <row r="7871" spans="1:1" x14ac:dyDescent="0.2">
      <c r="A7871"/>
    </row>
    <row r="7872" spans="1:1" x14ac:dyDescent="0.2">
      <c r="A7872"/>
    </row>
    <row r="7873" spans="1:1" x14ac:dyDescent="0.2">
      <c r="A7873"/>
    </row>
    <row r="7874" spans="1:1" x14ac:dyDescent="0.2">
      <c r="A7874"/>
    </row>
    <row r="7875" spans="1:1" x14ac:dyDescent="0.2">
      <c r="A7875"/>
    </row>
    <row r="7876" spans="1:1" x14ac:dyDescent="0.2">
      <c r="A7876"/>
    </row>
    <row r="7877" spans="1:1" x14ac:dyDescent="0.2">
      <c r="A7877"/>
    </row>
    <row r="7878" spans="1:1" x14ac:dyDescent="0.2">
      <c r="A7878"/>
    </row>
    <row r="7879" spans="1:1" x14ac:dyDescent="0.2">
      <c r="A7879"/>
    </row>
    <row r="7880" spans="1:1" x14ac:dyDescent="0.2">
      <c r="A7880"/>
    </row>
    <row r="7881" spans="1:1" x14ac:dyDescent="0.2">
      <c r="A7881"/>
    </row>
    <row r="7882" spans="1:1" x14ac:dyDescent="0.2">
      <c r="A7882"/>
    </row>
    <row r="7883" spans="1:1" x14ac:dyDescent="0.2">
      <c r="A7883"/>
    </row>
    <row r="7884" spans="1:1" x14ac:dyDescent="0.2">
      <c r="A7884"/>
    </row>
    <row r="7885" spans="1:1" x14ac:dyDescent="0.2">
      <c r="A7885"/>
    </row>
    <row r="7886" spans="1:1" x14ac:dyDescent="0.2">
      <c r="A7886"/>
    </row>
    <row r="7887" spans="1:1" x14ac:dyDescent="0.2">
      <c r="A7887"/>
    </row>
    <row r="7888" spans="1:1" x14ac:dyDescent="0.2">
      <c r="A7888"/>
    </row>
    <row r="7889" spans="1:1" x14ac:dyDescent="0.2">
      <c r="A7889"/>
    </row>
    <row r="7890" spans="1:1" x14ac:dyDescent="0.2">
      <c r="A7890"/>
    </row>
    <row r="7891" spans="1:1" x14ac:dyDescent="0.2">
      <c r="A7891"/>
    </row>
    <row r="7892" spans="1:1" x14ac:dyDescent="0.2">
      <c r="A7892"/>
    </row>
    <row r="7893" spans="1:1" x14ac:dyDescent="0.2">
      <c r="A7893"/>
    </row>
    <row r="7894" spans="1:1" x14ac:dyDescent="0.2">
      <c r="A7894"/>
    </row>
    <row r="7895" spans="1:1" x14ac:dyDescent="0.2">
      <c r="A7895"/>
    </row>
    <row r="7896" spans="1:1" x14ac:dyDescent="0.2">
      <c r="A7896"/>
    </row>
    <row r="7897" spans="1:1" x14ac:dyDescent="0.2">
      <c r="A7897"/>
    </row>
    <row r="7898" spans="1:1" x14ac:dyDescent="0.2">
      <c r="A7898"/>
    </row>
    <row r="7899" spans="1:1" x14ac:dyDescent="0.2">
      <c r="A7899"/>
    </row>
    <row r="7900" spans="1:1" x14ac:dyDescent="0.2">
      <c r="A7900"/>
    </row>
    <row r="7901" spans="1:1" x14ac:dyDescent="0.2">
      <c r="A7901"/>
    </row>
    <row r="7902" spans="1:1" x14ac:dyDescent="0.2">
      <c r="A7902"/>
    </row>
    <row r="7903" spans="1:1" x14ac:dyDescent="0.2">
      <c r="A7903"/>
    </row>
    <row r="7904" spans="1:1" x14ac:dyDescent="0.2">
      <c r="A7904"/>
    </row>
    <row r="7905" spans="1:1" x14ac:dyDescent="0.2">
      <c r="A7905"/>
    </row>
    <row r="7906" spans="1:1" x14ac:dyDescent="0.2">
      <c r="A7906"/>
    </row>
    <row r="7907" spans="1:1" x14ac:dyDescent="0.2">
      <c r="A7907"/>
    </row>
    <row r="7908" spans="1:1" x14ac:dyDescent="0.2">
      <c r="A7908"/>
    </row>
    <row r="7909" spans="1:1" x14ac:dyDescent="0.2">
      <c r="A7909"/>
    </row>
    <row r="7910" spans="1:1" x14ac:dyDescent="0.2">
      <c r="A7910"/>
    </row>
    <row r="7911" spans="1:1" x14ac:dyDescent="0.2">
      <c r="A7911"/>
    </row>
    <row r="7912" spans="1:1" x14ac:dyDescent="0.2">
      <c r="A7912"/>
    </row>
    <row r="7913" spans="1:1" x14ac:dyDescent="0.2">
      <c r="A7913"/>
    </row>
    <row r="7914" spans="1:1" x14ac:dyDescent="0.2">
      <c r="A7914"/>
    </row>
    <row r="7915" spans="1:1" x14ac:dyDescent="0.2">
      <c r="A7915"/>
    </row>
    <row r="7916" spans="1:1" x14ac:dyDescent="0.2">
      <c r="A7916"/>
    </row>
    <row r="7917" spans="1:1" x14ac:dyDescent="0.2">
      <c r="A7917"/>
    </row>
    <row r="7918" spans="1:1" x14ac:dyDescent="0.2">
      <c r="A7918"/>
    </row>
    <row r="7919" spans="1:1" x14ac:dyDescent="0.2">
      <c r="A7919"/>
    </row>
  </sheetData>
  <conditionalFormatting sqref="A3:B3 C3:O1000 Q3:AJ1000 A4:A8 B4:B1000">
    <cfRule type="expression" dxfId="10" priority="18">
      <formula>$A3&gt;0</formula>
    </cfRule>
  </conditionalFormatting>
  <conditionalFormatting sqref="AK3:AK1000">
    <cfRule type="expression" dxfId="9" priority="12">
      <formula>$A3&gt;0</formula>
    </cfRule>
  </conditionalFormatting>
  <conditionalFormatting sqref="AK3">
    <cfRule type="expression" dxfId="8" priority="11">
      <formula>$A3&gt;0</formula>
    </cfRule>
  </conditionalFormatting>
  <conditionalFormatting sqref="AK3:AK53">
    <cfRule type="expression" dxfId="7" priority="10">
      <formula>$A3&gt;0</formula>
    </cfRule>
  </conditionalFormatting>
  <conditionalFormatting sqref="AK4:AK6">
    <cfRule type="expression" dxfId="6" priority="9">
      <formula>$A4&gt;0</formula>
    </cfRule>
  </conditionalFormatting>
  <conditionalFormatting sqref="AK7:AK53">
    <cfRule type="expression" dxfId="5" priority="8">
      <formula>$A7&gt;0</formula>
    </cfRule>
  </conditionalFormatting>
  <conditionalFormatting sqref="AK54:AK1000">
    <cfRule type="expression" dxfId="4" priority="7">
      <formula>$A54&gt;0</formula>
    </cfRule>
  </conditionalFormatting>
  <conditionalFormatting sqref="AK54:AK1000">
    <cfRule type="expression" dxfId="3" priority="6">
      <formula>$A54&gt;0</formula>
    </cfRule>
  </conditionalFormatting>
  <conditionalFormatting sqref="AO3">
    <cfRule type="expression" dxfId="2" priority="4">
      <formula>$A3&gt;0</formula>
    </cfRule>
  </conditionalFormatting>
  <conditionalFormatting sqref="P3:P1000">
    <cfRule type="expression" dxfId="1" priority="3">
      <formula>$A3&gt;0</formula>
    </cfRule>
  </conditionalFormatting>
  <conditionalFormatting sqref="AL3:AL1000">
    <cfRule type="expression" dxfId="0" priority="2">
      <formula>$A3&gt;0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1"/>
  <dimension ref="A1:K7918"/>
  <sheetViews>
    <sheetView workbookViewId="0">
      <selection activeCell="J2" sqref="J2"/>
    </sheetView>
  </sheetViews>
  <sheetFormatPr defaultRowHeight="12.75" x14ac:dyDescent="0.2"/>
  <cols>
    <col min="1" max="5" width="15.625" customWidth="1"/>
    <col min="6" max="6" width="20.75" bestFit="1" customWidth="1"/>
    <col min="7" max="9" width="15.625" customWidth="1"/>
    <col min="10" max="10" width="11.75" bestFit="1" customWidth="1"/>
    <col min="11" max="11" width="13.25" bestFit="1" customWidth="1"/>
  </cols>
  <sheetData>
    <row r="1" spans="1:11" s="17" customFormat="1" x14ac:dyDescent="0.2">
      <c r="A1" s="17" t="s">
        <v>21</v>
      </c>
      <c r="B1" s="17" t="s">
        <v>22</v>
      </c>
      <c r="C1" s="17" t="s">
        <v>23</v>
      </c>
      <c r="D1" s="17" t="s">
        <v>24</v>
      </c>
      <c r="E1" s="17" t="s">
        <v>25</v>
      </c>
      <c r="F1" s="17" t="s">
        <v>26</v>
      </c>
      <c r="G1" s="17" t="s">
        <v>27</v>
      </c>
      <c r="H1" s="17" t="s">
        <v>28</v>
      </c>
      <c r="I1" s="17" t="s">
        <v>29</v>
      </c>
      <c r="J1" s="17" t="s">
        <v>119</v>
      </c>
      <c r="K1" s="17" t="s">
        <v>120</v>
      </c>
    </row>
    <row r="2" spans="1:11" x14ac:dyDescent="0.2">
      <c r="G2" s="44"/>
      <c r="J2" t="str">
        <f t="shared" ref="J2:J65" si="0">IF(E2="","",IF(OR(E2=50,E2=51),"Iltindhold",IF(E2=75,"Carbon,org,NVOC",IF(OR(E2=343,E2=1167),"Svovlbrinte",IF(OR(E2=240,E2=241,E2=242),"Amm",IF(E2=244,"Nitrit",IF(E2=247,"Nitrat",IF(E2=334,"Sulfat",IF(E2=262,"Phosphor, total-P",F2)))))))))</f>
        <v/>
      </c>
      <c r="K2" t="str">
        <f t="shared" ref="K2:K65" si="1">IF(A2="","",IF(H2="!",NA(),IF(H2="A",I2*0.5,IF(H2="&lt;",I2*0.5,I2))))</f>
        <v/>
      </c>
    </row>
    <row r="3" spans="1:11" x14ac:dyDescent="0.2">
      <c r="G3" s="44"/>
      <c r="J3" t="str">
        <f t="shared" si="0"/>
        <v/>
      </c>
      <c r="K3" t="str">
        <f t="shared" si="1"/>
        <v/>
      </c>
    </row>
    <row r="4" spans="1:11" x14ac:dyDescent="0.2">
      <c r="G4" s="44"/>
      <c r="J4" t="str">
        <f t="shared" si="0"/>
        <v/>
      </c>
      <c r="K4" t="str">
        <f t="shared" si="1"/>
        <v/>
      </c>
    </row>
    <row r="5" spans="1:11" x14ac:dyDescent="0.2">
      <c r="G5" s="44"/>
      <c r="J5" t="str">
        <f t="shared" si="0"/>
        <v/>
      </c>
      <c r="K5" t="str">
        <f t="shared" si="1"/>
        <v/>
      </c>
    </row>
    <row r="6" spans="1:11" x14ac:dyDescent="0.2">
      <c r="G6" s="44"/>
      <c r="J6" t="str">
        <f t="shared" si="0"/>
        <v/>
      </c>
      <c r="K6" t="str">
        <f t="shared" si="1"/>
        <v/>
      </c>
    </row>
    <row r="7" spans="1:11" x14ac:dyDescent="0.2">
      <c r="G7" s="44"/>
      <c r="J7" t="str">
        <f t="shared" si="0"/>
        <v/>
      </c>
      <c r="K7" t="str">
        <f t="shared" si="1"/>
        <v/>
      </c>
    </row>
    <row r="8" spans="1:11" x14ac:dyDescent="0.2">
      <c r="G8" s="44"/>
      <c r="J8" t="str">
        <f t="shared" si="0"/>
        <v/>
      </c>
      <c r="K8" t="str">
        <f t="shared" si="1"/>
        <v/>
      </c>
    </row>
    <row r="9" spans="1:11" x14ac:dyDescent="0.2">
      <c r="G9" s="44"/>
      <c r="J9" t="str">
        <f t="shared" si="0"/>
        <v/>
      </c>
      <c r="K9" t="str">
        <f t="shared" si="1"/>
        <v/>
      </c>
    </row>
    <row r="10" spans="1:11" x14ac:dyDescent="0.2">
      <c r="G10" s="44"/>
      <c r="J10" t="str">
        <f t="shared" si="0"/>
        <v/>
      </c>
      <c r="K10" t="str">
        <f t="shared" si="1"/>
        <v/>
      </c>
    </row>
    <row r="11" spans="1:11" x14ac:dyDescent="0.2">
      <c r="G11" s="44"/>
      <c r="J11" t="str">
        <f t="shared" si="0"/>
        <v/>
      </c>
      <c r="K11" t="str">
        <f t="shared" si="1"/>
        <v/>
      </c>
    </row>
    <row r="12" spans="1:11" x14ac:dyDescent="0.2">
      <c r="G12" s="44"/>
      <c r="J12" t="str">
        <f t="shared" si="0"/>
        <v/>
      </c>
      <c r="K12" t="str">
        <f t="shared" si="1"/>
        <v/>
      </c>
    </row>
    <row r="13" spans="1:11" x14ac:dyDescent="0.2">
      <c r="G13" s="44"/>
      <c r="J13" t="str">
        <f t="shared" si="0"/>
        <v/>
      </c>
      <c r="K13" t="str">
        <f t="shared" si="1"/>
        <v/>
      </c>
    </row>
    <row r="14" spans="1:11" x14ac:dyDescent="0.2">
      <c r="G14" s="44"/>
      <c r="J14" t="str">
        <f t="shared" si="0"/>
        <v/>
      </c>
      <c r="K14" t="str">
        <f t="shared" si="1"/>
        <v/>
      </c>
    </row>
    <row r="15" spans="1:11" x14ac:dyDescent="0.2">
      <c r="G15" s="44"/>
      <c r="J15" t="str">
        <f t="shared" si="0"/>
        <v/>
      </c>
      <c r="K15" t="str">
        <f t="shared" si="1"/>
        <v/>
      </c>
    </row>
    <row r="16" spans="1:11" x14ac:dyDescent="0.2">
      <c r="G16" s="44"/>
      <c r="J16" t="str">
        <f t="shared" si="0"/>
        <v/>
      </c>
      <c r="K16" t="str">
        <f t="shared" si="1"/>
        <v/>
      </c>
    </row>
    <row r="17" spans="7:11" x14ac:dyDescent="0.2">
      <c r="G17" s="44"/>
      <c r="J17" t="str">
        <f t="shared" si="0"/>
        <v/>
      </c>
      <c r="K17" t="str">
        <f t="shared" si="1"/>
        <v/>
      </c>
    </row>
    <row r="18" spans="7:11" x14ac:dyDescent="0.2">
      <c r="G18" s="44"/>
      <c r="J18" t="str">
        <f t="shared" si="0"/>
        <v/>
      </c>
      <c r="K18" t="str">
        <f t="shared" si="1"/>
        <v/>
      </c>
    </row>
    <row r="19" spans="7:11" x14ac:dyDescent="0.2">
      <c r="G19" s="44"/>
      <c r="J19" t="str">
        <f t="shared" si="0"/>
        <v/>
      </c>
      <c r="K19" t="str">
        <f t="shared" si="1"/>
        <v/>
      </c>
    </row>
    <row r="20" spans="7:11" x14ac:dyDescent="0.2">
      <c r="G20" s="44"/>
      <c r="J20" t="str">
        <f t="shared" si="0"/>
        <v/>
      </c>
      <c r="K20" t="str">
        <f t="shared" si="1"/>
        <v/>
      </c>
    </row>
    <row r="21" spans="7:11" x14ac:dyDescent="0.2">
      <c r="G21" s="44"/>
      <c r="J21" t="str">
        <f t="shared" si="0"/>
        <v/>
      </c>
      <c r="K21" t="str">
        <f t="shared" si="1"/>
        <v/>
      </c>
    </row>
    <row r="22" spans="7:11" x14ac:dyDescent="0.2">
      <c r="G22" s="44"/>
      <c r="J22" t="str">
        <f t="shared" si="0"/>
        <v/>
      </c>
      <c r="K22" t="str">
        <f t="shared" si="1"/>
        <v/>
      </c>
    </row>
    <row r="23" spans="7:11" x14ac:dyDescent="0.2">
      <c r="G23" s="44"/>
      <c r="J23" t="str">
        <f t="shared" si="0"/>
        <v/>
      </c>
      <c r="K23" t="str">
        <f t="shared" si="1"/>
        <v/>
      </c>
    </row>
    <row r="24" spans="7:11" x14ac:dyDescent="0.2">
      <c r="G24" s="44"/>
      <c r="J24" t="str">
        <f t="shared" si="0"/>
        <v/>
      </c>
      <c r="K24" t="str">
        <f t="shared" si="1"/>
        <v/>
      </c>
    </row>
    <row r="25" spans="7:11" x14ac:dyDescent="0.2">
      <c r="G25" s="44"/>
      <c r="J25" t="str">
        <f t="shared" si="0"/>
        <v/>
      </c>
      <c r="K25" t="str">
        <f t="shared" si="1"/>
        <v/>
      </c>
    </row>
    <row r="26" spans="7:11" x14ac:dyDescent="0.2">
      <c r="G26" s="44"/>
      <c r="J26" t="str">
        <f t="shared" si="0"/>
        <v/>
      </c>
      <c r="K26" t="str">
        <f t="shared" si="1"/>
        <v/>
      </c>
    </row>
    <row r="27" spans="7:11" x14ac:dyDescent="0.2">
      <c r="G27" s="44"/>
      <c r="J27" t="str">
        <f t="shared" si="0"/>
        <v/>
      </c>
      <c r="K27" t="str">
        <f t="shared" si="1"/>
        <v/>
      </c>
    </row>
    <row r="28" spans="7:11" x14ac:dyDescent="0.2">
      <c r="G28" s="44"/>
      <c r="J28" t="str">
        <f t="shared" si="0"/>
        <v/>
      </c>
      <c r="K28" t="str">
        <f t="shared" si="1"/>
        <v/>
      </c>
    </row>
    <row r="29" spans="7:11" x14ac:dyDescent="0.2">
      <c r="G29" s="44"/>
      <c r="J29" t="str">
        <f t="shared" si="0"/>
        <v/>
      </c>
      <c r="K29" t="str">
        <f t="shared" si="1"/>
        <v/>
      </c>
    </row>
    <row r="30" spans="7:11" x14ac:dyDescent="0.2">
      <c r="G30" s="44"/>
      <c r="J30" t="str">
        <f t="shared" si="0"/>
        <v/>
      </c>
      <c r="K30" t="str">
        <f t="shared" si="1"/>
        <v/>
      </c>
    </row>
    <row r="31" spans="7:11" x14ac:dyDescent="0.2">
      <c r="G31" s="44"/>
      <c r="J31" t="str">
        <f t="shared" si="0"/>
        <v/>
      </c>
      <c r="K31" t="str">
        <f t="shared" si="1"/>
        <v/>
      </c>
    </row>
    <row r="32" spans="7:11" x14ac:dyDescent="0.2">
      <c r="G32" s="44"/>
      <c r="J32" t="str">
        <f t="shared" si="0"/>
        <v/>
      </c>
      <c r="K32" t="str">
        <f t="shared" si="1"/>
        <v/>
      </c>
    </row>
    <row r="33" spans="7:11" x14ac:dyDescent="0.2">
      <c r="G33" s="44"/>
      <c r="J33" t="str">
        <f t="shared" si="0"/>
        <v/>
      </c>
      <c r="K33" t="str">
        <f t="shared" si="1"/>
        <v/>
      </c>
    </row>
    <row r="34" spans="7:11" x14ac:dyDescent="0.2">
      <c r="G34" s="44"/>
      <c r="J34" t="str">
        <f t="shared" si="0"/>
        <v/>
      </c>
      <c r="K34" t="str">
        <f t="shared" si="1"/>
        <v/>
      </c>
    </row>
    <row r="35" spans="7:11" x14ac:dyDescent="0.2">
      <c r="G35" s="44"/>
      <c r="J35" t="str">
        <f t="shared" si="0"/>
        <v/>
      </c>
      <c r="K35" t="str">
        <f t="shared" si="1"/>
        <v/>
      </c>
    </row>
    <row r="36" spans="7:11" x14ac:dyDescent="0.2">
      <c r="G36" s="44"/>
      <c r="J36" t="str">
        <f t="shared" si="0"/>
        <v/>
      </c>
      <c r="K36" t="str">
        <f t="shared" si="1"/>
        <v/>
      </c>
    </row>
    <row r="37" spans="7:11" x14ac:dyDescent="0.2">
      <c r="G37" s="44"/>
      <c r="J37" t="str">
        <f t="shared" si="0"/>
        <v/>
      </c>
      <c r="K37" t="str">
        <f t="shared" si="1"/>
        <v/>
      </c>
    </row>
    <row r="38" spans="7:11" x14ac:dyDescent="0.2">
      <c r="G38" s="44"/>
      <c r="J38" t="str">
        <f t="shared" si="0"/>
        <v/>
      </c>
      <c r="K38" t="str">
        <f t="shared" si="1"/>
        <v/>
      </c>
    </row>
    <row r="39" spans="7:11" x14ac:dyDescent="0.2">
      <c r="G39" s="44"/>
      <c r="J39" t="str">
        <f t="shared" si="0"/>
        <v/>
      </c>
      <c r="K39" t="str">
        <f t="shared" si="1"/>
        <v/>
      </c>
    </row>
    <row r="40" spans="7:11" x14ac:dyDescent="0.2">
      <c r="G40" s="44"/>
      <c r="J40" t="str">
        <f t="shared" si="0"/>
        <v/>
      </c>
      <c r="K40" t="str">
        <f t="shared" si="1"/>
        <v/>
      </c>
    </row>
    <row r="41" spans="7:11" x14ac:dyDescent="0.2">
      <c r="G41" s="44"/>
      <c r="J41" t="str">
        <f t="shared" si="0"/>
        <v/>
      </c>
      <c r="K41" t="str">
        <f t="shared" si="1"/>
        <v/>
      </c>
    </row>
    <row r="42" spans="7:11" x14ac:dyDescent="0.2">
      <c r="G42" s="44"/>
      <c r="J42" t="str">
        <f t="shared" si="0"/>
        <v/>
      </c>
      <c r="K42" t="str">
        <f t="shared" si="1"/>
        <v/>
      </c>
    </row>
    <row r="43" spans="7:11" x14ac:dyDescent="0.2">
      <c r="G43" s="44"/>
      <c r="J43" t="str">
        <f t="shared" si="0"/>
        <v/>
      </c>
      <c r="K43" t="str">
        <f t="shared" si="1"/>
        <v/>
      </c>
    </row>
    <row r="44" spans="7:11" x14ac:dyDescent="0.2">
      <c r="G44" s="44"/>
      <c r="J44" t="str">
        <f t="shared" si="0"/>
        <v/>
      </c>
      <c r="K44" t="str">
        <f t="shared" si="1"/>
        <v/>
      </c>
    </row>
    <row r="45" spans="7:11" x14ac:dyDescent="0.2">
      <c r="G45" s="44"/>
      <c r="J45" t="str">
        <f t="shared" si="0"/>
        <v/>
      </c>
      <c r="K45" t="str">
        <f t="shared" si="1"/>
        <v/>
      </c>
    </row>
    <row r="46" spans="7:11" x14ac:dyDescent="0.2">
      <c r="G46" s="44"/>
      <c r="J46" t="str">
        <f t="shared" si="0"/>
        <v/>
      </c>
      <c r="K46" t="str">
        <f t="shared" si="1"/>
        <v/>
      </c>
    </row>
    <row r="47" spans="7:11" x14ac:dyDescent="0.2">
      <c r="G47" s="44"/>
      <c r="J47" t="str">
        <f t="shared" si="0"/>
        <v/>
      </c>
      <c r="K47" t="str">
        <f t="shared" si="1"/>
        <v/>
      </c>
    </row>
    <row r="48" spans="7:11" x14ac:dyDescent="0.2">
      <c r="G48" s="44"/>
      <c r="J48" t="str">
        <f t="shared" si="0"/>
        <v/>
      </c>
      <c r="K48" t="str">
        <f t="shared" si="1"/>
        <v/>
      </c>
    </row>
    <row r="49" spans="7:11" x14ac:dyDescent="0.2">
      <c r="G49" s="44"/>
      <c r="J49" t="str">
        <f t="shared" si="0"/>
        <v/>
      </c>
      <c r="K49" t="str">
        <f t="shared" si="1"/>
        <v/>
      </c>
    </row>
    <row r="50" spans="7:11" x14ac:dyDescent="0.2">
      <c r="G50" s="44"/>
      <c r="J50" t="str">
        <f t="shared" si="0"/>
        <v/>
      </c>
      <c r="K50" t="str">
        <f t="shared" si="1"/>
        <v/>
      </c>
    </row>
    <row r="51" spans="7:11" x14ac:dyDescent="0.2">
      <c r="G51" s="44"/>
      <c r="J51" t="str">
        <f t="shared" si="0"/>
        <v/>
      </c>
      <c r="K51" t="str">
        <f t="shared" si="1"/>
        <v/>
      </c>
    </row>
    <row r="52" spans="7:11" x14ac:dyDescent="0.2">
      <c r="G52" s="44"/>
      <c r="J52" t="str">
        <f t="shared" si="0"/>
        <v/>
      </c>
      <c r="K52" t="str">
        <f t="shared" si="1"/>
        <v/>
      </c>
    </row>
    <row r="53" spans="7:11" x14ac:dyDescent="0.2">
      <c r="G53" s="44"/>
      <c r="J53" t="str">
        <f t="shared" si="0"/>
        <v/>
      </c>
      <c r="K53" t="str">
        <f t="shared" si="1"/>
        <v/>
      </c>
    </row>
    <row r="54" spans="7:11" x14ac:dyDescent="0.2">
      <c r="G54" s="44"/>
      <c r="J54" t="str">
        <f t="shared" si="0"/>
        <v/>
      </c>
      <c r="K54" t="str">
        <f t="shared" si="1"/>
        <v/>
      </c>
    </row>
    <row r="55" spans="7:11" x14ac:dyDescent="0.2">
      <c r="G55" s="44"/>
      <c r="J55" t="str">
        <f t="shared" si="0"/>
        <v/>
      </c>
      <c r="K55" t="str">
        <f t="shared" si="1"/>
        <v/>
      </c>
    </row>
    <row r="56" spans="7:11" x14ac:dyDescent="0.2">
      <c r="G56" s="44"/>
      <c r="J56" t="str">
        <f t="shared" si="0"/>
        <v/>
      </c>
      <c r="K56" t="str">
        <f t="shared" si="1"/>
        <v/>
      </c>
    </row>
    <row r="57" spans="7:11" x14ac:dyDescent="0.2">
      <c r="G57" s="44"/>
      <c r="J57" t="str">
        <f t="shared" si="0"/>
        <v/>
      </c>
      <c r="K57" t="str">
        <f t="shared" si="1"/>
        <v/>
      </c>
    </row>
    <row r="58" spans="7:11" x14ac:dyDescent="0.2">
      <c r="G58" s="44"/>
      <c r="J58" t="str">
        <f t="shared" si="0"/>
        <v/>
      </c>
      <c r="K58" t="str">
        <f t="shared" si="1"/>
        <v/>
      </c>
    </row>
    <row r="59" spans="7:11" x14ac:dyDescent="0.2">
      <c r="G59" s="44"/>
      <c r="J59" t="str">
        <f t="shared" si="0"/>
        <v/>
      </c>
      <c r="K59" t="str">
        <f t="shared" si="1"/>
        <v/>
      </c>
    </row>
    <row r="60" spans="7:11" x14ac:dyDescent="0.2">
      <c r="G60" s="44"/>
      <c r="J60" t="str">
        <f t="shared" si="0"/>
        <v/>
      </c>
      <c r="K60" t="str">
        <f t="shared" si="1"/>
        <v/>
      </c>
    </row>
    <row r="61" spans="7:11" x14ac:dyDescent="0.2">
      <c r="G61" s="44"/>
      <c r="J61" t="str">
        <f t="shared" si="0"/>
        <v/>
      </c>
      <c r="K61" t="str">
        <f t="shared" si="1"/>
        <v/>
      </c>
    </row>
    <row r="62" spans="7:11" x14ac:dyDescent="0.2">
      <c r="G62" s="44"/>
      <c r="J62" t="str">
        <f t="shared" si="0"/>
        <v/>
      </c>
      <c r="K62" t="str">
        <f t="shared" si="1"/>
        <v/>
      </c>
    </row>
    <row r="63" spans="7:11" x14ac:dyDescent="0.2">
      <c r="G63" s="44"/>
      <c r="J63" t="str">
        <f t="shared" si="0"/>
        <v/>
      </c>
      <c r="K63" t="str">
        <f t="shared" si="1"/>
        <v/>
      </c>
    </row>
    <row r="64" spans="7:11" x14ac:dyDescent="0.2">
      <c r="G64" s="44"/>
      <c r="J64" t="str">
        <f t="shared" si="0"/>
        <v/>
      </c>
      <c r="K64" t="str">
        <f t="shared" si="1"/>
        <v/>
      </c>
    </row>
    <row r="65" spans="7:11" x14ac:dyDescent="0.2">
      <c r="G65" s="44"/>
      <c r="J65" t="str">
        <f t="shared" si="0"/>
        <v/>
      </c>
      <c r="K65" t="str">
        <f t="shared" si="1"/>
        <v/>
      </c>
    </row>
    <row r="66" spans="7:11" x14ac:dyDescent="0.2">
      <c r="G66" s="44"/>
      <c r="J66" t="str">
        <f t="shared" ref="J66:J129" si="2">IF(E66="","",IF(OR(E66=50,E66=51),"Iltindhold",IF(E66=75,"Carbon,org,NVOC",IF(OR(E66=343,E66=1167),"Svovlbrinte",IF(OR(E66=240,E66=241,E66=242),"Amm",IF(E66=244,"Nitrit",IF(E66=247,"Nitrat",IF(E66=334,"Sulfat",IF(E66=262,"Phosphor, total-P",F66)))))))))</f>
        <v/>
      </c>
      <c r="K66" t="str">
        <f t="shared" ref="K66:K129" si="3">IF(A66="","",IF(H66="!",NA(),IF(H66="A",I66*0.5,IF(H66="&lt;",I66*0.5,I66))))</f>
        <v/>
      </c>
    </row>
    <row r="67" spans="7:11" x14ac:dyDescent="0.2">
      <c r="G67" s="44"/>
      <c r="J67" t="str">
        <f t="shared" si="2"/>
        <v/>
      </c>
      <c r="K67" t="str">
        <f t="shared" si="3"/>
        <v/>
      </c>
    </row>
    <row r="68" spans="7:11" x14ac:dyDescent="0.2">
      <c r="G68" s="44"/>
      <c r="J68" t="str">
        <f t="shared" si="2"/>
        <v/>
      </c>
      <c r="K68" t="str">
        <f t="shared" si="3"/>
        <v/>
      </c>
    </row>
    <row r="69" spans="7:11" x14ac:dyDescent="0.2">
      <c r="G69" s="44"/>
      <c r="J69" t="str">
        <f t="shared" si="2"/>
        <v/>
      </c>
      <c r="K69" t="str">
        <f t="shared" si="3"/>
        <v/>
      </c>
    </row>
    <row r="70" spans="7:11" x14ac:dyDescent="0.2">
      <c r="G70" s="44"/>
      <c r="J70" t="str">
        <f t="shared" si="2"/>
        <v/>
      </c>
      <c r="K70" t="str">
        <f t="shared" si="3"/>
        <v/>
      </c>
    </row>
    <row r="71" spans="7:11" x14ac:dyDescent="0.2">
      <c r="G71" s="44"/>
      <c r="J71" t="str">
        <f t="shared" si="2"/>
        <v/>
      </c>
      <c r="K71" t="str">
        <f t="shared" si="3"/>
        <v/>
      </c>
    </row>
    <row r="72" spans="7:11" x14ac:dyDescent="0.2">
      <c r="G72" s="44"/>
      <c r="J72" t="str">
        <f t="shared" si="2"/>
        <v/>
      </c>
      <c r="K72" t="str">
        <f t="shared" si="3"/>
        <v/>
      </c>
    </row>
    <row r="73" spans="7:11" x14ac:dyDescent="0.2">
      <c r="G73" s="44"/>
      <c r="J73" t="str">
        <f t="shared" si="2"/>
        <v/>
      </c>
      <c r="K73" t="str">
        <f t="shared" si="3"/>
        <v/>
      </c>
    </row>
    <row r="74" spans="7:11" x14ac:dyDescent="0.2">
      <c r="G74" s="44"/>
      <c r="J74" t="str">
        <f t="shared" si="2"/>
        <v/>
      </c>
      <c r="K74" t="str">
        <f t="shared" si="3"/>
        <v/>
      </c>
    </row>
    <row r="75" spans="7:11" x14ac:dyDescent="0.2">
      <c r="G75" s="44"/>
      <c r="J75" t="str">
        <f t="shared" si="2"/>
        <v/>
      </c>
      <c r="K75" t="str">
        <f t="shared" si="3"/>
        <v/>
      </c>
    </row>
    <row r="76" spans="7:11" x14ac:dyDescent="0.2">
      <c r="G76" s="44"/>
      <c r="J76" t="str">
        <f t="shared" si="2"/>
        <v/>
      </c>
      <c r="K76" t="str">
        <f t="shared" si="3"/>
        <v/>
      </c>
    </row>
    <row r="77" spans="7:11" x14ac:dyDescent="0.2">
      <c r="G77" s="44"/>
      <c r="J77" t="str">
        <f t="shared" si="2"/>
        <v/>
      </c>
      <c r="K77" t="str">
        <f t="shared" si="3"/>
        <v/>
      </c>
    </row>
    <row r="78" spans="7:11" x14ac:dyDescent="0.2">
      <c r="G78" s="44"/>
      <c r="J78" t="str">
        <f t="shared" si="2"/>
        <v/>
      </c>
      <c r="K78" t="str">
        <f t="shared" si="3"/>
        <v/>
      </c>
    </row>
    <row r="79" spans="7:11" x14ac:dyDescent="0.2">
      <c r="G79" s="44"/>
      <c r="J79" t="str">
        <f t="shared" si="2"/>
        <v/>
      </c>
      <c r="K79" t="str">
        <f t="shared" si="3"/>
        <v/>
      </c>
    </row>
    <row r="80" spans="7:11" x14ac:dyDescent="0.2">
      <c r="G80" s="44"/>
      <c r="J80" t="str">
        <f t="shared" si="2"/>
        <v/>
      </c>
      <c r="K80" t="str">
        <f t="shared" si="3"/>
        <v/>
      </c>
    </row>
    <row r="81" spans="7:11" x14ac:dyDescent="0.2">
      <c r="G81" s="44"/>
      <c r="J81" t="str">
        <f t="shared" si="2"/>
        <v/>
      </c>
      <c r="K81" t="str">
        <f t="shared" si="3"/>
        <v/>
      </c>
    </row>
    <row r="82" spans="7:11" x14ac:dyDescent="0.2">
      <c r="G82" s="44"/>
      <c r="J82" t="str">
        <f t="shared" si="2"/>
        <v/>
      </c>
      <c r="K82" t="str">
        <f t="shared" si="3"/>
        <v/>
      </c>
    </row>
    <row r="83" spans="7:11" x14ac:dyDescent="0.2">
      <c r="G83" s="44"/>
      <c r="J83" t="str">
        <f t="shared" si="2"/>
        <v/>
      </c>
      <c r="K83" t="str">
        <f t="shared" si="3"/>
        <v/>
      </c>
    </row>
    <row r="84" spans="7:11" x14ac:dyDescent="0.2">
      <c r="G84" s="44"/>
      <c r="J84" t="str">
        <f t="shared" si="2"/>
        <v/>
      </c>
      <c r="K84" t="str">
        <f t="shared" si="3"/>
        <v/>
      </c>
    </row>
    <row r="85" spans="7:11" x14ac:dyDescent="0.2">
      <c r="G85" s="44"/>
      <c r="J85" t="str">
        <f t="shared" si="2"/>
        <v/>
      </c>
      <c r="K85" t="str">
        <f t="shared" si="3"/>
        <v/>
      </c>
    </row>
    <row r="86" spans="7:11" x14ac:dyDescent="0.2">
      <c r="G86" s="44"/>
      <c r="J86" t="str">
        <f t="shared" si="2"/>
        <v/>
      </c>
      <c r="K86" t="str">
        <f t="shared" si="3"/>
        <v/>
      </c>
    </row>
    <row r="87" spans="7:11" x14ac:dyDescent="0.2">
      <c r="G87" s="44"/>
      <c r="J87" t="str">
        <f t="shared" si="2"/>
        <v/>
      </c>
      <c r="K87" t="str">
        <f t="shared" si="3"/>
        <v/>
      </c>
    </row>
    <row r="88" spans="7:11" x14ac:dyDescent="0.2">
      <c r="G88" s="44"/>
      <c r="J88" t="str">
        <f t="shared" si="2"/>
        <v/>
      </c>
      <c r="K88" t="str">
        <f t="shared" si="3"/>
        <v/>
      </c>
    </row>
    <row r="89" spans="7:11" x14ac:dyDescent="0.2">
      <c r="G89" s="44"/>
      <c r="J89" t="str">
        <f t="shared" si="2"/>
        <v/>
      </c>
      <c r="K89" t="str">
        <f t="shared" si="3"/>
        <v/>
      </c>
    </row>
    <row r="90" spans="7:11" x14ac:dyDescent="0.2">
      <c r="G90" s="44"/>
      <c r="J90" t="str">
        <f t="shared" si="2"/>
        <v/>
      </c>
      <c r="K90" t="str">
        <f t="shared" si="3"/>
        <v/>
      </c>
    </row>
    <row r="91" spans="7:11" x14ac:dyDescent="0.2">
      <c r="G91" s="44"/>
      <c r="J91" t="str">
        <f t="shared" si="2"/>
        <v/>
      </c>
      <c r="K91" t="str">
        <f t="shared" si="3"/>
        <v/>
      </c>
    </row>
    <row r="92" spans="7:11" x14ac:dyDescent="0.2">
      <c r="G92" s="44"/>
      <c r="J92" t="str">
        <f t="shared" si="2"/>
        <v/>
      </c>
      <c r="K92" t="str">
        <f t="shared" si="3"/>
        <v/>
      </c>
    </row>
    <row r="93" spans="7:11" x14ac:dyDescent="0.2">
      <c r="G93" s="44"/>
      <c r="J93" t="str">
        <f t="shared" si="2"/>
        <v/>
      </c>
      <c r="K93" t="str">
        <f t="shared" si="3"/>
        <v/>
      </c>
    </row>
    <row r="94" spans="7:11" x14ac:dyDescent="0.2">
      <c r="G94" s="44"/>
      <c r="J94" t="str">
        <f t="shared" si="2"/>
        <v/>
      </c>
      <c r="K94" t="str">
        <f t="shared" si="3"/>
        <v/>
      </c>
    </row>
    <row r="95" spans="7:11" x14ac:dyDescent="0.2">
      <c r="G95" s="44"/>
      <c r="J95" t="str">
        <f t="shared" si="2"/>
        <v/>
      </c>
      <c r="K95" t="str">
        <f t="shared" si="3"/>
        <v/>
      </c>
    </row>
    <row r="96" spans="7:11" x14ac:dyDescent="0.2">
      <c r="G96" s="44"/>
      <c r="J96" t="str">
        <f t="shared" si="2"/>
        <v/>
      </c>
      <c r="K96" t="str">
        <f t="shared" si="3"/>
        <v/>
      </c>
    </row>
    <row r="97" spans="7:11" x14ac:dyDescent="0.2">
      <c r="G97" s="44"/>
      <c r="J97" t="str">
        <f t="shared" si="2"/>
        <v/>
      </c>
      <c r="K97" t="str">
        <f t="shared" si="3"/>
        <v/>
      </c>
    </row>
    <row r="98" spans="7:11" x14ac:dyDescent="0.2">
      <c r="G98" s="44"/>
      <c r="J98" t="str">
        <f t="shared" si="2"/>
        <v/>
      </c>
      <c r="K98" t="str">
        <f t="shared" si="3"/>
        <v/>
      </c>
    </row>
    <row r="99" spans="7:11" x14ac:dyDescent="0.2">
      <c r="G99" s="44"/>
      <c r="J99" t="str">
        <f t="shared" si="2"/>
        <v/>
      </c>
      <c r="K99" t="str">
        <f t="shared" si="3"/>
        <v/>
      </c>
    </row>
    <row r="100" spans="7:11" x14ac:dyDescent="0.2">
      <c r="G100" s="44"/>
      <c r="J100" t="str">
        <f t="shared" si="2"/>
        <v/>
      </c>
      <c r="K100" t="str">
        <f t="shared" si="3"/>
        <v/>
      </c>
    </row>
    <row r="101" spans="7:11" x14ac:dyDescent="0.2">
      <c r="G101" s="44"/>
      <c r="J101" t="str">
        <f t="shared" si="2"/>
        <v/>
      </c>
      <c r="K101" t="str">
        <f t="shared" si="3"/>
        <v/>
      </c>
    </row>
    <row r="102" spans="7:11" x14ac:dyDescent="0.2">
      <c r="G102" s="44"/>
      <c r="J102" t="str">
        <f t="shared" si="2"/>
        <v/>
      </c>
      <c r="K102" t="str">
        <f t="shared" si="3"/>
        <v/>
      </c>
    </row>
    <row r="103" spans="7:11" x14ac:dyDescent="0.2">
      <c r="G103" s="44"/>
      <c r="J103" t="str">
        <f t="shared" si="2"/>
        <v/>
      </c>
      <c r="K103" t="str">
        <f t="shared" si="3"/>
        <v/>
      </c>
    </row>
    <row r="104" spans="7:11" x14ac:dyDescent="0.2">
      <c r="G104" s="44"/>
      <c r="J104" t="str">
        <f t="shared" si="2"/>
        <v/>
      </c>
      <c r="K104" t="str">
        <f t="shared" si="3"/>
        <v/>
      </c>
    </row>
    <row r="105" spans="7:11" x14ac:dyDescent="0.2">
      <c r="G105" s="44"/>
      <c r="J105" t="str">
        <f t="shared" si="2"/>
        <v/>
      </c>
      <c r="K105" t="str">
        <f t="shared" si="3"/>
        <v/>
      </c>
    </row>
    <row r="106" spans="7:11" x14ac:dyDescent="0.2">
      <c r="G106" s="44"/>
      <c r="J106" t="str">
        <f t="shared" si="2"/>
        <v/>
      </c>
      <c r="K106" t="str">
        <f t="shared" si="3"/>
        <v/>
      </c>
    </row>
    <row r="107" spans="7:11" x14ac:dyDescent="0.2">
      <c r="G107" s="44"/>
      <c r="J107" t="str">
        <f t="shared" si="2"/>
        <v/>
      </c>
      <c r="K107" t="str">
        <f t="shared" si="3"/>
        <v/>
      </c>
    </row>
    <row r="108" spans="7:11" x14ac:dyDescent="0.2">
      <c r="G108" s="44"/>
      <c r="J108" t="str">
        <f t="shared" si="2"/>
        <v/>
      </c>
      <c r="K108" t="str">
        <f t="shared" si="3"/>
        <v/>
      </c>
    </row>
    <row r="109" spans="7:11" x14ac:dyDescent="0.2">
      <c r="G109" s="44"/>
      <c r="J109" t="str">
        <f t="shared" si="2"/>
        <v/>
      </c>
      <c r="K109" t="str">
        <f t="shared" si="3"/>
        <v/>
      </c>
    </row>
    <row r="110" spans="7:11" x14ac:dyDescent="0.2">
      <c r="G110" s="44"/>
      <c r="J110" t="str">
        <f t="shared" si="2"/>
        <v/>
      </c>
      <c r="K110" t="str">
        <f t="shared" si="3"/>
        <v/>
      </c>
    </row>
    <row r="111" spans="7:11" x14ac:dyDescent="0.2">
      <c r="G111" s="44"/>
      <c r="J111" t="str">
        <f t="shared" si="2"/>
        <v/>
      </c>
      <c r="K111" t="str">
        <f t="shared" si="3"/>
        <v/>
      </c>
    </row>
    <row r="112" spans="7:11" x14ac:dyDescent="0.2">
      <c r="G112" s="44"/>
      <c r="J112" t="str">
        <f t="shared" si="2"/>
        <v/>
      </c>
      <c r="K112" t="str">
        <f t="shared" si="3"/>
        <v/>
      </c>
    </row>
    <row r="113" spans="7:11" x14ac:dyDescent="0.2">
      <c r="G113" s="44"/>
      <c r="J113" t="str">
        <f t="shared" si="2"/>
        <v/>
      </c>
      <c r="K113" t="str">
        <f t="shared" si="3"/>
        <v/>
      </c>
    </row>
    <row r="114" spans="7:11" x14ac:dyDescent="0.2">
      <c r="G114" s="44"/>
      <c r="J114" t="str">
        <f t="shared" si="2"/>
        <v/>
      </c>
      <c r="K114" t="str">
        <f t="shared" si="3"/>
        <v/>
      </c>
    </row>
    <row r="115" spans="7:11" x14ac:dyDescent="0.2">
      <c r="G115" s="44"/>
      <c r="J115" t="str">
        <f t="shared" si="2"/>
        <v/>
      </c>
      <c r="K115" t="str">
        <f t="shared" si="3"/>
        <v/>
      </c>
    </row>
    <row r="116" spans="7:11" x14ac:dyDescent="0.2">
      <c r="G116" s="44"/>
      <c r="J116" t="str">
        <f t="shared" si="2"/>
        <v/>
      </c>
      <c r="K116" t="str">
        <f t="shared" si="3"/>
        <v/>
      </c>
    </row>
    <row r="117" spans="7:11" x14ac:dyDescent="0.2">
      <c r="G117" s="44"/>
      <c r="J117" t="str">
        <f t="shared" si="2"/>
        <v/>
      </c>
      <c r="K117" t="str">
        <f t="shared" si="3"/>
        <v/>
      </c>
    </row>
    <row r="118" spans="7:11" x14ac:dyDescent="0.2">
      <c r="G118" s="44"/>
      <c r="J118" t="str">
        <f t="shared" si="2"/>
        <v/>
      </c>
      <c r="K118" t="str">
        <f t="shared" si="3"/>
        <v/>
      </c>
    </row>
    <row r="119" spans="7:11" x14ac:dyDescent="0.2">
      <c r="G119" s="44"/>
      <c r="J119" t="str">
        <f t="shared" si="2"/>
        <v/>
      </c>
      <c r="K119" t="str">
        <f t="shared" si="3"/>
        <v/>
      </c>
    </row>
    <row r="120" spans="7:11" x14ac:dyDescent="0.2">
      <c r="G120" s="44"/>
      <c r="J120" t="str">
        <f t="shared" si="2"/>
        <v/>
      </c>
      <c r="K120" t="str">
        <f t="shared" si="3"/>
        <v/>
      </c>
    </row>
    <row r="121" spans="7:11" x14ac:dyDescent="0.2">
      <c r="G121" s="44"/>
      <c r="J121" t="str">
        <f t="shared" si="2"/>
        <v/>
      </c>
      <c r="K121" t="str">
        <f t="shared" si="3"/>
        <v/>
      </c>
    </row>
    <row r="122" spans="7:11" x14ac:dyDescent="0.2">
      <c r="G122" s="44"/>
      <c r="J122" t="str">
        <f t="shared" si="2"/>
        <v/>
      </c>
      <c r="K122" t="str">
        <f t="shared" si="3"/>
        <v/>
      </c>
    </row>
    <row r="123" spans="7:11" x14ac:dyDescent="0.2">
      <c r="G123" s="44"/>
      <c r="J123" t="str">
        <f t="shared" si="2"/>
        <v/>
      </c>
      <c r="K123" t="str">
        <f t="shared" si="3"/>
        <v/>
      </c>
    </row>
    <row r="124" spans="7:11" x14ac:dyDescent="0.2">
      <c r="G124" s="44"/>
      <c r="J124" t="str">
        <f t="shared" si="2"/>
        <v/>
      </c>
      <c r="K124" t="str">
        <f t="shared" si="3"/>
        <v/>
      </c>
    </row>
    <row r="125" spans="7:11" x14ac:dyDescent="0.2">
      <c r="G125" s="44"/>
      <c r="J125" t="str">
        <f t="shared" si="2"/>
        <v/>
      </c>
      <c r="K125" t="str">
        <f t="shared" si="3"/>
        <v/>
      </c>
    </row>
    <row r="126" spans="7:11" x14ac:dyDescent="0.2">
      <c r="G126" s="44"/>
      <c r="J126" t="str">
        <f t="shared" si="2"/>
        <v/>
      </c>
      <c r="K126" t="str">
        <f t="shared" si="3"/>
        <v/>
      </c>
    </row>
    <row r="127" spans="7:11" x14ac:dyDescent="0.2">
      <c r="G127" s="44"/>
      <c r="J127" t="str">
        <f t="shared" si="2"/>
        <v/>
      </c>
      <c r="K127" t="str">
        <f t="shared" si="3"/>
        <v/>
      </c>
    </row>
    <row r="128" spans="7:11" x14ac:dyDescent="0.2">
      <c r="G128" s="44"/>
      <c r="J128" t="str">
        <f t="shared" si="2"/>
        <v/>
      </c>
      <c r="K128" t="str">
        <f t="shared" si="3"/>
        <v/>
      </c>
    </row>
    <row r="129" spans="7:11" x14ac:dyDescent="0.2">
      <c r="G129" s="44"/>
      <c r="J129" t="str">
        <f t="shared" si="2"/>
        <v/>
      </c>
      <c r="K129" t="str">
        <f t="shared" si="3"/>
        <v/>
      </c>
    </row>
    <row r="130" spans="7:11" x14ac:dyDescent="0.2">
      <c r="G130" s="44"/>
      <c r="J130" t="str">
        <f t="shared" ref="J130:J193" si="4">IF(E130="","",IF(OR(E130=50,E130=51),"Iltindhold",IF(E130=75,"Carbon,org,NVOC",IF(OR(E130=343,E130=1167),"Svovlbrinte",IF(OR(E130=240,E130=241,E130=242),"Amm",IF(E130=244,"Nitrit",IF(E130=247,"Nitrat",IF(E130=334,"Sulfat",IF(E130=262,"Phosphor, total-P",F130)))))))))</f>
        <v/>
      </c>
      <c r="K130" t="str">
        <f t="shared" ref="K130:K193" si="5">IF(A130="","",IF(H130="!",NA(),IF(H130="A",I130*0.5,IF(H130="&lt;",I130*0.5,I130))))</f>
        <v/>
      </c>
    </row>
    <row r="131" spans="7:11" x14ac:dyDescent="0.2">
      <c r="G131" s="44"/>
      <c r="J131" t="str">
        <f t="shared" si="4"/>
        <v/>
      </c>
      <c r="K131" t="str">
        <f t="shared" si="5"/>
        <v/>
      </c>
    </row>
    <row r="132" spans="7:11" x14ac:dyDescent="0.2">
      <c r="G132" s="44"/>
      <c r="J132" t="str">
        <f t="shared" si="4"/>
        <v/>
      </c>
      <c r="K132" t="str">
        <f t="shared" si="5"/>
        <v/>
      </c>
    </row>
    <row r="133" spans="7:11" x14ac:dyDescent="0.2">
      <c r="G133" s="44"/>
      <c r="J133" t="str">
        <f t="shared" si="4"/>
        <v/>
      </c>
      <c r="K133" t="str">
        <f t="shared" si="5"/>
        <v/>
      </c>
    </row>
    <row r="134" spans="7:11" x14ac:dyDescent="0.2">
      <c r="G134" s="44"/>
      <c r="J134" t="str">
        <f t="shared" si="4"/>
        <v/>
      </c>
      <c r="K134" t="str">
        <f t="shared" si="5"/>
        <v/>
      </c>
    </row>
    <row r="135" spans="7:11" x14ac:dyDescent="0.2">
      <c r="G135" s="44"/>
      <c r="J135" t="str">
        <f t="shared" si="4"/>
        <v/>
      </c>
      <c r="K135" t="str">
        <f t="shared" si="5"/>
        <v/>
      </c>
    </row>
    <row r="136" spans="7:11" x14ac:dyDescent="0.2">
      <c r="G136" s="44"/>
      <c r="J136" t="str">
        <f t="shared" si="4"/>
        <v/>
      </c>
      <c r="K136" t="str">
        <f t="shared" si="5"/>
        <v/>
      </c>
    </row>
    <row r="137" spans="7:11" x14ac:dyDescent="0.2">
      <c r="G137" s="44"/>
      <c r="J137" t="str">
        <f t="shared" si="4"/>
        <v/>
      </c>
      <c r="K137" t="str">
        <f t="shared" si="5"/>
        <v/>
      </c>
    </row>
    <row r="138" spans="7:11" x14ac:dyDescent="0.2">
      <c r="G138" s="44"/>
      <c r="J138" t="str">
        <f t="shared" si="4"/>
        <v/>
      </c>
      <c r="K138" t="str">
        <f t="shared" si="5"/>
        <v/>
      </c>
    </row>
    <row r="139" spans="7:11" x14ac:dyDescent="0.2">
      <c r="G139" s="44"/>
      <c r="J139" t="str">
        <f t="shared" si="4"/>
        <v/>
      </c>
      <c r="K139" t="str">
        <f t="shared" si="5"/>
        <v/>
      </c>
    </row>
    <row r="140" spans="7:11" x14ac:dyDescent="0.2">
      <c r="G140" s="44"/>
      <c r="J140" t="str">
        <f t="shared" si="4"/>
        <v/>
      </c>
      <c r="K140" t="str">
        <f t="shared" si="5"/>
        <v/>
      </c>
    </row>
    <row r="141" spans="7:11" x14ac:dyDescent="0.2">
      <c r="G141" s="44"/>
      <c r="J141" t="str">
        <f t="shared" si="4"/>
        <v/>
      </c>
      <c r="K141" t="str">
        <f t="shared" si="5"/>
        <v/>
      </c>
    </row>
    <row r="142" spans="7:11" x14ac:dyDescent="0.2">
      <c r="G142" s="44"/>
      <c r="J142" t="str">
        <f t="shared" si="4"/>
        <v/>
      </c>
      <c r="K142" t="str">
        <f t="shared" si="5"/>
        <v/>
      </c>
    </row>
    <row r="143" spans="7:11" x14ac:dyDescent="0.2">
      <c r="G143" s="44"/>
      <c r="J143" t="str">
        <f t="shared" si="4"/>
        <v/>
      </c>
      <c r="K143" t="str">
        <f t="shared" si="5"/>
        <v/>
      </c>
    </row>
    <row r="144" spans="7:11" x14ac:dyDescent="0.2">
      <c r="G144" s="44"/>
      <c r="J144" t="str">
        <f t="shared" si="4"/>
        <v/>
      </c>
      <c r="K144" t="str">
        <f t="shared" si="5"/>
        <v/>
      </c>
    </row>
    <row r="145" spans="7:11" x14ac:dyDescent="0.2">
      <c r="G145" s="44"/>
      <c r="J145" t="str">
        <f t="shared" si="4"/>
        <v/>
      </c>
      <c r="K145" t="str">
        <f t="shared" si="5"/>
        <v/>
      </c>
    </row>
    <row r="146" spans="7:11" x14ac:dyDescent="0.2">
      <c r="G146" s="44"/>
      <c r="J146" t="str">
        <f t="shared" si="4"/>
        <v/>
      </c>
      <c r="K146" t="str">
        <f t="shared" si="5"/>
        <v/>
      </c>
    </row>
    <row r="147" spans="7:11" x14ac:dyDescent="0.2">
      <c r="G147" s="44"/>
      <c r="J147" t="str">
        <f t="shared" si="4"/>
        <v/>
      </c>
      <c r="K147" t="str">
        <f t="shared" si="5"/>
        <v/>
      </c>
    </row>
    <row r="148" spans="7:11" x14ac:dyDescent="0.2">
      <c r="G148" s="44"/>
      <c r="J148" t="str">
        <f t="shared" si="4"/>
        <v/>
      </c>
      <c r="K148" t="str">
        <f t="shared" si="5"/>
        <v/>
      </c>
    </row>
    <row r="149" spans="7:11" x14ac:dyDescent="0.2">
      <c r="G149" s="44"/>
      <c r="J149" t="str">
        <f t="shared" si="4"/>
        <v/>
      </c>
      <c r="K149" t="str">
        <f t="shared" si="5"/>
        <v/>
      </c>
    </row>
    <row r="150" spans="7:11" x14ac:dyDescent="0.2">
      <c r="G150" s="44"/>
      <c r="J150" t="str">
        <f t="shared" si="4"/>
        <v/>
      </c>
      <c r="K150" t="str">
        <f t="shared" si="5"/>
        <v/>
      </c>
    </row>
    <row r="151" spans="7:11" x14ac:dyDescent="0.2">
      <c r="G151" s="44"/>
      <c r="J151" t="str">
        <f t="shared" si="4"/>
        <v/>
      </c>
      <c r="K151" t="str">
        <f t="shared" si="5"/>
        <v/>
      </c>
    </row>
    <row r="152" spans="7:11" x14ac:dyDescent="0.2">
      <c r="G152" s="44"/>
      <c r="J152" t="str">
        <f t="shared" si="4"/>
        <v/>
      </c>
      <c r="K152" t="str">
        <f t="shared" si="5"/>
        <v/>
      </c>
    </row>
    <row r="153" spans="7:11" x14ac:dyDescent="0.2">
      <c r="G153" s="44"/>
      <c r="J153" t="str">
        <f t="shared" si="4"/>
        <v/>
      </c>
      <c r="K153" t="str">
        <f t="shared" si="5"/>
        <v/>
      </c>
    </row>
    <row r="154" spans="7:11" x14ac:dyDescent="0.2">
      <c r="G154" s="44"/>
      <c r="J154" t="str">
        <f t="shared" si="4"/>
        <v/>
      </c>
      <c r="K154" t="str">
        <f t="shared" si="5"/>
        <v/>
      </c>
    </row>
    <row r="155" spans="7:11" x14ac:dyDescent="0.2">
      <c r="G155" s="44"/>
      <c r="J155" t="str">
        <f t="shared" si="4"/>
        <v/>
      </c>
      <c r="K155" t="str">
        <f t="shared" si="5"/>
        <v/>
      </c>
    </row>
    <row r="156" spans="7:11" x14ac:dyDescent="0.2">
      <c r="G156" s="44"/>
      <c r="J156" t="str">
        <f t="shared" si="4"/>
        <v/>
      </c>
      <c r="K156" t="str">
        <f t="shared" si="5"/>
        <v/>
      </c>
    </row>
    <row r="157" spans="7:11" x14ac:dyDescent="0.2">
      <c r="G157" s="44"/>
      <c r="J157" t="str">
        <f t="shared" si="4"/>
        <v/>
      </c>
      <c r="K157" t="str">
        <f t="shared" si="5"/>
        <v/>
      </c>
    </row>
    <row r="158" spans="7:11" x14ac:dyDescent="0.2">
      <c r="G158" s="44"/>
      <c r="J158" t="str">
        <f t="shared" si="4"/>
        <v/>
      </c>
      <c r="K158" t="str">
        <f t="shared" si="5"/>
        <v/>
      </c>
    </row>
    <row r="159" spans="7:11" x14ac:dyDescent="0.2">
      <c r="G159" s="44"/>
      <c r="J159" t="str">
        <f t="shared" si="4"/>
        <v/>
      </c>
      <c r="K159" t="str">
        <f t="shared" si="5"/>
        <v/>
      </c>
    </row>
    <row r="160" spans="7:11" x14ac:dyDescent="0.2">
      <c r="G160" s="44"/>
      <c r="J160" t="str">
        <f t="shared" si="4"/>
        <v/>
      </c>
      <c r="K160" t="str">
        <f t="shared" si="5"/>
        <v/>
      </c>
    </row>
    <row r="161" spans="7:11" x14ac:dyDescent="0.2">
      <c r="G161" s="44"/>
      <c r="J161" t="str">
        <f t="shared" si="4"/>
        <v/>
      </c>
      <c r="K161" t="str">
        <f t="shared" si="5"/>
        <v/>
      </c>
    </row>
    <row r="162" spans="7:11" x14ac:dyDescent="0.2">
      <c r="G162" s="44"/>
      <c r="J162" t="str">
        <f t="shared" si="4"/>
        <v/>
      </c>
      <c r="K162" t="str">
        <f t="shared" si="5"/>
        <v/>
      </c>
    </row>
    <row r="163" spans="7:11" x14ac:dyDescent="0.2">
      <c r="G163" s="44"/>
      <c r="J163" t="str">
        <f t="shared" si="4"/>
        <v/>
      </c>
      <c r="K163" t="str">
        <f t="shared" si="5"/>
        <v/>
      </c>
    </row>
    <row r="164" spans="7:11" x14ac:dyDescent="0.2">
      <c r="G164" s="44"/>
      <c r="J164" t="str">
        <f t="shared" si="4"/>
        <v/>
      </c>
      <c r="K164" t="str">
        <f t="shared" si="5"/>
        <v/>
      </c>
    </row>
    <row r="165" spans="7:11" x14ac:dyDescent="0.2">
      <c r="G165" s="44"/>
      <c r="J165" t="str">
        <f t="shared" si="4"/>
        <v/>
      </c>
      <c r="K165" t="str">
        <f t="shared" si="5"/>
        <v/>
      </c>
    </row>
    <row r="166" spans="7:11" x14ac:dyDescent="0.2">
      <c r="G166" s="44"/>
      <c r="J166" t="str">
        <f t="shared" si="4"/>
        <v/>
      </c>
      <c r="K166" t="str">
        <f t="shared" si="5"/>
        <v/>
      </c>
    </row>
    <row r="167" spans="7:11" x14ac:dyDescent="0.2">
      <c r="G167" s="44"/>
      <c r="J167" t="str">
        <f t="shared" si="4"/>
        <v/>
      </c>
      <c r="K167" t="str">
        <f t="shared" si="5"/>
        <v/>
      </c>
    </row>
    <row r="168" spans="7:11" x14ac:dyDescent="0.2">
      <c r="G168" s="44"/>
      <c r="J168" t="str">
        <f t="shared" si="4"/>
        <v/>
      </c>
      <c r="K168" t="str">
        <f t="shared" si="5"/>
        <v/>
      </c>
    </row>
    <row r="169" spans="7:11" x14ac:dyDescent="0.2">
      <c r="G169" s="44"/>
      <c r="J169" t="str">
        <f t="shared" si="4"/>
        <v/>
      </c>
      <c r="K169" t="str">
        <f t="shared" si="5"/>
        <v/>
      </c>
    </row>
    <row r="170" spans="7:11" x14ac:dyDescent="0.2">
      <c r="G170" s="44"/>
      <c r="J170" t="str">
        <f t="shared" si="4"/>
        <v/>
      </c>
      <c r="K170" t="str">
        <f t="shared" si="5"/>
        <v/>
      </c>
    </row>
    <row r="171" spans="7:11" x14ac:dyDescent="0.2">
      <c r="G171" s="44"/>
      <c r="J171" t="str">
        <f t="shared" si="4"/>
        <v/>
      </c>
      <c r="K171" t="str">
        <f t="shared" si="5"/>
        <v/>
      </c>
    </row>
    <row r="172" spans="7:11" x14ac:dyDescent="0.2">
      <c r="G172" s="44"/>
      <c r="J172" t="str">
        <f t="shared" si="4"/>
        <v/>
      </c>
      <c r="K172" t="str">
        <f t="shared" si="5"/>
        <v/>
      </c>
    </row>
    <row r="173" spans="7:11" x14ac:dyDescent="0.2">
      <c r="G173" s="44"/>
      <c r="J173" t="str">
        <f t="shared" si="4"/>
        <v/>
      </c>
      <c r="K173" t="str">
        <f t="shared" si="5"/>
        <v/>
      </c>
    </row>
    <row r="174" spans="7:11" x14ac:dyDescent="0.2">
      <c r="G174" s="44"/>
      <c r="J174" t="str">
        <f t="shared" si="4"/>
        <v/>
      </c>
      <c r="K174" t="str">
        <f t="shared" si="5"/>
        <v/>
      </c>
    </row>
    <row r="175" spans="7:11" x14ac:dyDescent="0.2">
      <c r="G175" s="44"/>
      <c r="J175" t="str">
        <f t="shared" si="4"/>
        <v/>
      </c>
      <c r="K175" t="str">
        <f t="shared" si="5"/>
        <v/>
      </c>
    </row>
    <row r="176" spans="7:11" x14ac:dyDescent="0.2">
      <c r="G176" s="44"/>
      <c r="J176" t="str">
        <f t="shared" si="4"/>
        <v/>
      </c>
      <c r="K176" t="str">
        <f t="shared" si="5"/>
        <v/>
      </c>
    </row>
    <row r="177" spans="7:11" x14ac:dyDescent="0.2">
      <c r="G177" s="44"/>
      <c r="J177" t="str">
        <f t="shared" si="4"/>
        <v/>
      </c>
      <c r="K177" t="str">
        <f t="shared" si="5"/>
        <v/>
      </c>
    </row>
    <row r="178" spans="7:11" x14ac:dyDescent="0.2">
      <c r="G178" s="44"/>
      <c r="J178" t="str">
        <f t="shared" si="4"/>
        <v/>
      </c>
      <c r="K178" t="str">
        <f t="shared" si="5"/>
        <v/>
      </c>
    </row>
    <row r="179" spans="7:11" x14ac:dyDescent="0.2">
      <c r="G179" s="44"/>
      <c r="J179" t="str">
        <f t="shared" si="4"/>
        <v/>
      </c>
      <c r="K179" t="str">
        <f t="shared" si="5"/>
        <v/>
      </c>
    </row>
    <row r="180" spans="7:11" x14ac:dyDescent="0.2">
      <c r="G180" s="44"/>
      <c r="J180" t="str">
        <f t="shared" si="4"/>
        <v/>
      </c>
      <c r="K180" t="str">
        <f t="shared" si="5"/>
        <v/>
      </c>
    </row>
    <row r="181" spans="7:11" x14ac:dyDescent="0.2">
      <c r="G181" s="44"/>
      <c r="J181" t="str">
        <f t="shared" si="4"/>
        <v/>
      </c>
      <c r="K181" t="str">
        <f t="shared" si="5"/>
        <v/>
      </c>
    </row>
    <row r="182" spans="7:11" x14ac:dyDescent="0.2">
      <c r="G182" s="44"/>
      <c r="J182" t="str">
        <f t="shared" si="4"/>
        <v/>
      </c>
      <c r="K182" t="str">
        <f t="shared" si="5"/>
        <v/>
      </c>
    </row>
    <row r="183" spans="7:11" x14ac:dyDescent="0.2">
      <c r="G183" s="44"/>
      <c r="J183" t="str">
        <f t="shared" si="4"/>
        <v/>
      </c>
      <c r="K183" t="str">
        <f t="shared" si="5"/>
        <v/>
      </c>
    </row>
    <row r="184" spans="7:11" x14ac:dyDescent="0.2">
      <c r="G184" s="44"/>
      <c r="J184" t="str">
        <f t="shared" si="4"/>
        <v/>
      </c>
      <c r="K184" t="str">
        <f t="shared" si="5"/>
        <v/>
      </c>
    </row>
    <row r="185" spans="7:11" x14ac:dyDescent="0.2">
      <c r="G185" s="44"/>
      <c r="J185" t="str">
        <f t="shared" si="4"/>
        <v/>
      </c>
      <c r="K185" t="str">
        <f t="shared" si="5"/>
        <v/>
      </c>
    </row>
    <row r="186" spans="7:11" x14ac:dyDescent="0.2">
      <c r="G186" s="44"/>
      <c r="J186" t="str">
        <f t="shared" si="4"/>
        <v/>
      </c>
      <c r="K186" t="str">
        <f t="shared" si="5"/>
        <v/>
      </c>
    </row>
    <row r="187" spans="7:11" x14ac:dyDescent="0.2">
      <c r="G187" s="44"/>
      <c r="J187" t="str">
        <f t="shared" si="4"/>
        <v/>
      </c>
      <c r="K187" t="str">
        <f t="shared" si="5"/>
        <v/>
      </c>
    </row>
    <row r="188" spans="7:11" x14ac:dyDescent="0.2">
      <c r="G188" s="44"/>
      <c r="J188" t="str">
        <f t="shared" si="4"/>
        <v/>
      </c>
      <c r="K188" t="str">
        <f t="shared" si="5"/>
        <v/>
      </c>
    </row>
    <row r="189" spans="7:11" x14ac:dyDescent="0.2">
      <c r="G189" s="44"/>
      <c r="J189" t="str">
        <f t="shared" si="4"/>
        <v/>
      </c>
      <c r="K189" t="str">
        <f t="shared" si="5"/>
        <v/>
      </c>
    </row>
    <row r="190" spans="7:11" x14ac:dyDescent="0.2">
      <c r="G190" s="44"/>
      <c r="J190" t="str">
        <f t="shared" si="4"/>
        <v/>
      </c>
      <c r="K190" t="str">
        <f t="shared" si="5"/>
        <v/>
      </c>
    </row>
    <row r="191" spans="7:11" x14ac:dyDescent="0.2">
      <c r="G191" s="44"/>
      <c r="J191" t="str">
        <f t="shared" si="4"/>
        <v/>
      </c>
      <c r="K191" t="str">
        <f t="shared" si="5"/>
        <v/>
      </c>
    </row>
    <row r="192" spans="7:11" x14ac:dyDescent="0.2">
      <c r="G192" s="44"/>
      <c r="J192" t="str">
        <f t="shared" si="4"/>
        <v/>
      </c>
      <c r="K192" t="str">
        <f t="shared" si="5"/>
        <v/>
      </c>
    </row>
    <row r="193" spans="7:11" x14ac:dyDescent="0.2">
      <c r="G193" s="44"/>
      <c r="J193" t="str">
        <f t="shared" si="4"/>
        <v/>
      </c>
      <c r="K193" t="str">
        <f t="shared" si="5"/>
        <v/>
      </c>
    </row>
    <row r="194" spans="7:11" x14ac:dyDescent="0.2">
      <c r="G194" s="44"/>
      <c r="J194" t="str">
        <f t="shared" ref="J194:J257" si="6">IF(E194="","",IF(OR(E194=50,E194=51),"Iltindhold",IF(E194=75,"Carbon,org,NVOC",IF(OR(E194=343,E194=1167),"Svovlbrinte",IF(OR(E194=240,E194=241,E194=242),"Amm",IF(E194=244,"Nitrit",IF(E194=247,"Nitrat",IF(E194=334,"Sulfat",IF(E194=262,"Phosphor, total-P",F194)))))))))</f>
        <v/>
      </c>
      <c r="K194" t="str">
        <f t="shared" ref="K194:K257" si="7">IF(A194="","",IF(H194="!",NA(),IF(H194="A",I194*0.5,IF(H194="&lt;",I194*0.5,I194))))</f>
        <v/>
      </c>
    </row>
    <row r="195" spans="7:11" x14ac:dyDescent="0.2">
      <c r="G195" s="44"/>
      <c r="J195" t="str">
        <f t="shared" si="6"/>
        <v/>
      </c>
      <c r="K195" t="str">
        <f t="shared" si="7"/>
        <v/>
      </c>
    </row>
    <row r="196" spans="7:11" x14ac:dyDescent="0.2">
      <c r="G196" s="44"/>
      <c r="J196" t="str">
        <f t="shared" si="6"/>
        <v/>
      </c>
      <c r="K196" t="str">
        <f t="shared" si="7"/>
        <v/>
      </c>
    </row>
    <row r="197" spans="7:11" x14ac:dyDescent="0.2">
      <c r="G197" s="44"/>
      <c r="J197" t="str">
        <f t="shared" si="6"/>
        <v/>
      </c>
      <c r="K197" t="str">
        <f t="shared" si="7"/>
        <v/>
      </c>
    </row>
    <row r="198" spans="7:11" x14ac:dyDescent="0.2">
      <c r="G198" s="44"/>
      <c r="J198" t="str">
        <f t="shared" si="6"/>
        <v/>
      </c>
      <c r="K198" t="str">
        <f t="shared" si="7"/>
        <v/>
      </c>
    </row>
    <row r="199" spans="7:11" x14ac:dyDescent="0.2">
      <c r="G199" s="44"/>
      <c r="J199" t="str">
        <f t="shared" si="6"/>
        <v/>
      </c>
      <c r="K199" t="str">
        <f t="shared" si="7"/>
        <v/>
      </c>
    </row>
    <row r="200" spans="7:11" x14ac:dyDescent="0.2">
      <c r="G200" s="44"/>
      <c r="J200" t="str">
        <f t="shared" si="6"/>
        <v/>
      </c>
      <c r="K200" t="str">
        <f t="shared" si="7"/>
        <v/>
      </c>
    </row>
    <row r="201" spans="7:11" x14ac:dyDescent="0.2">
      <c r="G201" s="44"/>
      <c r="J201" t="str">
        <f t="shared" si="6"/>
        <v/>
      </c>
      <c r="K201" t="str">
        <f t="shared" si="7"/>
        <v/>
      </c>
    </row>
    <row r="202" spans="7:11" x14ac:dyDescent="0.2">
      <c r="G202" s="44"/>
      <c r="J202" t="str">
        <f t="shared" si="6"/>
        <v/>
      </c>
      <c r="K202" t="str">
        <f t="shared" si="7"/>
        <v/>
      </c>
    </row>
    <row r="203" spans="7:11" x14ac:dyDescent="0.2">
      <c r="G203" s="44"/>
      <c r="J203" t="str">
        <f t="shared" si="6"/>
        <v/>
      </c>
      <c r="K203" t="str">
        <f t="shared" si="7"/>
        <v/>
      </c>
    </row>
    <row r="204" spans="7:11" x14ac:dyDescent="0.2">
      <c r="G204" s="44"/>
      <c r="J204" t="str">
        <f t="shared" si="6"/>
        <v/>
      </c>
      <c r="K204" t="str">
        <f t="shared" si="7"/>
        <v/>
      </c>
    </row>
    <row r="205" spans="7:11" x14ac:dyDescent="0.2">
      <c r="G205" s="44"/>
      <c r="J205" t="str">
        <f t="shared" si="6"/>
        <v/>
      </c>
      <c r="K205" t="str">
        <f t="shared" si="7"/>
        <v/>
      </c>
    </row>
    <row r="206" spans="7:11" x14ac:dyDescent="0.2">
      <c r="G206" s="44"/>
      <c r="J206" t="str">
        <f t="shared" si="6"/>
        <v/>
      </c>
      <c r="K206" t="str">
        <f t="shared" si="7"/>
        <v/>
      </c>
    </row>
    <row r="207" spans="7:11" x14ac:dyDescent="0.2">
      <c r="G207" s="44"/>
      <c r="J207" t="str">
        <f t="shared" si="6"/>
        <v/>
      </c>
      <c r="K207" t="str">
        <f t="shared" si="7"/>
        <v/>
      </c>
    </row>
    <row r="208" spans="7:11" x14ac:dyDescent="0.2">
      <c r="G208" s="44"/>
      <c r="J208" t="str">
        <f t="shared" si="6"/>
        <v/>
      </c>
      <c r="K208" t="str">
        <f t="shared" si="7"/>
        <v/>
      </c>
    </row>
    <row r="209" spans="7:11" x14ac:dyDescent="0.2">
      <c r="G209" s="44"/>
      <c r="J209" t="str">
        <f t="shared" si="6"/>
        <v/>
      </c>
      <c r="K209" t="str">
        <f t="shared" si="7"/>
        <v/>
      </c>
    </row>
    <row r="210" spans="7:11" x14ac:dyDescent="0.2">
      <c r="G210" s="44"/>
      <c r="J210" t="str">
        <f t="shared" si="6"/>
        <v/>
      </c>
      <c r="K210" t="str">
        <f t="shared" si="7"/>
        <v/>
      </c>
    </row>
    <row r="211" spans="7:11" x14ac:dyDescent="0.2">
      <c r="G211" s="44"/>
      <c r="J211" t="str">
        <f t="shared" si="6"/>
        <v/>
      </c>
      <c r="K211" t="str">
        <f t="shared" si="7"/>
        <v/>
      </c>
    </row>
    <row r="212" spans="7:11" x14ac:dyDescent="0.2">
      <c r="G212" s="44"/>
      <c r="J212" t="str">
        <f t="shared" si="6"/>
        <v/>
      </c>
      <c r="K212" t="str">
        <f t="shared" si="7"/>
        <v/>
      </c>
    </row>
    <row r="213" spans="7:11" x14ac:dyDescent="0.2">
      <c r="G213" s="44"/>
      <c r="J213" t="str">
        <f t="shared" si="6"/>
        <v/>
      </c>
      <c r="K213" t="str">
        <f t="shared" si="7"/>
        <v/>
      </c>
    </row>
    <row r="214" spans="7:11" x14ac:dyDescent="0.2">
      <c r="G214" s="44"/>
      <c r="J214" t="str">
        <f t="shared" si="6"/>
        <v/>
      </c>
      <c r="K214" t="str">
        <f t="shared" si="7"/>
        <v/>
      </c>
    </row>
    <row r="215" spans="7:11" x14ac:dyDescent="0.2">
      <c r="G215" s="44"/>
      <c r="J215" t="str">
        <f t="shared" si="6"/>
        <v/>
      </c>
      <c r="K215" t="str">
        <f t="shared" si="7"/>
        <v/>
      </c>
    </row>
    <row r="216" spans="7:11" x14ac:dyDescent="0.2">
      <c r="G216" s="44"/>
      <c r="J216" t="str">
        <f t="shared" si="6"/>
        <v/>
      </c>
      <c r="K216" t="str">
        <f t="shared" si="7"/>
        <v/>
      </c>
    </row>
    <row r="217" spans="7:11" x14ac:dyDescent="0.2">
      <c r="G217" s="44"/>
      <c r="J217" t="str">
        <f t="shared" si="6"/>
        <v/>
      </c>
      <c r="K217" t="str">
        <f t="shared" si="7"/>
        <v/>
      </c>
    </row>
    <row r="218" spans="7:11" x14ac:dyDescent="0.2">
      <c r="G218" s="44"/>
      <c r="J218" t="str">
        <f t="shared" si="6"/>
        <v/>
      </c>
      <c r="K218" t="str">
        <f t="shared" si="7"/>
        <v/>
      </c>
    </row>
    <row r="219" spans="7:11" x14ac:dyDescent="0.2">
      <c r="G219" s="44"/>
      <c r="J219" t="str">
        <f t="shared" si="6"/>
        <v/>
      </c>
      <c r="K219" t="str">
        <f t="shared" si="7"/>
        <v/>
      </c>
    </row>
    <row r="220" spans="7:11" x14ac:dyDescent="0.2">
      <c r="G220" s="44"/>
      <c r="J220" t="str">
        <f t="shared" si="6"/>
        <v/>
      </c>
      <c r="K220" t="str">
        <f t="shared" si="7"/>
        <v/>
      </c>
    </row>
    <row r="221" spans="7:11" x14ac:dyDescent="0.2">
      <c r="G221" s="44"/>
      <c r="J221" t="str">
        <f t="shared" si="6"/>
        <v/>
      </c>
      <c r="K221" t="str">
        <f t="shared" si="7"/>
        <v/>
      </c>
    </row>
    <row r="222" spans="7:11" x14ac:dyDescent="0.2">
      <c r="G222" s="44"/>
      <c r="J222" t="str">
        <f t="shared" si="6"/>
        <v/>
      </c>
      <c r="K222" t="str">
        <f t="shared" si="7"/>
        <v/>
      </c>
    </row>
    <row r="223" spans="7:11" x14ac:dyDescent="0.2">
      <c r="G223" s="44"/>
      <c r="J223" t="str">
        <f t="shared" si="6"/>
        <v/>
      </c>
      <c r="K223" t="str">
        <f t="shared" si="7"/>
        <v/>
      </c>
    </row>
    <row r="224" spans="7:11" x14ac:dyDescent="0.2">
      <c r="G224" s="44"/>
      <c r="J224" t="str">
        <f t="shared" si="6"/>
        <v/>
      </c>
      <c r="K224" t="str">
        <f t="shared" si="7"/>
        <v/>
      </c>
    </row>
    <row r="225" spans="7:11" x14ac:dyDescent="0.2">
      <c r="G225" s="44"/>
      <c r="J225" t="str">
        <f t="shared" si="6"/>
        <v/>
      </c>
      <c r="K225" t="str">
        <f t="shared" si="7"/>
        <v/>
      </c>
    </row>
    <row r="226" spans="7:11" x14ac:dyDescent="0.2">
      <c r="G226" s="44"/>
      <c r="J226" t="str">
        <f t="shared" si="6"/>
        <v/>
      </c>
      <c r="K226" t="str">
        <f t="shared" si="7"/>
        <v/>
      </c>
    </row>
    <row r="227" spans="7:11" x14ac:dyDescent="0.2">
      <c r="G227" s="44"/>
      <c r="J227" t="str">
        <f t="shared" si="6"/>
        <v/>
      </c>
      <c r="K227" t="str">
        <f t="shared" si="7"/>
        <v/>
      </c>
    </row>
    <row r="228" spans="7:11" x14ac:dyDescent="0.2">
      <c r="G228" s="44"/>
      <c r="J228" t="str">
        <f t="shared" si="6"/>
        <v/>
      </c>
      <c r="K228" t="str">
        <f t="shared" si="7"/>
        <v/>
      </c>
    </row>
    <row r="229" spans="7:11" x14ac:dyDescent="0.2">
      <c r="G229" s="44"/>
      <c r="J229" t="str">
        <f t="shared" si="6"/>
        <v/>
      </c>
      <c r="K229" t="str">
        <f t="shared" si="7"/>
        <v/>
      </c>
    </row>
    <row r="230" spans="7:11" x14ac:dyDescent="0.2">
      <c r="G230" s="44"/>
      <c r="J230" t="str">
        <f t="shared" si="6"/>
        <v/>
      </c>
      <c r="K230" t="str">
        <f t="shared" si="7"/>
        <v/>
      </c>
    </row>
    <row r="231" spans="7:11" x14ac:dyDescent="0.2">
      <c r="G231" s="44"/>
      <c r="J231" t="str">
        <f t="shared" si="6"/>
        <v/>
      </c>
      <c r="K231" t="str">
        <f t="shared" si="7"/>
        <v/>
      </c>
    </row>
    <row r="232" spans="7:11" x14ac:dyDescent="0.2">
      <c r="G232" s="44"/>
      <c r="J232" t="str">
        <f t="shared" si="6"/>
        <v/>
      </c>
      <c r="K232" t="str">
        <f t="shared" si="7"/>
        <v/>
      </c>
    </row>
    <row r="233" spans="7:11" x14ac:dyDescent="0.2">
      <c r="G233" s="44"/>
      <c r="J233" t="str">
        <f t="shared" si="6"/>
        <v/>
      </c>
      <c r="K233" t="str">
        <f t="shared" si="7"/>
        <v/>
      </c>
    </row>
    <row r="234" spans="7:11" x14ac:dyDescent="0.2">
      <c r="G234" s="44"/>
      <c r="J234" t="str">
        <f t="shared" si="6"/>
        <v/>
      </c>
      <c r="K234" t="str">
        <f t="shared" si="7"/>
        <v/>
      </c>
    </row>
    <row r="235" spans="7:11" x14ac:dyDescent="0.2">
      <c r="G235" s="44"/>
      <c r="J235" t="str">
        <f t="shared" si="6"/>
        <v/>
      </c>
      <c r="K235" t="str">
        <f t="shared" si="7"/>
        <v/>
      </c>
    </row>
    <row r="236" spans="7:11" x14ac:dyDescent="0.2">
      <c r="G236" s="44"/>
      <c r="J236" t="str">
        <f t="shared" si="6"/>
        <v/>
      </c>
      <c r="K236" t="str">
        <f t="shared" si="7"/>
        <v/>
      </c>
    </row>
    <row r="237" spans="7:11" x14ac:dyDescent="0.2">
      <c r="G237" s="44"/>
      <c r="J237" t="str">
        <f t="shared" si="6"/>
        <v/>
      </c>
      <c r="K237" t="str">
        <f t="shared" si="7"/>
        <v/>
      </c>
    </row>
    <row r="238" spans="7:11" x14ac:dyDescent="0.2">
      <c r="G238" s="44"/>
      <c r="J238" t="str">
        <f t="shared" si="6"/>
        <v/>
      </c>
      <c r="K238" t="str">
        <f t="shared" si="7"/>
        <v/>
      </c>
    </row>
    <row r="239" spans="7:11" x14ac:dyDescent="0.2">
      <c r="G239" s="44"/>
      <c r="J239" t="str">
        <f t="shared" si="6"/>
        <v/>
      </c>
      <c r="K239" t="str">
        <f t="shared" si="7"/>
        <v/>
      </c>
    </row>
    <row r="240" spans="7:11" x14ac:dyDescent="0.2">
      <c r="G240" s="44"/>
      <c r="J240" t="str">
        <f t="shared" si="6"/>
        <v/>
      </c>
      <c r="K240" t="str">
        <f t="shared" si="7"/>
        <v/>
      </c>
    </row>
    <row r="241" spans="7:11" x14ac:dyDescent="0.2">
      <c r="G241" s="44"/>
      <c r="J241" t="str">
        <f t="shared" si="6"/>
        <v/>
      </c>
      <c r="K241" t="str">
        <f t="shared" si="7"/>
        <v/>
      </c>
    </row>
    <row r="242" spans="7:11" x14ac:dyDescent="0.2">
      <c r="G242" s="44"/>
      <c r="J242" t="str">
        <f t="shared" si="6"/>
        <v/>
      </c>
      <c r="K242" t="str">
        <f t="shared" si="7"/>
        <v/>
      </c>
    </row>
    <row r="243" spans="7:11" x14ac:dyDescent="0.2">
      <c r="G243" s="44"/>
      <c r="J243" t="str">
        <f t="shared" si="6"/>
        <v/>
      </c>
      <c r="K243" t="str">
        <f t="shared" si="7"/>
        <v/>
      </c>
    </row>
    <row r="244" spans="7:11" x14ac:dyDescent="0.2">
      <c r="G244" s="44"/>
      <c r="J244" t="str">
        <f t="shared" si="6"/>
        <v/>
      </c>
      <c r="K244" t="str">
        <f t="shared" si="7"/>
        <v/>
      </c>
    </row>
    <row r="245" spans="7:11" x14ac:dyDescent="0.2">
      <c r="G245" s="44"/>
      <c r="J245" t="str">
        <f t="shared" si="6"/>
        <v/>
      </c>
      <c r="K245" t="str">
        <f t="shared" si="7"/>
        <v/>
      </c>
    </row>
    <row r="246" spans="7:11" x14ac:dyDescent="0.2">
      <c r="G246" s="44"/>
      <c r="J246" t="str">
        <f t="shared" si="6"/>
        <v/>
      </c>
      <c r="K246" t="str">
        <f t="shared" si="7"/>
        <v/>
      </c>
    </row>
    <row r="247" spans="7:11" x14ac:dyDescent="0.2">
      <c r="G247" s="44"/>
      <c r="J247" t="str">
        <f t="shared" si="6"/>
        <v/>
      </c>
      <c r="K247" t="str">
        <f t="shared" si="7"/>
        <v/>
      </c>
    </row>
    <row r="248" spans="7:11" x14ac:dyDescent="0.2">
      <c r="G248" s="44"/>
      <c r="J248" t="str">
        <f t="shared" si="6"/>
        <v/>
      </c>
      <c r="K248" t="str">
        <f t="shared" si="7"/>
        <v/>
      </c>
    </row>
    <row r="249" spans="7:11" x14ac:dyDescent="0.2">
      <c r="G249" s="44"/>
      <c r="J249" t="str">
        <f t="shared" si="6"/>
        <v/>
      </c>
      <c r="K249" t="str">
        <f t="shared" si="7"/>
        <v/>
      </c>
    </row>
    <row r="250" spans="7:11" x14ac:dyDescent="0.2">
      <c r="G250" s="44"/>
      <c r="J250" t="str">
        <f t="shared" si="6"/>
        <v/>
      </c>
      <c r="K250" t="str">
        <f t="shared" si="7"/>
        <v/>
      </c>
    </row>
    <row r="251" spans="7:11" x14ac:dyDescent="0.2">
      <c r="G251" s="44"/>
      <c r="J251" t="str">
        <f t="shared" si="6"/>
        <v/>
      </c>
      <c r="K251" t="str">
        <f t="shared" si="7"/>
        <v/>
      </c>
    </row>
    <row r="252" spans="7:11" x14ac:dyDescent="0.2">
      <c r="G252" s="44"/>
      <c r="J252" t="str">
        <f t="shared" si="6"/>
        <v/>
      </c>
      <c r="K252" t="str">
        <f t="shared" si="7"/>
        <v/>
      </c>
    </row>
    <row r="253" spans="7:11" x14ac:dyDescent="0.2">
      <c r="G253" s="44"/>
      <c r="J253" t="str">
        <f t="shared" si="6"/>
        <v/>
      </c>
      <c r="K253" t="str">
        <f t="shared" si="7"/>
        <v/>
      </c>
    </row>
    <row r="254" spans="7:11" x14ac:dyDescent="0.2">
      <c r="G254" s="44"/>
      <c r="J254" t="str">
        <f t="shared" si="6"/>
        <v/>
      </c>
      <c r="K254" t="str">
        <f t="shared" si="7"/>
        <v/>
      </c>
    </row>
    <row r="255" spans="7:11" x14ac:dyDescent="0.2">
      <c r="G255" s="44"/>
      <c r="J255" t="str">
        <f t="shared" si="6"/>
        <v/>
      </c>
      <c r="K255" t="str">
        <f t="shared" si="7"/>
        <v/>
      </c>
    </row>
    <row r="256" spans="7:11" x14ac:dyDescent="0.2">
      <c r="G256" s="44"/>
      <c r="J256" t="str">
        <f t="shared" si="6"/>
        <v/>
      </c>
      <c r="K256" t="str">
        <f t="shared" si="7"/>
        <v/>
      </c>
    </row>
    <row r="257" spans="7:11" x14ac:dyDescent="0.2">
      <c r="G257" s="44"/>
      <c r="J257" t="str">
        <f t="shared" si="6"/>
        <v/>
      </c>
      <c r="K257" t="str">
        <f t="shared" si="7"/>
        <v/>
      </c>
    </row>
    <row r="258" spans="7:11" x14ac:dyDescent="0.2">
      <c r="G258" s="44"/>
      <c r="J258" t="str">
        <f t="shared" ref="J258:J321" si="8">IF(E258="","",IF(OR(E258=50,E258=51),"Iltindhold",IF(E258=75,"Carbon,org,NVOC",IF(OR(E258=343,E258=1167),"Svovlbrinte",IF(OR(E258=240,E258=241,E258=242),"Amm",IF(E258=244,"Nitrit",IF(E258=247,"Nitrat",IF(E258=334,"Sulfat",IF(E258=262,"Phosphor, total-P",F258)))))))))</f>
        <v/>
      </c>
      <c r="K258" t="str">
        <f t="shared" ref="K258:K321" si="9">IF(A258="","",IF(H258="!",NA(),IF(H258="A",I258*0.5,IF(H258="&lt;",I258*0.5,I258))))</f>
        <v/>
      </c>
    </row>
    <row r="259" spans="7:11" x14ac:dyDescent="0.2">
      <c r="G259" s="44"/>
      <c r="J259" t="str">
        <f t="shared" si="8"/>
        <v/>
      </c>
      <c r="K259" t="str">
        <f t="shared" si="9"/>
        <v/>
      </c>
    </row>
    <row r="260" spans="7:11" x14ac:dyDescent="0.2">
      <c r="G260" s="44"/>
      <c r="J260" t="str">
        <f t="shared" si="8"/>
        <v/>
      </c>
      <c r="K260" t="str">
        <f t="shared" si="9"/>
        <v/>
      </c>
    </row>
    <row r="261" spans="7:11" x14ac:dyDescent="0.2">
      <c r="G261" s="44"/>
      <c r="J261" t="str">
        <f t="shared" si="8"/>
        <v/>
      </c>
      <c r="K261" t="str">
        <f t="shared" si="9"/>
        <v/>
      </c>
    </row>
    <row r="262" spans="7:11" x14ac:dyDescent="0.2">
      <c r="G262" s="44"/>
      <c r="J262" t="str">
        <f t="shared" si="8"/>
        <v/>
      </c>
      <c r="K262" t="str">
        <f t="shared" si="9"/>
        <v/>
      </c>
    </row>
    <row r="263" spans="7:11" x14ac:dyDescent="0.2">
      <c r="G263" s="44"/>
      <c r="J263" t="str">
        <f t="shared" si="8"/>
        <v/>
      </c>
      <c r="K263" t="str">
        <f t="shared" si="9"/>
        <v/>
      </c>
    </row>
    <row r="264" spans="7:11" x14ac:dyDescent="0.2">
      <c r="G264" s="44"/>
      <c r="J264" t="str">
        <f t="shared" si="8"/>
        <v/>
      </c>
      <c r="K264" t="str">
        <f t="shared" si="9"/>
        <v/>
      </c>
    </row>
    <row r="265" spans="7:11" x14ac:dyDescent="0.2">
      <c r="G265" s="44"/>
      <c r="J265" t="str">
        <f t="shared" si="8"/>
        <v/>
      </c>
      <c r="K265" t="str">
        <f t="shared" si="9"/>
        <v/>
      </c>
    </row>
    <row r="266" spans="7:11" x14ac:dyDescent="0.2">
      <c r="G266" s="44"/>
      <c r="J266" t="str">
        <f t="shared" si="8"/>
        <v/>
      </c>
      <c r="K266" t="str">
        <f t="shared" si="9"/>
        <v/>
      </c>
    </row>
    <row r="267" spans="7:11" x14ac:dyDescent="0.2">
      <c r="G267" s="44"/>
      <c r="J267" t="str">
        <f t="shared" si="8"/>
        <v/>
      </c>
      <c r="K267" t="str">
        <f t="shared" si="9"/>
        <v/>
      </c>
    </row>
    <row r="268" spans="7:11" x14ac:dyDescent="0.2">
      <c r="G268" s="44"/>
      <c r="J268" t="str">
        <f t="shared" si="8"/>
        <v/>
      </c>
      <c r="K268" t="str">
        <f t="shared" si="9"/>
        <v/>
      </c>
    </row>
    <row r="269" spans="7:11" x14ac:dyDescent="0.2">
      <c r="G269" s="44"/>
      <c r="J269" t="str">
        <f t="shared" si="8"/>
        <v/>
      </c>
      <c r="K269" t="str">
        <f t="shared" si="9"/>
        <v/>
      </c>
    </row>
    <row r="270" spans="7:11" x14ac:dyDescent="0.2">
      <c r="G270" s="44"/>
      <c r="J270" t="str">
        <f t="shared" si="8"/>
        <v/>
      </c>
      <c r="K270" t="str">
        <f t="shared" si="9"/>
        <v/>
      </c>
    </row>
    <row r="271" spans="7:11" x14ac:dyDescent="0.2">
      <c r="G271" s="44"/>
      <c r="J271" t="str">
        <f t="shared" si="8"/>
        <v/>
      </c>
      <c r="K271" t="str">
        <f t="shared" si="9"/>
        <v/>
      </c>
    </row>
    <row r="272" spans="7:11" x14ac:dyDescent="0.2">
      <c r="G272" s="44"/>
      <c r="J272" t="str">
        <f t="shared" si="8"/>
        <v/>
      </c>
      <c r="K272" t="str">
        <f t="shared" si="9"/>
        <v/>
      </c>
    </row>
    <row r="273" spans="7:11" x14ac:dyDescent="0.2">
      <c r="G273" s="44"/>
      <c r="J273" t="str">
        <f t="shared" si="8"/>
        <v/>
      </c>
      <c r="K273" t="str">
        <f t="shared" si="9"/>
        <v/>
      </c>
    </row>
    <row r="274" spans="7:11" x14ac:dyDescent="0.2">
      <c r="G274" s="44"/>
      <c r="J274" t="str">
        <f t="shared" si="8"/>
        <v/>
      </c>
      <c r="K274" t="str">
        <f t="shared" si="9"/>
        <v/>
      </c>
    </row>
    <row r="275" spans="7:11" x14ac:dyDescent="0.2">
      <c r="G275" s="44"/>
      <c r="J275" t="str">
        <f t="shared" si="8"/>
        <v/>
      </c>
      <c r="K275" t="str">
        <f t="shared" si="9"/>
        <v/>
      </c>
    </row>
    <row r="276" spans="7:11" x14ac:dyDescent="0.2">
      <c r="G276" s="44"/>
      <c r="J276" t="str">
        <f t="shared" si="8"/>
        <v/>
      </c>
      <c r="K276" t="str">
        <f t="shared" si="9"/>
        <v/>
      </c>
    </row>
    <row r="277" spans="7:11" x14ac:dyDescent="0.2">
      <c r="G277" s="44"/>
      <c r="J277" t="str">
        <f t="shared" si="8"/>
        <v/>
      </c>
      <c r="K277" t="str">
        <f t="shared" si="9"/>
        <v/>
      </c>
    </row>
    <row r="278" spans="7:11" x14ac:dyDescent="0.2">
      <c r="G278" s="44"/>
      <c r="J278" t="str">
        <f t="shared" si="8"/>
        <v/>
      </c>
      <c r="K278" t="str">
        <f t="shared" si="9"/>
        <v/>
      </c>
    </row>
    <row r="279" spans="7:11" x14ac:dyDescent="0.2">
      <c r="G279" s="44"/>
      <c r="J279" t="str">
        <f t="shared" si="8"/>
        <v/>
      </c>
      <c r="K279" t="str">
        <f t="shared" si="9"/>
        <v/>
      </c>
    </row>
    <row r="280" spans="7:11" x14ac:dyDescent="0.2">
      <c r="G280" s="44"/>
      <c r="J280" t="str">
        <f t="shared" si="8"/>
        <v/>
      </c>
      <c r="K280" t="str">
        <f t="shared" si="9"/>
        <v/>
      </c>
    </row>
    <row r="281" spans="7:11" x14ac:dyDescent="0.2">
      <c r="G281" s="44"/>
      <c r="J281" t="str">
        <f t="shared" si="8"/>
        <v/>
      </c>
      <c r="K281" t="str">
        <f t="shared" si="9"/>
        <v/>
      </c>
    </row>
    <row r="282" spans="7:11" x14ac:dyDescent="0.2">
      <c r="G282" s="44"/>
      <c r="J282" t="str">
        <f t="shared" si="8"/>
        <v/>
      </c>
      <c r="K282" t="str">
        <f t="shared" si="9"/>
        <v/>
      </c>
    </row>
    <row r="283" spans="7:11" x14ac:dyDescent="0.2">
      <c r="G283" s="44"/>
      <c r="J283" t="str">
        <f t="shared" si="8"/>
        <v/>
      </c>
      <c r="K283" t="str">
        <f t="shared" si="9"/>
        <v/>
      </c>
    </row>
    <row r="284" spans="7:11" x14ac:dyDescent="0.2">
      <c r="G284" s="44"/>
      <c r="J284" t="str">
        <f t="shared" si="8"/>
        <v/>
      </c>
      <c r="K284" t="str">
        <f t="shared" si="9"/>
        <v/>
      </c>
    </row>
    <row r="285" spans="7:11" x14ac:dyDescent="0.2">
      <c r="G285" s="44"/>
      <c r="J285" t="str">
        <f t="shared" si="8"/>
        <v/>
      </c>
      <c r="K285" t="str">
        <f t="shared" si="9"/>
        <v/>
      </c>
    </row>
    <row r="286" spans="7:11" x14ac:dyDescent="0.2">
      <c r="G286" s="44"/>
      <c r="J286" t="str">
        <f t="shared" si="8"/>
        <v/>
      </c>
      <c r="K286" t="str">
        <f t="shared" si="9"/>
        <v/>
      </c>
    </row>
    <row r="287" spans="7:11" x14ac:dyDescent="0.2">
      <c r="G287" s="44"/>
      <c r="J287" t="str">
        <f t="shared" si="8"/>
        <v/>
      </c>
      <c r="K287" t="str">
        <f t="shared" si="9"/>
        <v/>
      </c>
    </row>
    <row r="288" spans="7:11" x14ac:dyDescent="0.2">
      <c r="G288" s="44"/>
      <c r="J288" t="str">
        <f t="shared" si="8"/>
        <v/>
      </c>
      <c r="K288" t="str">
        <f t="shared" si="9"/>
        <v/>
      </c>
    </row>
    <row r="289" spans="7:11" x14ac:dyDescent="0.2">
      <c r="G289" s="44"/>
      <c r="J289" t="str">
        <f t="shared" si="8"/>
        <v/>
      </c>
      <c r="K289" t="str">
        <f t="shared" si="9"/>
        <v/>
      </c>
    </row>
    <row r="290" spans="7:11" x14ac:dyDescent="0.2">
      <c r="G290" s="44"/>
      <c r="J290" t="str">
        <f t="shared" si="8"/>
        <v/>
      </c>
      <c r="K290" t="str">
        <f t="shared" si="9"/>
        <v/>
      </c>
    </row>
    <row r="291" spans="7:11" x14ac:dyDescent="0.2">
      <c r="G291" s="44"/>
      <c r="J291" t="str">
        <f t="shared" si="8"/>
        <v/>
      </c>
      <c r="K291" t="str">
        <f t="shared" si="9"/>
        <v/>
      </c>
    </row>
    <row r="292" spans="7:11" x14ac:dyDescent="0.2">
      <c r="G292" s="44"/>
      <c r="J292" t="str">
        <f t="shared" si="8"/>
        <v/>
      </c>
      <c r="K292" t="str">
        <f t="shared" si="9"/>
        <v/>
      </c>
    </row>
    <row r="293" spans="7:11" x14ac:dyDescent="0.2">
      <c r="G293" s="44"/>
      <c r="J293" t="str">
        <f t="shared" si="8"/>
        <v/>
      </c>
      <c r="K293" t="str">
        <f t="shared" si="9"/>
        <v/>
      </c>
    </row>
    <row r="294" spans="7:11" x14ac:dyDescent="0.2">
      <c r="G294" s="44"/>
      <c r="J294" t="str">
        <f t="shared" si="8"/>
        <v/>
      </c>
      <c r="K294" t="str">
        <f t="shared" si="9"/>
        <v/>
      </c>
    </row>
    <row r="295" spans="7:11" x14ac:dyDescent="0.2">
      <c r="G295" s="44"/>
      <c r="J295" t="str">
        <f t="shared" si="8"/>
        <v/>
      </c>
      <c r="K295" t="str">
        <f t="shared" si="9"/>
        <v/>
      </c>
    </row>
    <row r="296" spans="7:11" x14ac:dyDescent="0.2">
      <c r="G296" s="44"/>
      <c r="J296" t="str">
        <f t="shared" si="8"/>
        <v/>
      </c>
      <c r="K296" t="str">
        <f t="shared" si="9"/>
        <v/>
      </c>
    </row>
    <row r="297" spans="7:11" x14ac:dyDescent="0.2">
      <c r="G297" s="44"/>
      <c r="J297" t="str">
        <f t="shared" si="8"/>
        <v/>
      </c>
      <c r="K297" t="str">
        <f t="shared" si="9"/>
        <v/>
      </c>
    </row>
    <row r="298" spans="7:11" x14ac:dyDescent="0.2">
      <c r="G298" s="44"/>
      <c r="J298" t="str">
        <f t="shared" si="8"/>
        <v/>
      </c>
      <c r="K298" t="str">
        <f t="shared" si="9"/>
        <v/>
      </c>
    </row>
    <row r="299" spans="7:11" x14ac:dyDescent="0.2">
      <c r="G299" s="44"/>
      <c r="J299" t="str">
        <f t="shared" si="8"/>
        <v/>
      </c>
      <c r="K299" t="str">
        <f t="shared" si="9"/>
        <v/>
      </c>
    </row>
    <row r="300" spans="7:11" x14ac:dyDescent="0.2">
      <c r="G300" s="44"/>
      <c r="J300" t="str">
        <f t="shared" si="8"/>
        <v/>
      </c>
      <c r="K300" t="str">
        <f t="shared" si="9"/>
        <v/>
      </c>
    </row>
    <row r="301" spans="7:11" x14ac:dyDescent="0.2">
      <c r="G301" s="44"/>
      <c r="J301" t="str">
        <f t="shared" si="8"/>
        <v/>
      </c>
      <c r="K301" t="str">
        <f t="shared" si="9"/>
        <v/>
      </c>
    </row>
    <row r="302" spans="7:11" x14ac:dyDescent="0.2">
      <c r="G302" s="44"/>
      <c r="J302" t="str">
        <f t="shared" si="8"/>
        <v/>
      </c>
      <c r="K302" t="str">
        <f t="shared" si="9"/>
        <v/>
      </c>
    </row>
    <row r="303" spans="7:11" x14ac:dyDescent="0.2">
      <c r="G303" s="44"/>
      <c r="J303" t="str">
        <f t="shared" si="8"/>
        <v/>
      </c>
      <c r="K303" t="str">
        <f t="shared" si="9"/>
        <v/>
      </c>
    </row>
    <row r="304" spans="7:11" x14ac:dyDescent="0.2">
      <c r="G304" s="44"/>
      <c r="J304" t="str">
        <f t="shared" si="8"/>
        <v/>
      </c>
      <c r="K304" t="str">
        <f t="shared" si="9"/>
        <v/>
      </c>
    </row>
    <row r="305" spans="7:11" x14ac:dyDescent="0.2">
      <c r="G305" s="44"/>
      <c r="J305" t="str">
        <f t="shared" si="8"/>
        <v/>
      </c>
      <c r="K305" t="str">
        <f t="shared" si="9"/>
        <v/>
      </c>
    </row>
    <row r="306" spans="7:11" x14ac:dyDescent="0.2">
      <c r="G306" s="44"/>
      <c r="J306" t="str">
        <f t="shared" si="8"/>
        <v/>
      </c>
      <c r="K306" t="str">
        <f t="shared" si="9"/>
        <v/>
      </c>
    </row>
    <row r="307" spans="7:11" x14ac:dyDescent="0.2">
      <c r="G307" s="44"/>
      <c r="J307" t="str">
        <f t="shared" si="8"/>
        <v/>
      </c>
      <c r="K307" t="str">
        <f t="shared" si="9"/>
        <v/>
      </c>
    </row>
    <row r="308" spans="7:11" x14ac:dyDescent="0.2">
      <c r="G308" s="44"/>
      <c r="J308" t="str">
        <f t="shared" si="8"/>
        <v/>
      </c>
      <c r="K308" t="str">
        <f t="shared" si="9"/>
        <v/>
      </c>
    </row>
    <row r="309" spans="7:11" x14ac:dyDescent="0.2">
      <c r="G309" s="44"/>
      <c r="J309" t="str">
        <f t="shared" si="8"/>
        <v/>
      </c>
      <c r="K309" t="str">
        <f t="shared" si="9"/>
        <v/>
      </c>
    </row>
    <row r="310" spans="7:11" x14ac:dyDescent="0.2">
      <c r="G310" s="44"/>
      <c r="J310" t="str">
        <f t="shared" si="8"/>
        <v/>
      </c>
      <c r="K310" t="str">
        <f t="shared" si="9"/>
        <v/>
      </c>
    </row>
    <row r="311" spans="7:11" x14ac:dyDescent="0.2">
      <c r="G311" s="44"/>
      <c r="J311" t="str">
        <f t="shared" si="8"/>
        <v/>
      </c>
      <c r="K311" t="str">
        <f t="shared" si="9"/>
        <v/>
      </c>
    </row>
    <row r="312" spans="7:11" x14ac:dyDescent="0.2">
      <c r="G312" s="44"/>
      <c r="J312" t="str">
        <f t="shared" si="8"/>
        <v/>
      </c>
      <c r="K312" t="str">
        <f t="shared" si="9"/>
        <v/>
      </c>
    </row>
    <row r="313" spans="7:11" x14ac:dyDescent="0.2">
      <c r="G313" s="44"/>
      <c r="J313" t="str">
        <f t="shared" si="8"/>
        <v/>
      </c>
      <c r="K313" t="str">
        <f t="shared" si="9"/>
        <v/>
      </c>
    </row>
    <row r="314" spans="7:11" x14ac:dyDescent="0.2">
      <c r="G314" s="44"/>
      <c r="J314" t="str">
        <f t="shared" si="8"/>
        <v/>
      </c>
      <c r="K314" t="str">
        <f t="shared" si="9"/>
        <v/>
      </c>
    </row>
    <row r="315" spans="7:11" x14ac:dyDescent="0.2">
      <c r="G315" s="44"/>
      <c r="J315" t="str">
        <f t="shared" si="8"/>
        <v/>
      </c>
      <c r="K315" t="str">
        <f t="shared" si="9"/>
        <v/>
      </c>
    </row>
    <row r="316" spans="7:11" x14ac:dyDescent="0.2">
      <c r="G316" s="44"/>
      <c r="J316" t="str">
        <f t="shared" si="8"/>
        <v/>
      </c>
      <c r="K316" t="str">
        <f t="shared" si="9"/>
        <v/>
      </c>
    </row>
    <row r="317" spans="7:11" x14ac:dyDescent="0.2">
      <c r="G317" s="44"/>
      <c r="J317" t="str">
        <f t="shared" si="8"/>
        <v/>
      </c>
      <c r="K317" t="str">
        <f t="shared" si="9"/>
        <v/>
      </c>
    </row>
    <row r="318" spans="7:11" x14ac:dyDescent="0.2">
      <c r="G318" s="44"/>
      <c r="J318" t="str">
        <f t="shared" si="8"/>
        <v/>
      </c>
      <c r="K318" t="str">
        <f t="shared" si="9"/>
        <v/>
      </c>
    </row>
    <row r="319" spans="7:11" x14ac:dyDescent="0.2">
      <c r="G319" s="44"/>
      <c r="J319" t="str">
        <f t="shared" si="8"/>
        <v/>
      </c>
      <c r="K319" t="str">
        <f t="shared" si="9"/>
        <v/>
      </c>
    </row>
    <row r="320" spans="7:11" x14ac:dyDescent="0.2">
      <c r="G320" s="44"/>
      <c r="J320" t="str">
        <f t="shared" si="8"/>
        <v/>
      </c>
      <c r="K320" t="str">
        <f t="shared" si="9"/>
        <v/>
      </c>
    </row>
    <row r="321" spans="7:11" x14ac:dyDescent="0.2">
      <c r="G321" s="44"/>
      <c r="J321" t="str">
        <f t="shared" si="8"/>
        <v/>
      </c>
      <c r="K321" t="str">
        <f t="shared" si="9"/>
        <v/>
      </c>
    </row>
    <row r="322" spans="7:11" x14ac:dyDescent="0.2">
      <c r="G322" s="44"/>
      <c r="J322" t="str">
        <f t="shared" ref="J322:J385" si="10">IF(E322="","",IF(OR(E322=50,E322=51),"Iltindhold",IF(E322=75,"Carbon,org,NVOC",IF(OR(E322=343,E322=1167),"Svovlbrinte",IF(OR(E322=240,E322=241,E322=242),"Amm",IF(E322=244,"Nitrit",IF(E322=247,"Nitrat",IF(E322=334,"Sulfat",IF(E322=262,"Phosphor, total-P",F322)))))))))</f>
        <v/>
      </c>
      <c r="K322" t="str">
        <f t="shared" ref="K322:K385" si="11">IF(A322="","",IF(H322="!",NA(),IF(H322="A",I322*0.5,IF(H322="&lt;",I322*0.5,I322))))</f>
        <v/>
      </c>
    </row>
    <row r="323" spans="7:11" x14ac:dyDescent="0.2">
      <c r="G323" s="44"/>
      <c r="J323" t="str">
        <f t="shared" si="10"/>
        <v/>
      </c>
      <c r="K323" t="str">
        <f t="shared" si="11"/>
        <v/>
      </c>
    </row>
    <row r="324" spans="7:11" x14ac:dyDescent="0.2">
      <c r="G324" s="44"/>
      <c r="J324" t="str">
        <f t="shared" si="10"/>
        <v/>
      </c>
      <c r="K324" t="str">
        <f t="shared" si="11"/>
        <v/>
      </c>
    </row>
    <row r="325" spans="7:11" x14ac:dyDescent="0.2">
      <c r="G325" s="44"/>
      <c r="J325" t="str">
        <f t="shared" si="10"/>
        <v/>
      </c>
      <c r="K325" t="str">
        <f t="shared" si="11"/>
        <v/>
      </c>
    </row>
    <row r="326" spans="7:11" x14ac:dyDescent="0.2">
      <c r="G326" s="44"/>
      <c r="J326" t="str">
        <f t="shared" si="10"/>
        <v/>
      </c>
      <c r="K326" t="str">
        <f t="shared" si="11"/>
        <v/>
      </c>
    </row>
    <row r="327" spans="7:11" x14ac:dyDescent="0.2">
      <c r="G327" s="44"/>
      <c r="J327" t="str">
        <f t="shared" si="10"/>
        <v/>
      </c>
      <c r="K327" t="str">
        <f t="shared" si="11"/>
        <v/>
      </c>
    </row>
    <row r="328" spans="7:11" x14ac:dyDescent="0.2">
      <c r="G328" s="44"/>
      <c r="J328" t="str">
        <f t="shared" si="10"/>
        <v/>
      </c>
      <c r="K328" t="str">
        <f t="shared" si="11"/>
        <v/>
      </c>
    </row>
    <row r="329" spans="7:11" x14ac:dyDescent="0.2">
      <c r="G329" s="44"/>
      <c r="J329" t="str">
        <f t="shared" si="10"/>
        <v/>
      </c>
      <c r="K329" t="str">
        <f t="shared" si="11"/>
        <v/>
      </c>
    </row>
    <row r="330" spans="7:11" x14ac:dyDescent="0.2">
      <c r="G330" s="44"/>
      <c r="J330" t="str">
        <f t="shared" si="10"/>
        <v/>
      </c>
      <c r="K330" t="str">
        <f t="shared" si="11"/>
        <v/>
      </c>
    </row>
    <row r="331" spans="7:11" x14ac:dyDescent="0.2">
      <c r="G331" s="44"/>
      <c r="J331" t="str">
        <f t="shared" si="10"/>
        <v/>
      </c>
      <c r="K331" t="str">
        <f t="shared" si="11"/>
        <v/>
      </c>
    </row>
    <row r="332" spans="7:11" x14ac:dyDescent="0.2">
      <c r="G332" s="44"/>
      <c r="J332" t="str">
        <f t="shared" si="10"/>
        <v/>
      </c>
      <c r="K332" t="str">
        <f t="shared" si="11"/>
        <v/>
      </c>
    </row>
    <row r="333" spans="7:11" x14ac:dyDescent="0.2">
      <c r="G333" s="44"/>
      <c r="J333" t="str">
        <f t="shared" si="10"/>
        <v/>
      </c>
      <c r="K333" t="str">
        <f t="shared" si="11"/>
        <v/>
      </c>
    </row>
    <row r="334" spans="7:11" x14ac:dyDescent="0.2">
      <c r="G334" s="44"/>
      <c r="J334" t="str">
        <f t="shared" si="10"/>
        <v/>
      </c>
      <c r="K334" t="str">
        <f t="shared" si="11"/>
        <v/>
      </c>
    </row>
    <row r="335" spans="7:11" x14ac:dyDescent="0.2">
      <c r="G335" s="44"/>
      <c r="J335" t="str">
        <f t="shared" si="10"/>
        <v/>
      </c>
      <c r="K335" t="str">
        <f t="shared" si="11"/>
        <v/>
      </c>
    </row>
    <row r="336" spans="7:11" x14ac:dyDescent="0.2">
      <c r="G336" s="44"/>
      <c r="J336" t="str">
        <f t="shared" si="10"/>
        <v/>
      </c>
      <c r="K336" t="str">
        <f t="shared" si="11"/>
        <v/>
      </c>
    </row>
    <row r="337" spans="7:11" x14ac:dyDescent="0.2">
      <c r="G337" s="44"/>
      <c r="J337" t="str">
        <f t="shared" si="10"/>
        <v/>
      </c>
      <c r="K337" t="str">
        <f t="shared" si="11"/>
        <v/>
      </c>
    </row>
    <row r="338" spans="7:11" x14ac:dyDescent="0.2">
      <c r="G338" s="44"/>
      <c r="J338" t="str">
        <f t="shared" si="10"/>
        <v/>
      </c>
      <c r="K338" t="str">
        <f t="shared" si="11"/>
        <v/>
      </c>
    </row>
    <row r="339" spans="7:11" x14ac:dyDescent="0.2">
      <c r="G339" s="44"/>
      <c r="J339" t="str">
        <f t="shared" si="10"/>
        <v/>
      </c>
      <c r="K339" t="str">
        <f t="shared" si="11"/>
        <v/>
      </c>
    </row>
    <row r="340" spans="7:11" x14ac:dyDescent="0.2">
      <c r="G340" s="44"/>
      <c r="J340" t="str">
        <f t="shared" si="10"/>
        <v/>
      </c>
      <c r="K340" t="str">
        <f t="shared" si="11"/>
        <v/>
      </c>
    </row>
    <row r="341" spans="7:11" x14ac:dyDescent="0.2">
      <c r="G341" s="44"/>
      <c r="J341" t="str">
        <f t="shared" si="10"/>
        <v/>
      </c>
      <c r="K341" t="str">
        <f t="shared" si="11"/>
        <v/>
      </c>
    </row>
    <row r="342" spans="7:11" x14ac:dyDescent="0.2">
      <c r="G342" s="44"/>
      <c r="J342" t="str">
        <f t="shared" si="10"/>
        <v/>
      </c>
      <c r="K342" t="str">
        <f t="shared" si="11"/>
        <v/>
      </c>
    </row>
    <row r="343" spans="7:11" x14ac:dyDescent="0.2">
      <c r="G343" s="44"/>
      <c r="J343" t="str">
        <f t="shared" si="10"/>
        <v/>
      </c>
      <c r="K343" t="str">
        <f t="shared" si="11"/>
        <v/>
      </c>
    </row>
    <row r="344" spans="7:11" x14ac:dyDescent="0.2">
      <c r="G344" s="44"/>
      <c r="J344" t="str">
        <f t="shared" si="10"/>
        <v/>
      </c>
      <c r="K344" t="str">
        <f t="shared" si="11"/>
        <v/>
      </c>
    </row>
    <row r="345" spans="7:11" x14ac:dyDescent="0.2">
      <c r="G345" s="44"/>
      <c r="J345" t="str">
        <f t="shared" si="10"/>
        <v/>
      </c>
      <c r="K345" t="str">
        <f t="shared" si="11"/>
        <v/>
      </c>
    </row>
    <row r="346" spans="7:11" x14ac:dyDescent="0.2">
      <c r="G346" s="44"/>
      <c r="J346" t="str">
        <f t="shared" si="10"/>
        <v/>
      </c>
      <c r="K346" t="str">
        <f t="shared" si="11"/>
        <v/>
      </c>
    </row>
    <row r="347" spans="7:11" x14ac:dyDescent="0.2">
      <c r="G347" s="44"/>
      <c r="J347" t="str">
        <f t="shared" si="10"/>
        <v/>
      </c>
      <c r="K347" t="str">
        <f t="shared" si="11"/>
        <v/>
      </c>
    </row>
    <row r="348" spans="7:11" x14ac:dyDescent="0.2">
      <c r="G348" s="44"/>
      <c r="J348" t="str">
        <f t="shared" si="10"/>
        <v/>
      </c>
      <c r="K348" t="str">
        <f t="shared" si="11"/>
        <v/>
      </c>
    </row>
    <row r="349" spans="7:11" x14ac:dyDescent="0.2">
      <c r="G349" s="44"/>
      <c r="J349" t="str">
        <f t="shared" si="10"/>
        <v/>
      </c>
      <c r="K349" t="str">
        <f t="shared" si="11"/>
        <v/>
      </c>
    </row>
    <row r="350" spans="7:11" x14ac:dyDescent="0.2">
      <c r="G350" s="44"/>
      <c r="J350" t="str">
        <f t="shared" si="10"/>
        <v/>
      </c>
      <c r="K350" t="str">
        <f t="shared" si="11"/>
        <v/>
      </c>
    </row>
    <row r="351" spans="7:11" x14ac:dyDescent="0.2">
      <c r="G351" s="44"/>
      <c r="J351" t="str">
        <f t="shared" si="10"/>
        <v/>
      </c>
      <c r="K351" t="str">
        <f t="shared" si="11"/>
        <v/>
      </c>
    </row>
    <row r="352" spans="7:11" x14ac:dyDescent="0.2">
      <c r="G352" s="44"/>
      <c r="J352" t="str">
        <f t="shared" si="10"/>
        <v/>
      </c>
      <c r="K352" t="str">
        <f t="shared" si="11"/>
        <v/>
      </c>
    </row>
    <row r="353" spans="7:11" x14ac:dyDescent="0.2">
      <c r="G353" s="44"/>
      <c r="J353" t="str">
        <f t="shared" si="10"/>
        <v/>
      </c>
      <c r="K353" t="str">
        <f t="shared" si="11"/>
        <v/>
      </c>
    </row>
    <row r="354" spans="7:11" x14ac:dyDescent="0.2">
      <c r="G354" s="44"/>
      <c r="J354" t="str">
        <f t="shared" si="10"/>
        <v/>
      </c>
      <c r="K354" t="str">
        <f t="shared" si="11"/>
        <v/>
      </c>
    </row>
    <row r="355" spans="7:11" x14ac:dyDescent="0.2">
      <c r="G355" s="44"/>
      <c r="J355" t="str">
        <f t="shared" si="10"/>
        <v/>
      </c>
      <c r="K355" t="str">
        <f t="shared" si="11"/>
        <v/>
      </c>
    </row>
    <row r="356" spans="7:11" x14ac:dyDescent="0.2">
      <c r="G356" s="44"/>
      <c r="J356" t="str">
        <f t="shared" si="10"/>
        <v/>
      </c>
      <c r="K356" t="str">
        <f t="shared" si="11"/>
        <v/>
      </c>
    </row>
    <row r="357" spans="7:11" x14ac:dyDescent="0.2">
      <c r="G357" s="44"/>
      <c r="J357" t="str">
        <f t="shared" si="10"/>
        <v/>
      </c>
      <c r="K357" t="str">
        <f t="shared" si="11"/>
        <v/>
      </c>
    </row>
    <row r="358" spans="7:11" x14ac:dyDescent="0.2">
      <c r="G358" s="44"/>
      <c r="J358" t="str">
        <f t="shared" si="10"/>
        <v/>
      </c>
      <c r="K358" t="str">
        <f t="shared" si="11"/>
        <v/>
      </c>
    </row>
    <row r="359" spans="7:11" x14ac:dyDescent="0.2">
      <c r="G359" s="44"/>
      <c r="J359" t="str">
        <f t="shared" si="10"/>
        <v/>
      </c>
      <c r="K359" t="str">
        <f t="shared" si="11"/>
        <v/>
      </c>
    </row>
    <row r="360" spans="7:11" x14ac:dyDescent="0.2">
      <c r="G360" s="44"/>
      <c r="J360" t="str">
        <f t="shared" si="10"/>
        <v/>
      </c>
      <c r="K360" t="str">
        <f t="shared" si="11"/>
        <v/>
      </c>
    </row>
    <row r="361" spans="7:11" x14ac:dyDescent="0.2">
      <c r="G361" s="44"/>
      <c r="J361" t="str">
        <f t="shared" si="10"/>
        <v/>
      </c>
      <c r="K361" t="str">
        <f t="shared" si="11"/>
        <v/>
      </c>
    </row>
    <row r="362" spans="7:11" x14ac:dyDescent="0.2">
      <c r="G362" s="44"/>
      <c r="J362" t="str">
        <f t="shared" si="10"/>
        <v/>
      </c>
      <c r="K362" t="str">
        <f t="shared" si="11"/>
        <v/>
      </c>
    </row>
    <row r="363" spans="7:11" x14ac:dyDescent="0.2">
      <c r="G363" s="44"/>
      <c r="J363" t="str">
        <f t="shared" si="10"/>
        <v/>
      </c>
      <c r="K363" t="str">
        <f t="shared" si="11"/>
        <v/>
      </c>
    </row>
    <row r="364" spans="7:11" x14ac:dyDescent="0.2">
      <c r="G364" s="44"/>
      <c r="J364" t="str">
        <f t="shared" si="10"/>
        <v/>
      </c>
      <c r="K364" t="str">
        <f t="shared" si="11"/>
        <v/>
      </c>
    </row>
    <row r="365" spans="7:11" x14ac:dyDescent="0.2">
      <c r="G365" s="44"/>
      <c r="J365" t="str">
        <f t="shared" si="10"/>
        <v/>
      </c>
      <c r="K365" t="str">
        <f t="shared" si="11"/>
        <v/>
      </c>
    </row>
    <row r="366" spans="7:11" x14ac:dyDescent="0.2">
      <c r="G366" s="44"/>
      <c r="J366" t="str">
        <f t="shared" si="10"/>
        <v/>
      </c>
      <c r="K366" t="str">
        <f t="shared" si="11"/>
        <v/>
      </c>
    </row>
    <row r="367" spans="7:11" x14ac:dyDescent="0.2">
      <c r="G367" s="44"/>
      <c r="J367" t="str">
        <f t="shared" si="10"/>
        <v/>
      </c>
      <c r="K367" t="str">
        <f t="shared" si="11"/>
        <v/>
      </c>
    </row>
    <row r="368" spans="7:11" x14ac:dyDescent="0.2">
      <c r="G368" s="44"/>
      <c r="J368" t="str">
        <f t="shared" si="10"/>
        <v/>
      </c>
      <c r="K368" t="str">
        <f t="shared" si="11"/>
        <v/>
      </c>
    </row>
    <row r="369" spans="7:11" x14ac:dyDescent="0.2">
      <c r="G369" s="44"/>
      <c r="J369" t="str">
        <f t="shared" si="10"/>
        <v/>
      </c>
      <c r="K369" t="str">
        <f t="shared" si="11"/>
        <v/>
      </c>
    </row>
    <row r="370" spans="7:11" x14ac:dyDescent="0.2">
      <c r="G370" s="44"/>
      <c r="J370" t="str">
        <f t="shared" si="10"/>
        <v/>
      </c>
      <c r="K370" t="str">
        <f t="shared" si="11"/>
        <v/>
      </c>
    </row>
    <row r="371" spans="7:11" x14ac:dyDescent="0.2">
      <c r="G371" s="44"/>
      <c r="J371" t="str">
        <f t="shared" si="10"/>
        <v/>
      </c>
      <c r="K371" t="str">
        <f t="shared" si="11"/>
        <v/>
      </c>
    </row>
    <row r="372" spans="7:11" x14ac:dyDescent="0.2">
      <c r="G372" s="44"/>
      <c r="J372" t="str">
        <f t="shared" si="10"/>
        <v/>
      </c>
      <c r="K372" t="str">
        <f t="shared" si="11"/>
        <v/>
      </c>
    </row>
    <row r="373" spans="7:11" x14ac:dyDescent="0.2">
      <c r="G373" s="44"/>
      <c r="J373" t="str">
        <f t="shared" si="10"/>
        <v/>
      </c>
      <c r="K373" t="str">
        <f t="shared" si="11"/>
        <v/>
      </c>
    </row>
    <row r="374" spans="7:11" x14ac:dyDescent="0.2">
      <c r="G374" s="44"/>
      <c r="J374" t="str">
        <f t="shared" si="10"/>
        <v/>
      </c>
      <c r="K374" t="str">
        <f t="shared" si="11"/>
        <v/>
      </c>
    </row>
    <row r="375" spans="7:11" x14ac:dyDescent="0.2">
      <c r="G375" s="44"/>
      <c r="J375" t="str">
        <f t="shared" si="10"/>
        <v/>
      </c>
      <c r="K375" t="str">
        <f t="shared" si="11"/>
        <v/>
      </c>
    </row>
    <row r="376" spans="7:11" x14ac:dyDescent="0.2">
      <c r="G376" s="44"/>
      <c r="J376" t="str">
        <f t="shared" si="10"/>
        <v/>
      </c>
      <c r="K376" t="str">
        <f t="shared" si="11"/>
        <v/>
      </c>
    </row>
    <row r="377" spans="7:11" x14ac:dyDescent="0.2">
      <c r="G377" s="44"/>
      <c r="J377" t="str">
        <f t="shared" si="10"/>
        <v/>
      </c>
      <c r="K377" t="str">
        <f t="shared" si="11"/>
        <v/>
      </c>
    </row>
    <row r="378" spans="7:11" x14ac:dyDescent="0.2">
      <c r="G378" s="44"/>
      <c r="J378" t="str">
        <f t="shared" si="10"/>
        <v/>
      </c>
      <c r="K378" t="str">
        <f t="shared" si="11"/>
        <v/>
      </c>
    </row>
    <row r="379" spans="7:11" x14ac:dyDescent="0.2">
      <c r="G379" s="44"/>
      <c r="J379" t="str">
        <f t="shared" si="10"/>
        <v/>
      </c>
      <c r="K379" t="str">
        <f t="shared" si="11"/>
        <v/>
      </c>
    </row>
    <row r="380" spans="7:11" x14ac:dyDescent="0.2">
      <c r="G380" s="44"/>
      <c r="J380" t="str">
        <f t="shared" si="10"/>
        <v/>
      </c>
      <c r="K380" t="str">
        <f t="shared" si="11"/>
        <v/>
      </c>
    </row>
    <row r="381" spans="7:11" x14ac:dyDescent="0.2">
      <c r="G381" s="44"/>
      <c r="J381" t="str">
        <f t="shared" si="10"/>
        <v/>
      </c>
      <c r="K381" t="str">
        <f t="shared" si="11"/>
        <v/>
      </c>
    </row>
    <row r="382" spans="7:11" x14ac:dyDescent="0.2">
      <c r="G382" s="44"/>
      <c r="J382" t="str">
        <f t="shared" si="10"/>
        <v/>
      </c>
      <c r="K382" t="str">
        <f t="shared" si="11"/>
        <v/>
      </c>
    </row>
    <row r="383" spans="7:11" x14ac:dyDescent="0.2">
      <c r="G383" s="44"/>
      <c r="J383" t="str">
        <f t="shared" si="10"/>
        <v/>
      </c>
      <c r="K383" t="str">
        <f t="shared" si="11"/>
        <v/>
      </c>
    </row>
    <row r="384" spans="7:11" x14ac:dyDescent="0.2">
      <c r="G384" s="44"/>
      <c r="J384" t="str">
        <f t="shared" si="10"/>
        <v/>
      </c>
      <c r="K384" t="str">
        <f t="shared" si="11"/>
        <v/>
      </c>
    </row>
    <row r="385" spans="7:11" x14ac:dyDescent="0.2">
      <c r="G385" s="44"/>
      <c r="J385" t="str">
        <f t="shared" si="10"/>
        <v/>
      </c>
      <c r="K385" t="str">
        <f t="shared" si="11"/>
        <v/>
      </c>
    </row>
    <row r="386" spans="7:11" x14ac:dyDescent="0.2">
      <c r="G386" s="44"/>
      <c r="J386" t="str">
        <f t="shared" ref="J386:J449" si="12">IF(E386="","",IF(OR(E386=50,E386=51),"Iltindhold",IF(E386=75,"Carbon,org,NVOC",IF(OR(E386=343,E386=1167),"Svovlbrinte",IF(OR(E386=240,E386=241,E386=242),"Amm",IF(E386=244,"Nitrit",IF(E386=247,"Nitrat",IF(E386=334,"Sulfat",IF(E386=262,"Phosphor, total-P",F386)))))))))</f>
        <v/>
      </c>
      <c r="K386" t="str">
        <f t="shared" ref="K386:K449" si="13">IF(A386="","",IF(H386="!",NA(),IF(H386="A",I386*0.5,IF(H386="&lt;",I386*0.5,I386))))</f>
        <v/>
      </c>
    </row>
    <row r="387" spans="7:11" x14ac:dyDescent="0.2">
      <c r="G387" s="44"/>
      <c r="J387" t="str">
        <f t="shared" si="12"/>
        <v/>
      </c>
      <c r="K387" t="str">
        <f t="shared" si="13"/>
        <v/>
      </c>
    </row>
    <row r="388" spans="7:11" x14ac:dyDescent="0.2">
      <c r="G388" s="44"/>
      <c r="J388" t="str">
        <f t="shared" si="12"/>
        <v/>
      </c>
      <c r="K388" t="str">
        <f t="shared" si="13"/>
        <v/>
      </c>
    </row>
    <row r="389" spans="7:11" x14ac:dyDescent="0.2">
      <c r="G389" s="44"/>
      <c r="J389" t="str">
        <f t="shared" si="12"/>
        <v/>
      </c>
      <c r="K389" t="str">
        <f t="shared" si="13"/>
        <v/>
      </c>
    </row>
    <row r="390" spans="7:11" x14ac:dyDescent="0.2">
      <c r="G390" s="44"/>
      <c r="J390" t="str">
        <f t="shared" si="12"/>
        <v/>
      </c>
      <c r="K390" t="str">
        <f t="shared" si="13"/>
        <v/>
      </c>
    </row>
    <row r="391" spans="7:11" x14ac:dyDescent="0.2">
      <c r="G391" s="44"/>
      <c r="J391" t="str">
        <f t="shared" si="12"/>
        <v/>
      </c>
      <c r="K391" t="str">
        <f t="shared" si="13"/>
        <v/>
      </c>
    </row>
    <row r="392" spans="7:11" x14ac:dyDescent="0.2">
      <c r="G392" s="44"/>
      <c r="J392" t="str">
        <f t="shared" si="12"/>
        <v/>
      </c>
      <c r="K392" t="str">
        <f t="shared" si="13"/>
        <v/>
      </c>
    </row>
    <row r="393" spans="7:11" x14ac:dyDescent="0.2">
      <c r="G393" s="44"/>
      <c r="J393" t="str">
        <f t="shared" si="12"/>
        <v/>
      </c>
      <c r="K393" t="str">
        <f t="shared" si="13"/>
        <v/>
      </c>
    </row>
    <row r="394" spans="7:11" x14ac:dyDescent="0.2">
      <c r="G394" s="44"/>
      <c r="J394" t="str">
        <f t="shared" si="12"/>
        <v/>
      </c>
      <c r="K394" t="str">
        <f t="shared" si="13"/>
        <v/>
      </c>
    </row>
    <row r="395" spans="7:11" x14ac:dyDescent="0.2">
      <c r="G395" s="44"/>
      <c r="J395" t="str">
        <f t="shared" si="12"/>
        <v/>
      </c>
      <c r="K395" t="str">
        <f t="shared" si="13"/>
        <v/>
      </c>
    </row>
    <row r="396" spans="7:11" x14ac:dyDescent="0.2">
      <c r="G396" s="44"/>
      <c r="J396" t="str">
        <f t="shared" si="12"/>
        <v/>
      </c>
      <c r="K396" t="str">
        <f t="shared" si="13"/>
        <v/>
      </c>
    </row>
    <row r="397" spans="7:11" x14ac:dyDescent="0.2">
      <c r="G397" s="44"/>
      <c r="J397" t="str">
        <f t="shared" si="12"/>
        <v/>
      </c>
      <c r="K397" t="str">
        <f t="shared" si="13"/>
        <v/>
      </c>
    </row>
    <row r="398" spans="7:11" x14ac:dyDescent="0.2">
      <c r="G398" s="44"/>
      <c r="J398" t="str">
        <f t="shared" si="12"/>
        <v/>
      </c>
      <c r="K398" t="str">
        <f t="shared" si="13"/>
        <v/>
      </c>
    </row>
    <row r="399" spans="7:11" x14ac:dyDescent="0.2">
      <c r="G399" s="44"/>
      <c r="J399" t="str">
        <f t="shared" si="12"/>
        <v/>
      </c>
      <c r="K399" t="str">
        <f t="shared" si="13"/>
        <v/>
      </c>
    </row>
    <row r="400" spans="7:11" x14ac:dyDescent="0.2">
      <c r="G400" s="44"/>
      <c r="J400" t="str">
        <f t="shared" si="12"/>
        <v/>
      </c>
      <c r="K400" t="str">
        <f t="shared" si="13"/>
        <v/>
      </c>
    </row>
    <row r="401" spans="7:11" x14ac:dyDescent="0.2">
      <c r="G401" s="44"/>
      <c r="J401" t="str">
        <f t="shared" si="12"/>
        <v/>
      </c>
      <c r="K401" t="str">
        <f t="shared" si="13"/>
        <v/>
      </c>
    </row>
    <row r="402" spans="7:11" x14ac:dyDescent="0.2">
      <c r="G402" s="44"/>
      <c r="J402" t="str">
        <f t="shared" si="12"/>
        <v/>
      </c>
      <c r="K402" t="str">
        <f t="shared" si="13"/>
        <v/>
      </c>
    </row>
    <row r="403" spans="7:11" x14ac:dyDescent="0.2">
      <c r="G403" s="44"/>
      <c r="J403" t="str">
        <f t="shared" si="12"/>
        <v/>
      </c>
      <c r="K403" t="str">
        <f t="shared" si="13"/>
        <v/>
      </c>
    </row>
    <row r="404" spans="7:11" x14ac:dyDescent="0.2">
      <c r="G404" s="44"/>
      <c r="J404" t="str">
        <f t="shared" si="12"/>
        <v/>
      </c>
      <c r="K404" t="str">
        <f t="shared" si="13"/>
        <v/>
      </c>
    </row>
    <row r="405" spans="7:11" x14ac:dyDescent="0.2">
      <c r="G405" s="44"/>
      <c r="J405" t="str">
        <f t="shared" si="12"/>
        <v/>
      </c>
      <c r="K405" t="str">
        <f t="shared" si="13"/>
        <v/>
      </c>
    </row>
    <row r="406" spans="7:11" x14ac:dyDescent="0.2">
      <c r="G406" s="44"/>
      <c r="J406" t="str">
        <f t="shared" si="12"/>
        <v/>
      </c>
      <c r="K406" t="str">
        <f t="shared" si="13"/>
        <v/>
      </c>
    </row>
    <row r="407" spans="7:11" x14ac:dyDescent="0.2">
      <c r="G407" s="44"/>
      <c r="J407" t="str">
        <f t="shared" si="12"/>
        <v/>
      </c>
      <c r="K407" t="str">
        <f t="shared" si="13"/>
        <v/>
      </c>
    </row>
    <row r="408" spans="7:11" x14ac:dyDescent="0.2">
      <c r="G408" s="44"/>
      <c r="J408" t="str">
        <f t="shared" si="12"/>
        <v/>
      </c>
      <c r="K408" t="str">
        <f t="shared" si="13"/>
        <v/>
      </c>
    </row>
    <row r="409" spans="7:11" x14ac:dyDescent="0.2">
      <c r="G409" s="44"/>
      <c r="J409" t="str">
        <f t="shared" si="12"/>
        <v/>
      </c>
      <c r="K409" t="str">
        <f t="shared" si="13"/>
        <v/>
      </c>
    </row>
    <row r="410" spans="7:11" x14ac:dyDescent="0.2">
      <c r="G410" s="44"/>
      <c r="J410" t="str">
        <f t="shared" si="12"/>
        <v/>
      </c>
      <c r="K410" t="str">
        <f t="shared" si="13"/>
        <v/>
      </c>
    </row>
    <row r="411" spans="7:11" x14ac:dyDescent="0.2">
      <c r="G411" s="44"/>
      <c r="J411" t="str">
        <f t="shared" si="12"/>
        <v/>
      </c>
      <c r="K411" t="str">
        <f t="shared" si="13"/>
        <v/>
      </c>
    </row>
    <row r="412" spans="7:11" x14ac:dyDescent="0.2">
      <c r="G412" s="44"/>
      <c r="J412" t="str">
        <f t="shared" si="12"/>
        <v/>
      </c>
      <c r="K412" t="str">
        <f t="shared" si="13"/>
        <v/>
      </c>
    </row>
    <row r="413" spans="7:11" x14ac:dyDescent="0.2">
      <c r="G413" s="44"/>
      <c r="J413" t="str">
        <f t="shared" si="12"/>
        <v/>
      </c>
      <c r="K413" t="str">
        <f t="shared" si="13"/>
        <v/>
      </c>
    </row>
    <row r="414" spans="7:11" x14ac:dyDescent="0.2">
      <c r="G414" s="44"/>
      <c r="J414" t="str">
        <f t="shared" si="12"/>
        <v/>
      </c>
      <c r="K414" t="str">
        <f t="shared" si="13"/>
        <v/>
      </c>
    </row>
    <row r="415" spans="7:11" x14ac:dyDescent="0.2">
      <c r="G415" s="44"/>
      <c r="J415" t="str">
        <f t="shared" si="12"/>
        <v/>
      </c>
      <c r="K415" t="str">
        <f t="shared" si="13"/>
        <v/>
      </c>
    </row>
    <row r="416" spans="7:11" x14ac:dyDescent="0.2">
      <c r="G416" s="44"/>
      <c r="J416" t="str">
        <f t="shared" si="12"/>
        <v/>
      </c>
      <c r="K416" t="str">
        <f t="shared" si="13"/>
        <v/>
      </c>
    </row>
    <row r="417" spans="7:11" x14ac:dyDescent="0.2">
      <c r="G417" s="44"/>
      <c r="J417" t="str">
        <f t="shared" si="12"/>
        <v/>
      </c>
      <c r="K417" t="str">
        <f t="shared" si="13"/>
        <v/>
      </c>
    </row>
    <row r="418" spans="7:11" x14ac:dyDescent="0.2">
      <c r="G418" s="44"/>
      <c r="J418" t="str">
        <f t="shared" si="12"/>
        <v/>
      </c>
      <c r="K418" t="str">
        <f t="shared" si="13"/>
        <v/>
      </c>
    </row>
    <row r="419" spans="7:11" x14ac:dyDescent="0.2">
      <c r="G419" s="44"/>
      <c r="J419" t="str">
        <f t="shared" si="12"/>
        <v/>
      </c>
      <c r="K419" t="str">
        <f t="shared" si="13"/>
        <v/>
      </c>
    </row>
    <row r="420" spans="7:11" x14ac:dyDescent="0.2">
      <c r="G420" s="44"/>
      <c r="J420" t="str">
        <f t="shared" si="12"/>
        <v/>
      </c>
      <c r="K420" t="str">
        <f t="shared" si="13"/>
        <v/>
      </c>
    </row>
    <row r="421" spans="7:11" x14ac:dyDescent="0.2">
      <c r="G421" s="44"/>
      <c r="J421" t="str">
        <f t="shared" si="12"/>
        <v/>
      </c>
      <c r="K421" t="str">
        <f t="shared" si="13"/>
        <v/>
      </c>
    </row>
    <row r="422" spans="7:11" x14ac:dyDescent="0.2">
      <c r="G422" s="44"/>
      <c r="J422" t="str">
        <f t="shared" si="12"/>
        <v/>
      </c>
      <c r="K422" t="str">
        <f t="shared" si="13"/>
        <v/>
      </c>
    </row>
    <row r="423" spans="7:11" x14ac:dyDescent="0.2">
      <c r="G423" s="44"/>
      <c r="J423" t="str">
        <f t="shared" si="12"/>
        <v/>
      </c>
      <c r="K423" t="str">
        <f t="shared" si="13"/>
        <v/>
      </c>
    </row>
    <row r="424" spans="7:11" x14ac:dyDescent="0.2">
      <c r="G424" s="44"/>
      <c r="J424" t="str">
        <f t="shared" si="12"/>
        <v/>
      </c>
      <c r="K424" t="str">
        <f t="shared" si="13"/>
        <v/>
      </c>
    </row>
    <row r="425" spans="7:11" x14ac:dyDescent="0.2">
      <c r="G425" s="44"/>
      <c r="J425" t="str">
        <f t="shared" si="12"/>
        <v/>
      </c>
      <c r="K425" t="str">
        <f t="shared" si="13"/>
        <v/>
      </c>
    </row>
    <row r="426" spans="7:11" x14ac:dyDescent="0.2">
      <c r="G426" s="44"/>
      <c r="J426" t="str">
        <f t="shared" si="12"/>
        <v/>
      </c>
      <c r="K426" t="str">
        <f t="shared" si="13"/>
        <v/>
      </c>
    </row>
    <row r="427" spans="7:11" x14ac:dyDescent="0.2">
      <c r="G427" s="44"/>
      <c r="J427" t="str">
        <f t="shared" si="12"/>
        <v/>
      </c>
      <c r="K427" t="str">
        <f t="shared" si="13"/>
        <v/>
      </c>
    </row>
    <row r="428" spans="7:11" x14ac:dyDescent="0.2">
      <c r="G428" s="44"/>
      <c r="J428" t="str">
        <f t="shared" si="12"/>
        <v/>
      </c>
      <c r="K428" t="str">
        <f t="shared" si="13"/>
        <v/>
      </c>
    </row>
    <row r="429" spans="7:11" x14ac:dyDescent="0.2">
      <c r="G429" s="44"/>
      <c r="J429" t="str">
        <f t="shared" si="12"/>
        <v/>
      </c>
      <c r="K429" t="str">
        <f t="shared" si="13"/>
        <v/>
      </c>
    </row>
    <row r="430" spans="7:11" x14ac:dyDescent="0.2">
      <c r="G430" s="44"/>
      <c r="J430" t="str">
        <f t="shared" si="12"/>
        <v/>
      </c>
      <c r="K430" t="str">
        <f t="shared" si="13"/>
        <v/>
      </c>
    </row>
    <row r="431" spans="7:11" x14ac:dyDescent="0.2">
      <c r="G431" s="44"/>
      <c r="J431" t="str">
        <f t="shared" si="12"/>
        <v/>
      </c>
      <c r="K431" t="str">
        <f t="shared" si="13"/>
        <v/>
      </c>
    </row>
    <row r="432" spans="7:11" x14ac:dyDescent="0.2">
      <c r="G432" s="44"/>
      <c r="J432" t="str">
        <f t="shared" si="12"/>
        <v/>
      </c>
      <c r="K432" t="str">
        <f t="shared" si="13"/>
        <v/>
      </c>
    </row>
    <row r="433" spans="7:11" x14ac:dyDescent="0.2">
      <c r="G433" s="44"/>
      <c r="J433" t="str">
        <f t="shared" si="12"/>
        <v/>
      </c>
      <c r="K433" t="str">
        <f t="shared" si="13"/>
        <v/>
      </c>
    </row>
    <row r="434" spans="7:11" x14ac:dyDescent="0.2">
      <c r="G434" s="44"/>
      <c r="J434" t="str">
        <f t="shared" si="12"/>
        <v/>
      </c>
      <c r="K434" t="str">
        <f t="shared" si="13"/>
        <v/>
      </c>
    </row>
    <row r="435" spans="7:11" x14ac:dyDescent="0.2">
      <c r="G435" s="44"/>
      <c r="J435" t="str">
        <f t="shared" si="12"/>
        <v/>
      </c>
      <c r="K435" t="str">
        <f t="shared" si="13"/>
        <v/>
      </c>
    </row>
    <row r="436" spans="7:11" x14ac:dyDescent="0.2">
      <c r="G436" s="44"/>
      <c r="J436" t="str">
        <f t="shared" si="12"/>
        <v/>
      </c>
      <c r="K436" t="str">
        <f t="shared" si="13"/>
        <v/>
      </c>
    </row>
    <row r="437" spans="7:11" x14ac:dyDescent="0.2">
      <c r="G437" s="44"/>
      <c r="J437" t="str">
        <f t="shared" si="12"/>
        <v/>
      </c>
      <c r="K437" t="str">
        <f t="shared" si="13"/>
        <v/>
      </c>
    </row>
    <row r="438" spans="7:11" x14ac:dyDescent="0.2">
      <c r="G438" s="44"/>
      <c r="J438" t="str">
        <f t="shared" si="12"/>
        <v/>
      </c>
      <c r="K438" t="str">
        <f t="shared" si="13"/>
        <v/>
      </c>
    </row>
    <row r="439" spans="7:11" x14ac:dyDescent="0.2">
      <c r="G439" s="44"/>
      <c r="J439" t="str">
        <f t="shared" si="12"/>
        <v/>
      </c>
      <c r="K439" t="str">
        <f t="shared" si="13"/>
        <v/>
      </c>
    </row>
    <row r="440" spans="7:11" x14ac:dyDescent="0.2">
      <c r="G440" s="44"/>
      <c r="J440" t="str">
        <f t="shared" si="12"/>
        <v/>
      </c>
      <c r="K440" t="str">
        <f t="shared" si="13"/>
        <v/>
      </c>
    </row>
    <row r="441" spans="7:11" x14ac:dyDescent="0.2">
      <c r="G441" s="44"/>
      <c r="J441" t="str">
        <f t="shared" si="12"/>
        <v/>
      </c>
      <c r="K441" t="str">
        <f t="shared" si="13"/>
        <v/>
      </c>
    </row>
    <row r="442" spans="7:11" x14ac:dyDescent="0.2">
      <c r="G442" s="44"/>
      <c r="J442" t="str">
        <f t="shared" si="12"/>
        <v/>
      </c>
      <c r="K442" t="str">
        <f t="shared" si="13"/>
        <v/>
      </c>
    </row>
    <row r="443" spans="7:11" x14ac:dyDescent="0.2">
      <c r="G443" s="44"/>
      <c r="J443" t="str">
        <f t="shared" si="12"/>
        <v/>
      </c>
      <c r="K443" t="str">
        <f t="shared" si="13"/>
        <v/>
      </c>
    </row>
    <row r="444" spans="7:11" x14ac:dyDescent="0.2">
      <c r="G444" s="44"/>
      <c r="J444" t="str">
        <f t="shared" si="12"/>
        <v/>
      </c>
      <c r="K444" t="str">
        <f t="shared" si="13"/>
        <v/>
      </c>
    </row>
    <row r="445" spans="7:11" x14ac:dyDescent="0.2">
      <c r="G445" s="44"/>
      <c r="J445" t="str">
        <f t="shared" si="12"/>
        <v/>
      </c>
      <c r="K445" t="str">
        <f t="shared" si="13"/>
        <v/>
      </c>
    </row>
    <row r="446" spans="7:11" x14ac:dyDescent="0.2">
      <c r="G446" s="44"/>
      <c r="J446" t="str">
        <f t="shared" si="12"/>
        <v/>
      </c>
      <c r="K446" t="str">
        <f t="shared" si="13"/>
        <v/>
      </c>
    </row>
    <row r="447" spans="7:11" x14ac:dyDescent="0.2">
      <c r="G447" s="44"/>
      <c r="J447" t="str">
        <f t="shared" si="12"/>
        <v/>
      </c>
      <c r="K447" t="str">
        <f t="shared" si="13"/>
        <v/>
      </c>
    </row>
    <row r="448" spans="7:11" x14ac:dyDescent="0.2">
      <c r="G448" s="44"/>
      <c r="J448" t="str">
        <f t="shared" si="12"/>
        <v/>
      </c>
      <c r="K448" t="str">
        <f t="shared" si="13"/>
        <v/>
      </c>
    </row>
    <row r="449" spans="7:11" x14ac:dyDescent="0.2">
      <c r="G449" s="44"/>
      <c r="J449" t="str">
        <f t="shared" si="12"/>
        <v/>
      </c>
      <c r="K449" t="str">
        <f t="shared" si="13"/>
        <v/>
      </c>
    </row>
    <row r="450" spans="7:11" x14ac:dyDescent="0.2">
      <c r="G450" s="44"/>
      <c r="J450" t="str">
        <f t="shared" ref="J450:J513" si="14">IF(E450="","",IF(OR(E450=50,E450=51),"Iltindhold",IF(E450=75,"Carbon,org,NVOC",IF(OR(E450=343,E450=1167),"Svovlbrinte",IF(OR(E450=240,E450=241,E450=242),"Amm",IF(E450=244,"Nitrit",IF(E450=247,"Nitrat",IF(E450=334,"Sulfat",IF(E450=262,"Phosphor, total-P",F450)))))))))</f>
        <v/>
      </c>
      <c r="K450" t="str">
        <f t="shared" ref="K450:K513" si="15">IF(A450="","",IF(H450="!",NA(),IF(H450="A",I450*0.5,IF(H450="&lt;",I450*0.5,I450))))</f>
        <v/>
      </c>
    </row>
    <row r="451" spans="7:11" x14ac:dyDescent="0.2">
      <c r="G451" s="44"/>
      <c r="J451" t="str">
        <f t="shared" si="14"/>
        <v/>
      </c>
      <c r="K451" t="str">
        <f t="shared" si="15"/>
        <v/>
      </c>
    </row>
    <row r="452" spans="7:11" x14ac:dyDescent="0.2">
      <c r="G452" s="44"/>
      <c r="J452" t="str">
        <f t="shared" si="14"/>
        <v/>
      </c>
      <c r="K452" t="str">
        <f t="shared" si="15"/>
        <v/>
      </c>
    </row>
    <row r="453" spans="7:11" x14ac:dyDescent="0.2">
      <c r="G453" s="44"/>
      <c r="J453" t="str">
        <f t="shared" si="14"/>
        <v/>
      </c>
      <c r="K453" t="str">
        <f t="shared" si="15"/>
        <v/>
      </c>
    </row>
    <row r="454" spans="7:11" x14ac:dyDescent="0.2">
      <c r="G454" s="44"/>
      <c r="J454" t="str">
        <f t="shared" si="14"/>
        <v/>
      </c>
      <c r="K454" t="str">
        <f t="shared" si="15"/>
        <v/>
      </c>
    </row>
    <row r="455" spans="7:11" x14ac:dyDescent="0.2">
      <c r="G455" s="44"/>
      <c r="J455" t="str">
        <f t="shared" si="14"/>
        <v/>
      </c>
      <c r="K455" t="str">
        <f t="shared" si="15"/>
        <v/>
      </c>
    </row>
    <row r="456" spans="7:11" x14ac:dyDescent="0.2">
      <c r="G456" s="44"/>
      <c r="J456" t="str">
        <f t="shared" si="14"/>
        <v/>
      </c>
      <c r="K456" t="str">
        <f t="shared" si="15"/>
        <v/>
      </c>
    </row>
    <row r="457" spans="7:11" x14ac:dyDescent="0.2">
      <c r="G457" s="44"/>
      <c r="J457" t="str">
        <f t="shared" si="14"/>
        <v/>
      </c>
      <c r="K457" t="str">
        <f t="shared" si="15"/>
        <v/>
      </c>
    </row>
    <row r="458" spans="7:11" x14ac:dyDescent="0.2">
      <c r="G458" s="44"/>
      <c r="J458" t="str">
        <f t="shared" si="14"/>
        <v/>
      </c>
      <c r="K458" t="str">
        <f t="shared" si="15"/>
        <v/>
      </c>
    </row>
    <row r="459" spans="7:11" x14ac:dyDescent="0.2">
      <c r="G459" s="44"/>
      <c r="J459" t="str">
        <f t="shared" si="14"/>
        <v/>
      </c>
      <c r="K459" t="str">
        <f t="shared" si="15"/>
        <v/>
      </c>
    </row>
    <row r="460" spans="7:11" x14ac:dyDescent="0.2">
      <c r="G460" s="44"/>
      <c r="J460" t="str">
        <f t="shared" si="14"/>
        <v/>
      </c>
      <c r="K460" t="str">
        <f t="shared" si="15"/>
        <v/>
      </c>
    </row>
    <row r="461" spans="7:11" x14ac:dyDescent="0.2">
      <c r="G461" s="44"/>
      <c r="J461" t="str">
        <f t="shared" si="14"/>
        <v/>
      </c>
      <c r="K461" t="str">
        <f t="shared" si="15"/>
        <v/>
      </c>
    </row>
    <row r="462" spans="7:11" x14ac:dyDescent="0.2">
      <c r="G462" s="44"/>
      <c r="J462" t="str">
        <f t="shared" si="14"/>
        <v/>
      </c>
      <c r="K462" t="str">
        <f t="shared" si="15"/>
        <v/>
      </c>
    </row>
    <row r="463" spans="7:11" x14ac:dyDescent="0.2">
      <c r="G463" s="44"/>
      <c r="J463" t="str">
        <f t="shared" si="14"/>
        <v/>
      </c>
      <c r="K463" t="str">
        <f t="shared" si="15"/>
        <v/>
      </c>
    </row>
    <row r="464" spans="7:11" x14ac:dyDescent="0.2">
      <c r="G464" s="44"/>
      <c r="J464" t="str">
        <f t="shared" si="14"/>
        <v/>
      </c>
      <c r="K464" t="str">
        <f t="shared" si="15"/>
        <v/>
      </c>
    </row>
    <row r="465" spans="7:11" x14ac:dyDescent="0.2">
      <c r="G465" s="44"/>
      <c r="J465" t="str">
        <f t="shared" si="14"/>
        <v/>
      </c>
      <c r="K465" t="str">
        <f t="shared" si="15"/>
        <v/>
      </c>
    </row>
    <row r="466" spans="7:11" x14ac:dyDescent="0.2">
      <c r="G466" s="44"/>
      <c r="J466" t="str">
        <f t="shared" si="14"/>
        <v/>
      </c>
      <c r="K466" t="str">
        <f t="shared" si="15"/>
        <v/>
      </c>
    </row>
    <row r="467" spans="7:11" x14ac:dyDescent="0.2">
      <c r="G467" s="44"/>
      <c r="J467" t="str">
        <f t="shared" si="14"/>
        <v/>
      </c>
      <c r="K467" t="str">
        <f t="shared" si="15"/>
        <v/>
      </c>
    </row>
    <row r="468" spans="7:11" x14ac:dyDescent="0.2">
      <c r="G468" s="44"/>
      <c r="J468" t="str">
        <f t="shared" si="14"/>
        <v/>
      </c>
      <c r="K468" t="str">
        <f t="shared" si="15"/>
        <v/>
      </c>
    </row>
    <row r="469" spans="7:11" x14ac:dyDescent="0.2">
      <c r="G469" s="44"/>
      <c r="J469" t="str">
        <f t="shared" si="14"/>
        <v/>
      </c>
      <c r="K469" t="str">
        <f t="shared" si="15"/>
        <v/>
      </c>
    </row>
    <row r="470" spans="7:11" x14ac:dyDescent="0.2">
      <c r="G470" s="44"/>
      <c r="J470" t="str">
        <f t="shared" si="14"/>
        <v/>
      </c>
      <c r="K470" t="str">
        <f t="shared" si="15"/>
        <v/>
      </c>
    </row>
    <row r="471" spans="7:11" x14ac:dyDescent="0.2">
      <c r="G471" s="44"/>
      <c r="J471" t="str">
        <f t="shared" si="14"/>
        <v/>
      </c>
      <c r="K471" t="str">
        <f t="shared" si="15"/>
        <v/>
      </c>
    </row>
    <row r="472" spans="7:11" x14ac:dyDescent="0.2">
      <c r="G472" s="44"/>
      <c r="J472" t="str">
        <f t="shared" si="14"/>
        <v/>
      </c>
      <c r="K472" t="str">
        <f t="shared" si="15"/>
        <v/>
      </c>
    </row>
    <row r="473" spans="7:11" x14ac:dyDescent="0.2">
      <c r="G473" s="44"/>
      <c r="J473" t="str">
        <f t="shared" si="14"/>
        <v/>
      </c>
      <c r="K473" t="str">
        <f t="shared" si="15"/>
        <v/>
      </c>
    </row>
    <row r="474" spans="7:11" x14ac:dyDescent="0.2">
      <c r="G474" s="44"/>
      <c r="J474" t="str">
        <f t="shared" si="14"/>
        <v/>
      </c>
      <c r="K474" t="str">
        <f t="shared" si="15"/>
        <v/>
      </c>
    </row>
    <row r="475" spans="7:11" x14ac:dyDescent="0.2">
      <c r="G475" s="44"/>
      <c r="J475" t="str">
        <f t="shared" si="14"/>
        <v/>
      </c>
      <c r="K475" t="str">
        <f t="shared" si="15"/>
        <v/>
      </c>
    </row>
    <row r="476" spans="7:11" x14ac:dyDescent="0.2">
      <c r="G476" s="44"/>
      <c r="J476" t="str">
        <f t="shared" si="14"/>
        <v/>
      </c>
      <c r="K476" t="str">
        <f t="shared" si="15"/>
        <v/>
      </c>
    </row>
    <row r="477" spans="7:11" x14ac:dyDescent="0.2">
      <c r="G477" s="44"/>
      <c r="J477" t="str">
        <f t="shared" si="14"/>
        <v/>
      </c>
      <c r="K477" t="str">
        <f t="shared" si="15"/>
        <v/>
      </c>
    </row>
    <row r="478" spans="7:11" x14ac:dyDescent="0.2">
      <c r="G478" s="44"/>
      <c r="J478" t="str">
        <f t="shared" si="14"/>
        <v/>
      </c>
      <c r="K478" t="str">
        <f t="shared" si="15"/>
        <v/>
      </c>
    </row>
    <row r="479" spans="7:11" x14ac:dyDescent="0.2">
      <c r="G479" s="44"/>
      <c r="J479" t="str">
        <f t="shared" si="14"/>
        <v/>
      </c>
      <c r="K479" t="str">
        <f t="shared" si="15"/>
        <v/>
      </c>
    </row>
    <row r="480" spans="7:11" x14ac:dyDescent="0.2">
      <c r="G480" s="44"/>
      <c r="J480" t="str">
        <f t="shared" si="14"/>
        <v/>
      </c>
      <c r="K480" t="str">
        <f t="shared" si="15"/>
        <v/>
      </c>
    </row>
    <row r="481" spans="7:11" x14ac:dyDescent="0.2">
      <c r="G481" s="44"/>
      <c r="J481" t="str">
        <f t="shared" si="14"/>
        <v/>
      </c>
      <c r="K481" t="str">
        <f t="shared" si="15"/>
        <v/>
      </c>
    </row>
    <row r="482" spans="7:11" x14ac:dyDescent="0.2">
      <c r="G482" s="44"/>
      <c r="J482" t="str">
        <f t="shared" si="14"/>
        <v/>
      </c>
      <c r="K482" t="str">
        <f t="shared" si="15"/>
        <v/>
      </c>
    </row>
    <row r="483" spans="7:11" x14ac:dyDescent="0.2">
      <c r="G483" s="44"/>
      <c r="J483" t="str">
        <f t="shared" si="14"/>
        <v/>
      </c>
      <c r="K483" t="str">
        <f t="shared" si="15"/>
        <v/>
      </c>
    </row>
    <row r="484" spans="7:11" x14ac:dyDescent="0.2">
      <c r="G484" s="44"/>
      <c r="J484" t="str">
        <f t="shared" si="14"/>
        <v/>
      </c>
      <c r="K484" t="str">
        <f t="shared" si="15"/>
        <v/>
      </c>
    </row>
    <row r="485" spans="7:11" x14ac:dyDescent="0.2">
      <c r="G485" s="44"/>
      <c r="J485" t="str">
        <f t="shared" si="14"/>
        <v/>
      </c>
      <c r="K485" t="str">
        <f t="shared" si="15"/>
        <v/>
      </c>
    </row>
    <row r="486" spans="7:11" x14ac:dyDescent="0.2">
      <c r="G486" s="44"/>
      <c r="J486" t="str">
        <f t="shared" si="14"/>
        <v/>
      </c>
      <c r="K486" t="str">
        <f t="shared" si="15"/>
        <v/>
      </c>
    </row>
    <row r="487" spans="7:11" x14ac:dyDescent="0.2">
      <c r="G487" s="44"/>
      <c r="J487" t="str">
        <f t="shared" si="14"/>
        <v/>
      </c>
      <c r="K487" t="str">
        <f t="shared" si="15"/>
        <v/>
      </c>
    </row>
    <row r="488" spans="7:11" x14ac:dyDescent="0.2">
      <c r="G488" s="44"/>
      <c r="J488" t="str">
        <f t="shared" si="14"/>
        <v/>
      </c>
      <c r="K488" t="str">
        <f t="shared" si="15"/>
        <v/>
      </c>
    </row>
    <row r="489" spans="7:11" x14ac:dyDescent="0.2">
      <c r="G489" s="44"/>
      <c r="J489" t="str">
        <f t="shared" si="14"/>
        <v/>
      </c>
      <c r="K489" t="str">
        <f t="shared" si="15"/>
        <v/>
      </c>
    </row>
    <row r="490" spans="7:11" x14ac:dyDescent="0.2">
      <c r="G490" s="44"/>
      <c r="J490" t="str">
        <f t="shared" si="14"/>
        <v/>
      </c>
      <c r="K490" t="str">
        <f t="shared" si="15"/>
        <v/>
      </c>
    </row>
    <row r="491" spans="7:11" x14ac:dyDescent="0.2">
      <c r="G491" s="44"/>
      <c r="J491" t="str">
        <f t="shared" si="14"/>
        <v/>
      </c>
      <c r="K491" t="str">
        <f t="shared" si="15"/>
        <v/>
      </c>
    </row>
    <row r="492" spans="7:11" x14ac:dyDescent="0.2">
      <c r="G492" s="44"/>
      <c r="J492" t="str">
        <f t="shared" si="14"/>
        <v/>
      </c>
      <c r="K492" t="str">
        <f t="shared" si="15"/>
        <v/>
      </c>
    </row>
    <row r="493" spans="7:11" x14ac:dyDescent="0.2">
      <c r="G493" s="44"/>
      <c r="J493" t="str">
        <f t="shared" si="14"/>
        <v/>
      </c>
      <c r="K493" t="str">
        <f t="shared" si="15"/>
        <v/>
      </c>
    </row>
    <row r="494" spans="7:11" x14ac:dyDescent="0.2">
      <c r="G494" s="44"/>
      <c r="J494" t="str">
        <f t="shared" si="14"/>
        <v/>
      </c>
      <c r="K494" t="str">
        <f t="shared" si="15"/>
        <v/>
      </c>
    </row>
    <row r="495" spans="7:11" x14ac:dyDescent="0.2">
      <c r="G495" s="44"/>
      <c r="J495" t="str">
        <f t="shared" si="14"/>
        <v/>
      </c>
      <c r="K495" t="str">
        <f t="shared" si="15"/>
        <v/>
      </c>
    </row>
    <row r="496" spans="7:11" x14ac:dyDescent="0.2">
      <c r="G496" s="44"/>
      <c r="J496" t="str">
        <f t="shared" si="14"/>
        <v/>
      </c>
      <c r="K496" t="str">
        <f t="shared" si="15"/>
        <v/>
      </c>
    </row>
    <row r="497" spans="7:11" x14ac:dyDescent="0.2">
      <c r="G497" s="44"/>
      <c r="J497" t="str">
        <f t="shared" si="14"/>
        <v/>
      </c>
      <c r="K497" t="str">
        <f t="shared" si="15"/>
        <v/>
      </c>
    </row>
    <row r="498" spans="7:11" x14ac:dyDescent="0.2">
      <c r="G498" s="44"/>
      <c r="J498" t="str">
        <f t="shared" si="14"/>
        <v/>
      </c>
      <c r="K498" t="str">
        <f t="shared" si="15"/>
        <v/>
      </c>
    </row>
    <row r="499" spans="7:11" x14ac:dyDescent="0.2">
      <c r="G499" s="44"/>
      <c r="J499" t="str">
        <f t="shared" si="14"/>
        <v/>
      </c>
      <c r="K499" t="str">
        <f t="shared" si="15"/>
        <v/>
      </c>
    </row>
    <row r="500" spans="7:11" x14ac:dyDescent="0.2">
      <c r="G500" s="44"/>
      <c r="J500" t="str">
        <f t="shared" si="14"/>
        <v/>
      </c>
      <c r="K500" t="str">
        <f t="shared" si="15"/>
        <v/>
      </c>
    </row>
    <row r="501" spans="7:11" x14ac:dyDescent="0.2">
      <c r="G501" s="44"/>
      <c r="J501" t="str">
        <f t="shared" si="14"/>
        <v/>
      </c>
      <c r="K501" t="str">
        <f t="shared" si="15"/>
        <v/>
      </c>
    </row>
    <row r="502" spans="7:11" x14ac:dyDescent="0.2">
      <c r="G502" s="44"/>
      <c r="J502" t="str">
        <f t="shared" si="14"/>
        <v/>
      </c>
      <c r="K502" t="str">
        <f t="shared" si="15"/>
        <v/>
      </c>
    </row>
    <row r="503" spans="7:11" x14ac:dyDescent="0.2">
      <c r="G503" s="44"/>
      <c r="J503" t="str">
        <f t="shared" si="14"/>
        <v/>
      </c>
      <c r="K503" t="str">
        <f t="shared" si="15"/>
        <v/>
      </c>
    </row>
    <row r="504" spans="7:11" x14ac:dyDescent="0.2">
      <c r="G504" s="44"/>
      <c r="J504" t="str">
        <f t="shared" si="14"/>
        <v/>
      </c>
      <c r="K504" t="str">
        <f t="shared" si="15"/>
        <v/>
      </c>
    </row>
    <row r="505" spans="7:11" x14ac:dyDescent="0.2">
      <c r="G505" s="44"/>
      <c r="J505" t="str">
        <f t="shared" si="14"/>
        <v/>
      </c>
      <c r="K505" t="str">
        <f t="shared" si="15"/>
        <v/>
      </c>
    </row>
    <row r="506" spans="7:11" x14ac:dyDescent="0.2">
      <c r="G506" s="44"/>
      <c r="J506" t="str">
        <f t="shared" si="14"/>
        <v/>
      </c>
      <c r="K506" t="str">
        <f t="shared" si="15"/>
        <v/>
      </c>
    </row>
    <row r="507" spans="7:11" x14ac:dyDescent="0.2">
      <c r="G507" s="44"/>
      <c r="J507" t="str">
        <f t="shared" si="14"/>
        <v/>
      </c>
      <c r="K507" t="str">
        <f t="shared" si="15"/>
        <v/>
      </c>
    </row>
    <row r="508" spans="7:11" x14ac:dyDescent="0.2">
      <c r="G508" s="44"/>
      <c r="J508" t="str">
        <f t="shared" si="14"/>
        <v/>
      </c>
      <c r="K508" t="str">
        <f t="shared" si="15"/>
        <v/>
      </c>
    </row>
    <row r="509" spans="7:11" x14ac:dyDescent="0.2">
      <c r="G509" s="44"/>
      <c r="J509" t="str">
        <f t="shared" si="14"/>
        <v/>
      </c>
      <c r="K509" t="str">
        <f t="shared" si="15"/>
        <v/>
      </c>
    </row>
    <row r="510" spans="7:11" x14ac:dyDescent="0.2">
      <c r="G510" s="44"/>
      <c r="J510" t="str">
        <f t="shared" si="14"/>
        <v/>
      </c>
      <c r="K510" t="str">
        <f t="shared" si="15"/>
        <v/>
      </c>
    </row>
    <row r="511" spans="7:11" x14ac:dyDescent="0.2">
      <c r="G511" s="44"/>
      <c r="J511" t="str">
        <f t="shared" si="14"/>
        <v/>
      </c>
      <c r="K511" t="str">
        <f t="shared" si="15"/>
        <v/>
      </c>
    </row>
    <row r="512" spans="7:11" x14ac:dyDescent="0.2">
      <c r="G512" s="44"/>
      <c r="J512" t="str">
        <f t="shared" si="14"/>
        <v/>
      </c>
      <c r="K512" t="str">
        <f t="shared" si="15"/>
        <v/>
      </c>
    </row>
    <row r="513" spans="7:11" x14ac:dyDescent="0.2">
      <c r="G513" s="44"/>
      <c r="J513" t="str">
        <f t="shared" si="14"/>
        <v/>
      </c>
      <c r="K513" t="str">
        <f t="shared" si="15"/>
        <v/>
      </c>
    </row>
    <row r="514" spans="7:11" x14ac:dyDescent="0.2">
      <c r="G514" s="44"/>
      <c r="J514" t="str">
        <f t="shared" ref="J514:J577" si="16">IF(E514="","",IF(OR(E514=50,E514=51),"Iltindhold",IF(E514=75,"Carbon,org,NVOC",IF(OR(E514=343,E514=1167),"Svovlbrinte",IF(OR(E514=240,E514=241,E514=242),"Amm",IF(E514=244,"Nitrit",IF(E514=247,"Nitrat",IF(E514=334,"Sulfat",IF(E514=262,"Phosphor, total-P",F514)))))))))</f>
        <v/>
      </c>
      <c r="K514" t="str">
        <f t="shared" ref="K514:K577" si="17">IF(A514="","",IF(H514="!",NA(),IF(H514="A",I514*0.5,IF(H514="&lt;",I514*0.5,I514))))</f>
        <v/>
      </c>
    </row>
    <row r="515" spans="7:11" x14ac:dyDescent="0.2">
      <c r="G515" s="44"/>
      <c r="J515" t="str">
        <f t="shared" si="16"/>
        <v/>
      </c>
      <c r="K515" t="str">
        <f t="shared" si="17"/>
        <v/>
      </c>
    </row>
    <row r="516" spans="7:11" x14ac:dyDescent="0.2">
      <c r="G516" s="44"/>
      <c r="J516" t="str">
        <f t="shared" si="16"/>
        <v/>
      </c>
      <c r="K516" t="str">
        <f t="shared" si="17"/>
        <v/>
      </c>
    </row>
    <row r="517" spans="7:11" x14ac:dyDescent="0.2">
      <c r="G517" s="44"/>
      <c r="J517" t="str">
        <f t="shared" si="16"/>
        <v/>
      </c>
      <c r="K517" t="str">
        <f t="shared" si="17"/>
        <v/>
      </c>
    </row>
    <row r="518" spans="7:11" x14ac:dyDescent="0.2">
      <c r="G518" s="44"/>
      <c r="J518" t="str">
        <f t="shared" si="16"/>
        <v/>
      </c>
      <c r="K518" t="str">
        <f t="shared" si="17"/>
        <v/>
      </c>
    </row>
    <row r="519" spans="7:11" x14ac:dyDescent="0.2">
      <c r="G519" s="44"/>
      <c r="J519" t="str">
        <f t="shared" si="16"/>
        <v/>
      </c>
      <c r="K519" t="str">
        <f t="shared" si="17"/>
        <v/>
      </c>
    </row>
    <row r="520" spans="7:11" x14ac:dyDescent="0.2">
      <c r="G520" s="44"/>
      <c r="J520" t="str">
        <f t="shared" si="16"/>
        <v/>
      </c>
      <c r="K520" t="str">
        <f t="shared" si="17"/>
        <v/>
      </c>
    </row>
    <row r="521" spans="7:11" x14ac:dyDescent="0.2">
      <c r="G521" s="44"/>
      <c r="J521" t="str">
        <f t="shared" si="16"/>
        <v/>
      </c>
      <c r="K521" t="str">
        <f t="shared" si="17"/>
        <v/>
      </c>
    </row>
    <row r="522" spans="7:11" x14ac:dyDescent="0.2">
      <c r="G522" s="44"/>
      <c r="J522" t="str">
        <f t="shared" si="16"/>
        <v/>
      </c>
      <c r="K522" t="str">
        <f t="shared" si="17"/>
        <v/>
      </c>
    </row>
    <row r="523" spans="7:11" x14ac:dyDescent="0.2">
      <c r="G523" s="44"/>
      <c r="J523" t="str">
        <f t="shared" si="16"/>
        <v/>
      </c>
      <c r="K523" t="str">
        <f t="shared" si="17"/>
        <v/>
      </c>
    </row>
    <row r="524" spans="7:11" x14ac:dyDescent="0.2">
      <c r="G524" s="44"/>
      <c r="J524" t="str">
        <f t="shared" si="16"/>
        <v/>
      </c>
      <c r="K524" t="str">
        <f t="shared" si="17"/>
        <v/>
      </c>
    </row>
    <row r="525" spans="7:11" x14ac:dyDescent="0.2">
      <c r="G525" s="44"/>
      <c r="J525" t="str">
        <f t="shared" si="16"/>
        <v/>
      </c>
      <c r="K525" t="str">
        <f t="shared" si="17"/>
        <v/>
      </c>
    </row>
    <row r="526" spans="7:11" x14ac:dyDescent="0.2">
      <c r="G526" s="44"/>
      <c r="J526" t="str">
        <f t="shared" si="16"/>
        <v/>
      </c>
      <c r="K526" t="str">
        <f t="shared" si="17"/>
        <v/>
      </c>
    </row>
    <row r="527" spans="7:11" x14ac:dyDescent="0.2">
      <c r="G527" s="44"/>
      <c r="J527" t="str">
        <f t="shared" si="16"/>
        <v/>
      </c>
      <c r="K527" t="str">
        <f t="shared" si="17"/>
        <v/>
      </c>
    </row>
    <row r="528" spans="7:11" x14ac:dyDescent="0.2">
      <c r="G528" s="44"/>
      <c r="J528" t="str">
        <f t="shared" si="16"/>
        <v/>
      </c>
      <c r="K528" t="str">
        <f t="shared" si="17"/>
        <v/>
      </c>
    </row>
    <row r="529" spans="7:11" x14ac:dyDescent="0.2">
      <c r="G529" s="44"/>
      <c r="J529" t="str">
        <f t="shared" si="16"/>
        <v/>
      </c>
      <c r="K529" t="str">
        <f t="shared" si="17"/>
        <v/>
      </c>
    </row>
    <row r="530" spans="7:11" x14ac:dyDescent="0.2">
      <c r="G530" s="44"/>
      <c r="J530" t="str">
        <f t="shared" si="16"/>
        <v/>
      </c>
      <c r="K530" t="str">
        <f t="shared" si="17"/>
        <v/>
      </c>
    </row>
    <row r="531" spans="7:11" x14ac:dyDescent="0.2">
      <c r="G531" s="44"/>
      <c r="J531" t="str">
        <f t="shared" si="16"/>
        <v/>
      </c>
      <c r="K531" t="str">
        <f t="shared" si="17"/>
        <v/>
      </c>
    </row>
    <row r="532" spans="7:11" x14ac:dyDescent="0.2">
      <c r="G532" s="44"/>
      <c r="J532" t="str">
        <f t="shared" si="16"/>
        <v/>
      </c>
      <c r="K532" t="str">
        <f t="shared" si="17"/>
        <v/>
      </c>
    </row>
    <row r="533" spans="7:11" x14ac:dyDescent="0.2">
      <c r="G533" s="44"/>
      <c r="J533" t="str">
        <f t="shared" si="16"/>
        <v/>
      </c>
      <c r="K533" t="str">
        <f t="shared" si="17"/>
        <v/>
      </c>
    </row>
    <row r="534" spans="7:11" x14ac:dyDescent="0.2">
      <c r="G534" s="44"/>
      <c r="J534" t="str">
        <f t="shared" si="16"/>
        <v/>
      </c>
      <c r="K534" t="str">
        <f t="shared" si="17"/>
        <v/>
      </c>
    </row>
    <row r="535" spans="7:11" x14ac:dyDescent="0.2">
      <c r="G535" s="44"/>
      <c r="J535" t="str">
        <f t="shared" si="16"/>
        <v/>
      </c>
      <c r="K535" t="str">
        <f t="shared" si="17"/>
        <v/>
      </c>
    </row>
    <row r="536" spans="7:11" x14ac:dyDescent="0.2">
      <c r="G536" s="44"/>
      <c r="J536" t="str">
        <f t="shared" si="16"/>
        <v/>
      </c>
      <c r="K536" t="str">
        <f t="shared" si="17"/>
        <v/>
      </c>
    </row>
    <row r="537" spans="7:11" x14ac:dyDescent="0.2">
      <c r="G537" s="44"/>
      <c r="J537" t="str">
        <f t="shared" si="16"/>
        <v/>
      </c>
      <c r="K537" t="str">
        <f t="shared" si="17"/>
        <v/>
      </c>
    </row>
    <row r="538" spans="7:11" x14ac:dyDescent="0.2">
      <c r="G538" s="44"/>
      <c r="J538" t="str">
        <f t="shared" si="16"/>
        <v/>
      </c>
      <c r="K538" t="str">
        <f t="shared" si="17"/>
        <v/>
      </c>
    </row>
    <row r="539" spans="7:11" x14ac:dyDescent="0.2">
      <c r="G539" s="44"/>
      <c r="J539" t="str">
        <f t="shared" si="16"/>
        <v/>
      </c>
      <c r="K539" t="str">
        <f t="shared" si="17"/>
        <v/>
      </c>
    </row>
    <row r="540" spans="7:11" x14ac:dyDescent="0.2">
      <c r="G540" s="44"/>
      <c r="J540" t="str">
        <f t="shared" si="16"/>
        <v/>
      </c>
      <c r="K540" t="str">
        <f t="shared" si="17"/>
        <v/>
      </c>
    </row>
    <row r="541" spans="7:11" x14ac:dyDescent="0.2">
      <c r="G541" s="44"/>
      <c r="J541" t="str">
        <f t="shared" si="16"/>
        <v/>
      </c>
      <c r="K541" t="str">
        <f t="shared" si="17"/>
        <v/>
      </c>
    </row>
    <row r="542" spans="7:11" x14ac:dyDescent="0.2">
      <c r="G542" s="44"/>
      <c r="J542" t="str">
        <f t="shared" si="16"/>
        <v/>
      </c>
      <c r="K542" t="str">
        <f t="shared" si="17"/>
        <v/>
      </c>
    </row>
    <row r="543" spans="7:11" x14ac:dyDescent="0.2">
      <c r="G543" s="44"/>
      <c r="J543" t="str">
        <f t="shared" si="16"/>
        <v/>
      </c>
      <c r="K543" t="str">
        <f t="shared" si="17"/>
        <v/>
      </c>
    </row>
    <row r="544" spans="7:11" x14ac:dyDescent="0.2">
      <c r="G544" s="44"/>
      <c r="J544" t="str">
        <f t="shared" si="16"/>
        <v/>
      </c>
      <c r="K544" t="str">
        <f t="shared" si="17"/>
        <v/>
      </c>
    </row>
    <row r="545" spans="7:11" x14ac:dyDescent="0.2">
      <c r="G545" s="44"/>
      <c r="J545" t="str">
        <f t="shared" si="16"/>
        <v/>
      </c>
      <c r="K545" t="str">
        <f t="shared" si="17"/>
        <v/>
      </c>
    </row>
    <row r="546" spans="7:11" x14ac:dyDescent="0.2">
      <c r="G546" s="44"/>
      <c r="J546" t="str">
        <f t="shared" si="16"/>
        <v/>
      </c>
      <c r="K546" t="str">
        <f t="shared" si="17"/>
        <v/>
      </c>
    </row>
    <row r="547" spans="7:11" x14ac:dyDescent="0.2">
      <c r="G547" s="44"/>
      <c r="J547" t="str">
        <f t="shared" si="16"/>
        <v/>
      </c>
      <c r="K547" t="str">
        <f t="shared" si="17"/>
        <v/>
      </c>
    </row>
    <row r="548" spans="7:11" x14ac:dyDescent="0.2">
      <c r="G548" s="44"/>
      <c r="J548" t="str">
        <f t="shared" si="16"/>
        <v/>
      </c>
      <c r="K548" t="str">
        <f t="shared" si="17"/>
        <v/>
      </c>
    </row>
    <row r="549" spans="7:11" x14ac:dyDescent="0.2">
      <c r="G549" s="44"/>
      <c r="J549" t="str">
        <f t="shared" si="16"/>
        <v/>
      </c>
      <c r="K549" t="str">
        <f t="shared" si="17"/>
        <v/>
      </c>
    </row>
    <row r="550" spans="7:11" x14ac:dyDescent="0.2">
      <c r="G550" s="44"/>
      <c r="J550" t="str">
        <f t="shared" si="16"/>
        <v/>
      </c>
      <c r="K550" t="str">
        <f t="shared" si="17"/>
        <v/>
      </c>
    </row>
    <row r="551" spans="7:11" x14ac:dyDescent="0.2">
      <c r="G551" s="44"/>
      <c r="J551" t="str">
        <f t="shared" si="16"/>
        <v/>
      </c>
      <c r="K551" t="str">
        <f t="shared" si="17"/>
        <v/>
      </c>
    </row>
    <row r="552" spans="7:11" x14ac:dyDescent="0.2">
      <c r="G552" s="44"/>
      <c r="J552" t="str">
        <f t="shared" si="16"/>
        <v/>
      </c>
      <c r="K552" t="str">
        <f t="shared" si="17"/>
        <v/>
      </c>
    </row>
    <row r="553" spans="7:11" x14ac:dyDescent="0.2">
      <c r="G553" s="44"/>
      <c r="J553" t="str">
        <f t="shared" si="16"/>
        <v/>
      </c>
      <c r="K553" t="str">
        <f t="shared" si="17"/>
        <v/>
      </c>
    </row>
    <row r="554" spans="7:11" x14ac:dyDescent="0.2">
      <c r="G554" s="44"/>
      <c r="J554" t="str">
        <f t="shared" si="16"/>
        <v/>
      </c>
      <c r="K554" t="str">
        <f t="shared" si="17"/>
        <v/>
      </c>
    </row>
    <row r="555" spans="7:11" x14ac:dyDescent="0.2">
      <c r="G555" s="44"/>
      <c r="J555" t="str">
        <f t="shared" si="16"/>
        <v/>
      </c>
      <c r="K555" t="str">
        <f t="shared" si="17"/>
        <v/>
      </c>
    </row>
    <row r="556" spans="7:11" x14ac:dyDescent="0.2">
      <c r="G556" s="44"/>
      <c r="J556" t="str">
        <f t="shared" si="16"/>
        <v/>
      </c>
      <c r="K556" t="str">
        <f t="shared" si="17"/>
        <v/>
      </c>
    </row>
    <row r="557" spans="7:11" x14ac:dyDescent="0.2">
      <c r="G557" s="44"/>
      <c r="J557" t="str">
        <f t="shared" si="16"/>
        <v/>
      </c>
      <c r="K557" t="str">
        <f t="shared" si="17"/>
        <v/>
      </c>
    </row>
    <row r="558" spans="7:11" x14ac:dyDescent="0.2">
      <c r="G558" s="44"/>
      <c r="J558" t="str">
        <f t="shared" si="16"/>
        <v/>
      </c>
      <c r="K558" t="str">
        <f t="shared" si="17"/>
        <v/>
      </c>
    </row>
    <row r="559" spans="7:11" x14ac:dyDescent="0.2">
      <c r="G559" s="44"/>
      <c r="J559" t="str">
        <f t="shared" si="16"/>
        <v/>
      </c>
      <c r="K559" t="str">
        <f t="shared" si="17"/>
        <v/>
      </c>
    </row>
    <row r="560" spans="7:11" x14ac:dyDescent="0.2">
      <c r="G560" s="44"/>
      <c r="J560" t="str">
        <f t="shared" si="16"/>
        <v/>
      </c>
      <c r="K560" t="str">
        <f t="shared" si="17"/>
        <v/>
      </c>
    </row>
    <row r="561" spans="7:11" x14ac:dyDescent="0.2">
      <c r="G561" s="44"/>
      <c r="J561" t="str">
        <f t="shared" si="16"/>
        <v/>
      </c>
      <c r="K561" t="str">
        <f t="shared" si="17"/>
        <v/>
      </c>
    </row>
    <row r="562" spans="7:11" x14ac:dyDescent="0.2">
      <c r="G562" s="44"/>
      <c r="J562" t="str">
        <f t="shared" si="16"/>
        <v/>
      </c>
      <c r="K562" t="str">
        <f t="shared" si="17"/>
        <v/>
      </c>
    </row>
    <row r="563" spans="7:11" x14ac:dyDescent="0.2">
      <c r="G563" s="44"/>
      <c r="J563" t="str">
        <f t="shared" si="16"/>
        <v/>
      </c>
      <c r="K563" t="str">
        <f t="shared" si="17"/>
        <v/>
      </c>
    </row>
    <row r="564" spans="7:11" x14ac:dyDescent="0.2">
      <c r="G564" s="44"/>
      <c r="J564" t="str">
        <f t="shared" si="16"/>
        <v/>
      </c>
      <c r="K564" t="str">
        <f t="shared" si="17"/>
        <v/>
      </c>
    </row>
    <row r="565" spans="7:11" x14ac:dyDescent="0.2">
      <c r="G565" s="44"/>
      <c r="J565" t="str">
        <f t="shared" si="16"/>
        <v/>
      </c>
      <c r="K565" t="str">
        <f t="shared" si="17"/>
        <v/>
      </c>
    </row>
    <row r="566" spans="7:11" x14ac:dyDescent="0.2">
      <c r="G566" s="44"/>
      <c r="J566" t="str">
        <f t="shared" si="16"/>
        <v/>
      </c>
      <c r="K566" t="str">
        <f t="shared" si="17"/>
        <v/>
      </c>
    </row>
    <row r="567" spans="7:11" x14ac:dyDescent="0.2">
      <c r="G567" s="44"/>
      <c r="J567" t="str">
        <f t="shared" si="16"/>
        <v/>
      </c>
      <c r="K567" t="str">
        <f t="shared" si="17"/>
        <v/>
      </c>
    </row>
    <row r="568" spans="7:11" x14ac:dyDescent="0.2">
      <c r="G568" s="44"/>
      <c r="J568" t="str">
        <f t="shared" si="16"/>
        <v/>
      </c>
      <c r="K568" t="str">
        <f t="shared" si="17"/>
        <v/>
      </c>
    </row>
    <row r="569" spans="7:11" x14ac:dyDescent="0.2">
      <c r="G569" s="44"/>
      <c r="J569" t="str">
        <f t="shared" si="16"/>
        <v/>
      </c>
      <c r="K569" t="str">
        <f t="shared" si="17"/>
        <v/>
      </c>
    </row>
    <row r="570" spans="7:11" x14ac:dyDescent="0.2">
      <c r="G570" s="44"/>
      <c r="J570" t="str">
        <f t="shared" si="16"/>
        <v/>
      </c>
      <c r="K570" t="str">
        <f t="shared" si="17"/>
        <v/>
      </c>
    </row>
    <row r="571" spans="7:11" x14ac:dyDescent="0.2">
      <c r="G571" s="44"/>
      <c r="J571" t="str">
        <f t="shared" si="16"/>
        <v/>
      </c>
      <c r="K571" t="str">
        <f t="shared" si="17"/>
        <v/>
      </c>
    </row>
    <row r="572" spans="7:11" x14ac:dyDescent="0.2">
      <c r="G572" s="44"/>
      <c r="J572" t="str">
        <f t="shared" si="16"/>
        <v/>
      </c>
      <c r="K572" t="str">
        <f t="shared" si="17"/>
        <v/>
      </c>
    </row>
    <row r="573" spans="7:11" x14ac:dyDescent="0.2">
      <c r="G573" s="44"/>
      <c r="J573" t="str">
        <f t="shared" si="16"/>
        <v/>
      </c>
      <c r="K573" t="str">
        <f t="shared" si="17"/>
        <v/>
      </c>
    </row>
    <row r="574" spans="7:11" x14ac:dyDescent="0.2">
      <c r="G574" s="44"/>
      <c r="J574" t="str">
        <f t="shared" si="16"/>
        <v/>
      </c>
      <c r="K574" t="str">
        <f t="shared" si="17"/>
        <v/>
      </c>
    </row>
    <row r="575" spans="7:11" x14ac:dyDescent="0.2">
      <c r="G575" s="44"/>
      <c r="J575" t="str">
        <f t="shared" si="16"/>
        <v/>
      </c>
      <c r="K575" t="str">
        <f t="shared" si="17"/>
        <v/>
      </c>
    </row>
    <row r="576" spans="7:11" x14ac:dyDescent="0.2">
      <c r="G576" s="44"/>
      <c r="J576" t="str">
        <f t="shared" si="16"/>
        <v/>
      </c>
      <c r="K576" t="str">
        <f t="shared" si="17"/>
        <v/>
      </c>
    </row>
    <row r="577" spans="7:11" x14ac:dyDescent="0.2">
      <c r="G577" s="44"/>
      <c r="J577" t="str">
        <f t="shared" si="16"/>
        <v/>
      </c>
      <c r="K577" t="str">
        <f t="shared" si="17"/>
        <v/>
      </c>
    </row>
    <row r="578" spans="7:11" x14ac:dyDescent="0.2">
      <c r="G578" s="44"/>
      <c r="J578" t="str">
        <f t="shared" ref="J578:J641" si="18">IF(E578="","",IF(OR(E578=50,E578=51),"Iltindhold",IF(E578=75,"Carbon,org,NVOC",IF(OR(E578=343,E578=1167),"Svovlbrinte",IF(OR(E578=240,E578=241,E578=242),"Amm",IF(E578=244,"Nitrit",IF(E578=247,"Nitrat",IF(E578=334,"Sulfat",IF(E578=262,"Phosphor, total-P",F578)))))))))</f>
        <v/>
      </c>
      <c r="K578" t="str">
        <f t="shared" ref="K578:K641" si="19">IF(A578="","",IF(H578="!",NA(),IF(H578="A",I578*0.5,IF(H578="&lt;",I578*0.5,I578))))</f>
        <v/>
      </c>
    </row>
    <row r="579" spans="7:11" x14ac:dyDescent="0.2">
      <c r="G579" s="44"/>
      <c r="J579" t="str">
        <f t="shared" si="18"/>
        <v/>
      </c>
      <c r="K579" t="str">
        <f t="shared" si="19"/>
        <v/>
      </c>
    </row>
    <row r="580" spans="7:11" x14ac:dyDescent="0.2">
      <c r="G580" s="44"/>
      <c r="J580" t="str">
        <f t="shared" si="18"/>
        <v/>
      </c>
      <c r="K580" t="str">
        <f t="shared" si="19"/>
        <v/>
      </c>
    </row>
    <row r="581" spans="7:11" x14ac:dyDescent="0.2">
      <c r="G581" s="44"/>
      <c r="J581" t="str">
        <f t="shared" si="18"/>
        <v/>
      </c>
      <c r="K581" t="str">
        <f t="shared" si="19"/>
        <v/>
      </c>
    </row>
    <row r="582" spans="7:11" x14ac:dyDescent="0.2">
      <c r="G582" s="44"/>
      <c r="J582" t="str">
        <f t="shared" si="18"/>
        <v/>
      </c>
      <c r="K582" t="str">
        <f t="shared" si="19"/>
        <v/>
      </c>
    </row>
    <row r="583" spans="7:11" x14ac:dyDescent="0.2">
      <c r="G583" s="44"/>
      <c r="J583" t="str">
        <f t="shared" si="18"/>
        <v/>
      </c>
      <c r="K583" t="str">
        <f t="shared" si="19"/>
        <v/>
      </c>
    </row>
    <row r="584" spans="7:11" x14ac:dyDescent="0.2">
      <c r="G584" s="44"/>
      <c r="J584" t="str">
        <f t="shared" si="18"/>
        <v/>
      </c>
      <c r="K584" t="str">
        <f t="shared" si="19"/>
        <v/>
      </c>
    </row>
    <row r="585" spans="7:11" x14ac:dyDescent="0.2">
      <c r="G585" s="44"/>
      <c r="J585" t="str">
        <f t="shared" si="18"/>
        <v/>
      </c>
      <c r="K585" t="str">
        <f t="shared" si="19"/>
        <v/>
      </c>
    </row>
    <row r="586" spans="7:11" x14ac:dyDescent="0.2">
      <c r="G586" s="44"/>
      <c r="J586" t="str">
        <f t="shared" si="18"/>
        <v/>
      </c>
      <c r="K586" t="str">
        <f t="shared" si="19"/>
        <v/>
      </c>
    </row>
    <row r="587" spans="7:11" x14ac:dyDescent="0.2">
      <c r="G587" s="44"/>
      <c r="J587" t="str">
        <f t="shared" si="18"/>
        <v/>
      </c>
      <c r="K587" t="str">
        <f t="shared" si="19"/>
        <v/>
      </c>
    </row>
    <row r="588" spans="7:11" x14ac:dyDescent="0.2">
      <c r="G588" s="44"/>
      <c r="J588" t="str">
        <f t="shared" si="18"/>
        <v/>
      </c>
      <c r="K588" t="str">
        <f t="shared" si="19"/>
        <v/>
      </c>
    </row>
    <row r="589" spans="7:11" x14ac:dyDescent="0.2">
      <c r="G589" s="44"/>
      <c r="J589" t="str">
        <f t="shared" si="18"/>
        <v/>
      </c>
      <c r="K589" t="str">
        <f t="shared" si="19"/>
        <v/>
      </c>
    </row>
    <row r="590" spans="7:11" x14ac:dyDescent="0.2">
      <c r="G590" s="44"/>
      <c r="J590" t="str">
        <f t="shared" si="18"/>
        <v/>
      </c>
      <c r="K590" t="str">
        <f t="shared" si="19"/>
        <v/>
      </c>
    </row>
    <row r="591" spans="7:11" x14ac:dyDescent="0.2">
      <c r="G591" s="44"/>
      <c r="J591" t="str">
        <f t="shared" si="18"/>
        <v/>
      </c>
      <c r="K591" t="str">
        <f t="shared" si="19"/>
        <v/>
      </c>
    </row>
    <row r="592" spans="7:11" x14ac:dyDescent="0.2">
      <c r="G592" s="44"/>
      <c r="J592" t="str">
        <f t="shared" si="18"/>
        <v/>
      </c>
      <c r="K592" t="str">
        <f t="shared" si="19"/>
        <v/>
      </c>
    </row>
    <row r="593" spans="7:11" x14ac:dyDescent="0.2">
      <c r="G593" s="44"/>
      <c r="J593" t="str">
        <f t="shared" si="18"/>
        <v/>
      </c>
      <c r="K593" t="str">
        <f t="shared" si="19"/>
        <v/>
      </c>
    </row>
    <row r="594" spans="7:11" x14ac:dyDescent="0.2">
      <c r="G594" s="44"/>
      <c r="J594" t="str">
        <f t="shared" si="18"/>
        <v/>
      </c>
      <c r="K594" t="str">
        <f t="shared" si="19"/>
        <v/>
      </c>
    </row>
    <row r="595" spans="7:11" x14ac:dyDescent="0.2">
      <c r="G595" s="44"/>
      <c r="J595" t="str">
        <f t="shared" si="18"/>
        <v/>
      </c>
      <c r="K595" t="str">
        <f t="shared" si="19"/>
        <v/>
      </c>
    </row>
    <row r="596" spans="7:11" x14ac:dyDescent="0.2">
      <c r="G596" s="44"/>
      <c r="J596" t="str">
        <f t="shared" si="18"/>
        <v/>
      </c>
      <c r="K596" t="str">
        <f t="shared" si="19"/>
        <v/>
      </c>
    </row>
    <row r="597" spans="7:11" x14ac:dyDescent="0.2">
      <c r="G597" s="44"/>
      <c r="J597" t="str">
        <f t="shared" si="18"/>
        <v/>
      </c>
      <c r="K597" t="str">
        <f t="shared" si="19"/>
        <v/>
      </c>
    </row>
    <row r="598" spans="7:11" x14ac:dyDescent="0.2">
      <c r="G598" s="44"/>
      <c r="J598" t="str">
        <f t="shared" si="18"/>
        <v/>
      </c>
      <c r="K598" t="str">
        <f t="shared" si="19"/>
        <v/>
      </c>
    </row>
    <row r="599" spans="7:11" x14ac:dyDescent="0.2">
      <c r="G599" s="44"/>
      <c r="J599" t="str">
        <f t="shared" si="18"/>
        <v/>
      </c>
      <c r="K599" t="str">
        <f t="shared" si="19"/>
        <v/>
      </c>
    </row>
    <row r="600" spans="7:11" x14ac:dyDescent="0.2">
      <c r="G600" s="44"/>
      <c r="J600" t="str">
        <f t="shared" si="18"/>
        <v/>
      </c>
      <c r="K600" t="str">
        <f t="shared" si="19"/>
        <v/>
      </c>
    </row>
    <row r="601" spans="7:11" x14ac:dyDescent="0.2">
      <c r="G601" s="44"/>
      <c r="J601" t="str">
        <f t="shared" si="18"/>
        <v/>
      </c>
      <c r="K601" t="str">
        <f t="shared" si="19"/>
        <v/>
      </c>
    </row>
    <row r="602" spans="7:11" x14ac:dyDescent="0.2">
      <c r="G602" s="44"/>
      <c r="J602" t="str">
        <f t="shared" si="18"/>
        <v/>
      </c>
      <c r="K602" t="str">
        <f t="shared" si="19"/>
        <v/>
      </c>
    </row>
    <row r="603" spans="7:11" x14ac:dyDescent="0.2">
      <c r="G603" s="44"/>
      <c r="J603" t="str">
        <f t="shared" si="18"/>
        <v/>
      </c>
      <c r="K603" t="str">
        <f t="shared" si="19"/>
        <v/>
      </c>
    </row>
    <row r="604" spans="7:11" x14ac:dyDescent="0.2">
      <c r="G604" s="44"/>
      <c r="J604" t="str">
        <f t="shared" si="18"/>
        <v/>
      </c>
      <c r="K604" t="str">
        <f t="shared" si="19"/>
        <v/>
      </c>
    </row>
    <row r="605" spans="7:11" x14ac:dyDescent="0.2">
      <c r="G605" s="44"/>
      <c r="J605" t="str">
        <f t="shared" si="18"/>
        <v/>
      </c>
      <c r="K605" t="str">
        <f t="shared" si="19"/>
        <v/>
      </c>
    </row>
    <row r="606" spans="7:11" x14ac:dyDescent="0.2">
      <c r="G606" s="44"/>
      <c r="J606" t="str">
        <f t="shared" si="18"/>
        <v/>
      </c>
      <c r="K606" t="str">
        <f t="shared" si="19"/>
        <v/>
      </c>
    </row>
    <row r="607" spans="7:11" x14ac:dyDescent="0.2">
      <c r="G607" s="44"/>
      <c r="J607" t="str">
        <f t="shared" si="18"/>
        <v/>
      </c>
      <c r="K607" t="str">
        <f t="shared" si="19"/>
        <v/>
      </c>
    </row>
    <row r="608" spans="7:11" x14ac:dyDescent="0.2">
      <c r="G608" s="44"/>
      <c r="J608" t="str">
        <f t="shared" si="18"/>
        <v/>
      </c>
      <c r="K608" t="str">
        <f t="shared" si="19"/>
        <v/>
      </c>
    </row>
    <row r="609" spans="7:11" x14ac:dyDescent="0.2">
      <c r="G609" s="44"/>
      <c r="J609" t="str">
        <f t="shared" si="18"/>
        <v/>
      </c>
      <c r="K609" t="str">
        <f t="shared" si="19"/>
        <v/>
      </c>
    </row>
    <row r="610" spans="7:11" x14ac:dyDescent="0.2">
      <c r="G610" s="44"/>
      <c r="J610" t="str">
        <f t="shared" si="18"/>
        <v/>
      </c>
      <c r="K610" t="str">
        <f t="shared" si="19"/>
        <v/>
      </c>
    </row>
    <row r="611" spans="7:11" x14ac:dyDescent="0.2">
      <c r="G611" s="44"/>
      <c r="J611" t="str">
        <f t="shared" si="18"/>
        <v/>
      </c>
      <c r="K611" t="str">
        <f t="shared" si="19"/>
        <v/>
      </c>
    </row>
    <row r="612" spans="7:11" x14ac:dyDescent="0.2">
      <c r="G612" s="44"/>
      <c r="J612" t="str">
        <f t="shared" si="18"/>
        <v/>
      </c>
      <c r="K612" t="str">
        <f t="shared" si="19"/>
        <v/>
      </c>
    </row>
    <row r="613" spans="7:11" x14ac:dyDescent="0.2">
      <c r="G613" s="44"/>
      <c r="J613" t="str">
        <f t="shared" si="18"/>
        <v/>
      </c>
      <c r="K613" t="str">
        <f t="shared" si="19"/>
        <v/>
      </c>
    </row>
    <row r="614" spans="7:11" x14ac:dyDescent="0.2">
      <c r="G614" s="44"/>
      <c r="J614" t="str">
        <f t="shared" si="18"/>
        <v/>
      </c>
      <c r="K614" t="str">
        <f t="shared" si="19"/>
        <v/>
      </c>
    </row>
    <row r="615" spans="7:11" x14ac:dyDescent="0.2">
      <c r="G615" s="44"/>
      <c r="J615" t="str">
        <f t="shared" si="18"/>
        <v/>
      </c>
      <c r="K615" t="str">
        <f t="shared" si="19"/>
        <v/>
      </c>
    </row>
    <row r="616" spans="7:11" x14ac:dyDescent="0.2">
      <c r="G616" s="44"/>
      <c r="J616" t="str">
        <f t="shared" si="18"/>
        <v/>
      </c>
      <c r="K616" t="str">
        <f t="shared" si="19"/>
        <v/>
      </c>
    </row>
    <row r="617" spans="7:11" x14ac:dyDescent="0.2">
      <c r="G617" s="44"/>
      <c r="J617" t="str">
        <f t="shared" si="18"/>
        <v/>
      </c>
      <c r="K617" t="str">
        <f t="shared" si="19"/>
        <v/>
      </c>
    </row>
    <row r="618" spans="7:11" x14ac:dyDescent="0.2">
      <c r="G618" s="44"/>
      <c r="J618" t="str">
        <f t="shared" si="18"/>
        <v/>
      </c>
      <c r="K618" t="str">
        <f t="shared" si="19"/>
        <v/>
      </c>
    </row>
    <row r="619" spans="7:11" x14ac:dyDescent="0.2">
      <c r="G619" s="44"/>
      <c r="J619" t="str">
        <f t="shared" si="18"/>
        <v/>
      </c>
      <c r="K619" t="str">
        <f t="shared" si="19"/>
        <v/>
      </c>
    </row>
    <row r="620" spans="7:11" x14ac:dyDescent="0.2">
      <c r="G620" s="44"/>
      <c r="J620" t="str">
        <f t="shared" si="18"/>
        <v/>
      </c>
      <c r="K620" t="str">
        <f t="shared" si="19"/>
        <v/>
      </c>
    </row>
    <row r="621" spans="7:11" x14ac:dyDescent="0.2">
      <c r="G621" s="44"/>
      <c r="J621" t="str">
        <f t="shared" si="18"/>
        <v/>
      </c>
      <c r="K621" t="str">
        <f t="shared" si="19"/>
        <v/>
      </c>
    </row>
    <row r="622" spans="7:11" x14ac:dyDescent="0.2">
      <c r="G622" s="44"/>
      <c r="J622" t="str">
        <f t="shared" si="18"/>
        <v/>
      </c>
      <c r="K622" t="str">
        <f t="shared" si="19"/>
        <v/>
      </c>
    </row>
    <row r="623" spans="7:11" x14ac:dyDescent="0.2">
      <c r="G623" s="44"/>
      <c r="J623" t="str">
        <f t="shared" si="18"/>
        <v/>
      </c>
      <c r="K623" t="str">
        <f t="shared" si="19"/>
        <v/>
      </c>
    </row>
    <row r="624" spans="7:11" x14ac:dyDescent="0.2">
      <c r="G624" s="44"/>
      <c r="J624" t="str">
        <f t="shared" si="18"/>
        <v/>
      </c>
      <c r="K624" t="str">
        <f t="shared" si="19"/>
        <v/>
      </c>
    </row>
    <row r="625" spans="7:11" x14ac:dyDescent="0.2">
      <c r="G625" s="44"/>
      <c r="J625" t="str">
        <f t="shared" si="18"/>
        <v/>
      </c>
      <c r="K625" t="str">
        <f t="shared" si="19"/>
        <v/>
      </c>
    </row>
    <row r="626" spans="7:11" x14ac:dyDescent="0.2">
      <c r="G626" s="44"/>
      <c r="J626" t="str">
        <f t="shared" si="18"/>
        <v/>
      </c>
      <c r="K626" t="str">
        <f t="shared" si="19"/>
        <v/>
      </c>
    </row>
    <row r="627" spans="7:11" x14ac:dyDescent="0.2">
      <c r="G627" s="44"/>
      <c r="J627" t="str">
        <f t="shared" si="18"/>
        <v/>
      </c>
      <c r="K627" t="str">
        <f t="shared" si="19"/>
        <v/>
      </c>
    </row>
    <row r="628" spans="7:11" x14ac:dyDescent="0.2">
      <c r="G628" s="44"/>
      <c r="J628" t="str">
        <f t="shared" si="18"/>
        <v/>
      </c>
      <c r="K628" t="str">
        <f t="shared" si="19"/>
        <v/>
      </c>
    </row>
    <row r="629" spans="7:11" x14ac:dyDescent="0.2">
      <c r="G629" s="44"/>
      <c r="J629" t="str">
        <f t="shared" si="18"/>
        <v/>
      </c>
      <c r="K629" t="str">
        <f t="shared" si="19"/>
        <v/>
      </c>
    </row>
    <row r="630" spans="7:11" x14ac:dyDescent="0.2">
      <c r="G630" s="44"/>
      <c r="J630" t="str">
        <f t="shared" si="18"/>
        <v/>
      </c>
      <c r="K630" t="str">
        <f t="shared" si="19"/>
        <v/>
      </c>
    </row>
    <row r="631" spans="7:11" x14ac:dyDescent="0.2">
      <c r="G631" s="44"/>
      <c r="J631" t="str">
        <f t="shared" si="18"/>
        <v/>
      </c>
      <c r="K631" t="str">
        <f t="shared" si="19"/>
        <v/>
      </c>
    </row>
    <row r="632" spans="7:11" x14ac:dyDescent="0.2">
      <c r="G632" s="44"/>
      <c r="J632" t="str">
        <f t="shared" si="18"/>
        <v/>
      </c>
      <c r="K632" t="str">
        <f t="shared" si="19"/>
        <v/>
      </c>
    </row>
    <row r="633" spans="7:11" x14ac:dyDescent="0.2">
      <c r="G633" s="44"/>
      <c r="J633" t="str">
        <f t="shared" si="18"/>
        <v/>
      </c>
      <c r="K633" t="str">
        <f t="shared" si="19"/>
        <v/>
      </c>
    </row>
    <row r="634" spans="7:11" x14ac:dyDescent="0.2">
      <c r="G634" s="44"/>
      <c r="J634" t="str">
        <f t="shared" si="18"/>
        <v/>
      </c>
      <c r="K634" t="str">
        <f t="shared" si="19"/>
        <v/>
      </c>
    </row>
    <row r="635" spans="7:11" x14ac:dyDescent="0.2">
      <c r="G635" s="44"/>
      <c r="J635" t="str">
        <f t="shared" si="18"/>
        <v/>
      </c>
      <c r="K635" t="str">
        <f t="shared" si="19"/>
        <v/>
      </c>
    </row>
    <row r="636" spans="7:11" x14ac:dyDescent="0.2">
      <c r="G636" s="44"/>
      <c r="J636" t="str">
        <f t="shared" si="18"/>
        <v/>
      </c>
      <c r="K636" t="str">
        <f t="shared" si="19"/>
        <v/>
      </c>
    </row>
    <row r="637" spans="7:11" x14ac:dyDescent="0.2">
      <c r="G637" s="44"/>
      <c r="J637" t="str">
        <f t="shared" si="18"/>
        <v/>
      </c>
      <c r="K637" t="str">
        <f t="shared" si="19"/>
        <v/>
      </c>
    </row>
    <row r="638" spans="7:11" x14ac:dyDescent="0.2">
      <c r="G638" s="44"/>
      <c r="J638" t="str">
        <f t="shared" si="18"/>
        <v/>
      </c>
      <c r="K638" t="str">
        <f t="shared" si="19"/>
        <v/>
      </c>
    </row>
    <row r="639" spans="7:11" x14ac:dyDescent="0.2">
      <c r="G639" s="44"/>
      <c r="J639" t="str">
        <f t="shared" si="18"/>
        <v/>
      </c>
      <c r="K639" t="str">
        <f t="shared" si="19"/>
        <v/>
      </c>
    </row>
    <row r="640" spans="7:11" x14ac:dyDescent="0.2">
      <c r="G640" s="44"/>
      <c r="J640" t="str">
        <f t="shared" si="18"/>
        <v/>
      </c>
      <c r="K640" t="str">
        <f t="shared" si="19"/>
        <v/>
      </c>
    </row>
    <row r="641" spans="7:11" x14ac:dyDescent="0.2">
      <c r="G641" s="44"/>
      <c r="J641" t="str">
        <f t="shared" si="18"/>
        <v/>
      </c>
      <c r="K641" t="str">
        <f t="shared" si="19"/>
        <v/>
      </c>
    </row>
    <row r="642" spans="7:11" x14ac:dyDescent="0.2">
      <c r="G642" s="44"/>
      <c r="J642" t="str">
        <f t="shared" ref="J642:J705" si="20">IF(E642="","",IF(OR(E642=50,E642=51),"Iltindhold",IF(E642=75,"Carbon,org,NVOC",IF(OR(E642=343,E642=1167),"Svovlbrinte",IF(OR(E642=240,E642=241,E642=242),"Amm",IF(E642=244,"Nitrit",IF(E642=247,"Nitrat",IF(E642=334,"Sulfat",IF(E642=262,"Phosphor, total-P",F642)))))))))</f>
        <v/>
      </c>
      <c r="K642" t="str">
        <f t="shared" ref="K642:K705" si="21">IF(A642="","",IF(H642="!",NA(),IF(H642="A",I642*0.5,IF(H642="&lt;",I642*0.5,I642))))</f>
        <v/>
      </c>
    </row>
    <row r="643" spans="7:11" x14ac:dyDescent="0.2">
      <c r="G643" s="44"/>
      <c r="J643" t="str">
        <f t="shared" si="20"/>
        <v/>
      </c>
      <c r="K643" t="str">
        <f t="shared" si="21"/>
        <v/>
      </c>
    </row>
    <row r="644" spans="7:11" x14ac:dyDescent="0.2">
      <c r="G644" s="44"/>
      <c r="J644" t="str">
        <f t="shared" si="20"/>
        <v/>
      </c>
      <c r="K644" t="str">
        <f t="shared" si="21"/>
        <v/>
      </c>
    </row>
    <row r="645" spans="7:11" x14ac:dyDescent="0.2">
      <c r="G645" s="44"/>
      <c r="J645" t="str">
        <f t="shared" si="20"/>
        <v/>
      </c>
      <c r="K645" t="str">
        <f t="shared" si="21"/>
        <v/>
      </c>
    </row>
    <row r="646" spans="7:11" x14ac:dyDescent="0.2">
      <c r="G646" s="44"/>
      <c r="J646" t="str">
        <f t="shared" si="20"/>
        <v/>
      </c>
      <c r="K646" t="str">
        <f t="shared" si="21"/>
        <v/>
      </c>
    </row>
    <row r="647" spans="7:11" x14ac:dyDescent="0.2">
      <c r="G647" s="44"/>
      <c r="J647" t="str">
        <f t="shared" si="20"/>
        <v/>
      </c>
      <c r="K647" t="str">
        <f t="shared" si="21"/>
        <v/>
      </c>
    </row>
    <row r="648" spans="7:11" x14ac:dyDescent="0.2">
      <c r="G648" s="44"/>
      <c r="J648" t="str">
        <f t="shared" si="20"/>
        <v/>
      </c>
      <c r="K648" t="str">
        <f t="shared" si="21"/>
        <v/>
      </c>
    </row>
    <row r="649" spans="7:11" x14ac:dyDescent="0.2">
      <c r="G649" s="44"/>
      <c r="J649" t="str">
        <f t="shared" si="20"/>
        <v/>
      </c>
      <c r="K649" t="str">
        <f t="shared" si="21"/>
        <v/>
      </c>
    </row>
    <row r="650" spans="7:11" x14ac:dyDescent="0.2">
      <c r="G650" s="44"/>
      <c r="J650" t="str">
        <f t="shared" si="20"/>
        <v/>
      </c>
      <c r="K650" t="str">
        <f t="shared" si="21"/>
        <v/>
      </c>
    </row>
    <row r="651" spans="7:11" x14ac:dyDescent="0.2">
      <c r="G651" s="44"/>
      <c r="J651" t="str">
        <f t="shared" si="20"/>
        <v/>
      </c>
      <c r="K651" t="str">
        <f t="shared" si="21"/>
        <v/>
      </c>
    </row>
    <row r="652" spans="7:11" x14ac:dyDescent="0.2">
      <c r="G652" s="44"/>
      <c r="J652" t="str">
        <f t="shared" si="20"/>
        <v/>
      </c>
      <c r="K652" t="str">
        <f t="shared" si="21"/>
        <v/>
      </c>
    </row>
    <row r="653" spans="7:11" x14ac:dyDescent="0.2">
      <c r="G653" s="44"/>
      <c r="J653" t="str">
        <f t="shared" si="20"/>
        <v/>
      </c>
      <c r="K653" t="str">
        <f t="shared" si="21"/>
        <v/>
      </c>
    </row>
    <row r="654" spans="7:11" x14ac:dyDescent="0.2">
      <c r="G654" s="44"/>
      <c r="J654" t="str">
        <f t="shared" si="20"/>
        <v/>
      </c>
      <c r="K654" t="str">
        <f t="shared" si="21"/>
        <v/>
      </c>
    </row>
    <row r="655" spans="7:11" x14ac:dyDescent="0.2">
      <c r="G655" s="44"/>
      <c r="J655" t="str">
        <f t="shared" si="20"/>
        <v/>
      </c>
      <c r="K655" t="str">
        <f t="shared" si="21"/>
        <v/>
      </c>
    </row>
    <row r="656" spans="7:11" x14ac:dyDescent="0.2">
      <c r="G656" s="44"/>
      <c r="J656" t="str">
        <f t="shared" si="20"/>
        <v/>
      </c>
      <c r="K656" t="str">
        <f t="shared" si="21"/>
        <v/>
      </c>
    </row>
    <row r="657" spans="7:11" x14ac:dyDescent="0.2">
      <c r="G657" s="44"/>
      <c r="J657" t="str">
        <f t="shared" si="20"/>
        <v/>
      </c>
      <c r="K657" t="str">
        <f t="shared" si="21"/>
        <v/>
      </c>
    </row>
    <row r="658" spans="7:11" x14ac:dyDescent="0.2">
      <c r="G658" s="44"/>
      <c r="J658" t="str">
        <f t="shared" si="20"/>
        <v/>
      </c>
      <c r="K658" t="str">
        <f t="shared" si="21"/>
        <v/>
      </c>
    </row>
    <row r="659" spans="7:11" x14ac:dyDescent="0.2">
      <c r="G659" s="44"/>
      <c r="J659" t="str">
        <f t="shared" si="20"/>
        <v/>
      </c>
      <c r="K659" t="str">
        <f t="shared" si="21"/>
        <v/>
      </c>
    </row>
    <row r="660" spans="7:11" x14ac:dyDescent="0.2">
      <c r="G660" s="44"/>
      <c r="J660" t="str">
        <f t="shared" si="20"/>
        <v/>
      </c>
      <c r="K660" t="str">
        <f t="shared" si="21"/>
        <v/>
      </c>
    </row>
    <row r="661" spans="7:11" x14ac:dyDescent="0.2">
      <c r="G661" s="44"/>
      <c r="J661" t="str">
        <f t="shared" si="20"/>
        <v/>
      </c>
      <c r="K661" t="str">
        <f t="shared" si="21"/>
        <v/>
      </c>
    </row>
    <row r="662" spans="7:11" x14ac:dyDescent="0.2">
      <c r="G662" s="44"/>
      <c r="J662" t="str">
        <f t="shared" si="20"/>
        <v/>
      </c>
      <c r="K662" t="str">
        <f t="shared" si="21"/>
        <v/>
      </c>
    </row>
    <row r="663" spans="7:11" x14ac:dyDescent="0.2">
      <c r="G663" s="44"/>
      <c r="J663" t="str">
        <f t="shared" si="20"/>
        <v/>
      </c>
      <c r="K663" t="str">
        <f t="shared" si="21"/>
        <v/>
      </c>
    </row>
    <row r="664" spans="7:11" x14ac:dyDescent="0.2">
      <c r="G664" s="44"/>
      <c r="J664" t="str">
        <f t="shared" si="20"/>
        <v/>
      </c>
      <c r="K664" t="str">
        <f t="shared" si="21"/>
        <v/>
      </c>
    </row>
    <row r="665" spans="7:11" x14ac:dyDescent="0.2">
      <c r="G665" s="44"/>
      <c r="J665" t="str">
        <f t="shared" si="20"/>
        <v/>
      </c>
      <c r="K665" t="str">
        <f t="shared" si="21"/>
        <v/>
      </c>
    </row>
    <row r="666" spans="7:11" x14ac:dyDescent="0.2">
      <c r="G666" s="44"/>
      <c r="J666" t="str">
        <f t="shared" si="20"/>
        <v/>
      </c>
      <c r="K666" t="str">
        <f t="shared" si="21"/>
        <v/>
      </c>
    </row>
    <row r="667" spans="7:11" x14ac:dyDescent="0.2">
      <c r="G667" s="44"/>
      <c r="J667" t="str">
        <f t="shared" si="20"/>
        <v/>
      </c>
      <c r="K667" t="str">
        <f t="shared" si="21"/>
        <v/>
      </c>
    </row>
    <row r="668" spans="7:11" x14ac:dyDescent="0.2">
      <c r="G668" s="44"/>
      <c r="J668" t="str">
        <f t="shared" si="20"/>
        <v/>
      </c>
      <c r="K668" t="str">
        <f t="shared" si="21"/>
        <v/>
      </c>
    </row>
    <row r="669" spans="7:11" x14ac:dyDescent="0.2">
      <c r="G669" s="44"/>
      <c r="J669" t="str">
        <f t="shared" si="20"/>
        <v/>
      </c>
      <c r="K669" t="str">
        <f t="shared" si="21"/>
        <v/>
      </c>
    </row>
    <row r="670" spans="7:11" x14ac:dyDescent="0.2">
      <c r="G670" s="44"/>
      <c r="J670" t="str">
        <f t="shared" si="20"/>
        <v/>
      </c>
      <c r="K670" t="str">
        <f t="shared" si="21"/>
        <v/>
      </c>
    </row>
    <row r="671" spans="7:11" x14ac:dyDescent="0.2">
      <c r="G671" s="44"/>
      <c r="J671" t="str">
        <f t="shared" si="20"/>
        <v/>
      </c>
      <c r="K671" t="str">
        <f t="shared" si="21"/>
        <v/>
      </c>
    </row>
    <row r="672" spans="7:11" x14ac:dyDescent="0.2">
      <c r="G672" s="44"/>
      <c r="J672" t="str">
        <f t="shared" si="20"/>
        <v/>
      </c>
      <c r="K672" t="str">
        <f t="shared" si="21"/>
        <v/>
      </c>
    </row>
    <row r="673" spans="7:11" x14ac:dyDescent="0.2">
      <c r="G673" s="44"/>
      <c r="J673" t="str">
        <f t="shared" si="20"/>
        <v/>
      </c>
      <c r="K673" t="str">
        <f t="shared" si="21"/>
        <v/>
      </c>
    </row>
    <row r="674" spans="7:11" x14ac:dyDescent="0.2">
      <c r="G674" s="44"/>
      <c r="J674" t="str">
        <f t="shared" si="20"/>
        <v/>
      </c>
      <c r="K674" t="str">
        <f t="shared" si="21"/>
        <v/>
      </c>
    </row>
    <row r="675" spans="7:11" x14ac:dyDescent="0.2">
      <c r="G675" s="44"/>
      <c r="J675" t="str">
        <f t="shared" si="20"/>
        <v/>
      </c>
      <c r="K675" t="str">
        <f t="shared" si="21"/>
        <v/>
      </c>
    </row>
    <row r="676" spans="7:11" x14ac:dyDescent="0.2">
      <c r="G676" s="44"/>
      <c r="J676" t="str">
        <f t="shared" si="20"/>
        <v/>
      </c>
      <c r="K676" t="str">
        <f t="shared" si="21"/>
        <v/>
      </c>
    </row>
    <row r="677" spans="7:11" x14ac:dyDescent="0.2">
      <c r="G677" s="44"/>
      <c r="J677" t="str">
        <f t="shared" si="20"/>
        <v/>
      </c>
      <c r="K677" t="str">
        <f t="shared" si="21"/>
        <v/>
      </c>
    </row>
    <row r="678" spans="7:11" x14ac:dyDescent="0.2">
      <c r="G678" s="44"/>
      <c r="J678" t="str">
        <f t="shared" si="20"/>
        <v/>
      </c>
      <c r="K678" t="str">
        <f t="shared" si="21"/>
        <v/>
      </c>
    </row>
    <row r="679" spans="7:11" x14ac:dyDescent="0.2">
      <c r="G679" s="44"/>
      <c r="J679" t="str">
        <f t="shared" si="20"/>
        <v/>
      </c>
      <c r="K679" t="str">
        <f t="shared" si="21"/>
        <v/>
      </c>
    </row>
    <row r="680" spans="7:11" x14ac:dyDescent="0.2">
      <c r="G680" s="44"/>
      <c r="J680" t="str">
        <f t="shared" si="20"/>
        <v/>
      </c>
      <c r="K680" t="str">
        <f t="shared" si="21"/>
        <v/>
      </c>
    </row>
    <row r="681" spans="7:11" x14ac:dyDescent="0.2">
      <c r="G681" s="44"/>
      <c r="J681" t="str">
        <f t="shared" si="20"/>
        <v/>
      </c>
      <c r="K681" t="str">
        <f t="shared" si="21"/>
        <v/>
      </c>
    </row>
    <row r="682" spans="7:11" x14ac:dyDescent="0.2">
      <c r="G682" s="44"/>
      <c r="J682" t="str">
        <f t="shared" si="20"/>
        <v/>
      </c>
      <c r="K682" t="str">
        <f t="shared" si="21"/>
        <v/>
      </c>
    </row>
    <row r="683" spans="7:11" x14ac:dyDescent="0.2">
      <c r="G683" s="44"/>
      <c r="J683" t="str">
        <f t="shared" si="20"/>
        <v/>
      </c>
      <c r="K683" t="str">
        <f t="shared" si="21"/>
        <v/>
      </c>
    </row>
    <row r="684" spans="7:11" x14ac:dyDescent="0.2">
      <c r="G684" s="44"/>
      <c r="J684" t="str">
        <f t="shared" si="20"/>
        <v/>
      </c>
      <c r="K684" t="str">
        <f t="shared" si="21"/>
        <v/>
      </c>
    </row>
    <row r="685" spans="7:11" x14ac:dyDescent="0.2">
      <c r="G685" s="44"/>
      <c r="J685" t="str">
        <f t="shared" si="20"/>
        <v/>
      </c>
      <c r="K685" t="str">
        <f t="shared" si="21"/>
        <v/>
      </c>
    </row>
    <row r="686" spans="7:11" x14ac:dyDescent="0.2">
      <c r="G686" s="44"/>
      <c r="J686" t="str">
        <f t="shared" si="20"/>
        <v/>
      </c>
      <c r="K686" t="str">
        <f t="shared" si="21"/>
        <v/>
      </c>
    </row>
    <row r="687" spans="7:11" x14ac:dyDescent="0.2">
      <c r="G687" s="44"/>
      <c r="J687" t="str">
        <f t="shared" si="20"/>
        <v/>
      </c>
      <c r="K687" t="str">
        <f t="shared" si="21"/>
        <v/>
      </c>
    </row>
    <row r="688" spans="7:11" x14ac:dyDescent="0.2">
      <c r="G688" s="44"/>
      <c r="J688" t="str">
        <f t="shared" si="20"/>
        <v/>
      </c>
      <c r="K688" t="str">
        <f t="shared" si="21"/>
        <v/>
      </c>
    </row>
    <row r="689" spans="7:11" x14ac:dyDescent="0.2">
      <c r="G689" s="44"/>
      <c r="J689" t="str">
        <f t="shared" si="20"/>
        <v/>
      </c>
      <c r="K689" t="str">
        <f t="shared" si="21"/>
        <v/>
      </c>
    </row>
    <row r="690" spans="7:11" x14ac:dyDescent="0.2">
      <c r="G690" s="44"/>
      <c r="J690" t="str">
        <f t="shared" si="20"/>
        <v/>
      </c>
      <c r="K690" t="str">
        <f t="shared" si="21"/>
        <v/>
      </c>
    </row>
    <row r="691" spans="7:11" x14ac:dyDescent="0.2">
      <c r="G691" s="44"/>
      <c r="J691" t="str">
        <f t="shared" si="20"/>
        <v/>
      </c>
      <c r="K691" t="str">
        <f t="shared" si="21"/>
        <v/>
      </c>
    </row>
    <row r="692" spans="7:11" x14ac:dyDescent="0.2">
      <c r="G692" s="44"/>
      <c r="J692" t="str">
        <f t="shared" si="20"/>
        <v/>
      </c>
      <c r="K692" t="str">
        <f t="shared" si="21"/>
        <v/>
      </c>
    </row>
    <row r="693" spans="7:11" x14ac:dyDescent="0.2">
      <c r="G693" s="44"/>
      <c r="J693" t="str">
        <f t="shared" si="20"/>
        <v/>
      </c>
      <c r="K693" t="str">
        <f t="shared" si="21"/>
        <v/>
      </c>
    </row>
    <row r="694" spans="7:11" x14ac:dyDescent="0.2">
      <c r="G694" s="44"/>
      <c r="J694" t="str">
        <f t="shared" si="20"/>
        <v/>
      </c>
      <c r="K694" t="str">
        <f t="shared" si="21"/>
        <v/>
      </c>
    </row>
    <row r="695" spans="7:11" x14ac:dyDescent="0.2">
      <c r="G695" s="44"/>
      <c r="J695" t="str">
        <f t="shared" si="20"/>
        <v/>
      </c>
      <c r="K695" t="str">
        <f t="shared" si="21"/>
        <v/>
      </c>
    </row>
    <row r="696" spans="7:11" x14ac:dyDescent="0.2">
      <c r="G696" s="44"/>
      <c r="J696" t="str">
        <f t="shared" si="20"/>
        <v/>
      </c>
      <c r="K696" t="str">
        <f t="shared" si="21"/>
        <v/>
      </c>
    </row>
    <row r="697" spans="7:11" x14ac:dyDescent="0.2">
      <c r="G697" s="44"/>
      <c r="J697" t="str">
        <f t="shared" si="20"/>
        <v/>
      </c>
      <c r="K697" t="str">
        <f t="shared" si="21"/>
        <v/>
      </c>
    </row>
    <row r="698" spans="7:11" x14ac:dyDescent="0.2">
      <c r="G698" s="44"/>
      <c r="J698" t="str">
        <f t="shared" si="20"/>
        <v/>
      </c>
      <c r="K698" t="str">
        <f t="shared" si="21"/>
        <v/>
      </c>
    </row>
    <row r="699" spans="7:11" x14ac:dyDescent="0.2">
      <c r="G699" s="44"/>
      <c r="J699" t="str">
        <f t="shared" si="20"/>
        <v/>
      </c>
      <c r="K699" t="str">
        <f t="shared" si="21"/>
        <v/>
      </c>
    </row>
    <row r="700" spans="7:11" x14ac:dyDescent="0.2">
      <c r="G700" s="44"/>
      <c r="J700" t="str">
        <f t="shared" si="20"/>
        <v/>
      </c>
      <c r="K700" t="str">
        <f t="shared" si="21"/>
        <v/>
      </c>
    </row>
    <row r="701" spans="7:11" x14ac:dyDescent="0.2">
      <c r="G701" s="44"/>
      <c r="J701" t="str">
        <f t="shared" si="20"/>
        <v/>
      </c>
      <c r="K701" t="str">
        <f t="shared" si="21"/>
        <v/>
      </c>
    </row>
    <row r="702" spans="7:11" x14ac:dyDescent="0.2">
      <c r="G702" s="44"/>
      <c r="J702" t="str">
        <f t="shared" si="20"/>
        <v/>
      </c>
      <c r="K702" t="str">
        <f t="shared" si="21"/>
        <v/>
      </c>
    </row>
    <row r="703" spans="7:11" x14ac:dyDescent="0.2">
      <c r="G703" s="44"/>
      <c r="J703" t="str">
        <f t="shared" si="20"/>
        <v/>
      </c>
      <c r="K703" t="str">
        <f t="shared" si="21"/>
        <v/>
      </c>
    </row>
    <row r="704" spans="7:11" x14ac:dyDescent="0.2">
      <c r="G704" s="44"/>
      <c r="J704" t="str">
        <f t="shared" si="20"/>
        <v/>
      </c>
      <c r="K704" t="str">
        <f t="shared" si="21"/>
        <v/>
      </c>
    </row>
    <row r="705" spans="7:11" x14ac:dyDescent="0.2">
      <c r="G705" s="44"/>
      <c r="J705" t="str">
        <f t="shared" si="20"/>
        <v/>
      </c>
      <c r="K705" t="str">
        <f t="shared" si="21"/>
        <v/>
      </c>
    </row>
    <row r="706" spans="7:11" x14ac:dyDescent="0.2">
      <c r="G706" s="44"/>
      <c r="J706" t="str">
        <f t="shared" ref="J706:J769" si="22">IF(E706="","",IF(OR(E706=50,E706=51),"Iltindhold",IF(E706=75,"Carbon,org,NVOC",IF(OR(E706=343,E706=1167),"Svovlbrinte",IF(OR(E706=240,E706=241,E706=242),"Amm",IF(E706=244,"Nitrit",IF(E706=247,"Nitrat",IF(E706=334,"Sulfat",IF(E706=262,"Phosphor, total-P",F706)))))))))</f>
        <v/>
      </c>
      <c r="K706" t="str">
        <f t="shared" ref="K706:K769" si="23">IF(A706="","",IF(H706="!",NA(),IF(H706="A",I706*0.5,IF(H706="&lt;",I706*0.5,I706))))</f>
        <v/>
      </c>
    </row>
    <row r="707" spans="7:11" x14ac:dyDescent="0.2">
      <c r="G707" s="44"/>
      <c r="J707" t="str">
        <f t="shared" si="22"/>
        <v/>
      </c>
      <c r="K707" t="str">
        <f t="shared" si="23"/>
        <v/>
      </c>
    </row>
    <row r="708" spans="7:11" x14ac:dyDescent="0.2">
      <c r="G708" s="44"/>
      <c r="J708" t="str">
        <f t="shared" si="22"/>
        <v/>
      </c>
      <c r="K708" t="str">
        <f t="shared" si="23"/>
        <v/>
      </c>
    </row>
    <row r="709" spans="7:11" x14ac:dyDescent="0.2">
      <c r="G709" s="44"/>
      <c r="J709" t="str">
        <f t="shared" si="22"/>
        <v/>
      </c>
      <c r="K709" t="str">
        <f t="shared" si="23"/>
        <v/>
      </c>
    </row>
    <row r="710" spans="7:11" x14ac:dyDescent="0.2">
      <c r="G710" s="44"/>
      <c r="J710" t="str">
        <f t="shared" si="22"/>
        <v/>
      </c>
      <c r="K710" t="str">
        <f t="shared" si="23"/>
        <v/>
      </c>
    </row>
    <row r="711" spans="7:11" x14ac:dyDescent="0.2">
      <c r="G711" s="44"/>
      <c r="J711" t="str">
        <f t="shared" si="22"/>
        <v/>
      </c>
      <c r="K711" t="str">
        <f t="shared" si="23"/>
        <v/>
      </c>
    </row>
    <row r="712" spans="7:11" x14ac:dyDescent="0.2">
      <c r="G712" s="44"/>
      <c r="J712" t="str">
        <f t="shared" si="22"/>
        <v/>
      </c>
      <c r="K712" t="str">
        <f t="shared" si="23"/>
        <v/>
      </c>
    </row>
    <row r="713" spans="7:11" x14ac:dyDescent="0.2">
      <c r="G713" s="44"/>
      <c r="J713" t="str">
        <f t="shared" si="22"/>
        <v/>
      </c>
      <c r="K713" t="str">
        <f t="shared" si="23"/>
        <v/>
      </c>
    </row>
    <row r="714" spans="7:11" x14ac:dyDescent="0.2">
      <c r="G714" s="44"/>
      <c r="J714" t="str">
        <f t="shared" si="22"/>
        <v/>
      </c>
      <c r="K714" t="str">
        <f t="shared" si="23"/>
        <v/>
      </c>
    </row>
    <row r="715" spans="7:11" x14ac:dyDescent="0.2">
      <c r="G715" s="44"/>
      <c r="J715" t="str">
        <f t="shared" si="22"/>
        <v/>
      </c>
      <c r="K715" t="str">
        <f t="shared" si="23"/>
        <v/>
      </c>
    </row>
    <row r="716" spans="7:11" x14ac:dyDescent="0.2">
      <c r="G716" s="44"/>
      <c r="J716" t="str">
        <f t="shared" si="22"/>
        <v/>
      </c>
      <c r="K716" t="str">
        <f t="shared" si="23"/>
        <v/>
      </c>
    </row>
    <row r="717" spans="7:11" x14ac:dyDescent="0.2">
      <c r="G717" s="44"/>
      <c r="J717" t="str">
        <f t="shared" si="22"/>
        <v/>
      </c>
      <c r="K717" t="str">
        <f t="shared" si="23"/>
        <v/>
      </c>
    </row>
    <row r="718" spans="7:11" x14ac:dyDescent="0.2">
      <c r="G718" s="44"/>
      <c r="J718" t="str">
        <f t="shared" si="22"/>
        <v/>
      </c>
      <c r="K718" t="str">
        <f t="shared" si="23"/>
        <v/>
      </c>
    </row>
    <row r="719" spans="7:11" x14ac:dyDescent="0.2">
      <c r="G719" s="44"/>
      <c r="J719" t="str">
        <f t="shared" si="22"/>
        <v/>
      </c>
      <c r="K719" t="str">
        <f t="shared" si="23"/>
        <v/>
      </c>
    </row>
    <row r="720" spans="7:11" x14ac:dyDescent="0.2">
      <c r="G720" s="44"/>
      <c r="J720" t="str">
        <f t="shared" si="22"/>
        <v/>
      </c>
      <c r="K720" t="str">
        <f t="shared" si="23"/>
        <v/>
      </c>
    </row>
    <row r="721" spans="7:11" x14ac:dyDescent="0.2">
      <c r="G721" s="44"/>
      <c r="J721" t="str">
        <f t="shared" si="22"/>
        <v/>
      </c>
      <c r="K721" t="str">
        <f t="shared" si="23"/>
        <v/>
      </c>
    </row>
    <row r="722" spans="7:11" x14ac:dyDescent="0.2">
      <c r="G722" s="44"/>
      <c r="J722" t="str">
        <f t="shared" si="22"/>
        <v/>
      </c>
      <c r="K722" t="str">
        <f t="shared" si="23"/>
        <v/>
      </c>
    </row>
    <row r="723" spans="7:11" x14ac:dyDescent="0.2">
      <c r="G723" s="44"/>
      <c r="J723" t="str">
        <f t="shared" si="22"/>
        <v/>
      </c>
      <c r="K723" t="str">
        <f t="shared" si="23"/>
        <v/>
      </c>
    </row>
    <row r="724" spans="7:11" x14ac:dyDescent="0.2">
      <c r="G724" s="44"/>
      <c r="J724" t="str">
        <f t="shared" si="22"/>
        <v/>
      </c>
      <c r="K724" t="str">
        <f t="shared" si="23"/>
        <v/>
      </c>
    </row>
    <row r="725" spans="7:11" x14ac:dyDescent="0.2">
      <c r="G725" s="44"/>
      <c r="J725" t="str">
        <f t="shared" si="22"/>
        <v/>
      </c>
      <c r="K725" t="str">
        <f t="shared" si="23"/>
        <v/>
      </c>
    </row>
    <row r="726" spans="7:11" x14ac:dyDescent="0.2">
      <c r="G726" s="44"/>
      <c r="J726" t="str">
        <f t="shared" si="22"/>
        <v/>
      </c>
      <c r="K726" t="str">
        <f t="shared" si="23"/>
        <v/>
      </c>
    </row>
    <row r="727" spans="7:11" x14ac:dyDescent="0.2">
      <c r="G727" s="44"/>
      <c r="J727" t="str">
        <f t="shared" si="22"/>
        <v/>
      </c>
      <c r="K727" t="str">
        <f t="shared" si="23"/>
        <v/>
      </c>
    </row>
    <row r="728" spans="7:11" x14ac:dyDescent="0.2">
      <c r="G728" s="44"/>
      <c r="J728" t="str">
        <f t="shared" si="22"/>
        <v/>
      </c>
      <c r="K728" t="str">
        <f t="shared" si="23"/>
        <v/>
      </c>
    </row>
    <row r="729" spans="7:11" x14ac:dyDescent="0.2">
      <c r="G729" s="44"/>
      <c r="J729" t="str">
        <f t="shared" si="22"/>
        <v/>
      </c>
      <c r="K729" t="str">
        <f t="shared" si="23"/>
        <v/>
      </c>
    </row>
    <row r="730" spans="7:11" x14ac:dyDescent="0.2">
      <c r="G730" s="44"/>
      <c r="J730" t="str">
        <f t="shared" si="22"/>
        <v/>
      </c>
      <c r="K730" t="str">
        <f t="shared" si="23"/>
        <v/>
      </c>
    </row>
    <row r="731" spans="7:11" x14ac:dyDescent="0.2">
      <c r="G731" s="44"/>
      <c r="J731" t="str">
        <f t="shared" si="22"/>
        <v/>
      </c>
      <c r="K731" t="str">
        <f t="shared" si="23"/>
        <v/>
      </c>
    </row>
    <row r="732" spans="7:11" x14ac:dyDescent="0.2">
      <c r="G732" s="44"/>
      <c r="J732" t="str">
        <f t="shared" si="22"/>
        <v/>
      </c>
      <c r="K732" t="str">
        <f t="shared" si="23"/>
        <v/>
      </c>
    </row>
    <row r="733" spans="7:11" x14ac:dyDescent="0.2">
      <c r="G733" s="44"/>
      <c r="J733" t="str">
        <f t="shared" si="22"/>
        <v/>
      </c>
      <c r="K733" t="str">
        <f t="shared" si="23"/>
        <v/>
      </c>
    </row>
    <row r="734" spans="7:11" x14ac:dyDescent="0.2">
      <c r="G734" s="44"/>
      <c r="J734" t="str">
        <f t="shared" si="22"/>
        <v/>
      </c>
      <c r="K734" t="str">
        <f t="shared" si="23"/>
        <v/>
      </c>
    </row>
    <row r="735" spans="7:11" x14ac:dyDescent="0.2">
      <c r="G735" s="44"/>
      <c r="J735" t="str">
        <f t="shared" si="22"/>
        <v/>
      </c>
      <c r="K735" t="str">
        <f t="shared" si="23"/>
        <v/>
      </c>
    </row>
    <row r="736" spans="7:11" x14ac:dyDescent="0.2">
      <c r="G736" s="44"/>
      <c r="J736" t="str">
        <f t="shared" si="22"/>
        <v/>
      </c>
      <c r="K736" t="str">
        <f t="shared" si="23"/>
        <v/>
      </c>
    </row>
    <row r="737" spans="7:11" x14ac:dyDescent="0.2">
      <c r="G737" s="44"/>
      <c r="J737" t="str">
        <f t="shared" si="22"/>
        <v/>
      </c>
      <c r="K737" t="str">
        <f t="shared" si="23"/>
        <v/>
      </c>
    </row>
    <row r="738" spans="7:11" x14ac:dyDescent="0.2">
      <c r="G738" s="44"/>
      <c r="J738" t="str">
        <f t="shared" si="22"/>
        <v/>
      </c>
      <c r="K738" t="str">
        <f t="shared" si="23"/>
        <v/>
      </c>
    </row>
    <row r="739" spans="7:11" x14ac:dyDescent="0.2">
      <c r="G739" s="44"/>
      <c r="J739" t="str">
        <f t="shared" si="22"/>
        <v/>
      </c>
      <c r="K739" t="str">
        <f t="shared" si="23"/>
        <v/>
      </c>
    </row>
    <row r="740" spans="7:11" x14ac:dyDescent="0.2">
      <c r="G740" s="44"/>
      <c r="J740" t="str">
        <f t="shared" si="22"/>
        <v/>
      </c>
      <c r="K740" t="str">
        <f t="shared" si="23"/>
        <v/>
      </c>
    </row>
    <row r="741" spans="7:11" x14ac:dyDescent="0.2">
      <c r="G741" s="44"/>
      <c r="J741" t="str">
        <f t="shared" si="22"/>
        <v/>
      </c>
      <c r="K741" t="str">
        <f t="shared" si="23"/>
        <v/>
      </c>
    </row>
    <row r="742" spans="7:11" x14ac:dyDescent="0.2">
      <c r="G742" s="44"/>
      <c r="J742" t="str">
        <f t="shared" si="22"/>
        <v/>
      </c>
      <c r="K742" t="str">
        <f t="shared" si="23"/>
        <v/>
      </c>
    </row>
    <row r="743" spans="7:11" x14ac:dyDescent="0.2">
      <c r="G743" s="44"/>
      <c r="J743" t="str">
        <f t="shared" si="22"/>
        <v/>
      </c>
      <c r="K743" t="str">
        <f t="shared" si="23"/>
        <v/>
      </c>
    </row>
    <row r="744" spans="7:11" x14ac:dyDescent="0.2">
      <c r="G744" s="44"/>
      <c r="J744" t="str">
        <f t="shared" si="22"/>
        <v/>
      </c>
      <c r="K744" t="str">
        <f t="shared" si="23"/>
        <v/>
      </c>
    </row>
    <row r="745" spans="7:11" x14ac:dyDescent="0.2">
      <c r="G745" s="44"/>
      <c r="J745" t="str">
        <f t="shared" si="22"/>
        <v/>
      </c>
      <c r="K745" t="str">
        <f t="shared" si="23"/>
        <v/>
      </c>
    </row>
    <row r="746" spans="7:11" x14ac:dyDescent="0.2">
      <c r="G746" s="44"/>
      <c r="J746" t="str">
        <f t="shared" si="22"/>
        <v/>
      </c>
      <c r="K746" t="str">
        <f t="shared" si="23"/>
        <v/>
      </c>
    </row>
    <row r="747" spans="7:11" x14ac:dyDescent="0.2">
      <c r="G747" s="44"/>
      <c r="J747" t="str">
        <f t="shared" si="22"/>
        <v/>
      </c>
      <c r="K747" t="str">
        <f t="shared" si="23"/>
        <v/>
      </c>
    </row>
    <row r="748" spans="7:11" x14ac:dyDescent="0.2">
      <c r="G748" s="44"/>
      <c r="J748" t="str">
        <f t="shared" si="22"/>
        <v/>
      </c>
      <c r="K748" t="str">
        <f t="shared" si="23"/>
        <v/>
      </c>
    </row>
    <row r="749" spans="7:11" x14ac:dyDescent="0.2">
      <c r="G749" s="44"/>
      <c r="J749" t="str">
        <f t="shared" si="22"/>
        <v/>
      </c>
      <c r="K749" t="str">
        <f t="shared" si="23"/>
        <v/>
      </c>
    </row>
    <row r="750" spans="7:11" x14ac:dyDescent="0.2">
      <c r="G750" s="44"/>
      <c r="J750" t="str">
        <f t="shared" si="22"/>
        <v/>
      </c>
      <c r="K750" t="str">
        <f t="shared" si="23"/>
        <v/>
      </c>
    </row>
    <row r="751" spans="7:11" x14ac:dyDescent="0.2">
      <c r="G751" s="44"/>
      <c r="J751" t="str">
        <f t="shared" si="22"/>
        <v/>
      </c>
      <c r="K751" t="str">
        <f t="shared" si="23"/>
        <v/>
      </c>
    </row>
    <row r="752" spans="7:11" x14ac:dyDescent="0.2">
      <c r="G752" s="44"/>
      <c r="J752" t="str">
        <f t="shared" si="22"/>
        <v/>
      </c>
      <c r="K752" t="str">
        <f t="shared" si="23"/>
        <v/>
      </c>
    </row>
    <row r="753" spans="7:11" x14ac:dyDescent="0.2">
      <c r="G753" s="44"/>
      <c r="J753" t="str">
        <f t="shared" si="22"/>
        <v/>
      </c>
      <c r="K753" t="str">
        <f t="shared" si="23"/>
        <v/>
      </c>
    </row>
    <row r="754" spans="7:11" x14ac:dyDescent="0.2">
      <c r="G754" s="44"/>
      <c r="J754" t="str">
        <f t="shared" si="22"/>
        <v/>
      </c>
      <c r="K754" t="str">
        <f t="shared" si="23"/>
        <v/>
      </c>
    </row>
    <row r="755" spans="7:11" x14ac:dyDescent="0.2">
      <c r="G755" s="44"/>
      <c r="J755" t="str">
        <f t="shared" si="22"/>
        <v/>
      </c>
      <c r="K755" t="str">
        <f t="shared" si="23"/>
        <v/>
      </c>
    </row>
    <row r="756" spans="7:11" x14ac:dyDescent="0.2">
      <c r="G756" s="44"/>
      <c r="J756" t="str">
        <f t="shared" si="22"/>
        <v/>
      </c>
      <c r="K756" t="str">
        <f t="shared" si="23"/>
        <v/>
      </c>
    </row>
    <row r="757" spans="7:11" x14ac:dyDescent="0.2">
      <c r="G757" s="44"/>
      <c r="J757" t="str">
        <f t="shared" si="22"/>
        <v/>
      </c>
      <c r="K757" t="str">
        <f t="shared" si="23"/>
        <v/>
      </c>
    </row>
    <row r="758" spans="7:11" x14ac:dyDescent="0.2">
      <c r="G758" s="44"/>
      <c r="J758" t="str">
        <f t="shared" si="22"/>
        <v/>
      </c>
      <c r="K758" t="str">
        <f t="shared" si="23"/>
        <v/>
      </c>
    </row>
    <row r="759" spans="7:11" x14ac:dyDescent="0.2">
      <c r="G759" s="44"/>
      <c r="J759" t="str">
        <f t="shared" si="22"/>
        <v/>
      </c>
      <c r="K759" t="str">
        <f t="shared" si="23"/>
        <v/>
      </c>
    </row>
    <row r="760" spans="7:11" x14ac:dyDescent="0.2">
      <c r="G760" s="44"/>
      <c r="J760" t="str">
        <f t="shared" si="22"/>
        <v/>
      </c>
      <c r="K760" t="str">
        <f t="shared" si="23"/>
        <v/>
      </c>
    </row>
    <row r="761" spans="7:11" x14ac:dyDescent="0.2">
      <c r="G761" s="44"/>
      <c r="J761" t="str">
        <f t="shared" si="22"/>
        <v/>
      </c>
      <c r="K761" t="str">
        <f t="shared" si="23"/>
        <v/>
      </c>
    </row>
    <row r="762" spans="7:11" x14ac:dyDescent="0.2">
      <c r="G762" s="44"/>
      <c r="J762" t="str">
        <f t="shared" si="22"/>
        <v/>
      </c>
      <c r="K762" t="str">
        <f t="shared" si="23"/>
        <v/>
      </c>
    </row>
    <row r="763" spans="7:11" x14ac:dyDescent="0.2">
      <c r="G763" s="44"/>
      <c r="J763" t="str">
        <f t="shared" si="22"/>
        <v/>
      </c>
      <c r="K763" t="str">
        <f t="shared" si="23"/>
        <v/>
      </c>
    </row>
    <row r="764" spans="7:11" x14ac:dyDescent="0.2">
      <c r="G764" s="44"/>
      <c r="J764" t="str">
        <f t="shared" si="22"/>
        <v/>
      </c>
      <c r="K764" t="str">
        <f t="shared" si="23"/>
        <v/>
      </c>
    </row>
    <row r="765" spans="7:11" x14ac:dyDescent="0.2">
      <c r="G765" s="44"/>
      <c r="J765" t="str">
        <f t="shared" si="22"/>
        <v/>
      </c>
      <c r="K765" t="str">
        <f t="shared" si="23"/>
        <v/>
      </c>
    </row>
    <row r="766" spans="7:11" x14ac:dyDescent="0.2">
      <c r="G766" s="44"/>
      <c r="J766" t="str">
        <f t="shared" si="22"/>
        <v/>
      </c>
      <c r="K766" t="str">
        <f t="shared" si="23"/>
        <v/>
      </c>
    </row>
    <row r="767" spans="7:11" x14ac:dyDescent="0.2">
      <c r="G767" s="44"/>
      <c r="J767" t="str">
        <f t="shared" si="22"/>
        <v/>
      </c>
      <c r="K767" t="str">
        <f t="shared" si="23"/>
        <v/>
      </c>
    </row>
    <row r="768" spans="7:11" x14ac:dyDescent="0.2">
      <c r="G768" s="44"/>
      <c r="J768" t="str">
        <f t="shared" si="22"/>
        <v/>
      </c>
      <c r="K768" t="str">
        <f t="shared" si="23"/>
        <v/>
      </c>
    </row>
    <row r="769" spans="7:11" x14ac:dyDescent="0.2">
      <c r="G769" s="44"/>
      <c r="J769" t="str">
        <f t="shared" si="22"/>
        <v/>
      </c>
      <c r="K769" t="str">
        <f t="shared" si="23"/>
        <v/>
      </c>
    </row>
    <row r="770" spans="7:11" x14ac:dyDescent="0.2">
      <c r="G770" s="44"/>
      <c r="J770" t="str">
        <f t="shared" ref="J770:J833" si="24">IF(E770="","",IF(OR(E770=50,E770=51),"Iltindhold",IF(E770=75,"Carbon,org,NVOC",IF(OR(E770=343,E770=1167),"Svovlbrinte",IF(OR(E770=240,E770=241,E770=242),"Amm",IF(E770=244,"Nitrit",IF(E770=247,"Nitrat",IF(E770=334,"Sulfat",IF(E770=262,"Phosphor, total-P",F770)))))))))</f>
        <v/>
      </c>
      <c r="K770" t="str">
        <f t="shared" ref="K770:K833" si="25">IF(A770="","",IF(H770="!",NA(),IF(H770="A",I770*0.5,IF(H770="&lt;",I770*0.5,I770))))</f>
        <v/>
      </c>
    </row>
    <row r="771" spans="7:11" x14ac:dyDescent="0.2">
      <c r="G771" s="44"/>
      <c r="J771" t="str">
        <f t="shared" si="24"/>
        <v/>
      </c>
      <c r="K771" t="str">
        <f t="shared" si="25"/>
        <v/>
      </c>
    </row>
    <row r="772" spans="7:11" x14ac:dyDescent="0.2">
      <c r="G772" s="44"/>
      <c r="J772" t="str">
        <f t="shared" si="24"/>
        <v/>
      </c>
      <c r="K772" t="str">
        <f t="shared" si="25"/>
        <v/>
      </c>
    </row>
    <row r="773" spans="7:11" x14ac:dyDescent="0.2">
      <c r="G773" s="44"/>
      <c r="J773" t="str">
        <f t="shared" si="24"/>
        <v/>
      </c>
      <c r="K773" t="str">
        <f t="shared" si="25"/>
        <v/>
      </c>
    </row>
    <row r="774" spans="7:11" x14ac:dyDescent="0.2">
      <c r="G774" s="44"/>
      <c r="J774" t="str">
        <f t="shared" si="24"/>
        <v/>
      </c>
      <c r="K774" t="str">
        <f t="shared" si="25"/>
        <v/>
      </c>
    </row>
    <row r="775" spans="7:11" x14ac:dyDescent="0.2">
      <c r="G775" s="44"/>
      <c r="J775" t="str">
        <f t="shared" si="24"/>
        <v/>
      </c>
      <c r="K775" t="str">
        <f t="shared" si="25"/>
        <v/>
      </c>
    </row>
    <row r="776" spans="7:11" x14ac:dyDescent="0.2">
      <c r="G776" s="44"/>
      <c r="J776" t="str">
        <f t="shared" si="24"/>
        <v/>
      </c>
      <c r="K776" t="str">
        <f t="shared" si="25"/>
        <v/>
      </c>
    </row>
    <row r="777" spans="7:11" x14ac:dyDescent="0.2">
      <c r="G777" s="44"/>
      <c r="J777" t="str">
        <f t="shared" si="24"/>
        <v/>
      </c>
      <c r="K777" t="str">
        <f t="shared" si="25"/>
        <v/>
      </c>
    </row>
    <row r="778" spans="7:11" x14ac:dyDescent="0.2">
      <c r="G778" s="44"/>
      <c r="J778" t="str">
        <f t="shared" si="24"/>
        <v/>
      </c>
      <c r="K778" t="str">
        <f t="shared" si="25"/>
        <v/>
      </c>
    </row>
    <row r="779" spans="7:11" x14ac:dyDescent="0.2">
      <c r="G779" s="44"/>
      <c r="J779" t="str">
        <f t="shared" si="24"/>
        <v/>
      </c>
      <c r="K779" t="str">
        <f t="shared" si="25"/>
        <v/>
      </c>
    </row>
    <row r="780" spans="7:11" x14ac:dyDescent="0.2">
      <c r="G780" s="44"/>
      <c r="J780" t="str">
        <f t="shared" si="24"/>
        <v/>
      </c>
      <c r="K780" t="str">
        <f t="shared" si="25"/>
        <v/>
      </c>
    </row>
    <row r="781" spans="7:11" x14ac:dyDescent="0.2">
      <c r="G781" s="44"/>
      <c r="J781" t="str">
        <f t="shared" si="24"/>
        <v/>
      </c>
      <c r="K781" t="str">
        <f t="shared" si="25"/>
        <v/>
      </c>
    </row>
    <row r="782" spans="7:11" x14ac:dyDescent="0.2">
      <c r="G782" s="44"/>
      <c r="J782" t="str">
        <f t="shared" si="24"/>
        <v/>
      </c>
      <c r="K782" t="str">
        <f t="shared" si="25"/>
        <v/>
      </c>
    </row>
    <row r="783" spans="7:11" x14ac:dyDescent="0.2">
      <c r="G783" s="44"/>
      <c r="J783" t="str">
        <f t="shared" si="24"/>
        <v/>
      </c>
      <c r="K783" t="str">
        <f t="shared" si="25"/>
        <v/>
      </c>
    </row>
    <row r="784" spans="7:11" x14ac:dyDescent="0.2">
      <c r="G784" s="44"/>
      <c r="J784" t="str">
        <f t="shared" si="24"/>
        <v/>
      </c>
      <c r="K784" t="str">
        <f t="shared" si="25"/>
        <v/>
      </c>
    </row>
    <row r="785" spans="7:11" x14ac:dyDescent="0.2">
      <c r="G785" s="44"/>
      <c r="J785" t="str">
        <f t="shared" si="24"/>
        <v/>
      </c>
      <c r="K785" t="str">
        <f t="shared" si="25"/>
        <v/>
      </c>
    </row>
    <row r="786" spans="7:11" x14ac:dyDescent="0.2">
      <c r="G786" s="44"/>
      <c r="J786" t="str">
        <f t="shared" si="24"/>
        <v/>
      </c>
      <c r="K786" t="str">
        <f t="shared" si="25"/>
        <v/>
      </c>
    </row>
    <row r="787" spans="7:11" x14ac:dyDescent="0.2">
      <c r="G787" s="44"/>
      <c r="J787" t="str">
        <f t="shared" si="24"/>
        <v/>
      </c>
      <c r="K787" t="str">
        <f t="shared" si="25"/>
        <v/>
      </c>
    </row>
    <row r="788" spans="7:11" x14ac:dyDescent="0.2">
      <c r="G788" s="44"/>
      <c r="J788" t="str">
        <f t="shared" si="24"/>
        <v/>
      </c>
      <c r="K788" t="str">
        <f t="shared" si="25"/>
        <v/>
      </c>
    </row>
    <row r="789" spans="7:11" x14ac:dyDescent="0.2">
      <c r="G789" s="44"/>
      <c r="J789" t="str">
        <f t="shared" si="24"/>
        <v/>
      </c>
      <c r="K789" t="str">
        <f t="shared" si="25"/>
        <v/>
      </c>
    </row>
    <row r="790" spans="7:11" x14ac:dyDescent="0.2">
      <c r="G790" s="44"/>
      <c r="J790" t="str">
        <f t="shared" si="24"/>
        <v/>
      </c>
      <c r="K790" t="str">
        <f t="shared" si="25"/>
        <v/>
      </c>
    </row>
    <row r="791" spans="7:11" x14ac:dyDescent="0.2">
      <c r="G791" s="44"/>
      <c r="J791" t="str">
        <f t="shared" si="24"/>
        <v/>
      </c>
      <c r="K791" t="str">
        <f t="shared" si="25"/>
        <v/>
      </c>
    </row>
    <row r="792" spans="7:11" x14ac:dyDescent="0.2">
      <c r="G792" s="44"/>
      <c r="J792" t="str">
        <f t="shared" si="24"/>
        <v/>
      </c>
      <c r="K792" t="str">
        <f t="shared" si="25"/>
        <v/>
      </c>
    </row>
    <row r="793" spans="7:11" x14ac:dyDescent="0.2">
      <c r="G793" s="44"/>
      <c r="J793" t="str">
        <f t="shared" si="24"/>
        <v/>
      </c>
      <c r="K793" t="str">
        <f t="shared" si="25"/>
        <v/>
      </c>
    </row>
    <row r="794" spans="7:11" x14ac:dyDescent="0.2">
      <c r="G794" s="44"/>
      <c r="J794" t="str">
        <f t="shared" si="24"/>
        <v/>
      </c>
      <c r="K794" t="str">
        <f t="shared" si="25"/>
        <v/>
      </c>
    </row>
    <row r="795" spans="7:11" x14ac:dyDescent="0.2">
      <c r="G795" s="44"/>
      <c r="J795" t="str">
        <f t="shared" si="24"/>
        <v/>
      </c>
      <c r="K795" t="str">
        <f t="shared" si="25"/>
        <v/>
      </c>
    </row>
    <row r="796" spans="7:11" x14ac:dyDescent="0.2">
      <c r="G796" s="44"/>
      <c r="J796" t="str">
        <f t="shared" si="24"/>
        <v/>
      </c>
      <c r="K796" t="str">
        <f t="shared" si="25"/>
        <v/>
      </c>
    </row>
    <row r="797" spans="7:11" x14ac:dyDescent="0.2">
      <c r="G797" s="44"/>
      <c r="J797" t="str">
        <f t="shared" si="24"/>
        <v/>
      </c>
      <c r="K797" t="str">
        <f t="shared" si="25"/>
        <v/>
      </c>
    </row>
    <row r="798" spans="7:11" x14ac:dyDescent="0.2">
      <c r="G798" s="44"/>
      <c r="J798" t="str">
        <f t="shared" si="24"/>
        <v/>
      </c>
      <c r="K798" t="str">
        <f t="shared" si="25"/>
        <v/>
      </c>
    </row>
    <row r="799" spans="7:11" x14ac:dyDescent="0.2">
      <c r="G799" s="44"/>
      <c r="J799" t="str">
        <f t="shared" si="24"/>
        <v/>
      </c>
      <c r="K799" t="str">
        <f t="shared" si="25"/>
        <v/>
      </c>
    </row>
    <row r="800" spans="7:11" x14ac:dyDescent="0.2">
      <c r="G800" s="44"/>
      <c r="J800" t="str">
        <f t="shared" si="24"/>
        <v/>
      </c>
      <c r="K800" t="str">
        <f t="shared" si="25"/>
        <v/>
      </c>
    </row>
    <row r="801" spans="7:11" x14ac:dyDescent="0.2">
      <c r="G801" s="44"/>
      <c r="J801" t="str">
        <f t="shared" si="24"/>
        <v/>
      </c>
      <c r="K801" t="str">
        <f t="shared" si="25"/>
        <v/>
      </c>
    </row>
    <row r="802" spans="7:11" x14ac:dyDescent="0.2">
      <c r="G802" s="44"/>
      <c r="J802" t="str">
        <f t="shared" si="24"/>
        <v/>
      </c>
      <c r="K802" t="str">
        <f t="shared" si="25"/>
        <v/>
      </c>
    </row>
    <row r="803" spans="7:11" x14ac:dyDescent="0.2">
      <c r="G803" s="44"/>
      <c r="J803" t="str">
        <f t="shared" si="24"/>
        <v/>
      </c>
      <c r="K803" t="str">
        <f t="shared" si="25"/>
        <v/>
      </c>
    </row>
    <row r="804" spans="7:11" x14ac:dyDescent="0.2">
      <c r="G804" s="44"/>
      <c r="J804" t="str">
        <f t="shared" si="24"/>
        <v/>
      </c>
      <c r="K804" t="str">
        <f t="shared" si="25"/>
        <v/>
      </c>
    </row>
    <row r="805" spans="7:11" x14ac:dyDescent="0.2">
      <c r="G805" s="44"/>
      <c r="J805" t="str">
        <f t="shared" si="24"/>
        <v/>
      </c>
      <c r="K805" t="str">
        <f t="shared" si="25"/>
        <v/>
      </c>
    </row>
    <row r="806" spans="7:11" x14ac:dyDescent="0.2">
      <c r="G806" s="44"/>
      <c r="J806" t="str">
        <f t="shared" si="24"/>
        <v/>
      </c>
      <c r="K806" t="str">
        <f t="shared" si="25"/>
        <v/>
      </c>
    </row>
    <row r="807" spans="7:11" x14ac:dyDescent="0.2">
      <c r="G807" s="44"/>
      <c r="J807" t="str">
        <f t="shared" si="24"/>
        <v/>
      </c>
      <c r="K807" t="str">
        <f t="shared" si="25"/>
        <v/>
      </c>
    </row>
    <row r="808" spans="7:11" x14ac:dyDescent="0.2">
      <c r="G808" s="44"/>
      <c r="J808" t="str">
        <f t="shared" si="24"/>
        <v/>
      </c>
      <c r="K808" t="str">
        <f t="shared" si="25"/>
        <v/>
      </c>
    </row>
    <row r="809" spans="7:11" x14ac:dyDescent="0.2">
      <c r="G809" s="44"/>
      <c r="J809" t="str">
        <f t="shared" si="24"/>
        <v/>
      </c>
      <c r="K809" t="str">
        <f t="shared" si="25"/>
        <v/>
      </c>
    </row>
    <row r="810" spans="7:11" x14ac:dyDescent="0.2">
      <c r="G810" s="44"/>
      <c r="J810" t="str">
        <f t="shared" si="24"/>
        <v/>
      </c>
      <c r="K810" t="str">
        <f t="shared" si="25"/>
        <v/>
      </c>
    </row>
    <row r="811" spans="7:11" x14ac:dyDescent="0.2">
      <c r="G811" s="44"/>
      <c r="J811" t="str">
        <f t="shared" si="24"/>
        <v/>
      </c>
      <c r="K811" t="str">
        <f t="shared" si="25"/>
        <v/>
      </c>
    </row>
    <row r="812" spans="7:11" x14ac:dyDescent="0.2">
      <c r="G812" s="44"/>
      <c r="J812" t="str">
        <f t="shared" si="24"/>
        <v/>
      </c>
      <c r="K812" t="str">
        <f t="shared" si="25"/>
        <v/>
      </c>
    </row>
    <row r="813" spans="7:11" x14ac:dyDescent="0.2">
      <c r="G813" s="44"/>
      <c r="J813" t="str">
        <f t="shared" si="24"/>
        <v/>
      </c>
      <c r="K813" t="str">
        <f t="shared" si="25"/>
        <v/>
      </c>
    </row>
    <row r="814" spans="7:11" x14ac:dyDescent="0.2">
      <c r="G814" s="44"/>
      <c r="J814" t="str">
        <f t="shared" si="24"/>
        <v/>
      </c>
      <c r="K814" t="str">
        <f t="shared" si="25"/>
        <v/>
      </c>
    </row>
    <row r="815" spans="7:11" x14ac:dyDescent="0.2">
      <c r="G815" s="44"/>
      <c r="J815" t="str">
        <f t="shared" si="24"/>
        <v/>
      </c>
      <c r="K815" t="str">
        <f t="shared" si="25"/>
        <v/>
      </c>
    </row>
    <row r="816" spans="7:11" x14ac:dyDescent="0.2">
      <c r="G816" s="44"/>
      <c r="J816" t="str">
        <f t="shared" si="24"/>
        <v/>
      </c>
      <c r="K816" t="str">
        <f t="shared" si="25"/>
        <v/>
      </c>
    </row>
    <row r="817" spans="7:11" x14ac:dyDescent="0.2">
      <c r="G817" s="44"/>
      <c r="J817" t="str">
        <f t="shared" si="24"/>
        <v/>
      </c>
      <c r="K817" t="str">
        <f t="shared" si="25"/>
        <v/>
      </c>
    </row>
    <row r="818" spans="7:11" x14ac:dyDescent="0.2">
      <c r="G818" s="44"/>
      <c r="J818" t="str">
        <f t="shared" si="24"/>
        <v/>
      </c>
      <c r="K818" t="str">
        <f t="shared" si="25"/>
        <v/>
      </c>
    </row>
    <row r="819" spans="7:11" x14ac:dyDescent="0.2">
      <c r="G819" s="44"/>
      <c r="J819" t="str">
        <f t="shared" si="24"/>
        <v/>
      </c>
      <c r="K819" t="str">
        <f t="shared" si="25"/>
        <v/>
      </c>
    </row>
    <row r="820" spans="7:11" x14ac:dyDescent="0.2">
      <c r="G820" s="44"/>
      <c r="J820" t="str">
        <f t="shared" si="24"/>
        <v/>
      </c>
      <c r="K820" t="str">
        <f t="shared" si="25"/>
        <v/>
      </c>
    </row>
    <row r="821" spans="7:11" x14ac:dyDescent="0.2">
      <c r="G821" s="44"/>
      <c r="J821" t="str">
        <f t="shared" si="24"/>
        <v/>
      </c>
      <c r="K821" t="str">
        <f t="shared" si="25"/>
        <v/>
      </c>
    </row>
    <row r="822" spans="7:11" x14ac:dyDescent="0.2">
      <c r="G822" s="44"/>
      <c r="J822" t="str">
        <f t="shared" si="24"/>
        <v/>
      </c>
      <c r="K822" t="str">
        <f t="shared" si="25"/>
        <v/>
      </c>
    </row>
    <row r="823" spans="7:11" x14ac:dyDescent="0.2">
      <c r="G823" s="44"/>
      <c r="J823" t="str">
        <f t="shared" si="24"/>
        <v/>
      </c>
      <c r="K823" t="str">
        <f t="shared" si="25"/>
        <v/>
      </c>
    </row>
    <row r="824" spans="7:11" x14ac:dyDescent="0.2">
      <c r="G824" s="44"/>
      <c r="J824" t="str">
        <f t="shared" si="24"/>
        <v/>
      </c>
      <c r="K824" t="str">
        <f t="shared" si="25"/>
        <v/>
      </c>
    </row>
    <row r="825" spans="7:11" x14ac:dyDescent="0.2">
      <c r="G825" s="44"/>
      <c r="J825" t="str">
        <f t="shared" si="24"/>
        <v/>
      </c>
      <c r="K825" t="str">
        <f t="shared" si="25"/>
        <v/>
      </c>
    </row>
    <row r="826" spans="7:11" x14ac:dyDescent="0.2">
      <c r="G826" s="44"/>
      <c r="J826" t="str">
        <f t="shared" si="24"/>
        <v/>
      </c>
      <c r="K826" t="str">
        <f t="shared" si="25"/>
        <v/>
      </c>
    </row>
    <row r="827" spans="7:11" x14ac:dyDescent="0.2">
      <c r="G827" s="44"/>
      <c r="J827" t="str">
        <f t="shared" si="24"/>
        <v/>
      </c>
      <c r="K827" t="str">
        <f t="shared" si="25"/>
        <v/>
      </c>
    </row>
    <row r="828" spans="7:11" x14ac:dyDescent="0.2">
      <c r="G828" s="44"/>
      <c r="J828" t="str">
        <f t="shared" si="24"/>
        <v/>
      </c>
      <c r="K828" t="str">
        <f t="shared" si="25"/>
        <v/>
      </c>
    </row>
    <row r="829" spans="7:11" x14ac:dyDescent="0.2">
      <c r="G829" s="44"/>
      <c r="J829" t="str">
        <f t="shared" si="24"/>
        <v/>
      </c>
      <c r="K829" t="str">
        <f t="shared" si="25"/>
        <v/>
      </c>
    </row>
    <row r="830" spans="7:11" x14ac:dyDescent="0.2">
      <c r="G830" s="44"/>
      <c r="J830" t="str">
        <f t="shared" si="24"/>
        <v/>
      </c>
      <c r="K830" t="str">
        <f t="shared" si="25"/>
        <v/>
      </c>
    </row>
    <row r="831" spans="7:11" x14ac:dyDescent="0.2">
      <c r="G831" s="44"/>
      <c r="J831" t="str">
        <f t="shared" si="24"/>
        <v/>
      </c>
      <c r="K831" t="str">
        <f t="shared" si="25"/>
        <v/>
      </c>
    </row>
    <row r="832" spans="7:11" x14ac:dyDescent="0.2">
      <c r="G832" s="44"/>
      <c r="J832" t="str">
        <f t="shared" si="24"/>
        <v/>
      </c>
      <c r="K832" t="str">
        <f t="shared" si="25"/>
        <v/>
      </c>
    </row>
    <row r="833" spans="7:11" x14ac:dyDescent="0.2">
      <c r="G833" s="44"/>
      <c r="J833" t="str">
        <f t="shared" si="24"/>
        <v/>
      </c>
      <c r="K833" t="str">
        <f t="shared" si="25"/>
        <v/>
      </c>
    </row>
    <row r="834" spans="7:11" x14ac:dyDescent="0.2">
      <c r="G834" s="44"/>
      <c r="J834" t="str">
        <f t="shared" ref="J834:J897" si="26">IF(E834="","",IF(OR(E834=50,E834=51),"Iltindhold",IF(E834=75,"Carbon,org,NVOC",IF(OR(E834=343,E834=1167),"Svovlbrinte",IF(OR(E834=240,E834=241,E834=242),"Amm",IF(E834=244,"Nitrit",IF(E834=247,"Nitrat",IF(E834=334,"Sulfat",IF(E834=262,"Phosphor, total-P",F834)))))))))</f>
        <v/>
      </c>
      <c r="K834" t="str">
        <f t="shared" ref="K834:K897" si="27">IF(A834="","",IF(H834="!",NA(),IF(H834="A",I834*0.5,IF(H834="&lt;",I834*0.5,I834))))</f>
        <v/>
      </c>
    </row>
    <row r="835" spans="7:11" x14ac:dyDescent="0.2">
      <c r="G835" s="44"/>
      <c r="J835" t="str">
        <f t="shared" si="26"/>
        <v/>
      </c>
      <c r="K835" t="str">
        <f t="shared" si="27"/>
        <v/>
      </c>
    </row>
    <row r="836" spans="7:11" x14ac:dyDescent="0.2">
      <c r="G836" s="44"/>
      <c r="J836" t="str">
        <f t="shared" si="26"/>
        <v/>
      </c>
      <c r="K836" t="str">
        <f t="shared" si="27"/>
        <v/>
      </c>
    </row>
    <row r="837" spans="7:11" x14ac:dyDescent="0.2">
      <c r="G837" s="44"/>
      <c r="J837" t="str">
        <f t="shared" si="26"/>
        <v/>
      </c>
      <c r="K837" t="str">
        <f t="shared" si="27"/>
        <v/>
      </c>
    </row>
    <row r="838" spans="7:11" x14ac:dyDescent="0.2">
      <c r="G838" s="44"/>
      <c r="J838" t="str">
        <f t="shared" si="26"/>
        <v/>
      </c>
      <c r="K838" t="str">
        <f t="shared" si="27"/>
        <v/>
      </c>
    </row>
    <row r="839" spans="7:11" x14ac:dyDescent="0.2">
      <c r="G839" s="44"/>
      <c r="J839" t="str">
        <f t="shared" si="26"/>
        <v/>
      </c>
      <c r="K839" t="str">
        <f t="shared" si="27"/>
        <v/>
      </c>
    </row>
    <row r="840" spans="7:11" x14ac:dyDescent="0.2">
      <c r="G840" s="44"/>
      <c r="J840" t="str">
        <f t="shared" si="26"/>
        <v/>
      </c>
      <c r="K840" t="str">
        <f t="shared" si="27"/>
        <v/>
      </c>
    </row>
    <row r="841" spans="7:11" x14ac:dyDescent="0.2">
      <c r="G841" s="44"/>
      <c r="J841" t="str">
        <f t="shared" si="26"/>
        <v/>
      </c>
      <c r="K841" t="str">
        <f t="shared" si="27"/>
        <v/>
      </c>
    </row>
    <row r="842" spans="7:11" x14ac:dyDescent="0.2">
      <c r="G842" s="44"/>
      <c r="J842" t="str">
        <f t="shared" si="26"/>
        <v/>
      </c>
      <c r="K842" t="str">
        <f t="shared" si="27"/>
        <v/>
      </c>
    </row>
    <row r="843" spans="7:11" x14ac:dyDescent="0.2">
      <c r="G843" s="44"/>
      <c r="J843" t="str">
        <f t="shared" si="26"/>
        <v/>
      </c>
      <c r="K843" t="str">
        <f t="shared" si="27"/>
        <v/>
      </c>
    </row>
    <row r="844" spans="7:11" x14ac:dyDescent="0.2">
      <c r="G844" s="44"/>
      <c r="J844" t="str">
        <f t="shared" si="26"/>
        <v/>
      </c>
      <c r="K844" t="str">
        <f t="shared" si="27"/>
        <v/>
      </c>
    </row>
    <row r="845" spans="7:11" x14ac:dyDescent="0.2">
      <c r="G845" s="44"/>
      <c r="J845" t="str">
        <f t="shared" si="26"/>
        <v/>
      </c>
      <c r="K845" t="str">
        <f t="shared" si="27"/>
        <v/>
      </c>
    </row>
    <row r="846" spans="7:11" x14ac:dyDescent="0.2">
      <c r="G846" s="44"/>
      <c r="J846" t="str">
        <f t="shared" si="26"/>
        <v/>
      </c>
      <c r="K846" t="str">
        <f t="shared" si="27"/>
        <v/>
      </c>
    </row>
    <row r="847" spans="7:11" x14ac:dyDescent="0.2">
      <c r="G847" s="44"/>
      <c r="J847" t="str">
        <f t="shared" si="26"/>
        <v/>
      </c>
      <c r="K847" t="str">
        <f t="shared" si="27"/>
        <v/>
      </c>
    </row>
    <row r="848" spans="7:11" x14ac:dyDescent="0.2">
      <c r="G848" s="44"/>
      <c r="J848" t="str">
        <f t="shared" si="26"/>
        <v/>
      </c>
      <c r="K848" t="str">
        <f t="shared" si="27"/>
        <v/>
      </c>
    </row>
    <row r="849" spans="7:11" x14ac:dyDescent="0.2">
      <c r="G849" s="44"/>
      <c r="J849" t="str">
        <f t="shared" si="26"/>
        <v/>
      </c>
      <c r="K849" t="str">
        <f t="shared" si="27"/>
        <v/>
      </c>
    </row>
    <row r="850" spans="7:11" x14ac:dyDescent="0.2">
      <c r="G850" s="44"/>
      <c r="J850" t="str">
        <f t="shared" si="26"/>
        <v/>
      </c>
      <c r="K850" t="str">
        <f t="shared" si="27"/>
        <v/>
      </c>
    </row>
    <row r="851" spans="7:11" x14ac:dyDescent="0.2">
      <c r="G851" s="44"/>
      <c r="J851" t="str">
        <f t="shared" si="26"/>
        <v/>
      </c>
      <c r="K851" t="str">
        <f t="shared" si="27"/>
        <v/>
      </c>
    </row>
    <row r="852" spans="7:11" x14ac:dyDescent="0.2">
      <c r="G852" s="44"/>
      <c r="J852" t="str">
        <f t="shared" si="26"/>
        <v/>
      </c>
      <c r="K852" t="str">
        <f t="shared" si="27"/>
        <v/>
      </c>
    </row>
    <row r="853" spans="7:11" x14ac:dyDescent="0.2">
      <c r="G853" s="44"/>
      <c r="J853" t="str">
        <f t="shared" si="26"/>
        <v/>
      </c>
      <c r="K853" t="str">
        <f t="shared" si="27"/>
        <v/>
      </c>
    </row>
    <row r="854" spans="7:11" x14ac:dyDescent="0.2">
      <c r="G854" s="44"/>
      <c r="J854" t="str">
        <f t="shared" si="26"/>
        <v/>
      </c>
      <c r="K854" t="str">
        <f t="shared" si="27"/>
        <v/>
      </c>
    </row>
    <row r="855" spans="7:11" x14ac:dyDescent="0.2">
      <c r="G855" s="44"/>
      <c r="J855" t="str">
        <f t="shared" si="26"/>
        <v/>
      </c>
      <c r="K855" t="str">
        <f t="shared" si="27"/>
        <v/>
      </c>
    </row>
    <row r="856" spans="7:11" x14ac:dyDescent="0.2">
      <c r="G856" s="44"/>
      <c r="J856" t="str">
        <f t="shared" si="26"/>
        <v/>
      </c>
      <c r="K856" t="str">
        <f t="shared" si="27"/>
        <v/>
      </c>
    </row>
    <row r="857" spans="7:11" x14ac:dyDescent="0.2">
      <c r="G857" s="44"/>
      <c r="J857" t="str">
        <f t="shared" si="26"/>
        <v/>
      </c>
      <c r="K857" t="str">
        <f t="shared" si="27"/>
        <v/>
      </c>
    </row>
    <row r="858" spans="7:11" x14ac:dyDescent="0.2">
      <c r="G858" s="44"/>
      <c r="J858" t="str">
        <f t="shared" si="26"/>
        <v/>
      </c>
      <c r="K858" t="str">
        <f t="shared" si="27"/>
        <v/>
      </c>
    </row>
    <row r="859" spans="7:11" x14ac:dyDescent="0.2">
      <c r="G859" s="44"/>
      <c r="J859" t="str">
        <f t="shared" si="26"/>
        <v/>
      </c>
      <c r="K859" t="str">
        <f t="shared" si="27"/>
        <v/>
      </c>
    </row>
    <row r="860" spans="7:11" x14ac:dyDescent="0.2">
      <c r="G860" s="44"/>
      <c r="J860" t="str">
        <f t="shared" si="26"/>
        <v/>
      </c>
      <c r="K860" t="str">
        <f t="shared" si="27"/>
        <v/>
      </c>
    </row>
    <row r="861" spans="7:11" x14ac:dyDescent="0.2">
      <c r="G861" s="44"/>
      <c r="J861" t="str">
        <f t="shared" si="26"/>
        <v/>
      </c>
      <c r="K861" t="str">
        <f t="shared" si="27"/>
        <v/>
      </c>
    </row>
    <row r="862" spans="7:11" x14ac:dyDescent="0.2">
      <c r="G862" s="44"/>
      <c r="J862" t="str">
        <f t="shared" si="26"/>
        <v/>
      </c>
      <c r="K862" t="str">
        <f t="shared" si="27"/>
        <v/>
      </c>
    </row>
    <row r="863" spans="7:11" x14ac:dyDescent="0.2">
      <c r="G863" s="44"/>
      <c r="J863" t="str">
        <f t="shared" si="26"/>
        <v/>
      </c>
      <c r="K863" t="str">
        <f t="shared" si="27"/>
        <v/>
      </c>
    </row>
    <row r="864" spans="7:11" x14ac:dyDescent="0.2">
      <c r="G864" s="44"/>
      <c r="J864" t="str">
        <f t="shared" si="26"/>
        <v/>
      </c>
      <c r="K864" t="str">
        <f t="shared" si="27"/>
        <v/>
      </c>
    </row>
    <row r="865" spans="7:11" x14ac:dyDescent="0.2">
      <c r="G865" s="44"/>
      <c r="J865" t="str">
        <f t="shared" si="26"/>
        <v/>
      </c>
      <c r="K865" t="str">
        <f t="shared" si="27"/>
        <v/>
      </c>
    </row>
    <row r="866" spans="7:11" x14ac:dyDescent="0.2">
      <c r="G866" s="44"/>
      <c r="J866" t="str">
        <f t="shared" si="26"/>
        <v/>
      </c>
      <c r="K866" t="str">
        <f t="shared" si="27"/>
        <v/>
      </c>
    </row>
    <row r="867" spans="7:11" x14ac:dyDescent="0.2">
      <c r="G867" s="44"/>
      <c r="J867" t="str">
        <f t="shared" si="26"/>
        <v/>
      </c>
      <c r="K867" t="str">
        <f t="shared" si="27"/>
        <v/>
      </c>
    </row>
    <row r="868" spans="7:11" x14ac:dyDescent="0.2">
      <c r="G868" s="44"/>
      <c r="J868" t="str">
        <f t="shared" si="26"/>
        <v/>
      </c>
      <c r="K868" t="str">
        <f t="shared" si="27"/>
        <v/>
      </c>
    </row>
    <row r="869" spans="7:11" x14ac:dyDescent="0.2">
      <c r="G869" s="44"/>
      <c r="J869" t="str">
        <f t="shared" si="26"/>
        <v/>
      </c>
      <c r="K869" t="str">
        <f t="shared" si="27"/>
        <v/>
      </c>
    </row>
    <row r="870" spans="7:11" x14ac:dyDescent="0.2">
      <c r="G870" s="44"/>
      <c r="J870" t="str">
        <f t="shared" si="26"/>
        <v/>
      </c>
      <c r="K870" t="str">
        <f t="shared" si="27"/>
        <v/>
      </c>
    </row>
    <row r="871" spans="7:11" x14ac:dyDescent="0.2">
      <c r="G871" s="44"/>
      <c r="J871" t="str">
        <f t="shared" si="26"/>
        <v/>
      </c>
      <c r="K871" t="str">
        <f t="shared" si="27"/>
        <v/>
      </c>
    </row>
    <row r="872" spans="7:11" x14ac:dyDescent="0.2">
      <c r="G872" s="44"/>
      <c r="J872" t="str">
        <f t="shared" si="26"/>
        <v/>
      </c>
      <c r="K872" t="str">
        <f t="shared" si="27"/>
        <v/>
      </c>
    </row>
    <row r="873" spans="7:11" x14ac:dyDescent="0.2">
      <c r="G873" s="44"/>
      <c r="J873" t="str">
        <f t="shared" si="26"/>
        <v/>
      </c>
      <c r="K873" t="str">
        <f t="shared" si="27"/>
        <v/>
      </c>
    </row>
    <row r="874" spans="7:11" x14ac:dyDescent="0.2">
      <c r="G874" s="44"/>
      <c r="J874" t="str">
        <f t="shared" si="26"/>
        <v/>
      </c>
      <c r="K874" t="str">
        <f t="shared" si="27"/>
        <v/>
      </c>
    </row>
    <row r="875" spans="7:11" x14ac:dyDescent="0.2">
      <c r="G875" s="44"/>
      <c r="J875" t="str">
        <f t="shared" si="26"/>
        <v/>
      </c>
      <c r="K875" t="str">
        <f t="shared" si="27"/>
        <v/>
      </c>
    </row>
    <row r="876" spans="7:11" x14ac:dyDescent="0.2">
      <c r="G876" s="44"/>
      <c r="J876" t="str">
        <f t="shared" si="26"/>
        <v/>
      </c>
      <c r="K876" t="str">
        <f t="shared" si="27"/>
        <v/>
      </c>
    </row>
    <row r="877" spans="7:11" x14ac:dyDescent="0.2">
      <c r="G877" s="44"/>
      <c r="J877" t="str">
        <f t="shared" si="26"/>
        <v/>
      </c>
      <c r="K877" t="str">
        <f t="shared" si="27"/>
        <v/>
      </c>
    </row>
    <row r="878" spans="7:11" x14ac:dyDescent="0.2">
      <c r="G878" s="44"/>
      <c r="J878" t="str">
        <f t="shared" si="26"/>
        <v/>
      </c>
      <c r="K878" t="str">
        <f t="shared" si="27"/>
        <v/>
      </c>
    </row>
    <row r="879" spans="7:11" x14ac:dyDescent="0.2">
      <c r="G879" s="44"/>
      <c r="J879" t="str">
        <f t="shared" si="26"/>
        <v/>
      </c>
      <c r="K879" t="str">
        <f t="shared" si="27"/>
        <v/>
      </c>
    </row>
    <row r="880" spans="7:11" x14ac:dyDescent="0.2">
      <c r="G880" s="44"/>
      <c r="J880" t="str">
        <f t="shared" si="26"/>
        <v/>
      </c>
      <c r="K880" t="str">
        <f t="shared" si="27"/>
        <v/>
      </c>
    </row>
    <row r="881" spans="7:11" x14ac:dyDescent="0.2">
      <c r="G881" s="44"/>
      <c r="J881" t="str">
        <f t="shared" si="26"/>
        <v/>
      </c>
      <c r="K881" t="str">
        <f t="shared" si="27"/>
        <v/>
      </c>
    </row>
    <row r="882" spans="7:11" x14ac:dyDescent="0.2">
      <c r="G882" s="44"/>
      <c r="J882" t="str">
        <f t="shared" si="26"/>
        <v/>
      </c>
      <c r="K882" t="str">
        <f t="shared" si="27"/>
        <v/>
      </c>
    </row>
    <row r="883" spans="7:11" x14ac:dyDescent="0.2">
      <c r="G883" s="44"/>
      <c r="J883" t="str">
        <f t="shared" si="26"/>
        <v/>
      </c>
      <c r="K883" t="str">
        <f t="shared" si="27"/>
        <v/>
      </c>
    </row>
    <row r="884" spans="7:11" x14ac:dyDescent="0.2">
      <c r="G884" s="44"/>
      <c r="J884" t="str">
        <f t="shared" si="26"/>
        <v/>
      </c>
      <c r="K884" t="str">
        <f t="shared" si="27"/>
        <v/>
      </c>
    </row>
    <row r="885" spans="7:11" x14ac:dyDescent="0.2">
      <c r="G885" s="44"/>
      <c r="J885" t="str">
        <f t="shared" si="26"/>
        <v/>
      </c>
      <c r="K885" t="str">
        <f t="shared" si="27"/>
        <v/>
      </c>
    </row>
    <row r="886" spans="7:11" x14ac:dyDescent="0.2">
      <c r="G886" s="44"/>
      <c r="J886" t="str">
        <f t="shared" si="26"/>
        <v/>
      </c>
      <c r="K886" t="str">
        <f t="shared" si="27"/>
        <v/>
      </c>
    </row>
    <row r="887" spans="7:11" x14ac:dyDescent="0.2">
      <c r="G887" s="44"/>
      <c r="J887" t="str">
        <f t="shared" si="26"/>
        <v/>
      </c>
      <c r="K887" t="str">
        <f t="shared" si="27"/>
        <v/>
      </c>
    </row>
    <row r="888" spans="7:11" x14ac:dyDescent="0.2">
      <c r="G888" s="44"/>
      <c r="J888" t="str">
        <f t="shared" si="26"/>
        <v/>
      </c>
      <c r="K888" t="str">
        <f t="shared" si="27"/>
        <v/>
      </c>
    </row>
    <row r="889" spans="7:11" x14ac:dyDescent="0.2">
      <c r="G889" s="44"/>
      <c r="J889" t="str">
        <f t="shared" si="26"/>
        <v/>
      </c>
      <c r="K889" t="str">
        <f t="shared" si="27"/>
        <v/>
      </c>
    </row>
    <row r="890" spans="7:11" x14ac:dyDescent="0.2">
      <c r="G890" s="44"/>
      <c r="J890" t="str">
        <f t="shared" si="26"/>
        <v/>
      </c>
      <c r="K890" t="str">
        <f t="shared" si="27"/>
        <v/>
      </c>
    </row>
    <row r="891" spans="7:11" x14ac:dyDescent="0.2">
      <c r="G891" s="44"/>
      <c r="J891" t="str">
        <f t="shared" si="26"/>
        <v/>
      </c>
      <c r="K891" t="str">
        <f t="shared" si="27"/>
        <v/>
      </c>
    </row>
    <row r="892" spans="7:11" x14ac:dyDescent="0.2">
      <c r="G892" s="44"/>
      <c r="J892" t="str">
        <f t="shared" si="26"/>
        <v/>
      </c>
      <c r="K892" t="str">
        <f t="shared" si="27"/>
        <v/>
      </c>
    </row>
    <row r="893" spans="7:11" x14ac:dyDescent="0.2">
      <c r="G893" s="44"/>
      <c r="J893" t="str">
        <f t="shared" si="26"/>
        <v/>
      </c>
      <c r="K893" t="str">
        <f t="shared" si="27"/>
        <v/>
      </c>
    </row>
    <row r="894" spans="7:11" x14ac:dyDescent="0.2">
      <c r="G894" s="44"/>
      <c r="J894" t="str">
        <f t="shared" si="26"/>
        <v/>
      </c>
      <c r="K894" t="str">
        <f t="shared" si="27"/>
        <v/>
      </c>
    </row>
    <row r="895" spans="7:11" x14ac:dyDescent="0.2">
      <c r="G895" s="44"/>
      <c r="J895" t="str">
        <f t="shared" si="26"/>
        <v/>
      </c>
      <c r="K895" t="str">
        <f t="shared" si="27"/>
        <v/>
      </c>
    </row>
    <row r="896" spans="7:11" x14ac:dyDescent="0.2">
      <c r="G896" s="44"/>
      <c r="J896" t="str">
        <f t="shared" si="26"/>
        <v/>
      </c>
      <c r="K896" t="str">
        <f t="shared" si="27"/>
        <v/>
      </c>
    </row>
    <row r="897" spans="7:11" x14ac:dyDescent="0.2">
      <c r="G897" s="44"/>
      <c r="J897" t="str">
        <f t="shared" si="26"/>
        <v/>
      </c>
      <c r="K897" t="str">
        <f t="shared" si="27"/>
        <v/>
      </c>
    </row>
    <row r="898" spans="7:11" x14ac:dyDescent="0.2">
      <c r="G898" s="44"/>
      <c r="J898" t="str">
        <f t="shared" ref="J898:J961" si="28">IF(E898="","",IF(OR(E898=50,E898=51),"Iltindhold",IF(E898=75,"Carbon,org,NVOC",IF(OR(E898=343,E898=1167),"Svovlbrinte",IF(OR(E898=240,E898=241,E898=242),"Amm",IF(E898=244,"Nitrit",IF(E898=247,"Nitrat",IF(E898=334,"Sulfat",IF(E898=262,"Phosphor, total-P",F898)))))))))</f>
        <v/>
      </c>
      <c r="K898" t="str">
        <f t="shared" ref="K898:K961" si="29">IF(A898="","",IF(H898="!",NA(),IF(H898="A",I898*0.5,IF(H898="&lt;",I898*0.5,I898))))</f>
        <v/>
      </c>
    </row>
    <row r="899" spans="7:11" x14ac:dyDescent="0.2">
      <c r="G899" s="44"/>
      <c r="J899" t="str">
        <f t="shared" si="28"/>
        <v/>
      </c>
      <c r="K899" t="str">
        <f t="shared" si="29"/>
        <v/>
      </c>
    </row>
    <row r="900" spans="7:11" x14ac:dyDescent="0.2">
      <c r="G900" s="44"/>
      <c r="J900" t="str">
        <f t="shared" si="28"/>
        <v/>
      </c>
      <c r="K900" t="str">
        <f t="shared" si="29"/>
        <v/>
      </c>
    </row>
    <row r="901" spans="7:11" x14ac:dyDescent="0.2">
      <c r="G901" s="44"/>
      <c r="J901" t="str">
        <f t="shared" si="28"/>
        <v/>
      </c>
      <c r="K901" t="str">
        <f t="shared" si="29"/>
        <v/>
      </c>
    </row>
    <row r="902" spans="7:11" x14ac:dyDescent="0.2">
      <c r="G902" s="44"/>
      <c r="J902" t="str">
        <f t="shared" si="28"/>
        <v/>
      </c>
      <c r="K902" t="str">
        <f t="shared" si="29"/>
        <v/>
      </c>
    </row>
    <row r="903" spans="7:11" x14ac:dyDescent="0.2">
      <c r="G903" s="44"/>
      <c r="J903" t="str">
        <f t="shared" si="28"/>
        <v/>
      </c>
      <c r="K903" t="str">
        <f t="shared" si="29"/>
        <v/>
      </c>
    </row>
    <row r="904" spans="7:11" x14ac:dyDescent="0.2">
      <c r="G904" s="44"/>
      <c r="J904" t="str">
        <f t="shared" si="28"/>
        <v/>
      </c>
      <c r="K904" t="str">
        <f t="shared" si="29"/>
        <v/>
      </c>
    </row>
    <row r="905" spans="7:11" x14ac:dyDescent="0.2">
      <c r="G905" s="44"/>
      <c r="J905" t="str">
        <f t="shared" si="28"/>
        <v/>
      </c>
      <c r="K905" t="str">
        <f t="shared" si="29"/>
        <v/>
      </c>
    </row>
    <row r="906" spans="7:11" x14ac:dyDescent="0.2">
      <c r="G906" s="44"/>
      <c r="J906" t="str">
        <f t="shared" si="28"/>
        <v/>
      </c>
      <c r="K906" t="str">
        <f t="shared" si="29"/>
        <v/>
      </c>
    </row>
    <row r="907" spans="7:11" x14ac:dyDescent="0.2">
      <c r="G907" s="44"/>
      <c r="J907" t="str">
        <f t="shared" si="28"/>
        <v/>
      </c>
      <c r="K907" t="str">
        <f t="shared" si="29"/>
        <v/>
      </c>
    </row>
    <row r="908" spans="7:11" x14ac:dyDescent="0.2">
      <c r="G908" s="44"/>
      <c r="J908" t="str">
        <f t="shared" si="28"/>
        <v/>
      </c>
      <c r="K908" t="str">
        <f t="shared" si="29"/>
        <v/>
      </c>
    </row>
    <row r="909" spans="7:11" x14ac:dyDescent="0.2">
      <c r="G909" s="44"/>
      <c r="J909" t="str">
        <f t="shared" si="28"/>
        <v/>
      </c>
      <c r="K909" t="str">
        <f t="shared" si="29"/>
        <v/>
      </c>
    </row>
    <row r="910" spans="7:11" x14ac:dyDescent="0.2">
      <c r="G910" s="44"/>
      <c r="J910" t="str">
        <f t="shared" si="28"/>
        <v/>
      </c>
      <c r="K910" t="str">
        <f t="shared" si="29"/>
        <v/>
      </c>
    </row>
    <row r="911" spans="7:11" x14ac:dyDescent="0.2">
      <c r="G911" s="44"/>
      <c r="J911" t="str">
        <f t="shared" si="28"/>
        <v/>
      </c>
      <c r="K911" t="str">
        <f t="shared" si="29"/>
        <v/>
      </c>
    </row>
    <row r="912" spans="7:11" x14ac:dyDescent="0.2">
      <c r="G912" s="44"/>
      <c r="J912" t="str">
        <f t="shared" si="28"/>
        <v/>
      </c>
      <c r="K912" t="str">
        <f t="shared" si="29"/>
        <v/>
      </c>
    </row>
    <row r="913" spans="7:11" x14ac:dyDescent="0.2">
      <c r="G913" s="44"/>
      <c r="J913" t="str">
        <f t="shared" si="28"/>
        <v/>
      </c>
      <c r="K913" t="str">
        <f t="shared" si="29"/>
        <v/>
      </c>
    </row>
    <row r="914" spans="7:11" x14ac:dyDescent="0.2">
      <c r="G914" s="44"/>
      <c r="J914" t="str">
        <f t="shared" si="28"/>
        <v/>
      </c>
      <c r="K914" t="str">
        <f t="shared" si="29"/>
        <v/>
      </c>
    </row>
    <row r="915" spans="7:11" x14ac:dyDescent="0.2">
      <c r="G915" s="44"/>
      <c r="J915" t="str">
        <f t="shared" si="28"/>
        <v/>
      </c>
      <c r="K915" t="str">
        <f t="shared" si="29"/>
        <v/>
      </c>
    </row>
    <row r="916" spans="7:11" x14ac:dyDescent="0.2">
      <c r="G916" s="44"/>
      <c r="J916" t="str">
        <f t="shared" si="28"/>
        <v/>
      </c>
      <c r="K916" t="str">
        <f t="shared" si="29"/>
        <v/>
      </c>
    </row>
    <row r="917" spans="7:11" x14ac:dyDescent="0.2">
      <c r="G917" s="44"/>
      <c r="J917" t="str">
        <f t="shared" si="28"/>
        <v/>
      </c>
      <c r="K917" t="str">
        <f t="shared" si="29"/>
        <v/>
      </c>
    </row>
    <row r="918" spans="7:11" x14ac:dyDescent="0.2">
      <c r="G918" s="44"/>
      <c r="J918" t="str">
        <f t="shared" si="28"/>
        <v/>
      </c>
      <c r="K918" t="str">
        <f t="shared" si="29"/>
        <v/>
      </c>
    </row>
    <row r="919" spans="7:11" x14ac:dyDescent="0.2">
      <c r="G919" s="44"/>
      <c r="J919" t="str">
        <f t="shared" si="28"/>
        <v/>
      </c>
      <c r="K919" t="str">
        <f t="shared" si="29"/>
        <v/>
      </c>
    </row>
    <row r="920" spans="7:11" x14ac:dyDescent="0.2">
      <c r="G920" s="44"/>
      <c r="J920" t="str">
        <f t="shared" si="28"/>
        <v/>
      </c>
      <c r="K920" t="str">
        <f t="shared" si="29"/>
        <v/>
      </c>
    </row>
    <row r="921" spans="7:11" x14ac:dyDescent="0.2">
      <c r="G921" s="44"/>
      <c r="J921" t="str">
        <f t="shared" si="28"/>
        <v/>
      </c>
      <c r="K921" t="str">
        <f t="shared" si="29"/>
        <v/>
      </c>
    </row>
    <row r="922" spans="7:11" x14ac:dyDescent="0.2">
      <c r="G922" s="44"/>
      <c r="J922" t="str">
        <f t="shared" si="28"/>
        <v/>
      </c>
      <c r="K922" t="str">
        <f t="shared" si="29"/>
        <v/>
      </c>
    </row>
    <row r="923" spans="7:11" x14ac:dyDescent="0.2">
      <c r="G923" s="44"/>
      <c r="J923" t="str">
        <f t="shared" si="28"/>
        <v/>
      </c>
      <c r="K923" t="str">
        <f t="shared" si="29"/>
        <v/>
      </c>
    </row>
    <row r="924" spans="7:11" x14ac:dyDescent="0.2">
      <c r="G924" s="44"/>
      <c r="J924" t="str">
        <f t="shared" si="28"/>
        <v/>
      </c>
      <c r="K924" t="str">
        <f t="shared" si="29"/>
        <v/>
      </c>
    </row>
    <row r="925" spans="7:11" x14ac:dyDescent="0.2">
      <c r="G925" s="44"/>
      <c r="J925" t="str">
        <f t="shared" si="28"/>
        <v/>
      </c>
      <c r="K925" t="str">
        <f t="shared" si="29"/>
        <v/>
      </c>
    </row>
    <row r="926" spans="7:11" x14ac:dyDescent="0.2">
      <c r="G926" s="44"/>
      <c r="J926" t="str">
        <f t="shared" si="28"/>
        <v/>
      </c>
      <c r="K926" t="str">
        <f t="shared" si="29"/>
        <v/>
      </c>
    </row>
    <row r="927" spans="7:11" x14ac:dyDescent="0.2">
      <c r="G927" s="44"/>
      <c r="J927" t="str">
        <f t="shared" si="28"/>
        <v/>
      </c>
      <c r="K927" t="str">
        <f t="shared" si="29"/>
        <v/>
      </c>
    </row>
    <row r="928" spans="7:11" x14ac:dyDescent="0.2">
      <c r="G928" s="44"/>
      <c r="J928" t="str">
        <f t="shared" si="28"/>
        <v/>
      </c>
      <c r="K928" t="str">
        <f t="shared" si="29"/>
        <v/>
      </c>
    </row>
    <row r="929" spans="7:11" x14ac:dyDescent="0.2">
      <c r="G929" s="44"/>
      <c r="J929" t="str">
        <f t="shared" si="28"/>
        <v/>
      </c>
      <c r="K929" t="str">
        <f t="shared" si="29"/>
        <v/>
      </c>
    </row>
    <row r="930" spans="7:11" x14ac:dyDescent="0.2">
      <c r="G930" s="44"/>
      <c r="J930" t="str">
        <f t="shared" si="28"/>
        <v/>
      </c>
      <c r="K930" t="str">
        <f t="shared" si="29"/>
        <v/>
      </c>
    </row>
    <row r="931" spans="7:11" x14ac:dyDescent="0.2">
      <c r="G931" s="44"/>
      <c r="J931" t="str">
        <f t="shared" si="28"/>
        <v/>
      </c>
      <c r="K931" t="str">
        <f t="shared" si="29"/>
        <v/>
      </c>
    </row>
    <row r="932" spans="7:11" x14ac:dyDescent="0.2">
      <c r="G932" s="44"/>
      <c r="J932" t="str">
        <f t="shared" si="28"/>
        <v/>
      </c>
      <c r="K932" t="str">
        <f t="shared" si="29"/>
        <v/>
      </c>
    </row>
    <row r="933" spans="7:11" x14ac:dyDescent="0.2">
      <c r="G933" s="44"/>
      <c r="J933" t="str">
        <f t="shared" si="28"/>
        <v/>
      </c>
      <c r="K933" t="str">
        <f t="shared" si="29"/>
        <v/>
      </c>
    </row>
    <row r="934" spans="7:11" x14ac:dyDescent="0.2">
      <c r="G934" s="44"/>
      <c r="J934" t="str">
        <f t="shared" si="28"/>
        <v/>
      </c>
      <c r="K934" t="str">
        <f t="shared" si="29"/>
        <v/>
      </c>
    </row>
    <row r="935" spans="7:11" x14ac:dyDescent="0.2">
      <c r="G935" s="44"/>
      <c r="J935" t="str">
        <f t="shared" si="28"/>
        <v/>
      </c>
      <c r="K935" t="str">
        <f t="shared" si="29"/>
        <v/>
      </c>
    </row>
    <row r="936" spans="7:11" x14ac:dyDescent="0.2">
      <c r="G936" s="44"/>
      <c r="J936" t="str">
        <f t="shared" si="28"/>
        <v/>
      </c>
      <c r="K936" t="str">
        <f t="shared" si="29"/>
        <v/>
      </c>
    </row>
    <row r="937" spans="7:11" x14ac:dyDescent="0.2">
      <c r="G937" s="44"/>
      <c r="J937" t="str">
        <f t="shared" si="28"/>
        <v/>
      </c>
      <c r="K937" t="str">
        <f t="shared" si="29"/>
        <v/>
      </c>
    </row>
    <row r="938" spans="7:11" x14ac:dyDescent="0.2">
      <c r="G938" s="44"/>
      <c r="J938" t="str">
        <f t="shared" si="28"/>
        <v/>
      </c>
      <c r="K938" t="str">
        <f t="shared" si="29"/>
        <v/>
      </c>
    </row>
    <row r="939" spans="7:11" x14ac:dyDescent="0.2">
      <c r="G939" s="44"/>
      <c r="J939" t="str">
        <f t="shared" si="28"/>
        <v/>
      </c>
      <c r="K939" t="str">
        <f t="shared" si="29"/>
        <v/>
      </c>
    </row>
    <row r="940" spans="7:11" x14ac:dyDescent="0.2">
      <c r="G940" s="44"/>
      <c r="J940" t="str">
        <f t="shared" si="28"/>
        <v/>
      </c>
      <c r="K940" t="str">
        <f t="shared" si="29"/>
        <v/>
      </c>
    </row>
    <row r="941" spans="7:11" x14ac:dyDescent="0.2">
      <c r="G941" s="44"/>
      <c r="J941" t="str">
        <f t="shared" si="28"/>
        <v/>
      </c>
      <c r="K941" t="str">
        <f t="shared" si="29"/>
        <v/>
      </c>
    </row>
    <row r="942" spans="7:11" x14ac:dyDescent="0.2">
      <c r="G942" s="44"/>
      <c r="J942" t="str">
        <f t="shared" si="28"/>
        <v/>
      </c>
      <c r="K942" t="str">
        <f t="shared" si="29"/>
        <v/>
      </c>
    </row>
    <row r="943" spans="7:11" x14ac:dyDescent="0.2">
      <c r="G943" s="44"/>
      <c r="J943" t="str">
        <f t="shared" si="28"/>
        <v/>
      </c>
      <c r="K943" t="str">
        <f t="shared" si="29"/>
        <v/>
      </c>
    </row>
    <row r="944" spans="7:11" x14ac:dyDescent="0.2">
      <c r="G944" s="44"/>
      <c r="J944" t="str">
        <f t="shared" si="28"/>
        <v/>
      </c>
      <c r="K944" t="str">
        <f t="shared" si="29"/>
        <v/>
      </c>
    </row>
    <row r="945" spans="7:11" x14ac:dyDescent="0.2">
      <c r="G945" s="44"/>
      <c r="J945" t="str">
        <f t="shared" si="28"/>
        <v/>
      </c>
      <c r="K945" t="str">
        <f t="shared" si="29"/>
        <v/>
      </c>
    </row>
    <row r="946" spans="7:11" x14ac:dyDescent="0.2">
      <c r="G946" s="44"/>
      <c r="J946" t="str">
        <f t="shared" si="28"/>
        <v/>
      </c>
      <c r="K946" t="str">
        <f t="shared" si="29"/>
        <v/>
      </c>
    </row>
    <row r="947" spans="7:11" x14ac:dyDescent="0.2">
      <c r="G947" s="44"/>
      <c r="J947" t="str">
        <f t="shared" si="28"/>
        <v/>
      </c>
      <c r="K947" t="str">
        <f t="shared" si="29"/>
        <v/>
      </c>
    </row>
    <row r="948" spans="7:11" x14ac:dyDescent="0.2">
      <c r="G948" s="44"/>
      <c r="J948" t="str">
        <f t="shared" si="28"/>
        <v/>
      </c>
      <c r="K948" t="str">
        <f t="shared" si="29"/>
        <v/>
      </c>
    </row>
    <row r="949" spans="7:11" x14ac:dyDescent="0.2">
      <c r="G949" s="44"/>
      <c r="J949" t="str">
        <f t="shared" si="28"/>
        <v/>
      </c>
      <c r="K949" t="str">
        <f t="shared" si="29"/>
        <v/>
      </c>
    </row>
    <row r="950" spans="7:11" x14ac:dyDescent="0.2">
      <c r="G950" s="44"/>
      <c r="J950" t="str">
        <f t="shared" si="28"/>
        <v/>
      </c>
      <c r="K950" t="str">
        <f t="shared" si="29"/>
        <v/>
      </c>
    </row>
    <row r="951" spans="7:11" x14ac:dyDescent="0.2">
      <c r="G951" s="44"/>
      <c r="J951" t="str">
        <f t="shared" si="28"/>
        <v/>
      </c>
      <c r="K951" t="str">
        <f t="shared" si="29"/>
        <v/>
      </c>
    </row>
    <row r="952" spans="7:11" x14ac:dyDescent="0.2">
      <c r="G952" s="44"/>
      <c r="J952" t="str">
        <f t="shared" si="28"/>
        <v/>
      </c>
      <c r="K952" t="str">
        <f t="shared" si="29"/>
        <v/>
      </c>
    </row>
    <row r="953" spans="7:11" x14ac:dyDescent="0.2">
      <c r="G953" s="44"/>
      <c r="J953" t="str">
        <f t="shared" si="28"/>
        <v/>
      </c>
      <c r="K953" t="str">
        <f t="shared" si="29"/>
        <v/>
      </c>
    </row>
    <row r="954" spans="7:11" x14ac:dyDescent="0.2">
      <c r="G954" s="44"/>
      <c r="J954" t="str">
        <f t="shared" si="28"/>
        <v/>
      </c>
      <c r="K954" t="str">
        <f t="shared" si="29"/>
        <v/>
      </c>
    </row>
    <row r="955" spans="7:11" x14ac:dyDescent="0.2">
      <c r="G955" s="44"/>
      <c r="J955" t="str">
        <f t="shared" si="28"/>
        <v/>
      </c>
      <c r="K955" t="str">
        <f t="shared" si="29"/>
        <v/>
      </c>
    </row>
    <row r="956" spans="7:11" x14ac:dyDescent="0.2">
      <c r="G956" s="44"/>
      <c r="J956" t="str">
        <f t="shared" si="28"/>
        <v/>
      </c>
      <c r="K956" t="str">
        <f t="shared" si="29"/>
        <v/>
      </c>
    </row>
    <row r="957" spans="7:11" x14ac:dyDescent="0.2">
      <c r="G957" s="44"/>
      <c r="J957" t="str">
        <f t="shared" si="28"/>
        <v/>
      </c>
      <c r="K957" t="str">
        <f t="shared" si="29"/>
        <v/>
      </c>
    </row>
    <row r="958" spans="7:11" x14ac:dyDescent="0.2">
      <c r="G958" s="44"/>
      <c r="J958" t="str">
        <f t="shared" si="28"/>
        <v/>
      </c>
      <c r="K958" t="str">
        <f t="shared" si="29"/>
        <v/>
      </c>
    </row>
    <row r="959" spans="7:11" x14ac:dyDescent="0.2">
      <c r="G959" s="44"/>
      <c r="J959" t="str">
        <f t="shared" si="28"/>
        <v/>
      </c>
      <c r="K959" t="str">
        <f t="shared" si="29"/>
        <v/>
      </c>
    </row>
    <row r="960" spans="7:11" x14ac:dyDescent="0.2">
      <c r="G960" s="44"/>
      <c r="J960" t="str">
        <f t="shared" si="28"/>
        <v/>
      </c>
      <c r="K960" t="str">
        <f t="shared" si="29"/>
        <v/>
      </c>
    </row>
    <row r="961" spans="7:11" x14ac:dyDescent="0.2">
      <c r="G961" s="44"/>
      <c r="J961" t="str">
        <f t="shared" si="28"/>
        <v/>
      </c>
      <c r="K961" t="str">
        <f t="shared" si="29"/>
        <v/>
      </c>
    </row>
    <row r="962" spans="7:11" x14ac:dyDescent="0.2">
      <c r="G962" s="44"/>
      <c r="J962" t="str">
        <f t="shared" ref="J962:J1025" si="30">IF(E962="","",IF(OR(E962=50,E962=51),"Iltindhold",IF(E962=75,"Carbon,org,NVOC",IF(OR(E962=343,E962=1167),"Svovlbrinte",IF(OR(E962=240,E962=241,E962=242),"Amm",IF(E962=244,"Nitrit",IF(E962=247,"Nitrat",IF(E962=334,"Sulfat",IF(E962=262,"Phosphor, total-P",F962)))))))))</f>
        <v/>
      </c>
      <c r="K962" t="str">
        <f t="shared" ref="K962:K1025" si="31">IF(A962="","",IF(H962="!",NA(),IF(H962="A",I962*0.5,IF(H962="&lt;",I962*0.5,I962))))</f>
        <v/>
      </c>
    </row>
    <row r="963" spans="7:11" x14ac:dyDescent="0.2">
      <c r="G963" s="44"/>
      <c r="J963" t="str">
        <f t="shared" si="30"/>
        <v/>
      </c>
      <c r="K963" t="str">
        <f t="shared" si="31"/>
        <v/>
      </c>
    </row>
    <row r="964" spans="7:11" x14ac:dyDescent="0.2">
      <c r="G964" s="44"/>
      <c r="J964" t="str">
        <f t="shared" si="30"/>
        <v/>
      </c>
      <c r="K964" t="str">
        <f t="shared" si="31"/>
        <v/>
      </c>
    </row>
    <row r="965" spans="7:11" x14ac:dyDescent="0.2">
      <c r="G965" s="44"/>
      <c r="J965" t="str">
        <f t="shared" si="30"/>
        <v/>
      </c>
      <c r="K965" t="str">
        <f t="shared" si="31"/>
        <v/>
      </c>
    </row>
    <row r="966" spans="7:11" x14ac:dyDescent="0.2">
      <c r="G966" s="44"/>
      <c r="J966" t="str">
        <f t="shared" si="30"/>
        <v/>
      </c>
      <c r="K966" t="str">
        <f t="shared" si="31"/>
        <v/>
      </c>
    </row>
    <row r="967" spans="7:11" x14ac:dyDescent="0.2">
      <c r="G967" s="44"/>
      <c r="J967" t="str">
        <f t="shared" si="30"/>
        <v/>
      </c>
      <c r="K967" t="str">
        <f t="shared" si="31"/>
        <v/>
      </c>
    </row>
    <row r="968" spans="7:11" x14ac:dyDescent="0.2">
      <c r="G968" s="44"/>
      <c r="J968" t="str">
        <f t="shared" si="30"/>
        <v/>
      </c>
      <c r="K968" t="str">
        <f t="shared" si="31"/>
        <v/>
      </c>
    </row>
    <row r="969" spans="7:11" x14ac:dyDescent="0.2">
      <c r="G969" s="44"/>
      <c r="J969" t="str">
        <f t="shared" si="30"/>
        <v/>
      </c>
      <c r="K969" t="str">
        <f t="shared" si="31"/>
        <v/>
      </c>
    </row>
    <row r="970" spans="7:11" x14ac:dyDescent="0.2">
      <c r="G970" s="44"/>
      <c r="J970" t="str">
        <f t="shared" si="30"/>
        <v/>
      </c>
      <c r="K970" t="str">
        <f t="shared" si="31"/>
        <v/>
      </c>
    </row>
    <row r="971" spans="7:11" x14ac:dyDescent="0.2">
      <c r="G971" s="44"/>
      <c r="J971" t="str">
        <f t="shared" si="30"/>
        <v/>
      </c>
      <c r="K971" t="str">
        <f t="shared" si="31"/>
        <v/>
      </c>
    </row>
    <row r="972" spans="7:11" x14ac:dyDescent="0.2">
      <c r="G972" s="44"/>
      <c r="J972" t="str">
        <f t="shared" si="30"/>
        <v/>
      </c>
      <c r="K972" t="str">
        <f t="shared" si="31"/>
        <v/>
      </c>
    </row>
    <row r="973" spans="7:11" x14ac:dyDescent="0.2">
      <c r="G973" s="44"/>
      <c r="J973" t="str">
        <f t="shared" si="30"/>
        <v/>
      </c>
      <c r="K973" t="str">
        <f t="shared" si="31"/>
        <v/>
      </c>
    </row>
    <row r="974" spans="7:11" x14ac:dyDescent="0.2">
      <c r="G974" s="44"/>
      <c r="J974" t="str">
        <f t="shared" si="30"/>
        <v/>
      </c>
      <c r="K974" t="str">
        <f t="shared" si="31"/>
        <v/>
      </c>
    </row>
    <row r="975" spans="7:11" x14ac:dyDescent="0.2">
      <c r="G975" s="44"/>
      <c r="J975" t="str">
        <f t="shared" si="30"/>
        <v/>
      </c>
      <c r="K975" t="str">
        <f t="shared" si="31"/>
        <v/>
      </c>
    </row>
    <row r="976" spans="7:11" x14ac:dyDescent="0.2">
      <c r="G976" s="44"/>
      <c r="J976" t="str">
        <f t="shared" si="30"/>
        <v/>
      </c>
      <c r="K976" t="str">
        <f t="shared" si="31"/>
        <v/>
      </c>
    </row>
    <row r="977" spans="7:11" x14ac:dyDescent="0.2">
      <c r="G977" s="44"/>
      <c r="J977" t="str">
        <f t="shared" si="30"/>
        <v/>
      </c>
      <c r="K977" t="str">
        <f t="shared" si="31"/>
        <v/>
      </c>
    </row>
    <row r="978" spans="7:11" x14ac:dyDescent="0.2">
      <c r="G978" s="44"/>
      <c r="J978" t="str">
        <f t="shared" si="30"/>
        <v/>
      </c>
      <c r="K978" t="str">
        <f t="shared" si="31"/>
        <v/>
      </c>
    </row>
    <row r="979" spans="7:11" x14ac:dyDescent="0.2">
      <c r="G979" s="44"/>
      <c r="J979" t="str">
        <f t="shared" si="30"/>
        <v/>
      </c>
      <c r="K979" t="str">
        <f t="shared" si="31"/>
        <v/>
      </c>
    </row>
    <row r="980" spans="7:11" x14ac:dyDescent="0.2">
      <c r="G980" s="44"/>
      <c r="J980" t="str">
        <f t="shared" si="30"/>
        <v/>
      </c>
      <c r="K980" t="str">
        <f t="shared" si="31"/>
        <v/>
      </c>
    </row>
    <row r="981" spans="7:11" x14ac:dyDescent="0.2">
      <c r="G981" s="44"/>
      <c r="J981" t="str">
        <f t="shared" si="30"/>
        <v/>
      </c>
      <c r="K981" t="str">
        <f t="shared" si="31"/>
        <v/>
      </c>
    </row>
    <row r="982" spans="7:11" x14ac:dyDescent="0.2">
      <c r="G982" s="44"/>
      <c r="J982" t="str">
        <f t="shared" si="30"/>
        <v/>
      </c>
      <c r="K982" t="str">
        <f t="shared" si="31"/>
        <v/>
      </c>
    </row>
    <row r="983" spans="7:11" x14ac:dyDescent="0.2">
      <c r="G983" s="44"/>
      <c r="J983" t="str">
        <f t="shared" si="30"/>
        <v/>
      </c>
      <c r="K983" t="str">
        <f t="shared" si="31"/>
        <v/>
      </c>
    </row>
    <row r="984" spans="7:11" x14ac:dyDescent="0.2">
      <c r="G984" s="44"/>
      <c r="J984" t="str">
        <f t="shared" si="30"/>
        <v/>
      </c>
      <c r="K984" t="str">
        <f t="shared" si="31"/>
        <v/>
      </c>
    </row>
    <row r="985" spans="7:11" x14ac:dyDescent="0.2">
      <c r="G985" s="44"/>
      <c r="J985" t="str">
        <f t="shared" si="30"/>
        <v/>
      </c>
      <c r="K985" t="str">
        <f t="shared" si="31"/>
        <v/>
      </c>
    </row>
    <row r="986" spans="7:11" x14ac:dyDescent="0.2">
      <c r="G986" s="44"/>
      <c r="J986" t="str">
        <f t="shared" si="30"/>
        <v/>
      </c>
      <c r="K986" t="str">
        <f t="shared" si="31"/>
        <v/>
      </c>
    </row>
    <row r="987" spans="7:11" x14ac:dyDescent="0.2">
      <c r="G987" s="44"/>
      <c r="J987" t="str">
        <f t="shared" si="30"/>
        <v/>
      </c>
      <c r="K987" t="str">
        <f t="shared" si="31"/>
        <v/>
      </c>
    </row>
    <row r="988" spans="7:11" x14ac:dyDescent="0.2">
      <c r="G988" s="44"/>
      <c r="J988" t="str">
        <f t="shared" si="30"/>
        <v/>
      </c>
      <c r="K988" t="str">
        <f t="shared" si="31"/>
        <v/>
      </c>
    </row>
    <row r="989" spans="7:11" x14ac:dyDescent="0.2">
      <c r="G989" s="44"/>
      <c r="J989" t="str">
        <f t="shared" si="30"/>
        <v/>
      </c>
      <c r="K989" t="str">
        <f t="shared" si="31"/>
        <v/>
      </c>
    </row>
    <row r="990" spans="7:11" x14ac:dyDescent="0.2">
      <c r="G990" s="44"/>
      <c r="J990" t="str">
        <f t="shared" si="30"/>
        <v/>
      </c>
      <c r="K990" t="str">
        <f t="shared" si="31"/>
        <v/>
      </c>
    </row>
    <row r="991" spans="7:11" x14ac:dyDescent="0.2">
      <c r="G991" s="44"/>
      <c r="J991" t="str">
        <f t="shared" si="30"/>
        <v/>
      </c>
      <c r="K991" t="str">
        <f t="shared" si="31"/>
        <v/>
      </c>
    </row>
    <row r="992" spans="7:11" x14ac:dyDescent="0.2">
      <c r="G992" s="44"/>
      <c r="J992" t="str">
        <f t="shared" si="30"/>
        <v/>
      </c>
      <c r="K992" t="str">
        <f t="shared" si="31"/>
        <v/>
      </c>
    </row>
    <row r="993" spans="7:11" x14ac:dyDescent="0.2">
      <c r="G993" s="44"/>
      <c r="J993" t="str">
        <f t="shared" si="30"/>
        <v/>
      </c>
      <c r="K993" t="str">
        <f t="shared" si="31"/>
        <v/>
      </c>
    </row>
    <row r="994" spans="7:11" x14ac:dyDescent="0.2">
      <c r="G994" s="44"/>
      <c r="J994" t="str">
        <f t="shared" si="30"/>
        <v/>
      </c>
      <c r="K994" t="str">
        <f t="shared" si="31"/>
        <v/>
      </c>
    </row>
    <row r="995" spans="7:11" x14ac:dyDescent="0.2">
      <c r="G995" s="44"/>
      <c r="J995" t="str">
        <f t="shared" si="30"/>
        <v/>
      </c>
      <c r="K995" t="str">
        <f t="shared" si="31"/>
        <v/>
      </c>
    </row>
    <row r="996" spans="7:11" x14ac:dyDescent="0.2">
      <c r="G996" s="44"/>
      <c r="J996" t="str">
        <f t="shared" si="30"/>
        <v/>
      </c>
      <c r="K996" t="str">
        <f t="shared" si="31"/>
        <v/>
      </c>
    </row>
    <row r="997" spans="7:11" x14ac:dyDescent="0.2">
      <c r="G997" s="44"/>
      <c r="J997" t="str">
        <f t="shared" si="30"/>
        <v/>
      </c>
      <c r="K997" t="str">
        <f t="shared" si="31"/>
        <v/>
      </c>
    </row>
    <row r="998" spans="7:11" x14ac:dyDescent="0.2">
      <c r="G998" s="44"/>
      <c r="J998" t="str">
        <f t="shared" si="30"/>
        <v/>
      </c>
      <c r="K998" t="str">
        <f t="shared" si="31"/>
        <v/>
      </c>
    </row>
    <row r="999" spans="7:11" x14ac:dyDescent="0.2">
      <c r="G999" s="44"/>
      <c r="J999" t="str">
        <f t="shared" si="30"/>
        <v/>
      </c>
      <c r="K999" t="str">
        <f t="shared" si="31"/>
        <v/>
      </c>
    </row>
    <row r="1000" spans="7:11" x14ac:dyDescent="0.2">
      <c r="G1000" s="44"/>
      <c r="J1000" t="str">
        <f t="shared" si="30"/>
        <v/>
      </c>
      <c r="K1000" t="str">
        <f t="shared" si="31"/>
        <v/>
      </c>
    </row>
    <row r="1001" spans="7:11" x14ac:dyDescent="0.2">
      <c r="G1001" s="44"/>
      <c r="J1001" t="str">
        <f t="shared" si="30"/>
        <v/>
      </c>
      <c r="K1001" t="str">
        <f t="shared" si="31"/>
        <v/>
      </c>
    </row>
    <row r="1002" spans="7:11" x14ac:dyDescent="0.2">
      <c r="G1002" s="44"/>
      <c r="J1002" t="str">
        <f t="shared" si="30"/>
        <v/>
      </c>
      <c r="K1002" t="str">
        <f t="shared" si="31"/>
        <v/>
      </c>
    </row>
    <row r="1003" spans="7:11" x14ac:dyDescent="0.2">
      <c r="G1003" s="44"/>
      <c r="J1003" t="str">
        <f t="shared" si="30"/>
        <v/>
      </c>
      <c r="K1003" t="str">
        <f t="shared" si="31"/>
        <v/>
      </c>
    </row>
    <row r="1004" spans="7:11" x14ac:dyDescent="0.2">
      <c r="G1004" s="44"/>
      <c r="J1004" t="str">
        <f t="shared" si="30"/>
        <v/>
      </c>
      <c r="K1004" t="str">
        <f t="shared" si="31"/>
        <v/>
      </c>
    </row>
    <row r="1005" spans="7:11" x14ac:dyDescent="0.2">
      <c r="G1005" s="44"/>
      <c r="J1005" t="str">
        <f t="shared" si="30"/>
        <v/>
      </c>
      <c r="K1005" t="str">
        <f t="shared" si="31"/>
        <v/>
      </c>
    </row>
    <row r="1006" spans="7:11" x14ac:dyDescent="0.2">
      <c r="G1006" s="44"/>
      <c r="J1006" t="str">
        <f t="shared" si="30"/>
        <v/>
      </c>
      <c r="K1006" t="str">
        <f t="shared" si="31"/>
        <v/>
      </c>
    </row>
    <row r="1007" spans="7:11" x14ac:dyDescent="0.2">
      <c r="G1007" s="44"/>
      <c r="J1007" t="str">
        <f t="shared" si="30"/>
        <v/>
      </c>
      <c r="K1007" t="str">
        <f t="shared" si="31"/>
        <v/>
      </c>
    </row>
    <row r="1008" spans="7:11" x14ac:dyDescent="0.2">
      <c r="G1008" s="44"/>
      <c r="J1008" t="str">
        <f t="shared" si="30"/>
        <v/>
      </c>
      <c r="K1008" t="str">
        <f t="shared" si="31"/>
        <v/>
      </c>
    </row>
    <row r="1009" spans="7:11" x14ac:dyDescent="0.2">
      <c r="G1009" s="44"/>
      <c r="J1009" t="str">
        <f t="shared" si="30"/>
        <v/>
      </c>
      <c r="K1009" t="str">
        <f t="shared" si="31"/>
        <v/>
      </c>
    </row>
    <row r="1010" spans="7:11" x14ac:dyDescent="0.2">
      <c r="G1010" s="44"/>
      <c r="J1010" t="str">
        <f t="shared" si="30"/>
        <v/>
      </c>
      <c r="K1010" t="str">
        <f t="shared" si="31"/>
        <v/>
      </c>
    </row>
    <row r="1011" spans="7:11" x14ac:dyDescent="0.2">
      <c r="G1011" s="44"/>
      <c r="J1011" t="str">
        <f t="shared" si="30"/>
        <v/>
      </c>
      <c r="K1011" t="str">
        <f t="shared" si="31"/>
        <v/>
      </c>
    </row>
    <row r="1012" spans="7:11" x14ac:dyDescent="0.2">
      <c r="G1012" s="44"/>
      <c r="J1012" t="str">
        <f t="shared" si="30"/>
        <v/>
      </c>
      <c r="K1012" t="str">
        <f t="shared" si="31"/>
        <v/>
      </c>
    </row>
    <row r="1013" spans="7:11" x14ac:dyDescent="0.2">
      <c r="G1013" s="44"/>
      <c r="J1013" t="str">
        <f t="shared" si="30"/>
        <v/>
      </c>
      <c r="K1013" t="str">
        <f t="shared" si="31"/>
        <v/>
      </c>
    </row>
    <row r="1014" spans="7:11" x14ac:dyDescent="0.2">
      <c r="G1014" s="44"/>
      <c r="J1014" t="str">
        <f t="shared" si="30"/>
        <v/>
      </c>
      <c r="K1014" t="str">
        <f t="shared" si="31"/>
        <v/>
      </c>
    </row>
    <row r="1015" spans="7:11" x14ac:dyDescent="0.2">
      <c r="G1015" s="44"/>
      <c r="J1015" t="str">
        <f t="shared" si="30"/>
        <v/>
      </c>
      <c r="K1015" t="str">
        <f t="shared" si="31"/>
        <v/>
      </c>
    </row>
    <row r="1016" spans="7:11" x14ac:dyDescent="0.2">
      <c r="G1016" s="44"/>
      <c r="J1016" t="str">
        <f t="shared" si="30"/>
        <v/>
      </c>
      <c r="K1016" t="str">
        <f t="shared" si="31"/>
        <v/>
      </c>
    </row>
    <row r="1017" spans="7:11" x14ac:dyDescent="0.2">
      <c r="G1017" s="44"/>
      <c r="J1017" t="str">
        <f t="shared" si="30"/>
        <v/>
      </c>
      <c r="K1017" t="str">
        <f t="shared" si="31"/>
        <v/>
      </c>
    </row>
    <row r="1018" spans="7:11" x14ac:dyDescent="0.2">
      <c r="G1018" s="44"/>
      <c r="J1018" t="str">
        <f t="shared" si="30"/>
        <v/>
      </c>
      <c r="K1018" t="str">
        <f t="shared" si="31"/>
        <v/>
      </c>
    </row>
    <row r="1019" spans="7:11" x14ac:dyDescent="0.2">
      <c r="G1019" s="44"/>
      <c r="J1019" t="str">
        <f t="shared" si="30"/>
        <v/>
      </c>
      <c r="K1019" t="str">
        <f t="shared" si="31"/>
        <v/>
      </c>
    </row>
    <row r="1020" spans="7:11" x14ac:dyDescent="0.2">
      <c r="G1020" s="44"/>
      <c r="J1020" t="str">
        <f t="shared" si="30"/>
        <v/>
      </c>
      <c r="K1020" t="str">
        <f t="shared" si="31"/>
        <v/>
      </c>
    </row>
    <row r="1021" spans="7:11" x14ac:dyDescent="0.2">
      <c r="G1021" s="44"/>
      <c r="J1021" t="str">
        <f t="shared" si="30"/>
        <v/>
      </c>
      <c r="K1021" t="str">
        <f t="shared" si="31"/>
        <v/>
      </c>
    </row>
    <row r="1022" spans="7:11" x14ac:dyDescent="0.2">
      <c r="G1022" s="44"/>
      <c r="J1022" t="str">
        <f t="shared" si="30"/>
        <v/>
      </c>
      <c r="K1022" t="str">
        <f t="shared" si="31"/>
        <v/>
      </c>
    </row>
    <row r="1023" spans="7:11" x14ac:dyDescent="0.2">
      <c r="G1023" s="44"/>
      <c r="J1023" t="str">
        <f t="shared" si="30"/>
        <v/>
      </c>
      <c r="K1023" t="str">
        <f t="shared" si="31"/>
        <v/>
      </c>
    </row>
    <row r="1024" spans="7:11" x14ac:dyDescent="0.2">
      <c r="G1024" s="44"/>
      <c r="J1024" t="str">
        <f t="shared" si="30"/>
        <v/>
      </c>
      <c r="K1024" t="str">
        <f t="shared" si="31"/>
        <v/>
      </c>
    </row>
    <row r="1025" spans="7:11" x14ac:dyDescent="0.2">
      <c r="G1025" s="44"/>
      <c r="J1025" t="str">
        <f t="shared" si="30"/>
        <v/>
      </c>
      <c r="K1025" t="str">
        <f t="shared" si="31"/>
        <v/>
      </c>
    </row>
    <row r="1026" spans="7:11" x14ac:dyDescent="0.2">
      <c r="G1026" s="44"/>
      <c r="J1026" t="str">
        <f t="shared" ref="J1026:J1089" si="32">IF(E1026="","",IF(OR(E1026=50,E1026=51),"Iltindhold",IF(E1026=75,"Carbon,org,NVOC",IF(OR(E1026=343,E1026=1167),"Svovlbrinte",IF(OR(E1026=240,E1026=241,E1026=242),"Amm",IF(E1026=244,"Nitrit",IF(E1026=247,"Nitrat",IF(E1026=334,"Sulfat",IF(E1026=262,"Phosphor, total-P",F1026)))))))))</f>
        <v/>
      </c>
      <c r="K1026" t="str">
        <f t="shared" ref="K1026:K1089" si="33">IF(A1026="","",IF(H1026="!",NA(),IF(H1026="A",I1026*0.5,IF(H1026="&lt;",I1026*0.5,I1026))))</f>
        <v/>
      </c>
    </row>
    <row r="1027" spans="7:11" x14ac:dyDescent="0.2">
      <c r="G1027" s="44"/>
      <c r="J1027" t="str">
        <f t="shared" si="32"/>
        <v/>
      </c>
      <c r="K1027" t="str">
        <f t="shared" si="33"/>
        <v/>
      </c>
    </row>
    <row r="1028" spans="7:11" x14ac:dyDescent="0.2">
      <c r="G1028" s="44"/>
      <c r="J1028" t="str">
        <f t="shared" si="32"/>
        <v/>
      </c>
      <c r="K1028" t="str">
        <f t="shared" si="33"/>
        <v/>
      </c>
    </row>
    <row r="1029" spans="7:11" x14ac:dyDescent="0.2">
      <c r="G1029" s="44"/>
      <c r="J1029" t="str">
        <f t="shared" si="32"/>
        <v/>
      </c>
      <c r="K1029" t="str">
        <f t="shared" si="33"/>
        <v/>
      </c>
    </row>
    <row r="1030" spans="7:11" x14ac:dyDescent="0.2">
      <c r="G1030" s="44"/>
      <c r="J1030" t="str">
        <f t="shared" si="32"/>
        <v/>
      </c>
      <c r="K1030" t="str">
        <f t="shared" si="33"/>
        <v/>
      </c>
    </row>
    <row r="1031" spans="7:11" x14ac:dyDescent="0.2">
      <c r="G1031" s="44"/>
      <c r="J1031" t="str">
        <f t="shared" si="32"/>
        <v/>
      </c>
      <c r="K1031" t="str">
        <f t="shared" si="33"/>
        <v/>
      </c>
    </row>
    <row r="1032" spans="7:11" x14ac:dyDescent="0.2">
      <c r="G1032" s="44"/>
      <c r="J1032" t="str">
        <f t="shared" si="32"/>
        <v/>
      </c>
      <c r="K1032" t="str">
        <f t="shared" si="33"/>
        <v/>
      </c>
    </row>
    <row r="1033" spans="7:11" x14ac:dyDescent="0.2">
      <c r="G1033" s="44"/>
      <c r="J1033" t="str">
        <f t="shared" si="32"/>
        <v/>
      </c>
      <c r="K1033" t="str">
        <f t="shared" si="33"/>
        <v/>
      </c>
    </row>
    <row r="1034" spans="7:11" x14ac:dyDescent="0.2">
      <c r="G1034" s="44"/>
      <c r="J1034" t="str">
        <f t="shared" si="32"/>
        <v/>
      </c>
      <c r="K1034" t="str">
        <f t="shared" si="33"/>
        <v/>
      </c>
    </row>
    <row r="1035" spans="7:11" x14ac:dyDescent="0.2">
      <c r="G1035" s="44"/>
      <c r="J1035" t="str">
        <f t="shared" si="32"/>
        <v/>
      </c>
      <c r="K1035" t="str">
        <f t="shared" si="33"/>
        <v/>
      </c>
    </row>
    <row r="1036" spans="7:11" x14ac:dyDescent="0.2">
      <c r="G1036" s="44"/>
      <c r="J1036" t="str">
        <f t="shared" si="32"/>
        <v/>
      </c>
      <c r="K1036" t="str">
        <f t="shared" si="33"/>
        <v/>
      </c>
    </row>
    <row r="1037" spans="7:11" x14ac:dyDescent="0.2">
      <c r="G1037" s="44"/>
      <c r="J1037" t="str">
        <f t="shared" si="32"/>
        <v/>
      </c>
      <c r="K1037" t="str">
        <f t="shared" si="33"/>
        <v/>
      </c>
    </row>
    <row r="1038" spans="7:11" x14ac:dyDescent="0.2">
      <c r="G1038" s="44"/>
      <c r="J1038" t="str">
        <f t="shared" si="32"/>
        <v/>
      </c>
      <c r="K1038" t="str">
        <f t="shared" si="33"/>
        <v/>
      </c>
    </row>
    <row r="1039" spans="7:11" x14ac:dyDescent="0.2">
      <c r="G1039" s="44"/>
      <c r="J1039" t="str">
        <f t="shared" si="32"/>
        <v/>
      </c>
      <c r="K1039" t="str">
        <f t="shared" si="33"/>
        <v/>
      </c>
    </row>
    <row r="1040" spans="7:11" x14ac:dyDescent="0.2">
      <c r="G1040" s="44"/>
      <c r="J1040" t="str">
        <f t="shared" si="32"/>
        <v/>
      </c>
      <c r="K1040" t="str">
        <f t="shared" si="33"/>
        <v/>
      </c>
    </row>
    <row r="1041" spans="7:11" x14ac:dyDescent="0.2">
      <c r="G1041" s="44"/>
      <c r="J1041" t="str">
        <f t="shared" si="32"/>
        <v/>
      </c>
      <c r="K1041" t="str">
        <f t="shared" si="33"/>
        <v/>
      </c>
    </row>
    <row r="1042" spans="7:11" x14ac:dyDescent="0.2">
      <c r="G1042" s="44"/>
      <c r="J1042" t="str">
        <f t="shared" si="32"/>
        <v/>
      </c>
      <c r="K1042" t="str">
        <f t="shared" si="33"/>
        <v/>
      </c>
    </row>
    <row r="1043" spans="7:11" x14ac:dyDescent="0.2">
      <c r="G1043" s="44"/>
      <c r="J1043" t="str">
        <f t="shared" si="32"/>
        <v/>
      </c>
      <c r="K1043" t="str">
        <f t="shared" si="33"/>
        <v/>
      </c>
    </row>
    <row r="1044" spans="7:11" x14ac:dyDescent="0.2">
      <c r="G1044" s="44"/>
      <c r="J1044" t="str">
        <f t="shared" si="32"/>
        <v/>
      </c>
      <c r="K1044" t="str">
        <f t="shared" si="33"/>
        <v/>
      </c>
    </row>
    <row r="1045" spans="7:11" x14ac:dyDescent="0.2">
      <c r="G1045" s="44"/>
      <c r="J1045" t="str">
        <f t="shared" si="32"/>
        <v/>
      </c>
      <c r="K1045" t="str">
        <f t="shared" si="33"/>
        <v/>
      </c>
    </row>
    <row r="1046" spans="7:11" x14ac:dyDescent="0.2">
      <c r="G1046" s="44"/>
      <c r="J1046" t="str">
        <f t="shared" si="32"/>
        <v/>
      </c>
      <c r="K1046" t="str">
        <f t="shared" si="33"/>
        <v/>
      </c>
    </row>
    <row r="1047" spans="7:11" x14ac:dyDescent="0.2">
      <c r="G1047" s="44"/>
      <c r="J1047" t="str">
        <f t="shared" si="32"/>
        <v/>
      </c>
      <c r="K1047" t="str">
        <f t="shared" si="33"/>
        <v/>
      </c>
    </row>
    <row r="1048" spans="7:11" x14ac:dyDescent="0.2">
      <c r="G1048" s="44"/>
      <c r="J1048" t="str">
        <f t="shared" si="32"/>
        <v/>
      </c>
      <c r="K1048" t="str">
        <f t="shared" si="33"/>
        <v/>
      </c>
    </row>
    <row r="1049" spans="7:11" x14ac:dyDescent="0.2">
      <c r="G1049" s="44"/>
      <c r="J1049" t="str">
        <f t="shared" si="32"/>
        <v/>
      </c>
      <c r="K1049" t="str">
        <f t="shared" si="33"/>
        <v/>
      </c>
    </row>
    <row r="1050" spans="7:11" x14ac:dyDescent="0.2">
      <c r="G1050" s="44"/>
      <c r="J1050" t="str">
        <f t="shared" si="32"/>
        <v/>
      </c>
      <c r="K1050" t="str">
        <f t="shared" si="33"/>
        <v/>
      </c>
    </row>
    <row r="1051" spans="7:11" x14ac:dyDescent="0.2">
      <c r="G1051" s="44"/>
      <c r="J1051" t="str">
        <f t="shared" si="32"/>
        <v/>
      </c>
      <c r="K1051" t="str">
        <f t="shared" si="33"/>
        <v/>
      </c>
    </row>
    <row r="1052" spans="7:11" x14ac:dyDescent="0.2">
      <c r="G1052" s="44"/>
      <c r="J1052" t="str">
        <f t="shared" si="32"/>
        <v/>
      </c>
      <c r="K1052" t="str">
        <f t="shared" si="33"/>
        <v/>
      </c>
    </row>
    <row r="1053" spans="7:11" x14ac:dyDescent="0.2">
      <c r="G1053" s="44"/>
      <c r="J1053" t="str">
        <f t="shared" si="32"/>
        <v/>
      </c>
      <c r="K1053" t="str">
        <f t="shared" si="33"/>
        <v/>
      </c>
    </row>
    <row r="1054" spans="7:11" x14ac:dyDescent="0.2">
      <c r="G1054" s="44"/>
      <c r="J1054" t="str">
        <f t="shared" si="32"/>
        <v/>
      </c>
      <c r="K1054" t="str">
        <f t="shared" si="33"/>
        <v/>
      </c>
    </row>
    <row r="1055" spans="7:11" x14ac:dyDescent="0.2">
      <c r="G1055" s="44"/>
      <c r="J1055" t="str">
        <f t="shared" si="32"/>
        <v/>
      </c>
      <c r="K1055" t="str">
        <f t="shared" si="33"/>
        <v/>
      </c>
    </row>
    <row r="1056" spans="7:11" x14ac:dyDescent="0.2">
      <c r="G1056" s="44"/>
      <c r="J1056" t="str">
        <f t="shared" si="32"/>
        <v/>
      </c>
      <c r="K1056" t="str">
        <f t="shared" si="33"/>
        <v/>
      </c>
    </row>
    <row r="1057" spans="7:11" x14ac:dyDescent="0.2">
      <c r="G1057" s="44"/>
      <c r="J1057" t="str">
        <f t="shared" si="32"/>
        <v/>
      </c>
      <c r="K1057" t="str">
        <f t="shared" si="33"/>
        <v/>
      </c>
    </row>
    <row r="1058" spans="7:11" x14ac:dyDescent="0.2">
      <c r="G1058" s="44"/>
      <c r="J1058" t="str">
        <f t="shared" si="32"/>
        <v/>
      </c>
      <c r="K1058" t="str">
        <f t="shared" si="33"/>
        <v/>
      </c>
    </row>
    <row r="1059" spans="7:11" x14ac:dyDescent="0.2">
      <c r="G1059" s="44"/>
      <c r="J1059" t="str">
        <f t="shared" si="32"/>
        <v/>
      </c>
      <c r="K1059" t="str">
        <f t="shared" si="33"/>
        <v/>
      </c>
    </row>
    <row r="1060" spans="7:11" x14ac:dyDescent="0.2">
      <c r="G1060" s="44"/>
      <c r="J1060" t="str">
        <f t="shared" si="32"/>
        <v/>
      </c>
      <c r="K1060" t="str">
        <f t="shared" si="33"/>
        <v/>
      </c>
    </row>
    <row r="1061" spans="7:11" x14ac:dyDescent="0.2">
      <c r="G1061" s="44"/>
      <c r="J1061" t="str">
        <f t="shared" si="32"/>
        <v/>
      </c>
      <c r="K1061" t="str">
        <f t="shared" si="33"/>
        <v/>
      </c>
    </row>
    <row r="1062" spans="7:11" x14ac:dyDescent="0.2">
      <c r="G1062" s="44"/>
      <c r="J1062" t="str">
        <f t="shared" si="32"/>
        <v/>
      </c>
      <c r="K1062" t="str">
        <f t="shared" si="33"/>
        <v/>
      </c>
    </row>
    <row r="1063" spans="7:11" x14ac:dyDescent="0.2">
      <c r="G1063" s="44"/>
      <c r="J1063" t="str">
        <f t="shared" si="32"/>
        <v/>
      </c>
      <c r="K1063" t="str">
        <f t="shared" si="33"/>
        <v/>
      </c>
    </row>
    <row r="1064" spans="7:11" x14ac:dyDescent="0.2">
      <c r="G1064" s="44"/>
      <c r="J1064" t="str">
        <f t="shared" si="32"/>
        <v/>
      </c>
      <c r="K1064" t="str">
        <f t="shared" si="33"/>
        <v/>
      </c>
    </row>
    <row r="1065" spans="7:11" x14ac:dyDescent="0.2">
      <c r="G1065" s="44"/>
      <c r="J1065" t="str">
        <f t="shared" si="32"/>
        <v/>
      </c>
      <c r="K1065" t="str">
        <f t="shared" si="33"/>
        <v/>
      </c>
    </row>
    <row r="1066" spans="7:11" x14ac:dyDescent="0.2">
      <c r="G1066" s="44"/>
      <c r="J1066" t="str">
        <f t="shared" si="32"/>
        <v/>
      </c>
      <c r="K1066" t="str">
        <f t="shared" si="33"/>
        <v/>
      </c>
    </row>
    <row r="1067" spans="7:11" x14ac:dyDescent="0.2">
      <c r="G1067" s="44"/>
      <c r="J1067" t="str">
        <f t="shared" si="32"/>
        <v/>
      </c>
      <c r="K1067" t="str">
        <f t="shared" si="33"/>
        <v/>
      </c>
    </row>
    <row r="1068" spans="7:11" x14ac:dyDescent="0.2">
      <c r="G1068" s="44"/>
      <c r="J1068" t="str">
        <f t="shared" si="32"/>
        <v/>
      </c>
      <c r="K1068" t="str">
        <f t="shared" si="33"/>
        <v/>
      </c>
    </row>
    <row r="1069" spans="7:11" x14ac:dyDescent="0.2">
      <c r="G1069" s="44"/>
      <c r="J1069" t="str">
        <f t="shared" si="32"/>
        <v/>
      </c>
      <c r="K1069" t="str">
        <f t="shared" si="33"/>
        <v/>
      </c>
    </row>
    <row r="1070" spans="7:11" x14ac:dyDescent="0.2">
      <c r="G1070" s="44"/>
      <c r="J1070" t="str">
        <f t="shared" si="32"/>
        <v/>
      </c>
      <c r="K1070" t="str">
        <f t="shared" si="33"/>
        <v/>
      </c>
    </row>
    <row r="1071" spans="7:11" x14ac:dyDescent="0.2">
      <c r="G1071" s="44"/>
      <c r="J1071" t="str">
        <f t="shared" si="32"/>
        <v/>
      </c>
      <c r="K1071" t="str">
        <f t="shared" si="33"/>
        <v/>
      </c>
    </row>
    <row r="1072" spans="7:11" x14ac:dyDescent="0.2">
      <c r="G1072" s="44"/>
      <c r="J1072" t="str">
        <f t="shared" si="32"/>
        <v/>
      </c>
      <c r="K1072" t="str">
        <f t="shared" si="33"/>
        <v/>
      </c>
    </row>
    <row r="1073" spans="7:11" x14ac:dyDescent="0.2">
      <c r="G1073" s="44"/>
      <c r="J1073" t="str">
        <f t="shared" si="32"/>
        <v/>
      </c>
      <c r="K1073" t="str">
        <f t="shared" si="33"/>
        <v/>
      </c>
    </row>
    <row r="1074" spans="7:11" x14ac:dyDescent="0.2">
      <c r="G1074" s="44"/>
      <c r="J1074" t="str">
        <f t="shared" si="32"/>
        <v/>
      </c>
      <c r="K1074" t="str">
        <f t="shared" si="33"/>
        <v/>
      </c>
    </row>
    <row r="1075" spans="7:11" x14ac:dyDescent="0.2">
      <c r="G1075" s="44"/>
      <c r="J1075" t="str">
        <f t="shared" si="32"/>
        <v/>
      </c>
      <c r="K1075" t="str">
        <f t="shared" si="33"/>
        <v/>
      </c>
    </row>
    <row r="1076" spans="7:11" x14ac:dyDescent="0.2">
      <c r="G1076" s="44"/>
      <c r="J1076" t="str">
        <f t="shared" si="32"/>
        <v/>
      </c>
      <c r="K1076" t="str">
        <f t="shared" si="33"/>
        <v/>
      </c>
    </row>
    <row r="1077" spans="7:11" x14ac:dyDescent="0.2">
      <c r="G1077" s="44"/>
      <c r="J1077" t="str">
        <f t="shared" si="32"/>
        <v/>
      </c>
      <c r="K1077" t="str">
        <f t="shared" si="33"/>
        <v/>
      </c>
    </row>
    <row r="1078" spans="7:11" x14ac:dyDescent="0.2">
      <c r="G1078" s="44"/>
      <c r="J1078" t="str">
        <f t="shared" si="32"/>
        <v/>
      </c>
      <c r="K1078" t="str">
        <f t="shared" si="33"/>
        <v/>
      </c>
    </row>
    <row r="1079" spans="7:11" x14ac:dyDescent="0.2">
      <c r="G1079" s="44"/>
      <c r="J1079" t="str">
        <f t="shared" si="32"/>
        <v/>
      </c>
      <c r="K1079" t="str">
        <f t="shared" si="33"/>
        <v/>
      </c>
    </row>
    <row r="1080" spans="7:11" x14ac:dyDescent="0.2">
      <c r="G1080" s="44"/>
      <c r="J1080" t="str">
        <f t="shared" si="32"/>
        <v/>
      </c>
      <c r="K1080" t="str">
        <f t="shared" si="33"/>
        <v/>
      </c>
    </row>
    <row r="1081" spans="7:11" x14ac:dyDescent="0.2">
      <c r="G1081" s="44"/>
      <c r="J1081" t="str">
        <f t="shared" si="32"/>
        <v/>
      </c>
      <c r="K1081" t="str">
        <f t="shared" si="33"/>
        <v/>
      </c>
    </row>
    <row r="1082" spans="7:11" x14ac:dyDescent="0.2">
      <c r="G1082" s="44"/>
      <c r="J1082" t="str">
        <f t="shared" si="32"/>
        <v/>
      </c>
      <c r="K1082" t="str">
        <f t="shared" si="33"/>
        <v/>
      </c>
    </row>
    <row r="1083" spans="7:11" x14ac:dyDescent="0.2">
      <c r="G1083" s="44"/>
      <c r="J1083" t="str">
        <f t="shared" si="32"/>
        <v/>
      </c>
      <c r="K1083" t="str">
        <f t="shared" si="33"/>
        <v/>
      </c>
    </row>
    <row r="1084" spans="7:11" x14ac:dyDescent="0.2">
      <c r="G1084" s="44"/>
      <c r="J1084" t="str">
        <f t="shared" si="32"/>
        <v/>
      </c>
      <c r="K1084" t="str">
        <f t="shared" si="33"/>
        <v/>
      </c>
    </row>
    <row r="1085" spans="7:11" x14ac:dyDescent="0.2">
      <c r="G1085" s="44"/>
      <c r="J1085" t="str">
        <f t="shared" si="32"/>
        <v/>
      </c>
      <c r="K1085" t="str">
        <f t="shared" si="33"/>
        <v/>
      </c>
    </row>
    <row r="1086" spans="7:11" x14ac:dyDescent="0.2">
      <c r="G1086" s="44"/>
      <c r="J1086" t="str">
        <f t="shared" si="32"/>
        <v/>
      </c>
      <c r="K1086" t="str">
        <f t="shared" si="33"/>
        <v/>
      </c>
    </row>
    <row r="1087" spans="7:11" x14ac:dyDescent="0.2">
      <c r="G1087" s="44"/>
      <c r="J1087" t="str">
        <f t="shared" si="32"/>
        <v/>
      </c>
      <c r="K1087" t="str">
        <f t="shared" si="33"/>
        <v/>
      </c>
    </row>
    <row r="1088" spans="7:11" x14ac:dyDescent="0.2">
      <c r="G1088" s="44"/>
      <c r="J1088" t="str">
        <f t="shared" si="32"/>
        <v/>
      </c>
      <c r="K1088" t="str">
        <f t="shared" si="33"/>
        <v/>
      </c>
    </row>
    <row r="1089" spans="7:11" x14ac:dyDescent="0.2">
      <c r="G1089" s="44"/>
      <c r="J1089" t="str">
        <f t="shared" si="32"/>
        <v/>
      </c>
      <c r="K1089" t="str">
        <f t="shared" si="33"/>
        <v/>
      </c>
    </row>
    <row r="1090" spans="7:11" x14ac:dyDescent="0.2">
      <c r="G1090" s="44"/>
      <c r="J1090" t="str">
        <f t="shared" ref="J1090:J1153" si="34">IF(E1090="","",IF(OR(E1090=50,E1090=51),"Iltindhold",IF(E1090=75,"Carbon,org,NVOC",IF(OR(E1090=343,E1090=1167),"Svovlbrinte",IF(OR(E1090=240,E1090=241,E1090=242),"Amm",IF(E1090=244,"Nitrit",IF(E1090=247,"Nitrat",IF(E1090=334,"Sulfat",IF(E1090=262,"Phosphor, total-P",F1090)))))))))</f>
        <v/>
      </c>
      <c r="K1090" t="str">
        <f t="shared" ref="K1090:K1153" si="35">IF(A1090="","",IF(H1090="!",NA(),IF(H1090="A",I1090*0.5,IF(H1090="&lt;",I1090*0.5,I1090))))</f>
        <v/>
      </c>
    </row>
    <row r="1091" spans="7:11" x14ac:dyDescent="0.2">
      <c r="G1091" s="44"/>
      <c r="J1091" t="str">
        <f t="shared" si="34"/>
        <v/>
      </c>
      <c r="K1091" t="str">
        <f t="shared" si="35"/>
        <v/>
      </c>
    </row>
    <row r="1092" spans="7:11" x14ac:dyDescent="0.2">
      <c r="G1092" s="44"/>
      <c r="J1092" t="str">
        <f t="shared" si="34"/>
        <v/>
      </c>
      <c r="K1092" t="str">
        <f t="shared" si="35"/>
        <v/>
      </c>
    </row>
    <row r="1093" spans="7:11" x14ac:dyDescent="0.2">
      <c r="G1093" s="44"/>
      <c r="J1093" t="str">
        <f t="shared" si="34"/>
        <v/>
      </c>
      <c r="K1093" t="str">
        <f t="shared" si="35"/>
        <v/>
      </c>
    </row>
    <row r="1094" spans="7:11" x14ac:dyDescent="0.2">
      <c r="G1094" s="44"/>
      <c r="J1094" t="str">
        <f t="shared" si="34"/>
        <v/>
      </c>
      <c r="K1094" t="str">
        <f t="shared" si="35"/>
        <v/>
      </c>
    </row>
    <row r="1095" spans="7:11" x14ac:dyDescent="0.2">
      <c r="G1095" s="44"/>
      <c r="J1095" t="str">
        <f t="shared" si="34"/>
        <v/>
      </c>
      <c r="K1095" t="str">
        <f t="shared" si="35"/>
        <v/>
      </c>
    </row>
    <row r="1096" spans="7:11" x14ac:dyDescent="0.2">
      <c r="G1096" s="44"/>
      <c r="J1096" t="str">
        <f t="shared" si="34"/>
        <v/>
      </c>
      <c r="K1096" t="str">
        <f t="shared" si="35"/>
        <v/>
      </c>
    </row>
    <row r="1097" spans="7:11" x14ac:dyDescent="0.2">
      <c r="G1097" s="44"/>
      <c r="J1097" t="str">
        <f t="shared" si="34"/>
        <v/>
      </c>
      <c r="K1097" t="str">
        <f t="shared" si="35"/>
        <v/>
      </c>
    </row>
    <row r="1098" spans="7:11" x14ac:dyDescent="0.2">
      <c r="G1098" s="44"/>
      <c r="J1098" t="str">
        <f t="shared" si="34"/>
        <v/>
      </c>
      <c r="K1098" t="str">
        <f t="shared" si="35"/>
        <v/>
      </c>
    </row>
    <row r="1099" spans="7:11" x14ac:dyDescent="0.2">
      <c r="G1099" s="44"/>
      <c r="J1099" t="str">
        <f t="shared" si="34"/>
        <v/>
      </c>
      <c r="K1099" t="str">
        <f t="shared" si="35"/>
        <v/>
      </c>
    </row>
    <row r="1100" spans="7:11" x14ac:dyDescent="0.2">
      <c r="G1100" s="44"/>
      <c r="J1100" t="str">
        <f t="shared" si="34"/>
        <v/>
      </c>
      <c r="K1100" t="str">
        <f t="shared" si="35"/>
        <v/>
      </c>
    </row>
    <row r="1101" spans="7:11" x14ac:dyDescent="0.2">
      <c r="G1101" s="44"/>
      <c r="J1101" t="str">
        <f t="shared" si="34"/>
        <v/>
      </c>
      <c r="K1101" t="str">
        <f t="shared" si="35"/>
        <v/>
      </c>
    </row>
    <row r="1102" spans="7:11" x14ac:dyDescent="0.2">
      <c r="G1102" s="44"/>
      <c r="J1102" t="str">
        <f t="shared" si="34"/>
        <v/>
      </c>
      <c r="K1102" t="str">
        <f t="shared" si="35"/>
        <v/>
      </c>
    </row>
    <row r="1103" spans="7:11" x14ac:dyDescent="0.2">
      <c r="G1103" s="44"/>
      <c r="J1103" t="str">
        <f t="shared" si="34"/>
        <v/>
      </c>
      <c r="K1103" t="str">
        <f t="shared" si="35"/>
        <v/>
      </c>
    </row>
    <row r="1104" spans="7:11" x14ac:dyDescent="0.2">
      <c r="G1104" s="44"/>
      <c r="J1104" t="str">
        <f t="shared" si="34"/>
        <v/>
      </c>
      <c r="K1104" t="str">
        <f t="shared" si="35"/>
        <v/>
      </c>
    </row>
    <row r="1105" spans="7:11" x14ac:dyDescent="0.2">
      <c r="G1105" s="44"/>
      <c r="J1105" t="str">
        <f t="shared" si="34"/>
        <v/>
      </c>
      <c r="K1105" t="str">
        <f t="shared" si="35"/>
        <v/>
      </c>
    </row>
    <row r="1106" spans="7:11" x14ac:dyDescent="0.2">
      <c r="G1106" s="44"/>
      <c r="J1106" t="str">
        <f t="shared" si="34"/>
        <v/>
      </c>
      <c r="K1106" t="str">
        <f t="shared" si="35"/>
        <v/>
      </c>
    </row>
    <row r="1107" spans="7:11" x14ac:dyDescent="0.2">
      <c r="G1107" s="44"/>
      <c r="J1107" t="str">
        <f t="shared" si="34"/>
        <v/>
      </c>
      <c r="K1107" t="str">
        <f t="shared" si="35"/>
        <v/>
      </c>
    </row>
    <row r="1108" spans="7:11" x14ac:dyDescent="0.2">
      <c r="G1108" s="44"/>
      <c r="J1108" t="str">
        <f t="shared" si="34"/>
        <v/>
      </c>
      <c r="K1108" t="str">
        <f t="shared" si="35"/>
        <v/>
      </c>
    </row>
    <row r="1109" spans="7:11" x14ac:dyDescent="0.2">
      <c r="G1109" s="44"/>
      <c r="J1109" t="str">
        <f t="shared" si="34"/>
        <v/>
      </c>
      <c r="K1109" t="str">
        <f t="shared" si="35"/>
        <v/>
      </c>
    </row>
    <row r="1110" spans="7:11" x14ac:dyDescent="0.2">
      <c r="G1110" s="44"/>
      <c r="J1110" t="str">
        <f t="shared" si="34"/>
        <v/>
      </c>
      <c r="K1110" t="str">
        <f t="shared" si="35"/>
        <v/>
      </c>
    </row>
    <row r="1111" spans="7:11" x14ac:dyDescent="0.2">
      <c r="G1111" s="44"/>
      <c r="J1111" t="str">
        <f t="shared" si="34"/>
        <v/>
      </c>
      <c r="K1111" t="str">
        <f t="shared" si="35"/>
        <v/>
      </c>
    </row>
    <row r="1112" spans="7:11" x14ac:dyDescent="0.2">
      <c r="G1112" s="44"/>
      <c r="J1112" t="str">
        <f t="shared" si="34"/>
        <v/>
      </c>
      <c r="K1112" t="str">
        <f t="shared" si="35"/>
        <v/>
      </c>
    </row>
    <row r="1113" spans="7:11" x14ac:dyDescent="0.2">
      <c r="G1113" s="44"/>
      <c r="J1113" t="str">
        <f t="shared" si="34"/>
        <v/>
      </c>
      <c r="K1113" t="str">
        <f t="shared" si="35"/>
        <v/>
      </c>
    </row>
    <row r="1114" spans="7:11" x14ac:dyDescent="0.2">
      <c r="G1114" s="44"/>
      <c r="J1114" t="str">
        <f t="shared" si="34"/>
        <v/>
      </c>
      <c r="K1114" t="str">
        <f t="shared" si="35"/>
        <v/>
      </c>
    </row>
    <row r="1115" spans="7:11" x14ac:dyDescent="0.2">
      <c r="G1115" s="44"/>
      <c r="J1115" t="str">
        <f t="shared" si="34"/>
        <v/>
      </c>
      <c r="K1115" t="str">
        <f t="shared" si="35"/>
        <v/>
      </c>
    </row>
    <row r="1116" spans="7:11" x14ac:dyDescent="0.2">
      <c r="G1116" s="44"/>
      <c r="J1116" t="str">
        <f t="shared" si="34"/>
        <v/>
      </c>
      <c r="K1116" t="str">
        <f t="shared" si="35"/>
        <v/>
      </c>
    </row>
    <row r="1117" spans="7:11" x14ac:dyDescent="0.2">
      <c r="G1117" s="44"/>
      <c r="J1117" t="str">
        <f t="shared" si="34"/>
        <v/>
      </c>
      <c r="K1117" t="str">
        <f t="shared" si="35"/>
        <v/>
      </c>
    </row>
    <row r="1118" spans="7:11" x14ac:dyDescent="0.2">
      <c r="G1118" s="44"/>
      <c r="J1118" t="str">
        <f t="shared" si="34"/>
        <v/>
      </c>
      <c r="K1118" t="str">
        <f t="shared" si="35"/>
        <v/>
      </c>
    </row>
    <row r="1119" spans="7:11" x14ac:dyDescent="0.2">
      <c r="G1119" s="44"/>
      <c r="J1119" t="str">
        <f t="shared" si="34"/>
        <v/>
      </c>
      <c r="K1119" t="str">
        <f t="shared" si="35"/>
        <v/>
      </c>
    </row>
    <row r="1120" spans="7:11" x14ac:dyDescent="0.2">
      <c r="G1120" s="44"/>
      <c r="J1120" t="str">
        <f t="shared" si="34"/>
        <v/>
      </c>
      <c r="K1120" t="str">
        <f t="shared" si="35"/>
        <v/>
      </c>
    </row>
    <row r="1121" spans="7:11" x14ac:dyDescent="0.2">
      <c r="G1121" s="44"/>
      <c r="J1121" t="str">
        <f t="shared" si="34"/>
        <v/>
      </c>
      <c r="K1121" t="str">
        <f t="shared" si="35"/>
        <v/>
      </c>
    </row>
    <row r="1122" spans="7:11" x14ac:dyDescent="0.2">
      <c r="G1122" s="44"/>
      <c r="J1122" t="str">
        <f t="shared" si="34"/>
        <v/>
      </c>
      <c r="K1122" t="str">
        <f t="shared" si="35"/>
        <v/>
      </c>
    </row>
    <row r="1123" spans="7:11" x14ac:dyDescent="0.2">
      <c r="G1123" s="44"/>
      <c r="J1123" t="str">
        <f t="shared" si="34"/>
        <v/>
      </c>
      <c r="K1123" t="str">
        <f t="shared" si="35"/>
        <v/>
      </c>
    </row>
    <row r="1124" spans="7:11" x14ac:dyDescent="0.2">
      <c r="G1124" s="44"/>
      <c r="J1124" t="str">
        <f t="shared" si="34"/>
        <v/>
      </c>
      <c r="K1124" t="str">
        <f t="shared" si="35"/>
        <v/>
      </c>
    </row>
    <row r="1125" spans="7:11" x14ac:dyDescent="0.2">
      <c r="G1125" s="44"/>
      <c r="J1125" t="str">
        <f t="shared" si="34"/>
        <v/>
      </c>
      <c r="K1125" t="str">
        <f t="shared" si="35"/>
        <v/>
      </c>
    </row>
    <row r="1126" spans="7:11" x14ac:dyDescent="0.2">
      <c r="G1126" s="44"/>
      <c r="J1126" t="str">
        <f t="shared" si="34"/>
        <v/>
      </c>
      <c r="K1126" t="str">
        <f t="shared" si="35"/>
        <v/>
      </c>
    </row>
    <row r="1127" spans="7:11" x14ac:dyDescent="0.2">
      <c r="G1127" s="44"/>
      <c r="J1127" t="str">
        <f t="shared" si="34"/>
        <v/>
      </c>
      <c r="K1127" t="str">
        <f t="shared" si="35"/>
        <v/>
      </c>
    </row>
    <row r="1128" spans="7:11" x14ac:dyDescent="0.2">
      <c r="G1128" s="44"/>
      <c r="J1128" t="str">
        <f t="shared" si="34"/>
        <v/>
      </c>
      <c r="K1128" t="str">
        <f t="shared" si="35"/>
        <v/>
      </c>
    </row>
    <row r="1129" spans="7:11" x14ac:dyDescent="0.2">
      <c r="G1129" s="44"/>
      <c r="J1129" t="str">
        <f t="shared" si="34"/>
        <v/>
      </c>
      <c r="K1129" t="str">
        <f t="shared" si="35"/>
        <v/>
      </c>
    </row>
    <row r="1130" spans="7:11" x14ac:dyDescent="0.2">
      <c r="G1130" s="44"/>
      <c r="J1130" t="str">
        <f t="shared" si="34"/>
        <v/>
      </c>
      <c r="K1130" t="str">
        <f t="shared" si="35"/>
        <v/>
      </c>
    </row>
    <row r="1131" spans="7:11" x14ac:dyDescent="0.2">
      <c r="G1131" s="44"/>
      <c r="J1131" t="str">
        <f t="shared" si="34"/>
        <v/>
      </c>
      <c r="K1131" t="str">
        <f t="shared" si="35"/>
        <v/>
      </c>
    </row>
    <row r="1132" spans="7:11" x14ac:dyDescent="0.2">
      <c r="G1132" s="44"/>
      <c r="J1132" t="str">
        <f t="shared" si="34"/>
        <v/>
      </c>
      <c r="K1132" t="str">
        <f t="shared" si="35"/>
        <v/>
      </c>
    </row>
    <row r="1133" spans="7:11" x14ac:dyDescent="0.2">
      <c r="G1133" s="44"/>
      <c r="J1133" t="str">
        <f t="shared" si="34"/>
        <v/>
      </c>
      <c r="K1133" t="str">
        <f t="shared" si="35"/>
        <v/>
      </c>
    </row>
    <row r="1134" spans="7:11" x14ac:dyDescent="0.2">
      <c r="G1134" s="44"/>
      <c r="J1134" t="str">
        <f t="shared" si="34"/>
        <v/>
      </c>
      <c r="K1134" t="str">
        <f t="shared" si="35"/>
        <v/>
      </c>
    </row>
    <row r="1135" spans="7:11" x14ac:dyDescent="0.2">
      <c r="G1135" s="44"/>
      <c r="J1135" t="str">
        <f t="shared" si="34"/>
        <v/>
      </c>
      <c r="K1135" t="str">
        <f t="shared" si="35"/>
        <v/>
      </c>
    </row>
    <row r="1136" spans="7:11" x14ac:dyDescent="0.2">
      <c r="G1136" s="44"/>
      <c r="J1136" t="str">
        <f t="shared" si="34"/>
        <v/>
      </c>
      <c r="K1136" t="str">
        <f t="shared" si="35"/>
        <v/>
      </c>
    </row>
    <row r="1137" spans="7:11" x14ac:dyDescent="0.2">
      <c r="G1137" s="44"/>
      <c r="J1137" t="str">
        <f t="shared" si="34"/>
        <v/>
      </c>
      <c r="K1137" t="str">
        <f t="shared" si="35"/>
        <v/>
      </c>
    </row>
    <row r="1138" spans="7:11" x14ac:dyDescent="0.2">
      <c r="G1138" s="44"/>
      <c r="J1138" t="str">
        <f t="shared" si="34"/>
        <v/>
      </c>
      <c r="K1138" t="str">
        <f t="shared" si="35"/>
        <v/>
      </c>
    </row>
    <row r="1139" spans="7:11" x14ac:dyDescent="0.2">
      <c r="G1139" s="44"/>
      <c r="J1139" t="str">
        <f t="shared" si="34"/>
        <v/>
      </c>
      <c r="K1139" t="str">
        <f t="shared" si="35"/>
        <v/>
      </c>
    </row>
    <row r="1140" spans="7:11" x14ac:dyDescent="0.2">
      <c r="G1140" s="44"/>
      <c r="J1140" t="str">
        <f t="shared" si="34"/>
        <v/>
      </c>
      <c r="K1140" t="str">
        <f t="shared" si="35"/>
        <v/>
      </c>
    </row>
    <row r="1141" spans="7:11" x14ac:dyDescent="0.2">
      <c r="G1141" s="44"/>
      <c r="J1141" t="str">
        <f t="shared" si="34"/>
        <v/>
      </c>
      <c r="K1141" t="str">
        <f t="shared" si="35"/>
        <v/>
      </c>
    </row>
    <row r="1142" spans="7:11" x14ac:dyDescent="0.2">
      <c r="G1142" s="44"/>
      <c r="J1142" t="str">
        <f t="shared" si="34"/>
        <v/>
      </c>
      <c r="K1142" t="str">
        <f t="shared" si="35"/>
        <v/>
      </c>
    </row>
    <row r="1143" spans="7:11" x14ac:dyDescent="0.2">
      <c r="G1143" s="44"/>
      <c r="J1143" t="str">
        <f t="shared" si="34"/>
        <v/>
      </c>
      <c r="K1143" t="str">
        <f t="shared" si="35"/>
        <v/>
      </c>
    </row>
    <row r="1144" spans="7:11" x14ac:dyDescent="0.2">
      <c r="G1144" s="44"/>
      <c r="J1144" t="str">
        <f t="shared" si="34"/>
        <v/>
      </c>
      <c r="K1144" t="str">
        <f t="shared" si="35"/>
        <v/>
      </c>
    </row>
    <row r="1145" spans="7:11" x14ac:dyDescent="0.2">
      <c r="G1145" s="44"/>
      <c r="J1145" t="str">
        <f t="shared" si="34"/>
        <v/>
      </c>
      <c r="K1145" t="str">
        <f t="shared" si="35"/>
        <v/>
      </c>
    </row>
    <row r="1146" spans="7:11" x14ac:dyDescent="0.2">
      <c r="G1146" s="44"/>
      <c r="J1146" t="str">
        <f t="shared" si="34"/>
        <v/>
      </c>
      <c r="K1146" t="str">
        <f t="shared" si="35"/>
        <v/>
      </c>
    </row>
    <row r="1147" spans="7:11" x14ac:dyDescent="0.2">
      <c r="G1147" s="44"/>
      <c r="J1147" t="str">
        <f t="shared" si="34"/>
        <v/>
      </c>
      <c r="K1147" t="str">
        <f t="shared" si="35"/>
        <v/>
      </c>
    </row>
    <row r="1148" spans="7:11" x14ac:dyDescent="0.2">
      <c r="G1148" s="44"/>
      <c r="J1148" t="str">
        <f t="shared" si="34"/>
        <v/>
      </c>
      <c r="K1148" t="str">
        <f t="shared" si="35"/>
        <v/>
      </c>
    </row>
    <row r="1149" spans="7:11" x14ac:dyDescent="0.2">
      <c r="G1149" s="44"/>
      <c r="J1149" t="str">
        <f t="shared" si="34"/>
        <v/>
      </c>
      <c r="K1149" t="str">
        <f t="shared" si="35"/>
        <v/>
      </c>
    </row>
    <row r="1150" spans="7:11" x14ac:dyDescent="0.2">
      <c r="G1150" s="44"/>
      <c r="J1150" t="str">
        <f t="shared" si="34"/>
        <v/>
      </c>
      <c r="K1150" t="str">
        <f t="shared" si="35"/>
        <v/>
      </c>
    </row>
    <row r="1151" spans="7:11" x14ac:dyDescent="0.2">
      <c r="G1151" s="44"/>
      <c r="J1151" t="str">
        <f t="shared" si="34"/>
        <v/>
      </c>
      <c r="K1151" t="str">
        <f t="shared" si="35"/>
        <v/>
      </c>
    </row>
    <row r="1152" spans="7:11" x14ac:dyDescent="0.2">
      <c r="G1152" s="44"/>
      <c r="J1152" t="str">
        <f t="shared" si="34"/>
        <v/>
      </c>
      <c r="K1152" t="str">
        <f t="shared" si="35"/>
        <v/>
      </c>
    </row>
    <row r="1153" spans="7:11" x14ac:dyDescent="0.2">
      <c r="G1153" s="44"/>
      <c r="J1153" t="str">
        <f t="shared" si="34"/>
        <v/>
      </c>
      <c r="K1153" t="str">
        <f t="shared" si="35"/>
        <v/>
      </c>
    </row>
    <row r="1154" spans="7:11" x14ac:dyDescent="0.2">
      <c r="G1154" s="44"/>
      <c r="J1154" t="str">
        <f t="shared" ref="J1154:J1217" si="36">IF(E1154="","",IF(OR(E1154=50,E1154=51),"Iltindhold",IF(E1154=75,"Carbon,org,NVOC",IF(OR(E1154=343,E1154=1167),"Svovlbrinte",IF(OR(E1154=240,E1154=241,E1154=242),"Amm",IF(E1154=244,"Nitrit",IF(E1154=247,"Nitrat",IF(E1154=334,"Sulfat",IF(E1154=262,"Phosphor, total-P",F1154)))))))))</f>
        <v/>
      </c>
      <c r="K1154" t="str">
        <f t="shared" ref="K1154:K1217" si="37">IF(A1154="","",IF(H1154="!",NA(),IF(H1154="A",I1154*0.5,IF(H1154="&lt;",I1154*0.5,I1154))))</f>
        <v/>
      </c>
    </row>
    <row r="1155" spans="7:11" x14ac:dyDescent="0.2">
      <c r="G1155" s="44"/>
      <c r="J1155" t="str">
        <f t="shared" si="36"/>
        <v/>
      </c>
      <c r="K1155" t="str">
        <f t="shared" si="37"/>
        <v/>
      </c>
    </row>
    <row r="1156" spans="7:11" x14ac:dyDescent="0.2">
      <c r="G1156" s="44"/>
      <c r="J1156" t="str">
        <f t="shared" si="36"/>
        <v/>
      </c>
      <c r="K1156" t="str">
        <f t="shared" si="37"/>
        <v/>
      </c>
    </row>
    <row r="1157" spans="7:11" x14ac:dyDescent="0.2">
      <c r="G1157" s="44"/>
      <c r="J1157" t="str">
        <f t="shared" si="36"/>
        <v/>
      </c>
      <c r="K1157" t="str">
        <f t="shared" si="37"/>
        <v/>
      </c>
    </row>
    <row r="1158" spans="7:11" x14ac:dyDescent="0.2">
      <c r="G1158" s="44"/>
      <c r="J1158" t="str">
        <f t="shared" si="36"/>
        <v/>
      </c>
      <c r="K1158" t="str">
        <f t="shared" si="37"/>
        <v/>
      </c>
    </row>
    <row r="1159" spans="7:11" x14ac:dyDescent="0.2">
      <c r="G1159" s="44"/>
      <c r="J1159" t="str">
        <f t="shared" si="36"/>
        <v/>
      </c>
      <c r="K1159" t="str">
        <f t="shared" si="37"/>
        <v/>
      </c>
    </row>
    <row r="1160" spans="7:11" x14ac:dyDescent="0.2">
      <c r="G1160" s="44"/>
      <c r="J1160" t="str">
        <f t="shared" si="36"/>
        <v/>
      </c>
      <c r="K1160" t="str">
        <f t="shared" si="37"/>
        <v/>
      </c>
    </row>
    <row r="1161" spans="7:11" x14ac:dyDescent="0.2">
      <c r="G1161" s="44"/>
      <c r="J1161" t="str">
        <f t="shared" si="36"/>
        <v/>
      </c>
      <c r="K1161" t="str">
        <f t="shared" si="37"/>
        <v/>
      </c>
    </row>
    <row r="1162" spans="7:11" x14ac:dyDescent="0.2">
      <c r="G1162" s="44"/>
      <c r="J1162" t="str">
        <f t="shared" si="36"/>
        <v/>
      </c>
      <c r="K1162" t="str">
        <f t="shared" si="37"/>
        <v/>
      </c>
    </row>
    <row r="1163" spans="7:11" x14ac:dyDescent="0.2">
      <c r="G1163" s="44"/>
      <c r="J1163" t="str">
        <f t="shared" si="36"/>
        <v/>
      </c>
      <c r="K1163" t="str">
        <f t="shared" si="37"/>
        <v/>
      </c>
    </row>
    <row r="1164" spans="7:11" x14ac:dyDescent="0.2">
      <c r="G1164" s="44"/>
      <c r="J1164" t="str">
        <f t="shared" si="36"/>
        <v/>
      </c>
      <c r="K1164" t="str">
        <f t="shared" si="37"/>
        <v/>
      </c>
    </row>
    <row r="1165" spans="7:11" x14ac:dyDescent="0.2">
      <c r="G1165" s="44"/>
      <c r="J1165" t="str">
        <f t="shared" si="36"/>
        <v/>
      </c>
      <c r="K1165" t="str">
        <f t="shared" si="37"/>
        <v/>
      </c>
    </row>
    <row r="1166" spans="7:11" x14ac:dyDescent="0.2">
      <c r="G1166" s="44"/>
      <c r="J1166" t="str">
        <f t="shared" si="36"/>
        <v/>
      </c>
      <c r="K1166" t="str">
        <f t="shared" si="37"/>
        <v/>
      </c>
    </row>
    <row r="1167" spans="7:11" x14ac:dyDescent="0.2">
      <c r="G1167" s="44"/>
      <c r="J1167" t="str">
        <f t="shared" si="36"/>
        <v/>
      </c>
      <c r="K1167" t="str">
        <f t="shared" si="37"/>
        <v/>
      </c>
    </row>
    <row r="1168" spans="7:11" x14ac:dyDescent="0.2">
      <c r="G1168" s="44"/>
      <c r="J1168" t="str">
        <f t="shared" si="36"/>
        <v/>
      </c>
      <c r="K1168" t="str">
        <f t="shared" si="37"/>
        <v/>
      </c>
    </row>
    <row r="1169" spans="7:11" x14ac:dyDescent="0.2">
      <c r="G1169" s="44"/>
      <c r="J1169" t="str">
        <f t="shared" si="36"/>
        <v/>
      </c>
      <c r="K1169" t="str">
        <f t="shared" si="37"/>
        <v/>
      </c>
    </row>
    <row r="1170" spans="7:11" x14ac:dyDescent="0.2">
      <c r="G1170" s="44"/>
      <c r="J1170" t="str">
        <f t="shared" si="36"/>
        <v/>
      </c>
      <c r="K1170" t="str">
        <f t="shared" si="37"/>
        <v/>
      </c>
    </row>
    <row r="1171" spans="7:11" x14ac:dyDescent="0.2">
      <c r="G1171" s="44"/>
      <c r="J1171" t="str">
        <f t="shared" si="36"/>
        <v/>
      </c>
      <c r="K1171" t="str">
        <f t="shared" si="37"/>
        <v/>
      </c>
    </row>
    <row r="1172" spans="7:11" x14ac:dyDescent="0.2">
      <c r="G1172" s="44"/>
      <c r="J1172" t="str">
        <f t="shared" si="36"/>
        <v/>
      </c>
      <c r="K1172" t="str">
        <f t="shared" si="37"/>
        <v/>
      </c>
    </row>
    <row r="1173" spans="7:11" x14ac:dyDescent="0.2">
      <c r="G1173" s="44"/>
      <c r="J1173" t="str">
        <f t="shared" si="36"/>
        <v/>
      </c>
      <c r="K1173" t="str">
        <f t="shared" si="37"/>
        <v/>
      </c>
    </row>
    <row r="1174" spans="7:11" x14ac:dyDescent="0.2">
      <c r="G1174" s="44"/>
      <c r="J1174" t="str">
        <f t="shared" si="36"/>
        <v/>
      </c>
      <c r="K1174" t="str">
        <f t="shared" si="37"/>
        <v/>
      </c>
    </row>
    <row r="1175" spans="7:11" x14ac:dyDescent="0.2">
      <c r="G1175" s="44"/>
      <c r="J1175" t="str">
        <f t="shared" si="36"/>
        <v/>
      </c>
      <c r="K1175" t="str">
        <f t="shared" si="37"/>
        <v/>
      </c>
    </row>
    <row r="1176" spans="7:11" x14ac:dyDescent="0.2">
      <c r="G1176" s="44"/>
      <c r="J1176" t="str">
        <f t="shared" si="36"/>
        <v/>
      </c>
      <c r="K1176" t="str">
        <f t="shared" si="37"/>
        <v/>
      </c>
    </row>
    <row r="1177" spans="7:11" x14ac:dyDescent="0.2">
      <c r="G1177" s="44"/>
      <c r="J1177" t="str">
        <f t="shared" si="36"/>
        <v/>
      </c>
      <c r="K1177" t="str">
        <f t="shared" si="37"/>
        <v/>
      </c>
    </row>
    <row r="1178" spans="7:11" x14ac:dyDescent="0.2">
      <c r="G1178" s="44"/>
      <c r="J1178" t="str">
        <f t="shared" si="36"/>
        <v/>
      </c>
      <c r="K1178" t="str">
        <f t="shared" si="37"/>
        <v/>
      </c>
    </row>
    <row r="1179" spans="7:11" x14ac:dyDescent="0.2">
      <c r="G1179" s="44"/>
      <c r="J1179" t="str">
        <f t="shared" si="36"/>
        <v/>
      </c>
      <c r="K1179" t="str">
        <f t="shared" si="37"/>
        <v/>
      </c>
    </row>
    <row r="1180" spans="7:11" x14ac:dyDescent="0.2">
      <c r="G1180" s="44"/>
      <c r="J1180" t="str">
        <f t="shared" si="36"/>
        <v/>
      </c>
      <c r="K1180" t="str">
        <f t="shared" si="37"/>
        <v/>
      </c>
    </row>
    <row r="1181" spans="7:11" x14ac:dyDescent="0.2">
      <c r="G1181" s="44"/>
      <c r="J1181" t="str">
        <f t="shared" si="36"/>
        <v/>
      </c>
      <c r="K1181" t="str">
        <f t="shared" si="37"/>
        <v/>
      </c>
    </row>
    <row r="1182" spans="7:11" x14ac:dyDescent="0.2">
      <c r="G1182" s="44"/>
      <c r="J1182" t="str">
        <f t="shared" si="36"/>
        <v/>
      </c>
      <c r="K1182" t="str">
        <f t="shared" si="37"/>
        <v/>
      </c>
    </row>
    <row r="1183" spans="7:11" x14ac:dyDescent="0.2">
      <c r="G1183" s="44"/>
      <c r="J1183" t="str">
        <f t="shared" si="36"/>
        <v/>
      </c>
      <c r="K1183" t="str">
        <f t="shared" si="37"/>
        <v/>
      </c>
    </row>
    <row r="1184" spans="7:11" x14ac:dyDescent="0.2">
      <c r="G1184" s="44"/>
      <c r="J1184" t="str">
        <f t="shared" si="36"/>
        <v/>
      </c>
      <c r="K1184" t="str">
        <f t="shared" si="37"/>
        <v/>
      </c>
    </row>
    <row r="1185" spans="7:11" x14ac:dyDescent="0.2">
      <c r="G1185" s="44"/>
      <c r="J1185" t="str">
        <f t="shared" si="36"/>
        <v/>
      </c>
      <c r="K1185" t="str">
        <f t="shared" si="37"/>
        <v/>
      </c>
    </row>
    <row r="1186" spans="7:11" x14ac:dyDescent="0.2">
      <c r="G1186" s="44"/>
      <c r="J1186" t="str">
        <f t="shared" si="36"/>
        <v/>
      </c>
      <c r="K1186" t="str">
        <f t="shared" si="37"/>
        <v/>
      </c>
    </row>
    <row r="1187" spans="7:11" x14ac:dyDescent="0.2">
      <c r="G1187" s="44"/>
      <c r="J1187" t="str">
        <f t="shared" si="36"/>
        <v/>
      </c>
      <c r="K1187" t="str">
        <f t="shared" si="37"/>
        <v/>
      </c>
    </row>
    <row r="1188" spans="7:11" x14ac:dyDescent="0.2">
      <c r="G1188" s="44"/>
      <c r="J1188" t="str">
        <f t="shared" si="36"/>
        <v/>
      </c>
      <c r="K1188" t="str">
        <f t="shared" si="37"/>
        <v/>
      </c>
    </row>
    <row r="1189" spans="7:11" x14ac:dyDescent="0.2">
      <c r="G1189" s="44"/>
      <c r="J1189" t="str">
        <f t="shared" si="36"/>
        <v/>
      </c>
      <c r="K1189" t="str">
        <f t="shared" si="37"/>
        <v/>
      </c>
    </row>
    <row r="1190" spans="7:11" x14ac:dyDescent="0.2">
      <c r="G1190" s="44"/>
      <c r="J1190" t="str">
        <f t="shared" si="36"/>
        <v/>
      </c>
      <c r="K1190" t="str">
        <f t="shared" si="37"/>
        <v/>
      </c>
    </row>
    <row r="1191" spans="7:11" x14ac:dyDescent="0.2">
      <c r="G1191" s="44"/>
      <c r="J1191" t="str">
        <f t="shared" si="36"/>
        <v/>
      </c>
      <c r="K1191" t="str">
        <f t="shared" si="37"/>
        <v/>
      </c>
    </row>
    <row r="1192" spans="7:11" x14ac:dyDescent="0.2">
      <c r="G1192" s="44"/>
      <c r="J1192" t="str">
        <f t="shared" si="36"/>
        <v/>
      </c>
      <c r="K1192" t="str">
        <f t="shared" si="37"/>
        <v/>
      </c>
    </row>
    <row r="1193" spans="7:11" x14ac:dyDescent="0.2">
      <c r="G1193" s="44"/>
      <c r="J1193" t="str">
        <f t="shared" si="36"/>
        <v/>
      </c>
      <c r="K1193" t="str">
        <f t="shared" si="37"/>
        <v/>
      </c>
    </row>
    <row r="1194" spans="7:11" x14ac:dyDescent="0.2">
      <c r="G1194" s="44"/>
      <c r="J1194" t="str">
        <f t="shared" si="36"/>
        <v/>
      </c>
      <c r="K1194" t="str">
        <f t="shared" si="37"/>
        <v/>
      </c>
    </row>
    <row r="1195" spans="7:11" x14ac:dyDescent="0.2">
      <c r="G1195" s="44"/>
      <c r="J1195" t="str">
        <f t="shared" si="36"/>
        <v/>
      </c>
      <c r="K1195" t="str">
        <f t="shared" si="37"/>
        <v/>
      </c>
    </row>
    <row r="1196" spans="7:11" x14ac:dyDescent="0.2">
      <c r="G1196" s="44"/>
      <c r="J1196" t="str">
        <f t="shared" si="36"/>
        <v/>
      </c>
      <c r="K1196" t="str">
        <f t="shared" si="37"/>
        <v/>
      </c>
    </row>
    <row r="1197" spans="7:11" x14ac:dyDescent="0.2">
      <c r="G1197" s="44"/>
      <c r="J1197" t="str">
        <f t="shared" si="36"/>
        <v/>
      </c>
      <c r="K1197" t="str">
        <f t="shared" si="37"/>
        <v/>
      </c>
    </row>
    <row r="1198" spans="7:11" x14ac:dyDescent="0.2">
      <c r="G1198" s="44"/>
      <c r="J1198" t="str">
        <f t="shared" si="36"/>
        <v/>
      </c>
      <c r="K1198" t="str">
        <f t="shared" si="37"/>
        <v/>
      </c>
    </row>
    <row r="1199" spans="7:11" x14ac:dyDescent="0.2">
      <c r="G1199" s="44"/>
      <c r="J1199" t="str">
        <f t="shared" si="36"/>
        <v/>
      </c>
      <c r="K1199" t="str">
        <f t="shared" si="37"/>
        <v/>
      </c>
    </row>
    <row r="1200" spans="7:11" x14ac:dyDescent="0.2">
      <c r="G1200" s="44"/>
      <c r="J1200" t="str">
        <f t="shared" si="36"/>
        <v/>
      </c>
      <c r="K1200" t="str">
        <f t="shared" si="37"/>
        <v/>
      </c>
    </row>
    <row r="1201" spans="7:11" x14ac:dyDescent="0.2">
      <c r="G1201" s="44"/>
      <c r="J1201" t="str">
        <f t="shared" si="36"/>
        <v/>
      </c>
      <c r="K1201" t="str">
        <f t="shared" si="37"/>
        <v/>
      </c>
    </row>
    <row r="1202" spans="7:11" x14ac:dyDescent="0.2">
      <c r="G1202" s="44"/>
      <c r="J1202" t="str">
        <f t="shared" si="36"/>
        <v/>
      </c>
      <c r="K1202" t="str">
        <f t="shared" si="37"/>
        <v/>
      </c>
    </row>
    <row r="1203" spans="7:11" x14ac:dyDescent="0.2">
      <c r="G1203" s="44"/>
      <c r="J1203" t="str">
        <f t="shared" si="36"/>
        <v/>
      </c>
      <c r="K1203" t="str">
        <f t="shared" si="37"/>
        <v/>
      </c>
    </row>
    <row r="1204" spans="7:11" x14ac:dyDescent="0.2">
      <c r="G1204" s="44"/>
      <c r="J1204" t="str">
        <f t="shared" si="36"/>
        <v/>
      </c>
      <c r="K1204" t="str">
        <f t="shared" si="37"/>
        <v/>
      </c>
    </row>
    <row r="1205" spans="7:11" x14ac:dyDescent="0.2">
      <c r="G1205" s="44"/>
      <c r="J1205" t="str">
        <f t="shared" si="36"/>
        <v/>
      </c>
      <c r="K1205" t="str">
        <f t="shared" si="37"/>
        <v/>
      </c>
    </row>
    <row r="1206" spans="7:11" x14ac:dyDescent="0.2">
      <c r="G1206" s="44"/>
      <c r="J1206" t="str">
        <f t="shared" si="36"/>
        <v/>
      </c>
      <c r="K1206" t="str">
        <f t="shared" si="37"/>
        <v/>
      </c>
    </row>
    <row r="1207" spans="7:11" x14ac:dyDescent="0.2">
      <c r="G1207" s="44"/>
      <c r="J1207" t="str">
        <f t="shared" si="36"/>
        <v/>
      </c>
      <c r="K1207" t="str">
        <f t="shared" si="37"/>
        <v/>
      </c>
    </row>
    <row r="1208" spans="7:11" x14ac:dyDescent="0.2">
      <c r="G1208" s="44"/>
      <c r="J1208" t="str">
        <f t="shared" si="36"/>
        <v/>
      </c>
      <c r="K1208" t="str">
        <f t="shared" si="37"/>
        <v/>
      </c>
    </row>
    <row r="1209" spans="7:11" x14ac:dyDescent="0.2">
      <c r="G1209" s="44"/>
      <c r="J1209" t="str">
        <f t="shared" si="36"/>
        <v/>
      </c>
      <c r="K1209" t="str">
        <f t="shared" si="37"/>
        <v/>
      </c>
    </row>
    <row r="1210" spans="7:11" x14ac:dyDescent="0.2">
      <c r="G1210" s="44"/>
      <c r="J1210" t="str">
        <f t="shared" si="36"/>
        <v/>
      </c>
      <c r="K1210" t="str">
        <f t="shared" si="37"/>
        <v/>
      </c>
    </row>
    <row r="1211" spans="7:11" x14ac:dyDescent="0.2">
      <c r="G1211" s="44"/>
      <c r="J1211" t="str">
        <f t="shared" si="36"/>
        <v/>
      </c>
      <c r="K1211" t="str">
        <f t="shared" si="37"/>
        <v/>
      </c>
    </row>
    <row r="1212" spans="7:11" x14ac:dyDescent="0.2">
      <c r="G1212" s="44"/>
      <c r="J1212" t="str">
        <f t="shared" si="36"/>
        <v/>
      </c>
      <c r="K1212" t="str">
        <f t="shared" si="37"/>
        <v/>
      </c>
    </row>
    <row r="1213" spans="7:11" x14ac:dyDescent="0.2">
      <c r="G1213" s="44"/>
      <c r="J1213" t="str">
        <f t="shared" si="36"/>
        <v/>
      </c>
      <c r="K1213" t="str">
        <f t="shared" si="37"/>
        <v/>
      </c>
    </row>
    <row r="1214" spans="7:11" x14ac:dyDescent="0.2">
      <c r="G1214" s="44"/>
      <c r="J1214" t="str">
        <f t="shared" si="36"/>
        <v/>
      </c>
      <c r="K1214" t="str">
        <f t="shared" si="37"/>
        <v/>
      </c>
    </row>
    <row r="1215" spans="7:11" x14ac:dyDescent="0.2">
      <c r="G1215" s="44"/>
      <c r="J1215" t="str">
        <f t="shared" si="36"/>
        <v/>
      </c>
      <c r="K1215" t="str">
        <f t="shared" si="37"/>
        <v/>
      </c>
    </row>
    <row r="1216" spans="7:11" x14ac:dyDescent="0.2">
      <c r="G1216" s="44"/>
      <c r="J1216" t="str">
        <f t="shared" si="36"/>
        <v/>
      </c>
      <c r="K1216" t="str">
        <f t="shared" si="37"/>
        <v/>
      </c>
    </row>
    <row r="1217" spans="7:11" x14ac:dyDescent="0.2">
      <c r="G1217" s="44"/>
      <c r="J1217" t="str">
        <f t="shared" si="36"/>
        <v/>
      </c>
      <c r="K1217" t="str">
        <f t="shared" si="37"/>
        <v/>
      </c>
    </row>
    <row r="1218" spans="7:11" x14ac:dyDescent="0.2">
      <c r="G1218" s="44"/>
      <c r="J1218" t="str">
        <f t="shared" ref="J1218:J1281" si="38">IF(E1218="","",IF(OR(E1218=50,E1218=51),"Iltindhold",IF(E1218=75,"Carbon,org,NVOC",IF(OR(E1218=343,E1218=1167),"Svovlbrinte",IF(OR(E1218=240,E1218=241,E1218=242),"Amm",IF(E1218=244,"Nitrit",IF(E1218=247,"Nitrat",IF(E1218=334,"Sulfat",IF(E1218=262,"Phosphor, total-P",F1218)))))))))</f>
        <v/>
      </c>
      <c r="K1218" t="str">
        <f t="shared" ref="K1218:K1281" si="39">IF(A1218="","",IF(H1218="!",NA(),IF(H1218="A",I1218*0.5,IF(H1218="&lt;",I1218*0.5,I1218))))</f>
        <v/>
      </c>
    </row>
    <row r="1219" spans="7:11" x14ac:dyDescent="0.2">
      <c r="G1219" s="44"/>
      <c r="J1219" t="str">
        <f t="shared" si="38"/>
        <v/>
      </c>
      <c r="K1219" t="str">
        <f t="shared" si="39"/>
        <v/>
      </c>
    </row>
    <row r="1220" spans="7:11" x14ac:dyDescent="0.2">
      <c r="G1220" s="44"/>
      <c r="J1220" t="str">
        <f t="shared" si="38"/>
        <v/>
      </c>
      <c r="K1220" t="str">
        <f t="shared" si="39"/>
        <v/>
      </c>
    </row>
    <row r="1221" spans="7:11" x14ac:dyDescent="0.2">
      <c r="G1221" s="44"/>
      <c r="J1221" t="str">
        <f t="shared" si="38"/>
        <v/>
      </c>
      <c r="K1221" t="str">
        <f t="shared" si="39"/>
        <v/>
      </c>
    </row>
    <row r="1222" spans="7:11" x14ac:dyDescent="0.2">
      <c r="G1222" s="44"/>
      <c r="J1222" t="str">
        <f t="shared" si="38"/>
        <v/>
      </c>
      <c r="K1222" t="str">
        <f t="shared" si="39"/>
        <v/>
      </c>
    </row>
    <row r="1223" spans="7:11" x14ac:dyDescent="0.2">
      <c r="G1223" s="44"/>
      <c r="J1223" t="str">
        <f t="shared" si="38"/>
        <v/>
      </c>
      <c r="K1223" t="str">
        <f t="shared" si="39"/>
        <v/>
      </c>
    </row>
    <row r="1224" spans="7:11" x14ac:dyDescent="0.2">
      <c r="G1224" s="44"/>
      <c r="J1224" t="str">
        <f t="shared" si="38"/>
        <v/>
      </c>
      <c r="K1224" t="str">
        <f t="shared" si="39"/>
        <v/>
      </c>
    </row>
    <row r="1225" spans="7:11" x14ac:dyDescent="0.2">
      <c r="G1225" s="44"/>
      <c r="J1225" t="str">
        <f t="shared" si="38"/>
        <v/>
      </c>
      <c r="K1225" t="str">
        <f t="shared" si="39"/>
        <v/>
      </c>
    </row>
    <row r="1226" spans="7:11" x14ac:dyDescent="0.2">
      <c r="G1226" s="44"/>
      <c r="J1226" t="str">
        <f t="shared" si="38"/>
        <v/>
      </c>
      <c r="K1226" t="str">
        <f t="shared" si="39"/>
        <v/>
      </c>
    </row>
    <row r="1227" spans="7:11" x14ac:dyDescent="0.2">
      <c r="G1227" s="44"/>
      <c r="J1227" t="str">
        <f t="shared" si="38"/>
        <v/>
      </c>
      <c r="K1227" t="str">
        <f t="shared" si="39"/>
        <v/>
      </c>
    </row>
    <row r="1228" spans="7:11" x14ac:dyDescent="0.2">
      <c r="G1228" s="44"/>
      <c r="J1228" t="str">
        <f t="shared" si="38"/>
        <v/>
      </c>
      <c r="K1228" t="str">
        <f t="shared" si="39"/>
        <v/>
      </c>
    </row>
    <row r="1229" spans="7:11" x14ac:dyDescent="0.2">
      <c r="G1229" s="44"/>
      <c r="J1229" t="str">
        <f t="shared" si="38"/>
        <v/>
      </c>
      <c r="K1229" t="str">
        <f t="shared" si="39"/>
        <v/>
      </c>
    </row>
    <row r="1230" spans="7:11" x14ac:dyDescent="0.2">
      <c r="G1230" s="44"/>
      <c r="J1230" t="str">
        <f t="shared" si="38"/>
        <v/>
      </c>
      <c r="K1230" t="str">
        <f t="shared" si="39"/>
        <v/>
      </c>
    </row>
    <row r="1231" spans="7:11" x14ac:dyDescent="0.2">
      <c r="G1231" s="44"/>
      <c r="J1231" t="str">
        <f t="shared" si="38"/>
        <v/>
      </c>
      <c r="K1231" t="str">
        <f t="shared" si="39"/>
        <v/>
      </c>
    </row>
    <row r="1232" spans="7:11" x14ac:dyDescent="0.2">
      <c r="G1232" s="44"/>
      <c r="J1232" t="str">
        <f t="shared" si="38"/>
        <v/>
      </c>
      <c r="K1232" t="str">
        <f t="shared" si="39"/>
        <v/>
      </c>
    </row>
    <row r="1233" spans="7:11" x14ac:dyDescent="0.2">
      <c r="G1233" s="44"/>
      <c r="J1233" t="str">
        <f t="shared" si="38"/>
        <v/>
      </c>
      <c r="K1233" t="str">
        <f t="shared" si="39"/>
        <v/>
      </c>
    </row>
    <row r="1234" spans="7:11" x14ac:dyDescent="0.2">
      <c r="G1234" s="44"/>
      <c r="J1234" t="str">
        <f t="shared" si="38"/>
        <v/>
      </c>
      <c r="K1234" t="str">
        <f t="shared" si="39"/>
        <v/>
      </c>
    </row>
    <row r="1235" spans="7:11" x14ac:dyDescent="0.2">
      <c r="G1235" s="44"/>
      <c r="J1235" t="str">
        <f t="shared" si="38"/>
        <v/>
      </c>
      <c r="K1235" t="str">
        <f t="shared" si="39"/>
        <v/>
      </c>
    </row>
    <row r="1236" spans="7:11" x14ac:dyDescent="0.2">
      <c r="G1236" s="44"/>
      <c r="J1236" t="str">
        <f t="shared" si="38"/>
        <v/>
      </c>
      <c r="K1236" t="str">
        <f t="shared" si="39"/>
        <v/>
      </c>
    </row>
    <row r="1237" spans="7:11" x14ac:dyDescent="0.2">
      <c r="G1237" s="44"/>
      <c r="J1237" t="str">
        <f t="shared" si="38"/>
        <v/>
      </c>
      <c r="K1237" t="str">
        <f t="shared" si="39"/>
        <v/>
      </c>
    </row>
    <row r="1238" spans="7:11" x14ac:dyDescent="0.2">
      <c r="G1238" s="44"/>
      <c r="J1238" t="str">
        <f t="shared" si="38"/>
        <v/>
      </c>
      <c r="K1238" t="str">
        <f t="shared" si="39"/>
        <v/>
      </c>
    </row>
    <row r="1239" spans="7:11" x14ac:dyDescent="0.2">
      <c r="G1239" s="44"/>
      <c r="J1239" t="str">
        <f t="shared" si="38"/>
        <v/>
      </c>
      <c r="K1239" t="str">
        <f t="shared" si="39"/>
        <v/>
      </c>
    </row>
    <row r="1240" spans="7:11" x14ac:dyDescent="0.2">
      <c r="G1240" s="44"/>
      <c r="J1240" t="str">
        <f t="shared" si="38"/>
        <v/>
      </c>
      <c r="K1240" t="str">
        <f t="shared" si="39"/>
        <v/>
      </c>
    </row>
    <row r="1241" spans="7:11" x14ac:dyDescent="0.2">
      <c r="G1241" s="44"/>
      <c r="J1241" t="str">
        <f t="shared" si="38"/>
        <v/>
      </c>
      <c r="K1241" t="str">
        <f t="shared" si="39"/>
        <v/>
      </c>
    </row>
    <row r="1242" spans="7:11" x14ac:dyDescent="0.2">
      <c r="G1242" s="44"/>
      <c r="J1242" t="str">
        <f t="shared" si="38"/>
        <v/>
      </c>
      <c r="K1242" t="str">
        <f t="shared" si="39"/>
        <v/>
      </c>
    </row>
    <row r="1243" spans="7:11" x14ac:dyDescent="0.2">
      <c r="G1243" s="44"/>
      <c r="J1243" t="str">
        <f t="shared" si="38"/>
        <v/>
      </c>
      <c r="K1243" t="str">
        <f t="shared" si="39"/>
        <v/>
      </c>
    </row>
    <row r="1244" spans="7:11" x14ac:dyDescent="0.2">
      <c r="G1244" s="44"/>
      <c r="J1244" t="str">
        <f t="shared" si="38"/>
        <v/>
      </c>
      <c r="K1244" t="str">
        <f t="shared" si="39"/>
        <v/>
      </c>
    </row>
    <row r="1245" spans="7:11" x14ac:dyDescent="0.2">
      <c r="G1245" s="44"/>
      <c r="J1245" t="str">
        <f t="shared" si="38"/>
        <v/>
      </c>
      <c r="K1245" t="str">
        <f t="shared" si="39"/>
        <v/>
      </c>
    </row>
    <row r="1246" spans="7:11" x14ac:dyDescent="0.2">
      <c r="G1246" s="44"/>
      <c r="J1246" t="str">
        <f t="shared" si="38"/>
        <v/>
      </c>
      <c r="K1246" t="str">
        <f t="shared" si="39"/>
        <v/>
      </c>
    </row>
    <row r="1247" spans="7:11" x14ac:dyDescent="0.2">
      <c r="G1247" s="44"/>
      <c r="J1247" t="str">
        <f t="shared" si="38"/>
        <v/>
      </c>
      <c r="K1247" t="str">
        <f t="shared" si="39"/>
        <v/>
      </c>
    </row>
    <row r="1248" spans="7:11" x14ac:dyDescent="0.2">
      <c r="G1248" s="44"/>
      <c r="J1248" t="str">
        <f t="shared" si="38"/>
        <v/>
      </c>
      <c r="K1248" t="str">
        <f t="shared" si="39"/>
        <v/>
      </c>
    </row>
    <row r="1249" spans="7:11" x14ac:dyDescent="0.2">
      <c r="G1249" s="44"/>
      <c r="J1249" t="str">
        <f t="shared" si="38"/>
        <v/>
      </c>
      <c r="K1249" t="str">
        <f t="shared" si="39"/>
        <v/>
      </c>
    </row>
    <row r="1250" spans="7:11" x14ac:dyDescent="0.2">
      <c r="G1250" s="44"/>
      <c r="J1250" t="str">
        <f t="shared" si="38"/>
        <v/>
      </c>
      <c r="K1250" t="str">
        <f t="shared" si="39"/>
        <v/>
      </c>
    </row>
    <row r="1251" spans="7:11" x14ac:dyDescent="0.2">
      <c r="G1251" s="44"/>
      <c r="J1251" t="str">
        <f t="shared" si="38"/>
        <v/>
      </c>
      <c r="K1251" t="str">
        <f t="shared" si="39"/>
        <v/>
      </c>
    </row>
    <row r="1252" spans="7:11" x14ac:dyDescent="0.2">
      <c r="G1252" s="44"/>
      <c r="J1252" t="str">
        <f t="shared" si="38"/>
        <v/>
      </c>
      <c r="K1252" t="str">
        <f t="shared" si="39"/>
        <v/>
      </c>
    </row>
    <row r="1253" spans="7:11" x14ac:dyDescent="0.2">
      <c r="G1253" s="44"/>
      <c r="J1253" t="str">
        <f t="shared" si="38"/>
        <v/>
      </c>
      <c r="K1253" t="str">
        <f t="shared" si="39"/>
        <v/>
      </c>
    </row>
    <row r="1254" spans="7:11" x14ac:dyDescent="0.2">
      <c r="G1254" s="44"/>
      <c r="J1254" t="str">
        <f t="shared" si="38"/>
        <v/>
      </c>
      <c r="K1254" t="str">
        <f t="shared" si="39"/>
        <v/>
      </c>
    </row>
    <row r="1255" spans="7:11" x14ac:dyDescent="0.2">
      <c r="G1255" s="44"/>
      <c r="J1255" t="str">
        <f t="shared" si="38"/>
        <v/>
      </c>
      <c r="K1255" t="str">
        <f t="shared" si="39"/>
        <v/>
      </c>
    </row>
    <row r="1256" spans="7:11" x14ac:dyDescent="0.2">
      <c r="G1256" s="44"/>
      <c r="J1256" t="str">
        <f t="shared" si="38"/>
        <v/>
      </c>
      <c r="K1256" t="str">
        <f t="shared" si="39"/>
        <v/>
      </c>
    </row>
    <row r="1257" spans="7:11" x14ac:dyDescent="0.2">
      <c r="G1257" s="44"/>
      <c r="J1257" t="str">
        <f t="shared" si="38"/>
        <v/>
      </c>
      <c r="K1257" t="str">
        <f t="shared" si="39"/>
        <v/>
      </c>
    </row>
    <row r="1258" spans="7:11" x14ac:dyDescent="0.2">
      <c r="G1258" s="44"/>
      <c r="J1258" t="str">
        <f t="shared" si="38"/>
        <v/>
      </c>
      <c r="K1258" t="str">
        <f t="shared" si="39"/>
        <v/>
      </c>
    </row>
    <row r="1259" spans="7:11" x14ac:dyDescent="0.2">
      <c r="G1259" s="44"/>
      <c r="J1259" t="str">
        <f t="shared" si="38"/>
        <v/>
      </c>
      <c r="K1259" t="str">
        <f t="shared" si="39"/>
        <v/>
      </c>
    </row>
    <row r="1260" spans="7:11" x14ac:dyDescent="0.2">
      <c r="G1260" s="44"/>
      <c r="J1260" t="str">
        <f t="shared" si="38"/>
        <v/>
      </c>
      <c r="K1260" t="str">
        <f t="shared" si="39"/>
        <v/>
      </c>
    </row>
    <row r="1261" spans="7:11" x14ac:dyDescent="0.2">
      <c r="G1261" s="44"/>
      <c r="J1261" t="str">
        <f t="shared" si="38"/>
        <v/>
      </c>
      <c r="K1261" t="str">
        <f t="shared" si="39"/>
        <v/>
      </c>
    </row>
    <row r="1262" spans="7:11" x14ac:dyDescent="0.2">
      <c r="G1262" s="44"/>
      <c r="J1262" t="str">
        <f t="shared" si="38"/>
        <v/>
      </c>
      <c r="K1262" t="str">
        <f t="shared" si="39"/>
        <v/>
      </c>
    </row>
    <row r="1263" spans="7:11" x14ac:dyDescent="0.2">
      <c r="G1263" s="44"/>
      <c r="J1263" t="str">
        <f t="shared" si="38"/>
        <v/>
      </c>
      <c r="K1263" t="str">
        <f t="shared" si="39"/>
        <v/>
      </c>
    </row>
    <row r="1264" spans="7:11" x14ac:dyDescent="0.2">
      <c r="G1264" s="44"/>
      <c r="J1264" t="str">
        <f t="shared" si="38"/>
        <v/>
      </c>
      <c r="K1264" t="str">
        <f t="shared" si="39"/>
        <v/>
      </c>
    </row>
    <row r="1265" spans="7:11" x14ac:dyDescent="0.2">
      <c r="G1265" s="44"/>
      <c r="J1265" t="str">
        <f t="shared" si="38"/>
        <v/>
      </c>
      <c r="K1265" t="str">
        <f t="shared" si="39"/>
        <v/>
      </c>
    </row>
    <row r="1266" spans="7:11" x14ac:dyDescent="0.2">
      <c r="G1266" s="44"/>
      <c r="J1266" t="str">
        <f t="shared" si="38"/>
        <v/>
      </c>
      <c r="K1266" t="str">
        <f t="shared" si="39"/>
        <v/>
      </c>
    </row>
    <row r="1267" spans="7:11" x14ac:dyDescent="0.2">
      <c r="G1267" s="44"/>
      <c r="J1267" t="str">
        <f t="shared" si="38"/>
        <v/>
      </c>
      <c r="K1267" t="str">
        <f t="shared" si="39"/>
        <v/>
      </c>
    </row>
    <row r="1268" spans="7:11" x14ac:dyDescent="0.2">
      <c r="G1268" s="44"/>
      <c r="J1268" t="str">
        <f t="shared" si="38"/>
        <v/>
      </c>
      <c r="K1268" t="str">
        <f t="shared" si="39"/>
        <v/>
      </c>
    </row>
    <row r="1269" spans="7:11" x14ac:dyDescent="0.2">
      <c r="G1269" s="44"/>
      <c r="J1269" t="str">
        <f t="shared" si="38"/>
        <v/>
      </c>
      <c r="K1269" t="str">
        <f t="shared" si="39"/>
        <v/>
      </c>
    </row>
    <row r="1270" spans="7:11" x14ac:dyDescent="0.2">
      <c r="G1270" s="44"/>
      <c r="J1270" t="str">
        <f t="shared" si="38"/>
        <v/>
      </c>
      <c r="K1270" t="str">
        <f t="shared" si="39"/>
        <v/>
      </c>
    </row>
    <row r="1271" spans="7:11" x14ac:dyDescent="0.2">
      <c r="G1271" s="44"/>
      <c r="J1271" t="str">
        <f t="shared" si="38"/>
        <v/>
      </c>
      <c r="K1271" t="str">
        <f t="shared" si="39"/>
        <v/>
      </c>
    </row>
    <row r="1272" spans="7:11" x14ac:dyDescent="0.2">
      <c r="G1272" s="44"/>
      <c r="J1272" t="str">
        <f t="shared" si="38"/>
        <v/>
      </c>
      <c r="K1272" t="str">
        <f t="shared" si="39"/>
        <v/>
      </c>
    </row>
    <row r="1273" spans="7:11" x14ac:dyDescent="0.2">
      <c r="G1273" s="44"/>
      <c r="J1273" t="str">
        <f t="shared" si="38"/>
        <v/>
      </c>
      <c r="K1273" t="str">
        <f t="shared" si="39"/>
        <v/>
      </c>
    </row>
    <row r="1274" spans="7:11" x14ac:dyDescent="0.2">
      <c r="G1274" s="44"/>
      <c r="J1274" t="str">
        <f t="shared" si="38"/>
        <v/>
      </c>
      <c r="K1274" t="str">
        <f t="shared" si="39"/>
        <v/>
      </c>
    </row>
    <row r="1275" spans="7:11" x14ac:dyDescent="0.2">
      <c r="G1275" s="44"/>
      <c r="J1275" t="str">
        <f t="shared" si="38"/>
        <v/>
      </c>
      <c r="K1275" t="str">
        <f t="shared" si="39"/>
        <v/>
      </c>
    </row>
    <row r="1276" spans="7:11" x14ac:dyDescent="0.2">
      <c r="G1276" s="44"/>
      <c r="J1276" t="str">
        <f t="shared" si="38"/>
        <v/>
      </c>
      <c r="K1276" t="str">
        <f t="shared" si="39"/>
        <v/>
      </c>
    </row>
    <row r="1277" spans="7:11" x14ac:dyDescent="0.2">
      <c r="G1277" s="44"/>
      <c r="J1277" t="str">
        <f t="shared" si="38"/>
        <v/>
      </c>
      <c r="K1277" t="str">
        <f t="shared" si="39"/>
        <v/>
      </c>
    </row>
    <row r="1278" spans="7:11" x14ac:dyDescent="0.2">
      <c r="G1278" s="44"/>
      <c r="J1278" t="str">
        <f t="shared" si="38"/>
        <v/>
      </c>
      <c r="K1278" t="str">
        <f t="shared" si="39"/>
        <v/>
      </c>
    </row>
    <row r="1279" spans="7:11" x14ac:dyDescent="0.2">
      <c r="G1279" s="44"/>
      <c r="J1279" t="str">
        <f t="shared" si="38"/>
        <v/>
      </c>
      <c r="K1279" t="str">
        <f t="shared" si="39"/>
        <v/>
      </c>
    </row>
    <row r="1280" spans="7:11" x14ac:dyDescent="0.2">
      <c r="G1280" s="44"/>
      <c r="J1280" t="str">
        <f t="shared" si="38"/>
        <v/>
      </c>
      <c r="K1280" t="str">
        <f t="shared" si="39"/>
        <v/>
      </c>
    </row>
    <row r="1281" spans="7:11" x14ac:dyDescent="0.2">
      <c r="G1281" s="44"/>
      <c r="J1281" t="str">
        <f t="shared" si="38"/>
        <v/>
      </c>
      <c r="K1281" t="str">
        <f t="shared" si="39"/>
        <v/>
      </c>
    </row>
    <row r="1282" spans="7:11" x14ac:dyDescent="0.2">
      <c r="G1282" s="44"/>
      <c r="J1282" t="str">
        <f t="shared" ref="J1282:J1345" si="40">IF(E1282="","",IF(OR(E1282=50,E1282=51),"Iltindhold",IF(E1282=75,"Carbon,org,NVOC",IF(OR(E1282=343,E1282=1167),"Svovlbrinte",IF(OR(E1282=240,E1282=241,E1282=242),"Amm",IF(E1282=244,"Nitrit",IF(E1282=247,"Nitrat",IF(E1282=334,"Sulfat",IF(E1282=262,"Phosphor, total-P",F1282)))))))))</f>
        <v/>
      </c>
      <c r="K1282" t="str">
        <f t="shared" ref="K1282:K1345" si="41">IF(A1282="","",IF(H1282="!",NA(),IF(H1282="A",I1282*0.5,IF(H1282="&lt;",I1282*0.5,I1282))))</f>
        <v/>
      </c>
    </row>
    <row r="1283" spans="7:11" x14ac:dyDescent="0.2">
      <c r="G1283" s="44"/>
      <c r="J1283" t="str">
        <f t="shared" si="40"/>
        <v/>
      </c>
      <c r="K1283" t="str">
        <f t="shared" si="41"/>
        <v/>
      </c>
    </row>
    <row r="1284" spans="7:11" x14ac:dyDescent="0.2">
      <c r="G1284" s="44"/>
      <c r="J1284" t="str">
        <f t="shared" si="40"/>
        <v/>
      </c>
      <c r="K1284" t="str">
        <f t="shared" si="41"/>
        <v/>
      </c>
    </row>
    <row r="1285" spans="7:11" x14ac:dyDescent="0.2">
      <c r="G1285" s="44"/>
      <c r="J1285" t="str">
        <f t="shared" si="40"/>
        <v/>
      </c>
      <c r="K1285" t="str">
        <f t="shared" si="41"/>
        <v/>
      </c>
    </row>
    <row r="1286" spans="7:11" x14ac:dyDescent="0.2">
      <c r="G1286" s="44"/>
      <c r="J1286" t="str">
        <f t="shared" si="40"/>
        <v/>
      </c>
      <c r="K1286" t="str">
        <f t="shared" si="41"/>
        <v/>
      </c>
    </row>
    <row r="1287" spans="7:11" x14ac:dyDescent="0.2">
      <c r="G1287" s="44"/>
      <c r="J1287" t="str">
        <f t="shared" si="40"/>
        <v/>
      </c>
      <c r="K1287" t="str">
        <f t="shared" si="41"/>
        <v/>
      </c>
    </row>
    <row r="1288" spans="7:11" x14ac:dyDescent="0.2">
      <c r="G1288" s="44"/>
      <c r="J1288" t="str">
        <f t="shared" si="40"/>
        <v/>
      </c>
      <c r="K1288" t="str">
        <f t="shared" si="41"/>
        <v/>
      </c>
    </row>
    <row r="1289" spans="7:11" x14ac:dyDescent="0.2">
      <c r="G1289" s="44"/>
      <c r="J1289" t="str">
        <f t="shared" si="40"/>
        <v/>
      </c>
      <c r="K1289" t="str">
        <f t="shared" si="41"/>
        <v/>
      </c>
    </row>
    <row r="1290" spans="7:11" x14ac:dyDescent="0.2">
      <c r="G1290" s="44"/>
      <c r="J1290" t="str">
        <f t="shared" si="40"/>
        <v/>
      </c>
      <c r="K1290" t="str">
        <f t="shared" si="41"/>
        <v/>
      </c>
    </row>
    <row r="1291" spans="7:11" x14ac:dyDescent="0.2">
      <c r="G1291" s="44"/>
      <c r="J1291" t="str">
        <f t="shared" si="40"/>
        <v/>
      </c>
      <c r="K1291" t="str">
        <f t="shared" si="41"/>
        <v/>
      </c>
    </row>
    <row r="1292" spans="7:11" x14ac:dyDescent="0.2">
      <c r="G1292" s="44"/>
      <c r="J1292" t="str">
        <f t="shared" si="40"/>
        <v/>
      </c>
      <c r="K1292" t="str">
        <f t="shared" si="41"/>
        <v/>
      </c>
    </row>
    <row r="1293" spans="7:11" x14ac:dyDescent="0.2">
      <c r="G1293" s="44"/>
      <c r="J1293" t="str">
        <f t="shared" si="40"/>
        <v/>
      </c>
      <c r="K1293" t="str">
        <f t="shared" si="41"/>
        <v/>
      </c>
    </row>
    <row r="1294" spans="7:11" x14ac:dyDescent="0.2">
      <c r="G1294" s="44"/>
      <c r="J1294" t="str">
        <f t="shared" si="40"/>
        <v/>
      </c>
      <c r="K1294" t="str">
        <f t="shared" si="41"/>
        <v/>
      </c>
    </row>
    <row r="1295" spans="7:11" x14ac:dyDescent="0.2">
      <c r="G1295" s="44"/>
      <c r="J1295" t="str">
        <f t="shared" si="40"/>
        <v/>
      </c>
      <c r="K1295" t="str">
        <f t="shared" si="41"/>
        <v/>
      </c>
    </row>
    <row r="1296" spans="7:11" x14ac:dyDescent="0.2">
      <c r="G1296" s="44"/>
      <c r="J1296" t="str">
        <f t="shared" si="40"/>
        <v/>
      </c>
      <c r="K1296" t="str">
        <f t="shared" si="41"/>
        <v/>
      </c>
    </row>
    <row r="1297" spans="7:11" x14ac:dyDescent="0.2">
      <c r="G1297" s="44"/>
      <c r="J1297" t="str">
        <f t="shared" si="40"/>
        <v/>
      </c>
      <c r="K1297" t="str">
        <f t="shared" si="41"/>
        <v/>
      </c>
    </row>
    <row r="1298" spans="7:11" x14ac:dyDescent="0.2">
      <c r="G1298" s="44"/>
      <c r="J1298" t="str">
        <f t="shared" si="40"/>
        <v/>
      </c>
      <c r="K1298" t="str">
        <f t="shared" si="41"/>
        <v/>
      </c>
    </row>
    <row r="1299" spans="7:11" x14ac:dyDescent="0.2">
      <c r="G1299" s="44"/>
      <c r="J1299" t="str">
        <f t="shared" si="40"/>
        <v/>
      </c>
      <c r="K1299" t="str">
        <f t="shared" si="41"/>
        <v/>
      </c>
    </row>
    <row r="1300" spans="7:11" x14ac:dyDescent="0.2">
      <c r="G1300" s="44"/>
      <c r="J1300" t="str">
        <f t="shared" si="40"/>
        <v/>
      </c>
      <c r="K1300" t="str">
        <f t="shared" si="41"/>
        <v/>
      </c>
    </row>
    <row r="1301" spans="7:11" x14ac:dyDescent="0.2">
      <c r="G1301" s="44"/>
      <c r="J1301" t="str">
        <f t="shared" si="40"/>
        <v/>
      </c>
      <c r="K1301" t="str">
        <f t="shared" si="41"/>
        <v/>
      </c>
    </row>
    <row r="1302" spans="7:11" x14ac:dyDescent="0.2">
      <c r="G1302" s="44"/>
      <c r="J1302" t="str">
        <f t="shared" si="40"/>
        <v/>
      </c>
      <c r="K1302" t="str">
        <f t="shared" si="41"/>
        <v/>
      </c>
    </row>
    <row r="1303" spans="7:11" x14ac:dyDescent="0.2">
      <c r="G1303" s="44"/>
      <c r="J1303" t="str">
        <f t="shared" si="40"/>
        <v/>
      </c>
      <c r="K1303" t="str">
        <f t="shared" si="41"/>
        <v/>
      </c>
    </row>
    <row r="1304" spans="7:11" x14ac:dyDescent="0.2">
      <c r="G1304" s="44"/>
      <c r="J1304" t="str">
        <f t="shared" si="40"/>
        <v/>
      </c>
      <c r="K1304" t="str">
        <f t="shared" si="41"/>
        <v/>
      </c>
    </row>
    <row r="1305" spans="7:11" x14ac:dyDescent="0.2">
      <c r="G1305" s="44"/>
      <c r="J1305" t="str">
        <f t="shared" si="40"/>
        <v/>
      </c>
      <c r="K1305" t="str">
        <f t="shared" si="41"/>
        <v/>
      </c>
    </row>
    <row r="1306" spans="7:11" x14ac:dyDescent="0.2">
      <c r="G1306" s="44"/>
      <c r="J1306" t="str">
        <f t="shared" si="40"/>
        <v/>
      </c>
      <c r="K1306" t="str">
        <f t="shared" si="41"/>
        <v/>
      </c>
    </row>
    <row r="1307" spans="7:11" x14ac:dyDescent="0.2">
      <c r="G1307" s="44"/>
      <c r="J1307" t="str">
        <f t="shared" si="40"/>
        <v/>
      </c>
      <c r="K1307" t="str">
        <f t="shared" si="41"/>
        <v/>
      </c>
    </row>
    <row r="1308" spans="7:11" x14ac:dyDescent="0.2">
      <c r="G1308" s="44"/>
      <c r="J1308" t="str">
        <f t="shared" si="40"/>
        <v/>
      </c>
      <c r="K1308" t="str">
        <f t="shared" si="41"/>
        <v/>
      </c>
    </row>
    <row r="1309" spans="7:11" x14ac:dyDescent="0.2">
      <c r="G1309" s="44"/>
      <c r="J1309" t="str">
        <f t="shared" si="40"/>
        <v/>
      </c>
      <c r="K1309" t="str">
        <f t="shared" si="41"/>
        <v/>
      </c>
    </row>
    <row r="1310" spans="7:11" x14ac:dyDescent="0.2">
      <c r="G1310" s="44"/>
      <c r="J1310" t="str">
        <f t="shared" si="40"/>
        <v/>
      </c>
      <c r="K1310" t="str">
        <f t="shared" si="41"/>
        <v/>
      </c>
    </row>
    <row r="1311" spans="7:11" x14ac:dyDescent="0.2">
      <c r="G1311" s="44"/>
      <c r="J1311" t="str">
        <f t="shared" si="40"/>
        <v/>
      </c>
      <c r="K1311" t="str">
        <f t="shared" si="41"/>
        <v/>
      </c>
    </row>
    <row r="1312" spans="7:11" x14ac:dyDescent="0.2">
      <c r="G1312" s="44"/>
      <c r="J1312" t="str">
        <f t="shared" si="40"/>
        <v/>
      </c>
      <c r="K1312" t="str">
        <f t="shared" si="41"/>
        <v/>
      </c>
    </row>
    <row r="1313" spans="7:11" x14ac:dyDescent="0.2">
      <c r="G1313" s="44"/>
      <c r="J1313" t="str">
        <f t="shared" si="40"/>
        <v/>
      </c>
      <c r="K1313" t="str">
        <f t="shared" si="41"/>
        <v/>
      </c>
    </row>
    <row r="1314" spans="7:11" x14ac:dyDescent="0.2">
      <c r="G1314" s="44"/>
      <c r="J1314" t="str">
        <f t="shared" si="40"/>
        <v/>
      </c>
      <c r="K1314" t="str">
        <f t="shared" si="41"/>
        <v/>
      </c>
    </row>
    <row r="1315" spans="7:11" x14ac:dyDescent="0.2">
      <c r="G1315" s="44"/>
      <c r="J1315" t="str">
        <f t="shared" si="40"/>
        <v/>
      </c>
      <c r="K1315" t="str">
        <f t="shared" si="41"/>
        <v/>
      </c>
    </row>
    <row r="1316" spans="7:11" x14ac:dyDescent="0.2">
      <c r="G1316" s="44"/>
      <c r="J1316" t="str">
        <f t="shared" si="40"/>
        <v/>
      </c>
      <c r="K1316" t="str">
        <f t="shared" si="41"/>
        <v/>
      </c>
    </row>
    <row r="1317" spans="7:11" x14ac:dyDescent="0.2">
      <c r="G1317" s="44"/>
      <c r="J1317" t="str">
        <f t="shared" si="40"/>
        <v/>
      </c>
      <c r="K1317" t="str">
        <f t="shared" si="41"/>
        <v/>
      </c>
    </row>
    <row r="1318" spans="7:11" x14ac:dyDescent="0.2">
      <c r="G1318" s="44"/>
      <c r="J1318" t="str">
        <f t="shared" si="40"/>
        <v/>
      </c>
      <c r="K1318" t="str">
        <f t="shared" si="41"/>
        <v/>
      </c>
    </row>
    <row r="1319" spans="7:11" x14ac:dyDescent="0.2">
      <c r="G1319" s="44"/>
      <c r="J1319" t="str">
        <f t="shared" si="40"/>
        <v/>
      </c>
      <c r="K1319" t="str">
        <f t="shared" si="41"/>
        <v/>
      </c>
    </row>
    <row r="1320" spans="7:11" x14ac:dyDescent="0.2">
      <c r="G1320" s="44"/>
      <c r="J1320" t="str">
        <f t="shared" si="40"/>
        <v/>
      </c>
      <c r="K1320" t="str">
        <f t="shared" si="41"/>
        <v/>
      </c>
    </row>
    <row r="1321" spans="7:11" x14ac:dyDescent="0.2">
      <c r="G1321" s="44"/>
      <c r="J1321" t="str">
        <f t="shared" si="40"/>
        <v/>
      </c>
      <c r="K1321" t="str">
        <f t="shared" si="41"/>
        <v/>
      </c>
    </row>
    <row r="1322" spans="7:11" x14ac:dyDescent="0.2">
      <c r="G1322" s="44"/>
      <c r="J1322" t="str">
        <f t="shared" si="40"/>
        <v/>
      </c>
      <c r="K1322" t="str">
        <f t="shared" si="41"/>
        <v/>
      </c>
    </row>
    <row r="1323" spans="7:11" x14ac:dyDescent="0.2">
      <c r="G1323" s="44"/>
      <c r="J1323" t="str">
        <f t="shared" si="40"/>
        <v/>
      </c>
      <c r="K1323" t="str">
        <f t="shared" si="41"/>
        <v/>
      </c>
    </row>
    <row r="1324" spans="7:11" x14ac:dyDescent="0.2">
      <c r="G1324" s="44"/>
      <c r="J1324" t="str">
        <f t="shared" si="40"/>
        <v/>
      </c>
      <c r="K1324" t="str">
        <f t="shared" si="41"/>
        <v/>
      </c>
    </row>
    <row r="1325" spans="7:11" x14ac:dyDescent="0.2">
      <c r="G1325" s="44"/>
      <c r="J1325" t="str">
        <f t="shared" si="40"/>
        <v/>
      </c>
      <c r="K1325" t="str">
        <f t="shared" si="41"/>
        <v/>
      </c>
    </row>
    <row r="1326" spans="7:11" x14ac:dyDescent="0.2">
      <c r="G1326" s="44"/>
      <c r="J1326" t="str">
        <f t="shared" si="40"/>
        <v/>
      </c>
      <c r="K1326" t="str">
        <f t="shared" si="41"/>
        <v/>
      </c>
    </row>
    <row r="1327" spans="7:11" x14ac:dyDescent="0.2">
      <c r="G1327" s="44"/>
      <c r="J1327" t="str">
        <f t="shared" si="40"/>
        <v/>
      </c>
      <c r="K1327" t="str">
        <f t="shared" si="41"/>
        <v/>
      </c>
    </row>
    <row r="1328" spans="7:11" x14ac:dyDescent="0.2">
      <c r="G1328" s="44"/>
      <c r="J1328" t="str">
        <f t="shared" si="40"/>
        <v/>
      </c>
      <c r="K1328" t="str">
        <f t="shared" si="41"/>
        <v/>
      </c>
    </row>
    <row r="1329" spans="7:11" x14ac:dyDescent="0.2">
      <c r="G1329" s="44"/>
      <c r="J1329" t="str">
        <f t="shared" si="40"/>
        <v/>
      </c>
      <c r="K1329" t="str">
        <f t="shared" si="41"/>
        <v/>
      </c>
    </row>
    <row r="1330" spans="7:11" x14ac:dyDescent="0.2">
      <c r="G1330" s="44"/>
      <c r="J1330" t="str">
        <f t="shared" si="40"/>
        <v/>
      </c>
      <c r="K1330" t="str">
        <f t="shared" si="41"/>
        <v/>
      </c>
    </row>
    <row r="1331" spans="7:11" x14ac:dyDescent="0.2">
      <c r="G1331" s="44"/>
      <c r="J1331" t="str">
        <f t="shared" si="40"/>
        <v/>
      </c>
      <c r="K1331" t="str">
        <f t="shared" si="41"/>
        <v/>
      </c>
    </row>
    <row r="1332" spans="7:11" x14ac:dyDescent="0.2">
      <c r="G1332" s="44"/>
      <c r="J1332" t="str">
        <f t="shared" si="40"/>
        <v/>
      </c>
      <c r="K1332" t="str">
        <f t="shared" si="41"/>
        <v/>
      </c>
    </row>
    <row r="1333" spans="7:11" x14ac:dyDescent="0.2">
      <c r="G1333" s="44"/>
      <c r="J1333" t="str">
        <f t="shared" si="40"/>
        <v/>
      </c>
      <c r="K1333" t="str">
        <f t="shared" si="41"/>
        <v/>
      </c>
    </row>
    <row r="1334" spans="7:11" x14ac:dyDescent="0.2">
      <c r="G1334" s="44"/>
      <c r="J1334" t="str">
        <f t="shared" si="40"/>
        <v/>
      </c>
      <c r="K1334" t="str">
        <f t="shared" si="41"/>
        <v/>
      </c>
    </row>
    <row r="1335" spans="7:11" x14ac:dyDescent="0.2">
      <c r="G1335" s="44"/>
      <c r="J1335" t="str">
        <f t="shared" si="40"/>
        <v/>
      </c>
      <c r="K1335" t="str">
        <f t="shared" si="41"/>
        <v/>
      </c>
    </row>
    <row r="1336" spans="7:11" x14ac:dyDescent="0.2">
      <c r="G1336" s="44"/>
      <c r="J1336" t="str">
        <f t="shared" si="40"/>
        <v/>
      </c>
      <c r="K1336" t="str">
        <f t="shared" si="41"/>
        <v/>
      </c>
    </row>
    <row r="1337" spans="7:11" x14ac:dyDescent="0.2">
      <c r="G1337" s="44"/>
      <c r="J1337" t="str">
        <f t="shared" si="40"/>
        <v/>
      </c>
      <c r="K1337" t="str">
        <f t="shared" si="41"/>
        <v/>
      </c>
    </row>
    <row r="1338" spans="7:11" x14ac:dyDescent="0.2">
      <c r="G1338" s="44"/>
      <c r="J1338" t="str">
        <f t="shared" si="40"/>
        <v/>
      </c>
      <c r="K1338" t="str">
        <f t="shared" si="41"/>
        <v/>
      </c>
    </row>
    <row r="1339" spans="7:11" x14ac:dyDescent="0.2">
      <c r="G1339" s="44"/>
      <c r="J1339" t="str">
        <f t="shared" si="40"/>
        <v/>
      </c>
      <c r="K1339" t="str">
        <f t="shared" si="41"/>
        <v/>
      </c>
    </row>
    <row r="1340" spans="7:11" x14ac:dyDescent="0.2">
      <c r="G1340" s="44"/>
      <c r="J1340" t="str">
        <f t="shared" si="40"/>
        <v/>
      </c>
      <c r="K1340" t="str">
        <f t="shared" si="41"/>
        <v/>
      </c>
    </row>
    <row r="1341" spans="7:11" x14ac:dyDescent="0.2">
      <c r="G1341" s="44"/>
      <c r="J1341" t="str">
        <f t="shared" si="40"/>
        <v/>
      </c>
      <c r="K1341" t="str">
        <f t="shared" si="41"/>
        <v/>
      </c>
    </row>
    <row r="1342" spans="7:11" x14ac:dyDescent="0.2">
      <c r="G1342" s="44"/>
      <c r="J1342" t="str">
        <f t="shared" si="40"/>
        <v/>
      </c>
      <c r="K1342" t="str">
        <f t="shared" si="41"/>
        <v/>
      </c>
    </row>
    <row r="1343" spans="7:11" x14ac:dyDescent="0.2">
      <c r="G1343" s="44"/>
      <c r="J1343" t="str">
        <f t="shared" si="40"/>
        <v/>
      </c>
      <c r="K1343" t="str">
        <f t="shared" si="41"/>
        <v/>
      </c>
    </row>
    <row r="1344" spans="7:11" x14ac:dyDescent="0.2">
      <c r="G1344" s="44"/>
      <c r="J1344" t="str">
        <f t="shared" si="40"/>
        <v/>
      </c>
      <c r="K1344" t="str">
        <f t="shared" si="41"/>
        <v/>
      </c>
    </row>
    <row r="1345" spans="7:11" x14ac:dyDescent="0.2">
      <c r="G1345" s="44"/>
      <c r="J1345" t="str">
        <f t="shared" si="40"/>
        <v/>
      </c>
      <c r="K1345" t="str">
        <f t="shared" si="41"/>
        <v/>
      </c>
    </row>
    <row r="1346" spans="7:11" x14ac:dyDescent="0.2">
      <c r="G1346" s="44"/>
      <c r="J1346" t="str">
        <f t="shared" ref="J1346:J1409" si="42">IF(E1346="","",IF(OR(E1346=50,E1346=51),"Iltindhold",IF(E1346=75,"Carbon,org,NVOC",IF(OR(E1346=343,E1346=1167),"Svovlbrinte",IF(OR(E1346=240,E1346=241,E1346=242),"Amm",IF(E1346=244,"Nitrit",IF(E1346=247,"Nitrat",IF(E1346=334,"Sulfat",IF(E1346=262,"Phosphor, total-P",F1346)))))))))</f>
        <v/>
      </c>
      <c r="K1346" t="str">
        <f t="shared" ref="K1346:K1409" si="43">IF(A1346="","",IF(H1346="!",NA(),IF(H1346="A",I1346*0.5,IF(H1346="&lt;",I1346*0.5,I1346))))</f>
        <v/>
      </c>
    </row>
    <row r="1347" spans="7:11" x14ac:dyDescent="0.2">
      <c r="G1347" s="44"/>
      <c r="J1347" t="str">
        <f t="shared" si="42"/>
        <v/>
      </c>
      <c r="K1347" t="str">
        <f t="shared" si="43"/>
        <v/>
      </c>
    </row>
    <row r="1348" spans="7:11" x14ac:dyDescent="0.2">
      <c r="G1348" s="44"/>
      <c r="J1348" t="str">
        <f t="shared" si="42"/>
        <v/>
      </c>
      <c r="K1348" t="str">
        <f t="shared" si="43"/>
        <v/>
      </c>
    </row>
    <row r="1349" spans="7:11" x14ac:dyDescent="0.2">
      <c r="G1349" s="44"/>
      <c r="J1349" t="str">
        <f t="shared" si="42"/>
        <v/>
      </c>
      <c r="K1349" t="str">
        <f t="shared" si="43"/>
        <v/>
      </c>
    </row>
    <row r="1350" spans="7:11" x14ac:dyDescent="0.2">
      <c r="G1350" s="44"/>
      <c r="J1350" t="str">
        <f t="shared" si="42"/>
        <v/>
      </c>
      <c r="K1350" t="str">
        <f t="shared" si="43"/>
        <v/>
      </c>
    </row>
    <row r="1351" spans="7:11" x14ac:dyDescent="0.2">
      <c r="G1351" s="44"/>
      <c r="J1351" t="str">
        <f t="shared" si="42"/>
        <v/>
      </c>
      <c r="K1351" t="str">
        <f t="shared" si="43"/>
        <v/>
      </c>
    </row>
    <row r="1352" spans="7:11" x14ac:dyDescent="0.2">
      <c r="G1352" s="44"/>
      <c r="J1352" t="str">
        <f t="shared" si="42"/>
        <v/>
      </c>
      <c r="K1352" t="str">
        <f t="shared" si="43"/>
        <v/>
      </c>
    </row>
    <row r="1353" spans="7:11" x14ac:dyDescent="0.2">
      <c r="G1353" s="44"/>
      <c r="J1353" t="str">
        <f t="shared" si="42"/>
        <v/>
      </c>
      <c r="K1353" t="str">
        <f t="shared" si="43"/>
        <v/>
      </c>
    </row>
    <row r="1354" spans="7:11" x14ac:dyDescent="0.2">
      <c r="G1354" s="44"/>
      <c r="J1354" t="str">
        <f t="shared" si="42"/>
        <v/>
      </c>
      <c r="K1354" t="str">
        <f t="shared" si="43"/>
        <v/>
      </c>
    </row>
    <row r="1355" spans="7:11" x14ac:dyDescent="0.2">
      <c r="G1355" s="44"/>
      <c r="J1355" t="str">
        <f t="shared" si="42"/>
        <v/>
      </c>
      <c r="K1355" t="str">
        <f t="shared" si="43"/>
        <v/>
      </c>
    </row>
    <row r="1356" spans="7:11" x14ac:dyDescent="0.2">
      <c r="G1356" s="44"/>
      <c r="J1356" t="str">
        <f t="shared" si="42"/>
        <v/>
      </c>
      <c r="K1356" t="str">
        <f t="shared" si="43"/>
        <v/>
      </c>
    </row>
    <row r="1357" spans="7:11" x14ac:dyDescent="0.2">
      <c r="G1357" s="44"/>
      <c r="J1357" t="str">
        <f t="shared" si="42"/>
        <v/>
      </c>
      <c r="K1357" t="str">
        <f t="shared" si="43"/>
        <v/>
      </c>
    </row>
    <row r="1358" spans="7:11" x14ac:dyDescent="0.2">
      <c r="G1358" s="44"/>
      <c r="J1358" t="str">
        <f t="shared" si="42"/>
        <v/>
      </c>
      <c r="K1358" t="str">
        <f t="shared" si="43"/>
        <v/>
      </c>
    </row>
    <row r="1359" spans="7:11" x14ac:dyDescent="0.2">
      <c r="G1359" s="44"/>
      <c r="J1359" t="str">
        <f t="shared" si="42"/>
        <v/>
      </c>
      <c r="K1359" t="str">
        <f t="shared" si="43"/>
        <v/>
      </c>
    </row>
    <row r="1360" spans="7:11" x14ac:dyDescent="0.2">
      <c r="G1360" s="44"/>
      <c r="J1360" t="str">
        <f t="shared" si="42"/>
        <v/>
      </c>
      <c r="K1360" t="str">
        <f t="shared" si="43"/>
        <v/>
      </c>
    </row>
    <row r="1361" spans="7:11" x14ac:dyDescent="0.2">
      <c r="G1361" s="44"/>
      <c r="J1361" t="str">
        <f t="shared" si="42"/>
        <v/>
      </c>
      <c r="K1361" t="str">
        <f t="shared" si="43"/>
        <v/>
      </c>
    </row>
    <row r="1362" spans="7:11" x14ac:dyDescent="0.2">
      <c r="G1362" s="44"/>
      <c r="J1362" t="str">
        <f t="shared" si="42"/>
        <v/>
      </c>
      <c r="K1362" t="str">
        <f t="shared" si="43"/>
        <v/>
      </c>
    </row>
    <row r="1363" spans="7:11" x14ac:dyDescent="0.2">
      <c r="G1363" s="44"/>
      <c r="J1363" t="str">
        <f t="shared" si="42"/>
        <v/>
      </c>
      <c r="K1363" t="str">
        <f t="shared" si="43"/>
        <v/>
      </c>
    </row>
    <row r="1364" spans="7:11" x14ac:dyDescent="0.2">
      <c r="G1364" s="44"/>
      <c r="J1364" t="str">
        <f t="shared" si="42"/>
        <v/>
      </c>
      <c r="K1364" t="str">
        <f t="shared" si="43"/>
        <v/>
      </c>
    </row>
    <row r="1365" spans="7:11" x14ac:dyDescent="0.2">
      <c r="G1365" s="44"/>
      <c r="J1365" t="str">
        <f t="shared" si="42"/>
        <v/>
      </c>
      <c r="K1365" t="str">
        <f t="shared" si="43"/>
        <v/>
      </c>
    </row>
    <row r="1366" spans="7:11" x14ac:dyDescent="0.2">
      <c r="G1366" s="44"/>
      <c r="J1366" t="str">
        <f t="shared" si="42"/>
        <v/>
      </c>
      <c r="K1366" t="str">
        <f t="shared" si="43"/>
        <v/>
      </c>
    </row>
    <row r="1367" spans="7:11" x14ac:dyDescent="0.2">
      <c r="G1367" s="44"/>
      <c r="J1367" t="str">
        <f t="shared" si="42"/>
        <v/>
      </c>
      <c r="K1367" t="str">
        <f t="shared" si="43"/>
        <v/>
      </c>
    </row>
    <row r="1368" spans="7:11" x14ac:dyDescent="0.2">
      <c r="G1368" s="44"/>
      <c r="J1368" t="str">
        <f t="shared" si="42"/>
        <v/>
      </c>
      <c r="K1368" t="str">
        <f t="shared" si="43"/>
        <v/>
      </c>
    </row>
    <row r="1369" spans="7:11" x14ac:dyDescent="0.2">
      <c r="G1369" s="44"/>
      <c r="J1369" t="str">
        <f t="shared" si="42"/>
        <v/>
      </c>
      <c r="K1369" t="str">
        <f t="shared" si="43"/>
        <v/>
      </c>
    </row>
    <row r="1370" spans="7:11" x14ac:dyDescent="0.2">
      <c r="G1370" s="44"/>
      <c r="J1370" t="str">
        <f t="shared" si="42"/>
        <v/>
      </c>
      <c r="K1370" t="str">
        <f t="shared" si="43"/>
        <v/>
      </c>
    </row>
    <row r="1371" spans="7:11" x14ac:dyDescent="0.2">
      <c r="G1371" s="44"/>
      <c r="J1371" t="str">
        <f t="shared" si="42"/>
        <v/>
      </c>
      <c r="K1371" t="str">
        <f t="shared" si="43"/>
        <v/>
      </c>
    </row>
    <row r="1372" spans="7:11" x14ac:dyDescent="0.2">
      <c r="G1372" s="44"/>
      <c r="J1372" t="str">
        <f t="shared" si="42"/>
        <v/>
      </c>
      <c r="K1372" t="str">
        <f t="shared" si="43"/>
        <v/>
      </c>
    </row>
    <row r="1373" spans="7:11" x14ac:dyDescent="0.2">
      <c r="G1373" s="44"/>
      <c r="J1373" t="str">
        <f t="shared" si="42"/>
        <v/>
      </c>
      <c r="K1373" t="str">
        <f t="shared" si="43"/>
        <v/>
      </c>
    </row>
    <row r="1374" spans="7:11" x14ac:dyDescent="0.2">
      <c r="G1374" s="44"/>
      <c r="J1374" t="str">
        <f t="shared" si="42"/>
        <v/>
      </c>
      <c r="K1374" t="str">
        <f t="shared" si="43"/>
        <v/>
      </c>
    </row>
    <row r="1375" spans="7:11" x14ac:dyDescent="0.2">
      <c r="G1375" s="44"/>
      <c r="J1375" t="str">
        <f t="shared" si="42"/>
        <v/>
      </c>
      <c r="K1375" t="str">
        <f t="shared" si="43"/>
        <v/>
      </c>
    </row>
    <row r="1376" spans="7:11" x14ac:dyDescent="0.2">
      <c r="G1376" s="44"/>
      <c r="J1376" t="str">
        <f t="shared" si="42"/>
        <v/>
      </c>
      <c r="K1376" t="str">
        <f t="shared" si="43"/>
        <v/>
      </c>
    </row>
    <row r="1377" spans="7:11" x14ac:dyDescent="0.2">
      <c r="G1377" s="44"/>
      <c r="J1377" t="str">
        <f t="shared" si="42"/>
        <v/>
      </c>
      <c r="K1377" t="str">
        <f t="shared" si="43"/>
        <v/>
      </c>
    </row>
    <row r="1378" spans="7:11" x14ac:dyDescent="0.2">
      <c r="G1378" s="44"/>
      <c r="J1378" t="str">
        <f t="shared" si="42"/>
        <v/>
      </c>
      <c r="K1378" t="str">
        <f t="shared" si="43"/>
        <v/>
      </c>
    </row>
    <row r="1379" spans="7:11" x14ac:dyDescent="0.2">
      <c r="G1379" s="44"/>
      <c r="J1379" t="str">
        <f t="shared" si="42"/>
        <v/>
      </c>
      <c r="K1379" t="str">
        <f t="shared" si="43"/>
        <v/>
      </c>
    </row>
    <row r="1380" spans="7:11" x14ac:dyDescent="0.2">
      <c r="G1380" s="44"/>
      <c r="J1380" t="str">
        <f t="shared" si="42"/>
        <v/>
      </c>
      <c r="K1380" t="str">
        <f t="shared" si="43"/>
        <v/>
      </c>
    </row>
    <row r="1381" spans="7:11" x14ac:dyDescent="0.2">
      <c r="G1381" s="44"/>
      <c r="J1381" t="str">
        <f t="shared" si="42"/>
        <v/>
      </c>
      <c r="K1381" t="str">
        <f t="shared" si="43"/>
        <v/>
      </c>
    </row>
    <row r="1382" spans="7:11" x14ac:dyDescent="0.2">
      <c r="G1382" s="44"/>
      <c r="J1382" t="str">
        <f t="shared" si="42"/>
        <v/>
      </c>
      <c r="K1382" t="str">
        <f t="shared" si="43"/>
        <v/>
      </c>
    </row>
    <row r="1383" spans="7:11" x14ac:dyDescent="0.2">
      <c r="G1383" s="44"/>
      <c r="J1383" t="str">
        <f t="shared" si="42"/>
        <v/>
      </c>
      <c r="K1383" t="str">
        <f t="shared" si="43"/>
        <v/>
      </c>
    </row>
    <row r="1384" spans="7:11" x14ac:dyDescent="0.2">
      <c r="G1384" s="44"/>
      <c r="J1384" t="str">
        <f t="shared" si="42"/>
        <v/>
      </c>
      <c r="K1384" t="str">
        <f t="shared" si="43"/>
        <v/>
      </c>
    </row>
    <row r="1385" spans="7:11" x14ac:dyDescent="0.2">
      <c r="G1385" s="44"/>
      <c r="J1385" t="str">
        <f t="shared" si="42"/>
        <v/>
      </c>
      <c r="K1385" t="str">
        <f t="shared" si="43"/>
        <v/>
      </c>
    </row>
    <row r="1386" spans="7:11" x14ac:dyDescent="0.2">
      <c r="G1386" s="44"/>
      <c r="J1386" t="str">
        <f t="shared" si="42"/>
        <v/>
      </c>
      <c r="K1386" t="str">
        <f t="shared" si="43"/>
        <v/>
      </c>
    </row>
    <row r="1387" spans="7:11" x14ac:dyDescent="0.2">
      <c r="G1387" s="44"/>
      <c r="J1387" t="str">
        <f t="shared" si="42"/>
        <v/>
      </c>
      <c r="K1387" t="str">
        <f t="shared" si="43"/>
        <v/>
      </c>
    </row>
    <row r="1388" spans="7:11" x14ac:dyDescent="0.2">
      <c r="G1388" s="44"/>
      <c r="J1388" t="str">
        <f t="shared" si="42"/>
        <v/>
      </c>
      <c r="K1388" t="str">
        <f t="shared" si="43"/>
        <v/>
      </c>
    </row>
    <row r="1389" spans="7:11" x14ac:dyDescent="0.2">
      <c r="G1389" s="44"/>
      <c r="J1389" t="str">
        <f t="shared" si="42"/>
        <v/>
      </c>
      <c r="K1389" t="str">
        <f t="shared" si="43"/>
        <v/>
      </c>
    </row>
    <row r="1390" spans="7:11" x14ac:dyDescent="0.2">
      <c r="G1390" s="44"/>
      <c r="J1390" t="str">
        <f t="shared" si="42"/>
        <v/>
      </c>
      <c r="K1390" t="str">
        <f t="shared" si="43"/>
        <v/>
      </c>
    </row>
    <row r="1391" spans="7:11" x14ac:dyDescent="0.2">
      <c r="G1391" s="44"/>
      <c r="J1391" t="str">
        <f t="shared" si="42"/>
        <v/>
      </c>
      <c r="K1391" t="str">
        <f t="shared" si="43"/>
        <v/>
      </c>
    </row>
    <row r="1392" spans="7:11" x14ac:dyDescent="0.2">
      <c r="G1392" s="44"/>
      <c r="J1392" t="str">
        <f t="shared" si="42"/>
        <v/>
      </c>
      <c r="K1392" t="str">
        <f t="shared" si="43"/>
        <v/>
      </c>
    </row>
    <row r="1393" spans="7:11" x14ac:dyDescent="0.2">
      <c r="G1393" s="44"/>
      <c r="J1393" t="str">
        <f t="shared" si="42"/>
        <v/>
      </c>
      <c r="K1393" t="str">
        <f t="shared" si="43"/>
        <v/>
      </c>
    </row>
    <row r="1394" spans="7:11" x14ac:dyDescent="0.2">
      <c r="G1394" s="44"/>
      <c r="J1394" t="str">
        <f t="shared" si="42"/>
        <v/>
      </c>
      <c r="K1394" t="str">
        <f t="shared" si="43"/>
        <v/>
      </c>
    </row>
    <row r="1395" spans="7:11" x14ac:dyDescent="0.2">
      <c r="G1395" s="44"/>
      <c r="J1395" t="str">
        <f t="shared" si="42"/>
        <v/>
      </c>
      <c r="K1395" t="str">
        <f t="shared" si="43"/>
        <v/>
      </c>
    </row>
    <row r="1396" spans="7:11" x14ac:dyDescent="0.2">
      <c r="G1396" s="44"/>
      <c r="J1396" t="str">
        <f t="shared" si="42"/>
        <v/>
      </c>
      <c r="K1396" t="str">
        <f t="shared" si="43"/>
        <v/>
      </c>
    </row>
    <row r="1397" spans="7:11" x14ac:dyDescent="0.2">
      <c r="G1397" s="44"/>
      <c r="J1397" t="str">
        <f t="shared" si="42"/>
        <v/>
      </c>
      <c r="K1397" t="str">
        <f t="shared" si="43"/>
        <v/>
      </c>
    </row>
    <row r="1398" spans="7:11" x14ac:dyDescent="0.2">
      <c r="G1398" s="44"/>
      <c r="J1398" t="str">
        <f t="shared" si="42"/>
        <v/>
      </c>
      <c r="K1398" t="str">
        <f t="shared" si="43"/>
        <v/>
      </c>
    </row>
    <row r="1399" spans="7:11" x14ac:dyDescent="0.2">
      <c r="G1399" s="44"/>
      <c r="J1399" t="str">
        <f t="shared" si="42"/>
        <v/>
      </c>
      <c r="K1399" t="str">
        <f t="shared" si="43"/>
        <v/>
      </c>
    </row>
    <row r="1400" spans="7:11" x14ac:dyDescent="0.2">
      <c r="G1400" s="44"/>
      <c r="J1400" t="str">
        <f t="shared" si="42"/>
        <v/>
      </c>
      <c r="K1400" t="str">
        <f t="shared" si="43"/>
        <v/>
      </c>
    </row>
    <row r="1401" spans="7:11" x14ac:dyDescent="0.2">
      <c r="G1401" s="44"/>
      <c r="J1401" t="str">
        <f t="shared" si="42"/>
        <v/>
      </c>
      <c r="K1401" t="str">
        <f t="shared" si="43"/>
        <v/>
      </c>
    </row>
    <row r="1402" spans="7:11" x14ac:dyDescent="0.2">
      <c r="G1402" s="44"/>
      <c r="J1402" t="str">
        <f t="shared" si="42"/>
        <v/>
      </c>
      <c r="K1402" t="str">
        <f t="shared" si="43"/>
        <v/>
      </c>
    </row>
    <row r="1403" spans="7:11" x14ac:dyDescent="0.2">
      <c r="G1403" s="44"/>
      <c r="J1403" t="str">
        <f t="shared" si="42"/>
        <v/>
      </c>
      <c r="K1403" t="str">
        <f t="shared" si="43"/>
        <v/>
      </c>
    </row>
    <row r="1404" spans="7:11" x14ac:dyDescent="0.2">
      <c r="G1404" s="44"/>
      <c r="J1404" t="str">
        <f t="shared" si="42"/>
        <v/>
      </c>
      <c r="K1404" t="str">
        <f t="shared" si="43"/>
        <v/>
      </c>
    </row>
    <row r="1405" spans="7:11" x14ac:dyDescent="0.2">
      <c r="G1405" s="44"/>
      <c r="J1405" t="str">
        <f t="shared" si="42"/>
        <v/>
      </c>
      <c r="K1405" t="str">
        <f t="shared" si="43"/>
        <v/>
      </c>
    </row>
    <row r="1406" spans="7:11" x14ac:dyDescent="0.2">
      <c r="G1406" s="44"/>
      <c r="J1406" t="str">
        <f t="shared" si="42"/>
        <v/>
      </c>
      <c r="K1406" t="str">
        <f t="shared" si="43"/>
        <v/>
      </c>
    </row>
    <row r="1407" spans="7:11" x14ac:dyDescent="0.2">
      <c r="G1407" s="44"/>
      <c r="J1407" t="str">
        <f t="shared" si="42"/>
        <v/>
      </c>
      <c r="K1407" t="str">
        <f t="shared" si="43"/>
        <v/>
      </c>
    </row>
    <row r="1408" spans="7:11" x14ac:dyDescent="0.2">
      <c r="G1408" s="44"/>
      <c r="J1408" t="str">
        <f t="shared" si="42"/>
        <v/>
      </c>
      <c r="K1408" t="str">
        <f t="shared" si="43"/>
        <v/>
      </c>
    </row>
    <row r="1409" spans="7:11" x14ac:dyDescent="0.2">
      <c r="G1409" s="44"/>
      <c r="J1409" t="str">
        <f t="shared" si="42"/>
        <v/>
      </c>
      <c r="K1409" t="str">
        <f t="shared" si="43"/>
        <v/>
      </c>
    </row>
    <row r="1410" spans="7:11" x14ac:dyDescent="0.2">
      <c r="G1410" s="44"/>
      <c r="J1410" t="str">
        <f t="shared" ref="J1410:J1473" si="44">IF(E1410="","",IF(OR(E1410=50,E1410=51),"Iltindhold",IF(E1410=75,"Carbon,org,NVOC",IF(OR(E1410=343,E1410=1167),"Svovlbrinte",IF(OR(E1410=240,E1410=241,E1410=242),"Amm",IF(E1410=244,"Nitrit",IF(E1410=247,"Nitrat",IF(E1410=334,"Sulfat",IF(E1410=262,"Phosphor, total-P",F1410)))))))))</f>
        <v/>
      </c>
      <c r="K1410" t="str">
        <f t="shared" ref="K1410:K1473" si="45">IF(A1410="","",IF(H1410="!",NA(),IF(H1410="A",I1410*0.5,IF(H1410="&lt;",I1410*0.5,I1410))))</f>
        <v/>
      </c>
    </row>
    <row r="1411" spans="7:11" x14ac:dyDescent="0.2">
      <c r="G1411" s="44"/>
      <c r="J1411" t="str">
        <f t="shared" si="44"/>
        <v/>
      </c>
      <c r="K1411" t="str">
        <f t="shared" si="45"/>
        <v/>
      </c>
    </row>
    <row r="1412" spans="7:11" x14ac:dyDescent="0.2">
      <c r="G1412" s="44"/>
      <c r="J1412" t="str">
        <f t="shared" si="44"/>
        <v/>
      </c>
      <c r="K1412" t="str">
        <f t="shared" si="45"/>
        <v/>
      </c>
    </row>
    <row r="1413" spans="7:11" x14ac:dyDescent="0.2">
      <c r="G1413" s="44"/>
      <c r="J1413" t="str">
        <f t="shared" si="44"/>
        <v/>
      </c>
      <c r="K1413" t="str">
        <f t="shared" si="45"/>
        <v/>
      </c>
    </row>
    <row r="1414" spans="7:11" x14ac:dyDescent="0.2">
      <c r="G1414" s="44"/>
      <c r="J1414" t="str">
        <f t="shared" si="44"/>
        <v/>
      </c>
      <c r="K1414" t="str">
        <f t="shared" si="45"/>
        <v/>
      </c>
    </row>
    <row r="1415" spans="7:11" x14ac:dyDescent="0.2">
      <c r="G1415" s="44"/>
      <c r="J1415" t="str">
        <f t="shared" si="44"/>
        <v/>
      </c>
      <c r="K1415" t="str">
        <f t="shared" si="45"/>
        <v/>
      </c>
    </row>
    <row r="1416" spans="7:11" x14ac:dyDescent="0.2">
      <c r="G1416" s="44"/>
      <c r="J1416" t="str">
        <f t="shared" si="44"/>
        <v/>
      </c>
      <c r="K1416" t="str">
        <f t="shared" si="45"/>
        <v/>
      </c>
    </row>
    <row r="1417" spans="7:11" x14ac:dyDescent="0.2">
      <c r="G1417" s="44"/>
      <c r="J1417" t="str">
        <f t="shared" si="44"/>
        <v/>
      </c>
      <c r="K1417" t="str">
        <f t="shared" si="45"/>
        <v/>
      </c>
    </row>
    <row r="1418" spans="7:11" x14ac:dyDescent="0.2">
      <c r="G1418" s="44"/>
      <c r="J1418" t="str">
        <f t="shared" si="44"/>
        <v/>
      </c>
      <c r="K1418" t="str">
        <f t="shared" si="45"/>
        <v/>
      </c>
    </row>
    <row r="1419" spans="7:11" x14ac:dyDescent="0.2">
      <c r="G1419" s="44"/>
      <c r="J1419" t="str">
        <f t="shared" si="44"/>
        <v/>
      </c>
      <c r="K1419" t="str">
        <f t="shared" si="45"/>
        <v/>
      </c>
    </row>
    <row r="1420" spans="7:11" x14ac:dyDescent="0.2">
      <c r="G1420" s="44"/>
      <c r="J1420" t="str">
        <f t="shared" si="44"/>
        <v/>
      </c>
      <c r="K1420" t="str">
        <f t="shared" si="45"/>
        <v/>
      </c>
    </row>
    <row r="1421" spans="7:11" x14ac:dyDescent="0.2">
      <c r="G1421" s="44"/>
      <c r="J1421" t="str">
        <f t="shared" si="44"/>
        <v/>
      </c>
      <c r="K1421" t="str">
        <f t="shared" si="45"/>
        <v/>
      </c>
    </row>
    <row r="1422" spans="7:11" x14ac:dyDescent="0.2">
      <c r="G1422" s="44"/>
      <c r="J1422" t="str">
        <f t="shared" si="44"/>
        <v/>
      </c>
      <c r="K1422" t="str">
        <f t="shared" si="45"/>
        <v/>
      </c>
    </row>
    <row r="1423" spans="7:11" x14ac:dyDescent="0.2">
      <c r="G1423" s="44"/>
      <c r="J1423" t="str">
        <f t="shared" si="44"/>
        <v/>
      </c>
      <c r="K1423" t="str">
        <f t="shared" si="45"/>
        <v/>
      </c>
    </row>
    <row r="1424" spans="7:11" x14ac:dyDescent="0.2">
      <c r="G1424" s="44"/>
      <c r="J1424" t="str">
        <f t="shared" si="44"/>
        <v/>
      </c>
      <c r="K1424" t="str">
        <f t="shared" si="45"/>
        <v/>
      </c>
    </row>
    <row r="1425" spans="7:11" x14ac:dyDescent="0.2">
      <c r="G1425" s="44"/>
      <c r="J1425" t="str">
        <f t="shared" si="44"/>
        <v/>
      </c>
      <c r="K1425" t="str">
        <f t="shared" si="45"/>
        <v/>
      </c>
    </row>
    <row r="1426" spans="7:11" x14ac:dyDescent="0.2">
      <c r="G1426" s="44"/>
      <c r="J1426" t="str">
        <f t="shared" si="44"/>
        <v/>
      </c>
      <c r="K1426" t="str">
        <f t="shared" si="45"/>
        <v/>
      </c>
    </row>
    <row r="1427" spans="7:11" x14ac:dyDescent="0.2">
      <c r="G1427" s="44"/>
      <c r="J1427" t="str">
        <f t="shared" si="44"/>
        <v/>
      </c>
      <c r="K1427" t="str">
        <f t="shared" si="45"/>
        <v/>
      </c>
    </row>
    <row r="1428" spans="7:11" x14ac:dyDescent="0.2">
      <c r="G1428" s="44"/>
      <c r="J1428" t="str">
        <f t="shared" si="44"/>
        <v/>
      </c>
      <c r="K1428" t="str">
        <f t="shared" si="45"/>
        <v/>
      </c>
    </row>
    <row r="1429" spans="7:11" x14ac:dyDescent="0.2">
      <c r="G1429" s="44"/>
      <c r="J1429" t="str">
        <f t="shared" si="44"/>
        <v/>
      </c>
      <c r="K1429" t="str">
        <f t="shared" si="45"/>
        <v/>
      </c>
    </row>
    <row r="1430" spans="7:11" x14ac:dyDescent="0.2">
      <c r="G1430" s="44"/>
      <c r="J1430" t="str">
        <f t="shared" si="44"/>
        <v/>
      </c>
      <c r="K1430" t="str">
        <f t="shared" si="45"/>
        <v/>
      </c>
    </row>
    <row r="1431" spans="7:11" x14ac:dyDescent="0.2">
      <c r="G1431" s="44"/>
      <c r="J1431" t="str">
        <f t="shared" si="44"/>
        <v/>
      </c>
      <c r="K1431" t="str">
        <f t="shared" si="45"/>
        <v/>
      </c>
    </row>
    <row r="1432" spans="7:11" x14ac:dyDescent="0.2">
      <c r="G1432" s="44"/>
      <c r="J1432" t="str">
        <f t="shared" si="44"/>
        <v/>
      </c>
      <c r="K1432" t="str">
        <f t="shared" si="45"/>
        <v/>
      </c>
    </row>
    <row r="1433" spans="7:11" x14ac:dyDescent="0.2">
      <c r="G1433" s="44"/>
      <c r="J1433" t="str">
        <f t="shared" si="44"/>
        <v/>
      </c>
      <c r="K1433" t="str">
        <f t="shared" si="45"/>
        <v/>
      </c>
    </row>
    <row r="1434" spans="7:11" x14ac:dyDescent="0.2">
      <c r="G1434" s="44"/>
      <c r="J1434" t="str">
        <f t="shared" si="44"/>
        <v/>
      </c>
      <c r="K1434" t="str">
        <f t="shared" si="45"/>
        <v/>
      </c>
    </row>
    <row r="1435" spans="7:11" x14ac:dyDescent="0.2">
      <c r="G1435" s="44"/>
      <c r="J1435" t="str">
        <f t="shared" si="44"/>
        <v/>
      </c>
      <c r="K1435" t="str">
        <f t="shared" si="45"/>
        <v/>
      </c>
    </row>
    <row r="1436" spans="7:11" x14ac:dyDescent="0.2">
      <c r="G1436" s="44"/>
      <c r="J1436" t="str">
        <f t="shared" si="44"/>
        <v/>
      </c>
      <c r="K1436" t="str">
        <f t="shared" si="45"/>
        <v/>
      </c>
    </row>
    <row r="1437" spans="7:11" x14ac:dyDescent="0.2">
      <c r="G1437" s="44"/>
      <c r="J1437" t="str">
        <f t="shared" si="44"/>
        <v/>
      </c>
      <c r="K1437" t="str">
        <f t="shared" si="45"/>
        <v/>
      </c>
    </row>
    <row r="1438" spans="7:11" x14ac:dyDescent="0.2">
      <c r="G1438" s="44"/>
      <c r="J1438" t="str">
        <f t="shared" si="44"/>
        <v/>
      </c>
      <c r="K1438" t="str">
        <f t="shared" si="45"/>
        <v/>
      </c>
    </row>
    <row r="1439" spans="7:11" x14ac:dyDescent="0.2">
      <c r="G1439" s="44"/>
      <c r="J1439" t="str">
        <f t="shared" si="44"/>
        <v/>
      </c>
      <c r="K1439" t="str">
        <f t="shared" si="45"/>
        <v/>
      </c>
    </row>
    <row r="1440" spans="7:11" x14ac:dyDescent="0.2">
      <c r="G1440" s="44"/>
      <c r="J1440" t="str">
        <f t="shared" si="44"/>
        <v/>
      </c>
      <c r="K1440" t="str">
        <f t="shared" si="45"/>
        <v/>
      </c>
    </row>
    <row r="1441" spans="7:11" x14ac:dyDescent="0.2">
      <c r="G1441" s="44"/>
      <c r="J1441" t="str">
        <f t="shared" si="44"/>
        <v/>
      </c>
      <c r="K1441" t="str">
        <f t="shared" si="45"/>
        <v/>
      </c>
    </row>
    <row r="1442" spans="7:11" x14ac:dyDescent="0.2">
      <c r="G1442" s="44"/>
      <c r="J1442" t="str">
        <f t="shared" si="44"/>
        <v/>
      </c>
      <c r="K1442" t="str">
        <f t="shared" si="45"/>
        <v/>
      </c>
    </row>
    <row r="1443" spans="7:11" x14ac:dyDescent="0.2">
      <c r="G1443" s="44"/>
      <c r="J1443" t="str">
        <f t="shared" si="44"/>
        <v/>
      </c>
      <c r="K1443" t="str">
        <f t="shared" si="45"/>
        <v/>
      </c>
    </row>
    <row r="1444" spans="7:11" x14ac:dyDescent="0.2">
      <c r="G1444" s="44"/>
      <c r="J1444" t="str">
        <f t="shared" si="44"/>
        <v/>
      </c>
      <c r="K1444" t="str">
        <f t="shared" si="45"/>
        <v/>
      </c>
    </row>
    <row r="1445" spans="7:11" x14ac:dyDescent="0.2">
      <c r="G1445" s="44"/>
      <c r="J1445" t="str">
        <f t="shared" si="44"/>
        <v/>
      </c>
      <c r="K1445" t="str">
        <f t="shared" si="45"/>
        <v/>
      </c>
    </row>
    <row r="1446" spans="7:11" x14ac:dyDescent="0.2">
      <c r="G1446" s="44"/>
      <c r="J1446" t="str">
        <f t="shared" si="44"/>
        <v/>
      </c>
      <c r="K1446" t="str">
        <f t="shared" si="45"/>
        <v/>
      </c>
    </row>
    <row r="1447" spans="7:11" x14ac:dyDescent="0.2">
      <c r="G1447" s="44"/>
      <c r="J1447" t="str">
        <f t="shared" si="44"/>
        <v/>
      </c>
      <c r="K1447" t="str">
        <f t="shared" si="45"/>
        <v/>
      </c>
    </row>
    <row r="1448" spans="7:11" x14ac:dyDescent="0.2">
      <c r="G1448" s="44"/>
      <c r="J1448" t="str">
        <f t="shared" si="44"/>
        <v/>
      </c>
      <c r="K1448" t="str">
        <f t="shared" si="45"/>
        <v/>
      </c>
    </row>
    <row r="1449" spans="7:11" x14ac:dyDescent="0.2">
      <c r="G1449" s="44"/>
      <c r="J1449" t="str">
        <f t="shared" si="44"/>
        <v/>
      </c>
      <c r="K1449" t="str">
        <f t="shared" si="45"/>
        <v/>
      </c>
    </row>
    <row r="1450" spans="7:11" x14ac:dyDescent="0.2">
      <c r="G1450" s="44"/>
      <c r="J1450" t="str">
        <f t="shared" si="44"/>
        <v/>
      </c>
      <c r="K1450" t="str">
        <f t="shared" si="45"/>
        <v/>
      </c>
    </row>
    <row r="1451" spans="7:11" x14ac:dyDescent="0.2">
      <c r="G1451" s="44"/>
      <c r="J1451" t="str">
        <f t="shared" si="44"/>
        <v/>
      </c>
      <c r="K1451" t="str">
        <f t="shared" si="45"/>
        <v/>
      </c>
    </row>
    <row r="1452" spans="7:11" x14ac:dyDescent="0.2">
      <c r="G1452" s="44"/>
      <c r="J1452" t="str">
        <f t="shared" si="44"/>
        <v/>
      </c>
      <c r="K1452" t="str">
        <f t="shared" si="45"/>
        <v/>
      </c>
    </row>
    <row r="1453" spans="7:11" x14ac:dyDescent="0.2">
      <c r="G1453" s="44"/>
      <c r="J1453" t="str">
        <f t="shared" si="44"/>
        <v/>
      </c>
      <c r="K1453" t="str">
        <f t="shared" si="45"/>
        <v/>
      </c>
    </row>
    <row r="1454" spans="7:11" x14ac:dyDescent="0.2">
      <c r="G1454" s="44"/>
      <c r="J1454" t="str">
        <f t="shared" si="44"/>
        <v/>
      </c>
      <c r="K1454" t="str">
        <f t="shared" si="45"/>
        <v/>
      </c>
    </row>
    <row r="1455" spans="7:11" x14ac:dyDescent="0.2">
      <c r="G1455" s="44"/>
      <c r="J1455" t="str">
        <f t="shared" si="44"/>
        <v/>
      </c>
      <c r="K1455" t="str">
        <f t="shared" si="45"/>
        <v/>
      </c>
    </row>
    <row r="1456" spans="7:11" x14ac:dyDescent="0.2">
      <c r="G1456" s="44"/>
      <c r="J1456" t="str">
        <f t="shared" si="44"/>
        <v/>
      </c>
      <c r="K1456" t="str">
        <f t="shared" si="45"/>
        <v/>
      </c>
    </row>
    <row r="1457" spans="7:11" x14ac:dyDescent="0.2">
      <c r="G1457" s="44"/>
      <c r="J1457" t="str">
        <f t="shared" si="44"/>
        <v/>
      </c>
      <c r="K1457" t="str">
        <f t="shared" si="45"/>
        <v/>
      </c>
    </row>
    <row r="1458" spans="7:11" x14ac:dyDescent="0.2">
      <c r="G1458" s="44"/>
      <c r="J1458" t="str">
        <f t="shared" si="44"/>
        <v/>
      </c>
      <c r="K1458" t="str">
        <f t="shared" si="45"/>
        <v/>
      </c>
    </row>
    <row r="1459" spans="7:11" x14ac:dyDescent="0.2">
      <c r="G1459" s="44"/>
      <c r="J1459" t="str">
        <f t="shared" si="44"/>
        <v/>
      </c>
      <c r="K1459" t="str">
        <f t="shared" si="45"/>
        <v/>
      </c>
    </row>
    <row r="1460" spans="7:11" x14ac:dyDescent="0.2">
      <c r="G1460" s="44"/>
      <c r="J1460" t="str">
        <f t="shared" si="44"/>
        <v/>
      </c>
      <c r="K1460" t="str">
        <f t="shared" si="45"/>
        <v/>
      </c>
    </row>
    <row r="1461" spans="7:11" x14ac:dyDescent="0.2">
      <c r="G1461" s="44"/>
      <c r="J1461" t="str">
        <f t="shared" si="44"/>
        <v/>
      </c>
      <c r="K1461" t="str">
        <f t="shared" si="45"/>
        <v/>
      </c>
    </row>
    <row r="1462" spans="7:11" x14ac:dyDescent="0.2">
      <c r="G1462" s="44"/>
      <c r="J1462" t="str">
        <f t="shared" si="44"/>
        <v/>
      </c>
      <c r="K1462" t="str">
        <f t="shared" si="45"/>
        <v/>
      </c>
    </row>
    <row r="1463" spans="7:11" x14ac:dyDescent="0.2">
      <c r="G1463" s="44"/>
      <c r="J1463" t="str">
        <f t="shared" si="44"/>
        <v/>
      </c>
      <c r="K1463" t="str">
        <f t="shared" si="45"/>
        <v/>
      </c>
    </row>
    <row r="1464" spans="7:11" x14ac:dyDescent="0.2">
      <c r="G1464" s="44"/>
      <c r="J1464" t="str">
        <f t="shared" si="44"/>
        <v/>
      </c>
      <c r="K1464" t="str">
        <f t="shared" si="45"/>
        <v/>
      </c>
    </row>
    <row r="1465" spans="7:11" x14ac:dyDescent="0.2">
      <c r="G1465" s="44"/>
      <c r="J1465" t="str">
        <f t="shared" si="44"/>
        <v/>
      </c>
      <c r="K1465" t="str">
        <f t="shared" si="45"/>
        <v/>
      </c>
    </row>
    <row r="1466" spans="7:11" x14ac:dyDescent="0.2">
      <c r="G1466" s="44"/>
      <c r="J1466" t="str">
        <f t="shared" si="44"/>
        <v/>
      </c>
      <c r="K1466" t="str">
        <f t="shared" si="45"/>
        <v/>
      </c>
    </row>
    <row r="1467" spans="7:11" x14ac:dyDescent="0.2">
      <c r="G1467" s="44"/>
      <c r="J1467" t="str">
        <f t="shared" si="44"/>
        <v/>
      </c>
      <c r="K1467" t="str">
        <f t="shared" si="45"/>
        <v/>
      </c>
    </row>
    <row r="1468" spans="7:11" x14ac:dyDescent="0.2">
      <c r="G1468" s="44"/>
      <c r="J1468" t="str">
        <f t="shared" si="44"/>
        <v/>
      </c>
      <c r="K1468" t="str">
        <f t="shared" si="45"/>
        <v/>
      </c>
    </row>
    <row r="1469" spans="7:11" x14ac:dyDescent="0.2">
      <c r="G1469" s="44"/>
      <c r="J1469" t="str">
        <f t="shared" si="44"/>
        <v/>
      </c>
      <c r="K1469" t="str">
        <f t="shared" si="45"/>
        <v/>
      </c>
    </row>
    <row r="1470" spans="7:11" x14ac:dyDescent="0.2">
      <c r="G1470" s="44"/>
      <c r="J1470" t="str">
        <f t="shared" si="44"/>
        <v/>
      </c>
      <c r="K1470" t="str">
        <f t="shared" si="45"/>
        <v/>
      </c>
    </row>
    <row r="1471" spans="7:11" x14ac:dyDescent="0.2">
      <c r="G1471" s="44"/>
      <c r="J1471" t="str">
        <f t="shared" si="44"/>
        <v/>
      </c>
      <c r="K1471" t="str">
        <f t="shared" si="45"/>
        <v/>
      </c>
    </row>
    <row r="1472" spans="7:11" x14ac:dyDescent="0.2">
      <c r="G1472" s="44"/>
      <c r="J1472" t="str">
        <f t="shared" si="44"/>
        <v/>
      </c>
      <c r="K1472" t="str">
        <f t="shared" si="45"/>
        <v/>
      </c>
    </row>
    <row r="1473" spans="7:11" x14ac:dyDescent="0.2">
      <c r="G1473" s="44"/>
      <c r="J1473" t="str">
        <f t="shared" si="44"/>
        <v/>
      </c>
      <c r="K1473" t="str">
        <f t="shared" si="45"/>
        <v/>
      </c>
    </row>
    <row r="1474" spans="7:11" x14ac:dyDescent="0.2">
      <c r="G1474" s="44"/>
      <c r="J1474" t="str">
        <f t="shared" ref="J1474:J1537" si="46">IF(E1474="","",IF(OR(E1474=50,E1474=51),"Iltindhold",IF(E1474=75,"Carbon,org,NVOC",IF(OR(E1474=343,E1474=1167),"Svovlbrinte",IF(OR(E1474=240,E1474=241,E1474=242),"Amm",IF(E1474=244,"Nitrit",IF(E1474=247,"Nitrat",IF(E1474=334,"Sulfat",IF(E1474=262,"Phosphor, total-P",F1474)))))))))</f>
        <v/>
      </c>
      <c r="K1474" t="str">
        <f t="shared" ref="K1474:K1537" si="47">IF(A1474="","",IF(H1474="!",NA(),IF(H1474="A",I1474*0.5,IF(H1474="&lt;",I1474*0.5,I1474))))</f>
        <v/>
      </c>
    </row>
    <row r="1475" spans="7:11" x14ac:dyDescent="0.2">
      <c r="G1475" s="44"/>
      <c r="J1475" t="str">
        <f t="shared" si="46"/>
        <v/>
      </c>
      <c r="K1475" t="str">
        <f t="shared" si="47"/>
        <v/>
      </c>
    </row>
    <row r="1476" spans="7:11" x14ac:dyDescent="0.2">
      <c r="G1476" s="44"/>
      <c r="J1476" t="str">
        <f t="shared" si="46"/>
        <v/>
      </c>
      <c r="K1476" t="str">
        <f t="shared" si="47"/>
        <v/>
      </c>
    </row>
    <row r="1477" spans="7:11" x14ac:dyDescent="0.2">
      <c r="G1477" s="44"/>
      <c r="J1477" t="str">
        <f t="shared" si="46"/>
        <v/>
      </c>
      <c r="K1477" t="str">
        <f t="shared" si="47"/>
        <v/>
      </c>
    </row>
    <row r="1478" spans="7:11" x14ac:dyDescent="0.2">
      <c r="G1478" s="44"/>
      <c r="J1478" t="str">
        <f t="shared" si="46"/>
        <v/>
      </c>
      <c r="K1478" t="str">
        <f t="shared" si="47"/>
        <v/>
      </c>
    </row>
    <row r="1479" spans="7:11" x14ac:dyDescent="0.2">
      <c r="G1479" s="44"/>
      <c r="J1479" t="str">
        <f t="shared" si="46"/>
        <v/>
      </c>
      <c r="K1479" t="str">
        <f t="shared" si="47"/>
        <v/>
      </c>
    </row>
    <row r="1480" spans="7:11" x14ac:dyDescent="0.2">
      <c r="G1480" s="44"/>
      <c r="J1480" t="str">
        <f t="shared" si="46"/>
        <v/>
      </c>
      <c r="K1480" t="str">
        <f t="shared" si="47"/>
        <v/>
      </c>
    </row>
    <row r="1481" spans="7:11" x14ac:dyDescent="0.2">
      <c r="G1481" s="44"/>
      <c r="J1481" t="str">
        <f t="shared" si="46"/>
        <v/>
      </c>
      <c r="K1481" t="str">
        <f t="shared" si="47"/>
        <v/>
      </c>
    </row>
    <row r="1482" spans="7:11" x14ac:dyDescent="0.2">
      <c r="G1482" s="44"/>
      <c r="J1482" t="str">
        <f t="shared" si="46"/>
        <v/>
      </c>
      <c r="K1482" t="str">
        <f t="shared" si="47"/>
        <v/>
      </c>
    </row>
    <row r="1483" spans="7:11" x14ac:dyDescent="0.2">
      <c r="G1483" s="44"/>
      <c r="J1483" t="str">
        <f t="shared" si="46"/>
        <v/>
      </c>
      <c r="K1483" t="str">
        <f t="shared" si="47"/>
        <v/>
      </c>
    </row>
    <row r="1484" spans="7:11" x14ac:dyDescent="0.2">
      <c r="G1484" s="44"/>
      <c r="J1484" t="str">
        <f t="shared" si="46"/>
        <v/>
      </c>
      <c r="K1484" t="str">
        <f t="shared" si="47"/>
        <v/>
      </c>
    </row>
    <row r="1485" spans="7:11" x14ac:dyDescent="0.2">
      <c r="G1485" s="44"/>
      <c r="J1485" t="str">
        <f t="shared" si="46"/>
        <v/>
      </c>
      <c r="K1485" t="str">
        <f t="shared" si="47"/>
        <v/>
      </c>
    </row>
    <row r="1486" spans="7:11" x14ac:dyDescent="0.2">
      <c r="G1486" s="44"/>
      <c r="J1486" t="str">
        <f t="shared" si="46"/>
        <v/>
      </c>
      <c r="K1486" t="str">
        <f t="shared" si="47"/>
        <v/>
      </c>
    </row>
    <row r="1487" spans="7:11" x14ac:dyDescent="0.2">
      <c r="G1487" s="44"/>
      <c r="J1487" t="str">
        <f t="shared" si="46"/>
        <v/>
      </c>
      <c r="K1487" t="str">
        <f t="shared" si="47"/>
        <v/>
      </c>
    </row>
    <row r="1488" spans="7:11" x14ac:dyDescent="0.2">
      <c r="G1488" s="44"/>
      <c r="J1488" t="str">
        <f t="shared" si="46"/>
        <v/>
      </c>
      <c r="K1488" t="str">
        <f t="shared" si="47"/>
        <v/>
      </c>
    </row>
    <row r="1489" spans="7:11" x14ac:dyDescent="0.2">
      <c r="G1489" s="44"/>
      <c r="J1489" t="str">
        <f t="shared" si="46"/>
        <v/>
      </c>
      <c r="K1489" t="str">
        <f t="shared" si="47"/>
        <v/>
      </c>
    </row>
    <row r="1490" spans="7:11" x14ac:dyDescent="0.2">
      <c r="G1490" s="44"/>
      <c r="J1490" t="str">
        <f t="shared" si="46"/>
        <v/>
      </c>
      <c r="K1490" t="str">
        <f t="shared" si="47"/>
        <v/>
      </c>
    </row>
    <row r="1491" spans="7:11" x14ac:dyDescent="0.2">
      <c r="G1491" s="44"/>
      <c r="J1491" t="str">
        <f t="shared" si="46"/>
        <v/>
      </c>
      <c r="K1491" t="str">
        <f t="shared" si="47"/>
        <v/>
      </c>
    </row>
    <row r="1492" spans="7:11" x14ac:dyDescent="0.2">
      <c r="G1492" s="44"/>
      <c r="J1492" t="str">
        <f t="shared" si="46"/>
        <v/>
      </c>
      <c r="K1492" t="str">
        <f t="shared" si="47"/>
        <v/>
      </c>
    </row>
    <row r="1493" spans="7:11" x14ac:dyDescent="0.2">
      <c r="G1493" s="44"/>
      <c r="J1493" t="str">
        <f t="shared" si="46"/>
        <v/>
      </c>
      <c r="K1493" t="str">
        <f t="shared" si="47"/>
        <v/>
      </c>
    </row>
    <row r="1494" spans="7:11" x14ac:dyDescent="0.2">
      <c r="G1494" s="44"/>
      <c r="J1494" t="str">
        <f t="shared" si="46"/>
        <v/>
      </c>
      <c r="K1494" t="str">
        <f t="shared" si="47"/>
        <v/>
      </c>
    </row>
    <row r="1495" spans="7:11" x14ac:dyDescent="0.2">
      <c r="G1495" s="44"/>
      <c r="J1495" t="str">
        <f t="shared" si="46"/>
        <v/>
      </c>
      <c r="K1495" t="str">
        <f t="shared" si="47"/>
        <v/>
      </c>
    </row>
    <row r="1496" spans="7:11" x14ac:dyDescent="0.2">
      <c r="G1496" s="44"/>
      <c r="J1496" t="str">
        <f t="shared" si="46"/>
        <v/>
      </c>
      <c r="K1496" t="str">
        <f t="shared" si="47"/>
        <v/>
      </c>
    </row>
    <row r="1497" spans="7:11" x14ac:dyDescent="0.2">
      <c r="G1497" s="44"/>
      <c r="J1497" t="str">
        <f t="shared" si="46"/>
        <v/>
      </c>
      <c r="K1497" t="str">
        <f t="shared" si="47"/>
        <v/>
      </c>
    </row>
    <row r="1498" spans="7:11" x14ac:dyDescent="0.2">
      <c r="G1498" s="44"/>
      <c r="J1498" t="str">
        <f t="shared" si="46"/>
        <v/>
      </c>
      <c r="K1498" t="str">
        <f t="shared" si="47"/>
        <v/>
      </c>
    </row>
    <row r="1499" spans="7:11" x14ac:dyDescent="0.2">
      <c r="G1499" s="44"/>
      <c r="J1499" t="str">
        <f t="shared" si="46"/>
        <v/>
      </c>
      <c r="K1499" t="str">
        <f t="shared" si="47"/>
        <v/>
      </c>
    </row>
    <row r="1500" spans="7:11" x14ac:dyDescent="0.2">
      <c r="G1500" s="44"/>
      <c r="J1500" t="str">
        <f t="shared" si="46"/>
        <v/>
      </c>
      <c r="K1500" t="str">
        <f t="shared" si="47"/>
        <v/>
      </c>
    </row>
    <row r="1501" spans="7:11" x14ac:dyDescent="0.2">
      <c r="G1501" s="44"/>
      <c r="J1501" t="str">
        <f t="shared" si="46"/>
        <v/>
      </c>
      <c r="K1501" t="str">
        <f t="shared" si="47"/>
        <v/>
      </c>
    </row>
    <row r="1502" spans="7:11" x14ac:dyDescent="0.2">
      <c r="G1502" s="44"/>
      <c r="J1502" t="str">
        <f t="shared" si="46"/>
        <v/>
      </c>
      <c r="K1502" t="str">
        <f t="shared" si="47"/>
        <v/>
      </c>
    </row>
    <row r="1503" spans="7:11" x14ac:dyDescent="0.2">
      <c r="G1503" s="44"/>
      <c r="J1503" t="str">
        <f t="shared" si="46"/>
        <v/>
      </c>
      <c r="K1503" t="str">
        <f t="shared" si="47"/>
        <v/>
      </c>
    </row>
    <row r="1504" spans="7:11" x14ac:dyDescent="0.2">
      <c r="G1504" s="44"/>
      <c r="J1504" t="str">
        <f t="shared" si="46"/>
        <v/>
      </c>
      <c r="K1504" t="str">
        <f t="shared" si="47"/>
        <v/>
      </c>
    </row>
    <row r="1505" spans="7:11" x14ac:dyDescent="0.2">
      <c r="G1505" s="44"/>
      <c r="J1505" t="str">
        <f t="shared" si="46"/>
        <v/>
      </c>
      <c r="K1505" t="str">
        <f t="shared" si="47"/>
        <v/>
      </c>
    </row>
    <row r="1506" spans="7:11" x14ac:dyDescent="0.2">
      <c r="G1506" s="44"/>
      <c r="J1506" t="str">
        <f t="shared" si="46"/>
        <v/>
      </c>
      <c r="K1506" t="str">
        <f t="shared" si="47"/>
        <v/>
      </c>
    </row>
    <row r="1507" spans="7:11" x14ac:dyDescent="0.2">
      <c r="G1507" s="44"/>
      <c r="J1507" t="str">
        <f t="shared" si="46"/>
        <v/>
      </c>
      <c r="K1507" t="str">
        <f t="shared" si="47"/>
        <v/>
      </c>
    </row>
    <row r="1508" spans="7:11" x14ac:dyDescent="0.2">
      <c r="G1508" s="44"/>
      <c r="J1508" t="str">
        <f t="shared" si="46"/>
        <v/>
      </c>
      <c r="K1508" t="str">
        <f t="shared" si="47"/>
        <v/>
      </c>
    </row>
    <row r="1509" spans="7:11" x14ac:dyDescent="0.2">
      <c r="G1509" s="44"/>
      <c r="J1509" t="str">
        <f t="shared" si="46"/>
        <v/>
      </c>
      <c r="K1509" t="str">
        <f t="shared" si="47"/>
        <v/>
      </c>
    </row>
    <row r="1510" spans="7:11" x14ac:dyDescent="0.2">
      <c r="G1510" s="44"/>
      <c r="J1510" t="str">
        <f t="shared" si="46"/>
        <v/>
      </c>
      <c r="K1510" t="str">
        <f t="shared" si="47"/>
        <v/>
      </c>
    </row>
    <row r="1511" spans="7:11" x14ac:dyDescent="0.2">
      <c r="G1511" s="44"/>
      <c r="J1511" t="str">
        <f t="shared" si="46"/>
        <v/>
      </c>
      <c r="K1511" t="str">
        <f t="shared" si="47"/>
        <v/>
      </c>
    </row>
    <row r="1512" spans="7:11" x14ac:dyDescent="0.2">
      <c r="G1512" s="44"/>
      <c r="J1512" t="str">
        <f t="shared" si="46"/>
        <v/>
      </c>
      <c r="K1512" t="str">
        <f t="shared" si="47"/>
        <v/>
      </c>
    </row>
    <row r="1513" spans="7:11" x14ac:dyDescent="0.2">
      <c r="G1513" s="44"/>
      <c r="J1513" t="str">
        <f t="shared" si="46"/>
        <v/>
      </c>
      <c r="K1513" t="str">
        <f t="shared" si="47"/>
        <v/>
      </c>
    </row>
    <row r="1514" spans="7:11" x14ac:dyDescent="0.2">
      <c r="G1514" s="44"/>
      <c r="J1514" t="str">
        <f t="shared" si="46"/>
        <v/>
      </c>
      <c r="K1514" t="str">
        <f t="shared" si="47"/>
        <v/>
      </c>
    </row>
    <row r="1515" spans="7:11" x14ac:dyDescent="0.2">
      <c r="G1515" s="44"/>
      <c r="J1515" t="str">
        <f t="shared" si="46"/>
        <v/>
      </c>
      <c r="K1515" t="str">
        <f t="shared" si="47"/>
        <v/>
      </c>
    </row>
    <row r="1516" spans="7:11" x14ac:dyDescent="0.2">
      <c r="G1516" s="44"/>
      <c r="J1516" t="str">
        <f t="shared" si="46"/>
        <v/>
      </c>
      <c r="K1516" t="str">
        <f t="shared" si="47"/>
        <v/>
      </c>
    </row>
    <row r="1517" spans="7:11" x14ac:dyDescent="0.2">
      <c r="G1517" s="44"/>
      <c r="J1517" t="str">
        <f t="shared" si="46"/>
        <v/>
      </c>
      <c r="K1517" t="str">
        <f t="shared" si="47"/>
        <v/>
      </c>
    </row>
    <row r="1518" spans="7:11" x14ac:dyDescent="0.2">
      <c r="G1518" s="44"/>
      <c r="J1518" t="str">
        <f t="shared" si="46"/>
        <v/>
      </c>
      <c r="K1518" t="str">
        <f t="shared" si="47"/>
        <v/>
      </c>
    </row>
    <row r="1519" spans="7:11" x14ac:dyDescent="0.2">
      <c r="G1519" s="44"/>
      <c r="J1519" t="str">
        <f t="shared" si="46"/>
        <v/>
      </c>
      <c r="K1519" t="str">
        <f t="shared" si="47"/>
        <v/>
      </c>
    </row>
    <row r="1520" spans="7:11" x14ac:dyDescent="0.2">
      <c r="G1520" s="44"/>
      <c r="J1520" t="str">
        <f t="shared" si="46"/>
        <v/>
      </c>
      <c r="K1520" t="str">
        <f t="shared" si="47"/>
        <v/>
      </c>
    </row>
    <row r="1521" spans="7:11" x14ac:dyDescent="0.2">
      <c r="G1521" s="44"/>
      <c r="J1521" t="str">
        <f t="shared" si="46"/>
        <v/>
      </c>
      <c r="K1521" t="str">
        <f t="shared" si="47"/>
        <v/>
      </c>
    </row>
    <row r="1522" spans="7:11" x14ac:dyDescent="0.2">
      <c r="G1522" s="44"/>
      <c r="J1522" t="str">
        <f t="shared" si="46"/>
        <v/>
      </c>
      <c r="K1522" t="str">
        <f t="shared" si="47"/>
        <v/>
      </c>
    </row>
    <row r="1523" spans="7:11" x14ac:dyDescent="0.2">
      <c r="G1523" s="44"/>
      <c r="J1523" t="str">
        <f t="shared" si="46"/>
        <v/>
      </c>
      <c r="K1523" t="str">
        <f t="shared" si="47"/>
        <v/>
      </c>
    </row>
    <row r="1524" spans="7:11" x14ac:dyDescent="0.2">
      <c r="G1524" s="44"/>
      <c r="J1524" t="str">
        <f t="shared" si="46"/>
        <v/>
      </c>
      <c r="K1524" t="str">
        <f t="shared" si="47"/>
        <v/>
      </c>
    </row>
    <row r="1525" spans="7:11" x14ac:dyDescent="0.2">
      <c r="G1525" s="44"/>
      <c r="J1525" t="str">
        <f t="shared" si="46"/>
        <v/>
      </c>
      <c r="K1525" t="str">
        <f t="shared" si="47"/>
        <v/>
      </c>
    </row>
    <row r="1526" spans="7:11" x14ac:dyDescent="0.2">
      <c r="G1526" s="44"/>
      <c r="J1526" t="str">
        <f t="shared" si="46"/>
        <v/>
      </c>
      <c r="K1526" t="str">
        <f t="shared" si="47"/>
        <v/>
      </c>
    </row>
    <row r="1527" spans="7:11" x14ac:dyDescent="0.2">
      <c r="G1527" s="44"/>
      <c r="J1527" t="str">
        <f t="shared" si="46"/>
        <v/>
      </c>
      <c r="K1527" t="str">
        <f t="shared" si="47"/>
        <v/>
      </c>
    </row>
    <row r="1528" spans="7:11" x14ac:dyDescent="0.2">
      <c r="G1528" s="44"/>
      <c r="J1528" t="str">
        <f t="shared" si="46"/>
        <v/>
      </c>
      <c r="K1528" t="str">
        <f t="shared" si="47"/>
        <v/>
      </c>
    </row>
    <row r="1529" spans="7:11" x14ac:dyDescent="0.2">
      <c r="G1529" s="44"/>
      <c r="J1529" t="str">
        <f t="shared" si="46"/>
        <v/>
      </c>
      <c r="K1529" t="str">
        <f t="shared" si="47"/>
        <v/>
      </c>
    </row>
    <row r="1530" spans="7:11" x14ac:dyDescent="0.2">
      <c r="G1530" s="44"/>
      <c r="J1530" t="str">
        <f t="shared" si="46"/>
        <v/>
      </c>
      <c r="K1530" t="str">
        <f t="shared" si="47"/>
        <v/>
      </c>
    </row>
    <row r="1531" spans="7:11" x14ac:dyDescent="0.2">
      <c r="G1531" s="44"/>
      <c r="J1531" t="str">
        <f t="shared" si="46"/>
        <v/>
      </c>
      <c r="K1531" t="str">
        <f t="shared" si="47"/>
        <v/>
      </c>
    </row>
    <row r="1532" spans="7:11" x14ac:dyDescent="0.2">
      <c r="G1532" s="44"/>
      <c r="J1532" t="str">
        <f t="shared" si="46"/>
        <v/>
      </c>
      <c r="K1532" t="str">
        <f t="shared" si="47"/>
        <v/>
      </c>
    </row>
    <row r="1533" spans="7:11" x14ac:dyDescent="0.2">
      <c r="G1533" s="44"/>
      <c r="J1533" t="str">
        <f t="shared" si="46"/>
        <v/>
      </c>
      <c r="K1533" t="str">
        <f t="shared" si="47"/>
        <v/>
      </c>
    </row>
    <row r="1534" spans="7:11" x14ac:dyDescent="0.2">
      <c r="G1534" s="44"/>
      <c r="J1534" t="str">
        <f t="shared" si="46"/>
        <v/>
      </c>
      <c r="K1534" t="str">
        <f t="shared" si="47"/>
        <v/>
      </c>
    </row>
    <row r="1535" spans="7:11" x14ac:dyDescent="0.2">
      <c r="G1535" s="44"/>
      <c r="J1535" t="str">
        <f t="shared" si="46"/>
        <v/>
      </c>
      <c r="K1535" t="str">
        <f t="shared" si="47"/>
        <v/>
      </c>
    </row>
    <row r="1536" spans="7:11" x14ac:dyDescent="0.2">
      <c r="G1536" s="44"/>
      <c r="J1536" t="str">
        <f t="shared" si="46"/>
        <v/>
      </c>
      <c r="K1536" t="str">
        <f t="shared" si="47"/>
        <v/>
      </c>
    </row>
    <row r="1537" spans="7:11" x14ac:dyDescent="0.2">
      <c r="G1537" s="44"/>
      <c r="J1537" t="str">
        <f t="shared" si="46"/>
        <v/>
      </c>
      <c r="K1537" t="str">
        <f t="shared" si="47"/>
        <v/>
      </c>
    </row>
    <row r="1538" spans="7:11" x14ac:dyDescent="0.2">
      <c r="G1538" s="44"/>
      <c r="J1538" t="str">
        <f t="shared" ref="J1538:J1601" si="48">IF(E1538="","",IF(OR(E1538=50,E1538=51),"Iltindhold",IF(E1538=75,"Carbon,org,NVOC",IF(OR(E1538=343,E1538=1167),"Svovlbrinte",IF(OR(E1538=240,E1538=241,E1538=242),"Amm",IF(E1538=244,"Nitrit",IF(E1538=247,"Nitrat",IF(E1538=334,"Sulfat",IF(E1538=262,"Phosphor, total-P",F1538)))))))))</f>
        <v/>
      </c>
      <c r="K1538" t="str">
        <f t="shared" ref="K1538:K1601" si="49">IF(A1538="","",IF(H1538="!",NA(),IF(H1538="A",I1538*0.5,IF(H1538="&lt;",I1538*0.5,I1538))))</f>
        <v/>
      </c>
    </row>
    <row r="1539" spans="7:11" x14ac:dyDescent="0.2">
      <c r="G1539" s="44"/>
      <c r="J1539" t="str">
        <f t="shared" si="48"/>
        <v/>
      </c>
      <c r="K1539" t="str">
        <f t="shared" si="49"/>
        <v/>
      </c>
    </row>
    <row r="1540" spans="7:11" x14ac:dyDescent="0.2">
      <c r="G1540" s="44"/>
      <c r="J1540" t="str">
        <f t="shared" si="48"/>
        <v/>
      </c>
      <c r="K1540" t="str">
        <f t="shared" si="49"/>
        <v/>
      </c>
    </row>
    <row r="1541" spans="7:11" x14ac:dyDescent="0.2">
      <c r="G1541" s="44"/>
      <c r="J1541" t="str">
        <f t="shared" si="48"/>
        <v/>
      </c>
      <c r="K1541" t="str">
        <f t="shared" si="49"/>
        <v/>
      </c>
    </row>
    <row r="1542" spans="7:11" x14ac:dyDescent="0.2">
      <c r="G1542" s="44"/>
      <c r="J1542" t="str">
        <f t="shared" si="48"/>
        <v/>
      </c>
      <c r="K1542" t="str">
        <f t="shared" si="49"/>
        <v/>
      </c>
    </row>
    <row r="1543" spans="7:11" x14ac:dyDescent="0.2">
      <c r="G1543" s="44"/>
      <c r="J1543" t="str">
        <f t="shared" si="48"/>
        <v/>
      </c>
      <c r="K1543" t="str">
        <f t="shared" si="49"/>
        <v/>
      </c>
    </row>
    <row r="1544" spans="7:11" x14ac:dyDescent="0.2">
      <c r="G1544" s="44"/>
      <c r="J1544" t="str">
        <f t="shared" si="48"/>
        <v/>
      </c>
      <c r="K1544" t="str">
        <f t="shared" si="49"/>
        <v/>
      </c>
    </row>
    <row r="1545" spans="7:11" x14ac:dyDescent="0.2">
      <c r="G1545" s="44"/>
      <c r="J1545" t="str">
        <f t="shared" si="48"/>
        <v/>
      </c>
      <c r="K1545" t="str">
        <f t="shared" si="49"/>
        <v/>
      </c>
    </row>
    <row r="1546" spans="7:11" x14ac:dyDescent="0.2">
      <c r="G1546" s="44"/>
      <c r="J1546" t="str">
        <f t="shared" si="48"/>
        <v/>
      </c>
      <c r="K1546" t="str">
        <f t="shared" si="49"/>
        <v/>
      </c>
    </row>
    <row r="1547" spans="7:11" x14ac:dyDescent="0.2">
      <c r="G1547" s="44"/>
      <c r="J1547" t="str">
        <f t="shared" si="48"/>
        <v/>
      </c>
      <c r="K1547" t="str">
        <f t="shared" si="49"/>
        <v/>
      </c>
    </row>
    <row r="1548" spans="7:11" x14ac:dyDescent="0.2">
      <c r="G1548" s="44"/>
      <c r="J1548" t="str">
        <f t="shared" si="48"/>
        <v/>
      </c>
      <c r="K1548" t="str">
        <f t="shared" si="49"/>
        <v/>
      </c>
    </row>
    <row r="1549" spans="7:11" x14ac:dyDescent="0.2">
      <c r="G1549" s="44"/>
      <c r="J1549" t="str">
        <f t="shared" si="48"/>
        <v/>
      </c>
      <c r="K1549" t="str">
        <f t="shared" si="49"/>
        <v/>
      </c>
    </row>
    <row r="1550" spans="7:11" x14ac:dyDescent="0.2">
      <c r="G1550" s="44"/>
      <c r="J1550" t="str">
        <f t="shared" si="48"/>
        <v/>
      </c>
      <c r="K1550" t="str">
        <f t="shared" si="49"/>
        <v/>
      </c>
    </row>
    <row r="1551" spans="7:11" x14ac:dyDescent="0.2">
      <c r="G1551" s="44"/>
      <c r="J1551" t="str">
        <f t="shared" si="48"/>
        <v/>
      </c>
      <c r="K1551" t="str">
        <f t="shared" si="49"/>
        <v/>
      </c>
    </row>
    <row r="1552" spans="7:11" x14ac:dyDescent="0.2">
      <c r="G1552" s="44"/>
      <c r="J1552" t="str">
        <f t="shared" si="48"/>
        <v/>
      </c>
      <c r="K1552" t="str">
        <f t="shared" si="49"/>
        <v/>
      </c>
    </row>
    <row r="1553" spans="7:11" x14ac:dyDescent="0.2">
      <c r="G1553" s="44"/>
      <c r="J1553" t="str">
        <f t="shared" si="48"/>
        <v/>
      </c>
      <c r="K1553" t="str">
        <f t="shared" si="49"/>
        <v/>
      </c>
    </row>
    <row r="1554" spans="7:11" x14ac:dyDescent="0.2">
      <c r="G1554" s="44"/>
      <c r="J1554" t="str">
        <f t="shared" si="48"/>
        <v/>
      </c>
      <c r="K1554" t="str">
        <f t="shared" si="49"/>
        <v/>
      </c>
    </row>
    <row r="1555" spans="7:11" x14ac:dyDescent="0.2">
      <c r="G1555" s="44"/>
      <c r="J1555" t="str">
        <f t="shared" si="48"/>
        <v/>
      </c>
      <c r="K1555" t="str">
        <f t="shared" si="49"/>
        <v/>
      </c>
    </row>
    <row r="1556" spans="7:11" x14ac:dyDescent="0.2">
      <c r="G1556" s="44"/>
      <c r="J1556" t="str">
        <f t="shared" si="48"/>
        <v/>
      </c>
      <c r="K1556" t="str">
        <f t="shared" si="49"/>
        <v/>
      </c>
    </row>
    <row r="1557" spans="7:11" x14ac:dyDescent="0.2">
      <c r="G1557" s="44"/>
      <c r="J1557" t="str">
        <f t="shared" si="48"/>
        <v/>
      </c>
      <c r="K1557" t="str">
        <f t="shared" si="49"/>
        <v/>
      </c>
    </row>
    <row r="1558" spans="7:11" x14ac:dyDescent="0.2">
      <c r="G1558" s="44"/>
      <c r="J1558" t="str">
        <f t="shared" si="48"/>
        <v/>
      </c>
      <c r="K1558" t="str">
        <f t="shared" si="49"/>
        <v/>
      </c>
    </row>
    <row r="1559" spans="7:11" x14ac:dyDescent="0.2">
      <c r="G1559" s="44"/>
      <c r="J1559" t="str">
        <f t="shared" si="48"/>
        <v/>
      </c>
      <c r="K1559" t="str">
        <f t="shared" si="49"/>
        <v/>
      </c>
    </row>
    <row r="1560" spans="7:11" x14ac:dyDescent="0.2">
      <c r="G1560" s="44"/>
      <c r="J1560" t="str">
        <f t="shared" si="48"/>
        <v/>
      </c>
      <c r="K1560" t="str">
        <f t="shared" si="49"/>
        <v/>
      </c>
    </row>
    <row r="1561" spans="7:11" x14ac:dyDescent="0.2">
      <c r="G1561" s="44"/>
      <c r="J1561" t="str">
        <f t="shared" si="48"/>
        <v/>
      </c>
      <c r="K1561" t="str">
        <f t="shared" si="49"/>
        <v/>
      </c>
    </row>
    <row r="1562" spans="7:11" x14ac:dyDescent="0.2">
      <c r="G1562" s="44"/>
      <c r="J1562" t="str">
        <f t="shared" si="48"/>
        <v/>
      </c>
      <c r="K1562" t="str">
        <f t="shared" si="49"/>
        <v/>
      </c>
    </row>
    <row r="1563" spans="7:11" x14ac:dyDescent="0.2">
      <c r="G1563" s="44"/>
      <c r="J1563" t="str">
        <f t="shared" si="48"/>
        <v/>
      </c>
      <c r="K1563" t="str">
        <f t="shared" si="49"/>
        <v/>
      </c>
    </row>
    <row r="1564" spans="7:11" x14ac:dyDescent="0.2">
      <c r="G1564" s="44"/>
      <c r="J1564" t="str">
        <f t="shared" si="48"/>
        <v/>
      </c>
      <c r="K1564" t="str">
        <f t="shared" si="49"/>
        <v/>
      </c>
    </row>
    <row r="1565" spans="7:11" x14ac:dyDescent="0.2">
      <c r="G1565" s="44"/>
      <c r="J1565" t="str">
        <f t="shared" si="48"/>
        <v/>
      </c>
      <c r="K1565" t="str">
        <f t="shared" si="49"/>
        <v/>
      </c>
    </row>
    <row r="1566" spans="7:11" x14ac:dyDescent="0.2">
      <c r="G1566" s="44"/>
      <c r="J1566" t="str">
        <f t="shared" si="48"/>
        <v/>
      </c>
      <c r="K1566" t="str">
        <f t="shared" si="49"/>
        <v/>
      </c>
    </row>
    <row r="1567" spans="7:11" x14ac:dyDescent="0.2">
      <c r="G1567" s="44"/>
      <c r="J1567" t="str">
        <f t="shared" si="48"/>
        <v/>
      </c>
      <c r="K1567" t="str">
        <f t="shared" si="49"/>
        <v/>
      </c>
    </row>
    <row r="1568" spans="7:11" x14ac:dyDescent="0.2">
      <c r="G1568" s="44"/>
      <c r="J1568" t="str">
        <f t="shared" si="48"/>
        <v/>
      </c>
      <c r="K1568" t="str">
        <f t="shared" si="49"/>
        <v/>
      </c>
    </row>
    <row r="1569" spans="7:11" x14ac:dyDescent="0.2">
      <c r="G1569" s="44"/>
      <c r="J1569" t="str">
        <f t="shared" si="48"/>
        <v/>
      </c>
      <c r="K1569" t="str">
        <f t="shared" si="49"/>
        <v/>
      </c>
    </row>
    <row r="1570" spans="7:11" x14ac:dyDescent="0.2">
      <c r="G1570" s="44"/>
      <c r="J1570" t="str">
        <f t="shared" si="48"/>
        <v/>
      </c>
      <c r="K1570" t="str">
        <f t="shared" si="49"/>
        <v/>
      </c>
    </row>
    <row r="1571" spans="7:11" x14ac:dyDescent="0.2">
      <c r="G1571" s="44"/>
      <c r="J1571" t="str">
        <f t="shared" si="48"/>
        <v/>
      </c>
      <c r="K1571" t="str">
        <f t="shared" si="49"/>
        <v/>
      </c>
    </row>
    <row r="1572" spans="7:11" x14ac:dyDescent="0.2">
      <c r="G1572" s="44"/>
      <c r="J1572" t="str">
        <f t="shared" si="48"/>
        <v/>
      </c>
      <c r="K1572" t="str">
        <f t="shared" si="49"/>
        <v/>
      </c>
    </row>
    <row r="1573" spans="7:11" x14ac:dyDescent="0.2">
      <c r="G1573" s="44"/>
      <c r="J1573" t="str">
        <f t="shared" si="48"/>
        <v/>
      </c>
      <c r="K1573" t="str">
        <f t="shared" si="49"/>
        <v/>
      </c>
    </row>
    <row r="1574" spans="7:11" x14ac:dyDescent="0.2">
      <c r="G1574" s="44"/>
      <c r="J1574" t="str">
        <f t="shared" si="48"/>
        <v/>
      </c>
      <c r="K1574" t="str">
        <f t="shared" si="49"/>
        <v/>
      </c>
    </row>
    <row r="1575" spans="7:11" x14ac:dyDescent="0.2">
      <c r="G1575" s="44"/>
      <c r="J1575" t="str">
        <f t="shared" si="48"/>
        <v/>
      </c>
      <c r="K1575" t="str">
        <f t="shared" si="49"/>
        <v/>
      </c>
    </row>
    <row r="1576" spans="7:11" x14ac:dyDescent="0.2">
      <c r="G1576" s="44"/>
      <c r="J1576" t="str">
        <f t="shared" si="48"/>
        <v/>
      </c>
      <c r="K1576" t="str">
        <f t="shared" si="49"/>
        <v/>
      </c>
    </row>
    <row r="1577" spans="7:11" x14ac:dyDescent="0.2">
      <c r="G1577" s="44"/>
      <c r="J1577" t="str">
        <f t="shared" si="48"/>
        <v/>
      </c>
      <c r="K1577" t="str">
        <f t="shared" si="49"/>
        <v/>
      </c>
    </row>
    <row r="1578" spans="7:11" x14ac:dyDescent="0.2">
      <c r="G1578" s="44"/>
      <c r="J1578" t="str">
        <f t="shared" si="48"/>
        <v/>
      </c>
      <c r="K1578" t="str">
        <f t="shared" si="49"/>
        <v/>
      </c>
    </row>
    <row r="1579" spans="7:11" x14ac:dyDescent="0.2">
      <c r="G1579" s="44"/>
      <c r="J1579" t="str">
        <f t="shared" si="48"/>
        <v/>
      </c>
      <c r="K1579" t="str">
        <f t="shared" si="49"/>
        <v/>
      </c>
    </row>
    <row r="1580" spans="7:11" x14ac:dyDescent="0.2">
      <c r="G1580" s="44"/>
      <c r="J1580" t="str">
        <f t="shared" si="48"/>
        <v/>
      </c>
      <c r="K1580" t="str">
        <f t="shared" si="49"/>
        <v/>
      </c>
    </row>
    <row r="1581" spans="7:11" x14ac:dyDescent="0.2">
      <c r="G1581" s="44"/>
      <c r="J1581" t="str">
        <f t="shared" si="48"/>
        <v/>
      </c>
      <c r="K1581" t="str">
        <f t="shared" si="49"/>
        <v/>
      </c>
    </row>
    <row r="1582" spans="7:11" x14ac:dyDescent="0.2">
      <c r="G1582" s="44"/>
      <c r="J1582" t="str">
        <f t="shared" si="48"/>
        <v/>
      </c>
      <c r="K1582" t="str">
        <f t="shared" si="49"/>
        <v/>
      </c>
    </row>
    <row r="1583" spans="7:11" x14ac:dyDescent="0.2">
      <c r="G1583" s="44"/>
      <c r="J1583" t="str">
        <f t="shared" si="48"/>
        <v/>
      </c>
      <c r="K1583" t="str">
        <f t="shared" si="49"/>
        <v/>
      </c>
    </row>
    <row r="1584" spans="7:11" x14ac:dyDescent="0.2">
      <c r="G1584" s="44"/>
      <c r="J1584" t="str">
        <f t="shared" si="48"/>
        <v/>
      </c>
      <c r="K1584" t="str">
        <f t="shared" si="49"/>
        <v/>
      </c>
    </row>
    <row r="1585" spans="7:11" x14ac:dyDescent="0.2">
      <c r="G1585" s="44"/>
      <c r="J1585" t="str">
        <f t="shared" si="48"/>
        <v/>
      </c>
      <c r="K1585" t="str">
        <f t="shared" si="49"/>
        <v/>
      </c>
    </row>
    <row r="1586" spans="7:11" x14ac:dyDescent="0.2">
      <c r="G1586" s="44"/>
      <c r="J1586" t="str">
        <f t="shared" si="48"/>
        <v/>
      </c>
      <c r="K1586" t="str">
        <f t="shared" si="49"/>
        <v/>
      </c>
    </row>
    <row r="1587" spans="7:11" x14ac:dyDescent="0.2">
      <c r="G1587" s="44"/>
      <c r="J1587" t="str">
        <f t="shared" si="48"/>
        <v/>
      </c>
      <c r="K1587" t="str">
        <f t="shared" si="49"/>
        <v/>
      </c>
    </row>
    <row r="1588" spans="7:11" x14ac:dyDescent="0.2">
      <c r="G1588" s="44"/>
      <c r="J1588" t="str">
        <f t="shared" si="48"/>
        <v/>
      </c>
      <c r="K1588" t="str">
        <f t="shared" si="49"/>
        <v/>
      </c>
    </row>
    <row r="1589" spans="7:11" x14ac:dyDescent="0.2">
      <c r="G1589" s="44"/>
      <c r="J1589" t="str">
        <f t="shared" si="48"/>
        <v/>
      </c>
      <c r="K1589" t="str">
        <f t="shared" si="49"/>
        <v/>
      </c>
    </row>
    <row r="1590" spans="7:11" x14ac:dyDescent="0.2">
      <c r="G1590" s="44"/>
      <c r="J1590" t="str">
        <f t="shared" si="48"/>
        <v/>
      </c>
      <c r="K1590" t="str">
        <f t="shared" si="49"/>
        <v/>
      </c>
    </row>
    <row r="1591" spans="7:11" x14ac:dyDescent="0.2">
      <c r="G1591" s="44"/>
      <c r="J1591" t="str">
        <f t="shared" si="48"/>
        <v/>
      </c>
      <c r="K1591" t="str">
        <f t="shared" si="49"/>
        <v/>
      </c>
    </row>
    <row r="1592" spans="7:11" x14ac:dyDescent="0.2">
      <c r="G1592" s="44"/>
      <c r="J1592" t="str">
        <f t="shared" si="48"/>
        <v/>
      </c>
      <c r="K1592" t="str">
        <f t="shared" si="49"/>
        <v/>
      </c>
    </row>
    <row r="1593" spans="7:11" x14ac:dyDescent="0.2">
      <c r="G1593" s="44"/>
      <c r="J1593" t="str">
        <f t="shared" si="48"/>
        <v/>
      </c>
      <c r="K1593" t="str">
        <f t="shared" si="49"/>
        <v/>
      </c>
    </row>
    <row r="1594" spans="7:11" x14ac:dyDescent="0.2">
      <c r="G1594" s="44"/>
      <c r="J1594" t="str">
        <f t="shared" si="48"/>
        <v/>
      </c>
      <c r="K1594" t="str">
        <f t="shared" si="49"/>
        <v/>
      </c>
    </row>
    <row r="1595" spans="7:11" x14ac:dyDescent="0.2">
      <c r="G1595" s="44"/>
      <c r="J1595" t="str">
        <f t="shared" si="48"/>
        <v/>
      </c>
      <c r="K1595" t="str">
        <f t="shared" si="49"/>
        <v/>
      </c>
    </row>
    <row r="1596" spans="7:11" x14ac:dyDescent="0.2">
      <c r="G1596" s="44"/>
      <c r="J1596" t="str">
        <f t="shared" si="48"/>
        <v/>
      </c>
      <c r="K1596" t="str">
        <f t="shared" si="49"/>
        <v/>
      </c>
    </row>
    <row r="1597" spans="7:11" x14ac:dyDescent="0.2">
      <c r="G1597" s="44"/>
      <c r="J1597" t="str">
        <f t="shared" si="48"/>
        <v/>
      </c>
      <c r="K1597" t="str">
        <f t="shared" si="49"/>
        <v/>
      </c>
    </row>
    <row r="1598" spans="7:11" x14ac:dyDescent="0.2">
      <c r="G1598" s="44"/>
      <c r="J1598" t="str">
        <f t="shared" si="48"/>
        <v/>
      </c>
      <c r="K1598" t="str">
        <f t="shared" si="49"/>
        <v/>
      </c>
    </row>
    <row r="1599" spans="7:11" x14ac:dyDescent="0.2">
      <c r="G1599" s="44"/>
      <c r="J1599" t="str">
        <f t="shared" si="48"/>
        <v/>
      </c>
      <c r="K1599" t="str">
        <f t="shared" si="49"/>
        <v/>
      </c>
    </row>
    <row r="1600" spans="7:11" x14ac:dyDescent="0.2">
      <c r="G1600" s="44"/>
      <c r="J1600" t="str">
        <f t="shared" si="48"/>
        <v/>
      </c>
      <c r="K1600" t="str">
        <f t="shared" si="49"/>
        <v/>
      </c>
    </row>
    <row r="1601" spans="7:11" x14ac:dyDescent="0.2">
      <c r="G1601" s="44"/>
      <c r="J1601" t="str">
        <f t="shared" si="48"/>
        <v/>
      </c>
      <c r="K1601" t="str">
        <f t="shared" si="49"/>
        <v/>
      </c>
    </row>
    <row r="1602" spans="7:11" x14ac:dyDescent="0.2">
      <c r="G1602" s="44"/>
      <c r="J1602" t="str">
        <f t="shared" ref="J1602:J1665" si="50">IF(E1602="","",IF(OR(E1602=50,E1602=51),"Iltindhold",IF(E1602=75,"Carbon,org,NVOC",IF(OR(E1602=343,E1602=1167),"Svovlbrinte",IF(OR(E1602=240,E1602=241,E1602=242),"Amm",IF(E1602=244,"Nitrit",IF(E1602=247,"Nitrat",IF(E1602=334,"Sulfat",IF(E1602=262,"Phosphor, total-P",F1602)))))))))</f>
        <v/>
      </c>
      <c r="K1602" t="str">
        <f t="shared" ref="K1602:K1665" si="51">IF(A1602="","",IF(H1602="!",NA(),IF(H1602="A",I1602*0.5,IF(H1602="&lt;",I1602*0.5,I1602))))</f>
        <v/>
      </c>
    </row>
    <row r="1603" spans="7:11" x14ac:dyDescent="0.2">
      <c r="G1603" s="44"/>
      <c r="J1603" t="str">
        <f t="shared" si="50"/>
        <v/>
      </c>
      <c r="K1603" t="str">
        <f t="shared" si="51"/>
        <v/>
      </c>
    </row>
    <row r="1604" spans="7:11" x14ac:dyDescent="0.2">
      <c r="G1604" s="44"/>
      <c r="J1604" t="str">
        <f t="shared" si="50"/>
        <v/>
      </c>
      <c r="K1604" t="str">
        <f t="shared" si="51"/>
        <v/>
      </c>
    </row>
    <row r="1605" spans="7:11" x14ac:dyDescent="0.2">
      <c r="G1605" s="44"/>
      <c r="J1605" t="str">
        <f t="shared" si="50"/>
        <v/>
      </c>
      <c r="K1605" t="str">
        <f t="shared" si="51"/>
        <v/>
      </c>
    </row>
    <row r="1606" spans="7:11" x14ac:dyDescent="0.2">
      <c r="G1606" s="44"/>
      <c r="J1606" t="str">
        <f t="shared" si="50"/>
        <v/>
      </c>
      <c r="K1606" t="str">
        <f t="shared" si="51"/>
        <v/>
      </c>
    </row>
    <row r="1607" spans="7:11" x14ac:dyDescent="0.2">
      <c r="G1607" s="44"/>
      <c r="J1607" t="str">
        <f t="shared" si="50"/>
        <v/>
      </c>
      <c r="K1607" t="str">
        <f t="shared" si="51"/>
        <v/>
      </c>
    </row>
    <row r="1608" spans="7:11" x14ac:dyDescent="0.2">
      <c r="G1608" s="44"/>
      <c r="J1608" t="str">
        <f t="shared" si="50"/>
        <v/>
      </c>
      <c r="K1608" t="str">
        <f t="shared" si="51"/>
        <v/>
      </c>
    </row>
    <row r="1609" spans="7:11" x14ac:dyDescent="0.2">
      <c r="G1609" s="44"/>
      <c r="J1609" t="str">
        <f t="shared" si="50"/>
        <v/>
      </c>
      <c r="K1609" t="str">
        <f t="shared" si="51"/>
        <v/>
      </c>
    </row>
    <row r="1610" spans="7:11" x14ac:dyDescent="0.2">
      <c r="G1610" s="44"/>
      <c r="J1610" t="str">
        <f t="shared" si="50"/>
        <v/>
      </c>
      <c r="K1610" t="str">
        <f t="shared" si="51"/>
        <v/>
      </c>
    </row>
    <row r="1611" spans="7:11" x14ac:dyDescent="0.2">
      <c r="G1611" s="44"/>
      <c r="J1611" t="str">
        <f t="shared" si="50"/>
        <v/>
      </c>
      <c r="K1611" t="str">
        <f t="shared" si="51"/>
        <v/>
      </c>
    </row>
    <row r="1612" spans="7:11" x14ac:dyDescent="0.2">
      <c r="G1612" s="44"/>
      <c r="J1612" t="str">
        <f t="shared" si="50"/>
        <v/>
      </c>
      <c r="K1612" t="str">
        <f t="shared" si="51"/>
        <v/>
      </c>
    </row>
    <row r="1613" spans="7:11" x14ac:dyDescent="0.2">
      <c r="G1613" s="44"/>
      <c r="J1613" t="str">
        <f t="shared" si="50"/>
        <v/>
      </c>
      <c r="K1613" t="str">
        <f t="shared" si="51"/>
        <v/>
      </c>
    </row>
    <row r="1614" spans="7:11" x14ac:dyDescent="0.2">
      <c r="G1614" s="44"/>
      <c r="J1614" t="str">
        <f t="shared" si="50"/>
        <v/>
      </c>
      <c r="K1614" t="str">
        <f t="shared" si="51"/>
        <v/>
      </c>
    </row>
    <row r="1615" spans="7:11" x14ac:dyDescent="0.2">
      <c r="G1615" s="44"/>
      <c r="J1615" t="str">
        <f t="shared" si="50"/>
        <v/>
      </c>
      <c r="K1615" t="str">
        <f t="shared" si="51"/>
        <v/>
      </c>
    </row>
    <row r="1616" spans="7:11" x14ac:dyDescent="0.2">
      <c r="G1616" s="44"/>
      <c r="J1616" t="str">
        <f t="shared" si="50"/>
        <v/>
      </c>
      <c r="K1616" t="str">
        <f t="shared" si="51"/>
        <v/>
      </c>
    </row>
    <row r="1617" spans="7:11" x14ac:dyDescent="0.2">
      <c r="G1617" s="44"/>
      <c r="J1617" t="str">
        <f t="shared" si="50"/>
        <v/>
      </c>
      <c r="K1617" t="str">
        <f t="shared" si="51"/>
        <v/>
      </c>
    </row>
    <row r="1618" spans="7:11" x14ac:dyDescent="0.2">
      <c r="G1618" s="44"/>
      <c r="J1618" t="str">
        <f t="shared" si="50"/>
        <v/>
      </c>
      <c r="K1618" t="str">
        <f t="shared" si="51"/>
        <v/>
      </c>
    </row>
    <row r="1619" spans="7:11" x14ac:dyDescent="0.2">
      <c r="G1619" s="44"/>
      <c r="J1619" t="str">
        <f t="shared" si="50"/>
        <v/>
      </c>
      <c r="K1619" t="str">
        <f t="shared" si="51"/>
        <v/>
      </c>
    </row>
    <row r="1620" spans="7:11" x14ac:dyDescent="0.2">
      <c r="G1620" s="44"/>
      <c r="J1620" t="str">
        <f t="shared" si="50"/>
        <v/>
      </c>
      <c r="K1620" t="str">
        <f t="shared" si="51"/>
        <v/>
      </c>
    </row>
    <row r="1621" spans="7:11" x14ac:dyDescent="0.2">
      <c r="G1621" s="44"/>
      <c r="J1621" t="str">
        <f t="shared" si="50"/>
        <v/>
      </c>
      <c r="K1621" t="str">
        <f t="shared" si="51"/>
        <v/>
      </c>
    </row>
    <row r="1622" spans="7:11" x14ac:dyDescent="0.2">
      <c r="G1622" s="44"/>
      <c r="J1622" t="str">
        <f t="shared" si="50"/>
        <v/>
      </c>
      <c r="K1622" t="str">
        <f t="shared" si="51"/>
        <v/>
      </c>
    </row>
    <row r="1623" spans="7:11" x14ac:dyDescent="0.2">
      <c r="G1623" s="44"/>
      <c r="J1623" t="str">
        <f t="shared" si="50"/>
        <v/>
      </c>
      <c r="K1623" t="str">
        <f t="shared" si="51"/>
        <v/>
      </c>
    </row>
    <row r="1624" spans="7:11" x14ac:dyDescent="0.2">
      <c r="G1624" s="44"/>
      <c r="J1624" t="str">
        <f t="shared" si="50"/>
        <v/>
      </c>
      <c r="K1624" t="str">
        <f t="shared" si="51"/>
        <v/>
      </c>
    </row>
    <row r="1625" spans="7:11" x14ac:dyDescent="0.2">
      <c r="G1625" s="44"/>
      <c r="J1625" t="str">
        <f t="shared" si="50"/>
        <v/>
      </c>
      <c r="K1625" t="str">
        <f t="shared" si="51"/>
        <v/>
      </c>
    </row>
    <row r="1626" spans="7:11" x14ac:dyDescent="0.2">
      <c r="G1626" s="44"/>
      <c r="J1626" t="str">
        <f t="shared" si="50"/>
        <v/>
      </c>
      <c r="K1626" t="str">
        <f t="shared" si="51"/>
        <v/>
      </c>
    </row>
    <row r="1627" spans="7:11" x14ac:dyDescent="0.2">
      <c r="G1627" s="44"/>
      <c r="J1627" t="str">
        <f t="shared" si="50"/>
        <v/>
      </c>
      <c r="K1627" t="str">
        <f t="shared" si="51"/>
        <v/>
      </c>
    </row>
    <row r="1628" spans="7:11" x14ac:dyDescent="0.2">
      <c r="G1628" s="44"/>
      <c r="J1628" t="str">
        <f t="shared" si="50"/>
        <v/>
      </c>
      <c r="K1628" t="str">
        <f t="shared" si="51"/>
        <v/>
      </c>
    </row>
    <row r="1629" spans="7:11" x14ac:dyDescent="0.2">
      <c r="G1629" s="44"/>
      <c r="J1629" t="str">
        <f t="shared" si="50"/>
        <v/>
      </c>
      <c r="K1629" t="str">
        <f t="shared" si="51"/>
        <v/>
      </c>
    </row>
    <row r="1630" spans="7:11" x14ac:dyDescent="0.2">
      <c r="G1630" s="44"/>
      <c r="J1630" t="str">
        <f t="shared" si="50"/>
        <v/>
      </c>
      <c r="K1630" t="str">
        <f t="shared" si="51"/>
        <v/>
      </c>
    </row>
    <row r="1631" spans="7:11" x14ac:dyDescent="0.2">
      <c r="G1631" s="44"/>
      <c r="J1631" t="str">
        <f t="shared" si="50"/>
        <v/>
      </c>
      <c r="K1631" t="str">
        <f t="shared" si="51"/>
        <v/>
      </c>
    </row>
    <row r="1632" spans="7:11" x14ac:dyDescent="0.2">
      <c r="G1632" s="44"/>
      <c r="J1632" t="str">
        <f t="shared" si="50"/>
        <v/>
      </c>
      <c r="K1632" t="str">
        <f t="shared" si="51"/>
        <v/>
      </c>
    </row>
    <row r="1633" spans="7:11" x14ac:dyDescent="0.2">
      <c r="G1633" s="44"/>
      <c r="J1633" t="str">
        <f t="shared" si="50"/>
        <v/>
      </c>
      <c r="K1633" t="str">
        <f t="shared" si="51"/>
        <v/>
      </c>
    </row>
    <row r="1634" spans="7:11" x14ac:dyDescent="0.2">
      <c r="G1634" s="44"/>
      <c r="J1634" t="str">
        <f t="shared" si="50"/>
        <v/>
      </c>
      <c r="K1634" t="str">
        <f t="shared" si="51"/>
        <v/>
      </c>
    </row>
    <row r="1635" spans="7:11" x14ac:dyDescent="0.2">
      <c r="G1635" s="44"/>
      <c r="J1635" t="str">
        <f t="shared" si="50"/>
        <v/>
      </c>
      <c r="K1635" t="str">
        <f t="shared" si="51"/>
        <v/>
      </c>
    </row>
    <row r="1636" spans="7:11" x14ac:dyDescent="0.2">
      <c r="G1636" s="44"/>
      <c r="J1636" t="str">
        <f t="shared" si="50"/>
        <v/>
      </c>
      <c r="K1636" t="str">
        <f t="shared" si="51"/>
        <v/>
      </c>
    </row>
    <row r="1637" spans="7:11" x14ac:dyDescent="0.2">
      <c r="G1637" s="44"/>
      <c r="J1637" t="str">
        <f t="shared" si="50"/>
        <v/>
      </c>
      <c r="K1637" t="str">
        <f t="shared" si="51"/>
        <v/>
      </c>
    </row>
    <row r="1638" spans="7:11" x14ac:dyDescent="0.2">
      <c r="G1638" s="44"/>
      <c r="J1638" t="str">
        <f t="shared" si="50"/>
        <v/>
      </c>
      <c r="K1638" t="str">
        <f t="shared" si="51"/>
        <v/>
      </c>
    </row>
    <row r="1639" spans="7:11" x14ac:dyDescent="0.2">
      <c r="G1639" s="44"/>
      <c r="J1639" t="str">
        <f t="shared" si="50"/>
        <v/>
      </c>
      <c r="K1639" t="str">
        <f t="shared" si="51"/>
        <v/>
      </c>
    </row>
    <row r="1640" spans="7:11" x14ac:dyDescent="0.2">
      <c r="G1640" s="44"/>
      <c r="J1640" t="str">
        <f t="shared" si="50"/>
        <v/>
      </c>
      <c r="K1640" t="str">
        <f t="shared" si="51"/>
        <v/>
      </c>
    </row>
    <row r="1641" spans="7:11" x14ac:dyDescent="0.2">
      <c r="G1641" s="44"/>
      <c r="J1641" t="str">
        <f t="shared" si="50"/>
        <v/>
      </c>
      <c r="K1641" t="str">
        <f t="shared" si="51"/>
        <v/>
      </c>
    </row>
    <row r="1642" spans="7:11" x14ac:dyDescent="0.2">
      <c r="G1642" s="44"/>
      <c r="J1642" t="str">
        <f t="shared" si="50"/>
        <v/>
      </c>
      <c r="K1642" t="str">
        <f t="shared" si="51"/>
        <v/>
      </c>
    </row>
    <row r="1643" spans="7:11" x14ac:dyDescent="0.2">
      <c r="G1643" s="44"/>
      <c r="J1643" t="str">
        <f t="shared" si="50"/>
        <v/>
      </c>
      <c r="K1643" t="str">
        <f t="shared" si="51"/>
        <v/>
      </c>
    </row>
    <row r="1644" spans="7:11" x14ac:dyDescent="0.2">
      <c r="G1644" s="44"/>
      <c r="J1644" t="str">
        <f t="shared" si="50"/>
        <v/>
      </c>
      <c r="K1644" t="str">
        <f t="shared" si="51"/>
        <v/>
      </c>
    </row>
    <row r="1645" spans="7:11" x14ac:dyDescent="0.2">
      <c r="G1645" s="44"/>
      <c r="J1645" t="str">
        <f t="shared" si="50"/>
        <v/>
      </c>
      <c r="K1645" t="str">
        <f t="shared" si="51"/>
        <v/>
      </c>
    </row>
    <row r="1646" spans="7:11" x14ac:dyDescent="0.2">
      <c r="G1646" s="44"/>
      <c r="J1646" t="str">
        <f t="shared" si="50"/>
        <v/>
      </c>
      <c r="K1646" t="str">
        <f t="shared" si="51"/>
        <v/>
      </c>
    </row>
    <row r="1647" spans="7:11" x14ac:dyDescent="0.2">
      <c r="G1647" s="44"/>
      <c r="J1647" t="str">
        <f t="shared" si="50"/>
        <v/>
      </c>
      <c r="K1647" t="str">
        <f t="shared" si="51"/>
        <v/>
      </c>
    </row>
    <row r="1648" spans="7:11" x14ac:dyDescent="0.2">
      <c r="G1648" s="44"/>
      <c r="J1648" t="str">
        <f t="shared" si="50"/>
        <v/>
      </c>
      <c r="K1648" t="str">
        <f t="shared" si="51"/>
        <v/>
      </c>
    </row>
    <row r="1649" spans="7:11" x14ac:dyDescent="0.2">
      <c r="G1649" s="44"/>
      <c r="J1649" t="str">
        <f t="shared" si="50"/>
        <v/>
      </c>
      <c r="K1649" t="str">
        <f t="shared" si="51"/>
        <v/>
      </c>
    </row>
    <row r="1650" spans="7:11" x14ac:dyDescent="0.2">
      <c r="G1650" s="44"/>
      <c r="J1650" t="str">
        <f t="shared" si="50"/>
        <v/>
      </c>
      <c r="K1650" t="str">
        <f t="shared" si="51"/>
        <v/>
      </c>
    </row>
    <row r="1651" spans="7:11" x14ac:dyDescent="0.2">
      <c r="G1651" s="44"/>
      <c r="J1651" t="str">
        <f t="shared" si="50"/>
        <v/>
      </c>
      <c r="K1651" t="str">
        <f t="shared" si="51"/>
        <v/>
      </c>
    </row>
    <row r="1652" spans="7:11" x14ac:dyDescent="0.2">
      <c r="G1652" s="44"/>
      <c r="J1652" t="str">
        <f t="shared" si="50"/>
        <v/>
      </c>
      <c r="K1652" t="str">
        <f t="shared" si="51"/>
        <v/>
      </c>
    </row>
    <row r="1653" spans="7:11" x14ac:dyDescent="0.2">
      <c r="G1653" s="44"/>
      <c r="J1653" t="str">
        <f t="shared" si="50"/>
        <v/>
      </c>
      <c r="K1653" t="str">
        <f t="shared" si="51"/>
        <v/>
      </c>
    </row>
    <row r="1654" spans="7:11" x14ac:dyDescent="0.2">
      <c r="G1654" s="44"/>
      <c r="J1654" t="str">
        <f t="shared" si="50"/>
        <v/>
      </c>
      <c r="K1654" t="str">
        <f t="shared" si="51"/>
        <v/>
      </c>
    </row>
    <row r="1655" spans="7:11" x14ac:dyDescent="0.2">
      <c r="G1655" s="44"/>
      <c r="J1655" t="str">
        <f t="shared" si="50"/>
        <v/>
      </c>
      <c r="K1655" t="str">
        <f t="shared" si="51"/>
        <v/>
      </c>
    </row>
    <row r="1656" spans="7:11" x14ac:dyDescent="0.2">
      <c r="G1656" s="44"/>
      <c r="J1656" t="str">
        <f t="shared" si="50"/>
        <v/>
      </c>
      <c r="K1656" t="str">
        <f t="shared" si="51"/>
        <v/>
      </c>
    </row>
    <row r="1657" spans="7:11" x14ac:dyDescent="0.2">
      <c r="G1657" s="44"/>
      <c r="J1657" t="str">
        <f t="shared" si="50"/>
        <v/>
      </c>
      <c r="K1657" t="str">
        <f t="shared" si="51"/>
        <v/>
      </c>
    </row>
    <row r="1658" spans="7:11" x14ac:dyDescent="0.2">
      <c r="G1658" s="44"/>
      <c r="J1658" t="str">
        <f t="shared" si="50"/>
        <v/>
      </c>
      <c r="K1658" t="str">
        <f t="shared" si="51"/>
        <v/>
      </c>
    </row>
    <row r="1659" spans="7:11" x14ac:dyDescent="0.2">
      <c r="G1659" s="44"/>
      <c r="J1659" t="str">
        <f t="shared" si="50"/>
        <v/>
      </c>
      <c r="K1659" t="str">
        <f t="shared" si="51"/>
        <v/>
      </c>
    </row>
    <row r="1660" spans="7:11" x14ac:dyDescent="0.2">
      <c r="G1660" s="44"/>
      <c r="J1660" t="str">
        <f t="shared" si="50"/>
        <v/>
      </c>
      <c r="K1660" t="str">
        <f t="shared" si="51"/>
        <v/>
      </c>
    </row>
    <row r="1661" spans="7:11" x14ac:dyDescent="0.2">
      <c r="G1661" s="44"/>
      <c r="J1661" t="str">
        <f t="shared" si="50"/>
        <v/>
      </c>
      <c r="K1661" t="str">
        <f t="shared" si="51"/>
        <v/>
      </c>
    </row>
    <row r="1662" spans="7:11" x14ac:dyDescent="0.2">
      <c r="G1662" s="44"/>
      <c r="J1662" t="str">
        <f t="shared" si="50"/>
        <v/>
      </c>
      <c r="K1662" t="str">
        <f t="shared" si="51"/>
        <v/>
      </c>
    </row>
    <row r="1663" spans="7:11" x14ac:dyDescent="0.2">
      <c r="G1663" s="44"/>
      <c r="J1663" t="str">
        <f t="shared" si="50"/>
        <v/>
      </c>
      <c r="K1663" t="str">
        <f t="shared" si="51"/>
        <v/>
      </c>
    </row>
    <row r="1664" spans="7:11" x14ac:dyDescent="0.2">
      <c r="G1664" s="44"/>
      <c r="J1664" t="str">
        <f t="shared" si="50"/>
        <v/>
      </c>
      <c r="K1664" t="str">
        <f t="shared" si="51"/>
        <v/>
      </c>
    </row>
    <row r="1665" spans="7:11" x14ac:dyDescent="0.2">
      <c r="G1665" s="44"/>
      <c r="J1665" t="str">
        <f t="shared" si="50"/>
        <v/>
      </c>
      <c r="K1665" t="str">
        <f t="shared" si="51"/>
        <v/>
      </c>
    </row>
    <row r="1666" spans="7:11" x14ac:dyDescent="0.2">
      <c r="G1666" s="44"/>
      <c r="J1666" t="str">
        <f t="shared" ref="J1666:J1729" si="52">IF(E1666="","",IF(OR(E1666=50,E1666=51),"Iltindhold",IF(E1666=75,"Carbon,org,NVOC",IF(OR(E1666=343,E1666=1167),"Svovlbrinte",IF(OR(E1666=240,E1666=241,E1666=242),"Amm",IF(E1666=244,"Nitrit",IF(E1666=247,"Nitrat",IF(E1666=334,"Sulfat",IF(E1666=262,"Phosphor, total-P",F1666)))))))))</f>
        <v/>
      </c>
      <c r="K1666" t="str">
        <f t="shared" ref="K1666:K1729" si="53">IF(A1666="","",IF(H1666="!",NA(),IF(H1666="A",I1666*0.5,IF(H1666="&lt;",I1666*0.5,I1666))))</f>
        <v/>
      </c>
    </row>
    <row r="1667" spans="7:11" x14ac:dyDescent="0.2">
      <c r="G1667" s="44"/>
      <c r="J1667" t="str">
        <f t="shared" si="52"/>
        <v/>
      </c>
      <c r="K1667" t="str">
        <f t="shared" si="53"/>
        <v/>
      </c>
    </row>
    <row r="1668" spans="7:11" x14ac:dyDescent="0.2">
      <c r="G1668" s="44"/>
      <c r="J1668" t="str">
        <f t="shared" si="52"/>
        <v/>
      </c>
      <c r="K1668" t="str">
        <f t="shared" si="53"/>
        <v/>
      </c>
    </row>
    <row r="1669" spans="7:11" x14ac:dyDescent="0.2">
      <c r="G1669" s="44"/>
      <c r="J1669" t="str">
        <f t="shared" si="52"/>
        <v/>
      </c>
      <c r="K1669" t="str">
        <f t="shared" si="53"/>
        <v/>
      </c>
    </row>
    <row r="1670" spans="7:11" x14ac:dyDescent="0.2">
      <c r="G1670" s="44"/>
      <c r="J1670" t="str">
        <f t="shared" si="52"/>
        <v/>
      </c>
      <c r="K1670" t="str">
        <f t="shared" si="53"/>
        <v/>
      </c>
    </row>
    <row r="1671" spans="7:11" x14ac:dyDescent="0.2">
      <c r="G1671" s="44"/>
      <c r="J1671" t="str">
        <f t="shared" si="52"/>
        <v/>
      </c>
      <c r="K1671" t="str">
        <f t="shared" si="53"/>
        <v/>
      </c>
    </row>
    <row r="1672" spans="7:11" x14ac:dyDescent="0.2">
      <c r="G1672" s="44"/>
      <c r="J1672" t="str">
        <f t="shared" si="52"/>
        <v/>
      </c>
      <c r="K1672" t="str">
        <f t="shared" si="53"/>
        <v/>
      </c>
    </row>
    <row r="1673" spans="7:11" x14ac:dyDescent="0.2">
      <c r="G1673" s="44"/>
      <c r="J1673" t="str">
        <f t="shared" si="52"/>
        <v/>
      </c>
      <c r="K1673" t="str">
        <f t="shared" si="53"/>
        <v/>
      </c>
    </row>
    <row r="1674" spans="7:11" x14ac:dyDescent="0.2">
      <c r="G1674" s="44"/>
      <c r="J1674" t="str">
        <f t="shared" si="52"/>
        <v/>
      </c>
      <c r="K1674" t="str">
        <f t="shared" si="53"/>
        <v/>
      </c>
    </row>
    <row r="1675" spans="7:11" x14ac:dyDescent="0.2">
      <c r="G1675" s="44"/>
      <c r="J1675" t="str">
        <f t="shared" si="52"/>
        <v/>
      </c>
      <c r="K1675" t="str">
        <f t="shared" si="53"/>
        <v/>
      </c>
    </row>
    <row r="1676" spans="7:11" x14ac:dyDescent="0.2">
      <c r="G1676" s="44"/>
      <c r="J1676" t="str">
        <f t="shared" si="52"/>
        <v/>
      </c>
      <c r="K1676" t="str">
        <f t="shared" si="53"/>
        <v/>
      </c>
    </row>
    <row r="1677" spans="7:11" x14ac:dyDescent="0.2">
      <c r="G1677" s="44"/>
      <c r="J1677" t="str">
        <f t="shared" si="52"/>
        <v/>
      </c>
      <c r="K1677" t="str">
        <f t="shared" si="53"/>
        <v/>
      </c>
    </row>
    <row r="1678" spans="7:11" x14ac:dyDescent="0.2">
      <c r="G1678" s="44"/>
      <c r="J1678" t="str">
        <f t="shared" si="52"/>
        <v/>
      </c>
      <c r="K1678" t="str">
        <f t="shared" si="53"/>
        <v/>
      </c>
    </row>
    <row r="1679" spans="7:11" x14ac:dyDescent="0.2">
      <c r="G1679" s="44"/>
      <c r="J1679" t="str">
        <f t="shared" si="52"/>
        <v/>
      </c>
      <c r="K1679" t="str">
        <f t="shared" si="53"/>
        <v/>
      </c>
    </row>
    <row r="1680" spans="7:11" x14ac:dyDescent="0.2">
      <c r="G1680" s="44"/>
      <c r="J1680" t="str">
        <f t="shared" si="52"/>
        <v/>
      </c>
      <c r="K1680" t="str">
        <f t="shared" si="53"/>
        <v/>
      </c>
    </row>
    <row r="1681" spans="7:11" x14ac:dyDescent="0.2">
      <c r="G1681" s="44"/>
      <c r="J1681" t="str">
        <f t="shared" si="52"/>
        <v/>
      </c>
      <c r="K1681" t="str">
        <f t="shared" si="53"/>
        <v/>
      </c>
    </row>
    <row r="1682" spans="7:11" x14ac:dyDescent="0.2">
      <c r="G1682" s="44"/>
      <c r="J1682" t="str">
        <f t="shared" si="52"/>
        <v/>
      </c>
      <c r="K1682" t="str">
        <f t="shared" si="53"/>
        <v/>
      </c>
    </row>
    <row r="1683" spans="7:11" x14ac:dyDescent="0.2">
      <c r="G1683" s="44"/>
      <c r="J1683" t="str">
        <f t="shared" si="52"/>
        <v/>
      </c>
      <c r="K1683" t="str">
        <f t="shared" si="53"/>
        <v/>
      </c>
    </row>
    <row r="1684" spans="7:11" x14ac:dyDescent="0.2">
      <c r="G1684" s="44"/>
      <c r="J1684" t="str">
        <f t="shared" si="52"/>
        <v/>
      </c>
      <c r="K1684" t="str">
        <f t="shared" si="53"/>
        <v/>
      </c>
    </row>
    <row r="1685" spans="7:11" x14ac:dyDescent="0.2">
      <c r="G1685" s="44"/>
      <c r="J1685" t="str">
        <f t="shared" si="52"/>
        <v/>
      </c>
      <c r="K1685" t="str">
        <f t="shared" si="53"/>
        <v/>
      </c>
    </row>
    <row r="1686" spans="7:11" x14ac:dyDescent="0.2">
      <c r="G1686" s="44"/>
      <c r="J1686" t="str">
        <f t="shared" si="52"/>
        <v/>
      </c>
      <c r="K1686" t="str">
        <f t="shared" si="53"/>
        <v/>
      </c>
    </row>
    <row r="1687" spans="7:11" x14ac:dyDescent="0.2">
      <c r="G1687" s="44"/>
      <c r="J1687" t="str">
        <f t="shared" si="52"/>
        <v/>
      </c>
      <c r="K1687" t="str">
        <f t="shared" si="53"/>
        <v/>
      </c>
    </row>
    <row r="1688" spans="7:11" x14ac:dyDescent="0.2">
      <c r="G1688" s="44"/>
      <c r="J1688" t="str">
        <f t="shared" si="52"/>
        <v/>
      </c>
      <c r="K1688" t="str">
        <f t="shared" si="53"/>
        <v/>
      </c>
    </row>
    <row r="1689" spans="7:11" x14ac:dyDescent="0.2">
      <c r="G1689" s="44"/>
      <c r="J1689" t="str">
        <f t="shared" si="52"/>
        <v/>
      </c>
      <c r="K1689" t="str">
        <f t="shared" si="53"/>
        <v/>
      </c>
    </row>
    <row r="1690" spans="7:11" x14ac:dyDescent="0.2">
      <c r="G1690" s="44"/>
      <c r="J1690" t="str">
        <f t="shared" si="52"/>
        <v/>
      </c>
      <c r="K1690" t="str">
        <f t="shared" si="53"/>
        <v/>
      </c>
    </row>
    <row r="1691" spans="7:11" x14ac:dyDescent="0.2">
      <c r="G1691" s="44"/>
      <c r="J1691" t="str">
        <f t="shared" si="52"/>
        <v/>
      </c>
      <c r="K1691" t="str">
        <f t="shared" si="53"/>
        <v/>
      </c>
    </row>
    <row r="1692" spans="7:11" x14ac:dyDescent="0.2">
      <c r="G1692" s="44"/>
      <c r="J1692" t="str">
        <f t="shared" si="52"/>
        <v/>
      </c>
      <c r="K1692" t="str">
        <f t="shared" si="53"/>
        <v/>
      </c>
    </row>
    <row r="1693" spans="7:11" x14ac:dyDescent="0.2">
      <c r="G1693" s="44"/>
      <c r="J1693" t="str">
        <f t="shared" si="52"/>
        <v/>
      </c>
      <c r="K1693" t="str">
        <f t="shared" si="53"/>
        <v/>
      </c>
    </row>
    <row r="1694" spans="7:11" x14ac:dyDescent="0.2">
      <c r="G1694" s="44"/>
      <c r="J1694" t="str">
        <f t="shared" si="52"/>
        <v/>
      </c>
      <c r="K1694" t="str">
        <f t="shared" si="53"/>
        <v/>
      </c>
    </row>
    <row r="1695" spans="7:11" x14ac:dyDescent="0.2">
      <c r="G1695" s="44"/>
      <c r="J1695" t="str">
        <f t="shared" si="52"/>
        <v/>
      </c>
      <c r="K1695" t="str">
        <f t="shared" si="53"/>
        <v/>
      </c>
    </row>
    <row r="1696" spans="7:11" x14ac:dyDescent="0.2">
      <c r="G1696" s="44"/>
      <c r="J1696" t="str">
        <f t="shared" si="52"/>
        <v/>
      </c>
      <c r="K1696" t="str">
        <f t="shared" si="53"/>
        <v/>
      </c>
    </row>
    <row r="1697" spans="7:11" x14ac:dyDescent="0.2">
      <c r="G1697" s="44"/>
      <c r="J1697" t="str">
        <f t="shared" si="52"/>
        <v/>
      </c>
      <c r="K1697" t="str">
        <f t="shared" si="53"/>
        <v/>
      </c>
    </row>
    <row r="1698" spans="7:11" x14ac:dyDescent="0.2">
      <c r="G1698" s="44"/>
      <c r="J1698" t="str">
        <f t="shared" si="52"/>
        <v/>
      </c>
      <c r="K1698" t="str">
        <f t="shared" si="53"/>
        <v/>
      </c>
    </row>
    <row r="1699" spans="7:11" x14ac:dyDescent="0.2">
      <c r="G1699" s="44"/>
      <c r="J1699" t="str">
        <f t="shared" si="52"/>
        <v/>
      </c>
      <c r="K1699" t="str">
        <f t="shared" si="53"/>
        <v/>
      </c>
    </row>
    <row r="1700" spans="7:11" x14ac:dyDescent="0.2">
      <c r="G1700" s="44"/>
      <c r="J1700" t="str">
        <f t="shared" si="52"/>
        <v/>
      </c>
      <c r="K1700" t="str">
        <f t="shared" si="53"/>
        <v/>
      </c>
    </row>
    <row r="1701" spans="7:11" x14ac:dyDescent="0.2">
      <c r="G1701" s="44"/>
      <c r="J1701" t="str">
        <f t="shared" si="52"/>
        <v/>
      </c>
      <c r="K1701" t="str">
        <f t="shared" si="53"/>
        <v/>
      </c>
    </row>
    <row r="1702" spans="7:11" x14ac:dyDescent="0.2">
      <c r="G1702" s="44"/>
      <c r="J1702" t="str">
        <f t="shared" si="52"/>
        <v/>
      </c>
      <c r="K1702" t="str">
        <f t="shared" si="53"/>
        <v/>
      </c>
    </row>
    <row r="1703" spans="7:11" x14ac:dyDescent="0.2">
      <c r="G1703" s="44"/>
      <c r="J1703" t="str">
        <f t="shared" si="52"/>
        <v/>
      </c>
      <c r="K1703" t="str">
        <f t="shared" si="53"/>
        <v/>
      </c>
    </row>
    <row r="1704" spans="7:11" x14ac:dyDescent="0.2">
      <c r="G1704" s="44"/>
      <c r="J1704" t="str">
        <f t="shared" si="52"/>
        <v/>
      </c>
      <c r="K1704" t="str">
        <f t="shared" si="53"/>
        <v/>
      </c>
    </row>
    <row r="1705" spans="7:11" x14ac:dyDescent="0.2">
      <c r="G1705" s="44"/>
      <c r="J1705" t="str">
        <f t="shared" si="52"/>
        <v/>
      </c>
      <c r="K1705" t="str">
        <f t="shared" si="53"/>
        <v/>
      </c>
    </row>
    <row r="1706" spans="7:11" x14ac:dyDescent="0.2">
      <c r="G1706" s="44"/>
      <c r="J1706" t="str">
        <f t="shared" si="52"/>
        <v/>
      </c>
      <c r="K1706" t="str">
        <f t="shared" si="53"/>
        <v/>
      </c>
    </row>
    <row r="1707" spans="7:11" x14ac:dyDescent="0.2">
      <c r="G1707" s="44"/>
      <c r="J1707" t="str">
        <f t="shared" si="52"/>
        <v/>
      </c>
      <c r="K1707" t="str">
        <f t="shared" si="53"/>
        <v/>
      </c>
    </row>
    <row r="1708" spans="7:11" x14ac:dyDescent="0.2">
      <c r="G1708" s="44"/>
      <c r="J1708" t="str">
        <f t="shared" si="52"/>
        <v/>
      </c>
      <c r="K1708" t="str">
        <f t="shared" si="53"/>
        <v/>
      </c>
    </row>
    <row r="1709" spans="7:11" x14ac:dyDescent="0.2">
      <c r="G1709" s="44"/>
      <c r="J1709" t="str">
        <f t="shared" si="52"/>
        <v/>
      </c>
      <c r="K1709" t="str">
        <f t="shared" si="53"/>
        <v/>
      </c>
    </row>
    <row r="1710" spans="7:11" x14ac:dyDescent="0.2">
      <c r="G1710" s="44"/>
      <c r="J1710" t="str">
        <f t="shared" si="52"/>
        <v/>
      </c>
      <c r="K1710" t="str">
        <f t="shared" si="53"/>
        <v/>
      </c>
    </row>
    <row r="1711" spans="7:11" x14ac:dyDescent="0.2">
      <c r="G1711" s="44"/>
      <c r="J1711" t="str">
        <f t="shared" si="52"/>
        <v/>
      </c>
      <c r="K1711" t="str">
        <f t="shared" si="53"/>
        <v/>
      </c>
    </row>
    <row r="1712" spans="7:11" x14ac:dyDescent="0.2">
      <c r="G1712" s="44"/>
      <c r="J1712" t="str">
        <f t="shared" si="52"/>
        <v/>
      </c>
      <c r="K1712" t="str">
        <f t="shared" si="53"/>
        <v/>
      </c>
    </row>
    <row r="1713" spans="7:11" x14ac:dyDescent="0.2">
      <c r="G1713" s="44"/>
      <c r="J1713" t="str">
        <f t="shared" si="52"/>
        <v/>
      </c>
      <c r="K1713" t="str">
        <f t="shared" si="53"/>
        <v/>
      </c>
    </row>
    <row r="1714" spans="7:11" x14ac:dyDescent="0.2">
      <c r="G1714" s="44"/>
      <c r="J1714" t="str">
        <f t="shared" si="52"/>
        <v/>
      </c>
      <c r="K1714" t="str">
        <f t="shared" si="53"/>
        <v/>
      </c>
    </row>
    <row r="1715" spans="7:11" x14ac:dyDescent="0.2">
      <c r="G1715" s="44"/>
      <c r="J1715" t="str">
        <f t="shared" si="52"/>
        <v/>
      </c>
      <c r="K1715" t="str">
        <f t="shared" si="53"/>
        <v/>
      </c>
    </row>
    <row r="1716" spans="7:11" x14ac:dyDescent="0.2">
      <c r="G1716" s="44"/>
      <c r="J1716" t="str">
        <f t="shared" si="52"/>
        <v/>
      </c>
      <c r="K1716" t="str">
        <f t="shared" si="53"/>
        <v/>
      </c>
    </row>
    <row r="1717" spans="7:11" x14ac:dyDescent="0.2">
      <c r="G1717" s="44"/>
      <c r="J1717" t="str">
        <f t="shared" si="52"/>
        <v/>
      </c>
      <c r="K1717" t="str">
        <f t="shared" si="53"/>
        <v/>
      </c>
    </row>
    <row r="1718" spans="7:11" x14ac:dyDescent="0.2">
      <c r="G1718" s="44"/>
      <c r="J1718" t="str">
        <f t="shared" si="52"/>
        <v/>
      </c>
      <c r="K1718" t="str">
        <f t="shared" si="53"/>
        <v/>
      </c>
    </row>
    <row r="1719" spans="7:11" x14ac:dyDescent="0.2">
      <c r="G1719" s="44"/>
      <c r="J1719" t="str">
        <f t="shared" si="52"/>
        <v/>
      </c>
      <c r="K1719" t="str">
        <f t="shared" si="53"/>
        <v/>
      </c>
    </row>
    <row r="1720" spans="7:11" x14ac:dyDescent="0.2">
      <c r="G1720" s="44"/>
      <c r="J1720" t="str">
        <f t="shared" si="52"/>
        <v/>
      </c>
      <c r="K1720" t="str">
        <f t="shared" si="53"/>
        <v/>
      </c>
    </row>
    <row r="1721" spans="7:11" x14ac:dyDescent="0.2">
      <c r="G1721" s="44"/>
      <c r="J1721" t="str">
        <f t="shared" si="52"/>
        <v/>
      </c>
      <c r="K1721" t="str">
        <f t="shared" si="53"/>
        <v/>
      </c>
    </row>
    <row r="1722" spans="7:11" x14ac:dyDescent="0.2">
      <c r="G1722" s="44"/>
      <c r="J1722" t="str">
        <f t="shared" si="52"/>
        <v/>
      </c>
      <c r="K1722" t="str">
        <f t="shared" si="53"/>
        <v/>
      </c>
    </row>
    <row r="1723" spans="7:11" x14ac:dyDescent="0.2">
      <c r="G1723" s="44"/>
      <c r="J1723" t="str">
        <f t="shared" si="52"/>
        <v/>
      </c>
      <c r="K1723" t="str">
        <f t="shared" si="53"/>
        <v/>
      </c>
    </row>
    <row r="1724" spans="7:11" x14ac:dyDescent="0.2">
      <c r="G1724" s="44"/>
      <c r="J1724" t="str">
        <f t="shared" si="52"/>
        <v/>
      </c>
      <c r="K1724" t="str">
        <f t="shared" si="53"/>
        <v/>
      </c>
    </row>
    <row r="1725" spans="7:11" x14ac:dyDescent="0.2">
      <c r="G1725" s="44"/>
      <c r="J1725" t="str">
        <f t="shared" si="52"/>
        <v/>
      </c>
      <c r="K1725" t="str">
        <f t="shared" si="53"/>
        <v/>
      </c>
    </row>
    <row r="1726" spans="7:11" x14ac:dyDescent="0.2">
      <c r="G1726" s="44"/>
      <c r="J1726" t="str">
        <f t="shared" si="52"/>
        <v/>
      </c>
      <c r="K1726" t="str">
        <f t="shared" si="53"/>
        <v/>
      </c>
    </row>
    <row r="1727" spans="7:11" x14ac:dyDescent="0.2">
      <c r="G1727" s="44"/>
      <c r="J1727" t="str">
        <f t="shared" si="52"/>
        <v/>
      </c>
      <c r="K1727" t="str">
        <f t="shared" si="53"/>
        <v/>
      </c>
    </row>
    <row r="1728" spans="7:11" x14ac:dyDescent="0.2">
      <c r="G1728" s="44"/>
      <c r="J1728" t="str">
        <f t="shared" si="52"/>
        <v/>
      </c>
      <c r="K1728" t="str">
        <f t="shared" si="53"/>
        <v/>
      </c>
    </row>
    <row r="1729" spans="7:11" x14ac:dyDescent="0.2">
      <c r="G1729" s="44"/>
      <c r="J1729" t="str">
        <f t="shared" si="52"/>
        <v/>
      </c>
      <c r="K1729" t="str">
        <f t="shared" si="53"/>
        <v/>
      </c>
    </row>
    <row r="1730" spans="7:11" x14ac:dyDescent="0.2">
      <c r="G1730" s="44"/>
      <c r="J1730" t="str">
        <f t="shared" ref="J1730:J1793" si="54">IF(E1730="","",IF(OR(E1730=50,E1730=51),"Iltindhold",IF(E1730=75,"Carbon,org,NVOC",IF(OR(E1730=343,E1730=1167),"Svovlbrinte",IF(OR(E1730=240,E1730=241,E1730=242),"Amm",IF(E1730=244,"Nitrit",IF(E1730=247,"Nitrat",IF(E1730=334,"Sulfat",IF(E1730=262,"Phosphor, total-P",F1730)))))))))</f>
        <v/>
      </c>
      <c r="K1730" t="str">
        <f t="shared" ref="K1730:K1793" si="55">IF(A1730="","",IF(H1730="!",NA(),IF(H1730="A",I1730*0.5,IF(H1730="&lt;",I1730*0.5,I1730))))</f>
        <v/>
      </c>
    </row>
    <row r="1731" spans="7:11" x14ac:dyDescent="0.2">
      <c r="G1731" s="44"/>
      <c r="J1731" t="str">
        <f t="shared" si="54"/>
        <v/>
      </c>
      <c r="K1731" t="str">
        <f t="shared" si="55"/>
        <v/>
      </c>
    </row>
    <row r="1732" spans="7:11" x14ac:dyDescent="0.2">
      <c r="G1732" s="44"/>
      <c r="J1732" t="str">
        <f t="shared" si="54"/>
        <v/>
      </c>
      <c r="K1732" t="str">
        <f t="shared" si="55"/>
        <v/>
      </c>
    </row>
    <row r="1733" spans="7:11" x14ac:dyDescent="0.2">
      <c r="G1733" s="44"/>
      <c r="J1733" t="str">
        <f t="shared" si="54"/>
        <v/>
      </c>
      <c r="K1733" t="str">
        <f t="shared" si="55"/>
        <v/>
      </c>
    </row>
    <row r="1734" spans="7:11" x14ac:dyDescent="0.2">
      <c r="G1734" s="44"/>
      <c r="J1734" t="str">
        <f t="shared" si="54"/>
        <v/>
      </c>
      <c r="K1734" t="str">
        <f t="shared" si="55"/>
        <v/>
      </c>
    </row>
    <row r="1735" spans="7:11" x14ac:dyDescent="0.2">
      <c r="G1735" s="44"/>
      <c r="J1735" t="str">
        <f t="shared" si="54"/>
        <v/>
      </c>
      <c r="K1735" t="str">
        <f t="shared" si="55"/>
        <v/>
      </c>
    </row>
    <row r="1736" spans="7:11" x14ac:dyDescent="0.2">
      <c r="G1736" s="44"/>
      <c r="J1736" t="str">
        <f t="shared" si="54"/>
        <v/>
      </c>
      <c r="K1736" t="str">
        <f t="shared" si="55"/>
        <v/>
      </c>
    </row>
    <row r="1737" spans="7:11" x14ac:dyDescent="0.2">
      <c r="G1737" s="44"/>
      <c r="J1737" t="str">
        <f t="shared" si="54"/>
        <v/>
      </c>
      <c r="K1737" t="str">
        <f t="shared" si="55"/>
        <v/>
      </c>
    </row>
    <row r="1738" spans="7:11" x14ac:dyDescent="0.2">
      <c r="G1738" s="44"/>
      <c r="J1738" t="str">
        <f t="shared" si="54"/>
        <v/>
      </c>
      <c r="K1738" t="str">
        <f t="shared" si="55"/>
        <v/>
      </c>
    </row>
    <row r="1739" spans="7:11" x14ac:dyDescent="0.2">
      <c r="G1739" s="44"/>
      <c r="J1739" t="str">
        <f t="shared" si="54"/>
        <v/>
      </c>
      <c r="K1739" t="str">
        <f t="shared" si="55"/>
        <v/>
      </c>
    </row>
    <row r="1740" spans="7:11" x14ac:dyDescent="0.2">
      <c r="G1740" s="44"/>
      <c r="J1740" t="str">
        <f t="shared" si="54"/>
        <v/>
      </c>
      <c r="K1740" t="str">
        <f t="shared" si="55"/>
        <v/>
      </c>
    </row>
    <row r="1741" spans="7:11" x14ac:dyDescent="0.2">
      <c r="G1741" s="44"/>
      <c r="J1741" t="str">
        <f t="shared" si="54"/>
        <v/>
      </c>
      <c r="K1741" t="str">
        <f t="shared" si="55"/>
        <v/>
      </c>
    </row>
    <row r="1742" spans="7:11" x14ac:dyDescent="0.2">
      <c r="G1742" s="44"/>
      <c r="J1742" t="str">
        <f t="shared" si="54"/>
        <v/>
      </c>
      <c r="K1742" t="str">
        <f t="shared" si="55"/>
        <v/>
      </c>
    </row>
    <row r="1743" spans="7:11" x14ac:dyDescent="0.2">
      <c r="G1743" s="44"/>
      <c r="J1743" t="str">
        <f t="shared" si="54"/>
        <v/>
      </c>
      <c r="K1743" t="str">
        <f t="shared" si="55"/>
        <v/>
      </c>
    </row>
    <row r="1744" spans="7:11" x14ac:dyDescent="0.2">
      <c r="G1744" s="44"/>
      <c r="J1744" t="str">
        <f t="shared" si="54"/>
        <v/>
      </c>
      <c r="K1744" t="str">
        <f t="shared" si="55"/>
        <v/>
      </c>
    </row>
    <row r="1745" spans="7:11" x14ac:dyDescent="0.2">
      <c r="G1745" s="44"/>
      <c r="J1745" t="str">
        <f t="shared" si="54"/>
        <v/>
      </c>
      <c r="K1745" t="str">
        <f t="shared" si="55"/>
        <v/>
      </c>
    </row>
    <row r="1746" spans="7:11" x14ac:dyDescent="0.2">
      <c r="G1746" s="44"/>
      <c r="J1746" t="str">
        <f t="shared" si="54"/>
        <v/>
      </c>
      <c r="K1746" t="str">
        <f t="shared" si="55"/>
        <v/>
      </c>
    </row>
    <row r="1747" spans="7:11" x14ac:dyDescent="0.2">
      <c r="G1747" s="44"/>
      <c r="J1747" t="str">
        <f t="shared" si="54"/>
        <v/>
      </c>
      <c r="K1747" t="str">
        <f t="shared" si="55"/>
        <v/>
      </c>
    </row>
    <row r="1748" spans="7:11" x14ac:dyDescent="0.2">
      <c r="G1748" s="44"/>
      <c r="J1748" t="str">
        <f t="shared" si="54"/>
        <v/>
      </c>
      <c r="K1748" t="str">
        <f t="shared" si="55"/>
        <v/>
      </c>
    </row>
    <row r="1749" spans="7:11" x14ac:dyDescent="0.2">
      <c r="G1749" s="44"/>
      <c r="J1749" t="str">
        <f t="shared" si="54"/>
        <v/>
      </c>
      <c r="K1749" t="str">
        <f t="shared" si="55"/>
        <v/>
      </c>
    </row>
    <row r="1750" spans="7:11" x14ac:dyDescent="0.2">
      <c r="G1750" s="44"/>
      <c r="J1750" t="str">
        <f t="shared" si="54"/>
        <v/>
      </c>
      <c r="K1750" t="str">
        <f t="shared" si="55"/>
        <v/>
      </c>
    </row>
    <row r="1751" spans="7:11" x14ac:dyDescent="0.2">
      <c r="G1751" s="44"/>
      <c r="J1751" t="str">
        <f t="shared" si="54"/>
        <v/>
      </c>
      <c r="K1751" t="str">
        <f t="shared" si="55"/>
        <v/>
      </c>
    </row>
    <row r="1752" spans="7:11" x14ac:dyDescent="0.2">
      <c r="G1752" s="44"/>
      <c r="J1752" t="str">
        <f t="shared" si="54"/>
        <v/>
      </c>
      <c r="K1752" t="str">
        <f t="shared" si="55"/>
        <v/>
      </c>
    </row>
    <row r="1753" spans="7:11" x14ac:dyDescent="0.2">
      <c r="G1753" s="44"/>
      <c r="J1753" t="str">
        <f t="shared" si="54"/>
        <v/>
      </c>
      <c r="K1753" t="str">
        <f t="shared" si="55"/>
        <v/>
      </c>
    </row>
    <row r="1754" spans="7:11" x14ac:dyDescent="0.2">
      <c r="G1754" s="44"/>
      <c r="J1754" t="str">
        <f t="shared" si="54"/>
        <v/>
      </c>
      <c r="K1754" t="str">
        <f t="shared" si="55"/>
        <v/>
      </c>
    </row>
    <row r="1755" spans="7:11" x14ac:dyDescent="0.2">
      <c r="G1755" s="44"/>
      <c r="J1755" t="str">
        <f t="shared" si="54"/>
        <v/>
      </c>
      <c r="K1755" t="str">
        <f t="shared" si="55"/>
        <v/>
      </c>
    </row>
    <row r="1756" spans="7:11" x14ac:dyDescent="0.2">
      <c r="G1756" s="44"/>
      <c r="J1756" t="str">
        <f t="shared" si="54"/>
        <v/>
      </c>
      <c r="K1756" t="str">
        <f t="shared" si="55"/>
        <v/>
      </c>
    </row>
    <row r="1757" spans="7:11" x14ac:dyDescent="0.2">
      <c r="G1757" s="44"/>
      <c r="J1757" t="str">
        <f t="shared" si="54"/>
        <v/>
      </c>
      <c r="K1757" t="str">
        <f t="shared" si="55"/>
        <v/>
      </c>
    </row>
    <row r="1758" spans="7:11" x14ac:dyDescent="0.2">
      <c r="G1758" s="44"/>
      <c r="J1758" t="str">
        <f t="shared" si="54"/>
        <v/>
      </c>
      <c r="K1758" t="str">
        <f t="shared" si="55"/>
        <v/>
      </c>
    </row>
    <row r="1759" spans="7:11" x14ac:dyDescent="0.2">
      <c r="G1759" s="44"/>
      <c r="J1759" t="str">
        <f t="shared" si="54"/>
        <v/>
      </c>
      <c r="K1759" t="str">
        <f t="shared" si="55"/>
        <v/>
      </c>
    </row>
    <row r="1760" spans="7:11" x14ac:dyDescent="0.2">
      <c r="G1760" s="44"/>
      <c r="J1760" t="str">
        <f t="shared" si="54"/>
        <v/>
      </c>
      <c r="K1760" t="str">
        <f t="shared" si="55"/>
        <v/>
      </c>
    </row>
    <row r="1761" spans="7:11" x14ac:dyDescent="0.2">
      <c r="G1761" s="44"/>
      <c r="J1761" t="str">
        <f t="shared" si="54"/>
        <v/>
      </c>
      <c r="K1761" t="str">
        <f t="shared" si="55"/>
        <v/>
      </c>
    </row>
    <row r="1762" spans="7:11" x14ac:dyDescent="0.2">
      <c r="G1762" s="44"/>
      <c r="J1762" t="str">
        <f t="shared" si="54"/>
        <v/>
      </c>
      <c r="K1762" t="str">
        <f t="shared" si="55"/>
        <v/>
      </c>
    </row>
    <row r="1763" spans="7:11" x14ac:dyDescent="0.2">
      <c r="G1763" s="44"/>
      <c r="J1763" t="str">
        <f t="shared" si="54"/>
        <v/>
      </c>
      <c r="K1763" t="str">
        <f t="shared" si="55"/>
        <v/>
      </c>
    </row>
    <row r="1764" spans="7:11" x14ac:dyDescent="0.2">
      <c r="G1764" s="44"/>
      <c r="J1764" t="str">
        <f t="shared" si="54"/>
        <v/>
      </c>
      <c r="K1764" t="str">
        <f t="shared" si="55"/>
        <v/>
      </c>
    </row>
    <row r="1765" spans="7:11" x14ac:dyDescent="0.2">
      <c r="G1765" s="44"/>
      <c r="J1765" t="str">
        <f t="shared" si="54"/>
        <v/>
      </c>
      <c r="K1765" t="str">
        <f t="shared" si="55"/>
        <v/>
      </c>
    </row>
    <row r="1766" spans="7:11" x14ac:dyDescent="0.2">
      <c r="G1766" s="44"/>
      <c r="J1766" t="str">
        <f t="shared" si="54"/>
        <v/>
      </c>
      <c r="K1766" t="str">
        <f t="shared" si="55"/>
        <v/>
      </c>
    </row>
    <row r="1767" spans="7:11" x14ac:dyDescent="0.2">
      <c r="G1767" s="44"/>
      <c r="J1767" t="str">
        <f t="shared" si="54"/>
        <v/>
      </c>
      <c r="K1767" t="str">
        <f t="shared" si="55"/>
        <v/>
      </c>
    </row>
    <row r="1768" spans="7:11" x14ac:dyDescent="0.2">
      <c r="G1768" s="44"/>
      <c r="J1768" t="str">
        <f t="shared" si="54"/>
        <v/>
      </c>
      <c r="K1768" t="str">
        <f t="shared" si="55"/>
        <v/>
      </c>
    </row>
    <row r="1769" spans="7:11" x14ac:dyDescent="0.2">
      <c r="G1769" s="44"/>
      <c r="J1769" t="str">
        <f t="shared" si="54"/>
        <v/>
      </c>
      <c r="K1769" t="str">
        <f t="shared" si="55"/>
        <v/>
      </c>
    </row>
    <row r="1770" spans="7:11" x14ac:dyDescent="0.2">
      <c r="G1770" s="44"/>
      <c r="J1770" t="str">
        <f t="shared" si="54"/>
        <v/>
      </c>
      <c r="K1770" t="str">
        <f t="shared" si="55"/>
        <v/>
      </c>
    </row>
    <row r="1771" spans="7:11" x14ac:dyDescent="0.2">
      <c r="G1771" s="44"/>
      <c r="J1771" t="str">
        <f t="shared" si="54"/>
        <v/>
      </c>
      <c r="K1771" t="str">
        <f t="shared" si="55"/>
        <v/>
      </c>
    </row>
    <row r="1772" spans="7:11" x14ac:dyDescent="0.2">
      <c r="G1772" s="44"/>
      <c r="J1772" t="str">
        <f t="shared" si="54"/>
        <v/>
      </c>
      <c r="K1772" t="str">
        <f t="shared" si="55"/>
        <v/>
      </c>
    </row>
    <row r="1773" spans="7:11" x14ac:dyDescent="0.2">
      <c r="G1773" s="44"/>
      <c r="J1773" t="str">
        <f t="shared" si="54"/>
        <v/>
      </c>
      <c r="K1773" t="str">
        <f t="shared" si="55"/>
        <v/>
      </c>
    </row>
    <row r="1774" spans="7:11" x14ac:dyDescent="0.2">
      <c r="G1774" s="44"/>
      <c r="J1774" t="str">
        <f t="shared" si="54"/>
        <v/>
      </c>
      <c r="K1774" t="str">
        <f t="shared" si="55"/>
        <v/>
      </c>
    </row>
    <row r="1775" spans="7:11" x14ac:dyDescent="0.2">
      <c r="G1775" s="44"/>
      <c r="J1775" t="str">
        <f t="shared" si="54"/>
        <v/>
      </c>
      <c r="K1775" t="str">
        <f t="shared" si="55"/>
        <v/>
      </c>
    </row>
    <row r="1776" spans="7:11" x14ac:dyDescent="0.2">
      <c r="G1776" s="44"/>
      <c r="J1776" t="str">
        <f t="shared" si="54"/>
        <v/>
      </c>
      <c r="K1776" t="str">
        <f t="shared" si="55"/>
        <v/>
      </c>
    </row>
    <row r="1777" spans="7:11" x14ac:dyDescent="0.2">
      <c r="G1777" s="44"/>
      <c r="J1777" t="str">
        <f t="shared" si="54"/>
        <v/>
      </c>
      <c r="K1777" t="str">
        <f t="shared" si="55"/>
        <v/>
      </c>
    </row>
    <row r="1778" spans="7:11" x14ac:dyDescent="0.2">
      <c r="G1778" s="44"/>
      <c r="J1778" t="str">
        <f t="shared" si="54"/>
        <v/>
      </c>
      <c r="K1778" t="str">
        <f t="shared" si="55"/>
        <v/>
      </c>
    </row>
    <row r="1779" spans="7:11" x14ac:dyDescent="0.2">
      <c r="G1779" s="44"/>
      <c r="J1779" t="str">
        <f t="shared" si="54"/>
        <v/>
      </c>
      <c r="K1779" t="str">
        <f t="shared" si="55"/>
        <v/>
      </c>
    </row>
    <row r="1780" spans="7:11" x14ac:dyDescent="0.2">
      <c r="G1780" s="44"/>
      <c r="J1780" t="str">
        <f t="shared" si="54"/>
        <v/>
      </c>
      <c r="K1780" t="str">
        <f t="shared" si="55"/>
        <v/>
      </c>
    </row>
    <row r="1781" spans="7:11" x14ac:dyDescent="0.2">
      <c r="G1781" s="44"/>
      <c r="J1781" t="str">
        <f t="shared" si="54"/>
        <v/>
      </c>
      <c r="K1781" t="str">
        <f t="shared" si="55"/>
        <v/>
      </c>
    </row>
    <row r="1782" spans="7:11" x14ac:dyDescent="0.2">
      <c r="G1782" s="44"/>
      <c r="J1782" t="str">
        <f t="shared" si="54"/>
        <v/>
      </c>
      <c r="K1782" t="str">
        <f t="shared" si="55"/>
        <v/>
      </c>
    </row>
    <row r="1783" spans="7:11" x14ac:dyDescent="0.2">
      <c r="G1783" s="44"/>
      <c r="J1783" t="str">
        <f t="shared" si="54"/>
        <v/>
      </c>
      <c r="K1783" t="str">
        <f t="shared" si="55"/>
        <v/>
      </c>
    </row>
    <row r="1784" spans="7:11" x14ac:dyDescent="0.2">
      <c r="G1784" s="44"/>
      <c r="J1784" t="str">
        <f t="shared" si="54"/>
        <v/>
      </c>
      <c r="K1784" t="str">
        <f t="shared" si="55"/>
        <v/>
      </c>
    </row>
    <row r="1785" spans="7:11" x14ac:dyDescent="0.2">
      <c r="G1785" s="44"/>
      <c r="J1785" t="str">
        <f t="shared" si="54"/>
        <v/>
      </c>
      <c r="K1785" t="str">
        <f t="shared" si="55"/>
        <v/>
      </c>
    </row>
    <row r="1786" spans="7:11" x14ac:dyDescent="0.2">
      <c r="G1786" s="44"/>
      <c r="J1786" t="str">
        <f t="shared" si="54"/>
        <v/>
      </c>
      <c r="K1786" t="str">
        <f t="shared" si="55"/>
        <v/>
      </c>
    </row>
    <row r="1787" spans="7:11" x14ac:dyDescent="0.2">
      <c r="G1787" s="44"/>
      <c r="J1787" t="str">
        <f t="shared" si="54"/>
        <v/>
      </c>
      <c r="K1787" t="str">
        <f t="shared" si="55"/>
        <v/>
      </c>
    </row>
    <row r="1788" spans="7:11" x14ac:dyDescent="0.2">
      <c r="G1788" s="44"/>
      <c r="J1788" t="str">
        <f t="shared" si="54"/>
        <v/>
      </c>
      <c r="K1788" t="str">
        <f t="shared" si="55"/>
        <v/>
      </c>
    </row>
    <row r="1789" spans="7:11" x14ac:dyDescent="0.2">
      <c r="G1789" s="44"/>
      <c r="J1789" t="str">
        <f t="shared" si="54"/>
        <v/>
      </c>
      <c r="K1789" t="str">
        <f t="shared" si="55"/>
        <v/>
      </c>
    </row>
    <row r="1790" spans="7:11" x14ac:dyDescent="0.2">
      <c r="G1790" s="44"/>
      <c r="J1790" t="str">
        <f t="shared" si="54"/>
        <v/>
      </c>
      <c r="K1790" t="str">
        <f t="shared" si="55"/>
        <v/>
      </c>
    </row>
    <row r="1791" spans="7:11" x14ac:dyDescent="0.2">
      <c r="G1791" s="44"/>
      <c r="J1791" t="str">
        <f t="shared" si="54"/>
        <v/>
      </c>
      <c r="K1791" t="str">
        <f t="shared" si="55"/>
        <v/>
      </c>
    </row>
    <row r="1792" spans="7:11" x14ac:dyDescent="0.2">
      <c r="G1792" s="44"/>
      <c r="J1792" t="str">
        <f t="shared" si="54"/>
        <v/>
      </c>
      <c r="K1792" t="str">
        <f t="shared" si="55"/>
        <v/>
      </c>
    </row>
    <row r="1793" spans="7:11" x14ac:dyDescent="0.2">
      <c r="G1793" s="44"/>
      <c r="J1793" t="str">
        <f t="shared" si="54"/>
        <v/>
      </c>
      <c r="K1793" t="str">
        <f t="shared" si="55"/>
        <v/>
      </c>
    </row>
    <row r="1794" spans="7:11" x14ac:dyDescent="0.2">
      <c r="G1794" s="44"/>
      <c r="J1794" t="str">
        <f t="shared" ref="J1794:J1857" si="56">IF(E1794="","",IF(OR(E1794=50,E1794=51),"Iltindhold",IF(E1794=75,"Carbon,org,NVOC",IF(OR(E1794=343,E1794=1167),"Svovlbrinte",IF(OR(E1794=240,E1794=241,E1794=242),"Amm",IF(E1794=244,"Nitrit",IF(E1794=247,"Nitrat",IF(E1794=334,"Sulfat",IF(E1794=262,"Phosphor, total-P",F1794)))))))))</f>
        <v/>
      </c>
      <c r="K1794" t="str">
        <f t="shared" ref="K1794:K1857" si="57">IF(A1794="","",IF(H1794="!",NA(),IF(H1794="A",I1794*0.5,IF(H1794="&lt;",I1794*0.5,I1794))))</f>
        <v/>
      </c>
    </row>
    <row r="1795" spans="7:11" x14ac:dyDescent="0.2">
      <c r="G1795" s="44"/>
      <c r="J1795" t="str">
        <f t="shared" si="56"/>
        <v/>
      </c>
      <c r="K1795" t="str">
        <f t="shared" si="57"/>
        <v/>
      </c>
    </row>
    <row r="1796" spans="7:11" x14ac:dyDescent="0.2">
      <c r="G1796" s="44"/>
      <c r="J1796" t="str">
        <f t="shared" si="56"/>
        <v/>
      </c>
      <c r="K1796" t="str">
        <f t="shared" si="57"/>
        <v/>
      </c>
    </row>
    <row r="1797" spans="7:11" x14ac:dyDescent="0.2">
      <c r="G1797" s="44"/>
      <c r="J1797" t="str">
        <f t="shared" si="56"/>
        <v/>
      </c>
      <c r="K1797" t="str">
        <f t="shared" si="57"/>
        <v/>
      </c>
    </row>
    <row r="1798" spans="7:11" x14ac:dyDescent="0.2">
      <c r="G1798" s="44"/>
      <c r="J1798" t="str">
        <f t="shared" si="56"/>
        <v/>
      </c>
      <c r="K1798" t="str">
        <f t="shared" si="57"/>
        <v/>
      </c>
    </row>
    <row r="1799" spans="7:11" x14ac:dyDescent="0.2">
      <c r="G1799" s="44"/>
      <c r="J1799" t="str">
        <f t="shared" si="56"/>
        <v/>
      </c>
      <c r="K1799" t="str">
        <f t="shared" si="57"/>
        <v/>
      </c>
    </row>
    <row r="1800" spans="7:11" x14ac:dyDescent="0.2">
      <c r="G1800" s="44"/>
      <c r="J1800" t="str">
        <f t="shared" si="56"/>
        <v/>
      </c>
      <c r="K1800" t="str">
        <f t="shared" si="57"/>
        <v/>
      </c>
    </row>
    <row r="1801" spans="7:11" x14ac:dyDescent="0.2">
      <c r="G1801" s="44"/>
      <c r="J1801" t="str">
        <f t="shared" si="56"/>
        <v/>
      </c>
      <c r="K1801" t="str">
        <f t="shared" si="57"/>
        <v/>
      </c>
    </row>
    <row r="1802" spans="7:11" x14ac:dyDescent="0.2">
      <c r="G1802" s="44"/>
      <c r="J1802" t="str">
        <f t="shared" si="56"/>
        <v/>
      </c>
      <c r="K1802" t="str">
        <f t="shared" si="57"/>
        <v/>
      </c>
    </row>
    <row r="1803" spans="7:11" x14ac:dyDescent="0.2">
      <c r="G1803" s="44"/>
      <c r="J1803" t="str">
        <f t="shared" si="56"/>
        <v/>
      </c>
      <c r="K1803" t="str">
        <f t="shared" si="57"/>
        <v/>
      </c>
    </row>
    <row r="1804" spans="7:11" x14ac:dyDescent="0.2">
      <c r="G1804" s="44"/>
      <c r="J1804" t="str">
        <f t="shared" si="56"/>
        <v/>
      </c>
      <c r="K1804" t="str">
        <f t="shared" si="57"/>
        <v/>
      </c>
    </row>
    <row r="1805" spans="7:11" x14ac:dyDescent="0.2">
      <c r="G1805" s="44"/>
      <c r="J1805" t="str">
        <f t="shared" si="56"/>
        <v/>
      </c>
      <c r="K1805" t="str">
        <f t="shared" si="57"/>
        <v/>
      </c>
    </row>
    <row r="1806" spans="7:11" x14ac:dyDescent="0.2">
      <c r="G1806" s="44"/>
      <c r="J1806" t="str">
        <f t="shared" si="56"/>
        <v/>
      </c>
      <c r="K1806" t="str">
        <f t="shared" si="57"/>
        <v/>
      </c>
    </row>
    <row r="1807" spans="7:11" x14ac:dyDescent="0.2">
      <c r="G1807" s="44"/>
      <c r="J1807" t="str">
        <f t="shared" si="56"/>
        <v/>
      </c>
      <c r="K1807" t="str">
        <f t="shared" si="57"/>
        <v/>
      </c>
    </row>
    <row r="1808" spans="7:11" x14ac:dyDescent="0.2">
      <c r="G1808" s="44"/>
      <c r="J1808" t="str">
        <f t="shared" si="56"/>
        <v/>
      </c>
      <c r="K1808" t="str">
        <f t="shared" si="57"/>
        <v/>
      </c>
    </row>
    <row r="1809" spans="7:11" x14ac:dyDescent="0.2">
      <c r="G1809" s="44"/>
      <c r="J1809" t="str">
        <f t="shared" si="56"/>
        <v/>
      </c>
      <c r="K1809" t="str">
        <f t="shared" si="57"/>
        <v/>
      </c>
    </row>
    <row r="1810" spans="7:11" x14ac:dyDescent="0.2">
      <c r="G1810" s="44"/>
      <c r="J1810" t="str">
        <f t="shared" si="56"/>
        <v/>
      </c>
      <c r="K1810" t="str">
        <f t="shared" si="57"/>
        <v/>
      </c>
    </row>
    <row r="1811" spans="7:11" x14ac:dyDescent="0.2">
      <c r="G1811" s="44"/>
      <c r="J1811" t="str">
        <f t="shared" si="56"/>
        <v/>
      </c>
      <c r="K1811" t="str">
        <f t="shared" si="57"/>
        <v/>
      </c>
    </row>
    <row r="1812" spans="7:11" x14ac:dyDescent="0.2">
      <c r="G1812" s="44"/>
      <c r="J1812" t="str">
        <f t="shared" si="56"/>
        <v/>
      </c>
      <c r="K1812" t="str">
        <f t="shared" si="57"/>
        <v/>
      </c>
    </row>
    <row r="1813" spans="7:11" x14ac:dyDescent="0.2">
      <c r="G1813" s="44"/>
      <c r="J1813" t="str">
        <f t="shared" si="56"/>
        <v/>
      </c>
      <c r="K1813" t="str">
        <f t="shared" si="57"/>
        <v/>
      </c>
    </row>
    <row r="1814" spans="7:11" x14ac:dyDescent="0.2">
      <c r="G1814" s="44"/>
      <c r="J1814" t="str">
        <f t="shared" si="56"/>
        <v/>
      </c>
      <c r="K1814" t="str">
        <f t="shared" si="57"/>
        <v/>
      </c>
    </row>
    <row r="1815" spans="7:11" x14ac:dyDescent="0.2">
      <c r="G1815" s="44"/>
      <c r="J1815" t="str">
        <f t="shared" si="56"/>
        <v/>
      </c>
      <c r="K1815" t="str">
        <f t="shared" si="57"/>
        <v/>
      </c>
    </row>
    <row r="1816" spans="7:11" x14ac:dyDescent="0.2">
      <c r="G1816" s="44"/>
      <c r="J1816" t="str">
        <f t="shared" si="56"/>
        <v/>
      </c>
      <c r="K1816" t="str">
        <f t="shared" si="57"/>
        <v/>
      </c>
    </row>
    <row r="1817" spans="7:11" x14ac:dyDescent="0.2">
      <c r="G1817" s="44"/>
      <c r="J1817" t="str">
        <f t="shared" si="56"/>
        <v/>
      </c>
      <c r="K1817" t="str">
        <f t="shared" si="57"/>
        <v/>
      </c>
    </row>
    <row r="1818" spans="7:11" x14ac:dyDescent="0.2">
      <c r="G1818" s="44"/>
      <c r="J1818" t="str">
        <f t="shared" si="56"/>
        <v/>
      </c>
      <c r="K1818" t="str">
        <f t="shared" si="57"/>
        <v/>
      </c>
    </row>
    <row r="1819" spans="7:11" x14ac:dyDescent="0.2">
      <c r="G1819" s="44"/>
      <c r="J1819" t="str">
        <f t="shared" si="56"/>
        <v/>
      </c>
      <c r="K1819" t="str">
        <f t="shared" si="57"/>
        <v/>
      </c>
    </row>
    <row r="1820" spans="7:11" x14ac:dyDescent="0.2">
      <c r="G1820" s="44"/>
      <c r="J1820" t="str">
        <f t="shared" si="56"/>
        <v/>
      </c>
      <c r="K1820" t="str">
        <f t="shared" si="57"/>
        <v/>
      </c>
    </row>
    <row r="1821" spans="7:11" x14ac:dyDescent="0.2">
      <c r="G1821" s="44"/>
      <c r="J1821" t="str">
        <f t="shared" si="56"/>
        <v/>
      </c>
      <c r="K1821" t="str">
        <f t="shared" si="57"/>
        <v/>
      </c>
    </row>
    <row r="1822" spans="7:11" x14ac:dyDescent="0.2">
      <c r="G1822" s="44"/>
      <c r="J1822" t="str">
        <f t="shared" si="56"/>
        <v/>
      </c>
      <c r="K1822" t="str">
        <f t="shared" si="57"/>
        <v/>
      </c>
    </row>
    <row r="1823" spans="7:11" x14ac:dyDescent="0.2">
      <c r="G1823" s="44"/>
      <c r="J1823" t="str">
        <f t="shared" si="56"/>
        <v/>
      </c>
      <c r="K1823" t="str">
        <f t="shared" si="57"/>
        <v/>
      </c>
    </row>
    <row r="1824" spans="7:11" x14ac:dyDescent="0.2">
      <c r="G1824" s="44"/>
      <c r="J1824" t="str">
        <f t="shared" si="56"/>
        <v/>
      </c>
      <c r="K1824" t="str">
        <f t="shared" si="57"/>
        <v/>
      </c>
    </row>
    <row r="1825" spans="7:11" x14ac:dyDescent="0.2">
      <c r="G1825" s="44"/>
      <c r="J1825" t="str">
        <f t="shared" si="56"/>
        <v/>
      </c>
      <c r="K1825" t="str">
        <f t="shared" si="57"/>
        <v/>
      </c>
    </row>
    <row r="1826" spans="7:11" x14ac:dyDescent="0.2">
      <c r="G1826" s="44"/>
      <c r="J1826" t="str">
        <f t="shared" si="56"/>
        <v/>
      </c>
      <c r="K1826" t="str">
        <f t="shared" si="57"/>
        <v/>
      </c>
    </row>
    <row r="1827" spans="7:11" x14ac:dyDescent="0.2">
      <c r="G1827" s="44"/>
      <c r="J1827" t="str">
        <f t="shared" si="56"/>
        <v/>
      </c>
      <c r="K1827" t="str">
        <f t="shared" si="57"/>
        <v/>
      </c>
    </row>
    <row r="1828" spans="7:11" x14ac:dyDescent="0.2">
      <c r="G1828" s="44"/>
      <c r="J1828" t="str">
        <f t="shared" si="56"/>
        <v/>
      </c>
      <c r="K1828" t="str">
        <f t="shared" si="57"/>
        <v/>
      </c>
    </row>
    <row r="1829" spans="7:11" x14ac:dyDescent="0.2">
      <c r="G1829" s="44"/>
      <c r="J1829" t="str">
        <f t="shared" si="56"/>
        <v/>
      </c>
      <c r="K1829" t="str">
        <f t="shared" si="57"/>
        <v/>
      </c>
    </row>
    <row r="1830" spans="7:11" x14ac:dyDescent="0.2">
      <c r="G1830" s="44"/>
      <c r="J1830" t="str">
        <f t="shared" si="56"/>
        <v/>
      </c>
      <c r="K1830" t="str">
        <f t="shared" si="57"/>
        <v/>
      </c>
    </row>
    <row r="1831" spans="7:11" x14ac:dyDescent="0.2">
      <c r="G1831" s="44"/>
      <c r="J1831" t="str">
        <f t="shared" si="56"/>
        <v/>
      </c>
      <c r="K1831" t="str">
        <f t="shared" si="57"/>
        <v/>
      </c>
    </row>
    <row r="1832" spans="7:11" x14ac:dyDescent="0.2">
      <c r="G1832" s="44"/>
      <c r="J1832" t="str">
        <f t="shared" si="56"/>
        <v/>
      </c>
      <c r="K1832" t="str">
        <f t="shared" si="57"/>
        <v/>
      </c>
    </row>
    <row r="1833" spans="7:11" x14ac:dyDescent="0.2">
      <c r="G1833" s="44"/>
      <c r="J1833" t="str">
        <f t="shared" si="56"/>
        <v/>
      </c>
      <c r="K1833" t="str">
        <f t="shared" si="57"/>
        <v/>
      </c>
    </row>
    <row r="1834" spans="7:11" x14ac:dyDescent="0.2">
      <c r="G1834" s="44"/>
      <c r="J1834" t="str">
        <f t="shared" si="56"/>
        <v/>
      </c>
      <c r="K1834" t="str">
        <f t="shared" si="57"/>
        <v/>
      </c>
    </row>
    <row r="1835" spans="7:11" x14ac:dyDescent="0.2">
      <c r="G1835" s="44"/>
      <c r="J1835" t="str">
        <f t="shared" si="56"/>
        <v/>
      </c>
      <c r="K1835" t="str">
        <f t="shared" si="57"/>
        <v/>
      </c>
    </row>
    <row r="1836" spans="7:11" x14ac:dyDescent="0.2">
      <c r="G1836" s="44"/>
      <c r="J1836" t="str">
        <f t="shared" si="56"/>
        <v/>
      </c>
      <c r="K1836" t="str">
        <f t="shared" si="57"/>
        <v/>
      </c>
    </row>
    <row r="1837" spans="7:11" x14ac:dyDescent="0.2">
      <c r="G1837" s="44"/>
      <c r="J1837" t="str">
        <f t="shared" si="56"/>
        <v/>
      </c>
      <c r="K1837" t="str">
        <f t="shared" si="57"/>
        <v/>
      </c>
    </row>
    <row r="1838" spans="7:11" x14ac:dyDescent="0.2">
      <c r="G1838" s="44"/>
      <c r="J1838" t="str">
        <f t="shared" si="56"/>
        <v/>
      </c>
      <c r="K1838" t="str">
        <f t="shared" si="57"/>
        <v/>
      </c>
    </row>
    <row r="1839" spans="7:11" x14ac:dyDescent="0.2">
      <c r="G1839" s="44"/>
      <c r="J1839" t="str">
        <f t="shared" si="56"/>
        <v/>
      </c>
      <c r="K1839" t="str">
        <f t="shared" si="57"/>
        <v/>
      </c>
    </row>
    <row r="1840" spans="7:11" x14ac:dyDescent="0.2">
      <c r="G1840" s="44"/>
      <c r="J1840" t="str">
        <f t="shared" si="56"/>
        <v/>
      </c>
      <c r="K1840" t="str">
        <f t="shared" si="57"/>
        <v/>
      </c>
    </row>
    <row r="1841" spans="7:11" x14ac:dyDescent="0.2">
      <c r="G1841" s="44"/>
      <c r="J1841" t="str">
        <f t="shared" si="56"/>
        <v/>
      </c>
      <c r="K1841" t="str">
        <f t="shared" si="57"/>
        <v/>
      </c>
    </row>
    <row r="1842" spans="7:11" x14ac:dyDescent="0.2">
      <c r="G1842" s="44"/>
      <c r="J1842" t="str">
        <f t="shared" si="56"/>
        <v/>
      </c>
      <c r="K1842" t="str">
        <f t="shared" si="57"/>
        <v/>
      </c>
    </row>
    <row r="1843" spans="7:11" x14ac:dyDescent="0.2">
      <c r="G1843" s="44"/>
      <c r="J1843" t="str">
        <f t="shared" si="56"/>
        <v/>
      </c>
      <c r="K1843" t="str">
        <f t="shared" si="57"/>
        <v/>
      </c>
    </row>
    <row r="1844" spans="7:11" x14ac:dyDescent="0.2">
      <c r="G1844" s="44"/>
      <c r="J1844" t="str">
        <f t="shared" si="56"/>
        <v/>
      </c>
      <c r="K1844" t="str">
        <f t="shared" si="57"/>
        <v/>
      </c>
    </row>
    <row r="1845" spans="7:11" x14ac:dyDescent="0.2">
      <c r="G1845" s="44"/>
      <c r="J1845" t="str">
        <f t="shared" si="56"/>
        <v/>
      </c>
      <c r="K1845" t="str">
        <f t="shared" si="57"/>
        <v/>
      </c>
    </row>
    <row r="1846" spans="7:11" x14ac:dyDescent="0.2">
      <c r="G1846" s="44"/>
      <c r="J1846" t="str">
        <f t="shared" si="56"/>
        <v/>
      </c>
      <c r="K1846" t="str">
        <f t="shared" si="57"/>
        <v/>
      </c>
    </row>
    <row r="1847" spans="7:11" x14ac:dyDescent="0.2">
      <c r="G1847" s="44"/>
      <c r="J1847" t="str">
        <f t="shared" si="56"/>
        <v/>
      </c>
      <c r="K1847" t="str">
        <f t="shared" si="57"/>
        <v/>
      </c>
    </row>
    <row r="1848" spans="7:11" x14ac:dyDescent="0.2">
      <c r="G1848" s="44"/>
      <c r="J1848" t="str">
        <f t="shared" si="56"/>
        <v/>
      </c>
      <c r="K1848" t="str">
        <f t="shared" si="57"/>
        <v/>
      </c>
    </row>
    <row r="1849" spans="7:11" x14ac:dyDescent="0.2">
      <c r="G1849" s="44"/>
      <c r="J1849" t="str">
        <f t="shared" si="56"/>
        <v/>
      </c>
      <c r="K1849" t="str">
        <f t="shared" si="57"/>
        <v/>
      </c>
    </row>
    <row r="1850" spans="7:11" x14ac:dyDescent="0.2">
      <c r="G1850" s="44"/>
      <c r="J1850" t="str">
        <f t="shared" si="56"/>
        <v/>
      </c>
      <c r="K1850" t="str">
        <f t="shared" si="57"/>
        <v/>
      </c>
    </row>
    <row r="1851" spans="7:11" x14ac:dyDescent="0.2">
      <c r="G1851" s="44"/>
      <c r="J1851" t="str">
        <f t="shared" si="56"/>
        <v/>
      </c>
      <c r="K1851" t="str">
        <f t="shared" si="57"/>
        <v/>
      </c>
    </row>
    <row r="1852" spans="7:11" x14ac:dyDescent="0.2">
      <c r="G1852" s="44"/>
      <c r="J1852" t="str">
        <f t="shared" si="56"/>
        <v/>
      </c>
      <c r="K1852" t="str">
        <f t="shared" si="57"/>
        <v/>
      </c>
    </row>
    <row r="1853" spans="7:11" x14ac:dyDescent="0.2">
      <c r="G1853" s="44"/>
      <c r="J1853" t="str">
        <f t="shared" si="56"/>
        <v/>
      </c>
      <c r="K1853" t="str">
        <f t="shared" si="57"/>
        <v/>
      </c>
    </row>
    <row r="1854" spans="7:11" x14ac:dyDescent="0.2">
      <c r="G1854" s="44"/>
      <c r="J1854" t="str">
        <f t="shared" si="56"/>
        <v/>
      </c>
      <c r="K1854" t="str">
        <f t="shared" si="57"/>
        <v/>
      </c>
    </row>
    <row r="1855" spans="7:11" x14ac:dyDescent="0.2">
      <c r="G1855" s="44"/>
      <c r="J1855" t="str">
        <f t="shared" si="56"/>
        <v/>
      </c>
      <c r="K1855" t="str">
        <f t="shared" si="57"/>
        <v/>
      </c>
    </row>
    <row r="1856" spans="7:11" x14ac:dyDescent="0.2">
      <c r="G1856" s="44"/>
      <c r="J1856" t="str">
        <f t="shared" si="56"/>
        <v/>
      </c>
      <c r="K1856" t="str">
        <f t="shared" si="57"/>
        <v/>
      </c>
    </row>
    <row r="1857" spans="7:11" x14ac:dyDescent="0.2">
      <c r="G1857" s="44"/>
      <c r="J1857" t="str">
        <f t="shared" si="56"/>
        <v/>
      </c>
      <c r="K1857" t="str">
        <f t="shared" si="57"/>
        <v/>
      </c>
    </row>
    <row r="1858" spans="7:11" x14ac:dyDescent="0.2">
      <c r="G1858" s="44"/>
      <c r="J1858" t="str">
        <f t="shared" ref="J1858:J1921" si="58">IF(E1858="","",IF(OR(E1858=50,E1858=51),"Iltindhold",IF(E1858=75,"Carbon,org,NVOC",IF(OR(E1858=343,E1858=1167),"Svovlbrinte",IF(OR(E1858=240,E1858=241,E1858=242),"Amm",IF(E1858=244,"Nitrit",IF(E1858=247,"Nitrat",IF(E1858=334,"Sulfat",IF(E1858=262,"Phosphor, total-P",F1858)))))))))</f>
        <v/>
      </c>
      <c r="K1858" t="str">
        <f t="shared" ref="K1858:K1921" si="59">IF(A1858="","",IF(H1858="!",NA(),IF(H1858="A",I1858*0.5,IF(H1858="&lt;",I1858*0.5,I1858))))</f>
        <v/>
      </c>
    </row>
    <row r="1859" spans="7:11" x14ac:dyDescent="0.2">
      <c r="G1859" s="44"/>
      <c r="J1859" t="str">
        <f t="shared" si="58"/>
        <v/>
      </c>
      <c r="K1859" t="str">
        <f t="shared" si="59"/>
        <v/>
      </c>
    </row>
    <row r="1860" spans="7:11" x14ac:dyDescent="0.2">
      <c r="G1860" s="44"/>
      <c r="J1860" t="str">
        <f t="shared" si="58"/>
        <v/>
      </c>
      <c r="K1860" t="str">
        <f t="shared" si="59"/>
        <v/>
      </c>
    </row>
    <row r="1861" spans="7:11" x14ac:dyDescent="0.2">
      <c r="G1861" s="44"/>
      <c r="J1861" t="str">
        <f t="shared" si="58"/>
        <v/>
      </c>
      <c r="K1861" t="str">
        <f t="shared" si="59"/>
        <v/>
      </c>
    </row>
    <row r="1862" spans="7:11" x14ac:dyDescent="0.2">
      <c r="G1862" s="44"/>
      <c r="J1862" t="str">
        <f t="shared" si="58"/>
        <v/>
      </c>
      <c r="K1862" t="str">
        <f t="shared" si="59"/>
        <v/>
      </c>
    </row>
    <row r="1863" spans="7:11" x14ac:dyDescent="0.2">
      <c r="G1863" s="44"/>
      <c r="J1863" t="str">
        <f t="shared" si="58"/>
        <v/>
      </c>
      <c r="K1863" t="str">
        <f t="shared" si="59"/>
        <v/>
      </c>
    </row>
    <row r="1864" spans="7:11" x14ac:dyDescent="0.2">
      <c r="G1864" s="44"/>
      <c r="J1864" t="str">
        <f t="shared" si="58"/>
        <v/>
      </c>
      <c r="K1864" t="str">
        <f t="shared" si="59"/>
        <v/>
      </c>
    </row>
    <row r="1865" spans="7:11" x14ac:dyDescent="0.2">
      <c r="G1865" s="44"/>
      <c r="J1865" t="str">
        <f t="shared" si="58"/>
        <v/>
      </c>
      <c r="K1865" t="str">
        <f t="shared" si="59"/>
        <v/>
      </c>
    </row>
    <row r="1866" spans="7:11" x14ac:dyDescent="0.2">
      <c r="G1866" s="44"/>
      <c r="J1866" t="str">
        <f t="shared" si="58"/>
        <v/>
      </c>
      <c r="K1866" t="str">
        <f t="shared" si="59"/>
        <v/>
      </c>
    </row>
    <row r="1867" spans="7:11" x14ac:dyDescent="0.2">
      <c r="G1867" s="44"/>
      <c r="J1867" t="str">
        <f t="shared" si="58"/>
        <v/>
      </c>
      <c r="K1867" t="str">
        <f t="shared" si="59"/>
        <v/>
      </c>
    </row>
    <row r="1868" spans="7:11" x14ac:dyDescent="0.2">
      <c r="G1868" s="44"/>
      <c r="J1868" t="str">
        <f t="shared" si="58"/>
        <v/>
      </c>
      <c r="K1868" t="str">
        <f t="shared" si="59"/>
        <v/>
      </c>
    </row>
    <row r="1869" spans="7:11" x14ac:dyDescent="0.2">
      <c r="G1869" s="44"/>
      <c r="J1869" t="str">
        <f t="shared" si="58"/>
        <v/>
      </c>
      <c r="K1869" t="str">
        <f t="shared" si="59"/>
        <v/>
      </c>
    </row>
    <row r="1870" spans="7:11" x14ac:dyDescent="0.2">
      <c r="G1870" s="44"/>
      <c r="J1870" t="str">
        <f t="shared" si="58"/>
        <v/>
      </c>
      <c r="K1870" t="str">
        <f t="shared" si="59"/>
        <v/>
      </c>
    </row>
    <row r="1871" spans="7:11" x14ac:dyDescent="0.2">
      <c r="G1871" s="44"/>
      <c r="J1871" t="str">
        <f t="shared" si="58"/>
        <v/>
      </c>
      <c r="K1871" t="str">
        <f t="shared" si="59"/>
        <v/>
      </c>
    </row>
    <row r="1872" spans="7:11" x14ac:dyDescent="0.2">
      <c r="G1872" s="44"/>
      <c r="J1872" t="str">
        <f t="shared" si="58"/>
        <v/>
      </c>
      <c r="K1872" t="str">
        <f t="shared" si="59"/>
        <v/>
      </c>
    </row>
    <row r="1873" spans="7:11" x14ac:dyDescent="0.2">
      <c r="G1873" s="44"/>
      <c r="J1873" t="str">
        <f t="shared" si="58"/>
        <v/>
      </c>
      <c r="K1873" t="str">
        <f t="shared" si="59"/>
        <v/>
      </c>
    </row>
    <row r="1874" spans="7:11" x14ac:dyDescent="0.2">
      <c r="G1874" s="44"/>
      <c r="J1874" t="str">
        <f t="shared" si="58"/>
        <v/>
      </c>
      <c r="K1874" t="str">
        <f t="shared" si="59"/>
        <v/>
      </c>
    </row>
    <row r="1875" spans="7:11" x14ac:dyDescent="0.2">
      <c r="G1875" s="44"/>
      <c r="J1875" t="str">
        <f t="shared" si="58"/>
        <v/>
      </c>
      <c r="K1875" t="str">
        <f t="shared" si="59"/>
        <v/>
      </c>
    </row>
    <row r="1876" spans="7:11" x14ac:dyDescent="0.2">
      <c r="G1876" s="44"/>
      <c r="J1876" t="str">
        <f t="shared" si="58"/>
        <v/>
      </c>
      <c r="K1876" t="str">
        <f t="shared" si="59"/>
        <v/>
      </c>
    </row>
    <row r="1877" spans="7:11" x14ac:dyDescent="0.2">
      <c r="G1877" s="44"/>
      <c r="J1877" t="str">
        <f t="shared" si="58"/>
        <v/>
      </c>
      <c r="K1877" t="str">
        <f t="shared" si="59"/>
        <v/>
      </c>
    </row>
    <row r="1878" spans="7:11" x14ac:dyDescent="0.2">
      <c r="G1878" s="44"/>
      <c r="J1878" t="str">
        <f t="shared" si="58"/>
        <v/>
      </c>
      <c r="K1878" t="str">
        <f t="shared" si="59"/>
        <v/>
      </c>
    </row>
    <row r="1879" spans="7:11" x14ac:dyDescent="0.2">
      <c r="G1879" s="44"/>
      <c r="J1879" t="str">
        <f t="shared" si="58"/>
        <v/>
      </c>
      <c r="K1879" t="str">
        <f t="shared" si="59"/>
        <v/>
      </c>
    </row>
    <row r="1880" spans="7:11" x14ac:dyDescent="0.2">
      <c r="G1880" s="44"/>
      <c r="J1880" t="str">
        <f t="shared" si="58"/>
        <v/>
      </c>
      <c r="K1880" t="str">
        <f t="shared" si="59"/>
        <v/>
      </c>
    </row>
    <row r="1881" spans="7:11" x14ac:dyDescent="0.2">
      <c r="G1881" s="44"/>
      <c r="J1881" t="str">
        <f t="shared" si="58"/>
        <v/>
      </c>
      <c r="K1881" t="str">
        <f t="shared" si="59"/>
        <v/>
      </c>
    </row>
    <row r="1882" spans="7:11" x14ac:dyDescent="0.2">
      <c r="G1882" s="44"/>
      <c r="J1882" t="str">
        <f t="shared" si="58"/>
        <v/>
      </c>
      <c r="K1882" t="str">
        <f t="shared" si="59"/>
        <v/>
      </c>
    </row>
    <row r="1883" spans="7:11" x14ac:dyDescent="0.2">
      <c r="G1883" s="44"/>
      <c r="J1883" t="str">
        <f t="shared" si="58"/>
        <v/>
      </c>
      <c r="K1883" t="str">
        <f t="shared" si="59"/>
        <v/>
      </c>
    </row>
    <row r="1884" spans="7:11" x14ac:dyDescent="0.2">
      <c r="G1884" s="44"/>
      <c r="J1884" t="str">
        <f t="shared" si="58"/>
        <v/>
      </c>
      <c r="K1884" t="str">
        <f t="shared" si="59"/>
        <v/>
      </c>
    </row>
    <row r="1885" spans="7:11" x14ac:dyDescent="0.2">
      <c r="G1885" s="44"/>
      <c r="J1885" t="str">
        <f t="shared" si="58"/>
        <v/>
      </c>
      <c r="K1885" t="str">
        <f t="shared" si="59"/>
        <v/>
      </c>
    </row>
    <row r="1886" spans="7:11" x14ac:dyDescent="0.2">
      <c r="G1886" s="44"/>
      <c r="J1886" t="str">
        <f t="shared" si="58"/>
        <v/>
      </c>
      <c r="K1886" t="str">
        <f t="shared" si="59"/>
        <v/>
      </c>
    </row>
    <row r="1887" spans="7:11" x14ac:dyDescent="0.2">
      <c r="G1887" s="44"/>
      <c r="J1887" t="str">
        <f t="shared" si="58"/>
        <v/>
      </c>
      <c r="K1887" t="str">
        <f t="shared" si="59"/>
        <v/>
      </c>
    </row>
    <row r="1888" spans="7:11" x14ac:dyDescent="0.2">
      <c r="G1888" s="44"/>
      <c r="J1888" t="str">
        <f t="shared" si="58"/>
        <v/>
      </c>
      <c r="K1888" t="str">
        <f t="shared" si="59"/>
        <v/>
      </c>
    </row>
    <row r="1889" spans="7:11" x14ac:dyDescent="0.2">
      <c r="G1889" s="44"/>
      <c r="J1889" t="str">
        <f t="shared" si="58"/>
        <v/>
      </c>
      <c r="K1889" t="str">
        <f t="shared" si="59"/>
        <v/>
      </c>
    </row>
    <row r="1890" spans="7:11" x14ac:dyDescent="0.2">
      <c r="G1890" s="44"/>
      <c r="J1890" t="str">
        <f t="shared" si="58"/>
        <v/>
      </c>
      <c r="K1890" t="str">
        <f t="shared" si="59"/>
        <v/>
      </c>
    </row>
    <row r="1891" spans="7:11" x14ac:dyDescent="0.2">
      <c r="G1891" s="44"/>
      <c r="J1891" t="str">
        <f t="shared" si="58"/>
        <v/>
      </c>
      <c r="K1891" t="str">
        <f t="shared" si="59"/>
        <v/>
      </c>
    </row>
    <row r="1892" spans="7:11" x14ac:dyDescent="0.2">
      <c r="G1892" s="44"/>
      <c r="J1892" t="str">
        <f t="shared" si="58"/>
        <v/>
      </c>
      <c r="K1892" t="str">
        <f t="shared" si="59"/>
        <v/>
      </c>
    </row>
    <row r="1893" spans="7:11" x14ac:dyDescent="0.2">
      <c r="G1893" s="44"/>
      <c r="J1893" t="str">
        <f t="shared" si="58"/>
        <v/>
      </c>
      <c r="K1893" t="str">
        <f t="shared" si="59"/>
        <v/>
      </c>
    </row>
    <row r="1894" spans="7:11" x14ac:dyDescent="0.2">
      <c r="G1894" s="44"/>
      <c r="J1894" t="str">
        <f t="shared" si="58"/>
        <v/>
      </c>
      <c r="K1894" t="str">
        <f t="shared" si="59"/>
        <v/>
      </c>
    </row>
    <row r="1895" spans="7:11" x14ac:dyDescent="0.2">
      <c r="G1895" s="44"/>
      <c r="J1895" t="str">
        <f t="shared" si="58"/>
        <v/>
      </c>
      <c r="K1895" t="str">
        <f t="shared" si="59"/>
        <v/>
      </c>
    </row>
    <row r="1896" spans="7:11" x14ac:dyDescent="0.2">
      <c r="G1896" s="44"/>
      <c r="J1896" t="str">
        <f t="shared" si="58"/>
        <v/>
      </c>
      <c r="K1896" t="str">
        <f t="shared" si="59"/>
        <v/>
      </c>
    </row>
    <row r="1897" spans="7:11" x14ac:dyDescent="0.2">
      <c r="G1897" s="44"/>
      <c r="J1897" t="str">
        <f t="shared" si="58"/>
        <v/>
      </c>
      <c r="K1897" t="str">
        <f t="shared" si="59"/>
        <v/>
      </c>
    </row>
    <row r="1898" spans="7:11" x14ac:dyDescent="0.2">
      <c r="G1898" s="44"/>
      <c r="J1898" t="str">
        <f t="shared" si="58"/>
        <v/>
      </c>
      <c r="K1898" t="str">
        <f t="shared" si="59"/>
        <v/>
      </c>
    </row>
    <row r="1899" spans="7:11" x14ac:dyDescent="0.2">
      <c r="G1899" s="44"/>
      <c r="J1899" t="str">
        <f t="shared" si="58"/>
        <v/>
      </c>
      <c r="K1899" t="str">
        <f t="shared" si="59"/>
        <v/>
      </c>
    </row>
    <row r="1900" spans="7:11" x14ac:dyDescent="0.2">
      <c r="G1900" s="44"/>
      <c r="J1900" t="str">
        <f t="shared" si="58"/>
        <v/>
      </c>
      <c r="K1900" t="str">
        <f t="shared" si="59"/>
        <v/>
      </c>
    </row>
    <row r="1901" spans="7:11" x14ac:dyDescent="0.2">
      <c r="G1901" s="44"/>
      <c r="J1901" t="str">
        <f t="shared" si="58"/>
        <v/>
      </c>
      <c r="K1901" t="str">
        <f t="shared" si="59"/>
        <v/>
      </c>
    </row>
    <row r="1902" spans="7:11" x14ac:dyDescent="0.2">
      <c r="G1902" s="44"/>
      <c r="J1902" t="str">
        <f t="shared" si="58"/>
        <v/>
      </c>
      <c r="K1902" t="str">
        <f t="shared" si="59"/>
        <v/>
      </c>
    </row>
    <row r="1903" spans="7:11" x14ac:dyDescent="0.2">
      <c r="G1903" s="44"/>
      <c r="J1903" t="str">
        <f t="shared" si="58"/>
        <v/>
      </c>
      <c r="K1903" t="str">
        <f t="shared" si="59"/>
        <v/>
      </c>
    </row>
    <row r="1904" spans="7:11" x14ac:dyDescent="0.2">
      <c r="G1904" s="44"/>
      <c r="J1904" t="str">
        <f t="shared" si="58"/>
        <v/>
      </c>
      <c r="K1904" t="str">
        <f t="shared" si="59"/>
        <v/>
      </c>
    </row>
    <row r="1905" spans="7:11" x14ac:dyDescent="0.2">
      <c r="G1905" s="44"/>
      <c r="J1905" t="str">
        <f t="shared" si="58"/>
        <v/>
      </c>
      <c r="K1905" t="str">
        <f t="shared" si="59"/>
        <v/>
      </c>
    </row>
    <row r="1906" spans="7:11" x14ac:dyDescent="0.2">
      <c r="G1906" s="44"/>
      <c r="J1906" t="str">
        <f t="shared" si="58"/>
        <v/>
      </c>
      <c r="K1906" t="str">
        <f t="shared" si="59"/>
        <v/>
      </c>
    </row>
    <row r="1907" spans="7:11" x14ac:dyDescent="0.2">
      <c r="G1907" s="44"/>
      <c r="J1907" t="str">
        <f t="shared" si="58"/>
        <v/>
      </c>
      <c r="K1907" t="str">
        <f t="shared" si="59"/>
        <v/>
      </c>
    </row>
    <row r="1908" spans="7:11" x14ac:dyDescent="0.2">
      <c r="G1908" s="44"/>
      <c r="J1908" t="str">
        <f t="shared" si="58"/>
        <v/>
      </c>
      <c r="K1908" t="str">
        <f t="shared" si="59"/>
        <v/>
      </c>
    </row>
    <row r="1909" spans="7:11" x14ac:dyDescent="0.2">
      <c r="G1909" s="44"/>
      <c r="J1909" t="str">
        <f t="shared" si="58"/>
        <v/>
      </c>
      <c r="K1909" t="str">
        <f t="shared" si="59"/>
        <v/>
      </c>
    </row>
    <row r="1910" spans="7:11" x14ac:dyDescent="0.2">
      <c r="G1910" s="44"/>
      <c r="J1910" t="str">
        <f t="shared" si="58"/>
        <v/>
      </c>
      <c r="K1910" t="str">
        <f t="shared" si="59"/>
        <v/>
      </c>
    </row>
    <row r="1911" spans="7:11" x14ac:dyDescent="0.2">
      <c r="G1911" s="44"/>
      <c r="J1911" t="str">
        <f t="shared" si="58"/>
        <v/>
      </c>
      <c r="K1911" t="str">
        <f t="shared" si="59"/>
        <v/>
      </c>
    </row>
    <row r="1912" spans="7:11" x14ac:dyDescent="0.2">
      <c r="G1912" s="44"/>
      <c r="J1912" t="str">
        <f t="shared" si="58"/>
        <v/>
      </c>
      <c r="K1912" t="str">
        <f t="shared" si="59"/>
        <v/>
      </c>
    </row>
    <row r="1913" spans="7:11" x14ac:dyDescent="0.2">
      <c r="G1913" s="44"/>
      <c r="J1913" t="str">
        <f t="shared" si="58"/>
        <v/>
      </c>
      <c r="K1913" t="str">
        <f t="shared" si="59"/>
        <v/>
      </c>
    </row>
    <row r="1914" spans="7:11" x14ac:dyDescent="0.2">
      <c r="G1914" s="44"/>
      <c r="J1914" t="str">
        <f t="shared" si="58"/>
        <v/>
      </c>
      <c r="K1914" t="str">
        <f t="shared" si="59"/>
        <v/>
      </c>
    </row>
    <row r="1915" spans="7:11" x14ac:dyDescent="0.2">
      <c r="G1915" s="44"/>
      <c r="J1915" t="str">
        <f t="shared" si="58"/>
        <v/>
      </c>
      <c r="K1915" t="str">
        <f t="shared" si="59"/>
        <v/>
      </c>
    </row>
    <row r="1916" spans="7:11" x14ac:dyDescent="0.2">
      <c r="G1916" s="44"/>
      <c r="J1916" t="str">
        <f t="shared" si="58"/>
        <v/>
      </c>
      <c r="K1916" t="str">
        <f t="shared" si="59"/>
        <v/>
      </c>
    </row>
    <row r="1917" spans="7:11" x14ac:dyDescent="0.2">
      <c r="G1917" s="44"/>
      <c r="J1917" t="str">
        <f t="shared" si="58"/>
        <v/>
      </c>
      <c r="K1917" t="str">
        <f t="shared" si="59"/>
        <v/>
      </c>
    </row>
    <row r="1918" spans="7:11" x14ac:dyDescent="0.2">
      <c r="G1918" s="44"/>
      <c r="J1918" t="str">
        <f t="shared" si="58"/>
        <v/>
      </c>
      <c r="K1918" t="str">
        <f t="shared" si="59"/>
        <v/>
      </c>
    </row>
    <row r="1919" spans="7:11" x14ac:dyDescent="0.2">
      <c r="G1919" s="44"/>
      <c r="J1919" t="str">
        <f t="shared" si="58"/>
        <v/>
      </c>
      <c r="K1919" t="str">
        <f t="shared" si="59"/>
        <v/>
      </c>
    </row>
    <row r="1920" spans="7:11" x14ac:dyDescent="0.2">
      <c r="G1920" s="44"/>
      <c r="J1920" t="str">
        <f t="shared" si="58"/>
        <v/>
      </c>
      <c r="K1920" t="str">
        <f t="shared" si="59"/>
        <v/>
      </c>
    </row>
    <row r="1921" spans="7:11" x14ac:dyDescent="0.2">
      <c r="G1921" s="44"/>
      <c r="J1921" t="str">
        <f t="shared" si="58"/>
        <v/>
      </c>
      <c r="K1921" t="str">
        <f t="shared" si="59"/>
        <v/>
      </c>
    </row>
    <row r="1922" spans="7:11" x14ac:dyDescent="0.2">
      <c r="G1922" s="44"/>
      <c r="J1922" t="str">
        <f t="shared" ref="J1922:J1985" si="60">IF(E1922="","",IF(OR(E1922=50,E1922=51),"Iltindhold",IF(E1922=75,"Carbon,org,NVOC",IF(OR(E1922=343,E1922=1167),"Svovlbrinte",IF(OR(E1922=240,E1922=241,E1922=242),"Amm",IF(E1922=244,"Nitrit",IF(E1922=247,"Nitrat",IF(E1922=334,"Sulfat",IF(E1922=262,"Phosphor, total-P",F1922)))))))))</f>
        <v/>
      </c>
      <c r="K1922" t="str">
        <f t="shared" ref="K1922:K1985" si="61">IF(A1922="","",IF(H1922="!",NA(),IF(H1922="A",I1922*0.5,IF(H1922="&lt;",I1922*0.5,I1922))))</f>
        <v/>
      </c>
    </row>
    <row r="1923" spans="7:11" x14ac:dyDescent="0.2">
      <c r="G1923" s="44"/>
      <c r="J1923" t="str">
        <f t="shared" si="60"/>
        <v/>
      </c>
      <c r="K1923" t="str">
        <f t="shared" si="61"/>
        <v/>
      </c>
    </row>
    <row r="1924" spans="7:11" x14ac:dyDescent="0.2">
      <c r="G1924" s="44"/>
      <c r="J1924" t="str">
        <f t="shared" si="60"/>
        <v/>
      </c>
      <c r="K1924" t="str">
        <f t="shared" si="61"/>
        <v/>
      </c>
    </row>
    <row r="1925" spans="7:11" x14ac:dyDescent="0.2">
      <c r="G1925" s="44"/>
      <c r="J1925" t="str">
        <f t="shared" si="60"/>
        <v/>
      </c>
      <c r="K1925" t="str">
        <f t="shared" si="61"/>
        <v/>
      </c>
    </row>
    <row r="1926" spans="7:11" x14ac:dyDescent="0.2">
      <c r="G1926" s="44"/>
      <c r="J1926" t="str">
        <f t="shared" si="60"/>
        <v/>
      </c>
      <c r="K1926" t="str">
        <f t="shared" si="61"/>
        <v/>
      </c>
    </row>
    <row r="1927" spans="7:11" x14ac:dyDescent="0.2">
      <c r="G1927" s="44"/>
      <c r="J1927" t="str">
        <f t="shared" si="60"/>
        <v/>
      </c>
      <c r="K1927" t="str">
        <f t="shared" si="61"/>
        <v/>
      </c>
    </row>
    <row r="1928" spans="7:11" x14ac:dyDescent="0.2">
      <c r="G1928" s="44"/>
      <c r="J1928" t="str">
        <f t="shared" si="60"/>
        <v/>
      </c>
      <c r="K1928" t="str">
        <f t="shared" si="61"/>
        <v/>
      </c>
    </row>
    <row r="1929" spans="7:11" x14ac:dyDescent="0.2">
      <c r="G1929" s="44"/>
      <c r="J1929" t="str">
        <f t="shared" si="60"/>
        <v/>
      </c>
      <c r="K1929" t="str">
        <f t="shared" si="61"/>
        <v/>
      </c>
    </row>
    <row r="1930" spans="7:11" x14ac:dyDescent="0.2">
      <c r="G1930" s="44"/>
      <c r="J1930" t="str">
        <f t="shared" si="60"/>
        <v/>
      </c>
      <c r="K1930" t="str">
        <f t="shared" si="61"/>
        <v/>
      </c>
    </row>
    <row r="1931" spans="7:11" x14ac:dyDescent="0.2">
      <c r="G1931" s="44"/>
      <c r="J1931" t="str">
        <f t="shared" si="60"/>
        <v/>
      </c>
      <c r="K1931" t="str">
        <f t="shared" si="61"/>
        <v/>
      </c>
    </row>
    <row r="1932" spans="7:11" x14ac:dyDescent="0.2">
      <c r="G1932" s="44"/>
      <c r="J1932" t="str">
        <f t="shared" si="60"/>
        <v/>
      </c>
      <c r="K1932" t="str">
        <f t="shared" si="61"/>
        <v/>
      </c>
    </row>
    <row r="1933" spans="7:11" x14ac:dyDescent="0.2">
      <c r="G1933" s="44"/>
      <c r="J1933" t="str">
        <f t="shared" si="60"/>
        <v/>
      </c>
      <c r="K1933" t="str">
        <f t="shared" si="61"/>
        <v/>
      </c>
    </row>
    <row r="1934" spans="7:11" x14ac:dyDescent="0.2">
      <c r="G1934" s="44"/>
      <c r="J1934" t="str">
        <f t="shared" si="60"/>
        <v/>
      </c>
      <c r="K1934" t="str">
        <f t="shared" si="61"/>
        <v/>
      </c>
    </row>
    <row r="1935" spans="7:11" x14ac:dyDescent="0.2">
      <c r="G1935" s="44"/>
      <c r="J1935" t="str">
        <f t="shared" si="60"/>
        <v/>
      </c>
      <c r="K1935" t="str">
        <f t="shared" si="61"/>
        <v/>
      </c>
    </row>
    <row r="1936" spans="7:11" x14ac:dyDescent="0.2">
      <c r="G1936" s="44"/>
      <c r="J1936" t="str">
        <f t="shared" si="60"/>
        <v/>
      </c>
      <c r="K1936" t="str">
        <f t="shared" si="61"/>
        <v/>
      </c>
    </row>
    <row r="1937" spans="7:11" x14ac:dyDescent="0.2">
      <c r="G1937" s="44"/>
      <c r="J1937" t="str">
        <f t="shared" si="60"/>
        <v/>
      </c>
      <c r="K1937" t="str">
        <f t="shared" si="61"/>
        <v/>
      </c>
    </row>
    <row r="1938" spans="7:11" x14ac:dyDescent="0.2">
      <c r="G1938" s="44"/>
      <c r="J1938" t="str">
        <f t="shared" si="60"/>
        <v/>
      </c>
      <c r="K1938" t="str">
        <f t="shared" si="61"/>
        <v/>
      </c>
    </row>
    <row r="1939" spans="7:11" x14ac:dyDescent="0.2">
      <c r="G1939" s="44"/>
      <c r="J1939" t="str">
        <f t="shared" si="60"/>
        <v/>
      </c>
      <c r="K1939" t="str">
        <f t="shared" si="61"/>
        <v/>
      </c>
    </row>
    <row r="1940" spans="7:11" x14ac:dyDescent="0.2">
      <c r="G1940" s="44"/>
      <c r="J1940" t="str">
        <f t="shared" si="60"/>
        <v/>
      </c>
      <c r="K1940" t="str">
        <f t="shared" si="61"/>
        <v/>
      </c>
    </row>
    <row r="1941" spans="7:11" x14ac:dyDescent="0.2">
      <c r="G1941" s="44"/>
      <c r="J1941" t="str">
        <f t="shared" si="60"/>
        <v/>
      </c>
      <c r="K1941" t="str">
        <f t="shared" si="61"/>
        <v/>
      </c>
    </row>
    <row r="1942" spans="7:11" x14ac:dyDescent="0.2">
      <c r="G1942" s="44"/>
      <c r="J1942" t="str">
        <f t="shared" si="60"/>
        <v/>
      </c>
      <c r="K1942" t="str">
        <f t="shared" si="61"/>
        <v/>
      </c>
    </row>
    <row r="1943" spans="7:11" x14ac:dyDescent="0.2">
      <c r="G1943" s="44"/>
      <c r="J1943" t="str">
        <f t="shared" si="60"/>
        <v/>
      </c>
      <c r="K1943" t="str">
        <f t="shared" si="61"/>
        <v/>
      </c>
    </row>
    <row r="1944" spans="7:11" x14ac:dyDescent="0.2">
      <c r="G1944" s="44"/>
      <c r="J1944" t="str">
        <f t="shared" si="60"/>
        <v/>
      </c>
      <c r="K1944" t="str">
        <f t="shared" si="61"/>
        <v/>
      </c>
    </row>
    <row r="1945" spans="7:11" x14ac:dyDescent="0.2">
      <c r="G1945" s="44"/>
      <c r="J1945" t="str">
        <f t="shared" si="60"/>
        <v/>
      </c>
      <c r="K1945" t="str">
        <f t="shared" si="61"/>
        <v/>
      </c>
    </row>
    <row r="1946" spans="7:11" x14ac:dyDescent="0.2">
      <c r="G1946" s="44"/>
      <c r="J1946" t="str">
        <f t="shared" si="60"/>
        <v/>
      </c>
      <c r="K1946" t="str">
        <f t="shared" si="61"/>
        <v/>
      </c>
    </row>
    <row r="1947" spans="7:11" x14ac:dyDescent="0.2">
      <c r="G1947" s="44"/>
      <c r="J1947" t="str">
        <f t="shared" si="60"/>
        <v/>
      </c>
      <c r="K1947" t="str">
        <f t="shared" si="61"/>
        <v/>
      </c>
    </row>
    <row r="1948" spans="7:11" x14ac:dyDescent="0.2">
      <c r="G1948" s="44"/>
      <c r="J1948" t="str">
        <f t="shared" si="60"/>
        <v/>
      </c>
      <c r="K1948" t="str">
        <f t="shared" si="61"/>
        <v/>
      </c>
    </row>
    <row r="1949" spans="7:11" x14ac:dyDescent="0.2">
      <c r="G1949" s="44"/>
      <c r="J1949" t="str">
        <f t="shared" si="60"/>
        <v/>
      </c>
      <c r="K1949" t="str">
        <f t="shared" si="61"/>
        <v/>
      </c>
    </row>
    <row r="1950" spans="7:11" x14ac:dyDescent="0.2">
      <c r="G1950" s="44"/>
      <c r="J1950" t="str">
        <f t="shared" si="60"/>
        <v/>
      </c>
      <c r="K1950" t="str">
        <f t="shared" si="61"/>
        <v/>
      </c>
    </row>
    <row r="1951" spans="7:11" x14ac:dyDescent="0.2">
      <c r="G1951" s="44"/>
      <c r="J1951" t="str">
        <f t="shared" si="60"/>
        <v/>
      </c>
      <c r="K1951" t="str">
        <f t="shared" si="61"/>
        <v/>
      </c>
    </row>
    <row r="1952" spans="7:11" x14ac:dyDescent="0.2">
      <c r="G1952" s="44"/>
      <c r="J1952" t="str">
        <f t="shared" si="60"/>
        <v/>
      </c>
      <c r="K1952" t="str">
        <f t="shared" si="61"/>
        <v/>
      </c>
    </row>
    <row r="1953" spans="7:11" x14ac:dyDescent="0.2">
      <c r="G1953" s="44"/>
      <c r="J1953" t="str">
        <f t="shared" si="60"/>
        <v/>
      </c>
      <c r="K1953" t="str">
        <f t="shared" si="61"/>
        <v/>
      </c>
    </row>
    <row r="1954" spans="7:11" x14ac:dyDescent="0.2">
      <c r="G1954" s="44"/>
      <c r="J1954" t="str">
        <f t="shared" si="60"/>
        <v/>
      </c>
      <c r="K1954" t="str">
        <f t="shared" si="61"/>
        <v/>
      </c>
    </row>
    <row r="1955" spans="7:11" x14ac:dyDescent="0.2">
      <c r="G1955" s="44"/>
      <c r="J1955" t="str">
        <f t="shared" si="60"/>
        <v/>
      </c>
      <c r="K1955" t="str">
        <f t="shared" si="61"/>
        <v/>
      </c>
    </row>
    <row r="1956" spans="7:11" x14ac:dyDescent="0.2">
      <c r="G1956" s="44"/>
      <c r="J1956" t="str">
        <f t="shared" si="60"/>
        <v/>
      </c>
      <c r="K1956" t="str">
        <f t="shared" si="61"/>
        <v/>
      </c>
    </row>
    <row r="1957" spans="7:11" x14ac:dyDescent="0.2">
      <c r="G1957" s="44"/>
      <c r="J1957" t="str">
        <f t="shared" si="60"/>
        <v/>
      </c>
      <c r="K1957" t="str">
        <f t="shared" si="61"/>
        <v/>
      </c>
    </row>
    <row r="1958" spans="7:11" x14ac:dyDescent="0.2">
      <c r="G1958" s="44"/>
      <c r="J1958" t="str">
        <f t="shared" si="60"/>
        <v/>
      </c>
      <c r="K1958" t="str">
        <f t="shared" si="61"/>
        <v/>
      </c>
    </row>
    <row r="1959" spans="7:11" x14ac:dyDescent="0.2">
      <c r="G1959" s="44"/>
      <c r="J1959" t="str">
        <f t="shared" si="60"/>
        <v/>
      </c>
      <c r="K1959" t="str">
        <f t="shared" si="61"/>
        <v/>
      </c>
    </row>
    <row r="1960" spans="7:11" x14ac:dyDescent="0.2">
      <c r="G1960" s="44"/>
      <c r="J1960" t="str">
        <f t="shared" si="60"/>
        <v/>
      </c>
      <c r="K1960" t="str">
        <f t="shared" si="61"/>
        <v/>
      </c>
    </row>
    <row r="1961" spans="7:11" x14ac:dyDescent="0.2">
      <c r="G1961" s="44"/>
      <c r="J1961" t="str">
        <f t="shared" si="60"/>
        <v/>
      </c>
      <c r="K1961" t="str">
        <f t="shared" si="61"/>
        <v/>
      </c>
    </row>
    <row r="1962" spans="7:11" x14ac:dyDescent="0.2">
      <c r="G1962" s="44"/>
      <c r="J1962" t="str">
        <f t="shared" si="60"/>
        <v/>
      </c>
      <c r="K1962" t="str">
        <f t="shared" si="61"/>
        <v/>
      </c>
    </row>
    <row r="1963" spans="7:11" x14ac:dyDescent="0.2">
      <c r="G1963" s="44"/>
      <c r="J1963" t="str">
        <f t="shared" si="60"/>
        <v/>
      </c>
      <c r="K1963" t="str">
        <f t="shared" si="61"/>
        <v/>
      </c>
    </row>
    <row r="1964" spans="7:11" x14ac:dyDescent="0.2">
      <c r="G1964" s="44"/>
      <c r="J1964" t="str">
        <f t="shared" si="60"/>
        <v/>
      </c>
      <c r="K1964" t="str">
        <f t="shared" si="61"/>
        <v/>
      </c>
    </row>
    <row r="1965" spans="7:11" x14ac:dyDescent="0.2">
      <c r="G1965" s="44"/>
      <c r="J1965" t="str">
        <f t="shared" si="60"/>
        <v/>
      </c>
      <c r="K1965" t="str">
        <f t="shared" si="61"/>
        <v/>
      </c>
    </row>
    <row r="1966" spans="7:11" x14ac:dyDescent="0.2">
      <c r="G1966" s="44"/>
      <c r="J1966" t="str">
        <f t="shared" si="60"/>
        <v/>
      </c>
      <c r="K1966" t="str">
        <f t="shared" si="61"/>
        <v/>
      </c>
    </row>
    <row r="1967" spans="7:11" x14ac:dyDescent="0.2">
      <c r="G1967" s="44"/>
      <c r="J1967" t="str">
        <f t="shared" si="60"/>
        <v/>
      </c>
      <c r="K1967" t="str">
        <f t="shared" si="61"/>
        <v/>
      </c>
    </row>
    <row r="1968" spans="7:11" x14ac:dyDescent="0.2">
      <c r="G1968" s="44"/>
      <c r="J1968" t="str">
        <f t="shared" si="60"/>
        <v/>
      </c>
      <c r="K1968" t="str">
        <f t="shared" si="61"/>
        <v/>
      </c>
    </row>
    <row r="1969" spans="7:11" x14ac:dyDescent="0.2">
      <c r="G1969" s="44"/>
      <c r="J1969" t="str">
        <f t="shared" si="60"/>
        <v/>
      </c>
      <c r="K1969" t="str">
        <f t="shared" si="61"/>
        <v/>
      </c>
    </row>
    <row r="1970" spans="7:11" x14ac:dyDescent="0.2">
      <c r="G1970" s="44"/>
      <c r="J1970" t="str">
        <f t="shared" si="60"/>
        <v/>
      </c>
      <c r="K1970" t="str">
        <f t="shared" si="61"/>
        <v/>
      </c>
    </row>
    <row r="1971" spans="7:11" x14ac:dyDescent="0.2">
      <c r="G1971" s="44"/>
      <c r="J1971" t="str">
        <f t="shared" si="60"/>
        <v/>
      </c>
      <c r="K1971" t="str">
        <f t="shared" si="61"/>
        <v/>
      </c>
    </row>
    <row r="1972" spans="7:11" x14ac:dyDescent="0.2">
      <c r="G1972" s="44"/>
      <c r="J1972" t="str">
        <f t="shared" si="60"/>
        <v/>
      </c>
      <c r="K1972" t="str">
        <f t="shared" si="61"/>
        <v/>
      </c>
    </row>
    <row r="1973" spans="7:11" x14ac:dyDescent="0.2">
      <c r="G1973" s="44"/>
      <c r="J1973" t="str">
        <f t="shared" si="60"/>
        <v/>
      </c>
      <c r="K1973" t="str">
        <f t="shared" si="61"/>
        <v/>
      </c>
    </row>
    <row r="1974" spans="7:11" x14ac:dyDescent="0.2">
      <c r="G1974" s="44"/>
      <c r="J1974" t="str">
        <f t="shared" si="60"/>
        <v/>
      </c>
      <c r="K1974" t="str">
        <f t="shared" si="61"/>
        <v/>
      </c>
    </row>
    <row r="1975" spans="7:11" x14ac:dyDescent="0.2">
      <c r="G1975" s="44"/>
      <c r="J1975" t="str">
        <f t="shared" si="60"/>
        <v/>
      </c>
      <c r="K1975" t="str">
        <f t="shared" si="61"/>
        <v/>
      </c>
    </row>
    <row r="1976" spans="7:11" x14ac:dyDescent="0.2">
      <c r="G1976" s="44"/>
      <c r="J1976" t="str">
        <f t="shared" si="60"/>
        <v/>
      </c>
      <c r="K1976" t="str">
        <f t="shared" si="61"/>
        <v/>
      </c>
    </row>
    <row r="1977" spans="7:11" x14ac:dyDescent="0.2">
      <c r="G1977" s="44"/>
      <c r="J1977" t="str">
        <f t="shared" si="60"/>
        <v/>
      </c>
      <c r="K1977" t="str">
        <f t="shared" si="61"/>
        <v/>
      </c>
    </row>
    <row r="1978" spans="7:11" x14ac:dyDescent="0.2">
      <c r="G1978" s="44"/>
      <c r="J1978" t="str">
        <f t="shared" si="60"/>
        <v/>
      </c>
      <c r="K1978" t="str">
        <f t="shared" si="61"/>
        <v/>
      </c>
    </row>
    <row r="1979" spans="7:11" x14ac:dyDescent="0.2">
      <c r="G1979" s="44"/>
      <c r="J1979" t="str">
        <f t="shared" si="60"/>
        <v/>
      </c>
      <c r="K1979" t="str">
        <f t="shared" si="61"/>
        <v/>
      </c>
    </row>
    <row r="1980" spans="7:11" x14ac:dyDescent="0.2">
      <c r="G1980" s="44"/>
      <c r="J1980" t="str">
        <f t="shared" si="60"/>
        <v/>
      </c>
      <c r="K1980" t="str">
        <f t="shared" si="61"/>
        <v/>
      </c>
    </row>
    <row r="1981" spans="7:11" x14ac:dyDescent="0.2">
      <c r="G1981" s="44"/>
      <c r="J1981" t="str">
        <f t="shared" si="60"/>
        <v/>
      </c>
      <c r="K1981" t="str">
        <f t="shared" si="61"/>
        <v/>
      </c>
    </row>
    <row r="1982" spans="7:11" x14ac:dyDescent="0.2">
      <c r="G1982" s="44"/>
      <c r="J1982" t="str">
        <f t="shared" si="60"/>
        <v/>
      </c>
      <c r="K1982" t="str">
        <f t="shared" si="61"/>
        <v/>
      </c>
    </row>
    <row r="1983" spans="7:11" x14ac:dyDescent="0.2">
      <c r="G1983" s="44"/>
      <c r="J1983" t="str">
        <f t="shared" si="60"/>
        <v/>
      </c>
      <c r="K1983" t="str">
        <f t="shared" si="61"/>
        <v/>
      </c>
    </row>
    <row r="1984" spans="7:11" x14ac:dyDescent="0.2">
      <c r="G1984" s="44"/>
      <c r="J1984" t="str">
        <f t="shared" si="60"/>
        <v/>
      </c>
      <c r="K1984" t="str">
        <f t="shared" si="61"/>
        <v/>
      </c>
    </row>
    <row r="1985" spans="7:11" x14ac:dyDescent="0.2">
      <c r="G1985" s="44"/>
      <c r="J1985" t="str">
        <f t="shared" si="60"/>
        <v/>
      </c>
      <c r="K1985" t="str">
        <f t="shared" si="61"/>
        <v/>
      </c>
    </row>
    <row r="1986" spans="7:11" x14ac:dyDescent="0.2">
      <c r="G1986" s="44"/>
      <c r="J1986" t="str">
        <f t="shared" ref="J1986:J2049" si="62">IF(E1986="","",IF(OR(E1986=50,E1986=51),"Iltindhold",IF(E1986=75,"Carbon,org,NVOC",IF(OR(E1986=343,E1986=1167),"Svovlbrinte",IF(OR(E1986=240,E1986=241,E1986=242),"Amm",IF(E1986=244,"Nitrit",IF(E1986=247,"Nitrat",IF(E1986=334,"Sulfat",IF(E1986=262,"Phosphor, total-P",F1986)))))))))</f>
        <v/>
      </c>
      <c r="K1986" t="str">
        <f t="shared" ref="K1986:K2049" si="63">IF(A1986="","",IF(H1986="!",NA(),IF(H1986="A",I1986*0.5,IF(H1986="&lt;",I1986*0.5,I1986))))</f>
        <v/>
      </c>
    </row>
    <row r="1987" spans="7:11" x14ac:dyDescent="0.2">
      <c r="G1987" s="44"/>
      <c r="J1987" t="str">
        <f t="shared" si="62"/>
        <v/>
      </c>
      <c r="K1987" t="str">
        <f t="shared" si="63"/>
        <v/>
      </c>
    </row>
    <row r="1988" spans="7:11" x14ac:dyDescent="0.2">
      <c r="G1988" s="44"/>
      <c r="J1988" t="str">
        <f t="shared" si="62"/>
        <v/>
      </c>
      <c r="K1988" t="str">
        <f t="shared" si="63"/>
        <v/>
      </c>
    </row>
    <row r="1989" spans="7:11" x14ac:dyDescent="0.2">
      <c r="G1989" s="44"/>
      <c r="J1989" t="str">
        <f t="shared" si="62"/>
        <v/>
      </c>
      <c r="K1989" t="str">
        <f t="shared" si="63"/>
        <v/>
      </c>
    </row>
    <row r="1990" spans="7:11" x14ac:dyDescent="0.2">
      <c r="G1990" s="44"/>
      <c r="J1990" t="str">
        <f t="shared" si="62"/>
        <v/>
      </c>
      <c r="K1990" t="str">
        <f t="shared" si="63"/>
        <v/>
      </c>
    </row>
    <row r="1991" spans="7:11" x14ac:dyDescent="0.2">
      <c r="G1991" s="44"/>
      <c r="J1991" t="str">
        <f t="shared" si="62"/>
        <v/>
      </c>
      <c r="K1991" t="str">
        <f t="shared" si="63"/>
        <v/>
      </c>
    </row>
    <row r="1992" spans="7:11" x14ac:dyDescent="0.2">
      <c r="G1992" s="44"/>
      <c r="J1992" t="str">
        <f t="shared" si="62"/>
        <v/>
      </c>
      <c r="K1992" t="str">
        <f t="shared" si="63"/>
        <v/>
      </c>
    </row>
    <row r="1993" spans="7:11" x14ac:dyDescent="0.2">
      <c r="G1993" s="44"/>
      <c r="J1993" t="str">
        <f t="shared" si="62"/>
        <v/>
      </c>
      <c r="K1993" t="str">
        <f t="shared" si="63"/>
        <v/>
      </c>
    </row>
    <row r="1994" spans="7:11" x14ac:dyDescent="0.2">
      <c r="G1994" s="44"/>
      <c r="J1994" t="str">
        <f t="shared" si="62"/>
        <v/>
      </c>
      <c r="K1994" t="str">
        <f t="shared" si="63"/>
        <v/>
      </c>
    </row>
    <row r="1995" spans="7:11" x14ac:dyDescent="0.2">
      <c r="G1995" s="44"/>
      <c r="J1995" t="str">
        <f t="shared" si="62"/>
        <v/>
      </c>
      <c r="K1995" t="str">
        <f t="shared" si="63"/>
        <v/>
      </c>
    </row>
    <row r="1996" spans="7:11" x14ac:dyDescent="0.2">
      <c r="G1996" s="44"/>
      <c r="J1996" t="str">
        <f t="shared" si="62"/>
        <v/>
      </c>
      <c r="K1996" t="str">
        <f t="shared" si="63"/>
        <v/>
      </c>
    </row>
    <row r="1997" spans="7:11" x14ac:dyDescent="0.2">
      <c r="G1997" s="44"/>
      <c r="J1997" t="str">
        <f t="shared" si="62"/>
        <v/>
      </c>
      <c r="K1997" t="str">
        <f t="shared" si="63"/>
        <v/>
      </c>
    </row>
    <row r="1998" spans="7:11" x14ac:dyDescent="0.2">
      <c r="G1998" s="44"/>
      <c r="J1998" t="str">
        <f t="shared" si="62"/>
        <v/>
      </c>
      <c r="K1998" t="str">
        <f t="shared" si="63"/>
        <v/>
      </c>
    </row>
    <row r="1999" spans="7:11" x14ac:dyDescent="0.2">
      <c r="G1999" s="44"/>
      <c r="J1999" t="str">
        <f t="shared" si="62"/>
        <v/>
      </c>
      <c r="K1999" t="str">
        <f t="shared" si="63"/>
        <v/>
      </c>
    </row>
    <row r="2000" spans="7:11" x14ac:dyDescent="0.2">
      <c r="G2000" s="44"/>
      <c r="J2000" t="str">
        <f t="shared" si="62"/>
        <v/>
      </c>
      <c r="K2000" t="str">
        <f t="shared" si="63"/>
        <v/>
      </c>
    </row>
    <row r="2001" spans="7:11" x14ac:dyDescent="0.2">
      <c r="G2001" s="44"/>
      <c r="J2001" t="str">
        <f t="shared" si="62"/>
        <v/>
      </c>
      <c r="K2001" t="str">
        <f t="shared" si="63"/>
        <v/>
      </c>
    </row>
    <row r="2002" spans="7:11" x14ac:dyDescent="0.2">
      <c r="G2002" s="44"/>
      <c r="J2002" t="str">
        <f t="shared" si="62"/>
        <v/>
      </c>
      <c r="K2002" t="str">
        <f t="shared" si="63"/>
        <v/>
      </c>
    </row>
    <row r="2003" spans="7:11" x14ac:dyDescent="0.2">
      <c r="G2003" s="44"/>
      <c r="J2003" t="str">
        <f t="shared" si="62"/>
        <v/>
      </c>
      <c r="K2003" t="str">
        <f t="shared" si="63"/>
        <v/>
      </c>
    </row>
    <row r="2004" spans="7:11" x14ac:dyDescent="0.2">
      <c r="G2004" s="44"/>
      <c r="J2004" t="str">
        <f t="shared" si="62"/>
        <v/>
      </c>
      <c r="K2004" t="str">
        <f t="shared" si="63"/>
        <v/>
      </c>
    </row>
    <row r="2005" spans="7:11" x14ac:dyDescent="0.2">
      <c r="G2005" s="44"/>
      <c r="J2005" t="str">
        <f t="shared" si="62"/>
        <v/>
      </c>
      <c r="K2005" t="str">
        <f t="shared" si="63"/>
        <v/>
      </c>
    </row>
    <row r="2006" spans="7:11" x14ac:dyDescent="0.2">
      <c r="G2006" s="44"/>
      <c r="J2006" t="str">
        <f t="shared" si="62"/>
        <v/>
      </c>
      <c r="K2006" t="str">
        <f t="shared" si="63"/>
        <v/>
      </c>
    </row>
    <row r="2007" spans="7:11" x14ac:dyDescent="0.2">
      <c r="G2007" s="44"/>
      <c r="J2007" t="str">
        <f t="shared" si="62"/>
        <v/>
      </c>
      <c r="K2007" t="str">
        <f t="shared" si="63"/>
        <v/>
      </c>
    </row>
    <row r="2008" spans="7:11" x14ac:dyDescent="0.2">
      <c r="G2008" s="44"/>
      <c r="J2008" t="str">
        <f t="shared" si="62"/>
        <v/>
      </c>
      <c r="K2008" t="str">
        <f t="shared" si="63"/>
        <v/>
      </c>
    </row>
    <row r="2009" spans="7:11" x14ac:dyDescent="0.2">
      <c r="G2009" s="44"/>
      <c r="J2009" t="str">
        <f t="shared" si="62"/>
        <v/>
      </c>
      <c r="K2009" t="str">
        <f t="shared" si="63"/>
        <v/>
      </c>
    </row>
    <row r="2010" spans="7:11" x14ac:dyDescent="0.2">
      <c r="G2010" s="44"/>
      <c r="J2010" t="str">
        <f t="shared" si="62"/>
        <v/>
      </c>
      <c r="K2010" t="str">
        <f t="shared" si="63"/>
        <v/>
      </c>
    </row>
    <row r="2011" spans="7:11" x14ac:dyDescent="0.2">
      <c r="G2011" s="44"/>
      <c r="J2011" t="str">
        <f t="shared" si="62"/>
        <v/>
      </c>
      <c r="K2011" t="str">
        <f t="shared" si="63"/>
        <v/>
      </c>
    </row>
    <row r="2012" spans="7:11" x14ac:dyDescent="0.2">
      <c r="G2012" s="44"/>
      <c r="J2012" t="str">
        <f t="shared" si="62"/>
        <v/>
      </c>
      <c r="K2012" t="str">
        <f t="shared" si="63"/>
        <v/>
      </c>
    </row>
    <row r="2013" spans="7:11" x14ac:dyDescent="0.2">
      <c r="G2013" s="44"/>
      <c r="J2013" t="str">
        <f t="shared" si="62"/>
        <v/>
      </c>
      <c r="K2013" t="str">
        <f t="shared" si="63"/>
        <v/>
      </c>
    </row>
    <row r="2014" spans="7:11" x14ac:dyDescent="0.2">
      <c r="G2014" s="44"/>
      <c r="J2014" t="str">
        <f t="shared" si="62"/>
        <v/>
      </c>
      <c r="K2014" t="str">
        <f t="shared" si="63"/>
        <v/>
      </c>
    </row>
    <row r="2015" spans="7:11" x14ac:dyDescent="0.2">
      <c r="G2015" s="44"/>
      <c r="J2015" t="str">
        <f t="shared" si="62"/>
        <v/>
      </c>
      <c r="K2015" t="str">
        <f t="shared" si="63"/>
        <v/>
      </c>
    </row>
    <row r="2016" spans="7:11" x14ac:dyDescent="0.2">
      <c r="G2016" s="44"/>
      <c r="J2016" t="str">
        <f t="shared" si="62"/>
        <v/>
      </c>
      <c r="K2016" t="str">
        <f t="shared" si="63"/>
        <v/>
      </c>
    </row>
    <row r="2017" spans="7:11" x14ac:dyDescent="0.2">
      <c r="G2017" s="44"/>
      <c r="J2017" t="str">
        <f t="shared" si="62"/>
        <v/>
      </c>
      <c r="K2017" t="str">
        <f t="shared" si="63"/>
        <v/>
      </c>
    </row>
    <row r="2018" spans="7:11" x14ac:dyDescent="0.2">
      <c r="G2018" s="44"/>
      <c r="J2018" t="str">
        <f t="shared" si="62"/>
        <v/>
      </c>
      <c r="K2018" t="str">
        <f t="shared" si="63"/>
        <v/>
      </c>
    </row>
    <row r="2019" spans="7:11" x14ac:dyDescent="0.2">
      <c r="G2019" s="44"/>
      <c r="J2019" t="str">
        <f t="shared" si="62"/>
        <v/>
      </c>
      <c r="K2019" t="str">
        <f t="shared" si="63"/>
        <v/>
      </c>
    </row>
    <row r="2020" spans="7:11" x14ac:dyDescent="0.2">
      <c r="G2020" s="44"/>
      <c r="J2020" t="str">
        <f t="shared" si="62"/>
        <v/>
      </c>
      <c r="K2020" t="str">
        <f t="shared" si="63"/>
        <v/>
      </c>
    </row>
    <row r="2021" spans="7:11" x14ac:dyDescent="0.2">
      <c r="G2021" s="44"/>
      <c r="J2021" t="str">
        <f t="shared" si="62"/>
        <v/>
      </c>
      <c r="K2021" t="str">
        <f t="shared" si="63"/>
        <v/>
      </c>
    </row>
    <row r="2022" spans="7:11" x14ac:dyDescent="0.2">
      <c r="G2022" s="44"/>
      <c r="J2022" t="str">
        <f t="shared" si="62"/>
        <v/>
      </c>
      <c r="K2022" t="str">
        <f t="shared" si="63"/>
        <v/>
      </c>
    </row>
    <row r="2023" spans="7:11" x14ac:dyDescent="0.2">
      <c r="G2023" s="44"/>
      <c r="J2023" t="str">
        <f t="shared" si="62"/>
        <v/>
      </c>
      <c r="K2023" t="str">
        <f t="shared" si="63"/>
        <v/>
      </c>
    </row>
    <row r="2024" spans="7:11" x14ac:dyDescent="0.2">
      <c r="G2024" s="44"/>
      <c r="J2024" t="str">
        <f t="shared" si="62"/>
        <v/>
      </c>
      <c r="K2024" t="str">
        <f t="shared" si="63"/>
        <v/>
      </c>
    </row>
    <row r="2025" spans="7:11" x14ac:dyDescent="0.2">
      <c r="G2025" s="44"/>
      <c r="J2025" t="str">
        <f t="shared" si="62"/>
        <v/>
      </c>
      <c r="K2025" t="str">
        <f t="shared" si="63"/>
        <v/>
      </c>
    </row>
    <row r="2026" spans="7:11" x14ac:dyDescent="0.2">
      <c r="G2026" s="44"/>
      <c r="J2026" t="str">
        <f t="shared" si="62"/>
        <v/>
      </c>
      <c r="K2026" t="str">
        <f t="shared" si="63"/>
        <v/>
      </c>
    </row>
    <row r="2027" spans="7:11" x14ac:dyDescent="0.2">
      <c r="G2027" s="44"/>
      <c r="J2027" t="str">
        <f t="shared" si="62"/>
        <v/>
      </c>
      <c r="K2027" t="str">
        <f t="shared" si="63"/>
        <v/>
      </c>
    </row>
    <row r="2028" spans="7:11" x14ac:dyDescent="0.2">
      <c r="G2028" s="44"/>
      <c r="J2028" t="str">
        <f t="shared" si="62"/>
        <v/>
      </c>
      <c r="K2028" t="str">
        <f t="shared" si="63"/>
        <v/>
      </c>
    </row>
    <row r="2029" spans="7:11" x14ac:dyDescent="0.2">
      <c r="G2029" s="44"/>
      <c r="J2029" t="str">
        <f t="shared" si="62"/>
        <v/>
      </c>
      <c r="K2029" t="str">
        <f t="shared" si="63"/>
        <v/>
      </c>
    </row>
    <row r="2030" spans="7:11" x14ac:dyDescent="0.2">
      <c r="G2030" s="44"/>
      <c r="J2030" t="str">
        <f t="shared" si="62"/>
        <v/>
      </c>
      <c r="K2030" t="str">
        <f t="shared" si="63"/>
        <v/>
      </c>
    </row>
    <row r="2031" spans="7:11" x14ac:dyDescent="0.2">
      <c r="G2031" s="44"/>
      <c r="J2031" t="str">
        <f t="shared" si="62"/>
        <v/>
      </c>
      <c r="K2031" t="str">
        <f t="shared" si="63"/>
        <v/>
      </c>
    </row>
    <row r="2032" spans="7:11" x14ac:dyDescent="0.2">
      <c r="G2032" s="44"/>
      <c r="J2032" t="str">
        <f t="shared" si="62"/>
        <v/>
      </c>
      <c r="K2032" t="str">
        <f t="shared" si="63"/>
        <v/>
      </c>
    </row>
    <row r="2033" spans="7:11" x14ac:dyDescent="0.2">
      <c r="G2033" s="44"/>
      <c r="J2033" t="str">
        <f t="shared" si="62"/>
        <v/>
      </c>
      <c r="K2033" t="str">
        <f t="shared" si="63"/>
        <v/>
      </c>
    </row>
    <row r="2034" spans="7:11" x14ac:dyDescent="0.2">
      <c r="G2034" s="44"/>
      <c r="J2034" t="str">
        <f t="shared" si="62"/>
        <v/>
      </c>
      <c r="K2034" t="str">
        <f t="shared" si="63"/>
        <v/>
      </c>
    </row>
    <row r="2035" spans="7:11" x14ac:dyDescent="0.2">
      <c r="G2035" s="44"/>
      <c r="J2035" t="str">
        <f t="shared" si="62"/>
        <v/>
      </c>
      <c r="K2035" t="str">
        <f t="shared" si="63"/>
        <v/>
      </c>
    </row>
    <row r="2036" spans="7:11" x14ac:dyDescent="0.2">
      <c r="G2036" s="44"/>
      <c r="J2036" t="str">
        <f t="shared" si="62"/>
        <v/>
      </c>
      <c r="K2036" t="str">
        <f t="shared" si="63"/>
        <v/>
      </c>
    </row>
    <row r="2037" spans="7:11" x14ac:dyDescent="0.2">
      <c r="G2037" s="44"/>
      <c r="J2037" t="str">
        <f t="shared" si="62"/>
        <v/>
      </c>
      <c r="K2037" t="str">
        <f t="shared" si="63"/>
        <v/>
      </c>
    </row>
    <row r="2038" spans="7:11" x14ac:dyDescent="0.2">
      <c r="G2038" s="44"/>
      <c r="J2038" t="str">
        <f t="shared" si="62"/>
        <v/>
      </c>
      <c r="K2038" t="str">
        <f t="shared" si="63"/>
        <v/>
      </c>
    </row>
    <row r="2039" spans="7:11" x14ac:dyDescent="0.2">
      <c r="G2039" s="44"/>
      <c r="J2039" t="str">
        <f t="shared" si="62"/>
        <v/>
      </c>
      <c r="K2039" t="str">
        <f t="shared" si="63"/>
        <v/>
      </c>
    </row>
    <row r="2040" spans="7:11" x14ac:dyDescent="0.2">
      <c r="G2040" s="44"/>
      <c r="J2040" t="str">
        <f t="shared" si="62"/>
        <v/>
      </c>
      <c r="K2040" t="str">
        <f t="shared" si="63"/>
        <v/>
      </c>
    </row>
    <row r="2041" spans="7:11" x14ac:dyDescent="0.2">
      <c r="G2041" s="44"/>
      <c r="J2041" t="str">
        <f t="shared" si="62"/>
        <v/>
      </c>
      <c r="K2041" t="str">
        <f t="shared" si="63"/>
        <v/>
      </c>
    </row>
    <row r="2042" spans="7:11" x14ac:dyDescent="0.2">
      <c r="G2042" s="44"/>
      <c r="J2042" t="str">
        <f t="shared" si="62"/>
        <v/>
      </c>
      <c r="K2042" t="str">
        <f t="shared" si="63"/>
        <v/>
      </c>
    </row>
    <row r="2043" spans="7:11" x14ac:dyDescent="0.2">
      <c r="G2043" s="44"/>
      <c r="J2043" t="str">
        <f t="shared" si="62"/>
        <v/>
      </c>
      <c r="K2043" t="str">
        <f t="shared" si="63"/>
        <v/>
      </c>
    </row>
    <row r="2044" spans="7:11" x14ac:dyDescent="0.2">
      <c r="G2044" s="44"/>
      <c r="J2044" t="str">
        <f t="shared" si="62"/>
        <v/>
      </c>
      <c r="K2044" t="str">
        <f t="shared" si="63"/>
        <v/>
      </c>
    </row>
    <row r="2045" spans="7:11" x14ac:dyDescent="0.2">
      <c r="G2045" s="44"/>
      <c r="J2045" t="str">
        <f t="shared" si="62"/>
        <v/>
      </c>
      <c r="K2045" t="str">
        <f t="shared" si="63"/>
        <v/>
      </c>
    </row>
    <row r="2046" spans="7:11" x14ac:dyDescent="0.2">
      <c r="G2046" s="44"/>
      <c r="J2046" t="str">
        <f t="shared" si="62"/>
        <v/>
      </c>
      <c r="K2046" t="str">
        <f t="shared" si="63"/>
        <v/>
      </c>
    </row>
    <row r="2047" spans="7:11" x14ac:dyDescent="0.2">
      <c r="G2047" s="44"/>
      <c r="J2047" t="str">
        <f t="shared" si="62"/>
        <v/>
      </c>
      <c r="K2047" t="str">
        <f t="shared" si="63"/>
        <v/>
      </c>
    </row>
    <row r="2048" spans="7:11" x14ac:dyDescent="0.2">
      <c r="G2048" s="44"/>
      <c r="J2048" t="str">
        <f t="shared" si="62"/>
        <v/>
      </c>
      <c r="K2048" t="str">
        <f t="shared" si="63"/>
        <v/>
      </c>
    </row>
    <row r="2049" spans="7:11" x14ac:dyDescent="0.2">
      <c r="G2049" s="44"/>
      <c r="J2049" t="str">
        <f t="shared" si="62"/>
        <v/>
      </c>
      <c r="K2049" t="str">
        <f t="shared" si="63"/>
        <v/>
      </c>
    </row>
    <row r="2050" spans="7:11" x14ac:dyDescent="0.2">
      <c r="G2050" s="44"/>
      <c r="J2050" t="str">
        <f t="shared" ref="J2050:J2113" si="64">IF(E2050="","",IF(OR(E2050=50,E2050=51),"Iltindhold",IF(E2050=75,"Carbon,org,NVOC",IF(OR(E2050=343,E2050=1167),"Svovlbrinte",IF(OR(E2050=240,E2050=241,E2050=242),"Amm",IF(E2050=244,"Nitrit",IF(E2050=247,"Nitrat",IF(E2050=334,"Sulfat",IF(E2050=262,"Phosphor, total-P",F2050)))))))))</f>
        <v/>
      </c>
      <c r="K2050" t="str">
        <f t="shared" ref="K2050:K2113" si="65">IF(A2050="","",IF(H2050="!",NA(),IF(H2050="A",I2050*0.5,IF(H2050="&lt;",I2050*0.5,I2050))))</f>
        <v/>
      </c>
    </row>
    <row r="2051" spans="7:11" x14ac:dyDescent="0.2">
      <c r="G2051" s="44"/>
      <c r="J2051" t="str">
        <f t="shared" si="64"/>
        <v/>
      </c>
      <c r="K2051" t="str">
        <f t="shared" si="65"/>
        <v/>
      </c>
    </row>
    <row r="2052" spans="7:11" x14ac:dyDescent="0.2">
      <c r="G2052" s="44"/>
      <c r="J2052" t="str">
        <f t="shared" si="64"/>
        <v/>
      </c>
      <c r="K2052" t="str">
        <f t="shared" si="65"/>
        <v/>
      </c>
    </row>
    <row r="2053" spans="7:11" x14ac:dyDescent="0.2">
      <c r="G2053" s="44"/>
      <c r="J2053" t="str">
        <f t="shared" si="64"/>
        <v/>
      </c>
      <c r="K2053" t="str">
        <f t="shared" si="65"/>
        <v/>
      </c>
    </row>
    <row r="2054" spans="7:11" x14ac:dyDescent="0.2">
      <c r="G2054" s="44"/>
      <c r="J2054" t="str">
        <f t="shared" si="64"/>
        <v/>
      </c>
      <c r="K2054" t="str">
        <f t="shared" si="65"/>
        <v/>
      </c>
    </row>
    <row r="2055" spans="7:11" x14ac:dyDescent="0.2">
      <c r="G2055" s="44"/>
      <c r="J2055" t="str">
        <f t="shared" si="64"/>
        <v/>
      </c>
      <c r="K2055" t="str">
        <f t="shared" si="65"/>
        <v/>
      </c>
    </row>
    <row r="2056" spans="7:11" x14ac:dyDescent="0.2">
      <c r="G2056" s="44"/>
      <c r="J2056" t="str">
        <f t="shared" si="64"/>
        <v/>
      </c>
      <c r="K2056" t="str">
        <f t="shared" si="65"/>
        <v/>
      </c>
    </row>
    <row r="2057" spans="7:11" x14ac:dyDescent="0.2">
      <c r="G2057" s="44"/>
      <c r="J2057" t="str">
        <f t="shared" si="64"/>
        <v/>
      </c>
      <c r="K2057" t="str">
        <f t="shared" si="65"/>
        <v/>
      </c>
    </row>
    <row r="2058" spans="7:11" x14ac:dyDescent="0.2">
      <c r="G2058" s="44"/>
      <c r="J2058" t="str">
        <f t="shared" si="64"/>
        <v/>
      </c>
      <c r="K2058" t="str">
        <f t="shared" si="65"/>
        <v/>
      </c>
    </row>
    <row r="2059" spans="7:11" x14ac:dyDescent="0.2">
      <c r="G2059" s="44"/>
      <c r="J2059" t="str">
        <f t="shared" si="64"/>
        <v/>
      </c>
      <c r="K2059" t="str">
        <f t="shared" si="65"/>
        <v/>
      </c>
    </row>
    <row r="2060" spans="7:11" x14ac:dyDescent="0.2">
      <c r="G2060" s="44"/>
      <c r="J2060" t="str">
        <f t="shared" si="64"/>
        <v/>
      </c>
      <c r="K2060" t="str">
        <f t="shared" si="65"/>
        <v/>
      </c>
    </row>
    <row r="2061" spans="7:11" x14ac:dyDescent="0.2">
      <c r="G2061" s="44"/>
      <c r="J2061" t="str">
        <f t="shared" si="64"/>
        <v/>
      </c>
      <c r="K2061" t="str">
        <f t="shared" si="65"/>
        <v/>
      </c>
    </row>
    <row r="2062" spans="7:11" x14ac:dyDescent="0.2">
      <c r="G2062" s="44"/>
      <c r="J2062" t="str">
        <f t="shared" si="64"/>
        <v/>
      </c>
      <c r="K2062" t="str">
        <f t="shared" si="65"/>
        <v/>
      </c>
    </row>
    <row r="2063" spans="7:11" x14ac:dyDescent="0.2">
      <c r="G2063" s="44"/>
      <c r="J2063" t="str">
        <f t="shared" si="64"/>
        <v/>
      </c>
      <c r="K2063" t="str">
        <f t="shared" si="65"/>
        <v/>
      </c>
    </row>
    <row r="2064" spans="7:11" x14ac:dyDescent="0.2">
      <c r="G2064" s="44"/>
      <c r="J2064" t="str">
        <f t="shared" si="64"/>
        <v/>
      </c>
      <c r="K2064" t="str">
        <f t="shared" si="65"/>
        <v/>
      </c>
    </row>
    <row r="2065" spans="7:11" x14ac:dyDescent="0.2">
      <c r="G2065" s="44"/>
      <c r="J2065" t="str">
        <f t="shared" si="64"/>
        <v/>
      </c>
      <c r="K2065" t="str">
        <f t="shared" si="65"/>
        <v/>
      </c>
    </row>
    <row r="2066" spans="7:11" x14ac:dyDescent="0.2">
      <c r="G2066" s="44"/>
      <c r="J2066" t="str">
        <f t="shared" si="64"/>
        <v/>
      </c>
      <c r="K2066" t="str">
        <f t="shared" si="65"/>
        <v/>
      </c>
    </row>
    <row r="2067" spans="7:11" x14ac:dyDescent="0.2">
      <c r="G2067" s="44"/>
      <c r="J2067" t="str">
        <f t="shared" si="64"/>
        <v/>
      </c>
      <c r="K2067" t="str">
        <f t="shared" si="65"/>
        <v/>
      </c>
    </row>
    <row r="2068" spans="7:11" x14ac:dyDescent="0.2">
      <c r="G2068" s="44"/>
      <c r="J2068" t="str">
        <f t="shared" si="64"/>
        <v/>
      </c>
      <c r="K2068" t="str">
        <f t="shared" si="65"/>
        <v/>
      </c>
    </row>
    <row r="2069" spans="7:11" x14ac:dyDescent="0.2">
      <c r="G2069" s="44"/>
      <c r="J2069" t="str">
        <f t="shared" si="64"/>
        <v/>
      </c>
      <c r="K2069" t="str">
        <f t="shared" si="65"/>
        <v/>
      </c>
    </row>
    <row r="2070" spans="7:11" x14ac:dyDescent="0.2">
      <c r="G2070" s="44"/>
      <c r="J2070" t="str">
        <f t="shared" si="64"/>
        <v/>
      </c>
      <c r="K2070" t="str">
        <f t="shared" si="65"/>
        <v/>
      </c>
    </row>
    <row r="2071" spans="7:11" x14ac:dyDescent="0.2">
      <c r="G2071" s="44"/>
      <c r="J2071" t="str">
        <f t="shared" si="64"/>
        <v/>
      </c>
      <c r="K2071" t="str">
        <f t="shared" si="65"/>
        <v/>
      </c>
    </row>
    <row r="2072" spans="7:11" x14ac:dyDescent="0.2">
      <c r="G2072" s="44"/>
      <c r="J2072" t="str">
        <f t="shared" si="64"/>
        <v/>
      </c>
      <c r="K2072" t="str">
        <f t="shared" si="65"/>
        <v/>
      </c>
    </row>
    <row r="2073" spans="7:11" x14ac:dyDescent="0.2">
      <c r="G2073" s="44"/>
      <c r="J2073" t="str">
        <f t="shared" si="64"/>
        <v/>
      </c>
      <c r="K2073" t="str">
        <f t="shared" si="65"/>
        <v/>
      </c>
    </row>
    <row r="2074" spans="7:11" x14ac:dyDescent="0.2">
      <c r="G2074" s="44"/>
      <c r="J2074" t="str">
        <f t="shared" si="64"/>
        <v/>
      </c>
      <c r="K2074" t="str">
        <f t="shared" si="65"/>
        <v/>
      </c>
    </row>
    <row r="2075" spans="7:11" x14ac:dyDescent="0.2">
      <c r="G2075" s="44"/>
      <c r="J2075" t="str">
        <f t="shared" si="64"/>
        <v/>
      </c>
      <c r="K2075" t="str">
        <f t="shared" si="65"/>
        <v/>
      </c>
    </row>
    <row r="2076" spans="7:11" x14ac:dyDescent="0.2">
      <c r="G2076" s="44"/>
      <c r="J2076" t="str">
        <f t="shared" si="64"/>
        <v/>
      </c>
      <c r="K2076" t="str">
        <f t="shared" si="65"/>
        <v/>
      </c>
    </row>
    <row r="2077" spans="7:11" x14ac:dyDescent="0.2">
      <c r="G2077" s="44"/>
      <c r="J2077" t="str">
        <f t="shared" si="64"/>
        <v/>
      </c>
      <c r="K2077" t="str">
        <f t="shared" si="65"/>
        <v/>
      </c>
    </row>
    <row r="2078" spans="7:11" x14ac:dyDescent="0.2">
      <c r="G2078" s="44"/>
      <c r="J2078" t="str">
        <f t="shared" si="64"/>
        <v/>
      </c>
      <c r="K2078" t="str">
        <f t="shared" si="65"/>
        <v/>
      </c>
    </row>
    <row r="2079" spans="7:11" x14ac:dyDescent="0.2">
      <c r="G2079" s="44"/>
      <c r="J2079" t="str">
        <f t="shared" si="64"/>
        <v/>
      </c>
      <c r="K2079" t="str">
        <f t="shared" si="65"/>
        <v/>
      </c>
    </row>
    <row r="2080" spans="7:11" x14ac:dyDescent="0.2">
      <c r="G2080" s="44"/>
      <c r="J2080" t="str">
        <f t="shared" si="64"/>
        <v/>
      </c>
      <c r="K2080" t="str">
        <f t="shared" si="65"/>
        <v/>
      </c>
    </row>
    <row r="2081" spans="7:11" x14ac:dyDescent="0.2">
      <c r="G2081" s="44"/>
      <c r="J2081" t="str">
        <f t="shared" si="64"/>
        <v/>
      </c>
      <c r="K2081" t="str">
        <f t="shared" si="65"/>
        <v/>
      </c>
    </row>
    <row r="2082" spans="7:11" x14ac:dyDescent="0.2">
      <c r="G2082" s="44"/>
      <c r="J2082" t="str">
        <f t="shared" si="64"/>
        <v/>
      </c>
      <c r="K2082" t="str">
        <f t="shared" si="65"/>
        <v/>
      </c>
    </row>
    <row r="2083" spans="7:11" x14ac:dyDescent="0.2">
      <c r="G2083" s="44"/>
      <c r="J2083" t="str">
        <f t="shared" si="64"/>
        <v/>
      </c>
      <c r="K2083" t="str">
        <f t="shared" si="65"/>
        <v/>
      </c>
    </row>
    <row r="2084" spans="7:11" x14ac:dyDescent="0.2">
      <c r="G2084" s="44"/>
      <c r="J2084" t="str">
        <f t="shared" si="64"/>
        <v/>
      </c>
      <c r="K2084" t="str">
        <f t="shared" si="65"/>
        <v/>
      </c>
    </row>
    <row r="2085" spans="7:11" x14ac:dyDescent="0.2">
      <c r="G2085" s="44"/>
      <c r="J2085" t="str">
        <f t="shared" si="64"/>
        <v/>
      </c>
      <c r="K2085" t="str">
        <f t="shared" si="65"/>
        <v/>
      </c>
    </row>
    <row r="2086" spans="7:11" x14ac:dyDescent="0.2">
      <c r="G2086" s="44"/>
      <c r="J2086" t="str">
        <f t="shared" si="64"/>
        <v/>
      </c>
      <c r="K2086" t="str">
        <f t="shared" si="65"/>
        <v/>
      </c>
    </row>
    <row r="2087" spans="7:11" x14ac:dyDescent="0.2">
      <c r="G2087" s="44"/>
      <c r="J2087" t="str">
        <f t="shared" si="64"/>
        <v/>
      </c>
      <c r="K2087" t="str">
        <f t="shared" si="65"/>
        <v/>
      </c>
    </row>
    <row r="2088" spans="7:11" x14ac:dyDescent="0.2">
      <c r="G2088" s="44"/>
      <c r="J2088" t="str">
        <f t="shared" si="64"/>
        <v/>
      </c>
      <c r="K2088" t="str">
        <f t="shared" si="65"/>
        <v/>
      </c>
    </row>
    <row r="2089" spans="7:11" x14ac:dyDescent="0.2">
      <c r="G2089" s="44"/>
      <c r="J2089" t="str">
        <f t="shared" si="64"/>
        <v/>
      </c>
      <c r="K2089" t="str">
        <f t="shared" si="65"/>
        <v/>
      </c>
    </row>
    <row r="2090" spans="7:11" x14ac:dyDescent="0.2">
      <c r="G2090" s="44"/>
      <c r="J2090" t="str">
        <f t="shared" si="64"/>
        <v/>
      </c>
      <c r="K2090" t="str">
        <f t="shared" si="65"/>
        <v/>
      </c>
    </row>
    <row r="2091" spans="7:11" x14ac:dyDescent="0.2">
      <c r="G2091" s="44"/>
      <c r="J2091" t="str">
        <f t="shared" si="64"/>
        <v/>
      </c>
      <c r="K2091" t="str">
        <f t="shared" si="65"/>
        <v/>
      </c>
    </row>
    <row r="2092" spans="7:11" x14ac:dyDescent="0.2">
      <c r="G2092" s="44"/>
      <c r="J2092" t="str">
        <f t="shared" si="64"/>
        <v/>
      </c>
      <c r="K2092" t="str">
        <f t="shared" si="65"/>
        <v/>
      </c>
    </row>
    <row r="2093" spans="7:11" x14ac:dyDescent="0.2">
      <c r="G2093" s="44"/>
      <c r="J2093" t="str">
        <f t="shared" si="64"/>
        <v/>
      </c>
      <c r="K2093" t="str">
        <f t="shared" si="65"/>
        <v/>
      </c>
    </row>
    <row r="2094" spans="7:11" x14ac:dyDescent="0.2">
      <c r="G2094" s="44"/>
      <c r="J2094" t="str">
        <f t="shared" si="64"/>
        <v/>
      </c>
      <c r="K2094" t="str">
        <f t="shared" si="65"/>
        <v/>
      </c>
    </row>
    <row r="2095" spans="7:11" x14ac:dyDescent="0.2">
      <c r="G2095" s="44"/>
      <c r="J2095" t="str">
        <f t="shared" si="64"/>
        <v/>
      </c>
      <c r="K2095" t="str">
        <f t="shared" si="65"/>
        <v/>
      </c>
    </row>
    <row r="2096" spans="7:11" x14ac:dyDescent="0.2">
      <c r="G2096" s="44"/>
      <c r="J2096" t="str">
        <f t="shared" si="64"/>
        <v/>
      </c>
      <c r="K2096" t="str">
        <f t="shared" si="65"/>
        <v/>
      </c>
    </row>
    <row r="2097" spans="7:11" x14ac:dyDescent="0.2">
      <c r="G2097" s="44"/>
      <c r="J2097" t="str">
        <f t="shared" si="64"/>
        <v/>
      </c>
      <c r="K2097" t="str">
        <f t="shared" si="65"/>
        <v/>
      </c>
    </row>
    <row r="2098" spans="7:11" x14ac:dyDescent="0.2">
      <c r="G2098" s="44"/>
      <c r="J2098" t="str">
        <f t="shared" si="64"/>
        <v/>
      </c>
      <c r="K2098" t="str">
        <f t="shared" si="65"/>
        <v/>
      </c>
    </row>
    <row r="2099" spans="7:11" x14ac:dyDescent="0.2">
      <c r="G2099" s="44"/>
      <c r="J2099" t="str">
        <f t="shared" si="64"/>
        <v/>
      </c>
      <c r="K2099" t="str">
        <f t="shared" si="65"/>
        <v/>
      </c>
    </row>
    <row r="2100" spans="7:11" x14ac:dyDescent="0.2">
      <c r="G2100" s="44"/>
      <c r="J2100" t="str">
        <f t="shared" si="64"/>
        <v/>
      </c>
      <c r="K2100" t="str">
        <f t="shared" si="65"/>
        <v/>
      </c>
    </row>
    <row r="2101" spans="7:11" x14ac:dyDescent="0.2">
      <c r="G2101" s="44"/>
      <c r="J2101" t="str">
        <f t="shared" si="64"/>
        <v/>
      </c>
      <c r="K2101" t="str">
        <f t="shared" si="65"/>
        <v/>
      </c>
    </row>
    <row r="2102" spans="7:11" x14ac:dyDescent="0.2">
      <c r="G2102" s="44"/>
      <c r="J2102" t="str">
        <f t="shared" si="64"/>
        <v/>
      </c>
      <c r="K2102" t="str">
        <f t="shared" si="65"/>
        <v/>
      </c>
    </row>
    <row r="2103" spans="7:11" x14ac:dyDescent="0.2">
      <c r="G2103" s="44"/>
      <c r="J2103" t="str">
        <f t="shared" si="64"/>
        <v/>
      </c>
      <c r="K2103" t="str">
        <f t="shared" si="65"/>
        <v/>
      </c>
    </row>
    <row r="2104" spans="7:11" x14ac:dyDescent="0.2">
      <c r="G2104" s="44"/>
      <c r="J2104" t="str">
        <f t="shared" si="64"/>
        <v/>
      </c>
      <c r="K2104" t="str">
        <f t="shared" si="65"/>
        <v/>
      </c>
    </row>
    <row r="2105" spans="7:11" x14ac:dyDescent="0.2">
      <c r="G2105" s="44"/>
      <c r="J2105" t="str">
        <f t="shared" si="64"/>
        <v/>
      </c>
      <c r="K2105" t="str">
        <f t="shared" si="65"/>
        <v/>
      </c>
    </row>
    <row r="2106" spans="7:11" x14ac:dyDescent="0.2">
      <c r="G2106" s="44"/>
      <c r="J2106" t="str">
        <f t="shared" si="64"/>
        <v/>
      </c>
      <c r="K2106" t="str">
        <f t="shared" si="65"/>
        <v/>
      </c>
    </row>
    <row r="2107" spans="7:11" x14ac:dyDescent="0.2">
      <c r="G2107" s="44"/>
      <c r="J2107" t="str">
        <f t="shared" si="64"/>
        <v/>
      </c>
      <c r="K2107" t="str">
        <f t="shared" si="65"/>
        <v/>
      </c>
    </row>
    <row r="2108" spans="7:11" x14ac:dyDescent="0.2">
      <c r="G2108" s="44"/>
      <c r="J2108" t="str">
        <f t="shared" si="64"/>
        <v/>
      </c>
      <c r="K2108" t="str">
        <f t="shared" si="65"/>
        <v/>
      </c>
    </row>
    <row r="2109" spans="7:11" x14ac:dyDescent="0.2">
      <c r="G2109" s="44"/>
      <c r="J2109" t="str">
        <f t="shared" si="64"/>
        <v/>
      </c>
      <c r="K2109" t="str">
        <f t="shared" si="65"/>
        <v/>
      </c>
    </row>
    <row r="2110" spans="7:11" x14ac:dyDescent="0.2">
      <c r="G2110" s="44"/>
      <c r="J2110" t="str">
        <f t="shared" si="64"/>
        <v/>
      </c>
      <c r="K2110" t="str">
        <f t="shared" si="65"/>
        <v/>
      </c>
    </row>
    <row r="2111" spans="7:11" x14ac:dyDescent="0.2">
      <c r="G2111" s="44"/>
      <c r="J2111" t="str">
        <f t="shared" si="64"/>
        <v/>
      </c>
      <c r="K2111" t="str">
        <f t="shared" si="65"/>
        <v/>
      </c>
    </row>
    <row r="2112" spans="7:11" x14ac:dyDescent="0.2">
      <c r="G2112" s="44"/>
      <c r="J2112" t="str">
        <f t="shared" si="64"/>
        <v/>
      </c>
      <c r="K2112" t="str">
        <f t="shared" si="65"/>
        <v/>
      </c>
    </row>
    <row r="2113" spans="7:11" x14ac:dyDescent="0.2">
      <c r="G2113" s="44"/>
      <c r="J2113" t="str">
        <f t="shared" si="64"/>
        <v/>
      </c>
      <c r="K2113" t="str">
        <f t="shared" si="65"/>
        <v/>
      </c>
    </row>
    <row r="2114" spans="7:11" x14ac:dyDescent="0.2">
      <c r="G2114" s="44"/>
      <c r="J2114" t="str">
        <f t="shared" ref="J2114:J2177" si="66">IF(E2114="","",IF(OR(E2114=50,E2114=51),"Iltindhold",IF(E2114=75,"Carbon,org,NVOC",IF(OR(E2114=343,E2114=1167),"Svovlbrinte",IF(OR(E2114=240,E2114=241,E2114=242),"Amm",IF(E2114=244,"Nitrit",IF(E2114=247,"Nitrat",IF(E2114=334,"Sulfat",IF(E2114=262,"Phosphor, total-P",F2114)))))))))</f>
        <v/>
      </c>
      <c r="K2114" t="str">
        <f t="shared" ref="K2114:K2177" si="67">IF(A2114="","",IF(H2114="!",NA(),IF(H2114="A",I2114*0.5,IF(H2114="&lt;",I2114*0.5,I2114))))</f>
        <v/>
      </c>
    </row>
    <row r="2115" spans="7:11" x14ac:dyDescent="0.2">
      <c r="G2115" s="44"/>
      <c r="J2115" t="str">
        <f t="shared" si="66"/>
        <v/>
      </c>
      <c r="K2115" t="str">
        <f t="shared" si="67"/>
        <v/>
      </c>
    </row>
    <row r="2116" spans="7:11" x14ac:dyDescent="0.2">
      <c r="G2116" s="44"/>
      <c r="J2116" t="str">
        <f t="shared" si="66"/>
        <v/>
      </c>
      <c r="K2116" t="str">
        <f t="shared" si="67"/>
        <v/>
      </c>
    </row>
    <row r="2117" spans="7:11" x14ac:dyDescent="0.2">
      <c r="G2117" s="44"/>
      <c r="J2117" t="str">
        <f t="shared" si="66"/>
        <v/>
      </c>
      <c r="K2117" t="str">
        <f t="shared" si="67"/>
        <v/>
      </c>
    </row>
    <row r="2118" spans="7:11" x14ac:dyDescent="0.2">
      <c r="G2118" s="44"/>
      <c r="J2118" t="str">
        <f t="shared" si="66"/>
        <v/>
      </c>
      <c r="K2118" t="str">
        <f t="shared" si="67"/>
        <v/>
      </c>
    </row>
    <row r="2119" spans="7:11" x14ac:dyDescent="0.2">
      <c r="G2119" s="44"/>
      <c r="J2119" t="str">
        <f t="shared" si="66"/>
        <v/>
      </c>
      <c r="K2119" t="str">
        <f t="shared" si="67"/>
        <v/>
      </c>
    </row>
    <row r="2120" spans="7:11" x14ac:dyDescent="0.2">
      <c r="G2120" s="44"/>
      <c r="J2120" t="str">
        <f t="shared" si="66"/>
        <v/>
      </c>
      <c r="K2120" t="str">
        <f t="shared" si="67"/>
        <v/>
      </c>
    </row>
    <row r="2121" spans="7:11" x14ac:dyDescent="0.2">
      <c r="G2121" s="44"/>
      <c r="J2121" t="str">
        <f t="shared" si="66"/>
        <v/>
      </c>
      <c r="K2121" t="str">
        <f t="shared" si="67"/>
        <v/>
      </c>
    </row>
    <row r="2122" spans="7:11" x14ac:dyDescent="0.2">
      <c r="G2122" s="44"/>
      <c r="J2122" t="str">
        <f t="shared" si="66"/>
        <v/>
      </c>
      <c r="K2122" t="str">
        <f t="shared" si="67"/>
        <v/>
      </c>
    </row>
    <row r="2123" spans="7:11" x14ac:dyDescent="0.2">
      <c r="G2123" s="44"/>
      <c r="J2123" t="str">
        <f t="shared" si="66"/>
        <v/>
      </c>
      <c r="K2123" t="str">
        <f t="shared" si="67"/>
        <v/>
      </c>
    </row>
    <row r="2124" spans="7:11" x14ac:dyDescent="0.2">
      <c r="G2124" s="44"/>
      <c r="J2124" t="str">
        <f t="shared" si="66"/>
        <v/>
      </c>
      <c r="K2124" t="str">
        <f t="shared" si="67"/>
        <v/>
      </c>
    </row>
    <row r="2125" spans="7:11" x14ac:dyDescent="0.2">
      <c r="G2125" s="44"/>
      <c r="J2125" t="str">
        <f t="shared" si="66"/>
        <v/>
      </c>
      <c r="K2125" t="str">
        <f t="shared" si="67"/>
        <v/>
      </c>
    </row>
    <row r="2126" spans="7:11" x14ac:dyDescent="0.2">
      <c r="G2126" s="44"/>
      <c r="J2126" t="str">
        <f t="shared" si="66"/>
        <v/>
      </c>
      <c r="K2126" t="str">
        <f t="shared" si="67"/>
        <v/>
      </c>
    </row>
    <row r="2127" spans="7:11" x14ac:dyDescent="0.2">
      <c r="G2127" s="44"/>
      <c r="J2127" t="str">
        <f t="shared" si="66"/>
        <v/>
      </c>
      <c r="K2127" t="str">
        <f t="shared" si="67"/>
        <v/>
      </c>
    </row>
    <row r="2128" spans="7:11" x14ac:dyDescent="0.2">
      <c r="G2128" s="44"/>
      <c r="J2128" t="str">
        <f t="shared" si="66"/>
        <v/>
      </c>
      <c r="K2128" t="str">
        <f t="shared" si="67"/>
        <v/>
      </c>
    </row>
    <row r="2129" spans="7:11" x14ac:dyDescent="0.2">
      <c r="G2129" s="44"/>
      <c r="J2129" t="str">
        <f t="shared" si="66"/>
        <v/>
      </c>
      <c r="K2129" t="str">
        <f t="shared" si="67"/>
        <v/>
      </c>
    </row>
    <row r="2130" spans="7:11" x14ac:dyDescent="0.2">
      <c r="G2130" s="44"/>
      <c r="J2130" t="str">
        <f t="shared" si="66"/>
        <v/>
      </c>
      <c r="K2130" t="str">
        <f t="shared" si="67"/>
        <v/>
      </c>
    </row>
    <row r="2131" spans="7:11" x14ac:dyDescent="0.2">
      <c r="G2131" s="44"/>
      <c r="J2131" t="str">
        <f t="shared" si="66"/>
        <v/>
      </c>
      <c r="K2131" t="str">
        <f t="shared" si="67"/>
        <v/>
      </c>
    </row>
    <row r="2132" spans="7:11" x14ac:dyDescent="0.2">
      <c r="G2132" s="44"/>
      <c r="J2132" t="str">
        <f t="shared" si="66"/>
        <v/>
      </c>
      <c r="K2132" t="str">
        <f t="shared" si="67"/>
        <v/>
      </c>
    </row>
    <row r="2133" spans="7:11" x14ac:dyDescent="0.2">
      <c r="G2133" s="44"/>
      <c r="J2133" t="str">
        <f t="shared" si="66"/>
        <v/>
      </c>
      <c r="K2133" t="str">
        <f t="shared" si="67"/>
        <v/>
      </c>
    </row>
    <row r="2134" spans="7:11" x14ac:dyDescent="0.2">
      <c r="G2134" s="44"/>
      <c r="J2134" t="str">
        <f t="shared" si="66"/>
        <v/>
      </c>
      <c r="K2134" t="str">
        <f t="shared" si="67"/>
        <v/>
      </c>
    </row>
    <row r="2135" spans="7:11" x14ac:dyDescent="0.2">
      <c r="G2135" s="44"/>
      <c r="J2135" t="str">
        <f t="shared" si="66"/>
        <v/>
      </c>
      <c r="K2135" t="str">
        <f t="shared" si="67"/>
        <v/>
      </c>
    </row>
    <row r="2136" spans="7:11" x14ac:dyDescent="0.2">
      <c r="G2136" s="44"/>
      <c r="J2136" t="str">
        <f t="shared" si="66"/>
        <v/>
      </c>
      <c r="K2136" t="str">
        <f t="shared" si="67"/>
        <v/>
      </c>
    </row>
    <row r="2137" spans="7:11" x14ac:dyDescent="0.2">
      <c r="G2137" s="44"/>
      <c r="J2137" t="str">
        <f t="shared" si="66"/>
        <v/>
      </c>
      <c r="K2137" t="str">
        <f t="shared" si="67"/>
        <v/>
      </c>
    </row>
    <row r="2138" spans="7:11" x14ac:dyDescent="0.2">
      <c r="G2138" s="44"/>
      <c r="J2138" t="str">
        <f t="shared" si="66"/>
        <v/>
      </c>
      <c r="K2138" t="str">
        <f t="shared" si="67"/>
        <v/>
      </c>
    </row>
    <row r="2139" spans="7:11" x14ac:dyDescent="0.2">
      <c r="G2139" s="44"/>
      <c r="J2139" t="str">
        <f t="shared" si="66"/>
        <v/>
      </c>
      <c r="K2139" t="str">
        <f t="shared" si="67"/>
        <v/>
      </c>
    </row>
    <row r="2140" spans="7:11" x14ac:dyDescent="0.2">
      <c r="G2140" s="44"/>
      <c r="J2140" t="str">
        <f t="shared" si="66"/>
        <v/>
      </c>
      <c r="K2140" t="str">
        <f t="shared" si="67"/>
        <v/>
      </c>
    </row>
    <row r="2141" spans="7:11" x14ac:dyDescent="0.2">
      <c r="G2141" s="44"/>
      <c r="J2141" t="str">
        <f t="shared" si="66"/>
        <v/>
      </c>
      <c r="K2141" t="str">
        <f t="shared" si="67"/>
        <v/>
      </c>
    </row>
    <row r="2142" spans="7:11" x14ac:dyDescent="0.2">
      <c r="G2142" s="44"/>
      <c r="J2142" t="str">
        <f t="shared" si="66"/>
        <v/>
      </c>
      <c r="K2142" t="str">
        <f t="shared" si="67"/>
        <v/>
      </c>
    </row>
    <row r="2143" spans="7:11" x14ac:dyDescent="0.2">
      <c r="G2143" s="44"/>
      <c r="J2143" t="str">
        <f t="shared" si="66"/>
        <v/>
      </c>
      <c r="K2143" t="str">
        <f t="shared" si="67"/>
        <v/>
      </c>
    </row>
    <row r="2144" spans="7:11" x14ac:dyDescent="0.2">
      <c r="G2144" s="44"/>
      <c r="J2144" t="str">
        <f t="shared" si="66"/>
        <v/>
      </c>
      <c r="K2144" t="str">
        <f t="shared" si="67"/>
        <v/>
      </c>
    </row>
    <row r="2145" spans="7:11" x14ac:dyDescent="0.2">
      <c r="G2145" s="44"/>
      <c r="J2145" t="str">
        <f t="shared" si="66"/>
        <v/>
      </c>
      <c r="K2145" t="str">
        <f t="shared" si="67"/>
        <v/>
      </c>
    </row>
    <row r="2146" spans="7:11" x14ac:dyDescent="0.2">
      <c r="G2146" s="44"/>
      <c r="J2146" t="str">
        <f t="shared" si="66"/>
        <v/>
      </c>
      <c r="K2146" t="str">
        <f t="shared" si="67"/>
        <v/>
      </c>
    </row>
    <row r="2147" spans="7:11" x14ac:dyDescent="0.2">
      <c r="G2147" s="44"/>
      <c r="J2147" t="str">
        <f t="shared" si="66"/>
        <v/>
      </c>
      <c r="K2147" t="str">
        <f t="shared" si="67"/>
        <v/>
      </c>
    </row>
    <row r="2148" spans="7:11" x14ac:dyDescent="0.2">
      <c r="G2148" s="44"/>
      <c r="J2148" t="str">
        <f t="shared" si="66"/>
        <v/>
      </c>
      <c r="K2148" t="str">
        <f t="shared" si="67"/>
        <v/>
      </c>
    </row>
    <row r="2149" spans="7:11" x14ac:dyDescent="0.2">
      <c r="G2149" s="44"/>
      <c r="J2149" t="str">
        <f t="shared" si="66"/>
        <v/>
      </c>
      <c r="K2149" t="str">
        <f t="shared" si="67"/>
        <v/>
      </c>
    </row>
    <row r="2150" spans="7:11" x14ac:dyDescent="0.2">
      <c r="G2150" s="44"/>
      <c r="J2150" t="str">
        <f t="shared" si="66"/>
        <v/>
      </c>
      <c r="K2150" t="str">
        <f t="shared" si="67"/>
        <v/>
      </c>
    </row>
    <row r="2151" spans="7:11" x14ac:dyDescent="0.2">
      <c r="G2151" s="44"/>
      <c r="J2151" t="str">
        <f t="shared" si="66"/>
        <v/>
      </c>
      <c r="K2151" t="str">
        <f t="shared" si="67"/>
        <v/>
      </c>
    </row>
    <row r="2152" spans="7:11" x14ac:dyDescent="0.2">
      <c r="G2152" s="44"/>
      <c r="J2152" t="str">
        <f t="shared" si="66"/>
        <v/>
      </c>
      <c r="K2152" t="str">
        <f t="shared" si="67"/>
        <v/>
      </c>
    </row>
    <row r="2153" spans="7:11" x14ac:dyDescent="0.2">
      <c r="G2153" s="44"/>
      <c r="J2153" t="str">
        <f t="shared" si="66"/>
        <v/>
      </c>
      <c r="K2153" t="str">
        <f t="shared" si="67"/>
        <v/>
      </c>
    </row>
    <row r="2154" spans="7:11" x14ac:dyDescent="0.2">
      <c r="G2154" s="44"/>
      <c r="J2154" t="str">
        <f t="shared" si="66"/>
        <v/>
      </c>
      <c r="K2154" t="str">
        <f t="shared" si="67"/>
        <v/>
      </c>
    </row>
    <row r="2155" spans="7:11" x14ac:dyDescent="0.2">
      <c r="G2155" s="44"/>
      <c r="J2155" t="str">
        <f t="shared" si="66"/>
        <v/>
      </c>
      <c r="K2155" t="str">
        <f t="shared" si="67"/>
        <v/>
      </c>
    </row>
    <row r="2156" spans="7:11" x14ac:dyDescent="0.2">
      <c r="G2156" s="44"/>
      <c r="J2156" t="str">
        <f t="shared" si="66"/>
        <v/>
      </c>
      <c r="K2156" t="str">
        <f t="shared" si="67"/>
        <v/>
      </c>
    </row>
    <row r="2157" spans="7:11" x14ac:dyDescent="0.2">
      <c r="G2157" s="44"/>
      <c r="J2157" t="str">
        <f t="shared" si="66"/>
        <v/>
      </c>
      <c r="K2157" t="str">
        <f t="shared" si="67"/>
        <v/>
      </c>
    </row>
    <row r="2158" spans="7:11" x14ac:dyDescent="0.2">
      <c r="G2158" s="44"/>
      <c r="J2158" t="str">
        <f t="shared" si="66"/>
        <v/>
      </c>
      <c r="K2158" t="str">
        <f t="shared" si="67"/>
        <v/>
      </c>
    </row>
    <row r="2159" spans="7:11" x14ac:dyDescent="0.2">
      <c r="G2159" s="44"/>
      <c r="J2159" t="str">
        <f t="shared" si="66"/>
        <v/>
      </c>
      <c r="K2159" t="str">
        <f t="shared" si="67"/>
        <v/>
      </c>
    </row>
    <row r="2160" spans="7:11" x14ac:dyDescent="0.2">
      <c r="G2160" s="44"/>
      <c r="J2160" t="str">
        <f t="shared" si="66"/>
        <v/>
      </c>
      <c r="K2160" t="str">
        <f t="shared" si="67"/>
        <v/>
      </c>
    </row>
    <row r="2161" spans="7:11" x14ac:dyDescent="0.2">
      <c r="G2161" s="44"/>
      <c r="J2161" t="str">
        <f t="shared" si="66"/>
        <v/>
      </c>
      <c r="K2161" t="str">
        <f t="shared" si="67"/>
        <v/>
      </c>
    </row>
    <row r="2162" spans="7:11" x14ac:dyDescent="0.2">
      <c r="G2162" s="44"/>
      <c r="J2162" t="str">
        <f t="shared" si="66"/>
        <v/>
      </c>
      <c r="K2162" t="str">
        <f t="shared" si="67"/>
        <v/>
      </c>
    </row>
    <row r="2163" spans="7:11" x14ac:dyDescent="0.2">
      <c r="G2163" s="44"/>
      <c r="J2163" t="str">
        <f t="shared" si="66"/>
        <v/>
      </c>
      <c r="K2163" t="str">
        <f t="shared" si="67"/>
        <v/>
      </c>
    </row>
    <row r="2164" spans="7:11" x14ac:dyDescent="0.2">
      <c r="G2164" s="44"/>
      <c r="J2164" t="str">
        <f t="shared" si="66"/>
        <v/>
      </c>
      <c r="K2164" t="str">
        <f t="shared" si="67"/>
        <v/>
      </c>
    </row>
    <row r="2165" spans="7:11" x14ac:dyDescent="0.2">
      <c r="G2165" s="44"/>
      <c r="J2165" t="str">
        <f t="shared" si="66"/>
        <v/>
      </c>
      <c r="K2165" t="str">
        <f t="shared" si="67"/>
        <v/>
      </c>
    </row>
    <row r="2166" spans="7:11" x14ac:dyDescent="0.2">
      <c r="G2166" s="44"/>
      <c r="J2166" t="str">
        <f t="shared" si="66"/>
        <v/>
      </c>
      <c r="K2166" t="str">
        <f t="shared" si="67"/>
        <v/>
      </c>
    </row>
    <row r="2167" spans="7:11" x14ac:dyDescent="0.2">
      <c r="G2167" s="44"/>
      <c r="J2167" t="str">
        <f t="shared" si="66"/>
        <v/>
      </c>
      <c r="K2167" t="str">
        <f t="shared" si="67"/>
        <v/>
      </c>
    </row>
    <row r="2168" spans="7:11" x14ac:dyDescent="0.2">
      <c r="G2168" s="44"/>
      <c r="J2168" t="str">
        <f t="shared" si="66"/>
        <v/>
      </c>
      <c r="K2168" t="str">
        <f t="shared" si="67"/>
        <v/>
      </c>
    </row>
    <row r="2169" spans="7:11" x14ac:dyDescent="0.2">
      <c r="G2169" s="44"/>
      <c r="J2169" t="str">
        <f t="shared" si="66"/>
        <v/>
      </c>
      <c r="K2169" t="str">
        <f t="shared" si="67"/>
        <v/>
      </c>
    </row>
    <row r="2170" spans="7:11" x14ac:dyDescent="0.2">
      <c r="G2170" s="44"/>
      <c r="J2170" t="str">
        <f t="shared" si="66"/>
        <v/>
      </c>
      <c r="K2170" t="str">
        <f t="shared" si="67"/>
        <v/>
      </c>
    </row>
    <row r="2171" spans="7:11" x14ac:dyDescent="0.2">
      <c r="G2171" s="44"/>
      <c r="J2171" t="str">
        <f t="shared" si="66"/>
        <v/>
      </c>
      <c r="K2171" t="str">
        <f t="shared" si="67"/>
        <v/>
      </c>
    </row>
    <row r="2172" spans="7:11" x14ac:dyDescent="0.2">
      <c r="G2172" s="44"/>
      <c r="J2172" t="str">
        <f t="shared" si="66"/>
        <v/>
      </c>
      <c r="K2172" t="str">
        <f t="shared" si="67"/>
        <v/>
      </c>
    </row>
    <row r="2173" spans="7:11" x14ac:dyDescent="0.2">
      <c r="G2173" s="44"/>
      <c r="J2173" t="str">
        <f t="shared" si="66"/>
        <v/>
      </c>
      <c r="K2173" t="str">
        <f t="shared" si="67"/>
        <v/>
      </c>
    </row>
    <row r="2174" spans="7:11" x14ac:dyDescent="0.2">
      <c r="G2174" s="44"/>
      <c r="J2174" t="str">
        <f t="shared" si="66"/>
        <v/>
      </c>
      <c r="K2174" t="str">
        <f t="shared" si="67"/>
        <v/>
      </c>
    </row>
    <row r="2175" spans="7:11" x14ac:dyDescent="0.2">
      <c r="G2175" s="44"/>
      <c r="J2175" t="str">
        <f t="shared" si="66"/>
        <v/>
      </c>
      <c r="K2175" t="str">
        <f t="shared" si="67"/>
        <v/>
      </c>
    </row>
    <row r="2176" spans="7:11" x14ac:dyDescent="0.2">
      <c r="G2176" s="44"/>
      <c r="J2176" t="str">
        <f t="shared" si="66"/>
        <v/>
      </c>
      <c r="K2176" t="str">
        <f t="shared" si="67"/>
        <v/>
      </c>
    </row>
    <row r="2177" spans="7:11" x14ac:dyDescent="0.2">
      <c r="G2177" s="44"/>
      <c r="J2177" t="str">
        <f t="shared" si="66"/>
        <v/>
      </c>
      <c r="K2177" t="str">
        <f t="shared" si="67"/>
        <v/>
      </c>
    </row>
    <row r="2178" spans="7:11" x14ac:dyDescent="0.2">
      <c r="G2178" s="44"/>
      <c r="J2178" t="str">
        <f t="shared" ref="J2178:J2241" si="68">IF(E2178="","",IF(OR(E2178=50,E2178=51),"Iltindhold",IF(E2178=75,"Carbon,org,NVOC",IF(OR(E2178=343,E2178=1167),"Svovlbrinte",IF(OR(E2178=240,E2178=241,E2178=242),"Amm",IF(E2178=244,"Nitrit",IF(E2178=247,"Nitrat",IF(E2178=334,"Sulfat",IF(E2178=262,"Phosphor, total-P",F2178)))))))))</f>
        <v/>
      </c>
      <c r="K2178" t="str">
        <f t="shared" ref="K2178:K2241" si="69">IF(A2178="","",IF(H2178="!",NA(),IF(H2178="A",I2178*0.5,IF(H2178="&lt;",I2178*0.5,I2178))))</f>
        <v/>
      </c>
    </row>
    <row r="2179" spans="7:11" x14ac:dyDescent="0.2">
      <c r="G2179" s="44"/>
      <c r="J2179" t="str">
        <f t="shared" si="68"/>
        <v/>
      </c>
      <c r="K2179" t="str">
        <f t="shared" si="69"/>
        <v/>
      </c>
    </row>
    <row r="2180" spans="7:11" x14ac:dyDescent="0.2">
      <c r="G2180" s="44"/>
      <c r="J2180" t="str">
        <f t="shared" si="68"/>
        <v/>
      </c>
      <c r="K2180" t="str">
        <f t="shared" si="69"/>
        <v/>
      </c>
    </row>
    <row r="2181" spans="7:11" x14ac:dyDescent="0.2">
      <c r="G2181" s="44"/>
      <c r="J2181" t="str">
        <f t="shared" si="68"/>
        <v/>
      </c>
      <c r="K2181" t="str">
        <f t="shared" si="69"/>
        <v/>
      </c>
    </row>
    <row r="2182" spans="7:11" x14ac:dyDescent="0.2">
      <c r="G2182" s="44"/>
      <c r="J2182" t="str">
        <f t="shared" si="68"/>
        <v/>
      </c>
      <c r="K2182" t="str">
        <f t="shared" si="69"/>
        <v/>
      </c>
    </row>
    <row r="2183" spans="7:11" x14ac:dyDescent="0.2">
      <c r="G2183" s="44"/>
      <c r="J2183" t="str">
        <f t="shared" si="68"/>
        <v/>
      </c>
      <c r="K2183" t="str">
        <f t="shared" si="69"/>
        <v/>
      </c>
    </row>
    <row r="2184" spans="7:11" x14ac:dyDescent="0.2">
      <c r="G2184" s="44"/>
      <c r="J2184" t="str">
        <f t="shared" si="68"/>
        <v/>
      </c>
      <c r="K2184" t="str">
        <f t="shared" si="69"/>
        <v/>
      </c>
    </row>
    <row r="2185" spans="7:11" x14ac:dyDescent="0.2">
      <c r="G2185" s="44"/>
      <c r="J2185" t="str">
        <f t="shared" si="68"/>
        <v/>
      </c>
      <c r="K2185" t="str">
        <f t="shared" si="69"/>
        <v/>
      </c>
    </row>
    <row r="2186" spans="7:11" x14ac:dyDescent="0.2">
      <c r="G2186" s="44"/>
      <c r="J2186" t="str">
        <f t="shared" si="68"/>
        <v/>
      </c>
      <c r="K2186" t="str">
        <f t="shared" si="69"/>
        <v/>
      </c>
    </row>
    <row r="2187" spans="7:11" x14ac:dyDescent="0.2">
      <c r="G2187" s="44"/>
      <c r="J2187" t="str">
        <f t="shared" si="68"/>
        <v/>
      </c>
      <c r="K2187" t="str">
        <f t="shared" si="69"/>
        <v/>
      </c>
    </row>
    <row r="2188" spans="7:11" x14ac:dyDescent="0.2">
      <c r="G2188" s="44"/>
      <c r="J2188" t="str">
        <f t="shared" si="68"/>
        <v/>
      </c>
      <c r="K2188" t="str">
        <f t="shared" si="69"/>
        <v/>
      </c>
    </row>
    <row r="2189" spans="7:11" x14ac:dyDescent="0.2">
      <c r="G2189" s="44"/>
      <c r="J2189" t="str">
        <f t="shared" si="68"/>
        <v/>
      </c>
      <c r="K2189" t="str">
        <f t="shared" si="69"/>
        <v/>
      </c>
    </row>
    <row r="2190" spans="7:11" x14ac:dyDescent="0.2">
      <c r="G2190" s="44"/>
      <c r="J2190" t="str">
        <f t="shared" si="68"/>
        <v/>
      </c>
      <c r="K2190" t="str">
        <f t="shared" si="69"/>
        <v/>
      </c>
    </row>
    <row r="2191" spans="7:11" x14ac:dyDescent="0.2">
      <c r="G2191" s="44"/>
      <c r="J2191" t="str">
        <f t="shared" si="68"/>
        <v/>
      </c>
      <c r="K2191" t="str">
        <f t="shared" si="69"/>
        <v/>
      </c>
    </row>
    <row r="2192" spans="7:11" x14ac:dyDescent="0.2">
      <c r="G2192" s="44"/>
      <c r="J2192" t="str">
        <f t="shared" si="68"/>
        <v/>
      </c>
      <c r="K2192" t="str">
        <f t="shared" si="69"/>
        <v/>
      </c>
    </row>
    <row r="2193" spans="7:11" x14ac:dyDescent="0.2">
      <c r="G2193" s="44"/>
      <c r="J2193" t="str">
        <f t="shared" si="68"/>
        <v/>
      </c>
      <c r="K2193" t="str">
        <f t="shared" si="69"/>
        <v/>
      </c>
    </row>
    <row r="2194" spans="7:11" x14ac:dyDescent="0.2">
      <c r="G2194" s="44"/>
      <c r="J2194" t="str">
        <f t="shared" si="68"/>
        <v/>
      </c>
      <c r="K2194" t="str">
        <f t="shared" si="69"/>
        <v/>
      </c>
    </row>
    <row r="2195" spans="7:11" x14ac:dyDescent="0.2">
      <c r="G2195" s="44"/>
      <c r="J2195" t="str">
        <f t="shared" si="68"/>
        <v/>
      </c>
      <c r="K2195" t="str">
        <f t="shared" si="69"/>
        <v/>
      </c>
    </row>
    <row r="2196" spans="7:11" x14ac:dyDescent="0.2">
      <c r="G2196" s="44"/>
      <c r="J2196" t="str">
        <f t="shared" si="68"/>
        <v/>
      </c>
      <c r="K2196" t="str">
        <f t="shared" si="69"/>
        <v/>
      </c>
    </row>
    <row r="2197" spans="7:11" x14ac:dyDescent="0.2">
      <c r="G2197" s="44"/>
      <c r="J2197" t="str">
        <f t="shared" si="68"/>
        <v/>
      </c>
      <c r="K2197" t="str">
        <f t="shared" si="69"/>
        <v/>
      </c>
    </row>
    <row r="2198" spans="7:11" x14ac:dyDescent="0.2">
      <c r="G2198" s="44"/>
      <c r="J2198" t="str">
        <f t="shared" si="68"/>
        <v/>
      </c>
      <c r="K2198" t="str">
        <f t="shared" si="69"/>
        <v/>
      </c>
    </row>
    <row r="2199" spans="7:11" x14ac:dyDescent="0.2">
      <c r="G2199" s="44"/>
      <c r="J2199" t="str">
        <f t="shared" si="68"/>
        <v/>
      </c>
      <c r="K2199" t="str">
        <f t="shared" si="69"/>
        <v/>
      </c>
    </row>
    <row r="2200" spans="7:11" x14ac:dyDescent="0.2">
      <c r="G2200" s="44"/>
      <c r="J2200" t="str">
        <f t="shared" si="68"/>
        <v/>
      </c>
      <c r="K2200" t="str">
        <f t="shared" si="69"/>
        <v/>
      </c>
    </row>
    <row r="2201" spans="7:11" x14ac:dyDescent="0.2">
      <c r="G2201" s="44"/>
      <c r="J2201" t="str">
        <f t="shared" si="68"/>
        <v/>
      </c>
      <c r="K2201" t="str">
        <f t="shared" si="69"/>
        <v/>
      </c>
    </row>
    <row r="2202" spans="7:11" x14ac:dyDescent="0.2">
      <c r="G2202" s="44"/>
      <c r="J2202" t="str">
        <f t="shared" si="68"/>
        <v/>
      </c>
      <c r="K2202" t="str">
        <f t="shared" si="69"/>
        <v/>
      </c>
    </row>
    <row r="2203" spans="7:11" x14ac:dyDescent="0.2">
      <c r="G2203" s="44"/>
      <c r="J2203" t="str">
        <f t="shared" si="68"/>
        <v/>
      </c>
      <c r="K2203" t="str">
        <f t="shared" si="69"/>
        <v/>
      </c>
    </row>
    <row r="2204" spans="7:11" x14ac:dyDescent="0.2">
      <c r="G2204" s="44"/>
      <c r="J2204" t="str">
        <f t="shared" si="68"/>
        <v/>
      </c>
      <c r="K2204" t="str">
        <f t="shared" si="69"/>
        <v/>
      </c>
    </row>
    <row r="2205" spans="7:11" x14ac:dyDescent="0.2">
      <c r="G2205" s="44"/>
      <c r="J2205" t="str">
        <f t="shared" si="68"/>
        <v/>
      </c>
      <c r="K2205" t="str">
        <f t="shared" si="69"/>
        <v/>
      </c>
    </row>
    <row r="2206" spans="7:11" x14ac:dyDescent="0.2">
      <c r="G2206" s="44"/>
      <c r="J2206" t="str">
        <f t="shared" si="68"/>
        <v/>
      </c>
      <c r="K2206" t="str">
        <f t="shared" si="69"/>
        <v/>
      </c>
    </row>
    <row r="2207" spans="7:11" x14ac:dyDescent="0.2">
      <c r="G2207" s="44"/>
      <c r="J2207" t="str">
        <f t="shared" si="68"/>
        <v/>
      </c>
      <c r="K2207" t="str">
        <f t="shared" si="69"/>
        <v/>
      </c>
    </row>
    <row r="2208" spans="7:11" x14ac:dyDescent="0.2">
      <c r="G2208" s="44"/>
      <c r="J2208" t="str">
        <f t="shared" si="68"/>
        <v/>
      </c>
      <c r="K2208" t="str">
        <f t="shared" si="69"/>
        <v/>
      </c>
    </row>
    <row r="2209" spans="7:11" x14ac:dyDescent="0.2">
      <c r="G2209" s="44"/>
      <c r="J2209" t="str">
        <f t="shared" si="68"/>
        <v/>
      </c>
      <c r="K2209" t="str">
        <f t="shared" si="69"/>
        <v/>
      </c>
    </row>
    <row r="2210" spans="7:11" x14ac:dyDescent="0.2">
      <c r="G2210" s="44"/>
      <c r="J2210" t="str">
        <f t="shared" si="68"/>
        <v/>
      </c>
      <c r="K2210" t="str">
        <f t="shared" si="69"/>
        <v/>
      </c>
    </row>
    <row r="2211" spans="7:11" x14ac:dyDescent="0.2">
      <c r="G2211" s="44"/>
      <c r="J2211" t="str">
        <f t="shared" si="68"/>
        <v/>
      </c>
      <c r="K2211" t="str">
        <f t="shared" si="69"/>
        <v/>
      </c>
    </row>
    <row r="2212" spans="7:11" x14ac:dyDescent="0.2">
      <c r="G2212" s="44"/>
      <c r="J2212" t="str">
        <f t="shared" si="68"/>
        <v/>
      </c>
      <c r="K2212" t="str">
        <f t="shared" si="69"/>
        <v/>
      </c>
    </row>
    <row r="2213" spans="7:11" x14ac:dyDescent="0.2">
      <c r="G2213" s="44"/>
      <c r="J2213" t="str">
        <f t="shared" si="68"/>
        <v/>
      </c>
      <c r="K2213" t="str">
        <f t="shared" si="69"/>
        <v/>
      </c>
    </row>
    <row r="2214" spans="7:11" x14ac:dyDescent="0.2">
      <c r="G2214" s="44"/>
      <c r="J2214" t="str">
        <f t="shared" si="68"/>
        <v/>
      </c>
      <c r="K2214" t="str">
        <f t="shared" si="69"/>
        <v/>
      </c>
    </row>
    <row r="2215" spans="7:11" x14ac:dyDescent="0.2">
      <c r="G2215" s="44"/>
      <c r="J2215" t="str">
        <f t="shared" si="68"/>
        <v/>
      </c>
      <c r="K2215" t="str">
        <f t="shared" si="69"/>
        <v/>
      </c>
    </row>
    <row r="2216" spans="7:11" x14ac:dyDescent="0.2">
      <c r="G2216" s="44"/>
      <c r="J2216" t="str">
        <f t="shared" si="68"/>
        <v/>
      </c>
      <c r="K2216" t="str">
        <f t="shared" si="69"/>
        <v/>
      </c>
    </row>
    <row r="2217" spans="7:11" x14ac:dyDescent="0.2">
      <c r="G2217" s="44"/>
      <c r="J2217" t="str">
        <f t="shared" si="68"/>
        <v/>
      </c>
      <c r="K2217" t="str">
        <f t="shared" si="69"/>
        <v/>
      </c>
    </row>
    <row r="2218" spans="7:11" x14ac:dyDescent="0.2">
      <c r="G2218" s="44"/>
      <c r="J2218" t="str">
        <f t="shared" si="68"/>
        <v/>
      </c>
      <c r="K2218" t="str">
        <f t="shared" si="69"/>
        <v/>
      </c>
    </row>
    <row r="2219" spans="7:11" x14ac:dyDescent="0.2">
      <c r="G2219" s="44"/>
      <c r="J2219" t="str">
        <f t="shared" si="68"/>
        <v/>
      </c>
      <c r="K2219" t="str">
        <f t="shared" si="69"/>
        <v/>
      </c>
    </row>
    <row r="2220" spans="7:11" x14ac:dyDescent="0.2">
      <c r="G2220" s="44"/>
      <c r="J2220" t="str">
        <f t="shared" si="68"/>
        <v/>
      </c>
      <c r="K2220" t="str">
        <f t="shared" si="69"/>
        <v/>
      </c>
    </row>
    <row r="2221" spans="7:11" x14ac:dyDescent="0.2">
      <c r="G2221" s="44"/>
      <c r="J2221" t="str">
        <f t="shared" si="68"/>
        <v/>
      </c>
      <c r="K2221" t="str">
        <f t="shared" si="69"/>
        <v/>
      </c>
    </row>
    <row r="2222" spans="7:11" x14ac:dyDescent="0.2">
      <c r="G2222" s="44"/>
      <c r="J2222" t="str">
        <f t="shared" si="68"/>
        <v/>
      </c>
      <c r="K2222" t="str">
        <f t="shared" si="69"/>
        <v/>
      </c>
    </row>
    <row r="2223" spans="7:11" x14ac:dyDescent="0.2">
      <c r="G2223" s="44"/>
      <c r="J2223" t="str">
        <f t="shared" si="68"/>
        <v/>
      </c>
      <c r="K2223" t="str">
        <f t="shared" si="69"/>
        <v/>
      </c>
    </row>
    <row r="2224" spans="7:11" x14ac:dyDescent="0.2">
      <c r="G2224" s="44"/>
      <c r="J2224" t="str">
        <f t="shared" si="68"/>
        <v/>
      </c>
      <c r="K2224" t="str">
        <f t="shared" si="69"/>
        <v/>
      </c>
    </row>
    <row r="2225" spans="7:11" x14ac:dyDescent="0.2">
      <c r="G2225" s="44"/>
      <c r="J2225" t="str">
        <f t="shared" si="68"/>
        <v/>
      </c>
      <c r="K2225" t="str">
        <f t="shared" si="69"/>
        <v/>
      </c>
    </row>
    <row r="2226" spans="7:11" x14ac:dyDescent="0.2">
      <c r="G2226" s="44"/>
      <c r="J2226" t="str">
        <f t="shared" si="68"/>
        <v/>
      </c>
      <c r="K2226" t="str">
        <f t="shared" si="69"/>
        <v/>
      </c>
    </row>
    <row r="2227" spans="7:11" x14ac:dyDescent="0.2">
      <c r="G2227" s="44"/>
      <c r="J2227" t="str">
        <f t="shared" si="68"/>
        <v/>
      </c>
      <c r="K2227" t="str">
        <f t="shared" si="69"/>
        <v/>
      </c>
    </row>
    <row r="2228" spans="7:11" x14ac:dyDescent="0.2">
      <c r="G2228" s="44"/>
      <c r="J2228" t="str">
        <f t="shared" si="68"/>
        <v/>
      </c>
      <c r="K2228" t="str">
        <f t="shared" si="69"/>
        <v/>
      </c>
    </row>
    <row r="2229" spans="7:11" x14ac:dyDescent="0.2">
      <c r="G2229" s="44"/>
      <c r="J2229" t="str">
        <f t="shared" si="68"/>
        <v/>
      </c>
      <c r="K2229" t="str">
        <f t="shared" si="69"/>
        <v/>
      </c>
    </row>
    <row r="2230" spans="7:11" x14ac:dyDescent="0.2">
      <c r="G2230" s="44"/>
      <c r="J2230" t="str">
        <f t="shared" si="68"/>
        <v/>
      </c>
      <c r="K2230" t="str">
        <f t="shared" si="69"/>
        <v/>
      </c>
    </row>
    <row r="2231" spans="7:11" x14ac:dyDescent="0.2">
      <c r="G2231" s="44"/>
      <c r="J2231" t="str">
        <f t="shared" si="68"/>
        <v/>
      </c>
      <c r="K2231" t="str">
        <f t="shared" si="69"/>
        <v/>
      </c>
    </row>
    <row r="2232" spans="7:11" x14ac:dyDescent="0.2">
      <c r="G2232" s="44"/>
      <c r="J2232" t="str">
        <f t="shared" si="68"/>
        <v/>
      </c>
      <c r="K2232" t="str">
        <f t="shared" si="69"/>
        <v/>
      </c>
    </row>
    <row r="2233" spans="7:11" x14ac:dyDescent="0.2">
      <c r="G2233" s="44"/>
      <c r="J2233" t="str">
        <f t="shared" si="68"/>
        <v/>
      </c>
      <c r="K2233" t="str">
        <f t="shared" si="69"/>
        <v/>
      </c>
    </row>
    <row r="2234" spans="7:11" x14ac:dyDescent="0.2">
      <c r="G2234" s="44"/>
      <c r="J2234" t="str">
        <f t="shared" si="68"/>
        <v/>
      </c>
      <c r="K2234" t="str">
        <f t="shared" si="69"/>
        <v/>
      </c>
    </row>
    <row r="2235" spans="7:11" x14ac:dyDescent="0.2">
      <c r="G2235" s="44"/>
      <c r="J2235" t="str">
        <f t="shared" si="68"/>
        <v/>
      </c>
      <c r="K2235" t="str">
        <f t="shared" si="69"/>
        <v/>
      </c>
    </row>
    <row r="2236" spans="7:11" x14ac:dyDescent="0.2">
      <c r="G2236" s="44"/>
      <c r="J2236" t="str">
        <f t="shared" si="68"/>
        <v/>
      </c>
      <c r="K2236" t="str">
        <f t="shared" si="69"/>
        <v/>
      </c>
    </row>
    <row r="2237" spans="7:11" x14ac:dyDescent="0.2">
      <c r="G2237" s="44"/>
      <c r="J2237" t="str">
        <f t="shared" si="68"/>
        <v/>
      </c>
      <c r="K2237" t="str">
        <f t="shared" si="69"/>
        <v/>
      </c>
    </row>
    <row r="2238" spans="7:11" x14ac:dyDescent="0.2">
      <c r="G2238" s="44"/>
      <c r="J2238" t="str">
        <f t="shared" si="68"/>
        <v/>
      </c>
      <c r="K2238" t="str">
        <f t="shared" si="69"/>
        <v/>
      </c>
    </row>
    <row r="2239" spans="7:11" x14ac:dyDescent="0.2">
      <c r="G2239" s="44"/>
      <c r="J2239" t="str">
        <f t="shared" si="68"/>
        <v/>
      </c>
      <c r="K2239" t="str">
        <f t="shared" si="69"/>
        <v/>
      </c>
    </row>
    <row r="2240" spans="7:11" x14ac:dyDescent="0.2">
      <c r="G2240" s="44"/>
      <c r="J2240" t="str">
        <f t="shared" si="68"/>
        <v/>
      </c>
      <c r="K2240" t="str">
        <f t="shared" si="69"/>
        <v/>
      </c>
    </row>
    <row r="2241" spans="7:11" x14ac:dyDescent="0.2">
      <c r="G2241" s="44"/>
      <c r="J2241" t="str">
        <f t="shared" si="68"/>
        <v/>
      </c>
      <c r="K2241" t="str">
        <f t="shared" si="69"/>
        <v/>
      </c>
    </row>
    <row r="2242" spans="7:11" x14ac:dyDescent="0.2">
      <c r="G2242" s="44"/>
      <c r="J2242" t="str">
        <f t="shared" ref="J2242:J2305" si="70">IF(E2242="","",IF(OR(E2242=50,E2242=51),"Iltindhold",IF(E2242=75,"Carbon,org,NVOC",IF(OR(E2242=343,E2242=1167),"Svovlbrinte",IF(OR(E2242=240,E2242=241,E2242=242),"Amm",IF(E2242=244,"Nitrit",IF(E2242=247,"Nitrat",IF(E2242=334,"Sulfat",IF(E2242=262,"Phosphor, total-P",F2242)))))))))</f>
        <v/>
      </c>
      <c r="K2242" t="str">
        <f t="shared" ref="K2242:K2305" si="71">IF(A2242="","",IF(H2242="!",NA(),IF(H2242="A",I2242*0.5,IF(H2242="&lt;",I2242*0.5,I2242))))</f>
        <v/>
      </c>
    </row>
    <row r="2243" spans="7:11" x14ac:dyDescent="0.2">
      <c r="G2243" s="44"/>
      <c r="J2243" t="str">
        <f t="shared" si="70"/>
        <v/>
      </c>
      <c r="K2243" t="str">
        <f t="shared" si="71"/>
        <v/>
      </c>
    </row>
    <row r="2244" spans="7:11" x14ac:dyDescent="0.2">
      <c r="G2244" s="44"/>
      <c r="J2244" t="str">
        <f t="shared" si="70"/>
        <v/>
      </c>
      <c r="K2244" t="str">
        <f t="shared" si="71"/>
        <v/>
      </c>
    </row>
    <row r="2245" spans="7:11" x14ac:dyDescent="0.2">
      <c r="G2245" s="44"/>
      <c r="J2245" t="str">
        <f t="shared" si="70"/>
        <v/>
      </c>
      <c r="K2245" t="str">
        <f t="shared" si="71"/>
        <v/>
      </c>
    </row>
    <row r="2246" spans="7:11" x14ac:dyDescent="0.2">
      <c r="G2246" s="44"/>
      <c r="J2246" t="str">
        <f t="shared" si="70"/>
        <v/>
      </c>
      <c r="K2246" t="str">
        <f t="shared" si="71"/>
        <v/>
      </c>
    </row>
    <row r="2247" spans="7:11" x14ac:dyDescent="0.2">
      <c r="G2247" s="44"/>
      <c r="J2247" t="str">
        <f t="shared" si="70"/>
        <v/>
      </c>
      <c r="K2247" t="str">
        <f t="shared" si="71"/>
        <v/>
      </c>
    </row>
    <row r="2248" spans="7:11" x14ac:dyDescent="0.2">
      <c r="G2248" s="44"/>
      <c r="J2248" t="str">
        <f t="shared" si="70"/>
        <v/>
      </c>
      <c r="K2248" t="str">
        <f t="shared" si="71"/>
        <v/>
      </c>
    </row>
    <row r="2249" spans="7:11" x14ac:dyDescent="0.2">
      <c r="G2249" s="44"/>
      <c r="J2249" t="str">
        <f t="shared" si="70"/>
        <v/>
      </c>
      <c r="K2249" t="str">
        <f t="shared" si="71"/>
        <v/>
      </c>
    </row>
    <row r="2250" spans="7:11" x14ac:dyDescent="0.2">
      <c r="G2250" s="44"/>
      <c r="J2250" t="str">
        <f t="shared" si="70"/>
        <v/>
      </c>
      <c r="K2250" t="str">
        <f t="shared" si="71"/>
        <v/>
      </c>
    </row>
    <row r="2251" spans="7:11" x14ac:dyDescent="0.2">
      <c r="G2251" s="44"/>
      <c r="J2251" t="str">
        <f t="shared" si="70"/>
        <v/>
      </c>
      <c r="K2251" t="str">
        <f t="shared" si="71"/>
        <v/>
      </c>
    </row>
    <row r="2252" spans="7:11" x14ac:dyDescent="0.2">
      <c r="G2252" s="44"/>
      <c r="J2252" t="str">
        <f t="shared" si="70"/>
        <v/>
      </c>
      <c r="K2252" t="str">
        <f t="shared" si="71"/>
        <v/>
      </c>
    </row>
    <row r="2253" spans="7:11" x14ac:dyDescent="0.2">
      <c r="G2253" s="44"/>
      <c r="J2253" t="str">
        <f t="shared" si="70"/>
        <v/>
      </c>
      <c r="K2253" t="str">
        <f t="shared" si="71"/>
        <v/>
      </c>
    </row>
    <row r="2254" spans="7:11" x14ac:dyDescent="0.2">
      <c r="G2254" s="44"/>
      <c r="J2254" t="str">
        <f t="shared" si="70"/>
        <v/>
      </c>
      <c r="K2254" t="str">
        <f t="shared" si="71"/>
        <v/>
      </c>
    </row>
    <row r="2255" spans="7:11" x14ac:dyDescent="0.2">
      <c r="G2255" s="44"/>
      <c r="J2255" t="str">
        <f t="shared" si="70"/>
        <v/>
      </c>
      <c r="K2255" t="str">
        <f t="shared" si="71"/>
        <v/>
      </c>
    </row>
    <row r="2256" spans="7:11" x14ac:dyDescent="0.2">
      <c r="G2256" s="44"/>
      <c r="J2256" t="str">
        <f t="shared" si="70"/>
        <v/>
      </c>
      <c r="K2256" t="str">
        <f t="shared" si="71"/>
        <v/>
      </c>
    </row>
    <row r="2257" spans="7:11" x14ac:dyDescent="0.2">
      <c r="G2257" s="44"/>
      <c r="J2257" t="str">
        <f t="shared" si="70"/>
        <v/>
      </c>
      <c r="K2257" t="str">
        <f t="shared" si="71"/>
        <v/>
      </c>
    </row>
    <row r="2258" spans="7:11" x14ac:dyDescent="0.2">
      <c r="G2258" s="44"/>
      <c r="J2258" t="str">
        <f t="shared" si="70"/>
        <v/>
      </c>
      <c r="K2258" t="str">
        <f t="shared" si="71"/>
        <v/>
      </c>
    </row>
    <row r="2259" spans="7:11" x14ac:dyDescent="0.2">
      <c r="G2259" s="44"/>
      <c r="J2259" t="str">
        <f t="shared" si="70"/>
        <v/>
      </c>
      <c r="K2259" t="str">
        <f t="shared" si="71"/>
        <v/>
      </c>
    </row>
    <row r="2260" spans="7:11" x14ac:dyDescent="0.2">
      <c r="G2260" s="44"/>
      <c r="J2260" t="str">
        <f t="shared" si="70"/>
        <v/>
      </c>
      <c r="K2260" t="str">
        <f t="shared" si="71"/>
        <v/>
      </c>
    </row>
    <row r="2261" spans="7:11" x14ac:dyDescent="0.2">
      <c r="G2261" s="44"/>
      <c r="J2261" t="str">
        <f t="shared" si="70"/>
        <v/>
      </c>
      <c r="K2261" t="str">
        <f t="shared" si="71"/>
        <v/>
      </c>
    </row>
    <row r="2262" spans="7:11" x14ac:dyDescent="0.2">
      <c r="G2262" s="44"/>
      <c r="J2262" t="str">
        <f t="shared" si="70"/>
        <v/>
      </c>
      <c r="K2262" t="str">
        <f t="shared" si="71"/>
        <v/>
      </c>
    </row>
    <row r="2263" spans="7:11" x14ac:dyDescent="0.2">
      <c r="G2263" s="44"/>
      <c r="J2263" t="str">
        <f t="shared" si="70"/>
        <v/>
      </c>
      <c r="K2263" t="str">
        <f t="shared" si="71"/>
        <v/>
      </c>
    </row>
    <row r="2264" spans="7:11" x14ac:dyDescent="0.2">
      <c r="G2264" s="44"/>
      <c r="J2264" t="str">
        <f t="shared" si="70"/>
        <v/>
      </c>
      <c r="K2264" t="str">
        <f t="shared" si="71"/>
        <v/>
      </c>
    </row>
    <row r="2265" spans="7:11" x14ac:dyDescent="0.2">
      <c r="G2265" s="44"/>
      <c r="J2265" t="str">
        <f t="shared" si="70"/>
        <v/>
      </c>
      <c r="K2265" t="str">
        <f t="shared" si="71"/>
        <v/>
      </c>
    </row>
    <row r="2266" spans="7:11" x14ac:dyDescent="0.2">
      <c r="G2266" s="44"/>
      <c r="J2266" t="str">
        <f t="shared" si="70"/>
        <v/>
      </c>
      <c r="K2266" t="str">
        <f t="shared" si="71"/>
        <v/>
      </c>
    </row>
    <row r="2267" spans="7:11" x14ac:dyDescent="0.2">
      <c r="G2267" s="44"/>
      <c r="J2267" t="str">
        <f t="shared" si="70"/>
        <v/>
      </c>
      <c r="K2267" t="str">
        <f t="shared" si="71"/>
        <v/>
      </c>
    </row>
    <row r="2268" spans="7:11" x14ac:dyDescent="0.2">
      <c r="G2268" s="44"/>
      <c r="J2268" t="str">
        <f t="shared" si="70"/>
        <v/>
      </c>
      <c r="K2268" t="str">
        <f t="shared" si="71"/>
        <v/>
      </c>
    </row>
    <row r="2269" spans="7:11" x14ac:dyDescent="0.2">
      <c r="G2269" s="44"/>
      <c r="J2269" t="str">
        <f t="shared" si="70"/>
        <v/>
      </c>
      <c r="K2269" t="str">
        <f t="shared" si="71"/>
        <v/>
      </c>
    </row>
    <row r="2270" spans="7:11" x14ac:dyDescent="0.2">
      <c r="G2270" s="44"/>
      <c r="J2270" t="str">
        <f t="shared" si="70"/>
        <v/>
      </c>
      <c r="K2270" t="str">
        <f t="shared" si="71"/>
        <v/>
      </c>
    </row>
    <row r="2271" spans="7:11" x14ac:dyDescent="0.2">
      <c r="G2271" s="44"/>
      <c r="J2271" t="str">
        <f t="shared" si="70"/>
        <v/>
      </c>
      <c r="K2271" t="str">
        <f t="shared" si="71"/>
        <v/>
      </c>
    </row>
    <row r="2272" spans="7:11" x14ac:dyDescent="0.2">
      <c r="G2272" s="44"/>
      <c r="J2272" t="str">
        <f t="shared" si="70"/>
        <v/>
      </c>
      <c r="K2272" t="str">
        <f t="shared" si="71"/>
        <v/>
      </c>
    </row>
    <row r="2273" spans="7:11" x14ac:dyDescent="0.2">
      <c r="G2273" s="44"/>
      <c r="J2273" t="str">
        <f t="shared" si="70"/>
        <v/>
      </c>
      <c r="K2273" t="str">
        <f t="shared" si="71"/>
        <v/>
      </c>
    </row>
    <row r="2274" spans="7:11" x14ac:dyDescent="0.2">
      <c r="G2274" s="44"/>
      <c r="J2274" t="str">
        <f t="shared" si="70"/>
        <v/>
      </c>
      <c r="K2274" t="str">
        <f t="shared" si="71"/>
        <v/>
      </c>
    </row>
    <row r="2275" spans="7:11" x14ac:dyDescent="0.2">
      <c r="G2275" s="44"/>
      <c r="J2275" t="str">
        <f t="shared" si="70"/>
        <v/>
      </c>
      <c r="K2275" t="str">
        <f t="shared" si="71"/>
        <v/>
      </c>
    </row>
    <row r="2276" spans="7:11" x14ac:dyDescent="0.2">
      <c r="G2276" s="44"/>
      <c r="J2276" t="str">
        <f t="shared" si="70"/>
        <v/>
      </c>
      <c r="K2276" t="str">
        <f t="shared" si="71"/>
        <v/>
      </c>
    </row>
    <row r="2277" spans="7:11" x14ac:dyDescent="0.2">
      <c r="G2277" s="44"/>
      <c r="J2277" t="str">
        <f t="shared" si="70"/>
        <v/>
      </c>
      <c r="K2277" t="str">
        <f t="shared" si="71"/>
        <v/>
      </c>
    </row>
    <row r="2278" spans="7:11" x14ac:dyDescent="0.2">
      <c r="G2278" s="44"/>
      <c r="J2278" t="str">
        <f t="shared" si="70"/>
        <v/>
      </c>
      <c r="K2278" t="str">
        <f t="shared" si="71"/>
        <v/>
      </c>
    </row>
    <row r="2279" spans="7:11" x14ac:dyDescent="0.2">
      <c r="G2279" s="44"/>
      <c r="J2279" t="str">
        <f t="shared" si="70"/>
        <v/>
      </c>
      <c r="K2279" t="str">
        <f t="shared" si="71"/>
        <v/>
      </c>
    </row>
    <row r="2280" spans="7:11" x14ac:dyDescent="0.2">
      <c r="G2280" s="44"/>
      <c r="J2280" t="str">
        <f t="shared" si="70"/>
        <v/>
      </c>
      <c r="K2280" t="str">
        <f t="shared" si="71"/>
        <v/>
      </c>
    </row>
    <row r="2281" spans="7:11" x14ac:dyDescent="0.2">
      <c r="G2281" s="44"/>
      <c r="J2281" t="str">
        <f t="shared" si="70"/>
        <v/>
      </c>
      <c r="K2281" t="str">
        <f t="shared" si="71"/>
        <v/>
      </c>
    </row>
    <row r="2282" spans="7:11" x14ac:dyDescent="0.2">
      <c r="G2282" s="44"/>
      <c r="J2282" t="str">
        <f t="shared" si="70"/>
        <v/>
      </c>
      <c r="K2282" t="str">
        <f t="shared" si="71"/>
        <v/>
      </c>
    </row>
    <row r="2283" spans="7:11" x14ac:dyDescent="0.2">
      <c r="G2283" s="44"/>
      <c r="J2283" t="str">
        <f t="shared" si="70"/>
        <v/>
      </c>
      <c r="K2283" t="str">
        <f t="shared" si="71"/>
        <v/>
      </c>
    </row>
    <row r="2284" spans="7:11" x14ac:dyDescent="0.2">
      <c r="G2284" s="44"/>
      <c r="J2284" t="str">
        <f t="shared" si="70"/>
        <v/>
      </c>
      <c r="K2284" t="str">
        <f t="shared" si="71"/>
        <v/>
      </c>
    </row>
    <row r="2285" spans="7:11" x14ac:dyDescent="0.2">
      <c r="G2285" s="44"/>
      <c r="J2285" t="str">
        <f t="shared" si="70"/>
        <v/>
      </c>
      <c r="K2285" t="str">
        <f t="shared" si="71"/>
        <v/>
      </c>
    </row>
    <row r="2286" spans="7:11" x14ac:dyDescent="0.2">
      <c r="G2286" s="44"/>
      <c r="J2286" t="str">
        <f t="shared" si="70"/>
        <v/>
      </c>
      <c r="K2286" t="str">
        <f t="shared" si="71"/>
        <v/>
      </c>
    </row>
    <row r="2287" spans="7:11" x14ac:dyDescent="0.2">
      <c r="G2287" s="44"/>
      <c r="J2287" t="str">
        <f t="shared" si="70"/>
        <v/>
      </c>
      <c r="K2287" t="str">
        <f t="shared" si="71"/>
        <v/>
      </c>
    </row>
    <row r="2288" spans="7:11" x14ac:dyDescent="0.2">
      <c r="G2288" s="44"/>
      <c r="J2288" t="str">
        <f t="shared" si="70"/>
        <v/>
      </c>
      <c r="K2288" t="str">
        <f t="shared" si="71"/>
        <v/>
      </c>
    </row>
    <row r="2289" spans="7:11" x14ac:dyDescent="0.2">
      <c r="G2289" s="44"/>
      <c r="J2289" t="str">
        <f t="shared" si="70"/>
        <v/>
      </c>
      <c r="K2289" t="str">
        <f t="shared" si="71"/>
        <v/>
      </c>
    </row>
    <row r="2290" spans="7:11" x14ac:dyDescent="0.2">
      <c r="G2290" s="44"/>
      <c r="J2290" t="str">
        <f t="shared" si="70"/>
        <v/>
      </c>
      <c r="K2290" t="str">
        <f t="shared" si="71"/>
        <v/>
      </c>
    </row>
    <row r="2291" spans="7:11" x14ac:dyDescent="0.2">
      <c r="G2291" s="44"/>
      <c r="J2291" t="str">
        <f t="shared" si="70"/>
        <v/>
      </c>
      <c r="K2291" t="str">
        <f t="shared" si="71"/>
        <v/>
      </c>
    </row>
    <row r="2292" spans="7:11" x14ac:dyDescent="0.2">
      <c r="G2292" s="44"/>
      <c r="J2292" t="str">
        <f t="shared" si="70"/>
        <v/>
      </c>
      <c r="K2292" t="str">
        <f t="shared" si="71"/>
        <v/>
      </c>
    </row>
    <row r="2293" spans="7:11" x14ac:dyDescent="0.2">
      <c r="G2293" s="44"/>
      <c r="J2293" t="str">
        <f t="shared" si="70"/>
        <v/>
      </c>
      <c r="K2293" t="str">
        <f t="shared" si="71"/>
        <v/>
      </c>
    </row>
    <row r="2294" spans="7:11" x14ac:dyDescent="0.2">
      <c r="G2294" s="44"/>
      <c r="J2294" t="str">
        <f t="shared" si="70"/>
        <v/>
      </c>
      <c r="K2294" t="str">
        <f t="shared" si="71"/>
        <v/>
      </c>
    </row>
    <row r="2295" spans="7:11" x14ac:dyDescent="0.2">
      <c r="G2295" s="44"/>
      <c r="J2295" t="str">
        <f t="shared" si="70"/>
        <v/>
      </c>
      <c r="K2295" t="str">
        <f t="shared" si="71"/>
        <v/>
      </c>
    </row>
    <row r="2296" spans="7:11" x14ac:dyDescent="0.2">
      <c r="G2296" s="44"/>
      <c r="J2296" t="str">
        <f t="shared" si="70"/>
        <v/>
      </c>
      <c r="K2296" t="str">
        <f t="shared" si="71"/>
        <v/>
      </c>
    </row>
    <row r="2297" spans="7:11" x14ac:dyDescent="0.2">
      <c r="G2297" s="44"/>
      <c r="J2297" t="str">
        <f t="shared" si="70"/>
        <v/>
      </c>
      <c r="K2297" t="str">
        <f t="shared" si="71"/>
        <v/>
      </c>
    </row>
    <row r="2298" spans="7:11" x14ac:dyDescent="0.2">
      <c r="G2298" s="44"/>
      <c r="J2298" t="str">
        <f t="shared" si="70"/>
        <v/>
      </c>
      <c r="K2298" t="str">
        <f t="shared" si="71"/>
        <v/>
      </c>
    </row>
    <row r="2299" spans="7:11" x14ac:dyDescent="0.2">
      <c r="G2299" s="44"/>
      <c r="J2299" t="str">
        <f t="shared" si="70"/>
        <v/>
      </c>
      <c r="K2299" t="str">
        <f t="shared" si="71"/>
        <v/>
      </c>
    </row>
    <row r="2300" spans="7:11" x14ac:dyDescent="0.2">
      <c r="G2300" s="44"/>
      <c r="J2300" t="str">
        <f t="shared" si="70"/>
        <v/>
      </c>
      <c r="K2300" t="str">
        <f t="shared" si="71"/>
        <v/>
      </c>
    </row>
    <row r="2301" spans="7:11" x14ac:dyDescent="0.2">
      <c r="G2301" s="44"/>
      <c r="J2301" t="str">
        <f t="shared" si="70"/>
        <v/>
      </c>
      <c r="K2301" t="str">
        <f t="shared" si="71"/>
        <v/>
      </c>
    </row>
    <row r="2302" spans="7:11" x14ac:dyDescent="0.2">
      <c r="G2302" s="44"/>
      <c r="J2302" t="str">
        <f t="shared" si="70"/>
        <v/>
      </c>
      <c r="K2302" t="str">
        <f t="shared" si="71"/>
        <v/>
      </c>
    </row>
    <row r="2303" spans="7:11" x14ac:dyDescent="0.2">
      <c r="G2303" s="44"/>
      <c r="J2303" t="str">
        <f t="shared" si="70"/>
        <v/>
      </c>
      <c r="K2303" t="str">
        <f t="shared" si="71"/>
        <v/>
      </c>
    </row>
    <row r="2304" spans="7:11" x14ac:dyDescent="0.2">
      <c r="G2304" s="44"/>
      <c r="J2304" t="str">
        <f t="shared" si="70"/>
        <v/>
      </c>
      <c r="K2304" t="str">
        <f t="shared" si="71"/>
        <v/>
      </c>
    </row>
    <row r="2305" spans="7:11" x14ac:dyDescent="0.2">
      <c r="G2305" s="44"/>
      <c r="J2305" t="str">
        <f t="shared" si="70"/>
        <v/>
      </c>
      <c r="K2305" t="str">
        <f t="shared" si="71"/>
        <v/>
      </c>
    </row>
    <row r="2306" spans="7:11" x14ac:dyDescent="0.2">
      <c r="G2306" s="44"/>
      <c r="J2306" t="str">
        <f t="shared" ref="J2306:J2369" si="72">IF(E2306="","",IF(OR(E2306=50,E2306=51),"Iltindhold",IF(E2306=75,"Carbon,org,NVOC",IF(OR(E2306=343,E2306=1167),"Svovlbrinte",IF(OR(E2306=240,E2306=241,E2306=242),"Amm",IF(E2306=244,"Nitrit",IF(E2306=247,"Nitrat",IF(E2306=334,"Sulfat",IF(E2306=262,"Phosphor, total-P",F2306)))))))))</f>
        <v/>
      </c>
      <c r="K2306" t="str">
        <f t="shared" ref="K2306:K2369" si="73">IF(A2306="","",IF(H2306="!",NA(),IF(H2306="A",I2306*0.5,IF(H2306="&lt;",I2306*0.5,I2306))))</f>
        <v/>
      </c>
    </row>
    <row r="2307" spans="7:11" x14ac:dyDescent="0.2">
      <c r="G2307" s="44"/>
      <c r="J2307" t="str">
        <f t="shared" si="72"/>
        <v/>
      </c>
      <c r="K2307" t="str">
        <f t="shared" si="73"/>
        <v/>
      </c>
    </row>
    <row r="2308" spans="7:11" x14ac:dyDescent="0.2">
      <c r="G2308" s="44"/>
      <c r="J2308" t="str">
        <f t="shared" si="72"/>
        <v/>
      </c>
      <c r="K2308" t="str">
        <f t="shared" si="73"/>
        <v/>
      </c>
    </row>
    <row r="2309" spans="7:11" x14ac:dyDescent="0.2">
      <c r="G2309" s="44"/>
      <c r="J2309" t="str">
        <f t="shared" si="72"/>
        <v/>
      </c>
      <c r="K2309" t="str">
        <f t="shared" si="73"/>
        <v/>
      </c>
    </row>
    <row r="2310" spans="7:11" x14ac:dyDescent="0.2">
      <c r="G2310" s="44"/>
      <c r="J2310" t="str">
        <f t="shared" si="72"/>
        <v/>
      </c>
      <c r="K2310" t="str">
        <f t="shared" si="73"/>
        <v/>
      </c>
    </row>
    <row r="2311" spans="7:11" x14ac:dyDescent="0.2">
      <c r="G2311" s="44"/>
      <c r="J2311" t="str">
        <f t="shared" si="72"/>
        <v/>
      </c>
      <c r="K2311" t="str">
        <f t="shared" si="73"/>
        <v/>
      </c>
    </row>
    <row r="2312" spans="7:11" x14ac:dyDescent="0.2">
      <c r="G2312" s="44"/>
      <c r="J2312" t="str">
        <f t="shared" si="72"/>
        <v/>
      </c>
      <c r="K2312" t="str">
        <f t="shared" si="73"/>
        <v/>
      </c>
    </row>
    <row r="2313" spans="7:11" x14ac:dyDescent="0.2">
      <c r="G2313" s="44"/>
      <c r="J2313" t="str">
        <f t="shared" si="72"/>
        <v/>
      </c>
      <c r="K2313" t="str">
        <f t="shared" si="73"/>
        <v/>
      </c>
    </row>
    <row r="2314" spans="7:11" x14ac:dyDescent="0.2">
      <c r="G2314" s="44"/>
      <c r="J2314" t="str">
        <f t="shared" si="72"/>
        <v/>
      </c>
      <c r="K2314" t="str">
        <f t="shared" si="73"/>
        <v/>
      </c>
    </row>
    <row r="2315" spans="7:11" x14ac:dyDescent="0.2">
      <c r="G2315" s="44"/>
      <c r="J2315" t="str">
        <f t="shared" si="72"/>
        <v/>
      </c>
      <c r="K2315" t="str">
        <f t="shared" si="73"/>
        <v/>
      </c>
    </row>
    <row r="2316" spans="7:11" x14ac:dyDescent="0.2">
      <c r="G2316" s="44"/>
      <c r="J2316" t="str">
        <f t="shared" si="72"/>
        <v/>
      </c>
      <c r="K2316" t="str">
        <f t="shared" si="73"/>
        <v/>
      </c>
    </row>
    <row r="2317" spans="7:11" x14ac:dyDescent="0.2">
      <c r="G2317" s="44"/>
      <c r="J2317" t="str">
        <f t="shared" si="72"/>
        <v/>
      </c>
      <c r="K2317" t="str">
        <f t="shared" si="73"/>
        <v/>
      </c>
    </row>
    <row r="2318" spans="7:11" x14ac:dyDescent="0.2">
      <c r="G2318" s="44"/>
      <c r="J2318" t="str">
        <f t="shared" si="72"/>
        <v/>
      </c>
      <c r="K2318" t="str">
        <f t="shared" si="73"/>
        <v/>
      </c>
    </row>
    <row r="2319" spans="7:11" x14ac:dyDescent="0.2">
      <c r="G2319" s="44"/>
      <c r="J2319" t="str">
        <f t="shared" si="72"/>
        <v/>
      </c>
      <c r="K2319" t="str">
        <f t="shared" si="73"/>
        <v/>
      </c>
    </row>
    <row r="2320" spans="7:11" x14ac:dyDescent="0.2">
      <c r="G2320" s="44"/>
      <c r="J2320" t="str">
        <f t="shared" si="72"/>
        <v/>
      </c>
      <c r="K2320" t="str">
        <f t="shared" si="73"/>
        <v/>
      </c>
    </row>
    <row r="2321" spans="7:11" x14ac:dyDescent="0.2">
      <c r="G2321" s="44"/>
      <c r="J2321" t="str">
        <f t="shared" si="72"/>
        <v/>
      </c>
      <c r="K2321" t="str">
        <f t="shared" si="73"/>
        <v/>
      </c>
    </row>
    <row r="2322" spans="7:11" x14ac:dyDescent="0.2">
      <c r="G2322" s="44"/>
      <c r="J2322" t="str">
        <f t="shared" si="72"/>
        <v/>
      </c>
      <c r="K2322" t="str">
        <f t="shared" si="73"/>
        <v/>
      </c>
    </row>
    <row r="2323" spans="7:11" x14ac:dyDescent="0.2">
      <c r="G2323" s="44"/>
      <c r="J2323" t="str">
        <f t="shared" si="72"/>
        <v/>
      </c>
      <c r="K2323" t="str">
        <f t="shared" si="73"/>
        <v/>
      </c>
    </row>
    <row r="2324" spans="7:11" x14ac:dyDescent="0.2">
      <c r="G2324" s="44"/>
      <c r="J2324" t="str">
        <f t="shared" si="72"/>
        <v/>
      </c>
      <c r="K2324" t="str">
        <f t="shared" si="73"/>
        <v/>
      </c>
    </row>
    <row r="2325" spans="7:11" x14ac:dyDescent="0.2">
      <c r="G2325" s="44"/>
      <c r="J2325" t="str">
        <f t="shared" si="72"/>
        <v/>
      </c>
      <c r="K2325" t="str">
        <f t="shared" si="73"/>
        <v/>
      </c>
    </row>
    <row r="2326" spans="7:11" x14ac:dyDescent="0.2">
      <c r="G2326" s="44"/>
      <c r="J2326" t="str">
        <f t="shared" si="72"/>
        <v/>
      </c>
      <c r="K2326" t="str">
        <f t="shared" si="73"/>
        <v/>
      </c>
    </row>
    <row r="2327" spans="7:11" x14ac:dyDescent="0.2">
      <c r="G2327" s="44"/>
      <c r="J2327" t="str">
        <f t="shared" si="72"/>
        <v/>
      </c>
      <c r="K2327" t="str">
        <f t="shared" si="73"/>
        <v/>
      </c>
    </row>
    <row r="2328" spans="7:11" x14ac:dyDescent="0.2">
      <c r="G2328" s="44"/>
      <c r="J2328" t="str">
        <f t="shared" si="72"/>
        <v/>
      </c>
      <c r="K2328" t="str">
        <f t="shared" si="73"/>
        <v/>
      </c>
    </row>
    <row r="2329" spans="7:11" x14ac:dyDescent="0.2">
      <c r="G2329" s="44"/>
      <c r="J2329" t="str">
        <f t="shared" si="72"/>
        <v/>
      </c>
      <c r="K2329" t="str">
        <f t="shared" si="73"/>
        <v/>
      </c>
    </row>
    <row r="2330" spans="7:11" x14ac:dyDescent="0.2">
      <c r="G2330" s="44"/>
      <c r="J2330" t="str">
        <f t="shared" si="72"/>
        <v/>
      </c>
      <c r="K2330" t="str">
        <f t="shared" si="73"/>
        <v/>
      </c>
    </row>
    <row r="2331" spans="7:11" x14ac:dyDescent="0.2">
      <c r="G2331" s="44"/>
      <c r="J2331" t="str">
        <f t="shared" si="72"/>
        <v/>
      </c>
      <c r="K2331" t="str">
        <f t="shared" si="73"/>
        <v/>
      </c>
    </row>
    <row r="2332" spans="7:11" x14ac:dyDescent="0.2">
      <c r="G2332" s="44"/>
      <c r="J2332" t="str">
        <f t="shared" si="72"/>
        <v/>
      </c>
      <c r="K2332" t="str">
        <f t="shared" si="73"/>
        <v/>
      </c>
    </row>
    <row r="2333" spans="7:11" x14ac:dyDescent="0.2">
      <c r="G2333" s="44"/>
      <c r="J2333" t="str">
        <f t="shared" si="72"/>
        <v/>
      </c>
      <c r="K2333" t="str">
        <f t="shared" si="73"/>
        <v/>
      </c>
    </row>
    <row r="2334" spans="7:11" x14ac:dyDescent="0.2">
      <c r="G2334" s="44"/>
      <c r="J2334" t="str">
        <f t="shared" si="72"/>
        <v/>
      </c>
      <c r="K2334" t="str">
        <f t="shared" si="73"/>
        <v/>
      </c>
    </row>
    <row r="2335" spans="7:11" x14ac:dyDescent="0.2">
      <c r="G2335" s="44"/>
      <c r="J2335" t="str">
        <f t="shared" si="72"/>
        <v/>
      </c>
      <c r="K2335" t="str">
        <f t="shared" si="73"/>
        <v/>
      </c>
    </row>
    <row r="2336" spans="7:11" x14ac:dyDescent="0.2">
      <c r="G2336" s="44"/>
      <c r="J2336" t="str">
        <f t="shared" si="72"/>
        <v/>
      </c>
      <c r="K2336" t="str">
        <f t="shared" si="73"/>
        <v/>
      </c>
    </row>
    <row r="2337" spans="7:11" x14ac:dyDescent="0.2">
      <c r="G2337" s="44"/>
      <c r="J2337" t="str">
        <f t="shared" si="72"/>
        <v/>
      </c>
      <c r="K2337" t="str">
        <f t="shared" si="73"/>
        <v/>
      </c>
    </row>
    <row r="2338" spans="7:11" x14ac:dyDescent="0.2">
      <c r="G2338" s="44"/>
      <c r="J2338" t="str">
        <f t="shared" si="72"/>
        <v/>
      </c>
      <c r="K2338" t="str">
        <f t="shared" si="73"/>
        <v/>
      </c>
    </row>
    <row r="2339" spans="7:11" x14ac:dyDescent="0.2">
      <c r="G2339" s="44"/>
      <c r="J2339" t="str">
        <f t="shared" si="72"/>
        <v/>
      </c>
      <c r="K2339" t="str">
        <f t="shared" si="73"/>
        <v/>
      </c>
    </row>
    <row r="2340" spans="7:11" x14ac:dyDescent="0.2">
      <c r="G2340" s="44"/>
      <c r="J2340" t="str">
        <f t="shared" si="72"/>
        <v/>
      </c>
      <c r="K2340" t="str">
        <f t="shared" si="73"/>
        <v/>
      </c>
    </row>
    <row r="2341" spans="7:11" x14ac:dyDescent="0.2">
      <c r="G2341" s="44"/>
      <c r="J2341" t="str">
        <f t="shared" si="72"/>
        <v/>
      </c>
      <c r="K2341" t="str">
        <f t="shared" si="73"/>
        <v/>
      </c>
    </row>
    <row r="2342" spans="7:11" x14ac:dyDescent="0.2">
      <c r="G2342" s="44"/>
      <c r="J2342" t="str">
        <f t="shared" si="72"/>
        <v/>
      </c>
      <c r="K2342" t="str">
        <f t="shared" si="73"/>
        <v/>
      </c>
    </row>
    <row r="2343" spans="7:11" x14ac:dyDescent="0.2">
      <c r="G2343" s="44"/>
      <c r="J2343" t="str">
        <f t="shared" si="72"/>
        <v/>
      </c>
      <c r="K2343" t="str">
        <f t="shared" si="73"/>
        <v/>
      </c>
    </row>
    <row r="2344" spans="7:11" x14ac:dyDescent="0.2">
      <c r="G2344" s="44"/>
      <c r="J2344" t="str">
        <f t="shared" si="72"/>
        <v/>
      </c>
      <c r="K2344" t="str">
        <f t="shared" si="73"/>
        <v/>
      </c>
    </row>
    <row r="2345" spans="7:11" x14ac:dyDescent="0.2">
      <c r="G2345" s="44"/>
      <c r="J2345" t="str">
        <f t="shared" si="72"/>
        <v/>
      </c>
      <c r="K2345" t="str">
        <f t="shared" si="73"/>
        <v/>
      </c>
    </row>
    <row r="2346" spans="7:11" x14ac:dyDescent="0.2">
      <c r="G2346" s="44"/>
      <c r="J2346" t="str">
        <f t="shared" si="72"/>
        <v/>
      </c>
      <c r="K2346" t="str">
        <f t="shared" si="73"/>
        <v/>
      </c>
    </row>
    <row r="2347" spans="7:11" x14ac:dyDescent="0.2">
      <c r="G2347" s="44"/>
      <c r="J2347" t="str">
        <f t="shared" si="72"/>
        <v/>
      </c>
      <c r="K2347" t="str">
        <f t="shared" si="73"/>
        <v/>
      </c>
    </row>
    <row r="2348" spans="7:11" x14ac:dyDescent="0.2">
      <c r="G2348" s="44"/>
      <c r="J2348" t="str">
        <f t="shared" si="72"/>
        <v/>
      </c>
      <c r="K2348" t="str">
        <f t="shared" si="73"/>
        <v/>
      </c>
    </row>
    <row r="2349" spans="7:11" x14ac:dyDescent="0.2">
      <c r="G2349" s="44"/>
      <c r="J2349" t="str">
        <f t="shared" si="72"/>
        <v/>
      </c>
      <c r="K2349" t="str">
        <f t="shared" si="73"/>
        <v/>
      </c>
    </row>
    <row r="2350" spans="7:11" x14ac:dyDescent="0.2">
      <c r="G2350" s="44"/>
      <c r="J2350" t="str">
        <f t="shared" si="72"/>
        <v/>
      </c>
      <c r="K2350" t="str">
        <f t="shared" si="73"/>
        <v/>
      </c>
    </row>
    <row r="2351" spans="7:11" x14ac:dyDescent="0.2">
      <c r="G2351" s="44"/>
      <c r="J2351" t="str">
        <f t="shared" si="72"/>
        <v/>
      </c>
      <c r="K2351" t="str">
        <f t="shared" si="73"/>
        <v/>
      </c>
    </row>
    <row r="2352" spans="7:11" x14ac:dyDescent="0.2">
      <c r="G2352" s="44"/>
      <c r="J2352" t="str">
        <f t="shared" si="72"/>
        <v/>
      </c>
      <c r="K2352" t="str">
        <f t="shared" si="73"/>
        <v/>
      </c>
    </row>
    <row r="2353" spans="7:11" x14ac:dyDescent="0.2">
      <c r="G2353" s="44"/>
      <c r="J2353" t="str">
        <f t="shared" si="72"/>
        <v/>
      </c>
      <c r="K2353" t="str">
        <f t="shared" si="73"/>
        <v/>
      </c>
    </row>
    <row r="2354" spans="7:11" x14ac:dyDescent="0.2">
      <c r="G2354" s="44"/>
      <c r="J2354" t="str">
        <f t="shared" si="72"/>
        <v/>
      </c>
      <c r="K2354" t="str">
        <f t="shared" si="73"/>
        <v/>
      </c>
    </row>
    <row r="2355" spans="7:11" x14ac:dyDescent="0.2">
      <c r="G2355" s="44"/>
      <c r="J2355" t="str">
        <f t="shared" si="72"/>
        <v/>
      </c>
      <c r="K2355" t="str">
        <f t="shared" si="73"/>
        <v/>
      </c>
    </row>
    <row r="2356" spans="7:11" x14ac:dyDescent="0.2">
      <c r="G2356" s="44"/>
      <c r="J2356" t="str">
        <f t="shared" si="72"/>
        <v/>
      </c>
      <c r="K2356" t="str">
        <f t="shared" si="73"/>
        <v/>
      </c>
    </row>
    <row r="2357" spans="7:11" x14ac:dyDescent="0.2">
      <c r="G2357" s="44"/>
      <c r="J2357" t="str">
        <f t="shared" si="72"/>
        <v/>
      </c>
      <c r="K2357" t="str">
        <f t="shared" si="73"/>
        <v/>
      </c>
    </row>
    <row r="2358" spans="7:11" x14ac:dyDescent="0.2">
      <c r="G2358" s="44"/>
      <c r="J2358" t="str">
        <f t="shared" si="72"/>
        <v/>
      </c>
      <c r="K2358" t="str">
        <f t="shared" si="73"/>
        <v/>
      </c>
    </row>
    <row r="2359" spans="7:11" x14ac:dyDescent="0.2">
      <c r="G2359" s="44"/>
      <c r="J2359" t="str">
        <f t="shared" si="72"/>
        <v/>
      </c>
      <c r="K2359" t="str">
        <f t="shared" si="73"/>
        <v/>
      </c>
    </row>
    <row r="2360" spans="7:11" x14ac:dyDescent="0.2">
      <c r="G2360" s="44"/>
      <c r="J2360" t="str">
        <f t="shared" si="72"/>
        <v/>
      </c>
      <c r="K2360" t="str">
        <f t="shared" si="73"/>
        <v/>
      </c>
    </row>
    <row r="2361" spans="7:11" x14ac:dyDescent="0.2">
      <c r="G2361" s="44"/>
      <c r="J2361" t="str">
        <f t="shared" si="72"/>
        <v/>
      </c>
      <c r="K2361" t="str">
        <f t="shared" si="73"/>
        <v/>
      </c>
    </row>
    <row r="2362" spans="7:11" x14ac:dyDescent="0.2">
      <c r="G2362" s="44"/>
      <c r="J2362" t="str">
        <f t="shared" si="72"/>
        <v/>
      </c>
      <c r="K2362" t="str">
        <f t="shared" si="73"/>
        <v/>
      </c>
    </row>
    <row r="2363" spans="7:11" x14ac:dyDescent="0.2">
      <c r="G2363" s="44"/>
      <c r="J2363" t="str">
        <f t="shared" si="72"/>
        <v/>
      </c>
      <c r="K2363" t="str">
        <f t="shared" si="73"/>
        <v/>
      </c>
    </row>
    <row r="2364" spans="7:11" x14ac:dyDescent="0.2">
      <c r="G2364" s="44"/>
      <c r="J2364" t="str">
        <f t="shared" si="72"/>
        <v/>
      </c>
      <c r="K2364" t="str">
        <f t="shared" si="73"/>
        <v/>
      </c>
    </row>
    <row r="2365" spans="7:11" x14ac:dyDescent="0.2">
      <c r="G2365" s="44"/>
      <c r="J2365" t="str">
        <f t="shared" si="72"/>
        <v/>
      </c>
      <c r="K2365" t="str">
        <f t="shared" si="73"/>
        <v/>
      </c>
    </row>
    <row r="2366" spans="7:11" x14ac:dyDescent="0.2">
      <c r="G2366" s="44"/>
      <c r="J2366" t="str">
        <f t="shared" si="72"/>
        <v/>
      </c>
      <c r="K2366" t="str">
        <f t="shared" si="73"/>
        <v/>
      </c>
    </row>
    <row r="2367" spans="7:11" x14ac:dyDescent="0.2">
      <c r="G2367" s="44"/>
      <c r="J2367" t="str">
        <f t="shared" si="72"/>
        <v/>
      </c>
      <c r="K2367" t="str">
        <f t="shared" si="73"/>
        <v/>
      </c>
    </row>
    <row r="2368" spans="7:11" x14ac:dyDescent="0.2">
      <c r="G2368" s="44"/>
      <c r="J2368" t="str">
        <f t="shared" si="72"/>
        <v/>
      </c>
      <c r="K2368" t="str">
        <f t="shared" si="73"/>
        <v/>
      </c>
    </row>
    <row r="2369" spans="7:11" x14ac:dyDescent="0.2">
      <c r="G2369" s="44"/>
      <c r="J2369" t="str">
        <f t="shared" si="72"/>
        <v/>
      </c>
      <c r="K2369" t="str">
        <f t="shared" si="73"/>
        <v/>
      </c>
    </row>
    <row r="2370" spans="7:11" x14ac:dyDescent="0.2">
      <c r="G2370" s="44"/>
      <c r="J2370" t="str">
        <f t="shared" ref="J2370:J2433" si="74">IF(E2370="","",IF(OR(E2370=50,E2370=51),"Iltindhold",IF(E2370=75,"Carbon,org,NVOC",IF(OR(E2370=343,E2370=1167),"Svovlbrinte",IF(OR(E2370=240,E2370=241,E2370=242),"Amm",IF(E2370=244,"Nitrit",IF(E2370=247,"Nitrat",IF(E2370=334,"Sulfat",IF(E2370=262,"Phosphor, total-P",F2370)))))))))</f>
        <v/>
      </c>
      <c r="K2370" t="str">
        <f t="shared" ref="K2370:K2433" si="75">IF(A2370="","",IF(H2370="!",NA(),IF(H2370="A",I2370*0.5,IF(H2370="&lt;",I2370*0.5,I2370))))</f>
        <v/>
      </c>
    </row>
    <row r="2371" spans="7:11" x14ac:dyDescent="0.2">
      <c r="G2371" s="44"/>
      <c r="J2371" t="str">
        <f t="shared" si="74"/>
        <v/>
      </c>
      <c r="K2371" t="str">
        <f t="shared" si="75"/>
        <v/>
      </c>
    </row>
    <row r="2372" spans="7:11" x14ac:dyDescent="0.2">
      <c r="G2372" s="44"/>
      <c r="J2372" t="str">
        <f t="shared" si="74"/>
        <v/>
      </c>
      <c r="K2372" t="str">
        <f t="shared" si="75"/>
        <v/>
      </c>
    </row>
    <row r="2373" spans="7:11" x14ac:dyDescent="0.2">
      <c r="G2373" s="44"/>
      <c r="J2373" t="str">
        <f t="shared" si="74"/>
        <v/>
      </c>
      <c r="K2373" t="str">
        <f t="shared" si="75"/>
        <v/>
      </c>
    </row>
    <row r="2374" spans="7:11" x14ac:dyDescent="0.2">
      <c r="G2374" s="44"/>
      <c r="J2374" t="str">
        <f t="shared" si="74"/>
        <v/>
      </c>
      <c r="K2374" t="str">
        <f t="shared" si="75"/>
        <v/>
      </c>
    </row>
    <row r="2375" spans="7:11" x14ac:dyDescent="0.2">
      <c r="G2375" s="44"/>
      <c r="J2375" t="str">
        <f t="shared" si="74"/>
        <v/>
      </c>
      <c r="K2375" t="str">
        <f t="shared" si="75"/>
        <v/>
      </c>
    </row>
    <row r="2376" spans="7:11" x14ac:dyDescent="0.2">
      <c r="G2376" s="44"/>
      <c r="J2376" t="str">
        <f t="shared" si="74"/>
        <v/>
      </c>
      <c r="K2376" t="str">
        <f t="shared" si="75"/>
        <v/>
      </c>
    </row>
    <row r="2377" spans="7:11" x14ac:dyDescent="0.2">
      <c r="G2377" s="44"/>
      <c r="J2377" t="str">
        <f t="shared" si="74"/>
        <v/>
      </c>
      <c r="K2377" t="str">
        <f t="shared" si="75"/>
        <v/>
      </c>
    </row>
    <row r="2378" spans="7:11" x14ac:dyDescent="0.2">
      <c r="G2378" s="44"/>
      <c r="J2378" t="str">
        <f t="shared" si="74"/>
        <v/>
      </c>
      <c r="K2378" t="str">
        <f t="shared" si="75"/>
        <v/>
      </c>
    </row>
    <row r="2379" spans="7:11" x14ac:dyDescent="0.2">
      <c r="G2379" s="44"/>
      <c r="J2379" t="str">
        <f t="shared" si="74"/>
        <v/>
      </c>
      <c r="K2379" t="str">
        <f t="shared" si="75"/>
        <v/>
      </c>
    </row>
    <row r="2380" spans="7:11" x14ac:dyDescent="0.2">
      <c r="G2380" s="44"/>
      <c r="J2380" t="str">
        <f t="shared" si="74"/>
        <v/>
      </c>
      <c r="K2380" t="str">
        <f t="shared" si="75"/>
        <v/>
      </c>
    </row>
    <row r="2381" spans="7:11" x14ac:dyDescent="0.2">
      <c r="G2381" s="44"/>
      <c r="J2381" t="str">
        <f t="shared" si="74"/>
        <v/>
      </c>
      <c r="K2381" t="str">
        <f t="shared" si="75"/>
        <v/>
      </c>
    </row>
    <row r="2382" spans="7:11" x14ac:dyDescent="0.2">
      <c r="G2382" s="44"/>
      <c r="J2382" t="str">
        <f t="shared" si="74"/>
        <v/>
      </c>
      <c r="K2382" t="str">
        <f t="shared" si="75"/>
        <v/>
      </c>
    </row>
    <row r="2383" spans="7:11" x14ac:dyDescent="0.2">
      <c r="G2383" s="44"/>
      <c r="J2383" t="str">
        <f t="shared" si="74"/>
        <v/>
      </c>
      <c r="K2383" t="str">
        <f t="shared" si="75"/>
        <v/>
      </c>
    </row>
    <row r="2384" spans="7:11" x14ac:dyDescent="0.2">
      <c r="G2384" s="44"/>
      <c r="J2384" t="str">
        <f t="shared" si="74"/>
        <v/>
      </c>
      <c r="K2384" t="str">
        <f t="shared" si="75"/>
        <v/>
      </c>
    </row>
    <row r="2385" spans="7:11" x14ac:dyDescent="0.2">
      <c r="G2385" s="44"/>
      <c r="J2385" t="str">
        <f t="shared" si="74"/>
        <v/>
      </c>
      <c r="K2385" t="str">
        <f t="shared" si="75"/>
        <v/>
      </c>
    </row>
    <row r="2386" spans="7:11" x14ac:dyDescent="0.2">
      <c r="G2386" s="44"/>
      <c r="J2386" t="str">
        <f t="shared" si="74"/>
        <v/>
      </c>
      <c r="K2386" t="str">
        <f t="shared" si="75"/>
        <v/>
      </c>
    </row>
    <row r="2387" spans="7:11" x14ac:dyDescent="0.2">
      <c r="G2387" s="44"/>
      <c r="J2387" t="str">
        <f t="shared" si="74"/>
        <v/>
      </c>
      <c r="K2387" t="str">
        <f t="shared" si="75"/>
        <v/>
      </c>
    </row>
    <row r="2388" spans="7:11" x14ac:dyDescent="0.2">
      <c r="G2388" s="44"/>
      <c r="J2388" t="str">
        <f t="shared" si="74"/>
        <v/>
      </c>
      <c r="K2388" t="str">
        <f t="shared" si="75"/>
        <v/>
      </c>
    </row>
    <row r="2389" spans="7:11" x14ac:dyDescent="0.2">
      <c r="G2389" s="44"/>
      <c r="J2389" t="str">
        <f t="shared" si="74"/>
        <v/>
      </c>
      <c r="K2389" t="str">
        <f t="shared" si="75"/>
        <v/>
      </c>
    </row>
    <row r="2390" spans="7:11" x14ac:dyDescent="0.2">
      <c r="G2390" s="44"/>
      <c r="J2390" t="str">
        <f t="shared" si="74"/>
        <v/>
      </c>
      <c r="K2390" t="str">
        <f t="shared" si="75"/>
        <v/>
      </c>
    </row>
    <row r="2391" spans="7:11" x14ac:dyDescent="0.2">
      <c r="G2391" s="44"/>
      <c r="J2391" t="str">
        <f t="shared" si="74"/>
        <v/>
      </c>
      <c r="K2391" t="str">
        <f t="shared" si="75"/>
        <v/>
      </c>
    </row>
    <row r="2392" spans="7:11" x14ac:dyDescent="0.2">
      <c r="G2392" s="44"/>
      <c r="J2392" t="str">
        <f t="shared" si="74"/>
        <v/>
      </c>
      <c r="K2392" t="str">
        <f t="shared" si="75"/>
        <v/>
      </c>
    </row>
    <row r="2393" spans="7:11" x14ac:dyDescent="0.2">
      <c r="G2393" s="44"/>
      <c r="J2393" t="str">
        <f t="shared" si="74"/>
        <v/>
      </c>
      <c r="K2393" t="str">
        <f t="shared" si="75"/>
        <v/>
      </c>
    </row>
    <row r="2394" spans="7:11" x14ac:dyDescent="0.2">
      <c r="G2394" s="44"/>
      <c r="J2394" t="str">
        <f t="shared" si="74"/>
        <v/>
      </c>
      <c r="K2394" t="str">
        <f t="shared" si="75"/>
        <v/>
      </c>
    </row>
    <row r="2395" spans="7:11" x14ac:dyDescent="0.2">
      <c r="G2395" s="44"/>
      <c r="J2395" t="str">
        <f t="shared" si="74"/>
        <v/>
      </c>
      <c r="K2395" t="str">
        <f t="shared" si="75"/>
        <v/>
      </c>
    </row>
    <row r="2396" spans="7:11" x14ac:dyDescent="0.2">
      <c r="G2396" s="44"/>
      <c r="J2396" t="str">
        <f t="shared" si="74"/>
        <v/>
      </c>
      <c r="K2396" t="str">
        <f t="shared" si="75"/>
        <v/>
      </c>
    </row>
    <row r="2397" spans="7:11" x14ac:dyDescent="0.2">
      <c r="G2397" s="44"/>
      <c r="J2397" t="str">
        <f t="shared" si="74"/>
        <v/>
      </c>
      <c r="K2397" t="str">
        <f t="shared" si="75"/>
        <v/>
      </c>
    </row>
    <row r="2398" spans="7:11" x14ac:dyDescent="0.2">
      <c r="G2398" s="44"/>
      <c r="J2398" t="str">
        <f t="shared" si="74"/>
        <v/>
      </c>
      <c r="K2398" t="str">
        <f t="shared" si="75"/>
        <v/>
      </c>
    </row>
    <row r="2399" spans="7:11" x14ac:dyDescent="0.2">
      <c r="G2399" s="44"/>
      <c r="J2399" t="str">
        <f t="shared" si="74"/>
        <v/>
      </c>
      <c r="K2399" t="str">
        <f t="shared" si="75"/>
        <v/>
      </c>
    </row>
    <row r="2400" spans="7:11" x14ac:dyDescent="0.2">
      <c r="G2400" s="44"/>
      <c r="J2400" t="str">
        <f t="shared" si="74"/>
        <v/>
      </c>
      <c r="K2400" t="str">
        <f t="shared" si="75"/>
        <v/>
      </c>
    </row>
    <row r="2401" spans="7:11" x14ac:dyDescent="0.2">
      <c r="G2401" s="44"/>
      <c r="J2401" t="str">
        <f t="shared" si="74"/>
        <v/>
      </c>
      <c r="K2401" t="str">
        <f t="shared" si="75"/>
        <v/>
      </c>
    </row>
    <row r="2402" spans="7:11" x14ac:dyDescent="0.2">
      <c r="G2402" s="44"/>
      <c r="J2402" t="str">
        <f t="shared" si="74"/>
        <v/>
      </c>
      <c r="K2402" t="str">
        <f t="shared" si="75"/>
        <v/>
      </c>
    </row>
    <row r="2403" spans="7:11" x14ac:dyDescent="0.2">
      <c r="G2403" s="44"/>
      <c r="J2403" t="str">
        <f t="shared" si="74"/>
        <v/>
      </c>
      <c r="K2403" t="str">
        <f t="shared" si="75"/>
        <v/>
      </c>
    </row>
    <row r="2404" spans="7:11" x14ac:dyDescent="0.2">
      <c r="G2404" s="44"/>
      <c r="J2404" t="str">
        <f t="shared" si="74"/>
        <v/>
      </c>
      <c r="K2404" t="str">
        <f t="shared" si="75"/>
        <v/>
      </c>
    </row>
    <row r="2405" spans="7:11" x14ac:dyDescent="0.2">
      <c r="G2405" s="44"/>
      <c r="J2405" t="str">
        <f t="shared" si="74"/>
        <v/>
      </c>
      <c r="K2405" t="str">
        <f t="shared" si="75"/>
        <v/>
      </c>
    </row>
    <row r="2406" spans="7:11" x14ac:dyDescent="0.2">
      <c r="G2406" s="44"/>
      <c r="J2406" t="str">
        <f t="shared" si="74"/>
        <v/>
      </c>
      <c r="K2406" t="str">
        <f t="shared" si="75"/>
        <v/>
      </c>
    </row>
    <row r="2407" spans="7:11" x14ac:dyDescent="0.2">
      <c r="G2407" s="44"/>
      <c r="J2407" t="str">
        <f t="shared" si="74"/>
        <v/>
      </c>
      <c r="K2407" t="str">
        <f t="shared" si="75"/>
        <v/>
      </c>
    </row>
    <row r="2408" spans="7:11" x14ac:dyDescent="0.2">
      <c r="G2408" s="44"/>
      <c r="J2408" t="str">
        <f t="shared" si="74"/>
        <v/>
      </c>
      <c r="K2408" t="str">
        <f t="shared" si="75"/>
        <v/>
      </c>
    </row>
    <row r="2409" spans="7:11" x14ac:dyDescent="0.2">
      <c r="G2409" s="44"/>
      <c r="J2409" t="str">
        <f t="shared" si="74"/>
        <v/>
      </c>
      <c r="K2409" t="str">
        <f t="shared" si="75"/>
        <v/>
      </c>
    </row>
    <row r="2410" spans="7:11" x14ac:dyDescent="0.2">
      <c r="G2410" s="44"/>
      <c r="J2410" t="str">
        <f t="shared" si="74"/>
        <v/>
      </c>
      <c r="K2410" t="str">
        <f t="shared" si="75"/>
        <v/>
      </c>
    </row>
    <row r="2411" spans="7:11" x14ac:dyDescent="0.2">
      <c r="G2411" s="44"/>
      <c r="J2411" t="str">
        <f t="shared" si="74"/>
        <v/>
      </c>
      <c r="K2411" t="str">
        <f t="shared" si="75"/>
        <v/>
      </c>
    </row>
    <row r="2412" spans="7:11" x14ac:dyDescent="0.2">
      <c r="G2412" s="44"/>
      <c r="J2412" t="str">
        <f t="shared" si="74"/>
        <v/>
      </c>
      <c r="K2412" t="str">
        <f t="shared" si="75"/>
        <v/>
      </c>
    </row>
    <row r="2413" spans="7:11" x14ac:dyDescent="0.2">
      <c r="G2413" s="44"/>
      <c r="J2413" t="str">
        <f t="shared" si="74"/>
        <v/>
      </c>
      <c r="K2413" t="str">
        <f t="shared" si="75"/>
        <v/>
      </c>
    </row>
    <row r="2414" spans="7:11" x14ac:dyDescent="0.2">
      <c r="G2414" s="44"/>
      <c r="J2414" t="str">
        <f t="shared" si="74"/>
        <v/>
      </c>
      <c r="K2414" t="str">
        <f t="shared" si="75"/>
        <v/>
      </c>
    </row>
    <row r="2415" spans="7:11" x14ac:dyDescent="0.2">
      <c r="G2415" s="44"/>
      <c r="J2415" t="str">
        <f t="shared" si="74"/>
        <v/>
      </c>
      <c r="K2415" t="str">
        <f t="shared" si="75"/>
        <v/>
      </c>
    </row>
    <row r="2416" spans="7:11" x14ac:dyDescent="0.2">
      <c r="G2416" s="44"/>
      <c r="J2416" t="str">
        <f t="shared" si="74"/>
        <v/>
      </c>
      <c r="K2416" t="str">
        <f t="shared" si="75"/>
        <v/>
      </c>
    </row>
    <row r="2417" spans="7:11" x14ac:dyDescent="0.2">
      <c r="G2417" s="44"/>
      <c r="J2417" t="str">
        <f t="shared" si="74"/>
        <v/>
      </c>
      <c r="K2417" t="str">
        <f t="shared" si="75"/>
        <v/>
      </c>
    </row>
    <row r="2418" spans="7:11" x14ac:dyDescent="0.2">
      <c r="G2418" s="44"/>
      <c r="J2418" t="str">
        <f t="shared" si="74"/>
        <v/>
      </c>
      <c r="K2418" t="str">
        <f t="shared" si="75"/>
        <v/>
      </c>
    </row>
    <row r="2419" spans="7:11" x14ac:dyDescent="0.2">
      <c r="G2419" s="44"/>
      <c r="J2419" t="str">
        <f t="shared" si="74"/>
        <v/>
      </c>
      <c r="K2419" t="str">
        <f t="shared" si="75"/>
        <v/>
      </c>
    </row>
    <row r="2420" spans="7:11" x14ac:dyDescent="0.2">
      <c r="G2420" s="44"/>
      <c r="J2420" t="str">
        <f t="shared" si="74"/>
        <v/>
      </c>
      <c r="K2420" t="str">
        <f t="shared" si="75"/>
        <v/>
      </c>
    </row>
    <row r="2421" spans="7:11" x14ac:dyDescent="0.2">
      <c r="G2421" s="44"/>
      <c r="J2421" t="str">
        <f t="shared" si="74"/>
        <v/>
      </c>
      <c r="K2421" t="str">
        <f t="shared" si="75"/>
        <v/>
      </c>
    </row>
    <row r="2422" spans="7:11" x14ac:dyDescent="0.2">
      <c r="G2422" s="44"/>
      <c r="J2422" t="str">
        <f t="shared" si="74"/>
        <v/>
      </c>
      <c r="K2422" t="str">
        <f t="shared" si="75"/>
        <v/>
      </c>
    </row>
    <row r="2423" spans="7:11" x14ac:dyDescent="0.2">
      <c r="G2423" s="44"/>
      <c r="J2423" t="str">
        <f t="shared" si="74"/>
        <v/>
      </c>
      <c r="K2423" t="str">
        <f t="shared" si="75"/>
        <v/>
      </c>
    </row>
    <row r="2424" spans="7:11" x14ac:dyDescent="0.2">
      <c r="G2424" s="44"/>
      <c r="J2424" t="str">
        <f t="shared" si="74"/>
        <v/>
      </c>
      <c r="K2424" t="str">
        <f t="shared" si="75"/>
        <v/>
      </c>
    </row>
    <row r="2425" spans="7:11" x14ac:dyDescent="0.2">
      <c r="G2425" s="44"/>
      <c r="J2425" t="str">
        <f t="shared" si="74"/>
        <v/>
      </c>
      <c r="K2425" t="str">
        <f t="shared" si="75"/>
        <v/>
      </c>
    </row>
    <row r="2426" spans="7:11" x14ac:dyDescent="0.2">
      <c r="G2426" s="44"/>
      <c r="J2426" t="str">
        <f t="shared" si="74"/>
        <v/>
      </c>
      <c r="K2426" t="str">
        <f t="shared" si="75"/>
        <v/>
      </c>
    </row>
    <row r="2427" spans="7:11" x14ac:dyDescent="0.2">
      <c r="G2427" s="44"/>
      <c r="J2427" t="str">
        <f t="shared" si="74"/>
        <v/>
      </c>
      <c r="K2427" t="str">
        <f t="shared" si="75"/>
        <v/>
      </c>
    </row>
    <row r="2428" spans="7:11" x14ac:dyDescent="0.2">
      <c r="G2428" s="44"/>
      <c r="J2428" t="str">
        <f t="shared" si="74"/>
        <v/>
      </c>
      <c r="K2428" t="str">
        <f t="shared" si="75"/>
        <v/>
      </c>
    </row>
    <row r="2429" spans="7:11" x14ac:dyDescent="0.2">
      <c r="G2429" s="44"/>
      <c r="J2429" t="str">
        <f t="shared" si="74"/>
        <v/>
      </c>
      <c r="K2429" t="str">
        <f t="shared" si="75"/>
        <v/>
      </c>
    </row>
    <row r="2430" spans="7:11" x14ac:dyDescent="0.2">
      <c r="G2430" s="44"/>
      <c r="J2430" t="str">
        <f t="shared" si="74"/>
        <v/>
      </c>
      <c r="K2430" t="str">
        <f t="shared" si="75"/>
        <v/>
      </c>
    </row>
    <row r="2431" spans="7:11" x14ac:dyDescent="0.2">
      <c r="G2431" s="44"/>
      <c r="J2431" t="str">
        <f t="shared" si="74"/>
        <v/>
      </c>
      <c r="K2431" t="str">
        <f t="shared" si="75"/>
        <v/>
      </c>
    </row>
    <row r="2432" spans="7:11" x14ac:dyDescent="0.2">
      <c r="G2432" s="44"/>
      <c r="J2432" t="str">
        <f t="shared" si="74"/>
        <v/>
      </c>
      <c r="K2432" t="str">
        <f t="shared" si="75"/>
        <v/>
      </c>
    </row>
    <row r="2433" spans="7:11" x14ac:dyDescent="0.2">
      <c r="G2433" s="44"/>
      <c r="J2433" t="str">
        <f t="shared" si="74"/>
        <v/>
      </c>
      <c r="K2433" t="str">
        <f t="shared" si="75"/>
        <v/>
      </c>
    </row>
    <row r="2434" spans="7:11" x14ac:dyDescent="0.2">
      <c r="G2434" s="44"/>
      <c r="J2434" t="str">
        <f t="shared" ref="J2434:J2497" si="76">IF(E2434="","",IF(OR(E2434=50,E2434=51),"Iltindhold",IF(E2434=75,"Carbon,org,NVOC",IF(OR(E2434=343,E2434=1167),"Svovlbrinte",IF(OR(E2434=240,E2434=241,E2434=242),"Amm",IF(E2434=244,"Nitrit",IF(E2434=247,"Nitrat",IF(E2434=334,"Sulfat",IF(E2434=262,"Phosphor, total-P",F2434)))))))))</f>
        <v/>
      </c>
      <c r="K2434" t="str">
        <f t="shared" ref="K2434:K2497" si="77">IF(A2434="","",IF(H2434="!",NA(),IF(H2434="A",I2434*0.5,IF(H2434="&lt;",I2434*0.5,I2434))))</f>
        <v/>
      </c>
    </row>
    <row r="2435" spans="7:11" x14ac:dyDescent="0.2">
      <c r="G2435" s="44"/>
      <c r="J2435" t="str">
        <f t="shared" si="76"/>
        <v/>
      </c>
      <c r="K2435" t="str">
        <f t="shared" si="77"/>
        <v/>
      </c>
    </row>
    <row r="2436" spans="7:11" x14ac:dyDescent="0.2">
      <c r="G2436" s="44"/>
      <c r="J2436" t="str">
        <f t="shared" si="76"/>
        <v/>
      </c>
      <c r="K2436" t="str">
        <f t="shared" si="77"/>
        <v/>
      </c>
    </row>
    <row r="2437" spans="7:11" x14ac:dyDescent="0.2">
      <c r="G2437" s="44"/>
      <c r="J2437" t="str">
        <f t="shared" si="76"/>
        <v/>
      </c>
      <c r="K2437" t="str">
        <f t="shared" si="77"/>
        <v/>
      </c>
    </row>
    <row r="2438" spans="7:11" x14ac:dyDescent="0.2">
      <c r="G2438" s="44"/>
      <c r="J2438" t="str">
        <f t="shared" si="76"/>
        <v/>
      </c>
      <c r="K2438" t="str">
        <f t="shared" si="77"/>
        <v/>
      </c>
    </row>
    <row r="2439" spans="7:11" x14ac:dyDescent="0.2">
      <c r="G2439" s="44"/>
      <c r="J2439" t="str">
        <f t="shared" si="76"/>
        <v/>
      </c>
      <c r="K2439" t="str">
        <f t="shared" si="77"/>
        <v/>
      </c>
    </row>
    <row r="2440" spans="7:11" x14ac:dyDescent="0.2">
      <c r="G2440" s="44"/>
      <c r="J2440" t="str">
        <f t="shared" si="76"/>
        <v/>
      </c>
      <c r="K2440" t="str">
        <f t="shared" si="77"/>
        <v/>
      </c>
    </row>
    <row r="2441" spans="7:11" x14ac:dyDescent="0.2">
      <c r="G2441" s="44"/>
      <c r="J2441" t="str">
        <f t="shared" si="76"/>
        <v/>
      </c>
      <c r="K2441" t="str">
        <f t="shared" si="77"/>
        <v/>
      </c>
    </row>
    <row r="2442" spans="7:11" x14ac:dyDescent="0.2">
      <c r="G2442" s="44"/>
      <c r="J2442" t="str">
        <f t="shared" si="76"/>
        <v/>
      </c>
      <c r="K2442" t="str">
        <f t="shared" si="77"/>
        <v/>
      </c>
    </row>
    <row r="2443" spans="7:11" x14ac:dyDescent="0.2">
      <c r="G2443" s="44"/>
      <c r="J2443" t="str">
        <f t="shared" si="76"/>
        <v/>
      </c>
      <c r="K2443" t="str">
        <f t="shared" si="77"/>
        <v/>
      </c>
    </row>
    <row r="2444" spans="7:11" x14ac:dyDescent="0.2">
      <c r="G2444" s="44"/>
      <c r="J2444" t="str">
        <f t="shared" si="76"/>
        <v/>
      </c>
      <c r="K2444" t="str">
        <f t="shared" si="77"/>
        <v/>
      </c>
    </row>
    <row r="2445" spans="7:11" x14ac:dyDescent="0.2">
      <c r="G2445" s="44"/>
      <c r="J2445" t="str">
        <f t="shared" si="76"/>
        <v/>
      </c>
      <c r="K2445" t="str">
        <f t="shared" si="77"/>
        <v/>
      </c>
    </row>
    <row r="2446" spans="7:11" x14ac:dyDescent="0.2">
      <c r="G2446" s="44"/>
      <c r="J2446" t="str">
        <f t="shared" si="76"/>
        <v/>
      </c>
      <c r="K2446" t="str">
        <f t="shared" si="77"/>
        <v/>
      </c>
    </row>
    <row r="2447" spans="7:11" x14ac:dyDescent="0.2">
      <c r="G2447" s="44"/>
      <c r="J2447" t="str">
        <f t="shared" si="76"/>
        <v/>
      </c>
      <c r="K2447" t="str">
        <f t="shared" si="77"/>
        <v/>
      </c>
    </row>
    <row r="2448" spans="7:11" x14ac:dyDescent="0.2">
      <c r="G2448" s="44"/>
      <c r="J2448" t="str">
        <f t="shared" si="76"/>
        <v/>
      </c>
      <c r="K2448" t="str">
        <f t="shared" si="77"/>
        <v/>
      </c>
    </row>
    <row r="2449" spans="7:11" x14ac:dyDescent="0.2">
      <c r="G2449" s="44"/>
      <c r="J2449" t="str">
        <f t="shared" si="76"/>
        <v/>
      </c>
      <c r="K2449" t="str">
        <f t="shared" si="77"/>
        <v/>
      </c>
    </row>
    <row r="2450" spans="7:11" x14ac:dyDescent="0.2">
      <c r="G2450" s="44"/>
      <c r="J2450" t="str">
        <f t="shared" si="76"/>
        <v/>
      </c>
      <c r="K2450" t="str">
        <f t="shared" si="77"/>
        <v/>
      </c>
    </row>
    <row r="2451" spans="7:11" x14ac:dyDescent="0.2">
      <c r="G2451" s="44"/>
      <c r="J2451" t="str">
        <f t="shared" si="76"/>
        <v/>
      </c>
      <c r="K2451" t="str">
        <f t="shared" si="77"/>
        <v/>
      </c>
    </row>
    <row r="2452" spans="7:11" x14ac:dyDescent="0.2">
      <c r="G2452" s="44"/>
      <c r="J2452" t="str">
        <f t="shared" si="76"/>
        <v/>
      </c>
      <c r="K2452" t="str">
        <f t="shared" si="77"/>
        <v/>
      </c>
    </row>
    <row r="2453" spans="7:11" x14ac:dyDescent="0.2">
      <c r="G2453" s="44"/>
      <c r="J2453" t="str">
        <f t="shared" si="76"/>
        <v/>
      </c>
      <c r="K2453" t="str">
        <f t="shared" si="77"/>
        <v/>
      </c>
    </row>
    <row r="2454" spans="7:11" x14ac:dyDescent="0.2">
      <c r="G2454" s="44"/>
      <c r="J2454" t="str">
        <f t="shared" si="76"/>
        <v/>
      </c>
      <c r="K2454" t="str">
        <f t="shared" si="77"/>
        <v/>
      </c>
    </row>
    <row r="2455" spans="7:11" x14ac:dyDescent="0.2">
      <c r="G2455" s="44"/>
      <c r="J2455" t="str">
        <f t="shared" si="76"/>
        <v/>
      </c>
      <c r="K2455" t="str">
        <f t="shared" si="77"/>
        <v/>
      </c>
    </row>
    <row r="2456" spans="7:11" x14ac:dyDescent="0.2">
      <c r="G2456" s="44"/>
      <c r="J2456" t="str">
        <f t="shared" si="76"/>
        <v/>
      </c>
      <c r="K2456" t="str">
        <f t="shared" si="77"/>
        <v/>
      </c>
    </row>
    <row r="2457" spans="7:11" x14ac:dyDescent="0.2">
      <c r="G2457" s="44"/>
      <c r="J2457" t="str">
        <f t="shared" si="76"/>
        <v/>
      </c>
      <c r="K2457" t="str">
        <f t="shared" si="77"/>
        <v/>
      </c>
    </row>
    <row r="2458" spans="7:11" x14ac:dyDescent="0.2">
      <c r="G2458" s="44"/>
      <c r="J2458" t="str">
        <f t="shared" si="76"/>
        <v/>
      </c>
      <c r="K2458" t="str">
        <f t="shared" si="77"/>
        <v/>
      </c>
    </row>
    <row r="2459" spans="7:11" x14ac:dyDescent="0.2">
      <c r="G2459" s="44"/>
      <c r="J2459" t="str">
        <f t="shared" si="76"/>
        <v/>
      </c>
      <c r="K2459" t="str">
        <f t="shared" si="77"/>
        <v/>
      </c>
    </row>
    <row r="2460" spans="7:11" x14ac:dyDescent="0.2">
      <c r="G2460" s="44"/>
      <c r="J2460" t="str">
        <f t="shared" si="76"/>
        <v/>
      </c>
      <c r="K2460" t="str">
        <f t="shared" si="77"/>
        <v/>
      </c>
    </row>
    <row r="2461" spans="7:11" x14ac:dyDescent="0.2">
      <c r="G2461" s="44"/>
      <c r="J2461" t="str">
        <f t="shared" si="76"/>
        <v/>
      </c>
      <c r="K2461" t="str">
        <f t="shared" si="77"/>
        <v/>
      </c>
    </row>
    <row r="2462" spans="7:11" x14ac:dyDescent="0.2">
      <c r="G2462" s="44"/>
      <c r="J2462" t="str">
        <f t="shared" si="76"/>
        <v/>
      </c>
      <c r="K2462" t="str">
        <f t="shared" si="77"/>
        <v/>
      </c>
    </row>
    <row r="2463" spans="7:11" x14ac:dyDescent="0.2">
      <c r="G2463" s="44"/>
      <c r="J2463" t="str">
        <f t="shared" si="76"/>
        <v/>
      </c>
      <c r="K2463" t="str">
        <f t="shared" si="77"/>
        <v/>
      </c>
    </row>
    <row r="2464" spans="7:11" x14ac:dyDescent="0.2">
      <c r="G2464" s="44"/>
      <c r="J2464" t="str">
        <f t="shared" si="76"/>
        <v/>
      </c>
      <c r="K2464" t="str">
        <f t="shared" si="77"/>
        <v/>
      </c>
    </row>
    <row r="2465" spans="7:11" x14ac:dyDescent="0.2">
      <c r="G2465" s="44"/>
      <c r="J2465" t="str">
        <f t="shared" si="76"/>
        <v/>
      </c>
      <c r="K2465" t="str">
        <f t="shared" si="77"/>
        <v/>
      </c>
    </row>
    <row r="2466" spans="7:11" x14ac:dyDescent="0.2">
      <c r="G2466" s="44"/>
      <c r="J2466" t="str">
        <f t="shared" si="76"/>
        <v/>
      </c>
      <c r="K2466" t="str">
        <f t="shared" si="77"/>
        <v/>
      </c>
    </row>
    <row r="2467" spans="7:11" x14ac:dyDescent="0.2">
      <c r="G2467" s="44"/>
      <c r="J2467" t="str">
        <f t="shared" si="76"/>
        <v/>
      </c>
      <c r="K2467" t="str">
        <f t="shared" si="77"/>
        <v/>
      </c>
    </row>
    <row r="2468" spans="7:11" x14ac:dyDescent="0.2">
      <c r="G2468" s="44"/>
      <c r="J2468" t="str">
        <f t="shared" si="76"/>
        <v/>
      </c>
      <c r="K2468" t="str">
        <f t="shared" si="77"/>
        <v/>
      </c>
    </row>
    <row r="2469" spans="7:11" x14ac:dyDescent="0.2">
      <c r="G2469" s="44"/>
      <c r="J2469" t="str">
        <f t="shared" si="76"/>
        <v/>
      </c>
      <c r="K2469" t="str">
        <f t="shared" si="77"/>
        <v/>
      </c>
    </row>
    <row r="2470" spans="7:11" x14ac:dyDescent="0.2">
      <c r="G2470" s="44"/>
      <c r="J2470" t="str">
        <f t="shared" si="76"/>
        <v/>
      </c>
      <c r="K2470" t="str">
        <f t="shared" si="77"/>
        <v/>
      </c>
    </row>
    <row r="2471" spans="7:11" x14ac:dyDescent="0.2">
      <c r="G2471" s="44"/>
      <c r="J2471" t="str">
        <f t="shared" si="76"/>
        <v/>
      </c>
      <c r="K2471" t="str">
        <f t="shared" si="77"/>
        <v/>
      </c>
    </row>
    <row r="2472" spans="7:11" x14ac:dyDescent="0.2">
      <c r="G2472" s="44"/>
      <c r="J2472" t="str">
        <f t="shared" si="76"/>
        <v/>
      </c>
      <c r="K2472" t="str">
        <f t="shared" si="77"/>
        <v/>
      </c>
    </row>
    <row r="2473" spans="7:11" x14ac:dyDescent="0.2">
      <c r="G2473" s="44"/>
      <c r="J2473" t="str">
        <f t="shared" si="76"/>
        <v/>
      </c>
      <c r="K2473" t="str">
        <f t="shared" si="77"/>
        <v/>
      </c>
    </row>
    <row r="2474" spans="7:11" x14ac:dyDescent="0.2">
      <c r="G2474" s="44"/>
      <c r="J2474" t="str">
        <f t="shared" si="76"/>
        <v/>
      </c>
      <c r="K2474" t="str">
        <f t="shared" si="77"/>
        <v/>
      </c>
    </row>
    <row r="2475" spans="7:11" x14ac:dyDescent="0.2">
      <c r="G2475" s="44"/>
      <c r="J2475" t="str">
        <f t="shared" si="76"/>
        <v/>
      </c>
      <c r="K2475" t="str">
        <f t="shared" si="77"/>
        <v/>
      </c>
    </row>
    <row r="2476" spans="7:11" x14ac:dyDescent="0.2">
      <c r="G2476" s="44"/>
      <c r="J2476" t="str">
        <f t="shared" si="76"/>
        <v/>
      </c>
      <c r="K2476" t="str">
        <f t="shared" si="77"/>
        <v/>
      </c>
    </row>
    <row r="2477" spans="7:11" x14ac:dyDescent="0.2">
      <c r="G2477" s="44"/>
      <c r="J2477" t="str">
        <f t="shared" si="76"/>
        <v/>
      </c>
      <c r="K2477" t="str">
        <f t="shared" si="77"/>
        <v/>
      </c>
    </row>
    <row r="2478" spans="7:11" x14ac:dyDescent="0.2">
      <c r="G2478" s="44"/>
      <c r="J2478" t="str">
        <f t="shared" si="76"/>
        <v/>
      </c>
      <c r="K2478" t="str">
        <f t="shared" si="77"/>
        <v/>
      </c>
    </row>
    <row r="2479" spans="7:11" x14ac:dyDescent="0.2">
      <c r="G2479" s="44"/>
      <c r="J2479" t="str">
        <f t="shared" si="76"/>
        <v/>
      </c>
      <c r="K2479" t="str">
        <f t="shared" si="77"/>
        <v/>
      </c>
    </row>
    <row r="2480" spans="7:11" x14ac:dyDescent="0.2">
      <c r="G2480" s="44"/>
      <c r="J2480" t="str">
        <f t="shared" si="76"/>
        <v/>
      </c>
      <c r="K2480" t="str">
        <f t="shared" si="77"/>
        <v/>
      </c>
    </row>
    <row r="2481" spans="7:11" x14ac:dyDescent="0.2">
      <c r="G2481" s="44"/>
      <c r="J2481" t="str">
        <f t="shared" si="76"/>
        <v/>
      </c>
      <c r="K2481" t="str">
        <f t="shared" si="77"/>
        <v/>
      </c>
    </row>
    <row r="2482" spans="7:11" x14ac:dyDescent="0.2">
      <c r="G2482" s="44"/>
      <c r="J2482" t="str">
        <f t="shared" si="76"/>
        <v/>
      </c>
      <c r="K2482" t="str">
        <f t="shared" si="77"/>
        <v/>
      </c>
    </row>
    <row r="2483" spans="7:11" x14ac:dyDescent="0.2">
      <c r="G2483" s="44"/>
      <c r="J2483" t="str">
        <f t="shared" si="76"/>
        <v/>
      </c>
      <c r="K2483" t="str">
        <f t="shared" si="77"/>
        <v/>
      </c>
    </row>
    <row r="2484" spans="7:11" x14ac:dyDescent="0.2">
      <c r="G2484" s="44"/>
      <c r="J2484" t="str">
        <f t="shared" si="76"/>
        <v/>
      </c>
      <c r="K2484" t="str">
        <f t="shared" si="77"/>
        <v/>
      </c>
    </row>
    <row r="2485" spans="7:11" x14ac:dyDescent="0.2">
      <c r="G2485" s="44"/>
      <c r="J2485" t="str">
        <f t="shared" si="76"/>
        <v/>
      </c>
      <c r="K2485" t="str">
        <f t="shared" si="77"/>
        <v/>
      </c>
    </row>
    <row r="2486" spans="7:11" x14ac:dyDescent="0.2">
      <c r="G2486" s="44"/>
      <c r="J2486" t="str">
        <f t="shared" si="76"/>
        <v/>
      </c>
      <c r="K2486" t="str">
        <f t="shared" si="77"/>
        <v/>
      </c>
    </row>
    <row r="2487" spans="7:11" x14ac:dyDescent="0.2">
      <c r="G2487" s="44"/>
      <c r="J2487" t="str">
        <f t="shared" si="76"/>
        <v/>
      </c>
      <c r="K2487" t="str">
        <f t="shared" si="77"/>
        <v/>
      </c>
    </row>
    <row r="2488" spans="7:11" x14ac:dyDescent="0.2">
      <c r="G2488" s="44"/>
      <c r="J2488" t="str">
        <f t="shared" si="76"/>
        <v/>
      </c>
      <c r="K2488" t="str">
        <f t="shared" si="77"/>
        <v/>
      </c>
    </row>
    <row r="2489" spans="7:11" x14ac:dyDescent="0.2">
      <c r="G2489" s="44"/>
      <c r="J2489" t="str">
        <f t="shared" si="76"/>
        <v/>
      </c>
      <c r="K2489" t="str">
        <f t="shared" si="77"/>
        <v/>
      </c>
    </row>
    <row r="2490" spans="7:11" x14ac:dyDescent="0.2">
      <c r="G2490" s="44"/>
      <c r="J2490" t="str">
        <f t="shared" si="76"/>
        <v/>
      </c>
      <c r="K2490" t="str">
        <f t="shared" si="77"/>
        <v/>
      </c>
    </row>
    <row r="2491" spans="7:11" x14ac:dyDescent="0.2">
      <c r="G2491" s="44"/>
      <c r="J2491" t="str">
        <f t="shared" si="76"/>
        <v/>
      </c>
      <c r="K2491" t="str">
        <f t="shared" si="77"/>
        <v/>
      </c>
    </row>
    <row r="2492" spans="7:11" x14ac:dyDescent="0.2">
      <c r="G2492" s="44"/>
      <c r="J2492" t="str">
        <f t="shared" si="76"/>
        <v/>
      </c>
      <c r="K2492" t="str">
        <f t="shared" si="77"/>
        <v/>
      </c>
    </row>
    <row r="2493" spans="7:11" x14ac:dyDescent="0.2">
      <c r="G2493" s="44"/>
      <c r="J2493" t="str">
        <f t="shared" si="76"/>
        <v/>
      </c>
      <c r="K2493" t="str">
        <f t="shared" si="77"/>
        <v/>
      </c>
    </row>
    <row r="2494" spans="7:11" x14ac:dyDescent="0.2">
      <c r="G2494" s="44"/>
      <c r="J2494" t="str">
        <f t="shared" si="76"/>
        <v/>
      </c>
      <c r="K2494" t="str">
        <f t="shared" si="77"/>
        <v/>
      </c>
    </row>
    <row r="2495" spans="7:11" x14ac:dyDescent="0.2">
      <c r="G2495" s="44"/>
      <c r="J2495" t="str">
        <f t="shared" si="76"/>
        <v/>
      </c>
      <c r="K2495" t="str">
        <f t="shared" si="77"/>
        <v/>
      </c>
    </row>
    <row r="2496" spans="7:11" x14ac:dyDescent="0.2">
      <c r="G2496" s="44"/>
      <c r="J2496" t="str">
        <f t="shared" si="76"/>
        <v/>
      </c>
      <c r="K2496" t="str">
        <f t="shared" si="77"/>
        <v/>
      </c>
    </row>
    <row r="2497" spans="7:11" x14ac:dyDescent="0.2">
      <c r="G2497" s="44"/>
      <c r="J2497" t="str">
        <f t="shared" si="76"/>
        <v/>
      </c>
      <c r="K2497" t="str">
        <f t="shared" si="77"/>
        <v/>
      </c>
    </row>
    <row r="2498" spans="7:11" x14ac:dyDescent="0.2">
      <c r="G2498" s="44"/>
      <c r="J2498" t="str">
        <f t="shared" ref="J2498:J2561" si="78">IF(E2498="","",IF(OR(E2498=50,E2498=51),"Iltindhold",IF(E2498=75,"Carbon,org,NVOC",IF(OR(E2498=343,E2498=1167),"Svovlbrinte",IF(OR(E2498=240,E2498=241,E2498=242),"Amm",IF(E2498=244,"Nitrit",IF(E2498=247,"Nitrat",IF(E2498=334,"Sulfat",IF(E2498=262,"Phosphor, total-P",F2498)))))))))</f>
        <v/>
      </c>
      <c r="K2498" t="str">
        <f t="shared" ref="K2498:K2561" si="79">IF(A2498="","",IF(H2498="!",NA(),IF(H2498="A",I2498*0.5,IF(H2498="&lt;",I2498*0.5,I2498))))</f>
        <v/>
      </c>
    </row>
    <row r="2499" spans="7:11" x14ac:dyDescent="0.2">
      <c r="G2499" s="44"/>
      <c r="J2499" t="str">
        <f t="shared" si="78"/>
        <v/>
      </c>
      <c r="K2499" t="str">
        <f t="shared" si="79"/>
        <v/>
      </c>
    </row>
    <row r="2500" spans="7:11" x14ac:dyDescent="0.2">
      <c r="G2500" s="44"/>
      <c r="J2500" t="str">
        <f t="shared" si="78"/>
        <v/>
      </c>
      <c r="K2500" t="str">
        <f t="shared" si="79"/>
        <v/>
      </c>
    </row>
    <row r="2501" spans="7:11" x14ac:dyDescent="0.2">
      <c r="G2501" s="44"/>
      <c r="J2501" t="str">
        <f t="shared" si="78"/>
        <v/>
      </c>
      <c r="K2501" t="str">
        <f t="shared" si="79"/>
        <v/>
      </c>
    </row>
    <row r="2502" spans="7:11" x14ac:dyDescent="0.2">
      <c r="G2502" s="44"/>
      <c r="J2502" t="str">
        <f t="shared" si="78"/>
        <v/>
      </c>
      <c r="K2502" t="str">
        <f t="shared" si="79"/>
        <v/>
      </c>
    </row>
    <row r="2503" spans="7:11" x14ac:dyDescent="0.2">
      <c r="G2503" s="44"/>
      <c r="J2503" t="str">
        <f t="shared" si="78"/>
        <v/>
      </c>
      <c r="K2503" t="str">
        <f t="shared" si="79"/>
        <v/>
      </c>
    </row>
    <row r="2504" spans="7:11" x14ac:dyDescent="0.2">
      <c r="G2504" s="44"/>
      <c r="J2504" t="str">
        <f t="shared" si="78"/>
        <v/>
      </c>
      <c r="K2504" t="str">
        <f t="shared" si="79"/>
        <v/>
      </c>
    </row>
    <row r="2505" spans="7:11" x14ac:dyDescent="0.2">
      <c r="G2505" s="44"/>
      <c r="J2505" t="str">
        <f t="shared" si="78"/>
        <v/>
      </c>
      <c r="K2505" t="str">
        <f t="shared" si="79"/>
        <v/>
      </c>
    </row>
    <row r="2506" spans="7:11" x14ac:dyDescent="0.2">
      <c r="G2506" s="44"/>
      <c r="J2506" t="str">
        <f t="shared" si="78"/>
        <v/>
      </c>
      <c r="K2506" t="str">
        <f t="shared" si="79"/>
        <v/>
      </c>
    </row>
    <row r="2507" spans="7:11" x14ac:dyDescent="0.2">
      <c r="G2507" s="44"/>
      <c r="J2507" t="str">
        <f t="shared" si="78"/>
        <v/>
      </c>
      <c r="K2507" t="str">
        <f t="shared" si="79"/>
        <v/>
      </c>
    </row>
    <row r="2508" spans="7:11" x14ac:dyDescent="0.2">
      <c r="G2508" s="44"/>
      <c r="J2508" t="str">
        <f t="shared" si="78"/>
        <v/>
      </c>
      <c r="K2508" t="str">
        <f t="shared" si="79"/>
        <v/>
      </c>
    </row>
    <row r="2509" spans="7:11" x14ac:dyDescent="0.2">
      <c r="G2509" s="44"/>
      <c r="J2509" t="str">
        <f t="shared" si="78"/>
        <v/>
      </c>
      <c r="K2509" t="str">
        <f t="shared" si="79"/>
        <v/>
      </c>
    </row>
    <row r="2510" spans="7:11" x14ac:dyDescent="0.2">
      <c r="G2510" s="44"/>
      <c r="J2510" t="str">
        <f t="shared" si="78"/>
        <v/>
      </c>
      <c r="K2510" t="str">
        <f t="shared" si="79"/>
        <v/>
      </c>
    </row>
    <row r="2511" spans="7:11" x14ac:dyDescent="0.2">
      <c r="G2511" s="44"/>
      <c r="J2511" t="str">
        <f t="shared" si="78"/>
        <v/>
      </c>
      <c r="K2511" t="str">
        <f t="shared" si="79"/>
        <v/>
      </c>
    </row>
    <row r="2512" spans="7:11" x14ac:dyDescent="0.2">
      <c r="G2512" s="44"/>
      <c r="J2512" t="str">
        <f t="shared" si="78"/>
        <v/>
      </c>
      <c r="K2512" t="str">
        <f t="shared" si="79"/>
        <v/>
      </c>
    </row>
    <row r="2513" spans="7:11" x14ac:dyDescent="0.2">
      <c r="G2513" s="44"/>
      <c r="J2513" t="str">
        <f t="shared" si="78"/>
        <v/>
      </c>
      <c r="K2513" t="str">
        <f t="shared" si="79"/>
        <v/>
      </c>
    </row>
    <row r="2514" spans="7:11" x14ac:dyDescent="0.2">
      <c r="G2514" s="44"/>
      <c r="J2514" t="str">
        <f t="shared" si="78"/>
        <v/>
      </c>
      <c r="K2514" t="str">
        <f t="shared" si="79"/>
        <v/>
      </c>
    </row>
    <row r="2515" spans="7:11" x14ac:dyDescent="0.2">
      <c r="G2515" s="44"/>
      <c r="J2515" t="str">
        <f t="shared" si="78"/>
        <v/>
      </c>
      <c r="K2515" t="str">
        <f t="shared" si="79"/>
        <v/>
      </c>
    </row>
    <row r="2516" spans="7:11" x14ac:dyDescent="0.2">
      <c r="G2516" s="44"/>
      <c r="J2516" t="str">
        <f t="shared" si="78"/>
        <v/>
      </c>
      <c r="K2516" t="str">
        <f t="shared" si="79"/>
        <v/>
      </c>
    </row>
    <row r="2517" spans="7:11" x14ac:dyDescent="0.2">
      <c r="G2517" s="44"/>
      <c r="J2517" t="str">
        <f t="shared" si="78"/>
        <v/>
      </c>
      <c r="K2517" t="str">
        <f t="shared" si="79"/>
        <v/>
      </c>
    </row>
    <row r="2518" spans="7:11" x14ac:dyDescent="0.2">
      <c r="G2518" s="44"/>
      <c r="J2518" t="str">
        <f t="shared" si="78"/>
        <v/>
      </c>
      <c r="K2518" t="str">
        <f t="shared" si="79"/>
        <v/>
      </c>
    </row>
    <row r="2519" spans="7:11" x14ac:dyDescent="0.2">
      <c r="G2519" s="44"/>
      <c r="J2519" t="str">
        <f t="shared" si="78"/>
        <v/>
      </c>
      <c r="K2519" t="str">
        <f t="shared" si="79"/>
        <v/>
      </c>
    </row>
    <row r="2520" spans="7:11" x14ac:dyDescent="0.2">
      <c r="G2520" s="44"/>
      <c r="J2520" t="str">
        <f t="shared" si="78"/>
        <v/>
      </c>
      <c r="K2520" t="str">
        <f t="shared" si="79"/>
        <v/>
      </c>
    </row>
    <row r="2521" spans="7:11" x14ac:dyDescent="0.2">
      <c r="G2521" s="44"/>
      <c r="J2521" t="str">
        <f t="shared" si="78"/>
        <v/>
      </c>
      <c r="K2521" t="str">
        <f t="shared" si="79"/>
        <v/>
      </c>
    </row>
    <row r="2522" spans="7:11" x14ac:dyDescent="0.2">
      <c r="G2522" s="44"/>
      <c r="J2522" t="str">
        <f t="shared" si="78"/>
        <v/>
      </c>
      <c r="K2522" t="str">
        <f t="shared" si="79"/>
        <v/>
      </c>
    </row>
    <row r="2523" spans="7:11" x14ac:dyDescent="0.2">
      <c r="G2523" s="44"/>
      <c r="J2523" t="str">
        <f t="shared" si="78"/>
        <v/>
      </c>
      <c r="K2523" t="str">
        <f t="shared" si="79"/>
        <v/>
      </c>
    </row>
    <row r="2524" spans="7:11" x14ac:dyDescent="0.2">
      <c r="G2524" s="44"/>
      <c r="J2524" t="str">
        <f t="shared" si="78"/>
        <v/>
      </c>
      <c r="K2524" t="str">
        <f t="shared" si="79"/>
        <v/>
      </c>
    </row>
    <row r="2525" spans="7:11" x14ac:dyDescent="0.2">
      <c r="G2525" s="44"/>
      <c r="J2525" t="str">
        <f t="shared" si="78"/>
        <v/>
      </c>
      <c r="K2525" t="str">
        <f t="shared" si="79"/>
        <v/>
      </c>
    </row>
    <row r="2526" spans="7:11" x14ac:dyDescent="0.2">
      <c r="G2526" s="44"/>
      <c r="J2526" t="str">
        <f t="shared" si="78"/>
        <v/>
      </c>
      <c r="K2526" t="str">
        <f t="shared" si="79"/>
        <v/>
      </c>
    </row>
    <row r="2527" spans="7:11" x14ac:dyDescent="0.2">
      <c r="G2527" s="44"/>
      <c r="J2527" t="str">
        <f t="shared" si="78"/>
        <v/>
      </c>
      <c r="K2527" t="str">
        <f t="shared" si="79"/>
        <v/>
      </c>
    </row>
    <row r="2528" spans="7:11" x14ac:dyDescent="0.2">
      <c r="G2528" s="44"/>
      <c r="J2528" t="str">
        <f t="shared" si="78"/>
        <v/>
      </c>
      <c r="K2528" t="str">
        <f t="shared" si="79"/>
        <v/>
      </c>
    </row>
    <row r="2529" spans="7:11" x14ac:dyDescent="0.2">
      <c r="G2529" s="44"/>
      <c r="J2529" t="str">
        <f t="shared" si="78"/>
        <v/>
      </c>
      <c r="K2529" t="str">
        <f t="shared" si="79"/>
        <v/>
      </c>
    </row>
    <row r="2530" spans="7:11" x14ac:dyDescent="0.2">
      <c r="G2530" s="44"/>
      <c r="J2530" t="str">
        <f t="shared" si="78"/>
        <v/>
      </c>
      <c r="K2530" t="str">
        <f t="shared" si="79"/>
        <v/>
      </c>
    </row>
    <row r="2531" spans="7:11" x14ac:dyDescent="0.2">
      <c r="G2531" s="44"/>
      <c r="J2531" t="str">
        <f t="shared" si="78"/>
        <v/>
      </c>
      <c r="K2531" t="str">
        <f t="shared" si="79"/>
        <v/>
      </c>
    </row>
    <row r="2532" spans="7:11" x14ac:dyDescent="0.2">
      <c r="G2532" s="44"/>
      <c r="J2532" t="str">
        <f t="shared" si="78"/>
        <v/>
      </c>
      <c r="K2532" t="str">
        <f t="shared" si="79"/>
        <v/>
      </c>
    </row>
    <row r="2533" spans="7:11" x14ac:dyDescent="0.2">
      <c r="G2533" s="44"/>
      <c r="J2533" t="str">
        <f t="shared" si="78"/>
        <v/>
      </c>
      <c r="K2533" t="str">
        <f t="shared" si="79"/>
        <v/>
      </c>
    </row>
    <row r="2534" spans="7:11" x14ac:dyDescent="0.2">
      <c r="G2534" s="44"/>
      <c r="J2534" t="str">
        <f t="shared" si="78"/>
        <v/>
      </c>
      <c r="K2534" t="str">
        <f t="shared" si="79"/>
        <v/>
      </c>
    </row>
    <row r="2535" spans="7:11" x14ac:dyDescent="0.2">
      <c r="G2535" s="44"/>
      <c r="J2535" t="str">
        <f t="shared" si="78"/>
        <v/>
      </c>
      <c r="K2535" t="str">
        <f t="shared" si="79"/>
        <v/>
      </c>
    </row>
    <row r="2536" spans="7:11" x14ac:dyDescent="0.2">
      <c r="G2536" s="44"/>
      <c r="J2536" t="str">
        <f t="shared" si="78"/>
        <v/>
      </c>
      <c r="K2536" t="str">
        <f t="shared" si="79"/>
        <v/>
      </c>
    </row>
    <row r="2537" spans="7:11" x14ac:dyDescent="0.2">
      <c r="G2537" s="44"/>
      <c r="J2537" t="str">
        <f t="shared" si="78"/>
        <v/>
      </c>
      <c r="K2537" t="str">
        <f t="shared" si="79"/>
        <v/>
      </c>
    </row>
    <row r="2538" spans="7:11" x14ac:dyDescent="0.2">
      <c r="G2538" s="44"/>
      <c r="J2538" t="str">
        <f t="shared" si="78"/>
        <v/>
      </c>
      <c r="K2538" t="str">
        <f t="shared" si="79"/>
        <v/>
      </c>
    </row>
    <row r="2539" spans="7:11" x14ac:dyDescent="0.2">
      <c r="G2539" s="44"/>
      <c r="J2539" t="str">
        <f t="shared" si="78"/>
        <v/>
      </c>
      <c r="K2539" t="str">
        <f t="shared" si="79"/>
        <v/>
      </c>
    </row>
    <row r="2540" spans="7:11" x14ac:dyDescent="0.2">
      <c r="G2540" s="44"/>
      <c r="J2540" t="str">
        <f t="shared" si="78"/>
        <v/>
      </c>
      <c r="K2540" t="str">
        <f t="shared" si="79"/>
        <v/>
      </c>
    </row>
    <row r="2541" spans="7:11" x14ac:dyDescent="0.2">
      <c r="G2541" s="44"/>
      <c r="J2541" t="str">
        <f t="shared" si="78"/>
        <v/>
      </c>
      <c r="K2541" t="str">
        <f t="shared" si="79"/>
        <v/>
      </c>
    </row>
    <row r="2542" spans="7:11" x14ac:dyDescent="0.2">
      <c r="G2542" s="44"/>
      <c r="J2542" t="str">
        <f t="shared" si="78"/>
        <v/>
      </c>
      <c r="K2542" t="str">
        <f t="shared" si="79"/>
        <v/>
      </c>
    </row>
    <row r="2543" spans="7:11" x14ac:dyDescent="0.2">
      <c r="G2543" s="44"/>
      <c r="J2543" t="str">
        <f t="shared" si="78"/>
        <v/>
      </c>
      <c r="K2543" t="str">
        <f t="shared" si="79"/>
        <v/>
      </c>
    </row>
    <row r="2544" spans="7:11" x14ac:dyDescent="0.2">
      <c r="G2544" s="44"/>
      <c r="J2544" t="str">
        <f t="shared" si="78"/>
        <v/>
      </c>
      <c r="K2544" t="str">
        <f t="shared" si="79"/>
        <v/>
      </c>
    </row>
    <row r="2545" spans="7:11" x14ac:dyDescent="0.2">
      <c r="G2545" s="44"/>
      <c r="J2545" t="str">
        <f t="shared" si="78"/>
        <v/>
      </c>
      <c r="K2545" t="str">
        <f t="shared" si="79"/>
        <v/>
      </c>
    </row>
    <row r="2546" spans="7:11" x14ac:dyDescent="0.2">
      <c r="G2546" s="44"/>
      <c r="J2546" t="str">
        <f t="shared" si="78"/>
        <v/>
      </c>
      <c r="K2546" t="str">
        <f t="shared" si="79"/>
        <v/>
      </c>
    </row>
    <row r="2547" spans="7:11" x14ac:dyDescent="0.2">
      <c r="G2547" s="44"/>
      <c r="J2547" t="str">
        <f t="shared" si="78"/>
        <v/>
      </c>
      <c r="K2547" t="str">
        <f t="shared" si="79"/>
        <v/>
      </c>
    </row>
    <row r="2548" spans="7:11" x14ac:dyDescent="0.2">
      <c r="G2548" s="44"/>
      <c r="J2548" t="str">
        <f t="shared" si="78"/>
        <v/>
      </c>
      <c r="K2548" t="str">
        <f t="shared" si="79"/>
        <v/>
      </c>
    </row>
    <row r="2549" spans="7:11" x14ac:dyDescent="0.2">
      <c r="G2549" s="44"/>
      <c r="J2549" t="str">
        <f t="shared" si="78"/>
        <v/>
      </c>
      <c r="K2549" t="str">
        <f t="shared" si="79"/>
        <v/>
      </c>
    </row>
    <row r="2550" spans="7:11" x14ac:dyDescent="0.2">
      <c r="G2550" s="44"/>
      <c r="J2550" t="str">
        <f t="shared" si="78"/>
        <v/>
      </c>
      <c r="K2550" t="str">
        <f t="shared" si="79"/>
        <v/>
      </c>
    </row>
    <row r="2551" spans="7:11" x14ac:dyDescent="0.2">
      <c r="G2551" s="44"/>
      <c r="J2551" t="str">
        <f t="shared" si="78"/>
        <v/>
      </c>
      <c r="K2551" t="str">
        <f t="shared" si="79"/>
        <v/>
      </c>
    </row>
    <row r="2552" spans="7:11" x14ac:dyDescent="0.2">
      <c r="G2552" s="44"/>
      <c r="J2552" t="str">
        <f t="shared" si="78"/>
        <v/>
      </c>
      <c r="K2552" t="str">
        <f t="shared" si="79"/>
        <v/>
      </c>
    </row>
    <row r="2553" spans="7:11" x14ac:dyDescent="0.2">
      <c r="G2553" s="44"/>
      <c r="J2553" t="str">
        <f t="shared" si="78"/>
        <v/>
      </c>
      <c r="K2553" t="str">
        <f t="shared" si="79"/>
        <v/>
      </c>
    </row>
    <row r="2554" spans="7:11" x14ac:dyDescent="0.2">
      <c r="G2554" s="44"/>
      <c r="J2554" t="str">
        <f t="shared" si="78"/>
        <v/>
      </c>
      <c r="K2554" t="str">
        <f t="shared" si="79"/>
        <v/>
      </c>
    </row>
    <row r="2555" spans="7:11" x14ac:dyDescent="0.2">
      <c r="G2555" s="44"/>
      <c r="J2555" t="str">
        <f t="shared" si="78"/>
        <v/>
      </c>
      <c r="K2555" t="str">
        <f t="shared" si="79"/>
        <v/>
      </c>
    </row>
    <row r="2556" spans="7:11" x14ac:dyDescent="0.2">
      <c r="G2556" s="44"/>
      <c r="J2556" t="str">
        <f t="shared" si="78"/>
        <v/>
      </c>
      <c r="K2556" t="str">
        <f t="shared" si="79"/>
        <v/>
      </c>
    </row>
    <row r="2557" spans="7:11" x14ac:dyDescent="0.2">
      <c r="G2557" s="44"/>
      <c r="J2557" t="str">
        <f t="shared" si="78"/>
        <v/>
      </c>
      <c r="K2557" t="str">
        <f t="shared" si="79"/>
        <v/>
      </c>
    </row>
    <row r="2558" spans="7:11" x14ac:dyDescent="0.2">
      <c r="G2558" s="44"/>
      <c r="J2558" t="str">
        <f t="shared" si="78"/>
        <v/>
      </c>
      <c r="K2558" t="str">
        <f t="shared" si="79"/>
        <v/>
      </c>
    </row>
    <row r="2559" spans="7:11" x14ac:dyDescent="0.2">
      <c r="G2559" s="44"/>
      <c r="J2559" t="str">
        <f t="shared" si="78"/>
        <v/>
      </c>
      <c r="K2559" t="str">
        <f t="shared" si="79"/>
        <v/>
      </c>
    </row>
    <row r="2560" spans="7:11" x14ac:dyDescent="0.2">
      <c r="G2560" s="44"/>
      <c r="J2560" t="str">
        <f t="shared" si="78"/>
        <v/>
      </c>
      <c r="K2560" t="str">
        <f t="shared" si="79"/>
        <v/>
      </c>
    </row>
    <row r="2561" spans="7:11" x14ac:dyDescent="0.2">
      <c r="G2561" s="44"/>
      <c r="J2561" t="str">
        <f t="shared" si="78"/>
        <v/>
      </c>
      <c r="K2561" t="str">
        <f t="shared" si="79"/>
        <v/>
      </c>
    </row>
    <row r="2562" spans="7:11" x14ac:dyDescent="0.2">
      <c r="G2562" s="44"/>
      <c r="J2562" t="str">
        <f t="shared" ref="J2562:J2625" si="80">IF(E2562="","",IF(OR(E2562=50,E2562=51),"Iltindhold",IF(E2562=75,"Carbon,org,NVOC",IF(OR(E2562=343,E2562=1167),"Svovlbrinte",IF(OR(E2562=240,E2562=241,E2562=242),"Amm",IF(E2562=244,"Nitrit",IF(E2562=247,"Nitrat",IF(E2562=334,"Sulfat",IF(E2562=262,"Phosphor, total-P",F2562)))))))))</f>
        <v/>
      </c>
      <c r="K2562" t="str">
        <f t="shared" ref="K2562:K2625" si="81">IF(A2562="","",IF(H2562="!",NA(),IF(H2562="A",I2562*0.5,IF(H2562="&lt;",I2562*0.5,I2562))))</f>
        <v/>
      </c>
    </row>
    <row r="2563" spans="7:11" x14ac:dyDescent="0.2">
      <c r="G2563" s="44"/>
      <c r="J2563" t="str">
        <f t="shared" si="80"/>
        <v/>
      </c>
      <c r="K2563" t="str">
        <f t="shared" si="81"/>
        <v/>
      </c>
    </row>
    <row r="2564" spans="7:11" x14ac:dyDescent="0.2">
      <c r="G2564" s="44"/>
      <c r="J2564" t="str">
        <f t="shared" si="80"/>
        <v/>
      </c>
      <c r="K2564" t="str">
        <f t="shared" si="81"/>
        <v/>
      </c>
    </row>
    <row r="2565" spans="7:11" x14ac:dyDescent="0.2">
      <c r="G2565" s="44"/>
      <c r="J2565" t="str">
        <f t="shared" si="80"/>
        <v/>
      </c>
      <c r="K2565" t="str">
        <f t="shared" si="81"/>
        <v/>
      </c>
    </row>
    <row r="2566" spans="7:11" x14ac:dyDescent="0.2">
      <c r="G2566" s="44"/>
      <c r="J2566" t="str">
        <f t="shared" si="80"/>
        <v/>
      </c>
      <c r="K2566" t="str">
        <f t="shared" si="81"/>
        <v/>
      </c>
    </row>
    <row r="2567" spans="7:11" x14ac:dyDescent="0.2">
      <c r="G2567" s="44"/>
      <c r="J2567" t="str">
        <f t="shared" si="80"/>
        <v/>
      </c>
      <c r="K2567" t="str">
        <f t="shared" si="81"/>
        <v/>
      </c>
    </row>
    <row r="2568" spans="7:11" x14ac:dyDescent="0.2">
      <c r="G2568" s="44"/>
      <c r="J2568" t="str">
        <f t="shared" si="80"/>
        <v/>
      </c>
      <c r="K2568" t="str">
        <f t="shared" si="81"/>
        <v/>
      </c>
    </row>
    <row r="2569" spans="7:11" x14ac:dyDescent="0.2">
      <c r="G2569" s="44"/>
      <c r="J2569" t="str">
        <f t="shared" si="80"/>
        <v/>
      </c>
      <c r="K2569" t="str">
        <f t="shared" si="81"/>
        <v/>
      </c>
    </row>
    <row r="2570" spans="7:11" x14ac:dyDescent="0.2">
      <c r="G2570" s="44"/>
      <c r="J2570" t="str">
        <f t="shared" si="80"/>
        <v/>
      </c>
      <c r="K2570" t="str">
        <f t="shared" si="81"/>
        <v/>
      </c>
    </row>
    <row r="2571" spans="7:11" x14ac:dyDescent="0.2">
      <c r="G2571" s="44"/>
      <c r="J2571" t="str">
        <f t="shared" si="80"/>
        <v/>
      </c>
      <c r="K2571" t="str">
        <f t="shared" si="81"/>
        <v/>
      </c>
    </row>
    <row r="2572" spans="7:11" x14ac:dyDescent="0.2">
      <c r="G2572" s="44"/>
      <c r="J2572" t="str">
        <f t="shared" si="80"/>
        <v/>
      </c>
      <c r="K2572" t="str">
        <f t="shared" si="81"/>
        <v/>
      </c>
    </row>
    <row r="2573" spans="7:11" x14ac:dyDescent="0.2">
      <c r="G2573" s="44"/>
      <c r="J2573" t="str">
        <f t="shared" si="80"/>
        <v/>
      </c>
      <c r="K2573" t="str">
        <f t="shared" si="81"/>
        <v/>
      </c>
    </row>
    <row r="2574" spans="7:11" x14ac:dyDescent="0.2">
      <c r="G2574" s="44"/>
      <c r="J2574" t="str">
        <f t="shared" si="80"/>
        <v/>
      </c>
      <c r="K2574" t="str">
        <f t="shared" si="81"/>
        <v/>
      </c>
    </row>
    <row r="2575" spans="7:11" x14ac:dyDescent="0.2">
      <c r="G2575" s="44"/>
      <c r="J2575" t="str">
        <f t="shared" si="80"/>
        <v/>
      </c>
      <c r="K2575" t="str">
        <f t="shared" si="81"/>
        <v/>
      </c>
    </row>
    <row r="2576" spans="7:11" x14ac:dyDescent="0.2">
      <c r="G2576" s="44"/>
      <c r="J2576" t="str">
        <f t="shared" si="80"/>
        <v/>
      </c>
      <c r="K2576" t="str">
        <f t="shared" si="81"/>
        <v/>
      </c>
    </row>
    <row r="2577" spans="7:11" x14ac:dyDescent="0.2">
      <c r="G2577" s="44"/>
      <c r="J2577" t="str">
        <f t="shared" si="80"/>
        <v/>
      </c>
      <c r="K2577" t="str">
        <f t="shared" si="81"/>
        <v/>
      </c>
    </row>
    <row r="2578" spans="7:11" x14ac:dyDescent="0.2">
      <c r="G2578" s="44"/>
      <c r="J2578" t="str">
        <f t="shared" si="80"/>
        <v/>
      </c>
      <c r="K2578" t="str">
        <f t="shared" si="81"/>
        <v/>
      </c>
    </row>
    <row r="2579" spans="7:11" x14ac:dyDescent="0.2">
      <c r="G2579" s="44"/>
      <c r="J2579" t="str">
        <f t="shared" si="80"/>
        <v/>
      </c>
      <c r="K2579" t="str">
        <f t="shared" si="81"/>
        <v/>
      </c>
    </row>
    <row r="2580" spans="7:11" x14ac:dyDescent="0.2">
      <c r="G2580" s="44"/>
      <c r="J2580" t="str">
        <f t="shared" si="80"/>
        <v/>
      </c>
      <c r="K2580" t="str">
        <f t="shared" si="81"/>
        <v/>
      </c>
    </row>
    <row r="2581" spans="7:11" x14ac:dyDescent="0.2">
      <c r="G2581" s="44"/>
      <c r="J2581" t="str">
        <f t="shared" si="80"/>
        <v/>
      </c>
      <c r="K2581" t="str">
        <f t="shared" si="81"/>
        <v/>
      </c>
    </row>
    <row r="2582" spans="7:11" x14ac:dyDescent="0.2">
      <c r="G2582" s="44"/>
      <c r="J2582" t="str">
        <f t="shared" si="80"/>
        <v/>
      </c>
      <c r="K2582" t="str">
        <f t="shared" si="81"/>
        <v/>
      </c>
    </row>
    <row r="2583" spans="7:11" x14ac:dyDescent="0.2">
      <c r="G2583" s="44"/>
      <c r="J2583" t="str">
        <f t="shared" si="80"/>
        <v/>
      </c>
      <c r="K2583" t="str">
        <f t="shared" si="81"/>
        <v/>
      </c>
    </row>
    <row r="2584" spans="7:11" x14ac:dyDescent="0.2">
      <c r="G2584" s="44"/>
      <c r="J2584" t="str">
        <f t="shared" si="80"/>
        <v/>
      </c>
      <c r="K2584" t="str">
        <f t="shared" si="81"/>
        <v/>
      </c>
    </row>
    <row r="2585" spans="7:11" x14ac:dyDescent="0.2">
      <c r="G2585" s="44"/>
      <c r="J2585" t="str">
        <f t="shared" si="80"/>
        <v/>
      </c>
      <c r="K2585" t="str">
        <f t="shared" si="81"/>
        <v/>
      </c>
    </row>
    <row r="2586" spans="7:11" x14ac:dyDescent="0.2">
      <c r="G2586" s="44"/>
      <c r="J2586" t="str">
        <f t="shared" si="80"/>
        <v/>
      </c>
      <c r="K2586" t="str">
        <f t="shared" si="81"/>
        <v/>
      </c>
    </row>
    <row r="2587" spans="7:11" x14ac:dyDescent="0.2">
      <c r="G2587" s="44"/>
      <c r="J2587" t="str">
        <f t="shared" si="80"/>
        <v/>
      </c>
      <c r="K2587" t="str">
        <f t="shared" si="81"/>
        <v/>
      </c>
    </row>
    <row r="2588" spans="7:11" x14ac:dyDescent="0.2">
      <c r="G2588" s="44"/>
      <c r="J2588" t="str">
        <f t="shared" si="80"/>
        <v/>
      </c>
      <c r="K2588" t="str">
        <f t="shared" si="81"/>
        <v/>
      </c>
    </row>
    <row r="2589" spans="7:11" x14ac:dyDescent="0.2">
      <c r="G2589" s="44"/>
      <c r="J2589" t="str">
        <f t="shared" si="80"/>
        <v/>
      </c>
      <c r="K2589" t="str">
        <f t="shared" si="81"/>
        <v/>
      </c>
    </row>
    <row r="2590" spans="7:11" x14ac:dyDescent="0.2">
      <c r="G2590" s="44"/>
      <c r="J2590" t="str">
        <f t="shared" si="80"/>
        <v/>
      </c>
      <c r="K2590" t="str">
        <f t="shared" si="81"/>
        <v/>
      </c>
    </row>
    <row r="2591" spans="7:11" x14ac:dyDescent="0.2">
      <c r="G2591" s="44"/>
      <c r="J2591" t="str">
        <f t="shared" si="80"/>
        <v/>
      </c>
      <c r="K2591" t="str">
        <f t="shared" si="81"/>
        <v/>
      </c>
    </row>
    <row r="2592" spans="7:11" x14ac:dyDescent="0.2">
      <c r="G2592" s="44"/>
      <c r="J2592" t="str">
        <f t="shared" si="80"/>
        <v/>
      </c>
      <c r="K2592" t="str">
        <f t="shared" si="81"/>
        <v/>
      </c>
    </row>
    <row r="2593" spans="7:11" x14ac:dyDescent="0.2">
      <c r="G2593" s="44"/>
      <c r="J2593" t="str">
        <f t="shared" si="80"/>
        <v/>
      </c>
      <c r="K2593" t="str">
        <f t="shared" si="81"/>
        <v/>
      </c>
    </row>
    <row r="2594" spans="7:11" x14ac:dyDescent="0.2">
      <c r="G2594" s="44"/>
      <c r="J2594" t="str">
        <f t="shared" si="80"/>
        <v/>
      </c>
      <c r="K2594" t="str">
        <f t="shared" si="81"/>
        <v/>
      </c>
    </row>
    <row r="2595" spans="7:11" x14ac:dyDescent="0.2">
      <c r="G2595" s="44"/>
      <c r="J2595" t="str">
        <f t="shared" si="80"/>
        <v/>
      </c>
      <c r="K2595" t="str">
        <f t="shared" si="81"/>
        <v/>
      </c>
    </row>
    <row r="2596" spans="7:11" x14ac:dyDescent="0.2">
      <c r="G2596" s="44"/>
      <c r="J2596" t="str">
        <f t="shared" si="80"/>
        <v/>
      </c>
      <c r="K2596" t="str">
        <f t="shared" si="81"/>
        <v/>
      </c>
    </row>
    <row r="2597" spans="7:11" x14ac:dyDescent="0.2">
      <c r="G2597" s="44"/>
      <c r="J2597" t="str">
        <f t="shared" si="80"/>
        <v/>
      </c>
      <c r="K2597" t="str">
        <f t="shared" si="81"/>
        <v/>
      </c>
    </row>
    <row r="2598" spans="7:11" x14ac:dyDescent="0.2">
      <c r="G2598" s="44"/>
      <c r="J2598" t="str">
        <f t="shared" si="80"/>
        <v/>
      </c>
      <c r="K2598" t="str">
        <f t="shared" si="81"/>
        <v/>
      </c>
    </row>
    <row r="2599" spans="7:11" x14ac:dyDescent="0.2">
      <c r="G2599" s="44"/>
      <c r="J2599" t="str">
        <f t="shared" si="80"/>
        <v/>
      </c>
      <c r="K2599" t="str">
        <f t="shared" si="81"/>
        <v/>
      </c>
    </row>
    <row r="2600" spans="7:11" x14ac:dyDescent="0.2">
      <c r="G2600" s="44"/>
      <c r="J2600" t="str">
        <f t="shared" si="80"/>
        <v/>
      </c>
      <c r="K2600" t="str">
        <f t="shared" si="81"/>
        <v/>
      </c>
    </row>
    <row r="2601" spans="7:11" x14ac:dyDescent="0.2">
      <c r="G2601" s="44"/>
      <c r="J2601" t="str">
        <f t="shared" si="80"/>
        <v/>
      </c>
      <c r="K2601" t="str">
        <f t="shared" si="81"/>
        <v/>
      </c>
    </row>
    <row r="2602" spans="7:11" x14ac:dyDescent="0.2">
      <c r="G2602" s="44"/>
      <c r="J2602" t="str">
        <f t="shared" si="80"/>
        <v/>
      </c>
      <c r="K2602" t="str">
        <f t="shared" si="81"/>
        <v/>
      </c>
    </row>
    <row r="2603" spans="7:11" x14ac:dyDescent="0.2">
      <c r="G2603" s="44"/>
      <c r="J2603" t="str">
        <f t="shared" si="80"/>
        <v/>
      </c>
      <c r="K2603" t="str">
        <f t="shared" si="81"/>
        <v/>
      </c>
    </row>
    <row r="2604" spans="7:11" x14ac:dyDescent="0.2">
      <c r="G2604" s="44"/>
      <c r="J2604" t="str">
        <f t="shared" si="80"/>
        <v/>
      </c>
      <c r="K2604" t="str">
        <f t="shared" si="81"/>
        <v/>
      </c>
    </row>
    <row r="2605" spans="7:11" x14ac:dyDescent="0.2">
      <c r="G2605" s="44"/>
      <c r="J2605" t="str">
        <f t="shared" si="80"/>
        <v/>
      </c>
      <c r="K2605" t="str">
        <f t="shared" si="81"/>
        <v/>
      </c>
    </row>
    <row r="2606" spans="7:11" x14ac:dyDescent="0.2">
      <c r="G2606" s="44"/>
      <c r="J2606" t="str">
        <f t="shared" si="80"/>
        <v/>
      </c>
      <c r="K2606" t="str">
        <f t="shared" si="81"/>
        <v/>
      </c>
    </row>
    <row r="2607" spans="7:11" x14ac:dyDescent="0.2">
      <c r="G2607" s="44"/>
      <c r="J2607" t="str">
        <f t="shared" si="80"/>
        <v/>
      </c>
      <c r="K2607" t="str">
        <f t="shared" si="81"/>
        <v/>
      </c>
    </row>
    <row r="2608" spans="7:11" x14ac:dyDescent="0.2">
      <c r="G2608" s="44"/>
      <c r="J2608" t="str">
        <f t="shared" si="80"/>
        <v/>
      </c>
      <c r="K2608" t="str">
        <f t="shared" si="81"/>
        <v/>
      </c>
    </row>
    <row r="2609" spans="7:11" x14ac:dyDescent="0.2">
      <c r="G2609" s="44"/>
      <c r="J2609" t="str">
        <f t="shared" si="80"/>
        <v/>
      </c>
      <c r="K2609" t="str">
        <f t="shared" si="81"/>
        <v/>
      </c>
    </row>
    <row r="2610" spans="7:11" x14ac:dyDescent="0.2">
      <c r="G2610" s="44"/>
      <c r="J2610" t="str">
        <f t="shared" si="80"/>
        <v/>
      </c>
      <c r="K2610" t="str">
        <f t="shared" si="81"/>
        <v/>
      </c>
    </row>
    <row r="2611" spans="7:11" x14ac:dyDescent="0.2">
      <c r="G2611" s="44"/>
      <c r="J2611" t="str">
        <f t="shared" si="80"/>
        <v/>
      </c>
      <c r="K2611" t="str">
        <f t="shared" si="81"/>
        <v/>
      </c>
    </row>
    <row r="2612" spans="7:11" x14ac:dyDescent="0.2">
      <c r="G2612" s="44"/>
      <c r="J2612" t="str">
        <f t="shared" si="80"/>
        <v/>
      </c>
      <c r="K2612" t="str">
        <f t="shared" si="81"/>
        <v/>
      </c>
    </row>
    <row r="2613" spans="7:11" x14ac:dyDescent="0.2">
      <c r="G2613" s="44"/>
      <c r="J2613" t="str">
        <f t="shared" si="80"/>
        <v/>
      </c>
      <c r="K2613" t="str">
        <f t="shared" si="81"/>
        <v/>
      </c>
    </row>
    <row r="2614" spans="7:11" x14ac:dyDescent="0.2">
      <c r="G2614" s="44"/>
      <c r="J2614" t="str">
        <f t="shared" si="80"/>
        <v/>
      </c>
      <c r="K2614" t="str">
        <f t="shared" si="81"/>
        <v/>
      </c>
    </row>
    <row r="2615" spans="7:11" x14ac:dyDescent="0.2">
      <c r="G2615" s="44"/>
      <c r="J2615" t="str">
        <f t="shared" si="80"/>
        <v/>
      </c>
      <c r="K2615" t="str">
        <f t="shared" si="81"/>
        <v/>
      </c>
    </row>
    <row r="2616" spans="7:11" x14ac:dyDescent="0.2">
      <c r="G2616" s="44"/>
      <c r="J2616" t="str">
        <f t="shared" si="80"/>
        <v/>
      </c>
      <c r="K2616" t="str">
        <f t="shared" si="81"/>
        <v/>
      </c>
    </row>
    <row r="2617" spans="7:11" x14ac:dyDescent="0.2">
      <c r="G2617" s="44"/>
      <c r="J2617" t="str">
        <f t="shared" si="80"/>
        <v/>
      </c>
      <c r="K2617" t="str">
        <f t="shared" si="81"/>
        <v/>
      </c>
    </row>
    <row r="2618" spans="7:11" x14ac:dyDescent="0.2">
      <c r="G2618" s="44"/>
      <c r="J2618" t="str">
        <f t="shared" si="80"/>
        <v/>
      </c>
      <c r="K2618" t="str">
        <f t="shared" si="81"/>
        <v/>
      </c>
    </row>
    <row r="2619" spans="7:11" x14ac:dyDescent="0.2">
      <c r="G2619" s="44"/>
      <c r="J2619" t="str">
        <f t="shared" si="80"/>
        <v/>
      </c>
      <c r="K2619" t="str">
        <f t="shared" si="81"/>
        <v/>
      </c>
    </row>
    <row r="2620" spans="7:11" x14ac:dyDescent="0.2">
      <c r="G2620" s="44"/>
      <c r="J2620" t="str">
        <f t="shared" si="80"/>
        <v/>
      </c>
      <c r="K2620" t="str">
        <f t="shared" si="81"/>
        <v/>
      </c>
    </row>
    <row r="2621" spans="7:11" x14ac:dyDescent="0.2">
      <c r="G2621" s="44"/>
      <c r="J2621" t="str">
        <f t="shared" si="80"/>
        <v/>
      </c>
      <c r="K2621" t="str">
        <f t="shared" si="81"/>
        <v/>
      </c>
    </row>
    <row r="2622" spans="7:11" x14ac:dyDescent="0.2">
      <c r="G2622" s="44"/>
      <c r="J2622" t="str">
        <f t="shared" si="80"/>
        <v/>
      </c>
      <c r="K2622" t="str">
        <f t="shared" si="81"/>
        <v/>
      </c>
    </row>
    <row r="2623" spans="7:11" x14ac:dyDescent="0.2">
      <c r="G2623" s="44"/>
      <c r="J2623" t="str">
        <f t="shared" si="80"/>
        <v/>
      </c>
      <c r="K2623" t="str">
        <f t="shared" si="81"/>
        <v/>
      </c>
    </row>
    <row r="2624" spans="7:11" x14ac:dyDescent="0.2">
      <c r="G2624" s="44"/>
      <c r="J2624" t="str">
        <f t="shared" si="80"/>
        <v/>
      </c>
      <c r="K2624" t="str">
        <f t="shared" si="81"/>
        <v/>
      </c>
    </row>
    <row r="2625" spans="7:11" x14ac:dyDescent="0.2">
      <c r="G2625" s="44"/>
      <c r="J2625" t="str">
        <f t="shared" si="80"/>
        <v/>
      </c>
      <c r="K2625" t="str">
        <f t="shared" si="81"/>
        <v/>
      </c>
    </row>
    <row r="2626" spans="7:11" x14ac:dyDescent="0.2">
      <c r="G2626" s="44"/>
      <c r="J2626" t="str">
        <f t="shared" ref="J2626:J2689" si="82">IF(E2626="","",IF(OR(E2626=50,E2626=51),"Iltindhold",IF(E2626=75,"Carbon,org,NVOC",IF(OR(E2626=343,E2626=1167),"Svovlbrinte",IF(OR(E2626=240,E2626=241,E2626=242),"Amm",IF(E2626=244,"Nitrit",IF(E2626=247,"Nitrat",IF(E2626=334,"Sulfat",IF(E2626=262,"Phosphor, total-P",F2626)))))))))</f>
        <v/>
      </c>
      <c r="K2626" t="str">
        <f t="shared" ref="K2626:K2689" si="83">IF(A2626="","",IF(H2626="!",NA(),IF(H2626="A",I2626*0.5,IF(H2626="&lt;",I2626*0.5,I2626))))</f>
        <v/>
      </c>
    </row>
    <row r="2627" spans="7:11" x14ac:dyDescent="0.2">
      <c r="G2627" s="44"/>
      <c r="J2627" t="str">
        <f t="shared" si="82"/>
        <v/>
      </c>
      <c r="K2627" t="str">
        <f t="shared" si="83"/>
        <v/>
      </c>
    </row>
    <row r="2628" spans="7:11" x14ac:dyDescent="0.2">
      <c r="G2628" s="44"/>
      <c r="J2628" t="str">
        <f t="shared" si="82"/>
        <v/>
      </c>
      <c r="K2628" t="str">
        <f t="shared" si="83"/>
        <v/>
      </c>
    </row>
    <row r="2629" spans="7:11" x14ac:dyDescent="0.2">
      <c r="G2629" s="44"/>
      <c r="J2629" t="str">
        <f t="shared" si="82"/>
        <v/>
      </c>
      <c r="K2629" t="str">
        <f t="shared" si="83"/>
        <v/>
      </c>
    </row>
    <row r="2630" spans="7:11" x14ac:dyDescent="0.2">
      <c r="G2630" s="44"/>
      <c r="J2630" t="str">
        <f t="shared" si="82"/>
        <v/>
      </c>
      <c r="K2630" t="str">
        <f t="shared" si="83"/>
        <v/>
      </c>
    </row>
    <row r="2631" spans="7:11" x14ac:dyDescent="0.2">
      <c r="G2631" s="44"/>
      <c r="J2631" t="str">
        <f t="shared" si="82"/>
        <v/>
      </c>
      <c r="K2631" t="str">
        <f t="shared" si="83"/>
        <v/>
      </c>
    </row>
    <row r="2632" spans="7:11" x14ac:dyDescent="0.2">
      <c r="G2632" s="44"/>
      <c r="J2632" t="str">
        <f t="shared" si="82"/>
        <v/>
      </c>
      <c r="K2632" t="str">
        <f t="shared" si="83"/>
        <v/>
      </c>
    </row>
    <row r="2633" spans="7:11" x14ac:dyDescent="0.2">
      <c r="G2633" s="44"/>
      <c r="J2633" t="str">
        <f t="shared" si="82"/>
        <v/>
      </c>
      <c r="K2633" t="str">
        <f t="shared" si="83"/>
        <v/>
      </c>
    </row>
    <row r="2634" spans="7:11" x14ac:dyDescent="0.2">
      <c r="G2634" s="44"/>
      <c r="J2634" t="str">
        <f t="shared" si="82"/>
        <v/>
      </c>
      <c r="K2634" t="str">
        <f t="shared" si="83"/>
        <v/>
      </c>
    </row>
    <row r="2635" spans="7:11" x14ac:dyDescent="0.2">
      <c r="G2635" s="44"/>
      <c r="J2635" t="str">
        <f t="shared" si="82"/>
        <v/>
      </c>
      <c r="K2635" t="str">
        <f t="shared" si="83"/>
        <v/>
      </c>
    </row>
    <row r="2636" spans="7:11" x14ac:dyDescent="0.2">
      <c r="G2636" s="44"/>
      <c r="J2636" t="str">
        <f t="shared" si="82"/>
        <v/>
      </c>
      <c r="K2636" t="str">
        <f t="shared" si="83"/>
        <v/>
      </c>
    </row>
    <row r="2637" spans="7:11" x14ac:dyDescent="0.2">
      <c r="G2637" s="44"/>
      <c r="J2637" t="str">
        <f t="shared" si="82"/>
        <v/>
      </c>
      <c r="K2637" t="str">
        <f t="shared" si="83"/>
        <v/>
      </c>
    </row>
    <row r="2638" spans="7:11" x14ac:dyDescent="0.2">
      <c r="G2638" s="44"/>
      <c r="J2638" t="str">
        <f t="shared" si="82"/>
        <v/>
      </c>
      <c r="K2638" t="str">
        <f t="shared" si="83"/>
        <v/>
      </c>
    </row>
    <row r="2639" spans="7:11" x14ac:dyDescent="0.2">
      <c r="G2639" s="44"/>
      <c r="J2639" t="str">
        <f t="shared" si="82"/>
        <v/>
      </c>
      <c r="K2639" t="str">
        <f t="shared" si="83"/>
        <v/>
      </c>
    </row>
    <row r="2640" spans="7:11" x14ac:dyDescent="0.2">
      <c r="G2640" s="44"/>
      <c r="J2640" t="str">
        <f t="shared" si="82"/>
        <v/>
      </c>
      <c r="K2640" t="str">
        <f t="shared" si="83"/>
        <v/>
      </c>
    </row>
    <row r="2641" spans="7:11" x14ac:dyDescent="0.2">
      <c r="G2641" s="44"/>
      <c r="J2641" t="str">
        <f t="shared" si="82"/>
        <v/>
      </c>
      <c r="K2641" t="str">
        <f t="shared" si="83"/>
        <v/>
      </c>
    </row>
    <row r="2642" spans="7:11" x14ac:dyDescent="0.2">
      <c r="G2642" s="44"/>
      <c r="J2642" t="str">
        <f t="shared" si="82"/>
        <v/>
      </c>
      <c r="K2642" t="str">
        <f t="shared" si="83"/>
        <v/>
      </c>
    </row>
    <row r="2643" spans="7:11" x14ac:dyDescent="0.2">
      <c r="G2643" s="44"/>
      <c r="J2643" t="str">
        <f t="shared" si="82"/>
        <v/>
      </c>
      <c r="K2643" t="str">
        <f t="shared" si="83"/>
        <v/>
      </c>
    </row>
    <row r="2644" spans="7:11" x14ac:dyDescent="0.2">
      <c r="G2644" s="44"/>
      <c r="J2644" t="str">
        <f t="shared" si="82"/>
        <v/>
      </c>
      <c r="K2644" t="str">
        <f t="shared" si="83"/>
        <v/>
      </c>
    </row>
    <row r="2645" spans="7:11" x14ac:dyDescent="0.2">
      <c r="G2645" s="44"/>
      <c r="J2645" t="str">
        <f t="shared" si="82"/>
        <v/>
      </c>
      <c r="K2645" t="str">
        <f t="shared" si="83"/>
        <v/>
      </c>
    </row>
    <row r="2646" spans="7:11" x14ac:dyDescent="0.2">
      <c r="G2646" s="44"/>
      <c r="J2646" t="str">
        <f t="shared" si="82"/>
        <v/>
      </c>
      <c r="K2646" t="str">
        <f t="shared" si="83"/>
        <v/>
      </c>
    </row>
    <row r="2647" spans="7:11" x14ac:dyDescent="0.2">
      <c r="G2647" s="44"/>
      <c r="J2647" t="str">
        <f t="shared" si="82"/>
        <v/>
      </c>
      <c r="K2647" t="str">
        <f t="shared" si="83"/>
        <v/>
      </c>
    </row>
    <row r="2648" spans="7:11" x14ac:dyDescent="0.2">
      <c r="G2648" s="44"/>
      <c r="J2648" t="str">
        <f t="shared" si="82"/>
        <v/>
      </c>
      <c r="K2648" t="str">
        <f t="shared" si="83"/>
        <v/>
      </c>
    </row>
    <row r="2649" spans="7:11" x14ac:dyDescent="0.2">
      <c r="G2649" s="44"/>
      <c r="J2649" t="str">
        <f t="shared" si="82"/>
        <v/>
      </c>
      <c r="K2649" t="str">
        <f t="shared" si="83"/>
        <v/>
      </c>
    </row>
    <row r="2650" spans="7:11" x14ac:dyDescent="0.2">
      <c r="G2650" s="44"/>
      <c r="J2650" t="str">
        <f t="shared" si="82"/>
        <v/>
      </c>
      <c r="K2650" t="str">
        <f t="shared" si="83"/>
        <v/>
      </c>
    </row>
    <row r="2651" spans="7:11" x14ac:dyDescent="0.2">
      <c r="G2651" s="44"/>
      <c r="J2651" t="str">
        <f t="shared" si="82"/>
        <v/>
      </c>
      <c r="K2651" t="str">
        <f t="shared" si="83"/>
        <v/>
      </c>
    </row>
    <row r="2652" spans="7:11" x14ac:dyDescent="0.2">
      <c r="G2652" s="44"/>
      <c r="J2652" t="str">
        <f t="shared" si="82"/>
        <v/>
      </c>
      <c r="K2652" t="str">
        <f t="shared" si="83"/>
        <v/>
      </c>
    </row>
    <row r="2653" spans="7:11" x14ac:dyDescent="0.2">
      <c r="G2653" s="44"/>
      <c r="J2653" t="str">
        <f t="shared" si="82"/>
        <v/>
      </c>
      <c r="K2653" t="str">
        <f t="shared" si="83"/>
        <v/>
      </c>
    </row>
    <row r="2654" spans="7:11" x14ac:dyDescent="0.2">
      <c r="G2654" s="44"/>
      <c r="J2654" t="str">
        <f t="shared" si="82"/>
        <v/>
      </c>
      <c r="K2654" t="str">
        <f t="shared" si="83"/>
        <v/>
      </c>
    </row>
    <row r="2655" spans="7:11" x14ac:dyDescent="0.2">
      <c r="G2655" s="44"/>
      <c r="J2655" t="str">
        <f t="shared" si="82"/>
        <v/>
      </c>
      <c r="K2655" t="str">
        <f t="shared" si="83"/>
        <v/>
      </c>
    </row>
    <row r="2656" spans="7:11" x14ac:dyDescent="0.2">
      <c r="G2656" s="44"/>
      <c r="J2656" t="str">
        <f t="shared" si="82"/>
        <v/>
      </c>
      <c r="K2656" t="str">
        <f t="shared" si="83"/>
        <v/>
      </c>
    </row>
    <row r="2657" spans="7:11" x14ac:dyDescent="0.2">
      <c r="G2657" s="44"/>
      <c r="J2657" t="str">
        <f t="shared" si="82"/>
        <v/>
      </c>
      <c r="K2657" t="str">
        <f t="shared" si="83"/>
        <v/>
      </c>
    </row>
    <row r="2658" spans="7:11" x14ac:dyDescent="0.2">
      <c r="G2658" s="44"/>
      <c r="J2658" t="str">
        <f t="shared" si="82"/>
        <v/>
      </c>
      <c r="K2658" t="str">
        <f t="shared" si="83"/>
        <v/>
      </c>
    </row>
    <row r="2659" spans="7:11" x14ac:dyDescent="0.2">
      <c r="G2659" s="44"/>
      <c r="J2659" t="str">
        <f t="shared" si="82"/>
        <v/>
      </c>
      <c r="K2659" t="str">
        <f t="shared" si="83"/>
        <v/>
      </c>
    </row>
    <row r="2660" spans="7:11" x14ac:dyDescent="0.2">
      <c r="G2660" s="44"/>
      <c r="J2660" t="str">
        <f t="shared" si="82"/>
        <v/>
      </c>
      <c r="K2660" t="str">
        <f t="shared" si="83"/>
        <v/>
      </c>
    </row>
    <row r="2661" spans="7:11" x14ac:dyDescent="0.2">
      <c r="G2661" s="44"/>
      <c r="J2661" t="str">
        <f t="shared" si="82"/>
        <v/>
      </c>
      <c r="K2661" t="str">
        <f t="shared" si="83"/>
        <v/>
      </c>
    </row>
    <row r="2662" spans="7:11" x14ac:dyDescent="0.2">
      <c r="G2662" s="44"/>
      <c r="J2662" t="str">
        <f t="shared" si="82"/>
        <v/>
      </c>
      <c r="K2662" t="str">
        <f t="shared" si="83"/>
        <v/>
      </c>
    </row>
    <row r="2663" spans="7:11" x14ac:dyDescent="0.2">
      <c r="G2663" s="44"/>
      <c r="J2663" t="str">
        <f t="shared" si="82"/>
        <v/>
      </c>
      <c r="K2663" t="str">
        <f t="shared" si="83"/>
        <v/>
      </c>
    </row>
    <row r="2664" spans="7:11" x14ac:dyDescent="0.2">
      <c r="G2664" s="44"/>
      <c r="J2664" t="str">
        <f t="shared" si="82"/>
        <v/>
      </c>
      <c r="K2664" t="str">
        <f t="shared" si="83"/>
        <v/>
      </c>
    </row>
    <row r="2665" spans="7:11" x14ac:dyDescent="0.2">
      <c r="G2665" s="44"/>
      <c r="J2665" t="str">
        <f t="shared" si="82"/>
        <v/>
      </c>
      <c r="K2665" t="str">
        <f t="shared" si="83"/>
        <v/>
      </c>
    </row>
    <row r="2666" spans="7:11" x14ac:dyDescent="0.2">
      <c r="G2666" s="44"/>
      <c r="J2666" t="str">
        <f t="shared" si="82"/>
        <v/>
      </c>
      <c r="K2666" t="str">
        <f t="shared" si="83"/>
        <v/>
      </c>
    </row>
    <row r="2667" spans="7:11" x14ac:dyDescent="0.2">
      <c r="G2667" s="44"/>
      <c r="J2667" t="str">
        <f t="shared" si="82"/>
        <v/>
      </c>
      <c r="K2667" t="str">
        <f t="shared" si="83"/>
        <v/>
      </c>
    </row>
    <row r="2668" spans="7:11" x14ac:dyDescent="0.2">
      <c r="G2668" s="44"/>
      <c r="J2668" t="str">
        <f t="shared" si="82"/>
        <v/>
      </c>
      <c r="K2668" t="str">
        <f t="shared" si="83"/>
        <v/>
      </c>
    </row>
    <row r="2669" spans="7:11" x14ac:dyDescent="0.2">
      <c r="G2669" s="44"/>
      <c r="J2669" t="str">
        <f t="shared" si="82"/>
        <v/>
      </c>
      <c r="K2669" t="str">
        <f t="shared" si="83"/>
        <v/>
      </c>
    </row>
    <row r="2670" spans="7:11" x14ac:dyDescent="0.2">
      <c r="G2670" s="44"/>
      <c r="J2670" t="str">
        <f t="shared" si="82"/>
        <v/>
      </c>
      <c r="K2670" t="str">
        <f t="shared" si="83"/>
        <v/>
      </c>
    </row>
    <row r="2671" spans="7:11" x14ac:dyDescent="0.2">
      <c r="G2671" s="44"/>
      <c r="J2671" t="str">
        <f t="shared" si="82"/>
        <v/>
      </c>
      <c r="K2671" t="str">
        <f t="shared" si="83"/>
        <v/>
      </c>
    </row>
    <row r="2672" spans="7:11" x14ac:dyDescent="0.2">
      <c r="G2672" s="44"/>
      <c r="J2672" t="str">
        <f t="shared" si="82"/>
        <v/>
      </c>
      <c r="K2672" t="str">
        <f t="shared" si="83"/>
        <v/>
      </c>
    </row>
    <row r="2673" spans="7:11" x14ac:dyDescent="0.2">
      <c r="G2673" s="44"/>
      <c r="J2673" t="str">
        <f t="shared" si="82"/>
        <v/>
      </c>
      <c r="K2673" t="str">
        <f t="shared" si="83"/>
        <v/>
      </c>
    </row>
    <row r="2674" spans="7:11" x14ac:dyDescent="0.2">
      <c r="G2674" s="44"/>
      <c r="J2674" t="str">
        <f t="shared" si="82"/>
        <v/>
      </c>
      <c r="K2674" t="str">
        <f t="shared" si="83"/>
        <v/>
      </c>
    </row>
    <row r="2675" spans="7:11" x14ac:dyDescent="0.2">
      <c r="G2675" s="44"/>
      <c r="J2675" t="str">
        <f t="shared" si="82"/>
        <v/>
      </c>
      <c r="K2675" t="str">
        <f t="shared" si="83"/>
        <v/>
      </c>
    </row>
    <row r="2676" spans="7:11" x14ac:dyDescent="0.2">
      <c r="G2676" s="44"/>
      <c r="J2676" t="str">
        <f t="shared" si="82"/>
        <v/>
      </c>
      <c r="K2676" t="str">
        <f t="shared" si="83"/>
        <v/>
      </c>
    </row>
    <row r="2677" spans="7:11" x14ac:dyDescent="0.2">
      <c r="G2677" s="44"/>
      <c r="J2677" t="str">
        <f t="shared" si="82"/>
        <v/>
      </c>
      <c r="K2677" t="str">
        <f t="shared" si="83"/>
        <v/>
      </c>
    </row>
    <row r="2678" spans="7:11" x14ac:dyDescent="0.2">
      <c r="G2678" s="44"/>
      <c r="J2678" t="str">
        <f t="shared" si="82"/>
        <v/>
      </c>
      <c r="K2678" t="str">
        <f t="shared" si="83"/>
        <v/>
      </c>
    </row>
    <row r="2679" spans="7:11" x14ac:dyDescent="0.2">
      <c r="G2679" s="44"/>
      <c r="J2679" t="str">
        <f t="shared" si="82"/>
        <v/>
      </c>
      <c r="K2679" t="str">
        <f t="shared" si="83"/>
        <v/>
      </c>
    </row>
    <row r="2680" spans="7:11" x14ac:dyDescent="0.2">
      <c r="G2680" s="44"/>
      <c r="J2680" t="str">
        <f t="shared" si="82"/>
        <v/>
      </c>
      <c r="K2680" t="str">
        <f t="shared" si="83"/>
        <v/>
      </c>
    </row>
    <row r="2681" spans="7:11" x14ac:dyDescent="0.2">
      <c r="G2681" s="44"/>
      <c r="J2681" t="str">
        <f t="shared" si="82"/>
        <v/>
      </c>
      <c r="K2681" t="str">
        <f t="shared" si="83"/>
        <v/>
      </c>
    </row>
    <row r="2682" spans="7:11" x14ac:dyDescent="0.2">
      <c r="G2682" s="44"/>
      <c r="J2682" t="str">
        <f t="shared" si="82"/>
        <v/>
      </c>
      <c r="K2682" t="str">
        <f t="shared" si="83"/>
        <v/>
      </c>
    </row>
    <row r="2683" spans="7:11" x14ac:dyDescent="0.2">
      <c r="G2683" s="44"/>
      <c r="J2683" t="str">
        <f t="shared" si="82"/>
        <v/>
      </c>
      <c r="K2683" t="str">
        <f t="shared" si="83"/>
        <v/>
      </c>
    </row>
    <row r="2684" spans="7:11" x14ac:dyDescent="0.2">
      <c r="G2684" s="44"/>
      <c r="J2684" t="str">
        <f t="shared" si="82"/>
        <v/>
      </c>
      <c r="K2684" t="str">
        <f t="shared" si="83"/>
        <v/>
      </c>
    </row>
    <row r="2685" spans="7:11" x14ac:dyDescent="0.2">
      <c r="G2685" s="44"/>
      <c r="J2685" t="str">
        <f t="shared" si="82"/>
        <v/>
      </c>
      <c r="K2685" t="str">
        <f t="shared" si="83"/>
        <v/>
      </c>
    </row>
    <row r="2686" spans="7:11" x14ac:dyDescent="0.2">
      <c r="G2686" s="44"/>
      <c r="J2686" t="str">
        <f t="shared" si="82"/>
        <v/>
      </c>
      <c r="K2686" t="str">
        <f t="shared" si="83"/>
        <v/>
      </c>
    </row>
    <row r="2687" spans="7:11" x14ac:dyDescent="0.2">
      <c r="G2687" s="44"/>
      <c r="J2687" t="str">
        <f t="shared" si="82"/>
        <v/>
      </c>
      <c r="K2687" t="str">
        <f t="shared" si="83"/>
        <v/>
      </c>
    </row>
    <row r="2688" spans="7:11" x14ac:dyDescent="0.2">
      <c r="G2688" s="44"/>
      <c r="J2688" t="str">
        <f t="shared" si="82"/>
        <v/>
      </c>
      <c r="K2688" t="str">
        <f t="shared" si="83"/>
        <v/>
      </c>
    </row>
    <row r="2689" spans="7:11" x14ac:dyDescent="0.2">
      <c r="G2689" s="44"/>
      <c r="J2689" t="str">
        <f t="shared" si="82"/>
        <v/>
      </c>
      <c r="K2689" t="str">
        <f t="shared" si="83"/>
        <v/>
      </c>
    </row>
    <row r="2690" spans="7:11" x14ac:dyDescent="0.2">
      <c r="G2690" s="44"/>
      <c r="J2690" t="str">
        <f t="shared" ref="J2690:J2753" si="84">IF(E2690="","",IF(OR(E2690=50,E2690=51),"Iltindhold",IF(E2690=75,"Carbon,org,NVOC",IF(OR(E2690=343,E2690=1167),"Svovlbrinte",IF(OR(E2690=240,E2690=241,E2690=242),"Amm",IF(E2690=244,"Nitrit",IF(E2690=247,"Nitrat",IF(E2690=334,"Sulfat",IF(E2690=262,"Phosphor, total-P",F2690)))))))))</f>
        <v/>
      </c>
      <c r="K2690" t="str">
        <f t="shared" ref="K2690:K2753" si="85">IF(A2690="","",IF(H2690="!",NA(),IF(H2690="A",I2690*0.5,IF(H2690="&lt;",I2690*0.5,I2690))))</f>
        <v/>
      </c>
    </row>
    <row r="2691" spans="7:11" x14ac:dyDescent="0.2">
      <c r="G2691" s="44"/>
      <c r="J2691" t="str">
        <f t="shared" si="84"/>
        <v/>
      </c>
      <c r="K2691" t="str">
        <f t="shared" si="85"/>
        <v/>
      </c>
    </row>
    <row r="2692" spans="7:11" x14ac:dyDescent="0.2">
      <c r="G2692" s="44"/>
      <c r="J2692" t="str">
        <f t="shared" si="84"/>
        <v/>
      </c>
      <c r="K2692" t="str">
        <f t="shared" si="85"/>
        <v/>
      </c>
    </row>
    <row r="2693" spans="7:11" x14ac:dyDescent="0.2">
      <c r="G2693" s="44"/>
      <c r="J2693" t="str">
        <f t="shared" si="84"/>
        <v/>
      </c>
      <c r="K2693" t="str">
        <f t="shared" si="85"/>
        <v/>
      </c>
    </row>
    <row r="2694" spans="7:11" x14ac:dyDescent="0.2">
      <c r="G2694" s="44"/>
      <c r="J2694" t="str">
        <f t="shared" si="84"/>
        <v/>
      </c>
      <c r="K2694" t="str">
        <f t="shared" si="85"/>
        <v/>
      </c>
    </row>
    <row r="2695" spans="7:11" x14ac:dyDescent="0.2">
      <c r="G2695" s="44"/>
      <c r="J2695" t="str">
        <f t="shared" si="84"/>
        <v/>
      </c>
      <c r="K2695" t="str">
        <f t="shared" si="85"/>
        <v/>
      </c>
    </row>
    <row r="2696" spans="7:11" x14ac:dyDescent="0.2">
      <c r="G2696" s="44"/>
      <c r="J2696" t="str">
        <f t="shared" si="84"/>
        <v/>
      </c>
      <c r="K2696" t="str">
        <f t="shared" si="85"/>
        <v/>
      </c>
    </row>
    <row r="2697" spans="7:11" x14ac:dyDescent="0.2">
      <c r="G2697" s="44"/>
      <c r="J2697" t="str">
        <f t="shared" si="84"/>
        <v/>
      </c>
      <c r="K2697" t="str">
        <f t="shared" si="85"/>
        <v/>
      </c>
    </row>
    <row r="2698" spans="7:11" x14ac:dyDescent="0.2">
      <c r="G2698" s="44"/>
      <c r="J2698" t="str">
        <f t="shared" si="84"/>
        <v/>
      </c>
      <c r="K2698" t="str">
        <f t="shared" si="85"/>
        <v/>
      </c>
    </row>
    <row r="2699" spans="7:11" x14ac:dyDescent="0.2">
      <c r="G2699" s="44"/>
      <c r="J2699" t="str">
        <f t="shared" si="84"/>
        <v/>
      </c>
      <c r="K2699" t="str">
        <f t="shared" si="85"/>
        <v/>
      </c>
    </row>
    <row r="2700" spans="7:11" x14ac:dyDescent="0.2">
      <c r="G2700" s="44"/>
      <c r="J2700" t="str">
        <f t="shared" si="84"/>
        <v/>
      </c>
      <c r="K2700" t="str">
        <f t="shared" si="85"/>
        <v/>
      </c>
    </row>
    <row r="2701" spans="7:11" x14ac:dyDescent="0.2">
      <c r="G2701" s="44"/>
      <c r="J2701" t="str">
        <f t="shared" si="84"/>
        <v/>
      </c>
      <c r="K2701" t="str">
        <f t="shared" si="85"/>
        <v/>
      </c>
    </row>
    <row r="2702" spans="7:11" x14ac:dyDescent="0.2">
      <c r="G2702" s="44"/>
      <c r="J2702" t="str">
        <f t="shared" si="84"/>
        <v/>
      </c>
      <c r="K2702" t="str">
        <f t="shared" si="85"/>
        <v/>
      </c>
    </row>
    <row r="2703" spans="7:11" x14ac:dyDescent="0.2">
      <c r="G2703" s="44"/>
      <c r="J2703" t="str">
        <f t="shared" si="84"/>
        <v/>
      </c>
      <c r="K2703" t="str">
        <f t="shared" si="85"/>
        <v/>
      </c>
    </row>
    <row r="2704" spans="7:11" x14ac:dyDescent="0.2">
      <c r="G2704" s="44"/>
      <c r="J2704" t="str">
        <f t="shared" si="84"/>
        <v/>
      </c>
      <c r="K2704" t="str">
        <f t="shared" si="85"/>
        <v/>
      </c>
    </row>
    <row r="2705" spans="7:11" x14ac:dyDescent="0.2">
      <c r="G2705" s="44"/>
      <c r="J2705" t="str">
        <f t="shared" si="84"/>
        <v/>
      </c>
      <c r="K2705" t="str">
        <f t="shared" si="85"/>
        <v/>
      </c>
    </row>
    <row r="2706" spans="7:11" x14ac:dyDescent="0.2">
      <c r="G2706" s="44"/>
      <c r="J2706" t="str">
        <f t="shared" si="84"/>
        <v/>
      </c>
      <c r="K2706" t="str">
        <f t="shared" si="85"/>
        <v/>
      </c>
    </row>
    <row r="2707" spans="7:11" x14ac:dyDescent="0.2">
      <c r="G2707" s="44"/>
      <c r="J2707" t="str">
        <f t="shared" si="84"/>
        <v/>
      </c>
      <c r="K2707" t="str">
        <f t="shared" si="85"/>
        <v/>
      </c>
    </row>
    <row r="2708" spans="7:11" x14ac:dyDescent="0.2">
      <c r="G2708" s="44"/>
      <c r="J2708" t="str">
        <f t="shared" si="84"/>
        <v/>
      </c>
      <c r="K2708" t="str">
        <f t="shared" si="85"/>
        <v/>
      </c>
    </row>
    <row r="2709" spans="7:11" x14ac:dyDescent="0.2">
      <c r="G2709" s="44"/>
      <c r="J2709" t="str">
        <f t="shared" si="84"/>
        <v/>
      </c>
      <c r="K2709" t="str">
        <f t="shared" si="85"/>
        <v/>
      </c>
    </row>
    <row r="2710" spans="7:11" x14ac:dyDescent="0.2">
      <c r="G2710" s="44"/>
      <c r="J2710" t="str">
        <f t="shared" si="84"/>
        <v/>
      </c>
      <c r="K2710" t="str">
        <f t="shared" si="85"/>
        <v/>
      </c>
    </row>
    <row r="2711" spans="7:11" x14ac:dyDescent="0.2">
      <c r="G2711" s="44"/>
      <c r="J2711" t="str">
        <f t="shared" si="84"/>
        <v/>
      </c>
      <c r="K2711" t="str">
        <f t="shared" si="85"/>
        <v/>
      </c>
    </row>
    <row r="2712" spans="7:11" x14ac:dyDescent="0.2">
      <c r="G2712" s="44"/>
      <c r="J2712" t="str">
        <f t="shared" si="84"/>
        <v/>
      </c>
      <c r="K2712" t="str">
        <f t="shared" si="85"/>
        <v/>
      </c>
    </row>
    <row r="2713" spans="7:11" x14ac:dyDescent="0.2">
      <c r="G2713" s="44"/>
      <c r="J2713" t="str">
        <f t="shared" si="84"/>
        <v/>
      </c>
      <c r="K2713" t="str">
        <f t="shared" si="85"/>
        <v/>
      </c>
    </row>
    <row r="2714" spans="7:11" x14ac:dyDescent="0.2">
      <c r="G2714" s="44"/>
      <c r="J2714" t="str">
        <f t="shared" si="84"/>
        <v/>
      </c>
      <c r="K2714" t="str">
        <f t="shared" si="85"/>
        <v/>
      </c>
    </row>
    <row r="2715" spans="7:11" x14ac:dyDescent="0.2">
      <c r="G2715" s="44"/>
      <c r="J2715" t="str">
        <f t="shared" si="84"/>
        <v/>
      </c>
      <c r="K2715" t="str">
        <f t="shared" si="85"/>
        <v/>
      </c>
    </row>
    <row r="2716" spans="7:11" x14ac:dyDescent="0.2">
      <c r="G2716" s="44"/>
      <c r="J2716" t="str">
        <f t="shared" si="84"/>
        <v/>
      </c>
      <c r="K2716" t="str">
        <f t="shared" si="85"/>
        <v/>
      </c>
    </row>
    <row r="2717" spans="7:11" x14ac:dyDescent="0.2">
      <c r="G2717" s="44"/>
      <c r="J2717" t="str">
        <f t="shared" si="84"/>
        <v/>
      </c>
      <c r="K2717" t="str">
        <f t="shared" si="85"/>
        <v/>
      </c>
    </row>
    <row r="2718" spans="7:11" x14ac:dyDescent="0.2">
      <c r="G2718" s="44"/>
      <c r="J2718" t="str">
        <f t="shared" si="84"/>
        <v/>
      </c>
      <c r="K2718" t="str">
        <f t="shared" si="85"/>
        <v/>
      </c>
    </row>
    <row r="2719" spans="7:11" x14ac:dyDescent="0.2">
      <c r="G2719" s="44"/>
      <c r="J2719" t="str">
        <f t="shared" si="84"/>
        <v/>
      </c>
      <c r="K2719" t="str">
        <f t="shared" si="85"/>
        <v/>
      </c>
    </row>
    <row r="2720" spans="7:11" x14ac:dyDescent="0.2">
      <c r="G2720" s="44"/>
      <c r="J2720" t="str">
        <f t="shared" si="84"/>
        <v/>
      </c>
      <c r="K2720" t="str">
        <f t="shared" si="85"/>
        <v/>
      </c>
    </row>
    <row r="2721" spans="7:11" x14ac:dyDescent="0.2">
      <c r="G2721" s="44"/>
      <c r="J2721" t="str">
        <f t="shared" si="84"/>
        <v/>
      </c>
      <c r="K2721" t="str">
        <f t="shared" si="85"/>
        <v/>
      </c>
    </row>
    <row r="2722" spans="7:11" x14ac:dyDescent="0.2">
      <c r="G2722" s="44"/>
      <c r="J2722" t="str">
        <f t="shared" si="84"/>
        <v/>
      </c>
      <c r="K2722" t="str">
        <f t="shared" si="85"/>
        <v/>
      </c>
    </row>
    <row r="2723" spans="7:11" x14ac:dyDescent="0.2">
      <c r="G2723" s="44"/>
      <c r="J2723" t="str">
        <f t="shared" si="84"/>
        <v/>
      </c>
      <c r="K2723" t="str">
        <f t="shared" si="85"/>
        <v/>
      </c>
    </row>
    <row r="2724" spans="7:11" x14ac:dyDescent="0.2">
      <c r="G2724" s="44"/>
      <c r="J2724" t="str">
        <f t="shared" si="84"/>
        <v/>
      </c>
      <c r="K2724" t="str">
        <f t="shared" si="85"/>
        <v/>
      </c>
    </row>
    <row r="2725" spans="7:11" x14ac:dyDescent="0.2">
      <c r="G2725" s="44"/>
      <c r="J2725" t="str">
        <f t="shared" si="84"/>
        <v/>
      </c>
      <c r="K2725" t="str">
        <f t="shared" si="85"/>
        <v/>
      </c>
    </row>
    <row r="2726" spans="7:11" x14ac:dyDescent="0.2">
      <c r="G2726" s="44"/>
      <c r="J2726" t="str">
        <f t="shared" si="84"/>
        <v/>
      </c>
      <c r="K2726" t="str">
        <f t="shared" si="85"/>
        <v/>
      </c>
    </row>
    <row r="2727" spans="7:11" x14ac:dyDescent="0.2">
      <c r="G2727" s="44"/>
      <c r="J2727" t="str">
        <f t="shared" si="84"/>
        <v/>
      </c>
      <c r="K2727" t="str">
        <f t="shared" si="85"/>
        <v/>
      </c>
    </row>
    <row r="2728" spans="7:11" x14ac:dyDescent="0.2">
      <c r="G2728" s="44"/>
      <c r="J2728" t="str">
        <f t="shared" si="84"/>
        <v/>
      </c>
      <c r="K2728" t="str">
        <f t="shared" si="85"/>
        <v/>
      </c>
    </row>
    <row r="2729" spans="7:11" x14ac:dyDescent="0.2">
      <c r="G2729" s="44"/>
      <c r="J2729" t="str">
        <f t="shared" si="84"/>
        <v/>
      </c>
      <c r="K2729" t="str">
        <f t="shared" si="85"/>
        <v/>
      </c>
    </row>
    <row r="2730" spans="7:11" x14ac:dyDescent="0.2">
      <c r="G2730" s="44"/>
      <c r="J2730" t="str">
        <f t="shared" si="84"/>
        <v/>
      </c>
      <c r="K2730" t="str">
        <f t="shared" si="85"/>
        <v/>
      </c>
    </row>
    <row r="2731" spans="7:11" x14ac:dyDescent="0.2">
      <c r="G2731" s="44"/>
      <c r="J2731" t="str">
        <f t="shared" si="84"/>
        <v/>
      </c>
      <c r="K2731" t="str">
        <f t="shared" si="85"/>
        <v/>
      </c>
    </row>
    <row r="2732" spans="7:11" x14ac:dyDescent="0.2">
      <c r="G2732" s="44"/>
      <c r="J2732" t="str">
        <f t="shared" si="84"/>
        <v/>
      </c>
      <c r="K2732" t="str">
        <f t="shared" si="85"/>
        <v/>
      </c>
    </row>
    <row r="2733" spans="7:11" x14ac:dyDescent="0.2">
      <c r="G2733" s="44"/>
      <c r="J2733" t="str">
        <f t="shared" si="84"/>
        <v/>
      </c>
      <c r="K2733" t="str">
        <f t="shared" si="85"/>
        <v/>
      </c>
    </row>
    <row r="2734" spans="7:11" x14ac:dyDescent="0.2">
      <c r="G2734" s="44"/>
      <c r="J2734" t="str">
        <f t="shared" si="84"/>
        <v/>
      </c>
      <c r="K2734" t="str">
        <f t="shared" si="85"/>
        <v/>
      </c>
    </row>
    <row r="2735" spans="7:11" x14ac:dyDescent="0.2">
      <c r="G2735" s="44"/>
      <c r="J2735" t="str">
        <f t="shared" si="84"/>
        <v/>
      </c>
      <c r="K2735" t="str">
        <f t="shared" si="85"/>
        <v/>
      </c>
    </row>
    <row r="2736" spans="7:11" x14ac:dyDescent="0.2">
      <c r="G2736" s="44"/>
      <c r="J2736" t="str">
        <f t="shared" si="84"/>
        <v/>
      </c>
      <c r="K2736" t="str">
        <f t="shared" si="85"/>
        <v/>
      </c>
    </row>
    <row r="2737" spans="7:11" x14ac:dyDescent="0.2">
      <c r="G2737" s="44"/>
      <c r="J2737" t="str">
        <f t="shared" si="84"/>
        <v/>
      </c>
      <c r="K2737" t="str">
        <f t="shared" si="85"/>
        <v/>
      </c>
    </row>
    <row r="2738" spans="7:11" x14ac:dyDescent="0.2">
      <c r="G2738" s="44"/>
      <c r="J2738" t="str">
        <f t="shared" si="84"/>
        <v/>
      </c>
      <c r="K2738" t="str">
        <f t="shared" si="85"/>
        <v/>
      </c>
    </row>
    <row r="2739" spans="7:11" x14ac:dyDescent="0.2">
      <c r="G2739" s="44"/>
      <c r="J2739" t="str">
        <f t="shared" si="84"/>
        <v/>
      </c>
      <c r="K2739" t="str">
        <f t="shared" si="85"/>
        <v/>
      </c>
    </row>
    <row r="2740" spans="7:11" x14ac:dyDescent="0.2">
      <c r="G2740" s="44"/>
      <c r="J2740" t="str">
        <f t="shared" si="84"/>
        <v/>
      </c>
      <c r="K2740" t="str">
        <f t="shared" si="85"/>
        <v/>
      </c>
    </row>
    <row r="2741" spans="7:11" x14ac:dyDescent="0.2">
      <c r="G2741" s="44"/>
      <c r="J2741" t="str">
        <f t="shared" si="84"/>
        <v/>
      </c>
      <c r="K2741" t="str">
        <f t="shared" si="85"/>
        <v/>
      </c>
    </row>
    <row r="2742" spans="7:11" x14ac:dyDescent="0.2">
      <c r="G2742" s="44"/>
      <c r="J2742" t="str">
        <f t="shared" si="84"/>
        <v/>
      </c>
      <c r="K2742" t="str">
        <f t="shared" si="85"/>
        <v/>
      </c>
    </row>
    <row r="2743" spans="7:11" x14ac:dyDescent="0.2">
      <c r="G2743" s="44"/>
      <c r="J2743" t="str">
        <f t="shared" si="84"/>
        <v/>
      </c>
      <c r="K2743" t="str">
        <f t="shared" si="85"/>
        <v/>
      </c>
    </row>
    <row r="2744" spans="7:11" x14ac:dyDescent="0.2">
      <c r="G2744" s="44"/>
      <c r="J2744" t="str">
        <f t="shared" si="84"/>
        <v/>
      </c>
      <c r="K2744" t="str">
        <f t="shared" si="85"/>
        <v/>
      </c>
    </row>
    <row r="2745" spans="7:11" x14ac:dyDescent="0.2">
      <c r="G2745" s="44"/>
      <c r="J2745" t="str">
        <f t="shared" si="84"/>
        <v/>
      </c>
      <c r="K2745" t="str">
        <f t="shared" si="85"/>
        <v/>
      </c>
    </row>
    <row r="2746" spans="7:11" x14ac:dyDescent="0.2">
      <c r="G2746" s="44"/>
      <c r="J2746" t="str">
        <f t="shared" si="84"/>
        <v/>
      </c>
      <c r="K2746" t="str">
        <f t="shared" si="85"/>
        <v/>
      </c>
    </row>
    <row r="2747" spans="7:11" x14ac:dyDescent="0.2">
      <c r="G2747" s="44"/>
      <c r="J2747" t="str">
        <f t="shared" si="84"/>
        <v/>
      </c>
      <c r="K2747" t="str">
        <f t="shared" si="85"/>
        <v/>
      </c>
    </row>
    <row r="2748" spans="7:11" x14ac:dyDescent="0.2">
      <c r="G2748" s="44"/>
      <c r="J2748" t="str">
        <f t="shared" si="84"/>
        <v/>
      </c>
      <c r="K2748" t="str">
        <f t="shared" si="85"/>
        <v/>
      </c>
    </row>
    <row r="2749" spans="7:11" x14ac:dyDescent="0.2">
      <c r="G2749" s="44"/>
      <c r="J2749" t="str">
        <f t="shared" si="84"/>
        <v/>
      </c>
      <c r="K2749" t="str">
        <f t="shared" si="85"/>
        <v/>
      </c>
    </row>
    <row r="2750" spans="7:11" x14ac:dyDescent="0.2">
      <c r="G2750" s="44"/>
      <c r="J2750" t="str">
        <f t="shared" si="84"/>
        <v/>
      </c>
      <c r="K2750" t="str">
        <f t="shared" si="85"/>
        <v/>
      </c>
    </row>
    <row r="2751" spans="7:11" x14ac:dyDescent="0.2">
      <c r="G2751" s="44"/>
      <c r="J2751" t="str">
        <f t="shared" si="84"/>
        <v/>
      </c>
      <c r="K2751" t="str">
        <f t="shared" si="85"/>
        <v/>
      </c>
    </row>
    <row r="2752" spans="7:11" x14ac:dyDescent="0.2">
      <c r="G2752" s="44"/>
      <c r="J2752" t="str">
        <f t="shared" si="84"/>
        <v/>
      </c>
      <c r="K2752" t="str">
        <f t="shared" si="85"/>
        <v/>
      </c>
    </row>
    <row r="2753" spans="7:11" x14ac:dyDescent="0.2">
      <c r="G2753" s="44"/>
      <c r="J2753" t="str">
        <f t="shared" si="84"/>
        <v/>
      </c>
      <c r="K2753" t="str">
        <f t="shared" si="85"/>
        <v/>
      </c>
    </row>
    <row r="2754" spans="7:11" x14ac:dyDescent="0.2">
      <c r="G2754" s="44"/>
      <c r="J2754" t="str">
        <f t="shared" ref="J2754:J2817" si="86">IF(E2754="","",IF(OR(E2754=50,E2754=51),"Iltindhold",IF(E2754=75,"Carbon,org,NVOC",IF(OR(E2754=343,E2754=1167),"Svovlbrinte",IF(OR(E2754=240,E2754=241,E2754=242),"Amm",IF(E2754=244,"Nitrit",IF(E2754=247,"Nitrat",IF(E2754=334,"Sulfat",IF(E2754=262,"Phosphor, total-P",F2754)))))))))</f>
        <v/>
      </c>
      <c r="K2754" t="str">
        <f t="shared" ref="K2754:K2817" si="87">IF(A2754="","",IF(H2754="!",NA(),IF(H2754="A",I2754*0.5,IF(H2754="&lt;",I2754*0.5,I2754))))</f>
        <v/>
      </c>
    </row>
    <row r="2755" spans="7:11" x14ac:dyDescent="0.2">
      <c r="G2755" s="44"/>
      <c r="J2755" t="str">
        <f t="shared" si="86"/>
        <v/>
      </c>
      <c r="K2755" t="str">
        <f t="shared" si="87"/>
        <v/>
      </c>
    </row>
    <row r="2756" spans="7:11" x14ac:dyDescent="0.2">
      <c r="G2756" s="44"/>
      <c r="J2756" t="str">
        <f t="shared" si="86"/>
        <v/>
      </c>
      <c r="K2756" t="str">
        <f t="shared" si="87"/>
        <v/>
      </c>
    </row>
    <row r="2757" spans="7:11" x14ac:dyDescent="0.2">
      <c r="G2757" s="44"/>
      <c r="J2757" t="str">
        <f t="shared" si="86"/>
        <v/>
      </c>
      <c r="K2757" t="str">
        <f t="shared" si="87"/>
        <v/>
      </c>
    </row>
    <row r="2758" spans="7:11" x14ac:dyDescent="0.2">
      <c r="G2758" s="44"/>
      <c r="J2758" t="str">
        <f t="shared" si="86"/>
        <v/>
      </c>
      <c r="K2758" t="str">
        <f t="shared" si="87"/>
        <v/>
      </c>
    </row>
    <row r="2759" spans="7:11" x14ac:dyDescent="0.2">
      <c r="G2759" s="44"/>
      <c r="J2759" t="str">
        <f t="shared" si="86"/>
        <v/>
      </c>
      <c r="K2759" t="str">
        <f t="shared" si="87"/>
        <v/>
      </c>
    </row>
    <row r="2760" spans="7:11" x14ac:dyDescent="0.2">
      <c r="G2760" s="44"/>
      <c r="J2760" t="str">
        <f t="shared" si="86"/>
        <v/>
      </c>
      <c r="K2760" t="str">
        <f t="shared" si="87"/>
        <v/>
      </c>
    </row>
    <row r="2761" spans="7:11" x14ac:dyDescent="0.2">
      <c r="G2761" s="44"/>
      <c r="J2761" t="str">
        <f t="shared" si="86"/>
        <v/>
      </c>
      <c r="K2761" t="str">
        <f t="shared" si="87"/>
        <v/>
      </c>
    </row>
    <row r="2762" spans="7:11" x14ac:dyDescent="0.2">
      <c r="G2762" s="44"/>
      <c r="J2762" t="str">
        <f t="shared" si="86"/>
        <v/>
      </c>
      <c r="K2762" t="str">
        <f t="shared" si="87"/>
        <v/>
      </c>
    </row>
    <row r="2763" spans="7:11" x14ac:dyDescent="0.2">
      <c r="G2763" s="44"/>
      <c r="J2763" t="str">
        <f t="shared" si="86"/>
        <v/>
      </c>
      <c r="K2763" t="str">
        <f t="shared" si="87"/>
        <v/>
      </c>
    </row>
    <row r="2764" spans="7:11" x14ac:dyDescent="0.2">
      <c r="G2764" s="44"/>
      <c r="J2764" t="str">
        <f t="shared" si="86"/>
        <v/>
      </c>
      <c r="K2764" t="str">
        <f t="shared" si="87"/>
        <v/>
      </c>
    </row>
    <row r="2765" spans="7:11" x14ac:dyDescent="0.2">
      <c r="G2765" s="44"/>
      <c r="J2765" t="str">
        <f t="shared" si="86"/>
        <v/>
      </c>
      <c r="K2765" t="str">
        <f t="shared" si="87"/>
        <v/>
      </c>
    </row>
    <row r="2766" spans="7:11" x14ac:dyDescent="0.2">
      <c r="G2766" s="44"/>
      <c r="J2766" t="str">
        <f t="shared" si="86"/>
        <v/>
      </c>
      <c r="K2766" t="str">
        <f t="shared" si="87"/>
        <v/>
      </c>
    </row>
    <row r="2767" spans="7:11" x14ac:dyDescent="0.2">
      <c r="G2767" s="44"/>
      <c r="J2767" t="str">
        <f t="shared" si="86"/>
        <v/>
      </c>
      <c r="K2767" t="str">
        <f t="shared" si="87"/>
        <v/>
      </c>
    </row>
    <row r="2768" spans="7:11" x14ac:dyDescent="0.2">
      <c r="G2768" s="44"/>
      <c r="J2768" t="str">
        <f t="shared" si="86"/>
        <v/>
      </c>
      <c r="K2768" t="str">
        <f t="shared" si="87"/>
        <v/>
      </c>
    </row>
    <row r="2769" spans="7:11" x14ac:dyDescent="0.2">
      <c r="G2769" s="44"/>
      <c r="J2769" t="str">
        <f t="shared" si="86"/>
        <v/>
      </c>
      <c r="K2769" t="str">
        <f t="shared" si="87"/>
        <v/>
      </c>
    </row>
    <row r="2770" spans="7:11" x14ac:dyDescent="0.2">
      <c r="G2770" s="44"/>
      <c r="J2770" t="str">
        <f t="shared" si="86"/>
        <v/>
      </c>
      <c r="K2770" t="str">
        <f t="shared" si="87"/>
        <v/>
      </c>
    </row>
    <row r="2771" spans="7:11" x14ac:dyDescent="0.2">
      <c r="G2771" s="44"/>
      <c r="J2771" t="str">
        <f t="shared" si="86"/>
        <v/>
      </c>
      <c r="K2771" t="str">
        <f t="shared" si="87"/>
        <v/>
      </c>
    </row>
    <row r="2772" spans="7:11" x14ac:dyDescent="0.2">
      <c r="G2772" s="44"/>
      <c r="J2772" t="str">
        <f t="shared" si="86"/>
        <v/>
      </c>
      <c r="K2772" t="str">
        <f t="shared" si="87"/>
        <v/>
      </c>
    </row>
    <row r="2773" spans="7:11" x14ac:dyDescent="0.2">
      <c r="G2773" s="44"/>
      <c r="J2773" t="str">
        <f t="shared" si="86"/>
        <v/>
      </c>
      <c r="K2773" t="str">
        <f t="shared" si="87"/>
        <v/>
      </c>
    </row>
    <row r="2774" spans="7:11" x14ac:dyDescent="0.2">
      <c r="G2774" s="44"/>
      <c r="J2774" t="str">
        <f t="shared" si="86"/>
        <v/>
      </c>
      <c r="K2774" t="str">
        <f t="shared" si="87"/>
        <v/>
      </c>
    </row>
    <row r="2775" spans="7:11" x14ac:dyDescent="0.2">
      <c r="G2775" s="44"/>
      <c r="J2775" t="str">
        <f t="shared" si="86"/>
        <v/>
      </c>
      <c r="K2775" t="str">
        <f t="shared" si="87"/>
        <v/>
      </c>
    </row>
    <row r="2776" spans="7:11" x14ac:dyDescent="0.2">
      <c r="G2776" s="44"/>
      <c r="J2776" t="str">
        <f t="shared" si="86"/>
        <v/>
      </c>
      <c r="K2776" t="str">
        <f t="shared" si="87"/>
        <v/>
      </c>
    </row>
    <row r="2777" spans="7:11" x14ac:dyDescent="0.2">
      <c r="G2777" s="44"/>
      <c r="J2777" t="str">
        <f t="shared" si="86"/>
        <v/>
      </c>
      <c r="K2777" t="str">
        <f t="shared" si="87"/>
        <v/>
      </c>
    </row>
    <row r="2778" spans="7:11" x14ac:dyDescent="0.2">
      <c r="G2778" s="44"/>
      <c r="J2778" t="str">
        <f t="shared" si="86"/>
        <v/>
      </c>
      <c r="K2778" t="str">
        <f t="shared" si="87"/>
        <v/>
      </c>
    </row>
    <row r="2779" spans="7:11" x14ac:dyDescent="0.2">
      <c r="G2779" s="44"/>
      <c r="J2779" t="str">
        <f t="shared" si="86"/>
        <v/>
      </c>
      <c r="K2779" t="str">
        <f t="shared" si="87"/>
        <v/>
      </c>
    </row>
    <row r="2780" spans="7:11" x14ac:dyDescent="0.2">
      <c r="G2780" s="44"/>
      <c r="J2780" t="str">
        <f t="shared" si="86"/>
        <v/>
      </c>
      <c r="K2780" t="str">
        <f t="shared" si="87"/>
        <v/>
      </c>
    </row>
    <row r="2781" spans="7:11" x14ac:dyDescent="0.2">
      <c r="G2781" s="44"/>
      <c r="J2781" t="str">
        <f t="shared" si="86"/>
        <v/>
      </c>
      <c r="K2781" t="str">
        <f t="shared" si="87"/>
        <v/>
      </c>
    </row>
    <row r="2782" spans="7:11" x14ac:dyDescent="0.2">
      <c r="G2782" s="44"/>
      <c r="J2782" t="str">
        <f t="shared" si="86"/>
        <v/>
      </c>
      <c r="K2782" t="str">
        <f t="shared" si="87"/>
        <v/>
      </c>
    </row>
    <row r="2783" spans="7:11" x14ac:dyDescent="0.2">
      <c r="G2783" s="44"/>
      <c r="J2783" t="str">
        <f t="shared" si="86"/>
        <v/>
      </c>
      <c r="K2783" t="str">
        <f t="shared" si="87"/>
        <v/>
      </c>
    </row>
    <row r="2784" spans="7:11" x14ac:dyDescent="0.2">
      <c r="G2784" s="44"/>
      <c r="J2784" t="str">
        <f t="shared" si="86"/>
        <v/>
      </c>
      <c r="K2784" t="str">
        <f t="shared" si="87"/>
        <v/>
      </c>
    </row>
    <row r="2785" spans="7:11" x14ac:dyDescent="0.2">
      <c r="G2785" s="44"/>
      <c r="J2785" t="str">
        <f t="shared" si="86"/>
        <v/>
      </c>
      <c r="K2785" t="str">
        <f t="shared" si="87"/>
        <v/>
      </c>
    </row>
    <row r="2786" spans="7:11" x14ac:dyDescent="0.2">
      <c r="G2786" s="44"/>
      <c r="J2786" t="str">
        <f t="shared" si="86"/>
        <v/>
      </c>
      <c r="K2786" t="str">
        <f t="shared" si="87"/>
        <v/>
      </c>
    </row>
    <row r="2787" spans="7:11" x14ac:dyDescent="0.2">
      <c r="G2787" s="44"/>
      <c r="J2787" t="str">
        <f t="shared" si="86"/>
        <v/>
      </c>
      <c r="K2787" t="str">
        <f t="shared" si="87"/>
        <v/>
      </c>
    </row>
    <row r="2788" spans="7:11" x14ac:dyDescent="0.2">
      <c r="G2788" s="44"/>
      <c r="J2788" t="str">
        <f t="shared" si="86"/>
        <v/>
      </c>
      <c r="K2788" t="str">
        <f t="shared" si="87"/>
        <v/>
      </c>
    </row>
    <row r="2789" spans="7:11" x14ac:dyDescent="0.2">
      <c r="G2789" s="44"/>
      <c r="J2789" t="str">
        <f t="shared" si="86"/>
        <v/>
      </c>
      <c r="K2789" t="str">
        <f t="shared" si="87"/>
        <v/>
      </c>
    </row>
    <row r="2790" spans="7:11" x14ac:dyDescent="0.2">
      <c r="G2790" s="44"/>
      <c r="J2790" t="str">
        <f t="shared" si="86"/>
        <v/>
      </c>
      <c r="K2790" t="str">
        <f t="shared" si="87"/>
        <v/>
      </c>
    </row>
    <row r="2791" spans="7:11" x14ac:dyDescent="0.2">
      <c r="G2791" s="44"/>
      <c r="J2791" t="str">
        <f t="shared" si="86"/>
        <v/>
      </c>
      <c r="K2791" t="str">
        <f t="shared" si="87"/>
        <v/>
      </c>
    </row>
    <row r="2792" spans="7:11" x14ac:dyDescent="0.2">
      <c r="G2792" s="44"/>
      <c r="J2792" t="str">
        <f t="shared" si="86"/>
        <v/>
      </c>
      <c r="K2792" t="str">
        <f t="shared" si="87"/>
        <v/>
      </c>
    </row>
    <row r="2793" spans="7:11" x14ac:dyDescent="0.2">
      <c r="G2793" s="44"/>
      <c r="J2793" t="str">
        <f t="shared" si="86"/>
        <v/>
      </c>
      <c r="K2793" t="str">
        <f t="shared" si="87"/>
        <v/>
      </c>
    </row>
    <row r="2794" spans="7:11" x14ac:dyDescent="0.2">
      <c r="G2794" s="44"/>
      <c r="J2794" t="str">
        <f t="shared" si="86"/>
        <v/>
      </c>
      <c r="K2794" t="str">
        <f t="shared" si="87"/>
        <v/>
      </c>
    </row>
    <row r="2795" spans="7:11" x14ac:dyDescent="0.2">
      <c r="G2795" s="44"/>
      <c r="J2795" t="str">
        <f t="shared" si="86"/>
        <v/>
      </c>
      <c r="K2795" t="str">
        <f t="shared" si="87"/>
        <v/>
      </c>
    </row>
    <row r="2796" spans="7:11" x14ac:dyDescent="0.2">
      <c r="G2796" s="44"/>
      <c r="J2796" t="str">
        <f t="shared" si="86"/>
        <v/>
      </c>
      <c r="K2796" t="str">
        <f t="shared" si="87"/>
        <v/>
      </c>
    </row>
    <row r="2797" spans="7:11" x14ac:dyDescent="0.2">
      <c r="G2797" s="44"/>
      <c r="J2797" t="str">
        <f t="shared" si="86"/>
        <v/>
      </c>
      <c r="K2797" t="str">
        <f t="shared" si="87"/>
        <v/>
      </c>
    </row>
    <row r="2798" spans="7:11" x14ac:dyDescent="0.2">
      <c r="G2798" s="44"/>
      <c r="J2798" t="str">
        <f t="shared" si="86"/>
        <v/>
      </c>
      <c r="K2798" t="str">
        <f t="shared" si="87"/>
        <v/>
      </c>
    </row>
    <row r="2799" spans="7:11" x14ac:dyDescent="0.2">
      <c r="G2799" s="44"/>
      <c r="J2799" t="str">
        <f t="shared" si="86"/>
        <v/>
      </c>
      <c r="K2799" t="str">
        <f t="shared" si="87"/>
        <v/>
      </c>
    </row>
    <row r="2800" spans="7:11" x14ac:dyDescent="0.2">
      <c r="G2800" s="44"/>
      <c r="J2800" t="str">
        <f t="shared" si="86"/>
        <v/>
      </c>
      <c r="K2800" t="str">
        <f t="shared" si="87"/>
        <v/>
      </c>
    </row>
    <row r="2801" spans="7:11" x14ac:dyDescent="0.2">
      <c r="G2801" s="44"/>
      <c r="J2801" t="str">
        <f t="shared" si="86"/>
        <v/>
      </c>
      <c r="K2801" t="str">
        <f t="shared" si="87"/>
        <v/>
      </c>
    </row>
    <row r="2802" spans="7:11" x14ac:dyDescent="0.2">
      <c r="G2802" s="44"/>
      <c r="J2802" t="str">
        <f t="shared" si="86"/>
        <v/>
      </c>
      <c r="K2802" t="str">
        <f t="shared" si="87"/>
        <v/>
      </c>
    </row>
    <row r="2803" spans="7:11" x14ac:dyDescent="0.2">
      <c r="G2803" s="44"/>
      <c r="J2803" t="str">
        <f t="shared" si="86"/>
        <v/>
      </c>
      <c r="K2803" t="str">
        <f t="shared" si="87"/>
        <v/>
      </c>
    </row>
    <row r="2804" spans="7:11" x14ac:dyDescent="0.2">
      <c r="G2804" s="44"/>
      <c r="J2804" t="str">
        <f t="shared" si="86"/>
        <v/>
      </c>
      <c r="K2804" t="str">
        <f t="shared" si="87"/>
        <v/>
      </c>
    </row>
    <row r="2805" spans="7:11" x14ac:dyDescent="0.2">
      <c r="G2805" s="44"/>
      <c r="J2805" t="str">
        <f t="shared" si="86"/>
        <v/>
      </c>
      <c r="K2805" t="str">
        <f t="shared" si="87"/>
        <v/>
      </c>
    </row>
    <row r="2806" spans="7:11" x14ac:dyDescent="0.2">
      <c r="G2806" s="44"/>
      <c r="J2806" t="str">
        <f t="shared" si="86"/>
        <v/>
      </c>
      <c r="K2806" t="str">
        <f t="shared" si="87"/>
        <v/>
      </c>
    </row>
    <row r="2807" spans="7:11" x14ac:dyDescent="0.2">
      <c r="G2807" s="44"/>
      <c r="J2807" t="str">
        <f t="shared" si="86"/>
        <v/>
      </c>
      <c r="K2807" t="str">
        <f t="shared" si="87"/>
        <v/>
      </c>
    </row>
    <row r="2808" spans="7:11" x14ac:dyDescent="0.2">
      <c r="G2808" s="44"/>
      <c r="J2808" t="str">
        <f t="shared" si="86"/>
        <v/>
      </c>
      <c r="K2808" t="str">
        <f t="shared" si="87"/>
        <v/>
      </c>
    </row>
    <row r="2809" spans="7:11" x14ac:dyDescent="0.2">
      <c r="G2809" s="44"/>
      <c r="J2809" t="str">
        <f t="shared" si="86"/>
        <v/>
      </c>
      <c r="K2809" t="str">
        <f t="shared" si="87"/>
        <v/>
      </c>
    </row>
    <row r="2810" spans="7:11" x14ac:dyDescent="0.2">
      <c r="G2810" s="44"/>
      <c r="J2810" t="str">
        <f t="shared" si="86"/>
        <v/>
      </c>
      <c r="K2810" t="str">
        <f t="shared" si="87"/>
        <v/>
      </c>
    </row>
    <row r="2811" spans="7:11" x14ac:dyDescent="0.2">
      <c r="G2811" s="44"/>
      <c r="J2811" t="str">
        <f t="shared" si="86"/>
        <v/>
      </c>
      <c r="K2811" t="str">
        <f t="shared" si="87"/>
        <v/>
      </c>
    </row>
    <row r="2812" spans="7:11" x14ac:dyDescent="0.2">
      <c r="G2812" s="44"/>
      <c r="J2812" t="str">
        <f t="shared" si="86"/>
        <v/>
      </c>
      <c r="K2812" t="str">
        <f t="shared" si="87"/>
        <v/>
      </c>
    </row>
    <row r="2813" spans="7:11" x14ac:dyDescent="0.2">
      <c r="G2813" s="44"/>
      <c r="J2813" t="str">
        <f t="shared" si="86"/>
        <v/>
      </c>
      <c r="K2813" t="str">
        <f t="shared" si="87"/>
        <v/>
      </c>
    </row>
    <row r="2814" spans="7:11" x14ac:dyDescent="0.2">
      <c r="G2814" s="44"/>
      <c r="J2814" t="str">
        <f t="shared" si="86"/>
        <v/>
      </c>
      <c r="K2814" t="str">
        <f t="shared" si="87"/>
        <v/>
      </c>
    </row>
    <row r="2815" spans="7:11" x14ac:dyDescent="0.2">
      <c r="G2815" s="44"/>
      <c r="J2815" t="str">
        <f t="shared" si="86"/>
        <v/>
      </c>
      <c r="K2815" t="str">
        <f t="shared" si="87"/>
        <v/>
      </c>
    </row>
    <row r="2816" spans="7:11" x14ac:dyDescent="0.2">
      <c r="G2816" s="44"/>
      <c r="J2816" t="str">
        <f t="shared" si="86"/>
        <v/>
      </c>
      <c r="K2816" t="str">
        <f t="shared" si="87"/>
        <v/>
      </c>
    </row>
    <row r="2817" spans="7:11" x14ac:dyDescent="0.2">
      <c r="G2817" s="44"/>
      <c r="J2817" t="str">
        <f t="shared" si="86"/>
        <v/>
      </c>
      <c r="K2817" t="str">
        <f t="shared" si="87"/>
        <v/>
      </c>
    </row>
    <row r="2818" spans="7:11" x14ac:dyDescent="0.2">
      <c r="G2818" s="44"/>
      <c r="J2818" t="str">
        <f t="shared" ref="J2818:J2881" si="88">IF(E2818="","",IF(OR(E2818=50,E2818=51),"Iltindhold",IF(E2818=75,"Carbon,org,NVOC",IF(OR(E2818=343,E2818=1167),"Svovlbrinte",IF(OR(E2818=240,E2818=241,E2818=242),"Amm",IF(E2818=244,"Nitrit",IF(E2818=247,"Nitrat",IF(E2818=334,"Sulfat",IF(E2818=262,"Phosphor, total-P",F2818)))))))))</f>
        <v/>
      </c>
      <c r="K2818" t="str">
        <f t="shared" ref="K2818:K2881" si="89">IF(A2818="","",IF(H2818="!",NA(),IF(H2818="A",I2818*0.5,IF(H2818="&lt;",I2818*0.5,I2818))))</f>
        <v/>
      </c>
    </row>
    <row r="2819" spans="7:11" x14ac:dyDescent="0.2">
      <c r="G2819" s="44"/>
      <c r="J2819" t="str">
        <f t="shared" si="88"/>
        <v/>
      </c>
      <c r="K2819" t="str">
        <f t="shared" si="89"/>
        <v/>
      </c>
    </row>
    <row r="2820" spans="7:11" x14ac:dyDescent="0.2">
      <c r="G2820" s="44"/>
      <c r="J2820" t="str">
        <f t="shared" si="88"/>
        <v/>
      </c>
      <c r="K2820" t="str">
        <f t="shared" si="89"/>
        <v/>
      </c>
    </row>
    <row r="2821" spans="7:11" x14ac:dyDescent="0.2">
      <c r="G2821" s="44"/>
      <c r="J2821" t="str">
        <f t="shared" si="88"/>
        <v/>
      </c>
      <c r="K2821" t="str">
        <f t="shared" si="89"/>
        <v/>
      </c>
    </row>
    <row r="2822" spans="7:11" x14ac:dyDescent="0.2">
      <c r="G2822" s="44"/>
      <c r="J2822" t="str">
        <f t="shared" si="88"/>
        <v/>
      </c>
      <c r="K2822" t="str">
        <f t="shared" si="89"/>
        <v/>
      </c>
    </row>
    <row r="2823" spans="7:11" x14ac:dyDescent="0.2">
      <c r="G2823" s="44"/>
      <c r="J2823" t="str">
        <f t="shared" si="88"/>
        <v/>
      </c>
      <c r="K2823" t="str">
        <f t="shared" si="89"/>
        <v/>
      </c>
    </row>
    <row r="2824" spans="7:11" x14ac:dyDescent="0.2">
      <c r="G2824" s="44"/>
      <c r="J2824" t="str">
        <f t="shared" si="88"/>
        <v/>
      </c>
      <c r="K2824" t="str">
        <f t="shared" si="89"/>
        <v/>
      </c>
    </row>
    <row r="2825" spans="7:11" x14ac:dyDescent="0.2">
      <c r="G2825" s="44"/>
      <c r="J2825" t="str">
        <f t="shared" si="88"/>
        <v/>
      </c>
      <c r="K2825" t="str">
        <f t="shared" si="89"/>
        <v/>
      </c>
    </row>
    <row r="2826" spans="7:11" x14ac:dyDescent="0.2">
      <c r="G2826" s="44"/>
      <c r="J2826" t="str">
        <f t="shared" si="88"/>
        <v/>
      </c>
      <c r="K2826" t="str">
        <f t="shared" si="89"/>
        <v/>
      </c>
    </row>
    <row r="2827" spans="7:11" x14ac:dyDescent="0.2">
      <c r="G2827" s="44"/>
      <c r="J2827" t="str">
        <f t="shared" si="88"/>
        <v/>
      </c>
      <c r="K2827" t="str">
        <f t="shared" si="89"/>
        <v/>
      </c>
    </row>
    <row r="2828" spans="7:11" x14ac:dyDescent="0.2">
      <c r="G2828" s="44"/>
      <c r="J2828" t="str">
        <f t="shared" si="88"/>
        <v/>
      </c>
      <c r="K2828" t="str">
        <f t="shared" si="89"/>
        <v/>
      </c>
    </row>
    <row r="2829" spans="7:11" x14ac:dyDescent="0.2">
      <c r="G2829" s="44"/>
      <c r="J2829" t="str">
        <f t="shared" si="88"/>
        <v/>
      </c>
      <c r="K2829" t="str">
        <f t="shared" si="89"/>
        <v/>
      </c>
    </row>
    <row r="2830" spans="7:11" x14ac:dyDescent="0.2">
      <c r="G2830" s="44"/>
      <c r="J2830" t="str">
        <f t="shared" si="88"/>
        <v/>
      </c>
      <c r="K2830" t="str">
        <f t="shared" si="89"/>
        <v/>
      </c>
    </row>
    <row r="2831" spans="7:11" x14ac:dyDescent="0.2">
      <c r="G2831" s="44"/>
      <c r="J2831" t="str">
        <f t="shared" si="88"/>
        <v/>
      </c>
      <c r="K2831" t="str">
        <f t="shared" si="89"/>
        <v/>
      </c>
    </row>
    <row r="2832" spans="7:11" x14ac:dyDescent="0.2">
      <c r="G2832" s="44"/>
      <c r="J2832" t="str">
        <f t="shared" si="88"/>
        <v/>
      </c>
      <c r="K2832" t="str">
        <f t="shared" si="89"/>
        <v/>
      </c>
    </row>
    <row r="2833" spans="7:11" x14ac:dyDescent="0.2">
      <c r="G2833" s="44"/>
      <c r="J2833" t="str">
        <f t="shared" si="88"/>
        <v/>
      </c>
      <c r="K2833" t="str">
        <f t="shared" si="89"/>
        <v/>
      </c>
    </row>
    <row r="2834" spans="7:11" x14ac:dyDescent="0.2">
      <c r="G2834" s="44"/>
      <c r="J2834" t="str">
        <f t="shared" si="88"/>
        <v/>
      </c>
      <c r="K2834" t="str">
        <f t="shared" si="89"/>
        <v/>
      </c>
    </row>
    <row r="2835" spans="7:11" x14ac:dyDescent="0.2">
      <c r="G2835" s="44"/>
      <c r="J2835" t="str">
        <f t="shared" si="88"/>
        <v/>
      </c>
      <c r="K2835" t="str">
        <f t="shared" si="89"/>
        <v/>
      </c>
    </row>
    <row r="2836" spans="7:11" x14ac:dyDescent="0.2">
      <c r="G2836" s="44"/>
      <c r="J2836" t="str">
        <f t="shared" si="88"/>
        <v/>
      </c>
      <c r="K2836" t="str">
        <f t="shared" si="89"/>
        <v/>
      </c>
    </row>
    <row r="2837" spans="7:11" x14ac:dyDescent="0.2">
      <c r="G2837" s="44"/>
      <c r="J2837" t="str">
        <f t="shared" si="88"/>
        <v/>
      </c>
      <c r="K2837" t="str">
        <f t="shared" si="89"/>
        <v/>
      </c>
    </row>
    <row r="2838" spans="7:11" x14ac:dyDescent="0.2">
      <c r="G2838" s="44"/>
      <c r="J2838" t="str">
        <f t="shared" si="88"/>
        <v/>
      </c>
      <c r="K2838" t="str">
        <f t="shared" si="89"/>
        <v/>
      </c>
    </row>
    <row r="2839" spans="7:11" x14ac:dyDescent="0.2">
      <c r="G2839" s="44"/>
      <c r="J2839" t="str">
        <f t="shared" si="88"/>
        <v/>
      </c>
      <c r="K2839" t="str">
        <f t="shared" si="89"/>
        <v/>
      </c>
    </row>
    <row r="2840" spans="7:11" x14ac:dyDescent="0.2">
      <c r="G2840" s="44"/>
      <c r="J2840" t="str">
        <f t="shared" si="88"/>
        <v/>
      </c>
      <c r="K2840" t="str">
        <f t="shared" si="89"/>
        <v/>
      </c>
    </row>
    <row r="2841" spans="7:11" x14ac:dyDescent="0.2">
      <c r="G2841" s="44"/>
      <c r="J2841" t="str">
        <f t="shared" si="88"/>
        <v/>
      </c>
      <c r="K2841" t="str">
        <f t="shared" si="89"/>
        <v/>
      </c>
    </row>
    <row r="2842" spans="7:11" x14ac:dyDescent="0.2">
      <c r="G2842" s="44"/>
      <c r="J2842" t="str">
        <f t="shared" si="88"/>
        <v/>
      </c>
      <c r="K2842" t="str">
        <f t="shared" si="89"/>
        <v/>
      </c>
    </row>
    <row r="2843" spans="7:11" x14ac:dyDescent="0.2">
      <c r="G2843" s="44"/>
      <c r="J2843" t="str">
        <f t="shared" si="88"/>
        <v/>
      </c>
      <c r="K2843" t="str">
        <f t="shared" si="89"/>
        <v/>
      </c>
    </row>
    <row r="2844" spans="7:11" x14ac:dyDescent="0.2">
      <c r="G2844" s="44"/>
      <c r="J2844" t="str">
        <f t="shared" si="88"/>
        <v/>
      </c>
      <c r="K2844" t="str">
        <f t="shared" si="89"/>
        <v/>
      </c>
    </row>
    <row r="2845" spans="7:11" x14ac:dyDescent="0.2">
      <c r="G2845" s="44"/>
      <c r="J2845" t="str">
        <f t="shared" si="88"/>
        <v/>
      </c>
      <c r="K2845" t="str">
        <f t="shared" si="89"/>
        <v/>
      </c>
    </row>
    <row r="2846" spans="7:11" x14ac:dyDescent="0.2">
      <c r="G2846" s="44"/>
      <c r="J2846" t="str">
        <f t="shared" si="88"/>
        <v/>
      </c>
      <c r="K2846" t="str">
        <f t="shared" si="89"/>
        <v/>
      </c>
    </row>
    <row r="2847" spans="7:11" x14ac:dyDescent="0.2">
      <c r="G2847" s="44"/>
      <c r="J2847" t="str">
        <f t="shared" si="88"/>
        <v/>
      </c>
      <c r="K2847" t="str">
        <f t="shared" si="89"/>
        <v/>
      </c>
    </row>
    <row r="2848" spans="7:11" x14ac:dyDescent="0.2">
      <c r="G2848" s="44"/>
      <c r="J2848" t="str">
        <f t="shared" si="88"/>
        <v/>
      </c>
      <c r="K2848" t="str">
        <f t="shared" si="89"/>
        <v/>
      </c>
    </row>
    <row r="2849" spans="7:11" x14ac:dyDescent="0.2">
      <c r="G2849" s="44"/>
      <c r="J2849" t="str">
        <f t="shared" si="88"/>
        <v/>
      </c>
      <c r="K2849" t="str">
        <f t="shared" si="89"/>
        <v/>
      </c>
    </row>
    <row r="2850" spans="7:11" x14ac:dyDescent="0.2">
      <c r="G2850" s="44"/>
      <c r="J2850" t="str">
        <f t="shared" si="88"/>
        <v/>
      </c>
      <c r="K2850" t="str">
        <f t="shared" si="89"/>
        <v/>
      </c>
    </row>
    <row r="2851" spans="7:11" x14ac:dyDescent="0.2">
      <c r="G2851" s="44"/>
      <c r="J2851" t="str">
        <f t="shared" si="88"/>
        <v/>
      </c>
      <c r="K2851" t="str">
        <f t="shared" si="89"/>
        <v/>
      </c>
    </row>
    <row r="2852" spans="7:11" x14ac:dyDescent="0.2">
      <c r="G2852" s="44"/>
      <c r="J2852" t="str">
        <f t="shared" si="88"/>
        <v/>
      </c>
      <c r="K2852" t="str">
        <f t="shared" si="89"/>
        <v/>
      </c>
    </row>
    <row r="2853" spans="7:11" x14ac:dyDescent="0.2">
      <c r="G2853" s="44"/>
      <c r="J2853" t="str">
        <f t="shared" si="88"/>
        <v/>
      </c>
      <c r="K2853" t="str">
        <f t="shared" si="89"/>
        <v/>
      </c>
    </row>
    <row r="2854" spans="7:11" x14ac:dyDescent="0.2">
      <c r="G2854" s="44"/>
      <c r="J2854" t="str">
        <f t="shared" si="88"/>
        <v/>
      </c>
      <c r="K2854" t="str">
        <f t="shared" si="89"/>
        <v/>
      </c>
    </row>
    <row r="2855" spans="7:11" x14ac:dyDescent="0.2">
      <c r="G2855" s="44"/>
      <c r="J2855" t="str">
        <f t="shared" si="88"/>
        <v/>
      </c>
      <c r="K2855" t="str">
        <f t="shared" si="89"/>
        <v/>
      </c>
    </row>
    <row r="2856" spans="7:11" x14ac:dyDescent="0.2">
      <c r="G2856" s="44"/>
      <c r="J2856" t="str">
        <f t="shared" si="88"/>
        <v/>
      </c>
      <c r="K2856" t="str">
        <f t="shared" si="89"/>
        <v/>
      </c>
    </row>
    <row r="2857" spans="7:11" x14ac:dyDescent="0.2">
      <c r="G2857" s="44"/>
      <c r="J2857" t="str">
        <f t="shared" si="88"/>
        <v/>
      </c>
      <c r="K2857" t="str">
        <f t="shared" si="89"/>
        <v/>
      </c>
    </row>
    <row r="2858" spans="7:11" x14ac:dyDescent="0.2">
      <c r="G2858" s="44"/>
      <c r="J2858" t="str">
        <f t="shared" si="88"/>
        <v/>
      </c>
      <c r="K2858" t="str">
        <f t="shared" si="89"/>
        <v/>
      </c>
    </row>
    <row r="2859" spans="7:11" x14ac:dyDescent="0.2">
      <c r="G2859" s="44"/>
      <c r="J2859" t="str">
        <f t="shared" si="88"/>
        <v/>
      </c>
      <c r="K2859" t="str">
        <f t="shared" si="89"/>
        <v/>
      </c>
    </row>
    <row r="2860" spans="7:11" x14ac:dyDescent="0.2">
      <c r="G2860" s="44"/>
      <c r="J2860" t="str">
        <f t="shared" si="88"/>
        <v/>
      </c>
      <c r="K2860" t="str">
        <f t="shared" si="89"/>
        <v/>
      </c>
    </row>
    <row r="2861" spans="7:11" x14ac:dyDescent="0.2">
      <c r="G2861" s="44"/>
      <c r="J2861" t="str">
        <f t="shared" si="88"/>
        <v/>
      </c>
      <c r="K2861" t="str">
        <f t="shared" si="89"/>
        <v/>
      </c>
    </row>
    <row r="2862" spans="7:11" x14ac:dyDescent="0.2">
      <c r="G2862" s="44"/>
      <c r="J2862" t="str">
        <f t="shared" si="88"/>
        <v/>
      </c>
      <c r="K2862" t="str">
        <f t="shared" si="89"/>
        <v/>
      </c>
    </row>
    <row r="2863" spans="7:11" x14ac:dyDescent="0.2">
      <c r="G2863" s="44"/>
      <c r="J2863" t="str">
        <f t="shared" si="88"/>
        <v/>
      </c>
      <c r="K2863" t="str">
        <f t="shared" si="89"/>
        <v/>
      </c>
    </row>
    <row r="2864" spans="7:11" x14ac:dyDescent="0.2">
      <c r="G2864" s="44"/>
      <c r="J2864" t="str">
        <f t="shared" si="88"/>
        <v/>
      </c>
      <c r="K2864" t="str">
        <f t="shared" si="89"/>
        <v/>
      </c>
    </row>
    <row r="2865" spans="7:11" x14ac:dyDescent="0.2">
      <c r="G2865" s="44"/>
      <c r="J2865" t="str">
        <f t="shared" si="88"/>
        <v/>
      </c>
      <c r="K2865" t="str">
        <f t="shared" si="89"/>
        <v/>
      </c>
    </row>
    <row r="2866" spans="7:11" x14ac:dyDescent="0.2">
      <c r="G2866" s="44"/>
      <c r="J2866" t="str">
        <f t="shared" si="88"/>
        <v/>
      </c>
      <c r="K2866" t="str">
        <f t="shared" si="89"/>
        <v/>
      </c>
    </row>
    <row r="2867" spans="7:11" x14ac:dyDescent="0.2">
      <c r="G2867" s="44"/>
      <c r="J2867" t="str">
        <f t="shared" si="88"/>
        <v/>
      </c>
      <c r="K2867" t="str">
        <f t="shared" si="89"/>
        <v/>
      </c>
    </row>
    <row r="2868" spans="7:11" x14ac:dyDescent="0.2">
      <c r="G2868" s="44"/>
      <c r="J2868" t="str">
        <f t="shared" si="88"/>
        <v/>
      </c>
      <c r="K2868" t="str">
        <f t="shared" si="89"/>
        <v/>
      </c>
    </row>
    <row r="2869" spans="7:11" x14ac:dyDescent="0.2">
      <c r="G2869" s="44"/>
      <c r="J2869" t="str">
        <f t="shared" si="88"/>
        <v/>
      </c>
      <c r="K2869" t="str">
        <f t="shared" si="89"/>
        <v/>
      </c>
    </row>
    <row r="2870" spans="7:11" x14ac:dyDescent="0.2">
      <c r="G2870" s="44"/>
      <c r="J2870" t="str">
        <f t="shared" si="88"/>
        <v/>
      </c>
      <c r="K2870" t="str">
        <f t="shared" si="89"/>
        <v/>
      </c>
    </row>
    <row r="2871" spans="7:11" x14ac:dyDescent="0.2">
      <c r="G2871" s="44"/>
      <c r="J2871" t="str">
        <f t="shared" si="88"/>
        <v/>
      </c>
      <c r="K2871" t="str">
        <f t="shared" si="89"/>
        <v/>
      </c>
    </row>
    <row r="2872" spans="7:11" x14ac:dyDescent="0.2">
      <c r="G2872" s="44"/>
      <c r="J2872" t="str">
        <f t="shared" si="88"/>
        <v/>
      </c>
      <c r="K2872" t="str">
        <f t="shared" si="89"/>
        <v/>
      </c>
    </row>
    <row r="2873" spans="7:11" x14ac:dyDescent="0.2">
      <c r="G2873" s="44"/>
      <c r="J2873" t="str">
        <f t="shared" si="88"/>
        <v/>
      </c>
      <c r="K2873" t="str">
        <f t="shared" si="89"/>
        <v/>
      </c>
    </row>
    <row r="2874" spans="7:11" x14ac:dyDescent="0.2">
      <c r="G2874" s="44"/>
      <c r="J2874" t="str">
        <f t="shared" si="88"/>
        <v/>
      </c>
      <c r="K2874" t="str">
        <f t="shared" si="89"/>
        <v/>
      </c>
    </row>
    <row r="2875" spans="7:11" x14ac:dyDescent="0.2">
      <c r="G2875" s="44"/>
      <c r="J2875" t="str">
        <f t="shared" si="88"/>
        <v/>
      </c>
      <c r="K2875" t="str">
        <f t="shared" si="89"/>
        <v/>
      </c>
    </row>
    <row r="2876" spans="7:11" x14ac:dyDescent="0.2">
      <c r="G2876" s="44"/>
      <c r="J2876" t="str">
        <f t="shared" si="88"/>
        <v/>
      </c>
      <c r="K2876" t="str">
        <f t="shared" si="89"/>
        <v/>
      </c>
    </row>
    <row r="2877" spans="7:11" x14ac:dyDescent="0.2">
      <c r="G2877" s="44"/>
      <c r="J2877" t="str">
        <f t="shared" si="88"/>
        <v/>
      </c>
      <c r="K2877" t="str">
        <f t="shared" si="89"/>
        <v/>
      </c>
    </row>
    <row r="2878" spans="7:11" x14ac:dyDescent="0.2">
      <c r="G2878" s="44"/>
      <c r="J2878" t="str">
        <f t="shared" si="88"/>
        <v/>
      </c>
      <c r="K2878" t="str">
        <f t="shared" si="89"/>
        <v/>
      </c>
    </row>
    <row r="2879" spans="7:11" x14ac:dyDescent="0.2">
      <c r="G2879" s="44"/>
      <c r="J2879" t="str">
        <f t="shared" si="88"/>
        <v/>
      </c>
      <c r="K2879" t="str">
        <f t="shared" si="89"/>
        <v/>
      </c>
    </row>
    <row r="2880" spans="7:11" x14ac:dyDescent="0.2">
      <c r="G2880" s="44"/>
      <c r="J2880" t="str">
        <f t="shared" si="88"/>
        <v/>
      </c>
      <c r="K2880" t="str">
        <f t="shared" si="89"/>
        <v/>
      </c>
    </row>
    <row r="2881" spans="7:11" x14ac:dyDescent="0.2">
      <c r="G2881" s="44"/>
      <c r="J2881" t="str">
        <f t="shared" si="88"/>
        <v/>
      </c>
      <c r="K2881" t="str">
        <f t="shared" si="89"/>
        <v/>
      </c>
    </row>
    <row r="2882" spans="7:11" x14ac:dyDescent="0.2">
      <c r="G2882" s="44"/>
      <c r="J2882" t="str">
        <f t="shared" ref="J2882:J2945" si="90">IF(E2882="","",IF(OR(E2882=50,E2882=51),"Iltindhold",IF(E2882=75,"Carbon,org,NVOC",IF(OR(E2882=343,E2882=1167),"Svovlbrinte",IF(OR(E2882=240,E2882=241,E2882=242),"Amm",IF(E2882=244,"Nitrit",IF(E2882=247,"Nitrat",IF(E2882=334,"Sulfat",IF(E2882=262,"Phosphor, total-P",F2882)))))))))</f>
        <v/>
      </c>
      <c r="K2882" t="str">
        <f t="shared" ref="K2882:K2945" si="91">IF(A2882="","",IF(H2882="!",NA(),IF(H2882="A",I2882*0.5,IF(H2882="&lt;",I2882*0.5,I2882))))</f>
        <v/>
      </c>
    </row>
    <row r="2883" spans="7:11" x14ac:dyDescent="0.2">
      <c r="G2883" s="44"/>
      <c r="J2883" t="str">
        <f t="shared" si="90"/>
        <v/>
      </c>
      <c r="K2883" t="str">
        <f t="shared" si="91"/>
        <v/>
      </c>
    </row>
    <row r="2884" spans="7:11" x14ac:dyDescent="0.2">
      <c r="G2884" s="44"/>
      <c r="J2884" t="str">
        <f t="shared" si="90"/>
        <v/>
      </c>
      <c r="K2884" t="str">
        <f t="shared" si="91"/>
        <v/>
      </c>
    </row>
    <row r="2885" spans="7:11" x14ac:dyDescent="0.2">
      <c r="G2885" s="44"/>
      <c r="J2885" t="str">
        <f t="shared" si="90"/>
        <v/>
      </c>
      <c r="K2885" t="str">
        <f t="shared" si="91"/>
        <v/>
      </c>
    </row>
    <row r="2886" spans="7:11" x14ac:dyDescent="0.2">
      <c r="G2886" s="44"/>
      <c r="J2886" t="str">
        <f t="shared" si="90"/>
        <v/>
      </c>
      <c r="K2886" t="str">
        <f t="shared" si="91"/>
        <v/>
      </c>
    </row>
    <row r="2887" spans="7:11" x14ac:dyDescent="0.2">
      <c r="G2887" s="44"/>
      <c r="J2887" t="str">
        <f t="shared" si="90"/>
        <v/>
      </c>
      <c r="K2887" t="str">
        <f t="shared" si="91"/>
        <v/>
      </c>
    </row>
    <row r="2888" spans="7:11" x14ac:dyDescent="0.2">
      <c r="G2888" s="44"/>
      <c r="J2888" t="str">
        <f t="shared" si="90"/>
        <v/>
      </c>
      <c r="K2888" t="str">
        <f t="shared" si="91"/>
        <v/>
      </c>
    </row>
    <row r="2889" spans="7:11" x14ac:dyDescent="0.2">
      <c r="G2889" s="44"/>
      <c r="J2889" t="str">
        <f t="shared" si="90"/>
        <v/>
      </c>
      <c r="K2889" t="str">
        <f t="shared" si="91"/>
        <v/>
      </c>
    </row>
    <row r="2890" spans="7:11" x14ac:dyDescent="0.2">
      <c r="G2890" s="44"/>
      <c r="J2890" t="str">
        <f t="shared" si="90"/>
        <v/>
      </c>
      <c r="K2890" t="str">
        <f t="shared" si="91"/>
        <v/>
      </c>
    </row>
    <row r="2891" spans="7:11" x14ac:dyDescent="0.2">
      <c r="G2891" s="44"/>
      <c r="J2891" t="str">
        <f t="shared" si="90"/>
        <v/>
      </c>
      <c r="K2891" t="str">
        <f t="shared" si="91"/>
        <v/>
      </c>
    </row>
    <row r="2892" spans="7:11" x14ac:dyDescent="0.2">
      <c r="G2892" s="44"/>
      <c r="J2892" t="str">
        <f t="shared" si="90"/>
        <v/>
      </c>
      <c r="K2892" t="str">
        <f t="shared" si="91"/>
        <v/>
      </c>
    </row>
    <row r="2893" spans="7:11" x14ac:dyDescent="0.2">
      <c r="G2893" s="44"/>
      <c r="J2893" t="str">
        <f t="shared" si="90"/>
        <v/>
      </c>
      <c r="K2893" t="str">
        <f t="shared" si="91"/>
        <v/>
      </c>
    </row>
    <row r="2894" spans="7:11" x14ac:dyDescent="0.2">
      <c r="G2894" s="44"/>
      <c r="J2894" t="str">
        <f t="shared" si="90"/>
        <v/>
      </c>
      <c r="K2894" t="str">
        <f t="shared" si="91"/>
        <v/>
      </c>
    </row>
    <row r="2895" spans="7:11" x14ac:dyDescent="0.2">
      <c r="G2895" s="44"/>
      <c r="J2895" t="str">
        <f t="shared" si="90"/>
        <v/>
      </c>
      <c r="K2895" t="str">
        <f t="shared" si="91"/>
        <v/>
      </c>
    </row>
    <row r="2896" spans="7:11" x14ac:dyDescent="0.2">
      <c r="G2896" s="44"/>
      <c r="J2896" t="str">
        <f t="shared" si="90"/>
        <v/>
      </c>
      <c r="K2896" t="str">
        <f t="shared" si="91"/>
        <v/>
      </c>
    </row>
    <row r="2897" spans="7:11" x14ac:dyDescent="0.2">
      <c r="G2897" s="44"/>
      <c r="J2897" t="str">
        <f t="shared" si="90"/>
        <v/>
      </c>
      <c r="K2897" t="str">
        <f t="shared" si="91"/>
        <v/>
      </c>
    </row>
    <row r="2898" spans="7:11" x14ac:dyDescent="0.2">
      <c r="G2898" s="44"/>
      <c r="J2898" t="str">
        <f t="shared" si="90"/>
        <v/>
      </c>
      <c r="K2898" t="str">
        <f t="shared" si="91"/>
        <v/>
      </c>
    </row>
    <row r="2899" spans="7:11" x14ac:dyDescent="0.2">
      <c r="G2899" s="44"/>
      <c r="J2899" t="str">
        <f t="shared" si="90"/>
        <v/>
      </c>
      <c r="K2899" t="str">
        <f t="shared" si="91"/>
        <v/>
      </c>
    </row>
    <row r="2900" spans="7:11" x14ac:dyDescent="0.2">
      <c r="G2900" s="44"/>
      <c r="J2900" t="str">
        <f t="shared" si="90"/>
        <v/>
      </c>
      <c r="K2900" t="str">
        <f t="shared" si="91"/>
        <v/>
      </c>
    </row>
    <row r="2901" spans="7:11" x14ac:dyDescent="0.2">
      <c r="G2901" s="44"/>
      <c r="J2901" t="str">
        <f t="shared" si="90"/>
        <v/>
      </c>
      <c r="K2901" t="str">
        <f t="shared" si="91"/>
        <v/>
      </c>
    </row>
    <row r="2902" spans="7:11" x14ac:dyDescent="0.2">
      <c r="G2902" s="44"/>
      <c r="J2902" t="str">
        <f t="shared" si="90"/>
        <v/>
      </c>
      <c r="K2902" t="str">
        <f t="shared" si="91"/>
        <v/>
      </c>
    </row>
    <row r="2903" spans="7:11" x14ac:dyDescent="0.2">
      <c r="G2903" s="44"/>
      <c r="J2903" t="str">
        <f t="shared" si="90"/>
        <v/>
      </c>
      <c r="K2903" t="str">
        <f t="shared" si="91"/>
        <v/>
      </c>
    </row>
    <row r="2904" spans="7:11" x14ac:dyDescent="0.2">
      <c r="G2904" s="44"/>
      <c r="J2904" t="str">
        <f t="shared" si="90"/>
        <v/>
      </c>
      <c r="K2904" t="str">
        <f t="shared" si="91"/>
        <v/>
      </c>
    </row>
    <row r="2905" spans="7:11" x14ac:dyDescent="0.2">
      <c r="G2905" s="44"/>
      <c r="J2905" t="str">
        <f t="shared" si="90"/>
        <v/>
      </c>
      <c r="K2905" t="str">
        <f t="shared" si="91"/>
        <v/>
      </c>
    </row>
    <row r="2906" spans="7:11" x14ac:dyDescent="0.2">
      <c r="G2906" s="44"/>
      <c r="J2906" t="str">
        <f t="shared" si="90"/>
        <v/>
      </c>
      <c r="K2906" t="str">
        <f t="shared" si="91"/>
        <v/>
      </c>
    </row>
    <row r="2907" spans="7:11" x14ac:dyDescent="0.2">
      <c r="G2907" s="44"/>
      <c r="J2907" t="str">
        <f t="shared" si="90"/>
        <v/>
      </c>
      <c r="K2907" t="str">
        <f t="shared" si="91"/>
        <v/>
      </c>
    </row>
    <row r="2908" spans="7:11" x14ac:dyDescent="0.2">
      <c r="G2908" s="44"/>
      <c r="J2908" t="str">
        <f t="shared" si="90"/>
        <v/>
      </c>
      <c r="K2908" t="str">
        <f t="shared" si="91"/>
        <v/>
      </c>
    </row>
    <row r="2909" spans="7:11" x14ac:dyDescent="0.2">
      <c r="G2909" s="44"/>
      <c r="J2909" t="str">
        <f t="shared" si="90"/>
        <v/>
      </c>
      <c r="K2909" t="str">
        <f t="shared" si="91"/>
        <v/>
      </c>
    </row>
    <row r="2910" spans="7:11" x14ac:dyDescent="0.2">
      <c r="G2910" s="44"/>
      <c r="J2910" t="str">
        <f t="shared" si="90"/>
        <v/>
      </c>
      <c r="K2910" t="str">
        <f t="shared" si="91"/>
        <v/>
      </c>
    </row>
    <row r="2911" spans="7:11" x14ac:dyDescent="0.2">
      <c r="G2911" s="44"/>
      <c r="J2911" t="str">
        <f t="shared" si="90"/>
        <v/>
      </c>
      <c r="K2911" t="str">
        <f t="shared" si="91"/>
        <v/>
      </c>
    </row>
    <row r="2912" spans="7:11" x14ac:dyDescent="0.2">
      <c r="G2912" s="44"/>
      <c r="J2912" t="str">
        <f t="shared" si="90"/>
        <v/>
      </c>
      <c r="K2912" t="str">
        <f t="shared" si="91"/>
        <v/>
      </c>
    </row>
    <row r="2913" spans="7:11" x14ac:dyDescent="0.2">
      <c r="G2913" s="44"/>
      <c r="J2913" t="str">
        <f t="shared" si="90"/>
        <v/>
      </c>
      <c r="K2913" t="str">
        <f t="shared" si="91"/>
        <v/>
      </c>
    </row>
    <row r="2914" spans="7:11" x14ac:dyDescent="0.2">
      <c r="G2914" s="44"/>
      <c r="J2914" t="str">
        <f t="shared" si="90"/>
        <v/>
      </c>
      <c r="K2914" t="str">
        <f t="shared" si="91"/>
        <v/>
      </c>
    </row>
    <row r="2915" spans="7:11" x14ac:dyDescent="0.2">
      <c r="G2915" s="44"/>
      <c r="J2915" t="str">
        <f t="shared" si="90"/>
        <v/>
      </c>
      <c r="K2915" t="str">
        <f t="shared" si="91"/>
        <v/>
      </c>
    </row>
    <row r="2916" spans="7:11" x14ac:dyDescent="0.2">
      <c r="G2916" s="44"/>
      <c r="J2916" t="str">
        <f t="shared" si="90"/>
        <v/>
      </c>
      <c r="K2916" t="str">
        <f t="shared" si="91"/>
        <v/>
      </c>
    </row>
    <row r="2917" spans="7:11" x14ac:dyDescent="0.2">
      <c r="G2917" s="44"/>
      <c r="J2917" t="str">
        <f t="shared" si="90"/>
        <v/>
      </c>
      <c r="K2917" t="str">
        <f t="shared" si="91"/>
        <v/>
      </c>
    </row>
    <row r="2918" spans="7:11" x14ac:dyDescent="0.2">
      <c r="G2918" s="44"/>
      <c r="J2918" t="str">
        <f t="shared" si="90"/>
        <v/>
      </c>
      <c r="K2918" t="str">
        <f t="shared" si="91"/>
        <v/>
      </c>
    </row>
    <row r="2919" spans="7:11" x14ac:dyDescent="0.2">
      <c r="G2919" s="44"/>
      <c r="J2919" t="str">
        <f t="shared" si="90"/>
        <v/>
      </c>
      <c r="K2919" t="str">
        <f t="shared" si="91"/>
        <v/>
      </c>
    </row>
    <row r="2920" spans="7:11" x14ac:dyDescent="0.2">
      <c r="G2920" s="44"/>
      <c r="J2920" t="str">
        <f t="shared" si="90"/>
        <v/>
      </c>
      <c r="K2920" t="str">
        <f t="shared" si="91"/>
        <v/>
      </c>
    </row>
    <row r="2921" spans="7:11" x14ac:dyDescent="0.2">
      <c r="G2921" s="44"/>
      <c r="J2921" t="str">
        <f t="shared" si="90"/>
        <v/>
      </c>
      <c r="K2921" t="str">
        <f t="shared" si="91"/>
        <v/>
      </c>
    </row>
    <row r="2922" spans="7:11" x14ac:dyDescent="0.2">
      <c r="G2922" s="44"/>
      <c r="J2922" t="str">
        <f t="shared" si="90"/>
        <v/>
      </c>
      <c r="K2922" t="str">
        <f t="shared" si="91"/>
        <v/>
      </c>
    </row>
    <row r="2923" spans="7:11" x14ac:dyDescent="0.2">
      <c r="G2923" s="44"/>
      <c r="J2923" t="str">
        <f t="shared" si="90"/>
        <v/>
      </c>
      <c r="K2923" t="str">
        <f t="shared" si="91"/>
        <v/>
      </c>
    </row>
    <row r="2924" spans="7:11" x14ac:dyDescent="0.2">
      <c r="G2924" s="44"/>
      <c r="J2924" t="str">
        <f t="shared" si="90"/>
        <v/>
      </c>
      <c r="K2924" t="str">
        <f t="shared" si="91"/>
        <v/>
      </c>
    </row>
    <row r="2925" spans="7:11" x14ac:dyDescent="0.2">
      <c r="G2925" s="44"/>
      <c r="J2925" t="str">
        <f t="shared" si="90"/>
        <v/>
      </c>
      <c r="K2925" t="str">
        <f t="shared" si="91"/>
        <v/>
      </c>
    </row>
    <row r="2926" spans="7:11" x14ac:dyDescent="0.2">
      <c r="G2926" s="44"/>
      <c r="J2926" t="str">
        <f t="shared" si="90"/>
        <v/>
      </c>
      <c r="K2926" t="str">
        <f t="shared" si="91"/>
        <v/>
      </c>
    </row>
    <row r="2927" spans="7:11" x14ac:dyDescent="0.2">
      <c r="G2927" s="44"/>
      <c r="J2927" t="str">
        <f t="shared" si="90"/>
        <v/>
      </c>
      <c r="K2927" t="str">
        <f t="shared" si="91"/>
        <v/>
      </c>
    </row>
    <row r="2928" spans="7:11" x14ac:dyDescent="0.2">
      <c r="G2928" s="44"/>
      <c r="J2928" t="str">
        <f t="shared" si="90"/>
        <v/>
      </c>
      <c r="K2928" t="str">
        <f t="shared" si="91"/>
        <v/>
      </c>
    </row>
    <row r="2929" spans="7:11" x14ac:dyDescent="0.2">
      <c r="G2929" s="44"/>
      <c r="J2929" t="str">
        <f t="shared" si="90"/>
        <v/>
      </c>
      <c r="K2929" t="str">
        <f t="shared" si="91"/>
        <v/>
      </c>
    </row>
    <row r="2930" spans="7:11" x14ac:dyDescent="0.2">
      <c r="G2930" s="44"/>
      <c r="J2930" t="str">
        <f t="shared" si="90"/>
        <v/>
      </c>
      <c r="K2930" t="str">
        <f t="shared" si="91"/>
        <v/>
      </c>
    </row>
    <row r="2931" spans="7:11" x14ac:dyDescent="0.2">
      <c r="G2931" s="44"/>
      <c r="J2931" t="str">
        <f t="shared" si="90"/>
        <v/>
      </c>
      <c r="K2931" t="str">
        <f t="shared" si="91"/>
        <v/>
      </c>
    </row>
    <row r="2932" spans="7:11" x14ac:dyDescent="0.2">
      <c r="G2932" s="44"/>
      <c r="J2932" t="str">
        <f t="shared" si="90"/>
        <v/>
      </c>
      <c r="K2932" t="str">
        <f t="shared" si="91"/>
        <v/>
      </c>
    </row>
    <row r="2933" spans="7:11" x14ac:dyDescent="0.2">
      <c r="G2933" s="44"/>
      <c r="J2933" t="str">
        <f t="shared" si="90"/>
        <v/>
      </c>
      <c r="K2933" t="str">
        <f t="shared" si="91"/>
        <v/>
      </c>
    </row>
    <row r="2934" spans="7:11" x14ac:dyDescent="0.2">
      <c r="G2934" s="44"/>
      <c r="J2934" t="str">
        <f t="shared" si="90"/>
        <v/>
      </c>
      <c r="K2934" t="str">
        <f t="shared" si="91"/>
        <v/>
      </c>
    </row>
    <row r="2935" spans="7:11" x14ac:dyDescent="0.2">
      <c r="G2935" s="44"/>
      <c r="J2935" t="str">
        <f t="shared" si="90"/>
        <v/>
      </c>
      <c r="K2935" t="str">
        <f t="shared" si="91"/>
        <v/>
      </c>
    </row>
    <row r="2936" spans="7:11" x14ac:dyDescent="0.2">
      <c r="G2936" s="44"/>
      <c r="J2936" t="str">
        <f t="shared" si="90"/>
        <v/>
      </c>
      <c r="K2936" t="str">
        <f t="shared" si="91"/>
        <v/>
      </c>
    </row>
    <row r="2937" spans="7:11" x14ac:dyDescent="0.2">
      <c r="G2937" s="44"/>
      <c r="J2937" t="str">
        <f t="shared" si="90"/>
        <v/>
      </c>
      <c r="K2937" t="str">
        <f t="shared" si="91"/>
        <v/>
      </c>
    </row>
    <row r="2938" spans="7:11" x14ac:dyDescent="0.2">
      <c r="G2938" s="44"/>
      <c r="J2938" t="str">
        <f t="shared" si="90"/>
        <v/>
      </c>
      <c r="K2938" t="str">
        <f t="shared" si="91"/>
        <v/>
      </c>
    </row>
    <row r="2939" spans="7:11" x14ac:dyDescent="0.2">
      <c r="G2939" s="44"/>
      <c r="J2939" t="str">
        <f t="shared" si="90"/>
        <v/>
      </c>
      <c r="K2939" t="str">
        <f t="shared" si="91"/>
        <v/>
      </c>
    </row>
    <row r="2940" spans="7:11" x14ac:dyDescent="0.2">
      <c r="G2940" s="44"/>
      <c r="J2940" t="str">
        <f t="shared" si="90"/>
        <v/>
      </c>
      <c r="K2940" t="str">
        <f t="shared" si="91"/>
        <v/>
      </c>
    </row>
    <row r="2941" spans="7:11" x14ac:dyDescent="0.2">
      <c r="G2941" s="44"/>
      <c r="J2941" t="str">
        <f t="shared" si="90"/>
        <v/>
      </c>
      <c r="K2941" t="str">
        <f t="shared" si="91"/>
        <v/>
      </c>
    </row>
    <row r="2942" spans="7:11" x14ac:dyDescent="0.2">
      <c r="G2942" s="44"/>
      <c r="J2942" t="str">
        <f t="shared" si="90"/>
        <v/>
      </c>
      <c r="K2942" t="str">
        <f t="shared" si="91"/>
        <v/>
      </c>
    </row>
    <row r="2943" spans="7:11" x14ac:dyDescent="0.2">
      <c r="G2943" s="44"/>
      <c r="J2943" t="str">
        <f t="shared" si="90"/>
        <v/>
      </c>
      <c r="K2943" t="str">
        <f t="shared" si="91"/>
        <v/>
      </c>
    </row>
    <row r="2944" spans="7:11" x14ac:dyDescent="0.2">
      <c r="G2944" s="44"/>
      <c r="J2944" t="str">
        <f t="shared" si="90"/>
        <v/>
      </c>
      <c r="K2944" t="str">
        <f t="shared" si="91"/>
        <v/>
      </c>
    </row>
    <row r="2945" spans="7:11" x14ac:dyDescent="0.2">
      <c r="G2945" s="44"/>
      <c r="J2945" t="str">
        <f t="shared" si="90"/>
        <v/>
      </c>
      <c r="K2945" t="str">
        <f t="shared" si="91"/>
        <v/>
      </c>
    </row>
    <row r="2946" spans="7:11" x14ac:dyDescent="0.2">
      <c r="G2946" s="44"/>
      <c r="J2946" t="str">
        <f t="shared" ref="J2946:J3009" si="92">IF(E2946="","",IF(OR(E2946=50,E2946=51),"Iltindhold",IF(E2946=75,"Carbon,org,NVOC",IF(OR(E2946=343,E2946=1167),"Svovlbrinte",IF(OR(E2946=240,E2946=241,E2946=242),"Amm",IF(E2946=244,"Nitrit",IF(E2946=247,"Nitrat",IF(E2946=334,"Sulfat",IF(E2946=262,"Phosphor, total-P",F2946)))))))))</f>
        <v/>
      </c>
      <c r="K2946" t="str">
        <f t="shared" ref="K2946:K3009" si="93">IF(A2946="","",IF(H2946="!",NA(),IF(H2946="A",I2946*0.5,IF(H2946="&lt;",I2946*0.5,I2946))))</f>
        <v/>
      </c>
    </row>
    <row r="2947" spans="7:11" x14ac:dyDescent="0.2">
      <c r="G2947" s="44"/>
      <c r="J2947" t="str">
        <f t="shared" si="92"/>
        <v/>
      </c>
      <c r="K2947" t="str">
        <f t="shared" si="93"/>
        <v/>
      </c>
    </row>
    <row r="2948" spans="7:11" x14ac:dyDescent="0.2">
      <c r="G2948" s="44"/>
      <c r="J2948" t="str">
        <f t="shared" si="92"/>
        <v/>
      </c>
      <c r="K2948" t="str">
        <f t="shared" si="93"/>
        <v/>
      </c>
    </row>
    <row r="2949" spans="7:11" x14ac:dyDescent="0.2">
      <c r="G2949" s="44"/>
      <c r="J2949" t="str">
        <f t="shared" si="92"/>
        <v/>
      </c>
      <c r="K2949" t="str">
        <f t="shared" si="93"/>
        <v/>
      </c>
    </row>
    <row r="2950" spans="7:11" x14ac:dyDescent="0.2">
      <c r="G2950" s="44"/>
      <c r="J2950" t="str">
        <f t="shared" si="92"/>
        <v/>
      </c>
      <c r="K2950" t="str">
        <f t="shared" si="93"/>
        <v/>
      </c>
    </row>
    <row r="2951" spans="7:11" x14ac:dyDescent="0.2">
      <c r="G2951" s="44"/>
      <c r="J2951" t="str">
        <f t="shared" si="92"/>
        <v/>
      </c>
      <c r="K2951" t="str">
        <f t="shared" si="93"/>
        <v/>
      </c>
    </row>
    <row r="2952" spans="7:11" x14ac:dyDescent="0.2">
      <c r="G2952" s="44"/>
      <c r="J2952" t="str">
        <f t="shared" si="92"/>
        <v/>
      </c>
      <c r="K2952" t="str">
        <f t="shared" si="93"/>
        <v/>
      </c>
    </row>
    <row r="2953" spans="7:11" x14ac:dyDescent="0.2">
      <c r="G2953" s="44"/>
      <c r="J2953" t="str">
        <f t="shared" si="92"/>
        <v/>
      </c>
      <c r="K2953" t="str">
        <f t="shared" si="93"/>
        <v/>
      </c>
    </row>
    <row r="2954" spans="7:11" x14ac:dyDescent="0.2">
      <c r="G2954" s="44"/>
      <c r="J2954" t="str">
        <f t="shared" si="92"/>
        <v/>
      </c>
      <c r="K2954" t="str">
        <f t="shared" si="93"/>
        <v/>
      </c>
    </row>
    <row r="2955" spans="7:11" x14ac:dyDescent="0.2">
      <c r="G2955" s="44"/>
      <c r="J2955" t="str">
        <f t="shared" si="92"/>
        <v/>
      </c>
      <c r="K2955" t="str">
        <f t="shared" si="93"/>
        <v/>
      </c>
    </row>
    <row r="2956" spans="7:11" x14ac:dyDescent="0.2">
      <c r="G2956" s="44"/>
      <c r="J2956" t="str">
        <f t="shared" si="92"/>
        <v/>
      </c>
      <c r="K2956" t="str">
        <f t="shared" si="93"/>
        <v/>
      </c>
    </row>
    <row r="2957" spans="7:11" x14ac:dyDescent="0.2">
      <c r="G2957" s="44"/>
      <c r="J2957" t="str">
        <f t="shared" si="92"/>
        <v/>
      </c>
      <c r="K2957" t="str">
        <f t="shared" si="93"/>
        <v/>
      </c>
    </row>
    <row r="2958" spans="7:11" x14ac:dyDescent="0.2">
      <c r="G2958" s="44"/>
      <c r="J2958" t="str">
        <f t="shared" si="92"/>
        <v/>
      </c>
      <c r="K2958" t="str">
        <f t="shared" si="93"/>
        <v/>
      </c>
    </row>
    <row r="2959" spans="7:11" x14ac:dyDescent="0.2">
      <c r="G2959" s="44"/>
      <c r="J2959" t="str">
        <f t="shared" si="92"/>
        <v/>
      </c>
      <c r="K2959" t="str">
        <f t="shared" si="93"/>
        <v/>
      </c>
    </row>
    <row r="2960" spans="7:11" x14ac:dyDescent="0.2">
      <c r="G2960" s="44"/>
      <c r="J2960" t="str">
        <f t="shared" si="92"/>
        <v/>
      </c>
      <c r="K2960" t="str">
        <f t="shared" si="93"/>
        <v/>
      </c>
    </row>
    <row r="2961" spans="7:11" x14ac:dyDescent="0.2">
      <c r="G2961" s="44"/>
      <c r="J2961" t="str">
        <f t="shared" si="92"/>
        <v/>
      </c>
      <c r="K2961" t="str">
        <f t="shared" si="93"/>
        <v/>
      </c>
    </row>
    <row r="2962" spans="7:11" x14ac:dyDescent="0.2">
      <c r="G2962" s="44"/>
      <c r="J2962" t="str">
        <f t="shared" si="92"/>
        <v/>
      </c>
      <c r="K2962" t="str">
        <f t="shared" si="93"/>
        <v/>
      </c>
    </row>
    <row r="2963" spans="7:11" x14ac:dyDescent="0.2">
      <c r="G2963" s="44"/>
      <c r="J2963" t="str">
        <f t="shared" si="92"/>
        <v/>
      </c>
      <c r="K2963" t="str">
        <f t="shared" si="93"/>
        <v/>
      </c>
    </row>
    <row r="2964" spans="7:11" x14ac:dyDescent="0.2">
      <c r="G2964" s="44"/>
      <c r="J2964" t="str">
        <f t="shared" si="92"/>
        <v/>
      </c>
      <c r="K2964" t="str">
        <f t="shared" si="93"/>
        <v/>
      </c>
    </row>
    <row r="2965" spans="7:11" x14ac:dyDescent="0.2">
      <c r="G2965" s="44"/>
      <c r="J2965" t="str">
        <f t="shared" si="92"/>
        <v/>
      </c>
      <c r="K2965" t="str">
        <f t="shared" si="93"/>
        <v/>
      </c>
    </row>
    <row r="2966" spans="7:11" x14ac:dyDescent="0.2">
      <c r="G2966" s="44"/>
      <c r="J2966" t="str">
        <f t="shared" si="92"/>
        <v/>
      </c>
      <c r="K2966" t="str">
        <f t="shared" si="93"/>
        <v/>
      </c>
    </row>
    <row r="2967" spans="7:11" x14ac:dyDescent="0.2">
      <c r="G2967" s="44"/>
      <c r="J2967" t="str">
        <f t="shared" si="92"/>
        <v/>
      </c>
      <c r="K2967" t="str">
        <f t="shared" si="93"/>
        <v/>
      </c>
    </row>
    <row r="2968" spans="7:11" x14ac:dyDescent="0.2">
      <c r="G2968" s="44"/>
      <c r="J2968" t="str">
        <f t="shared" si="92"/>
        <v/>
      </c>
      <c r="K2968" t="str">
        <f t="shared" si="93"/>
        <v/>
      </c>
    </row>
    <row r="2969" spans="7:11" x14ac:dyDescent="0.2">
      <c r="G2969" s="44"/>
      <c r="J2969" t="str">
        <f t="shared" si="92"/>
        <v/>
      </c>
      <c r="K2969" t="str">
        <f t="shared" si="93"/>
        <v/>
      </c>
    </row>
    <row r="2970" spans="7:11" x14ac:dyDescent="0.2">
      <c r="G2970" s="44"/>
      <c r="J2970" t="str">
        <f t="shared" si="92"/>
        <v/>
      </c>
      <c r="K2970" t="str">
        <f t="shared" si="93"/>
        <v/>
      </c>
    </row>
    <row r="2971" spans="7:11" x14ac:dyDescent="0.2">
      <c r="G2971" s="44"/>
      <c r="J2971" t="str">
        <f t="shared" si="92"/>
        <v/>
      </c>
      <c r="K2971" t="str">
        <f t="shared" si="93"/>
        <v/>
      </c>
    </row>
    <row r="2972" spans="7:11" x14ac:dyDescent="0.2">
      <c r="G2972" s="44"/>
      <c r="J2972" t="str">
        <f t="shared" si="92"/>
        <v/>
      </c>
      <c r="K2972" t="str">
        <f t="shared" si="93"/>
        <v/>
      </c>
    </row>
    <row r="2973" spans="7:11" x14ac:dyDescent="0.2">
      <c r="G2973" s="44"/>
      <c r="J2973" t="str">
        <f t="shared" si="92"/>
        <v/>
      </c>
      <c r="K2973" t="str">
        <f t="shared" si="93"/>
        <v/>
      </c>
    </row>
    <row r="2974" spans="7:11" x14ac:dyDescent="0.2">
      <c r="G2974" s="44"/>
      <c r="J2974" t="str">
        <f t="shared" si="92"/>
        <v/>
      </c>
      <c r="K2974" t="str">
        <f t="shared" si="93"/>
        <v/>
      </c>
    </row>
    <row r="2975" spans="7:11" x14ac:dyDescent="0.2">
      <c r="G2975" s="44"/>
      <c r="J2975" t="str">
        <f t="shared" si="92"/>
        <v/>
      </c>
      <c r="K2975" t="str">
        <f t="shared" si="93"/>
        <v/>
      </c>
    </row>
    <row r="2976" spans="7:11" x14ac:dyDescent="0.2">
      <c r="G2976" s="44"/>
      <c r="J2976" t="str">
        <f t="shared" si="92"/>
        <v/>
      </c>
      <c r="K2976" t="str">
        <f t="shared" si="93"/>
        <v/>
      </c>
    </row>
    <row r="2977" spans="7:11" x14ac:dyDescent="0.2">
      <c r="G2977" s="44"/>
      <c r="J2977" t="str">
        <f t="shared" si="92"/>
        <v/>
      </c>
      <c r="K2977" t="str">
        <f t="shared" si="93"/>
        <v/>
      </c>
    </row>
    <row r="2978" spans="7:11" x14ac:dyDescent="0.2">
      <c r="G2978" s="44"/>
      <c r="J2978" t="str">
        <f t="shared" si="92"/>
        <v/>
      </c>
      <c r="K2978" t="str">
        <f t="shared" si="93"/>
        <v/>
      </c>
    </row>
    <row r="2979" spans="7:11" x14ac:dyDescent="0.2">
      <c r="G2979" s="44"/>
      <c r="J2979" t="str">
        <f t="shared" si="92"/>
        <v/>
      </c>
      <c r="K2979" t="str">
        <f t="shared" si="93"/>
        <v/>
      </c>
    </row>
    <row r="2980" spans="7:11" x14ac:dyDescent="0.2">
      <c r="G2980" s="44"/>
      <c r="J2980" t="str">
        <f t="shared" si="92"/>
        <v/>
      </c>
      <c r="K2980" t="str">
        <f t="shared" si="93"/>
        <v/>
      </c>
    </row>
    <row r="2981" spans="7:11" x14ac:dyDescent="0.2">
      <c r="G2981" s="44"/>
      <c r="J2981" t="str">
        <f t="shared" si="92"/>
        <v/>
      </c>
      <c r="K2981" t="str">
        <f t="shared" si="93"/>
        <v/>
      </c>
    </row>
    <row r="2982" spans="7:11" x14ac:dyDescent="0.2">
      <c r="G2982" s="44"/>
      <c r="J2982" t="str">
        <f t="shared" si="92"/>
        <v/>
      </c>
      <c r="K2982" t="str">
        <f t="shared" si="93"/>
        <v/>
      </c>
    </row>
    <row r="2983" spans="7:11" x14ac:dyDescent="0.2">
      <c r="G2983" s="44"/>
      <c r="J2983" t="str">
        <f t="shared" si="92"/>
        <v/>
      </c>
      <c r="K2983" t="str">
        <f t="shared" si="93"/>
        <v/>
      </c>
    </row>
    <row r="2984" spans="7:11" x14ac:dyDescent="0.2">
      <c r="G2984" s="44"/>
      <c r="J2984" t="str">
        <f t="shared" si="92"/>
        <v/>
      </c>
      <c r="K2984" t="str">
        <f t="shared" si="93"/>
        <v/>
      </c>
    </row>
    <row r="2985" spans="7:11" x14ac:dyDescent="0.2">
      <c r="G2985" s="44"/>
      <c r="J2985" t="str">
        <f t="shared" si="92"/>
        <v/>
      </c>
      <c r="K2985" t="str">
        <f t="shared" si="93"/>
        <v/>
      </c>
    </row>
    <row r="2986" spans="7:11" x14ac:dyDescent="0.2">
      <c r="G2986" s="44"/>
      <c r="J2986" t="str">
        <f t="shared" si="92"/>
        <v/>
      </c>
      <c r="K2986" t="str">
        <f t="shared" si="93"/>
        <v/>
      </c>
    </row>
    <row r="2987" spans="7:11" x14ac:dyDescent="0.2">
      <c r="G2987" s="44"/>
      <c r="J2987" t="str">
        <f t="shared" si="92"/>
        <v/>
      </c>
      <c r="K2987" t="str">
        <f t="shared" si="93"/>
        <v/>
      </c>
    </row>
    <row r="2988" spans="7:11" x14ac:dyDescent="0.2">
      <c r="G2988" s="44"/>
      <c r="J2988" t="str">
        <f t="shared" si="92"/>
        <v/>
      </c>
      <c r="K2988" t="str">
        <f t="shared" si="93"/>
        <v/>
      </c>
    </row>
    <row r="2989" spans="7:11" x14ac:dyDescent="0.2">
      <c r="G2989" s="44"/>
      <c r="J2989" t="str">
        <f t="shared" si="92"/>
        <v/>
      </c>
      <c r="K2989" t="str">
        <f t="shared" si="93"/>
        <v/>
      </c>
    </row>
    <row r="2990" spans="7:11" x14ac:dyDescent="0.2">
      <c r="G2990" s="44"/>
      <c r="J2990" t="str">
        <f t="shared" si="92"/>
        <v/>
      </c>
      <c r="K2990" t="str">
        <f t="shared" si="93"/>
        <v/>
      </c>
    </row>
    <row r="2991" spans="7:11" x14ac:dyDescent="0.2">
      <c r="G2991" s="44"/>
      <c r="J2991" t="str">
        <f t="shared" si="92"/>
        <v/>
      </c>
      <c r="K2991" t="str">
        <f t="shared" si="93"/>
        <v/>
      </c>
    </row>
    <row r="2992" spans="7:11" x14ac:dyDescent="0.2">
      <c r="G2992" s="44"/>
      <c r="J2992" t="str">
        <f t="shared" si="92"/>
        <v/>
      </c>
      <c r="K2992" t="str">
        <f t="shared" si="93"/>
        <v/>
      </c>
    </row>
    <row r="2993" spans="7:11" x14ac:dyDescent="0.2">
      <c r="G2993" s="44"/>
      <c r="J2993" t="str">
        <f t="shared" si="92"/>
        <v/>
      </c>
      <c r="K2993" t="str">
        <f t="shared" si="93"/>
        <v/>
      </c>
    </row>
    <row r="2994" spans="7:11" x14ac:dyDescent="0.2">
      <c r="G2994" s="44"/>
      <c r="J2994" t="str">
        <f t="shared" si="92"/>
        <v/>
      </c>
      <c r="K2994" t="str">
        <f t="shared" si="93"/>
        <v/>
      </c>
    </row>
    <row r="2995" spans="7:11" x14ac:dyDescent="0.2">
      <c r="G2995" s="44"/>
      <c r="J2995" t="str">
        <f t="shared" si="92"/>
        <v/>
      </c>
      <c r="K2995" t="str">
        <f t="shared" si="93"/>
        <v/>
      </c>
    </row>
    <row r="2996" spans="7:11" x14ac:dyDescent="0.2">
      <c r="G2996" s="44"/>
      <c r="J2996" t="str">
        <f t="shared" si="92"/>
        <v/>
      </c>
      <c r="K2996" t="str">
        <f t="shared" si="93"/>
        <v/>
      </c>
    </row>
    <row r="2997" spans="7:11" x14ac:dyDescent="0.2">
      <c r="G2997" s="44"/>
      <c r="J2997" t="str">
        <f t="shared" si="92"/>
        <v/>
      </c>
      <c r="K2997" t="str">
        <f t="shared" si="93"/>
        <v/>
      </c>
    </row>
    <row r="2998" spans="7:11" x14ac:dyDescent="0.2">
      <c r="G2998" s="44"/>
      <c r="J2998" t="str">
        <f t="shared" si="92"/>
        <v/>
      </c>
      <c r="K2998" t="str">
        <f t="shared" si="93"/>
        <v/>
      </c>
    </row>
    <row r="2999" spans="7:11" x14ac:dyDescent="0.2">
      <c r="G2999" s="44"/>
      <c r="J2999" t="str">
        <f t="shared" si="92"/>
        <v/>
      </c>
      <c r="K2999" t="str">
        <f t="shared" si="93"/>
        <v/>
      </c>
    </row>
    <row r="3000" spans="7:11" x14ac:dyDescent="0.2">
      <c r="G3000" s="44"/>
      <c r="J3000" t="str">
        <f t="shared" si="92"/>
        <v/>
      </c>
      <c r="K3000" t="str">
        <f t="shared" si="93"/>
        <v/>
      </c>
    </row>
    <row r="3001" spans="7:11" x14ac:dyDescent="0.2">
      <c r="G3001" s="44"/>
      <c r="J3001" t="str">
        <f t="shared" si="92"/>
        <v/>
      </c>
      <c r="K3001" t="str">
        <f t="shared" si="93"/>
        <v/>
      </c>
    </row>
    <row r="3002" spans="7:11" x14ac:dyDescent="0.2">
      <c r="G3002" s="44"/>
      <c r="J3002" t="str">
        <f t="shared" si="92"/>
        <v/>
      </c>
      <c r="K3002" t="str">
        <f t="shared" si="93"/>
        <v/>
      </c>
    </row>
    <row r="3003" spans="7:11" x14ac:dyDescent="0.2">
      <c r="G3003" s="44"/>
      <c r="J3003" t="str">
        <f t="shared" si="92"/>
        <v/>
      </c>
      <c r="K3003" t="str">
        <f t="shared" si="93"/>
        <v/>
      </c>
    </row>
    <row r="3004" spans="7:11" x14ac:dyDescent="0.2">
      <c r="G3004" s="44"/>
      <c r="J3004" t="str">
        <f t="shared" si="92"/>
        <v/>
      </c>
      <c r="K3004" t="str">
        <f t="shared" si="93"/>
        <v/>
      </c>
    </row>
    <row r="3005" spans="7:11" x14ac:dyDescent="0.2">
      <c r="G3005" s="44"/>
      <c r="J3005" t="str">
        <f t="shared" si="92"/>
        <v/>
      </c>
      <c r="K3005" t="str">
        <f t="shared" si="93"/>
        <v/>
      </c>
    </row>
    <row r="3006" spans="7:11" x14ac:dyDescent="0.2">
      <c r="G3006" s="44"/>
      <c r="J3006" t="str">
        <f t="shared" si="92"/>
        <v/>
      </c>
      <c r="K3006" t="str">
        <f t="shared" si="93"/>
        <v/>
      </c>
    </row>
    <row r="3007" spans="7:11" x14ac:dyDescent="0.2">
      <c r="G3007" s="44"/>
      <c r="J3007" t="str">
        <f t="shared" si="92"/>
        <v/>
      </c>
      <c r="K3007" t="str">
        <f t="shared" si="93"/>
        <v/>
      </c>
    </row>
    <row r="3008" spans="7:11" x14ac:dyDescent="0.2">
      <c r="G3008" s="44"/>
      <c r="J3008" t="str">
        <f t="shared" si="92"/>
        <v/>
      </c>
      <c r="K3008" t="str">
        <f t="shared" si="93"/>
        <v/>
      </c>
    </row>
    <row r="3009" spans="7:11" x14ac:dyDescent="0.2">
      <c r="G3009" s="44"/>
      <c r="J3009" t="str">
        <f t="shared" si="92"/>
        <v/>
      </c>
      <c r="K3009" t="str">
        <f t="shared" si="93"/>
        <v/>
      </c>
    </row>
    <row r="3010" spans="7:11" x14ac:dyDescent="0.2">
      <c r="G3010" s="44"/>
      <c r="J3010" t="str">
        <f t="shared" ref="J3010:J3073" si="94">IF(E3010="","",IF(OR(E3010=50,E3010=51),"Iltindhold",IF(E3010=75,"Carbon,org,NVOC",IF(OR(E3010=343,E3010=1167),"Svovlbrinte",IF(OR(E3010=240,E3010=241,E3010=242),"Amm",IF(E3010=244,"Nitrit",IF(E3010=247,"Nitrat",IF(E3010=334,"Sulfat",IF(E3010=262,"Phosphor, total-P",F3010)))))))))</f>
        <v/>
      </c>
      <c r="K3010" t="str">
        <f t="shared" ref="K3010:K3073" si="95">IF(A3010="","",IF(H3010="!",NA(),IF(H3010="A",I3010*0.5,IF(H3010="&lt;",I3010*0.5,I3010))))</f>
        <v/>
      </c>
    </row>
    <row r="3011" spans="7:11" x14ac:dyDescent="0.2">
      <c r="G3011" s="44"/>
      <c r="J3011" t="str">
        <f t="shared" si="94"/>
        <v/>
      </c>
      <c r="K3011" t="str">
        <f t="shared" si="95"/>
        <v/>
      </c>
    </row>
    <row r="3012" spans="7:11" x14ac:dyDescent="0.2">
      <c r="G3012" s="44"/>
      <c r="J3012" t="str">
        <f t="shared" si="94"/>
        <v/>
      </c>
      <c r="K3012" t="str">
        <f t="shared" si="95"/>
        <v/>
      </c>
    </row>
    <row r="3013" spans="7:11" x14ac:dyDescent="0.2">
      <c r="G3013" s="44"/>
      <c r="J3013" t="str">
        <f t="shared" si="94"/>
        <v/>
      </c>
      <c r="K3013" t="str">
        <f t="shared" si="95"/>
        <v/>
      </c>
    </row>
    <row r="3014" spans="7:11" x14ac:dyDescent="0.2">
      <c r="G3014" s="44"/>
      <c r="J3014" t="str">
        <f t="shared" si="94"/>
        <v/>
      </c>
      <c r="K3014" t="str">
        <f t="shared" si="95"/>
        <v/>
      </c>
    </row>
    <row r="3015" spans="7:11" x14ac:dyDescent="0.2">
      <c r="G3015" s="44"/>
      <c r="J3015" t="str">
        <f t="shared" si="94"/>
        <v/>
      </c>
      <c r="K3015" t="str">
        <f t="shared" si="95"/>
        <v/>
      </c>
    </row>
    <row r="3016" spans="7:11" x14ac:dyDescent="0.2">
      <c r="G3016" s="44"/>
      <c r="J3016" t="str">
        <f t="shared" si="94"/>
        <v/>
      </c>
      <c r="K3016" t="str">
        <f t="shared" si="95"/>
        <v/>
      </c>
    </row>
    <row r="3017" spans="7:11" x14ac:dyDescent="0.2">
      <c r="G3017" s="44"/>
      <c r="J3017" t="str">
        <f t="shared" si="94"/>
        <v/>
      </c>
      <c r="K3017" t="str">
        <f t="shared" si="95"/>
        <v/>
      </c>
    </row>
    <row r="3018" spans="7:11" x14ac:dyDescent="0.2">
      <c r="G3018" s="44"/>
      <c r="J3018" t="str">
        <f t="shared" si="94"/>
        <v/>
      </c>
      <c r="K3018" t="str">
        <f t="shared" si="95"/>
        <v/>
      </c>
    </row>
    <row r="3019" spans="7:11" x14ac:dyDescent="0.2">
      <c r="G3019" s="44"/>
      <c r="J3019" t="str">
        <f t="shared" si="94"/>
        <v/>
      </c>
      <c r="K3019" t="str">
        <f t="shared" si="95"/>
        <v/>
      </c>
    </row>
    <row r="3020" spans="7:11" x14ac:dyDescent="0.2">
      <c r="G3020" s="44"/>
      <c r="J3020" t="str">
        <f t="shared" si="94"/>
        <v/>
      </c>
      <c r="K3020" t="str">
        <f t="shared" si="95"/>
        <v/>
      </c>
    </row>
    <row r="3021" spans="7:11" x14ac:dyDescent="0.2">
      <c r="G3021" s="44"/>
      <c r="J3021" t="str">
        <f t="shared" si="94"/>
        <v/>
      </c>
      <c r="K3021" t="str">
        <f t="shared" si="95"/>
        <v/>
      </c>
    </row>
    <row r="3022" spans="7:11" x14ac:dyDescent="0.2">
      <c r="G3022" s="44"/>
      <c r="J3022" t="str">
        <f t="shared" si="94"/>
        <v/>
      </c>
      <c r="K3022" t="str">
        <f t="shared" si="95"/>
        <v/>
      </c>
    </row>
    <row r="3023" spans="7:11" x14ac:dyDescent="0.2">
      <c r="G3023" s="44"/>
      <c r="J3023" t="str">
        <f t="shared" si="94"/>
        <v/>
      </c>
      <c r="K3023" t="str">
        <f t="shared" si="95"/>
        <v/>
      </c>
    </row>
    <row r="3024" spans="7:11" x14ac:dyDescent="0.2">
      <c r="G3024" s="44"/>
      <c r="J3024" t="str">
        <f t="shared" si="94"/>
        <v/>
      </c>
      <c r="K3024" t="str">
        <f t="shared" si="95"/>
        <v/>
      </c>
    </row>
    <row r="3025" spans="7:11" x14ac:dyDescent="0.2">
      <c r="G3025" s="44"/>
      <c r="J3025" t="str">
        <f t="shared" si="94"/>
        <v/>
      </c>
      <c r="K3025" t="str">
        <f t="shared" si="95"/>
        <v/>
      </c>
    </row>
    <row r="3026" spans="7:11" x14ac:dyDescent="0.2">
      <c r="G3026" s="44"/>
      <c r="J3026" t="str">
        <f t="shared" si="94"/>
        <v/>
      </c>
      <c r="K3026" t="str">
        <f t="shared" si="95"/>
        <v/>
      </c>
    </row>
    <row r="3027" spans="7:11" x14ac:dyDescent="0.2">
      <c r="G3027" s="44"/>
      <c r="J3027" t="str">
        <f t="shared" si="94"/>
        <v/>
      </c>
      <c r="K3027" t="str">
        <f t="shared" si="95"/>
        <v/>
      </c>
    </row>
    <row r="3028" spans="7:11" x14ac:dyDescent="0.2">
      <c r="G3028" s="44"/>
      <c r="J3028" t="str">
        <f t="shared" si="94"/>
        <v/>
      </c>
      <c r="K3028" t="str">
        <f t="shared" si="95"/>
        <v/>
      </c>
    </row>
    <row r="3029" spans="7:11" x14ac:dyDescent="0.2">
      <c r="G3029" s="44"/>
      <c r="J3029" t="str">
        <f t="shared" si="94"/>
        <v/>
      </c>
      <c r="K3029" t="str">
        <f t="shared" si="95"/>
        <v/>
      </c>
    </row>
    <row r="3030" spans="7:11" x14ac:dyDescent="0.2">
      <c r="G3030" s="44"/>
      <c r="J3030" t="str">
        <f t="shared" si="94"/>
        <v/>
      </c>
      <c r="K3030" t="str">
        <f t="shared" si="95"/>
        <v/>
      </c>
    </row>
    <row r="3031" spans="7:11" x14ac:dyDescent="0.2">
      <c r="G3031" s="44"/>
      <c r="J3031" t="str">
        <f t="shared" si="94"/>
        <v/>
      </c>
      <c r="K3031" t="str">
        <f t="shared" si="95"/>
        <v/>
      </c>
    </row>
    <row r="3032" spans="7:11" x14ac:dyDescent="0.2">
      <c r="G3032" s="44"/>
      <c r="J3032" t="str">
        <f t="shared" si="94"/>
        <v/>
      </c>
      <c r="K3032" t="str">
        <f t="shared" si="95"/>
        <v/>
      </c>
    </row>
    <row r="3033" spans="7:11" x14ac:dyDescent="0.2">
      <c r="G3033" s="44"/>
      <c r="J3033" t="str">
        <f t="shared" si="94"/>
        <v/>
      </c>
      <c r="K3033" t="str">
        <f t="shared" si="95"/>
        <v/>
      </c>
    </row>
    <row r="3034" spans="7:11" x14ac:dyDescent="0.2">
      <c r="G3034" s="44"/>
      <c r="J3034" t="str">
        <f t="shared" si="94"/>
        <v/>
      </c>
      <c r="K3034" t="str">
        <f t="shared" si="95"/>
        <v/>
      </c>
    </row>
    <row r="3035" spans="7:11" x14ac:dyDescent="0.2">
      <c r="G3035" s="44"/>
      <c r="J3035" t="str">
        <f t="shared" si="94"/>
        <v/>
      </c>
      <c r="K3035" t="str">
        <f t="shared" si="95"/>
        <v/>
      </c>
    </row>
    <row r="3036" spans="7:11" x14ac:dyDescent="0.2">
      <c r="G3036" s="44"/>
      <c r="J3036" t="str">
        <f t="shared" si="94"/>
        <v/>
      </c>
      <c r="K3036" t="str">
        <f t="shared" si="95"/>
        <v/>
      </c>
    </row>
    <row r="3037" spans="7:11" x14ac:dyDescent="0.2">
      <c r="G3037" s="44"/>
      <c r="J3037" t="str">
        <f t="shared" si="94"/>
        <v/>
      </c>
      <c r="K3037" t="str">
        <f t="shared" si="95"/>
        <v/>
      </c>
    </row>
    <row r="3038" spans="7:11" x14ac:dyDescent="0.2">
      <c r="G3038" s="44"/>
      <c r="J3038" t="str">
        <f t="shared" si="94"/>
        <v/>
      </c>
      <c r="K3038" t="str">
        <f t="shared" si="95"/>
        <v/>
      </c>
    </row>
    <row r="3039" spans="7:11" x14ac:dyDescent="0.2">
      <c r="G3039" s="44"/>
      <c r="J3039" t="str">
        <f t="shared" si="94"/>
        <v/>
      </c>
      <c r="K3039" t="str">
        <f t="shared" si="95"/>
        <v/>
      </c>
    </row>
    <row r="3040" spans="7:11" x14ac:dyDescent="0.2">
      <c r="G3040" s="44"/>
      <c r="J3040" t="str">
        <f t="shared" si="94"/>
        <v/>
      </c>
      <c r="K3040" t="str">
        <f t="shared" si="95"/>
        <v/>
      </c>
    </row>
    <row r="3041" spans="7:11" x14ac:dyDescent="0.2">
      <c r="G3041" s="44"/>
      <c r="J3041" t="str">
        <f t="shared" si="94"/>
        <v/>
      </c>
      <c r="K3041" t="str">
        <f t="shared" si="95"/>
        <v/>
      </c>
    </row>
    <row r="3042" spans="7:11" x14ac:dyDescent="0.2">
      <c r="G3042" s="44"/>
      <c r="J3042" t="str">
        <f t="shared" si="94"/>
        <v/>
      </c>
      <c r="K3042" t="str">
        <f t="shared" si="95"/>
        <v/>
      </c>
    </row>
    <row r="3043" spans="7:11" x14ac:dyDescent="0.2">
      <c r="G3043" s="44"/>
      <c r="J3043" t="str">
        <f t="shared" si="94"/>
        <v/>
      </c>
      <c r="K3043" t="str">
        <f t="shared" si="95"/>
        <v/>
      </c>
    </row>
    <row r="3044" spans="7:11" x14ac:dyDescent="0.2">
      <c r="G3044" s="44"/>
      <c r="J3044" t="str">
        <f t="shared" si="94"/>
        <v/>
      </c>
      <c r="K3044" t="str">
        <f t="shared" si="95"/>
        <v/>
      </c>
    </row>
    <row r="3045" spans="7:11" x14ac:dyDescent="0.2">
      <c r="G3045" s="44"/>
      <c r="J3045" t="str">
        <f t="shared" si="94"/>
        <v/>
      </c>
      <c r="K3045" t="str">
        <f t="shared" si="95"/>
        <v/>
      </c>
    </row>
    <row r="3046" spans="7:11" x14ac:dyDescent="0.2">
      <c r="G3046" s="44"/>
      <c r="J3046" t="str">
        <f t="shared" si="94"/>
        <v/>
      </c>
      <c r="K3046" t="str">
        <f t="shared" si="95"/>
        <v/>
      </c>
    </row>
    <row r="3047" spans="7:11" x14ac:dyDescent="0.2">
      <c r="G3047" s="44"/>
      <c r="J3047" t="str">
        <f t="shared" si="94"/>
        <v/>
      </c>
      <c r="K3047" t="str">
        <f t="shared" si="95"/>
        <v/>
      </c>
    </row>
    <row r="3048" spans="7:11" x14ac:dyDescent="0.2">
      <c r="G3048" s="44"/>
      <c r="J3048" t="str">
        <f t="shared" si="94"/>
        <v/>
      </c>
      <c r="K3048" t="str">
        <f t="shared" si="95"/>
        <v/>
      </c>
    </row>
    <row r="3049" spans="7:11" x14ac:dyDescent="0.2">
      <c r="G3049" s="44"/>
      <c r="J3049" t="str">
        <f t="shared" si="94"/>
        <v/>
      </c>
      <c r="K3049" t="str">
        <f t="shared" si="95"/>
        <v/>
      </c>
    </row>
    <row r="3050" spans="7:11" x14ac:dyDescent="0.2">
      <c r="G3050" s="44"/>
      <c r="J3050" t="str">
        <f t="shared" si="94"/>
        <v/>
      </c>
      <c r="K3050" t="str">
        <f t="shared" si="95"/>
        <v/>
      </c>
    </row>
    <row r="3051" spans="7:11" x14ac:dyDescent="0.2">
      <c r="G3051" s="44"/>
      <c r="J3051" t="str">
        <f t="shared" si="94"/>
        <v/>
      </c>
      <c r="K3051" t="str">
        <f t="shared" si="95"/>
        <v/>
      </c>
    </row>
    <row r="3052" spans="7:11" x14ac:dyDescent="0.2">
      <c r="G3052" s="44"/>
      <c r="J3052" t="str">
        <f t="shared" si="94"/>
        <v/>
      </c>
      <c r="K3052" t="str">
        <f t="shared" si="95"/>
        <v/>
      </c>
    </row>
    <row r="3053" spans="7:11" x14ac:dyDescent="0.2">
      <c r="G3053" s="44"/>
      <c r="J3053" t="str">
        <f t="shared" si="94"/>
        <v/>
      </c>
      <c r="K3053" t="str">
        <f t="shared" si="95"/>
        <v/>
      </c>
    </row>
    <row r="3054" spans="7:11" x14ac:dyDescent="0.2">
      <c r="G3054" s="44"/>
      <c r="J3054" t="str">
        <f t="shared" si="94"/>
        <v/>
      </c>
      <c r="K3054" t="str">
        <f t="shared" si="95"/>
        <v/>
      </c>
    </row>
    <row r="3055" spans="7:11" x14ac:dyDescent="0.2">
      <c r="G3055" s="44"/>
      <c r="J3055" t="str">
        <f t="shared" si="94"/>
        <v/>
      </c>
      <c r="K3055" t="str">
        <f t="shared" si="95"/>
        <v/>
      </c>
    </row>
    <row r="3056" spans="7:11" x14ac:dyDescent="0.2">
      <c r="G3056" s="44"/>
      <c r="J3056" t="str">
        <f t="shared" si="94"/>
        <v/>
      </c>
      <c r="K3056" t="str">
        <f t="shared" si="95"/>
        <v/>
      </c>
    </row>
    <row r="3057" spans="7:11" x14ac:dyDescent="0.2">
      <c r="G3057" s="44"/>
      <c r="J3057" t="str">
        <f t="shared" si="94"/>
        <v/>
      </c>
      <c r="K3057" t="str">
        <f t="shared" si="95"/>
        <v/>
      </c>
    </row>
    <row r="3058" spans="7:11" x14ac:dyDescent="0.2">
      <c r="G3058" s="44"/>
      <c r="J3058" t="str">
        <f t="shared" si="94"/>
        <v/>
      </c>
      <c r="K3058" t="str">
        <f t="shared" si="95"/>
        <v/>
      </c>
    </row>
    <row r="3059" spans="7:11" x14ac:dyDescent="0.2">
      <c r="G3059" s="44"/>
      <c r="J3059" t="str">
        <f t="shared" si="94"/>
        <v/>
      </c>
      <c r="K3059" t="str">
        <f t="shared" si="95"/>
        <v/>
      </c>
    </row>
    <row r="3060" spans="7:11" x14ac:dyDescent="0.2">
      <c r="G3060" s="44"/>
      <c r="J3060" t="str">
        <f t="shared" si="94"/>
        <v/>
      </c>
      <c r="K3060" t="str">
        <f t="shared" si="95"/>
        <v/>
      </c>
    </row>
    <row r="3061" spans="7:11" x14ac:dyDescent="0.2">
      <c r="G3061" s="44"/>
      <c r="J3061" t="str">
        <f t="shared" si="94"/>
        <v/>
      </c>
      <c r="K3061" t="str">
        <f t="shared" si="95"/>
        <v/>
      </c>
    </row>
    <row r="3062" spans="7:11" x14ac:dyDescent="0.2">
      <c r="G3062" s="44"/>
      <c r="J3062" t="str">
        <f t="shared" si="94"/>
        <v/>
      </c>
      <c r="K3062" t="str">
        <f t="shared" si="95"/>
        <v/>
      </c>
    </row>
    <row r="3063" spans="7:11" x14ac:dyDescent="0.2">
      <c r="G3063" s="44"/>
      <c r="J3063" t="str">
        <f t="shared" si="94"/>
        <v/>
      </c>
      <c r="K3063" t="str">
        <f t="shared" si="95"/>
        <v/>
      </c>
    </row>
    <row r="3064" spans="7:11" x14ac:dyDescent="0.2">
      <c r="G3064" s="44"/>
      <c r="J3064" t="str">
        <f t="shared" si="94"/>
        <v/>
      </c>
      <c r="K3064" t="str">
        <f t="shared" si="95"/>
        <v/>
      </c>
    </row>
    <row r="3065" spans="7:11" x14ac:dyDescent="0.2">
      <c r="G3065" s="44"/>
      <c r="J3065" t="str">
        <f t="shared" si="94"/>
        <v/>
      </c>
      <c r="K3065" t="str">
        <f t="shared" si="95"/>
        <v/>
      </c>
    </row>
    <row r="3066" spans="7:11" x14ac:dyDescent="0.2">
      <c r="G3066" s="44"/>
      <c r="J3066" t="str">
        <f t="shared" si="94"/>
        <v/>
      </c>
      <c r="K3066" t="str">
        <f t="shared" si="95"/>
        <v/>
      </c>
    </row>
    <row r="3067" spans="7:11" x14ac:dyDescent="0.2">
      <c r="G3067" s="44"/>
      <c r="J3067" t="str">
        <f t="shared" si="94"/>
        <v/>
      </c>
      <c r="K3067" t="str">
        <f t="shared" si="95"/>
        <v/>
      </c>
    </row>
    <row r="3068" spans="7:11" x14ac:dyDescent="0.2">
      <c r="G3068" s="44"/>
      <c r="J3068" t="str">
        <f t="shared" si="94"/>
        <v/>
      </c>
      <c r="K3068" t="str">
        <f t="shared" si="95"/>
        <v/>
      </c>
    </row>
    <row r="3069" spans="7:11" x14ac:dyDescent="0.2">
      <c r="G3069" s="44"/>
      <c r="J3069" t="str">
        <f t="shared" si="94"/>
        <v/>
      </c>
      <c r="K3069" t="str">
        <f t="shared" si="95"/>
        <v/>
      </c>
    </row>
    <row r="3070" spans="7:11" x14ac:dyDescent="0.2">
      <c r="G3070" s="44"/>
      <c r="J3070" t="str">
        <f t="shared" si="94"/>
        <v/>
      </c>
      <c r="K3070" t="str">
        <f t="shared" si="95"/>
        <v/>
      </c>
    </row>
    <row r="3071" spans="7:11" x14ac:dyDescent="0.2">
      <c r="G3071" s="44"/>
      <c r="J3071" t="str">
        <f t="shared" si="94"/>
        <v/>
      </c>
      <c r="K3071" t="str">
        <f t="shared" si="95"/>
        <v/>
      </c>
    </row>
    <row r="3072" spans="7:11" x14ac:dyDescent="0.2">
      <c r="G3072" s="44"/>
      <c r="J3072" t="str">
        <f t="shared" si="94"/>
        <v/>
      </c>
      <c r="K3072" t="str">
        <f t="shared" si="95"/>
        <v/>
      </c>
    </row>
    <row r="3073" spans="7:11" x14ac:dyDescent="0.2">
      <c r="G3073" s="44"/>
      <c r="J3073" t="str">
        <f t="shared" si="94"/>
        <v/>
      </c>
      <c r="K3073" t="str">
        <f t="shared" si="95"/>
        <v/>
      </c>
    </row>
    <row r="3074" spans="7:11" x14ac:dyDescent="0.2">
      <c r="G3074" s="44"/>
      <c r="J3074" t="str">
        <f t="shared" ref="J3074:J3137" si="96">IF(E3074="","",IF(OR(E3074=50,E3074=51),"Iltindhold",IF(E3074=75,"Carbon,org,NVOC",IF(OR(E3074=343,E3074=1167),"Svovlbrinte",IF(OR(E3074=240,E3074=241,E3074=242),"Amm",IF(E3074=244,"Nitrit",IF(E3074=247,"Nitrat",IF(E3074=334,"Sulfat",IF(E3074=262,"Phosphor, total-P",F3074)))))))))</f>
        <v/>
      </c>
      <c r="K3074" t="str">
        <f t="shared" ref="K3074:K3137" si="97">IF(A3074="","",IF(H3074="!",NA(),IF(H3074="A",I3074*0.5,IF(H3074="&lt;",I3074*0.5,I3074))))</f>
        <v/>
      </c>
    </row>
    <row r="3075" spans="7:11" x14ac:dyDescent="0.2">
      <c r="G3075" s="44"/>
      <c r="J3075" t="str">
        <f t="shared" si="96"/>
        <v/>
      </c>
      <c r="K3075" t="str">
        <f t="shared" si="97"/>
        <v/>
      </c>
    </row>
    <row r="3076" spans="7:11" x14ac:dyDescent="0.2">
      <c r="G3076" s="44"/>
      <c r="J3076" t="str">
        <f t="shared" si="96"/>
        <v/>
      </c>
      <c r="K3076" t="str">
        <f t="shared" si="97"/>
        <v/>
      </c>
    </row>
    <row r="3077" spans="7:11" x14ac:dyDescent="0.2">
      <c r="G3077" s="44"/>
      <c r="J3077" t="str">
        <f t="shared" si="96"/>
        <v/>
      </c>
      <c r="K3077" t="str">
        <f t="shared" si="97"/>
        <v/>
      </c>
    </row>
    <row r="3078" spans="7:11" x14ac:dyDescent="0.2">
      <c r="G3078" s="44"/>
      <c r="J3078" t="str">
        <f t="shared" si="96"/>
        <v/>
      </c>
      <c r="K3078" t="str">
        <f t="shared" si="97"/>
        <v/>
      </c>
    </row>
    <row r="3079" spans="7:11" x14ac:dyDescent="0.2">
      <c r="G3079" s="44"/>
      <c r="J3079" t="str">
        <f t="shared" si="96"/>
        <v/>
      </c>
      <c r="K3079" t="str">
        <f t="shared" si="97"/>
        <v/>
      </c>
    </row>
    <row r="3080" spans="7:11" x14ac:dyDescent="0.2">
      <c r="G3080" s="44"/>
      <c r="J3080" t="str">
        <f t="shared" si="96"/>
        <v/>
      </c>
      <c r="K3080" t="str">
        <f t="shared" si="97"/>
        <v/>
      </c>
    </row>
    <row r="3081" spans="7:11" x14ac:dyDescent="0.2">
      <c r="G3081" s="44"/>
      <c r="J3081" t="str">
        <f t="shared" si="96"/>
        <v/>
      </c>
      <c r="K3081" t="str">
        <f t="shared" si="97"/>
        <v/>
      </c>
    </row>
    <row r="3082" spans="7:11" x14ac:dyDescent="0.2">
      <c r="G3082" s="44"/>
      <c r="J3082" t="str">
        <f t="shared" si="96"/>
        <v/>
      </c>
      <c r="K3082" t="str">
        <f t="shared" si="97"/>
        <v/>
      </c>
    </row>
    <row r="3083" spans="7:11" x14ac:dyDescent="0.2">
      <c r="G3083" s="44"/>
      <c r="J3083" t="str">
        <f t="shared" si="96"/>
        <v/>
      </c>
      <c r="K3083" t="str">
        <f t="shared" si="97"/>
        <v/>
      </c>
    </row>
    <row r="3084" spans="7:11" x14ac:dyDescent="0.2">
      <c r="G3084" s="44"/>
      <c r="J3084" t="str">
        <f t="shared" si="96"/>
        <v/>
      </c>
      <c r="K3084" t="str">
        <f t="shared" si="97"/>
        <v/>
      </c>
    </row>
    <row r="3085" spans="7:11" x14ac:dyDescent="0.2">
      <c r="G3085" s="44"/>
      <c r="J3085" t="str">
        <f t="shared" si="96"/>
        <v/>
      </c>
      <c r="K3085" t="str">
        <f t="shared" si="97"/>
        <v/>
      </c>
    </row>
    <row r="3086" spans="7:11" x14ac:dyDescent="0.2">
      <c r="G3086" s="44"/>
      <c r="J3086" t="str">
        <f t="shared" si="96"/>
        <v/>
      </c>
      <c r="K3086" t="str">
        <f t="shared" si="97"/>
        <v/>
      </c>
    </row>
    <row r="3087" spans="7:11" x14ac:dyDescent="0.2">
      <c r="G3087" s="44"/>
      <c r="J3087" t="str">
        <f t="shared" si="96"/>
        <v/>
      </c>
      <c r="K3087" t="str">
        <f t="shared" si="97"/>
        <v/>
      </c>
    </row>
    <row r="3088" spans="7:11" x14ac:dyDescent="0.2">
      <c r="G3088" s="44"/>
      <c r="J3088" t="str">
        <f t="shared" si="96"/>
        <v/>
      </c>
      <c r="K3088" t="str">
        <f t="shared" si="97"/>
        <v/>
      </c>
    </row>
    <row r="3089" spans="7:11" x14ac:dyDescent="0.2">
      <c r="G3089" s="44"/>
      <c r="J3089" t="str">
        <f t="shared" si="96"/>
        <v/>
      </c>
      <c r="K3089" t="str">
        <f t="shared" si="97"/>
        <v/>
      </c>
    </row>
    <row r="3090" spans="7:11" x14ac:dyDescent="0.2">
      <c r="G3090" s="44"/>
      <c r="J3090" t="str">
        <f t="shared" si="96"/>
        <v/>
      </c>
      <c r="K3090" t="str">
        <f t="shared" si="97"/>
        <v/>
      </c>
    </row>
    <row r="3091" spans="7:11" x14ac:dyDescent="0.2">
      <c r="G3091" s="44"/>
      <c r="J3091" t="str">
        <f t="shared" si="96"/>
        <v/>
      </c>
      <c r="K3091" t="str">
        <f t="shared" si="97"/>
        <v/>
      </c>
    </row>
    <row r="3092" spans="7:11" x14ac:dyDescent="0.2">
      <c r="G3092" s="44"/>
      <c r="J3092" t="str">
        <f t="shared" si="96"/>
        <v/>
      </c>
      <c r="K3092" t="str">
        <f t="shared" si="97"/>
        <v/>
      </c>
    </row>
    <row r="3093" spans="7:11" x14ac:dyDescent="0.2">
      <c r="G3093" s="44"/>
      <c r="J3093" t="str">
        <f t="shared" si="96"/>
        <v/>
      </c>
      <c r="K3093" t="str">
        <f t="shared" si="97"/>
        <v/>
      </c>
    </row>
    <row r="3094" spans="7:11" x14ac:dyDescent="0.2">
      <c r="G3094" s="44"/>
      <c r="J3094" t="str">
        <f t="shared" si="96"/>
        <v/>
      </c>
      <c r="K3094" t="str">
        <f t="shared" si="97"/>
        <v/>
      </c>
    </row>
    <row r="3095" spans="7:11" x14ac:dyDescent="0.2">
      <c r="G3095" s="44"/>
      <c r="J3095" t="str">
        <f t="shared" si="96"/>
        <v/>
      </c>
      <c r="K3095" t="str">
        <f t="shared" si="97"/>
        <v/>
      </c>
    </row>
    <row r="3096" spans="7:11" x14ac:dyDescent="0.2">
      <c r="G3096" s="44"/>
      <c r="J3096" t="str">
        <f t="shared" si="96"/>
        <v/>
      </c>
      <c r="K3096" t="str">
        <f t="shared" si="97"/>
        <v/>
      </c>
    </row>
    <row r="3097" spans="7:11" x14ac:dyDescent="0.2">
      <c r="G3097" s="44"/>
      <c r="J3097" t="str">
        <f t="shared" si="96"/>
        <v/>
      </c>
      <c r="K3097" t="str">
        <f t="shared" si="97"/>
        <v/>
      </c>
    </row>
    <row r="3098" spans="7:11" x14ac:dyDescent="0.2">
      <c r="G3098" s="44"/>
      <c r="J3098" t="str">
        <f t="shared" si="96"/>
        <v/>
      </c>
      <c r="K3098" t="str">
        <f t="shared" si="97"/>
        <v/>
      </c>
    </row>
    <row r="3099" spans="7:11" x14ac:dyDescent="0.2">
      <c r="G3099" s="44"/>
      <c r="J3099" t="str">
        <f t="shared" si="96"/>
        <v/>
      </c>
      <c r="K3099" t="str">
        <f t="shared" si="97"/>
        <v/>
      </c>
    </row>
    <row r="3100" spans="7:11" x14ac:dyDescent="0.2">
      <c r="G3100" s="44"/>
      <c r="J3100" t="str">
        <f t="shared" si="96"/>
        <v/>
      </c>
      <c r="K3100" t="str">
        <f t="shared" si="97"/>
        <v/>
      </c>
    </row>
    <row r="3101" spans="7:11" x14ac:dyDescent="0.2">
      <c r="G3101" s="44"/>
      <c r="J3101" t="str">
        <f t="shared" si="96"/>
        <v/>
      </c>
      <c r="K3101" t="str">
        <f t="shared" si="97"/>
        <v/>
      </c>
    </row>
    <row r="3102" spans="7:11" x14ac:dyDescent="0.2">
      <c r="G3102" s="44"/>
      <c r="J3102" t="str">
        <f t="shared" si="96"/>
        <v/>
      </c>
      <c r="K3102" t="str">
        <f t="shared" si="97"/>
        <v/>
      </c>
    </row>
    <row r="3103" spans="7:11" x14ac:dyDescent="0.2">
      <c r="G3103" s="44"/>
      <c r="J3103" t="str">
        <f t="shared" si="96"/>
        <v/>
      </c>
      <c r="K3103" t="str">
        <f t="shared" si="97"/>
        <v/>
      </c>
    </row>
    <row r="3104" spans="7:11" x14ac:dyDescent="0.2">
      <c r="G3104" s="44"/>
      <c r="J3104" t="str">
        <f t="shared" si="96"/>
        <v/>
      </c>
      <c r="K3104" t="str">
        <f t="shared" si="97"/>
        <v/>
      </c>
    </row>
    <row r="3105" spans="7:11" x14ac:dyDescent="0.2">
      <c r="G3105" s="44"/>
      <c r="J3105" t="str">
        <f t="shared" si="96"/>
        <v/>
      </c>
      <c r="K3105" t="str">
        <f t="shared" si="97"/>
        <v/>
      </c>
    </row>
    <row r="3106" spans="7:11" x14ac:dyDescent="0.2">
      <c r="G3106" s="44"/>
      <c r="J3106" t="str">
        <f t="shared" si="96"/>
        <v/>
      </c>
      <c r="K3106" t="str">
        <f t="shared" si="97"/>
        <v/>
      </c>
    </row>
    <row r="3107" spans="7:11" x14ac:dyDescent="0.2">
      <c r="G3107" s="44"/>
      <c r="J3107" t="str">
        <f t="shared" si="96"/>
        <v/>
      </c>
      <c r="K3107" t="str">
        <f t="shared" si="97"/>
        <v/>
      </c>
    </row>
    <row r="3108" spans="7:11" x14ac:dyDescent="0.2">
      <c r="G3108" s="44"/>
      <c r="J3108" t="str">
        <f t="shared" si="96"/>
        <v/>
      </c>
      <c r="K3108" t="str">
        <f t="shared" si="97"/>
        <v/>
      </c>
    </row>
    <row r="3109" spans="7:11" x14ac:dyDescent="0.2">
      <c r="G3109" s="44"/>
      <c r="J3109" t="str">
        <f t="shared" si="96"/>
        <v/>
      </c>
      <c r="K3109" t="str">
        <f t="shared" si="97"/>
        <v/>
      </c>
    </row>
    <row r="3110" spans="7:11" x14ac:dyDescent="0.2">
      <c r="G3110" s="44"/>
      <c r="J3110" t="str">
        <f t="shared" si="96"/>
        <v/>
      </c>
      <c r="K3110" t="str">
        <f t="shared" si="97"/>
        <v/>
      </c>
    </row>
    <row r="3111" spans="7:11" x14ac:dyDescent="0.2">
      <c r="G3111" s="44"/>
      <c r="J3111" t="str">
        <f t="shared" si="96"/>
        <v/>
      </c>
      <c r="K3111" t="str">
        <f t="shared" si="97"/>
        <v/>
      </c>
    </row>
    <row r="3112" spans="7:11" x14ac:dyDescent="0.2">
      <c r="G3112" s="44"/>
      <c r="J3112" t="str">
        <f t="shared" si="96"/>
        <v/>
      </c>
      <c r="K3112" t="str">
        <f t="shared" si="97"/>
        <v/>
      </c>
    </row>
    <row r="3113" spans="7:11" x14ac:dyDescent="0.2">
      <c r="G3113" s="44"/>
      <c r="J3113" t="str">
        <f t="shared" si="96"/>
        <v/>
      </c>
      <c r="K3113" t="str">
        <f t="shared" si="97"/>
        <v/>
      </c>
    </row>
    <row r="3114" spans="7:11" x14ac:dyDescent="0.2">
      <c r="G3114" s="44"/>
      <c r="J3114" t="str">
        <f t="shared" si="96"/>
        <v/>
      </c>
      <c r="K3114" t="str">
        <f t="shared" si="97"/>
        <v/>
      </c>
    </row>
    <row r="3115" spans="7:11" x14ac:dyDescent="0.2">
      <c r="G3115" s="44"/>
      <c r="J3115" t="str">
        <f t="shared" si="96"/>
        <v/>
      </c>
      <c r="K3115" t="str">
        <f t="shared" si="97"/>
        <v/>
      </c>
    </row>
    <row r="3116" spans="7:11" x14ac:dyDescent="0.2">
      <c r="G3116" s="44"/>
      <c r="J3116" t="str">
        <f t="shared" si="96"/>
        <v/>
      </c>
      <c r="K3116" t="str">
        <f t="shared" si="97"/>
        <v/>
      </c>
    </row>
    <row r="3117" spans="7:11" x14ac:dyDescent="0.2">
      <c r="G3117" s="44"/>
      <c r="J3117" t="str">
        <f t="shared" si="96"/>
        <v/>
      </c>
      <c r="K3117" t="str">
        <f t="shared" si="97"/>
        <v/>
      </c>
    </row>
    <row r="3118" spans="7:11" x14ac:dyDescent="0.2">
      <c r="G3118" s="44"/>
      <c r="J3118" t="str">
        <f t="shared" si="96"/>
        <v/>
      </c>
      <c r="K3118" t="str">
        <f t="shared" si="97"/>
        <v/>
      </c>
    </row>
    <row r="3119" spans="7:11" x14ac:dyDescent="0.2">
      <c r="G3119" s="44"/>
      <c r="J3119" t="str">
        <f t="shared" si="96"/>
        <v/>
      </c>
      <c r="K3119" t="str">
        <f t="shared" si="97"/>
        <v/>
      </c>
    </row>
    <row r="3120" spans="7:11" x14ac:dyDescent="0.2">
      <c r="G3120" s="44"/>
      <c r="J3120" t="str">
        <f t="shared" si="96"/>
        <v/>
      </c>
      <c r="K3120" t="str">
        <f t="shared" si="97"/>
        <v/>
      </c>
    </row>
    <row r="3121" spans="7:11" x14ac:dyDescent="0.2">
      <c r="G3121" s="44"/>
      <c r="J3121" t="str">
        <f t="shared" si="96"/>
        <v/>
      </c>
      <c r="K3121" t="str">
        <f t="shared" si="97"/>
        <v/>
      </c>
    </row>
    <row r="3122" spans="7:11" x14ac:dyDescent="0.2">
      <c r="G3122" s="44"/>
      <c r="J3122" t="str">
        <f t="shared" si="96"/>
        <v/>
      </c>
      <c r="K3122" t="str">
        <f t="shared" si="97"/>
        <v/>
      </c>
    </row>
    <row r="3123" spans="7:11" x14ac:dyDescent="0.2">
      <c r="G3123" s="44"/>
      <c r="J3123" t="str">
        <f t="shared" si="96"/>
        <v/>
      </c>
      <c r="K3123" t="str">
        <f t="shared" si="97"/>
        <v/>
      </c>
    </row>
    <row r="3124" spans="7:11" x14ac:dyDescent="0.2">
      <c r="G3124" s="44"/>
      <c r="J3124" t="str">
        <f t="shared" si="96"/>
        <v/>
      </c>
      <c r="K3124" t="str">
        <f t="shared" si="97"/>
        <v/>
      </c>
    </row>
    <row r="3125" spans="7:11" x14ac:dyDescent="0.2">
      <c r="G3125" s="44"/>
      <c r="J3125" t="str">
        <f t="shared" si="96"/>
        <v/>
      </c>
      <c r="K3125" t="str">
        <f t="shared" si="97"/>
        <v/>
      </c>
    </row>
    <row r="3126" spans="7:11" x14ac:dyDescent="0.2">
      <c r="G3126" s="44"/>
      <c r="J3126" t="str">
        <f t="shared" si="96"/>
        <v/>
      </c>
      <c r="K3126" t="str">
        <f t="shared" si="97"/>
        <v/>
      </c>
    </row>
    <row r="3127" spans="7:11" x14ac:dyDescent="0.2">
      <c r="G3127" s="44"/>
      <c r="J3127" t="str">
        <f t="shared" si="96"/>
        <v/>
      </c>
      <c r="K3127" t="str">
        <f t="shared" si="97"/>
        <v/>
      </c>
    </row>
    <row r="3128" spans="7:11" x14ac:dyDescent="0.2">
      <c r="G3128" s="44"/>
      <c r="J3128" t="str">
        <f t="shared" si="96"/>
        <v/>
      </c>
      <c r="K3128" t="str">
        <f t="shared" si="97"/>
        <v/>
      </c>
    </row>
    <row r="3129" spans="7:11" x14ac:dyDescent="0.2">
      <c r="G3129" s="44"/>
      <c r="J3129" t="str">
        <f t="shared" si="96"/>
        <v/>
      </c>
      <c r="K3129" t="str">
        <f t="shared" si="97"/>
        <v/>
      </c>
    </row>
    <row r="3130" spans="7:11" x14ac:dyDescent="0.2">
      <c r="G3130" s="44"/>
      <c r="J3130" t="str">
        <f t="shared" si="96"/>
        <v/>
      </c>
      <c r="K3130" t="str">
        <f t="shared" si="97"/>
        <v/>
      </c>
    </row>
    <row r="3131" spans="7:11" x14ac:dyDescent="0.2">
      <c r="G3131" s="44"/>
      <c r="J3131" t="str">
        <f t="shared" si="96"/>
        <v/>
      </c>
      <c r="K3131" t="str">
        <f t="shared" si="97"/>
        <v/>
      </c>
    </row>
    <row r="3132" spans="7:11" x14ac:dyDescent="0.2">
      <c r="G3132" s="44"/>
      <c r="J3132" t="str">
        <f t="shared" si="96"/>
        <v/>
      </c>
      <c r="K3132" t="str">
        <f t="shared" si="97"/>
        <v/>
      </c>
    </row>
    <row r="3133" spans="7:11" x14ac:dyDescent="0.2">
      <c r="G3133" s="44"/>
      <c r="J3133" t="str">
        <f t="shared" si="96"/>
        <v/>
      </c>
      <c r="K3133" t="str">
        <f t="shared" si="97"/>
        <v/>
      </c>
    </row>
    <row r="3134" spans="7:11" x14ac:dyDescent="0.2">
      <c r="G3134" s="44"/>
      <c r="J3134" t="str">
        <f t="shared" si="96"/>
        <v/>
      </c>
      <c r="K3134" t="str">
        <f t="shared" si="97"/>
        <v/>
      </c>
    </row>
    <row r="3135" spans="7:11" x14ac:dyDescent="0.2">
      <c r="G3135" s="44"/>
      <c r="J3135" t="str">
        <f t="shared" si="96"/>
        <v/>
      </c>
      <c r="K3135" t="str">
        <f t="shared" si="97"/>
        <v/>
      </c>
    </row>
    <row r="3136" spans="7:11" x14ac:dyDescent="0.2">
      <c r="G3136" s="44"/>
      <c r="J3136" t="str">
        <f t="shared" si="96"/>
        <v/>
      </c>
      <c r="K3136" t="str">
        <f t="shared" si="97"/>
        <v/>
      </c>
    </row>
    <row r="3137" spans="7:11" x14ac:dyDescent="0.2">
      <c r="G3137" s="44"/>
      <c r="J3137" t="str">
        <f t="shared" si="96"/>
        <v/>
      </c>
      <c r="K3137" t="str">
        <f t="shared" si="97"/>
        <v/>
      </c>
    </row>
    <row r="3138" spans="7:11" x14ac:dyDescent="0.2">
      <c r="G3138" s="44"/>
      <c r="J3138" t="str">
        <f t="shared" ref="J3138:J3201" si="98">IF(E3138="","",IF(OR(E3138=50,E3138=51),"Iltindhold",IF(E3138=75,"Carbon,org,NVOC",IF(OR(E3138=343,E3138=1167),"Svovlbrinte",IF(OR(E3138=240,E3138=241,E3138=242),"Amm",IF(E3138=244,"Nitrit",IF(E3138=247,"Nitrat",IF(E3138=334,"Sulfat",IF(E3138=262,"Phosphor, total-P",F3138)))))))))</f>
        <v/>
      </c>
      <c r="K3138" t="str">
        <f t="shared" ref="K3138:K3201" si="99">IF(A3138="","",IF(H3138="!",NA(),IF(H3138="A",I3138*0.5,IF(H3138="&lt;",I3138*0.5,I3138))))</f>
        <v/>
      </c>
    </row>
    <row r="3139" spans="7:11" x14ac:dyDescent="0.2">
      <c r="G3139" s="44"/>
      <c r="J3139" t="str">
        <f t="shared" si="98"/>
        <v/>
      </c>
      <c r="K3139" t="str">
        <f t="shared" si="99"/>
        <v/>
      </c>
    </row>
    <row r="3140" spans="7:11" x14ac:dyDescent="0.2">
      <c r="G3140" s="44"/>
      <c r="J3140" t="str">
        <f t="shared" si="98"/>
        <v/>
      </c>
      <c r="K3140" t="str">
        <f t="shared" si="99"/>
        <v/>
      </c>
    </row>
    <row r="3141" spans="7:11" x14ac:dyDescent="0.2">
      <c r="G3141" s="44"/>
      <c r="J3141" t="str">
        <f t="shared" si="98"/>
        <v/>
      </c>
      <c r="K3141" t="str">
        <f t="shared" si="99"/>
        <v/>
      </c>
    </row>
    <row r="3142" spans="7:11" x14ac:dyDescent="0.2">
      <c r="G3142" s="44"/>
      <c r="J3142" t="str">
        <f t="shared" si="98"/>
        <v/>
      </c>
      <c r="K3142" t="str">
        <f t="shared" si="99"/>
        <v/>
      </c>
    </row>
    <row r="3143" spans="7:11" x14ac:dyDescent="0.2">
      <c r="G3143" s="44"/>
      <c r="J3143" t="str">
        <f t="shared" si="98"/>
        <v/>
      </c>
      <c r="K3143" t="str">
        <f t="shared" si="99"/>
        <v/>
      </c>
    </row>
    <row r="3144" spans="7:11" x14ac:dyDescent="0.2">
      <c r="G3144" s="44"/>
      <c r="J3144" t="str">
        <f t="shared" si="98"/>
        <v/>
      </c>
      <c r="K3144" t="str">
        <f t="shared" si="99"/>
        <v/>
      </c>
    </row>
    <row r="3145" spans="7:11" x14ac:dyDescent="0.2">
      <c r="G3145" s="44"/>
      <c r="J3145" t="str">
        <f t="shared" si="98"/>
        <v/>
      </c>
      <c r="K3145" t="str">
        <f t="shared" si="99"/>
        <v/>
      </c>
    </row>
    <row r="3146" spans="7:11" x14ac:dyDescent="0.2">
      <c r="G3146" s="44"/>
      <c r="J3146" t="str">
        <f t="shared" si="98"/>
        <v/>
      </c>
      <c r="K3146" t="str">
        <f t="shared" si="99"/>
        <v/>
      </c>
    </row>
    <row r="3147" spans="7:11" x14ac:dyDescent="0.2">
      <c r="G3147" s="44"/>
      <c r="J3147" t="str">
        <f t="shared" si="98"/>
        <v/>
      </c>
      <c r="K3147" t="str">
        <f t="shared" si="99"/>
        <v/>
      </c>
    </row>
    <row r="3148" spans="7:11" x14ac:dyDescent="0.2">
      <c r="G3148" s="44"/>
      <c r="J3148" t="str">
        <f t="shared" si="98"/>
        <v/>
      </c>
      <c r="K3148" t="str">
        <f t="shared" si="99"/>
        <v/>
      </c>
    </row>
    <row r="3149" spans="7:11" x14ac:dyDescent="0.2">
      <c r="G3149" s="44"/>
      <c r="J3149" t="str">
        <f t="shared" si="98"/>
        <v/>
      </c>
      <c r="K3149" t="str">
        <f t="shared" si="99"/>
        <v/>
      </c>
    </row>
    <row r="3150" spans="7:11" x14ac:dyDescent="0.2">
      <c r="G3150" s="44"/>
      <c r="J3150" t="str">
        <f t="shared" si="98"/>
        <v/>
      </c>
      <c r="K3150" t="str">
        <f t="shared" si="99"/>
        <v/>
      </c>
    </row>
    <row r="3151" spans="7:11" x14ac:dyDescent="0.2">
      <c r="G3151" s="44"/>
      <c r="J3151" t="str">
        <f t="shared" si="98"/>
        <v/>
      </c>
      <c r="K3151" t="str">
        <f t="shared" si="99"/>
        <v/>
      </c>
    </row>
    <row r="3152" spans="7:11" x14ac:dyDescent="0.2">
      <c r="G3152" s="44"/>
      <c r="J3152" t="str">
        <f t="shared" si="98"/>
        <v/>
      </c>
      <c r="K3152" t="str">
        <f t="shared" si="99"/>
        <v/>
      </c>
    </row>
    <row r="3153" spans="7:11" x14ac:dyDescent="0.2">
      <c r="G3153" s="44"/>
      <c r="J3153" t="str">
        <f t="shared" si="98"/>
        <v/>
      </c>
      <c r="K3153" t="str">
        <f t="shared" si="99"/>
        <v/>
      </c>
    </row>
    <row r="3154" spans="7:11" x14ac:dyDescent="0.2">
      <c r="G3154" s="44"/>
      <c r="J3154" t="str">
        <f t="shared" si="98"/>
        <v/>
      </c>
      <c r="K3154" t="str">
        <f t="shared" si="99"/>
        <v/>
      </c>
    </row>
    <row r="3155" spans="7:11" x14ac:dyDescent="0.2">
      <c r="G3155" s="44"/>
      <c r="J3155" t="str">
        <f t="shared" si="98"/>
        <v/>
      </c>
      <c r="K3155" t="str">
        <f t="shared" si="99"/>
        <v/>
      </c>
    </row>
    <row r="3156" spans="7:11" x14ac:dyDescent="0.2">
      <c r="G3156" s="44"/>
      <c r="J3156" t="str">
        <f t="shared" si="98"/>
        <v/>
      </c>
      <c r="K3156" t="str">
        <f t="shared" si="99"/>
        <v/>
      </c>
    </row>
    <row r="3157" spans="7:11" x14ac:dyDescent="0.2">
      <c r="G3157" s="44"/>
      <c r="J3157" t="str">
        <f t="shared" si="98"/>
        <v/>
      </c>
      <c r="K3157" t="str">
        <f t="shared" si="99"/>
        <v/>
      </c>
    </row>
    <row r="3158" spans="7:11" x14ac:dyDescent="0.2">
      <c r="G3158" s="44"/>
      <c r="J3158" t="str">
        <f t="shared" si="98"/>
        <v/>
      </c>
      <c r="K3158" t="str">
        <f t="shared" si="99"/>
        <v/>
      </c>
    </row>
    <row r="3159" spans="7:11" x14ac:dyDescent="0.2">
      <c r="G3159" s="44"/>
      <c r="J3159" t="str">
        <f t="shared" si="98"/>
        <v/>
      </c>
      <c r="K3159" t="str">
        <f t="shared" si="99"/>
        <v/>
      </c>
    </row>
    <row r="3160" spans="7:11" x14ac:dyDescent="0.2">
      <c r="G3160" s="44"/>
      <c r="J3160" t="str">
        <f t="shared" si="98"/>
        <v/>
      </c>
      <c r="K3160" t="str">
        <f t="shared" si="99"/>
        <v/>
      </c>
    </row>
    <row r="3161" spans="7:11" x14ac:dyDescent="0.2">
      <c r="G3161" s="44"/>
      <c r="J3161" t="str">
        <f t="shared" si="98"/>
        <v/>
      </c>
      <c r="K3161" t="str">
        <f t="shared" si="99"/>
        <v/>
      </c>
    </row>
    <row r="3162" spans="7:11" x14ac:dyDescent="0.2">
      <c r="G3162" s="44"/>
      <c r="J3162" t="str">
        <f t="shared" si="98"/>
        <v/>
      </c>
      <c r="K3162" t="str">
        <f t="shared" si="99"/>
        <v/>
      </c>
    </row>
    <row r="3163" spans="7:11" x14ac:dyDescent="0.2">
      <c r="G3163" s="44"/>
      <c r="J3163" t="str">
        <f t="shared" si="98"/>
        <v/>
      </c>
      <c r="K3163" t="str">
        <f t="shared" si="99"/>
        <v/>
      </c>
    </row>
    <row r="3164" spans="7:11" x14ac:dyDescent="0.2">
      <c r="G3164" s="44"/>
      <c r="J3164" t="str">
        <f t="shared" si="98"/>
        <v/>
      </c>
      <c r="K3164" t="str">
        <f t="shared" si="99"/>
        <v/>
      </c>
    </row>
    <row r="3165" spans="7:11" x14ac:dyDescent="0.2">
      <c r="G3165" s="44"/>
      <c r="J3165" t="str">
        <f t="shared" si="98"/>
        <v/>
      </c>
      <c r="K3165" t="str">
        <f t="shared" si="99"/>
        <v/>
      </c>
    </row>
    <row r="3166" spans="7:11" x14ac:dyDescent="0.2">
      <c r="G3166" s="44"/>
      <c r="J3166" t="str">
        <f t="shared" si="98"/>
        <v/>
      </c>
      <c r="K3166" t="str">
        <f t="shared" si="99"/>
        <v/>
      </c>
    </row>
    <row r="3167" spans="7:11" x14ac:dyDescent="0.2">
      <c r="G3167" s="44"/>
      <c r="J3167" t="str">
        <f t="shared" si="98"/>
        <v/>
      </c>
      <c r="K3167" t="str">
        <f t="shared" si="99"/>
        <v/>
      </c>
    </row>
    <row r="3168" spans="7:11" x14ac:dyDescent="0.2">
      <c r="G3168" s="44"/>
      <c r="J3168" t="str">
        <f t="shared" si="98"/>
        <v/>
      </c>
      <c r="K3168" t="str">
        <f t="shared" si="99"/>
        <v/>
      </c>
    </row>
    <row r="3169" spans="7:11" x14ac:dyDescent="0.2">
      <c r="G3169" s="44"/>
      <c r="J3169" t="str">
        <f t="shared" si="98"/>
        <v/>
      </c>
      <c r="K3169" t="str">
        <f t="shared" si="99"/>
        <v/>
      </c>
    </row>
    <row r="3170" spans="7:11" x14ac:dyDescent="0.2">
      <c r="G3170" s="44"/>
      <c r="J3170" t="str">
        <f t="shared" si="98"/>
        <v/>
      </c>
      <c r="K3170" t="str">
        <f t="shared" si="99"/>
        <v/>
      </c>
    </row>
    <row r="3171" spans="7:11" x14ac:dyDescent="0.2">
      <c r="G3171" s="44"/>
      <c r="J3171" t="str">
        <f t="shared" si="98"/>
        <v/>
      </c>
      <c r="K3171" t="str">
        <f t="shared" si="99"/>
        <v/>
      </c>
    </row>
    <row r="3172" spans="7:11" x14ac:dyDescent="0.2">
      <c r="G3172" s="44"/>
      <c r="J3172" t="str">
        <f t="shared" si="98"/>
        <v/>
      </c>
      <c r="K3172" t="str">
        <f t="shared" si="99"/>
        <v/>
      </c>
    </row>
    <row r="3173" spans="7:11" x14ac:dyDescent="0.2">
      <c r="G3173" s="44"/>
      <c r="J3173" t="str">
        <f t="shared" si="98"/>
        <v/>
      </c>
      <c r="K3173" t="str">
        <f t="shared" si="99"/>
        <v/>
      </c>
    </row>
    <row r="3174" spans="7:11" x14ac:dyDescent="0.2">
      <c r="G3174" s="44"/>
      <c r="J3174" t="str">
        <f t="shared" si="98"/>
        <v/>
      </c>
      <c r="K3174" t="str">
        <f t="shared" si="99"/>
        <v/>
      </c>
    </row>
    <row r="3175" spans="7:11" x14ac:dyDescent="0.2">
      <c r="G3175" s="44"/>
      <c r="J3175" t="str">
        <f t="shared" si="98"/>
        <v/>
      </c>
      <c r="K3175" t="str">
        <f t="shared" si="99"/>
        <v/>
      </c>
    </row>
    <row r="3176" spans="7:11" x14ac:dyDescent="0.2">
      <c r="G3176" s="44"/>
      <c r="J3176" t="str">
        <f t="shared" si="98"/>
        <v/>
      </c>
      <c r="K3176" t="str">
        <f t="shared" si="99"/>
        <v/>
      </c>
    </row>
    <row r="3177" spans="7:11" x14ac:dyDescent="0.2">
      <c r="G3177" s="44"/>
      <c r="J3177" t="str">
        <f t="shared" si="98"/>
        <v/>
      </c>
      <c r="K3177" t="str">
        <f t="shared" si="99"/>
        <v/>
      </c>
    </row>
    <row r="3178" spans="7:11" x14ac:dyDescent="0.2">
      <c r="G3178" s="44"/>
      <c r="J3178" t="str">
        <f t="shared" si="98"/>
        <v/>
      </c>
      <c r="K3178" t="str">
        <f t="shared" si="99"/>
        <v/>
      </c>
    </row>
    <row r="3179" spans="7:11" x14ac:dyDescent="0.2">
      <c r="G3179" s="44"/>
      <c r="J3179" t="str">
        <f t="shared" si="98"/>
        <v/>
      </c>
      <c r="K3179" t="str">
        <f t="shared" si="99"/>
        <v/>
      </c>
    </row>
    <row r="3180" spans="7:11" x14ac:dyDescent="0.2">
      <c r="G3180" s="44"/>
      <c r="J3180" t="str">
        <f t="shared" si="98"/>
        <v/>
      </c>
      <c r="K3180" t="str">
        <f t="shared" si="99"/>
        <v/>
      </c>
    </row>
    <row r="3181" spans="7:11" x14ac:dyDescent="0.2">
      <c r="G3181" s="44"/>
      <c r="J3181" t="str">
        <f t="shared" si="98"/>
        <v/>
      </c>
      <c r="K3181" t="str">
        <f t="shared" si="99"/>
        <v/>
      </c>
    </row>
    <row r="3182" spans="7:11" x14ac:dyDescent="0.2">
      <c r="G3182" s="44"/>
      <c r="J3182" t="str">
        <f t="shared" si="98"/>
        <v/>
      </c>
      <c r="K3182" t="str">
        <f t="shared" si="99"/>
        <v/>
      </c>
    </row>
    <row r="3183" spans="7:11" x14ac:dyDescent="0.2">
      <c r="G3183" s="44"/>
      <c r="J3183" t="str">
        <f t="shared" si="98"/>
        <v/>
      </c>
      <c r="K3183" t="str">
        <f t="shared" si="99"/>
        <v/>
      </c>
    </row>
    <row r="3184" spans="7:11" x14ac:dyDescent="0.2">
      <c r="G3184" s="44"/>
      <c r="J3184" t="str">
        <f t="shared" si="98"/>
        <v/>
      </c>
      <c r="K3184" t="str">
        <f t="shared" si="99"/>
        <v/>
      </c>
    </row>
    <row r="3185" spans="7:11" x14ac:dyDescent="0.2">
      <c r="G3185" s="44"/>
      <c r="J3185" t="str">
        <f t="shared" si="98"/>
        <v/>
      </c>
      <c r="K3185" t="str">
        <f t="shared" si="99"/>
        <v/>
      </c>
    </row>
    <row r="3186" spans="7:11" x14ac:dyDescent="0.2">
      <c r="G3186" s="44"/>
      <c r="J3186" t="str">
        <f t="shared" si="98"/>
        <v/>
      </c>
      <c r="K3186" t="str">
        <f t="shared" si="99"/>
        <v/>
      </c>
    </row>
    <row r="3187" spans="7:11" x14ac:dyDescent="0.2">
      <c r="G3187" s="44"/>
      <c r="J3187" t="str">
        <f t="shared" si="98"/>
        <v/>
      </c>
      <c r="K3187" t="str">
        <f t="shared" si="99"/>
        <v/>
      </c>
    </row>
    <row r="3188" spans="7:11" x14ac:dyDescent="0.2">
      <c r="G3188" s="44"/>
      <c r="J3188" t="str">
        <f t="shared" si="98"/>
        <v/>
      </c>
      <c r="K3188" t="str">
        <f t="shared" si="99"/>
        <v/>
      </c>
    </row>
    <row r="3189" spans="7:11" x14ac:dyDescent="0.2">
      <c r="G3189" s="44"/>
      <c r="J3189" t="str">
        <f t="shared" si="98"/>
        <v/>
      </c>
      <c r="K3189" t="str">
        <f t="shared" si="99"/>
        <v/>
      </c>
    </row>
    <row r="3190" spans="7:11" x14ac:dyDescent="0.2">
      <c r="G3190" s="44"/>
      <c r="J3190" t="str">
        <f t="shared" si="98"/>
        <v/>
      </c>
      <c r="K3190" t="str">
        <f t="shared" si="99"/>
        <v/>
      </c>
    </row>
    <row r="3191" spans="7:11" x14ac:dyDescent="0.2">
      <c r="G3191" s="44"/>
      <c r="J3191" t="str">
        <f t="shared" si="98"/>
        <v/>
      </c>
      <c r="K3191" t="str">
        <f t="shared" si="99"/>
        <v/>
      </c>
    </row>
    <row r="3192" spans="7:11" x14ac:dyDescent="0.2">
      <c r="G3192" s="44"/>
      <c r="J3192" t="str">
        <f t="shared" si="98"/>
        <v/>
      </c>
      <c r="K3192" t="str">
        <f t="shared" si="99"/>
        <v/>
      </c>
    </row>
    <row r="3193" spans="7:11" x14ac:dyDescent="0.2">
      <c r="G3193" s="44"/>
      <c r="J3193" t="str">
        <f t="shared" si="98"/>
        <v/>
      </c>
      <c r="K3193" t="str">
        <f t="shared" si="99"/>
        <v/>
      </c>
    </row>
    <row r="3194" spans="7:11" x14ac:dyDescent="0.2">
      <c r="G3194" s="44"/>
      <c r="J3194" t="str">
        <f t="shared" si="98"/>
        <v/>
      </c>
      <c r="K3194" t="str">
        <f t="shared" si="99"/>
        <v/>
      </c>
    </row>
    <row r="3195" spans="7:11" x14ac:dyDescent="0.2">
      <c r="G3195" s="44"/>
      <c r="J3195" t="str">
        <f t="shared" si="98"/>
        <v/>
      </c>
      <c r="K3195" t="str">
        <f t="shared" si="99"/>
        <v/>
      </c>
    </row>
    <row r="3196" spans="7:11" x14ac:dyDescent="0.2">
      <c r="G3196" s="44"/>
      <c r="J3196" t="str">
        <f t="shared" si="98"/>
        <v/>
      </c>
      <c r="K3196" t="str">
        <f t="shared" si="99"/>
        <v/>
      </c>
    </row>
    <row r="3197" spans="7:11" x14ac:dyDescent="0.2">
      <c r="G3197" s="44"/>
      <c r="J3197" t="str">
        <f t="shared" si="98"/>
        <v/>
      </c>
      <c r="K3197" t="str">
        <f t="shared" si="99"/>
        <v/>
      </c>
    </row>
    <row r="3198" spans="7:11" x14ac:dyDescent="0.2">
      <c r="G3198" s="44"/>
      <c r="J3198" t="str">
        <f t="shared" si="98"/>
        <v/>
      </c>
      <c r="K3198" t="str">
        <f t="shared" si="99"/>
        <v/>
      </c>
    </row>
    <row r="3199" spans="7:11" x14ac:dyDescent="0.2">
      <c r="G3199" s="44"/>
      <c r="J3199" t="str">
        <f t="shared" si="98"/>
        <v/>
      </c>
      <c r="K3199" t="str">
        <f t="shared" si="99"/>
        <v/>
      </c>
    </row>
    <row r="3200" spans="7:11" x14ac:dyDescent="0.2">
      <c r="G3200" s="44"/>
      <c r="J3200" t="str">
        <f t="shared" si="98"/>
        <v/>
      </c>
      <c r="K3200" t="str">
        <f t="shared" si="99"/>
        <v/>
      </c>
    </row>
    <row r="3201" spans="7:11" x14ac:dyDescent="0.2">
      <c r="G3201" s="44"/>
      <c r="J3201" t="str">
        <f t="shared" si="98"/>
        <v/>
      </c>
      <c r="K3201" t="str">
        <f t="shared" si="99"/>
        <v/>
      </c>
    </row>
    <row r="3202" spans="7:11" x14ac:dyDescent="0.2">
      <c r="G3202" s="44"/>
      <c r="J3202" t="str">
        <f t="shared" ref="J3202:J3265" si="100">IF(E3202="","",IF(OR(E3202=50,E3202=51),"Iltindhold",IF(E3202=75,"Carbon,org,NVOC",IF(OR(E3202=343,E3202=1167),"Svovlbrinte",IF(OR(E3202=240,E3202=241,E3202=242),"Amm",IF(E3202=244,"Nitrit",IF(E3202=247,"Nitrat",IF(E3202=334,"Sulfat",IF(E3202=262,"Phosphor, total-P",F3202)))))))))</f>
        <v/>
      </c>
      <c r="K3202" t="str">
        <f t="shared" ref="K3202:K3265" si="101">IF(A3202="","",IF(H3202="!",NA(),IF(H3202="A",I3202*0.5,IF(H3202="&lt;",I3202*0.5,I3202))))</f>
        <v/>
      </c>
    </row>
    <row r="3203" spans="7:11" x14ac:dyDescent="0.2">
      <c r="G3203" s="44"/>
      <c r="J3203" t="str">
        <f t="shared" si="100"/>
        <v/>
      </c>
      <c r="K3203" t="str">
        <f t="shared" si="101"/>
        <v/>
      </c>
    </row>
    <row r="3204" spans="7:11" x14ac:dyDescent="0.2">
      <c r="G3204" s="44"/>
      <c r="J3204" t="str">
        <f t="shared" si="100"/>
        <v/>
      </c>
      <c r="K3204" t="str">
        <f t="shared" si="101"/>
        <v/>
      </c>
    </row>
    <row r="3205" spans="7:11" x14ac:dyDescent="0.2">
      <c r="G3205" s="44"/>
      <c r="J3205" t="str">
        <f t="shared" si="100"/>
        <v/>
      </c>
      <c r="K3205" t="str">
        <f t="shared" si="101"/>
        <v/>
      </c>
    </row>
    <row r="3206" spans="7:11" x14ac:dyDescent="0.2">
      <c r="G3206" s="44"/>
      <c r="J3206" t="str">
        <f t="shared" si="100"/>
        <v/>
      </c>
      <c r="K3206" t="str">
        <f t="shared" si="101"/>
        <v/>
      </c>
    </row>
    <row r="3207" spans="7:11" x14ac:dyDescent="0.2">
      <c r="G3207" s="44"/>
      <c r="J3207" t="str">
        <f t="shared" si="100"/>
        <v/>
      </c>
      <c r="K3207" t="str">
        <f t="shared" si="101"/>
        <v/>
      </c>
    </row>
    <row r="3208" spans="7:11" x14ac:dyDescent="0.2">
      <c r="G3208" s="44"/>
      <c r="J3208" t="str">
        <f t="shared" si="100"/>
        <v/>
      </c>
      <c r="K3208" t="str">
        <f t="shared" si="101"/>
        <v/>
      </c>
    </row>
    <row r="3209" spans="7:11" x14ac:dyDescent="0.2">
      <c r="G3209" s="44"/>
      <c r="J3209" t="str">
        <f t="shared" si="100"/>
        <v/>
      </c>
      <c r="K3209" t="str">
        <f t="shared" si="101"/>
        <v/>
      </c>
    </row>
    <row r="3210" spans="7:11" x14ac:dyDescent="0.2">
      <c r="G3210" s="44"/>
      <c r="J3210" t="str">
        <f t="shared" si="100"/>
        <v/>
      </c>
      <c r="K3210" t="str">
        <f t="shared" si="101"/>
        <v/>
      </c>
    </row>
    <row r="3211" spans="7:11" x14ac:dyDescent="0.2">
      <c r="G3211" s="44"/>
      <c r="J3211" t="str">
        <f t="shared" si="100"/>
        <v/>
      </c>
      <c r="K3211" t="str">
        <f t="shared" si="101"/>
        <v/>
      </c>
    </row>
    <row r="3212" spans="7:11" x14ac:dyDescent="0.2">
      <c r="G3212" s="44"/>
      <c r="J3212" t="str">
        <f t="shared" si="100"/>
        <v/>
      </c>
      <c r="K3212" t="str">
        <f t="shared" si="101"/>
        <v/>
      </c>
    </row>
    <row r="3213" spans="7:11" x14ac:dyDescent="0.2">
      <c r="G3213" s="44"/>
      <c r="J3213" t="str">
        <f t="shared" si="100"/>
        <v/>
      </c>
      <c r="K3213" t="str">
        <f t="shared" si="101"/>
        <v/>
      </c>
    </row>
    <row r="3214" spans="7:11" x14ac:dyDescent="0.2">
      <c r="G3214" s="44"/>
      <c r="J3214" t="str">
        <f t="shared" si="100"/>
        <v/>
      </c>
      <c r="K3214" t="str">
        <f t="shared" si="101"/>
        <v/>
      </c>
    </row>
    <row r="3215" spans="7:11" x14ac:dyDescent="0.2">
      <c r="G3215" s="44"/>
      <c r="J3215" t="str">
        <f t="shared" si="100"/>
        <v/>
      </c>
      <c r="K3215" t="str">
        <f t="shared" si="101"/>
        <v/>
      </c>
    </row>
    <row r="3216" spans="7:11" x14ac:dyDescent="0.2">
      <c r="G3216" s="44"/>
      <c r="J3216" t="str">
        <f t="shared" si="100"/>
        <v/>
      </c>
      <c r="K3216" t="str">
        <f t="shared" si="101"/>
        <v/>
      </c>
    </row>
    <row r="3217" spans="7:11" x14ac:dyDescent="0.2">
      <c r="G3217" s="44"/>
      <c r="J3217" t="str">
        <f t="shared" si="100"/>
        <v/>
      </c>
      <c r="K3217" t="str">
        <f t="shared" si="101"/>
        <v/>
      </c>
    </row>
    <row r="3218" spans="7:11" x14ac:dyDescent="0.2">
      <c r="G3218" s="44"/>
      <c r="J3218" t="str">
        <f t="shared" si="100"/>
        <v/>
      </c>
      <c r="K3218" t="str">
        <f t="shared" si="101"/>
        <v/>
      </c>
    </row>
    <row r="3219" spans="7:11" x14ac:dyDescent="0.2">
      <c r="G3219" s="44"/>
      <c r="J3219" t="str">
        <f t="shared" si="100"/>
        <v/>
      </c>
      <c r="K3219" t="str">
        <f t="shared" si="101"/>
        <v/>
      </c>
    </row>
    <row r="3220" spans="7:11" x14ac:dyDescent="0.2">
      <c r="G3220" s="44"/>
      <c r="J3220" t="str">
        <f t="shared" si="100"/>
        <v/>
      </c>
      <c r="K3220" t="str">
        <f t="shared" si="101"/>
        <v/>
      </c>
    </row>
    <row r="3221" spans="7:11" x14ac:dyDescent="0.2">
      <c r="G3221" s="44"/>
      <c r="J3221" t="str">
        <f t="shared" si="100"/>
        <v/>
      </c>
      <c r="K3221" t="str">
        <f t="shared" si="101"/>
        <v/>
      </c>
    </row>
    <row r="3222" spans="7:11" x14ac:dyDescent="0.2">
      <c r="G3222" s="44"/>
      <c r="J3222" t="str">
        <f t="shared" si="100"/>
        <v/>
      </c>
      <c r="K3222" t="str">
        <f t="shared" si="101"/>
        <v/>
      </c>
    </row>
    <row r="3223" spans="7:11" x14ac:dyDescent="0.2">
      <c r="G3223" s="44"/>
      <c r="J3223" t="str">
        <f t="shared" si="100"/>
        <v/>
      </c>
      <c r="K3223" t="str">
        <f t="shared" si="101"/>
        <v/>
      </c>
    </row>
    <row r="3224" spans="7:11" x14ac:dyDescent="0.2">
      <c r="G3224" s="44"/>
      <c r="J3224" t="str">
        <f t="shared" si="100"/>
        <v/>
      </c>
      <c r="K3224" t="str">
        <f t="shared" si="101"/>
        <v/>
      </c>
    </row>
    <row r="3225" spans="7:11" x14ac:dyDescent="0.2">
      <c r="G3225" s="44"/>
      <c r="J3225" t="str">
        <f t="shared" si="100"/>
        <v/>
      </c>
      <c r="K3225" t="str">
        <f t="shared" si="101"/>
        <v/>
      </c>
    </row>
    <row r="3226" spans="7:11" x14ac:dyDescent="0.2">
      <c r="G3226" s="44"/>
      <c r="J3226" t="str">
        <f t="shared" si="100"/>
        <v/>
      </c>
      <c r="K3226" t="str">
        <f t="shared" si="101"/>
        <v/>
      </c>
    </row>
    <row r="3227" spans="7:11" x14ac:dyDescent="0.2">
      <c r="G3227" s="44"/>
      <c r="J3227" t="str">
        <f t="shared" si="100"/>
        <v/>
      </c>
      <c r="K3227" t="str">
        <f t="shared" si="101"/>
        <v/>
      </c>
    </row>
    <row r="3228" spans="7:11" x14ac:dyDescent="0.2">
      <c r="G3228" s="44"/>
      <c r="J3228" t="str">
        <f t="shared" si="100"/>
        <v/>
      </c>
      <c r="K3228" t="str">
        <f t="shared" si="101"/>
        <v/>
      </c>
    </row>
    <row r="3229" spans="7:11" x14ac:dyDescent="0.2">
      <c r="G3229" s="44"/>
      <c r="J3229" t="str">
        <f t="shared" si="100"/>
        <v/>
      </c>
      <c r="K3229" t="str">
        <f t="shared" si="101"/>
        <v/>
      </c>
    </row>
    <row r="3230" spans="7:11" x14ac:dyDescent="0.2">
      <c r="G3230" s="44"/>
      <c r="J3230" t="str">
        <f t="shared" si="100"/>
        <v/>
      </c>
      <c r="K3230" t="str">
        <f t="shared" si="101"/>
        <v/>
      </c>
    </row>
    <row r="3231" spans="7:11" x14ac:dyDescent="0.2">
      <c r="G3231" s="44"/>
      <c r="J3231" t="str">
        <f t="shared" si="100"/>
        <v/>
      </c>
      <c r="K3231" t="str">
        <f t="shared" si="101"/>
        <v/>
      </c>
    </row>
    <row r="3232" spans="7:11" x14ac:dyDescent="0.2">
      <c r="G3232" s="44"/>
      <c r="J3232" t="str">
        <f t="shared" si="100"/>
        <v/>
      </c>
      <c r="K3232" t="str">
        <f t="shared" si="101"/>
        <v/>
      </c>
    </row>
    <row r="3233" spans="7:11" x14ac:dyDescent="0.2">
      <c r="G3233" s="44"/>
      <c r="J3233" t="str">
        <f t="shared" si="100"/>
        <v/>
      </c>
      <c r="K3233" t="str">
        <f t="shared" si="101"/>
        <v/>
      </c>
    </row>
    <row r="3234" spans="7:11" x14ac:dyDescent="0.2">
      <c r="G3234" s="44"/>
      <c r="J3234" t="str">
        <f t="shared" si="100"/>
        <v/>
      </c>
      <c r="K3234" t="str">
        <f t="shared" si="101"/>
        <v/>
      </c>
    </row>
    <row r="3235" spans="7:11" x14ac:dyDescent="0.2">
      <c r="G3235" s="44"/>
      <c r="J3235" t="str">
        <f t="shared" si="100"/>
        <v/>
      </c>
      <c r="K3235" t="str">
        <f t="shared" si="101"/>
        <v/>
      </c>
    </row>
    <row r="3236" spans="7:11" x14ac:dyDescent="0.2">
      <c r="G3236" s="44"/>
      <c r="J3236" t="str">
        <f t="shared" si="100"/>
        <v/>
      </c>
      <c r="K3236" t="str">
        <f t="shared" si="101"/>
        <v/>
      </c>
    </row>
    <row r="3237" spans="7:11" x14ac:dyDescent="0.2">
      <c r="G3237" s="44"/>
      <c r="J3237" t="str">
        <f t="shared" si="100"/>
        <v/>
      </c>
      <c r="K3237" t="str">
        <f t="shared" si="101"/>
        <v/>
      </c>
    </row>
    <row r="3238" spans="7:11" x14ac:dyDescent="0.2">
      <c r="G3238" s="44"/>
      <c r="J3238" t="str">
        <f t="shared" si="100"/>
        <v/>
      </c>
      <c r="K3238" t="str">
        <f t="shared" si="101"/>
        <v/>
      </c>
    </row>
    <row r="3239" spans="7:11" x14ac:dyDescent="0.2">
      <c r="G3239" s="44"/>
      <c r="J3239" t="str">
        <f t="shared" si="100"/>
        <v/>
      </c>
      <c r="K3239" t="str">
        <f t="shared" si="101"/>
        <v/>
      </c>
    </row>
    <row r="3240" spans="7:11" x14ac:dyDescent="0.2">
      <c r="G3240" s="44"/>
      <c r="J3240" t="str">
        <f t="shared" si="100"/>
        <v/>
      </c>
      <c r="K3240" t="str">
        <f t="shared" si="101"/>
        <v/>
      </c>
    </row>
    <row r="3241" spans="7:11" x14ac:dyDescent="0.2">
      <c r="G3241" s="44"/>
      <c r="J3241" t="str">
        <f t="shared" si="100"/>
        <v/>
      </c>
      <c r="K3241" t="str">
        <f t="shared" si="101"/>
        <v/>
      </c>
    </row>
    <row r="3242" spans="7:11" x14ac:dyDescent="0.2">
      <c r="G3242" s="44"/>
      <c r="J3242" t="str">
        <f t="shared" si="100"/>
        <v/>
      </c>
      <c r="K3242" t="str">
        <f t="shared" si="101"/>
        <v/>
      </c>
    </row>
    <row r="3243" spans="7:11" x14ac:dyDescent="0.2">
      <c r="G3243" s="44"/>
      <c r="J3243" t="str">
        <f t="shared" si="100"/>
        <v/>
      </c>
      <c r="K3243" t="str">
        <f t="shared" si="101"/>
        <v/>
      </c>
    </row>
    <row r="3244" spans="7:11" x14ac:dyDescent="0.2">
      <c r="G3244" s="44"/>
      <c r="J3244" t="str">
        <f t="shared" si="100"/>
        <v/>
      </c>
      <c r="K3244" t="str">
        <f t="shared" si="101"/>
        <v/>
      </c>
    </row>
    <row r="3245" spans="7:11" x14ac:dyDescent="0.2">
      <c r="G3245" s="44"/>
      <c r="J3245" t="str">
        <f t="shared" si="100"/>
        <v/>
      </c>
      <c r="K3245" t="str">
        <f t="shared" si="101"/>
        <v/>
      </c>
    </row>
    <row r="3246" spans="7:11" x14ac:dyDescent="0.2">
      <c r="G3246" s="44"/>
      <c r="J3246" t="str">
        <f t="shared" si="100"/>
        <v/>
      </c>
      <c r="K3246" t="str">
        <f t="shared" si="101"/>
        <v/>
      </c>
    </row>
    <row r="3247" spans="7:11" x14ac:dyDescent="0.2">
      <c r="G3247" s="44"/>
      <c r="J3247" t="str">
        <f t="shared" si="100"/>
        <v/>
      </c>
      <c r="K3247" t="str">
        <f t="shared" si="101"/>
        <v/>
      </c>
    </row>
    <row r="3248" spans="7:11" x14ac:dyDescent="0.2">
      <c r="G3248" s="44"/>
      <c r="J3248" t="str">
        <f t="shared" si="100"/>
        <v/>
      </c>
      <c r="K3248" t="str">
        <f t="shared" si="101"/>
        <v/>
      </c>
    </row>
    <row r="3249" spans="7:11" x14ac:dyDescent="0.2">
      <c r="G3249" s="44"/>
      <c r="J3249" t="str">
        <f t="shared" si="100"/>
        <v/>
      </c>
      <c r="K3249" t="str">
        <f t="shared" si="101"/>
        <v/>
      </c>
    </row>
    <row r="3250" spans="7:11" x14ac:dyDescent="0.2">
      <c r="G3250" s="44"/>
      <c r="J3250" t="str">
        <f t="shared" si="100"/>
        <v/>
      </c>
      <c r="K3250" t="str">
        <f t="shared" si="101"/>
        <v/>
      </c>
    </row>
    <row r="3251" spans="7:11" x14ac:dyDescent="0.2">
      <c r="G3251" s="44"/>
      <c r="J3251" t="str">
        <f t="shared" si="100"/>
        <v/>
      </c>
      <c r="K3251" t="str">
        <f t="shared" si="101"/>
        <v/>
      </c>
    </row>
    <row r="3252" spans="7:11" x14ac:dyDescent="0.2">
      <c r="G3252" s="44"/>
      <c r="J3252" t="str">
        <f t="shared" si="100"/>
        <v/>
      </c>
      <c r="K3252" t="str">
        <f t="shared" si="101"/>
        <v/>
      </c>
    </row>
    <row r="3253" spans="7:11" x14ac:dyDescent="0.2">
      <c r="G3253" s="44"/>
      <c r="J3253" t="str">
        <f t="shared" si="100"/>
        <v/>
      </c>
      <c r="K3253" t="str">
        <f t="shared" si="101"/>
        <v/>
      </c>
    </row>
    <row r="3254" spans="7:11" x14ac:dyDescent="0.2">
      <c r="G3254" s="44"/>
      <c r="J3254" t="str">
        <f t="shared" si="100"/>
        <v/>
      </c>
      <c r="K3254" t="str">
        <f t="shared" si="101"/>
        <v/>
      </c>
    </row>
    <row r="3255" spans="7:11" x14ac:dyDescent="0.2">
      <c r="G3255" s="44"/>
      <c r="J3255" t="str">
        <f t="shared" si="100"/>
        <v/>
      </c>
      <c r="K3255" t="str">
        <f t="shared" si="101"/>
        <v/>
      </c>
    </row>
    <row r="3256" spans="7:11" x14ac:dyDescent="0.2">
      <c r="G3256" s="44"/>
      <c r="J3256" t="str">
        <f t="shared" si="100"/>
        <v/>
      </c>
      <c r="K3256" t="str">
        <f t="shared" si="101"/>
        <v/>
      </c>
    </row>
    <row r="3257" spans="7:11" x14ac:dyDescent="0.2">
      <c r="G3257" s="44"/>
      <c r="J3257" t="str">
        <f t="shared" si="100"/>
        <v/>
      </c>
      <c r="K3257" t="str">
        <f t="shared" si="101"/>
        <v/>
      </c>
    </row>
    <row r="3258" spans="7:11" x14ac:dyDescent="0.2">
      <c r="G3258" s="44"/>
      <c r="J3258" t="str">
        <f t="shared" si="100"/>
        <v/>
      </c>
      <c r="K3258" t="str">
        <f t="shared" si="101"/>
        <v/>
      </c>
    </row>
    <row r="3259" spans="7:11" x14ac:dyDescent="0.2">
      <c r="G3259" s="44"/>
      <c r="J3259" t="str">
        <f t="shared" si="100"/>
        <v/>
      </c>
      <c r="K3259" t="str">
        <f t="shared" si="101"/>
        <v/>
      </c>
    </row>
    <row r="3260" spans="7:11" x14ac:dyDescent="0.2">
      <c r="G3260" s="44"/>
      <c r="J3260" t="str">
        <f t="shared" si="100"/>
        <v/>
      </c>
      <c r="K3260" t="str">
        <f t="shared" si="101"/>
        <v/>
      </c>
    </row>
    <row r="3261" spans="7:11" x14ac:dyDescent="0.2">
      <c r="G3261" s="44"/>
      <c r="J3261" t="str">
        <f t="shared" si="100"/>
        <v/>
      </c>
      <c r="K3261" t="str">
        <f t="shared" si="101"/>
        <v/>
      </c>
    </row>
    <row r="3262" spans="7:11" x14ac:dyDescent="0.2">
      <c r="G3262" s="44"/>
      <c r="J3262" t="str">
        <f t="shared" si="100"/>
        <v/>
      </c>
      <c r="K3262" t="str">
        <f t="shared" si="101"/>
        <v/>
      </c>
    </row>
    <row r="3263" spans="7:11" x14ac:dyDescent="0.2">
      <c r="G3263" s="44"/>
      <c r="J3263" t="str">
        <f t="shared" si="100"/>
        <v/>
      </c>
      <c r="K3263" t="str">
        <f t="shared" si="101"/>
        <v/>
      </c>
    </row>
    <row r="3264" spans="7:11" x14ac:dyDescent="0.2">
      <c r="G3264" s="44"/>
      <c r="J3264" t="str">
        <f t="shared" si="100"/>
        <v/>
      </c>
      <c r="K3264" t="str">
        <f t="shared" si="101"/>
        <v/>
      </c>
    </row>
    <row r="3265" spans="7:11" x14ac:dyDescent="0.2">
      <c r="G3265" s="44"/>
      <c r="J3265" t="str">
        <f t="shared" si="100"/>
        <v/>
      </c>
      <c r="K3265" t="str">
        <f t="shared" si="101"/>
        <v/>
      </c>
    </row>
    <row r="3266" spans="7:11" x14ac:dyDescent="0.2">
      <c r="G3266" s="44"/>
      <c r="J3266" t="str">
        <f t="shared" ref="J3266:J3329" si="102">IF(E3266="","",IF(OR(E3266=50,E3266=51),"Iltindhold",IF(E3266=75,"Carbon,org,NVOC",IF(OR(E3266=343,E3266=1167),"Svovlbrinte",IF(OR(E3266=240,E3266=241,E3266=242),"Amm",IF(E3266=244,"Nitrit",IF(E3266=247,"Nitrat",IF(E3266=334,"Sulfat",IF(E3266=262,"Phosphor, total-P",F3266)))))))))</f>
        <v/>
      </c>
      <c r="K3266" t="str">
        <f t="shared" ref="K3266:K3329" si="103">IF(A3266="","",IF(H3266="!",NA(),IF(H3266="A",I3266*0.5,IF(H3266="&lt;",I3266*0.5,I3266))))</f>
        <v/>
      </c>
    </row>
    <row r="3267" spans="7:11" x14ac:dyDescent="0.2">
      <c r="G3267" s="44"/>
      <c r="J3267" t="str">
        <f t="shared" si="102"/>
        <v/>
      </c>
      <c r="K3267" t="str">
        <f t="shared" si="103"/>
        <v/>
      </c>
    </row>
    <row r="3268" spans="7:11" x14ac:dyDescent="0.2">
      <c r="G3268" s="44"/>
      <c r="J3268" t="str">
        <f t="shared" si="102"/>
        <v/>
      </c>
      <c r="K3268" t="str">
        <f t="shared" si="103"/>
        <v/>
      </c>
    </row>
    <row r="3269" spans="7:11" x14ac:dyDescent="0.2">
      <c r="G3269" s="44"/>
      <c r="J3269" t="str">
        <f t="shared" si="102"/>
        <v/>
      </c>
      <c r="K3269" t="str">
        <f t="shared" si="103"/>
        <v/>
      </c>
    </row>
    <row r="3270" spans="7:11" x14ac:dyDescent="0.2">
      <c r="G3270" s="44"/>
      <c r="J3270" t="str">
        <f t="shared" si="102"/>
        <v/>
      </c>
      <c r="K3270" t="str">
        <f t="shared" si="103"/>
        <v/>
      </c>
    </row>
    <row r="3271" spans="7:11" x14ac:dyDescent="0.2">
      <c r="G3271" s="44"/>
      <c r="J3271" t="str">
        <f t="shared" si="102"/>
        <v/>
      </c>
      <c r="K3271" t="str">
        <f t="shared" si="103"/>
        <v/>
      </c>
    </row>
    <row r="3272" spans="7:11" x14ac:dyDescent="0.2">
      <c r="G3272" s="44"/>
      <c r="J3272" t="str">
        <f t="shared" si="102"/>
        <v/>
      </c>
      <c r="K3272" t="str">
        <f t="shared" si="103"/>
        <v/>
      </c>
    </row>
    <row r="3273" spans="7:11" x14ac:dyDescent="0.2">
      <c r="G3273" s="44"/>
      <c r="J3273" t="str">
        <f t="shared" si="102"/>
        <v/>
      </c>
      <c r="K3273" t="str">
        <f t="shared" si="103"/>
        <v/>
      </c>
    </row>
    <row r="3274" spans="7:11" x14ac:dyDescent="0.2">
      <c r="G3274" s="44"/>
      <c r="J3274" t="str">
        <f t="shared" si="102"/>
        <v/>
      </c>
      <c r="K3274" t="str">
        <f t="shared" si="103"/>
        <v/>
      </c>
    </row>
    <row r="3275" spans="7:11" x14ac:dyDescent="0.2">
      <c r="G3275" s="44"/>
      <c r="J3275" t="str">
        <f t="shared" si="102"/>
        <v/>
      </c>
      <c r="K3275" t="str">
        <f t="shared" si="103"/>
        <v/>
      </c>
    </row>
    <row r="3276" spans="7:11" x14ac:dyDescent="0.2">
      <c r="G3276" s="44"/>
      <c r="J3276" t="str">
        <f t="shared" si="102"/>
        <v/>
      </c>
      <c r="K3276" t="str">
        <f t="shared" si="103"/>
        <v/>
      </c>
    </row>
    <row r="3277" spans="7:11" x14ac:dyDescent="0.2">
      <c r="G3277" s="44"/>
      <c r="J3277" t="str">
        <f t="shared" si="102"/>
        <v/>
      </c>
      <c r="K3277" t="str">
        <f t="shared" si="103"/>
        <v/>
      </c>
    </row>
    <row r="3278" spans="7:11" x14ac:dyDescent="0.2">
      <c r="G3278" s="44"/>
      <c r="J3278" t="str">
        <f t="shared" si="102"/>
        <v/>
      </c>
      <c r="K3278" t="str">
        <f t="shared" si="103"/>
        <v/>
      </c>
    </row>
    <row r="3279" spans="7:11" x14ac:dyDescent="0.2">
      <c r="G3279" s="44"/>
      <c r="J3279" t="str">
        <f t="shared" si="102"/>
        <v/>
      </c>
      <c r="K3279" t="str">
        <f t="shared" si="103"/>
        <v/>
      </c>
    </row>
    <row r="3280" spans="7:11" x14ac:dyDescent="0.2">
      <c r="G3280" s="44"/>
      <c r="J3280" t="str">
        <f t="shared" si="102"/>
        <v/>
      </c>
      <c r="K3280" t="str">
        <f t="shared" si="103"/>
        <v/>
      </c>
    </row>
    <row r="3281" spans="7:11" x14ac:dyDescent="0.2">
      <c r="G3281" s="44"/>
      <c r="J3281" t="str">
        <f t="shared" si="102"/>
        <v/>
      </c>
      <c r="K3281" t="str">
        <f t="shared" si="103"/>
        <v/>
      </c>
    </row>
    <row r="3282" spans="7:11" x14ac:dyDescent="0.2">
      <c r="G3282" s="44"/>
      <c r="J3282" t="str">
        <f t="shared" si="102"/>
        <v/>
      </c>
      <c r="K3282" t="str">
        <f t="shared" si="103"/>
        <v/>
      </c>
    </row>
    <row r="3283" spans="7:11" x14ac:dyDescent="0.2">
      <c r="G3283" s="44"/>
      <c r="J3283" t="str">
        <f t="shared" si="102"/>
        <v/>
      </c>
      <c r="K3283" t="str">
        <f t="shared" si="103"/>
        <v/>
      </c>
    </row>
    <row r="3284" spans="7:11" x14ac:dyDescent="0.2">
      <c r="G3284" s="44"/>
      <c r="J3284" t="str">
        <f t="shared" si="102"/>
        <v/>
      </c>
      <c r="K3284" t="str">
        <f t="shared" si="103"/>
        <v/>
      </c>
    </row>
    <row r="3285" spans="7:11" x14ac:dyDescent="0.2">
      <c r="G3285" s="44"/>
      <c r="J3285" t="str">
        <f t="shared" si="102"/>
        <v/>
      </c>
      <c r="K3285" t="str">
        <f t="shared" si="103"/>
        <v/>
      </c>
    </row>
    <row r="3286" spans="7:11" x14ac:dyDescent="0.2">
      <c r="G3286" s="44"/>
      <c r="J3286" t="str">
        <f t="shared" si="102"/>
        <v/>
      </c>
      <c r="K3286" t="str">
        <f t="shared" si="103"/>
        <v/>
      </c>
    </row>
    <row r="3287" spans="7:11" x14ac:dyDescent="0.2">
      <c r="G3287" s="44"/>
      <c r="J3287" t="str">
        <f t="shared" si="102"/>
        <v/>
      </c>
      <c r="K3287" t="str">
        <f t="shared" si="103"/>
        <v/>
      </c>
    </row>
    <row r="3288" spans="7:11" x14ac:dyDescent="0.2">
      <c r="G3288" s="44"/>
      <c r="J3288" t="str">
        <f t="shared" si="102"/>
        <v/>
      </c>
      <c r="K3288" t="str">
        <f t="shared" si="103"/>
        <v/>
      </c>
    </row>
    <row r="3289" spans="7:11" x14ac:dyDescent="0.2">
      <c r="G3289" s="44"/>
      <c r="J3289" t="str">
        <f t="shared" si="102"/>
        <v/>
      </c>
      <c r="K3289" t="str">
        <f t="shared" si="103"/>
        <v/>
      </c>
    </row>
    <row r="3290" spans="7:11" x14ac:dyDescent="0.2">
      <c r="G3290" s="44"/>
      <c r="J3290" t="str">
        <f t="shared" si="102"/>
        <v/>
      </c>
      <c r="K3290" t="str">
        <f t="shared" si="103"/>
        <v/>
      </c>
    </row>
    <row r="3291" spans="7:11" x14ac:dyDescent="0.2">
      <c r="G3291" s="44"/>
      <c r="J3291" t="str">
        <f t="shared" si="102"/>
        <v/>
      </c>
      <c r="K3291" t="str">
        <f t="shared" si="103"/>
        <v/>
      </c>
    </row>
    <row r="3292" spans="7:11" x14ac:dyDescent="0.2">
      <c r="G3292" s="44"/>
      <c r="J3292" t="str">
        <f t="shared" si="102"/>
        <v/>
      </c>
      <c r="K3292" t="str">
        <f t="shared" si="103"/>
        <v/>
      </c>
    </row>
    <row r="3293" spans="7:11" x14ac:dyDescent="0.2">
      <c r="G3293" s="44"/>
      <c r="J3293" t="str">
        <f t="shared" si="102"/>
        <v/>
      </c>
      <c r="K3293" t="str">
        <f t="shared" si="103"/>
        <v/>
      </c>
    </row>
    <row r="3294" spans="7:11" x14ac:dyDescent="0.2">
      <c r="G3294" s="44"/>
      <c r="J3294" t="str">
        <f t="shared" si="102"/>
        <v/>
      </c>
      <c r="K3294" t="str">
        <f t="shared" si="103"/>
        <v/>
      </c>
    </row>
    <row r="3295" spans="7:11" x14ac:dyDescent="0.2">
      <c r="G3295" s="44"/>
      <c r="J3295" t="str">
        <f t="shared" si="102"/>
        <v/>
      </c>
      <c r="K3295" t="str">
        <f t="shared" si="103"/>
        <v/>
      </c>
    </row>
    <row r="3296" spans="7:11" x14ac:dyDescent="0.2">
      <c r="G3296" s="44"/>
      <c r="J3296" t="str">
        <f t="shared" si="102"/>
        <v/>
      </c>
      <c r="K3296" t="str">
        <f t="shared" si="103"/>
        <v/>
      </c>
    </row>
    <row r="3297" spans="7:11" x14ac:dyDescent="0.2">
      <c r="G3297" s="44"/>
      <c r="J3297" t="str">
        <f t="shared" si="102"/>
        <v/>
      </c>
      <c r="K3297" t="str">
        <f t="shared" si="103"/>
        <v/>
      </c>
    </row>
    <row r="3298" spans="7:11" x14ac:dyDescent="0.2">
      <c r="G3298" s="44"/>
      <c r="J3298" t="str">
        <f t="shared" si="102"/>
        <v/>
      </c>
      <c r="K3298" t="str">
        <f t="shared" si="103"/>
        <v/>
      </c>
    </row>
    <row r="3299" spans="7:11" x14ac:dyDescent="0.2">
      <c r="G3299" s="44"/>
      <c r="J3299" t="str">
        <f t="shared" si="102"/>
        <v/>
      </c>
      <c r="K3299" t="str">
        <f t="shared" si="103"/>
        <v/>
      </c>
    </row>
    <row r="3300" spans="7:11" x14ac:dyDescent="0.2">
      <c r="G3300" s="44"/>
      <c r="J3300" t="str">
        <f t="shared" si="102"/>
        <v/>
      </c>
      <c r="K3300" t="str">
        <f t="shared" si="103"/>
        <v/>
      </c>
    </row>
    <row r="3301" spans="7:11" x14ac:dyDescent="0.2">
      <c r="G3301" s="44"/>
      <c r="J3301" t="str">
        <f t="shared" si="102"/>
        <v/>
      </c>
      <c r="K3301" t="str">
        <f t="shared" si="103"/>
        <v/>
      </c>
    </row>
    <row r="3302" spans="7:11" x14ac:dyDescent="0.2">
      <c r="G3302" s="44"/>
      <c r="J3302" t="str">
        <f t="shared" si="102"/>
        <v/>
      </c>
      <c r="K3302" t="str">
        <f t="shared" si="103"/>
        <v/>
      </c>
    </row>
    <row r="3303" spans="7:11" x14ac:dyDescent="0.2">
      <c r="G3303" s="44"/>
      <c r="J3303" t="str">
        <f t="shared" si="102"/>
        <v/>
      </c>
      <c r="K3303" t="str">
        <f t="shared" si="103"/>
        <v/>
      </c>
    </row>
    <row r="3304" spans="7:11" x14ac:dyDescent="0.2">
      <c r="G3304" s="44"/>
      <c r="J3304" t="str">
        <f t="shared" si="102"/>
        <v/>
      </c>
      <c r="K3304" t="str">
        <f t="shared" si="103"/>
        <v/>
      </c>
    </row>
    <row r="3305" spans="7:11" x14ac:dyDescent="0.2">
      <c r="G3305" s="44"/>
      <c r="J3305" t="str">
        <f t="shared" si="102"/>
        <v/>
      </c>
      <c r="K3305" t="str">
        <f t="shared" si="103"/>
        <v/>
      </c>
    </row>
    <row r="3306" spans="7:11" x14ac:dyDescent="0.2">
      <c r="G3306" s="44"/>
      <c r="J3306" t="str">
        <f t="shared" si="102"/>
        <v/>
      </c>
      <c r="K3306" t="str">
        <f t="shared" si="103"/>
        <v/>
      </c>
    </row>
    <row r="3307" spans="7:11" x14ac:dyDescent="0.2">
      <c r="G3307" s="44"/>
      <c r="J3307" t="str">
        <f t="shared" si="102"/>
        <v/>
      </c>
      <c r="K3307" t="str">
        <f t="shared" si="103"/>
        <v/>
      </c>
    </row>
    <row r="3308" spans="7:11" x14ac:dyDescent="0.2">
      <c r="G3308" s="44"/>
      <c r="J3308" t="str">
        <f t="shared" si="102"/>
        <v/>
      </c>
      <c r="K3308" t="str">
        <f t="shared" si="103"/>
        <v/>
      </c>
    </row>
    <row r="3309" spans="7:11" x14ac:dyDescent="0.2">
      <c r="G3309" s="44"/>
      <c r="J3309" t="str">
        <f t="shared" si="102"/>
        <v/>
      </c>
      <c r="K3309" t="str">
        <f t="shared" si="103"/>
        <v/>
      </c>
    </row>
    <row r="3310" spans="7:11" x14ac:dyDescent="0.2">
      <c r="G3310" s="44"/>
      <c r="J3310" t="str">
        <f t="shared" si="102"/>
        <v/>
      </c>
      <c r="K3310" t="str">
        <f t="shared" si="103"/>
        <v/>
      </c>
    </row>
    <row r="3311" spans="7:11" x14ac:dyDescent="0.2">
      <c r="G3311" s="44"/>
      <c r="J3311" t="str">
        <f t="shared" si="102"/>
        <v/>
      </c>
      <c r="K3311" t="str">
        <f t="shared" si="103"/>
        <v/>
      </c>
    </row>
    <row r="3312" spans="7:11" x14ac:dyDescent="0.2">
      <c r="G3312" s="44"/>
      <c r="J3312" t="str">
        <f t="shared" si="102"/>
        <v/>
      </c>
      <c r="K3312" t="str">
        <f t="shared" si="103"/>
        <v/>
      </c>
    </row>
    <row r="3313" spans="7:11" x14ac:dyDescent="0.2">
      <c r="G3313" s="44"/>
      <c r="J3313" t="str">
        <f t="shared" si="102"/>
        <v/>
      </c>
      <c r="K3313" t="str">
        <f t="shared" si="103"/>
        <v/>
      </c>
    </row>
    <row r="3314" spans="7:11" x14ac:dyDescent="0.2">
      <c r="G3314" s="44"/>
      <c r="J3314" t="str">
        <f t="shared" si="102"/>
        <v/>
      </c>
      <c r="K3314" t="str">
        <f t="shared" si="103"/>
        <v/>
      </c>
    </row>
    <row r="3315" spans="7:11" x14ac:dyDescent="0.2">
      <c r="G3315" s="44"/>
      <c r="J3315" t="str">
        <f t="shared" si="102"/>
        <v/>
      </c>
      <c r="K3315" t="str">
        <f t="shared" si="103"/>
        <v/>
      </c>
    </row>
    <row r="3316" spans="7:11" x14ac:dyDescent="0.2">
      <c r="G3316" s="44"/>
      <c r="J3316" t="str">
        <f t="shared" si="102"/>
        <v/>
      </c>
      <c r="K3316" t="str">
        <f t="shared" si="103"/>
        <v/>
      </c>
    </row>
    <row r="3317" spans="7:11" x14ac:dyDescent="0.2">
      <c r="G3317" s="44"/>
      <c r="J3317" t="str">
        <f t="shared" si="102"/>
        <v/>
      </c>
      <c r="K3317" t="str">
        <f t="shared" si="103"/>
        <v/>
      </c>
    </row>
    <row r="3318" spans="7:11" x14ac:dyDescent="0.2">
      <c r="G3318" s="44"/>
      <c r="J3318" t="str">
        <f t="shared" si="102"/>
        <v/>
      </c>
      <c r="K3318" t="str">
        <f t="shared" si="103"/>
        <v/>
      </c>
    </row>
    <row r="3319" spans="7:11" x14ac:dyDescent="0.2">
      <c r="G3319" s="44"/>
      <c r="J3319" t="str">
        <f t="shared" si="102"/>
        <v/>
      </c>
      <c r="K3319" t="str">
        <f t="shared" si="103"/>
        <v/>
      </c>
    </row>
    <row r="3320" spans="7:11" x14ac:dyDescent="0.2">
      <c r="G3320" s="44"/>
      <c r="J3320" t="str">
        <f t="shared" si="102"/>
        <v/>
      </c>
      <c r="K3320" t="str">
        <f t="shared" si="103"/>
        <v/>
      </c>
    </row>
    <row r="3321" spans="7:11" x14ac:dyDescent="0.2">
      <c r="G3321" s="44"/>
      <c r="J3321" t="str">
        <f t="shared" si="102"/>
        <v/>
      </c>
      <c r="K3321" t="str">
        <f t="shared" si="103"/>
        <v/>
      </c>
    </row>
    <row r="3322" spans="7:11" x14ac:dyDescent="0.2">
      <c r="G3322" s="44"/>
      <c r="J3322" t="str">
        <f t="shared" si="102"/>
        <v/>
      </c>
      <c r="K3322" t="str">
        <f t="shared" si="103"/>
        <v/>
      </c>
    </row>
    <row r="3323" spans="7:11" x14ac:dyDescent="0.2">
      <c r="G3323" s="44"/>
      <c r="J3323" t="str">
        <f t="shared" si="102"/>
        <v/>
      </c>
      <c r="K3323" t="str">
        <f t="shared" si="103"/>
        <v/>
      </c>
    </row>
    <row r="3324" spans="7:11" x14ac:dyDescent="0.2">
      <c r="G3324" s="44"/>
      <c r="J3324" t="str">
        <f t="shared" si="102"/>
        <v/>
      </c>
      <c r="K3324" t="str">
        <f t="shared" si="103"/>
        <v/>
      </c>
    </row>
    <row r="3325" spans="7:11" x14ac:dyDescent="0.2">
      <c r="G3325" s="44"/>
      <c r="J3325" t="str">
        <f t="shared" si="102"/>
        <v/>
      </c>
      <c r="K3325" t="str">
        <f t="shared" si="103"/>
        <v/>
      </c>
    </row>
    <row r="3326" spans="7:11" x14ac:dyDescent="0.2">
      <c r="G3326" s="44"/>
      <c r="J3326" t="str">
        <f t="shared" si="102"/>
        <v/>
      </c>
      <c r="K3326" t="str">
        <f t="shared" si="103"/>
        <v/>
      </c>
    </row>
    <row r="3327" spans="7:11" x14ac:dyDescent="0.2">
      <c r="G3327" s="44"/>
      <c r="J3327" t="str">
        <f t="shared" si="102"/>
        <v/>
      </c>
      <c r="K3327" t="str">
        <f t="shared" si="103"/>
        <v/>
      </c>
    </row>
    <row r="3328" spans="7:11" x14ac:dyDescent="0.2">
      <c r="G3328" s="44"/>
      <c r="J3328" t="str">
        <f t="shared" si="102"/>
        <v/>
      </c>
      <c r="K3328" t="str">
        <f t="shared" si="103"/>
        <v/>
      </c>
    </row>
    <row r="3329" spans="7:11" x14ac:dyDescent="0.2">
      <c r="G3329" s="44"/>
      <c r="J3329" t="str">
        <f t="shared" si="102"/>
        <v/>
      </c>
      <c r="K3329" t="str">
        <f t="shared" si="103"/>
        <v/>
      </c>
    </row>
    <row r="3330" spans="7:11" x14ac:dyDescent="0.2">
      <c r="G3330" s="44"/>
      <c r="J3330" t="str">
        <f t="shared" ref="J3330:J3393" si="104">IF(E3330="","",IF(OR(E3330=50,E3330=51),"Iltindhold",IF(E3330=75,"Carbon,org,NVOC",IF(OR(E3330=343,E3330=1167),"Svovlbrinte",IF(OR(E3330=240,E3330=241,E3330=242),"Amm",IF(E3330=244,"Nitrit",IF(E3330=247,"Nitrat",IF(E3330=334,"Sulfat",IF(E3330=262,"Phosphor, total-P",F3330)))))))))</f>
        <v/>
      </c>
      <c r="K3330" t="str">
        <f t="shared" ref="K3330:K3393" si="105">IF(A3330="","",IF(H3330="!",NA(),IF(H3330="A",I3330*0.5,IF(H3330="&lt;",I3330*0.5,I3330))))</f>
        <v/>
      </c>
    </row>
    <row r="3331" spans="7:11" x14ac:dyDescent="0.2">
      <c r="G3331" s="44"/>
      <c r="J3331" t="str">
        <f t="shared" si="104"/>
        <v/>
      </c>
      <c r="K3331" t="str">
        <f t="shared" si="105"/>
        <v/>
      </c>
    </row>
    <row r="3332" spans="7:11" x14ac:dyDescent="0.2">
      <c r="G3332" s="44"/>
      <c r="J3332" t="str">
        <f t="shared" si="104"/>
        <v/>
      </c>
      <c r="K3332" t="str">
        <f t="shared" si="105"/>
        <v/>
      </c>
    </row>
    <row r="3333" spans="7:11" x14ac:dyDescent="0.2">
      <c r="G3333" s="44"/>
      <c r="J3333" t="str">
        <f t="shared" si="104"/>
        <v/>
      </c>
      <c r="K3333" t="str">
        <f t="shared" si="105"/>
        <v/>
      </c>
    </row>
    <row r="3334" spans="7:11" x14ac:dyDescent="0.2">
      <c r="G3334" s="44"/>
      <c r="J3334" t="str">
        <f t="shared" si="104"/>
        <v/>
      </c>
      <c r="K3334" t="str">
        <f t="shared" si="105"/>
        <v/>
      </c>
    </row>
    <row r="3335" spans="7:11" x14ac:dyDescent="0.2">
      <c r="G3335" s="44"/>
      <c r="J3335" t="str">
        <f t="shared" si="104"/>
        <v/>
      </c>
      <c r="K3335" t="str">
        <f t="shared" si="105"/>
        <v/>
      </c>
    </row>
    <row r="3336" spans="7:11" x14ac:dyDescent="0.2">
      <c r="G3336" s="44"/>
      <c r="J3336" t="str">
        <f t="shared" si="104"/>
        <v/>
      </c>
      <c r="K3336" t="str">
        <f t="shared" si="105"/>
        <v/>
      </c>
    </row>
    <row r="3337" spans="7:11" x14ac:dyDescent="0.2">
      <c r="G3337" s="44"/>
      <c r="J3337" t="str">
        <f t="shared" si="104"/>
        <v/>
      </c>
      <c r="K3337" t="str">
        <f t="shared" si="105"/>
        <v/>
      </c>
    </row>
    <row r="3338" spans="7:11" x14ac:dyDescent="0.2">
      <c r="G3338" s="44"/>
      <c r="J3338" t="str">
        <f t="shared" si="104"/>
        <v/>
      </c>
      <c r="K3338" t="str">
        <f t="shared" si="105"/>
        <v/>
      </c>
    </row>
    <row r="3339" spans="7:11" x14ac:dyDescent="0.2">
      <c r="G3339" s="44"/>
      <c r="J3339" t="str">
        <f t="shared" si="104"/>
        <v/>
      </c>
      <c r="K3339" t="str">
        <f t="shared" si="105"/>
        <v/>
      </c>
    </row>
    <row r="3340" spans="7:11" x14ac:dyDescent="0.2">
      <c r="G3340" s="44"/>
      <c r="J3340" t="str">
        <f t="shared" si="104"/>
        <v/>
      </c>
      <c r="K3340" t="str">
        <f t="shared" si="105"/>
        <v/>
      </c>
    </row>
    <row r="3341" spans="7:11" x14ac:dyDescent="0.2">
      <c r="G3341" s="44"/>
      <c r="J3341" t="str">
        <f t="shared" si="104"/>
        <v/>
      </c>
      <c r="K3341" t="str">
        <f t="shared" si="105"/>
        <v/>
      </c>
    </row>
    <row r="3342" spans="7:11" x14ac:dyDescent="0.2">
      <c r="G3342" s="44"/>
      <c r="J3342" t="str">
        <f t="shared" si="104"/>
        <v/>
      </c>
      <c r="K3342" t="str">
        <f t="shared" si="105"/>
        <v/>
      </c>
    </row>
    <row r="3343" spans="7:11" x14ac:dyDescent="0.2">
      <c r="G3343" s="44"/>
      <c r="J3343" t="str">
        <f t="shared" si="104"/>
        <v/>
      </c>
      <c r="K3343" t="str">
        <f t="shared" si="105"/>
        <v/>
      </c>
    </row>
    <row r="3344" spans="7:11" x14ac:dyDescent="0.2">
      <c r="G3344" s="44"/>
      <c r="J3344" t="str">
        <f t="shared" si="104"/>
        <v/>
      </c>
      <c r="K3344" t="str">
        <f t="shared" si="105"/>
        <v/>
      </c>
    </row>
    <row r="3345" spans="7:11" x14ac:dyDescent="0.2">
      <c r="G3345" s="44"/>
      <c r="J3345" t="str">
        <f t="shared" si="104"/>
        <v/>
      </c>
      <c r="K3345" t="str">
        <f t="shared" si="105"/>
        <v/>
      </c>
    </row>
    <row r="3346" spans="7:11" x14ac:dyDescent="0.2">
      <c r="G3346" s="44"/>
      <c r="J3346" t="str">
        <f t="shared" si="104"/>
        <v/>
      </c>
      <c r="K3346" t="str">
        <f t="shared" si="105"/>
        <v/>
      </c>
    </row>
    <row r="3347" spans="7:11" x14ac:dyDescent="0.2">
      <c r="G3347" s="44"/>
      <c r="J3347" t="str">
        <f t="shared" si="104"/>
        <v/>
      </c>
      <c r="K3347" t="str">
        <f t="shared" si="105"/>
        <v/>
      </c>
    </row>
    <row r="3348" spans="7:11" x14ac:dyDescent="0.2">
      <c r="G3348" s="44"/>
      <c r="J3348" t="str">
        <f t="shared" si="104"/>
        <v/>
      </c>
      <c r="K3348" t="str">
        <f t="shared" si="105"/>
        <v/>
      </c>
    </row>
    <row r="3349" spans="7:11" x14ac:dyDescent="0.2">
      <c r="G3349" s="44"/>
      <c r="J3349" t="str">
        <f t="shared" si="104"/>
        <v/>
      </c>
      <c r="K3349" t="str">
        <f t="shared" si="105"/>
        <v/>
      </c>
    </row>
    <row r="3350" spans="7:11" x14ac:dyDescent="0.2">
      <c r="G3350" s="44"/>
      <c r="J3350" t="str">
        <f t="shared" si="104"/>
        <v/>
      </c>
      <c r="K3350" t="str">
        <f t="shared" si="105"/>
        <v/>
      </c>
    </row>
    <row r="3351" spans="7:11" x14ac:dyDescent="0.2">
      <c r="G3351" s="44"/>
      <c r="J3351" t="str">
        <f t="shared" si="104"/>
        <v/>
      </c>
      <c r="K3351" t="str">
        <f t="shared" si="105"/>
        <v/>
      </c>
    </row>
    <row r="3352" spans="7:11" x14ac:dyDescent="0.2">
      <c r="G3352" s="44"/>
      <c r="J3352" t="str">
        <f t="shared" si="104"/>
        <v/>
      </c>
      <c r="K3352" t="str">
        <f t="shared" si="105"/>
        <v/>
      </c>
    </row>
    <row r="3353" spans="7:11" x14ac:dyDescent="0.2">
      <c r="G3353" s="44"/>
      <c r="J3353" t="str">
        <f t="shared" si="104"/>
        <v/>
      </c>
      <c r="K3353" t="str">
        <f t="shared" si="105"/>
        <v/>
      </c>
    </row>
    <row r="3354" spans="7:11" x14ac:dyDescent="0.2">
      <c r="G3354" s="44"/>
      <c r="J3354" t="str">
        <f t="shared" si="104"/>
        <v/>
      </c>
      <c r="K3354" t="str">
        <f t="shared" si="105"/>
        <v/>
      </c>
    </row>
    <row r="3355" spans="7:11" x14ac:dyDescent="0.2">
      <c r="G3355" s="44"/>
      <c r="J3355" t="str">
        <f t="shared" si="104"/>
        <v/>
      </c>
      <c r="K3355" t="str">
        <f t="shared" si="105"/>
        <v/>
      </c>
    </row>
    <row r="3356" spans="7:11" x14ac:dyDescent="0.2">
      <c r="G3356" s="44"/>
      <c r="J3356" t="str">
        <f t="shared" si="104"/>
        <v/>
      </c>
      <c r="K3356" t="str">
        <f t="shared" si="105"/>
        <v/>
      </c>
    </row>
    <row r="3357" spans="7:11" x14ac:dyDescent="0.2">
      <c r="G3357" s="44"/>
      <c r="J3357" t="str">
        <f t="shared" si="104"/>
        <v/>
      </c>
      <c r="K3357" t="str">
        <f t="shared" si="105"/>
        <v/>
      </c>
    </row>
    <row r="3358" spans="7:11" x14ac:dyDescent="0.2">
      <c r="G3358" s="44"/>
      <c r="J3358" t="str">
        <f t="shared" si="104"/>
        <v/>
      </c>
      <c r="K3358" t="str">
        <f t="shared" si="105"/>
        <v/>
      </c>
    </row>
    <row r="3359" spans="7:11" x14ac:dyDescent="0.2">
      <c r="G3359" s="44"/>
      <c r="J3359" t="str">
        <f t="shared" si="104"/>
        <v/>
      </c>
      <c r="K3359" t="str">
        <f t="shared" si="105"/>
        <v/>
      </c>
    </row>
    <row r="3360" spans="7:11" x14ac:dyDescent="0.2">
      <c r="G3360" s="44"/>
      <c r="J3360" t="str">
        <f t="shared" si="104"/>
        <v/>
      </c>
      <c r="K3360" t="str">
        <f t="shared" si="105"/>
        <v/>
      </c>
    </row>
    <row r="3361" spans="7:11" x14ac:dyDescent="0.2">
      <c r="G3361" s="44"/>
      <c r="J3361" t="str">
        <f t="shared" si="104"/>
        <v/>
      </c>
      <c r="K3361" t="str">
        <f t="shared" si="105"/>
        <v/>
      </c>
    </row>
    <row r="3362" spans="7:11" x14ac:dyDescent="0.2">
      <c r="G3362" s="44"/>
      <c r="J3362" t="str">
        <f t="shared" si="104"/>
        <v/>
      </c>
      <c r="K3362" t="str">
        <f t="shared" si="105"/>
        <v/>
      </c>
    </row>
    <row r="3363" spans="7:11" x14ac:dyDescent="0.2">
      <c r="G3363" s="44"/>
      <c r="J3363" t="str">
        <f t="shared" si="104"/>
        <v/>
      </c>
      <c r="K3363" t="str">
        <f t="shared" si="105"/>
        <v/>
      </c>
    </row>
    <row r="3364" spans="7:11" x14ac:dyDescent="0.2">
      <c r="G3364" s="44"/>
      <c r="J3364" t="str">
        <f t="shared" si="104"/>
        <v/>
      </c>
      <c r="K3364" t="str">
        <f t="shared" si="105"/>
        <v/>
      </c>
    </row>
    <row r="3365" spans="7:11" x14ac:dyDescent="0.2">
      <c r="G3365" s="44"/>
      <c r="J3365" t="str">
        <f t="shared" si="104"/>
        <v/>
      </c>
      <c r="K3365" t="str">
        <f t="shared" si="105"/>
        <v/>
      </c>
    </row>
    <row r="3366" spans="7:11" x14ac:dyDescent="0.2">
      <c r="G3366" s="44"/>
      <c r="J3366" t="str">
        <f t="shared" si="104"/>
        <v/>
      </c>
      <c r="K3366" t="str">
        <f t="shared" si="105"/>
        <v/>
      </c>
    </row>
    <row r="3367" spans="7:11" x14ac:dyDescent="0.2">
      <c r="G3367" s="44"/>
      <c r="J3367" t="str">
        <f t="shared" si="104"/>
        <v/>
      </c>
      <c r="K3367" t="str">
        <f t="shared" si="105"/>
        <v/>
      </c>
    </row>
    <row r="3368" spans="7:11" x14ac:dyDescent="0.2">
      <c r="G3368" s="44"/>
      <c r="J3368" t="str">
        <f t="shared" si="104"/>
        <v/>
      </c>
      <c r="K3368" t="str">
        <f t="shared" si="105"/>
        <v/>
      </c>
    </row>
    <row r="3369" spans="7:11" x14ac:dyDescent="0.2">
      <c r="G3369" s="44"/>
      <c r="J3369" t="str">
        <f t="shared" si="104"/>
        <v/>
      </c>
      <c r="K3369" t="str">
        <f t="shared" si="105"/>
        <v/>
      </c>
    </row>
    <row r="3370" spans="7:11" x14ac:dyDescent="0.2">
      <c r="G3370" s="44"/>
      <c r="J3370" t="str">
        <f t="shared" si="104"/>
        <v/>
      </c>
      <c r="K3370" t="str">
        <f t="shared" si="105"/>
        <v/>
      </c>
    </row>
    <row r="3371" spans="7:11" x14ac:dyDescent="0.2">
      <c r="G3371" s="44"/>
      <c r="J3371" t="str">
        <f t="shared" si="104"/>
        <v/>
      </c>
      <c r="K3371" t="str">
        <f t="shared" si="105"/>
        <v/>
      </c>
    </row>
    <row r="3372" spans="7:11" x14ac:dyDescent="0.2">
      <c r="G3372" s="44"/>
      <c r="J3372" t="str">
        <f t="shared" si="104"/>
        <v/>
      </c>
      <c r="K3372" t="str">
        <f t="shared" si="105"/>
        <v/>
      </c>
    </row>
    <row r="3373" spans="7:11" x14ac:dyDescent="0.2">
      <c r="G3373" s="44"/>
      <c r="J3373" t="str">
        <f t="shared" si="104"/>
        <v/>
      </c>
      <c r="K3373" t="str">
        <f t="shared" si="105"/>
        <v/>
      </c>
    </row>
    <row r="3374" spans="7:11" x14ac:dyDescent="0.2">
      <c r="G3374" s="44"/>
      <c r="J3374" t="str">
        <f t="shared" si="104"/>
        <v/>
      </c>
      <c r="K3374" t="str">
        <f t="shared" si="105"/>
        <v/>
      </c>
    </row>
    <row r="3375" spans="7:11" x14ac:dyDescent="0.2">
      <c r="G3375" s="44"/>
      <c r="J3375" t="str">
        <f t="shared" si="104"/>
        <v/>
      </c>
      <c r="K3375" t="str">
        <f t="shared" si="105"/>
        <v/>
      </c>
    </row>
    <row r="3376" spans="7:11" x14ac:dyDescent="0.2">
      <c r="G3376" s="44"/>
      <c r="J3376" t="str">
        <f t="shared" si="104"/>
        <v/>
      </c>
      <c r="K3376" t="str">
        <f t="shared" si="105"/>
        <v/>
      </c>
    </row>
    <row r="3377" spans="7:11" x14ac:dyDescent="0.2">
      <c r="G3377" s="44"/>
      <c r="J3377" t="str">
        <f t="shared" si="104"/>
        <v/>
      </c>
      <c r="K3377" t="str">
        <f t="shared" si="105"/>
        <v/>
      </c>
    </row>
    <row r="3378" spans="7:11" x14ac:dyDescent="0.2">
      <c r="G3378" s="44"/>
      <c r="J3378" t="str">
        <f t="shared" si="104"/>
        <v/>
      </c>
      <c r="K3378" t="str">
        <f t="shared" si="105"/>
        <v/>
      </c>
    </row>
    <row r="3379" spans="7:11" x14ac:dyDescent="0.2">
      <c r="G3379" s="44"/>
      <c r="J3379" t="str">
        <f t="shared" si="104"/>
        <v/>
      </c>
      <c r="K3379" t="str">
        <f t="shared" si="105"/>
        <v/>
      </c>
    </row>
    <row r="3380" spans="7:11" x14ac:dyDescent="0.2">
      <c r="G3380" s="44"/>
      <c r="J3380" t="str">
        <f t="shared" si="104"/>
        <v/>
      </c>
      <c r="K3380" t="str">
        <f t="shared" si="105"/>
        <v/>
      </c>
    </row>
    <row r="3381" spans="7:11" x14ac:dyDescent="0.2">
      <c r="G3381" s="44"/>
      <c r="J3381" t="str">
        <f t="shared" si="104"/>
        <v/>
      </c>
      <c r="K3381" t="str">
        <f t="shared" si="105"/>
        <v/>
      </c>
    </row>
    <row r="3382" spans="7:11" x14ac:dyDescent="0.2">
      <c r="G3382" s="44"/>
      <c r="J3382" t="str">
        <f t="shared" si="104"/>
        <v/>
      </c>
      <c r="K3382" t="str">
        <f t="shared" si="105"/>
        <v/>
      </c>
    </row>
    <row r="3383" spans="7:11" x14ac:dyDescent="0.2">
      <c r="G3383" s="44"/>
      <c r="J3383" t="str">
        <f t="shared" si="104"/>
        <v/>
      </c>
      <c r="K3383" t="str">
        <f t="shared" si="105"/>
        <v/>
      </c>
    </row>
    <row r="3384" spans="7:11" x14ac:dyDescent="0.2">
      <c r="G3384" s="44"/>
      <c r="J3384" t="str">
        <f t="shared" si="104"/>
        <v/>
      </c>
      <c r="K3384" t="str">
        <f t="shared" si="105"/>
        <v/>
      </c>
    </row>
    <row r="3385" spans="7:11" x14ac:dyDescent="0.2">
      <c r="G3385" s="44"/>
      <c r="J3385" t="str">
        <f t="shared" si="104"/>
        <v/>
      </c>
      <c r="K3385" t="str">
        <f t="shared" si="105"/>
        <v/>
      </c>
    </row>
    <row r="3386" spans="7:11" x14ac:dyDescent="0.2">
      <c r="G3386" s="44"/>
      <c r="J3386" t="str">
        <f t="shared" si="104"/>
        <v/>
      </c>
      <c r="K3386" t="str">
        <f t="shared" si="105"/>
        <v/>
      </c>
    </row>
    <row r="3387" spans="7:11" x14ac:dyDescent="0.2">
      <c r="G3387" s="44"/>
      <c r="J3387" t="str">
        <f t="shared" si="104"/>
        <v/>
      </c>
      <c r="K3387" t="str">
        <f t="shared" si="105"/>
        <v/>
      </c>
    </row>
    <row r="3388" spans="7:11" x14ac:dyDescent="0.2">
      <c r="G3388" s="44"/>
      <c r="J3388" t="str">
        <f t="shared" si="104"/>
        <v/>
      </c>
      <c r="K3388" t="str">
        <f t="shared" si="105"/>
        <v/>
      </c>
    </row>
    <row r="3389" spans="7:11" x14ac:dyDescent="0.2">
      <c r="G3389" s="44"/>
      <c r="J3389" t="str">
        <f t="shared" si="104"/>
        <v/>
      </c>
      <c r="K3389" t="str">
        <f t="shared" si="105"/>
        <v/>
      </c>
    </row>
    <row r="3390" spans="7:11" x14ac:dyDescent="0.2">
      <c r="G3390" s="44"/>
      <c r="J3390" t="str">
        <f t="shared" si="104"/>
        <v/>
      </c>
      <c r="K3390" t="str">
        <f t="shared" si="105"/>
        <v/>
      </c>
    </row>
    <row r="3391" spans="7:11" x14ac:dyDescent="0.2">
      <c r="G3391" s="44"/>
      <c r="J3391" t="str">
        <f t="shared" si="104"/>
        <v/>
      </c>
      <c r="K3391" t="str">
        <f t="shared" si="105"/>
        <v/>
      </c>
    </row>
    <row r="3392" spans="7:11" x14ac:dyDescent="0.2">
      <c r="G3392" s="44"/>
      <c r="J3392" t="str">
        <f t="shared" si="104"/>
        <v/>
      </c>
      <c r="K3392" t="str">
        <f t="shared" si="105"/>
        <v/>
      </c>
    </row>
    <row r="3393" spans="7:11" x14ac:dyDescent="0.2">
      <c r="G3393" s="44"/>
      <c r="J3393" t="str">
        <f t="shared" si="104"/>
        <v/>
      </c>
      <c r="K3393" t="str">
        <f t="shared" si="105"/>
        <v/>
      </c>
    </row>
    <row r="3394" spans="7:11" x14ac:dyDescent="0.2">
      <c r="G3394" s="44"/>
      <c r="J3394" t="str">
        <f t="shared" ref="J3394:J3457" si="106">IF(E3394="","",IF(OR(E3394=50,E3394=51),"Iltindhold",IF(E3394=75,"Carbon,org,NVOC",IF(OR(E3394=343,E3394=1167),"Svovlbrinte",IF(OR(E3394=240,E3394=241,E3394=242),"Amm",IF(E3394=244,"Nitrit",IF(E3394=247,"Nitrat",IF(E3394=334,"Sulfat",IF(E3394=262,"Phosphor, total-P",F3394)))))))))</f>
        <v/>
      </c>
      <c r="K3394" t="str">
        <f t="shared" ref="K3394:K3457" si="107">IF(A3394="","",IF(H3394="!",NA(),IF(H3394="A",I3394*0.5,IF(H3394="&lt;",I3394*0.5,I3394))))</f>
        <v/>
      </c>
    </row>
    <row r="3395" spans="7:11" x14ac:dyDescent="0.2">
      <c r="G3395" s="44"/>
      <c r="J3395" t="str">
        <f t="shared" si="106"/>
        <v/>
      </c>
      <c r="K3395" t="str">
        <f t="shared" si="107"/>
        <v/>
      </c>
    </row>
    <row r="3396" spans="7:11" x14ac:dyDescent="0.2">
      <c r="G3396" s="44"/>
      <c r="J3396" t="str">
        <f t="shared" si="106"/>
        <v/>
      </c>
      <c r="K3396" t="str">
        <f t="shared" si="107"/>
        <v/>
      </c>
    </row>
    <row r="3397" spans="7:11" x14ac:dyDescent="0.2">
      <c r="G3397" s="44"/>
      <c r="J3397" t="str">
        <f t="shared" si="106"/>
        <v/>
      </c>
      <c r="K3397" t="str">
        <f t="shared" si="107"/>
        <v/>
      </c>
    </row>
    <row r="3398" spans="7:11" x14ac:dyDescent="0.2">
      <c r="G3398" s="44"/>
      <c r="J3398" t="str">
        <f t="shared" si="106"/>
        <v/>
      </c>
      <c r="K3398" t="str">
        <f t="shared" si="107"/>
        <v/>
      </c>
    </row>
    <row r="3399" spans="7:11" x14ac:dyDescent="0.2">
      <c r="G3399" s="44"/>
      <c r="J3399" t="str">
        <f t="shared" si="106"/>
        <v/>
      </c>
      <c r="K3399" t="str">
        <f t="shared" si="107"/>
        <v/>
      </c>
    </row>
    <row r="3400" spans="7:11" x14ac:dyDescent="0.2">
      <c r="G3400" s="44"/>
      <c r="J3400" t="str">
        <f t="shared" si="106"/>
        <v/>
      </c>
      <c r="K3400" t="str">
        <f t="shared" si="107"/>
        <v/>
      </c>
    </row>
    <row r="3401" spans="7:11" x14ac:dyDescent="0.2">
      <c r="G3401" s="44"/>
      <c r="J3401" t="str">
        <f t="shared" si="106"/>
        <v/>
      </c>
      <c r="K3401" t="str">
        <f t="shared" si="107"/>
        <v/>
      </c>
    </row>
    <row r="3402" spans="7:11" x14ac:dyDescent="0.2">
      <c r="G3402" s="44"/>
      <c r="J3402" t="str">
        <f t="shared" si="106"/>
        <v/>
      </c>
      <c r="K3402" t="str">
        <f t="shared" si="107"/>
        <v/>
      </c>
    </row>
    <row r="3403" spans="7:11" x14ac:dyDescent="0.2">
      <c r="G3403" s="44"/>
      <c r="J3403" t="str">
        <f t="shared" si="106"/>
        <v/>
      </c>
      <c r="K3403" t="str">
        <f t="shared" si="107"/>
        <v/>
      </c>
    </row>
    <row r="3404" spans="7:11" x14ac:dyDescent="0.2">
      <c r="G3404" s="44"/>
      <c r="J3404" t="str">
        <f t="shared" si="106"/>
        <v/>
      </c>
      <c r="K3404" t="str">
        <f t="shared" si="107"/>
        <v/>
      </c>
    </row>
    <row r="3405" spans="7:11" x14ac:dyDescent="0.2">
      <c r="G3405" s="44"/>
      <c r="J3405" t="str">
        <f t="shared" si="106"/>
        <v/>
      </c>
      <c r="K3405" t="str">
        <f t="shared" si="107"/>
        <v/>
      </c>
    </row>
    <row r="3406" spans="7:11" x14ac:dyDescent="0.2">
      <c r="G3406" s="44"/>
      <c r="J3406" t="str">
        <f t="shared" si="106"/>
        <v/>
      </c>
      <c r="K3406" t="str">
        <f t="shared" si="107"/>
        <v/>
      </c>
    </row>
    <row r="3407" spans="7:11" x14ac:dyDescent="0.2">
      <c r="G3407" s="44"/>
      <c r="J3407" t="str">
        <f t="shared" si="106"/>
        <v/>
      </c>
      <c r="K3407" t="str">
        <f t="shared" si="107"/>
        <v/>
      </c>
    </row>
    <row r="3408" spans="7:11" x14ac:dyDescent="0.2">
      <c r="G3408" s="44"/>
      <c r="J3408" t="str">
        <f t="shared" si="106"/>
        <v/>
      </c>
      <c r="K3408" t="str">
        <f t="shared" si="107"/>
        <v/>
      </c>
    </row>
    <row r="3409" spans="7:11" x14ac:dyDescent="0.2">
      <c r="G3409" s="44"/>
      <c r="J3409" t="str">
        <f t="shared" si="106"/>
        <v/>
      </c>
      <c r="K3409" t="str">
        <f t="shared" si="107"/>
        <v/>
      </c>
    </row>
    <row r="3410" spans="7:11" x14ac:dyDescent="0.2">
      <c r="G3410" s="44"/>
      <c r="J3410" t="str">
        <f t="shared" si="106"/>
        <v/>
      </c>
      <c r="K3410" t="str">
        <f t="shared" si="107"/>
        <v/>
      </c>
    </row>
    <row r="3411" spans="7:11" x14ac:dyDescent="0.2">
      <c r="G3411" s="44"/>
      <c r="J3411" t="str">
        <f t="shared" si="106"/>
        <v/>
      </c>
      <c r="K3411" t="str">
        <f t="shared" si="107"/>
        <v/>
      </c>
    </row>
    <row r="3412" spans="7:11" x14ac:dyDescent="0.2">
      <c r="G3412" s="44"/>
      <c r="J3412" t="str">
        <f t="shared" si="106"/>
        <v/>
      </c>
      <c r="K3412" t="str">
        <f t="shared" si="107"/>
        <v/>
      </c>
    </row>
    <row r="3413" spans="7:11" x14ac:dyDescent="0.2">
      <c r="G3413" s="44"/>
      <c r="J3413" t="str">
        <f t="shared" si="106"/>
        <v/>
      </c>
      <c r="K3413" t="str">
        <f t="shared" si="107"/>
        <v/>
      </c>
    </row>
    <row r="3414" spans="7:11" x14ac:dyDescent="0.2">
      <c r="G3414" s="44"/>
      <c r="J3414" t="str">
        <f t="shared" si="106"/>
        <v/>
      </c>
      <c r="K3414" t="str">
        <f t="shared" si="107"/>
        <v/>
      </c>
    </row>
    <row r="3415" spans="7:11" x14ac:dyDescent="0.2">
      <c r="G3415" s="44"/>
      <c r="J3415" t="str">
        <f t="shared" si="106"/>
        <v/>
      </c>
      <c r="K3415" t="str">
        <f t="shared" si="107"/>
        <v/>
      </c>
    </row>
    <row r="3416" spans="7:11" x14ac:dyDescent="0.2">
      <c r="G3416" s="44"/>
      <c r="J3416" t="str">
        <f t="shared" si="106"/>
        <v/>
      </c>
      <c r="K3416" t="str">
        <f t="shared" si="107"/>
        <v/>
      </c>
    </row>
    <row r="3417" spans="7:11" x14ac:dyDescent="0.2">
      <c r="G3417" s="44"/>
      <c r="J3417" t="str">
        <f t="shared" si="106"/>
        <v/>
      </c>
      <c r="K3417" t="str">
        <f t="shared" si="107"/>
        <v/>
      </c>
    </row>
    <row r="3418" spans="7:11" x14ac:dyDescent="0.2">
      <c r="G3418" s="44"/>
      <c r="J3418" t="str">
        <f t="shared" si="106"/>
        <v/>
      </c>
      <c r="K3418" t="str">
        <f t="shared" si="107"/>
        <v/>
      </c>
    </row>
    <row r="3419" spans="7:11" x14ac:dyDescent="0.2">
      <c r="G3419" s="44"/>
      <c r="J3419" t="str">
        <f t="shared" si="106"/>
        <v/>
      </c>
      <c r="K3419" t="str">
        <f t="shared" si="107"/>
        <v/>
      </c>
    </row>
    <row r="3420" spans="7:11" x14ac:dyDescent="0.2">
      <c r="G3420" s="44"/>
      <c r="J3420" t="str">
        <f t="shared" si="106"/>
        <v/>
      </c>
      <c r="K3420" t="str">
        <f t="shared" si="107"/>
        <v/>
      </c>
    </row>
    <row r="3421" spans="7:11" x14ac:dyDescent="0.2">
      <c r="G3421" s="44"/>
      <c r="J3421" t="str">
        <f t="shared" si="106"/>
        <v/>
      </c>
      <c r="K3421" t="str">
        <f t="shared" si="107"/>
        <v/>
      </c>
    </row>
    <row r="3422" spans="7:11" x14ac:dyDescent="0.2">
      <c r="G3422" s="44"/>
      <c r="J3422" t="str">
        <f t="shared" si="106"/>
        <v/>
      </c>
      <c r="K3422" t="str">
        <f t="shared" si="107"/>
        <v/>
      </c>
    </row>
    <row r="3423" spans="7:11" x14ac:dyDescent="0.2">
      <c r="G3423" s="44"/>
      <c r="J3423" t="str">
        <f t="shared" si="106"/>
        <v/>
      </c>
      <c r="K3423" t="str">
        <f t="shared" si="107"/>
        <v/>
      </c>
    </row>
    <row r="3424" spans="7:11" x14ac:dyDescent="0.2">
      <c r="G3424" s="44"/>
      <c r="J3424" t="str">
        <f t="shared" si="106"/>
        <v/>
      </c>
      <c r="K3424" t="str">
        <f t="shared" si="107"/>
        <v/>
      </c>
    </row>
    <row r="3425" spans="7:11" x14ac:dyDescent="0.2">
      <c r="G3425" s="44"/>
      <c r="J3425" t="str">
        <f t="shared" si="106"/>
        <v/>
      </c>
      <c r="K3425" t="str">
        <f t="shared" si="107"/>
        <v/>
      </c>
    </row>
    <row r="3426" spans="7:11" x14ac:dyDescent="0.2">
      <c r="G3426" s="44"/>
      <c r="J3426" t="str">
        <f t="shared" si="106"/>
        <v/>
      </c>
      <c r="K3426" t="str">
        <f t="shared" si="107"/>
        <v/>
      </c>
    </row>
    <row r="3427" spans="7:11" x14ac:dyDescent="0.2">
      <c r="G3427" s="44"/>
      <c r="J3427" t="str">
        <f t="shared" si="106"/>
        <v/>
      </c>
      <c r="K3427" t="str">
        <f t="shared" si="107"/>
        <v/>
      </c>
    </row>
    <row r="3428" spans="7:11" x14ac:dyDescent="0.2">
      <c r="G3428" s="44"/>
      <c r="J3428" t="str">
        <f t="shared" si="106"/>
        <v/>
      </c>
      <c r="K3428" t="str">
        <f t="shared" si="107"/>
        <v/>
      </c>
    </row>
    <row r="3429" spans="7:11" x14ac:dyDescent="0.2">
      <c r="G3429" s="44"/>
      <c r="J3429" t="str">
        <f t="shared" si="106"/>
        <v/>
      </c>
      <c r="K3429" t="str">
        <f t="shared" si="107"/>
        <v/>
      </c>
    </row>
    <row r="3430" spans="7:11" x14ac:dyDescent="0.2">
      <c r="G3430" s="44"/>
      <c r="J3430" t="str">
        <f t="shared" si="106"/>
        <v/>
      </c>
      <c r="K3430" t="str">
        <f t="shared" si="107"/>
        <v/>
      </c>
    </row>
    <row r="3431" spans="7:11" x14ac:dyDescent="0.2">
      <c r="G3431" s="44"/>
      <c r="J3431" t="str">
        <f t="shared" si="106"/>
        <v/>
      </c>
      <c r="K3431" t="str">
        <f t="shared" si="107"/>
        <v/>
      </c>
    </row>
    <row r="3432" spans="7:11" x14ac:dyDescent="0.2">
      <c r="G3432" s="44"/>
      <c r="J3432" t="str">
        <f t="shared" si="106"/>
        <v/>
      </c>
      <c r="K3432" t="str">
        <f t="shared" si="107"/>
        <v/>
      </c>
    </row>
    <row r="3433" spans="7:11" x14ac:dyDescent="0.2">
      <c r="G3433" s="44"/>
      <c r="J3433" t="str">
        <f t="shared" si="106"/>
        <v/>
      </c>
      <c r="K3433" t="str">
        <f t="shared" si="107"/>
        <v/>
      </c>
    </row>
    <row r="3434" spans="7:11" x14ac:dyDescent="0.2">
      <c r="G3434" s="44"/>
      <c r="J3434" t="str">
        <f t="shared" si="106"/>
        <v/>
      </c>
      <c r="K3434" t="str">
        <f t="shared" si="107"/>
        <v/>
      </c>
    </row>
    <row r="3435" spans="7:11" x14ac:dyDescent="0.2">
      <c r="G3435" s="44"/>
      <c r="J3435" t="str">
        <f t="shared" si="106"/>
        <v/>
      </c>
      <c r="K3435" t="str">
        <f t="shared" si="107"/>
        <v/>
      </c>
    </row>
    <row r="3436" spans="7:11" x14ac:dyDescent="0.2">
      <c r="G3436" s="44"/>
      <c r="J3436" t="str">
        <f t="shared" si="106"/>
        <v/>
      </c>
      <c r="K3436" t="str">
        <f t="shared" si="107"/>
        <v/>
      </c>
    </row>
    <row r="3437" spans="7:11" x14ac:dyDescent="0.2">
      <c r="G3437" s="44"/>
      <c r="J3437" t="str">
        <f t="shared" si="106"/>
        <v/>
      </c>
      <c r="K3437" t="str">
        <f t="shared" si="107"/>
        <v/>
      </c>
    </row>
    <row r="3438" spans="7:11" x14ac:dyDescent="0.2">
      <c r="G3438" s="44"/>
      <c r="J3438" t="str">
        <f t="shared" si="106"/>
        <v/>
      </c>
      <c r="K3438" t="str">
        <f t="shared" si="107"/>
        <v/>
      </c>
    </row>
    <row r="3439" spans="7:11" x14ac:dyDescent="0.2">
      <c r="G3439" s="44"/>
      <c r="J3439" t="str">
        <f t="shared" si="106"/>
        <v/>
      </c>
      <c r="K3439" t="str">
        <f t="shared" si="107"/>
        <v/>
      </c>
    </row>
    <row r="3440" spans="7:11" x14ac:dyDescent="0.2">
      <c r="G3440" s="44"/>
      <c r="J3440" t="str">
        <f t="shared" si="106"/>
        <v/>
      </c>
      <c r="K3440" t="str">
        <f t="shared" si="107"/>
        <v/>
      </c>
    </row>
    <row r="3441" spans="7:11" x14ac:dyDescent="0.2">
      <c r="G3441" s="44"/>
      <c r="J3441" t="str">
        <f t="shared" si="106"/>
        <v/>
      </c>
      <c r="K3441" t="str">
        <f t="shared" si="107"/>
        <v/>
      </c>
    </row>
    <row r="3442" spans="7:11" x14ac:dyDescent="0.2">
      <c r="G3442" s="44"/>
      <c r="J3442" t="str">
        <f t="shared" si="106"/>
        <v/>
      </c>
      <c r="K3442" t="str">
        <f t="shared" si="107"/>
        <v/>
      </c>
    </row>
    <row r="3443" spans="7:11" x14ac:dyDescent="0.2">
      <c r="G3443" s="44"/>
      <c r="J3443" t="str">
        <f t="shared" si="106"/>
        <v/>
      </c>
      <c r="K3443" t="str">
        <f t="shared" si="107"/>
        <v/>
      </c>
    </row>
    <row r="3444" spans="7:11" x14ac:dyDescent="0.2">
      <c r="G3444" s="44"/>
      <c r="J3444" t="str">
        <f t="shared" si="106"/>
        <v/>
      </c>
      <c r="K3444" t="str">
        <f t="shared" si="107"/>
        <v/>
      </c>
    </row>
    <row r="3445" spans="7:11" x14ac:dyDescent="0.2">
      <c r="G3445" s="44"/>
      <c r="J3445" t="str">
        <f t="shared" si="106"/>
        <v/>
      </c>
      <c r="K3445" t="str">
        <f t="shared" si="107"/>
        <v/>
      </c>
    </row>
    <row r="3446" spans="7:11" x14ac:dyDescent="0.2">
      <c r="G3446" s="44"/>
      <c r="J3446" t="str">
        <f t="shared" si="106"/>
        <v/>
      </c>
      <c r="K3446" t="str">
        <f t="shared" si="107"/>
        <v/>
      </c>
    </row>
    <row r="3447" spans="7:11" x14ac:dyDescent="0.2">
      <c r="G3447" s="44"/>
      <c r="J3447" t="str">
        <f t="shared" si="106"/>
        <v/>
      </c>
      <c r="K3447" t="str">
        <f t="shared" si="107"/>
        <v/>
      </c>
    </row>
    <row r="3448" spans="7:11" x14ac:dyDescent="0.2">
      <c r="G3448" s="44"/>
      <c r="J3448" t="str">
        <f t="shared" si="106"/>
        <v/>
      </c>
      <c r="K3448" t="str">
        <f t="shared" si="107"/>
        <v/>
      </c>
    </row>
    <row r="3449" spans="7:11" x14ac:dyDescent="0.2">
      <c r="G3449" s="44"/>
      <c r="J3449" t="str">
        <f t="shared" si="106"/>
        <v/>
      </c>
      <c r="K3449" t="str">
        <f t="shared" si="107"/>
        <v/>
      </c>
    </row>
    <row r="3450" spans="7:11" x14ac:dyDescent="0.2">
      <c r="G3450" s="44"/>
      <c r="J3450" t="str">
        <f t="shared" si="106"/>
        <v/>
      </c>
      <c r="K3450" t="str">
        <f t="shared" si="107"/>
        <v/>
      </c>
    </row>
    <row r="3451" spans="7:11" x14ac:dyDescent="0.2">
      <c r="G3451" s="44"/>
      <c r="J3451" t="str">
        <f t="shared" si="106"/>
        <v/>
      </c>
      <c r="K3451" t="str">
        <f t="shared" si="107"/>
        <v/>
      </c>
    </row>
    <row r="3452" spans="7:11" x14ac:dyDescent="0.2">
      <c r="G3452" s="44"/>
      <c r="J3452" t="str">
        <f t="shared" si="106"/>
        <v/>
      </c>
      <c r="K3452" t="str">
        <f t="shared" si="107"/>
        <v/>
      </c>
    </row>
    <row r="3453" spans="7:11" x14ac:dyDescent="0.2">
      <c r="G3453" s="44"/>
      <c r="J3453" t="str">
        <f t="shared" si="106"/>
        <v/>
      </c>
      <c r="K3453" t="str">
        <f t="shared" si="107"/>
        <v/>
      </c>
    </row>
    <row r="3454" spans="7:11" x14ac:dyDescent="0.2">
      <c r="G3454" s="44"/>
      <c r="J3454" t="str">
        <f t="shared" si="106"/>
        <v/>
      </c>
      <c r="K3454" t="str">
        <f t="shared" si="107"/>
        <v/>
      </c>
    </row>
    <row r="3455" spans="7:11" x14ac:dyDescent="0.2">
      <c r="G3455" s="44"/>
      <c r="J3455" t="str">
        <f t="shared" si="106"/>
        <v/>
      </c>
      <c r="K3455" t="str">
        <f t="shared" si="107"/>
        <v/>
      </c>
    </row>
    <row r="3456" spans="7:11" x14ac:dyDescent="0.2">
      <c r="G3456" s="44"/>
      <c r="J3456" t="str">
        <f t="shared" si="106"/>
        <v/>
      </c>
      <c r="K3456" t="str">
        <f t="shared" si="107"/>
        <v/>
      </c>
    </row>
    <row r="3457" spans="7:11" x14ac:dyDescent="0.2">
      <c r="G3457" s="44"/>
      <c r="J3457" t="str">
        <f t="shared" si="106"/>
        <v/>
      </c>
      <c r="K3457" t="str">
        <f t="shared" si="107"/>
        <v/>
      </c>
    </row>
    <row r="3458" spans="7:11" x14ac:dyDescent="0.2">
      <c r="G3458" s="44"/>
      <c r="J3458" t="str">
        <f t="shared" ref="J3458:J3521" si="108">IF(E3458="","",IF(OR(E3458=50,E3458=51),"Iltindhold",IF(E3458=75,"Carbon,org,NVOC",IF(OR(E3458=343,E3458=1167),"Svovlbrinte",IF(OR(E3458=240,E3458=241,E3458=242),"Amm",IF(E3458=244,"Nitrit",IF(E3458=247,"Nitrat",IF(E3458=334,"Sulfat",IF(E3458=262,"Phosphor, total-P",F3458)))))))))</f>
        <v/>
      </c>
      <c r="K3458" t="str">
        <f t="shared" ref="K3458:K3521" si="109">IF(A3458="","",IF(H3458="!",NA(),IF(H3458="A",I3458*0.5,IF(H3458="&lt;",I3458*0.5,I3458))))</f>
        <v/>
      </c>
    </row>
    <row r="3459" spans="7:11" x14ac:dyDescent="0.2">
      <c r="G3459" s="44"/>
      <c r="J3459" t="str">
        <f t="shared" si="108"/>
        <v/>
      </c>
      <c r="K3459" t="str">
        <f t="shared" si="109"/>
        <v/>
      </c>
    </row>
    <row r="3460" spans="7:11" x14ac:dyDescent="0.2">
      <c r="G3460" s="44"/>
      <c r="J3460" t="str">
        <f t="shared" si="108"/>
        <v/>
      </c>
      <c r="K3460" t="str">
        <f t="shared" si="109"/>
        <v/>
      </c>
    </row>
    <row r="3461" spans="7:11" x14ac:dyDescent="0.2">
      <c r="G3461" s="44"/>
      <c r="J3461" t="str">
        <f t="shared" si="108"/>
        <v/>
      </c>
      <c r="K3461" t="str">
        <f t="shared" si="109"/>
        <v/>
      </c>
    </row>
    <row r="3462" spans="7:11" x14ac:dyDescent="0.2">
      <c r="G3462" s="44"/>
      <c r="J3462" t="str">
        <f t="shared" si="108"/>
        <v/>
      </c>
      <c r="K3462" t="str">
        <f t="shared" si="109"/>
        <v/>
      </c>
    </row>
    <row r="3463" spans="7:11" x14ac:dyDescent="0.2">
      <c r="G3463" s="44"/>
      <c r="J3463" t="str">
        <f t="shared" si="108"/>
        <v/>
      </c>
      <c r="K3463" t="str">
        <f t="shared" si="109"/>
        <v/>
      </c>
    </row>
    <row r="3464" spans="7:11" x14ac:dyDescent="0.2">
      <c r="G3464" s="44"/>
      <c r="J3464" t="str">
        <f t="shared" si="108"/>
        <v/>
      </c>
      <c r="K3464" t="str">
        <f t="shared" si="109"/>
        <v/>
      </c>
    </row>
    <row r="3465" spans="7:11" x14ac:dyDescent="0.2">
      <c r="G3465" s="44"/>
      <c r="J3465" t="str">
        <f t="shared" si="108"/>
        <v/>
      </c>
      <c r="K3465" t="str">
        <f t="shared" si="109"/>
        <v/>
      </c>
    </row>
    <row r="3466" spans="7:11" x14ac:dyDescent="0.2">
      <c r="G3466" s="44"/>
      <c r="J3466" t="str">
        <f t="shared" si="108"/>
        <v/>
      </c>
      <c r="K3466" t="str">
        <f t="shared" si="109"/>
        <v/>
      </c>
    </row>
    <row r="3467" spans="7:11" x14ac:dyDescent="0.2">
      <c r="G3467" s="44"/>
      <c r="J3467" t="str">
        <f t="shared" si="108"/>
        <v/>
      </c>
      <c r="K3467" t="str">
        <f t="shared" si="109"/>
        <v/>
      </c>
    </row>
    <row r="3468" spans="7:11" x14ac:dyDescent="0.2">
      <c r="G3468" s="44"/>
      <c r="J3468" t="str">
        <f t="shared" si="108"/>
        <v/>
      </c>
      <c r="K3468" t="str">
        <f t="shared" si="109"/>
        <v/>
      </c>
    </row>
    <row r="3469" spans="7:11" x14ac:dyDescent="0.2">
      <c r="G3469" s="44"/>
      <c r="J3469" t="str">
        <f t="shared" si="108"/>
        <v/>
      </c>
      <c r="K3469" t="str">
        <f t="shared" si="109"/>
        <v/>
      </c>
    </row>
    <row r="3470" spans="7:11" x14ac:dyDescent="0.2">
      <c r="G3470" s="44"/>
      <c r="J3470" t="str">
        <f t="shared" si="108"/>
        <v/>
      </c>
      <c r="K3470" t="str">
        <f t="shared" si="109"/>
        <v/>
      </c>
    </row>
    <row r="3471" spans="7:11" x14ac:dyDescent="0.2">
      <c r="G3471" s="44"/>
      <c r="J3471" t="str">
        <f t="shared" si="108"/>
        <v/>
      </c>
      <c r="K3471" t="str">
        <f t="shared" si="109"/>
        <v/>
      </c>
    </row>
    <row r="3472" spans="7:11" x14ac:dyDescent="0.2">
      <c r="G3472" s="44"/>
      <c r="J3472" t="str">
        <f t="shared" si="108"/>
        <v/>
      </c>
      <c r="K3472" t="str">
        <f t="shared" si="109"/>
        <v/>
      </c>
    </row>
    <row r="3473" spans="7:11" x14ac:dyDescent="0.2">
      <c r="G3473" s="44"/>
      <c r="J3473" t="str">
        <f t="shared" si="108"/>
        <v/>
      </c>
      <c r="K3473" t="str">
        <f t="shared" si="109"/>
        <v/>
      </c>
    </row>
    <row r="3474" spans="7:11" x14ac:dyDescent="0.2">
      <c r="G3474" s="44"/>
      <c r="J3474" t="str">
        <f t="shared" si="108"/>
        <v/>
      </c>
      <c r="K3474" t="str">
        <f t="shared" si="109"/>
        <v/>
      </c>
    </row>
    <row r="3475" spans="7:11" x14ac:dyDescent="0.2">
      <c r="G3475" s="44"/>
      <c r="J3475" t="str">
        <f t="shared" si="108"/>
        <v/>
      </c>
      <c r="K3475" t="str">
        <f t="shared" si="109"/>
        <v/>
      </c>
    </row>
    <row r="3476" spans="7:11" x14ac:dyDescent="0.2">
      <c r="G3476" s="44"/>
      <c r="J3476" t="str">
        <f t="shared" si="108"/>
        <v/>
      </c>
      <c r="K3476" t="str">
        <f t="shared" si="109"/>
        <v/>
      </c>
    </row>
    <row r="3477" spans="7:11" x14ac:dyDescent="0.2">
      <c r="G3477" s="44"/>
      <c r="J3477" t="str">
        <f t="shared" si="108"/>
        <v/>
      </c>
      <c r="K3477" t="str">
        <f t="shared" si="109"/>
        <v/>
      </c>
    </row>
    <row r="3478" spans="7:11" x14ac:dyDescent="0.2">
      <c r="G3478" s="44"/>
      <c r="J3478" t="str">
        <f t="shared" si="108"/>
        <v/>
      </c>
      <c r="K3478" t="str">
        <f t="shared" si="109"/>
        <v/>
      </c>
    </row>
    <row r="3479" spans="7:11" x14ac:dyDescent="0.2">
      <c r="G3479" s="44"/>
      <c r="J3479" t="str">
        <f t="shared" si="108"/>
        <v/>
      </c>
      <c r="K3479" t="str">
        <f t="shared" si="109"/>
        <v/>
      </c>
    </row>
    <row r="3480" spans="7:11" x14ac:dyDescent="0.2">
      <c r="G3480" s="44"/>
      <c r="J3480" t="str">
        <f t="shared" si="108"/>
        <v/>
      </c>
      <c r="K3480" t="str">
        <f t="shared" si="109"/>
        <v/>
      </c>
    </row>
    <row r="3481" spans="7:11" x14ac:dyDescent="0.2">
      <c r="G3481" s="44"/>
      <c r="J3481" t="str">
        <f t="shared" si="108"/>
        <v/>
      </c>
      <c r="K3481" t="str">
        <f t="shared" si="109"/>
        <v/>
      </c>
    </row>
    <row r="3482" spans="7:11" x14ac:dyDescent="0.2">
      <c r="G3482" s="44"/>
      <c r="J3482" t="str">
        <f t="shared" si="108"/>
        <v/>
      </c>
      <c r="K3482" t="str">
        <f t="shared" si="109"/>
        <v/>
      </c>
    </row>
    <row r="3483" spans="7:11" x14ac:dyDescent="0.2">
      <c r="G3483" s="44"/>
      <c r="J3483" t="str">
        <f t="shared" si="108"/>
        <v/>
      </c>
      <c r="K3483" t="str">
        <f t="shared" si="109"/>
        <v/>
      </c>
    </row>
    <row r="3484" spans="7:11" x14ac:dyDescent="0.2">
      <c r="G3484" s="44"/>
      <c r="J3484" t="str">
        <f t="shared" si="108"/>
        <v/>
      </c>
      <c r="K3484" t="str">
        <f t="shared" si="109"/>
        <v/>
      </c>
    </row>
    <row r="3485" spans="7:11" x14ac:dyDescent="0.2">
      <c r="G3485" s="44"/>
      <c r="J3485" t="str">
        <f t="shared" si="108"/>
        <v/>
      </c>
      <c r="K3485" t="str">
        <f t="shared" si="109"/>
        <v/>
      </c>
    </row>
    <row r="3486" spans="7:11" x14ac:dyDescent="0.2">
      <c r="G3486" s="44"/>
      <c r="J3486" t="str">
        <f t="shared" si="108"/>
        <v/>
      </c>
      <c r="K3486" t="str">
        <f t="shared" si="109"/>
        <v/>
      </c>
    </row>
    <row r="3487" spans="7:11" x14ac:dyDescent="0.2">
      <c r="G3487" s="44"/>
      <c r="J3487" t="str">
        <f t="shared" si="108"/>
        <v/>
      </c>
      <c r="K3487" t="str">
        <f t="shared" si="109"/>
        <v/>
      </c>
    </row>
    <row r="3488" spans="7:11" x14ac:dyDescent="0.2">
      <c r="G3488" s="44"/>
      <c r="J3488" t="str">
        <f t="shared" si="108"/>
        <v/>
      </c>
      <c r="K3488" t="str">
        <f t="shared" si="109"/>
        <v/>
      </c>
    </row>
    <row r="3489" spans="7:11" x14ac:dyDescent="0.2">
      <c r="G3489" s="44"/>
      <c r="J3489" t="str">
        <f t="shared" si="108"/>
        <v/>
      </c>
      <c r="K3489" t="str">
        <f t="shared" si="109"/>
        <v/>
      </c>
    </row>
    <row r="3490" spans="7:11" x14ac:dyDescent="0.2">
      <c r="G3490" s="44"/>
      <c r="J3490" t="str">
        <f t="shared" si="108"/>
        <v/>
      </c>
      <c r="K3490" t="str">
        <f t="shared" si="109"/>
        <v/>
      </c>
    </row>
    <row r="3491" spans="7:11" x14ac:dyDescent="0.2">
      <c r="G3491" s="44"/>
      <c r="J3491" t="str">
        <f t="shared" si="108"/>
        <v/>
      </c>
      <c r="K3491" t="str">
        <f t="shared" si="109"/>
        <v/>
      </c>
    </row>
    <row r="3492" spans="7:11" x14ac:dyDescent="0.2">
      <c r="G3492" s="44"/>
      <c r="J3492" t="str">
        <f t="shared" si="108"/>
        <v/>
      </c>
      <c r="K3492" t="str">
        <f t="shared" si="109"/>
        <v/>
      </c>
    </row>
    <row r="3493" spans="7:11" x14ac:dyDescent="0.2">
      <c r="G3493" s="44"/>
      <c r="J3493" t="str">
        <f t="shared" si="108"/>
        <v/>
      </c>
      <c r="K3493" t="str">
        <f t="shared" si="109"/>
        <v/>
      </c>
    </row>
    <row r="3494" spans="7:11" x14ac:dyDescent="0.2">
      <c r="G3494" s="44"/>
      <c r="J3494" t="str">
        <f t="shared" si="108"/>
        <v/>
      </c>
      <c r="K3494" t="str">
        <f t="shared" si="109"/>
        <v/>
      </c>
    </row>
    <row r="3495" spans="7:11" x14ac:dyDescent="0.2">
      <c r="G3495" s="44"/>
      <c r="J3495" t="str">
        <f t="shared" si="108"/>
        <v/>
      </c>
      <c r="K3495" t="str">
        <f t="shared" si="109"/>
        <v/>
      </c>
    </row>
    <row r="3496" spans="7:11" x14ac:dyDescent="0.2">
      <c r="G3496" s="44"/>
      <c r="J3496" t="str">
        <f t="shared" si="108"/>
        <v/>
      </c>
      <c r="K3496" t="str">
        <f t="shared" si="109"/>
        <v/>
      </c>
    </row>
    <row r="3497" spans="7:11" x14ac:dyDescent="0.2">
      <c r="G3497" s="44"/>
      <c r="J3497" t="str">
        <f t="shared" si="108"/>
        <v/>
      </c>
      <c r="K3497" t="str">
        <f t="shared" si="109"/>
        <v/>
      </c>
    </row>
    <row r="3498" spans="7:11" x14ac:dyDescent="0.2">
      <c r="G3498" s="44"/>
      <c r="J3498" t="str">
        <f t="shared" si="108"/>
        <v/>
      </c>
      <c r="K3498" t="str">
        <f t="shared" si="109"/>
        <v/>
      </c>
    </row>
    <row r="3499" spans="7:11" x14ac:dyDescent="0.2">
      <c r="G3499" s="44"/>
      <c r="J3499" t="str">
        <f t="shared" si="108"/>
        <v/>
      </c>
      <c r="K3499" t="str">
        <f t="shared" si="109"/>
        <v/>
      </c>
    </row>
    <row r="3500" spans="7:11" x14ac:dyDescent="0.2">
      <c r="G3500" s="44"/>
      <c r="J3500" t="str">
        <f t="shared" si="108"/>
        <v/>
      </c>
      <c r="K3500" t="str">
        <f t="shared" si="109"/>
        <v/>
      </c>
    </row>
    <row r="3501" spans="7:11" x14ac:dyDescent="0.2">
      <c r="G3501" s="44"/>
      <c r="J3501" t="str">
        <f t="shared" si="108"/>
        <v/>
      </c>
      <c r="K3501" t="str">
        <f t="shared" si="109"/>
        <v/>
      </c>
    </row>
    <row r="3502" spans="7:11" x14ac:dyDescent="0.2">
      <c r="G3502" s="44"/>
      <c r="J3502" t="str">
        <f t="shared" si="108"/>
        <v/>
      </c>
      <c r="K3502" t="str">
        <f t="shared" si="109"/>
        <v/>
      </c>
    </row>
    <row r="3503" spans="7:11" x14ac:dyDescent="0.2">
      <c r="G3503" s="44"/>
      <c r="J3503" t="str">
        <f t="shared" si="108"/>
        <v/>
      </c>
      <c r="K3503" t="str">
        <f t="shared" si="109"/>
        <v/>
      </c>
    </row>
    <row r="3504" spans="7:11" x14ac:dyDescent="0.2">
      <c r="G3504" s="44"/>
      <c r="J3504" t="str">
        <f t="shared" si="108"/>
        <v/>
      </c>
      <c r="K3504" t="str">
        <f t="shared" si="109"/>
        <v/>
      </c>
    </row>
    <row r="3505" spans="7:11" x14ac:dyDescent="0.2">
      <c r="G3505" s="44"/>
      <c r="J3505" t="str">
        <f t="shared" si="108"/>
        <v/>
      </c>
      <c r="K3505" t="str">
        <f t="shared" si="109"/>
        <v/>
      </c>
    </row>
    <row r="3506" spans="7:11" x14ac:dyDescent="0.2">
      <c r="G3506" s="44"/>
      <c r="J3506" t="str">
        <f t="shared" si="108"/>
        <v/>
      </c>
      <c r="K3506" t="str">
        <f t="shared" si="109"/>
        <v/>
      </c>
    </row>
    <row r="3507" spans="7:11" x14ac:dyDescent="0.2">
      <c r="G3507" s="44"/>
      <c r="J3507" t="str">
        <f t="shared" si="108"/>
        <v/>
      </c>
      <c r="K3507" t="str">
        <f t="shared" si="109"/>
        <v/>
      </c>
    </row>
    <row r="3508" spans="7:11" x14ac:dyDescent="0.2">
      <c r="G3508" s="44"/>
      <c r="J3508" t="str">
        <f t="shared" si="108"/>
        <v/>
      </c>
      <c r="K3508" t="str">
        <f t="shared" si="109"/>
        <v/>
      </c>
    </row>
    <row r="3509" spans="7:11" x14ac:dyDescent="0.2">
      <c r="G3509" s="44"/>
      <c r="J3509" t="str">
        <f t="shared" si="108"/>
        <v/>
      </c>
      <c r="K3509" t="str">
        <f t="shared" si="109"/>
        <v/>
      </c>
    </row>
    <row r="3510" spans="7:11" x14ac:dyDescent="0.2">
      <c r="G3510" s="44"/>
      <c r="J3510" t="str">
        <f t="shared" si="108"/>
        <v/>
      </c>
      <c r="K3510" t="str">
        <f t="shared" si="109"/>
        <v/>
      </c>
    </row>
    <row r="3511" spans="7:11" x14ac:dyDescent="0.2">
      <c r="G3511" s="44"/>
      <c r="J3511" t="str">
        <f t="shared" si="108"/>
        <v/>
      </c>
      <c r="K3511" t="str">
        <f t="shared" si="109"/>
        <v/>
      </c>
    </row>
    <row r="3512" spans="7:11" x14ac:dyDescent="0.2">
      <c r="G3512" s="44"/>
      <c r="J3512" t="str">
        <f t="shared" si="108"/>
        <v/>
      </c>
      <c r="K3512" t="str">
        <f t="shared" si="109"/>
        <v/>
      </c>
    </row>
    <row r="3513" spans="7:11" x14ac:dyDescent="0.2">
      <c r="G3513" s="44"/>
      <c r="J3513" t="str">
        <f t="shared" si="108"/>
        <v/>
      </c>
      <c r="K3513" t="str">
        <f t="shared" si="109"/>
        <v/>
      </c>
    </row>
    <row r="3514" spans="7:11" x14ac:dyDescent="0.2">
      <c r="G3514" s="44"/>
      <c r="J3514" t="str">
        <f t="shared" si="108"/>
        <v/>
      </c>
      <c r="K3514" t="str">
        <f t="shared" si="109"/>
        <v/>
      </c>
    </row>
    <row r="3515" spans="7:11" x14ac:dyDescent="0.2">
      <c r="G3515" s="44"/>
      <c r="J3515" t="str">
        <f t="shared" si="108"/>
        <v/>
      </c>
      <c r="K3515" t="str">
        <f t="shared" si="109"/>
        <v/>
      </c>
    </row>
    <row r="3516" spans="7:11" x14ac:dyDescent="0.2">
      <c r="G3516" s="44"/>
      <c r="J3516" t="str">
        <f t="shared" si="108"/>
        <v/>
      </c>
      <c r="K3516" t="str">
        <f t="shared" si="109"/>
        <v/>
      </c>
    </row>
    <row r="3517" spans="7:11" x14ac:dyDescent="0.2">
      <c r="G3517" s="44"/>
      <c r="J3517" t="str">
        <f t="shared" si="108"/>
        <v/>
      </c>
      <c r="K3517" t="str">
        <f t="shared" si="109"/>
        <v/>
      </c>
    </row>
    <row r="3518" spans="7:11" x14ac:dyDescent="0.2">
      <c r="G3518" s="44"/>
      <c r="J3518" t="str">
        <f t="shared" si="108"/>
        <v/>
      </c>
      <c r="K3518" t="str">
        <f t="shared" si="109"/>
        <v/>
      </c>
    </row>
    <row r="3519" spans="7:11" x14ac:dyDescent="0.2">
      <c r="G3519" s="44"/>
      <c r="J3519" t="str">
        <f t="shared" si="108"/>
        <v/>
      </c>
      <c r="K3519" t="str">
        <f t="shared" si="109"/>
        <v/>
      </c>
    </row>
    <row r="3520" spans="7:11" x14ac:dyDescent="0.2">
      <c r="G3520" s="44"/>
      <c r="J3520" t="str">
        <f t="shared" si="108"/>
        <v/>
      </c>
      <c r="K3520" t="str">
        <f t="shared" si="109"/>
        <v/>
      </c>
    </row>
    <row r="3521" spans="7:11" x14ac:dyDescent="0.2">
      <c r="G3521" s="44"/>
      <c r="J3521" t="str">
        <f t="shared" si="108"/>
        <v/>
      </c>
      <c r="K3521" t="str">
        <f t="shared" si="109"/>
        <v/>
      </c>
    </row>
    <row r="3522" spans="7:11" x14ac:dyDescent="0.2">
      <c r="G3522" s="44"/>
      <c r="J3522" t="str">
        <f t="shared" ref="J3522:J3585" si="110">IF(E3522="","",IF(OR(E3522=50,E3522=51),"Iltindhold",IF(E3522=75,"Carbon,org,NVOC",IF(OR(E3522=343,E3522=1167),"Svovlbrinte",IF(OR(E3522=240,E3522=241,E3522=242),"Amm",IF(E3522=244,"Nitrit",IF(E3522=247,"Nitrat",IF(E3522=334,"Sulfat",IF(E3522=262,"Phosphor, total-P",F3522)))))))))</f>
        <v/>
      </c>
      <c r="K3522" t="str">
        <f t="shared" ref="K3522:K3585" si="111">IF(A3522="","",IF(H3522="!",NA(),IF(H3522="A",I3522*0.5,IF(H3522="&lt;",I3522*0.5,I3522))))</f>
        <v/>
      </c>
    </row>
    <row r="3523" spans="7:11" x14ac:dyDescent="0.2">
      <c r="G3523" s="44"/>
      <c r="J3523" t="str">
        <f t="shared" si="110"/>
        <v/>
      </c>
      <c r="K3523" t="str">
        <f t="shared" si="111"/>
        <v/>
      </c>
    </row>
    <row r="3524" spans="7:11" x14ac:dyDescent="0.2">
      <c r="G3524" s="44"/>
      <c r="J3524" t="str">
        <f t="shared" si="110"/>
        <v/>
      </c>
      <c r="K3524" t="str">
        <f t="shared" si="111"/>
        <v/>
      </c>
    </row>
    <row r="3525" spans="7:11" x14ac:dyDescent="0.2">
      <c r="G3525" s="44"/>
      <c r="J3525" t="str">
        <f t="shared" si="110"/>
        <v/>
      </c>
      <c r="K3525" t="str">
        <f t="shared" si="111"/>
        <v/>
      </c>
    </row>
    <row r="3526" spans="7:11" x14ac:dyDescent="0.2">
      <c r="G3526" s="44"/>
      <c r="J3526" t="str">
        <f t="shared" si="110"/>
        <v/>
      </c>
      <c r="K3526" t="str">
        <f t="shared" si="111"/>
        <v/>
      </c>
    </row>
    <row r="3527" spans="7:11" x14ac:dyDescent="0.2">
      <c r="G3527" s="44"/>
      <c r="J3527" t="str">
        <f t="shared" si="110"/>
        <v/>
      </c>
      <c r="K3527" t="str">
        <f t="shared" si="111"/>
        <v/>
      </c>
    </row>
    <row r="3528" spans="7:11" x14ac:dyDescent="0.2">
      <c r="G3528" s="44"/>
      <c r="J3528" t="str">
        <f t="shared" si="110"/>
        <v/>
      </c>
      <c r="K3528" t="str">
        <f t="shared" si="111"/>
        <v/>
      </c>
    </row>
    <row r="3529" spans="7:11" x14ac:dyDescent="0.2">
      <c r="G3529" s="44"/>
      <c r="J3529" t="str">
        <f t="shared" si="110"/>
        <v/>
      </c>
      <c r="K3529" t="str">
        <f t="shared" si="111"/>
        <v/>
      </c>
    </row>
    <row r="3530" spans="7:11" x14ac:dyDescent="0.2">
      <c r="G3530" s="44"/>
      <c r="J3530" t="str">
        <f t="shared" si="110"/>
        <v/>
      </c>
      <c r="K3530" t="str">
        <f t="shared" si="111"/>
        <v/>
      </c>
    </row>
    <row r="3531" spans="7:11" x14ac:dyDescent="0.2">
      <c r="G3531" s="44"/>
      <c r="J3531" t="str">
        <f t="shared" si="110"/>
        <v/>
      </c>
      <c r="K3531" t="str">
        <f t="shared" si="111"/>
        <v/>
      </c>
    </row>
    <row r="3532" spans="7:11" x14ac:dyDescent="0.2">
      <c r="G3532" s="44"/>
      <c r="J3532" t="str">
        <f t="shared" si="110"/>
        <v/>
      </c>
      <c r="K3532" t="str">
        <f t="shared" si="111"/>
        <v/>
      </c>
    </row>
    <row r="3533" spans="7:11" x14ac:dyDescent="0.2">
      <c r="G3533" s="44"/>
      <c r="J3533" t="str">
        <f t="shared" si="110"/>
        <v/>
      </c>
      <c r="K3533" t="str">
        <f t="shared" si="111"/>
        <v/>
      </c>
    </row>
    <row r="3534" spans="7:11" x14ac:dyDescent="0.2">
      <c r="G3534" s="44"/>
      <c r="J3534" t="str">
        <f t="shared" si="110"/>
        <v/>
      </c>
      <c r="K3534" t="str">
        <f t="shared" si="111"/>
        <v/>
      </c>
    </row>
    <row r="3535" spans="7:11" x14ac:dyDescent="0.2">
      <c r="G3535" s="44"/>
      <c r="J3535" t="str">
        <f t="shared" si="110"/>
        <v/>
      </c>
      <c r="K3535" t="str">
        <f t="shared" si="111"/>
        <v/>
      </c>
    </row>
    <row r="3536" spans="7:11" x14ac:dyDescent="0.2">
      <c r="G3536" s="44"/>
      <c r="J3536" t="str">
        <f t="shared" si="110"/>
        <v/>
      </c>
      <c r="K3536" t="str">
        <f t="shared" si="111"/>
        <v/>
      </c>
    </row>
    <row r="3537" spans="7:11" x14ac:dyDescent="0.2">
      <c r="G3537" s="44"/>
      <c r="J3537" t="str">
        <f t="shared" si="110"/>
        <v/>
      </c>
      <c r="K3537" t="str">
        <f t="shared" si="111"/>
        <v/>
      </c>
    </row>
    <row r="3538" spans="7:11" x14ac:dyDescent="0.2">
      <c r="G3538" s="44"/>
      <c r="J3538" t="str">
        <f t="shared" si="110"/>
        <v/>
      </c>
      <c r="K3538" t="str">
        <f t="shared" si="111"/>
        <v/>
      </c>
    </row>
    <row r="3539" spans="7:11" x14ac:dyDescent="0.2">
      <c r="G3539" s="44"/>
      <c r="J3539" t="str">
        <f t="shared" si="110"/>
        <v/>
      </c>
      <c r="K3539" t="str">
        <f t="shared" si="111"/>
        <v/>
      </c>
    </row>
    <row r="3540" spans="7:11" x14ac:dyDescent="0.2">
      <c r="G3540" s="44"/>
      <c r="J3540" t="str">
        <f t="shared" si="110"/>
        <v/>
      </c>
      <c r="K3540" t="str">
        <f t="shared" si="111"/>
        <v/>
      </c>
    </row>
    <row r="3541" spans="7:11" x14ac:dyDescent="0.2">
      <c r="G3541" s="44"/>
      <c r="J3541" t="str">
        <f t="shared" si="110"/>
        <v/>
      </c>
      <c r="K3541" t="str">
        <f t="shared" si="111"/>
        <v/>
      </c>
    </row>
    <row r="3542" spans="7:11" x14ac:dyDescent="0.2">
      <c r="G3542" s="44"/>
      <c r="J3542" t="str">
        <f t="shared" si="110"/>
        <v/>
      </c>
      <c r="K3542" t="str">
        <f t="shared" si="111"/>
        <v/>
      </c>
    </row>
    <row r="3543" spans="7:11" x14ac:dyDescent="0.2">
      <c r="G3543" s="44"/>
      <c r="J3543" t="str">
        <f t="shared" si="110"/>
        <v/>
      </c>
      <c r="K3543" t="str">
        <f t="shared" si="111"/>
        <v/>
      </c>
    </row>
    <row r="3544" spans="7:11" x14ac:dyDescent="0.2">
      <c r="G3544" s="44"/>
      <c r="J3544" t="str">
        <f t="shared" si="110"/>
        <v/>
      </c>
      <c r="K3544" t="str">
        <f t="shared" si="111"/>
        <v/>
      </c>
    </row>
    <row r="3545" spans="7:11" x14ac:dyDescent="0.2">
      <c r="G3545" s="44"/>
      <c r="J3545" t="str">
        <f t="shared" si="110"/>
        <v/>
      </c>
      <c r="K3545" t="str">
        <f t="shared" si="111"/>
        <v/>
      </c>
    </row>
    <row r="3546" spans="7:11" x14ac:dyDescent="0.2">
      <c r="G3546" s="44"/>
      <c r="J3546" t="str">
        <f t="shared" si="110"/>
        <v/>
      </c>
      <c r="K3546" t="str">
        <f t="shared" si="111"/>
        <v/>
      </c>
    </row>
    <row r="3547" spans="7:11" x14ac:dyDescent="0.2">
      <c r="G3547" s="44"/>
      <c r="J3547" t="str">
        <f t="shared" si="110"/>
        <v/>
      </c>
      <c r="K3547" t="str">
        <f t="shared" si="111"/>
        <v/>
      </c>
    </row>
    <row r="3548" spans="7:11" x14ac:dyDescent="0.2">
      <c r="G3548" s="44"/>
      <c r="J3548" t="str">
        <f t="shared" si="110"/>
        <v/>
      </c>
      <c r="K3548" t="str">
        <f t="shared" si="111"/>
        <v/>
      </c>
    </row>
    <row r="3549" spans="7:11" x14ac:dyDescent="0.2">
      <c r="G3549" s="44"/>
      <c r="J3549" t="str">
        <f t="shared" si="110"/>
        <v/>
      </c>
      <c r="K3549" t="str">
        <f t="shared" si="111"/>
        <v/>
      </c>
    </row>
    <row r="3550" spans="7:11" x14ac:dyDescent="0.2">
      <c r="G3550" s="44"/>
      <c r="J3550" t="str">
        <f t="shared" si="110"/>
        <v/>
      </c>
      <c r="K3550" t="str">
        <f t="shared" si="111"/>
        <v/>
      </c>
    </row>
    <row r="3551" spans="7:11" x14ac:dyDescent="0.2">
      <c r="G3551" s="44"/>
      <c r="J3551" t="str">
        <f t="shared" si="110"/>
        <v/>
      </c>
      <c r="K3551" t="str">
        <f t="shared" si="111"/>
        <v/>
      </c>
    </row>
    <row r="3552" spans="7:11" x14ac:dyDescent="0.2">
      <c r="G3552" s="44"/>
      <c r="J3552" t="str">
        <f t="shared" si="110"/>
        <v/>
      </c>
      <c r="K3552" t="str">
        <f t="shared" si="111"/>
        <v/>
      </c>
    </row>
    <row r="3553" spans="7:11" x14ac:dyDescent="0.2">
      <c r="G3553" s="44"/>
      <c r="J3553" t="str">
        <f t="shared" si="110"/>
        <v/>
      </c>
      <c r="K3553" t="str">
        <f t="shared" si="111"/>
        <v/>
      </c>
    </row>
    <row r="3554" spans="7:11" x14ac:dyDescent="0.2">
      <c r="G3554" s="44"/>
      <c r="J3554" t="str">
        <f t="shared" si="110"/>
        <v/>
      </c>
      <c r="K3554" t="str">
        <f t="shared" si="111"/>
        <v/>
      </c>
    </row>
    <row r="3555" spans="7:11" x14ac:dyDescent="0.2">
      <c r="G3555" s="44"/>
      <c r="J3555" t="str">
        <f t="shared" si="110"/>
        <v/>
      </c>
      <c r="K3555" t="str">
        <f t="shared" si="111"/>
        <v/>
      </c>
    </row>
    <row r="3556" spans="7:11" x14ac:dyDescent="0.2">
      <c r="G3556" s="44"/>
      <c r="J3556" t="str">
        <f t="shared" si="110"/>
        <v/>
      </c>
      <c r="K3556" t="str">
        <f t="shared" si="111"/>
        <v/>
      </c>
    </row>
    <row r="3557" spans="7:11" x14ac:dyDescent="0.2">
      <c r="G3557" s="44"/>
      <c r="J3557" t="str">
        <f t="shared" si="110"/>
        <v/>
      </c>
      <c r="K3557" t="str">
        <f t="shared" si="111"/>
        <v/>
      </c>
    </row>
    <row r="3558" spans="7:11" x14ac:dyDescent="0.2">
      <c r="G3558" s="44"/>
      <c r="J3558" t="str">
        <f t="shared" si="110"/>
        <v/>
      </c>
      <c r="K3558" t="str">
        <f t="shared" si="111"/>
        <v/>
      </c>
    </row>
    <row r="3559" spans="7:11" x14ac:dyDescent="0.2">
      <c r="G3559" s="44"/>
      <c r="J3559" t="str">
        <f t="shared" si="110"/>
        <v/>
      </c>
      <c r="K3559" t="str">
        <f t="shared" si="111"/>
        <v/>
      </c>
    </row>
    <row r="3560" spans="7:11" x14ac:dyDescent="0.2">
      <c r="G3560" s="44"/>
      <c r="J3560" t="str">
        <f t="shared" si="110"/>
        <v/>
      </c>
      <c r="K3560" t="str">
        <f t="shared" si="111"/>
        <v/>
      </c>
    </row>
    <row r="3561" spans="7:11" x14ac:dyDescent="0.2">
      <c r="G3561" s="44"/>
      <c r="J3561" t="str">
        <f t="shared" si="110"/>
        <v/>
      </c>
      <c r="K3561" t="str">
        <f t="shared" si="111"/>
        <v/>
      </c>
    </row>
    <row r="3562" spans="7:11" x14ac:dyDescent="0.2">
      <c r="G3562" s="44"/>
      <c r="J3562" t="str">
        <f t="shared" si="110"/>
        <v/>
      </c>
      <c r="K3562" t="str">
        <f t="shared" si="111"/>
        <v/>
      </c>
    </row>
    <row r="3563" spans="7:11" x14ac:dyDescent="0.2">
      <c r="G3563" s="44"/>
      <c r="J3563" t="str">
        <f t="shared" si="110"/>
        <v/>
      </c>
      <c r="K3563" t="str">
        <f t="shared" si="111"/>
        <v/>
      </c>
    </row>
    <row r="3564" spans="7:11" x14ac:dyDescent="0.2">
      <c r="G3564" s="44"/>
      <c r="J3564" t="str">
        <f t="shared" si="110"/>
        <v/>
      </c>
      <c r="K3564" t="str">
        <f t="shared" si="111"/>
        <v/>
      </c>
    </row>
    <row r="3565" spans="7:11" x14ac:dyDescent="0.2">
      <c r="G3565" s="44"/>
      <c r="J3565" t="str">
        <f t="shared" si="110"/>
        <v/>
      </c>
      <c r="K3565" t="str">
        <f t="shared" si="111"/>
        <v/>
      </c>
    </row>
    <row r="3566" spans="7:11" x14ac:dyDescent="0.2">
      <c r="G3566" s="44"/>
      <c r="J3566" t="str">
        <f t="shared" si="110"/>
        <v/>
      </c>
      <c r="K3566" t="str">
        <f t="shared" si="111"/>
        <v/>
      </c>
    </row>
    <row r="3567" spans="7:11" x14ac:dyDescent="0.2">
      <c r="G3567" s="44"/>
      <c r="J3567" t="str">
        <f t="shared" si="110"/>
        <v/>
      </c>
      <c r="K3567" t="str">
        <f t="shared" si="111"/>
        <v/>
      </c>
    </row>
    <row r="3568" spans="7:11" x14ac:dyDescent="0.2">
      <c r="G3568" s="44"/>
      <c r="J3568" t="str">
        <f t="shared" si="110"/>
        <v/>
      </c>
      <c r="K3568" t="str">
        <f t="shared" si="111"/>
        <v/>
      </c>
    </row>
    <row r="3569" spans="7:11" x14ac:dyDescent="0.2">
      <c r="G3569" s="44"/>
      <c r="J3569" t="str">
        <f t="shared" si="110"/>
        <v/>
      </c>
      <c r="K3569" t="str">
        <f t="shared" si="111"/>
        <v/>
      </c>
    </row>
    <row r="3570" spans="7:11" x14ac:dyDescent="0.2">
      <c r="G3570" s="44"/>
      <c r="J3570" t="str">
        <f t="shared" si="110"/>
        <v/>
      </c>
      <c r="K3570" t="str">
        <f t="shared" si="111"/>
        <v/>
      </c>
    </row>
    <row r="3571" spans="7:11" x14ac:dyDescent="0.2">
      <c r="G3571" s="44"/>
      <c r="J3571" t="str">
        <f t="shared" si="110"/>
        <v/>
      </c>
      <c r="K3571" t="str">
        <f t="shared" si="111"/>
        <v/>
      </c>
    </row>
    <row r="3572" spans="7:11" x14ac:dyDescent="0.2">
      <c r="G3572" s="44"/>
      <c r="J3572" t="str">
        <f t="shared" si="110"/>
        <v/>
      </c>
      <c r="K3572" t="str">
        <f t="shared" si="111"/>
        <v/>
      </c>
    </row>
    <row r="3573" spans="7:11" x14ac:dyDescent="0.2">
      <c r="G3573" s="44"/>
      <c r="J3573" t="str">
        <f t="shared" si="110"/>
        <v/>
      </c>
      <c r="K3573" t="str">
        <f t="shared" si="111"/>
        <v/>
      </c>
    </row>
    <row r="3574" spans="7:11" x14ac:dyDescent="0.2">
      <c r="G3574" s="44"/>
      <c r="J3574" t="str">
        <f t="shared" si="110"/>
        <v/>
      </c>
      <c r="K3574" t="str">
        <f t="shared" si="111"/>
        <v/>
      </c>
    </row>
    <row r="3575" spans="7:11" x14ac:dyDescent="0.2">
      <c r="G3575" s="44"/>
      <c r="J3575" t="str">
        <f t="shared" si="110"/>
        <v/>
      </c>
      <c r="K3575" t="str">
        <f t="shared" si="111"/>
        <v/>
      </c>
    </row>
    <row r="3576" spans="7:11" x14ac:dyDescent="0.2">
      <c r="G3576" s="44"/>
      <c r="J3576" t="str">
        <f t="shared" si="110"/>
        <v/>
      </c>
      <c r="K3576" t="str">
        <f t="shared" si="111"/>
        <v/>
      </c>
    </row>
    <row r="3577" spans="7:11" x14ac:dyDescent="0.2">
      <c r="G3577" s="44"/>
      <c r="J3577" t="str">
        <f t="shared" si="110"/>
        <v/>
      </c>
      <c r="K3577" t="str">
        <f t="shared" si="111"/>
        <v/>
      </c>
    </row>
    <row r="3578" spans="7:11" x14ac:dyDescent="0.2">
      <c r="G3578" s="44"/>
      <c r="J3578" t="str">
        <f t="shared" si="110"/>
        <v/>
      </c>
      <c r="K3578" t="str">
        <f t="shared" si="111"/>
        <v/>
      </c>
    </row>
    <row r="3579" spans="7:11" x14ac:dyDescent="0.2">
      <c r="G3579" s="44"/>
      <c r="J3579" t="str">
        <f t="shared" si="110"/>
        <v/>
      </c>
      <c r="K3579" t="str">
        <f t="shared" si="111"/>
        <v/>
      </c>
    </row>
    <row r="3580" spans="7:11" x14ac:dyDescent="0.2">
      <c r="G3580" s="44"/>
      <c r="J3580" t="str">
        <f t="shared" si="110"/>
        <v/>
      </c>
      <c r="K3580" t="str">
        <f t="shared" si="111"/>
        <v/>
      </c>
    </row>
    <row r="3581" spans="7:11" x14ac:dyDescent="0.2">
      <c r="G3581" s="44"/>
      <c r="J3581" t="str">
        <f t="shared" si="110"/>
        <v/>
      </c>
      <c r="K3581" t="str">
        <f t="shared" si="111"/>
        <v/>
      </c>
    </row>
    <row r="3582" spans="7:11" x14ac:dyDescent="0.2">
      <c r="G3582" s="44"/>
      <c r="J3582" t="str">
        <f t="shared" si="110"/>
        <v/>
      </c>
      <c r="K3582" t="str">
        <f t="shared" si="111"/>
        <v/>
      </c>
    </row>
    <row r="3583" spans="7:11" x14ac:dyDescent="0.2">
      <c r="G3583" s="44"/>
      <c r="J3583" t="str">
        <f t="shared" si="110"/>
        <v/>
      </c>
      <c r="K3583" t="str">
        <f t="shared" si="111"/>
        <v/>
      </c>
    </row>
    <row r="3584" spans="7:11" x14ac:dyDescent="0.2">
      <c r="G3584" s="44"/>
      <c r="J3584" t="str">
        <f t="shared" si="110"/>
        <v/>
      </c>
      <c r="K3584" t="str">
        <f t="shared" si="111"/>
        <v/>
      </c>
    </row>
    <row r="3585" spans="7:11" x14ac:dyDescent="0.2">
      <c r="G3585" s="44"/>
      <c r="J3585" t="str">
        <f t="shared" si="110"/>
        <v/>
      </c>
      <c r="K3585" t="str">
        <f t="shared" si="111"/>
        <v/>
      </c>
    </row>
    <row r="3586" spans="7:11" x14ac:dyDescent="0.2">
      <c r="G3586" s="44"/>
      <c r="J3586" t="str">
        <f t="shared" ref="J3586:J3649" si="112">IF(E3586="","",IF(OR(E3586=50,E3586=51),"Iltindhold",IF(E3586=75,"Carbon,org,NVOC",IF(OR(E3586=343,E3586=1167),"Svovlbrinte",IF(OR(E3586=240,E3586=241,E3586=242),"Amm",IF(E3586=244,"Nitrit",IF(E3586=247,"Nitrat",IF(E3586=334,"Sulfat",IF(E3586=262,"Phosphor, total-P",F3586)))))))))</f>
        <v/>
      </c>
      <c r="K3586" t="str">
        <f t="shared" ref="K3586:K3649" si="113">IF(A3586="","",IF(H3586="!",NA(),IF(H3586="A",I3586*0.5,IF(H3586="&lt;",I3586*0.5,I3586))))</f>
        <v/>
      </c>
    </row>
    <row r="3587" spans="7:11" x14ac:dyDescent="0.2">
      <c r="G3587" s="44"/>
      <c r="J3587" t="str">
        <f t="shared" si="112"/>
        <v/>
      </c>
      <c r="K3587" t="str">
        <f t="shared" si="113"/>
        <v/>
      </c>
    </row>
    <row r="3588" spans="7:11" x14ac:dyDescent="0.2">
      <c r="G3588" s="44"/>
      <c r="J3588" t="str">
        <f t="shared" si="112"/>
        <v/>
      </c>
      <c r="K3588" t="str">
        <f t="shared" si="113"/>
        <v/>
      </c>
    </row>
    <row r="3589" spans="7:11" x14ac:dyDescent="0.2">
      <c r="G3589" s="44"/>
      <c r="J3589" t="str">
        <f t="shared" si="112"/>
        <v/>
      </c>
      <c r="K3589" t="str">
        <f t="shared" si="113"/>
        <v/>
      </c>
    </row>
    <row r="3590" spans="7:11" x14ac:dyDescent="0.2">
      <c r="G3590" s="44"/>
      <c r="J3590" t="str">
        <f t="shared" si="112"/>
        <v/>
      </c>
      <c r="K3590" t="str">
        <f t="shared" si="113"/>
        <v/>
      </c>
    </row>
    <row r="3591" spans="7:11" x14ac:dyDescent="0.2">
      <c r="G3591" s="44"/>
      <c r="J3591" t="str">
        <f t="shared" si="112"/>
        <v/>
      </c>
      <c r="K3591" t="str">
        <f t="shared" si="113"/>
        <v/>
      </c>
    </row>
    <row r="3592" spans="7:11" x14ac:dyDescent="0.2">
      <c r="G3592" s="44"/>
      <c r="J3592" t="str">
        <f t="shared" si="112"/>
        <v/>
      </c>
      <c r="K3592" t="str">
        <f t="shared" si="113"/>
        <v/>
      </c>
    </row>
    <row r="3593" spans="7:11" x14ac:dyDescent="0.2">
      <c r="G3593" s="44"/>
      <c r="J3593" t="str">
        <f t="shared" si="112"/>
        <v/>
      </c>
      <c r="K3593" t="str">
        <f t="shared" si="113"/>
        <v/>
      </c>
    </row>
    <row r="3594" spans="7:11" x14ac:dyDescent="0.2">
      <c r="G3594" s="44"/>
      <c r="J3594" t="str">
        <f t="shared" si="112"/>
        <v/>
      </c>
      <c r="K3594" t="str">
        <f t="shared" si="113"/>
        <v/>
      </c>
    </row>
    <row r="3595" spans="7:11" x14ac:dyDescent="0.2">
      <c r="G3595" s="44"/>
      <c r="J3595" t="str">
        <f t="shared" si="112"/>
        <v/>
      </c>
      <c r="K3595" t="str">
        <f t="shared" si="113"/>
        <v/>
      </c>
    </row>
    <row r="3596" spans="7:11" x14ac:dyDescent="0.2">
      <c r="G3596" s="44"/>
      <c r="J3596" t="str">
        <f t="shared" si="112"/>
        <v/>
      </c>
      <c r="K3596" t="str">
        <f t="shared" si="113"/>
        <v/>
      </c>
    </row>
    <row r="3597" spans="7:11" x14ac:dyDescent="0.2">
      <c r="G3597" s="44"/>
      <c r="J3597" t="str">
        <f t="shared" si="112"/>
        <v/>
      </c>
      <c r="K3597" t="str">
        <f t="shared" si="113"/>
        <v/>
      </c>
    </row>
    <row r="3598" spans="7:11" x14ac:dyDescent="0.2">
      <c r="G3598" s="44"/>
      <c r="J3598" t="str">
        <f t="shared" si="112"/>
        <v/>
      </c>
      <c r="K3598" t="str">
        <f t="shared" si="113"/>
        <v/>
      </c>
    </row>
    <row r="3599" spans="7:11" x14ac:dyDescent="0.2">
      <c r="G3599" s="44"/>
      <c r="J3599" t="str">
        <f t="shared" si="112"/>
        <v/>
      </c>
      <c r="K3599" t="str">
        <f t="shared" si="113"/>
        <v/>
      </c>
    </row>
    <row r="3600" spans="7:11" x14ac:dyDescent="0.2">
      <c r="G3600" s="44"/>
      <c r="J3600" t="str">
        <f t="shared" si="112"/>
        <v/>
      </c>
      <c r="K3600" t="str">
        <f t="shared" si="113"/>
        <v/>
      </c>
    </row>
    <row r="3601" spans="7:11" x14ac:dyDescent="0.2">
      <c r="G3601" s="44"/>
      <c r="J3601" t="str">
        <f t="shared" si="112"/>
        <v/>
      </c>
      <c r="K3601" t="str">
        <f t="shared" si="113"/>
        <v/>
      </c>
    </row>
    <row r="3602" spans="7:11" x14ac:dyDescent="0.2">
      <c r="G3602" s="44"/>
      <c r="J3602" t="str">
        <f t="shared" si="112"/>
        <v/>
      </c>
      <c r="K3602" t="str">
        <f t="shared" si="113"/>
        <v/>
      </c>
    </row>
    <row r="3603" spans="7:11" x14ac:dyDescent="0.2">
      <c r="G3603" s="44"/>
      <c r="J3603" t="str">
        <f t="shared" si="112"/>
        <v/>
      </c>
      <c r="K3603" t="str">
        <f t="shared" si="113"/>
        <v/>
      </c>
    </row>
    <row r="3604" spans="7:11" x14ac:dyDescent="0.2">
      <c r="G3604" s="44"/>
      <c r="J3604" t="str">
        <f t="shared" si="112"/>
        <v/>
      </c>
      <c r="K3604" t="str">
        <f t="shared" si="113"/>
        <v/>
      </c>
    </row>
    <row r="3605" spans="7:11" x14ac:dyDescent="0.2">
      <c r="G3605" s="44"/>
      <c r="J3605" t="str">
        <f t="shared" si="112"/>
        <v/>
      </c>
      <c r="K3605" t="str">
        <f t="shared" si="113"/>
        <v/>
      </c>
    </row>
    <row r="3606" spans="7:11" x14ac:dyDescent="0.2">
      <c r="G3606" s="44"/>
      <c r="J3606" t="str">
        <f t="shared" si="112"/>
        <v/>
      </c>
      <c r="K3606" t="str">
        <f t="shared" si="113"/>
        <v/>
      </c>
    </row>
    <row r="3607" spans="7:11" x14ac:dyDescent="0.2">
      <c r="G3607" s="44"/>
      <c r="J3607" t="str">
        <f t="shared" si="112"/>
        <v/>
      </c>
      <c r="K3607" t="str">
        <f t="shared" si="113"/>
        <v/>
      </c>
    </row>
    <row r="3608" spans="7:11" x14ac:dyDescent="0.2">
      <c r="G3608" s="44"/>
      <c r="J3608" t="str">
        <f t="shared" si="112"/>
        <v/>
      </c>
      <c r="K3608" t="str">
        <f t="shared" si="113"/>
        <v/>
      </c>
    </row>
    <row r="3609" spans="7:11" x14ac:dyDescent="0.2">
      <c r="G3609" s="44"/>
      <c r="J3609" t="str">
        <f t="shared" si="112"/>
        <v/>
      </c>
      <c r="K3609" t="str">
        <f t="shared" si="113"/>
        <v/>
      </c>
    </row>
    <row r="3610" spans="7:11" x14ac:dyDescent="0.2">
      <c r="G3610" s="44"/>
      <c r="J3610" t="str">
        <f t="shared" si="112"/>
        <v/>
      </c>
      <c r="K3610" t="str">
        <f t="shared" si="113"/>
        <v/>
      </c>
    </row>
    <row r="3611" spans="7:11" x14ac:dyDescent="0.2">
      <c r="G3611" s="44"/>
      <c r="J3611" t="str">
        <f t="shared" si="112"/>
        <v/>
      </c>
      <c r="K3611" t="str">
        <f t="shared" si="113"/>
        <v/>
      </c>
    </row>
    <row r="3612" spans="7:11" x14ac:dyDescent="0.2">
      <c r="G3612" s="44"/>
      <c r="J3612" t="str">
        <f t="shared" si="112"/>
        <v/>
      </c>
      <c r="K3612" t="str">
        <f t="shared" si="113"/>
        <v/>
      </c>
    </row>
    <row r="3613" spans="7:11" x14ac:dyDescent="0.2">
      <c r="G3613" s="44"/>
      <c r="J3613" t="str">
        <f t="shared" si="112"/>
        <v/>
      </c>
      <c r="K3613" t="str">
        <f t="shared" si="113"/>
        <v/>
      </c>
    </row>
    <row r="3614" spans="7:11" x14ac:dyDescent="0.2">
      <c r="G3614" s="44"/>
      <c r="J3614" t="str">
        <f t="shared" si="112"/>
        <v/>
      </c>
      <c r="K3614" t="str">
        <f t="shared" si="113"/>
        <v/>
      </c>
    </row>
    <row r="3615" spans="7:11" x14ac:dyDescent="0.2">
      <c r="G3615" s="44"/>
      <c r="J3615" t="str">
        <f t="shared" si="112"/>
        <v/>
      </c>
      <c r="K3615" t="str">
        <f t="shared" si="113"/>
        <v/>
      </c>
    </row>
    <row r="3616" spans="7:11" x14ac:dyDescent="0.2">
      <c r="G3616" s="44"/>
      <c r="J3616" t="str">
        <f t="shared" si="112"/>
        <v/>
      </c>
      <c r="K3616" t="str">
        <f t="shared" si="113"/>
        <v/>
      </c>
    </row>
    <row r="3617" spans="7:11" x14ac:dyDescent="0.2">
      <c r="G3617" s="44"/>
      <c r="J3617" t="str">
        <f t="shared" si="112"/>
        <v/>
      </c>
      <c r="K3617" t="str">
        <f t="shared" si="113"/>
        <v/>
      </c>
    </row>
    <row r="3618" spans="7:11" x14ac:dyDescent="0.2">
      <c r="G3618" s="44"/>
      <c r="J3618" t="str">
        <f t="shared" si="112"/>
        <v/>
      </c>
      <c r="K3618" t="str">
        <f t="shared" si="113"/>
        <v/>
      </c>
    </row>
    <row r="3619" spans="7:11" x14ac:dyDescent="0.2">
      <c r="G3619" s="44"/>
      <c r="J3619" t="str">
        <f t="shared" si="112"/>
        <v/>
      </c>
      <c r="K3619" t="str">
        <f t="shared" si="113"/>
        <v/>
      </c>
    </row>
    <row r="3620" spans="7:11" x14ac:dyDescent="0.2">
      <c r="G3620" s="44"/>
      <c r="J3620" t="str">
        <f t="shared" si="112"/>
        <v/>
      </c>
      <c r="K3620" t="str">
        <f t="shared" si="113"/>
        <v/>
      </c>
    </row>
    <row r="3621" spans="7:11" x14ac:dyDescent="0.2">
      <c r="G3621" s="44"/>
      <c r="J3621" t="str">
        <f t="shared" si="112"/>
        <v/>
      </c>
      <c r="K3621" t="str">
        <f t="shared" si="113"/>
        <v/>
      </c>
    </row>
    <row r="3622" spans="7:11" x14ac:dyDescent="0.2">
      <c r="G3622" s="44"/>
      <c r="J3622" t="str">
        <f t="shared" si="112"/>
        <v/>
      </c>
      <c r="K3622" t="str">
        <f t="shared" si="113"/>
        <v/>
      </c>
    </row>
    <row r="3623" spans="7:11" x14ac:dyDescent="0.2">
      <c r="G3623" s="44"/>
      <c r="J3623" t="str">
        <f t="shared" si="112"/>
        <v/>
      </c>
      <c r="K3623" t="str">
        <f t="shared" si="113"/>
        <v/>
      </c>
    </row>
    <row r="3624" spans="7:11" x14ac:dyDescent="0.2">
      <c r="G3624" s="44"/>
      <c r="J3624" t="str">
        <f t="shared" si="112"/>
        <v/>
      </c>
      <c r="K3624" t="str">
        <f t="shared" si="113"/>
        <v/>
      </c>
    </row>
    <row r="3625" spans="7:11" x14ac:dyDescent="0.2">
      <c r="G3625" s="44"/>
      <c r="J3625" t="str">
        <f t="shared" si="112"/>
        <v/>
      </c>
      <c r="K3625" t="str">
        <f t="shared" si="113"/>
        <v/>
      </c>
    </row>
    <row r="3626" spans="7:11" x14ac:dyDescent="0.2">
      <c r="G3626" s="44"/>
      <c r="J3626" t="str">
        <f t="shared" si="112"/>
        <v/>
      </c>
      <c r="K3626" t="str">
        <f t="shared" si="113"/>
        <v/>
      </c>
    </row>
    <row r="3627" spans="7:11" x14ac:dyDescent="0.2">
      <c r="G3627" s="44"/>
      <c r="J3627" t="str">
        <f t="shared" si="112"/>
        <v/>
      </c>
      <c r="K3627" t="str">
        <f t="shared" si="113"/>
        <v/>
      </c>
    </row>
    <row r="3628" spans="7:11" x14ac:dyDescent="0.2">
      <c r="G3628" s="44"/>
      <c r="J3628" t="str">
        <f t="shared" si="112"/>
        <v/>
      </c>
      <c r="K3628" t="str">
        <f t="shared" si="113"/>
        <v/>
      </c>
    </row>
    <row r="3629" spans="7:11" x14ac:dyDescent="0.2">
      <c r="G3629" s="44"/>
      <c r="J3629" t="str">
        <f t="shared" si="112"/>
        <v/>
      </c>
      <c r="K3629" t="str">
        <f t="shared" si="113"/>
        <v/>
      </c>
    </row>
    <row r="3630" spans="7:11" x14ac:dyDescent="0.2">
      <c r="G3630" s="44"/>
      <c r="J3630" t="str">
        <f t="shared" si="112"/>
        <v/>
      </c>
      <c r="K3630" t="str">
        <f t="shared" si="113"/>
        <v/>
      </c>
    </row>
    <row r="3631" spans="7:11" x14ac:dyDescent="0.2">
      <c r="G3631" s="44"/>
      <c r="J3631" t="str">
        <f t="shared" si="112"/>
        <v/>
      </c>
      <c r="K3631" t="str">
        <f t="shared" si="113"/>
        <v/>
      </c>
    </row>
    <row r="3632" spans="7:11" x14ac:dyDescent="0.2">
      <c r="G3632" s="44"/>
      <c r="J3632" t="str">
        <f t="shared" si="112"/>
        <v/>
      </c>
      <c r="K3632" t="str">
        <f t="shared" si="113"/>
        <v/>
      </c>
    </row>
    <row r="3633" spans="7:11" x14ac:dyDescent="0.2">
      <c r="G3633" s="44"/>
      <c r="J3633" t="str">
        <f t="shared" si="112"/>
        <v/>
      </c>
      <c r="K3633" t="str">
        <f t="shared" si="113"/>
        <v/>
      </c>
    </row>
    <row r="3634" spans="7:11" x14ac:dyDescent="0.2">
      <c r="G3634" s="44"/>
      <c r="J3634" t="str">
        <f t="shared" si="112"/>
        <v/>
      </c>
      <c r="K3634" t="str">
        <f t="shared" si="113"/>
        <v/>
      </c>
    </row>
    <row r="3635" spans="7:11" x14ac:dyDescent="0.2">
      <c r="G3635" s="44"/>
      <c r="J3635" t="str">
        <f t="shared" si="112"/>
        <v/>
      </c>
      <c r="K3635" t="str">
        <f t="shared" si="113"/>
        <v/>
      </c>
    </row>
    <row r="3636" spans="7:11" x14ac:dyDescent="0.2">
      <c r="G3636" s="44"/>
      <c r="J3636" t="str">
        <f t="shared" si="112"/>
        <v/>
      </c>
      <c r="K3636" t="str">
        <f t="shared" si="113"/>
        <v/>
      </c>
    </row>
    <row r="3637" spans="7:11" x14ac:dyDescent="0.2">
      <c r="G3637" s="44"/>
      <c r="J3637" t="str">
        <f t="shared" si="112"/>
        <v/>
      </c>
      <c r="K3637" t="str">
        <f t="shared" si="113"/>
        <v/>
      </c>
    </row>
    <row r="3638" spans="7:11" x14ac:dyDescent="0.2">
      <c r="G3638" s="44"/>
      <c r="J3638" t="str">
        <f t="shared" si="112"/>
        <v/>
      </c>
      <c r="K3638" t="str">
        <f t="shared" si="113"/>
        <v/>
      </c>
    </row>
    <row r="3639" spans="7:11" x14ac:dyDescent="0.2">
      <c r="G3639" s="44"/>
      <c r="J3639" t="str">
        <f t="shared" si="112"/>
        <v/>
      </c>
      <c r="K3639" t="str">
        <f t="shared" si="113"/>
        <v/>
      </c>
    </row>
    <row r="3640" spans="7:11" x14ac:dyDescent="0.2">
      <c r="G3640" s="44"/>
      <c r="J3640" t="str">
        <f t="shared" si="112"/>
        <v/>
      </c>
      <c r="K3640" t="str">
        <f t="shared" si="113"/>
        <v/>
      </c>
    </row>
    <row r="3641" spans="7:11" x14ac:dyDescent="0.2">
      <c r="G3641" s="44"/>
      <c r="J3641" t="str">
        <f t="shared" si="112"/>
        <v/>
      </c>
      <c r="K3641" t="str">
        <f t="shared" si="113"/>
        <v/>
      </c>
    </row>
    <row r="3642" spans="7:11" x14ac:dyDescent="0.2">
      <c r="G3642" s="44"/>
      <c r="J3642" t="str">
        <f t="shared" si="112"/>
        <v/>
      </c>
      <c r="K3642" t="str">
        <f t="shared" si="113"/>
        <v/>
      </c>
    </row>
    <row r="3643" spans="7:11" x14ac:dyDescent="0.2">
      <c r="G3643" s="44"/>
      <c r="J3643" t="str">
        <f t="shared" si="112"/>
        <v/>
      </c>
      <c r="K3643" t="str">
        <f t="shared" si="113"/>
        <v/>
      </c>
    </row>
    <row r="3644" spans="7:11" x14ac:dyDescent="0.2">
      <c r="G3644" s="44"/>
      <c r="J3644" t="str">
        <f t="shared" si="112"/>
        <v/>
      </c>
      <c r="K3644" t="str">
        <f t="shared" si="113"/>
        <v/>
      </c>
    </row>
    <row r="3645" spans="7:11" x14ac:dyDescent="0.2">
      <c r="G3645" s="44"/>
      <c r="J3645" t="str">
        <f t="shared" si="112"/>
        <v/>
      </c>
      <c r="K3645" t="str">
        <f t="shared" si="113"/>
        <v/>
      </c>
    </row>
    <row r="3646" spans="7:11" x14ac:dyDescent="0.2">
      <c r="G3646" s="44"/>
      <c r="J3646" t="str">
        <f t="shared" si="112"/>
        <v/>
      </c>
      <c r="K3646" t="str">
        <f t="shared" si="113"/>
        <v/>
      </c>
    </row>
    <row r="3647" spans="7:11" x14ac:dyDescent="0.2">
      <c r="G3647" s="44"/>
      <c r="J3647" t="str">
        <f t="shared" si="112"/>
        <v/>
      </c>
      <c r="K3647" t="str">
        <f t="shared" si="113"/>
        <v/>
      </c>
    </row>
    <row r="3648" spans="7:11" x14ac:dyDescent="0.2">
      <c r="G3648" s="44"/>
      <c r="J3648" t="str">
        <f t="shared" si="112"/>
        <v/>
      </c>
      <c r="K3648" t="str">
        <f t="shared" si="113"/>
        <v/>
      </c>
    </row>
    <row r="3649" spans="7:11" x14ac:dyDescent="0.2">
      <c r="G3649" s="44"/>
      <c r="J3649" t="str">
        <f t="shared" si="112"/>
        <v/>
      </c>
      <c r="K3649" t="str">
        <f t="shared" si="113"/>
        <v/>
      </c>
    </row>
    <row r="3650" spans="7:11" x14ac:dyDescent="0.2">
      <c r="G3650" s="44"/>
      <c r="J3650" t="str">
        <f t="shared" ref="J3650:J3713" si="114">IF(E3650="","",IF(OR(E3650=50,E3650=51),"Iltindhold",IF(E3650=75,"Carbon,org,NVOC",IF(OR(E3650=343,E3650=1167),"Svovlbrinte",IF(OR(E3650=240,E3650=241,E3650=242),"Amm",IF(E3650=244,"Nitrit",IF(E3650=247,"Nitrat",IF(E3650=334,"Sulfat",IF(E3650=262,"Phosphor, total-P",F3650)))))))))</f>
        <v/>
      </c>
      <c r="K3650" t="str">
        <f t="shared" ref="K3650:K3713" si="115">IF(A3650="","",IF(H3650="!",NA(),IF(H3650="A",I3650*0.5,IF(H3650="&lt;",I3650*0.5,I3650))))</f>
        <v/>
      </c>
    </row>
    <row r="3651" spans="7:11" x14ac:dyDescent="0.2">
      <c r="G3651" s="44"/>
      <c r="J3651" t="str">
        <f t="shared" si="114"/>
        <v/>
      </c>
      <c r="K3651" t="str">
        <f t="shared" si="115"/>
        <v/>
      </c>
    </row>
    <row r="3652" spans="7:11" x14ac:dyDescent="0.2">
      <c r="G3652" s="44"/>
      <c r="J3652" t="str">
        <f t="shared" si="114"/>
        <v/>
      </c>
      <c r="K3652" t="str">
        <f t="shared" si="115"/>
        <v/>
      </c>
    </row>
    <row r="3653" spans="7:11" x14ac:dyDescent="0.2">
      <c r="G3653" s="44"/>
      <c r="J3653" t="str">
        <f t="shared" si="114"/>
        <v/>
      </c>
      <c r="K3653" t="str">
        <f t="shared" si="115"/>
        <v/>
      </c>
    </row>
    <row r="3654" spans="7:11" x14ac:dyDescent="0.2">
      <c r="G3654" s="44"/>
      <c r="J3654" t="str">
        <f t="shared" si="114"/>
        <v/>
      </c>
      <c r="K3654" t="str">
        <f t="shared" si="115"/>
        <v/>
      </c>
    </row>
    <row r="3655" spans="7:11" x14ac:dyDescent="0.2">
      <c r="G3655" s="44"/>
      <c r="J3655" t="str">
        <f t="shared" si="114"/>
        <v/>
      </c>
      <c r="K3655" t="str">
        <f t="shared" si="115"/>
        <v/>
      </c>
    </row>
    <row r="3656" spans="7:11" x14ac:dyDescent="0.2">
      <c r="G3656" s="44"/>
      <c r="J3656" t="str">
        <f t="shared" si="114"/>
        <v/>
      </c>
      <c r="K3656" t="str">
        <f t="shared" si="115"/>
        <v/>
      </c>
    </row>
    <row r="3657" spans="7:11" x14ac:dyDescent="0.2">
      <c r="G3657" s="44"/>
      <c r="J3657" t="str">
        <f t="shared" si="114"/>
        <v/>
      </c>
      <c r="K3657" t="str">
        <f t="shared" si="115"/>
        <v/>
      </c>
    </row>
    <row r="3658" spans="7:11" x14ac:dyDescent="0.2">
      <c r="G3658" s="44"/>
      <c r="J3658" t="str">
        <f t="shared" si="114"/>
        <v/>
      </c>
      <c r="K3658" t="str">
        <f t="shared" si="115"/>
        <v/>
      </c>
    </row>
    <row r="3659" spans="7:11" x14ac:dyDescent="0.2">
      <c r="G3659" s="44"/>
      <c r="J3659" t="str">
        <f t="shared" si="114"/>
        <v/>
      </c>
      <c r="K3659" t="str">
        <f t="shared" si="115"/>
        <v/>
      </c>
    </row>
    <row r="3660" spans="7:11" x14ac:dyDescent="0.2">
      <c r="G3660" s="44"/>
      <c r="J3660" t="str">
        <f t="shared" si="114"/>
        <v/>
      </c>
      <c r="K3660" t="str">
        <f t="shared" si="115"/>
        <v/>
      </c>
    </row>
    <row r="3661" spans="7:11" x14ac:dyDescent="0.2">
      <c r="G3661" s="44"/>
      <c r="J3661" t="str">
        <f t="shared" si="114"/>
        <v/>
      </c>
      <c r="K3661" t="str">
        <f t="shared" si="115"/>
        <v/>
      </c>
    </row>
    <row r="3662" spans="7:11" x14ac:dyDescent="0.2">
      <c r="G3662" s="44"/>
      <c r="J3662" t="str">
        <f t="shared" si="114"/>
        <v/>
      </c>
      <c r="K3662" t="str">
        <f t="shared" si="115"/>
        <v/>
      </c>
    </row>
    <row r="3663" spans="7:11" x14ac:dyDescent="0.2">
      <c r="G3663" s="44"/>
      <c r="J3663" t="str">
        <f t="shared" si="114"/>
        <v/>
      </c>
      <c r="K3663" t="str">
        <f t="shared" si="115"/>
        <v/>
      </c>
    </row>
    <row r="3664" spans="7:11" x14ac:dyDescent="0.2">
      <c r="G3664" s="44"/>
      <c r="J3664" t="str">
        <f t="shared" si="114"/>
        <v/>
      </c>
      <c r="K3664" t="str">
        <f t="shared" si="115"/>
        <v/>
      </c>
    </row>
    <row r="3665" spans="7:11" x14ac:dyDescent="0.2">
      <c r="G3665" s="44"/>
      <c r="J3665" t="str">
        <f t="shared" si="114"/>
        <v/>
      </c>
      <c r="K3665" t="str">
        <f t="shared" si="115"/>
        <v/>
      </c>
    </row>
    <row r="3666" spans="7:11" x14ac:dyDescent="0.2">
      <c r="G3666" s="44"/>
      <c r="J3666" t="str">
        <f t="shared" si="114"/>
        <v/>
      </c>
      <c r="K3666" t="str">
        <f t="shared" si="115"/>
        <v/>
      </c>
    </row>
    <row r="3667" spans="7:11" x14ac:dyDescent="0.2">
      <c r="G3667" s="44"/>
      <c r="J3667" t="str">
        <f t="shared" si="114"/>
        <v/>
      </c>
      <c r="K3667" t="str">
        <f t="shared" si="115"/>
        <v/>
      </c>
    </row>
    <row r="3668" spans="7:11" x14ac:dyDescent="0.2">
      <c r="G3668" s="44"/>
      <c r="J3668" t="str">
        <f t="shared" si="114"/>
        <v/>
      </c>
      <c r="K3668" t="str">
        <f t="shared" si="115"/>
        <v/>
      </c>
    </row>
    <row r="3669" spans="7:11" x14ac:dyDescent="0.2">
      <c r="G3669" s="44"/>
      <c r="J3669" t="str">
        <f t="shared" si="114"/>
        <v/>
      </c>
      <c r="K3669" t="str">
        <f t="shared" si="115"/>
        <v/>
      </c>
    </row>
    <row r="3670" spans="7:11" x14ac:dyDescent="0.2">
      <c r="G3670" s="44"/>
      <c r="J3670" t="str">
        <f t="shared" si="114"/>
        <v/>
      </c>
      <c r="K3670" t="str">
        <f t="shared" si="115"/>
        <v/>
      </c>
    </row>
    <row r="3671" spans="7:11" x14ac:dyDescent="0.2">
      <c r="G3671" s="44"/>
      <c r="J3671" t="str">
        <f t="shared" si="114"/>
        <v/>
      </c>
      <c r="K3671" t="str">
        <f t="shared" si="115"/>
        <v/>
      </c>
    </row>
    <row r="3672" spans="7:11" x14ac:dyDescent="0.2">
      <c r="G3672" s="44"/>
      <c r="J3672" t="str">
        <f t="shared" si="114"/>
        <v/>
      </c>
      <c r="K3672" t="str">
        <f t="shared" si="115"/>
        <v/>
      </c>
    </row>
    <row r="3673" spans="7:11" x14ac:dyDescent="0.2">
      <c r="G3673" s="44"/>
      <c r="J3673" t="str">
        <f t="shared" si="114"/>
        <v/>
      </c>
      <c r="K3673" t="str">
        <f t="shared" si="115"/>
        <v/>
      </c>
    </row>
    <row r="3674" spans="7:11" x14ac:dyDescent="0.2">
      <c r="G3674" s="44"/>
      <c r="J3674" t="str">
        <f t="shared" si="114"/>
        <v/>
      </c>
      <c r="K3674" t="str">
        <f t="shared" si="115"/>
        <v/>
      </c>
    </row>
    <row r="3675" spans="7:11" x14ac:dyDescent="0.2">
      <c r="G3675" s="44"/>
      <c r="J3675" t="str">
        <f t="shared" si="114"/>
        <v/>
      </c>
      <c r="K3675" t="str">
        <f t="shared" si="115"/>
        <v/>
      </c>
    </row>
    <row r="3676" spans="7:11" x14ac:dyDescent="0.2">
      <c r="G3676" s="44"/>
      <c r="J3676" t="str">
        <f t="shared" si="114"/>
        <v/>
      </c>
      <c r="K3676" t="str">
        <f t="shared" si="115"/>
        <v/>
      </c>
    </row>
    <row r="3677" spans="7:11" x14ac:dyDescent="0.2">
      <c r="G3677" s="44"/>
      <c r="J3677" t="str">
        <f t="shared" si="114"/>
        <v/>
      </c>
      <c r="K3677" t="str">
        <f t="shared" si="115"/>
        <v/>
      </c>
    </row>
    <row r="3678" spans="7:11" x14ac:dyDescent="0.2">
      <c r="G3678" s="44"/>
      <c r="J3678" t="str">
        <f t="shared" si="114"/>
        <v/>
      </c>
      <c r="K3678" t="str">
        <f t="shared" si="115"/>
        <v/>
      </c>
    </row>
    <row r="3679" spans="7:11" x14ac:dyDescent="0.2">
      <c r="G3679" s="44"/>
      <c r="J3679" t="str">
        <f t="shared" si="114"/>
        <v/>
      </c>
      <c r="K3679" t="str">
        <f t="shared" si="115"/>
        <v/>
      </c>
    </row>
    <row r="3680" spans="7:11" x14ac:dyDescent="0.2">
      <c r="G3680" s="44"/>
      <c r="J3680" t="str">
        <f t="shared" si="114"/>
        <v/>
      </c>
      <c r="K3680" t="str">
        <f t="shared" si="115"/>
        <v/>
      </c>
    </row>
    <row r="3681" spans="7:11" x14ac:dyDescent="0.2">
      <c r="G3681" s="44"/>
      <c r="J3681" t="str">
        <f t="shared" si="114"/>
        <v/>
      </c>
      <c r="K3681" t="str">
        <f t="shared" si="115"/>
        <v/>
      </c>
    </row>
    <row r="3682" spans="7:11" x14ac:dyDescent="0.2">
      <c r="G3682" s="44"/>
      <c r="J3682" t="str">
        <f t="shared" si="114"/>
        <v/>
      </c>
      <c r="K3682" t="str">
        <f t="shared" si="115"/>
        <v/>
      </c>
    </row>
    <row r="3683" spans="7:11" x14ac:dyDescent="0.2">
      <c r="G3683" s="44"/>
      <c r="J3683" t="str">
        <f t="shared" si="114"/>
        <v/>
      </c>
      <c r="K3683" t="str">
        <f t="shared" si="115"/>
        <v/>
      </c>
    </row>
    <row r="3684" spans="7:11" x14ac:dyDescent="0.2">
      <c r="G3684" s="44"/>
      <c r="J3684" t="str">
        <f t="shared" si="114"/>
        <v/>
      </c>
      <c r="K3684" t="str">
        <f t="shared" si="115"/>
        <v/>
      </c>
    </row>
    <row r="3685" spans="7:11" x14ac:dyDescent="0.2">
      <c r="G3685" s="44"/>
      <c r="J3685" t="str">
        <f t="shared" si="114"/>
        <v/>
      </c>
      <c r="K3685" t="str">
        <f t="shared" si="115"/>
        <v/>
      </c>
    </row>
    <row r="3686" spans="7:11" x14ac:dyDescent="0.2">
      <c r="G3686" s="44"/>
      <c r="J3686" t="str">
        <f t="shared" si="114"/>
        <v/>
      </c>
      <c r="K3686" t="str">
        <f t="shared" si="115"/>
        <v/>
      </c>
    </row>
    <row r="3687" spans="7:11" x14ac:dyDescent="0.2">
      <c r="G3687" s="44"/>
      <c r="J3687" t="str">
        <f t="shared" si="114"/>
        <v/>
      </c>
      <c r="K3687" t="str">
        <f t="shared" si="115"/>
        <v/>
      </c>
    </row>
    <row r="3688" spans="7:11" x14ac:dyDescent="0.2">
      <c r="G3688" s="44"/>
      <c r="J3688" t="str">
        <f t="shared" si="114"/>
        <v/>
      </c>
      <c r="K3688" t="str">
        <f t="shared" si="115"/>
        <v/>
      </c>
    </row>
    <row r="3689" spans="7:11" x14ac:dyDescent="0.2">
      <c r="G3689" s="44"/>
      <c r="J3689" t="str">
        <f t="shared" si="114"/>
        <v/>
      </c>
      <c r="K3689" t="str">
        <f t="shared" si="115"/>
        <v/>
      </c>
    </row>
    <row r="3690" spans="7:11" x14ac:dyDescent="0.2">
      <c r="G3690" s="44"/>
      <c r="J3690" t="str">
        <f t="shared" si="114"/>
        <v/>
      </c>
      <c r="K3690" t="str">
        <f t="shared" si="115"/>
        <v/>
      </c>
    </row>
    <row r="3691" spans="7:11" x14ac:dyDescent="0.2">
      <c r="G3691" s="44"/>
      <c r="J3691" t="str">
        <f t="shared" si="114"/>
        <v/>
      </c>
      <c r="K3691" t="str">
        <f t="shared" si="115"/>
        <v/>
      </c>
    </row>
    <row r="3692" spans="7:11" x14ac:dyDescent="0.2">
      <c r="G3692" s="44"/>
      <c r="J3692" t="str">
        <f t="shared" si="114"/>
        <v/>
      </c>
      <c r="K3692" t="str">
        <f t="shared" si="115"/>
        <v/>
      </c>
    </row>
    <row r="3693" spans="7:11" x14ac:dyDescent="0.2">
      <c r="G3693" s="44"/>
      <c r="J3693" t="str">
        <f t="shared" si="114"/>
        <v/>
      </c>
      <c r="K3693" t="str">
        <f t="shared" si="115"/>
        <v/>
      </c>
    </row>
    <row r="3694" spans="7:11" x14ac:dyDescent="0.2">
      <c r="G3694" s="44"/>
      <c r="J3694" t="str">
        <f t="shared" si="114"/>
        <v/>
      </c>
      <c r="K3694" t="str">
        <f t="shared" si="115"/>
        <v/>
      </c>
    </row>
    <row r="3695" spans="7:11" x14ac:dyDescent="0.2">
      <c r="G3695" s="44"/>
      <c r="J3695" t="str">
        <f t="shared" si="114"/>
        <v/>
      </c>
      <c r="K3695" t="str">
        <f t="shared" si="115"/>
        <v/>
      </c>
    </row>
    <row r="3696" spans="7:11" x14ac:dyDescent="0.2">
      <c r="G3696" s="44"/>
      <c r="J3696" t="str">
        <f t="shared" si="114"/>
        <v/>
      </c>
      <c r="K3696" t="str">
        <f t="shared" si="115"/>
        <v/>
      </c>
    </row>
    <row r="3697" spans="7:11" x14ac:dyDescent="0.2">
      <c r="G3697" s="44"/>
      <c r="J3697" t="str">
        <f t="shared" si="114"/>
        <v/>
      </c>
      <c r="K3697" t="str">
        <f t="shared" si="115"/>
        <v/>
      </c>
    </row>
    <row r="3698" spans="7:11" x14ac:dyDescent="0.2">
      <c r="G3698" s="44"/>
      <c r="J3698" t="str">
        <f t="shared" si="114"/>
        <v/>
      </c>
      <c r="K3698" t="str">
        <f t="shared" si="115"/>
        <v/>
      </c>
    </row>
    <row r="3699" spans="7:11" x14ac:dyDescent="0.2">
      <c r="G3699" s="44"/>
      <c r="J3699" t="str">
        <f t="shared" si="114"/>
        <v/>
      </c>
      <c r="K3699" t="str">
        <f t="shared" si="115"/>
        <v/>
      </c>
    </row>
    <row r="3700" spans="7:11" x14ac:dyDescent="0.2">
      <c r="G3700" s="44"/>
      <c r="J3700" t="str">
        <f t="shared" si="114"/>
        <v/>
      </c>
      <c r="K3700" t="str">
        <f t="shared" si="115"/>
        <v/>
      </c>
    </row>
    <row r="3701" spans="7:11" x14ac:dyDescent="0.2">
      <c r="G3701" s="44"/>
      <c r="J3701" t="str">
        <f t="shared" si="114"/>
        <v/>
      </c>
      <c r="K3701" t="str">
        <f t="shared" si="115"/>
        <v/>
      </c>
    </row>
    <row r="3702" spans="7:11" x14ac:dyDescent="0.2">
      <c r="G3702" s="44"/>
      <c r="J3702" t="str">
        <f t="shared" si="114"/>
        <v/>
      </c>
      <c r="K3702" t="str">
        <f t="shared" si="115"/>
        <v/>
      </c>
    </row>
    <row r="3703" spans="7:11" x14ac:dyDescent="0.2">
      <c r="G3703" s="44"/>
      <c r="J3703" t="str">
        <f t="shared" si="114"/>
        <v/>
      </c>
      <c r="K3703" t="str">
        <f t="shared" si="115"/>
        <v/>
      </c>
    </row>
    <row r="3704" spans="7:11" x14ac:dyDescent="0.2">
      <c r="G3704" s="44"/>
      <c r="J3704" t="str">
        <f t="shared" si="114"/>
        <v/>
      </c>
      <c r="K3704" t="str">
        <f t="shared" si="115"/>
        <v/>
      </c>
    </row>
    <row r="3705" spans="7:11" x14ac:dyDescent="0.2">
      <c r="G3705" s="44"/>
      <c r="J3705" t="str">
        <f t="shared" si="114"/>
        <v/>
      </c>
      <c r="K3705" t="str">
        <f t="shared" si="115"/>
        <v/>
      </c>
    </row>
    <row r="3706" spans="7:11" x14ac:dyDescent="0.2">
      <c r="G3706" s="44"/>
      <c r="J3706" t="str">
        <f t="shared" si="114"/>
        <v/>
      </c>
      <c r="K3706" t="str">
        <f t="shared" si="115"/>
        <v/>
      </c>
    </row>
    <row r="3707" spans="7:11" x14ac:dyDescent="0.2">
      <c r="G3707" s="44"/>
      <c r="J3707" t="str">
        <f t="shared" si="114"/>
        <v/>
      </c>
      <c r="K3707" t="str">
        <f t="shared" si="115"/>
        <v/>
      </c>
    </row>
    <row r="3708" spans="7:11" x14ac:dyDescent="0.2">
      <c r="G3708" s="44"/>
      <c r="J3708" t="str">
        <f t="shared" si="114"/>
        <v/>
      </c>
      <c r="K3708" t="str">
        <f t="shared" si="115"/>
        <v/>
      </c>
    </row>
    <row r="3709" spans="7:11" x14ac:dyDescent="0.2">
      <c r="G3709" s="44"/>
      <c r="J3709" t="str">
        <f t="shared" si="114"/>
        <v/>
      </c>
      <c r="K3709" t="str">
        <f t="shared" si="115"/>
        <v/>
      </c>
    </row>
    <row r="3710" spans="7:11" x14ac:dyDescent="0.2">
      <c r="G3710" s="44"/>
      <c r="J3710" t="str">
        <f t="shared" si="114"/>
        <v/>
      </c>
      <c r="K3710" t="str">
        <f t="shared" si="115"/>
        <v/>
      </c>
    </row>
    <row r="3711" spans="7:11" x14ac:dyDescent="0.2">
      <c r="G3711" s="44"/>
      <c r="J3711" t="str">
        <f t="shared" si="114"/>
        <v/>
      </c>
      <c r="K3711" t="str">
        <f t="shared" si="115"/>
        <v/>
      </c>
    </row>
    <row r="3712" spans="7:11" x14ac:dyDescent="0.2">
      <c r="G3712" s="44"/>
      <c r="J3712" t="str">
        <f t="shared" si="114"/>
        <v/>
      </c>
      <c r="K3712" t="str">
        <f t="shared" si="115"/>
        <v/>
      </c>
    </row>
    <row r="3713" spans="7:11" x14ac:dyDescent="0.2">
      <c r="G3713" s="44"/>
      <c r="J3713" t="str">
        <f t="shared" si="114"/>
        <v/>
      </c>
      <c r="K3713" t="str">
        <f t="shared" si="115"/>
        <v/>
      </c>
    </row>
    <row r="3714" spans="7:11" x14ac:dyDescent="0.2">
      <c r="G3714" s="44"/>
      <c r="J3714" t="str">
        <f t="shared" ref="J3714:J3777" si="116">IF(E3714="","",IF(OR(E3714=50,E3714=51),"Iltindhold",IF(E3714=75,"Carbon,org,NVOC",IF(OR(E3714=343,E3714=1167),"Svovlbrinte",IF(OR(E3714=240,E3714=241,E3714=242),"Amm",IF(E3714=244,"Nitrit",IF(E3714=247,"Nitrat",IF(E3714=334,"Sulfat",IF(E3714=262,"Phosphor, total-P",F3714)))))))))</f>
        <v/>
      </c>
      <c r="K3714" t="str">
        <f t="shared" ref="K3714:K3777" si="117">IF(A3714="","",IF(H3714="!",NA(),IF(H3714="A",I3714*0.5,IF(H3714="&lt;",I3714*0.5,I3714))))</f>
        <v/>
      </c>
    </row>
    <row r="3715" spans="7:11" x14ac:dyDescent="0.2">
      <c r="G3715" s="44"/>
      <c r="J3715" t="str">
        <f t="shared" si="116"/>
        <v/>
      </c>
      <c r="K3715" t="str">
        <f t="shared" si="117"/>
        <v/>
      </c>
    </row>
    <row r="3716" spans="7:11" x14ac:dyDescent="0.2">
      <c r="G3716" s="44"/>
      <c r="J3716" t="str">
        <f t="shared" si="116"/>
        <v/>
      </c>
      <c r="K3716" t="str">
        <f t="shared" si="117"/>
        <v/>
      </c>
    </row>
    <row r="3717" spans="7:11" x14ac:dyDescent="0.2">
      <c r="G3717" s="44"/>
      <c r="J3717" t="str">
        <f t="shared" si="116"/>
        <v/>
      </c>
      <c r="K3717" t="str">
        <f t="shared" si="117"/>
        <v/>
      </c>
    </row>
    <row r="3718" spans="7:11" x14ac:dyDescent="0.2">
      <c r="G3718" s="44"/>
      <c r="J3718" t="str">
        <f t="shared" si="116"/>
        <v/>
      </c>
      <c r="K3718" t="str">
        <f t="shared" si="117"/>
        <v/>
      </c>
    </row>
    <row r="3719" spans="7:11" x14ac:dyDescent="0.2">
      <c r="G3719" s="44"/>
      <c r="J3719" t="str">
        <f t="shared" si="116"/>
        <v/>
      </c>
      <c r="K3719" t="str">
        <f t="shared" si="117"/>
        <v/>
      </c>
    </row>
    <row r="3720" spans="7:11" x14ac:dyDescent="0.2">
      <c r="G3720" s="44"/>
      <c r="J3720" t="str">
        <f t="shared" si="116"/>
        <v/>
      </c>
      <c r="K3720" t="str">
        <f t="shared" si="117"/>
        <v/>
      </c>
    </row>
    <row r="3721" spans="7:11" x14ac:dyDescent="0.2">
      <c r="G3721" s="44"/>
      <c r="J3721" t="str">
        <f t="shared" si="116"/>
        <v/>
      </c>
      <c r="K3721" t="str">
        <f t="shared" si="117"/>
        <v/>
      </c>
    </row>
    <row r="3722" spans="7:11" x14ac:dyDescent="0.2">
      <c r="G3722" s="44"/>
      <c r="J3722" t="str">
        <f t="shared" si="116"/>
        <v/>
      </c>
      <c r="K3722" t="str">
        <f t="shared" si="117"/>
        <v/>
      </c>
    </row>
    <row r="3723" spans="7:11" x14ac:dyDescent="0.2">
      <c r="G3723" s="44"/>
      <c r="J3723" t="str">
        <f t="shared" si="116"/>
        <v/>
      </c>
      <c r="K3723" t="str">
        <f t="shared" si="117"/>
        <v/>
      </c>
    </row>
    <row r="3724" spans="7:11" x14ac:dyDescent="0.2">
      <c r="G3724" s="44"/>
      <c r="J3724" t="str">
        <f t="shared" si="116"/>
        <v/>
      </c>
      <c r="K3724" t="str">
        <f t="shared" si="117"/>
        <v/>
      </c>
    </row>
    <row r="3725" spans="7:11" x14ac:dyDescent="0.2">
      <c r="G3725" s="44"/>
      <c r="J3725" t="str">
        <f t="shared" si="116"/>
        <v/>
      </c>
      <c r="K3725" t="str">
        <f t="shared" si="117"/>
        <v/>
      </c>
    </row>
    <row r="3726" spans="7:11" x14ac:dyDescent="0.2">
      <c r="G3726" s="44"/>
      <c r="J3726" t="str">
        <f t="shared" si="116"/>
        <v/>
      </c>
      <c r="K3726" t="str">
        <f t="shared" si="117"/>
        <v/>
      </c>
    </row>
    <row r="3727" spans="7:11" x14ac:dyDescent="0.2">
      <c r="G3727" s="44"/>
      <c r="J3727" t="str">
        <f t="shared" si="116"/>
        <v/>
      </c>
      <c r="K3727" t="str">
        <f t="shared" si="117"/>
        <v/>
      </c>
    </row>
    <row r="3728" spans="7:11" x14ac:dyDescent="0.2">
      <c r="G3728" s="44"/>
      <c r="J3728" t="str">
        <f t="shared" si="116"/>
        <v/>
      </c>
      <c r="K3728" t="str">
        <f t="shared" si="117"/>
        <v/>
      </c>
    </row>
    <row r="3729" spans="7:11" x14ac:dyDescent="0.2">
      <c r="G3729" s="44"/>
      <c r="J3729" t="str">
        <f t="shared" si="116"/>
        <v/>
      </c>
      <c r="K3729" t="str">
        <f t="shared" si="117"/>
        <v/>
      </c>
    </row>
    <row r="3730" spans="7:11" x14ac:dyDescent="0.2">
      <c r="G3730" s="44"/>
      <c r="J3730" t="str">
        <f t="shared" si="116"/>
        <v/>
      </c>
      <c r="K3730" t="str">
        <f t="shared" si="117"/>
        <v/>
      </c>
    </row>
    <row r="3731" spans="7:11" x14ac:dyDescent="0.2">
      <c r="G3731" s="44"/>
      <c r="J3731" t="str">
        <f t="shared" si="116"/>
        <v/>
      </c>
      <c r="K3731" t="str">
        <f t="shared" si="117"/>
        <v/>
      </c>
    </row>
    <row r="3732" spans="7:11" x14ac:dyDescent="0.2">
      <c r="G3732" s="44"/>
      <c r="J3732" t="str">
        <f t="shared" si="116"/>
        <v/>
      </c>
      <c r="K3732" t="str">
        <f t="shared" si="117"/>
        <v/>
      </c>
    </row>
    <row r="3733" spans="7:11" x14ac:dyDescent="0.2">
      <c r="G3733" s="44"/>
      <c r="J3733" t="str">
        <f t="shared" si="116"/>
        <v/>
      </c>
      <c r="K3733" t="str">
        <f t="shared" si="117"/>
        <v/>
      </c>
    </row>
    <row r="3734" spans="7:11" x14ac:dyDescent="0.2">
      <c r="G3734" s="44"/>
      <c r="J3734" t="str">
        <f t="shared" si="116"/>
        <v/>
      </c>
      <c r="K3734" t="str">
        <f t="shared" si="117"/>
        <v/>
      </c>
    </row>
    <row r="3735" spans="7:11" x14ac:dyDescent="0.2">
      <c r="G3735" s="44"/>
      <c r="J3735" t="str">
        <f t="shared" si="116"/>
        <v/>
      </c>
      <c r="K3735" t="str">
        <f t="shared" si="117"/>
        <v/>
      </c>
    </row>
    <row r="3736" spans="7:11" x14ac:dyDescent="0.2">
      <c r="G3736" s="44"/>
      <c r="J3736" t="str">
        <f t="shared" si="116"/>
        <v/>
      </c>
      <c r="K3736" t="str">
        <f t="shared" si="117"/>
        <v/>
      </c>
    </row>
    <row r="3737" spans="7:11" x14ac:dyDescent="0.2">
      <c r="G3737" s="44"/>
      <c r="J3737" t="str">
        <f t="shared" si="116"/>
        <v/>
      </c>
      <c r="K3737" t="str">
        <f t="shared" si="117"/>
        <v/>
      </c>
    </row>
    <row r="3738" spans="7:11" x14ac:dyDescent="0.2">
      <c r="G3738" s="44"/>
      <c r="J3738" t="str">
        <f t="shared" si="116"/>
        <v/>
      </c>
      <c r="K3738" t="str">
        <f t="shared" si="117"/>
        <v/>
      </c>
    </row>
    <row r="3739" spans="7:11" x14ac:dyDescent="0.2">
      <c r="G3739" s="44"/>
      <c r="J3739" t="str">
        <f t="shared" si="116"/>
        <v/>
      </c>
      <c r="K3739" t="str">
        <f t="shared" si="117"/>
        <v/>
      </c>
    </row>
    <row r="3740" spans="7:11" x14ac:dyDescent="0.2">
      <c r="G3740" s="44"/>
      <c r="J3740" t="str">
        <f t="shared" si="116"/>
        <v/>
      </c>
      <c r="K3740" t="str">
        <f t="shared" si="117"/>
        <v/>
      </c>
    </row>
    <row r="3741" spans="7:11" x14ac:dyDescent="0.2">
      <c r="G3741" s="44"/>
      <c r="J3741" t="str">
        <f t="shared" si="116"/>
        <v/>
      </c>
      <c r="K3741" t="str">
        <f t="shared" si="117"/>
        <v/>
      </c>
    </row>
    <row r="3742" spans="7:11" x14ac:dyDescent="0.2">
      <c r="G3742" s="44"/>
      <c r="J3742" t="str">
        <f t="shared" si="116"/>
        <v/>
      </c>
      <c r="K3742" t="str">
        <f t="shared" si="117"/>
        <v/>
      </c>
    </row>
    <row r="3743" spans="7:11" x14ac:dyDescent="0.2">
      <c r="G3743" s="44"/>
      <c r="J3743" t="str">
        <f t="shared" si="116"/>
        <v/>
      </c>
      <c r="K3743" t="str">
        <f t="shared" si="117"/>
        <v/>
      </c>
    </row>
    <row r="3744" spans="7:11" x14ac:dyDescent="0.2">
      <c r="G3744" s="44"/>
      <c r="J3744" t="str">
        <f t="shared" si="116"/>
        <v/>
      </c>
      <c r="K3744" t="str">
        <f t="shared" si="117"/>
        <v/>
      </c>
    </row>
    <row r="3745" spans="7:11" x14ac:dyDescent="0.2">
      <c r="G3745" s="44"/>
      <c r="J3745" t="str">
        <f t="shared" si="116"/>
        <v/>
      </c>
      <c r="K3745" t="str">
        <f t="shared" si="117"/>
        <v/>
      </c>
    </row>
    <row r="3746" spans="7:11" x14ac:dyDescent="0.2">
      <c r="G3746" s="44"/>
      <c r="J3746" t="str">
        <f t="shared" si="116"/>
        <v/>
      </c>
      <c r="K3746" t="str">
        <f t="shared" si="117"/>
        <v/>
      </c>
    </row>
    <row r="3747" spans="7:11" x14ac:dyDescent="0.2">
      <c r="G3747" s="44"/>
      <c r="J3747" t="str">
        <f t="shared" si="116"/>
        <v/>
      </c>
      <c r="K3747" t="str">
        <f t="shared" si="117"/>
        <v/>
      </c>
    </row>
    <row r="3748" spans="7:11" x14ac:dyDescent="0.2">
      <c r="G3748" s="44"/>
      <c r="J3748" t="str">
        <f t="shared" si="116"/>
        <v/>
      </c>
      <c r="K3748" t="str">
        <f t="shared" si="117"/>
        <v/>
      </c>
    </row>
    <row r="3749" spans="7:11" x14ac:dyDescent="0.2">
      <c r="G3749" s="44"/>
      <c r="J3749" t="str">
        <f t="shared" si="116"/>
        <v/>
      </c>
      <c r="K3749" t="str">
        <f t="shared" si="117"/>
        <v/>
      </c>
    </row>
    <row r="3750" spans="7:11" x14ac:dyDescent="0.2">
      <c r="G3750" s="44"/>
      <c r="J3750" t="str">
        <f t="shared" si="116"/>
        <v/>
      </c>
      <c r="K3750" t="str">
        <f t="shared" si="117"/>
        <v/>
      </c>
    </row>
    <row r="3751" spans="7:11" x14ac:dyDescent="0.2">
      <c r="G3751" s="44"/>
      <c r="J3751" t="str">
        <f t="shared" si="116"/>
        <v/>
      </c>
      <c r="K3751" t="str">
        <f t="shared" si="117"/>
        <v/>
      </c>
    </row>
    <row r="3752" spans="7:11" x14ac:dyDescent="0.2">
      <c r="G3752" s="44"/>
      <c r="J3752" t="str">
        <f t="shared" si="116"/>
        <v/>
      </c>
      <c r="K3752" t="str">
        <f t="shared" si="117"/>
        <v/>
      </c>
    </row>
    <row r="3753" spans="7:11" x14ac:dyDescent="0.2">
      <c r="G3753" s="44"/>
      <c r="J3753" t="str">
        <f t="shared" si="116"/>
        <v/>
      </c>
      <c r="K3753" t="str">
        <f t="shared" si="117"/>
        <v/>
      </c>
    </row>
    <row r="3754" spans="7:11" x14ac:dyDescent="0.2">
      <c r="G3754" s="44"/>
      <c r="J3754" t="str">
        <f t="shared" si="116"/>
        <v/>
      </c>
      <c r="K3754" t="str">
        <f t="shared" si="117"/>
        <v/>
      </c>
    </row>
    <row r="3755" spans="7:11" x14ac:dyDescent="0.2">
      <c r="G3755" s="44"/>
      <c r="J3755" t="str">
        <f t="shared" si="116"/>
        <v/>
      </c>
      <c r="K3755" t="str">
        <f t="shared" si="117"/>
        <v/>
      </c>
    </row>
    <row r="3756" spans="7:11" x14ac:dyDescent="0.2">
      <c r="G3756" s="44"/>
      <c r="J3756" t="str">
        <f t="shared" si="116"/>
        <v/>
      </c>
      <c r="K3756" t="str">
        <f t="shared" si="117"/>
        <v/>
      </c>
    </row>
    <row r="3757" spans="7:11" x14ac:dyDescent="0.2">
      <c r="G3757" s="44"/>
      <c r="J3757" t="str">
        <f t="shared" si="116"/>
        <v/>
      </c>
      <c r="K3757" t="str">
        <f t="shared" si="117"/>
        <v/>
      </c>
    </row>
    <row r="3758" spans="7:11" x14ac:dyDescent="0.2">
      <c r="G3758" s="44"/>
      <c r="J3758" t="str">
        <f t="shared" si="116"/>
        <v/>
      </c>
      <c r="K3758" t="str">
        <f t="shared" si="117"/>
        <v/>
      </c>
    </row>
    <row r="3759" spans="7:11" x14ac:dyDescent="0.2">
      <c r="G3759" s="44"/>
      <c r="J3759" t="str">
        <f t="shared" si="116"/>
        <v/>
      </c>
      <c r="K3759" t="str">
        <f t="shared" si="117"/>
        <v/>
      </c>
    </row>
    <row r="3760" spans="7:11" x14ac:dyDescent="0.2">
      <c r="G3760" s="44"/>
      <c r="J3760" t="str">
        <f t="shared" si="116"/>
        <v/>
      </c>
      <c r="K3760" t="str">
        <f t="shared" si="117"/>
        <v/>
      </c>
    </row>
    <row r="3761" spans="7:11" x14ac:dyDescent="0.2">
      <c r="G3761" s="44"/>
      <c r="J3761" t="str">
        <f t="shared" si="116"/>
        <v/>
      </c>
      <c r="K3761" t="str">
        <f t="shared" si="117"/>
        <v/>
      </c>
    </row>
    <row r="3762" spans="7:11" x14ac:dyDescent="0.2">
      <c r="G3762" s="44"/>
      <c r="J3762" t="str">
        <f t="shared" si="116"/>
        <v/>
      </c>
      <c r="K3762" t="str">
        <f t="shared" si="117"/>
        <v/>
      </c>
    </row>
    <row r="3763" spans="7:11" x14ac:dyDescent="0.2">
      <c r="G3763" s="44"/>
      <c r="J3763" t="str">
        <f t="shared" si="116"/>
        <v/>
      </c>
      <c r="K3763" t="str">
        <f t="shared" si="117"/>
        <v/>
      </c>
    </row>
    <row r="3764" spans="7:11" x14ac:dyDescent="0.2">
      <c r="G3764" s="44"/>
      <c r="J3764" t="str">
        <f t="shared" si="116"/>
        <v/>
      </c>
      <c r="K3764" t="str">
        <f t="shared" si="117"/>
        <v/>
      </c>
    </row>
    <row r="3765" spans="7:11" x14ac:dyDescent="0.2">
      <c r="G3765" s="44"/>
      <c r="J3765" t="str">
        <f t="shared" si="116"/>
        <v/>
      </c>
      <c r="K3765" t="str">
        <f t="shared" si="117"/>
        <v/>
      </c>
    </row>
    <row r="3766" spans="7:11" x14ac:dyDescent="0.2">
      <c r="G3766" s="44"/>
      <c r="J3766" t="str">
        <f t="shared" si="116"/>
        <v/>
      </c>
      <c r="K3766" t="str">
        <f t="shared" si="117"/>
        <v/>
      </c>
    </row>
    <row r="3767" spans="7:11" x14ac:dyDescent="0.2">
      <c r="G3767" s="44"/>
      <c r="J3767" t="str">
        <f t="shared" si="116"/>
        <v/>
      </c>
      <c r="K3767" t="str">
        <f t="shared" si="117"/>
        <v/>
      </c>
    </row>
    <row r="3768" spans="7:11" x14ac:dyDescent="0.2">
      <c r="G3768" s="44"/>
      <c r="J3768" t="str">
        <f t="shared" si="116"/>
        <v/>
      </c>
      <c r="K3768" t="str">
        <f t="shared" si="117"/>
        <v/>
      </c>
    </row>
    <row r="3769" spans="7:11" x14ac:dyDescent="0.2">
      <c r="G3769" s="44"/>
      <c r="J3769" t="str">
        <f t="shared" si="116"/>
        <v/>
      </c>
      <c r="K3769" t="str">
        <f t="shared" si="117"/>
        <v/>
      </c>
    </row>
    <row r="3770" spans="7:11" x14ac:dyDescent="0.2">
      <c r="G3770" s="44"/>
      <c r="J3770" t="str">
        <f t="shared" si="116"/>
        <v/>
      </c>
      <c r="K3770" t="str">
        <f t="shared" si="117"/>
        <v/>
      </c>
    </row>
    <row r="3771" spans="7:11" x14ac:dyDescent="0.2">
      <c r="G3771" s="44"/>
      <c r="J3771" t="str">
        <f t="shared" si="116"/>
        <v/>
      </c>
      <c r="K3771" t="str">
        <f t="shared" si="117"/>
        <v/>
      </c>
    </row>
    <row r="3772" spans="7:11" x14ac:dyDescent="0.2">
      <c r="G3772" s="44"/>
      <c r="J3772" t="str">
        <f t="shared" si="116"/>
        <v/>
      </c>
      <c r="K3772" t="str">
        <f t="shared" si="117"/>
        <v/>
      </c>
    </row>
    <row r="3773" spans="7:11" x14ac:dyDescent="0.2">
      <c r="G3773" s="44"/>
      <c r="J3773" t="str">
        <f t="shared" si="116"/>
        <v/>
      </c>
      <c r="K3773" t="str">
        <f t="shared" si="117"/>
        <v/>
      </c>
    </row>
    <row r="3774" spans="7:11" x14ac:dyDescent="0.2">
      <c r="G3774" s="44"/>
      <c r="J3774" t="str">
        <f t="shared" si="116"/>
        <v/>
      </c>
      <c r="K3774" t="str">
        <f t="shared" si="117"/>
        <v/>
      </c>
    </row>
    <row r="3775" spans="7:11" x14ac:dyDescent="0.2">
      <c r="G3775" s="44"/>
      <c r="J3775" t="str">
        <f t="shared" si="116"/>
        <v/>
      </c>
      <c r="K3775" t="str">
        <f t="shared" si="117"/>
        <v/>
      </c>
    </row>
    <row r="3776" spans="7:11" x14ac:dyDescent="0.2">
      <c r="G3776" s="44"/>
      <c r="J3776" t="str">
        <f t="shared" si="116"/>
        <v/>
      </c>
      <c r="K3776" t="str">
        <f t="shared" si="117"/>
        <v/>
      </c>
    </row>
    <row r="3777" spans="7:11" x14ac:dyDescent="0.2">
      <c r="G3777" s="44"/>
      <c r="J3777" t="str">
        <f t="shared" si="116"/>
        <v/>
      </c>
      <c r="K3777" t="str">
        <f t="shared" si="117"/>
        <v/>
      </c>
    </row>
    <row r="3778" spans="7:11" x14ac:dyDescent="0.2">
      <c r="G3778" s="44"/>
      <c r="J3778" t="str">
        <f t="shared" ref="J3778:J3841" si="118">IF(E3778="","",IF(OR(E3778=50,E3778=51),"Iltindhold",IF(E3778=75,"Carbon,org,NVOC",IF(OR(E3778=343,E3778=1167),"Svovlbrinte",IF(OR(E3778=240,E3778=241,E3778=242),"Amm",IF(E3778=244,"Nitrit",IF(E3778=247,"Nitrat",IF(E3778=334,"Sulfat",IF(E3778=262,"Phosphor, total-P",F3778)))))))))</f>
        <v/>
      </c>
      <c r="K3778" t="str">
        <f t="shared" ref="K3778:K3841" si="119">IF(A3778="","",IF(H3778="!",NA(),IF(H3778="A",I3778*0.5,IF(H3778="&lt;",I3778*0.5,I3778))))</f>
        <v/>
      </c>
    </row>
    <row r="3779" spans="7:11" x14ac:dyDescent="0.2">
      <c r="G3779" s="44"/>
      <c r="J3779" t="str">
        <f t="shared" si="118"/>
        <v/>
      </c>
      <c r="K3779" t="str">
        <f t="shared" si="119"/>
        <v/>
      </c>
    </row>
    <row r="3780" spans="7:11" x14ac:dyDescent="0.2">
      <c r="G3780" s="44"/>
      <c r="J3780" t="str">
        <f t="shared" si="118"/>
        <v/>
      </c>
      <c r="K3780" t="str">
        <f t="shared" si="119"/>
        <v/>
      </c>
    </row>
    <row r="3781" spans="7:11" x14ac:dyDescent="0.2">
      <c r="G3781" s="44"/>
      <c r="J3781" t="str">
        <f t="shared" si="118"/>
        <v/>
      </c>
      <c r="K3781" t="str">
        <f t="shared" si="119"/>
        <v/>
      </c>
    </row>
    <row r="3782" spans="7:11" x14ac:dyDescent="0.2">
      <c r="G3782" s="44"/>
      <c r="J3782" t="str">
        <f t="shared" si="118"/>
        <v/>
      </c>
      <c r="K3782" t="str">
        <f t="shared" si="119"/>
        <v/>
      </c>
    </row>
    <row r="3783" spans="7:11" x14ac:dyDescent="0.2">
      <c r="G3783" s="44"/>
      <c r="J3783" t="str">
        <f t="shared" si="118"/>
        <v/>
      </c>
      <c r="K3783" t="str">
        <f t="shared" si="119"/>
        <v/>
      </c>
    </row>
    <row r="3784" spans="7:11" x14ac:dyDescent="0.2">
      <c r="G3784" s="44"/>
      <c r="J3784" t="str">
        <f t="shared" si="118"/>
        <v/>
      </c>
      <c r="K3784" t="str">
        <f t="shared" si="119"/>
        <v/>
      </c>
    </row>
    <row r="3785" spans="7:11" x14ac:dyDescent="0.2">
      <c r="G3785" s="44"/>
      <c r="J3785" t="str">
        <f t="shared" si="118"/>
        <v/>
      </c>
      <c r="K3785" t="str">
        <f t="shared" si="119"/>
        <v/>
      </c>
    </row>
    <row r="3786" spans="7:11" x14ac:dyDescent="0.2">
      <c r="G3786" s="44"/>
      <c r="J3786" t="str">
        <f t="shared" si="118"/>
        <v/>
      </c>
      <c r="K3786" t="str">
        <f t="shared" si="119"/>
        <v/>
      </c>
    </row>
    <row r="3787" spans="7:11" x14ac:dyDescent="0.2">
      <c r="G3787" s="44"/>
      <c r="J3787" t="str">
        <f t="shared" si="118"/>
        <v/>
      </c>
      <c r="K3787" t="str">
        <f t="shared" si="119"/>
        <v/>
      </c>
    </row>
    <row r="3788" spans="7:11" x14ac:dyDescent="0.2">
      <c r="G3788" s="44"/>
      <c r="J3788" t="str">
        <f t="shared" si="118"/>
        <v/>
      </c>
      <c r="K3788" t="str">
        <f t="shared" si="119"/>
        <v/>
      </c>
    </row>
    <row r="3789" spans="7:11" x14ac:dyDescent="0.2">
      <c r="G3789" s="44"/>
      <c r="J3789" t="str">
        <f t="shared" si="118"/>
        <v/>
      </c>
      <c r="K3789" t="str">
        <f t="shared" si="119"/>
        <v/>
      </c>
    </row>
    <row r="3790" spans="7:11" x14ac:dyDescent="0.2">
      <c r="G3790" s="44"/>
      <c r="J3790" t="str">
        <f t="shared" si="118"/>
        <v/>
      </c>
      <c r="K3790" t="str">
        <f t="shared" si="119"/>
        <v/>
      </c>
    </row>
    <row r="3791" spans="7:11" x14ac:dyDescent="0.2">
      <c r="G3791" s="44"/>
      <c r="J3791" t="str">
        <f t="shared" si="118"/>
        <v/>
      </c>
      <c r="K3791" t="str">
        <f t="shared" si="119"/>
        <v/>
      </c>
    </row>
    <row r="3792" spans="7:11" x14ac:dyDescent="0.2">
      <c r="G3792" s="44"/>
      <c r="J3792" t="str">
        <f t="shared" si="118"/>
        <v/>
      </c>
      <c r="K3792" t="str">
        <f t="shared" si="119"/>
        <v/>
      </c>
    </row>
    <row r="3793" spans="7:11" x14ac:dyDescent="0.2">
      <c r="G3793" s="44"/>
      <c r="J3793" t="str">
        <f t="shared" si="118"/>
        <v/>
      </c>
      <c r="K3793" t="str">
        <f t="shared" si="119"/>
        <v/>
      </c>
    </row>
    <row r="3794" spans="7:11" x14ac:dyDescent="0.2">
      <c r="G3794" s="44"/>
      <c r="J3794" t="str">
        <f t="shared" si="118"/>
        <v/>
      </c>
      <c r="K3794" t="str">
        <f t="shared" si="119"/>
        <v/>
      </c>
    </row>
    <row r="3795" spans="7:11" x14ac:dyDescent="0.2">
      <c r="G3795" s="44"/>
      <c r="J3795" t="str">
        <f t="shared" si="118"/>
        <v/>
      </c>
      <c r="K3795" t="str">
        <f t="shared" si="119"/>
        <v/>
      </c>
    </row>
    <row r="3796" spans="7:11" x14ac:dyDescent="0.2">
      <c r="G3796" s="44"/>
      <c r="J3796" t="str">
        <f t="shared" si="118"/>
        <v/>
      </c>
      <c r="K3796" t="str">
        <f t="shared" si="119"/>
        <v/>
      </c>
    </row>
    <row r="3797" spans="7:11" x14ac:dyDescent="0.2">
      <c r="G3797" s="44"/>
      <c r="J3797" t="str">
        <f t="shared" si="118"/>
        <v/>
      </c>
      <c r="K3797" t="str">
        <f t="shared" si="119"/>
        <v/>
      </c>
    </row>
    <row r="3798" spans="7:11" x14ac:dyDescent="0.2">
      <c r="G3798" s="44"/>
      <c r="J3798" t="str">
        <f t="shared" si="118"/>
        <v/>
      </c>
      <c r="K3798" t="str">
        <f t="shared" si="119"/>
        <v/>
      </c>
    </row>
    <row r="3799" spans="7:11" x14ac:dyDescent="0.2">
      <c r="G3799" s="44"/>
      <c r="J3799" t="str">
        <f t="shared" si="118"/>
        <v/>
      </c>
      <c r="K3799" t="str">
        <f t="shared" si="119"/>
        <v/>
      </c>
    </row>
    <row r="3800" spans="7:11" x14ac:dyDescent="0.2">
      <c r="G3800" s="44"/>
      <c r="J3800" t="str">
        <f t="shared" si="118"/>
        <v/>
      </c>
      <c r="K3800" t="str">
        <f t="shared" si="119"/>
        <v/>
      </c>
    </row>
    <row r="3801" spans="7:11" x14ac:dyDescent="0.2">
      <c r="G3801" s="44"/>
      <c r="J3801" t="str">
        <f t="shared" si="118"/>
        <v/>
      </c>
      <c r="K3801" t="str">
        <f t="shared" si="119"/>
        <v/>
      </c>
    </row>
    <row r="3802" spans="7:11" x14ac:dyDescent="0.2">
      <c r="G3802" s="44"/>
      <c r="J3802" t="str">
        <f t="shared" si="118"/>
        <v/>
      </c>
      <c r="K3802" t="str">
        <f t="shared" si="119"/>
        <v/>
      </c>
    </row>
    <row r="3803" spans="7:11" x14ac:dyDescent="0.2">
      <c r="G3803" s="44"/>
      <c r="J3803" t="str">
        <f t="shared" si="118"/>
        <v/>
      </c>
      <c r="K3803" t="str">
        <f t="shared" si="119"/>
        <v/>
      </c>
    </row>
    <row r="3804" spans="7:11" x14ac:dyDescent="0.2">
      <c r="G3804" s="44"/>
      <c r="J3804" t="str">
        <f t="shared" si="118"/>
        <v/>
      </c>
      <c r="K3804" t="str">
        <f t="shared" si="119"/>
        <v/>
      </c>
    </row>
    <row r="3805" spans="7:11" x14ac:dyDescent="0.2">
      <c r="G3805" s="44"/>
      <c r="J3805" t="str">
        <f t="shared" si="118"/>
        <v/>
      </c>
      <c r="K3805" t="str">
        <f t="shared" si="119"/>
        <v/>
      </c>
    </row>
    <row r="3806" spans="7:11" x14ac:dyDescent="0.2">
      <c r="G3806" s="44"/>
      <c r="J3806" t="str">
        <f t="shared" si="118"/>
        <v/>
      </c>
      <c r="K3806" t="str">
        <f t="shared" si="119"/>
        <v/>
      </c>
    </row>
    <row r="3807" spans="7:11" x14ac:dyDescent="0.2">
      <c r="G3807" s="44"/>
      <c r="J3807" t="str">
        <f t="shared" si="118"/>
        <v/>
      </c>
      <c r="K3807" t="str">
        <f t="shared" si="119"/>
        <v/>
      </c>
    </row>
    <row r="3808" spans="7:11" x14ac:dyDescent="0.2">
      <c r="G3808" s="44"/>
      <c r="J3808" t="str">
        <f t="shared" si="118"/>
        <v/>
      </c>
      <c r="K3808" t="str">
        <f t="shared" si="119"/>
        <v/>
      </c>
    </row>
    <row r="3809" spans="7:11" x14ac:dyDescent="0.2">
      <c r="G3809" s="44"/>
      <c r="J3809" t="str">
        <f t="shared" si="118"/>
        <v/>
      </c>
      <c r="K3809" t="str">
        <f t="shared" si="119"/>
        <v/>
      </c>
    </row>
    <row r="3810" spans="7:11" x14ac:dyDescent="0.2">
      <c r="G3810" s="44"/>
      <c r="J3810" t="str">
        <f t="shared" si="118"/>
        <v/>
      </c>
      <c r="K3810" t="str">
        <f t="shared" si="119"/>
        <v/>
      </c>
    </row>
    <row r="3811" spans="7:11" x14ac:dyDescent="0.2">
      <c r="G3811" s="44"/>
      <c r="J3811" t="str">
        <f t="shared" si="118"/>
        <v/>
      </c>
      <c r="K3811" t="str">
        <f t="shared" si="119"/>
        <v/>
      </c>
    </row>
    <row r="3812" spans="7:11" x14ac:dyDescent="0.2">
      <c r="G3812" s="44"/>
      <c r="J3812" t="str">
        <f t="shared" si="118"/>
        <v/>
      </c>
      <c r="K3812" t="str">
        <f t="shared" si="119"/>
        <v/>
      </c>
    </row>
    <row r="3813" spans="7:11" x14ac:dyDescent="0.2">
      <c r="G3813" s="44"/>
      <c r="J3813" t="str">
        <f t="shared" si="118"/>
        <v/>
      </c>
      <c r="K3813" t="str">
        <f t="shared" si="119"/>
        <v/>
      </c>
    </row>
    <row r="3814" spans="7:11" x14ac:dyDescent="0.2">
      <c r="G3814" s="44"/>
      <c r="J3814" t="str">
        <f t="shared" si="118"/>
        <v/>
      </c>
      <c r="K3814" t="str">
        <f t="shared" si="119"/>
        <v/>
      </c>
    </row>
    <row r="3815" spans="7:11" x14ac:dyDescent="0.2">
      <c r="G3815" s="44"/>
      <c r="J3815" t="str">
        <f t="shared" si="118"/>
        <v/>
      </c>
      <c r="K3815" t="str">
        <f t="shared" si="119"/>
        <v/>
      </c>
    </row>
    <row r="3816" spans="7:11" x14ac:dyDescent="0.2">
      <c r="G3816" s="44"/>
      <c r="J3816" t="str">
        <f t="shared" si="118"/>
        <v/>
      </c>
      <c r="K3816" t="str">
        <f t="shared" si="119"/>
        <v/>
      </c>
    </row>
    <row r="3817" spans="7:11" x14ac:dyDescent="0.2">
      <c r="G3817" s="44"/>
      <c r="J3817" t="str">
        <f t="shared" si="118"/>
        <v/>
      </c>
      <c r="K3817" t="str">
        <f t="shared" si="119"/>
        <v/>
      </c>
    </row>
    <row r="3818" spans="7:11" x14ac:dyDescent="0.2">
      <c r="G3818" s="44"/>
      <c r="J3818" t="str">
        <f t="shared" si="118"/>
        <v/>
      </c>
      <c r="K3818" t="str">
        <f t="shared" si="119"/>
        <v/>
      </c>
    </row>
    <row r="3819" spans="7:11" x14ac:dyDescent="0.2">
      <c r="G3819" s="44"/>
      <c r="J3819" t="str">
        <f t="shared" si="118"/>
        <v/>
      </c>
      <c r="K3819" t="str">
        <f t="shared" si="119"/>
        <v/>
      </c>
    </row>
    <row r="3820" spans="7:11" x14ac:dyDescent="0.2">
      <c r="G3820" s="44"/>
      <c r="J3820" t="str">
        <f t="shared" si="118"/>
        <v/>
      </c>
      <c r="K3820" t="str">
        <f t="shared" si="119"/>
        <v/>
      </c>
    </row>
    <row r="3821" spans="7:11" x14ac:dyDescent="0.2">
      <c r="G3821" s="44"/>
      <c r="J3821" t="str">
        <f t="shared" si="118"/>
        <v/>
      </c>
      <c r="K3821" t="str">
        <f t="shared" si="119"/>
        <v/>
      </c>
    </row>
    <row r="3822" spans="7:11" x14ac:dyDescent="0.2">
      <c r="G3822" s="44"/>
      <c r="J3822" t="str">
        <f t="shared" si="118"/>
        <v/>
      </c>
      <c r="K3822" t="str">
        <f t="shared" si="119"/>
        <v/>
      </c>
    </row>
    <row r="3823" spans="7:11" x14ac:dyDescent="0.2">
      <c r="G3823" s="44"/>
      <c r="J3823" t="str">
        <f t="shared" si="118"/>
        <v/>
      </c>
      <c r="K3823" t="str">
        <f t="shared" si="119"/>
        <v/>
      </c>
    </row>
    <row r="3824" spans="7:11" x14ac:dyDescent="0.2">
      <c r="G3824" s="44"/>
      <c r="J3824" t="str">
        <f t="shared" si="118"/>
        <v/>
      </c>
      <c r="K3824" t="str">
        <f t="shared" si="119"/>
        <v/>
      </c>
    </row>
    <row r="3825" spans="7:11" x14ac:dyDescent="0.2">
      <c r="G3825" s="44"/>
      <c r="J3825" t="str">
        <f t="shared" si="118"/>
        <v/>
      </c>
      <c r="K3825" t="str">
        <f t="shared" si="119"/>
        <v/>
      </c>
    </row>
    <row r="3826" spans="7:11" x14ac:dyDescent="0.2">
      <c r="G3826" s="44"/>
      <c r="J3826" t="str">
        <f t="shared" si="118"/>
        <v/>
      </c>
      <c r="K3826" t="str">
        <f t="shared" si="119"/>
        <v/>
      </c>
    </row>
    <row r="3827" spans="7:11" x14ac:dyDescent="0.2">
      <c r="G3827" s="44"/>
      <c r="J3827" t="str">
        <f t="shared" si="118"/>
        <v/>
      </c>
      <c r="K3827" t="str">
        <f t="shared" si="119"/>
        <v/>
      </c>
    </row>
    <row r="3828" spans="7:11" x14ac:dyDescent="0.2">
      <c r="G3828" s="44"/>
      <c r="J3828" t="str">
        <f t="shared" si="118"/>
        <v/>
      </c>
      <c r="K3828" t="str">
        <f t="shared" si="119"/>
        <v/>
      </c>
    </row>
    <row r="3829" spans="7:11" x14ac:dyDescent="0.2">
      <c r="G3829" s="44"/>
      <c r="J3829" t="str">
        <f t="shared" si="118"/>
        <v/>
      </c>
      <c r="K3829" t="str">
        <f t="shared" si="119"/>
        <v/>
      </c>
    </row>
    <row r="3830" spans="7:11" x14ac:dyDescent="0.2">
      <c r="G3830" s="44"/>
      <c r="J3830" t="str">
        <f t="shared" si="118"/>
        <v/>
      </c>
      <c r="K3830" t="str">
        <f t="shared" si="119"/>
        <v/>
      </c>
    </row>
    <row r="3831" spans="7:11" x14ac:dyDescent="0.2">
      <c r="G3831" s="44"/>
      <c r="J3831" t="str">
        <f t="shared" si="118"/>
        <v/>
      </c>
      <c r="K3831" t="str">
        <f t="shared" si="119"/>
        <v/>
      </c>
    </row>
    <row r="3832" spans="7:11" x14ac:dyDescent="0.2">
      <c r="G3832" s="44"/>
      <c r="J3832" t="str">
        <f t="shared" si="118"/>
        <v/>
      </c>
      <c r="K3832" t="str">
        <f t="shared" si="119"/>
        <v/>
      </c>
    </row>
    <row r="3833" spans="7:11" x14ac:dyDescent="0.2">
      <c r="G3833" s="44"/>
      <c r="J3833" t="str">
        <f t="shared" si="118"/>
        <v/>
      </c>
      <c r="K3833" t="str">
        <f t="shared" si="119"/>
        <v/>
      </c>
    </row>
    <row r="3834" spans="7:11" x14ac:dyDescent="0.2">
      <c r="G3834" s="44"/>
      <c r="J3834" t="str">
        <f t="shared" si="118"/>
        <v/>
      </c>
      <c r="K3834" t="str">
        <f t="shared" si="119"/>
        <v/>
      </c>
    </row>
    <row r="3835" spans="7:11" x14ac:dyDescent="0.2">
      <c r="G3835" s="44"/>
      <c r="J3835" t="str">
        <f t="shared" si="118"/>
        <v/>
      </c>
      <c r="K3835" t="str">
        <f t="shared" si="119"/>
        <v/>
      </c>
    </row>
    <row r="3836" spans="7:11" x14ac:dyDescent="0.2">
      <c r="G3836" s="44"/>
      <c r="J3836" t="str">
        <f t="shared" si="118"/>
        <v/>
      </c>
      <c r="K3836" t="str">
        <f t="shared" si="119"/>
        <v/>
      </c>
    </row>
    <row r="3837" spans="7:11" x14ac:dyDescent="0.2">
      <c r="G3837" s="44"/>
      <c r="J3837" t="str">
        <f t="shared" si="118"/>
        <v/>
      </c>
      <c r="K3837" t="str">
        <f t="shared" si="119"/>
        <v/>
      </c>
    </row>
    <row r="3838" spans="7:11" x14ac:dyDescent="0.2">
      <c r="G3838" s="44"/>
      <c r="J3838" t="str">
        <f t="shared" si="118"/>
        <v/>
      </c>
      <c r="K3838" t="str">
        <f t="shared" si="119"/>
        <v/>
      </c>
    </row>
    <row r="3839" spans="7:11" x14ac:dyDescent="0.2">
      <c r="G3839" s="44"/>
      <c r="J3839" t="str">
        <f t="shared" si="118"/>
        <v/>
      </c>
      <c r="K3839" t="str">
        <f t="shared" si="119"/>
        <v/>
      </c>
    </row>
    <row r="3840" spans="7:11" x14ac:dyDescent="0.2">
      <c r="G3840" s="44"/>
      <c r="J3840" t="str">
        <f t="shared" si="118"/>
        <v/>
      </c>
      <c r="K3840" t="str">
        <f t="shared" si="119"/>
        <v/>
      </c>
    </row>
    <row r="3841" spans="7:11" x14ac:dyDescent="0.2">
      <c r="G3841" s="44"/>
      <c r="J3841" t="str">
        <f t="shared" si="118"/>
        <v/>
      </c>
      <c r="K3841" t="str">
        <f t="shared" si="119"/>
        <v/>
      </c>
    </row>
    <row r="3842" spans="7:11" x14ac:dyDescent="0.2">
      <c r="G3842" s="44"/>
      <c r="J3842" t="str">
        <f t="shared" ref="J3842:J3905" si="120">IF(E3842="","",IF(OR(E3842=50,E3842=51),"Iltindhold",IF(E3842=75,"Carbon,org,NVOC",IF(OR(E3842=343,E3842=1167),"Svovlbrinte",IF(OR(E3842=240,E3842=241,E3842=242),"Amm",IF(E3842=244,"Nitrit",IF(E3842=247,"Nitrat",IF(E3842=334,"Sulfat",IF(E3842=262,"Phosphor, total-P",F3842)))))))))</f>
        <v/>
      </c>
      <c r="K3842" t="str">
        <f t="shared" ref="K3842:K3905" si="121">IF(A3842="","",IF(H3842="!",NA(),IF(H3842="A",I3842*0.5,IF(H3842="&lt;",I3842*0.5,I3842))))</f>
        <v/>
      </c>
    </row>
    <row r="3843" spans="7:11" x14ac:dyDescent="0.2">
      <c r="G3843" s="44"/>
      <c r="J3843" t="str">
        <f t="shared" si="120"/>
        <v/>
      </c>
      <c r="K3843" t="str">
        <f t="shared" si="121"/>
        <v/>
      </c>
    </row>
    <row r="3844" spans="7:11" x14ac:dyDescent="0.2">
      <c r="G3844" s="44"/>
      <c r="J3844" t="str">
        <f t="shared" si="120"/>
        <v/>
      </c>
      <c r="K3844" t="str">
        <f t="shared" si="121"/>
        <v/>
      </c>
    </row>
    <row r="3845" spans="7:11" x14ac:dyDescent="0.2">
      <c r="G3845" s="44"/>
      <c r="J3845" t="str">
        <f t="shared" si="120"/>
        <v/>
      </c>
      <c r="K3845" t="str">
        <f t="shared" si="121"/>
        <v/>
      </c>
    </row>
    <row r="3846" spans="7:11" x14ac:dyDescent="0.2">
      <c r="G3846" s="44"/>
      <c r="J3846" t="str">
        <f t="shared" si="120"/>
        <v/>
      </c>
      <c r="K3846" t="str">
        <f t="shared" si="121"/>
        <v/>
      </c>
    </row>
    <row r="3847" spans="7:11" x14ac:dyDescent="0.2">
      <c r="G3847" s="44"/>
      <c r="J3847" t="str">
        <f t="shared" si="120"/>
        <v/>
      </c>
      <c r="K3847" t="str">
        <f t="shared" si="121"/>
        <v/>
      </c>
    </row>
    <row r="3848" spans="7:11" x14ac:dyDescent="0.2">
      <c r="G3848" s="44"/>
      <c r="J3848" t="str">
        <f t="shared" si="120"/>
        <v/>
      </c>
      <c r="K3848" t="str">
        <f t="shared" si="121"/>
        <v/>
      </c>
    </row>
    <row r="3849" spans="7:11" x14ac:dyDescent="0.2">
      <c r="G3849" s="44"/>
      <c r="J3849" t="str">
        <f t="shared" si="120"/>
        <v/>
      </c>
      <c r="K3849" t="str">
        <f t="shared" si="121"/>
        <v/>
      </c>
    </row>
    <row r="3850" spans="7:11" x14ac:dyDescent="0.2">
      <c r="G3850" s="44"/>
      <c r="J3850" t="str">
        <f t="shared" si="120"/>
        <v/>
      </c>
      <c r="K3850" t="str">
        <f t="shared" si="121"/>
        <v/>
      </c>
    </row>
    <row r="3851" spans="7:11" x14ac:dyDescent="0.2">
      <c r="G3851" s="44"/>
      <c r="J3851" t="str">
        <f t="shared" si="120"/>
        <v/>
      </c>
      <c r="K3851" t="str">
        <f t="shared" si="121"/>
        <v/>
      </c>
    </row>
    <row r="3852" spans="7:11" x14ac:dyDescent="0.2">
      <c r="G3852" s="44"/>
      <c r="J3852" t="str">
        <f t="shared" si="120"/>
        <v/>
      </c>
      <c r="K3852" t="str">
        <f t="shared" si="121"/>
        <v/>
      </c>
    </row>
    <row r="3853" spans="7:11" x14ac:dyDescent="0.2">
      <c r="G3853" s="44"/>
      <c r="J3853" t="str">
        <f t="shared" si="120"/>
        <v/>
      </c>
      <c r="K3853" t="str">
        <f t="shared" si="121"/>
        <v/>
      </c>
    </row>
    <row r="3854" spans="7:11" x14ac:dyDescent="0.2">
      <c r="G3854" s="44"/>
      <c r="J3854" t="str">
        <f t="shared" si="120"/>
        <v/>
      </c>
      <c r="K3854" t="str">
        <f t="shared" si="121"/>
        <v/>
      </c>
    </row>
    <row r="3855" spans="7:11" x14ac:dyDescent="0.2">
      <c r="G3855" s="44"/>
      <c r="J3855" t="str">
        <f t="shared" si="120"/>
        <v/>
      </c>
      <c r="K3855" t="str">
        <f t="shared" si="121"/>
        <v/>
      </c>
    </row>
    <row r="3856" spans="7:11" x14ac:dyDescent="0.2">
      <c r="G3856" s="44"/>
      <c r="J3856" t="str">
        <f t="shared" si="120"/>
        <v/>
      </c>
      <c r="K3856" t="str">
        <f t="shared" si="121"/>
        <v/>
      </c>
    </row>
    <row r="3857" spans="7:11" x14ac:dyDescent="0.2">
      <c r="G3857" s="44"/>
      <c r="J3857" t="str">
        <f t="shared" si="120"/>
        <v/>
      </c>
      <c r="K3857" t="str">
        <f t="shared" si="121"/>
        <v/>
      </c>
    </row>
    <row r="3858" spans="7:11" x14ac:dyDescent="0.2">
      <c r="G3858" s="44"/>
      <c r="J3858" t="str">
        <f t="shared" si="120"/>
        <v/>
      </c>
      <c r="K3858" t="str">
        <f t="shared" si="121"/>
        <v/>
      </c>
    </row>
    <row r="3859" spans="7:11" x14ac:dyDescent="0.2">
      <c r="G3859" s="44"/>
      <c r="J3859" t="str">
        <f t="shared" si="120"/>
        <v/>
      </c>
      <c r="K3859" t="str">
        <f t="shared" si="121"/>
        <v/>
      </c>
    </row>
    <row r="3860" spans="7:11" x14ac:dyDescent="0.2">
      <c r="G3860" s="44"/>
      <c r="J3860" t="str">
        <f t="shared" si="120"/>
        <v/>
      </c>
      <c r="K3860" t="str">
        <f t="shared" si="121"/>
        <v/>
      </c>
    </row>
    <row r="3861" spans="7:11" x14ac:dyDescent="0.2">
      <c r="G3861" s="44"/>
      <c r="J3861" t="str">
        <f t="shared" si="120"/>
        <v/>
      </c>
      <c r="K3861" t="str">
        <f t="shared" si="121"/>
        <v/>
      </c>
    </row>
    <row r="3862" spans="7:11" x14ac:dyDescent="0.2">
      <c r="G3862" s="44"/>
      <c r="J3862" t="str">
        <f t="shared" si="120"/>
        <v/>
      </c>
      <c r="K3862" t="str">
        <f t="shared" si="121"/>
        <v/>
      </c>
    </row>
    <row r="3863" spans="7:11" x14ac:dyDescent="0.2">
      <c r="G3863" s="44"/>
      <c r="J3863" t="str">
        <f t="shared" si="120"/>
        <v/>
      </c>
      <c r="K3863" t="str">
        <f t="shared" si="121"/>
        <v/>
      </c>
    </row>
    <row r="3864" spans="7:11" x14ac:dyDescent="0.2">
      <c r="G3864" s="44"/>
      <c r="J3864" t="str">
        <f t="shared" si="120"/>
        <v/>
      </c>
      <c r="K3864" t="str">
        <f t="shared" si="121"/>
        <v/>
      </c>
    </row>
    <row r="3865" spans="7:11" x14ac:dyDescent="0.2">
      <c r="G3865" s="44"/>
      <c r="J3865" t="str">
        <f t="shared" si="120"/>
        <v/>
      </c>
      <c r="K3865" t="str">
        <f t="shared" si="121"/>
        <v/>
      </c>
    </row>
    <row r="3866" spans="7:11" x14ac:dyDescent="0.2">
      <c r="G3866" s="44"/>
      <c r="J3866" t="str">
        <f t="shared" si="120"/>
        <v/>
      </c>
      <c r="K3866" t="str">
        <f t="shared" si="121"/>
        <v/>
      </c>
    </row>
    <row r="3867" spans="7:11" x14ac:dyDescent="0.2">
      <c r="G3867" s="44"/>
      <c r="J3867" t="str">
        <f t="shared" si="120"/>
        <v/>
      </c>
      <c r="K3867" t="str">
        <f t="shared" si="121"/>
        <v/>
      </c>
    </row>
    <row r="3868" spans="7:11" x14ac:dyDescent="0.2">
      <c r="G3868" s="44"/>
      <c r="J3868" t="str">
        <f t="shared" si="120"/>
        <v/>
      </c>
      <c r="K3868" t="str">
        <f t="shared" si="121"/>
        <v/>
      </c>
    </row>
    <row r="3869" spans="7:11" x14ac:dyDescent="0.2">
      <c r="G3869" s="44"/>
      <c r="J3869" t="str">
        <f t="shared" si="120"/>
        <v/>
      </c>
      <c r="K3869" t="str">
        <f t="shared" si="121"/>
        <v/>
      </c>
    </row>
    <row r="3870" spans="7:11" x14ac:dyDescent="0.2">
      <c r="G3870" s="44"/>
      <c r="J3870" t="str">
        <f t="shared" si="120"/>
        <v/>
      </c>
      <c r="K3870" t="str">
        <f t="shared" si="121"/>
        <v/>
      </c>
    </row>
    <row r="3871" spans="7:11" x14ac:dyDescent="0.2">
      <c r="G3871" s="44"/>
      <c r="J3871" t="str">
        <f t="shared" si="120"/>
        <v/>
      </c>
      <c r="K3871" t="str">
        <f t="shared" si="121"/>
        <v/>
      </c>
    </row>
    <row r="3872" spans="7:11" x14ac:dyDescent="0.2">
      <c r="G3872" s="44"/>
      <c r="J3872" t="str">
        <f t="shared" si="120"/>
        <v/>
      </c>
      <c r="K3872" t="str">
        <f t="shared" si="121"/>
        <v/>
      </c>
    </row>
    <row r="3873" spans="7:11" x14ac:dyDescent="0.2">
      <c r="G3873" s="44"/>
      <c r="J3873" t="str">
        <f t="shared" si="120"/>
        <v/>
      </c>
      <c r="K3873" t="str">
        <f t="shared" si="121"/>
        <v/>
      </c>
    </row>
    <row r="3874" spans="7:11" x14ac:dyDescent="0.2">
      <c r="G3874" s="44"/>
      <c r="J3874" t="str">
        <f t="shared" si="120"/>
        <v/>
      </c>
      <c r="K3874" t="str">
        <f t="shared" si="121"/>
        <v/>
      </c>
    </row>
    <row r="3875" spans="7:11" x14ac:dyDescent="0.2">
      <c r="G3875" s="44"/>
      <c r="J3875" t="str">
        <f t="shared" si="120"/>
        <v/>
      </c>
      <c r="K3875" t="str">
        <f t="shared" si="121"/>
        <v/>
      </c>
    </row>
    <row r="3876" spans="7:11" x14ac:dyDescent="0.2">
      <c r="G3876" s="44"/>
      <c r="J3876" t="str">
        <f t="shared" si="120"/>
        <v/>
      </c>
      <c r="K3876" t="str">
        <f t="shared" si="121"/>
        <v/>
      </c>
    </row>
    <row r="3877" spans="7:11" x14ac:dyDescent="0.2">
      <c r="G3877" s="44"/>
      <c r="J3877" t="str">
        <f t="shared" si="120"/>
        <v/>
      </c>
      <c r="K3877" t="str">
        <f t="shared" si="121"/>
        <v/>
      </c>
    </row>
    <row r="3878" spans="7:11" x14ac:dyDescent="0.2">
      <c r="G3878" s="44"/>
      <c r="J3878" t="str">
        <f t="shared" si="120"/>
        <v/>
      </c>
      <c r="K3878" t="str">
        <f t="shared" si="121"/>
        <v/>
      </c>
    </row>
    <row r="3879" spans="7:11" x14ac:dyDescent="0.2">
      <c r="G3879" s="44"/>
      <c r="J3879" t="str">
        <f t="shared" si="120"/>
        <v/>
      </c>
      <c r="K3879" t="str">
        <f t="shared" si="121"/>
        <v/>
      </c>
    </row>
    <row r="3880" spans="7:11" x14ac:dyDescent="0.2">
      <c r="G3880" s="44"/>
      <c r="J3880" t="str">
        <f t="shared" si="120"/>
        <v/>
      </c>
      <c r="K3880" t="str">
        <f t="shared" si="121"/>
        <v/>
      </c>
    </row>
    <row r="3881" spans="7:11" x14ac:dyDescent="0.2">
      <c r="G3881" s="44"/>
      <c r="J3881" t="str">
        <f t="shared" si="120"/>
        <v/>
      </c>
      <c r="K3881" t="str">
        <f t="shared" si="121"/>
        <v/>
      </c>
    </row>
    <row r="3882" spans="7:11" x14ac:dyDescent="0.2">
      <c r="G3882" s="44"/>
      <c r="J3882" t="str">
        <f t="shared" si="120"/>
        <v/>
      </c>
      <c r="K3882" t="str">
        <f t="shared" si="121"/>
        <v/>
      </c>
    </row>
    <row r="3883" spans="7:11" x14ac:dyDescent="0.2">
      <c r="G3883" s="44"/>
      <c r="J3883" t="str">
        <f t="shared" si="120"/>
        <v/>
      </c>
      <c r="K3883" t="str">
        <f t="shared" si="121"/>
        <v/>
      </c>
    </row>
    <row r="3884" spans="7:11" x14ac:dyDescent="0.2">
      <c r="G3884" s="44"/>
      <c r="J3884" t="str">
        <f t="shared" si="120"/>
        <v/>
      </c>
      <c r="K3884" t="str">
        <f t="shared" si="121"/>
        <v/>
      </c>
    </row>
    <row r="3885" spans="7:11" x14ac:dyDescent="0.2">
      <c r="G3885" s="44"/>
      <c r="J3885" t="str">
        <f t="shared" si="120"/>
        <v/>
      </c>
      <c r="K3885" t="str">
        <f t="shared" si="121"/>
        <v/>
      </c>
    </row>
    <row r="3886" spans="7:11" x14ac:dyDescent="0.2">
      <c r="G3886" s="44"/>
      <c r="J3886" t="str">
        <f t="shared" si="120"/>
        <v/>
      </c>
      <c r="K3886" t="str">
        <f t="shared" si="121"/>
        <v/>
      </c>
    </row>
    <row r="3887" spans="7:11" x14ac:dyDescent="0.2">
      <c r="G3887" s="44"/>
      <c r="J3887" t="str">
        <f t="shared" si="120"/>
        <v/>
      </c>
      <c r="K3887" t="str">
        <f t="shared" si="121"/>
        <v/>
      </c>
    </row>
    <row r="3888" spans="7:11" x14ac:dyDescent="0.2">
      <c r="G3888" s="44"/>
      <c r="J3888" t="str">
        <f t="shared" si="120"/>
        <v/>
      </c>
      <c r="K3888" t="str">
        <f t="shared" si="121"/>
        <v/>
      </c>
    </row>
    <row r="3889" spans="7:11" x14ac:dyDescent="0.2">
      <c r="G3889" s="44"/>
      <c r="J3889" t="str">
        <f t="shared" si="120"/>
        <v/>
      </c>
      <c r="K3889" t="str">
        <f t="shared" si="121"/>
        <v/>
      </c>
    </row>
    <row r="3890" spans="7:11" x14ac:dyDescent="0.2">
      <c r="G3890" s="44"/>
      <c r="J3890" t="str">
        <f t="shared" si="120"/>
        <v/>
      </c>
      <c r="K3890" t="str">
        <f t="shared" si="121"/>
        <v/>
      </c>
    </row>
    <row r="3891" spans="7:11" x14ac:dyDescent="0.2">
      <c r="G3891" s="44"/>
      <c r="J3891" t="str">
        <f t="shared" si="120"/>
        <v/>
      </c>
      <c r="K3891" t="str">
        <f t="shared" si="121"/>
        <v/>
      </c>
    </row>
    <row r="3892" spans="7:11" x14ac:dyDescent="0.2">
      <c r="G3892" s="44"/>
      <c r="J3892" t="str">
        <f t="shared" si="120"/>
        <v/>
      </c>
      <c r="K3892" t="str">
        <f t="shared" si="121"/>
        <v/>
      </c>
    </row>
    <row r="3893" spans="7:11" x14ac:dyDescent="0.2">
      <c r="G3893" s="44"/>
      <c r="J3893" t="str">
        <f t="shared" si="120"/>
        <v/>
      </c>
      <c r="K3893" t="str">
        <f t="shared" si="121"/>
        <v/>
      </c>
    </row>
    <row r="3894" spans="7:11" x14ac:dyDescent="0.2">
      <c r="G3894" s="44"/>
      <c r="J3894" t="str">
        <f t="shared" si="120"/>
        <v/>
      </c>
      <c r="K3894" t="str">
        <f t="shared" si="121"/>
        <v/>
      </c>
    </row>
    <row r="3895" spans="7:11" x14ac:dyDescent="0.2">
      <c r="G3895" s="44"/>
      <c r="J3895" t="str">
        <f t="shared" si="120"/>
        <v/>
      </c>
      <c r="K3895" t="str">
        <f t="shared" si="121"/>
        <v/>
      </c>
    </row>
    <row r="3896" spans="7:11" x14ac:dyDescent="0.2">
      <c r="G3896" s="44"/>
      <c r="J3896" t="str">
        <f t="shared" si="120"/>
        <v/>
      </c>
      <c r="K3896" t="str">
        <f t="shared" si="121"/>
        <v/>
      </c>
    </row>
    <row r="3897" spans="7:11" x14ac:dyDescent="0.2">
      <c r="G3897" s="44"/>
      <c r="J3897" t="str">
        <f t="shared" si="120"/>
        <v/>
      </c>
      <c r="K3897" t="str">
        <f t="shared" si="121"/>
        <v/>
      </c>
    </row>
    <row r="3898" spans="7:11" x14ac:dyDescent="0.2">
      <c r="G3898" s="44"/>
      <c r="J3898" t="str">
        <f t="shared" si="120"/>
        <v/>
      </c>
      <c r="K3898" t="str">
        <f t="shared" si="121"/>
        <v/>
      </c>
    </row>
    <row r="3899" spans="7:11" x14ac:dyDescent="0.2">
      <c r="G3899" s="44"/>
      <c r="J3899" t="str">
        <f t="shared" si="120"/>
        <v/>
      </c>
      <c r="K3899" t="str">
        <f t="shared" si="121"/>
        <v/>
      </c>
    </row>
    <row r="3900" spans="7:11" x14ac:dyDescent="0.2">
      <c r="G3900" s="44"/>
      <c r="J3900" t="str">
        <f t="shared" si="120"/>
        <v/>
      </c>
      <c r="K3900" t="str">
        <f t="shared" si="121"/>
        <v/>
      </c>
    </row>
    <row r="3901" spans="7:11" x14ac:dyDescent="0.2">
      <c r="G3901" s="44"/>
      <c r="J3901" t="str">
        <f t="shared" si="120"/>
        <v/>
      </c>
      <c r="K3901" t="str">
        <f t="shared" si="121"/>
        <v/>
      </c>
    </row>
    <row r="3902" spans="7:11" x14ac:dyDescent="0.2">
      <c r="G3902" s="44"/>
      <c r="J3902" t="str">
        <f t="shared" si="120"/>
        <v/>
      </c>
      <c r="K3902" t="str">
        <f t="shared" si="121"/>
        <v/>
      </c>
    </row>
    <row r="3903" spans="7:11" x14ac:dyDescent="0.2">
      <c r="G3903" s="44"/>
      <c r="J3903" t="str">
        <f t="shared" si="120"/>
        <v/>
      </c>
      <c r="K3903" t="str">
        <f t="shared" si="121"/>
        <v/>
      </c>
    </row>
    <row r="3904" spans="7:11" x14ac:dyDescent="0.2">
      <c r="G3904" s="44"/>
      <c r="J3904" t="str">
        <f t="shared" si="120"/>
        <v/>
      </c>
      <c r="K3904" t="str">
        <f t="shared" si="121"/>
        <v/>
      </c>
    </row>
    <row r="3905" spans="7:11" x14ac:dyDescent="0.2">
      <c r="G3905" s="44"/>
      <c r="J3905" t="str">
        <f t="shared" si="120"/>
        <v/>
      </c>
      <c r="K3905" t="str">
        <f t="shared" si="121"/>
        <v/>
      </c>
    </row>
    <row r="3906" spans="7:11" x14ac:dyDescent="0.2">
      <c r="G3906" s="44"/>
      <c r="J3906" t="str">
        <f t="shared" ref="J3906:J3969" si="122">IF(E3906="","",IF(OR(E3906=50,E3906=51),"Iltindhold",IF(E3906=75,"Carbon,org,NVOC",IF(OR(E3906=343,E3906=1167),"Svovlbrinte",IF(OR(E3906=240,E3906=241,E3906=242),"Amm",IF(E3906=244,"Nitrit",IF(E3906=247,"Nitrat",IF(E3906=334,"Sulfat",IF(E3906=262,"Phosphor, total-P",F3906)))))))))</f>
        <v/>
      </c>
      <c r="K3906" t="str">
        <f t="shared" ref="K3906:K3969" si="123">IF(A3906="","",IF(H3906="!",NA(),IF(H3906="A",I3906*0.5,IF(H3906="&lt;",I3906*0.5,I3906))))</f>
        <v/>
      </c>
    </row>
    <row r="3907" spans="7:11" x14ac:dyDescent="0.2">
      <c r="G3907" s="44"/>
      <c r="J3907" t="str">
        <f t="shared" si="122"/>
        <v/>
      </c>
      <c r="K3907" t="str">
        <f t="shared" si="123"/>
        <v/>
      </c>
    </row>
    <row r="3908" spans="7:11" x14ac:dyDescent="0.2">
      <c r="G3908" s="44"/>
      <c r="J3908" t="str">
        <f t="shared" si="122"/>
        <v/>
      </c>
      <c r="K3908" t="str">
        <f t="shared" si="123"/>
        <v/>
      </c>
    </row>
    <row r="3909" spans="7:11" x14ac:dyDescent="0.2">
      <c r="G3909" s="44"/>
      <c r="J3909" t="str">
        <f t="shared" si="122"/>
        <v/>
      </c>
      <c r="K3909" t="str">
        <f t="shared" si="123"/>
        <v/>
      </c>
    </row>
    <row r="3910" spans="7:11" x14ac:dyDescent="0.2">
      <c r="G3910" s="44"/>
      <c r="J3910" t="str">
        <f t="shared" si="122"/>
        <v/>
      </c>
      <c r="K3910" t="str">
        <f t="shared" si="123"/>
        <v/>
      </c>
    </row>
    <row r="3911" spans="7:11" x14ac:dyDescent="0.2">
      <c r="G3911" s="44"/>
      <c r="J3911" t="str">
        <f t="shared" si="122"/>
        <v/>
      </c>
      <c r="K3911" t="str">
        <f t="shared" si="123"/>
        <v/>
      </c>
    </row>
    <row r="3912" spans="7:11" x14ac:dyDescent="0.2">
      <c r="G3912" s="44"/>
      <c r="J3912" t="str">
        <f t="shared" si="122"/>
        <v/>
      </c>
      <c r="K3912" t="str">
        <f t="shared" si="123"/>
        <v/>
      </c>
    </row>
    <row r="3913" spans="7:11" x14ac:dyDescent="0.2">
      <c r="G3913" s="44"/>
      <c r="J3913" t="str">
        <f t="shared" si="122"/>
        <v/>
      </c>
      <c r="K3913" t="str">
        <f t="shared" si="123"/>
        <v/>
      </c>
    </row>
    <row r="3914" spans="7:11" x14ac:dyDescent="0.2">
      <c r="G3914" s="44"/>
      <c r="J3914" t="str">
        <f t="shared" si="122"/>
        <v/>
      </c>
      <c r="K3914" t="str">
        <f t="shared" si="123"/>
        <v/>
      </c>
    </row>
    <row r="3915" spans="7:11" x14ac:dyDescent="0.2">
      <c r="G3915" s="44"/>
      <c r="J3915" t="str">
        <f t="shared" si="122"/>
        <v/>
      </c>
      <c r="K3915" t="str">
        <f t="shared" si="123"/>
        <v/>
      </c>
    </row>
    <row r="3916" spans="7:11" x14ac:dyDescent="0.2">
      <c r="G3916" s="44"/>
      <c r="J3916" t="str">
        <f t="shared" si="122"/>
        <v/>
      </c>
      <c r="K3916" t="str">
        <f t="shared" si="123"/>
        <v/>
      </c>
    </row>
    <row r="3917" spans="7:11" x14ac:dyDescent="0.2">
      <c r="G3917" s="44"/>
      <c r="J3917" t="str">
        <f t="shared" si="122"/>
        <v/>
      </c>
      <c r="K3917" t="str">
        <f t="shared" si="123"/>
        <v/>
      </c>
    </row>
    <row r="3918" spans="7:11" x14ac:dyDescent="0.2">
      <c r="G3918" s="44"/>
      <c r="J3918" t="str">
        <f t="shared" si="122"/>
        <v/>
      </c>
      <c r="K3918" t="str">
        <f t="shared" si="123"/>
        <v/>
      </c>
    </row>
    <row r="3919" spans="7:11" x14ac:dyDescent="0.2">
      <c r="G3919" s="44"/>
      <c r="J3919" t="str">
        <f t="shared" si="122"/>
        <v/>
      </c>
      <c r="K3919" t="str">
        <f t="shared" si="123"/>
        <v/>
      </c>
    </row>
    <row r="3920" spans="7:11" x14ac:dyDescent="0.2">
      <c r="G3920" s="44"/>
      <c r="J3920" t="str">
        <f t="shared" si="122"/>
        <v/>
      </c>
      <c r="K3920" t="str">
        <f t="shared" si="123"/>
        <v/>
      </c>
    </row>
    <row r="3921" spans="7:11" x14ac:dyDescent="0.2">
      <c r="G3921" s="44"/>
      <c r="J3921" t="str">
        <f t="shared" si="122"/>
        <v/>
      </c>
      <c r="K3921" t="str">
        <f t="shared" si="123"/>
        <v/>
      </c>
    </row>
    <row r="3922" spans="7:11" x14ac:dyDescent="0.2">
      <c r="G3922" s="44"/>
      <c r="J3922" t="str">
        <f t="shared" si="122"/>
        <v/>
      </c>
      <c r="K3922" t="str">
        <f t="shared" si="123"/>
        <v/>
      </c>
    </row>
    <row r="3923" spans="7:11" x14ac:dyDescent="0.2">
      <c r="G3923" s="44"/>
      <c r="J3923" t="str">
        <f t="shared" si="122"/>
        <v/>
      </c>
      <c r="K3923" t="str">
        <f t="shared" si="123"/>
        <v/>
      </c>
    </row>
    <row r="3924" spans="7:11" x14ac:dyDescent="0.2">
      <c r="G3924" s="44"/>
      <c r="J3924" t="str">
        <f t="shared" si="122"/>
        <v/>
      </c>
      <c r="K3924" t="str">
        <f t="shared" si="123"/>
        <v/>
      </c>
    </row>
    <row r="3925" spans="7:11" x14ac:dyDescent="0.2">
      <c r="G3925" s="44"/>
      <c r="J3925" t="str">
        <f t="shared" si="122"/>
        <v/>
      </c>
      <c r="K3925" t="str">
        <f t="shared" si="123"/>
        <v/>
      </c>
    </row>
    <row r="3926" spans="7:11" x14ac:dyDescent="0.2">
      <c r="G3926" s="44"/>
      <c r="J3926" t="str">
        <f t="shared" si="122"/>
        <v/>
      </c>
      <c r="K3926" t="str">
        <f t="shared" si="123"/>
        <v/>
      </c>
    </row>
    <row r="3927" spans="7:11" x14ac:dyDescent="0.2">
      <c r="G3927" s="44"/>
      <c r="J3927" t="str">
        <f t="shared" si="122"/>
        <v/>
      </c>
      <c r="K3927" t="str">
        <f t="shared" si="123"/>
        <v/>
      </c>
    </row>
    <row r="3928" spans="7:11" x14ac:dyDescent="0.2">
      <c r="G3928" s="44"/>
      <c r="J3928" t="str">
        <f t="shared" si="122"/>
        <v/>
      </c>
      <c r="K3928" t="str">
        <f t="shared" si="123"/>
        <v/>
      </c>
    </row>
    <row r="3929" spans="7:11" x14ac:dyDescent="0.2">
      <c r="G3929" s="44"/>
      <c r="J3929" t="str">
        <f t="shared" si="122"/>
        <v/>
      </c>
      <c r="K3929" t="str">
        <f t="shared" si="123"/>
        <v/>
      </c>
    </row>
    <row r="3930" spans="7:11" x14ac:dyDescent="0.2">
      <c r="G3930" s="44"/>
      <c r="J3930" t="str">
        <f t="shared" si="122"/>
        <v/>
      </c>
      <c r="K3930" t="str">
        <f t="shared" si="123"/>
        <v/>
      </c>
    </row>
    <row r="3931" spans="7:11" x14ac:dyDescent="0.2">
      <c r="G3931" s="44"/>
      <c r="J3931" t="str">
        <f t="shared" si="122"/>
        <v/>
      </c>
      <c r="K3931" t="str">
        <f t="shared" si="123"/>
        <v/>
      </c>
    </row>
    <row r="3932" spans="7:11" x14ac:dyDescent="0.2">
      <c r="G3932" s="44"/>
      <c r="J3932" t="str">
        <f t="shared" si="122"/>
        <v/>
      </c>
      <c r="K3932" t="str">
        <f t="shared" si="123"/>
        <v/>
      </c>
    </row>
    <row r="3933" spans="7:11" x14ac:dyDescent="0.2">
      <c r="G3933" s="44"/>
      <c r="J3933" t="str">
        <f t="shared" si="122"/>
        <v/>
      </c>
      <c r="K3933" t="str">
        <f t="shared" si="123"/>
        <v/>
      </c>
    </row>
    <row r="3934" spans="7:11" x14ac:dyDescent="0.2">
      <c r="G3934" s="44"/>
      <c r="J3934" t="str">
        <f t="shared" si="122"/>
        <v/>
      </c>
      <c r="K3934" t="str">
        <f t="shared" si="123"/>
        <v/>
      </c>
    </row>
    <row r="3935" spans="7:11" x14ac:dyDescent="0.2">
      <c r="G3935" s="44"/>
      <c r="J3935" t="str">
        <f t="shared" si="122"/>
        <v/>
      </c>
      <c r="K3935" t="str">
        <f t="shared" si="123"/>
        <v/>
      </c>
    </row>
    <row r="3936" spans="7:11" x14ac:dyDescent="0.2">
      <c r="G3936" s="44"/>
      <c r="J3936" t="str">
        <f t="shared" si="122"/>
        <v/>
      </c>
      <c r="K3936" t="str">
        <f t="shared" si="123"/>
        <v/>
      </c>
    </row>
    <row r="3937" spans="7:11" x14ac:dyDescent="0.2">
      <c r="G3937" s="44"/>
      <c r="J3937" t="str">
        <f t="shared" si="122"/>
        <v/>
      </c>
      <c r="K3937" t="str">
        <f t="shared" si="123"/>
        <v/>
      </c>
    </row>
    <row r="3938" spans="7:11" x14ac:dyDescent="0.2">
      <c r="G3938" s="44"/>
      <c r="J3938" t="str">
        <f t="shared" si="122"/>
        <v/>
      </c>
      <c r="K3938" t="str">
        <f t="shared" si="123"/>
        <v/>
      </c>
    </row>
    <row r="3939" spans="7:11" x14ac:dyDescent="0.2">
      <c r="G3939" s="44"/>
      <c r="J3939" t="str">
        <f t="shared" si="122"/>
        <v/>
      </c>
      <c r="K3939" t="str">
        <f t="shared" si="123"/>
        <v/>
      </c>
    </row>
    <row r="3940" spans="7:11" x14ac:dyDescent="0.2">
      <c r="G3940" s="44"/>
      <c r="J3940" t="str">
        <f t="shared" si="122"/>
        <v/>
      </c>
      <c r="K3940" t="str">
        <f t="shared" si="123"/>
        <v/>
      </c>
    </row>
    <row r="3941" spans="7:11" x14ac:dyDescent="0.2">
      <c r="G3941" s="44"/>
      <c r="J3941" t="str">
        <f t="shared" si="122"/>
        <v/>
      </c>
      <c r="K3941" t="str">
        <f t="shared" si="123"/>
        <v/>
      </c>
    </row>
    <row r="3942" spans="7:11" x14ac:dyDescent="0.2">
      <c r="G3942" s="44"/>
      <c r="J3942" t="str">
        <f t="shared" si="122"/>
        <v/>
      </c>
      <c r="K3942" t="str">
        <f t="shared" si="123"/>
        <v/>
      </c>
    </row>
    <row r="3943" spans="7:11" x14ac:dyDescent="0.2">
      <c r="G3943" s="44"/>
      <c r="J3943" t="str">
        <f t="shared" si="122"/>
        <v/>
      </c>
      <c r="K3943" t="str">
        <f t="shared" si="123"/>
        <v/>
      </c>
    </row>
    <row r="3944" spans="7:11" x14ac:dyDescent="0.2">
      <c r="G3944" s="44"/>
      <c r="J3944" t="str">
        <f t="shared" si="122"/>
        <v/>
      </c>
      <c r="K3944" t="str">
        <f t="shared" si="123"/>
        <v/>
      </c>
    </row>
    <row r="3945" spans="7:11" x14ac:dyDescent="0.2">
      <c r="G3945" s="44"/>
      <c r="J3945" t="str">
        <f t="shared" si="122"/>
        <v/>
      </c>
      <c r="K3945" t="str">
        <f t="shared" si="123"/>
        <v/>
      </c>
    </row>
    <row r="3946" spans="7:11" x14ac:dyDescent="0.2">
      <c r="G3946" s="44"/>
      <c r="J3946" t="str">
        <f t="shared" si="122"/>
        <v/>
      </c>
      <c r="K3946" t="str">
        <f t="shared" si="123"/>
        <v/>
      </c>
    </row>
    <row r="3947" spans="7:11" x14ac:dyDescent="0.2">
      <c r="G3947" s="44"/>
      <c r="J3947" t="str">
        <f t="shared" si="122"/>
        <v/>
      </c>
      <c r="K3947" t="str">
        <f t="shared" si="123"/>
        <v/>
      </c>
    </row>
    <row r="3948" spans="7:11" x14ac:dyDescent="0.2">
      <c r="G3948" s="44"/>
      <c r="J3948" t="str">
        <f t="shared" si="122"/>
        <v/>
      </c>
      <c r="K3948" t="str">
        <f t="shared" si="123"/>
        <v/>
      </c>
    </row>
    <row r="3949" spans="7:11" x14ac:dyDescent="0.2">
      <c r="G3949" s="44"/>
      <c r="J3949" t="str">
        <f t="shared" si="122"/>
        <v/>
      </c>
      <c r="K3949" t="str">
        <f t="shared" si="123"/>
        <v/>
      </c>
    </row>
    <row r="3950" spans="7:11" x14ac:dyDescent="0.2">
      <c r="G3950" s="44"/>
      <c r="J3950" t="str">
        <f t="shared" si="122"/>
        <v/>
      </c>
      <c r="K3950" t="str">
        <f t="shared" si="123"/>
        <v/>
      </c>
    </row>
    <row r="3951" spans="7:11" x14ac:dyDescent="0.2">
      <c r="G3951" s="44"/>
      <c r="J3951" t="str">
        <f t="shared" si="122"/>
        <v/>
      </c>
      <c r="K3951" t="str">
        <f t="shared" si="123"/>
        <v/>
      </c>
    </row>
    <row r="3952" spans="7:11" x14ac:dyDescent="0.2">
      <c r="G3952" s="44"/>
      <c r="J3952" t="str">
        <f t="shared" si="122"/>
        <v/>
      </c>
      <c r="K3952" t="str">
        <f t="shared" si="123"/>
        <v/>
      </c>
    </row>
    <row r="3953" spans="7:11" x14ac:dyDescent="0.2">
      <c r="G3953" s="44"/>
      <c r="J3953" t="str">
        <f t="shared" si="122"/>
        <v/>
      </c>
      <c r="K3953" t="str">
        <f t="shared" si="123"/>
        <v/>
      </c>
    </row>
    <row r="3954" spans="7:11" x14ac:dyDescent="0.2">
      <c r="G3954" s="44"/>
      <c r="J3954" t="str">
        <f t="shared" si="122"/>
        <v/>
      </c>
      <c r="K3954" t="str">
        <f t="shared" si="123"/>
        <v/>
      </c>
    </row>
    <row r="3955" spans="7:11" x14ac:dyDescent="0.2">
      <c r="G3955" s="44"/>
      <c r="J3955" t="str">
        <f t="shared" si="122"/>
        <v/>
      </c>
      <c r="K3955" t="str">
        <f t="shared" si="123"/>
        <v/>
      </c>
    </row>
    <row r="3956" spans="7:11" x14ac:dyDescent="0.2">
      <c r="G3956" s="44"/>
      <c r="J3956" t="str">
        <f t="shared" si="122"/>
        <v/>
      </c>
      <c r="K3956" t="str">
        <f t="shared" si="123"/>
        <v/>
      </c>
    </row>
    <row r="3957" spans="7:11" x14ac:dyDescent="0.2">
      <c r="G3957" s="44"/>
      <c r="J3957" t="str">
        <f t="shared" si="122"/>
        <v/>
      </c>
      <c r="K3957" t="str">
        <f t="shared" si="123"/>
        <v/>
      </c>
    </row>
    <row r="3958" spans="7:11" x14ac:dyDescent="0.2">
      <c r="G3958" s="44"/>
      <c r="J3958" t="str">
        <f t="shared" si="122"/>
        <v/>
      </c>
      <c r="K3958" t="str">
        <f t="shared" si="123"/>
        <v/>
      </c>
    </row>
    <row r="3959" spans="7:11" x14ac:dyDescent="0.2">
      <c r="G3959" s="44"/>
      <c r="J3959" t="str">
        <f t="shared" si="122"/>
        <v/>
      </c>
      <c r="K3959" t="str">
        <f t="shared" si="123"/>
        <v/>
      </c>
    </row>
    <row r="3960" spans="7:11" x14ac:dyDescent="0.2">
      <c r="G3960" s="44"/>
      <c r="J3960" t="str">
        <f t="shared" si="122"/>
        <v/>
      </c>
      <c r="K3960" t="str">
        <f t="shared" si="123"/>
        <v/>
      </c>
    </row>
    <row r="3961" spans="7:11" x14ac:dyDescent="0.2">
      <c r="G3961" s="44"/>
      <c r="J3961" t="str">
        <f t="shared" si="122"/>
        <v/>
      </c>
      <c r="K3961" t="str">
        <f t="shared" si="123"/>
        <v/>
      </c>
    </row>
    <row r="3962" spans="7:11" x14ac:dyDescent="0.2">
      <c r="G3962" s="44"/>
      <c r="J3962" t="str">
        <f t="shared" si="122"/>
        <v/>
      </c>
      <c r="K3962" t="str">
        <f t="shared" si="123"/>
        <v/>
      </c>
    </row>
    <row r="3963" spans="7:11" x14ac:dyDescent="0.2">
      <c r="G3963" s="44"/>
      <c r="J3963" t="str">
        <f t="shared" si="122"/>
        <v/>
      </c>
      <c r="K3963" t="str">
        <f t="shared" si="123"/>
        <v/>
      </c>
    </row>
    <row r="3964" spans="7:11" x14ac:dyDescent="0.2">
      <c r="G3964" s="44"/>
      <c r="J3964" t="str">
        <f t="shared" si="122"/>
        <v/>
      </c>
      <c r="K3964" t="str">
        <f t="shared" si="123"/>
        <v/>
      </c>
    </row>
    <row r="3965" spans="7:11" x14ac:dyDescent="0.2">
      <c r="G3965" s="44"/>
      <c r="J3965" t="str">
        <f t="shared" si="122"/>
        <v/>
      </c>
      <c r="K3965" t="str">
        <f t="shared" si="123"/>
        <v/>
      </c>
    </row>
    <row r="3966" spans="7:11" x14ac:dyDescent="0.2">
      <c r="G3966" s="44"/>
      <c r="J3966" t="str">
        <f t="shared" si="122"/>
        <v/>
      </c>
      <c r="K3966" t="str">
        <f t="shared" si="123"/>
        <v/>
      </c>
    </row>
    <row r="3967" spans="7:11" x14ac:dyDescent="0.2">
      <c r="G3967" s="44"/>
      <c r="J3967" t="str">
        <f t="shared" si="122"/>
        <v/>
      </c>
      <c r="K3967" t="str">
        <f t="shared" si="123"/>
        <v/>
      </c>
    </row>
    <row r="3968" spans="7:11" x14ac:dyDescent="0.2">
      <c r="G3968" s="44"/>
      <c r="J3968" t="str">
        <f t="shared" si="122"/>
        <v/>
      </c>
      <c r="K3968" t="str">
        <f t="shared" si="123"/>
        <v/>
      </c>
    </row>
    <row r="3969" spans="7:11" x14ac:dyDescent="0.2">
      <c r="G3969" s="44"/>
      <c r="J3969" t="str">
        <f t="shared" si="122"/>
        <v/>
      </c>
      <c r="K3969" t="str">
        <f t="shared" si="123"/>
        <v/>
      </c>
    </row>
    <row r="3970" spans="7:11" x14ac:dyDescent="0.2">
      <c r="G3970" s="44"/>
      <c r="J3970" t="str">
        <f t="shared" ref="J3970:J4033" si="124">IF(E3970="","",IF(OR(E3970=50,E3970=51),"Iltindhold",IF(E3970=75,"Carbon,org,NVOC",IF(OR(E3970=343,E3970=1167),"Svovlbrinte",IF(OR(E3970=240,E3970=241,E3970=242),"Amm",IF(E3970=244,"Nitrit",IF(E3970=247,"Nitrat",IF(E3970=334,"Sulfat",IF(E3970=262,"Phosphor, total-P",F3970)))))))))</f>
        <v/>
      </c>
      <c r="K3970" t="str">
        <f t="shared" ref="K3970:K4033" si="125">IF(A3970="","",IF(H3970="!",NA(),IF(H3970="A",I3970*0.5,IF(H3970="&lt;",I3970*0.5,I3970))))</f>
        <v/>
      </c>
    </row>
    <row r="3971" spans="7:11" x14ac:dyDescent="0.2">
      <c r="G3971" s="44"/>
      <c r="J3971" t="str">
        <f t="shared" si="124"/>
        <v/>
      </c>
      <c r="K3971" t="str">
        <f t="shared" si="125"/>
        <v/>
      </c>
    </row>
    <row r="3972" spans="7:11" x14ac:dyDescent="0.2">
      <c r="G3972" s="44"/>
      <c r="J3972" t="str">
        <f t="shared" si="124"/>
        <v/>
      </c>
      <c r="K3972" t="str">
        <f t="shared" si="125"/>
        <v/>
      </c>
    </row>
    <row r="3973" spans="7:11" x14ac:dyDescent="0.2">
      <c r="G3973" s="44"/>
      <c r="J3973" t="str">
        <f t="shared" si="124"/>
        <v/>
      </c>
      <c r="K3973" t="str">
        <f t="shared" si="125"/>
        <v/>
      </c>
    </row>
    <row r="3974" spans="7:11" x14ac:dyDescent="0.2">
      <c r="G3974" s="44"/>
      <c r="J3974" t="str">
        <f t="shared" si="124"/>
        <v/>
      </c>
      <c r="K3974" t="str">
        <f t="shared" si="125"/>
        <v/>
      </c>
    </row>
    <row r="3975" spans="7:11" x14ac:dyDescent="0.2">
      <c r="G3975" s="44"/>
      <c r="J3975" t="str">
        <f t="shared" si="124"/>
        <v/>
      </c>
      <c r="K3975" t="str">
        <f t="shared" si="125"/>
        <v/>
      </c>
    </row>
    <row r="3976" spans="7:11" x14ac:dyDescent="0.2">
      <c r="G3976" s="44"/>
      <c r="J3976" t="str">
        <f t="shared" si="124"/>
        <v/>
      </c>
      <c r="K3976" t="str">
        <f t="shared" si="125"/>
        <v/>
      </c>
    </row>
    <row r="3977" spans="7:11" x14ac:dyDescent="0.2">
      <c r="G3977" s="44"/>
      <c r="J3977" t="str">
        <f t="shared" si="124"/>
        <v/>
      </c>
      <c r="K3977" t="str">
        <f t="shared" si="125"/>
        <v/>
      </c>
    </row>
    <row r="3978" spans="7:11" x14ac:dyDescent="0.2">
      <c r="G3978" s="44"/>
      <c r="J3978" t="str">
        <f t="shared" si="124"/>
        <v/>
      </c>
      <c r="K3978" t="str">
        <f t="shared" si="125"/>
        <v/>
      </c>
    </row>
    <row r="3979" spans="7:11" x14ac:dyDescent="0.2">
      <c r="G3979" s="44"/>
      <c r="J3979" t="str">
        <f t="shared" si="124"/>
        <v/>
      </c>
      <c r="K3979" t="str">
        <f t="shared" si="125"/>
        <v/>
      </c>
    </row>
    <row r="3980" spans="7:11" x14ac:dyDescent="0.2">
      <c r="G3980" s="44"/>
      <c r="J3980" t="str">
        <f t="shared" si="124"/>
        <v/>
      </c>
      <c r="K3980" t="str">
        <f t="shared" si="125"/>
        <v/>
      </c>
    </row>
    <row r="3981" spans="7:11" x14ac:dyDescent="0.2">
      <c r="G3981" s="44"/>
      <c r="J3981" t="str">
        <f t="shared" si="124"/>
        <v/>
      </c>
      <c r="K3981" t="str">
        <f t="shared" si="125"/>
        <v/>
      </c>
    </row>
    <row r="3982" spans="7:11" x14ac:dyDescent="0.2">
      <c r="G3982" s="44"/>
      <c r="J3982" t="str">
        <f t="shared" si="124"/>
        <v/>
      </c>
      <c r="K3982" t="str">
        <f t="shared" si="125"/>
        <v/>
      </c>
    </row>
    <row r="3983" spans="7:11" x14ac:dyDescent="0.2">
      <c r="G3983" s="44"/>
      <c r="J3983" t="str">
        <f t="shared" si="124"/>
        <v/>
      </c>
      <c r="K3983" t="str">
        <f t="shared" si="125"/>
        <v/>
      </c>
    </row>
    <row r="3984" spans="7:11" x14ac:dyDescent="0.2">
      <c r="G3984" s="44"/>
      <c r="J3984" t="str">
        <f t="shared" si="124"/>
        <v/>
      </c>
      <c r="K3984" t="str">
        <f t="shared" si="125"/>
        <v/>
      </c>
    </row>
    <row r="3985" spans="7:11" x14ac:dyDescent="0.2">
      <c r="G3985" s="44"/>
      <c r="J3985" t="str">
        <f t="shared" si="124"/>
        <v/>
      </c>
      <c r="K3985" t="str">
        <f t="shared" si="125"/>
        <v/>
      </c>
    </row>
    <row r="3986" spans="7:11" x14ac:dyDescent="0.2">
      <c r="G3986" s="44"/>
      <c r="J3986" t="str">
        <f t="shared" si="124"/>
        <v/>
      </c>
      <c r="K3986" t="str">
        <f t="shared" si="125"/>
        <v/>
      </c>
    </row>
    <row r="3987" spans="7:11" x14ac:dyDescent="0.2">
      <c r="G3987" s="44"/>
      <c r="J3987" t="str">
        <f t="shared" si="124"/>
        <v/>
      </c>
      <c r="K3987" t="str">
        <f t="shared" si="125"/>
        <v/>
      </c>
    </row>
    <row r="3988" spans="7:11" x14ac:dyDescent="0.2">
      <c r="G3988" s="44"/>
      <c r="J3988" t="str">
        <f t="shared" si="124"/>
        <v/>
      </c>
      <c r="K3988" t="str">
        <f t="shared" si="125"/>
        <v/>
      </c>
    </row>
    <row r="3989" spans="7:11" x14ac:dyDescent="0.2">
      <c r="G3989" s="44"/>
      <c r="J3989" t="str">
        <f t="shared" si="124"/>
        <v/>
      </c>
      <c r="K3989" t="str">
        <f t="shared" si="125"/>
        <v/>
      </c>
    </row>
    <row r="3990" spans="7:11" x14ac:dyDescent="0.2">
      <c r="G3990" s="44"/>
      <c r="J3990" t="str">
        <f t="shared" si="124"/>
        <v/>
      </c>
      <c r="K3990" t="str">
        <f t="shared" si="125"/>
        <v/>
      </c>
    </row>
    <row r="3991" spans="7:11" x14ac:dyDescent="0.2">
      <c r="G3991" s="44"/>
      <c r="J3991" t="str">
        <f t="shared" si="124"/>
        <v/>
      </c>
      <c r="K3991" t="str">
        <f t="shared" si="125"/>
        <v/>
      </c>
    </row>
    <row r="3992" spans="7:11" x14ac:dyDescent="0.2">
      <c r="G3992" s="44"/>
      <c r="J3992" t="str">
        <f t="shared" si="124"/>
        <v/>
      </c>
      <c r="K3992" t="str">
        <f t="shared" si="125"/>
        <v/>
      </c>
    </row>
    <row r="3993" spans="7:11" x14ac:dyDescent="0.2">
      <c r="G3993" s="44"/>
      <c r="J3993" t="str">
        <f t="shared" si="124"/>
        <v/>
      </c>
      <c r="K3993" t="str">
        <f t="shared" si="125"/>
        <v/>
      </c>
    </row>
    <row r="3994" spans="7:11" x14ac:dyDescent="0.2">
      <c r="G3994" s="44"/>
      <c r="J3994" t="str">
        <f t="shared" si="124"/>
        <v/>
      </c>
      <c r="K3994" t="str">
        <f t="shared" si="125"/>
        <v/>
      </c>
    </row>
    <row r="3995" spans="7:11" x14ac:dyDescent="0.2">
      <c r="G3995" s="44"/>
      <c r="J3995" t="str">
        <f t="shared" si="124"/>
        <v/>
      </c>
      <c r="K3995" t="str">
        <f t="shared" si="125"/>
        <v/>
      </c>
    </row>
    <row r="3996" spans="7:11" x14ac:dyDescent="0.2">
      <c r="G3996" s="44"/>
      <c r="J3996" t="str">
        <f t="shared" si="124"/>
        <v/>
      </c>
      <c r="K3996" t="str">
        <f t="shared" si="125"/>
        <v/>
      </c>
    </row>
    <row r="3997" spans="7:11" x14ac:dyDescent="0.2">
      <c r="G3997" s="44"/>
      <c r="J3997" t="str">
        <f t="shared" si="124"/>
        <v/>
      </c>
      <c r="K3997" t="str">
        <f t="shared" si="125"/>
        <v/>
      </c>
    </row>
    <row r="3998" spans="7:11" x14ac:dyDescent="0.2">
      <c r="G3998" s="44"/>
      <c r="J3998" t="str">
        <f t="shared" si="124"/>
        <v/>
      </c>
      <c r="K3998" t="str">
        <f t="shared" si="125"/>
        <v/>
      </c>
    </row>
    <row r="3999" spans="7:11" x14ac:dyDescent="0.2">
      <c r="G3999" s="44"/>
      <c r="J3999" t="str">
        <f t="shared" si="124"/>
        <v/>
      </c>
      <c r="K3999" t="str">
        <f t="shared" si="125"/>
        <v/>
      </c>
    </row>
    <row r="4000" spans="7:11" x14ac:dyDescent="0.2">
      <c r="G4000" s="44"/>
      <c r="J4000" t="str">
        <f t="shared" si="124"/>
        <v/>
      </c>
      <c r="K4000" t="str">
        <f t="shared" si="125"/>
        <v/>
      </c>
    </row>
    <row r="4001" spans="7:11" x14ac:dyDescent="0.2">
      <c r="G4001" s="44"/>
      <c r="J4001" t="str">
        <f t="shared" si="124"/>
        <v/>
      </c>
      <c r="K4001" t="str">
        <f t="shared" si="125"/>
        <v/>
      </c>
    </row>
    <row r="4002" spans="7:11" x14ac:dyDescent="0.2">
      <c r="G4002" s="44"/>
      <c r="J4002" t="str">
        <f t="shared" si="124"/>
        <v/>
      </c>
      <c r="K4002" t="str">
        <f t="shared" si="125"/>
        <v/>
      </c>
    </row>
    <row r="4003" spans="7:11" x14ac:dyDescent="0.2">
      <c r="G4003" s="44"/>
      <c r="J4003" t="str">
        <f t="shared" si="124"/>
        <v/>
      </c>
      <c r="K4003" t="str">
        <f t="shared" si="125"/>
        <v/>
      </c>
    </row>
    <row r="4004" spans="7:11" x14ac:dyDescent="0.2">
      <c r="G4004" s="44"/>
      <c r="J4004" t="str">
        <f t="shared" si="124"/>
        <v/>
      </c>
      <c r="K4004" t="str">
        <f t="shared" si="125"/>
        <v/>
      </c>
    </row>
    <row r="4005" spans="7:11" x14ac:dyDescent="0.2">
      <c r="G4005" s="44"/>
      <c r="J4005" t="str">
        <f t="shared" si="124"/>
        <v/>
      </c>
      <c r="K4005" t="str">
        <f t="shared" si="125"/>
        <v/>
      </c>
    </row>
    <row r="4006" spans="7:11" x14ac:dyDescent="0.2">
      <c r="G4006" s="44"/>
      <c r="J4006" t="str">
        <f t="shared" si="124"/>
        <v/>
      </c>
      <c r="K4006" t="str">
        <f t="shared" si="125"/>
        <v/>
      </c>
    </row>
    <row r="4007" spans="7:11" x14ac:dyDescent="0.2">
      <c r="G4007" s="44"/>
      <c r="J4007" t="str">
        <f t="shared" si="124"/>
        <v/>
      </c>
      <c r="K4007" t="str">
        <f t="shared" si="125"/>
        <v/>
      </c>
    </row>
    <row r="4008" spans="7:11" x14ac:dyDescent="0.2">
      <c r="G4008" s="44"/>
      <c r="J4008" t="str">
        <f t="shared" si="124"/>
        <v/>
      </c>
      <c r="K4008" t="str">
        <f t="shared" si="125"/>
        <v/>
      </c>
    </row>
    <row r="4009" spans="7:11" x14ac:dyDescent="0.2">
      <c r="G4009" s="44"/>
      <c r="J4009" t="str">
        <f t="shared" si="124"/>
        <v/>
      </c>
      <c r="K4009" t="str">
        <f t="shared" si="125"/>
        <v/>
      </c>
    </row>
    <row r="4010" spans="7:11" x14ac:dyDescent="0.2">
      <c r="G4010" s="44"/>
      <c r="J4010" t="str">
        <f t="shared" si="124"/>
        <v/>
      </c>
      <c r="K4010" t="str">
        <f t="shared" si="125"/>
        <v/>
      </c>
    </row>
    <row r="4011" spans="7:11" x14ac:dyDescent="0.2">
      <c r="G4011" s="44"/>
      <c r="J4011" t="str">
        <f t="shared" si="124"/>
        <v/>
      </c>
      <c r="K4011" t="str">
        <f t="shared" si="125"/>
        <v/>
      </c>
    </row>
    <row r="4012" spans="7:11" x14ac:dyDescent="0.2">
      <c r="G4012" s="44"/>
      <c r="J4012" t="str">
        <f t="shared" si="124"/>
        <v/>
      </c>
      <c r="K4012" t="str">
        <f t="shared" si="125"/>
        <v/>
      </c>
    </row>
    <row r="4013" spans="7:11" x14ac:dyDescent="0.2">
      <c r="G4013" s="44"/>
      <c r="J4013" t="str">
        <f t="shared" si="124"/>
        <v/>
      </c>
      <c r="K4013" t="str">
        <f t="shared" si="125"/>
        <v/>
      </c>
    </row>
    <row r="4014" spans="7:11" x14ac:dyDescent="0.2">
      <c r="G4014" s="44"/>
      <c r="J4014" t="str">
        <f t="shared" si="124"/>
        <v/>
      </c>
      <c r="K4014" t="str">
        <f t="shared" si="125"/>
        <v/>
      </c>
    </row>
    <row r="4015" spans="7:11" x14ac:dyDescent="0.2">
      <c r="G4015" s="44"/>
      <c r="J4015" t="str">
        <f t="shared" si="124"/>
        <v/>
      </c>
      <c r="K4015" t="str">
        <f t="shared" si="125"/>
        <v/>
      </c>
    </row>
    <row r="4016" spans="7:11" x14ac:dyDescent="0.2">
      <c r="G4016" s="44"/>
      <c r="J4016" t="str">
        <f t="shared" si="124"/>
        <v/>
      </c>
      <c r="K4016" t="str">
        <f t="shared" si="125"/>
        <v/>
      </c>
    </row>
    <row r="4017" spans="7:11" x14ac:dyDescent="0.2">
      <c r="G4017" s="44"/>
      <c r="J4017" t="str">
        <f t="shared" si="124"/>
        <v/>
      </c>
      <c r="K4017" t="str">
        <f t="shared" si="125"/>
        <v/>
      </c>
    </row>
    <row r="4018" spans="7:11" x14ac:dyDescent="0.2">
      <c r="G4018" s="44"/>
      <c r="J4018" t="str">
        <f t="shared" si="124"/>
        <v/>
      </c>
      <c r="K4018" t="str">
        <f t="shared" si="125"/>
        <v/>
      </c>
    </row>
    <row r="4019" spans="7:11" x14ac:dyDescent="0.2">
      <c r="G4019" s="44"/>
      <c r="J4019" t="str">
        <f t="shared" si="124"/>
        <v/>
      </c>
      <c r="K4019" t="str">
        <f t="shared" si="125"/>
        <v/>
      </c>
    </row>
    <row r="4020" spans="7:11" x14ac:dyDescent="0.2">
      <c r="G4020" s="44"/>
      <c r="J4020" t="str">
        <f t="shared" si="124"/>
        <v/>
      </c>
      <c r="K4020" t="str">
        <f t="shared" si="125"/>
        <v/>
      </c>
    </row>
    <row r="4021" spans="7:11" x14ac:dyDescent="0.2">
      <c r="G4021" s="44"/>
      <c r="J4021" t="str">
        <f t="shared" si="124"/>
        <v/>
      </c>
      <c r="K4021" t="str">
        <f t="shared" si="125"/>
        <v/>
      </c>
    </row>
    <row r="4022" spans="7:11" x14ac:dyDescent="0.2">
      <c r="G4022" s="44"/>
      <c r="J4022" t="str">
        <f t="shared" si="124"/>
        <v/>
      </c>
      <c r="K4022" t="str">
        <f t="shared" si="125"/>
        <v/>
      </c>
    </row>
    <row r="4023" spans="7:11" x14ac:dyDescent="0.2">
      <c r="G4023" s="44"/>
      <c r="J4023" t="str">
        <f t="shared" si="124"/>
        <v/>
      </c>
      <c r="K4023" t="str">
        <f t="shared" si="125"/>
        <v/>
      </c>
    </row>
    <row r="4024" spans="7:11" x14ac:dyDescent="0.2">
      <c r="G4024" s="44"/>
      <c r="J4024" t="str">
        <f t="shared" si="124"/>
        <v/>
      </c>
      <c r="K4024" t="str">
        <f t="shared" si="125"/>
        <v/>
      </c>
    </row>
    <row r="4025" spans="7:11" x14ac:dyDescent="0.2">
      <c r="G4025" s="44"/>
      <c r="J4025" t="str">
        <f t="shared" si="124"/>
        <v/>
      </c>
      <c r="K4025" t="str">
        <f t="shared" si="125"/>
        <v/>
      </c>
    </row>
    <row r="4026" spans="7:11" x14ac:dyDescent="0.2">
      <c r="G4026" s="44"/>
      <c r="J4026" t="str">
        <f t="shared" si="124"/>
        <v/>
      </c>
      <c r="K4026" t="str">
        <f t="shared" si="125"/>
        <v/>
      </c>
    </row>
    <row r="4027" spans="7:11" x14ac:dyDescent="0.2">
      <c r="G4027" s="44"/>
      <c r="J4027" t="str">
        <f t="shared" si="124"/>
        <v/>
      </c>
      <c r="K4027" t="str">
        <f t="shared" si="125"/>
        <v/>
      </c>
    </row>
    <row r="4028" spans="7:11" x14ac:dyDescent="0.2">
      <c r="G4028" s="44"/>
      <c r="J4028" t="str">
        <f t="shared" si="124"/>
        <v/>
      </c>
      <c r="K4028" t="str">
        <f t="shared" si="125"/>
        <v/>
      </c>
    </row>
    <row r="4029" spans="7:11" x14ac:dyDescent="0.2">
      <c r="G4029" s="44"/>
      <c r="J4029" t="str">
        <f t="shared" si="124"/>
        <v/>
      </c>
      <c r="K4029" t="str">
        <f t="shared" si="125"/>
        <v/>
      </c>
    </row>
    <row r="4030" spans="7:11" x14ac:dyDescent="0.2">
      <c r="G4030" s="44"/>
      <c r="J4030" t="str">
        <f t="shared" si="124"/>
        <v/>
      </c>
      <c r="K4030" t="str">
        <f t="shared" si="125"/>
        <v/>
      </c>
    </row>
    <row r="4031" spans="7:11" x14ac:dyDescent="0.2">
      <c r="G4031" s="44"/>
      <c r="J4031" t="str">
        <f t="shared" si="124"/>
        <v/>
      </c>
      <c r="K4031" t="str">
        <f t="shared" si="125"/>
        <v/>
      </c>
    </row>
    <row r="4032" spans="7:11" x14ac:dyDescent="0.2">
      <c r="G4032" s="44"/>
      <c r="J4032" t="str">
        <f t="shared" si="124"/>
        <v/>
      </c>
      <c r="K4032" t="str">
        <f t="shared" si="125"/>
        <v/>
      </c>
    </row>
    <row r="4033" spans="7:11" x14ac:dyDescent="0.2">
      <c r="G4033" s="44"/>
      <c r="J4033" t="str">
        <f t="shared" si="124"/>
        <v/>
      </c>
      <c r="K4033" t="str">
        <f t="shared" si="125"/>
        <v/>
      </c>
    </row>
    <row r="4034" spans="7:11" x14ac:dyDescent="0.2">
      <c r="G4034" s="44"/>
      <c r="J4034" t="str">
        <f t="shared" ref="J4034:J4097" si="126">IF(E4034="","",IF(OR(E4034=50,E4034=51),"Iltindhold",IF(E4034=75,"Carbon,org,NVOC",IF(OR(E4034=343,E4034=1167),"Svovlbrinte",IF(OR(E4034=240,E4034=241,E4034=242),"Amm",IF(E4034=244,"Nitrit",IF(E4034=247,"Nitrat",IF(E4034=334,"Sulfat",IF(E4034=262,"Phosphor, total-P",F4034)))))))))</f>
        <v/>
      </c>
      <c r="K4034" t="str">
        <f t="shared" ref="K4034:K4097" si="127">IF(A4034="","",IF(H4034="!",NA(),IF(H4034="A",I4034*0.5,IF(H4034="&lt;",I4034*0.5,I4034))))</f>
        <v/>
      </c>
    </row>
    <row r="4035" spans="7:11" x14ac:dyDescent="0.2">
      <c r="G4035" s="44"/>
      <c r="J4035" t="str">
        <f t="shared" si="126"/>
        <v/>
      </c>
      <c r="K4035" t="str">
        <f t="shared" si="127"/>
        <v/>
      </c>
    </row>
    <row r="4036" spans="7:11" x14ac:dyDescent="0.2">
      <c r="G4036" s="44"/>
      <c r="J4036" t="str">
        <f t="shared" si="126"/>
        <v/>
      </c>
      <c r="K4036" t="str">
        <f t="shared" si="127"/>
        <v/>
      </c>
    </row>
    <row r="4037" spans="7:11" x14ac:dyDescent="0.2">
      <c r="G4037" s="44"/>
      <c r="J4037" t="str">
        <f t="shared" si="126"/>
        <v/>
      </c>
      <c r="K4037" t="str">
        <f t="shared" si="127"/>
        <v/>
      </c>
    </row>
    <row r="4038" spans="7:11" x14ac:dyDescent="0.2">
      <c r="G4038" s="44"/>
      <c r="J4038" t="str">
        <f t="shared" si="126"/>
        <v/>
      </c>
      <c r="K4038" t="str">
        <f t="shared" si="127"/>
        <v/>
      </c>
    </row>
    <row r="4039" spans="7:11" x14ac:dyDescent="0.2">
      <c r="G4039" s="44"/>
      <c r="J4039" t="str">
        <f t="shared" si="126"/>
        <v/>
      </c>
      <c r="K4039" t="str">
        <f t="shared" si="127"/>
        <v/>
      </c>
    </row>
    <row r="4040" spans="7:11" x14ac:dyDescent="0.2">
      <c r="G4040" s="44"/>
      <c r="J4040" t="str">
        <f t="shared" si="126"/>
        <v/>
      </c>
      <c r="K4040" t="str">
        <f t="shared" si="127"/>
        <v/>
      </c>
    </row>
    <row r="4041" spans="7:11" x14ac:dyDescent="0.2">
      <c r="G4041" s="44"/>
      <c r="J4041" t="str">
        <f t="shared" si="126"/>
        <v/>
      </c>
      <c r="K4041" t="str">
        <f t="shared" si="127"/>
        <v/>
      </c>
    </row>
    <row r="4042" spans="7:11" x14ac:dyDescent="0.2">
      <c r="G4042" s="44"/>
      <c r="J4042" t="str">
        <f t="shared" si="126"/>
        <v/>
      </c>
      <c r="K4042" t="str">
        <f t="shared" si="127"/>
        <v/>
      </c>
    </row>
    <row r="4043" spans="7:11" x14ac:dyDescent="0.2">
      <c r="G4043" s="44"/>
      <c r="J4043" t="str">
        <f t="shared" si="126"/>
        <v/>
      </c>
      <c r="K4043" t="str">
        <f t="shared" si="127"/>
        <v/>
      </c>
    </row>
    <row r="4044" spans="7:11" x14ac:dyDescent="0.2">
      <c r="G4044" s="44"/>
      <c r="J4044" t="str">
        <f t="shared" si="126"/>
        <v/>
      </c>
      <c r="K4044" t="str">
        <f t="shared" si="127"/>
        <v/>
      </c>
    </row>
    <row r="4045" spans="7:11" x14ac:dyDescent="0.2">
      <c r="G4045" s="44"/>
      <c r="J4045" t="str">
        <f t="shared" si="126"/>
        <v/>
      </c>
      <c r="K4045" t="str">
        <f t="shared" si="127"/>
        <v/>
      </c>
    </row>
    <row r="4046" spans="7:11" x14ac:dyDescent="0.2">
      <c r="G4046" s="44"/>
      <c r="J4046" t="str">
        <f t="shared" si="126"/>
        <v/>
      </c>
      <c r="K4046" t="str">
        <f t="shared" si="127"/>
        <v/>
      </c>
    </row>
    <row r="4047" spans="7:11" x14ac:dyDescent="0.2">
      <c r="G4047" s="44"/>
      <c r="J4047" t="str">
        <f t="shared" si="126"/>
        <v/>
      </c>
      <c r="K4047" t="str">
        <f t="shared" si="127"/>
        <v/>
      </c>
    </row>
    <row r="4048" spans="7:11" x14ac:dyDescent="0.2">
      <c r="G4048" s="44"/>
      <c r="J4048" t="str">
        <f t="shared" si="126"/>
        <v/>
      </c>
      <c r="K4048" t="str">
        <f t="shared" si="127"/>
        <v/>
      </c>
    </row>
    <row r="4049" spans="7:11" x14ac:dyDescent="0.2">
      <c r="G4049" s="44"/>
      <c r="J4049" t="str">
        <f t="shared" si="126"/>
        <v/>
      </c>
      <c r="K4049" t="str">
        <f t="shared" si="127"/>
        <v/>
      </c>
    </row>
    <row r="4050" spans="7:11" x14ac:dyDescent="0.2">
      <c r="G4050" s="44"/>
      <c r="J4050" t="str">
        <f t="shared" si="126"/>
        <v/>
      </c>
      <c r="K4050" t="str">
        <f t="shared" si="127"/>
        <v/>
      </c>
    </row>
    <row r="4051" spans="7:11" x14ac:dyDescent="0.2">
      <c r="G4051" s="44"/>
      <c r="J4051" t="str">
        <f t="shared" si="126"/>
        <v/>
      </c>
      <c r="K4051" t="str">
        <f t="shared" si="127"/>
        <v/>
      </c>
    </row>
    <row r="4052" spans="7:11" x14ac:dyDescent="0.2">
      <c r="G4052" s="44"/>
      <c r="J4052" t="str">
        <f t="shared" si="126"/>
        <v/>
      </c>
      <c r="K4052" t="str">
        <f t="shared" si="127"/>
        <v/>
      </c>
    </row>
    <row r="4053" spans="7:11" x14ac:dyDescent="0.2">
      <c r="G4053" s="44"/>
      <c r="J4053" t="str">
        <f t="shared" si="126"/>
        <v/>
      </c>
      <c r="K4053" t="str">
        <f t="shared" si="127"/>
        <v/>
      </c>
    </row>
    <row r="4054" spans="7:11" x14ac:dyDescent="0.2">
      <c r="G4054" s="44"/>
      <c r="J4054" t="str">
        <f t="shared" si="126"/>
        <v/>
      </c>
      <c r="K4054" t="str">
        <f t="shared" si="127"/>
        <v/>
      </c>
    </row>
    <row r="4055" spans="7:11" x14ac:dyDescent="0.2">
      <c r="G4055" s="44"/>
      <c r="J4055" t="str">
        <f t="shared" si="126"/>
        <v/>
      </c>
      <c r="K4055" t="str">
        <f t="shared" si="127"/>
        <v/>
      </c>
    </row>
    <row r="4056" spans="7:11" x14ac:dyDescent="0.2">
      <c r="G4056" s="44"/>
      <c r="J4056" t="str">
        <f t="shared" si="126"/>
        <v/>
      </c>
      <c r="K4056" t="str">
        <f t="shared" si="127"/>
        <v/>
      </c>
    </row>
    <row r="4057" spans="7:11" x14ac:dyDescent="0.2">
      <c r="G4057" s="44"/>
      <c r="J4057" t="str">
        <f t="shared" si="126"/>
        <v/>
      </c>
      <c r="K4057" t="str">
        <f t="shared" si="127"/>
        <v/>
      </c>
    </row>
    <row r="4058" spans="7:11" x14ac:dyDescent="0.2">
      <c r="G4058" s="44"/>
      <c r="J4058" t="str">
        <f t="shared" si="126"/>
        <v/>
      </c>
      <c r="K4058" t="str">
        <f t="shared" si="127"/>
        <v/>
      </c>
    </row>
    <row r="4059" spans="7:11" x14ac:dyDescent="0.2">
      <c r="G4059" s="44"/>
      <c r="J4059" t="str">
        <f t="shared" si="126"/>
        <v/>
      </c>
      <c r="K4059" t="str">
        <f t="shared" si="127"/>
        <v/>
      </c>
    </row>
    <row r="4060" spans="7:11" x14ac:dyDescent="0.2">
      <c r="G4060" s="44"/>
      <c r="J4060" t="str">
        <f t="shared" si="126"/>
        <v/>
      </c>
      <c r="K4060" t="str">
        <f t="shared" si="127"/>
        <v/>
      </c>
    </row>
    <row r="4061" spans="7:11" x14ac:dyDescent="0.2">
      <c r="G4061" s="44"/>
      <c r="J4061" t="str">
        <f t="shared" si="126"/>
        <v/>
      </c>
      <c r="K4061" t="str">
        <f t="shared" si="127"/>
        <v/>
      </c>
    </row>
    <row r="4062" spans="7:11" x14ac:dyDescent="0.2">
      <c r="G4062" s="44"/>
      <c r="J4062" t="str">
        <f t="shared" si="126"/>
        <v/>
      </c>
      <c r="K4062" t="str">
        <f t="shared" si="127"/>
        <v/>
      </c>
    </row>
    <row r="4063" spans="7:11" x14ac:dyDescent="0.2">
      <c r="G4063" s="44"/>
      <c r="J4063" t="str">
        <f t="shared" si="126"/>
        <v/>
      </c>
      <c r="K4063" t="str">
        <f t="shared" si="127"/>
        <v/>
      </c>
    </row>
    <row r="4064" spans="7:11" x14ac:dyDescent="0.2">
      <c r="G4064" s="44"/>
      <c r="J4064" t="str">
        <f t="shared" si="126"/>
        <v/>
      </c>
      <c r="K4064" t="str">
        <f t="shared" si="127"/>
        <v/>
      </c>
    </row>
    <row r="4065" spans="7:11" x14ac:dyDescent="0.2">
      <c r="G4065" s="44"/>
      <c r="J4065" t="str">
        <f t="shared" si="126"/>
        <v/>
      </c>
      <c r="K4065" t="str">
        <f t="shared" si="127"/>
        <v/>
      </c>
    </row>
    <row r="4066" spans="7:11" x14ac:dyDescent="0.2">
      <c r="G4066" s="44"/>
      <c r="J4066" t="str">
        <f t="shared" si="126"/>
        <v/>
      </c>
      <c r="K4066" t="str">
        <f t="shared" si="127"/>
        <v/>
      </c>
    </row>
    <row r="4067" spans="7:11" x14ac:dyDescent="0.2">
      <c r="G4067" s="44"/>
      <c r="J4067" t="str">
        <f t="shared" si="126"/>
        <v/>
      </c>
      <c r="K4067" t="str">
        <f t="shared" si="127"/>
        <v/>
      </c>
    </row>
    <row r="4068" spans="7:11" x14ac:dyDescent="0.2">
      <c r="G4068" s="44"/>
      <c r="J4068" t="str">
        <f t="shared" si="126"/>
        <v/>
      </c>
      <c r="K4068" t="str">
        <f t="shared" si="127"/>
        <v/>
      </c>
    </row>
    <row r="4069" spans="7:11" x14ac:dyDescent="0.2">
      <c r="G4069" s="44"/>
      <c r="J4069" t="str">
        <f t="shared" si="126"/>
        <v/>
      </c>
      <c r="K4069" t="str">
        <f t="shared" si="127"/>
        <v/>
      </c>
    </row>
    <row r="4070" spans="7:11" x14ac:dyDescent="0.2">
      <c r="G4070" s="44"/>
      <c r="J4070" t="str">
        <f t="shared" si="126"/>
        <v/>
      </c>
      <c r="K4070" t="str">
        <f t="shared" si="127"/>
        <v/>
      </c>
    </row>
    <row r="4071" spans="7:11" x14ac:dyDescent="0.2">
      <c r="G4071" s="44"/>
      <c r="J4071" t="str">
        <f t="shared" si="126"/>
        <v/>
      </c>
      <c r="K4071" t="str">
        <f t="shared" si="127"/>
        <v/>
      </c>
    </row>
    <row r="4072" spans="7:11" x14ac:dyDescent="0.2">
      <c r="G4072" s="44"/>
      <c r="J4072" t="str">
        <f t="shared" si="126"/>
        <v/>
      </c>
      <c r="K4072" t="str">
        <f t="shared" si="127"/>
        <v/>
      </c>
    </row>
    <row r="4073" spans="7:11" x14ac:dyDescent="0.2">
      <c r="G4073" s="44"/>
      <c r="J4073" t="str">
        <f t="shared" si="126"/>
        <v/>
      </c>
      <c r="K4073" t="str">
        <f t="shared" si="127"/>
        <v/>
      </c>
    </row>
    <row r="4074" spans="7:11" x14ac:dyDescent="0.2">
      <c r="G4074" s="44"/>
      <c r="J4074" t="str">
        <f t="shared" si="126"/>
        <v/>
      </c>
      <c r="K4074" t="str">
        <f t="shared" si="127"/>
        <v/>
      </c>
    </row>
    <row r="4075" spans="7:11" x14ac:dyDescent="0.2">
      <c r="G4075" s="44"/>
      <c r="J4075" t="str">
        <f t="shared" si="126"/>
        <v/>
      </c>
      <c r="K4075" t="str">
        <f t="shared" si="127"/>
        <v/>
      </c>
    </row>
    <row r="4076" spans="7:11" x14ac:dyDescent="0.2">
      <c r="G4076" s="44"/>
      <c r="J4076" t="str">
        <f t="shared" si="126"/>
        <v/>
      </c>
      <c r="K4076" t="str">
        <f t="shared" si="127"/>
        <v/>
      </c>
    </row>
    <row r="4077" spans="7:11" x14ac:dyDescent="0.2">
      <c r="G4077" s="44"/>
      <c r="J4077" t="str">
        <f t="shared" si="126"/>
        <v/>
      </c>
      <c r="K4077" t="str">
        <f t="shared" si="127"/>
        <v/>
      </c>
    </row>
    <row r="4078" spans="7:11" x14ac:dyDescent="0.2">
      <c r="G4078" s="44"/>
      <c r="J4078" t="str">
        <f t="shared" si="126"/>
        <v/>
      </c>
      <c r="K4078" t="str">
        <f t="shared" si="127"/>
        <v/>
      </c>
    </row>
    <row r="4079" spans="7:11" x14ac:dyDescent="0.2">
      <c r="G4079" s="44"/>
      <c r="J4079" t="str">
        <f t="shared" si="126"/>
        <v/>
      </c>
      <c r="K4079" t="str">
        <f t="shared" si="127"/>
        <v/>
      </c>
    </row>
    <row r="4080" spans="7:11" x14ac:dyDescent="0.2">
      <c r="G4080" s="44"/>
      <c r="J4080" t="str">
        <f t="shared" si="126"/>
        <v/>
      </c>
      <c r="K4080" t="str">
        <f t="shared" si="127"/>
        <v/>
      </c>
    </row>
    <row r="4081" spans="7:11" x14ac:dyDescent="0.2">
      <c r="G4081" s="44"/>
      <c r="J4081" t="str">
        <f t="shared" si="126"/>
        <v/>
      </c>
      <c r="K4081" t="str">
        <f t="shared" si="127"/>
        <v/>
      </c>
    </row>
    <row r="4082" spans="7:11" x14ac:dyDescent="0.2">
      <c r="G4082" s="44"/>
      <c r="J4082" t="str">
        <f t="shared" si="126"/>
        <v/>
      </c>
      <c r="K4082" t="str">
        <f t="shared" si="127"/>
        <v/>
      </c>
    </row>
    <row r="4083" spans="7:11" x14ac:dyDescent="0.2">
      <c r="G4083" s="44"/>
      <c r="J4083" t="str">
        <f t="shared" si="126"/>
        <v/>
      </c>
      <c r="K4083" t="str">
        <f t="shared" si="127"/>
        <v/>
      </c>
    </row>
    <row r="4084" spans="7:11" x14ac:dyDescent="0.2">
      <c r="G4084" s="44"/>
      <c r="J4084" t="str">
        <f t="shared" si="126"/>
        <v/>
      </c>
      <c r="K4084" t="str">
        <f t="shared" si="127"/>
        <v/>
      </c>
    </row>
    <row r="4085" spans="7:11" x14ac:dyDescent="0.2">
      <c r="G4085" s="44"/>
      <c r="J4085" t="str">
        <f t="shared" si="126"/>
        <v/>
      </c>
      <c r="K4085" t="str">
        <f t="shared" si="127"/>
        <v/>
      </c>
    </row>
    <row r="4086" spans="7:11" x14ac:dyDescent="0.2">
      <c r="G4086" s="44"/>
      <c r="J4086" t="str">
        <f t="shared" si="126"/>
        <v/>
      </c>
      <c r="K4086" t="str">
        <f t="shared" si="127"/>
        <v/>
      </c>
    </row>
    <row r="4087" spans="7:11" x14ac:dyDescent="0.2">
      <c r="G4087" s="44"/>
      <c r="J4087" t="str">
        <f t="shared" si="126"/>
        <v/>
      </c>
      <c r="K4087" t="str">
        <f t="shared" si="127"/>
        <v/>
      </c>
    </row>
    <row r="4088" spans="7:11" x14ac:dyDescent="0.2">
      <c r="G4088" s="44"/>
      <c r="J4088" t="str">
        <f t="shared" si="126"/>
        <v/>
      </c>
      <c r="K4088" t="str">
        <f t="shared" si="127"/>
        <v/>
      </c>
    </row>
    <row r="4089" spans="7:11" x14ac:dyDescent="0.2">
      <c r="G4089" s="44"/>
      <c r="J4089" t="str">
        <f t="shared" si="126"/>
        <v/>
      </c>
      <c r="K4089" t="str">
        <f t="shared" si="127"/>
        <v/>
      </c>
    </row>
    <row r="4090" spans="7:11" x14ac:dyDescent="0.2">
      <c r="G4090" s="44"/>
      <c r="J4090" t="str">
        <f t="shared" si="126"/>
        <v/>
      </c>
      <c r="K4090" t="str">
        <f t="shared" si="127"/>
        <v/>
      </c>
    </row>
    <row r="4091" spans="7:11" x14ac:dyDescent="0.2">
      <c r="G4091" s="44"/>
      <c r="J4091" t="str">
        <f t="shared" si="126"/>
        <v/>
      </c>
      <c r="K4091" t="str">
        <f t="shared" si="127"/>
        <v/>
      </c>
    </row>
    <row r="4092" spans="7:11" x14ac:dyDescent="0.2">
      <c r="G4092" s="44"/>
      <c r="J4092" t="str">
        <f t="shared" si="126"/>
        <v/>
      </c>
      <c r="K4092" t="str">
        <f t="shared" si="127"/>
        <v/>
      </c>
    </row>
    <row r="4093" spans="7:11" x14ac:dyDescent="0.2">
      <c r="G4093" s="44"/>
      <c r="J4093" t="str">
        <f t="shared" si="126"/>
        <v/>
      </c>
      <c r="K4093" t="str">
        <f t="shared" si="127"/>
        <v/>
      </c>
    </row>
    <row r="4094" spans="7:11" x14ac:dyDescent="0.2">
      <c r="G4094" s="44"/>
      <c r="J4094" t="str">
        <f t="shared" si="126"/>
        <v/>
      </c>
      <c r="K4094" t="str">
        <f t="shared" si="127"/>
        <v/>
      </c>
    </row>
    <row r="4095" spans="7:11" x14ac:dyDescent="0.2">
      <c r="G4095" s="44"/>
      <c r="J4095" t="str">
        <f t="shared" si="126"/>
        <v/>
      </c>
      <c r="K4095" t="str">
        <f t="shared" si="127"/>
        <v/>
      </c>
    </row>
    <row r="4096" spans="7:11" x14ac:dyDescent="0.2">
      <c r="G4096" s="44"/>
      <c r="J4096" t="str">
        <f t="shared" si="126"/>
        <v/>
      </c>
      <c r="K4096" t="str">
        <f t="shared" si="127"/>
        <v/>
      </c>
    </row>
    <row r="4097" spans="7:11" x14ac:dyDescent="0.2">
      <c r="G4097" s="44"/>
      <c r="J4097" t="str">
        <f t="shared" si="126"/>
        <v/>
      </c>
      <c r="K4097" t="str">
        <f t="shared" si="127"/>
        <v/>
      </c>
    </row>
    <row r="4098" spans="7:11" x14ac:dyDescent="0.2">
      <c r="G4098" s="44"/>
      <c r="J4098" t="str">
        <f t="shared" ref="J4098:J4161" si="128">IF(E4098="","",IF(OR(E4098=50,E4098=51),"Iltindhold",IF(E4098=75,"Carbon,org,NVOC",IF(OR(E4098=343,E4098=1167),"Svovlbrinte",IF(OR(E4098=240,E4098=241,E4098=242),"Amm",IF(E4098=244,"Nitrit",IF(E4098=247,"Nitrat",IF(E4098=334,"Sulfat",IF(E4098=262,"Phosphor, total-P",F4098)))))))))</f>
        <v/>
      </c>
      <c r="K4098" t="str">
        <f t="shared" ref="K4098:K4161" si="129">IF(A4098="","",IF(H4098="!",NA(),IF(H4098="A",I4098*0.5,IF(H4098="&lt;",I4098*0.5,I4098))))</f>
        <v/>
      </c>
    </row>
    <row r="4099" spans="7:11" x14ac:dyDescent="0.2">
      <c r="G4099" s="44"/>
      <c r="J4099" t="str">
        <f t="shared" si="128"/>
        <v/>
      </c>
      <c r="K4099" t="str">
        <f t="shared" si="129"/>
        <v/>
      </c>
    </row>
    <row r="4100" spans="7:11" x14ac:dyDescent="0.2">
      <c r="G4100" s="44"/>
      <c r="J4100" t="str">
        <f t="shared" si="128"/>
        <v/>
      </c>
      <c r="K4100" t="str">
        <f t="shared" si="129"/>
        <v/>
      </c>
    </row>
    <row r="4101" spans="7:11" x14ac:dyDescent="0.2">
      <c r="G4101" s="44"/>
      <c r="J4101" t="str">
        <f t="shared" si="128"/>
        <v/>
      </c>
      <c r="K4101" t="str">
        <f t="shared" si="129"/>
        <v/>
      </c>
    </row>
    <row r="4102" spans="7:11" x14ac:dyDescent="0.2">
      <c r="G4102" s="44"/>
      <c r="J4102" t="str">
        <f t="shared" si="128"/>
        <v/>
      </c>
      <c r="K4102" t="str">
        <f t="shared" si="129"/>
        <v/>
      </c>
    </row>
    <row r="4103" spans="7:11" x14ac:dyDescent="0.2">
      <c r="G4103" s="44"/>
      <c r="J4103" t="str">
        <f t="shared" si="128"/>
        <v/>
      </c>
      <c r="K4103" t="str">
        <f t="shared" si="129"/>
        <v/>
      </c>
    </row>
    <row r="4104" spans="7:11" x14ac:dyDescent="0.2">
      <c r="G4104" s="44"/>
      <c r="J4104" t="str">
        <f t="shared" si="128"/>
        <v/>
      </c>
      <c r="K4104" t="str">
        <f t="shared" si="129"/>
        <v/>
      </c>
    </row>
    <row r="4105" spans="7:11" x14ac:dyDescent="0.2">
      <c r="G4105" s="44"/>
      <c r="J4105" t="str">
        <f t="shared" si="128"/>
        <v/>
      </c>
      <c r="K4105" t="str">
        <f t="shared" si="129"/>
        <v/>
      </c>
    </row>
    <row r="4106" spans="7:11" x14ac:dyDescent="0.2">
      <c r="G4106" s="44"/>
      <c r="J4106" t="str">
        <f t="shared" si="128"/>
        <v/>
      </c>
      <c r="K4106" t="str">
        <f t="shared" si="129"/>
        <v/>
      </c>
    </row>
    <row r="4107" spans="7:11" x14ac:dyDescent="0.2">
      <c r="G4107" s="44"/>
      <c r="J4107" t="str">
        <f t="shared" si="128"/>
        <v/>
      </c>
      <c r="K4107" t="str">
        <f t="shared" si="129"/>
        <v/>
      </c>
    </row>
    <row r="4108" spans="7:11" x14ac:dyDescent="0.2">
      <c r="G4108" s="44"/>
      <c r="J4108" t="str">
        <f t="shared" si="128"/>
        <v/>
      </c>
      <c r="K4108" t="str">
        <f t="shared" si="129"/>
        <v/>
      </c>
    </row>
    <row r="4109" spans="7:11" x14ac:dyDescent="0.2">
      <c r="G4109" s="44"/>
      <c r="J4109" t="str">
        <f t="shared" si="128"/>
        <v/>
      </c>
      <c r="K4109" t="str">
        <f t="shared" si="129"/>
        <v/>
      </c>
    </row>
    <row r="4110" spans="7:11" x14ac:dyDescent="0.2">
      <c r="G4110" s="44"/>
      <c r="J4110" t="str">
        <f t="shared" si="128"/>
        <v/>
      </c>
      <c r="K4110" t="str">
        <f t="shared" si="129"/>
        <v/>
      </c>
    </row>
    <row r="4111" spans="7:11" x14ac:dyDescent="0.2">
      <c r="G4111" s="44"/>
      <c r="J4111" t="str">
        <f t="shared" si="128"/>
        <v/>
      </c>
      <c r="K4111" t="str">
        <f t="shared" si="129"/>
        <v/>
      </c>
    </row>
    <row r="4112" spans="7:11" x14ac:dyDescent="0.2">
      <c r="G4112" s="44"/>
      <c r="J4112" t="str">
        <f t="shared" si="128"/>
        <v/>
      </c>
      <c r="K4112" t="str">
        <f t="shared" si="129"/>
        <v/>
      </c>
    </row>
    <row r="4113" spans="7:11" x14ac:dyDescent="0.2">
      <c r="G4113" s="44"/>
      <c r="J4113" t="str">
        <f t="shared" si="128"/>
        <v/>
      </c>
      <c r="K4113" t="str">
        <f t="shared" si="129"/>
        <v/>
      </c>
    </row>
    <row r="4114" spans="7:11" x14ac:dyDescent="0.2">
      <c r="G4114" s="44"/>
      <c r="J4114" t="str">
        <f t="shared" si="128"/>
        <v/>
      </c>
      <c r="K4114" t="str">
        <f t="shared" si="129"/>
        <v/>
      </c>
    </row>
    <row r="4115" spans="7:11" x14ac:dyDescent="0.2">
      <c r="G4115" s="44"/>
      <c r="J4115" t="str">
        <f t="shared" si="128"/>
        <v/>
      </c>
      <c r="K4115" t="str">
        <f t="shared" si="129"/>
        <v/>
      </c>
    </row>
    <row r="4116" spans="7:11" x14ac:dyDescent="0.2">
      <c r="G4116" s="44"/>
      <c r="J4116" t="str">
        <f t="shared" si="128"/>
        <v/>
      </c>
      <c r="K4116" t="str">
        <f t="shared" si="129"/>
        <v/>
      </c>
    </row>
    <row r="4117" spans="7:11" x14ac:dyDescent="0.2">
      <c r="G4117" s="44"/>
      <c r="J4117" t="str">
        <f t="shared" si="128"/>
        <v/>
      </c>
      <c r="K4117" t="str">
        <f t="shared" si="129"/>
        <v/>
      </c>
    </row>
    <row r="4118" spans="7:11" x14ac:dyDescent="0.2">
      <c r="G4118" s="44"/>
      <c r="J4118" t="str">
        <f t="shared" si="128"/>
        <v/>
      </c>
      <c r="K4118" t="str">
        <f t="shared" si="129"/>
        <v/>
      </c>
    </row>
    <row r="4119" spans="7:11" x14ac:dyDescent="0.2">
      <c r="G4119" s="44"/>
      <c r="J4119" t="str">
        <f t="shared" si="128"/>
        <v/>
      </c>
      <c r="K4119" t="str">
        <f t="shared" si="129"/>
        <v/>
      </c>
    </row>
    <row r="4120" spans="7:11" x14ac:dyDescent="0.2">
      <c r="G4120" s="44"/>
      <c r="J4120" t="str">
        <f t="shared" si="128"/>
        <v/>
      </c>
      <c r="K4120" t="str">
        <f t="shared" si="129"/>
        <v/>
      </c>
    </row>
    <row r="4121" spans="7:11" x14ac:dyDescent="0.2">
      <c r="G4121" s="44"/>
      <c r="J4121" t="str">
        <f t="shared" si="128"/>
        <v/>
      </c>
      <c r="K4121" t="str">
        <f t="shared" si="129"/>
        <v/>
      </c>
    </row>
    <row r="4122" spans="7:11" x14ac:dyDescent="0.2">
      <c r="G4122" s="44"/>
      <c r="J4122" t="str">
        <f t="shared" si="128"/>
        <v/>
      </c>
      <c r="K4122" t="str">
        <f t="shared" si="129"/>
        <v/>
      </c>
    </row>
    <row r="4123" spans="7:11" x14ac:dyDescent="0.2">
      <c r="G4123" s="44"/>
      <c r="J4123" t="str">
        <f t="shared" si="128"/>
        <v/>
      </c>
      <c r="K4123" t="str">
        <f t="shared" si="129"/>
        <v/>
      </c>
    </row>
    <row r="4124" spans="7:11" x14ac:dyDescent="0.2">
      <c r="G4124" s="44"/>
      <c r="J4124" t="str">
        <f t="shared" si="128"/>
        <v/>
      </c>
      <c r="K4124" t="str">
        <f t="shared" si="129"/>
        <v/>
      </c>
    </row>
    <row r="4125" spans="7:11" x14ac:dyDescent="0.2">
      <c r="G4125" s="44"/>
      <c r="J4125" t="str">
        <f t="shared" si="128"/>
        <v/>
      </c>
      <c r="K4125" t="str">
        <f t="shared" si="129"/>
        <v/>
      </c>
    </row>
    <row r="4126" spans="7:11" x14ac:dyDescent="0.2">
      <c r="G4126" s="44"/>
      <c r="J4126" t="str">
        <f t="shared" si="128"/>
        <v/>
      </c>
      <c r="K4126" t="str">
        <f t="shared" si="129"/>
        <v/>
      </c>
    </row>
    <row r="4127" spans="7:11" x14ac:dyDescent="0.2">
      <c r="G4127" s="44"/>
      <c r="J4127" t="str">
        <f t="shared" si="128"/>
        <v/>
      </c>
      <c r="K4127" t="str">
        <f t="shared" si="129"/>
        <v/>
      </c>
    </row>
    <row r="4128" spans="7:11" x14ac:dyDescent="0.2">
      <c r="G4128" s="44"/>
      <c r="J4128" t="str">
        <f t="shared" si="128"/>
        <v/>
      </c>
      <c r="K4128" t="str">
        <f t="shared" si="129"/>
        <v/>
      </c>
    </row>
    <row r="4129" spans="7:11" x14ac:dyDescent="0.2">
      <c r="G4129" s="44"/>
      <c r="J4129" t="str">
        <f t="shared" si="128"/>
        <v/>
      </c>
      <c r="K4129" t="str">
        <f t="shared" si="129"/>
        <v/>
      </c>
    </row>
    <row r="4130" spans="7:11" x14ac:dyDescent="0.2">
      <c r="G4130" s="44"/>
      <c r="J4130" t="str">
        <f t="shared" si="128"/>
        <v/>
      </c>
      <c r="K4130" t="str">
        <f t="shared" si="129"/>
        <v/>
      </c>
    </row>
    <row r="4131" spans="7:11" x14ac:dyDescent="0.2">
      <c r="G4131" s="44"/>
      <c r="J4131" t="str">
        <f t="shared" si="128"/>
        <v/>
      </c>
      <c r="K4131" t="str">
        <f t="shared" si="129"/>
        <v/>
      </c>
    </row>
    <row r="4132" spans="7:11" x14ac:dyDescent="0.2">
      <c r="G4132" s="44"/>
      <c r="J4132" t="str">
        <f t="shared" si="128"/>
        <v/>
      </c>
      <c r="K4132" t="str">
        <f t="shared" si="129"/>
        <v/>
      </c>
    </row>
    <row r="4133" spans="7:11" x14ac:dyDescent="0.2">
      <c r="G4133" s="44"/>
      <c r="J4133" t="str">
        <f t="shared" si="128"/>
        <v/>
      </c>
      <c r="K4133" t="str">
        <f t="shared" si="129"/>
        <v/>
      </c>
    </row>
    <row r="4134" spans="7:11" x14ac:dyDescent="0.2">
      <c r="G4134" s="44"/>
      <c r="J4134" t="str">
        <f t="shared" si="128"/>
        <v/>
      </c>
      <c r="K4134" t="str">
        <f t="shared" si="129"/>
        <v/>
      </c>
    </row>
    <row r="4135" spans="7:11" x14ac:dyDescent="0.2">
      <c r="G4135" s="44"/>
      <c r="J4135" t="str">
        <f t="shared" si="128"/>
        <v/>
      </c>
      <c r="K4135" t="str">
        <f t="shared" si="129"/>
        <v/>
      </c>
    </row>
    <row r="4136" spans="7:11" x14ac:dyDescent="0.2">
      <c r="G4136" s="44"/>
      <c r="J4136" t="str">
        <f t="shared" si="128"/>
        <v/>
      </c>
      <c r="K4136" t="str">
        <f t="shared" si="129"/>
        <v/>
      </c>
    </row>
    <row r="4137" spans="7:11" x14ac:dyDescent="0.2">
      <c r="G4137" s="44"/>
      <c r="J4137" t="str">
        <f t="shared" si="128"/>
        <v/>
      </c>
      <c r="K4137" t="str">
        <f t="shared" si="129"/>
        <v/>
      </c>
    </row>
    <row r="4138" spans="7:11" x14ac:dyDescent="0.2">
      <c r="G4138" s="44"/>
      <c r="J4138" t="str">
        <f t="shared" si="128"/>
        <v/>
      </c>
      <c r="K4138" t="str">
        <f t="shared" si="129"/>
        <v/>
      </c>
    </row>
    <row r="4139" spans="7:11" x14ac:dyDescent="0.2">
      <c r="G4139" s="44"/>
      <c r="J4139" t="str">
        <f t="shared" si="128"/>
        <v/>
      </c>
      <c r="K4139" t="str">
        <f t="shared" si="129"/>
        <v/>
      </c>
    </row>
    <row r="4140" spans="7:11" x14ac:dyDescent="0.2">
      <c r="G4140" s="44"/>
      <c r="J4140" t="str">
        <f t="shared" si="128"/>
        <v/>
      </c>
      <c r="K4140" t="str">
        <f t="shared" si="129"/>
        <v/>
      </c>
    </row>
    <row r="4141" spans="7:11" x14ac:dyDescent="0.2">
      <c r="G4141" s="44"/>
      <c r="J4141" t="str">
        <f t="shared" si="128"/>
        <v/>
      </c>
      <c r="K4141" t="str">
        <f t="shared" si="129"/>
        <v/>
      </c>
    </row>
    <row r="4142" spans="7:11" x14ac:dyDescent="0.2">
      <c r="G4142" s="44"/>
      <c r="J4142" t="str">
        <f t="shared" si="128"/>
        <v/>
      </c>
      <c r="K4142" t="str">
        <f t="shared" si="129"/>
        <v/>
      </c>
    </row>
    <row r="4143" spans="7:11" x14ac:dyDescent="0.2">
      <c r="G4143" s="44"/>
      <c r="J4143" t="str">
        <f t="shared" si="128"/>
        <v/>
      </c>
      <c r="K4143" t="str">
        <f t="shared" si="129"/>
        <v/>
      </c>
    </row>
    <row r="4144" spans="7:11" x14ac:dyDescent="0.2">
      <c r="G4144" s="44"/>
      <c r="J4144" t="str">
        <f t="shared" si="128"/>
        <v/>
      </c>
      <c r="K4144" t="str">
        <f t="shared" si="129"/>
        <v/>
      </c>
    </row>
    <row r="4145" spans="7:11" x14ac:dyDescent="0.2">
      <c r="G4145" s="44"/>
      <c r="J4145" t="str">
        <f t="shared" si="128"/>
        <v/>
      </c>
      <c r="K4145" t="str">
        <f t="shared" si="129"/>
        <v/>
      </c>
    </row>
    <row r="4146" spans="7:11" x14ac:dyDescent="0.2">
      <c r="G4146" s="44"/>
      <c r="J4146" t="str">
        <f t="shared" si="128"/>
        <v/>
      </c>
      <c r="K4146" t="str">
        <f t="shared" si="129"/>
        <v/>
      </c>
    </row>
    <row r="4147" spans="7:11" x14ac:dyDescent="0.2">
      <c r="G4147" s="44"/>
      <c r="J4147" t="str">
        <f t="shared" si="128"/>
        <v/>
      </c>
      <c r="K4147" t="str">
        <f t="shared" si="129"/>
        <v/>
      </c>
    </row>
    <row r="4148" spans="7:11" x14ac:dyDescent="0.2">
      <c r="G4148" s="44"/>
      <c r="J4148" t="str">
        <f t="shared" si="128"/>
        <v/>
      </c>
      <c r="K4148" t="str">
        <f t="shared" si="129"/>
        <v/>
      </c>
    </row>
    <row r="4149" spans="7:11" x14ac:dyDescent="0.2">
      <c r="G4149" s="44"/>
      <c r="J4149" t="str">
        <f t="shared" si="128"/>
        <v/>
      </c>
      <c r="K4149" t="str">
        <f t="shared" si="129"/>
        <v/>
      </c>
    </row>
    <row r="4150" spans="7:11" x14ac:dyDescent="0.2">
      <c r="G4150" s="44"/>
      <c r="J4150" t="str">
        <f t="shared" si="128"/>
        <v/>
      </c>
      <c r="K4150" t="str">
        <f t="shared" si="129"/>
        <v/>
      </c>
    </row>
    <row r="4151" spans="7:11" x14ac:dyDescent="0.2">
      <c r="G4151" s="44"/>
      <c r="J4151" t="str">
        <f t="shared" si="128"/>
        <v/>
      </c>
      <c r="K4151" t="str">
        <f t="shared" si="129"/>
        <v/>
      </c>
    </row>
    <row r="4152" spans="7:11" x14ac:dyDescent="0.2">
      <c r="G4152" s="44"/>
      <c r="J4152" t="str">
        <f t="shared" si="128"/>
        <v/>
      </c>
      <c r="K4152" t="str">
        <f t="shared" si="129"/>
        <v/>
      </c>
    </row>
    <row r="4153" spans="7:11" x14ac:dyDescent="0.2">
      <c r="G4153" s="44"/>
      <c r="J4153" t="str">
        <f t="shared" si="128"/>
        <v/>
      </c>
      <c r="K4153" t="str">
        <f t="shared" si="129"/>
        <v/>
      </c>
    </row>
    <row r="4154" spans="7:11" x14ac:dyDescent="0.2">
      <c r="G4154" s="44"/>
      <c r="J4154" t="str">
        <f t="shared" si="128"/>
        <v/>
      </c>
      <c r="K4154" t="str">
        <f t="shared" si="129"/>
        <v/>
      </c>
    </row>
    <row r="4155" spans="7:11" x14ac:dyDescent="0.2">
      <c r="G4155" s="44"/>
      <c r="J4155" t="str">
        <f t="shared" si="128"/>
        <v/>
      </c>
      <c r="K4155" t="str">
        <f t="shared" si="129"/>
        <v/>
      </c>
    </row>
    <row r="4156" spans="7:11" x14ac:dyDescent="0.2">
      <c r="G4156" s="44"/>
      <c r="J4156" t="str">
        <f t="shared" si="128"/>
        <v/>
      </c>
      <c r="K4156" t="str">
        <f t="shared" si="129"/>
        <v/>
      </c>
    </row>
    <row r="4157" spans="7:11" x14ac:dyDescent="0.2">
      <c r="G4157" s="44"/>
      <c r="J4157" t="str">
        <f t="shared" si="128"/>
        <v/>
      </c>
      <c r="K4157" t="str">
        <f t="shared" si="129"/>
        <v/>
      </c>
    </row>
    <row r="4158" spans="7:11" x14ac:dyDescent="0.2">
      <c r="G4158" s="44"/>
      <c r="J4158" t="str">
        <f t="shared" si="128"/>
        <v/>
      </c>
      <c r="K4158" t="str">
        <f t="shared" si="129"/>
        <v/>
      </c>
    </row>
    <row r="4159" spans="7:11" x14ac:dyDescent="0.2">
      <c r="G4159" s="44"/>
      <c r="J4159" t="str">
        <f t="shared" si="128"/>
        <v/>
      </c>
      <c r="K4159" t="str">
        <f t="shared" si="129"/>
        <v/>
      </c>
    </row>
    <row r="4160" spans="7:11" x14ac:dyDescent="0.2">
      <c r="G4160" s="44"/>
      <c r="J4160" t="str">
        <f t="shared" si="128"/>
        <v/>
      </c>
      <c r="K4160" t="str">
        <f t="shared" si="129"/>
        <v/>
      </c>
    </row>
    <row r="4161" spans="7:11" x14ac:dyDescent="0.2">
      <c r="G4161" s="44"/>
      <c r="J4161" t="str">
        <f t="shared" si="128"/>
        <v/>
      </c>
      <c r="K4161" t="str">
        <f t="shared" si="129"/>
        <v/>
      </c>
    </row>
    <row r="4162" spans="7:11" x14ac:dyDescent="0.2">
      <c r="G4162" s="44"/>
      <c r="J4162" t="str">
        <f t="shared" ref="J4162:J4225" si="130">IF(E4162="","",IF(OR(E4162=50,E4162=51),"Iltindhold",IF(E4162=75,"Carbon,org,NVOC",IF(OR(E4162=343,E4162=1167),"Svovlbrinte",IF(OR(E4162=240,E4162=241,E4162=242),"Amm",IF(E4162=244,"Nitrit",IF(E4162=247,"Nitrat",IF(E4162=334,"Sulfat",IF(E4162=262,"Phosphor, total-P",F4162)))))))))</f>
        <v/>
      </c>
      <c r="K4162" t="str">
        <f t="shared" ref="K4162:K4225" si="131">IF(A4162="","",IF(H4162="!",NA(),IF(H4162="A",I4162*0.5,IF(H4162="&lt;",I4162*0.5,I4162))))</f>
        <v/>
      </c>
    </row>
    <row r="4163" spans="7:11" x14ac:dyDescent="0.2">
      <c r="G4163" s="44"/>
      <c r="J4163" t="str">
        <f t="shared" si="130"/>
        <v/>
      </c>
      <c r="K4163" t="str">
        <f t="shared" si="131"/>
        <v/>
      </c>
    </row>
    <row r="4164" spans="7:11" x14ac:dyDescent="0.2">
      <c r="G4164" s="44"/>
      <c r="J4164" t="str">
        <f t="shared" si="130"/>
        <v/>
      </c>
      <c r="K4164" t="str">
        <f t="shared" si="131"/>
        <v/>
      </c>
    </row>
    <row r="4165" spans="7:11" x14ac:dyDescent="0.2">
      <c r="G4165" s="44"/>
      <c r="J4165" t="str">
        <f t="shared" si="130"/>
        <v/>
      </c>
      <c r="K4165" t="str">
        <f t="shared" si="131"/>
        <v/>
      </c>
    </row>
    <row r="4166" spans="7:11" x14ac:dyDescent="0.2">
      <c r="G4166" s="44"/>
      <c r="J4166" t="str">
        <f t="shared" si="130"/>
        <v/>
      </c>
      <c r="K4166" t="str">
        <f t="shared" si="131"/>
        <v/>
      </c>
    </row>
    <row r="4167" spans="7:11" x14ac:dyDescent="0.2">
      <c r="G4167" s="44"/>
      <c r="J4167" t="str">
        <f t="shared" si="130"/>
        <v/>
      </c>
      <c r="K4167" t="str">
        <f t="shared" si="131"/>
        <v/>
      </c>
    </row>
    <row r="4168" spans="7:11" x14ac:dyDescent="0.2">
      <c r="G4168" s="44"/>
      <c r="J4168" t="str">
        <f t="shared" si="130"/>
        <v/>
      </c>
      <c r="K4168" t="str">
        <f t="shared" si="131"/>
        <v/>
      </c>
    </row>
    <row r="4169" spans="7:11" x14ac:dyDescent="0.2">
      <c r="G4169" s="44"/>
      <c r="J4169" t="str">
        <f t="shared" si="130"/>
        <v/>
      </c>
      <c r="K4169" t="str">
        <f t="shared" si="131"/>
        <v/>
      </c>
    </row>
    <row r="4170" spans="7:11" x14ac:dyDescent="0.2">
      <c r="G4170" s="44"/>
      <c r="J4170" t="str">
        <f t="shared" si="130"/>
        <v/>
      </c>
      <c r="K4170" t="str">
        <f t="shared" si="131"/>
        <v/>
      </c>
    </row>
    <row r="4171" spans="7:11" x14ac:dyDescent="0.2">
      <c r="G4171" s="44"/>
      <c r="J4171" t="str">
        <f t="shared" si="130"/>
        <v/>
      </c>
      <c r="K4171" t="str">
        <f t="shared" si="131"/>
        <v/>
      </c>
    </row>
    <row r="4172" spans="7:11" x14ac:dyDescent="0.2">
      <c r="G4172" s="44"/>
      <c r="J4172" t="str">
        <f t="shared" si="130"/>
        <v/>
      </c>
      <c r="K4172" t="str">
        <f t="shared" si="131"/>
        <v/>
      </c>
    </row>
    <row r="4173" spans="7:11" x14ac:dyDescent="0.2">
      <c r="G4173" s="44"/>
      <c r="J4173" t="str">
        <f t="shared" si="130"/>
        <v/>
      </c>
      <c r="K4173" t="str">
        <f t="shared" si="131"/>
        <v/>
      </c>
    </row>
    <row r="4174" spans="7:11" x14ac:dyDescent="0.2">
      <c r="G4174" s="44"/>
      <c r="J4174" t="str">
        <f t="shared" si="130"/>
        <v/>
      </c>
      <c r="K4174" t="str">
        <f t="shared" si="131"/>
        <v/>
      </c>
    </row>
    <row r="4175" spans="7:11" x14ac:dyDescent="0.2">
      <c r="G4175" s="44"/>
      <c r="J4175" t="str">
        <f t="shared" si="130"/>
        <v/>
      </c>
      <c r="K4175" t="str">
        <f t="shared" si="131"/>
        <v/>
      </c>
    </row>
    <row r="4176" spans="7:11" x14ac:dyDescent="0.2">
      <c r="G4176" s="44"/>
      <c r="J4176" t="str">
        <f t="shared" si="130"/>
        <v/>
      </c>
      <c r="K4176" t="str">
        <f t="shared" si="131"/>
        <v/>
      </c>
    </row>
    <row r="4177" spans="7:11" x14ac:dyDescent="0.2">
      <c r="G4177" s="44"/>
      <c r="J4177" t="str">
        <f t="shared" si="130"/>
        <v/>
      </c>
      <c r="K4177" t="str">
        <f t="shared" si="131"/>
        <v/>
      </c>
    </row>
    <row r="4178" spans="7:11" x14ac:dyDescent="0.2">
      <c r="G4178" s="44"/>
      <c r="J4178" t="str">
        <f t="shared" si="130"/>
        <v/>
      </c>
      <c r="K4178" t="str">
        <f t="shared" si="131"/>
        <v/>
      </c>
    </row>
    <row r="4179" spans="7:11" x14ac:dyDescent="0.2">
      <c r="G4179" s="44"/>
      <c r="J4179" t="str">
        <f t="shared" si="130"/>
        <v/>
      </c>
      <c r="K4179" t="str">
        <f t="shared" si="131"/>
        <v/>
      </c>
    </row>
    <row r="4180" spans="7:11" x14ac:dyDescent="0.2">
      <c r="G4180" s="44"/>
      <c r="J4180" t="str">
        <f t="shared" si="130"/>
        <v/>
      </c>
      <c r="K4180" t="str">
        <f t="shared" si="131"/>
        <v/>
      </c>
    </row>
    <row r="4181" spans="7:11" x14ac:dyDescent="0.2">
      <c r="G4181" s="44"/>
      <c r="J4181" t="str">
        <f t="shared" si="130"/>
        <v/>
      </c>
      <c r="K4181" t="str">
        <f t="shared" si="131"/>
        <v/>
      </c>
    </row>
    <row r="4182" spans="7:11" x14ac:dyDescent="0.2">
      <c r="G4182" s="44"/>
      <c r="J4182" t="str">
        <f t="shared" si="130"/>
        <v/>
      </c>
      <c r="K4182" t="str">
        <f t="shared" si="131"/>
        <v/>
      </c>
    </row>
    <row r="4183" spans="7:11" x14ac:dyDescent="0.2">
      <c r="G4183" s="44"/>
      <c r="J4183" t="str">
        <f t="shared" si="130"/>
        <v/>
      </c>
      <c r="K4183" t="str">
        <f t="shared" si="131"/>
        <v/>
      </c>
    </row>
    <row r="4184" spans="7:11" x14ac:dyDescent="0.2">
      <c r="G4184" s="44"/>
      <c r="J4184" t="str">
        <f t="shared" si="130"/>
        <v/>
      </c>
      <c r="K4184" t="str">
        <f t="shared" si="131"/>
        <v/>
      </c>
    </row>
    <row r="4185" spans="7:11" x14ac:dyDescent="0.2">
      <c r="G4185" s="44"/>
      <c r="J4185" t="str">
        <f t="shared" si="130"/>
        <v/>
      </c>
      <c r="K4185" t="str">
        <f t="shared" si="131"/>
        <v/>
      </c>
    </row>
    <row r="4186" spans="7:11" x14ac:dyDescent="0.2">
      <c r="G4186" s="44"/>
      <c r="J4186" t="str">
        <f t="shared" si="130"/>
        <v/>
      </c>
      <c r="K4186" t="str">
        <f t="shared" si="131"/>
        <v/>
      </c>
    </row>
    <row r="4187" spans="7:11" x14ac:dyDescent="0.2">
      <c r="G4187" s="44"/>
      <c r="J4187" t="str">
        <f t="shared" si="130"/>
        <v/>
      </c>
      <c r="K4187" t="str">
        <f t="shared" si="131"/>
        <v/>
      </c>
    </row>
    <row r="4188" spans="7:11" x14ac:dyDescent="0.2">
      <c r="G4188" s="44"/>
      <c r="J4188" t="str">
        <f t="shared" si="130"/>
        <v/>
      </c>
      <c r="K4188" t="str">
        <f t="shared" si="131"/>
        <v/>
      </c>
    </row>
    <row r="4189" spans="7:11" x14ac:dyDescent="0.2">
      <c r="G4189" s="44"/>
      <c r="J4189" t="str">
        <f t="shared" si="130"/>
        <v/>
      </c>
      <c r="K4189" t="str">
        <f t="shared" si="131"/>
        <v/>
      </c>
    </row>
    <row r="4190" spans="7:11" x14ac:dyDescent="0.2">
      <c r="G4190" s="44"/>
      <c r="J4190" t="str">
        <f t="shared" si="130"/>
        <v/>
      </c>
      <c r="K4190" t="str">
        <f t="shared" si="131"/>
        <v/>
      </c>
    </row>
    <row r="4191" spans="7:11" x14ac:dyDescent="0.2">
      <c r="G4191" s="44"/>
      <c r="J4191" t="str">
        <f t="shared" si="130"/>
        <v/>
      </c>
      <c r="K4191" t="str">
        <f t="shared" si="131"/>
        <v/>
      </c>
    </row>
    <row r="4192" spans="7:11" x14ac:dyDescent="0.2">
      <c r="G4192" s="44"/>
      <c r="J4192" t="str">
        <f t="shared" si="130"/>
        <v/>
      </c>
      <c r="K4192" t="str">
        <f t="shared" si="131"/>
        <v/>
      </c>
    </row>
    <row r="4193" spans="7:11" x14ac:dyDescent="0.2">
      <c r="G4193" s="44"/>
      <c r="J4193" t="str">
        <f t="shared" si="130"/>
        <v/>
      </c>
      <c r="K4193" t="str">
        <f t="shared" si="131"/>
        <v/>
      </c>
    </row>
    <row r="4194" spans="7:11" x14ac:dyDescent="0.2">
      <c r="G4194" s="44"/>
      <c r="J4194" t="str">
        <f t="shared" si="130"/>
        <v/>
      </c>
      <c r="K4194" t="str">
        <f t="shared" si="131"/>
        <v/>
      </c>
    </row>
    <row r="4195" spans="7:11" x14ac:dyDescent="0.2">
      <c r="G4195" s="44"/>
      <c r="J4195" t="str">
        <f t="shared" si="130"/>
        <v/>
      </c>
      <c r="K4195" t="str">
        <f t="shared" si="131"/>
        <v/>
      </c>
    </row>
    <row r="4196" spans="7:11" x14ac:dyDescent="0.2">
      <c r="G4196" s="44"/>
      <c r="J4196" t="str">
        <f t="shared" si="130"/>
        <v/>
      </c>
      <c r="K4196" t="str">
        <f t="shared" si="131"/>
        <v/>
      </c>
    </row>
    <row r="4197" spans="7:11" x14ac:dyDescent="0.2">
      <c r="G4197" s="44"/>
      <c r="J4197" t="str">
        <f t="shared" si="130"/>
        <v/>
      </c>
      <c r="K4197" t="str">
        <f t="shared" si="131"/>
        <v/>
      </c>
    </row>
    <row r="4198" spans="7:11" x14ac:dyDescent="0.2">
      <c r="G4198" s="44"/>
      <c r="J4198" t="str">
        <f t="shared" si="130"/>
        <v/>
      </c>
      <c r="K4198" t="str">
        <f t="shared" si="131"/>
        <v/>
      </c>
    </row>
    <row r="4199" spans="7:11" x14ac:dyDescent="0.2">
      <c r="G4199" s="44"/>
      <c r="J4199" t="str">
        <f t="shared" si="130"/>
        <v/>
      </c>
      <c r="K4199" t="str">
        <f t="shared" si="131"/>
        <v/>
      </c>
    </row>
    <row r="4200" spans="7:11" x14ac:dyDescent="0.2">
      <c r="G4200" s="44"/>
      <c r="J4200" t="str">
        <f t="shared" si="130"/>
        <v/>
      </c>
      <c r="K4200" t="str">
        <f t="shared" si="131"/>
        <v/>
      </c>
    </row>
    <row r="4201" spans="7:11" x14ac:dyDescent="0.2">
      <c r="G4201" s="44"/>
      <c r="J4201" t="str">
        <f t="shared" si="130"/>
        <v/>
      </c>
      <c r="K4201" t="str">
        <f t="shared" si="131"/>
        <v/>
      </c>
    </row>
    <row r="4202" spans="7:11" x14ac:dyDescent="0.2">
      <c r="G4202" s="44"/>
      <c r="J4202" t="str">
        <f t="shared" si="130"/>
        <v/>
      </c>
      <c r="K4202" t="str">
        <f t="shared" si="131"/>
        <v/>
      </c>
    </row>
    <row r="4203" spans="7:11" x14ac:dyDescent="0.2">
      <c r="G4203" s="44"/>
      <c r="J4203" t="str">
        <f t="shared" si="130"/>
        <v/>
      </c>
      <c r="K4203" t="str">
        <f t="shared" si="131"/>
        <v/>
      </c>
    </row>
    <row r="4204" spans="7:11" x14ac:dyDescent="0.2">
      <c r="G4204" s="44"/>
      <c r="J4204" t="str">
        <f t="shared" si="130"/>
        <v/>
      </c>
      <c r="K4204" t="str">
        <f t="shared" si="131"/>
        <v/>
      </c>
    </row>
    <row r="4205" spans="7:11" x14ac:dyDescent="0.2">
      <c r="G4205" s="44"/>
      <c r="J4205" t="str">
        <f t="shared" si="130"/>
        <v/>
      </c>
      <c r="K4205" t="str">
        <f t="shared" si="131"/>
        <v/>
      </c>
    </row>
    <row r="4206" spans="7:11" x14ac:dyDescent="0.2">
      <c r="G4206" s="44"/>
      <c r="J4206" t="str">
        <f t="shared" si="130"/>
        <v/>
      </c>
      <c r="K4206" t="str">
        <f t="shared" si="131"/>
        <v/>
      </c>
    </row>
    <row r="4207" spans="7:11" x14ac:dyDescent="0.2">
      <c r="G4207" s="44"/>
      <c r="J4207" t="str">
        <f t="shared" si="130"/>
        <v/>
      </c>
      <c r="K4207" t="str">
        <f t="shared" si="131"/>
        <v/>
      </c>
    </row>
    <row r="4208" spans="7:11" x14ac:dyDescent="0.2">
      <c r="G4208" s="44"/>
      <c r="J4208" t="str">
        <f t="shared" si="130"/>
        <v/>
      </c>
      <c r="K4208" t="str">
        <f t="shared" si="131"/>
        <v/>
      </c>
    </row>
    <row r="4209" spans="7:11" x14ac:dyDescent="0.2">
      <c r="G4209" s="44"/>
      <c r="J4209" t="str">
        <f t="shared" si="130"/>
        <v/>
      </c>
      <c r="K4209" t="str">
        <f t="shared" si="131"/>
        <v/>
      </c>
    </row>
    <row r="4210" spans="7:11" x14ac:dyDescent="0.2">
      <c r="G4210" s="44"/>
      <c r="J4210" t="str">
        <f t="shared" si="130"/>
        <v/>
      </c>
      <c r="K4210" t="str">
        <f t="shared" si="131"/>
        <v/>
      </c>
    </row>
    <row r="4211" spans="7:11" x14ac:dyDescent="0.2">
      <c r="G4211" s="44"/>
      <c r="J4211" t="str">
        <f t="shared" si="130"/>
        <v/>
      </c>
      <c r="K4211" t="str">
        <f t="shared" si="131"/>
        <v/>
      </c>
    </row>
    <row r="4212" spans="7:11" x14ac:dyDescent="0.2">
      <c r="G4212" s="44"/>
      <c r="J4212" t="str">
        <f t="shared" si="130"/>
        <v/>
      </c>
      <c r="K4212" t="str">
        <f t="shared" si="131"/>
        <v/>
      </c>
    </row>
    <row r="4213" spans="7:11" x14ac:dyDescent="0.2">
      <c r="G4213" s="44"/>
      <c r="J4213" t="str">
        <f t="shared" si="130"/>
        <v/>
      </c>
      <c r="K4213" t="str">
        <f t="shared" si="131"/>
        <v/>
      </c>
    </row>
    <row r="4214" spans="7:11" x14ac:dyDescent="0.2">
      <c r="G4214" s="44"/>
      <c r="J4214" t="str">
        <f t="shared" si="130"/>
        <v/>
      </c>
      <c r="K4214" t="str">
        <f t="shared" si="131"/>
        <v/>
      </c>
    </row>
    <row r="4215" spans="7:11" x14ac:dyDescent="0.2">
      <c r="G4215" s="44"/>
      <c r="J4215" t="str">
        <f t="shared" si="130"/>
        <v/>
      </c>
      <c r="K4215" t="str">
        <f t="shared" si="131"/>
        <v/>
      </c>
    </row>
    <row r="4216" spans="7:11" x14ac:dyDescent="0.2">
      <c r="G4216" s="44"/>
      <c r="J4216" t="str">
        <f t="shared" si="130"/>
        <v/>
      </c>
      <c r="K4216" t="str">
        <f t="shared" si="131"/>
        <v/>
      </c>
    </row>
    <row r="4217" spans="7:11" x14ac:dyDescent="0.2">
      <c r="G4217" s="44"/>
      <c r="J4217" t="str">
        <f t="shared" si="130"/>
        <v/>
      </c>
      <c r="K4217" t="str">
        <f t="shared" si="131"/>
        <v/>
      </c>
    </row>
    <row r="4218" spans="7:11" x14ac:dyDescent="0.2">
      <c r="G4218" s="44"/>
      <c r="J4218" t="str">
        <f t="shared" si="130"/>
        <v/>
      </c>
      <c r="K4218" t="str">
        <f t="shared" si="131"/>
        <v/>
      </c>
    </row>
    <row r="4219" spans="7:11" x14ac:dyDescent="0.2">
      <c r="G4219" s="44"/>
      <c r="J4219" t="str">
        <f t="shared" si="130"/>
        <v/>
      </c>
      <c r="K4219" t="str">
        <f t="shared" si="131"/>
        <v/>
      </c>
    </row>
    <row r="4220" spans="7:11" x14ac:dyDescent="0.2">
      <c r="G4220" s="44"/>
      <c r="J4220" t="str">
        <f t="shared" si="130"/>
        <v/>
      </c>
      <c r="K4220" t="str">
        <f t="shared" si="131"/>
        <v/>
      </c>
    </row>
    <row r="4221" spans="7:11" x14ac:dyDescent="0.2">
      <c r="G4221" s="44"/>
      <c r="J4221" t="str">
        <f t="shared" si="130"/>
        <v/>
      </c>
      <c r="K4221" t="str">
        <f t="shared" si="131"/>
        <v/>
      </c>
    </row>
    <row r="4222" spans="7:11" x14ac:dyDescent="0.2">
      <c r="G4222" s="44"/>
      <c r="J4222" t="str">
        <f t="shared" si="130"/>
        <v/>
      </c>
      <c r="K4222" t="str">
        <f t="shared" si="131"/>
        <v/>
      </c>
    </row>
    <row r="4223" spans="7:11" x14ac:dyDescent="0.2">
      <c r="G4223" s="44"/>
      <c r="J4223" t="str">
        <f t="shared" si="130"/>
        <v/>
      </c>
      <c r="K4223" t="str">
        <f t="shared" si="131"/>
        <v/>
      </c>
    </row>
    <row r="4224" spans="7:11" x14ac:dyDescent="0.2">
      <c r="G4224" s="44"/>
      <c r="J4224" t="str">
        <f t="shared" si="130"/>
        <v/>
      </c>
      <c r="K4224" t="str">
        <f t="shared" si="131"/>
        <v/>
      </c>
    </row>
    <row r="4225" spans="7:11" x14ac:dyDescent="0.2">
      <c r="G4225" s="44"/>
      <c r="J4225" t="str">
        <f t="shared" si="130"/>
        <v/>
      </c>
      <c r="K4225" t="str">
        <f t="shared" si="131"/>
        <v/>
      </c>
    </row>
    <row r="4226" spans="7:11" x14ac:dyDescent="0.2">
      <c r="G4226" s="44"/>
      <c r="J4226" t="str">
        <f t="shared" ref="J4226:J4289" si="132">IF(E4226="","",IF(OR(E4226=50,E4226=51),"Iltindhold",IF(E4226=75,"Carbon,org,NVOC",IF(OR(E4226=343,E4226=1167),"Svovlbrinte",IF(OR(E4226=240,E4226=241,E4226=242),"Amm",IF(E4226=244,"Nitrit",IF(E4226=247,"Nitrat",IF(E4226=334,"Sulfat",IF(E4226=262,"Phosphor, total-P",F4226)))))))))</f>
        <v/>
      </c>
      <c r="K4226" t="str">
        <f t="shared" ref="K4226:K4289" si="133">IF(A4226="","",IF(H4226="!",NA(),IF(H4226="A",I4226*0.5,IF(H4226="&lt;",I4226*0.5,I4226))))</f>
        <v/>
      </c>
    </row>
    <row r="4227" spans="7:11" x14ac:dyDescent="0.2">
      <c r="G4227" s="44"/>
      <c r="J4227" t="str">
        <f t="shared" si="132"/>
        <v/>
      </c>
      <c r="K4227" t="str">
        <f t="shared" si="133"/>
        <v/>
      </c>
    </row>
    <row r="4228" spans="7:11" x14ac:dyDescent="0.2">
      <c r="G4228" s="44"/>
      <c r="J4228" t="str">
        <f t="shared" si="132"/>
        <v/>
      </c>
      <c r="K4228" t="str">
        <f t="shared" si="133"/>
        <v/>
      </c>
    </row>
    <row r="4229" spans="7:11" x14ac:dyDescent="0.2">
      <c r="G4229" s="44"/>
      <c r="J4229" t="str">
        <f t="shared" si="132"/>
        <v/>
      </c>
      <c r="K4229" t="str">
        <f t="shared" si="133"/>
        <v/>
      </c>
    </row>
    <row r="4230" spans="7:11" x14ac:dyDescent="0.2">
      <c r="G4230" s="44"/>
      <c r="J4230" t="str">
        <f t="shared" si="132"/>
        <v/>
      </c>
      <c r="K4230" t="str">
        <f t="shared" si="133"/>
        <v/>
      </c>
    </row>
    <row r="4231" spans="7:11" x14ac:dyDescent="0.2">
      <c r="G4231" s="44"/>
      <c r="J4231" t="str">
        <f t="shared" si="132"/>
        <v/>
      </c>
      <c r="K4231" t="str">
        <f t="shared" si="133"/>
        <v/>
      </c>
    </row>
    <row r="4232" spans="7:11" x14ac:dyDescent="0.2">
      <c r="G4232" s="44"/>
      <c r="J4232" t="str">
        <f t="shared" si="132"/>
        <v/>
      </c>
      <c r="K4232" t="str">
        <f t="shared" si="133"/>
        <v/>
      </c>
    </row>
    <row r="4233" spans="7:11" x14ac:dyDescent="0.2">
      <c r="G4233" s="44"/>
      <c r="J4233" t="str">
        <f t="shared" si="132"/>
        <v/>
      </c>
      <c r="K4233" t="str">
        <f t="shared" si="133"/>
        <v/>
      </c>
    </row>
    <row r="4234" spans="7:11" x14ac:dyDescent="0.2">
      <c r="G4234" s="44"/>
      <c r="J4234" t="str">
        <f t="shared" si="132"/>
        <v/>
      </c>
      <c r="K4234" t="str">
        <f t="shared" si="133"/>
        <v/>
      </c>
    </row>
    <row r="4235" spans="7:11" x14ac:dyDescent="0.2">
      <c r="G4235" s="44"/>
      <c r="J4235" t="str">
        <f t="shared" si="132"/>
        <v/>
      </c>
      <c r="K4235" t="str">
        <f t="shared" si="133"/>
        <v/>
      </c>
    </row>
    <row r="4236" spans="7:11" x14ac:dyDescent="0.2">
      <c r="G4236" s="44"/>
      <c r="J4236" t="str">
        <f t="shared" si="132"/>
        <v/>
      </c>
      <c r="K4236" t="str">
        <f t="shared" si="133"/>
        <v/>
      </c>
    </row>
    <row r="4237" spans="7:11" x14ac:dyDescent="0.2">
      <c r="G4237" s="44"/>
      <c r="J4237" t="str">
        <f t="shared" si="132"/>
        <v/>
      </c>
      <c r="K4237" t="str">
        <f t="shared" si="133"/>
        <v/>
      </c>
    </row>
    <row r="4238" spans="7:11" x14ac:dyDescent="0.2">
      <c r="G4238" s="44"/>
      <c r="J4238" t="str">
        <f t="shared" si="132"/>
        <v/>
      </c>
      <c r="K4238" t="str">
        <f t="shared" si="133"/>
        <v/>
      </c>
    </row>
    <row r="4239" spans="7:11" x14ac:dyDescent="0.2">
      <c r="G4239" s="44"/>
      <c r="J4239" t="str">
        <f t="shared" si="132"/>
        <v/>
      </c>
      <c r="K4239" t="str">
        <f t="shared" si="133"/>
        <v/>
      </c>
    </row>
    <row r="4240" spans="7:11" x14ac:dyDescent="0.2">
      <c r="G4240" s="44"/>
      <c r="J4240" t="str">
        <f t="shared" si="132"/>
        <v/>
      </c>
      <c r="K4240" t="str">
        <f t="shared" si="133"/>
        <v/>
      </c>
    </row>
    <row r="4241" spans="7:11" x14ac:dyDescent="0.2">
      <c r="G4241" s="44"/>
      <c r="J4241" t="str">
        <f t="shared" si="132"/>
        <v/>
      </c>
      <c r="K4241" t="str">
        <f t="shared" si="133"/>
        <v/>
      </c>
    </row>
    <row r="4242" spans="7:11" x14ac:dyDescent="0.2">
      <c r="G4242" s="44"/>
      <c r="J4242" t="str">
        <f t="shared" si="132"/>
        <v/>
      </c>
      <c r="K4242" t="str">
        <f t="shared" si="133"/>
        <v/>
      </c>
    </row>
    <row r="4243" spans="7:11" x14ac:dyDescent="0.2">
      <c r="G4243" s="44"/>
      <c r="J4243" t="str">
        <f t="shared" si="132"/>
        <v/>
      </c>
      <c r="K4243" t="str">
        <f t="shared" si="133"/>
        <v/>
      </c>
    </row>
    <row r="4244" spans="7:11" x14ac:dyDescent="0.2">
      <c r="G4244" s="44"/>
      <c r="J4244" t="str">
        <f t="shared" si="132"/>
        <v/>
      </c>
      <c r="K4244" t="str">
        <f t="shared" si="133"/>
        <v/>
      </c>
    </row>
    <row r="4245" spans="7:11" x14ac:dyDescent="0.2">
      <c r="G4245" s="44"/>
      <c r="J4245" t="str">
        <f t="shared" si="132"/>
        <v/>
      </c>
      <c r="K4245" t="str">
        <f t="shared" si="133"/>
        <v/>
      </c>
    </row>
    <row r="4246" spans="7:11" x14ac:dyDescent="0.2">
      <c r="G4246" s="44"/>
      <c r="J4246" t="str">
        <f t="shared" si="132"/>
        <v/>
      </c>
      <c r="K4246" t="str">
        <f t="shared" si="133"/>
        <v/>
      </c>
    </row>
    <row r="4247" spans="7:11" x14ac:dyDescent="0.2">
      <c r="G4247" s="44"/>
      <c r="J4247" t="str">
        <f t="shared" si="132"/>
        <v/>
      </c>
      <c r="K4247" t="str">
        <f t="shared" si="133"/>
        <v/>
      </c>
    </row>
    <row r="4248" spans="7:11" x14ac:dyDescent="0.2">
      <c r="G4248" s="44"/>
      <c r="J4248" t="str">
        <f t="shared" si="132"/>
        <v/>
      </c>
      <c r="K4248" t="str">
        <f t="shared" si="133"/>
        <v/>
      </c>
    </row>
    <row r="4249" spans="7:11" x14ac:dyDescent="0.2">
      <c r="G4249" s="44"/>
      <c r="J4249" t="str">
        <f t="shared" si="132"/>
        <v/>
      </c>
      <c r="K4249" t="str">
        <f t="shared" si="133"/>
        <v/>
      </c>
    </row>
    <row r="4250" spans="7:11" x14ac:dyDescent="0.2">
      <c r="G4250" s="44"/>
      <c r="J4250" t="str">
        <f t="shared" si="132"/>
        <v/>
      </c>
      <c r="K4250" t="str">
        <f t="shared" si="133"/>
        <v/>
      </c>
    </row>
    <row r="4251" spans="7:11" x14ac:dyDescent="0.2">
      <c r="G4251" s="44"/>
      <c r="J4251" t="str">
        <f t="shared" si="132"/>
        <v/>
      </c>
      <c r="K4251" t="str">
        <f t="shared" si="133"/>
        <v/>
      </c>
    </row>
    <row r="4252" spans="7:11" x14ac:dyDescent="0.2">
      <c r="G4252" s="44"/>
      <c r="J4252" t="str">
        <f t="shared" si="132"/>
        <v/>
      </c>
      <c r="K4252" t="str">
        <f t="shared" si="133"/>
        <v/>
      </c>
    </row>
    <row r="4253" spans="7:11" x14ac:dyDescent="0.2">
      <c r="G4253" s="44"/>
      <c r="J4253" t="str">
        <f t="shared" si="132"/>
        <v/>
      </c>
      <c r="K4253" t="str">
        <f t="shared" si="133"/>
        <v/>
      </c>
    </row>
    <row r="4254" spans="7:11" x14ac:dyDescent="0.2">
      <c r="G4254" s="44"/>
      <c r="J4254" t="str">
        <f t="shared" si="132"/>
        <v/>
      </c>
      <c r="K4254" t="str">
        <f t="shared" si="133"/>
        <v/>
      </c>
    </row>
    <row r="4255" spans="7:11" x14ac:dyDescent="0.2">
      <c r="G4255" s="44"/>
      <c r="J4255" t="str">
        <f t="shared" si="132"/>
        <v/>
      </c>
      <c r="K4255" t="str">
        <f t="shared" si="133"/>
        <v/>
      </c>
    </row>
    <row r="4256" spans="7:11" x14ac:dyDescent="0.2">
      <c r="G4256" s="44"/>
      <c r="J4256" t="str">
        <f t="shared" si="132"/>
        <v/>
      </c>
      <c r="K4256" t="str">
        <f t="shared" si="133"/>
        <v/>
      </c>
    </row>
    <row r="4257" spans="7:11" x14ac:dyDescent="0.2">
      <c r="G4257" s="44"/>
      <c r="J4257" t="str">
        <f t="shared" si="132"/>
        <v/>
      </c>
      <c r="K4257" t="str">
        <f t="shared" si="133"/>
        <v/>
      </c>
    </row>
    <row r="4258" spans="7:11" x14ac:dyDescent="0.2">
      <c r="G4258" s="44"/>
      <c r="J4258" t="str">
        <f t="shared" si="132"/>
        <v/>
      </c>
      <c r="K4258" t="str">
        <f t="shared" si="133"/>
        <v/>
      </c>
    </row>
    <row r="4259" spans="7:11" x14ac:dyDescent="0.2">
      <c r="G4259" s="44"/>
      <c r="J4259" t="str">
        <f t="shared" si="132"/>
        <v/>
      </c>
      <c r="K4259" t="str">
        <f t="shared" si="133"/>
        <v/>
      </c>
    </row>
    <row r="4260" spans="7:11" x14ac:dyDescent="0.2">
      <c r="G4260" s="44"/>
      <c r="J4260" t="str">
        <f t="shared" si="132"/>
        <v/>
      </c>
      <c r="K4260" t="str">
        <f t="shared" si="133"/>
        <v/>
      </c>
    </row>
    <row r="4261" spans="7:11" x14ac:dyDescent="0.2">
      <c r="G4261" s="44"/>
      <c r="J4261" t="str">
        <f t="shared" si="132"/>
        <v/>
      </c>
      <c r="K4261" t="str">
        <f t="shared" si="133"/>
        <v/>
      </c>
    </row>
    <row r="4262" spans="7:11" x14ac:dyDescent="0.2">
      <c r="G4262" s="44"/>
      <c r="J4262" t="str">
        <f t="shared" si="132"/>
        <v/>
      </c>
      <c r="K4262" t="str">
        <f t="shared" si="133"/>
        <v/>
      </c>
    </row>
    <row r="4263" spans="7:11" x14ac:dyDescent="0.2">
      <c r="G4263" s="44"/>
      <c r="J4263" t="str">
        <f t="shared" si="132"/>
        <v/>
      </c>
      <c r="K4263" t="str">
        <f t="shared" si="133"/>
        <v/>
      </c>
    </row>
    <row r="4264" spans="7:11" x14ac:dyDescent="0.2">
      <c r="G4264" s="44"/>
      <c r="J4264" t="str">
        <f t="shared" si="132"/>
        <v/>
      </c>
      <c r="K4264" t="str">
        <f t="shared" si="133"/>
        <v/>
      </c>
    </row>
    <row r="4265" spans="7:11" x14ac:dyDescent="0.2">
      <c r="G4265" s="44"/>
      <c r="J4265" t="str">
        <f t="shared" si="132"/>
        <v/>
      </c>
      <c r="K4265" t="str">
        <f t="shared" si="133"/>
        <v/>
      </c>
    </row>
    <row r="4266" spans="7:11" x14ac:dyDescent="0.2">
      <c r="G4266" s="44"/>
      <c r="J4266" t="str">
        <f t="shared" si="132"/>
        <v/>
      </c>
      <c r="K4266" t="str">
        <f t="shared" si="133"/>
        <v/>
      </c>
    </row>
    <row r="4267" spans="7:11" x14ac:dyDescent="0.2">
      <c r="G4267" s="44"/>
      <c r="J4267" t="str">
        <f t="shared" si="132"/>
        <v/>
      </c>
      <c r="K4267" t="str">
        <f t="shared" si="133"/>
        <v/>
      </c>
    </row>
    <row r="4268" spans="7:11" x14ac:dyDescent="0.2">
      <c r="G4268" s="44"/>
      <c r="J4268" t="str">
        <f t="shared" si="132"/>
        <v/>
      </c>
      <c r="K4268" t="str">
        <f t="shared" si="133"/>
        <v/>
      </c>
    </row>
    <row r="4269" spans="7:11" x14ac:dyDescent="0.2">
      <c r="G4269" s="44"/>
      <c r="J4269" t="str">
        <f t="shared" si="132"/>
        <v/>
      </c>
      <c r="K4269" t="str">
        <f t="shared" si="133"/>
        <v/>
      </c>
    </row>
    <row r="4270" spans="7:11" x14ac:dyDescent="0.2">
      <c r="G4270" s="44"/>
      <c r="J4270" t="str">
        <f t="shared" si="132"/>
        <v/>
      </c>
      <c r="K4270" t="str">
        <f t="shared" si="133"/>
        <v/>
      </c>
    </row>
    <row r="4271" spans="7:11" x14ac:dyDescent="0.2">
      <c r="G4271" s="44"/>
      <c r="J4271" t="str">
        <f t="shared" si="132"/>
        <v/>
      </c>
      <c r="K4271" t="str">
        <f t="shared" si="133"/>
        <v/>
      </c>
    </row>
    <row r="4272" spans="7:11" x14ac:dyDescent="0.2">
      <c r="G4272" s="44"/>
      <c r="J4272" t="str">
        <f t="shared" si="132"/>
        <v/>
      </c>
      <c r="K4272" t="str">
        <f t="shared" si="133"/>
        <v/>
      </c>
    </row>
    <row r="4273" spans="7:11" x14ac:dyDescent="0.2">
      <c r="G4273" s="44"/>
      <c r="J4273" t="str">
        <f t="shared" si="132"/>
        <v/>
      </c>
      <c r="K4273" t="str">
        <f t="shared" si="133"/>
        <v/>
      </c>
    </row>
    <row r="4274" spans="7:11" x14ac:dyDescent="0.2">
      <c r="G4274" s="44"/>
      <c r="J4274" t="str">
        <f t="shared" si="132"/>
        <v/>
      </c>
      <c r="K4274" t="str">
        <f t="shared" si="133"/>
        <v/>
      </c>
    </row>
    <row r="4275" spans="7:11" x14ac:dyDescent="0.2">
      <c r="G4275" s="44"/>
      <c r="J4275" t="str">
        <f t="shared" si="132"/>
        <v/>
      </c>
      <c r="K4275" t="str">
        <f t="shared" si="133"/>
        <v/>
      </c>
    </row>
    <row r="4276" spans="7:11" x14ac:dyDescent="0.2">
      <c r="G4276" s="44"/>
      <c r="J4276" t="str">
        <f t="shared" si="132"/>
        <v/>
      </c>
      <c r="K4276" t="str">
        <f t="shared" si="133"/>
        <v/>
      </c>
    </row>
    <row r="4277" spans="7:11" x14ac:dyDescent="0.2">
      <c r="G4277" s="44"/>
      <c r="J4277" t="str">
        <f t="shared" si="132"/>
        <v/>
      </c>
      <c r="K4277" t="str">
        <f t="shared" si="133"/>
        <v/>
      </c>
    </row>
    <row r="4278" spans="7:11" x14ac:dyDescent="0.2">
      <c r="G4278" s="44"/>
      <c r="J4278" t="str">
        <f t="shared" si="132"/>
        <v/>
      </c>
      <c r="K4278" t="str">
        <f t="shared" si="133"/>
        <v/>
      </c>
    </row>
    <row r="4279" spans="7:11" x14ac:dyDescent="0.2">
      <c r="G4279" s="44"/>
      <c r="J4279" t="str">
        <f t="shared" si="132"/>
        <v/>
      </c>
      <c r="K4279" t="str">
        <f t="shared" si="133"/>
        <v/>
      </c>
    </row>
    <row r="4280" spans="7:11" x14ac:dyDescent="0.2">
      <c r="G4280" s="44"/>
      <c r="J4280" t="str">
        <f t="shared" si="132"/>
        <v/>
      </c>
      <c r="K4280" t="str">
        <f t="shared" si="133"/>
        <v/>
      </c>
    </row>
    <row r="4281" spans="7:11" x14ac:dyDescent="0.2">
      <c r="G4281" s="44"/>
      <c r="J4281" t="str">
        <f t="shared" si="132"/>
        <v/>
      </c>
      <c r="K4281" t="str">
        <f t="shared" si="133"/>
        <v/>
      </c>
    </row>
    <row r="4282" spans="7:11" x14ac:dyDescent="0.2">
      <c r="G4282" s="44"/>
      <c r="J4282" t="str">
        <f t="shared" si="132"/>
        <v/>
      </c>
      <c r="K4282" t="str">
        <f t="shared" si="133"/>
        <v/>
      </c>
    </row>
    <row r="4283" spans="7:11" x14ac:dyDescent="0.2">
      <c r="G4283" s="44"/>
      <c r="J4283" t="str">
        <f t="shared" si="132"/>
        <v/>
      </c>
      <c r="K4283" t="str">
        <f t="shared" si="133"/>
        <v/>
      </c>
    </row>
    <row r="4284" spans="7:11" x14ac:dyDescent="0.2">
      <c r="G4284" s="44"/>
      <c r="J4284" t="str">
        <f t="shared" si="132"/>
        <v/>
      </c>
      <c r="K4284" t="str">
        <f t="shared" si="133"/>
        <v/>
      </c>
    </row>
    <row r="4285" spans="7:11" x14ac:dyDescent="0.2">
      <c r="G4285" s="44"/>
      <c r="J4285" t="str">
        <f t="shared" si="132"/>
        <v/>
      </c>
      <c r="K4285" t="str">
        <f t="shared" si="133"/>
        <v/>
      </c>
    </row>
    <row r="4286" spans="7:11" x14ac:dyDescent="0.2">
      <c r="G4286" s="44"/>
      <c r="J4286" t="str">
        <f t="shared" si="132"/>
        <v/>
      </c>
      <c r="K4286" t="str">
        <f t="shared" si="133"/>
        <v/>
      </c>
    </row>
    <row r="4287" spans="7:11" x14ac:dyDescent="0.2">
      <c r="G4287" s="44"/>
      <c r="J4287" t="str">
        <f t="shared" si="132"/>
        <v/>
      </c>
      <c r="K4287" t="str">
        <f t="shared" si="133"/>
        <v/>
      </c>
    </row>
    <row r="4288" spans="7:11" x14ac:dyDescent="0.2">
      <c r="G4288" s="44"/>
      <c r="J4288" t="str">
        <f t="shared" si="132"/>
        <v/>
      </c>
      <c r="K4288" t="str">
        <f t="shared" si="133"/>
        <v/>
      </c>
    </row>
    <row r="4289" spans="7:11" x14ac:dyDescent="0.2">
      <c r="G4289" s="44"/>
      <c r="J4289" t="str">
        <f t="shared" si="132"/>
        <v/>
      </c>
      <c r="K4289" t="str">
        <f t="shared" si="133"/>
        <v/>
      </c>
    </row>
    <row r="4290" spans="7:11" x14ac:dyDescent="0.2">
      <c r="G4290" s="44"/>
      <c r="J4290" t="str">
        <f t="shared" ref="J4290:J4353" si="134">IF(E4290="","",IF(OR(E4290=50,E4290=51),"Iltindhold",IF(E4290=75,"Carbon,org,NVOC",IF(OR(E4290=343,E4290=1167),"Svovlbrinte",IF(OR(E4290=240,E4290=241,E4290=242),"Amm",IF(E4290=244,"Nitrit",IF(E4290=247,"Nitrat",IF(E4290=334,"Sulfat",IF(E4290=262,"Phosphor, total-P",F4290)))))))))</f>
        <v/>
      </c>
      <c r="K4290" t="str">
        <f t="shared" ref="K4290:K4353" si="135">IF(A4290="","",IF(H4290="!",NA(),IF(H4290="A",I4290*0.5,IF(H4290="&lt;",I4290*0.5,I4290))))</f>
        <v/>
      </c>
    </row>
    <row r="4291" spans="7:11" x14ac:dyDescent="0.2">
      <c r="G4291" s="44"/>
      <c r="J4291" t="str">
        <f t="shared" si="134"/>
        <v/>
      </c>
      <c r="K4291" t="str">
        <f t="shared" si="135"/>
        <v/>
      </c>
    </row>
    <row r="4292" spans="7:11" x14ac:dyDescent="0.2">
      <c r="G4292" s="44"/>
      <c r="J4292" t="str">
        <f t="shared" si="134"/>
        <v/>
      </c>
      <c r="K4292" t="str">
        <f t="shared" si="135"/>
        <v/>
      </c>
    </row>
    <row r="4293" spans="7:11" x14ac:dyDescent="0.2">
      <c r="G4293" s="44"/>
      <c r="J4293" t="str">
        <f t="shared" si="134"/>
        <v/>
      </c>
      <c r="K4293" t="str">
        <f t="shared" si="135"/>
        <v/>
      </c>
    </row>
    <row r="4294" spans="7:11" x14ac:dyDescent="0.2">
      <c r="G4294" s="44"/>
      <c r="J4294" t="str">
        <f t="shared" si="134"/>
        <v/>
      </c>
      <c r="K4294" t="str">
        <f t="shared" si="135"/>
        <v/>
      </c>
    </row>
    <row r="4295" spans="7:11" x14ac:dyDescent="0.2">
      <c r="G4295" s="44"/>
      <c r="J4295" t="str">
        <f t="shared" si="134"/>
        <v/>
      </c>
      <c r="K4295" t="str">
        <f t="shared" si="135"/>
        <v/>
      </c>
    </row>
    <row r="4296" spans="7:11" x14ac:dyDescent="0.2">
      <c r="G4296" s="44"/>
      <c r="J4296" t="str">
        <f t="shared" si="134"/>
        <v/>
      </c>
      <c r="K4296" t="str">
        <f t="shared" si="135"/>
        <v/>
      </c>
    </row>
    <row r="4297" spans="7:11" x14ac:dyDescent="0.2">
      <c r="G4297" s="44"/>
      <c r="J4297" t="str">
        <f t="shared" si="134"/>
        <v/>
      </c>
      <c r="K4297" t="str">
        <f t="shared" si="135"/>
        <v/>
      </c>
    </row>
    <row r="4298" spans="7:11" x14ac:dyDescent="0.2">
      <c r="G4298" s="44"/>
      <c r="J4298" t="str">
        <f t="shared" si="134"/>
        <v/>
      </c>
      <c r="K4298" t="str">
        <f t="shared" si="135"/>
        <v/>
      </c>
    </row>
    <row r="4299" spans="7:11" x14ac:dyDescent="0.2">
      <c r="G4299" s="44"/>
      <c r="J4299" t="str">
        <f t="shared" si="134"/>
        <v/>
      </c>
      <c r="K4299" t="str">
        <f t="shared" si="135"/>
        <v/>
      </c>
    </row>
    <row r="4300" spans="7:11" x14ac:dyDescent="0.2">
      <c r="G4300" s="44"/>
      <c r="J4300" t="str">
        <f t="shared" si="134"/>
        <v/>
      </c>
      <c r="K4300" t="str">
        <f t="shared" si="135"/>
        <v/>
      </c>
    </row>
    <row r="4301" spans="7:11" x14ac:dyDescent="0.2">
      <c r="G4301" s="44"/>
      <c r="J4301" t="str">
        <f t="shared" si="134"/>
        <v/>
      </c>
      <c r="K4301" t="str">
        <f t="shared" si="135"/>
        <v/>
      </c>
    </row>
    <row r="4302" spans="7:11" x14ac:dyDescent="0.2">
      <c r="G4302" s="44"/>
      <c r="J4302" t="str">
        <f t="shared" si="134"/>
        <v/>
      </c>
      <c r="K4302" t="str">
        <f t="shared" si="135"/>
        <v/>
      </c>
    </row>
    <row r="4303" spans="7:11" x14ac:dyDescent="0.2">
      <c r="G4303" s="44"/>
      <c r="J4303" t="str">
        <f t="shared" si="134"/>
        <v/>
      </c>
      <c r="K4303" t="str">
        <f t="shared" si="135"/>
        <v/>
      </c>
    </row>
    <row r="4304" spans="7:11" x14ac:dyDescent="0.2">
      <c r="G4304" s="44"/>
      <c r="J4304" t="str">
        <f t="shared" si="134"/>
        <v/>
      </c>
      <c r="K4304" t="str">
        <f t="shared" si="135"/>
        <v/>
      </c>
    </row>
    <row r="4305" spans="7:11" x14ac:dyDescent="0.2">
      <c r="G4305" s="44"/>
      <c r="J4305" t="str">
        <f t="shared" si="134"/>
        <v/>
      </c>
      <c r="K4305" t="str">
        <f t="shared" si="135"/>
        <v/>
      </c>
    </row>
    <row r="4306" spans="7:11" x14ac:dyDescent="0.2">
      <c r="G4306" s="44"/>
      <c r="J4306" t="str">
        <f t="shared" si="134"/>
        <v/>
      </c>
      <c r="K4306" t="str">
        <f t="shared" si="135"/>
        <v/>
      </c>
    </row>
    <row r="4307" spans="7:11" x14ac:dyDescent="0.2">
      <c r="G4307" s="44"/>
      <c r="J4307" t="str">
        <f t="shared" si="134"/>
        <v/>
      </c>
      <c r="K4307" t="str">
        <f t="shared" si="135"/>
        <v/>
      </c>
    </row>
    <row r="4308" spans="7:11" x14ac:dyDescent="0.2">
      <c r="G4308" s="44"/>
      <c r="J4308" t="str">
        <f t="shared" si="134"/>
        <v/>
      </c>
      <c r="K4308" t="str">
        <f t="shared" si="135"/>
        <v/>
      </c>
    </row>
    <row r="4309" spans="7:11" x14ac:dyDescent="0.2">
      <c r="G4309" s="44"/>
      <c r="J4309" t="str">
        <f t="shared" si="134"/>
        <v/>
      </c>
      <c r="K4309" t="str">
        <f t="shared" si="135"/>
        <v/>
      </c>
    </row>
    <row r="4310" spans="7:11" x14ac:dyDescent="0.2">
      <c r="G4310" s="44"/>
      <c r="J4310" t="str">
        <f t="shared" si="134"/>
        <v/>
      </c>
      <c r="K4310" t="str">
        <f t="shared" si="135"/>
        <v/>
      </c>
    </row>
    <row r="4311" spans="7:11" x14ac:dyDescent="0.2">
      <c r="G4311" s="44"/>
      <c r="J4311" t="str">
        <f t="shared" si="134"/>
        <v/>
      </c>
      <c r="K4311" t="str">
        <f t="shared" si="135"/>
        <v/>
      </c>
    </row>
    <row r="4312" spans="7:11" x14ac:dyDescent="0.2">
      <c r="G4312" s="44"/>
      <c r="J4312" t="str">
        <f t="shared" si="134"/>
        <v/>
      </c>
      <c r="K4312" t="str">
        <f t="shared" si="135"/>
        <v/>
      </c>
    </row>
    <row r="4313" spans="7:11" x14ac:dyDescent="0.2">
      <c r="G4313" s="44"/>
      <c r="J4313" t="str">
        <f t="shared" si="134"/>
        <v/>
      </c>
      <c r="K4313" t="str">
        <f t="shared" si="135"/>
        <v/>
      </c>
    </row>
    <row r="4314" spans="7:11" x14ac:dyDescent="0.2">
      <c r="G4314" s="44"/>
      <c r="J4314" t="str">
        <f t="shared" si="134"/>
        <v/>
      </c>
      <c r="K4314" t="str">
        <f t="shared" si="135"/>
        <v/>
      </c>
    </row>
    <row r="4315" spans="7:11" x14ac:dyDescent="0.2">
      <c r="G4315" s="44"/>
      <c r="J4315" t="str">
        <f t="shared" si="134"/>
        <v/>
      </c>
      <c r="K4315" t="str">
        <f t="shared" si="135"/>
        <v/>
      </c>
    </row>
    <row r="4316" spans="7:11" x14ac:dyDescent="0.2">
      <c r="G4316" s="44"/>
      <c r="J4316" t="str">
        <f t="shared" si="134"/>
        <v/>
      </c>
      <c r="K4316" t="str">
        <f t="shared" si="135"/>
        <v/>
      </c>
    </row>
    <row r="4317" spans="7:11" x14ac:dyDescent="0.2">
      <c r="G4317" s="44"/>
      <c r="J4317" t="str">
        <f t="shared" si="134"/>
        <v/>
      </c>
      <c r="K4317" t="str">
        <f t="shared" si="135"/>
        <v/>
      </c>
    </row>
    <row r="4318" spans="7:11" x14ac:dyDescent="0.2">
      <c r="G4318" s="44"/>
      <c r="J4318" t="str">
        <f t="shared" si="134"/>
        <v/>
      </c>
      <c r="K4318" t="str">
        <f t="shared" si="135"/>
        <v/>
      </c>
    </row>
    <row r="4319" spans="7:11" x14ac:dyDescent="0.2">
      <c r="G4319" s="44"/>
      <c r="J4319" t="str">
        <f t="shared" si="134"/>
        <v/>
      </c>
      <c r="K4319" t="str">
        <f t="shared" si="135"/>
        <v/>
      </c>
    </row>
    <row r="4320" spans="7:11" x14ac:dyDescent="0.2">
      <c r="G4320" s="44"/>
      <c r="J4320" t="str">
        <f t="shared" si="134"/>
        <v/>
      </c>
      <c r="K4320" t="str">
        <f t="shared" si="135"/>
        <v/>
      </c>
    </row>
    <row r="4321" spans="7:11" x14ac:dyDescent="0.2">
      <c r="G4321" s="44"/>
      <c r="J4321" t="str">
        <f t="shared" si="134"/>
        <v/>
      </c>
      <c r="K4321" t="str">
        <f t="shared" si="135"/>
        <v/>
      </c>
    </row>
    <row r="4322" spans="7:11" x14ac:dyDescent="0.2">
      <c r="G4322" s="44"/>
      <c r="J4322" t="str">
        <f t="shared" si="134"/>
        <v/>
      </c>
      <c r="K4322" t="str">
        <f t="shared" si="135"/>
        <v/>
      </c>
    </row>
    <row r="4323" spans="7:11" x14ac:dyDescent="0.2">
      <c r="G4323" s="44"/>
      <c r="J4323" t="str">
        <f t="shared" si="134"/>
        <v/>
      </c>
      <c r="K4323" t="str">
        <f t="shared" si="135"/>
        <v/>
      </c>
    </row>
    <row r="4324" spans="7:11" x14ac:dyDescent="0.2">
      <c r="G4324" s="44"/>
      <c r="J4324" t="str">
        <f t="shared" si="134"/>
        <v/>
      </c>
      <c r="K4324" t="str">
        <f t="shared" si="135"/>
        <v/>
      </c>
    </row>
    <row r="4325" spans="7:11" x14ac:dyDescent="0.2">
      <c r="G4325" s="44"/>
      <c r="J4325" t="str">
        <f t="shared" si="134"/>
        <v/>
      </c>
      <c r="K4325" t="str">
        <f t="shared" si="135"/>
        <v/>
      </c>
    </row>
    <row r="4326" spans="7:11" x14ac:dyDescent="0.2">
      <c r="G4326" s="44"/>
      <c r="J4326" t="str">
        <f t="shared" si="134"/>
        <v/>
      </c>
      <c r="K4326" t="str">
        <f t="shared" si="135"/>
        <v/>
      </c>
    </row>
    <row r="4327" spans="7:11" x14ac:dyDescent="0.2">
      <c r="G4327" s="44"/>
      <c r="J4327" t="str">
        <f t="shared" si="134"/>
        <v/>
      </c>
      <c r="K4327" t="str">
        <f t="shared" si="135"/>
        <v/>
      </c>
    </row>
    <row r="4328" spans="7:11" x14ac:dyDescent="0.2">
      <c r="G4328" s="44"/>
      <c r="J4328" t="str">
        <f t="shared" si="134"/>
        <v/>
      </c>
      <c r="K4328" t="str">
        <f t="shared" si="135"/>
        <v/>
      </c>
    </row>
    <row r="4329" spans="7:11" x14ac:dyDescent="0.2">
      <c r="G4329" s="44"/>
      <c r="J4329" t="str">
        <f t="shared" si="134"/>
        <v/>
      </c>
      <c r="K4329" t="str">
        <f t="shared" si="135"/>
        <v/>
      </c>
    </row>
    <row r="4330" spans="7:11" x14ac:dyDescent="0.2">
      <c r="G4330" s="44"/>
      <c r="J4330" t="str">
        <f t="shared" si="134"/>
        <v/>
      </c>
      <c r="K4330" t="str">
        <f t="shared" si="135"/>
        <v/>
      </c>
    </row>
    <row r="4331" spans="7:11" x14ac:dyDescent="0.2">
      <c r="G4331" s="44"/>
      <c r="J4331" t="str">
        <f t="shared" si="134"/>
        <v/>
      </c>
      <c r="K4331" t="str">
        <f t="shared" si="135"/>
        <v/>
      </c>
    </row>
    <row r="4332" spans="7:11" x14ac:dyDescent="0.2">
      <c r="G4332" s="44"/>
      <c r="J4332" t="str">
        <f t="shared" si="134"/>
        <v/>
      </c>
      <c r="K4332" t="str">
        <f t="shared" si="135"/>
        <v/>
      </c>
    </row>
    <row r="4333" spans="7:11" x14ac:dyDescent="0.2">
      <c r="G4333" s="44"/>
      <c r="J4333" t="str">
        <f t="shared" si="134"/>
        <v/>
      </c>
      <c r="K4333" t="str">
        <f t="shared" si="135"/>
        <v/>
      </c>
    </row>
    <row r="4334" spans="7:11" x14ac:dyDescent="0.2">
      <c r="G4334" s="44"/>
      <c r="J4334" t="str">
        <f t="shared" si="134"/>
        <v/>
      </c>
      <c r="K4334" t="str">
        <f t="shared" si="135"/>
        <v/>
      </c>
    </row>
    <row r="4335" spans="7:11" x14ac:dyDescent="0.2">
      <c r="G4335" s="44"/>
      <c r="J4335" t="str">
        <f t="shared" si="134"/>
        <v/>
      </c>
      <c r="K4335" t="str">
        <f t="shared" si="135"/>
        <v/>
      </c>
    </row>
    <row r="4336" spans="7:11" x14ac:dyDescent="0.2">
      <c r="G4336" s="44"/>
      <c r="J4336" t="str">
        <f t="shared" si="134"/>
        <v/>
      </c>
      <c r="K4336" t="str">
        <f t="shared" si="135"/>
        <v/>
      </c>
    </row>
    <row r="4337" spans="7:11" x14ac:dyDescent="0.2">
      <c r="G4337" s="44"/>
      <c r="J4337" t="str">
        <f t="shared" si="134"/>
        <v/>
      </c>
      <c r="K4337" t="str">
        <f t="shared" si="135"/>
        <v/>
      </c>
    </row>
    <row r="4338" spans="7:11" x14ac:dyDescent="0.2">
      <c r="G4338" s="44"/>
      <c r="J4338" t="str">
        <f t="shared" si="134"/>
        <v/>
      </c>
      <c r="K4338" t="str">
        <f t="shared" si="135"/>
        <v/>
      </c>
    </row>
    <row r="4339" spans="7:11" x14ac:dyDescent="0.2">
      <c r="G4339" s="44"/>
      <c r="J4339" t="str">
        <f t="shared" si="134"/>
        <v/>
      </c>
      <c r="K4339" t="str">
        <f t="shared" si="135"/>
        <v/>
      </c>
    </row>
    <row r="4340" spans="7:11" x14ac:dyDescent="0.2">
      <c r="G4340" s="44"/>
      <c r="J4340" t="str">
        <f t="shared" si="134"/>
        <v/>
      </c>
      <c r="K4340" t="str">
        <f t="shared" si="135"/>
        <v/>
      </c>
    </row>
    <row r="4341" spans="7:11" x14ac:dyDescent="0.2">
      <c r="G4341" s="44"/>
      <c r="J4341" t="str">
        <f t="shared" si="134"/>
        <v/>
      </c>
      <c r="K4341" t="str">
        <f t="shared" si="135"/>
        <v/>
      </c>
    </row>
    <row r="4342" spans="7:11" x14ac:dyDescent="0.2">
      <c r="G4342" s="44"/>
      <c r="J4342" t="str">
        <f t="shared" si="134"/>
        <v/>
      </c>
      <c r="K4342" t="str">
        <f t="shared" si="135"/>
        <v/>
      </c>
    </row>
    <row r="4343" spans="7:11" x14ac:dyDescent="0.2">
      <c r="G4343" s="44"/>
      <c r="J4343" t="str">
        <f t="shared" si="134"/>
        <v/>
      </c>
      <c r="K4343" t="str">
        <f t="shared" si="135"/>
        <v/>
      </c>
    </row>
    <row r="4344" spans="7:11" x14ac:dyDescent="0.2">
      <c r="G4344" s="44"/>
      <c r="J4344" t="str">
        <f t="shared" si="134"/>
        <v/>
      </c>
      <c r="K4344" t="str">
        <f t="shared" si="135"/>
        <v/>
      </c>
    </row>
    <row r="4345" spans="7:11" x14ac:dyDescent="0.2">
      <c r="G4345" s="44"/>
      <c r="J4345" t="str">
        <f t="shared" si="134"/>
        <v/>
      </c>
      <c r="K4345" t="str">
        <f t="shared" si="135"/>
        <v/>
      </c>
    </row>
    <row r="4346" spans="7:11" x14ac:dyDescent="0.2">
      <c r="G4346" s="44"/>
      <c r="J4346" t="str">
        <f t="shared" si="134"/>
        <v/>
      </c>
      <c r="K4346" t="str">
        <f t="shared" si="135"/>
        <v/>
      </c>
    </row>
    <row r="4347" spans="7:11" x14ac:dyDescent="0.2">
      <c r="G4347" s="44"/>
      <c r="J4347" t="str">
        <f t="shared" si="134"/>
        <v/>
      </c>
      <c r="K4347" t="str">
        <f t="shared" si="135"/>
        <v/>
      </c>
    </row>
    <row r="4348" spans="7:11" x14ac:dyDescent="0.2">
      <c r="G4348" s="44"/>
      <c r="J4348" t="str">
        <f t="shared" si="134"/>
        <v/>
      </c>
      <c r="K4348" t="str">
        <f t="shared" si="135"/>
        <v/>
      </c>
    </row>
    <row r="4349" spans="7:11" x14ac:dyDescent="0.2">
      <c r="G4349" s="44"/>
      <c r="J4349" t="str">
        <f t="shared" si="134"/>
        <v/>
      </c>
      <c r="K4349" t="str">
        <f t="shared" si="135"/>
        <v/>
      </c>
    </row>
    <row r="4350" spans="7:11" x14ac:dyDescent="0.2">
      <c r="G4350" s="44"/>
      <c r="J4350" t="str">
        <f t="shared" si="134"/>
        <v/>
      </c>
      <c r="K4350" t="str">
        <f t="shared" si="135"/>
        <v/>
      </c>
    </row>
    <row r="4351" spans="7:11" x14ac:dyDescent="0.2">
      <c r="G4351" s="44"/>
      <c r="J4351" t="str">
        <f t="shared" si="134"/>
        <v/>
      </c>
      <c r="K4351" t="str">
        <f t="shared" si="135"/>
        <v/>
      </c>
    </row>
    <row r="4352" spans="7:11" x14ac:dyDescent="0.2">
      <c r="G4352" s="44"/>
      <c r="J4352" t="str">
        <f t="shared" si="134"/>
        <v/>
      </c>
      <c r="K4352" t="str">
        <f t="shared" si="135"/>
        <v/>
      </c>
    </row>
    <row r="4353" spans="7:11" x14ac:dyDescent="0.2">
      <c r="G4353" s="44"/>
      <c r="J4353" t="str">
        <f t="shared" si="134"/>
        <v/>
      </c>
      <c r="K4353" t="str">
        <f t="shared" si="135"/>
        <v/>
      </c>
    </row>
    <row r="4354" spans="7:11" x14ac:dyDescent="0.2">
      <c r="G4354" s="44"/>
      <c r="J4354" t="str">
        <f t="shared" ref="J4354:J4417" si="136">IF(E4354="","",IF(OR(E4354=50,E4354=51),"Iltindhold",IF(E4354=75,"Carbon,org,NVOC",IF(OR(E4354=343,E4354=1167),"Svovlbrinte",IF(OR(E4354=240,E4354=241,E4354=242),"Amm",IF(E4354=244,"Nitrit",IF(E4354=247,"Nitrat",IF(E4354=334,"Sulfat",IF(E4354=262,"Phosphor, total-P",F4354)))))))))</f>
        <v/>
      </c>
      <c r="K4354" t="str">
        <f t="shared" ref="K4354:K4417" si="137">IF(A4354="","",IF(H4354="!",NA(),IF(H4354="A",I4354*0.5,IF(H4354="&lt;",I4354*0.5,I4354))))</f>
        <v/>
      </c>
    </row>
    <row r="4355" spans="7:11" x14ac:dyDescent="0.2">
      <c r="G4355" s="44"/>
      <c r="J4355" t="str">
        <f t="shared" si="136"/>
        <v/>
      </c>
      <c r="K4355" t="str">
        <f t="shared" si="137"/>
        <v/>
      </c>
    </row>
    <row r="4356" spans="7:11" x14ac:dyDescent="0.2">
      <c r="G4356" s="44"/>
      <c r="J4356" t="str">
        <f t="shared" si="136"/>
        <v/>
      </c>
      <c r="K4356" t="str">
        <f t="shared" si="137"/>
        <v/>
      </c>
    </row>
    <row r="4357" spans="7:11" x14ac:dyDescent="0.2">
      <c r="G4357" s="44"/>
      <c r="J4357" t="str">
        <f t="shared" si="136"/>
        <v/>
      </c>
      <c r="K4357" t="str">
        <f t="shared" si="137"/>
        <v/>
      </c>
    </row>
    <row r="4358" spans="7:11" x14ac:dyDescent="0.2">
      <c r="G4358" s="44"/>
      <c r="J4358" t="str">
        <f t="shared" si="136"/>
        <v/>
      </c>
      <c r="K4358" t="str">
        <f t="shared" si="137"/>
        <v/>
      </c>
    </row>
    <row r="4359" spans="7:11" x14ac:dyDescent="0.2">
      <c r="G4359" s="44"/>
      <c r="J4359" t="str">
        <f t="shared" si="136"/>
        <v/>
      </c>
      <c r="K4359" t="str">
        <f t="shared" si="137"/>
        <v/>
      </c>
    </row>
    <row r="4360" spans="7:11" x14ac:dyDescent="0.2">
      <c r="G4360" s="44"/>
      <c r="J4360" t="str">
        <f t="shared" si="136"/>
        <v/>
      </c>
      <c r="K4360" t="str">
        <f t="shared" si="137"/>
        <v/>
      </c>
    </row>
    <row r="4361" spans="7:11" x14ac:dyDescent="0.2">
      <c r="G4361" s="44"/>
      <c r="J4361" t="str">
        <f t="shared" si="136"/>
        <v/>
      </c>
      <c r="K4361" t="str">
        <f t="shared" si="137"/>
        <v/>
      </c>
    </row>
    <row r="4362" spans="7:11" x14ac:dyDescent="0.2">
      <c r="G4362" s="44"/>
      <c r="J4362" t="str">
        <f t="shared" si="136"/>
        <v/>
      </c>
      <c r="K4362" t="str">
        <f t="shared" si="137"/>
        <v/>
      </c>
    </row>
    <row r="4363" spans="7:11" x14ac:dyDescent="0.2">
      <c r="G4363" s="44"/>
      <c r="J4363" t="str">
        <f t="shared" si="136"/>
        <v/>
      </c>
      <c r="K4363" t="str">
        <f t="shared" si="137"/>
        <v/>
      </c>
    </row>
    <row r="4364" spans="7:11" x14ac:dyDescent="0.2">
      <c r="G4364" s="44"/>
      <c r="J4364" t="str">
        <f t="shared" si="136"/>
        <v/>
      </c>
      <c r="K4364" t="str">
        <f t="shared" si="137"/>
        <v/>
      </c>
    </row>
    <row r="4365" spans="7:11" x14ac:dyDescent="0.2">
      <c r="G4365" s="44"/>
      <c r="J4365" t="str">
        <f t="shared" si="136"/>
        <v/>
      </c>
      <c r="K4365" t="str">
        <f t="shared" si="137"/>
        <v/>
      </c>
    </row>
    <row r="4366" spans="7:11" x14ac:dyDescent="0.2">
      <c r="G4366" s="44"/>
      <c r="J4366" t="str">
        <f t="shared" si="136"/>
        <v/>
      </c>
      <c r="K4366" t="str">
        <f t="shared" si="137"/>
        <v/>
      </c>
    </row>
    <row r="4367" spans="7:11" x14ac:dyDescent="0.2">
      <c r="G4367" s="44"/>
      <c r="J4367" t="str">
        <f t="shared" si="136"/>
        <v/>
      </c>
      <c r="K4367" t="str">
        <f t="shared" si="137"/>
        <v/>
      </c>
    </row>
    <row r="4368" spans="7:11" x14ac:dyDescent="0.2">
      <c r="G4368" s="44"/>
      <c r="J4368" t="str">
        <f t="shared" si="136"/>
        <v/>
      </c>
      <c r="K4368" t="str">
        <f t="shared" si="137"/>
        <v/>
      </c>
    </row>
    <row r="4369" spans="7:11" x14ac:dyDescent="0.2">
      <c r="G4369" s="44"/>
      <c r="J4369" t="str">
        <f t="shared" si="136"/>
        <v/>
      </c>
      <c r="K4369" t="str">
        <f t="shared" si="137"/>
        <v/>
      </c>
    </row>
    <row r="4370" spans="7:11" x14ac:dyDescent="0.2">
      <c r="G4370" s="44"/>
      <c r="J4370" t="str">
        <f t="shared" si="136"/>
        <v/>
      </c>
      <c r="K4370" t="str">
        <f t="shared" si="137"/>
        <v/>
      </c>
    </row>
    <row r="4371" spans="7:11" x14ac:dyDescent="0.2">
      <c r="G4371" s="44"/>
      <c r="J4371" t="str">
        <f t="shared" si="136"/>
        <v/>
      </c>
      <c r="K4371" t="str">
        <f t="shared" si="137"/>
        <v/>
      </c>
    </row>
    <row r="4372" spans="7:11" x14ac:dyDescent="0.2">
      <c r="G4372" s="44"/>
      <c r="J4372" t="str">
        <f t="shared" si="136"/>
        <v/>
      </c>
      <c r="K4372" t="str">
        <f t="shared" si="137"/>
        <v/>
      </c>
    </row>
    <row r="4373" spans="7:11" x14ac:dyDescent="0.2">
      <c r="G4373" s="44"/>
      <c r="J4373" t="str">
        <f t="shared" si="136"/>
        <v/>
      </c>
      <c r="K4373" t="str">
        <f t="shared" si="137"/>
        <v/>
      </c>
    </row>
    <row r="4374" spans="7:11" x14ac:dyDescent="0.2">
      <c r="G4374" s="44"/>
      <c r="J4374" t="str">
        <f t="shared" si="136"/>
        <v/>
      </c>
      <c r="K4374" t="str">
        <f t="shared" si="137"/>
        <v/>
      </c>
    </row>
    <row r="4375" spans="7:11" x14ac:dyDescent="0.2">
      <c r="G4375" s="44"/>
      <c r="J4375" t="str">
        <f t="shared" si="136"/>
        <v/>
      </c>
      <c r="K4375" t="str">
        <f t="shared" si="137"/>
        <v/>
      </c>
    </row>
    <row r="4376" spans="7:11" x14ac:dyDescent="0.2">
      <c r="G4376" s="44"/>
      <c r="J4376" t="str">
        <f t="shared" si="136"/>
        <v/>
      </c>
      <c r="K4376" t="str">
        <f t="shared" si="137"/>
        <v/>
      </c>
    </row>
    <row r="4377" spans="7:11" x14ac:dyDescent="0.2">
      <c r="G4377" s="44"/>
      <c r="J4377" t="str">
        <f t="shared" si="136"/>
        <v/>
      </c>
      <c r="K4377" t="str">
        <f t="shared" si="137"/>
        <v/>
      </c>
    </row>
    <row r="4378" spans="7:11" x14ac:dyDescent="0.2">
      <c r="G4378" s="44"/>
      <c r="J4378" t="str">
        <f t="shared" si="136"/>
        <v/>
      </c>
      <c r="K4378" t="str">
        <f t="shared" si="137"/>
        <v/>
      </c>
    </row>
    <row r="4379" spans="7:11" x14ac:dyDescent="0.2">
      <c r="G4379" s="44"/>
      <c r="J4379" t="str">
        <f t="shared" si="136"/>
        <v/>
      </c>
      <c r="K4379" t="str">
        <f t="shared" si="137"/>
        <v/>
      </c>
    </row>
    <row r="4380" spans="7:11" x14ac:dyDescent="0.2">
      <c r="G4380" s="44"/>
      <c r="J4380" t="str">
        <f t="shared" si="136"/>
        <v/>
      </c>
      <c r="K4380" t="str">
        <f t="shared" si="137"/>
        <v/>
      </c>
    </row>
    <row r="4381" spans="7:11" x14ac:dyDescent="0.2">
      <c r="G4381" s="44"/>
      <c r="J4381" t="str">
        <f t="shared" si="136"/>
        <v/>
      </c>
      <c r="K4381" t="str">
        <f t="shared" si="137"/>
        <v/>
      </c>
    </row>
    <row r="4382" spans="7:11" x14ac:dyDescent="0.2">
      <c r="G4382" s="44"/>
      <c r="J4382" t="str">
        <f t="shared" si="136"/>
        <v/>
      </c>
      <c r="K4382" t="str">
        <f t="shared" si="137"/>
        <v/>
      </c>
    </row>
    <row r="4383" spans="7:11" x14ac:dyDescent="0.2">
      <c r="G4383" s="44"/>
      <c r="J4383" t="str">
        <f t="shared" si="136"/>
        <v/>
      </c>
      <c r="K4383" t="str">
        <f t="shared" si="137"/>
        <v/>
      </c>
    </row>
    <row r="4384" spans="7:11" x14ac:dyDescent="0.2">
      <c r="G4384" s="44"/>
      <c r="J4384" t="str">
        <f t="shared" si="136"/>
        <v/>
      </c>
      <c r="K4384" t="str">
        <f t="shared" si="137"/>
        <v/>
      </c>
    </row>
    <row r="4385" spans="7:11" x14ac:dyDescent="0.2">
      <c r="G4385" s="44"/>
      <c r="J4385" t="str">
        <f t="shared" si="136"/>
        <v/>
      </c>
      <c r="K4385" t="str">
        <f t="shared" si="137"/>
        <v/>
      </c>
    </row>
    <row r="4386" spans="7:11" x14ac:dyDescent="0.2">
      <c r="G4386" s="44"/>
      <c r="J4386" t="str">
        <f t="shared" si="136"/>
        <v/>
      </c>
      <c r="K4386" t="str">
        <f t="shared" si="137"/>
        <v/>
      </c>
    </row>
    <row r="4387" spans="7:11" x14ac:dyDescent="0.2">
      <c r="G4387" s="44"/>
      <c r="J4387" t="str">
        <f t="shared" si="136"/>
        <v/>
      </c>
      <c r="K4387" t="str">
        <f t="shared" si="137"/>
        <v/>
      </c>
    </row>
    <row r="4388" spans="7:11" x14ac:dyDescent="0.2">
      <c r="G4388" s="44"/>
      <c r="J4388" t="str">
        <f t="shared" si="136"/>
        <v/>
      </c>
      <c r="K4388" t="str">
        <f t="shared" si="137"/>
        <v/>
      </c>
    </row>
    <row r="4389" spans="7:11" x14ac:dyDescent="0.2">
      <c r="G4389" s="44"/>
      <c r="J4389" t="str">
        <f t="shared" si="136"/>
        <v/>
      </c>
      <c r="K4389" t="str">
        <f t="shared" si="137"/>
        <v/>
      </c>
    </row>
    <row r="4390" spans="7:11" x14ac:dyDescent="0.2">
      <c r="G4390" s="44"/>
      <c r="J4390" t="str">
        <f t="shared" si="136"/>
        <v/>
      </c>
      <c r="K4390" t="str">
        <f t="shared" si="137"/>
        <v/>
      </c>
    </row>
    <row r="4391" spans="7:11" x14ac:dyDescent="0.2">
      <c r="G4391" s="44"/>
      <c r="J4391" t="str">
        <f t="shared" si="136"/>
        <v/>
      </c>
      <c r="K4391" t="str">
        <f t="shared" si="137"/>
        <v/>
      </c>
    </row>
    <row r="4392" spans="7:11" x14ac:dyDescent="0.2">
      <c r="G4392" s="44"/>
      <c r="J4392" t="str">
        <f t="shared" si="136"/>
        <v/>
      </c>
      <c r="K4392" t="str">
        <f t="shared" si="137"/>
        <v/>
      </c>
    </row>
    <row r="4393" spans="7:11" x14ac:dyDescent="0.2">
      <c r="G4393" s="44"/>
      <c r="J4393" t="str">
        <f t="shared" si="136"/>
        <v/>
      </c>
      <c r="K4393" t="str">
        <f t="shared" si="137"/>
        <v/>
      </c>
    </row>
    <row r="4394" spans="7:11" x14ac:dyDescent="0.2">
      <c r="G4394" s="44"/>
      <c r="J4394" t="str">
        <f t="shared" si="136"/>
        <v/>
      </c>
      <c r="K4394" t="str">
        <f t="shared" si="137"/>
        <v/>
      </c>
    </row>
    <row r="4395" spans="7:11" x14ac:dyDescent="0.2">
      <c r="G4395" s="44"/>
      <c r="J4395" t="str">
        <f t="shared" si="136"/>
        <v/>
      </c>
      <c r="K4395" t="str">
        <f t="shared" si="137"/>
        <v/>
      </c>
    </row>
    <row r="4396" spans="7:11" x14ac:dyDescent="0.2">
      <c r="G4396" s="44"/>
      <c r="J4396" t="str">
        <f t="shared" si="136"/>
        <v/>
      </c>
      <c r="K4396" t="str">
        <f t="shared" si="137"/>
        <v/>
      </c>
    </row>
    <row r="4397" spans="7:11" x14ac:dyDescent="0.2">
      <c r="G4397" s="44"/>
      <c r="J4397" t="str">
        <f t="shared" si="136"/>
        <v/>
      </c>
      <c r="K4397" t="str">
        <f t="shared" si="137"/>
        <v/>
      </c>
    </row>
    <row r="4398" spans="7:11" x14ac:dyDescent="0.2">
      <c r="G4398" s="44"/>
      <c r="J4398" t="str">
        <f t="shared" si="136"/>
        <v/>
      </c>
      <c r="K4398" t="str">
        <f t="shared" si="137"/>
        <v/>
      </c>
    </row>
    <row r="4399" spans="7:11" x14ac:dyDescent="0.2">
      <c r="G4399" s="44"/>
      <c r="J4399" t="str">
        <f t="shared" si="136"/>
        <v/>
      </c>
      <c r="K4399" t="str">
        <f t="shared" si="137"/>
        <v/>
      </c>
    </row>
    <row r="4400" spans="7:11" x14ac:dyDescent="0.2">
      <c r="G4400" s="44"/>
      <c r="J4400" t="str">
        <f t="shared" si="136"/>
        <v/>
      </c>
      <c r="K4400" t="str">
        <f t="shared" si="137"/>
        <v/>
      </c>
    </row>
    <row r="4401" spans="7:11" x14ac:dyDescent="0.2">
      <c r="G4401" s="44"/>
      <c r="J4401" t="str">
        <f t="shared" si="136"/>
        <v/>
      </c>
      <c r="K4401" t="str">
        <f t="shared" si="137"/>
        <v/>
      </c>
    </row>
    <row r="4402" spans="7:11" x14ac:dyDescent="0.2">
      <c r="G4402" s="44"/>
      <c r="J4402" t="str">
        <f t="shared" si="136"/>
        <v/>
      </c>
      <c r="K4402" t="str">
        <f t="shared" si="137"/>
        <v/>
      </c>
    </row>
    <row r="4403" spans="7:11" x14ac:dyDescent="0.2">
      <c r="G4403" s="44"/>
      <c r="J4403" t="str">
        <f t="shared" si="136"/>
        <v/>
      </c>
      <c r="K4403" t="str">
        <f t="shared" si="137"/>
        <v/>
      </c>
    </row>
    <row r="4404" spans="7:11" x14ac:dyDescent="0.2">
      <c r="G4404" s="44"/>
      <c r="J4404" t="str">
        <f t="shared" si="136"/>
        <v/>
      </c>
      <c r="K4404" t="str">
        <f t="shared" si="137"/>
        <v/>
      </c>
    </row>
    <row r="4405" spans="7:11" x14ac:dyDescent="0.2">
      <c r="G4405" s="44"/>
      <c r="J4405" t="str">
        <f t="shared" si="136"/>
        <v/>
      </c>
      <c r="K4405" t="str">
        <f t="shared" si="137"/>
        <v/>
      </c>
    </row>
    <row r="4406" spans="7:11" x14ac:dyDescent="0.2">
      <c r="G4406" s="44"/>
      <c r="J4406" t="str">
        <f t="shared" si="136"/>
        <v/>
      </c>
      <c r="K4406" t="str">
        <f t="shared" si="137"/>
        <v/>
      </c>
    </row>
    <row r="4407" spans="7:11" x14ac:dyDescent="0.2">
      <c r="G4407" s="44"/>
      <c r="J4407" t="str">
        <f t="shared" si="136"/>
        <v/>
      </c>
      <c r="K4407" t="str">
        <f t="shared" si="137"/>
        <v/>
      </c>
    </row>
    <row r="4408" spans="7:11" x14ac:dyDescent="0.2">
      <c r="G4408" s="44"/>
      <c r="J4408" t="str">
        <f t="shared" si="136"/>
        <v/>
      </c>
      <c r="K4408" t="str">
        <f t="shared" si="137"/>
        <v/>
      </c>
    </row>
    <row r="4409" spans="7:11" x14ac:dyDescent="0.2">
      <c r="G4409" s="44"/>
      <c r="J4409" t="str">
        <f t="shared" si="136"/>
        <v/>
      </c>
      <c r="K4409" t="str">
        <f t="shared" si="137"/>
        <v/>
      </c>
    </row>
    <row r="4410" spans="7:11" x14ac:dyDescent="0.2">
      <c r="G4410" s="44"/>
      <c r="J4410" t="str">
        <f t="shared" si="136"/>
        <v/>
      </c>
      <c r="K4410" t="str">
        <f t="shared" si="137"/>
        <v/>
      </c>
    </row>
    <row r="4411" spans="7:11" x14ac:dyDescent="0.2">
      <c r="G4411" s="44"/>
      <c r="J4411" t="str">
        <f t="shared" si="136"/>
        <v/>
      </c>
      <c r="K4411" t="str">
        <f t="shared" si="137"/>
        <v/>
      </c>
    </row>
    <row r="4412" spans="7:11" x14ac:dyDescent="0.2">
      <c r="G4412" s="44"/>
      <c r="J4412" t="str">
        <f t="shared" si="136"/>
        <v/>
      </c>
      <c r="K4412" t="str">
        <f t="shared" si="137"/>
        <v/>
      </c>
    </row>
    <row r="4413" spans="7:11" x14ac:dyDescent="0.2">
      <c r="G4413" s="44"/>
      <c r="J4413" t="str">
        <f t="shared" si="136"/>
        <v/>
      </c>
      <c r="K4413" t="str">
        <f t="shared" si="137"/>
        <v/>
      </c>
    </row>
    <row r="4414" spans="7:11" x14ac:dyDescent="0.2">
      <c r="G4414" s="44"/>
      <c r="J4414" t="str">
        <f t="shared" si="136"/>
        <v/>
      </c>
      <c r="K4414" t="str">
        <f t="shared" si="137"/>
        <v/>
      </c>
    </row>
    <row r="4415" spans="7:11" x14ac:dyDescent="0.2">
      <c r="G4415" s="44"/>
      <c r="J4415" t="str">
        <f t="shared" si="136"/>
        <v/>
      </c>
      <c r="K4415" t="str">
        <f t="shared" si="137"/>
        <v/>
      </c>
    </row>
    <row r="4416" spans="7:11" x14ac:dyDescent="0.2">
      <c r="G4416" s="44"/>
      <c r="J4416" t="str">
        <f t="shared" si="136"/>
        <v/>
      </c>
      <c r="K4416" t="str">
        <f t="shared" si="137"/>
        <v/>
      </c>
    </row>
    <row r="4417" spans="7:11" x14ac:dyDescent="0.2">
      <c r="G4417" s="44"/>
      <c r="J4417" t="str">
        <f t="shared" si="136"/>
        <v/>
      </c>
      <c r="K4417" t="str">
        <f t="shared" si="137"/>
        <v/>
      </c>
    </row>
    <row r="4418" spans="7:11" x14ac:dyDescent="0.2">
      <c r="G4418" s="44"/>
      <c r="J4418" t="str">
        <f t="shared" ref="J4418:J4481" si="138">IF(E4418="","",IF(OR(E4418=50,E4418=51),"Iltindhold",IF(E4418=75,"Carbon,org,NVOC",IF(OR(E4418=343,E4418=1167),"Svovlbrinte",IF(OR(E4418=240,E4418=241,E4418=242),"Amm",IF(E4418=244,"Nitrit",IF(E4418=247,"Nitrat",IF(E4418=334,"Sulfat",IF(E4418=262,"Phosphor, total-P",F4418)))))))))</f>
        <v/>
      </c>
      <c r="K4418" t="str">
        <f t="shared" ref="K4418:K4481" si="139">IF(A4418="","",IF(H4418="!",NA(),IF(H4418="A",I4418*0.5,IF(H4418="&lt;",I4418*0.5,I4418))))</f>
        <v/>
      </c>
    </row>
    <row r="4419" spans="7:11" x14ac:dyDescent="0.2">
      <c r="G4419" s="44"/>
      <c r="J4419" t="str">
        <f t="shared" si="138"/>
        <v/>
      </c>
      <c r="K4419" t="str">
        <f t="shared" si="139"/>
        <v/>
      </c>
    </row>
    <row r="4420" spans="7:11" x14ac:dyDescent="0.2">
      <c r="G4420" s="44"/>
      <c r="J4420" t="str">
        <f t="shared" si="138"/>
        <v/>
      </c>
      <c r="K4420" t="str">
        <f t="shared" si="139"/>
        <v/>
      </c>
    </row>
    <row r="4421" spans="7:11" x14ac:dyDescent="0.2">
      <c r="G4421" s="44"/>
      <c r="J4421" t="str">
        <f t="shared" si="138"/>
        <v/>
      </c>
      <c r="K4421" t="str">
        <f t="shared" si="139"/>
        <v/>
      </c>
    </row>
    <row r="4422" spans="7:11" x14ac:dyDescent="0.2">
      <c r="G4422" s="44"/>
      <c r="J4422" t="str">
        <f t="shared" si="138"/>
        <v/>
      </c>
      <c r="K4422" t="str">
        <f t="shared" si="139"/>
        <v/>
      </c>
    </row>
    <row r="4423" spans="7:11" x14ac:dyDescent="0.2">
      <c r="G4423" s="44"/>
      <c r="J4423" t="str">
        <f t="shared" si="138"/>
        <v/>
      </c>
      <c r="K4423" t="str">
        <f t="shared" si="139"/>
        <v/>
      </c>
    </row>
    <row r="4424" spans="7:11" x14ac:dyDescent="0.2">
      <c r="G4424" s="44"/>
      <c r="J4424" t="str">
        <f t="shared" si="138"/>
        <v/>
      </c>
      <c r="K4424" t="str">
        <f t="shared" si="139"/>
        <v/>
      </c>
    </row>
    <row r="4425" spans="7:11" x14ac:dyDescent="0.2">
      <c r="G4425" s="44"/>
      <c r="J4425" t="str">
        <f t="shared" si="138"/>
        <v/>
      </c>
      <c r="K4425" t="str">
        <f t="shared" si="139"/>
        <v/>
      </c>
    </row>
    <row r="4426" spans="7:11" x14ac:dyDescent="0.2">
      <c r="G4426" s="44"/>
      <c r="J4426" t="str">
        <f t="shared" si="138"/>
        <v/>
      </c>
      <c r="K4426" t="str">
        <f t="shared" si="139"/>
        <v/>
      </c>
    </row>
    <row r="4427" spans="7:11" x14ac:dyDescent="0.2">
      <c r="G4427" s="44"/>
      <c r="J4427" t="str">
        <f t="shared" si="138"/>
        <v/>
      </c>
      <c r="K4427" t="str">
        <f t="shared" si="139"/>
        <v/>
      </c>
    </row>
    <row r="4428" spans="7:11" x14ac:dyDescent="0.2">
      <c r="G4428" s="44"/>
      <c r="J4428" t="str">
        <f t="shared" si="138"/>
        <v/>
      </c>
      <c r="K4428" t="str">
        <f t="shared" si="139"/>
        <v/>
      </c>
    </row>
    <row r="4429" spans="7:11" x14ac:dyDescent="0.2">
      <c r="G4429" s="44"/>
      <c r="J4429" t="str">
        <f t="shared" si="138"/>
        <v/>
      </c>
      <c r="K4429" t="str">
        <f t="shared" si="139"/>
        <v/>
      </c>
    </row>
    <row r="4430" spans="7:11" x14ac:dyDescent="0.2">
      <c r="G4430" s="44"/>
      <c r="J4430" t="str">
        <f t="shared" si="138"/>
        <v/>
      </c>
      <c r="K4430" t="str">
        <f t="shared" si="139"/>
        <v/>
      </c>
    </row>
    <row r="4431" spans="7:11" x14ac:dyDescent="0.2">
      <c r="G4431" s="44"/>
      <c r="J4431" t="str">
        <f t="shared" si="138"/>
        <v/>
      </c>
      <c r="K4431" t="str">
        <f t="shared" si="139"/>
        <v/>
      </c>
    </row>
    <row r="4432" spans="7:11" x14ac:dyDescent="0.2">
      <c r="G4432" s="44"/>
      <c r="J4432" t="str">
        <f t="shared" si="138"/>
        <v/>
      </c>
      <c r="K4432" t="str">
        <f t="shared" si="139"/>
        <v/>
      </c>
    </row>
    <row r="4433" spans="7:11" x14ac:dyDescent="0.2">
      <c r="G4433" s="44"/>
      <c r="J4433" t="str">
        <f t="shared" si="138"/>
        <v/>
      </c>
      <c r="K4433" t="str">
        <f t="shared" si="139"/>
        <v/>
      </c>
    </row>
    <row r="4434" spans="7:11" x14ac:dyDescent="0.2">
      <c r="G4434" s="44"/>
      <c r="J4434" t="str">
        <f t="shared" si="138"/>
        <v/>
      </c>
      <c r="K4434" t="str">
        <f t="shared" si="139"/>
        <v/>
      </c>
    </row>
    <row r="4435" spans="7:11" x14ac:dyDescent="0.2">
      <c r="G4435" s="44"/>
      <c r="J4435" t="str">
        <f t="shared" si="138"/>
        <v/>
      </c>
      <c r="K4435" t="str">
        <f t="shared" si="139"/>
        <v/>
      </c>
    </row>
    <row r="4436" spans="7:11" x14ac:dyDescent="0.2">
      <c r="G4436" s="44"/>
      <c r="J4436" t="str">
        <f t="shared" si="138"/>
        <v/>
      </c>
      <c r="K4436" t="str">
        <f t="shared" si="139"/>
        <v/>
      </c>
    </row>
    <row r="4437" spans="7:11" x14ac:dyDescent="0.2">
      <c r="G4437" s="44"/>
      <c r="J4437" t="str">
        <f t="shared" si="138"/>
        <v/>
      </c>
      <c r="K4437" t="str">
        <f t="shared" si="139"/>
        <v/>
      </c>
    </row>
    <row r="4438" spans="7:11" x14ac:dyDescent="0.2">
      <c r="G4438" s="44"/>
      <c r="J4438" t="str">
        <f t="shared" si="138"/>
        <v/>
      </c>
      <c r="K4438" t="str">
        <f t="shared" si="139"/>
        <v/>
      </c>
    </row>
    <row r="4439" spans="7:11" x14ac:dyDescent="0.2">
      <c r="G4439" s="44"/>
      <c r="J4439" t="str">
        <f t="shared" si="138"/>
        <v/>
      </c>
      <c r="K4439" t="str">
        <f t="shared" si="139"/>
        <v/>
      </c>
    </row>
    <row r="4440" spans="7:11" x14ac:dyDescent="0.2">
      <c r="G4440" s="44"/>
      <c r="J4440" t="str">
        <f t="shared" si="138"/>
        <v/>
      </c>
      <c r="K4440" t="str">
        <f t="shared" si="139"/>
        <v/>
      </c>
    </row>
    <row r="4441" spans="7:11" x14ac:dyDescent="0.2">
      <c r="G4441" s="44"/>
      <c r="J4441" t="str">
        <f t="shared" si="138"/>
        <v/>
      </c>
      <c r="K4441" t="str">
        <f t="shared" si="139"/>
        <v/>
      </c>
    </row>
    <row r="4442" spans="7:11" x14ac:dyDescent="0.2">
      <c r="G4442" s="44"/>
      <c r="J4442" t="str">
        <f t="shared" si="138"/>
        <v/>
      </c>
      <c r="K4442" t="str">
        <f t="shared" si="139"/>
        <v/>
      </c>
    </row>
    <row r="4443" spans="7:11" x14ac:dyDescent="0.2">
      <c r="G4443" s="44"/>
      <c r="J4443" t="str">
        <f t="shared" si="138"/>
        <v/>
      </c>
      <c r="K4443" t="str">
        <f t="shared" si="139"/>
        <v/>
      </c>
    </row>
    <row r="4444" spans="7:11" x14ac:dyDescent="0.2">
      <c r="G4444" s="44"/>
      <c r="J4444" t="str">
        <f t="shared" si="138"/>
        <v/>
      </c>
      <c r="K4444" t="str">
        <f t="shared" si="139"/>
        <v/>
      </c>
    </row>
    <row r="4445" spans="7:11" x14ac:dyDescent="0.2">
      <c r="G4445" s="44"/>
      <c r="J4445" t="str">
        <f t="shared" si="138"/>
        <v/>
      </c>
      <c r="K4445" t="str">
        <f t="shared" si="139"/>
        <v/>
      </c>
    </row>
    <row r="4446" spans="7:11" x14ac:dyDescent="0.2">
      <c r="G4446" s="44"/>
      <c r="J4446" t="str">
        <f t="shared" si="138"/>
        <v/>
      </c>
      <c r="K4446" t="str">
        <f t="shared" si="139"/>
        <v/>
      </c>
    </row>
    <row r="4447" spans="7:11" x14ac:dyDescent="0.2">
      <c r="G4447" s="44"/>
      <c r="J4447" t="str">
        <f t="shared" si="138"/>
        <v/>
      </c>
      <c r="K4447" t="str">
        <f t="shared" si="139"/>
        <v/>
      </c>
    </row>
    <row r="4448" spans="7:11" x14ac:dyDescent="0.2">
      <c r="G4448" s="44"/>
      <c r="J4448" t="str">
        <f t="shared" si="138"/>
        <v/>
      </c>
      <c r="K4448" t="str">
        <f t="shared" si="139"/>
        <v/>
      </c>
    </row>
    <row r="4449" spans="7:11" x14ac:dyDescent="0.2">
      <c r="G4449" s="44"/>
      <c r="J4449" t="str">
        <f t="shared" si="138"/>
        <v/>
      </c>
      <c r="K4449" t="str">
        <f t="shared" si="139"/>
        <v/>
      </c>
    </row>
    <row r="4450" spans="7:11" x14ac:dyDescent="0.2">
      <c r="G4450" s="44"/>
      <c r="J4450" t="str">
        <f t="shared" si="138"/>
        <v/>
      </c>
      <c r="K4450" t="str">
        <f t="shared" si="139"/>
        <v/>
      </c>
    </row>
    <row r="4451" spans="7:11" x14ac:dyDescent="0.2">
      <c r="G4451" s="44"/>
      <c r="J4451" t="str">
        <f t="shared" si="138"/>
        <v/>
      </c>
      <c r="K4451" t="str">
        <f t="shared" si="139"/>
        <v/>
      </c>
    </row>
    <row r="4452" spans="7:11" x14ac:dyDescent="0.2">
      <c r="G4452" s="44"/>
      <c r="J4452" t="str">
        <f t="shared" si="138"/>
        <v/>
      </c>
      <c r="K4452" t="str">
        <f t="shared" si="139"/>
        <v/>
      </c>
    </row>
    <row r="4453" spans="7:11" x14ac:dyDescent="0.2">
      <c r="G4453" s="44"/>
      <c r="J4453" t="str">
        <f t="shared" si="138"/>
        <v/>
      </c>
      <c r="K4453" t="str">
        <f t="shared" si="139"/>
        <v/>
      </c>
    </row>
    <row r="4454" spans="7:11" x14ac:dyDescent="0.2">
      <c r="G4454" s="44"/>
      <c r="J4454" t="str">
        <f t="shared" si="138"/>
        <v/>
      </c>
      <c r="K4454" t="str">
        <f t="shared" si="139"/>
        <v/>
      </c>
    </row>
    <row r="4455" spans="7:11" x14ac:dyDescent="0.2">
      <c r="G4455" s="44"/>
      <c r="J4455" t="str">
        <f t="shared" si="138"/>
        <v/>
      </c>
      <c r="K4455" t="str">
        <f t="shared" si="139"/>
        <v/>
      </c>
    </row>
    <row r="4456" spans="7:11" x14ac:dyDescent="0.2">
      <c r="G4456" s="44"/>
      <c r="J4456" t="str">
        <f t="shared" si="138"/>
        <v/>
      </c>
      <c r="K4456" t="str">
        <f t="shared" si="139"/>
        <v/>
      </c>
    </row>
    <row r="4457" spans="7:11" x14ac:dyDescent="0.2">
      <c r="G4457" s="44"/>
      <c r="J4457" t="str">
        <f t="shared" si="138"/>
        <v/>
      </c>
      <c r="K4457" t="str">
        <f t="shared" si="139"/>
        <v/>
      </c>
    </row>
    <row r="4458" spans="7:11" x14ac:dyDescent="0.2">
      <c r="G4458" s="44"/>
      <c r="J4458" t="str">
        <f t="shared" si="138"/>
        <v/>
      </c>
      <c r="K4458" t="str">
        <f t="shared" si="139"/>
        <v/>
      </c>
    </row>
    <row r="4459" spans="7:11" x14ac:dyDescent="0.2">
      <c r="G4459" s="44"/>
      <c r="J4459" t="str">
        <f t="shared" si="138"/>
        <v/>
      </c>
      <c r="K4459" t="str">
        <f t="shared" si="139"/>
        <v/>
      </c>
    </row>
    <row r="4460" spans="7:11" x14ac:dyDescent="0.2">
      <c r="G4460" s="44"/>
      <c r="J4460" t="str">
        <f t="shared" si="138"/>
        <v/>
      </c>
      <c r="K4460" t="str">
        <f t="shared" si="139"/>
        <v/>
      </c>
    </row>
    <row r="4461" spans="7:11" x14ac:dyDescent="0.2">
      <c r="G4461" s="44"/>
      <c r="J4461" t="str">
        <f t="shared" si="138"/>
        <v/>
      </c>
      <c r="K4461" t="str">
        <f t="shared" si="139"/>
        <v/>
      </c>
    </row>
    <row r="4462" spans="7:11" x14ac:dyDescent="0.2">
      <c r="G4462" s="44"/>
      <c r="J4462" t="str">
        <f t="shared" si="138"/>
        <v/>
      </c>
      <c r="K4462" t="str">
        <f t="shared" si="139"/>
        <v/>
      </c>
    </row>
    <row r="4463" spans="7:11" x14ac:dyDescent="0.2">
      <c r="G4463" s="44"/>
      <c r="J4463" t="str">
        <f t="shared" si="138"/>
        <v/>
      </c>
      <c r="K4463" t="str">
        <f t="shared" si="139"/>
        <v/>
      </c>
    </row>
    <row r="4464" spans="7:11" x14ac:dyDescent="0.2">
      <c r="G4464" s="44"/>
      <c r="J4464" t="str">
        <f t="shared" si="138"/>
        <v/>
      </c>
      <c r="K4464" t="str">
        <f t="shared" si="139"/>
        <v/>
      </c>
    </row>
    <row r="4465" spans="7:11" x14ac:dyDescent="0.2">
      <c r="G4465" s="44"/>
      <c r="J4465" t="str">
        <f t="shared" si="138"/>
        <v/>
      </c>
      <c r="K4465" t="str">
        <f t="shared" si="139"/>
        <v/>
      </c>
    </row>
    <row r="4466" spans="7:11" x14ac:dyDescent="0.2">
      <c r="G4466" s="44"/>
      <c r="J4466" t="str">
        <f t="shared" si="138"/>
        <v/>
      </c>
      <c r="K4466" t="str">
        <f t="shared" si="139"/>
        <v/>
      </c>
    </row>
    <row r="4467" spans="7:11" x14ac:dyDescent="0.2">
      <c r="G4467" s="44"/>
      <c r="J4467" t="str">
        <f t="shared" si="138"/>
        <v/>
      </c>
      <c r="K4467" t="str">
        <f t="shared" si="139"/>
        <v/>
      </c>
    </row>
    <row r="4468" spans="7:11" x14ac:dyDescent="0.2">
      <c r="G4468" s="44"/>
      <c r="J4468" t="str">
        <f t="shared" si="138"/>
        <v/>
      </c>
      <c r="K4468" t="str">
        <f t="shared" si="139"/>
        <v/>
      </c>
    </row>
    <row r="4469" spans="7:11" x14ac:dyDescent="0.2">
      <c r="G4469" s="44"/>
      <c r="J4469" t="str">
        <f t="shared" si="138"/>
        <v/>
      </c>
      <c r="K4469" t="str">
        <f t="shared" si="139"/>
        <v/>
      </c>
    </row>
    <row r="4470" spans="7:11" x14ac:dyDescent="0.2">
      <c r="G4470" s="44"/>
      <c r="J4470" t="str">
        <f t="shared" si="138"/>
        <v/>
      </c>
      <c r="K4470" t="str">
        <f t="shared" si="139"/>
        <v/>
      </c>
    </row>
    <row r="4471" spans="7:11" x14ac:dyDescent="0.2">
      <c r="G4471" s="44"/>
      <c r="J4471" t="str">
        <f t="shared" si="138"/>
        <v/>
      </c>
      <c r="K4471" t="str">
        <f t="shared" si="139"/>
        <v/>
      </c>
    </row>
    <row r="4472" spans="7:11" x14ac:dyDescent="0.2">
      <c r="G4472" s="44"/>
      <c r="J4472" t="str">
        <f t="shared" si="138"/>
        <v/>
      </c>
      <c r="K4472" t="str">
        <f t="shared" si="139"/>
        <v/>
      </c>
    </row>
    <row r="4473" spans="7:11" x14ac:dyDescent="0.2">
      <c r="G4473" s="44"/>
      <c r="J4473" t="str">
        <f t="shared" si="138"/>
        <v/>
      </c>
      <c r="K4473" t="str">
        <f t="shared" si="139"/>
        <v/>
      </c>
    </row>
    <row r="4474" spans="7:11" x14ac:dyDescent="0.2">
      <c r="G4474" s="44"/>
      <c r="J4474" t="str">
        <f t="shared" si="138"/>
        <v/>
      </c>
      <c r="K4474" t="str">
        <f t="shared" si="139"/>
        <v/>
      </c>
    </row>
    <row r="4475" spans="7:11" x14ac:dyDescent="0.2">
      <c r="G4475" s="44"/>
      <c r="J4475" t="str">
        <f t="shared" si="138"/>
        <v/>
      </c>
      <c r="K4475" t="str">
        <f t="shared" si="139"/>
        <v/>
      </c>
    </row>
    <row r="4476" spans="7:11" x14ac:dyDescent="0.2">
      <c r="G4476" s="44"/>
      <c r="J4476" t="str">
        <f t="shared" si="138"/>
        <v/>
      </c>
      <c r="K4476" t="str">
        <f t="shared" si="139"/>
        <v/>
      </c>
    </row>
    <row r="4477" spans="7:11" x14ac:dyDescent="0.2">
      <c r="G4477" s="44"/>
      <c r="J4477" t="str">
        <f t="shared" si="138"/>
        <v/>
      </c>
      <c r="K4477" t="str">
        <f t="shared" si="139"/>
        <v/>
      </c>
    </row>
    <row r="4478" spans="7:11" x14ac:dyDescent="0.2">
      <c r="G4478" s="44"/>
      <c r="J4478" t="str">
        <f t="shared" si="138"/>
        <v/>
      </c>
      <c r="K4478" t="str">
        <f t="shared" si="139"/>
        <v/>
      </c>
    </row>
    <row r="4479" spans="7:11" x14ac:dyDescent="0.2">
      <c r="G4479" s="44"/>
      <c r="J4479" t="str">
        <f t="shared" si="138"/>
        <v/>
      </c>
      <c r="K4479" t="str">
        <f t="shared" si="139"/>
        <v/>
      </c>
    </row>
    <row r="4480" spans="7:11" x14ac:dyDescent="0.2">
      <c r="G4480" s="44"/>
      <c r="J4480" t="str">
        <f t="shared" si="138"/>
        <v/>
      </c>
      <c r="K4480" t="str">
        <f t="shared" si="139"/>
        <v/>
      </c>
    </row>
    <row r="4481" spans="7:11" x14ac:dyDescent="0.2">
      <c r="G4481" s="44"/>
      <c r="J4481" t="str">
        <f t="shared" si="138"/>
        <v/>
      </c>
      <c r="K4481" t="str">
        <f t="shared" si="139"/>
        <v/>
      </c>
    </row>
    <row r="4482" spans="7:11" x14ac:dyDescent="0.2">
      <c r="G4482" s="44"/>
      <c r="J4482" t="str">
        <f t="shared" ref="J4482:J4545" si="140">IF(E4482="","",IF(OR(E4482=50,E4482=51),"Iltindhold",IF(E4482=75,"Carbon,org,NVOC",IF(OR(E4482=343,E4482=1167),"Svovlbrinte",IF(OR(E4482=240,E4482=241,E4482=242),"Amm",IF(E4482=244,"Nitrit",IF(E4482=247,"Nitrat",IF(E4482=334,"Sulfat",IF(E4482=262,"Phosphor, total-P",F4482)))))))))</f>
        <v/>
      </c>
      <c r="K4482" t="str">
        <f t="shared" ref="K4482:K4545" si="141">IF(A4482="","",IF(H4482="!",NA(),IF(H4482="A",I4482*0.5,IF(H4482="&lt;",I4482*0.5,I4482))))</f>
        <v/>
      </c>
    </row>
    <row r="4483" spans="7:11" x14ac:dyDescent="0.2">
      <c r="G4483" s="44"/>
      <c r="J4483" t="str">
        <f t="shared" si="140"/>
        <v/>
      </c>
      <c r="K4483" t="str">
        <f t="shared" si="141"/>
        <v/>
      </c>
    </row>
    <row r="4484" spans="7:11" x14ac:dyDescent="0.2">
      <c r="G4484" s="44"/>
      <c r="J4484" t="str">
        <f t="shared" si="140"/>
        <v/>
      </c>
      <c r="K4484" t="str">
        <f t="shared" si="141"/>
        <v/>
      </c>
    </row>
    <row r="4485" spans="7:11" x14ac:dyDescent="0.2">
      <c r="G4485" s="44"/>
      <c r="J4485" t="str">
        <f t="shared" si="140"/>
        <v/>
      </c>
      <c r="K4485" t="str">
        <f t="shared" si="141"/>
        <v/>
      </c>
    </row>
    <row r="4486" spans="7:11" x14ac:dyDescent="0.2">
      <c r="G4486" s="44"/>
      <c r="J4486" t="str">
        <f t="shared" si="140"/>
        <v/>
      </c>
      <c r="K4486" t="str">
        <f t="shared" si="141"/>
        <v/>
      </c>
    </row>
    <row r="4487" spans="7:11" x14ac:dyDescent="0.2">
      <c r="G4487" s="44"/>
      <c r="J4487" t="str">
        <f t="shared" si="140"/>
        <v/>
      </c>
      <c r="K4487" t="str">
        <f t="shared" si="141"/>
        <v/>
      </c>
    </row>
    <row r="4488" spans="7:11" x14ac:dyDescent="0.2">
      <c r="G4488" s="44"/>
      <c r="J4488" t="str">
        <f t="shared" si="140"/>
        <v/>
      </c>
      <c r="K4488" t="str">
        <f t="shared" si="141"/>
        <v/>
      </c>
    </row>
    <row r="4489" spans="7:11" x14ac:dyDescent="0.2">
      <c r="G4489" s="44"/>
      <c r="J4489" t="str">
        <f t="shared" si="140"/>
        <v/>
      </c>
      <c r="K4489" t="str">
        <f t="shared" si="141"/>
        <v/>
      </c>
    </row>
    <row r="4490" spans="7:11" x14ac:dyDescent="0.2">
      <c r="G4490" s="44"/>
      <c r="J4490" t="str">
        <f t="shared" si="140"/>
        <v/>
      </c>
      <c r="K4490" t="str">
        <f t="shared" si="141"/>
        <v/>
      </c>
    </row>
    <row r="4491" spans="7:11" x14ac:dyDescent="0.2">
      <c r="G4491" s="44"/>
      <c r="J4491" t="str">
        <f t="shared" si="140"/>
        <v/>
      </c>
      <c r="K4491" t="str">
        <f t="shared" si="141"/>
        <v/>
      </c>
    </row>
    <row r="4492" spans="7:11" x14ac:dyDescent="0.2">
      <c r="G4492" s="44"/>
      <c r="J4492" t="str">
        <f t="shared" si="140"/>
        <v/>
      </c>
      <c r="K4492" t="str">
        <f t="shared" si="141"/>
        <v/>
      </c>
    </row>
    <row r="4493" spans="7:11" x14ac:dyDescent="0.2">
      <c r="G4493" s="44"/>
      <c r="J4493" t="str">
        <f t="shared" si="140"/>
        <v/>
      </c>
      <c r="K4493" t="str">
        <f t="shared" si="141"/>
        <v/>
      </c>
    </row>
    <row r="4494" spans="7:11" x14ac:dyDescent="0.2">
      <c r="G4494" s="44"/>
      <c r="J4494" t="str">
        <f t="shared" si="140"/>
        <v/>
      </c>
      <c r="K4494" t="str">
        <f t="shared" si="141"/>
        <v/>
      </c>
    </row>
    <row r="4495" spans="7:11" x14ac:dyDescent="0.2">
      <c r="G4495" s="44"/>
      <c r="J4495" t="str">
        <f t="shared" si="140"/>
        <v/>
      </c>
      <c r="K4495" t="str">
        <f t="shared" si="141"/>
        <v/>
      </c>
    </row>
    <row r="4496" spans="7:11" x14ac:dyDescent="0.2">
      <c r="G4496" s="44"/>
      <c r="J4496" t="str">
        <f t="shared" si="140"/>
        <v/>
      </c>
      <c r="K4496" t="str">
        <f t="shared" si="141"/>
        <v/>
      </c>
    </row>
    <row r="4497" spans="7:11" x14ac:dyDescent="0.2">
      <c r="G4497" s="44"/>
      <c r="J4497" t="str">
        <f t="shared" si="140"/>
        <v/>
      </c>
      <c r="K4497" t="str">
        <f t="shared" si="141"/>
        <v/>
      </c>
    </row>
    <row r="4498" spans="7:11" x14ac:dyDescent="0.2">
      <c r="G4498" s="44"/>
      <c r="J4498" t="str">
        <f t="shared" si="140"/>
        <v/>
      </c>
      <c r="K4498" t="str">
        <f t="shared" si="141"/>
        <v/>
      </c>
    </row>
    <row r="4499" spans="7:11" x14ac:dyDescent="0.2">
      <c r="G4499" s="44"/>
      <c r="J4499" t="str">
        <f t="shared" si="140"/>
        <v/>
      </c>
      <c r="K4499" t="str">
        <f t="shared" si="141"/>
        <v/>
      </c>
    </row>
    <row r="4500" spans="7:11" x14ac:dyDescent="0.2">
      <c r="G4500" s="44"/>
      <c r="J4500" t="str">
        <f t="shared" si="140"/>
        <v/>
      </c>
      <c r="K4500" t="str">
        <f t="shared" si="141"/>
        <v/>
      </c>
    </row>
    <row r="4501" spans="7:11" x14ac:dyDescent="0.2">
      <c r="G4501" s="44"/>
      <c r="J4501" t="str">
        <f t="shared" si="140"/>
        <v/>
      </c>
      <c r="K4501" t="str">
        <f t="shared" si="141"/>
        <v/>
      </c>
    </row>
    <row r="4502" spans="7:11" x14ac:dyDescent="0.2">
      <c r="G4502" s="44"/>
      <c r="J4502" t="str">
        <f t="shared" si="140"/>
        <v/>
      </c>
      <c r="K4502" t="str">
        <f t="shared" si="141"/>
        <v/>
      </c>
    </row>
    <row r="4503" spans="7:11" x14ac:dyDescent="0.2">
      <c r="G4503" s="44"/>
      <c r="J4503" t="str">
        <f t="shared" si="140"/>
        <v/>
      </c>
      <c r="K4503" t="str">
        <f t="shared" si="141"/>
        <v/>
      </c>
    </row>
    <row r="4504" spans="7:11" x14ac:dyDescent="0.2">
      <c r="G4504" s="44"/>
      <c r="J4504" t="str">
        <f t="shared" si="140"/>
        <v/>
      </c>
      <c r="K4504" t="str">
        <f t="shared" si="141"/>
        <v/>
      </c>
    </row>
    <row r="4505" spans="7:11" x14ac:dyDescent="0.2">
      <c r="G4505" s="44"/>
      <c r="J4505" t="str">
        <f t="shared" si="140"/>
        <v/>
      </c>
      <c r="K4505" t="str">
        <f t="shared" si="141"/>
        <v/>
      </c>
    </row>
    <row r="4506" spans="7:11" x14ac:dyDescent="0.2">
      <c r="G4506" s="44"/>
      <c r="J4506" t="str">
        <f t="shared" si="140"/>
        <v/>
      </c>
      <c r="K4506" t="str">
        <f t="shared" si="141"/>
        <v/>
      </c>
    </row>
    <row r="4507" spans="7:11" x14ac:dyDescent="0.2">
      <c r="G4507" s="44"/>
      <c r="J4507" t="str">
        <f t="shared" si="140"/>
        <v/>
      </c>
      <c r="K4507" t="str">
        <f t="shared" si="141"/>
        <v/>
      </c>
    </row>
    <row r="4508" spans="7:11" x14ac:dyDescent="0.2">
      <c r="G4508" s="44"/>
      <c r="J4508" t="str">
        <f t="shared" si="140"/>
        <v/>
      </c>
      <c r="K4508" t="str">
        <f t="shared" si="141"/>
        <v/>
      </c>
    </row>
    <row r="4509" spans="7:11" x14ac:dyDescent="0.2">
      <c r="G4509" s="44"/>
      <c r="J4509" t="str">
        <f t="shared" si="140"/>
        <v/>
      </c>
      <c r="K4509" t="str">
        <f t="shared" si="141"/>
        <v/>
      </c>
    </row>
    <row r="4510" spans="7:11" x14ac:dyDescent="0.2">
      <c r="G4510" s="44"/>
      <c r="J4510" t="str">
        <f t="shared" si="140"/>
        <v/>
      </c>
      <c r="K4510" t="str">
        <f t="shared" si="141"/>
        <v/>
      </c>
    </row>
    <row r="4511" spans="7:11" x14ac:dyDescent="0.2">
      <c r="G4511" s="44"/>
      <c r="J4511" t="str">
        <f t="shared" si="140"/>
        <v/>
      </c>
      <c r="K4511" t="str">
        <f t="shared" si="141"/>
        <v/>
      </c>
    </row>
    <row r="4512" spans="7:11" x14ac:dyDescent="0.2">
      <c r="G4512" s="44"/>
      <c r="J4512" t="str">
        <f t="shared" si="140"/>
        <v/>
      </c>
      <c r="K4512" t="str">
        <f t="shared" si="141"/>
        <v/>
      </c>
    </row>
    <row r="4513" spans="7:11" x14ac:dyDescent="0.2">
      <c r="G4513" s="44"/>
      <c r="J4513" t="str">
        <f t="shared" si="140"/>
        <v/>
      </c>
      <c r="K4513" t="str">
        <f t="shared" si="141"/>
        <v/>
      </c>
    </row>
    <row r="4514" spans="7:11" x14ac:dyDescent="0.2">
      <c r="G4514" s="44"/>
      <c r="J4514" t="str">
        <f t="shared" si="140"/>
        <v/>
      </c>
      <c r="K4514" t="str">
        <f t="shared" si="141"/>
        <v/>
      </c>
    </row>
    <row r="4515" spans="7:11" x14ac:dyDescent="0.2">
      <c r="G4515" s="44"/>
      <c r="J4515" t="str">
        <f t="shared" si="140"/>
        <v/>
      </c>
      <c r="K4515" t="str">
        <f t="shared" si="141"/>
        <v/>
      </c>
    </row>
    <row r="4516" spans="7:11" x14ac:dyDescent="0.2">
      <c r="G4516" s="44"/>
      <c r="J4516" t="str">
        <f t="shared" si="140"/>
        <v/>
      </c>
      <c r="K4516" t="str">
        <f t="shared" si="141"/>
        <v/>
      </c>
    </row>
    <row r="4517" spans="7:11" x14ac:dyDescent="0.2">
      <c r="G4517" s="44"/>
      <c r="J4517" t="str">
        <f t="shared" si="140"/>
        <v/>
      </c>
      <c r="K4517" t="str">
        <f t="shared" si="141"/>
        <v/>
      </c>
    </row>
    <row r="4518" spans="7:11" x14ac:dyDescent="0.2">
      <c r="G4518" s="44"/>
      <c r="J4518" t="str">
        <f t="shared" si="140"/>
        <v/>
      </c>
      <c r="K4518" t="str">
        <f t="shared" si="141"/>
        <v/>
      </c>
    </row>
    <row r="4519" spans="7:11" x14ac:dyDescent="0.2">
      <c r="G4519" s="44"/>
      <c r="J4519" t="str">
        <f t="shared" si="140"/>
        <v/>
      </c>
      <c r="K4519" t="str">
        <f t="shared" si="141"/>
        <v/>
      </c>
    </row>
    <row r="4520" spans="7:11" x14ac:dyDescent="0.2">
      <c r="G4520" s="44"/>
      <c r="J4520" t="str">
        <f t="shared" si="140"/>
        <v/>
      </c>
      <c r="K4520" t="str">
        <f t="shared" si="141"/>
        <v/>
      </c>
    </row>
    <row r="4521" spans="7:11" x14ac:dyDescent="0.2">
      <c r="G4521" s="44"/>
      <c r="J4521" t="str">
        <f t="shared" si="140"/>
        <v/>
      </c>
      <c r="K4521" t="str">
        <f t="shared" si="141"/>
        <v/>
      </c>
    </row>
    <row r="4522" spans="7:11" x14ac:dyDescent="0.2">
      <c r="G4522" s="44"/>
      <c r="J4522" t="str">
        <f t="shared" si="140"/>
        <v/>
      </c>
      <c r="K4522" t="str">
        <f t="shared" si="141"/>
        <v/>
      </c>
    </row>
    <row r="4523" spans="7:11" x14ac:dyDescent="0.2">
      <c r="G4523" s="44"/>
      <c r="J4523" t="str">
        <f t="shared" si="140"/>
        <v/>
      </c>
      <c r="K4523" t="str">
        <f t="shared" si="141"/>
        <v/>
      </c>
    </row>
    <row r="4524" spans="7:11" x14ac:dyDescent="0.2">
      <c r="G4524" s="44"/>
      <c r="J4524" t="str">
        <f t="shared" si="140"/>
        <v/>
      </c>
      <c r="K4524" t="str">
        <f t="shared" si="141"/>
        <v/>
      </c>
    </row>
    <row r="4525" spans="7:11" x14ac:dyDescent="0.2">
      <c r="G4525" s="44"/>
      <c r="J4525" t="str">
        <f t="shared" si="140"/>
        <v/>
      </c>
      <c r="K4525" t="str">
        <f t="shared" si="141"/>
        <v/>
      </c>
    </row>
    <row r="4526" spans="7:11" x14ac:dyDescent="0.2">
      <c r="G4526" s="44"/>
      <c r="J4526" t="str">
        <f t="shared" si="140"/>
        <v/>
      </c>
      <c r="K4526" t="str">
        <f t="shared" si="141"/>
        <v/>
      </c>
    </row>
    <row r="4527" spans="7:11" x14ac:dyDescent="0.2">
      <c r="G4527" s="44"/>
      <c r="J4527" t="str">
        <f t="shared" si="140"/>
        <v/>
      </c>
      <c r="K4527" t="str">
        <f t="shared" si="141"/>
        <v/>
      </c>
    </row>
    <row r="4528" spans="7:11" x14ac:dyDescent="0.2">
      <c r="G4528" s="44"/>
      <c r="J4528" t="str">
        <f t="shared" si="140"/>
        <v/>
      </c>
      <c r="K4528" t="str">
        <f t="shared" si="141"/>
        <v/>
      </c>
    </row>
    <row r="4529" spans="7:11" x14ac:dyDescent="0.2">
      <c r="G4529" s="44"/>
      <c r="J4529" t="str">
        <f t="shared" si="140"/>
        <v/>
      </c>
      <c r="K4529" t="str">
        <f t="shared" si="141"/>
        <v/>
      </c>
    </row>
    <row r="4530" spans="7:11" x14ac:dyDescent="0.2">
      <c r="G4530" s="44"/>
      <c r="J4530" t="str">
        <f t="shared" si="140"/>
        <v/>
      </c>
      <c r="K4530" t="str">
        <f t="shared" si="141"/>
        <v/>
      </c>
    </row>
    <row r="4531" spans="7:11" x14ac:dyDescent="0.2">
      <c r="G4531" s="44"/>
      <c r="J4531" t="str">
        <f t="shared" si="140"/>
        <v/>
      </c>
      <c r="K4531" t="str">
        <f t="shared" si="141"/>
        <v/>
      </c>
    </row>
    <row r="4532" spans="7:11" x14ac:dyDescent="0.2">
      <c r="G4532" s="44"/>
      <c r="J4532" t="str">
        <f t="shared" si="140"/>
        <v/>
      </c>
      <c r="K4532" t="str">
        <f t="shared" si="141"/>
        <v/>
      </c>
    </row>
    <row r="4533" spans="7:11" x14ac:dyDescent="0.2">
      <c r="G4533" s="44"/>
      <c r="J4533" t="str">
        <f t="shared" si="140"/>
        <v/>
      </c>
      <c r="K4533" t="str">
        <f t="shared" si="141"/>
        <v/>
      </c>
    </row>
    <row r="4534" spans="7:11" x14ac:dyDescent="0.2">
      <c r="G4534" s="44"/>
      <c r="J4534" t="str">
        <f t="shared" si="140"/>
        <v/>
      </c>
      <c r="K4534" t="str">
        <f t="shared" si="141"/>
        <v/>
      </c>
    </row>
    <row r="4535" spans="7:11" x14ac:dyDescent="0.2">
      <c r="G4535" s="44"/>
      <c r="J4535" t="str">
        <f t="shared" si="140"/>
        <v/>
      </c>
      <c r="K4535" t="str">
        <f t="shared" si="141"/>
        <v/>
      </c>
    </row>
    <row r="4536" spans="7:11" x14ac:dyDescent="0.2">
      <c r="G4536" s="44"/>
      <c r="J4536" t="str">
        <f t="shared" si="140"/>
        <v/>
      </c>
      <c r="K4536" t="str">
        <f t="shared" si="141"/>
        <v/>
      </c>
    </row>
    <row r="4537" spans="7:11" x14ac:dyDescent="0.2">
      <c r="G4537" s="44"/>
      <c r="J4537" t="str">
        <f t="shared" si="140"/>
        <v/>
      </c>
      <c r="K4537" t="str">
        <f t="shared" si="141"/>
        <v/>
      </c>
    </row>
    <row r="4538" spans="7:11" x14ac:dyDescent="0.2">
      <c r="G4538" s="44"/>
      <c r="J4538" t="str">
        <f t="shared" si="140"/>
        <v/>
      </c>
      <c r="K4538" t="str">
        <f t="shared" si="141"/>
        <v/>
      </c>
    </row>
    <row r="4539" spans="7:11" x14ac:dyDescent="0.2">
      <c r="G4539" s="44"/>
      <c r="J4539" t="str">
        <f t="shared" si="140"/>
        <v/>
      </c>
      <c r="K4539" t="str">
        <f t="shared" si="141"/>
        <v/>
      </c>
    </row>
    <row r="4540" spans="7:11" x14ac:dyDescent="0.2">
      <c r="G4540" s="44"/>
      <c r="J4540" t="str">
        <f t="shared" si="140"/>
        <v/>
      </c>
      <c r="K4540" t="str">
        <f t="shared" si="141"/>
        <v/>
      </c>
    </row>
    <row r="4541" spans="7:11" x14ac:dyDescent="0.2">
      <c r="G4541" s="44"/>
      <c r="J4541" t="str">
        <f t="shared" si="140"/>
        <v/>
      </c>
      <c r="K4541" t="str">
        <f t="shared" si="141"/>
        <v/>
      </c>
    </row>
    <row r="4542" spans="7:11" x14ac:dyDescent="0.2">
      <c r="G4542" s="44"/>
      <c r="J4542" t="str">
        <f t="shared" si="140"/>
        <v/>
      </c>
      <c r="K4542" t="str">
        <f t="shared" si="141"/>
        <v/>
      </c>
    </row>
    <row r="4543" spans="7:11" x14ac:dyDescent="0.2">
      <c r="G4543" s="44"/>
      <c r="J4543" t="str">
        <f t="shared" si="140"/>
        <v/>
      </c>
      <c r="K4543" t="str">
        <f t="shared" si="141"/>
        <v/>
      </c>
    </row>
    <row r="4544" spans="7:11" x14ac:dyDescent="0.2">
      <c r="G4544" s="44"/>
      <c r="J4544" t="str">
        <f t="shared" si="140"/>
        <v/>
      </c>
      <c r="K4544" t="str">
        <f t="shared" si="141"/>
        <v/>
      </c>
    </row>
    <row r="4545" spans="7:11" x14ac:dyDescent="0.2">
      <c r="G4545" s="44"/>
      <c r="J4545" t="str">
        <f t="shared" si="140"/>
        <v/>
      </c>
      <c r="K4545" t="str">
        <f t="shared" si="141"/>
        <v/>
      </c>
    </row>
    <row r="4546" spans="7:11" x14ac:dyDescent="0.2">
      <c r="G4546" s="44"/>
      <c r="J4546" t="str">
        <f t="shared" ref="J4546:J4609" si="142">IF(E4546="","",IF(OR(E4546=50,E4546=51),"Iltindhold",IF(E4546=75,"Carbon,org,NVOC",IF(OR(E4546=343,E4546=1167),"Svovlbrinte",IF(OR(E4546=240,E4546=241,E4546=242),"Amm",IF(E4546=244,"Nitrit",IF(E4546=247,"Nitrat",IF(E4546=334,"Sulfat",IF(E4546=262,"Phosphor, total-P",F4546)))))))))</f>
        <v/>
      </c>
      <c r="K4546" t="str">
        <f t="shared" ref="K4546:K4609" si="143">IF(A4546="","",IF(H4546="!",NA(),IF(H4546="A",I4546*0.5,IF(H4546="&lt;",I4546*0.5,I4546))))</f>
        <v/>
      </c>
    </row>
    <row r="4547" spans="7:11" x14ac:dyDescent="0.2">
      <c r="G4547" s="44"/>
      <c r="J4547" t="str">
        <f t="shared" si="142"/>
        <v/>
      </c>
      <c r="K4547" t="str">
        <f t="shared" si="143"/>
        <v/>
      </c>
    </row>
    <row r="4548" spans="7:11" x14ac:dyDescent="0.2">
      <c r="G4548" s="44"/>
      <c r="J4548" t="str">
        <f t="shared" si="142"/>
        <v/>
      </c>
      <c r="K4548" t="str">
        <f t="shared" si="143"/>
        <v/>
      </c>
    </row>
    <row r="4549" spans="7:11" x14ac:dyDescent="0.2">
      <c r="G4549" s="44"/>
      <c r="J4549" t="str">
        <f t="shared" si="142"/>
        <v/>
      </c>
      <c r="K4549" t="str">
        <f t="shared" si="143"/>
        <v/>
      </c>
    </row>
    <row r="4550" spans="7:11" x14ac:dyDescent="0.2">
      <c r="G4550" s="44"/>
      <c r="J4550" t="str">
        <f t="shared" si="142"/>
        <v/>
      </c>
      <c r="K4550" t="str">
        <f t="shared" si="143"/>
        <v/>
      </c>
    </row>
    <row r="4551" spans="7:11" x14ac:dyDescent="0.2">
      <c r="G4551" s="44"/>
      <c r="J4551" t="str">
        <f t="shared" si="142"/>
        <v/>
      </c>
      <c r="K4551" t="str">
        <f t="shared" si="143"/>
        <v/>
      </c>
    </row>
    <row r="4552" spans="7:11" x14ac:dyDescent="0.2">
      <c r="G4552" s="44"/>
      <c r="J4552" t="str">
        <f t="shared" si="142"/>
        <v/>
      </c>
      <c r="K4552" t="str">
        <f t="shared" si="143"/>
        <v/>
      </c>
    </row>
    <row r="4553" spans="7:11" x14ac:dyDescent="0.2">
      <c r="G4553" s="44"/>
      <c r="J4553" t="str">
        <f t="shared" si="142"/>
        <v/>
      </c>
      <c r="K4553" t="str">
        <f t="shared" si="143"/>
        <v/>
      </c>
    </row>
    <row r="4554" spans="7:11" x14ac:dyDescent="0.2">
      <c r="G4554" s="44"/>
      <c r="J4554" t="str">
        <f t="shared" si="142"/>
        <v/>
      </c>
      <c r="K4554" t="str">
        <f t="shared" si="143"/>
        <v/>
      </c>
    </row>
    <row r="4555" spans="7:11" x14ac:dyDescent="0.2">
      <c r="G4555" s="44"/>
      <c r="J4555" t="str">
        <f t="shared" si="142"/>
        <v/>
      </c>
      <c r="K4555" t="str">
        <f t="shared" si="143"/>
        <v/>
      </c>
    </row>
    <row r="4556" spans="7:11" x14ac:dyDescent="0.2">
      <c r="G4556" s="44"/>
      <c r="J4556" t="str">
        <f t="shared" si="142"/>
        <v/>
      </c>
      <c r="K4556" t="str">
        <f t="shared" si="143"/>
        <v/>
      </c>
    </row>
    <row r="4557" spans="7:11" x14ac:dyDescent="0.2">
      <c r="G4557" s="44"/>
      <c r="J4557" t="str">
        <f t="shared" si="142"/>
        <v/>
      </c>
      <c r="K4557" t="str">
        <f t="shared" si="143"/>
        <v/>
      </c>
    </row>
    <row r="4558" spans="7:11" x14ac:dyDescent="0.2">
      <c r="G4558" s="44"/>
      <c r="J4558" t="str">
        <f t="shared" si="142"/>
        <v/>
      </c>
      <c r="K4558" t="str">
        <f t="shared" si="143"/>
        <v/>
      </c>
    </row>
    <row r="4559" spans="7:11" x14ac:dyDescent="0.2">
      <c r="G4559" s="44"/>
      <c r="J4559" t="str">
        <f t="shared" si="142"/>
        <v/>
      </c>
      <c r="K4559" t="str">
        <f t="shared" si="143"/>
        <v/>
      </c>
    </row>
    <row r="4560" spans="7:11" x14ac:dyDescent="0.2">
      <c r="G4560" s="44"/>
      <c r="J4560" t="str">
        <f t="shared" si="142"/>
        <v/>
      </c>
      <c r="K4560" t="str">
        <f t="shared" si="143"/>
        <v/>
      </c>
    </row>
    <row r="4561" spans="7:11" x14ac:dyDescent="0.2">
      <c r="G4561" s="44"/>
      <c r="J4561" t="str">
        <f t="shared" si="142"/>
        <v/>
      </c>
      <c r="K4561" t="str">
        <f t="shared" si="143"/>
        <v/>
      </c>
    </row>
    <row r="4562" spans="7:11" x14ac:dyDescent="0.2">
      <c r="G4562" s="44"/>
      <c r="J4562" t="str">
        <f t="shared" si="142"/>
        <v/>
      </c>
      <c r="K4562" t="str">
        <f t="shared" si="143"/>
        <v/>
      </c>
    </row>
    <row r="4563" spans="7:11" x14ac:dyDescent="0.2">
      <c r="G4563" s="44"/>
      <c r="J4563" t="str">
        <f t="shared" si="142"/>
        <v/>
      </c>
      <c r="K4563" t="str">
        <f t="shared" si="143"/>
        <v/>
      </c>
    </row>
    <row r="4564" spans="7:11" x14ac:dyDescent="0.2">
      <c r="G4564" s="44"/>
      <c r="J4564" t="str">
        <f t="shared" si="142"/>
        <v/>
      </c>
      <c r="K4564" t="str">
        <f t="shared" si="143"/>
        <v/>
      </c>
    </row>
    <row r="4565" spans="7:11" x14ac:dyDescent="0.2">
      <c r="G4565" s="44"/>
      <c r="J4565" t="str">
        <f t="shared" si="142"/>
        <v/>
      </c>
      <c r="K4565" t="str">
        <f t="shared" si="143"/>
        <v/>
      </c>
    </row>
    <row r="4566" spans="7:11" x14ac:dyDescent="0.2">
      <c r="G4566" s="44"/>
      <c r="J4566" t="str">
        <f t="shared" si="142"/>
        <v/>
      </c>
      <c r="K4566" t="str">
        <f t="shared" si="143"/>
        <v/>
      </c>
    </row>
    <row r="4567" spans="7:11" x14ac:dyDescent="0.2">
      <c r="G4567" s="44"/>
      <c r="J4567" t="str">
        <f t="shared" si="142"/>
        <v/>
      </c>
      <c r="K4567" t="str">
        <f t="shared" si="143"/>
        <v/>
      </c>
    </row>
    <row r="4568" spans="7:11" x14ac:dyDescent="0.2">
      <c r="G4568" s="44"/>
      <c r="J4568" t="str">
        <f t="shared" si="142"/>
        <v/>
      </c>
      <c r="K4568" t="str">
        <f t="shared" si="143"/>
        <v/>
      </c>
    </row>
    <row r="4569" spans="7:11" x14ac:dyDescent="0.2">
      <c r="G4569" s="44"/>
      <c r="J4569" t="str">
        <f t="shared" si="142"/>
        <v/>
      </c>
      <c r="K4569" t="str">
        <f t="shared" si="143"/>
        <v/>
      </c>
    </row>
    <row r="4570" spans="7:11" x14ac:dyDescent="0.2">
      <c r="G4570" s="44"/>
      <c r="J4570" t="str">
        <f t="shared" si="142"/>
        <v/>
      </c>
      <c r="K4570" t="str">
        <f t="shared" si="143"/>
        <v/>
      </c>
    </row>
    <row r="4571" spans="7:11" x14ac:dyDescent="0.2">
      <c r="G4571" s="44"/>
      <c r="J4571" t="str">
        <f t="shared" si="142"/>
        <v/>
      </c>
      <c r="K4571" t="str">
        <f t="shared" si="143"/>
        <v/>
      </c>
    </row>
    <row r="4572" spans="7:11" x14ac:dyDescent="0.2">
      <c r="G4572" s="44"/>
      <c r="J4572" t="str">
        <f t="shared" si="142"/>
        <v/>
      </c>
      <c r="K4572" t="str">
        <f t="shared" si="143"/>
        <v/>
      </c>
    </row>
    <row r="4573" spans="7:11" x14ac:dyDescent="0.2">
      <c r="G4573" s="44"/>
      <c r="J4573" t="str">
        <f t="shared" si="142"/>
        <v/>
      </c>
      <c r="K4573" t="str">
        <f t="shared" si="143"/>
        <v/>
      </c>
    </row>
    <row r="4574" spans="7:11" x14ac:dyDescent="0.2">
      <c r="G4574" s="44"/>
      <c r="J4574" t="str">
        <f t="shared" si="142"/>
        <v/>
      </c>
      <c r="K4574" t="str">
        <f t="shared" si="143"/>
        <v/>
      </c>
    </row>
    <row r="4575" spans="7:11" x14ac:dyDescent="0.2">
      <c r="G4575" s="44"/>
      <c r="J4575" t="str">
        <f t="shared" si="142"/>
        <v/>
      </c>
      <c r="K4575" t="str">
        <f t="shared" si="143"/>
        <v/>
      </c>
    </row>
    <row r="4576" spans="7:11" x14ac:dyDescent="0.2">
      <c r="G4576" s="44"/>
      <c r="J4576" t="str">
        <f t="shared" si="142"/>
        <v/>
      </c>
      <c r="K4576" t="str">
        <f t="shared" si="143"/>
        <v/>
      </c>
    </row>
    <row r="4577" spans="7:11" x14ac:dyDescent="0.2">
      <c r="G4577" s="44"/>
      <c r="J4577" t="str">
        <f t="shared" si="142"/>
        <v/>
      </c>
      <c r="K4577" t="str">
        <f t="shared" si="143"/>
        <v/>
      </c>
    </row>
    <row r="4578" spans="7:11" x14ac:dyDescent="0.2">
      <c r="G4578" s="44"/>
      <c r="J4578" t="str">
        <f t="shared" si="142"/>
        <v/>
      </c>
      <c r="K4578" t="str">
        <f t="shared" si="143"/>
        <v/>
      </c>
    </row>
    <row r="4579" spans="7:11" x14ac:dyDescent="0.2">
      <c r="G4579" s="44"/>
      <c r="J4579" t="str">
        <f t="shared" si="142"/>
        <v/>
      </c>
      <c r="K4579" t="str">
        <f t="shared" si="143"/>
        <v/>
      </c>
    </row>
    <row r="4580" spans="7:11" x14ac:dyDescent="0.2">
      <c r="G4580" s="44"/>
      <c r="J4580" t="str">
        <f t="shared" si="142"/>
        <v/>
      </c>
      <c r="K4580" t="str">
        <f t="shared" si="143"/>
        <v/>
      </c>
    </row>
    <row r="4581" spans="7:11" x14ac:dyDescent="0.2">
      <c r="G4581" s="44"/>
      <c r="J4581" t="str">
        <f t="shared" si="142"/>
        <v/>
      </c>
      <c r="K4581" t="str">
        <f t="shared" si="143"/>
        <v/>
      </c>
    </row>
    <row r="4582" spans="7:11" x14ac:dyDescent="0.2">
      <c r="G4582" s="44"/>
      <c r="J4582" t="str">
        <f t="shared" si="142"/>
        <v/>
      </c>
      <c r="K4582" t="str">
        <f t="shared" si="143"/>
        <v/>
      </c>
    </row>
    <row r="4583" spans="7:11" x14ac:dyDescent="0.2">
      <c r="G4583" s="44"/>
      <c r="J4583" t="str">
        <f t="shared" si="142"/>
        <v/>
      </c>
      <c r="K4583" t="str">
        <f t="shared" si="143"/>
        <v/>
      </c>
    </row>
    <row r="4584" spans="7:11" x14ac:dyDescent="0.2">
      <c r="G4584" s="44"/>
      <c r="J4584" t="str">
        <f t="shared" si="142"/>
        <v/>
      </c>
      <c r="K4584" t="str">
        <f t="shared" si="143"/>
        <v/>
      </c>
    </row>
    <row r="4585" spans="7:11" x14ac:dyDescent="0.2">
      <c r="G4585" s="44"/>
      <c r="J4585" t="str">
        <f t="shared" si="142"/>
        <v/>
      </c>
      <c r="K4585" t="str">
        <f t="shared" si="143"/>
        <v/>
      </c>
    </row>
    <row r="4586" spans="7:11" x14ac:dyDescent="0.2">
      <c r="G4586" s="44"/>
      <c r="J4586" t="str">
        <f t="shared" si="142"/>
        <v/>
      </c>
      <c r="K4586" t="str">
        <f t="shared" si="143"/>
        <v/>
      </c>
    </row>
    <row r="4587" spans="7:11" x14ac:dyDescent="0.2">
      <c r="G4587" s="44"/>
      <c r="J4587" t="str">
        <f t="shared" si="142"/>
        <v/>
      </c>
      <c r="K4587" t="str">
        <f t="shared" si="143"/>
        <v/>
      </c>
    </row>
    <row r="4588" spans="7:11" x14ac:dyDescent="0.2">
      <c r="G4588" s="44"/>
      <c r="J4588" t="str">
        <f t="shared" si="142"/>
        <v/>
      </c>
      <c r="K4588" t="str">
        <f t="shared" si="143"/>
        <v/>
      </c>
    </row>
    <row r="4589" spans="7:11" x14ac:dyDescent="0.2">
      <c r="G4589" s="44"/>
      <c r="J4589" t="str">
        <f t="shared" si="142"/>
        <v/>
      </c>
      <c r="K4589" t="str">
        <f t="shared" si="143"/>
        <v/>
      </c>
    </row>
    <row r="4590" spans="7:11" x14ac:dyDescent="0.2">
      <c r="G4590" s="44"/>
      <c r="J4590" t="str">
        <f t="shared" si="142"/>
        <v/>
      </c>
      <c r="K4590" t="str">
        <f t="shared" si="143"/>
        <v/>
      </c>
    </row>
    <row r="4591" spans="7:11" x14ac:dyDescent="0.2">
      <c r="G4591" s="44"/>
      <c r="J4591" t="str">
        <f t="shared" si="142"/>
        <v/>
      </c>
      <c r="K4591" t="str">
        <f t="shared" si="143"/>
        <v/>
      </c>
    </row>
    <row r="4592" spans="7:11" x14ac:dyDescent="0.2">
      <c r="G4592" s="44"/>
      <c r="J4592" t="str">
        <f t="shared" si="142"/>
        <v/>
      </c>
      <c r="K4592" t="str">
        <f t="shared" si="143"/>
        <v/>
      </c>
    </row>
    <row r="4593" spans="7:11" x14ac:dyDescent="0.2">
      <c r="G4593" s="44"/>
      <c r="J4593" t="str">
        <f t="shared" si="142"/>
        <v/>
      </c>
      <c r="K4593" t="str">
        <f t="shared" si="143"/>
        <v/>
      </c>
    </row>
    <row r="4594" spans="7:11" x14ac:dyDescent="0.2">
      <c r="G4594" s="44"/>
      <c r="J4594" t="str">
        <f t="shared" si="142"/>
        <v/>
      </c>
      <c r="K4594" t="str">
        <f t="shared" si="143"/>
        <v/>
      </c>
    </row>
    <row r="4595" spans="7:11" x14ac:dyDescent="0.2">
      <c r="G4595" s="44"/>
      <c r="J4595" t="str">
        <f t="shared" si="142"/>
        <v/>
      </c>
      <c r="K4595" t="str">
        <f t="shared" si="143"/>
        <v/>
      </c>
    </row>
    <row r="4596" spans="7:11" x14ac:dyDescent="0.2">
      <c r="G4596" s="44"/>
      <c r="J4596" t="str">
        <f t="shared" si="142"/>
        <v/>
      </c>
      <c r="K4596" t="str">
        <f t="shared" si="143"/>
        <v/>
      </c>
    </row>
    <row r="4597" spans="7:11" x14ac:dyDescent="0.2">
      <c r="G4597" s="44"/>
      <c r="J4597" t="str">
        <f t="shared" si="142"/>
        <v/>
      </c>
      <c r="K4597" t="str">
        <f t="shared" si="143"/>
        <v/>
      </c>
    </row>
    <row r="4598" spans="7:11" x14ac:dyDescent="0.2">
      <c r="G4598" s="44"/>
      <c r="J4598" t="str">
        <f t="shared" si="142"/>
        <v/>
      </c>
      <c r="K4598" t="str">
        <f t="shared" si="143"/>
        <v/>
      </c>
    </row>
    <row r="4599" spans="7:11" x14ac:dyDescent="0.2">
      <c r="G4599" s="44"/>
      <c r="J4599" t="str">
        <f t="shared" si="142"/>
        <v/>
      </c>
      <c r="K4599" t="str">
        <f t="shared" si="143"/>
        <v/>
      </c>
    </row>
    <row r="4600" spans="7:11" x14ac:dyDescent="0.2">
      <c r="G4600" s="44"/>
      <c r="J4600" t="str">
        <f t="shared" si="142"/>
        <v/>
      </c>
      <c r="K4600" t="str">
        <f t="shared" si="143"/>
        <v/>
      </c>
    </row>
    <row r="4601" spans="7:11" x14ac:dyDescent="0.2">
      <c r="G4601" s="44"/>
      <c r="J4601" t="str">
        <f t="shared" si="142"/>
        <v/>
      </c>
      <c r="K4601" t="str">
        <f t="shared" si="143"/>
        <v/>
      </c>
    </row>
    <row r="4602" spans="7:11" x14ac:dyDescent="0.2">
      <c r="G4602" s="44"/>
      <c r="J4602" t="str">
        <f t="shared" si="142"/>
        <v/>
      </c>
      <c r="K4602" t="str">
        <f t="shared" si="143"/>
        <v/>
      </c>
    </row>
    <row r="4603" spans="7:11" x14ac:dyDescent="0.2">
      <c r="G4603" s="44"/>
      <c r="J4603" t="str">
        <f t="shared" si="142"/>
        <v/>
      </c>
      <c r="K4603" t="str">
        <f t="shared" si="143"/>
        <v/>
      </c>
    </row>
    <row r="4604" spans="7:11" x14ac:dyDescent="0.2">
      <c r="G4604" s="44"/>
      <c r="J4604" t="str">
        <f t="shared" si="142"/>
        <v/>
      </c>
      <c r="K4604" t="str">
        <f t="shared" si="143"/>
        <v/>
      </c>
    </row>
    <row r="4605" spans="7:11" x14ac:dyDescent="0.2">
      <c r="G4605" s="44"/>
      <c r="J4605" t="str">
        <f t="shared" si="142"/>
        <v/>
      </c>
      <c r="K4605" t="str">
        <f t="shared" si="143"/>
        <v/>
      </c>
    </row>
    <row r="4606" spans="7:11" x14ac:dyDescent="0.2">
      <c r="G4606" s="44"/>
      <c r="J4606" t="str">
        <f t="shared" si="142"/>
        <v/>
      </c>
      <c r="K4606" t="str">
        <f t="shared" si="143"/>
        <v/>
      </c>
    </row>
    <row r="4607" spans="7:11" x14ac:dyDescent="0.2">
      <c r="G4607" s="44"/>
      <c r="J4607" t="str">
        <f t="shared" si="142"/>
        <v/>
      </c>
      <c r="K4607" t="str">
        <f t="shared" si="143"/>
        <v/>
      </c>
    </row>
    <row r="4608" spans="7:11" x14ac:dyDescent="0.2">
      <c r="G4608" s="44"/>
      <c r="J4608" t="str">
        <f t="shared" si="142"/>
        <v/>
      </c>
      <c r="K4608" t="str">
        <f t="shared" si="143"/>
        <v/>
      </c>
    </row>
    <row r="4609" spans="7:11" x14ac:dyDescent="0.2">
      <c r="G4609" s="44"/>
      <c r="J4609" t="str">
        <f t="shared" si="142"/>
        <v/>
      </c>
      <c r="K4609" t="str">
        <f t="shared" si="143"/>
        <v/>
      </c>
    </row>
    <row r="4610" spans="7:11" x14ac:dyDescent="0.2">
      <c r="G4610" s="44"/>
      <c r="J4610" t="str">
        <f t="shared" ref="J4610:J4673" si="144">IF(E4610="","",IF(OR(E4610=50,E4610=51),"Iltindhold",IF(E4610=75,"Carbon,org,NVOC",IF(OR(E4610=343,E4610=1167),"Svovlbrinte",IF(OR(E4610=240,E4610=241,E4610=242),"Amm",IF(E4610=244,"Nitrit",IF(E4610=247,"Nitrat",IF(E4610=334,"Sulfat",IF(E4610=262,"Phosphor, total-P",F4610)))))))))</f>
        <v/>
      </c>
      <c r="K4610" t="str">
        <f t="shared" ref="K4610:K4673" si="145">IF(A4610="","",IF(H4610="!",NA(),IF(H4610="A",I4610*0.5,IF(H4610="&lt;",I4610*0.5,I4610))))</f>
        <v/>
      </c>
    </row>
    <row r="4611" spans="7:11" x14ac:dyDescent="0.2">
      <c r="G4611" s="44"/>
      <c r="J4611" t="str">
        <f t="shared" si="144"/>
        <v/>
      </c>
      <c r="K4611" t="str">
        <f t="shared" si="145"/>
        <v/>
      </c>
    </row>
    <row r="4612" spans="7:11" x14ac:dyDescent="0.2">
      <c r="G4612" s="44"/>
      <c r="J4612" t="str">
        <f t="shared" si="144"/>
        <v/>
      </c>
      <c r="K4612" t="str">
        <f t="shared" si="145"/>
        <v/>
      </c>
    </row>
    <row r="4613" spans="7:11" x14ac:dyDescent="0.2">
      <c r="G4613" s="44"/>
      <c r="J4613" t="str">
        <f t="shared" si="144"/>
        <v/>
      </c>
      <c r="K4613" t="str">
        <f t="shared" si="145"/>
        <v/>
      </c>
    </row>
    <row r="4614" spans="7:11" x14ac:dyDescent="0.2">
      <c r="G4614" s="44"/>
      <c r="J4614" t="str">
        <f t="shared" si="144"/>
        <v/>
      </c>
      <c r="K4614" t="str">
        <f t="shared" si="145"/>
        <v/>
      </c>
    </row>
    <row r="4615" spans="7:11" x14ac:dyDescent="0.2">
      <c r="G4615" s="44"/>
      <c r="J4615" t="str">
        <f t="shared" si="144"/>
        <v/>
      </c>
      <c r="K4615" t="str">
        <f t="shared" si="145"/>
        <v/>
      </c>
    </row>
    <row r="4616" spans="7:11" x14ac:dyDescent="0.2">
      <c r="G4616" s="44"/>
      <c r="J4616" t="str">
        <f t="shared" si="144"/>
        <v/>
      </c>
      <c r="K4616" t="str">
        <f t="shared" si="145"/>
        <v/>
      </c>
    </row>
    <row r="4617" spans="7:11" x14ac:dyDescent="0.2">
      <c r="G4617" s="44"/>
      <c r="J4617" t="str">
        <f t="shared" si="144"/>
        <v/>
      </c>
      <c r="K4617" t="str">
        <f t="shared" si="145"/>
        <v/>
      </c>
    </row>
    <row r="4618" spans="7:11" x14ac:dyDescent="0.2">
      <c r="G4618" s="44"/>
      <c r="J4618" t="str">
        <f t="shared" si="144"/>
        <v/>
      </c>
      <c r="K4618" t="str">
        <f t="shared" si="145"/>
        <v/>
      </c>
    </row>
    <row r="4619" spans="7:11" x14ac:dyDescent="0.2">
      <c r="G4619" s="44"/>
      <c r="J4619" t="str">
        <f t="shared" si="144"/>
        <v/>
      </c>
      <c r="K4619" t="str">
        <f t="shared" si="145"/>
        <v/>
      </c>
    </row>
    <row r="4620" spans="7:11" x14ac:dyDescent="0.2">
      <c r="G4620" s="44"/>
      <c r="J4620" t="str">
        <f t="shared" si="144"/>
        <v/>
      </c>
      <c r="K4620" t="str">
        <f t="shared" si="145"/>
        <v/>
      </c>
    </row>
    <row r="4621" spans="7:11" x14ac:dyDescent="0.2">
      <c r="G4621" s="44"/>
      <c r="J4621" t="str">
        <f t="shared" si="144"/>
        <v/>
      </c>
      <c r="K4621" t="str">
        <f t="shared" si="145"/>
        <v/>
      </c>
    </row>
    <row r="4622" spans="7:11" x14ac:dyDescent="0.2">
      <c r="G4622" s="44"/>
      <c r="J4622" t="str">
        <f t="shared" si="144"/>
        <v/>
      </c>
      <c r="K4622" t="str">
        <f t="shared" si="145"/>
        <v/>
      </c>
    </row>
    <row r="4623" spans="7:11" x14ac:dyDescent="0.2">
      <c r="G4623" s="44"/>
      <c r="J4623" t="str">
        <f t="shared" si="144"/>
        <v/>
      </c>
      <c r="K4623" t="str">
        <f t="shared" si="145"/>
        <v/>
      </c>
    </row>
    <row r="4624" spans="7:11" x14ac:dyDescent="0.2">
      <c r="G4624" s="44"/>
      <c r="J4624" t="str">
        <f t="shared" si="144"/>
        <v/>
      </c>
      <c r="K4624" t="str">
        <f t="shared" si="145"/>
        <v/>
      </c>
    </row>
    <row r="4625" spans="7:11" x14ac:dyDescent="0.2">
      <c r="G4625" s="44"/>
      <c r="J4625" t="str">
        <f t="shared" si="144"/>
        <v/>
      </c>
      <c r="K4625" t="str">
        <f t="shared" si="145"/>
        <v/>
      </c>
    </row>
    <row r="4626" spans="7:11" x14ac:dyDescent="0.2">
      <c r="G4626" s="44"/>
      <c r="J4626" t="str">
        <f t="shared" si="144"/>
        <v/>
      </c>
      <c r="K4626" t="str">
        <f t="shared" si="145"/>
        <v/>
      </c>
    </row>
    <row r="4627" spans="7:11" x14ac:dyDescent="0.2">
      <c r="G4627" s="44"/>
      <c r="J4627" t="str">
        <f t="shared" si="144"/>
        <v/>
      </c>
      <c r="K4627" t="str">
        <f t="shared" si="145"/>
        <v/>
      </c>
    </row>
    <row r="4628" spans="7:11" x14ac:dyDescent="0.2">
      <c r="G4628" s="44"/>
      <c r="J4628" t="str">
        <f t="shared" si="144"/>
        <v/>
      </c>
      <c r="K4628" t="str">
        <f t="shared" si="145"/>
        <v/>
      </c>
    </row>
    <row r="4629" spans="7:11" x14ac:dyDescent="0.2">
      <c r="G4629" s="44"/>
      <c r="J4629" t="str">
        <f t="shared" si="144"/>
        <v/>
      </c>
      <c r="K4629" t="str">
        <f t="shared" si="145"/>
        <v/>
      </c>
    </row>
    <row r="4630" spans="7:11" x14ac:dyDescent="0.2">
      <c r="G4630" s="44"/>
      <c r="J4630" t="str">
        <f t="shared" si="144"/>
        <v/>
      </c>
      <c r="K4630" t="str">
        <f t="shared" si="145"/>
        <v/>
      </c>
    </row>
    <row r="4631" spans="7:11" x14ac:dyDescent="0.2">
      <c r="G4631" s="44"/>
      <c r="J4631" t="str">
        <f t="shared" si="144"/>
        <v/>
      </c>
      <c r="K4631" t="str">
        <f t="shared" si="145"/>
        <v/>
      </c>
    </row>
    <row r="4632" spans="7:11" x14ac:dyDescent="0.2">
      <c r="G4632" s="44"/>
      <c r="J4632" t="str">
        <f t="shared" si="144"/>
        <v/>
      </c>
      <c r="K4632" t="str">
        <f t="shared" si="145"/>
        <v/>
      </c>
    </row>
    <row r="4633" spans="7:11" x14ac:dyDescent="0.2">
      <c r="G4633" s="44"/>
      <c r="J4633" t="str">
        <f t="shared" si="144"/>
        <v/>
      </c>
      <c r="K4633" t="str">
        <f t="shared" si="145"/>
        <v/>
      </c>
    </row>
    <row r="4634" spans="7:11" x14ac:dyDescent="0.2">
      <c r="G4634" s="44"/>
      <c r="J4634" t="str">
        <f t="shared" si="144"/>
        <v/>
      </c>
      <c r="K4634" t="str">
        <f t="shared" si="145"/>
        <v/>
      </c>
    </row>
    <row r="4635" spans="7:11" x14ac:dyDescent="0.2">
      <c r="G4635" s="44"/>
      <c r="J4635" t="str">
        <f t="shared" si="144"/>
        <v/>
      </c>
      <c r="K4635" t="str">
        <f t="shared" si="145"/>
        <v/>
      </c>
    </row>
    <row r="4636" spans="7:11" x14ac:dyDescent="0.2">
      <c r="G4636" s="44"/>
      <c r="J4636" t="str">
        <f t="shared" si="144"/>
        <v/>
      </c>
      <c r="K4636" t="str">
        <f t="shared" si="145"/>
        <v/>
      </c>
    </row>
    <row r="4637" spans="7:11" x14ac:dyDescent="0.2">
      <c r="G4637" s="44"/>
      <c r="J4637" t="str">
        <f t="shared" si="144"/>
        <v/>
      </c>
      <c r="K4637" t="str">
        <f t="shared" si="145"/>
        <v/>
      </c>
    </row>
    <row r="4638" spans="7:11" x14ac:dyDescent="0.2">
      <c r="G4638" s="44"/>
      <c r="J4638" t="str">
        <f t="shared" si="144"/>
        <v/>
      </c>
      <c r="K4638" t="str">
        <f t="shared" si="145"/>
        <v/>
      </c>
    </row>
    <row r="4639" spans="7:11" x14ac:dyDescent="0.2">
      <c r="G4639" s="44"/>
      <c r="J4639" t="str">
        <f t="shared" si="144"/>
        <v/>
      </c>
      <c r="K4639" t="str">
        <f t="shared" si="145"/>
        <v/>
      </c>
    </row>
    <row r="4640" spans="7:11" x14ac:dyDescent="0.2">
      <c r="G4640" s="44"/>
      <c r="J4640" t="str">
        <f t="shared" si="144"/>
        <v/>
      </c>
      <c r="K4640" t="str">
        <f t="shared" si="145"/>
        <v/>
      </c>
    </row>
    <row r="4641" spans="7:11" x14ac:dyDescent="0.2">
      <c r="G4641" s="44"/>
      <c r="J4641" t="str">
        <f t="shared" si="144"/>
        <v/>
      </c>
      <c r="K4641" t="str">
        <f t="shared" si="145"/>
        <v/>
      </c>
    </row>
    <row r="4642" spans="7:11" x14ac:dyDescent="0.2">
      <c r="G4642" s="44"/>
      <c r="J4642" t="str">
        <f t="shared" si="144"/>
        <v/>
      </c>
      <c r="K4642" t="str">
        <f t="shared" si="145"/>
        <v/>
      </c>
    </row>
    <row r="4643" spans="7:11" x14ac:dyDescent="0.2">
      <c r="G4643" s="44"/>
      <c r="J4643" t="str">
        <f t="shared" si="144"/>
        <v/>
      </c>
      <c r="K4643" t="str">
        <f t="shared" si="145"/>
        <v/>
      </c>
    </row>
    <row r="4644" spans="7:11" x14ac:dyDescent="0.2">
      <c r="G4644" s="44"/>
      <c r="J4644" t="str">
        <f t="shared" si="144"/>
        <v/>
      </c>
      <c r="K4644" t="str">
        <f t="shared" si="145"/>
        <v/>
      </c>
    </row>
    <row r="4645" spans="7:11" x14ac:dyDescent="0.2">
      <c r="G4645" s="44"/>
      <c r="J4645" t="str">
        <f t="shared" si="144"/>
        <v/>
      </c>
      <c r="K4645" t="str">
        <f t="shared" si="145"/>
        <v/>
      </c>
    </row>
    <row r="4646" spans="7:11" x14ac:dyDescent="0.2">
      <c r="G4646" s="44"/>
      <c r="J4646" t="str">
        <f t="shared" si="144"/>
        <v/>
      </c>
      <c r="K4646" t="str">
        <f t="shared" si="145"/>
        <v/>
      </c>
    </row>
    <row r="4647" spans="7:11" x14ac:dyDescent="0.2">
      <c r="G4647" s="44"/>
      <c r="J4647" t="str">
        <f t="shared" si="144"/>
        <v/>
      </c>
      <c r="K4647" t="str">
        <f t="shared" si="145"/>
        <v/>
      </c>
    </row>
    <row r="4648" spans="7:11" x14ac:dyDescent="0.2">
      <c r="G4648" s="44"/>
      <c r="J4648" t="str">
        <f t="shared" si="144"/>
        <v/>
      </c>
      <c r="K4648" t="str">
        <f t="shared" si="145"/>
        <v/>
      </c>
    </row>
    <row r="4649" spans="7:11" x14ac:dyDescent="0.2">
      <c r="G4649" s="44"/>
      <c r="J4649" t="str">
        <f t="shared" si="144"/>
        <v/>
      </c>
      <c r="K4649" t="str">
        <f t="shared" si="145"/>
        <v/>
      </c>
    </row>
    <row r="4650" spans="7:11" x14ac:dyDescent="0.2">
      <c r="G4650" s="44"/>
      <c r="J4650" t="str">
        <f t="shared" si="144"/>
        <v/>
      </c>
      <c r="K4650" t="str">
        <f t="shared" si="145"/>
        <v/>
      </c>
    </row>
    <row r="4651" spans="7:11" x14ac:dyDescent="0.2">
      <c r="G4651" s="44"/>
      <c r="J4651" t="str">
        <f t="shared" si="144"/>
        <v/>
      </c>
      <c r="K4651" t="str">
        <f t="shared" si="145"/>
        <v/>
      </c>
    </row>
    <row r="4652" spans="7:11" x14ac:dyDescent="0.2">
      <c r="G4652" s="44"/>
      <c r="J4652" t="str">
        <f t="shared" si="144"/>
        <v/>
      </c>
      <c r="K4652" t="str">
        <f t="shared" si="145"/>
        <v/>
      </c>
    </row>
    <row r="4653" spans="7:11" x14ac:dyDescent="0.2">
      <c r="G4653" s="44"/>
      <c r="J4653" t="str">
        <f t="shared" si="144"/>
        <v/>
      </c>
      <c r="K4653" t="str">
        <f t="shared" si="145"/>
        <v/>
      </c>
    </row>
    <row r="4654" spans="7:11" x14ac:dyDescent="0.2">
      <c r="G4654" s="44"/>
      <c r="J4654" t="str">
        <f t="shared" si="144"/>
        <v/>
      </c>
      <c r="K4654" t="str">
        <f t="shared" si="145"/>
        <v/>
      </c>
    </row>
    <row r="4655" spans="7:11" x14ac:dyDescent="0.2">
      <c r="G4655" s="44"/>
      <c r="J4655" t="str">
        <f t="shared" si="144"/>
        <v/>
      </c>
      <c r="K4655" t="str">
        <f t="shared" si="145"/>
        <v/>
      </c>
    </row>
    <row r="4656" spans="7:11" x14ac:dyDescent="0.2">
      <c r="G4656" s="44"/>
      <c r="J4656" t="str">
        <f t="shared" si="144"/>
        <v/>
      </c>
      <c r="K4656" t="str">
        <f t="shared" si="145"/>
        <v/>
      </c>
    </row>
    <row r="4657" spans="7:11" x14ac:dyDescent="0.2">
      <c r="G4657" s="44"/>
      <c r="J4657" t="str">
        <f t="shared" si="144"/>
        <v/>
      </c>
      <c r="K4657" t="str">
        <f t="shared" si="145"/>
        <v/>
      </c>
    </row>
    <row r="4658" spans="7:11" x14ac:dyDescent="0.2">
      <c r="G4658" s="44"/>
      <c r="J4658" t="str">
        <f t="shared" si="144"/>
        <v/>
      </c>
      <c r="K4658" t="str">
        <f t="shared" si="145"/>
        <v/>
      </c>
    </row>
    <row r="4659" spans="7:11" x14ac:dyDescent="0.2">
      <c r="G4659" s="44"/>
      <c r="J4659" t="str">
        <f t="shared" si="144"/>
        <v/>
      </c>
      <c r="K4659" t="str">
        <f t="shared" si="145"/>
        <v/>
      </c>
    </row>
    <row r="4660" spans="7:11" x14ac:dyDescent="0.2">
      <c r="G4660" s="44"/>
      <c r="J4660" t="str">
        <f t="shared" si="144"/>
        <v/>
      </c>
      <c r="K4660" t="str">
        <f t="shared" si="145"/>
        <v/>
      </c>
    </row>
    <row r="4661" spans="7:11" x14ac:dyDescent="0.2">
      <c r="G4661" s="44"/>
      <c r="J4661" t="str">
        <f t="shared" si="144"/>
        <v/>
      </c>
      <c r="K4661" t="str">
        <f t="shared" si="145"/>
        <v/>
      </c>
    </row>
    <row r="4662" spans="7:11" x14ac:dyDescent="0.2">
      <c r="G4662" s="44"/>
      <c r="J4662" t="str">
        <f t="shared" si="144"/>
        <v/>
      </c>
      <c r="K4662" t="str">
        <f t="shared" si="145"/>
        <v/>
      </c>
    </row>
    <row r="4663" spans="7:11" x14ac:dyDescent="0.2">
      <c r="G4663" s="44"/>
      <c r="J4663" t="str">
        <f t="shared" si="144"/>
        <v/>
      </c>
      <c r="K4663" t="str">
        <f t="shared" si="145"/>
        <v/>
      </c>
    </row>
    <row r="4664" spans="7:11" x14ac:dyDescent="0.2">
      <c r="G4664" s="44"/>
      <c r="J4664" t="str">
        <f t="shared" si="144"/>
        <v/>
      </c>
      <c r="K4664" t="str">
        <f t="shared" si="145"/>
        <v/>
      </c>
    </row>
    <row r="4665" spans="7:11" x14ac:dyDescent="0.2">
      <c r="G4665" s="44"/>
      <c r="J4665" t="str">
        <f t="shared" si="144"/>
        <v/>
      </c>
      <c r="K4665" t="str">
        <f t="shared" si="145"/>
        <v/>
      </c>
    </row>
    <row r="4666" spans="7:11" x14ac:dyDescent="0.2">
      <c r="G4666" s="44"/>
      <c r="J4666" t="str">
        <f t="shared" si="144"/>
        <v/>
      </c>
      <c r="K4666" t="str">
        <f t="shared" si="145"/>
        <v/>
      </c>
    </row>
    <row r="4667" spans="7:11" x14ac:dyDescent="0.2">
      <c r="G4667" s="44"/>
      <c r="J4667" t="str">
        <f t="shared" si="144"/>
        <v/>
      </c>
      <c r="K4667" t="str">
        <f t="shared" si="145"/>
        <v/>
      </c>
    </row>
    <row r="4668" spans="7:11" x14ac:dyDescent="0.2">
      <c r="G4668" s="44"/>
      <c r="J4668" t="str">
        <f t="shared" si="144"/>
        <v/>
      </c>
      <c r="K4668" t="str">
        <f t="shared" si="145"/>
        <v/>
      </c>
    </row>
    <row r="4669" spans="7:11" x14ac:dyDescent="0.2">
      <c r="G4669" s="44"/>
      <c r="J4669" t="str">
        <f t="shared" si="144"/>
        <v/>
      </c>
      <c r="K4669" t="str">
        <f t="shared" si="145"/>
        <v/>
      </c>
    </row>
    <row r="4670" spans="7:11" x14ac:dyDescent="0.2">
      <c r="G4670" s="44"/>
      <c r="J4670" t="str">
        <f t="shared" si="144"/>
        <v/>
      </c>
      <c r="K4670" t="str">
        <f t="shared" si="145"/>
        <v/>
      </c>
    </row>
    <row r="4671" spans="7:11" x14ac:dyDescent="0.2">
      <c r="G4671" s="44"/>
      <c r="J4671" t="str">
        <f t="shared" si="144"/>
        <v/>
      </c>
      <c r="K4671" t="str">
        <f t="shared" si="145"/>
        <v/>
      </c>
    </row>
    <row r="4672" spans="7:11" x14ac:dyDescent="0.2">
      <c r="G4672" s="44"/>
      <c r="J4672" t="str">
        <f t="shared" si="144"/>
        <v/>
      </c>
      <c r="K4672" t="str">
        <f t="shared" si="145"/>
        <v/>
      </c>
    </row>
    <row r="4673" spans="7:11" x14ac:dyDescent="0.2">
      <c r="G4673" s="44"/>
      <c r="J4673" t="str">
        <f t="shared" si="144"/>
        <v/>
      </c>
      <c r="K4673" t="str">
        <f t="shared" si="145"/>
        <v/>
      </c>
    </row>
    <row r="4674" spans="7:11" x14ac:dyDescent="0.2">
      <c r="G4674" s="44"/>
      <c r="J4674" t="str">
        <f t="shared" ref="J4674:J4737" si="146">IF(E4674="","",IF(OR(E4674=50,E4674=51),"Iltindhold",IF(E4674=75,"Carbon,org,NVOC",IF(OR(E4674=343,E4674=1167),"Svovlbrinte",IF(OR(E4674=240,E4674=241,E4674=242),"Amm",IF(E4674=244,"Nitrit",IF(E4674=247,"Nitrat",IF(E4674=334,"Sulfat",IF(E4674=262,"Phosphor, total-P",F4674)))))))))</f>
        <v/>
      </c>
      <c r="K4674" t="str">
        <f t="shared" ref="K4674:K4737" si="147">IF(A4674="","",IF(H4674="!",NA(),IF(H4674="A",I4674*0.5,IF(H4674="&lt;",I4674*0.5,I4674))))</f>
        <v/>
      </c>
    </row>
    <row r="4675" spans="7:11" x14ac:dyDescent="0.2">
      <c r="G4675" s="44"/>
      <c r="J4675" t="str">
        <f t="shared" si="146"/>
        <v/>
      </c>
      <c r="K4675" t="str">
        <f t="shared" si="147"/>
        <v/>
      </c>
    </row>
    <row r="4676" spans="7:11" x14ac:dyDescent="0.2">
      <c r="G4676" s="44"/>
      <c r="J4676" t="str">
        <f t="shared" si="146"/>
        <v/>
      </c>
      <c r="K4676" t="str">
        <f t="shared" si="147"/>
        <v/>
      </c>
    </row>
    <row r="4677" spans="7:11" x14ac:dyDescent="0.2">
      <c r="G4677" s="44"/>
      <c r="J4677" t="str">
        <f t="shared" si="146"/>
        <v/>
      </c>
      <c r="K4677" t="str">
        <f t="shared" si="147"/>
        <v/>
      </c>
    </row>
    <row r="4678" spans="7:11" x14ac:dyDescent="0.2">
      <c r="G4678" s="44"/>
      <c r="J4678" t="str">
        <f t="shared" si="146"/>
        <v/>
      </c>
      <c r="K4678" t="str">
        <f t="shared" si="147"/>
        <v/>
      </c>
    </row>
    <row r="4679" spans="7:11" x14ac:dyDescent="0.2">
      <c r="G4679" s="44"/>
      <c r="J4679" t="str">
        <f t="shared" si="146"/>
        <v/>
      </c>
      <c r="K4679" t="str">
        <f t="shared" si="147"/>
        <v/>
      </c>
    </row>
    <row r="4680" spans="7:11" x14ac:dyDescent="0.2">
      <c r="G4680" s="44"/>
      <c r="J4680" t="str">
        <f t="shared" si="146"/>
        <v/>
      </c>
      <c r="K4680" t="str">
        <f t="shared" si="147"/>
        <v/>
      </c>
    </row>
    <row r="4681" spans="7:11" x14ac:dyDescent="0.2">
      <c r="G4681" s="44"/>
      <c r="J4681" t="str">
        <f t="shared" si="146"/>
        <v/>
      </c>
      <c r="K4681" t="str">
        <f t="shared" si="147"/>
        <v/>
      </c>
    </row>
    <row r="4682" spans="7:11" x14ac:dyDescent="0.2">
      <c r="G4682" s="44"/>
      <c r="J4682" t="str">
        <f t="shared" si="146"/>
        <v/>
      </c>
      <c r="K4682" t="str">
        <f t="shared" si="147"/>
        <v/>
      </c>
    </row>
    <row r="4683" spans="7:11" x14ac:dyDescent="0.2">
      <c r="G4683" s="44"/>
      <c r="J4683" t="str">
        <f t="shared" si="146"/>
        <v/>
      </c>
      <c r="K4683" t="str">
        <f t="shared" si="147"/>
        <v/>
      </c>
    </row>
    <row r="4684" spans="7:11" x14ac:dyDescent="0.2">
      <c r="G4684" s="44"/>
      <c r="J4684" t="str">
        <f t="shared" si="146"/>
        <v/>
      </c>
      <c r="K4684" t="str">
        <f t="shared" si="147"/>
        <v/>
      </c>
    </row>
    <row r="4685" spans="7:11" x14ac:dyDescent="0.2">
      <c r="G4685" s="44"/>
      <c r="J4685" t="str">
        <f t="shared" si="146"/>
        <v/>
      </c>
      <c r="K4685" t="str">
        <f t="shared" si="147"/>
        <v/>
      </c>
    </row>
    <row r="4686" spans="7:11" x14ac:dyDescent="0.2">
      <c r="G4686" s="44"/>
      <c r="J4686" t="str">
        <f t="shared" si="146"/>
        <v/>
      </c>
      <c r="K4686" t="str">
        <f t="shared" si="147"/>
        <v/>
      </c>
    </row>
    <row r="4687" spans="7:11" x14ac:dyDescent="0.2">
      <c r="G4687" s="44"/>
      <c r="J4687" t="str">
        <f t="shared" si="146"/>
        <v/>
      </c>
      <c r="K4687" t="str">
        <f t="shared" si="147"/>
        <v/>
      </c>
    </row>
    <row r="4688" spans="7:11" x14ac:dyDescent="0.2">
      <c r="G4688" s="44"/>
      <c r="J4688" t="str">
        <f t="shared" si="146"/>
        <v/>
      </c>
      <c r="K4688" t="str">
        <f t="shared" si="147"/>
        <v/>
      </c>
    </row>
    <row r="4689" spans="7:11" x14ac:dyDescent="0.2">
      <c r="G4689" s="44"/>
      <c r="J4689" t="str">
        <f t="shared" si="146"/>
        <v/>
      </c>
      <c r="K4689" t="str">
        <f t="shared" si="147"/>
        <v/>
      </c>
    </row>
    <row r="4690" spans="7:11" x14ac:dyDescent="0.2">
      <c r="G4690" s="44"/>
      <c r="J4690" t="str">
        <f t="shared" si="146"/>
        <v/>
      </c>
      <c r="K4690" t="str">
        <f t="shared" si="147"/>
        <v/>
      </c>
    </row>
    <row r="4691" spans="7:11" x14ac:dyDescent="0.2">
      <c r="G4691" s="44"/>
      <c r="J4691" t="str">
        <f t="shared" si="146"/>
        <v/>
      </c>
      <c r="K4691" t="str">
        <f t="shared" si="147"/>
        <v/>
      </c>
    </row>
    <row r="4692" spans="7:11" x14ac:dyDescent="0.2">
      <c r="G4692" s="44"/>
      <c r="J4692" t="str">
        <f t="shared" si="146"/>
        <v/>
      </c>
      <c r="K4692" t="str">
        <f t="shared" si="147"/>
        <v/>
      </c>
    </row>
    <row r="4693" spans="7:11" x14ac:dyDescent="0.2">
      <c r="G4693" s="44"/>
      <c r="J4693" t="str">
        <f t="shared" si="146"/>
        <v/>
      </c>
      <c r="K4693" t="str">
        <f t="shared" si="147"/>
        <v/>
      </c>
    </row>
    <row r="4694" spans="7:11" x14ac:dyDescent="0.2">
      <c r="G4694" s="44"/>
      <c r="J4694" t="str">
        <f t="shared" si="146"/>
        <v/>
      </c>
      <c r="K4694" t="str">
        <f t="shared" si="147"/>
        <v/>
      </c>
    </row>
    <row r="4695" spans="7:11" x14ac:dyDescent="0.2">
      <c r="G4695" s="44"/>
      <c r="J4695" t="str">
        <f t="shared" si="146"/>
        <v/>
      </c>
      <c r="K4695" t="str">
        <f t="shared" si="147"/>
        <v/>
      </c>
    </row>
    <row r="4696" spans="7:11" x14ac:dyDescent="0.2">
      <c r="G4696" s="44"/>
      <c r="J4696" t="str">
        <f t="shared" si="146"/>
        <v/>
      </c>
      <c r="K4696" t="str">
        <f t="shared" si="147"/>
        <v/>
      </c>
    </row>
    <row r="4697" spans="7:11" x14ac:dyDescent="0.2">
      <c r="G4697" s="44"/>
      <c r="J4697" t="str">
        <f t="shared" si="146"/>
        <v/>
      </c>
      <c r="K4697" t="str">
        <f t="shared" si="147"/>
        <v/>
      </c>
    </row>
    <row r="4698" spans="7:11" x14ac:dyDescent="0.2">
      <c r="G4698" s="44"/>
      <c r="J4698" t="str">
        <f t="shared" si="146"/>
        <v/>
      </c>
      <c r="K4698" t="str">
        <f t="shared" si="147"/>
        <v/>
      </c>
    </row>
    <row r="4699" spans="7:11" x14ac:dyDescent="0.2">
      <c r="G4699" s="44"/>
      <c r="J4699" t="str">
        <f t="shared" si="146"/>
        <v/>
      </c>
      <c r="K4699" t="str">
        <f t="shared" si="147"/>
        <v/>
      </c>
    </row>
    <row r="4700" spans="7:11" x14ac:dyDescent="0.2">
      <c r="G4700" s="44"/>
      <c r="J4700" t="str">
        <f t="shared" si="146"/>
        <v/>
      </c>
      <c r="K4700" t="str">
        <f t="shared" si="147"/>
        <v/>
      </c>
    </row>
    <row r="4701" spans="7:11" x14ac:dyDescent="0.2">
      <c r="G4701" s="44"/>
      <c r="J4701" t="str">
        <f t="shared" si="146"/>
        <v/>
      </c>
      <c r="K4701" t="str">
        <f t="shared" si="147"/>
        <v/>
      </c>
    </row>
    <row r="4702" spans="7:11" x14ac:dyDescent="0.2">
      <c r="G4702" s="44"/>
      <c r="J4702" t="str">
        <f t="shared" si="146"/>
        <v/>
      </c>
      <c r="K4702" t="str">
        <f t="shared" si="147"/>
        <v/>
      </c>
    </row>
    <row r="4703" spans="7:11" x14ac:dyDescent="0.2">
      <c r="G4703" s="44"/>
      <c r="J4703" t="str">
        <f t="shared" si="146"/>
        <v/>
      </c>
      <c r="K4703" t="str">
        <f t="shared" si="147"/>
        <v/>
      </c>
    </row>
    <row r="4704" spans="7:11" x14ac:dyDescent="0.2">
      <c r="G4704" s="44"/>
      <c r="J4704" t="str">
        <f t="shared" si="146"/>
        <v/>
      </c>
      <c r="K4704" t="str">
        <f t="shared" si="147"/>
        <v/>
      </c>
    </row>
    <row r="4705" spans="7:11" x14ac:dyDescent="0.2">
      <c r="G4705" s="44"/>
      <c r="J4705" t="str">
        <f t="shared" si="146"/>
        <v/>
      </c>
      <c r="K4705" t="str">
        <f t="shared" si="147"/>
        <v/>
      </c>
    </row>
    <row r="4706" spans="7:11" x14ac:dyDescent="0.2">
      <c r="G4706" s="44"/>
      <c r="J4706" t="str">
        <f t="shared" si="146"/>
        <v/>
      </c>
      <c r="K4706" t="str">
        <f t="shared" si="147"/>
        <v/>
      </c>
    </row>
    <row r="4707" spans="7:11" x14ac:dyDescent="0.2">
      <c r="G4707" s="44"/>
      <c r="J4707" t="str">
        <f t="shared" si="146"/>
        <v/>
      </c>
      <c r="K4707" t="str">
        <f t="shared" si="147"/>
        <v/>
      </c>
    </row>
    <row r="4708" spans="7:11" x14ac:dyDescent="0.2">
      <c r="G4708" s="44"/>
      <c r="J4708" t="str">
        <f t="shared" si="146"/>
        <v/>
      </c>
      <c r="K4708" t="str">
        <f t="shared" si="147"/>
        <v/>
      </c>
    </row>
    <row r="4709" spans="7:11" x14ac:dyDescent="0.2">
      <c r="G4709" s="44"/>
      <c r="J4709" t="str">
        <f t="shared" si="146"/>
        <v/>
      </c>
      <c r="K4709" t="str">
        <f t="shared" si="147"/>
        <v/>
      </c>
    </row>
    <row r="4710" spans="7:11" x14ac:dyDescent="0.2">
      <c r="G4710" s="44"/>
      <c r="J4710" t="str">
        <f t="shared" si="146"/>
        <v/>
      </c>
      <c r="K4710" t="str">
        <f t="shared" si="147"/>
        <v/>
      </c>
    </row>
    <row r="4711" spans="7:11" x14ac:dyDescent="0.2">
      <c r="G4711" s="44"/>
      <c r="J4711" t="str">
        <f t="shared" si="146"/>
        <v/>
      </c>
      <c r="K4711" t="str">
        <f t="shared" si="147"/>
        <v/>
      </c>
    </row>
    <row r="4712" spans="7:11" x14ac:dyDescent="0.2">
      <c r="G4712" s="44"/>
      <c r="J4712" t="str">
        <f t="shared" si="146"/>
        <v/>
      </c>
      <c r="K4712" t="str">
        <f t="shared" si="147"/>
        <v/>
      </c>
    </row>
    <row r="4713" spans="7:11" x14ac:dyDescent="0.2">
      <c r="G4713" s="44"/>
      <c r="J4713" t="str">
        <f t="shared" si="146"/>
        <v/>
      </c>
      <c r="K4713" t="str">
        <f t="shared" si="147"/>
        <v/>
      </c>
    </row>
    <row r="4714" spans="7:11" x14ac:dyDescent="0.2">
      <c r="G4714" s="44"/>
      <c r="J4714" t="str">
        <f t="shared" si="146"/>
        <v/>
      </c>
      <c r="K4714" t="str">
        <f t="shared" si="147"/>
        <v/>
      </c>
    </row>
    <row r="4715" spans="7:11" x14ac:dyDescent="0.2">
      <c r="G4715" s="44"/>
      <c r="J4715" t="str">
        <f t="shared" si="146"/>
        <v/>
      </c>
      <c r="K4715" t="str">
        <f t="shared" si="147"/>
        <v/>
      </c>
    </row>
    <row r="4716" spans="7:11" x14ac:dyDescent="0.2">
      <c r="G4716" s="44"/>
      <c r="J4716" t="str">
        <f t="shared" si="146"/>
        <v/>
      </c>
      <c r="K4716" t="str">
        <f t="shared" si="147"/>
        <v/>
      </c>
    </row>
    <row r="4717" spans="7:11" x14ac:dyDescent="0.2">
      <c r="G4717" s="44"/>
      <c r="J4717" t="str">
        <f t="shared" si="146"/>
        <v/>
      </c>
      <c r="K4717" t="str">
        <f t="shared" si="147"/>
        <v/>
      </c>
    </row>
    <row r="4718" spans="7:11" x14ac:dyDescent="0.2">
      <c r="G4718" s="44"/>
      <c r="J4718" t="str">
        <f t="shared" si="146"/>
        <v/>
      </c>
      <c r="K4718" t="str">
        <f t="shared" si="147"/>
        <v/>
      </c>
    </row>
    <row r="4719" spans="7:11" x14ac:dyDescent="0.2">
      <c r="G4719" s="44"/>
      <c r="J4719" t="str">
        <f t="shared" si="146"/>
        <v/>
      </c>
      <c r="K4719" t="str">
        <f t="shared" si="147"/>
        <v/>
      </c>
    </row>
    <row r="4720" spans="7:11" x14ac:dyDescent="0.2">
      <c r="G4720" s="44"/>
      <c r="J4720" t="str">
        <f t="shared" si="146"/>
        <v/>
      </c>
      <c r="K4720" t="str">
        <f t="shared" si="147"/>
        <v/>
      </c>
    </row>
    <row r="4721" spans="7:11" x14ac:dyDescent="0.2">
      <c r="G4721" s="44"/>
      <c r="J4721" t="str">
        <f t="shared" si="146"/>
        <v/>
      </c>
      <c r="K4721" t="str">
        <f t="shared" si="147"/>
        <v/>
      </c>
    </row>
    <row r="4722" spans="7:11" x14ac:dyDescent="0.2">
      <c r="G4722" s="44"/>
      <c r="J4722" t="str">
        <f t="shared" si="146"/>
        <v/>
      </c>
      <c r="K4722" t="str">
        <f t="shared" si="147"/>
        <v/>
      </c>
    </row>
    <row r="4723" spans="7:11" x14ac:dyDescent="0.2">
      <c r="G4723" s="44"/>
      <c r="J4723" t="str">
        <f t="shared" si="146"/>
        <v/>
      </c>
      <c r="K4723" t="str">
        <f t="shared" si="147"/>
        <v/>
      </c>
    </row>
    <row r="4724" spans="7:11" x14ac:dyDescent="0.2">
      <c r="G4724" s="44"/>
      <c r="J4724" t="str">
        <f t="shared" si="146"/>
        <v/>
      </c>
      <c r="K4724" t="str">
        <f t="shared" si="147"/>
        <v/>
      </c>
    </row>
    <row r="4725" spans="7:11" x14ac:dyDescent="0.2">
      <c r="G4725" s="44"/>
      <c r="J4725" t="str">
        <f t="shared" si="146"/>
        <v/>
      </c>
      <c r="K4725" t="str">
        <f t="shared" si="147"/>
        <v/>
      </c>
    </row>
    <row r="4726" spans="7:11" x14ac:dyDescent="0.2">
      <c r="G4726" s="44"/>
      <c r="J4726" t="str">
        <f t="shared" si="146"/>
        <v/>
      </c>
      <c r="K4726" t="str">
        <f t="shared" si="147"/>
        <v/>
      </c>
    </row>
    <row r="4727" spans="7:11" x14ac:dyDescent="0.2">
      <c r="G4727" s="44"/>
      <c r="J4727" t="str">
        <f t="shared" si="146"/>
        <v/>
      </c>
      <c r="K4727" t="str">
        <f t="shared" si="147"/>
        <v/>
      </c>
    </row>
    <row r="4728" spans="7:11" x14ac:dyDescent="0.2">
      <c r="G4728" s="44"/>
      <c r="J4728" t="str">
        <f t="shared" si="146"/>
        <v/>
      </c>
      <c r="K4728" t="str">
        <f t="shared" si="147"/>
        <v/>
      </c>
    </row>
    <row r="4729" spans="7:11" x14ac:dyDescent="0.2">
      <c r="G4729" s="44"/>
      <c r="J4729" t="str">
        <f t="shared" si="146"/>
        <v/>
      </c>
      <c r="K4729" t="str">
        <f t="shared" si="147"/>
        <v/>
      </c>
    </row>
    <row r="4730" spans="7:11" x14ac:dyDescent="0.2">
      <c r="G4730" s="44"/>
      <c r="J4730" t="str">
        <f t="shared" si="146"/>
        <v/>
      </c>
      <c r="K4730" t="str">
        <f t="shared" si="147"/>
        <v/>
      </c>
    </row>
    <row r="4731" spans="7:11" x14ac:dyDescent="0.2">
      <c r="G4731" s="44"/>
      <c r="J4731" t="str">
        <f t="shared" si="146"/>
        <v/>
      </c>
      <c r="K4731" t="str">
        <f t="shared" si="147"/>
        <v/>
      </c>
    </row>
    <row r="4732" spans="7:11" x14ac:dyDescent="0.2">
      <c r="G4732" s="44"/>
      <c r="J4732" t="str">
        <f t="shared" si="146"/>
        <v/>
      </c>
      <c r="K4732" t="str">
        <f t="shared" si="147"/>
        <v/>
      </c>
    </row>
    <row r="4733" spans="7:11" x14ac:dyDescent="0.2">
      <c r="G4733" s="44"/>
      <c r="J4733" t="str">
        <f t="shared" si="146"/>
        <v/>
      </c>
      <c r="K4733" t="str">
        <f t="shared" si="147"/>
        <v/>
      </c>
    </row>
    <row r="4734" spans="7:11" x14ac:dyDescent="0.2">
      <c r="G4734" s="44"/>
      <c r="J4734" t="str">
        <f t="shared" si="146"/>
        <v/>
      </c>
      <c r="K4734" t="str">
        <f t="shared" si="147"/>
        <v/>
      </c>
    </row>
    <row r="4735" spans="7:11" x14ac:dyDescent="0.2">
      <c r="G4735" s="44"/>
      <c r="J4735" t="str">
        <f t="shared" si="146"/>
        <v/>
      </c>
      <c r="K4735" t="str">
        <f t="shared" si="147"/>
        <v/>
      </c>
    </row>
    <row r="4736" spans="7:11" x14ac:dyDescent="0.2">
      <c r="G4736" s="44"/>
      <c r="J4736" t="str">
        <f t="shared" si="146"/>
        <v/>
      </c>
      <c r="K4736" t="str">
        <f t="shared" si="147"/>
        <v/>
      </c>
    </row>
    <row r="4737" spans="7:11" x14ac:dyDescent="0.2">
      <c r="G4737" s="44"/>
      <c r="J4737" t="str">
        <f t="shared" si="146"/>
        <v/>
      </c>
      <c r="K4737" t="str">
        <f t="shared" si="147"/>
        <v/>
      </c>
    </row>
    <row r="4738" spans="7:11" x14ac:dyDescent="0.2">
      <c r="G4738" s="44"/>
      <c r="J4738" t="str">
        <f t="shared" ref="J4738:J4801" si="148">IF(E4738="","",IF(OR(E4738=50,E4738=51),"Iltindhold",IF(E4738=75,"Carbon,org,NVOC",IF(OR(E4738=343,E4738=1167),"Svovlbrinte",IF(OR(E4738=240,E4738=241,E4738=242),"Amm",IF(E4738=244,"Nitrit",IF(E4738=247,"Nitrat",IF(E4738=334,"Sulfat",IF(E4738=262,"Phosphor, total-P",F4738)))))))))</f>
        <v/>
      </c>
      <c r="K4738" t="str">
        <f t="shared" ref="K4738:K4801" si="149">IF(A4738="","",IF(H4738="!",NA(),IF(H4738="A",I4738*0.5,IF(H4738="&lt;",I4738*0.5,I4738))))</f>
        <v/>
      </c>
    </row>
    <row r="4739" spans="7:11" x14ac:dyDescent="0.2">
      <c r="G4739" s="44"/>
      <c r="J4739" t="str">
        <f t="shared" si="148"/>
        <v/>
      </c>
      <c r="K4739" t="str">
        <f t="shared" si="149"/>
        <v/>
      </c>
    </row>
    <row r="4740" spans="7:11" x14ac:dyDescent="0.2">
      <c r="G4740" s="44"/>
      <c r="J4740" t="str">
        <f t="shared" si="148"/>
        <v/>
      </c>
      <c r="K4740" t="str">
        <f t="shared" si="149"/>
        <v/>
      </c>
    </row>
    <row r="4741" spans="7:11" x14ac:dyDescent="0.2">
      <c r="G4741" s="44"/>
      <c r="J4741" t="str">
        <f t="shared" si="148"/>
        <v/>
      </c>
      <c r="K4741" t="str">
        <f t="shared" si="149"/>
        <v/>
      </c>
    </row>
    <row r="4742" spans="7:11" x14ac:dyDescent="0.2">
      <c r="G4742" s="44"/>
      <c r="J4742" t="str">
        <f t="shared" si="148"/>
        <v/>
      </c>
      <c r="K4742" t="str">
        <f t="shared" si="149"/>
        <v/>
      </c>
    </row>
    <row r="4743" spans="7:11" x14ac:dyDescent="0.2">
      <c r="G4743" s="44"/>
      <c r="J4743" t="str">
        <f t="shared" si="148"/>
        <v/>
      </c>
      <c r="K4743" t="str">
        <f t="shared" si="149"/>
        <v/>
      </c>
    </row>
    <row r="4744" spans="7:11" x14ac:dyDescent="0.2">
      <c r="G4744" s="44"/>
      <c r="J4744" t="str">
        <f t="shared" si="148"/>
        <v/>
      </c>
      <c r="K4744" t="str">
        <f t="shared" si="149"/>
        <v/>
      </c>
    </row>
    <row r="4745" spans="7:11" x14ac:dyDescent="0.2">
      <c r="G4745" s="44"/>
      <c r="J4745" t="str">
        <f t="shared" si="148"/>
        <v/>
      </c>
      <c r="K4745" t="str">
        <f t="shared" si="149"/>
        <v/>
      </c>
    </row>
    <row r="4746" spans="7:11" x14ac:dyDescent="0.2">
      <c r="G4746" s="44"/>
      <c r="J4746" t="str">
        <f t="shared" si="148"/>
        <v/>
      </c>
      <c r="K4746" t="str">
        <f t="shared" si="149"/>
        <v/>
      </c>
    </row>
    <row r="4747" spans="7:11" x14ac:dyDescent="0.2">
      <c r="G4747" s="44"/>
      <c r="J4747" t="str">
        <f t="shared" si="148"/>
        <v/>
      </c>
      <c r="K4747" t="str">
        <f t="shared" si="149"/>
        <v/>
      </c>
    </row>
    <row r="4748" spans="7:11" x14ac:dyDescent="0.2">
      <c r="G4748" s="44"/>
      <c r="J4748" t="str">
        <f t="shared" si="148"/>
        <v/>
      </c>
      <c r="K4748" t="str">
        <f t="shared" si="149"/>
        <v/>
      </c>
    </row>
    <row r="4749" spans="7:11" x14ac:dyDescent="0.2">
      <c r="G4749" s="44"/>
      <c r="J4749" t="str">
        <f t="shared" si="148"/>
        <v/>
      </c>
      <c r="K4749" t="str">
        <f t="shared" si="149"/>
        <v/>
      </c>
    </row>
    <row r="4750" spans="7:11" x14ac:dyDescent="0.2">
      <c r="G4750" s="44"/>
      <c r="J4750" t="str">
        <f t="shared" si="148"/>
        <v/>
      </c>
      <c r="K4750" t="str">
        <f t="shared" si="149"/>
        <v/>
      </c>
    </row>
    <row r="4751" spans="7:11" x14ac:dyDescent="0.2">
      <c r="G4751" s="44"/>
      <c r="J4751" t="str">
        <f t="shared" si="148"/>
        <v/>
      </c>
      <c r="K4751" t="str">
        <f t="shared" si="149"/>
        <v/>
      </c>
    </row>
    <row r="4752" spans="7:11" x14ac:dyDescent="0.2">
      <c r="G4752" s="44"/>
      <c r="J4752" t="str">
        <f t="shared" si="148"/>
        <v/>
      </c>
      <c r="K4752" t="str">
        <f t="shared" si="149"/>
        <v/>
      </c>
    </row>
    <row r="4753" spans="7:11" x14ac:dyDescent="0.2">
      <c r="G4753" s="44"/>
      <c r="J4753" t="str">
        <f t="shared" si="148"/>
        <v/>
      </c>
      <c r="K4753" t="str">
        <f t="shared" si="149"/>
        <v/>
      </c>
    </row>
    <row r="4754" spans="7:11" x14ac:dyDescent="0.2">
      <c r="G4754" s="44"/>
      <c r="J4754" t="str">
        <f t="shared" si="148"/>
        <v/>
      </c>
      <c r="K4754" t="str">
        <f t="shared" si="149"/>
        <v/>
      </c>
    </row>
    <row r="4755" spans="7:11" x14ac:dyDescent="0.2">
      <c r="G4755" s="44"/>
      <c r="J4755" t="str">
        <f t="shared" si="148"/>
        <v/>
      </c>
      <c r="K4755" t="str">
        <f t="shared" si="149"/>
        <v/>
      </c>
    </row>
    <row r="4756" spans="7:11" x14ac:dyDescent="0.2">
      <c r="G4756" s="44"/>
      <c r="J4756" t="str">
        <f t="shared" si="148"/>
        <v/>
      </c>
      <c r="K4756" t="str">
        <f t="shared" si="149"/>
        <v/>
      </c>
    </row>
    <row r="4757" spans="7:11" x14ac:dyDescent="0.2">
      <c r="G4757" s="44"/>
      <c r="J4757" t="str">
        <f t="shared" si="148"/>
        <v/>
      </c>
      <c r="K4757" t="str">
        <f t="shared" si="149"/>
        <v/>
      </c>
    </row>
    <row r="4758" spans="7:11" x14ac:dyDescent="0.2">
      <c r="G4758" s="44"/>
      <c r="J4758" t="str">
        <f t="shared" si="148"/>
        <v/>
      </c>
      <c r="K4758" t="str">
        <f t="shared" si="149"/>
        <v/>
      </c>
    </row>
    <row r="4759" spans="7:11" x14ac:dyDescent="0.2">
      <c r="G4759" s="44"/>
      <c r="J4759" t="str">
        <f t="shared" si="148"/>
        <v/>
      </c>
      <c r="K4759" t="str">
        <f t="shared" si="149"/>
        <v/>
      </c>
    </row>
    <row r="4760" spans="7:11" x14ac:dyDescent="0.2">
      <c r="G4760" s="44"/>
      <c r="J4760" t="str">
        <f t="shared" si="148"/>
        <v/>
      </c>
      <c r="K4760" t="str">
        <f t="shared" si="149"/>
        <v/>
      </c>
    </row>
    <row r="4761" spans="7:11" x14ac:dyDescent="0.2">
      <c r="G4761" s="44"/>
      <c r="J4761" t="str">
        <f t="shared" si="148"/>
        <v/>
      </c>
      <c r="K4761" t="str">
        <f t="shared" si="149"/>
        <v/>
      </c>
    </row>
    <row r="4762" spans="7:11" x14ac:dyDescent="0.2">
      <c r="G4762" s="44"/>
      <c r="J4762" t="str">
        <f t="shared" si="148"/>
        <v/>
      </c>
      <c r="K4762" t="str">
        <f t="shared" si="149"/>
        <v/>
      </c>
    </row>
    <row r="4763" spans="7:11" x14ac:dyDescent="0.2">
      <c r="G4763" s="44"/>
      <c r="J4763" t="str">
        <f t="shared" si="148"/>
        <v/>
      </c>
      <c r="K4763" t="str">
        <f t="shared" si="149"/>
        <v/>
      </c>
    </row>
    <row r="4764" spans="7:11" x14ac:dyDescent="0.2">
      <c r="G4764" s="44"/>
      <c r="J4764" t="str">
        <f t="shared" si="148"/>
        <v/>
      </c>
      <c r="K4764" t="str">
        <f t="shared" si="149"/>
        <v/>
      </c>
    </row>
    <row r="4765" spans="7:11" x14ac:dyDescent="0.2">
      <c r="G4765" s="44"/>
      <c r="J4765" t="str">
        <f t="shared" si="148"/>
        <v/>
      </c>
      <c r="K4765" t="str">
        <f t="shared" si="149"/>
        <v/>
      </c>
    </row>
    <row r="4766" spans="7:11" x14ac:dyDescent="0.2">
      <c r="G4766" s="44"/>
      <c r="J4766" t="str">
        <f t="shared" si="148"/>
        <v/>
      </c>
      <c r="K4766" t="str">
        <f t="shared" si="149"/>
        <v/>
      </c>
    </row>
    <row r="4767" spans="7:11" x14ac:dyDescent="0.2">
      <c r="G4767" s="44"/>
      <c r="J4767" t="str">
        <f t="shared" si="148"/>
        <v/>
      </c>
      <c r="K4767" t="str">
        <f t="shared" si="149"/>
        <v/>
      </c>
    </row>
    <row r="4768" spans="7:11" x14ac:dyDescent="0.2">
      <c r="G4768" s="44"/>
      <c r="J4768" t="str">
        <f t="shared" si="148"/>
        <v/>
      </c>
      <c r="K4768" t="str">
        <f t="shared" si="149"/>
        <v/>
      </c>
    </row>
    <row r="4769" spans="7:11" x14ac:dyDescent="0.2">
      <c r="G4769" s="44"/>
      <c r="J4769" t="str">
        <f t="shared" si="148"/>
        <v/>
      </c>
      <c r="K4769" t="str">
        <f t="shared" si="149"/>
        <v/>
      </c>
    </row>
    <row r="4770" spans="7:11" x14ac:dyDescent="0.2">
      <c r="G4770" s="44"/>
      <c r="J4770" t="str">
        <f t="shared" si="148"/>
        <v/>
      </c>
      <c r="K4770" t="str">
        <f t="shared" si="149"/>
        <v/>
      </c>
    </row>
    <row r="4771" spans="7:11" x14ac:dyDescent="0.2">
      <c r="G4771" s="44"/>
      <c r="J4771" t="str">
        <f t="shared" si="148"/>
        <v/>
      </c>
      <c r="K4771" t="str">
        <f t="shared" si="149"/>
        <v/>
      </c>
    </row>
    <row r="4772" spans="7:11" x14ac:dyDescent="0.2">
      <c r="G4772" s="44"/>
      <c r="J4772" t="str">
        <f t="shared" si="148"/>
        <v/>
      </c>
      <c r="K4772" t="str">
        <f t="shared" si="149"/>
        <v/>
      </c>
    </row>
    <row r="4773" spans="7:11" x14ac:dyDescent="0.2">
      <c r="G4773" s="44"/>
      <c r="J4773" t="str">
        <f t="shared" si="148"/>
        <v/>
      </c>
      <c r="K4773" t="str">
        <f t="shared" si="149"/>
        <v/>
      </c>
    </row>
    <row r="4774" spans="7:11" x14ac:dyDescent="0.2">
      <c r="G4774" s="44"/>
      <c r="J4774" t="str">
        <f t="shared" si="148"/>
        <v/>
      </c>
      <c r="K4774" t="str">
        <f t="shared" si="149"/>
        <v/>
      </c>
    </row>
    <row r="4775" spans="7:11" x14ac:dyDescent="0.2">
      <c r="G4775" s="44"/>
      <c r="J4775" t="str">
        <f t="shared" si="148"/>
        <v/>
      </c>
      <c r="K4775" t="str">
        <f t="shared" si="149"/>
        <v/>
      </c>
    </row>
    <row r="4776" spans="7:11" x14ac:dyDescent="0.2">
      <c r="G4776" s="44"/>
      <c r="J4776" t="str">
        <f t="shared" si="148"/>
        <v/>
      </c>
      <c r="K4776" t="str">
        <f t="shared" si="149"/>
        <v/>
      </c>
    </row>
    <row r="4777" spans="7:11" x14ac:dyDescent="0.2">
      <c r="G4777" s="44"/>
      <c r="J4777" t="str">
        <f t="shared" si="148"/>
        <v/>
      </c>
      <c r="K4777" t="str">
        <f t="shared" si="149"/>
        <v/>
      </c>
    </row>
    <row r="4778" spans="7:11" x14ac:dyDescent="0.2">
      <c r="G4778" s="44"/>
      <c r="J4778" t="str">
        <f t="shared" si="148"/>
        <v/>
      </c>
      <c r="K4778" t="str">
        <f t="shared" si="149"/>
        <v/>
      </c>
    </row>
    <row r="4779" spans="7:11" x14ac:dyDescent="0.2">
      <c r="G4779" s="44"/>
      <c r="J4779" t="str">
        <f t="shared" si="148"/>
        <v/>
      </c>
      <c r="K4779" t="str">
        <f t="shared" si="149"/>
        <v/>
      </c>
    </row>
    <row r="4780" spans="7:11" x14ac:dyDescent="0.2">
      <c r="G4780" s="44"/>
      <c r="J4780" t="str">
        <f t="shared" si="148"/>
        <v/>
      </c>
      <c r="K4780" t="str">
        <f t="shared" si="149"/>
        <v/>
      </c>
    </row>
    <row r="4781" spans="7:11" x14ac:dyDescent="0.2">
      <c r="G4781" s="44"/>
      <c r="J4781" t="str">
        <f t="shared" si="148"/>
        <v/>
      </c>
      <c r="K4781" t="str">
        <f t="shared" si="149"/>
        <v/>
      </c>
    </row>
    <row r="4782" spans="7:11" x14ac:dyDescent="0.2">
      <c r="G4782" s="44"/>
      <c r="J4782" t="str">
        <f t="shared" si="148"/>
        <v/>
      </c>
      <c r="K4782" t="str">
        <f t="shared" si="149"/>
        <v/>
      </c>
    </row>
    <row r="4783" spans="7:11" x14ac:dyDescent="0.2">
      <c r="G4783" s="44"/>
      <c r="J4783" t="str">
        <f t="shared" si="148"/>
        <v/>
      </c>
      <c r="K4783" t="str">
        <f t="shared" si="149"/>
        <v/>
      </c>
    </row>
    <row r="4784" spans="7:11" x14ac:dyDescent="0.2">
      <c r="G4784" s="44"/>
      <c r="J4784" t="str">
        <f t="shared" si="148"/>
        <v/>
      </c>
      <c r="K4784" t="str">
        <f t="shared" si="149"/>
        <v/>
      </c>
    </row>
    <row r="4785" spans="7:11" x14ac:dyDescent="0.2">
      <c r="G4785" s="44"/>
      <c r="J4785" t="str">
        <f t="shared" si="148"/>
        <v/>
      </c>
      <c r="K4785" t="str">
        <f t="shared" si="149"/>
        <v/>
      </c>
    </row>
    <row r="4786" spans="7:11" x14ac:dyDescent="0.2">
      <c r="G4786" s="44"/>
      <c r="J4786" t="str">
        <f t="shared" si="148"/>
        <v/>
      </c>
      <c r="K4786" t="str">
        <f t="shared" si="149"/>
        <v/>
      </c>
    </row>
    <row r="4787" spans="7:11" x14ac:dyDescent="0.2">
      <c r="G4787" s="44"/>
      <c r="J4787" t="str">
        <f t="shared" si="148"/>
        <v/>
      </c>
      <c r="K4787" t="str">
        <f t="shared" si="149"/>
        <v/>
      </c>
    </row>
    <row r="4788" spans="7:11" x14ac:dyDescent="0.2">
      <c r="G4788" s="44"/>
      <c r="J4788" t="str">
        <f t="shared" si="148"/>
        <v/>
      </c>
      <c r="K4788" t="str">
        <f t="shared" si="149"/>
        <v/>
      </c>
    </row>
    <row r="4789" spans="7:11" x14ac:dyDescent="0.2">
      <c r="G4789" s="44"/>
      <c r="J4789" t="str">
        <f t="shared" si="148"/>
        <v/>
      </c>
      <c r="K4789" t="str">
        <f t="shared" si="149"/>
        <v/>
      </c>
    </row>
    <row r="4790" spans="7:11" x14ac:dyDescent="0.2">
      <c r="G4790" s="44"/>
      <c r="J4790" t="str">
        <f t="shared" si="148"/>
        <v/>
      </c>
      <c r="K4790" t="str">
        <f t="shared" si="149"/>
        <v/>
      </c>
    </row>
    <row r="4791" spans="7:11" x14ac:dyDescent="0.2">
      <c r="G4791" s="44"/>
      <c r="J4791" t="str">
        <f t="shared" si="148"/>
        <v/>
      </c>
      <c r="K4791" t="str">
        <f t="shared" si="149"/>
        <v/>
      </c>
    </row>
    <row r="4792" spans="7:11" x14ac:dyDescent="0.2">
      <c r="G4792" s="44"/>
      <c r="J4792" t="str">
        <f t="shared" si="148"/>
        <v/>
      </c>
      <c r="K4792" t="str">
        <f t="shared" si="149"/>
        <v/>
      </c>
    </row>
    <row r="4793" spans="7:11" x14ac:dyDescent="0.2">
      <c r="G4793" s="44"/>
      <c r="J4793" t="str">
        <f t="shared" si="148"/>
        <v/>
      </c>
      <c r="K4793" t="str">
        <f t="shared" si="149"/>
        <v/>
      </c>
    </row>
    <row r="4794" spans="7:11" x14ac:dyDescent="0.2">
      <c r="G4794" s="44"/>
      <c r="J4794" t="str">
        <f t="shared" si="148"/>
        <v/>
      </c>
      <c r="K4794" t="str">
        <f t="shared" si="149"/>
        <v/>
      </c>
    </row>
    <row r="4795" spans="7:11" x14ac:dyDescent="0.2">
      <c r="G4795" s="44"/>
      <c r="J4795" t="str">
        <f t="shared" si="148"/>
        <v/>
      </c>
      <c r="K4795" t="str">
        <f t="shared" si="149"/>
        <v/>
      </c>
    </row>
    <row r="4796" spans="7:11" x14ac:dyDescent="0.2">
      <c r="G4796" s="44"/>
      <c r="J4796" t="str">
        <f t="shared" si="148"/>
        <v/>
      </c>
      <c r="K4796" t="str">
        <f t="shared" si="149"/>
        <v/>
      </c>
    </row>
    <row r="4797" spans="7:11" x14ac:dyDescent="0.2">
      <c r="G4797" s="44"/>
      <c r="J4797" t="str">
        <f t="shared" si="148"/>
        <v/>
      </c>
      <c r="K4797" t="str">
        <f t="shared" si="149"/>
        <v/>
      </c>
    </row>
    <row r="4798" spans="7:11" x14ac:dyDescent="0.2">
      <c r="G4798" s="44"/>
      <c r="J4798" t="str">
        <f t="shared" si="148"/>
        <v/>
      </c>
      <c r="K4798" t="str">
        <f t="shared" si="149"/>
        <v/>
      </c>
    </row>
    <row r="4799" spans="7:11" x14ac:dyDescent="0.2">
      <c r="G4799" s="44"/>
      <c r="J4799" t="str">
        <f t="shared" si="148"/>
        <v/>
      </c>
      <c r="K4799" t="str">
        <f t="shared" si="149"/>
        <v/>
      </c>
    </row>
    <row r="4800" spans="7:11" x14ac:dyDescent="0.2">
      <c r="G4800" s="44"/>
      <c r="J4800" t="str">
        <f t="shared" si="148"/>
        <v/>
      </c>
      <c r="K4800" t="str">
        <f t="shared" si="149"/>
        <v/>
      </c>
    </row>
    <row r="4801" spans="7:11" x14ac:dyDescent="0.2">
      <c r="G4801" s="44"/>
      <c r="J4801" t="str">
        <f t="shared" si="148"/>
        <v/>
      </c>
      <c r="K4801" t="str">
        <f t="shared" si="149"/>
        <v/>
      </c>
    </row>
    <row r="4802" spans="7:11" x14ac:dyDescent="0.2">
      <c r="G4802" s="44"/>
      <c r="J4802" t="str">
        <f t="shared" ref="J4802:J4865" si="150">IF(E4802="","",IF(OR(E4802=50,E4802=51),"Iltindhold",IF(E4802=75,"Carbon,org,NVOC",IF(OR(E4802=343,E4802=1167),"Svovlbrinte",IF(OR(E4802=240,E4802=241,E4802=242),"Amm",IF(E4802=244,"Nitrit",IF(E4802=247,"Nitrat",IF(E4802=334,"Sulfat",IF(E4802=262,"Phosphor, total-P",F4802)))))))))</f>
        <v/>
      </c>
      <c r="K4802" t="str">
        <f t="shared" ref="K4802:K4865" si="151">IF(A4802="","",IF(H4802="!",NA(),IF(H4802="A",I4802*0.5,IF(H4802="&lt;",I4802*0.5,I4802))))</f>
        <v/>
      </c>
    </row>
    <row r="4803" spans="7:11" x14ac:dyDescent="0.2">
      <c r="G4803" s="44"/>
      <c r="J4803" t="str">
        <f t="shared" si="150"/>
        <v/>
      </c>
      <c r="K4803" t="str">
        <f t="shared" si="151"/>
        <v/>
      </c>
    </row>
    <row r="4804" spans="7:11" x14ac:dyDescent="0.2">
      <c r="G4804" s="44"/>
      <c r="J4804" t="str">
        <f t="shared" si="150"/>
        <v/>
      </c>
      <c r="K4804" t="str">
        <f t="shared" si="151"/>
        <v/>
      </c>
    </row>
    <row r="4805" spans="7:11" x14ac:dyDescent="0.2">
      <c r="G4805" s="44"/>
      <c r="J4805" t="str">
        <f t="shared" si="150"/>
        <v/>
      </c>
      <c r="K4805" t="str">
        <f t="shared" si="151"/>
        <v/>
      </c>
    </row>
    <row r="4806" spans="7:11" x14ac:dyDescent="0.2">
      <c r="G4806" s="44"/>
      <c r="J4806" t="str">
        <f t="shared" si="150"/>
        <v/>
      </c>
      <c r="K4806" t="str">
        <f t="shared" si="151"/>
        <v/>
      </c>
    </row>
    <row r="4807" spans="7:11" x14ac:dyDescent="0.2">
      <c r="G4807" s="44"/>
      <c r="J4807" t="str">
        <f t="shared" si="150"/>
        <v/>
      </c>
      <c r="K4807" t="str">
        <f t="shared" si="151"/>
        <v/>
      </c>
    </row>
    <row r="4808" spans="7:11" x14ac:dyDescent="0.2">
      <c r="G4808" s="44"/>
      <c r="J4808" t="str">
        <f t="shared" si="150"/>
        <v/>
      </c>
      <c r="K4808" t="str">
        <f t="shared" si="151"/>
        <v/>
      </c>
    </row>
    <row r="4809" spans="7:11" x14ac:dyDescent="0.2">
      <c r="G4809" s="44"/>
      <c r="J4809" t="str">
        <f t="shared" si="150"/>
        <v/>
      </c>
      <c r="K4809" t="str">
        <f t="shared" si="151"/>
        <v/>
      </c>
    </row>
    <row r="4810" spans="7:11" x14ac:dyDescent="0.2">
      <c r="G4810" s="44"/>
      <c r="J4810" t="str">
        <f t="shared" si="150"/>
        <v/>
      </c>
      <c r="K4810" t="str">
        <f t="shared" si="151"/>
        <v/>
      </c>
    </row>
    <row r="4811" spans="7:11" x14ac:dyDescent="0.2">
      <c r="G4811" s="44"/>
      <c r="J4811" t="str">
        <f t="shared" si="150"/>
        <v/>
      </c>
      <c r="K4811" t="str">
        <f t="shared" si="151"/>
        <v/>
      </c>
    </row>
    <row r="4812" spans="7:11" x14ac:dyDescent="0.2">
      <c r="G4812" s="44"/>
      <c r="J4812" t="str">
        <f t="shared" si="150"/>
        <v/>
      </c>
      <c r="K4812" t="str">
        <f t="shared" si="151"/>
        <v/>
      </c>
    </row>
    <row r="4813" spans="7:11" x14ac:dyDescent="0.2">
      <c r="G4813" s="44"/>
      <c r="J4813" t="str">
        <f t="shared" si="150"/>
        <v/>
      </c>
      <c r="K4813" t="str">
        <f t="shared" si="151"/>
        <v/>
      </c>
    </row>
    <row r="4814" spans="7:11" x14ac:dyDescent="0.2">
      <c r="G4814" s="44"/>
      <c r="J4814" t="str">
        <f t="shared" si="150"/>
        <v/>
      </c>
      <c r="K4814" t="str">
        <f t="shared" si="151"/>
        <v/>
      </c>
    </row>
    <row r="4815" spans="7:11" x14ac:dyDescent="0.2">
      <c r="G4815" s="44"/>
      <c r="J4815" t="str">
        <f t="shared" si="150"/>
        <v/>
      </c>
      <c r="K4815" t="str">
        <f t="shared" si="151"/>
        <v/>
      </c>
    </row>
    <row r="4816" spans="7:11" x14ac:dyDescent="0.2">
      <c r="G4816" s="44"/>
      <c r="J4816" t="str">
        <f t="shared" si="150"/>
        <v/>
      </c>
      <c r="K4816" t="str">
        <f t="shared" si="151"/>
        <v/>
      </c>
    </row>
    <row r="4817" spans="7:11" x14ac:dyDescent="0.2">
      <c r="G4817" s="44"/>
      <c r="J4817" t="str">
        <f t="shared" si="150"/>
        <v/>
      </c>
      <c r="K4817" t="str">
        <f t="shared" si="151"/>
        <v/>
      </c>
    </row>
    <row r="4818" spans="7:11" x14ac:dyDescent="0.2">
      <c r="G4818" s="44"/>
      <c r="J4818" t="str">
        <f t="shared" si="150"/>
        <v/>
      </c>
      <c r="K4818" t="str">
        <f t="shared" si="151"/>
        <v/>
      </c>
    </row>
    <row r="4819" spans="7:11" x14ac:dyDescent="0.2">
      <c r="G4819" s="44"/>
      <c r="J4819" t="str">
        <f t="shared" si="150"/>
        <v/>
      </c>
      <c r="K4819" t="str">
        <f t="shared" si="151"/>
        <v/>
      </c>
    </row>
    <row r="4820" spans="7:11" x14ac:dyDescent="0.2">
      <c r="G4820" s="44"/>
      <c r="J4820" t="str">
        <f t="shared" si="150"/>
        <v/>
      </c>
      <c r="K4820" t="str">
        <f t="shared" si="151"/>
        <v/>
      </c>
    </row>
    <row r="4821" spans="7:11" x14ac:dyDescent="0.2">
      <c r="G4821" s="44"/>
      <c r="J4821" t="str">
        <f t="shared" si="150"/>
        <v/>
      </c>
      <c r="K4821" t="str">
        <f t="shared" si="151"/>
        <v/>
      </c>
    </row>
    <row r="4822" spans="7:11" x14ac:dyDescent="0.2">
      <c r="G4822" s="44"/>
      <c r="J4822" t="str">
        <f t="shared" si="150"/>
        <v/>
      </c>
      <c r="K4822" t="str">
        <f t="shared" si="151"/>
        <v/>
      </c>
    </row>
    <row r="4823" spans="7:11" x14ac:dyDescent="0.2">
      <c r="G4823" s="44"/>
      <c r="J4823" t="str">
        <f t="shared" si="150"/>
        <v/>
      </c>
      <c r="K4823" t="str">
        <f t="shared" si="151"/>
        <v/>
      </c>
    </row>
    <row r="4824" spans="7:11" x14ac:dyDescent="0.2">
      <c r="G4824" s="44"/>
      <c r="J4824" t="str">
        <f t="shared" si="150"/>
        <v/>
      </c>
      <c r="K4824" t="str">
        <f t="shared" si="151"/>
        <v/>
      </c>
    </row>
    <row r="4825" spans="7:11" x14ac:dyDescent="0.2">
      <c r="G4825" s="44"/>
      <c r="J4825" t="str">
        <f t="shared" si="150"/>
        <v/>
      </c>
      <c r="K4825" t="str">
        <f t="shared" si="151"/>
        <v/>
      </c>
    </row>
    <row r="4826" spans="7:11" x14ac:dyDescent="0.2">
      <c r="G4826" s="44"/>
      <c r="J4826" t="str">
        <f t="shared" si="150"/>
        <v/>
      </c>
      <c r="K4826" t="str">
        <f t="shared" si="151"/>
        <v/>
      </c>
    </row>
    <row r="4827" spans="7:11" x14ac:dyDescent="0.2">
      <c r="G4827" s="44"/>
      <c r="J4827" t="str">
        <f t="shared" si="150"/>
        <v/>
      </c>
      <c r="K4827" t="str">
        <f t="shared" si="151"/>
        <v/>
      </c>
    </row>
    <row r="4828" spans="7:11" x14ac:dyDescent="0.2">
      <c r="G4828" s="44"/>
      <c r="J4828" t="str">
        <f t="shared" si="150"/>
        <v/>
      </c>
      <c r="K4828" t="str">
        <f t="shared" si="151"/>
        <v/>
      </c>
    </row>
    <row r="4829" spans="7:11" x14ac:dyDescent="0.2">
      <c r="G4829" s="44"/>
      <c r="J4829" t="str">
        <f t="shared" si="150"/>
        <v/>
      </c>
      <c r="K4829" t="str">
        <f t="shared" si="151"/>
        <v/>
      </c>
    </row>
    <row r="4830" spans="7:11" x14ac:dyDescent="0.2">
      <c r="G4830" s="44"/>
      <c r="J4830" t="str">
        <f t="shared" si="150"/>
        <v/>
      </c>
      <c r="K4830" t="str">
        <f t="shared" si="151"/>
        <v/>
      </c>
    </row>
    <row r="4831" spans="7:11" x14ac:dyDescent="0.2">
      <c r="G4831" s="44"/>
      <c r="J4831" t="str">
        <f t="shared" si="150"/>
        <v/>
      </c>
      <c r="K4831" t="str">
        <f t="shared" si="151"/>
        <v/>
      </c>
    </row>
    <row r="4832" spans="7:11" x14ac:dyDescent="0.2">
      <c r="G4832" s="44"/>
      <c r="J4832" t="str">
        <f t="shared" si="150"/>
        <v/>
      </c>
      <c r="K4832" t="str">
        <f t="shared" si="151"/>
        <v/>
      </c>
    </row>
    <row r="4833" spans="7:11" x14ac:dyDescent="0.2">
      <c r="G4833" s="44"/>
      <c r="J4833" t="str">
        <f t="shared" si="150"/>
        <v/>
      </c>
      <c r="K4833" t="str">
        <f t="shared" si="151"/>
        <v/>
      </c>
    </row>
    <row r="4834" spans="7:11" x14ac:dyDescent="0.2">
      <c r="G4834" s="44"/>
      <c r="J4834" t="str">
        <f t="shared" si="150"/>
        <v/>
      </c>
      <c r="K4834" t="str">
        <f t="shared" si="151"/>
        <v/>
      </c>
    </row>
    <row r="4835" spans="7:11" x14ac:dyDescent="0.2">
      <c r="G4835" s="44"/>
      <c r="J4835" t="str">
        <f t="shared" si="150"/>
        <v/>
      </c>
      <c r="K4835" t="str">
        <f t="shared" si="151"/>
        <v/>
      </c>
    </row>
    <row r="4836" spans="7:11" x14ac:dyDescent="0.2">
      <c r="G4836" s="44"/>
      <c r="J4836" t="str">
        <f t="shared" si="150"/>
        <v/>
      </c>
      <c r="K4836" t="str">
        <f t="shared" si="151"/>
        <v/>
      </c>
    </row>
    <row r="4837" spans="7:11" x14ac:dyDescent="0.2">
      <c r="G4837" s="44"/>
      <c r="J4837" t="str">
        <f t="shared" si="150"/>
        <v/>
      </c>
      <c r="K4837" t="str">
        <f t="shared" si="151"/>
        <v/>
      </c>
    </row>
    <row r="4838" spans="7:11" x14ac:dyDescent="0.2">
      <c r="G4838" s="44"/>
      <c r="J4838" t="str">
        <f t="shared" si="150"/>
        <v/>
      </c>
      <c r="K4838" t="str">
        <f t="shared" si="151"/>
        <v/>
      </c>
    </row>
    <row r="4839" spans="7:11" x14ac:dyDescent="0.2">
      <c r="G4839" s="44"/>
      <c r="J4839" t="str">
        <f t="shared" si="150"/>
        <v/>
      </c>
      <c r="K4839" t="str">
        <f t="shared" si="151"/>
        <v/>
      </c>
    </row>
    <row r="4840" spans="7:11" x14ac:dyDescent="0.2">
      <c r="G4840" s="44"/>
      <c r="J4840" t="str">
        <f t="shared" si="150"/>
        <v/>
      </c>
      <c r="K4840" t="str">
        <f t="shared" si="151"/>
        <v/>
      </c>
    </row>
    <row r="4841" spans="7:11" x14ac:dyDescent="0.2">
      <c r="G4841" s="44"/>
      <c r="J4841" t="str">
        <f t="shared" si="150"/>
        <v/>
      </c>
      <c r="K4841" t="str">
        <f t="shared" si="151"/>
        <v/>
      </c>
    </row>
    <row r="4842" spans="7:11" x14ac:dyDescent="0.2">
      <c r="G4842" s="44"/>
      <c r="J4842" t="str">
        <f t="shared" si="150"/>
        <v/>
      </c>
      <c r="K4842" t="str">
        <f t="shared" si="151"/>
        <v/>
      </c>
    </row>
    <row r="4843" spans="7:11" x14ac:dyDescent="0.2">
      <c r="G4843" s="44"/>
      <c r="J4843" t="str">
        <f t="shared" si="150"/>
        <v/>
      </c>
      <c r="K4843" t="str">
        <f t="shared" si="151"/>
        <v/>
      </c>
    </row>
    <row r="4844" spans="7:11" x14ac:dyDescent="0.2">
      <c r="G4844" s="44"/>
      <c r="J4844" t="str">
        <f t="shared" si="150"/>
        <v/>
      </c>
      <c r="K4844" t="str">
        <f t="shared" si="151"/>
        <v/>
      </c>
    </row>
    <row r="4845" spans="7:11" x14ac:dyDescent="0.2">
      <c r="G4845" s="44"/>
      <c r="J4845" t="str">
        <f t="shared" si="150"/>
        <v/>
      </c>
      <c r="K4845" t="str">
        <f t="shared" si="151"/>
        <v/>
      </c>
    </row>
    <row r="4846" spans="7:11" x14ac:dyDescent="0.2">
      <c r="G4846" s="44"/>
      <c r="J4846" t="str">
        <f t="shared" si="150"/>
        <v/>
      </c>
      <c r="K4846" t="str">
        <f t="shared" si="151"/>
        <v/>
      </c>
    </row>
    <row r="4847" spans="7:11" x14ac:dyDescent="0.2">
      <c r="G4847" s="44"/>
      <c r="J4847" t="str">
        <f t="shared" si="150"/>
        <v/>
      </c>
      <c r="K4847" t="str">
        <f t="shared" si="151"/>
        <v/>
      </c>
    </row>
    <row r="4848" spans="7:11" x14ac:dyDescent="0.2">
      <c r="G4848" s="44"/>
      <c r="J4848" t="str">
        <f t="shared" si="150"/>
        <v/>
      </c>
      <c r="K4848" t="str">
        <f t="shared" si="151"/>
        <v/>
      </c>
    </row>
    <row r="4849" spans="7:11" x14ac:dyDescent="0.2">
      <c r="G4849" s="44"/>
      <c r="J4849" t="str">
        <f t="shared" si="150"/>
        <v/>
      </c>
      <c r="K4849" t="str">
        <f t="shared" si="151"/>
        <v/>
      </c>
    </row>
    <row r="4850" spans="7:11" x14ac:dyDescent="0.2">
      <c r="G4850" s="44"/>
      <c r="J4850" t="str">
        <f t="shared" si="150"/>
        <v/>
      </c>
      <c r="K4850" t="str">
        <f t="shared" si="151"/>
        <v/>
      </c>
    </row>
    <row r="4851" spans="7:11" x14ac:dyDescent="0.2">
      <c r="G4851" s="44"/>
      <c r="J4851" t="str">
        <f t="shared" si="150"/>
        <v/>
      </c>
      <c r="K4851" t="str">
        <f t="shared" si="151"/>
        <v/>
      </c>
    </row>
    <row r="4852" spans="7:11" x14ac:dyDescent="0.2">
      <c r="G4852" s="44"/>
      <c r="J4852" t="str">
        <f t="shared" si="150"/>
        <v/>
      </c>
      <c r="K4852" t="str">
        <f t="shared" si="151"/>
        <v/>
      </c>
    </row>
    <row r="4853" spans="7:11" x14ac:dyDescent="0.2">
      <c r="G4853" s="44"/>
      <c r="J4853" t="str">
        <f t="shared" si="150"/>
        <v/>
      </c>
      <c r="K4853" t="str">
        <f t="shared" si="151"/>
        <v/>
      </c>
    </row>
    <row r="4854" spans="7:11" x14ac:dyDescent="0.2">
      <c r="G4854" s="44"/>
      <c r="J4854" t="str">
        <f t="shared" si="150"/>
        <v/>
      </c>
      <c r="K4854" t="str">
        <f t="shared" si="151"/>
        <v/>
      </c>
    </row>
    <row r="4855" spans="7:11" x14ac:dyDescent="0.2">
      <c r="G4855" s="44"/>
      <c r="J4855" t="str">
        <f t="shared" si="150"/>
        <v/>
      </c>
      <c r="K4855" t="str">
        <f t="shared" si="151"/>
        <v/>
      </c>
    </row>
    <row r="4856" spans="7:11" x14ac:dyDescent="0.2">
      <c r="G4856" s="44"/>
      <c r="J4856" t="str">
        <f t="shared" si="150"/>
        <v/>
      </c>
      <c r="K4856" t="str">
        <f t="shared" si="151"/>
        <v/>
      </c>
    </row>
    <row r="4857" spans="7:11" x14ac:dyDescent="0.2">
      <c r="G4857" s="44"/>
      <c r="J4857" t="str">
        <f t="shared" si="150"/>
        <v/>
      </c>
      <c r="K4857" t="str">
        <f t="shared" si="151"/>
        <v/>
      </c>
    </row>
    <row r="4858" spans="7:11" x14ac:dyDescent="0.2">
      <c r="G4858" s="44"/>
      <c r="J4858" t="str">
        <f t="shared" si="150"/>
        <v/>
      </c>
      <c r="K4858" t="str">
        <f t="shared" si="151"/>
        <v/>
      </c>
    </row>
    <row r="4859" spans="7:11" x14ac:dyDescent="0.2">
      <c r="G4859" s="44"/>
      <c r="J4859" t="str">
        <f t="shared" si="150"/>
        <v/>
      </c>
      <c r="K4859" t="str">
        <f t="shared" si="151"/>
        <v/>
      </c>
    </row>
    <row r="4860" spans="7:11" x14ac:dyDescent="0.2">
      <c r="G4860" s="44"/>
      <c r="J4860" t="str">
        <f t="shared" si="150"/>
        <v/>
      </c>
      <c r="K4860" t="str">
        <f t="shared" si="151"/>
        <v/>
      </c>
    </row>
    <row r="4861" spans="7:11" x14ac:dyDescent="0.2">
      <c r="G4861" s="44"/>
      <c r="J4861" t="str">
        <f t="shared" si="150"/>
        <v/>
      </c>
      <c r="K4861" t="str">
        <f t="shared" si="151"/>
        <v/>
      </c>
    </row>
    <row r="4862" spans="7:11" x14ac:dyDescent="0.2">
      <c r="G4862" s="44"/>
      <c r="J4862" t="str">
        <f t="shared" si="150"/>
        <v/>
      </c>
      <c r="K4862" t="str">
        <f t="shared" si="151"/>
        <v/>
      </c>
    </row>
    <row r="4863" spans="7:11" x14ac:dyDescent="0.2">
      <c r="G4863" s="44"/>
      <c r="J4863" t="str">
        <f t="shared" si="150"/>
        <v/>
      </c>
      <c r="K4863" t="str">
        <f t="shared" si="151"/>
        <v/>
      </c>
    </row>
    <row r="4864" spans="7:11" x14ac:dyDescent="0.2">
      <c r="G4864" s="44"/>
      <c r="J4864" t="str">
        <f t="shared" si="150"/>
        <v/>
      </c>
      <c r="K4864" t="str">
        <f t="shared" si="151"/>
        <v/>
      </c>
    </row>
    <row r="4865" spans="7:11" x14ac:dyDescent="0.2">
      <c r="G4865" s="44"/>
      <c r="J4865" t="str">
        <f t="shared" si="150"/>
        <v/>
      </c>
      <c r="K4865" t="str">
        <f t="shared" si="151"/>
        <v/>
      </c>
    </row>
    <row r="4866" spans="7:11" x14ac:dyDescent="0.2">
      <c r="G4866" s="44"/>
      <c r="J4866" t="str">
        <f t="shared" ref="J4866:J4929" si="152">IF(E4866="","",IF(OR(E4866=50,E4866=51),"Iltindhold",IF(E4866=75,"Carbon,org,NVOC",IF(OR(E4866=343,E4866=1167),"Svovlbrinte",IF(OR(E4866=240,E4866=241,E4866=242),"Amm",IF(E4866=244,"Nitrit",IF(E4866=247,"Nitrat",IF(E4866=334,"Sulfat",IF(E4866=262,"Phosphor, total-P",F4866)))))))))</f>
        <v/>
      </c>
      <c r="K4866" t="str">
        <f t="shared" ref="K4866:K4929" si="153">IF(A4866="","",IF(H4866="!",NA(),IF(H4866="A",I4866*0.5,IF(H4866="&lt;",I4866*0.5,I4866))))</f>
        <v/>
      </c>
    </row>
    <row r="4867" spans="7:11" x14ac:dyDescent="0.2">
      <c r="G4867" s="44"/>
      <c r="J4867" t="str">
        <f t="shared" si="152"/>
        <v/>
      </c>
      <c r="K4867" t="str">
        <f t="shared" si="153"/>
        <v/>
      </c>
    </row>
    <row r="4868" spans="7:11" x14ac:dyDescent="0.2">
      <c r="G4868" s="44"/>
      <c r="J4868" t="str">
        <f t="shared" si="152"/>
        <v/>
      </c>
      <c r="K4868" t="str">
        <f t="shared" si="153"/>
        <v/>
      </c>
    </row>
    <row r="4869" spans="7:11" x14ac:dyDescent="0.2">
      <c r="G4869" s="44"/>
      <c r="J4869" t="str">
        <f t="shared" si="152"/>
        <v/>
      </c>
      <c r="K4869" t="str">
        <f t="shared" si="153"/>
        <v/>
      </c>
    </row>
    <row r="4870" spans="7:11" x14ac:dyDescent="0.2">
      <c r="G4870" s="44"/>
      <c r="J4870" t="str">
        <f t="shared" si="152"/>
        <v/>
      </c>
      <c r="K4870" t="str">
        <f t="shared" si="153"/>
        <v/>
      </c>
    </row>
    <row r="4871" spans="7:11" x14ac:dyDescent="0.2">
      <c r="G4871" s="44"/>
      <c r="J4871" t="str">
        <f t="shared" si="152"/>
        <v/>
      </c>
      <c r="K4871" t="str">
        <f t="shared" si="153"/>
        <v/>
      </c>
    </row>
    <row r="4872" spans="7:11" x14ac:dyDescent="0.2">
      <c r="G4872" s="44"/>
      <c r="J4872" t="str">
        <f t="shared" si="152"/>
        <v/>
      </c>
      <c r="K4872" t="str">
        <f t="shared" si="153"/>
        <v/>
      </c>
    </row>
    <row r="4873" spans="7:11" x14ac:dyDescent="0.2">
      <c r="G4873" s="44"/>
      <c r="J4873" t="str">
        <f t="shared" si="152"/>
        <v/>
      </c>
      <c r="K4873" t="str">
        <f t="shared" si="153"/>
        <v/>
      </c>
    </row>
    <row r="4874" spans="7:11" x14ac:dyDescent="0.2">
      <c r="G4874" s="44"/>
      <c r="J4874" t="str">
        <f t="shared" si="152"/>
        <v/>
      </c>
      <c r="K4874" t="str">
        <f t="shared" si="153"/>
        <v/>
      </c>
    </row>
    <row r="4875" spans="7:11" x14ac:dyDescent="0.2">
      <c r="G4875" s="44"/>
      <c r="J4875" t="str">
        <f t="shared" si="152"/>
        <v/>
      </c>
      <c r="K4875" t="str">
        <f t="shared" si="153"/>
        <v/>
      </c>
    </row>
    <row r="4876" spans="7:11" x14ac:dyDescent="0.2">
      <c r="G4876" s="44"/>
      <c r="J4876" t="str">
        <f t="shared" si="152"/>
        <v/>
      </c>
      <c r="K4876" t="str">
        <f t="shared" si="153"/>
        <v/>
      </c>
    </row>
    <row r="4877" spans="7:11" x14ac:dyDescent="0.2">
      <c r="G4877" s="44"/>
      <c r="J4877" t="str">
        <f t="shared" si="152"/>
        <v/>
      </c>
      <c r="K4877" t="str">
        <f t="shared" si="153"/>
        <v/>
      </c>
    </row>
    <row r="4878" spans="7:11" x14ac:dyDescent="0.2">
      <c r="G4878" s="44"/>
      <c r="J4878" t="str">
        <f t="shared" si="152"/>
        <v/>
      </c>
      <c r="K4878" t="str">
        <f t="shared" si="153"/>
        <v/>
      </c>
    </row>
    <row r="4879" spans="7:11" x14ac:dyDescent="0.2">
      <c r="G4879" s="44"/>
      <c r="J4879" t="str">
        <f t="shared" si="152"/>
        <v/>
      </c>
      <c r="K4879" t="str">
        <f t="shared" si="153"/>
        <v/>
      </c>
    </row>
    <row r="4880" spans="7:11" x14ac:dyDescent="0.2">
      <c r="G4880" s="44"/>
      <c r="J4880" t="str">
        <f t="shared" si="152"/>
        <v/>
      </c>
      <c r="K4880" t="str">
        <f t="shared" si="153"/>
        <v/>
      </c>
    </row>
    <row r="4881" spans="7:11" x14ac:dyDescent="0.2">
      <c r="G4881" s="44"/>
      <c r="J4881" t="str">
        <f t="shared" si="152"/>
        <v/>
      </c>
      <c r="K4881" t="str">
        <f t="shared" si="153"/>
        <v/>
      </c>
    </row>
    <row r="4882" spans="7:11" x14ac:dyDescent="0.2">
      <c r="G4882" s="44"/>
      <c r="J4882" t="str">
        <f t="shared" si="152"/>
        <v/>
      </c>
      <c r="K4882" t="str">
        <f t="shared" si="153"/>
        <v/>
      </c>
    </row>
    <row r="4883" spans="7:11" x14ac:dyDescent="0.2">
      <c r="G4883" s="44"/>
      <c r="J4883" t="str">
        <f t="shared" si="152"/>
        <v/>
      </c>
      <c r="K4883" t="str">
        <f t="shared" si="153"/>
        <v/>
      </c>
    </row>
    <row r="4884" spans="7:11" x14ac:dyDescent="0.2">
      <c r="G4884" s="44"/>
      <c r="J4884" t="str">
        <f t="shared" si="152"/>
        <v/>
      </c>
      <c r="K4884" t="str">
        <f t="shared" si="153"/>
        <v/>
      </c>
    </row>
    <row r="4885" spans="7:11" x14ac:dyDescent="0.2">
      <c r="G4885" s="44"/>
      <c r="J4885" t="str">
        <f t="shared" si="152"/>
        <v/>
      </c>
      <c r="K4885" t="str">
        <f t="shared" si="153"/>
        <v/>
      </c>
    </row>
    <row r="4886" spans="7:11" x14ac:dyDescent="0.2">
      <c r="G4886" s="44"/>
      <c r="J4886" t="str">
        <f t="shared" si="152"/>
        <v/>
      </c>
      <c r="K4886" t="str">
        <f t="shared" si="153"/>
        <v/>
      </c>
    </row>
    <row r="4887" spans="7:11" x14ac:dyDescent="0.2">
      <c r="G4887" s="44"/>
      <c r="J4887" t="str">
        <f t="shared" si="152"/>
        <v/>
      </c>
      <c r="K4887" t="str">
        <f t="shared" si="153"/>
        <v/>
      </c>
    </row>
    <row r="4888" spans="7:11" x14ac:dyDescent="0.2">
      <c r="G4888" s="44"/>
      <c r="J4888" t="str">
        <f t="shared" si="152"/>
        <v/>
      </c>
      <c r="K4888" t="str">
        <f t="shared" si="153"/>
        <v/>
      </c>
    </row>
    <row r="4889" spans="7:11" x14ac:dyDescent="0.2">
      <c r="G4889" s="44"/>
      <c r="J4889" t="str">
        <f t="shared" si="152"/>
        <v/>
      </c>
      <c r="K4889" t="str">
        <f t="shared" si="153"/>
        <v/>
      </c>
    </row>
    <row r="4890" spans="7:11" x14ac:dyDescent="0.2">
      <c r="G4890" s="44"/>
      <c r="J4890" t="str">
        <f t="shared" si="152"/>
        <v/>
      </c>
      <c r="K4890" t="str">
        <f t="shared" si="153"/>
        <v/>
      </c>
    </row>
    <row r="4891" spans="7:11" x14ac:dyDescent="0.2">
      <c r="G4891" s="44"/>
      <c r="J4891" t="str">
        <f t="shared" si="152"/>
        <v/>
      </c>
      <c r="K4891" t="str">
        <f t="shared" si="153"/>
        <v/>
      </c>
    </row>
    <row r="4892" spans="7:11" x14ac:dyDescent="0.2">
      <c r="G4892" s="44"/>
      <c r="J4892" t="str">
        <f t="shared" si="152"/>
        <v/>
      </c>
      <c r="K4892" t="str">
        <f t="shared" si="153"/>
        <v/>
      </c>
    </row>
    <row r="4893" spans="7:11" x14ac:dyDescent="0.2">
      <c r="G4893" s="44"/>
      <c r="J4893" t="str">
        <f t="shared" si="152"/>
        <v/>
      </c>
      <c r="K4893" t="str">
        <f t="shared" si="153"/>
        <v/>
      </c>
    </row>
    <row r="4894" spans="7:11" x14ac:dyDescent="0.2">
      <c r="G4894" s="44"/>
      <c r="J4894" t="str">
        <f t="shared" si="152"/>
        <v/>
      </c>
      <c r="K4894" t="str">
        <f t="shared" si="153"/>
        <v/>
      </c>
    </row>
    <row r="4895" spans="7:11" x14ac:dyDescent="0.2">
      <c r="G4895" s="44"/>
      <c r="J4895" t="str">
        <f t="shared" si="152"/>
        <v/>
      </c>
      <c r="K4895" t="str">
        <f t="shared" si="153"/>
        <v/>
      </c>
    </row>
    <row r="4896" spans="7:11" x14ac:dyDescent="0.2">
      <c r="G4896" s="44"/>
      <c r="J4896" t="str">
        <f t="shared" si="152"/>
        <v/>
      </c>
      <c r="K4896" t="str">
        <f t="shared" si="153"/>
        <v/>
      </c>
    </row>
    <row r="4897" spans="7:11" x14ac:dyDescent="0.2">
      <c r="G4897" s="44"/>
      <c r="J4897" t="str">
        <f t="shared" si="152"/>
        <v/>
      </c>
      <c r="K4897" t="str">
        <f t="shared" si="153"/>
        <v/>
      </c>
    </row>
    <row r="4898" spans="7:11" x14ac:dyDescent="0.2">
      <c r="G4898" s="44"/>
      <c r="J4898" t="str">
        <f t="shared" si="152"/>
        <v/>
      </c>
      <c r="K4898" t="str">
        <f t="shared" si="153"/>
        <v/>
      </c>
    </row>
    <row r="4899" spans="7:11" x14ac:dyDescent="0.2">
      <c r="G4899" s="44"/>
      <c r="J4899" t="str">
        <f t="shared" si="152"/>
        <v/>
      </c>
      <c r="K4899" t="str">
        <f t="shared" si="153"/>
        <v/>
      </c>
    </row>
    <row r="4900" spans="7:11" x14ac:dyDescent="0.2">
      <c r="G4900" s="44"/>
      <c r="J4900" t="str">
        <f t="shared" si="152"/>
        <v/>
      </c>
      <c r="K4900" t="str">
        <f t="shared" si="153"/>
        <v/>
      </c>
    </row>
    <row r="4901" spans="7:11" x14ac:dyDescent="0.2">
      <c r="G4901" s="44"/>
      <c r="J4901" t="str">
        <f t="shared" si="152"/>
        <v/>
      </c>
      <c r="K4901" t="str">
        <f t="shared" si="153"/>
        <v/>
      </c>
    </row>
    <row r="4902" spans="7:11" x14ac:dyDescent="0.2">
      <c r="G4902" s="44"/>
      <c r="J4902" t="str">
        <f t="shared" si="152"/>
        <v/>
      </c>
      <c r="K4902" t="str">
        <f t="shared" si="153"/>
        <v/>
      </c>
    </row>
    <row r="4903" spans="7:11" x14ac:dyDescent="0.2">
      <c r="G4903" s="44"/>
      <c r="J4903" t="str">
        <f t="shared" si="152"/>
        <v/>
      </c>
      <c r="K4903" t="str">
        <f t="shared" si="153"/>
        <v/>
      </c>
    </row>
    <row r="4904" spans="7:11" x14ac:dyDescent="0.2">
      <c r="G4904" s="44"/>
      <c r="J4904" t="str">
        <f t="shared" si="152"/>
        <v/>
      </c>
      <c r="K4904" t="str">
        <f t="shared" si="153"/>
        <v/>
      </c>
    </row>
    <row r="4905" spans="7:11" x14ac:dyDescent="0.2">
      <c r="G4905" s="44"/>
      <c r="J4905" t="str">
        <f t="shared" si="152"/>
        <v/>
      </c>
      <c r="K4905" t="str">
        <f t="shared" si="153"/>
        <v/>
      </c>
    </row>
    <row r="4906" spans="7:11" x14ac:dyDescent="0.2">
      <c r="G4906" s="44"/>
      <c r="J4906" t="str">
        <f t="shared" si="152"/>
        <v/>
      </c>
      <c r="K4906" t="str">
        <f t="shared" si="153"/>
        <v/>
      </c>
    </row>
    <row r="4907" spans="7:11" x14ac:dyDescent="0.2">
      <c r="G4907" s="44"/>
      <c r="J4907" t="str">
        <f t="shared" si="152"/>
        <v/>
      </c>
      <c r="K4907" t="str">
        <f t="shared" si="153"/>
        <v/>
      </c>
    </row>
    <row r="4908" spans="7:11" x14ac:dyDescent="0.2">
      <c r="G4908" s="44"/>
      <c r="J4908" t="str">
        <f t="shared" si="152"/>
        <v/>
      </c>
      <c r="K4908" t="str">
        <f t="shared" si="153"/>
        <v/>
      </c>
    </row>
    <row r="4909" spans="7:11" x14ac:dyDescent="0.2">
      <c r="G4909" s="44"/>
      <c r="J4909" t="str">
        <f t="shared" si="152"/>
        <v/>
      </c>
      <c r="K4909" t="str">
        <f t="shared" si="153"/>
        <v/>
      </c>
    </row>
    <row r="4910" spans="7:11" x14ac:dyDescent="0.2">
      <c r="G4910" s="44"/>
      <c r="J4910" t="str">
        <f t="shared" si="152"/>
        <v/>
      </c>
      <c r="K4910" t="str">
        <f t="shared" si="153"/>
        <v/>
      </c>
    </row>
    <row r="4911" spans="7:11" x14ac:dyDescent="0.2">
      <c r="G4911" s="44"/>
      <c r="J4911" t="str">
        <f t="shared" si="152"/>
        <v/>
      </c>
      <c r="K4911" t="str">
        <f t="shared" si="153"/>
        <v/>
      </c>
    </row>
    <row r="4912" spans="7:11" x14ac:dyDescent="0.2">
      <c r="G4912" s="44"/>
      <c r="J4912" t="str">
        <f t="shared" si="152"/>
        <v/>
      </c>
      <c r="K4912" t="str">
        <f t="shared" si="153"/>
        <v/>
      </c>
    </row>
    <row r="4913" spans="7:11" x14ac:dyDescent="0.2">
      <c r="G4913" s="44"/>
      <c r="J4913" t="str">
        <f t="shared" si="152"/>
        <v/>
      </c>
      <c r="K4913" t="str">
        <f t="shared" si="153"/>
        <v/>
      </c>
    </row>
    <row r="4914" spans="7:11" x14ac:dyDescent="0.2">
      <c r="G4914" s="44"/>
      <c r="J4914" t="str">
        <f t="shared" si="152"/>
        <v/>
      </c>
      <c r="K4914" t="str">
        <f t="shared" si="153"/>
        <v/>
      </c>
    </row>
    <row r="4915" spans="7:11" x14ac:dyDescent="0.2">
      <c r="G4915" s="44"/>
      <c r="J4915" t="str">
        <f t="shared" si="152"/>
        <v/>
      </c>
      <c r="K4915" t="str">
        <f t="shared" si="153"/>
        <v/>
      </c>
    </row>
    <row r="4916" spans="7:11" x14ac:dyDescent="0.2">
      <c r="G4916" s="44"/>
      <c r="J4916" t="str">
        <f t="shared" si="152"/>
        <v/>
      </c>
      <c r="K4916" t="str">
        <f t="shared" si="153"/>
        <v/>
      </c>
    </row>
    <row r="4917" spans="7:11" x14ac:dyDescent="0.2">
      <c r="G4917" s="44"/>
      <c r="J4917" t="str">
        <f t="shared" si="152"/>
        <v/>
      </c>
      <c r="K4917" t="str">
        <f t="shared" si="153"/>
        <v/>
      </c>
    </row>
    <row r="4918" spans="7:11" x14ac:dyDescent="0.2">
      <c r="G4918" s="44"/>
      <c r="J4918" t="str">
        <f t="shared" si="152"/>
        <v/>
      </c>
      <c r="K4918" t="str">
        <f t="shared" si="153"/>
        <v/>
      </c>
    </row>
    <row r="4919" spans="7:11" x14ac:dyDescent="0.2">
      <c r="G4919" s="44"/>
      <c r="J4919" t="str">
        <f t="shared" si="152"/>
        <v/>
      </c>
      <c r="K4919" t="str">
        <f t="shared" si="153"/>
        <v/>
      </c>
    </row>
    <row r="4920" spans="7:11" x14ac:dyDescent="0.2">
      <c r="G4920" s="44"/>
      <c r="J4920" t="str">
        <f t="shared" si="152"/>
        <v/>
      </c>
      <c r="K4920" t="str">
        <f t="shared" si="153"/>
        <v/>
      </c>
    </row>
    <row r="4921" spans="7:11" x14ac:dyDescent="0.2">
      <c r="G4921" s="44"/>
      <c r="J4921" t="str">
        <f t="shared" si="152"/>
        <v/>
      </c>
      <c r="K4921" t="str">
        <f t="shared" si="153"/>
        <v/>
      </c>
    </row>
    <row r="4922" spans="7:11" x14ac:dyDescent="0.2">
      <c r="G4922" s="44"/>
      <c r="J4922" t="str">
        <f t="shared" si="152"/>
        <v/>
      </c>
      <c r="K4922" t="str">
        <f t="shared" si="153"/>
        <v/>
      </c>
    </row>
    <row r="4923" spans="7:11" x14ac:dyDescent="0.2">
      <c r="G4923" s="44"/>
      <c r="J4923" t="str">
        <f t="shared" si="152"/>
        <v/>
      </c>
      <c r="K4923" t="str">
        <f t="shared" si="153"/>
        <v/>
      </c>
    </row>
    <row r="4924" spans="7:11" x14ac:dyDescent="0.2">
      <c r="G4924" s="44"/>
      <c r="J4924" t="str">
        <f t="shared" si="152"/>
        <v/>
      </c>
      <c r="K4924" t="str">
        <f t="shared" si="153"/>
        <v/>
      </c>
    </row>
    <row r="4925" spans="7:11" x14ac:dyDescent="0.2">
      <c r="G4925" s="44"/>
      <c r="J4925" t="str">
        <f t="shared" si="152"/>
        <v/>
      </c>
      <c r="K4925" t="str">
        <f t="shared" si="153"/>
        <v/>
      </c>
    </row>
    <row r="4926" spans="7:11" x14ac:dyDescent="0.2">
      <c r="G4926" s="44"/>
      <c r="J4926" t="str">
        <f t="shared" si="152"/>
        <v/>
      </c>
      <c r="K4926" t="str">
        <f t="shared" si="153"/>
        <v/>
      </c>
    </row>
    <row r="4927" spans="7:11" x14ac:dyDescent="0.2">
      <c r="G4927" s="44"/>
      <c r="J4927" t="str">
        <f t="shared" si="152"/>
        <v/>
      </c>
      <c r="K4927" t="str">
        <f t="shared" si="153"/>
        <v/>
      </c>
    </row>
    <row r="4928" spans="7:11" x14ac:dyDescent="0.2">
      <c r="G4928" s="44"/>
      <c r="J4928" t="str">
        <f t="shared" si="152"/>
        <v/>
      </c>
      <c r="K4928" t="str">
        <f t="shared" si="153"/>
        <v/>
      </c>
    </row>
    <row r="4929" spans="7:11" x14ac:dyDescent="0.2">
      <c r="G4929" s="44"/>
      <c r="J4929" t="str">
        <f t="shared" si="152"/>
        <v/>
      </c>
      <c r="K4929" t="str">
        <f t="shared" si="153"/>
        <v/>
      </c>
    </row>
    <row r="4930" spans="7:11" x14ac:dyDescent="0.2">
      <c r="G4930" s="44"/>
      <c r="J4930" t="str">
        <f t="shared" ref="J4930:J4993" si="154">IF(E4930="","",IF(OR(E4930=50,E4930=51),"Iltindhold",IF(E4930=75,"Carbon,org,NVOC",IF(OR(E4930=343,E4930=1167),"Svovlbrinte",IF(OR(E4930=240,E4930=241,E4930=242),"Amm",IF(E4930=244,"Nitrit",IF(E4930=247,"Nitrat",IF(E4930=334,"Sulfat",IF(E4930=262,"Phosphor, total-P",F4930)))))))))</f>
        <v/>
      </c>
      <c r="K4930" t="str">
        <f t="shared" ref="K4930:K4993" si="155">IF(A4930="","",IF(H4930="!",NA(),IF(H4930="A",I4930*0.5,IF(H4930="&lt;",I4930*0.5,I4930))))</f>
        <v/>
      </c>
    </row>
    <row r="4931" spans="7:11" x14ac:dyDescent="0.2">
      <c r="G4931" s="44"/>
      <c r="J4931" t="str">
        <f t="shared" si="154"/>
        <v/>
      </c>
      <c r="K4931" t="str">
        <f t="shared" si="155"/>
        <v/>
      </c>
    </row>
    <row r="4932" spans="7:11" x14ac:dyDescent="0.2">
      <c r="G4932" s="44"/>
      <c r="J4932" t="str">
        <f t="shared" si="154"/>
        <v/>
      </c>
      <c r="K4932" t="str">
        <f t="shared" si="155"/>
        <v/>
      </c>
    </row>
    <row r="4933" spans="7:11" x14ac:dyDescent="0.2">
      <c r="G4933" s="44"/>
      <c r="J4933" t="str">
        <f t="shared" si="154"/>
        <v/>
      </c>
      <c r="K4933" t="str">
        <f t="shared" si="155"/>
        <v/>
      </c>
    </row>
    <row r="4934" spans="7:11" x14ac:dyDescent="0.2">
      <c r="G4934" s="44"/>
      <c r="J4934" t="str">
        <f t="shared" si="154"/>
        <v/>
      </c>
      <c r="K4934" t="str">
        <f t="shared" si="155"/>
        <v/>
      </c>
    </row>
    <row r="4935" spans="7:11" x14ac:dyDescent="0.2">
      <c r="G4935" s="44"/>
      <c r="J4935" t="str">
        <f t="shared" si="154"/>
        <v/>
      </c>
      <c r="K4935" t="str">
        <f t="shared" si="155"/>
        <v/>
      </c>
    </row>
    <row r="4936" spans="7:11" x14ac:dyDescent="0.2">
      <c r="G4936" s="44"/>
      <c r="J4936" t="str">
        <f t="shared" si="154"/>
        <v/>
      </c>
      <c r="K4936" t="str">
        <f t="shared" si="155"/>
        <v/>
      </c>
    </row>
    <row r="4937" spans="7:11" x14ac:dyDescent="0.2">
      <c r="G4937" s="44"/>
      <c r="J4937" t="str">
        <f t="shared" si="154"/>
        <v/>
      </c>
      <c r="K4937" t="str">
        <f t="shared" si="155"/>
        <v/>
      </c>
    </row>
    <row r="4938" spans="7:11" x14ac:dyDescent="0.2">
      <c r="G4938" s="44"/>
      <c r="J4938" t="str">
        <f t="shared" si="154"/>
        <v/>
      </c>
      <c r="K4938" t="str">
        <f t="shared" si="155"/>
        <v/>
      </c>
    </row>
    <row r="4939" spans="7:11" x14ac:dyDescent="0.2">
      <c r="G4939" s="44"/>
      <c r="J4939" t="str">
        <f t="shared" si="154"/>
        <v/>
      </c>
      <c r="K4939" t="str">
        <f t="shared" si="155"/>
        <v/>
      </c>
    </row>
    <row r="4940" spans="7:11" x14ac:dyDescent="0.2">
      <c r="G4940" s="44"/>
      <c r="J4940" t="str">
        <f t="shared" si="154"/>
        <v/>
      </c>
      <c r="K4940" t="str">
        <f t="shared" si="155"/>
        <v/>
      </c>
    </row>
    <row r="4941" spans="7:11" x14ac:dyDescent="0.2">
      <c r="G4941" s="44"/>
      <c r="J4941" t="str">
        <f t="shared" si="154"/>
        <v/>
      </c>
      <c r="K4941" t="str">
        <f t="shared" si="155"/>
        <v/>
      </c>
    </row>
    <row r="4942" spans="7:11" x14ac:dyDescent="0.2">
      <c r="G4942" s="44"/>
      <c r="J4942" t="str">
        <f t="shared" si="154"/>
        <v/>
      </c>
      <c r="K4942" t="str">
        <f t="shared" si="155"/>
        <v/>
      </c>
    </row>
    <row r="4943" spans="7:11" x14ac:dyDescent="0.2">
      <c r="G4943" s="44"/>
      <c r="J4943" t="str">
        <f t="shared" si="154"/>
        <v/>
      </c>
      <c r="K4943" t="str">
        <f t="shared" si="155"/>
        <v/>
      </c>
    </row>
    <row r="4944" spans="7:11" x14ac:dyDescent="0.2">
      <c r="G4944" s="44"/>
      <c r="J4944" t="str">
        <f t="shared" si="154"/>
        <v/>
      </c>
      <c r="K4944" t="str">
        <f t="shared" si="155"/>
        <v/>
      </c>
    </row>
    <row r="4945" spans="7:11" x14ac:dyDescent="0.2">
      <c r="G4945" s="44"/>
      <c r="J4945" t="str">
        <f t="shared" si="154"/>
        <v/>
      </c>
      <c r="K4945" t="str">
        <f t="shared" si="155"/>
        <v/>
      </c>
    </row>
    <row r="4946" spans="7:11" x14ac:dyDescent="0.2">
      <c r="G4946" s="44"/>
      <c r="J4946" t="str">
        <f t="shared" si="154"/>
        <v/>
      </c>
      <c r="K4946" t="str">
        <f t="shared" si="155"/>
        <v/>
      </c>
    </row>
    <row r="4947" spans="7:11" x14ac:dyDescent="0.2">
      <c r="G4947" s="44"/>
      <c r="J4947" t="str">
        <f t="shared" si="154"/>
        <v/>
      </c>
      <c r="K4947" t="str">
        <f t="shared" si="155"/>
        <v/>
      </c>
    </row>
    <row r="4948" spans="7:11" x14ac:dyDescent="0.2">
      <c r="G4948" s="44"/>
      <c r="J4948" t="str">
        <f t="shared" si="154"/>
        <v/>
      </c>
      <c r="K4948" t="str">
        <f t="shared" si="155"/>
        <v/>
      </c>
    </row>
    <row r="4949" spans="7:11" x14ac:dyDescent="0.2">
      <c r="G4949" s="44"/>
      <c r="J4949" t="str">
        <f t="shared" si="154"/>
        <v/>
      </c>
      <c r="K4949" t="str">
        <f t="shared" si="155"/>
        <v/>
      </c>
    </row>
    <row r="4950" spans="7:11" x14ac:dyDescent="0.2">
      <c r="G4950" s="44"/>
      <c r="J4950" t="str">
        <f t="shared" si="154"/>
        <v/>
      </c>
      <c r="K4950" t="str">
        <f t="shared" si="155"/>
        <v/>
      </c>
    </row>
    <row r="4951" spans="7:11" x14ac:dyDescent="0.2">
      <c r="G4951" s="44"/>
      <c r="J4951" t="str">
        <f t="shared" si="154"/>
        <v/>
      </c>
      <c r="K4951" t="str">
        <f t="shared" si="155"/>
        <v/>
      </c>
    </row>
    <row r="4952" spans="7:11" x14ac:dyDescent="0.2">
      <c r="G4952" s="44"/>
      <c r="J4952" t="str">
        <f t="shared" si="154"/>
        <v/>
      </c>
      <c r="K4952" t="str">
        <f t="shared" si="155"/>
        <v/>
      </c>
    </row>
    <row r="4953" spans="7:11" x14ac:dyDescent="0.2">
      <c r="G4953" s="44"/>
      <c r="J4953" t="str">
        <f t="shared" si="154"/>
        <v/>
      </c>
      <c r="K4953" t="str">
        <f t="shared" si="155"/>
        <v/>
      </c>
    </row>
    <row r="4954" spans="7:11" x14ac:dyDescent="0.2">
      <c r="G4954" s="44"/>
      <c r="J4954" t="str">
        <f t="shared" si="154"/>
        <v/>
      </c>
      <c r="K4954" t="str">
        <f t="shared" si="155"/>
        <v/>
      </c>
    </row>
    <row r="4955" spans="7:11" x14ac:dyDescent="0.2">
      <c r="G4955" s="44"/>
      <c r="J4955" t="str">
        <f t="shared" si="154"/>
        <v/>
      </c>
      <c r="K4955" t="str">
        <f t="shared" si="155"/>
        <v/>
      </c>
    </row>
    <row r="4956" spans="7:11" x14ac:dyDescent="0.2">
      <c r="G4956" s="44"/>
      <c r="J4956" t="str">
        <f t="shared" si="154"/>
        <v/>
      </c>
      <c r="K4956" t="str">
        <f t="shared" si="155"/>
        <v/>
      </c>
    </row>
    <row r="4957" spans="7:11" x14ac:dyDescent="0.2">
      <c r="G4957" s="44"/>
      <c r="J4957" t="str">
        <f t="shared" si="154"/>
        <v/>
      </c>
      <c r="K4957" t="str">
        <f t="shared" si="155"/>
        <v/>
      </c>
    </row>
    <row r="4958" spans="7:11" x14ac:dyDescent="0.2">
      <c r="G4958" s="44"/>
      <c r="J4958" t="str">
        <f t="shared" si="154"/>
        <v/>
      </c>
      <c r="K4958" t="str">
        <f t="shared" si="155"/>
        <v/>
      </c>
    </row>
    <row r="4959" spans="7:11" x14ac:dyDescent="0.2">
      <c r="G4959" s="44"/>
      <c r="J4959" t="str">
        <f t="shared" si="154"/>
        <v/>
      </c>
      <c r="K4959" t="str">
        <f t="shared" si="155"/>
        <v/>
      </c>
    </row>
    <row r="4960" spans="7:11" x14ac:dyDescent="0.2">
      <c r="G4960" s="44"/>
      <c r="J4960" t="str">
        <f t="shared" si="154"/>
        <v/>
      </c>
      <c r="K4960" t="str">
        <f t="shared" si="155"/>
        <v/>
      </c>
    </row>
    <row r="4961" spans="7:11" x14ac:dyDescent="0.2">
      <c r="G4961" s="44"/>
      <c r="J4961" t="str">
        <f t="shared" si="154"/>
        <v/>
      </c>
      <c r="K4961" t="str">
        <f t="shared" si="155"/>
        <v/>
      </c>
    </row>
    <row r="4962" spans="7:11" x14ac:dyDescent="0.2">
      <c r="G4962" s="44"/>
      <c r="J4962" t="str">
        <f t="shared" si="154"/>
        <v/>
      </c>
      <c r="K4962" t="str">
        <f t="shared" si="155"/>
        <v/>
      </c>
    </row>
    <row r="4963" spans="7:11" x14ac:dyDescent="0.2">
      <c r="G4963" s="44"/>
      <c r="J4963" t="str">
        <f t="shared" si="154"/>
        <v/>
      </c>
      <c r="K4963" t="str">
        <f t="shared" si="155"/>
        <v/>
      </c>
    </row>
    <row r="4964" spans="7:11" x14ac:dyDescent="0.2">
      <c r="G4964" s="44"/>
      <c r="J4964" t="str">
        <f t="shared" si="154"/>
        <v/>
      </c>
      <c r="K4964" t="str">
        <f t="shared" si="155"/>
        <v/>
      </c>
    </row>
    <row r="4965" spans="7:11" x14ac:dyDescent="0.2">
      <c r="G4965" s="44"/>
      <c r="J4965" t="str">
        <f t="shared" si="154"/>
        <v/>
      </c>
      <c r="K4965" t="str">
        <f t="shared" si="155"/>
        <v/>
      </c>
    </row>
    <row r="4966" spans="7:11" x14ac:dyDescent="0.2">
      <c r="G4966" s="44"/>
      <c r="J4966" t="str">
        <f t="shared" si="154"/>
        <v/>
      </c>
      <c r="K4966" t="str">
        <f t="shared" si="155"/>
        <v/>
      </c>
    </row>
    <row r="4967" spans="7:11" x14ac:dyDescent="0.2">
      <c r="G4967" s="44"/>
      <c r="J4967" t="str">
        <f t="shared" si="154"/>
        <v/>
      </c>
      <c r="K4967" t="str">
        <f t="shared" si="155"/>
        <v/>
      </c>
    </row>
    <row r="4968" spans="7:11" x14ac:dyDescent="0.2">
      <c r="G4968" s="44"/>
      <c r="J4968" t="str">
        <f t="shared" si="154"/>
        <v/>
      </c>
      <c r="K4968" t="str">
        <f t="shared" si="155"/>
        <v/>
      </c>
    </row>
    <row r="4969" spans="7:11" x14ac:dyDescent="0.2">
      <c r="G4969" s="44"/>
      <c r="J4969" t="str">
        <f t="shared" si="154"/>
        <v/>
      </c>
      <c r="K4969" t="str">
        <f t="shared" si="155"/>
        <v/>
      </c>
    </row>
    <row r="4970" spans="7:11" x14ac:dyDescent="0.2">
      <c r="G4970" s="44"/>
      <c r="J4970" t="str">
        <f t="shared" si="154"/>
        <v/>
      </c>
      <c r="K4970" t="str">
        <f t="shared" si="155"/>
        <v/>
      </c>
    </row>
    <row r="4971" spans="7:11" x14ac:dyDescent="0.2">
      <c r="G4971" s="44"/>
      <c r="J4971" t="str">
        <f t="shared" si="154"/>
        <v/>
      </c>
      <c r="K4971" t="str">
        <f t="shared" si="155"/>
        <v/>
      </c>
    </row>
    <row r="4972" spans="7:11" x14ac:dyDescent="0.2">
      <c r="G4972" s="44"/>
      <c r="J4972" t="str">
        <f t="shared" si="154"/>
        <v/>
      </c>
      <c r="K4972" t="str">
        <f t="shared" si="155"/>
        <v/>
      </c>
    </row>
    <row r="4973" spans="7:11" x14ac:dyDescent="0.2">
      <c r="G4973" s="44"/>
      <c r="J4973" t="str">
        <f t="shared" si="154"/>
        <v/>
      </c>
      <c r="K4973" t="str">
        <f t="shared" si="155"/>
        <v/>
      </c>
    </row>
    <row r="4974" spans="7:11" x14ac:dyDescent="0.2">
      <c r="G4974" s="44"/>
      <c r="J4974" t="str">
        <f t="shared" si="154"/>
        <v/>
      </c>
      <c r="K4974" t="str">
        <f t="shared" si="155"/>
        <v/>
      </c>
    </row>
    <row r="4975" spans="7:11" x14ac:dyDescent="0.2">
      <c r="G4975" s="44"/>
      <c r="J4975" t="str">
        <f t="shared" si="154"/>
        <v/>
      </c>
      <c r="K4975" t="str">
        <f t="shared" si="155"/>
        <v/>
      </c>
    </row>
    <row r="4976" spans="7:11" x14ac:dyDescent="0.2">
      <c r="G4976" s="44"/>
      <c r="J4976" t="str">
        <f t="shared" si="154"/>
        <v/>
      </c>
      <c r="K4976" t="str">
        <f t="shared" si="155"/>
        <v/>
      </c>
    </row>
    <row r="4977" spans="7:11" x14ac:dyDescent="0.2">
      <c r="G4977" s="44"/>
      <c r="J4977" t="str">
        <f t="shared" si="154"/>
        <v/>
      </c>
      <c r="K4977" t="str">
        <f t="shared" si="155"/>
        <v/>
      </c>
    </row>
    <row r="4978" spans="7:11" x14ac:dyDescent="0.2">
      <c r="G4978" s="44"/>
      <c r="J4978" t="str">
        <f t="shared" si="154"/>
        <v/>
      </c>
      <c r="K4978" t="str">
        <f t="shared" si="155"/>
        <v/>
      </c>
    </row>
    <row r="4979" spans="7:11" x14ac:dyDescent="0.2">
      <c r="G4979" s="44"/>
      <c r="J4979" t="str">
        <f t="shared" si="154"/>
        <v/>
      </c>
      <c r="K4979" t="str">
        <f t="shared" si="155"/>
        <v/>
      </c>
    </row>
    <row r="4980" spans="7:11" x14ac:dyDescent="0.2">
      <c r="G4980" s="44"/>
      <c r="J4980" t="str">
        <f t="shared" si="154"/>
        <v/>
      </c>
      <c r="K4980" t="str">
        <f t="shared" si="155"/>
        <v/>
      </c>
    </row>
    <row r="4981" spans="7:11" x14ac:dyDescent="0.2">
      <c r="G4981" s="44"/>
      <c r="J4981" t="str">
        <f t="shared" si="154"/>
        <v/>
      </c>
      <c r="K4981" t="str">
        <f t="shared" si="155"/>
        <v/>
      </c>
    </row>
    <row r="4982" spans="7:11" x14ac:dyDescent="0.2">
      <c r="G4982" s="44"/>
      <c r="J4982" t="str">
        <f t="shared" si="154"/>
        <v/>
      </c>
      <c r="K4982" t="str">
        <f t="shared" si="155"/>
        <v/>
      </c>
    </row>
    <row r="4983" spans="7:11" x14ac:dyDescent="0.2">
      <c r="G4983" s="44"/>
      <c r="J4983" t="str">
        <f t="shared" si="154"/>
        <v/>
      </c>
      <c r="K4983" t="str">
        <f t="shared" si="155"/>
        <v/>
      </c>
    </row>
    <row r="4984" spans="7:11" x14ac:dyDescent="0.2">
      <c r="G4984" s="44"/>
      <c r="J4984" t="str">
        <f t="shared" si="154"/>
        <v/>
      </c>
      <c r="K4984" t="str">
        <f t="shared" si="155"/>
        <v/>
      </c>
    </row>
    <row r="4985" spans="7:11" x14ac:dyDescent="0.2">
      <c r="G4985" s="44"/>
      <c r="J4985" t="str">
        <f t="shared" si="154"/>
        <v/>
      </c>
      <c r="K4985" t="str">
        <f t="shared" si="155"/>
        <v/>
      </c>
    </row>
    <row r="4986" spans="7:11" x14ac:dyDescent="0.2">
      <c r="G4986" s="44"/>
      <c r="J4986" t="str">
        <f t="shared" si="154"/>
        <v/>
      </c>
      <c r="K4986" t="str">
        <f t="shared" si="155"/>
        <v/>
      </c>
    </row>
    <row r="4987" spans="7:11" x14ac:dyDescent="0.2">
      <c r="G4987" s="44"/>
      <c r="J4987" t="str">
        <f t="shared" si="154"/>
        <v/>
      </c>
      <c r="K4987" t="str">
        <f t="shared" si="155"/>
        <v/>
      </c>
    </row>
    <row r="4988" spans="7:11" x14ac:dyDescent="0.2">
      <c r="G4988" s="44"/>
      <c r="J4988" t="str">
        <f t="shared" si="154"/>
        <v/>
      </c>
      <c r="K4988" t="str">
        <f t="shared" si="155"/>
        <v/>
      </c>
    </row>
    <row r="4989" spans="7:11" x14ac:dyDescent="0.2">
      <c r="G4989" s="44"/>
      <c r="J4989" t="str">
        <f t="shared" si="154"/>
        <v/>
      </c>
      <c r="K4989" t="str">
        <f t="shared" si="155"/>
        <v/>
      </c>
    </row>
    <row r="4990" spans="7:11" x14ac:dyDescent="0.2">
      <c r="G4990" s="44"/>
      <c r="J4990" t="str">
        <f t="shared" si="154"/>
        <v/>
      </c>
      <c r="K4990" t="str">
        <f t="shared" si="155"/>
        <v/>
      </c>
    </row>
    <row r="4991" spans="7:11" x14ac:dyDescent="0.2">
      <c r="G4991" s="44"/>
      <c r="J4991" t="str">
        <f t="shared" si="154"/>
        <v/>
      </c>
      <c r="K4991" t="str">
        <f t="shared" si="155"/>
        <v/>
      </c>
    </row>
    <row r="4992" spans="7:11" x14ac:dyDescent="0.2">
      <c r="G4992" s="44"/>
      <c r="J4992" t="str">
        <f t="shared" si="154"/>
        <v/>
      </c>
      <c r="K4992" t="str">
        <f t="shared" si="155"/>
        <v/>
      </c>
    </row>
    <row r="4993" spans="7:11" x14ac:dyDescent="0.2">
      <c r="G4993" s="44"/>
      <c r="J4993" t="str">
        <f t="shared" si="154"/>
        <v/>
      </c>
      <c r="K4993" t="str">
        <f t="shared" si="155"/>
        <v/>
      </c>
    </row>
    <row r="4994" spans="7:11" x14ac:dyDescent="0.2">
      <c r="G4994" s="44"/>
      <c r="J4994" t="str">
        <f t="shared" ref="J4994:J5057" si="156">IF(E4994="","",IF(OR(E4994=50,E4994=51),"Iltindhold",IF(E4994=75,"Carbon,org,NVOC",IF(OR(E4994=343,E4994=1167),"Svovlbrinte",IF(OR(E4994=240,E4994=241,E4994=242),"Amm",IF(E4994=244,"Nitrit",IF(E4994=247,"Nitrat",IF(E4994=334,"Sulfat",IF(E4994=262,"Phosphor, total-P",F4994)))))))))</f>
        <v/>
      </c>
      <c r="K4994" t="str">
        <f t="shared" ref="K4994:K5057" si="157">IF(A4994="","",IF(H4994="!",NA(),IF(H4994="A",I4994*0.5,IF(H4994="&lt;",I4994*0.5,I4994))))</f>
        <v/>
      </c>
    </row>
    <row r="4995" spans="7:11" x14ac:dyDescent="0.2">
      <c r="G4995" s="44"/>
      <c r="J4995" t="str">
        <f t="shared" si="156"/>
        <v/>
      </c>
      <c r="K4995" t="str">
        <f t="shared" si="157"/>
        <v/>
      </c>
    </row>
    <row r="4996" spans="7:11" x14ac:dyDescent="0.2">
      <c r="G4996" s="44"/>
      <c r="J4996" t="str">
        <f t="shared" si="156"/>
        <v/>
      </c>
      <c r="K4996" t="str">
        <f t="shared" si="157"/>
        <v/>
      </c>
    </row>
    <row r="4997" spans="7:11" x14ac:dyDescent="0.2">
      <c r="G4997" s="44"/>
      <c r="J4997" t="str">
        <f t="shared" si="156"/>
        <v/>
      </c>
      <c r="K4997" t="str">
        <f t="shared" si="157"/>
        <v/>
      </c>
    </row>
    <row r="4998" spans="7:11" x14ac:dyDescent="0.2">
      <c r="G4998" s="44"/>
      <c r="J4998" t="str">
        <f t="shared" si="156"/>
        <v/>
      </c>
      <c r="K4998" t="str">
        <f t="shared" si="157"/>
        <v/>
      </c>
    </row>
    <row r="4999" spans="7:11" x14ac:dyDescent="0.2">
      <c r="G4999" s="44"/>
      <c r="J4999" t="str">
        <f t="shared" si="156"/>
        <v/>
      </c>
      <c r="K4999" t="str">
        <f t="shared" si="157"/>
        <v/>
      </c>
    </row>
    <row r="5000" spans="7:11" x14ac:dyDescent="0.2">
      <c r="G5000" s="44"/>
      <c r="J5000" t="str">
        <f t="shared" si="156"/>
        <v/>
      </c>
      <c r="K5000" t="str">
        <f t="shared" si="157"/>
        <v/>
      </c>
    </row>
    <row r="5001" spans="7:11" x14ac:dyDescent="0.2">
      <c r="G5001" s="44"/>
      <c r="J5001" t="str">
        <f t="shared" si="156"/>
        <v/>
      </c>
      <c r="K5001" t="str">
        <f t="shared" si="157"/>
        <v/>
      </c>
    </row>
    <row r="5002" spans="7:11" x14ac:dyDescent="0.2">
      <c r="G5002" s="44"/>
      <c r="J5002" t="str">
        <f t="shared" si="156"/>
        <v/>
      </c>
      <c r="K5002" t="str">
        <f t="shared" si="157"/>
        <v/>
      </c>
    </row>
    <row r="5003" spans="7:11" x14ac:dyDescent="0.2">
      <c r="G5003" s="44"/>
      <c r="J5003" t="str">
        <f t="shared" si="156"/>
        <v/>
      </c>
      <c r="K5003" t="str">
        <f t="shared" si="157"/>
        <v/>
      </c>
    </row>
    <row r="5004" spans="7:11" x14ac:dyDescent="0.2">
      <c r="G5004" s="44"/>
      <c r="J5004" t="str">
        <f t="shared" si="156"/>
        <v/>
      </c>
      <c r="K5004" t="str">
        <f t="shared" si="157"/>
        <v/>
      </c>
    </row>
    <row r="5005" spans="7:11" x14ac:dyDescent="0.2">
      <c r="G5005" s="44"/>
      <c r="J5005" t="str">
        <f t="shared" si="156"/>
        <v/>
      </c>
      <c r="K5005" t="str">
        <f t="shared" si="157"/>
        <v/>
      </c>
    </row>
    <row r="5006" spans="7:11" x14ac:dyDescent="0.2">
      <c r="G5006" s="44"/>
      <c r="J5006" t="str">
        <f t="shared" si="156"/>
        <v/>
      </c>
      <c r="K5006" t="str">
        <f t="shared" si="157"/>
        <v/>
      </c>
    </row>
    <row r="5007" spans="7:11" x14ac:dyDescent="0.2">
      <c r="G5007" s="44"/>
      <c r="J5007" t="str">
        <f t="shared" si="156"/>
        <v/>
      </c>
      <c r="K5007" t="str">
        <f t="shared" si="157"/>
        <v/>
      </c>
    </row>
    <row r="5008" spans="7:11" x14ac:dyDescent="0.2">
      <c r="G5008" s="44"/>
      <c r="J5008" t="str">
        <f t="shared" si="156"/>
        <v/>
      </c>
      <c r="K5008" t="str">
        <f t="shared" si="157"/>
        <v/>
      </c>
    </row>
    <row r="5009" spans="7:11" x14ac:dyDescent="0.2">
      <c r="G5009" s="44"/>
      <c r="J5009" t="str">
        <f t="shared" si="156"/>
        <v/>
      </c>
      <c r="K5009" t="str">
        <f t="shared" si="157"/>
        <v/>
      </c>
    </row>
    <row r="5010" spans="7:11" x14ac:dyDescent="0.2">
      <c r="G5010" s="44"/>
      <c r="J5010" t="str">
        <f t="shared" si="156"/>
        <v/>
      </c>
      <c r="K5010" t="str">
        <f t="shared" si="157"/>
        <v/>
      </c>
    </row>
    <row r="5011" spans="7:11" x14ac:dyDescent="0.2">
      <c r="G5011" s="44"/>
      <c r="J5011" t="str">
        <f t="shared" si="156"/>
        <v/>
      </c>
      <c r="K5011" t="str">
        <f t="shared" si="157"/>
        <v/>
      </c>
    </row>
    <row r="5012" spans="7:11" x14ac:dyDescent="0.2">
      <c r="G5012" s="44"/>
      <c r="J5012" t="str">
        <f t="shared" si="156"/>
        <v/>
      </c>
      <c r="K5012" t="str">
        <f t="shared" si="157"/>
        <v/>
      </c>
    </row>
    <row r="5013" spans="7:11" x14ac:dyDescent="0.2">
      <c r="G5013" s="44"/>
      <c r="J5013" t="str">
        <f t="shared" si="156"/>
        <v/>
      </c>
      <c r="K5013" t="str">
        <f t="shared" si="157"/>
        <v/>
      </c>
    </row>
    <row r="5014" spans="7:11" x14ac:dyDescent="0.2">
      <c r="G5014" s="44"/>
      <c r="J5014" t="str">
        <f t="shared" si="156"/>
        <v/>
      </c>
      <c r="K5014" t="str">
        <f t="shared" si="157"/>
        <v/>
      </c>
    </row>
    <row r="5015" spans="7:11" x14ac:dyDescent="0.2">
      <c r="G5015" s="44"/>
      <c r="J5015" t="str">
        <f t="shared" si="156"/>
        <v/>
      </c>
      <c r="K5015" t="str">
        <f t="shared" si="157"/>
        <v/>
      </c>
    </row>
    <row r="5016" spans="7:11" x14ac:dyDescent="0.2">
      <c r="G5016" s="44"/>
      <c r="J5016" t="str">
        <f t="shared" si="156"/>
        <v/>
      </c>
      <c r="K5016" t="str">
        <f t="shared" si="157"/>
        <v/>
      </c>
    </row>
    <row r="5017" spans="7:11" x14ac:dyDescent="0.2">
      <c r="G5017" s="44"/>
      <c r="J5017" t="str">
        <f t="shared" si="156"/>
        <v/>
      </c>
      <c r="K5017" t="str">
        <f t="shared" si="157"/>
        <v/>
      </c>
    </row>
    <row r="5018" spans="7:11" x14ac:dyDescent="0.2">
      <c r="G5018" s="44"/>
      <c r="J5018" t="str">
        <f t="shared" si="156"/>
        <v/>
      </c>
      <c r="K5018" t="str">
        <f t="shared" si="157"/>
        <v/>
      </c>
    </row>
    <row r="5019" spans="7:11" x14ac:dyDescent="0.2">
      <c r="G5019" s="44"/>
      <c r="J5019" t="str">
        <f t="shared" si="156"/>
        <v/>
      </c>
      <c r="K5019" t="str">
        <f t="shared" si="157"/>
        <v/>
      </c>
    </row>
    <row r="5020" spans="7:11" x14ac:dyDescent="0.2">
      <c r="G5020" s="44"/>
      <c r="J5020" t="str">
        <f t="shared" si="156"/>
        <v/>
      </c>
      <c r="K5020" t="str">
        <f t="shared" si="157"/>
        <v/>
      </c>
    </row>
    <row r="5021" spans="7:11" x14ac:dyDescent="0.2">
      <c r="G5021" s="44"/>
      <c r="J5021" t="str">
        <f t="shared" si="156"/>
        <v/>
      </c>
      <c r="K5021" t="str">
        <f t="shared" si="157"/>
        <v/>
      </c>
    </row>
    <row r="5022" spans="7:11" x14ac:dyDescent="0.2">
      <c r="G5022" s="44"/>
      <c r="J5022" t="str">
        <f t="shared" si="156"/>
        <v/>
      </c>
      <c r="K5022" t="str">
        <f t="shared" si="157"/>
        <v/>
      </c>
    </row>
    <row r="5023" spans="7:11" x14ac:dyDescent="0.2">
      <c r="G5023" s="44"/>
      <c r="J5023" t="str">
        <f t="shared" si="156"/>
        <v/>
      </c>
      <c r="K5023" t="str">
        <f t="shared" si="157"/>
        <v/>
      </c>
    </row>
    <row r="5024" spans="7:11" x14ac:dyDescent="0.2">
      <c r="G5024" s="44"/>
      <c r="J5024" t="str">
        <f t="shared" si="156"/>
        <v/>
      </c>
      <c r="K5024" t="str">
        <f t="shared" si="157"/>
        <v/>
      </c>
    </row>
    <row r="5025" spans="7:11" x14ac:dyDescent="0.2">
      <c r="G5025" s="44"/>
      <c r="J5025" t="str">
        <f t="shared" si="156"/>
        <v/>
      </c>
      <c r="K5025" t="str">
        <f t="shared" si="157"/>
        <v/>
      </c>
    </row>
    <row r="5026" spans="7:11" x14ac:dyDescent="0.2">
      <c r="G5026" s="44"/>
      <c r="J5026" t="str">
        <f t="shared" si="156"/>
        <v/>
      </c>
      <c r="K5026" t="str">
        <f t="shared" si="157"/>
        <v/>
      </c>
    </row>
    <row r="5027" spans="7:11" x14ac:dyDescent="0.2">
      <c r="G5027" s="44"/>
      <c r="J5027" t="str">
        <f t="shared" si="156"/>
        <v/>
      </c>
      <c r="K5027" t="str">
        <f t="shared" si="157"/>
        <v/>
      </c>
    </row>
    <row r="5028" spans="7:11" x14ac:dyDescent="0.2">
      <c r="G5028" s="44"/>
      <c r="J5028" t="str">
        <f t="shared" si="156"/>
        <v/>
      </c>
      <c r="K5028" t="str">
        <f t="shared" si="157"/>
        <v/>
      </c>
    </row>
    <row r="5029" spans="7:11" x14ac:dyDescent="0.2">
      <c r="G5029" s="44"/>
      <c r="J5029" t="str">
        <f t="shared" si="156"/>
        <v/>
      </c>
      <c r="K5029" t="str">
        <f t="shared" si="157"/>
        <v/>
      </c>
    </row>
    <row r="5030" spans="7:11" x14ac:dyDescent="0.2">
      <c r="G5030" s="44"/>
      <c r="J5030" t="str">
        <f t="shared" si="156"/>
        <v/>
      </c>
      <c r="K5030" t="str">
        <f t="shared" si="157"/>
        <v/>
      </c>
    </row>
    <row r="5031" spans="7:11" x14ac:dyDescent="0.2">
      <c r="G5031" s="44"/>
      <c r="J5031" t="str">
        <f t="shared" si="156"/>
        <v/>
      </c>
      <c r="K5031" t="str">
        <f t="shared" si="157"/>
        <v/>
      </c>
    </row>
    <row r="5032" spans="7:11" x14ac:dyDescent="0.2">
      <c r="G5032" s="44"/>
      <c r="J5032" t="str">
        <f t="shared" si="156"/>
        <v/>
      </c>
      <c r="K5032" t="str">
        <f t="shared" si="157"/>
        <v/>
      </c>
    </row>
    <row r="5033" spans="7:11" x14ac:dyDescent="0.2">
      <c r="G5033" s="44"/>
      <c r="J5033" t="str">
        <f t="shared" si="156"/>
        <v/>
      </c>
      <c r="K5033" t="str">
        <f t="shared" si="157"/>
        <v/>
      </c>
    </row>
    <row r="5034" spans="7:11" x14ac:dyDescent="0.2">
      <c r="G5034" s="44"/>
      <c r="J5034" t="str">
        <f t="shared" si="156"/>
        <v/>
      </c>
      <c r="K5034" t="str">
        <f t="shared" si="157"/>
        <v/>
      </c>
    </row>
    <row r="5035" spans="7:11" x14ac:dyDescent="0.2">
      <c r="G5035" s="44"/>
      <c r="J5035" t="str">
        <f t="shared" si="156"/>
        <v/>
      </c>
      <c r="K5035" t="str">
        <f t="shared" si="157"/>
        <v/>
      </c>
    </row>
    <row r="5036" spans="7:11" x14ac:dyDescent="0.2">
      <c r="G5036" s="44"/>
      <c r="J5036" t="str">
        <f t="shared" si="156"/>
        <v/>
      </c>
      <c r="K5036" t="str">
        <f t="shared" si="157"/>
        <v/>
      </c>
    </row>
    <row r="5037" spans="7:11" x14ac:dyDescent="0.2">
      <c r="G5037" s="44"/>
      <c r="J5037" t="str">
        <f t="shared" si="156"/>
        <v/>
      </c>
      <c r="K5037" t="str">
        <f t="shared" si="157"/>
        <v/>
      </c>
    </row>
    <row r="5038" spans="7:11" x14ac:dyDescent="0.2">
      <c r="G5038" s="44"/>
      <c r="J5038" t="str">
        <f t="shared" si="156"/>
        <v/>
      </c>
      <c r="K5038" t="str">
        <f t="shared" si="157"/>
        <v/>
      </c>
    </row>
    <row r="5039" spans="7:11" x14ac:dyDescent="0.2">
      <c r="G5039" s="44"/>
      <c r="J5039" t="str">
        <f t="shared" si="156"/>
        <v/>
      </c>
      <c r="K5039" t="str">
        <f t="shared" si="157"/>
        <v/>
      </c>
    </row>
    <row r="5040" spans="7:11" x14ac:dyDescent="0.2">
      <c r="G5040" s="44"/>
      <c r="J5040" t="str">
        <f t="shared" si="156"/>
        <v/>
      </c>
      <c r="K5040" t="str">
        <f t="shared" si="157"/>
        <v/>
      </c>
    </row>
    <row r="5041" spans="7:11" x14ac:dyDescent="0.2">
      <c r="G5041" s="44"/>
      <c r="J5041" t="str">
        <f t="shared" si="156"/>
        <v/>
      </c>
      <c r="K5041" t="str">
        <f t="shared" si="157"/>
        <v/>
      </c>
    </row>
    <row r="5042" spans="7:11" x14ac:dyDescent="0.2">
      <c r="G5042" s="44"/>
      <c r="J5042" t="str">
        <f t="shared" si="156"/>
        <v/>
      </c>
      <c r="K5042" t="str">
        <f t="shared" si="157"/>
        <v/>
      </c>
    </row>
    <row r="5043" spans="7:11" x14ac:dyDescent="0.2">
      <c r="G5043" s="44"/>
      <c r="J5043" t="str">
        <f t="shared" si="156"/>
        <v/>
      </c>
      <c r="K5043" t="str">
        <f t="shared" si="157"/>
        <v/>
      </c>
    </row>
    <row r="5044" spans="7:11" x14ac:dyDescent="0.2">
      <c r="G5044" s="44"/>
      <c r="J5044" t="str">
        <f t="shared" si="156"/>
        <v/>
      </c>
      <c r="K5044" t="str">
        <f t="shared" si="157"/>
        <v/>
      </c>
    </row>
    <row r="5045" spans="7:11" x14ac:dyDescent="0.2">
      <c r="G5045" s="44"/>
      <c r="J5045" t="str">
        <f t="shared" si="156"/>
        <v/>
      </c>
      <c r="K5045" t="str">
        <f t="shared" si="157"/>
        <v/>
      </c>
    </row>
    <row r="5046" spans="7:11" x14ac:dyDescent="0.2">
      <c r="G5046" s="44"/>
      <c r="J5046" t="str">
        <f t="shared" si="156"/>
        <v/>
      </c>
      <c r="K5046" t="str">
        <f t="shared" si="157"/>
        <v/>
      </c>
    </row>
    <row r="5047" spans="7:11" x14ac:dyDescent="0.2">
      <c r="G5047" s="44"/>
      <c r="J5047" t="str">
        <f t="shared" si="156"/>
        <v/>
      </c>
      <c r="K5047" t="str">
        <f t="shared" si="157"/>
        <v/>
      </c>
    </row>
    <row r="5048" spans="7:11" x14ac:dyDescent="0.2">
      <c r="G5048" s="44"/>
      <c r="J5048" t="str">
        <f t="shared" si="156"/>
        <v/>
      </c>
      <c r="K5048" t="str">
        <f t="shared" si="157"/>
        <v/>
      </c>
    </row>
    <row r="5049" spans="7:11" x14ac:dyDescent="0.2">
      <c r="G5049" s="44"/>
      <c r="J5049" t="str">
        <f t="shared" si="156"/>
        <v/>
      </c>
      <c r="K5049" t="str">
        <f t="shared" si="157"/>
        <v/>
      </c>
    </row>
    <row r="5050" spans="7:11" x14ac:dyDescent="0.2">
      <c r="G5050" s="44"/>
      <c r="J5050" t="str">
        <f t="shared" si="156"/>
        <v/>
      </c>
      <c r="K5050" t="str">
        <f t="shared" si="157"/>
        <v/>
      </c>
    </row>
    <row r="5051" spans="7:11" x14ac:dyDescent="0.2">
      <c r="G5051" s="44"/>
      <c r="J5051" t="str">
        <f t="shared" si="156"/>
        <v/>
      </c>
      <c r="K5051" t="str">
        <f t="shared" si="157"/>
        <v/>
      </c>
    </row>
    <row r="5052" spans="7:11" x14ac:dyDescent="0.2">
      <c r="G5052" s="44"/>
      <c r="J5052" t="str">
        <f t="shared" si="156"/>
        <v/>
      </c>
      <c r="K5052" t="str">
        <f t="shared" si="157"/>
        <v/>
      </c>
    </row>
    <row r="5053" spans="7:11" x14ac:dyDescent="0.2">
      <c r="G5053" s="44"/>
      <c r="J5053" t="str">
        <f t="shared" si="156"/>
        <v/>
      </c>
      <c r="K5053" t="str">
        <f t="shared" si="157"/>
        <v/>
      </c>
    </row>
    <row r="5054" spans="7:11" x14ac:dyDescent="0.2">
      <c r="G5054" s="44"/>
      <c r="J5054" t="str">
        <f t="shared" si="156"/>
        <v/>
      </c>
      <c r="K5054" t="str">
        <f t="shared" si="157"/>
        <v/>
      </c>
    </row>
    <row r="5055" spans="7:11" x14ac:dyDescent="0.2">
      <c r="G5055" s="44"/>
      <c r="J5055" t="str">
        <f t="shared" si="156"/>
        <v/>
      </c>
      <c r="K5055" t="str">
        <f t="shared" si="157"/>
        <v/>
      </c>
    </row>
    <row r="5056" spans="7:11" x14ac:dyDescent="0.2">
      <c r="G5056" s="44"/>
      <c r="J5056" t="str">
        <f t="shared" si="156"/>
        <v/>
      </c>
      <c r="K5056" t="str">
        <f t="shared" si="157"/>
        <v/>
      </c>
    </row>
    <row r="5057" spans="7:11" x14ac:dyDescent="0.2">
      <c r="G5057" s="44"/>
      <c r="J5057" t="str">
        <f t="shared" si="156"/>
        <v/>
      </c>
      <c r="K5057" t="str">
        <f t="shared" si="157"/>
        <v/>
      </c>
    </row>
    <row r="5058" spans="7:11" x14ac:dyDescent="0.2">
      <c r="G5058" s="44"/>
      <c r="J5058" t="str">
        <f t="shared" ref="J5058:J5121" si="158">IF(E5058="","",IF(OR(E5058=50,E5058=51),"Iltindhold",IF(E5058=75,"Carbon,org,NVOC",IF(OR(E5058=343,E5058=1167),"Svovlbrinte",IF(OR(E5058=240,E5058=241,E5058=242),"Amm",IF(E5058=244,"Nitrit",IF(E5058=247,"Nitrat",IF(E5058=334,"Sulfat",IF(E5058=262,"Phosphor, total-P",F5058)))))))))</f>
        <v/>
      </c>
      <c r="K5058" t="str">
        <f t="shared" ref="K5058:K5121" si="159">IF(A5058="","",IF(H5058="!",NA(),IF(H5058="A",I5058*0.5,IF(H5058="&lt;",I5058*0.5,I5058))))</f>
        <v/>
      </c>
    </row>
    <row r="5059" spans="7:11" x14ac:dyDescent="0.2">
      <c r="G5059" s="44"/>
      <c r="J5059" t="str">
        <f t="shared" si="158"/>
        <v/>
      </c>
      <c r="K5059" t="str">
        <f t="shared" si="159"/>
        <v/>
      </c>
    </row>
    <row r="5060" spans="7:11" x14ac:dyDescent="0.2">
      <c r="G5060" s="44"/>
      <c r="J5060" t="str">
        <f t="shared" si="158"/>
        <v/>
      </c>
      <c r="K5060" t="str">
        <f t="shared" si="159"/>
        <v/>
      </c>
    </row>
    <row r="5061" spans="7:11" x14ac:dyDescent="0.2">
      <c r="G5061" s="44"/>
      <c r="J5061" t="str">
        <f t="shared" si="158"/>
        <v/>
      </c>
      <c r="K5061" t="str">
        <f t="shared" si="159"/>
        <v/>
      </c>
    </row>
    <row r="5062" spans="7:11" x14ac:dyDescent="0.2">
      <c r="G5062" s="44"/>
      <c r="J5062" t="str">
        <f t="shared" si="158"/>
        <v/>
      </c>
      <c r="K5062" t="str">
        <f t="shared" si="159"/>
        <v/>
      </c>
    </row>
    <row r="5063" spans="7:11" x14ac:dyDescent="0.2">
      <c r="G5063" s="44"/>
      <c r="J5063" t="str">
        <f t="shared" si="158"/>
        <v/>
      </c>
      <c r="K5063" t="str">
        <f t="shared" si="159"/>
        <v/>
      </c>
    </row>
    <row r="5064" spans="7:11" x14ac:dyDescent="0.2">
      <c r="G5064" s="44"/>
      <c r="J5064" t="str">
        <f t="shared" si="158"/>
        <v/>
      </c>
      <c r="K5064" t="str">
        <f t="shared" si="159"/>
        <v/>
      </c>
    </row>
    <row r="5065" spans="7:11" x14ac:dyDescent="0.2">
      <c r="G5065" s="44"/>
      <c r="J5065" t="str">
        <f t="shared" si="158"/>
        <v/>
      </c>
      <c r="K5065" t="str">
        <f t="shared" si="159"/>
        <v/>
      </c>
    </row>
    <row r="5066" spans="7:11" x14ac:dyDescent="0.2">
      <c r="G5066" s="44"/>
      <c r="J5066" t="str">
        <f t="shared" si="158"/>
        <v/>
      </c>
      <c r="K5066" t="str">
        <f t="shared" si="159"/>
        <v/>
      </c>
    </row>
    <row r="5067" spans="7:11" x14ac:dyDescent="0.2">
      <c r="G5067" s="44"/>
      <c r="J5067" t="str">
        <f t="shared" si="158"/>
        <v/>
      </c>
      <c r="K5067" t="str">
        <f t="shared" si="159"/>
        <v/>
      </c>
    </row>
    <row r="5068" spans="7:11" x14ac:dyDescent="0.2">
      <c r="G5068" s="44"/>
      <c r="J5068" t="str">
        <f t="shared" si="158"/>
        <v/>
      </c>
      <c r="K5068" t="str">
        <f t="shared" si="159"/>
        <v/>
      </c>
    </row>
    <row r="5069" spans="7:11" x14ac:dyDescent="0.2">
      <c r="G5069" s="44"/>
      <c r="J5069" t="str">
        <f t="shared" si="158"/>
        <v/>
      </c>
      <c r="K5069" t="str">
        <f t="shared" si="159"/>
        <v/>
      </c>
    </row>
    <row r="5070" spans="7:11" x14ac:dyDescent="0.2">
      <c r="G5070" s="44"/>
      <c r="J5070" t="str">
        <f t="shared" si="158"/>
        <v/>
      </c>
      <c r="K5070" t="str">
        <f t="shared" si="159"/>
        <v/>
      </c>
    </row>
    <row r="5071" spans="7:11" x14ac:dyDescent="0.2">
      <c r="G5071" s="44"/>
      <c r="J5071" t="str">
        <f t="shared" si="158"/>
        <v/>
      </c>
      <c r="K5071" t="str">
        <f t="shared" si="159"/>
        <v/>
      </c>
    </row>
    <row r="5072" spans="7:11" x14ac:dyDescent="0.2">
      <c r="G5072" s="44"/>
      <c r="J5072" t="str">
        <f t="shared" si="158"/>
        <v/>
      </c>
      <c r="K5072" t="str">
        <f t="shared" si="159"/>
        <v/>
      </c>
    </row>
    <row r="5073" spans="7:11" x14ac:dyDescent="0.2">
      <c r="G5073" s="44"/>
      <c r="J5073" t="str">
        <f t="shared" si="158"/>
        <v/>
      </c>
      <c r="K5073" t="str">
        <f t="shared" si="159"/>
        <v/>
      </c>
    </row>
    <row r="5074" spans="7:11" x14ac:dyDescent="0.2">
      <c r="G5074" s="44"/>
      <c r="J5074" t="str">
        <f t="shared" si="158"/>
        <v/>
      </c>
      <c r="K5074" t="str">
        <f t="shared" si="159"/>
        <v/>
      </c>
    </row>
    <row r="5075" spans="7:11" x14ac:dyDescent="0.2">
      <c r="G5075" s="44"/>
      <c r="J5075" t="str">
        <f t="shared" si="158"/>
        <v/>
      </c>
      <c r="K5075" t="str">
        <f t="shared" si="159"/>
        <v/>
      </c>
    </row>
    <row r="5076" spans="7:11" x14ac:dyDescent="0.2">
      <c r="G5076" s="44"/>
      <c r="J5076" t="str">
        <f t="shared" si="158"/>
        <v/>
      </c>
      <c r="K5076" t="str">
        <f t="shared" si="159"/>
        <v/>
      </c>
    </row>
    <row r="5077" spans="7:11" x14ac:dyDescent="0.2">
      <c r="G5077" s="44"/>
      <c r="J5077" t="str">
        <f t="shared" si="158"/>
        <v/>
      </c>
      <c r="K5077" t="str">
        <f t="shared" si="159"/>
        <v/>
      </c>
    </row>
    <row r="5078" spans="7:11" x14ac:dyDescent="0.2">
      <c r="G5078" s="44"/>
      <c r="J5078" t="str">
        <f t="shared" si="158"/>
        <v/>
      </c>
      <c r="K5078" t="str">
        <f t="shared" si="159"/>
        <v/>
      </c>
    </row>
    <row r="5079" spans="7:11" x14ac:dyDescent="0.2">
      <c r="G5079" s="44"/>
      <c r="J5079" t="str">
        <f t="shared" si="158"/>
        <v/>
      </c>
      <c r="K5079" t="str">
        <f t="shared" si="159"/>
        <v/>
      </c>
    </row>
    <row r="5080" spans="7:11" x14ac:dyDescent="0.2">
      <c r="G5080" s="44"/>
      <c r="J5080" t="str">
        <f t="shared" si="158"/>
        <v/>
      </c>
      <c r="K5080" t="str">
        <f t="shared" si="159"/>
        <v/>
      </c>
    </row>
    <row r="5081" spans="7:11" x14ac:dyDescent="0.2">
      <c r="G5081" s="44"/>
      <c r="J5081" t="str">
        <f t="shared" si="158"/>
        <v/>
      </c>
      <c r="K5081" t="str">
        <f t="shared" si="159"/>
        <v/>
      </c>
    </row>
    <row r="5082" spans="7:11" x14ac:dyDescent="0.2">
      <c r="G5082" s="44"/>
      <c r="J5082" t="str">
        <f t="shared" si="158"/>
        <v/>
      </c>
      <c r="K5082" t="str">
        <f t="shared" si="159"/>
        <v/>
      </c>
    </row>
    <row r="5083" spans="7:11" x14ac:dyDescent="0.2">
      <c r="G5083" s="44"/>
      <c r="J5083" t="str">
        <f t="shared" si="158"/>
        <v/>
      </c>
      <c r="K5083" t="str">
        <f t="shared" si="159"/>
        <v/>
      </c>
    </row>
    <row r="5084" spans="7:11" x14ac:dyDescent="0.2">
      <c r="G5084" s="44"/>
      <c r="J5084" t="str">
        <f t="shared" si="158"/>
        <v/>
      </c>
      <c r="K5084" t="str">
        <f t="shared" si="159"/>
        <v/>
      </c>
    </row>
    <row r="5085" spans="7:11" x14ac:dyDescent="0.2">
      <c r="G5085" s="44"/>
      <c r="J5085" t="str">
        <f t="shared" si="158"/>
        <v/>
      </c>
      <c r="K5085" t="str">
        <f t="shared" si="159"/>
        <v/>
      </c>
    </row>
    <row r="5086" spans="7:11" x14ac:dyDescent="0.2">
      <c r="G5086" s="44"/>
      <c r="J5086" t="str">
        <f t="shared" si="158"/>
        <v/>
      </c>
      <c r="K5086" t="str">
        <f t="shared" si="159"/>
        <v/>
      </c>
    </row>
    <row r="5087" spans="7:11" x14ac:dyDescent="0.2">
      <c r="G5087" s="44"/>
      <c r="J5087" t="str">
        <f t="shared" si="158"/>
        <v/>
      </c>
      <c r="K5087" t="str">
        <f t="shared" si="159"/>
        <v/>
      </c>
    </row>
    <row r="5088" spans="7:11" x14ac:dyDescent="0.2">
      <c r="G5088" s="44"/>
      <c r="J5088" t="str">
        <f t="shared" si="158"/>
        <v/>
      </c>
      <c r="K5088" t="str">
        <f t="shared" si="159"/>
        <v/>
      </c>
    </row>
    <row r="5089" spans="7:11" x14ac:dyDescent="0.2">
      <c r="G5089" s="44"/>
      <c r="J5089" t="str">
        <f t="shared" si="158"/>
        <v/>
      </c>
      <c r="K5089" t="str">
        <f t="shared" si="159"/>
        <v/>
      </c>
    </row>
    <row r="5090" spans="7:11" x14ac:dyDescent="0.2">
      <c r="G5090" s="44"/>
      <c r="J5090" t="str">
        <f t="shared" si="158"/>
        <v/>
      </c>
      <c r="K5090" t="str">
        <f t="shared" si="159"/>
        <v/>
      </c>
    </row>
    <row r="5091" spans="7:11" x14ac:dyDescent="0.2">
      <c r="G5091" s="44"/>
      <c r="J5091" t="str">
        <f t="shared" si="158"/>
        <v/>
      </c>
      <c r="K5091" t="str">
        <f t="shared" si="159"/>
        <v/>
      </c>
    </row>
    <row r="5092" spans="7:11" x14ac:dyDescent="0.2">
      <c r="G5092" s="44"/>
      <c r="J5092" t="str">
        <f t="shared" si="158"/>
        <v/>
      </c>
      <c r="K5092" t="str">
        <f t="shared" si="159"/>
        <v/>
      </c>
    </row>
    <row r="5093" spans="7:11" x14ac:dyDescent="0.2">
      <c r="G5093" s="44"/>
      <c r="J5093" t="str">
        <f t="shared" si="158"/>
        <v/>
      </c>
      <c r="K5093" t="str">
        <f t="shared" si="159"/>
        <v/>
      </c>
    </row>
    <row r="5094" spans="7:11" x14ac:dyDescent="0.2">
      <c r="G5094" s="44"/>
      <c r="J5094" t="str">
        <f t="shared" si="158"/>
        <v/>
      </c>
      <c r="K5094" t="str">
        <f t="shared" si="159"/>
        <v/>
      </c>
    </row>
    <row r="5095" spans="7:11" x14ac:dyDescent="0.2">
      <c r="G5095" s="44"/>
      <c r="J5095" t="str">
        <f t="shared" si="158"/>
        <v/>
      </c>
      <c r="K5095" t="str">
        <f t="shared" si="159"/>
        <v/>
      </c>
    </row>
    <row r="5096" spans="7:11" x14ac:dyDescent="0.2">
      <c r="G5096" s="44"/>
      <c r="J5096" t="str">
        <f t="shared" si="158"/>
        <v/>
      </c>
      <c r="K5096" t="str">
        <f t="shared" si="159"/>
        <v/>
      </c>
    </row>
    <row r="5097" spans="7:11" x14ac:dyDescent="0.2">
      <c r="G5097" s="44"/>
      <c r="J5097" t="str">
        <f t="shared" si="158"/>
        <v/>
      </c>
      <c r="K5097" t="str">
        <f t="shared" si="159"/>
        <v/>
      </c>
    </row>
    <row r="5098" spans="7:11" x14ac:dyDescent="0.2">
      <c r="G5098" s="44"/>
      <c r="J5098" t="str">
        <f t="shared" si="158"/>
        <v/>
      </c>
      <c r="K5098" t="str">
        <f t="shared" si="159"/>
        <v/>
      </c>
    </row>
    <row r="5099" spans="7:11" x14ac:dyDescent="0.2">
      <c r="G5099" s="44"/>
      <c r="J5099" t="str">
        <f t="shared" si="158"/>
        <v/>
      </c>
      <c r="K5099" t="str">
        <f t="shared" si="159"/>
        <v/>
      </c>
    </row>
    <row r="5100" spans="7:11" x14ac:dyDescent="0.2">
      <c r="G5100" s="44"/>
      <c r="J5100" t="str">
        <f t="shared" si="158"/>
        <v/>
      </c>
      <c r="K5100" t="str">
        <f t="shared" si="159"/>
        <v/>
      </c>
    </row>
    <row r="5101" spans="7:11" x14ac:dyDescent="0.2">
      <c r="G5101" s="44"/>
      <c r="J5101" t="str">
        <f t="shared" si="158"/>
        <v/>
      </c>
      <c r="K5101" t="str">
        <f t="shared" si="159"/>
        <v/>
      </c>
    </row>
    <row r="5102" spans="7:11" x14ac:dyDescent="0.2">
      <c r="G5102" s="44"/>
      <c r="J5102" t="str">
        <f t="shared" si="158"/>
        <v/>
      </c>
      <c r="K5102" t="str">
        <f t="shared" si="159"/>
        <v/>
      </c>
    </row>
    <row r="5103" spans="7:11" x14ac:dyDescent="0.2">
      <c r="G5103" s="44"/>
      <c r="J5103" t="str">
        <f t="shared" si="158"/>
        <v/>
      </c>
      <c r="K5103" t="str">
        <f t="shared" si="159"/>
        <v/>
      </c>
    </row>
    <row r="5104" spans="7:11" x14ac:dyDescent="0.2">
      <c r="G5104" s="44"/>
      <c r="J5104" t="str">
        <f t="shared" si="158"/>
        <v/>
      </c>
      <c r="K5104" t="str">
        <f t="shared" si="159"/>
        <v/>
      </c>
    </row>
    <row r="5105" spans="7:11" x14ac:dyDescent="0.2">
      <c r="G5105" s="44"/>
      <c r="J5105" t="str">
        <f t="shared" si="158"/>
        <v/>
      </c>
      <c r="K5105" t="str">
        <f t="shared" si="159"/>
        <v/>
      </c>
    </row>
    <row r="5106" spans="7:11" x14ac:dyDescent="0.2">
      <c r="G5106" s="44"/>
      <c r="J5106" t="str">
        <f t="shared" si="158"/>
        <v/>
      </c>
      <c r="K5106" t="str">
        <f t="shared" si="159"/>
        <v/>
      </c>
    </row>
    <row r="5107" spans="7:11" x14ac:dyDescent="0.2">
      <c r="G5107" s="44"/>
      <c r="J5107" t="str">
        <f t="shared" si="158"/>
        <v/>
      </c>
      <c r="K5107" t="str">
        <f t="shared" si="159"/>
        <v/>
      </c>
    </row>
    <row r="5108" spans="7:11" x14ac:dyDescent="0.2">
      <c r="G5108" s="44"/>
      <c r="J5108" t="str">
        <f t="shared" si="158"/>
        <v/>
      </c>
      <c r="K5108" t="str">
        <f t="shared" si="159"/>
        <v/>
      </c>
    </row>
    <row r="5109" spans="7:11" x14ac:dyDescent="0.2">
      <c r="G5109" s="44"/>
      <c r="J5109" t="str">
        <f t="shared" si="158"/>
        <v/>
      </c>
      <c r="K5109" t="str">
        <f t="shared" si="159"/>
        <v/>
      </c>
    </row>
    <row r="5110" spans="7:11" x14ac:dyDescent="0.2">
      <c r="G5110" s="44"/>
      <c r="J5110" t="str">
        <f t="shared" si="158"/>
        <v/>
      </c>
      <c r="K5110" t="str">
        <f t="shared" si="159"/>
        <v/>
      </c>
    </row>
    <row r="5111" spans="7:11" x14ac:dyDescent="0.2">
      <c r="G5111" s="44"/>
      <c r="J5111" t="str">
        <f t="shared" si="158"/>
        <v/>
      </c>
      <c r="K5111" t="str">
        <f t="shared" si="159"/>
        <v/>
      </c>
    </row>
    <row r="5112" spans="7:11" x14ac:dyDescent="0.2">
      <c r="G5112" s="44"/>
      <c r="J5112" t="str">
        <f t="shared" si="158"/>
        <v/>
      </c>
      <c r="K5112" t="str">
        <f t="shared" si="159"/>
        <v/>
      </c>
    </row>
    <row r="5113" spans="7:11" x14ac:dyDescent="0.2">
      <c r="G5113" s="44"/>
      <c r="J5113" t="str">
        <f t="shared" si="158"/>
        <v/>
      </c>
      <c r="K5113" t="str">
        <f t="shared" si="159"/>
        <v/>
      </c>
    </row>
    <row r="5114" spans="7:11" x14ac:dyDescent="0.2">
      <c r="G5114" s="44"/>
      <c r="J5114" t="str">
        <f t="shared" si="158"/>
        <v/>
      </c>
      <c r="K5114" t="str">
        <f t="shared" si="159"/>
        <v/>
      </c>
    </row>
    <row r="5115" spans="7:11" x14ac:dyDescent="0.2">
      <c r="G5115" s="44"/>
      <c r="J5115" t="str">
        <f t="shared" si="158"/>
        <v/>
      </c>
      <c r="K5115" t="str">
        <f t="shared" si="159"/>
        <v/>
      </c>
    </row>
    <row r="5116" spans="7:11" x14ac:dyDescent="0.2">
      <c r="G5116" s="44"/>
      <c r="J5116" t="str">
        <f t="shared" si="158"/>
        <v/>
      </c>
      <c r="K5116" t="str">
        <f t="shared" si="159"/>
        <v/>
      </c>
    </row>
    <row r="5117" spans="7:11" x14ac:dyDescent="0.2">
      <c r="G5117" s="44"/>
      <c r="J5117" t="str">
        <f t="shared" si="158"/>
        <v/>
      </c>
      <c r="K5117" t="str">
        <f t="shared" si="159"/>
        <v/>
      </c>
    </row>
    <row r="5118" spans="7:11" x14ac:dyDescent="0.2">
      <c r="G5118" s="44"/>
      <c r="J5118" t="str">
        <f t="shared" si="158"/>
        <v/>
      </c>
      <c r="K5118" t="str">
        <f t="shared" si="159"/>
        <v/>
      </c>
    </row>
    <row r="5119" spans="7:11" x14ac:dyDescent="0.2">
      <c r="G5119" s="44"/>
      <c r="J5119" t="str">
        <f t="shared" si="158"/>
        <v/>
      </c>
      <c r="K5119" t="str">
        <f t="shared" si="159"/>
        <v/>
      </c>
    </row>
    <row r="5120" spans="7:11" x14ac:dyDescent="0.2">
      <c r="G5120" s="44"/>
      <c r="J5120" t="str">
        <f t="shared" si="158"/>
        <v/>
      </c>
      <c r="K5120" t="str">
        <f t="shared" si="159"/>
        <v/>
      </c>
    </row>
    <row r="5121" spans="7:11" x14ac:dyDescent="0.2">
      <c r="G5121" s="44"/>
      <c r="J5121" t="str">
        <f t="shared" si="158"/>
        <v/>
      </c>
      <c r="K5121" t="str">
        <f t="shared" si="159"/>
        <v/>
      </c>
    </row>
    <row r="5122" spans="7:11" x14ac:dyDescent="0.2">
      <c r="G5122" s="44"/>
      <c r="J5122" t="str">
        <f t="shared" ref="J5122:J5185" si="160">IF(E5122="","",IF(OR(E5122=50,E5122=51),"Iltindhold",IF(E5122=75,"Carbon,org,NVOC",IF(OR(E5122=343,E5122=1167),"Svovlbrinte",IF(OR(E5122=240,E5122=241,E5122=242),"Amm",IF(E5122=244,"Nitrit",IF(E5122=247,"Nitrat",IF(E5122=334,"Sulfat",IF(E5122=262,"Phosphor, total-P",F5122)))))))))</f>
        <v/>
      </c>
      <c r="K5122" t="str">
        <f t="shared" ref="K5122:K5185" si="161">IF(A5122="","",IF(H5122="!",NA(),IF(H5122="A",I5122*0.5,IF(H5122="&lt;",I5122*0.5,I5122))))</f>
        <v/>
      </c>
    </row>
    <row r="5123" spans="7:11" x14ac:dyDescent="0.2">
      <c r="G5123" s="44"/>
      <c r="J5123" t="str">
        <f t="shared" si="160"/>
        <v/>
      </c>
      <c r="K5123" t="str">
        <f t="shared" si="161"/>
        <v/>
      </c>
    </row>
    <row r="5124" spans="7:11" x14ac:dyDescent="0.2">
      <c r="G5124" s="44"/>
      <c r="J5124" t="str">
        <f t="shared" si="160"/>
        <v/>
      </c>
      <c r="K5124" t="str">
        <f t="shared" si="161"/>
        <v/>
      </c>
    </row>
    <row r="5125" spans="7:11" x14ac:dyDescent="0.2">
      <c r="G5125" s="44"/>
      <c r="J5125" t="str">
        <f t="shared" si="160"/>
        <v/>
      </c>
      <c r="K5125" t="str">
        <f t="shared" si="161"/>
        <v/>
      </c>
    </row>
    <row r="5126" spans="7:11" x14ac:dyDescent="0.2">
      <c r="G5126" s="44"/>
      <c r="J5126" t="str">
        <f t="shared" si="160"/>
        <v/>
      </c>
      <c r="K5126" t="str">
        <f t="shared" si="161"/>
        <v/>
      </c>
    </row>
    <row r="5127" spans="7:11" x14ac:dyDescent="0.2">
      <c r="G5127" s="44"/>
      <c r="J5127" t="str">
        <f t="shared" si="160"/>
        <v/>
      </c>
      <c r="K5127" t="str">
        <f t="shared" si="161"/>
        <v/>
      </c>
    </row>
    <row r="5128" spans="7:11" x14ac:dyDescent="0.2">
      <c r="G5128" s="44"/>
      <c r="J5128" t="str">
        <f t="shared" si="160"/>
        <v/>
      </c>
      <c r="K5128" t="str">
        <f t="shared" si="161"/>
        <v/>
      </c>
    </row>
    <row r="5129" spans="7:11" x14ac:dyDescent="0.2">
      <c r="G5129" s="44"/>
      <c r="J5129" t="str">
        <f t="shared" si="160"/>
        <v/>
      </c>
      <c r="K5129" t="str">
        <f t="shared" si="161"/>
        <v/>
      </c>
    </row>
    <row r="5130" spans="7:11" x14ac:dyDescent="0.2">
      <c r="G5130" s="44"/>
      <c r="J5130" t="str">
        <f t="shared" si="160"/>
        <v/>
      </c>
      <c r="K5130" t="str">
        <f t="shared" si="161"/>
        <v/>
      </c>
    </row>
    <row r="5131" spans="7:11" x14ac:dyDescent="0.2">
      <c r="G5131" s="44"/>
      <c r="J5131" t="str">
        <f t="shared" si="160"/>
        <v/>
      </c>
      <c r="K5131" t="str">
        <f t="shared" si="161"/>
        <v/>
      </c>
    </row>
    <row r="5132" spans="7:11" x14ac:dyDescent="0.2">
      <c r="G5132" s="44"/>
      <c r="J5132" t="str">
        <f t="shared" si="160"/>
        <v/>
      </c>
      <c r="K5132" t="str">
        <f t="shared" si="161"/>
        <v/>
      </c>
    </row>
    <row r="5133" spans="7:11" x14ac:dyDescent="0.2">
      <c r="G5133" s="44"/>
      <c r="J5133" t="str">
        <f t="shared" si="160"/>
        <v/>
      </c>
      <c r="K5133" t="str">
        <f t="shared" si="161"/>
        <v/>
      </c>
    </row>
    <row r="5134" spans="7:11" x14ac:dyDescent="0.2">
      <c r="G5134" s="44"/>
      <c r="J5134" t="str">
        <f t="shared" si="160"/>
        <v/>
      </c>
      <c r="K5134" t="str">
        <f t="shared" si="161"/>
        <v/>
      </c>
    </row>
    <row r="5135" spans="7:11" x14ac:dyDescent="0.2">
      <c r="G5135" s="44"/>
      <c r="J5135" t="str">
        <f t="shared" si="160"/>
        <v/>
      </c>
      <c r="K5135" t="str">
        <f t="shared" si="161"/>
        <v/>
      </c>
    </row>
    <row r="5136" spans="7:11" x14ac:dyDescent="0.2">
      <c r="G5136" s="44"/>
      <c r="J5136" t="str">
        <f t="shared" si="160"/>
        <v/>
      </c>
      <c r="K5136" t="str">
        <f t="shared" si="161"/>
        <v/>
      </c>
    </row>
    <row r="5137" spans="7:11" x14ac:dyDescent="0.2">
      <c r="G5137" s="44"/>
      <c r="J5137" t="str">
        <f t="shared" si="160"/>
        <v/>
      </c>
      <c r="K5137" t="str">
        <f t="shared" si="161"/>
        <v/>
      </c>
    </row>
    <row r="5138" spans="7:11" x14ac:dyDescent="0.2">
      <c r="G5138" s="44"/>
      <c r="J5138" t="str">
        <f t="shared" si="160"/>
        <v/>
      </c>
      <c r="K5138" t="str">
        <f t="shared" si="161"/>
        <v/>
      </c>
    </row>
    <row r="5139" spans="7:11" x14ac:dyDescent="0.2">
      <c r="G5139" s="44"/>
      <c r="J5139" t="str">
        <f t="shared" si="160"/>
        <v/>
      </c>
      <c r="K5139" t="str">
        <f t="shared" si="161"/>
        <v/>
      </c>
    </row>
    <row r="5140" spans="7:11" x14ac:dyDescent="0.2">
      <c r="G5140" s="44"/>
      <c r="J5140" t="str">
        <f t="shared" si="160"/>
        <v/>
      </c>
      <c r="K5140" t="str">
        <f t="shared" si="161"/>
        <v/>
      </c>
    </row>
    <row r="5141" spans="7:11" x14ac:dyDescent="0.2">
      <c r="G5141" s="44"/>
      <c r="J5141" t="str">
        <f t="shared" si="160"/>
        <v/>
      </c>
      <c r="K5141" t="str">
        <f t="shared" si="161"/>
        <v/>
      </c>
    </row>
    <row r="5142" spans="7:11" x14ac:dyDescent="0.2">
      <c r="G5142" s="44"/>
      <c r="J5142" t="str">
        <f t="shared" si="160"/>
        <v/>
      </c>
      <c r="K5142" t="str">
        <f t="shared" si="161"/>
        <v/>
      </c>
    </row>
    <row r="5143" spans="7:11" x14ac:dyDescent="0.2">
      <c r="G5143" s="44"/>
      <c r="J5143" t="str">
        <f t="shared" si="160"/>
        <v/>
      </c>
      <c r="K5143" t="str">
        <f t="shared" si="161"/>
        <v/>
      </c>
    </row>
    <row r="5144" spans="7:11" x14ac:dyDescent="0.2">
      <c r="G5144" s="44"/>
      <c r="J5144" t="str">
        <f t="shared" si="160"/>
        <v/>
      </c>
      <c r="K5144" t="str">
        <f t="shared" si="161"/>
        <v/>
      </c>
    </row>
    <row r="5145" spans="7:11" x14ac:dyDescent="0.2">
      <c r="G5145" s="44"/>
      <c r="J5145" t="str">
        <f t="shared" si="160"/>
        <v/>
      </c>
      <c r="K5145" t="str">
        <f t="shared" si="161"/>
        <v/>
      </c>
    </row>
    <row r="5146" spans="7:11" x14ac:dyDescent="0.2">
      <c r="G5146" s="44"/>
      <c r="J5146" t="str">
        <f t="shared" si="160"/>
        <v/>
      </c>
      <c r="K5146" t="str">
        <f t="shared" si="161"/>
        <v/>
      </c>
    </row>
    <row r="5147" spans="7:11" x14ac:dyDescent="0.2">
      <c r="G5147" s="44"/>
      <c r="J5147" t="str">
        <f t="shared" si="160"/>
        <v/>
      </c>
      <c r="K5147" t="str">
        <f t="shared" si="161"/>
        <v/>
      </c>
    </row>
    <row r="5148" spans="7:11" x14ac:dyDescent="0.2">
      <c r="G5148" s="44"/>
      <c r="J5148" t="str">
        <f t="shared" si="160"/>
        <v/>
      </c>
      <c r="K5148" t="str">
        <f t="shared" si="161"/>
        <v/>
      </c>
    </row>
    <row r="5149" spans="7:11" x14ac:dyDescent="0.2">
      <c r="G5149" s="44"/>
      <c r="J5149" t="str">
        <f t="shared" si="160"/>
        <v/>
      </c>
      <c r="K5149" t="str">
        <f t="shared" si="161"/>
        <v/>
      </c>
    </row>
    <row r="5150" spans="7:11" x14ac:dyDescent="0.2">
      <c r="G5150" s="44"/>
      <c r="J5150" t="str">
        <f t="shared" si="160"/>
        <v/>
      </c>
      <c r="K5150" t="str">
        <f t="shared" si="161"/>
        <v/>
      </c>
    </row>
    <row r="5151" spans="7:11" x14ac:dyDescent="0.2">
      <c r="G5151" s="44"/>
      <c r="J5151" t="str">
        <f t="shared" si="160"/>
        <v/>
      </c>
      <c r="K5151" t="str">
        <f t="shared" si="161"/>
        <v/>
      </c>
    </row>
    <row r="5152" spans="7:11" x14ac:dyDescent="0.2">
      <c r="G5152" s="44"/>
      <c r="J5152" t="str">
        <f t="shared" si="160"/>
        <v/>
      </c>
      <c r="K5152" t="str">
        <f t="shared" si="161"/>
        <v/>
      </c>
    </row>
    <row r="5153" spans="7:11" x14ac:dyDescent="0.2">
      <c r="G5153" s="44"/>
      <c r="J5153" t="str">
        <f t="shared" si="160"/>
        <v/>
      </c>
      <c r="K5153" t="str">
        <f t="shared" si="161"/>
        <v/>
      </c>
    </row>
    <row r="5154" spans="7:11" x14ac:dyDescent="0.2">
      <c r="G5154" s="44"/>
      <c r="J5154" t="str">
        <f t="shared" si="160"/>
        <v/>
      </c>
      <c r="K5154" t="str">
        <f t="shared" si="161"/>
        <v/>
      </c>
    </row>
    <row r="5155" spans="7:11" x14ac:dyDescent="0.2">
      <c r="G5155" s="44"/>
      <c r="J5155" t="str">
        <f t="shared" si="160"/>
        <v/>
      </c>
      <c r="K5155" t="str">
        <f t="shared" si="161"/>
        <v/>
      </c>
    </row>
    <row r="5156" spans="7:11" x14ac:dyDescent="0.2">
      <c r="G5156" s="44"/>
      <c r="J5156" t="str">
        <f t="shared" si="160"/>
        <v/>
      </c>
      <c r="K5156" t="str">
        <f t="shared" si="161"/>
        <v/>
      </c>
    </row>
    <row r="5157" spans="7:11" x14ac:dyDescent="0.2">
      <c r="G5157" s="44"/>
      <c r="J5157" t="str">
        <f t="shared" si="160"/>
        <v/>
      </c>
      <c r="K5157" t="str">
        <f t="shared" si="161"/>
        <v/>
      </c>
    </row>
    <row r="5158" spans="7:11" x14ac:dyDescent="0.2">
      <c r="G5158" s="44"/>
      <c r="J5158" t="str">
        <f t="shared" si="160"/>
        <v/>
      </c>
      <c r="K5158" t="str">
        <f t="shared" si="161"/>
        <v/>
      </c>
    </row>
    <row r="5159" spans="7:11" x14ac:dyDescent="0.2">
      <c r="G5159" s="44"/>
      <c r="J5159" t="str">
        <f t="shared" si="160"/>
        <v/>
      </c>
      <c r="K5159" t="str">
        <f t="shared" si="161"/>
        <v/>
      </c>
    </row>
    <row r="5160" spans="7:11" x14ac:dyDescent="0.2">
      <c r="G5160" s="44"/>
      <c r="J5160" t="str">
        <f t="shared" si="160"/>
        <v/>
      </c>
      <c r="K5160" t="str">
        <f t="shared" si="161"/>
        <v/>
      </c>
    </row>
    <row r="5161" spans="7:11" x14ac:dyDescent="0.2">
      <c r="G5161" s="44"/>
      <c r="J5161" t="str">
        <f t="shared" si="160"/>
        <v/>
      </c>
      <c r="K5161" t="str">
        <f t="shared" si="161"/>
        <v/>
      </c>
    </row>
    <row r="5162" spans="7:11" x14ac:dyDescent="0.2">
      <c r="G5162" s="44"/>
      <c r="J5162" t="str">
        <f t="shared" si="160"/>
        <v/>
      </c>
      <c r="K5162" t="str">
        <f t="shared" si="161"/>
        <v/>
      </c>
    </row>
    <row r="5163" spans="7:11" x14ac:dyDescent="0.2">
      <c r="G5163" s="44"/>
      <c r="J5163" t="str">
        <f t="shared" si="160"/>
        <v/>
      </c>
      <c r="K5163" t="str">
        <f t="shared" si="161"/>
        <v/>
      </c>
    </row>
    <row r="5164" spans="7:11" x14ac:dyDescent="0.2">
      <c r="G5164" s="44"/>
      <c r="J5164" t="str">
        <f t="shared" si="160"/>
        <v/>
      </c>
      <c r="K5164" t="str">
        <f t="shared" si="161"/>
        <v/>
      </c>
    </row>
    <row r="5165" spans="7:11" x14ac:dyDescent="0.2">
      <c r="G5165" s="44"/>
      <c r="J5165" t="str">
        <f t="shared" si="160"/>
        <v/>
      </c>
      <c r="K5165" t="str">
        <f t="shared" si="161"/>
        <v/>
      </c>
    </row>
    <row r="5166" spans="7:11" x14ac:dyDescent="0.2">
      <c r="G5166" s="44"/>
      <c r="J5166" t="str">
        <f t="shared" si="160"/>
        <v/>
      </c>
      <c r="K5166" t="str">
        <f t="shared" si="161"/>
        <v/>
      </c>
    </row>
    <row r="5167" spans="7:11" x14ac:dyDescent="0.2">
      <c r="G5167" s="44"/>
      <c r="J5167" t="str">
        <f t="shared" si="160"/>
        <v/>
      </c>
      <c r="K5167" t="str">
        <f t="shared" si="161"/>
        <v/>
      </c>
    </row>
    <row r="5168" spans="7:11" x14ac:dyDescent="0.2">
      <c r="G5168" s="44"/>
      <c r="J5168" t="str">
        <f t="shared" si="160"/>
        <v/>
      </c>
      <c r="K5168" t="str">
        <f t="shared" si="161"/>
        <v/>
      </c>
    </row>
    <row r="5169" spans="7:11" x14ac:dyDescent="0.2">
      <c r="G5169" s="44"/>
      <c r="J5169" t="str">
        <f t="shared" si="160"/>
        <v/>
      </c>
      <c r="K5169" t="str">
        <f t="shared" si="161"/>
        <v/>
      </c>
    </row>
    <row r="5170" spans="7:11" x14ac:dyDescent="0.2">
      <c r="G5170" s="44"/>
      <c r="J5170" t="str">
        <f t="shared" si="160"/>
        <v/>
      </c>
      <c r="K5170" t="str">
        <f t="shared" si="161"/>
        <v/>
      </c>
    </row>
    <row r="5171" spans="7:11" x14ac:dyDescent="0.2">
      <c r="G5171" s="44"/>
      <c r="J5171" t="str">
        <f t="shared" si="160"/>
        <v/>
      </c>
      <c r="K5171" t="str">
        <f t="shared" si="161"/>
        <v/>
      </c>
    </row>
    <row r="5172" spans="7:11" x14ac:dyDescent="0.2">
      <c r="G5172" s="44"/>
      <c r="J5172" t="str">
        <f t="shared" si="160"/>
        <v/>
      </c>
      <c r="K5172" t="str">
        <f t="shared" si="161"/>
        <v/>
      </c>
    </row>
    <row r="5173" spans="7:11" x14ac:dyDescent="0.2">
      <c r="G5173" s="44"/>
      <c r="J5173" t="str">
        <f t="shared" si="160"/>
        <v/>
      </c>
      <c r="K5173" t="str">
        <f t="shared" si="161"/>
        <v/>
      </c>
    </row>
    <row r="5174" spans="7:11" x14ac:dyDescent="0.2">
      <c r="G5174" s="44"/>
      <c r="J5174" t="str">
        <f t="shared" si="160"/>
        <v/>
      </c>
      <c r="K5174" t="str">
        <f t="shared" si="161"/>
        <v/>
      </c>
    </row>
    <row r="5175" spans="7:11" x14ac:dyDescent="0.2">
      <c r="G5175" s="44"/>
      <c r="J5175" t="str">
        <f t="shared" si="160"/>
        <v/>
      </c>
      <c r="K5175" t="str">
        <f t="shared" si="161"/>
        <v/>
      </c>
    </row>
    <row r="5176" spans="7:11" x14ac:dyDescent="0.2">
      <c r="G5176" s="44"/>
      <c r="J5176" t="str">
        <f t="shared" si="160"/>
        <v/>
      </c>
      <c r="K5176" t="str">
        <f t="shared" si="161"/>
        <v/>
      </c>
    </row>
    <row r="5177" spans="7:11" x14ac:dyDescent="0.2">
      <c r="G5177" s="44"/>
      <c r="J5177" t="str">
        <f t="shared" si="160"/>
        <v/>
      </c>
      <c r="K5177" t="str">
        <f t="shared" si="161"/>
        <v/>
      </c>
    </row>
    <row r="5178" spans="7:11" x14ac:dyDescent="0.2">
      <c r="G5178" s="44"/>
      <c r="J5178" t="str">
        <f t="shared" si="160"/>
        <v/>
      </c>
      <c r="K5178" t="str">
        <f t="shared" si="161"/>
        <v/>
      </c>
    </row>
    <row r="5179" spans="7:11" x14ac:dyDescent="0.2">
      <c r="G5179" s="44"/>
      <c r="J5179" t="str">
        <f t="shared" si="160"/>
        <v/>
      </c>
      <c r="K5179" t="str">
        <f t="shared" si="161"/>
        <v/>
      </c>
    </row>
    <row r="5180" spans="7:11" x14ac:dyDescent="0.2">
      <c r="G5180" s="44"/>
      <c r="J5180" t="str">
        <f t="shared" si="160"/>
        <v/>
      </c>
      <c r="K5180" t="str">
        <f t="shared" si="161"/>
        <v/>
      </c>
    </row>
    <row r="5181" spans="7:11" x14ac:dyDescent="0.2">
      <c r="G5181" s="44"/>
      <c r="J5181" t="str">
        <f t="shared" si="160"/>
        <v/>
      </c>
      <c r="K5181" t="str">
        <f t="shared" si="161"/>
        <v/>
      </c>
    </row>
    <row r="5182" spans="7:11" x14ac:dyDescent="0.2">
      <c r="G5182" s="44"/>
      <c r="J5182" t="str">
        <f t="shared" si="160"/>
        <v/>
      </c>
      <c r="K5182" t="str">
        <f t="shared" si="161"/>
        <v/>
      </c>
    </row>
    <row r="5183" spans="7:11" x14ac:dyDescent="0.2">
      <c r="G5183" s="44"/>
      <c r="J5183" t="str">
        <f t="shared" si="160"/>
        <v/>
      </c>
      <c r="K5183" t="str">
        <f t="shared" si="161"/>
        <v/>
      </c>
    </row>
    <row r="5184" spans="7:11" x14ac:dyDescent="0.2">
      <c r="G5184" s="44"/>
      <c r="J5184" t="str">
        <f t="shared" si="160"/>
        <v/>
      </c>
      <c r="K5184" t="str">
        <f t="shared" si="161"/>
        <v/>
      </c>
    </row>
    <row r="5185" spans="7:11" x14ac:dyDescent="0.2">
      <c r="G5185" s="44"/>
      <c r="J5185" t="str">
        <f t="shared" si="160"/>
        <v/>
      </c>
      <c r="K5185" t="str">
        <f t="shared" si="161"/>
        <v/>
      </c>
    </row>
    <row r="5186" spans="7:11" x14ac:dyDescent="0.2">
      <c r="G5186" s="44"/>
      <c r="J5186" t="str">
        <f t="shared" ref="J5186:J5249" si="162">IF(E5186="","",IF(OR(E5186=50,E5186=51),"Iltindhold",IF(E5186=75,"Carbon,org,NVOC",IF(OR(E5186=343,E5186=1167),"Svovlbrinte",IF(OR(E5186=240,E5186=241,E5186=242),"Amm",IF(E5186=244,"Nitrit",IF(E5186=247,"Nitrat",IF(E5186=334,"Sulfat",IF(E5186=262,"Phosphor, total-P",F5186)))))))))</f>
        <v/>
      </c>
      <c r="K5186" t="str">
        <f t="shared" ref="K5186:K5249" si="163">IF(A5186="","",IF(H5186="!",NA(),IF(H5186="A",I5186*0.5,IF(H5186="&lt;",I5186*0.5,I5186))))</f>
        <v/>
      </c>
    </row>
    <row r="5187" spans="7:11" x14ac:dyDescent="0.2">
      <c r="G5187" s="44"/>
      <c r="J5187" t="str">
        <f t="shared" si="162"/>
        <v/>
      </c>
      <c r="K5187" t="str">
        <f t="shared" si="163"/>
        <v/>
      </c>
    </row>
    <row r="5188" spans="7:11" x14ac:dyDescent="0.2">
      <c r="G5188" s="44"/>
      <c r="J5188" t="str">
        <f t="shared" si="162"/>
        <v/>
      </c>
      <c r="K5188" t="str">
        <f t="shared" si="163"/>
        <v/>
      </c>
    </row>
    <row r="5189" spans="7:11" x14ac:dyDescent="0.2">
      <c r="G5189" s="44"/>
      <c r="J5189" t="str">
        <f t="shared" si="162"/>
        <v/>
      </c>
      <c r="K5189" t="str">
        <f t="shared" si="163"/>
        <v/>
      </c>
    </row>
    <row r="5190" spans="7:11" x14ac:dyDescent="0.2">
      <c r="G5190" s="44"/>
      <c r="J5190" t="str">
        <f t="shared" si="162"/>
        <v/>
      </c>
      <c r="K5190" t="str">
        <f t="shared" si="163"/>
        <v/>
      </c>
    </row>
    <row r="5191" spans="7:11" x14ac:dyDescent="0.2">
      <c r="G5191" s="44"/>
      <c r="J5191" t="str">
        <f t="shared" si="162"/>
        <v/>
      </c>
      <c r="K5191" t="str">
        <f t="shared" si="163"/>
        <v/>
      </c>
    </row>
    <row r="5192" spans="7:11" x14ac:dyDescent="0.2">
      <c r="G5192" s="44"/>
      <c r="J5192" t="str">
        <f t="shared" si="162"/>
        <v/>
      </c>
      <c r="K5192" t="str">
        <f t="shared" si="163"/>
        <v/>
      </c>
    </row>
    <row r="5193" spans="7:11" x14ac:dyDescent="0.2">
      <c r="G5193" s="44"/>
      <c r="J5193" t="str">
        <f t="shared" si="162"/>
        <v/>
      </c>
      <c r="K5193" t="str">
        <f t="shared" si="163"/>
        <v/>
      </c>
    </row>
    <row r="5194" spans="7:11" x14ac:dyDescent="0.2">
      <c r="G5194" s="44"/>
      <c r="J5194" t="str">
        <f t="shared" si="162"/>
        <v/>
      </c>
      <c r="K5194" t="str">
        <f t="shared" si="163"/>
        <v/>
      </c>
    </row>
    <row r="5195" spans="7:11" x14ac:dyDescent="0.2">
      <c r="G5195" s="44"/>
      <c r="J5195" t="str">
        <f t="shared" si="162"/>
        <v/>
      </c>
      <c r="K5195" t="str">
        <f t="shared" si="163"/>
        <v/>
      </c>
    </row>
    <row r="5196" spans="7:11" x14ac:dyDescent="0.2">
      <c r="G5196" s="44"/>
      <c r="J5196" t="str">
        <f t="shared" si="162"/>
        <v/>
      </c>
      <c r="K5196" t="str">
        <f t="shared" si="163"/>
        <v/>
      </c>
    </row>
    <row r="5197" spans="7:11" x14ac:dyDescent="0.2">
      <c r="G5197" s="44"/>
      <c r="J5197" t="str">
        <f t="shared" si="162"/>
        <v/>
      </c>
      <c r="K5197" t="str">
        <f t="shared" si="163"/>
        <v/>
      </c>
    </row>
    <row r="5198" spans="7:11" x14ac:dyDescent="0.2">
      <c r="G5198" s="44"/>
      <c r="J5198" t="str">
        <f t="shared" si="162"/>
        <v/>
      </c>
      <c r="K5198" t="str">
        <f t="shared" si="163"/>
        <v/>
      </c>
    </row>
    <row r="5199" spans="7:11" x14ac:dyDescent="0.2">
      <c r="G5199" s="44"/>
      <c r="J5199" t="str">
        <f t="shared" si="162"/>
        <v/>
      </c>
      <c r="K5199" t="str">
        <f t="shared" si="163"/>
        <v/>
      </c>
    </row>
    <row r="5200" spans="7:11" x14ac:dyDescent="0.2">
      <c r="G5200" s="44"/>
      <c r="J5200" t="str">
        <f t="shared" si="162"/>
        <v/>
      </c>
      <c r="K5200" t="str">
        <f t="shared" si="163"/>
        <v/>
      </c>
    </row>
    <row r="5201" spans="7:11" x14ac:dyDescent="0.2">
      <c r="G5201" s="44"/>
      <c r="J5201" t="str">
        <f t="shared" si="162"/>
        <v/>
      </c>
      <c r="K5201" t="str">
        <f t="shared" si="163"/>
        <v/>
      </c>
    </row>
    <row r="5202" spans="7:11" x14ac:dyDescent="0.2">
      <c r="G5202" s="44"/>
      <c r="J5202" t="str">
        <f t="shared" si="162"/>
        <v/>
      </c>
      <c r="K5202" t="str">
        <f t="shared" si="163"/>
        <v/>
      </c>
    </row>
    <row r="5203" spans="7:11" x14ac:dyDescent="0.2">
      <c r="G5203" s="44"/>
      <c r="J5203" t="str">
        <f t="shared" si="162"/>
        <v/>
      </c>
      <c r="K5203" t="str">
        <f t="shared" si="163"/>
        <v/>
      </c>
    </row>
    <row r="5204" spans="7:11" x14ac:dyDescent="0.2">
      <c r="G5204" s="44"/>
      <c r="J5204" t="str">
        <f t="shared" si="162"/>
        <v/>
      </c>
      <c r="K5204" t="str">
        <f t="shared" si="163"/>
        <v/>
      </c>
    </row>
    <row r="5205" spans="7:11" x14ac:dyDescent="0.2">
      <c r="G5205" s="44"/>
      <c r="J5205" t="str">
        <f t="shared" si="162"/>
        <v/>
      </c>
      <c r="K5205" t="str">
        <f t="shared" si="163"/>
        <v/>
      </c>
    </row>
    <row r="5206" spans="7:11" x14ac:dyDescent="0.2">
      <c r="G5206" s="44"/>
      <c r="J5206" t="str">
        <f t="shared" si="162"/>
        <v/>
      </c>
      <c r="K5206" t="str">
        <f t="shared" si="163"/>
        <v/>
      </c>
    </row>
    <row r="5207" spans="7:11" x14ac:dyDescent="0.2">
      <c r="G5207" s="44"/>
      <c r="J5207" t="str">
        <f t="shared" si="162"/>
        <v/>
      </c>
      <c r="K5207" t="str">
        <f t="shared" si="163"/>
        <v/>
      </c>
    </row>
    <row r="5208" spans="7:11" x14ac:dyDescent="0.2">
      <c r="G5208" s="44"/>
      <c r="J5208" t="str">
        <f t="shared" si="162"/>
        <v/>
      </c>
      <c r="K5208" t="str">
        <f t="shared" si="163"/>
        <v/>
      </c>
    </row>
    <row r="5209" spans="7:11" x14ac:dyDescent="0.2">
      <c r="G5209" s="44"/>
      <c r="J5209" t="str">
        <f t="shared" si="162"/>
        <v/>
      </c>
      <c r="K5209" t="str">
        <f t="shared" si="163"/>
        <v/>
      </c>
    </row>
    <row r="5210" spans="7:11" x14ac:dyDescent="0.2">
      <c r="G5210" s="44"/>
      <c r="J5210" t="str">
        <f t="shared" si="162"/>
        <v/>
      </c>
      <c r="K5210" t="str">
        <f t="shared" si="163"/>
        <v/>
      </c>
    </row>
    <row r="5211" spans="7:11" x14ac:dyDescent="0.2">
      <c r="G5211" s="44"/>
      <c r="J5211" t="str">
        <f t="shared" si="162"/>
        <v/>
      </c>
      <c r="K5211" t="str">
        <f t="shared" si="163"/>
        <v/>
      </c>
    </row>
    <row r="5212" spans="7:11" x14ac:dyDescent="0.2">
      <c r="G5212" s="44"/>
      <c r="J5212" t="str">
        <f t="shared" si="162"/>
        <v/>
      </c>
      <c r="K5212" t="str">
        <f t="shared" si="163"/>
        <v/>
      </c>
    </row>
    <row r="5213" spans="7:11" x14ac:dyDescent="0.2">
      <c r="G5213" s="44"/>
      <c r="J5213" t="str">
        <f t="shared" si="162"/>
        <v/>
      </c>
      <c r="K5213" t="str">
        <f t="shared" si="163"/>
        <v/>
      </c>
    </row>
    <row r="5214" spans="7:11" x14ac:dyDescent="0.2">
      <c r="G5214" s="44"/>
      <c r="J5214" t="str">
        <f t="shared" si="162"/>
        <v/>
      </c>
      <c r="K5214" t="str">
        <f t="shared" si="163"/>
        <v/>
      </c>
    </row>
    <row r="5215" spans="7:11" x14ac:dyDescent="0.2">
      <c r="G5215" s="44"/>
      <c r="J5215" t="str">
        <f t="shared" si="162"/>
        <v/>
      </c>
      <c r="K5215" t="str">
        <f t="shared" si="163"/>
        <v/>
      </c>
    </row>
    <row r="5216" spans="7:11" x14ac:dyDescent="0.2">
      <c r="G5216" s="44"/>
      <c r="J5216" t="str">
        <f t="shared" si="162"/>
        <v/>
      </c>
      <c r="K5216" t="str">
        <f t="shared" si="163"/>
        <v/>
      </c>
    </row>
    <row r="5217" spans="7:11" x14ac:dyDescent="0.2">
      <c r="G5217" s="44"/>
      <c r="J5217" t="str">
        <f t="shared" si="162"/>
        <v/>
      </c>
      <c r="K5217" t="str">
        <f t="shared" si="163"/>
        <v/>
      </c>
    </row>
    <row r="5218" spans="7:11" x14ac:dyDescent="0.2">
      <c r="G5218" s="44"/>
      <c r="J5218" t="str">
        <f t="shared" si="162"/>
        <v/>
      </c>
      <c r="K5218" t="str">
        <f t="shared" si="163"/>
        <v/>
      </c>
    </row>
    <row r="5219" spans="7:11" x14ac:dyDescent="0.2">
      <c r="G5219" s="44"/>
      <c r="J5219" t="str">
        <f t="shared" si="162"/>
        <v/>
      </c>
      <c r="K5219" t="str">
        <f t="shared" si="163"/>
        <v/>
      </c>
    </row>
    <row r="5220" spans="7:11" x14ac:dyDescent="0.2">
      <c r="G5220" s="44"/>
      <c r="J5220" t="str">
        <f t="shared" si="162"/>
        <v/>
      </c>
      <c r="K5220" t="str">
        <f t="shared" si="163"/>
        <v/>
      </c>
    </row>
    <row r="5221" spans="7:11" x14ac:dyDescent="0.2">
      <c r="G5221" s="44"/>
      <c r="J5221" t="str">
        <f t="shared" si="162"/>
        <v/>
      </c>
      <c r="K5221" t="str">
        <f t="shared" si="163"/>
        <v/>
      </c>
    </row>
    <row r="5222" spans="7:11" x14ac:dyDescent="0.2">
      <c r="G5222" s="44"/>
      <c r="J5222" t="str">
        <f t="shared" si="162"/>
        <v/>
      </c>
      <c r="K5222" t="str">
        <f t="shared" si="163"/>
        <v/>
      </c>
    </row>
    <row r="5223" spans="7:11" x14ac:dyDescent="0.2">
      <c r="G5223" s="44"/>
      <c r="J5223" t="str">
        <f t="shared" si="162"/>
        <v/>
      </c>
      <c r="K5223" t="str">
        <f t="shared" si="163"/>
        <v/>
      </c>
    </row>
    <row r="5224" spans="7:11" x14ac:dyDescent="0.2">
      <c r="G5224" s="44"/>
      <c r="J5224" t="str">
        <f t="shared" si="162"/>
        <v/>
      </c>
      <c r="K5224" t="str">
        <f t="shared" si="163"/>
        <v/>
      </c>
    </row>
    <row r="5225" spans="7:11" x14ac:dyDescent="0.2">
      <c r="G5225" s="44"/>
      <c r="J5225" t="str">
        <f t="shared" si="162"/>
        <v/>
      </c>
      <c r="K5225" t="str">
        <f t="shared" si="163"/>
        <v/>
      </c>
    </row>
    <row r="5226" spans="7:11" x14ac:dyDescent="0.2">
      <c r="G5226" s="44"/>
      <c r="J5226" t="str">
        <f t="shared" si="162"/>
        <v/>
      </c>
      <c r="K5226" t="str">
        <f t="shared" si="163"/>
        <v/>
      </c>
    </row>
    <row r="5227" spans="7:11" x14ac:dyDescent="0.2">
      <c r="G5227" s="44"/>
      <c r="J5227" t="str">
        <f t="shared" si="162"/>
        <v/>
      </c>
      <c r="K5227" t="str">
        <f t="shared" si="163"/>
        <v/>
      </c>
    </row>
    <row r="5228" spans="7:11" x14ac:dyDescent="0.2">
      <c r="G5228" s="44"/>
      <c r="J5228" t="str">
        <f t="shared" si="162"/>
        <v/>
      </c>
      <c r="K5228" t="str">
        <f t="shared" si="163"/>
        <v/>
      </c>
    </row>
    <row r="5229" spans="7:11" x14ac:dyDescent="0.2">
      <c r="G5229" s="44"/>
      <c r="J5229" t="str">
        <f t="shared" si="162"/>
        <v/>
      </c>
      <c r="K5229" t="str">
        <f t="shared" si="163"/>
        <v/>
      </c>
    </row>
    <row r="5230" spans="7:11" x14ac:dyDescent="0.2">
      <c r="G5230" s="44"/>
      <c r="J5230" t="str">
        <f t="shared" si="162"/>
        <v/>
      </c>
      <c r="K5230" t="str">
        <f t="shared" si="163"/>
        <v/>
      </c>
    </row>
    <row r="5231" spans="7:11" x14ac:dyDescent="0.2">
      <c r="G5231" s="44"/>
      <c r="J5231" t="str">
        <f t="shared" si="162"/>
        <v/>
      </c>
      <c r="K5231" t="str">
        <f t="shared" si="163"/>
        <v/>
      </c>
    </row>
    <row r="5232" spans="7:11" x14ac:dyDescent="0.2">
      <c r="G5232" s="44"/>
      <c r="J5232" t="str">
        <f t="shared" si="162"/>
        <v/>
      </c>
      <c r="K5232" t="str">
        <f t="shared" si="163"/>
        <v/>
      </c>
    </row>
    <row r="5233" spans="7:11" x14ac:dyDescent="0.2">
      <c r="G5233" s="44"/>
      <c r="J5233" t="str">
        <f t="shared" si="162"/>
        <v/>
      </c>
      <c r="K5233" t="str">
        <f t="shared" si="163"/>
        <v/>
      </c>
    </row>
    <row r="5234" spans="7:11" x14ac:dyDescent="0.2">
      <c r="G5234" s="44"/>
      <c r="J5234" t="str">
        <f t="shared" si="162"/>
        <v/>
      </c>
      <c r="K5234" t="str">
        <f t="shared" si="163"/>
        <v/>
      </c>
    </row>
    <row r="5235" spans="7:11" x14ac:dyDescent="0.2">
      <c r="G5235" s="44"/>
      <c r="J5235" t="str">
        <f t="shared" si="162"/>
        <v/>
      </c>
      <c r="K5235" t="str">
        <f t="shared" si="163"/>
        <v/>
      </c>
    </row>
    <row r="5236" spans="7:11" x14ac:dyDescent="0.2">
      <c r="G5236" s="44"/>
      <c r="J5236" t="str">
        <f t="shared" si="162"/>
        <v/>
      </c>
      <c r="K5236" t="str">
        <f t="shared" si="163"/>
        <v/>
      </c>
    </row>
    <row r="5237" spans="7:11" x14ac:dyDescent="0.2">
      <c r="G5237" s="44"/>
      <c r="J5237" t="str">
        <f t="shared" si="162"/>
        <v/>
      </c>
      <c r="K5237" t="str">
        <f t="shared" si="163"/>
        <v/>
      </c>
    </row>
    <row r="5238" spans="7:11" x14ac:dyDescent="0.2">
      <c r="G5238" s="44"/>
      <c r="J5238" t="str">
        <f t="shared" si="162"/>
        <v/>
      </c>
      <c r="K5238" t="str">
        <f t="shared" si="163"/>
        <v/>
      </c>
    </row>
    <row r="5239" spans="7:11" x14ac:dyDescent="0.2">
      <c r="G5239" s="44"/>
      <c r="J5239" t="str">
        <f t="shared" si="162"/>
        <v/>
      </c>
      <c r="K5239" t="str">
        <f t="shared" si="163"/>
        <v/>
      </c>
    </row>
    <row r="5240" spans="7:11" x14ac:dyDescent="0.2">
      <c r="G5240" s="44"/>
      <c r="J5240" t="str">
        <f t="shared" si="162"/>
        <v/>
      </c>
      <c r="K5240" t="str">
        <f t="shared" si="163"/>
        <v/>
      </c>
    </row>
    <row r="5241" spans="7:11" x14ac:dyDescent="0.2">
      <c r="G5241" s="44"/>
      <c r="J5241" t="str">
        <f t="shared" si="162"/>
        <v/>
      </c>
      <c r="K5241" t="str">
        <f t="shared" si="163"/>
        <v/>
      </c>
    </row>
    <row r="5242" spans="7:11" x14ac:dyDescent="0.2">
      <c r="G5242" s="44"/>
      <c r="J5242" t="str">
        <f t="shared" si="162"/>
        <v/>
      </c>
      <c r="K5242" t="str">
        <f t="shared" si="163"/>
        <v/>
      </c>
    </row>
    <row r="5243" spans="7:11" x14ac:dyDescent="0.2">
      <c r="G5243" s="44"/>
      <c r="J5243" t="str">
        <f t="shared" si="162"/>
        <v/>
      </c>
      <c r="K5243" t="str">
        <f t="shared" si="163"/>
        <v/>
      </c>
    </row>
    <row r="5244" spans="7:11" x14ac:dyDescent="0.2">
      <c r="G5244" s="44"/>
      <c r="J5244" t="str">
        <f t="shared" si="162"/>
        <v/>
      </c>
      <c r="K5244" t="str">
        <f t="shared" si="163"/>
        <v/>
      </c>
    </row>
    <row r="5245" spans="7:11" x14ac:dyDescent="0.2">
      <c r="G5245" s="44"/>
      <c r="J5245" t="str">
        <f t="shared" si="162"/>
        <v/>
      </c>
      <c r="K5245" t="str">
        <f t="shared" si="163"/>
        <v/>
      </c>
    </row>
    <row r="5246" spans="7:11" x14ac:dyDescent="0.2">
      <c r="G5246" s="44"/>
      <c r="J5246" t="str">
        <f t="shared" si="162"/>
        <v/>
      </c>
      <c r="K5246" t="str">
        <f t="shared" si="163"/>
        <v/>
      </c>
    </row>
    <row r="5247" spans="7:11" x14ac:dyDescent="0.2">
      <c r="G5247" s="44"/>
      <c r="J5247" t="str">
        <f t="shared" si="162"/>
        <v/>
      </c>
      <c r="K5247" t="str">
        <f t="shared" si="163"/>
        <v/>
      </c>
    </row>
    <row r="5248" spans="7:11" x14ac:dyDescent="0.2">
      <c r="G5248" s="44"/>
      <c r="J5248" t="str">
        <f t="shared" si="162"/>
        <v/>
      </c>
      <c r="K5248" t="str">
        <f t="shared" si="163"/>
        <v/>
      </c>
    </row>
    <row r="5249" spans="7:11" x14ac:dyDescent="0.2">
      <c r="G5249" s="44"/>
      <c r="J5249" t="str">
        <f t="shared" si="162"/>
        <v/>
      </c>
      <c r="K5249" t="str">
        <f t="shared" si="163"/>
        <v/>
      </c>
    </row>
    <row r="5250" spans="7:11" x14ac:dyDescent="0.2">
      <c r="G5250" s="44"/>
      <c r="J5250" t="str">
        <f t="shared" ref="J5250:J5313" si="164">IF(E5250="","",IF(OR(E5250=50,E5250=51),"Iltindhold",IF(E5250=75,"Carbon,org,NVOC",IF(OR(E5250=343,E5250=1167),"Svovlbrinte",IF(OR(E5250=240,E5250=241,E5250=242),"Amm",IF(E5250=244,"Nitrit",IF(E5250=247,"Nitrat",IF(E5250=334,"Sulfat",IF(E5250=262,"Phosphor, total-P",F5250)))))))))</f>
        <v/>
      </c>
      <c r="K5250" t="str">
        <f t="shared" ref="K5250:K5313" si="165">IF(A5250="","",IF(H5250="!",NA(),IF(H5250="A",I5250*0.5,IF(H5250="&lt;",I5250*0.5,I5250))))</f>
        <v/>
      </c>
    </row>
    <row r="5251" spans="7:11" x14ac:dyDescent="0.2">
      <c r="G5251" s="44"/>
      <c r="J5251" t="str">
        <f t="shared" si="164"/>
        <v/>
      </c>
      <c r="K5251" t="str">
        <f t="shared" si="165"/>
        <v/>
      </c>
    </row>
    <row r="5252" spans="7:11" x14ac:dyDescent="0.2">
      <c r="G5252" s="44"/>
      <c r="J5252" t="str">
        <f t="shared" si="164"/>
        <v/>
      </c>
      <c r="K5252" t="str">
        <f t="shared" si="165"/>
        <v/>
      </c>
    </row>
    <row r="5253" spans="7:11" x14ac:dyDescent="0.2">
      <c r="G5253" s="44"/>
      <c r="J5253" t="str">
        <f t="shared" si="164"/>
        <v/>
      </c>
      <c r="K5253" t="str">
        <f t="shared" si="165"/>
        <v/>
      </c>
    </row>
    <row r="5254" spans="7:11" x14ac:dyDescent="0.2">
      <c r="G5254" s="44"/>
      <c r="J5254" t="str">
        <f t="shared" si="164"/>
        <v/>
      </c>
      <c r="K5254" t="str">
        <f t="shared" si="165"/>
        <v/>
      </c>
    </row>
    <row r="5255" spans="7:11" x14ac:dyDescent="0.2">
      <c r="G5255" s="44"/>
      <c r="J5255" t="str">
        <f t="shared" si="164"/>
        <v/>
      </c>
      <c r="K5255" t="str">
        <f t="shared" si="165"/>
        <v/>
      </c>
    </row>
    <row r="5256" spans="7:11" x14ac:dyDescent="0.2">
      <c r="G5256" s="44"/>
      <c r="J5256" t="str">
        <f t="shared" si="164"/>
        <v/>
      </c>
      <c r="K5256" t="str">
        <f t="shared" si="165"/>
        <v/>
      </c>
    </row>
    <row r="5257" spans="7:11" x14ac:dyDescent="0.2">
      <c r="G5257" s="44"/>
      <c r="J5257" t="str">
        <f t="shared" si="164"/>
        <v/>
      </c>
      <c r="K5257" t="str">
        <f t="shared" si="165"/>
        <v/>
      </c>
    </row>
    <row r="5258" spans="7:11" x14ac:dyDescent="0.2">
      <c r="G5258" s="44"/>
      <c r="J5258" t="str">
        <f t="shared" si="164"/>
        <v/>
      </c>
      <c r="K5258" t="str">
        <f t="shared" si="165"/>
        <v/>
      </c>
    </row>
    <row r="5259" spans="7:11" x14ac:dyDescent="0.2">
      <c r="G5259" s="44"/>
      <c r="J5259" t="str">
        <f t="shared" si="164"/>
        <v/>
      </c>
      <c r="K5259" t="str">
        <f t="shared" si="165"/>
        <v/>
      </c>
    </row>
    <row r="5260" spans="7:11" x14ac:dyDescent="0.2">
      <c r="G5260" s="44"/>
      <c r="J5260" t="str">
        <f t="shared" si="164"/>
        <v/>
      </c>
      <c r="K5260" t="str">
        <f t="shared" si="165"/>
        <v/>
      </c>
    </row>
    <row r="5261" spans="7:11" x14ac:dyDescent="0.2">
      <c r="G5261" s="44"/>
      <c r="J5261" t="str">
        <f t="shared" si="164"/>
        <v/>
      </c>
      <c r="K5261" t="str">
        <f t="shared" si="165"/>
        <v/>
      </c>
    </row>
    <row r="5262" spans="7:11" x14ac:dyDescent="0.2">
      <c r="G5262" s="44"/>
      <c r="J5262" t="str">
        <f t="shared" si="164"/>
        <v/>
      </c>
      <c r="K5262" t="str">
        <f t="shared" si="165"/>
        <v/>
      </c>
    </row>
    <row r="5263" spans="7:11" x14ac:dyDescent="0.2">
      <c r="G5263" s="44"/>
      <c r="J5263" t="str">
        <f t="shared" si="164"/>
        <v/>
      </c>
      <c r="K5263" t="str">
        <f t="shared" si="165"/>
        <v/>
      </c>
    </row>
    <row r="5264" spans="7:11" x14ac:dyDescent="0.2">
      <c r="G5264" s="44"/>
      <c r="J5264" t="str">
        <f t="shared" si="164"/>
        <v/>
      </c>
      <c r="K5264" t="str">
        <f t="shared" si="165"/>
        <v/>
      </c>
    </row>
    <row r="5265" spans="7:11" x14ac:dyDescent="0.2">
      <c r="G5265" s="44"/>
      <c r="J5265" t="str">
        <f t="shared" si="164"/>
        <v/>
      </c>
      <c r="K5265" t="str">
        <f t="shared" si="165"/>
        <v/>
      </c>
    </row>
    <row r="5266" spans="7:11" x14ac:dyDescent="0.2">
      <c r="G5266" s="44"/>
      <c r="J5266" t="str">
        <f t="shared" si="164"/>
        <v/>
      </c>
      <c r="K5266" t="str">
        <f t="shared" si="165"/>
        <v/>
      </c>
    </row>
    <row r="5267" spans="7:11" x14ac:dyDescent="0.2">
      <c r="G5267" s="44"/>
      <c r="J5267" t="str">
        <f t="shared" si="164"/>
        <v/>
      </c>
      <c r="K5267" t="str">
        <f t="shared" si="165"/>
        <v/>
      </c>
    </row>
    <row r="5268" spans="7:11" x14ac:dyDescent="0.2">
      <c r="G5268" s="44"/>
      <c r="J5268" t="str">
        <f t="shared" si="164"/>
        <v/>
      </c>
      <c r="K5268" t="str">
        <f t="shared" si="165"/>
        <v/>
      </c>
    </row>
    <row r="5269" spans="7:11" x14ac:dyDescent="0.2">
      <c r="G5269" s="44"/>
      <c r="J5269" t="str">
        <f t="shared" si="164"/>
        <v/>
      </c>
      <c r="K5269" t="str">
        <f t="shared" si="165"/>
        <v/>
      </c>
    </row>
    <row r="5270" spans="7:11" x14ac:dyDescent="0.2">
      <c r="G5270" s="44"/>
      <c r="J5270" t="str">
        <f t="shared" si="164"/>
        <v/>
      </c>
      <c r="K5270" t="str">
        <f t="shared" si="165"/>
        <v/>
      </c>
    </row>
    <row r="5271" spans="7:11" x14ac:dyDescent="0.2">
      <c r="G5271" s="44"/>
      <c r="J5271" t="str">
        <f t="shared" si="164"/>
        <v/>
      </c>
      <c r="K5271" t="str">
        <f t="shared" si="165"/>
        <v/>
      </c>
    </row>
    <row r="5272" spans="7:11" x14ac:dyDescent="0.2">
      <c r="G5272" s="44"/>
      <c r="J5272" t="str">
        <f t="shared" si="164"/>
        <v/>
      </c>
      <c r="K5272" t="str">
        <f t="shared" si="165"/>
        <v/>
      </c>
    </row>
    <row r="5273" spans="7:11" x14ac:dyDescent="0.2">
      <c r="G5273" s="44"/>
      <c r="J5273" t="str">
        <f t="shared" si="164"/>
        <v/>
      </c>
      <c r="K5273" t="str">
        <f t="shared" si="165"/>
        <v/>
      </c>
    </row>
    <row r="5274" spans="7:11" x14ac:dyDescent="0.2">
      <c r="G5274" s="44"/>
      <c r="J5274" t="str">
        <f t="shared" si="164"/>
        <v/>
      </c>
      <c r="K5274" t="str">
        <f t="shared" si="165"/>
        <v/>
      </c>
    </row>
    <row r="5275" spans="7:11" x14ac:dyDescent="0.2">
      <c r="G5275" s="44"/>
      <c r="J5275" t="str">
        <f t="shared" si="164"/>
        <v/>
      </c>
      <c r="K5275" t="str">
        <f t="shared" si="165"/>
        <v/>
      </c>
    </row>
    <row r="5276" spans="7:11" x14ac:dyDescent="0.2">
      <c r="G5276" s="44"/>
      <c r="J5276" t="str">
        <f t="shared" si="164"/>
        <v/>
      </c>
      <c r="K5276" t="str">
        <f t="shared" si="165"/>
        <v/>
      </c>
    </row>
    <row r="5277" spans="7:11" x14ac:dyDescent="0.2">
      <c r="G5277" s="44"/>
      <c r="J5277" t="str">
        <f t="shared" si="164"/>
        <v/>
      </c>
      <c r="K5277" t="str">
        <f t="shared" si="165"/>
        <v/>
      </c>
    </row>
    <row r="5278" spans="7:11" x14ac:dyDescent="0.2">
      <c r="G5278" s="44"/>
      <c r="J5278" t="str">
        <f t="shared" si="164"/>
        <v/>
      </c>
      <c r="K5278" t="str">
        <f t="shared" si="165"/>
        <v/>
      </c>
    </row>
    <row r="5279" spans="7:11" x14ac:dyDescent="0.2">
      <c r="G5279" s="44"/>
      <c r="J5279" t="str">
        <f t="shared" si="164"/>
        <v/>
      </c>
      <c r="K5279" t="str">
        <f t="shared" si="165"/>
        <v/>
      </c>
    </row>
    <row r="5280" spans="7:11" x14ac:dyDescent="0.2">
      <c r="G5280" s="44"/>
      <c r="J5280" t="str">
        <f t="shared" si="164"/>
        <v/>
      </c>
      <c r="K5280" t="str">
        <f t="shared" si="165"/>
        <v/>
      </c>
    </row>
    <row r="5281" spans="7:11" x14ac:dyDescent="0.2">
      <c r="G5281" s="44"/>
      <c r="J5281" t="str">
        <f t="shared" si="164"/>
        <v/>
      </c>
      <c r="K5281" t="str">
        <f t="shared" si="165"/>
        <v/>
      </c>
    </row>
    <row r="5282" spans="7:11" x14ac:dyDescent="0.2">
      <c r="G5282" s="44"/>
      <c r="J5282" t="str">
        <f t="shared" si="164"/>
        <v/>
      </c>
      <c r="K5282" t="str">
        <f t="shared" si="165"/>
        <v/>
      </c>
    </row>
    <row r="5283" spans="7:11" x14ac:dyDescent="0.2">
      <c r="G5283" s="44"/>
      <c r="J5283" t="str">
        <f t="shared" si="164"/>
        <v/>
      </c>
      <c r="K5283" t="str">
        <f t="shared" si="165"/>
        <v/>
      </c>
    </row>
    <row r="5284" spans="7:11" x14ac:dyDescent="0.2">
      <c r="G5284" s="44"/>
      <c r="J5284" t="str">
        <f t="shared" si="164"/>
        <v/>
      </c>
      <c r="K5284" t="str">
        <f t="shared" si="165"/>
        <v/>
      </c>
    </row>
    <row r="5285" spans="7:11" x14ac:dyDescent="0.2">
      <c r="G5285" s="44"/>
      <c r="J5285" t="str">
        <f t="shared" si="164"/>
        <v/>
      </c>
      <c r="K5285" t="str">
        <f t="shared" si="165"/>
        <v/>
      </c>
    </row>
    <row r="5286" spans="7:11" x14ac:dyDescent="0.2">
      <c r="G5286" s="44"/>
      <c r="J5286" t="str">
        <f t="shared" si="164"/>
        <v/>
      </c>
      <c r="K5286" t="str">
        <f t="shared" si="165"/>
        <v/>
      </c>
    </row>
    <row r="5287" spans="7:11" x14ac:dyDescent="0.2">
      <c r="G5287" s="44"/>
      <c r="J5287" t="str">
        <f t="shared" si="164"/>
        <v/>
      </c>
      <c r="K5287" t="str">
        <f t="shared" si="165"/>
        <v/>
      </c>
    </row>
    <row r="5288" spans="7:11" x14ac:dyDescent="0.2">
      <c r="G5288" s="44"/>
      <c r="J5288" t="str">
        <f t="shared" si="164"/>
        <v/>
      </c>
      <c r="K5288" t="str">
        <f t="shared" si="165"/>
        <v/>
      </c>
    </row>
    <row r="5289" spans="7:11" x14ac:dyDescent="0.2">
      <c r="G5289" s="44"/>
      <c r="J5289" t="str">
        <f t="shared" si="164"/>
        <v/>
      </c>
      <c r="K5289" t="str">
        <f t="shared" si="165"/>
        <v/>
      </c>
    </row>
    <row r="5290" spans="7:11" x14ac:dyDescent="0.2">
      <c r="G5290" s="44"/>
      <c r="J5290" t="str">
        <f t="shared" si="164"/>
        <v/>
      </c>
      <c r="K5290" t="str">
        <f t="shared" si="165"/>
        <v/>
      </c>
    </row>
    <row r="5291" spans="7:11" x14ac:dyDescent="0.2">
      <c r="G5291" s="44"/>
      <c r="J5291" t="str">
        <f t="shared" si="164"/>
        <v/>
      </c>
      <c r="K5291" t="str">
        <f t="shared" si="165"/>
        <v/>
      </c>
    </row>
    <row r="5292" spans="7:11" x14ac:dyDescent="0.2">
      <c r="G5292" s="44"/>
      <c r="J5292" t="str">
        <f t="shared" si="164"/>
        <v/>
      </c>
      <c r="K5292" t="str">
        <f t="shared" si="165"/>
        <v/>
      </c>
    </row>
    <row r="5293" spans="7:11" x14ac:dyDescent="0.2">
      <c r="G5293" s="44"/>
      <c r="J5293" t="str">
        <f t="shared" si="164"/>
        <v/>
      </c>
      <c r="K5293" t="str">
        <f t="shared" si="165"/>
        <v/>
      </c>
    </row>
    <row r="5294" spans="7:11" x14ac:dyDescent="0.2">
      <c r="G5294" s="44"/>
      <c r="J5294" t="str">
        <f t="shared" si="164"/>
        <v/>
      </c>
      <c r="K5294" t="str">
        <f t="shared" si="165"/>
        <v/>
      </c>
    </row>
    <row r="5295" spans="7:11" x14ac:dyDescent="0.2">
      <c r="G5295" s="44"/>
      <c r="J5295" t="str">
        <f t="shared" si="164"/>
        <v/>
      </c>
      <c r="K5295" t="str">
        <f t="shared" si="165"/>
        <v/>
      </c>
    </row>
    <row r="5296" spans="7:11" x14ac:dyDescent="0.2">
      <c r="G5296" s="44"/>
      <c r="J5296" t="str">
        <f t="shared" si="164"/>
        <v/>
      </c>
      <c r="K5296" t="str">
        <f t="shared" si="165"/>
        <v/>
      </c>
    </row>
    <row r="5297" spans="7:11" x14ac:dyDescent="0.2">
      <c r="G5297" s="44"/>
      <c r="J5297" t="str">
        <f t="shared" si="164"/>
        <v/>
      </c>
      <c r="K5297" t="str">
        <f t="shared" si="165"/>
        <v/>
      </c>
    </row>
    <row r="5298" spans="7:11" x14ac:dyDescent="0.2">
      <c r="G5298" s="44"/>
      <c r="J5298" t="str">
        <f t="shared" si="164"/>
        <v/>
      </c>
      <c r="K5298" t="str">
        <f t="shared" si="165"/>
        <v/>
      </c>
    </row>
    <row r="5299" spans="7:11" x14ac:dyDescent="0.2">
      <c r="G5299" s="44"/>
      <c r="J5299" t="str">
        <f t="shared" si="164"/>
        <v/>
      </c>
      <c r="K5299" t="str">
        <f t="shared" si="165"/>
        <v/>
      </c>
    </row>
    <row r="5300" spans="7:11" x14ac:dyDescent="0.2">
      <c r="G5300" s="44"/>
      <c r="J5300" t="str">
        <f t="shared" si="164"/>
        <v/>
      </c>
      <c r="K5300" t="str">
        <f t="shared" si="165"/>
        <v/>
      </c>
    </row>
    <row r="5301" spans="7:11" x14ac:dyDescent="0.2">
      <c r="G5301" s="44"/>
      <c r="J5301" t="str">
        <f t="shared" si="164"/>
        <v/>
      </c>
      <c r="K5301" t="str">
        <f t="shared" si="165"/>
        <v/>
      </c>
    </row>
    <row r="5302" spans="7:11" x14ac:dyDescent="0.2">
      <c r="G5302" s="44"/>
      <c r="J5302" t="str">
        <f t="shared" si="164"/>
        <v/>
      </c>
      <c r="K5302" t="str">
        <f t="shared" si="165"/>
        <v/>
      </c>
    </row>
    <row r="5303" spans="7:11" x14ac:dyDescent="0.2">
      <c r="G5303" s="44"/>
      <c r="J5303" t="str">
        <f t="shared" si="164"/>
        <v/>
      </c>
      <c r="K5303" t="str">
        <f t="shared" si="165"/>
        <v/>
      </c>
    </row>
    <row r="5304" spans="7:11" x14ac:dyDescent="0.2">
      <c r="G5304" s="44"/>
      <c r="J5304" t="str">
        <f t="shared" si="164"/>
        <v/>
      </c>
      <c r="K5304" t="str">
        <f t="shared" si="165"/>
        <v/>
      </c>
    </row>
    <row r="5305" spans="7:11" x14ac:dyDescent="0.2">
      <c r="G5305" s="44"/>
      <c r="J5305" t="str">
        <f t="shared" si="164"/>
        <v/>
      </c>
      <c r="K5305" t="str">
        <f t="shared" si="165"/>
        <v/>
      </c>
    </row>
    <row r="5306" spans="7:11" x14ac:dyDescent="0.2">
      <c r="G5306" s="44"/>
      <c r="J5306" t="str">
        <f t="shared" si="164"/>
        <v/>
      </c>
      <c r="K5306" t="str">
        <f t="shared" si="165"/>
        <v/>
      </c>
    </row>
    <row r="5307" spans="7:11" x14ac:dyDescent="0.2">
      <c r="G5307" s="44"/>
      <c r="J5307" t="str">
        <f t="shared" si="164"/>
        <v/>
      </c>
      <c r="K5307" t="str">
        <f t="shared" si="165"/>
        <v/>
      </c>
    </row>
    <row r="5308" spans="7:11" x14ac:dyDescent="0.2">
      <c r="G5308" s="44"/>
      <c r="J5308" t="str">
        <f t="shared" si="164"/>
        <v/>
      </c>
      <c r="K5308" t="str">
        <f t="shared" si="165"/>
        <v/>
      </c>
    </row>
    <row r="5309" spans="7:11" x14ac:dyDescent="0.2">
      <c r="G5309" s="44"/>
      <c r="J5309" t="str">
        <f t="shared" si="164"/>
        <v/>
      </c>
      <c r="K5309" t="str">
        <f t="shared" si="165"/>
        <v/>
      </c>
    </row>
    <row r="5310" spans="7:11" x14ac:dyDescent="0.2">
      <c r="G5310" s="44"/>
      <c r="J5310" t="str">
        <f t="shared" si="164"/>
        <v/>
      </c>
      <c r="K5310" t="str">
        <f t="shared" si="165"/>
        <v/>
      </c>
    </row>
    <row r="5311" spans="7:11" x14ac:dyDescent="0.2">
      <c r="G5311" s="44"/>
      <c r="J5311" t="str">
        <f t="shared" si="164"/>
        <v/>
      </c>
      <c r="K5311" t="str">
        <f t="shared" si="165"/>
        <v/>
      </c>
    </row>
    <row r="5312" spans="7:11" x14ac:dyDescent="0.2">
      <c r="G5312" s="44"/>
      <c r="J5312" t="str">
        <f t="shared" si="164"/>
        <v/>
      </c>
      <c r="K5312" t="str">
        <f t="shared" si="165"/>
        <v/>
      </c>
    </row>
    <row r="5313" spans="7:11" x14ac:dyDescent="0.2">
      <c r="G5313" s="44"/>
      <c r="J5313" t="str">
        <f t="shared" si="164"/>
        <v/>
      </c>
      <c r="K5313" t="str">
        <f t="shared" si="165"/>
        <v/>
      </c>
    </row>
    <row r="5314" spans="7:11" x14ac:dyDescent="0.2">
      <c r="G5314" s="44"/>
      <c r="J5314" t="str">
        <f t="shared" ref="J5314:J5377" si="166">IF(E5314="","",IF(OR(E5314=50,E5314=51),"Iltindhold",IF(E5314=75,"Carbon,org,NVOC",IF(OR(E5314=343,E5314=1167),"Svovlbrinte",IF(OR(E5314=240,E5314=241,E5314=242),"Amm",IF(E5314=244,"Nitrit",IF(E5314=247,"Nitrat",IF(E5314=334,"Sulfat",IF(E5314=262,"Phosphor, total-P",F5314)))))))))</f>
        <v/>
      </c>
      <c r="K5314" t="str">
        <f t="shared" ref="K5314:K5377" si="167">IF(A5314="","",IF(H5314="!",NA(),IF(H5314="A",I5314*0.5,IF(H5314="&lt;",I5314*0.5,I5314))))</f>
        <v/>
      </c>
    </row>
    <row r="5315" spans="7:11" x14ac:dyDescent="0.2">
      <c r="G5315" s="44"/>
      <c r="J5315" t="str">
        <f t="shared" si="166"/>
        <v/>
      </c>
      <c r="K5315" t="str">
        <f t="shared" si="167"/>
        <v/>
      </c>
    </row>
    <row r="5316" spans="7:11" x14ac:dyDescent="0.2">
      <c r="G5316" s="44"/>
      <c r="J5316" t="str">
        <f t="shared" si="166"/>
        <v/>
      </c>
      <c r="K5316" t="str">
        <f t="shared" si="167"/>
        <v/>
      </c>
    </row>
    <row r="5317" spans="7:11" x14ac:dyDescent="0.2">
      <c r="G5317" s="44"/>
      <c r="J5317" t="str">
        <f t="shared" si="166"/>
        <v/>
      </c>
      <c r="K5317" t="str">
        <f t="shared" si="167"/>
        <v/>
      </c>
    </row>
    <row r="5318" spans="7:11" x14ac:dyDescent="0.2">
      <c r="G5318" s="44"/>
      <c r="J5318" t="str">
        <f t="shared" si="166"/>
        <v/>
      </c>
      <c r="K5318" t="str">
        <f t="shared" si="167"/>
        <v/>
      </c>
    </row>
    <row r="5319" spans="7:11" x14ac:dyDescent="0.2">
      <c r="G5319" s="44"/>
      <c r="J5319" t="str">
        <f t="shared" si="166"/>
        <v/>
      </c>
      <c r="K5319" t="str">
        <f t="shared" si="167"/>
        <v/>
      </c>
    </row>
    <row r="5320" spans="7:11" x14ac:dyDescent="0.2">
      <c r="G5320" s="44"/>
      <c r="J5320" t="str">
        <f t="shared" si="166"/>
        <v/>
      </c>
      <c r="K5320" t="str">
        <f t="shared" si="167"/>
        <v/>
      </c>
    </row>
    <row r="5321" spans="7:11" x14ac:dyDescent="0.2">
      <c r="G5321" s="44"/>
      <c r="J5321" t="str">
        <f t="shared" si="166"/>
        <v/>
      </c>
      <c r="K5321" t="str">
        <f t="shared" si="167"/>
        <v/>
      </c>
    </row>
    <row r="5322" spans="7:11" x14ac:dyDescent="0.2">
      <c r="G5322" s="44"/>
      <c r="J5322" t="str">
        <f t="shared" si="166"/>
        <v/>
      </c>
      <c r="K5322" t="str">
        <f t="shared" si="167"/>
        <v/>
      </c>
    </row>
    <row r="5323" spans="7:11" x14ac:dyDescent="0.2">
      <c r="G5323" s="44"/>
      <c r="J5323" t="str">
        <f t="shared" si="166"/>
        <v/>
      </c>
      <c r="K5323" t="str">
        <f t="shared" si="167"/>
        <v/>
      </c>
    </row>
    <row r="5324" spans="7:11" x14ac:dyDescent="0.2">
      <c r="G5324" s="44"/>
      <c r="J5324" t="str">
        <f t="shared" si="166"/>
        <v/>
      </c>
      <c r="K5324" t="str">
        <f t="shared" si="167"/>
        <v/>
      </c>
    </row>
    <row r="5325" spans="7:11" x14ac:dyDescent="0.2">
      <c r="G5325" s="44"/>
      <c r="J5325" t="str">
        <f t="shared" si="166"/>
        <v/>
      </c>
      <c r="K5325" t="str">
        <f t="shared" si="167"/>
        <v/>
      </c>
    </row>
    <row r="5326" spans="7:11" x14ac:dyDescent="0.2">
      <c r="G5326" s="44"/>
      <c r="J5326" t="str">
        <f t="shared" si="166"/>
        <v/>
      </c>
      <c r="K5326" t="str">
        <f t="shared" si="167"/>
        <v/>
      </c>
    </row>
    <row r="5327" spans="7:11" x14ac:dyDescent="0.2">
      <c r="G5327" s="44"/>
      <c r="J5327" t="str">
        <f t="shared" si="166"/>
        <v/>
      </c>
      <c r="K5327" t="str">
        <f t="shared" si="167"/>
        <v/>
      </c>
    </row>
    <row r="5328" spans="7:11" x14ac:dyDescent="0.2">
      <c r="G5328" s="44"/>
      <c r="J5328" t="str">
        <f t="shared" si="166"/>
        <v/>
      </c>
      <c r="K5328" t="str">
        <f t="shared" si="167"/>
        <v/>
      </c>
    </row>
    <row r="5329" spans="7:11" x14ac:dyDescent="0.2">
      <c r="G5329" s="44"/>
      <c r="J5329" t="str">
        <f t="shared" si="166"/>
        <v/>
      </c>
      <c r="K5329" t="str">
        <f t="shared" si="167"/>
        <v/>
      </c>
    </row>
    <row r="5330" spans="7:11" x14ac:dyDescent="0.2">
      <c r="G5330" s="44"/>
      <c r="J5330" t="str">
        <f t="shared" si="166"/>
        <v/>
      </c>
      <c r="K5330" t="str">
        <f t="shared" si="167"/>
        <v/>
      </c>
    </row>
    <row r="5331" spans="7:11" x14ac:dyDescent="0.2">
      <c r="G5331" s="44"/>
      <c r="J5331" t="str">
        <f t="shared" si="166"/>
        <v/>
      </c>
      <c r="K5331" t="str">
        <f t="shared" si="167"/>
        <v/>
      </c>
    </row>
    <row r="5332" spans="7:11" x14ac:dyDescent="0.2">
      <c r="G5332" s="44"/>
      <c r="J5332" t="str">
        <f t="shared" si="166"/>
        <v/>
      </c>
      <c r="K5332" t="str">
        <f t="shared" si="167"/>
        <v/>
      </c>
    </row>
    <row r="5333" spans="7:11" x14ac:dyDescent="0.2">
      <c r="G5333" s="44"/>
      <c r="J5333" t="str">
        <f t="shared" si="166"/>
        <v/>
      </c>
      <c r="K5333" t="str">
        <f t="shared" si="167"/>
        <v/>
      </c>
    </row>
    <row r="5334" spans="7:11" x14ac:dyDescent="0.2">
      <c r="G5334" s="44"/>
      <c r="J5334" t="str">
        <f t="shared" si="166"/>
        <v/>
      </c>
      <c r="K5334" t="str">
        <f t="shared" si="167"/>
        <v/>
      </c>
    </row>
    <row r="5335" spans="7:11" x14ac:dyDescent="0.2">
      <c r="G5335" s="44"/>
      <c r="J5335" t="str">
        <f t="shared" si="166"/>
        <v/>
      </c>
      <c r="K5335" t="str">
        <f t="shared" si="167"/>
        <v/>
      </c>
    </row>
    <row r="5336" spans="7:11" x14ac:dyDescent="0.2">
      <c r="G5336" s="44"/>
      <c r="J5336" t="str">
        <f t="shared" si="166"/>
        <v/>
      </c>
      <c r="K5336" t="str">
        <f t="shared" si="167"/>
        <v/>
      </c>
    </row>
    <row r="5337" spans="7:11" x14ac:dyDescent="0.2">
      <c r="G5337" s="44"/>
      <c r="J5337" t="str">
        <f t="shared" si="166"/>
        <v/>
      </c>
      <c r="K5337" t="str">
        <f t="shared" si="167"/>
        <v/>
      </c>
    </row>
    <row r="5338" spans="7:11" x14ac:dyDescent="0.2">
      <c r="G5338" s="44"/>
      <c r="J5338" t="str">
        <f t="shared" si="166"/>
        <v/>
      </c>
      <c r="K5338" t="str">
        <f t="shared" si="167"/>
        <v/>
      </c>
    </row>
    <row r="5339" spans="7:11" x14ac:dyDescent="0.2">
      <c r="G5339" s="44"/>
      <c r="J5339" t="str">
        <f t="shared" si="166"/>
        <v/>
      </c>
      <c r="K5339" t="str">
        <f t="shared" si="167"/>
        <v/>
      </c>
    </row>
    <row r="5340" spans="7:11" x14ac:dyDescent="0.2">
      <c r="G5340" s="44"/>
      <c r="J5340" t="str">
        <f t="shared" si="166"/>
        <v/>
      </c>
      <c r="K5340" t="str">
        <f t="shared" si="167"/>
        <v/>
      </c>
    </row>
    <row r="5341" spans="7:11" x14ac:dyDescent="0.2">
      <c r="G5341" s="44"/>
      <c r="J5341" t="str">
        <f t="shared" si="166"/>
        <v/>
      </c>
      <c r="K5341" t="str">
        <f t="shared" si="167"/>
        <v/>
      </c>
    </row>
    <row r="5342" spans="7:11" x14ac:dyDescent="0.2">
      <c r="G5342" s="44"/>
      <c r="J5342" t="str">
        <f t="shared" si="166"/>
        <v/>
      </c>
      <c r="K5342" t="str">
        <f t="shared" si="167"/>
        <v/>
      </c>
    </row>
    <row r="5343" spans="7:11" x14ac:dyDescent="0.2">
      <c r="G5343" s="44"/>
      <c r="J5343" t="str">
        <f t="shared" si="166"/>
        <v/>
      </c>
      <c r="K5343" t="str">
        <f t="shared" si="167"/>
        <v/>
      </c>
    </row>
    <row r="5344" spans="7:11" x14ac:dyDescent="0.2">
      <c r="G5344" s="44"/>
      <c r="J5344" t="str">
        <f t="shared" si="166"/>
        <v/>
      </c>
      <c r="K5344" t="str">
        <f t="shared" si="167"/>
        <v/>
      </c>
    </row>
    <row r="5345" spans="7:11" x14ac:dyDescent="0.2">
      <c r="G5345" s="44"/>
      <c r="J5345" t="str">
        <f t="shared" si="166"/>
        <v/>
      </c>
      <c r="K5345" t="str">
        <f t="shared" si="167"/>
        <v/>
      </c>
    </row>
    <row r="5346" spans="7:11" x14ac:dyDescent="0.2">
      <c r="G5346" s="44"/>
      <c r="J5346" t="str">
        <f t="shared" si="166"/>
        <v/>
      </c>
      <c r="K5346" t="str">
        <f t="shared" si="167"/>
        <v/>
      </c>
    </row>
    <row r="5347" spans="7:11" x14ac:dyDescent="0.2">
      <c r="G5347" s="44"/>
      <c r="J5347" t="str">
        <f t="shared" si="166"/>
        <v/>
      </c>
      <c r="K5347" t="str">
        <f t="shared" si="167"/>
        <v/>
      </c>
    </row>
    <row r="5348" spans="7:11" x14ac:dyDescent="0.2">
      <c r="G5348" s="44"/>
      <c r="J5348" t="str">
        <f t="shared" si="166"/>
        <v/>
      </c>
      <c r="K5348" t="str">
        <f t="shared" si="167"/>
        <v/>
      </c>
    </row>
    <row r="5349" spans="7:11" x14ac:dyDescent="0.2">
      <c r="G5349" s="44"/>
      <c r="J5349" t="str">
        <f t="shared" si="166"/>
        <v/>
      </c>
      <c r="K5349" t="str">
        <f t="shared" si="167"/>
        <v/>
      </c>
    </row>
    <row r="5350" spans="7:11" x14ac:dyDescent="0.2">
      <c r="G5350" s="44"/>
      <c r="J5350" t="str">
        <f t="shared" si="166"/>
        <v/>
      </c>
      <c r="K5350" t="str">
        <f t="shared" si="167"/>
        <v/>
      </c>
    </row>
    <row r="5351" spans="7:11" x14ac:dyDescent="0.2">
      <c r="G5351" s="44"/>
      <c r="J5351" t="str">
        <f t="shared" si="166"/>
        <v/>
      </c>
      <c r="K5351" t="str">
        <f t="shared" si="167"/>
        <v/>
      </c>
    </row>
    <row r="5352" spans="7:11" x14ac:dyDescent="0.2">
      <c r="G5352" s="44"/>
      <c r="J5352" t="str">
        <f t="shared" si="166"/>
        <v/>
      </c>
      <c r="K5352" t="str">
        <f t="shared" si="167"/>
        <v/>
      </c>
    </row>
    <row r="5353" spans="7:11" x14ac:dyDescent="0.2">
      <c r="G5353" s="44"/>
      <c r="J5353" t="str">
        <f t="shared" si="166"/>
        <v/>
      </c>
      <c r="K5353" t="str">
        <f t="shared" si="167"/>
        <v/>
      </c>
    </row>
    <row r="5354" spans="7:11" x14ac:dyDescent="0.2">
      <c r="G5354" s="44"/>
      <c r="J5354" t="str">
        <f t="shared" si="166"/>
        <v/>
      </c>
      <c r="K5354" t="str">
        <f t="shared" si="167"/>
        <v/>
      </c>
    </row>
    <row r="5355" spans="7:11" x14ac:dyDescent="0.2">
      <c r="G5355" s="44"/>
      <c r="J5355" t="str">
        <f t="shared" si="166"/>
        <v/>
      </c>
      <c r="K5355" t="str">
        <f t="shared" si="167"/>
        <v/>
      </c>
    </row>
    <row r="5356" spans="7:11" x14ac:dyDescent="0.2">
      <c r="G5356" s="44"/>
      <c r="J5356" t="str">
        <f t="shared" si="166"/>
        <v/>
      </c>
      <c r="K5356" t="str">
        <f t="shared" si="167"/>
        <v/>
      </c>
    </row>
    <row r="5357" spans="7:11" x14ac:dyDescent="0.2">
      <c r="G5357" s="44"/>
      <c r="J5357" t="str">
        <f t="shared" si="166"/>
        <v/>
      </c>
      <c r="K5357" t="str">
        <f t="shared" si="167"/>
        <v/>
      </c>
    </row>
    <row r="5358" spans="7:11" x14ac:dyDescent="0.2">
      <c r="G5358" s="44"/>
      <c r="J5358" t="str">
        <f t="shared" si="166"/>
        <v/>
      </c>
      <c r="K5358" t="str">
        <f t="shared" si="167"/>
        <v/>
      </c>
    </row>
    <row r="5359" spans="7:11" x14ac:dyDescent="0.2">
      <c r="G5359" s="44"/>
      <c r="J5359" t="str">
        <f t="shared" si="166"/>
        <v/>
      </c>
      <c r="K5359" t="str">
        <f t="shared" si="167"/>
        <v/>
      </c>
    </row>
    <row r="5360" spans="7:11" x14ac:dyDescent="0.2">
      <c r="G5360" s="44"/>
      <c r="J5360" t="str">
        <f t="shared" si="166"/>
        <v/>
      </c>
      <c r="K5360" t="str">
        <f t="shared" si="167"/>
        <v/>
      </c>
    </row>
    <row r="5361" spans="7:11" x14ac:dyDescent="0.2">
      <c r="G5361" s="44"/>
      <c r="J5361" t="str">
        <f t="shared" si="166"/>
        <v/>
      </c>
      <c r="K5361" t="str">
        <f t="shared" si="167"/>
        <v/>
      </c>
    </row>
    <row r="5362" spans="7:11" x14ac:dyDescent="0.2">
      <c r="G5362" s="44"/>
      <c r="J5362" t="str">
        <f t="shared" si="166"/>
        <v/>
      </c>
      <c r="K5362" t="str">
        <f t="shared" si="167"/>
        <v/>
      </c>
    </row>
    <row r="5363" spans="7:11" x14ac:dyDescent="0.2">
      <c r="G5363" s="44"/>
      <c r="J5363" t="str">
        <f t="shared" si="166"/>
        <v/>
      </c>
      <c r="K5363" t="str">
        <f t="shared" si="167"/>
        <v/>
      </c>
    </row>
    <row r="5364" spans="7:11" x14ac:dyDescent="0.2">
      <c r="G5364" s="44"/>
      <c r="J5364" t="str">
        <f t="shared" si="166"/>
        <v/>
      </c>
      <c r="K5364" t="str">
        <f t="shared" si="167"/>
        <v/>
      </c>
    </row>
    <row r="5365" spans="7:11" x14ac:dyDescent="0.2">
      <c r="G5365" s="44"/>
      <c r="J5365" t="str">
        <f t="shared" si="166"/>
        <v/>
      </c>
      <c r="K5365" t="str">
        <f t="shared" si="167"/>
        <v/>
      </c>
    </row>
    <row r="5366" spans="7:11" x14ac:dyDescent="0.2">
      <c r="G5366" s="44"/>
      <c r="J5366" t="str">
        <f t="shared" si="166"/>
        <v/>
      </c>
      <c r="K5366" t="str">
        <f t="shared" si="167"/>
        <v/>
      </c>
    </row>
    <row r="5367" spans="7:11" x14ac:dyDescent="0.2">
      <c r="G5367" s="44"/>
      <c r="J5367" t="str">
        <f t="shared" si="166"/>
        <v/>
      </c>
      <c r="K5367" t="str">
        <f t="shared" si="167"/>
        <v/>
      </c>
    </row>
    <row r="5368" spans="7:11" x14ac:dyDescent="0.2">
      <c r="G5368" s="44"/>
      <c r="J5368" t="str">
        <f t="shared" si="166"/>
        <v/>
      </c>
      <c r="K5368" t="str">
        <f t="shared" si="167"/>
        <v/>
      </c>
    </row>
    <row r="5369" spans="7:11" x14ac:dyDescent="0.2">
      <c r="G5369" s="44"/>
      <c r="J5369" t="str">
        <f t="shared" si="166"/>
        <v/>
      </c>
      <c r="K5369" t="str">
        <f t="shared" si="167"/>
        <v/>
      </c>
    </row>
    <row r="5370" spans="7:11" x14ac:dyDescent="0.2">
      <c r="G5370" s="44"/>
      <c r="J5370" t="str">
        <f t="shared" si="166"/>
        <v/>
      </c>
      <c r="K5370" t="str">
        <f t="shared" si="167"/>
        <v/>
      </c>
    </row>
    <row r="5371" spans="7:11" x14ac:dyDescent="0.2">
      <c r="G5371" s="44"/>
      <c r="J5371" t="str">
        <f t="shared" si="166"/>
        <v/>
      </c>
      <c r="K5371" t="str">
        <f t="shared" si="167"/>
        <v/>
      </c>
    </row>
    <row r="5372" spans="7:11" x14ac:dyDescent="0.2">
      <c r="G5372" s="44"/>
      <c r="J5372" t="str">
        <f t="shared" si="166"/>
        <v/>
      </c>
      <c r="K5372" t="str">
        <f t="shared" si="167"/>
        <v/>
      </c>
    </row>
    <row r="5373" spans="7:11" x14ac:dyDescent="0.2">
      <c r="G5373" s="44"/>
      <c r="J5373" t="str">
        <f t="shared" si="166"/>
        <v/>
      </c>
      <c r="K5373" t="str">
        <f t="shared" si="167"/>
        <v/>
      </c>
    </row>
    <row r="5374" spans="7:11" x14ac:dyDescent="0.2">
      <c r="G5374" s="44"/>
      <c r="J5374" t="str">
        <f t="shared" si="166"/>
        <v/>
      </c>
      <c r="K5374" t="str">
        <f t="shared" si="167"/>
        <v/>
      </c>
    </row>
    <row r="5375" spans="7:11" x14ac:dyDescent="0.2">
      <c r="G5375" s="44"/>
      <c r="J5375" t="str">
        <f t="shared" si="166"/>
        <v/>
      </c>
      <c r="K5375" t="str">
        <f t="shared" si="167"/>
        <v/>
      </c>
    </row>
    <row r="5376" spans="7:11" x14ac:dyDescent="0.2">
      <c r="G5376" s="44"/>
      <c r="J5376" t="str">
        <f t="shared" si="166"/>
        <v/>
      </c>
      <c r="K5376" t="str">
        <f t="shared" si="167"/>
        <v/>
      </c>
    </row>
    <row r="5377" spans="7:11" x14ac:dyDescent="0.2">
      <c r="G5377" s="44"/>
      <c r="J5377" t="str">
        <f t="shared" si="166"/>
        <v/>
      </c>
      <c r="K5377" t="str">
        <f t="shared" si="167"/>
        <v/>
      </c>
    </row>
    <row r="5378" spans="7:11" x14ac:dyDescent="0.2">
      <c r="G5378" s="44"/>
      <c r="J5378" t="str">
        <f t="shared" ref="J5378:J5441" si="168">IF(E5378="","",IF(OR(E5378=50,E5378=51),"Iltindhold",IF(E5378=75,"Carbon,org,NVOC",IF(OR(E5378=343,E5378=1167),"Svovlbrinte",IF(OR(E5378=240,E5378=241,E5378=242),"Amm",IF(E5378=244,"Nitrit",IF(E5378=247,"Nitrat",IF(E5378=334,"Sulfat",IF(E5378=262,"Phosphor, total-P",F5378)))))))))</f>
        <v/>
      </c>
      <c r="K5378" t="str">
        <f t="shared" ref="K5378:K5441" si="169">IF(A5378="","",IF(H5378="!",NA(),IF(H5378="A",I5378*0.5,IF(H5378="&lt;",I5378*0.5,I5378))))</f>
        <v/>
      </c>
    </row>
    <row r="5379" spans="7:11" x14ac:dyDescent="0.2">
      <c r="G5379" s="44"/>
      <c r="J5379" t="str">
        <f t="shared" si="168"/>
        <v/>
      </c>
      <c r="K5379" t="str">
        <f t="shared" si="169"/>
        <v/>
      </c>
    </row>
    <row r="5380" spans="7:11" x14ac:dyDescent="0.2">
      <c r="G5380" s="44"/>
      <c r="J5380" t="str">
        <f t="shared" si="168"/>
        <v/>
      </c>
      <c r="K5380" t="str">
        <f t="shared" si="169"/>
        <v/>
      </c>
    </row>
    <row r="5381" spans="7:11" x14ac:dyDescent="0.2">
      <c r="G5381" s="44"/>
      <c r="J5381" t="str">
        <f t="shared" si="168"/>
        <v/>
      </c>
      <c r="K5381" t="str">
        <f t="shared" si="169"/>
        <v/>
      </c>
    </row>
    <row r="5382" spans="7:11" x14ac:dyDescent="0.2">
      <c r="G5382" s="44"/>
      <c r="J5382" t="str">
        <f t="shared" si="168"/>
        <v/>
      </c>
      <c r="K5382" t="str">
        <f t="shared" si="169"/>
        <v/>
      </c>
    </row>
    <row r="5383" spans="7:11" x14ac:dyDescent="0.2">
      <c r="G5383" s="44"/>
      <c r="J5383" t="str">
        <f t="shared" si="168"/>
        <v/>
      </c>
      <c r="K5383" t="str">
        <f t="shared" si="169"/>
        <v/>
      </c>
    </row>
    <row r="5384" spans="7:11" x14ac:dyDescent="0.2">
      <c r="G5384" s="44"/>
      <c r="J5384" t="str">
        <f t="shared" si="168"/>
        <v/>
      </c>
      <c r="K5384" t="str">
        <f t="shared" si="169"/>
        <v/>
      </c>
    </row>
    <row r="5385" spans="7:11" x14ac:dyDescent="0.2">
      <c r="G5385" s="44"/>
      <c r="J5385" t="str">
        <f t="shared" si="168"/>
        <v/>
      </c>
      <c r="K5385" t="str">
        <f t="shared" si="169"/>
        <v/>
      </c>
    </row>
    <row r="5386" spans="7:11" x14ac:dyDescent="0.2">
      <c r="G5386" s="44"/>
      <c r="J5386" t="str">
        <f t="shared" si="168"/>
        <v/>
      </c>
      <c r="K5386" t="str">
        <f t="shared" si="169"/>
        <v/>
      </c>
    </row>
    <row r="5387" spans="7:11" x14ac:dyDescent="0.2">
      <c r="G5387" s="44"/>
      <c r="J5387" t="str">
        <f t="shared" si="168"/>
        <v/>
      </c>
      <c r="K5387" t="str">
        <f t="shared" si="169"/>
        <v/>
      </c>
    </row>
    <row r="5388" spans="7:11" x14ac:dyDescent="0.2">
      <c r="G5388" s="44"/>
      <c r="J5388" t="str">
        <f t="shared" si="168"/>
        <v/>
      </c>
      <c r="K5388" t="str">
        <f t="shared" si="169"/>
        <v/>
      </c>
    </row>
    <row r="5389" spans="7:11" x14ac:dyDescent="0.2">
      <c r="G5389" s="44"/>
      <c r="J5389" t="str">
        <f t="shared" si="168"/>
        <v/>
      </c>
      <c r="K5389" t="str">
        <f t="shared" si="169"/>
        <v/>
      </c>
    </row>
    <row r="5390" spans="7:11" x14ac:dyDescent="0.2">
      <c r="G5390" s="44"/>
      <c r="J5390" t="str">
        <f t="shared" si="168"/>
        <v/>
      </c>
      <c r="K5390" t="str">
        <f t="shared" si="169"/>
        <v/>
      </c>
    </row>
    <row r="5391" spans="7:11" x14ac:dyDescent="0.2">
      <c r="G5391" s="44"/>
      <c r="J5391" t="str">
        <f t="shared" si="168"/>
        <v/>
      </c>
      <c r="K5391" t="str">
        <f t="shared" si="169"/>
        <v/>
      </c>
    </row>
    <row r="5392" spans="7:11" x14ac:dyDescent="0.2">
      <c r="G5392" s="44"/>
      <c r="J5392" t="str">
        <f t="shared" si="168"/>
        <v/>
      </c>
      <c r="K5392" t="str">
        <f t="shared" si="169"/>
        <v/>
      </c>
    </row>
    <row r="5393" spans="7:11" x14ac:dyDescent="0.2">
      <c r="G5393" s="44"/>
      <c r="J5393" t="str">
        <f t="shared" si="168"/>
        <v/>
      </c>
      <c r="K5393" t="str">
        <f t="shared" si="169"/>
        <v/>
      </c>
    </row>
    <row r="5394" spans="7:11" x14ac:dyDescent="0.2">
      <c r="G5394" s="44"/>
      <c r="J5394" t="str">
        <f t="shared" si="168"/>
        <v/>
      </c>
      <c r="K5394" t="str">
        <f t="shared" si="169"/>
        <v/>
      </c>
    </row>
    <row r="5395" spans="7:11" x14ac:dyDescent="0.2">
      <c r="G5395" s="44"/>
      <c r="J5395" t="str">
        <f t="shared" si="168"/>
        <v/>
      </c>
      <c r="K5395" t="str">
        <f t="shared" si="169"/>
        <v/>
      </c>
    </row>
    <row r="5396" spans="7:11" x14ac:dyDescent="0.2">
      <c r="G5396" s="44"/>
      <c r="J5396" t="str">
        <f t="shared" si="168"/>
        <v/>
      </c>
      <c r="K5396" t="str">
        <f t="shared" si="169"/>
        <v/>
      </c>
    </row>
    <row r="5397" spans="7:11" x14ac:dyDescent="0.2">
      <c r="G5397" s="44"/>
      <c r="J5397" t="str">
        <f t="shared" si="168"/>
        <v/>
      </c>
      <c r="K5397" t="str">
        <f t="shared" si="169"/>
        <v/>
      </c>
    </row>
    <row r="5398" spans="7:11" x14ac:dyDescent="0.2">
      <c r="G5398" s="44"/>
      <c r="J5398" t="str">
        <f t="shared" si="168"/>
        <v/>
      </c>
      <c r="K5398" t="str">
        <f t="shared" si="169"/>
        <v/>
      </c>
    </row>
    <row r="5399" spans="7:11" x14ac:dyDescent="0.2">
      <c r="G5399" s="44"/>
      <c r="J5399" t="str">
        <f t="shared" si="168"/>
        <v/>
      </c>
      <c r="K5399" t="str">
        <f t="shared" si="169"/>
        <v/>
      </c>
    </row>
    <row r="5400" spans="7:11" x14ac:dyDescent="0.2">
      <c r="G5400" s="44"/>
      <c r="J5400" t="str">
        <f t="shared" si="168"/>
        <v/>
      </c>
      <c r="K5400" t="str">
        <f t="shared" si="169"/>
        <v/>
      </c>
    </row>
    <row r="5401" spans="7:11" x14ac:dyDescent="0.2">
      <c r="G5401" s="44"/>
      <c r="J5401" t="str">
        <f t="shared" si="168"/>
        <v/>
      </c>
      <c r="K5401" t="str">
        <f t="shared" si="169"/>
        <v/>
      </c>
    </row>
    <row r="5402" spans="7:11" x14ac:dyDescent="0.2">
      <c r="G5402" s="44"/>
      <c r="J5402" t="str">
        <f t="shared" si="168"/>
        <v/>
      </c>
      <c r="K5402" t="str">
        <f t="shared" si="169"/>
        <v/>
      </c>
    </row>
    <row r="5403" spans="7:11" x14ac:dyDescent="0.2">
      <c r="G5403" s="44"/>
      <c r="J5403" t="str">
        <f t="shared" si="168"/>
        <v/>
      </c>
      <c r="K5403" t="str">
        <f t="shared" si="169"/>
        <v/>
      </c>
    </row>
    <row r="5404" spans="7:11" x14ac:dyDescent="0.2">
      <c r="G5404" s="44"/>
      <c r="J5404" t="str">
        <f t="shared" si="168"/>
        <v/>
      </c>
      <c r="K5404" t="str">
        <f t="shared" si="169"/>
        <v/>
      </c>
    </row>
    <row r="5405" spans="7:11" x14ac:dyDescent="0.2">
      <c r="G5405" s="44"/>
      <c r="J5405" t="str">
        <f t="shared" si="168"/>
        <v/>
      </c>
      <c r="K5405" t="str">
        <f t="shared" si="169"/>
        <v/>
      </c>
    </row>
    <row r="5406" spans="7:11" x14ac:dyDescent="0.2">
      <c r="G5406" s="44"/>
      <c r="J5406" t="str">
        <f t="shared" si="168"/>
        <v/>
      </c>
      <c r="K5406" t="str">
        <f t="shared" si="169"/>
        <v/>
      </c>
    </row>
    <row r="5407" spans="7:11" x14ac:dyDescent="0.2">
      <c r="G5407" s="44"/>
      <c r="J5407" t="str">
        <f t="shared" si="168"/>
        <v/>
      </c>
      <c r="K5407" t="str">
        <f t="shared" si="169"/>
        <v/>
      </c>
    </row>
    <row r="5408" spans="7:11" x14ac:dyDescent="0.2">
      <c r="G5408" s="44"/>
      <c r="J5408" t="str">
        <f t="shared" si="168"/>
        <v/>
      </c>
      <c r="K5408" t="str">
        <f t="shared" si="169"/>
        <v/>
      </c>
    </row>
    <row r="5409" spans="7:11" x14ac:dyDescent="0.2">
      <c r="G5409" s="44"/>
      <c r="J5409" t="str">
        <f t="shared" si="168"/>
        <v/>
      </c>
      <c r="K5409" t="str">
        <f t="shared" si="169"/>
        <v/>
      </c>
    </row>
    <row r="5410" spans="7:11" x14ac:dyDescent="0.2">
      <c r="G5410" s="44"/>
      <c r="J5410" t="str">
        <f t="shared" si="168"/>
        <v/>
      </c>
      <c r="K5410" t="str">
        <f t="shared" si="169"/>
        <v/>
      </c>
    </row>
    <row r="5411" spans="7:11" x14ac:dyDescent="0.2">
      <c r="G5411" s="44"/>
      <c r="J5411" t="str">
        <f t="shared" si="168"/>
        <v/>
      </c>
      <c r="K5411" t="str">
        <f t="shared" si="169"/>
        <v/>
      </c>
    </row>
    <row r="5412" spans="7:11" x14ac:dyDescent="0.2">
      <c r="G5412" s="44"/>
      <c r="J5412" t="str">
        <f t="shared" si="168"/>
        <v/>
      </c>
      <c r="K5412" t="str">
        <f t="shared" si="169"/>
        <v/>
      </c>
    </row>
    <row r="5413" spans="7:11" x14ac:dyDescent="0.2">
      <c r="G5413" s="44"/>
      <c r="J5413" t="str">
        <f t="shared" si="168"/>
        <v/>
      </c>
      <c r="K5413" t="str">
        <f t="shared" si="169"/>
        <v/>
      </c>
    </row>
    <row r="5414" spans="7:11" x14ac:dyDescent="0.2">
      <c r="G5414" s="44"/>
      <c r="J5414" t="str">
        <f t="shared" si="168"/>
        <v/>
      </c>
      <c r="K5414" t="str">
        <f t="shared" si="169"/>
        <v/>
      </c>
    </row>
    <row r="5415" spans="7:11" x14ac:dyDescent="0.2">
      <c r="G5415" s="44"/>
      <c r="J5415" t="str">
        <f t="shared" si="168"/>
        <v/>
      </c>
      <c r="K5415" t="str">
        <f t="shared" si="169"/>
        <v/>
      </c>
    </row>
    <row r="5416" spans="7:11" x14ac:dyDescent="0.2">
      <c r="G5416" s="44"/>
      <c r="J5416" t="str">
        <f t="shared" si="168"/>
        <v/>
      </c>
      <c r="K5416" t="str">
        <f t="shared" si="169"/>
        <v/>
      </c>
    </row>
    <row r="5417" spans="7:11" x14ac:dyDescent="0.2">
      <c r="G5417" s="44"/>
      <c r="J5417" t="str">
        <f t="shared" si="168"/>
        <v/>
      </c>
      <c r="K5417" t="str">
        <f t="shared" si="169"/>
        <v/>
      </c>
    </row>
    <row r="5418" spans="7:11" x14ac:dyDescent="0.2">
      <c r="G5418" s="44"/>
      <c r="J5418" t="str">
        <f t="shared" si="168"/>
        <v/>
      </c>
      <c r="K5418" t="str">
        <f t="shared" si="169"/>
        <v/>
      </c>
    </row>
    <row r="5419" spans="7:11" x14ac:dyDescent="0.2">
      <c r="G5419" s="44"/>
      <c r="J5419" t="str">
        <f t="shared" si="168"/>
        <v/>
      </c>
      <c r="K5419" t="str">
        <f t="shared" si="169"/>
        <v/>
      </c>
    </row>
    <row r="5420" spans="7:11" x14ac:dyDescent="0.2">
      <c r="G5420" s="44"/>
      <c r="J5420" t="str">
        <f t="shared" si="168"/>
        <v/>
      </c>
      <c r="K5420" t="str">
        <f t="shared" si="169"/>
        <v/>
      </c>
    </row>
    <row r="5421" spans="7:11" x14ac:dyDescent="0.2">
      <c r="G5421" s="44"/>
      <c r="J5421" t="str">
        <f t="shared" si="168"/>
        <v/>
      </c>
      <c r="K5421" t="str">
        <f t="shared" si="169"/>
        <v/>
      </c>
    </row>
    <row r="5422" spans="7:11" x14ac:dyDescent="0.2">
      <c r="G5422" s="44"/>
      <c r="J5422" t="str">
        <f t="shared" si="168"/>
        <v/>
      </c>
      <c r="K5422" t="str">
        <f t="shared" si="169"/>
        <v/>
      </c>
    </row>
    <row r="5423" spans="7:11" x14ac:dyDescent="0.2">
      <c r="G5423" s="44"/>
      <c r="J5423" t="str">
        <f t="shared" si="168"/>
        <v/>
      </c>
      <c r="K5423" t="str">
        <f t="shared" si="169"/>
        <v/>
      </c>
    </row>
    <row r="5424" spans="7:11" x14ac:dyDescent="0.2">
      <c r="G5424" s="44"/>
      <c r="J5424" t="str">
        <f t="shared" si="168"/>
        <v/>
      </c>
      <c r="K5424" t="str">
        <f t="shared" si="169"/>
        <v/>
      </c>
    </row>
    <row r="5425" spans="7:11" x14ac:dyDescent="0.2">
      <c r="G5425" s="44"/>
      <c r="J5425" t="str">
        <f t="shared" si="168"/>
        <v/>
      </c>
      <c r="K5425" t="str">
        <f t="shared" si="169"/>
        <v/>
      </c>
    </row>
    <row r="5426" spans="7:11" x14ac:dyDescent="0.2">
      <c r="G5426" s="44"/>
      <c r="J5426" t="str">
        <f t="shared" si="168"/>
        <v/>
      </c>
      <c r="K5426" t="str">
        <f t="shared" si="169"/>
        <v/>
      </c>
    </row>
    <row r="5427" spans="7:11" x14ac:dyDescent="0.2">
      <c r="G5427" s="44"/>
      <c r="J5427" t="str">
        <f t="shared" si="168"/>
        <v/>
      </c>
      <c r="K5427" t="str">
        <f t="shared" si="169"/>
        <v/>
      </c>
    </row>
    <row r="5428" spans="7:11" x14ac:dyDescent="0.2">
      <c r="G5428" s="44"/>
      <c r="J5428" t="str">
        <f t="shared" si="168"/>
        <v/>
      </c>
      <c r="K5428" t="str">
        <f t="shared" si="169"/>
        <v/>
      </c>
    </row>
    <row r="5429" spans="7:11" x14ac:dyDescent="0.2">
      <c r="G5429" s="44"/>
      <c r="J5429" t="str">
        <f t="shared" si="168"/>
        <v/>
      </c>
      <c r="K5429" t="str">
        <f t="shared" si="169"/>
        <v/>
      </c>
    </row>
    <row r="5430" spans="7:11" x14ac:dyDescent="0.2">
      <c r="G5430" s="44"/>
      <c r="J5430" t="str">
        <f t="shared" si="168"/>
        <v/>
      </c>
      <c r="K5430" t="str">
        <f t="shared" si="169"/>
        <v/>
      </c>
    </row>
    <row r="5431" spans="7:11" x14ac:dyDescent="0.2">
      <c r="G5431" s="44"/>
      <c r="J5431" t="str">
        <f t="shared" si="168"/>
        <v/>
      </c>
      <c r="K5431" t="str">
        <f t="shared" si="169"/>
        <v/>
      </c>
    </row>
    <row r="5432" spans="7:11" x14ac:dyDescent="0.2">
      <c r="G5432" s="44"/>
      <c r="J5432" t="str">
        <f t="shared" si="168"/>
        <v/>
      </c>
      <c r="K5432" t="str">
        <f t="shared" si="169"/>
        <v/>
      </c>
    </row>
    <row r="5433" spans="7:11" x14ac:dyDescent="0.2">
      <c r="G5433" s="44"/>
      <c r="J5433" t="str">
        <f t="shared" si="168"/>
        <v/>
      </c>
      <c r="K5433" t="str">
        <f t="shared" si="169"/>
        <v/>
      </c>
    </row>
    <row r="5434" spans="7:11" x14ac:dyDescent="0.2">
      <c r="G5434" s="44"/>
      <c r="J5434" t="str">
        <f t="shared" si="168"/>
        <v/>
      </c>
      <c r="K5434" t="str">
        <f t="shared" si="169"/>
        <v/>
      </c>
    </row>
    <row r="5435" spans="7:11" x14ac:dyDescent="0.2">
      <c r="G5435" s="44"/>
      <c r="J5435" t="str">
        <f t="shared" si="168"/>
        <v/>
      </c>
      <c r="K5435" t="str">
        <f t="shared" si="169"/>
        <v/>
      </c>
    </row>
    <row r="5436" spans="7:11" x14ac:dyDescent="0.2">
      <c r="G5436" s="44"/>
      <c r="J5436" t="str">
        <f t="shared" si="168"/>
        <v/>
      </c>
      <c r="K5436" t="str">
        <f t="shared" si="169"/>
        <v/>
      </c>
    </row>
    <row r="5437" spans="7:11" x14ac:dyDescent="0.2">
      <c r="G5437" s="44"/>
      <c r="J5437" t="str">
        <f t="shared" si="168"/>
        <v/>
      </c>
      <c r="K5437" t="str">
        <f t="shared" si="169"/>
        <v/>
      </c>
    </row>
    <row r="5438" spans="7:11" x14ac:dyDescent="0.2">
      <c r="G5438" s="44"/>
      <c r="J5438" t="str">
        <f t="shared" si="168"/>
        <v/>
      </c>
      <c r="K5438" t="str">
        <f t="shared" si="169"/>
        <v/>
      </c>
    </row>
    <row r="5439" spans="7:11" x14ac:dyDescent="0.2">
      <c r="G5439" s="44"/>
      <c r="J5439" t="str">
        <f t="shared" si="168"/>
        <v/>
      </c>
      <c r="K5439" t="str">
        <f t="shared" si="169"/>
        <v/>
      </c>
    </row>
    <row r="5440" spans="7:11" x14ac:dyDescent="0.2">
      <c r="G5440" s="44"/>
      <c r="J5440" t="str">
        <f t="shared" si="168"/>
        <v/>
      </c>
      <c r="K5440" t="str">
        <f t="shared" si="169"/>
        <v/>
      </c>
    </row>
    <row r="5441" spans="7:11" x14ac:dyDescent="0.2">
      <c r="G5441" s="44"/>
      <c r="J5441" t="str">
        <f t="shared" si="168"/>
        <v/>
      </c>
      <c r="K5441" t="str">
        <f t="shared" si="169"/>
        <v/>
      </c>
    </row>
    <row r="5442" spans="7:11" x14ac:dyDescent="0.2">
      <c r="G5442" s="44"/>
      <c r="J5442" t="str">
        <f t="shared" ref="J5442:J5505" si="170">IF(E5442="","",IF(OR(E5442=50,E5442=51),"Iltindhold",IF(E5442=75,"Carbon,org,NVOC",IF(OR(E5442=343,E5442=1167),"Svovlbrinte",IF(OR(E5442=240,E5442=241,E5442=242),"Amm",IF(E5442=244,"Nitrit",IF(E5442=247,"Nitrat",IF(E5442=334,"Sulfat",IF(E5442=262,"Phosphor, total-P",F5442)))))))))</f>
        <v/>
      </c>
      <c r="K5442" t="str">
        <f t="shared" ref="K5442:K5505" si="171">IF(A5442="","",IF(H5442="!",NA(),IF(H5442="A",I5442*0.5,IF(H5442="&lt;",I5442*0.5,I5442))))</f>
        <v/>
      </c>
    </row>
    <row r="5443" spans="7:11" x14ac:dyDescent="0.2">
      <c r="G5443" s="44"/>
      <c r="J5443" t="str">
        <f t="shared" si="170"/>
        <v/>
      </c>
      <c r="K5443" t="str">
        <f t="shared" si="171"/>
        <v/>
      </c>
    </row>
    <row r="5444" spans="7:11" x14ac:dyDescent="0.2">
      <c r="G5444" s="44"/>
      <c r="J5444" t="str">
        <f t="shared" si="170"/>
        <v/>
      </c>
      <c r="K5444" t="str">
        <f t="shared" si="171"/>
        <v/>
      </c>
    </row>
    <row r="5445" spans="7:11" x14ac:dyDescent="0.2">
      <c r="G5445" s="44"/>
      <c r="J5445" t="str">
        <f t="shared" si="170"/>
        <v/>
      </c>
      <c r="K5445" t="str">
        <f t="shared" si="171"/>
        <v/>
      </c>
    </row>
    <row r="5446" spans="7:11" x14ac:dyDescent="0.2">
      <c r="G5446" s="44"/>
      <c r="J5446" t="str">
        <f t="shared" si="170"/>
        <v/>
      </c>
      <c r="K5446" t="str">
        <f t="shared" si="171"/>
        <v/>
      </c>
    </row>
    <row r="5447" spans="7:11" x14ac:dyDescent="0.2">
      <c r="G5447" s="44"/>
      <c r="J5447" t="str">
        <f t="shared" si="170"/>
        <v/>
      </c>
      <c r="K5447" t="str">
        <f t="shared" si="171"/>
        <v/>
      </c>
    </row>
    <row r="5448" spans="7:11" x14ac:dyDescent="0.2">
      <c r="G5448" s="44"/>
      <c r="J5448" t="str">
        <f t="shared" si="170"/>
        <v/>
      </c>
      <c r="K5448" t="str">
        <f t="shared" si="171"/>
        <v/>
      </c>
    </row>
    <row r="5449" spans="7:11" x14ac:dyDescent="0.2">
      <c r="G5449" s="44"/>
      <c r="J5449" t="str">
        <f t="shared" si="170"/>
        <v/>
      </c>
      <c r="K5449" t="str">
        <f t="shared" si="171"/>
        <v/>
      </c>
    </row>
    <row r="5450" spans="7:11" x14ac:dyDescent="0.2">
      <c r="G5450" s="44"/>
      <c r="J5450" t="str">
        <f t="shared" si="170"/>
        <v/>
      </c>
      <c r="K5450" t="str">
        <f t="shared" si="171"/>
        <v/>
      </c>
    </row>
    <row r="5451" spans="7:11" x14ac:dyDescent="0.2">
      <c r="G5451" s="44"/>
      <c r="J5451" t="str">
        <f t="shared" si="170"/>
        <v/>
      </c>
      <c r="K5451" t="str">
        <f t="shared" si="171"/>
        <v/>
      </c>
    </row>
    <row r="5452" spans="7:11" x14ac:dyDescent="0.2">
      <c r="G5452" s="44"/>
      <c r="J5452" t="str">
        <f t="shared" si="170"/>
        <v/>
      </c>
      <c r="K5452" t="str">
        <f t="shared" si="171"/>
        <v/>
      </c>
    </row>
    <row r="5453" spans="7:11" x14ac:dyDescent="0.2">
      <c r="G5453" s="44"/>
      <c r="J5453" t="str">
        <f t="shared" si="170"/>
        <v/>
      </c>
      <c r="K5453" t="str">
        <f t="shared" si="171"/>
        <v/>
      </c>
    </row>
    <row r="5454" spans="7:11" x14ac:dyDescent="0.2">
      <c r="G5454" s="44"/>
      <c r="J5454" t="str">
        <f t="shared" si="170"/>
        <v/>
      </c>
      <c r="K5454" t="str">
        <f t="shared" si="171"/>
        <v/>
      </c>
    </row>
    <row r="5455" spans="7:11" x14ac:dyDescent="0.2">
      <c r="G5455" s="44"/>
      <c r="J5455" t="str">
        <f t="shared" si="170"/>
        <v/>
      </c>
      <c r="K5455" t="str">
        <f t="shared" si="171"/>
        <v/>
      </c>
    </row>
    <row r="5456" spans="7:11" x14ac:dyDescent="0.2">
      <c r="G5456" s="44"/>
      <c r="J5456" t="str">
        <f t="shared" si="170"/>
        <v/>
      </c>
      <c r="K5456" t="str">
        <f t="shared" si="171"/>
        <v/>
      </c>
    </row>
    <row r="5457" spans="7:11" x14ac:dyDescent="0.2">
      <c r="G5457" s="44"/>
      <c r="J5457" t="str">
        <f t="shared" si="170"/>
        <v/>
      </c>
      <c r="K5457" t="str">
        <f t="shared" si="171"/>
        <v/>
      </c>
    </row>
    <row r="5458" spans="7:11" x14ac:dyDescent="0.2">
      <c r="G5458" s="44"/>
      <c r="J5458" t="str">
        <f t="shared" si="170"/>
        <v/>
      </c>
      <c r="K5458" t="str">
        <f t="shared" si="171"/>
        <v/>
      </c>
    </row>
    <row r="5459" spans="7:11" x14ac:dyDescent="0.2">
      <c r="G5459" s="44"/>
      <c r="J5459" t="str">
        <f t="shared" si="170"/>
        <v/>
      </c>
      <c r="K5459" t="str">
        <f t="shared" si="171"/>
        <v/>
      </c>
    </row>
    <row r="5460" spans="7:11" x14ac:dyDescent="0.2">
      <c r="G5460" s="44"/>
      <c r="J5460" t="str">
        <f t="shared" si="170"/>
        <v/>
      </c>
      <c r="K5460" t="str">
        <f t="shared" si="171"/>
        <v/>
      </c>
    </row>
    <row r="5461" spans="7:11" x14ac:dyDescent="0.2">
      <c r="G5461" s="44"/>
      <c r="J5461" t="str">
        <f t="shared" si="170"/>
        <v/>
      </c>
      <c r="K5461" t="str">
        <f t="shared" si="171"/>
        <v/>
      </c>
    </row>
    <row r="5462" spans="7:11" x14ac:dyDescent="0.2">
      <c r="G5462" s="44"/>
      <c r="J5462" t="str">
        <f t="shared" si="170"/>
        <v/>
      </c>
      <c r="K5462" t="str">
        <f t="shared" si="171"/>
        <v/>
      </c>
    </row>
    <row r="5463" spans="7:11" x14ac:dyDescent="0.2">
      <c r="G5463" s="44"/>
      <c r="J5463" t="str">
        <f t="shared" si="170"/>
        <v/>
      </c>
      <c r="K5463" t="str">
        <f t="shared" si="171"/>
        <v/>
      </c>
    </row>
    <row r="5464" spans="7:11" x14ac:dyDescent="0.2">
      <c r="G5464" s="44"/>
      <c r="J5464" t="str">
        <f t="shared" si="170"/>
        <v/>
      </c>
      <c r="K5464" t="str">
        <f t="shared" si="171"/>
        <v/>
      </c>
    </row>
    <row r="5465" spans="7:11" x14ac:dyDescent="0.2">
      <c r="G5465" s="44"/>
      <c r="J5465" t="str">
        <f t="shared" si="170"/>
        <v/>
      </c>
      <c r="K5465" t="str">
        <f t="shared" si="171"/>
        <v/>
      </c>
    </row>
    <row r="5466" spans="7:11" x14ac:dyDescent="0.2">
      <c r="G5466" s="44"/>
      <c r="J5466" t="str">
        <f t="shared" si="170"/>
        <v/>
      </c>
      <c r="K5466" t="str">
        <f t="shared" si="171"/>
        <v/>
      </c>
    </row>
    <row r="5467" spans="7:11" x14ac:dyDescent="0.2">
      <c r="G5467" s="44"/>
      <c r="J5467" t="str">
        <f t="shared" si="170"/>
        <v/>
      </c>
      <c r="K5467" t="str">
        <f t="shared" si="171"/>
        <v/>
      </c>
    </row>
    <row r="5468" spans="7:11" x14ac:dyDescent="0.2">
      <c r="G5468" s="44"/>
      <c r="J5468" t="str">
        <f t="shared" si="170"/>
        <v/>
      </c>
      <c r="K5468" t="str">
        <f t="shared" si="171"/>
        <v/>
      </c>
    </row>
    <row r="5469" spans="7:11" x14ac:dyDescent="0.2">
      <c r="G5469" s="44"/>
      <c r="J5469" t="str">
        <f t="shared" si="170"/>
        <v/>
      </c>
      <c r="K5469" t="str">
        <f t="shared" si="171"/>
        <v/>
      </c>
    </row>
    <row r="5470" spans="7:11" x14ac:dyDescent="0.2">
      <c r="G5470" s="44"/>
      <c r="J5470" t="str">
        <f t="shared" si="170"/>
        <v/>
      </c>
      <c r="K5470" t="str">
        <f t="shared" si="171"/>
        <v/>
      </c>
    </row>
    <row r="5471" spans="7:11" x14ac:dyDescent="0.2">
      <c r="G5471" s="44"/>
      <c r="J5471" t="str">
        <f t="shared" si="170"/>
        <v/>
      </c>
      <c r="K5471" t="str">
        <f t="shared" si="171"/>
        <v/>
      </c>
    </row>
    <row r="5472" spans="7:11" x14ac:dyDescent="0.2">
      <c r="G5472" s="44"/>
      <c r="J5472" t="str">
        <f t="shared" si="170"/>
        <v/>
      </c>
      <c r="K5472" t="str">
        <f t="shared" si="171"/>
        <v/>
      </c>
    </row>
    <row r="5473" spans="7:11" x14ac:dyDescent="0.2">
      <c r="G5473" s="44"/>
      <c r="J5473" t="str">
        <f t="shared" si="170"/>
        <v/>
      </c>
      <c r="K5473" t="str">
        <f t="shared" si="171"/>
        <v/>
      </c>
    </row>
    <row r="5474" spans="7:11" x14ac:dyDescent="0.2">
      <c r="G5474" s="44"/>
      <c r="J5474" t="str">
        <f t="shared" si="170"/>
        <v/>
      </c>
      <c r="K5474" t="str">
        <f t="shared" si="171"/>
        <v/>
      </c>
    </row>
    <row r="5475" spans="7:11" x14ac:dyDescent="0.2">
      <c r="G5475" s="44"/>
      <c r="J5475" t="str">
        <f t="shared" si="170"/>
        <v/>
      </c>
      <c r="K5475" t="str">
        <f t="shared" si="171"/>
        <v/>
      </c>
    </row>
    <row r="5476" spans="7:11" x14ac:dyDescent="0.2">
      <c r="G5476" s="44"/>
      <c r="J5476" t="str">
        <f t="shared" si="170"/>
        <v/>
      </c>
      <c r="K5476" t="str">
        <f t="shared" si="171"/>
        <v/>
      </c>
    </row>
    <row r="5477" spans="7:11" x14ac:dyDescent="0.2">
      <c r="G5477" s="44"/>
      <c r="J5477" t="str">
        <f t="shared" si="170"/>
        <v/>
      </c>
      <c r="K5477" t="str">
        <f t="shared" si="171"/>
        <v/>
      </c>
    </row>
    <row r="5478" spans="7:11" x14ac:dyDescent="0.2">
      <c r="G5478" s="44"/>
      <c r="J5478" t="str">
        <f t="shared" si="170"/>
        <v/>
      </c>
      <c r="K5478" t="str">
        <f t="shared" si="171"/>
        <v/>
      </c>
    </row>
    <row r="5479" spans="7:11" x14ac:dyDescent="0.2">
      <c r="G5479" s="44"/>
      <c r="J5479" t="str">
        <f t="shared" si="170"/>
        <v/>
      </c>
      <c r="K5479" t="str">
        <f t="shared" si="171"/>
        <v/>
      </c>
    </row>
    <row r="5480" spans="7:11" x14ac:dyDescent="0.2">
      <c r="G5480" s="44"/>
      <c r="J5480" t="str">
        <f t="shared" si="170"/>
        <v/>
      </c>
      <c r="K5480" t="str">
        <f t="shared" si="171"/>
        <v/>
      </c>
    </row>
    <row r="5481" spans="7:11" x14ac:dyDescent="0.2">
      <c r="G5481" s="44"/>
      <c r="J5481" t="str">
        <f t="shared" si="170"/>
        <v/>
      </c>
      <c r="K5481" t="str">
        <f t="shared" si="171"/>
        <v/>
      </c>
    </row>
    <row r="5482" spans="7:11" x14ac:dyDescent="0.2">
      <c r="G5482" s="44"/>
      <c r="J5482" t="str">
        <f t="shared" si="170"/>
        <v/>
      </c>
      <c r="K5482" t="str">
        <f t="shared" si="171"/>
        <v/>
      </c>
    </row>
    <row r="5483" spans="7:11" x14ac:dyDescent="0.2">
      <c r="G5483" s="44"/>
      <c r="J5483" t="str">
        <f t="shared" si="170"/>
        <v/>
      </c>
      <c r="K5483" t="str">
        <f t="shared" si="171"/>
        <v/>
      </c>
    </row>
    <row r="5484" spans="7:11" x14ac:dyDescent="0.2">
      <c r="G5484" s="44"/>
      <c r="J5484" t="str">
        <f t="shared" si="170"/>
        <v/>
      </c>
      <c r="K5484" t="str">
        <f t="shared" si="171"/>
        <v/>
      </c>
    </row>
    <row r="5485" spans="7:11" x14ac:dyDescent="0.2">
      <c r="G5485" s="44"/>
      <c r="J5485" t="str">
        <f t="shared" si="170"/>
        <v/>
      </c>
      <c r="K5485" t="str">
        <f t="shared" si="171"/>
        <v/>
      </c>
    </row>
    <row r="5486" spans="7:11" x14ac:dyDescent="0.2">
      <c r="G5486" s="44"/>
      <c r="J5486" t="str">
        <f t="shared" si="170"/>
        <v/>
      </c>
      <c r="K5486" t="str">
        <f t="shared" si="171"/>
        <v/>
      </c>
    </row>
    <row r="5487" spans="7:11" x14ac:dyDescent="0.2">
      <c r="G5487" s="44"/>
      <c r="J5487" t="str">
        <f t="shared" si="170"/>
        <v/>
      </c>
      <c r="K5487" t="str">
        <f t="shared" si="171"/>
        <v/>
      </c>
    </row>
    <row r="5488" spans="7:11" x14ac:dyDescent="0.2">
      <c r="G5488" s="44"/>
      <c r="J5488" t="str">
        <f t="shared" si="170"/>
        <v/>
      </c>
      <c r="K5488" t="str">
        <f t="shared" si="171"/>
        <v/>
      </c>
    </row>
    <row r="5489" spans="7:11" x14ac:dyDescent="0.2">
      <c r="G5489" s="44"/>
      <c r="J5489" t="str">
        <f t="shared" si="170"/>
        <v/>
      </c>
      <c r="K5489" t="str">
        <f t="shared" si="171"/>
        <v/>
      </c>
    </row>
    <row r="5490" spans="7:11" x14ac:dyDescent="0.2">
      <c r="G5490" s="44"/>
      <c r="J5490" t="str">
        <f t="shared" si="170"/>
        <v/>
      </c>
      <c r="K5490" t="str">
        <f t="shared" si="171"/>
        <v/>
      </c>
    </row>
    <row r="5491" spans="7:11" x14ac:dyDescent="0.2">
      <c r="G5491" s="44"/>
      <c r="J5491" t="str">
        <f t="shared" si="170"/>
        <v/>
      </c>
      <c r="K5491" t="str">
        <f t="shared" si="171"/>
        <v/>
      </c>
    </row>
    <row r="5492" spans="7:11" x14ac:dyDescent="0.2">
      <c r="G5492" s="44"/>
      <c r="J5492" t="str">
        <f t="shared" si="170"/>
        <v/>
      </c>
      <c r="K5492" t="str">
        <f t="shared" si="171"/>
        <v/>
      </c>
    </row>
    <row r="5493" spans="7:11" x14ac:dyDescent="0.2">
      <c r="G5493" s="44"/>
      <c r="J5493" t="str">
        <f t="shared" si="170"/>
        <v/>
      </c>
      <c r="K5493" t="str">
        <f t="shared" si="171"/>
        <v/>
      </c>
    </row>
    <row r="5494" spans="7:11" x14ac:dyDescent="0.2">
      <c r="G5494" s="44"/>
      <c r="J5494" t="str">
        <f t="shared" si="170"/>
        <v/>
      </c>
      <c r="K5494" t="str">
        <f t="shared" si="171"/>
        <v/>
      </c>
    </row>
    <row r="5495" spans="7:11" x14ac:dyDescent="0.2">
      <c r="G5495" s="44"/>
      <c r="J5495" t="str">
        <f t="shared" si="170"/>
        <v/>
      </c>
      <c r="K5495" t="str">
        <f t="shared" si="171"/>
        <v/>
      </c>
    </row>
    <row r="5496" spans="7:11" x14ac:dyDescent="0.2">
      <c r="G5496" s="44"/>
      <c r="J5496" t="str">
        <f t="shared" si="170"/>
        <v/>
      </c>
      <c r="K5496" t="str">
        <f t="shared" si="171"/>
        <v/>
      </c>
    </row>
    <row r="5497" spans="7:11" x14ac:dyDescent="0.2">
      <c r="G5497" s="44"/>
      <c r="J5497" t="str">
        <f t="shared" si="170"/>
        <v/>
      </c>
      <c r="K5497" t="str">
        <f t="shared" si="171"/>
        <v/>
      </c>
    </row>
    <row r="5498" spans="7:11" x14ac:dyDescent="0.2">
      <c r="G5498" s="44"/>
      <c r="J5498" t="str">
        <f t="shared" si="170"/>
        <v/>
      </c>
      <c r="K5498" t="str">
        <f t="shared" si="171"/>
        <v/>
      </c>
    </row>
    <row r="5499" spans="7:11" x14ac:dyDescent="0.2">
      <c r="G5499" s="44"/>
      <c r="J5499" t="str">
        <f t="shared" si="170"/>
        <v/>
      </c>
      <c r="K5499" t="str">
        <f t="shared" si="171"/>
        <v/>
      </c>
    </row>
    <row r="5500" spans="7:11" x14ac:dyDescent="0.2">
      <c r="G5500" s="44"/>
      <c r="J5500" t="str">
        <f t="shared" si="170"/>
        <v/>
      </c>
      <c r="K5500" t="str">
        <f t="shared" si="171"/>
        <v/>
      </c>
    </row>
    <row r="5501" spans="7:11" x14ac:dyDescent="0.2">
      <c r="G5501" s="44"/>
      <c r="J5501" t="str">
        <f t="shared" si="170"/>
        <v/>
      </c>
      <c r="K5501" t="str">
        <f t="shared" si="171"/>
        <v/>
      </c>
    </row>
    <row r="5502" spans="7:11" x14ac:dyDescent="0.2">
      <c r="G5502" s="44"/>
      <c r="J5502" t="str">
        <f t="shared" si="170"/>
        <v/>
      </c>
      <c r="K5502" t="str">
        <f t="shared" si="171"/>
        <v/>
      </c>
    </row>
    <row r="5503" spans="7:11" x14ac:dyDescent="0.2">
      <c r="G5503" s="44"/>
      <c r="J5503" t="str">
        <f t="shared" si="170"/>
        <v/>
      </c>
      <c r="K5503" t="str">
        <f t="shared" si="171"/>
        <v/>
      </c>
    </row>
    <row r="5504" spans="7:11" x14ac:dyDescent="0.2">
      <c r="G5504" s="44"/>
      <c r="J5504" t="str">
        <f t="shared" si="170"/>
        <v/>
      </c>
      <c r="K5504" t="str">
        <f t="shared" si="171"/>
        <v/>
      </c>
    </row>
    <row r="5505" spans="7:11" x14ac:dyDescent="0.2">
      <c r="G5505" s="44"/>
      <c r="J5505" t="str">
        <f t="shared" si="170"/>
        <v/>
      </c>
      <c r="K5505" t="str">
        <f t="shared" si="171"/>
        <v/>
      </c>
    </row>
    <row r="5506" spans="7:11" x14ac:dyDescent="0.2">
      <c r="G5506" s="44"/>
      <c r="J5506" t="str">
        <f t="shared" ref="J5506:J5569" si="172">IF(E5506="","",IF(OR(E5506=50,E5506=51),"Iltindhold",IF(E5506=75,"Carbon,org,NVOC",IF(OR(E5506=343,E5506=1167),"Svovlbrinte",IF(OR(E5506=240,E5506=241,E5506=242),"Amm",IF(E5506=244,"Nitrit",IF(E5506=247,"Nitrat",IF(E5506=334,"Sulfat",IF(E5506=262,"Phosphor, total-P",F5506)))))))))</f>
        <v/>
      </c>
      <c r="K5506" t="str">
        <f t="shared" ref="K5506:K5569" si="173">IF(A5506="","",IF(H5506="!",NA(),IF(H5506="A",I5506*0.5,IF(H5506="&lt;",I5506*0.5,I5506))))</f>
        <v/>
      </c>
    </row>
    <row r="5507" spans="7:11" x14ac:dyDescent="0.2">
      <c r="G5507" s="44"/>
      <c r="J5507" t="str">
        <f t="shared" si="172"/>
        <v/>
      </c>
      <c r="K5507" t="str">
        <f t="shared" si="173"/>
        <v/>
      </c>
    </row>
    <row r="5508" spans="7:11" x14ac:dyDescent="0.2">
      <c r="G5508" s="44"/>
      <c r="J5508" t="str">
        <f t="shared" si="172"/>
        <v/>
      </c>
      <c r="K5508" t="str">
        <f t="shared" si="173"/>
        <v/>
      </c>
    </row>
    <row r="5509" spans="7:11" x14ac:dyDescent="0.2">
      <c r="G5509" s="44"/>
      <c r="J5509" t="str">
        <f t="shared" si="172"/>
        <v/>
      </c>
      <c r="K5509" t="str">
        <f t="shared" si="173"/>
        <v/>
      </c>
    </row>
    <row r="5510" spans="7:11" x14ac:dyDescent="0.2">
      <c r="G5510" s="44"/>
      <c r="J5510" t="str">
        <f t="shared" si="172"/>
        <v/>
      </c>
      <c r="K5510" t="str">
        <f t="shared" si="173"/>
        <v/>
      </c>
    </row>
    <row r="5511" spans="7:11" x14ac:dyDescent="0.2">
      <c r="G5511" s="44"/>
      <c r="J5511" t="str">
        <f t="shared" si="172"/>
        <v/>
      </c>
      <c r="K5511" t="str">
        <f t="shared" si="173"/>
        <v/>
      </c>
    </row>
    <row r="5512" spans="7:11" x14ac:dyDescent="0.2">
      <c r="G5512" s="44"/>
      <c r="J5512" t="str">
        <f t="shared" si="172"/>
        <v/>
      </c>
      <c r="K5512" t="str">
        <f t="shared" si="173"/>
        <v/>
      </c>
    </row>
    <row r="5513" spans="7:11" x14ac:dyDescent="0.2">
      <c r="G5513" s="44"/>
      <c r="J5513" t="str">
        <f t="shared" si="172"/>
        <v/>
      </c>
      <c r="K5513" t="str">
        <f t="shared" si="173"/>
        <v/>
      </c>
    </row>
    <row r="5514" spans="7:11" x14ac:dyDescent="0.2">
      <c r="G5514" s="44"/>
      <c r="J5514" t="str">
        <f t="shared" si="172"/>
        <v/>
      </c>
      <c r="K5514" t="str">
        <f t="shared" si="173"/>
        <v/>
      </c>
    </row>
    <row r="5515" spans="7:11" x14ac:dyDescent="0.2">
      <c r="G5515" s="44"/>
      <c r="J5515" t="str">
        <f t="shared" si="172"/>
        <v/>
      </c>
      <c r="K5515" t="str">
        <f t="shared" si="173"/>
        <v/>
      </c>
    </row>
    <row r="5516" spans="7:11" x14ac:dyDescent="0.2">
      <c r="G5516" s="44"/>
      <c r="J5516" t="str">
        <f t="shared" si="172"/>
        <v/>
      </c>
      <c r="K5516" t="str">
        <f t="shared" si="173"/>
        <v/>
      </c>
    </row>
    <row r="5517" spans="7:11" x14ac:dyDescent="0.2">
      <c r="G5517" s="44"/>
      <c r="J5517" t="str">
        <f t="shared" si="172"/>
        <v/>
      </c>
      <c r="K5517" t="str">
        <f t="shared" si="173"/>
        <v/>
      </c>
    </row>
    <row r="5518" spans="7:11" x14ac:dyDescent="0.2">
      <c r="G5518" s="44"/>
      <c r="J5518" t="str">
        <f t="shared" si="172"/>
        <v/>
      </c>
      <c r="K5518" t="str">
        <f t="shared" si="173"/>
        <v/>
      </c>
    </row>
    <row r="5519" spans="7:11" x14ac:dyDescent="0.2">
      <c r="G5519" s="44"/>
      <c r="J5519" t="str">
        <f t="shared" si="172"/>
        <v/>
      </c>
      <c r="K5519" t="str">
        <f t="shared" si="173"/>
        <v/>
      </c>
    </row>
    <row r="5520" spans="7:11" x14ac:dyDescent="0.2">
      <c r="G5520" s="44"/>
      <c r="J5520" t="str">
        <f t="shared" si="172"/>
        <v/>
      </c>
      <c r="K5520" t="str">
        <f t="shared" si="173"/>
        <v/>
      </c>
    </row>
    <row r="5521" spans="7:11" x14ac:dyDescent="0.2">
      <c r="G5521" s="44"/>
      <c r="J5521" t="str">
        <f t="shared" si="172"/>
        <v/>
      </c>
      <c r="K5521" t="str">
        <f t="shared" si="173"/>
        <v/>
      </c>
    </row>
    <row r="5522" spans="7:11" x14ac:dyDescent="0.2">
      <c r="G5522" s="44"/>
      <c r="J5522" t="str">
        <f t="shared" si="172"/>
        <v/>
      </c>
      <c r="K5522" t="str">
        <f t="shared" si="173"/>
        <v/>
      </c>
    </row>
    <row r="5523" spans="7:11" x14ac:dyDescent="0.2">
      <c r="G5523" s="44"/>
      <c r="J5523" t="str">
        <f t="shared" si="172"/>
        <v/>
      </c>
      <c r="K5523" t="str">
        <f t="shared" si="173"/>
        <v/>
      </c>
    </row>
    <row r="5524" spans="7:11" x14ac:dyDescent="0.2">
      <c r="G5524" s="44"/>
      <c r="J5524" t="str">
        <f t="shared" si="172"/>
        <v/>
      </c>
      <c r="K5524" t="str">
        <f t="shared" si="173"/>
        <v/>
      </c>
    </row>
    <row r="5525" spans="7:11" x14ac:dyDescent="0.2">
      <c r="G5525" s="44"/>
      <c r="J5525" t="str">
        <f t="shared" si="172"/>
        <v/>
      </c>
      <c r="K5525" t="str">
        <f t="shared" si="173"/>
        <v/>
      </c>
    </row>
    <row r="5526" spans="7:11" x14ac:dyDescent="0.2">
      <c r="G5526" s="44"/>
      <c r="J5526" t="str">
        <f t="shared" si="172"/>
        <v/>
      </c>
      <c r="K5526" t="str">
        <f t="shared" si="173"/>
        <v/>
      </c>
    </row>
    <row r="5527" spans="7:11" x14ac:dyDescent="0.2">
      <c r="G5527" s="44"/>
      <c r="J5527" t="str">
        <f t="shared" si="172"/>
        <v/>
      </c>
      <c r="K5527" t="str">
        <f t="shared" si="173"/>
        <v/>
      </c>
    </row>
    <row r="5528" spans="7:11" x14ac:dyDescent="0.2">
      <c r="G5528" s="44"/>
      <c r="J5528" t="str">
        <f t="shared" si="172"/>
        <v/>
      </c>
      <c r="K5528" t="str">
        <f t="shared" si="173"/>
        <v/>
      </c>
    </row>
    <row r="5529" spans="7:11" x14ac:dyDescent="0.2">
      <c r="G5529" s="44"/>
      <c r="J5529" t="str">
        <f t="shared" si="172"/>
        <v/>
      </c>
      <c r="K5529" t="str">
        <f t="shared" si="173"/>
        <v/>
      </c>
    </row>
    <row r="5530" spans="7:11" x14ac:dyDescent="0.2">
      <c r="G5530" s="44"/>
      <c r="J5530" t="str">
        <f t="shared" si="172"/>
        <v/>
      </c>
      <c r="K5530" t="str">
        <f t="shared" si="173"/>
        <v/>
      </c>
    </row>
    <row r="5531" spans="7:11" x14ac:dyDescent="0.2">
      <c r="G5531" s="44"/>
      <c r="J5531" t="str">
        <f t="shared" si="172"/>
        <v/>
      </c>
      <c r="K5531" t="str">
        <f t="shared" si="173"/>
        <v/>
      </c>
    </row>
    <row r="5532" spans="7:11" x14ac:dyDescent="0.2">
      <c r="G5532" s="44"/>
      <c r="J5532" t="str">
        <f t="shared" si="172"/>
        <v/>
      </c>
      <c r="K5532" t="str">
        <f t="shared" si="173"/>
        <v/>
      </c>
    </row>
    <row r="5533" spans="7:11" x14ac:dyDescent="0.2">
      <c r="G5533" s="44"/>
      <c r="J5533" t="str">
        <f t="shared" si="172"/>
        <v/>
      </c>
      <c r="K5533" t="str">
        <f t="shared" si="173"/>
        <v/>
      </c>
    </row>
    <row r="5534" spans="7:11" x14ac:dyDescent="0.2">
      <c r="G5534" s="44"/>
      <c r="J5534" t="str">
        <f t="shared" si="172"/>
        <v/>
      </c>
      <c r="K5534" t="str">
        <f t="shared" si="173"/>
        <v/>
      </c>
    </row>
    <row r="5535" spans="7:11" x14ac:dyDescent="0.2">
      <c r="G5535" s="44"/>
      <c r="J5535" t="str">
        <f t="shared" si="172"/>
        <v/>
      </c>
      <c r="K5535" t="str">
        <f t="shared" si="173"/>
        <v/>
      </c>
    </row>
    <row r="5536" spans="7:11" x14ac:dyDescent="0.2">
      <c r="G5536" s="44"/>
      <c r="J5536" t="str">
        <f t="shared" si="172"/>
        <v/>
      </c>
      <c r="K5536" t="str">
        <f t="shared" si="173"/>
        <v/>
      </c>
    </row>
    <row r="5537" spans="7:11" x14ac:dyDescent="0.2">
      <c r="G5537" s="44"/>
      <c r="J5537" t="str">
        <f t="shared" si="172"/>
        <v/>
      </c>
      <c r="K5537" t="str">
        <f t="shared" si="173"/>
        <v/>
      </c>
    </row>
    <row r="5538" spans="7:11" x14ac:dyDescent="0.2">
      <c r="G5538" s="44"/>
      <c r="J5538" t="str">
        <f t="shared" si="172"/>
        <v/>
      </c>
      <c r="K5538" t="str">
        <f t="shared" si="173"/>
        <v/>
      </c>
    </row>
    <row r="5539" spans="7:11" x14ac:dyDescent="0.2">
      <c r="G5539" s="44"/>
      <c r="J5539" t="str">
        <f t="shared" si="172"/>
        <v/>
      </c>
      <c r="K5539" t="str">
        <f t="shared" si="173"/>
        <v/>
      </c>
    </row>
    <row r="5540" spans="7:11" x14ac:dyDescent="0.2">
      <c r="G5540" s="44"/>
      <c r="J5540" t="str">
        <f t="shared" si="172"/>
        <v/>
      </c>
      <c r="K5540" t="str">
        <f t="shared" si="173"/>
        <v/>
      </c>
    </row>
    <row r="5541" spans="7:11" x14ac:dyDescent="0.2">
      <c r="G5541" s="44"/>
      <c r="J5541" t="str">
        <f t="shared" si="172"/>
        <v/>
      </c>
      <c r="K5541" t="str">
        <f t="shared" si="173"/>
        <v/>
      </c>
    </row>
    <row r="5542" spans="7:11" x14ac:dyDescent="0.2">
      <c r="G5542" s="44"/>
      <c r="J5542" t="str">
        <f t="shared" si="172"/>
        <v/>
      </c>
      <c r="K5542" t="str">
        <f t="shared" si="173"/>
        <v/>
      </c>
    </row>
    <row r="5543" spans="7:11" x14ac:dyDescent="0.2">
      <c r="G5543" s="44"/>
      <c r="J5543" t="str">
        <f t="shared" si="172"/>
        <v/>
      </c>
      <c r="K5543" t="str">
        <f t="shared" si="173"/>
        <v/>
      </c>
    </row>
    <row r="5544" spans="7:11" x14ac:dyDescent="0.2">
      <c r="G5544" s="44"/>
      <c r="J5544" t="str">
        <f t="shared" si="172"/>
        <v/>
      </c>
      <c r="K5544" t="str">
        <f t="shared" si="173"/>
        <v/>
      </c>
    </row>
    <row r="5545" spans="7:11" x14ac:dyDescent="0.2">
      <c r="G5545" s="44"/>
      <c r="J5545" t="str">
        <f t="shared" si="172"/>
        <v/>
      </c>
      <c r="K5545" t="str">
        <f t="shared" si="173"/>
        <v/>
      </c>
    </row>
    <row r="5546" spans="7:11" x14ac:dyDescent="0.2">
      <c r="G5546" s="44"/>
      <c r="J5546" t="str">
        <f t="shared" si="172"/>
        <v/>
      </c>
      <c r="K5546" t="str">
        <f t="shared" si="173"/>
        <v/>
      </c>
    </row>
    <row r="5547" spans="7:11" x14ac:dyDescent="0.2">
      <c r="G5547" s="44"/>
      <c r="J5547" t="str">
        <f t="shared" si="172"/>
        <v/>
      </c>
      <c r="K5547" t="str">
        <f t="shared" si="173"/>
        <v/>
      </c>
    </row>
    <row r="5548" spans="7:11" x14ac:dyDescent="0.2">
      <c r="G5548" s="44"/>
      <c r="J5548" t="str">
        <f t="shared" si="172"/>
        <v/>
      </c>
      <c r="K5548" t="str">
        <f t="shared" si="173"/>
        <v/>
      </c>
    </row>
    <row r="5549" spans="7:11" x14ac:dyDescent="0.2">
      <c r="G5549" s="44"/>
      <c r="J5549" t="str">
        <f t="shared" si="172"/>
        <v/>
      </c>
      <c r="K5549" t="str">
        <f t="shared" si="173"/>
        <v/>
      </c>
    </row>
    <row r="5550" spans="7:11" x14ac:dyDescent="0.2">
      <c r="G5550" s="44"/>
      <c r="J5550" t="str">
        <f t="shared" si="172"/>
        <v/>
      </c>
      <c r="K5550" t="str">
        <f t="shared" si="173"/>
        <v/>
      </c>
    </row>
    <row r="5551" spans="7:11" x14ac:dyDescent="0.2">
      <c r="G5551" s="44"/>
      <c r="J5551" t="str">
        <f t="shared" si="172"/>
        <v/>
      </c>
      <c r="K5551" t="str">
        <f t="shared" si="173"/>
        <v/>
      </c>
    </row>
    <row r="5552" spans="7:11" x14ac:dyDescent="0.2">
      <c r="G5552" s="44"/>
      <c r="J5552" t="str">
        <f t="shared" si="172"/>
        <v/>
      </c>
      <c r="K5552" t="str">
        <f t="shared" si="173"/>
        <v/>
      </c>
    </row>
    <row r="5553" spans="7:11" x14ac:dyDescent="0.2">
      <c r="G5553" s="44"/>
      <c r="J5553" t="str">
        <f t="shared" si="172"/>
        <v/>
      </c>
      <c r="K5553" t="str">
        <f t="shared" si="173"/>
        <v/>
      </c>
    </row>
    <row r="5554" spans="7:11" x14ac:dyDescent="0.2">
      <c r="G5554" s="44"/>
      <c r="J5554" t="str">
        <f t="shared" si="172"/>
        <v/>
      </c>
      <c r="K5554" t="str">
        <f t="shared" si="173"/>
        <v/>
      </c>
    </row>
    <row r="5555" spans="7:11" x14ac:dyDescent="0.2">
      <c r="G5555" s="44"/>
      <c r="J5555" t="str">
        <f t="shared" si="172"/>
        <v/>
      </c>
      <c r="K5555" t="str">
        <f t="shared" si="173"/>
        <v/>
      </c>
    </row>
    <row r="5556" spans="7:11" x14ac:dyDescent="0.2">
      <c r="G5556" s="44"/>
      <c r="J5556" t="str">
        <f t="shared" si="172"/>
        <v/>
      </c>
      <c r="K5556" t="str">
        <f t="shared" si="173"/>
        <v/>
      </c>
    </row>
    <row r="5557" spans="7:11" x14ac:dyDescent="0.2">
      <c r="G5557" s="44"/>
      <c r="J5557" t="str">
        <f t="shared" si="172"/>
        <v/>
      </c>
      <c r="K5557" t="str">
        <f t="shared" si="173"/>
        <v/>
      </c>
    </row>
    <row r="5558" spans="7:11" x14ac:dyDescent="0.2">
      <c r="G5558" s="44"/>
      <c r="J5558" t="str">
        <f t="shared" si="172"/>
        <v/>
      </c>
      <c r="K5558" t="str">
        <f t="shared" si="173"/>
        <v/>
      </c>
    </row>
    <row r="5559" spans="7:11" x14ac:dyDescent="0.2">
      <c r="G5559" s="44"/>
      <c r="J5559" t="str">
        <f t="shared" si="172"/>
        <v/>
      </c>
      <c r="K5559" t="str">
        <f t="shared" si="173"/>
        <v/>
      </c>
    </row>
    <row r="5560" spans="7:11" x14ac:dyDescent="0.2">
      <c r="G5560" s="44"/>
      <c r="J5560" t="str">
        <f t="shared" si="172"/>
        <v/>
      </c>
      <c r="K5560" t="str">
        <f t="shared" si="173"/>
        <v/>
      </c>
    </row>
    <row r="5561" spans="7:11" x14ac:dyDescent="0.2">
      <c r="G5561" s="44"/>
      <c r="J5561" t="str">
        <f t="shared" si="172"/>
        <v/>
      </c>
      <c r="K5561" t="str">
        <f t="shared" si="173"/>
        <v/>
      </c>
    </row>
    <row r="5562" spans="7:11" x14ac:dyDescent="0.2">
      <c r="G5562" s="44"/>
      <c r="J5562" t="str">
        <f t="shared" si="172"/>
        <v/>
      </c>
      <c r="K5562" t="str">
        <f t="shared" si="173"/>
        <v/>
      </c>
    </row>
    <row r="5563" spans="7:11" x14ac:dyDescent="0.2">
      <c r="G5563" s="44"/>
      <c r="J5563" t="str">
        <f t="shared" si="172"/>
        <v/>
      </c>
      <c r="K5563" t="str">
        <f t="shared" si="173"/>
        <v/>
      </c>
    </row>
    <row r="5564" spans="7:11" x14ac:dyDescent="0.2">
      <c r="G5564" s="44"/>
      <c r="J5564" t="str">
        <f t="shared" si="172"/>
        <v/>
      </c>
      <c r="K5564" t="str">
        <f t="shared" si="173"/>
        <v/>
      </c>
    </row>
    <row r="5565" spans="7:11" x14ac:dyDescent="0.2">
      <c r="G5565" s="44"/>
      <c r="J5565" t="str">
        <f t="shared" si="172"/>
        <v/>
      </c>
      <c r="K5565" t="str">
        <f t="shared" si="173"/>
        <v/>
      </c>
    </row>
    <row r="5566" spans="7:11" x14ac:dyDescent="0.2">
      <c r="G5566" s="44"/>
      <c r="J5566" t="str">
        <f t="shared" si="172"/>
        <v/>
      </c>
      <c r="K5566" t="str">
        <f t="shared" si="173"/>
        <v/>
      </c>
    </row>
    <row r="5567" spans="7:11" x14ac:dyDescent="0.2">
      <c r="G5567" s="44"/>
      <c r="J5567" t="str">
        <f t="shared" si="172"/>
        <v/>
      </c>
      <c r="K5567" t="str">
        <f t="shared" si="173"/>
        <v/>
      </c>
    </row>
    <row r="5568" spans="7:11" x14ac:dyDescent="0.2">
      <c r="G5568" s="44"/>
      <c r="J5568" t="str">
        <f t="shared" si="172"/>
        <v/>
      </c>
      <c r="K5568" t="str">
        <f t="shared" si="173"/>
        <v/>
      </c>
    </row>
    <row r="5569" spans="7:11" x14ac:dyDescent="0.2">
      <c r="G5569" s="44"/>
      <c r="J5569" t="str">
        <f t="shared" si="172"/>
        <v/>
      </c>
      <c r="K5569" t="str">
        <f t="shared" si="173"/>
        <v/>
      </c>
    </row>
    <row r="5570" spans="7:11" x14ac:dyDescent="0.2">
      <c r="G5570" s="44"/>
      <c r="J5570" t="str">
        <f t="shared" ref="J5570:J5633" si="174">IF(E5570="","",IF(OR(E5570=50,E5570=51),"Iltindhold",IF(E5570=75,"Carbon,org,NVOC",IF(OR(E5570=343,E5570=1167),"Svovlbrinte",IF(OR(E5570=240,E5570=241,E5570=242),"Amm",IF(E5570=244,"Nitrit",IF(E5570=247,"Nitrat",IF(E5570=334,"Sulfat",IF(E5570=262,"Phosphor, total-P",F5570)))))))))</f>
        <v/>
      </c>
      <c r="K5570" t="str">
        <f t="shared" ref="K5570:K5633" si="175">IF(A5570="","",IF(H5570="!",NA(),IF(H5570="A",I5570*0.5,IF(H5570="&lt;",I5570*0.5,I5570))))</f>
        <v/>
      </c>
    </row>
    <row r="5571" spans="7:11" x14ac:dyDescent="0.2">
      <c r="G5571" s="44"/>
      <c r="J5571" t="str">
        <f t="shared" si="174"/>
        <v/>
      </c>
      <c r="K5571" t="str">
        <f t="shared" si="175"/>
        <v/>
      </c>
    </row>
    <row r="5572" spans="7:11" x14ac:dyDescent="0.2">
      <c r="G5572" s="44"/>
      <c r="J5572" t="str">
        <f t="shared" si="174"/>
        <v/>
      </c>
      <c r="K5572" t="str">
        <f t="shared" si="175"/>
        <v/>
      </c>
    </row>
    <row r="5573" spans="7:11" x14ac:dyDescent="0.2">
      <c r="G5573" s="44"/>
      <c r="J5573" t="str">
        <f t="shared" si="174"/>
        <v/>
      </c>
      <c r="K5573" t="str">
        <f t="shared" si="175"/>
        <v/>
      </c>
    </row>
    <row r="5574" spans="7:11" x14ac:dyDescent="0.2">
      <c r="G5574" s="44"/>
      <c r="J5574" t="str">
        <f t="shared" si="174"/>
        <v/>
      </c>
      <c r="K5574" t="str">
        <f t="shared" si="175"/>
        <v/>
      </c>
    </row>
    <row r="5575" spans="7:11" x14ac:dyDescent="0.2">
      <c r="G5575" s="44"/>
      <c r="J5575" t="str">
        <f t="shared" si="174"/>
        <v/>
      </c>
      <c r="K5575" t="str">
        <f t="shared" si="175"/>
        <v/>
      </c>
    </row>
    <row r="5576" spans="7:11" x14ac:dyDescent="0.2">
      <c r="G5576" s="44"/>
      <c r="J5576" t="str">
        <f t="shared" si="174"/>
        <v/>
      </c>
      <c r="K5576" t="str">
        <f t="shared" si="175"/>
        <v/>
      </c>
    </row>
    <row r="5577" spans="7:11" x14ac:dyDescent="0.2">
      <c r="G5577" s="44"/>
      <c r="J5577" t="str">
        <f t="shared" si="174"/>
        <v/>
      </c>
      <c r="K5577" t="str">
        <f t="shared" si="175"/>
        <v/>
      </c>
    </row>
    <row r="5578" spans="7:11" x14ac:dyDescent="0.2">
      <c r="G5578" s="44"/>
      <c r="J5578" t="str">
        <f t="shared" si="174"/>
        <v/>
      </c>
      <c r="K5578" t="str">
        <f t="shared" si="175"/>
        <v/>
      </c>
    </row>
    <row r="5579" spans="7:11" x14ac:dyDescent="0.2">
      <c r="G5579" s="44"/>
      <c r="J5579" t="str">
        <f t="shared" si="174"/>
        <v/>
      </c>
      <c r="K5579" t="str">
        <f t="shared" si="175"/>
        <v/>
      </c>
    </row>
    <row r="5580" spans="7:11" x14ac:dyDescent="0.2">
      <c r="G5580" s="44"/>
      <c r="J5580" t="str">
        <f t="shared" si="174"/>
        <v/>
      </c>
      <c r="K5580" t="str">
        <f t="shared" si="175"/>
        <v/>
      </c>
    </row>
    <row r="5581" spans="7:11" x14ac:dyDescent="0.2">
      <c r="G5581" s="44"/>
      <c r="J5581" t="str">
        <f t="shared" si="174"/>
        <v/>
      </c>
      <c r="K5581" t="str">
        <f t="shared" si="175"/>
        <v/>
      </c>
    </row>
    <row r="5582" spans="7:11" x14ac:dyDescent="0.2">
      <c r="G5582" s="44"/>
      <c r="J5582" t="str">
        <f t="shared" si="174"/>
        <v/>
      </c>
      <c r="K5582" t="str">
        <f t="shared" si="175"/>
        <v/>
      </c>
    </row>
    <row r="5583" spans="7:11" x14ac:dyDescent="0.2">
      <c r="G5583" s="44"/>
      <c r="J5583" t="str">
        <f t="shared" si="174"/>
        <v/>
      </c>
      <c r="K5583" t="str">
        <f t="shared" si="175"/>
        <v/>
      </c>
    </row>
    <row r="5584" spans="7:11" x14ac:dyDescent="0.2">
      <c r="G5584" s="44"/>
      <c r="J5584" t="str">
        <f t="shared" si="174"/>
        <v/>
      </c>
      <c r="K5584" t="str">
        <f t="shared" si="175"/>
        <v/>
      </c>
    </row>
    <row r="5585" spans="7:11" x14ac:dyDescent="0.2">
      <c r="G5585" s="44"/>
      <c r="J5585" t="str">
        <f t="shared" si="174"/>
        <v/>
      </c>
      <c r="K5585" t="str">
        <f t="shared" si="175"/>
        <v/>
      </c>
    </row>
    <row r="5586" spans="7:11" x14ac:dyDescent="0.2">
      <c r="G5586" s="44"/>
      <c r="J5586" t="str">
        <f t="shared" si="174"/>
        <v/>
      </c>
      <c r="K5586" t="str">
        <f t="shared" si="175"/>
        <v/>
      </c>
    </row>
    <row r="5587" spans="7:11" x14ac:dyDescent="0.2">
      <c r="G5587" s="44"/>
      <c r="J5587" t="str">
        <f t="shared" si="174"/>
        <v/>
      </c>
      <c r="K5587" t="str">
        <f t="shared" si="175"/>
        <v/>
      </c>
    </row>
    <row r="5588" spans="7:11" x14ac:dyDescent="0.2">
      <c r="G5588" s="44"/>
      <c r="J5588" t="str">
        <f t="shared" si="174"/>
        <v/>
      </c>
      <c r="K5588" t="str">
        <f t="shared" si="175"/>
        <v/>
      </c>
    </row>
    <row r="5589" spans="7:11" x14ac:dyDescent="0.2">
      <c r="G5589" s="44"/>
      <c r="J5589" t="str">
        <f t="shared" si="174"/>
        <v/>
      </c>
      <c r="K5589" t="str">
        <f t="shared" si="175"/>
        <v/>
      </c>
    </row>
    <row r="5590" spans="7:11" x14ac:dyDescent="0.2">
      <c r="G5590" s="44"/>
      <c r="J5590" t="str">
        <f t="shared" si="174"/>
        <v/>
      </c>
      <c r="K5590" t="str">
        <f t="shared" si="175"/>
        <v/>
      </c>
    </row>
    <row r="5591" spans="7:11" x14ac:dyDescent="0.2">
      <c r="G5591" s="44"/>
      <c r="J5591" t="str">
        <f t="shared" si="174"/>
        <v/>
      </c>
      <c r="K5591" t="str">
        <f t="shared" si="175"/>
        <v/>
      </c>
    </row>
    <row r="5592" spans="7:11" x14ac:dyDescent="0.2">
      <c r="G5592" s="44"/>
      <c r="J5592" t="str">
        <f t="shared" si="174"/>
        <v/>
      </c>
      <c r="K5592" t="str">
        <f t="shared" si="175"/>
        <v/>
      </c>
    </row>
    <row r="5593" spans="7:11" x14ac:dyDescent="0.2">
      <c r="G5593" s="44"/>
      <c r="J5593" t="str">
        <f t="shared" si="174"/>
        <v/>
      </c>
      <c r="K5593" t="str">
        <f t="shared" si="175"/>
        <v/>
      </c>
    </row>
    <row r="5594" spans="7:11" x14ac:dyDescent="0.2">
      <c r="G5594" s="44"/>
      <c r="J5594" t="str">
        <f t="shared" si="174"/>
        <v/>
      </c>
      <c r="K5594" t="str">
        <f t="shared" si="175"/>
        <v/>
      </c>
    </row>
    <row r="5595" spans="7:11" x14ac:dyDescent="0.2">
      <c r="G5595" s="44"/>
      <c r="J5595" t="str">
        <f t="shared" si="174"/>
        <v/>
      </c>
      <c r="K5595" t="str">
        <f t="shared" si="175"/>
        <v/>
      </c>
    </row>
    <row r="5596" spans="7:11" x14ac:dyDescent="0.2">
      <c r="G5596" s="44"/>
      <c r="J5596" t="str">
        <f t="shared" si="174"/>
        <v/>
      </c>
      <c r="K5596" t="str">
        <f t="shared" si="175"/>
        <v/>
      </c>
    </row>
    <row r="5597" spans="7:11" x14ac:dyDescent="0.2">
      <c r="G5597" s="44"/>
      <c r="J5597" t="str">
        <f t="shared" si="174"/>
        <v/>
      </c>
      <c r="K5597" t="str">
        <f t="shared" si="175"/>
        <v/>
      </c>
    </row>
    <row r="5598" spans="7:11" x14ac:dyDescent="0.2">
      <c r="G5598" s="44"/>
      <c r="J5598" t="str">
        <f t="shared" si="174"/>
        <v/>
      </c>
      <c r="K5598" t="str">
        <f t="shared" si="175"/>
        <v/>
      </c>
    </row>
    <row r="5599" spans="7:11" x14ac:dyDescent="0.2">
      <c r="G5599" s="44"/>
      <c r="J5599" t="str">
        <f t="shared" si="174"/>
        <v/>
      </c>
      <c r="K5599" t="str">
        <f t="shared" si="175"/>
        <v/>
      </c>
    </row>
    <row r="5600" spans="7:11" x14ac:dyDescent="0.2">
      <c r="G5600" s="44"/>
      <c r="J5600" t="str">
        <f t="shared" si="174"/>
        <v/>
      </c>
      <c r="K5600" t="str">
        <f t="shared" si="175"/>
        <v/>
      </c>
    </row>
    <row r="5601" spans="7:11" x14ac:dyDescent="0.2">
      <c r="G5601" s="44"/>
      <c r="J5601" t="str">
        <f t="shared" si="174"/>
        <v/>
      </c>
      <c r="K5601" t="str">
        <f t="shared" si="175"/>
        <v/>
      </c>
    </row>
    <row r="5602" spans="7:11" x14ac:dyDescent="0.2">
      <c r="G5602" s="44"/>
      <c r="J5602" t="str">
        <f t="shared" si="174"/>
        <v/>
      </c>
      <c r="K5602" t="str">
        <f t="shared" si="175"/>
        <v/>
      </c>
    </row>
    <row r="5603" spans="7:11" x14ac:dyDescent="0.2">
      <c r="G5603" s="44"/>
      <c r="J5603" t="str">
        <f t="shared" si="174"/>
        <v/>
      </c>
      <c r="K5603" t="str">
        <f t="shared" si="175"/>
        <v/>
      </c>
    </row>
    <row r="5604" spans="7:11" x14ac:dyDescent="0.2">
      <c r="G5604" s="44"/>
      <c r="J5604" t="str">
        <f t="shared" si="174"/>
        <v/>
      </c>
      <c r="K5604" t="str">
        <f t="shared" si="175"/>
        <v/>
      </c>
    </row>
    <row r="5605" spans="7:11" x14ac:dyDescent="0.2">
      <c r="G5605" s="44"/>
      <c r="J5605" t="str">
        <f t="shared" si="174"/>
        <v/>
      </c>
      <c r="K5605" t="str">
        <f t="shared" si="175"/>
        <v/>
      </c>
    </row>
    <row r="5606" spans="7:11" x14ac:dyDescent="0.2">
      <c r="G5606" s="44"/>
      <c r="J5606" t="str">
        <f t="shared" si="174"/>
        <v/>
      </c>
      <c r="K5606" t="str">
        <f t="shared" si="175"/>
        <v/>
      </c>
    </row>
    <row r="5607" spans="7:11" x14ac:dyDescent="0.2">
      <c r="G5607" s="44"/>
      <c r="J5607" t="str">
        <f t="shared" si="174"/>
        <v/>
      </c>
      <c r="K5607" t="str">
        <f t="shared" si="175"/>
        <v/>
      </c>
    </row>
    <row r="5608" spans="7:11" x14ac:dyDescent="0.2">
      <c r="G5608" s="44"/>
      <c r="J5608" t="str">
        <f t="shared" si="174"/>
        <v/>
      </c>
      <c r="K5608" t="str">
        <f t="shared" si="175"/>
        <v/>
      </c>
    </row>
    <row r="5609" spans="7:11" x14ac:dyDescent="0.2">
      <c r="G5609" s="44"/>
      <c r="J5609" t="str">
        <f t="shared" si="174"/>
        <v/>
      </c>
      <c r="K5609" t="str">
        <f t="shared" si="175"/>
        <v/>
      </c>
    </row>
    <row r="5610" spans="7:11" x14ac:dyDescent="0.2">
      <c r="G5610" s="44"/>
      <c r="J5610" t="str">
        <f t="shared" si="174"/>
        <v/>
      </c>
      <c r="K5610" t="str">
        <f t="shared" si="175"/>
        <v/>
      </c>
    </row>
    <row r="5611" spans="7:11" x14ac:dyDescent="0.2">
      <c r="G5611" s="44"/>
      <c r="J5611" t="str">
        <f t="shared" si="174"/>
        <v/>
      </c>
      <c r="K5611" t="str">
        <f t="shared" si="175"/>
        <v/>
      </c>
    </row>
    <row r="5612" spans="7:11" x14ac:dyDescent="0.2">
      <c r="G5612" s="44"/>
      <c r="J5612" t="str">
        <f t="shared" si="174"/>
        <v/>
      </c>
      <c r="K5612" t="str">
        <f t="shared" si="175"/>
        <v/>
      </c>
    </row>
    <row r="5613" spans="7:11" x14ac:dyDescent="0.2">
      <c r="G5613" s="44"/>
      <c r="J5613" t="str">
        <f t="shared" si="174"/>
        <v/>
      </c>
      <c r="K5613" t="str">
        <f t="shared" si="175"/>
        <v/>
      </c>
    </row>
    <row r="5614" spans="7:11" x14ac:dyDescent="0.2">
      <c r="G5614" s="44"/>
      <c r="J5614" t="str">
        <f t="shared" si="174"/>
        <v/>
      </c>
      <c r="K5614" t="str">
        <f t="shared" si="175"/>
        <v/>
      </c>
    </row>
    <row r="5615" spans="7:11" x14ac:dyDescent="0.2">
      <c r="G5615" s="44"/>
      <c r="J5615" t="str">
        <f t="shared" si="174"/>
        <v/>
      </c>
      <c r="K5615" t="str">
        <f t="shared" si="175"/>
        <v/>
      </c>
    </row>
    <row r="5616" spans="7:11" x14ac:dyDescent="0.2">
      <c r="G5616" s="44"/>
      <c r="J5616" t="str">
        <f t="shared" si="174"/>
        <v/>
      </c>
      <c r="K5616" t="str">
        <f t="shared" si="175"/>
        <v/>
      </c>
    </row>
    <row r="5617" spans="7:11" x14ac:dyDescent="0.2">
      <c r="G5617" s="44"/>
      <c r="J5617" t="str">
        <f t="shared" si="174"/>
        <v/>
      </c>
      <c r="K5617" t="str">
        <f t="shared" si="175"/>
        <v/>
      </c>
    </row>
    <row r="5618" spans="7:11" x14ac:dyDescent="0.2">
      <c r="G5618" s="44"/>
      <c r="J5618" t="str">
        <f t="shared" si="174"/>
        <v/>
      </c>
      <c r="K5618" t="str">
        <f t="shared" si="175"/>
        <v/>
      </c>
    </row>
    <row r="5619" spans="7:11" x14ac:dyDescent="0.2">
      <c r="G5619" s="44"/>
      <c r="J5619" t="str">
        <f t="shared" si="174"/>
        <v/>
      </c>
      <c r="K5619" t="str">
        <f t="shared" si="175"/>
        <v/>
      </c>
    </row>
    <row r="5620" spans="7:11" x14ac:dyDescent="0.2">
      <c r="G5620" s="44"/>
      <c r="J5620" t="str">
        <f t="shared" si="174"/>
        <v/>
      </c>
      <c r="K5620" t="str">
        <f t="shared" si="175"/>
        <v/>
      </c>
    </row>
    <row r="5621" spans="7:11" x14ac:dyDescent="0.2">
      <c r="G5621" s="44"/>
      <c r="J5621" t="str">
        <f t="shared" si="174"/>
        <v/>
      </c>
      <c r="K5621" t="str">
        <f t="shared" si="175"/>
        <v/>
      </c>
    </row>
    <row r="5622" spans="7:11" x14ac:dyDescent="0.2">
      <c r="G5622" s="44"/>
      <c r="J5622" t="str">
        <f t="shared" si="174"/>
        <v/>
      </c>
      <c r="K5622" t="str">
        <f t="shared" si="175"/>
        <v/>
      </c>
    </row>
    <row r="5623" spans="7:11" x14ac:dyDescent="0.2">
      <c r="G5623" s="44"/>
      <c r="J5623" t="str">
        <f t="shared" si="174"/>
        <v/>
      </c>
      <c r="K5623" t="str">
        <f t="shared" si="175"/>
        <v/>
      </c>
    </row>
    <row r="5624" spans="7:11" x14ac:dyDescent="0.2">
      <c r="G5624" s="44"/>
      <c r="J5624" t="str">
        <f t="shared" si="174"/>
        <v/>
      </c>
      <c r="K5624" t="str">
        <f t="shared" si="175"/>
        <v/>
      </c>
    </row>
    <row r="5625" spans="7:11" x14ac:dyDescent="0.2">
      <c r="G5625" s="44"/>
      <c r="J5625" t="str">
        <f t="shared" si="174"/>
        <v/>
      </c>
      <c r="K5625" t="str">
        <f t="shared" si="175"/>
        <v/>
      </c>
    </row>
    <row r="5626" spans="7:11" x14ac:dyDescent="0.2">
      <c r="G5626" s="44"/>
      <c r="J5626" t="str">
        <f t="shared" si="174"/>
        <v/>
      </c>
      <c r="K5626" t="str">
        <f t="shared" si="175"/>
        <v/>
      </c>
    </row>
    <row r="5627" spans="7:11" x14ac:dyDescent="0.2">
      <c r="G5627" s="44"/>
      <c r="J5627" t="str">
        <f t="shared" si="174"/>
        <v/>
      </c>
      <c r="K5627" t="str">
        <f t="shared" si="175"/>
        <v/>
      </c>
    </row>
    <row r="5628" spans="7:11" x14ac:dyDescent="0.2">
      <c r="G5628" s="44"/>
      <c r="J5628" t="str">
        <f t="shared" si="174"/>
        <v/>
      </c>
      <c r="K5628" t="str">
        <f t="shared" si="175"/>
        <v/>
      </c>
    </row>
    <row r="5629" spans="7:11" x14ac:dyDescent="0.2">
      <c r="G5629" s="44"/>
      <c r="J5629" t="str">
        <f t="shared" si="174"/>
        <v/>
      </c>
      <c r="K5629" t="str">
        <f t="shared" si="175"/>
        <v/>
      </c>
    </row>
    <row r="5630" spans="7:11" x14ac:dyDescent="0.2">
      <c r="G5630" s="44"/>
      <c r="J5630" t="str">
        <f t="shared" si="174"/>
        <v/>
      </c>
      <c r="K5630" t="str">
        <f t="shared" si="175"/>
        <v/>
      </c>
    </row>
    <row r="5631" spans="7:11" x14ac:dyDescent="0.2">
      <c r="G5631" s="44"/>
      <c r="J5631" t="str">
        <f t="shared" si="174"/>
        <v/>
      </c>
      <c r="K5631" t="str">
        <f t="shared" si="175"/>
        <v/>
      </c>
    </row>
    <row r="5632" spans="7:11" x14ac:dyDescent="0.2">
      <c r="G5632" s="44"/>
      <c r="J5632" t="str">
        <f t="shared" si="174"/>
        <v/>
      </c>
      <c r="K5632" t="str">
        <f t="shared" si="175"/>
        <v/>
      </c>
    </row>
    <row r="5633" spans="7:11" x14ac:dyDescent="0.2">
      <c r="G5633" s="44"/>
      <c r="J5633" t="str">
        <f t="shared" si="174"/>
        <v/>
      </c>
      <c r="K5633" t="str">
        <f t="shared" si="175"/>
        <v/>
      </c>
    </row>
    <row r="5634" spans="7:11" x14ac:dyDescent="0.2">
      <c r="G5634" s="44"/>
      <c r="J5634" t="str">
        <f t="shared" ref="J5634:J5697" si="176">IF(E5634="","",IF(OR(E5634=50,E5634=51),"Iltindhold",IF(E5634=75,"Carbon,org,NVOC",IF(OR(E5634=343,E5634=1167),"Svovlbrinte",IF(OR(E5634=240,E5634=241,E5634=242),"Amm",IF(E5634=244,"Nitrit",IF(E5634=247,"Nitrat",IF(E5634=334,"Sulfat",IF(E5634=262,"Phosphor, total-P",F5634)))))))))</f>
        <v/>
      </c>
      <c r="K5634" t="str">
        <f t="shared" ref="K5634:K5697" si="177">IF(A5634="","",IF(H5634="!",NA(),IF(H5634="A",I5634*0.5,IF(H5634="&lt;",I5634*0.5,I5634))))</f>
        <v/>
      </c>
    </row>
    <row r="5635" spans="7:11" x14ac:dyDescent="0.2">
      <c r="G5635" s="44"/>
      <c r="J5635" t="str">
        <f t="shared" si="176"/>
        <v/>
      </c>
      <c r="K5635" t="str">
        <f t="shared" si="177"/>
        <v/>
      </c>
    </row>
    <row r="5636" spans="7:11" x14ac:dyDescent="0.2">
      <c r="G5636" s="44"/>
      <c r="J5636" t="str">
        <f t="shared" si="176"/>
        <v/>
      </c>
      <c r="K5636" t="str">
        <f t="shared" si="177"/>
        <v/>
      </c>
    </row>
    <row r="5637" spans="7:11" x14ac:dyDescent="0.2">
      <c r="G5637" s="44"/>
      <c r="J5637" t="str">
        <f t="shared" si="176"/>
        <v/>
      </c>
      <c r="K5637" t="str">
        <f t="shared" si="177"/>
        <v/>
      </c>
    </row>
    <row r="5638" spans="7:11" x14ac:dyDescent="0.2">
      <c r="G5638" s="44"/>
      <c r="J5638" t="str">
        <f t="shared" si="176"/>
        <v/>
      </c>
      <c r="K5638" t="str">
        <f t="shared" si="177"/>
        <v/>
      </c>
    </row>
    <row r="5639" spans="7:11" x14ac:dyDescent="0.2">
      <c r="G5639" s="44"/>
      <c r="J5639" t="str">
        <f t="shared" si="176"/>
        <v/>
      </c>
      <c r="K5639" t="str">
        <f t="shared" si="177"/>
        <v/>
      </c>
    </row>
    <row r="5640" spans="7:11" x14ac:dyDescent="0.2">
      <c r="G5640" s="44"/>
      <c r="J5640" t="str">
        <f t="shared" si="176"/>
        <v/>
      </c>
      <c r="K5640" t="str">
        <f t="shared" si="177"/>
        <v/>
      </c>
    </row>
    <row r="5641" spans="7:11" x14ac:dyDescent="0.2">
      <c r="G5641" s="44"/>
      <c r="J5641" t="str">
        <f t="shared" si="176"/>
        <v/>
      </c>
      <c r="K5641" t="str">
        <f t="shared" si="177"/>
        <v/>
      </c>
    </row>
    <row r="5642" spans="7:11" x14ac:dyDescent="0.2">
      <c r="G5642" s="44"/>
      <c r="J5642" t="str">
        <f t="shared" si="176"/>
        <v/>
      </c>
      <c r="K5642" t="str">
        <f t="shared" si="177"/>
        <v/>
      </c>
    </row>
    <row r="5643" spans="7:11" x14ac:dyDescent="0.2">
      <c r="G5643" s="44"/>
      <c r="J5643" t="str">
        <f t="shared" si="176"/>
        <v/>
      </c>
      <c r="K5643" t="str">
        <f t="shared" si="177"/>
        <v/>
      </c>
    </row>
    <row r="5644" spans="7:11" x14ac:dyDescent="0.2">
      <c r="G5644" s="44"/>
      <c r="J5644" t="str">
        <f t="shared" si="176"/>
        <v/>
      </c>
      <c r="K5644" t="str">
        <f t="shared" si="177"/>
        <v/>
      </c>
    </row>
    <row r="5645" spans="7:11" x14ac:dyDescent="0.2">
      <c r="G5645" s="44"/>
      <c r="J5645" t="str">
        <f t="shared" si="176"/>
        <v/>
      </c>
      <c r="K5645" t="str">
        <f t="shared" si="177"/>
        <v/>
      </c>
    </row>
    <row r="5646" spans="7:11" x14ac:dyDescent="0.2">
      <c r="G5646" s="44"/>
      <c r="J5646" t="str">
        <f t="shared" si="176"/>
        <v/>
      </c>
      <c r="K5646" t="str">
        <f t="shared" si="177"/>
        <v/>
      </c>
    </row>
    <row r="5647" spans="7:11" x14ac:dyDescent="0.2">
      <c r="G5647" s="44"/>
      <c r="J5647" t="str">
        <f t="shared" si="176"/>
        <v/>
      </c>
      <c r="K5647" t="str">
        <f t="shared" si="177"/>
        <v/>
      </c>
    </row>
    <row r="5648" spans="7:11" x14ac:dyDescent="0.2">
      <c r="G5648" s="44"/>
      <c r="J5648" t="str">
        <f t="shared" si="176"/>
        <v/>
      </c>
      <c r="K5648" t="str">
        <f t="shared" si="177"/>
        <v/>
      </c>
    </row>
    <row r="5649" spans="7:11" x14ac:dyDescent="0.2">
      <c r="G5649" s="44"/>
      <c r="J5649" t="str">
        <f t="shared" si="176"/>
        <v/>
      </c>
      <c r="K5649" t="str">
        <f t="shared" si="177"/>
        <v/>
      </c>
    </row>
    <row r="5650" spans="7:11" x14ac:dyDescent="0.2">
      <c r="G5650" s="44"/>
      <c r="J5650" t="str">
        <f t="shared" si="176"/>
        <v/>
      </c>
      <c r="K5650" t="str">
        <f t="shared" si="177"/>
        <v/>
      </c>
    </row>
    <row r="5651" spans="7:11" x14ac:dyDescent="0.2">
      <c r="G5651" s="44"/>
      <c r="J5651" t="str">
        <f t="shared" si="176"/>
        <v/>
      </c>
      <c r="K5651" t="str">
        <f t="shared" si="177"/>
        <v/>
      </c>
    </row>
    <row r="5652" spans="7:11" x14ac:dyDescent="0.2">
      <c r="G5652" s="44"/>
      <c r="J5652" t="str">
        <f t="shared" si="176"/>
        <v/>
      </c>
      <c r="K5652" t="str">
        <f t="shared" si="177"/>
        <v/>
      </c>
    </row>
    <row r="5653" spans="7:11" x14ac:dyDescent="0.2">
      <c r="G5653" s="44"/>
      <c r="J5653" t="str">
        <f t="shared" si="176"/>
        <v/>
      </c>
      <c r="K5653" t="str">
        <f t="shared" si="177"/>
        <v/>
      </c>
    </row>
    <row r="5654" spans="7:11" x14ac:dyDescent="0.2">
      <c r="G5654" s="44"/>
      <c r="J5654" t="str">
        <f t="shared" si="176"/>
        <v/>
      </c>
      <c r="K5654" t="str">
        <f t="shared" si="177"/>
        <v/>
      </c>
    </row>
    <row r="5655" spans="7:11" x14ac:dyDescent="0.2">
      <c r="G5655" s="44"/>
      <c r="J5655" t="str">
        <f t="shared" si="176"/>
        <v/>
      </c>
      <c r="K5655" t="str">
        <f t="shared" si="177"/>
        <v/>
      </c>
    </row>
    <row r="5656" spans="7:11" x14ac:dyDescent="0.2">
      <c r="G5656" s="44"/>
      <c r="J5656" t="str">
        <f t="shared" si="176"/>
        <v/>
      </c>
      <c r="K5656" t="str">
        <f t="shared" si="177"/>
        <v/>
      </c>
    </row>
    <row r="5657" spans="7:11" x14ac:dyDescent="0.2">
      <c r="G5657" s="44"/>
      <c r="J5657" t="str">
        <f t="shared" si="176"/>
        <v/>
      </c>
      <c r="K5657" t="str">
        <f t="shared" si="177"/>
        <v/>
      </c>
    </row>
    <row r="5658" spans="7:11" x14ac:dyDescent="0.2">
      <c r="G5658" s="44"/>
      <c r="J5658" t="str">
        <f t="shared" si="176"/>
        <v/>
      </c>
      <c r="K5658" t="str">
        <f t="shared" si="177"/>
        <v/>
      </c>
    </row>
    <row r="5659" spans="7:11" x14ac:dyDescent="0.2">
      <c r="G5659" s="44"/>
      <c r="J5659" t="str">
        <f t="shared" si="176"/>
        <v/>
      </c>
      <c r="K5659" t="str">
        <f t="shared" si="177"/>
        <v/>
      </c>
    </row>
    <row r="5660" spans="7:11" x14ac:dyDescent="0.2">
      <c r="G5660" s="44"/>
      <c r="J5660" t="str">
        <f t="shared" si="176"/>
        <v/>
      </c>
      <c r="K5660" t="str">
        <f t="shared" si="177"/>
        <v/>
      </c>
    </row>
    <row r="5661" spans="7:11" x14ac:dyDescent="0.2">
      <c r="G5661" s="44"/>
      <c r="J5661" t="str">
        <f t="shared" si="176"/>
        <v/>
      </c>
      <c r="K5661" t="str">
        <f t="shared" si="177"/>
        <v/>
      </c>
    </row>
    <row r="5662" spans="7:11" x14ac:dyDescent="0.2">
      <c r="G5662" s="44"/>
      <c r="J5662" t="str">
        <f t="shared" si="176"/>
        <v/>
      </c>
      <c r="K5662" t="str">
        <f t="shared" si="177"/>
        <v/>
      </c>
    </row>
    <row r="5663" spans="7:11" x14ac:dyDescent="0.2">
      <c r="G5663" s="44"/>
      <c r="J5663" t="str">
        <f t="shared" si="176"/>
        <v/>
      </c>
      <c r="K5663" t="str">
        <f t="shared" si="177"/>
        <v/>
      </c>
    </row>
    <row r="5664" spans="7:11" x14ac:dyDescent="0.2">
      <c r="G5664" s="44"/>
      <c r="J5664" t="str">
        <f t="shared" si="176"/>
        <v/>
      </c>
      <c r="K5664" t="str">
        <f t="shared" si="177"/>
        <v/>
      </c>
    </row>
    <row r="5665" spans="7:11" x14ac:dyDescent="0.2">
      <c r="G5665" s="44"/>
      <c r="J5665" t="str">
        <f t="shared" si="176"/>
        <v/>
      </c>
      <c r="K5665" t="str">
        <f t="shared" si="177"/>
        <v/>
      </c>
    </row>
    <row r="5666" spans="7:11" x14ac:dyDescent="0.2">
      <c r="G5666" s="44"/>
      <c r="J5666" t="str">
        <f t="shared" si="176"/>
        <v/>
      </c>
      <c r="K5666" t="str">
        <f t="shared" si="177"/>
        <v/>
      </c>
    </row>
    <row r="5667" spans="7:11" x14ac:dyDescent="0.2">
      <c r="G5667" s="44"/>
      <c r="J5667" t="str">
        <f t="shared" si="176"/>
        <v/>
      </c>
      <c r="K5667" t="str">
        <f t="shared" si="177"/>
        <v/>
      </c>
    </row>
    <row r="5668" spans="7:11" x14ac:dyDescent="0.2">
      <c r="G5668" s="44"/>
      <c r="J5668" t="str">
        <f t="shared" si="176"/>
        <v/>
      </c>
      <c r="K5668" t="str">
        <f t="shared" si="177"/>
        <v/>
      </c>
    </row>
    <row r="5669" spans="7:11" x14ac:dyDescent="0.2">
      <c r="G5669" s="44"/>
      <c r="J5669" t="str">
        <f t="shared" si="176"/>
        <v/>
      </c>
      <c r="K5669" t="str">
        <f t="shared" si="177"/>
        <v/>
      </c>
    </row>
    <row r="5670" spans="7:11" x14ac:dyDescent="0.2">
      <c r="G5670" s="44"/>
      <c r="J5670" t="str">
        <f t="shared" si="176"/>
        <v/>
      </c>
      <c r="K5670" t="str">
        <f t="shared" si="177"/>
        <v/>
      </c>
    </row>
    <row r="5671" spans="7:11" x14ac:dyDescent="0.2">
      <c r="G5671" s="44"/>
      <c r="J5671" t="str">
        <f t="shared" si="176"/>
        <v/>
      </c>
      <c r="K5671" t="str">
        <f t="shared" si="177"/>
        <v/>
      </c>
    </row>
    <row r="5672" spans="7:11" x14ac:dyDescent="0.2">
      <c r="G5672" s="44"/>
      <c r="J5672" t="str">
        <f t="shared" si="176"/>
        <v/>
      </c>
      <c r="K5672" t="str">
        <f t="shared" si="177"/>
        <v/>
      </c>
    </row>
    <row r="5673" spans="7:11" x14ac:dyDescent="0.2">
      <c r="G5673" s="44"/>
      <c r="J5673" t="str">
        <f t="shared" si="176"/>
        <v/>
      </c>
      <c r="K5673" t="str">
        <f t="shared" si="177"/>
        <v/>
      </c>
    </row>
    <row r="5674" spans="7:11" x14ac:dyDescent="0.2">
      <c r="G5674" s="44"/>
      <c r="J5674" t="str">
        <f t="shared" si="176"/>
        <v/>
      </c>
      <c r="K5674" t="str">
        <f t="shared" si="177"/>
        <v/>
      </c>
    </row>
    <row r="5675" spans="7:11" x14ac:dyDescent="0.2">
      <c r="G5675" s="44"/>
      <c r="J5675" t="str">
        <f t="shared" si="176"/>
        <v/>
      </c>
      <c r="K5675" t="str">
        <f t="shared" si="177"/>
        <v/>
      </c>
    </row>
    <row r="5676" spans="7:11" x14ac:dyDescent="0.2">
      <c r="G5676" s="44"/>
      <c r="J5676" t="str">
        <f t="shared" si="176"/>
        <v/>
      </c>
      <c r="K5676" t="str">
        <f t="shared" si="177"/>
        <v/>
      </c>
    </row>
    <row r="5677" spans="7:11" x14ac:dyDescent="0.2">
      <c r="G5677" s="44"/>
      <c r="J5677" t="str">
        <f t="shared" si="176"/>
        <v/>
      </c>
      <c r="K5677" t="str">
        <f t="shared" si="177"/>
        <v/>
      </c>
    </row>
    <row r="5678" spans="7:11" x14ac:dyDescent="0.2">
      <c r="G5678" s="44"/>
      <c r="J5678" t="str">
        <f t="shared" si="176"/>
        <v/>
      </c>
      <c r="K5678" t="str">
        <f t="shared" si="177"/>
        <v/>
      </c>
    </row>
    <row r="5679" spans="7:11" x14ac:dyDescent="0.2">
      <c r="G5679" s="44"/>
      <c r="J5679" t="str">
        <f t="shared" si="176"/>
        <v/>
      </c>
      <c r="K5679" t="str">
        <f t="shared" si="177"/>
        <v/>
      </c>
    </row>
    <row r="5680" spans="7:11" x14ac:dyDescent="0.2">
      <c r="G5680" s="44"/>
      <c r="J5680" t="str">
        <f t="shared" si="176"/>
        <v/>
      </c>
      <c r="K5680" t="str">
        <f t="shared" si="177"/>
        <v/>
      </c>
    </row>
    <row r="5681" spans="7:11" x14ac:dyDescent="0.2">
      <c r="G5681" s="44"/>
      <c r="J5681" t="str">
        <f t="shared" si="176"/>
        <v/>
      </c>
      <c r="K5681" t="str">
        <f t="shared" si="177"/>
        <v/>
      </c>
    </row>
    <row r="5682" spans="7:11" x14ac:dyDescent="0.2">
      <c r="G5682" s="44"/>
      <c r="J5682" t="str">
        <f t="shared" si="176"/>
        <v/>
      </c>
      <c r="K5682" t="str">
        <f t="shared" si="177"/>
        <v/>
      </c>
    </row>
    <row r="5683" spans="7:11" x14ac:dyDescent="0.2">
      <c r="G5683" s="44"/>
      <c r="J5683" t="str">
        <f t="shared" si="176"/>
        <v/>
      </c>
      <c r="K5683" t="str">
        <f t="shared" si="177"/>
        <v/>
      </c>
    </row>
    <row r="5684" spans="7:11" x14ac:dyDescent="0.2">
      <c r="G5684" s="44"/>
      <c r="J5684" t="str">
        <f t="shared" si="176"/>
        <v/>
      </c>
      <c r="K5684" t="str">
        <f t="shared" si="177"/>
        <v/>
      </c>
    </row>
    <row r="5685" spans="7:11" x14ac:dyDescent="0.2">
      <c r="G5685" s="44"/>
      <c r="J5685" t="str">
        <f t="shared" si="176"/>
        <v/>
      </c>
      <c r="K5685" t="str">
        <f t="shared" si="177"/>
        <v/>
      </c>
    </row>
    <row r="5686" spans="7:11" x14ac:dyDescent="0.2">
      <c r="G5686" s="44"/>
      <c r="J5686" t="str">
        <f t="shared" si="176"/>
        <v/>
      </c>
      <c r="K5686" t="str">
        <f t="shared" si="177"/>
        <v/>
      </c>
    </row>
    <row r="5687" spans="7:11" x14ac:dyDescent="0.2">
      <c r="G5687" s="44"/>
      <c r="J5687" t="str">
        <f t="shared" si="176"/>
        <v/>
      </c>
      <c r="K5687" t="str">
        <f t="shared" si="177"/>
        <v/>
      </c>
    </row>
    <row r="5688" spans="7:11" x14ac:dyDescent="0.2">
      <c r="G5688" s="44"/>
      <c r="J5688" t="str">
        <f t="shared" si="176"/>
        <v/>
      </c>
      <c r="K5688" t="str">
        <f t="shared" si="177"/>
        <v/>
      </c>
    </row>
    <row r="5689" spans="7:11" x14ac:dyDescent="0.2">
      <c r="G5689" s="44"/>
      <c r="J5689" t="str">
        <f t="shared" si="176"/>
        <v/>
      </c>
      <c r="K5689" t="str">
        <f t="shared" si="177"/>
        <v/>
      </c>
    </row>
    <row r="5690" spans="7:11" x14ac:dyDescent="0.2">
      <c r="G5690" s="44"/>
      <c r="J5690" t="str">
        <f t="shared" si="176"/>
        <v/>
      </c>
      <c r="K5690" t="str">
        <f t="shared" si="177"/>
        <v/>
      </c>
    </row>
    <row r="5691" spans="7:11" x14ac:dyDescent="0.2">
      <c r="G5691" s="44"/>
      <c r="J5691" t="str">
        <f t="shared" si="176"/>
        <v/>
      </c>
      <c r="K5691" t="str">
        <f t="shared" si="177"/>
        <v/>
      </c>
    </row>
    <row r="5692" spans="7:11" x14ac:dyDescent="0.2">
      <c r="G5692" s="44"/>
      <c r="J5692" t="str">
        <f t="shared" si="176"/>
        <v/>
      </c>
      <c r="K5692" t="str">
        <f t="shared" si="177"/>
        <v/>
      </c>
    </row>
    <row r="5693" spans="7:11" x14ac:dyDescent="0.2">
      <c r="G5693" s="44"/>
      <c r="J5693" t="str">
        <f t="shared" si="176"/>
        <v/>
      </c>
      <c r="K5693" t="str">
        <f t="shared" si="177"/>
        <v/>
      </c>
    </row>
    <row r="5694" spans="7:11" x14ac:dyDescent="0.2">
      <c r="G5694" s="44"/>
      <c r="J5694" t="str">
        <f t="shared" si="176"/>
        <v/>
      </c>
      <c r="K5694" t="str">
        <f t="shared" si="177"/>
        <v/>
      </c>
    </row>
    <row r="5695" spans="7:11" x14ac:dyDescent="0.2">
      <c r="G5695" s="44"/>
      <c r="J5695" t="str">
        <f t="shared" si="176"/>
        <v/>
      </c>
      <c r="K5695" t="str">
        <f t="shared" si="177"/>
        <v/>
      </c>
    </row>
    <row r="5696" spans="7:11" x14ac:dyDescent="0.2">
      <c r="G5696" s="44"/>
      <c r="J5696" t="str">
        <f t="shared" si="176"/>
        <v/>
      </c>
      <c r="K5696" t="str">
        <f t="shared" si="177"/>
        <v/>
      </c>
    </row>
    <row r="5697" spans="7:11" x14ac:dyDescent="0.2">
      <c r="G5697" s="44"/>
      <c r="J5697" t="str">
        <f t="shared" si="176"/>
        <v/>
      </c>
      <c r="K5697" t="str">
        <f t="shared" si="177"/>
        <v/>
      </c>
    </row>
    <row r="5698" spans="7:11" x14ac:dyDescent="0.2">
      <c r="G5698" s="44"/>
      <c r="J5698" t="str">
        <f t="shared" ref="J5698:J5761" si="178">IF(E5698="","",IF(OR(E5698=50,E5698=51),"Iltindhold",IF(E5698=75,"Carbon,org,NVOC",IF(OR(E5698=343,E5698=1167),"Svovlbrinte",IF(OR(E5698=240,E5698=241,E5698=242),"Amm",IF(E5698=244,"Nitrit",IF(E5698=247,"Nitrat",IF(E5698=334,"Sulfat",IF(E5698=262,"Phosphor, total-P",F5698)))))))))</f>
        <v/>
      </c>
      <c r="K5698" t="str">
        <f t="shared" ref="K5698:K5761" si="179">IF(A5698="","",IF(H5698="!",NA(),IF(H5698="A",I5698*0.5,IF(H5698="&lt;",I5698*0.5,I5698))))</f>
        <v/>
      </c>
    </row>
    <row r="5699" spans="7:11" x14ac:dyDescent="0.2">
      <c r="G5699" s="44"/>
      <c r="J5699" t="str">
        <f t="shared" si="178"/>
        <v/>
      </c>
      <c r="K5699" t="str">
        <f t="shared" si="179"/>
        <v/>
      </c>
    </row>
    <row r="5700" spans="7:11" x14ac:dyDescent="0.2">
      <c r="G5700" s="44"/>
      <c r="J5700" t="str">
        <f t="shared" si="178"/>
        <v/>
      </c>
      <c r="K5700" t="str">
        <f t="shared" si="179"/>
        <v/>
      </c>
    </row>
    <row r="5701" spans="7:11" x14ac:dyDescent="0.2">
      <c r="G5701" s="44"/>
      <c r="J5701" t="str">
        <f t="shared" si="178"/>
        <v/>
      </c>
      <c r="K5701" t="str">
        <f t="shared" si="179"/>
        <v/>
      </c>
    </row>
    <row r="5702" spans="7:11" x14ac:dyDescent="0.2">
      <c r="G5702" s="44"/>
      <c r="J5702" t="str">
        <f t="shared" si="178"/>
        <v/>
      </c>
      <c r="K5702" t="str">
        <f t="shared" si="179"/>
        <v/>
      </c>
    </row>
    <row r="5703" spans="7:11" x14ac:dyDescent="0.2">
      <c r="G5703" s="44"/>
      <c r="J5703" t="str">
        <f t="shared" si="178"/>
        <v/>
      </c>
      <c r="K5703" t="str">
        <f t="shared" si="179"/>
        <v/>
      </c>
    </row>
    <row r="5704" spans="7:11" x14ac:dyDescent="0.2">
      <c r="G5704" s="44"/>
      <c r="J5704" t="str">
        <f t="shared" si="178"/>
        <v/>
      </c>
      <c r="K5704" t="str">
        <f t="shared" si="179"/>
        <v/>
      </c>
    </row>
    <row r="5705" spans="7:11" x14ac:dyDescent="0.2">
      <c r="G5705" s="44"/>
      <c r="J5705" t="str">
        <f t="shared" si="178"/>
        <v/>
      </c>
      <c r="K5705" t="str">
        <f t="shared" si="179"/>
        <v/>
      </c>
    </row>
    <row r="5706" spans="7:11" x14ac:dyDescent="0.2">
      <c r="G5706" s="44"/>
      <c r="J5706" t="str">
        <f t="shared" si="178"/>
        <v/>
      </c>
      <c r="K5706" t="str">
        <f t="shared" si="179"/>
        <v/>
      </c>
    </row>
    <row r="5707" spans="7:11" x14ac:dyDescent="0.2">
      <c r="G5707" s="44"/>
      <c r="J5707" t="str">
        <f t="shared" si="178"/>
        <v/>
      </c>
      <c r="K5707" t="str">
        <f t="shared" si="179"/>
        <v/>
      </c>
    </row>
    <row r="5708" spans="7:11" x14ac:dyDescent="0.2">
      <c r="G5708" s="44"/>
      <c r="J5708" t="str">
        <f t="shared" si="178"/>
        <v/>
      </c>
      <c r="K5708" t="str">
        <f t="shared" si="179"/>
        <v/>
      </c>
    </row>
    <row r="5709" spans="7:11" x14ac:dyDescent="0.2">
      <c r="G5709" s="44"/>
      <c r="J5709" t="str">
        <f t="shared" si="178"/>
        <v/>
      </c>
      <c r="K5709" t="str">
        <f t="shared" si="179"/>
        <v/>
      </c>
    </row>
    <row r="5710" spans="7:11" x14ac:dyDescent="0.2">
      <c r="G5710" s="44"/>
      <c r="J5710" t="str">
        <f t="shared" si="178"/>
        <v/>
      </c>
      <c r="K5710" t="str">
        <f t="shared" si="179"/>
        <v/>
      </c>
    </row>
    <row r="5711" spans="7:11" x14ac:dyDescent="0.2">
      <c r="G5711" s="44"/>
      <c r="J5711" t="str">
        <f t="shared" si="178"/>
        <v/>
      </c>
      <c r="K5711" t="str">
        <f t="shared" si="179"/>
        <v/>
      </c>
    </row>
    <row r="5712" spans="7:11" x14ac:dyDescent="0.2">
      <c r="G5712" s="44"/>
      <c r="J5712" t="str">
        <f t="shared" si="178"/>
        <v/>
      </c>
      <c r="K5712" t="str">
        <f t="shared" si="179"/>
        <v/>
      </c>
    </row>
    <row r="5713" spans="7:11" x14ac:dyDescent="0.2">
      <c r="G5713" s="44"/>
      <c r="J5713" t="str">
        <f t="shared" si="178"/>
        <v/>
      </c>
      <c r="K5713" t="str">
        <f t="shared" si="179"/>
        <v/>
      </c>
    </row>
    <row r="5714" spans="7:11" x14ac:dyDescent="0.2">
      <c r="G5714" s="44"/>
      <c r="J5714" t="str">
        <f t="shared" si="178"/>
        <v/>
      </c>
      <c r="K5714" t="str">
        <f t="shared" si="179"/>
        <v/>
      </c>
    </row>
    <row r="5715" spans="7:11" x14ac:dyDescent="0.2">
      <c r="G5715" s="44"/>
      <c r="J5715" t="str">
        <f t="shared" si="178"/>
        <v/>
      </c>
      <c r="K5715" t="str">
        <f t="shared" si="179"/>
        <v/>
      </c>
    </row>
    <row r="5716" spans="7:11" x14ac:dyDescent="0.2">
      <c r="G5716" s="44"/>
      <c r="J5716" t="str">
        <f t="shared" si="178"/>
        <v/>
      </c>
      <c r="K5716" t="str">
        <f t="shared" si="179"/>
        <v/>
      </c>
    </row>
    <row r="5717" spans="7:11" x14ac:dyDescent="0.2">
      <c r="G5717" s="44"/>
      <c r="J5717" t="str">
        <f t="shared" si="178"/>
        <v/>
      </c>
      <c r="K5717" t="str">
        <f t="shared" si="179"/>
        <v/>
      </c>
    </row>
    <row r="5718" spans="7:11" x14ac:dyDescent="0.2">
      <c r="G5718" s="44"/>
      <c r="J5718" t="str">
        <f t="shared" si="178"/>
        <v/>
      </c>
      <c r="K5718" t="str">
        <f t="shared" si="179"/>
        <v/>
      </c>
    </row>
    <row r="5719" spans="7:11" x14ac:dyDescent="0.2">
      <c r="G5719" s="44"/>
      <c r="J5719" t="str">
        <f t="shared" si="178"/>
        <v/>
      </c>
      <c r="K5719" t="str">
        <f t="shared" si="179"/>
        <v/>
      </c>
    </row>
    <row r="5720" spans="7:11" x14ac:dyDescent="0.2">
      <c r="G5720" s="44"/>
      <c r="J5720" t="str">
        <f t="shared" si="178"/>
        <v/>
      </c>
      <c r="K5720" t="str">
        <f t="shared" si="179"/>
        <v/>
      </c>
    </row>
    <row r="5721" spans="7:11" x14ac:dyDescent="0.2">
      <c r="G5721" s="44"/>
      <c r="J5721" t="str">
        <f t="shared" si="178"/>
        <v/>
      </c>
      <c r="K5721" t="str">
        <f t="shared" si="179"/>
        <v/>
      </c>
    </row>
    <row r="5722" spans="7:11" x14ac:dyDescent="0.2">
      <c r="G5722" s="44"/>
      <c r="J5722" t="str">
        <f t="shared" si="178"/>
        <v/>
      </c>
      <c r="K5722" t="str">
        <f t="shared" si="179"/>
        <v/>
      </c>
    </row>
    <row r="5723" spans="7:11" x14ac:dyDescent="0.2">
      <c r="G5723" s="44"/>
      <c r="J5723" t="str">
        <f t="shared" si="178"/>
        <v/>
      </c>
      <c r="K5723" t="str">
        <f t="shared" si="179"/>
        <v/>
      </c>
    </row>
    <row r="5724" spans="7:11" x14ac:dyDescent="0.2">
      <c r="G5724" s="44"/>
      <c r="J5724" t="str">
        <f t="shared" si="178"/>
        <v/>
      </c>
      <c r="K5724" t="str">
        <f t="shared" si="179"/>
        <v/>
      </c>
    </row>
    <row r="5725" spans="7:11" x14ac:dyDescent="0.2">
      <c r="G5725" s="44"/>
      <c r="J5725" t="str">
        <f t="shared" si="178"/>
        <v/>
      </c>
      <c r="K5725" t="str">
        <f t="shared" si="179"/>
        <v/>
      </c>
    </row>
    <row r="5726" spans="7:11" x14ac:dyDescent="0.2">
      <c r="G5726" s="44"/>
      <c r="J5726" t="str">
        <f t="shared" si="178"/>
        <v/>
      </c>
      <c r="K5726" t="str">
        <f t="shared" si="179"/>
        <v/>
      </c>
    </row>
    <row r="5727" spans="7:11" x14ac:dyDescent="0.2">
      <c r="G5727" s="44"/>
      <c r="J5727" t="str">
        <f t="shared" si="178"/>
        <v/>
      </c>
      <c r="K5727" t="str">
        <f t="shared" si="179"/>
        <v/>
      </c>
    </row>
    <row r="5728" spans="7:11" x14ac:dyDescent="0.2">
      <c r="G5728" s="44"/>
      <c r="J5728" t="str">
        <f t="shared" si="178"/>
        <v/>
      </c>
      <c r="K5728" t="str">
        <f t="shared" si="179"/>
        <v/>
      </c>
    </row>
    <row r="5729" spans="7:11" x14ac:dyDescent="0.2">
      <c r="G5729" s="44"/>
      <c r="J5729" t="str">
        <f t="shared" si="178"/>
        <v/>
      </c>
      <c r="K5729" t="str">
        <f t="shared" si="179"/>
        <v/>
      </c>
    </row>
    <row r="5730" spans="7:11" x14ac:dyDescent="0.2">
      <c r="G5730" s="44"/>
      <c r="J5730" t="str">
        <f t="shared" si="178"/>
        <v/>
      </c>
      <c r="K5730" t="str">
        <f t="shared" si="179"/>
        <v/>
      </c>
    </row>
    <row r="5731" spans="7:11" x14ac:dyDescent="0.2">
      <c r="G5731" s="44"/>
      <c r="J5731" t="str">
        <f t="shared" si="178"/>
        <v/>
      </c>
      <c r="K5731" t="str">
        <f t="shared" si="179"/>
        <v/>
      </c>
    </row>
    <row r="5732" spans="7:11" x14ac:dyDescent="0.2">
      <c r="G5732" s="44"/>
      <c r="J5732" t="str">
        <f t="shared" si="178"/>
        <v/>
      </c>
      <c r="K5732" t="str">
        <f t="shared" si="179"/>
        <v/>
      </c>
    </row>
    <row r="5733" spans="7:11" x14ac:dyDescent="0.2">
      <c r="G5733" s="44"/>
      <c r="J5733" t="str">
        <f t="shared" si="178"/>
        <v/>
      </c>
      <c r="K5733" t="str">
        <f t="shared" si="179"/>
        <v/>
      </c>
    </row>
    <row r="5734" spans="7:11" x14ac:dyDescent="0.2">
      <c r="G5734" s="44"/>
      <c r="J5734" t="str">
        <f t="shared" si="178"/>
        <v/>
      </c>
      <c r="K5734" t="str">
        <f t="shared" si="179"/>
        <v/>
      </c>
    </row>
    <row r="5735" spans="7:11" x14ac:dyDescent="0.2">
      <c r="G5735" s="44"/>
      <c r="J5735" t="str">
        <f t="shared" si="178"/>
        <v/>
      </c>
      <c r="K5735" t="str">
        <f t="shared" si="179"/>
        <v/>
      </c>
    </row>
    <row r="5736" spans="7:11" x14ac:dyDescent="0.2">
      <c r="G5736" s="44"/>
      <c r="J5736" t="str">
        <f t="shared" si="178"/>
        <v/>
      </c>
      <c r="K5736" t="str">
        <f t="shared" si="179"/>
        <v/>
      </c>
    </row>
    <row r="5737" spans="7:11" x14ac:dyDescent="0.2">
      <c r="G5737" s="44"/>
      <c r="J5737" t="str">
        <f t="shared" si="178"/>
        <v/>
      </c>
      <c r="K5737" t="str">
        <f t="shared" si="179"/>
        <v/>
      </c>
    </row>
    <row r="5738" spans="7:11" x14ac:dyDescent="0.2">
      <c r="G5738" s="44"/>
      <c r="J5738" t="str">
        <f t="shared" si="178"/>
        <v/>
      </c>
      <c r="K5738" t="str">
        <f t="shared" si="179"/>
        <v/>
      </c>
    </row>
    <row r="5739" spans="7:11" x14ac:dyDescent="0.2">
      <c r="G5739" s="44"/>
      <c r="J5739" t="str">
        <f t="shared" si="178"/>
        <v/>
      </c>
      <c r="K5739" t="str">
        <f t="shared" si="179"/>
        <v/>
      </c>
    </row>
    <row r="5740" spans="7:11" x14ac:dyDescent="0.2">
      <c r="G5740" s="44"/>
      <c r="J5740" t="str">
        <f t="shared" si="178"/>
        <v/>
      </c>
      <c r="K5740" t="str">
        <f t="shared" si="179"/>
        <v/>
      </c>
    </row>
    <row r="5741" spans="7:11" x14ac:dyDescent="0.2">
      <c r="G5741" s="44"/>
      <c r="J5741" t="str">
        <f t="shared" si="178"/>
        <v/>
      </c>
      <c r="K5741" t="str">
        <f t="shared" si="179"/>
        <v/>
      </c>
    </row>
    <row r="5742" spans="7:11" x14ac:dyDescent="0.2">
      <c r="G5742" s="44"/>
      <c r="J5742" t="str">
        <f t="shared" si="178"/>
        <v/>
      </c>
      <c r="K5742" t="str">
        <f t="shared" si="179"/>
        <v/>
      </c>
    </row>
    <row r="5743" spans="7:11" x14ac:dyDescent="0.2">
      <c r="G5743" s="44"/>
      <c r="J5743" t="str">
        <f t="shared" si="178"/>
        <v/>
      </c>
      <c r="K5743" t="str">
        <f t="shared" si="179"/>
        <v/>
      </c>
    </row>
    <row r="5744" spans="7:11" x14ac:dyDescent="0.2">
      <c r="G5744" s="44"/>
      <c r="J5744" t="str">
        <f t="shared" si="178"/>
        <v/>
      </c>
      <c r="K5744" t="str">
        <f t="shared" si="179"/>
        <v/>
      </c>
    </row>
    <row r="5745" spans="7:11" x14ac:dyDescent="0.2">
      <c r="G5745" s="44"/>
      <c r="J5745" t="str">
        <f t="shared" si="178"/>
        <v/>
      </c>
      <c r="K5745" t="str">
        <f t="shared" si="179"/>
        <v/>
      </c>
    </row>
    <row r="5746" spans="7:11" x14ac:dyDescent="0.2">
      <c r="G5746" s="44"/>
      <c r="J5746" t="str">
        <f t="shared" si="178"/>
        <v/>
      </c>
      <c r="K5746" t="str">
        <f t="shared" si="179"/>
        <v/>
      </c>
    </row>
    <row r="5747" spans="7:11" x14ac:dyDescent="0.2">
      <c r="G5747" s="44"/>
      <c r="J5747" t="str">
        <f t="shared" si="178"/>
        <v/>
      </c>
      <c r="K5747" t="str">
        <f t="shared" si="179"/>
        <v/>
      </c>
    </row>
    <row r="5748" spans="7:11" x14ac:dyDescent="0.2">
      <c r="G5748" s="44"/>
      <c r="J5748" t="str">
        <f t="shared" si="178"/>
        <v/>
      </c>
      <c r="K5748" t="str">
        <f t="shared" si="179"/>
        <v/>
      </c>
    </row>
    <row r="5749" spans="7:11" x14ac:dyDescent="0.2">
      <c r="G5749" s="44"/>
      <c r="J5749" t="str">
        <f t="shared" si="178"/>
        <v/>
      </c>
      <c r="K5749" t="str">
        <f t="shared" si="179"/>
        <v/>
      </c>
    </row>
    <row r="5750" spans="7:11" x14ac:dyDescent="0.2">
      <c r="G5750" s="44"/>
      <c r="J5750" t="str">
        <f t="shared" si="178"/>
        <v/>
      </c>
      <c r="K5750" t="str">
        <f t="shared" si="179"/>
        <v/>
      </c>
    </row>
    <row r="5751" spans="7:11" x14ac:dyDescent="0.2">
      <c r="G5751" s="44"/>
      <c r="J5751" t="str">
        <f t="shared" si="178"/>
        <v/>
      </c>
      <c r="K5751" t="str">
        <f t="shared" si="179"/>
        <v/>
      </c>
    </row>
    <row r="5752" spans="7:11" x14ac:dyDescent="0.2">
      <c r="G5752" s="44"/>
      <c r="J5752" t="str">
        <f t="shared" si="178"/>
        <v/>
      </c>
      <c r="K5752" t="str">
        <f t="shared" si="179"/>
        <v/>
      </c>
    </row>
    <row r="5753" spans="7:11" x14ac:dyDescent="0.2">
      <c r="G5753" s="44"/>
      <c r="J5753" t="str">
        <f t="shared" si="178"/>
        <v/>
      </c>
      <c r="K5753" t="str">
        <f t="shared" si="179"/>
        <v/>
      </c>
    </row>
    <row r="5754" spans="7:11" x14ac:dyDescent="0.2">
      <c r="G5754" s="44"/>
      <c r="J5754" t="str">
        <f t="shared" si="178"/>
        <v/>
      </c>
      <c r="K5754" t="str">
        <f t="shared" si="179"/>
        <v/>
      </c>
    </row>
    <row r="5755" spans="7:11" x14ac:dyDescent="0.2">
      <c r="G5755" s="44"/>
      <c r="J5755" t="str">
        <f t="shared" si="178"/>
        <v/>
      </c>
      <c r="K5755" t="str">
        <f t="shared" si="179"/>
        <v/>
      </c>
    </row>
    <row r="5756" spans="7:11" x14ac:dyDescent="0.2">
      <c r="G5756" s="44"/>
      <c r="J5756" t="str">
        <f t="shared" si="178"/>
        <v/>
      </c>
      <c r="K5756" t="str">
        <f t="shared" si="179"/>
        <v/>
      </c>
    </row>
    <row r="5757" spans="7:11" x14ac:dyDescent="0.2">
      <c r="G5757" s="44"/>
      <c r="J5757" t="str">
        <f t="shared" si="178"/>
        <v/>
      </c>
      <c r="K5757" t="str">
        <f t="shared" si="179"/>
        <v/>
      </c>
    </row>
    <row r="5758" spans="7:11" x14ac:dyDescent="0.2">
      <c r="G5758" s="44"/>
      <c r="J5758" t="str">
        <f t="shared" si="178"/>
        <v/>
      </c>
      <c r="K5758" t="str">
        <f t="shared" si="179"/>
        <v/>
      </c>
    </row>
    <row r="5759" spans="7:11" x14ac:dyDescent="0.2">
      <c r="G5759" s="44"/>
      <c r="J5759" t="str">
        <f t="shared" si="178"/>
        <v/>
      </c>
      <c r="K5759" t="str">
        <f t="shared" si="179"/>
        <v/>
      </c>
    </row>
    <row r="5760" spans="7:11" x14ac:dyDescent="0.2">
      <c r="G5760" s="44"/>
      <c r="J5760" t="str">
        <f t="shared" si="178"/>
        <v/>
      </c>
      <c r="K5760" t="str">
        <f t="shared" si="179"/>
        <v/>
      </c>
    </row>
    <row r="5761" spans="7:11" x14ac:dyDescent="0.2">
      <c r="G5761" s="44"/>
      <c r="J5761" t="str">
        <f t="shared" si="178"/>
        <v/>
      </c>
      <c r="K5761" t="str">
        <f t="shared" si="179"/>
        <v/>
      </c>
    </row>
    <row r="5762" spans="7:11" x14ac:dyDescent="0.2">
      <c r="G5762" s="44"/>
      <c r="J5762" t="str">
        <f t="shared" ref="J5762:J5825" si="180">IF(E5762="","",IF(OR(E5762=50,E5762=51),"Iltindhold",IF(E5762=75,"Carbon,org,NVOC",IF(OR(E5762=343,E5762=1167),"Svovlbrinte",IF(OR(E5762=240,E5762=241,E5762=242),"Amm",IF(E5762=244,"Nitrit",IF(E5762=247,"Nitrat",IF(E5762=334,"Sulfat",IF(E5762=262,"Phosphor, total-P",F5762)))))))))</f>
        <v/>
      </c>
      <c r="K5762" t="str">
        <f t="shared" ref="K5762:K5825" si="181">IF(A5762="","",IF(H5762="!",NA(),IF(H5762="A",I5762*0.5,IF(H5762="&lt;",I5762*0.5,I5762))))</f>
        <v/>
      </c>
    </row>
    <row r="5763" spans="7:11" x14ac:dyDescent="0.2">
      <c r="G5763" s="44"/>
      <c r="J5763" t="str">
        <f t="shared" si="180"/>
        <v/>
      </c>
      <c r="K5763" t="str">
        <f t="shared" si="181"/>
        <v/>
      </c>
    </row>
    <row r="5764" spans="7:11" x14ac:dyDescent="0.2">
      <c r="G5764" s="44"/>
      <c r="J5764" t="str">
        <f t="shared" si="180"/>
        <v/>
      </c>
      <c r="K5764" t="str">
        <f t="shared" si="181"/>
        <v/>
      </c>
    </row>
    <row r="5765" spans="7:11" x14ac:dyDescent="0.2">
      <c r="G5765" s="44"/>
      <c r="J5765" t="str">
        <f t="shared" si="180"/>
        <v/>
      </c>
      <c r="K5765" t="str">
        <f t="shared" si="181"/>
        <v/>
      </c>
    </row>
    <row r="5766" spans="7:11" x14ac:dyDescent="0.2">
      <c r="G5766" s="44"/>
      <c r="J5766" t="str">
        <f t="shared" si="180"/>
        <v/>
      </c>
      <c r="K5766" t="str">
        <f t="shared" si="181"/>
        <v/>
      </c>
    </row>
    <row r="5767" spans="7:11" x14ac:dyDescent="0.2">
      <c r="G5767" s="44"/>
      <c r="J5767" t="str">
        <f t="shared" si="180"/>
        <v/>
      </c>
      <c r="K5767" t="str">
        <f t="shared" si="181"/>
        <v/>
      </c>
    </row>
    <row r="5768" spans="7:11" x14ac:dyDescent="0.2">
      <c r="G5768" s="44"/>
      <c r="J5768" t="str">
        <f t="shared" si="180"/>
        <v/>
      </c>
      <c r="K5768" t="str">
        <f t="shared" si="181"/>
        <v/>
      </c>
    </row>
    <row r="5769" spans="7:11" x14ac:dyDescent="0.2">
      <c r="G5769" s="44"/>
      <c r="J5769" t="str">
        <f t="shared" si="180"/>
        <v/>
      </c>
      <c r="K5769" t="str">
        <f t="shared" si="181"/>
        <v/>
      </c>
    </row>
    <row r="5770" spans="7:11" x14ac:dyDescent="0.2">
      <c r="G5770" s="44"/>
      <c r="J5770" t="str">
        <f t="shared" si="180"/>
        <v/>
      </c>
      <c r="K5770" t="str">
        <f t="shared" si="181"/>
        <v/>
      </c>
    </row>
    <row r="5771" spans="7:11" x14ac:dyDescent="0.2">
      <c r="G5771" s="44"/>
      <c r="J5771" t="str">
        <f t="shared" si="180"/>
        <v/>
      </c>
      <c r="K5771" t="str">
        <f t="shared" si="181"/>
        <v/>
      </c>
    </row>
    <row r="5772" spans="7:11" x14ac:dyDescent="0.2">
      <c r="G5772" s="44"/>
      <c r="J5772" t="str">
        <f t="shared" si="180"/>
        <v/>
      </c>
      <c r="K5772" t="str">
        <f t="shared" si="181"/>
        <v/>
      </c>
    </row>
    <row r="5773" spans="7:11" x14ac:dyDescent="0.2">
      <c r="G5773" s="44"/>
      <c r="J5773" t="str">
        <f t="shared" si="180"/>
        <v/>
      </c>
      <c r="K5773" t="str">
        <f t="shared" si="181"/>
        <v/>
      </c>
    </row>
    <row r="5774" spans="7:11" x14ac:dyDescent="0.2">
      <c r="G5774" s="44"/>
      <c r="J5774" t="str">
        <f t="shared" si="180"/>
        <v/>
      </c>
      <c r="K5774" t="str">
        <f t="shared" si="181"/>
        <v/>
      </c>
    </row>
    <row r="5775" spans="7:11" x14ac:dyDescent="0.2">
      <c r="G5775" s="44"/>
      <c r="J5775" t="str">
        <f t="shared" si="180"/>
        <v/>
      </c>
      <c r="K5775" t="str">
        <f t="shared" si="181"/>
        <v/>
      </c>
    </row>
    <row r="5776" spans="7:11" x14ac:dyDescent="0.2">
      <c r="G5776" s="44"/>
      <c r="J5776" t="str">
        <f t="shared" si="180"/>
        <v/>
      </c>
      <c r="K5776" t="str">
        <f t="shared" si="181"/>
        <v/>
      </c>
    </row>
    <row r="5777" spans="7:11" x14ac:dyDescent="0.2">
      <c r="G5777" s="44"/>
      <c r="J5777" t="str">
        <f t="shared" si="180"/>
        <v/>
      </c>
      <c r="K5777" t="str">
        <f t="shared" si="181"/>
        <v/>
      </c>
    </row>
    <row r="5778" spans="7:11" x14ac:dyDescent="0.2">
      <c r="G5778" s="44"/>
      <c r="J5778" t="str">
        <f t="shared" si="180"/>
        <v/>
      </c>
      <c r="K5778" t="str">
        <f t="shared" si="181"/>
        <v/>
      </c>
    </row>
    <row r="5779" spans="7:11" x14ac:dyDescent="0.2">
      <c r="G5779" s="44"/>
      <c r="J5779" t="str">
        <f t="shared" si="180"/>
        <v/>
      </c>
      <c r="K5779" t="str">
        <f t="shared" si="181"/>
        <v/>
      </c>
    </row>
    <row r="5780" spans="7:11" x14ac:dyDescent="0.2">
      <c r="G5780" s="44"/>
      <c r="J5780" t="str">
        <f t="shared" si="180"/>
        <v/>
      </c>
      <c r="K5780" t="str">
        <f t="shared" si="181"/>
        <v/>
      </c>
    </row>
    <row r="5781" spans="7:11" x14ac:dyDescent="0.2">
      <c r="G5781" s="44"/>
      <c r="J5781" t="str">
        <f t="shared" si="180"/>
        <v/>
      </c>
      <c r="K5781" t="str">
        <f t="shared" si="181"/>
        <v/>
      </c>
    </row>
    <row r="5782" spans="7:11" x14ac:dyDescent="0.2">
      <c r="G5782" s="44"/>
      <c r="J5782" t="str">
        <f t="shared" si="180"/>
        <v/>
      </c>
      <c r="K5782" t="str">
        <f t="shared" si="181"/>
        <v/>
      </c>
    </row>
    <row r="5783" spans="7:11" x14ac:dyDescent="0.2">
      <c r="G5783" s="44"/>
      <c r="J5783" t="str">
        <f t="shared" si="180"/>
        <v/>
      </c>
      <c r="K5783" t="str">
        <f t="shared" si="181"/>
        <v/>
      </c>
    </row>
    <row r="5784" spans="7:11" x14ac:dyDescent="0.2">
      <c r="G5784" s="44"/>
      <c r="J5784" t="str">
        <f t="shared" si="180"/>
        <v/>
      </c>
      <c r="K5784" t="str">
        <f t="shared" si="181"/>
        <v/>
      </c>
    </row>
    <row r="5785" spans="7:11" x14ac:dyDescent="0.2">
      <c r="G5785" s="44"/>
      <c r="J5785" t="str">
        <f t="shared" si="180"/>
        <v/>
      </c>
      <c r="K5785" t="str">
        <f t="shared" si="181"/>
        <v/>
      </c>
    </row>
    <row r="5786" spans="7:11" x14ac:dyDescent="0.2">
      <c r="G5786" s="44"/>
      <c r="J5786" t="str">
        <f t="shared" si="180"/>
        <v/>
      </c>
      <c r="K5786" t="str">
        <f t="shared" si="181"/>
        <v/>
      </c>
    </row>
    <row r="5787" spans="7:11" x14ac:dyDescent="0.2">
      <c r="G5787" s="44"/>
      <c r="J5787" t="str">
        <f t="shared" si="180"/>
        <v/>
      </c>
      <c r="K5787" t="str">
        <f t="shared" si="181"/>
        <v/>
      </c>
    </row>
    <row r="5788" spans="7:11" x14ac:dyDescent="0.2">
      <c r="G5788" s="44"/>
      <c r="J5788" t="str">
        <f t="shared" si="180"/>
        <v/>
      </c>
      <c r="K5788" t="str">
        <f t="shared" si="181"/>
        <v/>
      </c>
    </row>
    <row r="5789" spans="7:11" x14ac:dyDescent="0.2">
      <c r="G5789" s="44"/>
      <c r="J5789" t="str">
        <f t="shared" si="180"/>
        <v/>
      </c>
      <c r="K5789" t="str">
        <f t="shared" si="181"/>
        <v/>
      </c>
    </row>
    <row r="5790" spans="7:11" x14ac:dyDescent="0.2">
      <c r="G5790" s="44"/>
      <c r="J5790" t="str">
        <f t="shared" si="180"/>
        <v/>
      </c>
      <c r="K5790" t="str">
        <f t="shared" si="181"/>
        <v/>
      </c>
    </row>
    <row r="5791" spans="7:11" x14ac:dyDescent="0.2">
      <c r="G5791" s="44"/>
      <c r="J5791" t="str">
        <f t="shared" si="180"/>
        <v/>
      </c>
      <c r="K5791" t="str">
        <f t="shared" si="181"/>
        <v/>
      </c>
    </row>
    <row r="5792" spans="7:11" x14ac:dyDescent="0.2">
      <c r="G5792" s="44"/>
      <c r="J5792" t="str">
        <f t="shared" si="180"/>
        <v/>
      </c>
      <c r="K5792" t="str">
        <f t="shared" si="181"/>
        <v/>
      </c>
    </row>
    <row r="5793" spans="7:11" x14ac:dyDescent="0.2">
      <c r="G5793" s="44"/>
      <c r="J5793" t="str">
        <f t="shared" si="180"/>
        <v/>
      </c>
      <c r="K5793" t="str">
        <f t="shared" si="181"/>
        <v/>
      </c>
    </row>
    <row r="5794" spans="7:11" x14ac:dyDescent="0.2">
      <c r="G5794" s="44"/>
      <c r="J5794" t="str">
        <f t="shared" si="180"/>
        <v/>
      </c>
      <c r="K5794" t="str">
        <f t="shared" si="181"/>
        <v/>
      </c>
    </row>
    <row r="5795" spans="7:11" x14ac:dyDescent="0.2">
      <c r="G5795" s="44"/>
      <c r="J5795" t="str">
        <f t="shared" si="180"/>
        <v/>
      </c>
      <c r="K5795" t="str">
        <f t="shared" si="181"/>
        <v/>
      </c>
    </row>
    <row r="5796" spans="7:11" x14ac:dyDescent="0.2">
      <c r="G5796" s="44"/>
      <c r="J5796" t="str">
        <f t="shared" si="180"/>
        <v/>
      </c>
      <c r="K5796" t="str">
        <f t="shared" si="181"/>
        <v/>
      </c>
    </row>
    <row r="5797" spans="7:11" x14ac:dyDescent="0.2">
      <c r="G5797" s="44"/>
      <c r="J5797" t="str">
        <f t="shared" si="180"/>
        <v/>
      </c>
      <c r="K5797" t="str">
        <f t="shared" si="181"/>
        <v/>
      </c>
    </row>
    <row r="5798" spans="7:11" x14ac:dyDescent="0.2">
      <c r="G5798" s="44"/>
      <c r="J5798" t="str">
        <f t="shared" si="180"/>
        <v/>
      </c>
      <c r="K5798" t="str">
        <f t="shared" si="181"/>
        <v/>
      </c>
    </row>
    <row r="5799" spans="7:11" x14ac:dyDescent="0.2">
      <c r="G5799" s="44"/>
      <c r="J5799" t="str">
        <f t="shared" si="180"/>
        <v/>
      </c>
      <c r="K5799" t="str">
        <f t="shared" si="181"/>
        <v/>
      </c>
    </row>
    <row r="5800" spans="7:11" x14ac:dyDescent="0.2">
      <c r="G5800" s="44"/>
      <c r="J5800" t="str">
        <f t="shared" si="180"/>
        <v/>
      </c>
      <c r="K5800" t="str">
        <f t="shared" si="181"/>
        <v/>
      </c>
    </row>
    <row r="5801" spans="7:11" x14ac:dyDescent="0.2">
      <c r="G5801" s="44"/>
      <c r="J5801" t="str">
        <f t="shared" si="180"/>
        <v/>
      </c>
      <c r="K5801" t="str">
        <f t="shared" si="181"/>
        <v/>
      </c>
    </row>
    <row r="5802" spans="7:11" x14ac:dyDescent="0.2">
      <c r="G5802" s="44"/>
      <c r="J5802" t="str">
        <f t="shared" si="180"/>
        <v/>
      </c>
      <c r="K5802" t="str">
        <f t="shared" si="181"/>
        <v/>
      </c>
    </row>
    <row r="5803" spans="7:11" x14ac:dyDescent="0.2">
      <c r="G5803" s="44"/>
      <c r="J5803" t="str">
        <f t="shared" si="180"/>
        <v/>
      </c>
      <c r="K5803" t="str">
        <f t="shared" si="181"/>
        <v/>
      </c>
    </row>
    <row r="5804" spans="7:11" x14ac:dyDescent="0.2">
      <c r="G5804" s="44"/>
      <c r="J5804" t="str">
        <f t="shared" si="180"/>
        <v/>
      </c>
      <c r="K5804" t="str">
        <f t="shared" si="181"/>
        <v/>
      </c>
    </row>
    <row r="5805" spans="7:11" x14ac:dyDescent="0.2">
      <c r="G5805" s="44"/>
      <c r="J5805" t="str">
        <f t="shared" si="180"/>
        <v/>
      </c>
      <c r="K5805" t="str">
        <f t="shared" si="181"/>
        <v/>
      </c>
    </row>
    <row r="5806" spans="7:11" x14ac:dyDescent="0.2">
      <c r="G5806" s="44"/>
      <c r="J5806" t="str">
        <f t="shared" si="180"/>
        <v/>
      </c>
      <c r="K5806" t="str">
        <f t="shared" si="181"/>
        <v/>
      </c>
    </row>
    <row r="5807" spans="7:11" x14ac:dyDescent="0.2">
      <c r="G5807" s="44"/>
      <c r="J5807" t="str">
        <f t="shared" si="180"/>
        <v/>
      </c>
      <c r="K5807" t="str">
        <f t="shared" si="181"/>
        <v/>
      </c>
    </row>
    <row r="5808" spans="7:11" x14ac:dyDescent="0.2">
      <c r="G5808" s="44"/>
      <c r="J5808" t="str">
        <f t="shared" si="180"/>
        <v/>
      </c>
      <c r="K5808" t="str">
        <f t="shared" si="181"/>
        <v/>
      </c>
    </row>
    <row r="5809" spans="7:11" x14ac:dyDescent="0.2">
      <c r="G5809" s="44"/>
      <c r="J5809" t="str">
        <f t="shared" si="180"/>
        <v/>
      </c>
      <c r="K5809" t="str">
        <f t="shared" si="181"/>
        <v/>
      </c>
    </row>
    <row r="5810" spans="7:11" x14ac:dyDescent="0.2">
      <c r="G5810" s="44"/>
      <c r="J5810" t="str">
        <f t="shared" si="180"/>
        <v/>
      </c>
      <c r="K5810" t="str">
        <f t="shared" si="181"/>
        <v/>
      </c>
    </row>
    <row r="5811" spans="7:11" x14ac:dyDescent="0.2">
      <c r="G5811" s="44"/>
      <c r="J5811" t="str">
        <f t="shared" si="180"/>
        <v/>
      </c>
      <c r="K5811" t="str">
        <f t="shared" si="181"/>
        <v/>
      </c>
    </row>
    <row r="5812" spans="7:11" x14ac:dyDescent="0.2">
      <c r="G5812" s="44"/>
      <c r="J5812" t="str">
        <f t="shared" si="180"/>
        <v/>
      </c>
      <c r="K5812" t="str">
        <f t="shared" si="181"/>
        <v/>
      </c>
    </row>
    <row r="5813" spans="7:11" x14ac:dyDescent="0.2">
      <c r="G5813" s="44"/>
      <c r="J5813" t="str">
        <f t="shared" si="180"/>
        <v/>
      </c>
      <c r="K5813" t="str">
        <f t="shared" si="181"/>
        <v/>
      </c>
    </row>
    <row r="5814" spans="7:11" x14ac:dyDescent="0.2">
      <c r="G5814" s="44"/>
      <c r="J5814" t="str">
        <f t="shared" si="180"/>
        <v/>
      </c>
      <c r="K5814" t="str">
        <f t="shared" si="181"/>
        <v/>
      </c>
    </row>
    <row r="5815" spans="7:11" x14ac:dyDescent="0.2">
      <c r="G5815" s="44"/>
      <c r="J5815" t="str">
        <f t="shared" si="180"/>
        <v/>
      </c>
      <c r="K5815" t="str">
        <f t="shared" si="181"/>
        <v/>
      </c>
    </row>
    <row r="5816" spans="7:11" x14ac:dyDescent="0.2">
      <c r="G5816" s="44"/>
      <c r="J5816" t="str">
        <f t="shared" si="180"/>
        <v/>
      </c>
      <c r="K5816" t="str">
        <f t="shared" si="181"/>
        <v/>
      </c>
    </row>
    <row r="5817" spans="7:11" x14ac:dyDescent="0.2">
      <c r="G5817" s="44"/>
      <c r="J5817" t="str">
        <f t="shared" si="180"/>
        <v/>
      </c>
      <c r="K5817" t="str">
        <f t="shared" si="181"/>
        <v/>
      </c>
    </row>
    <row r="5818" spans="7:11" x14ac:dyDescent="0.2">
      <c r="G5818" s="44"/>
      <c r="J5818" t="str">
        <f t="shared" si="180"/>
        <v/>
      </c>
      <c r="K5818" t="str">
        <f t="shared" si="181"/>
        <v/>
      </c>
    </row>
    <row r="5819" spans="7:11" x14ac:dyDescent="0.2">
      <c r="G5819" s="44"/>
      <c r="J5819" t="str">
        <f t="shared" si="180"/>
        <v/>
      </c>
      <c r="K5819" t="str">
        <f t="shared" si="181"/>
        <v/>
      </c>
    </row>
    <row r="5820" spans="7:11" x14ac:dyDescent="0.2">
      <c r="G5820" s="44"/>
      <c r="J5820" t="str">
        <f t="shared" si="180"/>
        <v/>
      </c>
      <c r="K5820" t="str">
        <f t="shared" si="181"/>
        <v/>
      </c>
    </row>
    <row r="5821" spans="7:11" x14ac:dyDescent="0.2">
      <c r="G5821" s="44"/>
      <c r="J5821" t="str">
        <f t="shared" si="180"/>
        <v/>
      </c>
      <c r="K5821" t="str">
        <f t="shared" si="181"/>
        <v/>
      </c>
    </row>
    <row r="5822" spans="7:11" x14ac:dyDescent="0.2">
      <c r="G5822" s="44"/>
      <c r="J5822" t="str">
        <f t="shared" si="180"/>
        <v/>
      </c>
      <c r="K5822" t="str">
        <f t="shared" si="181"/>
        <v/>
      </c>
    </row>
    <row r="5823" spans="7:11" x14ac:dyDescent="0.2">
      <c r="G5823" s="44"/>
      <c r="J5823" t="str">
        <f t="shared" si="180"/>
        <v/>
      </c>
      <c r="K5823" t="str">
        <f t="shared" si="181"/>
        <v/>
      </c>
    </row>
    <row r="5824" spans="7:11" x14ac:dyDescent="0.2">
      <c r="G5824" s="44"/>
      <c r="J5824" t="str">
        <f t="shared" si="180"/>
        <v/>
      </c>
      <c r="K5824" t="str">
        <f t="shared" si="181"/>
        <v/>
      </c>
    </row>
    <row r="5825" spans="7:11" x14ac:dyDescent="0.2">
      <c r="G5825" s="44"/>
      <c r="J5825" t="str">
        <f t="shared" si="180"/>
        <v/>
      </c>
      <c r="K5825" t="str">
        <f t="shared" si="181"/>
        <v/>
      </c>
    </row>
    <row r="5826" spans="7:11" x14ac:dyDescent="0.2">
      <c r="G5826" s="44"/>
      <c r="J5826" t="str">
        <f t="shared" ref="J5826:J5889" si="182">IF(E5826="","",IF(OR(E5826=50,E5826=51),"Iltindhold",IF(E5826=75,"Carbon,org,NVOC",IF(OR(E5826=343,E5826=1167),"Svovlbrinte",IF(OR(E5826=240,E5826=241,E5826=242),"Amm",IF(E5826=244,"Nitrit",IF(E5826=247,"Nitrat",IF(E5826=334,"Sulfat",IF(E5826=262,"Phosphor, total-P",F5826)))))))))</f>
        <v/>
      </c>
      <c r="K5826" t="str">
        <f t="shared" ref="K5826:K5889" si="183">IF(A5826="","",IF(H5826="!",NA(),IF(H5826="A",I5826*0.5,IF(H5826="&lt;",I5826*0.5,I5826))))</f>
        <v/>
      </c>
    </row>
    <row r="5827" spans="7:11" x14ac:dyDescent="0.2">
      <c r="G5827" s="44"/>
      <c r="J5827" t="str">
        <f t="shared" si="182"/>
        <v/>
      </c>
      <c r="K5827" t="str">
        <f t="shared" si="183"/>
        <v/>
      </c>
    </row>
    <row r="5828" spans="7:11" x14ac:dyDescent="0.2">
      <c r="G5828" s="44"/>
      <c r="J5828" t="str">
        <f t="shared" si="182"/>
        <v/>
      </c>
      <c r="K5828" t="str">
        <f t="shared" si="183"/>
        <v/>
      </c>
    </row>
    <row r="5829" spans="7:11" x14ac:dyDescent="0.2">
      <c r="G5829" s="44"/>
      <c r="J5829" t="str">
        <f t="shared" si="182"/>
        <v/>
      </c>
      <c r="K5829" t="str">
        <f t="shared" si="183"/>
        <v/>
      </c>
    </row>
    <row r="5830" spans="7:11" x14ac:dyDescent="0.2">
      <c r="G5830" s="44"/>
      <c r="J5830" t="str">
        <f t="shared" si="182"/>
        <v/>
      </c>
      <c r="K5830" t="str">
        <f t="shared" si="183"/>
        <v/>
      </c>
    </row>
    <row r="5831" spans="7:11" x14ac:dyDescent="0.2">
      <c r="G5831" s="44"/>
      <c r="J5831" t="str">
        <f t="shared" si="182"/>
        <v/>
      </c>
      <c r="K5831" t="str">
        <f t="shared" si="183"/>
        <v/>
      </c>
    </row>
    <row r="5832" spans="7:11" x14ac:dyDescent="0.2">
      <c r="G5832" s="44"/>
      <c r="J5832" t="str">
        <f t="shared" si="182"/>
        <v/>
      </c>
      <c r="K5832" t="str">
        <f t="shared" si="183"/>
        <v/>
      </c>
    </row>
    <row r="5833" spans="7:11" x14ac:dyDescent="0.2">
      <c r="G5833" s="44"/>
      <c r="J5833" t="str">
        <f t="shared" si="182"/>
        <v/>
      </c>
      <c r="K5833" t="str">
        <f t="shared" si="183"/>
        <v/>
      </c>
    </row>
    <row r="5834" spans="7:11" x14ac:dyDescent="0.2">
      <c r="G5834" s="44"/>
      <c r="J5834" t="str">
        <f t="shared" si="182"/>
        <v/>
      </c>
      <c r="K5834" t="str">
        <f t="shared" si="183"/>
        <v/>
      </c>
    </row>
    <row r="5835" spans="7:11" x14ac:dyDescent="0.2">
      <c r="G5835" s="44"/>
      <c r="J5835" t="str">
        <f t="shared" si="182"/>
        <v/>
      </c>
      <c r="K5835" t="str">
        <f t="shared" si="183"/>
        <v/>
      </c>
    </row>
    <row r="5836" spans="7:11" x14ac:dyDescent="0.2">
      <c r="G5836" s="44"/>
      <c r="J5836" t="str">
        <f t="shared" si="182"/>
        <v/>
      </c>
      <c r="K5836" t="str">
        <f t="shared" si="183"/>
        <v/>
      </c>
    </row>
    <row r="5837" spans="7:11" x14ac:dyDescent="0.2">
      <c r="G5837" s="44"/>
      <c r="J5837" t="str">
        <f t="shared" si="182"/>
        <v/>
      </c>
      <c r="K5837" t="str">
        <f t="shared" si="183"/>
        <v/>
      </c>
    </row>
    <row r="5838" spans="7:11" x14ac:dyDescent="0.2">
      <c r="G5838" s="44"/>
      <c r="J5838" t="str">
        <f t="shared" si="182"/>
        <v/>
      </c>
      <c r="K5838" t="str">
        <f t="shared" si="183"/>
        <v/>
      </c>
    </row>
    <row r="5839" spans="7:11" x14ac:dyDescent="0.2">
      <c r="G5839" s="44"/>
      <c r="J5839" t="str">
        <f t="shared" si="182"/>
        <v/>
      </c>
      <c r="K5839" t="str">
        <f t="shared" si="183"/>
        <v/>
      </c>
    </row>
    <row r="5840" spans="7:11" x14ac:dyDescent="0.2">
      <c r="G5840" s="44"/>
      <c r="J5840" t="str">
        <f t="shared" si="182"/>
        <v/>
      </c>
      <c r="K5840" t="str">
        <f t="shared" si="183"/>
        <v/>
      </c>
    </row>
    <row r="5841" spans="7:11" x14ac:dyDescent="0.2">
      <c r="G5841" s="44"/>
      <c r="J5841" t="str">
        <f t="shared" si="182"/>
        <v/>
      </c>
      <c r="K5841" t="str">
        <f t="shared" si="183"/>
        <v/>
      </c>
    </row>
    <row r="5842" spans="7:11" x14ac:dyDescent="0.2">
      <c r="G5842" s="44"/>
      <c r="J5842" t="str">
        <f t="shared" si="182"/>
        <v/>
      </c>
      <c r="K5842" t="str">
        <f t="shared" si="183"/>
        <v/>
      </c>
    </row>
    <row r="5843" spans="7:11" x14ac:dyDescent="0.2">
      <c r="G5843" s="44"/>
      <c r="J5843" t="str">
        <f t="shared" si="182"/>
        <v/>
      </c>
      <c r="K5843" t="str">
        <f t="shared" si="183"/>
        <v/>
      </c>
    </row>
    <row r="5844" spans="7:11" x14ac:dyDescent="0.2">
      <c r="G5844" s="44"/>
      <c r="J5844" t="str">
        <f t="shared" si="182"/>
        <v/>
      </c>
      <c r="K5844" t="str">
        <f t="shared" si="183"/>
        <v/>
      </c>
    </row>
    <row r="5845" spans="7:11" x14ac:dyDescent="0.2">
      <c r="G5845" s="44"/>
      <c r="J5845" t="str">
        <f t="shared" si="182"/>
        <v/>
      </c>
      <c r="K5845" t="str">
        <f t="shared" si="183"/>
        <v/>
      </c>
    </row>
    <row r="5846" spans="7:11" x14ac:dyDescent="0.2">
      <c r="G5846" s="44"/>
      <c r="J5846" t="str">
        <f t="shared" si="182"/>
        <v/>
      </c>
      <c r="K5846" t="str">
        <f t="shared" si="183"/>
        <v/>
      </c>
    </row>
    <row r="5847" spans="7:11" x14ac:dyDescent="0.2">
      <c r="G5847" s="44"/>
      <c r="J5847" t="str">
        <f t="shared" si="182"/>
        <v/>
      </c>
      <c r="K5847" t="str">
        <f t="shared" si="183"/>
        <v/>
      </c>
    </row>
    <row r="5848" spans="7:11" x14ac:dyDescent="0.2">
      <c r="G5848" s="44"/>
      <c r="J5848" t="str">
        <f t="shared" si="182"/>
        <v/>
      </c>
      <c r="K5848" t="str">
        <f t="shared" si="183"/>
        <v/>
      </c>
    </row>
    <row r="5849" spans="7:11" x14ac:dyDescent="0.2">
      <c r="G5849" s="44"/>
      <c r="J5849" t="str">
        <f t="shared" si="182"/>
        <v/>
      </c>
      <c r="K5849" t="str">
        <f t="shared" si="183"/>
        <v/>
      </c>
    </row>
    <row r="5850" spans="7:11" x14ac:dyDescent="0.2">
      <c r="G5850" s="44"/>
      <c r="J5850" t="str">
        <f t="shared" si="182"/>
        <v/>
      </c>
      <c r="K5850" t="str">
        <f t="shared" si="183"/>
        <v/>
      </c>
    </row>
    <row r="5851" spans="7:11" x14ac:dyDescent="0.2">
      <c r="G5851" s="44"/>
      <c r="J5851" t="str">
        <f t="shared" si="182"/>
        <v/>
      </c>
      <c r="K5851" t="str">
        <f t="shared" si="183"/>
        <v/>
      </c>
    </row>
    <row r="5852" spans="7:11" x14ac:dyDescent="0.2">
      <c r="G5852" s="44"/>
      <c r="J5852" t="str">
        <f t="shared" si="182"/>
        <v/>
      </c>
      <c r="K5852" t="str">
        <f t="shared" si="183"/>
        <v/>
      </c>
    </row>
    <row r="5853" spans="7:11" x14ac:dyDescent="0.2">
      <c r="G5853" s="44"/>
      <c r="J5853" t="str">
        <f t="shared" si="182"/>
        <v/>
      </c>
      <c r="K5853" t="str">
        <f t="shared" si="183"/>
        <v/>
      </c>
    </row>
    <row r="5854" spans="7:11" x14ac:dyDescent="0.2">
      <c r="G5854" s="44"/>
      <c r="J5854" t="str">
        <f t="shared" si="182"/>
        <v/>
      </c>
      <c r="K5854" t="str">
        <f t="shared" si="183"/>
        <v/>
      </c>
    </row>
    <row r="5855" spans="7:11" x14ac:dyDescent="0.2">
      <c r="G5855" s="44"/>
      <c r="J5855" t="str">
        <f t="shared" si="182"/>
        <v/>
      </c>
      <c r="K5855" t="str">
        <f t="shared" si="183"/>
        <v/>
      </c>
    </row>
    <row r="5856" spans="7:11" x14ac:dyDescent="0.2">
      <c r="G5856" s="44"/>
      <c r="J5856" t="str">
        <f t="shared" si="182"/>
        <v/>
      </c>
      <c r="K5856" t="str">
        <f t="shared" si="183"/>
        <v/>
      </c>
    </row>
    <row r="5857" spans="7:11" x14ac:dyDescent="0.2">
      <c r="G5857" s="44"/>
      <c r="J5857" t="str">
        <f t="shared" si="182"/>
        <v/>
      </c>
      <c r="K5857" t="str">
        <f t="shared" si="183"/>
        <v/>
      </c>
    </row>
    <row r="5858" spans="7:11" x14ac:dyDescent="0.2">
      <c r="G5858" s="44"/>
      <c r="J5858" t="str">
        <f t="shared" si="182"/>
        <v/>
      </c>
      <c r="K5858" t="str">
        <f t="shared" si="183"/>
        <v/>
      </c>
    </row>
    <row r="5859" spans="7:11" x14ac:dyDescent="0.2">
      <c r="G5859" s="44"/>
      <c r="J5859" t="str">
        <f t="shared" si="182"/>
        <v/>
      </c>
      <c r="K5859" t="str">
        <f t="shared" si="183"/>
        <v/>
      </c>
    </row>
    <row r="5860" spans="7:11" x14ac:dyDescent="0.2">
      <c r="G5860" s="44"/>
      <c r="J5860" t="str">
        <f t="shared" si="182"/>
        <v/>
      </c>
      <c r="K5860" t="str">
        <f t="shared" si="183"/>
        <v/>
      </c>
    </row>
    <row r="5861" spans="7:11" x14ac:dyDescent="0.2">
      <c r="G5861" s="44"/>
      <c r="J5861" t="str">
        <f t="shared" si="182"/>
        <v/>
      </c>
      <c r="K5861" t="str">
        <f t="shared" si="183"/>
        <v/>
      </c>
    </row>
    <row r="5862" spans="7:11" x14ac:dyDescent="0.2">
      <c r="G5862" s="44"/>
      <c r="J5862" t="str">
        <f t="shared" si="182"/>
        <v/>
      </c>
      <c r="K5862" t="str">
        <f t="shared" si="183"/>
        <v/>
      </c>
    </row>
    <row r="5863" spans="7:11" x14ac:dyDescent="0.2">
      <c r="G5863" s="44"/>
      <c r="J5863" t="str">
        <f t="shared" si="182"/>
        <v/>
      </c>
      <c r="K5863" t="str">
        <f t="shared" si="183"/>
        <v/>
      </c>
    </row>
    <row r="5864" spans="7:11" x14ac:dyDescent="0.2">
      <c r="G5864" s="44"/>
      <c r="J5864" t="str">
        <f t="shared" si="182"/>
        <v/>
      </c>
      <c r="K5864" t="str">
        <f t="shared" si="183"/>
        <v/>
      </c>
    </row>
    <row r="5865" spans="7:11" x14ac:dyDescent="0.2">
      <c r="G5865" s="44"/>
      <c r="J5865" t="str">
        <f t="shared" si="182"/>
        <v/>
      </c>
      <c r="K5865" t="str">
        <f t="shared" si="183"/>
        <v/>
      </c>
    </row>
    <row r="5866" spans="7:11" x14ac:dyDescent="0.2">
      <c r="G5866" s="44"/>
      <c r="J5866" t="str">
        <f t="shared" si="182"/>
        <v/>
      </c>
      <c r="K5866" t="str">
        <f t="shared" si="183"/>
        <v/>
      </c>
    </row>
    <row r="5867" spans="7:11" x14ac:dyDescent="0.2">
      <c r="G5867" s="44"/>
      <c r="J5867" t="str">
        <f t="shared" si="182"/>
        <v/>
      </c>
      <c r="K5867" t="str">
        <f t="shared" si="183"/>
        <v/>
      </c>
    </row>
    <row r="5868" spans="7:11" x14ac:dyDescent="0.2">
      <c r="G5868" s="44"/>
      <c r="J5868" t="str">
        <f t="shared" si="182"/>
        <v/>
      </c>
      <c r="K5868" t="str">
        <f t="shared" si="183"/>
        <v/>
      </c>
    </row>
    <row r="5869" spans="7:11" x14ac:dyDescent="0.2">
      <c r="G5869" s="44"/>
      <c r="J5869" t="str">
        <f t="shared" si="182"/>
        <v/>
      </c>
      <c r="K5869" t="str">
        <f t="shared" si="183"/>
        <v/>
      </c>
    </row>
    <row r="5870" spans="7:11" x14ac:dyDescent="0.2">
      <c r="G5870" s="44"/>
      <c r="J5870" t="str">
        <f t="shared" si="182"/>
        <v/>
      </c>
      <c r="K5870" t="str">
        <f t="shared" si="183"/>
        <v/>
      </c>
    </row>
    <row r="5871" spans="7:11" x14ac:dyDescent="0.2">
      <c r="G5871" s="44"/>
      <c r="J5871" t="str">
        <f t="shared" si="182"/>
        <v/>
      </c>
      <c r="K5871" t="str">
        <f t="shared" si="183"/>
        <v/>
      </c>
    </row>
    <row r="5872" spans="7:11" x14ac:dyDescent="0.2">
      <c r="G5872" s="44"/>
      <c r="J5872" t="str">
        <f t="shared" si="182"/>
        <v/>
      </c>
      <c r="K5872" t="str">
        <f t="shared" si="183"/>
        <v/>
      </c>
    </row>
    <row r="5873" spans="7:11" x14ac:dyDescent="0.2">
      <c r="G5873" s="44"/>
      <c r="J5873" t="str">
        <f t="shared" si="182"/>
        <v/>
      </c>
      <c r="K5873" t="str">
        <f t="shared" si="183"/>
        <v/>
      </c>
    </row>
    <row r="5874" spans="7:11" x14ac:dyDescent="0.2">
      <c r="G5874" s="44"/>
      <c r="J5874" t="str">
        <f t="shared" si="182"/>
        <v/>
      </c>
      <c r="K5874" t="str">
        <f t="shared" si="183"/>
        <v/>
      </c>
    </row>
    <row r="5875" spans="7:11" x14ac:dyDescent="0.2">
      <c r="G5875" s="44"/>
      <c r="J5875" t="str">
        <f t="shared" si="182"/>
        <v/>
      </c>
      <c r="K5875" t="str">
        <f t="shared" si="183"/>
        <v/>
      </c>
    </row>
    <row r="5876" spans="7:11" x14ac:dyDescent="0.2">
      <c r="G5876" s="44"/>
      <c r="J5876" t="str">
        <f t="shared" si="182"/>
        <v/>
      </c>
      <c r="K5876" t="str">
        <f t="shared" si="183"/>
        <v/>
      </c>
    </row>
    <row r="5877" spans="7:11" x14ac:dyDescent="0.2">
      <c r="G5877" s="44"/>
      <c r="J5877" t="str">
        <f t="shared" si="182"/>
        <v/>
      </c>
      <c r="K5877" t="str">
        <f t="shared" si="183"/>
        <v/>
      </c>
    </row>
    <row r="5878" spans="7:11" x14ac:dyDescent="0.2">
      <c r="G5878" s="44"/>
      <c r="J5878" t="str">
        <f t="shared" si="182"/>
        <v/>
      </c>
      <c r="K5878" t="str">
        <f t="shared" si="183"/>
        <v/>
      </c>
    </row>
    <row r="5879" spans="7:11" x14ac:dyDescent="0.2">
      <c r="G5879" s="44"/>
      <c r="J5879" t="str">
        <f t="shared" si="182"/>
        <v/>
      </c>
      <c r="K5879" t="str">
        <f t="shared" si="183"/>
        <v/>
      </c>
    </row>
    <row r="5880" spans="7:11" x14ac:dyDescent="0.2">
      <c r="G5880" s="44"/>
      <c r="J5880" t="str">
        <f t="shared" si="182"/>
        <v/>
      </c>
      <c r="K5880" t="str">
        <f t="shared" si="183"/>
        <v/>
      </c>
    </row>
    <row r="5881" spans="7:11" x14ac:dyDescent="0.2">
      <c r="G5881" s="44"/>
      <c r="J5881" t="str">
        <f t="shared" si="182"/>
        <v/>
      </c>
      <c r="K5881" t="str">
        <f t="shared" si="183"/>
        <v/>
      </c>
    </row>
    <row r="5882" spans="7:11" x14ac:dyDescent="0.2">
      <c r="G5882" s="44"/>
      <c r="J5882" t="str">
        <f t="shared" si="182"/>
        <v/>
      </c>
      <c r="K5882" t="str">
        <f t="shared" si="183"/>
        <v/>
      </c>
    </row>
    <row r="5883" spans="7:11" x14ac:dyDescent="0.2">
      <c r="G5883" s="44"/>
      <c r="J5883" t="str">
        <f t="shared" si="182"/>
        <v/>
      </c>
      <c r="K5883" t="str">
        <f t="shared" si="183"/>
        <v/>
      </c>
    </row>
    <row r="5884" spans="7:11" x14ac:dyDescent="0.2">
      <c r="G5884" s="44"/>
      <c r="J5884" t="str">
        <f t="shared" si="182"/>
        <v/>
      </c>
      <c r="K5884" t="str">
        <f t="shared" si="183"/>
        <v/>
      </c>
    </row>
    <row r="5885" spans="7:11" x14ac:dyDescent="0.2">
      <c r="G5885" s="44"/>
      <c r="J5885" t="str">
        <f t="shared" si="182"/>
        <v/>
      </c>
      <c r="K5885" t="str">
        <f t="shared" si="183"/>
        <v/>
      </c>
    </row>
    <row r="5886" spans="7:11" x14ac:dyDescent="0.2">
      <c r="G5886" s="44"/>
      <c r="J5886" t="str">
        <f t="shared" si="182"/>
        <v/>
      </c>
      <c r="K5886" t="str">
        <f t="shared" si="183"/>
        <v/>
      </c>
    </row>
    <row r="5887" spans="7:11" x14ac:dyDescent="0.2">
      <c r="G5887" s="44"/>
      <c r="J5887" t="str">
        <f t="shared" si="182"/>
        <v/>
      </c>
      <c r="K5887" t="str">
        <f t="shared" si="183"/>
        <v/>
      </c>
    </row>
    <row r="5888" spans="7:11" x14ac:dyDescent="0.2">
      <c r="G5888" s="44"/>
      <c r="J5888" t="str">
        <f t="shared" si="182"/>
        <v/>
      </c>
      <c r="K5888" t="str">
        <f t="shared" si="183"/>
        <v/>
      </c>
    </row>
    <row r="5889" spans="7:11" x14ac:dyDescent="0.2">
      <c r="G5889" s="44"/>
      <c r="J5889" t="str">
        <f t="shared" si="182"/>
        <v/>
      </c>
      <c r="K5889" t="str">
        <f t="shared" si="183"/>
        <v/>
      </c>
    </row>
    <row r="5890" spans="7:11" x14ac:dyDescent="0.2">
      <c r="G5890" s="44"/>
      <c r="J5890" t="str">
        <f t="shared" ref="J5890:J5953" si="184">IF(E5890="","",IF(OR(E5890=50,E5890=51),"Iltindhold",IF(E5890=75,"Carbon,org,NVOC",IF(OR(E5890=343,E5890=1167),"Svovlbrinte",IF(OR(E5890=240,E5890=241,E5890=242),"Amm",IF(E5890=244,"Nitrit",IF(E5890=247,"Nitrat",IF(E5890=334,"Sulfat",IF(E5890=262,"Phosphor, total-P",F5890)))))))))</f>
        <v/>
      </c>
      <c r="K5890" t="str">
        <f t="shared" ref="K5890:K5953" si="185">IF(A5890="","",IF(H5890="!",NA(),IF(H5890="A",I5890*0.5,IF(H5890="&lt;",I5890*0.5,I5890))))</f>
        <v/>
      </c>
    </row>
    <row r="5891" spans="7:11" x14ac:dyDescent="0.2">
      <c r="G5891" s="44"/>
      <c r="J5891" t="str">
        <f t="shared" si="184"/>
        <v/>
      </c>
      <c r="K5891" t="str">
        <f t="shared" si="185"/>
        <v/>
      </c>
    </row>
    <row r="5892" spans="7:11" x14ac:dyDescent="0.2">
      <c r="G5892" s="44"/>
      <c r="J5892" t="str">
        <f t="shared" si="184"/>
        <v/>
      </c>
      <c r="K5892" t="str">
        <f t="shared" si="185"/>
        <v/>
      </c>
    </row>
    <row r="5893" spans="7:11" x14ac:dyDescent="0.2">
      <c r="G5893" s="44"/>
      <c r="J5893" t="str">
        <f t="shared" si="184"/>
        <v/>
      </c>
      <c r="K5893" t="str">
        <f t="shared" si="185"/>
        <v/>
      </c>
    </row>
    <row r="5894" spans="7:11" x14ac:dyDescent="0.2">
      <c r="G5894" s="44"/>
      <c r="J5894" t="str">
        <f t="shared" si="184"/>
        <v/>
      </c>
      <c r="K5894" t="str">
        <f t="shared" si="185"/>
        <v/>
      </c>
    </row>
    <row r="5895" spans="7:11" x14ac:dyDescent="0.2">
      <c r="G5895" s="44"/>
      <c r="J5895" t="str">
        <f t="shared" si="184"/>
        <v/>
      </c>
      <c r="K5895" t="str">
        <f t="shared" si="185"/>
        <v/>
      </c>
    </row>
    <row r="5896" spans="7:11" x14ac:dyDescent="0.2">
      <c r="G5896" s="44"/>
      <c r="J5896" t="str">
        <f t="shared" si="184"/>
        <v/>
      </c>
      <c r="K5896" t="str">
        <f t="shared" si="185"/>
        <v/>
      </c>
    </row>
    <row r="5897" spans="7:11" x14ac:dyDescent="0.2">
      <c r="G5897" s="44"/>
      <c r="J5897" t="str">
        <f t="shared" si="184"/>
        <v/>
      </c>
      <c r="K5897" t="str">
        <f t="shared" si="185"/>
        <v/>
      </c>
    </row>
    <row r="5898" spans="7:11" x14ac:dyDescent="0.2">
      <c r="G5898" s="44"/>
      <c r="J5898" t="str">
        <f t="shared" si="184"/>
        <v/>
      </c>
      <c r="K5898" t="str">
        <f t="shared" si="185"/>
        <v/>
      </c>
    </row>
    <row r="5899" spans="7:11" x14ac:dyDescent="0.2">
      <c r="G5899" s="44"/>
      <c r="J5899" t="str">
        <f t="shared" si="184"/>
        <v/>
      </c>
      <c r="K5899" t="str">
        <f t="shared" si="185"/>
        <v/>
      </c>
    </row>
    <row r="5900" spans="7:11" x14ac:dyDescent="0.2">
      <c r="G5900" s="44"/>
      <c r="J5900" t="str">
        <f t="shared" si="184"/>
        <v/>
      </c>
      <c r="K5900" t="str">
        <f t="shared" si="185"/>
        <v/>
      </c>
    </row>
    <row r="5901" spans="7:11" x14ac:dyDescent="0.2">
      <c r="G5901" s="44"/>
      <c r="J5901" t="str">
        <f t="shared" si="184"/>
        <v/>
      </c>
      <c r="K5901" t="str">
        <f t="shared" si="185"/>
        <v/>
      </c>
    </row>
    <row r="5902" spans="7:11" x14ac:dyDescent="0.2">
      <c r="G5902" s="44"/>
      <c r="J5902" t="str">
        <f t="shared" si="184"/>
        <v/>
      </c>
      <c r="K5902" t="str">
        <f t="shared" si="185"/>
        <v/>
      </c>
    </row>
    <row r="5903" spans="7:11" x14ac:dyDescent="0.2">
      <c r="G5903" s="44"/>
      <c r="J5903" t="str">
        <f t="shared" si="184"/>
        <v/>
      </c>
      <c r="K5903" t="str">
        <f t="shared" si="185"/>
        <v/>
      </c>
    </row>
    <row r="5904" spans="7:11" x14ac:dyDescent="0.2">
      <c r="G5904" s="44"/>
      <c r="J5904" t="str">
        <f t="shared" si="184"/>
        <v/>
      </c>
      <c r="K5904" t="str">
        <f t="shared" si="185"/>
        <v/>
      </c>
    </row>
    <row r="5905" spans="7:11" x14ac:dyDescent="0.2">
      <c r="G5905" s="44"/>
      <c r="J5905" t="str">
        <f t="shared" si="184"/>
        <v/>
      </c>
      <c r="K5905" t="str">
        <f t="shared" si="185"/>
        <v/>
      </c>
    </row>
    <row r="5906" spans="7:11" x14ac:dyDescent="0.2">
      <c r="G5906" s="44"/>
      <c r="J5906" t="str">
        <f t="shared" si="184"/>
        <v/>
      </c>
      <c r="K5906" t="str">
        <f t="shared" si="185"/>
        <v/>
      </c>
    </row>
    <row r="5907" spans="7:11" x14ac:dyDescent="0.2">
      <c r="G5907" s="44"/>
      <c r="J5907" t="str">
        <f t="shared" si="184"/>
        <v/>
      </c>
      <c r="K5907" t="str">
        <f t="shared" si="185"/>
        <v/>
      </c>
    </row>
    <row r="5908" spans="7:11" x14ac:dyDescent="0.2">
      <c r="G5908" s="44"/>
      <c r="J5908" t="str">
        <f t="shared" si="184"/>
        <v/>
      </c>
      <c r="K5908" t="str">
        <f t="shared" si="185"/>
        <v/>
      </c>
    </row>
    <row r="5909" spans="7:11" x14ac:dyDescent="0.2">
      <c r="G5909" s="44"/>
      <c r="J5909" t="str">
        <f t="shared" si="184"/>
        <v/>
      </c>
      <c r="K5909" t="str">
        <f t="shared" si="185"/>
        <v/>
      </c>
    </row>
    <row r="5910" spans="7:11" x14ac:dyDescent="0.2">
      <c r="G5910" s="44"/>
      <c r="J5910" t="str">
        <f t="shared" si="184"/>
        <v/>
      </c>
      <c r="K5910" t="str">
        <f t="shared" si="185"/>
        <v/>
      </c>
    </row>
    <row r="5911" spans="7:11" x14ac:dyDescent="0.2">
      <c r="G5911" s="44"/>
      <c r="J5911" t="str">
        <f t="shared" si="184"/>
        <v/>
      </c>
      <c r="K5911" t="str">
        <f t="shared" si="185"/>
        <v/>
      </c>
    </row>
    <row r="5912" spans="7:11" x14ac:dyDescent="0.2">
      <c r="G5912" s="44"/>
      <c r="J5912" t="str">
        <f t="shared" si="184"/>
        <v/>
      </c>
      <c r="K5912" t="str">
        <f t="shared" si="185"/>
        <v/>
      </c>
    </row>
    <row r="5913" spans="7:11" x14ac:dyDescent="0.2">
      <c r="G5913" s="44"/>
      <c r="J5913" t="str">
        <f t="shared" si="184"/>
        <v/>
      </c>
      <c r="K5913" t="str">
        <f t="shared" si="185"/>
        <v/>
      </c>
    </row>
    <row r="5914" spans="7:11" x14ac:dyDescent="0.2">
      <c r="G5914" s="44"/>
      <c r="J5914" t="str">
        <f t="shared" si="184"/>
        <v/>
      </c>
      <c r="K5914" t="str">
        <f t="shared" si="185"/>
        <v/>
      </c>
    </row>
    <row r="5915" spans="7:11" x14ac:dyDescent="0.2">
      <c r="G5915" s="44"/>
      <c r="J5915" t="str">
        <f t="shared" si="184"/>
        <v/>
      </c>
      <c r="K5915" t="str">
        <f t="shared" si="185"/>
        <v/>
      </c>
    </row>
    <row r="5916" spans="7:11" x14ac:dyDescent="0.2">
      <c r="G5916" s="44"/>
      <c r="J5916" t="str">
        <f t="shared" si="184"/>
        <v/>
      </c>
      <c r="K5916" t="str">
        <f t="shared" si="185"/>
        <v/>
      </c>
    </row>
    <row r="5917" spans="7:11" x14ac:dyDescent="0.2">
      <c r="G5917" s="44"/>
      <c r="J5917" t="str">
        <f t="shared" si="184"/>
        <v/>
      </c>
      <c r="K5917" t="str">
        <f t="shared" si="185"/>
        <v/>
      </c>
    </row>
    <row r="5918" spans="7:11" x14ac:dyDescent="0.2">
      <c r="G5918" s="44"/>
      <c r="J5918" t="str">
        <f t="shared" si="184"/>
        <v/>
      </c>
      <c r="K5918" t="str">
        <f t="shared" si="185"/>
        <v/>
      </c>
    </row>
    <row r="5919" spans="7:11" x14ac:dyDescent="0.2">
      <c r="G5919" s="44"/>
      <c r="J5919" t="str">
        <f t="shared" si="184"/>
        <v/>
      </c>
      <c r="K5919" t="str">
        <f t="shared" si="185"/>
        <v/>
      </c>
    </row>
    <row r="5920" spans="7:11" x14ac:dyDescent="0.2">
      <c r="G5920" s="44"/>
      <c r="J5920" t="str">
        <f t="shared" si="184"/>
        <v/>
      </c>
      <c r="K5920" t="str">
        <f t="shared" si="185"/>
        <v/>
      </c>
    </row>
    <row r="5921" spans="7:11" x14ac:dyDescent="0.2">
      <c r="G5921" s="44"/>
      <c r="J5921" t="str">
        <f t="shared" si="184"/>
        <v/>
      </c>
      <c r="K5921" t="str">
        <f t="shared" si="185"/>
        <v/>
      </c>
    </row>
    <row r="5922" spans="7:11" x14ac:dyDescent="0.2">
      <c r="G5922" s="44"/>
      <c r="J5922" t="str">
        <f t="shared" si="184"/>
        <v/>
      </c>
      <c r="K5922" t="str">
        <f t="shared" si="185"/>
        <v/>
      </c>
    </row>
    <row r="5923" spans="7:11" x14ac:dyDescent="0.2">
      <c r="G5923" s="44"/>
      <c r="J5923" t="str">
        <f t="shared" si="184"/>
        <v/>
      </c>
      <c r="K5923" t="str">
        <f t="shared" si="185"/>
        <v/>
      </c>
    </row>
    <row r="5924" spans="7:11" x14ac:dyDescent="0.2">
      <c r="G5924" s="44"/>
      <c r="J5924" t="str">
        <f t="shared" si="184"/>
        <v/>
      </c>
      <c r="K5924" t="str">
        <f t="shared" si="185"/>
        <v/>
      </c>
    </row>
    <row r="5925" spans="7:11" x14ac:dyDescent="0.2">
      <c r="G5925" s="44"/>
      <c r="J5925" t="str">
        <f t="shared" si="184"/>
        <v/>
      </c>
      <c r="K5925" t="str">
        <f t="shared" si="185"/>
        <v/>
      </c>
    </row>
    <row r="5926" spans="7:11" x14ac:dyDescent="0.2">
      <c r="G5926" s="44"/>
      <c r="J5926" t="str">
        <f t="shared" si="184"/>
        <v/>
      </c>
      <c r="K5926" t="str">
        <f t="shared" si="185"/>
        <v/>
      </c>
    </row>
    <row r="5927" spans="7:11" x14ac:dyDescent="0.2">
      <c r="G5927" s="44"/>
      <c r="J5927" t="str">
        <f t="shared" si="184"/>
        <v/>
      </c>
      <c r="K5927" t="str">
        <f t="shared" si="185"/>
        <v/>
      </c>
    </row>
    <row r="5928" spans="7:11" x14ac:dyDescent="0.2">
      <c r="G5928" s="44"/>
      <c r="J5928" t="str">
        <f t="shared" si="184"/>
        <v/>
      </c>
      <c r="K5928" t="str">
        <f t="shared" si="185"/>
        <v/>
      </c>
    </row>
    <row r="5929" spans="7:11" x14ac:dyDescent="0.2">
      <c r="G5929" s="44"/>
      <c r="J5929" t="str">
        <f t="shared" si="184"/>
        <v/>
      </c>
      <c r="K5929" t="str">
        <f t="shared" si="185"/>
        <v/>
      </c>
    </row>
    <row r="5930" spans="7:11" x14ac:dyDescent="0.2">
      <c r="G5930" s="44"/>
      <c r="J5930" t="str">
        <f t="shared" si="184"/>
        <v/>
      </c>
      <c r="K5930" t="str">
        <f t="shared" si="185"/>
        <v/>
      </c>
    </row>
    <row r="5931" spans="7:11" x14ac:dyDescent="0.2">
      <c r="G5931" s="44"/>
      <c r="J5931" t="str">
        <f t="shared" si="184"/>
        <v/>
      </c>
      <c r="K5931" t="str">
        <f t="shared" si="185"/>
        <v/>
      </c>
    </row>
    <row r="5932" spans="7:11" x14ac:dyDescent="0.2">
      <c r="G5932" s="44"/>
      <c r="J5932" t="str">
        <f t="shared" si="184"/>
        <v/>
      </c>
      <c r="K5932" t="str">
        <f t="shared" si="185"/>
        <v/>
      </c>
    </row>
    <row r="5933" spans="7:11" x14ac:dyDescent="0.2">
      <c r="G5933" s="44"/>
      <c r="J5933" t="str">
        <f t="shared" si="184"/>
        <v/>
      </c>
      <c r="K5933" t="str">
        <f t="shared" si="185"/>
        <v/>
      </c>
    </row>
    <row r="5934" spans="7:11" x14ac:dyDescent="0.2">
      <c r="G5934" s="44"/>
      <c r="J5934" t="str">
        <f t="shared" si="184"/>
        <v/>
      </c>
      <c r="K5934" t="str">
        <f t="shared" si="185"/>
        <v/>
      </c>
    </row>
    <row r="5935" spans="7:11" x14ac:dyDescent="0.2">
      <c r="G5935" s="44"/>
      <c r="J5935" t="str">
        <f t="shared" si="184"/>
        <v/>
      </c>
      <c r="K5935" t="str">
        <f t="shared" si="185"/>
        <v/>
      </c>
    </row>
    <row r="5936" spans="7:11" x14ac:dyDescent="0.2">
      <c r="G5936" s="44"/>
      <c r="J5936" t="str">
        <f t="shared" si="184"/>
        <v/>
      </c>
      <c r="K5936" t="str">
        <f t="shared" si="185"/>
        <v/>
      </c>
    </row>
    <row r="5937" spans="7:11" x14ac:dyDescent="0.2">
      <c r="G5937" s="44"/>
      <c r="J5937" t="str">
        <f t="shared" si="184"/>
        <v/>
      </c>
      <c r="K5937" t="str">
        <f t="shared" si="185"/>
        <v/>
      </c>
    </row>
    <row r="5938" spans="7:11" x14ac:dyDescent="0.2">
      <c r="G5938" s="44"/>
      <c r="J5938" t="str">
        <f t="shared" si="184"/>
        <v/>
      </c>
      <c r="K5938" t="str">
        <f t="shared" si="185"/>
        <v/>
      </c>
    </row>
    <row r="5939" spans="7:11" x14ac:dyDescent="0.2">
      <c r="G5939" s="44"/>
      <c r="J5939" t="str">
        <f t="shared" si="184"/>
        <v/>
      </c>
      <c r="K5939" t="str">
        <f t="shared" si="185"/>
        <v/>
      </c>
    </row>
    <row r="5940" spans="7:11" x14ac:dyDescent="0.2">
      <c r="G5940" s="44"/>
      <c r="J5940" t="str">
        <f t="shared" si="184"/>
        <v/>
      </c>
      <c r="K5940" t="str">
        <f t="shared" si="185"/>
        <v/>
      </c>
    </row>
    <row r="5941" spans="7:11" x14ac:dyDescent="0.2">
      <c r="G5941" s="44"/>
      <c r="J5941" t="str">
        <f t="shared" si="184"/>
        <v/>
      </c>
      <c r="K5941" t="str">
        <f t="shared" si="185"/>
        <v/>
      </c>
    </row>
    <row r="5942" spans="7:11" x14ac:dyDescent="0.2">
      <c r="G5942" s="44"/>
      <c r="J5942" t="str">
        <f t="shared" si="184"/>
        <v/>
      </c>
      <c r="K5942" t="str">
        <f t="shared" si="185"/>
        <v/>
      </c>
    </row>
    <row r="5943" spans="7:11" x14ac:dyDescent="0.2">
      <c r="G5943" s="44"/>
      <c r="J5943" t="str">
        <f t="shared" si="184"/>
        <v/>
      </c>
      <c r="K5943" t="str">
        <f t="shared" si="185"/>
        <v/>
      </c>
    </row>
    <row r="5944" spans="7:11" x14ac:dyDescent="0.2">
      <c r="G5944" s="44"/>
      <c r="J5944" t="str">
        <f t="shared" si="184"/>
        <v/>
      </c>
      <c r="K5944" t="str">
        <f t="shared" si="185"/>
        <v/>
      </c>
    </row>
    <row r="5945" spans="7:11" x14ac:dyDescent="0.2">
      <c r="G5945" s="44"/>
      <c r="J5945" t="str">
        <f t="shared" si="184"/>
        <v/>
      </c>
      <c r="K5945" t="str">
        <f t="shared" si="185"/>
        <v/>
      </c>
    </row>
    <row r="5946" spans="7:11" x14ac:dyDescent="0.2">
      <c r="G5946" s="44"/>
      <c r="J5946" t="str">
        <f t="shared" si="184"/>
        <v/>
      </c>
      <c r="K5946" t="str">
        <f t="shared" si="185"/>
        <v/>
      </c>
    </row>
    <row r="5947" spans="7:11" x14ac:dyDescent="0.2">
      <c r="G5947" s="44"/>
      <c r="J5947" t="str">
        <f t="shared" si="184"/>
        <v/>
      </c>
      <c r="K5947" t="str">
        <f t="shared" si="185"/>
        <v/>
      </c>
    </row>
    <row r="5948" spans="7:11" x14ac:dyDescent="0.2">
      <c r="G5948" s="44"/>
      <c r="J5948" t="str">
        <f t="shared" si="184"/>
        <v/>
      </c>
      <c r="K5948" t="str">
        <f t="shared" si="185"/>
        <v/>
      </c>
    </row>
    <row r="5949" spans="7:11" x14ac:dyDescent="0.2">
      <c r="G5949" s="44"/>
      <c r="J5949" t="str">
        <f t="shared" si="184"/>
        <v/>
      </c>
      <c r="K5949" t="str">
        <f t="shared" si="185"/>
        <v/>
      </c>
    </row>
    <row r="5950" spans="7:11" x14ac:dyDescent="0.2">
      <c r="G5950" s="44"/>
      <c r="J5950" t="str">
        <f t="shared" si="184"/>
        <v/>
      </c>
      <c r="K5950" t="str">
        <f t="shared" si="185"/>
        <v/>
      </c>
    </row>
    <row r="5951" spans="7:11" x14ac:dyDescent="0.2">
      <c r="G5951" s="44"/>
      <c r="J5951" t="str">
        <f t="shared" si="184"/>
        <v/>
      </c>
      <c r="K5951" t="str">
        <f t="shared" si="185"/>
        <v/>
      </c>
    </row>
    <row r="5952" spans="7:11" x14ac:dyDescent="0.2">
      <c r="G5952" s="44"/>
      <c r="J5952" t="str">
        <f t="shared" si="184"/>
        <v/>
      </c>
      <c r="K5952" t="str">
        <f t="shared" si="185"/>
        <v/>
      </c>
    </row>
    <row r="5953" spans="7:11" x14ac:dyDescent="0.2">
      <c r="G5953" s="44"/>
      <c r="J5953" t="str">
        <f t="shared" si="184"/>
        <v/>
      </c>
      <c r="K5953" t="str">
        <f t="shared" si="185"/>
        <v/>
      </c>
    </row>
    <row r="5954" spans="7:11" x14ac:dyDescent="0.2">
      <c r="G5954" s="44"/>
      <c r="J5954" t="str">
        <f t="shared" ref="J5954:J6017" si="186">IF(E5954="","",IF(OR(E5954=50,E5954=51),"Iltindhold",IF(E5954=75,"Carbon,org,NVOC",IF(OR(E5954=343,E5954=1167),"Svovlbrinte",IF(OR(E5954=240,E5954=241,E5954=242),"Amm",IF(E5954=244,"Nitrit",IF(E5954=247,"Nitrat",IF(E5954=334,"Sulfat",IF(E5954=262,"Phosphor, total-P",F5954)))))))))</f>
        <v/>
      </c>
      <c r="K5954" t="str">
        <f t="shared" ref="K5954:K6017" si="187">IF(A5954="","",IF(H5954="!",NA(),IF(H5954="A",I5954*0.5,IF(H5954="&lt;",I5954*0.5,I5954))))</f>
        <v/>
      </c>
    </row>
    <row r="5955" spans="7:11" x14ac:dyDescent="0.2">
      <c r="G5955" s="44"/>
      <c r="J5955" t="str">
        <f t="shared" si="186"/>
        <v/>
      </c>
      <c r="K5955" t="str">
        <f t="shared" si="187"/>
        <v/>
      </c>
    </row>
    <row r="5956" spans="7:11" x14ac:dyDescent="0.2">
      <c r="G5956" s="44"/>
      <c r="J5956" t="str">
        <f t="shared" si="186"/>
        <v/>
      </c>
      <c r="K5956" t="str">
        <f t="shared" si="187"/>
        <v/>
      </c>
    </row>
    <row r="5957" spans="7:11" x14ac:dyDescent="0.2">
      <c r="G5957" s="44"/>
      <c r="J5957" t="str">
        <f t="shared" si="186"/>
        <v/>
      </c>
      <c r="K5957" t="str">
        <f t="shared" si="187"/>
        <v/>
      </c>
    </row>
    <row r="5958" spans="7:11" x14ac:dyDescent="0.2">
      <c r="G5958" s="44"/>
      <c r="J5958" t="str">
        <f t="shared" si="186"/>
        <v/>
      </c>
      <c r="K5958" t="str">
        <f t="shared" si="187"/>
        <v/>
      </c>
    </row>
    <row r="5959" spans="7:11" x14ac:dyDescent="0.2">
      <c r="G5959" s="44"/>
      <c r="J5959" t="str">
        <f t="shared" si="186"/>
        <v/>
      </c>
      <c r="K5959" t="str">
        <f t="shared" si="187"/>
        <v/>
      </c>
    </row>
    <row r="5960" spans="7:11" x14ac:dyDescent="0.2">
      <c r="G5960" s="44"/>
      <c r="J5960" t="str">
        <f t="shared" si="186"/>
        <v/>
      </c>
      <c r="K5960" t="str">
        <f t="shared" si="187"/>
        <v/>
      </c>
    </row>
    <row r="5961" spans="7:11" x14ac:dyDescent="0.2">
      <c r="G5961" s="44"/>
      <c r="J5961" t="str">
        <f t="shared" si="186"/>
        <v/>
      </c>
      <c r="K5961" t="str">
        <f t="shared" si="187"/>
        <v/>
      </c>
    </row>
    <row r="5962" spans="7:11" x14ac:dyDescent="0.2">
      <c r="G5962" s="44"/>
      <c r="J5962" t="str">
        <f t="shared" si="186"/>
        <v/>
      </c>
      <c r="K5962" t="str">
        <f t="shared" si="187"/>
        <v/>
      </c>
    </row>
    <row r="5963" spans="7:11" x14ac:dyDescent="0.2">
      <c r="G5963" s="44"/>
      <c r="J5963" t="str">
        <f t="shared" si="186"/>
        <v/>
      </c>
      <c r="K5963" t="str">
        <f t="shared" si="187"/>
        <v/>
      </c>
    </row>
    <row r="5964" spans="7:11" x14ac:dyDescent="0.2">
      <c r="G5964" s="44"/>
      <c r="J5964" t="str">
        <f t="shared" si="186"/>
        <v/>
      </c>
      <c r="K5964" t="str">
        <f t="shared" si="187"/>
        <v/>
      </c>
    </row>
    <row r="5965" spans="7:11" x14ac:dyDescent="0.2">
      <c r="G5965" s="44"/>
      <c r="J5965" t="str">
        <f t="shared" si="186"/>
        <v/>
      </c>
      <c r="K5965" t="str">
        <f t="shared" si="187"/>
        <v/>
      </c>
    </row>
    <row r="5966" spans="7:11" x14ac:dyDescent="0.2">
      <c r="G5966" s="44"/>
      <c r="J5966" t="str">
        <f t="shared" si="186"/>
        <v/>
      </c>
      <c r="K5966" t="str">
        <f t="shared" si="187"/>
        <v/>
      </c>
    </row>
    <row r="5967" spans="7:11" x14ac:dyDescent="0.2">
      <c r="G5967" s="44"/>
      <c r="J5967" t="str">
        <f t="shared" si="186"/>
        <v/>
      </c>
      <c r="K5967" t="str">
        <f t="shared" si="187"/>
        <v/>
      </c>
    </row>
    <row r="5968" spans="7:11" x14ac:dyDescent="0.2">
      <c r="G5968" s="44"/>
      <c r="J5968" t="str">
        <f t="shared" si="186"/>
        <v/>
      </c>
      <c r="K5968" t="str">
        <f t="shared" si="187"/>
        <v/>
      </c>
    </row>
    <row r="5969" spans="7:11" x14ac:dyDescent="0.2">
      <c r="G5969" s="44"/>
      <c r="J5969" t="str">
        <f t="shared" si="186"/>
        <v/>
      </c>
      <c r="K5969" t="str">
        <f t="shared" si="187"/>
        <v/>
      </c>
    </row>
    <row r="5970" spans="7:11" x14ac:dyDescent="0.2">
      <c r="G5970" s="44"/>
      <c r="J5970" t="str">
        <f t="shared" si="186"/>
        <v/>
      </c>
      <c r="K5970" t="str">
        <f t="shared" si="187"/>
        <v/>
      </c>
    </row>
    <row r="5971" spans="7:11" x14ac:dyDescent="0.2">
      <c r="G5971" s="44"/>
      <c r="J5971" t="str">
        <f t="shared" si="186"/>
        <v/>
      </c>
      <c r="K5971" t="str">
        <f t="shared" si="187"/>
        <v/>
      </c>
    </row>
    <row r="5972" spans="7:11" x14ac:dyDescent="0.2">
      <c r="G5972" s="44"/>
      <c r="J5972" t="str">
        <f t="shared" si="186"/>
        <v/>
      </c>
      <c r="K5972" t="str">
        <f t="shared" si="187"/>
        <v/>
      </c>
    </row>
    <row r="5973" spans="7:11" x14ac:dyDescent="0.2">
      <c r="G5973" s="44"/>
      <c r="J5973" t="str">
        <f t="shared" si="186"/>
        <v/>
      </c>
      <c r="K5973" t="str">
        <f t="shared" si="187"/>
        <v/>
      </c>
    </row>
    <row r="5974" spans="7:11" x14ac:dyDescent="0.2">
      <c r="G5974" s="44"/>
      <c r="J5974" t="str">
        <f t="shared" si="186"/>
        <v/>
      </c>
      <c r="K5974" t="str">
        <f t="shared" si="187"/>
        <v/>
      </c>
    </row>
    <row r="5975" spans="7:11" x14ac:dyDescent="0.2">
      <c r="G5975" s="44"/>
      <c r="J5975" t="str">
        <f t="shared" si="186"/>
        <v/>
      </c>
      <c r="K5975" t="str">
        <f t="shared" si="187"/>
        <v/>
      </c>
    </row>
    <row r="5976" spans="7:11" x14ac:dyDescent="0.2">
      <c r="G5976" s="44"/>
      <c r="J5976" t="str">
        <f t="shared" si="186"/>
        <v/>
      </c>
      <c r="K5976" t="str">
        <f t="shared" si="187"/>
        <v/>
      </c>
    </row>
    <row r="5977" spans="7:11" x14ac:dyDescent="0.2">
      <c r="G5977" s="44"/>
      <c r="J5977" t="str">
        <f t="shared" si="186"/>
        <v/>
      </c>
      <c r="K5977" t="str">
        <f t="shared" si="187"/>
        <v/>
      </c>
    </row>
    <row r="5978" spans="7:11" x14ac:dyDescent="0.2">
      <c r="G5978" s="44"/>
      <c r="J5978" t="str">
        <f t="shared" si="186"/>
        <v/>
      </c>
      <c r="K5978" t="str">
        <f t="shared" si="187"/>
        <v/>
      </c>
    </row>
    <row r="5979" spans="7:11" x14ac:dyDescent="0.2">
      <c r="G5979" s="44"/>
      <c r="J5979" t="str">
        <f t="shared" si="186"/>
        <v/>
      </c>
      <c r="K5979" t="str">
        <f t="shared" si="187"/>
        <v/>
      </c>
    </row>
    <row r="5980" spans="7:11" x14ac:dyDescent="0.2">
      <c r="G5980" s="44"/>
      <c r="J5980" t="str">
        <f t="shared" si="186"/>
        <v/>
      </c>
      <c r="K5980" t="str">
        <f t="shared" si="187"/>
        <v/>
      </c>
    </row>
    <row r="5981" spans="7:11" x14ac:dyDescent="0.2">
      <c r="G5981" s="44"/>
      <c r="J5981" t="str">
        <f t="shared" si="186"/>
        <v/>
      </c>
      <c r="K5981" t="str">
        <f t="shared" si="187"/>
        <v/>
      </c>
    </row>
    <row r="5982" spans="7:11" x14ac:dyDescent="0.2">
      <c r="G5982" s="44"/>
      <c r="J5982" t="str">
        <f t="shared" si="186"/>
        <v/>
      </c>
      <c r="K5982" t="str">
        <f t="shared" si="187"/>
        <v/>
      </c>
    </row>
    <row r="5983" spans="7:11" x14ac:dyDescent="0.2">
      <c r="G5983" s="44"/>
      <c r="J5983" t="str">
        <f t="shared" si="186"/>
        <v/>
      </c>
      <c r="K5983" t="str">
        <f t="shared" si="187"/>
        <v/>
      </c>
    </row>
    <row r="5984" spans="7:11" x14ac:dyDescent="0.2">
      <c r="G5984" s="44"/>
      <c r="J5984" t="str">
        <f t="shared" si="186"/>
        <v/>
      </c>
      <c r="K5984" t="str">
        <f t="shared" si="187"/>
        <v/>
      </c>
    </row>
    <row r="5985" spans="7:11" x14ac:dyDescent="0.2">
      <c r="G5985" s="44"/>
      <c r="J5985" t="str">
        <f t="shared" si="186"/>
        <v/>
      </c>
      <c r="K5985" t="str">
        <f t="shared" si="187"/>
        <v/>
      </c>
    </row>
    <row r="5986" spans="7:11" x14ac:dyDescent="0.2">
      <c r="G5986" s="44"/>
      <c r="J5986" t="str">
        <f t="shared" si="186"/>
        <v/>
      </c>
      <c r="K5986" t="str">
        <f t="shared" si="187"/>
        <v/>
      </c>
    </row>
    <row r="5987" spans="7:11" x14ac:dyDescent="0.2">
      <c r="G5987" s="44"/>
      <c r="J5987" t="str">
        <f t="shared" si="186"/>
        <v/>
      </c>
      <c r="K5987" t="str">
        <f t="shared" si="187"/>
        <v/>
      </c>
    </row>
    <row r="5988" spans="7:11" x14ac:dyDescent="0.2">
      <c r="G5988" s="44"/>
      <c r="J5988" t="str">
        <f t="shared" si="186"/>
        <v/>
      </c>
      <c r="K5988" t="str">
        <f t="shared" si="187"/>
        <v/>
      </c>
    </row>
    <row r="5989" spans="7:11" x14ac:dyDescent="0.2">
      <c r="G5989" s="44"/>
      <c r="J5989" t="str">
        <f t="shared" si="186"/>
        <v/>
      </c>
      <c r="K5989" t="str">
        <f t="shared" si="187"/>
        <v/>
      </c>
    </row>
    <row r="5990" spans="7:11" x14ac:dyDescent="0.2">
      <c r="G5990" s="44"/>
      <c r="J5990" t="str">
        <f t="shared" si="186"/>
        <v/>
      </c>
      <c r="K5990" t="str">
        <f t="shared" si="187"/>
        <v/>
      </c>
    </row>
    <row r="5991" spans="7:11" x14ac:dyDescent="0.2">
      <c r="G5991" s="44"/>
      <c r="J5991" t="str">
        <f t="shared" si="186"/>
        <v/>
      </c>
      <c r="K5991" t="str">
        <f t="shared" si="187"/>
        <v/>
      </c>
    </row>
    <row r="5992" spans="7:11" x14ac:dyDescent="0.2">
      <c r="G5992" s="44"/>
      <c r="J5992" t="str">
        <f t="shared" si="186"/>
        <v/>
      </c>
      <c r="K5992" t="str">
        <f t="shared" si="187"/>
        <v/>
      </c>
    </row>
    <row r="5993" spans="7:11" x14ac:dyDescent="0.2">
      <c r="G5993" s="44"/>
      <c r="J5993" t="str">
        <f t="shared" si="186"/>
        <v/>
      </c>
      <c r="K5993" t="str">
        <f t="shared" si="187"/>
        <v/>
      </c>
    </row>
    <row r="5994" spans="7:11" x14ac:dyDescent="0.2">
      <c r="G5994" s="44"/>
      <c r="J5994" t="str">
        <f t="shared" si="186"/>
        <v/>
      </c>
      <c r="K5994" t="str">
        <f t="shared" si="187"/>
        <v/>
      </c>
    </row>
    <row r="5995" spans="7:11" x14ac:dyDescent="0.2">
      <c r="G5995" s="44"/>
      <c r="J5995" t="str">
        <f t="shared" si="186"/>
        <v/>
      </c>
      <c r="K5995" t="str">
        <f t="shared" si="187"/>
        <v/>
      </c>
    </row>
    <row r="5996" spans="7:11" x14ac:dyDescent="0.2">
      <c r="G5996" s="44"/>
      <c r="J5996" t="str">
        <f t="shared" si="186"/>
        <v/>
      </c>
      <c r="K5996" t="str">
        <f t="shared" si="187"/>
        <v/>
      </c>
    </row>
    <row r="5997" spans="7:11" x14ac:dyDescent="0.2">
      <c r="G5997" s="44"/>
      <c r="J5997" t="str">
        <f t="shared" si="186"/>
        <v/>
      </c>
      <c r="K5997" t="str">
        <f t="shared" si="187"/>
        <v/>
      </c>
    </row>
    <row r="5998" spans="7:11" x14ac:dyDescent="0.2">
      <c r="G5998" s="44"/>
      <c r="J5998" t="str">
        <f t="shared" si="186"/>
        <v/>
      </c>
      <c r="K5998" t="str">
        <f t="shared" si="187"/>
        <v/>
      </c>
    </row>
    <row r="5999" spans="7:11" x14ac:dyDescent="0.2">
      <c r="G5999" s="44"/>
      <c r="J5999" t="str">
        <f t="shared" si="186"/>
        <v/>
      </c>
      <c r="K5999" t="str">
        <f t="shared" si="187"/>
        <v/>
      </c>
    </row>
    <row r="6000" spans="7:11" x14ac:dyDescent="0.2">
      <c r="G6000" s="44"/>
      <c r="J6000" t="str">
        <f t="shared" si="186"/>
        <v/>
      </c>
      <c r="K6000" t="str">
        <f t="shared" si="187"/>
        <v/>
      </c>
    </row>
    <row r="6001" spans="7:11" x14ac:dyDescent="0.2">
      <c r="G6001" s="44"/>
      <c r="J6001" t="str">
        <f t="shared" si="186"/>
        <v/>
      </c>
      <c r="K6001" t="str">
        <f t="shared" si="187"/>
        <v/>
      </c>
    </row>
    <row r="6002" spans="7:11" x14ac:dyDescent="0.2">
      <c r="G6002" s="44"/>
      <c r="J6002" t="str">
        <f t="shared" si="186"/>
        <v/>
      </c>
      <c r="K6002" t="str">
        <f t="shared" si="187"/>
        <v/>
      </c>
    </row>
    <row r="6003" spans="7:11" x14ac:dyDescent="0.2">
      <c r="G6003" s="44"/>
      <c r="J6003" t="str">
        <f t="shared" si="186"/>
        <v/>
      </c>
      <c r="K6003" t="str">
        <f t="shared" si="187"/>
        <v/>
      </c>
    </row>
    <row r="6004" spans="7:11" x14ac:dyDescent="0.2">
      <c r="G6004" s="44"/>
      <c r="J6004" t="str">
        <f t="shared" si="186"/>
        <v/>
      </c>
      <c r="K6004" t="str">
        <f t="shared" si="187"/>
        <v/>
      </c>
    </row>
    <row r="6005" spans="7:11" x14ac:dyDescent="0.2">
      <c r="G6005" s="44"/>
      <c r="J6005" t="str">
        <f t="shared" si="186"/>
        <v/>
      </c>
      <c r="K6005" t="str">
        <f t="shared" si="187"/>
        <v/>
      </c>
    </row>
    <row r="6006" spans="7:11" x14ac:dyDescent="0.2">
      <c r="G6006" s="44"/>
      <c r="J6006" t="str">
        <f t="shared" si="186"/>
        <v/>
      </c>
      <c r="K6006" t="str">
        <f t="shared" si="187"/>
        <v/>
      </c>
    </row>
    <row r="6007" spans="7:11" x14ac:dyDescent="0.2">
      <c r="G6007" s="44"/>
      <c r="J6007" t="str">
        <f t="shared" si="186"/>
        <v/>
      </c>
      <c r="K6007" t="str">
        <f t="shared" si="187"/>
        <v/>
      </c>
    </row>
    <row r="6008" spans="7:11" x14ac:dyDescent="0.2">
      <c r="G6008" s="44"/>
      <c r="J6008" t="str">
        <f t="shared" si="186"/>
        <v/>
      </c>
      <c r="K6008" t="str">
        <f t="shared" si="187"/>
        <v/>
      </c>
    </row>
    <row r="6009" spans="7:11" x14ac:dyDescent="0.2">
      <c r="G6009" s="44"/>
      <c r="J6009" t="str">
        <f t="shared" si="186"/>
        <v/>
      </c>
      <c r="K6009" t="str">
        <f t="shared" si="187"/>
        <v/>
      </c>
    </row>
    <row r="6010" spans="7:11" x14ac:dyDescent="0.2">
      <c r="G6010" s="44"/>
      <c r="J6010" t="str">
        <f t="shared" si="186"/>
        <v/>
      </c>
      <c r="K6010" t="str">
        <f t="shared" si="187"/>
        <v/>
      </c>
    </row>
    <row r="6011" spans="7:11" x14ac:dyDescent="0.2">
      <c r="G6011" s="44"/>
      <c r="J6011" t="str">
        <f t="shared" si="186"/>
        <v/>
      </c>
      <c r="K6011" t="str">
        <f t="shared" si="187"/>
        <v/>
      </c>
    </row>
    <row r="6012" spans="7:11" x14ac:dyDescent="0.2">
      <c r="G6012" s="44"/>
      <c r="J6012" t="str">
        <f t="shared" si="186"/>
        <v/>
      </c>
      <c r="K6012" t="str">
        <f t="shared" si="187"/>
        <v/>
      </c>
    </row>
    <row r="6013" spans="7:11" x14ac:dyDescent="0.2">
      <c r="G6013" s="44"/>
      <c r="J6013" t="str">
        <f t="shared" si="186"/>
        <v/>
      </c>
      <c r="K6013" t="str">
        <f t="shared" si="187"/>
        <v/>
      </c>
    </row>
    <row r="6014" spans="7:11" x14ac:dyDescent="0.2">
      <c r="G6014" s="44"/>
      <c r="J6014" t="str">
        <f t="shared" si="186"/>
        <v/>
      </c>
      <c r="K6014" t="str">
        <f t="shared" si="187"/>
        <v/>
      </c>
    </row>
    <row r="6015" spans="7:11" x14ac:dyDescent="0.2">
      <c r="G6015" s="44"/>
      <c r="J6015" t="str">
        <f t="shared" si="186"/>
        <v/>
      </c>
      <c r="K6015" t="str">
        <f t="shared" si="187"/>
        <v/>
      </c>
    </row>
    <row r="6016" spans="7:11" x14ac:dyDescent="0.2">
      <c r="G6016" s="44"/>
      <c r="J6016" t="str">
        <f t="shared" si="186"/>
        <v/>
      </c>
      <c r="K6016" t="str">
        <f t="shared" si="187"/>
        <v/>
      </c>
    </row>
    <row r="6017" spans="7:11" x14ac:dyDescent="0.2">
      <c r="G6017" s="44"/>
      <c r="J6017" t="str">
        <f t="shared" si="186"/>
        <v/>
      </c>
      <c r="K6017" t="str">
        <f t="shared" si="187"/>
        <v/>
      </c>
    </row>
    <row r="6018" spans="7:11" x14ac:dyDescent="0.2">
      <c r="G6018" s="44"/>
      <c r="J6018" t="str">
        <f t="shared" ref="J6018:J6081" si="188">IF(E6018="","",IF(OR(E6018=50,E6018=51),"Iltindhold",IF(E6018=75,"Carbon,org,NVOC",IF(OR(E6018=343,E6018=1167),"Svovlbrinte",IF(OR(E6018=240,E6018=241,E6018=242),"Amm",IF(E6018=244,"Nitrit",IF(E6018=247,"Nitrat",IF(E6018=334,"Sulfat",IF(E6018=262,"Phosphor, total-P",F6018)))))))))</f>
        <v/>
      </c>
      <c r="K6018" t="str">
        <f t="shared" ref="K6018:K6081" si="189">IF(A6018="","",IF(H6018="!",NA(),IF(H6018="A",I6018*0.5,IF(H6018="&lt;",I6018*0.5,I6018))))</f>
        <v/>
      </c>
    </row>
    <row r="6019" spans="7:11" x14ac:dyDescent="0.2">
      <c r="G6019" s="44"/>
      <c r="J6019" t="str">
        <f t="shared" si="188"/>
        <v/>
      </c>
      <c r="K6019" t="str">
        <f t="shared" si="189"/>
        <v/>
      </c>
    </row>
    <row r="6020" spans="7:11" x14ac:dyDescent="0.2">
      <c r="G6020" s="44"/>
      <c r="J6020" t="str">
        <f t="shared" si="188"/>
        <v/>
      </c>
      <c r="K6020" t="str">
        <f t="shared" si="189"/>
        <v/>
      </c>
    </row>
    <row r="6021" spans="7:11" x14ac:dyDescent="0.2">
      <c r="G6021" s="44"/>
      <c r="J6021" t="str">
        <f t="shared" si="188"/>
        <v/>
      </c>
      <c r="K6021" t="str">
        <f t="shared" si="189"/>
        <v/>
      </c>
    </row>
    <row r="6022" spans="7:11" x14ac:dyDescent="0.2">
      <c r="G6022" s="44"/>
      <c r="J6022" t="str">
        <f t="shared" si="188"/>
        <v/>
      </c>
      <c r="K6022" t="str">
        <f t="shared" si="189"/>
        <v/>
      </c>
    </row>
    <row r="6023" spans="7:11" x14ac:dyDescent="0.2">
      <c r="G6023" s="44"/>
      <c r="J6023" t="str">
        <f t="shared" si="188"/>
        <v/>
      </c>
      <c r="K6023" t="str">
        <f t="shared" si="189"/>
        <v/>
      </c>
    </row>
    <row r="6024" spans="7:11" x14ac:dyDescent="0.2">
      <c r="G6024" s="44"/>
      <c r="J6024" t="str">
        <f t="shared" si="188"/>
        <v/>
      </c>
      <c r="K6024" t="str">
        <f t="shared" si="189"/>
        <v/>
      </c>
    </row>
    <row r="6025" spans="7:11" x14ac:dyDescent="0.2">
      <c r="G6025" s="44"/>
      <c r="J6025" t="str">
        <f t="shared" si="188"/>
        <v/>
      </c>
      <c r="K6025" t="str">
        <f t="shared" si="189"/>
        <v/>
      </c>
    </row>
    <row r="6026" spans="7:11" x14ac:dyDescent="0.2">
      <c r="G6026" s="44"/>
      <c r="J6026" t="str">
        <f t="shared" si="188"/>
        <v/>
      </c>
      <c r="K6026" t="str">
        <f t="shared" si="189"/>
        <v/>
      </c>
    </row>
    <row r="6027" spans="7:11" x14ac:dyDescent="0.2">
      <c r="G6027" s="44"/>
      <c r="J6027" t="str">
        <f t="shared" si="188"/>
        <v/>
      </c>
      <c r="K6027" t="str">
        <f t="shared" si="189"/>
        <v/>
      </c>
    </row>
    <row r="6028" spans="7:11" x14ac:dyDescent="0.2">
      <c r="G6028" s="44"/>
      <c r="J6028" t="str">
        <f t="shared" si="188"/>
        <v/>
      </c>
      <c r="K6028" t="str">
        <f t="shared" si="189"/>
        <v/>
      </c>
    </row>
    <row r="6029" spans="7:11" x14ac:dyDescent="0.2">
      <c r="G6029" s="44"/>
      <c r="J6029" t="str">
        <f t="shared" si="188"/>
        <v/>
      </c>
      <c r="K6029" t="str">
        <f t="shared" si="189"/>
        <v/>
      </c>
    </row>
    <row r="6030" spans="7:11" x14ac:dyDescent="0.2">
      <c r="G6030" s="44"/>
      <c r="J6030" t="str">
        <f t="shared" si="188"/>
        <v/>
      </c>
      <c r="K6030" t="str">
        <f t="shared" si="189"/>
        <v/>
      </c>
    </row>
    <row r="6031" spans="7:11" x14ac:dyDescent="0.2">
      <c r="G6031" s="44"/>
      <c r="J6031" t="str">
        <f t="shared" si="188"/>
        <v/>
      </c>
      <c r="K6031" t="str">
        <f t="shared" si="189"/>
        <v/>
      </c>
    </row>
    <row r="6032" spans="7:11" x14ac:dyDescent="0.2">
      <c r="G6032" s="44"/>
      <c r="J6032" t="str">
        <f t="shared" si="188"/>
        <v/>
      </c>
      <c r="K6032" t="str">
        <f t="shared" si="189"/>
        <v/>
      </c>
    </row>
    <row r="6033" spans="7:11" x14ac:dyDescent="0.2">
      <c r="G6033" s="44"/>
      <c r="J6033" t="str">
        <f t="shared" si="188"/>
        <v/>
      </c>
      <c r="K6033" t="str">
        <f t="shared" si="189"/>
        <v/>
      </c>
    </row>
    <row r="6034" spans="7:11" x14ac:dyDescent="0.2">
      <c r="G6034" s="44"/>
      <c r="J6034" t="str">
        <f t="shared" si="188"/>
        <v/>
      </c>
      <c r="K6034" t="str">
        <f t="shared" si="189"/>
        <v/>
      </c>
    </row>
    <row r="6035" spans="7:11" x14ac:dyDescent="0.2">
      <c r="G6035" s="44"/>
      <c r="J6035" t="str">
        <f t="shared" si="188"/>
        <v/>
      </c>
      <c r="K6035" t="str">
        <f t="shared" si="189"/>
        <v/>
      </c>
    </row>
    <row r="6036" spans="7:11" x14ac:dyDescent="0.2">
      <c r="G6036" s="44"/>
      <c r="J6036" t="str">
        <f t="shared" si="188"/>
        <v/>
      </c>
      <c r="K6036" t="str">
        <f t="shared" si="189"/>
        <v/>
      </c>
    </row>
    <row r="6037" spans="7:11" x14ac:dyDescent="0.2">
      <c r="G6037" s="44"/>
      <c r="J6037" t="str">
        <f t="shared" si="188"/>
        <v/>
      </c>
      <c r="K6037" t="str">
        <f t="shared" si="189"/>
        <v/>
      </c>
    </row>
    <row r="6038" spans="7:11" x14ac:dyDescent="0.2">
      <c r="G6038" s="44"/>
      <c r="J6038" t="str">
        <f t="shared" si="188"/>
        <v/>
      </c>
      <c r="K6038" t="str">
        <f t="shared" si="189"/>
        <v/>
      </c>
    </row>
    <row r="6039" spans="7:11" x14ac:dyDescent="0.2">
      <c r="G6039" s="44"/>
      <c r="J6039" t="str">
        <f t="shared" si="188"/>
        <v/>
      </c>
      <c r="K6039" t="str">
        <f t="shared" si="189"/>
        <v/>
      </c>
    </row>
    <row r="6040" spans="7:11" x14ac:dyDescent="0.2">
      <c r="G6040" s="44"/>
      <c r="J6040" t="str">
        <f t="shared" si="188"/>
        <v/>
      </c>
      <c r="K6040" t="str">
        <f t="shared" si="189"/>
        <v/>
      </c>
    </row>
    <row r="6041" spans="7:11" x14ac:dyDescent="0.2">
      <c r="G6041" s="44"/>
      <c r="J6041" t="str">
        <f t="shared" si="188"/>
        <v/>
      </c>
      <c r="K6041" t="str">
        <f t="shared" si="189"/>
        <v/>
      </c>
    </row>
    <row r="6042" spans="7:11" x14ac:dyDescent="0.2">
      <c r="G6042" s="44"/>
      <c r="J6042" t="str">
        <f t="shared" si="188"/>
        <v/>
      </c>
      <c r="K6042" t="str">
        <f t="shared" si="189"/>
        <v/>
      </c>
    </row>
    <row r="6043" spans="7:11" x14ac:dyDescent="0.2">
      <c r="G6043" s="44"/>
      <c r="J6043" t="str">
        <f t="shared" si="188"/>
        <v/>
      </c>
      <c r="K6043" t="str">
        <f t="shared" si="189"/>
        <v/>
      </c>
    </row>
    <row r="6044" spans="7:11" x14ac:dyDescent="0.2">
      <c r="G6044" s="44"/>
      <c r="J6044" t="str">
        <f t="shared" si="188"/>
        <v/>
      </c>
      <c r="K6044" t="str">
        <f t="shared" si="189"/>
        <v/>
      </c>
    </row>
    <row r="6045" spans="7:11" x14ac:dyDescent="0.2">
      <c r="G6045" s="44"/>
      <c r="J6045" t="str">
        <f t="shared" si="188"/>
        <v/>
      </c>
      <c r="K6045" t="str">
        <f t="shared" si="189"/>
        <v/>
      </c>
    </row>
    <row r="6046" spans="7:11" x14ac:dyDescent="0.2">
      <c r="G6046" s="44"/>
      <c r="J6046" t="str">
        <f t="shared" si="188"/>
        <v/>
      </c>
      <c r="K6046" t="str">
        <f t="shared" si="189"/>
        <v/>
      </c>
    </row>
    <row r="6047" spans="7:11" x14ac:dyDescent="0.2">
      <c r="G6047" s="44"/>
      <c r="J6047" t="str">
        <f t="shared" si="188"/>
        <v/>
      </c>
      <c r="K6047" t="str">
        <f t="shared" si="189"/>
        <v/>
      </c>
    </row>
    <row r="6048" spans="7:11" x14ac:dyDescent="0.2">
      <c r="G6048" s="44"/>
      <c r="J6048" t="str">
        <f t="shared" si="188"/>
        <v/>
      </c>
      <c r="K6048" t="str">
        <f t="shared" si="189"/>
        <v/>
      </c>
    </row>
    <row r="6049" spans="7:11" x14ac:dyDescent="0.2">
      <c r="G6049" s="44"/>
      <c r="J6049" t="str">
        <f t="shared" si="188"/>
        <v/>
      </c>
      <c r="K6049" t="str">
        <f t="shared" si="189"/>
        <v/>
      </c>
    </row>
    <row r="6050" spans="7:11" x14ac:dyDescent="0.2">
      <c r="G6050" s="44"/>
      <c r="J6050" t="str">
        <f t="shared" si="188"/>
        <v/>
      </c>
      <c r="K6050" t="str">
        <f t="shared" si="189"/>
        <v/>
      </c>
    </row>
    <row r="6051" spans="7:11" x14ac:dyDescent="0.2">
      <c r="G6051" s="44"/>
      <c r="J6051" t="str">
        <f t="shared" si="188"/>
        <v/>
      </c>
      <c r="K6051" t="str">
        <f t="shared" si="189"/>
        <v/>
      </c>
    </row>
    <row r="6052" spans="7:11" x14ac:dyDescent="0.2">
      <c r="G6052" s="44"/>
      <c r="J6052" t="str">
        <f t="shared" si="188"/>
        <v/>
      </c>
      <c r="K6052" t="str">
        <f t="shared" si="189"/>
        <v/>
      </c>
    </row>
    <row r="6053" spans="7:11" x14ac:dyDescent="0.2">
      <c r="G6053" s="44"/>
      <c r="J6053" t="str">
        <f t="shared" si="188"/>
        <v/>
      </c>
      <c r="K6053" t="str">
        <f t="shared" si="189"/>
        <v/>
      </c>
    </row>
    <row r="6054" spans="7:11" x14ac:dyDescent="0.2">
      <c r="G6054" s="44"/>
      <c r="J6054" t="str">
        <f t="shared" si="188"/>
        <v/>
      </c>
      <c r="K6054" t="str">
        <f t="shared" si="189"/>
        <v/>
      </c>
    </row>
    <row r="6055" spans="7:11" x14ac:dyDescent="0.2">
      <c r="G6055" s="44"/>
      <c r="J6055" t="str">
        <f t="shared" si="188"/>
        <v/>
      </c>
      <c r="K6055" t="str">
        <f t="shared" si="189"/>
        <v/>
      </c>
    </row>
    <row r="6056" spans="7:11" x14ac:dyDescent="0.2">
      <c r="G6056" s="44"/>
      <c r="J6056" t="str">
        <f t="shared" si="188"/>
        <v/>
      </c>
      <c r="K6056" t="str">
        <f t="shared" si="189"/>
        <v/>
      </c>
    </row>
    <row r="6057" spans="7:11" x14ac:dyDescent="0.2">
      <c r="G6057" s="44"/>
      <c r="J6057" t="str">
        <f t="shared" si="188"/>
        <v/>
      </c>
      <c r="K6057" t="str">
        <f t="shared" si="189"/>
        <v/>
      </c>
    </row>
    <row r="6058" spans="7:11" x14ac:dyDescent="0.2">
      <c r="G6058" s="44"/>
      <c r="J6058" t="str">
        <f t="shared" si="188"/>
        <v/>
      </c>
      <c r="K6058" t="str">
        <f t="shared" si="189"/>
        <v/>
      </c>
    </row>
    <row r="6059" spans="7:11" x14ac:dyDescent="0.2">
      <c r="G6059" s="44"/>
      <c r="J6059" t="str">
        <f t="shared" si="188"/>
        <v/>
      </c>
      <c r="K6059" t="str">
        <f t="shared" si="189"/>
        <v/>
      </c>
    </row>
    <row r="6060" spans="7:11" x14ac:dyDescent="0.2">
      <c r="G6060" s="44"/>
      <c r="J6060" t="str">
        <f t="shared" si="188"/>
        <v/>
      </c>
      <c r="K6060" t="str">
        <f t="shared" si="189"/>
        <v/>
      </c>
    </row>
    <row r="6061" spans="7:11" x14ac:dyDescent="0.2">
      <c r="G6061" s="44"/>
      <c r="J6061" t="str">
        <f t="shared" si="188"/>
        <v/>
      </c>
      <c r="K6061" t="str">
        <f t="shared" si="189"/>
        <v/>
      </c>
    </row>
    <row r="6062" spans="7:11" x14ac:dyDescent="0.2">
      <c r="G6062" s="44"/>
      <c r="J6062" t="str">
        <f t="shared" si="188"/>
        <v/>
      </c>
      <c r="K6062" t="str">
        <f t="shared" si="189"/>
        <v/>
      </c>
    </row>
    <row r="6063" spans="7:11" x14ac:dyDescent="0.2">
      <c r="G6063" s="44"/>
      <c r="J6063" t="str">
        <f t="shared" si="188"/>
        <v/>
      </c>
      <c r="K6063" t="str">
        <f t="shared" si="189"/>
        <v/>
      </c>
    </row>
    <row r="6064" spans="7:11" x14ac:dyDescent="0.2">
      <c r="G6064" s="44"/>
      <c r="J6064" t="str">
        <f t="shared" si="188"/>
        <v/>
      </c>
      <c r="K6064" t="str">
        <f t="shared" si="189"/>
        <v/>
      </c>
    </row>
    <row r="6065" spans="7:11" x14ac:dyDescent="0.2">
      <c r="G6065" s="44"/>
      <c r="J6065" t="str">
        <f t="shared" si="188"/>
        <v/>
      </c>
      <c r="K6065" t="str">
        <f t="shared" si="189"/>
        <v/>
      </c>
    </row>
    <row r="6066" spans="7:11" x14ac:dyDescent="0.2">
      <c r="G6066" s="44"/>
      <c r="J6066" t="str">
        <f t="shared" si="188"/>
        <v/>
      </c>
      <c r="K6066" t="str">
        <f t="shared" si="189"/>
        <v/>
      </c>
    </row>
    <row r="6067" spans="7:11" x14ac:dyDescent="0.2">
      <c r="G6067" s="44"/>
      <c r="J6067" t="str">
        <f t="shared" si="188"/>
        <v/>
      </c>
      <c r="K6067" t="str">
        <f t="shared" si="189"/>
        <v/>
      </c>
    </row>
    <row r="6068" spans="7:11" x14ac:dyDescent="0.2">
      <c r="G6068" s="44"/>
      <c r="J6068" t="str">
        <f t="shared" si="188"/>
        <v/>
      </c>
      <c r="K6068" t="str">
        <f t="shared" si="189"/>
        <v/>
      </c>
    </row>
    <row r="6069" spans="7:11" x14ac:dyDescent="0.2">
      <c r="G6069" s="44"/>
      <c r="J6069" t="str">
        <f t="shared" si="188"/>
        <v/>
      </c>
      <c r="K6069" t="str">
        <f t="shared" si="189"/>
        <v/>
      </c>
    </row>
    <row r="6070" spans="7:11" x14ac:dyDescent="0.2">
      <c r="G6070" s="44"/>
      <c r="J6070" t="str">
        <f t="shared" si="188"/>
        <v/>
      </c>
      <c r="K6070" t="str">
        <f t="shared" si="189"/>
        <v/>
      </c>
    </row>
    <row r="6071" spans="7:11" x14ac:dyDescent="0.2">
      <c r="G6071" s="44"/>
      <c r="J6071" t="str">
        <f t="shared" si="188"/>
        <v/>
      </c>
      <c r="K6071" t="str">
        <f t="shared" si="189"/>
        <v/>
      </c>
    </row>
    <row r="6072" spans="7:11" x14ac:dyDescent="0.2">
      <c r="G6072" s="44"/>
      <c r="J6072" t="str">
        <f t="shared" si="188"/>
        <v/>
      </c>
      <c r="K6072" t="str">
        <f t="shared" si="189"/>
        <v/>
      </c>
    </row>
    <row r="6073" spans="7:11" x14ac:dyDescent="0.2">
      <c r="G6073" s="44"/>
      <c r="J6073" t="str">
        <f t="shared" si="188"/>
        <v/>
      </c>
      <c r="K6073" t="str">
        <f t="shared" si="189"/>
        <v/>
      </c>
    </row>
    <row r="6074" spans="7:11" x14ac:dyDescent="0.2">
      <c r="G6074" s="44"/>
      <c r="J6074" t="str">
        <f t="shared" si="188"/>
        <v/>
      </c>
      <c r="K6074" t="str">
        <f t="shared" si="189"/>
        <v/>
      </c>
    </row>
    <row r="6075" spans="7:11" x14ac:dyDescent="0.2">
      <c r="G6075" s="44"/>
      <c r="J6075" t="str">
        <f t="shared" si="188"/>
        <v/>
      </c>
      <c r="K6075" t="str">
        <f t="shared" si="189"/>
        <v/>
      </c>
    </row>
    <row r="6076" spans="7:11" x14ac:dyDescent="0.2">
      <c r="G6076" s="44"/>
      <c r="J6076" t="str">
        <f t="shared" si="188"/>
        <v/>
      </c>
      <c r="K6076" t="str">
        <f t="shared" si="189"/>
        <v/>
      </c>
    </row>
    <row r="6077" spans="7:11" x14ac:dyDescent="0.2">
      <c r="G6077" s="44"/>
      <c r="J6077" t="str">
        <f t="shared" si="188"/>
        <v/>
      </c>
      <c r="K6077" t="str">
        <f t="shared" si="189"/>
        <v/>
      </c>
    </row>
    <row r="6078" spans="7:11" x14ac:dyDescent="0.2">
      <c r="G6078" s="44"/>
      <c r="J6078" t="str">
        <f t="shared" si="188"/>
        <v/>
      </c>
      <c r="K6078" t="str">
        <f t="shared" si="189"/>
        <v/>
      </c>
    </row>
    <row r="6079" spans="7:11" x14ac:dyDescent="0.2">
      <c r="G6079" s="44"/>
      <c r="J6079" t="str">
        <f t="shared" si="188"/>
        <v/>
      </c>
      <c r="K6079" t="str">
        <f t="shared" si="189"/>
        <v/>
      </c>
    </row>
    <row r="6080" spans="7:11" x14ac:dyDescent="0.2">
      <c r="G6080" s="44"/>
      <c r="J6080" t="str">
        <f t="shared" si="188"/>
        <v/>
      </c>
      <c r="K6080" t="str">
        <f t="shared" si="189"/>
        <v/>
      </c>
    </row>
    <row r="6081" spans="7:11" x14ac:dyDescent="0.2">
      <c r="G6081" s="44"/>
      <c r="J6081" t="str">
        <f t="shared" si="188"/>
        <v/>
      </c>
      <c r="K6081" t="str">
        <f t="shared" si="189"/>
        <v/>
      </c>
    </row>
    <row r="6082" spans="7:11" x14ac:dyDescent="0.2">
      <c r="G6082" s="44"/>
      <c r="J6082" t="str">
        <f t="shared" ref="J6082:J6145" si="190">IF(E6082="","",IF(OR(E6082=50,E6082=51),"Iltindhold",IF(E6082=75,"Carbon,org,NVOC",IF(OR(E6082=343,E6082=1167),"Svovlbrinte",IF(OR(E6082=240,E6082=241,E6082=242),"Amm",IF(E6082=244,"Nitrit",IF(E6082=247,"Nitrat",IF(E6082=334,"Sulfat",IF(E6082=262,"Phosphor, total-P",F6082)))))))))</f>
        <v/>
      </c>
      <c r="K6082" t="str">
        <f t="shared" ref="K6082:K6145" si="191">IF(A6082="","",IF(H6082="!",NA(),IF(H6082="A",I6082*0.5,IF(H6082="&lt;",I6082*0.5,I6082))))</f>
        <v/>
      </c>
    </row>
    <row r="6083" spans="7:11" x14ac:dyDescent="0.2">
      <c r="G6083" s="44"/>
      <c r="J6083" t="str">
        <f t="shared" si="190"/>
        <v/>
      </c>
      <c r="K6083" t="str">
        <f t="shared" si="191"/>
        <v/>
      </c>
    </row>
    <row r="6084" spans="7:11" x14ac:dyDescent="0.2">
      <c r="G6084" s="44"/>
      <c r="J6084" t="str">
        <f t="shared" si="190"/>
        <v/>
      </c>
      <c r="K6084" t="str">
        <f t="shared" si="191"/>
        <v/>
      </c>
    </row>
    <row r="6085" spans="7:11" x14ac:dyDescent="0.2">
      <c r="G6085" s="44"/>
      <c r="J6085" t="str">
        <f t="shared" si="190"/>
        <v/>
      </c>
      <c r="K6085" t="str">
        <f t="shared" si="191"/>
        <v/>
      </c>
    </row>
    <row r="6086" spans="7:11" x14ac:dyDescent="0.2">
      <c r="G6086" s="44"/>
      <c r="J6086" t="str">
        <f t="shared" si="190"/>
        <v/>
      </c>
      <c r="K6086" t="str">
        <f t="shared" si="191"/>
        <v/>
      </c>
    </row>
    <row r="6087" spans="7:11" x14ac:dyDescent="0.2">
      <c r="G6087" s="44"/>
      <c r="J6087" t="str">
        <f t="shared" si="190"/>
        <v/>
      </c>
      <c r="K6087" t="str">
        <f t="shared" si="191"/>
        <v/>
      </c>
    </row>
    <row r="6088" spans="7:11" x14ac:dyDescent="0.2">
      <c r="G6088" s="44"/>
      <c r="J6088" t="str">
        <f t="shared" si="190"/>
        <v/>
      </c>
      <c r="K6088" t="str">
        <f t="shared" si="191"/>
        <v/>
      </c>
    </row>
    <row r="6089" spans="7:11" x14ac:dyDescent="0.2">
      <c r="G6089" s="44"/>
      <c r="J6089" t="str">
        <f t="shared" si="190"/>
        <v/>
      </c>
      <c r="K6089" t="str">
        <f t="shared" si="191"/>
        <v/>
      </c>
    </row>
    <row r="6090" spans="7:11" x14ac:dyDescent="0.2">
      <c r="G6090" s="44"/>
      <c r="J6090" t="str">
        <f t="shared" si="190"/>
        <v/>
      </c>
      <c r="K6090" t="str">
        <f t="shared" si="191"/>
        <v/>
      </c>
    </row>
    <row r="6091" spans="7:11" x14ac:dyDescent="0.2">
      <c r="G6091" s="44"/>
      <c r="J6091" t="str">
        <f t="shared" si="190"/>
        <v/>
      </c>
      <c r="K6091" t="str">
        <f t="shared" si="191"/>
        <v/>
      </c>
    </row>
    <row r="6092" spans="7:11" x14ac:dyDescent="0.2">
      <c r="G6092" s="44"/>
      <c r="J6092" t="str">
        <f t="shared" si="190"/>
        <v/>
      </c>
      <c r="K6092" t="str">
        <f t="shared" si="191"/>
        <v/>
      </c>
    </row>
    <row r="6093" spans="7:11" x14ac:dyDescent="0.2">
      <c r="G6093" s="44"/>
      <c r="J6093" t="str">
        <f t="shared" si="190"/>
        <v/>
      </c>
      <c r="K6093" t="str">
        <f t="shared" si="191"/>
        <v/>
      </c>
    </row>
    <row r="6094" spans="7:11" x14ac:dyDescent="0.2">
      <c r="G6094" s="44"/>
      <c r="J6094" t="str">
        <f t="shared" si="190"/>
        <v/>
      </c>
      <c r="K6094" t="str">
        <f t="shared" si="191"/>
        <v/>
      </c>
    </row>
    <row r="6095" spans="7:11" x14ac:dyDescent="0.2">
      <c r="G6095" s="44"/>
      <c r="J6095" t="str">
        <f t="shared" si="190"/>
        <v/>
      </c>
      <c r="K6095" t="str">
        <f t="shared" si="191"/>
        <v/>
      </c>
    </row>
    <row r="6096" spans="7:11" x14ac:dyDescent="0.2">
      <c r="G6096" s="44"/>
      <c r="J6096" t="str">
        <f t="shared" si="190"/>
        <v/>
      </c>
      <c r="K6096" t="str">
        <f t="shared" si="191"/>
        <v/>
      </c>
    </row>
    <row r="6097" spans="7:11" x14ac:dyDescent="0.2">
      <c r="G6097" s="44"/>
      <c r="J6097" t="str">
        <f t="shared" si="190"/>
        <v/>
      </c>
      <c r="K6097" t="str">
        <f t="shared" si="191"/>
        <v/>
      </c>
    </row>
    <row r="6098" spans="7:11" x14ac:dyDescent="0.2">
      <c r="G6098" s="44"/>
      <c r="J6098" t="str">
        <f t="shared" si="190"/>
        <v/>
      </c>
      <c r="K6098" t="str">
        <f t="shared" si="191"/>
        <v/>
      </c>
    </row>
    <row r="6099" spans="7:11" x14ac:dyDescent="0.2">
      <c r="G6099" s="44"/>
      <c r="J6099" t="str">
        <f t="shared" si="190"/>
        <v/>
      </c>
      <c r="K6099" t="str">
        <f t="shared" si="191"/>
        <v/>
      </c>
    </row>
    <row r="6100" spans="7:11" x14ac:dyDescent="0.2">
      <c r="G6100" s="44"/>
      <c r="J6100" t="str">
        <f t="shared" si="190"/>
        <v/>
      </c>
      <c r="K6100" t="str">
        <f t="shared" si="191"/>
        <v/>
      </c>
    </row>
    <row r="6101" spans="7:11" x14ac:dyDescent="0.2">
      <c r="G6101" s="44"/>
      <c r="J6101" t="str">
        <f t="shared" si="190"/>
        <v/>
      </c>
      <c r="K6101" t="str">
        <f t="shared" si="191"/>
        <v/>
      </c>
    </row>
    <row r="6102" spans="7:11" x14ac:dyDescent="0.2">
      <c r="G6102" s="44"/>
      <c r="J6102" t="str">
        <f t="shared" si="190"/>
        <v/>
      </c>
      <c r="K6102" t="str">
        <f t="shared" si="191"/>
        <v/>
      </c>
    </row>
    <row r="6103" spans="7:11" x14ac:dyDescent="0.2">
      <c r="G6103" s="44"/>
      <c r="J6103" t="str">
        <f t="shared" si="190"/>
        <v/>
      </c>
      <c r="K6103" t="str">
        <f t="shared" si="191"/>
        <v/>
      </c>
    </row>
    <row r="6104" spans="7:11" x14ac:dyDescent="0.2">
      <c r="G6104" s="44"/>
      <c r="J6104" t="str">
        <f t="shared" si="190"/>
        <v/>
      </c>
      <c r="K6104" t="str">
        <f t="shared" si="191"/>
        <v/>
      </c>
    </row>
    <row r="6105" spans="7:11" x14ac:dyDescent="0.2">
      <c r="G6105" s="44"/>
      <c r="J6105" t="str">
        <f t="shared" si="190"/>
        <v/>
      </c>
      <c r="K6105" t="str">
        <f t="shared" si="191"/>
        <v/>
      </c>
    </row>
    <row r="6106" spans="7:11" x14ac:dyDescent="0.2">
      <c r="G6106" s="44"/>
      <c r="J6106" t="str">
        <f t="shared" si="190"/>
        <v/>
      </c>
      <c r="K6106" t="str">
        <f t="shared" si="191"/>
        <v/>
      </c>
    </row>
    <row r="6107" spans="7:11" x14ac:dyDescent="0.2">
      <c r="G6107" s="44"/>
      <c r="J6107" t="str">
        <f t="shared" si="190"/>
        <v/>
      </c>
      <c r="K6107" t="str">
        <f t="shared" si="191"/>
        <v/>
      </c>
    </row>
    <row r="6108" spans="7:11" x14ac:dyDescent="0.2">
      <c r="G6108" s="44"/>
      <c r="J6108" t="str">
        <f t="shared" si="190"/>
        <v/>
      </c>
      <c r="K6108" t="str">
        <f t="shared" si="191"/>
        <v/>
      </c>
    </row>
    <row r="6109" spans="7:11" x14ac:dyDescent="0.2">
      <c r="G6109" s="44"/>
      <c r="J6109" t="str">
        <f t="shared" si="190"/>
        <v/>
      </c>
      <c r="K6109" t="str">
        <f t="shared" si="191"/>
        <v/>
      </c>
    </row>
    <row r="6110" spans="7:11" x14ac:dyDescent="0.2">
      <c r="G6110" s="44"/>
      <c r="J6110" t="str">
        <f t="shared" si="190"/>
        <v/>
      </c>
      <c r="K6110" t="str">
        <f t="shared" si="191"/>
        <v/>
      </c>
    </row>
    <row r="6111" spans="7:11" x14ac:dyDescent="0.2">
      <c r="G6111" s="44"/>
      <c r="J6111" t="str">
        <f t="shared" si="190"/>
        <v/>
      </c>
      <c r="K6111" t="str">
        <f t="shared" si="191"/>
        <v/>
      </c>
    </row>
    <row r="6112" spans="7:11" x14ac:dyDescent="0.2">
      <c r="G6112" s="44"/>
      <c r="J6112" t="str">
        <f t="shared" si="190"/>
        <v/>
      </c>
      <c r="K6112" t="str">
        <f t="shared" si="191"/>
        <v/>
      </c>
    </row>
    <row r="6113" spans="7:11" x14ac:dyDescent="0.2">
      <c r="G6113" s="44"/>
      <c r="J6113" t="str">
        <f t="shared" si="190"/>
        <v/>
      </c>
      <c r="K6113" t="str">
        <f t="shared" si="191"/>
        <v/>
      </c>
    </row>
    <row r="6114" spans="7:11" x14ac:dyDescent="0.2">
      <c r="G6114" s="44"/>
      <c r="J6114" t="str">
        <f t="shared" si="190"/>
        <v/>
      </c>
      <c r="K6114" t="str">
        <f t="shared" si="191"/>
        <v/>
      </c>
    </row>
    <row r="6115" spans="7:11" x14ac:dyDescent="0.2">
      <c r="G6115" s="44"/>
      <c r="J6115" t="str">
        <f t="shared" si="190"/>
        <v/>
      </c>
      <c r="K6115" t="str">
        <f t="shared" si="191"/>
        <v/>
      </c>
    </row>
    <row r="6116" spans="7:11" x14ac:dyDescent="0.2">
      <c r="G6116" s="44"/>
      <c r="J6116" t="str">
        <f t="shared" si="190"/>
        <v/>
      </c>
      <c r="K6116" t="str">
        <f t="shared" si="191"/>
        <v/>
      </c>
    </row>
    <row r="6117" spans="7:11" x14ac:dyDescent="0.2">
      <c r="G6117" s="44"/>
      <c r="J6117" t="str">
        <f t="shared" si="190"/>
        <v/>
      </c>
      <c r="K6117" t="str">
        <f t="shared" si="191"/>
        <v/>
      </c>
    </row>
    <row r="6118" spans="7:11" x14ac:dyDescent="0.2">
      <c r="G6118" s="44"/>
      <c r="J6118" t="str">
        <f t="shared" si="190"/>
        <v/>
      </c>
      <c r="K6118" t="str">
        <f t="shared" si="191"/>
        <v/>
      </c>
    </row>
    <row r="6119" spans="7:11" x14ac:dyDescent="0.2">
      <c r="G6119" s="44"/>
      <c r="J6119" t="str">
        <f t="shared" si="190"/>
        <v/>
      </c>
      <c r="K6119" t="str">
        <f t="shared" si="191"/>
        <v/>
      </c>
    </row>
    <row r="6120" spans="7:11" x14ac:dyDescent="0.2">
      <c r="G6120" s="44"/>
      <c r="J6120" t="str">
        <f t="shared" si="190"/>
        <v/>
      </c>
      <c r="K6120" t="str">
        <f t="shared" si="191"/>
        <v/>
      </c>
    </row>
    <row r="6121" spans="7:11" x14ac:dyDescent="0.2">
      <c r="G6121" s="44"/>
      <c r="J6121" t="str">
        <f t="shared" si="190"/>
        <v/>
      </c>
      <c r="K6121" t="str">
        <f t="shared" si="191"/>
        <v/>
      </c>
    </row>
    <row r="6122" spans="7:11" x14ac:dyDescent="0.2">
      <c r="G6122" s="44"/>
      <c r="J6122" t="str">
        <f t="shared" si="190"/>
        <v/>
      </c>
      <c r="K6122" t="str">
        <f t="shared" si="191"/>
        <v/>
      </c>
    </row>
    <row r="6123" spans="7:11" x14ac:dyDescent="0.2">
      <c r="G6123" s="44"/>
      <c r="J6123" t="str">
        <f t="shared" si="190"/>
        <v/>
      </c>
      <c r="K6123" t="str">
        <f t="shared" si="191"/>
        <v/>
      </c>
    </row>
    <row r="6124" spans="7:11" x14ac:dyDescent="0.2">
      <c r="G6124" s="44"/>
      <c r="J6124" t="str">
        <f t="shared" si="190"/>
        <v/>
      </c>
      <c r="K6124" t="str">
        <f t="shared" si="191"/>
        <v/>
      </c>
    </row>
    <row r="6125" spans="7:11" x14ac:dyDescent="0.2">
      <c r="G6125" s="44"/>
      <c r="J6125" t="str">
        <f t="shared" si="190"/>
        <v/>
      </c>
      <c r="K6125" t="str">
        <f t="shared" si="191"/>
        <v/>
      </c>
    </row>
    <row r="6126" spans="7:11" x14ac:dyDescent="0.2">
      <c r="G6126" s="44"/>
      <c r="J6126" t="str">
        <f t="shared" si="190"/>
        <v/>
      </c>
      <c r="K6126" t="str">
        <f t="shared" si="191"/>
        <v/>
      </c>
    </row>
    <row r="6127" spans="7:11" x14ac:dyDescent="0.2">
      <c r="G6127" s="44"/>
      <c r="J6127" t="str">
        <f t="shared" si="190"/>
        <v/>
      </c>
      <c r="K6127" t="str">
        <f t="shared" si="191"/>
        <v/>
      </c>
    </row>
    <row r="6128" spans="7:11" x14ac:dyDescent="0.2">
      <c r="G6128" s="44"/>
      <c r="J6128" t="str">
        <f t="shared" si="190"/>
        <v/>
      </c>
      <c r="K6128" t="str">
        <f t="shared" si="191"/>
        <v/>
      </c>
    </row>
    <row r="6129" spans="7:11" x14ac:dyDescent="0.2">
      <c r="G6129" s="44"/>
      <c r="J6129" t="str">
        <f t="shared" si="190"/>
        <v/>
      </c>
      <c r="K6129" t="str">
        <f t="shared" si="191"/>
        <v/>
      </c>
    </row>
    <row r="6130" spans="7:11" x14ac:dyDescent="0.2">
      <c r="G6130" s="44"/>
      <c r="J6130" t="str">
        <f t="shared" si="190"/>
        <v/>
      </c>
      <c r="K6130" t="str">
        <f t="shared" si="191"/>
        <v/>
      </c>
    </row>
    <row r="6131" spans="7:11" x14ac:dyDescent="0.2">
      <c r="G6131" s="44"/>
      <c r="J6131" t="str">
        <f t="shared" si="190"/>
        <v/>
      </c>
      <c r="K6131" t="str">
        <f t="shared" si="191"/>
        <v/>
      </c>
    </row>
    <row r="6132" spans="7:11" x14ac:dyDescent="0.2">
      <c r="G6132" s="44"/>
      <c r="J6132" t="str">
        <f t="shared" si="190"/>
        <v/>
      </c>
      <c r="K6132" t="str">
        <f t="shared" si="191"/>
        <v/>
      </c>
    </row>
    <row r="6133" spans="7:11" x14ac:dyDescent="0.2">
      <c r="G6133" s="44"/>
      <c r="J6133" t="str">
        <f t="shared" si="190"/>
        <v/>
      </c>
      <c r="K6133" t="str">
        <f t="shared" si="191"/>
        <v/>
      </c>
    </row>
    <row r="6134" spans="7:11" x14ac:dyDescent="0.2">
      <c r="G6134" s="44"/>
      <c r="J6134" t="str">
        <f t="shared" si="190"/>
        <v/>
      </c>
      <c r="K6134" t="str">
        <f t="shared" si="191"/>
        <v/>
      </c>
    </row>
    <row r="6135" spans="7:11" x14ac:dyDescent="0.2">
      <c r="G6135" s="44"/>
      <c r="J6135" t="str">
        <f t="shared" si="190"/>
        <v/>
      </c>
      <c r="K6135" t="str">
        <f t="shared" si="191"/>
        <v/>
      </c>
    </row>
    <row r="6136" spans="7:11" x14ac:dyDescent="0.2">
      <c r="G6136" s="44"/>
      <c r="J6136" t="str">
        <f t="shared" si="190"/>
        <v/>
      </c>
      <c r="K6136" t="str">
        <f t="shared" si="191"/>
        <v/>
      </c>
    </row>
    <row r="6137" spans="7:11" x14ac:dyDescent="0.2">
      <c r="G6137" s="44"/>
      <c r="J6137" t="str">
        <f t="shared" si="190"/>
        <v/>
      </c>
      <c r="K6137" t="str">
        <f t="shared" si="191"/>
        <v/>
      </c>
    </row>
    <row r="6138" spans="7:11" x14ac:dyDescent="0.2">
      <c r="G6138" s="44"/>
      <c r="J6138" t="str">
        <f t="shared" si="190"/>
        <v/>
      </c>
      <c r="K6138" t="str">
        <f t="shared" si="191"/>
        <v/>
      </c>
    </row>
    <row r="6139" spans="7:11" x14ac:dyDescent="0.2">
      <c r="G6139" s="44"/>
      <c r="J6139" t="str">
        <f t="shared" si="190"/>
        <v/>
      </c>
      <c r="K6139" t="str">
        <f t="shared" si="191"/>
        <v/>
      </c>
    </row>
    <row r="6140" spans="7:11" x14ac:dyDescent="0.2">
      <c r="G6140" s="44"/>
      <c r="J6140" t="str">
        <f t="shared" si="190"/>
        <v/>
      </c>
      <c r="K6140" t="str">
        <f t="shared" si="191"/>
        <v/>
      </c>
    </row>
    <row r="6141" spans="7:11" x14ac:dyDescent="0.2">
      <c r="G6141" s="44"/>
      <c r="J6141" t="str">
        <f t="shared" si="190"/>
        <v/>
      </c>
      <c r="K6141" t="str">
        <f t="shared" si="191"/>
        <v/>
      </c>
    </row>
    <row r="6142" spans="7:11" x14ac:dyDescent="0.2">
      <c r="G6142" s="44"/>
      <c r="J6142" t="str">
        <f t="shared" si="190"/>
        <v/>
      </c>
      <c r="K6142" t="str">
        <f t="shared" si="191"/>
        <v/>
      </c>
    </row>
    <row r="6143" spans="7:11" x14ac:dyDescent="0.2">
      <c r="G6143" s="44"/>
      <c r="J6143" t="str">
        <f t="shared" si="190"/>
        <v/>
      </c>
      <c r="K6143" t="str">
        <f t="shared" si="191"/>
        <v/>
      </c>
    </row>
    <row r="6144" spans="7:11" x14ac:dyDescent="0.2">
      <c r="G6144" s="44"/>
      <c r="J6144" t="str">
        <f t="shared" si="190"/>
        <v/>
      </c>
      <c r="K6144" t="str">
        <f t="shared" si="191"/>
        <v/>
      </c>
    </row>
    <row r="6145" spans="7:11" x14ac:dyDescent="0.2">
      <c r="G6145" s="44"/>
      <c r="J6145" t="str">
        <f t="shared" si="190"/>
        <v/>
      </c>
      <c r="K6145" t="str">
        <f t="shared" si="191"/>
        <v/>
      </c>
    </row>
    <row r="6146" spans="7:11" x14ac:dyDescent="0.2">
      <c r="G6146" s="44"/>
      <c r="J6146" t="str">
        <f t="shared" ref="J6146:J6209" si="192">IF(E6146="","",IF(OR(E6146=50,E6146=51),"Iltindhold",IF(E6146=75,"Carbon,org,NVOC",IF(OR(E6146=343,E6146=1167),"Svovlbrinte",IF(OR(E6146=240,E6146=241,E6146=242),"Amm",IF(E6146=244,"Nitrit",IF(E6146=247,"Nitrat",IF(E6146=334,"Sulfat",IF(E6146=262,"Phosphor, total-P",F6146)))))))))</f>
        <v/>
      </c>
      <c r="K6146" t="str">
        <f t="shared" ref="K6146:K6209" si="193">IF(A6146="","",IF(H6146="!",NA(),IF(H6146="A",I6146*0.5,IF(H6146="&lt;",I6146*0.5,I6146))))</f>
        <v/>
      </c>
    </row>
    <row r="6147" spans="7:11" x14ac:dyDescent="0.2">
      <c r="G6147" s="44"/>
      <c r="J6147" t="str">
        <f t="shared" si="192"/>
        <v/>
      </c>
      <c r="K6147" t="str">
        <f t="shared" si="193"/>
        <v/>
      </c>
    </row>
    <row r="6148" spans="7:11" x14ac:dyDescent="0.2">
      <c r="G6148" s="44"/>
      <c r="J6148" t="str">
        <f t="shared" si="192"/>
        <v/>
      </c>
      <c r="K6148" t="str">
        <f t="shared" si="193"/>
        <v/>
      </c>
    </row>
    <row r="6149" spans="7:11" x14ac:dyDescent="0.2">
      <c r="G6149" s="44"/>
      <c r="J6149" t="str">
        <f t="shared" si="192"/>
        <v/>
      </c>
      <c r="K6149" t="str">
        <f t="shared" si="193"/>
        <v/>
      </c>
    </row>
    <row r="6150" spans="7:11" x14ac:dyDescent="0.2">
      <c r="G6150" s="44"/>
      <c r="J6150" t="str">
        <f t="shared" si="192"/>
        <v/>
      </c>
      <c r="K6150" t="str">
        <f t="shared" si="193"/>
        <v/>
      </c>
    </row>
    <row r="6151" spans="7:11" x14ac:dyDescent="0.2">
      <c r="G6151" s="44"/>
      <c r="J6151" t="str">
        <f t="shared" si="192"/>
        <v/>
      </c>
      <c r="K6151" t="str">
        <f t="shared" si="193"/>
        <v/>
      </c>
    </row>
    <row r="6152" spans="7:11" x14ac:dyDescent="0.2">
      <c r="G6152" s="44"/>
      <c r="J6152" t="str">
        <f t="shared" si="192"/>
        <v/>
      </c>
      <c r="K6152" t="str">
        <f t="shared" si="193"/>
        <v/>
      </c>
    </row>
    <row r="6153" spans="7:11" x14ac:dyDescent="0.2">
      <c r="G6153" s="44"/>
      <c r="J6153" t="str">
        <f t="shared" si="192"/>
        <v/>
      </c>
      <c r="K6153" t="str">
        <f t="shared" si="193"/>
        <v/>
      </c>
    </row>
    <row r="6154" spans="7:11" x14ac:dyDescent="0.2">
      <c r="G6154" s="44"/>
      <c r="J6154" t="str">
        <f t="shared" si="192"/>
        <v/>
      </c>
      <c r="K6154" t="str">
        <f t="shared" si="193"/>
        <v/>
      </c>
    </row>
    <row r="6155" spans="7:11" x14ac:dyDescent="0.2">
      <c r="G6155" s="44"/>
      <c r="J6155" t="str">
        <f t="shared" si="192"/>
        <v/>
      </c>
      <c r="K6155" t="str">
        <f t="shared" si="193"/>
        <v/>
      </c>
    </row>
    <row r="6156" spans="7:11" x14ac:dyDescent="0.2">
      <c r="G6156" s="44"/>
      <c r="J6156" t="str">
        <f t="shared" si="192"/>
        <v/>
      </c>
      <c r="K6156" t="str">
        <f t="shared" si="193"/>
        <v/>
      </c>
    </row>
    <row r="6157" spans="7:11" x14ac:dyDescent="0.2">
      <c r="G6157" s="44"/>
      <c r="J6157" t="str">
        <f t="shared" si="192"/>
        <v/>
      </c>
      <c r="K6157" t="str">
        <f t="shared" si="193"/>
        <v/>
      </c>
    </row>
    <row r="6158" spans="7:11" x14ac:dyDescent="0.2">
      <c r="G6158" s="44"/>
      <c r="J6158" t="str">
        <f t="shared" si="192"/>
        <v/>
      </c>
      <c r="K6158" t="str">
        <f t="shared" si="193"/>
        <v/>
      </c>
    </row>
    <row r="6159" spans="7:11" x14ac:dyDescent="0.2">
      <c r="G6159" s="44"/>
      <c r="J6159" t="str">
        <f t="shared" si="192"/>
        <v/>
      </c>
      <c r="K6159" t="str">
        <f t="shared" si="193"/>
        <v/>
      </c>
    </row>
    <row r="6160" spans="7:11" x14ac:dyDescent="0.2">
      <c r="G6160" s="44"/>
      <c r="J6160" t="str">
        <f t="shared" si="192"/>
        <v/>
      </c>
      <c r="K6160" t="str">
        <f t="shared" si="193"/>
        <v/>
      </c>
    </row>
    <row r="6161" spans="7:11" x14ac:dyDescent="0.2">
      <c r="G6161" s="44"/>
      <c r="J6161" t="str">
        <f t="shared" si="192"/>
        <v/>
      </c>
      <c r="K6161" t="str">
        <f t="shared" si="193"/>
        <v/>
      </c>
    </row>
    <row r="6162" spans="7:11" x14ac:dyDescent="0.2">
      <c r="G6162" s="44"/>
      <c r="J6162" t="str">
        <f t="shared" si="192"/>
        <v/>
      </c>
      <c r="K6162" t="str">
        <f t="shared" si="193"/>
        <v/>
      </c>
    </row>
    <row r="6163" spans="7:11" x14ac:dyDescent="0.2">
      <c r="G6163" s="44"/>
      <c r="J6163" t="str">
        <f t="shared" si="192"/>
        <v/>
      </c>
      <c r="K6163" t="str">
        <f t="shared" si="193"/>
        <v/>
      </c>
    </row>
    <row r="6164" spans="7:11" x14ac:dyDescent="0.2">
      <c r="G6164" s="44"/>
      <c r="J6164" t="str">
        <f t="shared" si="192"/>
        <v/>
      </c>
      <c r="K6164" t="str">
        <f t="shared" si="193"/>
        <v/>
      </c>
    </row>
    <row r="6165" spans="7:11" x14ac:dyDescent="0.2">
      <c r="G6165" s="44"/>
      <c r="J6165" t="str">
        <f t="shared" si="192"/>
        <v/>
      </c>
      <c r="K6165" t="str">
        <f t="shared" si="193"/>
        <v/>
      </c>
    </row>
    <row r="6166" spans="7:11" x14ac:dyDescent="0.2">
      <c r="G6166" s="44"/>
      <c r="J6166" t="str">
        <f t="shared" si="192"/>
        <v/>
      </c>
      <c r="K6166" t="str">
        <f t="shared" si="193"/>
        <v/>
      </c>
    </row>
    <row r="6167" spans="7:11" x14ac:dyDescent="0.2">
      <c r="G6167" s="44"/>
      <c r="J6167" t="str">
        <f t="shared" si="192"/>
        <v/>
      </c>
      <c r="K6167" t="str">
        <f t="shared" si="193"/>
        <v/>
      </c>
    </row>
    <row r="6168" spans="7:11" x14ac:dyDescent="0.2">
      <c r="G6168" s="44"/>
      <c r="J6168" t="str">
        <f t="shared" si="192"/>
        <v/>
      </c>
      <c r="K6168" t="str">
        <f t="shared" si="193"/>
        <v/>
      </c>
    </row>
    <row r="6169" spans="7:11" x14ac:dyDescent="0.2">
      <c r="G6169" s="44"/>
      <c r="J6169" t="str">
        <f t="shared" si="192"/>
        <v/>
      </c>
      <c r="K6169" t="str">
        <f t="shared" si="193"/>
        <v/>
      </c>
    </row>
    <row r="6170" spans="7:11" x14ac:dyDescent="0.2">
      <c r="G6170" s="44"/>
      <c r="J6170" t="str">
        <f t="shared" si="192"/>
        <v/>
      </c>
      <c r="K6170" t="str">
        <f t="shared" si="193"/>
        <v/>
      </c>
    </row>
    <row r="6171" spans="7:11" x14ac:dyDescent="0.2">
      <c r="G6171" s="44"/>
      <c r="J6171" t="str">
        <f t="shared" si="192"/>
        <v/>
      </c>
      <c r="K6171" t="str">
        <f t="shared" si="193"/>
        <v/>
      </c>
    </row>
    <row r="6172" spans="7:11" x14ac:dyDescent="0.2">
      <c r="G6172" s="44"/>
      <c r="J6172" t="str">
        <f t="shared" si="192"/>
        <v/>
      </c>
      <c r="K6172" t="str">
        <f t="shared" si="193"/>
        <v/>
      </c>
    </row>
    <row r="6173" spans="7:11" x14ac:dyDescent="0.2">
      <c r="G6173" s="44"/>
      <c r="J6173" t="str">
        <f t="shared" si="192"/>
        <v/>
      </c>
      <c r="K6173" t="str">
        <f t="shared" si="193"/>
        <v/>
      </c>
    </row>
    <row r="6174" spans="7:11" x14ac:dyDescent="0.2">
      <c r="G6174" s="44"/>
      <c r="J6174" t="str">
        <f t="shared" si="192"/>
        <v/>
      </c>
      <c r="K6174" t="str">
        <f t="shared" si="193"/>
        <v/>
      </c>
    </row>
    <row r="6175" spans="7:11" x14ac:dyDescent="0.2">
      <c r="G6175" s="44"/>
      <c r="J6175" t="str">
        <f t="shared" si="192"/>
        <v/>
      </c>
      <c r="K6175" t="str">
        <f t="shared" si="193"/>
        <v/>
      </c>
    </row>
    <row r="6176" spans="7:11" x14ac:dyDescent="0.2">
      <c r="G6176" s="44"/>
      <c r="J6176" t="str">
        <f t="shared" si="192"/>
        <v/>
      </c>
      <c r="K6176" t="str">
        <f t="shared" si="193"/>
        <v/>
      </c>
    </row>
    <row r="6177" spans="7:11" x14ac:dyDescent="0.2">
      <c r="G6177" s="44"/>
      <c r="J6177" t="str">
        <f t="shared" si="192"/>
        <v/>
      </c>
      <c r="K6177" t="str">
        <f t="shared" si="193"/>
        <v/>
      </c>
    </row>
    <row r="6178" spans="7:11" x14ac:dyDescent="0.2">
      <c r="G6178" s="44"/>
      <c r="J6178" t="str">
        <f t="shared" si="192"/>
        <v/>
      </c>
      <c r="K6178" t="str">
        <f t="shared" si="193"/>
        <v/>
      </c>
    </row>
    <row r="6179" spans="7:11" x14ac:dyDescent="0.2">
      <c r="G6179" s="44"/>
      <c r="J6179" t="str">
        <f t="shared" si="192"/>
        <v/>
      </c>
      <c r="K6179" t="str">
        <f t="shared" si="193"/>
        <v/>
      </c>
    </row>
    <row r="6180" spans="7:11" x14ac:dyDescent="0.2">
      <c r="G6180" s="44"/>
      <c r="J6180" t="str">
        <f t="shared" si="192"/>
        <v/>
      </c>
      <c r="K6180" t="str">
        <f t="shared" si="193"/>
        <v/>
      </c>
    </row>
    <row r="6181" spans="7:11" x14ac:dyDescent="0.2">
      <c r="G6181" s="44"/>
      <c r="J6181" t="str">
        <f t="shared" si="192"/>
        <v/>
      </c>
      <c r="K6181" t="str">
        <f t="shared" si="193"/>
        <v/>
      </c>
    </row>
    <row r="6182" spans="7:11" x14ac:dyDescent="0.2">
      <c r="G6182" s="44"/>
      <c r="J6182" t="str">
        <f t="shared" si="192"/>
        <v/>
      </c>
      <c r="K6182" t="str">
        <f t="shared" si="193"/>
        <v/>
      </c>
    </row>
    <row r="6183" spans="7:11" x14ac:dyDescent="0.2">
      <c r="G6183" s="44"/>
      <c r="J6183" t="str">
        <f t="shared" si="192"/>
        <v/>
      </c>
      <c r="K6183" t="str">
        <f t="shared" si="193"/>
        <v/>
      </c>
    </row>
    <row r="6184" spans="7:11" x14ac:dyDescent="0.2">
      <c r="G6184" s="44"/>
      <c r="J6184" t="str">
        <f t="shared" si="192"/>
        <v/>
      </c>
      <c r="K6184" t="str">
        <f t="shared" si="193"/>
        <v/>
      </c>
    </row>
    <row r="6185" spans="7:11" x14ac:dyDescent="0.2">
      <c r="G6185" s="44"/>
      <c r="J6185" t="str">
        <f t="shared" si="192"/>
        <v/>
      </c>
      <c r="K6185" t="str">
        <f t="shared" si="193"/>
        <v/>
      </c>
    </row>
    <row r="6186" spans="7:11" x14ac:dyDescent="0.2">
      <c r="G6186" s="44"/>
      <c r="J6186" t="str">
        <f t="shared" si="192"/>
        <v/>
      </c>
      <c r="K6186" t="str">
        <f t="shared" si="193"/>
        <v/>
      </c>
    </row>
    <row r="6187" spans="7:11" x14ac:dyDescent="0.2">
      <c r="G6187" s="44"/>
      <c r="J6187" t="str">
        <f t="shared" si="192"/>
        <v/>
      </c>
      <c r="K6187" t="str">
        <f t="shared" si="193"/>
        <v/>
      </c>
    </row>
    <row r="6188" spans="7:11" x14ac:dyDescent="0.2">
      <c r="G6188" s="44"/>
      <c r="J6188" t="str">
        <f t="shared" si="192"/>
        <v/>
      </c>
      <c r="K6188" t="str">
        <f t="shared" si="193"/>
        <v/>
      </c>
    </row>
    <row r="6189" spans="7:11" x14ac:dyDescent="0.2">
      <c r="G6189" s="44"/>
      <c r="J6189" t="str">
        <f t="shared" si="192"/>
        <v/>
      </c>
      <c r="K6189" t="str">
        <f t="shared" si="193"/>
        <v/>
      </c>
    </row>
    <row r="6190" spans="7:11" x14ac:dyDescent="0.2">
      <c r="G6190" s="44"/>
      <c r="J6190" t="str">
        <f t="shared" si="192"/>
        <v/>
      </c>
      <c r="K6190" t="str">
        <f t="shared" si="193"/>
        <v/>
      </c>
    </row>
    <row r="6191" spans="7:11" x14ac:dyDescent="0.2">
      <c r="G6191" s="44"/>
      <c r="J6191" t="str">
        <f t="shared" si="192"/>
        <v/>
      </c>
      <c r="K6191" t="str">
        <f t="shared" si="193"/>
        <v/>
      </c>
    </row>
    <row r="6192" spans="7:11" x14ac:dyDescent="0.2">
      <c r="G6192" s="44"/>
      <c r="J6192" t="str">
        <f t="shared" si="192"/>
        <v/>
      </c>
      <c r="K6192" t="str">
        <f t="shared" si="193"/>
        <v/>
      </c>
    </row>
    <row r="6193" spans="7:11" x14ac:dyDescent="0.2">
      <c r="G6193" s="44"/>
      <c r="J6193" t="str">
        <f t="shared" si="192"/>
        <v/>
      </c>
      <c r="K6193" t="str">
        <f t="shared" si="193"/>
        <v/>
      </c>
    </row>
    <row r="6194" spans="7:11" x14ac:dyDescent="0.2">
      <c r="G6194" s="44"/>
      <c r="J6194" t="str">
        <f t="shared" si="192"/>
        <v/>
      </c>
      <c r="K6194" t="str">
        <f t="shared" si="193"/>
        <v/>
      </c>
    </row>
    <row r="6195" spans="7:11" x14ac:dyDescent="0.2">
      <c r="G6195" s="44"/>
      <c r="J6195" t="str">
        <f t="shared" si="192"/>
        <v/>
      </c>
      <c r="K6195" t="str">
        <f t="shared" si="193"/>
        <v/>
      </c>
    </row>
    <row r="6196" spans="7:11" x14ac:dyDescent="0.2">
      <c r="G6196" s="44"/>
      <c r="J6196" t="str">
        <f t="shared" si="192"/>
        <v/>
      </c>
      <c r="K6196" t="str">
        <f t="shared" si="193"/>
        <v/>
      </c>
    </row>
    <row r="6197" spans="7:11" x14ac:dyDescent="0.2">
      <c r="G6197" s="44"/>
      <c r="J6197" t="str">
        <f t="shared" si="192"/>
        <v/>
      </c>
      <c r="K6197" t="str">
        <f t="shared" si="193"/>
        <v/>
      </c>
    </row>
    <row r="6198" spans="7:11" x14ac:dyDescent="0.2">
      <c r="G6198" s="44"/>
      <c r="J6198" t="str">
        <f t="shared" si="192"/>
        <v/>
      </c>
      <c r="K6198" t="str">
        <f t="shared" si="193"/>
        <v/>
      </c>
    </row>
    <row r="6199" spans="7:11" x14ac:dyDescent="0.2">
      <c r="G6199" s="44"/>
      <c r="J6199" t="str">
        <f t="shared" si="192"/>
        <v/>
      </c>
      <c r="K6199" t="str">
        <f t="shared" si="193"/>
        <v/>
      </c>
    </row>
    <row r="6200" spans="7:11" x14ac:dyDescent="0.2">
      <c r="G6200" s="44"/>
      <c r="J6200" t="str">
        <f t="shared" si="192"/>
        <v/>
      </c>
      <c r="K6200" t="str">
        <f t="shared" si="193"/>
        <v/>
      </c>
    </row>
    <row r="6201" spans="7:11" x14ac:dyDescent="0.2">
      <c r="G6201" s="44"/>
      <c r="J6201" t="str">
        <f t="shared" si="192"/>
        <v/>
      </c>
      <c r="K6201" t="str">
        <f t="shared" si="193"/>
        <v/>
      </c>
    </row>
    <row r="6202" spans="7:11" x14ac:dyDescent="0.2">
      <c r="G6202" s="44"/>
      <c r="J6202" t="str">
        <f t="shared" si="192"/>
        <v/>
      </c>
      <c r="K6202" t="str">
        <f t="shared" si="193"/>
        <v/>
      </c>
    </row>
    <row r="6203" spans="7:11" x14ac:dyDescent="0.2">
      <c r="G6203" s="44"/>
      <c r="J6203" t="str">
        <f t="shared" si="192"/>
        <v/>
      </c>
      <c r="K6203" t="str">
        <f t="shared" si="193"/>
        <v/>
      </c>
    </row>
    <row r="6204" spans="7:11" x14ac:dyDescent="0.2">
      <c r="G6204" s="44"/>
      <c r="J6204" t="str">
        <f t="shared" si="192"/>
        <v/>
      </c>
      <c r="K6204" t="str">
        <f t="shared" si="193"/>
        <v/>
      </c>
    </row>
    <row r="6205" spans="7:11" x14ac:dyDescent="0.2">
      <c r="G6205" s="44"/>
      <c r="J6205" t="str">
        <f t="shared" si="192"/>
        <v/>
      </c>
      <c r="K6205" t="str">
        <f t="shared" si="193"/>
        <v/>
      </c>
    </row>
    <row r="6206" spans="7:11" x14ac:dyDescent="0.2">
      <c r="G6206" s="44"/>
      <c r="J6206" t="str">
        <f t="shared" si="192"/>
        <v/>
      </c>
      <c r="K6206" t="str">
        <f t="shared" si="193"/>
        <v/>
      </c>
    </row>
    <row r="6207" spans="7:11" x14ac:dyDescent="0.2">
      <c r="G6207" s="44"/>
      <c r="J6207" t="str">
        <f t="shared" si="192"/>
        <v/>
      </c>
      <c r="K6207" t="str">
        <f t="shared" si="193"/>
        <v/>
      </c>
    </row>
    <row r="6208" spans="7:11" x14ac:dyDescent="0.2">
      <c r="G6208" s="44"/>
      <c r="J6208" t="str">
        <f t="shared" si="192"/>
        <v/>
      </c>
      <c r="K6208" t="str">
        <f t="shared" si="193"/>
        <v/>
      </c>
    </row>
    <row r="6209" spans="7:11" x14ac:dyDescent="0.2">
      <c r="G6209" s="44"/>
      <c r="J6209" t="str">
        <f t="shared" si="192"/>
        <v/>
      </c>
      <c r="K6209" t="str">
        <f t="shared" si="193"/>
        <v/>
      </c>
    </row>
    <row r="6210" spans="7:11" x14ac:dyDescent="0.2">
      <c r="G6210" s="44"/>
      <c r="J6210" t="str">
        <f t="shared" ref="J6210:J6273" si="194">IF(E6210="","",IF(OR(E6210=50,E6210=51),"Iltindhold",IF(E6210=75,"Carbon,org,NVOC",IF(OR(E6210=343,E6210=1167),"Svovlbrinte",IF(OR(E6210=240,E6210=241,E6210=242),"Amm",IF(E6210=244,"Nitrit",IF(E6210=247,"Nitrat",IF(E6210=334,"Sulfat",IF(E6210=262,"Phosphor, total-P",F6210)))))))))</f>
        <v/>
      </c>
      <c r="K6210" t="str">
        <f t="shared" ref="K6210:K6273" si="195">IF(A6210="","",IF(H6210="!",NA(),IF(H6210="A",I6210*0.5,IF(H6210="&lt;",I6210*0.5,I6210))))</f>
        <v/>
      </c>
    </row>
    <row r="6211" spans="7:11" x14ac:dyDescent="0.2">
      <c r="G6211" s="44"/>
      <c r="J6211" t="str">
        <f t="shared" si="194"/>
        <v/>
      </c>
      <c r="K6211" t="str">
        <f t="shared" si="195"/>
        <v/>
      </c>
    </row>
    <row r="6212" spans="7:11" x14ac:dyDescent="0.2">
      <c r="G6212" s="44"/>
      <c r="J6212" t="str">
        <f t="shared" si="194"/>
        <v/>
      </c>
      <c r="K6212" t="str">
        <f t="shared" si="195"/>
        <v/>
      </c>
    </row>
    <row r="6213" spans="7:11" x14ac:dyDescent="0.2">
      <c r="G6213" s="44"/>
      <c r="J6213" t="str">
        <f t="shared" si="194"/>
        <v/>
      </c>
      <c r="K6213" t="str">
        <f t="shared" si="195"/>
        <v/>
      </c>
    </row>
    <row r="6214" spans="7:11" x14ac:dyDescent="0.2">
      <c r="G6214" s="44"/>
      <c r="J6214" t="str">
        <f t="shared" si="194"/>
        <v/>
      </c>
      <c r="K6214" t="str">
        <f t="shared" si="195"/>
        <v/>
      </c>
    </row>
    <row r="6215" spans="7:11" x14ac:dyDescent="0.2">
      <c r="G6215" s="44"/>
      <c r="J6215" t="str">
        <f t="shared" si="194"/>
        <v/>
      </c>
      <c r="K6215" t="str">
        <f t="shared" si="195"/>
        <v/>
      </c>
    </row>
    <row r="6216" spans="7:11" x14ac:dyDescent="0.2">
      <c r="G6216" s="44"/>
      <c r="J6216" t="str">
        <f t="shared" si="194"/>
        <v/>
      </c>
      <c r="K6216" t="str">
        <f t="shared" si="195"/>
        <v/>
      </c>
    </row>
    <row r="6217" spans="7:11" x14ac:dyDescent="0.2">
      <c r="G6217" s="44"/>
      <c r="J6217" t="str">
        <f t="shared" si="194"/>
        <v/>
      </c>
      <c r="K6217" t="str">
        <f t="shared" si="195"/>
        <v/>
      </c>
    </row>
    <row r="6218" spans="7:11" x14ac:dyDescent="0.2">
      <c r="G6218" s="44"/>
      <c r="J6218" t="str">
        <f t="shared" si="194"/>
        <v/>
      </c>
      <c r="K6218" t="str">
        <f t="shared" si="195"/>
        <v/>
      </c>
    </row>
    <row r="6219" spans="7:11" x14ac:dyDescent="0.2">
      <c r="G6219" s="44"/>
      <c r="J6219" t="str">
        <f t="shared" si="194"/>
        <v/>
      </c>
      <c r="K6219" t="str">
        <f t="shared" si="195"/>
        <v/>
      </c>
    </row>
    <row r="6220" spans="7:11" x14ac:dyDescent="0.2">
      <c r="G6220" s="44"/>
      <c r="J6220" t="str">
        <f t="shared" si="194"/>
        <v/>
      </c>
      <c r="K6220" t="str">
        <f t="shared" si="195"/>
        <v/>
      </c>
    </row>
    <row r="6221" spans="7:11" x14ac:dyDescent="0.2">
      <c r="G6221" s="44"/>
      <c r="J6221" t="str">
        <f t="shared" si="194"/>
        <v/>
      </c>
      <c r="K6221" t="str">
        <f t="shared" si="195"/>
        <v/>
      </c>
    </row>
    <row r="6222" spans="7:11" x14ac:dyDescent="0.2">
      <c r="G6222" s="44"/>
      <c r="J6222" t="str">
        <f t="shared" si="194"/>
        <v/>
      </c>
      <c r="K6222" t="str">
        <f t="shared" si="195"/>
        <v/>
      </c>
    </row>
    <row r="6223" spans="7:11" x14ac:dyDescent="0.2">
      <c r="G6223" s="44"/>
      <c r="J6223" t="str">
        <f t="shared" si="194"/>
        <v/>
      </c>
      <c r="K6223" t="str">
        <f t="shared" si="195"/>
        <v/>
      </c>
    </row>
    <row r="6224" spans="7:11" x14ac:dyDescent="0.2">
      <c r="G6224" s="44"/>
      <c r="J6224" t="str">
        <f t="shared" si="194"/>
        <v/>
      </c>
      <c r="K6224" t="str">
        <f t="shared" si="195"/>
        <v/>
      </c>
    </row>
    <row r="6225" spans="7:11" x14ac:dyDescent="0.2">
      <c r="G6225" s="44"/>
      <c r="J6225" t="str">
        <f t="shared" si="194"/>
        <v/>
      </c>
      <c r="K6225" t="str">
        <f t="shared" si="195"/>
        <v/>
      </c>
    </row>
    <row r="6226" spans="7:11" x14ac:dyDescent="0.2">
      <c r="G6226" s="44"/>
      <c r="J6226" t="str">
        <f t="shared" si="194"/>
        <v/>
      </c>
      <c r="K6226" t="str">
        <f t="shared" si="195"/>
        <v/>
      </c>
    </row>
    <row r="6227" spans="7:11" x14ac:dyDescent="0.2">
      <c r="G6227" s="44"/>
      <c r="J6227" t="str">
        <f t="shared" si="194"/>
        <v/>
      </c>
      <c r="K6227" t="str">
        <f t="shared" si="195"/>
        <v/>
      </c>
    </row>
    <row r="6228" spans="7:11" x14ac:dyDescent="0.2">
      <c r="G6228" s="44"/>
      <c r="J6228" t="str">
        <f t="shared" si="194"/>
        <v/>
      </c>
      <c r="K6228" t="str">
        <f t="shared" si="195"/>
        <v/>
      </c>
    </row>
    <row r="6229" spans="7:11" x14ac:dyDescent="0.2">
      <c r="G6229" s="44"/>
      <c r="J6229" t="str">
        <f t="shared" si="194"/>
        <v/>
      </c>
      <c r="K6229" t="str">
        <f t="shared" si="195"/>
        <v/>
      </c>
    </row>
    <row r="6230" spans="7:11" x14ac:dyDescent="0.2">
      <c r="G6230" s="44"/>
      <c r="J6230" t="str">
        <f t="shared" si="194"/>
        <v/>
      </c>
      <c r="K6230" t="str">
        <f t="shared" si="195"/>
        <v/>
      </c>
    </row>
    <row r="6231" spans="7:11" x14ac:dyDescent="0.2">
      <c r="G6231" s="44"/>
      <c r="J6231" t="str">
        <f t="shared" si="194"/>
        <v/>
      </c>
      <c r="K6231" t="str">
        <f t="shared" si="195"/>
        <v/>
      </c>
    </row>
    <row r="6232" spans="7:11" x14ac:dyDescent="0.2">
      <c r="G6232" s="44"/>
      <c r="J6232" t="str">
        <f t="shared" si="194"/>
        <v/>
      </c>
      <c r="K6232" t="str">
        <f t="shared" si="195"/>
        <v/>
      </c>
    </row>
    <row r="6233" spans="7:11" x14ac:dyDescent="0.2">
      <c r="G6233" s="44"/>
      <c r="J6233" t="str">
        <f t="shared" si="194"/>
        <v/>
      </c>
      <c r="K6233" t="str">
        <f t="shared" si="195"/>
        <v/>
      </c>
    </row>
    <row r="6234" spans="7:11" x14ac:dyDescent="0.2">
      <c r="G6234" s="44"/>
      <c r="J6234" t="str">
        <f t="shared" si="194"/>
        <v/>
      </c>
      <c r="K6234" t="str">
        <f t="shared" si="195"/>
        <v/>
      </c>
    </row>
    <row r="6235" spans="7:11" x14ac:dyDescent="0.2">
      <c r="G6235" s="44"/>
      <c r="J6235" t="str">
        <f t="shared" si="194"/>
        <v/>
      </c>
      <c r="K6235" t="str">
        <f t="shared" si="195"/>
        <v/>
      </c>
    </row>
    <row r="6236" spans="7:11" x14ac:dyDescent="0.2">
      <c r="G6236" s="44"/>
      <c r="J6236" t="str">
        <f t="shared" si="194"/>
        <v/>
      </c>
      <c r="K6236" t="str">
        <f t="shared" si="195"/>
        <v/>
      </c>
    </row>
    <row r="6237" spans="7:11" x14ac:dyDescent="0.2">
      <c r="G6237" s="44"/>
      <c r="J6237" t="str">
        <f t="shared" si="194"/>
        <v/>
      </c>
      <c r="K6237" t="str">
        <f t="shared" si="195"/>
        <v/>
      </c>
    </row>
    <row r="6238" spans="7:11" x14ac:dyDescent="0.2">
      <c r="G6238" s="44"/>
      <c r="J6238" t="str">
        <f t="shared" si="194"/>
        <v/>
      </c>
      <c r="K6238" t="str">
        <f t="shared" si="195"/>
        <v/>
      </c>
    </row>
    <row r="6239" spans="7:11" x14ac:dyDescent="0.2">
      <c r="G6239" s="44"/>
      <c r="J6239" t="str">
        <f t="shared" si="194"/>
        <v/>
      </c>
      <c r="K6239" t="str">
        <f t="shared" si="195"/>
        <v/>
      </c>
    </row>
    <row r="6240" spans="7:11" x14ac:dyDescent="0.2">
      <c r="G6240" s="44"/>
      <c r="J6240" t="str">
        <f t="shared" si="194"/>
        <v/>
      </c>
      <c r="K6240" t="str">
        <f t="shared" si="195"/>
        <v/>
      </c>
    </row>
    <row r="6241" spans="7:11" x14ac:dyDescent="0.2">
      <c r="G6241" s="44"/>
      <c r="J6241" t="str">
        <f t="shared" si="194"/>
        <v/>
      </c>
      <c r="K6241" t="str">
        <f t="shared" si="195"/>
        <v/>
      </c>
    </row>
    <row r="6242" spans="7:11" x14ac:dyDescent="0.2">
      <c r="G6242" s="44"/>
      <c r="J6242" t="str">
        <f t="shared" si="194"/>
        <v/>
      </c>
      <c r="K6242" t="str">
        <f t="shared" si="195"/>
        <v/>
      </c>
    </row>
    <row r="6243" spans="7:11" x14ac:dyDescent="0.2">
      <c r="G6243" s="44"/>
      <c r="J6243" t="str">
        <f t="shared" si="194"/>
        <v/>
      </c>
      <c r="K6243" t="str">
        <f t="shared" si="195"/>
        <v/>
      </c>
    </row>
    <row r="6244" spans="7:11" x14ac:dyDescent="0.2">
      <c r="G6244" s="44"/>
      <c r="J6244" t="str">
        <f t="shared" si="194"/>
        <v/>
      </c>
      <c r="K6244" t="str">
        <f t="shared" si="195"/>
        <v/>
      </c>
    </row>
    <row r="6245" spans="7:11" x14ac:dyDescent="0.2">
      <c r="G6245" s="44"/>
      <c r="J6245" t="str">
        <f t="shared" si="194"/>
        <v/>
      </c>
      <c r="K6245" t="str">
        <f t="shared" si="195"/>
        <v/>
      </c>
    </row>
    <row r="6246" spans="7:11" x14ac:dyDescent="0.2">
      <c r="G6246" s="44"/>
      <c r="J6246" t="str">
        <f t="shared" si="194"/>
        <v/>
      </c>
      <c r="K6246" t="str">
        <f t="shared" si="195"/>
        <v/>
      </c>
    </row>
    <row r="6247" spans="7:11" x14ac:dyDescent="0.2">
      <c r="G6247" s="44"/>
      <c r="J6247" t="str">
        <f t="shared" si="194"/>
        <v/>
      </c>
      <c r="K6247" t="str">
        <f t="shared" si="195"/>
        <v/>
      </c>
    </row>
    <row r="6248" spans="7:11" x14ac:dyDescent="0.2">
      <c r="G6248" s="44"/>
      <c r="J6248" t="str">
        <f t="shared" si="194"/>
        <v/>
      </c>
      <c r="K6248" t="str">
        <f t="shared" si="195"/>
        <v/>
      </c>
    </row>
    <row r="6249" spans="7:11" x14ac:dyDescent="0.2">
      <c r="G6249" s="44"/>
      <c r="J6249" t="str">
        <f t="shared" si="194"/>
        <v/>
      </c>
      <c r="K6249" t="str">
        <f t="shared" si="195"/>
        <v/>
      </c>
    </row>
    <row r="6250" spans="7:11" x14ac:dyDescent="0.2">
      <c r="G6250" s="44"/>
      <c r="J6250" t="str">
        <f t="shared" si="194"/>
        <v/>
      </c>
      <c r="K6250" t="str">
        <f t="shared" si="195"/>
        <v/>
      </c>
    </row>
    <row r="6251" spans="7:11" x14ac:dyDescent="0.2">
      <c r="G6251" s="44"/>
      <c r="J6251" t="str">
        <f t="shared" si="194"/>
        <v/>
      </c>
      <c r="K6251" t="str">
        <f t="shared" si="195"/>
        <v/>
      </c>
    </row>
    <row r="6252" spans="7:11" x14ac:dyDescent="0.2">
      <c r="G6252" s="44"/>
      <c r="J6252" t="str">
        <f t="shared" si="194"/>
        <v/>
      </c>
      <c r="K6252" t="str">
        <f t="shared" si="195"/>
        <v/>
      </c>
    </row>
    <row r="6253" spans="7:11" x14ac:dyDescent="0.2">
      <c r="G6253" s="44"/>
      <c r="J6253" t="str">
        <f t="shared" si="194"/>
        <v/>
      </c>
      <c r="K6253" t="str">
        <f t="shared" si="195"/>
        <v/>
      </c>
    </row>
    <row r="6254" spans="7:11" x14ac:dyDescent="0.2">
      <c r="G6254" s="44"/>
      <c r="J6254" t="str">
        <f t="shared" si="194"/>
        <v/>
      </c>
      <c r="K6254" t="str">
        <f t="shared" si="195"/>
        <v/>
      </c>
    </row>
    <row r="6255" spans="7:11" x14ac:dyDescent="0.2">
      <c r="G6255" s="44"/>
      <c r="J6255" t="str">
        <f t="shared" si="194"/>
        <v/>
      </c>
      <c r="K6255" t="str">
        <f t="shared" si="195"/>
        <v/>
      </c>
    </row>
    <row r="6256" spans="7:11" x14ac:dyDescent="0.2">
      <c r="G6256" s="44"/>
      <c r="J6256" t="str">
        <f t="shared" si="194"/>
        <v/>
      </c>
      <c r="K6256" t="str">
        <f t="shared" si="195"/>
        <v/>
      </c>
    </row>
    <row r="6257" spans="7:11" x14ac:dyDescent="0.2">
      <c r="G6257" s="44"/>
      <c r="J6257" t="str">
        <f t="shared" si="194"/>
        <v/>
      </c>
      <c r="K6257" t="str">
        <f t="shared" si="195"/>
        <v/>
      </c>
    </row>
    <row r="6258" spans="7:11" x14ac:dyDescent="0.2">
      <c r="G6258" s="44"/>
      <c r="J6258" t="str">
        <f t="shared" si="194"/>
        <v/>
      </c>
      <c r="K6258" t="str">
        <f t="shared" si="195"/>
        <v/>
      </c>
    </row>
    <row r="6259" spans="7:11" x14ac:dyDescent="0.2">
      <c r="G6259" s="44"/>
      <c r="J6259" t="str">
        <f t="shared" si="194"/>
        <v/>
      </c>
      <c r="K6259" t="str">
        <f t="shared" si="195"/>
        <v/>
      </c>
    </row>
    <row r="6260" spans="7:11" x14ac:dyDescent="0.2">
      <c r="G6260" s="44"/>
      <c r="J6260" t="str">
        <f t="shared" si="194"/>
        <v/>
      </c>
      <c r="K6260" t="str">
        <f t="shared" si="195"/>
        <v/>
      </c>
    </row>
    <row r="6261" spans="7:11" x14ac:dyDescent="0.2">
      <c r="G6261" s="44"/>
      <c r="J6261" t="str">
        <f t="shared" si="194"/>
        <v/>
      </c>
      <c r="K6261" t="str">
        <f t="shared" si="195"/>
        <v/>
      </c>
    </row>
    <row r="6262" spans="7:11" x14ac:dyDescent="0.2">
      <c r="G6262" s="44"/>
      <c r="J6262" t="str">
        <f t="shared" si="194"/>
        <v/>
      </c>
      <c r="K6262" t="str">
        <f t="shared" si="195"/>
        <v/>
      </c>
    </row>
    <row r="6263" spans="7:11" x14ac:dyDescent="0.2">
      <c r="G6263" s="44"/>
      <c r="J6263" t="str">
        <f t="shared" si="194"/>
        <v/>
      </c>
      <c r="K6263" t="str">
        <f t="shared" si="195"/>
        <v/>
      </c>
    </row>
    <row r="6264" spans="7:11" x14ac:dyDescent="0.2">
      <c r="G6264" s="44"/>
      <c r="J6264" t="str">
        <f t="shared" si="194"/>
        <v/>
      </c>
      <c r="K6264" t="str">
        <f t="shared" si="195"/>
        <v/>
      </c>
    </row>
    <row r="6265" spans="7:11" x14ac:dyDescent="0.2">
      <c r="G6265" s="44"/>
      <c r="J6265" t="str">
        <f t="shared" si="194"/>
        <v/>
      </c>
      <c r="K6265" t="str">
        <f t="shared" si="195"/>
        <v/>
      </c>
    </row>
    <row r="6266" spans="7:11" x14ac:dyDescent="0.2">
      <c r="G6266" s="44"/>
      <c r="J6266" t="str">
        <f t="shared" si="194"/>
        <v/>
      </c>
      <c r="K6266" t="str">
        <f t="shared" si="195"/>
        <v/>
      </c>
    </row>
    <row r="6267" spans="7:11" x14ac:dyDescent="0.2">
      <c r="G6267" s="44"/>
      <c r="J6267" t="str">
        <f t="shared" si="194"/>
        <v/>
      </c>
      <c r="K6267" t="str">
        <f t="shared" si="195"/>
        <v/>
      </c>
    </row>
    <row r="6268" spans="7:11" x14ac:dyDescent="0.2">
      <c r="G6268" s="44"/>
      <c r="J6268" t="str">
        <f t="shared" si="194"/>
        <v/>
      </c>
      <c r="K6268" t="str">
        <f t="shared" si="195"/>
        <v/>
      </c>
    </row>
    <row r="6269" spans="7:11" x14ac:dyDescent="0.2">
      <c r="G6269" s="44"/>
      <c r="J6269" t="str">
        <f t="shared" si="194"/>
        <v/>
      </c>
      <c r="K6269" t="str">
        <f t="shared" si="195"/>
        <v/>
      </c>
    </row>
    <row r="6270" spans="7:11" x14ac:dyDescent="0.2">
      <c r="G6270" s="44"/>
      <c r="J6270" t="str">
        <f t="shared" si="194"/>
        <v/>
      </c>
      <c r="K6270" t="str">
        <f t="shared" si="195"/>
        <v/>
      </c>
    </row>
    <row r="6271" spans="7:11" x14ac:dyDescent="0.2">
      <c r="G6271" s="44"/>
      <c r="J6271" t="str">
        <f t="shared" si="194"/>
        <v/>
      </c>
      <c r="K6271" t="str">
        <f t="shared" si="195"/>
        <v/>
      </c>
    </row>
    <row r="6272" spans="7:11" x14ac:dyDescent="0.2">
      <c r="G6272" s="44"/>
      <c r="J6272" t="str">
        <f t="shared" si="194"/>
        <v/>
      </c>
      <c r="K6272" t="str">
        <f t="shared" si="195"/>
        <v/>
      </c>
    </row>
    <row r="6273" spans="7:11" x14ac:dyDescent="0.2">
      <c r="G6273" s="44"/>
      <c r="J6273" t="str">
        <f t="shared" si="194"/>
        <v/>
      </c>
      <c r="K6273" t="str">
        <f t="shared" si="195"/>
        <v/>
      </c>
    </row>
    <row r="6274" spans="7:11" x14ac:dyDescent="0.2">
      <c r="G6274" s="44"/>
      <c r="J6274" t="str">
        <f t="shared" ref="J6274:J6337" si="196">IF(E6274="","",IF(OR(E6274=50,E6274=51),"Iltindhold",IF(E6274=75,"Carbon,org,NVOC",IF(OR(E6274=343,E6274=1167),"Svovlbrinte",IF(OR(E6274=240,E6274=241,E6274=242),"Amm",IF(E6274=244,"Nitrit",IF(E6274=247,"Nitrat",IF(E6274=334,"Sulfat",IF(E6274=262,"Phosphor, total-P",F6274)))))))))</f>
        <v/>
      </c>
      <c r="K6274" t="str">
        <f t="shared" ref="K6274:K6337" si="197">IF(A6274="","",IF(H6274="!",NA(),IF(H6274="A",I6274*0.5,IF(H6274="&lt;",I6274*0.5,I6274))))</f>
        <v/>
      </c>
    </row>
    <row r="6275" spans="7:11" x14ac:dyDescent="0.2">
      <c r="G6275" s="44"/>
      <c r="J6275" t="str">
        <f t="shared" si="196"/>
        <v/>
      </c>
      <c r="K6275" t="str">
        <f t="shared" si="197"/>
        <v/>
      </c>
    </row>
    <row r="6276" spans="7:11" x14ac:dyDescent="0.2">
      <c r="G6276" s="44"/>
      <c r="J6276" t="str">
        <f t="shared" si="196"/>
        <v/>
      </c>
      <c r="K6276" t="str">
        <f t="shared" si="197"/>
        <v/>
      </c>
    </row>
    <row r="6277" spans="7:11" x14ac:dyDescent="0.2">
      <c r="G6277" s="44"/>
      <c r="J6277" t="str">
        <f t="shared" si="196"/>
        <v/>
      </c>
      <c r="K6277" t="str">
        <f t="shared" si="197"/>
        <v/>
      </c>
    </row>
    <row r="6278" spans="7:11" x14ac:dyDescent="0.2">
      <c r="G6278" s="44"/>
      <c r="J6278" t="str">
        <f t="shared" si="196"/>
        <v/>
      </c>
      <c r="K6278" t="str">
        <f t="shared" si="197"/>
        <v/>
      </c>
    </row>
    <row r="6279" spans="7:11" x14ac:dyDescent="0.2">
      <c r="G6279" s="44"/>
      <c r="J6279" t="str">
        <f t="shared" si="196"/>
        <v/>
      </c>
      <c r="K6279" t="str">
        <f t="shared" si="197"/>
        <v/>
      </c>
    </row>
    <row r="6280" spans="7:11" x14ac:dyDescent="0.2">
      <c r="G6280" s="44"/>
      <c r="J6280" t="str">
        <f t="shared" si="196"/>
        <v/>
      </c>
      <c r="K6280" t="str">
        <f t="shared" si="197"/>
        <v/>
      </c>
    </row>
    <row r="6281" spans="7:11" x14ac:dyDescent="0.2">
      <c r="G6281" s="44"/>
      <c r="J6281" t="str">
        <f t="shared" si="196"/>
        <v/>
      </c>
      <c r="K6281" t="str">
        <f t="shared" si="197"/>
        <v/>
      </c>
    </row>
    <row r="6282" spans="7:11" x14ac:dyDescent="0.2">
      <c r="G6282" s="44"/>
      <c r="J6282" t="str">
        <f t="shared" si="196"/>
        <v/>
      </c>
      <c r="K6282" t="str">
        <f t="shared" si="197"/>
        <v/>
      </c>
    </row>
    <row r="6283" spans="7:11" x14ac:dyDescent="0.2">
      <c r="G6283" s="44"/>
      <c r="J6283" t="str">
        <f t="shared" si="196"/>
        <v/>
      </c>
      <c r="K6283" t="str">
        <f t="shared" si="197"/>
        <v/>
      </c>
    </row>
    <row r="6284" spans="7:11" x14ac:dyDescent="0.2">
      <c r="G6284" s="44"/>
      <c r="J6284" t="str">
        <f t="shared" si="196"/>
        <v/>
      </c>
      <c r="K6284" t="str">
        <f t="shared" si="197"/>
        <v/>
      </c>
    </row>
    <row r="6285" spans="7:11" x14ac:dyDescent="0.2">
      <c r="G6285" s="44"/>
      <c r="J6285" t="str">
        <f t="shared" si="196"/>
        <v/>
      </c>
      <c r="K6285" t="str">
        <f t="shared" si="197"/>
        <v/>
      </c>
    </row>
    <row r="6286" spans="7:11" x14ac:dyDescent="0.2">
      <c r="G6286" s="44"/>
      <c r="J6286" t="str">
        <f t="shared" si="196"/>
        <v/>
      </c>
      <c r="K6286" t="str">
        <f t="shared" si="197"/>
        <v/>
      </c>
    </row>
    <row r="6287" spans="7:11" x14ac:dyDescent="0.2">
      <c r="G6287" s="44"/>
      <c r="J6287" t="str">
        <f t="shared" si="196"/>
        <v/>
      </c>
      <c r="K6287" t="str">
        <f t="shared" si="197"/>
        <v/>
      </c>
    </row>
    <row r="6288" spans="7:11" x14ac:dyDescent="0.2">
      <c r="G6288" s="44"/>
      <c r="J6288" t="str">
        <f t="shared" si="196"/>
        <v/>
      </c>
      <c r="K6288" t="str">
        <f t="shared" si="197"/>
        <v/>
      </c>
    </row>
    <row r="6289" spans="7:11" x14ac:dyDescent="0.2">
      <c r="G6289" s="44"/>
      <c r="J6289" t="str">
        <f t="shared" si="196"/>
        <v/>
      </c>
      <c r="K6289" t="str">
        <f t="shared" si="197"/>
        <v/>
      </c>
    </row>
    <row r="6290" spans="7:11" x14ac:dyDescent="0.2">
      <c r="G6290" s="44"/>
      <c r="J6290" t="str">
        <f t="shared" si="196"/>
        <v/>
      </c>
      <c r="K6290" t="str">
        <f t="shared" si="197"/>
        <v/>
      </c>
    </row>
    <row r="6291" spans="7:11" x14ac:dyDescent="0.2">
      <c r="G6291" s="44"/>
      <c r="J6291" t="str">
        <f t="shared" si="196"/>
        <v/>
      </c>
      <c r="K6291" t="str">
        <f t="shared" si="197"/>
        <v/>
      </c>
    </row>
    <row r="6292" spans="7:11" x14ac:dyDescent="0.2">
      <c r="G6292" s="44"/>
      <c r="J6292" t="str">
        <f t="shared" si="196"/>
        <v/>
      </c>
      <c r="K6292" t="str">
        <f t="shared" si="197"/>
        <v/>
      </c>
    </row>
    <row r="6293" spans="7:11" x14ac:dyDescent="0.2">
      <c r="G6293" s="44"/>
      <c r="J6293" t="str">
        <f t="shared" si="196"/>
        <v/>
      </c>
      <c r="K6293" t="str">
        <f t="shared" si="197"/>
        <v/>
      </c>
    </row>
    <row r="6294" spans="7:11" x14ac:dyDescent="0.2">
      <c r="G6294" s="44"/>
      <c r="J6294" t="str">
        <f t="shared" si="196"/>
        <v/>
      </c>
      <c r="K6294" t="str">
        <f t="shared" si="197"/>
        <v/>
      </c>
    </row>
    <row r="6295" spans="7:11" x14ac:dyDescent="0.2">
      <c r="G6295" s="44"/>
      <c r="J6295" t="str">
        <f t="shared" si="196"/>
        <v/>
      </c>
      <c r="K6295" t="str">
        <f t="shared" si="197"/>
        <v/>
      </c>
    </row>
    <row r="6296" spans="7:11" x14ac:dyDescent="0.2">
      <c r="G6296" s="44"/>
      <c r="J6296" t="str">
        <f t="shared" si="196"/>
        <v/>
      </c>
      <c r="K6296" t="str">
        <f t="shared" si="197"/>
        <v/>
      </c>
    </row>
    <row r="6297" spans="7:11" x14ac:dyDescent="0.2">
      <c r="G6297" s="44"/>
      <c r="J6297" t="str">
        <f t="shared" si="196"/>
        <v/>
      </c>
      <c r="K6297" t="str">
        <f t="shared" si="197"/>
        <v/>
      </c>
    </row>
    <row r="6298" spans="7:11" x14ac:dyDescent="0.2">
      <c r="G6298" s="44"/>
      <c r="J6298" t="str">
        <f t="shared" si="196"/>
        <v/>
      </c>
      <c r="K6298" t="str">
        <f t="shared" si="197"/>
        <v/>
      </c>
    </row>
    <row r="6299" spans="7:11" x14ac:dyDescent="0.2">
      <c r="G6299" s="44"/>
      <c r="J6299" t="str">
        <f t="shared" si="196"/>
        <v/>
      </c>
      <c r="K6299" t="str">
        <f t="shared" si="197"/>
        <v/>
      </c>
    </row>
    <row r="6300" spans="7:11" x14ac:dyDescent="0.2">
      <c r="G6300" s="44"/>
      <c r="J6300" t="str">
        <f t="shared" si="196"/>
        <v/>
      </c>
      <c r="K6300" t="str">
        <f t="shared" si="197"/>
        <v/>
      </c>
    </row>
    <row r="6301" spans="7:11" x14ac:dyDescent="0.2">
      <c r="G6301" s="44"/>
      <c r="J6301" t="str">
        <f t="shared" si="196"/>
        <v/>
      </c>
      <c r="K6301" t="str">
        <f t="shared" si="197"/>
        <v/>
      </c>
    </row>
    <row r="6302" spans="7:11" x14ac:dyDescent="0.2">
      <c r="G6302" s="44"/>
      <c r="J6302" t="str">
        <f t="shared" si="196"/>
        <v/>
      </c>
      <c r="K6302" t="str">
        <f t="shared" si="197"/>
        <v/>
      </c>
    </row>
    <row r="6303" spans="7:11" x14ac:dyDescent="0.2">
      <c r="G6303" s="44"/>
      <c r="J6303" t="str">
        <f t="shared" si="196"/>
        <v/>
      </c>
      <c r="K6303" t="str">
        <f t="shared" si="197"/>
        <v/>
      </c>
    </row>
    <row r="6304" spans="7:11" x14ac:dyDescent="0.2">
      <c r="G6304" s="44"/>
      <c r="J6304" t="str">
        <f t="shared" si="196"/>
        <v/>
      </c>
      <c r="K6304" t="str">
        <f t="shared" si="197"/>
        <v/>
      </c>
    </row>
    <row r="6305" spans="7:11" x14ac:dyDescent="0.2">
      <c r="G6305" s="44"/>
      <c r="J6305" t="str">
        <f t="shared" si="196"/>
        <v/>
      </c>
      <c r="K6305" t="str">
        <f t="shared" si="197"/>
        <v/>
      </c>
    </row>
    <row r="6306" spans="7:11" x14ac:dyDescent="0.2">
      <c r="G6306" s="44"/>
      <c r="J6306" t="str">
        <f t="shared" si="196"/>
        <v/>
      </c>
      <c r="K6306" t="str">
        <f t="shared" si="197"/>
        <v/>
      </c>
    </row>
    <row r="6307" spans="7:11" x14ac:dyDescent="0.2">
      <c r="G6307" s="44"/>
      <c r="J6307" t="str">
        <f t="shared" si="196"/>
        <v/>
      </c>
      <c r="K6307" t="str">
        <f t="shared" si="197"/>
        <v/>
      </c>
    </row>
    <row r="6308" spans="7:11" x14ac:dyDescent="0.2">
      <c r="G6308" s="44"/>
      <c r="J6308" t="str">
        <f t="shared" si="196"/>
        <v/>
      </c>
      <c r="K6308" t="str">
        <f t="shared" si="197"/>
        <v/>
      </c>
    </row>
    <row r="6309" spans="7:11" x14ac:dyDescent="0.2">
      <c r="G6309" s="44"/>
      <c r="J6309" t="str">
        <f t="shared" si="196"/>
        <v/>
      </c>
      <c r="K6309" t="str">
        <f t="shared" si="197"/>
        <v/>
      </c>
    </row>
    <row r="6310" spans="7:11" x14ac:dyDescent="0.2">
      <c r="G6310" s="44"/>
      <c r="J6310" t="str">
        <f t="shared" si="196"/>
        <v/>
      </c>
      <c r="K6310" t="str">
        <f t="shared" si="197"/>
        <v/>
      </c>
    </row>
    <row r="6311" spans="7:11" x14ac:dyDescent="0.2">
      <c r="G6311" s="44"/>
      <c r="J6311" t="str">
        <f t="shared" si="196"/>
        <v/>
      </c>
      <c r="K6311" t="str">
        <f t="shared" si="197"/>
        <v/>
      </c>
    </row>
    <row r="6312" spans="7:11" x14ac:dyDescent="0.2">
      <c r="G6312" s="44"/>
      <c r="J6312" t="str">
        <f t="shared" si="196"/>
        <v/>
      </c>
      <c r="K6312" t="str">
        <f t="shared" si="197"/>
        <v/>
      </c>
    </row>
    <row r="6313" spans="7:11" x14ac:dyDescent="0.2">
      <c r="G6313" s="44"/>
      <c r="J6313" t="str">
        <f t="shared" si="196"/>
        <v/>
      </c>
      <c r="K6313" t="str">
        <f t="shared" si="197"/>
        <v/>
      </c>
    </row>
    <row r="6314" spans="7:11" x14ac:dyDescent="0.2">
      <c r="G6314" s="44"/>
      <c r="J6314" t="str">
        <f t="shared" si="196"/>
        <v/>
      </c>
      <c r="K6314" t="str">
        <f t="shared" si="197"/>
        <v/>
      </c>
    </row>
    <row r="6315" spans="7:11" x14ac:dyDescent="0.2">
      <c r="G6315" s="44"/>
      <c r="J6315" t="str">
        <f t="shared" si="196"/>
        <v/>
      </c>
      <c r="K6315" t="str">
        <f t="shared" si="197"/>
        <v/>
      </c>
    </row>
    <row r="6316" spans="7:11" x14ac:dyDescent="0.2">
      <c r="G6316" s="44"/>
      <c r="J6316" t="str">
        <f t="shared" si="196"/>
        <v/>
      </c>
      <c r="K6316" t="str">
        <f t="shared" si="197"/>
        <v/>
      </c>
    </row>
    <row r="6317" spans="7:11" x14ac:dyDescent="0.2">
      <c r="G6317" s="44"/>
      <c r="J6317" t="str">
        <f t="shared" si="196"/>
        <v/>
      </c>
      <c r="K6317" t="str">
        <f t="shared" si="197"/>
        <v/>
      </c>
    </row>
    <row r="6318" spans="7:11" x14ac:dyDescent="0.2">
      <c r="G6318" s="44"/>
      <c r="J6318" t="str">
        <f t="shared" si="196"/>
        <v/>
      </c>
      <c r="K6318" t="str">
        <f t="shared" si="197"/>
        <v/>
      </c>
    </row>
    <row r="6319" spans="7:11" x14ac:dyDescent="0.2">
      <c r="G6319" s="44"/>
      <c r="J6319" t="str">
        <f t="shared" si="196"/>
        <v/>
      </c>
      <c r="K6319" t="str">
        <f t="shared" si="197"/>
        <v/>
      </c>
    </row>
    <row r="6320" spans="7:11" x14ac:dyDescent="0.2">
      <c r="G6320" s="44"/>
      <c r="J6320" t="str">
        <f t="shared" si="196"/>
        <v/>
      </c>
      <c r="K6320" t="str">
        <f t="shared" si="197"/>
        <v/>
      </c>
    </row>
    <row r="6321" spans="7:11" x14ac:dyDescent="0.2">
      <c r="G6321" s="44"/>
      <c r="J6321" t="str">
        <f t="shared" si="196"/>
        <v/>
      </c>
      <c r="K6321" t="str">
        <f t="shared" si="197"/>
        <v/>
      </c>
    </row>
    <row r="6322" spans="7:11" x14ac:dyDescent="0.2">
      <c r="G6322" s="44"/>
      <c r="J6322" t="str">
        <f t="shared" si="196"/>
        <v/>
      </c>
      <c r="K6322" t="str">
        <f t="shared" si="197"/>
        <v/>
      </c>
    </row>
    <row r="6323" spans="7:11" x14ac:dyDescent="0.2">
      <c r="G6323" s="44"/>
      <c r="J6323" t="str">
        <f t="shared" si="196"/>
        <v/>
      </c>
      <c r="K6323" t="str">
        <f t="shared" si="197"/>
        <v/>
      </c>
    </row>
    <row r="6324" spans="7:11" x14ac:dyDescent="0.2">
      <c r="G6324" s="44"/>
      <c r="J6324" t="str">
        <f t="shared" si="196"/>
        <v/>
      </c>
      <c r="K6324" t="str">
        <f t="shared" si="197"/>
        <v/>
      </c>
    </row>
    <row r="6325" spans="7:11" x14ac:dyDescent="0.2">
      <c r="G6325" s="44"/>
      <c r="J6325" t="str">
        <f t="shared" si="196"/>
        <v/>
      </c>
      <c r="K6325" t="str">
        <f t="shared" si="197"/>
        <v/>
      </c>
    </row>
    <row r="6326" spans="7:11" x14ac:dyDescent="0.2">
      <c r="G6326" s="44"/>
      <c r="J6326" t="str">
        <f t="shared" si="196"/>
        <v/>
      </c>
      <c r="K6326" t="str">
        <f t="shared" si="197"/>
        <v/>
      </c>
    </row>
    <row r="6327" spans="7:11" x14ac:dyDescent="0.2">
      <c r="G6327" s="44"/>
      <c r="J6327" t="str">
        <f t="shared" si="196"/>
        <v/>
      </c>
      <c r="K6327" t="str">
        <f t="shared" si="197"/>
        <v/>
      </c>
    </row>
    <row r="6328" spans="7:11" x14ac:dyDescent="0.2">
      <c r="G6328" s="44"/>
      <c r="J6328" t="str">
        <f t="shared" si="196"/>
        <v/>
      </c>
      <c r="K6328" t="str">
        <f t="shared" si="197"/>
        <v/>
      </c>
    </row>
    <row r="6329" spans="7:11" x14ac:dyDescent="0.2">
      <c r="G6329" s="44"/>
      <c r="J6329" t="str">
        <f t="shared" si="196"/>
        <v/>
      </c>
      <c r="K6329" t="str">
        <f t="shared" si="197"/>
        <v/>
      </c>
    </row>
    <row r="6330" spans="7:11" x14ac:dyDescent="0.2">
      <c r="G6330" s="44"/>
      <c r="J6330" t="str">
        <f t="shared" si="196"/>
        <v/>
      </c>
      <c r="K6330" t="str">
        <f t="shared" si="197"/>
        <v/>
      </c>
    </row>
    <row r="6331" spans="7:11" x14ac:dyDescent="0.2">
      <c r="G6331" s="44"/>
      <c r="J6331" t="str">
        <f t="shared" si="196"/>
        <v/>
      </c>
      <c r="K6331" t="str">
        <f t="shared" si="197"/>
        <v/>
      </c>
    </row>
    <row r="6332" spans="7:11" x14ac:dyDescent="0.2">
      <c r="G6332" s="44"/>
      <c r="J6332" t="str">
        <f t="shared" si="196"/>
        <v/>
      </c>
      <c r="K6332" t="str">
        <f t="shared" si="197"/>
        <v/>
      </c>
    </row>
    <row r="6333" spans="7:11" x14ac:dyDescent="0.2">
      <c r="G6333" s="44"/>
      <c r="J6333" t="str">
        <f t="shared" si="196"/>
        <v/>
      </c>
      <c r="K6333" t="str">
        <f t="shared" si="197"/>
        <v/>
      </c>
    </row>
    <row r="6334" spans="7:11" x14ac:dyDescent="0.2">
      <c r="G6334" s="44"/>
      <c r="J6334" t="str">
        <f t="shared" si="196"/>
        <v/>
      </c>
      <c r="K6334" t="str">
        <f t="shared" si="197"/>
        <v/>
      </c>
    </row>
    <row r="6335" spans="7:11" x14ac:dyDescent="0.2">
      <c r="G6335" s="44"/>
      <c r="J6335" t="str">
        <f t="shared" si="196"/>
        <v/>
      </c>
      <c r="K6335" t="str">
        <f t="shared" si="197"/>
        <v/>
      </c>
    </row>
    <row r="6336" spans="7:11" x14ac:dyDescent="0.2">
      <c r="G6336" s="44"/>
      <c r="J6336" t="str">
        <f t="shared" si="196"/>
        <v/>
      </c>
      <c r="K6336" t="str">
        <f t="shared" si="197"/>
        <v/>
      </c>
    </row>
    <row r="6337" spans="7:11" x14ac:dyDescent="0.2">
      <c r="G6337" s="44"/>
      <c r="J6337" t="str">
        <f t="shared" si="196"/>
        <v/>
      </c>
      <c r="K6337" t="str">
        <f t="shared" si="197"/>
        <v/>
      </c>
    </row>
    <row r="6338" spans="7:11" x14ac:dyDescent="0.2">
      <c r="G6338" s="44"/>
      <c r="J6338" t="str">
        <f t="shared" ref="J6338:J6401" si="198">IF(E6338="","",IF(OR(E6338=50,E6338=51),"Iltindhold",IF(E6338=75,"Carbon,org,NVOC",IF(OR(E6338=343,E6338=1167),"Svovlbrinte",IF(OR(E6338=240,E6338=241,E6338=242),"Amm",IF(E6338=244,"Nitrit",IF(E6338=247,"Nitrat",IF(E6338=334,"Sulfat",IF(E6338=262,"Phosphor, total-P",F6338)))))))))</f>
        <v/>
      </c>
      <c r="K6338" t="str">
        <f t="shared" ref="K6338:K6401" si="199">IF(A6338="","",IF(H6338="!",NA(),IF(H6338="A",I6338*0.5,IF(H6338="&lt;",I6338*0.5,I6338))))</f>
        <v/>
      </c>
    </row>
    <row r="6339" spans="7:11" x14ac:dyDescent="0.2">
      <c r="G6339" s="44"/>
      <c r="J6339" t="str">
        <f t="shared" si="198"/>
        <v/>
      </c>
      <c r="K6339" t="str">
        <f t="shared" si="199"/>
        <v/>
      </c>
    </row>
    <row r="6340" spans="7:11" x14ac:dyDescent="0.2">
      <c r="G6340" s="44"/>
      <c r="J6340" t="str">
        <f t="shared" si="198"/>
        <v/>
      </c>
      <c r="K6340" t="str">
        <f t="shared" si="199"/>
        <v/>
      </c>
    </row>
    <row r="6341" spans="7:11" x14ac:dyDescent="0.2">
      <c r="G6341" s="44"/>
      <c r="J6341" t="str">
        <f t="shared" si="198"/>
        <v/>
      </c>
      <c r="K6341" t="str">
        <f t="shared" si="199"/>
        <v/>
      </c>
    </row>
    <row r="6342" spans="7:11" x14ac:dyDescent="0.2">
      <c r="G6342" s="44"/>
      <c r="J6342" t="str">
        <f t="shared" si="198"/>
        <v/>
      </c>
      <c r="K6342" t="str">
        <f t="shared" si="199"/>
        <v/>
      </c>
    </row>
    <row r="6343" spans="7:11" x14ac:dyDescent="0.2">
      <c r="G6343" s="44"/>
      <c r="J6343" t="str">
        <f t="shared" si="198"/>
        <v/>
      </c>
      <c r="K6343" t="str">
        <f t="shared" si="199"/>
        <v/>
      </c>
    </row>
    <row r="6344" spans="7:11" x14ac:dyDescent="0.2">
      <c r="G6344" s="44"/>
      <c r="J6344" t="str">
        <f t="shared" si="198"/>
        <v/>
      </c>
      <c r="K6344" t="str">
        <f t="shared" si="199"/>
        <v/>
      </c>
    </row>
    <row r="6345" spans="7:11" x14ac:dyDescent="0.2">
      <c r="G6345" s="44"/>
      <c r="J6345" t="str">
        <f t="shared" si="198"/>
        <v/>
      </c>
      <c r="K6345" t="str">
        <f t="shared" si="199"/>
        <v/>
      </c>
    </row>
    <row r="6346" spans="7:11" x14ac:dyDescent="0.2">
      <c r="G6346" s="44"/>
      <c r="J6346" t="str">
        <f t="shared" si="198"/>
        <v/>
      </c>
      <c r="K6346" t="str">
        <f t="shared" si="199"/>
        <v/>
      </c>
    </row>
    <row r="6347" spans="7:11" x14ac:dyDescent="0.2">
      <c r="G6347" s="44"/>
      <c r="J6347" t="str">
        <f t="shared" si="198"/>
        <v/>
      </c>
      <c r="K6347" t="str">
        <f t="shared" si="199"/>
        <v/>
      </c>
    </row>
    <row r="6348" spans="7:11" x14ac:dyDescent="0.2">
      <c r="G6348" s="44"/>
      <c r="J6348" t="str">
        <f t="shared" si="198"/>
        <v/>
      </c>
      <c r="K6348" t="str">
        <f t="shared" si="199"/>
        <v/>
      </c>
    </row>
    <row r="6349" spans="7:11" x14ac:dyDescent="0.2">
      <c r="G6349" s="44"/>
      <c r="J6349" t="str">
        <f t="shared" si="198"/>
        <v/>
      </c>
      <c r="K6349" t="str">
        <f t="shared" si="199"/>
        <v/>
      </c>
    </row>
    <row r="6350" spans="7:11" x14ac:dyDescent="0.2">
      <c r="G6350" s="44"/>
      <c r="J6350" t="str">
        <f t="shared" si="198"/>
        <v/>
      </c>
      <c r="K6350" t="str">
        <f t="shared" si="199"/>
        <v/>
      </c>
    </row>
    <row r="6351" spans="7:11" x14ac:dyDescent="0.2">
      <c r="G6351" s="44"/>
      <c r="J6351" t="str">
        <f t="shared" si="198"/>
        <v/>
      </c>
      <c r="K6351" t="str">
        <f t="shared" si="199"/>
        <v/>
      </c>
    </row>
    <row r="6352" spans="7:11" x14ac:dyDescent="0.2">
      <c r="G6352" s="44"/>
      <c r="J6352" t="str">
        <f t="shared" si="198"/>
        <v/>
      </c>
      <c r="K6352" t="str">
        <f t="shared" si="199"/>
        <v/>
      </c>
    </row>
    <row r="6353" spans="7:11" x14ac:dyDescent="0.2">
      <c r="G6353" s="44"/>
      <c r="J6353" t="str">
        <f t="shared" si="198"/>
        <v/>
      </c>
      <c r="K6353" t="str">
        <f t="shared" si="199"/>
        <v/>
      </c>
    </row>
    <row r="6354" spans="7:11" x14ac:dyDescent="0.2">
      <c r="G6354" s="44"/>
      <c r="J6354" t="str">
        <f t="shared" si="198"/>
        <v/>
      </c>
      <c r="K6354" t="str">
        <f t="shared" si="199"/>
        <v/>
      </c>
    </row>
    <row r="6355" spans="7:11" x14ac:dyDescent="0.2">
      <c r="G6355" s="44"/>
      <c r="J6355" t="str">
        <f t="shared" si="198"/>
        <v/>
      </c>
      <c r="K6355" t="str">
        <f t="shared" si="199"/>
        <v/>
      </c>
    </row>
    <row r="6356" spans="7:11" x14ac:dyDescent="0.2">
      <c r="G6356" s="44"/>
      <c r="J6356" t="str">
        <f t="shared" si="198"/>
        <v/>
      </c>
      <c r="K6356" t="str">
        <f t="shared" si="199"/>
        <v/>
      </c>
    </row>
    <row r="6357" spans="7:11" x14ac:dyDescent="0.2">
      <c r="G6357" s="44"/>
      <c r="J6357" t="str">
        <f t="shared" si="198"/>
        <v/>
      </c>
      <c r="K6357" t="str">
        <f t="shared" si="199"/>
        <v/>
      </c>
    </row>
    <row r="6358" spans="7:11" x14ac:dyDescent="0.2">
      <c r="G6358" s="44"/>
      <c r="J6358" t="str">
        <f t="shared" si="198"/>
        <v/>
      </c>
      <c r="K6358" t="str">
        <f t="shared" si="199"/>
        <v/>
      </c>
    </row>
    <row r="6359" spans="7:11" x14ac:dyDescent="0.2">
      <c r="G6359" s="44"/>
      <c r="J6359" t="str">
        <f t="shared" si="198"/>
        <v/>
      </c>
      <c r="K6359" t="str">
        <f t="shared" si="199"/>
        <v/>
      </c>
    </row>
    <row r="6360" spans="7:11" x14ac:dyDescent="0.2">
      <c r="G6360" s="44"/>
      <c r="J6360" t="str">
        <f t="shared" si="198"/>
        <v/>
      </c>
      <c r="K6360" t="str">
        <f t="shared" si="199"/>
        <v/>
      </c>
    </row>
    <row r="6361" spans="7:11" x14ac:dyDescent="0.2">
      <c r="G6361" s="44"/>
      <c r="J6361" t="str">
        <f t="shared" si="198"/>
        <v/>
      </c>
      <c r="K6361" t="str">
        <f t="shared" si="199"/>
        <v/>
      </c>
    </row>
    <row r="6362" spans="7:11" x14ac:dyDescent="0.2">
      <c r="G6362" s="44"/>
      <c r="J6362" t="str">
        <f t="shared" si="198"/>
        <v/>
      </c>
      <c r="K6362" t="str">
        <f t="shared" si="199"/>
        <v/>
      </c>
    </row>
    <row r="6363" spans="7:11" x14ac:dyDescent="0.2">
      <c r="G6363" s="44"/>
      <c r="J6363" t="str">
        <f t="shared" si="198"/>
        <v/>
      </c>
      <c r="K6363" t="str">
        <f t="shared" si="199"/>
        <v/>
      </c>
    </row>
    <row r="6364" spans="7:11" x14ac:dyDescent="0.2">
      <c r="G6364" s="44"/>
      <c r="J6364" t="str">
        <f t="shared" si="198"/>
        <v/>
      </c>
      <c r="K6364" t="str">
        <f t="shared" si="199"/>
        <v/>
      </c>
    </row>
    <row r="6365" spans="7:11" x14ac:dyDescent="0.2">
      <c r="G6365" s="44"/>
      <c r="J6365" t="str">
        <f t="shared" si="198"/>
        <v/>
      </c>
      <c r="K6365" t="str">
        <f t="shared" si="199"/>
        <v/>
      </c>
    </row>
    <row r="6366" spans="7:11" x14ac:dyDescent="0.2">
      <c r="G6366" s="44"/>
      <c r="J6366" t="str">
        <f t="shared" si="198"/>
        <v/>
      </c>
      <c r="K6366" t="str">
        <f t="shared" si="199"/>
        <v/>
      </c>
    </row>
    <row r="6367" spans="7:11" x14ac:dyDescent="0.2">
      <c r="G6367" s="44"/>
      <c r="J6367" t="str">
        <f t="shared" si="198"/>
        <v/>
      </c>
      <c r="K6367" t="str">
        <f t="shared" si="199"/>
        <v/>
      </c>
    </row>
    <row r="6368" spans="7:11" x14ac:dyDescent="0.2">
      <c r="G6368" s="44"/>
      <c r="J6368" t="str">
        <f t="shared" si="198"/>
        <v/>
      </c>
      <c r="K6368" t="str">
        <f t="shared" si="199"/>
        <v/>
      </c>
    </row>
    <row r="6369" spans="7:11" x14ac:dyDescent="0.2">
      <c r="G6369" s="44"/>
      <c r="J6369" t="str">
        <f t="shared" si="198"/>
        <v/>
      </c>
      <c r="K6369" t="str">
        <f t="shared" si="199"/>
        <v/>
      </c>
    </row>
    <row r="6370" spans="7:11" x14ac:dyDescent="0.2">
      <c r="G6370" s="44"/>
      <c r="J6370" t="str">
        <f t="shared" si="198"/>
        <v/>
      </c>
      <c r="K6370" t="str">
        <f t="shared" si="199"/>
        <v/>
      </c>
    </row>
    <row r="6371" spans="7:11" x14ac:dyDescent="0.2">
      <c r="G6371" s="44"/>
      <c r="J6371" t="str">
        <f t="shared" si="198"/>
        <v/>
      </c>
      <c r="K6371" t="str">
        <f t="shared" si="199"/>
        <v/>
      </c>
    </row>
    <row r="6372" spans="7:11" x14ac:dyDescent="0.2">
      <c r="G6372" s="44"/>
      <c r="J6372" t="str">
        <f t="shared" si="198"/>
        <v/>
      </c>
      <c r="K6372" t="str">
        <f t="shared" si="199"/>
        <v/>
      </c>
    </row>
    <row r="6373" spans="7:11" x14ac:dyDescent="0.2">
      <c r="G6373" s="44"/>
      <c r="J6373" t="str">
        <f t="shared" si="198"/>
        <v/>
      </c>
      <c r="K6373" t="str">
        <f t="shared" si="199"/>
        <v/>
      </c>
    </row>
    <row r="6374" spans="7:11" x14ac:dyDescent="0.2">
      <c r="G6374" s="44"/>
      <c r="J6374" t="str">
        <f t="shared" si="198"/>
        <v/>
      </c>
      <c r="K6374" t="str">
        <f t="shared" si="199"/>
        <v/>
      </c>
    </row>
    <row r="6375" spans="7:11" x14ac:dyDescent="0.2">
      <c r="G6375" s="44"/>
      <c r="J6375" t="str">
        <f t="shared" si="198"/>
        <v/>
      </c>
      <c r="K6375" t="str">
        <f t="shared" si="199"/>
        <v/>
      </c>
    </row>
    <row r="6376" spans="7:11" x14ac:dyDescent="0.2">
      <c r="G6376" s="44"/>
      <c r="J6376" t="str">
        <f t="shared" si="198"/>
        <v/>
      </c>
      <c r="K6376" t="str">
        <f t="shared" si="199"/>
        <v/>
      </c>
    </row>
    <row r="6377" spans="7:11" x14ac:dyDescent="0.2">
      <c r="G6377" s="44"/>
      <c r="J6377" t="str">
        <f t="shared" si="198"/>
        <v/>
      </c>
      <c r="K6377" t="str">
        <f t="shared" si="199"/>
        <v/>
      </c>
    </row>
    <row r="6378" spans="7:11" x14ac:dyDescent="0.2">
      <c r="G6378" s="44"/>
      <c r="J6378" t="str">
        <f t="shared" si="198"/>
        <v/>
      </c>
      <c r="K6378" t="str">
        <f t="shared" si="199"/>
        <v/>
      </c>
    </row>
    <row r="6379" spans="7:11" x14ac:dyDescent="0.2">
      <c r="G6379" s="44"/>
      <c r="J6379" t="str">
        <f t="shared" si="198"/>
        <v/>
      </c>
      <c r="K6379" t="str">
        <f t="shared" si="199"/>
        <v/>
      </c>
    </row>
    <row r="6380" spans="7:11" x14ac:dyDescent="0.2">
      <c r="G6380" s="44"/>
      <c r="J6380" t="str">
        <f t="shared" si="198"/>
        <v/>
      </c>
      <c r="K6380" t="str">
        <f t="shared" si="199"/>
        <v/>
      </c>
    </row>
    <row r="6381" spans="7:11" x14ac:dyDescent="0.2">
      <c r="G6381" s="44"/>
      <c r="J6381" t="str">
        <f t="shared" si="198"/>
        <v/>
      </c>
      <c r="K6381" t="str">
        <f t="shared" si="199"/>
        <v/>
      </c>
    </row>
    <row r="6382" spans="7:11" x14ac:dyDescent="0.2">
      <c r="G6382" s="44"/>
      <c r="J6382" t="str">
        <f t="shared" si="198"/>
        <v/>
      </c>
      <c r="K6382" t="str">
        <f t="shared" si="199"/>
        <v/>
      </c>
    </row>
    <row r="6383" spans="7:11" x14ac:dyDescent="0.2">
      <c r="G6383" s="44"/>
      <c r="J6383" t="str">
        <f t="shared" si="198"/>
        <v/>
      </c>
      <c r="K6383" t="str">
        <f t="shared" si="199"/>
        <v/>
      </c>
    </row>
    <row r="6384" spans="7:11" x14ac:dyDescent="0.2">
      <c r="G6384" s="44"/>
      <c r="J6384" t="str">
        <f t="shared" si="198"/>
        <v/>
      </c>
      <c r="K6384" t="str">
        <f t="shared" si="199"/>
        <v/>
      </c>
    </row>
    <row r="6385" spans="7:11" x14ac:dyDescent="0.2">
      <c r="G6385" s="44"/>
      <c r="J6385" t="str">
        <f t="shared" si="198"/>
        <v/>
      </c>
      <c r="K6385" t="str">
        <f t="shared" si="199"/>
        <v/>
      </c>
    </row>
    <row r="6386" spans="7:11" x14ac:dyDescent="0.2">
      <c r="G6386" s="44"/>
      <c r="J6386" t="str">
        <f t="shared" si="198"/>
        <v/>
      </c>
      <c r="K6386" t="str">
        <f t="shared" si="199"/>
        <v/>
      </c>
    </row>
    <row r="6387" spans="7:11" x14ac:dyDescent="0.2">
      <c r="G6387" s="44"/>
      <c r="J6387" t="str">
        <f t="shared" si="198"/>
        <v/>
      </c>
      <c r="K6387" t="str">
        <f t="shared" si="199"/>
        <v/>
      </c>
    </row>
    <row r="6388" spans="7:11" x14ac:dyDescent="0.2">
      <c r="G6388" s="44"/>
      <c r="J6388" t="str">
        <f t="shared" si="198"/>
        <v/>
      </c>
      <c r="K6388" t="str">
        <f t="shared" si="199"/>
        <v/>
      </c>
    </row>
    <row r="6389" spans="7:11" x14ac:dyDescent="0.2">
      <c r="G6389" s="44"/>
      <c r="J6389" t="str">
        <f t="shared" si="198"/>
        <v/>
      </c>
      <c r="K6389" t="str">
        <f t="shared" si="199"/>
        <v/>
      </c>
    </row>
    <row r="6390" spans="7:11" x14ac:dyDescent="0.2">
      <c r="G6390" s="44"/>
      <c r="J6390" t="str">
        <f t="shared" si="198"/>
        <v/>
      </c>
      <c r="K6390" t="str">
        <f t="shared" si="199"/>
        <v/>
      </c>
    </row>
    <row r="6391" spans="7:11" x14ac:dyDescent="0.2">
      <c r="G6391" s="44"/>
      <c r="J6391" t="str">
        <f t="shared" si="198"/>
        <v/>
      </c>
      <c r="K6391" t="str">
        <f t="shared" si="199"/>
        <v/>
      </c>
    </row>
    <row r="6392" spans="7:11" x14ac:dyDescent="0.2">
      <c r="G6392" s="44"/>
      <c r="J6392" t="str">
        <f t="shared" si="198"/>
        <v/>
      </c>
      <c r="K6392" t="str">
        <f t="shared" si="199"/>
        <v/>
      </c>
    </row>
    <row r="6393" spans="7:11" x14ac:dyDescent="0.2">
      <c r="G6393" s="44"/>
      <c r="J6393" t="str">
        <f t="shared" si="198"/>
        <v/>
      </c>
      <c r="K6393" t="str">
        <f t="shared" si="199"/>
        <v/>
      </c>
    </row>
    <row r="6394" spans="7:11" x14ac:dyDescent="0.2">
      <c r="G6394" s="44"/>
      <c r="J6394" t="str">
        <f t="shared" si="198"/>
        <v/>
      </c>
      <c r="K6394" t="str">
        <f t="shared" si="199"/>
        <v/>
      </c>
    </row>
    <row r="6395" spans="7:11" x14ac:dyDescent="0.2">
      <c r="G6395" s="44"/>
      <c r="J6395" t="str">
        <f t="shared" si="198"/>
        <v/>
      </c>
      <c r="K6395" t="str">
        <f t="shared" si="199"/>
        <v/>
      </c>
    </row>
    <row r="6396" spans="7:11" x14ac:dyDescent="0.2">
      <c r="G6396" s="44"/>
      <c r="J6396" t="str">
        <f t="shared" si="198"/>
        <v/>
      </c>
      <c r="K6396" t="str">
        <f t="shared" si="199"/>
        <v/>
      </c>
    </row>
    <row r="6397" spans="7:11" x14ac:dyDescent="0.2">
      <c r="G6397" s="44"/>
      <c r="J6397" t="str">
        <f t="shared" si="198"/>
        <v/>
      </c>
      <c r="K6397" t="str">
        <f t="shared" si="199"/>
        <v/>
      </c>
    </row>
    <row r="6398" spans="7:11" x14ac:dyDescent="0.2">
      <c r="G6398" s="44"/>
      <c r="J6398" t="str">
        <f t="shared" si="198"/>
        <v/>
      </c>
      <c r="K6398" t="str">
        <f t="shared" si="199"/>
        <v/>
      </c>
    </row>
    <row r="6399" spans="7:11" x14ac:dyDescent="0.2">
      <c r="G6399" s="44"/>
      <c r="J6399" t="str">
        <f t="shared" si="198"/>
        <v/>
      </c>
      <c r="K6399" t="str">
        <f t="shared" si="199"/>
        <v/>
      </c>
    </row>
    <row r="6400" spans="7:11" x14ac:dyDescent="0.2">
      <c r="G6400" s="44"/>
      <c r="J6400" t="str">
        <f t="shared" si="198"/>
        <v/>
      </c>
      <c r="K6400" t="str">
        <f t="shared" si="199"/>
        <v/>
      </c>
    </row>
    <row r="6401" spans="7:11" x14ac:dyDescent="0.2">
      <c r="G6401" s="44"/>
      <c r="J6401" t="str">
        <f t="shared" si="198"/>
        <v/>
      </c>
      <c r="K6401" t="str">
        <f t="shared" si="199"/>
        <v/>
      </c>
    </row>
    <row r="6402" spans="7:11" x14ac:dyDescent="0.2">
      <c r="G6402" s="44"/>
      <c r="J6402" t="str">
        <f t="shared" ref="J6402:J6465" si="200">IF(E6402="","",IF(OR(E6402=50,E6402=51),"Iltindhold",IF(E6402=75,"Carbon,org,NVOC",IF(OR(E6402=343,E6402=1167),"Svovlbrinte",IF(OR(E6402=240,E6402=241,E6402=242),"Amm",IF(E6402=244,"Nitrit",IF(E6402=247,"Nitrat",IF(E6402=334,"Sulfat",IF(E6402=262,"Phosphor, total-P",F6402)))))))))</f>
        <v/>
      </c>
      <c r="K6402" t="str">
        <f t="shared" ref="K6402:K6465" si="201">IF(A6402="","",IF(H6402="!",NA(),IF(H6402="A",I6402*0.5,IF(H6402="&lt;",I6402*0.5,I6402))))</f>
        <v/>
      </c>
    </row>
    <row r="6403" spans="7:11" x14ac:dyDescent="0.2">
      <c r="G6403" s="44"/>
      <c r="J6403" t="str">
        <f t="shared" si="200"/>
        <v/>
      </c>
      <c r="K6403" t="str">
        <f t="shared" si="201"/>
        <v/>
      </c>
    </row>
    <row r="6404" spans="7:11" x14ac:dyDescent="0.2">
      <c r="G6404" s="44"/>
      <c r="J6404" t="str">
        <f t="shared" si="200"/>
        <v/>
      </c>
      <c r="K6404" t="str">
        <f t="shared" si="201"/>
        <v/>
      </c>
    </row>
    <row r="6405" spans="7:11" x14ac:dyDescent="0.2">
      <c r="G6405" s="44"/>
      <c r="J6405" t="str">
        <f t="shared" si="200"/>
        <v/>
      </c>
      <c r="K6405" t="str">
        <f t="shared" si="201"/>
        <v/>
      </c>
    </row>
    <row r="6406" spans="7:11" x14ac:dyDescent="0.2">
      <c r="G6406" s="44"/>
      <c r="J6406" t="str">
        <f t="shared" si="200"/>
        <v/>
      </c>
      <c r="K6406" t="str">
        <f t="shared" si="201"/>
        <v/>
      </c>
    </row>
    <row r="6407" spans="7:11" x14ac:dyDescent="0.2">
      <c r="G6407" s="44"/>
      <c r="J6407" t="str">
        <f t="shared" si="200"/>
        <v/>
      </c>
      <c r="K6407" t="str">
        <f t="shared" si="201"/>
        <v/>
      </c>
    </row>
    <row r="6408" spans="7:11" x14ac:dyDescent="0.2">
      <c r="G6408" s="44"/>
      <c r="J6408" t="str">
        <f t="shared" si="200"/>
        <v/>
      </c>
      <c r="K6408" t="str">
        <f t="shared" si="201"/>
        <v/>
      </c>
    </row>
    <row r="6409" spans="7:11" x14ac:dyDescent="0.2">
      <c r="G6409" s="44"/>
      <c r="J6409" t="str">
        <f t="shared" si="200"/>
        <v/>
      </c>
      <c r="K6409" t="str">
        <f t="shared" si="201"/>
        <v/>
      </c>
    </row>
    <row r="6410" spans="7:11" x14ac:dyDescent="0.2">
      <c r="G6410" s="44"/>
      <c r="J6410" t="str">
        <f t="shared" si="200"/>
        <v/>
      </c>
      <c r="K6410" t="str">
        <f t="shared" si="201"/>
        <v/>
      </c>
    </row>
    <row r="6411" spans="7:11" x14ac:dyDescent="0.2">
      <c r="G6411" s="44"/>
      <c r="J6411" t="str">
        <f t="shared" si="200"/>
        <v/>
      </c>
      <c r="K6411" t="str">
        <f t="shared" si="201"/>
        <v/>
      </c>
    </row>
    <row r="6412" spans="7:11" x14ac:dyDescent="0.2">
      <c r="G6412" s="44"/>
      <c r="J6412" t="str">
        <f t="shared" si="200"/>
        <v/>
      </c>
      <c r="K6412" t="str">
        <f t="shared" si="201"/>
        <v/>
      </c>
    </row>
    <row r="6413" spans="7:11" x14ac:dyDescent="0.2">
      <c r="G6413" s="44"/>
      <c r="J6413" t="str">
        <f t="shared" si="200"/>
        <v/>
      </c>
      <c r="K6413" t="str">
        <f t="shared" si="201"/>
        <v/>
      </c>
    </row>
    <row r="6414" spans="7:11" x14ac:dyDescent="0.2">
      <c r="G6414" s="44"/>
      <c r="J6414" t="str">
        <f t="shared" si="200"/>
        <v/>
      </c>
      <c r="K6414" t="str">
        <f t="shared" si="201"/>
        <v/>
      </c>
    </row>
    <row r="6415" spans="7:11" x14ac:dyDescent="0.2">
      <c r="G6415" s="44"/>
      <c r="J6415" t="str">
        <f t="shared" si="200"/>
        <v/>
      </c>
      <c r="K6415" t="str">
        <f t="shared" si="201"/>
        <v/>
      </c>
    </row>
    <row r="6416" spans="7:11" x14ac:dyDescent="0.2">
      <c r="G6416" s="44"/>
      <c r="J6416" t="str">
        <f t="shared" si="200"/>
        <v/>
      </c>
      <c r="K6416" t="str">
        <f t="shared" si="201"/>
        <v/>
      </c>
    </row>
    <row r="6417" spans="7:11" x14ac:dyDescent="0.2">
      <c r="G6417" s="44"/>
      <c r="J6417" t="str">
        <f t="shared" si="200"/>
        <v/>
      </c>
      <c r="K6417" t="str">
        <f t="shared" si="201"/>
        <v/>
      </c>
    </row>
    <row r="6418" spans="7:11" x14ac:dyDescent="0.2">
      <c r="G6418" s="44"/>
      <c r="J6418" t="str">
        <f t="shared" si="200"/>
        <v/>
      </c>
      <c r="K6418" t="str">
        <f t="shared" si="201"/>
        <v/>
      </c>
    </row>
    <row r="6419" spans="7:11" x14ac:dyDescent="0.2">
      <c r="G6419" s="44"/>
      <c r="J6419" t="str">
        <f t="shared" si="200"/>
        <v/>
      </c>
      <c r="K6419" t="str">
        <f t="shared" si="201"/>
        <v/>
      </c>
    </row>
    <row r="6420" spans="7:11" x14ac:dyDescent="0.2">
      <c r="G6420" s="44"/>
      <c r="J6420" t="str">
        <f t="shared" si="200"/>
        <v/>
      </c>
      <c r="K6420" t="str">
        <f t="shared" si="201"/>
        <v/>
      </c>
    </row>
    <row r="6421" spans="7:11" x14ac:dyDescent="0.2">
      <c r="G6421" s="44"/>
      <c r="J6421" t="str">
        <f t="shared" si="200"/>
        <v/>
      </c>
      <c r="K6421" t="str">
        <f t="shared" si="201"/>
        <v/>
      </c>
    </row>
    <row r="6422" spans="7:11" x14ac:dyDescent="0.2">
      <c r="G6422" s="44"/>
      <c r="J6422" t="str">
        <f t="shared" si="200"/>
        <v/>
      </c>
      <c r="K6422" t="str">
        <f t="shared" si="201"/>
        <v/>
      </c>
    </row>
    <row r="6423" spans="7:11" x14ac:dyDescent="0.2">
      <c r="G6423" s="44"/>
      <c r="J6423" t="str">
        <f t="shared" si="200"/>
        <v/>
      </c>
      <c r="K6423" t="str">
        <f t="shared" si="201"/>
        <v/>
      </c>
    </row>
    <row r="6424" spans="7:11" x14ac:dyDescent="0.2">
      <c r="G6424" s="44"/>
      <c r="J6424" t="str">
        <f t="shared" si="200"/>
        <v/>
      </c>
      <c r="K6424" t="str">
        <f t="shared" si="201"/>
        <v/>
      </c>
    </row>
    <row r="6425" spans="7:11" x14ac:dyDescent="0.2">
      <c r="G6425" s="44"/>
      <c r="J6425" t="str">
        <f t="shared" si="200"/>
        <v/>
      </c>
      <c r="K6425" t="str">
        <f t="shared" si="201"/>
        <v/>
      </c>
    </row>
    <row r="6426" spans="7:11" x14ac:dyDescent="0.2">
      <c r="G6426" s="44"/>
      <c r="J6426" t="str">
        <f t="shared" si="200"/>
        <v/>
      </c>
      <c r="K6426" t="str">
        <f t="shared" si="201"/>
        <v/>
      </c>
    </row>
    <row r="6427" spans="7:11" x14ac:dyDescent="0.2">
      <c r="G6427" s="44"/>
      <c r="J6427" t="str">
        <f t="shared" si="200"/>
        <v/>
      </c>
      <c r="K6427" t="str">
        <f t="shared" si="201"/>
        <v/>
      </c>
    </row>
    <row r="6428" spans="7:11" x14ac:dyDescent="0.2">
      <c r="G6428" s="44"/>
      <c r="J6428" t="str">
        <f t="shared" si="200"/>
        <v/>
      </c>
      <c r="K6428" t="str">
        <f t="shared" si="201"/>
        <v/>
      </c>
    </row>
    <row r="6429" spans="7:11" x14ac:dyDescent="0.2">
      <c r="G6429" s="44"/>
      <c r="J6429" t="str">
        <f t="shared" si="200"/>
        <v/>
      </c>
      <c r="K6429" t="str">
        <f t="shared" si="201"/>
        <v/>
      </c>
    </row>
    <row r="6430" spans="7:11" x14ac:dyDescent="0.2">
      <c r="G6430" s="44"/>
      <c r="J6430" t="str">
        <f t="shared" si="200"/>
        <v/>
      </c>
      <c r="K6430" t="str">
        <f t="shared" si="201"/>
        <v/>
      </c>
    </row>
    <row r="6431" spans="7:11" x14ac:dyDescent="0.2">
      <c r="G6431" s="44"/>
      <c r="J6431" t="str">
        <f t="shared" si="200"/>
        <v/>
      </c>
      <c r="K6431" t="str">
        <f t="shared" si="201"/>
        <v/>
      </c>
    </row>
    <row r="6432" spans="7:11" x14ac:dyDescent="0.2">
      <c r="G6432" s="44"/>
      <c r="J6432" t="str">
        <f t="shared" si="200"/>
        <v/>
      </c>
      <c r="K6432" t="str">
        <f t="shared" si="201"/>
        <v/>
      </c>
    </row>
    <row r="6433" spans="7:11" x14ac:dyDescent="0.2">
      <c r="G6433" s="44"/>
      <c r="J6433" t="str">
        <f t="shared" si="200"/>
        <v/>
      </c>
      <c r="K6433" t="str">
        <f t="shared" si="201"/>
        <v/>
      </c>
    </row>
    <row r="6434" spans="7:11" x14ac:dyDescent="0.2">
      <c r="G6434" s="44"/>
      <c r="J6434" t="str">
        <f t="shared" si="200"/>
        <v/>
      </c>
      <c r="K6434" t="str">
        <f t="shared" si="201"/>
        <v/>
      </c>
    </row>
    <row r="6435" spans="7:11" x14ac:dyDescent="0.2">
      <c r="G6435" s="44"/>
      <c r="J6435" t="str">
        <f t="shared" si="200"/>
        <v/>
      </c>
      <c r="K6435" t="str">
        <f t="shared" si="201"/>
        <v/>
      </c>
    </row>
    <row r="6436" spans="7:11" x14ac:dyDescent="0.2">
      <c r="G6436" s="44"/>
      <c r="J6436" t="str">
        <f t="shared" si="200"/>
        <v/>
      </c>
      <c r="K6436" t="str">
        <f t="shared" si="201"/>
        <v/>
      </c>
    </row>
    <row r="6437" spans="7:11" x14ac:dyDescent="0.2">
      <c r="G6437" s="44"/>
      <c r="J6437" t="str">
        <f t="shared" si="200"/>
        <v/>
      </c>
      <c r="K6437" t="str">
        <f t="shared" si="201"/>
        <v/>
      </c>
    </row>
    <row r="6438" spans="7:11" x14ac:dyDescent="0.2">
      <c r="G6438" s="44"/>
      <c r="J6438" t="str">
        <f t="shared" si="200"/>
        <v/>
      </c>
      <c r="K6438" t="str">
        <f t="shared" si="201"/>
        <v/>
      </c>
    </row>
    <row r="6439" spans="7:11" x14ac:dyDescent="0.2">
      <c r="G6439" s="44"/>
      <c r="J6439" t="str">
        <f t="shared" si="200"/>
        <v/>
      </c>
      <c r="K6439" t="str">
        <f t="shared" si="201"/>
        <v/>
      </c>
    </row>
    <row r="6440" spans="7:11" x14ac:dyDescent="0.2">
      <c r="G6440" s="44"/>
      <c r="J6440" t="str">
        <f t="shared" si="200"/>
        <v/>
      </c>
      <c r="K6440" t="str">
        <f t="shared" si="201"/>
        <v/>
      </c>
    </row>
    <row r="6441" spans="7:11" x14ac:dyDescent="0.2">
      <c r="G6441" s="44"/>
      <c r="J6441" t="str">
        <f t="shared" si="200"/>
        <v/>
      </c>
      <c r="K6441" t="str">
        <f t="shared" si="201"/>
        <v/>
      </c>
    </row>
    <row r="6442" spans="7:11" x14ac:dyDescent="0.2">
      <c r="G6442" s="44"/>
      <c r="J6442" t="str">
        <f t="shared" si="200"/>
        <v/>
      </c>
      <c r="K6442" t="str">
        <f t="shared" si="201"/>
        <v/>
      </c>
    </row>
    <row r="6443" spans="7:11" x14ac:dyDescent="0.2">
      <c r="G6443" s="44"/>
      <c r="J6443" t="str">
        <f t="shared" si="200"/>
        <v/>
      </c>
      <c r="K6443" t="str">
        <f t="shared" si="201"/>
        <v/>
      </c>
    </row>
    <row r="6444" spans="7:11" x14ac:dyDescent="0.2">
      <c r="G6444" s="44"/>
      <c r="J6444" t="str">
        <f t="shared" si="200"/>
        <v/>
      </c>
      <c r="K6444" t="str">
        <f t="shared" si="201"/>
        <v/>
      </c>
    </row>
    <row r="6445" spans="7:11" x14ac:dyDescent="0.2">
      <c r="G6445" s="44"/>
      <c r="J6445" t="str">
        <f t="shared" si="200"/>
        <v/>
      </c>
      <c r="K6445" t="str">
        <f t="shared" si="201"/>
        <v/>
      </c>
    </row>
    <row r="6446" spans="7:11" x14ac:dyDescent="0.2">
      <c r="G6446" s="44"/>
      <c r="J6446" t="str">
        <f t="shared" si="200"/>
        <v/>
      </c>
      <c r="K6446" t="str">
        <f t="shared" si="201"/>
        <v/>
      </c>
    </row>
    <row r="6447" spans="7:11" x14ac:dyDescent="0.2">
      <c r="G6447" s="44"/>
      <c r="J6447" t="str">
        <f t="shared" si="200"/>
        <v/>
      </c>
      <c r="K6447" t="str">
        <f t="shared" si="201"/>
        <v/>
      </c>
    </row>
    <row r="6448" spans="7:11" x14ac:dyDescent="0.2">
      <c r="G6448" s="44"/>
      <c r="J6448" t="str">
        <f t="shared" si="200"/>
        <v/>
      </c>
      <c r="K6448" t="str">
        <f t="shared" si="201"/>
        <v/>
      </c>
    </row>
    <row r="6449" spans="7:11" x14ac:dyDescent="0.2">
      <c r="G6449" s="44"/>
      <c r="J6449" t="str">
        <f t="shared" si="200"/>
        <v/>
      </c>
      <c r="K6449" t="str">
        <f t="shared" si="201"/>
        <v/>
      </c>
    </row>
    <row r="6450" spans="7:11" x14ac:dyDescent="0.2">
      <c r="G6450" s="44"/>
      <c r="J6450" t="str">
        <f t="shared" si="200"/>
        <v/>
      </c>
      <c r="K6450" t="str">
        <f t="shared" si="201"/>
        <v/>
      </c>
    </row>
    <row r="6451" spans="7:11" x14ac:dyDescent="0.2">
      <c r="G6451" s="44"/>
      <c r="J6451" t="str">
        <f t="shared" si="200"/>
        <v/>
      </c>
      <c r="K6451" t="str">
        <f t="shared" si="201"/>
        <v/>
      </c>
    </row>
    <row r="6452" spans="7:11" x14ac:dyDescent="0.2">
      <c r="G6452" s="44"/>
      <c r="J6452" t="str">
        <f t="shared" si="200"/>
        <v/>
      </c>
      <c r="K6452" t="str">
        <f t="shared" si="201"/>
        <v/>
      </c>
    </row>
    <row r="6453" spans="7:11" x14ac:dyDescent="0.2">
      <c r="G6453" s="44"/>
      <c r="J6453" t="str">
        <f t="shared" si="200"/>
        <v/>
      </c>
      <c r="K6453" t="str">
        <f t="shared" si="201"/>
        <v/>
      </c>
    </row>
    <row r="6454" spans="7:11" x14ac:dyDescent="0.2">
      <c r="G6454" s="44"/>
      <c r="J6454" t="str">
        <f t="shared" si="200"/>
        <v/>
      </c>
      <c r="K6454" t="str">
        <f t="shared" si="201"/>
        <v/>
      </c>
    </row>
    <row r="6455" spans="7:11" x14ac:dyDescent="0.2">
      <c r="G6455" s="44"/>
      <c r="J6455" t="str">
        <f t="shared" si="200"/>
        <v/>
      </c>
      <c r="K6455" t="str">
        <f t="shared" si="201"/>
        <v/>
      </c>
    </row>
    <row r="6456" spans="7:11" x14ac:dyDescent="0.2">
      <c r="G6456" s="44"/>
      <c r="J6456" t="str">
        <f t="shared" si="200"/>
        <v/>
      </c>
      <c r="K6456" t="str">
        <f t="shared" si="201"/>
        <v/>
      </c>
    </row>
    <row r="6457" spans="7:11" x14ac:dyDescent="0.2">
      <c r="G6457" s="44"/>
      <c r="J6457" t="str">
        <f t="shared" si="200"/>
        <v/>
      </c>
      <c r="K6457" t="str">
        <f t="shared" si="201"/>
        <v/>
      </c>
    </row>
    <row r="6458" spans="7:11" x14ac:dyDescent="0.2">
      <c r="G6458" s="44"/>
      <c r="J6458" t="str">
        <f t="shared" si="200"/>
        <v/>
      </c>
      <c r="K6458" t="str">
        <f t="shared" si="201"/>
        <v/>
      </c>
    </row>
    <row r="6459" spans="7:11" x14ac:dyDescent="0.2">
      <c r="G6459" s="44"/>
      <c r="J6459" t="str">
        <f t="shared" si="200"/>
        <v/>
      </c>
      <c r="K6459" t="str">
        <f t="shared" si="201"/>
        <v/>
      </c>
    </row>
    <row r="6460" spans="7:11" x14ac:dyDescent="0.2">
      <c r="G6460" s="44"/>
      <c r="J6460" t="str">
        <f t="shared" si="200"/>
        <v/>
      </c>
      <c r="K6460" t="str">
        <f t="shared" si="201"/>
        <v/>
      </c>
    </row>
    <row r="6461" spans="7:11" x14ac:dyDescent="0.2">
      <c r="G6461" s="44"/>
      <c r="J6461" t="str">
        <f t="shared" si="200"/>
        <v/>
      </c>
      <c r="K6461" t="str">
        <f t="shared" si="201"/>
        <v/>
      </c>
    </row>
    <row r="6462" spans="7:11" x14ac:dyDescent="0.2">
      <c r="G6462" s="44"/>
      <c r="J6462" t="str">
        <f t="shared" si="200"/>
        <v/>
      </c>
      <c r="K6462" t="str">
        <f t="shared" si="201"/>
        <v/>
      </c>
    </row>
    <row r="6463" spans="7:11" x14ac:dyDescent="0.2">
      <c r="G6463" s="44"/>
      <c r="J6463" t="str">
        <f t="shared" si="200"/>
        <v/>
      </c>
      <c r="K6463" t="str">
        <f t="shared" si="201"/>
        <v/>
      </c>
    </row>
    <row r="6464" spans="7:11" x14ac:dyDescent="0.2">
      <c r="G6464" s="44"/>
      <c r="J6464" t="str">
        <f t="shared" si="200"/>
        <v/>
      </c>
      <c r="K6464" t="str">
        <f t="shared" si="201"/>
        <v/>
      </c>
    </row>
    <row r="6465" spans="7:11" x14ac:dyDescent="0.2">
      <c r="G6465" s="44"/>
      <c r="J6465" t="str">
        <f t="shared" si="200"/>
        <v/>
      </c>
      <c r="K6465" t="str">
        <f t="shared" si="201"/>
        <v/>
      </c>
    </row>
    <row r="6466" spans="7:11" x14ac:dyDescent="0.2">
      <c r="G6466" s="44"/>
      <c r="J6466" t="str">
        <f t="shared" ref="J6466:J6529" si="202">IF(E6466="","",IF(OR(E6466=50,E6466=51),"Iltindhold",IF(E6466=75,"Carbon,org,NVOC",IF(OR(E6466=343,E6466=1167),"Svovlbrinte",IF(OR(E6466=240,E6466=241,E6466=242),"Amm",IF(E6466=244,"Nitrit",IF(E6466=247,"Nitrat",IF(E6466=334,"Sulfat",IF(E6466=262,"Phosphor, total-P",F6466)))))))))</f>
        <v/>
      </c>
      <c r="K6466" t="str">
        <f t="shared" ref="K6466:K6529" si="203">IF(A6466="","",IF(H6466="!",NA(),IF(H6466="A",I6466*0.5,IF(H6466="&lt;",I6466*0.5,I6466))))</f>
        <v/>
      </c>
    </row>
    <row r="6467" spans="7:11" x14ac:dyDescent="0.2">
      <c r="G6467" s="44"/>
      <c r="J6467" t="str">
        <f t="shared" si="202"/>
        <v/>
      </c>
      <c r="K6467" t="str">
        <f t="shared" si="203"/>
        <v/>
      </c>
    </row>
    <row r="6468" spans="7:11" x14ac:dyDescent="0.2">
      <c r="G6468" s="44"/>
      <c r="J6468" t="str">
        <f t="shared" si="202"/>
        <v/>
      </c>
      <c r="K6468" t="str">
        <f t="shared" si="203"/>
        <v/>
      </c>
    </row>
    <row r="6469" spans="7:11" x14ac:dyDescent="0.2">
      <c r="G6469" s="44"/>
      <c r="J6469" t="str">
        <f t="shared" si="202"/>
        <v/>
      </c>
      <c r="K6469" t="str">
        <f t="shared" si="203"/>
        <v/>
      </c>
    </row>
    <row r="6470" spans="7:11" x14ac:dyDescent="0.2">
      <c r="G6470" s="44"/>
      <c r="J6470" t="str">
        <f t="shared" si="202"/>
        <v/>
      </c>
      <c r="K6470" t="str">
        <f t="shared" si="203"/>
        <v/>
      </c>
    </row>
    <row r="6471" spans="7:11" x14ac:dyDescent="0.2">
      <c r="G6471" s="44"/>
      <c r="J6471" t="str">
        <f t="shared" si="202"/>
        <v/>
      </c>
      <c r="K6471" t="str">
        <f t="shared" si="203"/>
        <v/>
      </c>
    </row>
    <row r="6472" spans="7:11" x14ac:dyDescent="0.2">
      <c r="G6472" s="44"/>
      <c r="J6472" t="str">
        <f t="shared" si="202"/>
        <v/>
      </c>
      <c r="K6472" t="str">
        <f t="shared" si="203"/>
        <v/>
      </c>
    </row>
    <row r="6473" spans="7:11" x14ac:dyDescent="0.2">
      <c r="G6473" s="44"/>
      <c r="J6473" t="str">
        <f t="shared" si="202"/>
        <v/>
      </c>
      <c r="K6473" t="str">
        <f t="shared" si="203"/>
        <v/>
      </c>
    </row>
    <row r="6474" spans="7:11" x14ac:dyDescent="0.2">
      <c r="G6474" s="44"/>
      <c r="J6474" t="str">
        <f t="shared" si="202"/>
        <v/>
      </c>
      <c r="K6474" t="str">
        <f t="shared" si="203"/>
        <v/>
      </c>
    </row>
    <row r="6475" spans="7:11" x14ac:dyDescent="0.2">
      <c r="G6475" s="44"/>
      <c r="J6475" t="str">
        <f t="shared" si="202"/>
        <v/>
      </c>
      <c r="K6475" t="str">
        <f t="shared" si="203"/>
        <v/>
      </c>
    </row>
    <row r="6476" spans="7:11" x14ac:dyDescent="0.2">
      <c r="G6476" s="44"/>
      <c r="J6476" t="str">
        <f t="shared" si="202"/>
        <v/>
      </c>
      <c r="K6476" t="str">
        <f t="shared" si="203"/>
        <v/>
      </c>
    </row>
    <row r="6477" spans="7:11" x14ac:dyDescent="0.2">
      <c r="G6477" s="44"/>
      <c r="J6477" t="str">
        <f t="shared" si="202"/>
        <v/>
      </c>
      <c r="K6477" t="str">
        <f t="shared" si="203"/>
        <v/>
      </c>
    </row>
    <row r="6478" spans="7:11" x14ac:dyDescent="0.2">
      <c r="G6478" s="44"/>
      <c r="J6478" t="str">
        <f t="shared" si="202"/>
        <v/>
      </c>
      <c r="K6478" t="str">
        <f t="shared" si="203"/>
        <v/>
      </c>
    </row>
    <row r="6479" spans="7:11" x14ac:dyDescent="0.2">
      <c r="G6479" s="44"/>
      <c r="J6479" t="str">
        <f t="shared" si="202"/>
        <v/>
      </c>
      <c r="K6479" t="str">
        <f t="shared" si="203"/>
        <v/>
      </c>
    </row>
    <row r="6480" spans="7:11" x14ac:dyDescent="0.2">
      <c r="G6480" s="44"/>
      <c r="J6480" t="str">
        <f t="shared" si="202"/>
        <v/>
      </c>
      <c r="K6480" t="str">
        <f t="shared" si="203"/>
        <v/>
      </c>
    </row>
    <row r="6481" spans="7:11" x14ac:dyDescent="0.2">
      <c r="G6481" s="44"/>
      <c r="J6481" t="str">
        <f t="shared" si="202"/>
        <v/>
      </c>
      <c r="K6481" t="str">
        <f t="shared" si="203"/>
        <v/>
      </c>
    </row>
    <row r="6482" spans="7:11" x14ac:dyDescent="0.2">
      <c r="G6482" s="44"/>
      <c r="J6482" t="str">
        <f t="shared" si="202"/>
        <v/>
      </c>
      <c r="K6482" t="str">
        <f t="shared" si="203"/>
        <v/>
      </c>
    </row>
    <row r="6483" spans="7:11" x14ac:dyDescent="0.2">
      <c r="G6483" s="44"/>
      <c r="J6483" t="str">
        <f t="shared" si="202"/>
        <v/>
      </c>
      <c r="K6483" t="str">
        <f t="shared" si="203"/>
        <v/>
      </c>
    </row>
    <row r="6484" spans="7:11" x14ac:dyDescent="0.2">
      <c r="G6484" s="44"/>
      <c r="J6484" t="str">
        <f t="shared" si="202"/>
        <v/>
      </c>
      <c r="K6484" t="str">
        <f t="shared" si="203"/>
        <v/>
      </c>
    </row>
    <row r="6485" spans="7:11" x14ac:dyDescent="0.2">
      <c r="G6485" s="44"/>
      <c r="J6485" t="str">
        <f t="shared" si="202"/>
        <v/>
      </c>
      <c r="K6485" t="str">
        <f t="shared" si="203"/>
        <v/>
      </c>
    </row>
    <row r="6486" spans="7:11" x14ac:dyDescent="0.2">
      <c r="G6486" s="44"/>
      <c r="J6486" t="str">
        <f t="shared" si="202"/>
        <v/>
      </c>
      <c r="K6486" t="str">
        <f t="shared" si="203"/>
        <v/>
      </c>
    </row>
    <row r="6487" spans="7:11" x14ac:dyDescent="0.2">
      <c r="G6487" s="44"/>
      <c r="J6487" t="str">
        <f t="shared" si="202"/>
        <v/>
      </c>
      <c r="K6487" t="str">
        <f t="shared" si="203"/>
        <v/>
      </c>
    </row>
    <row r="6488" spans="7:11" x14ac:dyDescent="0.2">
      <c r="G6488" s="44"/>
      <c r="J6488" t="str">
        <f t="shared" si="202"/>
        <v/>
      </c>
      <c r="K6488" t="str">
        <f t="shared" si="203"/>
        <v/>
      </c>
    </row>
    <row r="6489" spans="7:11" x14ac:dyDescent="0.2">
      <c r="G6489" s="44"/>
      <c r="J6489" t="str">
        <f t="shared" si="202"/>
        <v/>
      </c>
      <c r="K6489" t="str">
        <f t="shared" si="203"/>
        <v/>
      </c>
    </row>
    <row r="6490" spans="7:11" x14ac:dyDescent="0.2">
      <c r="G6490" s="44"/>
      <c r="J6490" t="str">
        <f t="shared" si="202"/>
        <v/>
      </c>
      <c r="K6490" t="str">
        <f t="shared" si="203"/>
        <v/>
      </c>
    </row>
    <row r="6491" spans="7:11" x14ac:dyDescent="0.2">
      <c r="G6491" s="44"/>
      <c r="J6491" t="str">
        <f t="shared" si="202"/>
        <v/>
      </c>
      <c r="K6491" t="str">
        <f t="shared" si="203"/>
        <v/>
      </c>
    </row>
    <row r="6492" spans="7:11" x14ac:dyDescent="0.2">
      <c r="G6492" s="44"/>
      <c r="J6492" t="str">
        <f t="shared" si="202"/>
        <v/>
      </c>
      <c r="K6492" t="str">
        <f t="shared" si="203"/>
        <v/>
      </c>
    </row>
    <row r="6493" spans="7:11" x14ac:dyDescent="0.2">
      <c r="G6493" s="44"/>
      <c r="J6493" t="str">
        <f t="shared" si="202"/>
        <v/>
      </c>
      <c r="K6493" t="str">
        <f t="shared" si="203"/>
        <v/>
      </c>
    </row>
    <row r="6494" spans="7:11" x14ac:dyDescent="0.2">
      <c r="G6494" s="44"/>
      <c r="J6494" t="str">
        <f t="shared" si="202"/>
        <v/>
      </c>
      <c r="K6494" t="str">
        <f t="shared" si="203"/>
        <v/>
      </c>
    </row>
    <row r="6495" spans="7:11" x14ac:dyDescent="0.2">
      <c r="G6495" s="44"/>
      <c r="J6495" t="str">
        <f t="shared" si="202"/>
        <v/>
      </c>
      <c r="K6495" t="str">
        <f t="shared" si="203"/>
        <v/>
      </c>
    </row>
    <row r="6496" spans="7:11" x14ac:dyDescent="0.2">
      <c r="G6496" s="44"/>
      <c r="J6496" t="str">
        <f t="shared" si="202"/>
        <v/>
      </c>
      <c r="K6496" t="str">
        <f t="shared" si="203"/>
        <v/>
      </c>
    </row>
    <row r="6497" spans="7:11" x14ac:dyDescent="0.2">
      <c r="G6497" s="44"/>
      <c r="J6497" t="str">
        <f t="shared" si="202"/>
        <v/>
      </c>
      <c r="K6497" t="str">
        <f t="shared" si="203"/>
        <v/>
      </c>
    </row>
    <row r="6498" spans="7:11" x14ac:dyDescent="0.2">
      <c r="G6498" s="44"/>
      <c r="J6498" t="str">
        <f t="shared" si="202"/>
        <v/>
      </c>
      <c r="K6498" t="str">
        <f t="shared" si="203"/>
        <v/>
      </c>
    </row>
    <row r="6499" spans="7:11" x14ac:dyDescent="0.2">
      <c r="G6499" s="44"/>
      <c r="J6499" t="str">
        <f t="shared" si="202"/>
        <v/>
      </c>
      <c r="K6499" t="str">
        <f t="shared" si="203"/>
        <v/>
      </c>
    </row>
    <row r="6500" spans="7:11" x14ac:dyDescent="0.2">
      <c r="G6500" s="44"/>
      <c r="J6500" t="str">
        <f t="shared" si="202"/>
        <v/>
      </c>
      <c r="K6500" t="str">
        <f t="shared" si="203"/>
        <v/>
      </c>
    </row>
    <row r="6501" spans="7:11" x14ac:dyDescent="0.2">
      <c r="G6501" s="44"/>
      <c r="J6501" t="str">
        <f t="shared" si="202"/>
        <v/>
      </c>
      <c r="K6501" t="str">
        <f t="shared" si="203"/>
        <v/>
      </c>
    </row>
    <row r="6502" spans="7:11" x14ac:dyDescent="0.2">
      <c r="G6502" s="44"/>
      <c r="J6502" t="str">
        <f t="shared" si="202"/>
        <v/>
      </c>
      <c r="K6502" t="str">
        <f t="shared" si="203"/>
        <v/>
      </c>
    </row>
    <row r="6503" spans="7:11" x14ac:dyDescent="0.2">
      <c r="G6503" s="44"/>
      <c r="J6503" t="str">
        <f t="shared" si="202"/>
        <v/>
      </c>
      <c r="K6503" t="str">
        <f t="shared" si="203"/>
        <v/>
      </c>
    </row>
    <row r="6504" spans="7:11" x14ac:dyDescent="0.2">
      <c r="G6504" s="44"/>
      <c r="J6504" t="str">
        <f t="shared" si="202"/>
        <v/>
      </c>
      <c r="K6504" t="str">
        <f t="shared" si="203"/>
        <v/>
      </c>
    </row>
    <row r="6505" spans="7:11" x14ac:dyDescent="0.2">
      <c r="G6505" s="44"/>
      <c r="J6505" t="str">
        <f t="shared" si="202"/>
        <v/>
      </c>
      <c r="K6505" t="str">
        <f t="shared" si="203"/>
        <v/>
      </c>
    </row>
    <row r="6506" spans="7:11" x14ac:dyDescent="0.2">
      <c r="G6506" s="44"/>
      <c r="J6506" t="str">
        <f t="shared" si="202"/>
        <v/>
      </c>
      <c r="K6506" t="str">
        <f t="shared" si="203"/>
        <v/>
      </c>
    </row>
    <row r="6507" spans="7:11" x14ac:dyDescent="0.2">
      <c r="G6507" s="44"/>
      <c r="J6507" t="str">
        <f t="shared" si="202"/>
        <v/>
      </c>
      <c r="K6507" t="str">
        <f t="shared" si="203"/>
        <v/>
      </c>
    </row>
    <row r="6508" spans="7:11" x14ac:dyDescent="0.2">
      <c r="G6508" s="44"/>
      <c r="J6508" t="str">
        <f t="shared" si="202"/>
        <v/>
      </c>
      <c r="K6508" t="str">
        <f t="shared" si="203"/>
        <v/>
      </c>
    </row>
    <row r="6509" spans="7:11" x14ac:dyDescent="0.2">
      <c r="G6509" s="44"/>
      <c r="J6509" t="str">
        <f t="shared" si="202"/>
        <v/>
      </c>
      <c r="K6509" t="str">
        <f t="shared" si="203"/>
        <v/>
      </c>
    </row>
    <row r="6510" spans="7:11" x14ac:dyDescent="0.2">
      <c r="G6510" s="44"/>
      <c r="J6510" t="str">
        <f t="shared" si="202"/>
        <v/>
      </c>
      <c r="K6510" t="str">
        <f t="shared" si="203"/>
        <v/>
      </c>
    </row>
    <row r="6511" spans="7:11" x14ac:dyDescent="0.2">
      <c r="G6511" s="44"/>
      <c r="J6511" t="str">
        <f t="shared" si="202"/>
        <v/>
      </c>
      <c r="K6511" t="str">
        <f t="shared" si="203"/>
        <v/>
      </c>
    </row>
    <row r="6512" spans="7:11" x14ac:dyDescent="0.2">
      <c r="G6512" s="44"/>
      <c r="J6512" t="str">
        <f t="shared" si="202"/>
        <v/>
      </c>
      <c r="K6512" t="str">
        <f t="shared" si="203"/>
        <v/>
      </c>
    </row>
    <row r="6513" spans="7:11" x14ac:dyDescent="0.2">
      <c r="G6513" s="44"/>
      <c r="J6513" t="str">
        <f t="shared" si="202"/>
        <v/>
      </c>
      <c r="K6513" t="str">
        <f t="shared" si="203"/>
        <v/>
      </c>
    </row>
    <row r="6514" spans="7:11" x14ac:dyDescent="0.2">
      <c r="G6514" s="44"/>
      <c r="J6514" t="str">
        <f t="shared" si="202"/>
        <v/>
      </c>
      <c r="K6514" t="str">
        <f t="shared" si="203"/>
        <v/>
      </c>
    </row>
    <row r="6515" spans="7:11" x14ac:dyDescent="0.2">
      <c r="G6515" s="44"/>
      <c r="J6515" t="str">
        <f t="shared" si="202"/>
        <v/>
      </c>
      <c r="K6515" t="str">
        <f t="shared" si="203"/>
        <v/>
      </c>
    </row>
    <row r="6516" spans="7:11" x14ac:dyDescent="0.2">
      <c r="G6516" s="44"/>
      <c r="J6516" t="str">
        <f t="shared" si="202"/>
        <v/>
      </c>
      <c r="K6516" t="str">
        <f t="shared" si="203"/>
        <v/>
      </c>
    </row>
    <row r="6517" spans="7:11" x14ac:dyDescent="0.2">
      <c r="G6517" s="44"/>
      <c r="J6517" t="str">
        <f t="shared" si="202"/>
        <v/>
      </c>
      <c r="K6517" t="str">
        <f t="shared" si="203"/>
        <v/>
      </c>
    </row>
    <row r="6518" spans="7:11" x14ac:dyDescent="0.2">
      <c r="G6518" s="44"/>
      <c r="J6518" t="str">
        <f t="shared" si="202"/>
        <v/>
      </c>
      <c r="K6518" t="str">
        <f t="shared" si="203"/>
        <v/>
      </c>
    </row>
    <row r="6519" spans="7:11" x14ac:dyDescent="0.2">
      <c r="G6519" s="44"/>
      <c r="J6519" t="str">
        <f t="shared" si="202"/>
        <v/>
      </c>
      <c r="K6519" t="str">
        <f t="shared" si="203"/>
        <v/>
      </c>
    </row>
    <row r="6520" spans="7:11" x14ac:dyDescent="0.2">
      <c r="G6520" s="44"/>
      <c r="J6520" t="str">
        <f t="shared" si="202"/>
        <v/>
      </c>
      <c r="K6520" t="str">
        <f t="shared" si="203"/>
        <v/>
      </c>
    </row>
    <row r="6521" spans="7:11" x14ac:dyDescent="0.2">
      <c r="G6521" s="44"/>
      <c r="J6521" t="str">
        <f t="shared" si="202"/>
        <v/>
      </c>
      <c r="K6521" t="str">
        <f t="shared" si="203"/>
        <v/>
      </c>
    </row>
    <row r="6522" spans="7:11" x14ac:dyDescent="0.2">
      <c r="G6522" s="44"/>
      <c r="J6522" t="str">
        <f t="shared" si="202"/>
        <v/>
      </c>
      <c r="K6522" t="str">
        <f t="shared" si="203"/>
        <v/>
      </c>
    </row>
    <row r="6523" spans="7:11" x14ac:dyDescent="0.2">
      <c r="G6523" s="44"/>
      <c r="J6523" t="str">
        <f t="shared" si="202"/>
        <v/>
      </c>
      <c r="K6523" t="str">
        <f t="shared" si="203"/>
        <v/>
      </c>
    </row>
    <row r="6524" spans="7:11" x14ac:dyDescent="0.2">
      <c r="G6524" s="44"/>
      <c r="J6524" t="str">
        <f t="shared" si="202"/>
        <v/>
      </c>
      <c r="K6524" t="str">
        <f t="shared" si="203"/>
        <v/>
      </c>
    </row>
    <row r="6525" spans="7:11" x14ac:dyDescent="0.2">
      <c r="G6525" s="44"/>
      <c r="J6525" t="str">
        <f t="shared" si="202"/>
        <v/>
      </c>
      <c r="K6525" t="str">
        <f t="shared" si="203"/>
        <v/>
      </c>
    </row>
    <row r="6526" spans="7:11" x14ac:dyDescent="0.2">
      <c r="G6526" s="44"/>
      <c r="J6526" t="str">
        <f t="shared" si="202"/>
        <v/>
      </c>
      <c r="K6526" t="str">
        <f t="shared" si="203"/>
        <v/>
      </c>
    </row>
    <row r="6527" spans="7:11" x14ac:dyDescent="0.2">
      <c r="G6527" s="44"/>
      <c r="J6527" t="str">
        <f t="shared" si="202"/>
        <v/>
      </c>
      <c r="K6527" t="str">
        <f t="shared" si="203"/>
        <v/>
      </c>
    </row>
    <row r="6528" spans="7:11" x14ac:dyDescent="0.2">
      <c r="G6528" s="44"/>
      <c r="J6528" t="str">
        <f t="shared" si="202"/>
        <v/>
      </c>
      <c r="K6528" t="str">
        <f t="shared" si="203"/>
        <v/>
      </c>
    </row>
    <row r="6529" spans="7:11" x14ac:dyDescent="0.2">
      <c r="G6529" s="44"/>
      <c r="J6529" t="str">
        <f t="shared" si="202"/>
        <v/>
      </c>
      <c r="K6529" t="str">
        <f t="shared" si="203"/>
        <v/>
      </c>
    </row>
    <row r="6530" spans="7:11" x14ac:dyDescent="0.2">
      <c r="G6530" s="44"/>
      <c r="J6530" t="str">
        <f t="shared" ref="J6530:J6593" si="204">IF(E6530="","",IF(OR(E6530=50,E6530=51),"Iltindhold",IF(E6530=75,"Carbon,org,NVOC",IF(OR(E6530=343,E6530=1167),"Svovlbrinte",IF(OR(E6530=240,E6530=241,E6530=242),"Amm",IF(E6530=244,"Nitrit",IF(E6530=247,"Nitrat",IF(E6530=334,"Sulfat",IF(E6530=262,"Phosphor, total-P",F6530)))))))))</f>
        <v/>
      </c>
      <c r="K6530" t="str">
        <f t="shared" ref="K6530:K6593" si="205">IF(A6530="","",IF(H6530="!",NA(),IF(H6530="A",I6530*0.5,IF(H6530="&lt;",I6530*0.5,I6530))))</f>
        <v/>
      </c>
    </row>
    <row r="6531" spans="7:11" x14ac:dyDescent="0.2">
      <c r="G6531" s="44"/>
      <c r="J6531" t="str">
        <f t="shared" si="204"/>
        <v/>
      </c>
      <c r="K6531" t="str">
        <f t="shared" si="205"/>
        <v/>
      </c>
    </row>
    <row r="6532" spans="7:11" x14ac:dyDescent="0.2">
      <c r="G6532" s="44"/>
      <c r="J6532" t="str">
        <f t="shared" si="204"/>
        <v/>
      </c>
      <c r="K6532" t="str">
        <f t="shared" si="205"/>
        <v/>
      </c>
    </row>
    <row r="6533" spans="7:11" x14ac:dyDescent="0.2">
      <c r="G6533" s="44"/>
      <c r="J6533" t="str">
        <f t="shared" si="204"/>
        <v/>
      </c>
      <c r="K6533" t="str">
        <f t="shared" si="205"/>
        <v/>
      </c>
    </row>
    <row r="6534" spans="7:11" x14ac:dyDescent="0.2">
      <c r="G6534" s="44"/>
      <c r="J6534" t="str">
        <f t="shared" si="204"/>
        <v/>
      </c>
      <c r="K6534" t="str">
        <f t="shared" si="205"/>
        <v/>
      </c>
    </row>
    <row r="6535" spans="7:11" x14ac:dyDescent="0.2">
      <c r="G6535" s="44"/>
      <c r="J6535" t="str">
        <f t="shared" si="204"/>
        <v/>
      </c>
      <c r="K6535" t="str">
        <f t="shared" si="205"/>
        <v/>
      </c>
    </row>
    <row r="6536" spans="7:11" x14ac:dyDescent="0.2">
      <c r="G6536" s="44"/>
      <c r="J6536" t="str">
        <f t="shared" si="204"/>
        <v/>
      </c>
      <c r="K6536" t="str">
        <f t="shared" si="205"/>
        <v/>
      </c>
    </row>
    <row r="6537" spans="7:11" x14ac:dyDescent="0.2">
      <c r="G6537" s="44"/>
      <c r="J6537" t="str">
        <f t="shared" si="204"/>
        <v/>
      </c>
      <c r="K6537" t="str">
        <f t="shared" si="205"/>
        <v/>
      </c>
    </row>
    <row r="6538" spans="7:11" x14ac:dyDescent="0.2">
      <c r="G6538" s="44"/>
      <c r="J6538" t="str">
        <f t="shared" si="204"/>
        <v/>
      </c>
      <c r="K6538" t="str">
        <f t="shared" si="205"/>
        <v/>
      </c>
    </row>
    <row r="6539" spans="7:11" x14ac:dyDescent="0.2">
      <c r="G6539" s="44"/>
      <c r="J6539" t="str">
        <f t="shared" si="204"/>
        <v/>
      </c>
      <c r="K6539" t="str">
        <f t="shared" si="205"/>
        <v/>
      </c>
    </row>
    <row r="6540" spans="7:11" x14ac:dyDescent="0.2">
      <c r="G6540" s="44"/>
      <c r="J6540" t="str">
        <f t="shared" si="204"/>
        <v/>
      </c>
      <c r="K6540" t="str">
        <f t="shared" si="205"/>
        <v/>
      </c>
    </row>
    <row r="6541" spans="7:11" x14ac:dyDescent="0.2">
      <c r="G6541" s="44"/>
      <c r="J6541" t="str">
        <f t="shared" si="204"/>
        <v/>
      </c>
      <c r="K6541" t="str">
        <f t="shared" si="205"/>
        <v/>
      </c>
    </row>
    <row r="6542" spans="7:11" x14ac:dyDescent="0.2">
      <c r="G6542" s="44"/>
      <c r="J6542" t="str">
        <f t="shared" si="204"/>
        <v/>
      </c>
      <c r="K6542" t="str">
        <f t="shared" si="205"/>
        <v/>
      </c>
    </row>
    <row r="6543" spans="7:11" x14ac:dyDescent="0.2">
      <c r="G6543" s="44"/>
      <c r="J6543" t="str">
        <f t="shared" si="204"/>
        <v/>
      </c>
      <c r="K6543" t="str">
        <f t="shared" si="205"/>
        <v/>
      </c>
    </row>
    <row r="6544" spans="7:11" x14ac:dyDescent="0.2">
      <c r="G6544" s="44"/>
      <c r="J6544" t="str">
        <f t="shared" si="204"/>
        <v/>
      </c>
      <c r="K6544" t="str">
        <f t="shared" si="205"/>
        <v/>
      </c>
    </row>
    <row r="6545" spans="7:11" x14ac:dyDescent="0.2">
      <c r="G6545" s="44"/>
      <c r="J6545" t="str">
        <f t="shared" si="204"/>
        <v/>
      </c>
      <c r="K6545" t="str">
        <f t="shared" si="205"/>
        <v/>
      </c>
    </row>
    <row r="6546" spans="7:11" x14ac:dyDescent="0.2">
      <c r="G6546" s="44"/>
      <c r="J6546" t="str">
        <f t="shared" si="204"/>
        <v/>
      </c>
      <c r="K6546" t="str">
        <f t="shared" si="205"/>
        <v/>
      </c>
    </row>
    <row r="6547" spans="7:11" x14ac:dyDescent="0.2">
      <c r="G6547" s="44"/>
      <c r="J6547" t="str">
        <f t="shared" si="204"/>
        <v/>
      </c>
      <c r="K6547" t="str">
        <f t="shared" si="205"/>
        <v/>
      </c>
    </row>
    <row r="6548" spans="7:11" x14ac:dyDescent="0.2">
      <c r="G6548" s="44"/>
      <c r="J6548" t="str">
        <f t="shared" si="204"/>
        <v/>
      </c>
      <c r="K6548" t="str">
        <f t="shared" si="205"/>
        <v/>
      </c>
    </row>
    <row r="6549" spans="7:11" x14ac:dyDescent="0.2">
      <c r="G6549" s="44"/>
      <c r="J6549" t="str">
        <f t="shared" si="204"/>
        <v/>
      </c>
      <c r="K6549" t="str">
        <f t="shared" si="205"/>
        <v/>
      </c>
    </row>
    <row r="6550" spans="7:11" x14ac:dyDescent="0.2">
      <c r="G6550" s="44"/>
      <c r="J6550" t="str">
        <f t="shared" si="204"/>
        <v/>
      </c>
      <c r="K6550" t="str">
        <f t="shared" si="205"/>
        <v/>
      </c>
    </row>
    <row r="6551" spans="7:11" x14ac:dyDescent="0.2">
      <c r="G6551" s="44"/>
      <c r="J6551" t="str">
        <f t="shared" si="204"/>
        <v/>
      </c>
      <c r="K6551" t="str">
        <f t="shared" si="205"/>
        <v/>
      </c>
    </row>
    <row r="6552" spans="7:11" x14ac:dyDescent="0.2">
      <c r="G6552" s="44"/>
      <c r="J6552" t="str">
        <f t="shared" si="204"/>
        <v/>
      </c>
      <c r="K6552" t="str">
        <f t="shared" si="205"/>
        <v/>
      </c>
    </row>
    <row r="6553" spans="7:11" x14ac:dyDescent="0.2">
      <c r="G6553" s="44"/>
      <c r="J6553" t="str">
        <f t="shared" si="204"/>
        <v/>
      </c>
      <c r="K6553" t="str">
        <f t="shared" si="205"/>
        <v/>
      </c>
    </row>
    <row r="6554" spans="7:11" x14ac:dyDescent="0.2">
      <c r="G6554" s="44"/>
      <c r="J6554" t="str">
        <f t="shared" si="204"/>
        <v/>
      </c>
      <c r="K6554" t="str">
        <f t="shared" si="205"/>
        <v/>
      </c>
    </row>
    <row r="6555" spans="7:11" x14ac:dyDescent="0.2">
      <c r="G6555" s="44"/>
      <c r="J6555" t="str">
        <f t="shared" si="204"/>
        <v/>
      </c>
      <c r="K6555" t="str">
        <f t="shared" si="205"/>
        <v/>
      </c>
    </row>
    <row r="6556" spans="7:11" x14ac:dyDescent="0.2">
      <c r="G6556" s="44"/>
      <c r="J6556" t="str">
        <f t="shared" si="204"/>
        <v/>
      </c>
      <c r="K6556" t="str">
        <f t="shared" si="205"/>
        <v/>
      </c>
    </row>
    <row r="6557" spans="7:11" x14ac:dyDescent="0.2">
      <c r="G6557" s="44"/>
      <c r="J6557" t="str">
        <f t="shared" si="204"/>
        <v/>
      </c>
      <c r="K6557" t="str">
        <f t="shared" si="205"/>
        <v/>
      </c>
    </row>
    <row r="6558" spans="7:11" x14ac:dyDescent="0.2">
      <c r="G6558" s="44"/>
      <c r="J6558" t="str">
        <f t="shared" si="204"/>
        <v/>
      </c>
      <c r="K6558" t="str">
        <f t="shared" si="205"/>
        <v/>
      </c>
    </row>
    <row r="6559" spans="7:11" x14ac:dyDescent="0.2">
      <c r="G6559" s="44"/>
      <c r="J6559" t="str">
        <f t="shared" si="204"/>
        <v/>
      </c>
      <c r="K6559" t="str">
        <f t="shared" si="205"/>
        <v/>
      </c>
    </row>
    <row r="6560" spans="7:11" x14ac:dyDescent="0.2">
      <c r="G6560" s="44"/>
      <c r="J6560" t="str">
        <f t="shared" si="204"/>
        <v/>
      </c>
      <c r="K6560" t="str">
        <f t="shared" si="205"/>
        <v/>
      </c>
    </row>
    <row r="6561" spans="7:11" x14ac:dyDescent="0.2">
      <c r="G6561" s="44"/>
      <c r="J6561" t="str">
        <f t="shared" si="204"/>
        <v/>
      </c>
      <c r="K6561" t="str">
        <f t="shared" si="205"/>
        <v/>
      </c>
    </row>
    <row r="6562" spans="7:11" x14ac:dyDescent="0.2">
      <c r="G6562" s="44"/>
      <c r="J6562" t="str">
        <f t="shared" si="204"/>
        <v/>
      </c>
      <c r="K6562" t="str">
        <f t="shared" si="205"/>
        <v/>
      </c>
    </row>
    <row r="6563" spans="7:11" x14ac:dyDescent="0.2">
      <c r="G6563" s="44"/>
      <c r="J6563" t="str">
        <f t="shared" si="204"/>
        <v/>
      </c>
      <c r="K6563" t="str">
        <f t="shared" si="205"/>
        <v/>
      </c>
    </row>
    <row r="6564" spans="7:11" x14ac:dyDescent="0.2">
      <c r="G6564" s="44"/>
      <c r="J6564" t="str">
        <f t="shared" si="204"/>
        <v/>
      </c>
      <c r="K6564" t="str">
        <f t="shared" si="205"/>
        <v/>
      </c>
    </row>
    <row r="6565" spans="7:11" x14ac:dyDescent="0.2">
      <c r="G6565" s="44"/>
      <c r="J6565" t="str">
        <f t="shared" si="204"/>
        <v/>
      </c>
      <c r="K6565" t="str">
        <f t="shared" si="205"/>
        <v/>
      </c>
    </row>
    <row r="6566" spans="7:11" x14ac:dyDescent="0.2">
      <c r="G6566" s="44"/>
      <c r="J6566" t="str">
        <f t="shared" si="204"/>
        <v/>
      </c>
      <c r="K6566" t="str">
        <f t="shared" si="205"/>
        <v/>
      </c>
    </row>
    <row r="6567" spans="7:11" x14ac:dyDescent="0.2">
      <c r="G6567" s="44"/>
      <c r="J6567" t="str">
        <f t="shared" si="204"/>
        <v/>
      </c>
      <c r="K6567" t="str">
        <f t="shared" si="205"/>
        <v/>
      </c>
    </row>
    <row r="6568" spans="7:11" x14ac:dyDescent="0.2">
      <c r="G6568" s="44"/>
      <c r="J6568" t="str">
        <f t="shared" si="204"/>
        <v/>
      </c>
      <c r="K6568" t="str">
        <f t="shared" si="205"/>
        <v/>
      </c>
    </row>
    <row r="6569" spans="7:11" x14ac:dyDescent="0.2">
      <c r="G6569" s="44"/>
      <c r="J6569" t="str">
        <f t="shared" si="204"/>
        <v/>
      </c>
      <c r="K6569" t="str">
        <f t="shared" si="205"/>
        <v/>
      </c>
    </row>
    <row r="6570" spans="7:11" x14ac:dyDescent="0.2">
      <c r="G6570" s="44"/>
      <c r="J6570" t="str">
        <f t="shared" si="204"/>
        <v/>
      </c>
      <c r="K6570" t="str">
        <f t="shared" si="205"/>
        <v/>
      </c>
    </row>
    <row r="6571" spans="7:11" x14ac:dyDescent="0.2">
      <c r="G6571" s="44"/>
      <c r="J6571" t="str">
        <f t="shared" si="204"/>
        <v/>
      </c>
      <c r="K6571" t="str">
        <f t="shared" si="205"/>
        <v/>
      </c>
    </row>
    <row r="6572" spans="7:11" x14ac:dyDescent="0.2">
      <c r="G6572" s="44"/>
      <c r="J6572" t="str">
        <f t="shared" si="204"/>
        <v/>
      </c>
      <c r="K6572" t="str">
        <f t="shared" si="205"/>
        <v/>
      </c>
    </row>
    <row r="6573" spans="7:11" x14ac:dyDescent="0.2">
      <c r="G6573" s="44"/>
      <c r="J6573" t="str">
        <f t="shared" si="204"/>
        <v/>
      </c>
      <c r="K6573" t="str">
        <f t="shared" si="205"/>
        <v/>
      </c>
    </row>
    <row r="6574" spans="7:11" x14ac:dyDescent="0.2">
      <c r="G6574" s="44"/>
      <c r="J6574" t="str">
        <f t="shared" si="204"/>
        <v/>
      </c>
      <c r="K6574" t="str">
        <f t="shared" si="205"/>
        <v/>
      </c>
    </row>
    <row r="6575" spans="7:11" x14ac:dyDescent="0.2">
      <c r="G6575" s="44"/>
      <c r="J6575" t="str">
        <f t="shared" si="204"/>
        <v/>
      </c>
      <c r="K6575" t="str">
        <f t="shared" si="205"/>
        <v/>
      </c>
    </row>
    <row r="6576" spans="7:11" x14ac:dyDescent="0.2">
      <c r="G6576" s="44"/>
      <c r="J6576" t="str">
        <f t="shared" si="204"/>
        <v/>
      </c>
      <c r="K6576" t="str">
        <f t="shared" si="205"/>
        <v/>
      </c>
    </row>
    <row r="6577" spans="7:11" x14ac:dyDescent="0.2">
      <c r="G6577" s="44"/>
      <c r="J6577" t="str">
        <f t="shared" si="204"/>
        <v/>
      </c>
      <c r="K6577" t="str">
        <f t="shared" si="205"/>
        <v/>
      </c>
    </row>
    <row r="6578" spans="7:11" x14ac:dyDescent="0.2">
      <c r="G6578" s="44"/>
      <c r="J6578" t="str">
        <f t="shared" si="204"/>
        <v/>
      </c>
      <c r="K6578" t="str">
        <f t="shared" si="205"/>
        <v/>
      </c>
    </row>
    <row r="6579" spans="7:11" x14ac:dyDescent="0.2">
      <c r="G6579" s="44"/>
      <c r="J6579" t="str">
        <f t="shared" si="204"/>
        <v/>
      </c>
      <c r="K6579" t="str">
        <f t="shared" si="205"/>
        <v/>
      </c>
    </row>
    <row r="6580" spans="7:11" x14ac:dyDescent="0.2">
      <c r="G6580" s="44"/>
      <c r="J6580" t="str">
        <f t="shared" si="204"/>
        <v/>
      </c>
      <c r="K6580" t="str">
        <f t="shared" si="205"/>
        <v/>
      </c>
    </row>
    <row r="6581" spans="7:11" x14ac:dyDescent="0.2">
      <c r="G6581" s="44"/>
      <c r="J6581" t="str">
        <f t="shared" si="204"/>
        <v/>
      </c>
      <c r="K6581" t="str">
        <f t="shared" si="205"/>
        <v/>
      </c>
    </row>
    <row r="6582" spans="7:11" x14ac:dyDescent="0.2">
      <c r="G6582" s="44"/>
      <c r="J6582" t="str">
        <f t="shared" si="204"/>
        <v/>
      </c>
      <c r="K6582" t="str">
        <f t="shared" si="205"/>
        <v/>
      </c>
    </row>
    <row r="6583" spans="7:11" x14ac:dyDescent="0.2">
      <c r="G6583" s="44"/>
      <c r="J6583" t="str">
        <f t="shared" si="204"/>
        <v/>
      </c>
      <c r="K6583" t="str">
        <f t="shared" si="205"/>
        <v/>
      </c>
    </row>
    <row r="6584" spans="7:11" x14ac:dyDescent="0.2">
      <c r="G6584" s="44"/>
      <c r="J6584" t="str">
        <f t="shared" si="204"/>
        <v/>
      </c>
      <c r="K6584" t="str">
        <f t="shared" si="205"/>
        <v/>
      </c>
    </row>
    <row r="6585" spans="7:11" x14ac:dyDescent="0.2">
      <c r="G6585" s="44"/>
      <c r="J6585" t="str">
        <f t="shared" si="204"/>
        <v/>
      </c>
      <c r="K6585" t="str">
        <f t="shared" si="205"/>
        <v/>
      </c>
    </row>
    <row r="6586" spans="7:11" x14ac:dyDescent="0.2">
      <c r="G6586" s="44"/>
      <c r="J6586" t="str">
        <f t="shared" si="204"/>
        <v/>
      </c>
      <c r="K6586" t="str">
        <f t="shared" si="205"/>
        <v/>
      </c>
    </row>
    <row r="6587" spans="7:11" x14ac:dyDescent="0.2">
      <c r="G6587" s="44"/>
      <c r="J6587" t="str">
        <f t="shared" si="204"/>
        <v/>
      </c>
      <c r="K6587" t="str">
        <f t="shared" si="205"/>
        <v/>
      </c>
    </row>
    <row r="6588" spans="7:11" x14ac:dyDescent="0.2">
      <c r="G6588" s="44"/>
      <c r="J6588" t="str">
        <f t="shared" si="204"/>
        <v/>
      </c>
      <c r="K6588" t="str">
        <f t="shared" si="205"/>
        <v/>
      </c>
    </row>
    <row r="6589" spans="7:11" x14ac:dyDescent="0.2">
      <c r="G6589" s="44"/>
      <c r="J6589" t="str">
        <f t="shared" si="204"/>
        <v/>
      </c>
      <c r="K6589" t="str">
        <f t="shared" si="205"/>
        <v/>
      </c>
    </row>
    <row r="6590" spans="7:11" x14ac:dyDescent="0.2">
      <c r="G6590" s="44"/>
      <c r="J6590" t="str">
        <f t="shared" si="204"/>
        <v/>
      </c>
      <c r="K6590" t="str">
        <f t="shared" si="205"/>
        <v/>
      </c>
    </row>
    <row r="6591" spans="7:11" x14ac:dyDescent="0.2">
      <c r="G6591" s="44"/>
      <c r="J6591" t="str">
        <f t="shared" si="204"/>
        <v/>
      </c>
      <c r="K6591" t="str">
        <f t="shared" si="205"/>
        <v/>
      </c>
    </row>
    <row r="6592" spans="7:11" x14ac:dyDescent="0.2">
      <c r="G6592" s="44"/>
      <c r="J6592" t="str">
        <f t="shared" si="204"/>
        <v/>
      </c>
      <c r="K6592" t="str">
        <f t="shared" si="205"/>
        <v/>
      </c>
    </row>
    <row r="6593" spans="7:11" x14ac:dyDescent="0.2">
      <c r="G6593" s="44"/>
      <c r="J6593" t="str">
        <f t="shared" si="204"/>
        <v/>
      </c>
      <c r="K6593" t="str">
        <f t="shared" si="205"/>
        <v/>
      </c>
    </row>
    <row r="6594" spans="7:11" x14ac:dyDescent="0.2">
      <c r="G6594" s="44"/>
      <c r="J6594" t="str">
        <f t="shared" ref="J6594:J6657" si="206">IF(E6594="","",IF(OR(E6594=50,E6594=51),"Iltindhold",IF(E6594=75,"Carbon,org,NVOC",IF(OR(E6594=343,E6594=1167),"Svovlbrinte",IF(OR(E6594=240,E6594=241,E6594=242),"Amm",IF(E6594=244,"Nitrit",IF(E6594=247,"Nitrat",IF(E6594=334,"Sulfat",IF(E6594=262,"Phosphor, total-P",F6594)))))))))</f>
        <v/>
      </c>
      <c r="K6594" t="str">
        <f t="shared" ref="K6594:K6657" si="207">IF(A6594="","",IF(H6594="!",NA(),IF(H6594="A",I6594*0.5,IF(H6594="&lt;",I6594*0.5,I6594))))</f>
        <v/>
      </c>
    </row>
    <row r="6595" spans="7:11" x14ac:dyDescent="0.2">
      <c r="G6595" s="44"/>
      <c r="J6595" t="str">
        <f t="shared" si="206"/>
        <v/>
      </c>
      <c r="K6595" t="str">
        <f t="shared" si="207"/>
        <v/>
      </c>
    </row>
    <row r="6596" spans="7:11" x14ac:dyDescent="0.2">
      <c r="G6596" s="44"/>
      <c r="J6596" t="str">
        <f t="shared" si="206"/>
        <v/>
      </c>
      <c r="K6596" t="str">
        <f t="shared" si="207"/>
        <v/>
      </c>
    </row>
    <row r="6597" spans="7:11" x14ac:dyDescent="0.2">
      <c r="G6597" s="44"/>
      <c r="J6597" t="str">
        <f t="shared" si="206"/>
        <v/>
      </c>
      <c r="K6597" t="str">
        <f t="shared" si="207"/>
        <v/>
      </c>
    </row>
    <row r="6598" spans="7:11" x14ac:dyDescent="0.2">
      <c r="G6598" s="44"/>
      <c r="J6598" t="str">
        <f t="shared" si="206"/>
        <v/>
      </c>
      <c r="K6598" t="str">
        <f t="shared" si="207"/>
        <v/>
      </c>
    </row>
    <row r="6599" spans="7:11" x14ac:dyDescent="0.2">
      <c r="G6599" s="44"/>
      <c r="J6599" t="str">
        <f t="shared" si="206"/>
        <v/>
      </c>
      <c r="K6599" t="str">
        <f t="shared" si="207"/>
        <v/>
      </c>
    </row>
    <row r="6600" spans="7:11" x14ac:dyDescent="0.2">
      <c r="G6600" s="44"/>
      <c r="J6600" t="str">
        <f t="shared" si="206"/>
        <v/>
      </c>
      <c r="K6600" t="str">
        <f t="shared" si="207"/>
        <v/>
      </c>
    </row>
    <row r="6601" spans="7:11" x14ac:dyDescent="0.2">
      <c r="G6601" s="44"/>
      <c r="J6601" t="str">
        <f t="shared" si="206"/>
        <v/>
      </c>
      <c r="K6601" t="str">
        <f t="shared" si="207"/>
        <v/>
      </c>
    </row>
    <row r="6602" spans="7:11" x14ac:dyDescent="0.2">
      <c r="G6602" s="44"/>
      <c r="J6602" t="str">
        <f t="shared" si="206"/>
        <v/>
      </c>
      <c r="K6602" t="str">
        <f t="shared" si="207"/>
        <v/>
      </c>
    </row>
    <row r="6603" spans="7:11" x14ac:dyDescent="0.2">
      <c r="G6603" s="44"/>
      <c r="J6603" t="str">
        <f t="shared" si="206"/>
        <v/>
      </c>
      <c r="K6603" t="str">
        <f t="shared" si="207"/>
        <v/>
      </c>
    </row>
    <row r="6604" spans="7:11" x14ac:dyDescent="0.2">
      <c r="G6604" s="44"/>
      <c r="J6604" t="str">
        <f t="shared" si="206"/>
        <v/>
      </c>
      <c r="K6604" t="str">
        <f t="shared" si="207"/>
        <v/>
      </c>
    </row>
    <row r="6605" spans="7:11" x14ac:dyDescent="0.2">
      <c r="G6605" s="44"/>
      <c r="J6605" t="str">
        <f t="shared" si="206"/>
        <v/>
      </c>
      <c r="K6605" t="str">
        <f t="shared" si="207"/>
        <v/>
      </c>
    </row>
    <row r="6606" spans="7:11" x14ac:dyDescent="0.2">
      <c r="G6606" s="44"/>
      <c r="J6606" t="str">
        <f t="shared" si="206"/>
        <v/>
      </c>
      <c r="K6606" t="str">
        <f t="shared" si="207"/>
        <v/>
      </c>
    </row>
    <row r="6607" spans="7:11" x14ac:dyDescent="0.2">
      <c r="G6607" s="44"/>
      <c r="J6607" t="str">
        <f t="shared" si="206"/>
        <v/>
      </c>
      <c r="K6607" t="str">
        <f t="shared" si="207"/>
        <v/>
      </c>
    </row>
    <row r="6608" spans="7:11" x14ac:dyDescent="0.2">
      <c r="G6608" s="44"/>
      <c r="J6608" t="str">
        <f t="shared" si="206"/>
        <v/>
      </c>
      <c r="K6608" t="str">
        <f t="shared" si="207"/>
        <v/>
      </c>
    </row>
    <row r="6609" spans="7:11" x14ac:dyDescent="0.2">
      <c r="G6609" s="44"/>
      <c r="J6609" t="str">
        <f t="shared" si="206"/>
        <v/>
      </c>
      <c r="K6609" t="str">
        <f t="shared" si="207"/>
        <v/>
      </c>
    </row>
    <row r="6610" spans="7:11" x14ac:dyDescent="0.2">
      <c r="G6610" s="44"/>
      <c r="J6610" t="str">
        <f t="shared" si="206"/>
        <v/>
      </c>
      <c r="K6610" t="str">
        <f t="shared" si="207"/>
        <v/>
      </c>
    </row>
    <row r="6611" spans="7:11" x14ac:dyDescent="0.2">
      <c r="G6611" s="44"/>
      <c r="J6611" t="str">
        <f t="shared" si="206"/>
        <v/>
      </c>
      <c r="K6611" t="str">
        <f t="shared" si="207"/>
        <v/>
      </c>
    </row>
    <row r="6612" spans="7:11" x14ac:dyDescent="0.2">
      <c r="G6612" s="44"/>
      <c r="J6612" t="str">
        <f t="shared" si="206"/>
        <v/>
      </c>
      <c r="K6612" t="str">
        <f t="shared" si="207"/>
        <v/>
      </c>
    </row>
    <row r="6613" spans="7:11" x14ac:dyDescent="0.2">
      <c r="G6613" s="44"/>
      <c r="J6613" t="str">
        <f t="shared" si="206"/>
        <v/>
      </c>
      <c r="K6613" t="str">
        <f t="shared" si="207"/>
        <v/>
      </c>
    </row>
    <row r="6614" spans="7:11" x14ac:dyDescent="0.2">
      <c r="G6614" s="44"/>
      <c r="J6614" t="str">
        <f t="shared" si="206"/>
        <v/>
      </c>
      <c r="K6614" t="str">
        <f t="shared" si="207"/>
        <v/>
      </c>
    </row>
    <row r="6615" spans="7:11" x14ac:dyDescent="0.2">
      <c r="G6615" s="44"/>
      <c r="J6615" t="str">
        <f t="shared" si="206"/>
        <v/>
      </c>
      <c r="K6615" t="str">
        <f t="shared" si="207"/>
        <v/>
      </c>
    </row>
    <row r="6616" spans="7:11" x14ac:dyDescent="0.2">
      <c r="G6616" s="44"/>
      <c r="J6616" t="str">
        <f t="shared" si="206"/>
        <v/>
      </c>
      <c r="K6616" t="str">
        <f t="shared" si="207"/>
        <v/>
      </c>
    </row>
    <row r="6617" spans="7:11" x14ac:dyDescent="0.2">
      <c r="G6617" s="44"/>
      <c r="J6617" t="str">
        <f t="shared" si="206"/>
        <v/>
      </c>
      <c r="K6617" t="str">
        <f t="shared" si="207"/>
        <v/>
      </c>
    </row>
    <row r="6618" spans="7:11" x14ac:dyDescent="0.2">
      <c r="G6618" s="44"/>
      <c r="J6618" t="str">
        <f t="shared" si="206"/>
        <v/>
      </c>
      <c r="K6618" t="str">
        <f t="shared" si="207"/>
        <v/>
      </c>
    </row>
    <row r="6619" spans="7:11" x14ac:dyDescent="0.2">
      <c r="G6619" s="44"/>
      <c r="J6619" t="str">
        <f t="shared" si="206"/>
        <v/>
      </c>
      <c r="K6619" t="str">
        <f t="shared" si="207"/>
        <v/>
      </c>
    </row>
    <row r="6620" spans="7:11" x14ac:dyDescent="0.2">
      <c r="G6620" s="44"/>
      <c r="J6620" t="str">
        <f t="shared" si="206"/>
        <v/>
      </c>
      <c r="K6620" t="str">
        <f t="shared" si="207"/>
        <v/>
      </c>
    </row>
    <row r="6621" spans="7:11" x14ac:dyDescent="0.2">
      <c r="G6621" s="44"/>
      <c r="J6621" t="str">
        <f t="shared" si="206"/>
        <v/>
      </c>
      <c r="K6621" t="str">
        <f t="shared" si="207"/>
        <v/>
      </c>
    </row>
    <row r="6622" spans="7:11" x14ac:dyDescent="0.2">
      <c r="G6622" s="44"/>
      <c r="J6622" t="str">
        <f t="shared" si="206"/>
        <v/>
      </c>
      <c r="K6622" t="str">
        <f t="shared" si="207"/>
        <v/>
      </c>
    </row>
    <row r="6623" spans="7:11" x14ac:dyDescent="0.2">
      <c r="G6623" s="44"/>
      <c r="J6623" t="str">
        <f t="shared" si="206"/>
        <v/>
      </c>
      <c r="K6623" t="str">
        <f t="shared" si="207"/>
        <v/>
      </c>
    </row>
    <row r="6624" spans="7:11" x14ac:dyDescent="0.2">
      <c r="G6624" s="44"/>
      <c r="J6624" t="str">
        <f t="shared" si="206"/>
        <v/>
      </c>
      <c r="K6624" t="str">
        <f t="shared" si="207"/>
        <v/>
      </c>
    </row>
    <row r="6625" spans="7:11" x14ac:dyDescent="0.2">
      <c r="G6625" s="44"/>
      <c r="J6625" t="str">
        <f t="shared" si="206"/>
        <v/>
      </c>
      <c r="K6625" t="str">
        <f t="shared" si="207"/>
        <v/>
      </c>
    </row>
    <row r="6626" spans="7:11" x14ac:dyDescent="0.2">
      <c r="G6626" s="44"/>
      <c r="J6626" t="str">
        <f t="shared" si="206"/>
        <v/>
      </c>
      <c r="K6626" t="str">
        <f t="shared" si="207"/>
        <v/>
      </c>
    </row>
    <row r="6627" spans="7:11" x14ac:dyDescent="0.2">
      <c r="G6627" s="44"/>
      <c r="J6627" t="str">
        <f t="shared" si="206"/>
        <v/>
      </c>
      <c r="K6627" t="str">
        <f t="shared" si="207"/>
        <v/>
      </c>
    </row>
    <row r="6628" spans="7:11" x14ac:dyDescent="0.2">
      <c r="G6628" s="44"/>
      <c r="J6628" t="str">
        <f t="shared" si="206"/>
        <v/>
      </c>
      <c r="K6628" t="str">
        <f t="shared" si="207"/>
        <v/>
      </c>
    </row>
    <row r="6629" spans="7:11" x14ac:dyDescent="0.2">
      <c r="G6629" s="44"/>
      <c r="J6629" t="str">
        <f t="shared" si="206"/>
        <v/>
      </c>
      <c r="K6629" t="str">
        <f t="shared" si="207"/>
        <v/>
      </c>
    </row>
    <row r="6630" spans="7:11" x14ac:dyDescent="0.2">
      <c r="G6630" s="44"/>
      <c r="J6630" t="str">
        <f t="shared" si="206"/>
        <v/>
      </c>
      <c r="K6630" t="str">
        <f t="shared" si="207"/>
        <v/>
      </c>
    </row>
    <row r="6631" spans="7:11" x14ac:dyDescent="0.2">
      <c r="G6631" s="44"/>
      <c r="J6631" t="str">
        <f t="shared" si="206"/>
        <v/>
      </c>
      <c r="K6631" t="str">
        <f t="shared" si="207"/>
        <v/>
      </c>
    </row>
    <row r="6632" spans="7:11" x14ac:dyDescent="0.2">
      <c r="G6632" s="44"/>
      <c r="J6632" t="str">
        <f t="shared" si="206"/>
        <v/>
      </c>
      <c r="K6632" t="str">
        <f t="shared" si="207"/>
        <v/>
      </c>
    </row>
    <row r="6633" spans="7:11" x14ac:dyDescent="0.2">
      <c r="G6633" s="44"/>
      <c r="J6633" t="str">
        <f t="shared" si="206"/>
        <v/>
      </c>
      <c r="K6633" t="str">
        <f t="shared" si="207"/>
        <v/>
      </c>
    </row>
    <row r="6634" spans="7:11" x14ac:dyDescent="0.2">
      <c r="G6634" s="44"/>
      <c r="J6634" t="str">
        <f t="shared" si="206"/>
        <v/>
      </c>
      <c r="K6634" t="str">
        <f t="shared" si="207"/>
        <v/>
      </c>
    </row>
    <row r="6635" spans="7:11" x14ac:dyDescent="0.2">
      <c r="G6635" s="44"/>
      <c r="J6635" t="str">
        <f t="shared" si="206"/>
        <v/>
      </c>
      <c r="K6635" t="str">
        <f t="shared" si="207"/>
        <v/>
      </c>
    </row>
    <row r="6636" spans="7:11" x14ac:dyDescent="0.2">
      <c r="G6636" s="44"/>
      <c r="J6636" t="str">
        <f t="shared" si="206"/>
        <v/>
      </c>
      <c r="K6636" t="str">
        <f t="shared" si="207"/>
        <v/>
      </c>
    </row>
    <row r="6637" spans="7:11" x14ac:dyDescent="0.2">
      <c r="G6637" s="44"/>
      <c r="J6637" t="str">
        <f t="shared" si="206"/>
        <v/>
      </c>
      <c r="K6637" t="str">
        <f t="shared" si="207"/>
        <v/>
      </c>
    </row>
    <row r="6638" spans="7:11" x14ac:dyDescent="0.2">
      <c r="G6638" s="44"/>
      <c r="J6638" t="str">
        <f t="shared" si="206"/>
        <v/>
      </c>
      <c r="K6638" t="str">
        <f t="shared" si="207"/>
        <v/>
      </c>
    </row>
    <row r="6639" spans="7:11" x14ac:dyDescent="0.2">
      <c r="G6639" s="44"/>
      <c r="J6639" t="str">
        <f t="shared" si="206"/>
        <v/>
      </c>
      <c r="K6639" t="str">
        <f t="shared" si="207"/>
        <v/>
      </c>
    </row>
    <row r="6640" spans="7:11" x14ac:dyDescent="0.2">
      <c r="G6640" s="44"/>
      <c r="J6640" t="str">
        <f t="shared" si="206"/>
        <v/>
      </c>
      <c r="K6640" t="str">
        <f t="shared" si="207"/>
        <v/>
      </c>
    </row>
    <row r="6641" spans="7:11" x14ac:dyDescent="0.2">
      <c r="G6641" s="44"/>
      <c r="J6641" t="str">
        <f t="shared" si="206"/>
        <v/>
      </c>
      <c r="K6641" t="str">
        <f t="shared" si="207"/>
        <v/>
      </c>
    </row>
    <row r="6642" spans="7:11" x14ac:dyDescent="0.2">
      <c r="G6642" s="44"/>
      <c r="J6642" t="str">
        <f t="shared" si="206"/>
        <v/>
      </c>
      <c r="K6642" t="str">
        <f t="shared" si="207"/>
        <v/>
      </c>
    </row>
    <row r="6643" spans="7:11" x14ac:dyDescent="0.2">
      <c r="G6643" s="44"/>
      <c r="J6643" t="str">
        <f t="shared" si="206"/>
        <v/>
      </c>
      <c r="K6643" t="str">
        <f t="shared" si="207"/>
        <v/>
      </c>
    </row>
    <row r="6644" spans="7:11" x14ac:dyDescent="0.2">
      <c r="G6644" s="44"/>
      <c r="J6644" t="str">
        <f t="shared" si="206"/>
        <v/>
      </c>
      <c r="K6644" t="str">
        <f t="shared" si="207"/>
        <v/>
      </c>
    </row>
    <row r="6645" spans="7:11" x14ac:dyDescent="0.2">
      <c r="G6645" s="44"/>
      <c r="J6645" t="str">
        <f t="shared" si="206"/>
        <v/>
      </c>
      <c r="K6645" t="str">
        <f t="shared" si="207"/>
        <v/>
      </c>
    </row>
    <row r="6646" spans="7:11" x14ac:dyDescent="0.2">
      <c r="G6646" s="44"/>
      <c r="J6646" t="str">
        <f t="shared" si="206"/>
        <v/>
      </c>
      <c r="K6646" t="str">
        <f t="shared" si="207"/>
        <v/>
      </c>
    </row>
    <row r="6647" spans="7:11" x14ac:dyDescent="0.2">
      <c r="G6647" s="44"/>
      <c r="J6647" t="str">
        <f t="shared" si="206"/>
        <v/>
      </c>
      <c r="K6647" t="str">
        <f t="shared" si="207"/>
        <v/>
      </c>
    </row>
    <row r="6648" spans="7:11" x14ac:dyDescent="0.2">
      <c r="G6648" s="44"/>
      <c r="J6648" t="str">
        <f t="shared" si="206"/>
        <v/>
      </c>
      <c r="K6648" t="str">
        <f t="shared" si="207"/>
        <v/>
      </c>
    </row>
    <row r="6649" spans="7:11" x14ac:dyDescent="0.2">
      <c r="G6649" s="44"/>
      <c r="J6649" t="str">
        <f t="shared" si="206"/>
        <v/>
      </c>
      <c r="K6649" t="str">
        <f t="shared" si="207"/>
        <v/>
      </c>
    </row>
    <row r="6650" spans="7:11" x14ac:dyDescent="0.2">
      <c r="G6650" s="44"/>
      <c r="J6650" t="str">
        <f t="shared" si="206"/>
        <v/>
      </c>
      <c r="K6650" t="str">
        <f t="shared" si="207"/>
        <v/>
      </c>
    </row>
    <row r="6651" spans="7:11" x14ac:dyDescent="0.2">
      <c r="G6651" s="44"/>
      <c r="J6651" t="str">
        <f t="shared" si="206"/>
        <v/>
      </c>
      <c r="K6651" t="str">
        <f t="shared" si="207"/>
        <v/>
      </c>
    </row>
    <row r="6652" spans="7:11" x14ac:dyDescent="0.2">
      <c r="G6652" s="44"/>
      <c r="J6652" t="str">
        <f t="shared" si="206"/>
        <v/>
      </c>
      <c r="K6652" t="str">
        <f t="shared" si="207"/>
        <v/>
      </c>
    </row>
    <row r="6653" spans="7:11" x14ac:dyDescent="0.2">
      <c r="G6653" s="44"/>
      <c r="J6653" t="str">
        <f t="shared" si="206"/>
        <v/>
      </c>
      <c r="K6653" t="str">
        <f t="shared" si="207"/>
        <v/>
      </c>
    </row>
    <row r="6654" spans="7:11" x14ac:dyDescent="0.2">
      <c r="G6654" s="44"/>
      <c r="J6654" t="str">
        <f t="shared" si="206"/>
        <v/>
      </c>
      <c r="K6654" t="str">
        <f t="shared" si="207"/>
        <v/>
      </c>
    </row>
    <row r="6655" spans="7:11" x14ac:dyDescent="0.2">
      <c r="G6655" s="44"/>
      <c r="J6655" t="str">
        <f t="shared" si="206"/>
        <v/>
      </c>
      <c r="K6655" t="str">
        <f t="shared" si="207"/>
        <v/>
      </c>
    </row>
    <row r="6656" spans="7:11" x14ac:dyDescent="0.2">
      <c r="G6656" s="44"/>
      <c r="J6656" t="str">
        <f t="shared" si="206"/>
        <v/>
      </c>
      <c r="K6656" t="str">
        <f t="shared" si="207"/>
        <v/>
      </c>
    </row>
    <row r="6657" spans="7:11" x14ac:dyDescent="0.2">
      <c r="G6657" s="44"/>
      <c r="J6657" t="str">
        <f t="shared" si="206"/>
        <v/>
      </c>
      <c r="K6657" t="str">
        <f t="shared" si="207"/>
        <v/>
      </c>
    </row>
    <row r="6658" spans="7:11" x14ac:dyDescent="0.2">
      <c r="G6658" s="44"/>
      <c r="J6658" t="str">
        <f t="shared" ref="J6658:J6721" si="208">IF(E6658="","",IF(OR(E6658=50,E6658=51),"Iltindhold",IF(E6658=75,"Carbon,org,NVOC",IF(OR(E6658=343,E6658=1167),"Svovlbrinte",IF(OR(E6658=240,E6658=241,E6658=242),"Amm",IF(E6658=244,"Nitrit",IF(E6658=247,"Nitrat",IF(E6658=334,"Sulfat",IF(E6658=262,"Phosphor, total-P",F6658)))))))))</f>
        <v/>
      </c>
      <c r="K6658" t="str">
        <f t="shared" ref="K6658:K6721" si="209">IF(A6658="","",IF(H6658="!",NA(),IF(H6658="A",I6658*0.5,IF(H6658="&lt;",I6658*0.5,I6658))))</f>
        <v/>
      </c>
    </row>
    <row r="6659" spans="7:11" x14ac:dyDescent="0.2">
      <c r="G6659" s="44"/>
      <c r="J6659" t="str">
        <f t="shared" si="208"/>
        <v/>
      </c>
      <c r="K6659" t="str">
        <f t="shared" si="209"/>
        <v/>
      </c>
    </row>
    <row r="6660" spans="7:11" x14ac:dyDescent="0.2">
      <c r="G6660" s="44"/>
      <c r="J6660" t="str">
        <f t="shared" si="208"/>
        <v/>
      </c>
      <c r="K6660" t="str">
        <f t="shared" si="209"/>
        <v/>
      </c>
    </row>
    <row r="6661" spans="7:11" x14ac:dyDescent="0.2">
      <c r="G6661" s="44"/>
      <c r="J6661" t="str">
        <f t="shared" si="208"/>
        <v/>
      </c>
      <c r="K6661" t="str">
        <f t="shared" si="209"/>
        <v/>
      </c>
    </row>
    <row r="6662" spans="7:11" x14ac:dyDescent="0.2">
      <c r="G6662" s="44"/>
      <c r="J6662" t="str">
        <f t="shared" si="208"/>
        <v/>
      </c>
      <c r="K6662" t="str">
        <f t="shared" si="209"/>
        <v/>
      </c>
    </row>
    <row r="6663" spans="7:11" x14ac:dyDescent="0.2">
      <c r="G6663" s="44"/>
      <c r="J6663" t="str">
        <f t="shared" si="208"/>
        <v/>
      </c>
      <c r="K6663" t="str">
        <f t="shared" si="209"/>
        <v/>
      </c>
    </row>
    <row r="6664" spans="7:11" x14ac:dyDescent="0.2">
      <c r="G6664" s="44"/>
      <c r="J6664" t="str">
        <f t="shared" si="208"/>
        <v/>
      </c>
      <c r="K6664" t="str">
        <f t="shared" si="209"/>
        <v/>
      </c>
    </row>
    <row r="6665" spans="7:11" x14ac:dyDescent="0.2">
      <c r="G6665" s="44"/>
      <c r="J6665" t="str">
        <f t="shared" si="208"/>
        <v/>
      </c>
      <c r="K6665" t="str">
        <f t="shared" si="209"/>
        <v/>
      </c>
    </row>
    <row r="6666" spans="7:11" x14ac:dyDescent="0.2">
      <c r="G6666" s="44"/>
      <c r="J6666" t="str">
        <f t="shared" si="208"/>
        <v/>
      </c>
      <c r="K6666" t="str">
        <f t="shared" si="209"/>
        <v/>
      </c>
    </row>
    <row r="6667" spans="7:11" x14ac:dyDescent="0.2">
      <c r="G6667" s="44"/>
      <c r="J6667" t="str">
        <f t="shared" si="208"/>
        <v/>
      </c>
      <c r="K6667" t="str">
        <f t="shared" si="209"/>
        <v/>
      </c>
    </row>
    <row r="6668" spans="7:11" x14ac:dyDescent="0.2">
      <c r="G6668" s="44"/>
      <c r="J6668" t="str">
        <f t="shared" si="208"/>
        <v/>
      </c>
      <c r="K6668" t="str">
        <f t="shared" si="209"/>
        <v/>
      </c>
    </row>
    <row r="6669" spans="7:11" x14ac:dyDescent="0.2">
      <c r="G6669" s="44"/>
      <c r="J6669" t="str">
        <f t="shared" si="208"/>
        <v/>
      </c>
      <c r="K6669" t="str">
        <f t="shared" si="209"/>
        <v/>
      </c>
    </row>
    <row r="6670" spans="7:11" x14ac:dyDescent="0.2">
      <c r="G6670" s="44"/>
      <c r="J6670" t="str">
        <f t="shared" si="208"/>
        <v/>
      </c>
      <c r="K6670" t="str">
        <f t="shared" si="209"/>
        <v/>
      </c>
    </row>
    <row r="6671" spans="7:11" x14ac:dyDescent="0.2">
      <c r="G6671" s="44"/>
      <c r="J6671" t="str">
        <f t="shared" si="208"/>
        <v/>
      </c>
      <c r="K6671" t="str">
        <f t="shared" si="209"/>
        <v/>
      </c>
    </row>
    <row r="6672" spans="7:11" x14ac:dyDescent="0.2">
      <c r="G6672" s="44"/>
      <c r="J6672" t="str">
        <f t="shared" si="208"/>
        <v/>
      </c>
      <c r="K6672" t="str">
        <f t="shared" si="209"/>
        <v/>
      </c>
    </row>
    <row r="6673" spans="7:11" x14ac:dyDescent="0.2">
      <c r="G6673" s="44"/>
      <c r="J6673" t="str">
        <f t="shared" si="208"/>
        <v/>
      </c>
      <c r="K6673" t="str">
        <f t="shared" si="209"/>
        <v/>
      </c>
    </row>
    <row r="6674" spans="7:11" x14ac:dyDescent="0.2">
      <c r="G6674" s="44"/>
      <c r="J6674" t="str">
        <f t="shared" si="208"/>
        <v/>
      </c>
      <c r="K6674" t="str">
        <f t="shared" si="209"/>
        <v/>
      </c>
    </row>
    <row r="6675" spans="7:11" x14ac:dyDescent="0.2">
      <c r="G6675" s="44"/>
      <c r="J6675" t="str">
        <f t="shared" si="208"/>
        <v/>
      </c>
      <c r="K6675" t="str">
        <f t="shared" si="209"/>
        <v/>
      </c>
    </row>
    <row r="6676" spans="7:11" x14ac:dyDescent="0.2">
      <c r="G6676" s="44"/>
      <c r="J6676" t="str">
        <f t="shared" si="208"/>
        <v/>
      </c>
      <c r="K6676" t="str">
        <f t="shared" si="209"/>
        <v/>
      </c>
    </row>
    <row r="6677" spans="7:11" x14ac:dyDescent="0.2">
      <c r="G6677" s="44"/>
      <c r="J6677" t="str">
        <f t="shared" si="208"/>
        <v/>
      </c>
      <c r="K6677" t="str">
        <f t="shared" si="209"/>
        <v/>
      </c>
    </row>
    <row r="6678" spans="7:11" x14ac:dyDescent="0.2">
      <c r="G6678" s="44"/>
      <c r="J6678" t="str">
        <f t="shared" si="208"/>
        <v/>
      </c>
      <c r="K6678" t="str">
        <f t="shared" si="209"/>
        <v/>
      </c>
    </row>
    <row r="6679" spans="7:11" x14ac:dyDescent="0.2">
      <c r="G6679" s="44"/>
      <c r="J6679" t="str">
        <f t="shared" si="208"/>
        <v/>
      </c>
      <c r="K6679" t="str">
        <f t="shared" si="209"/>
        <v/>
      </c>
    </row>
    <row r="6680" spans="7:11" x14ac:dyDescent="0.2">
      <c r="G6680" s="44"/>
      <c r="J6680" t="str">
        <f t="shared" si="208"/>
        <v/>
      </c>
      <c r="K6680" t="str">
        <f t="shared" si="209"/>
        <v/>
      </c>
    </row>
    <row r="6681" spans="7:11" x14ac:dyDescent="0.2">
      <c r="G6681" s="44"/>
      <c r="J6681" t="str">
        <f t="shared" si="208"/>
        <v/>
      </c>
      <c r="K6681" t="str">
        <f t="shared" si="209"/>
        <v/>
      </c>
    </row>
    <row r="6682" spans="7:11" x14ac:dyDescent="0.2">
      <c r="G6682" s="44"/>
      <c r="J6682" t="str">
        <f t="shared" si="208"/>
        <v/>
      </c>
      <c r="K6682" t="str">
        <f t="shared" si="209"/>
        <v/>
      </c>
    </row>
    <row r="6683" spans="7:11" x14ac:dyDescent="0.2">
      <c r="G6683" s="44"/>
      <c r="J6683" t="str">
        <f t="shared" si="208"/>
        <v/>
      </c>
      <c r="K6683" t="str">
        <f t="shared" si="209"/>
        <v/>
      </c>
    </row>
    <row r="6684" spans="7:11" x14ac:dyDescent="0.2">
      <c r="G6684" s="44"/>
      <c r="J6684" t="str">
        <f t="shared" si="208"/>
        <v/>
      </c>
      <c r="K6684" t="str">
        <f t="shared" si="209"/>
        <v/>
      </c>
    </row>
    <row r="6685" spans="7:11" x14ac:dyDescent="0.2">
      <c r="G6685" s="44"/>
      <c r="J6685" t="str">
        <f t="shared" si="208"/>
        <v/>
      </c>
      <c r="K6685" t="str">
        <f t="shared" si="209"/>
        <v/>
      </c>
    </row>
    <row r="6686" spans="7:11" x14ac:dyDescent="0.2">
      <c r="G6686" s="44"/>
      <c r="J6686" t="str">
        <f t="shared" si="208"/>
        <v/>
      </c>
      <c r="K6686" t="str">
        <f t="shared" si="209"/>
        <v/>
      </c>
    </row>
    <row r="6687" spans="7:11" x14ac:dyDescent="0.2">
      <c r="G6687" s="44"/>
      <c r="J6687" t="str">
        <f t="shared" si="208"/>
        <v/>
      </c>
      <c r="K6687" t="str">
        <f t="shared" si="209"/>
        <v/>
      </c>
    </row>
    <row r="6688" spans="7:11" x14ac:dyDescent="0.2">
      <c r="G6688" s="44"/>
      <c r="J6688" t="str">
        <f t="shared" si="208"/>
        <v/>
      </c>
      <c r="K6688" t="str">
        <f t="shared" si="209"/>
        <v/>
      </c>
    </row>
    <row r="6689" spans="7:11" x14ac:dyDescent="0.2">
      <c r="G6689" s="44"/>
      <c r="J6689" t="str">
        <f t="shared" si="208"/>
        <v/>
      </c>
      <c r="K6689" t="str">
        <f t="shared" si="209"/>
        <v/>
      </c>
    </row>
    <row r="6690" spans="7:11" x14ac:dyDescent="0.2">
      <c r="G6690" s="44"/>
      <c r="J6690" t="str">
        <f t="shared" si="208"/>
        <v/>
      </c>
      <c r="K6690" t="str">
        <f t="shared" si="209"/>
        <v/>
      </c>
    </row>
    <row r="6691" spans="7:11" x14ac:dyDescent="0.2">
      <c r="G6691" s="44"/>
      <c r="J6691" t="str">
        <f t="shared" si="208"/>
        <v/>
      </c>
      <c r="K6691" t="str">
        <f t="shared" si="209"/>
        <v/>
      </c>
    </row>
    <row r="6692" spans="7:11" x14ac:dyDescent="0.2">
      <c r="G6692" s="44"/>
      <c r="J6692" t="str">
        <f t="shared" si="208"/>
        <v/>
      </c>
      <c r="K6692" t="str">
        <f t="shared" si="209"/>
        <v/>
      </c>
    </row>
    <row r="6693" spans="7:11" x14ac:dyDescent="0.2">
      <c r="G6693" s="44"/>
      <c r="J6693" t="str">
        <f t="shared" si="208"/>
        <v/>
      </c>
      <c r="K6693" t="str">
        <f t="shared" si="209"/>
        <v/>
      </c>
    </row>
    <row r="6694" spans="7:11" x14ac:dyDescent="0.2">
      <c r="G6694" s="44"/>
      <c r="J6694" t="str">
        <f t="shared" si="208"/>
        <v/>
      </c>
      <c r="K6694" t="str">
        <f t="shared" si="209"/>
        <v/>
      </c>
    </row>
    <row r="6695" spans="7:11" x14ac:dyDescent="0.2">
      <c r="G6695" s="44"/>
      <c r="J6695" t="str">
        <f t="shared" si="208"/>
        <v/>
      </c>
      <c r="K6695" t="str">
        <f t="shared" si="209"/>
        <v/>
      </c>
    </row>
    <row r="6696" spans="7:11" x14ac:dyDescent="0.2">
      <c r="G6696" s="44"/>
      <c r="J6696" t="str">
        <f t="shared" si="208"/>
        <v/>
      </c>
      <c r="K6696" t="str">
        <f t="shared" si="209"/>
        <v/>
      </c>
    </row>
    <row r="6697" spans="7:11" x14ac:dyDescent="0.2">
      <c r="G6697" s="44"/>
      <c r="J6697" t="str">
        <f t="shared" si="208"/>
        <v/>
      </c>
      <c r="K6697" t="str">
        <f t="shared" si="209"/>
        <v/>
      </c>
    </row>
    <row r="6698" spans="7:11" x14ac:dyDescent="0.2">
      <c r="G6698" s="44"/>
      <c r="J6698" t="str">
        <f t="shared" si="208"/>
        <v/>
      </c>
      <c r="K6698" t="str">
        <f t="shared" si="209"/>
        <v/>
      </c>
    </row>
    <row r="6699" spans="7:11" x14ac:dyDescent="0.2">
      <c r="G6699" s="44"/>
      <c r="J6699" t="str">
        <f t="shared" si="208"/>
        <v/>
      </c>
      <c r="K6699" t="str">
        <f t="shared" si="209"/>
        <v/>
      </c>
    </row>
    <row r="6700" spans="7:11" x14ac:dyDescent="0.2">
      <c r="G6700" s="44"/>
      <c r="J6700" t="str">
        <f t="shared" si="208"/>
        <v/>
      </c>
      <c r="K6700" t="str">
        <f t="shared" si="209"/>
        <v/>
      </c>
    </row>
    <row r="6701" spans="7:11" x14ac:dyDescent="0.2">
      <c r="G6701" s="44"/>
      <c r="J6701" t="str">
        <f t="shared" si="208"/>
        <v/>
      </c>
      <c r="K6701" t="str">
        <f t="shared" si="209"/>
        <v/>
      </c>
    </row>
    <row r="6702" spans="7:11" x14ac:dyDescent="0.2">
      <c r="G6702" s="44"/>
      <c r="J6702" t="str">
        <f t="shared" si="208"/>
        <v/>
      </c>
      <c r="K6702" t="str">
        <f t="shared" si="209"/>
        <v/>
      </c>
    </row>
    <row r="6703" spans="7:11" x14ac:dyDescent="0.2">
      <c r="G6703" s="44"/>
      <c r="J6703" t="str">
        <f t="shared" si="208"/>
        <v/>
      </c>
      <c r="K6703" t="str">
        <f t="shared" si="209"/>
        <v/>
      </c>
    </row>
    <row r="6704" spans="7:11" x14ac:dyDescent="0.2">
      <c r="G6704" s="44"/>
      <c r="J6704" t="str">
        <f t="shared" si="208"/>
        <v/>
      </c>
      <c r="K6704" t="str">
        <f t="shared" si="209"/>
        <v/>
      </c>
    </row>
    <row r="6705" spans="7:11" x14ac:dyDescent="0.2">
      <c r="G6705" s="44"/>
      <c r="J6705" t="str">
        <f t="shared" si="208"/>
        <v/>
      </c>
      <c r="K6705" t="str">
        <f t="shared" si="209"/>
        <v/>
      </c>
    </row>
    <row r="6706" spans="7:11" x14ac:dyDescent="0.2">
      <c r="G6706" s="44"/>
      <c r="J6706" t="str">
        <f t="shared" si="208"/>
        <v/>
      </c>
      <c r="K6706" t="str">
        <f t="shared" si="209"/>
        <v/>
      </c>
    </row>
    <row r="6707" spans="7:11" x14ac:dyDescent="0.2">
      <c r="G6707" s="44"/>
      <c r="J6707" t="str">
        <f t="shared" si="208"/>
        <v/>
      </c>
      <c r="K6707" t="str">
        <f t="shared" si="209"/>
        <v/>
      </c>
    </row>
    <row r="6708" spans="7:11" x14ac:dyDescent="0.2">
      <c r="G6708" s="44"/>
      <c r="J6708" t="str">
        <f t="shared" si="208"/>
        <v/>
      </c>
      <c r="K6708" t="str">
        <f t="shared" si="209"/>
        <v/>
      </c>
    </row>
    <row r="6709" spans="7:11" x14ac:dyDescent="0.2">
      <c r="G6709" s="44"/>
      <c r="J6709" t="str">
        <f t="shared" si="208"/>
        <v/>
      </c>
      <c r="K6709" t="str">
        <f t="shared" si="209"/>
        <v/>
      </c>
    </row>
    <row r="6710" spans="7:11" x14ac:dyDescent="0.2">
      <c r="G6710" s="44"/>
      <c r="J6710" t="str">
        <f t="shared" si="208"/>
        <v/>
      </c>
      <c r="K6710" t="str">
        <f t="shared" si="209"/>
        <v/>
      </c>
    </row>
    <row r="6711" spans="7:11" x14ac:dyDescent="0.2">
      <c r="G6711" s="44"/>
      <c r="J6711" t="str">
        <f t="shared" si="208"/>
        <v/>
      </c>
      <c r="K6711" t="str">
        <f t="shared" si="209"/>
        <v/>
      </c>
    </row>
    <row r="6712" spans="7:11" x14ac:dyDescent="0.2">
      <c r="G6712" s="44"/>
      <c r="J6712" t="str">
        <f t="shared" si="208"/>
        <v/>
      </c>
      <c r="K6712" t="str">
        <f t="shared" si="209"/>
        <v/>
      </c>
    </row>
    <row r="6713" spans="7:11" x14ac:dyDescent="0.2">
      <c r="G6713" s="44"/>
      <c r="J6713" t="str">
        <f t="shared" si="208"/>
        <v/>
      </c>
      <c r="K6713" t="str">
        <f t="shared" si="209"/>
        <v/>
      </c>
    </row>
    <row r="6714" spans="7:11" x14ac:dyDescent="0.2">
      <c r="G6714" s="44"/>
      <c r="J6714" t="str">
        <f t="shared" si="208"/>
        <v/>
      </c>
      <c r="K6714" t="str">
        <f t="shared" si="209"/>
        <v/>
      </c>
    </row>
    <row r="6715" spans="7:11" x14ac:dyDescent="0.2">
      <c r="G6715" s="44"/>
      <c r="J6715" t="str">
        <f t="shared" si="208"/>
        <v/>
      </c>
      <c r="K6715" t="str">
        <f t="shared" si="209"/>
        <v/>
      </c>
    </row>
    <row r="6716" spans="7:11" x14ac:dyDescent="0.2">
      <c r="G6716" s="44"/>
      <c r="J6716" t="str">
        <f t="shared" si="208"/>
        <v/>
      </c>
      <c r="K6716" t="str">
        <f t="shared" si="209"/>
        <v/>
      </c>
    </row>
    <row r="6717" spans="7:11" x14ac:dyDescent="0.2">
      <c r="G6717" s="44"/>
      <c r="J6717" t="str">
        <f t="shared" si="208"/>
        <v/>
      </c>
      <c r="K6717" t="str">
        <f t="shared" si="209"/>
        <v/>
      </c>
    </row>
    <row r="6718" spans="7:11" x14ac:dyDescent="0.2">
      <c r="G6718" s="44"/>
      <c r="J6718" t="str">
        <f t="shared" si="208"/>
        <v/>
      </c>
      <c r="K6718" t="str">
        <f t="shared" si="209"/>
        <v/>
      </c>
    </row>
    <row r="6719" spans="7:11" x14ac:dyDescent="0.2">
      <c r="G6719" s="44"/>
      <c r="J6719" t="str">
        <f t="shared" si="208"/>
        <v/>
      </c>
      <c r="K6719" t="str">
        <f t="shared" si="209"/>
        <v/>
      </c>
    </row>
    <row r="6720" spans="7:11" x14ac:dyDescent="0.2">
      <c r="G6720" s="44"/>
      <c r="J6720" t="str">
        <f t="shared" si="208"/>
        <v/>
      </c>
      <c r="K6720" t="str">
        <f t="shared" si="209"/>
        <v/>
      </c>
    </row>
    <row r="6721" spans="7:11" x14ac:dyDescent="0.2">
      <c r="G6721" s="44"/>
      <c r="J6721" t="str">
        <f t="shared" si="208"/>
        <v/>
      </c>
      <c r="K6721" t="str">
        <f t="shared" si="209"/>
        <v/>
      </c>
    </row>
    <row r="6722" spans="7:11" x14ac:dyDescent="0.2">
      <c r="G6722" s="44"/>
      <c r="J6722" t="str">
        <f t="shared" ref="J6722:J6785" si="210">IF(E6722="","",IF(OR(E6722=50,E6722=51),"Iltindhold",IF(E6722=75,"Carbon,org,NVOC",IF(OR(E6722=343,E6722=1167),"Svovlbrinte",IF(OR(E6722=240,E6722=241,E6722=242),"Amm",IF(E6722=244,"Nitrit",IF(E6722=247,"Nitrat",IF(E6722=334,"Sulfat",IF(E6722=262,"Phosphor, total-P",F6722)))))))))</f>
        <v/>
      </c>
      <c r="K6722" t="str">
        <f t="shared" ref="K6722:K6785" si="211">IF(A6722="","",IF(H6722="!",NA(),IF(H6722="A",I6722*0.5,IF(H6722="&lt;",I6722*0.5,I6722))))</f>
        <v/>
      </c>
    </row>
    <row r="6723" spans="7:11" x14ac:dyDescent="0.2">
      <c r="G6723" s="44"/>
      <c r="J6723" t="str">
        <f t="shared" si="210"/>
        <v/>
      </c>
      <c r="K6723" t="str">
        <f t="shared" si="211"/>
        <v/>
      </c>
    </row>
    <row r="6724" spans="7:11" x14ac:dyDescent="0.2">
      <c r="G6724" s="44"/>
      <c r="J6724" t="str">
        <f t="shared" si="210"/>
        <v/>
      </c>
      <c r="K6724" t="str">
        <f t="shared" si="211"/>
        <v/>
      </c>
    </row>
    <row r="6725" spans="7:11" x14ac:dyDescent="0.2">
      <c r="G6725" s="44"/>
      <c r="J6725" t="str">
        <f t="shared" si="210"/>
        <v/>
      </c>
      <c r="K6725" t="str">
        <f t="shared" si="211"/>
        <v/>
      </c>
    </row>
    <row r="6726" spans="7:11" x14ac:dyDescent="0.2">
      <c r="G6726" s="44"/>
      <c r="J6726" t="str">
        <f t="shared" si="210"/>
        <v/>
      </c>
      <c r="K6726" t="str">
        <f t="shared" si="211"/>
        <v/>
      </c>
    </row>
    <row r="6727" spans="7:11" x14ac:dyDescent="0.2">
      <c r="G6727" s="44"/>
      <c r="J6727" t="str">
        <f t="shared" si="210"/>
        <v/>
      </c>
      <c r="K6727" t="str">
        <f t="shared" si="211"/>
        <v/>
      </c>
    </row>
    <row r="6728" spans="7:11" x14ac:dyDescent="0.2">
      <c r="G6728" s="44"/>
      <c r="J6728" t="str">
        <f t="shared" si="210"/>
        <v/>
      </c>
      <c r="K6728" t="str">
        <f t="shared" si="211"/>
        <v/>
      </c>
    </row>
    <row r="6729" spans="7:11" x14ac:dyDescent="0.2">
      <c r="G6729" s="44"/>
      <c r="J6729" t="str">
        <f t="shared" si="210"/>
        <v/>
      </c>
      <c r="K6729" t="str">
        <f t="shared" si="211"/>
        <v/>
      </c>
    </row>
    <row r="6730" spans="7:11" x14ac:dyDescent="0.2">
      <c r="G6730" s="44"/>
      <c r="J6730" t="str">
        <f t="shared" si="210"/>
        <v/>
      </c>
      <c r="K6730" t="str">
        <f t="shared" si="211"/>
        <v/>
      </c>
    </row>
    <row r="6731" spans="7:11" x14ac:dyDescent="0.2">
      <c r="G6731" s="44"/>
      <c r="J6731" t="str">
        <f t="shared" si="210"/>
        <v/>
      </c>
      <c r="K6731" t="str">
        <f t="shared" si="211"/>
        <v/>
      </c>
    </row>
    <row r="6732" spans="7:11" x14ac:dyDescent="0.2">
      <c r="G6732" s="44"/>
      <c r="J6732" t="str">
        <f t="shared" si="210"/>
        <v/>
      </c>
      <c r="K6732" t="str">
        <f t="shared" si="211"/>
        <v/>
      </c>
    </row>
    <row r="6733" spans="7:11" x14ac:dyDescent="0.2">
      <c r="G6733" s="44"/>
      <c r="J6733" t="str">
        <f t="shared" si="210"/>
        <v/>
      </c>
      <c r="K6733" t="str">
        <f t="shared" si="211"/>
        <v/>
      </c>
    </row>
    <row r="6734" spans="7:11" x14ac:dyDescent="0.2">
      <c r="G6734" s="44"/>
      <c r="J6734" t="str">
        <f t="shared" si="210"/>
        <v/>
      </c>
      <c r="K6734" t="str">
        <f t="shared" si="211"/>
        <v/>
      </c>
    </row>
    <row r="6735" spans="7:11" x14ac:dyDescent="0.2">
      <c r="G6735" s="44"/>
      <c r="J6735" t="str">
        <f t="shared" si="210"/>
        <v/>
      </c>
      <c r="K6735" t="str">
        <f t="shared" si="211"/>
        <v/>
      </c>
    </row>
    <row r="6736" spans="7:11" x14ac:dyDescent="0.2">
      <c r="G6736" s="44"/>
      <c r="J6736" t="str">
        <f t="shared" si="210"/>
        <v/>
      </c>
      <c r="K6736" t="str">
        <f t="shared" si="211"/>
        <v/>
      </c>
    </row>
    <row r="6737" spans="7:11" x14ac:dyDescent="0.2">
      <c r="G6737" s="44"/>
      <c r="J6737" t="str">
        <f t="shared" si="210"/>
        <v/>
      </c>
      <c r="K6737" t="str">
        <f t="shared" si="211"/>
        <v/>
      </c>
    </row>
    <row r="6738" spans="7:11" x14ac:dyDescent="0.2">
      <c r="G6738" s="44"/>
      <c r="J6738" t="str">
        <f t="shared" si="210"/>
        <v/>
      </c>
      <c r="K6738" t="str">
        <f t="shared" si="211"/>
        <v/>
      </c>
    </row>
    <row r="6739" spans="7:11" x14ac:dyDescent="0.2">
      <c r="G6739" s="44"/>
      <c r="J6739" t="str">
        <f t="shared" si="210"/>
        <v/>
      </c>
      <c r="K6739" t="str">
        <f t="shared" si="211"/>
        <v/>
      </c>
    </row>
    <row r="6740" spans="7:11" x14ac:dyDescent="0.2">
      <c r="G6740" s="44"/>
      <c r="J6740" t="str">
        <f t="shared" si="210"/>
        <v/>
      </c>
      <c r="K6740" t="str">
        <f t="shared" si="211"/>
        <v/>
      </c>
    </row>
    <row r="6741" spans="7:11" x14ac:dyDescent="0.2">
      <c r="G6741" s="44"/>
      <c r="J6741" t="str">
        <f t="shared" si="210"/>
        <v/>
      </c>
      <c r="K6741" t="str">
        <f t="shared" si="211"/>
        <v/>
      </c>
    </row>
    <row r="6742" spans="7:11" x14ac:dyDescent="0.2">
      <c r="G6742" s="44"/>
      <c r="J6742" t="str">
        <f t="shared" si="210"/>
        <v/>
      </c>
      <c r="K6742" t="str">
        <f t="shared" si="211"/>
        <v/>
      </c>
    </row>
    <row r="6743" spans="7:11" x14ac:dyDescent="0.2">
      <c r="G6743" s="44"/>
      <c r="J6743" t="str">
        <f t="shared" si="210"/>
        <v/>
      </c>
      <c r="K6743" t="str">
        <f t="shared" si="211"/>
        <v/>
      </c>
    </row>
    <row r="6744" spans="7:11" x14ac:dyDescent="0.2">
      <c r="G6744" s="44"/>
      <c r="J6744" t="str">
        <f t="shared" si="210"/>
        <v/>
      </c>
      <c r="K6744" t="str">
        <f t="shared" si="211"/>
        <v/>
      </c>
    </row>
    <row r="6745" spans="7:11" x14ac:dyDescent="0.2">
      <c r="G6745" s="44"/>
      <c r="J6745" t="str">
        <f t="shared" si="210"/>
        <v/>
      </c>
      <c r="K6745" t="str">
        <f t="shared" si="211"/>
        <v/>
      </c>
    </row>
    <row r="6746" spans="7:11" x14ac:dyDescent="0.2">
      <c r="G6746" s="44"/>
      <c r="J6746" t="str">
        <f t="shared" si="210"/>
        <v/>
      </c>
      <c r="K6746" t="str">
        <f t="shared" si="211"/>
        <v/>
      </c>
    </row>
    <row r="6747" spans="7:11" x14ac:dyDescent="0.2">
      <c r="G6747" s="44"/>
      <c r="J6747" t="str">
        <f t="shared" si="210"/>
        <v/>
      </c>
      <c r="K6747" t="str">
        <f t="shared" si="211"/>
        <v/>
      </c>
    </row>
    <row r="6748" spans="7:11" x14ac:dyDescent="0.2">
      <c r="G6748" s="44"/>
      <c r="J6748" t="str">
        <f t="shared" si="210"/>
        <v/>
      </c>
      <c r="K6748" t="str">
        <f t="shared" si="211"/>
        <v/>
      </c>
    </row>
    <row r="6749" spans="7:11" x14ac:dyDescent="0.2">
      <c r="G6749" s="44"/>
      <c r="J6749" t="str">
        <f t="shared" si="210"/>
        <v/>
      </c>
      <c r="K6749" t="str">
        <f t="shared" si="211"/>
        <v/>
      </c>
    </row>
    <row r="6750" spans="7:11" x14ac:dyDescent="0.2">
      <c r="G6750" s="44"/>
      <c r="J6750" t="str">
        <f t="shared" si="210"/>
        <v/>
      </c>
      <c r="K6750" t="str">
        <f t="shared" si="211"/>
        <v/>
      </c>
    </row>
    <row r="6751" spans="7:11" x14ac:dyDescent="0.2">
      <c r="G6751" s="44"/>
      <c r="J6751" t="str">
        <f t="shared" si="210"/>
        <v/>
      </c>
      <c r="K6751" t="str">
        <f t="shared" si="211"/>
        <v/>
      </c>
    </row>
    <row r="6752" spans="7:11" x14ac:dyDescent="0.2">
      <c r="G6752" s="44"/>
      <c r="J6752" t="str">
        <f t="shared" si="210"/>
        <v/>
      </c>
      <c r="K6752" t="str">
        <f t="shared" si="211"/>
        <v/>
      </c>
    </row>
    <row r="6753" spans="7:11" x14ac:dyDescent="0.2">
      <c r="G6753" s="44"/>
      <c r="J6753" t="str">
        <f t="shared" si="210"/>
        <v/>
      </c>
      <c r="K6753" t="str">
        <f t="shared" si="211"/>
        <v/>
      </c>
    </row>
    <row r="6754" spans="7:11" x14ac:dyDescent="0.2">
      <c r="G6754" s="44"/>
      <c r="J6754" t="str">
        <f t="shared" si="210"/>
        <v/>
      </c>
      <c r="K6754" t="str">
        <f t="shared" si="211"/>
        <v/>
      </c>
    </row>
    <row r="6755" spans="7:11" x14ac:dyDescent="0.2">
      <c r="G6755" s="44"/>
      <c r="J6755" t="str">
        <f t="shared" si="210"/>
        <v/>
      </c>
      <c r="K6755" t="str">
        <f t="shared" si="211"/>
        <v/>
      </c>
    </row>
    <row r="6756" spans="7:11" x14ac:dyDescent="0.2">
      <c r="G6756" s="44"/>
      <c r="J6756" t="str">
        <f t="shared" si="210"/>
        <v/>
      </c>
      <c r="K6756" t="str">
        <f t="shared" si="211"/>
        <v/>
      </c>
    </row>
    <row r="6757" spans="7:11" x14ac:dyDescent="0.2">
      <c r="G6757" s="44"/>
      <c r="J6757" t="str">
        <f t="shared" si="210"/>
        <v/>
      </c>
      <c r="K6757" t="str">
        <f t="shared" si="211"/>
        <v/>
      </c>
    </row>
    <row r="6758" spans="7:11" x14ac:dyDescent="0.2">
      <c r="G6758" s="44"/>
      <c r="J6758" t="str">
        <f t="shared" si="210"/>
        <v/>
      </c>
      <c r="K6758" t="str">
        <f t="shared" si="211"/>
        <v/>
      </c>
    </row>
    <row r="6759" spans="7:11" x14ac:dyDescent="0.2">
      <c r="G6759" s="44"/>
      <c r="J6759" t="str">
        <f t="shared" si="210"/>
        <v/>
      </c>
      <c r="K6759" t="str">
        <f t="shared" si="211"/>
        <v/>
      </c>
    </row>
    <row r="6760" spans="7:11" x14ac:dyDescent="0.2">
      <c r="G6760" s="44"/>
      <c r="J6760" t="str">
        <f t="shared" si="210"/>
        <v/>
      </c>
      <c r="K6760" t="str">
        <f t="shared" si="211"/>
        <v/>
      </c>
    </row>
    <row r="6761" spans="7:11" x14ac:dyDescent="0.2">
      <c r="G6761" s="44"/>
      <c r="J6761" t="str">
        <f t="shared" si="210"/>
        <v/>
      </c>
      <c r="K6761" t="str">
        <f t="shared" si="211"/>
        <v/>
      </c>
    </row>
    <row r="6762" spans="7:11" x14ac:dyDescent="0.2">
      <c r="G6762" s="44"/>
      <c r="J6762" t="str">
        <f t="shared" si="210"/>
        <v/>
      </c>
      <c r="K6762" t="str">
        <f t="shared" si="211"/>
        <v/>
      </c>
    </row>
    <row r="6763" spans="7:11" x14ac:dyDescent="0.2">
      <c r="G6763" s="44"/>
      <c r="J6763" t="str">
        <f t="shared" si="210"/>
        <v/>
      </c>
      <c r="K6763" t="str">
        <f t="shared" si="211"/>
        <v/>
      </c>
    </row>
    <row r="6764" spans="7:11" x14ac:dyDescent="0.2">
      <c r="G6764" s="44"/>
      <c r="J6764" t="str">
        <f t="shared" si="210"/>
        <v/>
      </c>
      <c r="K6764" t="str">
        <f t="shared" si="211"/>
        <v/>
      </c>
    </row>
    <row r="6765" spans="7:11" x14ac:dyDescent="0.2">
      <c r="G6765" s="44"/>
      <c r="J6765" t="str">
        <f t="shared" si="210"/>
        <v/>
      </c>
      <c r="K6765" t="str">
        <f t="shared" si="211"/>
        <v/>
      </c>
    </row>
    <row r="6766" spans="7:11" x14ac:dyDescent="0.2">
      <c r="G6766" s="44"/>
      <c r="J6766" t="str">
        <f t="shared" si="210"/>
        <v/>
      </c>
      <c r="K6766" t="str">
        <f t="shared" si="211"/>
        <v/>
      </c>
    </row>
    <row r="6767" spans="7:11" x14ac:dyDescent="0.2">
      <c r="G6767" s="44"/>
      <c r="J6767" t="str">
        <f t="shared" si="210"/>
        <v/>
      </c>
      <c r="K6767" t="str">
        <f t="shared" si="211"/>
        <v/>
      </c>
    </row>
    <row r="6768" spans="7:11" x14ac:dyDescent="0.2">
      <c r="G6768" s="44"/>
      <c r="J6768" t="str">
        <f t="shared" si="210"/>
        <v/>
      </c>
      <c r="K6768" t="str">
        <f t="shared" si="211"/>
        <v/>
      </c>
    </row>
    <row r="6769" spans="7:11" x14ac:dyDescent="0.2">
      <c r="G6769" s="44"/>
      <c r="J6769" t="str">
        <f t="shared" si="210"/>
        <v/>
      </c>
      <c r="K6769" t="str">
        <f t="shared" si="211"/>
        <v/>
      </c>
    </row>
    <row r="6770" spans="7:11" x14ac:dyDescent="0.2">
      <c r="G6770" s="44"/>
      <c r="J6770" t="str">
        <f t="shared" si="210"/>
        <v/>
      </c>
      <c r="K6770" t="str">
        <f t="shared" si="211"/>
        <v/>
      </c>
    </row>
    <row r="6771" spans="7:11" x14ac:dyDescent="0.2">
      <c r="G6771" s="44"/>
      <c r="J6771" t="str">
        <f t="shared" si="210"/>
        <v/>
      </c>
      <c r="K6771" t="str">
        <f t="shared" si="211"/>
        <v/>
      </c>
    </row>
    <row r="6772" spans="7:11" x14ac:dyDescent="0.2">
      <c r="G6772" s="44"/>
      <c r="J6772" t="str">
        <f t="shared" si="210"/>
        <v/>
      </c>
      <c r="K6772" t="str">
        <f t="shared" si="211"/>
        <v/>
      </c>
    </row>
    <row r="6773" spans="7:11" x14ac:dyDescent="0.2">
      <c r="G6773" s="44"/>
      <c r="J6773" t="str">
        <f t="shared" si="210"/>
        <v/>
      </c>
      <c r="K6773" t="str">
        <f t="shared" si="211"/>
        <v/>
      </c>
    </row>
    <row r="6774" spans="7:11" x14ac:dyDescent="0.2">
      <c r="G6774" s="44"/>
      <c r="J6774" t="str">
        <f t="shared" si="210"/>
        <v/>
      </c>
      <c r="K6774" t="str">
        <f t="shared" si="211"/>
        <v/>
      </c>
    </row>
    <row r="6775" spans="7:11" x14ac:dyDescent="0.2">
      <c r="G6775" s="44"/>
      <c r="J6775" t="str">
        <f t="shared" si="210"/>
        <v/>
      </c>
      <c r="K6775" t="str">
        <f t="shared" si="211"/>
        <v/>
      </c>
    </row>
    <row r="6776" spans="7:11" x14ac:dyDescent="0.2">
      <c r="G6776" s="44"/>
      <c r="J6776" t="str">
        <f t="shared" si="210"/>
        <v/>
      </c>
      <c r="K6776" t="str">
        <f t="shared" si="211"/>
        <v/>
      </c>
    </row>
    <row r="6777" spans="7:11" x14ac:dyDescent="0.2">
      <c r="G6777" s="44"/>
      <c r="J6777" t="str">
        <f t="shared" si="210"/>
        <v/>
      </c>
      <c r="K6777" t="str">
        <f t="shared" si="211"/>
        <v/>
      </c>
    </row>
    <row r="6778" spans="7:11" x14ac:dyDescent="0.2">
      <c r="G6778" s="44"/>
      <c r="J6778" t="str">
        <f t="shared" si="210"/>
        <v/>
      </c>
      <c r="K6778" t="str">
        <f t="shared" si="211"/>
        <v/>
      </c>
    </row>
    <row r="6779" spans="7:11" x14ac:dyDescent="0.2">
      <c r="G6779" s="44"/>
      <c r="J6779" t="str">
        <f t="shared" si="210"/>
        <v/>
      </c>
      <c r="K6779" t="str">
        <f t="shared" si="211"/>
        <v/>
      </c>
    </row>
    <row r="6780" spans="7:11" x14ac:dyDescent="0.2">
      <c r="G6780" s="44"/>
      <c r="J6780" t="str">
        <f t="shared" si="210"/>
        <v/>
      </c>
      <c r="K6780" t="str">
        <f t="shared" si="211"/>
        <v/>
      </c>
    </row>
    <row r="6781" spans="7:11" x14ac:dyDescent="0.2">
      <c r="G6781" s="44"/>
      <c r="J6781" t="str">
        <f t="shared" si="210"/>
        <v/>
      </c>
      <c r="K6781" t="str">
        <f t="shared" si="211"/>
        <v/>
      </c>
    </row>
    <row r="6782" spans="7:11" x14ac:dyDescent="0.2">
      <c r="G6782" s="44"/>
      <c r="J6782" t="str">
        <f t="shared" si="210"/>
        <v/>
      </c>
      <c r="K6782" t="str">
        <f t="shared" si="211"/>
        <v/>
      </c>
    </row>
    <row r="6783" spans="7:11" x14ac:dyDescent="0.2">
      <c r="G6783" s="44"/>
      <c r="J6783" t="str">
        <f t="shared" si="210"/>
        <v/>
      </c>
      <c r="K6783" t="str">
        <f t="shared" si="211"/>
        <v/>
      </c>
    </row>
    <row r="6784" spans="7:11" x14ac:dyDescent="0.2">
      <c r="G6784" s="44"/>
      <c r="J6784" t="str">
        <f t="shared" si="210"/>
        <v/>
      </c>
      <c r="K6784" t="str">
        <f t="shared" si="211"/>
        <v/>
      </c>
    </row>
    <row r="6785" spans="7:11" x14ac:dyDescent="0.2">
      <c r="G6785" s="44"/>
      <c r="J6785" t="str">
        <f t="shared" si="210"/>
        <v/>
      </c>
      <c r="K6785" t="str">
        <f t="shared" si="211"/>
        <v/>
      </c>
    </row>
    <row r="6786" spans="7:11" x14ac:dyDescent="0.2">
      <c r="G6786" s="44"/>
      <c r="J6786" t="str">
        <f t="shared" ref="J6786:J6849" si="212">IF(E6786="","",IF(OR(E6786=50,E6786=51),"Iltindhold",IF(E6786=75,"Carbon,org,NVOC",IF(OR(E6786=343,E6786=1167),"Svovlbrinte",IF(OR(E6786=240,E6786=241,E6786=242),"Amm",IF(E6786=244,"Nitrit",IF(E6786=247,"Nitrat",IF(E6786=334,"Sulfat",IF(E6786=262,"Phosphor, total-P",F6786)))))))))</f>
        <v/>
      </c>
      <c r="K6786" t="str">
        <f t="shared" ref="K6786:K6849" si="213">IF(A6786="","",IF(H6786="!",NA(),IF(H6786="A",I6786*0.5,IF(H6786="&lt;",I6786*0.5,I6786))))</f>
        <v/>
      </c>
    </row>
    <row r="6787" spans="7:11" x14ac:dyDescent="0.2">
      <c r="G6787" s="44"/>
      <c r="J6787" t="str">
        <f t="shared" si="212"/>
        <v/>
      </c>
      <c r="K6787" t="str">
        <f t="shared" si="213"/>
        <v/>
      </c>
    </row>
    <row r="6788" spans="7:11" x14ac:dyDescent="0.2">
      <c r="G6788" s="44"/>
      <c r="J6788" t="str">
        <f t="shared" si="212"/>
        <v/>
      </c>
      <c r="K6788" t="str">
        <f t="shared" si="213"/>
        <v/>
      </c>
    </row>
    <row r="6789" spans="7:11" x14ac:dyDescent="0.2">
      <c r="G6789" s="44"/>
      <c r="J6789" t="str">
        <f t="shared" si="212"/>
        <v/>
      </c>
      <c r="K6789" t="str">
        <f t="shared" si="213"/>
        <v/>
      </c>
    </row>
    <row r="6790" spans="7:11" x14ac:dyDescent="0.2">
      <c r="G6790" s="44"/>
      <c r="J6790" t="str">
        <f t="shared" si="212"/>
        <v/>
      </c>
      <c r="K6790" t="str">
        <f t="shared" si="213"/>
        <v/>
      </c>
    </row>
    <row r="6791" spans="7:11" x14ac:dyDescent="0.2">
      <c r="G6791" s="44"/>
      <c r="J6791" t="str">
        <f t="shared" si="212"/>
        <v/>
      </c>
      <c r="K6791" t="str">
        <f t="shared" si="213"/>
        <v/>
      </c>
    </row>
    <row r="6792" spans="7:11" x14ac:dyDescent="0.2">
      <c r="G6792" s="44"/>
      <c r="J6792" t="str">
        <f t="shared" si="212"/>
        <v/>
      </c>
      <c r="K6792" t="str">
        <f t="shared" si="213"/>
        <v/>
      </c>
    </row>
    <row r="6793" spans="7:11" x14ac:dyDescent="0.2">
      <c r="G6793" s="44"/>
      <c r="J6793" t="str">
        <f t="shared" si="212"/>
        <v/>
      </c>
      <c r="K6793" t="str">
        <f t="shared" si="213"/>
        <v/>
      </c>
    </row>
    <row r="6794" spans="7:11" x14ac:dyDescent="0.2">
      <c r="G6794" s="44"/>
      <c r="J6794" t="str">
        <f t="shared" si="212"/>
        <v/>
      </c>
      <c r="K6794" t="str">
        <f t="shared" si="213"/>
        <v/>
      </c>
    </row>
    <row r="6795" spans="7:11" x14ac:dyDescent="0.2">
      <c r="G6795" s="44"/>
      <c r="J6795" t="str">
        <f t="shared" si="212"/>
        <v/>
      </c>
      <c r="K6795" t="str">
        <f t="shared" si="213"/>
        <v/>
      </c>
    </row>
    <row r="6796" spans="7:11" x14ac:dyDescent="0.2">
      <c r="G6796" s="44"/>
      <c r="J6796" t="str">
        <f t="shared" si="212"/>
        <v/>
      </c>
      <c r="K6796" t="str">
        <f t="shared" si="213"/>
        <v/>
      </c>
    </row>
    <row r="6797" spans="7:11" x14ac:dyDescent="0.2">
      <c r="G6797" s="44"/>
      <c r="J6797" t="str">
        <f t="shared" si="212"/>
        <v/>
      </c>
      <c r="K6797" t="str">
        <f t="shared" si="213"/>
        <v/>
      </c>
    </row>
    <row r="6798" spans="7:11" x14ac:dyDescent="0.2">
      <c r="G6798" s="44"/>
      <c r="J6798" t="str">
        <f t="shared" si="212"/>
        <v/>
      </c>
      <c r="K6798" t="str">
        <f t="shared" si="213"/>
        <v/>
      </c>
    </row>
    <row r="6799" spans="7:11" x14ac:dyDescent="0.2">
      <c r="G6799" s="44"/>
      <c r="J6799" t="str">
        <f t="shared" si="212"/>
        <v/>
      </c>
      <c r="K6799" t="str">
        <f t="shared" si="213"/>
        <v/>
      </c>
    </row>
    <row r="6800" spans="7:11" x14ac:dyDescent="0.2">
      <c r="G6800" s="44"/>
      <c r="J6800" t="str">
        <f t="shared" si="212"/>
        <v/>
      </c>
      <c r="K6800" t="str">
        <f t="shared" si="213"/>
        <v/>
      </c>
    </row>
    <row r="6801" spans="7:11" x14ac:dyDescent="0.2">
      <c r="G6801" s="44"/>
      <c r="J6801" t="str">
        <f t="shared" si="212"/>
        <v/>
      </c>
      <c r="K6801" t="str">
        <f t="shared" si="213"/>
        <v/>
      </c>
    </row>
    <row r="6802" spans="7:11" x14ac:dyDescent="0.2">
      <c r="G6802" s="44"/>
      <c r="J6802" t="str">
        <f t="shared" si="212"/>
        <v/>
      </c>
      <c r="K6802" t="str">
        <f t="shared" si="213"/>
        <v/>
      </c>
    </row>
    <row r="6803" spans="7:11" x14ac:dyDescent="0.2">
      <c r="G6803" s="44"/>
      <c r="J6803" t="str">
        <f t="shared" si="212"/>
        <v/>
      </c>
      <c r="K6803" t="str">
        <f t="shared" si="213"/>
        <v/>
      </c>
    </row>
    <row r="6804" spans="7:11" x14ac:dyDescent="0.2">
      <c r="G6804" s="44"/>
      <c r="J6804" t="str">
        <f t="shared" si="212"/>
        <v/>
      </c>
      <c r="K6804" t="str">
        <f t="shared" si="213"/>
        <v/>
      </c>
    </row>
    <row r="6805" spans="7:11" x14ac:dyDescent="0.2">
      <c r="G6805" s="44"/>
      <c r="J6805" t="str">
        <f t="shared" si="212"/>
        <v/>
      </c>
      <c r="K6805" t="str">
        <f t="shared" si="213"/>
        <v/>
      </c>
    </row>
    <row r="6806" spans="7:11" x14ac:dyDescent="0.2">
      <c r="G6806" s="44"/>
      <c r="J6806" t="str">
        <f t="shared" si="212"/>
        <v/>
      </c>
      <c r="K6806" t="str">
        <f t="shared" si="213"/>
        <v/>
      </c>
    </row>
    <row r="6807" spans="7:11" x14ac:dyDescent="0.2">
      <c r="G6807" s="44"/>
      <c r="J6807" t="str">
        <f t="shared" si="212"/>
        <v/>
      </c>
      <c r="K6807" t="str">
        <f t="shared" si="213"/>
        <v/>
      </c>
    </row>
    <row r="6808" spans="7:11" x14ac:dyDescent="0.2">
      <c r="G6808" s="44"/>
      <c r="J6808" t="str">
        <f t="shared" si="212"/>
        <v/>
      </c>
      <c r="K6808" t="str">
        <f t="shared" si="213"/>
        <v/>
      </c>
    </row>
    <row r="6809" spans="7:11" x14ac:dyDescent="0.2">
      <c r="G6809" s="44"/>
      <c r="J6809" t="str">
        <f t="shared" si="212"/>
        <v/>
      </c>
      <c r="K6809" t="str">
        <f t="shared" si="213"/>
        <v/>
      </c>
    </row>
    <row r="6810" spans="7:11" x14ac:dyDescent="0.2">
      <c r="G6810" s="44"/>
      <c r="J6810" t="str">
        <f t="shared" si="212"/>
        <v/>
      </c>
      <c r="K6810" t="str">
        <f t="shared" si="213"/>
        <v/>
      </c>
    </row>
    <row r="6811" spans="7:11" x14ac:dyDescent="0.2">
      <c r="G6811" s="44"/>
      <c r="J6811" t="str">
        <f t="shared" si="212"/>
        <v/>
      </c>
      <c r="K6811" t="str">
        <f t="shared" si="213"/>
        <v/>
      </c>
    </row>
    <row r="6812" spans="7:11" x14ac:dyDescent="0.2">
      <c r="G6812" s="44"/>
      <c r="J6812" t="str">
        <f t="shared" si="212"/>
        <v/>
      </c>
      <c r="K6812" t="str">
        <f t="shared" si="213"/>
        <v/>
      </c>
    </row>
    <row r="6813" spans="7:11" x14ac:dyDescent="0.2">
      <c r="G6813" s="44"/>
      <c r="J6813" t="str">
        <f t="shared" si="212"/>
        <v/>
      </c>
      <c r="K6813" t="str">
        <f t="shared" si="213"/>
        <v/>
      </c>
    </row>
    <row r="6814" spans="7:11" x14ac:dyDescent="0.2">
      <c r="G6814" s="44"/>
      <c r="J6814" t="str">
        <f t="shared" si="212"/>
        <v/>
      </c>
      <c r="K6814" t="str">
        <f t="shared" si="213"/>
        <v/>
      </c>
    </row>
    <row r="6815" spans="7:11" x14ac:dyDescent="0.2">
      <c r="G6815" s="44"/>
      <c r="J6815" t="str">
        <f t="shared" si="212"/>
        <v/>
      </c>
      <c r="K6815" t="str">
        <f t="shared" si="213"/>
        <v/>
      </c>
    </row>
    <row r="6816" spans="7:11" x14ac:dyDescent="0.2">
      <c r="G6816" s="44"/>
      <c r="J6816" t="str">
        <f t="shared" si="212"/>
        <v/>
      </c>
      <c r="K6816" t="str">
        <f t="shared" si="213"/>
        <v/>
      </c>
    </row>
    <row r="6817" spans="7:11" x14ac:dyDescent="0.2">
      <c r="G6817" s="44"/>
      <c r="J6817" t="str">
        <f t="shared" si="212"/>
        <v/>
      </c>
      <c r="K6817" t="str">
        <f t="shared" si="213"/>
        <v/>
      </c>
    </row>
    <row r="6818" spans="7:11" x14ac:dyDescent="0.2">
      <c r="G6818" s="44"/>
      <c r="J6818" t="str">
        <f t="shared" si="212"/>
        <v/>
      </c>
      <c r="K6818" t="str">
        <f t="shared" si="213"/>
        <v/>
      </c>
    </row>
    <row r="6819" spans="7:11" x14ac:dyDescent="0.2">
      <c r="G6819" s="44"/>
      <c r="J6819" t="str">
        <f t="shared" si="212"/>
        <v/>
      </c>
      <c r="K6819" t="str">
        <f t="shared" si="213"/>
        <v/>
      </c>
    </row>
    <row r="6820" spans="7:11" x14ac:dyDescent="0.2">
      <c r="G6820" s="44"/>
      <c r="J6820" t="str">
        <f t="shared" si="212"/>
        <v/>
      </c>
      <c r="K6820" t="str">
        <f t="shared" si="213"/>
        <v/>
      </c>
    </row>
    <row r="6821" spans="7:11" x14ac:dyDescent="0.2">
      <c r="G6821" s="44"/>
      <c r="J6821" t="str">
        <f t="shared" si="212"/>
        <v/>
      </c>
      <c r="K6821" t="str">
        <f t="shared" si="213"/>
        <v/>
      </c>
    </row>
    <row r="6822" spans="7:11" x14ac:dyDescent="0.2">
      <c r="G6822" s="44"/>
      <c r="J6822" t="str">
        <f t="shared" si="212"/>
        <v/>
      </c>
      <c r="K6822" t="str">
        <f t="shared" si="213"/>
        <v/>
      </c>
    </row>
    <row r="6823" spans="7:11" x14ac:dyDescent="0.2">
      <c r="G6823" s="44"/>
      <c r="J6823" t="str">
        <f t="shared" si="212"/>
        <v/>
      </c>
      <c r="K6823" t="str">
        <f t="shared" si="213"/>
        <v/>
      </c>
    </row>
    <row r="6824" spans="7:11" x14ac:dyDescent="0.2">
      <c r="G6824" s="44"/>
      <c r="J6824" t="str">
        <f t="shared" si="212"/>
        <v/>
      </c>
      <c r="K6824" t="str">
        <f t="shared" si="213"/>
        <v/>
      </c>
    </row>
    <row r="6825" spans="7:11" x14ac:dyDescent="0.2">
      <c r="G6825" s="44"/>
      <c r="J6825" t="str">
        <f t="shared" si="212"/>
        <v/>
      </c>
      <c r="K6825" t="str">
        <f t="shared" si="213"/>
        <v/>
      </c>
    </row>
    <row r="6826" spans="7:11" x14ac:dyDescent="0.2">
      <c r="G6826" s="44"/>
      <c r="J6826" t="str">
        <f t="shared" si="212"/>
        <v/>
      </c>
      <c r="K6826" t="str">
        <f t="shared" si="213"/>
        <v/>
      </c>
    </row>
    <row r="6827" spans="7:11" x14ac:dyDescent="0.2">
      <c r="G6827" s="44"/>
      <c r="J6827" t="str">
        <f t="shared" si="212"/>
        <v/>
      </c>
      <c r="K6827" t="str">
        <f t="shared" si="213"/>
        <v/>
      </c>
    </row>
    <row r="6828" spans="7:11" x14ac:dyDescent="0.2">
      <c r="G6828" s="44"/>
      <c r="J6828" t="str">
        <f t="shared" si="212"/>
        <v/>
      </c>
      <c r="K6828" t="str">
        <f t="shared" si="213"/>
        <v/>
      </c>
    </row>
    <row r="6829" spans="7:11" x14ac:dyDescent="0.2">
      <c r="G6829" s="44"/>
      <c r="J6829" t="str">
        <f t="shared" si="212"/>
        <v/>
      </c>
      <c r="K6829" t="str">
        <f t="shared" si="213"/>
        <v/>
      </c>
    </row>
    <row r="6830" spans="7:11" x14ac:dyDescent="0.2">
      <c r="G6830" s="44"/>
      <c r="J6830" t="str">
        <f t="shared" si="212"/>
        <v/>
      </c>
      <c r="K6830" t="str">
        <f t="shared" si="213"/>
        <v/>
      </c>
    </row>
    <row r="6831" spans="7:11" x14ac:dyDescent="0.2">
      <c r="G6831" s="44"/>
      <c r="J6831" t="str">
        <f t="shared" si="212"/>
        <v/>
      </c>
      <c r="K6831" t="str">
        <f t="shared" si="213"/>
        <v/>
      </c>
    </row>
    <row r="6832" spans="7:11" x14ac:dyDescent="0.2">
      <c r="G6832" s="44"/>
      <c r="J6832" t="str">
        <f t="shared" si="212"/>
        <v/>
      </c>
      <c r="K6832" t="str">
        <f t="shared" si="213"/>
        <v/>
      </c>
    </row>
    <row r="6833" spans="7:11" x14ac:dyDescent="0.2">
      <c r="G6833" s="44"/>
      <c r="J6833" t="str">
        <f t="shared" si="212"/>
        <v/>
      </c>
      <c r="K6833" t="str">
        <f t="shared" si="213"/>
        <v/>
      </c>
    </row>
    <row r="6834" spans="7:11" x14ac:dyDescent="0.2">
      <c r="G6834" s="44"/>
      <c r="J6834" t="str">
        <f t="shared" si="212"/>
        <v/>
      </c>
      <c r="K6834" t="str">
        <f t="shared" si="213"/>
        <v/>
      </c>
    </row>
    <row r="6835" spans="7:11" x14ac:dyDescent="0.2">
      <c r="G6835" s="44"/>
      <c r="J6835" t="str">
        <f t="shared" si="212"/>
        <v/>
      </c>
      <c r="K6835" t="str">
        <f t="shared" si="213"/>
        <v/>
      </c>
    </row>
    <row r="6836" spans="7:11" x14ac:dyDescent="0.2">
      <c r="G6836" s="44"/>
      <c r="J6836" t="str">
        <f t="shared" si="212"/>
        <v/>
      </c>
      <c r="K6836" t="str">
        <f t="shared" si="213"/>
        <v/>
      </c>
    </row>
    <row r="6837" spans="7:11" x14ac:dyDescent="0.2">
      <c r="G6837" s="44"/>
      <c r="J6837" t="str">
        <f t="shared" si="212"/>
        <v/>
      </c>
      <c r="K6837" t="str">
        <f t="shared" si="213"/>
        <v/>
      </c>
    </row>
    <row r="6838" spans="7:11" x14ac:dyDescent="0.2">
      <c r="G6838" s="44"/>
      <c r="J6838" t="str">
        <f t="shared" si="212"/>
        <v/>
      </c>
      <c r="K6838" t="str">
        <f t="shared" si="213"/>
        <v/>
      </c>
    </row>
    <row r="6839" spans="7:11" x14ac:dyDescent="0.2">
      <c r="G6839" s="44"/>
      <c r="J6839" t="str">
        <f t="shared" si="212"/>
        <v/>
      </c>
      <c r="K6839" t="str">
        <f t="shared" si="213"/>
        <v/>
      </c>
    </row>
    <row r="6840" spans="7:11" x14ac:dyDescent="0.2">
      <c r="G6840" s="44"/>
      <c r="J6840" t="str">
        <f t="shared" si="212"/>
        <v/>
      </c>
      <c r="K6840" t="str">
        <f t="shared" si="213"/>
        <v/>
      </c>
    </row>
    <row r="6841" spans="7:11" x14ac:dyDescent="0.2">
      <c r="G6841" s="44"/>
      <c r="J6841" t="str">
        <f t="shared" si="212"/>
        <v/>
      </c>
      <c r="K6841" t="str">
        <f t="shared" si="213"/>
        <v/>
      </c>
    </row>
    <row r="6842" spans="7:11" x14ac:dyDescent="0.2">
      <c r="G6842" s="44"/>
      <c r="J6842" t="str">
        <f t="shared" si="212"/>
        <v/>
      </c>
      <c r="K6842" t="str">
        <f t="shared" si="213"/>
        <v/>
      </c>
    </row>
    <row r="6843" spans="7:11" x14ac:dyDescent="0.2">
      <c r="G6843" s="44"/>
      <c r="J6843" t="str">
        <f t="shared" si="212"/>
        <v/>
      </c>
      <c r="K6843" t="str">
        <f t="shared" si="213"/>
        <v/>
      </c>
    </row>
    <row r="6844" spans="7:11" x14ac:dyDescent="0.2">
      <c r="G6844" s="44"/>
      <c r="J6844" t="str">
        <f t="shared" si="212"/>
        <v/>
      </c>
      <c r="K6844" t="str">
        <f t="shared" si="213"/>
        <v/>
      </c>
    </row>
    <row r="6845" spans="7:11" x14ac:dyDescent="0.2">
      <c r="G6845" s="44"/>
      <c r="J6845" t="str">
        <f t="shared" si="212"/>
        <v/>
      </c>
      <c r="K6845" t="str">
        <f t="shared" si="213"/>
        <v/>
      </c>
    </row>
    <row r="6846" spans="7:11" x14ac:dyDescent="0.2">
      <c r="G6846" s="44"/>
      <c r="J6846" t="str">
        <f t="shared" si="212"/>
        <v/>
      </c>
      <c r="K6846" t="str">
        <f t="shared" si="213"/>
        <v/>
      </c>
    </row>
    <row r="6847" spans="7:11" x14ac:dyDescent="0.2">
      <c r="G6847" s="44"/>
      <c r="J6847" t="str">
        <f t="shared" si="212"/>
        <v/>
      </c>
      <c r="K6847" t="str">
        <f t="shared" si="213"/>
        <v/>
      </c>
    </row>
    <row r="6848" spans="7:11" x14ac:dyDescent="0.2">
      <c r="G6848" s="44"/>
      <c r="J6848" t="str">
        <f t="shared" si="212"/>
        <v/>
      </c>
      <c r="K6848" t="str">
        <f t="shared" si="213"/>
        <v/>
      </c>
    </row>
    <row r="6849" spans="7:11" x14ac:dyDescent="0.2">
      <c r="G6849" s="44"/>
      <c r="J6849" t="str">
        <f t="shared" si="212"/>
        <v/>
      </c>
      <c r="K6849" t="str">
        <f t="shared" si="213"/>
        <v/>
      </c>
    </row>
    <row r="6850" spans="7:11" x14ac:dyDescent="0.2">
      <c r="G6850" s="44"/>
      <c r="J6850" t="str">
        <f t="shared" ref="J6850:J6913" si="214">IF(E6850="","",IF(OR(E6850=50,E6850=51),"Iltindhold",IF(E6850=75,"Carbon,org,NVOC",IF(OR(E6850=343,E6850=1167),"Svovlbrinte",IF(OR(E6850=240,E6850=241,E6850=242),"Amm",IF(E6850=244,"Nitrit",IF(E6850=247,"Nitrat",IF(E6850=334,"Sulfat",IF(E6850=262,"Phosphor, total-P",F6850)))))))))</f>
        <v/>
      </c>
      <c r="K6850" t="str">
        <f t="shared" ref="K6850:K6913" si="215">IF(A6850="","",IF(H6850="!",NA(),IF(H6850="A",I6850*0.5,IF(H6850="&lt;",I6850*0.5,I6850))))</f>
        <v/>
      </c>
    </row>
    <row r="6851" spans="7:11" x14ac:dyDescent="0.2">
      <c r="G6851" s="44"/>
      <c r="J6851" t="str">
        <f t="shared" si="214"/>
        <v/>
      </c>
      <c r="K6851" t="str">
        <f t="shared" si="215"/>
        <v/>
      </c>
    </row>
    <row r="6852" spans="7:11" x14ac:dyDescent="0.2">
      <c r="G6852" s="44"/>
      <c r="J6852" t="str">
        <f t="shared" si="214"/>
        <v/>
      </c>
      <c r="K6852" t="str">
        <f t="shared" si="215"/>
        <v/>
      </c>
    </row>
    <row r="6853" spans="7:11" x14ac:dyDescent="0.2">
      <c r="G6853" s="44"/>
      <c r="J6853" t="str">
        <f t="shared" si="214"/>
        <v/>
      </c>
      <c r="K6853" t="str">
        <f t="shared" si="215"/>
        <v/>
      </c>
    </row>
    <row r="6854" spans="7:11" x14ac:dyDescent="0.2">
      <c r="G6854" s="44"/>
      <c r="J6854" t="str">
        <f t="shared" si="214"/>
        <v/>
      </c>
      <c r="K6854" t="str">
        <f t="shared" si="215"/>
        <v/>
      </c>
    </row>
    <row r="6855" spans="7:11" x14ac:dyDescent="0.2">
      <c r="G6855" s="44"/>
      <c r="J6855" t="str">
        <f t="shared" si="214"/>
        <v/>
      </c>
      <c r="K6855" t="str">
        <f t="shared" si="215"/>
        <v/>
      </c>
    </row>
    <row r="6856" spans="7:11" x14ac:dyDescent="0.2">
      <c r="G6856" s="44"/>
      <c r="J6856" t="str">
        <f t="shared" si="214"/>
        <v/>
      </c>
      <c r="K6856" t="str">
        <f t="shared" si="215"/>
        <v/>
      </c>
    </row>
    <row r="6857" spans="7:11" x14ac:dyDescent="0.2">
      <c r="G6857" s="44"/>
      <c r="J6857" t="str">
        <f t="shared" si="214"/>
        <v/>
      </c>
      <c r="K6857" t="str">
        <f t="shared" si="215"/>
        <v/>
      </c>
    </row>
    <row r="6858" spans="7:11" x14ac:dyDescent="0.2">
      <c r="G6858" s="44"/>
      <c r="J6858" t="str">
        <f t="shared" si="214"/>
        <v/>
      </c>
      <c r="K6858" t="str">
        <f t="shared" si="215"/>
        <v/>
      </c>
    </row>
    <row r="6859" spans="7:11" x14ac:dyDescent="0.2">
      <c r="G6859" s="44"/>
      <c r="J6859" t="str">
        <f t="shared" si="214"/>
        <v/>
      </c>
      <c r="K6859" t="str">
        <f t="shared" si="215"/>
        <v/>
      </c>
    </row>
    <row r="6860" spans="7:11" x14ac:dyDescent="0.2">
      <c r="G6860" s="44"/>
      <c r="J6860" t="str">
        <f t="shared" si="214"/>
        <v/>
      </c>
      <c r="K6860" t="str">
        <f t="shared" si="215"/>
        <v/>
      </c>
    </row>
    <row r="6861" spans="7:11" x14ac:dyDescent="0.2">
      <c r="G6861" s="44"/>
      <c r="J6861" t="str">
        <f t="shared" si="214"/>
        <v/>
      </c>
      <c r="K6861" t="str">
        <f t="shared" si="215"/>
        <v/>
      </c>
    </row>
    <row r="6862" spans="7:11" x14ac:dyDescent="0.2">
      <c r="G6862" s="44"/>
      <c r="J6862" t="str">
        <f t="shared" si="214"/>
        <v/>
      </c>
      <c r="K6862" t="str">
        <f t="shared" si="215"/>
        <v/>
      </c>
    </row>
    <row r="6863" spans="7:11" x14ac:dyDescent="0.2">
      <c r="G6863" s="44"/>
      <c r="J6863" t="str">
        <f t="shared" si="214"/>
        <v/>
      </c>
      <c r="K6863" t="str">
        <f t="shared" si="215"/>
        <v/>
      </c>
    </row>
    <row r="6864" spans="7:11" x14ac:dyDescent="0.2">
      <c r="G6864" s="44"/>
      <c r="J6864" t="str">
        <f t="shared" si="214"/>
        <v/>
      </c>
      <c r="K6864" t="str">
        <f t="shared" si="215"/>
        <v/>
      </c>
    </row>
    <row r="6865" spans="7:11" x14ac:dyDescent="0.2">
      <c r="G6865" s="44"/>
      <c r="J6865" t="str">
        <f t="shared" si="214"/>
        <v/>
      </c>
      <c r="K6865" t="str">
        <f t="shared" si="215"/>
        <v/>
      </c>
    </row>
    <row r="6866" spans="7:11" x14ac:dyDescent="0.2">
      <c r="G6866" s="44"/>
      <c r="J6866" t="str">
        <f t="shared" si="214"/>
        <v/>
      </c>
      <c r="K6866" t="str">
        <f t="shared" si="215"/>
        <v/>
      </c>
    </row>
    <row r="6867" spans="7:11" x14ac:dyDescent="0.2">
      <c r="G6867" s="44"/>
      <c r="J6867" t="str">
        <f t="shared" si="214"/>
        <v/>
      </c>
      <c r="K6867" t="str">
        <f t="shared" si="215"/>
        <v/>
      </c>
    </row>
    <row r="6868" spans="7:11" x14ac:dyDescent="0.2">
      <c r="G6868" s="44"/>
      <c r="J6868" t="str">
        <f t="shared" si="214"/>
        <v/>
      </c>
      <c r="K6868" t="str">
        <f t="shared" si="215"/>
        <v/>
      </c>
    </row>
    <row r="6869" spans="7:11" x14ac:dyDescent="0.2">
      <c r="G6869" s="44"/>
      <c r="J6869" t="str">
        <f t="shared" si="214"/>
        <v/>
      </c>
      <c r="K6869" t="str">
        <f t="shared" si="215"/>
        <v/>
      </c>
    </row>
    <row r="6870" spans="7:11" x14ac:dyDescent="0.2">
      <c r="G6870" s="44"/>
      <c r="J6870" t="str">
        <f t="shared" si="214"/>
        <v/>
      </c>
      <c r="K6870" t="str">
        <f t="shared" si="215"/>
        <v/>
      </c>
    </row>
    <row r="6871" spans="7:11" x14ac:dyDescent="0.2">
      <c r="G6871" s="44"/>
      <c r="J6871" t="str">
        <f t="shared" si="214"/>
        <v/>
      </c>
      <c r="K6871" t="str">
        <f t="shared" si="215"/>
        <v/>
      </c>
    </row>
    <row r="6872" spans="7:11" x14ac:dyDescent="0.2">
      <c r="G6872" s="44"/>
      <c r="J6872" t="str">
        <f t="shared" si="214"/>
        <v/>
      </c>
      <c r="K6872" t="str">
        <f t="shared" si="215"/>
        <v/>
      </c>
    </row>
    <row r="6873" spans="7:11" x14ac:dyDescent="0.2">
      <c r="G6873" s="44"/>
      <c r="J6873" t="str">
        <f t="shared" si="214"/>
        <v/>
      </c>
      <c r="K6873" t="str">
        <f t="shared" si="215"/>
        <v/>
      </c>
    </row>
    <row r="6874" spans="7:11" x14ac:dyDescent="0.2">
      <c r="G6874" s="44"/>
      <c r="J6874" t="str">
        <f t="shared" si="214"/>
        <v/>
      </c>
      <c r="K6874" t="str">
        <f t="shared" si="215"/>
        <v/>
      </c>
    </row>
    <row r="6875" spans="7:11" x14ac:dyDescent="0.2">
      <c r="G6875" s="44"/>
      <c r="J6875" t="str">
        <f t="shared" si="214"/>
        <v/>
      </c>
      <c r="K6875" t="str">
        <f t="shared" si="215"/>
        <v/>
      </c>
    </row>
    <row r="6876" spans="7:11" x14ac:dyDescent="0.2">
      <c r="G6876" s="44"/>
      <c r="J6876" t="str">
        <f t="shared" si="214"/>
        <v/>
      </c>
      <c r="K6876" t="str">
        <f t="shared" si="215"/>
        <v/>
      </c>
    </row>
    <row r="6877" spans="7:11" x14ac:dyDescent="0.2">
      <c r="G6877" s="44"/>
      <c r="J6877" t="str">
        <f t="shared" si="214"/>
        <v/>
      </c>
      <c r="K6877" t="str">
        <f t="shared" si="215"/>
        <v/>
      </c>
    </row>
    <row r="6878" spans="7:11" x14ac:dyDescent="0.2">
      <c r="G6878" s="44"/>
      <c r="J6878" t="str">
        <f t="shared" si="214"/>
        <v/>
      </c>
      <c r="K6878" t="str">
        <f t="shared" si="215"/>
        <v/>
      </c>
    </row>
    <row r="6879" spans="7:11" x14ac:dyDescent="0.2">
      <c r="G6879" s="44"/>
      <c r="J6879" t="str">
        <f t="shared" si="214"/>
        <v/>
      </c>
      <c r="K6879" t="str">
        <f t="shared" si="215"/>
        <v/>
      </c>
    </row>
    <row r="6880" spans="7:11" x14ac:dyDescent="0.2">
      <c r="G6880" s="44"/>
      <c r="J6880" t="str">
        <f t="shared" si="214"/>
        <v/>
      </c>
      <c r="K6880" t="str">
        <f t="shared" si="215"/>
        <v/>
      </c>
    </row>
    <row r="6881" spans="7:11" x14ac:dyDescent="0.2">
      <c r="G6881" s="44"/>
      <c r="J6881" t="str">
        <f t="shared" si="214"/>
        <v/>
      </c>
      <c r="K6881" t="str">
        <f t="shared" si="215"/>
        <v/>
      </c>
    </row>
    <row r="6882" spans="7:11" x14ac:dyDescent="0.2">
      <c r="G6882" s="44"/>
      <c r="J6882" t="str">
        <f t="shared" si="214"/>
        <v/>
      </c>
      <c r="K6882" t="str">
        <f t="shared" si="215"/>
        <v/>
      </c>
    </row>
    <row r="6883" spans="7:11" x14ac:dyDescent="0.2">
      <c r="G6883" s="44"/>
      <c r="J6883" t="str">
        <f t="shared" si="214"/>
        <v/>
      </c>
      <c r="K6883" t="str">
        <f t="shared" si="215"/>
        <v/>
      </c>
    </row>
    <row r="6884" spans="7:11" x14ac:dyDescent="0.2">
      <c r="G6884" s="44"/>
      <c r="J6884" t="str">
        <f t="shared" si="214"/>
        <v/>
      </c>
      <c r="K6884" t="str">
        <f t="shared" si="215"/>
        <v/>
      </c>
    </row>
    <row r="6885" spans="7:11" x14ac:dyDescent="0.2">
      <c r="G6885" s="44"/>
      <c r="J6885" t="str">
        <f t="shared" si="214"/>
        <v/>
      </c>
      <c r="K6885" t="str">
        <f t="shared" si="215"/>
        <v/>
      </c>
    </row>
    <row r="6886" spans="7:11" x14ac:dyDescent="0.2">
      <c r="G6886" s="44"/>
      <c r="J6886" t="str">
        <f t="shared" si="214"/>
        <v/>
      </c>
      <c r="K6886" t="str">
        <f t="shared" si="215"/>
        <v/>
      </c>
    </row>
    <row r="6887" spans="7:11" x14ac:dyDescent="0.2">
      <c r="G6887" s="44"/>
      <c r="J6887" t="str">
        <f t="shared" si="214"/>
        <v/>
      </c>
      <c r="K6887" t="str">
        <f t="shared" si="215"/>
        <v/>
      </c>
    </row>
    <row r="6888" spans="7:11" x14ac:dyDescent="0.2">
      <c r="G6888" s="44"/>
      <c r="J6888" t="str">
        <f t="shared" si="214"/>
        <v/>
      </c>
      <c r="K6888" t="str">
        <f t="shared" si="215"/>
        <v/>
      </c>
    </row>
    <row r="6889" spans="7:11" x14ac:dyDescent="0.2">
      <c r="G6889" s="44"/>
      <c r="J6889" t="str">
        <f t="shared" si="214"/>
        <v/>
      </c>
      <c r="K6889" t="str">
        <f t="shared" si="215"/>
        <v/>
      </c>
    </row>
    <row r="6890" spans="7:11" x14ac:dyDescent="0.2">
      <c r="G6890" s="44"/>
      <c r="J6890" t="str">
        <f t="shared" si="214"/>
        <v/>
      </c>
      <c r="K6890" t="str">
        <f t="shared" si="215"/>
        <v/>
      </c>
    </row>
    <row r="6891" spans="7:11" x14ac:dyDescent="0.2">
      <c r="G6891" s="44"/>
      <c r="J6891" t="str">
        <f t="shared" si="214"/>
        <v/>
      </c>
      <c r="K6891" t="str">
        <f t="shared" si="215"/>
        <v/>
      </c>
    </row>
    <row r="6892" spans="7:11" x14ac:dyDescent="0.2">
      <c r="G6892" s="44"/>
      <c r="J6892" t="str">
        <f t="shared" si="214"/>
        <v/>
      </c>
      <c r="K6892" t="str">
        <f t="shared" si="215"/>
        <v/>
      </c>
    </row>
    <row r="6893" spans="7:11" x14ac:dyDescent="0.2">
      <c r="G6893" s="44"/>
      <c r="J6893" t="str">
        <f t="shared" si="214"/>
        <v/>
      </c>
      <c r="K6893" t="str">
        <f t="shared" si="215"/>
        <v/>
      </c>
    </row>
    <row r="6894" spans="7:11" x14ac:dyDescent="0.2">
      <c r="G6894" s="44"/>
      <c r="J6894" t="str">
        <f t="shared" si="214"/>
        <v/>
      </c>
      <c r="K6894" t="str">
        <f t="shared" si="215"/>
        <v/>
      </c>
    </row>
    <row r="6895" spans="7:11" x14ac:dyDescent="0.2">
      <c r="G6895" s="44"/>
      <c r="J6895" t="str">
        <f t="shared" si="214"/>
        <v/>
      </c>
      <c r="K6895" t="str">
        <f t="shared" si="215"/>
        <v/>
      </c>
    </row>
    <row r="6896" spans="7:11" x14ac:dyDescent="0.2">
      <c r="G6896" s="44"/>
      <c r="J6896" t="str">
        <f t="shared" si="214"/>
        <v/>
      </c>
      <c r="K6896" t="str">
        <f t="shared" si="215"/>
        <v/>
      </c>
    </row>
    <row r="6897" spans="7:11" x14ac:dyDescent="0.2">
      <c r="G6897" s="44"/>
      <c r="J6897" t="str">
        <f t="shared" si="214"/>
        <v/>
      </c>
      <c r="K6897" t="str">
        <f t="shared" si="215"/>
        <v/>
      </c>
    </row>
    <row r="6898" spans="7:11" x14ac:dyDescent="0.2">
      <c r="G6898" s="44"/>
      <c r="J6898" t="str">
        <f t="shared" si="214"/>
        <v/>
      </c>
      <c r="K6898" t="str">
        <f t="shared" si="215"/>
        <v/>
      </c>
    </row>
    <row r="6899" spans="7:11" x14ac:dyDescent="0.2">
      <c r="G6899" s="44"/>
      <c r="J6899" t="str">
        <f t="shared" si="214"/>
        <v/>
      </c>
      <c r="K6899" t="str">
        <f t="shared" si="215"/>
        <v/>
      </c>
    </row>
    <row r="6900" spans="7:11" x14ac:dyDescent="0.2">
      <c r="G6900" s="44"/>
      <c r="J6900" t="str">
        <f t="shared" si="214"/>
        <v/>
      </c>
      <c r="K6900" t="str">
        <f t="shared" si="215"/>
        <v/>
      </c>
    </row>
    <row r="6901" spans="7:11" x14ac:dyDescent="0.2">
      <c r="G6901" s="44"/>
      <c r="J6901" t="str">
        <f t="shared" si="214"/>
        <v/>
      </c>
      <c r="K6901" t="str">
        <f t="shared" si="215"/>
        <v/>
      </c>
    </row>
    <row r="6902" spans="7:11" x14ac:dyDescent="0.2">
      <c r="G6902" s="44"/>
      <c r="J6902" t="str">
        <f t="shared" si="214"/>
        <v/>
      </c>
      <c r="K6902" t="str">
        <f t="shared" si="215"/>
        <v/>
      </c>
    </row>
    <row r="6903" spans="7:11" x14ac:dyDescent="0.2">
      <c r="G6903" s="44"/>
      <c r="J6903" t="str">
        <f t="shared" si="214"/>
        <v/>
      </c>
      <c r="K6903" t="str">
        <f t="shared" si="215"/>
        <v/>
      </c>
    </row>
    <row r="6904" spans="7:11" x14ac:dyDescent="0.2">
      <c r="G6904" s="44"/>
      <c r="J6904" t="str">
        <f t="shared" si="214"/>
        <v/>
      </c>
      <c r="K6904" t="str">
        <f t="shared" si="215"/>
        <v/>
      </c>
    </row>
    <row r="6905" spans="7:11" x14ac:dyDescent="0.2">
      <c r="G6905" s="44"/>
      <c r="J6905" t="str">
        <f t="shared" si="214"/>
        <v/>
      </c>
      <c r="K6905" t="str">
        <f t="shared" si="215"/>
        <v/>
      </c>
    </row>
    <row r="6906" spans="7:11" x14ac:dyDescent="0.2">
      <c r="G6906" s="44"/>
      <c r="J6906" t="str">
        <f t="shared" si="214"/>
        <v/>
      </c>
      <c r="K6906" t="str">
        <f t="shared" si="215"/>
        <v/>
      </c>
    </row>
    <row r="6907" spans="7:11" x14ac:dyDescent="0.2">
      <c r="G6907" s="44"/>
      <c r="J6907" t="str">
        <f t="shared" si="214"/>
        <v/>
      </c>
      <c r="K6907" t="str">
        <f t="shared" si="215"/>
        <v/>
      </c>
    </row>
    <row r="6908" spans="7:11" x14ac:dyDescent="0.2">
      <c r="G6908" s="44"/>
      <c r="J6908" t="str">
        <f t="shared" si="214"/>
        <v/>
      </c>
      <c r="K6908" t="str">
        <f t="shared" si="215"/>
        <v/>
      </c>
    </row>
    <row r="6909" spans="7:11" x14ac:dyDescent="0.2">
      <c r="G6909" s="44"/>
      <c r="J6909" t="str">
        <f t="shared" si="214"/>
        <v/>
      </c>
      <c r="K6909" t="str">
        <f t="shared" si="215"/>
        <v/>
      </c>
    </row>
    <row r="6910" spans="7:11" x14ac:dyDescent="0.2">
      <c r="G6910" s="44"/>
      <c r="J6910" t="str">
        <f t="shared" si="214"/>
        <v/>
      </c>
      <c r="K6910" t="str">
        <f t="shared" si="215"/>
        <v/>
      </c>
    </row>
    <row r="6911" spans="7:11" x14ac:dyDescent="0.2">
      <c r="G6911" s="44"/>
      <c r="J6911" t="str">
        <f t="shared" si="214"/>
        <v/>
      </c>
      <c r="K6911" t="str">
        <f t="shared" si="215"/>
        <v/>
      </c>
    </row>
    <row r="6912" spans="7:11" x14ac:dyDescent="0.2">
      <c r="G6912" s="44"/>
      <c r="J6912" t="str">
        <f t="shared" si="214"/>
        <v/>
      </c>
      <c r="K6912" t="str">
        <f t="shared" si="215"/>
        <v/>
      </c>
    </row>
    <row r="6913" spans="7:11" x14ac:dyDescent="0.2">
      <c r="G6913" s="44"/>
      <c r="J6913" t="str">
        <f t="shared" si="214"/>
        <v/>
      </c>
      <c r="K6913" t="str">
        <f t="shared" si="215"/>
        <v/>
      </c>
    </row>
    <row r="6914" spans="7:11" x14ac:dyDescent="0.2">
      <c r="G6914" s="44"/>
      <c r="J6914" t="str">
        <f t="shared" ref="J6914:J6977" si="216">IF(E6914="","",IF(OR(E6914=50,E6914=51),"Iltindhold",IF(E6914=75,"Carbon,org,NVOC",IF(OR(E6914=343,E6914=1167),"Svovlbrinte",IF(OR(E6914=240,E6914=241,E6914=242),"Amm",IF(E6914=244,"Nitrit",IF(E6914=247,"Nitrat",IF(E6914=334,"Sulfat",IF(E6914=262,"Phosphor, total-P",F6914)))))))))</f>
        <v/>
      </c>
      <c r="K6914" t="str">
        <f t="shared" ref="K6914:K6977" si="217">IF(A6914="","",IF(H6914="!",NA(),IF(H6914="A",I6914*0.5,IF(H6914="&lt;",I6914*0.5,I6914))))</f>
        <v/>
      </c>
    </row>
    <row r="6915" spans="7:11" x14ac:dyDescent="0.2">
      <c r="G6915" s="44"/>
      <c r="J6915" t="str">
        <f t="shared" si="216"/>
        <v/>
      </c>
      <c r="K6915" t="str">
        <f t="shared" si="217"/>
        <v/>
      </c>
    </row>
    <row r="6916" spans="7:11" x14ac:dyDescent="0.2">
      <c r="G6916" s="44"/>
      <c r="J6916" t="str">
        <f t="shared" si="216"/>
        <v/>
      </c>
      <c r="K6916" t="str">
        <f t="shared" si="217"/>
        <v/>
      </c>
    </row>
    <row r="6917" spans="7:11" x14ac:dyDescent="0.2">
      <c r="G6917" s="44"/>
      <c r="J6917" t="str">
        <f t="shared" si="216"/>
        <v/>
      </c>
      <c r="K6917" t="str">
        <f t="shared" si="217"/>
        <v/>
      </c>
    </row>
    <row r="6918" spans="7:11" x14ac:dyDescent="0.2">
      <c r="G6918" s="44"/>
      <c r="J6918" t="str">
        <f t="shared" si="216"/>
        <v/>
      </c>
      <c r="K6918" t="str">
        <f t="shared" si="217"/>
        <v/>
      </c>
    </row>
    <row r="6919" spans="7:11" x14ac:dyDescent="0.2">
      <c r="G6919" s="44"/>
      <c r="J6919" t="str">
        <f t="shared" si="216"/>
        <v/>
      </c>
      <c r="K6919" t="str">
        <f t="shared" si="217"/>
        <v/>
      </c>
    </row>
    <row r="6920" spans="7:11" x14ac:dyDescent="0.2">
      <c r="G6920" s="44"/>
      <c r="J6920" t="str">
        <f t="shared" si="216"/>
        <v/>
      </c>
      <c r="K6920" t="str">
        <f t="shared" si="217"/>
        <v/>
      </c>
    </row>
    <row r="6921" spans="7:11" x14ac:dyDescent="0.2">
      <c r="G6921" s="44"/>
      <c r="J6921" t="str">
        <f t="shared" si="216"/>
        <v/>
      </c>
      <c r="K6921" t="str">
        <f t="shared" si="217"/>
        <v/>
      </c>
    </row>
    <row r="6922" spans="7:11" x14ac:dyDescent="0.2">
      <c r="G6922" s="44"/>
      <c r="J6922" t="str">
        <f t="shared" si="216"/>
        <v/>
      </c>
      <c r="K6922" t="str">
        <f t="shared" si="217"/>
        <v/>
      </c>
    </row>
    <row r="6923" spans="7:11" x14ac:dyDescent="0.2">
      <c r="G6923" s="44"/>
      <c r="J6923" t="str">
        <f t="shared" si="216"/>
        <v/>
      </c>
      <c r="K6923" t="str">
        <f t="shared" si="217"/>
        <v/>
      </c>
    </row>
    <row r="6924" spans="7:11" x14ac:dyDescent="0.2">
      <c r="G6924" s="44"/>
      <c r="J6924" t="str">
        <f t="shared" si="216"/>
        <v/>
      </c>
      <c r="K6924" t="str">
        <f t="shared" si="217"/>
        <v/>
      </c>
    </row>
    <row r="6925" spans="7:11" x14ac:dyDescent="0.2">
      <c r="G6925" s="44"/>
      <c r="J6925" t="str">
        <f t="shared" si="216"/>
        <v/>
      </c>
      <c r="K6925" t="str">
        <f t="shared" si="217"/>
        <v/>
      </c>
    </row>
    <row r="6926" spans="7:11" x14ac:dyDescent="0.2">
      <c r="G6926" s="44"/>
      <c r="J6926" t="str">
        <f t="shared" si="216"/>
        <v/>
      </c>
      <c r="K6926" t="str">
        <f t="shared" si="217"/>
        <v/>
      </c>
    </row>
    <row r="6927" spans="7:11" x14ac:dyDescent="0.2">
      <c r="G6927" s="44"/>
      <c r="J6927" t="str">
        <f t="shared" si="216"/>
        <v/>
      </c>
      <c r="K6927" t="str">
        <f t="shared" si="217"/>
        <v/>
      </c>
    </row>
    <row r="6928" spans="7:11" x14ac:dyDescent="0.2">
      <c r="G6928" s="44"/>
      <c r="J6928" t="str">
        <f t="shared" si="216"/>
        <v/>
      </c>
      <c r="K6928" t="str">
        <f t="shared" si="217"/>
        <v/>
      </c>
    </row>
    <row r="6929" spans="7:11" x14ac:dyDescent="0.2">
      <c r="G6929" s="44"/>
      <c r="J6929" t="str">
        <f t="shared" si="216"/>
        <v/>
      </c>
      <c r="K6929" t="str">
        <f t="shared" si="217"/>
        <v/>
      </c>
    </row>
    <row r="6930" spans="7:11" x14ac:dyDescent="0.2">
      <c r="G6930" s="44"/>
      <c r="J6930" t="str">
        <f t="shared" si="216"/>
        <v/>
      </c>
      <c r="K6930" t="str">
        <f t="shared" si="217"/>
        <v/>
      </c>
    </row>
    <row r="6931" spans="7:11" x14ac:dyDescent="0.2">
      <c r="G6931" s="44"/>
      <c r="J6931" t="str">
        <f t="shared" si="216"/>
        <v/>
      </c>
      <c r="K6931" t="str">
        <f t="shared" si="217"/>
        <v/>
      </c>
    </row>
    <row r="6932" spans="7:11" x14ac:dyDescent="0.2">
      <c r="G6932" s="44"/>
      <c r="J6932" t="str">
        <f t="shared" si="216"/>
        <v/>
      </c>
      <c r="K6932" t="str">
        <f t="shared" si="217"/>
        <v/>
      </c>
    </row>
    <row r="6933" spans="7:11" x14ac:dyDescent="0.2">
      <c r="G6933" s="44"/>
      <c r="J6933" t="str">
        <f t="shared" si="216"/>
        <v/>
      </c>
      <c r="K6933" t="str">
        <f t="shared" si="217"/>
        <v/>
      </c>
    </row>
    <row r="6934" spans="7:11" x14ac:dyDescent="0.2">
      <c r="G6934" s="44"/>
      <c r="J6934" t="str">
        <f t="shared" si="216"/>
        <v/>
      </c>
      <c r="K6934" t="str">
        <f t="shared" si="217"/>
        <v/>
      </c>
    </row>
    <row r="6935" spans="7:11" x14ac:dyDescent="0.2">
      <c r="G6935" s="44"/>
      <c r="J6935" t="str">
        <f t="shared" si="216"/>
        <v/>
      </c>
      <c r="K6935" t="str">
        <f t="shared" si="217"/>
        <v/>
      </c>
    </row>
    <row r="6936" spans="7:11" x14ac:dyDescent="0.2">
      <c r="G6936" s="44"/>
      <c r="J6936" t="str">
        <f t="shared" si="216"/>
        <v/>
      </c>
      <c r="K6936" t="str">
        <f t="shared" si="217"/>
        <v/>
      </c>
    </row>
    <row r="6937" spans="7:11" x14ac:dyDescent="0.2">
      <c r="G6937" s="44"/>
      <c r="J6937" t="str">
        <f t="shared" si="216"/>
        <v/>
      </c>
      <c r="K6937" t="str">
        <f t="shared" si="217"/>
        <v/>
      </c>
    </row>
    <row r="6938" spans="7:11" x14ac:dyDescent="0.2">
      <c r="G6938" s="44"/>
      <c r="J6938" t="str">
        <f t="shared" si="216"/>
        <v/>
      </c>
      <c r="K6938" t="str">
        <f t="shared" si="217"/>
        <v/>
      </c>
    </row>
    <row r="6939" spans="7:11" x14ac:dyDescent="0.2">
      <c r="G6939" s="44"/>
      <c r="J6939" t="str">
        <f t="shared" si="216"/>
        <v/>
      </c>
      <c r="K6939" t="str">
        <f t="shared" si="217"/>
        <v/>
      </c>
    </row>
    <row r="6940" spans="7:11" x14ac:dyDescent="0.2">
      <c r="G6940" s="44"/>
      <c r="J6940" t="str">
        <f t="shared" si="216"/>
        <v/>
      </c>
      <c r="K6940" t="str">
        <f t="shared" si="217"/>
        <v/>
      </c>
    </row>
    <row r="6941" spans="7:11" x14ac:dyDescent="0.2">
      <c r="G6941" s="44"/>
      <c r="J6941" t="str">
        <f t="shared" si="216"/>
        <v/>
      </c>
      <c r="K6941" t="str">
        <f t="shared" si="217"/>
        <v/>
      </c>
    </row>
    <row r="6942" spans="7:11" x14ac:dyDescent="0.2">
      <c r="G6942" s="44"/>
      <c r="J6942" t="str">
        <f t="shared" si="216"/>
        <v/>
      </c>
      <c r="K6942" t="str">
        <f t="shared" si="217"/>
        <v/>
      </c>
    </row>
    <row r="6943" spans="7:11" x14ac:dyDescent="0.2">
      <c r="G6943" s="44"/>
      <c r="J6943" t="str">
        <f t="shared" si="216"/>
        <v/>
      </c>
      <c r="K6943" t="str">
        <f t="shared" si="217"/>
        <v/>
      </c>
    </row>
    <row r="6944" spans="7:11" x14ac:dyDescent="0.2">
      <c r="G6944" s="44"/>
      <c r="J6944" t="str">
        <f t="shared" si="216"/>
        <v/>
      </c>
      <c r="K6944" t="str">
        <f t="shared" si="217"/>
        <v/>
      </c>
    </row>
    <row r="6945" spans="7:11" x14ac:dyDescent="0.2">
      <c r="G6945" s="44"/>
      <c r="J6945" t="str">
        <f t="shared" si="216"/>
        <v/>
      </c>
      <c r="K6945" t="str">
        <f t="shared" si="217"/>
        <v/>
      </c>
    </row>
    <row r="6946" spans="7:11" x14ac:dyDescent="0.2">
      <c r="G6946" s="44"/>
      <c r="J6946" t="str">
        <f t="shared" si="216"/>
        <v/>
      </c>
      <c r="K6946" t="str">
        <f t="shared" si="217"/>
        <v/>
      </c>
    </row>
    <row r="6947" spans="7:11" x14ac:dyDescent="0.2">
      <c r="G6947" s="44"/>
      <c r="J6947" t="str">
        <f t="shared" si="216"/>
        <v/>
      </c>
      <c r="K6947" t="str">
        <f t="shared" si="217"/>
        <v/>
      </c>
    </row>
    <row r="6948" spans="7:11" x14ac:dyDescent="0.2">
      <c r="G6948" s="44"/>
      <c r="J6948" t="str">
        <f t="shared" si="216"/>
        <v/>
      </c>
      <c r="K6948" t="str">
        <f t="shared" si="217"/>
        <v/>
      </c>
    </row>
    <row r="6949" spans="7:11" x14ac:dyDescent="0.2">
      <c r="G6949" s="44"/>
      <c r="J6949" t="str">
        <f t="shared" si="216"/>
        <v/>
      </c>
      <c r="K6949" t="str">
        <f t="shared" si="217"/>
        <v/>
      </c>
    </row>
    <row r="6950" spans="7:11" x14ac:dyDescent="0.2">
      <c r="G6950" s="44"/>
      <c r="J6950" t="str">
        <f t="shared" si="216"/>
        <v/>
      </c>
      <c r="K6950" t="str">
        <f t="shared" si="217"/>
        <v/>
      </c>
    </row>
    <row r="6951" spans="7:11" x14ac:dyDescent="0.2">
      <c r="G6951" s="44"/>
      <c r="J6951" t="str">
        <f t="shared" si="216"/>
        <v/>
      </c>
      <c r="K6951" t="str">
        <f t="shared" si="217"/>
        <v/>
      </c>
    </row>
    <row r="6952" spans="7:11" x14ac:dyDescent="0.2">
      <c r="G6952" s="44"/>
      <c r="J6952" t="str">
        <f t="shared" si="216"/>
        <v/>
      </c>
      <c r="K6952" t="str">
        <f t="shared" si="217"/>
        <v/>
      </c>
    </row>
    <row r="6953" spans="7:11" x14ac:dyDescent="0.2">
      <c r="G6953" s="44"/>
      <c r="J6953" t="str">
        <f t="shared" si="216"/>
        <v/>
      </c>
      <c r="K6953" t="str">
        <f t="shared" si="217"/>
        <v/>
      </c>
    </row>
    <row r="6954" spans="7:11" x14ac:dyDescent="0.2">
      <c r="G6954" s="44"/>
      <c r="J6954" t="str">
        <f t="shared" si="216"/>
        <v/>
      </c>
      <c r="K6954" t="str">
        <f t="shared" si="217"/>
        <v/>
      </c>
    </row>
    <row r="6955" spans="7:11" x14ac:dyDescent="0.2">
      <c r="G6955" s="44"/>
      <c r="J6955" t="str">
        <f t="shared" si="216"/>
        <v/>
      </c>
      <c r="K6955" t="str">
        <f t="shared" si="217"/>
        <v/>
      </c>
    </row>
    <row r="6956" spans="7:11" x14ac:dyDescent="0.2">
      <c r="G6956" s="44"/>
      <c r="J6956" t="str">
        <f t="shared" si="216"/>
        <v/>
      </c>
      <c r="K6956" t="str">
        <f t="shared" si="217"/>
        <v/>
      </c>
    </row>
    <row r="6957" spans="7:11" x14ac:dyDescent="0.2">
      <c r="G6957" s="44"/>
      <c r="J6957" t="str">
        <f t="shared" si="216"/>
        <v/>
      </c>
      <c r="K6957" t="str">
        <f t="shared" si="217"/>
        <v/>
      </c>
    </row>
    <row r="6958" spans="7:11" x14ac:dyDescent="0.2">
      <c r="G6958" s="44"/>
      <c r="J6958" t="str">
        <f t="shared" si="216"/>
        <v/>
      </c>
      <c r="K6958" t="str">
        <f t="shared" si="217"/>
        <v/>
      </c>
    </row>
    <row r="6959" spans="7:11" x14ac:dyDescent="0.2">
      <c r="G6959" s="44"/>
      <c r="J6959" t="str">
        <f t="shared" si="216"/>
        <v/>
      </c>
      <c r="K6959" t="str">
        <f t="shared" si="217"/>
        <v/>
      </c>
    </row>
    <row r="6960" spans="7:11" x14ac:dyDescent="0.2">
      <c r="G6960" s="44"/>
      <c r="J6960" t="str">
        <f t="shared" si="216"/>
        <v/>
      </c>
      <c r="K6960" t="str">
        <f t="shared" si="217"/>
        <v/>
      </c>
    </row>
    <row r="6961" spans="7:11" x14ac:dyDescent="0.2">
      <c r="G6961" s="44"/>
      <c r="J6961" t="str">
        <f t="shared" si="216"/>
        <v/>
      </c>
      <c r="K6961" t="str">
        <f t="shared" si="217"/>
        <v/>
      </c>
    </row>
    <row r="6962" spans="7:11" x14ac:dyDescent="0.2">
      <c r="G6962" s="44"/>
      <c r="J6962" t="str">
        <f t="shared" si="216"/>
        <v/>
      </c>
      <c r="K6962" t="str">
        <f t="shared" si="217"/>
        <v/>
      </c>
    </row>
    <row r="6963" spans="7:11" x14ac:dyDescent="0.2">
      <c r="G6963" s="44"/>
      <c r="J6963" t="str">
        <f t="shared" si="216"/>
        <v/>
      </c>
      <c r="K6963" t="str">
        <f t="shared" si="217"/>
        <v/>
      </c>
    </row>
    <row r="6964" spans="7:11" x14ac:dyDescent="0.2">
      <c r="G6964" s="44"/>
      <c r="J6964" t="str">
        <f t="shared" si="216"/>
        <v/>
      </c>
      <c r="K6964" t="str">
        <f t="shared" si="217"/>
        <v/>
      </c>
    </row>
    <row r="6965" spans="7:11" x14ac:dyDescent="0.2">
      <c r="G6965" s="44"/>
      <c r="J6965" t="str">
        <f t="shared" si="216"/>
        <v/>
      </c>
      <c r="K6965" t="str">
        <f t="shared" si="217"/>
        <v/>
      </c>
    </row>
    <row r="6966" spans="7:11" x14ac:dyDescent="0.2">
      <c r="G6966" s="44"/>
      <c r="J6966" t="str">
        <f t="shared" si="216"/>
        <v/>
      </c>
      <c r="K6966" t="str">
        <f t="shared" si="217"/>
        <v/>
      </c>
    </row>
    <row r="6967" spans="7:11" x14ac:dyDescent="0.2">
      <c r="G6967" s="44"/>
      <c r="J6967" t="str">
        <f t="shared" si="216"/>
        <v/>
      </c>
      <c r="K6967" t="str">
        <f t="shared" si="217"/>
        <v/>
      </c>
    </row>
    <row r="6968" spans="7:11" x14ac:dyDescent="0.2">
      <c r="G6968" s="44"/>
      <c r="J6968" t="str">
        <f t="shared" si="216"/>
        <v/>
      </c>
      <c r="K6968" t="str">
        <f t="shared" si="217"/>
        <v/>
      </c>
    </row>
    <row r="6969" spans="7:11" x14ac:dyDescent="0.2">
      <c r="G6969" s="44"/>
      <c r="J6969" t="str">
        <f t="shared" si="216"/>
        <v/>
      </c>
      <c r="K6969" t="str">
        <f t="shared" si="217"/>
        <v/>
      </c>
    </row>
    <row r="6970" spans="7:11" x14ac:dyDescent="0.2">
      <c r="G6970" s="44"/>
      <c r="J6970" t="str">
        <f t="shared" si="216"/>
        <v/>
      </c>
      <c r="K6970" t="str">
        <f t="shared" si="217"/>
        <v/>
      </c>
    </row>
    <row r="6971" spans="7:11" x14ac:dyDescent="0.2">
      <c r="G6971" s="44"/>
      <c r="J6971" t="str">
        <f t="shared" si="216"/>
        <v/>
      </c>
      <c r="K6971" t="str">
        <f t="shared" si="217"/>
        <v/>
      </c>
    </row>
    <row r="6972" spans="7:11" x14ac:dyDescent="0.2">
      <c r="G6972" s="44"/>
      <c r="J6972" t="str">
        <f t="shared" si="216"/>
        <v/>
      </c>
      <c r="K6972" t="str">
        <f t="shared" si="217"/>
        <v/>
      </c>
    </row>
    <row r="6973" spans="7:11" x14ac:dyDescent="0.2">
      <c r="G6973" s="44"/>
      <c r="J6973" t="str">
        <f t="shared" si="216"/>
        <v/>
      </c>
      <c r="K6973" t="str">
        <f t="shared" si="217"/>
        <v/>
      </c>
    </row>
    <row r="6974" spans="7:11" x14ac:dyDescent="0.2">
      <c r="G6974" s="44"/>
      <c r="J6974" t="str">
        <f t="shared" si="216"/>
        <v/>
      </c>
      <c r="K6974" t="str">
        <f t="shared" si="217"/>
        <v/>
      </c>
    </row>
    <row r="6975" spans="7:11" x14ac:dyDescent="0.2">
      <c r="G6975" s="44"/>
      <c r="J6975" t="str">
        <f t="shared" si="216"/>
        <v/>
      </c>
      <c r="K6975" t="str">
        <f t="shared" si="217"/>
        <v/>
      </c>
    </row>
    <row r="6976" spans="7:11" x14ac:dyDescent="0.2">
      <c r="G6976" s="44"/>
      <c r="J6976" t="str">
        <f t="shared" si="216"/>
        <v/>
      </c>
      <c r="K6976" t="str">
        <f t="shared" si="217"/>
        <v/>
      </c>
    </row>
    <row r="6977" spans="7:11" x14ac:dyDescent="0.2">
      <c r="G6977" s="44"/>
      <c r="J6977" t="str">
        <f t="shared" si="216"/>
        <v/>
      </c>
      <c r="K6977" t="str">
        <f t="shared" si="217"/>
        <v/>
      </c>
    </row>
    <row r="6978" spans="7:11" x14ac:dyDescent="0.2">
      <c r="G6978" s="44"/>
      <c r="J6978" t="str">
        <f t="shared" ref="J6978:J7041" si="218">IF(E6978="","",IF(OR(E6978=50,E6978=51),"Iltindhold",IF(E6978=75,"Carbon,org,NVOC",IF(OR(E6978=343,E6978=1167),"Svovlbrinte",IF(OR(E6978=240,E6978=241,E6978=242),"Amm",IF(E6978=244,"Nitrit",IF(E6978=247,"Nitrat",IF(E6978=334,"Sulfat",IF(E6978=262,"Phosphor, total-P",F6978)))))))))</f>
        <v/>
      </c>
      <c r="K6978" t="str">
        <f t="shared" ref="K6978:K7041" si="219">IF(A6978="","",IF(H6978="!",NA(),IF(H6978="A",I6978*0.5,IF(H6978="&lt;",I6978*0.5,I6978))))</f>
        <v/>
      </c>
    </row>
    <row r="6979" spans="7:11" x14ac:dyDescent="0.2">
      <c r="G6979" s="44"/>
      <c r="J6979" t="str">
        <f t="shared" si="218"/>
        <v/>
      </c>
      <c r="K6979" t="str">
        <f t="shared" si="219"/>
        <v/>
      </c>
    </row>
    <row r="6980" spans="7:11" x14ac:dyDescent="0.2">
      <c r="G6980" s="44"/>
      <c r="J6980" t="str">
        <f t="shared" si="218"/>
        <v/>
      </c>
      <c r="K6980" t="str">
        <f t="shared" si="219"/>
        <v/>
      </c>
    </row>
    <row r="6981" spans="7:11" x14ac:dyDescent="0.2">
      <c r="G6981" s="44"/>
      <c r="J6981" t="str">
        <f t="shared" si="218"/>
        <v/>
      </c>
      <c r="K6981" t="str">
        <f t="shared" si="219"/>
        <v/>
      </c>
    </row>
    <row r="6982" spans="7:11" x14ac:dyDescent="0.2">
      <c r="G6982" s="44"/>
      <c r="J6982" t="str">
        <f t="shared" si="218"/>
        <v/>
      </c>
      <c r="K6982" t="str">
        <f t="shared" si="219"/>
        <v/>
      </c>
    </row>
    <row r="6983" spans="7:11" x14ac:dyDescent="0.2">
      <c r="G6983" s="44"/>
      <c r="J6983" t="str">
        <f t="shared" si="218"/>
        <v/>
      </c>
      <c r="K6983" t="str">
        <f t="shared" si="219"/>
        <v/>
      </c>
    </row>
    <row r="6984" spans="7:11" x14ac:dyDescent="0.2">
      <c r="G6984" s="44"/>
      <c r="J6984" t="str">
        <f t="shared" si="218"/>
        <v/>
      </c>
      <c r="K6984" t="str">
        <f t="shared" si="219"/>
        <v/>
      </c>
    </row>
    <row r="6985" spans="7:11" x14ac:dyDescent="0.2">
      <c r="G6985" s="44"/>
      <c r="J6985" t="str">
        <f t="shared" si="218"/>
        <v/>
      </c>
      <c r="K6985" t="str">
        <f t="shared" si="219"/>
        <v/>
      </c>
    </row>
    <row r="6986" spans="7:11" x14ac:dyDescent="0.2">
      <c r="G6986" s="44"/>
      <c r="J6986" t="str">
        <f t="shared" si="218"/>
        <v/>
      </c>
      <c r="K6986" t="str">
        <f t="shared" si="219"/>
        <v/>
      </c>
    </row>
    <row r="6987" spans="7:11" x14ac:dyDescent="0.2">
      <c r="G6987" s="44"/>
      <c r="J6987" t="str">
        <f t="shared" si="218"/>
        <v/>
      </c>
      <c r="K6987" t="str">
        <f t="shared" si="219"/>
        <v/>
      </c>
    </row>
    <row r="6988" spans="7:11" x14ac:dyDescent="0.2">
      <c r="G6988" s="44"/>
      <c r="J6988" t="str">
        <f t="shared" si="218"/>
        <v/>
      </c>
      <c r="K6988" t="str">
        <f t="shared" si="219"/>
        <v/>
      </c>
    </row>
    <row r="6989" spans="7:11" x14ac:dyDescent="0.2">
      <c r="G6989" s="44"/>
      <c r="J6989" t="str">
        <f t="shared" si="218"/>
        <v/>
      </c>
      <c r="K6989" t="str">
        <f t="shared" si="219"/>
        <v/>
      </c>
    </row>
    <row r="6990" spans="7:11" x14ac:dyDescent="0.2">
      <c r="G6990" s="44"/>
      <c r="J6990" t="str">
        <f t="shared" si="218"/>
        <v/>
      </c>
      <c r="K6990" t="str">
        <f t="shared" si="219"/>
        <v/>
      </c>
    </row>
    <row r="6991" spans="7:11" x14ac:dyDescent="0.2">
      <c r="G6991" s="44"/>
      <c r="J6991" t="str">
        <f t="shared" si="218"/>
        <v/>
      </c>
      <c r="K6991" t="str">
        <f t="shared" si="219"/>
        <v/>
      </c>
    </row>
    <row r="6992" spans="7:11" x14ac:dyDescent="0.2">
      <c r="G6992" s="44"/>
      <c r="J6992" t="str">
        <f t="shared" si="218"/>
        <v/>
      </c>
      <c r="K6992" t="str">
        <f t="shared" si="219"/>
        <v/>
      </c>
    </row>
    <row r="6993" spans="7:11" x14ac:dyDescent="0.2">
      <c r="G6993" s="44"/>
      <c r="J6993" t="str">
        <f t="shared" si="218"/>
        <v/>
      </c>
      <c r="K6993" t="str">
        <f t="shared" si="219"/>
        <v/>
      </c>
    </row>
    <row r="6994" spans="7:11" x14ac:dyDescent="0.2">
      <c r="G6994" s="44"/>
      <c r="J6994" t="str">
        <f t="shared" si="218"/>
        <v/>
      </c>
      <c r="K6994" t="str">
        <f t="shared" si="219"/>
        <v/>
      </c>
    </row>
    <row r="6995" spans="7:11" x14ac:dyDescent="0.2">
      <c r="G6995" s="44"/>
      <c r="J6995" t="str">
        <f t="shared" si="218"/>
        <v/>
      </c>
      <c r="K6995" t="str">
        <f t="shared" si="219"/>
        <v/>
      </c>
    </row>
    <row r="6996" spans="7:11" x14ac:dyDescent="0.2">
      <c r="G6996" s="44"/>
      <c r="J6996" t="str">
        <f t="shared" si="218"/>
        <v/>
      </c>
      <c r="K6996" t="str">
        <f t="shared" si="219"/>
        <v/>
      </c>
    </row>
    <row r="6997" spans="7:11" x14ac:dyDescent="0.2">
      <c r="G6997" s="44"/>
      <c r="J6997" t="str">
        <f t="shared" si="218"/>
        <v/>
      </c>
      <c r="K6997" t="str">
        <f t="shared" si="219"/>
        <v/>
      </c>
    </row>
    <row r="6998" spans="7:11" x14ac:dyDescent="0.2">
      <c r="G6998" s="44"/>
      <c r="J6998" t="str">
        <f t="shared" si="218"/>
        <v/>
      </c>
      <c r="K6998" t="str">
        <f t="shared" si="219"/>
        <v/>
      </c>
    </row>
    <row r="6999" spans="7:11" x14ac:dyDescent="0.2">
      <c r="G6999" s="44"/>
      <c r="J6999" t="str">
        <f t="shared" si="218"/>
        <v/>
      </c>
      <c r="K6999" t="str">
        <f t="shared" si="219"/>
        <v/>
      </c>
    </row>
    <row r="7000" spans="7:11" x14ac:dyDescent="0.2">
      <c r="G7000" s="44"/>
      <c r="J7000" t="str">
        <f t="shared" si="218"/>
        <v/>
      </c>
      <c r="K7000" t="str">
        <f t="shared" si="219"/>
        <v/>
      </c>
    </row>
    <row r="7001" spans="7:11" x14ac:dyDescent="0.2">
      <c r="G7001" s="44"/>
      <c r="J7001" t="str">
        <f t="shared" si="218"/>
        <v/>
      </c>
      <c r="K7001" t="str">
        <f t="shared" si="219"/>
        <v/>
      </c>
    </row>
    <row r="7002" spans="7:11" x14ac:dyDescent="0.2">
      <c r="G7002" s="44"/>
      <c r="J7002" t="str">
        <f t="shared" si="218"/>
        <v/>
      </c>
      <c r="K7002" t="str">
        <f t="shared" si="219"/>
        <v/>
      </c>
    </row>
    <row r="7003" spans="7:11" x14ac:dyDescent="0.2">
      <c r="G7003" s="44"/>
      <c r="J7003" t="str">
        <f t="shared" si="218"/>
        <v/>
      </c>
      <c r="K7003" t="str">
        <f t="shared" si="219"/>
        <v/>
      </c>
    </row>
    <row r="7004" spans="7:11" x14ac:dyDescent="0.2">
      <c r="G7004" s="44"/>
      <c r="J7004" t="str">
        <f t="shared" si="218"/>
        <v/>
      </c>
      <c r="K7004" t="str">
        <f t="shared" si="219"/>
        <v/>
      </c>
    </row>
    <row r="7005" spans="7:11" x14ac:dyDescent="0.2">
      <c r="G7005" s="44"/>
      <c r="J7005" t="str">
        <f t="shared" si="218"/>
        <v/>
      </c>
      <c r="K7005" t="str">
        <f t="shared" si="219"/>
        <v/>
      </c>
    </row>
    <row r="7006" spans="7:11" x14ac:dyDescent="0.2">
      <c r="G7006" s="44"/>
      <c r="J7006" t="str">
        <f t="shared" si="218"/>
        <v/>
      </c>
      <c r="K7006" t="str">
        <f t="shared" si="219"/>
        <v/>
      </c>
    </row>
    <row r="7007" spans="7:11" x14ac:dyDescent="0.2">
      <c r="G7007" s="44"/>
      <c r="J7007" t="str">
        <f t="shared" si="218"/>
        <v/>
      </c>
      <c r="K7007" t="str">
        <f t="shared" si="219"/>
        <v/>
      </c>
    </row>
    <row r="7008" spans="7:11" x14ac:dyDescent="0.2">
      <c r="G7008" s="44"/>
      <c r="J7008" t="str">
        <f t="shared" si="218"/>
        <v/>
      </c>
      <c r="K7008" t="str">
        <f t="shared" si="219"/>
        <v/>
      </c>
    </row>
    <row r="7009" spans="7:11" x14ac:dyDescent="0.2">
      <c r="G7009" s="44"/>
      <c r="J7009" t="str">
        <f t="shared" si="218"/>
        <v/>
      </c>
      <c r="K7009" t="str">
        <f t="shared" si="219"/>
        <v/>
      </c>
    </row>
    <row r="7010" spans="7:11" x14ac:dyDescent="0.2">
      <c r="G7010" s="44"/>
      <c r="J7010" t="str">
        <f t="shared" si="218"/>
        <v/>
      </c>
      <c r="K7010" t="str">
        <f t="shared" si="219"/>
        <v/>
      </c>
    </row>
    <row r="7011" spans="7:11" x14ac:dyDescent="0.2">
      <c r="G7011" s="44"/>
      <c r="J7011" t="str">
        <f t="shared" si="218"/>
        <v/>
      </c>
      <c r="K7011" t="str">
        <f t="shared" si="219"/>
        <v/>
      </c>
    </row>
    <row r="7012" spans="7:11" x14ac:dyDescent="0.2">
      <c r="G7012" s="44"/>
      <c r="J7012" t="str">
        <f t="shared" si="218"/>
        <v/>
      </c>
      <c r="K7012" t="str">
        <f t="shared" si="219"/>
        <v/>
      </c>
    </row>
    <row r="7013" spans="7:11" x14ac:dyDescent="0.2">
      <c r="G7013" s="44"/>
      <c r="J7013" t="str">
        <f t="shared" si="218"/>
        <v/>
      </c>
      <c r="K7013" t="str">
        <f t="shared" si="219"/>
        <v/>
      </c>
    </row>
    <row r="7014" spans="7:11" x14ac:dyDescent="0.2">
      <c r="G7014" s="44"/>
      <c r="J7014" t="str">
        <f t="shared" si="218"/>
        <v/>
      </c>
      <c r="K7014" t="str">
        <f t="shared" si="219"/>
        <v/>
      </c>
    </row>
    <row r="7015" spans="7:11" x14ac:dyDescent="0.2">
      <c r="G7015" s="44"/>
      <c r="J7015" t="str">
        <f t="shared" si="218"/>
        <v/>
      </c>
      <c r="K7015" t="str">
        <f t="shared" si="219"/>
        <v/>
      </c>
    </row>
    <row r="7016" spans="7:11" x14ac:dyDescent="0.2">
      <c r="G7016" s="44"/>
      <c r="J7016" t="str">
        <f t="shared" si="218"/>
        <v/>
      </c>
      <c r="K7016" t="str">
        <f t="shared" si="219"/>
        <v/>
      </c>
    </row>
    <row r="7017" spans="7:11" x14ac:dyDescent="0.2">
      <c r="G7017" s="44"/>
      <c r="J7017" t="str">
        <f t="shared" si="218"/>
        <v/>
      </c>
      <c r="K7017" t="str">
        <f t="shared" si="219"/>
        <v/>
      </c>
    </row>
    <row r="7018" spans="7:11" x14ac:dyDescent="0.2">
      <c r="G7018" s="44"/>
      <c r="J7018" t="str">
        <f t="shared" si="218"/>
        <v/>
      </c>
      <c r="K7018" t="str">
        <f t="shared" si="219"/>
        <v/>
      </c>
    </row>
    <row r="7019" spans="7:11" x14ac:dyDescent="0.2">
      <c r="G7019" s="44"/>
      <c r="J7019" t="str">
        <f t="shared" si="218"/>
        <v/>
      </c>
      <c r="K7019" t="str">
        <f t="shared" si="219"/>
        <v/>
      </c>
    </row>
    <row r="7020" spans="7:11" x14ac:dyDescent="0.2">
      <c r="G7020" s="44"/>
      <c r="J7020" t="str">
        <f t="shared" si="218"/>
        <v/>
      </c>
      <c r="K7020" t="str">
        <f t="shared" si="219"/>
        <v/>
      </c>
    </row>
    <row r="7021" spans="7:11" x14ac:dyDescent="0.2">
      <c r="G7021" s="44"/>
      <c r="J7021" t="str">
        <f t="shared" si="218"/>
        <v/>
      </c>
      <c r="K7021" t="str">
        <f t="shared" si="219"/>
        <v/>
      </c>
    </row>
    <row r="7022" spans="7:11" x14ac:dyDescent="0.2">
      <c r="G7022" s="44"/>
      <c r="J7022" t="str">
        <f t="shared" si="218"/>
        <v/>
      </c>
      <c r="K7022" t="str">
        <f t="shared" si="219"/>
        <v/>
      </c>
    </row>
    <row r="7023" spans="7:11" x14ac:dyDescent="0.2">
      <c r="G7023" s="44"/>
      <c r="J7023" t="str">
        <f t="shared" si="218"/>
        <v/>
      </c>
      <c r="K7023" t="str">
        <f t="shared" si="219"/>
        <v/>
      </c>
    </row>
    <row r="7024" spans="7:11" x14ac:dyDescent="0.2">
      <c r="G7024" s="44"/>
      <c r="J7024" t="str">
        <f t="shared" si="218"/>
        <v/>
      </c>
      <c r="K7024" t="str">
        <f t="shared" si="219"/>
        <v/>
      </c>
    </row>
    <row r="7025" spans="7:11" x14ac:dyDescent="0.2">
      <c r="G7025" s="44"/>
      <c r="J7025" t="str">
        <f t="shared" si="218"/>
        <v/>
      </c>
      <c r="K7025" t="str">
        <f t="shared" si="219"/>
        <v/>
      </c>
    </row>
    <row r="7026" spans="7:11" x14ac:dyDescent="0.2">
      <c r="G7026" s="44"/>
      <c r="J7026" t="str">
        <f t="shared" si="218"/>
        <v/>
      </c>
      <c r="K7026" t="str">
        <f t="shared" si="219"/>
        <v/>
      </c>
    </row>
    <row r="7027" spans="7:11" x14ac:dyDescent="0.2">
      <c r="G7027" s="44"/>
      <c r="J7027" t="str">
        <f t="shared" si="218"/>
        <v/>
      </c>
      <c r="K7027" t="str">
        <f t="shared" si="219"/>
        <v/>
      </c>
    </row>
    <row r="7028" spans="7:11" x14ac:dyDescent="0.2">
      <c r="G7028" s="44"/>
      <c r="J7028" t="str">
        <f t="shared" si="218"/>
        <v/>
      </c>
      <c r="K7028" t="str">
        <f t="shared" si="219"/>
        <v/>
      </c>
    </row>
    <row r="7029" spans="7:11" x14ac:dyDescent="0.2">
      <c r="G7029" s="44"/>
      <c r="J7029" t="str">
        <f t="shared" si="218"/>
        <v/>
      </c>
      <c r="K7029" t="str">
        <f t="shared" si="219"/>
        <v/>
      </c>
    </row>
    <row r="7030" spans="7:11" x14ac:dyDescent="0.2">
      <c r="G7030" s="44"/>
      <c r="J7030" t="str">
        <f t="shared" si="218"/>
        <v/>
      </c>
      <c r="K7030" t="str">
        <f t="shared" si="219"/>
        <v/>
      </c>
    </row>
    <row r="7031" spans="7:11" x14ac:dyDescent="0.2">
      <c r="G7031" s="44"/>
      <c r="J7031" t="str">
        <f t="shared" si="218"/>
        <v/>
      </c>
      <c r="K7031" t="str">
        <f t="shared" si="219"/>
        <v/>
      </c>
    </row>
    <row r="7032" spans="7:11" x14ac:dyDescent="0.2">
      <c r="G7032" s="44"/>
      <c r="J7032" t="str">
        <f t="shared" si="218"/>
        <v/>
      </c>
      <c r="K7032" t="str">
        <f t="shared" si="219"/>
        <v/>
      </c>
    </row>
    <row r="7033" spans="7:11" x14ac:dyDescent="0.2">
      <c r="G7033" s="44"/>
      <c r="J7033" t="str">
        <f t="shared" si="218"/>
        <v/>
      </c>
      <c r="K7033" t="str">
        <f t="shared" si="219"/>
        <v/>
      </c>
    </row>
    <row r="7034" spans="7:11" x14ac:dyDescent="0.2">
      <c r="G7034" s="44"/>
      <c r="J7034" t="str">
        <f t="shared" si="218"/>
        <v/>
      </c>
      <c r="K7034" t="str">
        <f t="shared" si="219"/>
        <v/>
      </c>
    </row>
    <row r="7035" spans="7:11" x14ac:dyDescent="0.2">
      <c r="G7035" s="44"/>
      <c r="J7035" t="str">
        <f t="shared" si="218"/>
        <v/>
      </c>
      <c r="K7035" t="str">
        <f t="shared" si="219"/>
        <v/>
      </c>
    </row>
    <row r="7036" spans="7:11" x14ac:dyDescent="0.2">
      <c r="G7036" s="44"/>
      <c r="J7036" t="str">
        <f t="shared" si="218"/>
        <v/>
      </c>
      <c r="K7036" t="str">
        <f t="shared" si="219"/>
        <v/>
      </c>
    </row>
    <row r="7037" spans="7:11" x14ac:dyDescent="0.2">
      <c r="G7037" s="44"/>
      <c r="J7037" t="str">
        <f t="shared" si="218"/>
        <v/>
      </c>
      <c r="K7037" t="str">
        <f t="shared" si="219"/>
        <v/>
      </c>
    </row>
    <row r="7038" spans="7:11" x14ac:dyDescent="0.2">
      <c r="G7038" s="44"/>
      <c r="J7038" t="str">
        <f t="shared" si="218"/>
        <v/>
      </c>
      <c r="K7038" t="str">
        <f t="shared" si="219"/>
        <v/>
      </c>
    </row>
    <row r="7039" spans="7:11" x14ac:dyDescent="0.2">
      <c r="G7039" s="44"/>
      <c r="J7039" t="str">
        <f t="shared" si="218"/>
        <v/>
      </c>
      <c r="K7039" t="str">
        <f t="shared" si="219"/>
        <v/>
      </c>
    </row>
    <row r="7040" spans="7:11" x14ac:dyDescent="0.2">
      <c r="G7040" s="44"/>
      <c r="J7040" t="str">
        <f t="shared" si="218"/>
        <v/>
      </c>
      <c r="K7040" t="str">
        <f t="shared" si="219"/>
        <v/>
      </c>
    </row>
    <row r="7041" spans="7:11" x14ac:dyDescent="0.2">
      <c r="G7041" s="44"/>
      <c r="J7041" t="str">
        <f t="shared" si="218"/>
        <v/>
      </c>
      <c r="K7041" t="str">
        <f t="shared" si="219"/>
        <v/>
      </c>
    </row>
    <row r="7042" spans="7:11" x14ac:dyDescent="0.2">
      <c r="G7042" s="44"/>
      <c r="J7042" t="str">
        <f t="shared" ref="J7042:J7105" si="220">IF(E7042="","",IF(OR(E7042=50,E7042=51),"Iltindhold",IF(E7042=75,"Carbon,org,NVOC",IF(OR(E7042=343,E7042=1167),"Svovlbrinte",IF(OR(E7042=240,E7042=241,E7042=242),"Amm",IF(E7042=244,"Nitrit",IF(E7042=247,"Nitrat",IF(E7042=334,"Sulfat",IF(E7042=262,"Phosphor, total-P",F7042)))))))))</f>
        <v/>
      </c>
      <c r="K7042" t="str">
        <f t="shared" ref="K7042:K7105" si="221">IF(A7042="","",IF(H7042="!",NA(),IF(H7042="A",I7042*0.5,IF(H7042="&lt;",I7042*0.5,I7042))))</f>
        <v/>
      </c>
    </row>
    <row r="7043" spans="7:11" x14ac:dyDescent="0.2">
      <c r="G7043" s="44"/>
      <c r="J7043" t="str">
        <f t="shared" si="220"/>
        <v/>
      </c>
      <c r="K7043" t="str">
        <f t="shared" si="221"/>
        <v/>
      </c>
    </row>
    <row r="7044" spans="7:11" x14ac:dyDescent="0.2">
      <c r="G7044" s="44"/>
      <c r="J7044" t="str">
        <f t="shared" si="220"/>
        <v/>
      </c>
      <c r="K7044" t="str">
        <f t="shared" si="221"/>
        <v/>
      </c>
    </row>
    <row r="7045" spans="7:11" x14ac:dyDescent="0.2">
      <c r="G7045" s="44"/>
      <c r="J7045" t="str">
        <f t="shared" si="220"/>
        <v/>
      </c>
      <c r="K7045" t="str">
        <f t="shared" si="221"/>
        <v/>
      </c>
    </row>
    <row r="7046" spans="7:11" x14ac:dyDescent="0.2">
      <c r="G7046" s="44"/>
      <c r="J7046" t="str">
        <f t="shared" si="220"/>
        <v/>
      </c>
      <c r="K7046" t="str">
        <f t="shared" si="221"/>
        <v/>
      </c>
    </row>
    <row r="7047" spans="7:11" x14ac:dyDescent="0.2">
      <c r="G7047" s="44"/>
      <c r="J7047" t="str">
        <f t="shared" si="220"/>
        <v/>
      </c>
      <c r="K7047" t="str">
        <f t="shared" si="221"/>
        <v/>
      </c>
    </row>
    <row r="7048" spans="7:11" x14ac:dyDescent="0.2">
      <c r="G7048" s="44"/>
      <c r="J7048" t="str">
        <f t="shared" si="220"/>
        <v/>
      </c>
      <c r="K7048" t="str">
        <f t="shared" si="221"/>
        <v/>
      </c>
    </row>
    <row r="7049" spans="7:11" x14ac:dyDescent="0.2">
      <c r="G7049" s="44"/>
      <c r="J7049" t="str">
        <f t="shared" si="220"/>
        <v/>
      </c>
      <c r="K7049" t="str">
        <f t="shared" si="221"/>
        <v/>
      </c>
    </row>
    <row r="7050" spans="7:11" x14ac:dyDescent="0.2">
      <c r="G7050" s="44"/>
      <c r="J7050" t="str">
        <f t="shared" si="220"/>
        <v/>
      </c>
      <c r="K7050" t="str">
        <f t="shared" si="221"/>
        <v/>
      </c>
    </row>
    <row r="7051" spans="7:11" x14ac:dyDescent="0.2">
      <c r="G7051" s="44"/>
      <c r="J7051" t="str">
        <f t="shared" si="220"/>
        <v/>
      </c>
      <c r="K7051" t="str">
        <f t="shared" si="221"/>
        <v/>
      </c>
    </row>
    <row r="7052" spans="7:11" x14ac:dyDescent="0.2">
      <c r="G7052" s="44"/>
      <c r="J7052" t="str">
        <f t="shared" si="220"/>
        <v/>
      </c>
      <c r="K7052" t="str">
        <f t="shared" si="221"/>
        <v/>
      </c>
    </row>
    <row r="7053" spans="7:11" x14ac:dyDescent="0.2">
      <c r="G7053" s="44"/>
      <c r="J7053" t="str">
        <f t="shared" si="220"/>
        <v/>
      </c>
      <c r="K7053" t="str">
        <f t="shared" si="221"/>
        <v/>
      </c>
    </row>
    <row r="7054" spans="7:11" x14ac:dyDescent="0.2">
      <c r="G7054" s="44"/>
      <c r="J7054" t="str">
        <f t="shared" si="220"/>
        <v/>
      </c>
      <c r="K7054" t="str">
        <f t="shared" si="221"/>
        <v/>
      </c>
    </row>
    <row r="7055" spans="7:11" x14ac:dyDescent="0.2">
      <c r="G7055" s="44"/>
      <c r="J7055" t="str">
        <f t="shared" si="220"/>
        <v/>
      </c>
      <c r="K7055" t="str">
        <f t="shared" si="221"/>
        <v/>
      </c>
    </row>
    <row r="7056" spans="7:11" x14ac:dyDescent="0.2">
      <c r="G7056" s="44"/>
      <c r="J7056" t="str">
        <f t="shared" si="220"/>
        <v/>
      </c>
      <c r="K7056" t="str">
        <f t="shared" si="221"/>
        <v/>
      </c>
    </row>
    <row r="7057" spans="7:11" x14ac:dyDescent="0.2">
      <c r="G7057" s="44"/>
      <c r="J7057" t="str">
        <f t="shared" si="220"/>
        <v/>
      </c>
      <c r="K7057" t="str">
        <f t="shared" si="221"/>
        <v/>
      </c>
    </row>
    <row r="7058" spans="7:11" x14ac:dyDescent="0.2">
      <c r="G7058" s="44"/>
      <c r="J7058" t="str">
        <f t="shared" si="220"/>
        <v/>
      </c>
      <c r="K7058" t="str">
        <f t="shared" si="221"/>
        <v/>
      </c>
    </row>
    <row r="7059" spans="7:11" x14ac:dyDescent="0.2">
      <c r="G7059" s="44"/>
      <c r="J7059" t="str">
        <f t="shared" si="220"/>
        <v/>
      </c>
      <c r="K7059" t="str">
        <f t="shared" si="221"/>
        <v/>
      </c>
    </row>
    <row r="7060" spans="7:11" x14ac:dyDescent="0.2">
      <c r="G7060" s="44"/>
      <c r="J7060" t="str">
        <f t="shared" si="220"/>
        <v/>
      </c>
      <c r="K7060" t="str">
        <f t="shared" si="221"/>
        <v/>
      </c>
    </row>
    <row r="7061" spans="7:11" x14ac:dyDescent="0.2">
      <c r="G7061" s="44"/>
      <c r="J7061" t="str">
        <f t="shared" si="220"/>
        <v/>
      </c>
      <c r="K7061" t="str">
        <f t="shared" si="221"/>
        <v/>
      </c>
    </row>
    <row r="7062" spans="7:11" x14ac:dyDescent="0.2">
      <c r="G7062" s="44"/>
      <c r="J7062" t="str">
        <f t="shared" si="220"/>
        <v/>
      </c>
      <c r="K7062" t="str">
        <f t="shared" si="221"/>
        <v/>
      </c>
    </row>
    <row r="7063" spans="7:11" x14ac:dyDescent="0.2">
      <c r="G7063" s="44"/>
      <c r="J7063" t="str">
        <f t="shared" si="220"/>
        <v/>
      </c>
      <c r="K7063" t="str">
        <f t="shared" si="221"/>
        <v/>
      </c>
    </row>
    <row r="7064" spans="7:11" x14ac:dyDescent="0.2">
      <c r="G7064" s="44"/>
      <c r="J7064" t="str">
        <f t="shared" si="220"/>
        <v/>
      </c>
      <c r="K7064" t="str">
        <f t="shared" si="221"/>
        <v/>
      </c>
    </row>
    <row r="7065" spans="7:11" x14ac:dyDescent="0.2">
      <c r="G7065" s="44"/>
      <c r="J7065" t="str">
        <f t="shared" si="220"/>
        <v/>
      </c>
      <c r="K7065" t="str">
        <f t="shared" si="221"/>
        <v/>
      </c>
    </row>
    <row r="7066" spans="7:11" x14ac:dyDescent="0.2">
      <c r="G7066" s="44"/>
      <c r="J7066" t="str">
        <f t="shared" si="220"/>
        <v/>
      </c>
      <c r="K7066" t="str">
        <f t="shared" si="221"/>
        <v/>
      </c>
    </row>
    <row r="7067" spans="7:11" x14ac:dyDescent="0.2">
      <c r="G7067" s="44"/>
      <c r="J7067" t="str">
        <f t="shared" si="220"/>
        <v/>
      </c>
      <c r="K7067" t="str">
        <f t="shared" si="221"/>
        <v/>
      </c>
    </row>
    <row r="7068" spans="7:11" x14ac:dyDescent="0.2">
      <c r="G7068" s="44"/>
      <c r="J7068" t="str">
        <f t="shared" si="220"/>
        <v/>
      </c>
      <c r="K7068" t="str">
        <f t="shared" si="221"/>
        <v/>
      </c>
    </row>
    <row r="7069" spans="7:11" x14ac:dyDescent="0.2">
      <c r="G7069" s="44"/>
      <c r="J7069" t="str">
        <f t="shared" si="220"/>
        <v/>
      </c>
      <c r="K7069" t="str">
        <f t="shared" si="221"/>
        <v/>
      </c>
    </row>
    <row r="7070" spans="7:11" x14ac:dyDescent="0.2">
      <c r="G7070" s="44"/>
      <c r="J7070" t="str">
        <f t="shared" si="220"/>
        <v/>
      </c>
      <c r="K7070" t="str">
        <f t="shared" si="221"/>
        <v/>
      </c>
    </row>
    <row r="7071" spans="7:11" x14ac:dyDescent="0.2">
      <c r="G7071" s="44"/>
      <c r="J7071" t="str">
        <f t="shared" si="220"/>
        <v/>
      </c>
      <c r="K7071" t="str">
        <f t="shared" si="221"/>
        <v/>
      </c>
    </row>
    <row r="7072" spans="7:11" x14ac:dyDescent="0.2">
      <c r="G7072" s="44"/>
      <c r="J7072" t="str">
        <f t="shared" si="220"/>
        <v/>
      </c>
      <c r="K7072" t="str">
        <f t="shared" si="221"/>
        <v/>
      </c>
    </row>
    <row r="7073" spans="7:11" x14ac:dyDescent="0.2">
      <c r="G7073" s="44"/>
      <c r="J7073" t="str">
        <f t="shared" si="220"/>
        <v/>
      </c>
      <c r="K7073" t="str">
        <f t="shared" si="221"/>
        <v/>
      </c>
    </row>
    <row r="7074" spans="7:11" x14ac:dyDescent="0.2">
      <c r="G7074" s="44"/>
      <c r="J7074" t="str">
        <f t="shared" si="220"/>
        <v/>
      </c>
      <c r="K7074" t="str">
        <f t="shared" si="221"/>
        <v/>
      </c>
    </row>
    <row r="7075" spans="7:11" x14ac:dyDescent="0.2">
      <c r="G7075" s="44"/>
      <c r="J7075" t="str">
        <f t="shared" si="220"/>
        <v/>
      </c>
      <c r="K7075" t="str">
        <f t="shared" si="221"/>
        <v/>
      </c>
    </row>
    <row r="7076" spans="7:11" x14ac:dyDescent="0.2">
      <c r="G7076" s="44"/>
      <c r="J7076" t="str">
        <f t="shared" si="220"/>
        <v/>
      </c>
      <c r="K7076" t="str">
        <f t="shared" si="221"/>
        <v/>
      </c>
    </row>
    <row r="7077" spans="7:11" x14ac:dyDescent="0.2">
      <c r="G7077" s="44"/>
      <c r="J7077" t="str">
        <f t="shared" si="220"/>
        <v/>
      </c>
      <c r="K7077" t="str">
        <f t="shared" si="221"/>
        <v/>
      </c>
    </row>
    <row r="7078" spans="7:11" x14ac:dyDescent="0.2">
      <c r="G7078" s="44"/>
      <c r="J7078" t="str">
        <f t="shared" si="220"/>
        <v/>
      </c>
      <c r="K7078" t="str">
        <f t="shared" si="221"/>
        <v/>
      </c>
    </row>
    <row r="7079" spans="7:11" x14ac:dyDescent="0.2">
      <c r="G7079" s="44"/>
      <c r="J7079" t="str">
        <f t="shared" si="220"/>
        <v/>
      </c>
      <c r="K7079" t="str">
        <f t="shared" si="221"/>
        <v/>
      </c>
    </row>
    <row r="7080" spans="7:11" x14ac:dyDescent="0.2">
      <c r="G7080" s="44"/>
      <c r="J7080" t="str">
        <f t="shared" si="220"/>
        <v/>
      </c>
      <c r="K7080" t="str">
        <f t="shared" si="221"/>
        <v/>
      </c>
    </row>
    <row r="7081" spans="7:11" x14ac:dyDescent="0.2">
      <c r="G7081" s="44"/>
      <c r="J7081" t="str">
        <f t="shared" si="220"/>
        <v/>
      </c>
      <c r="K7081" t="str">
        <f t="shared" si="221"/>
        <v/>
      </c>
    </row>
    <row r="7082" spans="7:11" x14ac:dyDescent="0.2">
      <c r="G7082" s="44"/>
      <c r="J7082" t="str">
        <f t="shared" si="220"/>
        <v/>
      </c>
      <c r="K7082" t="str">
        <f t="shared" si="221"/>
        <v/>
      </c>
    </row>
    <row r="7083" spans="7:11" x14ac:dyDescent="0.2">
      <c r="G7083" s="44"/>
      <c r="J7083" t="str">
        <f t="shared" si="220"/>
        <v/>
      </c>
      <c r="K7083" t="str">
        <f t="shared" si="221"/>
        <v/>
      </c>
    </row>
    <row r="7084" spans="7:11" x14ac:dyDescent="0.2">
      <c r="G7084" s="44"/>
      <c r="J7084" t="str">
        <f t="shared" si="220"/>
        <v/>
      </c>
      <c r="K7084" t="str">
        <f t="shared" si="221"/>
        <v/>
      </c>
    </row>
    <row r="7085" spans="7:11" x14ac:dyDescent="0.2">
      <c r="G7085" s="44"/>
      <c r="J7085" t="str">
        <f t="shared" si="220"/>
        <v/>
      </c>
      <c r="K7085" t="str">
        <f t="shared" si="221"/>
        <v/>
      </c>
    </row>
    <row r="7086" spans="7:11" x14ac:dyDescent="0.2">
      <c r="G7086" s="44"/>
      <c r="J7086" t="str">
        <f t="shared" si="220"/>
        <v/>
      </c>
      <c r="K7086" t="str">
        <f t="shared" si="221"/>
        <v/>
      </c>
    </row>
    <row r="7087" spans="7:11" x14ac:dyDescent="0.2">
      <c r="G7087" s="44"/>
      <c r="J7087" t="str">
        <f t="shared" si="220"/>
        <v/>
      </c>
      <c r="K7087" t="str">
        <f t="shared" si="221"/>
        <v/>
      </c>
    </row>
    <row r="7088" spans="7:11" x14ac:dyDescent="0.2">
      <c r="G7088" s="44"/>
      <c r="J7088" t="str">
        <f t="shared" si="220"/>
        <v/>
      </c>
      <c r="K7088" t="str">
        <f t="shared" si="221"/>
        <v/>
      </c>
    </row>
    <row r="7089" spans="7:11" x14ac:dyDescent="0.2">
      <c r="G7089" s="44"/>
      <c r="J7089" t="str">
        <f t="shared" si="220"/>
        <v/>
      </c>
      <c r="K7089" t="str">
        <f t="shared" si="221"/>
        <v/>
      </c>
    </row>
    <row r="7090" spans="7:11" x14ac:dyDescent="0.2">
      <c r="G7090" s="44"/>
      <c r="J7090" t="str">
        <f t="shared" si="220"/>
        <v/>
      </c>
      <c r="K7090" t="str">
        <f t="shared" si="221"/>
        <v/>
      </c>
    </row>
    <row r="7091" spans="7:11" x14ac:dyDescent="0.2">
      <c r="G7091" s="44"/>
      <c r="J7091" t="str">
        <f t="shared" si="220"/>
        <v/>
      </c>
      <c r="K7091" t="str">
        <f t="shared" si="221"/>
        <v/>
      </c>
    </row>
    <row r="7092" spans="7:11" x14ac:dyDescent="0.2">
      <c r="G7092" s="44"/>
      <c r="J7092" t="str">
        <f t="shared" si="220"/>
        <v/>
      </c>
      <c r="K7092" t="str">
        <f t="shared" si="221"/>
        <v/>
      </c>
    </row>
    <row r="7093" spans="7:11" x14ac:dyDescent="0.2">
      <c r="G7093" s="44"/>
      <c r="J7093" t="str">
        <f t="shared" si="220"/>
        <v/>
      </c>
      <c r="K7093" t="str">
        <f t="shared" si="221"/>
        <v/>
      </c>
    </row>
    <row r="7094" spans="7:11" x14ac:dyDescent="0.2">
      <c r="G7094" s="44"/>
      <c r="J7094" t="str">
        <f t="shared" si="220"/>
        <v/>
      </c>
      <c r="K7094" t="str">
        <f t="shared" si="221"/>
        <v/>
      </c>
    </row>
    <row r="7095" spans="7:11" x14ac:dyDescent="0.2">
      <c r="G7095" s="44"/>
      <c r="J7095" t="str">
        <f t="shared" si="220"/>
        <v/>
      </c>
      <c r="K7095" t="str">
        <f t="shared" si="221"/>
        <v/>
      </c>
    </row>
    <row r="7096" spans="7:11" x14ac:dyDescent="0.2">
      <c r="G7096" s="44"/>
      <c r="J7096" t="str">
        <f t="shared" si="220"/>
        <v/>
      </c>
      <c r="K7096" t="str">
        <f t="shared" si="221"/>
        <v/>
      </c>
    </row>
    <row r="7097" spans="7:11" x14ac:dyDescent="0.2">
      <c r="G7097" s="44"/>
      <c r="J7097" t="str">
        <f t="shared" si="220"/>
        <v/>
      </c>
      <c r="K7097" t="str">
        <f t="shared" si="221"/>
        <v/>
      </c>
    </row>
    <row r="7098" spans="7:11" x14ac:dyDescent="0.2">
      <c r="G7098" s="44"/>
      <c r="J7098" t="str">
        <f t="shared" si="220"/>
        <v/>
      </c>
      <c r="K7098" t="str">
        <f t="shared" si="221"/>
        <v/>
      </c>
    </row>
    <row r="7099" spans="7:11" x14ac:dyDescent="0.2">
      <c r="G7099" s="44"/>
      <c r="J7099" t="str">
        <f t="shared" si="220"/>
        <v/>
      </c>
      <c r="K7099" t="str">
        <f t="shared" si="221"/>
        <v/>
      </c>
    </row>
    <row r="7100" spans="7:11" x14ac:dyDescent="0.2">
      <c r="G7100" s="44"/>
      <c r="J7100" t="str">
        <f t="shared" si="220"/>
        <v/>
      </c>
      <c r="K7100" t="str">
        <f t="shared" si="221"/>
        <v/>
      </c>
    </row>
    <row r="7101" spans="7:11" x14ac:dyDescent="0.2">
      <c r="G7101" s="44"/>
      <c r="J7101" t="str">
        <f t="shared" si="220"/>
        <v/>
      </c>
      <c r="K7101" t="str">
        <f t="shared" si="221"/>
        <v/>
      </c>
    </row>
    <row r="7102" spans="7:11" x14ac:dyDescent="0.2">
      <c r="G7102" s="44"/>
      <c r="J7102" t="str">
        <f t="shared" si="220"/>
        <v/>
      </c>
      <c r="K7102" t="str">
        <f t="shared" si="221"/>
        <v/>
      </c>
    </row>
    <row r="7103" spans="7:11" x14ac:dyDescent="0.2">
      <c r="G7103" s="44"/>
      <c r="J7103" t="str">
        <f t="shared" si="220"/>
        <v/>
      </c>
      <c r="K7103" t="str">
        <f t="shared" si="221"/>
        <v/>
      </c>
    </row>
    <row r="7104" spans="7:11" x14ac:dyDescent="0.2">
      <c r="G7104" s="44"/>
      <c r="J7104" t="str">
        <f t="shared" si="220"/>
        <v/>
      </c>
      <c r="K7104" t="str">
        <f t="shared" si="221"/>
        <v/>
      </c>
    </row>
    <row r="7105" spans="7:11" x14ac:dyDescent="0.2">
      <c r="G7105" s="44"/>
      <c r="J7105" t="str">
        <f t="shared" si="220"/>
        <v/>
      </c>
      <c r="K7105" t="str">
        <f t="shared" si="221"/>
        <v/>
      </c>
    </row>
    <row r="7106" spans="7:11" x14ac:dyDescent="0.2">
      <c r="G7106" s="44"/>
      <c r="J7106" t="str">
        <f t="shared" ref="J7106:J7169" si="222">IF(E7106="","",IF(OR(E7106=50,E7106=51),"Iltindhold",IF(E7106=75,"Carbon,org,NVOC",IF(OR(E7106=343,E7106=1167),"Svovlbrinte",IF(OR(E7106=240,E7106=241,E7106=242),"Amm",IF(E7106=244,"Nitrit",IF(E7106=247,"Nitrat",IF(E7106=334,"Sulfat",IF(E7106=262,"Phosphor, total-P",F7106)))))))))</f>
        <v/>
      </c>
      <c r="K7106" t="str">
        <f t="shared" ref="K7106:K7169" si="223">IF(A7106="","",IF(H7106="!",NA(),IF(H7106="A",I7106*0.5,IF(H7106="&lt;",I7106*0.5,I7106))))</f>
        <v/>
      </c>
    </row>
    <row r="7107" spans="7:11" x14ac:dyDescent="0.2">
      <c r="G7107" s="44"/>
      <c r="J7107" t="str">
        <f t="shared" si="222"/>
        <v/>
      </c>
      <c r="K7107" t="str">
        <f t="shared" si="223"/>
        <v/>
      </c>
    </row>
    <row r="7108" spans="7:11" x14ac:dyDescent="0.2">
      <c r="G7108" s="44"/>
      <c r="J7108" t="str">
        <f t="shared" si="222"/>
        <v/>
      </c>
      <c r="K7108" t="str">
        <f t="shared" si="223"/>
        <v/>
      </c>
    </row>
    <row r="7109" spans="7:11" x14ac:dyDescent="0.2">
      <c r="G7109" s="44"/>
      <c r="J7109" t="str">
        <f t="shared" si="222"/>
        <v/>
      </c>
      <c r="K7109" t="str">
        <f t="shared" si="223"/>
        <v/>
      </c>
    </row>
    <row r="7110" spans="7:11" x14ac:dyDescent="0.2">
      <c r="G7110" s="44"/>
      <c r="J7110" t="str">
        <f t="shared" si="222"/>
        <v/>
      </c>
      <c r="K7110" t="str">
        <f t="shared" si="223"/>
        <v/>
      </c>
    </row>
    <row r="7111" spans="7:11" x14ac:dyDescent="0.2">
      <c r="G7111" s="44"/>
      <c r="J7111" t="str">
        <f t="shared" si="222"/>
        <v/>
      </c>
      <c r="K7111" t="str">
        <f t="shared" si="223"/>
        <v/>
      </c>
    </row>
    <row r="7112" spans="7:11" x14ac:dyDescent="0.2">
      <c r="G7112" s="44"/>
      <c r="J7112" t="str">
        <f t="shared" si="222"/>
        <v/>
      </c>
      <c r="K7112" t="str">
        <f t="shared" si="223"/>
        <v/>
      </c>
    </row>
    <row r="7113" spans="7:11" x14ac:dyDescent="0.2">
      <c r="G7113" s="44"/>
      <c r="J7113" t="str">
        <f t="shared" si="222"/>
        <v/>
      </c>
      <c r="K7113" t="str">
        <f t="shared" si="223"/>
        <v/>
      </c>
    </row>
    <row r="7114" spans="7:11" x14ac:dyDescent="0.2">
      <c r="G7114" s="44"/>
      <c r="J7114" t="str">
        <f t="shared" si="222"/>
        <v/>
      </c>
      <c r="K7114" t="str">
        <f t="shared" si="223"/>
        <v/>
      </c>
    </row>
    <row r="7115" spans="7:11" x14ac:dyDescent="0.2">
      <c r="G7115" s="44"/>
      <c r="J7115" t="str">
        <f t="shared" si="222"/>
        <v/>
      </c>
      <c r="K7115" t="str">
        <f t="shared" si="223"/>
        <v/>
      </c>
    </row>
    <row r="7116" spans="7:11" x14ac:dyDescent="0.2">
      <c r="G7116" s="44"/>
      <c r="J7116" t="str">
        <f t="shared" si="222"/>
        <v/>
      </c>
      <c r="K7116" t="str">
        <f t="shared" si="223"/>
        <v/>
      </c>
    </row>
    <row r="7117" spans="7:11" x14ac:dyDescent="0.2">
      <c r="G7117" s="44"/>
      <c r="J7117" t="str">
        <f t="shared" si="222"/>
        <v/>
      </c>
      <c r="K7117" t="str">
        <f t="shared" si="223"/>
        <v/>
      </c>
    </row>
    <row r="7118" spans="7:11" x14ac:dyDescent="0.2">
      <c r="G7118" s="44"/>
      <c r="J7118" t="str">
        <f t="shared" si="222"/>
        <v/>
      </c>
      <c r="K7118" t="str">
        <f t="shared" si="223"/>
        <v/>
      </c>
    </row>
    <row r="7119" spans="7:11" x14ac:dyDescent="0.2">
      <c r="G7119" s="44"/>
      <c r="J7119" t="str">
        <f t="shared" si="222"/>
        <v/>
      </c>
      <c r="K7119" t="str">
        <f t="shared" si="223"/>
        <v/>
      </c>
    </row>
    <row r="7120" spans="7:11" x14ac:dyDescent="0.2">
      <c r="G7120" s="44"/>
      <c r="J7120" t="str">
        <f t="shared" si="222"/>
        <v/>
      </c>
      <c r="K7120" t="str">
        <f t="shared" si="223"/>
        <v/>
      </c>
    </row>
    <row r="7121" spans="7:11" x14ac:dyDescent="0.2">
      <c r="G7121" s="44"/>
      <c r="J7121" t="str">
        <f t="shared" si="222"/>
        <v/>
      </c>
      <c r="K7121" t="str">
        <f t="shared" si="223"/>
        <v/>
      </c>
    </row>
    <row r="7122" spans="7:11" x14ac:dyDescent="0.2">
      <c r="G7122" s="44"/>
      <c r="J7122" t="str">
        <f t="shared" si="222"/>
        <v/>
      </c>
      <c r="K7122" t="str">
        <f t="shared" si="223"/>
        <v/>
      </c>
    </row>
    <row r="7123" spans="7:11" x14ac:dyDescent="0.2">
      <c r="G7123" s="44"/>
      <c r="J7123" t="str">
        <f t="shared" si="222"/>
        <v/>
      </c>
      <c r="K7123" t="str">
        <f t="shared" si="223"/>
        <v/>
      </c>
    </row>
    <row r="7124" spans="7:11" x14ac:dyDescent="0.2">
      <c r="G7124" s="44"/>
      <c r="J7124" t="str">
        <f t="shared" si="222"/>
        <v/>
      </c>
      <c r="K7124" t="str">
        <f t="shared" si="223"/>
        <v/>
      </c>
    </row>
    <row r="7125" spans="7:11" x14ac:dyDescent="0.2">
      <c r="G7125" s="44"/>
      <c r="J7125" t="str">
        <f t="shared" si="222"/>
        <v/>
      </c>
      <c r="K7125" t="str">
        <f t="shared" si="223"/>
        <v/>
      </c>
    </row>
    <row r="7126" spans="7:11" x14ac:dyDescent="0.2">
      <c r="G7126" s="44"/>
      <c r="J7126" t="str">
        <f t="shared" si="222"/>
        <v/>
      </c>
      <c r="K7126" t="str">
        <f t="shared" si="223"/>
        <v/>
      </c>
    </row>
    <row r="7127" spans="7:11" x14ac:dyDescent="0.2">
      <c r="G7127" s="44"/>
      <c r="J7127" t="str">
        <f t="shared" si="222"/>
        <v/>
      </c>
      <c r="K7127" t="str">
        <f t="shared" si="223"/>
        <v/>
      </c>
    </row>
    <row r="7128" spans="7:11" x14ac:dyDescent="0.2">
      <c r="G7128" s="44"/>
      <c r="J7128" t="str">
        <f t="shared" si="222"/>
        <v/>
      </c>
      <c r="K7128" t="str">
        <f t="shared" si="223"/>
        <v/>
      </c>
    </row>
    <row r="7129" spans="7:11" x14ac:dyDescent="0.2">
      <c r="G7129" s="44"/>
      <c r="J7129" t="str">
        <f t="shared" si="222"/>
        <v/>
      </c>
      <c r="K7129" t="str">
        <f t="shared" si="223"/>
        <v/>
      </c>
    </row>
    <row r="7130" spans="7:11" x14ac:dyDescent="0.2">
      <c r="G7130" s="44"/>
      <c r="J7130" t="str">
        <f t="shared" si="222"/>
        <v/>
      </c>
      <c r="K7130" t="str">
        <f t="shared" si="223"/>
        <v/>
      </c>
    </row>
    <row r="7131" spans="7:11" x14ac:dyDescent="0.2">
      <c r="G7131" s="44"/>
      <c r="J7131" t="str">
        <f t="shared" si="222"/>
        <v/>
      </c>
      <c r="K7131" t="str">
        <f t="shared" si="223"/>
        <v/>
      </c>
    </row>
    <row r="7132" spans="7:11" x14ac:dyDescent="0.2">
      <c r="G7132" s="44"/>
      <c r="J7132" t="str">
        <f t="shared" si="222"/>
        <v/>
      </c>
      <c r="K7132" t="str">
        <f t="shared" si="223"/>
        <v/>
      </c>
    </row>
    <row r="7133" spans="7:11" x14ac:dyDescent="0.2">
      <c r="G7133" s="44"/>
      <c r="J7133" t="str">
        <f t="shared" si="222"/>
        <v/>
      </c>
      <c r="K7133" t="str">
        <f t="shared" si="223"/>
        <v/>
      </c>
    </row>
    <row r="7134" spans="7:11" x14ac:dyDescent="0.2">
      <c r="G7134" s="44"/>
      <c r="J7134" t="str">
        <f t="shared" si="222"/>
        <v/>
      </c>
      <c r="K7134" t="str">
        <f t="shared" si="223"/>
        <v/>
      </c>
    </row>
    <row r="7135" spans="7:11" x14ac:dyDescent="0.2">
      <c r="G7135" s="44"/>
      <c r="J7135" t="str">
        <f t="shared" si="222"/>
        <v/>
      </c>
      <c r="K7135" t="str">
        <f t="shared" si="223"/>
        <v/>
      </c>
    </row>
    <row r="7136" spans="7:11" x14ac:dyDescent="0.2">
      <c r="G7136" s="44"/>
      <c r="J7136" t="str">
        <f t="shared" si="222"/>
        <v/>
      </c>
      <c r="K7136" t="str">
        <f t="shared" si="223"/>
        <v/>
      </c>
    </row>
    <row r="7137" spans="7:11" x14ac:dyDescent="0.2">
      <c r="G7137" s="44"/>
      <c r="J7137" t="str">
        <f t="shared" si="222"/>
        <v/>
      </c>
      <c r="K7137" t="str">
        <f t="shared" si="223"/>
        <v/>
      </c>
    </row>
    <row r="7138" spans="7:11" x14ac:dyDescent="0.2">
      <c r="G7138" s="44"/>
      <c r="J7138" t="str">
        <f t="shared" si="222"/>
        <v/>
      </c>
      <c r="K7138" t="str">
        <f t="shared" si="223"/>
        <v/>
      </c>
    </row>
    <row r="7139" spans="7:11" x14ac:dyDescent="0.2">
      <c r="G7139" s="44"/>
      <c r="J7139" t="str">
        <f t="shared" si="222"/>
        <v/>
      </c>
      <c r="K7139" t="str">
        <f t="shared" si="223"/>
        <v/>
      </c>
    </row>
    <row r="7140" spans="7:11" x14ac:dyDescent="0.2">
      <c r="G7140" s="44"/>
      <c r="J7140" t="str">
        <f t="shared" si="222"/>
        <v/>
      </c>
      <c r="K7140" t="str">
        <f t="shared" si="223"/>
        <v/>
      </c>
    </row>
    <row r="7141" spans="7:11" x14ac:dyDescent="0.2">
      <c r="G7141" s="44"/>
      <c r="J7141" t="str">
        <f t="shared" si="222"/>
        <v/>
      </c>
      <c r="K7141" t="str">
        <f t="shared" si="223"/>
        <v/>
      </c>
    </row>
    <row r="7142" spans="7:11" x14ac:dyDescent="0.2">
      <c r="G7142" s="44"/>
      <c r="J7142" t="str">
        <f t="shared" si="222"/>
        <v/>
      </c>
      <c r="K7142" t="str">
        <f t="shared" si="223"/>
        <v/>
      </c>
    </row>
    <row r="7143" spans="7:11" x14ac:dyDescent="0.2">
      <c r="G7143" s="44"/>
      <c r="J7143" t="str">
        <f t="shared" si="222"/>
        <v/>
      </c>
      <c r="K7143" t="str">
        <f t="shared" si="223"/>
        <v/>
      </c>
    </row>
    <row r="7144" spans="7:11" x14ac:dyDescent="0.2">
      <c r="G7144" s="44"/>
      <c r="J7144" t="str">
        <f t="shared" si="222"/>
        <v/>
      </c>
      <c r="K7144" t="str">
        <f t="shared" si="223"/>
        <v/>
      </c>
    </row>
    <row r="7145" spans="7:11" x14ac:dyDescent="0.2">
      <c r="G7145" s="44"/>
      <c r="J7145" t="str">
        <f t="shared" si="222"/>
        <v/>
      </c>
      <c r="K7145" t="str">
        <f t="shared" si="223"/>
        <v/>
      </c>
    </row>
    <row r="7146" spans="7:11" x14ac:dyDescent="0.2">
      <c r="G7146" s="44"/>
      <c r="J7146" t="str">
        <f t="shared" si="222"/>
        <v/>
      </c>
      <c r="K7146" t="str">
        <f t="shared" si="223"/>
        <v/>
      </c>
    </row>
    <row r="7147" spans="7:11" x14ac:dyDescent="0.2">
      <c r="G7147" s="44"/>
      <c r="J7147" t="str">
        <f t="shared" si="222"/>
        <v/>
      </c>
      <c r="K7147" t="str">
        <f t="shared" si="223"/>
        <v/>
      </c>
    </row>
    <row r="7148" spans="7:11" x14ac:dyDescent="0.2">
      <c r="G7148" s="44"/>
      <c r="J7148" t="str">
        <f t="shared" si="222"/>
        <v/>
      </c>
      <c r="K7148" t="str">
        <f t="shared" si="223"/>
        <v/>
      </c>
    </row>
    <row r="7149" spans="7:11" x14ac:dyDescent="0.2">
      <c r="G7149" s="44"/>
      <c r="J7149" t="str">
        <f t="shared" si="222"/>
        <v/>
      </c>
      <c r="K7149" t="str">
        <f t="shared" si="223"/>
        <v/>
      </c>
    </row>
    <row r="7150" spans="7:11" x14ac:dyDescent="0.2">
      <c r="G7150" s="44"/>
      <c r="J7150" t="str">
        <f t="shared" si="222"/>
        <v/>
      </c>
      <c r="K7150" t="str">
        <f t="shared" si="223"/>
        <v/>
      </c>
    </row>
    <row r="7151" spans="7:11" x14ac:dyDescent="0.2">
      <c r="G7151" s="44"/>
      <c r="J7151" t="str">
        <f t="shared" si="222"/>
        <v/>
      </c>
      <c r="K7151" t="str">
        <f t="shared" si="223"/>
        <v/>
      </c>
    </row>
    <row r="7152" spans="7:11" x14ac:dyDescent="0.2">
      <c r="G7152" s="44"/>
      <c r="J7152" t="str">
        <f t="shared" si="222"/>
        <v/>
      </c>
      <c r="K7152" t="str">
        <f t="shared" si="223"/>
        <v/>
      </c>
    </row>
    <row r="7153" spans="7:11" x14ac:dyDescent="0.2">
      <c r="G7153" s="44"/>
      <c r="J7153" t="str">
        <f t="shared" si="222"/>
        <v/>
      </c>
      <c r="K7153" t="str">
        <f t="shared" si="223"/>
        <v/>
      </c>
    </row>
    <row r="7154" spans="7:11" x14ac:dyDescent="0.2">
      <c r="G7154" s="44"/>
      <c r="J7154" t="str">
        <f t="shared" si="222"/>
        <v/>
      </c>
      <c r="K7154" t="str">
        <f t="shared" si="223"/>
        <v/>
      </c>
    </row>
    <row r="7155" spans="7:11" x14ac:dyDescent="0.2">
      <c r="G7155" s="44"/>
      <c r="J7155" t="str">
        <f t="shared" si="222"/>
        <v/>
      </c>
      <c r="K7155" t="str">
        <f t="shared" si="223"/>
        <v/>
      </c>
    </row>
    <row r="7156" spans="7:11" x14ac:dyDescent="0.2">
      <c r="G7156" s="44"/>
      <c r="J7156" t="str">
        <f t="shared" si="222"/>
        <v/>
      </c>
      <c r="K7156" t="str">
        <f t="shared" si="223"/>
        <v/>
      </c>
    </row>
    <row r="7157" spans="7:11" x14ac:dyDescent="0.2">
      <c r="G7157" s="44"/>
      <c r="J7157" t="str">
        <f t="shared" si="222"/>
        <v/>
      </c>
      <c r="K7157" t="str">
        <f t="shared" si="223"/>
        <v/>
      </c>
    </row>
    <row r="7158" spans="7:11" x14ac:dyDescent="0.2">
      <c r="G7158" s="44"/>
      <c r="J7158" t="str">
        <f t="shared" si="222"/>
        <v/>
      </c>
      <c r="K7158" t="str">
        <f t="shared" si="223"/>
        <v/>
      </c>
    </row>
    <row r="7159" spans="7:11" x14ac:dyDescent="0.2">
      <c r="G7159" s="44"/>
      <c r="J7159" t="str">
        <f t="shared" si="222"/>
        <v/>
      </c>
      <c r="K7159" t="str">
        <f t="shared" si="223"/>
        <v/>
      </c>
    </row>
    <row r="7160" spans="7:11" x14ac:dyDescent="0.2">
      <c r="G7160" s="44"/>
      <c r="J7160" t="str">
        <f t="shared" si="222"/>
        <v/>
      </c>
      <c r="K7160" t="str">
        <f t="shared" si="223"/>
        <v/>
      </c>
    </row>
    <row r="7161" spans="7:11" x14ac:dyDescent="0.2">
      <c r="G7161" s="44"/>
      <c r="J7161" t="str">
        <f t="shared" si="222"/>
        <v/>
      </c>
      <c r="K7161" t="str">
        <f t="shared" si="223"/>
        <v/>
      </c>
    </row>
    <row r="7162" spans="7:11" x14ac:dyDescent="0.2">
      <c r="G7162" s="44"/>
      <c r="J7162" t="str">
        <f t="shared" si="222"/>
        <v/>
      </c>
      <c r="K7162" t="str">
        <f t="shared" si="223"/>
        <v/>
      </c>
    </row>
    <row r="7163" spans="7:11" x14ac:dyDescent="0.2">
      <c r="G7163" s="44"/>
      <c r="J7163" t="str">
        <f t="shared" si="222"/>
        <v/>
      </c>
      <c r="K7163" t="str">
        <f t="shared" si="223"/>
        <v/>
      </c>
    </row>
    <row r="7164" spans="7:11" x14ac:dyDescent="0.2">
      <c r="G7164" s="44"/>
      <c r="J7164" t="str">
        <f t="shared" si="222"/>
        <v/>
      </c>
      <c r="K7164" t="str">
        <f t="shared" si="223"/>
        <v/>
      </c>
    </row>
    <row r="7165" spans="7:11" x14ac:dyDescent="0.2">
      <c r="G7165" s="44"/>
      <c r="J7165" t="str">
        <f t="shared" si="222"/>
        <v/>
      </c>
      <c r="K7165" t="str">
        <f t="shared" si="223"/>
        <v/>
      </c>
    </row>
    <row r="7166" spans="7:11" x14ac:dyDescent="0.2">
      <c r="G7166" s="44"/>
      <c r="J7166" t="str">
        <f t="shared" si="222"/>
        <v/>
      </c>
      <c r="K7166" t="str">
        <f t="shared" si="223"/>
        <v/>
      </c>
    </row>
    <row r="7167" spans="7:11" x14ac:dyDescent="0.2">
      <c r="G7167" s="44"/>
      <c r="J7167" t="str">
        <f t="shared" si="222"/>
        <v/>
      </c>
      <c r="K7167" t="str">
        <f t="shared" si="223"/>
        <v/>
      </c>
    </row>
    <row r="7168" spans="7:11" x14ac:dyDescent="0.2">
      <c r="G7168" s="44"/>
      <c r="J7168" t="str">
        <f t="shared" si="222"/>
        <v/>
      </c>
      <c r="K7168" t="str">
        <f t="shared" si="223"/>
        <v/>
      </c>
    </row>
    <row r="7169" spans="7:11" x14ac:dyDescent="0.2">
      <c r="G7169" s="44"/>
      <c r="J7169" t="str">
        <f t="shared" si="222"/>
        <v/>
      </c>
      <c r="K7169" t="str">
        <f t="shared" si="223"/>
        <v/>
      </c>
    </row>
    <row r="7170" spans="7:11" x14ac:dyDescent="0.2">
      <c r="G7170" s="44"/>
      <c r="J7170" t="str">
        <f t="shared" ref="J7170:J7233" si="224">IF(E7170="","",IF(OR(E7170=50,E7170=51),"Iltindhold",IF(E7170=75,"Carbon,org,NVOC",IF(OR(E7170=343,E7170=1167),"Svovlbrinte",IF(OR(E7170=240,E7170=241,E7170=242),"Amm",IF(E7170=244,"Nitrit",IF(E7170=247,"Nitrat",IF(E7170=334,"Sulfat",IF(E7170=262,"Phosphor, total-P",F7170)))))))))</f>
        <v/>
      </c>
      <c r="K7170" t="str">
        <f t="shared" ref="K7170:K7233" si="225">IF(A7170="","",IF(H7170="!",NA(),IF(H7170="A",I7170*0.5,IF(H7170="&lt;",I7170*0.5,I7170))))</f>
        <v/>
      </c>
    </row>
    <row r="7171" spans="7:11" x14ac:dyDescent="0.2">
      <c r="G7171" s="44"/>
      <c r="J7171" t="str">
        <f t="shared" si="224"/>
        <v/>
      </c>
      <c r="K7171" t="str">
        <f t="shared" si="225"/>
        <v/>
      </c>
    </row>
    <row r="7172" spans="7:11" x14ac:dyDescent="0.2">
      <c r="G7172" s="44"/>
      <c r="J7172" t="str">
        <f t="shared" si="224"/>
        <v/>
      </c>
      <c r="K7172" t="str">
        <f t="shared" si="225"/>
        <v/>
      </c>
    </row>
    <row r="7173" spans="7:11" x14ac:dyDescent="0.2">
      <c r="G7173" s="44"/>
      <c r="J7173" t="str">
        <f t="shared" si="224"/>
        <v/>
      </c>
      <c r="K7173" t="str">
        <f t="shared" si="225"/>
        <v/>
      </c>
    </row>
    <row r="7174" spans="7:11" x14ac:dyDescent="0.2">
      <c r="G7174" s="44"/>
      <c r="J7174" t="str">
        <f t="shared" si="224"/>
        <v/>
      </c>
      <c r="K7174" t="str">
        <f t="shared" si="225"/>
        <v/>
      </c>
    </row>
    <row r="7175" spans="7:11" x14ac:dyDescent="0.2">
      <c r="G7175" s="44"/>
      <c r="J7175" t="str">
        <f t="shared" si="224"/>
        <v/>
      </c>
      <c r="K7175" t="str">
        <f t="shared" si="225"/>
        <v/>
      </c>
    </row>
    <row r="7176" spans="7:11" x14ac:dyDescent="0.2">
      <c r="G7176" s="44"/>
      <c r="J7176" t="str">
        <f t="shared" si="224"/>
        <v/>
      </c>
      <c r="K7176" t="str">
        <f t="shared" si="225"/>
        <v/>
      </c>
    </row>
    <row r="7177" spans="7:11" x14ac:dyDescent="0.2">
      <c r="G7177" s="44"/>
      <c r="J7177" t="str">
        <f t="shared" si="224"/>
        <v/>
      </c>
      <c r="K7177" t="str">
        <f t="shared" si="225"/>
        <v/>
      </c>
    </row>
    <row r="7178" spans="7:11" x14ac:dyDescent="0.2">
      <c r="G7178" s="44"/>
      <c r="J7178" t="str">
        <f t="shared" si="224"/>
        <v/>
      </c>
      <c r="K7178" t="str">
        <f t="shared" si="225"/>
        <v/>
      </c>
    </row>
    <row r="7179" spans="7:11" x14ac:dyDescent="0.2">
      <c r="G7179" s="44"/>
      <c r="J7179" t="str">
        <f t="shared" si="224"/>
        <v/>
      </c>
      <c r="K7179" t="str">
        <f t="shared" si="225"/>
        <v/>
      </c>
    </row>
    <row r="7180" spans="7:11" x14ac:dyDescent="0.2">
      <c r="G7180" s="44"/>
      <c r="J7180" t="str">
        <f t="shared" si="224"/>
        <v/>
      </c>
      <c r="K7180" t="str">
        <f t="shared" si="225"/>
        <v/>
      </c>
    </row>
    <row r="7181" spans="7:11" x14ac:dyDescent="0.2">
      <c r="G7181" s="44"/>
      <c r="J7181" t="str">
        <f t="shared" si="224"/>
        <v/>
      </c>
      <c r="K7181" t="str">
        <f t="shared" si="225"/>
        <v/>
      </c>
    </row>
    <row r="7182" spans="7:11" x14ac:dyDescent="0.2">
      <c r="G7182" s="44"/>
      <c r="J7182" t="str">
        <f t="shared" si="224"/>
        <v/>
      </c>
      <c r="K7182" t="str">
        <f t="shared" si="225"/>
        <v/>
      </c>
    </row>
    <row r="7183" spans="7:11" x14ac:dyDescent="0.2">
      <c r="G7183" s="44"/>
      <c r="J7183" t="str">
        <f t="shared" si="224"/>
        <v/>
      </c>
      <c r="K7183" t="str">
        <f t="shared" si="225"/>
        <v/>
      </c>
    </row>
    <row r="7184" spans="7:11" x14ac:dyDescent="0.2">
      <c r="G7184" s="44"/>
      <c r="J7184" t="str">
        <f t="shared" si="224"/>
        <v/>
      </c>
      <c r="K7184" t="str">
        <f t="shared" si="225"/>
        <v/>
      </c>
    </row>
    <row r="7185" spans="7:11" x14ac:dyDescent="0.2">
      <c r="G7185" s="44"/>
      <c r="J7185" t="str">
        <f t="shared" si="224"/>
        <v/>
      </c>
      <c r="K7185" t="str">
        <f t="shared" si="225"/>
        <v/>
      </c>
    </row>
    <row r="7186" spans="7:11" x14ac:dyDescent="0.2">
      <c r="G7186" s="44"/>
      <c r="J7186" t="str">
        <f t="shared" si="224"/>
        <v/>
      </c>
      <c r="K7186" t="str">
        <f t="shared" si="225"/>
        <v/>
      </c>
    </row>
    <row r="7187" spans="7:11" x14ac:dyDescent="0.2">
      <c r="G7187" s="44"/>
      <c r="J7187" t="str">
        <f t="shared" si="224"/>
        <v/>
      </c>
      <c r="K7187" t="str">
        <f t="shared" si="225"/>
        <v/>
      </c>
    </row>
    <row r="7188" spans="7:11" x14ac:dyDescent="0.2">
      <c r="G7188" s="44"/>
      <c r="J7188" t="str">
        <f t="shared" si="224"/>
        <v/>
      </c>
      <c r="K7188" t="str">
        <f t="shared" si="225"/>
        <v/>
      </c>
    </row>
    <row r="7189" spans="7:11" x14ac:dyDescent="0.2">
      <c r="G7189" s="44"/>
      <c r="J7189" t="str">
        <f t="shared" si="224"/>
        <v/>
      </c>
      <c r="K7189" t="str">
        <f t="shared" si="225"/>
        <v/>
      </c>
    </row>
    <row r="7190" spans="7:11" x14ac:dyDescent="0.2">
      <c r="G7190" s="44"/>
      <c r="J7190" t="str">
        <f t="shared" si="224"/>
        <v/>
      </c>
      <c r="K7190" t="str">
        <f t="shared" si="225"/>
        <v/>
      </c>
    </row>
    <row r="7191" spans="7:11" x14ac:dyDescent="0.2">
      <c r="G7191" s="44"/>
      <c r="J7191" t="str">
        <f t="shared" si="224"/>
        <v/>
      </c>
      <c r="K7191" t="str">
        <f t="shared" si="225"/>
        <v/>
      </c>
    </row>
    <row r="7192" spans="7:11" x14ac:dyDescent="0.2">
      <c r="G7192" s="44"/>
      <c r="J7192" t="str">
        <f t="shared" si="224"/>
        <v/>
      </c>
      <c r="K7192" t="str">
        <f t="shared" si="225"/>
        <v/>
      </c>
    </row>
    <row r="7193" spans="7:11" x14ac:dyDescent="0.2">
      <c r="G7193" s="44"/>
      <c r="J7193" t="str">
        <f t="shared" si="224"/>
        <v/>
      </c>
      <c r="K7193" t="str">
        <f t="shared" si="225"/>
        <v/>
      </c>
    </row>
    <row r="7194" spans="7:11" x14ac:dyDescent="0.2">
      <c r="G7194" s="44"/>
      <c r="J7194" t="str">
        <f t="shared" si="224"/>
        <v/>
      </c>
      <c r="K7194" t="str">
        <f t="shared" si="225"/>
        <v/>
      </c>
    </row>
    <row r="7195" spans="7:11" x14ac:dyDescent="0.2">
      <c r="G7195" s="44"/>
      <c r="J7195" t="str">
        <f t="shared" si="224"/>
        <v/>
      </c>
      <c r="K7195" t="str">
        <f t="shared" si="225"/>
        <v/>
      </c>
    </row>
    <row r="7196" spans="7:11" x14ac:dyDescent="0.2">
      <c r="G7196" s="44"/>
      <c r="J7196" t="str">
        <f t="shared" si="224"/>
        <v/>
      </c>
      <c r="K7196" t="str">
        <f t="shared" si="225"/>
        <v/>
      </c>
    </row>
    <row r="7197" spans="7:11" x14ac:dyDescent="0.2">
      <c r="G7197" s="44"/>
      <c r="J7197" t="str">
        <f t="shared" si="224"/>
        <v/>
      </c>
      <c r="K7197" t="str">
        <f t="shared" si="225"/>
        <v/>
      </c>
    </row>
    <row r="7198" spans="7:11" x14ac:dyDescent="0.2">
      <c r="G7198" s="44"/>
      <c r="J7198" t="str">
        <f t="shared" si="224"/>
        <v/>
      </c>
      <c r="K7198" t="str">
        <f t="shared" si="225"/>
        <v/>
      </c>
    </row>
    <row r="7199" spans="7:11" x14ac:dyDescent="0.2">
      <c r="G7199" s="44"/>
      <c r="J7199" t="str">
        <f t="shared" si="224"/>
        <v/>
      </c>
      <c r="K7199" t="str">
        <f t="shared" si="225"/>
        <v/>
      </c>
    </row>
    <row r="7200" spans="7:11" x14ac:dyDescent="0.2">
      <c r="G7200" s="44"/>
      <c r="J7200" t="str">
        <f t="shared" si="224"/>
        <v/>
      </c>
      <c r="K7200" t="str">
        <f t="shared" si="225"/>
        <v/>
      </c>
    </row>
    <row r="7201" spans="7:11" x14ac:dyDescent="0.2">
      <c r="G7201" s="44"/>
      <c r="J7201" t="str">
        <f t="shared" si="224"/>
        <v/>
      </c>
      <c r="K7201" t="str">
        <f t="shared" si="225"/>
        <v/>
      </c>
    </row>
    <row r="7202" spans="7:11" x14ac:dyDescent="0.2">
      <c r="G7202" s="44"/>
      <c r="J7202" t="str">
        <f t="shared" si="224"/>
        <v/>
      </c>
      <c r="K7202" t="str">
        <f t="shared" si="225"/>
        <v/>
      </c>
    </row>
    <row r="7203" spans="7:11" x14ac:dyDescent="0.2">
      <c r="G7203" s="44"/>
      <c r="J7203" t="str">
        <f t="shared" si="224"/>
        <v/>
      </c>
      <c r="K7203" t="str">
        <f t="shared" si="225"/>
        <v/>
      </c>
    </row>
    <row r="7204" spans="7:11" x14ac:dyDescent="0.2">
      <c r="G7204" s="44"/>
      <c r="J7204" t="str">
        <f t="shared" si="224"/>
        <v/>
      </c>
      <c r="K7204" t="str">
        <f t="shared" si="225"/>
        <v/>
      </c>
    </row>
    <row r="7205" spans="7:11" x14ac:dyDescent="0.2">
      <c r="G7205" s="44"/>
      <c r="J7205" t="str">
        <f t="shared" si="224"/>
        <v/>
      </c>
      <c r="K7205" t="str">
        <f t="shared" si="225"/>
        <v/>
      </c>
    </row>
    <row r="7206" spans="7:11" x14ac:dyDescent="0.2">
      <c r="G7206" s="44"/>
      <c r="J7206" t="str">
        <f t="shared" si="224"/>
        <v/>
      </c>
      <c r="K7206" t="str">
        <f t="shared" si="225"/>
        <v/>
      </c>
    </row>
    <row r="7207" spans="7:11" x14ac:dyDescent="0.2">
      <c r="G7207" s="44"/>
      <c r="J7207" t="str">
        <f t="shared" si="224"/>
        <v/>
      </c>
      <c r="K7207" t="str">
        <f t="shared" si="225"/>
        <v/>
      </c>
    </row>
    <row r="7208" spans="7:11" x14ac:dyDescent="0.2">
      <c r="G7208" s="44"/>
      <c r="J7208" t="str">
        <f t="shared" si="224"/>
        <v/>
      </c>
      <c r="K7208" t="str">
        <f t="shared" si="225"/>
        <v/>
      </c>
    </row>
    <row r="7209" spans="7:11" x14ac:dyDescent="0.2">
      <c r="G7209" s="44"/>
      <c r="J7209" t="str">
        <f t="shared" si="224"/>
        <v/>
      </c>
      <c r="K7209" t="str">
        <f t="shared" si="225"/>
        <v/>
      </c>
    </row>
    <row r="7210" spans="7:11" x14ac:dyDescent="0.2">
      <c r="G7210" s="44"/>
      <c r="J7210" t="str">
        <f t="shared" si="224"/>
        <v/>
      </c>
      <c r="K7210" t="str">
        <f t="shared" si="225"/>
        <v/>
      </c>
    </row>
    <row r="7211" spans="7:11" x14ac:dyDescent="0.2">
      <c r="G7211" s="44"/>
      <c r="J7211" t="str">
        <f t="shared" si="224"/>
        <v/>
      </c>
      <c r="K7211" t="str">
        <f t="shared" si="225"/>
        <v/>
      </c>
    </row>
    <row r="7212" spans="7:11" x14ac:dyDescent="0.2">
      <c r="G7212" s="44"/>
      <c r="J7212" t="str">
        <f t="shared" si="224"/>
        <v/>
      </c>
      <c r="K7212" t="str">
        <f t="shared" si="225"/>
        <v/>
      </c>
    </row>
    <row r="7213" spans="7:11" x14ac:dyDescent="0.2">
      <c r="G7213" s="44"/>
      <c r="J7213" t="str">
        <f t="shared" si="224"/>
        <v/>
      </c>
      <c r="K7213" t="str">
        <f t="shared" si="225"/>
        <v/>
      </c>
    </row>
    <row r="7214" spans="7:11" x14ac:dyDescent="0.2">
      <c r="G7214" s="44"/>
      <c r="J7214" t="str">
        <f t="shared" si="224"/>
        <v/>
      </c>
      <c r="K7214" t="str">
        <f t="shared" si="225"/>
        <v/>
      </c>
    </row>
    <row r="7215" spans="7:11" x14ac:dyDescent="0.2">
      <c r="G7215" s="44"/>
      <c r="J7215" t="str">
        <f t="shared" si="224"/>
        <v/>
      </c>
      <c r="K7215" t="str">
        <f t="shared" si="225"/>
        <v/>
      </c>
    </row>
    <row r="7216" spans="7:11" x14ac:dyDescent="0.2">
      <c r="G7216" s="44"/>
      <c r="J7216" t="str">
        <f t="shared" si="224"/>
        <v/>
      </c>
      <c r="K7216" t="str">
        <f t="shared" si="225"/>
        <v/>
      </c>
    </row>
    <row r="7217" spans="7:11" x14ac:dyDescent="0.2">
      <c r="G7217" s="44"/>
      <c r="J7217" t="str">
        <f t="shared" si="224"/>
        <v/>
      </c>
      <c r="K7217" t="str">
        <f t="shared" si="225"/>
        <v/>
      </c>
    </row>
    <row r="7218" spans="7:11" x14ac:dyDescent="0.2">
      <c r="G7218" s="44"/>
      <c r="J7218" t="str">
        <f t="shared" si="224"/>
        <v/>
      </c>
      <c r="K7218" t="str">
        <f t="shared" si="225"/>
        <v/>
      </c>
    </row>
    <row r="7219" spans="7:11" x14ac:dyDescent="0.2">
      <c r="G7219" s="44"/>
      <c r="J7219" t="str">
        <f t="shared" si="224"/>
        <v/>
      </c>
      <c r="K7219" t="str">
        <f t="shared" si="225"/>
        <v/>
      </c>
    </row>
    <row r="7220" spans="7:11" x14ac:dyDescent="0.2">
      <c r="G7220" s="44"/>
      <c r="J7220" t="str">
        <f t="shared" si="224"/>
        <v/>
      </c>
      <c r="K7220" t="str">
        <f t="shared" si="225"/>
        <v/>
      </c>
    </row>
    <row r="7221" spans="7:11" x14ac:dyDescent="0.2">
      <c r="G7221" s="44"/>
      <c r="J7221" t="str">
        <f t="shared" si="224"/>
        <v/>
      </c>
      <c r="K7221" t="str">
        <f t="shared" si="225"/>
        <v/>
      </c>
    </row>
    <row r="7222" spans="7:11" x14ac:dyDescent="0.2">
      <c r="G7222" s="44"/>
      <c r="J7222" t="str">
        <f t="shared" si="224"/>
        <v/>
      </c>
      <c r="K7222" t="str">
        <f t="shared" si="225"/>
        <v/>
      </c>
    </row>
    <row r="7223" spans="7:11" x14ac:dyDescent="0.2">
      <c r="G7223" s="44"/>
      <c r="J7223" t="str">
        <f t="shared" si="224"/>
        <v/>
      </c>
      <c r="K7223" t="str">
        <f t="shared" si="225"/>
        <v/>
      </c>
    </row>
    <row r="7224" spans="7:11" x14ac:dyDescent="0.2">
      <c r="G7224" s="44"/>
      <c r="J7224" t="str">
        <f t="shared" si="224"/>
        <v/>
      </c>
      <c r="K7224" t="str">
        <f t="shared" si="225"/>
        <v/>
      </c>
    </row>
    <row r="7225" spans="7:11" x14ac:dyDescent="0.2">
      <c r="G7225" s="44"/>
      <c r="J7225" t="str">
        <f t="shared" si="224"/>
        <v/>
      </c>
      <c r="K7225" t="str">
        <f t="shared" si="225"/>
        <v/>
      </c>
    </row>
    <row r="7226" spans="7:11" x14ac:dyDescent="0.2">
      <c r="G7226" s="44"/>
      <c r="J7226" t="str">
        <f t="shared" si="224"/>
        <v/>
      </c>
      <c r="K7226" t="str">
        <f t="shared" si="225"/>
        <v/>
      </c>
    </row>
    <row r="7227" spans="7:11" x14ac:dyDescent="0.2">
      <c r="G7227" s="44"/>
      <c r="J7227" t="str">
        <f t="shared" si="224"/>
        <v/>
      </c>
      <c r="K7227" t="str">
        <f t="shared" si="225"/>
        <v/>
      </c>
    </row>
    <row r="7228" spans="7:11" x14ac:dyDescent="0.2">
      <c r="G7228" s="44"/>
      <c r="J7228" t="str">
        <f t="shared" si="224"/>
        <v/>
      </c>
      <c r="K7228" t="str">
        <f t="shared" si="225"/>
        <v/>
      </c>
    </row>
    <row r="7229" spans="7:11" x14ac:dyDescent="0.2">
      <c r="G7229" s="44"/>
      <c r="J7229" t="str">
        <f t="shared" si="224"/>
        <v/>
      </c>
      <c r="K7229" t="str">
        <f t="shared" si="225"/>
        <v/>
      </c>
    </row>
    <row r="7230" spans="7:11" x14ac:dyDescent="0.2">
      <c r="G7230" s="44"/>
      <c r="J7230" t="str">
        <f t="shared" si="224"/>
        <v/>
      </c>
      <c r="K7230" t="str">
        <f t="shared" si="225"/>
        <v/>
      </c>
    </row>
    <row r="7231" spans="7:11" x14ac:dyDescent="0.2">
      <c r="G7231" s="44"/>
      <c r="J7231" t="str">
        <f t="shared" si="224"/>
        <v/>
      </c>
      <c r="K7231" t="str">
        <f t="shared" si="225"/>
        <v/>
      </c>
    </row>
    <row r="7232" spans="7:11" x14ac:dyDescent="0.2">
      <c r="G7232" s="44"/>
      <c r="J7232" t="str">
        <f t="shared" si="224"/>
        <v/>
      </c>
      <c r="K7232" t="str">
        <f t="shared" si="225"/>
        <v/>
      </c>
    </row>
    <row r="7233" spans="7:11" x14ac:dyDescent="0.2">
      <c r="G7233" s="44"/>
      <c r="J7233" t="str">
        <f t="shared" si="224"/>
        <v/>
      </c>
      <c r="K7233" t="str">
        <f t="shared" si="225"/>
        <v/>
      </c>
    </row>
    <row r="7234" spans="7:11" x14ac:dyDescent="0.2">
      <c r="G7234" s="44"/>
      <c r="J7234" t="str">
        <f t="shared" ref="J7234:J7297" si="226">IF(E7234="","",IF(OR(E7234=50,E7234=51),"Iltindhold",IF(E7234=75,"Carbon,org,NVOC",IF(OR(E7234=343,E7234=1167),"Svovlbrinte",IF(OR(E7234=240,E7234=241,E7234=242),"Amm",IF(E7234=244,"Nitrit",IF(E7234=247,"Nitrat",IF(E7234=334,"Sulfat",IF(E7234=262,"Phosphor, total-P",F7234)))))))))</f>
        <v/>
      </c>
      <c r="K7234" t="str">
        <f t="shared" ref="K7234:K7297" si="227">IF(A7234="","",IF(H7234="!",NA(),IF(H7234="A",I7234*0.5,IF(H7234="&lt;",I7234*0.5,I7234))))</f>
        <v/>
      </c>
    </row>
    <row r="7235" spans="7:11" x14ac:dyDescent="0.2">
      <c r="G7235" s="44"/>
      <c r="J7235" t="str">
        <f t="shared" si="226"/>
        <v/>
      </c>
      <c r="K7235" t="str">
        <f t="shared" si="227"/>
        <v/>
      </c>
    </row>
    <row r="7236" spans="7:11" x14ac:dyDescent="0.2">
      <c r="G7236" s="44"/>
      <c r="J7236" t="str">
        <f t="shared" si="226"/>
        <v/>
      </c>
      <c r="K7236" t="str">
        <f t="shared" si="227"/>
        <v/>
      </c>
    </row>
    <row r="7237" spans="7:11" x14ac:dyDescent="0.2">
      <c r="G7237" s="44"/>
      <c r="J7237" t="str">
        <f t="shared" si="226"/>
        <v/>
      </c>
      <c r="K7237" t="str">
        <f t="shared" si="227"/>
        <v/>
      </c>
    </row>
    <row r="7238" spans="7:11" x14ac:dyDescent="0.2">
      <c r="G7238" s="44"/>
      <c r="J7238" t="str">
        <f t="shared" si="226"/>
        <v/>
      </c>
      <c r="K7238" t="str">
        <f t="shared" si="227"/>
        <v/>
      </c>
    </row>
    <row r="7239" spans="7:11" x14ac:dyDescent="0.2">
      <c r="G7239" s="44"/>
      <c r="J7239" t="str">
        <f t="shared" si="226"/>
        <v/>
      </c>
      <c r="K7239" t="str">
        <f t="shared" si="227"/>
        <v/>
      </c>
    </row>
    <row r="7240" spans="7:11" x14ac:dyDescent="0.2">
      <c r="G7240" s="44"/>
      <c r="J7240" t="str">
        <f t="shared" si="226"/>
        <v/>
      </c>
      <c r="K7240" t="str">
        <f t="shared" si="227"/>
        <v/>
      </c>
    </row>
    <row r="7241" spans="7:11" x14ac:dyDescent="0.2">
      <c r="G7241" s="44"/>
      <c r="J7241" t="str">
        <f t="shared" si="226"/>
        <v/>
      </c>
      <c r="K7241" t="str">
        <f t="shared" si="227"/>
        <v/>
      </c>
    </row>
    <row r="7242" spans="7:11" x14ac:dyDescent="0.2">
      <c r="G7242" s="44"/>
      <c r="J7242" t="str">
        <f t="shared" si="226"/>
        <v/>
      </c>
      <c r="K7242" t="str">
        <f t="shared" si="227"/>
        <v/>
      </c>
    </row>
    <row r="7243" spans="7:11" x14ac:dyDescent="0.2">
      <c r="G7243" s="44"/>
      <c r="J7243" t="str">
        <f t="shared" si="226"/>
        <v/>
      </c>
      <c r="K7243" t="str">
        <f t="shared" si="227"/>
        <v/>
      </c>
    </row>
    <row r="7244" spans="7:11" x14ac:dyDescent="0.2">
      <c r="G7244" s="44"/>
      <c r="J7244" t="str">
        <f t="shared" si="226"/>
        <v/>
      </c>
      <c r="K7244" t="str">
        <f t="shared" si="227"/>
        <v/>
      </c>
    </row>
    <row r="7245" spans="7:11" x14ac:dyDescent="0.2">
      <c r="G7245" s="44"/>
      <c r="J7245" t="str">
        <f t="shared" si="226"/>
        <v/>
      </c>
      <c r="K7245" t="str">
        <f t="shared" si="227"/>
        <v/>
      </c>
    </row>
    <row r="7246" spans="7:11" x14ac:dyDescent="0.2">
      <c r="G7246" s="44"/>
      <c r="J7246" t="str">
        <f t="shared" si="226"/>
        <v/>
      </c>
      <c r="K7246" t="str">
        <f t="shared" si="227"/>
        <v/>
      </c>
    </row>
    <row r="7247" spans="7:11" x14ac:dyDescent="0.2">
      <c r="G7247" s="44"/>
      <c r="J7247" t="str">
        <f t="shared" si="226"/>
        <v/>
      </c>
      <c r="K7247" t="str">
        <f t="shared" si="227"/>
        <v/>
      </c>
    </row>
    <row r="7248" spans="7:11" x14ac:dyDescent="0.2">
      <c r="G7248" s="44"/>
      <c r="J7248" t="str">
        <f t="shared" si="226"/>
        <v/>
      </c>
      <c r="K7248" t="str">
        <f t="shared" si="227"/>
        <v/>
      </c>
    </row>
    <row r="7249" spans="7:11" x14ac:dyDescent="0.2">
      <c r="G7249" s="44"/>
      <c r="J7249" t="str">
        <f t="shared" si="226"/>
        <v/>
      </c>
      <c r="K7249" t="str">
        <f t="shared" si="227"/>
        <v/>
      </c>
    </row>
    <row r="7250" spans="7:11" x14ac:dyDescent="0.2">
      <c r="G7250" s="44"/>
      <c r="J7250" t="str">
        <f t="shared" si="226"/>
        <v/>
      </c>
      <c r="K7250" t="str">
        <f t="shared" si="227"/>
        <v/>
      </c>
    </row>
    <row r="7251" spans="7:11" x14ac:dyDescent="0.2">
      <c r="G7251" s="44"/>
      <c r="J7251" t="str">
        <f t="shared" si="226"/>
        <v/>
      </c>
      <c r="K7251" t="str">
        <f t="shared" si="227"/>
        <v/>
      </c>
    </row>
    <row r="7252" spans="7:11" x14ac:dyDescent="0.2">
      <c r="G7252" s="44"/>
      <c r="J7252" t="str">
        <f t="shared" si="226"/>
        <v/>
      </c>
      <c r="K7252" t="str">
        <f t="shared" si="227"/>
        <v/>
      </c>
    </row>
    <row r="7253" spans="7:11" x14ac:dyDescent="0.2">
      <c r="G7253" s="44"/>
      <c r="J7253" t="str">
        <f t="shared" si="226"/>
        <v/>
      </c>
      <c r="K7253" t="str">
        <f t="shared" si="227"/>
        <v/>
      </c>
    </row>
    <row r="7254" spans="7:11" x14ac:dyDescent="0.2">
      <c r="G7254" s="44"/>
      <c r="J7254" t="str">
        <f t="shared" si="226"/>
        <v/>
      </c>
      <c r="K7254" t="str">
        <f t="shared" si="227"/>
        <v/>
      </c>
    </row>
    <row r="7255" spans="7:11" x14ac:dyDescent="0.2">
      <c r="G7255" s="44"/>
      <c r="J7255" t="str">
        <f t="shared" si="226"/>
        <v/>
      </c>
      <c r="K7255" t="str">
        <f t="shared" si="227"/>
        <v/>
      </c>
    </row>
    <row r="7256" spans="7:11" x14ac:dyDescent="0.2">
      <c r="G7256" s="44"/>
      <c r="J7256" t="str">
        <f t="shared" si="226"/>
        <v/>
      </c>
      <c r="K7256" t="str">
        <f t="shared" si="227"/>
        <v/>
      </c>
    </row>
    <row r="7257" spans="7:11" x14ac:dyDescent="0.2">
      <c r="G7257" s="44"/>
      <c r="J7257" t="str">
        <f t="shared" si="226"/>
        <v/>
      </c>
      <c r="K7257" t="str">
        <f t="shared" si="227"/>
        <v/>
      </c>
    </row>
    <row r="7258" spans="7:11" x14ac:dyDescent="0.2">
      <c r="G7258" s="44"/>
      <c r="J7258" t="str">
        <f t="shared" si="226"/>
        <v/>
      </c>
      <c r="K7258" t="str">
        <f t="shared" si="227"/>
        <v/>
      </c>
    </row>
    <row r="7259" spans="7:11" x14ac:dyDescent="0.2">
      <c r="G7259" s="44"/>
      <c r="J7259" t="str">
        <f t="shared" si="226"/>
        <v/>
      </c>
      <c r="K7259" t="str">
        <f t="shared" si="227"/>
        <v/>
      </c>
    </row>
    <row r="7260" spans="7:11" x14ac:dyDescent="0.2">
      <c r="G7260" s="44"/>
      <c r="J7260" t="str">
        <f t="shared" si="226"/>
        <v/>
      </c>
      <c r="K7260" t="str">
        <f t="shared" si="227"/>
        <v/>
      </c>
    </row>
    <row r="7261" spans="7:11" x14ac:dyDescent="0.2">
      <c r="G7261" s="44"/>
      <c r="J7261" t="str">
        <f t="shared" si="226"/>
        <v/>
      </c>
      <c r="K7261" t="str">
        <f t="shared" si="227"/>
        <v/>
      </c>
    </row>
    <row r="7262" spans="7:11" x14ac:dyDescent="0.2">
      <c r="G7262" s="44"/>
      <c r="J7262" t="str">
        <f t="shared" si="226"/>
        <v/>
      </c>
      <c r="K7262" t="str">
        <f t="shared" si="227"/>
        <v/>
      </c>
    </row>
    <row r="7263" spans="7:11" x14ac:dyDescent="0.2">
      <c r="G7263" s="44"/>
      <c r="J7263" t="str">
        <f t="shared" si="226"/>
        <v/>
      </c>
      <c r="K7263" t="str">
        <f t="shared" si="227"/>
        <v/>
      </c>
    </row>
    <row r="7264" spans="7:11" x14ac:dyDescent="0.2">
      <c r="G7264" s="44"/>
      <c r="J7264" t="str">
        <f t="shared" si="226"/>
        <v/>
      </c>
      <c r="K7264" t="str">
        <f t="shared" si="227"/>
        <v/>
      </c>
    </row>
    <row r="7265" spans="7:11" x14ac:dyDescent="0.2">
      <c r="G7265" s="44"/>
      <c r="J7265" t="str">
        <f t="shared" si="226"/>
        <v/>
      </c>
      <c r="K7265" t="str">
        <f t="shared" si="227"/>
        <v/>
      </c>
    </row>
    <row r="7266" spans="7:11" x14ac:dyDescent="0.2">
      <c r="G7266" s="44"/>
      <c r="J7266" t="str">
        <f t="shared" si="226"/>
        <v/>
      </c>
      <c r="K7266" t="str">
        <f t="shared" si="227"/>
        <v/>
      </c>
    </row>
    <row r="7267" spans="7:11" x14ac:dyDescent="0.2">
      <c r="G7267" s="44"/>
      <c r="J7267" t="str">
        <f t="shared" si="226"/>
        <v/>
      </c>
      <c r="K7267" t="str">
        <f t="shared" si="227"/>
        <v/>
      </c>
    </row>
    <row r="7268" spans="7:11" x14ac:dyDescent="0.2">
      <c r="G7268" s="44"/>
      <c r="J7268" t="str">
        <f t="shared" si="226"/>
        <v/>
      </c>
      <c r="K7268" t="str">
        <f t="shared" si="227"/>
        <v/>
      </c>
    </row>
    <row r="7269" spans="7:11" x14ac:dyDescent="0.2">
      <c r="G7269" s="44"/>
      <c r="J7269" t="str">
        <f t="shared" si="226"/>
        <v/>
      </c>
      <c r="K7269" t="str">
        <f t="shared" si="227"/>
        <v/>
      </c>
    </row>
    <row r="7270" spans="7:11" x14ac:dyDescent="0.2">
      <c r="G7270" s="44"/>
      <c r="J7270" t="str">
        <f t="shared" si="226"/>
        <v/>
      </c>
      <c r="K7270" t="str">
        <f t="shared" si="227"/>
        <v/>
      </c>
    </row>
    <row r="7271" spans="7:11" x14ac:dyDescent="0.2">
      <c r="G7271" s="44"/>
      <c r="J7271" t="str">
        <f t="shared" si="226"/>
        <v/>
      </c>
      <c r="K7271" t="str">
        <f t="shared" si="227"/>
        <v/>
      </c>
    </row>
    <row r="7272" spans="7:11" x14ac:dyDescent="0.2">
      <c r="G7272" s="44"/>
      <c r="J7272" t="str">
        <f t="shared" si="226"/>
        <v/>
      </c>
      <c r="K7272" t="str">
        <f t="shared" si="227"/>
        <v/>
      </c>
    </row>
    <row r="7273" spans="7:11" x14ac:dyDescent="0.2">
      <c r="G7273" s="44"/>
      <c r="J7273" t="str">
        <f t="shared" si="226"/>
        <v/>
      </c>
      <c r="K7273" t="str">
        <f t="shared" si="227"/>
        <v/>
      </c>
    </row>
    <row r="7274" spans="7:11" x14ac:dyDescent="0.2">
      <c r="G7274" s="44"/>
      <c r="J7274" t="str">
        <f t="shared" si="226"/>
        <v/>
      </c>
      <c r="K7274" t="str">
        <f t="shared" si="227"/>
        <v/>
      </c>
    </row>
    <row r="7275" spans="7:11" x14ac:dyDescent="0.2">
      <c r="G7275" s="44"/>
      <c r="J7275" t="str">
        <f t="shared" si="226"/>
        <v/>
      </c>
      <c r="K7275" t="str">
        <f t="shared" si="227"/>
        <v/>
      </c>
    </row>
    <row r="7276" spans="7:11" x14ac:dyDescent="0.2">
      <c r="G7276" s="44"/>
      <c r="J7276" t="str">
        <f t="shared" si="226"/>
        <v/>
      </c>
      <c r="K7276" t="str">
        <f t="shared" si="227"/>
        <v/>
      </c>
    </row>
    <row r="7277" spans="7:11" x14ac:dyDescent="0.2">
      <c r="G7277" s="44"/>
      <c r="J7277" t="str">
        <f t="shared" si="226"/>
        <v/>
      </c>
      <c r="K7277" t="str">
        <f t="shared" si="227"/>
        <v/>
      </c>
    </row>
    <row r="7278" spans="7:11" x14ac:dyDescent="0.2">
      <c r="G7278" s="44"/>
      <c r="J7278" t="str">
        <f t="shared" si="226"/>
        <v/>
      </c>
      <c r="K7278" t="str">
        <f t="shared" si="227"/>
        <v/>
      </c>
    </row>
    <row r="7279" spans="7:11" x14ac:dyDescent="0.2">
      <c r="G7279" s="44"/>
      <c r="J7279" t="str">
        <f t="shared" si="226"/>
        <v/>
      </c>
      <c r="K7279" t="str">
        <f t="shared" si="227"/>
        <v/>
      </c>
    </row>
    <row r="7280" spans="7:11" x14ac:dyDescent="0.2">
      <c r="G7280" s="44"/>
      <c r="J7280" t="str">
        <f t="shared" si="226"/>
        <v/>
      </c>
      <c r="K7280" t="str">
        <f t="shared" si="227"/>
        <v/>
      </c>
    </row>
    <row r="7281" spans="7:11" x14ac:dyDescent="0.2">
      <c r="G7281" s="44"/>
      <c r="J7281" t="str">
        <f t="shared" si="226"/>
        <v/>
      </c>
      <c r="K7281" t="str">
        <f t="shared" si="227"/>
        <v/>
      </c>
    </row>
    <row r="7282" spans="7:11" x14ac:dyDescent="0.2">
      <c r="G7282" s="44"/>
      <c r="J7282" t="str">
        <f t="shared" si="226"/>
        <v/>
      </c>
      <c r="K7282" t="str">
        <f t="shared" si="227"/>
        <v/>
      </c>
    </row>
    <row r="7283" spans="7:11" x14ac:dyDescent="0.2">
      <c r="G7283" s="44"/>
      <c r="J7283" t="str">
        <f t="shared" si="226"/>
        <v/>
      </c>
      <c r="K7283" t="str">
        <f t="shared" si="227"/>
        <v/>
      </c>
    </row>
    <row r="7284" spans="7:11" x14ac:dyDescent="0.2">
      <c r="G7284" s="44"/>
      <c r="J7284" t="str">
        <f t="shared" si="226"/>
        <v/>
      </c>
      <c r="K7284" t="str">
        <f t="shared" si="227"/>
        <v/>
      </c>
    </row>
    <row r="7285" spans="7:11" x14ac:dyDescent="0.2">
      <c r="G7285" s="44"/>
      <c r="J7285" t="str">
        <f t="shared" si="226"/>
        <v/>
      </c>
      <c r="K7285" t="str">
        <f t="shared" si="227"/>
        <v/>
      </c>
    </row>
    <row r="7286" spans="7:11" x14ac:dyDescent="0.2">
      <c r="G7286" s="44"/>
      <c r="J7286" t="str">
        <f t="shared" si="226"/>
        <v/>
      </c>
      <c r="K7286" t="str">
        <f t="shared" si="227"/>
        <v/>
      </c>
    </row>
    <row r="7287" spans="7:11" x14ac:dyDescent="0.2">
      <c r="G7287" s="44"/>
      <c r="J7287" t="str">
        <f t="shared" si="226"/>
        <v/>
      </c>
      <c r="K7287" t="str">
        <f t="shared" si="227"/>
        <v/>
      </c>
    </row>
    <row r="7288" spans="7:11" x14ac:dyDescent="0.2">
      <c r="G7288" s="44"/>
      <c r="J7288" t="str">
        <f t="shared" si="226"/>
        <v/>
      </c>
      <c r="K7288" t="str">
        <f t="shared" si="227"/>
        <v/>
      </c>
    </row>
    <row r="7289" spans="7:11" x14ac:dyDescent="0.2">
      <c r="G7289" s="44"/>
      <c r="J7289" t="str">
        <f t="shared" si="226"/>
        <v/>
      </c>
      <c r="K7289" t="str">
        <f t="shared" si="227"/>
        <v/>
      </c>
    </row>
    <row r="7290" spans="7:11" x14ac:dyDescent="0.2">
      <c r="G7290" s="44"/>
      <c r="J7290" t="str">
        <f t="shared" si="226"/>
        <v/>
      </c>
      <c r="K7290" t="str">
        <f t="shared" si="227"/>
        <v/>
      </c>
    </row>
    <row r="7291" spans="7:11" x14ac:dyDescent="0.2">
      <c r="G7291" s="44"/>
      <c r="J7291" t="str">
        <f t="shared" si="226"/>
        <v/>
      </c>
      <c r="K7291" t="str">
        <f t="shared" si="227"/>
        <v/>
      </c>
    </row>
    <row r="7292" spans="7:11" x14ac:dyDescent="0.2">
      <c r="G7292" s="44"/>
      <c r="J7292" t="str">
        <f t="shared" si="226"/>
        <v/>
      </c>
      <c r="K7292" t="str">
        <f t="shared" si="227"/>
        <v/>
      </c>
    </row>
    <row r="7293" spans="7:11" x14ac:dyDescent="0.2">
      <c r="G7293" s="44"/>
      <c r="J7293" t="str">
        <f t="shared" si="226"/>
        <v/>
      </c>
      <c r="K7293" t="str">
        <f t="shared" si="227"/>
        <v/>
      </c>
    </row>
    <row r="7294" spans="7:11" x14ac:dyDescent="0.2">
      <c r="G7294" s="44"/>
      <c r="J7294" t="str">
        <f t="shared" si="226"/>
        <v/>
      </c>
      <c r="K7294" t="str">
        <f t="shared" si="227"/>
        <v/>
      </c>
    </row>
    <row r="7295" spans="7:11" x14ac:dyDescent="0.2">
      <c r="G7295" s="44"/>
      <c r="J7295" t="str">
        <f t="shared" si="226"/>
        <v/>
      </c>
      <c r="K7295" t="str">
        <f t="shared" si="227"/>
        <v/>
      </c>
    </row>
    <row r="7296" spans="7:11" x14ac:dyDescent="0.2">
      <c r="G7296" s="44"/>
      <c r="J7296" t="str">
        <f t="shared" si="226"/>
        <v/>
      </c>
      <c r="K7296" t="str">
        <f t="shared" si="227"/>
        <v/>
      </c>
    </row>
    <row r="7297" spans="7:11" x14ac:dyDescent="0.2">
      <c r="G7297" s="44"/>
      <c r="J7297" t="str">
        <f t="shared" si="226"/>
        <v/>
      </c>
      <c r="K7297" t="str">
        <f t="shared" si="227"/>
        <v/>
      </c>
    </row>
    <row r="7298" spans="7:11" x14ac:dyDescent="0.2">
      <c r="G7298" s="44"/>
      <c r="J7298" t="str">
        <f t="shared" ref="J7298:J7361" si="228">IF(E7298="","",IF(OR(E7298=50,E7298=51),"Iltindhold",IF(E7298=75,"Carbon,org,NVOC",IF(OR(E7298=343,E7298=1167),"Svovlbrinte",IF(OR(E7298=240,E7298=241,E7298=242),"Amm",IF(E7298=244,"Nitrit",IF(E7298=247,"Nitrat",IF(E7298=334,"Sulfat",IF(E7298=262,"Phosphor, total-P",F7298)))))))))</f>
        <v/>
      </c>
      <c r="K7298" t="str">
        <f t="shared" ref="K7298:K7361" si="229">IF(A7298="","",IF(H7298="!",NA(),IF(H7298="A",I7298*0.5,IF(H7298="&lt;",I7298*0.5,I7298))))</f>
        <v/>
      </c>
    </row>
    <row r="7299" spans="7:11" x14ac:dyDescent="0.2">
      <c r="G7299" s="44"/>
      <c r="J7299" t="str">
        <f t="shared" si="228"/>
        <v/>
      </c>
      <c r="K7299" t="str">
        <f t="shared" si="229"/>
        <v/>
      </c>
    </row>
    <row r="7300" spans="7:11" x14ac:dyDescent="0.2">
      <c r="G7300" s="44"/>
      <c r="J7300" t="str">
        <f t="shared" si="228"/>
        <v/>
      </c>
      <c r="K7300" t="str">
        <f t="shared" si="229"/>
        <v/>
      </c>
    </row>
    <row r="7301" spans="7:11" x14ac:dyDescent="0.2">
      <c r="G7301" s="44"/>
      <c r="J7301" t="str">
        <f t="shared" si="228"/>
        <v/>
      </c>
      <c r="K7301" t="str">
        <f t="shared" si="229"/>
        <v/>
      </c>
    </row>
    <row r="7302" spans="7:11" x14ac:dyDescent="0.2">
      <c r="G7302" s="44"/>
      <c r="J7302" t="str">
        <f t="shared" si="228"/>
        <v/>
      </c>
      <c r="K7302" t="str">
        <f t="shared" si="229"/>
        <v/>
      </c>
    </row>
    <row r="7303" spans="7:11" x14ac:dyDescent="0.2">
      <c r="G7303" s="44"/>
      <c r="J7303" t="str">
        <f t="shared" si="228"/>
        <v/>
      </c>
      <c r="K7303" t="str">
        <f t="shared" si="229"/>
        <v/>
      </c>
    </row>
    <row r="7304" spans="7:11" x14ac:dyDescent="0.2">
      <c r="G7304" s="44"/>
      <c r="J7304" t="str">
        <f t="shared" si="228"/>
        <v/>
      </c>
      <c r="K7304" t="str">
        <f t="shared" si="229"/>
        <v/>
      </c>
    </row>
    <row r="7305" spans="7:11" x14ac:dyDescent="0.2">
      <c r="G7305" s="44"/>
      <c r="J7305" t="str">
        <f t="shared" si="228"/>
        <v/>
      </c>
      <c r="K7305" t="str">
        <f t="shared" si="229"/>
        <v/>
      </c>
    </row>
    <row r="7306" spans="7:11" x14ac:dyDescent="0.2">
      <c r="G7306" s="44"/>
      <c r="J7306" t="str">
        <f t="shared" si="228"/>
        <v/>
      </c>
      <c r="K7306" t="str">
        <f t="shared" si="229"/>
        <v/>
      </c>
    </row>
    <row r="7307" spans="7:11" x14ac:dyDescent="0.2">
      <c r="G7307" s="44"/>
      <c r="J7307" t="str">
        <f t="shared" si="228"/>
        <v/>
      </c>
      <c r="K7307" t="str">
        <f t="shared" si="229"/>
        <v/>
      </c>
    </row>
    <row r="7308" spans="7:11" x14ac:dyDescent="0.2">
      <c r="G7308" s="44"/>
      <c r="J7308" t="str">
        <f t="shared" si="228"/>
        <v/>
      </c>
      <c r="K7308" t="str">
        <f t="shared" si="229"/>
        <v/>
      </c>
    </row>
    <row r="7309" spans="7:11" x14ac:dyDescent="0.2">
      <c r="G7309" s="44"/>
      <c r="J7309" t="str">
        <f t="shared" si="228"/>
        <v/>
      </c>
      <c r="K7309" t="str">
        <f t="shared" si="229"/>
        <v/>
      </c>
    </row>
    <row r="7310" spans="7:11" x14ac:dyDescent="0.2">
      <c r="G7310" s="44"/>
      <c r="J7310" t="str">
        <f t="shared" si="228"/>
        <v/>
      </c>
      <c r="K7310" t="str">
        <f t="shared" si="229"/>
        <v/>
      </c>
    </row>
    <row r="7311" spans="7:11" x14ac:dyDescent="0.2">
      <c r="G7311" s="44"/>
      <c r="J7311" t="str">
        <f t="shared" si="228"/>
        <v/>
      </c>
      <c r="K7311" t="str">
        <f t="shared" si="229"/>
        <v/>
      </c>
    </row>
    <row r="7312" spans="7:11" x14ac:dyDescent="0.2">
      <c r="G7312" s="44"/>
      <c r="J7312" t="str">
        <f t="shared" si="228"/>
        <v/>
      </c>
      <c r="K7312" t="str">
        <f t="shared" si="229"/>
        <v/>
      </c>
    </row>
    <row r="7313" spans="7:11" x14ac:dyDescent="0.2">
      <c r="G7313" s="44"/>
      <c r="J7313" t="str">
        <f t="shared" si="228"/>
        <v/>
      </c>
      <c r="K7313" t="str">
        <f t="shared" si="229"/>
        <v/>
      </c>
    </row>
    <row r="7314" spans="7:11" x14ac:dyDescent="0.2">
      <c r="G7314" s="44"/>
      <c r="J7314" t="str">
        <f t="shared" si="228"/>
        <v/>
      </c>
      <c r="K7314" t="str">
        <f t="shared" si="229"/>
        <v/>
      </c>
    </row>
    <row r="7315" spans="7:11" x14ac:dyDescent="0.2">
      <c r="G7315" s="44"/>
      <c r="J7315" t="str">
        <f t="shared" si="228"/>
        <v/>
      </c>
      <c r="K7315" t="str">
        <f t="shared" si="229"/>
        <v/>
      </c>
    </row>
    <row r="7316" spans="7:11" x14ac:dyDescent="0.2">
      <c r="G7316" s="44"/>
      <c r="J7316" t="str">
        <f t="shared" si="228"/>
        <v/>
      </c>
      <c r="K7316" t="str">
        <f t="shared" si="229"/>
        <v/>
      </c>
    </row>
    <row r="7317" spans="7:11" x14ac:dyDescent="0.2">
      <c r="G7317" s="44"/>
      <c r="J7317" t="str">
        <f t="shared" si="228"/>
        <v/>
      </c>
      <c r="K7317" t="str">
        <f t="shared" si="229"/>
        <v/>
      </c>
    </row>
    <row r="7318" spans="7:11" x14ac:dyDescent="0.2">
      <c r="G7318" s="44"/>
      <c r="J7318" t="str">
        <f t="shared" si="228"/>
        <v/>
      </c>
      <c r="K7318" t="str">
        <f t="shared" si="229"/>
        <v/>
      </c>
    </row>
    <row r="7319" spans="7:11" x14ac:dyDescent="0.2">
      <c r="G7319" s="44"/>
      <c r="J7319" t="str">
        <f t="shared" si="228"/>
        <v/>
      </c>
      <c r="K7319" t="str">
        <f t="shared" si="229"/>
        <v/>
      </c>
    </row>
    <row r="7320" spans="7:11" x14ac:dyDescent="0.2">
      <c r="G7320" s="44"/>
      <c r="J7320" t="str">
        <f t="shared" si="228"/>
        <v/>
      </c>
      <c r="K7320" t="str">
        <f t="shared" si="229"/>
        <v/>
      </c>
    </row>
    <row r="7321" spans="7:11" x14ac:dyDescent="0.2">
      <c r="G7321" s="44"/>
      <c r="J7321" t="str">
        <f t="shared" si="228"/>
        <v/>
      </c>
      <c r="K7321" t="str">
        <f t="shared" si="229"/>
        <v/>
      </c>
    </row>
    <row r="7322" spans="7:11" x14ac:dyDescent="0.2">
      <c r="G7322" s="44"/>
      <c r="J7322" t="str">
        <f t="shared" si="228"/>
        <v/>
      </c>
      <c r="K7322" t="str">
        <f t="shared" si="229"/>
        <v/>
      </c>
    </row>
    <row r="7323" spans="7:11" x14ac:dyDescent="0.2">
      <c r="G7323" s="44"/>
      <c r="J7323" t="str">
        <f t="shared" si="228"/>
        <v/>
      </c>
      <c r="K7323" t="str">
        <f t="shared" si="229"/>
        <v/>
      </c>
    </row>
    <row r="7324" spans="7:11" x14ac:dyDescent="0.2">
      <c r="G7324" s="44"/>
      <c r="J7324" t="str">
        <f t="shared" si="228"/>
        <v/>
      </c>
      <c r="K7324" t="str">
        <f t="shared" si="229"/>
        <v/>
      </c>
    </row>
    <row r="7325" spans="7:11" x14ac:dyDescent="0.2">
      <c r="G7325" s="44"/>
      <c r="J7325" t="str">
        <f t="shared" si="228"/>
        <v/>
      </c>
      <c r="K7325" t="str">
        <f t="shared" si="229"/>
        <v/>
      </c>
    </row>
    <row r="7326" spans="7:11" x14ac:dyDescent="0.2">
      <c r="G7326" s="44"/>
      <c r="J7326" t="str">
        <f t="shared" si="228"/>
        <v/>
      </c>
      <c r="K7326" t="str">
        <f t="shared" si="229"/>
        <v/>
      </c>
    </row>
    <row r="7327" spans="7:11" x14ac:dyDescent="0.2">
      <c r="G7327" s="44"/>
      <c r="J7327" t="str">
        <f t="shared" si="228"/>
        <v/>
      </c>
      <c r="K7327" t="str">
        <f t="shared" si="229"/>
        <v/>
      </c>
    </row>
    <row r="7328" spans="7:11" x14ac:dyDescent="0.2">
      <c r="G7328" s="44"/>
      <c r="J7328" t="str">
        <f t="shared" si="228"/>
        <v/>
      </c>
      <c r="K7328" t="str">
        <f t="shared" si="229"/>
        <v/>
      </c>
    </row>
    <row r="7329" spans="7:11" x14ac:dyDescent="0.2">
      <c r="G7329" s="44"/>
      <c r="J7329" t="str">
        <f t="shared" si="228"/>
        <v/>
      </c>
      <c r="K7329" t="str">
        <f t="shared" si="229"/>
        <v/>
      </c>
    </row>
    <row r="7330" spans="7:11" x14ac:dyDescent="0.2">
      <c r="G7330" s="44"/>
      <c r="J7330" t="str">
        <f t="shared" si="228"/>
        <v/>
      </c>
      <c r="K7330" t="str">
        <f t="shared" si="229"/>
        <v/>
      </c>
    </row>
    <row r="7331" spans="7:11" x14ac:dyDescent="0.2">
      <c r="G7331" s="44"/>
      <c r="J7331" t="str">
        <f t="shared" si="228"/>
        <v/>
      </c>
      <c r="K7331" t="str">
        <f t="shared" si="229"/>
        <v/>
      </c>
    </row>
    <row r="7332" spans="7:11" x14ac:dyDescent="0.2">
      <c r="G7332" s="44"/>
      <c r="J7332" t="str">
        <f t="shared" si="228"/>
        <v/>
      </c>
      <c r="K7332" t="str">
        <f t="shared" si="229"/>
        <v/>
      </c>
    </row>
    <row r="7333" spans="7:11" x14ac:dyDescent="0.2">
      <c r="G7333" s="44"/>
      <c r="J7333" t="str">
        <f t="shared" si="228"/>
        <v/>
      </c>
      <c r="K7333" t="str">
        <f t="shared" si="229"/>
        <v/>
      </c>
    </row>
    <row r="7334" spans="7:11" x14ac:dyDescent="0.2">
      <c r="G7334" s="44"/>
      <c r="J7334" t="str">
        <f t="shared" si="228"/>
        <v/>
      </c>
      <c r="K7334" t="str">
        <f t="shared" si="229"/>
        <v/>
      </c>
    </row>
    <row r="7335" spans="7:11" x14ac:dyDescent="0.2">
      <c r="G7335" s="44"/>
      <c r="J7335" t="str">
        <f t="shared" si="228"/>
        <v/>
      </c>
      <c r="K7335" t="str">
        <f t="shared" si="229"/>
        <v/>
      </c>
    </row>
    <row r="7336" spans="7:11" x14ac:dyDescent="0.2">
      <c r="G7336" s="44"/>
      <c r="J7336" t="str">
        <f t="shared" si="228"/>
        <v/>
      </c>
      <c r="K7336" t="str">
        <f t="shared" si="229"/>
        <v/>
      </c>
    </row>
    <row r="7337" spans="7:11" x14ac:dyDescent="0.2">
      <c r="G7337" s="44"/>
      <c r="J7337" t="str">
        <f t="shared" si="228"/>
        <v/>
      </c>
      <c r="K7337" t="str">
        <f t="shared" si="229"/>
        <v/>
      </c>
    </row>
    <row r="7338" spans="7:11" x14ac:dyDescent="0.2">
      <c r="G7338" s="44"/>
      <c r="J7338" t="str">
        <f t="shared" si="228"/>
        <v/>
      </c>
      <c r="K7338" t="str">
        <f t="shared" si="229"/>
        <v/>
      </c>
    </row>
    <row r="7339" spans="7:11" x14ac:dyDescent="0.2">
      <c r="G7339" s="44"/>
      <c r="J7339" t="str">
        <f t="shared" si="228"/>
        <v/>
      </c>
      <c r="K7339" t="str">
        <f t="shared" si="229"/>
        <v/>
      </c>
    </row>
    <row r="7340" spans="7:11" x14ac:dyDescent="0.2">
      <c r="G7340" s="44"/>
      <c r="J7340" t="str">
        <f t="shared" si="228"/>
        <v/>
      </c>
      <c r="K7340" t="str">
        <f t="shared" si="229"/>
        <v/>
      </c>
    </row>
    <row r="7341" spans="7:11" x14ac:dyDescent="0.2">
      <c r="G7341" s="44"/>
      <c r="J7341" t="str">
        <f t="shared" si="228"/>
        <v/>
      </c>
      <c r="K7341" t="str">
        <f t="shared" si="229"/>
        <v/>
      </c>
    </row>
    <row r="7342" spans="7:11" x14ac:dyDescent="0.2">
      <c r="G7342" s="44"/>
      <c r="J7342" t="str">
        <f t="shared" si="228"/>
        <v/>
      </c>
      <c r="K7342" t="str">
        <f t="shared" si="229"/>
        <v/>
      </c>
    </row>
    <row r="7343" spans="7:11" x14ac:dyDescent="0.2">
      <c r="G7343" s="44"/>
      <c r="J7343" t="str">
        <f t="shared" si="228"/>
        <v/>
      </c>
      <c r="K7343" t="str">
        <f t="shared" si="229"/>
        <v/>
      </c>
    </row>
    <row r="7344" spans="7:11" x14ac:dyDescent="0.2">
      <c r="G7344" s="44"/>
      <c r="J7344" t="str">
        <f t="shared" si="228"/>
        <v/>
      </c>
      <c r="K7344" t="str">
        <f t="shared" si="229"/>
        <v/>
      </c>
    </row>
    <row r="7345" spans="7:11" x14ac:dyDescent="0.2">
      <c r="G7345" s="44"/>
      <c r="J7345" t="str">
        <f t="shared" si="228"/>
        <v/>
      </c>
      <c r="K7345" t="str">
        <f t="shared" si="229"/>
        <v/>
      </c>
    </row>
    <row r="7346" spans="7:11" x14ac:dyDescent="0.2">
      <c r="G7346" s="44"/>
      <c r="J7346" t="str">
        <f t="shared" si="228"/>
        <v/>
      </c>
      <c r="K7346" t="str">
        <f t="shared" si="229"/>
        <v/>
      </c>
    </row>
    <row r="7347" spans="7:11" x14ac:dyDescent="0.2">
      <c r="G7347" s="44"/>
      <c r="J7347" t="str">
        <f t="shared" si="228"/>
        <v/>
      </c>
      <c r="K7347" t="str">
        <f t="shared" si="229"/>
        <v/>
      </c>
    </row>
    <row r="7348" spans="7:11" x14ac:dyDescent="0.2">
      <c r="G7348" s="44"/>
      <c r="J7348" t="str">
        <f t="shared" si="228"/>
        <v/>
      </c>
      <c r="K7348" t="str">
        <f t="shared" si="229"/>
        <v/>
      </c>
    </row>
    <row r="7349" spans="7:11" x14ac:dyDescent="0.2">
      <c r="G7349" s="44"/>
      <c r="J7349" t="str">
        <f t="shared" si="228"/>
        <v/>
      </c>
      <c r="K7349" t="str">
        <f t="shared" si="229"/>
        <v/>
      </c>
    </row>
    <row r="7350" spans="7:11" x14ac:dyDescent="0.2">
      <c r="G7350" s="44"/>
      <c r="J7350" t="str">
        <f t="shared" si="228"/>
        <v/>
      </c>
      <c r="K7350" t="str">
        <f t="shared" si="229"/>
        <v/>
      </c>
    </row>
    <row r="7351" spans="7:11" x14ac:dyDescent="0.2">
      <c r="G7351" s="44"/>
      <c r="J7351" t="str">
        <f t="shared" si="228"/>
        <v/>
      </c>
      <c r="K7351" t="str">
        <f t="shared" si="229"/>
        <v/>
      </c>
    </row>
    <row r="7352" spans="7:11" x14ac:dyDescent="0.2">
      <c r="G7352" s="44"/>
      <c r="J7352" t="str">
        <f t="shared" si="228"/>
        <v/>
      </c>
      <c r="K7352" t="str">
        <f t="shared" si="229"/>
        <v/>
      </c>
    </row>
    <row r="7353" spans="7:11" x14ac:dyDescent="0.2">
      <c r="G7353" s="44"/>
      <c r="J7353" t="str">
        <f t="shared" si="228"/>
        <v/>
      </c>
      <c r="K7353" t="str">
        <f t="shared" si="229"/>
        <v/>
      </c>
    </row>
    <row r="7354" spans="7:11" x14ac:dyDescent="0.2">
      <c r="G7354" s="44"/>
      <c r="J7354" t="str">
        <f t="shared" si="228"/>
        <v/>
      </c>
      <c r="K7354" t="str">
        <f t="shared" si="229"/>
        <v/>
      </c>
    </row>
    <row r="7355" spans="7:11" x14ac:dyDescent="0.2">
      <c r="G7355" s="44"/>
      <c r="J7355" t="str">
        <f t="shared" si="228"/>
        <v/>
      </c>
      <c r="K7355" t="str">
        <f t="shared" si="229"/>
        <v/>
      </c>
    </row>
    <row r="7356" spans="7:11" x14ac:dyDescent="0.2">
      <c r="G7356" s="44"/>
      <c r="J7356" t="str">
        <f t="shared" si="228"/>
        <v/>
      </c>
      <c r="K7356" t="str">
        <f t="shared" si="229"/>
        <v/>
      </c>
    </row>
    <row r="7357" spans="7:11" x14ac:dyDescent="0.2">
      <c r="G7357" s="44"/>
      <c r="J7357" t="str">
        <f t="shared" si="228"/>
        <v/>
      </c>
      <c r="K7357" t="str">
        <f t="shared" si="229"/>
        <v/>
      </c>
    </row>
    <row r="7358" spans="7:11" x14ac:dyDescent="0.2">
      <c r="G7358" s="44"/>
      <c r="J7358" t="str">
        <f t="shared" si="228"/>
        <v/>
      </c>
      <c r="K7358" t="str">
        <f t="shared" si="229"/>
        <v/>
      </c>
    </row>
    <row r="7359" spans="7:11" x14ac:dyDescent="0.2">
      <c r="G7359" s="44"/>
      <c r="J7359" t="str">
        <f t="shared" si="228"/>
        <v/>
      </c>
      <c r="K7359" t="str">
        <f t="shared" si="229"/>
        <v/>
      </c>
    </row>
    <row r="7360" spans="7:11" x14ac:dyDescent="0.2">
      <c r="G7360" s="44"/>
      <c r="J7360" t="str">
        <f t="shared" si="228"/>
        <v/>
      </c>
      <c r="K7360" t="str">
        <f t="shared" si="229"/>
        <v/>
      </c>
    </row>
    <row r="7361" spans="7:11" x14ac:dyDescent="0.2">
      <c r="G7361" s="44"/>
      <c r="J7361" t="str">
        <f t="shared" si="228"/>
        <v/>
      </c>
      <c r="K7361" t="str">
        <f t="shared" si="229"/>
        <v/>
      </c>
    </row>
    <row r="7362" spans="7:11" x14ac:dyDescent="0.2">
      <c r="G7362" s="44"/>
      <c r="J7362" t="str">
        <f t="shared" ref="J7362:J7425" si="230">IF(E7362="","",IF(OR(E7362=50,E7362=51),"Iltindhold",IF(E7362=75,"Carbon,org,NVOC",IF(OR(E7362=343,E7362=1167),"Svovlbrinte",IF(OR(E7362=240,E7362=241,E7362=242),"Amm",IF(E7362=244,"Nitrit",IF(E7362=247,"Nitrat",IF(E7362=334,"Sulfat",IF(E7362=262,"Phosphor, total-P",F7362)))))))))</f>
        <v/>
      </c>
      <c r="K7362" t="str">
        <f t="shared" ref="K7362:K7425" si="231">IF(A7362="","",IF(H7362="!",NA(),IF(H7362="A",I7362*0.5,IF(H7362="&lt;",I7362*0.5,I7362))))</f>
        <v/>
      </c>
    </row>
    <row r="7363" spans="7:11" x14ac:dyDescent="0.2">
      <c r="G7363" s="44"/>
      <c r="J7363" t="str">
        <f t="shared" si="230"/>
        <v/>
      </c>
      <c r="K7363" t="str">
        <f t="shared" si="231"/>
        <v/>
      </c>
    </row>
    <row r="7364" spans="7:11" x14ac:dyDescent="0.2">
      <c r="G7364" s="44"/>
      <c r="J7364" t="str">
        <f t="shared" si="230"/>
        <v/>
      </c>
      <c r="K7364" t="str">
        <f t="shared" si="231"/>
        <v/>
      </c>
    </row>
    <row r="7365" spans="7:11" x14ac:dyDescent="0.2">
      <c r="G7365" s="44"/>
      <c r="J7365" t="str">
        <f t="shared" si="230"/>
        <v/>
      </c>
      <c r="K7365" t="str">
        <f t="shared" si="231"/>
        <v/>
      </c>
    </row>
    <row r="7366" spans="7:11" x14ac:dyDescent="0.2">
      <c r="G7366" s="44"/>
      <c r="J7366" t="str">
        <f t="shared" si="230"/>
        <v/>
      </c>
      <c r="K7366" t="str">
        <f t="shared" si="231"/>
        <v/>
      </c>
    </row>
    <row r="7367" spans="7:11" x14ac:dyDescent="0.2">
      <c r="G7367" s="44"/>
      <c r="J7367" t="str">
        <f t="shared" si="230"/>
        <v/>
      </c>
      <c r="K7367" t="str">
        <f t="shared" si="231"/>
        <v/>
      </c>
    </row>
    <row r="7368" spans="7:11" x14ac:dyDescent="0.2">
      <c r="G7368" s="44"/>
      <c r="J7368" t="str">
        <f t="shared" si="230"/>
        <v/>
      </c>
      <c r="K7368" t="str">
        <f t="shared" si="231"/>
        <v/>
      </c>
    </row>
    <row r="7369" spans="7:11" x14ac:dyDescent="0.2">
      <c r="G7369" s="44"/>
      <c r="J7369" t="str">
        <f t="shared" si="230"/>
        <v/>
      </c>
      <c r="K7369" t="str">
        <f t="shared" si="231"/>
        <v/>
      </c>
    </row>
    <row r="7370" spans="7:11" x14ac:dyDescent="0.2">
      <c r="G7370" s="44"/>
      <c r="J7370" t="str">
        <f t="shared" si="230"/>
        <v/>
      </c>
      <c r="K7370" t="str">
        <f t="shared" si="231"/>
        <v/>
      </c>
    </row>
    <row r="7371" spans="7:11" x14ac:dyDescent="0.2">
      <c r="G7371" s="44"/>
      <c r="J7371" t="str">
        <f t="shared" si="230"/>
        <v/>
      </c>
      <c r="K7371" t="str">
        <f t="shared" si="231"/>
        <v/>
      </c>
    </row>
    <row r="7372" spans="7:11" x14ac:dyDescent="0.2">
      <c r="G7372" s="44"/>
      <c r="J7372" t="str">
        <f t="shared" si="230"/>
        <v/>
      </c>
      <c r="K7372" t="str">
        <f t="shared" si="231"/>
        <v/>
      </c>
    </row>
    <row r="7373" spans="7:11" x14ac:dyDescent="0.2">
      <c r="G7373" s="44"/>
      <c r="J7373" t="str">
        <f t="shared" si="230"/>
        <v/>
      </c>
      <c r="K7373" t="str">
        <f t="shared" si="231"/>
        <v/>
      </c>
    </row>
    <row r="7374" spans="7:11" x14ac:dyDescent="0.2">
      <c r="G7374" s="44"/>
      <c r="J7374" t="str">
        <f t="shared" si="230"/>
        <v/>
      </c>
      <c r="K7374" t="str">
        <f t="shared" si="231"/>
        <v/>
      </c>
    </row>
    <row r="7375" spans="7:11" x14ac:dyDescent="0.2">
      <c r="G7375" s="44"/>
      <c r="J7375" t="str">
        <f t="shared" si="230"/>
        <v/>
      </c>
      <c r="K7375" t="str">
        <f t="shared" si="231"/>
        <v/>
      </c>
    </row>
    <row r="7376" spans="7:11" x14ac:dyDescent="0.2">
      <c r="G7376" s="44"/>
      <c r="J7376" t="str">
        <f t="shared" si="230"/>
        <v/>
      </c>
      <c r="K7376" t="str">
        <f t="shared" si="231"/>
        <v/>
      </c>
    </row>
    <row r="7377" spans="7:11" x14ac:dyDescent="0.2">
      <c r="G7377" s="44"/>
      <c r="J7377" t="str">
        <f t="shared" si="230"/>
        <v/>
      </c>
      <c r="K7377" t="str">
        <f t="shared" si="231"/>
        <v/>
      </c>
    </row>
    <row r="7378" spans="7:11" x14ac:dyDescent="0.2">
      <c r="G7378" s="44"/>
      <c r="J7378" t="str">
        <f t="shared" si="230"/>
        <v/>
      </c>
      <c r="K7378" t="str">
        <f t="shared" si="231"/>
        <v/>
      </c>
    </row>
    <row r="7379" spans="7:11" x14ac:dyDescent="0.2">
      <c r="G7379" s="44"/>
      <c r="J7379" t="str">
        <f t="shared" si="230"/>
        <v/>
      </c>
      <c r="K7379" t="str">
        <f t="shared" si="231"/>
        <v/>
      </c>
    </row>
    <row r="7380" spans="7:11" x14ac:dyDescent="0.2">
      <c r="G7380" s="44"/>
      <c r="J7380" t="str">
        <f t="shared" si="230"/>
        <v/>
      </c>
      <c r="K7380" t="str">
        <f t="shared" si="231"/>
        <v/>
      </c>
    </row>
    <row r="7381" spans="7:11" x14ac:dyDescent="0.2">
      <c r="G7381" s="44"/>
      <c r="J7381" t="str">
        <f t="shared" si="230"/>
        <v/>
      </c>
      <c r="K7381" t="str">
        <f t="shared" si="231"/>
        <v/>
      </c>
    </row>
    <row r="7382" spans="7:11" x14ac:dyDescent="0.2">
      <c r="G7382" s="44"/>
      <c r="J7382" t="str">
        <f t="shared" si="230"/>
        <v/>
      </c>
      <c r="K7382" t="str">
        <f t="shared" si="231"/>
        <v/>
      </c>
    </row>
    <row r="7383" spans="7:11" x14ac:dyDescent="0.2">
      <c r="G7383" s="44"/>
      <c r="J7383" t="str">
        <f t="shared" si="230"/>
        <v/>
      </c>
      <c r="K7383" t="str">
        <f t="shared" si="231"/>
        <v/>
      </c>
    </row>
    <row r="7384" spans="7:11" x14ac:dyDescent="0.2">
      <c r="G7384" s="44"/>
      <c r="J7384" t="str">
        <f t="shared" si="230"/>
        <v/>
      </c>
      <c r="K7384" t="str">
        <f t="shared" si="231"/>
        <v/>
      </c>
    </row>
    <row r="7385" spans="7:11" x14ac:dyDescent="0.2">
      <c r="G7385" s="44"/>
      <c r="J7385" t="str">
        <f t="shared" si="230"/>
        <v/>
      </c>
      <c r="K7385" t="str">
        <f t="shared" si="231"/>
        <v/>
      </c>
    </row>
    <row r="7386" spans="7:11" x14ac:dyDescent="0.2">
      <c r="G7386" s="44"/>
      <c r="J7386" t="str">
        <f t="shared" si="230"/>
        <v/>
      </c>
      <c r="K7386" t="str">
        <f t="shared" si="231"/>
        <v/>
      </c>
    </row>
    <row r="7387" spans="7:11" x14ac:dyDescent="0.2">
      <c r="G7387" s="44"/>
      <c r="J7387" t="str">
        <f t="shared" si="230"/>
        <v/>
      </c>
      <c r="K7387" t="str">
        <f t="shared" si="231"/>
        <v/>
      </c>
    </row>
    <row r="7388" spans="7:11" x14ac:dyDescent="0.2">
      <c r="G7388" s="44"/>
      <c r="J7388" t="str">
        <f t="shared" si="230"/>
        <v/>
      </c>
      <c r="K7388" t="str">
        <f t="shared" si="231"/>
        <v/>
      </c>
    </row>
    <row r="7389" spans="7:11" x14ac:dyDescent="0.2">
      <c r="G7389" s="44"/>
      <c r="J7389" t="str">
        <f t="shared" si="230"/>
        <v/>
      </c>
      <c r="K7389" t="str">
        <f t="shared" si="231"/>
        <v/>
      </c>
    </row>
    <row r="7390" spans="7:11" x14ac:dyDescent="0.2">
      <c r="G7390" s="44"/>
      <c r="J7390" t="str">
        <f t="shared" si="230"/>
        <v/>
      </c>
      <c r="K7390" t="str">
        <f t="shared" si="231"/>
        <v/>
      </c>
    </row>
    <row r="7391" spans="7:11" x14ac:dyDescent="0.2">
      <c r="G7391" s="44"/>
      <c r="J7391" t="str">
        <f t="shared" si="230"/>
        <v/>
      </c>
      <c r="K7391" t="str">
        <f t="shared" si="231"/>
        <v/>
      </c>
    </row>
    <row r="7392" spans="7:11" x14ac:dyDescent="0.2">
      <c r="G7392" s="44"/>
      <c r="J7392" t="str">
        <f t="shared" si="230"/>
        <v/>
      </c>
      <c r="K7392" t="str">
        <f t="shared" si="231"/>
        <v/>
      </c>
    </row>
    <row r="7393" spans="7:11" x14ac:dyDescent="0.2">
      <c r="G7393" s="44"/>
      <c r="J7393" t="str">
        <f t="shared" si="230"/>
        <v/>
      </c>
      <c r="K7393" t="str">
        <f t="shared" si="231"/>
        <v/>
      </c>
    </row>
    <row r="7394" spans="7:11" x14ac:dyDescent="0.2">
      <c r="G7394" s="44"/>
      <c r="J7394" t="str">
        <f t="shared" si="230"/>
        <v/>
      </c>
      <c r="K7394" t="str">
        <f t="shared" si="231"/>
        <v/>
      </c>
    </row>
    <row r="7395" spans="7:11" x14ac:dyDescent="0.2">
      <c r="G7395" s="44"/>
      <c r="J7395" t="str">
        <f t="shared" si="230"/>
        <v/>
      </c>
      <c r="K7395" t="str">
        <f t="shared" si="231"/>
        <v/>
      </c>
    </row>
    <row r="7396" spans="7:11" x14ac:dyDescent="0.2">
      <c r="G7396" s="44"/>
      <c r="J7396" t="str">
        <f t="shared" si="230"/>
        <v/>
      </c>
      <c r="K7396" t="str">
        <f t="shared" si="231"/>
        <v/>
      </c>
    </row>
    <row r="7397" spans="7:11" x14ac:dyDescent="0.2">
      <c r="G7397" s="44"/>
      <c r="J7397" t="str">
        <f t="shared" si="230"/>
        <v/>
      </c>
      <c r="K7397" t="str">
        <f t="shared" si="231"/>
        <v/>
      </c>
    </row>
    <row r="7398" spans="7:11" x14ac:dyDescent="0.2">
      <c r="G7398" s="44"/>
      <c r="J7398" t="str">
        <f t="shared" si="230"/>
        <v/>
      </c>
      <c r="K7398" t="str">
        <f t="shared" si="231"/>
        <v/>
      </c>
    </row>
    <row r="7399" spans="7:11" x14ac:dyDescent="0.2">
      <c r="G7399" s="44"/>
      <c r="J7399" t="str">
        <f t="shared" si="230"/>
        <v/>
      </c>
      <c r="K7399" t="str">
        <f t="shared" si="231"/>
        <v/>
      </c>
    </row>
    <row r="7400" spans="7:11" x14ac:dyDescent="0.2">
      <c r="G7400" s="44"/>
      <c r="J7400" t="str">
        <f t="shared" si="230"/>
        <v/>
      </c>
      <c r="K7400" t="str">
        <f t="shared" si="231"/>
        <v/>
      </c>
    </row>
    <row r="7401" spans="7:11" x14ac:dyDescent="0.2">
      <c r="G7401" s="44"/>
      <c r="J7401" t="str">
        <f t="shared" si="230"/>
        <v/>
      </c>
      <c r="K7401" t="str">
        <f t="shared" si="231"/>
        <v/>
      </c>
    </row>
    <row r="7402" spans="7:11" x14ac:dyDescent="0.2">
      <c r="G7402" s="44"/>
      <c r="J7402" t="str">
        <f t="shared" si="230"/>
        <v/>
      </c>
      <c r="K7402" t="str">
        <f t="shared" si="231"/>
        <v/>
      </c>
    </row>
    <row r="7403" spans="7:11" x14ac:dyDescent="0.2">
      <c r="G7403" s="44"/>
      <c r="J7403" t="str">
        <f t="shared" si="230"/>
        <v/>
      </c>
      <c r="K7403" t="str">
        <f t="shared" si="231"/>
        <v/>
      </c>
    </row>
    <row r="7404" spans="7:11" x14ac:dyDescent="0.2">
      <c r="G7404" s="44"/>
      <c r="J7404" t="str">
        <f t="shared" si="230"/>
        <v/>
      </c>
      <c r="K7404" t="str">
        <f t="shared" si="231"/>
        <v/>
      </c>
    </row>
    <row r="7405" spans="7:11" x14ac:dyDescent="0.2">
      <c r="G7405" s="44"/>
      <c r="J7405" t="str">
        <f t="shared" si="230"/>
        <v/>
      </c>
      <c r="K7405" t="str">
        <f t="shared" si="231"/>
        <v/>
      </c>
    </row>
    <row r="7406" spans="7:11" x14ac:dyDescent="0.2">
      <c r="G7406" s="44"/>
      <c r="J7406" t="str">
        <f t="shared" si="230"/>
        <v/>
      </c>
      <c r="K7406" t="str">
        <f t="shared" si="231"/>
        <v/>
      </c>
    </row>
    <row r="7407" spans="7:11" x14ac:dyDescent="0.2">
      <c r="G7407" s="44"/>
      <c r="J7407" t="str">
        <f t="shared" si="230"/>
        <v/>
      </c>
      <c r="K7407" t="str">
        <f t="shared" si="231"/>
        <v/>
      </c>
    </row>
    <row r="7408" spans="7:11" x14ac:dyDescent="0.2">
      <c r="G7408" s="44"/>
      <c r="J7408" t="str">
        <f t="shared" si="230"/>
        <v/>
      </c>
      <c r="K7408" t="str">
        <f t="shared" si="231"/>
        <v/>
      </c>
    </row>
    <row r="7409" spans="7:11" x14ac:dyDescent="0.2">
      <c r="G7409" s="44"/>
      <c r="J7409" t="str">
        <f t="shared" si="230"/>
        <v/>
      </c>
      <c r="K7409" t="str">
        <f t="shared" si="231"/>
        <v/>
      </c>
    </row>
    <row r="7410" spans="7:11" x14ac:dyDescent="0.2">
      <c r="G7410" s="44"/>
      <c r="J7410" t="str">
        <f t="shared" si="230"/>
        <v/>
      </c>
      <c r="K7410" t="str">
        <f t="shared" si="231"/>
        <v/>
      </c>
    </row>
    <row r="7411" spans="7:11" x14ac:dyDescent="0.2">
      <c r="G7411" s="44"/>
      <c r="J7411" t="str">
        <f t="shared" si="230"/>
        <v/>
      </c>
      <c r="K7411" t="str">
        <f t="shared" si="231"/>
        <v/>
      </c>
    </row>
    <row r="7412" spans="7:11" x14ac:dyDescent="0.2">
      <c r="G7412" s="44"/>
      <c r="J7412" t="str">
        <f t="shared" si="230"/>
        <v/>
      </c>
      <c r="K7412" t="str">
        <f t="shared" si="231"/>
        <v/>
      </c>
    </row>
    <row r="7413" spans="7:11" x14ac:dyDescent="0.2">
      <c r="G7413" s="44"/>
      <c r="J7413" t="str">
        <f t="shared" si="230"/>
        <v/>
      </c>
      <c r="K7413" t="str">
        <f t="shared" si="231"/>
        <v/>
      </c>
    </row>
    <row r="7414" spans="7:11" x14ac:dyDescent="0.2">
      <c r="G7414" s="44"/>
      <c r="J7414" t="str">
        <f t="shared" si="230"/>
        <v/>
      </c>
      <c r="K7414" t="str">
        <f t="shared" si="231"/>
        <v/>
      </c>
    </row>
    <row r="7415" spans="7:11" x14ac:dyDescent="0.2">
      <c r="G7415" s="44"/>
      <c r="J7415" t="str">
        <f t="shared" si="230"/>
        <v/>
      </c>
      <c r="K7415" t="str">
        <f t="shared" si="231"/>
        <v/>
      </c>
    </row>
    <row r="7416" spans="7:11" x14ac:dyDescent="0.2">
      <c r="G7416" s="44"/>
      <c r="J7416" t="str">
        <f t="shared" si="230"/>
        <v/>
      </c>
      <c r="K7416" t="str">
        <f t="shared" si="231"/>
        <v/>
      </c>
    </row>
    <row r="7417" spans="7:11" x14ac:dyDescent="0.2">
      <c r="G7417" s="44"/>
      <c r="J7417" t="str">
        <f t="shared" si="230"/>
        <v/>
      </c>
      <c r="K7417" t="str">
        <f t="shared" si="231"/>
        <v/>
      </c>
    </row>
    <row r="7418" spans="7:11" x14ac:dyDescent="0.2">
      <c r="G7418" s="44"/>
      <c r="J7418" t="str">
        <f t="shared" si="230"/>
        <v/>
      </c>
      <c r="K7418" t="str">
        <f t="shared" si="231"/>
        <v/>
      </c>
    </row>
    <row r="7419" spans="7:11" x14ac:dyDescent="0.2">
      <c r="G7419" s="44"/>
      <c r="J7419" t="str">
        <f t="shared" si="230"/>
        <v/>
      </c>
      <c r="K7419" t="str">
        <f t="shared" si="231"/>
        <v/>
      </c>
    </row>
    <row r="7420" spans="7:11" x14ac:dyDescent="0.2">
      <c r="G7420" s="44"/>
      <c r="J7420" t="str">
        <f t="shared" si="230"/>
        <v/>
      </c>
      <c r="K7420" t="str">
        <f t="shared" si="231"/>
        <v/>
      </c>
    </row>
    <row r="7421" spans="7:11" x14ac:dyDescent="0.2">
      <c r="G7421" s="44"/>
      <c r="J7421" t="str">
        <f t="shared" si="230"/>
        <v/>
      </c>
      <c r="K7421" t="str">
        <f t="shared" si="231"/>
        <v/>
      </c>
    </row>
    <row r="7422" spans="7:11" x14ac:dyDescent="0.2">
      <c r="G7422" s="44"/>
      <c r="J7422" t="str">
        <f t="shared" si="230"/>
        <v/>
      </c>
      <c r="K7422" t="str">
        <f t="shared" si="231"/>
        <v/>
      </c>
    </row>
    <row r="7423" spans="7:11" x14ac:dyDescent="0.2">
      <c r="G7423" s="44"/>
      <c r="J7423" t="str">
        <f t="shared" si="230"/>
        <v/>
      </c>
      <c r="K7423" t="str">
        <f t="shared" si="231"/>
        <v/>
      </c>
    </row>
    <row r="7424" spans="7:11" x14ac:dyDescent="0.2">
      <c r="G7424" s="44"/>
      <c r="J7424" t="str">
        <f t="shared" si="230"/>
        <v/>
      </c>
      <c r="K7424" t="str">
        <f t="shared" si="231"/>
        <v/>
      </c>
    </row>
    <row r="7425" spans="7:11" x14ac:dyDescent="0.2">
      <c r="G7425" s="44"/>
      <c r="J7425" t="str">
        <f t="shared" si="230"/>
        <v/>
      </c>
      <c r="K7425" t="str">
        <f t="shared" si="231"/>
        <v/>
      </c>
    </row>
    <row r="7426" spans="7:11" x14ac:dyDescent="0.2">
      <c r="G7426" s="44"/>
      <c r="J7426" t="str">
        <f t="shared" ref="J7426:J7489" si="232">IF(E7426="","",IF(OR(E7426=50,E7426=51),"Iltindhold",IF(E7426=75,"Carbon,org,NVOC",IF(OR(E7426=343,E7426=1167),"Svovlbrinte",IF(OR(E7426=240,E7426=241,E7426=242),"Amm",IF(E7426=244,"Nitrit",IF(E7426=247,"Nitrat",IF(E7426=334,"Sulfat",IF(E7426=262,"Phosphor, total-P",F7426)))))))))</f>
        <v/>
      </c>
      <c r="K7426" t="str">
        <f t="shared" ref="K7426:K7489" si="233">IF(A7426="","",IF(H7426="!",NA(),IF(H7426="A",I7426*0.5,IF(H7426="&lt;",I7426*0.5,I7426))))</f>
        <v/>
      </c>
    </row>
    <row r="7427" spans="7:11" x14ac:dyDescent="0.2">
      <c r="G7427" s="44"/>
      <c r="J7427" t="str">
        <f t="shared" si="232"/>
        <v/>
      </c>
      <c r="K7427" t="str">
        <f t="shared" si="233"/>
        <v/>
      </c>
    </row>
    <row r="7428" spans="7:11" x14ac:dyDescent="0.2">
      <c r="G7428" s="44"/>
      <c r="J7428" t="str">
        <f t="shared" si="232"/>
        <v/>
      </c>
      <c r="K7428" t="str">
        <f t="shared" si="233"/>
        <v/>
      </c>
    </row>
    <row r="7429" spans="7:11" x14ac:dyDescent="0.2">
      <c r="G7429" s="44"/>
      <c r="J7429" t="str">
        <f t="shared" si="232"/>
        <v/>
      </c>
      <c r="K7429" t="str">
        <f t="shared" si="233"/>
        <v/>
      </c>
    </row>
    <row r="7430" spans="7:11" x14ac:dyDescent="0.2">
      <c r="G7430" s="44"/>
      <c r="J7430" t="str">
        <f t="shared" si="232"/>
        <v/>
      </c>
      <c r="K7430" t="str">
        <f t="shared" si="233"/>
        <v/>
      </c>
    </row>
    <row r="7431" spans="7:11" x14ac:dyDescent="0.2">
      <c r="G7431" s="44"/>
      <c r="J7431" t="str">
        <f t="shared" si="232"/>
        <v/>
      </c>
      <c r="K7431" t="str">
        <f t="shared" si="233"/>
        <v/>
      </c>
    </row>
    <row r="7432" spans="7:11" x14ac:dyDescent="0.2">
      <c r="G7432" s="44"/>
      <c r="J7432" t="str">
        <f t="shared" si="232"/>
        <v/>
      </c>
      <c r="K7432" t="str">
        <f t="shared" si="233"/>
        <v/>
      </c>
    </row>
    <row r="7433" spans="7:11" x14ac:dyDescent="0.2">
      <c r="G7433" s="44"/>
      <c r="J7433" t="str">
        <f t="shared" si="232"/>
        <v/>
      </c>
      <c r="K7433" t="str">
        <f t="shared" si="233"/>
        <v/>
      </c>
    </row>
    <row r="7434" spans="7:11" x14ac:dyDescent="0.2">
      <c r="G7434" s="44"/>
      <c r="J7434" t="str">
        <f t="shared" si="232"/>
        <v/>
      </c>
      <c r="K7434" t="str">
        <f t="shared" si="233"/>
        <v/>
      </c>
    </row>
    <row r="7435" spans="7:11" x14ac:dyDescent="0.2">
      <c r="G7435" s="44"/>
      <c r="J7435" t="str">
        <f t="shared" si="232"/>
        <v/>
      </c>
      <c r="K7435" t="str">
        <f t="shared" si="233"/>
        <v/>
      </c>
    </row>
    <row r="7436" spans="7:11" x14ac:dyDescent="0.2">
      <c r="G7436" s="44"/>
      <c r="J7436" t="str">
        <f t="shared" si="232"/>
        <v/>
      </c>
      <c r="K7436" t="str">
        <f t="shared" si="233"/>
        <v/>
      </c>
    </row>
    <row r="7437" spans="7:11" x14ac:dyDescent="0.2">
      <c r="G7437" s="44"/>
      <c r="J7437" t="str">
        <f t="shared" si="232"/>
        <v/>
      </c>
      <c r="K7437" t="str">
        <f t="shared" si="233"/>
        <v/>
      </c>
    </row>
    <row r="7438" spans="7:11" x14ac:dyDescent="0.2">
      <c r="G7438" s="44"/>
      <c r="J7438" t="str">
        <f t="shared" si="232"/>
        <v/>
      </c>
      <c r="K7438" t="str">
        <f t="shared" si="233"/>
        <v/>
      </c>
    </row>
    <row r="7439" spans="7:11" x14ac:dyDescent="0.2">
      <c r="G7439" s="44"/>
      <c r="J7439" t="str">
        <f t="shared" si="232"/>
        <v/>
      </c>
      <c r="K7439" t="str">
        <f t="shared" si="233"/>
        <v/>
      </c>
    </row>
    <row r="7440" spans="7:11" x14ac:dyDescent="0.2">
      <c r="G7440" s="44"/>
      <c r="J7440" t="str">
        <f t="shared" si="232"/>
        <v/>
      </c>
      <c r="K7440" t="str">
        <f t="shared" si="233"/>
        <v/>
      </c>
    </row>
    <row r="7441" spans="7:11" x14ac:dyDescent="0.2">
      <c r="G7441" s="44"/>
      <c r="J7441" t="str">
        <f t="shared" si="232"/>
        <v/>
      </c>
      <c r="K7441" t="str">
        <f t="shared" si="233"/>
        <v/>
      </c>
    </row>
    <row r="7442" spans="7:11" x14ac:dyDescent="0.2">
      <c r="G7442" s="44"/>
      <c r="J7442" t="str">
        <f t="shared" si="232"/>
        <v/>
      </c>
      <c r="K7442" t="str">
        <f t="shared" si="233"/>
        <v/>
      </c>
    </row>
    <row r="7443" spans="7:11" x14ac:dyDescent="0.2">
      <c r="G7443" s="44"/>
      <c r="J7443" t="str">
        <f t="shared" si="232"/>
        <v/>
      </c>
      <c r="K7443" t="str">
        <f t="shared" si="233"/>
        <v/>
      </c>
    </row>
    <row r="7444" spans="7:11" x14ac:dyDescent="0.2">
      <c r="G7444" s="44"/>
      <c r="J7444" t="str">
        <f t="shared" si="232"/>
        <v/>
      </c>
      <c r="K7444" t="str">
        <f t="shared" si="233"/>
        <v/>
      </c>
    </row>
    <row r="7445" spans="7:11" x14ac:dyDescent="0.2">
      <c r="G7445" s="44"/>
      <c r="J7445" t="str">
        <f t="shared" si="232"/>
        <v/>
      </c>
      <c r="K7445" t="str">
        <f t="shared" si="233"/>
        <v/>
      </c>
    </row>
    <row r="7446" spans="7:11" x14ac:dyDescent="0.2">
      <c r="G7446" s="44"/>
      <c r="J7446" t="str">
        <f t="shared" si="232"/>
        <v/>
      </c>
      <c r="K7446" t="str">
        <f t="shared" si="233"/>
        <v/>
      </c>
    </row>
    <row r="7447" spans="7:11" x14ac:dyDescent="0.2">
      <c r="G7447" s="44"/>
      <c r="J7447" t="str">
        <f t="shared" si="232"/>
        <v/>
      </c>
      <c r="K7447" t="str">
        <f t="shared" si="233"/>
        <v/>
      </c>
    </row>
    <row r="7448" spans="7:11" x14ac:dyDescent="0.2">
      <c r="G7448" s="44"/>
      <c r="J7448" t="str">
        <f t="shared" si="232"/>
        <v/>
      </c>
      <c r="K7448" t="str">
        <f t="shared" si="233"/>
        <v/>
      </c>
    </row>
    <row r="7449" spans="7:11" x14ac:dyDescent="0.2">
      <c r="G7449" s="44"/>
      <c r="J7449" t="str">
        <f t="shared" si="232"/>
        <v/>
      </c>
      <c r="K7449" t="str">
        <f t="shared" si="233"/>
        <v/>
      </c>
    </row>
    <row r="7450" spans="7:11" x14ac:dyDescent="0.2">
      <c r="G7450" s="44"/>
      <c r="J7450" t="str">
        <f t="shared" si="232"/>
        <v/>
      </c>
      <c r="K7450" t="str">
        <f t="shared" si="233"/>
        <v/>
      </c>
    </row>
    <row r="7451" spans="7:11" x14ac:dyDescent="0.2">
      <c r="G7451" s="44"/>
      <c r="J7451" t="str">
        <f t="shared" si="232"/>
        <v/>
      </c>
      <c r="K7451" t="str">
        <f t="shared" si="233"/>
        <v/>
      </c>
    </row>
    <row r="7452" spans="7:11" x14ac:dyDescent="0.2">
      <c r="G7452" s="44"/>
      <c r="J7452" t="str">
        <f t="shared" si="232"/>
        <v/>
      </c>
      <c r="K7452" t="str">
        <f t="shared" si="233"/>
        <v/>
      </c>
    </row>
    <row r="7453" spans="7:11" x14ac:dyDescent="0.2">
      <c r="G7453" s="44"/>
      <c r="J7453" t="str">
        <f t="shared" si="232"/>
        <v/>
      </c>
      <c r="K7453" t="str">
        <f t="shared" si="233"/>
        <v/>
      </c>
    </row>
    <row r="7454" spans="7:11" x14ac:dyDescent="0.2">
      <c r="G7454" s="44"/>
      <c r="J7454" t="str">
        <f t="shared" si="232"/>
        <v/>
      </c>
      <c r="K7454" t="str">
        <f t="shared" si="233"/>
        <v/>
      </c>
    </row>
    <row r="7455" spans="7:11" x14ac:dyDescent="0.2">
      <c r="G7455" s="44"/>
      <c r="J7455" t="str">
        <f t="shared" si="232"/>
        <v/>
      </c>
      <c r="K7455" t="str">
        <f t="shared" si="233"/>
        <v/>
      </c>
    </row>
    <row r="7456" spans="7:11" x14ac:dyDescent="0.2">
      <c r="G7456" s="44"/>
      <c r="J7456" t="str">
        <f t="shared" si="232"/>
        <v/>
      </c>
      <c r="K7456" t="str">
        <f t="shared" si="233"/>
        <v/>
      </c>
    </row>
    <row r="7457" spans="7:11" x14ac:dyDescent="0.2">
      <c r="G7457" s="44"/>
      <c r="J7457" t="str">
        <f t="shared" si="232"/>
        <v/>
      </c>
      <c r="K7457" t="str">
        <f t="shared" si="233"/>
        <v/>
      </c>
    </row>
    <row r="7458" spans="7:11" x14ac:dyDescent="0.2">
      <c r="G7458" s="44"/>
      <c r="J7458" t="str">
        <f t="shared" si="232"/>
        <v/>
      </c>
      <c r="K7458" t="str">
        <f t="shared" si="233"/>
        <v/>
      </c>
    </row>
    <row r="7459" spans="7:11" x14ac:dyDescent="0.2">
      <c r="G7459" s="44"/>
      <c r="J7459" t="str">
        <f t="shared" si="232"/>
        <v/>
      </c>
      <c r="K7459" t="str">
        <f t="shared" si="233"/>
        <v/>
      </c>
    </row>
    <row r="7460" spans="7:11" x14ac:dyDescent="0.2">
      <c r="G7460" s="44"/>
      <c r="J7460" t="str">
        <f t="shared" si="232"/>
        <v/>
      </c>
      <c r="K7460" t="str">
        <f t="shared" si="233"/>
        <v/>
      </c>
    </row>
    <row r="7461" spans="7:11" x14ac:dyDescent="0.2">
      <c r="G7461" s="44"/>
      <c r="J7461" t="str">
        <f t="shared" si="232"/>
        <v/>
      </c>
      <c r="K7461" t="str">
        <f t="shared" si="233"/>
        <v/>
      </c>
    </row>
    <row r="7462" spans="7:11" x14ac:dyDescent="0.2">
      <c r="G7462" s="44"/>
      <c r="J7462" t="str">
        <f t="shared" si="232"/>
        <v/>
      </c>
      <c r="K7462" t="str">
        <f t="shared" si="233"/>
        <v/>
      </c>
    </row>
    <row r="7463" spans="7:11" x14ac:dyDescent="0.2">
      <c r="G7463" s="44"/>
      <c r="J7463" t="str">
        <f t="shared" si="232"/>
        <v/>
      </c>
      <c r="K7463" t="str">
        <f t="shared" si="233"/>
        <v/>
      </c>
    </row>
    <row r="7464" spans="7:11" x14ac:dyDescent="0.2">
      <c r="G7464" s="44"/>
      <c r="J7464" t="str">
        <f t="shared" si="232"/>
        <v/>
      </c>
      <c r="K7464" t="str">
        <f t="shared" si="233"/>
        <v/>
      </c>
    </row>
    <row r="7465" spans="7:11" x14ac:dyDescent="0.2">
      <c r="G7465" s="44"/>
      <c r="J7465" t="str">
        <f t="shared" si="232"/>
        <v/>
      </c>
      <c r="K7465" t="str">
        <f t="shared" si="233"/>
        <v/>
      </c>
    </row>
    <row r="7466" spans="7:11" x14ac:dyDescent="0.2">
      <c r="G7466" s="44"/>
      <c r="J7466" t="str">
        <f t="shared" si="232"/>
        <v/>
      </c>
      <c r="K7466" t="str">
        <f t="shared" si="233"/>
        <v/>
      </c>
    </row>
    <row r="7467" spans="7:11" x14ac:dyDescent="0.2">
      <c r="G7467" s="44"/>
      <c r="J7467" t="str">
        <f t="shared" si="232"/>
        <v/>
      </c>
      <c r="K7467" t="str">
        <f t="shared" si="233"/>
        <v/>
      </c>
    </row>
    <row r="7468" spans="7:11" x14ac:dyDescent="0.2">
      <c r="G7468" s="44"/>
      <c r="J7468" t="str">
        <f t="shared" si="232"/>
        <v/>
      </c>
      <c r="K7468" t="str">
        <f t="shared" si="233"/>
        <v/>
      </c>
    </row>
    <row r="7469" spans="7:11" x14ac:dyDescent="0.2">
      <c r="G7469" s="44"/>
      <c r="J7469" t="str">
        <f t="shared" si="232"/>
        <v/>
      </c>
      <c r="K7469" t="str">
        <f t="shared" si="233"/>
        <v/>
      </c>
    </row>
    <row r="7470" spans="7:11" x14ac:dyDescent="0.2">
      <c r="G7470" s="44"/>
      <c r="J7470" t="str">
        <f t="shared" si="232"/>
        <v/>
      </c>
      <c r="K7470" t="str">
        <f t="shared" si="233"/>
        <v/>
      </c>
    </row>
    <row r="7471" spans="7:11" x14ac:dyDescent="0.2">
      <c r="G7471" s="44"/>
      <c r="J7471" t="str">
        <f t="shared" si="232"/>
        <v/>
      </c>
      <c r="K7471" t="str">
        <f t="shared" si="233"/>
        <v/>
      </c>
    </row>
    <row r="7472" spans="7:11" x14ac:dyDescent="0.2">
      <c r="G7472" s="44"/>
      <c r="J7472" t="str">
        <f t="shared" si="232"/>
        <v/>
      </c>
      <c r="K7472" t="str">
        <f t="shared" si="233"/>
        <v/>
      </c>
    </row>
    <row r="7473" spans="7:11" x14ac:dyDescent="0.2">
      <c r="G7473" s="44"/>
      <c r="J7473" t="str">
        <f t="shared" si="232"/>
        <v/>
      </c>
      <c r="K7473" t="str">
        <f t="shared" si="233"/>
        <v/>
      </c>
    </row>
    <row r="7474" spans="7:11" x14ac:dyDescent="0.2">
      <c r="G7474" s="44"/>
      <c r="J7474" t="str">
        <f t="shared" si="232"/>
        <v/>
      </c>
      <c r="K7474" t="str">
        <f t="shared" si="233"/>
        <v/>
      </c>
    </row>
    <row r="7475" spans="7:11" x14ac:dyDescent="0.2">
      <c r="G7475" s="44"/>
      <c r="J7475" t="str">
        <f t="shared" si="232"/>
        <v/>
      </c>
      <c r="K7475" t="str">
        <f t="shared" si="233"/>
        <v/>
      </c>
    </row>
    <row r="7476" spans="7:11" x14ac:dyDescent="0.2">
      <c r="G7476" s="44"/>
      <c r="J7476" t="str">
        <f t="shared" si="232"/>
        <v/>
      </c>
      <c r="K7476" t="str">
        <f t="shared" si="233"/>
        <v/>
      </c>
    </row>
    <row r="7477" spans="7:11" x14ac:dyDescent="0.2">
      <c r="G7477" s="44"/>
      <c r="J7477" t="str">
        <f t="shared" si="232"/>
        <v/>
      </c>
      <c r="K7477" t="str">
        <f t="shared" si="233"/>
        <v/>
      </c>
    </row>
    <row r="7478" spans="7:11" x14ac:dyDescent="0.2">
      <c r="G7478" s="44"/>
      <c r="J7478" t="str">
        <f t="shared" si="232"/>
        <v/>
      </c>
      <c r="K7478" t="str">
        <f t="shared" si="233"/>
        <v/>
      </c>
    </row>
    <row r="7479" spans="7:11" x14ac:dyDescent="0.2">
      <c r="G7479" s="44"/>
      <c r="J7479" t="str">
        <f t="shared" si="232"/>
        <v/>
      </c>
      <c r="K7479" t="str">
        <f t="shared" si="233"/>
        <v/>
      </c>
    </row>
    <row r="7480" spans="7:11" x14ac:dyDescent="0.2">
      <c r="G7480" s="44"/>
      <c r="J7480" t="str">
        <f t="shared" si="232"/>
        <v/>
      </c>
      <c r="K7480" t="str">
        <f t="shared" si="233"/>
        <v/>
      </c>
    </row>
    <row r="7481" spans="7:11" x14ac:dyDescent="0.2">
      <c r="G7481" s="44"/>
      <c r="J7481" t="str">
        <f t="shared" si="232"/>
        <v/>
      </c>
      <c r="K7481" t="str">
        <f t="shared" si="233"/>
        <v/>
      </c>
    </row>
    <row r="7482" spans="7:11" x14ac:dyDescent="0.2">
      <c r="G7482" s="44"/>
      <c r="J7482" t="str">
        <f t="shared" si="232"/>
        <v/>
      </c>
      <c r="K7482" t="str">
        <f t="shared" si="233"/>
        <v/>
      </c>
    </row>
    <row r="7483" spans="7:11" x14ac:dyDescent="0.2">
      <c r="G7483" s="44"/>
      <c r="J7483" t="str">
        <f t="shared" si="232"/>
        <v/>
      </c>
      <c r="K7483" t="str">
        <f t="shared" si="233"/>
        <v/>
      </c>
    </row>
    <row r="7484" spans="7:11" x14ac:dyDescent="0.2">
      <c r="G7484" s="44"/>
      <c r="J7484" t="str">
        <f t="shared" si="232"/>
        <v/>
      </c>
      <c r="K7484" t="str">
        <f t="shared" si="233"/>
        <v/>
      </c>
    </row>
    <row r="7485" spans="7:11" x14ac:dyDescent="0.2">
      <c r="G7485" s="44"/>
      <c r="J7485" t="str">
        <f t="shared" si="232"/>
        <v/>
      </c>
      <c r="K7485" t="str">
        <f t="shared" si="233"/>
        <v/>
      </c>
    </row>
    <row r="7486" spans="7:11" x14ac:dyDescent="0.2">
      <c r="G7486" s="44"/>
      <c r="J7486" t="str">
        <f t="shared" si="232"/>
        <v/>
      </c>
      <c r="K7486" t="str">
        <f t="shared" si="233"/>
        <v/>
      </c>
    </row>
    <row r="7487" spans="7:11" x14ac:dyDescent="0.2">
      <c r="G7487" s="44"/>
      <c r="J7487" t="str">
        <f t="shared" si="232"/>
        <v/>
      </c>
      <c r="K7487" t="str">
        <f t="shared" si="233"/>
        <v/>
      </c>
    </row>
    <row r="7488" spans="7:11" x14ac:dyDescent="0.2">
      <c r="G7488" s="44"/>
      <c r="J7488" t="str">
        <f t="shared" si="232"/>
        <v/>
      </c>
      <c r="K7488" t="str">
        <f t="shared" si="233"/>
        <v/>
      </c>
    </row>
    <row r="7489" spans="7:11" x14ac:dyDescent="0.2">
      <c r="G7489" s="44"/>
      <c r="J7489" t="str">
        <f t="shared" si="232"/>
        <v/>
      </c>
      <c r="K7489" t="str">
        <f t="shared" si="233"/>
        <v/>
      </c>
    </row>
    <row r="7490" spans="7:11" x14ac:dyDescent="0.2">
      <c r="G7490" s="44"/>
      <c r="J7490" t="str">
        <f t="shared" ref="J7490:J7553" si="234">IF(E7490="","",IF(OR(E7490=50,E7490=51),"Iltindhold",IF(E7490=75,"Carbon,org,NVOC",IF(OR(E7490=343,E7490=1167),"Svovlbrinte",IF(OR(E7490=240,E7490=241,E7490=242),"Amm",IF(E7490=244,"Nitrit",IF(E7490=247,"Nitrat",IF(E7490=334,"Sulfat",IF(E7490=262,"Phosphor, total-P",F7490)))))))))</f>
        <v/>
      </c>
      <c r="K7490" t="str">
        <f t="shared" ref="K7490:K7553" si="235">IF(A7490="","",IF(H7490="!",NA(),IF(H7490="A",I7490*0.5,IF(H7490="&lt;",I7490*0.5,I7490))))</f>
        <v/>
      </c>
    </row>
    <row r="7491" spans="7:11" x14ac:dyDescent="0.2">
      <c r="G7491" s="44"/>
      <c r="J7491" t="str">
        <f t="shared" si="234"/>
        <v/>
      </c>
      <c r="K7491" t="str">
        <f t="shared" si="235"/>
        <v/>
      </c>
    </row>
    <row r="7492" spans="7:11" x14ac:dyDescent="0.2">
      <c r="G7492" s="44"/>
      <c r="J7492" t="str">
        <f t="shared" si="234"/>
        <v/>
      </c>
      <c r="K7492" t="str">
        <f t="shared" si="235"/>
        <v/>
      </c>
    </row>
    <row r="7493" spans="7:11" x14ac:dyDescent="0.2">
      <c r="G7493" s="44"/>
      <c r="J7493" t="str">
        <f t="shared" si="234"/>
        <v/>
      </c>
      <c r="K7493" t="str">
        <f t="shared" si="235"/>
        <v/>
      </c>
    </row>
    <row r="7494" spans="7:11" x14ac:dyDescent="0.2">
      <c r="G7494" s="44"/>
      <c r="J7494" t="str">
        <f t="shared" si="234"/>
        <v/>
      </c>
      <c r="K7494" t="str">
        <f t="shared" si="235"/>
        <v/>
      </c>
    </row>
    <row r="7495" spans="7:11" x14ac:dyDescent="0.2">
      <c r="G7495" s="44"/>
      <c r="J7495" t="str">
        <f t="shared" si="234"/>
        <v/>
      </c>
      <c r="K7495" t="str">
        <f t="shared" si="235"/>
        <v/>
      </c>
    </row>
    <row r="7496" spans="7:11" x14ac:dyDescent="0.2">
      <c r="G7496" s="44"/>
      <c r="J7496" t="str">
        <f t="shared" si="234"/>
        <v/>
      </c>
      <c r="K7496" t="str">
        <f t="shared" si="235"/>
        <v/>
      </c>
    </row>
    <row r="7497" spans="7:11" x14ac:dyDescent="0.2">
      <c r="G7497" s="44"/>
      <c r="J7497" t="str">
        <f t="shared" si="234"/>
        <v/>
      </c>
      <c r="K7497" t="str">
        <f t="shared" si="235"/>
        <v/>
      </c>
    </row>
    <row r="7498" spans="7:11" x14ac:dyDescent="0.2">
      <c r="G7498" s="44"/>
      <c r="J7498" t="str">
        <f t="shared" si="234"/>
        <v/>
      </c>
      <c r="K7498" t="str">
        <f t="shared" si="235"/>
        <v/>
      </c>
    </row>
    <row r="7499" spans="7:11" x14ac:dyDescent="0.2">
      <c r="G7499" s="44"/>
      <c r="J7499" t="str">
        <f t="shared" si="234"/>
        <v/>
      </c>
      <c r="K7499" t="str">
        <f t="shared" si="235"/>
        <v/>
      </c>
    </row>
    <row r="7500" spans="7:11" x14ac:dyDescent="0.2">
      <c r="G7500" s="44"/>
      <c r="J7500" t="str">
        <f t="shared" si="234"/>
        <v/>
      </c>
      <c r="K7500" t="str">
        <f t="shared" si="235"/>
        <v/>
      </c>
    </row>
    <row r="7501" spans="7:11" x14ac:dyDescent="0.2">
      <c r="G7501" s="44"/>
      <c r="J7501" t="str">
        <f t="shared" si="234"/>
        <v/>
      </c>
      <c r="K7501" t="str">
        <f t="shared" si="235"/>
        <v/>
      </c>
    </row>
    <row r="7502" spans="7:11" x14ac:dyDescent="0.2">
      <c r="G7502" s="44"/>
      <c r="J7502" t="str">
        <f t="shared" si="234"/>
        <v/>
      </c>
      <c r="K7502" t="str">
        <f t="shared" si="235"/>
        <v/>
      </c>
    </row>
    <row r="7503" spans="7:11" x14ac:dyDescent="0.2">
      <c r="G7503" s="44"/>
      <c r="J7503" t="str">
        <f t="shared" si="234"/>
        <v/>
      </c>
      <c r="K7503" t="str">
        <f t="shared" si="235"/>
        <v/>
      </c>
    </row>
    <row r="7504" spans="7:11" x14ac:dyDescent="0.2">
      <c r="G7504" s="44"/>
      <c r="J7504" t="str">
        <f t="shared" si="234"/>
        <v/>
      </c>
      <c r="K7504" t="str">
        <f t="shared" si="235"/>
        <v/>
      </c>
    </row>
    <row r="7505" spans="7:11" x14ac:dyDescent="0.2">
      <c r="G7505" s="44"/>
      <c r="J7505" t="str">
        <f t="shared" si="234"/>
        <v/>
      </c>
      <c r="K7505" t="str">
        <f t="shared" si="235"/>
        <v/>
      </c>
    </row>
    <row r="7506" spans="7:11" x14ac:dyDescent="0.2">
      <c r="G7506" s="44"/>
      <c r="J7506" t="str">
        <f t="shared" si="234"/>
        <v/>
      </c>
      <c r="K7506" t="str">
        <f t="shared" si="235"/>
        <v/>
      </c>
    </row>
    <row r="7507" spans="7:11" x14ac:dyDescent="0.2">
      <c r="G7507" s="44"/>
      <c r="J7507" t="str">
        <f t="shared" si="234"/>
        <v/>
      </c>
      <c r="K7507" t="str">
        <f t="shared" si="235"/>
        <v/>
      </c>
    </row>
    <row r="7508" spans="7:11" x14ac:dyDescent="0.2">
      <c r="G7508" s="44"/>
      <c r="J7508" t="str">
        <f t="shared" si="234"/>
        <v/>
      </c>
      <c r="K7508" t="str">
        <f t="shared" si="235"/>
        <v/>
      </c>
    </row>
    <row r="7509" spans="7:11" x14ac:dyDescent="0.2">
      <c r="G7509" s="44"/>
      <c r="J7509" t="str">
        <f t="shared" si="234"/>
        <v/>
      </c>
      <c r="K7509" t="str">
        <f t="shared" si="235"/>
        <v/>
      </c>
    </row>
    <row r="7510" spans="7:11" x14ac:dyDescent="0.2">
      <c r="G7510" s="44"/>
      <c r="J7510" t="str">
        <f t="shared" si="234"/>
        <v/>
      </c>
      <c r="K7510" t="str">
        <f t="shared" si="235"/>
        <v/>
      </c>
    </row>
    <row r="7511" spans="7:11" x14ac:dyDescent="0.2">
      <c r="G7511" s="44"/>
      <c r="J7511" t="str">
        <f t="shared" si="234"/>
        <v/>
      </c>
      <c r="K7511" t="str">
        <f t="shared" si="235"/>
        <v/>
      </c>
    </row>
    <row r="7512" spans="7:11" x14ac:dyDescent="0.2">
      <c r="G7512" s="44"/>
      <c r="J7512" t="str">
        <f t="shared" si="234"/>
        <v/>
      </c>
      <c r="K7512" t="str">
        <f t="shared" si="235"/>
        <v/>
      </c>
    </row>
    <row r="7513" spans="7:11" x14ac:dyDescent="0.2">
      <c r="G7513" s="44"/>
      <c r="J7513" t="str">
        <f t="shared" si="234"/>
        <v/>
      </c>
      <c r="K7513" t="str">
        <f t="shared" si="235"/>
        <v/>
      </c>
    </row>
    <row r="7514" spans="7:11" x14ac:dyDescent="0.2">
      <c r="G7514" s="44"/>
      <c r="J7514" t="str">
        <f t="shared" si="234"/>
        <v/>
      </c>
      <c r="K7514" t="str">
        <f t="shared" si="235"/>
        <v/>
      </c>
    </row>
    <row r="7515" spans="7:11" x14ac:dyDescent="0.2">
      <c r="G7515" s="44"/>
      <c r="J7515" t="str">
        <f t="shared" si="234"/>
        <v/>
      </c>
      <c r="K7515" t="str">
        <f t="shared" si="235"/>
        <v/>
      </c>
    </row>
    <row r="7516" spans="7:11" x14ac:dyDescent="0.2">
      <c r="G7516" s="44"/>
      <c r="J7516" t="str">
        <f t="shared" si="234"/>
        <v/>
      </c>
      <c r="K7516" t="str">
        <f t="shared" si="235"/>
        <v/>
      </c>
    </row>
    <row r="7517" spans="7:11" x14ac:dyDescent="0.2">
      <c r="G7517" s="44"/>
      <c r="J7517" t="str">
        <f t="shared" si="234"/>
        <v/>
      </c>
      <c r="K7517" t="str">
        <f t="shared" si="235"/>
        <v/>
      </c>
    </row>
    <row r="7518" spans="7:11" x14ac:dyDescent="0.2">
      <c r="G7518" s="44"/>
      <c r="J7518" t="str">
        <f t="shared" si="234"/>
        <v/>
      </c>
      <c r="K7518" t="str">
        <f t="shared" si="235"/>
        <v/>
      </c>
    </row>
    <row r="7519" spans="7:11" x14ac:dyDescent="0.2">
      <c r="G7519" s="44"/>
      <c r="J7519" t="str">
        <f t="shared" si="234"/>
        <v/>
      </c>
      <c r="K7519" t="str">
        <f t="shared" si="235"/>
        <v/>
      </c>
    </row>
    <row r="7520" spans="7:11" x14ac:dyDescent="0.2">
      <c r="G7520" s="44"/>
      <c r="J7520" t="str">
        <f t="shared" si="234"/>
        <v/>
      </c>
      <c r="K7520" t="str">
        <f t="shared" si="235"/>
        <v/>
      </c>
    </row>
    <row r="7521" spans="7:11" x14ac:dyDescent="0.2">
      <c r="G7521" s="44"/>
      <c r="J7521" t="str">
        <f t="shared" si="234"/>
        <v/>
      </c>
      <c r="K7521" t="str">
        <f t="shared" si="235"/>
        <v/>
      </c>
    </row>
    <row r="7522" spans="7:11" x14ac:dyDescent="0.2">
      <c r="G7522" s="44"/>
      <c r="J7522" t="str">
        <f t="shared" si="234"/>
        <v/>
      </c>
      <c r="K7522" t="str">
        <f t="shared" si="235"/>
        <v/>
      </c>
    </row>
    <row r="7523" spans="7:11" x14ac:dyDescent="0.2">
      <c r="G7523" s="44"/>
      <c r="J7523" t="str">
        <f t="shared" si="234"/>
        <v/>
      </c>
      <c r="K7523" t="str">
        <f t="shared" si="235"/>
        <v/>
      </c>
    </row>
    <row r="7524" spans="7:11" x14ac:dyDescent="0.2">
      <c r="G7524" s="44"/>
      <c r="J7524" t="str">
        <f t="shared" si="234"/>
        <v/>
      </c>
      <c r="K7524" t="str">
        <f t="shared" si="235"/>
        <v/>
      </c>
    </row>
    <row r="7525" spans="7:11" x14ac:dyDescent="0.2">
      <c r="G7525" s="44"/>
      <c r="J7525" t="str">
        <f t="shared" si="234"/>
        <v/>
      </c>
      <c r="K7525" t="str">
        <f t="shared" si="235"/>
        <v/>
      </c>
    </row>
    <row r="7526" spans="7:11" x14ac:dyDescent="0.2">
      <c r="G7526" s="44"/>
      <c r="J7526" t="str">
        <f t="shared" si="234"/>
        <v/>
      </c>
      <c r="K7526" t="str">
        <f t="shared" si="235"/>
        <v/>
      </c>
    </row>
    <row r="7527" spans="7:11" x14ac:dyDescent="0.2">
      <c r="G7527" s="44"/>
      <c r="J7527" t="str">
        <f t="shared" si="234"/>
        <v/>
      </c>
      <c r="K7527" t="str">
        <f t="shared" si="235"/>
        <v/>
      </c>
    </row>
    <row r="7528" spans="7:11" x14ac:dyDescent="0.2">
      <c r="G7528" s="44"/>
      <c r="J7528" t="str">
        <f t="shared" si="234"/>
        <v/>
      </c>
      <c r="K7528" t="str">
        <f t="shared" si="235"/>
        <v/>
      </c>
    </row>
    <row r="7529" spans="7:11" x14ac:dyDescent="0.2">
      <c r="G7529" s="44"/>
      <c r="J7529" t="str">
        <f t="shared" si="234"/>
        <v/>
      </c>
      <c r="K7529" t="str">
        <f t="shared" si="235"/>
        <v/>
      </c>
    </row>
    <row r="7530" spans="7:11" x14ac:dyDescent="0.2">
      <c r="G7530" s="44"/>
      <c r="J7530" t="str">
        <f t="shared" si="234"/>
        <v/>
      </c>
      <c r="K7530" t="str">
        <f t="shared" si="235"/>
        <v/>
      </c>
    </row>
    <row r="7531" spans="7:11" x14ac:dyDescent="0.2">
      <c r="G7531" s="44"/>
      <c r="J7531" t="str">
        <f t="shared" si="234"/>
        <v/>
      </c>
      <c r="K7531" t="str">
        <f t="shared" si="235"/>
        <v/>
      </c>
    </row>
    <row r="7532" spans="7:11" x14ac:dyDescent="0.2">
      <c r="G7532" s="44"/>
      <c r="J7532" t="str">
        <f t="shared" si="234"/>
        <v/>
      </c>
      <c r="K7532" t="str">
        <f t="shared" si="235"/>
        <v/>
      </c>
    </row>
    <row r="7533" spans="7:11" x14ac:dyDescent="0.2">
      <c r="G7533" s="44"/>
      <c r="J7533" t="str">
        <f t="shared" si="234"/>
        <v/>
      </c>
      <c r="K7533" t="str">
        <f t="shared" si="235"/>
        <v/>
      </c>
    </row>
    <row r="7534" spans="7:11" x14ac:dyDescent="0.2">
      <c r="G7534" s="44"/>
      <c r="J7534" t="str">
        <f t="shared" si="234"/>
        <v/>
      </c>
      <c r="K7534" t="str">
        <f t="shared" si="235"/>
        <v/>
      </c>
    </row>
    <row r="7535" spans="7:11" x14ac:dyDescent="0.2">
      <c r="G7535" s="44"/>
      <c r="J7535" t="str">
        <f t="shared" si="234"/>
        <v/>
      </c>
      <c r="K7535" t="str">
        <f t="shared" si="235"/>
        <v/>
      </c>
    </row>
    <row r="7536" spans="7:11" x14ac:dyDescent="0.2">
      <c r="G7536" s="44"/>
      <c r="J7536" t="str">
        <f t="shared" si="234"/>
        <v/>
      </c>
      <c r="K7536" t="str">
        <f t="shared" si="235"/>
        <v/>
      </c>
    </row>
    <row r="7537" spans="7:11" x14ac:dyDescent="0.2">
      <c r="G7537" s="44"/>
      <c r="J7537" t="str">
        <f t="shared" si="234"/>
        <v/>
      </c>
      <c r="K7537" t="str">
        <f t="shared" si="235"/>
        <v/>
      </c>
    </row>
    <row r="7538" spans="7:11" x14ac:dyDescent="0.2">
      <c r="G7538" s="44"/>
      <c r="J7538" t="str">
        <f t="shared" si="234"/>
        <v/>
      </c>
      <c r="K7538" t="str">
        <f t="shared" si="235"/>
        <v/>
      </c>
    </row>
    <row r="7539" spans="7:11" x14ac:dyDescent="0.2">
      <c r="G7539" s="44"/>
      <c r="J7539" t="str">
        <f t="shared" si="234"/>
        <v/>
      </c>
      <c r="K7539" t="str">
        <f t="shared" si="235"/>
        <v/>
      </c>
    </row>
    <row r="7540" spans="7:11" x14ac:dyDescent="0.2">
      <c r="G7540" s="44"/>
      <c r="J7540" t="str">
        <f t="shared" si="234"/>
        <v/>
      </c>
      <c r="K7540" t="str">
        <f t="shared" si="235"/>
        <v/>
      </c>
    </row>
    <row r="7541" spans="7:11" x14ac:dyDescent="0.2">
      <c r="G7541" s="44"/>
      <c r="J7541" t="str">
        <f t="shared" si="234"/>
        <v/>
      </c>
      <c r="K7541" t="str">
        <f t="shared" si="235"/>
        <v/>
      </c>
    </row>
    <row r="7542" spans="7:11" x14ac:dyDescent="0.2">
      <c r="G7542" s="44"/>
      <c r="J7542" t="str">
        <f t="shared" si="234"/>
        <v/>
      </c>
      <c r="K7542" t="str">
        <f t="shared" si="235"/>
        <v/>
      </c>
    </row>
    <row r="7543" spans="7:11" x14ac:dyDescent="0.2">
      <c r="G7543" s="44"/>
      <c r="J7543" t="str">
        <f t="shared" si="234"/>
        <v/>
      </c>
      <c r="K7543" t="str">
        <f t="shared" si="235"/>
        <v/>
      </c>
    </row>
    <row r="7544" spans="7:11" x14ac:dyDescent="0.2">
      <c r="G7544" s="44"/>
      <c r="J7544" t="str">
        <f t="shared" si="234"/>
        <v/>
      </c>
      <c r="K7544" t="str">
        <f t="shared" si="235"/>
        <v/>
      </c>
    </row>
    <row r="7545" spans="7:11" x14ac:dyDescent="0.2">
      <c r="G7545" s="44"/>
      <c r="J7545" t="str">
        <f t="shared" si="234"/>
        <v/>
      </c>
      <c r="K7545" t="str">
        <f t="shared" si="235"/>
        <v/>
      </c>
    </row>
    <row r="7546" spans="7:11" x14ac:dyDescent="0.2">
      <c r="G7546" s="44"/>
      <c r="J7546" t="str">
        <f t="shared" si="234"/>
        <v/>
      </c>
      <c r="K7546" t="str">
        <f t="shared" si="235"/>
        <v/>
      </c>
    </row>
    <row r="7547" spans="7:11" x14ac:dyDescent="0.2">
      <c r="G7547" s="44"/>
      <c r="J7547" t="str">
        <f t="shared" si="234"/>
        <v/>
      </c>
      <c r="K7547" t="str">
        <f t="shared" si="235"/>
        <v/>
      </c>
    </row>
    <row r="7548" spans="7:11" x14ac:dyDescent="0.2">
      <c r="G7548" s="44"/>
      <c r="J7548" t="str">
        <f t="shared" si="234"/>
        <v/>
      </c>
      <c r="K7548" t="str">
        <f t="shared" si="235"/>
        <v/>
      </c>
    </row>
    <row r="7549" spans="7:11" x14ac:dyDescent="0.2">
      <c r="G7549" s="44"/>
      <c r="J7549" t="str">
        <f t="shared" si="234"/>
        <v/>
      </c>
      <c r="K7549" t="str">
        <f t="shared" si="235"/>
        <v/>
      </c>
    </row>
    <row r="7550" spans="7:11" x14ac:dyDescent="0.2">
      <c r="G7550" s="44"/>
      <c r="J7550" t="str">
        <f t="shared" si="234"/>
        <v/>
      </c>
      <c r="K7550" t="str">
        <f t="shared" si="235"/>
        <v/>
      </c>
    </row>
    <row r="7551" spans="7:11" x14ac:dyDescent="0.2">
      <c r="G7551" s="44"/>
      <c r="J7551" t="str">
        <f t="shared" si="234"/>
        <v/>
      </c>
      <c r="K7551" t="str">
        <f t="shared" si="235"/>
        <v/>
      </c>
    </row>
    <row r="7552" spans="7:11" x14ac:dyDescent="0.2">
      <c r="G7552" s="44"/>
      <c r="J7552" t="str">
        <f t="shared" si="234"/>
        <v/>
      </c>
      <c r="K7552" t="str">
        <f t="shared" si="235"/>
        <v/>
      </c>
    </row>
    <row r="7553" spans="7:11" x14ac:dyDescent="0.2">
      <c r="G7553" s="44"/>
      <c r="J7553" t="str">
        <f t="shared" si="234"/>
        <v/>
      </c>
      <c r="K7553" t="str">
        <f t="shared" si="235"/>
        <v/>
      </c>
    </row>
    <row r="7554" spans="7:11" x14ac:dyDescent="0.2">
      <c r="G7554" s="44"/>
      <c r="J7554" t="str">
        <f t="shared" ref="J7554:J7617" si="236">IF(E7554="","",IF(OR(E7554=50,E7554=51),"Iltindhold",IF(E7554=75,"Carbon,org,NVOC",IF(OR(E7554=343,E7554=1167),"Svovlbrinte",IF(OR(E7554=240,E7554=241,E7554=242),"Amm",IF(E7554=244,"Nitrit",IF(E7554=247,"Nitrat",IF(E7554=334,"Sulfat",IF(E7554=262,"Phosphor, total-P",F7554)))))))))</f>
        <v/>
      </c>
      <c r="K7554" t="str">
        <f t="shared" ref="K7554:K7617" si="237">IF(A7554="","",IF(H7554="!",NA(),IF(H7554="A",I7554*0.5,IF(H7554="&lt;",I7554*0.5,I7554))))</f>
        <v/>
      </c>
    </row>
    <row r="7555" spans="7:11" x14ac:dyDescent="0.2">
      <c r="G7555" s="44"/>
      <c r="J7555" t="str">
        <f t="shared" si="236"/>
        <v/>
      </c>
      <c r="K7555" t="str">
        <f t="shared" si="237"/>
        <v/>
      </c>
    </row>
    <row r="7556" spans="7:11" x14ac:dyDescent="0.2">
      <c r="G7556" s="44"/>
      <c r="J7556" t="str">
        <f t="shared" si="236"/>
        <v/>
      </c>
      <c r="K7556" t="str">
        <f t="shared" si="237"/>
        <v/>
      </c>
    </row>
    <row r="7557" spans="7:11" x14ac:dyDescent="0.2">
      <c r="G7557" s="44"/>
      <c r="J7557" t="str">
        <f t="shared" si="236"/>
        <v/>
      </c>
      <c r="K7557" t="str">
        <f t="shared" si="237"/>
        <v/>
      </c>
    </row>
    <row r="7558" spans="7:11" x14ac:dyDescent="0.2">
      <c r="G7558" s="44"/>
      <c r="J7558" t="str">
        <f t="shared" si="236"/>
        <v/>
      </c>
      <c r="K7558" t="str">
        <f t="shared" si="237"/>
        <v/>
      </c>
    </row>
    <row r="7559" spans="7:11" x14ac:dyDescent="0.2">
      <c r="G7559" s="44"/>
      <c r="J7559" t="str">
        <f t="shared" si="236"/>
        <v/>
      </c>
      <c r="K7559" t="str">
        <f t="shared" si="237"/>
        <v/>
      </c>
    </row>
    <row r="7560" spans="7:11" x14ac:dyDescent="0.2">
      <c r="G7560" s="44"/>
      <c r="J7560" t="str">
        <f t="shared" si="236"/>
        <v/>
      </c>
      <c r="K7560" t="str">
        <f t="shared" si="237"/>
        <v/>
      </c>
    </row>
    <row r="7561" spans="7:11" x14ac:dyDescent="0.2">
      <c r="G7561" s="44"/>
      <c r="J7561" t="str">
        <f t="shared" si="236"/>
        <v/>
      </c>
      <c r="K7561" t="str">
        <f t="shared" si="237"/>
        <v/>
      </c>
    </row>
    <row r="7562" spans="7:11" x14ac:dyDescent="0.2">
      <c r="G7562" s="44"/>
      <c r="J7562" t="str">
        <f t="shared" si="236"/>
        <v/>
      </c>
      <c r="K7562" t="str">
        <f t="shared" si="237"/>
        <v/>
      </c>
    </row>
    <row r="7563" spans="7:11" x14ac:dyDescent="0.2">
      <c r="G7563" s="44"/>
      <c r="J7563" t="str">
        <f t="shared" si="236"/>
        <v/>
      </c>
      <c r="K7563" t="str">
        <f t="shared" si="237"/>
        <v/>
      </c>
    </row>
    <row r="7564" spans="7:11" x14ac:dyDescent="0.2">
      <c r="G7564" s="44"/>
      <c r="J7564" t="str">
        <f t="shared" si="236"/>
        <v/>
      </c>
      <c r="K7564" t="str">
        <f t="shared" si="237"/>
        <v/>
      </c>
    </row>
    <row r="7565" spans="7:11" x14ac:dyDescent="0.2">
      <c r="G7565" s="44"/>
      <c r="J7565" t="str">
        <f t="shared" si="236"/>
        <v/>
      </c>
      <c r="K7565" t="str">
        <f t="shared" si="237"/>
        <v/>
      </c>
    </row>
    <row r="7566" spans="7:11" x14ac:dyDescent="0.2">
      <c r="G7566" s="44"/>
      <c r="J7566" t="str">
        <f t="shared" si="236"/>
        <v/>
      </c>
      <c r="K7566" t="str">
        <f t="shared" si="237"/>
        <v/>
      </c>
    </row>
    <row r="7567" spans="7:11" x14ac:dyDescent="0.2">
      <c r="G7567" s="44"/>
      <c r="J7567" t="str">
        <f t="shared" si="236"/>
        <v/>
      </c>
      <c r="K7567" t="str">
        <f t="shared" si="237"/>
        <v/>
      </c>
    </row>
    <row r="7568" spans="7:11" x14ac:dyDescent="0.2">
      <c r="G7568" s="44"/>
      <c r="J7568" t="str">
        <f t="shared" si="236"/>
        <v/>
      </c>
      <c r="K7568" t="str">
        <f t="shared" si="237"/>
        <v/>
      </c>
    </row>
    <row r="7569" spans="7:11" x14ac:dyDescent="0.2">
      <c r="G7569" s="44"/>
      <c r="J7569" t="str">
        <f t="shared" si="236"/>
        <v/>
      </c>
      <c r="K7569" t="str">
        <f t="shared" si="237"/>
        <v/>
      </c>
    </row>
    <row r="7570" spans="7:11" x14ac:dyDescent="0.2">
      <c r="G7570" s="44"/>
      <c r="J7570" t="str">
        <f t="shared" si="236"/>
        <v/>
      </c>
      <c r="K7570" t="str">
        <f t="shared" si="237"/>
        <v/>
      </c>
    </row>
    <row r="7571" spans="7:11" x14ac:dyDescent="0.2">
      <c r="G7571" s="44"/>
      <c r="J7571" t="str">
        <f t="shared" si="236"/>
        <v/>
      </c>
      <c r="K7571" t="str">
        <f t="shared" si="237"/>
        <v/>
      </c>
    </row>
    <row r="7572" spans="7:11" x14ac:dyDescent="0.2">
      <c r="G7572" s="44"/>
      <c r="J7572" t="str">
        <f t="shared" si="236"/>
        <v/>
      </c>
      <c r="K7572" t="str">
        <f t="shared" si="237"/>
        <v/>
      </c>
    </row>
    <row r="7573" spans="7:11" x14ac:dyDescent="0.2">
      <c r="G7573" s="44"/>
      <c r="J7573" t="str">
        <f t="shared" si="236"/>
        <v/>
      </c>
      <c r="K7573" t="str">
        <f t="shared" si="237"/>
        <v/>
      </c>
    </row>
    <row r="7574" spans="7:11" x14ac:dyDescent="0.2">
      <c r="G7574" s="44"/>
      <c r="J7574" t="str">
        <f t="shared" si="236"/>
        <v/>
      </c>
      <c r="K7574" t="str">
        <f t="shared" si="237"/>
        <v/>
      </c>
    </row>
    <row r="7575" spans="7:11" x14ac:dyDescent="0.2">
      <c r="G7575" s="44"/>
      <c r="J7575" t="str">
        <f t="shared" si="236"/>
        <v/>
      </c>
      <c r="K7575" t="str">
        <f t="shared" si="237"/>
        <v/>
      </c>
    </row>
    <row r="7576" spans="7:11" x14ac:dyDescent="0.2">
      <c r="G7576" s="44"/>
      <c r="J7576" t="str">
        <f t="shared" si="236"/>
        <v/>
      </c>
      <c r="K7576" t="str">
        <f t="shared" si="237"/>
        <v/>
      </c>
    </row>
    <row r="7577" spans="7:11" x14ac:dyDescent="0.2">
      <c r="G7577" s="44"/>
      <c r="J7577" t="str">
        <f t="shared" si="236"/>
        <v/>
      </c>
      <c r="K7577" t="str">
        <f t="shared" si="237"/>
        <v/>
      </c>
    </row>
    <row r="7578" spans="7:11" x14ac:dyDescent="0.2">
      <c r="G7578" s="44"/>
      <c r="J7578" t="str">
        <f t="shared" si="236"/>
        <v/>
      </c>
      <c r="K7578" t="str">
        <f t="shared" si="237"/>
        <v/>
      </c>
    </row>
    <row r="7579" spans="7:11" x14ac:dyDescent="0.2">
      <c r="G7579" s="44"/>
      <c r="J7579" t="str">
        <f t="shared" si="236"/>
        <v/>
      </c>
      <c r="K7579" t="str">
        <f t="shared" si="237"/>
        <v/>
      </c>
    </row>
    <row r="7580" spans="7:11" x14ac:dyDescent="0.2">
      <c r="G7580" s="44"/>
      <c r="J7580" t="str">
        <f t="shared" si="236"/>
        <v/>
      </c>
      <c r="K7580" t="str">
        <f t="shared" si="237"/>
        <v/>
      </c>
    </row>
    <row r="7581" spans="7:11" x14ac:dyDescent="0.2">
      <c r="G7581" s="44"/>
      <c r="J7581" t="str">
        <f t="shared" si="236"/>
        <v/>
      </c>
      <c r="K7581" t="str">
        <f t="shared" si="237"/>
        <v/>
      </c>
    </row>
    <row r="7582" spans="7:11" x14ac:dyDescent="0.2">
      <c r="G7582" s="44"/>
      <c r="J7582" t="str">
        <f t="shared" si="236"/>
        <v/>
      </c>
      <c r="K7582" t="str">
        <f t="shared" si="237"/>
        <v/>
      </c>
    </row>
    <row r="7583" spans="7:11" x14ac:dyDescent="0.2">
      <c r="G7583" s="44"/>
      <c r="J7583" t="str">
        <f t="shared" si="236"/>
        <v/>
      </c>
      <c r="K7583" t="str">
        <f t="shared" si="237"/>
        <v/>
      </c>
    </row>
    <row r="7584" spans="7:11" x14ac:dyDescent="0.2">
      <c r="G7584" s="44"/>
      <c r="J7584" t="str">
        <f t="shared" si="236"/>
        <v/>
      </c>
      <c r="K7584" t="str">
        <f t="shared" si="237"/>
        <v/>
      </c>
    </row>
    <row r="7585" spans="7:11" x14ac:dyDescent="0.2">
      <c r="G7585" s="44"/>
      <c r="J7585" t="str">
        <f t="shared" si="236"/>
        <v/>
      </c>
      <c r="K7585" t="str">
        <f t="shared" si="237"/>
        <v/>
      </c>
    </row>
    <row r="7586" spans="7:11" x14ac:dyDescent="0.2">
      <c r="G7586" s="44"/>
      <c r="J7586" t="str">
        <f t="shared" si="236"/>
        <v/>
      </c>
      <c r="K7586" t="str">
        <f t="shared" si="237"/>
        <v/>
      </c>
    </row>
    <row r="7587" spans="7:11" x14ac:dyDescent="0.2">
      <c r="G7587" s="44"/>
      <c r="J7587" t="str">
        <f t="shared" si="236"/>
        <v/>
      </c>
      <c r="K7587" t="str">
        <f t="shared" si="237"/>
        <v/>
      </c>
    </row>
    <row r="7588" spans="7:11" x14ac:dyDescent="0.2">
      <c r="G7588" s="44"/>
      <c r="J7588" t="str">
        <f t="shared" si="236"/>
        <v/>
      </c>
      <c r="K7588" t="str">
        <f t="shared" si="237"/>
        <v/>
      </c>
    </row>
    <row r="7589" spans="7:11" x14ac:dyDescent="0.2">
      <c r="G7589" s="44"/>
      <c r="J7589" t="str">
        <f t="shared" si="236"/>
        <v/>
      </c>
      <c r="K7589" t="str">
        <f t="shared" si="237"/>
        <v/>
      </c>
    </row>
    <row r="7590" spans="7:11" x14ac:dyDescent="0.2">
      <c r="G7590" s="44"/>
      <c r="J7590" t="str">
        <f t="shared" si="236"/>
        <v/>
      </c>
      <c r="K7590" t="str">
        <f t="shared" si="237"/>
        <v/>
      </c>
    </row>
    <row r="7591" spans="7:11" x14ac:dyDescent="0.2">
      <c r="G7591" s="44"/>
      <c r="J7591" t="str">
        <f t="shared" si="236"/>
        <v/>
      </c>
      <c r="K7591" t="str">
        <f t="shared" si="237"/>
        <v/>
      </c>
    </row>
    <row r="7592" spans="7:11" x14ac:dyDescent="0.2">
      <c r="G7592" s="44"/>
      <c r="J7592" t="str">
        <f t="shared" si="236"/>
        <v/>
      </c>
      <c r="K7592" t="str">
        <f t="shared" si="237"/>
        <v/>
      </c>
    </row>
    <row r="7593" spans="7:11" x14ac:dyDescent="0.2">
      <c r="G7593" s="44"/>
      <c r="J7593" t="str">
        <f t="shared" si="236"/>
        <v/>
      </c>
      <c r="K7593" t="str">
        <f t="shared" si="237"/>
        <v/>
      </c>
    </row>
    <row r="7594" spans="7:11" x14ac:dyDescent="0.2">
      <c r="G7594" s="44"/>
      <c r="J7594" t="str">
        <f t="shared" si="236"/>
        <v/>
      </c>
      <c r="K7594" t="str">
        <f t="shared" si="237"/>
        <v/>
      </c>
    </row>
    <row r="7595" spans="7:11" x14ac:dyDescent="0.2">
      <c r="G7595" s="44"/>
      <c r="J7595" t="str">
        <f t="shared" si="236"/>
        <v/>
      </c>
      <c r="K7595" t="str">
        <f t="shared" si="237"/>
        <v/>
      </c>
    </row>
    <row r="7596" spans="7:11" x14ac:dyDescent="0.2">
      <c r="G7596" s="44"/>
      <c r="J7596" t="str">
        <f t="shared" si="236"/>
        <v/>
      </c>
      <c r="K7596" t="str">
        <f t="shared" si="237"/>
        <v/>
      </c>
    </row>
    <row r="7597" spans="7:11" x14ac:dyDescent="0.2">
      <c r="G7597" s="44"/>
      <c r="J7597" t="str">
        <f t="shared" si="236"/>
        <v/>
      </c>
      <c r="K7597" t="str">
        <f t="shared" si="237"/>
        <v/>
      </c>
    </row>
    <row r="7598" spans="7:11" x14ac:dyDescent="0.2">
      <c r="G7598" s="44"/>
      <c r="J7598" t="str">
        <f t="shared" si="236"/>
        <v/>
      </c>
      <c r="K7598" t="str">
        <f t="shared" si="237"/>
        <v/>
      </c>
    </row>
    <row r="7599" spans="7:11" x14ac:dyDescent="0.2">
      <c r="G7599" s="44"/>
      <c r="J7599" t="str">
        <f t="shared" si="236"/>
        <v/>
      </c>
      <c r="K7599" t="str">
        <f t="shared" si="237"/>
        <v/>
      </c>
    </row>
    <row r="7600" spans="7:11" x14ac:dyDescent="0.2">
      <c r="G7600" s="44"/>
      <c r="J7600" t="str">
        <f t="shared" si="236"/>
        <v/>
      </c>
      <c r="K7600" t="str">
        <f t="shared" si="237"/>
        <v/>
      </c>
    </row>
    <row r="7601" spans="7:11" x14ac:dyDescent="0.2">
      <c r="G7601" s="44"/>
      <c r="J7601" t="str">
        <f t="shared" si="236"/>
        <v/>
      </c>
      <c r="K7601" t="str">
        <f t="shared" si="237"/>
        <v/>
      </c>
    </row>
    <row r="7602" spans="7:11" x14ac:dyDescent="0.2">
      <c r="G7602" s="44"/>
      <c r="J7602" t="str">
        <f t="shared" si="236"/>
        <v/>
      </c>
      <c r="K7602" t="str">
        <f t="shared" si="237"/>
        <v/>
      </c>
    </row>
    <row r="7603" spans="7:11" x14ac:dyDescent="0.2">
      <c r="G7603" s="44"/>
      <c r="J7603" t="str">
        <f t="shared" si="236"/>
        <v/>
      </c>
      <c r="K7603" t="str">
        <f t="shared" si="237"/>
        <v/>
      </c>
    </row>
    <row r="7604" spans="7:11" x14ac:dyDescent="0.2">
      <c r="G7604" s="44"/>
      <c r="J7604" t="str">
        <f t="shared" si="236"/>
        <v/>
      </c>
      <c r="K7604" t="str">
        <f t="shared" si="237"/>
        <v/>
      </c>
    </row>
    <row r="7605" spans="7:11" x14ac:dyDescent="0.2">
      <c r="G7605" s="44"/>
      <c r="J7605" t="str">
        <f t="shared" si="236"/>
        <v/>
      </c>
      <c r="K7605" t="str">
        <f t="shared" si="237"/>
        <v/>
      </c>
    </row>
    <row r="7606" spans="7:11" x14ac:dyDescent="0.2">
      <c r="G7606" s="44"/>
      <c r="J7606" t="str">
        <f t="shared" si="236"/>
        <v/>
      </c>
      <c r="K7606" t="str">
        <f t="shared" si="237"/>
        <v/>
      </c>
    </row>
    <row r="7607" spans="7:11" x14ac:dyDescent="0.2">
      <c r="G7607" s="44"/>
      <c r="J7607" t="str">
        <f t="shared" si="236"/>
        <v/>
      </c>
      <c r="K7607" t="str">
        <f t="shared" si="237"/>
        <v/>
      </c>
    </row>
    <row r="7608" spans="7:11" x14ac:dyDescent="0.2">
      <c r="G7608" s="44"/>
      <c r="J7608" t="str">
        <f t="shared" si="236"/>
        <v/>
      </c>
      <c r="K7608" t="str">
        <f t="shared" si="237"/>
        <v/>
      </c>
    </row>
    <row r="7609" spans="7:11" x14ac:dyDescent="0.2">
      <c r="G7609" s="44"/>
      <c r="J7609" t="str">
        <f t="shared" si="236"/>
        <v/>
      </c>
      <c r="K7609" t="str">
        <f t="shared" si="237"/>
        <v/>
      </c>
    </row>
    <row r="7610" spans="7:11" x14ac:dyDescent="0.2">
      <c r="G7610" s="44"/>
      <c r="J7610" t="str">
        <f t="shared" si="236"/>
        <v/>
      </c>
      <c r="K7610" t="str">
        <f t="shared" si="237"/>
        <v/>
      </c>
    </row>
    <row r="7611" spans="7:11" x14ac:dyDescent="0.2">
      <c r="G7611" s="44"/>
      <c r="J7611" t="str">
        <f t="shared" si="236"/>
        <v/>
      </c>
      <c r="K7611" t="str">
        <f t="shared" si="237"/>
        <v/>
      </c>
    </row>
    <row r="7612" spans="7:11" x14ac:dyDescent="0.2">
      <c r="G7612" s="44"/>
      <c r="J7612" t="str">
        <f t="shared" si="236"/>
        <v/>
      </c>
      <c r="K7612" t="str">
        <f t="shared" si="237"/>
        <v/>
      </c>
    </row>
    <row r="7613" spans="7:11" x14ac:dyDescent="0.2">
      <c r="G7613" s="44"/>
      <c r="J7613" t="str">
        <f t="shared" si="236"/>
        <v/>
      </c>
      <c r="K7613" t="str">
        <f t="shared" si="237"/>
        <v/>
      </c>
    </row>
    <row r="7614" spans="7:11" x14ac:dyDescent="0.2">
      <c r="G7614" s="44"/>
      <c r="J7614" t="str">
        <f t="shared" si="236"/>
        <v/>
      </c>
      <c r="K7614" t="str">
        <f t="shared" si="237"/>
        <v/>
      </c>
    </row>
    <row r="7615" spans="7:11" x14ac:dyDescent="0.2">
      <c r="G7615" s="44"/>
      <c r="J7615" t="str">
        <f t="shared" si="236"/>
        <v/>
      </c>
      <c r="K7615" t="str">
        <f t="shared" si="237"/>
        <v/>
      </c>
    </row>
    <row r="7616" spans="7:11" x14ac:dyDescent="0.2">
      <c r="G7616" s="44"/>
      <c r="J7616" t="str">
        <f t="shared" si="236"/>
        <v/>
      </c>
      <c r="K7616" t="str">
        <f t="shared" si="237"/>
        <v/>
      </c>
    </row>
    <row r="7617" spans="7:11" x14ac:dyDescent="0.2">
      <c r="G7617" s="44"/>
      <c r="J7617" t="str">
        <f t="shared" si="236"/>
        <v/>
      </c>
      <c r="K7617" t="str">
        <f t="shared" si="237"/>
        <v/>
      </c>
    </row>
    <row r="7618" spans="7:11" x14ac:dyDescent="0.2">
      <c r="G7618" s="44"/>
      <c r="J7618" t="str">
        <f t="shared" ref="J7618:J7681" si="238">IF(E7618="","",IF(OR(E7618=50,E7618=51),"Iltindhold",IF(E7618=75,"Carbon,org,NVOC",IF(OR(E7618=343,E7618=1167),"Svovlbrinte",IF(OR(E7618=240,E7618=241,E7618=242),"Amm",IF(E7618=244,"Nitrit",IF(E7618=247,"Nitrat",IF(E7618=334,"Sulfat",IF(E7618=262,"Phosphor, total-P",F7618)))))))))</f>
        <v/>
      </c>
      <c r="K7618" t="str">
        <f t="shared" ref="K7618:K7681" si="239">IF(A7618="","",IF(H7618="!",NA(),IF(H7618="A",I7618*0.5,IF(H7618="&lt;",I7618*0.5,I7618))))</f>
        <v/>
      </c>
    </row>
    <row r="7619" spans="7:11" x14ac:dyDescent="0.2">
      <c r="G7619" s="44"/>
      <c r="J7619" t="str">
        <f t="shared" si="238"/>
        <v/>
      </c>
      <c r="K7619" t="str">
        <f t="shared" si="239"/>
        <v/>
      </c>
    </row>
    <row r="7620" spans="7:11" x14ac:dyDescent="0.2">
      <c r="G7620" s="44"/>
      <c r="J7620" t="str">
        <f t="shared" si="238"/>
        <v/>
      </c>
      <c r="K7620" t="str">
        <f t="shared" si="239"/>
        <v/>
      </c>
    </row>
    <row r="7621" spans="7:11" x14ac:dyDescent="0.2">
      <c r="G7621" s="44"/>
      <c r="J7621" t="str">
        <f t="shared" si="238"/>
        <v/>
      </c>
      <c r="K7621" t="str">
        <f t="shared" si="239"/>
        <v/>
      </c>
    </row>
    <row r="7622" spans="7:11" x14ac:dyDescent="0.2">
      <c r="G7622" s="44"/>
      <c r="J7622" t="str">
        <f t="shared" si="238"/>
        <v/>
      </c>
      <c r="K7622" t="str">
        <f t="shared" si="239"/>
        <v/>
      </c>
    </row>
    <row r="7623" spans="7:11" x14ac:dyDescent="0.2">
      <c r="G7623" s="44"/>
      <c r="J7623" t="str">
        <f t="shared" si="238"/>
        <v/>
      </c>
      <c r="K7623" t="str">
        <f t="shared" si="239"/>
        <v/>
      </c>
    </row>
    <row r="7624" spans="7:11" x14ac:dyDescent="0.2">
      <c r="G7624" s="44"/>
      <c r="J7624" t="str">
        <f t="shared" si="238"/>
        <v/>
      </c>
      <c r="K7624" t="str">
        <f t="shared" si="239"/>
        <v/>
      </c>
    </row>
    <row r="7625" spans="7:11" x14ac:dyDescent="0.2">
      <c r="G7625" s="44"/>
      <c r="J7625" t="str">
        <f t="shared" si="238"/>
        <v/>
      </c>
      <c r="K7625" t="str">
        <f t="shared" si="239"/>
        <v/>
      </c>
    </row>
    <row r="7626" spans="7:11" x14ac:dyDescent="0.2">
      <c r="G7626" s="44"/>
      <c r="J7626" t="str">
        <f t="shared" si="238"/>
        <v/>
      </c>
      <c r="K7626" t="str">
        <f t="shared" si="239"/>
        <v/>
      </c>
    </row>
    <row r="7627" spans="7:11" x14ac:dyDescent="0.2">
      <c r="G7627" s="44"/>
      <c r="J7627" t="str">
        <f t="shared" si="238"/>
        <v/>
      </c>
      <c r="K7627" t="str">
        <f t="shared" si="239"/>
        <v/>
      </c>
    </row>
    <row r="7628" spans="7:11" x14ac:dyDescent="0.2">
      <c r="G7628" s="44"/>
      <c r="J7628" t="str">
        <f t="shared" si="238"/>
        <v/>
      </c>
      <c r="K7628" t="str">
        <f t="shared" si="239"/>
        <v/>
      </c>
    </row>
    <row r="7629" spans="7:11" x14ac:dyDescent="0.2">
      <c r="G7629" s="44"/>
      <c r="J7629" t="str">
        <f t="shared" si="238"/>
        <v/>
      </c>
      <c r="K7629" t="str">
        <f t="shared" si="239"/>
        <v/>
      </c>
    </row>
    <row r="7630" spans="7:11" x14ac:dyDescent="0.2">
      <c r="G7630" s="44"/>
      <c r="J7630" t="str">
        <f t="shared" si="238"/>
        <v/>
      </c>
      <c r="K7630" t="str">
        <f t="shared" si="239"/>
        <v/>
      </c>
    </row>
    <row r="7631" spans="7:11" x14ac:dyDescent="0.2">
      <c r="G7631" s="44"/>
      <c r="J7631" t="str">
        <f t="shared" si="238"/>
        <v/>
      </c>
      <c r="K7631" t="str">
        <f t="shared" si="239"/>
        <v/>
      </c>
    </row>
    <row r="7632" spans="7:11" x14ac:dyDescent="0.2">
      <c r="G7632" s="44"/>
      <c r="J7632" t="str">
        <f t="shared" si="238"/>
        <v/>
      </c>
      <c r="K7632" t="str">
        <f t="shared" si="239"/>
        <v/>
      </c>
    </row>
    <row r="7633" spans="7:11" x14ac:dyDescent="0.2">
      <c r="G7633" s="44"/>
      <c r="J7633" t="str">
        <f t="shared" si="238"/>
        <v/>
      </c>
      <c r="K7633" t="str">
        <f t="shared" si="239"/>
        <v/>
      </c>
    </row>
    <row r="7634" spans="7:11" x14ac:dyDescent="0.2">
      <c r="G7634" s="44"/>
      <c r="J7634" t="str">
        <f t="shared" si="238"/>
        <v/>
      </c>
      <c r="K7634" t="str">
        <f t="shared" si="239"/>
        <v/>
      </c>
    </row>
    <row r="7635" spans="7:11" x14ac:dyDescent="0.2">
      <c r="G7635" s="44"/>
      <c r="J7635" t="str">
        <f t="shared" si="238"/>
        <v/>
      </c>
      <c r="K7635" t="str">
        <f t="shared" si="239"/>
        <v/>
      </c>
    </row>
    <row r="7636" spans="7:11" x14ac:dyDescent="0.2">
      <c r="G7636" s="44"/>
      <c r="J7636" t="str">
        <f t="shared" si="238"/>
        <v/>
      </c>
      <c r="K7636" t="str">
        <f t="shared" si="239"/>
        <v/>
      </c>
    </row>
    <row r="7637" spans="7:11" x14ac:dyDescent="0.2">
      <c r="G7637" s="44"/>
      <c r="J7637" t="str">
        <f t="shared" si="238"/>
        <v/>
      </c>
      <c r="K7637" t="str">
        <f t="shared" si="239"/>
        <v/>
      </c>
    </row>
    <row r="7638" spans="7:11" x14ac:dyDescent="0.2">
      <c r="G7638" s="44"/>
      <c r="J7638" t="str">
        <f t="shared" si="238"/>
        <v/>
      </c>
      <c r="K7638" t="str">
        <f t="shared" si="239"/>
        <v/>
      </c>
    </row>
    <row r="7639" spans="7:11" x14ac:dyDescent="0.2">
      <c r="G7639" s="44"/>
      <c r="J7639" t="str">
        <f t="shared" si="238"/>
        <v/>
      </c>
      <c r="K7639" t="str">
        <f t="shared" si="239"/>
        <v/>
      </c>
    </row>
    <row r="7640" spans="7:11" x14ac:dyDescent="0.2">
      <c r="G7640" s="44"/>
      <c r="J7640" t="str">
        <f t="shared" si="238"/>
        <v/>
      </c>
      <c r="K7640" t="str">
        <f t="shared" si="239"/>
        <v/>
      </c>
    </row>
    <row r="7641" spans="7:11" x14ac:dyDescent="0.2">
      <c r="G7641" s="44"/>
      <c r="J7641" t="str">
        <f t="shared" si="238"/>
        <v/>
      </c>
      <c r="K7641" t="str">
        <f t="shared" si="239"/>
        <v/>
      </c>
    </row>
    <row r="7642" spans="7:11" x14ac:dyDescent="0.2">
      <c r="G7642" s="44"/>
      <c r="J7642" t="str">
        <f t="shared" si="238"/>
        <v/>
      </c>
      <c r="K7642" t="str">
        <f t="shared" si="239"/>
        <v/>
      </c>
    </row>
    <row r="7643" spans="7:11" x14ac:dyDescent="0.2">
      <c r="G7643" s="44"/>
      <c r="J7643" t="str">
        <f t="shared" si="238"/>
        <v/>
      </c>
      <c r="K7643" t="str">
        <f t="shared" si="239"/>
        <v/>
      </c>
    </row>
    <row r="7644" spans="7:11" x14ac:dyDescent="0.2">
      <c r="G7644" s="44"/>
      <c r="J7644" t="str">
        <f t="shared" si="238"/>
        <v/>
      </c>
      <c r="K7644" t="str">
        <f t="shared" si="239"/>
        <v/>
      </c>
    </row>
    <row r="7645" spans="7:11" x14ac:dyDescent="0.2">
      <c r="G7645" s="44"/>
      <c r="J7645" t="str">
        <f t="shared" si="238"/>
        <v/>
      </c>
      <c r="K7645" t="str">
        <f t="shared" si="239"/>
        <v/>
      </c>
    </row>
    <row r="7646" spans="7:11" x14ac:dyDescent="0.2">
      <c r="G7646" s="44"/>
      <c r="J7646" t="str">
        <f t="shared" si="238"/>
        <v/>
      </c>
      <c r="K7646" t="str">
        <f t="shared" si="239"/>
        <v/>
      </c>
    </row>
    <row r="7647" spans="7:11" x14ac:dyDescent="0.2">
      <c r="G7647" s="44"/>
      <c r="J7647" t="str">
        <f t="shared" si="238"/>
        <v/>
      </c>
      <c r="K7647" t="str">
        <f t="shared" si="239"/>
        <v/>
      </c>
    </row>
    <row r="7648" spans="7:11" x14ac:dyDescent="0.2">
      <c r="G7648" s="44"/>
      <c r="J7648" t="str">
        <f t="shared" si="238"/>
        <v/>
      </c>
      <c r="K7648" t="str">
        <f t="shared" si="239"/>
        <v/>
      </c>
    </row>
    <row r="7649" spans="7:11" x14ac:dyDescent="0.2">
      <c r="G7649" s="44"/>
      <c r="J7649" t="str">
        <f t="shared" si="238"/>
        <v/>
      </c>
      <c r="K7649" t="str">
        <f t="shared" si="239"/>
        <v/>
      </c>
    </row>
    <row r="7650" spans="7:11" x14ac:dyDescent="0.2">
      <c r="G7650" s="44"/>
      <c r="J7650" t="str">
        <f t="shared" si="238"/>
        <v/>
      </c>
      <c r="K7650" t="str">
        <f t="shared" si="239"/>
        <v/>
      </c>
    </row>
    <row r="7651" spans="7:11" x14ac:dyDescent="0.2">
      <c r="G7651" s="44"/>
      <c r="J7651" t="str">
        <f t="shared" si="238"/>
        <v/>
      </c>
      <c r="K7651" t="str">
        <f t="shared" si="239"/>
        <v/>
      </c>
    </row>
    <row r="7652" spans="7:11" x14ac:dyDescent="0.2">
      <c r="G7652" s="44"/>
      <c r="J7652" t="str">
        <f t="shared" si="238"/>
        <v/>
      </c>
      <c r="K7652" t="str">
        <f t="shared" si="239"/>
        <v/>
      </c>
    </row>
    <row r="7653" spans="7:11" x14ac:dyDescent="0.2">
      <c r="G7653" s="44"/>
      <c r="J7653" t="str">
        <f t="shared" si="238"/>
        <v/>
      </c>
      <c r="K7653" t="str">
        <f t="shared" si="239"/>
        <v/>
      </c>
    </row>
    <row r="7654" spans="7:11" x14ac:dyDescent="0.2">
      <c r="G7654" s="44"/>
      <c r="J7654" t="str">
        <f t="shared" si="238"/>
        <v/>
      </c>
      <c r="K7654" t="str">
        <f t="shared" si="239"/>
        <v/>
      </c>
    </row>
    <row r="7655" spans="7:11" x14ac:dyDescent="0.2">
      <c r="G7655" s="44"/>
      <c r="J7655" t="str">
        <f t="shared" si="238"/>
        <v/>
      </c>
      <c r="K7655" t="str">
        <f t="shared" si="239"/>
        <v/>
      </c>
    </row>
    <row r="7656" spans="7:11" x14ac:dyDescent="0.2">
      <c r="G7656" s="44"/>
      <c r="J7656" t="str">
        <f t="shared" si="238"/>
        <v/>
      </c>
      <c r="K7656" t="str">
        <f t="shared" si="239"/>
        <v/>
      </c>
    </row>
    <row r="7657" spans="7:11" x14ac:dyDescent="0.2">
      <c r="G7657" s="44"/>
      <c r="J7657" t="str">
        <f t="shared" si="238"/>
        <v/>
      </c>
      <c r="K7657" t="str">
        <f t="shared" si="239"/>
        <v/>
      </c>
    </row>
    <row r="7658" spans="7:11" x14ac:dyDescent="0.2">
      <c r="G7658" s="44"/>
      <c r="J7658" t="str">
        <f t="shared" si="238"/>
        <v/>
      </c>
      <c r="K7658" t="str">
        <f t="shared" si="239"/>
        <v/>
      </c>
    </row>
    <row r="7659" spans="7:11" x14ac:dyDescent="0.2">
      <c r="G7659" s="44"/>
      <c r="J7659" t="str">
        <f t="shared" si="238"/>
        <v/>
      </c>
      <c r="K7659" t="str">
        <f t="shared" si="239"/>
        <v/>
      </c>
    </row>
    <row r="7660" spans="7:11" x14ac:dyDescent="0.2">
      <c r="G7660" s="44"/>
      <c r="J7660" t="str">
        <f t="shared" si="238"/>
        <v/>
      </c>
      <c r="K7660" t="str">
        <f t="shared" si="239"/>
        <v/>
      </c>
    </row>
    <row r="7661" spans="7:11" x14ac:dyDescent="0.2">
      <c r="G7661" s="44"/>
      <c r="J7661" t="str">
        <f t="shared" si="238"/>
        <v/>
      </c>
      <c r="K7661" t="str">
        <f t="shared" si="239"/>
        <v/>
      </c>
    </row>
    <row r="7662" spans="7:11" x14ac:dyDescent="0.2">
      <c r="G7662" s="44"/>
      <c r="J7662" t="str">
        <f t="shared" si="238"/>
        <v/>
      </c>
      <c r="K7662" t="str">
        <f t="shared" si="239"/>
        <v/>
      </c>
    </row>
    <row r="7663" spans="7:11" x14ac:dyDescent="0.2">
      <c r="G7663" s="44"/>
      <c r="J7663" t="str">
        <f t="shared" si="238"/>
        <v/>
      </c>
      <c r="K7663" t="str">
        <f t="shared" si="239"/>
        <v/>
      </c>
    </row>
    <row r="7664" spans="7:11" x14ac:dyDescent="0.2">
      <c r="G7664" s="44"/>
      <c r="J7664" t="str">
        <f t="shared" si="238"/>
        <v/>
      </c>
      <c r="K7664" t="str">
        <f t="shared" si="239"/>
        <v/>
      </c>
    </row>
    <row r="7665" spans="7:11" x14ac:dyDescent="0.2">
      <c r="G7665" s="44"/>
      <c r="J7665" t="str">
        <f t="shared" si="238"/>
        <v/>
      </c>
      <c r="K7665" t="str">
        <f t="shared" si="239"/>
        <v/>
      </c>
    </row>
    <row r="7666" spans="7:11" x14ac:dyDescent="0.2">
      <c r="G7666" s="44"/>
      <c r="J7666" t="str">
        <f t="shared" si="238"/>
        <v/>
      </c>
      <c r="K7666" t="str">
        <f t="shared" si="239"/>
        <v/>
      </c>
    </row>
    <row r="7667" spans="7:11" x14ac:dyDescent="0.2">
      <c r="G7667" s="44"/>
      <c r="J7667" t="str">
        <f t="shared" si="238"/>
        <v/>
      </c>
      <c r="K7667" t="str">
        <f t="shared" si="239"/>
        <v/>
      </c>
    </row>
    <row r="7668" spans="7:11" x14ac:dyDescent="0.2">
      <c r="G7668" s="44"/>
      <c r="J7668" t="str">
        <f t="shared" si="238"/>
        <v/>
      </c>
      <c r="K7668" t="str">
        <f t="shared" si="239"/>
        <v/>
      </c>
    </row>
    <row r="7669" spans="7:11" x14ac:dyDescent="0.2">
      <c r="G7669" s="44"/>
      <c r="J7669" t="str">
        <f t="shared" si="238"/>
        <v/>
      </c>
      <c r="K7669" t="str">
        <f t="shared" si="239"/>
        <v/>
      </c>
    </row>
    <row r="7670" spans="7:11" x14ac:dyDescent="0.2">
      <c r="G7670" s="44"/>
      <c r="J7670" t="str">
        <f t="shared" si="238"/>
        <v/>
      </c>
      <c r="K7670" t="str">
        <f t="shared" si="239"/>
        <v/>
      </c>
    </row>
    <row r="7671" spans="7:11" x14ac:dyDescent="0.2">
      <c r="G7671" s="44"/>
      <c r="J7671" t="str">
        <f t="shared" si="238"/>
        <v/>
      </c>
      <c r="K7671" t="str">
        <f t="shared" si="239"/>
        <v/>
      </c>
    </row>
    <row r="7672" spans="7:11" x14ac:dyDescent="0.2">
      <c r="G7672" s="44"/>
      <c r="J7672" t="str">
        <f t="shared" si="238"/>
        <v/>
      </c>
      <c r="K7672" t="str">
        <f t="shared" si="239"/>
        <v/>
      </c>
    </row>
    <row r="7673" spans="7:11" x14ac:dyDescent="0.2">
      <c r="G7673" s="44"/>
      <c r="J7673" t="str">
        <f t="shared" si="238"/>
        <v/>
      </c>
      <c r="K7673" t="str">
        <f t="shared" si="239"/>
        <v/>
      </c>
    </row>
    <row r="7674" spans="7:11" x14ac:dyDescent="0.2">
      <c r="G7674" s="44"/>
      <c r="J7674" t="str">
        <f t="shared" si="238"/>
        <v/>
      </c>
      <c r="K7674" t="str">
        <f t="shared" si="239"/>
        <v/>
      </c>
    </row>
    <row r="7675" spans="7:11" x14ac:dyDescent="0.2">
      <c r="G7675" s="44"/>
      <c r="J7675" t="str">
        <f t="shared" si="238"/>
        <v/>
      </c>
      <c r="K7675" t="str">
        <f t="shared" si="239"/>
        <v/>
      </c>
    </row>
    <row r="7676" spans="7:11" x14ac:dyDescent="0.2">
      <c r="G7676" s="44"/>
      <c r="J7676" t="str">
        <f t="shared" si="238"/>
        <v/>
      </c>
      <c r="K7676" t="str">
        <f t="shared" si="239"/>
        <v/>
      </c>
    </row>
    <row r="7677" spans="7:11" x14ac:dyDescent="0.2">
      <c r="G7677" s="44"/>
      <c r="J7677" t="str">
        <f t="shared" si="238"/>
        <v/>
      </c>
      <c r="K7677" t="str">
        <f t="shared" si="239"/>
        <v/>
      </c>
    </row>
    <row r="7678" spans="7:11" x14ac:dyDescent="0.2">
      <c r="G7678" s="44"/>
      <c r="J7678" t="str">
        <f t="shared" si="238"/>
        <v/>
      </c>
      <c r="K7678" t="str">
        <f t="shared" si="239"/>
        <v/>
      </c>
    </row>
    <row r="7679" spans="7:11" x14ac:dyDescent="0.2">
      <c r="G7679" s="44"/>
      <c r="J7679" t="str">
        <f t="shared" si="238"/>
        <v/>
      </c>
      <c r="K7679" t="str">
        <f t="shared" si="239"/>
        <v/>
      </c>
    </row>
    <row r="7680" spans="7:11" x14ac:dyDescent="0.2">
      <c r="G7680" s="44"/>
      <c r="J7680" t="str">
        <f t="shared" si="238"/>
        <v/>
      </c>
      <c r="K7680" t="str">
        <f t="shared" si="239"/>
        <v/>
      </c>
    </row>
    <row r="7681" spans="7:11" x14ac:dyDescent="0.2">
      <c r="G7681" s="44"/>
      <c r="J7681" t="str">
        <f t="shared" si="238"/>
        <v/>
      </c>
      <c r="K7681" t="str">
        <f t="shared" si="239"/>
        <v/>
      </c>
    </row>
    <row r="7682" spans="7:11" x14ac:dyDescent="0.2">
      <c r="G7682" s="44"/>
      <c r="J7682" t="str">
        <f t="shared" ref="J7682:J7745" si="240">IF(E7682="","",IF(OR(E7682=50,E7682=51),"Iltindhold",IF(E7682=75,"Carbon,org,NVOC",IF(OR(E7682=343,E7682=1167),"Svovlbrinte",IF(OR(E7682=240,E7682=241,E7682=242),"Amm",IF(E7682=244,"Nitrit",IF(E7682=247,"Nitrat",IF(E7682=334,"Sulfat",IF(E7682=262,"Phosphor, total-P",F7682)))))))))</f>
        <v/>
      </c>
      <c r="K7682" t="str">
        <f t="shared" ref="K7682:K7745" si="241">IF(A7682="","",IF(H7682="!",NA(),IF(H7682="A",I7682*0.5,IF(H7682="&lt;",I7682*0.5,I7682))))</f>
        <v/>
      </c>
    </row>
    <row r="7683" spans="7:11" x14ac:dyDescent="0.2">
      <c r="G7683" s="44"/>
      <c r="J7683" t="str">
        <f t="shared" si="240"/>
        <v/>
      </c>
      <c r="K7683" t="str">
        <f t="shared" si="241"/>
        <v/>
      </c>
    </row>
    <row r="7684" spans="7:11" x14ac:dyDescent="0.2">
      <c r="G7684" s="44"/>
      <c r="J7684" t="str">
        <f t="shared" si="240"/>
        <v/>
      </c>
      <c r="K7684" t="str">
        <f t="shared" si="241"/>
        <v/>
      </c>
    </row>
    <row r="7685" spans="7:11" x14ac:dyDescent="0.2">
      <c r="G7685" s="44"/>
      <c r="J7685" t="str">
        <f t="shared" si="240"/>
        <v/>
      </c>
      <c r="K7685" t="str">
        <f t="shared" si="241"/>
        <v/>
      </c>
    </row>
    <row r="7686" spans="7:11" x14ac:dyDescent="0.2">
      <c r="G7686" s="44"/>
      <c r="J7686" t="str">
        <f t="shared" si="240"/>
        <v/>
      </c>
      <c r="K7686" t="str">
        <f t="shared" si="241"/>
        <v/>
      </c>
    </row>
    <row r="7687" spans="7:11" x14ac:dyDescent="0.2">
      <c r="G7687" s="44"/>
      <c r="J7687" t="str">
        <f t="shared" si="240"/>
        <v/>
      </c>
      <c r="K7687" t="str">
        <f t="shared" si="241"/>
        <v/>
      </c>
    </row>
    <row r="7688" spans="7:11" x14ac:dyDescent="0.2">
      <c r="G7688" s="44"/>
      <c r="J7688" t="str">
        <f t="shared" si="240"/>
        <v/>
      </c>
      <c r="K7688" t="str">
        <f t="shared" si="241"/>
        <v/>
      </c>
    </row>
    <row r="7689" spans="7:11" x14ac:dyDescent="0.2">
      <c r="G7689" s="44"/>
      <c r="J7689" t="str">
        <f t="shared" si="240"/>
        <v/>
      </c>
      <c r="K7689" t="str">
        <f t="shared" si="241"/>
        <v/>
      </c>
    </row>
    <row r="7690" spans="7:11" x14ac:dyDescent="0.2">
      <c r="G7690" s="44"/>
      <c r="J7690" t="str">
        <f t="shared" si="240"/>
        <v/>
      </c>
      <c r="K7690" t="str">
        <f t="shared" si="241"/>
        <v/>
      </c>
    </row>
    <row r="7691" spans="7:11" x14ac:dyDescent="0.2">
      <c r="G7691" s="44"/>
      <c r="J7691" t="str">
        <f t="shared" si="240"/>
        <v/>
      </c>
      <c r="K7691" t="str">
        <f t="shared" si="241"/>
        <v/>
      </c>
    </row>
    <row r="7692" spans="7:11" x14ac:dyDescent="0.2">
      <c r="G7692" s="44"/>
      <c r="J7692" t="str">
        <f t="shared" si="240"/>
        <v/>
      </c>
      <c r="K7692" t="str">
        <f t="shared" si="241"/>
        <v/>
      </c>
    </row>
    <row r="7693" spans="7:11" x14ac:dyDescent="0.2">
      <c r="G7693" s="44"/>
      <c r="J7693" t="str">
        <f t="shared" si="240"/>
        <v/>
      </c>
      <c r="K7693" t="str">
        <f t="shared" si="241"/>
        <v/>
      </c>
    </row>
    <row r="7694" spans="7:11" x14ac:dyDescent="0.2">
      <c r="G7694" s="44"/>
      <c r="J7694" t="str">
        <f t="shared" si="240"/>
        <v/>
      </c>
      <c r="K7694" t="str">
        <f t="shared" si="241"/>
        <v/>
      </c>
    </row>
    <row r="7695" spans="7:11" x14ac:dyDescent="0.2">
      <c r="G7695" s="44"/>
      <c r="J7695" t="str">
        <f t="shared" si="240"/>
        <v/>
      </c>
      <c r="K7695" t="str">
        <f t="shared" si="241"/>
        <v/>
      </c>
    </row>
    <row r="7696" spans="7:11" x14ac:dyDescent="0.2">
      <c r="G7696" s="44"/>
      <c r="J7696" t="str">
        <f t="shared" si="240"/>
        <v/>
      </c>
      <c r="K7696" t="str">
        <f t="shared" si="241"/>
        <v/>
      </c>
    </row>
    <row r="7697" spans="7:11" x14ac:dyDescent="0.2">
      <c r="G7697" s="44"/>
      <c r="J7697" t="str">
        <f t="shared" si="240"/>
        <v/>
      </c>
      <c r="K7697" t="str">
        <f t="shared" si="241"/>
        <v/>
      </c>
    </row>
    <row r="7698" spans="7:11" x14ac:dyDescent="0.2">
      <c r="G7698" s="44"/>
      <c r="J7698" t="str">
        <f t="shared" si="240"/>
        <v/>
      </c>
      <c r="K7698" t="str">
        <f t="shared" si="241"/>
        <v/>
      </c>
    </row>
    <row r="7699" spans="7:11" x14ac:dyDescent="0.2">
      <c r="G7699" s="44"/>
      <c r="J7699" t="str">
        <f t="shared" si="240"/>
        <v/>
      </c>
      <c r="K7699" t="str">
        <f t="shared" si="241"/>
        <v/>
      </c>
    </row>
    <row r="7700" spans="7:11" x14ac:dyDescent="0.2">
      <c r="G7700" s="44"/>
      <c r="J7700" t="str">
        <f t="shared" si="240"/>
        <v/>
      </c>
      <c r="K7700" t="str">
        <f t="shared" si="241"/>
        <v/>
      </c>
    </row>
    <row r="7701" spans="7:11" x14ac:dyDescent="0.2">
      <c r="G7701" s="44"/>
      <c r="J7701" t="str">
        <f t="shared" si="240"/>
        <v/>
      </c>
      <c r="K7701" t="str">
        <f t="shared" si="241"/>
        <v/>
      </c>
    </row>
    <row r="7702" spans="7:11" x14ac:dyDescent="0.2">
      <c r="G7702" s="44"/>
      <c r="J7702" t="str">
        <f t="shared" si="240"/>
        <v/>
      </c>
      <c r="K7702" t="str">
        <f t="shared" si="241"/>
        <v/>
      </c>
    </row>
    <row r="7703" spans="7:11" x14ac:dyDescent="0.2">
      <c r="G7703" s="44"/>
      <c r="J7703" t="str">
        <f t="shared" si="240"/>
        <v/>
      </c>
      <c r="K7703" t="str">
        <f t="shared" si="241"/>
        <v/>
      </c>
    </row>
    <row r="7704" spans="7:11" x14ac:dyDescent="0.2">
      <c r="G7704" s="44"/>
      <c r="J7704" t="str">
        <f t="shared" si="240"/>
        <v/>
      </c>
      <c r="K7704" t="str">
        <f t="shared" si="241"/>
        <v/>
      </c>
    </row>
    <row r="7705" spans="7:11" x14ac:dyDescent="0.2">
      <c r="G7705" s="44"/>
      <c r="J7705" t="str">
        <f t="shared" si="240"/>
        <v/>
      </c>
      <c r="K7705" t="str">
        <f t="shared" si="241"/>
        <v/>
      </c>
    </row>
    <row r="7706" spans="7:11" x14ac:dyDescent="0.2">
      <c r="G7706" s="44"/>
      <c r="J7706" t="str">
        <f t="shared" si="240"/>
        <v/>
      </c>
      <c r="K7706" t="str">
        <f t="shared" si="241"/>
        <v/>
      </c>
    </row>
    <row r="7707" spans="7:11" x14ac:dyDescent="0.2">
      <c r="G7707" s="44"/>
      <c r="J7707" t="str">
        <f t="shared" si="240"/>
        <v/>
      </c>
      <c r="K7707" t="str">
        <f t="shared" si="241"/>
        <v/>
      </c>
    </row>
    <row r="7708" spans="7:11" x14ac:dyDescent="0.2">
      <c r="G7708" s="44"/>
      <c r="J7708" t="str">
        <f t="shared" si="240"/>
        <v/>
      </c>
      <c r="K7708" t="str">
        <f t="shared" si="241"/>
        <v/>
      </c>
    </row>
    <row r="7709" spans="7:11" x14ac:dyDescent="0.2">
      <c r="G7709" s="44"/>
      <c r="J7709" t="str">
        <f t="shared" si="240"/>
        <v/>
      </c>
      <c r="K7709" t="str">
        <f t="shared" si="241"/>
        <v/>
      </c>
    </row>
    <row r="7710" spans="7:11" x14ac:dyDescent="0.2">
      <c r="G7710" s="44"/>
      <c r="J7710" t="str">
        <f t="shared" si="240"/>
        <v/>
      </c>
      <c r="K7710" t="str">
        <f t="shared" si="241"/>
        <v/>
      </c>
    </row>
    <row r="7711" spans="7:11" x14ac:dyDescent="0.2">
      <c r="G7711" s="44"/>
      <c r="J7711" t="str">
        <f t="shared" si="240"/>
        <v/>
      </c>
      <c r="K7711" t="str">
        <f t="shared" si="241"/>
        <v/>
      </c>
    </row>
    <row r="7712" spans="7:11" x14ac:dyDescent="0.2">
      <c r="G7712" s="44"/>
      <c r="J7712" t="str">
        <f t="shared" si="240"/>
        <v/>
      </c>
      <c r="K7712" t="str">
        <f t="shared" si="241"/>
        <v/>
      </c>
    </row>
    <row r="7713" spans="7:11" x14ac:dyDescent="0.2">
      <c r="G7713" s="44"/>
      <c r="J7713" t="str">
        <f t="shared" si="240"/>
        <v/>
      </c>
      <c r="K7713" t="str">
        <f t="shared" si="241"/>
        <v/>
      </c>
    </row>
    <row r="7714" spans="7:11" x14ac:dyDescent="0.2">
      <c r="G7714" s="44"/>
      <c r="J7714" t="str">
        <f t="shared" si="240"/>
        <v/>
      </c>
      <c r="K7714" t="str">
        <f t="shared" si="241"/>
        <v/>
      </c>
    </row>
    <row r="7715" spans="7:11" x14ac:dyDescent="0.2">
      <c r="G7715" s="44"/>
      <c r="J7715" t="str">
        <f t="shared" si="240"/>
        <v/>
      </c>
      <c r="K7715" t="str">
        <f t="shared" si="241"/>
        <v/>
      </c>
    </row>
    <row r="7716" spans="7:11" x14ac:dyDescent="0.2">
      <c r="G7716" s="44"/>
      <c r="J7716" t="str">
        <f t="shared" si="240"/>
        <v/>
      </c>
      <c r="K7716" t="str">
        <f t="shared" si="241"/>
        <v/>
      </c>
    </row>
    <row r="7717" spans="7:11" x14ac:dyDescent="0.2">
      <c r="G7717" s="44"/>
      <c r="J7717" t="str">
        <f t="shared" si="240"/>
        <v/>
      </c>
      <c r="K7717" t="str">
        <f t="shared" si="241"/>
        <v/>
      </c>
    </row>
    <row r="7718" spans="7:11" x14ac:dyDescent="0.2">
      <c r="G7718" s="44"/>
      <c r="J7718" t="str">
        <f t="shared" si="240"/>
        <v/>
      </c>
      <c r="K7718" t="str">
        <f t="shared" si="241"/>
        <v/>
      </c>
    </row>
    <row r="7719" spans="7:11" x14ac:dyDescent="0.2">
      <c r="G7719" s="44"/>
      <c r="J7719" t="str">
        <f t="shared" si="240"/>
        <v/>
      </c>
      <c r="K7719" t="str">
        <f t="shared" si="241"/>
        <v/>
      </c>
    </row>
    <row r="7720" spans="7:11" x14ac:dyDescent="0.2">
      <c r="G7720" s="44"/>
      <c r="J7720" t="str">
        <f t="shared" si="240"/>
        <v/>
      </c>
      <c r="K7720" t="str">
        <f t="shared" si="241"/>
        <v/>
      </c>
    </row>
    <row r="7721" spans="7:11" x14ac:dyDescent="0.2">
      <c r="G7721" s="44"/>
      <c r="J7721" t="str">
        <f t="shared" si="240"/>
        <v/>
      </c>
      <c r="K7721" t="str">
        <f t="shared" si="241"/>
        <v/>
      </c>
    </row>
    <row r="7722" spans="7:11" x14ac:dyDescent="0.2">
      <c r="G7722" s="44"/>
      <c r="J7722" t="str">
        <f t="shared" si="240"/>
        <v/>
      </c>
      <c r="K7722" t="str">
        <f t="shared" si="241"/>
        <v/>
      </c>
    </row>
    <row r="7723" spans="7:11" x14ac:dyDescent="0.2">
      <c r="G7723" s="44"/>
      <c r="J7723" t="str">
        <f t="shared" si="240"/>
        <v/>
      </c>
      <c r="K7723" t="str">
        <f t="shared" si="241"/>
        <v/>
      </c>
    </row>
    <row r="7724" spans="7:11" x14ac:dyDescent="0.2">
      <c r="G7724" s="44"/>
      <c r="J7724" t="str">
        <f t="shared" si="240"/>
        <v/>
      </c>
      <c r="K7724" t="str">
        <f t="shared" si="241"/>
        <v/>
      </c>
    </row>
    <row r="7725" spans="7:11" x14ac:dyDescent="0.2">
      <c r="G7725" s="44"/>
      <c r="J7725" t="str">
        <f t="shared" si="240"/>
        <v/>
      </c>
      <c r="K7725" t="str">
        <f t="shared" si="241"/>
        <v/>
      </c>
    </row>
    <row r="7726" spans="7:11" x14ac:dyDescent="0.2">
      <c r="G7726" s="44"/>
      <c r="J7726" t="str">
        <f t="shared" si="240"/>
        <v/>
      </c>
      <c r="K7726" t="str">
        <f t="shared" si="241"/>
        <v/>
      </c>
    </row>
    <row r="7727" spans="7:11" x14ac:dyDescent="0.2">
      <c r="G7727" s="44"/>
      <c r="J7727" t="str">
        <f t="shared" si="240"/>
        <v/>
      </c>
      <c r="K7727" t="str">
        <f t="shared" si="241"/>
        <v/>
      </c>
    </row>
    <row r="7728" spans="7:11" x14ac:dyDescent="0.2">
      <c r="G7728" s="44"/>
      <c r="J7728" t="str">
        <f t="shared" si="240"/>
        <v/>
      </c>
      <c r="K7728" t="str">
        <f t="shared" si="241"/>
        <v/>
      </c>
    </row>
    <row r="7729" spans="7:11" x14ac:dyDescent="0.2">
      <c r="G7729" s="44"/>
      <c r="J7729" t="str">
        <f t="shared" si="240"/>
        <v/>
      </c>
      <c r="K7729" t="str">
        <f t="shared" si="241"/>
        <v/>
      </c>
    </row>
    <row r="7730" spans="7:11" x14ac:dyDescent="0.2">
      <c r="G7730" s="44"/>
      <c r="J7730" t="str">
        <f t="shared" si="240"/>
        <v/>
      </c>
      <c r="K7730" t="str">
        <f t="shared" si="241"/>
        <v/>
      </c>
    </row>
    <row r="7731" spans="7:11" x14ac:dyDescent="0.2">
      <c r="G7731" s="44"/>
      <c r="J7731" t="str">
        <f t="shared" si="240"/>
        <v/>
      </c>
      <c r="K7731" t="str">
        <f t="shared" si="241"/>
        <v/>
      </c>
    </row>
    <row r="7732" spans="7:11" x14ac:dyDescent="0.2">
      <c r="G7732" s="44"/>
      <c r="J7732" t="str">
        <f t="shared" si="240"/>
        <v/>
      </c>
      <c r="K7732" t="str">
        <f t="shared" si="241"/>
        <v/>
      </c>
    </row>
    <row r="7733" spans="7:11" x14ac:dyDescent="0.2">
      <c r="G7733" s="44"/>
      <c r="J7733" t="str">
        <f t="shared" si="240"/>
        <v/>
      </c>
      <c r="K7733" t="str">
        <f t="shared" si="241"/>
        <v/>
      </c>
    </row>
    <row r="7734" spans="7:11" x14ac:dyDescent="0.2">
      <c r="G7734" s="44"/>
      <c r="J7734" t="str">
        <f t="shared" si="240"/>
        <v/>
      </c>
      <c r="K7734" t="str">
        <f t="shared" si="241"/>
        <v/>
      </c>
    </row>
    <row r="7735" spans="7:11" x14ac:dyDescent="0.2">
      <c r="G7735" s="44"/>
      <c r="J7735" t="str">
        <f t="shared" si="240"/>
        <v/>
      </c>
      <c r="K7735" t="str">
        <f t="shared" si="241"/>
        <v/>
      </c>
    </row>
    <row r="7736" spans="7:11" x14ac:dyDescent="0.2">
      <c r="G7736" s="44"/>
      <c r="J7736" t="str">
        <f t="shared" si="240"/>
        <v/>
      </c>
      <c r="K7736" t="str">
        <f t="shared" si="241"/>
        <v/>
      </c>
    </row>
    <row r="7737" spans="7:11" x14ac:dyDescent="0.2">
      <c r="G7737" s="44"/>
      <c r="J7737" t="str">
        <f t="shared" si="240"/>
        <v/>
      </c>
      <c r="K7737" t="str">
        <f t="shared" si="241"/>
        <v/>
      </c>
    </row>
    <row r="7738" spans="7:11" x14ac:dyDescent="0.2">
      <c r="G7738" s="44"/>
      <c r="J7738" t="str">
        <f t="shared" si="240"/>
        <v/>
      </c>
      <c r="K7738" t="str">
        <f t="shared" si="241"/>
        <v/>
      </c>
    </row>
    <row r="7739" spans="7:11" x14ac:dyDescent="0.2">
      <c r="G7739" s="44"/>
      <c r="J7739" t="str">
        <f t="shared" si="240"/>
        <v/>
      </c>
      <c r="K7739" t="str">
        <f t="shared" si="241"/>
        <v/>
      </c>
    </row>
    <row r="7740" spans="7:11" x14ac:dyDescent="0.2">
      <c r="G7740" s="44"/>
      <c r="J7740" t="str">
        <f t="shared" si="240"/>
        <v/>
      </c>
      <c r="K7740" t="str">
        <f t="shared" si="241"/>
        <v/>
      </c>
    </row>
    <row r="7741" spans="7:11" x14ac:dyDescent="0.2">
      <c r="G7741" s="44"/>
      <c r="J7741" t="str">
        <f t="shared" si="240"/>
        <v/>
      </c>
      <c r="K7741" t="str">
        <f t="shared" si="241"/>
        <v/>
      </c>
    </row>
    <row r="7742" spans="7:11" x14ac:dyDescent="0.2">
      <c r="G7742" s="44"/>
      <c r="J7742" t="str">
        <f t="shared" si="240"/>
        <v/>
      </c>
      <c r="K7742" t="str">
        <f t="shared" si="241"/>
        <v/>
      </c>
    </row>
    <row r="7743" spans="7:11" x14ac:dyDescent="0.2">
      <c r="G7743" s="44"/>
      <c r="J7743" t="str">
        <f t="shared" si="240"/>
        <v/>
      </c>
      <c r="K7743" t="str">
        <f t="shared" si="241"/>
        <v/>
      </c>
    </row>
    <row r="7744" spans="7:11" x14ac:dyDescent="0.2">
      <c r="G7744" s="44"/>
      <c r="J7744" t="str">
        <f t="shared" si="240"/>
        <v/>
      </c>
      <c r="K7744" t="str">
        <f t="shared" si="241"/>
        <v/>
      </c>
    </row>
    <row r="7745" spans="7:11" x14ac:dyDescent="0.2">
      <c r="G7745" s="44"/>
      <c r="J7745" t="str">
        <f t="shared" si="240"/>
        <v/>
      </c>
      <c r="K7745" t="str">
        <f t="shared" si="241"/>
        <v/>
      </c>
    </row>
    <row r="7746" spans="7:11" x14ac:dyDescent="0.2">
      <c r="G7746" s="44"/>
      <c r="J7746" t="str">
        <f t="shared" ref="J7746:J7809" si="242">IF(E7746="","",IF(OR(E7746=50,E7746=51),"Iltindhold",IF(E7746=75,"Carbon,org,NVOC",IF(OR(E7746=343,E7746=1167),"Svovlbrinte",IF(OR(E7746=240,E7746=241,E7746=242),"Amm",IF(E7746=244,"Nitrit",IF(E7746=247,"Nitrat",IF(E7746=334,"Sulfat",IF(E7746=262,"Phosphor, total-P",F7746)))))))))</f>
        <v/>
      </c>
      <c r="K7746" t="str">
        <f t="shared" ref="K7746:K7809" si="243">IF(A7746="","",IF(H7746="!",NA(),IF(H7746="A",I7746*0.5,IF(H7746="&lt;",I7746*0.5,I7746))))</f>
        <v/>
      </c>
    </row>
    <row r="7747" spans="7:11" x14ac:dyDescent="0.2">
      <c r="G7747" s="44"/>
      <c r="J7747" t="str">
        <f t="shared" si="242"/>
        <v/>
      </c>
      <c r="K7747" t="str">
        <f t="shared" si="243"/>
        <v/>
      </c>
    </row>
    <row r="7748" spans="7:11" x14ac:dyDescent="0.2">
      <c r="G7748" s="44"/>
      <c r="J7748" t="str">
        <f t="shared" si="242"/>
        <v/>
      </c>
      <c r="K7748" t="str">
        <f t="shared" si="243"/>
        <v/>
      </c>
    </row>
    <row r="7749" spans="7:11" x14ac:dyDescent="0.2">
      <c r="G7749" s="44"/>
      <c r="J7749" t="str">
        <f t="shared" si="242"/>
        <v/>
      </c>
      <c r="K7749" t="str">
        <f t="shared" si="243"/>
        <v/>
      </c>
    </row>
    <row r="7750" spans="7:11" x14ac:dyDescent="0.2">
      <c r="G7750" s="44"/>
      <c r="J7750" t="str">
        <f t="shared" si="242"/>
        <v/>
      </c>
      <c r="K7750" t="str">
        <f t="shared" si="243"/>
        <v/>
      </c>
    </row>
    <row r="7751" spans="7:11" x14ac:dyDescent="0.2">
      <c r="G7751" s="44"/>
      <c r="J7751" t="str">
        <f t="shared" si="242"/>
        <v/>
      </c>
      <c r="K7751" t="str">
        <f t="shared" si="243"/>
        <v/>
      </c>
    </row>
    <row r="7752" spans="7:11" x14ac:dyDescent="0.2">
      <c r="G7752" s="44"/>
      <c r="J7752" t="str">
        <f t="shared" si="242"/>
        <v/>
      </c>
      <c r="K7752" t="str">
        <f t="shared" si="243"/>
        <v/>
      </c>
    </row>
    <row r="7753" spans="7:11" x14ac:dyDescent="0.2">
      <c r="G7753" s="44"/>
      <c r="J7753" t="str">
        <f t="shared" si="242"/>
        <v/>
      </c>
      <c r="K7753" t="str">
        <f t="shared" si="243"/>
        <v/>
      </c>
    </row>
    <row r="7754" spans="7:11" x14ac:dyDescent="0.2">
      <c r="G7754" s="44"/>
      <c r="J7754" t="str">
        <f t="shared" si="242"/>
        <v/>
      </c>
      <c r="K7754" t="str">
        <f t="shared" si="243"/>
        <v/>
      </c>
    </row>
    <row r="7755" spans="7:11" x14ac:dyDescent="0.2">
      <c r="G7755" s="44"/>
      <c r="J7755" t="str">
        <f t="shared" si="242"/>
        <v/>
      </c>
      <c r="K7755" t="str">
        <f t="shared" si="243"/>
        <v/>
      </c>
    </row>
    <row r="7756" spans="7:11" x14ac:dyDescent="0.2">
      <c r="G7756" s="44"/>
      <c r="J7756" t="str">
        <f t="shared" si="242"/>
        <v/>
      </c>
      <c r="K7756" t="str">
        <f t="shared" si="243"/>
        <v/>
      </c>
    </row>
    <row r="7757" spans="7:11" x14ac:dyDescent="0.2">
      <c r="G7757" s="44"/>
      <c r="J7757" t="str">
        <f t="shared" si="242"/>
        <v/>
      </c>
      <c r="K7757" t="str">
        <f t="shared" si="243"/>
        <v/>
      </c>
    </row>
    <row r="7758" spans="7:11" x14ac:dyDescent="0.2">
      <c r="G7758" s="44"/>
      <c r="J7758" t="str">
        <f t="shared" si="242"/>
        <v/>
      </c>
      <c r="K7758" t="str">
        <f t="shared" si="243"/>
        <v/>
      </c>
    </row>
    <row r="7759" spans="7:11" x14ac:dyDescent="0.2">
      <c r="G7759" s="44"/>
      <c r="J7759" t="str">
        <f t="shared" si="242"/>
        <v/>
      </c>
      <c r="K7759" t="str">
        <f t="shared" si="243"/>
        <v/>
      </c>
    </row>
    <row r="7760" spans="7:11" x14ac:dyDescent="0.2">
      <c r="G7760" s="44"/>
      <c r="J7760" t="str">
        <f t="shared" si="242"/>
        <v/>
      </c>
      <c r="K7760" t="str">
        <f t="shared" si="243"/>
        <v/>
      </c>
    </row>
    <row r="7761" spans="7:11" x14ac:dyDescent="0.2">
      <c r="G7761" s="44"/>
      <c r="J7761" t="str">
        <f t="shared" si="242"/>
        <v/>
      </c>
      <c r="K7761" t="str">
        <f t="shared" si="243"/>
        <v/>
      </c>
    </row>
    <row r="7762" spans="7:11" x14ac:dyDescent="0.2">
      <c r="G7762" s="44"/>
      <c r="J7762" t="str">
        <f t="shared" si="242"/>
        <v/>
      </c>
      <c r="K7762" t="str">
        <f t="shared" si="243"/>
        <v/>
      </c>
    </row>
    <row r="7763" spans="7:11" x14ac:dyDescent="0.2">
      <c r="G7763" s="44"/>
      <c r="J7763" t="str">
        <f t="shared" si="242"/>
        <v/>
      </c>
      <c r="K7763" t="str">
        <f t="shared" si="243"/>
        <v/>
      </c>
    </row>
    <row r="7764" spans="7:11" x14ac:dyDescent="0.2">
      <c r="G7764" s="44"/>
      <c r="J7764" t="str">
        <f t="shared" si="242"/>
        <v/>
      </c>
      <c r="K7764" t="str">
        <f t="shared" si="243"/>
        <v/>
      </c>
    </row>
    <row r="7765" spans="7:11" x14ac:dyDescent="0.2">
      <c r="G7765" s="44"/>
      <c r="J7765" t="str">
        <f t="shared" si="242"/>
        <v/>
      </c>
      <c r="K7765" t="str">
        <f t="shared" si="243"/>
        <v/>
      </c>
    </row>
    <row r="7766" spans="7:11" x14ac:dyDescent="0.2">
      <c r="G7766" s="44"/>
      <c r="J7766" t="str">
        <f t="shared" si="242"/>
        <v/>
      </c>
      <c r="K7766" t="str">
        <f t="shared" si="243"/>
        <v/>
      </c>
    </row>
    <row r="7767" spans="7:11" x14ac:dyDescent="0.2">
      <c r="G7767" s="44"/>
      <c r="J7767" t="str">
        <f t="shared" si="242"/>
        <v/>
      </c>
      <c r="K7767" t="str">
        <f t="shared" si="243"/>
        <v/>
      </c>
    </row>
    <row r="7768" spans="7:11" x14ac:dyDescent="0.2">
      <c r="G7768" s="44"/>
      <c r="J7768" t="str">
        <f t="shared" si="242"/>
        <v/>
      </c>
      <c r="K7768" t="str">
        <f t="shared" si="243"/>
        <v/>
      </c>
    </row>
    <row r="7769" spans="7:11" x14ac:dyDescent="0.2">
      <c r="G7769" s="44"/>
      <c r="J7769" t="str">
        <f t="shared" si="242"/>
        <v/>
      </c>
      <c r="K7769" t="str">
        <f t="shared" si="243"/>
        <v/>
      </c>
    </row>
    <row r="7770" spans="7:11" x14ac:dyDescent="0.2">
      <c r="G7770" s="44"/>
      <c r="J7770" t="str">
        <f t="shared" si="242"/>
        <v/>
      </c>
      <c r="K7770" t="str">
        <f t="shared" si="243"/>
        <v/>
      </c>
    </row>
    <row r="7771" spans="7:11" x14ac:dyDescent="0.2">
      <c r="G7771" s="44"/>
      <c r="J7771" t="str">
        <f t="shared" si="242"/>
        <v/>
      </c>
      <c r="K7771" t="str">
        <f t="shared" si="243"/>
        <v/>
      </c>
    </row>
    <row r="7772" spans="7:11" x14ac:dyDescent="0.2">
      <c r="G7772" s="44"/>
      <c r="J7772" t="str">
        <f t="shared" si="242"/>
        <v/>
      </c>
      <c r="K7772" t="str">
        <f t="shared" si="243"/>
        <v/>
      </c>
    </row>
    <row r="7773" spans="7:11" x14ac:dyDescent="0.2">
      <c r="G7773" s="44"/>
      <c r="J7773" t="str">
        <f t="shared" si="242"/>
        <v/>
      </c>
      <c r="K7773" t="str">
        <f t="shared" si="243"/>
        <v/>
      </c>
    </row>
    <row r="7774" spans="7:11" x14ac:dyDescent="0.2">
      <c r="G7774" s="44"/>
      <c r="J7774" t="str">
        <f t="shared" si="242"/>
        <v/>
      </c>
      <c r="K7774" t="str">
        <f t="shared" si="243"/>
        <v/>
      </c>
    </row>
    <row r="7775" spans="7:11" x14ac:dyDescent="0.2">
      <c r="G7775" s="44"/>
      <c r="J7775" t="str">
        <f t="shared" si="242"/>
        <v/>
      </c>
      <c r="K7775" t="str">
        <f t="shared" si="243"/>
        <v/>
      </c>
    </row>
    <row r="7776" spans="7:11" x14ac:dyDescent="0.2">
      <c r="G7776" s="44"/>
      <c r="J7776" t="str">
        <f t="shared" si="242"/>
        <v/>
      </c>
      <c r="K7776" t="str">
        <f t="shared" si="243"/>
        <v/>
      </c>
    </row>
    <row r="7777" spans="7:11" x14ac:dyDescent="0.2">
      <c r="G7777" s="44"/>
      <c r="J7777" t="str">
        <f t="shared" si="242"/>
        <v/>
      </c>
      <c r="K7777" t="str">
        <f t="shared" si="243"/>
        <v/>
      </c>
    </row>
    <row r="7778" spans="7:11" x14ac:dyDescent="0.2">
      <c r="G7778" s="44"/>
      <c r="J7778" t="str">
        <f t="shared" si="242"/>
        <v/>
      </c>
      <c r="K7778" t="str">
        <f t="shared" si="243"/>
        <v/>
      </c>
    </row>
    <row r="7779" spans="7:11" x14ac:dyDescent="0.2">
      <c r="G7779" s="44"/>
      <c r="J7779" t="str">
        <f t="shared" si="242"/>
        <v/>
      </c>
      <c r="K7779" t="str">
        <f t="shared" si="243"/>
        <v/>
      </c>
    </row>
    <row r="7780" spans="7:11" x14ac:dyDescent="0.2">
      <c r="G7780" s="44"/>
      <c r="J7780" t="str">
        <f t="shared" si="242"/>
        <v/>
      </c>
      <c r="K7780" t="str">
        <f t="shared" si="243"/>
        <v/>
      </c>
    </row>
    <row r="7781" spans="7:11" x14ac:dyDescent="0.2">
      <c r="G7781" s="44"/>
      <c r="J7781" t="str">
        <f t="shared" si="242"/>
        <v/>
      </c>
      <c r="K7781" t="str">
        <f t="shared" si="243"/>
        <v/>
      </c>
    </row>
    <row r="7782" spans="7:11" x14ac:dyDescent="0.2">
      <c r="G7782" s="44"/>
      <c r="J7782" t="str">
        <f t="shared" si="242"/>
        <v/>
      </c>
      <c r="K7782" t="str">
        <f t="shared" si="243"/>
        <v/>
      </c>
    </row>
    <row r="7783" spans="7:11" x14ac:dyDescent="0.2">
      <c r="G7783" s="44"/>
      <c r="J7783" t="str">
        <f t="shared" si="242"/>
        <v/>
      </c>
      <c r="K7783" t="str">
        <f t="shared" si="243"/>
        <v/>
      </c>
    </row>
    <row r="7784" spans="7:11" x14ac:dyDescent="0.2">
      <c r="G7784" s="44"/>
      <c r="J7784" t="str">
        <f t="shared" si="242"/>
        <v/>
      </c>
      <c r="K7784" t="str">
        <f t="shared" si="243"/>
        <v/>
      </c>
    </row>
    <row r="7785" spans="7:11" x14ac:dyDescent="0.2">
      <c r="G7785" s="44"/>
      <c r="J7785" t="str">
        <f t="shared" si="242"/>
        <v/>
      </c>
      <c r="K7785" t="str">
        <f t="shared" si="243"/>
        <v/>
      </c>
    </row>
    <row r="7786" spans="7:11" x14ac:dyDescent="0.2">
      <c r="G7786" s="44"/>
      <c r="J7786" t="str">
        <f t="shared" si="242"/>
        <v/>
      </c>
      <c r="K7786" t="str">
        <f t="shared" si="243"/>
        <v/>
      </c>
    </row>
    <row r="7787" spans="7:11" x14ac:dyDescent="0.2">
      <c r="G7787" s="44"/>
      <c r="J7787" t="str">
        <f t="shared" si="242"/>
        <v/>
      </c>
      <c r="K7787" t="str">
        <f t="shared" si="243"/>
        <v/>
      </c>
    </row>
    <row r="7788" spans="7:11" x14ac:dyDescent="0.2">
      <c r="G7788" s="44"/>
      <c r="J7788" t="str">
        <f t="shared" si="242"/>
        <v/>
      </c>
      <c r="K7788" t="str">
        <f t="shared" si="243"/>
        <v/>
      </c>
    </row>
    <row r="7789" spans="7:11" x14ac:dyDescent="0.2">
      <c r="G7789" s="44"/>
      <c r="J7789" t="str">
        <f t="shared" si="242"/>
        <v/>
      </c>
      <c r="K7789" t="str">
        <f t="shared" si="243"/>
        <v/>
      </c>
    </row>
    <row r="7790" spans="7:11" x14ac:dyDescent="0.2">
      <c r="G7790" s="44"/>
      <c r="J7790" t="str">
        <f t="shared" si="242"/>
        <v/>
      </c>
      <c r="K7790" t="str">
        <f t="shared" si="243"/>
        <v/>
      </c>
    </row>
    <row r="7791" spans="7:11" x14ac:dyDescent="0.2">
      <c r="G7791" s="44"/>
      <c r="J7791" t="str">
        <f t="shared" si="242"/>
        <v/>
      </c>
      <c r="K7791" t="str">
        <f t="shared" si="243"/>
        <v/>
      </c>
    </row>
    <row r="7792" spans="7:11" x14ac:dyDescent="0.2">
      <c r="G7792" s="44"/>
      <c r="J7792" t="str">
        <f t="shared" si="242"/>
        <v/>
      </c>
      <c r="K7792" t="str">
        <f t="shared" si="243"/>
        <v/>
      </c>
    </row>
    <row r="7793" spans="7:11" x14ac:dyDescent="0.2">
      <c r="G7793" s="44"/>
      <c r="J7793" t="str">
        <f t="shared" si="242"/>
        <v/>
      </c>
      <c r="K7793" t="str">
        <f t="shared" si="243"/>
        <v/>
      </c>
    </row>
    <row r="7794" spans="7:11" x14ac:dyDescent="0.2">
      <c r="G7794" s="44"/>
      <c r="J7794" t="str">
        <f t="shared" si="242"/>
        <v/>
      </c>
      <c r="K7794" t="str">
        <f t="shared" si="243"/>
        <v/>
      </c>
    </row>
    <row r="7795" spans="7:11" x14ac:dyDescent="0.2">
      <c r="G7795" s="44"/>
      <c r="J7795" t="str">
        <f t="shared" si="242"/>
        <v/>
      </c>
      <c r="K7795" t="str">
        <f t="shared" si="243"/>
        <v/>
      </c>
    </row>
    <row r="7796" spans="7:11" x14ac:dyDescent="0.2">
      <c r="G7796" s="44"/>
      <c r="J7796" t="str">
        <f t="shared" si="242"/>
        <v/>
      </c>
      <c r="K7796" t="str">
        <f t="shared" si="243"/>
        <v/>
      </c>
    </row>
    <row r="7797" spans="7:11" x14ac:dyDescent="0.2">
      <c r="G7797" s="44"/>
      <c r="J7797" t="str">
        <f t="shared" si="242"/>
        <v/>
      </c>
      <c r="K7797" t="str">
        <f t="shared" si="243"/>
        <v/>
      </c>
    </row>
    <row r="7798" spans="7:11" x14ac:dyDescent="0.2">
      <c r="G7798" s="44"/>
      <c r="J7798" t="str">
        <f t="shared" si="242"/>
        <v/>
      </c>
      <c r="K7798" t="str">
        <f t="shared" si="243"/>
        <v/>
      </c>
    </row>
    <row r="7799" spans="7:11" x14ac:dyDescent="0.2">
      <c r="G7799" s="44"/>
      <c r="J7799" t="str">
        <f t="shared" si="242"/>
        <v/>
      </c>
      <c r="K7799" t="str">
        <f t="shared" si="243"/>
        <v/>
      </c>
    </row>
    <row r="7800" spans="7:11" x14ac:dyDescent="0.2">
      <c r="G7800" s="44"/>
      <c r="J7800" t="str">
        <f t="shared" si="242"/>
        <v/>
      </c>
      <c r="K7800" t="str">
        <f t="shared" si="243"/>
        <v/>
      </c>
    </row>
    <row r="7801" spans="7:11" x14ac:dyDescent="0.2">
      <c r="G7801" s="44"/>
      <c r="J7801" t="str">
        <f t="shared" si="242"/>
        <v/>
      </c>
      <c r="K7801" t="str">
        <f t="shared" si="243"/>
        <v/>
      </c>
    </row>
    <row r="7802" spans="7:11" x14ac:dyDescent="0.2">
      <c r="G7802" s="44"/>
      <c r="J7802" t="str">
        <f t="shared" si="242"/>
        <v/>
      </c>
      <c r="K7802" t="str">
        <f t="shared" si="243"/>
        <v/>
      </c>
    </row>
    <row r="7803" spans="7:11" x14ac:dyDescent="0.2">
      <c r="G7803" s="44"/>
      <c r="J7803" t="str">
        <f t="shared" si="242"/>
        <v/>
      </c>
      <c r="K7803" t="str">
        <f t="shared" si="243"/>
        <v/>
      </c>
    </row>
    <row r="7804" spans="7:11" x14ac:dyDescent="0.2">
      <c r="G7804" s="44"/>
      <c r="J7804" t="str">
        <f t="shared" si="242"/>
        <v/>
      </c>
      <c r="K7804" t="str">
        <f t="shared" si="243"/>
        <v/>
      </c>
    </row>
    <row r="7805" spans="7:11" x14ac:dyDescent="0.2">
      <c r="G7805" s="44"/>
      <c r="J7805" t="str">
        <f t="shared" si="242"/>
        <v/>
      </c>
      <c r="K7805" t="str">
        <f t="shared" si="243"/>
        <v/>
      </c>
    </row>
    <row r="7806" spans="7:11" x14ac:dyDescent="0.2">
      <c r="G7806" s="44"/>
      <c r="J7806" t="str">
        <f t="shared" si="242"/>
        <v/>
      </c>
      <c r="K7806" t="str">
        <f t="shared" si="243"/>
        <v/>
      </c>
    </row>
    <row r="7807" spans="7:11" x14ac:dyDescent="0.2">
      <c r="G7807" s="44"/>
      <c r="J7807" t="str">
        <f t="shared" si="242"/>
        <v/>
      </c>
      <c r="K7807" t="str">
        <f t="shared" si="243"/>
        <v/>
      </c>
    </row>
    <row r="7808" spans="7:11" x14ac:dyDescent="0.2">
      <c r="G7808" s="44"/>
      <c r="J7808" t="str">
        <f t="shared" si="242"/>
        <v/>
      </c>
      <c r="K7808" t="str">
        <f t="shared" si="243"/>
        <v/>
      </c>
    </row>
    <row r="7809" spans="7:11" x14ac:dyDescent="0.2">
      <c r="G7809" s="44"/>
      <c r="J7809" t="str">
        <f t="shared" si="242"/>
        <v/>
      </c>
      <c r="K7809" t="str">
        <f t="shared" si="243"/>
        <v/>
      </c>
    </row>
    <row r="7810" spans="7:11" x14ac:dyDescent="0.2">
      <c r="G7810" s="44"/>
      <c r="J7810" t="str">
        <f t="shared" ref="J7810:J7873" si="244">IF(E7810="","",IF(OR(E7810=50,E7810=51),"Iltindhold",IF(E7810=75,"Carbon,org,NVOC",IF(OR(E7810=343,E7810=1167),"Svovlbrinte",IF(OR(E7810=240,E7810=241,E7810=242),"Amm",IF(E7810=244,"Nitrit",IF(E7810=247,"Nitrat",IF(E7810=334,"Sulfat",IF(E7810=262,"Phosphor, total-P",F7810)))))))))</f>
        <v/>
      </c>
      <c r="K7810" t="str">
        <f t="shared" ref="K7810:K7873" si="245">IF(A7810="","",IF(H7810="!",NA(),IF(H7810="A",I7810*0.5,IF(H7810="&lt;",I7810*0.5,I7810))))</f>
        <v/>
      </c>
    </row>
    <row r="7811" spans="7:11" x14ac:dyDescent="0.2">
      <c r="G7811" s="44"/>
      <c r="J7811" t="str">
        <f t="shared" si="244"/>
        <v/>
      </c>
      <c r="K7811" t="str">
        <f t="shared" si="245"/>
        <v/>
      </c>
    </row>
    <row r="7812" spans="7:11" x14ac:dyDescent="0.2">
      <c r="G7812" s="44"/>
      <c r="J7812" t="str">
        <f t="shared" si="244"/>
        <v/>
      </c>
      <c r="K7812" t="str">
        <f t="shared" si="245"/>
        <v/>
      </c>
    </row>
    <row r="7813" spans="7:11" x14ac:dyDescent="0.2">
      <c r="G7813" s="44"/>
      <c r="J7813" t="str">
        <f t="shared" si="244"/>
        <v/>
      </c>
      <c r="K7813" t="str">
        <f t="shared" si="245"/>
        <v/>
      </c>
    </row>
    <row r="7814" spans="7:11" x14ac:dyDescent="0.2">
      <c r="G7814" s="44"/>
      <c r="J7814" t="str">
        <f t="shared" si="244"/>
        <v/>
      </c>
      <c r="K7814" t="str">
        <f t="shared" si="245"/>
        <v/>
      </c>
    </row>
    <row r="7815" spans="7:11" x14ac:dyDescent="0.2">
      <c r="G7815" s="44"/>
      <c r="J7815" t="str">
        <f t="shared" si="244"/>
        <v/>
      </c>
      <c r="K7815" t="str">
        <f t="shared" si="245"/>
        <v/>
      </c>
    </row>
    <row r="7816" spans="7:11" x14ac:dyDescent="0.2">
      <c r="G7816" s="44"/>
      <c r="J7816" t="str">
        <f t="shared" si="244"/>
        <v/>
      </c>
      <c r="K7816" t="str">
        <f t="shared" si="245"/>
        <v/>
      </c>
    </row>
    <row r="7817" spans="7:11" x14ac:dyDescent="0.2">
      <c r="G7817" s="44"/>
      <c r="J7817" t="str">
        <f t="shared" si="244"/>
        <v/>
      </c>
      <c r="K7817" t="str">
        <f t="shared" si="245"/>
        <v/>
      </c>
    </row>
    <row r="7818" spans="7:11" x14ac:dyDescent="0.2">
      <c r="G7818" s="44"/>
      <c r="J7818" t="str">
        <f t="shared" si="244"/>
        <v/>
      </c>
      <c r="K7818" t="str">
        <f t="shared" si="245"/>
        <v/>
      </c>
    </row>
    <row r="7819" spans="7:11" x14ac:dyDescent="0.2">
      <c r="G7819" s="44"/>
      <c r="J7819" t="str">
        <f t="shared" si="244"/>
        <v/>
      </c>
      <c r="K7819" t="str">
        <f t="shared" si="245"/>
        <v/>
      </c>
    </row>
    <row r="7820" spans="7:11" x14ac:dyDescent="0.2">
      <c r="G7820" s="44"/>
      <c r="J7820" t="str">
        <f t="shared" si="244"/>
        <v/>
      </c>
      <c r="K7820" t="str">
        <f t="shared" si="245"/>
        <v/>
      </c>
    </row>
    <row r="7821" spans="7:11" x14ac:dyDescent="0.2">
      <c r="G7821" s="44"/>
      <c r="J7821" t="str">
        <f t="shared" si="244"/>
        <v/>
      </c>
      <c r="K7821" t="str">
        <f t="shared" si="245"/>
        <v/>
      </c>
    </row>
    <row r="7822" spans="7:11" x14ac:dyDescent="0.2">
      <c r="G7822" s="44"/>
      <c r="J7822" t="str">
        <f t="shared" si="244"/>
        <v/>
      </c>
      <c r="K7822" t="str">
        <f t="shared" si="245"/>
        <v/>
      </c>
    </row>
    <row r="7823" spans="7:11" x14ac:dyDescent="0.2">
      <c r="G7823" s="44"/>
      <c r="J7823" t="str">
        <f t="shared" si="244"/>
        <v/>
      </c>
      <c r="K7823" t="str">
        <f t="shared" si="245"/>
        <v/>
      </c>
    </row>
    <row r="7824" spans="7:11" x14ac:dyDescent="0.2">
      <c r="G7824" s="44"/>
      <c r="J7824" t="str">
        <f t="shared" si="244"/>
        <v/>
      </c>
      <c r="K7824" t="str">
        <f t="shared" si="245"/>
        <v/>
      </c>
    </row>
    <row r="7825" spans="7:11" x14ac:dyDescent="0.2">
      <c r="G7825" s="44"/>
      <c r="J7825" t="str">
        <f t="shared" si="244"/>
        <v/>
      </c>
      <c r="K7825" t="str">
        <f t="shared" si="245"/>
        <v/>
      </c>
    </row>
    <row r="7826" spans="7:11" x14ac:dyDescent="0.2">
      <c r="G7826" s="44"/>
      <c r="J7826" t="str">
        <f t="shared" si="244"/>
        <v/>
      </c>
      <c r="K7826" t="str">
        <f t="shared" si="245"/>
        <v/>
      </c>
    </row>
    <row r="7827" spans="7:11" x14ac:dyDescent="0.2">
      <c r="G7827" s="44"/>
      <c r="J7827" t="str">
        <f t="shared" si="244"/>
        <v/>
      </c>
      <c r="K7827" t="str">
        <f t="shared" si="245"/>
        <v/>
      </c>
    </row>
    <row r="7828" spans="7:11" x14ac:dyDescent="0.2">
      <c r="G7828" s="44"/>
      <c r="J7828" t="str">
        <f t="shared" si="244"/>
        <v/>
      </c>
      <c r="K7828" t="str">
        <f t="shared" si="245"/>
        <v/>
      </c>
    </row>
    <row r="7829" spans="7:11" x14ac:dyDescent="0.2">
      <c r="G7829" s="44"/>
      <c r="J7829" t="str">
        <f t="shared" si="244"/>
        <v/>
      </c>
      <c r="K7829" t="str">
        <f t="shared" si="245"/>
        <v/>
      </c>
    </row>
    <row r="7830" spans="7:11" x14ac:dyDescent="0.2">
      <c r="G7830" s="44"/>
      <c r="J7830" t="str">
        <f t="shared" si="244"/>
        <v/>
      </c>
      <c r="K7830" t="str">
        <f t="shared" si="245"/>
        <v/>
      </c>
    </row>
    <row r="7831" spans="7:11" x14ac:dyDescent="0.2">
      <c r="G7831" s="44"/>
      <c r="J7831" t="str">
        <f t="shared" si="244"/>
        <v/>
      </c>
      <c r="K7831" t="str">
        <f t="shared" si="245"/>
        <v/>
      </c>
    </row>
    <row r="7832" spans="7:11" x14ac:dyDescent="0.2">
      <c r="G7832" s="44"/>
      <c r="J7832" t="str">
        <f t="shared" si="244"/>
        <v/>
      </c>
      <c r="K7832" t="str">
        <f t="shared" si="245"/>
        <v/>
      </c>
    </row>
    <row r="7833" spans="7:11" x14ac:dyDescent="0.2">
      <c r="G7833" s="44"/>
      <c r="J7833" t="str">
        <f t="shared" si="244"/>
        <v/>
      </c>
      <c r="K7833" t="str">
        <f t="shared" si="245"/>
        <v/>
      </c>
    </row>
    <row r="7834" spans="7:11" x14ac:dyDescent="0.2">
      <c r="G7834" s="44"/>
      <c r="J7834" t="str">
        <f t="shared" si="244"/>
        <v/>
      </c>
      <c r="K7834" t="str">
        <f t="shared" si="245"/>
        <v/>
      </c>
    </row>
    <row r="7835" spans="7:11" x14ac:dyDescent="0.2">
      <c r="G7835" s="44"/>
      <c r="J7835" t="str">
        <f t="shared" si="244"/>
        <v/>
      </c>
      <c r="K7835" t="str">
        <f t="shared" si="245"/>
        <v/>
      </c>
    </row>
    <row r="7836" spans="7:11" x14ac:dyDescent="0.2">
      <c r="G7836" s="44"/>
      <c r="J7836" t="str">
        <f t="shared" si="244"/>
        <v/>
      </c>
      <c r="K7836" t="str">
        <f t="shared" si="245"/>
        <v/>
      </c>
    </row>
    <row r="7837" spans="7:11" x14ac:dyDescent="0.2">
      <c r="G7837" s="44"/>
      <c r="J7837" t="str">
        <f t="shared" si="244"/>
        <v/>
      </c>
      <c r="K7837" t="str">
        <f t="shared" si="245"/>
        <v/>
      </c>
    </row>
    <row r="7838" spans="7:11" x14ac:dyDescent="0.2">
      <c r="G7838" s="44"/>
      <c r="J7838" t="str">
        <f t="shared" si="244"/>
        <v/>
      </c>
      <c r="K7838" t="str">
        <f t="shared" si="245"/>
        <v/>
      </c>
    </row>
    <row r="7839" spans="7:11" x14ac:dyDescent="0.2">
      <c r="G7839" s="44"/>
      <c r="J7839" t="str">
        <f t="shared" si="244"/>
        <v/>
      </c>
      <c r="K7839" t="str">
        <f t="shared" si="245"/>
        <v/>
      </c>
    </row>
    <row r="7840" spans="7:11" x14ac:dyDescent="0.2">
      <c r="G7840" s="44"/>
      <c r="J7840" t="str">
        <f t="shared" si="244"/>
        <v/>
      </c>
      <c r="K7840" t="str">
        <f t="shared" si="245"/>
        <v/>
      </c>
    </row>
    <row r="7841" spans="7:11" x14ac:dyDescent="0.2">
      <c r="G7841" s="44"/>
      <c r="J7841" t="str">
        <f t="shared" si="244"/>
        <v/>
      </c>
      <c r="K7841" t="str">
        <f t="shared" si="245"/>
        <v/>
      </c>
    </row>
    <row r="7842" spans="7:11" x14ac:dyDescent="0.2">
      <c r="G7842" s="44"/>
      <c r="J7842" t="str">
        <f t="shared" si="244"/>
        <v/>
      </c>
      <c r="K7842" t="str">
        <f t="shared" si="245"/>
        <v/>
      </c>
    </row>
    <row r="7843" spans="7:11" x14ac:dyDescent="0.2">
      <c r="G7843" s="44"/>
      <c r="J7843" t="str">
        <f t="shared" si="244"/>
        <v/>
      </c>
      <c r="K7843" t="str">
        <f t="shared" si="245"/>
        <v/>
      </c>
    </row>
    <row r="7844" spans="7:11" x14ac:dyDescent="0.2">
      <c r="G7844" s="44"/>
      <c r="J7844" t="str">
        <f t="shared" si="244"/>
        <v/>
      </c>
      <c r="K7844" t="str">
        <f t="shared" si="245"/>
        <v/>
      </c>
    </row>
    <row r="7845" spans="7:11" x14ac:dyDescent="0.2">
      <c r="G7845" s="44"/>
      <c r="J7845" t="str">
        <f t="shared" si="244"/>
        <v/>
      </c>
      <c r="K7845" t="str">
        <f t="shared" si="245"/>
        <v/>
      </c>
    </row>
    <row r="7846" spans="7:11" x14ac:dyDescent="0.2">
      <c r="G7846" s="44"/>
      <c r="J7846" t="str">
        <f t="shared" si="244"/>
        <v/>
      </c>
      <c r="K7846" t="str">
        <f t="shared" si="245"/>
        <v/>
      </c>
    </row>
    <row r="7847" spans="7:11" x14ac:dyDescent="0.2">
      <c r="G7847" s="44"/>
      <c r="J7847" t="str">
        <f t="shared" si="244"/>
        <v/>
      </c>
      <c r="K7847" t="str">
        <f t="shared" si="245"/>
        <v/>
      </c>
    </row>
    <row r="7848" spans="7:11" x14ac:dyDescent="0.2">
      <c r="G7848" s="44"/>
      <c r="J7848" t="str">
        <f t="shared" si="244"/>
        <v/>
      </c>
      <c r="K7848" t="str">
        <f t="shared" si="245"/>
        <v/>
      </c>
    </row>
    <row r="7849" spans="7:11" x14ac:dyDescent="0.2">
      <c r="G7849" s="44"/>
      <c r="J7849" t="str">
        <f t="shared" si="244"/>
        <v/>
      </c>
      <c r="K7849" t="str">
        <f t="shared" si="245"/>
        <v/>
      </c>
    </row>
    <row r="7850" spans="7:11" x14ac:dyDescent="0.2">
      <c r="G7850" s="44"/>
      <c r="J7850" t="str">
        <f t="shared" si="244"/>
        <v/>
      </c>
      <c r="K7850" t="str">
        <f t="shared" si="245"/>
        <v/>
      </c>
    </row>
    <row r="7851" spans="7:11" x14ac:dyDescent="0.2">
      <c r="G7851" s="44"/>
      <c r="J7851" t="str">
        <f t="shared" si="244"/>
        <v/>
      </c>
      <c r="K7851" t="str">
        <f t="shared" si="245"/>
        <v/>
      </c>
    </row>
    <row r="7852" spans="7:11" x14ac:dyDescent="0.2">
      <c r="G7852" s="44"/>
      <c r="J7852" t="str">
        <f t="shared" si="244"/>
        <v/>
      </c>
      <c r="K7852" t="str">
        <f t="shared" si="245"/>
        <v/>
      </c>
    </row>
    <row r="7853" spans="7:11" x14ac:dyDescent="0.2">
      <c r="G7853" s="44"/>
      <c r="J7853" t="str">
        <f t="shared" si="244"/>
        <v/>
      </c>
      <c r="K7853" t="str">
        <f t="shared" si="245"/>
        <v/>
      </c>
    </row>
    <row r="7854" spans="7:11" x14ac:dyDescent="0.2">
      <c r="G7854" s="44"/>
      <c r="J7854" t="str">
        <f t="shared" si="244"/>
        <v/>
      </c>
      <c r="K7854" t="str">
        <f t="shared" si="245"/>
        <v/>
      </c>
    </row>
    <row r="7855" spans="7:11" x14ac:dyDescent="0.2">
      <c r="G7855" s="44"/>
      <c r="J7855" t="str">
        <f t="shared" si="244"/>
        <v/>
      </c>
      <c r="K7855" t="str">
        <f t="shared" si="245"/>
        <v/>
      </c>
    </row>
    <row r="7856" spans="7:11" x14ac:dyDescent="0.2">
      <c r="G7856" s="44"/>
      <c r="J7856" t="str">
        <f t="shared" si="244"/>
        <v/>
      </c>
      <c r="K7856" t="str">
        <f t="shared" si="245"/>
        <v/>
      </c>
    </row>
    <row r="7857" spans="7:11" x14ac:dyDescent="0.2">
      <c r="G7857" s="44"/>
      <c r="J7857" t="str">
        <f t="shared" si="244"/>
        <v/>
      </c>
      <c r="K7857" t="str">
        <f t="shared" si="245"/>
        <v/>
      </c>
    </row>
    <row r="7858" spans="7:11" x14ac:dyDescent="0.2">
      <c r="G7858" s="44"/>
      <c r="J7858" t="str">
        <f t="shared" si="244"/>
        <v/>
      </c>
      <c r="K7858" t="str">
        <f t="shared" si="245"/>
        <v/>
      </c>
    </row>
    <row r="7859" spans="7:11" x14ac:dyDescent="0.2">
      <c r="G7859" s="44"/>
      <c r="J7859" t="str">
        <f t="shared" si="244"/>
        <v/>
      </c>
      <c r="K7859" t="str">
        <f t="shared" si="245"/>
        <v/>
      </c>
    </row>
    <row r="7860" spans="7:11" x14ac:dyDescent="0.2">
      <c r="G7860" s="44"/>
      <c r="J7860" t="str">
        <f t="shared" si="244"/>
        <v/>
      </c>
      <c r="K7860" t="str">
        <f t="shared" si="245"/>
        <v/>
      </c>
    </row>
    <row r="7861" spans="7:11" x14ac:dyDescent="0.2">
      <c r="G7861" s="44"/>
      <c r="J7861" t="str">
        <f t="shared" si="244"/>
        <v/>
      </c>
      <c r="K7861" t="str">
        <f t="shared" si="245"/>
        <v/>
      </c>
    </row>
    <row r="7862" spans="7:11" x14ac:dyDescent="0.2">
      <c r="G7862" s="44"/>
      <c r="J7862" t="str">
        <f t="shared" si="244"/>
        <v/>
      </c>
      <c r="K7862" t="str">
        <f t="shared" si="245"/>
        <v/>
      </c>
    </row>
    <row r="7863" spans="7:11" x14ac:dyDescent="0.2">
      <c r="G7863" s="44"/>
      <c r="J7863" t="str">
        <f t="shared" si="244"/>
        <v/>
      </c>
      <c r="K7863" t="str">
        <f t="shared" si="245"/>
        <v/>
      </c>
    </row>
    <row r="7864" spans="7:11" x14ac:dyDescent="0.2">
      <c r="G7864" s="44"/>
      <c r="J7864" t="str">
        <f t="shared" si="244"/>
        <v/>
      </c>
      <c r="K7864" t="str">
        <f t="shared" si="245"/>
        <v/>
      </c>
    </row>
    <row r="7865" spans="7:11" x14ac:dyDescent="0.2">
      <c r="G7865" s="44"/>
      <c r="J7865" t="str">
        <f t="shared" si="244"/>
        <v/>
      </c>
      <c r="K7865" t="str">
        <f t="shared" si="245"/>
        <v/>
      </c>
    </row>
    <row r="7866" spans="7:11" x14ac:dyDescent="0.2">
      <c r="G7866" s="44"/>
      <c r="J7866" t="str">
        <f t="shared" si="244"/>
        <v/>
      </c>
      <c r="K7866" t="str">
        <f t="shared" si="245"/>
        <v/>
      </c>
    </row>
    <row r="7867" spans="7:11" x14ac:dyDescent="0.2">
      <c r="G7867" s="44"/>
      <c r="J7867" t="str">
        <f t="shared" si="244"/>
        <v/>
      </c>
      <c r="K7867" t="str">
        <f t="shared" si="245"/>
        <v/>
      </c>
    </row>
    <row r="7868" spans="7:11" x14ac:dyDescent="0.2">
      <c r="G7868" s="44"/>
      <c r="J7868" t="str">
        <f t="shared" si="244"/>
        <v/>
      </c>
      <c r="K7868" t="str">
        <f t="shared" si="245"/>
        <v/>
      </c>
    </row>
    <row r="7869" spans="7:11" x14ac:dyDescent="0.2">
      <c r="G7869" s="44"/>
      <c r="J7869" t="str">
        <f t="shared" si="244"/>
        <v/>
      </c>
      <c r="K7869" t="str">
        <f t="shared" si="245"/>
        <v/>
      </c>
    </row>
    <row r="7870" spans="7:11" x14ac:dyDescent="0.2">
      <c r="G7870" s="44"/>
      <c r="J7870" t="str">
        <f t="shared" si="244"/>
        <v/>
      </c>
      <c r="K7870" t="str">
        <f t="shared" si="245"/>
        <v/>
      </c>
    </row>
    <row r="7871" spans="7:11" x14ac:dyDescent="0.2">
      <c r="G7871" s="44"/>
      <c r="J7871" t="str">
        <f t="shared" si="244"/>
        <v/>
      </c>
      <c r="K7871" t="str">
        <f t="shared" si="245"/>
        <v/>
      </c>
    </row>
    <row r="7872" spans="7:11" x14ac:dyDescent="0.2">
      <c r="G7872" s="44"/>
      <c r="J7872" t="str">
        <f t="shared" si="244"/>
        <v/>
      </c>
      <c r="K7872" t="str">
        <f t="shared" si="245"/>
        <v/>
      </c>
    </row>
    <row r="7873" spans="7:11" x14ac:dyDescent="0.2">
      <c r="G7873" s="44"/>
      <c r="J7873" t="str">
        <f t="shared" si="244"/>
        <v/>
      </c>
      <c r="K7873" t="str">
        <f t="shared" si="245"/>
        <v/>
      </c>
    </row>
    <row r="7874" spans="7:11" x14ac:dyDescent="0.2">
      <c r="G7874" s="44"/>
      <c r="J7874" t="str">
        <f t="shared" ref="J7874:J7918" si="246">IF(E7874="","",IF(OR(E7874=50,E7874=51),"Iltindhold",IF(E7874=75,"Carbon,org,NVOC",IF(OR(E7874=343,E7874=1167),"Svovlbrinte",IF(OR(E7874=240,E7874=241,E7874=242),"Amm",IF(E7874=244,"Nitrit",IF(E7874=247,"Nitrat",IF(E7874=334,"Sulfat",IF(E7874=262,"Phosphor, total-P",F7874)))))))))</f>
        <v/>
      </c>
      <c r="K7874" t="str">
        <f t="shared" ref="K7874:K7918" si="247">IF(A7874="","",IF(H7874="!",NA(),IF(H7874="A",I7874*0.5,IF(H7874="&lt;",I7874*0.5,I7874))))</f>
        <v/>
      </c>
    </row>
    <row r="7875" spans="7:11" x14ac:dyDescent="0.2">
      <c r="G7875" s="44"/>
      <c r="J7875" t="str">
        <f t="shared" si="246"/>
        <v/>
      </c>
      <c r="K7875" t="str">
        <f t="shared" si="247"/>
        <v/>
      </c>
    </row>
    <row r="7876" spans="7:11" x14ac:dyDescent="0.2">
      <c r="G7876" s="44"/>
      <c r="J7876" t="str">
        <f t="shared" si="246"/>
        <v/>
      </c>
      <c r="K7876" t="str">
        <f t="shared" si="247"/>
        <v/>
      </c>
    </row>
    <row r="7877" spans="7:11" x14ac:dyDescent="0.2">
      <c r="G7877" s="44"/>
      <c r="J7877" t="str">
        <f t="shared" si="246"/>
        <v/>
      </c>
      <c r="K7877" t="str">
        <f t="shared" si="247"/>
        <v/>
      </c>
    </row>
    <row r="7878" spans="7:11" x14ac:dyDescent="0.2">
      <c r="G7878" s="44"/>
      <c r="J7878" t="str">
        <f t="shared" si="246"/>
        <v/>
      </c>
      <c r="K7878" t="str">
        <f t="shared" si="247"/>
        <v/>
      </c>
    </row>
    <row r="7879" spans="7:11" x14ac:dyDescent="0.2">
      <c r="G7879" s="44"/>
      <c r="J7879" t="str">
        <f t="shared" si="246"/>
        <v/>
      </c>
      <c r="K7879" t="str">
        <f t="shared" si="247"/>
        <v/>
      </c>
    </row>
    <row r="7880" spans="7:11" x14ac:dyDescent="0.2">
      <c r="G7880" s="44"/>
      <c r="J7880" t="str">
        <f t="shared" si="246"/>
        <v/>
      </c>
      <c r="K7880" t="str">
        <f t="shared" si="247"/>
        <v/>
      </c>
    </row>
    <row r="7881" spans="7:11" x14ac:dyDescent="0.2">
      <c r="G7881" s="44"/>
      <c r="J7881" t="str">
        <f t="shared" si="246"/>
        <v/>
      </c>
      <c r="K7881" t="str">
        <f t="shared" si="247"/>
        <v/>
      </c>
    </row>
    <row r="7882" spans="7:11" x14ac:dyDescent="0.2">
      <c r="G7882" s="44"/>
      <c r="J7882" t="str">
        <f t="shared" si="246"/>
        <v/>
      </c>
      <c r="K7882" t="str">
        <f t="shared" si="247"/>
        <v/>
      </c>
    </row>
    <row r="7883" spans="7:11" x14ac:dyDescent="0.2">
      <c r="G7883" s="44"/>
      <c r="J7883" t="str">
        <f t="shared" si="246"/>
        <v/>
      </c>
      <c r="K7883" t="str">
        <f t="shared" si="247"/>
        <v/>
      </c>
    </row>
    <row r="7884" spans="7:11" x14ac:dyDescent="0.2">
      <c r="G7884" s="44"/>
      <c r="J7884" t="str">
        <f t="shared" si="246"/>
        <v/>
      </c>
      <c r="K7884" t="str">
        <f t="shared" si="247"/>
        <v/>
      </c>
    </row>
    <row r="7885" spans="7:11" x14ac:dyDescent="0.2">
      <c r="G7885" s="44"/>
      <c r="J7885" t="str">
        <f t="shared" si="246"/>
        <v/>
      </c>
      <c r="K7885" t="str">
        <f t="shared" si="247"/>
        <v/>
      </c>
    </row>
    <row r="7886" spans="7:11" x14ac:dyDescent="0.2">
      <c r="G7886" s="44"/>
      <c r="J7886" t="str">
        <f t="shared" si="246"/>
        <v/>
      </c>
      <c r="K7886" t="str">
        <f t="shared" si="247"/>
        <v/>
      </c>
    </row>
    <row r="7887" spans="7:11" x14ac:dyDescent="0.2">
      <c r="G7887" s="44"/>
      <c r="J7887" t="str">
        <f t="shared" si="246"/>
        <v/>
      </c>
      <c r="K7887" t="str">
        <f t="shared" si="247"/>
        <v/>
      </c>
    </row>
    <row r="7888" spans="7:11" x14ac:dyDescent="0.2">
      <c r="G7888" s="44"/>
      <c r="J7888" t="str">
        <f t="shared" si="246"/>
        <v/>
      </c>
      <c r="K7888" t="str">
        <f t="shared" si="247"/>
        <v/>
      </c>
    </row>
    <row r="7889" spans="7:11" x14ac:dyDescent="0.2">
      <c r="G7889" s="44"/>
      <c r="J7889" t="str">
        <f t="shared" si="246"/>
        <v/>
      </c>
      <c r="K7889" t="str">
        <f t="shared" si="247"/>
        <v/>
      </c>
    </row>
    <row r="7890" spans="7:11" x14ac:dyDescent="0.2">
      <c r="G7890" s="44"/>
      <c r="J7890" t="str">
        <f t="shared" si="246"/>
        <v/>
      </c>
      <c r="K7890" t="str">
        <f t="shared" si="247"/>
        <v/>
      </c>
    </row>
    <row r="7891" spans="7:11" x14ac:dyDescent="0.2">
      <c r="G7891" s="44"/>
      <c r="J7891" t="str">
        <f t="shared" si="246"/>
        <v/>
      </c>
      <c r="K7891" t="str">
        <f t="shared" si="247"/>
        <v/>
      </c>
    </row>
    <row r="7892" spans="7:11" x14ac:dyDescent="0.2">
      <c r="G7892" s="44"/>
      <c r="J7892" t="str">
        <f t="shared" si="246"/>
        <v/>
      </c>
      <c r="K7892" t="str">
        <f t="shared" si="247"/>
        <v/>
      </c>
    </row>
    <row r="7893" spans="7:11" x14ac:dyDescent="0.2">
      <c r="G7893" s="44"/>
      <c r="J7893" t="str">
        <f t="shared" si="246"/>
        <v/>
      </c>
      <c r="K7893" t="str">
        <f t="shared" si="247"/>
        <v/>
      </c>
    </row>
    <row r="7894" spans="7:11" x14ac:dyDescent="0.2">
      <c r="G7894" s="44"/>
      <c r="J7894" t="str">
        <f t="shared" si="246"/>
        <v/>
      </c>
      <c r="K7894" t="str">
        <f t="shared" si="247"/>
        <v/>
      </c>
    </row>
    <row r="7895" spans="7:11" x14ac:dyDescent="0.2">
      <c r="G7895" s="44"/>
      <c r="J7895" t="str">
        <f t="shared" si="246"/>
        <v/>
      </c>
      <c r="K7895" t="str">
        <f t="shared" si="247"/>
        <v/>
      </c>
    </row>
    <row r="7896" spans="7:11" x14ac:dyDescent="0.2">
      <c r="G7896" s="44"/>
      <c r="J7896" t="str">
        <f t="shared" si="246"/>
        <v/>
      </c>
      <c r="K7896" t="str">
        <f t="shared" si="247"/>
        <v/>
      </c>
    </row>
    <row r="7897" spans="7:11" x14ac:dyDescent="0.2">
      <c r="G7897" s="44"/>
      <c r="J7897" t="str">
        <f t="shared" si="246"/>
        <v/>
      </c>
      <c r="K7897" t="str">
        <f t="shared" si="247"/>
        <v/>
      </c>
    </row>
    <row r="7898" spans="7:11" x14ac:dyDescent="0.2">
      <c r="G7898" s="44"/>
      <c r="J7898" t="str">
        <f t="shared" si="246"/>
        <v/>
      </c>
      <c r="K7898" t="str">
        <f t="shared" si="247"/>
        <v/>
      </c>
    </row>
    <row r="7899" spans="7:11" x14ac:dyDescent="0.2">
      <c r="G7899" s="44"/>
      <c r="J7899" t="str">
        <f t="shared" si="246"/>
        <v/>
      </c>
      <c r="K7899" t="str">
        <f t="shared" si="247"/>
        <v/>
      </c>
    </row>
    <row r="7900" spans="7:11" x14ac:dyDescent="0.2">
      <c r="G7900" s="44"/>
      <c r="J7900" t="str">
        <f t="shared" si="246"/>
        <v/>
      </c>
      <c r="K7900" t="str">
        <f t="shared" si="247"/>
        <v/>
      </c>
    </row>
    <row r="7901" spans="7:11" x14ac:dyDescent="0.2">
      <c r="G7901" s="44"/>
      <c r="J7901" t="str">
        <f t="shared" si="246"/>
        <v/>
      </c>
      <c r="K7901" t="str">
        <f t="shared" si="247"/>
        <v/>
      </c>
    </row>
    <row r="7902" spans="7:11" x14ac:dyDescent="0.2">
      <c r="G7902" s="44"/>
      <c r="J7902" t="str">
        <f t="shared" si="246"/>
        <v/>
      </c>
      <c r="K7902" t="str">
        <f t="shared" si="247"/>
        <v/>
      </c>
    </row>
    <row r="7903" spans="7:11" x14ac:dyDescent="0.2">
      <c r="G7903" s="44"/>
      <c r="J7903" t="str">
        <f t="shared" si="246"/>
        <v/>
      </c>
      <c r="K7903" t="str">
        <f t="shared" si="247"/>
        <v/>
      </c>
    </row>
    <row r="7904" spans="7:11" x14ac:dyDescent="0.2">
      <c r="G7904" s="44"/>
      <c r="J7904" t="str">
        <f t="shared" si="246"/>
        <v/>
      </c>
      <c r="K7904" t="str">
        <f t="shared" si="247"/>
        <v/>
      </c>
    </row>
    <row r="7905" spans="7:11" x14ac:dyDescent="0.2">
      <c r="G7905" s="44"/>
      <c r="J7905" t="str">
        <f t="shared" si="246"/>
        <v/>
      </c>
      <c r="K7905" t="str">
        <f t="shared" si="247"/>
        <v/>
      </c>
    </row>
    <row r="7906" spans="7:11" x14ac:dyDescent="0.2">
      <c r="G7906" s="44"/>
      <c r="J7906" t="str">
        <f t="shared" si="246"/>
        <v/>
      </c>
      <c r="K7906" t="str">
        <f t="shared" si="247"/>
        <v/>
      </c>
    </row>
    <row r="7907" spans="7:11" x14ac:dyDescent="0.2">
      <c r="G7907" s="44"/>
      <c r="J7907" t="str">
        <f t="shared" si="246"/>
        <v/>
      </c>
      <c r="K7907" t="str">
        <f t="shared" si="247"/>
        <v/>
      </c>
    </row>
    <row r="7908" spans="7:11" x14ac:dyDescent="0.2">
      <c r="G7908" s="44"/>
      <c r="J7908" t="str">
        <f t="shared" si="246"/>
        <v/>
      </c>
      <c r="K7908" t="str">
        <f t="shared" si="247"/>
        <v/>
      </c>
    </row>
    <row r="7909" spans="7:11" x14ac:dyDescent="0.2">
      <c r="G7909" s="44"/>
      <c r="J7909" t="str">
        <f t="shared" si="246"/>
        <v/>
      </c>
      <c r="K7909" t="str">
        <f t="shared" si="247"/>
        <v/>
      </c>
    </row>
    <row r="7910" spans="7:11" x14ac:dyDescent="0.2">
      <c r="G7910" s="44"/>
      <c r="J7910" t="str">
        <f t="shared" si="246"/>
        <v/>
      </c>
      <c r="K7910" t="str">
        <f t="shared" si="247"/>
        <v/>
      </c>
    </row>
    <row r="7911" spans="7:11" x14ac:dyDescent="0.2">
      <c r="G7911" s="44"/>
      <c r="J7911" t="str">
        <f t="shared" si="246"/>
        <v/>
      </c>
      <c r="K7911" t="str">
        <f t="shared" si="247"/>
        <v/>
      </c>
    </row>
    <row r="7912" spans="7:11" x14ac:dyDescent="0.2">
      <c r="G7912" s="44"/>
      <c r="J7912" t="str">
        <f t="shared" si="246"/>
        <v/>
      </c>
      <c r="K7912" t="str">
        <f t="shared" si="247"/>
        <v/>
      </c>
    </row>
    <row r="7913" spans="7:11" x14ac:dyDescent="0.2">
      <c r="G7913" s="44"/>
      <c r="J7913" t="str">
        <f t="shared" si="246"/>
        <v/>
      </c>
      <c r="K7913" t="str">
        <f t="shared" si="247"/>
        <v/>
      </c>
    </row>
    <row r="7914" spans="7:11" x14ac:dyDescent="0.2">
      <c r="G7914" s="44"/>
      <c r="J7914" t="str">
        <f t="shared" si="246"/>
        <v/>
      </c>
      <c r="K7914" t="str">
        <f t="shared" si="247"/>
        <v/>
      </c>
    </row>
    <row r="7915" spans="7:11" x14ac:dyDescent="0.2">
      <c r="G7915" s="44"/>
      <c r="J7915" t="str">
        <f t="shared" si="246"/>
        <v/>
      </c>
      <c r="K7915" t="str">
        <f t="shared" si="247"/>
        <v/>
      </c>
    </row>
    <row r="7916" spans="7:11" x14ac:dyDescent="0.2">
      <c r="G7916" s="44"/>
      <c r="J7916" t="str">
        <f t="shared" si="246"/>
        <v/>
      </c>
      <c r="K7916" t="str">
        <f t="shared" si="247"/>
        <v/>
      </c>
    </row>
    <row r="7917" spans="7:11" x14ac:dyDescent="0.2">
      <c r="G7917" s="44"/>
      <c r="J7917" t="str">
        <f t="shared" si="246"/>
        <v/>
      </c>
      <c r="K7917" t="str">
        <f t="shared" si="247"/>
        <v/>
      </c>
    </row>
    <row r="7918" spans="7:11" x14ac:dyDescent="0.2">
      <c r="G7918" s="44"/>
      <c r="J7918" t="str">
        <f t="shared" si="246"/>
        <v/>
      </c>
      <c r="K7918" t="str">
        <f t="shared" si="247"/>
        <v/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2"/>
  <dimension ref="A1:I42"/>
  <sheetViews>
    <sheetView topLeftCell="C1" workbookViewId="0">
      <selection activeCell="G4" sqref="G4"/>
    </sheetView>
  </sheetViews>
  <sheetFormatPr defaultRowHeight="12.75" x14ac:dyDescent="0.2"/>
  <cols>
    <col min="1" max="1" width="69.125" bestFit="1" customWidth="1"/>
    <col min="2" max="2" width="12" bestFit="1" customWidth="1"/>
    <col min="3" max="3" width="64.5" bestFit="1" customWidth="1"/>
    <col min="5" max="5" width="11.5" customWidth="1"/>
    <col min="7" max="7" width="41.5" bestFit="1" customWidth="1"/>
    <col min="8" max="8" width="11" bestFit="1" customWidth="1"/>
    <col min="9" max="9" width="52.125" bestFit="1" customWidth="1"/>
    <col min="12" max="13" width="12" bestFit="1" customWidth="1"/>
  </cols>
  <sheetData>
    <row r="1" spans="1:9" x14ac:dyDescent="0.2">
      <c r="B1" s="3" t="s">
        <v>106</v>
      </c>
      <c r="E1" s="3" t="s">
        <v>109</v>
      </c>
      <c r="G1" s="4" t="s">
        <v>110</v>
      </c>
    </row>
    <row r="2" spans="1:9" x14ac:dyDescent="0.2">
      <c r="B2" s="3">
        <v>1</v>
      </c>
      <c r="E2" s="3">
        <v>1</v>
      </c>
      <c r="G2" s="4"/>
    </row>
    <row r="3" spans="1:9" x14ac:dyDescent="0.2">
      <c r="B3" s="3" t="str">
        <f ca="1">INDIRECT("B"&amp;(B2+3))</f>
        <v/>
      </c>
      <c r="F3" s="4" t="s">
        <v>111</v>
      </c>
      <c r="G3" s="53" t="str">
        <f ca="1">IF(G2="","Intet vandværk er valgt",INDIRECT("H"&amp;MATCH(G2,I:I,0)))</f>
        <v>Intet vandværk er valgt</v>
      </c>
    </row>
    <row r="4" spans="1:9" x14ac:dyDescent="0.2">
      <c r="A4" t="s">
        <v>108</v>
      </c>
      <c r="B4" s="1" t="s">
        <v>107</v>
      </c>
      <c r="C4" t="s">
        <v>108</v>
      </c>
      <c r="F4" s="4" t="s">
        <v>112</v>
      </c>
      <c r="G4" s="53" t="str">
        <f ca="1">IF(G2="","Intet vandværk er valgt",INDIRECT("G"&amp;MATCH(G2,I:I,0)))</f>
        <v>Intet vandværk er valgt</v>
      </c>
    </row>
    <row r="5" spans="1:9" x14ac:dyDescent="0.2">
      <c r="A5" t="str">
        <f t="shared" ref="A5:A42" si="0">B5 &amp; ": " &amp; C5</f>
        <v>V01: Offentlige fælles vandforsyningsanlæg</v>
      </c>
      <c r="B5" s="2" t="s">
        <v>30</v>
      </c>
      <c r="C5" s="2" t="s">
        <v>31</v>
      </c>
    </row>
    <row r="6" spans="1:9" x14ac:dyDescent="0.2">
      <c r="A6" t="str">
        <f t="shared" si="0"/>
        <v>V02: Private fælles vandforsyningsanlæg</v>
      </c>
      <c r="B6" s="2" t="s">
        <v>32</v>
      </c>
      <c r="C6" s="2" t="s">
        <v>33</v>
      </c>
      <c r="I6" t="s">
        <v>214</v>
      </c>
    </row>
    <row r="7" spans="1:9" x14ac:dyDescent="0.2">
      <c r="A7" t="str">
        <f t="shared" si="0"/>
        <v>V03: Husholdninger, 3-9 husstande</v>
      </c>
      <c r="B7" s="2" t="s">
        <v>34</v>
      </c>
      <c r="C7" s="2" t="s">
        <v>35</v>
      </c>
    </row>
    <row r="8" spans="1:9" x14ac:dyDescent="0.2">
      <c r="A8" t="str">
        <f t="shared" si="0"/>
        <v>V04: 2-9 husstande u. fødevarevirksomhed/kommerciel/offentlig - under 10m3/d</v>
      </c>
      <c r="B8" s="2" t="s">
        <v>36</v>
      </c>
      <c r="C8" s="2" t="s">
        <v>37</v>
      </c>
    </row>
    <row r="9" spans="1:9" x14ac:dyDescent="0.2">
      <c r="A9" t="str">
        <f t="shared" si="0"/>
        <v>V05: 2-9 husstande m. fødevarevirksomhed/kommerciel/offentlig/over 10m3/d</v>
      </c>
      <c r="B9" s="2" t="s">
        <v>38</v>
      </c>
      <c r="C9" s="2" t="s">
        <v>39</v>
      </c>
    </row>
    <row r="10" spans="1:9" x14ac:dyDescent="0.2">
      <c r="A10" t="str">
        <f t="shared" si="0"/>
        <v>V06: 1 husstand u. fødevarevirksomhed/kommerciel/offentlig  - under 10m3/d</v>
      </c>
      <c r="B10" s="2" t="s">
        <v>40</v>
      </c>
      <c r="C10" s="2" t="s">
        <v>41</v>
      </c>
    </row>
    <row r="11" spans="1:9" x14ac:dyDescent="0.2">
      <c r="A11" t="str">
        <f t="shared" si="0"/>
        <v>V07: 1 husstand m. fødevarevirksomhed/kommerciel/offentlig/over 10m3/d</v>
      </c>
      <c r="B11" s="2" t="s">
        <v>42</v>
      </c>
      <c r="C11" s="2" t="s">
        <v>43</v>
      </c>
    </row>
    <row r="12" spans="1:9" x14ac:dyDescent="0.2">
      <c r="A12" t="str">
        <f t="shared" si="0"/>
        <v>V25: Kildefeltundersøgelser</v>
      </c>
      <c r="B12" s="2" t="s">
        <v>44</v>
      </c>
      <c r="C12" s="2" t="s">
        <v>45</v>
      </c>
    </row>
    <row r="13" spans="1:9" x14ac:dyDescent="0.2">
      <c r="A13" t="str">
        <f t="shared" si="0"/>
        <v>V30: Institutioner o.lign.</v>
      </c>
      <c r="B13" s="2" t="s">
        <v>46</v>
      </c>
      <c r="C13" s="2" t="s">
        <v>47</v>
      </c>
    </row>
    <row r="14" spans="1:9" x14ac:dyDescent="0.2">
      <c r="A14" t="str">
        <f t="shared" si="0"/>
        <v>V40: Markvanding</v>
      </c>
      <c r="B14" s="2" t="s">
        <v>48</v>
      </c>
      <c r="C14" s="2" t="s">
        <v>49</v>
      </c>
    </row>
    <row r="15" spans="1:9" x14ac:dyDescent="0.2">
      <c r="A15" t="str">
        <f t="shared" si="0"/>
        <v>V41: Sportsplads, park o.lign.</v>
      </c>
      <c r="B15" s="2" t="s">
        <v>50</v>
      </c>
      <c r="C15" s="2" t="s">
        <v>51</v>
      </c>
    </row>
    <row r="16" spans="1:9" x14ac:dyDescent="0.2">
      <c r="A16" t="str">
        <f t="shared" si="0"/>
        <v>V42: Havevanding</v>
      </c>
      <c r="B16" s="2" t="s">
        <v>52</v>
      </c>
      <c r="C16" s="2" t="s">
        <v>53</v>
      </c>
    </row>
    <row r="17" spans="1:3" x14ac:dyDescent="0.2">
      <c r="A17" t="str">
        <f t="shared" si="0"/>
        <v>V50: Gartneri</v>
      </c>
      <c r="B17" s="2" t="s">
        <v>54</v>
      </c>
      <c r="C17" s="2" t="s">
        <v>55</v>
      </c>
    </row>
    <row r="18" spans="1:3" x14ac:dyDescent="0.2">
      <c r="A18" t="str">
        <f t="shared" si="0"/>
        <v>V51: Spiselige afgrøder</v>
      </c>
      <c r="B18" s="2" t="s">
        <v>56</v>
      </c>
      <c r="C18" s="2" t="s">
        <v>57</v>
      </c>
    </row>
    <row r="19" spans="1:3" x14ac:dyDescent="0.2">
      <c r="A19" t="str">
        <f t="shared" si="0"/>
        <v>V52: Blomstergartneri</v>
      </c>
      <c r="B19" s="2" t="s">
        <v>58</v>
      </c>
      <c r="C19" s="2" t="s">
        <v>59</v>
      </c>
    </row>
    <row r="20" spans="1:3" x14ac:dyDescent="0.2">
      <c r="A20" t="str">
        <f t="shared" si="0"/>
        <v>V53: Planteskole</v>
      </c>
      <c r="B20" s="2" t="s">
        <v>60</v>
      </c>
      <c r="C20" s="2" t="s">
        <v>61</v>
      </c>
    </row>
    <row r="21" spans="1:3" x14ac:dyDescent="0.2">
      <c r="A21" t="str">
        <f t="shared" si="0"/>
        <v>V60: Dambrug</v>
      </c>
      <c r="B21" s="2" t="s">
        <v>62</v>
      </c>
      <c r="C21" s="2" t="s">
        <v>63</v>
      </c>
    </row>
    <row r="22" spans="1:3" x14ac:dyDescent="0.2">
      <c r="A22" t="str">
        <f t="shared" si="0"/>
        <v>V70: Hotel, Campingplads o.lign.</v>
      </c>
      <c r="B22" s="2" t="s">
        <v>64</v>
      </c>
      <c r="C22" s="2" t="s">
        <v>65</v>
      </c>
    </row>
    <row r="23" spans="1:3" x14ac:dyDescent="0.2">
      <c r="A23" t="str">
        <f t="shared" si="0"/>
        <v>V80: Anden erhvervsvirksomhed</v>
      </c>
      <c r="B23" s="2" t="s">
        <v>66</v>
      </c>
      <c r="C23" s="2" t="s">
        <v>67</v>
      </c>
    </row>
    <row r="24" spans="1:3" x14ac:dyDescent="0.2">
      <c r="A24" t="str">
        <f t="shared" si="0"/>
        <v>V81: Levnedsmiddelindustri</v>
      </c>
      <c r="B24" s="2" t="s">
        <v>68</v>
      </c>
      <c r="C24" s="2" t="s">
        <v>69</v>
      </c>
    </row>
    <row r="25" spans="1:3" x14ac:dyDescent="0.2">
      <c r="A25" t="str">
        <f t="shared" si="0"/>
        <v>V82: Jern og metalindustri</v>
      </c>
      <c r="B25" s="2" t="s">
        <v>70</v>
      </c>
      <c r="C25" s="2" t="s">
        <v>71</v>
      </c>
    </row>
    <row r="26" spans="1:3" x14ac:dyDescent="0.2">
      <c r="A26" t="str">
        <f t="shared" si="0"/>
        <v>V83: Papir og trævareindustri</v>
      </c>
      <c r="B26" s="2" t="s">
        <v>72</v>
      </c>
      <c r="C26" s="2" t="s">
        <v>73</v>
      </c>
    </row>
    <row r="27" spans="1:3" x14ac:dyDescent="0.2">
      <c r="A27" t="str">
        <f t="shared" si="0"/>
        <v>V84: Grusvask</v>
      </c>
      <c r="B27" s="2" t="s">
        <v>74</v>
      </c>
      <c r="C27" s="2" t="s">
        <v>75</v>
      </c>
    </row>
    <row r="28" spans="1:3" x14ac:dyDescent="0.2">
      <c r="A28" t="str">
        <f t="shared" si="0"/>
        <v>V85: Husdyrfarm</v>
      </c>
      <c r="B28" s="2" t="s">
        <v>76</v>
      </c>
      <c r="C28" s="2" t="s">
        <v>77</v>
      </c>
    </row>
    <row r="29" spans="1:3" x14ac:dyDescent="0.2">
      <c r="A29" t="str">
        <f t="shared" si="0"/>
        <v>V86: Råstofindvinding under grundvandsspejlet</v>
      </c>
      <c r="B29" s="2" t="s">
        <v>78</v>
      </c>
      <c r="C29" s="2" t="s">
        <v>79</v>
      </c>
    </row>
    <row r="30" spans="1:3" x14ac:dyDescent="0.2">
      <c r="A30" t="str">
        <f t="shared" si="0"/>
        <v>V87: Grundvandskøleanlæg</v>
      </c>
      <c r="B30" s="2" t="s">
        <v>80</v>
      </c>
      <c r="C30" s="2" t="s">
        <v>81</v>
      </c>
    </row>
    <row r="31" spans="1:3" x14ac:dyDescent="0.2">
      <c r="A31" t="str">
        <f t="shared" si="0"/>
        <v>V88: Mælkeleverandør</v>
      </c>
      <c r="B31" s="2" t="s">
        <v>82</v>
      </c>
      <c r="C31" s="2" t="s">
        <v>83</v>
      </c>
    </row>
    <row r="32" spans="1:3" x14ac:dyDescent="0.2">
      <c r="A32" t="str">
        <f t="shared" si="0"/>
        <v>V90: Andet enkeltanlæg</v>
      </c>
      <c r="B32" s="2" t="s">
        <v>84</v>
      </c>
      <c r="C32" s="2" t="s">
        <v>85</v>
      </c>
    </row>
    <row r="33" spans="1:3" x14ac:dyDescent="0.2">
      <c r="A33" t="str">
        <f t="shared" si="0"/>
        <v>V91: Varmepumpe med reinjektion</v>
      </c>
      <c r="B33" s="2" t="s">
        <v>86</v>
      </c>
      <c r="C33" s="2" t="s">
        <v>87</v>
      </c>
    </row>
    <row r="34" spans="1:3" x14ac:dyDescent="0.2">
      <c r="A34" t="str">
        <f t="shared" si="0"/>
        <v>V92: Varmepumpe uden reinjektion</v>
      </c>
      <c r="B34" s="2" t="s">
        <v>88</v>
      </c>
      <c r="C34" s="2" t="s">
        <v>89</v>
      </c>
    </row>
    <row r="35" spans="1:3" x14ac:dyDescent="0.2">
      <c r="A35" t="str">
        <f t="shared" si="0"/>
        <v>V93: Bortledning af vand</v>
      </c>
      <c r="B35" s="2" t="s">
        <v>90</v>
      </c>
      <c r="C35" s="2" t="s">
        <v>91</v>
      </c>
    </row>
    <row r="36" spans="1:3" x14ac:dyDescent="0.2">
      <c r="A36" t="str">
        <f t="shared" si="0"/>
        <v>V94: Nødforsyningsanlæg</v>
      </c>
      <c r="B36" s="2" t="s">
        <v>92</v>
      </c>
      <c r="C36" s="2" t="s">
        <v>93</v>
      </c>
    </row>
    <row r="37" spans="1:3" x14ac:dyDescent="0.2">
      <c r="A37" t="str">
        <f t="shared" si="0"/>
        <v>V95: Husholdning 1-2 husstande</v>
      </c>
      <c r="B37" s="2" t="s">
        <v>94</v>
      </c>
      <c r="C37" s="2" t="s">
        <v>95</v>
      </c>
    </row>
    <row r="38" spans="1:3" x14ac:dyDescent="0.2">
      <c r="A38" t="str">
        <f t="shared" si="0"/>
        <v>V96: Moniteringsboringer</v>
      </c>
      <c r="B38" s="2" t="s">
        <v>96</v>
      </c>
      <c r="C38" s="2" t="s">
        <v>97</v>
      </c>
    </row>
    <row r="39" spans="1:3" x14ac:dyDescent="0.2">
      <c r="A39" t="str">
        <f t="shared" si="0"/>
        <v>V97: Forureningsundersøgelser</v>
      </c>
      <c r="B39" s="2" t="s">
        <v>98</v>
      </c>
      <c r="C39" s="2" t="s">
        <v>99</v>
      </c>
    </row>
    <row r="40" spans="1:3" x14ac:dyDescent="0.2">
      <c r="A40" t="str">
        <f t="shared" si="0"/>
        <v>V98: GRUMO boringer</v>
      </c>
      <c r="B40" s="2" t="s">
        <v>100</v>
      </c>
      <c r="C40" s="2" t="s">
        <v>101</v>
      </c>
    </row>
    <row r="41" spans="1:3" x14ac:dyDescent="0.2">
      <c r="A41" t="str">
        <f t="shared" si="0"/>
        <v>V99: Afværgeanlæg</v>
      </c>
      <c r="B41" s="2" t="s">
        <v>102</v>
      </c>
      <c r="C41" s="2" t="s">
        <v>103</v>
      </c>
    </row>
    <row r="42" spans="1:3" x14ac:dyDescent="0.2">
      <c r="A42" t="str">
        <f t="shared" si="0"/>
        <v>W01: Brugerdefineret virksomhed type</v>
      </c>
      <c r="B42" s="2" t="s">
        <v>104</v>
      </c>
      <c r="C42" s="2" t="s">
        <v>105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Drop Down 1">
              <controlPr defaultSize="0" autoLine="0" autoPict="0" macro="[0]!ComboBox_VV">
                <anchor moveWithCells="1">
                  <from>
                    <xdr:col>11</xdr:col>
                    <xdr:colOff>304800</xdr:colOff>
                    <xdr:row>1</xdr:row>
                    <xdr:rowOff>9525</xdr:rowOff>
                  </from>
                  <to>
                    <xdr:col>16</xdr:col>
                    <xdr:colOff>381000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5</vt:i4>
      </vt:variant>
      <vt:variant>
        <vt:lpstr>Navngivne områder</vt:lpstr>
      </vt:variant>
      <vt:variant>
        <vt:i4>20</vt:i4>
      </vt:variant>
    </vt:vector>
  </HeadingPairs>
  <TitlesOfParts>
    <vt:vector size="25" baseType="lpstr">
      <vt:lpstr>Forside</vt:lpstr>
      <vt:lpstr>Graf</vt:lpstr>
      <vt:lpstr>Analyser</vt:lpstr>
      <vt:lpstr>JupData</vt:lpstr>
      <vt:lpstr>##</vt:lpstr>
      <vt:lpstr>b_1</vt:lpstr>
      <vt:lpstr>b_10</vt:lpstr>
      <vt:lpstr>b_11</vt:lpstr>
      <vt:lpstr>b_12</vt:lpstr>
      <vt:lpstr>b_13</vt:lpstr>
      <vt:lpstr>b_14</vt:lpstr>
      <vt:lpstr>b_15</vt:lpstr>
      <vt:lpstr>b_16</vt:lpstr>
      <vt:lpstr>b_17</vt:lpstr>
      <vt:lpstr>b_18</vt:lpstr>
      <vt:lpstr>b_19</vt:lpstr>
      <vt:lpstr>b_2</vt:lpstr>
      <vt:lpstr>b_20</vt:lpstr>
      <vt:lpstr>b_3</vt:lpstr>
      <vt:lpstr>b_4</vt:lpstr>
      <vt:lpstr>b_5</vt:lpstr>
      <vt:lpstr>b_6</vt:lpstr>
      <vt:lpstr>b_7</vt:lpstr>
      <vt:lpstr>b_8</vt:lpstr>
      <vt:lpstr>b_9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Mads Schmidt Christensen</dc:creator>
  <cp:lastModifiedBy>Mads Schmidt Christensen</cp:lastModifiedBy>
  <cp:lastPrinted>2018-07-02T12:07:18Z</cp:lastPrinted>
  <dcterms:created xsi:type="dcterms:W3CDTF">2011-09-15T05:42:10Z</dcterms:created>
  <dcterms:modified xsi:type="dcterms:W3CDTF">2022-09-13T11:25:23Z</dcterms:modified>
</cp:coreProperties>
</file>